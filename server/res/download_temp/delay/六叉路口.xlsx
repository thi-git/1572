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s\Desktop\工讀生\OneDrive - 鼎漢國際工程顧問股份有限公司\1582_114年宜蘭縣號誌設施、時制及路邊停車規劃\Tech\01 時制重整\02_調查資料\"/>
    </mc:Choice>
  </mc:AlternateContent>
  <bookViews>
    <workbookView xWindow="-110" yWindow="-110" windowWidth="19420" windowHeight="11500" tabRatio="713"/>
  </bookViews>
  <sheets>
    <sheet name="資料儲存" sheetId="11" r:id="rId1"/>
    <sheet name="基本資料" sheetId="5" r:id="rId2"/>
    <sheet name="平日晨峰(0630-0830)" sheetId="20" r:id="rId3"/>
    <sheet name="假日(16-20)" sheetId="21" r:id="rId4"/>
    <sheet name="資料分析" sheetId="17" r:id="rId5"/>
    <sheet name="資料整理" sheetId="18" r:id="rId6"/>
    <sheet name="平日晨峰(07-09)" sheetId="1" r:id="rId7"/>
    <sheet name="平日中午(11-13)" sheetId="12" r:id="rId8"/>
    <sheet name="平日中午(12-14)" sheetId="19" r:id="rId9"/>
    <sheet name="平日昏峰(17-19)" sheetId="8" r:id="rId10"/>
    <sheet name="假日(11-12)" sheetId="16" r:id="rId11"/>
    <sheet name="假日(1430-1530)" sheetId="15" r:id="rId12"/>
    <sheet name="假日(1730-1830)" sheetId="14" r:id="rId13"/>
    <sheet name="假日(16-18)" sheetId="13" r:id="rId14"/>
    <sheet name="假日(17-19)" sheetId="9" r:id="rId15"/>
  </sheets>
  <definedNames>
    <definedName name="_xlnm._FilterDatabase" localSheetId="5" hidden="1">資料整理!$L$5:$L$9</definedName>
    <definedName name="_xlnm._FilterDatabase" localSheetId="0" hidden="1">資料儲存!$A$1:$J$1</definedName>
    <definedName name="_xlnm.Print_Titles" localSheetId="7">'平日中午(11-13)'!$2:$2</definedName>
    <definedName name="_xlnm.Print_Titles" localSheetId="8">'平日中午(12-14)'!$2:$2</definedName>
    <definedName name="_xlnm.Print_Titles" localSheetId="9">'平日昏峰(17-19)'!$2:$2</definedName>
    <definedName name="_xlnm.Print_Titles" localSheetId="2">'平日晨峰(0630-0830)'!$2:$2</definedName>
    <definedName name="_xlnm.Print_Titles" localSheetId="6">'平日晨峰(07-09)'!$2:$2</definedName>
    <definedName name="_xlnm.Print_Titles" localSheetId="10">'假日(11-12)'!$2:$2</definedName>
    <definedName name="_xlnm.Print_Titles" localSheetId="11">'假日(1430-1530)'!$2:$2</definedName>
    <definedName name="_xlnm.Print_Titles" localSheetId="13">'假日(16-18)'!$2:$2</definedName>
    <definedName name="_xlnm.Print_Titles" localSheetId="3">'假日(16-20)'!$2:$2</definedName>
    <definedName name="_xlnm.Print_Titles" localSheetId="14">'假日(17-19)'!$2:$2</definedName>
    <definedName name="_xlnm.Print_Titles" localSheetId="12">'假日(1730-1830)'!$2:$2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120" i="17" l="1"/>
  <c r="BX119" i="17"/>
  <c r="BU17" i="17" s="1"/>
  <c r="R14" i="18" s="1"/>
  <c r="S14" i="18" s="1"/>
  <c r="T35" i="18"/>
  <c r="T34" i="18"/>
  <c r="P39" i="18"/>
  <c r="P37" i="18"/>
  <c r="P35" i="18"/>
  <c r="P34" i="18"/>
  <c r="Q35" i="18"/>
  <c r="N35" i="18"/>
  <c r="M39" i="18"/>
  <c r="M38" i="18"/>
  <c r="M37" i="18"/>
  <c r="M36" i="18"/>
  <c r="M35" i="18"/>
  <c r="M34" i="18"/>
  <c r="J39" i="18"/>
  <c r="J37" i="18"/>
  <c r="J36" i="18"/>
  <c r="J34" i="18"/>
  <c r="K35" i="18"/>
  <c r="G39" i="18"/>
  <c r="G38" i="18"/>
  <c r="G37" i="18"/>
  <c r="G36" i="18"/>
  <c r="G35" i="18"/>
  <c r="G34" i="18"/>
  <c r="H35" i="18"/>
  <c r="H34" i="18"/>
  <c r="F39" i="18"/>
  <c r="F38" i="18"/>
  <c r="F37" i="18"/>
  <c r="F36" i="18"/>
  <c r="F35" i="18"/>
  <c r="F34" i="18"/>
  <c r="E35" i="18"/>
  <c r="D39" i="18"/>
  <c r="D37" i="18"/>
  <c r="D36" i="18"/>
  <c r="D35" i="18"/>
  <c r="D34" i="18"/>
  <c r="Q25" i="18"/>
  <c r="P29" i="18"/>
  <c r="P28" i="18"/>
  <c r="P24" i="18"/>
  <c r="N25" i="18"/>
  <c r="M29" i="18"/>
  <c r="M26" i="18"/>
  <c r="M25" i="18"/>
  <c r="M24" i="18"/>
  <c r="K25" i="18"/>
  <c r="J28" i="18"/>
  <c r="J24" i="18"/>
  <c r="H25" i="18"/>
  <c r="G28" i="18"/>
  <c r="G27" i="18"/>
  <c r="G26" i="18"/>
  <c r="G25" i="18"/>
  <c r="G24" i="18"/>
  <c r="E25" i="18"/>
  <c r="D26" i="18"/>
  <c r="D25" i="18"/>
  <c r="D24" i="18"/>
  <c r="E24" i="18"/>
  <c r="C29" i="18"/>
  <c r="C28" i="18"/>
  <c r="C27" i="18"/>
  <c r="C26" i="18"/>
  <c r="C25" i="18"/>
  <c r="C24" i="18"/>
  <c r="T15" i="18"/>
  <c r="T14" i="18"/>
  <c r="Q15" i="18"/>
  <c r="Q14" i="18"/>
  <c r="P19" i="18"/>
  <c r="P18" i="18"/>
  <c r="P17" i="18"/>
  <c r="P16" i="18"/>
  <c r="P15" i="18"/>
  <c r="P14" i="18"/>
  <c r="N15" i="18"/>
  <c r="M19" i="18"/>
  <c r="M18" i="18"/>
  <c r="M17" i="18"/>
  <c r="M16" i="18"/>
  <c r="M15" i="18"/>
  <c r="M14" i="18"/>
  <c r="K15" i="18"/>
  <c r="K14" i="18"/>
  <c r="J19" i="18"/>
  <c r="J18" i="18"/>
  <c r="J17" i="18"/>
  <c r="J16" i="18"/>
  <c r="J15" i="18"/>
  <c r="J14" i="18"/>
  <c r="H15" i="18"/>
  <c r="H14" i="18"/>
  <c r="G19" i="18"/>
  <c r="G18" i="18"/>
  <c r="G17" i="18"/>
  <c r="G16" i="18"/>
  <c r="G14" i="18"/>
  <c r="F14" i="18"/>
  <c r="E15" i="18"/>
  <c r="E14" i="18"/>
  <c r="D15" i="18"/>
  <c r="D14" i="18"/>
  <c r="D19" i="18"/>
  <c r="D18" i="18"/>
  <c r="D16" i="18"/>
  <c r="Q4" i="18"/>
  <c r="P8" i="18"/>
  <c r="P7" i="18"/>
  <c r="P6" i="18"/>
  <c r="P5" i="18"/>
  <c r="P4" i="18"/>
  <c r="O4" i="18"/>
  <c r="N5" i="18"/>
  <c r="M9" i="18"/>
  <c r="M8" i="18"/>
  <c r="M7" i="18"/>
  <c r="M6" i="18"/>
  <c r="M5" i="18"/>
  <c r="M4" i="18"/>
  <c r="L4" i="18"/>
  <c r="K5" i="18"/>
  <c r="J9" i="18"/>
  <c r="J8" i="18"/>
  <c r="J6" i="18"/>
  <c r="J5" i="18"/>
  <c r="J4" i="18"/>
  <c r="H5" i="18"/>
  <c r="G9" i="18"/>
  <c r="G8" i="18"/>
  <c r="G7" i="18"/>
  <c r="G6" i="18"/>
  <c r="G5" i="18"/>
  <c r="G4" i="18"/>
  <c r="E5" i="18"/>
  <c r="E4" i="18"/>
  <c r="D9" i="18"/>
  <c r="D8" i="18"/>
  <c r="D7" i="18"/>
  <c r="D6" i="18"/>
  <c r="D5" i="18"/>
  <c r="D4" i="18"/>
  <c r="C9" i="17"/>
  <c r="C4" i="18" s="1"/>
  <c r="C9" i="18"/>
  <c r="C8" i="18"/>
  <c r="C7" i="18"/>
  <c r="C6" i="18"/>
  <c r="C5" i="18"/>
  <c r="F63" i="17"/>
  <c r="BV120" i="17"/>
  <c r="BU119" i="17"/>
  <c r="BU118" i="17"/>
  <c r="BW118" i="17"/>
  <c r="BY118" i="17"/>
  <c r="BX118" i="17"/>
  <c r="BV118" i="17"/>
  <c r="F64" i="17"/>
  <c r="BY117" i="17"/>
  <c r="BY116" i="17"/>
  <c r="BY115" i="17"/>
  <c r="BY114" i="17"/>
  <c r="BY113" i="17"/>
  <c r="BY112" i="17"/>
  <c r="BY111" i="17"/>
  <c r="BY109" i="17"/>
  <c r="BV116" i="17"/>
  <c r="BV111" i="17"/>
  <c r="BY110" i="17"/>
  <c r="BY108" i="17"/>
  <c r="BY106" i="17"/>
  <c r="BX117" i="17"/>
  <c r="BX116" i="17"/>
  <c r="BX115" i="17"/>
  <c r="BX114" i="17"/>
  <c r="BX113" i="17"/>
  <c r="BX112" i="17"/>
  <c r="BX111" i="17"/>
  <c r="BX110" i="17"/>
  <c r="BX109" i="17"/>
  <c r="BX108" i="17"/>
  <c r="BU112" i="17"/>
  <c r="BU114" i="17"/>
  <c r="BX107" i="17"/>
  <c r="BX106" i="17"/>
  <c r="BW117" i="17"/>
  <c r="BW116" i="17"/>
  <c r="BW115" i="17"/>
  <c r="BW114" i="17"/>
  <c r="BW113" i="17"/>
  <c r="BW112" i="17"/>
  <c r="BW111" i="17"/>
  <c r="BW110" i="17"/>
  <c r="BW109" i="17"/>
  <c r="BW108" i="17"/>
  <c r="BW107" i="17"/>
  <c r="BW106" i="17"/>
  <c r="BU113" i="17"/>
  <c r="BV117" i="17"/>
  <c r="E58" i="17"/>
  <c r="D64" i="17"/>
  <c r="C63" i="17"/>
  <c r="D62" i="17"/>
  <c r="BV115" i="17"/>
  <c r="BV110" i="17"/>
  <c r="BV109" i="17"/>
  <c r="BV106" i="17"/>
  <c r="BU116" i="17"/>
  <c r="BU111" i="17"/>
  <c r="BU109" i="17"/>
  <c r="BU108" i="17"/>
  <c r="BU107" i="17"/>
  <c r="BV107" i="17"/>
  <c r="BV108" i="17"/>
  <c r="BV113" i="17"/>
  <c r="BV114" i="17"/>
  <c r="BU106" i="17"/>
  <c r="BU110" i="17"/>
  <c r="BU115" i="17"/>
  <c r="BU117" i="17"/>
  <c r="C61" i="17"/>
  <c r="C60" i="17"/>
  <c r="C59" i="17"/>
  <c r="C58" i="17"/>
  <c r="BY101" i="17"/>
  <c r="BV101" i="17" s="1"/>
  <c r="BY100" i="17"/>
  <c r="BY99" i="17"/>
  <c r="BV99" i="17" s="1"/>
  <c r="BY98" i="17"/>
  <c r="BY97" i="17"/>
  <c r="BV97" i="17" s="1"/>
  <c r="BY96" i="17"/>
  <c r="BY95" i="17"/>
  <c r="BV95" i="17" s="1"/>
  <c r="BY94" i="17"/>
  <c r="BY93" i="17"/>
  <c r="BX101" i="17"/>
  <c r="BU101" i="17" s="1"/>
  <c r="BX100" i="17"/>
  <c r="BX99" i="17"/>
  <c r="BX98" i="17"/>
  <c r="BX97" i="17"/>
  <c r="BX96" i="17"/>
  <c r="BU96" i="17" s="1"/>
  <c r="BX95" i="17"/>
  <c r="BX94" i="17"/>
  <c r="BX89" i="17"/>
  <c r="BU94" i="17"/>
  <c r="BX92" i="17"/>
  <c r="BX93" i="17"/>
  <c r="BU92" i="17"/>
  <c r="BW101" i="17"/>
  <c r="BW100" i="17"/>
  <c r="BW99" i="17"/>
  <c r="BW98" i="17"/>
  <c r="BV98" i="17" s="1"/>
  <c r="BW97" i="17"/>
  <c r="BW96" i="17"/>
  <c r="BW95" i="17"/>
  <c r="BW94" i="17"/>
  <c r="BV94" i="17" s="1"/>
  <c r="BW91" i="17"/>
  <c r="BW92" i="17"/>
  <c r="BW93" i="17"/>
  <c r="BU93" i="17" s="1"/>
  <c r="BU97" i="17"/>
  <c r="BV96" i="17"/>
  <c r="BW77" i="17"/>
  <c r="BV92" i="17"/>
  <c r="BV91" i="17"/>
  <c r="BV90" i="17"/>
  <c r="BU91" i="17"/>
  <c r="BU90" i="17"/>
  <c r="BV89" i="17"/>
  <c r="BU89" i="17"/>
  <c r="BY84" i="17"/>
  <c r="BY83" i="17"/>
  <c r="BV83" i="17" s="1"/>
  <c r="BY82" i="17"/>
  <c r="BY81" i="17"/>
  <c r="BY80" i="17"/>
  <c r="BY79" i="17"/>
  <c r="BY78" i="17"/>
  <c r="BY77" i="17"/>
  <c r="BV77" i="17" s="1"/>
  <c r="BY76" i="17"/>
  <c r="BV82" i="17"/>
  <c r="BX84" i="17"/>
  <c r="BX83" i="17"/>
  <c r="BU83" i="17" s="1"/>
  <c r="BX82" i="17"/>
  <c r="BX81" i="17"/>
  <c r="BX80" i="17"/>
  <c r="BU80" i="17" s="1"/>
  <c r="BX79" i="17"/>
  <c r="BU79" i="17" s="1"/>
  <c r="BX78" i="17"/>
  <c r="BX77" i="17"/>
  <c r="BU77" i="17" s="1"/>
  <c r="BX76" i="17"/>
  <c r="BU76" i="17" s="1"/>
  <c r="BW84" i="17"/>
  <c r="BW83" i="17"/>
  <c r="BW82" i="17"/>
  <c r="BW81" i="17"/>
  <c r="BW80" i="17"/>
  <c r="BW79" i="17"/>
  <c r="BW78" i="17"/>
  <c r="BU78" i="17" s="1"/>
  <c r="BW76" i="17"/>
  <c r="BV84" i="17"/>
  <c r="BV78" i="17"/>
  <c r="BW72" i="17"/>
  <c r="BV73" i="17"/>
  <c r="BV72" i="17"/>
  <c r="BU82" i="17"/>
  <c r="BU81" i="17"/>
  <c r="BU75" i="17"/>
  <c r="BU73" i="17"/>
  <c r="BU72" i="17"/>
  <c r="BV74" i="17"/>
  <c r="BV75" i="17"/>
  <c r="BV76" i="17"/>
  <c r="BV79" i="17"/>
  <c r="BV80" i="17"/>
  <c r="BV81" i="17"/>
  <c r="BU74" i="17"/>
  <c r="BY67" i="17"/>
  <c r="BY66" i="17"/>
  <c r="BY65" i="17"/>
  <c r="BY64" i="17"/>
  <c r="BY63" i="17"/>
  <c r="BY62" i="17"/>
  <c r="BY61" i="17"/>
  <c r="BV61" i="17" s="1"/>
  <c r="BY60" i="17"/>
  <c r="BY59" i="17"/>
  <c r="BV67" i="17"/>
  <c r="BV66" i="17"/>
  <c r="BV65" i="17"/>
  <c r="BV60" i="17"/>
  <c r="BV62" i="17"/>
  <c r="BX67" i="17"/>
  <c r="BU67" i="17" s="1"/>
  <c r="BX66" i="17"/>
  <c r="BX65" i="17"/>
  <c r="BX64" i="17"/>
  <c r="BU64" i="17" s="1"/>
  <c r="BX63" i="17"/>
  <c r="BX62" i="17"/>
  <c r="BX61" i="17"/>
  <c r="BU61" i="17" s="1"/>
  <c r="BX60" i="17"/>
  <c r="BU60" i="17" s="1"/>
  <c r="BX59" i="17"/>
  <c r="BU59" i="17" s="1"/>
  <c r="BW67" i="17"/>
  <c r="BW66" i="17"/>
  <c r="BW65" i="17"/>
  <c r="BW64" i="17"/>
  <c r="BW63" i="17"/>
  <c r="BU63" i="17" s="1"/>
  <c r="BW62" i="17"/>
  <c r="BW61" i="17"/>
  <c r="BW60" i="17"/>
  <c r="BV59" i="17"/>
  <c r="BV58" i="17"/>
  <c r="BV56" i="17"/>
  <c r="BV55" i="17"/>
  <c r="BU62" i="17"/>
  <c r="BU58" i="17"/>
  <c r="BU57" i="17"/>
  <c r="BU56" i="17"/>
  <c r="BU55" i="17"/>
  <c r="BV57" i="17"/>
  <c r="BV64" i="17"/>
  <c r="BY50" i="17"/>
  <c r="BY49" i="17"/>
  <c r="BY48" i="17"/>
  <c r="BV48" i="17" s="1"/>
  <c r="BY47" i="17"/>
  <c r="BY46" i="17"/>
  <c r="BY45" i="17"/>
  <c r="BY44" i="17"/>
  <c r="BY43" i="17"/>
  <c r="BV45" i="17"/>
  <c r="BX50" i="17"/>
  <c r="BX49" i="17"/>
  <c r="BX48" i="17"/>
  <c r="BX47" i="17"/>
  <c r="BX46" i="17"/>
  <c r="BX45" i="17"/>
  <c r="BX44" i="17"/>
  <c r="BX43" i="17"/>
  <c r="BX38" i="17"/>
  <c r="BX39" i="17"/>
  <c r="BX40" i="17"/>
  <c r="BX41" i="17"/>
  <c r="BU41" i="17" s="1"/>
  <c r="BX42" i="17"/>
  <c r="BU42" i="17" s="1"/>
  <c r="BU44" i="17"/>
  <c r="BU38" i="17"/>
  <c r="BU47" i="17"/>
  <c r="BW50" i="17"/>
  <c r="BW49" i="17"/>
  <c r="BV49" i="17" s="1"/>
  <c r="BW48" i="17"/>
  <c r="BU48" i="17" s="1"/>
  <c r="BW47" i="17"/>
  <c r="BW46" i="17"/>
  <c r="BW45" i="17"/>
  <c r="BW44" i="17"/>
  <c r="BW43" i="17"/>
  <c r="BV43" i="17" s="1"/>
  <c r="BV50" i="17"/>
  <c r="BU49" i="17"/>
  <c r="BV42" i="17"/>
  <c r="BV41" i="17"/>
  <c r="BV40" i="17"/>
  <c r="BV39" i="17"/>
  <c r="BV38" i="17"/>
  <c r="BU40" i="17"/>
  <c r="BU39" i="17"/>
  <c r="D40" i="17"/>
  <c r="C40" i="17"/>
  <c r="BU4" i="17"/>
  <c r="BU21" i="17"/>
  <c r="BY33" i="17"/>
  <c r="BY32" i="17"/>
  <c r="BV32" i="17" s="1"/>
  <c r="BY31" i="17"/>
  <c r="BY30" i="17"/>
  <c r="BY29" i="17"/>
  <c r="BY28" i="17"/>
  <c r="BY27" i="17"/>
  <c r="BV27" i="17" s="1"/>
  <c r="BY26" i="17"/>
  <c r="BY25" i="17"/>
  <c r="BV25" i="17" s="1"/>
  <c r="BY24" i="17"/>
  <c r="BY23" i="17"/>
  <c r="BY22" i="17"/>
  <c r="BY21" i="17"/>
  <c r="BX33" i="17"/>
  <c r="BX32" i="17"/>
  <c r="BX31" i="17"/>
  <c r="BX30" i="17"/>
  <c r="BX29" i="17"/>
  <c r="BX28" i="17"/>
  <c r="BX27" i="17"/>
  <c r="BX26" i="17"/>
  <c r="BX25" i="17"/>
  <c r="BX24" i="17"/>
  <c r="BU24" i="17" s="1"/>
  <c r="BX23" i="17"/>
  <c r="BX22" i="17"/>
  <c r="BX21" i="17"/>
  <c r="BW33" i="17"/>
  <c r="BW32" i="17"/>
  <c r="BU32" i="17" s="1"/>
  <c r="BW31" i="17"/>
  <c r="BW30" i="17"/>
  <c r="BW29" i="17"/>
  <c r="BW28" i="17"/>
  <c r="BU28" i="17" s="1"/>
  <c r="BW27" i="17"/>
  <c r="BU27" i="17" s="1"/>
  <c r="BW26" i="17"/>
  <c r="BW25" i="17"/>
  <c r="BW24" i="17"/>
  <c r="BW23" i="17"/>
  <c r="BW22" i="17"/>
  <c r="BW21" i="17"/>
  <c r="BV21" i="17"/>
  <c r="BV33" i="17"/>
  <c r="BU31" i="17"/>
  <c r="BU29" i="17"/>
  <c r="BV28" i="17"/>
  <c r="BU33" i="17"/>
  <c r="BV26" i="17"/>
  <c r="BV31" i="17"/>
  <c r="BV29" i="17"/>
  <c r="BV23" i="17"/>
  <c r="BU23" i="17"/>
  <c r="BV16" i="17"/>
  <c r="BU16" i="17"/>
  <c r="BY16" i="17"/>
  <c r="BY15" i="17"/>
  <c r="BY14" i="17"/>
  <c r="BV14" i="17"/>
  <c r="BY13" i="17"/>
  <c r="BV13" i="17" s="1"/>
  <c r="BY12" i="17"/>
  <c r="BY11" i="17"/>
  <c r="BV11" i="17" s="1"/>
  <c r="BY10" i="17"/>
  <c r="BV10" i="17" s="1"/>
  <c r="BY9" i="17"/>
  <c r="BV9" i="17" s="1"/>
  <c r="BX16" i="17"/>
  <c r="BX15" i="17"/>
  <c r="BX14" i="17"/>
  <c r="BX13" i="17"/>
  <c r="BX12" i="17"/>
  <c r="BU12" i="17" s="1"/>
  <c r="BX11" i="17"/>
  <c r="BX10" i="17"/>
  <c r="BX9" i="17"/>
  <c r="BU9" i="17" s="1"/>
  <c r="BW16" i="17"/>
  <c r="BW15" i="17"/>
  <c r="BV15" i="17" s="1"/>
  <c r="BW14" i="17"/>
  <c r="BW13" i="17"/>
  <c r="BU13" i="17" s="1"/>
  <c r="BW12" i="17"/>
  <c r="BW11" i="17"/>
  <c r="BU11" i="17" s="1"/>
  <c r="BW10" i="17"/>
  <c r="BU10" i="17" s="1"/>
  <c r="BW9" i="17"/>
  <c r="E4" i="17"/>
  <c r="C4" i="17" s="1"/>
  <c r="BV12" i="17"/>
  <c r="D8" i="17"/>
  <c r="D4" i="17"/>
  <c r="BU14" i="17"/>
  <c r="AZ9" i="17"/>
  <c r="Y37" i="17"/>
  <c r="X36" i="17"/>
  <c r="Y28" i="17"/>
  <c r="Y10" i="17"/>
  <c r="X9" i="17"/>
  <c r="Q54" i="17"/>
  <c r="R19" i="17"/>
  <c r="Q18" i="17"/>
  <c r="R10" i="17"/>
  <c r="Q9" i="17"/>
  <c r="J9" i="17"/>
  <c r="AM10" i="17"/>
  <c r="K46" i="17"/>
  <c r="J45" i="17"/>
  <c r="BN4" i="17"/>
  <c r="AU292" i="21"/>
  <c r="AV292" i="21"/>
  <c r="AW292" i="21"/>
  <c r="AX292" i="21"/>
  <c r="AY292" i="21"/>
  <c r="AZ292" i="21"/>
  <c r="BA292" i="21"/>
  <c r="AU293" i="21"/>
  <c r="AV293" i="21"/>
  <c r="AW293" i="21"/>
  <c r="AX293" i="21"/>
  <c r="AY293" i="21"/>
  <c r="AZ293" i="21"/>
  <c r="BA293" i="21"/>
  <c r="AU294" i="21"/>
  <c r="AV294" i="21"/>
  <c r="AW294" i="21"/>
  <c r="AX294" i="21"/>
  <c r="AY294" i="21"/>
  <c r="AZ294" i="21"/>
  <c r="BA294" i="21"/>
  <c r="AU295" i="21"/>
  <c r="AV295" i="21"/>
  <c r="AW295" i="21"/>
  <c r="AX295" i="21"/>
  <c r="AY295" i="21"/>
  <c r="AZ295" i="21"/>
  <c r="BA295" i="21"/>
  <c r="AU296" i="21"/>
  <c r="AV296" i="21"/>
  <c r="AW296" i="21"/>
  <c r="AX296" i="21"/>
  <c r="AY296" i="21"/>
  <c r="AZ296" i="21"/>
  <c r="BA296" i="21"/>
  <c r="AU297" i="21"/>
  <c r="AV297" i="21"/>
  <c r="AW297" i="21"/>
  <c r="AX297" i="21"/>
  <c r="AY297" i="21"/>
  <c r="AZ297" i="21"/>
  <c r="BA297" i="21"/>
  <c r="AU298" i="21"/>
  <c r="AV298" i="21"/>
  <c r="AW298" i="21"/>
  <c r="AX298" i="21"/>
  <c r="AY298" i="21"/>
  <c r="AZ298" i="21"/>
  <c r="BA298" i="21"/>
  <c r="AU299" i="21"/>
  <c r="AV299" i="21"/>
  <c r="AW299" i="21"/>
  <c r="AX299" i="21"/>
  <c r="AY299" i="21"/>
  <c r="AZ299" i="21"/>
  <c r="BA299" i="21"/>
  <c r="AU300" i="21"/>
  <c r="AV300" i="21"/>
  <c r="AW300" i="21"/>
  <c r="AX300" i="21"/>
  <c r="AY300" i="21"/>
  <c r="AZ300" i="21"/>
  <c r="BA300" i="21"/>
  <c r="AU301" i="21"/>
  <c r="AV301" i="21"/>
  <c r="AW301" i="21"/>
  <c r="AX301" i="21"/>
  <c r="AY301" i="21"/>
  <c r="AZ301" i="21"/>
  <c r="BA301" i="21"/>
  <c r="AU302" i="21"/>
  <c r="AV302" i="21"/>
  <c r="AW302" i="21"/>
  <c r="AX302" i="21"/>
  <c r="AY302" i="21"/>
  <c r="AZ302" i="21"/>
  <c r="BA302" i="21"/>
  <c r="AU303" i="21"/>
  <c r="AV303" i="21"/>
  <c r="AW303" i="21"/>
  <c r="AX303" i="21"/>
  <c r="AY303" i="21"/>
  <c r="AZ303" i="21"/>
  <c r="BA303" i="21"/>
  <c r="AU304" i="21"/>
  <c r="AV304" i="21"/>
  <c r="AW304" i="21"/>
  <c r="AX304" i="21"/>
  <c r="AY304" i="21"/>
  <c r="AZ304" i="21"/>
  <c r="BA304" i="21"/>
  <c r="AU305" i="21"/>
  <c r="AV305" i="21"/>
  <c r="AW305" i="21"/>
  <c r="AX305" i="21"/>
  <c r="AY305" i="21"/>
  <c r="AZ305" i="21"/>
  <c r="BA305" i="21"/>
  <c r="AV291" i="21"/>
  <c r="AW291" i="21"/>
  <c r="AX291" i="21"/>
  <c r="AY291" i="21"/>
  <c r="AZ291" i="21"/>
  <c r="BA291" i="21"/>
  <c r="AU291" i="21"/>
  <c r="AU286" i="21"/>
  <c r="AU273" i="21"/>
  <c r="AV273" i="21"/>
  <c r="AW273" i="21"/>
  <c r="AX273" i="21"/>
  <c r="AY273" i="21"/>
  <c r="AZ273" i="21"/>
  <c r="BA273" i="21"/>
  <c r="AU274" i="21"/>
  <c r="AV274" i="21"/>
  <c r="AW274" i="21"/>
  <c r="AX274" i="21"/>
  <c r="AY274" i="21"/>
  <c r="AZ274" i="21"/>
  <c r="BA274" i="21"/>
  <c r="AU275" i="21"/>
  <c r="AV275" i="21"/>
  <c r="AW275" i="21"/>
  <c r="AX275" i="21"/>
  <c r="AY275" i="21"/>
  <c r="AZ275" i="21"/>
  <c r="BA275" i="21"/>
  <c r="AU276" i="21"/>
  <c r="AV276" i="21"/>
  <c r="AW276" i="21"/>
  <c r="AX276" i="21"/>
  <c r="AY276" i="21"/>
  <c r="AZ276" i="21"/>
  <c r="BA276" i="21"/>
  <c r="AU277" i="21"/>
  <c r="AV277" i="21"/>
  <c r="AW277" i="21"/>
  <c r="AX277" i="21"/>
  <c r="AY277" i="21"/>
  <c r="AZ277" i="21"/>
  <c r="BA277" i="21"/>
  <c r="AU278" i="21"/>
  <c r="AV278" i="21"/>
  <c r="AW278" i="21"/>
  <c r="AX278" i="21"/>
  <c r="AY278" i="21"/>
  <c r="AZ278" i="21"/>
  <c r="BA278" i="21"/>
  <c r="AU279" i="21"/>
  <c r="AV279" i="21"/>
  <c r="AW279" i="21"/>
  <c r="AX279" i="21"/>
  <c r="AY279" i="21"/>
  <c r="AZ279" i="21"/>
  <c r="BA279" i="21"/>
  <c r="AU280" i="21"/>
  <c r="AV280" i="21"/>
  <c r="AW280" i="21"/>
  <c r="AX280" i="21"/>
  <c r="AY280" i="21"/>
  <c r="AZ280" i="21"/>
  <c r="BA280" i="21"/>
  <c r="AU281" i="21"/>
  <c r="AV281" i="21"/>
  <c r="AW281" i="21"/>
  <c r="AX281" i="21"/>
  <c r="AY281" i="21"/>
  <c r="AZ281" i="21"/>
  <c r="BA281" i="21"/>
  <c r="AU282" i="21"/>
  <c r="AV282" i="21"/>
  <c r="AW282" i="21"/>
  <c r="AX282" i="21"/>
  <c r="AY282" i="21"/>
  <c r="AZ282" i="21"/>
  <c r="BA282" i="21"/>
  <c r="AU283" i="21"/>
  <c r="AV283" i="21"/>
  <c r="AW283" i="21"/>
  <c r="AX283" i="21"/>
  <c r="AY283" i="21"/>
  <c r="AZ283" i="21"/>
  <c r="BA283" i="21"/>
  <c r="AU284" i="21"/>
  <c r="AV284" i="21"/>
  <c r="AW284" i="21"/>
  <c r="AX284" i="21"/>
  <c r="AY284" i="21"/>
  <c r="AZ284" i="21"/>
  <c r="BA284" i="21"/>
  <c r="AU285" i="21"/>
  <c r="AV285" i="21"/>
  <c r="AW285" i="21"/>
  <c r="AX285" i="21"/>
  <c r="AY285" i="21"/>
  <c r="AZ285" i="21"/>
  <c r="BA285" i="21"/>
  <c r="AV286" i="21"/>
  <c r="AW286" i="21"/>
  <c r="AX286" i="21"/>
  <c r="AY286" i="21"/>
  <c r="AZ286" i="21"/>
  <c r="BA286" i="21"/>
  <c r="AV272" i="21"/>
  <c r="AW272" i="21"/>
  <c r="AX272" i="21"/>
  <c r="AY272" i="21"/>
  <c r="AZ272" i="21"/>
  <c r="BA272" i="21"/>
  <c r="AU272" i="21"/>
  <c r="AU267" i="21"/>
  <c r="AU254" i="21"/>
  <c r="AV254" i="21"/>
  <c r="AW254" i="21"/>
  <c r="AX254" i="21"/>
  <c r="AY254" i="21"/>
  <c r="AZ254" i="21"/>
  <c r="BA254" i="21"/>
  <c r="AU255" i="21"/>
  <c r="AV255" i="21"/>
  <c r="AW255" i="21"/>
  <c r="AX255" i="21"/>
  <c r="AY255" i="21"/>
  <c r="AZ255" i="21"/>
  <c r="BA255" i="21"/>
  <c r="AU256" i="21"/>
  <c r="AV256" i="21"/>
  <c r="AW256" i="21"/>
  <c r="AX256" i="21"/>
  <c r="AY256" i="21"/>
  <c r="AZ256" i="21"/>
  <c r="BA256" i="21"/>
  <c r="AU257" i="21"/>
  <c r="AV257" i="21"/>
  <c r="AW257" i="21"/>
  <c r="AX257" i="21"/>
  <c r="AY257" i="21"/>
  <c r="AZ257" i="21"/>
  <c r="BA257" i="21"/>
  <c r="AU258" i="21"/>
  <c r="AV258" i="21"/>
  <c r="AW258" i="21"/>
  <c r="AX258" i="21"/>
  <c r="AY258" i="21"/>
  <c r="AZ258" i="21"/>
  <c r="BA258" i="21"/>
  <c r="AU259" i="21"/>
  <c r="AV259" i="21"/>
  <c r="AW259" i="21"/>
  <c r="AX259" i="21"/>
  <c r="AY259" i="21"/>
  <c r="AZ259" i="21"/>
  <c r="BA259" i="21"/>
  <c r="AU260" i="21"/>
  <c r="AV260" i="21"/>
  <c r="AW260" i="21"/>
  <c r="AX260" i="21"/>
  <c r="AY260" i="21"/>
  <c r="AZ260" i="21"/>
  <c r="BA260" i="21"/>
  <c r="AU261" i="21"/>
  <c r="AV261" i="21"/>
  <c r="AW261" i="21"/>
  <c r="AX261" i="21"/>
  <c r="AY261" i="21"/>
  <c r="AZ261" i="21"/>
  <c r="BA261" i="21"/>
  <c r="AU262" i="21"/>
  <c r="AV262" i="21"/>
  <c r="AW262" i="21"/>
  <c r="AX262" i="21"/>
  <c r="AY262" i="21"/>
  <c r="AZ262" i="21"/>
  <c r="BA262" i="21"/>
  <c r="AU263" i="21"/>
  <c r="AV263" i="21"/>
  <c r="AW263" i="21"/>
  <c r="AX263" i="21"/>
  <c r="AY263" i="21"/>
  <c r="AZ263" i="21"/>
  <c r="BA263" i="21"/>
  <c r="AU264" i="21"/>
  <c r="AV264" i="21"/>
  <c r="AW264" i="21"/>
  <c r="AX264" i="21"/>
  <c r="AY264" i="21"/>
  <c r="AZ264" i="21"/>
  <c r="BA264" i="21"/>
  <c r="AU265" i="21"/>
  <c r="AV265" i="21"/>
  <c r="AW265" i="21"/>
  <c r="AX265" i="21"/>
  <c r="AY265" i="21"/>
  <c r="AZ265" i="21"/>
  <c r="BA265" i="21"/>
  <c r="AU266" i="21"/>
  <c r="AV266" i="21"/>
  <c r="AW266" i="21"/>
  <c r="AX266" i="21"/>
  <c r="AY266" i="21"/>
  <c r="AZ266" i="21"/>
  <c r="BA266" i="21"/>
  <c r="AV267" i="21"/>
  <c r="AW267" i="21"/>
  <c r="AX267" i="21"/>
  <c r="AY267" i="21"/>
  <c r="AZ267" i="21"/>
  <c r="BA267" i="21"/>
  <c r="AV253" i="21"/>
  <c r="AW253" i="21"/>
  <c r="AX253" i="21"/>
  <c r="AY253" i="21"/>
  <c r="AZ253" i="21"/>
  <c r="BA253" i="21"/>
  <c r="AU253" i="21"/>
  <c r="AU248" i="21"/>
  <c r="AU235" i="21"/>
  <c r="AV235" i="21"/>
  <c r="AW235" i="21"/>
  <c r="AX235" i="21"/>
  <c r="AY235" i="21"/>
  <c r="AZ235" i="21"/>
  <c r="BA235" i="21"/>
  <c r="AU236" i="21"/>
  <c r="AV236" i="21"/>
  <c r="AW236" i="21"/>
  <c r="AX236" i="21"/>
  <c r="AY236" i="21"/>
  <c r="AZ236" i="21"/>
  <c r="BA236" i="21"/>
  <c r="AU237" i="21"/>
  <c r="AV237" i="21"/>
  <c r="AW237" i="21"/>
  <c r="AX237" i="21"/>
  <c r="AY237" i="21"/>
  <c r="AZ237" i="21"/>
  <c r="BA237" i="21"/>
  <c r="AU238" i="21"/>
  <c r="AV238" i="21"/>
  <c r="AW238" i="21"/>
  <c r="AX238" i="21"/>
  <c r="AY238" i="21"/>
  <c r="AZ238" i="21"/>
  <c r="BA238" i="21"/>
  <c r="AU239" i="21"/>
  <c r="AV239" i="21"/>
  <c r="AW239" i="21"/>
  <c r="AX239" i="21"/>
  <c r="AY239" i="21"/>
  <c r="AZ239" i="21"/>
  <c r="BA239" i="21"/>
  <c r="AU240" i="21"/>
  <c r="AV240" i="21"/>
  <c r="AW240" i="21"/>
  <c r="AX240" i="21"/>
  <c r="AY240" i="21"/>
  <c r="AZ240" i="21"/>
  <c r="BA240" i="21"/>
  <c r="AU241" i="21"/>
  <c r="AV241" i="21"/>
  <c r="AW241" i="21"/>
  <c r="AX241" i="21"/>
  <c r="AY241" i="21"/>
  <c r="AZ241" i="21"/>
  <c r="BA241" i="21"/>
  <c r="AU242" i="21"/>
  <c r="AV242" i="21"/>
  <c r="AW242" i="21"/>
  <c r="AX242" i="21"/>
  <c r="AY242" i="21"/>
  <c r="AZ242" i="21"/>
  <c r="BA242" i="21"/>
  <c r="AU243" i="21"/>
  <c r="AV243" i="21"/>
  <c r="AW243" i="21"/>
  <c r="AX243" i="21"/>
  <c r="AY243" i="21"/>
  <c r="AZ243" i="21"/>
  <c r="BA243" i="21"/>
  <c r="AU244" i="21"/>
  <c r="AV244" i="21"/>
  <c r="AW244" i="21"/>
  <c r="AX244" i="21"/>
  <c r="AY244" i="21"/>
  <c r="AZ244" i="21"/>
  <c r="BA244" i="21"/>
  <c r="AU245" i="21"/>
  <c r="AV245" i="21"/>
  <c r="AW245" i="21"/>
  <c r="AX245" i="21"/>
  <c r="AY245" i="21"/>
  <c r="AZ245" i="21"/>
  <c r="BA245" i="21"/>
  <c r="AU246" i="21"/>
  <c r="AV246" i="21"/>
  <c r="AW246" i="21"/>
  <c r="AX246" i="21"/>
  <c r="AY246" i="21"/>
  <c r="AZ246" i="21"/>
  <c r="BA246" i="21"/>
  <c r="AU247" i="21"/>
  <c r="AV247" i="21"/>
  <c r="AW247" i="21"/>
  <c r="AX247" i="21"/>
  <c r="AY247" i="21"/>
  <c r="AZ247" i="21"/>
  <c r="BA247" i="21"/>
  <c r="AV248" i="21"/>
  <c r="AW248" i="21"/>
  <c r="AX248" i="21"/>
  <c r="AY248" i="21"/>
  <c r="AZ248" i="21"/>
  <c r="BA248" i="21"/>
  <c r="AV234" i="21"/>
  <c r="AW234" i="21"/>
  <c r="AX234" i="21"/>
  <c r="AY234" i="21"/>
  <c r="AZ234" i="21"/>
  <c r="BA234" i="21"/>
  <c r="AU234" i="21"/>
  <c r="AU229" i="21"/>
  <c r="AU216" i="21"/>
  <c r="AV216" i="21"/>
  <c r="AW216" i="21"/>
  <c r="AX216" i="21"/>
  <c r="AY216" i="21"/>
  <c r="AZ216" i="21"/>
  <c r="BA216" i="21"/>
  <c r="AU217" i="21"/>
  <c r="AV217" i="21"/>
  <c r="AW217" i="21"/>
  <c r="AX217" i="21"/>
  <c r="AY217" i="21"/>
  <c r="AZ217" i="21"/>
  <c r="BA217" i="21"/>
  <c r="AU218" i="21"/>
  <c r="AV218" i="21"/>
  <c r="AW218" i="21"/>
  <c r="AX218" i="21"/>
  <c r="AY218" i="21"/>
  <c r="AZ218" i="21"/>
  <c r="BA218" i="21"/>
  <c r="AU219" i="21"/>
  <c r="AV219" i="21"/>
  <c r="AW219" i="21"/>
  <c r="AX219" i="21"/>
  <c r="AY219" i="21"/>
  <c r="AZ219" i="21"/>
  <c r="BA219" i="21"/>
  <c r="AU220" i="21"/>
  <c r="AV220" i="21"/>
  <c r="AW220" i="21"/>
  <c r="AX220" i="21"/>
  <c r="AY220" i="21"/>
  <c r="AZ220" i="21"/>
  <c r="BA220" i="21"/>
  <c r="AU221" i="21"/>
  <c r="AV221" i="21"/>
  <c r="AW221" i="21"/>
  <c r="AX221" i="21"/>
  <c r="AY221" i="21"/>
  <c r="AZ221" i="21"/>
  <c r="BA221" i="21"/>
  <c r="AU222" i="21"/>
  <c r="AV222" i="21"/>
  <c r="AW222" i="21"/>
  <c r="AX222" i="21"/>
  <c r="AY222" i="21"/>
  <c r="AZ222" i="21"/>
  <c r="BA222" i="21"/>
  <c r="AU223" i="21"/>
  <c r="AV223" i="21"/>
  <c r="AW223" i="21"/>
  <c r="AX223" i="21"/>
  <c r="AY223" i="21"/>
  <c r="AZ223" i="21"/>
  <c r="BA223" i="21"/>
  <c r="AU224" i="21"/>
  <c r="AV224" i="21"/>
  <c r="AW224" i="21"/>
  <c r="AX224" i="21"/>
  <c r="AY224" i="21"/>
  <c r="AZ224" i="21"/>
  <c r="BA224" i="21"/>
  <c r="AU225" i="21"/>
  <c r="AV225" i="21"/>
  <c r="AW225" i="21"/>
  <c r="AX225" i="21"/>
  <c r="AY225" i="21"/>
  <c r="AZ225" i="21"/>
  <c r="BA225" i="21"/>
  <c r="AU226" i="21"/>
  <c r="AV226" i="21"/>
  <c r="AW226" i="21"/>
  <c r="AX226" i="21"/>
  <c r="AY226" i="21"/>
  <c r="AZ226" i="21"/>
  <c r="BA226" i="21"/>
  <c r="AU227" i="21"/>
  <c r="AV227" i="21"/>
  <c r="AW227" i="21"/>
  <c r="AX227" i="21"/>
  <c r="AY227" i="21"/>
  <c r="AZ227" i="21"/>
  <c r="BA227" i="21"/>
  <c r="AU228" i="21"/>
  <c r="AV228" i="21"/>
  <c r="AW228" i="21"/>
  <c r="AX228" i="21"/>
  <c r="AY228" i="21"/>
  <c r="AZ228" i="21"/>
  <c r="BA228" i="21"/>
  <c r="AV229" i="21"/>
  <c r="AW229" i="21"/>
  <c r="AX229" i="21"/>
  <c r="AY229" i="21"/>
  <c r="AZ229" i="21"/>
  <c r="BA229" i="21"/>
  <c r="AV215" i="21"/>
  <c r="AW215" i="21"/>
  <c r="AX215" i="21"/>
  <c r="AY215" i="21"/>
  <c r="AZ215" i="21"/>
  <c r="BA215" i="21"/>
  <c r="AU215" i="21"/>
  <c r="AU210" i="21"/>
  <c r="AU197" i="21"/>
  <c r="AV197" i="21"/>
  <c r="AW197" i="21"/>
  <c r="AX197" i="21"/>
  <c r="AY197" i="21"/>
  <c r="AZ197" i="21"/>
  <c r="BA197" i="21"/>
  <c r="AU198" i="21"/>
  <c r="AV198" i="21"/>
  <c r="AW198" i="21"/>
  <c r="AX198" i="21"/>
  <c r="AY198" i="21"/>
  <c r="AZ198" i="21"/>
  <c r="BA198" i="21"/>
  <c r="AU199" i="21"/>
  <c r="AV199" i="21"/>
  <c r="AW199" i="21"/>
  <c r="AX199" i="21"/>
  <c r="AY199" i="21"/>
  <c r="AZ199" i="21"/>
  <c r="BA199" i="21"/>
  <c r="AU200" i="21"/>
  <c r="AV200" i="21"/>
  <c r="AW200" i="21"/>
  <c r="AX200" i="21"/>
  <c r="AY200" i="21"/>
  <c r="AZ200" i="21"/>
  <c r="BA200" i="21"/>
  <c r="AU201" i="21"/>
  <c r="AV201" i="21"/>
  <c r="AW201" i="21"/>
  <c r="AX201" i="21"/>
  <c r="AY201" i="21"/>
  <c r="AZ201" i="21"/>
  <c r="BA201" i="21"/>
  <c r="AU202" i="21"/>
  <c r="AV202" i="21"/>
  <c r="AW202" i="21"/>
  <c r="AX202" i="21"/>
  <c r="AY202" i="21"/>
  <c r="AZ202" i="21"/>
  <c r="BA202" i="21"/>
  <c r="AU203" i="21"/>
  <c r="AV203" i="21"/>
  <c r="AW203" i="21"/>
  <c r="AX203" i="21"/>
  <c r="AY203" i="21"/>
  <c r="AZ203" i="21"/>
  <c r="BA203" i="21"/>
  <c r="AU204" i="21"/>
  <c r="AV204" i="21"/>
  <c r="AW204" i="21"/>
  <c r="AX204" i="21"/>
  <c r="AY204" i="21"/>
  <c r="AZ204" i="21"/>
  <c r="BA204" i="21"/>
  <c r="AU205" i="21"/>
  <c r="AV205" i="21"/>
  <c r="AW205" i="21"/>
  <c r="AX205" i="21"/>
  <c r="AY205" i="21"/>
  <c r="AZ205" i="21"/>
  <c r="BA205" i="21"/>
  <c r="AU206" i="21"/>
  <c r="AV206" i="21"/>
  <c r="AW206" i="21"/>
  <c r="AX206" i="21"/>
  <c r="AY206" i="21"/>
  <c r="AZ206" i="21"/>
  <c r="BA206" i="21"/>
  <c r="AU207" i="21"/>
  <c r="AV207" i="21"/>
  <c r="AW207" i="21"/>
  <c r="AX207" i="21"/>
  <c r="AY207" i="21"/>
  <c r="AZ207" i="21"/>
  <c r="BA207" i="21"/>
  <c r="AU208" i="21"/>
  <c r="AV208" i="21"/>
  <c r="AW208" i="21"/>
  <c r="AX208" i="21"/>
  <c r="AY208" i="21"/>
  <c r="AZ208" i="21"/>
  <c r="BA208" i="21"/>
  <c r="AU209" i="21"/>
  <c r="AV209" i="21"/>
  <c r="AW209" i="21"/>
  <c r="AX209" i="21"/>
  <c r="AY209" i="21"/>
  <c r="AZ209" i="21"/>
  <c r="BA209" i="21"/>
  <c r="AV210" i="21"/>
  <c r="AW210" i="21"/>
  <c r="AX210" i="21"/>
  <c r="AY210" i="21"/>
  <c r="AZ210" i="21"/>
  <c r="BA210" i="21"/>
  <c r="AV196" i="21"/>
  <c r="AW196" i="21"/>
  <c r="AX196" i="21"/>
  <c r="AY196" i="21"/>
  <c r="AZ196" i="21"/>
  <c r="BA196" i="21"/>
  <c r="AU196" i="21"/>
  <c r="AU191" i="21"/>
  <c r="AU178" i="21"/>
  <c r="AV178" i="21"/>
  <c r="AW178" i="21"/>
  <c r="AX178" i="21"/>
  <c r="AY178" i="21"/>
  <c r="AZ178" i="21"/>
  <c r="BA178" i="21"/>
  <c r="AU179" i="21"/>
  <c r="AV179" i="21"/>
  <c r="AW179" i="21"/>
  <c r="AX179" i="21"/>
  <c r="AY179" i="21"/>
  <c r="AZ179" i="21"/>
  <c r="BA179" i="21"/>
  <c r="AU180" i="21"/>
  <c r="AV180" i="21"/>
  <c r="AW180" i="21"/>
  <c r="AX180" i="21"/>
  <c r="AY180" i="21"/>
  <c r="AZ180" i="21"/>
  <c r="BA180" i="21"/>
  <c r="AU181" i="21"/>
  <c r="AV181" i="21"/>
  <c r="AW181" i="21"/>
  <c r="AX181" i="21"/>
  <c r="AY181" i="21"/>
  <c r="AZ181" i="21"/>
  <c r="BA181" i="21"/>
  <c r="AU182" i="21"/>
  <c r="AV182" i="21"/>
  <c r="AW182" i="21"/>
  <c r="AX182" i="21"/>
  <c r="AY182" i="21"/>
  <c r="AZ182" i="21"/>
  <c r="BA182" i="21"/>
  <c r="AU183" i="21"/>
  <c r="AV183" i="21"/>
  <c r="AW183" i="21"/>
  <c r="AX183" i="21"/>
  <c r="AY183" i="21"/>
  <c r="AZ183" i="21"/>
  <c r="BA183" i="21"/>
  <c r="AU184" i="21"/>
  <c r="AV184" i="21"/>
  <c r="AW184" i="21"/>
  <c r="AX184" i="21"/>
  <c r="AY184" i="21"/>
  <c r="AZ184" i="21"/>
  <c r="BA184" i="21"/>
  <c r="AU185" i="21"/>
  <c r="AV185" i="21"/>
  <c r="AW185" i="21"/>
  <c r="AX185" i="21"/>
  <c r="AY185" i="21"/>
  <c r="AZ185" i="21"/>
  <c r="BA185" i="21"/>
  <c r="AU186" i="21"/>
  <c r="AV186" i="21"/>
  <c r="AW186" i="21"/>
  <c r="AX186" i="21"/>
  <c r="AY186" i="21"/>
  <c r="AZ186" i="21"/>
  <c r="BA186" i="21"/>
  <c r="AU187" i="21"/>
  <c r="AV187" i="21"/>
  <c r="AW187" i="21"/>
  <c r="AX187" i="21"/>
  <c r="AY187" i="21"/>
  <c r="AZ187" i="21"/>
  <c r="BA187" i="21"/>
  <c r="AU188" i="21"/>
  <c r="AV188" i="21"/>
  <c r="AW188" i="21"/>
  <c r="AX188" i="21"/>
  <c r="AY188" i="21"/>
  <c r="AZ188" i="21"/>
  <c r="BA188" i="21"/>
  <c r="AU189" i="21"/>
  <c r="AV189" i="21"/>
  <c r="AW189" i="21"/>
  <c r="AX189" i="21"/>
  <c r="AY189" i="21"/>
  <c r="AZ189" i="21"/>
  <c r="BA189" i="21"/>
  <c r="AU190" i="21"/>
  <c r="AV190" i="21"/>
  <c r="AW190" i="21"/>
  <c r="AX190" i="21"/>
  <c r="AY190" i="21"/>
  <c r="AZ190" i="21"/>
  <c r="BA190" i="21"/>
  <c r="AV191" i="21"/>
  <c r="AW191" i="21"/>
  <c r="AX191" i="21"/>
  <c r="AY191" i="21"/>
  <c r="AZ191" i="21"/>
  <c r="BA191" i="21"/>
  <c r="AV177" i="21"/>
  <c r="AW177" i="21"/>
  <c r="AX177" i="21"/>
  <c r="AY177" i="21"/>
  <c r="AZ177" i="21"/>
  <c r="BA177" i="21"/>
  <c r="AU177" i="21"/>
  <c r="AU172" i="21"/>
  <c r="AU159" i="21"/>
  <c r="AV159" i="21"/>
  <c r="AW159" i="21"/>
  <c r="AX159" i="21"/>
  <c r="AY159" i="21"/>
  <c r="AZ159" i="21"/>
  <c r="BA159" i="21"/>
  <c r="AU160" i="21"/>
  <c r="AV160" i="21"/>
  <c r="AW160" i="21"/>
  <c r="AX160" i="21"/>
  <c r="AY160" i="21"/>
  <c r="AZ160" i="21"/>
  <c r="BA160" i="21"/>
  <c r="AU161" i="21"/>
  <c r="AV161" i="21"/>
  <c r="AW161" i="21"/>
  <c r="AX161" i="21"/>
  <c r="AY161" i="21"/>
  <c r="AZ161" i="21"/>
  <c r="BA161" i="21"/>
  <c r="AU162" i="21"/>
  <c r="AV162" i="21"/>
  <c r="AW162" i="21"/>
  <c r="AX162" i="21"/>
  <c r="AY162" i="21"/>
  <c r="AZ162" i="21"/>
  <c r="BA162" i="21"/>
  <c r="AU163" i="21"/>
  <c r="AV163" i="21"/>
  <c r="AW163" i="21"/>
  <c r="AX163" i="21"/>
  <c r="AY163" i="21"/>
  <c r="AZ163" i="21"/>
  <c r="BA163" i="21"/>
  <c r="AU164" i="21"/>
  <c r="AV164" i="21"/>
  <c r="AW164" i="21"/>
  <c r="AX164" i="21"/>
  <c r="AY164" i="21"/>
  <c r="AZ164" i="21"/>
  <c r="BA164" i="21"/>
  <c r="AU165" i="21"/>
  <c r="AV165" i="21"/>
  <c r="AW165" i="21"/>
  <c r="AX165" i="21"/>
  <c r="AY165" i="21"/>
  <c r="AZ165" i="21"/>
  <c r="BA165" i="21"/>
  <c r="AU166" i="21"/>
  <c r="AV166" i="21"/>
  <c r="AW166" i="21"/>
  <c r="AX166" i="21"/>
  <c r="AY166" i="21"/>
  <c r="AZ166" i="21"/>
  <c r="BA166" i="21"/>
  <c r="AU167" i="21"/>
  <c r="AV167" i="21"/>
  <c r="AW167" i="21"/>
  <c r="AX167" i="21"/>
  <c r="AY167" i="21"/>
  <c r="AZ167" i="21"/>
  <c r="BA167" i="21"/>
  <c r="AU168" i="21"/>
  <c r="AV168" i="21"/>
  <c r="AW168" i="21"/>
  <c r="AX168" i="21"/>
  <c r="AY168" i="21"/>
  <c r="AZ168" i="21"/>
  <c r="BA168" i="21"/>
  <c r="AU169" i="21"/>
  <c r="AV169" i="21"/>
  <c r="AW169" i="21"/>
  <c r="AX169" i="21"/>
  <c r="AY169" i="21"/>
  <c r="AZ169" i="21"/>
  <c r="BA169" i="21"/>
  <c r="AU170" i="21"/>
  <c r="AV170" i="21"/>
  <c r="AW170" i="21"/>
  <c r="AX170" i="21"/>
  <c r="AY170" i="21"/>
  <c r="AZ170" i="21"/>
  <c r="BA170" i="21"/>
  <c r="AU171" i="21"/>
  <c r="AV171" i="21"/>
  <c r="AW171" i="21"/>
  <c r="AX171" i="21"/>
  <c r="AY171" i="21"/>
  <c r="AZ171" i="21"/>
  <c r="BA171" i="21"/>
  <c r="AV172" i="21"/>
  <c r="AW172" i="21"/>
  <c r="AX172" i="21"/>
  <c r="AY172" i="21"/>
  <c r="AZ172" i="21"/>
  <c r="BA172" i="21"/>
  <c r="AV158" i="21"/>
  <c r="AW158" i="21"/>
  <c r="AX158" i="21"/>
  <c r="AY158" i="21"/>
  <c r="AZ158" i="21"/>
  <c r="BA158" i="21"/>
  <c r="AU158" i="21"/>
  <c r="AU153" i="21"/>
  <c r="AU140" i="21"/>
  <c r="AV140" i="21"/>
  <c r="AW140" i="21"/>
  <c r="AX140" i="21"/>
  <c r="AY140" i="21"/>
  <c r="AZ140" i="21"/>
  <c r="BA140" i="21"/>
  <c r="AU141" i="21"/>
  <c r="AV141" i="21"/>
  <c r="AW141" i="21"/>
  <c r="AX141" i="21"/>
  <c r="AY141" i="21"/>
  <c r="AZ141" i="21"/>
  <c r="BA141" i="21"/>
  <c r="AU142" i="21"/>
  <c r="AV142" i="21"/>
  <c r="AW142" i="21"/>
  <c r="AX142" i="21"/>
  <c r="AY142" i="21"/>
  <c r="AZ142" i="21"/>
  <c r="BA142" i="21"/>
  <c r="AU143" i="21"/>
  <c r="AV143" i="21"/>
  <c r="AW143" i="21"/>
  <c r="AX143" i="21"/>
  <c r="AY143" i="21"/>
  <c r="AZ143" i="21"/>
  <c r="BA143" i="21"/>
  <c r="AU144" i="21"/>
  <c r="AV144" i="21"/>
  <c r="AW144" i="21"/>
  <c r="AX144" i="21"/>
  <c r="AY144" i="21"/>
  <c r="AZ144" i="21"/>
  <c r="BA144" i="21"/>
  <c r="AU145" i="21"/>
  <c r="AV145" i="21"/>
  <c r="AW145" i="21"/>
  <c r="AX145" i="21"/>
  <c r="AY145" i="21"/>
  <c r="AZ145" i="21"/>
  <c r="BA145" i="21"/>
  <c r="AU146" i="21"/>
  <c r="AV146" i="21"/>
  <c r="AW146" i="21"/>
  <c r="AX146" i="21"/>
  <c r="AY146" i="21"/>
  <c r="AZ146" i="21"/>
  <c r="BA146" i="21"/>
  <c r="AU147" i="21"/>
  <c r="AV147" i="21"/>
  <c r="AW147" i="21"/>
  <c r="AX147" i="21"/>
  <c r="AY147" i="21"/>
  <c r="AZ147" i="21"/>
  <c r="BA147" i="21"/>
  <c r="AU148" i="21"/>
  <c r="AV148" i="21"/>
  <c r="AW148" i="21"/>
  <c r="AX148" i="21"/>
  <c r="AY148" i="21"/>
  <c r="AZ148" i="21"/>
  <c r="BA148" i="21"/>
  <c r="AU149" i="21"/>
  <c r="AV149" i="21"/>
  <c r="AW149" i="21"/>
  <c r="AX149" i="21"/>
  <c r="AY149" i="21"/>
  <c r="AZ149" i="21"/>
  <c r="BA149" i="21"/>
  <c r="AU150" i="21"/>
  <c r="AV150" i="21"/>
  <c r="AW150" i="21"/>
  <c r="AX150" i="21"/>
  <c r="AY150" i="21"/>
  <c r="AZ150" i="21"/>
  <c r="BA150" i="21"/>
  <c r="AU151" i="21"/>
  <c r="AV151" i="21"/>
  <c r="AW151" i="21"/>
  <c r="AX151" i="21"/>
  <c r="AY151" i="21"/>
  <c r="AZ151" i="21"/>
  <c r="BA151" i="21"/>
  <c r="AU152" i="21"/>
  <c r="AV152" i="21"/>
  <c r="AW152" i="21"/>
  <c r="AX152" i="21"/>
  <c r="AY152" i="21"/>
  <c r="AZ152" i="21"/>
  <c r="BA152" i="21"/>
  <c r="AV153" i="21"/>
  <c r="AW153" i="21"/>
  <c r="AX153" i="21"/>
  <c r="AY153" i="21"/>
  <c r="AZ153" i="21"/>
  <c r="BA153" i="21"/>
  <c r="AV139" i="21"/>
  <c r="AW139" i="21"/>
  <c r="AX139" i="21"/>
  <c r="AY139" i="21"/>
  <c r="AZ139" i="21"/>
  <c r="BA139" i="21"/>
  <c r="AU139" i="21"/>
  <c r="AU134" i="21"/>
  <c r="AU121" i="21"/>
  <c r="AV121" i="21"/>
  <c r="AW121" i="21"/>
  <c r="AX121" i="21"/>
  <c r="AY121" i="21"/>
  <c r="AZ121" i="21"/>
  <c r="BA121" i="21"/>
  <c r="AU122" i="21"/>
  <c r="AV122" i="21"/>
  <c r="AW122" i="21"/>
  <c r="AX122" i="21"/>
  <c r="AY122" i="21"/>
  <c r="AZ122" i="21"/>
  <c r="BA122" i="21"/>
  <c r="AU123" i="21"/>
  <c r="AV123" i="21"/>
  <c r="AW123" i="21"/>
  <c r="AX123" i="21"/>
  <c r="AY123" i="21"/>
  <c r="AZ123" i="21"/>
  <c r="BA123" i="21"/>
  <c r="AU124" i="21"/>
  <c r="AV124" i="21"/>
  <c r="AW124" i="21"/>
  <c r="AX124" i="21"/>
  <c r="AY124" i="21"/>
  <c r="AZ124" i="21"/>
  <c r="BA124" i="21"/>
  <c r="AU125" i="21"/>
  <c r="AV125" i="21"/>
  <c r="AW125" i="21"/>
  <c r="AX125" i="21"/>
  <c r="AY125" i="21"/>
  <c r="AZ125" i="21"/>
  <c r="BA125" i="21"/>
  <c r="AU126" i="21"/>
  <c r="AV126" i="21"/>
  <c r="AW126" i="21"/>
  <c r="AX126" i="21"/>
  <c r="AY126" i="21"/>
  <c r="AZ126" i="21"/>
  <c r="BA126" i="21"/>
  <c r="AU127" i="21"/>
  <c r="AV127" i="21"/>
  <c r="AW127" i="21"/>
  <c r="AX127" i="21"/>
  <c r="AY127" i="21"/>
  <c r="AZ127" i="21"/>
  <c r="BA127" i="21"/>
  <c r="AU128" i="21"/>
  <c r="AV128" i="21"/>
  <c r="AW128" i="21"/>
  <c r="AX128" i="21"/>
  <c r="AY128" i="21"/>
  <c r="AZ128" i="21"/>
  <c r="BA128" i="21"/>
  <c r="AU129" i="21"/>
  <c r="AV129" i="21"/>
  <c r="AW129" i="21"/>
  <c r="AX129" i="21"/>
  <c r="AY129" i="21"/>
  <c r="AZ129" i="21"/>
  <c r="BA129" i="21"/>
  <c r="AU130" i="21"/>
  <c r="AV130" i="21"/>
  <c r="AW130" i="21"/>
  <c r="AX130" i="21"/>
  <c r="AY130" i="21"/>
  <c r="AZ130" i="21"/>
  <c r="BA130" i="21"/>
  <c r="AU131" i="21"/>
  <c r="AV131" i="21"/>
  <c r="AW131" i="21"/>
  <c r="AX131" i="21"/>
  <c r="AY131" i="21"/>
  <c r="AZ131" i="21"/>
  <c r="BA131" i="21"/>
  <c r="AU132" i="21"/>
  <c r="AV132" i="21"/>
  <c r="AW132" i="21"/>
  <c r="AX132" i="21"/>
  <c r="AY132" i="21"/>
  <c r="AZ132" i="21"/>
  <c r="BA132" i="21"/>
  <c r="AU133" i="21"/>
  <c r="AV133" i="21"/>
  <c r="AW133" i="21"/>
  <c r="AX133" i="21"/>
  <c r="AY133" i="21"/>
  <c r="AZ133" i="21"/>
  <c r="BA133" i="21"/>
  <c r="AV134" i="21"/>
  <c r="AW134" i="21"/>
  <c r="AX134" i="21"/>
  <c r="AY134" i="21"/>
  <c r="AZ134" i="21"/>
  <c r="BA134" i="21"/>
  <c r="AV120" i="21"/>
  <c r="AW120" i="21"/>
  <c r="AX120" i="21"/>
  <c r="AY120" i="21"/>
  <c r="AZ120" i="21"/>
  <c r="BA120" i="21"/>
  <c r="AU120" i="21"/>
  <c r="AU115" i="21"/>
  <c r="AU102" i="21"/>
  <c r="AV102" i="21"/>
  <c r="AW102" i="21"/>
  <c r="AX102" i="21"/>
  <c r="AY102" i="21"/>
  <c r="AZ102" i="21"/>
  <c r="BA102" i="21"/>
  <c r="AU103" i="21"/>
  <c r="AV103" i="21"/>
  <c r="AW103" i="21"/>
  <c r="AX103" i="21"/>
  <c r="AY103" i="21"/>
  <c r="AZ103" i="21"/>
  <c r="BA103" i="21"/>
  <c r="AU104" i="21"/>
  <c r="AV104" i="21"/>
  <c r="AW104" i="21"/>
  <c r="AX104" i="21"/>
  <c r="AY104" i="21"/>
  <c r="AZ104" i="21"/>
  <c r="BA104" i="21"/>
  <c r="AU105" i="21"/>
  <c r="AV105" i="21"/>
  <c r="AW105" i="21"/>
  <c r="AX105" i="21"/>
  <c r="AY105" i="21"/>
  <c r="AZ105" i="21"/>
  <c r="BA105" i="21"/>
  <c r="AU106" i="21"/>
  <c r="AV106" i="21"/>
  <c r="AW106" i="21"/>
  <c r="AX106" i="21"/>
  <c r="AY106" i="21"/>
  <c r="AZ106" i="21"/>
  <c r="BA106" i="21"/>
  <c r="AU107" i="21"/>
  <c r="AV107" i="21"/>
  <c r="AW107" i="21"/>
  <c r="AX107" i="21"/>
  <c r="AY107" i="21"/>
  <c r="AZ107" i="21"/>
  <c r="BA107" i="21"/>
  <c r="AU108" i="21"/>
  <c r="AV108" i="21"/>
  <c r="AW108" i="21"/>
  <c r="AX108" i="21"/>
  <c r="AY108" i="21"/>
  <c r="AZ108" i="21"/>
  <c r="BA108" i="21"/>
  <c r="AU109" i="21"/>
  <c r="AV109" i="21"/>
  <c r="AW109" i="21"/>
  <c r="AX109" i="21"/>
  <c r="AY109" i="21"/>
  <c r="AZ109" i="21"/>
  <c r="BA109" i="21"/>
  <c r="AU110" i="21"/>
  <c r="AV110" i="21"/>
  <c r="AW110" i="21"/>
  <c r="AX110" i="21"/>
  <c r="AY110" i="21"/>
  <c r="AZ110" i="21"/>
  <c r="BA110" i="21"/>
  <c r="AU111" i="21"/>
  <c r="AV111" i="21"/>
  <c r="AW111" i="21"/>
  <c r="AX111" i="21"/>
  <c r="AY111" i="21"/>
  <c r="AZ111" i="21"/>
  <c r="BA111" i="21"/>
  <c r="AU112" i="21"/>
  <c r="AV112" i="21"/>
  <c r="AW112" i="21"/>
  <c r="AX112" i="21"/>
  <c r="AY112" i="21"/>
  <c r="AZ112" i="21"/>
  <c r="BA112" i="21"/>
  <c r="AU113" i="21"/>
  <c r="AV113" i="21"/>
  <c r="AW113" i="21"/>
  <c r="AX113" i="21"/>
  <c r="AY113" i="21"/>
  <c r="AZ113" i="21"/>
  <c r="BA113" i="21"/>
  <c r="AU114" i="21"/>
  <c r="AV114" i="21"/>
  <c r="AW114" i="21"/>
  <c r="AX114" i="21"/>
  <c r="AY114" i="21"/>
  <c r="AZ114" i="21"/>
  <c r="BA114" i="21"/>
  <c r="AV115" i="21"/>
  <c r="AW115" i="21"/>
  <c r="AX115" i="21"/>
  <c r="AY115" i="21"/>
  <c r="AZ115" i="21"/>
  <c r="BA115" i="21"/>
  <c r="AV101" i="21"/>
  <c r="AW101" i="21"/>
  <c r="AX101" i="21"/>
  <c r="AY101" i="21"/>
  <c r="AZ101" i="21"/>
  <c r="BA101" i="21"/>
  <c r="AU101" i="21"/>
  <c r="AU96" i="21"/>
  <c r="AU83" i="21"/>
  <c r="AV83" i="21"/>
  <c r="AW83" i="21"/>
  <c r="AX83" i="21"/>
  <c r="AY83" i="21"/>
  <c r="AZ83" i="21"/>
  <c r="BA83" i="21"/>
  <c r="AU84" i="21"/>
  <c r="AV84" i="21"/>
  <c r="AW84" i="21"/>
  <c r="AX84" i="21"/>
  <c r="AY84" i="21"/>
  <c r="AZ84" i="21"/>
  <c r="BA84" i="21"/>
  <c r="AU85" i="21"/>
  <c r="AV85" i="21"/>
  <c r="AW85" i="21"/>
  <c r="AX85" i="21"/>
  <c r="AY85" i="21"/>
  <c r="AZ85" i="21"/>
  <c r="BA85" i="21"/>
  <c r="AU86" i="21"/>
  <c r="AV86" i="21"/>
  <c r="AW86" i="21"/>
  <c r="AX86" i="21"/>
  <c r="AY86" i="21"/>
  <c r="AZ86" i="21"/>
  <c r="BA86" i="21"/>
  <c r="AU87" i="21"/>
  <c r="AV87" i="21"/>
  <c r="AW87" i="21"/>
  <c r="AX87" i="21"/>
  <c r="AY87" i="21"/>
  <c r="AZ87" i="21"/>
  <c r="BA87" i="21"/>
  <c r="AU88" i="21"/>
  <c r="AV88" i="21"/>
  <c r="AW88" i="21"/>
  <c r="AX88" i="21"/>
  <c r="AY88" i="21"/>
  <c r="AZ88" i="21"/>
  <c r="BA88" i="21"/>
  <c r="AU89" i="21"/>
  <c r="AV89" i="21"/>
  <c r="AW89" i="21"/>
  <c r="AX89" i="21"/>
  <c r="AY89" i="21"/>
  <c r="AZ89" i="21"/>
  <c r="BA89" i="21"/>
  <c r="AU90" i="21"/>
  <c r="AV90" i="21"/>
  <c r="AW90" i="21"/>
  <c r="AX90" i="21"/>
  <c r="AY90" i="21"/>
  <c r="AZ90" i="21"/>
  <c r="BA90" i="21"/>
  <c r="AU91" i="21"/>
  <c r="AV91" i="21"/>
  <c r="AW91" i="21"/>
  <c r="AX91" i="21"/>
  <c r="AY91" i="21"/>
  <c r="AZ91" i="21"/>
  <c r="BA91" i="21"/>
  <c r="AU92" i="21"/>
  <c r="AV92" i="21"/>
  <c r="AW92" i="21"/>
  <c r="AX92" i="21"/>
  <c r="AY92" i="21"/>
  <c r="AZ92" i="21"/>
  <c r="BA92" i="21"/>
  <c r="AU93" i="21"/>
  <c r="AV93" i="21"/>
  <c r="AW93" i="21"/>
  <c r="AX93" i="21"/>
  <c r="AY93" i="21"/>
  <c r="AZ93" i="21"/>
  <c r="BA93" i="21"/>
  <c r="AU94" i="21"/>
  <c r="AV94" i="21"/>
  <c r="AW94" i="21"/>
  <c r="AX94" i="21"/>
  <c r="AY94" i="21"/>
  <c r="AZ94" i="21"/>
  <c r="BA94" i="21"/>
  <c r="AU95" i="21"/>
  <c r="AV95" i="21"/>
  <c r="AW95" i="21"/>
  <c r="AX95" i="21"/>
  <c r="AY95" i="21"/>
  <c r="AZ95" i="21"/>
  <c r="BA95" i="21"/>
  <c r="AV96" i="21"/>
  <c r="AW96" i="21"/>
  <c r="AX96" i="21"/>
  <c r="AY96" i="21"/>
  <c r="AZ96" i="21"/>
  <c r="BA96" i="21"/>
  <c r="AV82" i="21"/>
  <c r="AW82" i="21"/>
  <c r="AX82" i="21"/>
  <c r="AY82" i="21"/>
  <c r="AZ82" i="21"/>
  <c r="BA82" i="21"/>
  <c r="AU82" i="21"/>
  <c r="AU77" i="21"/>
  <c r="AU64" i="21"/>
  <c r="AV64" i="21"/>
  <c r="AW64" i="21"/>
  <c r="AX64" i="21"/>
  <c r="AY64" i="21"/>
  <c r="AZ64" i="21"/>
  <c r="BA64" i="21"/>
  <c r="AU65" i="21"/>
  <c r="AV65" i="21"/>
  <c r="AW65" i="21"/>
  <c r="AX65" i="21"/>
  <c r="AY65" i="21"/>
  <c r="AZ65" i="21"/>
  <c r="BA65" i="21"/>
  <c r="AU66" i="21"/>
  <c r="AV66" i="21"/>
  <c r="AW66" i="21"/>
  <c r="AX66" i="21"/>
  <c r="AY66" i="21"/>
  <c r="AZ66" i="21"/>
  <c r="BA66" i="21"/>
  <c r="AU67" i="21"/>
  <c r="AV67" i="21"/>
  <c r="AW67" i="21"/>
  <c r="AX67" i="21"/>
  <c r="AY67" i="21"/>
  <c r="AZ67" i="21"/>
  <c r="BA67" i="21"/>
  <c r="AU68" i="21"/>
  <c r="AV68" i="21"/>
  <c r="AW68" i="21"/>
  <c r="AX68" i="21"/>
  <c r="AY68" i="21"/>
  <c r="AZ68" i="21"/>
  <c r="BA68" i="21"/>
  <c r="AU69" i="21"/>
  <c r="AV69" i="21"/>
  <c r="AW69" i="21"/>
  <c r="AX69" i="21"/>
  <c r="AY69" i="21"/>
  <c r="AZ69" i="21"/>
  <c r="BA69" i="21"/>
  <c r="AU70" i="21"/>
  <c r="AV70" i="21"/>
  <c r="AW70" i="21"/>
  <c r="AX70" i="21"/>
  <c r="AY70" i="21"/>
  <c r="AZ70" i="21"/>
  <c r="BA70" i="21"/>
  <c r="AU71" i="21"/>
  <c r="AV71" i="21"/>
  <c r="AW71" i="21"/>
  <c r="AX71" i="21"/>
  <c r="AY71" i="21"/>
  <c r="AZ71" i="21"/>
  <c r="BA71" i="21"/>
  <c r="AU72" i="21"/>
  <c r="AV72" i="21"/>
  <c r="AW72" i="21"/>
  <c r="AX72" i="21"/>
  <c r="AY72" i="21"/>
  <c r="AZ72" i="21"/>
  <c r="BA72" i="21"/>
  <c r="AU73" i="21"/>
  <c r="AV73" i="21"/>
  <c r="AW73" i="21"/>
  <c r="AX73" i="21"/>
  <c r="AY73" i="21"/>
  <c r="AZ73" i="21"/>
  <c r="BA73" i="21"/>
  <c r="AU74" i="21"/>
  <c r="AV74" i="21"/>
  <c r="AW74" i="21"/>
  <c r="AX74" i="21"/>
  <c r="AY74" i="21"/>
  <c r="AZ74" i="21"/>
  <c r="BA74" i="21"/>
  <c r="AU75" i="21"/>
  <c r="AV75" i="21"/>
  <c r="AW75" i="21"/>
  <c r="AX75" i="21"/>
  <c r="AY75" i="21"/>
  <c r="AZ75" i="21"/>
  <c r="BA75" i="21"/>
  <c r="AU76" i="21"/>
  <c r="AV76" i="21"/>
  <c r="AW76" i="21"/>
  <c r="AX76" i="21"/>
  <c r="AY76" i="21"/>
  <c r="AZ76" i="21"/>
  <c r="BA76" i="21"/>
  <c r="AV77" i="21"/>
  <c r="AW77" i="21"/>
  <c r="AX77" i="21"/>
  <c r="AY77" i="21"/>
  <c r="AZ77" i="21"/>
  <c r="BA77" i="21"/>
  <c r="AV63" i="21"/>
  <c r="AW63" i="21"/>
  <c r="AX63" i="21"/>
  <c r="AY63" i="21"/>
  <c r="AZ63" i="21"/>
  <c r="BA63" i="21"/>
  <c r="AU63" i="21"/>
  <c r="AU58" i="21"/>
  <c r="AU45" i="21"/>
  <c r="AV45" i="21"/>
  <c r="AW45" i="21"/>
  <c r="AX45" i="21"/>
  <c r="AY45" i="21"/>
  <c r="AZ45" i="21"/>
  <c r="BA45" i="21"/>
  <c r="AU46" i="21"/>
  <c r="AV46" i="21"/>
  <c r="AW46" i="21"/>
  <c r="AX46" i="21"/>
  <c r="AY46" i="21"/>
  <c r="AZ46" i="21"/>
  <c r="BA46" i="21"/>
  <c r="AU47" i="21"/>
  <c r="AV47" i="21"/>
  <c r="AW47" i="21"/>
  <c r="AX47" i="21"/>
  <c r="AY47" i="21"/>
  <c r="AZ47" i="21"/>
  <c r="BA47" i="21"/>
  <c r="AU48" i="21"/>
  <c r="AV48" i="21"/>
  <c r="AW48" i="21"/>
  <c r="AX48" i="21"/>
  <c r="AY48" i="21"/>
  <c r="AZ48" i="21"/>
  <c r="BA48" i="21"/>
  <c r="AU49" i="21"/>
  <c r="AV49" i="21"/>
  <c r="AW49" i="21"/>
  <c r="AX49" i="21"/>
  <c r="AY49" i="21"/>
  <c r="AZ49" i="21"/>
  <c r="BA49" i="21"/>
  <c r="AU50" i="21"/>
  <c r="AV50" i="21"/>
  <c r="AW50" i="21"/>
  <c r="AX50" i="21"/>
  <c r="AY50" i="21"/>
  <c r="AZ50" i="21"/>
  <c r="BA50" i="21"/>
  <c r="AU51" i="21"/>
  <c r="AV51" i="21"/>
  <c r="AW51" i="21"/>
  <c r="AX51" i="21"/>
  <c r="AY51" i="21"/>
  <c r="AZ51" i="21"/>
  <c r="BA51" i="21"/>
  <c r="AU52" i="21"/>
  <c r="AV52" i="21"/>
  <c r="AW52" i="21"/>
  <c r="AX52" i="21"/>
  <c r="AY52" i="21"/>
  <c r="AZ52" i="21"/>
  <c r="BA52" i="21"/>
  <c r="AU53" i="21"/>
  <c r="AV53" i="21"/>
  <c r="AW53" i="21"/>
  <c r="AX53" i="21"/>
  <c r="AY53" i="21"/>
  <c r="AZ53" i="21"/>
  <c r="BA53" i="21"/>
  <c r="AU54" i="21"/>
  <c r="AV54" i="21"/>
  <c r="AW54" i="21"/>
  <c r="AX54" i="21"/>
  <c r="AY54" i="21"/>
  <c r="AZ54" i="21"/>
  <c r="BA54" i="21"/>
  <c r="AU55" i="21"/>
  <c r="AV55" i="21"/>
  <c r="AW55" i="21"/>
  <c r="AX55" i="21"/>
  <c r="AY55" i="21"/>
  <c r="AZ55" i="21"/>
  <c r="BA55" i="21"/>
  <c r="AU56" i="21"/>
  <c r="AV56" i="21"/>
  <c r="AW56" i="21"/>
  <c r="AX56" i="21"/>
  <c r="AY56" i="21"/>
  <c r="AZ56" i="21"/>
  <c r="BA56" i="21"/>
  <c r="AU57" i="21"/>
  <c r="AV57" i="21"/>
  <c r="AW57" i="21"/>
  <c r="AX57" i="21"/>
  <c r="AY57" i="21"/>
  <c r="AZ57" i="21"/>
  <c r="BA57" i="21"/>
  <c r="AV58" i="21"/>
  <c r="AW58" i="21"/>
  <c r="AX58" i="21"/>
  <c r="AY58" i="21"/>
  <c r="AZ58" i="21"/>
  <c r="BA58" i="21"/>
  <c r="AV44" i="21"/>
  <c r="AW44" i="21"/>
  <c r="AX44" i="21"/>
  <c r="AY44" i="21"/>
  <c r="AZ44" i="21"/>
  <c r="BA44" i="21"/>
  <c r="AU44" i="21"/>
  <c r="AU39" i="21"/>
  <c r="AU26" i="21"/>
  <c r="AV26" i="21"/>
  <c r="AW26" i="21"/>
  <c r="AX26" i="21"/>
  <c r="AY26" i="21"/>
  <c r="AZ26" i="21"/>
  <c r="BA26" i="21"/>
  <c r="AU27" i="21"/>
  <c r="AV27" i="21"/>
  <c r="AW27" i="21"/>
  <c r="AX27" i="21"/>
  <c r="AY27" i="21"/>
  <c r="AZ27" i="21"/>
  <c r="BA27" i="21"/>
  <c r="AU28" i="21"/>
  <c r="AV28" i="21"/>
  <c r="AW28" i="21"/>
  <c r="AX28" i="21"/>
  <c r="AY28" i="21"/>
  <c r="AZ28" i="21"/>
  <c r="BA28" i="21"/>
  <c r="AU29" i="21"/>
  <c r="AV29" i="21"/>
  <c r="AW29" i="21"/>
  <c r="AX29" i="21"/>
  <c r="AY29" i="21"/>
  <c r="AZ29" i="21"/>
  <c r="BA29" i="21"/>
  <c r="AU30" i="21"/>
  <c r="AV30" i="21"/>
  <c r="AW30" i="21"/>
  <c r="AX30" i="21"/>
  <c r="AY30" i="21"/>
  <c r="AZ30" i="21"/>
  <c r="BA30" i="21"/>
  <c r="AU31" i="21"/>
  <c r="AV31" i="21"/>
  <c r="AW31" i="21"/>
  <c r="AX31" i="21"/>
  <c r="AY31" i="21"/>
  <c r="AZ31" i="21"/>
  <c r="BA31" i="21"/>
  <c r="AU32" i="21"/>
  <c r="AV32" i="21"/>
  <c r="AW32" i="21"/>
  <c r="AX32" i="21"/>
  <c r="AY32" i="21"/>
  <c r="AZ32" i="21"/>
  <c r="BA32" i="21"/>
  <c r="AU33" i="21"/>
  <c r="AV33" i="21"/>
  <c r="AW33" i="21"/>
  <c r="AX33" i="21"/>
  <c r="AY33" i="21"/>
  <c r="AZ33" i="21"/>
  <c r="BA33" i="21"/>
  <c r="AU34" i="21"/>
  <c r="AV34" i="21"/>
  <c r="AW34" i="21"/>
  <c r="AX34" i="21"/>
  <c r="AY34" i="21"/>
  <c r="AZ34" i="21"/>
  <c r="BA34" i="21"/>
  <c r="AU35" i="21"/>
  <c r="AV35" i="21"/>
  <c r="AW35" i="21"/>
  <c r="AX35" i="21"/>
  <c r="AY35" i="21"/>
  <c r="AZ35" i="21"/>
  <c r="BA35" i="21"/>
  <c r="AU36" i="21"/>
  <c r="AV36" i="21"/>
  <c r="AW36" i="21"/>
  <c r="AX36" i="21"/>
  <c r="AY36" i="21"/>
  <c r="AZ36" i="21"/>
  <c r="BA36" i="21"/>
  <c r="AU37" i="21"/>
  <c r="AV37" i="21"/>
  <c r="AW37" i="21"/>
  <c r="AX37" i="21"/>
  <c r="AY37" i="21"/>
  <c r="AZ37" i="21"/>
  <c r="BA37" i="21"/>
  <c r="AU38" i="21"/>
  <c r="AV38" i="21"/>
  <c r="AW38" i="21"/>
  <c r="AX38" i="21"/>
  <c r="AY38" i="21"/>
  <c r="AZ38" i="21"/>
  <c r="BA38" i="21"/>
  <c r="AV39" i="21"/>
  <c r="AW39" i="21"/>
  <c r="AX39" i="21"/>
  <c r="AY39" i="21"/>
  <c r="AZ39" i="21"/>
  <c r="BA39" i="21"/>
  <c r="AV25" i="21"/>
  <c r="AW25" i="21"/>
  <c r="AX25" i="21"/>
  <c r="AY25" i="21"/>
  <c r="AZ25" i="21"/>
  <c r="BA25" i="21"/>
  <c r="AU25" i="21"/>
  <c r="AU20" i="21"/>
  <c r="AU7" i="21"/>
  <c r="AV7" i="21"/>
  <c r="AW7" i="21"/>
  <c r="AX7" i="21"/>
  <c r="AY7" i="21"/>
  <c r="AZ7" i="21"/>
  <c r="BA7" i="21"/>
  <c r="AU8" i="21"/>
  <c r="AV8" i="21"/>
  <c r="AW8" i="21"/>
  <c r="AX8" i="21"/>
  <c r="AY8" i="21"/>
  <c r="AZ8" i="21"/>
  <c r="BA8" i="21"/>
  <c r="AU9" i="21"/>
  <c r="AV9" i="21"/>
  <c r="AW9" i="21"/>
  <c r="AX9" i="21"/>
  <c r="AY9" i="21"/>
  <c r="AZ9" i="21"/>
  <c r="BA9" i="21"/>
  <c r="AU10" i="21"/>
  <c r="AV10" i="21"/>
  <c r="AW10" i="21"/>
  <c r="AX10" i="21"/>
  <c r="AY10" i="21"/>
  <c r="AZ10" i="21"/>
  <c r="BA10" i="21"/>
  <c r="AU11" i="21"/>
  <c r="AV11" i="21"/>
  <c r="AW11" i="21"/>
  <c r="AX11" i="21"/>
  <c r="AY11" i="21"/>
  <c r="AZ11" i="21"/>
  <c r="BA11" i="21"/>
  <c r="AU12" i="21"/>
  <c r="AV12" i="21"/>
  <c r="AW12" i="21"/>
  <c r="AX12" i="21"/>
  <c r="AY12" i="21"/>
  <c r="AZ12" i="21"/>
  <c r="BA12" i="21"/>
  <c r="AU13" i="21"/>
  <c r="AV13" i="21"/>
  <c r="AW13" i="21"/>
  <c r="AX13" i="21"/>
  <c r="AY13" i="21"/>
  <c r="AZ13" i="21"/>
  <c r="BA13" i="21"/>
  <c r="AU14" i="21"/>
  <c r="AV14" i="21"/>
  <c r="AW14" i="21"/>
  <c r="AX14" i="21"/>
  <c r="AY14" i="21"/>
  <c r="AZ14" i="21"/>
  <c r="BA14" i="21"/>
  <c r="AU15" i="21"/>
  <c r="AV15" i="21"/>
  <c r="AW15" i="21"/>
  <c r="AX15" i="21"/>
  <c r="AY15" i="21"/>
  <c r="AZ15" i="21"/>
  <c r="BA15" i="21"/>
  <c r="AU16" i="21"/>
  <c r="AV16" i="21"/>
  <c r="AW16" i="21"/>
  <c r="AX16" i="21"/>
  <c r="AY16" i="21"/>
  <c r="AZ16" i="21"/>
  <c r="BA16" i="21"/>
  <c r="AU17" i="21"/>
  <c r="AV17" i="21"/>
  <c r="AW17" i="21"/>
  <c r="AX17" i="21"/>
  <c r="AY17" i="21"/>
  <c r="AZ17" i="21"/>
  <c r="BA17" i="21"/>
  <c r="AU18" i="21"/>
  <c r="AV18" i="21"/>
  <c r="AW18" i="21"/>
  <c r="AX18" i="21"/>
  <c r="AY18" i="21"/>
  <c r="AZ18" i="21"/>
  <c r="BA18" i="21"/>
  <c r="AU19" i="21"/>
  <c r="AV19" i="21"/>
  <c r="AW19" i="21"/>
  <c r="AX19" i="21"/>
  <c r="AY19" i="21"/>
  <c r="AZ19" i="21"/>
  <c r="BA19" i="21"/>
  <c r="AV20" i="21"/>
  <c r="AW20" i="21"/>
  <c r="AX20" i="21"/>
  <c r="AY20" i="21"/>
  <c r="AZ20" i="21"/>
  <c r="BA20" i="21"/>
  <c r="AV6" i="21"/>
  <c r="AW6" i="21"/>
  <c r="AX6" i="21"/>
  <c r="AY6" i="21"/>
  <c r="AZ6" i="21"/>
  <c r="BA6" i="21"/>
  <c r="AU6" i="21"/>
  <c r="AL305" i="21"/>
  <c r="AL292" i="21"/>
  <c r="AM292" i="21"/>
  <c r="AN292" i="21"/>
  <c r="AO292" i="21"/>
  <c r="AP292" i="21"/>
  <c r="AQ292" i="21"/>
  <c r="AR292" i="21"/>
  <c r="AL293" i="21"/>
  <c r="AM293" i="21"/>
  <c r="AN293" i="21"/>
  <c r="AO293" i="21"/>
  <c r="AP293" i="21"/>
  <c r="AQ293" i="21"/>
  <c r="AR293" i="21"/>
  <c r="AL294" i="21"/>
  <c r="AM294" i="21"/>
  <c r="AN294" i="21"/>
  <c r="AO294" i="21"/>
  <c r="AP294" i="21"/>
  <c r="AQ294" i="21"/>
  <c r="AR294" i="21"/>
  <c r="AL295" i="21"/>
  <c r="AM295" i="21"/>
  <c r="AN295" i="21"/>
  <c r="AO295" i="21"/>
  <c r="AP295" i="21"/>
  <c r="AQ295" i="21"/>
  <c r="AR295" i="21"/>
  <c r="AL296" i="21"/>
  <c r="AM296" i="21"/>
  <c r="AN296" i="21"/>
  <c r="AO296" i="21"/>
  <c r="AP296" i="21"/>
  <c r="AQ296" i="21"/>
  <c r="AR296" i="21"/>
  <c r="AL297" i="21"/>
  <c r="AM297" i="21"/>
  <c r="AN297" i="21"/>
  <c r="AO297" i="21"/>
  <c r="AP297" i="21"/>
  <c r="AQ297" i="21"/>
  <c r="AR297" i="21"/>
  <c r="AL298" i="21"/>
  <c r="AM298" i="21"/>
  <c r="AN298" i="21"/>
  <c r="AO298" i="21"/>
  <c r="AP298" i="21"/>
  <c r="AQ298" i="21"/>
  <c r="AR298" i="21"/>
  <c r="AL299" i="21"/>
  <c r="AM299" i="21"/>
  <c r="AN299" i="21"/>
  <c r="AO299" i="21"/>
  <c r="AP299" i="21"/>
  <c r="AQ299" i="21"/>
  <c r="AR299" i="21"/>
  <c r="AL300" i="21"/>
  <c r="AM300" i="21"/>
  <c r="AN300" i="21"/>
  <c r="AO300" i="21"/>
  <c r="AP300" i="21"/>
  <c r="AQ300" i="21"/>
  <c r="AR300" i="21"/>
  <c r="AL301" i="21"/>
  <c r="AM301" i="21"/>
  <c r="AN301" i="21"/>
  <c r="AO301" i="21"/>
  <c r="AP301" i="21"/>
  <c r="AQ301" i="21"/>
  <c r="AR301" i="21"/>
  <c r="AL302" i="21"/>
  <c r="AM302" i="21"/>
  <c r="AN302" i="21"/>
  <c r="AO302" i="21"/>
  <c r="AP302" i="21"/>
  <c r="AQ302" i="21"/>
  <c r="AR302" i="21"/>
  <c r="AL303" i="21"/>
  <c r="AM303" i="21"/>
  <c r="AN303" i="21"/>
  <c r="AO303" i="21"/>
  <c r="AP303" i="21"/>
  <c r="AQ303" i="21"/>
  <c r="AR303" i="21"/>
  <c r="AL304" i="21"/>
  <c r="AM304" i="21"/>
  <c r="AN304" i="21"/>
  <c r="AO304" i="21"/>
  <c r="AP304" i="21"/>
  <c r="AQ304" i="21"/>
  <c r="AR304" i="21"/>
  <c r="AM305" i="21"/>
  <c r="AN305" i="21"/>
  <c r="AO305" i="21"/>
  <c r="AP305" i="21"/>
  <c r="AQ305" i="21"/>
  <c r="AR305" i="21"/>
  <c r="AM291" i="21"/>
  <c r="AN291" i="21"/>
  <c r="AO291" i="21"/>
  <c r="AP291" i="21"/>
  <c r="AQ291" i="21"/>
  <c r="AR291" i="21"/>
  <c r="AL291" i="21"/>
  <c r="AL286" i="21"/>
  <c r="AL273" i="21"/>
  <c r="AM273" i="21"/>
  <c r="AN273" i="21"/>
  <c r="AO273" i="21"/>
  <c r="AP273" i="21"/>
  <c r="AQ273" i="21"/>
  <c r="AR273" i="21"/>
  <c r="AL274" i="21"/>
  <c r="AM274" i="21"/>
  <c r="AN274" i="21"/>
  <c r="AO274" i="21"/>
  <c r="AP274" i="21"/>
  <c r="AQ274" i="21"/>
  <c r="AR274" i="21"/>
  <c r="AL275" i="21"/>
  <c r="AM275" i="21"/>
  <c r="AN275" i="21"/>
  <c r="AO275" i="21"/>
  <c r="AP275" i="21"/>
  <c r="AQ275" i="21"/>
  <c r="AR275" i="21"/>
  <c r="AL276" i="21"/>
  <c r="AM276" i="21"/>
  <c r="AN276" i="21"/>
  <c r="AO276" i="21"/>
  <c r="AP276" i="21"/>
  <c r="AQ276" i="21"/>
  <c r="AR276" i="21"/>
  <c r="AL277" i="21"/>
  <c r="AM277" i="21"/>
  <c r="AN277" i="21"/>
  <c r="AO277" i="21"/>
  <c r="AP277" i="21"/>
  <c r="AQ277" i="21"/>
  <c r="AR277" i="21"/>
  <c r="AL278" i="21"/>
  <c r="AM278" i="21"/>
  <c r="AN278" i="21"/>
  <c r="AO278" i="21"/>
  <c r="AP278" i="21"/>
  <c r="AQ278" i="21"/>
  <c r="AR278" i="21"/>
  <c r="AL279" i="21"/>
  <c r="AM279" i="21"/>
  <c r="AN279" i="21"/>
  <c r="AO279" i="21"/>
  <c r="AP279" i="21"/>
  <c r="AQ279" i="21"/>
  <c r="AR279" i="21"/>
  <c r="AL280" i="21"/>
  <c r="AM280" i="21"/>
  <c r="AN280" i="21"/>
  <c r="AO280" i="21"/>
  <c r="AP280" i="21"/>
  <c r="AQ280" i="21"/>
  <c r="AR280" i="21"/>
  <c r="AL281" i="21"/>
  <c r="AM281" i="21"/>
  <c r="AN281" i="21"/>
  <c r="AO281" i="21"/>
  <c r="AP281" i="21"/>
  <c r="AQ281" i="21"/>
  <c r="AR281" i="21"/>
  <c r="AL282" i="21"/>
  <c r="AM282" i="21"/>
  <c r="AN282" i="21"/>
  <c r="AO282" i="21"/>
  <c r="AP282" i="21"/>
  <c r="AQ282" i="21"/>
  <c r="AR282" i="21"/>
  <c r="AL283" i="21"/>
  <c r="AM283" i="21"/>
  <c r="AN283" i="21"/>
  <c r="AO283" i="21"/>
  <c r="AP283" i="21"/>
  <c r="AQ283" i="21"/>
  <c r="AR283" i="21"/>
  <c r="AL284" i="21"/>
  <c r="AM284" i="21"/>
  <c r="AN284" i="21"/>
  <c r="AO284" i="21"/>
  <c r="AP284" i="21"/>
  <c r="AQ284" i="21"/>
  <c r="AR284" i="21"/>
  <c r="AL285" i="21"/>
  <c r="AM285" i="21"/>
  <c r="AN285" i="21"/>
  <c r="AO285" i="21"/>
  <c r="AP285" i="21"/>
  <c r="AQ285" i="21"/>
  <c r="AR285" i="21"/>
  <c r="AM286" i="21"/>
  <c r="AN286" i="21"/>
  <c r="AO286" i="21"/>
  <c r="AP286" i="21"/>
  <c r="AQ286" i="21"/>
  <c r="AR286" i="21"/>
  <c r="AM272" i="21"/>
  <c r="AN272" i="21"/>
  <c r="AO272" i="21"/>
  <c r="AP272" i="21"/>
  <c r="AQ272" i="21"/>
  <c r="AR272" i="21"/>
  <c r="AL272" i="21"/>
  <c r="AL267" i="21"/>
  <c r="AL254" i="21"/>
  <c r="AM254" i="21"/>
  <c r="AN254" i="21"/>
  <c r="AO254" i="21"/>
  <c r="AP254" i="21"/>
  <c r="AQ254" i="21"/>
  <c r="AR254" i="21"/>
  <c r="AL255" i="21"/>
  <c r="AM255" i="21"/>
  <c r="AN255" i="21"/>
  <c r="AO255" i="21"/>
  <c r="AP255" i="21"/>
  <c r="AQ255" i="21"/>
  <c r="AR255" i="21"/>
  <c r="AL256" i="21"/>
  <c r="AM256" i="21"/>
  <c r="AN256" i="21"/>
  <c r="AO256" i="21"/>
  <c r="AP256" i="21"/>
  <c r="AQ256" i="21"/>
  <c r="AR256" i="21"/>
  <c r="AL257" i="21"/>
  <c r="AM257" i="21"/>
  <c r="AN257" i="21"/>
  <c r="AO257" i="21"/>
  <c r="AP257" i="21"/>
  <c r="AQ257" i="21"/>
  <c r="AR257" i="21"/>
  <c r="AL258" i="21"/>
  <c r="AM258" i="21"/>
  <c r="AN258" i="21"/>
  <c r="AO258" i="21"/>
  <c r="AP258" i="21"/>
  <c r="AQ258" i="21"/>
  <c r="AR258" i="21"/>
  <c r="AL259" i="21"/>
  <c r="AM259" i="21"/>
  <c r="AN259" i="21"/>
  <c r="AO259" i="21"/>
  <c r="AP259" i="21"/>
  <c r="AQ259" i="21"/>
  <c r="AR259" i="21"/>
  <c r="AL260" i="21"/>
  <c r="AM260" i="21"/>
  <c r="AN260" i="21"/>
  <c r="AO260" i="21"/>
  <c r="AP260" i="21"/>
  <c r="AQ260" i="21"/>
  <c r="AR260" i="21"/>
  <c r="AL261" i="21"/>
  <c r="AM261" i="21"/>
  <c r="AN261" i="21"/>
  <c r="AO261" i="21"/>
  <c r="AP261" i="21"/>
  <c r="AQ261" i="21"/>
  <c r="AR261" i="21"/>
  <c r="AL262" i="21"/>
  <c r="AM262" i="21"/>
  <c r="AN262" i="21"/>
  <c r="AO262" i="21"/>
  <c r="AP262" i="21"/>
  <c r="AQ262" i="21"/>
  <c r="AR262" i="21"/>
  <c r="AL263" i="21"/>
  <c r="AM263" i="21"/>
  <c r="AN263" i="21"/>
  <c r="AO263" i="21"/>
  <c r="AP263" i="21"/>
  <c r="AQ263" i="21"/>
  <c r="AR263" i="21"/>
  <c r="AL264" i="21"/>
  <c r="AM264" i="21"/>
  <c r="AN264" i="21"/>
  <c r="AO264" i="21"/>
  <c r="AP264" i="21"/>
  <c r="AQ264" i="21"/>
  <c r="AR264" i="21"/>
  <c r="AL265" i="21"/>
  <c r="AM265" i="21"/>
  <c r="AN265" i="21"/>
  <c r="AO265" i="21"/>
  <c r="AP265" i="21"/>
  <c r="AQ265" i="21"/>
  <c r="AR265" i="21"/>
  <c r="AL266" i="21"/>
  <c r="AM266" i="21"/>
  <c r="AN266" i="21"/>
  <c r="AO266" i="21"/>
  <c r="AP266" i="21"/>
  <c r="AQ266" i="21"/>
  <c r="AR266" i="21"/>
  <c r="AM267" i="21"/>
  <c r="AN267" i="21"/>
  <c r="AO267" i="21"/>
  <c r="AP267" i="21"/>
  <c r="AQ267" i="21"/>
  <c r="AR267" i="21"/>
  <c r="AM253" i="21"/>
  <c r="AN253" i="21"/>
  <c r="AO253" i="21"/>
  <c r="AP253" i="21"/>
  <c r="AQ253" i="21"/>
  <c r="AR253" i="21"/>
  <c r="AL253" i="21"/>
  <c r="AL248" i="21"/>
  <c r="AL235" i="21"/>
  <c r="AM235" i="21"/>
  <c r="AN235" i="21"/>
  <c r="AO235" i="21"/>
  <c r="AP235" i="21"/>
  <c r="AQ235" i="21"/>
  <c r="AR235" i="21"/>
  <c r="AL236" i="21"/>
  <c r="AM236" i="21"/>
  <c r="AN236" i="21"/>
  <c r="AO236" i="21"/>
  <c r="AP236" i="21"/>
  <c r="AQ236" i="21"/>
  <c r="AR236" i="21"/>
  <c r="AL237" i="21"/>
  <c r="AM237" i="21"/>
  <c r="AN237" i="21"/>
  <c r="AO237" i="21"/>
  <c r="AP237" i="21"/>
  <c r="AQ237" i="21"/>
  <c r="AR237" i="21"/>
  <c r="AL238" i="21"/>
  <c r="AM238" i="21"/>
  <c r="AN238" i="21"/>
  <c r="AO238" i="21"/>
  <c r="AP238" i="21"/>
  <c r="AQ238" i="21"/>
  <c r="AR238" i="21"/>
  <c r="AL239" i="21"/>
  <c r="AM239" i="21"/>
  <c r="AN239" i="21"/>
  <c r="AO239" i="21"/>
  <c r="AP239" i="21"/>
  <c r="AQ239" i="21"/>
  <c r="AR239" i="21"/>
  <c r="AL240" i="21"/>
  <c r="AM240" i="21"/>
  <c r="AN240" i="21"/>
  <c r="AO240" i="21"/>
  <c r="AP240" i="21"/>
  <c r="AQ240" i="21"/>
  <c r="AR240" i="21"/>
  <c r="AL241" i="21"/>
  <c r="AM241" i="21"/>
  <c r="AN241" i="21"/>
  <c r="AO241" i="21"/>
  <c r="AP241" i="21"/>
  <c r="AQ241" i="21"/>
  <c r="AR241" i="21"/>
  <c r="AL242" i="21"/>
  <c r="AM242" i="21"/>
  <c r="AN242" i="21"/>
  <c r="AO242" i="21"/>
  <c r="AP242" i="21"/>
  <c r="AQ242" i="21"/>
  <c r="AR242" i="21"/>
  <c r="AL243" i="21"/>
  <c r="AM243" i="21"/>
  <c r="AN243" i="21"/>
  <c r="AO243" i="21"/>
  <c r="AP243" i="21"/>
  <c r="AQ243" i="21"/>
  <c r="AR243" i="21"/>
  <c r="AL244" i="21"/>
  <c r="AM244" i="21"/>
  <c r="AN244" i="21"/>
  <c r="AO244" i="21"/>
  <c r="AP244" i="21"/>
  <c r="AQ244" i="21"/>
  <c r="AR244" i="21"/>
  <c r="AL245" i="21"/>
  <c r="AM245" i="21"/>
  <c r="AN245" i="21"/>
  <c r="AO245" i="21"/>
  <c r="AP245" i="21"/>
  <c r="AQ245" i="21"/>
  <c r="AR245" i="21"/>
  <c r="AL246" i="21"/>
  <c r="AM246" i="21"/>
  <c r="AN246" i="21"/>
  <c r="AO246" i="21"/>
  <c r="AP246" i="21"/>
  <c r="AQ246" i="21"/>
  <c r="AR246" i="21"/>
  <c r="AL247" i="21"/>
  <c r="AM247" i="21"/>
  <c r="AN247" i="21"/>
  <c r="AO247" i="21"/>
  <c r="AP247" i="21"/>
  <c r="AQ247" i="21"/>
  <c r="AR247" i="21"/>
  <c r="AM248" i="21"/>
  <c r="AN248" i="21"/>
  <c r="AO248" i="21"/>
  <c r="AP248" i="21"/>
  <c r="AQ248" i="21"/>
  <c r="AR248" i="21"/>
  <c r="AM234" i="21"/>
  <c r="AN234" i="21"/>
  <c r="AO234" i="21"/>
  <c r="AP234" i="21"/>
  <c r="AQ234" i="21"/>
  <c r="AR234" i="21"/>
  <c r="AL234" i="21"/>
  <c r="AL229" i="21"/>
  <c r="AL216" i="21"/>
  <c r="AM216" i="21"/>
  <c r="AN216" i="21"/>
  <c r="AO216" i="21"/>
  <c r="AP216" i="21"/>
  <c r="AQ216" i="21"/>
  <c r="AR216" i="21"/>
  <c r="AL217" i="21"/>
  <c r="AM217" i="21"/>
  <c r="AN217" i="21"/>
  <c r="AO217" i="21"/>
  <c r="AP217" i="21"/>
  <c r="AQ217" i="21"/>
  <c r="AR217" i="21"/>
  <c r="AL218" i="21"/>
  <c r="AM218" i="21"/>
  <c r="AN218" i="21"/>
  <c r="AO218" i="21"/>
  <c r="AP218" i="21"/>
  <c r="AQ218" i="21"/>
  <c r="AR218" i="21"/>
  <c r="AL219" i="21"/>
  <c r="AM219" i="21"/>
  <c r="AN219" i="21"/>
  <c r="AO219" i="21"/>
  <c r="AP219" i="21"/>
  <c r="AQ219" i="21"/>
  <c r="AR219" i="21"/>
  <c r="AL220" i="21"/>
  <c r="AM220" i="21"/>
  <c r="AN220" i="21"/>
  <c r="AO220" i="21"/>
  <c r="AP220" i="21"/>
  <c r="AQ220" i="21"/>
  <c r="AR220" i="21"/>
  <c r="AL221" i="21"/>
  <c r="AM221" i="21"/>
  <c r="AN221" i="21"/>
  <c r="AO221" i="21"/>
  <c r="AP221" i="21"/>
  <c r="AQ221" i="21"/>
  <c r="AR221" i="21"/>
  <c r="AL222" i="21"/>
  <c r="AM222" i="21"/>
  <c r="AN222" i="21"/>
  <c r="AO222" i="21"/>
  <c r="AP222" i="21"/>
  <c r="AQ222" i="21"/>
  <c r="AR222" i="21"/>
  <c r="AL223" i="21"/>
  <c r="AM223" i="21"/>
  <c r="AN223" i="21"/>
  <c r="AO223" i="21"/>
  <c r="AP223" i="21"/>
  <c r="AQ223" i="21"/>
  <c r="AR223" i="21"/>
  <c r="AL224" i="21"/>
  <c r="AM224" i="21"/>
  <c r="AN224" i="21"/>
  <c r="AO224" i="21"/>
  <c r="AP224" i="21"/>
  <c r="AQ224" i="21"/>
  <c r="AR224" i="21"/>
  <c r="AL225" i="21"/>
  <c r="AM225" i="21"/>
  <c r="AN225" i="21"/>
  <c r="AO225" i="21"/>
  <c r="AP225" i="21"/>
  <c r="AQ225" i="21"/>
  <c r="AR225" i="21"/>
  <c r="AL226" i="21"/>
  <c r="AM226" i="21"/>
  <c r="AN226" i="21"/>
  <c r="AO226" i="21"/>
  <c r="AP226" i="21"/>
  <c r="AQ226" i="21"/>
  <c r="AR226" i="21"/>
  <c r="AL227" i="21"/>
  <c r="AM227" i="21"/>
  <c r="AN227" i="21"/>
  <c r="AO227" i="21"/>
  <c r="AP227" i="21"/>
  <c r="AQ227" i="21"/>
  <c r="AR227" i="21"/>
  <c r="AL228" i="21"/>
  <c r="AM228" i="21"/>
  <c r="AN228" i="21"/>
  <c r="AO228" i="21"/>
  <c r="AP228" i="21"/>
  <c r="AQ228" i="21"/>
  <c r="AR228" i="21"/>
  <c r="AM229" i="21"/>
  <c r="AN229" i="21"/>
  <c r="AO229" i="21"/>
  <c r="AP229" i="21"/>
  <c r="AQ229" i="21"/>
  <c r="AR229" i="21"/>
  <c r="AM215" i="21"/>
  <c r="AN215" i="21"/>
  <c r="AO215" i="21"/>
  <c r="AP215" i="21"/>
  <c r="AQ215" i="21"/>
  <c r="AR215" i="21"/>
  <c r="AL215" i="21"/>
  <c r="AL210" i="21"/>
  <c r="AL197" i="21"/>
  <c r="AM197" i="21"/>
  <c r="AN197" i="21"/>
  <c r="AO197" i="21"/>
  <c r="AP197" i="21"/>
  <c r="AQ197" i="21"/>
  <c r="AR197" i="21"/>
  <c r="AL198" i="21"/>
  <c r="AM198" i="21"/>
  <c r="AN198" i="21"/>
  <c r="AO198" i="21"/>
  <c r="AP198" i="21"/>
  <c r="AQ198" i="21"/>
  <c r="AR198" i="21"/>
  <c r="AL199" i="21"/>
  <c r="AM199" i="21"/>
  <c r="AN199" i="21"/>
  <c r="AO199" i="21"/>
  <c r="AP199" i="21"/>
  <c r="AQ199" i="21"/>
  <c r="AR199" i="21"/>
  <c r="AL200" i="21"/>
  <c r="AM200" i="21"/>
  <c r="AN200" i="21"/>
  <c r="AO200" i="21"/>
  <c r="AP200" i="21"/>
  <c r="AQ200" i="21"/>
  <c r="AR200" i="21"/>
  <c r="AL201" i="21"/>
  <c r="AM201" i="21"/>
  <c r="AN201" i="21"/>
  <c r="AO201" i="21"/>
  <c r="AP201" i="21"/>
  <c r="AQ201" i="21"/>
  <c r="AR201" i="21"/>
  <c r="AL202" i="21"/>
  <c r="AM202" i="21"/>
  <c r="AN202" i="21"/>
  <c r="AO202" i="21"/>
  <c r="AP202" i="21"/>
  <c r="AQ202" i="21"/>
  <c r="AR202" i="21"/>
  <c r="AL203" i="21"/>
  <c r="AM203" i="21"/>
  <c r="AN203" i="21"/>
  <c r="AO203" i="21"/>
  <c r="AP203" i="21"/>
  <c r="AQ203" i="21"/>
  <c r="AR203" i="21"/>
  <c r="AL204" i="21"/>
  <c r="AM204" i="21"/>
  <c r="AN204" i="21"/>
  <c r="AO204" i="21"/>
  <c r="AP204" i="21"/>
  <c r="AQ204" i="21"/>
  <c r="AR204" i="21"/>
  <c r="AL205" i="21"/>
  <c r="AM205" i="21"/>
  <c r="AN205" i="21"/>
  <c r="AO205" i="21"/>
  <c r="AP205" i="21"/>
  <c r="AQ205" i="21"/>
  <c r="AR205" i="21"/>
  <c r="AL206" i="21"/>
  <c r="AM206" i="21"/>
  <c r="AN206" i="21"/>
  <c r="AO206" i="21"/>
  <c r="AP206" i="21"/>
  <c r="AQ206" i="21"/>
  <c r="AR206" i="21"/>
  <c r="AL207" i="21"/>
  <c r="AM207" i="21"/>
  <c r="AN207" i="21"/>
  <c r="AO207" i="21"/>
  <c r="AP207" i="21"/>
  <c r="AQ207" i="21"/>
  <c r="AR207" i="21"/>
  <c r="AL208" i="21"/>
  <c r="AM208" i="21"/>
  <c r="AN208" i="21"/>
  <c r="AO208" i="21"/>
  <c r="AP208" i="21"/>
  <c r="AQ208" i="21"/>
  <c r="AR208" i="21"/>
  <c r="AL209" i="21"/>
  <c r="AM209" i="21"/>
  <c r="AN209" i="21"/>
  <c r="AO209" i="21"/>
  <c r="AP209" i="21"/>
  <c r="AQ209" i="21"/>
  <c r="AR209" i="21"/>
  <c r="AM210" i="21"/>
  <c r="AN210" i="21"/>
  <c r="AO210" i="21"/>
  <c r="AP210" i="21"/>
  <c r="AQ210" i="21"/>
  <c r="AR210" i="21"/>
  <c r="AM196" i="21"/>
  <c r="AN196" i="21"/>
  <c r="AO196" i="21"/>
  <c r="AP196" i="21"/>
  <c r="AQ196" i="21"/>
  <c r="AR196" i="21"/>
  <c r="AL196" i="21"/>
  <c r="AL191" i="21"/>
  <c r="AL178" i="21"/>
  <c r="AM178" i="21"/>
  <c r="AN178" i="21"/>
  <c r="AO178" i="21"/>
  <c r="AP178" i="21"/>
  <c r="AQ178" i="21"/>
  <c r="AR178" i="21"/>
  <c r="AL179" i="21"/>
  <c r="AM179" i="21"/>
  <c r="AN179" i="21"/>
  <c r="AO179" i="21"/>
  <c r="AP179" i="21"/>
  <c r="AQ179" i="21"/>
  <c r="AR179" i="21"/>
  <c r="AL180" i="21"/>
  <c r="AM180" i="21"/>
  <c r="AN180" i="21"/>
  <c r="AO180" i="21"/>
  <c r="AP180" i="21"/>
  <c r="AQ180" i="21"/>
  <c r="AR180" i="21"/>
  <c r="AL181" i="21"/>
  <c r="AM181" i="21"/>
  <c r="AN181" i="21"/>
  <c r="AO181" i="21"/>
  <c r="AP181" i="21"/>
  <c r="AQ181" i="21"/>
  <c r="AR181" i="21"/>
  <c r="AL182" i="21"/>
  <c r="AM182" i="21"/>
  <c r="AN182" i="21"/>
  <c r="AO182" i="21"/>
  <c r="AP182" i="21"/>
  <c r="AQ182" i="21"/>
  <c r="AR182" i="21"/>
  <c r="AL183" i="21"/>
  <c r="AM183" i="21"/>
  <c r="AN183" i="21"/>
  <c r="AO183" i="21"/>
  <c r="AP183" i="21"/>
  <c r="AQ183" i="21"/>
  <c r="AR183" i="21"/>
  <c r="AL184" i="21"/>
  <c r="AM184" i="21"/>
  <c r="AN184" i="21"/>
  <c r="AO184" i="21"/>
  <c r="AP184" i="21"/>
  <c r="AQ184" i="21"/>
  <c r="AR184" i="21"/>
  <c r="AL185" i="21"/>
  <c r="AM185" i="21"/>
  <c r="AN185" i="21"/>
  <c r="AO185" i="21"/>
  <c r="AP185" i="21"/>
  <c r="AQ185" i="21"/>
  <c r="AR185" i="21"/>
  <c r="AL186" i="21"/>
  <c r="AM186" i="21"/>
  <c r="AN186" i="21"/>
  <c r="AO186" i="21"/>
  <c r="AP186" i="21"/>
  <c r="AQ186" i="21"/>
  <c r="AR186" i="21"/>
  <c r="AL187" i="21"/>
  <c r="AM187" i="21"/>
  <c r="AN187" i="21"/>
  <c r="AO187" i="21"/>
  <c r="AP187" i="21"/>
  <c r="AQ187" i="21"/>
  <c r="AR187" i="21"/>
  <c r="AL188" i="21"/>
  <c r="AM188" i="21"/>
  <c r="AN188" i="21"/>
  <c r="AO188" i="21"/>
  <c r="AP188" i="21"/>
  <c r="AQ188" i="21"/>
  <c r="AR188" i="21"/>
  <c r="AL189" i="21"/>
  <c r="AM189" i="21"/>
  <c r="AN189" i="21"/>
  <c r="AO189" i="21"/>
  <c r="AP189" i="21"/>
  <c r="AQ189" i="21"/>
  <c r="AR189" i="21"/>
  <c r="AL190" i="21"/>
  <c r="AM190" i="21"/>
  <c r="AN190" i="21"/>
  <c r="AO190" i="21"/>
  <c r="AP190" i="21"/>
  <c r="AQ190" i="21"/>
  <c r="AR190" i="21"/>
  <c r="AM191" i="21"/>
  <c r="AN191" i="21"/>
  <c r="AO191" i="21"/>
  <c r="AP191" i="21"/>
  <c r="AQ191" i="21"/>
  <c r="AR191" i="21"/>
  <c r="AM177" i="21"/>
  <c r="AN177" i="21"/>
  <c r="AO177" i="21"/>
  <c r="AP177" i="21"/>
  <c r="AQ177" i="21"/>
  <c r="AR177" i="21"/>
  <c r="AL177" i="21"/>
  <c r="AL172" i="21"/>
  <c r="AL159" i="21"/>
  <c r="AM159" i="21"/>
  <c r="AN159" i="21"/>
  <c r="AO159" i="21"/>
  <c r="AP159" i="21"/>
  <c r="AQ159" i="21"/>
  <c r="AR159" i="21"/>
  <c r="AL160" i="21"/>
  <c r="AM160" i="21"/>
  <c r="AN160" i="21"/>
  <c r="AO160" i="21"/>
  <c r="AP160" i="21"/>
  <c r="AQ160" i="21"/>
  <c r="AR160" i="21"/>
  <c r="AL161" i="21"/>
  <c r="AM161" i="21"/>
  <c r="AN161" i="21"/>
  <c r="AO161" i="21"/>
  <c r="AP161" i="21"/>
  <c r="AQ161" i="21"/>
  <c r="AR161" i="21"/>
  <c r="AL162" i="21"/>
  <c r="AM162" i="21"/>
  <c r="AN162" i="21"/>
  <c r="AO162" i="21"/>
  <c r="AP162" i="21"/>
  <c r="AQ162" i="21"/>
  <c r="AR162" i="21"/>
  <c r="AL163" i="21"/>
  <c r="AM163" i="21"/>
  <c r="AN163" i="21"/>
  <c r="AO163" i="21"/>
  <c r="AP163" i="21"/>
  <c r="AQ163" i="21"/>
  <c r="AR163" i="21"/>
  <c r="AL164" i="21"/>
  <c r="AM164" i="21"/>
  <c r="AN164" i="21"/>
  <c r="AO164" i="21"/>
  <c r="AP164" i="21"/>
  <c r="AQ164" i="21"/>
  <c r="AR164" i="21"/>
  <c r="AL165" i="21"/>
  <c r="AM165" i="21"/>
  <c r="AN165" i="21"/>
  <c r="AO165" i="21"/>
  <c r="AP165" i="21"/>
  <c r="AQ165" i="21"/>
  <c r="AR165" i="21"/>
  <c r="AL166" i="21"/>
  <c r="AM166" i="21"/>
  <c r="AN166" i="21"/>
  <c r="AO166" i="21"/>
  <c r="AP166" i="21"/>
  <c r="AQ166" i="21"/>
  <c r="AR166" i="21"/>
  <c r="AL167" i="21"/>
  <c r="AM167" i="21"/>
  <c r="AN167" i="21"/>
  <c r="AO167" i="21"/>
  <c r="AP167" i="21"/>
  <c r="AQ167" i="21"/>
  <c r="AR167" i="21"/>
  <c r="AL168" i="21"/>
  <c r="AM168" i="21"/>
  <c r="AN168" i="21"/>
  <c r="AO168" i="21"/>
  <c r="AP168" i="21"/>
  <c r="AQ168" i="21"/>
  <c r="AR168" i="21"/>
  <c r="AL169" i="21"/>
  <c r="AM169" i="21"/>
  <c r="AN169" i="21"/>
  <c r="AO169" i="21"/>
  <c r="AP169" i="21"/>
  <c r="AQ169" i="21"/>
  <c r="AR169" i="21"/>
  <c r="AL170" i="21"/>
  <c r="AM170" i="21"/>
  <c r="AN170" i="21"/>
  <c r="AO170" i="21"/>
  <c r="AP170" i="21"/>
  <c r="AQ170" i="21"/>
  <c r="AR170" i="21"/>
  <c r="AL171" i="21"/>
  <c r="AM171" i="21"/>
  <c r="AN171" i="21"/>
  <c r="AO171" i="21"/>
  <c r="AP171" i="21"/>
  <c r="AQ171" i="21"/>
  <c r="AR171" i="21"/>
  <c r="AM172" i="21"/>
  <c r="AN172" i="21"/>
  <c r="AO172" i="21"/>
  <c r="AP172" i="21"/>
  <c r="AQ172" i="21"/>
  <c r="AR172" i="21"/>
  <c r="AM158" i="21"/>
  <c r="AN158" i="21"/>
  <c r="AO158" i="21"/>
  <c r="AP158" i="21"/>
  <c r="AQ158" i="21"/>
  <c r="AR158" i="21"/>
  <c r="AL158" i="21"/>
  <c r="AL153" i="21"/>
  <c r="AL140" i="21"/>
  <c r="AM140" i="21"/>
  <c r="AN140" i="21"/>
  <c r="AO140" i="21"/>
  <c r="AP140" i="21"/>
  <c r="AQ140" i="21"/>
  <c r="AR140" i="21"/>
  <c r="AL141" i="21"/>
  <c r="AM141" i="21"/>
  <c r="AN141" i="21"/>
  <c r="AO141" i="21"/>
  <c r="AP141" i="21"/>
  <c r="AQ141" i="21"/>
  <c r="AR141" i="21"/>
  <c r="AL142" i="21"/>
  <c r="AM142" i="21"/>
  <c r="AN142" i="21"/>
  <c r="AO142" i="21"/>
  <c r="AP142" i="21"/>
  <c r="AQ142" i="21"/>
  <c r="AR142" i="21"/>
  <c r="AL143" i="21"/>
  <c r="AM143" i="21"/>
  <c r="AN143" i="21"/>
  <c r="AO143" i="21"/>
  <c r="AP143" i="21"/>
  <c r="AQ143" i="21"/>
  <c r="AR143" i="21"/>
  <c r="AL144" i="21"/>
  <c r="AM144" i="21"/>
  <c r="AN144" i="21"/>
  <c r="AO144" i="21"/>
  <c r="AP144" i="21"/>
  <c r="AQ144" i="21"/>
  <c r="AR144" i="21"/>
  <c r="AL145" i="21"/>
  <c r="AM145" i="21"/>
  <c r="AN145" i="21"/>
  <c r="AO145" i="21"/>
  <c r="AP145" i="21"/>
  <c r="AQ145" i="21"/>
  <c r="AR145" i="21"/>
  <c r="AL146" i="21"/>
  <c r="AM146" i="21"/>
  <c r="AN146" i="21"/>
  <c r="AO146" i="21"/>
  <c r="AP146" i="21"/>
  <c r="AQ146" i="21"/>
  <c r="AR146" i="21"/>
  <c r="AL147" i="21"/>
  <c r="AM147" i="21"/>
  <c r="AN147" i="21"/>
  <c r="AO147" i="21"/>
  <c r="AP147" i="21"/>
  <c r="AQ147" i="21"/>
  <c r="AR147" i="21"/>
  <c r="AL148" i="21"/>
  <c r="AM148" i="21"/>
  <c r="AN148" i="21"/>
  <c r="AO148" i="21"/>
  <c r="AP148" i="21"/>
  <c r="AQ148" i="21"/>
  <c r="AR148" i="21"/>
  <c r="AL149" i="21"/>
  <c r="AM149" i="21"/>
  <c r="AN149" i="21"/>
  <c r="AO149" i="21"/>
  <c r="AP149" i="21"/>
  <c r="AQ149" i="21"/>
  <c r="AR149" i="21"/>
  <c r="AL150" i="21"/>
  <c r="AM150" i="21"/>
  <c r="AN150" i="21"/>
  <c r="AO150" i="21"/>
  <c r="AP150" i="21"/>
  <c r="AQ150" i="21"/>
  <c r="AR150" i="21"/>
  <c r="AL151" i="21"/>
  <c r="AM151" i="21"/>
  <c r="AN151" i="21"/>
  <c r="AO151" i="21"/>
  <c r="AP151" i="21"/>
  <c r="AQ151" i="21"/>
  <c r="AR151" i="21"/>
  <c r="AL152" i="21"/>
  <c r="AM152" i="21"/>
  <c r="AN152" i="21"/>
  <c r="AO152" i="21"/>
  <c r="AP152" i="21"/>
  <c r="AQ152" i="21"/>
  <c r="AR152" i="21"/>
  <c r="AM153" i="21"/>
  <c r="AN153" i="21"/>
  <c r="AO153" i="21"/>
  <c r="AP153" i="21"/>
  <c r="AQ153" i="21"/>
  <c r="AR153" i="21"/>
  <c r="AM139" i="21"/>
  <c r="AN139" i="21"/>
  <c r="AO139" i="21"/>
  <c r="AP139" i="21"/>
  <c r="AQ139" i="21"/>
  <c r="AR139" i="21"/>
  <c r="AL139" i="21"/>
  <c r="AL134" i="21"/>
  <c r="AL121" i="21"/>
  <c r="AM121" i="21"/>
  <c r="AN121" i="21"/>
  <c r="AO121" i="21"/>
  <c r="AP121" i="21"/>
  <c r="AQ121" i="21"/>
  <c r="AR121" i="21"/>
  <c r="AL122" i="21"/>
  <c r="AM122" i="21"/>
  <c r="AN122" i="21"/>
  <c r="AO122" i="21"/>
  <c r="AP122" i="21"/>
  <c r="AQ122" i="21"/>
  <c r="AR122" i="21"/>
  <c r="AL123" i="21"/>
  <c r="AM123" i="21"/>
  <c r="AN123" i="21"/>
  <c r="AO123" i="21"/>
  <c r="AP123" i="21"/>
  <c r="AQ123" i="21"/>
  <c r="AR123" i="21"/>
  <c r="AL124" i="21"/>
  <c r="AM124" i="21"/>
  <c r="AN124" i="21"/>
  <c r="AO124" i="21"/>
  <c r="AP124" i="21"/>
  <c r="AQ124" i="21"/>
  <c r="AR124" i="21"/>
  <c r="AL125" i="21"/>
  <c r="AM125" i="21"/>
  <c r="AN125" i="21"/>
  <c r="AO125" i="21"/>
  <c r="AP125" i="21"/>
  <c r="AQ125" i="21"/>
  <c r="AR125" i="21"/>
  <c r="AL126" i="21"/>
  <c r="AM126" i="21"/>
  <c r="AN126" i="21"/>
  <c r="AO126" i="21"/>
  <c r="AP126" i="21"/>
  <c r="AQ126" i="21"/>
  <c r="AR126" i="21"/>
  <c r="AL127" i="21"/>
  <c r="AM127" i="21"/>
  <c r="AN127" i="21"/>
  <c r="AO127" i="21"/>
  <c r="AP127" i="21"/>
  <c r="AQ127" i="21"/>
  <c r="AR127" i="21"/>
  <c r="AL128" i="21"/>
  <c r="AM128" i="21"/>
  <c r="AN128" i="21"/>
  <c r="AO128" i="21"/>
  <c r="AP128" i="21"/>
  <c r="AQ128" i="21"/>
  <c r="AR128" i="21"/>
  <c r="AL129" i="21"/>
  <c r="AM129" i="21"/>
  <c r="AN129" i="21"/>
  <c r="AO129" i="21"/>
  <c r="AP129" i="21"/>
  <c r="AQ129" i="21"/>
  <c r="AR129" i="21"/>
  <c r="AL130" i="21"/>
  <c r="AM130" i="21"/>
  <c r="AN130" i="21"/>
  <c r="AO130" i="21"/>
  <c r="AP130" i="21"/>
  <c r="AQ130" i="21"/>
  <c r="AR130" i="21"/>
  <c r="AL131" i="21"/>
  <c r="AM131" i="21"/>
  <c r="AN131" i="21"/>
  <c r="AO131" i="21"/>
  <c r="AP131" i="21"/>
  <c r="AQ131" i="21"/>
  <c r="AR131" i="21"/>
  <c r="AL132" i="21"/>
  <c r="AM132" i="21"/>
  <c r="AN132" i="21"/>
  <c r="AO132" i="21"/>
  <c r="AP132" i="21"/>
  <c r="AQ132" i="21"/>
  <c r="AR132" i="21"/>
  <c r="AL133" i="21"/>
  <c r="AM133" i="21"/>
  <c r="AN133" i="21"/>
  <c r="AO133" i="21"/>
  <c r="AP133" i="21"/>
  <c r="AQ133" i="21"/>
  <c r="AR133" i="21"/>
  <c r="AM134" i="21"/>
  <c r="AN134" i="21"/>
  <c r="AO134" i="21"/>
  <c r="AP134" i="21"/>
  <c r="AQ134" i="21"/>
  <c r="AR134" i="21"/>
  <c r="AM120" i="21"/>
  <c r="AN120" i="21"/>
  <c r="AO120" i="21"/>
  <c r="AP120" i="21"/>
  <c r="AQ120" i="21"/>
  <c r="AR120" i="21"/>
  <c r="AL120" i="21"/>
  <c r="AL115" i="21"/>
  <c r="AL102" i="21"/>
  <c r="AM102" i="21"/>
  <c r="AN102" i="21"/>
  <c r="AO102" i="21"/>
  <c r="AP102" i="21"/>
  <c r="AQ102" i="21"/>
  <c r="AR102" i="21"/>
  <c r="AL103" i="21"/>
  <c r="AM103" i="21"/>
  <c r="AN103" i="21"/>
  <c r="AO103" i="21"/>
  <c r="AP103" i="21"/>
  <c r="AQ103" i="21"/>
  <c r="AR103" i="21"/>
  <c r="AL104" i="21"/>
  <c r="AM104" i="21"/>
  <c r="AN104" i="21"/>
  <c r="AO104" i="21"/>
  <c r="AP104" i="21"/>
  <c r="AQ104" i="21"/>
  <c r="AR104" i="21"/>
  <c r="AL105" i="21"/>
  <c r="AM105" i="21"/>
  <c r="AN105" i="21"/>
  <c r="AO105" i="21"/>
  <c r="AP105" i="21"/>
  <c r="AQ105" i="21"/>
  <c r="AR105" i="21"/>
  <c r="AL106" i="21"/>
  <c r="AM106" i="21"/>
  <c r="AN106" i="21"/>
  <c r="AO106" i="21"/>
  <c r="AP106" i="21"/>
  <c r="AQ106" i="21"/>
  <c r="AR106" i="21"/>
  <c r="AL107" i="21"/>
  <c r="AM107" i="21"/>
  <c r="AN107" i="21"/>
  <c r="AO107" i="21"/>
  <c r="AP107" i="21"/>
  <c r="AQ107" i="21"/>
  <c r="AR107" i="21"/>
  <c r="AL108" i="21"/>
  <c r="AM108" i="21"/>
  <c r="AN108" i="21"/>
  <c r="AO108" i="21"/>
  <c r="AP108" i="21"/>
  <c r="AQ108" i="21"/>
  <c r="AR108" i="21"/>
  <c r="AL109" i="21"/>
  <c r="AM109" i="21"/>
  <c r="AN109" i="21"/>
  <c r="AO109" i="21"/>
  <c r="AP109" i="21"/>
  <c r="AQ109" i="21"/>
  <c r="AR109" i="21"/>
  <c r="AL110" i="21"/>
  <c r="AM110" i="21"/>
  <c r="AN110" i="21"/>
  <c r="AO110" i="21"/>
  <c r="AP110" i="21"/>
  <c r="AQ110" i="21"/>
  <c r="AR110" i="21"/>
  <c r="AL111" i="21"/>
  <c r="AM111" i="21"/>
  <c r="AN111" i="21"/>
  <c r="AO111" i="21"/>
  <c r="AP111" i="21"/>
  <c r="AQ111" i="21"/>
  <c r="AR111" i="21"/>
  <c r="AL112" i="21"/>
  <c r="AM112" i="21"/>
  <c r="AN112" i="21"/>
  <c r="AO112" i="21"/>
  <c r="AP112" i="21"/>
  <c r="AQ112" i="21"/>
  <c r="AR112" i="21"/>
  <c r="AL113" i="21"/>
  <c r="AM113" i="21"/>
  <c r="AN113" i="21"/>
  <c r="AO113" i="21"/>
  <c r="AP113" i="21"/>
  <c r="AQ113" i="21"/>
  <c r="AR113" i="21"/>
  <c r="AL114" i="21"/>
  <c r="AM114" i="21"/>
  <c r="AN114" i="21"/>
  <c r="AO114" i="21"/>
  <c r="AP114" i="21"/>
  <c r="AQ114" i="21"/>
  <c r="AR114" i="21"/>
  <c r="AM115" i="21"/>
  <c r="AN115" i="21"/>
  <c r="AO115" i="21"/>
  <c r="AP115" i="21"/>
  <c r="AQ115" i="21"/>
  <c r="AR115" i="21"/>
  <c r="AM101" i="21"/>
  <c r="AN101" i="21"/>
  <c r="AO101" i="21"/>
  <c r="AP101" i="21"/>
  <c r="AQ101" i="21"/>
  <c r="AR101" i="21"/>
  <c r="AL101" i="21"/>
  <c r="AL96" i="21"/>
  <c r="AL83" i="21"/>
  <c r="AM83" i="21"/>
  <c r="AN83" i="21"/>
  <c r="AO83" i="21"/>
  <c r="AP83" i="21"/>
  <c r="AQ83" i="21"/>
  <c r="AR83" i="21"/>
  <c r="AL84" i="21"/>
  <c r="AM84" i="21"/>
  <c r="AN84" i="21"/>
  <c r="AO84" i="21"/>
  <c r="AP84" i="21"/>
  <c r="AQ84" i="21"/>
  <c r="AR84" i="21"/>
  <c r="AL85" i="21"/>
  <c r="AM85" i="21"/>
  <c r="AN85" i="21"/>
  <c r="AO85" i="21"/>
  <c r="AP85" i="21"/>
  <c r="AQ85" i="21"/>
  <c r="AR85" i="21"/>
  <c r="AL86" i="21"/>
  <c r="AM86" i="21"/>
  <c r="AN86" i="21"/>
  <c r="AO86" i="21"/>
  <c r="AP86" i="21"/>
  <c r="AQ86" i="21"/>
  <c r="AR86" i="21"/>
  <c r="AL87" i="21"/>
  <c r="AM87" i="21"/>
  <c r="AN87" i="21"/>
  <c r="AO87" i="21"/>
  <c r="AP87" i="21"/>
  <c r="AQ87" i="21"/>
  <c r="AR87" i="21"/>
  <c r="AL88" i="21"/>
  <c r="AM88" i="21"/>
  <c r="AN88" i="21"/>
  <c r="AO88" i="21"/>
  <c r="AP88" i="21"/>
  <c r="AQ88" i="21"/>
  <c r="AR88" i="21"/>
  <c r="AL89" i="21"/>
  <c r="AM89" i="21"/>
  <c r="AN89" i="21"/>
  <c r="AO89" i="21"/>
  <c r="AP89" i="21"/>
  <c r="AQ89" i="21"/>
  <c r="AR89" i="21"/>
  <c r="AL90" i="21"/>
  <c r="AM90" i="21"/>
  <c r="AN90" i="21"/>
  <c r="AO90" i="21"/>
  <c r="AP90" i="21"/>
  <c r="AQ90" i="21"/>
  <c r="AR90" i="21"/>
  <c r="AL91" i="21"/>
  <c r="AM91" i="21"/>
  <c r="AN91" i="21"/>
  <c r="AO91" i="21"/>
  <c r="AP91" i="21"/>
  <c r="AQ91" i="21"/>
  <c r="AR91" i="21"/>
  <c r="AL92" i="21"/>
  <c r="AM92" i="21"/>
  <c r="AN92" i="21"/>
  <c r="AO92" i="21"/>
  <c r="AP92" i="21"/>
  <c r="AQ92" i="21"/>
  <c r="AR92" i="21"/>
  <c r="AL93" i="21"/>
  <c r="AM93" i="21"/>
  <c r="AN93" i="21"/>
  <c r="AO93" i="21"/>
  <c r="AP93" i="21"/>
  <c r="AQ93" i="21"/>
  <c r="AR93" i="21"/>
  <c r="AL94" i="21"/>
  <c r="AM94" i="21"/>
  <c r="AN94" i="21"/>
  <c r="AO94" i="21"/>
  <c r="AP94" i="21"/>
  <c r="AQ94" i="21"/>
  <c r="AR94" i="21"/>
  <c r="AL95" i="21"/>
  <c r="AM95" i="21"/>
  <c r="AN95" i="21"/>
  <c r="AO95" i="21"/>
  <c r="AP95" i="21"/>
  <c r="AQ95" i="21"/>
  <c r="AR95" i="21"/>
  <c r="AM96" i="21"/>
  <c r="AN96" i="21"/>
  <c r="AO96" i="21"/>
  <c r="AP96" i="21"/>
  <c r="AQ96" i="21"/>
  <c r="AR96" i="21"/>
  <c r="AM82" i="21"/>
  <c r="AN82" i="21"/>
  <c r="AO82" i="21"/>
  <c r="AP82" i="21"/>
  <c r="AQ82" i="21"/>
  <c r="AR82" i="21"/>
  <c r="AL82" i="21"/>
  <c r="AL77" i="21"/>
  <c r="AL64" i="21"/>
  <c r="AM64" i="21"/>
  <c r="AN64" i="21"/>
  <c r="AO64" i="21"/>
  <c r="AP64" i="21"/>
  <c r="AQ64" i="21"/>
  <c r="AR64" i="21"/>
  <c r="AL65" i="21"/>
  <c r="AM65" i="21"/>
  <c r="AN65" i="21"/>
  <c r="AO65" i="21"/>
  <c r="AP65" i="21"/>
  <c r="AQ65" i="21"/>
  <c r="AR65" i="21"/>
  <c r="AL66" i="21"/>
  <c r="AM66" i="21"/>
  <c r="AN66" i="21"/>
  <c r="AO66" i="21"/>
  <c r="AP66" i="21"/>
  <c r="AQ66" i="21"/>
  <c r="AR66" i="21"/>
  <c r="AL67" i="21"/>
  <c r="AM67" i="21"/>
  <c r="AN67" i="21"/>
  <c r="AO67" i="21"/>
  <c r="AP67" i="21"/>
  <c r="AQ67" i="21"/>
  <c r="AR67" i="21"/>
  <c r="AL68" i="21"/>
  <c r="AM68" i="21"/>
  <c r="AN68" i="21"/>
  <c r="AO68" i="21"/>
  <c r="AP68" i="21"/>
  <c r="AQ68" i="21"/>
  <c r="AR68" i="21"/>
  <c r="AL69" i="21"/>
  <c r="AM69" i="21"/>
  <c r="AN69" i="21"/>
  <c r="AO69" i="21"/>
  <c r="AP69" i="21"/>
  <c r="AQ69" i="21"/>
  <c r="AR69" i="21"/>
  <c r="AL70" i="21"/>
  <c r="AM70" i="21"/>
  <c r="AN70" i="21"/>
  <c r="AO70" i="21"/>
  <c r="AP70" i="21"/>
  <c r="AQ70" i="21"/>
  <c r="AR70" i="21"/>
  <c r="AL71" i="21"/>
  <c r="AM71" i="21"/>
  <c r="AN71" i="21"/>
  <c r="AO71" i="21"/>
  <c r="AP71" i="21"/>
  <c r="AQ71" i="21"/>
  <c r="AR71" i="21"/>
  <c r="AL72" i="21"/>
  <c r="AM72" i="21"/>
  <c r="AN72" i="21"/>
  <c r="AO72" i="21"/>
  <c r="AP72" i="21"/>
  <c r="AQ72" i="21"/>
  <c r="AR72" i="21"/>
  <c r="AL73" i="21"/>
  <c r="AM73" i="21"/>
  <c r="AN73" i="21"/>
  <c r="AO73" i="21"/>
  <c r="AP73" i="21"/>
  <c r="AQ73" i="21"/>
  <c r="AR73" i="21"/>
  <c r="AL74" i="21"/>
  <c r="AM74" i="21"/>
  <c r="AN74" i="21"/>
  <c r="AO74" i="21"/>
  <c r="AP74" i="21"/>
  <c r="AQ74" i="21"/>
  <c r="AR74" i="21"/>
  <c r="AL75" i="21"/>
  <c r="AM75" i="21"/>
  <c r="AN75" i="21"/>
  <c r="AO75" i="21"/>
  <c r="AP75" i="21"/>
  <c r="AQ75" i="21"/>
  <c r="AR75" i="21"/>
  <c r="AL76" i="21"/>
  <c r="AM76" i="21"/>
  <c r="AN76" i="21"/>
  <c r="AO76" i="21"/>
  <c r="AP76" i="21"/>
  <c r="AQ76" i="21"/>
  <c r="AR76" i="21"/>
  <c r="AM77" i="21"/>
  <c r="AN77" i="21"/>
  <c r="AO77" i="21"/>
  <c r="AP77" i="21"/>
  <c r="AQ77" i="21"/>
  <c r="AR77" i="21"/>
  <c r="AM63" i="21"/>
  <c r="AN63" i="21"/>
  <c r="AO63" i="21"/>
  <c r="AP63" i="21"/>
  <c r="AQ63" i="21"/>
  <c r="AR63" i="21"/>
  <c r="AL63" i="21"/>
  <c r="AL58" i="21"/>
  <c r="AL45" i="21"/>
  <c r="AM45" i="21"/>
  <c r="AN45" i="21"/>
  <c r="AO45" i="21"/>
  <c r="AP45" i="21"/>
  <c r="AQ45" i="21"/>
  <c r="AR45" i="21"/>
  <c r="AL46" i="21"/>
  <c r="AM46" i="21"/>
  <c r="AN46" i="21"/>
  <c r="AO46" i="21"/>
  <c r="AP46" i="21"/>
  <c r="AQ46" i="21"/>
  <c r="AR46" i="21"/>
  <c r="AL47" i="21"/>
  <c r="AM47" i="21"/>
  <c r="AN47" i="21"/>
  <c r="AO47" i="21"/>
  <c r="AP47" i="21"/>
  <c r="AQ47" i="21"/>
  <c r="AR47" i="21"/>
  <c r="AL48" i="21"/>
  <c r="AM48" i="21"/>
  <c r="AN48" i="21"/>
  <c r="AO48" i="21"/>
  <c r="AP48" i="21"/>
  <c r="AQ48" i="21"/>
  <c r="AR48" i="21"/>
  <c r="AL49" i="21"/>
  <c r="AM49" i="21"/>
  <c r="AN49" i="21"/>
  <c r="AO49" i="21"/>
  <c r="AP49" i="21"/>
  <c r="AQ49" i="21"/>
  <c r="AR49" i="21"/>
  <c r="AL50" i="21"/>
  <c r="AM50" i="21"/>
  <c r="AN50" i="21"/>
  <c r="AO50" i="21"/>
  <c r="AP50" i="21"/>
  <c r="AQ50" i="21"/>
  <c r="AR50" i="21"/>
  <c r="AL51" i="21"/>
  <c r="AM51" i="21"/>
  <c r="AN51" i="21"/>
  <c r="AO51" i="21"/>
  <c r="AP51" i="21"/>
  <c r="AQ51" i="21"/>
  <c r="AR51" i="21"/>
  <c r="AL52" i="21"/>
  <c r="AM52" i="21"/>
  <c r="AN52" i="21"/>
  <c r="AO52" i="21"/>
  <c r="AP52" i="21"/>
  <c r="AQ52" i="21"/>
  <c r="AR52" i="21"/>
  <c r="AL53" i="21"/>
  <c r="AM53" i="21"/>
  <c r="AN53" i="21"/>
  <c r="AO53" i="21"/>
  <c r="AP53" i="21"/>
  <c r="AQ53" i="21"/>
  <c r="AR53" i="21"/>
  <c r="AL54" i="21"/>
  <c r="AM54" i="21"/>
  <c r="AN54" i="21"/>
  <c r="AO54" i="21"/>
  <c r="AP54" i="21"/>
  <c r="AQ54" i="21"/>
  <c r="AR54" i="21"/>
  <c r="AL55" i="21"/>
  <c r="AM55" i="21"/>
  <c r="AN55" i="21"/>
  <c r="AO55" i="21"/>
  <c r="AP55" i="21"/>
  <c r="AQ55" i="21"/>
  <c r="AR55" i="21"/>
  <c r="AL56" i="21"/>
  <c r="AM56" i="21"/>
  <c r="AN56" i="21"/>
  <c r="AO56" i="21"/>
  <c r="AP56" i="21"/>
  <c r="AQ56" i="21"/>
  <c r="AR56" i="21"/>
  <c r="AL57" i="21"/>
  <c r="AM57" i="21"/>
  <c r="AN57" i="21"/>
  <c r="AO57" i="21"/>
  <c r="AP57" i="21"/>
  <c r="AQ57" i="21"/>
  <c r="AR57" i="21"/>
  <c r="AM58" i="21"/>
  <c r="AN58" i="21"/>
  <c r="AO58" i="21"/>
  <c r="AP58" i="21"/>
  <c r="AQ58" i="21"/>
  <c r="AR58" i="21"/>
  <c r="AM44" i="21"/>
  <c r="AN44" i="21"/>
  <c r="AO44" i="21"/>
  <c r="AP44" i="21"/>
  <c r="AQ44" i="21"/>
  <c r="AR44" i="21"/>
  <c r="AL44" i="21"/>
  <c r="AL39" i="21"/>
  <c r="AL26" i="21"/>
  <c r="AM26" i="21"/>
  <c r="AN26" i="21"/>
  <c r="AO26" i="21"/>
  <c r="AP26" i="21"/>
  <c r="AQ26" i="21"/>
  <c r="AR26" i="21"/>
  <c r="AL27" i="21"/>
  <c r="AM27" i="21"/>
  <c r="AN27" i="21"/>
  <c r="AO27" i="21"/>
  <c r="AP27" i="21"/>
  <c r="AQ27" i="21"/>
  <c r="AR27" i="21"/>
  <c r="AL28" i="21"/>
  <c r="AM28" i="21"/>
  <c r="AN28" i="21"/>
  <c r="AO28" i="21"/>
  <c r="AP28" i="21"/>
  <c r="AQ28" i="21"/>
  <c r="AR28" i="21"/>
  <c r="AL29" i="21"/>
  <c r="AM29" i="21"/>
  <c r="AN29" i="21"/>
  <c r="AO29" i="21"/>
  <c r="AP29" i="21"/>
  <c r="AQ29" i="21"/>
  <c r="AR29" i="21"/>
  <c r="AL30" i="21"/>
  <c r="AM30" i="21"/>
  <c r="AN30" i="21"/>
  <c r="AO30" i="21"/>
  <c r="AP30" i="21"/>
  <c r="AQ30" i="21"/>
  <c r="AR30" i="21"/>
  <c r="AL31" i="21"/>
  <c r="AM31" i="21"/>
  <c r="AN31" i="21"/>
  <c r="AO31" i="21"/>
  <c r="AP31" i="21"/>
  <c r="AQ31" i="21"/>
  <c r="AR31" i="21"/>
  <c r="AL32" i="21"/>
  <c r="AM32" i="21"/>
  <c r="AN32" i="21"/>
  <c r="AO32" i="21"/>
  <c r="AP32" i="21"/>
  <c r="AQ32" i="21"/>
  <c r="AR32" i="21"/>
  <c r="AL33" i="21"/>
  <c r="AM33" i="21"/>
  <c r="AN33" i="21"/>
  <c r="AO33" i="21"/>
  <c r="AP33" i="21"/>
  <c r="AQ33" i="21"/>
  <c r="AR33" i="21"/>
  <c r="AL34" i="21"/>
  <c r="AM34" i="21"/>
  <c r="AN34" i="21"/>
  <c r="AO34" i="21"/>
  <c r="AP34" i="21"/>
  <c r="AQ34" i="21"/>
  <c r="AR34" i="21"/>
  <c r="AL35" i="21"/>
  <c r="AM35" i="21"/>
  <c r="AN35" i="21"/>
  <c r="AO35" i="21"/>
  <c r="AP35" i="21"/>
  <c r="AQ35" i="21"/>
  <c r="AR35" i="21"/>
  <c r="AL36" i="21"/>
  <c r="AM36" i="21"/>
  <c r="AN36" i="21"/>
  <c r="AO36" i="21"/>
  <c r="AP36" i="21"/>
  <c r="AQ36" i="21"/>
  <c r="AR36" i="21"/>
  <c r="AL37" i="21"/>
  <c r="AM37" i="21"/>
  <c r="AN37" i="21"/>
  <c r="AO37" i="21"/>
  <c r="AP37" i="21"/>
  <c r="AQ37" i="21"/>
  <c r="AR37" i="21"/>
  <c r="AL38" i="21"/>
  <c r="AM38" i="21"/>
  <c r="AN38" i="21"/>
  <c r="AO38" i="21"/>
  <c r="AP38" i="21"/>
  <c r="AQ38" i="21"/>
  <c r="AR38" i="21"/>
  <c r="AM39" i="21"/>
  <c r="AN39" i="21"/>
  <c r="AO39" i="21"/>
  <c r="AP39" i="21"/>
  <c r="AQ39" i="21"/>
  <c r="AR39" i="21"/>
  <c r="AM25" i="21"/>
  <c r="AN25" i="21"/>
  <c r="AO25" i="21"/>
  <c r="AP25" i="21"/>
  <c r="AQ25" i="21"/>
  <c r="AR25" i="21"/>
  <c r="AL25" i="21"/>
  <c r="AL20" i="21"/>
  <c r="AL7" i="21"/>
  <c r="AM7" i="21"/>
  <c r="AN7" i="21"/>
  <c r="AO7" i="21"/>
  <c r="AP7" i="21"/>
  <c r="AQ7" i="21"/>
  <c r="AR7" i="21"/>
  <c r="AL8" i="21"/>
  <c r="AM8" i="21"/>
  <c r="AN8" i="21"/>
  <c r="AO8" i="21"/>
  <c r="AP8" i="21"/>
  <c r="AQ8" i="21"/>
  <c r="AR8" i="21"/>
  <c r="AL9" i="21"/>
  <c r="AM9" i="21"/>
  <c r="AN9" i="21"/>
  <c r="AO9" i="21"/>
  <c r="AP9" i="21"/>
  <c r="AQ9" i="21"/>
  <c r="AR9" i="21"/>
  <c r="AL10" i="21"/>
  <c r="AM10" i="21"/>
  <c r="AN10" i="21"/>
  <c r="AO10" i="21"/>
  <c r="AP10" i="21"/>
  <c r="AQ10" i="21"/>
  <c r="AR10" i="21"/>
  <c r="AL11" i="21"/>
  <c r="AM11" i="21"/>
  <c r="AN11" i="21"/>
  <c r="AO11" i="21"/>
  <c r="AP11" i="21"/>
  <c r="AQ11" i="21"/>
  <c r="AR11" i="21"/>
  <c r="AL12" i="21"/>
  <c r="AM12" i="21"/>
  <c r="AN12" i="21"/>
  <c r="AO12" i="21"/>
  <c r="AP12" i="21"/>
  <c r="AQ12" i="21"/>
  <c r="AR12" i="21"/>
  <c r="AL13" i="21"/>
  <c r="AM13" i="21"/>
  <c r="AN13" i="21"/>
  <c r="AO13" i="21"/>
  <c r="AP13" i="21"/>
  <c r="AQ13" i="21"/>
  <c r="AR13" i="21"/>
  <c r="AL14" i="21"/>
  <c r="AM14" i="21"/>
  <c r="AN14" i="21"/>
  <c r="AO14" i="21"/>
  <c r="AP14" i="21"/>
  <c r="AQ14" i="21"/>
  <c r="AR14" i="21"/>
  <c r="AL15" i="21"/>
  <c r="AM15" i="21"/>
  <c r="AN15" i="21"/>
  <c r="AO15" i="21"/>
  <c r="AP15" i="21"/>
  <c r="AQ15" i="21"/>
  <c r="AR15" i="21"/>
  <c r="AL16" i="21"/>
  <c r="AM16" i="21"/>
  <c r="AN16" i="21"/>
  <c r="AO16" i="21"/>
  <c r="AP16" i="21"/>
  <c r="AQ16" i="21"/>
  <c r="AR16" i="21"/>
  <c r="AL17" i="21"/>
  <c r="AM17" i="21"/>
  <c r="AN17" i="21"/>
  <c r="AO17" i="21"/>
  <c r="AP17" i="21"/>
  <c r="AQ17" i="21"/>
  <c r="AR17" i="21"/>
  <c r="AL18" i="21"/>
  <c r="AM18" i="21"/>
  <c r="AN18" i="21"/>
  <c r="AO18" i="21"/>
  <c r="AP18" i="21"/>
  <c r="AQ18" i="21"/>
  <c r="AR18" i="21"/>
  <c r="AL19" i="21"/>
  <c r="AM19" i="21"/>
  <c r="AN19" i="21"/>
  <c r="AO19" i="21"/>
  <c r="AP19" i="21"/>
  <c r="AQ19" i="21"/>
  <c r="AR19" i="21"/>
  <c r="AM20" i="21"/>
  <c r="AN20" i="21"/>
  <c r="AO20" i="21"/>
  <c r="AP20" i="21"/>
  <c r="AQ20" i="21"/>
  <c r="AR20" i="21"/>
  <c r="AM6" i="21"/>
  <c r="AN6" i="21"/>
  <c r="AO6" i="21"/>
  <c r="AP6" i="21"/>
  <c r="AQ6" i="21"/>
  <c r="AR6" i="21"/>
  <c r="AL6" i="21"/>
  <c r="AC305" i="21"/>
  <c r="AC292" i="21"/>
  <c r="AD292" i="21"/>
  <c r="AE292" i="21"/>
  <c r="AF292" i="21"/>
  <c r="AG292" i="21"/>
  <c r="AH292" i="21"/>
  <c r="AI292" i="21"/>
  <c r="AC293" i="21"/>
  <c r="AD293" i="21"/>
  <c r="AE293" i="21"/>
  <c r="AF293" i="21"/>
  <c r="AG293" i="21"/>
  <c r="AH293" i="21"/>
  <c r="AI293" i="21"/>
  <c r="AC294" i="21"/>
  <c r="AD294" i="21"/>
  <c r="AE294" i="21"/>
  <c r="AF294" i="21"/>
  <c r="AG294" i="21"/>
  <c r="AH294" i="21"/>
  <c r="AI294" i="21"/>
  <c r="AC295" i="21"/>
  <c r="AD295" i="21"/>
  <c r="AE295" i="21"/>
  <c r="AF295" i="21"/>
  <c r="AG295" i="21"/>
  <c r="AH295" i="21"/>
  <c r="AI295" i="21"/>
  <c r="AC296" i="21"/>
  <c r="AD296" i="21"/>
  <c r="AE296" i="21"/>
  <c r="AF296" i="21"/>
  <c r="AG296" i="21"/>
  <c r="AH296" i="21"/>
  <c r="AI296" i="21"/>
  <c r="AC297" i="21"/>
  <c r="AD297" i="21"/>
  <c r="AE297" i="21"/>
  <c r="AF297" i="21"/>
  <c r="AG297" i="21"/>
  <c r="AH297" i="21"/>
  <c r="AI297" i="21"/>
  <c r="AC298" i="21"/>
  <c r="AD298" i="21"/>
  <c r="AE298" i="21"/>
  <c r="AF298" i="21"/>
  <c r="AG298" i="21"/>
  <c r="AH298" i="21"/>
  <c r="AI298" i="21"/>
  <c r="AC299" i="21"/>
  <c r="AD299" i="21"/>
  <c r="AE299" i="21"/>
  <c r="AF299" i="21"/>
  <c r="AG299" i="21"/>
  <c r="AH299" i="21"/>
  <c r="AI299" i="21"/>
  <c r="AC300" i="21"/>
  <c r="AD300" i="21"/>
  <c r="AE300" i="21"/>
  <c r="AF300" i="21"/>
  <c r="AG300" i="21"/>
  <c r="AH300" i="21"/>
  <c r="AI300" i="21"/>
  <c r="AC301" i="21"/>
  <c r="AD301" i="21"/>
  <c r="AE301" i="21"/>
  <c r="AF301" i="21"/>
  <c r="AG301" i="21"/>
  <c r="AH301" i="21"/>
  <c r="AI301" i="21"/>
  <c r="AC302" i="21"/>
  <c r="AD302" i="21"/>
  <c r="AE302" i="21"/>
  <c r="AF302" i="21"/>
  <c r="AG302" i="21"/>
  <c r="AH302" i="21"/>
  <c r="AI302" i="21"/>
  <c r="AC303" i="21"/>
  <c r="AD303" i="21"/>
  <c r="AE303" i="21"/>
  <c r="AF303" i="21"/>
  <c r="AG303" i="21"/>
  <c r="AH303" i="21"/>
  <c r="AI303" i="21"/>
  <c r="AC304" i="21"/>
  <c r="AD304" i="21"/>
  <c r="AE304" i="21"/>
  <c r="AF304" i="21"/>
  <c r="AG304" i="21"/>
  <c r="AH304" i="21"/>
  <c r="AI304" i="21"/>
  <c r="AD305" i="21"/>
  <c r="AE305" i="21"/>
  <c r="AF305" i="21"/>
  <c r="AG305" i="21"/>
  <c r="AH305" i="21"/>
  <c r="AI305" i="21"/>
  <c r="AD291" i="21"/>
  <c r="AE291" i="21"/>
  <c r="AF291" i="21"/>
  <c r="AG291" i="21"/>
  <c r="AH291" i="21"/>
  <c r="AI291" i="21"/>
  <c r="AC291" i="21"/>
  <c r="AC286" i="21"/>
  <c r="AD286" i="21"/>
  <c r="AC273" i="21"/>
  <c r="AD273" i="21"/>
  <c r="AE273" i="21"/>
  <c r="AF273" i="21"/>
  <c r="AG273" i="21"/>
  <c r="AH273" i="21"/>
  <c r="AI273" i="21"/>
  <c r="AC274" i="21"/>
  <c r="AD274" i="21"/>
  <c r="AE274" i="21"/>
  <c r="AF274" i="21"/>
  <c r="AG274" i="21"/>
  <c r="AH274" i="21"/>
  <c r="AI274" i="21"/>
  <c r="AC275" i="21"/>
  <c r="AD275" i="21"/>
  <c r="AE275" i="21"/>
  <c r="AF275" i="21"/>
  <c r="AG275" i="21"/>
  <c r="AH275" i="21"/>
  <c r="AI275" i="21"/>
  <c r="AC276" i="21"/>
  <c r="AD276" i="21"/>
  <c r="AE276" i="21"/>
  <c r="AF276" i="21"/>
  <c r="AG276" i="21"/>
  <c r="AH276" i="21"/>
  <c r="AI276" i="21"/>
  <c r="AC277" i="21"/>
  <c r="AD277" i="21"/>
  <c r="AE277" i="21"/>
  <c r="AF277" i="21"/>
  <c r="AG277" i="21"/>
  <c r="AH277" i="21"/>
  <c r="AI277" i="21"/>
  <c r="AC278" i="21"/>
  <c r="AD278" i="21"/>
  <c r="AE278" i="21"/>
  <c r="AF278" i="21"/>
  <c r="AG278" i="21"/>
  <c r="AH278" i="21"/>
  <c r="AI278" i="21"/>
  <c r="AC279" i="21"/>
  <c r="AD279" i="21"/>
  <c r="AE279" i="21"/>
  <c r="AF279" i="21"/>
  <c r="AG279" i="21"/>
  <c r="AH279" i="21"/>
  <c r="AI279" i="21"/>
  <c r="AC280" i="21"/>
  <c r="AD280" i="21"/>
  <c r="AE280" i="21"/>
  <c r="AF280" i="21"/>
  <c r="AG280" i="21"/>
  <c r="AH280" i="21"/>
  <c r="AI280" i="21"/>
  <c r="AC281" i="21"/>
  <c r="AD281" i="21"/>
  <c r="AE281" i="21"/>
  <c r="AF281" i="21"/>
  <c r="AG281" i="21"/>
  <c r="AH281" i="21"/>
  <c r="AI281" i="21"/>
  <c r="AC282" i="21"/>
  <c r="AD282" i="21"/>
  <c r="AE282" i="21"/>
  <c r="AF282" i="21"/>
  <c r="AG282" i="21"/>
  <c r="AH282" i="21"/>
  <c r="AI282" i="21"/>
  <c r="AC283" i="21"/>
  <c r="AD283" i="21"/>
  <c r="AE283" i="21"/>
  <c r="AF283" i="21"/>
  <c r="AG283" i="21"/>
  <c r="AH283" i="21"/>
  <c r="AI283" i="21"/>
  <c r="AC284" i="21"/>
  <c r="AD284" i="21"/>
  <c r="AE284" i="21"/>
  <c r="AF284" i="21"/>
  <c r="AG284" i="21"/>
  <c r="AH284" i="21"/>
  <c r="AI284" i="21"/>
  <c r="AC285" i="21"/>
  <c r="AD285" i="21"/>
  <c r="AE285" i="21"/>
  <c r="AF285" i="21"/>
  <c r="AG285" i="21"/>
  <c r="AH285" i="21"/>
  <c r="AI285" i="21"/>
  <c r="AE286" i="21"/>
  <c r="AF286" i="21"/>
  <c r="AG286" i="21"/>
  <c r="AH286" i="21"/>
  <c r="AI286" i="21"/>
  <c r="AD272" i="21"/>
  <c r="AE272" i="21"/>
  <c r="AF272" i="21"/>
  <c r="AG272" i="21"/>
  <c r="AH272" i="21"/>
  <c r="AI272" i="21"/>
  <c r="AC272" i="21"/>
  <c r="AC267" i="21"/>
  <c r="AC254" i="21"/>
  <c r="AD254" i="21"/>
  <c r="AE254" i="21"/>
  <c r="AF254" i="21"/>
  <c r="AG254" i="21"/>
  <c r="AH254" i="21"/>
  <c r="AI254" i="21"/>
  <c r="AC255" i="21"/>
  <c r="AD255" i="21"/>
  <c r="AE255" i="21"/>
  <c r="AF255" i="21"/>
  <c r="AG255" i="21"/>
  <c r="AH255" i="21"/>
  <c r="AI255" i="21"/>
  <c r="AC256" i="21"/>
  <c r="AD256" i="21"/>
  <c r="AE256" i="21"/>
  <c r="AF256" i="21"/>
  <c r="AG256" i="21"/>
  <c r="AH256" i="21"/>
  <c r="AI256" i="21"/>
  <c r="AC257" i="21"/>
  <c r="AD257" i="21"/>
  <c r="AE257" i="21"/>
  <c r="AF257" i="21"/>
  <c r="AG257" i="21"/>
  <c r="AH257" i="21"/>
  <c r="AI257" i="21"/>
  <c r="AC258" i="21"/>
  <c r="AD258" i="21"/>
  <c r="AE258" i="21"/>
  <c r="AF258" i="21"/>
  <c r="AG258" i="21"/>
  <c r="AH258" i="21"/>
  <c r="AI258" i="21"/>
  <c r="AC259" i="21"/>
  <c r="AD259" i="21"/>
  <c r="AE259" i="21"/>
  <c r="AF259" i="21"/>
  <c r="AG259" i="21"/>
  <c r="AH259" i="21"/>
  <c r="AI259" i="21"/>
  <c r="AC260" i="21"/>
  <c r="AD260" i="21"/>
  <c r="AE260" i="21"/>
  <c r="AF260" i="21"/>
  <c r="AG260" i="21"/>
  <c r="AH260" i="21"/>
  <c r="AI260" i="21"/>
  <c r="AC261" i="21"/>
  <c r="AD261" i="21"/>
  <c r="AE261" i="21"/>
  <c r="AF261" i="21"/>
  <c r="AG261" i="21"/>
  <c r="AH261" i="21"/>
  <c r="AI261" i="21"/>
  <c r="AC262" i="21"/>
  <c r="AD262" i="21"/>
  <c r="AE262" i="21"/>
  <c r="AF262" i="21"/>
  <c r="AG262" i="21"/>
  <c r="AH262" i="21"/>
  <c r="AI262" i="21"/>
  <c r="AC263" i="21"/>
  <c r="AD263" i="21"/>
  <c r="AE263" i="21"/>
  <c r="AF263" i="21"/>
  <c r="AG263" i="21"/>
  <c r="AH263" i="21"/>
  <c r="AI263" i="21"/>
  <c r="AC264" i="21"/>
  <c r="AD264" i="21"/>
  <c r="AE264" i="21"/>
  <c r="AF264" i="21"/>
  <c r="AG264" i="21"/>
  <c r="AH264" i="21"/>
  <c r="AI264" i="21"/>
  <c r="AC265" i="21"/>
  <c r="AD265" i="21"/>
  <c r="AE265" i="21"/>
  <c r="AF265" i="21"/>
  <c r="AG265" i="21"/>
  <c r="AH265" i="21"/>
  <c r="AI265" i="21"/>
  <c r="AC266" i="21"/>
  <c r="AD266" i="21"/>
  <c r="AE266" i="21"/>
  <c r="AF266" i="21"/>
  <c r="AG266" i="21"/>
  <c r="AH266" i="21"/>
  <c r="AI266" i="21"/>
  <c r="AD267" i="21"/>
  <c r="AE267" i="21"/>
  <c r="AF267" i="21"/>
  <c r="AG267" i="21"/>
  <c r="AH267" i="21"/>
  <c r="AI267" i="21"/>
  <c r="AD253" i="21"/>
  <c r="AE253" i="21"/>
  <c r="AF253" i="21"/>
  <c r="AG253" i="21"/>
  <c r="AH253" i="21"/>
  <c r="AI253" i="21"/>
  <c r="AC253" i="21"/>
  <c r="AC248" i="21"/>
  <c r="AC235" i="21"/>
  <c r="AD235" i="21"/>
  <c r="AE235" i="21"/>
  <c r="AF235" i="21"/>
  <c r="AG235" i="21"/>
  <c r="AH235" i="21"/>
  <c r="AI235" i="21"/>
  <c r="AC236" i="21"/>
  <c r="AD236" i="21"/>
  <c r="AE236" i="21"/>
  <c r="AF236" i="21"/>
  <c r="AG236" i="21"/>
  <c r="AH236" i="21"/>
  <c r="AI236" i="21"/>
  <c r="AC237" i="21"/>
  <c r="AD237" i="21"/>
  <c r="AE237" i="21"/>
  <c r="AF237" i="21"/>
  <c r="AG237" i="21"/>
  <c r="AH237" i="21"/>
  <c r="AI237" i="21"/>
  <c r="AC238" i="21"/>
  <c r="AD238" i="21"/>
  <c r="AE238" i="21"/>
  <c r="AF238" i="21"/>
  <c r="AG238" i="21"/>
  <c r="AH238" i="21"/>
  <c r="AI238" i="21"/>
  <c r="AC239" i="21"/>
  <c r="AD239" i="21"/>
  <c r="AE239" i="21"/>
  <c r="AF239" i="21"/>
  <c r="AG239" i="21"/>
  <c r="AH239" i="21"/>
  <c r="AI239" i="21"/>
  <c r="AC240" i="21"/>
  <c r="AD240" i="21"/>
  <c r="AE240" i="21"/>
  <c r="AF240" i="21"/>
  <c r="AG240" i="21"/>
  <c r="AH240" i="21"/>
  <c r="AI240" i="21"/>
  <c r="AC241" i="21"/>
  <c r="AD241" i="21"/>
  <c r="AE241" i="21"/>
  <c r="AF241" i="21"/>
  <c r="AG241" i="21"/>
  <c r="AH241" i="21"/>
  <c r="AI241" i="21"/>
  <c r="AC242" i="21"/>
  <c r="AD242" i="21"/>
  <c r="AE242" i="21"/>
  <c r="AF242" i="21"/>
  <c r="AG242" i="21"/>
  <c r="AH242" i="21"/>
  <c r="AI242" i="21"/>
  <c r="AC243" i="21"/>
  <c r="AD243" i="21"/>
  <c r="AE243" i="21"/>
  <c r="AF243" i="21"/>
  <c r="AG243" i="21"/>
  <c r="AH243" i="21"/>
  <c r="AI243" i="21"/>
  <c r="AC244" i="21"/>
  <c r="AD244" i="21"/>
  <c r="AE244" i="21"/>
  <c r="AF244" i="21"/>
  <c r="AG244" i="21"/>
  <c r="AH244" i="21"/>
  <c r="AI244" i="21"/>
  <c r="AC245" i="21"/>
  <c r="AD245" i="21"/>
  <c r="AE245" i="21"/>
  <c r="AF245" i="21"/>
  <c r="AG245" i="21"/>
  <c r="AH245" i="21"/>
  <c r="AI245" i="21"/>
  <c r="AC246" i="21"/>
  <c r="AD246" i="21"/>
  <c r="AE246" i="21"/>
  <c r="AF246" i="21"/>
  <c r="AG246" i="21"/>
  <c r="AH246" i="21"/>
  <c r="AI246" i="21"/>
  <c r="AC247" i="21"/>
  <c r="AD247" i="21"/>
  <c r="AE247" i="21"/>
  <c r="AF247" i="21"/>
  <c r="AG247" i="21"/>
  <c r="AH247" i="21"/>
  <c r="AI247" i="21"/>
  <c r="AD248" i="21"/>
  <c r="AE248" i="21"/>
  <c r="AF248" i="21"/>
  <c r="AG248" i="21"/>
  <c r="AH248" i="21"/>
  <c r="AI248" i="21"/>
  <c r="AD234" i="21"/>
  <c r="AE234" i="21"/>
  <c r="AF234" i="21"/>
  <c r="AG234" i="21"/>
  <c r="AH234" i="21"/>
  <c r="AI234" i="21"/>
  <c r="AC234" i="21"/>
  <c r="AC229" i="21"/>
  <c r="AC216" i="21"/>
  <c r="AD216" i="21"/>
  <c r="AE216" i="21"/>
  <c r="AF216" i="21"/>
  <c r="AG216" i="21"/>
  <c r="AH216" i="21"/>
  <c r="AI216" i="21"/>
  <c r="AC217" i="21"/>
  <c r="AD217" i="21"/>
  <c r="AE217" i="21"/>
  <c r="AF217" i="21"/>
  <c r="AG217" i="21"/>
  <c r="AH217" i="21"/>
  <c r="AI217" i="21"/>
  <c r="AC218" i="21"/>
  <c r="AD218" i="21"/>
  <c r="AE218" i="21"/>
  <c r="AF218" i="21"/>
  <c r="AG218" i="21"/>
  <c r="AH218" i="21"/>
  <c r="AI218" i="21"/>
  <c r="AC219" i="21"/>
  <c r="AD219" i="21"/>
  <c r="AE219" i="21"/>
  <c r="AF219" i="21"/>
  <c r="AG219" i="21"/>
  <c r="AH219" i="21"/>
  <c r="AI219" i="21"/>
  <c r="AC220" i="21"/>
  <c r="AD220" i="21"/>
  <c r="AE220" i="21"/>
  <c r="AF220" i="21"/>
  <c r="AG220" i="21"/>
  <c r="AH220" i="21"/>
  <c r="AI220" i="21"/>
  <c r="AC221" i="21"/>
  <c r="AD221" i="21"/>
  <c r="AE221" i="21"/>
  <c r="AF221" i="21"/>
  <c r="AG221" i="21"/>
  <c r="AH221" i="21"/>
  <c r="AI221" i="21"/>
  <c r="AC222" i="21"/>
  <c r="AD222" i="21"/>
  <c r="AE222" i="21"/>
  <c r="AF222" i="21"/>
  <c r="AG222" i="21"/>
  <c r="AH222" i="21"/>
  <c r="AI222" i="21"/>
  <c r="AC223" i="21"/>
  <c r="AD223" i="21"/>
  <c r="AE223" i="21"/>
  <c r="AF223" i="21"/>
  <c r="AG223" i="21"/>
  <c r="AH223" i="21"/>
  <c r="AI223" i="21"/>
  <c r="AC224" i="21"/>
  <c r="AD224" i="21"/>
  <c r="AE224" i="21"/>
  <c r="AF224" i="21"/>
  <c r="AG224" i="21"/>
  <c r="AH224" i="21"/>
  <c r="AI224" i="21"/>
  <c r="AC225" i="21"/>
  <c r="AD225" i="21"/>
  <c r="AE225" i="21"/>
  <c r="AF225" i="21"/>
  <c r="AG225" i="21"/>
  <c r="AH225" i="21"/>
  <c r="AI225" i="21"/>
  <c r="AC226" i="21"/>
  <c r="AD226" i="21"/>
  <c r="AE226" i="21"/>
  <c r="AF226" i="21"/>
  <c r="AG226" i="21"/>
  <c r="AH226" i="21"/>
  <c r="AI226" i="21"/>
  <c r="AC227" i="21"/>
  <c r="AD227" i="21"/>
  <c r="AE227" i="21"/>
  <c r="AF227" i="21"/>
  <c r="AG227" i="21"/>
  <c r="AH227" i="21"/>
  <c r="AI227" i="21"/>
  <c r="AC228" i="21"/>
  <c r="AD228" i="21"/>
  <c r="AE228" i="21"/>
  <c r="AF228" i="21"/>
  <c r="AG228" i="21"/>
  <c r="AH228" i="21"/>
  <c r="AI228" i="21"/>
  <c r="AD229" i="21"/>
  <c r="AE229" i="21"/>
  <c r="AF229" i="21"/>
  <c r="AG229" i="21"/>
  <c r="AH229" i="21"/>
  <c r="AI229" i="21"/>
  <c r="AD215" i="21"/>
  <c r="AE215" i="21"/>
  <c r="AF215" i="21"/>
  <c r="AG215" i="21"/>
  <c r="AH215" i="21"/>
  <c r="AI215" i="21"/>
  <c r="AC215" i="21"/>
  <c r="AC210" i="21"/>
  <c r="AC197" i="21"/>
  <c r="AD197" i="21"/>
  <c r="AE197" i="21"/>
  <c r="AF197" i="21"/>
  <c r="AG197" i="21"/>
  <c r="AH197" i="21"/>
  <c r="AI197" i="21"/>
  <c r="AC198" i="21"/>
  <c r="AD198" i="21"/>
  <c r="AE198" i="21"/>
  <c r="AF198" i="21"/>
  <c r="AG198" i="21"/>
  <c r="AH198" i="21"/>
  <c r="AI198" i="21"/>
  <c r="AC199" i="21"/>
  <c r="AD199" i="21"/>
  <c r="AE199" i="21"/>
  <c r="AF199" i="21"/>
  <c r="AG199" i="21"/>
  <c r="AH199" i="21"/>
  <c r="AI199" i="21"/>
  <c r="AC200" i="21"/>
  <c r="AD200" i="21"/>
  <c r="AE200" i="21"/>
  <c r="AF200" i="21"/>
  <c r="AG200" i="21"/>
  <c r="AH200" i="21"/>
  <c r="AI200" i="21"/>
  <c r="AC201" i="21"/>
  <c r="AD201" i="21"/>
  <c r="AE201" i="21"/>
  <c r="AF201" i="21"/>
  <c r="AG201" i="21"/>
  <c r="AH201" i="21"/>
  <c r="AI201" i="21"/>
  <c r="AC202" i="21"/>
  <c r="AD202" i="21"/>
  <c r="AE202" i="21"/>
  <c r="AF202" i="21"/>
  <c r="AG202" i="21"/>
  <c r="AH202" i="21"/>
  <c r="AI202" i="21"/>
  <c r="AC203" i="21"/>
  <c r="AD203" i="21"/>
  <c r="AE203" i="21"/>
  <c r="AF203" i="21"/>
  <c r="AG203" i="21"/>
  <c r="AH203" i="21"/>
  <c r="AI203" i="21"/>
  <c r="AC204" i="21"/>
  <c r="AD204" i="21"/>
  <c r="AE204" i="21"/>
  <c r="AF204" i="21"/>
  <c r="AG204" i="21"/>
  <c r="AH204" i="21"/>
  <c r="AI204" i="21"/>
  <c r="AC205" i="21"/>
  <c r="AD205" i="21"/>
  <c r="AE205" i="21"/>
  <c r="AF205" i="21"/>
  <c r="AG205" i="21"/>
  <c r="AH205" i="21"/>
  <c r="AI205" i="21"/>
  <c r="AC206" i="21"/>
  <c r="AD206" i="21"/>
  <c r="AE206" i="21"/>
  <c r="AF206" i="21"/>
  <c r="AG206" i="21"/>
  <c r="AH206" i="21"/>
  <c r="AI206" i="21"/>
  <c r="AC207" i="21"/>
  <c r="AD207" i="21"/>
  <c r="AE207" i="21"/>
  <c r="AF207" i="21"/>
  <c r="AG207" i="21"/>
  <c r="AH207" i="21"/>
  <c r="AI207" i="21"/>
  <c r="AC208" i="21"/>
  <c r="AD208" i="21"/>
  <c r="AE208" i="21"/>
  <c r="AF208" i="21"/>
  <c r="AG208" i="21"/>
  <c r="AH208" i="21"/>
  <c r="AI208" i="21"/>
  <c r="AC209" i="21"/>
  <c r="AD209" i="21"/>
  <c r="AE209" i="21"/>
  <c r="AF209" i="21"/>
  <c r="AG209" i="21"/>
  <c r="AH209" i="21"/>
  <c r="AI209" i="21"/>
  <c r="AD210" i="21"/>
  <c r="AE210" i="21"/>
  <c r="AF210" i="21"/>
  <c r="AG210" i="21"/>
  <c r="AH210" i="21"/>
  <c r="AI210" i="21"/>
  <c r="AD196" i="21"/>
  <c r="AE196" i="21"/>
  <c r="AF196" i="21"/>
  <c r="AG196" i="21"/>
  <c r="AH196" i="21"/>
  <c r="AI196" i="21"/>
  <c r="AC196" i="21"/>
  <c r="AC191" i="21"/>
  <c r="AC178" i="21"/>
  <c r="AD178" i="21"/>
  <c r="AE178" i="21"/>
  <c r="AF178" i="21"/>
  <c r="AG178" i="21"/>
  <c r="AH178" i="21"/>
  <c r="AI178" i="21"/>
  <c r="AC179" i="21"/>
  <c r="AD179" i="21"/>
  <c r="AE179" i="21"/>
  <c r="AF179" i="21"/>
  <c r="AG179" i="21"/>
  <c r="AH179" i="21"/>
  <c r="AI179" i="21"/>
  <c r="AC180" i="21"/>
  <c r="AD180" i="21"/>
  <c r="AE180" i="21"/>
  <c r="AF180" i="21"/>
  <c r="AG180" i="21"/>
  <c r="AH180" i="21"/>
  <c r="AI180" i="21"/>
  <c r="AC181" i="21"/>
  <c r="AD181" i="21"/>
  <c r="AE181" i="21"/>
  <c r="AF181" i="21"/>
  <c r="AG181" i="21"/>
  <c r="AH181" i="21"/>
  <c r="AI181" i="21"/>
  <c r="AC182" i="21"/>
  <c r="AD182" i="21"/>
  <c r="AE182" i="21"/>
  <c r="AF182" i="21"/>
  <c r="AG182" i="21"/>
  <c r="AH182" i="21"/>
  <c r="AI182" i="21"/>
  <c r="AC183" i="21"/>
  <c r="AD183" i="21"/>
  <c r="AE183" i="21"/>
  <c r="AF183" i="21"/>
  <c r="AG183" i="21"/>
  <c r="AH183" i="21"/>
  <c r="AI183" i="21"/>
  <c r="AC184" i="21"/>
  <c r="AD184" i="21"/>
  <c r="AE184" i="21"/>
  <c r="AF184" i="21"/>
  <c r="AG184" i="21"/>
  <c r="AH184" i="21"/>
  <c r="AI184" i="21"/>
  <c r="AC185" i="21"/>
  <c r="AD185" i="21"/>
  <c r="AE185" i="21"/>
  <c r="AF185" i="21"/>
  <c r="AG185" i="21"/>
  <c r="AH185" i="21"/>
  <c r="AI185" i="21"/>
  <c r="AC186" i="21"/>
  <c r="AD186" i="21"/>
  <c r="AE186" i="21"/>
  <c r="AF186" i="21"/>
  <c r="AG186" i="21"/>
  <c r="AH186" i="21"/>
  <c r="AI186" i="21"/>
  <c r="AC187" i="21"/>
  <c r="AD187" i="21"/>
  <c r="AE187" i="21"/>
  <c r="AF187" i="21"/>
  <c r="AG187" i="21"/>
  <c r="AH187" i="21"/>
  <c r="AI187" i="21"/>
  <c r="AC188" i="21"/>
  <c r="AD188" i="21"/>
  <c r="AE188" i="21"/>
  <c r="AF188" i="21"/>
  <c r="AG188" i="21"/>
  <c r="AH188" i="21"/>
  <c r="AI188" i="21"/>
  <c r="AC189" i="21"/>
  <c r="AD189" i="21"/>
  <c r="AE189" i="21"/>
  <c r="AF189" i="21"/>
  <c r="AG189" i="21"/>
  <c r="AH189" i="21"/>
  <c r="AI189" i="21"/>
  <c r="AC190" i="21"/>
  <c r="AD190" i="21"/>
  <c r="AE190" i="21"/>
  <c r="AF190" i="21"/>
  <c r="AG190" i="21"/>
  <c r="AH190" i="21"/>
  <c r="AI190" i="21"/>
  <c r="AD191" i="21"/>
  <c r="AE191" i="21"/>
  <c r="AF191" i="21"/>
  <c r="AG191" i="21"/>
  <c r="AH191" i="21"/>
  <c r="AI191" i="21"/>
  <c r="AD177" i="21"/>
  <c r="AE177" i="21"/>
  <c r="AF177" i="21"/>
  <c r="AG177" i="21"/>
  <c r="AH177" i="21"/>
  <c r="AI177" i="21"/>
  <c r="AC177" i="21"/>
  <c r="AC172" i="21"/>
  <c r="AC159" i="21"/>
  <c r="AD159" i="21"/>
  <c r="AE159" i="21"/>
  <c r="AF159" i="21"/>
  <c r="AG159" i="21"/>
  <c r="AH159" i="21"/>
  <c r="AI159" i="21"/>
  <c r="AC160" i="21"/>
  <c r="AD160" i="21"/>
  <c r="AE160" i="21"/>
  <c r="AF160" i="21"/>
  <c r="AG160" i="21"/>
  <c r="AH160" i="21"/>
  <c r="AI160" i="21"/>
  <c r="AC161" i="21"/>
  <c r="AD161" i="21"/>
  <c r="AE161" i="21"/>
  <c r="AF161" i="21"/>
  <c r="AG161" i="21"/>
  <c r="AH161" i="21"/>
  <c r="AI161" i="21"/>
  <c r="AC162" i="21"/>
  <c r="AD162" i="21"/>
  <c r="AE162" i="21"/>
  <c r="AF162" i="21"/>
  <c r="AG162" i="21"/>
  <c r="AH162" i="21"/>
  <c r="AI162" i="21"/>
  <c r="AC163" i="21"/>
  <c r="AD163" i="21"/>
  <c r="AE163" i="21"/>
  <c r="AF163" i="21"/>
  <c r="AG163" i="21"/>
  <c r="AH163" i="21"/>
  <c r="AI163" i="21"/>
  <c r="AC164" i="21"/>
  <c r="AD164" i="21"/>
  <c r="AE164" i="21"/>
  <c r="AF164" i="21"/>
  <c r="AG164" i="21"/>
  <c r="AH164" i="21"/>
  <c r="AI164" i="21"/>
  <c r="AC165" i="21"/>
  <c r="AD165" i="21"/>
  <c r="AE165" i="21"/>
  <c r="AF165" i="21"/>
  <c r="AG165" i="21"/>
  <c r="AH165" i="21"/>
  <c r="AI165" i="21"/>
  <c r="AC166" i="21"/>
  <c r="AD166" i="21"/>
  <c r="AE166" i="21"/>
  <c r="AF166" i="21"/>
  <c r="AG166" i="21"/>
  <c r="AH166" i="21"/>
  <c r="AI166" i="21"/>
  <c r="AC167" i="21"/>
  <c r="AD167" i="21"/>
  <c r="AE167" i="21"/>
  <c r="AF167" i="21"/>
  <c r="AG167" i="21"/>
  <c r="AH167" i="21"/>
  <c r="AI167" i="21"/>
  <c r="AC168" i="21"/>
  <c r="AD168" i="21"/>
  <c r="AE168" i="21"/>
  <c r="AF168" i="21"/>
  <c r="AG168" i="21"/>
  <c r="AH168" i="21"/>
  <c r="AI168" i="21"/>
  <c r="AC169" i="21"/>
  <c r="AD169" i="21"/>
  <c r="AE169" i="21"/>
  <c r="AF169" i="21"/>
  <c r="AG169" i="21"/>
  <c r="AH169" i="21"/>
  <c r="AI169" i="21"/>
  <c r="AC170" i="21"/>
  <c r="AD170" i="21"/>
  <c r="AE170" i="21"/>
  <c r="AF170" i="21"/>
  <c r="AG170" i="21"/>
  <c r="AH170" i="21"/>
  <c r="AI170" i="21"/>
  <c r="AC171" i="21"/>
  <c r="AD171" i="21"/>
  <c r="AE171" i="21"/>
  <c r="AF171" i="21"/>
  <c r="AG171" i="21"/>
  <c r="AH171" i="21"/>
  <c r="AI171" i="21"/>
  <c r="AD172" i="21"/>
  <c r="AE172" i="21"/>
  <c r="AF172" i="21"/>
  <c r="AG172" i="21"/>
  <c r="AH172" i="21"/>
  <c r="AI172" i="21"/>
  <c r="AD158" i="21"/>
  <c r="AE158" i="21"/>
  <c r="AF158" i="21"/>
  <c r="AG158" i="21"/>
  <c r="AH158" i="21"/>
  <c r="AI158" i="21"/>
  <c r="AC158" i="21"/>
  <c r="AC153" i="21"/>
  <c r="AC140" i="21"/>
  <c r="AD140" i="21"/>
  <c r="AE140" i="21"/>
  <c r="AF140" i="21"/>
  <c r="AG140" i="21"/>
  <c r="AH140" i="21"/>
  <c r="AI140" i="21"/>
  <c r="AC141" i="21"/>
  <c r="AD141" i="21"/>
  <c r="AE141" i="21"/>
  <c r="AF141" i="21"/>
  <c r="AG141" i="21"/>
  <c r="AH141" i="21"/>
  <c r="AI141" i="21"/>
  <c r="AC142" i="21"/>
  <c r="AD142" i="21"/>
  <c r="AE142" i="21"/>
  <c r="AF142" i="21"/>
  <c r="AG142" i="21"/>
  <c r="AH142" i="21"/>
  <c r="AI142" i="21"/>
  <c r="AC143" i="21"/>
  <c r="AD143" i="21"/>
  <c r="AE143" i="21"/>
  <c r="AF143" i="21"/>
  <c r="AG143" i="21"/>
  <c r="AH143" i="21"/>
  <c r="AI143" i="21"/>
  <c r="AC144" i="21"/>
  <c r="AD144" i="21"/>
  <c r="AE144" i="21"/>
  <c r="AF144" i="21"/>
  <c r="AG144" i="21"/>
  <c r="AH144" i="21"/>
  <c r="AI144" i="21"/>
  <c r="AC145" i="21"/>
  <c r="AD145" i="21"/>
  <c r="AE145" i="21"/>
  <c r="AF145" i="21"/>
  <c r="AG145" i="21"/>
  <c r="AH145" i="21"/>
  <c r="AI145" i="21"/>
  <c r="AC146" i="21"/>
  <c r="AD146" i="21"/>
  <c r="AE146" i="21"/>
  <c r="AF146" i="21"/>
  <c r="AG146" i="21"/>
  <c r="AH146" i="21"/>
  <c r="AI146" i="21"/>
  <c r="AC147" i="21"/>
  <c r="AD147" i="21"/>
  <c r="AE147" i="21"/>
  <c r="AF147" i="21"/>
  <c r="AG147" i="21"/>
  <c r="AH147" i="21"/>
  <c r="AI147" i="21"/>
  <c r="AC148" i="21"/>
  <c r="AD148" i="21"/>
  <c r="AE148" i="21"/>
  <c r="AF148" i="21"/>
  <c r="AG148" i="21"/>
  <c r="AH148" i="21"/>
  <c r="AI148" i="21"/>
  <c r="AC149" i="21"/>
  <c r="AD149" i="21"/>
  <c r="AE149" i="21"/>
  <c r="AF149" i="21"/>
  <c r="AG149" i="21"/>
  <c r="AH149" i="21"/>
  <c r="AI149" i="21"/>
  <c r="AC150" i="21"/>
  <c r="AD150" i="21"/>
  <c r="AE150" i="21"/>
  <c r="AF150" i="21"/>
  <c r="AG150" i="21"/>
  <c r="AH150" i="21"/>
  <c r="AI150" i="21"/>
  <c r="AC151" i="21"/>
  <c r="AD151" i="21"/>
  <c r="AE151" i="21"/>
  <c r="AF151" i="21"/>
  <c r="AG151" i="21"/>
  <c r="AH151" i="21"/>
  <c r="AI151" i="21"/>
  <c r="AC152" i="21"/>
  <c r="AD152" i="21"/>
  <c r="AE152" i="21"/>
  <c r="AF152" i="21"/>
  <c r="AG152" i="21"/>
  <c r="AH152" i="21"/>
  <c r="AI152" i="21"/>
  <c r="AD153" i="21"/>
  <c r="AE153" i="21"/>
  <c r="AF153" i="21"/>
  <c r="AG153" i="21"/>
  <c r="AH153" i="21"/>
  <c r="AI153" i="21"/>
  <c r="AD139" i="21"/>
  <c r="AE139" i="21"/>
  <c r="AF139" i="21"/>
  <c r="AG139" i="21"/>
  <c r="AH139" i="21"/>
  <c r="AI139" i="21"/>
  <c r="AC139" i="21"/>
  <c r="AC134" i="21"/>
  <c r="AC121" i="21"/>
  <c r="AD121" i="21"/>
  <c r="AE121" i="21"/>
  <c r="AF121" i="21"/>
  <c r="AG121" i="21"/>
  <c r="AH121" i="21"/>
  <c r="AI121" i="21"/>
  <c r="AC122" i="21"/>
  <c r="AD122" i="21"/>
  <c r="AE122" i="21"/>
  <c r="AF122" i="21"/>
  <c r="AG122" i="21"/>
  <c r="AH122" i="21"/>
  <c r="AI122" i="21"/>
  <c r="AC123" i="21"/>
  <c r="AD123" i="21"/>
  <c r="AE123" i="21"/>
  <c r="AF123" i="21"/>
  <c r="AG123" i="21"/>
  <c r="AH123" i="21"/>
  <c r="AI123" i="21"/>
  <c r="AC124" i="21"/>
  <c r="AD124" i="21"/>
  <c r="AE124" i="21"/>
  <c r="AF124" i="21"/>
  <c r="AG124" i="21"/>
  <c r="AH124" i="21"/>
  <c r="AI124" i="21"/>
  <c r="AC125" i="21"/>
  <c r="AD125" i="21"/>
  <c r="AE125" i="21"/>
  <c r="AF125" i="21"/>
  <c r="AG125" i="21"/>
  <c r="AH125" i="21"/>
  <c r="AI125" i="21"/>
  <c r="AC126" i="21"/>
  <c r="AD126" i="21"/>
  <c r="AE126" i="21"/>
  <c r="AF126" i="21"/>
  <c r="AG126" i="21"/>
  <c r="AH126" i="21"/>
  <c r="AI126" i="21"/>
  <c r="AC127" i="21"/>
  <c r="AD127" i="21"/>
  <c r="AE127" i="21"/>
  <c r="AF127" i="21"/>
  <c r="AG127" i="21"/>
  <c r="AH127" i="21"/>
  <c r="AI127" i="21"/>
  <c r="AC128" i="21"/>
  <c r="AD128" i="21"/>
  <c r="AE128" i="21"/>
  <c r="AF128" i="21"/>
  <c r="AG128" i="21"/>
  <c r="AH128" i="21"/>
  <c r="AI128" i="21"/>
  <c r="AC129" i="21"/>
  <c r="AD129" i="21"/>
  <c r="AE129" i="21"/>
  <c r="AF129" i="21"/>
  <c r="AG129" i="21"/>
  <c r="AH129" i="21"/>
  <c r="AI129" i="21"/>
  <c r="AC130" i="21"/>
  <c r="AD130" i="21"/>
  <c r="AE130" i="21"/>
  <c r="AF130" i="21"/>
  <c r="AG130" i="21"/>
  <c r="AH130" i="21"/>
  <c r="AI130" i="21"/>
  <c r="AC131" i="21"/>
  <c r="AD131" i="21"/>
  <c r="AE131" i="21"/>
  <c r="AF131" i="21"/>
  <c r="AG131" i="21"/>
  <c r="AH131" i="21"/>
  <c r="AI131" i="21"/>
  <c r="AC132" i="21"/>
  <c r="AD132" i="21"/>
  <c r="AE132" i="21"/>
  <c r="AF132" i="21"/>
  <c r="AG132" i="21"/>
  <c r="AH132" i="21"/>
  <c r="AI132" i="21"/>
  <c r="AC133" i="21"/>
  <c r="AD133" i="21"/>
  <c r="AE133" i="21"/>
  <c r="AF133" i="21"/>
  <c r="AG133" i="21"/>
  <c r="AH133" i="21"/>
  <c r="AI133" i="21"/>
  <c r="AD134" i="21"/>
  <c r="AE134" i="21"/>
  <c r="AF134" i="21"/>
  <c r="AG134" i="21"/>
  <c r="AH134" i="21"/>
  <c r="AI134" i="21"/>
  <c r="AD120" i="21"/>
  <c r="AE120" i="21"/>
  <c r="AF120" i="21"/>
  <c r="AG120" i="21"/>
  <c r="AH120" i="21"/>
  <c r="AI120" i="21"/>
  <c r="AC120" i="21"/>
  <c r="AC115" i="21"/>
  <c r="AC102" i="21"/>
  <c r="AD102" i="21"/>
  <c r="AE102" i="21"/>
  <c r="AF102" i="21"/>
  <c r="AG102" i="21"/>
  <c r="AH102" i="21"/>
  <c r="AI102" i="21"/>
  <c r="AC103" i="21"/>
  <c r="AD103" i="21"/>
  <c r="AE103" i="21"/>
  <c r="AF103" i="21"/>
  <c r="AG103" i="21"/>
  <c r="AH103" i="21"/>
  <c r="AI103" i="21"/>
  <c r="AC104" i="21"/>
  <c r="AD104" i="21"/>
  <c r="AE104" i="21"/>
  <c r="AF104" i="21"/>
  <c r="AG104" i="21"/>
  <c r="AH104" i="21"/>
  <c r="AI104" i="21"/>
  <c r="AC105" i="21"/>
  <c r="AD105" i="21"/>
  <c r="AE105" i="21"/>
  <c r="AF105" i="21"/>
  <c r="AG105" i="21"/>
  <c r="AH105" i="21"/>
  <c r="AI105" i="21"/>
  <c r="AC106" i="21"/>
  <c r="AD106" i="21"/>
  <c r="AE106" i="21"/>
  <c r="AF106" i="21"/>
  <c r="AG106" i="21"/>
  <c r="AH106" i="21"/>
  <c r="AI106" i="21"/>
  <c r="AC107" i="21"/>
  <c r="AD107" i="21"/>
  <c r="AE107" i="21"/>
  <c r="AF107" i="21"/>
  <c r="AG107" i="21"/>
  <c r="AH107" i="21"/>
  <c r="AI107" i="21"/>
  <c r="AC108" i="21"/>
  <c r="AD108" i="21"/>
  <c r="AE108" i="21"/>
  <c r="AF108" i="21"/>
  <c r="AG108" i="21"/>
  <c r="AH108" i="21"/>
  <c r="AI108" i="21"/>
  <c r="AC109" i="21"/>
  <c r="AD109" i="21"/>
  <c r="AE109" i="21"/>
  <c r="AF109" i="21"/>
  <c r="AG109" i="21"/>
  <c r="AH109" i="21"/>
  <c r="AI109" i="21"/>
  <c r="AC110" i="21"/>
  <c r="AD110" i="21"/>
  <c r="AE110" i="21"/>
  <c r="AF110" i="21"/>
  <c r="AG110" i="21"/>
  <c r="AH110" i="21"/>
  <c r="AI110" i="21"/>
  <c r="AC111" i="21"/>
  <c r="AD111" i="21"/>
  <c r="AE111" i="21"/>
  <c r="AF111" i="21"/>
  <c r="AG111" i="21"/>
  <c r="AH111" i="21"/>
  <c r="AI111" i="21"/>
  <c r="AC112" i="21"/>
  <c r="AD112" i="21"/>
  <c r="AE112" i="21"/>
  <c r="AF112" i="21"/>
  <c r="AG112" i="21"/>
  <c r="AH112" i="21"/>
  <c r="AI112" i="21"/>
  <c r="AC113" i="21"/>
  <c r="AD113" i="21"/>
  <c r="AE113" i="21"/>
  <c r="AF113" i="21"/>
  <c r="AG113" i="21"/>
  <c r="AH113" i="21"/>
  <c r="AI113" i="21"/>
  <c r="AC114" i="21"/>
  <c r="AD114" i="21"/>
  <c r="AE114" i="21"/>
  <c r="AF114" i="21"/>
  <c r="AG114" i="21"/>
  <c r="AH114" i="21"/>
  <c r="AI114" i="21"/>
  <c r="AD115" i="21"/>
  <c r="AE115" i="21"/>
  <c r="AF115" i="21"/>
  <c r="AG115" i="21"/>
  <c r="AH115" i="21"/>
  <c r="AI115" i="21"/>
  <c r="AD101" i="21"/>
  <c r="AE101" i="21"/>
  <c r="AF101" i="21"/>
  <c r="AG101" i="21"/>
  <c r="AH101" i="21"/>
  <c r="AI101" i="21"/>
  <c r="AC101" i="21"/>
  <c r="AC96" i="21"/>
  <c r="AC83" i="21"/>
  <c r="AD83" i="21"/>
  <c r="AE83" i="21"/>
  <c r="AF83" i="21"/>
  <c r="AG83" i="21"/>
  <c r="AH83" i="21"/>
  <c r="AI83" i="21"/>
  <c r="AC84" i="21"/>
  <c r="AD84" i="21"/>
  <c r="AE84" i="21"/>
  <c r="AF84" i="21"/>
  <c r="AG84" i="21"/>
  <c r="AH84" i="21"/>
  <c r="AI84" i="21"/>
  <c r="AC85" i="21"/>
  <c r="AD85" i="21"/>
  <c r="AE85" i="21"/>
  <c r="AF85" i="21"/>
  <c r="AG85" i="21"/>
  <c r="AH85" i="21"/>
  <c r="AI85" i="21"/>
  <c r="AC86" i="21"/>
  <c r="AD86" i="21"/>
  <c r="AE86" i="21"/>
  <c r="AF86" i="21"/>
  <c r="AG86" i="21"/>
  <c r="AH86" i="21"/>
  <c r="AI86" i="21"/>
  <c r="AC87" i="21"/>
  <c r="AD87" i="21"/>
  <c r="AE87" i="21"/>
  <c r="AF87" i="21"/>
  <c r="AG87" i="21"/>
  <c r="AH87" i="21"/>
  <c r="AI87" i="21"/>
  <c r="AC88" i="21"/>
  <c r="AD88" i="21"/>
  <c r="AE88" i="21"/>
  <c r="AF88" i="21"/>
  <c r="AG88" i="21"/>
  <c r="AH88" i="21"/>
  <c r="AI88" i="21"/>
  <c r="AC89" i="21"/>
  <c r="AD89" i="21"/>
  <c r="AE89" i="21"/>
  <c r="AF89" i="21"/>
  <c r="AG89" i="21"/>
  <c r="AH89" i="21"/>
  <c r="AI89" i="21"/>
  <c r="AC90" i="21"/>
  <c r="AD90" i="21"/>
  <c r="AE90" i="21"/>
  <c r="AF90" i="21"/>
  <c r="AG90" i="21"/>
  <c r="AH90" i="21"/>
  <c r="AI90" i="21"/>
  <c r="AC91" i="21"/>
  <c r="AD91" i="21"/>
  <c r="AE91" i="21"/>
  <c r="AF91" i="21"/>
  <c r="AG91" i="21"/>
  <c r="AH91" i="21"/>
  <c r="AI91" i="21"/>
  <c r="AC92" i="21"/>
  <c r="AD92" i="21"/>
  <c r="AE92" i="21"/>
  <c r="AF92" i="21"/>
  <c r="AG92" i="21"/>
  <c r="AH92" i="21"/>
  <c r="AI92" i="21"/>
  <c r="AC93" i="21"/>
  <c r="AD93" i="21"/>
  <c r="AE93" i="21"/>
  <c r="AF93" i="21"/>
  <c r="AG93" i="21"/>
  <c r="AH93" i="21"/>
  <c r="AI93" i="21"/>
  <c r="AC94" i="21"/>
  <c r="AD94" i="21"/>
  <c r="AE94" i="21"/>
  <c r="AF94" i="21"/>
  <c r="AG94" i="21"/>
  <c r="AH94" i="21"/>
  <c r="AI94" i="21"/>
  <c r="AC95" i="21"/>
  <c r="AD95" i="21"/>
  <c r="AE95" i="21"/>
  <c r="AF95" i="21"/>
  <c r="AG95" i="21"/>
  <c r="AH95" i="21"/>
  <c r="AI95" i="21"/>
  <c r="AD96" i="21"/>
  <c r="AE96" i="21"/>
  <c r="AF96" i="21"/>
  <c r="AG96" i="21"/>
  <c r="AH96" i="21"/>
  <c r="AI96" i="21"/>
  <c r="AD82" i="21"/>
  <c r="AE82" i="21"/>
  <c r="AF82" i="21"/>
  <c r="AG82" i="21"/>
  <c r="AH82" i="21"/>
  <c r="AI82" i="21"/>
  <c r="AC82" i="21"/>
  <c r="AC77" i="21"/>
  <c r="AC64" i="21"/>
  <c r="AD64" i="21"/>
  <c r="AE64" i="21"/>
  <c r="AF64" i="21"/>
  <c r="AG64" i="21"/>
  <c r="AH64" i="21"/>
  <c r="AI64" i="21"/>
  <c r="AC65" i="21"/>
  <c r="AD65" i="21"/>
  <c r="AE65" i="21"/>
  <c r="AF65" i="21"/>
  <c r="AG65" i="21"/>
  <c r="AH65" i="21"/>
  <c r="AI65" i="21"/>
  <c r="AC66" i="21"/>
  <c r="AD66" i="21"/>
  <c r="AE66" i="21"/>
  <c r="AF66" i="21"/>
  <c r="AG66" i="21"/>
  <c r="AH66" i="21"/>
  <c r="AI66" i="21"/>
  <c r="AC67" i="21"/>
  <c r="AD67" i="21"/>
  <c r="AE67" i="21"/>
  <c r="AF67" i="21"/>
  <c r="AG67" i="21"/>
  <c r="AH67" i="21"/>
  <c r="AI67" i="21"/>
  <c r="AC68" i="21"/>
  <c r="AD68" i="21"/>
  <c r="AE68" i="21"/>
  <c r="AF68" i="21"/>
  <c r="AG68" i="21"/>
  <c r="AH68" i="21"/>
  <c r="AI68" i="21"/>
  <c r="AC69" i="21"/>
  <c r="AD69" i="21"/>
  <c r="AE69" i="21"/>
  <c r="AF69" i="21"/>
  <c r="AG69" i="21"/>
  <c r="AH69" i="21"/>
  <c r="AI69" i="21"/>
  <c r="AC70" i="21"/>
  <c r="AD70" i="21"/>
  <c r="AE70" i="21"/>
  <c r="AF70" i="21"/>
  <c r="AG70" i="21"/>
  <c r="AH70" i="21"/>
  <c r="AI70" i="21"/>
  <c r="AC71" i="21"/>
  <c r="AD71" i="21"/>
  <c r="AE71" i="21"/>
  <c r="AF71" i="21"/>
  <c r="AG71" i="21"/>
  <c r="AH71" i="21"/>
  <c r="AI71" i="21"/>
  <c r="AC72" i="21"/>
  <c r="AD72" i="21"/>
  <c r="AE72" i="21"/>
  <c r="AF72" i="21"/>
  <c r="AG72" i="21"/>
  <c r="AH72" i="21"/>
  <c r="AI72" i="21"/>
  <c r="AC73" i="21"/>
  <c r="AD73" i="21"/>
  <c r="AE73" i="21"/>
  <c r="AF73" i="21"/>
  <c r="AG73" i="21"/>
  <c r="AH73" i="21"/>
  <c r="AI73" i="21"/>
  <c r="AC74" i="21"/>
  <c r="AD74" i="21"/>
  <c r="AE74" i="21"/>
  <c r="AF74" i="21"/>
  <c r="AG74" i="21"/>
  <c r="AH74" i="21"/>
  <c r="AI74" i="21"/>
  <c r="AC75" i="21"/>
  <c r="AD75" i="21"/>
  <c r="AE75" i="21"/>
  <c r="AF75" i="21"/>
  <c r="AG75" i="21"/>
  <c r="AH75" i="21"/>
  <c r="AI75" i="21"/>
  <c r="AC76" i="21"/>
  <c r="AD76" i="21"/>
  <c r="AE76" i="21"/>
  <c r="AF76" i="21"/>
  <c r="AG76" i="21"/>
  <c r="AH76" i="21"/>
  <c r="AI76" i="21"/>
  <c r="AD77" i="21"/>
  <c r="AE77" i="21"/>
  <c r="AF77" i="21"/>
  <c r="AG77" i="21"/>
  <c r="AH77" i="21"/>
  <c r="AI77" i="21"/>
  <c r="AD63" i="21"/>
  <c r="AE63" i="21"/>
  <c r="AF63" i="21"/>
  <c r="AG63" i="21"/>
  <c r="AH63" i="21"/>
  <c r="AI63" i="21"/>
  <c r="AC63" i="21"/>
  <c r="AC58" i="21"/>
  <c r="AC45" i="21"/>
  <c r="AD45" i="21"/>
  <c r="AE45" i="21"/>
  <c r="AF45" i="21"/>
  <c r="AG45" i="21"/>
  <c r="AH45" i="21"/>
  <c r="AI45" i="21"/>
  <c r="AC46" i="21"/>
  <c r="AD46" i="21"/>
  <c r="AE46" i="21"/>
  <c r="AF46" i="21"/>
  <c r="AG46" i="21"/>
  <c r="AH46" i="21"/>
  <c r="AI46" i="21"/>
  <c r="AC47" i="21"/>
  <c r="AD47" i="21"/>
  <c r="AE47" i="21"/>
  <c r="AF47" i="21"/>
  <c r="AG47" i="21"/>
  <c r="AH47" i="21"/>
  <c r="AI47" i="21"/>
  <c r="AC48" i="21"/>
  <c r="AD48" i="21"/>
  <c r="AE48" i="21"/>
  <c r="AF48" i="21"/>
  <c r="AG48" i="21"/>
  <c r="AH48" i="21"/>
  <c r="AI48" i="21"/>
  <c r="AC49" i="21"/>
  <c r="AD49" i="21"/>
  <c r="AE49" i="21"/>
  <c r="AF49" i="21"/>
  <c r="AG49" i="21"/>
  <c r="AH49" i="21"/>
  <c r="AI49" i="21"/>
  <c r="AC50" i="21"/>
  <c r="AD50" i="21"/>
  <c r="AE50" i="21"/>
  <c r="AF50" i="21"/>
  <c r="AG50" i="21"/>
  <c r="AH50" i="21"/>
  <c r="AI50" i="21"/>
  <c r="AC51" i="21"/>
  <c r="AD51" i="21"/>
  <c r="AE51" i="21"/>
  <c r="AF51" i="21"/>
  <c r="AG51" i="21"/>
  <c r="AH51" i="21"/>
  <c r="AI51" i="21"/>
  <c r="AC52" i="21"/>
  <c r="AD52" i="21"/>
  <c r="AE52" i="21"/>
  <c r="AF52" i="21"/>
  <c r="AG52" i="21"/>
  <c r="AH52" i="21"/>
  <c r="AI52" i="21"/>
  <c r="AC53" i="21"/>
  <c r="AD53" i="21"/>
  <c r="AE53" i="21"/>
  <c r="AF53" i="21"/>
  <c r="AG53" i="21"/>
  <c r="AH53" i="21"/>
  <c r="AI53" i="21"/>
  <c r="AC54" i="21"/>
  <c r="AD54" i="21"/>
  <c r="AE54" i="21"/>
  <c r="AF54" i="21"/>
  <c r="AG54" i="21"/>
  <c r="AH54" i="21"/>
  <c r="AI54" i="21"/>
  <c r="AC55" i="21"/>
  <c r="AD55" i="21"/>
  <c r="AE55" i="21"/>
  <c r="AF55" i="21"/>
  <c r="AG55" i="21"/>
  <c r="AH55" i="21"/>
  <c r="AI55" i="21"/>
  <c r="AC56" i="21"/>
  <c r="AD56" i="21"/>
  <c r="AE56" i="21"/>
  <c r="AF56" i="21"/>
  <c r="AG56" i="21"/>
  <c r="AH56" i="21"/>
  <c r="AI56" i="21"/>
  <c r="AC57" i="21"/>
  <c r="AD57" i="21"/>
  <c r="AE57" i="21"/>
  <c r="AF57" i="21"/>
  <c r="AG57" i="21"/>
  <c r="AH57" i="21"/>
  <c r="AI57" i="21"/>
  <c r="AD58" i="21"/>
  <c r="AE58" i="21"/>
  <c r="AF58" i="21"/>
  <c r="AG58" i="21"/>
  <c r="AH58" i="21"/>
  <c r="AI58" i="21"/>
  <c r="AD44" i="21"/>
  <c r="AE44" i="21"/>
  <c r="AF44" i="21"/>
  <c r="AG44" i="21"/>
  <c r="AH44" i="21"/>
  <c r="AI44" i="21"/>
  <c r="AC44" i="21"/>
  <c r="AC39" i="21"/>
  <c r="AC26" i="21"/>
  <c r="AD26" i="21"/>
  <c r="AE26" i="21"/>
  <c r="AF26" i="21"/>
  <c r="AG26" i="21"/>
  <c r="AH26" i="21"/>
  <c r="AI26" i="21"/>
  <c r="AC27" i="21"/>
  <c r="AD27" i="21"/>
  <c r="AE27" i="21"/>
  <c r="AF27" i="21"/>
  <c r="AG27" i="21"/>
  <c r="AH27" i="21"/>
  <c r="AI27" i="21"/>
  <c r="AC28" i="21"/>
  <c r="AD28" i="21"/>
  <c r="AE28" i="21"/>
  <c r="AF28" i="21"/>
  <c r="AG28" i="21"/>
  <c r="AH28" i="21"/>
  <c r="AI28" i="21"/>
  <c r="AC29" i="21"/>
  <c r="AD29" i="21"/>
  <c r="AE29" i="21"/>
  <c r="AF29" i="21"/>
  <c r="AG29" i="21"/>
  <c r="AH29" i="21"/>
  <c r="AI29" i="21"/>
  <c r="AC30" i="21"/>
  <c r="AD30" i="21"/>
  <c r="AE30" i="21"/>
  <c r="AF30" i="21"/>
  <c r="AG30" i="21"/>
  <c r="AH30" i="21"/>
  <c r="AI30" i="21"/>
  <c r="AC31" i="21"/>
  <c r="AD31" i="21"/>
  <c r="AE31" i="21"/>
  <c r="AF31" i="21"/>
  <c r="AG31" i="21"/>
  <c r="AH31" i="21"/>
  <c r="AI31" i="21"/>
  <c r="AC32" i="21"/>
  <c r="AD32" i="21"/>
  <c r="AE32" i="21"/>
  <c r="AF32" i="21"/>
  <c r="AG32" i="21"/>
  <c r="AH32" i="21"/>
  <c r="AI32" i="21"/>
  <c r="AC33" i="21"/>
  <c r="AD33" i="21"/>
  <c r="AE33" i="21"/>
  <c r="AF33" i="21"/>
  <c r="AG33" i="21"/>
  <c r="AH33" i="21"/>
  <c r="AI33" i="21"/>
  <c r="AC34" i="21"/>
  <c r="AD34" i="21"/>
  <c r="AE34" i="21"/>
  <c r="AF34" i="21"/>
  <c r="AG34" i="21"/>
  <c r="AH34" i="21"/>
  <c r="AI34" i="21"/>
  <c r="AC35" i="21"/>
  <c r="AD35" i="21"/>
  <c r="AE35" i="21"/>
  <c r="AF35" i="21"/>
  <c r="AG35" i="21"/>
  <c r="AH35" i="21"/>
  <c r="AI35" i="21"/>
  <c r="AC36" i="21"/>
  <c r="AD36" i="21"/>
  <c r="AE36" i="21"/>
  <c r="AF36" i="21"/>
  <c r="AG36" i="21"/>
  <c r="AH36" i="21"/>
  <c r="AI36" i="21"/>
  <c r="AC37" i="21"/>
  <c r="AD37" i="21"/>
  <c r="AE37" i="21"/>
  <c r="AF37" i="21"/>
  <c r="AG37" i="21"/>
  <c r="AH37" i="21"/>
  <c r="AI37" i="21"/>
  <c r="AC38" i="21"/>
  <c r="AD38" i="21"/>
  <c r="AE38" i="21"/>
  <c r="AF38" i="21"/>
  <c r="AG38" i="21"/>
  <c r="AH38" i="21"/>
  <c r="AI38" i="21"/>
  <c r="AD39" i="21"/>
  <c r="AE39" i="21"/>
  <c r="AF39" i="21"/>
  <c r="AG39" i="21"/>
  <c r="AH39" i="21"/>
  <c r="AI39" i="21"/>
  <c r="AD25" i="21"/>
  <c r="AE25" i="21"/>
  <c r="AF25" i="21"/>
  <c r="AG25" i="21"/>
  <c r="AH25" i="21"/>
  <c r="AI25" i="21"/>
  <c r="AC25" i="21"/>
  <c r="AC20" i="21"/>
  <c r="AC7" i="21"/>
  <c r="AD7" i="21"/>
  <c r="AE7" i="21"/>
  <c r="AF7" i="21"/>
  <c r="AG7" i="21"/>
  <c r="AH7" i="21"/>
  <c r="AI7" i="21"/>
  <c r="AC8" i="21"/>
  <c r="AD8" i="21"/>
  <c r="AE8" i="21"/>
  <c r="AF8" i="21"/>
  <c r="AG8" i="21"/>
  <c r="AH8" i="21"/>
  <c r="AI8" i="21"/>
  <c r="AC9" i="21"/>
  <c r="AD9" i="21"/>
  <c r="AE9" i="21"/>
  <c r="AF9" i="21"/>
  <c r="AG9" i="21"/>
  <c r="AH9" i="21"/>
  <c r="AI9" i="21"/>
  <c r="AC10" i="21"/>
  <c r="AD10" i="21"/>
  <c r="AE10" i="21"/>
  <c r="AF10" i="21"/>
  <c r="AG10" i="21"/>
  <c r="AH10" i="21"/>
  <c r="AI10" i="21"/>
  <c r="AC11" i="21"/>
  <c r="AD11" i="21"/>
  <c r="AE11" i="21"/>
  <c r="AF11" i="21"/>
  <c r="AG11" i="21"/>
  <c r="AH11" i="21"/>
  <c r="AI11" i="21"/>
  <c r="AC12" i="21"/>
  <c r="AD12" i="21"/>
  <c r="AE12" i="21"/>
  <c r="AF12" i="21"/>
  <c r="AG12" i="21"/>
  <c r="AH12" i="21"/>
  <c r="AI12" i="21"/>
  <c r="AC13" i="21"/>
  <c r="AD13" i="21"/>
  <c r="AE13" i="21"/>
  <c r="AF13" i="21"/>
  <c r="AG13" i="21"/>
  <c r="AH13" i="21"/>
  <c r="AI13" i="21"/>
  <c r="AC14" i="21"/>
  <c r="AD14" i="21"/>
  <c r="AE14" i="21"/>
  <c r="AF14" i="21"/>
  <c r="AG14" i="21"/>
  <c r="AH14" i="21"/>
  <c r="AI14" i="21"/>
  <c r="AC15" i="21"/>
  <c r="AD15" i="21"/>
  <c r="AE15" i="21"/>
  <c r="AF15" i="21"/>
  <c r="AG15" i="21"/>
  <c r="AH15" i="21"/>
  <c r="AI15" i="21"/>
  <c r="AC16" i="21"/>
  <c r="AD16" i="21"/>
  <c r="AE16" i="21"/>
  <c r="AF16" i="21"/>
  <c r="AG16" i="21"/>
  <c r="AH16" i="21"/>
  <c r="AI16" i="21"/>
  <c r="AC17" i="21"/>
  <c r="AD17" i="21"/>
  <c r="AE17" i="21"/>
  <c r="AF17" i="21"/>
  <c r="AG17" i="21"/>
  <c r="AH17" i="21"/>
  <c r="AI17" i="21"/>
  <c r="AC18" i="21"/>
  <c r="AD18" i="21"/>
  <c r="AE18" i="21"/>
  <c r="AF18" i="21"/>
  <c r="AG18" i="21"/>
  <c r="AH18" i="21"/>
  <c r="AI18" i="21"/>
  <c r="AC19" i="21"/>
  <c r="AD19" i="21"/>
  <c r="AE19" i="21"/>
  <c r="AF19" i="21"/>
  <c r="AG19" i="21"/>
  <c r="AH19" i="21"/>
  <c r="AI19" i="21"/>
  <c r="AD20" i="21"/>
  <c r="AE20" i="21"/>
  <c r="AF20" i="21"/>
  <c r="AG20" i="21"/>
  <c r="AH20" i="21"/>
  <c r="AI20" i="21"/>
  <c r="AD6" i="21"/>
  <c r="AE6" i="21"/>
  <c r="AF6" i="21"/>
  <c r="AG6" i="21"/>
  <c r="AH6" i="21"/>
  <c r="AI6" i="21"/>
  <c r="BV112" i="17" l="1"/>
  <c r="BV100" i="17"/>
  <c r="BU99" i="17"/>
  <c r="BV93" i="17"/>
  <c r="BU100" i="17"/>
  <c r="BU98" i="17"/>
  <c r="BU95" i="17"/>
  <c r="BU84" i="17"/>
  <c r="BV63" i="17"/>
  <c r="BU65" i="17"/>
  <c r="BU66" i="17"/>
  <c r="BU46" i="17"/>
  <c r="BU45" i="17"/>
  <c r="BV46" i="17"/>
  <c r="BU43" i="17"/>
  <c r="BV44" i="17"/>
  <c r="BU50" i="17"/>
  <c r="BV47" i="17"/>
  <c r="BU25" i="17"/>
  <c r="BU22" i="17"/>
  <c r="BU30" i="17"/>
  <c r="BV24" i="17"/>
  <c r="BU26" i="17"/>
  <c r="BV22" i="17"/>
  <c r="BV30" i="17"/>
  <c r="BU15" i="17"/>
  <c r="AC6" i="21"/>
  <c r="T305" i="21"/>
  <c r="T292" i="21"/>
  <c r="U292" i="21"/>
  <c r="V292" i="21"/>
  <c r="W292" i="21"/>
  <c r="X292" i="21"/>
  <c r="Y292" i="21"/>
  <c r="Z292" i="21"/>
  <c r="T293" i="21"/>
  <c r="U293" i="21"/>
  <c r="V293" i="21"/>
  <c r="W293" i="21"/>
  <c r="X293" i="21"/>
  <c r="Y293" i="21"/>
  <c r="Z293" i="21"/>
  <c r="T294" i="21"/>
  <c r="U294" i="21"/>
  <c r="V294" i="21"/>
  <c r="W294" i="21"/>
  <c r="X294" i="21"/>
  <c r="Y294" i="21"/>
  <c r="Z294" i="21"/>
  <c r="T295" i="21"/>
  <c r="U295" i="21"/>
  <c r="V295" i="21"/>
  <c r="W295" i="21"/>
  <c r="X295" i="21"/>
  <c r="Y295" i="21"/>
  <c r="Z295" i="21"/>
  <c r="T296" i="21"/>
  <c r="U296" i="21"/>
  <c r="V296" i="21"/>
  <c r="W296" i="21"/>
  <c r="X296" i="21"/>
  <c r="Y296" i="21"/>
  <c r="Z296" i="21"/>
  <c r="T297" i="21"/>
  <c r="U297" i="21"/>
  <c r="V297" i="21"/>
  <c r="W297" i="21"/>
  <c r="X297" i="21"/>
  <c r="Y297" i="21"/>
  <c r="Z297" i="21"/>
  <c r="T298" i="21"/>
  <c r="U298" i="21"/>
  <c r="V298" i="21"/>
  <c r="W298" i="21"/>
  <c r="X298" i="21"/>
  <c r="Y298" i="21"/>
  <c r="Z298" i="21"/>
  <c r="T299" i="21"/>
  <c r="U299" i="21"/>
  <c r="V299" i="21"/>
  <c r="W299" i="21"/>
  <c r="X299" i="21"/>
  <c r="Y299" i="21"/>
  <c r="Z299" i="21"/>
  <c r="T300" i="21"/>
  <c r="U300" i="21"/>
  <c r="V300" i="21"/>
  <c r="W300" i="21"/>
  <c r="X300" i="21"/>
  <c r="Y300" i="21"/>
  <c r="Z300" i="21"/>
  <c r="T301" i="21"/>
  <c r="U301" i="21"/>
  <c r="V301" i="21"/>
  <c r="W301" i="21"/>
  <c r="X301" i="21"/>
  <c r="Y301" i="21"/>
  <c r="Z301" i="21"/>
  <c r="T302" i="21"/>
  <c r="U302" i="21"/>
  <c r="V302" i="21"/>
  <c r="W302" i="21"/>
  <c r="X302" i="21"/>
  <c r="Y302" i="21"/>
  <c r="Z302" i="21"/>
  <c r="T303" i="21"/>
  <c r="U303" i="21"/>
  <c r="V303" i="21"/>
  <c r="W303" i="21"/>
  <c r="X303" i="21"/>
  <c r="Y303" i="21"/>
  <c r="Z303" i="21"/>
  <c r="T304" i="21"/>
  <c r="U304" i="21"/>
  <c r="V304" i="21"/>
  <c r="W304" i="21"/>
  <c r="X304" i="21"/>
  <c r="Y304" i="21"/>
  <c r="Z304" i="21"/>
  <c r="U305" i="21"/>
  <c r="V305" i="21"/>
  <c r="W305" i="21"/>
  <c r="X305" i="21"/>
  <c r="Y305" i="21"/>
  <c r="Z305" i="21"/>
  <c r="U291" i="21"/>
  <c r="V291" i="21"/>
  <c r="W291" i="21"/>
  <c r="X291" i="21"/>
  <c r="Y291" i="21"/>
  <c r="Z291" i="21"/>
  <c r="T291" i="21"/>
  <c r="T286" i="21"/>
  <c r="T273" i="21"/>
  <c r="U273" i="21"/>
  <c r="V273" i="21"/>
  <c r="W273" i="21"/>
  <c r="X273" i="21"/>
  <c r="Y273" i="21"/>
  <c r="Z273" i="21"/>
  <c r="T274" i="21"/>
  <c r="U274" i="21"/>
  <c r="V274" i="21"/>
  <c r="W274" i="21"/>
  <c r="X274" i="21"/>
  <c r="Y274" i="21"/>
  <c r="Z274" i="21"/>
  <c r="T275" i="21"/>
  <c r="U275" i="21"/>
  <c r="V275" i="21"/>
  <c r="W275" i="21"/>
  <c r="X275" i="21"/>
  <c r="Y275" i="21"/>
  <c r="Z275" i="21"/>
  <c r="T276" i="21"/>
  <c r="U276" i="21"/>
  <c r="V276" i="21"/>
  <c r="W276" i="21"/>
  <c r="X276" i="21"/>
  <c r="Y276" i="21"/>
  <c r="Z276" i="21"/>
  <c r="T277" i="21"/>
  <c r="U277" i="21"/>
  <c r="V277" i="21"/>
  <c r="W277" i="21"/>
  <c r="X277" i="21"/>
  <c r="Y277" i="21"/>
  <c r="Z277" i="21"/>
  <c r="T278" i="21"/>
  <c r="U278" i="21"/>
  <c r="V278" i="21"/>
  <c r="W278" i="21"/>
  <c r="X278" i="21"/>
  <c r="Y278" i="21"/>
  <c r="Z278" i="21"/>
  <c r="T279" i="21"/>
  <c r="U279" i="21"/>
  <c r="V279" i="21"/>
  <c r="W279" i="21"/>
  <c r="X279" i="21"/>
  <c r="Y279" i="21"/>
  <c r="Z279" i="21"/>
  <c r="T280" i="21"/>
  <c r="U280" i="21"/>
  <c r="V280" i="21"/>
  <c r="W280" i="21"/>
  <c r="X280" i="21"/>
  <c r="Y280" i="21"/>
  <c r="Z280" i="21"/>
  <c r="T281" i="21"/>
  <c r="U281" i="21"/>
  <c r="V281" i="21"/>
  <c r="W281" i="21"/>
  <c r="X281" i="21"/>
  <c r="Y281" i="21"/>
  <c r="Z281" i="21"/>
  <c r="T282" i="21"/>
  <c r="U282" i="21"/>
  <c r="V282" i="21"/>
  <c r="W282" i="21"/>
  <c r="X282" i="21"/>
  <c r="Y282" i="21"/>
  <c r="Z282" i="21"/>
  <c r="T283" i="21"/>
  <c r="U283" i="21"/>
  <c r="V283" i="21"/>
  <c r="W283" i="21"/>
  <c r="X283" i="21"/>
  <c r="Y283" i="21"/>
  <c r="Z283" i="21"/>
  <c r="T284" i="21"/>
  <c r="U284" i="21"/>
  <c r="V284" i="21"/>
  <c r="W284" i="21"/>
  <c r="X284" i="21"/>
  <c r="Y284" i="21"/>
  <c r="Z284" i="21"/>
  <c r="T285" i="21"/>
  <c r="U285" i="21"/>
  <c r="V285" i="21"/>
  <c r="W285" i="21"/>
  <c r="X285" i="21"/>
  <c r="Y285" i="21"/>
  <c r="Z285" i="21"/>
  <c r="U286" i="21"/>
  <c r="V286" i="21"/>
  <c r="W286" i="21"/>
  <c r="X286" i="21"/>
  <c r="Y286" i="21"/>
  <c r="Z286" i="21"/>
  <c r="U272" i="21"/>
  <c r="V272" i="21"/>
  <c r="W272" i="21"/>
  <c r="X272" i="21"/>
  <c r="Y272" i="21"/>
  <c r="Z272" i="21"/>
  <c r="T272" i="21"/>
  <c r="T267" i="21"/>
  <c r="T254" i="21"/>
  <c r="U254" i="21"/>
  <c r="V254" i="21"/>
  <c r="W254" i="21"/>
  <c r="X254" i="21"/>
  <c r="Y254" i="21"/>
  <c r="Z254" i="21"/>
  <c r="T255" i="21"/>
  <c r="U255" i="21"/>
  <c r="V255" i="21"/>
  <c r="W255" i="21"/>
  <c r="X255" i="21"/>
  <c r="Y255" i="21"/>
  <c r="Z255" i="21"/>
  <c r="T256" i="21"/>
  <c r="U256" i="21"/>
  <c r="V256" i="21"/>
  <c r="W256" i="21"/>
  <c r="X256" i="21"/>
  <c r="Y256" i="21"/>
  <c r="Z256" i="21"/>
  <c r="T257" i="21"/>
  <c r="U257" i="21"/>
  <c r="V257" i="21"/>
  <c r="W257" i="21"/>
  <c r="X257" i="21"/>
  <c r="Y257" i="21"/>
  <c r="Z257" i="21"/>
  <c r="T258" i="21"/>
  <c r="U258" i="21"/>
  <c r="V258" i="21"/>
  <c r="W258" i="21"/>
  <c r="X258" i="21"/>
  <c r="Y258" i="21"/>
  <c r="Z258" i="21"/>
  <c r="T259" i="21"/>
  <c r="U259" i="21"/>
  <c r="V259" i="21"/>
  <c r="W259" i="21"/>
  <c r="X259" i="21"/>
  <c r="Y259" i="21"/>
  <c r="Z259" i="21"/>
  <c r="T260" i="21"/>
  <c r="U260" i="21"/>
  <c r="V260" i="21"/>
  <c r="W260" i="21"/>
  <c r="X260" i="21"/>
  <c r="Y260" i="21"/>
  <c r="Z260" i="21"/>
  <c r="T261" i="21"/>
  <c r="U261" i="21"/>
  <c r="V261" i="21"/>
  <c r="W261" i="21"/>
  <c r="X261" i="21"/>
  <c r="Y261" i="21"/>
  <c r="Z261" i="21"/>
  <c r="T262" i="21"/>
  <c r="U262" i="21"/>
  <c r="V262" i="21"/>
  <c r="W262" i="21"/>
  <c r="X262" i="21"/>
  <c r="Y262" i="21"/>
  <c r="Z262" i="21"/>
  <c r="T263" i="21"/>
  <c r="U263" i="21"/>
  <c r="V263" i="21"/>
  <c r="W263" i="21"/>
  <c r="X263" i="21"/>
  <c r="Y263" i="21"/>
  <c r="Z263" i="21"/>
  <c r="T264" i="21"/>
  <c r="U264" i="21"/>
  <c r="V264" i="21"/>
  <c r="W264" i="21"/>
  <c r="X264" i="21"/>
  <c r="Y264" i="21"/>
  <c r="Z264" i="21"/>
  <c r="T265" i="21"/>
  <c r="U265" i="21"/>
  <c r="V265" i="21"/>
  <c r="W265" i="21"/>
  <c r="X265" i="21"/>
  <c r="Y265" i="21"/>
  <c r="Z265" i="21"/>
  <c r="T266" i="21"/>
  <c r="U266" i="21"/>
  <c r="V266" i="21"/>
  <c r="W266" i="21"/>
  <c r="X266" i="21"/>
  <c r="Y266" i="21"/>
  <c r="Z266" i="21"/>
  <c r="U267" i="21"/>
  <c r="V267" i="21"/>
  <c r="W267" i="21"/>
  <c r="X267" i="21"/>
  <c r="Y267" i="21"/>
  <c r="Z267" i="21"/>
  <c r="U253" i="21"/>
  <c r="V253" i="21"/>
  <c r="W253" i="21"/>
  <c r="X253" i="21"/>
  <c r="Y253" i="21"/>
  <c r="Z253" i="21"/>
  <c r="T253" i="21"/>
  <c r="T248" i="21"/>
  <c r="T235" i="21"/>
  <c r="U235" i="21"/>
  <c r="V235" i="21"/>
  <c r="W235" i="21"/>
  <c r="X235" i="21"/>
  <c r="Y235" i="21"/>
  <c r="Z235" i="21"/>
  <c r="T236" i="21"/>
  <c r="U236" i="21"/>
  <c r="V236" i="21"/>
  <c r="W236" i="21"/>
  <c r="X236" i="21"/>
  <c r="Y236" i="21"/>
  <c r="Z236" i="21"/>
  <c r="T237" i="21"/>
  <c r="U237" i="21"/>
  <c r="V237" i="21"/>
  <c r="W237" i="21"/>
  <c r="X237" i="21"/>
  <c r="Y237" i="21"/>
  <c r="Z237" i="21"/>
  <c r="T238" i="21"/>
  <c r="U238" i="21"/>
  <c r="V238" i="21"/>
  <c r="W238" i="21"/>
  <c r="X238" i="21"/>
  <c r="Y238" i="21"/>
  <c r="Z238" i="21"/>
  <c r="T239" i="21"/>
  <c r="U239" i="21"/>
  <c r="V239" i="21"/>
  <c r="W239" i="21"/>
  <c r="X239" i="21"/>
  <c r="Y239" i="21"/>
  <c r="Z239" i="21"/>
  <c r="T240" i="21"/>
  <c r="U240" i="21"/>
  <c r="V240" i="21"/>
  <c r="W240" i="21"/>
  <c r="X240" i="21"/>
  <c r="Y240" i="21"/>
  <c r="Z240" i="21"/>
  <c r="T241" i="21"/>
  <c r="U241" i="21"/>
  <c r="V241" i="21"/>
  <c r="W241" i="21"/>
  <c r="X241" i="21"/>
  <c r="Y241" i="21"/>
  <c r="Z241" i="21"/>
  <c r="T242" i="21"/>
  <c r="U242" i="21"/>
  <c r="V242" i="21"/>
  <c r="W242" i="21"/>
  <c r="X242" i="21"/>
  <c r="Y242" i="21"/>
  <c r="Z242" i="21"/>
  <c r="T243" i="21"/>
  <c r="U243" i="21"/>
  <c r="V243" i="21"/>
  <c r="W243" i="21"/>
  <c r="X243" i="21"/>
  <c r="Y243" i="21"/>
  <c r="Z243" i="21"/>
  <c r="T244" i="21"/>
  <c r="U244" i="21"/>
  <c r="V244" i="21"/>
  <c r="W244" i="21"/>
  <c r="X244" i="21"/>
  <c r="Y244" i="21"/>
  <c r="Z244" i="21"/>
  <c r="T245" i="21"/>
  <c r="U245" i="21"/>
  <c r="V245" i="21"/>
  <c r="W245" i="21"/>
  <c r="X245" i="21"/>
  <c r="Y245" i="21"/>
  <c r="Z245" i="21"/>
  <c r="T246" i="21"/>
  <c r="U246" i="21"/>
  <c r="V246" i="21"/>
  <c r="W246" i="21"/>
  <c r="X246" i="21"/>
  <c r="Y246" i="21"/>
  <c r="Z246" i="21"/>
  <c r="T247" i="21"/>
  <c r="U247" i="21"/>
  <c r="V247" i="21"/>
  <c r="W247" i="21"/>
  <c r="X247" i="21"/>
  <c r="Y247" i="21"/>
  <c r="Z247" i="21"/>
  <c r="U248" i="21"/>
  <c r="V248" i="21"/>
  <c r="W248" i="21"/>
  <c r="X248" i="21"/>
  <c r="Y248" i="21"/>
  <c r="Z248" i="21"/>
  <c r="U234" i="21"/>
  <c r="V234" i="21"/>
  <c r="W234" i="21"/>
  <c r="X234" i="21"/>
  <c r="Y234" i="21"/>
  <c r="Z234" i="21"/>
  <c r="T234" i="21"/>
  <c r="T229" i="21"/>
  <c r="T216" i="21"/>
  <c r="U216" i="21"/>
  <c r="V216" i="21"/>
  <c r="W216" i="21"/>
  <c r="X216" i="21"/>
  <c r="Y216" i="21"/>
  <c r="Z216" i="21"/>
  <c r="T217" i="21"/>
  <c r="U217" i="21"/>
  <c r="V217" i="21"/>
  <c r="W217" i="21"/>
  <c r="X217" i="21"/>
  <c r="Y217" i="21"/>
  <c r="Z217" i="21"/>
  <c r="T218" i="21"/>
  <c r="U218" i="21"/>
  <c r="V218" i="21"/>
  <c r="W218" i="21"/>
  <c r="X218" i="21"/>
  <c r="Y218" i="21"/>
  <c r="Z218" i="21"/>
  <c r="T219" i="21"/>
  <c r="U219" i="21"/>
  <c r="V219" i="21"/>
  <c r="W219" i="21"/>
  <c r="X219" i="21"/>
  <c r="Y219" i="21"/>
  <c r="Z219" i="21"/>
  <c r="T220" i="21"/>
  <c r="U220" i="21"/>
  <c r="V220" i="21"/>
  <c r="W220" i="21"/>
  <c r="X220" i="21"/>
  <c r="Y220" i="21"/>
  <c r="Z220" i="21"/>
  <c r="T221" i="21"/>
  <c r="U221" i="21"/>
  <c r="V221" i="21"/>
  <c r="W221" i="21"/>
  <c r="X221" i="21"/>
  <c r="Y221" i="21"/>
  <c r="Z221" i="21"/>
  <c r="T222" i="21"/>
  <c r="U222" i="21"/>
  <c r="V222" i="21"/>
  <c r="W222" i="21"/>
  <c r="X222" i="21"/>
  <c r="Y222" i="21"/>
  <c r="Z222" i="21"/>
  <c r="T223" i="21"/>
  <c r="U223" i="21"/>
  <c r="V223" i="21"/>
  <c r="W223" i="21"/>
  <c r="X223" i="21"/>
  <c r="Y223" i="21"/>
  <c r="Z223" i="21"/>
  <c r="T224" i="21"/>
  <c r="U224" i="21"/>
  <c r="V224" i="21"/>
  <c r="W224" i="21"/>
  <c r="X224" i="21"/>
  <c r="Y224" i="21"/>
  <c r="Z224" i="21"/>
  <c r="T225" i="21"/>
  <c r="U225" i="21"/>
  <c r="V225" i="21"/>
  <c r="W225" i="21"/>
  <c r="X225" i="21"/>
  <c r="Y225" i="21"/>
  <c r="Z225" i="21"/>
  <c r="T226" i="21"/>
  <c r="U226" i="21"/>
  <c r="V226" i="21"/>
  <c r="W226" i="21"/>
  <c r="X226" i="21"/>
  <c r="Y226" i="21"/>
  <c r="Z226" i="21"/>
  <c r="T227" i="21"/>
  <c r="U227" i="21"/>
  <c r="V227" i="21"/>
  <c r="W227" i="21"/>
  <c r="X227" i="21"/>
  <c r="Y227" i="21"/>
  <c r="Z227" i="21"/>
  <c r="T228" i="21"/>
  <c r="U228" i="21"/>
  <c r="V228" i="21"/>
  <c r="W228" i="21"/>
  <c r="X228" i="21"/>
  <c r="Y228" i="21"/>
  <c r="Z228" i="21"/>
  <c r="U229" i="21"/>
  <c r="V229" i="21"/>
  <c r="W229" i="21"/>
  <c r="X229" i="21"/>
  <c r="Y229" i="21"/>
  <c r="Z229" i="21"/>
  <c r="U215" i="21"/>
  <c r="V215" i="21"/>
  <c r="W215" i="21"/>
  <c r="X215" i="21"/>
  <c r="Y215" i="21"/>
  <c r="Z215" i="21"/>
  <c r="T215" i="21"/>
  <c r="T210" i="21"/>
  <c r="T197" i="21"/>
  <c r="U197" i="21"/>
  <c r="V197" i="21"/>
  <c r="W197" i="21"/>
  <c r="X197" i="21"/>
  <c r="Y197" i="21"/>
  <c r="Z197" i="21"/>
  <c r="T198" i="21"/>
  <c r="U198" i="21"/>
  <c r="V198" i="21"/>
  <c r="W198" i="21"/>
  <c r="X198" i="21"/>
  <c r="Y198" i="21"/>
  <c r="Z198" i="21"/>
  <c r="T199" i="21"/>
  <c r="U199" i="21"/>
  <c r="V199" i="21"/>
  <c r="W199" i="21"/>
  <c r="X199" i="21"/>
  <c r="Y199" i="21"/>
  <c r="Z199" i="21"/>
  <c r="T200" i="21"/>
  <c r="U200" i="21"/>
  <c r="V200" i="21"/>
  <c r="W200" i="21"/>
  <c r="X200" i="21"/>
  <c r="Y200" i="21"/>
  <c r="Z200" i="21"/>
  <c r="T201" i="21"/>
  <c r="U201" i="21"/>
  <c r="V201" i="21"/>
  <c r="W201" i="21"/>
  <c r="X201" i="21"/>
  <c r="Y201" i="21"/>
  <c r="Z201" i="21"/>
  <c r="T202" i="21"/>
  <c r="U202" i="21"/>
  <c r="V202" i="21"/>
  <c r="W202" i="21"/>
  <c r="X202" i="21"/>
  <c r="Y202" i="21"/>
  <c r="Z202" i="21"/>
  <c r="T203" i="21"/>
  <c r="U203" i="21"/>
  <c r="V203" i="21"/>
  <c r="W203" i="21"/>
  <c r="X203" i="21"/>
  <c r="Y203" i="21"/>
  <c r="Z203" i="21"/>
  <c r="T204" i="21"/>
  <c r="U204" i="21"/>
  <c r="V204" i="21"/>
  <c r="W204" i="21"/>
  <c r="X204" i="21"/>
  <c r="Y204" i="21"/>
  <c r="Z204" i="21"/>
  <c r="T205" i="21"/>
  <c r="U205" i="21"/>
  <c r="V205" i="21"/>
  <c r="W205" i="21"/>
  <c r="X205" i="21"/>
  <c r="Y205" i="21"/>
  <c r="Z205" i="21"/>
  <c r="T206" i="21"/>
  <c r="U206" i="21"/>
  <c r="V206" i="21"/>
  <c r="W206" i="21"/>
  <c r="X206" i="21"/>
  <c r="Y206" i="21"/>
  <c r="Z206" i="21"/>
  <c r="T207" i="21"/>
  <c r="U207" i="21"/>
  <c r="V207" i="21"/>
  <c r="W207" i="21"/>
  <c r="X207" i="21"/>
  <c r="Y207" i="21"/>
  <c r="Z207" i="21"/>
  <c r="T208" i="21"/>
  <c r="U208" i="21"/>
  <c r="V208" i="21"/>
  <c r="W208" i="21"/>
  <c r="X208" i="21"/>
  <c r="Y208" i="21"/>
  <c r="Z208" i="21"/>
  <c r="T209" i="21"/>
  <c r="U209" i="21"/>
  <c r="V209" i="21"/>
  <c r="W209" i="21"/>
  <c r="X209" i="21"/>
  <c r="Y209" i="21"/>
  <c r="Z209" i="21"/>
  <c r="U210" i="21"/>
  <c r="V210" i="21"/>
  <c r="W210" i="21"/>
  <c r="X210" i="21"/>
  <c r="Y210" i="21"/>
  <c r="Z210" i="21"/>
  <c r="U196" i="21"/>
  <c r="V196" i="21"/>
  <c r="W196" i="21"/>
  <c r="X196" i="21"/>
  <c r="Y196" i="21"/>
  <c r="Z196" i="21"/>
  <c r="T196" i="21"/>
  <c r="T191" i="21"/>
  <c r="T178" i="21"/>
  <c r="U178" i="21"/>
  <c r="V178" i="21"/>
  <c r="W178" i="21"/>
  <c r="X178" i="21"/>
  <c r="Y178" i="21"/>
  <c r="Z178" i="21"/>
  <c r="T179" i="21"/>
  <c r="U179" i="21"/>
  <c r="V179" i="21"/>
  <c r="W179" i="21"/>
  <c r="X179" i="21"/>
  <c r="Y179" i="21"/>
  <c r="Z179" i="21"/>
  <c r="T180" i="21"/>
  <c r="U180" i="21"/>
  <c r="V180" i="21"/>
  <c r="W180" i="21"/>
  <c r="X180" i="21"/>
  <c r="Y180" i="21"/>
  <c r="Z180" i="21"/>
  <c r="T181" i="21"/>
  <c r="U181" i="21"/>
  <c r="V181" i="21"/>
  <c r="W181" i="21"/>
  <c r="X181" i="21"/>
  <c r="Y181" i="21"/>
  <c r="Z181" i="21"/>
  <c r="T182" i="21"/>
  <c r="U182" i="21"/>
  <c r="V182" i="21"/>
  <c r="W182" i="21"/>
  <c r="X182" i="21"/>
  <c r="Y182" i="21"/>
  <c r="Z182" i="21"/>
  <c r="T183" i="21"/>
  <c r="U183" i="21"/>
  <c r="V183" i="21"/>
  <c r="W183" i="21"/>
  <c r="X183" i="21"/>
  <c r="Y183" i="21"/>
  <c r="Z183" i="21"/>
  <c r="T184" i="21"/>
  <c r="U184" i="21"/>
  <c r="V184" i="21"/>
  <c r="W184" i="21"/>
  <c r="X184" i="21"/>
  <c r="Y184" i="21"/>
  <c r="Z184" i="21"/>
  <c r="T185" i="21"/>
  <c r="U185" i="21"/>
  <c r="V185" i="21"/>
  <c r="W185" i="21"/>
  <c r="X185" i="21"/>
  <c r="Y185" i="21"/>
  <c r="Z185" i="21"/>
  <c r="T186" i="21"/>
  <c r="U186" i="21"/>
  <c r="V186" i="21"/>
  <c r="W186" i="21"/>
  <c r="X186" i="21"/>
  <c r="Y186" i="21"/>
  <c r="Z186" i="21"/>
  <c r="T187" i="21"/>
  <c r="U187" i="21"/>
  <c r="V187" i="21"/>
  <c r="W187" i="21"/>
  <c r="X187" i="21"/>
  <c r="Y187" i="21"/>
  <c r="Z187" i="21"/>
  <c r="T188" i="21"/>
  <c r="U188" i="21"/>
  <c r="V188" i="21"/>
  <c r="W188" i="21"/>
  <c r="X188" i="21"/>
  <c r="Y188" i="21"/>
  <c r="Z188" i="21"/>
  <c r="T189" i="21"/>
  <c r="U189" i="21"/>
  <c r="V189" i="21"/>
  <c r="W189" i="21"/>
  <c r="X189" i="21"/>
  <c r="Y189" i="21"/>
  <c r="Z189" i="21"/>
  <c r="T190" i="21"/>
  <c r="U190" i="21"/>
  <c r="V190" i="21"/>
  <c r="W190" i="21"/>
  <c r="X190" i="21"/>
  <c r="Y190" i="21"/>
  <c r="Z190" i="21"/>
  <c r="U191" i="21"/>
  <c r="V191" i="21"/>
  <c r="W191" i="21"/>
  <c r="X191" i="21"/>
  <c r="Y191" i="21"/>
  <c r="Z191" i="21"/>
  <c r="U177" i="21"/>
  <c r="V177" i="21"/>
  <c r="W177" i="21"/>
  <c r="X177" i="21"/>
  <c r="Y177" i="21"/>
  <c r="Z177" i="21"/>
  <c r="T177" i="21"/>
  <c r="T172" i="21"/>
  <c r="T159" i="21"/>
  <c r="U159" i="21"/>
  <c r="V159" i="21"/>
  <c r="W159" i="21"/>
  <c r="X159" i="21"/>
  <c r="Y159" i="21"/>
  <c r="Z159" i="21"/>
  <c r="T160" i="21"/>
  <c r="U160" i="21"/>
  <c r="V160" i="21"/>
  <c r="W160" i="21"/>
  <c r="X160" i="21"/>
  <c r="Y160" i="21"/>
  <c r="Z160" i="21"/>
  <c r="T161" i="21"/>
  <c r="U161" i="21"/>
  <c r="V161" i="21"/>
  <c r="W161" i="21"/>
  <c r="X161" i="21"/>
  <c r="Y161" i="21"/>
  <c r="Z161" i="21"/>
  <c r="T162" i="21"/>
  <c r="U162" i="21"/>
  <c r="V162" i="21"/>
  <c r="W162" i="21"/>
  <c r="X162" i="21"/>
  <c r="Y162" i="21"/>
  <c r="Z162" i="21"/>
  <c r="T163" i="21"/>
  <c r="U163" i="21"/>
  <c r="V163" i="21"/>
  <c r="W163" i="21"/>
  <c r="X163" i="21"/>
  <c r="Y163" i="21"/>
  <c r="Z163" i="21"/>
  <c r="T164" i="21"/>
  <c r="U164" i="21"/>
  <c r="V164" i="21"/>
  <c r="W164" i="21"/>
  <c r="X164" i="21"/>
  <c r="Y164" i="21"/>
  <c r="Z164" i="21"/>
  <c r="T165" i="21"/>
  <c r="U165" i="21"/>
  <c r="V165" i="21"/>
  <c r="W165" i="21"/>
  <c r="X165" i="21"/>
  <c r="Y165" i="21"/>
  <c r="Z165" i="21"/>
  <c r="T166" i="21"/>
  <c r="U166" i="21"/>
  <c r="V166" i="21"/>
  <c r="W166" i="21"/>
  <c r="X166" i="21"/>
  <c r="Y166" i="21"/>
  <c r="Z166" i="21"/>
  <c r="T167" i="21"/>
  <c r="U167" i="21"/>
  <c r="V167" i="21"/>
  <c r="W167" i="21"/>
  <c r="X167" i="21"/>
  <c r="Y167" i="21"/>
  <c r="Z167" i="21"/>
  <c r="T168" i="21"/>
  <c r="U168" i="21"/>
  <c r="V168" i="21"/>
  <c r="W168" i="21"/>
  <c r="X168" i="21"/>
  <c r="Y168" i="21"/>
  <c r="Z168" i="21"/>
  <c r="T169" i="21"/>
  <c r="U169" i="21"/>
  <c r="V169" i="21"/>
  <c r="W169" i="21"/>
  <c r="X169" i="21"/>
  <c r="Y169" i="21"/>
  <c r="Z169" i="21"/>
  <c r="T170" i="21"/>
  <c r="U170" i="21"/>
  <c r="V170" i="21"/>
  <c r="W170" i="21"/>
  <c r="X170" i="21"/>
  <c r="Y170" i="21"/>
  <c r="Z170" i="21"/>
  <c r="T171" i="21"/>
  <c r="U171" i="21"/>
  <c r="V171" i="21"/>
  <c r="W171" i="21"/>
  <c r="X171" i="21"/>
  <c r="Y171" i="21"/>
  <c r="Z171" i="21"/>
  <c r="U172" i="21"/>
  <c r="V172" i="21"/>
  <c r="W172" i="21"/>
  <c r="X172" i="21"/>
  <c r="Y172" i="21"/>
  <c r="Z172" i="21"/>
  <c r="U158" i="21"/>
  <c r="V158" i="21"/>
  <c r="W158" i="21"/>
  <c r="X158" i="21"/>
  <c r="Y158" i="21"/>
  <c r="Z158" i="21"/>
  <c r="T158" i="21"/>
  <c r="T153" i="21"/>
  <c r="T140" i="21"/>
  <c r="U140" i="21"/>
  <c r="V140" i="21"/>
  <c r="W140" i="21"/>
  <c r="X140" i="21"/>
  <c r="Y140" i="21"/>
  <c r="Z140" i="21"/>
  <c r="T141" i="21"/>
  <c r="U141" i="21"/>
  <c r="V141" i="21"/>
  <c r="W141" i="21"/>
  <c r="X141" i="21"/>
  <c r="Y141" i="21"/>
  <c r="Z141" i="21"/>
  <c r="T142" i="21"/>
  <c r="U142" i="21"/>
  <c r="V142" i="21"/>
  <c r="W142" i="21"/>
  <c r="X142" i="21"/>
  <c r="Y142" i="21"/>
  <c r="Z142" i="21"/>
  <c r="T143" i="21"/>
  <c r="U143" i="21"/>
  <c r="V143" i="21"/>
  <c r="W143" i="21"/>
  <c r="X143" i="21"/>
  <c r="Y143" i="21"/>
  <c r="Z143" i="21"/>
  <c r="T144" i="21"/>
  <c r="U144" i="21"/>
  <c r="V144" i="21"/>
  <c r="W144" i="21"/>
  <c r="X144" i="21"/>
  <c r="Y144" i="21"/>
  <c r="Z144" i="21"/>
  <c r="T145" i="21"/>
  <c r="U145" i="21"/>
  <c r="V145" i="21"/>
  <c r="W145" i="21"/>
  <c r="X145" i="21"/>
  <c r="Y145" i="21"/>
  <c r="Z145" i="21"/>
  <c r="T146" i="21"/>
  <c r="U146" i="21"/>
  <c r="V146" i="21"/>
  <c r="W146" i="21"/>
  <c r="X146" i="21"/>
  <c r="Y146" i="21"/>
  <c r="Z146" i="21"/>
  <c r="T147" i="21"/>
  <c r="U147" i="21"/>
  <c r="V147" i="21"/>
  <c r="W147" i="21"/>
  <c r="X147" i="21"/>
  <c r="Y147" i="21"/>
  <c r="Z147" i="21"/>
  <c r="T148" i="21"/>
  <c r="U148" i="21"/>
  <c r="V148" i="21"/>
  <c r="W148" i="21"/>
  <c r="X148" i="21"/>
  <c r="Y148" i="21"/>
  <c r="Z148" i="21"/>
  <c r="T149" i="21"/>
  <c r="U149" i="21"/>
  <c r="V149" i="21"/>
  <c r="W149" i="21"/>
  <c r="X149" i="21"/>
  <c r="Y149" i="21"/>
  <c r="Z149" i="21"/>
  <c r="T150" i="21"/>
  <c r="U150" i="21"/>
  <c r="V150" i="21"/>
  <c r="W150" i="21"/>
  <c r="X150" i="21"/>
  <c r="Y150" i="21"/>
  <c r="Z150" i="21"/>
  <c r="T151" i="21"/>
  <c r="U151" i="21"/>
  <c r="V151" i="21"/>
  <c r="W151" i="21"/>
  <c r="X151" i="21"/>
  <c r="Y151" i="21"/>
  <c r="Z151" i="21"/>
  <c r="T152" i="21"/>
  <c r="U152" i="21"/>
  <c r="V152" i="21"/>
  <c r="W152" i="21"/>
  <c r="X152" i="21"/>
  <c r="Y152" i="21"/>
  <c r="Z152" i="21"/>
  <c r="U153" i="21"/>
  <c r="V153" i="21"/>
  <c r="W153" i="21"/>
  <c r="X153" i="21"/>
  <c r="Y153" i="21"/>
  <c r="Z153" i="21"/>
  <c r="U139" i="21"/>
  <c r="V139" i="21"/>
  <c r="W139" i="21"/>
  <c r="X139" i="21"/>
  <c r="Y139" i="21"/>
  <c r="Z139" i="21"/>
  <c r="T139" i="21"/>
  <c r="T134" i="21"/>
  <c r="T121" i="21"/>
  <c r="U121" i="21"/>
  <c r="V121" i="21"/>
  <c r="W121" i="21"/>
  <c r="X121" i="21"/>
  <c r="Y121" i="21"/>
  <c r="Z121" i="21"/>
  <c r="T122" i="21"/>
  <c r="U122" i="21"/>
  <c r="V122" i="21"/>
  <c r="W122" i="21"/>
  <c r="X122" i="21"/>
  <c r="Y122" i="21"/>
  <c r="Z122" i="21"/>
  <c r="T123" i="21"/>
  <c r="U123" i="21"/>
  <c r="V123" i="21"/>
  <c r="W123" i="21"/>
  <c r="X123" i="21"/>
  <c r="Y123" i="21"/>
  <c r="Z123" i="21"/>
  <c r="T124" i="21"/>
  <c r="U124" i="21"/>
  <c r="V124" i="21"/>
  <c r="W124" i="21"/>
  <c r="X124" i="21"/>
  <c r="Y124" i="21"/>
  <c r="Z124" i="21"/>
  <c r="T125" i="21"/>
  <c r="U125" i="21"/>
  <c r="V125" i="21"/>
  <c r="W125" i="21"/>
  <c r="X125" i="21"/>
  <c r="Y125" i="21"/>
  <c r="Z125" i="21"/>
  <c r="T126" i="21"/>
  <c r="U126" i="21"/>
  <c r="V126" i="21"/>
  <c r="W126" i="21"/>
  <c r="X126" i="21"/>
  <c r="Y126" i="21"/>
  <c r="Z126" i="21"/>
  <c r="T127" i="21"/>
  <c r="U127" i="21"/>
  <c r="V127" i="21"/>
  <c r="W127" i="21"/>
  <c r="X127" i="21"/>
  <c r="Y127" i="21"/>
  <c r="Z127" i="21"/>
  <c r="T128" i="21"/>
  <c r="U128" i="21"/>
  <c r="V128" i="21"/>
  <c r="W128" i="21"/>
  <c r="X128" i="21"/>
  <c r="Y128" i="21"/>
  <c r="Z128" i="21"/>
  <c r="T129" i="21"/>
  <c r="U129" i="21"/>
  <c r="V129" i="21"/>
  <c r="W129" i="21"/>
  <c r="X129" i="21"/>
  <c r="Y129" i="21"/>
  <c r="Z129" i="21"/>
  <c r="T130" i="21"/>
  <c r="U130" i="21"/>
  <c r="V130" i="21"/>
  <c r="W130" i="21"/>
  <c r="X130" i="21"/>
  <c r="Y130" i="21"/>
  <c r="Z130" i="21"/>
  <c r="T131" i="21"/>
  <c r="U131" i="21"/>
  <c r="V131" i="21"/>
  <c r="W131" i="21"/>
  <c r="X131" i="21"/>
  <c r="Y131" i="21"/>
  <c r="Z131" i="21"/>
  <c r="T132" i="21"/>
  <c r="U132" i="21"/>
  <c r="V132" i="21"/>
  <c r="W132" i="21"/>
  <c r="X132" i="21"/>
  <c r="Y132" i="21"/>
  <c r="Z132" i="21"/>
  <c r="T133" i="21"/>
  <c r="U133" i="21"/>
  <c r="V133" i="21"/>
  <c r="W133" i="21"/>
  <c r="X133" i="21"/>
  <c r="Y133" i="21"/>
  <c r="Z133" i="21"/>
  <c r="U134" i="21"/>
  <c r="V134" i="21"/>
  <c r="W134" i="21"/>
  <c r="X134" i="21"/>
  <c r="Y134" i="21"/>
  <c r="Z134" i="21"/>
  <c r="Z120" i="21"/>
  <c r="U120" i="21"/>
  <c r="V120" i="21"/>
  <c r="W120" i="21"/>
  <c r="X120" i="21"/>
  <c r="Y120" i="21"/>
  <c r="T120" i="21"/>
  <c r="T115" i="21"/>
  <c r="T102" i="21"/>
  <c r="U102" i="21"/>
  <c r="V102" i="21"/>
  <c r="W102" i="21"/>
  <c r="X102" i="21"/>
  <c r="Y102" i="21"/>
  <c r="Z102" i="21"/>
  <c r="T103" i="21"/>
  <c r="U103" i="21"/>
  <c r="V103" i="21"/>
  <c r="W103" i="21"/>
  <c r="X103" i="21"/>
  <c r="Y103" i="21"/>
  <c r="Z103" i="21"/>
  <c r="T104" i="21"/>
  <c r="U104" i="21"/>
  <c r="V104" i="21"/>
  <c r="W104" i="21"/>
  <c r="X104" i="21"/>
  <c r="Y104" i="21"/>
  <c r="Z104" i="21"/>
  <c r="T105" i="21"/>
  <c r="U105" i="21"/>
  <c r="V105" i="21"/>
  <c r="W105" i="21"/>
  <c r="X105" i="21"/>
  <c r="Y105" i="21"/>
  <c r="Z105" i="21"/>
  <c r="T106" i="21"/>
  <c r="U106" i="21"/>
  <c r="V106" i="21"/>
  <c r="W106" i="21"/>
  <c r="X106" i="21"/>
  <c r="Y106" i="21"/>
  <c r="Z106" i="21"/>
  <c r="T107" i="21"/>
  <c r="U107" i="21"/>
  <c r="V107" i="21"/>
  <c r="W107" i="21"/>
  <c r="X107" i="21"/>
  <c r="Y107" i="21"/>
  <c r="Z107" i="21"/>
  <c r="T108" i="21"/>
  <c r="U108" i="21"/>
  <c r="V108" i="21"/>
  <c r="W108" i="21"/>
  <c r="X108" i="21"/>
  <c r="Y108" i="21"/>
  <c r="Z108" i="21"/>
  <c r="T109" i="21"/>
  <c r="U109" i="21"/>
  <c r="V109" i="21"/>
  <c r="W109" i="21"/>
  <c r="X109" i="21"/>
  <c r="Y109" i="21"/>
  <c r="Z109" i="21"/>
  <c r="T110" i="21"/>
  <c r="U110" i="21"/>
  <c r="V110" i="21"/>
  <c r="W110" i="21"/>
  <c r="X110" i="21"/>
  <c r="Y110" i="21"/>
  <c r="Z110" i="21"/>
  <c r="T111" i="21"/>
  <c r="U111" i="21"/>
  <c r="V111" i="21"/>
  <c r="W111" i="21"/>
  <c r="X111" i="21"/>
  <c r="Y111" i="21"/>
  <c r="Z111" i="21"/>
  <c r="T112" i="21"/>
  <c r="U112" i="21"/>
  <c r="V112" i="21"/>
  <c r="W112" i="21"/>
  <c r="X112" i="21"/>
  <c r="Y112" i="21"/>
  <c r="Z112" i="21"/>
  <c r="T113" i="21"/>
  <c r="U113" i="21"/>
  <c r="V113" i="21"/>
  <c r="W113" i="21"/>
  <c r="X113" i="21"/>
  <c r="Y113" i="21"/>
  <c r="Z113" i="21"/>
  <c r="T114" i="21"/>
  <c r="U114" i="21"/>
  <c r="V114" i="21"/>
  <c r="W114" i="21"/>
  <c r="X114" i="21"/>
  <c r="Y114" i="21"/>
  <c r="Z114" i="21"/>
  <c r="U115" i="21"/>
  <c r="V115" i="21"/>
  <c r="W115" i="21"/>
  <c r="X115" i="21"/>
  <c r="Y115" i="21"/>
  <c r="Z115" i="21"/>
  <c r="U101" i="21"/>
  <c r="V101" i="21"/>
  <c r="W101" i="21"/>
  <c r="X101" i="21"/>
  <c r="Y101" i="21"/>
  <c r="Z101" i="21"/>
  <c r="T101" i="21"/>
  <c r="T96" i="21"/>
  <c r="U83" i="21"/>
  <c r="V83" i="21"/>
  <c r="W83" i="21"/>
  <c r="X83" i="21"/>
  <c r="Y83" i="21"/>
  <c r="Z83" i="21"/>
  <c r="U84" i="21"/>
  <c r="V84" i="21"/>
  <c r="W84" i="21"/>
  <c r="X84" i="21"/>
  <c r="Y84" i="21"/>
  <c r="Z84" i="21"/>
  <c r="U85" i="21"/>
  <c r="V85" i="21"/>
  <c r="W85" i="21"/>
  <c r="X85" i="21"/>
  <c r="Y85" i="21"/>
  <c r="Z85" i="21"/>
  <c r="U86" i="21"/>
  <c r="V86" i="21"/>
  <c r="W86" i="21"/>
  <c r="X86" i="21"/>
  <c r="Y86" i="21"/>
  <c r="Z86" i="21"/>
  <c r="U87" i="21"/>
  <c r="V87" i="21"/>
  <c r="W87" i="21"/>
  <c r="X87" i="21"/>
  <c r="Y87" i="21"/>
  <c r="Z87" i="21"/>
  <c r="U88" i="21"/>
  <c r="V88" i="21"/>
  <c r="W88" i="21"/>
  <c r="X88" i="21"/>
  <c r="Y88" i="21"/>
  <c r="Z88" i="21"/>
  <c r="U89" i="21"/>
  <c r="V89" i="21"/>
  <c r="W89" i="21"/>
  <c r="X89" i="21"/>
  <c r="Y89" i="21"/>
  <c r="Z89" i="21"/>
  <c r="U90" i="21"/>
  <c r="V90" i="21"/>
  <c r="W90" i="21"/>
  <c r="X90" i="21"/>
  <c r="Y90" i="21"/>
  <c r="Z90" i="21"/>
  <c r="U91" i="21"/>
  <c r="V91" i="21"/>
  <c r="W91" i="21"/>
  <c r="X91" i="21"/>
  <c r="Y91" i="21"/>
  <c r="Z91" i="21"/>
  <c r="U92" i="21"/>
  <c r="V92" i="21"/>
  <c r="W92" i="21"/>
  <c r="X92" i="21"/>
  <c r="Y92" i="21"/>
  <c r="Z92" i="21"/>
  <c r="U93" i="21"/>
  <c r="V93" i="21"/>
  <c r="W93" i="21"/>
  <c r="X93" i="21"/>
  <c r="Y93" i="21"/>
  <c r="Z93" i="21"/>
  <c r="U94" i="21"/>
  <c r="V94" i="21"/>
  <c r="W94" i="21"/>
  <c r="X94" i="21"/>
  <c r="Y94" i="21"/>
  <c r="Z94" i="21"/>
  <c r="U95" i="21"/>
  <c r="V95" i="21"/>
  <c r="W95" i="21"/>
  <c r="X95" i="21"/>
  <c r="Y95" i="21"/>
  <c r="Z95" i="21"/>
  <c r="U96" i="21"/>
  <c r="V96" i="21"/>
  <c r="W96" i="21"/>
  <c r="X96" i="21"/>
  <c r="Y96" i="21"/>
  <c r="Z96" i="21"/>
  <c r="U82" i="21"/>
  <c r="V82" i="21"/>
  <c r="W82" i="21"/>
  <c r="X82" i="21"/>
  <c r="Y82" i="21"/>
  <c r="Z82" i="21"/>
  <c r="T83" i="21"/>
  <c r="T84" i="21"/>
  <c r="T85" i="21"/>
  <c r="T86" i="21"/>
  <c r="T87" i="21"/>
  <c r="T88" i="21"/>
  <c r="T89" i="21"/>
  <c r="T90" i="21"/>
  <c r="T91" i="21"/>
  <c r="T92" i="21"/>
  <c r="T93" i="21"/>
  <c r="T94" i="21"/>
  <c r="T95" i="21"/>
  <c r="T82" i="21"/>
  <c r="T77" i="21"/>
  <c r="U64" i="21"/>
  <c r="V64" i="21"/>
  <c r="W64" i="21"/>
  <c r="X64" i="21"/>
  <c r="Y64" i="21"/>
  <c r="Z64" i="21"/>
  <c r="U65" i="21"/>
  <c r="V65" i="21"/>
  <c r="W65" i="21"/>
  <c r="X65" i="21"/>
  <c r="Y65" i="21"/>
  <c r="Z65" i="21"/>
  <c r="U66" i="21"/>
  <c r="V66" i="21"/>
  <c r="W66" i="21"/>
  <c r="X66" i="21"/>
  <c r="Y66" i="21"/>
  <c r="Z66" i="21"/>
  <c r="U67" i="21"/>
  <c r="V67" i="21"/>
  <c r="W67" i="21"/>
  <c r="X67" i="21"/>
  <c r="Y67" i="21"/>
  <c r="Z67" i="21"/>
  <c r="U68" i="21"/>
  <c r="V68" i="21"/>
  <c r="W68" i="21"/>
  <c r="X68" i="21"/>
  <c r="Y68" i="21"/>
  <c r="Z68" i="21"/>
  <c r="U69" i="21"/>
  <c r="V69" i="21"/>
  <c r="W69" i="21"/>
  <c r="X69" i="21"/>
  <c r="Y69" i="21"/>
  <c r="Z69" i="21"/>
  <c r="U70" i="21"/>
  <c r="V70" i="21"/>
  <c r="W70" i="21"/>
  <c r="X70" i="21"/>
  <c r="Y70" i="21"/>
  <c r="Z70" i="21"/>
  <c r="U71" i="21"/>
  <c r="V71" i="21"/>
  <c r="W71" i="21"/>
  <c r="X71" i="21"/>
  <c r="Y71" i="21"/>
  <c r="Z71" i="21"/>
  <c r="U72" i="21"/>
  <c r="V72" i="21"/>
  <c r="W72" i="21"/>
  <c r="X72" i="21"/>
  <c r="Y72" i="21"/>
  <c r="Z72" i="21"/>
  <c r="U73" i="21"/>
  <c r="V73" i="21"/>
  <c r="W73" i="21"/>
  <c r="X73" i="21"/>
  <c r="Y73" i="21"/>
  <c r="Z73" i="21"/>
  <c r="U74" i="21"/>
  <c r="V74" i="21"/>
  <c r="W74" i="21"/>
  <c r="X74" i="21"/>
  <c r="Y74" i="21"/>
  <c r="Z74" i="21"/>
  <c r="U75" i="21"/>
  <c r="V75" i="21"/>
  <c r="W75" i="21"/>
  <c r="X75" i="21"/>
  <c r="Y75" i="21"/>
  <c r="Z75" i="21"/>
  <c r="U76" i="21"/>
  <c r="V76" i="21"/>
  <c r="W76" i="21"/>
  <c r="X76" i="21"/>
  <c r="Y76" i="21"/>
  <c r="Z76" i="21"/>
  <c r="U77" i="21"/>
  <c r="V77" i="21"/>
  <c r="W77" i="21"/>
  <c r="X77" i="21"/>
  <c r="Y77" i="21"/>
  <c r="Z77" i="21"/>
  <c r="U63" i="21"/>
  <c r="V63" i="21"/>
  <c r="W63" i="21"/>
  <c r="X63" i="21"/>
  <c r="Y63" i="21"/>
  <c r="Z63" i="21"/>
  <c r="T64" i="21"/>
  <c r="T65" i="21"/>
  <c r="T66" i="21"/>
  <c r="T67" i="21"/>
  <c r="T68" i="21"/>
  <c r="T69" i="21"/>
  <c r="T70" i="21"/>
  <c r="T71" i="21"/>
  <c r="T72" i="21"/>
  <c r="T73" i="21"/>
  <c r="T74" i="21"/>
  <c r="T75" i="21"/>
  <c r="T76" i="21"/>
  <c r="T63" i="21"/>
  <c r="T58" i="21"/>
  <c r="U45" i="21"/>
  <c r="V45" i="21"/>
  <c r="W45" i="21"/>
  <c r="X45" i="21"/>
  <c r="Y45" i="21"/>
  <c r="Z45" i="21"/>
  <c r="U46" i="21"/>
  <c r="V46" i="21"/>
  <c r="W46" i="21"/>
  <c r="X46" i="21"/>
  <c r="Y46" i="21"/>
  <c r="Z46" i="21"/>
  <c r="U47" i="21"/>
  <c r="V47" i="21"/>
  <c r="W47" i="21"/>
  <c r="X47" i="21"/>
  <c r="Y47" i="21"/>
  <c r="Z47" i="21"/>
  <c r="U48" i="21"/>
  <c r="V48" i="21"/>
  <c r="W48" i="21"/>
  <c r="X48" i="21"/>
  <c r="Y48" i="21"/>
  <c r="Z48" i="21"/>
  <c r="U49" i="21"/>
  <c r="V49" i="21"/>
  <c r="W49" i="21"/>
  <c r="X49" i="21"/>
  <c r="Y49" i="21"/>
  <c r="Z49" i="21"/>
  <c r="U50" i="21"/>
  <c r="V50" i="21"/>
  <c r="W50" i="21"/>
  <c r="X50" i="21"/>
  <c r="Y50" i="21"/>
  <c r="Z50" i="21"/>
  <c r="U51" i="21"/>
  <c r="V51" i="21"/>
  <c r="W51" i="21"/>
  <c r="X51" i="21"/>
  <c r="Y51" i="21"/>
  <c r="Z51" i="21"/>
  <c r="U52" i="21"/>
  <c r="V52" i="21"/>
  <c r="W52" i="21"/>
  <c r="X52" i="21"/>
  <c r="Y52" i="21"/>
  <c r="Z52" i="21"/>
  <c r="U53" i="21"/>
  <c r="V53" i="21"/>
  <c r="W53" i="21"/>
  <c r="X53" i="21"/>
  <c r="Y53" i="21"/>
  <c r="Z53" i="21"/>
  <c r="U54" i="21"/>
  <c r="V54" i="21"/>
  <c r="W54" i="21"/>
  <c r="X54" i="21"/>
  <c r="Y54" i="21"/>
  <c r="Z54" i="21"/>
  <c r="U55" i="21"/>
  <c r="V55" i="21"/>
  <c r="W55" i="21"/>
  <c r="X55" i="21"/>
  <c r="Y55" i="21"/>
  <c r="Z55" i="21"/>
  <c r="U56" i="21"/>
  <c r="V56" i="21"/>
  <c r="W56" i="21"/>
  <c r="X56" i="21"/>
  <c r="Y56" i="21"/>
  <c r="Z56" i="21"/>
  <c r="U57" i="21"/>
  <c r="V57" i="21"/>
  <c r="W57" i="21"/>
  <c r="X57" i="21"/>
  <c r="Y57" i="21"/>
  <c r="Z57" i="21"/>
  <c r="U58" i="21"/>
  <c r="V58" i="21"/>
  <c r="W58" i="21"/>
  <c r="X58" i="21"/>
  <c r="Y58" i="21"/>
  <c r="Z58" i="21"/>
  <c r="U44" i="21"/>
  <c r="V44" i="21"/>
  <c r="W44" i="21"/>
  <c r="X44" i="21"/>
  <c r="Y44" i="21"/>
  <c r="Z44" i="21"/>
  <c r="T45" i="21"/>
  <c r="T46" i="21"/>
  <c r="T47" i="21"/>
  <c r="T48" i="21"/>
  <c r="T49" i="21"/>
  <c r="T50" i="21"/>
  <c r="T51" i="21"/>
  <c r="T52" i="21"/>
  <c r="T53" i="21"/>
  <c r="T54" i="21"/>
  <c r="T55" i="21"/>
  <c r="T56" i="21"/>
  <c r="T57" i="21"/>
  <c r="T44" i="21"/>
  <c r="T39" i="21"/>
  <c r="U26" i="21"/>
  <c r="V26" i="21"/>
  <c r="W26" i="21"/>
  <c r="X26" i="21"/>
  <c r="Y26" i="21"/>
  <c r="Z26" i="21"/>
  <c r="U27" i="21"/>
  <c r="V27" i="21"/>
  <c r="W27" i="21"/>
  <c r="X27" i="21"/>
  <c r="Y27" i="21"/>
  <c r="Z27" i="21"/>
  <c r="U28" i="21"/>
  <c r="V28" i="21"/>
  <c r="W28" i="21"/>
  <c r="X28" i="21"/>
  <c r="Y28" i="21"/>
  <c r="Z28" i="21"/>
  <c r="U29" i="21"/>
  <c r="V29" i="21"/>
  <c r="W29" i="21"/>
  <c r="X29" i="21"/>
  <c r="Y29" i="21"/>
  <c r="Z29" i="21"/>
  <c r="U30" i="21"/>
  <c r="V30" i="21"/>
  <c r="W30" i="21"/>
  <c r="X30" i="21"/>
  <c r="Y30" i="21"/>
  <c r="Z30" i="21"/>
  <c r="U31" i="21"/>
  <c r="V31" i="21"/>
  <c r="W31" i="21"/>
  <c r="X31" i="21"/>
  <c r="Y31" i="21"/>
  <c r="Z31" i="21"/>
  <c r="U32" i="21"/>
  <c r="V32" i="21"/>
  <c r="W32" i="21"/>
  <c r="X32" i="21"/>
  <c r="Y32" i="21"/>
  <c r="Z32" i="21"/>
  <c r="U33" i="21"/>
  <c r="V33" i="21"/>
  <c r="W33" i="21"/>
  <c r="X33" i="21"/>
  <c r="Y33" i="21"/>
  <c r="Z33" i="21"/>
  <c r="U34" i="21"/>
  <c r="V34" i="21"/>
  <c r="W34" i="21"/>
  <c r="X34" i="21"/>
  <c r="Y34" i="21"/>
  <c r="Z34" i="21"/>
  <c r="U35" i="21"/>
  <c r="V35" i="21"/>
  <c r="W35" i="21"/>
  <c r="X35" i="21"/>
  <c r="Y35" i="21"/>
  <c r="Z35" i="21"/>
  <c r="U36" i="21"/>
  <c r="V36" i="21"/>
  <c r="W36" i="21"/>
  <c r="X36" i="21"/>
  <c r="Y36" i="21"/>
  <c r="Z36" i="21"/>
  <c r="U37" i="21"/>
  <c r="V37" i="21"/>
  <c r="W37" i="21"/>
  <c r="X37" i="21"/>
  <c r="Y37" i="21"/>
  <c r="Z37" i="21"/>
  <c r="U38" i="21"/>
  <c r="V38" i="21"/>
  <c r="W38" i="21"/>
  <c r="X38" i="21"/>
  <c r="Y38" i="21"/>
  <c r="Z38" i="21"/>
  <c r="U39" i="21"/>
  <c r="V39" i="21"/>
  <c r="W39" i="21"/>
  <c r="X39" i="21"/>
  <c r="Y39" i="21"/>
  <c r="Z39" i="21"/>
  <c r="U25" i="21"/>
  <c r="V25" i="21"/>
  <c r="W25" i="21"/>
  <c r="X25" i="21"/>
  <c r="Y25" i="21"/>
  <c r="Z25" i="21"/>
  <c r="T26" i="21"/>
  <c r="T27" i="21"/>
  <c r="T28" i="21"/>
  <c r="T29" i="21"/>
  <c r="T30" i="21"/>
  <c r="T31" i="21"/>
  <c r="T32" i="21"/>
  <c r="T33" i="21"/>
  <c r="T34" i="21"/>
  <c r="T35" i="21"/>
  <c r="T36" i="21"/>
  <c r="T37" i="21"/>
  <c r="T38" i="21"/>
  <c r="T25" i="21"/>
  <c r="T20" i="21"/>
  <c r="U7" i="21"/>
  <c r="V7" i="21"/>
  <c r="W7" i="21"/>
  <c r="X7" i="21"/>
  <c r="Y7" i="21"/>
  <c r="Z7" i="21"/>
  <c r="U8" i="21"/>
  <c r="V8" i="21"/>
  <c r="W8" i="21"/>
  <c r="X8" i="21"/>
  <c r="Y8" i="21"/>
  <c r="Z8" i="21"/>
  <c r="U9" i="21"/>
  <c r="V9" i="21"/>
  <c r="W9" i="21"/>
  <c r="X9" i="21"/>
  <c r="Y9" i="21"/>
  <c r="Z9" i="21"/>
  <c r="U10" i="21"/>
  <c r="V10" i="21"/>
  <c r="W10" i="21"/>
  <c r="X10" i="21"/>
  <c r="Y10" i="21"/>
  <c r="Z10" i="21"/>
  <c r="U11" i="21"/>
  <c r="V11" i="21"/>
  <c r="W11" i="21"/>
  <c r="X11" i="21"/>
  <c r="Y11" i="21"/>
  <c r="Z11" i="21"/>
  <c r="U12" i="21"/>
  <c r="V12" i="21"/>
  <c r="W12" i="21"/>
  <c r="X12" i="21"/>
  <c r="Y12" i="21"/>
  <c r="Z12" i="21"/>
  <c r="U13" i="21"/>
  <c r="V13" i="21"/>
  <c r="W13" i="21"/>
  <c r="X13" i="21"/>
  <c r="Y13" i="21"/>
  <c r="Z13" i="21"/>
  <c r="U14" i="21"/>
  <c r="V14" i="21"/>
  <c r="W14" i="21"/>
  <c r="X14" i="21"/>
  <c r="Y14" i="21"/>
  <c r="Z14" i="21"/>
  <c r="U15" i="21"/>
  <c r="V15" i="21"/>
  <c r="W15" i="21"/>
  <c r="X15" i="21"/>
  <c r="Y15" i="21"/>
  <c r="Z15" i="21"/>
  <c r="U16" i="21"/>
  <c r="V16" i="21"/>
  <c r="W16" i="21"/>
  <c r="X16" i="21"/>
  <c r="Y16" i="21"/>
  <c r="Z16" i="21"/>
  <c r="U17" i="21"/>
  <c r="V17" i="21"/>
  <c r="W17" i="21"/>
  <c r="X17" i="21"/>
  <c r="Y17" i="21"/>
  <c r="Z17" i="21"/>
  <c r="U18" i="21"/>
  <c r="V18" i="21"/>
  <c r="W18" i="21"/>
  <c r="X18" i="21"/>
  <c r="Y18" i="21"/>
  <c r="Z18" i="21"/>
  <c r="U19" i="21"/>
  <c r="V19" i="21"/>
  <c r="W19" i="21"/>
  <c r="X19" i="21"/>
  <c r="Y19" i="21"/>
  <c r="Z19" i="21"/>
  <c r="U20" i="21"/>
  <c r="V20" i="21"/>
  <c r="W20" i="21"/>
  <c r="X20" i="21"/>
  <c r="Y20" i="21"/>
  <c r="Z20" i="21"/>
  <c r="U6" i="21"/>
  <c r="V6" i="21"/>
  <c r="W6" i="21"/>
  <c r="X6" i="21"/>
  <c r="Y6" i="21"/>
  <c r="Z6" i="21"/>
  <c r="T7" i="21"/>
  <c r="T8" i="21"/>
  <c r="T9" i="21"/>
  <c r="T10" i="21"/>
  <c r="T11" i="21"/>
  <c r="T12" i="21"/>
  <c r="T13" i="21"/>
  <c r="T14" i="21"/>
  <c r="T15" i="21"/>
  <c r="T16" i="21"/>
  <c r="T17" i="21"/>
  <c r="T18" i="21"/>
  <c r="T19" i="21"/>
  <c r="T6" i="21"/>
  <c r="K305" i="21"/>
  <c r="L292" i="21"/>
  <c r="M292" i="21"/>
  <c r="N292" i="21"/>
  <c r="O292" i="21"/>
  <c r="P292" i="21"/>
  <c r="Q292" i="21"/>
  <c r="L293" i="21"/>
  <c r="M293" i="21"/>
  <c r="N293" i="21"/>
  <c r="O293" i="21"/>
  <c r="P293" i="21"/>
  <c r="Q293" i="21"/>
  <c r="L294" i="21"/>
  <c r="M294" i="21"/>
  <c r="N294" i="21"/>
  <c r="O294" i="21"/>
  <c r="P294" i="21"/>
  <c r="Q294" i="21"/>
  <c r="L295" i="21"/>
  <c r="M295" i="21"/>
  <c r="N295" i="21"/>
  <c r="O295" i="21"/>
  <c r="P295" i="21"/>
  <c r="Q295" i="21"/>
  <c r="L296" i="21"/>
  <c r="M296" i="21"/>
  <c r="N296" i="21"/>
  <c r="O296" i="21"/>
  <c r="P296" i="21"/>
  <c r="Q296" i="21"/>
  <c r="L297" i="21"/>
  <c r="M297" i="21"/>
  <c r="N297" i="21"/>
  <c r="O297" i="21"/>
  <c r="P297" i="21"/>
  <c r="Q297" i="21"/>
  <c r="L298" i="21"/>
  <c r="M298" i="21"/>
  <c r="N298" i="21"/>
  <c r="O298" i="21"/>
  <c r="P298" i="21"/>
  <c r="Q298" i="21"/>
  <c r="L299" i="21"/>
  <c r="M299" i="21"/>
  <c r="N299" i="21"/>
  <c r="O299" i="21"/>
  <c r="P299" i="21"/>
  <c r="Q299" i="21"/>
  <c r="L300" i="21"/>
  <c r="M300" i="21"/>
  <c r="N300" i="21"/>
  <c r="O300" i="21"/>
  <c r="P300" i="21"/>
  <c r="Q300" i="21"/>
  <c r="L301" i="21"/>
  <c r="M301" i="21"/>
  <c r="N301" i="21"/>
  <c r="O301" i="21"/>
  <c r="P301" i="21"/>
  <c r="Q301" i="21"/>
  <c r="L302" i="21"/>
  <c r="M302" i="21"/>
  <c r="N302" i="21"/>
  <c r="O302" i="21"/>
  <c r="P302" i="21"/>
  <c r="Q302" i="21"/>
  <c r="L303" i="21"/>
  <c r="M303" i="21"/>
  <c r="N303" i="21"/>
  <c r="O303" i="21"/>
  <c r="P303" i="21"/>
  <c r="Q303" i="21"/>
  <c r="L304" i="21"/>
  <c r="M304" i="21"/>
  <c r="N304" i="21"/>
  <c r="O304" i="21"/>
  <c r="P304" i="21"/>
  <c r="Q304" i="21"/>
  <c r="L305" i="21"/>
  <c r="M305" i="21"/>
  <c r="N305" i="21"/>
  <c r="O305" i="21"/>
  <c r="P305" i="21"/>
  <c r="Q305" i="21"/>
  <c r="L291" i="21"/>
  <c r="M291" i="21"/>
  <c r="N291" i="21"/>
  <c r="O291" i="21"/>
  <c r="P291" i="21"/>
  <c r="Q291" i="21"/>
  <c r="K292" i="21"/>
  <c r="K293" i="21"/>
  <c r="K294" i="21"/>
  <c r="K295" i="21"/>
  <c r="K296" i="21"/>
  <c r="K297" i="21"/>
  <c r="K298" i="21"/>
  <c r="K299" i="21"/>
  <c r="K300" i="21"/>
  <c r="K301" i="21"/>
  <c r="K302" i="21"/>
  <c r="K303" i="21"/>
  <c r="K304" i="21"/>
  <c r="K291" i="21"/>
  <c r="K286" i="21"/>
  <c r="L273" i="21"/>
  <c r="M273" i="21"/>
  <c r="N273" i="21"/>
  <c r="O273" i="21"/>
  <c r="P273" i="21"/>
  <c r="Q273" i="21"/>
  <c r="L274" i="21"/>
  <c r="M274" i="21"/>
  <c r="N274" i="21"/>
  <c r="O274" i="21"/>
  <c r="P274" i="21"/>
  <c r="Q274" i="21"/>
  <c r="L275" i="21"/>
  <c r="M275" i="21"/>
  <c r="N275" i="21"/>
  <c r="O275" i="21"/>
  <c r="P275" i="21"/>
  <c r="Q275" i="21"/>
  <c r="L276" i="21"/>
  <c r="M276" i="21"/>
  <c r="N276" i="21"/>
  <c r="O276" i="21"/>
  <c r="P276" i="21"/>
  <c r="Q276" i="21"/>
  <c r="L277" i="21"/>
  <c r="M277" i="21"/>
  <c r="N277" i="21"/>
  <c r="O277" i="21"/>
  <c r="P277" i="21"/>
  <c r="Q277" i="21"/>
  <c r="L278" i="21"/>
  <c r="M278" i="21"/>
  <c r="N278" i="21"/>
  <c r="O278" i="21"/>
  <c r="P278" i="21"/>
  <c r="Q278" i="21"/>
  <c r="L279" i="21"/>
  <c r="M279" i="21"/>
  <c r="N279" i="21"/>
  <c r="O279" i="21"/>
  <c r="P279" i="21"/>
  <c r="Q279" i="21"/>
  <c r="L280" i="21"/>
  <c r="M280" i="21"/>
  <c r="N280" i="21"/>
  <c r="O280" i="21"/>
  <c r="P280" i="21"/>
  <c r="Q280" i="21"/>
  <c r="L281" i="21"/>
  <c r="M281" i="21"/>
  <c r="N281" i="21"/>
  <c r="O281" i="21"/>
  <c r="P281" i="21"/>
  <c r="Q281" i="21"/>
  <c r="L282" i="21"/>
  <c r="M282" i="21"/>
  <c r="N282" i="21"/>
  <c r="O282" i="21"/>
  <c r="P282" i="21"/>
  <c r="Q282" i="21"/>
  <c r="L283" i="21"/>
  <c r="M283" i="21"/>
  <c r="N283" i="21"/>
  <c r="O283" i="21"/>
  <c r="P283" i="21"/>
  <c r="Q283" i="21"/>
  <c r="L284" i="21"/>
  <c r="M284" i="21"/>
  <c r="N284" i="21"/>
  <c r="O284" i="21"/>
  <c r="P284" i="21"/>
  <c r="Q284" i="21"/>
  <c r="L285" i="21"/>
  <c r="M285" i="21"/>
  <c r="N285" i="21"/>
  <c r="O285" i="21"/>
  <c r="P285" i="21"/>
  <c r="Q285" i="21"/>
  <c r="L286" i="21"/>
  <c r="M286" i="21"/>
  <c r="N286" i="21"/>
  <c r="O286" i="21"/>
  <c r="P286" i="21"/>
  <c r="Q286" i="21"/>
  <c r="L272" i="21"/>
  <c r="M272" i="21"/>
  <c r="N272" i="21"/>
  <c r="O272" i="21"/>
  <c r="P272" i="21"/>
  <c r="Q272" i="21"/>
  <c r="K273" i="21"/>
  <c r="K274" i="21"/>
  <c r="K275" i="21"/>
  <c r="K276" i="21"/>
  <c r="K277" i="21"/>
  <c r="K278" i="21"/>
  <c r="K279" i="21"/>
  <c r="K280" i="21"/>
  <c r="K281" i="21"/>
  <c r="K282" i="21"/>
  <c r="K283" i="21"/>
  <c r="K284" i="21"/>
  <c r="K285" i="21"/>
  <c r="K272" i="21"/>
  <c r="K267" i="21"/>
  <c r="L254" i="21"/>
  <c r="M254" i="21"/>
  <c r="N254" i="21"/>
  <c r="O254" i="21"/>
  <c r="P254" i="21"/>
  <c r="Q254" i="21"/>
  <c r="L255" i="21"/>
  <c r="M255" i="21"/>
  <c r="N255" i="21"/>
  <c r="O255" i="21"/>
  <c r="P255" i="21"/>
  <c r="Q255" i="21"/>
  <c r="L256" i="21"/>
  <c r="M256" i="21"/>
  <c r="N256" i="21"/>
  <c r="O256" i="21"/>
  <c r="P256" i="21"/>
  <c r="Q256" i="21"/>
  <c r="L257" i="21"/>
  <c r="M257" i="21"/>
  <c r="N257" i="21"/>
  <c r="O257" i="21"/>
  <c r="P257" i="21"/>
  <c r="Q257" i="21"/>
  <c r="L258" i="21"/>
  <c r="M258" i="21"/>
  <c r="N258" i="21"/>
  <c r="O258" i="21"/>
  <c r="P258" i="21"/>
  <c r="Q258" i="21"/>
  <c r="L259" i="21"/>
  <c r="M259" i="21"/>
  <c r="N259" i="21"/>
  <c r="O259" i="21"/>
  <c r="P259" i="21"/>
  <c r="Q259" i="21"/>
  <c r="L260" i="21"/>
  <c r="M260" i="21"/>
  <c r="N260" i="21"/>
  <c r="O260" i="21"/>
  <c r="P260" i="21"/>
  <c r="Q260" i="21"/>
  <c r="L261" i="21"/>
  <c r="M261" i="21"/>
  <c r="N261" i="21"/>
  <c r="O261" i="21"/>
  <c r="P261" i="21"/>
  <c r="Q261" i="21"/>
  <c r="L262" i="21"/>
  <c r="M262" i="21"/>
  <c r="N262" i="21"/>
  <c r="O262" i="21"/>
  <c r="P262" i="21"/>
  <c r="Q262" i="21"/>
  <c r="L263" i="21"/>
  <c r="M263" i="21"/>
  <c r="N263" i="21"/>
  <c r="O263" i="21"/>
  <c r="P263" i="21"/>
  <c r="Q263" i="21"/>
  <c r="L264" i="21"/>
  <c r="M264" i="21"/>
  <c r="N264" i="21"/>
  <c r="O264" i="21"/>
  <c r="P264" i="21"/>
  <c r="Q264" i="21"/>
  <c r="L265" i="21"/>
  <c r="M265" i="21"/>
  <c r="N265" i="21"/>
  <c r="O265" i="21"/>
  <c r="P265" i="21"/>
  <c r="Q265" i="21"/>
  <c r="L266" i="21"/>
  <c r="M266" i="21"/>
  <c r="N266" i="21"/>
  <c r="O266" i="21"/>
  <c r="P266" i="21"/>
  <c r="Q266" i="21"/>
  <c r="L267" i="21"/>
  <c r="M267" i="21"/>
  <c r="N267" i="21"/>
  <c r="O267" i="21"/>
  <c r="P267" i="21"/>
  <c r="Q267" i="21"/>
  <c r="L253" i="21"/>
  <c r="M253" i="21"/>
  <c r="N253" i="21"/>
  <c r="O253" i="21"/>
  <c r="P253" i="21"/>
  <c r="Q253" i="21"/>
  <c r="K254" i="21"/>
  <c r="K255" i="21"/>
  <c r="K256" i="21"/>
  <c r="K257" i="21"/>
  <c r="K258" i="21"/>
  <c r="K259" i="21"/>
  <c r="K260" i="21"/>
  <c r="K261" i="21"/>
  <c r="K262" i="21"/>
  <c r="K263" i="21"/>
  <c r="K264" i="21"/>
  <c r="K265" i="21"/>
  <c r="K266" i="21"/>
  <c r="K253" i="21"/>
  <c r="K248" i="21"/>
  <c r="L235" i="21"/>
  <c r="M235" i="21"/>
  <c r="N235" i="21"/>
  <c r="O235" i="21"/>
  <c r="P235" i="21"/>
  <c r="Q235" i="21"/>
  <c r="L236" i="21"/>
  <c r="M236" i="21"/>
  <c r="N236" i="21"/>
  <c r="O236" i="21"/>
  <c r="P236" i="21"/>
  <c r="Q236" i="21"/>
  <c r="L237" i="21"/>
  <c r="M237" i="21"/>
  <c r="N237" i="21"/>
  <c r="O237" i="21"/>
  <c r="P237" i="21"/>
  <c r="Q237" i="21"/>
  <c r="L238" i="21"/>
  <c r="M238" i="21"/>
  <c r="N238" i="21"/>
  <c r="O238" i="21"/>
  <c r="P238" i="21"/>
  <c r="Q238" i="21"/>
  <c r="L239" i="21"/>
  <c r="M239" i="21"/>
  <c r="N239" i="21"/>
  <c r="O239" i="21"/>
  <c r="P239" i="21"/>
  <c r="Q239" i="21"/>
  <c r="L240" i="21"/>
  <c r="M240" i="21"/>
  <c r="N240" i="21"/>
  <c r="O240" i="21"/>
  <c r="P240" i="21"/>
  <c r="Q240" i="21"/>
  <c r="L241" i="21"/>
  <c r="M241" i="21"/>
  <c r="N241" i="21"/>
  <c r="O241" i="21"/>
  <c r="P241" i="21"/>
  <c r="Q241" i="21"/>
  <c r="L242" i="21"/>
  <c r="M242" i="21"/>
  <c r="N242" i="21"/>
  <c r="O242" i="21"/>
  <c r="P242" i="21"/>
  <c r="Q242" i="21"/>
  <c r="L243" i="21"/>
  <c r="M243" i="21"/>
  <c r="N243" i="21"/>
  <c r="O243" i="21"/>
  <c r="P243" i="21"/>
  <c r="Q243" i="21"/>
  <c r="L244" i="21"/>
  <c r="M244" i="21"/>
  <c r="N244" i="21"/>
  <c r="O244" i="21"/>
  <c r="P244" i="21"/>
  <c r="Q244" i="21"/>
  <c r="L245" i="21"/>
  <c r="M245" i="21"/>
  <c r="N245" i="21"/>
  <c r="O245" i="21"/>
  <c r="P245" i="21"/>
  <c r="Q245" i="21"/>
  <c r="L246" i="21"/>
  <c r="M246" i="21"/>
  <c r="N246" i="21"/>
  <c r="O246" i="21"/>
  <c r="P246" i="21"/>
  <c r="Q246" i="21"/>
  <c r="L247" i="21"/>
  <c r="M247" i="21"/>
  <c r="N247" i="21"/>
  <c r="O247" i="21"/>
  <c r="P247" i="21"/>
  <c r="Q247" i="21"/>
  <c r="L248" i="21"/>
  <c r="M248" i="21"/>
  <c r="N248" i="21"/>
  <c r="O248" i="21"/>
  <c r="P248" i="21"/>
  <c r="Q248" i="21"/>
  <c r="L234" i="21"/>
  <c r="M234" i="21"/>
  <c r="N234" i="21"/>
  <c r="O234" i="21"/>
  <c r="P234" i="21"/>
  <c r="Q234" i="21"/>
  <c r="K235" i="21"/>
  <c r="K236" i="21"/>
  <c r="K237" i="21"/>
  <c r="K238" i="21"/>
  <c r="K239" i="21"/>
  <c r="K240" i="21"/>
  <c r="K241" i="21"/>
  <c r="K242" i="21"/>
  <c r="K243" i="21"/>
  <c r="K244" i="21"/>
  <c r="K245" i="21"/>
  <c r="K246" i="21"/>
  <c r="K247" i="21"/>
  <c r="K234" i="21"/>
  <c r="K229" i="21"/>
  <c r="L216" i="21"/>
  <c r="M216" i="21"/>
  <c r="N216" i="21"/>
  <c r="O216" i="21"/>
  <c r="P216" i="21"/>
  <c r="Q216" i="21"/>
  <c r="L217" i="21"/>
  <c r="M217" i="21"/>
  <c r="N217" i="21"/>
  <c r="O217" i="21"/>
  <c r="P217" i="21"/>
  <c r="Q217" i="21"/>
  <c r="L218" i="21"/>
  <c r="M218" i="21"/>
  <c r="N218" i="21"/>
  <c r="O218" i="21"/>
  <c r="P218" i="21"/>
  <c r="Q218" i="21"/>
  <c r="L219" i="21"/>
  <c r="M219" i="21"/>
  <c r="N219" i="21"/>
  <c r="O219" i="21"/>
  <c r="P219" i="21"/>
  <c r="Q219" i="21"/>
  <c r="L220" i="21"/>
  <c r="M220" i="21"/>
  <c r="N220" i="21"/>
  <c r="O220" i="21"/>
  <c r="P220" i="21"/>
  <c r="Q220" i="21"/>
  <c r="L221" i="21"/>
  <c r="M221" i="21"/>
  <c r="N221" i="21"/>
  <c r="O221" i="21"/>
  <c r="P221" i="21"/>
  <c r="Q221" i="21"/>
  <c r="L222" i="21"/>
  <c r="M222" i="21"/>
  <c r="N222" i="21"/>
  <c r="O222" i="21"/>
  <c r="P222" i="21"/>
  <c r="Q222" i="21"/>
  <c r="L223" i="21"/>
  <c r="M223" i="21"/>
  <c r="N223" i="21"/>
  <c r="O223" i="21"/>
  <c r="P223" i="21"/>
  <c r="Q223" i="21"/>
  <c r="L224" i="21"/>
  <c r="M224" i="21"/>
  <c r="N224" i="21"/>
  <c r="O224" i="21"/>
  <c r="P224" i="21"/>
  <c r="Q224" i="21"/>
  <c r="L225" i="21"/>
  <c r="M225" i="21"/>
  <c r="N225" i="21"/>
  <c r="O225" i="21"/>
  <c r="P225" i="21"/>
  <c r="Q225" i="21"/>
  <c r="L226" i="21"/>
  <c r="M226" i="21"/>
  <c r="N226" i="21"/>
  <c r="O226" i="21"/>
  <c r="P226" i="21"/>
  <c r="Q226" i="21"/>
  <c r="L227" i="21"/>
  <c r="M227" i="21"/>
  <c r="N227" i="21"/>
  <c r="O227" i="21"/>
  <c r="P227" i="21"/>
  <c r="Q227" i="21"/>
  <c r="L228" i="21"/>
  <c r="M228" i="21"/>
  <c r="N228" i="21"/>
  <c r="O228" i="21"/>
  <c r="P228" i="21"/>
  <c r="Q228" i="21"/>
  <c r="L229" i="21"/>
  <c r="M229" i="21"/>
  <c r="N229" i="21"/>
  <c r="O229" i="21"/>
  <c r="P229" i="21"/>
  <c r="Q229" i="21"/>
  <c r="L215" i="21"/>
  <c r="M215" i="21"/>
  <c r="N215" i="21"/>
  <c r="O215" i="21"/>
  <c r="P215" i="21"/>
  <c r="Q215" i="21"/>
  <c r="K216" i="21"/>
  <c r="K217" i="21"/>
  <c r="K218" i="21"/>
  <c r="K219" i="21"/>
  <c r="K220" i="21"/>
  <c r="K221" i="21"/>
  <c r="K222" i="21"/>
  <c r="K223" i="21"/>
  <c r="K224" i="21"/>
  <c r="K225" i="21"/>
  <c r="K226" i="21"/>
  <c r="K227" i="21"/>
  <c r="K228" i="21"/>
  <c r="K215" i="21"/>
  <c r="K210" i="21"/>
  <c r="L197" i="21"/>
  <c r="M197" i="21"/>
  <c r="N197" i="21"/>
  <c r="O197" i="21"/>
  <c r="P197" i="21"/>
  <c r="Q197" i="21"/>
  <c r="L198" i="21"/>
  <c r="M198" i="21"/>
  <c r="N198" i="21"/>
  <c r="O198" i="21"/>
  <c r="P198" i="21"/>
  <c r="Q198" i="21"/>
  <c r="L199" i="21"/>
  <c r="M199" i="21"/>
  <c r="N199" i="21"/>
  <c r="O199" i="21"/>
  <c r="P199" i="21"/>
  <c r="Q199" i="21"/>
  <c r="L200" i="21"/>
  <c r="M200" i="21"/>
  <c r="N200" i="21"/>
  <c r="O200" i="21"/>
  <c r="P200" i="21"/>
  <c r="Q200" i="21"/>
  <c r="L201" i="21"/>
  <c r="M201" i="21"/>
  <c r="N201" i="21"/>
  <c r="O201" i="21"/>
  <c r="P201" i="21"/>
  <c r="Q201" i="21"/>
  <c r="L202" i="21"/>
  <c r="M202" i="21"/>
  <c r="N202" i="21"/>
  <c r="O202" i="21"/>
  <c r="P202" i="21"/>
  <c r="Q202" i="21"/>
  <c r="L203" i="21"/>
  <c r="M203" i="21"/>
  <c r="N203" i="21"/>
  <c r="O203" i="21"/>
  <c r="P203" i="21"/>
  <c r="Q203" i="21"/>
  <c r="L204" i="21"/>
  <c r="M204" i="21"/>
  <c r="N204" i="21"/>
  <c r="O204" i="21"/>
  <c r="P204" i="21"/>
  <c r="Q204" i="21"/>
  <c r="L205" i="21"/>
  <c r="M205" i="21"/>
  <c r="N205" i="21"/>
  <c r="O205" i="21"/>
  <c r="P205" i="21"/>
  <c r="Q205" i="21"/>
  <c r="L206" i="21"/>
  <c r="M206" i="21"/>
  <c r="N206" i="21"/>
  <c r="O206" i="21"/>
  <c r="P206" i="21"/>
  <c r="Q206" i="21"/>
  <c r="L207" i="21"/>
  <c r="M207" i="21"/>
  <c r="N207" i="21"/>
  <c r="O207" i="21"/>
  <c r="P207" i="21"/>
  <c r="Q207" i="21"/>
  <c r="L208" i="21"/>
  <c r="M208" i="21"/>
  <c r="N208" i="21"/>
  <c r="O208" i="21"/>
  <c r="P208" i="21"/>
  <c r="Q208" i="21"/>
  <c r="L209" i="21"/>
  <c r="M209" i="21"/>
  <c r="N209" i="21"/>
  <c r="O209" i="21"/>
  <c r="P209" i="21"/>
  <c r="Q209" i="21"/>
  <c r="L210" i="21"/>
  <c r="M210" i="21"/>
  <c r="N210" i="21"/>
  <c r="O210" i="21"/>
  <c r="P210" i="21"/>
  <c r="Q210" i="21"/>
  <c r="L196" i="21"/>
  <c r="M196" i="21"/>
  <c r="N196" i="21"/>
  <c r="O196" i="21"/>
  <c r="P196" i="21"/>
  <c r="Q196" i="21"/>
  <c r="K197" i="21"/>
  <c r="K198" i="21"/>
  <c r="K199" i="21"/>
  <c r="K200" i="21"/>
  <c r="K201" i="21"/>
  <c r="K202" i="21"/>
  <c r="K203" i="21"/>
  <c r="K204" i="21"/>
  <c r="K205" i="21"/>
  <c r="K206" i="21"/>
  <c r="K207" i="21"/>
  <c r="K208" i="21"/>
  <c r="K209" i="21"/>
  <c r="K196" i="21"/>
  <c r="K191" i="21"/>
  <c r="Q178" i="21"/>
  <c r="Q179" i="21"/>
  <c r="Q180" i="21"/>
  <c r="Q181" i="21"/>
  <c r="Q182" i="21"/>
  <c r="Q183" i="21"/>
  <c r="Q184" i="21"/>
  <c r="Q185" i="21"/>
  <c r="Q186" i="21"/>
  <c r="Q187" i="21"/>
  <c r="Q188" i="21"/>
  <c r="Q189" i="21"/>
  <c r="Q190" i="21"/>
  <c r="Q191" i="21"/>
  <c r="P178" i="21"/>
  <c r="P179" i="21"/>
  <c r="P180" i="21"/>
  <c r="P181" i="21"/>
  <c r="P182" i="21"/>
  <c r="P183" i="21"/>
  <c r="P184" i="21"/>
  <c r="P185" i="21"/>
  <c r="P186" i="21"/>
  <c r="P187" i="21"/>
  <c r="P188" i="21"/>
  <c r="P189" i="21"/>
  <c r="P190" i="21"/>
  <c r="P191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N178" i="21"/>
  <c r="N179" i="21"/>
  <c r="N180" i="21"/>
  <c r="N181" i="21"/>
  <c r="N182" i="21"/>
  <c r="N183" i="21"/>
  <c r="N184" i="21"/>
  <c r="N185" i="21"/>
  <c r="N186" i="21"/>
  <c r="N187" i="21"/>
  <c r="N188" i="21"/>
  <c r="N189" i="21"/>
  <c r="N190" i="21"/>
  <c r="N191" i="21"/>
  <c r="M178" i="21"/>
  <c r="M179" i="21"/>
  <c r="M180" i="21"/>
  <c r="M181" i="21"/>
  <c r="M182" i="21"/>
  <c r="M183" i="21"/>
  <c r="M184" i="21"/>
  <c r="M185" i="21"/>
  <c r="M186" i="21"/>
  <c r="M187" i="21"/>
  <c r="M188" i="21"/>
  <c r="M189" i="21"/>
  <c r="M190" i="21"/>
  <c r="M191" i="21"/>
  <c r="L178" i="21"/>
  <c r="L179" i="21"/>
  <c r="L180" i="21"/>
  <c r="L181" i="21"/>
  <c r="L182" i="21"/>
  <c r="L183" i="21"/>
  <c r="L184" i="21"/>
  <c r="L185" i="21"/>
  <c r="L186" i="21"/>
  <c r="L187" i="21"/>
  <c r="L188" i="21"/>
  <c r="L189" i="21"/>
  <c r="L190" i="21"/>
  <c r="L191" i="21"/>
  <c r="L177" i="21"/>
  <c r="M177" i="21"/>
  <c r="N177" i="21"/>
  <c r="O177" i="21"/>
  <c r="P177" i="21"/>
  <c r="Q177" i="21"/>
  <c r="K178" i="21"/>
  <c r="K179" i="21"/>
  <c r="K180" i="21"/>
  <c r="K181" i="21"/>
  <c r="K182" i="21"/>
  <c r="K183" i="21"/>
  <c r="K184" i="21"/>
  <c r="K185" i="21"/>
  <c r="K186" i="21"/>
  <c r="K187" i="21"/>
  <c r="K188" i="21"/>
  <c r="K189" i="21"/>
  <c r="K190" i="21"/>
  <c r="K177" i="21"/>
  <c r="K172" i="21"/>
  <c r="Q159" i="21"/>
  <c r="Q160" i="21"/>
  <c r="Q161" i="21"/>
  <c r="Q162" i="21"/>
  <c r="Q163" i="21"/>
  <c r="Q164" i="21"/>
  <c r="Q165" i="21"/>
  <c r="Q166" i="21"/>
  <c r="Q167" i="21"/>
  <c r="Q168" i="21"/>
  <c r="Q169" i="21"/>
  <c r="Q170" i="21"/>
  <c r="Q171" i="21"/>
  <c r="Q172" i="21"/>
  <c r="P159" i="21"/>
  <c r="P160" i="21"/>
  <c r="P161" i="21"/>
  <c r="P162" i="21"/>
  <c r="P163" i="21"/>
  <c r="P164" i="21"/>
  <c r="P165" i="21"/>
  <c r="P166" i="21"/>
  <c r="P167" i="21"/>
  <c r="P168" i="21"/>
  <c r="P169" i="21"/>
  <c r="P170" i="21"/>
  <c r="P171" i="21"/>
  <c r="P172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N159" i="21"/>
  <c r="N160" i="21"/>
  <c r="N161" i="21"/>
  <c r="N162" i="21"/>
  <c r="N163" i="21"/>
  <c r="N164" i="21"/>
  <c r="N165" i="21"/>
  <c r="N166" i="21"/>
  <c r="N167" i="21"/>
  <c r="N168" i="21"/>
  <c r="N169" i="21"/>
  <c r="N170" i="21"/>
  <c r="N171" i="21"/>
  <c r="N172" i="21"/>
  <c r="M159" i="21"/>
  <c r="M160" i="21"/>
  <c r="M161" i="21"/>
  <c r="M162" i="21"/>
  <c r="M163" i="21"/>
  <c r="M164" i="21"/>
  <c r="M165" i="21"/>
  <c r="M166" i="21"/>
  <c r="M167" i="21"/>
  <c r="M168" i="21"/>
  <c r="M169" i="21"/>
  <c r="M170" i="21"/>
  <c r="M171" i="21"/>
  <c r="M172" i="21"/>
  <c r="L159" i="21"/>
  <c r="L160" i="21"/>
  <c r="L161" i="21"/>
  <c r="L162" i="21"/>
  <c r="L163" i="21"/>
  <c r="L164" i="21"/>
  <c r="L165" i="21"/>
  <c r="L166" i="21"/>
  <c r="L167" i="21"/>
  <c r="L168" i="21"/>
  <c r="L169" i="21"/>
  <c r="L170" i="21"/>
  <c r="L171" i="21"/>
  <c r="L172" i="21"/>
  <c r="L158" i="21"/>
  <c r="M158" i="21"/>
  <c r="N158" i="21"/>
  <c r="O158" i="21"/>
  <c r="P158" i="21"/>
  <c r="Q158" i="21"/>
  <c r="K159" i="21"/>
  <c r="K160" i="21"/>
  <c r="K161" i="21"/>
  <c r="K162" i="21"/>
  <c r="K163" i="21"/>
  <c r="K164" i="21"/>
  <c r="K165" i="21"/>
  <c r="K166" i="21"/>
  <c r="K167" i="21"/>
  <c r="K168" i="21"/>
  <c r="K169" i="21"/>
  <c r="K170" i="21"/>
  <c r="K171" i="21"/>
  <c r="K158" i="21"/>
  <c r="K153" i="21"/>
  <c r="Q140" i="21"/>
  <c r="Q141" i="21"/>
  <c r="Q142" i="21"/>
  <c r="Q143" i="21"/>
  <c r="Q144" i="21"/>
  <c r="Q145" i="21"/>
  <c r="Q146" i="21"/>
  <c r="Q147" i="21"/>
  <c r="Q148" i="21"/>
  <c r="Q149" i="21"/>
  <c r="Q150" i="21"/>
  <c r="Q151" i="21"/>
  <c r="Q152" i="21"/>
  <c r="Q153" i="21"/>
  <c r="P140" i="21"/>
  <c r="P141" i="21"/>
  <c r="P142" i="21"/>
  <c r="P143" i="21"/>
  <c r="P144" i="21"/>
  <c r="P145" i="21"/>
  <c r="P146" i="21"/>
  <c r="P147" i="21"/>
  <c r="P148" i="21"/>
  <c r="P149" i="21"/>
  <c r="P150" i="21"/>
  <c r="P151" i="21"/>
  <c r="P152" i="21"/>
  <c r="P153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N140" i="21"/>
  <c r="N141" i="21"/>
  <c r="N142" i="21"/>
  <c r="N143" i="21"/>
  <c r="N144" i="21"/>
  <c r="N145" i="21"/>
  <c r="N146" i="21"/>
  <c r="N147" i="21"/>
  <c r="N148" i="21"/>
  <c r="N149" i="21"/>
  <c r="N150" i="21"/>
  <c r="N151" i="21"/>
  <c r="N152" i="21"/>
  <c r="N153" i="21"/>
  <c r="M140" i="21"/>
  <c r="M141" i="21"/>
  <c r="M142" i="21"/>
  <c r="M143" i="21"/>
  <c r="M144" i="21"/>
  <c r="M145" i="21"/>
  <c r="M146" i="21"/>
  <c r="M147" i="21"/>
  <c r="M148" i="21"/>
  <c r="M149" i="21"/>
  <c r="M150" i="21"/>
  <c r="M151" i="21"/>
  <c r="M152" i="21"/>
  <c r="M153" i="21"/>
  <c r="L140" i="21"/>
  <c r="L141" i="21"/>
  <c r="L142" i="21"/>
  <c r="L143" i="21"/>
  <c r="L144" i="21"/>
  <c r="L145" i="21"/>
  <c r="L146" i="21"/>
  <c r="L147" i="21"/>
  <c r="L148" i="21"/>
  <c r="L149" i="21"/>
  <c r="L150" i="21"/>
  <c r="L151" i="21"/>
  <c r="L152" i="21"/>
  <c r="L153" i="21"/>
  <c r="L139" i="21"/>
  <c r="M139" i="21"/>
  <c r="N139" i="21"/>
  <c r="O139" i="21"/>
  <c r="P139" i="21"/>
  <c r="Q139" i="21"/>
  <c r="K140" i="21"/>
  <c r="K141" i="21"/>
  <c r="K142" i="21"/>
  <c r="K143" i="21"/>
  <c r="K144" i="21"/>
  <c r="K145" i="21"/>
  <c r="K146" i="21"/>
  <c r="K147" i="21"/>
  <c r="K148" i="21"/>
  <c r="K149" i="21"/>
  <c r="K150" i="21"/>
  <c r="K151" i="21"/>
  <c r="K152" i="21"/>
  <c r="K139" i="21"/>
  <c r="K134" i="21"/>
  <c r="Q121" i="21"/>
  <c r="Q122" i="21"/>
  <c r="Q123" i="21"/>
  <c r="Q124" i="21"/>
  <c r="Q125" i="21"/>
  <c r="Q126" i="21"/>
  <c r="Q127" i="21"/>
  <c r="Q128" i="21"/>
  <c r="Q129" i="21"/>
  <c r="Q130" i="21"/>
  <c r="Q131" i="21"/>
  <c r="Q132" i="21"/>
  <c r="Q133" i="21"/>
  <c r="Q134" i="21"/>
  <c r="P121" i="21"/>
  <c r="P122" i="21"/>
  <c r="P123" i="21"/>
  <c r="P124" i="21"/>
  <c r="P125" i="21"/>
  <c r="P126" i="21"/>
  <c r="P127" i="21"/>
  <c r="P128" i="21"/>
  <c r="P129" i="21"/>
  <c r="P130" i="21"/>
  <c r="P131" i="21"/>
  <c r="P132" i="21"/>
  <c r="P133" i="21"/>
  <c r="P134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N121" i="21"/>
  <c r="N122" i="21"/>
  <c r="N123" i="21"/>
  <c r="N124" i="21"/>
  <c r="N125" i="21"/>
  <c r="N126" i="21"/>
  <c r="N127" i="21"/>
  <c r="N128" i="21"/>
  <c r="N129" i="21"/>
  <c r="N130" i="21"/>
  <c r="N131" i="21"/>
  <c r="N132" i="21"/>
  <c r="N133" i="21"/>
  <c r="N134" i="21"/>
  <c r="M121" i="21"/>
  <c r="M122" i="21"/>
  <c r="M123" i="21"/>
  <c r="M124" i="21"/>
  <c r="M125" i="21"/>
  <c r="M126" i="21"/>
  <c r="M127" i="21"/>
  <c r="M128" i="21"/>
  <c r="M129" i="21"/>
  <c r="M130" i="21"/>
  <c r="M131" i="21"/>
  <c r="M132" i="21"/>
  <c r="M133" i="21"/>
  <c r="M134" i="21"/>
  <c r="L121" i="21"/>
  <c r="L122" i="21"/>
  <c r="L123" i="21"/>
  <c r="L124" i="21"/>
  <c r="L125" i="21"/>
  <c r="L126" i="21"/>
  <c r="L127" i="21"/>
  <c r="L128" i="21"/>
  <c r="L129" i="21"/>
  <c r="L130" i="21"/>
  <c r="L131" i="21"/>
  <c r="L132" i="21"/>
  <c r="L133" i="21"/>
  <c r="L134" i="21"/>
  <c r="L120" i="21"/>
  <c r="M120" i="21"/>
  <c r="N120" i="21"/>
  <c r="O120" i="21"/>
  <c r="P120" i="21"/>
  <c r="Q120" i="21"/>
  <c r="K121" i="21"/>
  <c r="K122" i="21"/>
  <c r="K123" i="21"/>
  <c r="K124" i="21"/>
  <c r="K125" i="21"/>
  <c r="K126" i="21"/>
  <c r="K127" i="21"/>
  <c r="K128" i="21"/>
  <c r="K129" i="21"/>
  <c r="K130" i="21"/>
  <c r="K131" i="21"/>
  <c r="K132" i="21"/>
  <c r="K133" i="21"/>
  <c r="K120" i="21"/>
  <c r="K115" i="21"/>
  <c r="Q102" i="21"/>
  <c r="Q103" i="21"/>
  <c r="Q104" i="21"/>
  <c r="Q105" i="21"/>
  <c r="Q106" i="21"/>
  <c r="Q107" i="21"/>
  <c r="Q108" i="21"/>
  <c r="Q109" i="21"/>
  <c r="Q110" i="21"/>
  <c r="Q111" i="21"/>
  <c r="Q112" i="21"/>
  <c r="Q113" i="21"/>
  <c r="Q114" i="21"/>
  <c r="Q115" i="21"/>
  <c r="P102" i="21"/>
  <c r="P103" i="21"/>
  <c r="P104" i="21"/>
  <c r="P105" i="21"/>
  <c r="P106" i="21"/>
  <c r="P107" i="21"/>
  <c r="P108" i="21"/>
  <c r="P109" i="21"/>
  <c r="P110" i="21"/>
  <c r="P111" i="21"/>
  <c r="P112" i="21"/>
  <c r="P113" i="21"/>
  <c r="P114" i="21"/>
  <c r="P115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N102" i="21"/>
  <c r="N103" i="21"/>
  <c r="N104" i="21"/>
  <c r="N105" i="21"/>
  <c r="N106" i="21"/>
  <c r="N107" i="21"/>
  <c r="N108" i="21"/>
  <c r="N109" i="21"/>
  <c r="N110" i="21"/>
  <c r="N111" i="21"/>
  <c r="N112" i="21"/>
  <c r="N113" i="21"/>
  <c r="N114" i="21"/>
  <c r="N115" i="21"/>
  <c r="M102" i="21"/>
  <c r="M103" i="21"/>
  <c r="M104" i="21"/>
  <c r="M105" i="21"/>
  <c r="M106" i="21"/>
  <c r="M107" i="21"/>
  <c r="M108" i="21"/>
  <c r="M109" i="21"/>
  <c r="M110" i="21"/>
  <c r="M111" i="21"/>
  <c r="M112" i="21"/>
  <c r="M113" i="21"/>
  <c r="M114" i="21"/>
  <c r="M115" i="21"/>
  <c r="L102" i="21"/>
  <c r="L103" i="21"/>
  <c r="L104" i="21"/>
  <c r="L105" i="21"/>
  <c r="L106" i="21"/>
  <c r="L107" i="21"/>
  <c r="L108" i="21"/>
  <c r="L109" i="21"/>
  <c r="L110" i="21"/>
  <c r="L111" i="21"/>
  <c r="L112" i="21"/>
  <c r="L113" i="21"/>
  <c r="L114" i="21"/>
  <c r="L115" i="21"/>
  <c r="L101" i="21"/>
  <c r="M101" i="21"/>
  <c r="N101" i="21"/>
  <c r="O101" i="21"/>
  <c r="P101" i="21"/>
  <c r="Q101" i="21"/>
  <c r="K102" i="21"/>
  <c r="K103" i="21"/>
  <c r="K104" i="21"/>
  <c r="K105" i="21"/>
  <c r="K106" i="21"/>
  <c r="K107" i="21"/>
  <c r="K108" i="21"/>
  <c r="K109" i="21"/>
  <c r="K110" i="21"/>
  <c r="K111" i="21"/>
  <c r="K112" i="21"/>
  <c r="K113" i="21"/>
  <c r="K114" i="21"/>
  <c r="K101" i="21"/>
  <c r="K96" i="21"/>
  <c r="Q83" i="21"/>
  <c r="Q84" i="21"/>
  <c r="Q85" i="21"/>
  <c r="Q86" i="21"/>
  <c r="Q87" i="21"/>
  <c r="Q88" i="21"/>
  <c r="Q89" i="21"/>
  <c r="Q90" i="21"/>
  <c r="Q91" i="21"/>
  <c r="Q92" i="21"/>
  <c r="Q93" i="21"/>
  <c r="Q94" i="21"/>
  <c r="Q95" i="21"/>
  <c r="Q96" i="21"/>
  <c r="P83" i="21"/>
  <c r="P84" i="21"/>
  <c r="P85" i="21"/>
  <c r="P86" i="21"/>
  <c r="P87" i="21"/>
  <c r="P88" i="21"/>
  <c r="P89" i="21"/>
  <c r="P90" i="21"/>
  <c r="P91" i="21"/>
  <c r="P92" i="21"/>
  <c r="P93" i="21"/>
  <c r="P94" i="21"/>
  <c r="P95" i="21"/>
  <c r="P96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N83" i="21"/>
  <c r="N84" i="21"/>
  <c r="N85" i="21"/>
  <c r="N86" i="21"/>
  <c r="N87" i="21"/>
  <c r="N88" i="21"/>
  <c r="N89" i="21"/>
  <c r="N90" i="21"/>
  <c r="N91" i="21"/>
  <c r="N92" i="21"/>
  <c r="N93" i="21"/>
  <c r="N94" i="21"/>
  <c r="N95" i="21"/>
  <c r="N96" i="21"/>
  <c r="M83" i="21"/>
  <c r="M84" i="21"/>
  <c r="M85" i="21"/>
  <c r="M86" i="21"/>
  <c r="M87" i="21"/>
  <c r="M88" i="21"/>
  <c r="M89" i="21"/>
  <c r="M90" i="21"/>
  <c r="M91" i="21"/>
  <c r="M92" i="21"/>
  <c r="M93" i="21"/>
  <c r="M94" i="21"/>
  <c r="M95" i="21"/>
  <c r="M96" i="21"/>
  <c r="L83" i="21"/>
  <c r="L84" i="21"/>
  <c r="L85" i="21"/>
  <c r="L86" i="21"/>
  <c r="L87" i="21"/>
  <c r="L88" i="21"/>
  <c r="L89" i="21"/>
  <c r="L90" i="21"/>
  <c r="L91" i="21"/>
  <c r="L92" i="21"/>
  <c r="L93" i="21"/>
  <c r="L94" i="21"/>
  <c r="L95" i="21"/>
  <c r="L96" i="21"/>
  <c r="L82" i="21"/>
  <c r="M82" i="21"/>
  <c r="N82" i="21"/>
  <c r="O82" i="21"/>
  <c r="P82" i="21"/>
  <c r="Q82" i="21"/>
  <c r="K83" i="21"/>
  <c r="K84" i="21"/>
  <c r="K85" i="21"/>
  <c r="K86" i="21"/>
  <c r="K87" i="21"/>
  <c r="K88" i="21"/>
  <c r="K89" i="21"/>
  <c r="K90" i="21"/>
  <c r="K91" i="21"/>
  <c r="K92" i="21"/>
  <c r="K93" i="21"/>
  <c r="K94" i="21"/>
  <c r="K95" i="21"/>
  <c r="K82" i="21"/>
  <c r="K77" i="21"/>
  <c r="Q64" i="21"/>
  <c r="Q65" i="21"/>
  <c r="Q66" i="21"/>
  <c r="Q67" i="21"/>
  <c r="Q68" i="21"/>
  <c r="Q69" i="21"/>
  <c r="Q70" i="21"/>
  <c r="Q71" i="21"/>
  <c r="Q72" i="21"/>
  <c r="Q73" i="21"/>
  <c r="Q74" i="21"/>
  <c r="Q75" i="21"/>
  <c r="Q76" i="21"/>
  <c r="Q77" i="21"/>
  <c r="P64" i="21"/>
  <c r="P65" i="21"/>
  <c r="P66" i="21"/>
  <c r="P67" i="21"/>
  <c r="P68" i="21"/>
  <c r="P69" i="21"/>
  <c r="P70" i="21"/>
  <c r="P71" i="21"/>
  <c r="P72" i="21"/>
  <c r="P73" i="21"/>
  <c r="P74" i="21"/>
  <c r="P75" i="21"/>
  <c r="P76" i="21"/>
  <c r="P77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N64" i="21"/>
  <c r="N65" i="21"/>
  <c r="N66" i="21"/>
  <c r="N67" i="21"/>
  <c r="N68" i="21"/>
  <c r="N69" i="21"/>
  <c r="N70" i="21"/>
  <c r="N71" i="21"/>
  <c r="N72" i="21"/>
  <c r="N73" i="21"/>
  <c r="N74" i="21"/>
  <c r="N75" i="21"/>
  <c r="N76" i="21"/>
  <c r="N77" i="21"/>
  <c r="M64" i="21"/>
  <c r="M65" i="21"/>
  <c r="M66" i="21"/>
  <c r="M67" i="21"/>
  <c r="M68" i="21"/>
  <c r="M69" i="21"/>
  <c r="M70" i="21"/>
  <c r="M71" i="21"/>
  <c r="M72" i="21"/>
  <c r="M73" i="21"/>
  <c r="M74" i="21"/>
  <c r="M75" i="21"/>
  <c r="M76" i="21"/>
  <c r="M77" i="21"/>
  <c r="L64" i="21"/>
  <c r="L65" i="21"/>
  <c r="L66" i="21"/>
  <c r="L67" i="21"/>
  <c r="L68" i="21"/>
  <c r="L69" i="21"/>
  <c r="L70" i="21"/>
  <c r="L71" i="21"/>
  <c r="L72" i="21"/>
  <c r="L73" i="21"/>
  <c r="L74" i="21"/>
  <c r="L75" i="21"/>
  <c r="L76" i="21"/>
  <c r="L77" i="21"/>
  <c r="L63" i="21"/>
  <c r="M63" i="21"/>
  <c r="N63" i="21"/>
  <c r="O63" i="21"/>
  <c r="P63" i="21"/>
  <c r="Q63" i="21"/>
  <c r="K64" i="21"/>
  <c r="K65" i="21"/>
  <c r="K66" i="21"/>
  <c r="K67" i="21"/>
  <c r="K68" i="21"/>
  <c r="K69" i="21"/>
  <c r="K70" i="21"/>
  <c r="K71" i="21"/>
  <c r="K72" i="21"/>
  <c r="K73" i="21"/>
  <c r="K74" i="21"/>
  <c r="K75" i="21"/>
  <c r="K76" i="21"/>
  <c r="K63" i="21"/>
  <c r="K58" i="21"/>
  <c r="Q45" i="21"/>
  <c r="Q46" i="21"/>
  <c r="Q47" i="21"/>
  <c r="Q48" i="21"/>
  <c r="Q49" i="21"/>
  <c r="Q50" i="21"/>
  <c r="Q51" i="21"/>
  <c r="Q52" i="21"/>
  <c r="Q53" i="21"/>
  <c r="Q54" i="21"/>
  <c r="Q55" i="21"/>
  <c r="Q56" i="21"/>
  <c r="Q57" i="21"/>
  <c r="Q58" i="21"/>
  <c r="P45" i="21"/>
  <c r="P46" i="21"/>
  <c r="P47" i="21"/>
  <c r="P48" i="21"/>
  <c r="P49" i="21"/>
  <c r="P50" i="21"/>
  <c r="P51" i="21"/>
  <c r="P52" i="21"/>
  <c r="P53" i="21"/>
  <c r="P54" i="21"/>
  <c r="P55" i="21"/>
  <c r="P56" i="21"/>
  <c r="P57" i="21"/>
  <c r="P58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N45" i="21"/>
  <c r="N46" i="21"/>
  <c r="N47" i="21"/>
  <c r="N48" i="21"/>
  <c r="N49" i="21"/>
  <c r="N50" i="21"/>
  <c r="N51" i="21"/>
  <c r="N52" i="21"/>
  <c r="N53" i="21"/>
  <c r="N54" i="21"/>
  <c r="N55" i="21"/>
  <c r="N56" i="21"/>
  <c r="N57" i="21"/>
  <c r="N58" i="21"/>
  <c r="M45" i="21"/>
  <c r="M46" i="21"/>
  <c r="M47" i="21"/>
  <c r="M48" i="21"/>
  <c r="M49" i="21"/>
  <c r="M50" i="21"/>
  <c r="M51" i="21"/>
  <c r="M52" i="21"/>
  <c r="M53" i="21"/>
  <c r="M54" i="21"/>
  <c r="M55" i="21"/>
  <c r="M56" i="21"/>
  <c r="M57" i="21"/>
  <c r="M58" i="21"/>
  <c r="L45" i="21"/>
  <c r="L46" i="21"/>
  <c r="L47" i="21"/>
  <c r="L48" i="21"/>
  <c r="L49" i="21"/>
  <c r="L50" i="21"/>
  <c r="L51" i="21"/>
  <c r="L52" i="21"/>
  <c r="L53" i="21"/>
  <c r="L54" i="21"/>
  <c r="L55" i="21"/>
  <c r="L56" i="21"/>
  <c r="L57" i="21"/>
  <c r="L58" i="21"/>
  <c r="L44" i="21"/>
  <c r="M44" i="21"/>
  <c r="N44" i="21"/>
  <c r="O44" i="21"/>
  <c r="P44" i="21"/>
  <c r="Q44" i="21"/>
  <c r="K45" i="21"/>
  <c r="K46" i="21"/>
  <c r="K47" i="21"/>
  <c r="K48" i="21"/>
  <c r="K49" i="21"/>
  <c r="K50" i="21"/>
  <c r="K51" i="21"/>
  <c r="K52" i="21"/>
  <c r="K53" i="21"/>
  <c r="K54" i="21"/>
  <c r="K55" i="21"/>
  <c r="K56" i="21"/>
  <c r="K57" i="21"/>
  <c r="K44" i="21"/>
  <c r="K39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P26" i="21"/>
  <c r="P27" i="21"/>
  <c r="P28" i="21"/>
  <c r="P29" i="21"/>
  <c r="P30" i="21"/>
  <c r="P31" i="21"/>
  <c r="P32" i="21"/>
  <c r="P33" i="21"/>
  <c r="P34" i="21"/>
  <c r="P35" i="21"/>
  <c r="P36" i="21"/>
  <c r="P37" i="21"/>
  <c r="P38" i="21"/>
  <c r="P39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N26" i="21"/>
  <c r="N27" i="21"/>
  <c r="N28" i="21"/>
  <c r="N29" i="21"/>
  <c r="N30" i="21"/>
  <c r="N31" i="21"/>
  <c r="N32" i="21"/>
  <c r="N33" i="21"/>
  <c r="N34" i="21"/>
  <c r="N35" i="21"/>
  <c r="N36" i="21"/>
  <c r="N37" i="21"/>
  <c r="N38" i="21"/>
  <c r="N39" i="21"/>
  <c r="M26" i="21"/>
  <c r="M27" i="21"/>
  <c r="M28" i="21"/>
  <c r="M29" i="21"/>
  <c r="M30" i="21"/>
  <c r="M31" i="21"/>
  <c r="M32" i="21"/>
  <c r="M33" i="21"/>
  <c r="M34" i="21"/>
  <c r="M35" i="21"/>
  <c r="M36" i="21"/>
  <c r="M37" i="21"/>
  <c r="M38" i="21"/>
  <c r="M39" i="21"/>
  <c r="L26" i="21"/>
  <c r="L27" i="21"/>
  <c r="L28" i="21"/>
  <c r="L29" i="21"/>
  <c r="L30" i="21"/>
  <c r="L31" i="21"/>
  <c r="L32" i="21"/>
  <c r="L33" i="21"/>
  <c r="L34" i="21"/>
  <c r="L35" i="21"/>
  <c r="L36" i="21"/>
  <c r="L37" i="21"/>
  <c r="L38" i="21"/>
  <c r="L39" i="21"/>
  <c r="L25" i="21"/>
  <c r="M25" i="21"/>
  <c r="N25" i="21"/>
  <c r="O25" i="21"/>
  <c r="P25" i="21"/>
  <c r="Q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25" i="21"/>
  <c r="K20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P7" i="21"/>
  <c r="P8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N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6" i="21"/>
  <c r="M6" i="21"/>
  <c r="N6" i="21"/>
  <c r="O6" i="21"/>
  <c r="P6" i="21"/>
  <c r="Q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6" i="21"/>
  <c r="B305" i="21"/>
  <c r="H292" i="21"/>
  <c r="H293" i="21"/>
  <c r="H294" i="21"/>
  <c r="H295" i="21"/>
  <c r="H296" i="21"/>
  <c r="H297" i="21"/>
  <c r="H298" i="21"/>
  <c r="H299" i="21"/>
  <c r="H300" i="21"/>
  <c r="H301" i="21"/>
  <c r="H302" i="21"/>
  <c r="H303" i="21"/>
  <c r="H304" i="21"/>
  <c r="H305" i="21"/>
  <c r="G292" i="21"/>
  <c r="G293" i="21"/>
  <c r="G294" i="21"/>
  <c r="G295" i="21"/>
  <c r="G296" i="21"/>
  <c r="G297" i="21"/>
  <c r="G298" i="21"/>
  <c r="G299" i="21"/>
  <c r="G300" i="21"/>
  <c r="G301" i="21"/>
  <c r="G302" i="21"/>
  <c r="G303" i="21"/>
  <c r="G304" i="21"/>
  <c r="G305" i="21"/>
  <c r="F292" i="21"/>
  <c r="F293" i="21"/>
  <c r="F294" i="21"/>
  <c r="F295" i="21"/>
  <c r="F296" i="21"/>
  <c r="F297" i="21"/>
  <c r="F298" i="21"/>
  <c r="F299" i="21"/>
  <c r="F300" i="21"/>
  <c r="F301" i="21"/>
  <c r="F302" i="21"/>
  <c r="F303" i="21"/>
  <c r="F304" i="21"/>
  <c r="F305" i="21"/>
  <c r="E292" i="21"/>
  <c r="E293" i="21"/>
  <c r="E294" i="21"/>
  <c r="E295" i="21"/>
  <c r="E296" i="21"/>
  <c r="E297" i="21"/>
  <c r="E298" i="21"/>
  <c r="E299" i="21"/>
  <c r="E300" i="21"/>
  <c r="E301" i="21"/>
  <c r="E302" i="21"/>
  <c r="E303" i="21"/>
  <c r="E304" i="21"/>
  <c r="E305" i="21"/>
  <c r="D292" i="21"/>
  <c r="D293" i="21"/>
  <c r="D294" i="21"/>
  <c r="D295" i="21"/>
  <c r="D296" i="21"/>
  <c r="D297" i="21"/>
  <c r="D298" i="21"/>
  <c r="D299" i="21"/>
  <c r="D300" i="21"/>
  <c r="D301" i="21"/>
  <c r="D302" i="21"/>
  <c r="D303" i="21"/>
  <c r="D304" i="21"/>
  <c r="D305" i="21"/>
  <c r="C292" i="21"/>
  <c r="C293" i="21"/>
  <c r="C294" i="21"/>
  <c r="C295" i="21"/>
  <c r="C296" i="21"/>
  <c r="C297" i="21"/>
  <c r="C298" i="21"/>
  <c r="C299" i="21"/>
  <c r="C300" i="21"/>
  <c r="C301" i="21"/>
  <c r="C302" i="21"/>
  <c r="C303" i="21"/>
  <c r="C304" i="21"/>
  <c r="C305" i="21"/>
  <c r="C291" i="21"/>
  <c r="D291" i="21"/>
  <c r="E291" i="21"/>
  <c r="F291" i="21"/>
  <c r="G291" i="21"/>
  <c r="H291" i="21"/>
  <c r="B292" i="21"/>
  <c r="B293" i="21"/>
  <c r="B294" i="21"/>
  <c r="B295" i="21"/>
  <c r="B296" i="21"/>
  <c r="B297" i="21"/>
  <c r="B298" i="21"/>
  <c r="B299" i="21"/>
  <c r="B300" i="21"/>
  <c r="B301" i="21"/>
  <c r="B302" i="21"/>
  <c r="B303" i="21"/>
  <c r="B304" i="21"/>
  <c r="B291" i="21"/>
  <c r="B286" i="21"/>
  <c r="H273" i="21"/>
  <c r="H274" i="21"/>
  <c r="H275" i="21"/>
  <c r="H276" i="21"/>
  <c r="H277" i="21"/>
  <c r="H278" i="21"/>
  <c r="H279" i="21"/>
  <c r="H280" i="21"/>
  <c r="H281" i="21"/>
  <c r="H282" i="21"/>
  <c r="H283" i="21"/>
  <c r="H284" i="21"/>
  <c r="H285" i="21"/>
  <c r="H286" i="21"/>
  <c r="G273" i="21"/>
  <c r="G274" i="21"/>
  <c r="G275" i="21"/>
  <c r="G276" i="21"/>
  <c r="G277" i="21"/>
  <c r="G278" i="21"/>
  <c r="G279" i="21"/>
  <c r="G280" i="21"/>
  <c r="G281" i="21"/>
  <c r="G282" i="21"/>
  <c r="G283" i="21"/>
  <c r="G284" i="21"/>
  <c r="G285" i="21"/>
  <c r="G286" i="21"/>
  <c r="G272" i="21"/>
  <c r="F273" i="21"/>
  <c r="F274" i="21"/>
  <c r="F275" i="21"/>
  <c r="F276" i="21"/>
  <c r="F277" i="21"/>
  <c r="F278" i="21"/>
  <c r="F279" i="21"/>
  <c r="F280" i="21"/>
  <c r="F281" i="21"/>
  <c r="F282" i="21"/>
  <c r="F283" i="21"/>
  <c r="F284" i="21"/>
  <c r="F285" i="21"/>
  <c r="F286" i="21"/>
  <c r="E273" i="21"/>
  <c r="E274" i="21"/>
  <c r="E275" i="21"/>
  <c r="E276" i="21"/>
  <c r="E277" i="21"/>
  <c r="E278" i="21"/>
  <c r="E279" i="21"/>
  <c r="E280" i="21"/>
  <c r="E281" i="21"/>
  <c r="E282" i="21"/>
  <c r="E283" i="21"/>
  <c r="E284" i="21"/>
  <c r="E285" i="21"/>
  <c r="E286" i="21"/>
  <c r="D273" i="21"/>
  <c r="D274" i="21"/>
  <c r="D275" i="21"/>
  <c r="D276" i="21"/>
  <c r="D277" i="21"/>
  <c r="D278" i="21"/>
  <c r="D279" i="21"/>
  <c r="D280" i="21"/>
  <c r="D281" i="21"/>
  <c r="D282" i="21"/>
  <c r="D283" i="21"/>
  <c r="D284" i="21"/>
  <c r="D285" i="21"/>
  <c r="D286" i="21"/>
  <c r="C273" i="21"/>
  <c r="C274" i="21"/>
  <c r="C275" i="21"/>
  <c r="C276" i="21"/>
  <c r="C277" i="21"/>
  <c r="C278" i="21"/>
  <c r="C279" i="21"/>
  <c r="C280" i="21"/>
  <c r="C281" i="21"/>
  <c r="C282" i="21"/>
  <c r="C283" i="21"/>
  <c r="C284" i="21"/>
  <c r="C285" i="21"/>
  <c r="C286" i="21"/>
  <c r="C272" i="21"/>
  <c r="D272" i="21"/>
  <c r="E272" i="21"/>
  <c r="F272" i="21"/>
  <c r="H272" i="21"/>
  <c r="B273" i="21"/>
  <c r="B274" i="21"/>
  <c r="B275" i="21"/>
  <c r="B276" i="21"/>
  <c r="B277" i="21"/>
  <c r="B278" i="21"/>
  <c r="B279" i="21"/>
  <c r="B280" i="21"/>
  <c r="B281" i="21"/>
  <c r="B282" i="21"/>
  <c r="B283" i="21"/>
  <c r="B284" i="21"/>
  <c r="B285" i="21"/>
  <c r="B272" i="21"/>
  <c r="B267" i="21"/>
  <c r="H254" i="21"/>
  <c r="H255" i="21"/>
  <c r="H256" i="21"/>
  <c r="H257" i="21"/>
  <c r="H258" i="21"/>
  <c r="H259" i="21"/>
  <c r="H260" i="21"/>
  <c r="H261" i="21"/>
  <c r="H262" i="21"/>
  <c r="H263" i="21"/>
  <c r="H264" i="21"/>
  <c r="H265" i="21"/>
  <c r="H266" i="21"/>
  <c r="H267" i="21"/>
  <c r="G254" i="21"/>
  <c r="G255" i="21"/>
  <c r="G256" i="21"/>
  <c r="G257" i="21"/>
  <c r="G258" i="21"/>
  <c r="G259" i="21"/>
  <c r="G260" i="21"/>
  <c r="G261" i="21"/>
  <c r="G262" i="21"/>
  <c r="G263" i="21"/>
  <c r="G264" i="21"/>
  <c r="G265" i="21"/>
  <c r="G266" i="21"/>
  <c r="G267" i="21"/>
  <c r="F254" i="21"/>
  <c r="F255" i="21"/>
  <c r="F256" i="21"/>
  <c r="F257" i="21"/>
  <c r="F258" i="21"/>
  <c r="F259" i="21"/>
  <c r="F260" i="21"/>
  <c r="F261" i="21"/>
  <c r="F262" i="21"/>
  <c r="F263" i="21"/>
  <c r="F264" i="21"/>
  <c r="F265" i="21"/>
  <c r="F266" i="21"/>
  <c r="F267" i="21"/>
  <c r="E254" i="21"/>
  <c r="E255" i="21"/>
  <c r="E256" i="21"/>
  <c r="E257" i="21"/>
  <c r="E258" i="21"/>
  <c r="E259" i="21"/>
  <c r="E260" i="21"/>
  <c r="E261" i="21"/>
  <c r="E262" i="21"/>
  <c r="E263" i="21"/>
  <c r="E264" i="21"/>
  <c r="E265" i="21"/>
  <c r="E266" i="21"/>
  <c r="E267" i="21"/>
  <c r="D254" i="21"/>
  <c r="D255" i="21"/>
  <c r="D256" i="21"/>
  <c r="D257" i="21"/>
  <c r="D258" i="21"/>
  <c r="D259" i="21"/>
  <c r="D260" i="21"/>
  <c r="D261" i="21"/>
  <c r="D262" i="21"/>
  <c r="D263" i="21"/>
  <c r="D264" i="21"/>
  <c r="D265" i="21"/>
  <c r="D266" i="21"/>
  <c r="D267" i="21"/>
  <c r="C254" i="21"/>
  <c r="C255" i="21"/>
  <c r="C256" i="21"/>
  <c r="C257" i="21"/>
  <c r="C258" i="21"/>
  <c r="C259" i="21"/>
  <c r="C260" i="21"/>
  <c r="C261" i="21"/>
  <c r="C262" i="21"/>
  <c r="C263" i="21"/>
  <c r="C264" i="21"/>
  <c r="C265" i="21"/>
  <c r="C266" i="21"/>
  <c r="C267" i="21"/>
  <c r="C253" i="21"/>
  <c r="D253" i="21"/>
  <c r="E253" i="21"/>
  <c r="F253" i="21"/>
  <c r="G253" i="21"/>
  <c r="H253" i="21"/>
  <c r="B254" i="21"/>
  <c r="B255" i="21"/>
  <c r="B256" i="21"/>
  <c r="B257" i="21"/>
  <c r="B258" i="21"/>
  <c r="B259" i="21"/>
  <c r="B260" i="21"/>
  <c r="B261" i="21"/>
  <c r="B262" i="21"/>
  <c r="B263" i="21"/>
  <c r="B264" i="21"/>
  <c r="B265" i="21"/>
  <c r="B266" i="21"/>
  <c r="B253" i="21"/>
  <c r="B248" i="21"/>
  <c r="H235" i="21"/>
  <c r="H236" i="21"/>
  <c r="H237" i="21"/>
  <c r="H238" i="21"/>
  <c r="H239" i="21"/>
  <c r="H240" i="21"/>
  <c r="H241" i="21"/>
  <c r="H242" i="21"/>
  <c r="H243" i="21"/>
  <c r="H244" i="21"/>
  <c r="H245" i="21"/>
  <c r="H246" i="21"/>
  <c r="H247" i="21"/>
  <c r="H248" i="21"/>
  <c r="G235" i="21"/>
  <c r="G236" i="21"/>
  <c r="G237" i="21"/>
  <c r="G238" i="21"/>
  <c r="G239" i="21"/>
  <c r="G240" i="21"/>
  <c r="G241" i="21"/>
  <c r="G242" i="21"/>
  <c r="G243" i="21"/>
  <c r="G244" i="21"/>
  <c r="G245" i="21"/>
  <c r="G246" i="21"/>
  <c r="G247" i="21"/>
  <c r="G248" i="21"/>
  <c r="F235" i="21"/>
  <c r="F236" i="21"/>
  <c r="F237" i="21"/>
  <c r="F238" i="21"/>
  <c r="F239" i="21"/>
  <c r="F240" i="21"/>
  <c r="F241" i="21"/>
  <c r="F242" i="21"/>
  <c r="F243" i="21"/>
  <c r="F244" i="21"/>
  <c r="F245" i="21"/>
  <c r="F246" i="21"/>
  <c r="F247" i="21"/>
  <c r="F248" i="21"/>
  <c r="E248" i="21"/>
  <c r="E235" i="21"/>
  <c r="E236" i="21"/>
  <c r="E237" i="21"/>
  <c r="E238" i="21"/>
  <c r="E239" i="21"/>
  <c r="E240" i="21"/>
  <c r="E241" i="21"/>
  <c r="E242" i="21"/>
  <c r="E243" i="21"/>
  <c r="E244" i="21"/>
  <c r="E245" i="21"/>
  <c r="E246" i="21"/>
  <c r="E247" i="21"/>
  <c r="D235" i="21"/>
  <c r="D236" i="21"/>
  <c r="D237" i="21"/>
  <c r="D238" i="21"/>
  <c r="D239" i="21"/>
  <c r="D240" i="21"/>
  <c r="D241" i="21"/>
  <c r="D242" i="21"/>
  <c r="D243" i="21"/>
  <c r="D244" i="21"/>
  <c r="D245" i="21"/>
  <c r="D246" i="21"/>
  <c r="D247" i="21"/>
  <c r="D248" i="21"/>
  <c r="C235" i="21"/>
  <c r="C236" i="21"/>
  <c r="C237" i="21"/>
  <c r="C238" i="21"/>
  <c r="C239" i="21"/>
  <c r="C240" i="21"/>
  <c r="C241" i="21"/>
  <c r="C242" i="21"/>
  <c r="C243" i="21"/>
  <c r="C244" i="21"/>
  <c r="C245" i="21"/>
  <c r="C246" i="21"/>
  <c r="C247" i="21"/>
  <c r="C248" i="21"/>
  <c r="C234" i="21"/>
  <c r="D234" i="21"/>
  <c r="E234" i="21"/>
  <c r="F234" i="21"/>
  <c r="G234" i="21"/>
  <c r="H234" i="21"/>
  <c r="B235" i="21"/>
  <c r="B236" i="21"/>
  <c r="B237" i="21"/>
  <c r="B238" i="21"/>
  <c r="B239" i="21"/>
  <c r="B240" i="21"/>
  <c r="B241" i="21"/>
  <c r="B242" i="21"/>
  <c r="B243" i="21"/>
  <c r="B244" i="21"/>
  <c r="B245" i="21"/>
  <c r="B246" i="21"/>
  <c r="B247" i="21"/>
  <c r="B234" i="21"/>
  <c r="B229" i="21"/>
  <c r="H216" i="21"/>
  <c r="H217" i="21"/>
  <c r="H218" i="21"/>
  <c r="H219" i="21"/>
  <c r="H220" i="21"/>
  <c r="H221" i="21"/>
  <c r="H222" i="21"/>
  <c r="H223" i="21"/>
  <c r="H224" i="21"/>
  <c r="H225" i="21"/>
  <c r="H226" i="21"/>
  <c r="H227" i="21"/>
  <c r="H228" i="21"/>
  <c r="H229" i="21"/>
  <c r="G216" i="21"/>
  <c r="G217" i="21"/>
  <c r="G218" i="21"/>
  <c r="G219" i="21"/>
  <c r="G220" i="21"/>
  <c r="G221" i="21"/>
  <c r="G222" i="21"/>
  <c r="G223" i="21"/>
  <c r="G224" i="21"/>
  <c r="G225" i="21"/>
  <c r="G226" i="21"/>
  <c r="G227" i="21"/>
  <c r="G228" i="21"/>
  <c r="G229" i="21"/>
  <c r="F216" i="21"/>
  <c r="F217" i="21"/>
  <c r="F218" i="21"/>
  <c r="F219" i="21"/>
  <c r="F220" i="21"/>
  <c r="F221" i="21"/>
  <c r="F222" i="21"/>
  <c r="F223" i="21"/>
  <c r="F224" i="21"/>
  <c r="F225" i="21"/>
  <c r="F226" i="21"/>
  <c r="F227" i="21"/>
  <c r="F228" i="21"/>
  <c r="F229" i="21"/>
  <c r="E216" i="21"/>
  <c r="E217" i="21"/>
  <c r="E218" i="21"/>
  <c r="E219" i="21"/>
  <c r="E220" i="21"/>
  <c r="E221" i="21"/>
  <c r="E222" i="21"/>
  <c r="E223" i="21"/>
  <c r="E224" i="21"/>
  <c r="E225" i="21"/>
  <c r="E226" i="21"/>
  <c r="E227" i="21"/>
  <c r="E228" i="21"/>
  <c r="E229" i="21"/>
  <c r="D216" i="21"/>
  <c r="D217" i="21"/>
  <c r="D218" i="21"/>
  <c r="D219" i="21"/>
  <c r="D220" i="21"/>
  <c r="D221" i="21"/>
  <c r="D222" i="21"/>
  <c r="D223" i="21"/>
  <c r="D224" i="21"/>
  <c r="D225" i="21"/>
  <c r="D226" i="21"/>
  <c r="D227" i="21"/>
  <c r="D228" i="21"/>
  <c r="D229" i="21"/>
  <c r="C216" i="21"/>
  <c r="C217" i="21"/>
  <c r="C218" i="21"/>
  <c r="C219" i="21"/>
  <c r="C220" i="21"/>
  <c r="C221" i="21"/>
  <c r="C222" i="21"/>
  <c r="C223" i="21"/>
  <c r="C224" i="21"/>
  <c r="C225" i="21"/>
  <c r="C226" i="21"/>
  <c r="C227" i="21"/>
  <c r="C228" i="21"/>
  <c r="C229" i="21"/>
  <c r="C215" i="21"/>
  <c r="D215" i="21"/>
  <c r="E215" i="21"/>
  <c r="F215" i="21"/>
  <c r="G215" i="21"/>
  <c r="H215" i="21"/>
  <c r="B216" i="21"/>
  <c r="B217" i="21"/>
  <c r="B218" i="21"/>
  <c r="B219" i="21"/>
  <c r="B220" i="21"/>
  <c r="B221" i="21"/>
  <c r="B222" i="21"/>
  <c r="B223" i="21"/>
  <c r="B224" i="21"/>
  <c r="B225" i="21"/>
  <c r="B226" i="21"/>
  <c r="B227" i="21"/>
  <c r="B228" i="21"/>
  <c r="B215" i="21"/>
  <c r="B210" i="21"/>
  <c r="H197" i="21"/>
  <c r="H198" i="21"/>
  <c r="H199" i="21"/>
  <c r="H200" i="21"/>
  <c r="H201" i="21"/>
  <c r="H202" i="21"/>
  <c r="H203" i="21"/>
  <c r="H204" i="21"/>
  <c r="H205" i="21"/>
  <c r="H206" i="21"/>
  <c r="H207" i="21"/>
  <c r="H208" i="21"/>
  <c r="H209" i="21"/>
  <c r="H210" i="21"/>
  <c r="G197" i="21"/>
  <c r="G198" i="21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F197" i="21"/>
  <c r="F198" i="21"/>
  <c r="F199" i="21"/>
  <c r="F200" i="21"/>
  <c r="F201" i="21"/>
  <c r="F202" i="21"/>
  <c r="F203" i="21"/>
  <c r="F204" i="21"/>
  <c r="F205" i="21"/>
  <c r="F206" i="21"/>
  <c r="F207" i="21"/>
  <c r="F208" i="21"/>
  <c r="F209" i="21"/>
  <c r="F210" i="21"/>
  <c r="E197" i="21"/>
  <c r="E198" i="21"/>
  <c r="E199" i="21"/>
  <c r="E200" i="21"/>
  <c r="E201" i="21"/>
  <c r="E202" i="21"/>
  <c r="E203" i="21"/>
  <c r="E204" i="21"/>
  <c r="E205" i="21"/>
  <c r="E206" i="21"/>
  <c r="E207" i="21"/>
  <c r="E208" i="21"/>
  <c r="E209" i="21"/>
  <c r="E210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C197" i="21"/>
  <c r="C198" i="21"/>
  <c r="C199" i="21"/>
  <c r="C200" i="21"/>
  <c r="C201" i="21"/>
  <c r="C202" i="21"/>
  <c r="C203" i="21"/>
  <c r="C204" i="21"/>
  <c r="C205" i="21"/>
  <c r="C206" i="21"/>
  <c r="C207" i="21"/>
  <c r="C208" i="21"/>
  <c r="C209" i="21"/>
  <c r="C210" i="21"/>
  <c r="C196" i="21"/>
  <c r="D196" i="21"/>
  <c r="E196" i="21"/>
  <c r="F196" i="21"/>
  <c r="G196" i="21"/>
  <c r="H196" i="21"/>
  <c r="B197" i="21"/>
  <c r="B198" i="21"/>
  <c r="B199" i="21"/>
  <c r="B200" i="21"/>
  <c r="B201" i="21"/>
  <c r="B202" i="21"/>
  <c r="B203" i="21"/>
  <c r="B204" i="21"/>
  <c r="B205" i="21"/>
  <c r="B206" i="21"/>
  <c r="B207" i="21"/>
  <c r="B208" i="21"/>
  <c r="B209" i="21"/>
  <c r="B196" i="21"/>
  <c r="B191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F178" i="21"/>
  <c r="F179" i="21"/>
  <c r="F180" i="21"/>
  <c r="F181" i="21"/>
  <c r="F182" i="21"/>
  <c r="F183" i="21"/>
  <c r="F184" i="21"/>
  <c r="F185" i="21"/>
  <c r="F186" i="21"/>
  <c r="F187" i="21"/>
  <c r="F188" i="21"/>
  <c r="F189" i="21"/>
  <c r="F190" i="21"/>
  <c r="F191" i="21"/>
  <c r="E178" i="21"/>
  <c r="E179" i="21"/>
  <c r="E180" i="21"/>
  <c r="E181" i="21"/>
  <c r="E182" i="21"/>
  <c r="E183" i="21"/>
  <c r="E184" i="21"/>
  <c r="E185" i="21"/>
  <c r="E186" i="21"/>
  <c r="E187" i="21"/>
  <c r="E188" i="21"/>
  <c r="E189" i="21"/>
  <c r="E190" i="21"/>
  <c r="E191" i="21"/>
  <c r="D178" i="21"/>
  <c r="D179" i="21"/>
  <c r="D180" i="21"/>
  <c r="D181" i="21"/>
  <c r="D182" i="21"/>
  <c r="D183" i="21"/>
  <c r="D184" i="21"/>
  <c r="D185" i="21"/>
  <c r="D186" i="21"/>
  <c r="D187" i="21"/>
  <c r="D188" i="21"/>
  <c r="D189" i="21"/>
  <c r="D190" i="21"/>
  <c r="D191" i="21"/>
  <c r="C178" i="21"/>
  <c r="C179" i="21"/>
  <c r="C180" i="21"/>
  <c r="C181" i="21"/>
  <c r="C182" i="21"/>
  <c r="C183" i="21"/>
  <c r="C184" i="21"/>
  <c r="C185" i="21"/>
  <c r="C186" i="21"/>
  <c r="C187" i="21"/>
  <c r="C188" i="21"/>
  <c r="C189" i="21"/>
  <c r="C190" i="21"/>
  <c r="C191" i="21"/>
  <c r="B178" i="21"/>
  <c r="B179" i="21"/>
  <c r="B180" i="21"/>
  <c r="B181" i="21"/>
  <c r="B182" i="21"/>
  <c r="B183" i="21"/>
  <c r="B184" i="21"/>
  <c r="B185" i="21"/>
  <c r="B186" i="21"/>
  <c r="B187" i="21"/>
  <c r="B188" i="21"/>
  <c r="B189" i="21"/>
  <c r="B190" i="21"/>
  <c r="C177" i="21"/>
  <c r="D177" i="21"/>
  <c r="E177" i="21"/>
  <c r="F177" i="21"/>
  <c r="G177" i="21"/>
  <c r="H177" i="21"/>
  <c r="B177" i="21"/>
  <c r="B172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F159" i="21"/>
  <c r="F160" i="21"/>
  <c r="F161" i="21"/>
  <c r="F162" i="21"/>
  <c r="F163" i="21"/>
  <c r="F164" i="21"/>
  <c r="F165" i="21"/>
  <c r="F166" i="21"/>
  <c r="F167" i="21"/>
  <c r="F168" i="21"/>
  <c r="F169" i="21"/>
  <c r="F170" i="21"/>
  <c r="F171" i="21"/>
  <c r="F172" i="21"/>
  <c r="E159" i="21"/>
  <c r="E160" i="21"/>
  <c r="E161" i="21"/>
  <c r="E162" i="21"/>
  <c r="E163" i="21"/>
  <c r="E164" i="21"/>
  <c r="E165" i="21"/>
  <c r="E166" i="21"/>
  <c r="E167" i="21"/>
  <c r="E168" i="21"/>
  <c r="E169" i="21"/>
  <c r="E170" i="21"/>
  <c r="E171" i="21"/>
  <c r="E172" i="21"/>
  <c r="D159" i="21"/>
  <c r="D160" i="21"/>
  <c r="D161" i="21"/>
  <c r="D162" i="21"/>
  <c r="D163" i="21"/>
  <c r="D164" i="21"/>
  <c r="D165" i="21"/>
  <c r="D166" i="21"/>
  <c r="D167" i="21"/>
  <c r="D168" i="21"/>
  <c r="D169" i="21"/>
  <c r="D170" i="21"/>
  <c r="D171" i="21"/>
  <c r="D172" i="21"/>
  <c r="C159" i="21"/>
  <c r="C160" i="21"/>
  <c r="C161" i="21"/>
  <c r="C162" i="21"/>
  <c r="C163" i="21"/>
  <c r="C164" i="21"/>
  <c r="C165" i="21"/>
  <c r="C166" i="21"/>
  <c r="C167" i="21"/>
  <c r="C168" i="21"/>
  <c r="C169" i="21"/>
  <c r="C170" i="21"/>
  <c r="C171" i="21"/>
  <c r="C172" i="21"/>
  <c r="C158" i="21"/>
  <c r="D158" i="21"/>
  <c r="E158" i="21"/>
  <c r="F158" i="21"/>
  <c r="G158" i="21"/>
  <c r="H158" i="21"/>
  <c r="B159" i="21"/>
  <c r="B160" i="21"/>
  <c r="B161" i="21"/>
  <c r="B162" i="21"/>
  <c r="B163" i="21"/>
  <c r="B164" i="21"/>
  <c r="B165" i="21"/>
  <c r="B166" i="21"/>
  <c r="B167" i="21"/>
  <c r="B168" i="21"/>
  <c r="B169" i="21"/>
  <c r="B170" i="21"/>
  <c r="B171" i="21"/>
  <c r="B158" i="21"/>
  <c r="B153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F140" i="21"/>
  <c r="F141" i="21"/>
  <c r="F142" i="21"/>
  <c r="F143" i="21"/>
  <c r="F144" i="21"/>
  <c r="F145" i="21"/>
  <c r="F146" i="21"/>
  <c r="F147" i="21"/>
  <c r="F148" i="21"/>
  <c r="F149" i="21"/>
  <c r="F150" i="21"/>
  <c r="F151" i="21"/>
  <c r="F152" i="21"/>
  <c r="F153" i="21"/>
  <c r="E140" i="21"/>
  <c r="E141" i="21"/>
  <c r="E142" i="21"/>
  <c r="E143" i="21"/>
  <c r="E144" i="21"/>
  <c r="E145" i="21"/>
  <c r="E146" i="21"/>
  <c r="E147" i="21"/>
  <c r="E148" i="21"/>
  <c r="E149" i="21"/>
  <c r="E150" i="21"/>
  <c r="E151" i="21"/>
  <c r="E152" i="21"/>
  <c r="E153" i="21"/>
  <c r="D140" i="21"/>
  <c r="D141" i="21"/>
  <c r="D142" i="21"/>
  <c r="D143" i="21"/>
  <c r="D144" i="21"/>
  <c r="D145" i="21"/>
  <c r="D146" i="21"/>
  <c r="D147" i="21"/>
  <c r="D148" i="21"/>
  <c r="D149" i="21"/>
  <c r="D150" i="21"/>
  <c r="D151" i="21"/>
  <c r="D152" i="21"/>
  <c r="D153" i="21"/>
  <c r="C140" i="21"/>
  <c r="C141" i="21"/>
  <c r="C142" i="21"/>
  <c r="C143" i="21"/>
  <c r="C144" i="21"/>
  <c r="C145" i="21"/>
  <c r="C146" i="21"/>
  <c r="C147" i="21"/>
  <c r="C148" i="21"/>
  <c r="C149" i="21"/>
  <c r="C150" i="21"/>
  <c r="C151" i="21"/>
  <c r="C152" i="21"/>
  <c r="C153" i="21"/>
  <c r="C139" i="21"/>
  <c r="D139" i="21"/>
  <c r="E139" i="21"/>
  <c r="F139" i="21"/>
  <c r="G139" i="21"/>
  <c r="H139" i="21"/>
  <c r="B140" i="21"/>
  <c r="B141" i="21"/>
  <c r="B142" i="21"/>
  <c r="B143" i="21"/>
  <c r="B144" i="21"/>
  <c r="B145" i="21"/>
  <c r="B146" i="21"/>
  <c r="B147" i="21"/>
  <c r="B148" i="21"/>
  <c r="B149" i="21"/>
  <c r="B150" i="21"/>
  <c r="B151" i="21"/>
  <c r="B152" i="21"/>
  <c r="B139" i="21"/>
  <c r="B134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F121" i="21"/>
  <c r="F122" i="21"/>
  <c r="F123" i="21"/>
  <c r="F124" i="21"/>
  <c r="F125" i="21"/>
  <c r="F126" i="21"/>
  <c r="F127" i="21"/>
  <c r="F128" i="21"/>
  <c r="F129" i="21"/>
  <c r="F130" i="21"/>
  <c r="F131" i="21"/>
  <c r="F132" i="21"/>
  <c r="F133" i="21"/>
  <c r="F134" i="21"/>
  <c r="E121" i="21"/>
  <c r="E122" i="21"/>
  <c r="E123" i="21"/>
  <c r="E124" i="21"/>
  <c r="E125" i="21"/>
  <c r="E126" i="21"/>
  <c r="E127" i="21"/>
  <c r="E128" i="21"/>
  <c r="E129" i="21"/>
  <c r="E130" i="21"/>
  <c r="E131" i="21"/>
  <c r="E132" i="21"/>
  <c r="E133" i="21"/>
  <c r="E134" i="21"/>
  <c r="D121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  <c r="C121" i="21"/>
  <c r="C122" i="21"/>
  <c r="C123" i="21"/>
  <c r="C124" i="21"/>
  <c r="C125" i="21"/>
  <c r="C126" i="21"/>
  <c r="C127" i="21"/>
  <c r="C128" i="21"/>
  <c r="C129" i="21"/>
  <c r="C130" i="21"/>
  <c r="C131" i="21"/>
  <c r="C132" i="21"/>
  <c r="C133" i="21"/>
  <c r="C134" i="21"/>
  <c r="C120" i="21"/>
  <c r="D120" i="21"/>
  <c r="E120" i="21"/>
  <c r="F120" i="21"/>
  <c r="G120" i="21"/>
  <c r="H120" i="21"/>
  <c r="B121" i="21"/>
  <c r="B122" i="21"/>
  <c r="B123" i="21"/>
  <c r="B124" i="21"/>
  <c r="B125" i="21"/>
  <c r="B126" i="21"/>
  <c r="B127" i="21"/>
  <c r="B128" i="21"/>
  <c r="B129" i="21"/>
  <c r="B130" i="21"/>
  <c r="B131" i="21"/>
  <c r="B132" i="21"/>
  <c r="B133" i="21"/>
  <c r="B120" i="21"/>
  <c r="B115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F102" i="21"/>
  <c r="F103" i="21"/>
  <c r="F104" i="21"/>
  <c r="F105" i="21"/>
  <c r="F106" i="21"/>
  <c r="F107" i="21"/>
  <c r="F108" i="21"/>
  <c r="F109" i="21"/>
  <c r="F110" i="21"/>
  <c r="F111" i="21"/>
  <c r="F112" i="21"/>
  <c r="F113" i="21"/>
  <c r="F114" i="21"/>
  <c r="F115" i="21"/>
  <c r="E102" i="21"/>
  <c r="E103" i="21"/>
  <c r="E104" i="21"/>
  <c r="E105" i="21"/>
  <c r="E106" i="21"/>
  <c r="E107" i="21"/>
  <c r="E108" i="21"/>
  <c r="E109" i="21"/>
  <c r="E110" i="21"/>
  <c r="E111" i="21"/>
  <c r="E112" i="21"/>
  <c r="E113" i="21"/>
  <c r="E114" i="21"/>
  <c r="E115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C102" i="21"/>
  <c r="C103" i="21"/>
  <c r="C104" i="21"/>
  <c r="C105" i="21"/>
  <c r="C106" i="21"/>
  <c r="C107" i="21"/>
  <c r="C108" i="21"/>
  <c r="C109" i="21"/>
  <c r="C110" i="21"/>
  <c r="C111" i="21"/>
  <c r="C112" i="21"/>
  <c r="C113" i="21"/>
  <c r="C114" i="21"/>
  <c r="C115" i="21"/>
  <c r="B102" i="21"/>
  <c r="B103" i="21"/>
  <c r="B104" i="21"/>
  <c r="B105" i="21"/>
  <c r="B106" i="21"/>
  <c r="B107" i="21"/>
  <c r="B108" i="21"/>
  <c r="B109" i="21"/>
  <c r="B110" i="21"/>
  <c r="B111" i="21"/>
  <c r="B112" i="21"/>
  <c r="B113" i="21"/>
  <c r="B114" i="21"/>
  <c r="C101" i="21"/>
  <c r="D101" i="21"/>
  <c r="E101" i="21"/>
  <c r="F101" i="21"/>
  <c r="G101" i="21"/>
  <c r="H101" i="21"/>
  <c r="B101" i="21"/>
  <c r="B96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C83" i="21"/>
  <c r="C84" i="21"/>
  <c r="C85" i="21"/>
  <c r="C86" i="21"/>
  <c r="C87" i="21"/>
  <c r="C88" i="21"/>
  <c r="C89" i="21"/>
  <c r="C90" i="21"/>
  <c r="C91" i="21"/>
  <c r="C92" i="21"/>
  <c r="C93" i="21"/>
  <c r="C94" i="21"/>
  <c r="C95" i="21"/>
  <c r="C96" i="21"/>
  <c r="C82" i="21"/>
  <c r="D82" i="21"/>
  <c r="E82" i="21"/>
  <c r="F82" i="21"/>
  <c r="G82" i="21"/>
  <c r="H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82" i="21"/>
  <c r="B77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C64" i="21"/>
  <c r="C65" i="21"/>
  <c r="C66" i="21"/>
  <c r="C67" i="21"/>
  <c r="C68" i="21"/>
  <c r="C69" i="21"/>
  <c r="C70" i="21"/>
  <c r="C71" i="21"/>
  <c r="C72" i="21"/>
  <c r="C73" i="21"/>
  <c r="C74" i="21"/>
  <c r="C75" i="21"/>
  <c r="C76" i="21"/>
  <c r="C77" i="21"/>
  <c r="H63" i="21"/>
  <c r="C63" i="21"/>
  <c r="D63" i="21"/>
  <c r="E63" i="21"/>
  <c r="F63" i="21"/>
  <c r="G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63" i="21"/>
  <c r="B58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44" i="21"/>
  <c r="D44" i="21"/>
  <c r="E44" i="21"/>
  <c r="F44" i="21"/>
  <c r="G44" i="21"/>
  <c r="H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44" i="21"/>
  <c r="B39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25" i="21"/>
  <c r="D25" i="21"/>
  <c r="E25" i="21"/>
  <c r="F25" i="21"/>
  <c r="G25" i="21"/>
  <c r="H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25" i="21"/>
  <c r="B20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C6" i="21"/>
  <c r="D6" i="21"/>
  <c r="E6" i="21"/>
  <c r="F6" i="21"/>
  <c r="G6" i="21"/>
  <c r="H6" i="21"/>
  <c r="B6" i="21"/>
  <c r="B6" i="20"/>
  <c r="B4" i="18"/>
  <c r="BR62" i="17"/>
  <c r="BR61" i="17"/>
  <c r="BR60" i="17"/>
  <c r="BR59" i="17"/>
  <c r="BR58" i="17"/>
  <c r="BQ62" i="17"/>
  <c r="BQ61" i="17"/>
  <c r="BQ60" i="17"/>
  <c r="BQ59" i="17"/>
  <c r="BQ58" i="17"/>
  <c r="BP62" i="17"/>
  <c r="BP61" i="17"/>
  <c r="BP60" i="17"/>
  <c r="BP59" i="17"/>
  <c r="BP58" i="17"/>
  <c r="BQ64" i="17"/>
  <c r="BQ63" i="17"/>
  <c r="BO64" i="17"/>
  <c r="BN63" i="17"/>
  <c r="BO62" i="17"/>
  <c r="BO61" i="17"/>
  <c r="BO60" i="17"/>
  <c r="BO59" i="17"/>
  <c r="BO58" i="17"/>
  <c r="BN61" i="17"/>
  <c r="BN60" i="17"/>
  <c r="BN59" i="17"/>
  <c r="BN58" i="17"/>
  <c r="BP49" i="17"/>
  <c r="BN49" i="17" s="1"/>
  <c r="BO53" i="17"/>
  <c r="BO52" i="17"/>
  <c r="BO51" i="17"/>
  <c r="BO50" i="17"/>
  <c r="BO49" i="17"/>
  <c r="BN52" i="17"/>
  <c r="BN51" i="17"/>
  <c r="BN50" i="17"/>
  <c r="BP40" i="17"/>
  <c r="BN40" i="17" s="1"/>
  <c r="BO44" i="17"/>
  <c r="BO43" i="17"/>
  <c r="BO42" i="17"/>
  <c r="BO41" i="17"/>
  <c r="BO40" i="17"/>
  <c r="BN44" i="17"/>
  <c r="BN43" i="17"/>
  <c r="BN42" i="17"/>
  <c r="BN41" i="17"/>
  <c r="BQ35" i="17"/>
  <c r="BN35" i="17" s="1"/>
  <c r="BQ34" i="17"/>
  <c r="BQ33" i="17"/>
  <c r="BN33" i="17" s="1"/>
  <c r="BQ32" i="17"/>
  <c r="BN32" i="17" s="1"/>
  <c r="BQ31" i="17"/>
  <c r="BN31" i="17" s="1"/>
  <c r="BO35" i="17"/>
  <c r="BO34" i="17"/>
  <c r="BO33" i="17"/>
  <c r="BO32" i="17"/>
  <c r="BO31" i="17"/>
  <c r="BN34" i="17"/>
  <c r="BP22" i="17"/>
  <c r="BN22" i="17" s="1"/>
  <c r="BO26" i="17"/>
  <c r="BO25" i="17"/>
  <c r="BO24" i="17"/>
  <c r="BO23" i="17"/>
  <c r="BO22" i="17"/>
  <c r="BN26" i="17"/>
  <c r="BN25" i="17"/>
  <c r="BN24" i="17"/>
  <c r="BN23" i="17"/>
  <c r="BO17" i="17"/>
  <c r="BO16" i="17"/>
  <c r="BO15" i="17"/>
  <c r="BO14" i="17"/>
  <c r="BO13" i="17"/>
  <c r="BN17" i="17"/>
  <c r="BN16" i="17"/>
  <c r="BN15" i="17"/>
  <c r="BN14" i="17"/>
  <c r="BN13" i="17"/>
  <c r="BO8" i="17"/>
  <c r="BO7" i="17"/>
  <c r="BO6" i="17"/>
  <c r="BO5" i="17"/>
  <c r="BO4" i="17"/>
  <c r="BN8" i="17"/>
  <c r="BN7" i="17"/>
  <c r="BN6" i="17"/>
  <c r="BN5" i="17"/>
  <c r="BJ64" i="17"/>
  <c r="BJ63" i="17"/>
  <c r="BH64" i="17"/>
  <c r="BG63" i="17"/>
  <c r="BH62" i="17"/>
  <c r="BH61" i="17"/>
  <c r="BH60" i="17"/>
  <c r="BH59" i="17"/>
  <c r="BH58" i="17"/>
  <c r="BG62" i="17"/>
  <c r="BG61" i="17"/>
  <c r="BG60" i="17"/>
  <c r="BG59" i="17"/>
  <c r="BG58" i="17"/>
  <c r="BI49" i="17"/>
  <c r="BH53" i="17"/>
  <c r="BH52" i="17"/>
  <c r="BH51" i="17"/>
  <c r="BH50" i="17"/>
  <c r="BH49" i="17"/>
  <c r="BG53" i="17"/>
  <c r="BG52" i="17"/>
  <c r="BG51" i="17"/>
  <c r="BG50" i="17"/>
  <c r="BG49" i="17"/>
  <c r="BI40" i="17"/>
  <c r="BH40" i="17" s="1"/>
  <c r="BG40" i="17"/>
  <c r="BH44" i="17"/>
  <c r="BH43" i="17"/>
  <c r="BH42" i="17"/>
  <c r="BH41" i="17"/>
  <c r="BG44" i="17"/>
  <c r="BG43" i="17"/>
  <c r="BG42" i="17"/>
  <c r="BG41" i="17"/>
  <c r="BH35" i="17"/>
  <c r="BH34" i="17"/>
  <c r="BH33" i="17"/>
  <c r="BH32" i="17"/>
  <c r="BH31" i="17"/>
  <c r="BG35" i="17"/>
  <c r="BG34" i="17"/>
  <c r="BG33" i="17"/>
  <c r="BG32" i="17"/>
  <c r="BG31" i="17"/>
  <c r="BI22" i="17"/>
  <c r="BH26" i="17"/>
  <c r="BH25" i="17"/>
  <c r="BH24" i="17"/>
  <c r="BH23" i="17"/>
  <c r="BH22" i="17"/>
  <c r="BG26" i="17"/>
  <c r="BG25" i="17"/>
  <c r="BG24" i="17"/>
  <c r="BG23" i="17"/>
  <c r="BG22" i="17"/>
  <c r="BK13" i="17"/>
  <c r="BJ16" i="17"/>
  <c r="BG16" i="17" s="1"/>
  <c r="BJ17" i="17"/>
  <c r="BH17" i="17"/>
  <c r="BH16" i="17"/>
  <c r="BH15" i="17"/>
  <c r="BH14" i="17"/>
  <c r="BH13" i="17"/>
  <c r="BG17" i="17"/>
  <c r="BG15" i="17"/>
  <c r="BG14" i="17"/>
  <c r="BG13" i="17"/>
  <c r="BI4" i="13"/>
  <c r="BH8" i="17"/>
  <c r="BH7" i="17"/>
  <c r="BH6" i="17"/>
  <c r="BH5" i="17"/>
  <c r="BH4" i="17"/>
  <c r="BG8" i="17"/>
  <c r="BG7" i="17"/>
  <c r="BG6" i="17"/>
  <c r="BG5" i="17"/>
  <c r="BG4" i="17"/>
  <c r="BC64" i="17"/>
  <c r="BC63" i="17"/>
  <c r="BD62" i="17"/>
  <c r="BD61" i="17"/>
  <c r="BD60" i="17"/>
  <c r="BD59" i="17"/>
  <c r="BD58" i="17"/>
  <c r="BC62" i="17"/>
  <c r="BC61" i="17"/>
  <c r="BC60" i="17"/>
  <c r="BC59" i="17"/>
  <c r="BC58" i="17"/>
  <c r="BB58" i="17"/>
  <c r="BB62" i="17"/>
  <c r="BB61" i="17"/>
  <c r="BB60" i="17"/>
  <c r="BB59" i="17"/>
  <c r="BA62" i="17"/>
  <c r="BA60" i="17"/>
  <c r="BA59" i="17"/>
  <c r="BA61" i="17"/>
  <c r="BA58" i="17"/>
  <c r="AZ62" i="17"/>
  <c r="AZ61" i="17"/>
  <c r="AZ60" i="17"/>
  <c r="AZ58" i="17"/>
  <c r="BA53" i="17"/>
  <c r="BA52" i="17"/>
  <c r="BA51" i="17"/>
  <c r="BA50" i="17"/>
  <c r="BA49" i="17"/>
  <c r="AZ53" i="17"/>
  <c r="AZ52" i="17"/>
  <c r="AZ51" i="17"/>
  <c r="AZ50" i="17"/>
  <c r="AZ49" i="17"/>
  <c r="BA44" i="17"/>
  <c r="BA43" i="17"/>
  <c r="BA42" i="17"/>
  <c r="BA41" i="17"/>
  <c r="BA40" i="17"/>
  <c r="AZ44" i="17"/>
  <c r="AZ43" i="17"/>
  <c r="AZ42" i="17"/>
  <c r="AZ41" i="17"/>
  <c r="AZ40" i="17"/>
  <c r="BB31" i="17"/>
  <c r="AZ31" i="17" s="1"/>
  <c r="BA35" i="17"/>
  <c r="BA34" i="17"/>
  <c r="BA33" i="17"/>
  <c r="BA32" i="17"/>
  <c r="BA31" i="17"/>
  <c r="AZ35" i="17"/>
  <c r="AZ34" i="17"/>
  <c r="AZ33" i="17"/>
  <c r="AZ32" i="17"/>
  <c r="BA22" i="17"/>
  <c r="BA26" i="17"/>
  <c r="BA25" i="17"/>
  <c r="BA24" i="17"/>
  <c r="BA23" i="17"/>
  <c r="AZ26" i="17"/>
  <c r="AZ25" i="17"/>
  <c r="AZ24" i="17"/>
  <c r="AZ23" i="17"/>
  <c r="AZ22" i="17"/>
  <c r="BA17" i="17"/>
  <c r="BA16" i="17"/>
  <c r="BA15" i="17"/>
  <c r="BA14" i="17"/>
  <c r="BA13" i="17"/>
  <c r="AZ17" i="17"/>
  <c r="AZ16" i="17"/>
  <c r="AZ15" i="17"/>
  <c r="AZ14" i="17"/>
  <c r="AZ13" i="17"/>
  <c r="BA6" i="17"/>
  <c r="BA5" i="17"/>
  <c r="BA8" i="17"/>
  <c r="BA7" i="17"/>
  <c r="BA4" i="17"/>
  <c r="AZ8" i="17"/>
  <c r="AZ7" i="17"/>
  <c r="AZ6" i="17"/>
  <c r="AZ5" i="17"/>
  <c r="AZ4" i="17"/>
  <c r="AV64" i="17"/>
  <c r="AV63" i="17"/>
  <c r="AT64" i="17"/>
  <c r="AS63" i="17"/>
  <c r="AT62" i="17"/>
  <c r="AT61" i="17"/>
  <c r="AT60" i="17"/>
  <c r="AT59" i="17"/>
  <c r="AT58" i="17"/>
  <c r="AS61" i="17"/>
  <c r="AS60" i="17"/>
  <c r="AS59" i="17"/>
  <c r="AS58" i="17"/>
  <c r="AT52" i="17"/>
  <c r="AT53" i="17"/>
  <c r="AT51" i="17"/>
  <c r="AT50" i="17"/>
  <c r="AT49" i="17"/>
  <c r="AS53" i="17"/>
  <c r="AS52" i="17"/>
  <c r="AS51" i="17"/>
  <c r="AS50" i="17"/>
  <c r="AS49" i="17"/>
  <c r="AW40" i="17"/>
  <c r="AV40" i="17"/>
  <c r="AU40" i="17"/>
  <c r="AS40" i="17"/>
  <c r="AT44" i="17"/>
  <c r="AT43" i="17"/>
  <c r="AT42" i="17"/>
  <c r="AT41" i="17"/>
  <c r="AT40" i="17"/>
  <c r="AS44" i="17"/>
  <c r="AS43" i="17"/>
  <c r="AS42" i="17"/>
  <c r="AS41" i="17"/>
  <c r="AU31" i="17"/>
  <c r="AS31" i="17" s="1"/>
  <c r="AT35" i="17"/>
  <c r="AT34" i="17"/>
  <c r="AT33" i="17"/>
  <c r="AT32" i="17"/>
  <c r="AT31" i="17"/>
  <c r="AS33" i="17"/>
  <c r="AS35" i="17"/>
  <c r="AS34" i="17"/>
  <c r="AS32" i="17"/>
  <c r="AU22" i="17"/>
  <c r="AT26" i="17"/>
  <c r="AT25" i="17"/>
  <c r="AT24" i="17"/>
  <c r="AT23" i="17"/>
  <c r="AS26" i="17"/>
  <c r="AS25" i="17"/>
  <c r="AS24" i="17"/>
  <c r="AS23" i="17"/>
  <c r="AT22" i="17"/>
  <c r="AS22" i="17"/>
  <c r="AT17" i="17"/>
  <c r="AT16" i="17"/>
  <c r="AT15" i="17"/>
  <c r="AT14" i="17"/>
  <c r="AT13" i="17"/>
  <c r="AS17" i="17"/>
  <c r="AS16" i="17"/>
  <c r="AS15" i="17"/>
  <c r="AS14" i="17"/>
  <c r="AS13" i="17"/>
  <c r="AU4" i="17"/>
  <c r="AS4" i="17" s="1"/>
  <c r="AT8" i="17"/>
  <c r="AT7" i="17"/>
  <c r="AT6" i="17"/>
  <c r="AT5" i="17"/>
  <c r="AT4" i="17"/>
  <c r="AS8" i="17"/>
  <c r="AS7" i="17"/>
  <c r="AS6" i="17"/>
  <c r="AS5" i="17"/>
  <c r="AP62" i="17"/>
  <c r="AP61" i="17"/>
  <c r="AP60" i="17"/>
  <c r="AM60" i="17" s="1"/>
  <c r="AP59" i="17"/>
  <c r="AP58" i="17"/>
  <c r="AO63" i="17"/>
  <c r="AO62" i="17"/>
  <c r="AO61" i="17"/>
  <c r="AO60" i="17"/>
  <c r="AO59" i="17"/>
  <c r="AL60" i="17"/>
  <c r="AO58" i="17"/>
  <c r="AN62" i="17"/>
  <c r="AN61" i="17"/>
  <c r="AN60" i="17"/>
  <c r="AN59" i="17"/>
  <c r="AN58" i="17"/>
  <c r="AM61" i="17"/>
  <c r="AM59" i="17"/>
  <c r="AM50" i="17"/>
  <c r="AM62" i="17"/>
  <c r="AM58" i="17"/>
  <c r="AL62" i="17"/>
  <c r="AL61" i="17"/>
  <c r="AL59" i="17"/>
  <c r="AL58" i="17"/>
  <c r="AM53" i="17"/>
  <c r="AM52" i="17"/>
  <c r="AM51" i="17"/>
  <c r="AM49" i="17"/>
  <c r="AL53" i="17"/>
  <c r="AL52" i="17"/>
  <c r="AL51" i="17"/>
  <c r="AL50" i="17"/>
  <c r="AL49" i="17"/>
  <c r="AN40" i="17"/>
  <c r="AL40" i="17" s="1"/>
  <c r="AM44" i="17"/>
  <c r="AM43" i="17"/>
  <c r="AM42" i="17"/>
  <c r="AM41" i="17"/>
  <c r="AM40" i="17"/>
  <c r="AL44" i="17"/>
  <c r="AL43" i="17"/>
  <c r="AL42" i="17"/>
  <c r="AL41" i="17"/>
  <c r="AM35" i="17"/>
  <c r="AM34" i="17"/>
  <c r="AM33" i="17"/>
  <c r="AM32" i="17"/>
  <c r="AM31" i="17"/>
  <c r="AL35" i="17"/>
  <c r="AL34" i="17"/>
  <c r="AL33" i="17"/>
  <c r="AL32" i="17"/>
  <c r="AL31" i="17"/>
  <c r="AN22" i="17"/>
  <c r="AM22" i="17" s="1"/>
  <c r="AM26" i="17"/>
  <c r="AM25" i="17"/>
  <c r="AM24" i="17"/>
  <c r="AM23" i="17"/>
  <c r="AL26" i="17"/>
  <c r="AL25" i="17"/>
  <c r="AL24" i="17"/>
  <c r="AL23" i="17"/>
  <c r="AM17" i="17"/>
  <c r="AM16" i="17"/>
  <c r="AM15" i="17"/>
  <c r="AM14" i="17"/>
  <c r="AL17" i="17"/>
  <c r="AL16" i="17"/>
  <c r="AL15" i="17"/>
  <c r="AL14" i="17"/>
  <c r="AM13" i="17"/>
  <c r="AL13" i="17"/>
  <c r="AM4" i="17"/>
  <c r="AL4" i="17"/>
  <c r="AM8" i="17"/>
  <c r="AM7" i="17"/>
  <c r="AM6" i="17"/>
  <c r="AM5" i="17"/>
  <c r="AL8" i="17"/>
  <c r="AL7" i="17"/>
  <c r="AL6" i="17"/>
  <c r="AL5" i="17"/>
  <c r="AH64" i="17"/>
  <c r="AH63" i="17"/>
  <c r="AI62" i="17"/>
  <c r="AI61" i="17"/>
  <c r="AI60" i="17"/>
  <c r="AI59" i="17"/>
  <c r="AI58" i="17"/>
  <c r="AH62" i="17"/>
  <c r="AH61" i="17"/>
  <c r="AH60" i="17"/>
  <c r="AH59" i="17"/>
  <c r="AH58" i="17"/>
  <c r="AG62" i="17"/>
  <c r="AG61" i="17"/>
  <c r="AG60" i="17"/>
  <c r="AG59" i="17"/>
  <c r="AG58" i="17"/>
  <c r="AF64" i="17"/>
  <c r="AE63" i="17"/>
  <c r="AF62" i="17"/>
  <c r="AF61" i="17"/>
  <c r="AF60" i="17"/>
  <c r="AF59" i="17"/>
  <c r="AF58" i="17"/>
  <c r="AE61" i="17"/>
  <c r="AE62" i="17"/>
  <c r="AE60" i="17"/>
  <c r="AE59" i="17"/>
  <c r="AE58" i="17"/>
  <c r="AF53" i="17"/>
  <c r="AF52" i="17"/>
  <c r="AF51" i="17"/>
  <c r="AF50" i="17"/>
  <c r="AF49" i="17"/>
  <c r="AE53" i="17"/>
  <c r="AE52" i="17"/>
  <c r="AE51" i="17"/>
  <c r="AE50" i="17"/>
  <c r="AE49" i="17"/>
  <c r="AF44" i="17"/>
  <c r="AF43" i="17"/>
  <c r="AF42" i="17"/>
  <c r="AF41" i="17"/>
  <c r="AF40" i="17"/>
  <c r="AE44" i="17"/>
  <c r="AE43" i="17"/>
  <c r="AE42" i="17"/>
  <c r="AE41" i="17"/>
  <c r="AE40" i="17"/>
  <c r="AG35" i="17"/>
  <c r="AF35" i="17" s="1"/>
  <c r="AG33" i="17"/>
  <c r="AE33" i="17" s="1"/>
  <c r="AF34" i="17"/>
  <c r="AF32" i="17"/>
  <c r="AF31" i="17"/>
  <c r="AE34" i="17"/>
  <c r="AE32" i="17"/>
  <c r="AE31" i="17"/>
  <c r="AF26" i="17"/>
  <c r="AF25" i="17"/>
  <c r="AF24" i="17"/>
  <c r="AF23" i="17"/>
  <c r="AF22" i="17"/>
  <c r="AE26" i="17"/>
  <c r="AE25" i="17"/>
  <c r="AE24" i="17"/>
  <c r="AE23" i="17"/>
  <c r="AE22" i="17"/>
  <c r="AF17" i="17"/>
  <c r="AF16" i="17"/>
  <c r="AF15" i="17"/>
  <c r="AF14" i="17"/>
  <c r="AF13" i="17"/>
  <c r="AE17" i="17"/>
  <c r="AE16" i="17"/>
  <c r="AE15" i="17"/>
  <c r="AE14" i="17"/>
  <c r="AE13" i="17"/>
  <c r="AG4" i="17"/>
  <c r="AE4" i="17" s="1"/>
  <c r="AF8" i="17"/>
  <c r="AF7" i="17"/>
  <c r="AF6" i="17"/>
  <c r="AF5" i="17"/>
  <c r="AF4" i="17"/>
  <c r="AE8" i="17"/>
  <c r="AE7" i="17"/>
  <c r="AE6" i="17"/>
  <c r="AE5" i="17"/>
  <c r="AB62" i="17"/>
  <c r="AB61" i="17"/>
  <c r="AB60" i="17"/>
  <c r="AB59" i="17"/>
  <c r="AB58" i="17"/>
  <c r="AA62" i="17"/>
  <c r="AA61" i="17"/>
  <c r="AA60" i="17"/>
  <c r="AA59" i="17"/>
  <c r="AA58" i="17"/>
  <c r="Z62" i="17"/>
  <c r="Z61" i="17"/>
  <c r="Z60" i="17"/>
  <c r="Z59" i="17"/>
  <c r="Z58" i="17"/>
  <c r="AA64" i="17"/>
  <c r="AA63" i="17"/>
  <c r="Y64" i="17"/>
  <c r="X63" i="17"/>
  <c r="Y62" i="17"/>
  <c r="Y61" i="17"/>
  <c r="Y60" i="17"/>
  <c r="Y59" i="17"/>
  <c r="Y58" i="17"/>
  <c r="X62" i="17"/>
  <c r="X61" i="17"/>
  <c r="X60" i="17"/>
  <c r="X59" i="17"/>
  <c r="X58" i="17"/>
  <c r="AB53" i="17"/>
  <c r="AB52" i="17"/>
  <c r="Y52" i="17" s="1"/>
  <c r="AB51" i="17"/>
  <c r="AB50" i="17"/>
  <c r="AB49" i="17"/>
  <c r="AA53" i="17"/>
  <c r="AA52" i="17"/>
  <c r="AA51" i="17"/>
  <c r="AA50" i="17"/>
  <c r="AA49" i="17"/>
  <c r="Z53" i="17"/>
  <c r="Y53" i="17" s="1"/>
  <c r="Z52" i="17"/>
  <c r="Z51" i="17"/>
  <c r="Y51" i="17" s="1"/>
  <c r="Z50" i="17"/>
  <c r="Z49" i="17"/>
  <c r="X53" i="17"/>
  <c r="X52" i="17"/>
  <c r="X51" i="17"/>
  <c r="AB44" i="17"/>
  <c r="AA40" i="17"/>
  <c r="AB43" i="17"/>
  <c r="AB42" i="17"/>
  <c r="AB41" i="17"/>
  <c r="AB40" i="17"/>
  <c r="AA44" i="17"/>
  <c r="AA43" i="17"/>
  <c r="AA42" i="17"/>
  <c r="AA41" i="17"/>
  <c r="Z44" i="17"/>
  <c r="Y44" i="17" s="1"/>
  <c r="Z43" i="17"/>
  <c r="Z42" i="17"/>
  <c r="Y42" i="17" s="1"/>
  <c r="Z41" i="17"/>
  <c r="Z40" i="17"/>
  <c r="X40" i="17" s="1"/>
  <c r="X42" i="17"/>
  <c r="X41" i="17"/>
  <c r="AB35" i="17"/>
  <c r="AB34" i="17"/>
  <c r="AB33" i="17"/>
  <c r="AB32" i="17"/>
  <c r="AB31" i="17"/>
  <c r="AA35" i="17"/>
  <c r="AA34" i="17"/>
  <c r="AA33" i="17"/>
  <c r="AA32" i="17"/>
  <c r="AA31" i="17"/>
  <c r="Z35" i="17"/>
  <c r="Y35" i="17" s="1"/>
  <c r="Z34" i="17"/>
  <c r="Z33" i="17"/>
  <c r="Z32" i="17"/>
  <c r="Y32" i="17" s="1"/>
  <c r="Z31" i="17"/>
  <c r="AB26" i="17"/>
  <c r="AB25" i="17"/>
  <c r="AB24" i="17"/>
  <c r="Y24" i="17" s="1"/>
  <c r="AB23" i="17"/>
  <c r="AB22" i="17"/>
  <c r="AA26" i="17"/>
  <c r="AA25" i="17"/>
  <c r="AA24" i="17"/>
  <c r="AA23" i="17"/>
  <c r="AA22" i="17"/>
  <c r="Z26" i="17"/>
  <c r="Z25" i="17"/>
  <c r="Z24" i="17"/>
  <c r="X24" i="17" s="1"/>
  <c r="Z23" i="17"/>
  <c r="Z22" i="17"/>
  <c r="X22" i="17" s="1"/>
  <c r="AB17" i="17"/>
  <c r="Y17" i="17" s="1"/>
  <c r="AB16" i="17"/>
  <c r="Y16" i="17" s="1"/>
  <c r="AB15" i="17"/>
  <c r="AB14" i="17"/>
  <c r="AB13" i="17"/>
  <c r="Y13" i="17" s="1"/>
  <c r="AA17" i="17"/>
  <c r="AA16" i="17"/>
  <c r="X16" i="17" s="1"/>
  <c r="AA15" i="17"/>
  <c r="AA14" i="17"/>
  <c r="AA13" i="17"/>
  <c r="Z17" i="17"/>
  <c r="Z16" i="17"/>
  <c r="Z15" i="17"/>
  <c r="Y15" i="17" s="1"/>
  <c r="Z14" i="17"/>
  <c r="Z13" i="17"/>
  <c r="AB8" i="17"/>
  <c r="AB7" i="17"/>
  <c r="AB6" i="17"/>
  <c r="Y6" i="17" s="1"/>
  <c r="AB5" i="17"/>
  <c r="Y5" i="17" s="1"/>
  <c r="AA8" i="17"/>
  <c r="AA7" i="17"/>
  <c r="X7" i="17" s="1"/>
  <c r="AA6" i="17"/>
  <c r="AA5" i="17"/>
  <c r="X5" i="17" s="1"/>
  <c r="Z8" i="17"/>
  <c r="Y8" i="17" s="1"/>
  <c r="Z7" i="17"/>
  <c r="Y7" i="17" s="1"/>
  <c r="Z6" i="17"/>
  <c r="Z5" i="17"/>
  <c r="AB4" i="17"/>
  <c r="AA4" i="17"/>
  <c r="X4" i="17" s="1"/>
  <c r="Z4" i="17"/>
  <c r="X33" i="17"/>
  <c r="X32" i="17"/>
  <c r="Y26" i="17"/>
  <c r="Y25" i="17"/>
  <c r="Y23" i="17"/>
  <c r="Y22" i="17"/>
  <c r="Y14" i="17"/>
  <c r="X15" i="17"/>
  <c r="X14" i="17"/>
  <c r="X13" i="17"/>
  <c r="X8" i="17"/>
  <c r="T64" i="17"/>
  <c r="T63" i="17"/>
  <c r="U62" i="17"/>
  <c r="U61" i="17"/>
  <c r="U60" i="17"/>
  <c r="U59" i="17"/>
  <c r="U58" i="17"/>
  <c r="T62" i="17"/>
  <c r="T61" i="17"/>
  <c r="T60" i="17"/>
  <c r="T59" i="17"/>
  <c r="T58" i="17"/>
  <c r="S62" i="17"/>
  <c r="S61" i="17"/>
  <c r="S60" i="17"/>
  <c r="S59" i="17"/>
  <c r="S58" i="17"/>
  <c r="R64" i="17"/>
  <c r="Q63" i="17"/>
  <c r="R62" i="17"/>
  <c r="R61" i="17"/>
  <c r="R60" i="17"/>
  <c r="R59" i="17"/>
  <c r="R58" i="17"/>
  <c r="Q62" i="17"/>
  <c r="Q61" i="17"/>
  <c r="Q60" i="17"/>
  <c r="Q59" i="17"/>
  <c r="Q58" i="17"/>
  <c r="S49" i="17"/>
  <c r="Q49" i="17" s="1"/>
  <c r="R53" i="17"/>
  <c r="R52" i="17"/>
  <c r="R51" i="17"/>
  <c r="R50" i="17"/>
  <c r="R49" i="17"/>
  <c r="Q53" i="17"/>
  <c r="Q51" i="17"/>
  <c r="Q50" i="17"/>
  <c r="R44" i="17"/>
  <c r="R43" i="17"/>
  <c r="R42" i="17"/>
  <c r="R41" i="17"/>
  <c r="R40" i="17"/>
  <c r="Q44" i="17"/>
  <c r="Q43" i="17"/>
  <c r="Q42" i="17"/>
  <c r="Q41" i="17"/>
  <c r="Q40" i="17"/>
  <c r="R35" i="17"/>
  <c r="R34" i="17"/>
  <c r="R33" i="17"/>
  <c r="R32" i="17"/>
  <c r="R31" i="17"/>
  <c r="Q35" i="17"/>
  <c r="Q34" i="17"/>
  <c r="Q33" i="17"/>
  <c r="Q32" i="17"/>
  <c r="Q31" i="17"/>
  <c r="R26" i="17"/>
  <c r="R25" i="17"/>
  <c r="R24" i="17"/>
  <c r="R23" i="17"/>
  <c r="R22" i="17"/>
  <c r="Q26" i="17"/>
  <c r="Q25" i="17"/>
  <c r="Q24" i="17"/>
  <c r="Q23" i="17"/>
  <c r="Q22" i="17"/>
  <c r="R17" i="17"/>
  <c r="R16" i="17"/>
  <c r="R15" i="17"/>
  <c r="R14" i="17"/>
  <c r="R13" i="17"/>
  <c r="Q17" i="17"/>
  <c r="Q16" i="17"/>
  <c r="Q15" i="17"/>
  <c r="Q14" i="17"/>
  <c r="Q13" i="17"/>
  <c r="S4" i="17"/>
  <c r="Q4" i="17" s="1"/>
  <c r="R8" i="17"/>
  <c r="R7" i="17"/>
  <c r="R6" i="17"/>
  <c r="R5" i="17"/>
  <c r="R4" i="17"/>
  <c r="Q8" i="17"/>
  <c r="Q7" i="17"/>
  <c r="Q6" i="17"/>
  <c r="Q5" i="17"/>
  <c r="M64" i="17"/>
  <c r="M63" i="17"/>
  <c r="K64" i="17"/>
  <c r="J63" i="17"/>
  <c r="K62" i="17"/>
  <c r="K61" i="17"/>
  <c r="K60" i="17"/>
  <c r="K59" i="17"/>
  <c r="K58" i="17"/>
  <c r="J62" i="17"/>
  <c r="J61" i="17"/>
  <c r="J60" i="17"/>
  <c r="J59" i="17"/>
  <c r="J58" i="17"/>
  <c r="K53" i="17"/>
  <c r="K52" i="17"/>
  <c r="K51" i="17"/>
  <c r="K50" i="17"/>
  <c r="K49" i="17"/>
  <c r="J53" i="17"/>
  <c r="J52" i="17"/>
  <c r="J51" i="17"/>
  <c r="J50" i="17"/>
  <c r="J49" i="17"/>
  <c r="K44" i="17"/>
  <c r="K43" i="17"/>
  <c r="K42" i="17"/>
  <c r="K41" i="17"/>
  <c r="K40" i="17"/>
  <c r="J44" i="17"/>
  <c r="J43" i="17"/>
  <c r="J42" i="17"/>
  <c r="J41" i="17"/>
  <c r="J40" i="17"/>
  <c r="K35" i="17"/>
  <c r="K34" i="17"/>
  <c r="K33" i="17"/>
  <c r="K32" i="17"/>
  <c r="K31" i="17"/>
  <c r="J35" i="17"/>
  <c r="J34" i="17"/>
  <c r="J33" i="17"/>
  <c r="J32" i="17"/>
  <c r="J31" i="17"/>
  <c r="K26" i="17"/>
  <c r="K24" i="17"/>
  <c r="K23" i="17"/>
  <c r="K22" i="17"/>
  <c r="J26" i="17"/>
  <c r="J25" i="17"/>
  <c r="J24" i="17"/>
  <c r="J23" i="17"/>
  <c r="J22" i="17"/>
  <c r="K17" i="17"/>
  <c r="K16" i="17"/>
  <c r="K15" i="17"/>
  <c r="K14" i="17"/>
  <c r="K13" i="17"/>
  <c r="J17" i="17"/>
  <c r="J16" i="17"/>
  <c r="J15" i="17"/>
  <c r="J14" i="17"/>
  <c r="J13" i="17"/>
  <c r="K8" i="17"/>
  <c r="K7" i="17"/>
  <c r="K6" i="17"/>
  <c r="K5" i="17"/>
  <c r="K4" i="17"/>
  <c r="J8" i="17"/>
  <c r="J7" i="17"/>
  <c r="J6" i="17"/>
  <c r="J5" i="17"/>
  <c r="J4" i="17"/>
  <c r="D61" i="17"/>
  <c r="D60" i="17"/>
  <c r="D59" i="17"/>
  <c r="C62" i="17"/>
  <c r="D53" i="17"/>
  <c r="D52" i="17"/>
  <c r="D51" i="17"/>
  <c r="D50" i="17"/>
  <c r="D49" i="17"/>
  <c r="C53" i="17"/>
  <c r="C52" i="17"/>
  <c r="C51" i="17"/>
  <c r="C50" i="17"/>
  <c r="C49" i="17"/>
  <c r="D44" i="17"/>
  <c r="D43" i="17"/>
  <c r="D42" i="17"/>
  <c r="D41" i="17"/>
  <c r="C44" i="17"/>
  <c r="C43" i="17"/>
  <c r="C42" i="17"/>
  <c r="C41" i="17"/>
  <c r="D35" i="17"/>
  <c r="D34" i="17"/>
  <c r="D33" i="17"/>
  <c r="D32" i="17"/>
  <c r="D31" i="17"/>
  <c r="C35" i="17"/>
  <c r="C34" i="17"/>
  <c r="C33" i="17"/>
  <c r="C32" i="17"/>
  <c r="C31" i="17"/>
  <c r="D26" i="17"/>
  <c r="D25" i="17"/>
  <c r="D24" i="17"/>
  <c r="D23" i="17"/>
  <c r="D22" i="17"/>
  <c r="C26" i="17"/>
  <c r="C25" i="17"/>
  <c r="C24" i="17"/>
  <c r="C23" i="17"/>
  <c r="C22" i="17"/>
  <c r="E16" i="17"/>
  <c r="E61" i="17" s="1"/>
  <c r="E15" i="17"/>
  <c r="C15" i="17" s="1"/>
  <c r="D16" i="17"/>
  <c r="E13" i="17"/>
  <c r="C13" i="17" s="1"/>
  <c r="D17" i="17"/>
  <c r="D14" i="17"/>
  <c r="D13" i="17"/>
  <c r="C17" i="17"/>
  <c r="C16" i="17"/>
  <c r="C14" i="17"/>
  <c r="D7" i="17"/>
  <c r="D6" i="17"/>
  <c r="D5" i="17"/>
  <c r="C8" i="17"/>
  <c r="C7" i="17"/>
  <c r="C6" i="17"/>
  <c r="C5" i="17"/>
  <c r="M31" i="17"/>
  <c r="L31" i="17"/>
  <c r="L22" i="17"/>
  <c r="K25" i="17"/>
  <c r="M13" i="17"/>
  <c r="L16" i="17"/>
  <c r="L61" i="17" s="1"/>
  <c r="L15" i="17"/>
  <c r="L13" i="17"/>
  <c r="L8" i="17"/>
  <c r="L7" i="17"/>
  <c r="L6" i="17"/>
  <c r="L60" i="17" s="1"/>
  <c r="L5" i="17"/>
  <c r="L4" i="17"/>
  <c r="BB40" i="17"/>
  <c r="BB49" i="17"/>
  <c r="S8" i="17"/>
  <c r="N62" i="17"/>
  <c r="N61" i="17"/>
  <c r="N60" i="17"/>
  <c r="N59" i="17"/>
  <c r="N58" i="17"/>
  <c r="M62" i="17"/>
  <c r="M61" i="17"/>
  <c r="M60" i="17"/>
  <c r="L62" i="17"/>
  <c r="G62" i="17"/>
  <c r="G61" i="17"/>
  <c r="G60" i="17"/>
  <c r="G59" i="17"/>
  <c r="G58" i="17"/>
  <c r="F62" i="17"/>
  <c r="F61" i="17"/>
  <c r="F60" i="17"/>
  <c r="F59" i="17"/>
  <c r="F58" i="17"/>
  <c r="E62" i="17"/>
  <c r="E60" i="17"/>
  <c r="E59" i="17"/>
  <c r="BD40" i="17"/>
  <c r="BC40" i="17"/>
  <c r="AW4" i="17"/>
  <c r="AV4" i="17"/>
  <c r="BA64" i="17" l="1"/>
  <c r="AZ59" i="17"/>
  <c r="AZ63" i="17" s="1"/>
  <c r="AL63" i="17"/>
  <c r="AM64" i="17"/>
  <c r="AO64" i="17" s="1"/>
  <c r="AL22" i="17"/>
  <c r="AE35" i="17"/>
  <c r="AF33" i="17"/>
  <c r="X50" i="17"/>
  <c r="X49" i="17"/>
  <c r="Y50" i="17"/>
  <c r="Y49" i="17"/>
  <c r="Y43" i="17"/>
  <c r="Y41" i="17"/>
  <c r="X44" i="17"/>
  <c r="X43" i="17"/>
  <c r="Y40" i="17"/>
  <c r="Y34" i="17"/>
  <c r="Y33" i="17"/>
  <c r="X31" i="17"/>
  <c r="X35" i="17"/>
  <c r="X34" i="17"/>
  <c r="Y31" i="17"/>
  <c r="X26" i="17"/>
  <c r="X25" i="17"/>
  <c r="X23" i="17"/>
  <c r="X17" i="17"/>
  <c r="X6" i="17"/>
  <c r="Y4" i="17"/>
  <c r="D15" i="17"/>
  <c r="M58" i="17"/>
  <c r="L58" i="17"/>
  <c r="L59" i="17"/>
  <c r="AS62" i="17"/>
  <c r="Q52" i="17"/>
  <c r="M59" i="17"/>
  <c r="E5" i="17"/>
  <c r="BA140" i="20"/>
  <c r="BA141" i="20"/>
  <c r="BA142" i="20"/>
  <c r="BA143" i="20"/>
  <c r="BA144" i="20"/>
  <c r="BA145" i="20"/>
  <c r="BA146" i="20"/>
  <c r="BA147" i="20"/>
  <c r="BA148" i="20"/>
  <c r="BA149" i="20"/>
  <c r="BA150" i="20"/>
  <c r="BA151" i="20"/>
  <c r="BA152" i="20"/>
  <c r="BA153" i="20"/>
  <c r="AZ140" i="20"/>
  <c r="AZ141" i="20"/>
  <c r="AZ142" i="20"/>
  <c r="AZ143" i="20"/>
  <c r="AZ144" i="20"/>
  <c r="AZ145" i="20"/>
  <c r="AZ146" i="20"/>
  <c r="AZ147" i="20"/>
  <c r="AZ148" i="20"/>
  <c r="AZ149" i="20"/>
  <c r="AZ150" i="20"/>
  <c r="AZ151" i="20"/>
  <c r="AZ152" i="20"/>
  <c r="AZ153" i="20"/>
  <c r="AZ139" i="20"/>
  <c r="AY140" i="20"/>
  <c r="AY141" i="20"/>
  <c r="AY142" i="20"/>
  <c r="AY143" i="20"/>
  <c r="AY144" i="20"/>
  <c r="AY145" i="20"/>
  <c r="AY146" i="20"/>
  <c r="AY147" i="20"/>
  <c r="AY148" i="20"/>
  <c r="AY149" i="20"/>
  <c r="AY150" i="20"/>
  <c r="AY151" i="20"/>
  <c r="AY152" i="20"/>
  <c r="AY153" i="20"/>
  <c r="AX140" i="20"/>
  <c r="AX141" i="20"/>
  <c r="AX142" i="20"/>
  <c r="AX143" i="20"/>
  <c r="AX144" i="20"/>
  <c r="AX145" i="20"/>
  <c r="AX146" i="20"/>
  <c r="AX147" i="20"/>
  <c r="AX148" i="20"/>
  <c r="AX149" i="20"/>
  <c r="AX150" i="20"/>
  <c r="AX151" i="20"/>
  <c r="AX152" i="20"/>
  <c r="AX153" i="20"/>
  <c r="AW140" i="20"/>
  <c r="AW141" i="20"/>
  <c r="AW142" i="20"/>
  <c r="AW143" i="20"/>
  <c r="AW144" i="20"/>
  <c r="AW145" i="20"/>
  <c r="AW146" i="20"/>
  <c r="AW147" i="20"/>
  <c r="AW148" i="20"/>
  <c r="AW149" i="20"/>
  <c r="AW150" i="20"/>
  <c r="AW151" i="20"/>
  <c r="AW152" i="20"/>
  <c r="AW153" i="20"/>
  <c r="AV140" i="20"/>
  <c r="AV141" i="20"/>
  <c r="AV142" i="20"/>
  <c r="AV143" i="20"/>
  <c r="AV144" i="20"/>
  <c r="AV145" i="20"/>
  <c r="AV146" i="20"/>
  <c r="AV147" i="20"/>
  <c r="AV148" i="20"/>
  <c r="AV149" i="20"/>
  <c r="AV150" i="20"/>
  <c r="AV151" i="20"/>
  <c r="AV152" i="20"/>
  <c r="AV153" i="20"/>
  <c r="AV139" i="20"/>
  <c r="AW139" i="20"/>
  <c r="AX139" i="20"/>
  <c r="AY139" i="20"/>
  <c r="BA139" i="20"/>
  <c r="AU140" i="20"/>
  <c r="AU141" i="20"/>
  <c r="AU142" i="20"/>
  <c r="AU143" i="20"/>
  <c r="AU144" i="20"/>
  <c r="AU145" i="20"/>
  <c r="AU146" i="20"/>
  <c r="AU147" i="20"/>
  <c r="AU148" i="20"/>
  <c r="AU149" i="20"/>
  <c r="AU150" i="20"/>
  <c r="AU151" i="20"/>
  <c r="AU152" i="20"/>
  <c r="AU153" i="20"/>
  <c r="AU139" i="20"/>
  <c r="AU134" i="20"/>
  <c r="BA121" i="20"/>
  <c r="BA122" i="20"/>
  <c r="BA123" i="20"/>
  <c r="BA124" i="20"/>
  <c r="BA125" i="20"/>
  <c r="BA126" i="20"/>
  <c r="BA127" i="20"/>
  <c r="BA128" i="20"/>
  <c r="BA129" i="20"/>
  <c r="BA130" i="20"/>
  <c r="BA131" i="20"/>
  <c r="BA132" i="20"/>
  <c r="BA133" i="20"/>
  <c r="BA134" i="20"/>
  <c r="AZ121" i="20"/>
  <c r="AZ122" i="20"/>
  <c r="AZ123" i="20"/>
  <c r="AZ124" i="20"/>
  <c r="AZ125" i="20"/>
  <c r="AZ126" i="20"/>
  <c r="AZ127" i="20"/>
  <c r="AZ128" i="20"/>
  <c r="AZ129" i="20"/>
  <c r="AZ130" i="20"/>
  <c r="AZ131" i="20"/>
  <c r="AZ132" i="20"/>
  <c r="AZ133" i="20"/>
  <c r="AZ134" i="20"/>
  <c r="AY121" i="20"/>
  <c r="AY122" i="20"/>
  <c r="AY123" i="20"/>
  <c r="AY124" i="20"/>
  <c r="AY125" i="20"/>
  <c r="AY126" i="20"/>
  <c r="AY127" i="20"/>
  <c r="AY128" i="20"/>
  <c r="AY129" i="20"/>
  <c r="AY130" i="20"/>
  <c r="AY131" i="20"/>
  <c r="AY132" i="20"/>
  <c r="AY133" i="20"/>
  <c r="AY134" i="20"/>
  <c r="AX121" i="20"/>
  <c r="AX122" i="20"/>
  <c r="AX123" i="20"/>
  <c r="AX124" i="20"/>
  <c r="AX125" i="20"/>
  <c r="AX126" i="20"/>
  <c r="AX127" i="20"/>
  <c r="AX128" i="20"/>
  <c r="AX129" i="20"/>
  <c r="AX130" i="20"/>
  <c r="AX131" i="20"/>
  <c r="AX132" i="20"/>
  <c r="AX133" i="20"/>
  <c r="AX134" i="20"/>
  <c r="AW121" i="20"/>
  <c r="AW122" i="20"/>
  <c r="AW123" i="20"/>
  <c r="AW124" i="20"/>
  <c r="AW125" i="20"/>
  <c r="AW126" i="20"/>
  <c r="AW127" i="20"/>
  <c r="AW128" i="20"/>
  <c r="AW129" i="20"/>
  <c r="AW130" i="20"/>
  <c r="AW131" i="20"/>
  <c r="AW132" i="20"/>
  <c r="AW133" i="20"/>
  <c r="AW134" i="20"/>
  <c r="AV121" i="20"/>
  <c r="AV122" i="20"/>
  <c r="AV123" i="20"/>
  <c r="AV124" i="20"/>
  <c r="AV125" i="20"/>
  <c r="AV126" i="20"/>
  <c r="AV127" i="20"/>
  <c r="AV128" i="20"/>
  <c r="AV129" i="20"/>
  <c r="AV130" i="20"/>
  <c r="AV131" i="20"/>
  <c r="AV132" i="20"/>
  <c r="AV133" i="20"/>
  <c r="AV134" i="20"/>
  <c r="AV120" i="20"/>
  <c r="AW120" i="20"/>
  <c r="AX120" i="20"/>
  <c r="AY120" i="20"/>
  <c r="AZ120" i="20"/>
  <c r="BA120" i="20"/>
  <c r="AU121" i="20"/>
  <c r="AU122" i="20"/>
  <c r="AU123" i="20"/>
  <c r="AU124" i="20"/>
  <c r="AU125" i="20"/>
  <c r="AU126" i="20"/>
  <c r="AU127" i="20"/>
  <c r="AU128" i="20"/>
  <c r="AU129" i="20"/>
  <c r="AU130" i="20"/>
  <c r="AU131" i="20"/>
  <c r="AU132" i="20"/>
  <c r="AU133" i="20"/>
  <c r="AU120" i="20"/>
  <c r="AU115" i="20"/>
  <c r="BA102" i="20"/>
  <c r="BA103" i="20"/>
  <c r="BA104" i="20"/>
  <c r="BA105" i="20"/>
  <c r="BA106" i="20"/>
  <c r="BA107" i="20"/>
  <c r="BA108" i="20"/>
  <c r="BA109" i="20"/>
  <c r="BA110" i="20"/>
  <c r="BA111" i="20"/>
  <c r="BA112" i="20"/>
  <c r="BA113" i="20"/>
  <c r="BA114" i="20"/>
  <c r="BA115" i="20"/>
  <c r="AZ102" i="20"/>
  <c r="AZ103" i="20"/>
  <c r="AZ104" i="20"/>
  <c r="AZ105" i="20"/>
  <c r="AZ106" i="20"/>
  <c r="AZ107" i="20"/>
  <c r="AZ108" i="20"/>
  <c r="AZ109" i="20"/>
  <c r="AZ110" i="20"/>
  <c r="AZ111" i="20"/>
  <c r="AZ112" i="20"/>
  <c r="AZ113" i="20"/>
  <c r="AZ114" i="20"/>
  <c r="AZ115" i="20"/>
  <c r="AY102" i="20"/>
  <c r="AY103" i="20"/>
  <c r="AY104" i="20"/>
  <c r="AY105" i="20"/>
  <c r="AY106" i="20"/>
  <c r="AY107" i="20"/>
  <c r="AY108" i="20"/>
  <c r="AY109" i="20"/>
  <c r="AY110" i="20"/>
  <c r="AY111" i="20"/>
  <c r="AY112" i="20"/>
  <c r="AY113" i="20"/>
  <c r="AY114" i="20"/>
  <c r="AY115" i="20"/>
  <c r="AX102" i="20"/>
  <c r="AX103" i="20"/>
  <c r="AX104" i="20"/>
  <c r="AX105" i="20"/>
  <c r="AX106" i="20"/>
  <c r="AX107" i="20"/>
  <c r="AX108" i="20"/>
  <c r="AX109" i="20"/>
  <c r="AX110" i="20"/>
  <c r="AX111" i="20"/>
  <c r="AX112" i="20"/>
  <c r="AX113" i="20"/>
  <c r="AX114" i="20"/>
  <c r="AX115" i="20"/>
  <c r="AW102" i="20"/>
  <c r="AW103" i="20"/>
  <c r="AW104" i="20"/>
  <c r="AW105" i="20"/>
  <c r="AW106" i="20"/>
  <c r="AW107" i="20"/>
  <c r="AW108" i="20"/>
  <c r="AW109" i="20"/>
  <c r="AW110" i="20"/>
  <c r="AW111" i="20"/>
  <c r="AW112" i="20"/>
  <c r="AW113" i="20"/>
  <c r="AW114" i="20"/>
  <c r="AW115" i="20"/>
  <c r="AV102" i="20"/>
  <c r="AV103" i="20"/>
  <c r="AV104" i="20"/>
  <c r="AV105" i="20"/>
  <c r="AV106" i="20"/>
  <c r="AV107" i="20"/>
  <c r="AV108" i="20"/>
  <c r="AV109" i="20"/>
  <c r="AV110" i="20"/>
  <c r="AV111" i="20"/>
  <c r="AV112" i="20"/>
  <c r="AV113" i="20"/>
  <c r="AV114" i="20"/>
  <c r="AV115" i="20"/>
  <c r="AV101" i="20"/>
  <c r="AW101" i="20"/>
  <c r="AX101" i="20"/>
  <c r="AY101" i="20"/>
  <c r="AZ101" i="20"/>
  <c r="BA101" i="20"/>
  <c r="AU102" i="20"/>
  <c r="AU103" i="20"/>
  <c r="AU104" i="20"/>
  <c r="AU105" i="20"/>
  <c r="AU106" i="20"/>
  <c r="AU107" i="20"/>
  <c r="AU108" i="20"/>
  <c r="AU109" i="20"/>
  <c r="AU110" i="20"/>
  <c r="AU111" i="20"/>
  <c r="AU112" i="20"/>
  <c r="AU113" i="20"/>
  <c r="AU114" i="20"/>
  <c r="AU101" i="20"/>
  <c r="AU96" i="20"/>
  <c r="BA83" i="20"/>
  <c r="BA84" i="20"/>
  <c r="BA85" i="20"/>
  <c r="BA86" i="20"/>
  <c r="BA87" i="20"/>
  <c r="BA88" i="20"/>
  <c r="BA89" i="20"/>
  <c r="BA90" i="20"/>
  <c r="BA91" i="20"/>
  <c r="BA92" i="20"/>
  <c r="BA93" i="20"/>
  <c r="BA94" i="20"/>
  <c r="BA95" i="20"/>
  <c r="BA96" i="20"/>
  <c r="AZ83" i="20"/>
  <c r="AZ84" i="20"/>
  <c r="AZ85" i="20"/>
  <c r="AZ86" i="20"/>
  <c r="AZ87" i="20"/>
  <c r="AZ88" i="20"/>
  <c r="AZ89" i="20"/>
  <c r="AZ90" i="20"/>
  <c r="AZ91" i="20"/>
  <c r="AZ92" i="20"/>
  <c r="AZ93" i="20"/>
  <c r="AZ94" i="20"/>
  <c r="AZ95" i="20"/>
  <c r="AZ96" i="20"/>
  <c r="AY83" i="20"/>
  <c r="AY84" i="20"/>
  <c r="AY85" i="20"/>
  <c r="AY86" i="20"/>
  <c r="AY87" i="20"/>
  <c r="AY88" i="20"/>
  <c r="AY89" i="20"/>
  <c r="AY90" i="20"/>
  <c r="AY91" i="20"/>
  <c r="AY92" i="20"/>
  <c r="AY93" i="20"/>
  <c r="AY94" i="20"/>
  <c r="AY95" i="20"/>
  <c r="AY96" i="20"/>
  <c r="AX83" i="20"/>
  <c r="AX84" i="20"/>
  <c r="AX85" i="20"/>
  <c r="AX86" i="20"/>
  <c r="AX87" i="20"/>
  <c r="AX88" i="20"/>
  <c r="AX89" i="20"/>
  <c r="AX90" i="20"/>
  <c r="AX91" i="20"/>
  <c r="AX92" i="20"/>
  <c r="AX93" i="20"/>
  <c r="AX94" i="20"/>
  <c r="AX95" i="20"/>
  <c r="AX96" i="20"/>
  <c r="AW83" i="20"/>
  <c r="AW84" i="20"/>
  <c r="AW85" i="20"/>
  <c r="AW86" i="20"/>
  <c r="AW87" i="20"/>
  <c r="AW88" i="20"/>
  <c r="AW89" i="20"/>
  <c r="AW90" i="20"/>
  <c r="AW91" i="20"/>
  <c r="AW92" i="20"/>
  <c r="AW93" i="20"/>
  <c r="AW94" i="20"/>
  <c r="AW95" i="20"/>
  <c r="AW96" i="20"/>
  <c r="AV83" i="20"/>
  <c r="AV84" i="20"/>
  <c r="AV85" i="20"/>
  <c r="AV86" i="20"/>
  <c r="AV87" i="20"/>
  <c r="AV88" i="20"/>
  <c r="AV89" i="20"/>
  <c r="AV90" i="20"/>
  <c r="AV91" i="20"/>
  <c r="AV92" i="20"/>
  <c r="AV93" i="20"/>
  <c r="AV94" i="20"/>
  <c r="AV95" i="20"/>
  <c r="AV96" i="20"/>
  <c r="AV82" i="20"/>
  <c r="AW82" i="20"/>
  <c r="AX82" i="20"/>
  <c r="AY82" i="20"/>
  <c r="AZ82" i="20"/>
  <c r="BA82" i="20"/>
  <c r="AU83" i="20"/>
  <c r="AU84" i="20"/>
  <c r="AU85" i="20"/>
  <c r="AU86" i="20"/>
  <c r="AU87" i="20"/>
  <c r="AU88" i="20"/>
  <c r="AU89" i="20"/>
  <c r="AU90" i="20"/>
  <c r="AU91" i="20"/>
  <c r="AU92" i="20"/>
  <c r="AU93" i="20"/>
  <c r="AU94" i="20"/>
  <c r="AU95" i="20"/>
  <c r="AU82" i="20"/>
  <c r="AU77" i="20"/>
  <c r="BA64" i="20"/>
  <c r="BA65" i="20"/>
  <c r="BA66" i="20"/>
  <c r="BA67" i="20"/>
  <c r="BA68" i="20"/>
  <c r="BA69" i="20"/>
  <c r="BA70" i="20"/>
  <c r="BA71" i="20"/>
  <c r="BA72" i="20"/>
  <c r="BA73" i="20"/>
  <c r="BA74" i="20"/>
  <c r="BA75" i="20"/>
  <c r="BA76" i="20"/>
  <c r="BA77" i="20"/>
  <c r="AZ64" i="20"/>
  <c r="AZ65" i="20"/>
  <c r="AZ66" i="20"/>
  <c r="AZ67" i="20"/>
  <c r="AZ68" i="20"/>
  <c r="AZ69" i="20"/>
  <c r="AZ70" i="20"/>
  <c r="AZ71" i="20"/>
  <c r="AZ72" i="20"/>
  <c r="AZ73" i="20"/>
  <c r="AZ74" i="20"/>
  <c r="AZ75" i="20"/>
  <c r="AZ76" i="20"/>
  <c r="AZ77" i="20"/>
  <c r="AY64" i="20"/>
  <c r="AY65" i="20"/>
  <c r="AY66" i="20"/>
  <c r="AY67" i="20"/>
  <c r="AY68" i="20"/>
  <c r="AY69" i="20"/>
  <c r="AY70" i="20"/>
  <c r="AY71" i="20"/>
  <c r="AY72" i="20"/>
  <c r="AY73" i="20"/>
  <c r="AY74" i="20"/>
  <c r="AY75" i="20"/>
  <c r="AY76" i="20"/>
  <c r="AY77" i="20"/>
  <c r="AX64" i="20"/>
  <c r="AX65" i="20"/>
  <c r="AX66" i="20"/>
  <c r="AX67" i="20"/>
  <c r="AX68" i="20"/>
  <c r="AX69" i="20"/>
  <c r="AX70" i="20"/>
  <c r="AX71" i="20"/>
  <c r="AX72" i="20"/>
  <c r="AX73" i="20"/>
  <c r="AX74" i="20"/>
  <c r="AX75" i="20"/>
  <c r="AX76" i="20"/>
  <c r="AX77" i="20"/>
  <c r="AW64" i="20"/>
  <c r="AW65" i="20"/>
  <c r="AW66" i="20"/>
  <c r="AW67" i="20"/>
  <c r="AW68" i="20"/>
  <c r="AW69" i="20"/>
  <c r="AW70" i="20"/>
  <c r="AW71" i="20"/>
  <c r="AW72" i="20"/>
  <c r="AW73" i="20"/>
  <c r="AW74" i="20"/>
  <c r="AW75" i="20"/>
  <c r="AW76" i="20"/>
  <c r="AW77" i="20"/>
  <c r="AV64" i="20"/>
  <c r="AV65" i="20"/>
  <c r="AV66" i="20"/>
  <c r="AV67" i="20"/>
  <c r="AV68" i="20"/>
  <c r="AV69" i="20"/>
  <c r="AV70" i="20"/>
  <c r="AV71" i="20"/>
  <c r="AV72" i="20"/>
  <c r="AV73" i="20"/>
  <c r="AV74" i="20"/>
  <c r="AV75" i="20"/>
  <c r="AV76" i="20"/>
  <c r="AV77" i="20"/>
  <c r="AV63" i="20"/>
  <c r="AW63" i="20"/>
  <c r="AX63" i="20"/>
  <c r="AY63" i="20"/>
  <c r="AZ63" i="20"/>
  <c r="BA63" i="20"/>
  <c r="AU64" i="20"/>
  <c r="AU65" i="20"/>
  <c r="AU66" i="20"/>
  <c r="AU67" i="20"/>
  <c r="AU68" i="20"/>
  <c r="AU69" i="20"/>
  <c r="AU70" i="20"/>
  <c r="AU71" i="20"/>
  <c r="AU72" i="20"/>
  <c r="AU73" i="20"/>
  <c r="AU74" i="20"/>
  <c r="AU75" i="20"/>
  <c r="AU76" i="20"/>
  <c r="AU63" i="20"/>
  <c r="AU58" i="20"/>
  <c r="BA45" i="20"/>
  <c r="BA46" i="20"/>
  <c r="BA47" i="20"/>
  <c r="BA48" i="20"/>
  <c r="BA49" i="20"/>
  <c r="BA50" i="20"/>
  <c r="BA51" i="20"/>
  <c r="BA52" i="20"/>
  <c r="BA53" i="20"/>
  <c r="BA54" i="20"/>
  <c r="BA55" i="20"/>
  <c r="BA56" i="20"/>
  <c r="BA57" i="20"/>
  <c r="BA58" i="20"/>
  <c r="AZ45" i="20"/>
  <c r="AZ46" i="20"/>
  <c r="AZ47" i="20"/>
  <c r="AZ48" i="20"/>
  <c r="AZ49" i="20"/>
  <c r="AZ50" i="20"/>
  <c r="AZ51" i="20"/>
  <c r="AZ52" i="20"/>
  <c r="AZ53" i="20"/>
  <c r="AZ54" i="20"/>
  <c r="AZ55" i="20"/>
  <c r="AZ56" i="20"/>
  <c r="AZ57" i="20"/>
  <c r="AZ58" i="20"/>
  <c r="AY45" i="20"/>
  <c r="AY46" i="20"/>
  <c r="AY47" i="20"/>
  <c r="AY48" i="20"/>
  <c r="AY49" i="20"/>
  <c r="AY50" i="20"/>
  <c r="AY51" i="20"/>
  <c r="AY52" i="20"/>
  <c r="AY53" i="20"/>
  <c r="AY54" i="20"/>
  <c r="AY55" i="20"/>
  <c r="AY56" i="20"/>
  <c r="AY57" i="20"/>
  <c r="AY58" i="20"/>
  <c r="AX45" i="20"/>
  <c r="AX46" i="20"/>
  <c r="AX47" i="20"/>
  <c r="AX48" i="20"/>
  <c r="AX49" i="20"/>
  <c r="AX50" i="20"/>
  <c r="AX51" i="20"/>
  <c r="AX52" i="20"/>
  <c r="AX53" i="20"/>
  <c r="AX54" i="20"/>
  <c r="AX55" i="20"/>
  <c r="AX56" i="20"/>
  <c r="AX57" i="20"/>
  <c r="AX58" i="20"/>
  <c r="AW45" i="20"/>
  <c r="AW46" i="20"/>
  <c r="AW47" i="20"/>
  <c r="AW48" i="20"/>
  <c r="AW49" i="20"/>
  <c r="AW50" i="20"/>
  <c r="AW51" i="20"/>
  <c r="AW52" i="20"/>
  <c r="AW53" i="20"/>
  <c r="AW54" i="20"/>
  <c r="AW55" i="20"/>
  <c r="AW56" i="20"/>
  <c r="AW57" i="20"/>
  <c r="AW58" i="20"/>
  <c r="AV45" i="20"/>
  <c r="AV46" i="20"/>
  <c r="AV47" i="20"/>
  <c r="AV48" i="20"/>
  <c r="AV49" i="20"/>
  <c r="AV50" i="20"/>
  <c r="AV51" i="20"/>
  <c r="AV52" i="20"/>
  <c r="AV53" i="20"/>
  <c r="AV54" i="20"/>
  <c r="AV55" i="20"/>
  <c r="AV56" i="20"/>
  <c r="AV57" i="20"/>
  <c r="AV58" i="20"/>
  <c r="AV44" i="20"/>
  <c r="AW44" i="20"/>
  <c r="AX44" i="20"/>
  <c r="AY44" i="20"/>
  <c r="AZ44" i="20"/>
  <c r="BA44" i="20"/>
  <c r="AU45" i="20"/>
  <c r="AU46" i="20"/>
  <c r="AU47" i="20"/>
  <c r="AU48" i="20"/>
  <c r="AU49" i="20"/>
  <c r="AU50" i="20"/>
  <c r="AU51" i="20"/>
  <c r="AU52" i="20"/>
  <c r="AU53" i="20"/>
  <c r="AU54" i="20"/>
  <c r="AU55" i="20"/>
  <c r="AU56" i="20"/>
  <c r="AU57" i="20"/>
  <c r="AU44" i="20"/>
  <c r="AU39" i="20"/>
  <c r="BA26" i="20"/>
  <c r="BA27" i="20"/>
  <c r="BA28" i="20"/>
  <c r="BA29" i="20"/>
  <c r="BA30" i="20"/>
  <c r="BA31" i="20"/>
  <c r="BA32" i="20"/>
  <c r="BA33" i="20"/>
  <c r="BA34" i="20"/>
  <c r="BA35" i="20"/>
  <c r="BA36" i="20"/>
  <c r="BA37" i="20"/>
  <c r="BA38" i="20"/>
  <c r="BA39" i="20"/>
  <c r="AZ26" i="20"/>
  <c r="AZ27" i="20"/>
  <c r="AZ28" i="20"/>
  <c r="AZ29" i="20"/>
  <c r="AZ30" i="20"/>
  <c r="AZ31" i="20"/>
  <c r="AZ32" i="20"/>
  <c r="AZ33" i="20"/>
  <c r="AZ34" i="20"/>
  <c r="AZ35" i="20"/>
  <c r="AZ36" i="20"/>
  <c r="AZ37" i="20"/>
  <c r="AZ38" i="20"/>
  <c r="AZ39" i="20"/>
  <c r="AY26" i="20"/>
  <c r="AY27" i="20"/>
  <c r="AY28" i="20"/>
  <c r="AY29" i="20"/>
  <c r="AY30" i="20"/>
  <c r="AY31" i="20"/>
  <c r="AY32" i="20"/>
  <c r="AY33" i="20"/>
  <c r="AY34" i="20"/>
  <c r="AY35" i="20"/>
  <c r="AY36" i="20"/>
  <c r="AY37" i="20"/>
  <c r="AY38" i="20"/>
  <c r="AY39" i="20"/>
  <c r="AX26" i="20"/>
  <c r="AX27" i="20"/>
  <c r="AX28" i="20"/>
  <c r="AX29" i="20"/>
  <c r="AX30" i="20"/>
  <c r="AX31" i="20"/>
  <c r="AX32" i="20"/>
  <c r="AX33" i="20"/>
  <c r="AX34" i="20"/>
  <c r="AX35" i="20"/>
  <c r="AX36" i="20"/>
  <c r="AX37" i="20"/>
  <c r="AX38" i="20"/>
  <c r="AX39" i="20"/>
  <c r="AW26" i="20"/>
  <c r="AW27" i="20"/>
  <c r="AW28" i="20"/>
  <c r="AW29" i="20"/>
  <c r="AW30" i="20"/>
  <c r="AW31" i="20"/>
  <c r="AW32" i="20"/>
  <c r="AW33" i="20"/>
  <c r="AW34" i="20"/>
  <c r="AW35" i="20"/>
  <c r="AW36" i="20"/>
  <c r="AW37" i="20"/>
  <c r="AW38" i="20"/>
  <c r="AW39" i="20"/>
  <c r="AV26" i="20"/>
  <c r="AV27" i="20"/>
  <c r="AV28" i="20"/>
  <c r="AV29" i="20"/>
  <c r="AV30" i="20"/>
  <c r="AV31" i="20"/>
  <c r="AV32" i="20"/>
  <c r="AV33" i="20"/>
  <c r="AV34" i="20"/>
  <c r="AV35" i="20"/>
  <c r="AV36" i="20"/>
  <c r="AV37" i="20"/>
  <c r="AV38" i="20"/>
  <c r="AV39" i="20"/>
  <c r="AV25" i="20"/>
  <c r="AW25" i="20"/>
  <c r="AX25" i="20"/>
  <c r="AY25" i="20"/>
  <c r="AZ25" i="20"/>
  <c r="BA25" i="20"/>
  <c r="AU26" i="20"/>
  <c r="AU27" i="20"/>
  <c r="AU28" i="20"/>
  <c r="AU29" i="20"/>
  <c r="AU30" i="20"/>
  <c r="AU31" i="20"/>
  <c r="AU32" i="20"/>
  <c r="AU33" i="20"/>
  <c r="AU34" i="20"/>
  <c r="AU35" i="20"/>
  <c r="AU36" i="20"/>
  <c r="AU37" i="20"/>
  <c r="AU38" i="20"/>
  <c r="AU25" i="20"/>
  <c r="AU20" i="20"/>
  <c r="BA7" i="20"/>
  <c r="BA8" i="20"/>
  <c r="BA9" i="20"/>
  <c r="BA10" i="20"/>
  <c r="BA11" i="20"/>
  <c r="BA12" i="20"/>
  <c r="BA13" i="20"/>
  <c r="BA14" i="20"/>
  <c r="BA15" i="20"/>
  <c r="BA16" i="20"/>
  <c r="BA17" i="20"/>
  <c r="BA18" i="20"/>
  <c r="BA19" i="20"/>
  <c r="BA20" i="20"/>
  <c r="AZ7" i="20"/>
  <c r="AZ8" i="20"/>
  <c r="AZ9" i="20"/>
  <c r="AZ10" i="20"/>
  <c r="AZ11" i="20"/>
  <c r="AZ12" i="20"/>
  <c r="AZ13" i="20"/>
  <c r="AZ14" i="20"/>
  <c r="AZ15" i="20"/>
  <c r="AZ16" i="20"/>
  <c r="AZ17" i="20"/>
  <c r="AZ18" i="20"/>
  <c r="AZ19" i="20"/>
  <c r="AZ20" i="20"/>
  <c r="AY7" i="20"/>
  <c r="AY8" i="20"/>
  <c r="AY9" i="20"/>
  <c r="AY10" i="20"/>
  <c r="AY11" i="20"/>
  <c r="AY12" i="20"/>
  <c r="AY13" i="20"/>
  <c r="AY14" i="20"/>
  <c r="AY15" i="20"/>
  <c r="AY16" i="20"/>
  <c r="AY17" i="20"/>
  <c r="AY18" i="20"/>
  <c r="AY19" i="20"/>
  <c r="AY20" i="20"/>
  <c r="AX20" i="20"/>
  <c r="AX7" i="20"/>
  <c r="AX8" i="20"/>
  <c r="AX9" i="20"/>
  <c r="AX10" i="20"/>
  <c r="AX11" i="20"/>
  <c r="AX12" i="20"/>
  <c r="AX13" i="20"/>
  <c r="AX14" i="20"/>
  <c r="AX15" i="20"/>
  <c r="AX16" i="20"/>
  <c r="AX17" i="20"/>
  <c r="AX18" i="20"/>
  <c r="AX19" i="20"/>
  <c r="AW7" i="20"/>
  <c r="AW8" i="20"/>
  <c r="AW9" i="20"/>
  <c r="AW10" i="20"/>
  <c r="AW11" i="20"/>
  <c r="AW12" i="20"/>
  <c r="AW13" i="20"/>
  <c r="AW14" i="20"/>
  <c r="AW15" i="20"/>
  <c r="AW16" i="20"/>
  <c r="AW17" i="20"/>
  <c r="AW18" i="20"/>
  <c r="AW19" i="20"/>
  <c r="AW20" i="20"/>
  <c r="AV7" i="20"/>
  <c r="AV8" i="20"/>
  <c r="AV9" i="20"/>
  <c r="AV10" i="20"/>
  <c r="AV11" i="20"/>
  <c r="AV12" i="20"/>
  <c r="AV13" i="20"/>
  <c r="AV14" i="20"/>
  <c r="AV15" i="20"/>
  <c r="AV16" i="20"/>
  <c r="AV17" i="20"/>
  <c r="AV18" i="20"/>
  <c r="AV19" i="20"/>
  <c r="AV20" i="20"/>
  <c r="AV6" i="20"/>
  <c r="AW6" i="20"/>
  <c r="AX6" i="20"/>
  <c r="AY6" i="20"/>
  <c r="AZ6" i="20"/>
  <c r="BA6" i="20"/>
  <c r="AU7" i="20"/>
  <c r="AU8" i="20"/>
  <c r="AU9" i="20"/>
  <c r="AU10" i="20"/>
  <c r="AU11" i="20"/>
  <c r="AU12" i="20"/>
  <c r="AU13" i="20"/>
  <c r="AU14" i="20"/>
  <c r="AU15" i="20"/>
  <c r="AU16" i="20"/>
  <c r="AU17" i="20"/>
  <c r="AU18" i="20"/>
  <c r="AU19" i="20"/>
  <c r="AU6" i="20"/>
  <c r="AL153" i="20"/>
  <c r="AR140" i="20"/>
  <c r="AR141" i="20"/>
  <c r="AR142" i="20"/>
  <c r="AR143" i="20"/>
  <c r="AR144" i="20"/>
  <c r="AR145" i="20"/>
  <c r="AR146" i="20"/>
  <c r="AR147" i="20"/>
  <c r="AR148" i="20"/>
  <c r="AR149" i="20"/>
  <c r="AR150" i="20"/>
  <c r="AR151" i="20"/>
  <c r="AR152" i="20"/>
  <c r="AR153" i="20"/>
  <c r="AQ140" i="20"/>
  <c r="AQ141" i="20"/>
  <c r="AQ142" i="20"/>
  <c r="AQ143" i="20"/>
  <c r="AQ144" i="20"/>
  <c r="AQ145" i="20"/>
  <c r="AQ146" i="20"/>
  <c r="AQ147" i="20"/>
  <c r="AQ148" i="20"/>
  <c r="AQ149" i="20"/>
  <c r="AQ150" i="20"/>
  <c r="AQ151" i="20"/>
  <c r="AQ152" i="20"/>
  <c r="AQ153" i="20"/>
  <c r="AP140" i="20"/>
  <c r="AP141" i="20"/>
  <c r="AP142" i="20"/>
  <c r="AP143" i="20"/>
  <c r="AP144" i="20"/>
  <c r="AP145" i="20"/>
  <c r="AP146" i="20"/>
  <c r="AP147" i="20"/>
  <c r="AP148" i="20"/>
  <c r="AP149" i="20"/>
  <c r="AP150" i="20"/>
  <c r="AP151" i="20"/>
  <c r="AP152" i="20"/>
  <c r="AP153" i="20"/>
  <c r="AO140" i="20"/>
  <c r="AO141" i="20"/>
  <c r="AO142" i="20"/>
  <c r="AO143" i="20"/>
  <c r="AO144" i="20"/>
  <c r="AO145" i="20"/>
  <c r="AO146" i="20"/>
  <c r="AO147" i="20"/>
  <c r="AO148" i="20"/>
  <c r="AO149" i="20"/>
  <c r="AO150" i="20"/>
  <c r="AO151" i="20"/>
  <c r="AO152" i="20"/>
  <c r="AO153" i="20"/>
  <c r="AN140" i="20"/>
  <c r="AN141" i="20"/>
  <c r="AN142" i="20"/>
  <c r="AN143" i="20"/>
  <c r="AN144" i="20"/>
  <c r="AN145" i="20"/>
  <c r="AN146" i="20"/>
  <c r="AN147" i="20"/>
  <c r="AN148" i="20"/>
  <c r="AN149" i="20"/>
  <c r="AN150" i="20"/>
  <c r="AN151" i="20"/>
  <c r="AN152" i="20"/>
  <c r="AN153" i="20"/>
  <c r="AM140" i="20"/>
  <c r="AM141" i="20"/>
  <c r="AM142" i="20"/>
  <c r="AM143" i="20"/>
  <c r="AM144" i="20"/>
  <c r="AM145" i="20"/>
  <c r="AM146" i="20"/>
  <c r="AM147" i="20"/>
  <c r="AM148" i="20"/>
  <c r="AM149" i="20"/>
  <c r="AM150" i="20"/>
  <c r="AM151" i="20"/>
  <c r="AM152" i="20"/>
  <c r="AM153" i="20"/>
  <c r="AM139" i="20"/>
  <c r="AN139" i="20"/>
  <c r="AO139" i="20"/>
  <c r="AP139" i="20"/>
  <c r="AQ139" i="20"/>
  <c r="AR139" i="20"/>
  <c r="AL140" i="20"/>
  <c r="AL141" i="20"/>
  <c r="AL142" i="20"/>
  <c r="AL143" i="20"/>
  <c r="AL144" i="20"/>
  <c r="AL145" i="20"/>
  <c r="AL146" i="20"/>
  <c r="AL147" i="20"/>
  <c r="AL148" i="20"/>
  <c r="AL149" i="20"/>
  <c r="AL150" i="20"/>
  <c r="AL151" i="20"/>
  <c r="AL152" i="20"/>
  <c r="AL139" i="20"/>
  <c r="AL134" i="20"/>
  <c r="AR121" i="20"/>
  <c r="AR122" i="20"/>
  <c r="AR123" i="20"/>
  <c r="AR124" i="20"/>
  <c r="AR125" i="20"/>
  <c r="AR126" i="20"/>
  <c r="AR127" i="20"/>
  <c r="AR128" i="20"/>
  <c r="AR129" i="20"/>
  <c r="AR130" i="20"/>
  <c r="AR131" i="20"/>
  <c r="AR132" i="20"/>
  <c r="AR133" i="20"/>
  <c r="AR134" i="20"/>
  <c r="AQ121" i="20"/>
  <c r="AQ122" i="20"/>
  <c r="AQ123" i="20"/>
  <c r="AQ124" i="20"/>
  <c r="AQ125" i="20"/>
  <c r="AQ126" i="20"/>
  <c r="AQ127" i="20"/>
  <c r="AQ128" i="20"/>
  <c r="AQ129" i="20"/>
  <c r="AQ130" i="20"/>
  <c r="AQ131" i="20"/>
  <c r="AQ132" i="20"/>
  <c r="AQ133" i="20"/>
  <c r="AQ134" i="20"/>
  <c r="AP121" i="20"/>
  <c r="AP122" i="20"/>
  <c r="AP123" i="20"/>
  <c r="AP124" i="20"/>
  <c r="AP125" i="20"/>
  <c r="AP126" i="20"/>
  <c r="AP127" i="20"/>
  <c r="AP128" i="20"/>
  <c r="AP129" i="20"/>
  <c r="AP130" i="20"/>
  <c r="AP131" i="20"/>
  <c r="AP132" i="20"/>
  <c r="AP133" i="20"/>
  <c r="AP134" i="20"/>
  <c r="AO121" i="20"/>
  <c r="AO122" i="20"/>
  <c r="AO123" i="20"/>
  <c r="AO124" i="20"/>
  <c r="AO125" i="20"/>
  <c r="AO126" i="20"/>
  <c r="AO127" i="20"/>
  <c r="AO128" i="20"/>
  <c r="AO129" i="20"/>
  <c r="AO130" i="20"/>
  <c r="AO131" i="20"/>
  <c r="AO132" i="20"/>
  <c r="AO133" i="20"/>
  <c r="AO134" i="20"/>
  <c r="AN121" i="20"/>
  <c r="AN122" i="20"/>
  <c r="AN123" i="20"/>
  <c r="AN124" i="20"/>
  <c r="AN125" i="20"/>
  <c r="AN126" i="20"/>
  <c r="AN127" i="20"/>
  <c r="AN128" i="20"/>
  <c r="AN129" i="20"/>
  <c r="AN130" i="20"/>
  <c r="AN131" i="20"/>
  <c r="AN132" i="20"/>
  <c r="AN133" i="20"/>
  <c r="AN134" i="20"/>
  <c r="AM121" i="20"/>
  <c r="AM122" i="20"/>
  <c r="AM123" i="20"/>
  <c r="AM124" i="20"/>
  <c r="AM125" i="20"/>
  <c r="AM126" i="20"/>
  <c r="AM127" i="20"/>
  <c r="AM128" i="20"/>
  <c r="AM129" i="20"/>
  <c r="AM130" i="20"/>
  <c r="AM131" i="20"/>
  <c r="AM132" i="20"/>
  <c r="AM133" i="20"/>
  <c r="AM134" i="20"/>
  <c r="AM120" i="20"/>
  <c r="AN120" i="20"/>
  <c r="AO120" i="20"/>
  <c r="AP120" i="20"/>
  <c r="AQ120" i="20"/>
  <c r="AR120" i="20"/>
  <c r="AL121" i="20"/>
  <c r="AL122" i="20"/>
  <c r="AL123" i="20"/>
  <c r="AL124" i="20"/>
  <c r="AL125" i="20"/>
  <c r="AL126" i="20"/>
  <c r="AL127" i="20"/>
  <c r="AL128" i="20"/>
  <c r="AL129" i="20"/>
  <c r="AL130" i="20"/>
  <c r="AL131" i="20"/>
  <c r="AL132" i="20"/>
  <c r="AL133" i="20"/>
  <c r="AL120" i="20"/>
  <c r="AL115" i="20"/>
  <c r="AR114" i="20"/>
  <c r="AR115" i="20"/>
  <c r="AR102" i="20"/>
  <c r="AR103" i="20"/>
  <c r="AR104" i="20"/>
  <c r="AR105" i="20"/>
  <c r="AR106" i="20"/>
  <c r="AR107" i="20"/>
  <c r="AR108" i="20"/>
  <c r="AR109" i="20"/>
  <c r="AR110" i="20"/>
  <c r="AR111" i="20"/>
  <c r="AR112" i="20"/>
  <c r="AR113" i="20"/>
  <c r="AQ102" i="20"/>
  <c r="AQ103" i="20"/>
  <c r="AQ104" i="20"/>
  <c r="AQ105" i="20"/>
  <c r="AQ106" i="20"/>
  <c r="AQ107" i="20"/>
  <c r="AQ108" i="20"/>
  <c r="AQ109" i="20"/>
  <c r="AQ110" i="20"/>
  <c r="AQ111" i="20"/>
  <c r="AQ112" i="20"/>
  <c r="AQ113" i="20"/>
  <c r="AQ114" i="20"/>
  <c r="AQ115" i="20"/>
  <c r="AP102" i="20"/>
  <c r="AP103" i="20"/>
  <c r="AP104" i="20"/>
  <c r="AP105" i="20"/>
  <c r="AP106" i="20"/>
  <c r="AP107" i="20"/>
  <c r="AP108" i="20"/>
  <c r="AP109" i="20"/>
  <c r="AP110" i="20"/>
  <c r="AP111" i="20"/>
  <c r="AP112" i="20"/>
  <c r="AP113" i="20"/>
  <c r="AP114" i="20"/>
  <c r="AP115" i="20"/>
  <c r="AO102" i="20"/>
  <c r="AO103" i="20"/>
  <c r="AO104" i="20"/>
  <c r="AO105" i="20"/>
  <c r="AO106" i="20"/>
  <c r="AO107" i="20"/>
  <c r="AO108" i="20"/>
  <c r="AO109" i="20"/>
  <c r="AO110" i="20"/>
  <c r="AO111" i="20"/>
  <c r="AO112" i="20"/>
  <c r="AO113" i="20"/>
  <c r="AO114" i="20"/>
  <c r="AO115" i="20"/>
  <c r="AN102" i="20"/>
  <c r="AN103" i="20"/>
  <c r="AN104" i="20"/>
  <c r="AN105" i="20"/>
  <c r="AN106" i="20"/>
  <c r="AN107" i="20"/>
  <c r="AN108" i="20"/>
  <c r="AN109" i="20"/>
  <c r="AN110" i="20"/>
  <c r="AN111" i="20"/>
  <c r="AN112" i="20"/>
  <c r="AN113" i="20"/>
  <c r="AN114" i="20"/>
  <c r="AN115" i="20"/>
  <c r="AM102" i="20"/>
  <c r="AM103" i="20"/>
  <c r="AM104" i="20"/>
  <c r="AM105" i="20"/>
  <c r="AM106" i="20"/>
  <c r="AM107" i="20"/>
  <c r="AM108" i="20"/>
  <c r="AM109" i="20"/>
  <c r="AM110" i="20"/>
  <c r="AM111" i="20"/>
  <c r="AM112" i="20"/>
  <c r="AM113" i="20"/>
  <c r="AM114" i="20"/>
  <c r="AM115" i="20"/>
  <c r="AR101" i="20"/>
  <c r="AM101" i="20"/>
  <c r="AN101" i="20"/>
  <c r="AO101" i="20"/>
  <c r="AP101" i="20"/>
  <c r="AQ101" i="20"/>
  <c r="AL102" i="20"/>
  <c r="AL103" i="20"/>
  <c r="AL104" i="20"/>
  <c r="AL105" i="20"/>
  <c r="AL106" i="20"/>
  <c r="AL107" i="20"/>
  <c r="AL108" i="20"/>
  <c r="AL109" i="20"/>
  <c r="AL110" i="20"/>
  <c r="AL111" i="20"/>
  <c r="AL112" i="20"/>
  <c r="AL113" i="20"/>
  <c r="AL114" i="20"/>
  <c r="AL101" i="20"/>
  <c r="AL96" i="20"/>
  <c r="AR83" i="20"/>
  <c r="AR84" i="20"/>
  <c r="AR85" i="20"/>
  <c r="AR86" i="20"/>
  <c r="AR87" i="20"/>
  <c r="AR88" i="20"/>
  <c r="AR89" i="20"/>
  <c r="AR90" i="20"/>
  <c r="AR91" i="20"/>
  <c r="AR92" i="20"/>
  <c r="AR93" i="20"/>
  <c r="AR94" i="20"/>
  <c r="AR95" i="20"/>
  <c r="AR96" i="20"/>
  <c r="AQ95" i="20"/>
  <c r="AQ96" i="20"/>
  <c r="AQ83" i="20"/>
  <c r="AQ84" i="20"/>
  <c r="AQ85" i="20"/>
  <c r="AQ86" i="20"/>
  <c r="AQ87" i="20"/>
  <c r="AQ88" i="20"/>
  <c r="AQ89" i="20"/>
  <c r="AQ90" i="20"/>
  <c r="AQ91" i="20"/>
  <c r="AQ92" i="20"/>
  <c r="AQ93" i="20"/>
  <c r="AQ94" i="20"/>
  <c r="AP83" i="20"/>
  <c r="AP84" i="20"/>
  <c r="AP85" i="20"/>
  <c r="AP86" i="20"/>
  <c r="AP87" i="20"/>
  <c r="AP88" i="20"/>
  <c r="AP89" i="20"/>
  <c r="AP90" i="20"/>
  <c r="AP91" i="20"/>
  <c r="AP92" i="20"/>
  <c r="AP93" i="20"/>
  <c r="AP94" i="20"/>
  <c r="AP95" i="20"/>
  <c r="AP96" i="20"/>
  <c r="AO83" i="20"/>
  <c r="AO84" i="20"/>
  <c r="AO85" i="20"/>
  <c r="AO86" i="20"/>
  <c r="AO87" i="20"/>
  <c r="AO88" i="20"/>
  <c r="AO89" i="20"/>
  <c r="AO90" i="20"/>
  <c r="AO91" i="20"/>
  <c r="AO92" i="20"/>
  <c r="AO93" i="20"/>
  <c r="AO94" i="20"/>
  <c r="AO95" i="20"/>
  <c r="AO96" i="20"/>
  <c r="AN96" i="20"/>
  <c r="AN83" i="20"/>
  <c r="AN84" i="20"/>
  <c r="AN85" i="20"/>
  <c r="AN86" i="20"/>
  <c r="AN87" i="20"/>
  <c r="AN88" i="20"/>
  <c r="AN89" i="20"/>
  <c r="AN90" i="20"/>
  <c r="AN91" i="20"/>
  <c r="AN92" i="20"/>
  <c r="AN93" i="20"/>
  <c r="AN94" i="20"/>
  <c r="AN95" i="20"/>
  <c r="AM83" i="20"/>
  <c r="AM84" i="20"/>
  <c r="AM85" i="20"/>
  <c r="AM86" i="20"/>
  <c r="AM87" i="20"/>
  <c r="AM88" i="20"/>
  <c r="AM89" i="20"/>
  <c r="AM90" i="20"/>
  <c r="AM91" i="20"/>
  <c r="AM92" i="20"/>
  <c r="AM93" i="20"/>
  <c r="AM94" i="20"/>
  <c r="AM95" i="20"/>
  <c r="AM96" i="20"/>
  <c r="AM82" i="20"/>
  <c r="AN82" i="20"/>
  <c r="AO82" i="20"/>
  <c r="AP82" i="20"/>
  <c r="AQ82" i="20"/>
  <c r="AR82" i="20"/>
  <c r="AL83" i="20"/>
  <c r="AL84" i="20"/>
  <c r="AL85" i="20"/>
  <c r="AL86" i="20"/>
  <c r="AL87" i="20"/>
  <c r="AL88" i="20"/>
  <c r="AL89" i="20"/>
  <c r="AL90" i="20"/>
  <c r="AL91" i="20"/>
  <c r="AL92" i="20"/>
  <c r="AL93" i="20"/>
  <c r="AL94" i="20"/>
  <c r="AL95" i="20"/>
  <c r="AL82" i="20"/>
  <c r="AL77" i="20"/>
  <c r="AR64" i="20"/>
  <c r="AR65" i="20"/>
  <c r="AR66" i="20"/>
  <c r="AR67" i="20"/>
  <c r="AR68" i="20"/>
  <c r="AR69" i="20"/>
  <c r="AR70" i="20"/>
  <c r="AR71" i="20"/>
  <c r="AR72" i="20"/>
  <c r="AR73" i="20"/>
  <c r="AR74" i="20"/>
  <c r="AR75" i="20"/>
  <c r="AR76" i="20"/>
  <c r="AR77" i="20"/>
  <c r="AQ64" i="20"/>
  <c r="AQ65" i="20"/>
  <c r="AQ66" i="20"/>
  <c r="AQ67" i="20"/>
  <c r="AQ68" i="20"/>
  <c r="AQ69" i="20"/>
  <c r="AQ70" i="20"/>
  <c r="AQ71" i="20"/>
  <c r="AQ72" i="20"/>
  <c r="AQ73" i="20"/>
  <c r="AQ74" i="20"/>
  <c r="AQ75" i="20"/>
  <c r="AQ76" i="20"/>
  <c r="AQ77" i="20"/>
  <c r="AP64" i="20"/>
  <c r="AP65" i="20"/>
  <c r="AP66" i="20"/>
  <c r="AP67" i="20"/>
  <c r="AP68" i="20"/>
  <c r="AP69" i="20"/>
  <c r="AP70" i="20"/>
  <c r="AP71" i="20"/>
  <c r="AP72" i="20"/>
  <c r="AP73" i="20"/>
  <c r="AP74" i="20"/>
  <c r="AP75" i="20"/>
  <c r="AP76" i="20"/>
  <c r="AP77" i="20"/>
  <c r="AO70" i="20"/>
  <c r="AO71" i="20"/>
  <c r="AO72" i="20"/>
  <c r="AO73" i="20"/>
  <c r="AO74" i="20"/>
  <c r="AO75" i="20"/>
  <c r="AO76" i="20"/>
  <c r="AO77" i="20"/>
  <c r="AO64" i="20"/>
  <c r="AO65" i="20"/>
  <c r="AO66" i="20"/>
  <c r="AO67" i="20"/>
  <c r="AO68" i="20"/>
  <c r="AO69" i="20"/>
  <c r="AN64" i="20"/>
  <c r="AN65" i="20"/>
  <c r="AN66" i="20"/>
  <c r="AN67" i="20"/>
  <c r="AN68" i="20"/>
  <c r="AN69" i="20"/>
  <c r="AN70" i="20"/>
  <c r="AN71" i="20"/>
  <c r="AN72" i="20"/>
  <c r="AN73" i="20"/>
  <c r="AN74" i="20"/>
  <c r="AN75" i="20"/>
  <c r="AN76" i="20"/>
  <c r="AN77" i="20"/>
  <c r="AM73" i="20"/>
  <c r="AM74" i="20"/>
  <c r="AM75" i="20"/>
  <c r="AM76" i="20"/>
  <c r="AM77" i="20"/>
  <c r="AM68" i="20"/>
  <c r="AM69" i="20"/>
  <c r="AM70" i="20"/>
  <c r="AM71" i="20"/>
  <c r="AM72" i="20"/>
  <c r="AM64" i="20"/>
  <c r="AM65" i="20"/>
  <c r="AM66" i="20"/>
  <c r="AM67" i="20"/>
  <c r="AM63" i="20"/>
  <c r="AN63" i="20"/>
  <c r="AO63" i="20"/>
  <c r="AP63" i="20"/>
  <c r="AQ63" i="20"/>
  <c r="AR63" i="20"/>
  <c r="AL64" i="20"/>
  <c r="AL65" i="20"/>
  <c r="AL66" i="20"/>
  <c r="AL67" i="20"/>
  <c r="AL68" i="20"/>
  <c r="AL69" i="20"/>
  <c r="AL70" i="20"/>
  <c r="AL71" i="20"/>
  <c r="AL72" i="20"/>
  <c r="AL73" i="20"/>
  <c r="AL74" i="20"/>
  <c r="AL75" i="20"/>
  <c r="AL76" i="20"/>
  <c r="AL63" i="20"/>
  <c r="AL58" i="20"/>
  <c r="AR45" i="20"/>
  <c r="AR46" i="20"/>
  <c r="AR47" i="20"/>
  <c r="AR48" i="20"/>
  <c r="AR49" i="20"/>
  <c r="AR50" i="20"/>
  <c r="AR51" i="20"/>
  <c r="AR52" i="20"/>
  <c r="AR53" i="20"/>
  <c r="AR54" i="20"/>
  <c r="AR55" i="20"/>
  <c r="AR56" i="20"/>
  <c r="AR57" i="20"/>
  <c r="AR58" i="20"/>
  <c r="AQ45" i="20"/>
  <c r="AQ46" i="20"/>
  <c r="AQ47" i="20"/>
  <c r="AQ48" i="20"/>
  <c r="AQ49" i="20"/>
  <c r="AQ50" i="20"/>
  <c r="AQ51" i="20"/>
  <c r="AQ52" i="20"/>
  <c r="AQ53" i="20"/>
  <c r="AQ54" i="20"/>
  <c r="AQ55" i="20"/>
  <c r="AQ56" i="20"/>
  <c r="AQ57" i="20"/>
  <c r="AQ58" i="20"/>
  <c r="AP45" i="20"/>
  <c r="AP46" i="20"/>
  <c r="AP47" i="20"/>
  <c r="AP48" i="20"/>
  <c r="AP49" i="20"/>
  <c r="AP50" i="20"/>
  <c r="AP51" i="20"/>
  <c r="AP52" i="20"/>
  <c r="AP53" i="20"/>
  <c r="AP54" i="20"/>
  <c r="AP55" i="20"/>
  <c r="AP56" i="20"/>
  <c r="AP57" i="20"/>
  <c r="AP58" i="20"/>
  <c r="AO45" i="20"/>
  <c r="AO46" i="20"/>
  <c r="AO47" i="20"/>
  <c r="AO48" i="20"/>
  <c r="AO49" i="20"/>
  <c r="AO50" i="20"/>
  <c r="AO51" i="20"/>
  <c r="AO52" i="20"/>
  <c r="AO53" i="20"/>
  <c r="AO54" i="20"/>
  <c r="AO55" i="20"/>
  <c r="AO56" i="20"/>
  <c r="AO57" i="20"/>
  <c r="AO58" i="20"/>
  <c r="AN45" i="20"/>
  <c r="AN46" i="20"/>
  <c r="AN47" i="20"/>
  <c r="AN48" i="20"/>
  <c r="AN49" i="20"/>
  <c r="AN50" i="20"/>
  <c r="AN51" i="20"/>
  <c r="AN52" i="20"/>
  <c r="AN53" i="20"/>
  <c r="AN54" i="20"/>
  <c r="AN55" i="20"/>
  <c r="AN56" i="20"/>
  <c r="AN57" i="20"/>
  <c r="AN58" i="20"/>
  <c r="AM45" i="20"/>
  <c r="AM46" i="20"/>
  <c r="AM47" i="20"/>
  <c r="AM48" i="20"/>
  <c r="AM49" i="20"/>
  <c r="AM50" i="20"/>
  <c r="AM51" i="20"/>
  <c r="AM52" i="20"/>
  <c r="AM53" i="20"/>
  <c r="AM54" i="20"/>
  <c r="AM55" i="20"/>
  <c r="AM56" i="20"/>
  <c r="AM57" i="20"/>
  <c r="AM58" i="20"/>
  <c r="AM44" i="20"/>
  <c r="AN44" i="20"/>
  <c r="AO44" i="20"/>
  <c r="AP44" i="20"/>
  <c r="AQ44" i="20"/>
  <c r="AR44" i="20"/>
  <c r="AL45" i="20"/>
  <c r="AL46" i="20"/>
  <c r="AL47" i="20"/>
  <c r="AL48" i="20"/>
  <c r="AL49" i="20"/>
  <c r="AL50" i="20"/>
  <c r="AL51" i="20"/>
  <c r="AL52" i="20"/>
  <c r="AL53" i="20"/>
  <c r="AL54" i="20"/>
  <c r="AL55" i="20"/>
  <c r="AL56" i="20"/>
  <c r="AL57" i="20"/>
  <c r="AL44" i="20"/>
  <c r="AL39" i="20"/>
  <c r="AR26" i="20"/>
  <c r="AR27" i="20"/>
  <c r="AR28" i="20"/>
  <c r="AR29" i="20"/>
  <c r="AR30" i="20"/>
  <c r="AR31" i="20"/>
  <c r="AR32" i="20"/>
  <c r="AR33" i="20"/>
  <c r="AR34" i="20"/>
  <c r="AR35" i="20"/>
  <c r="AR36" i="20"/>
  <c r="AR37" i="20"/>
  <c r="AR38" i="20"/>
  <c r="AR39" i="20"/>
  <c r="AQ26" i="20"/>
  <c r="AQ27" i="20"/>
  <c r="AQ28" i="20"/>
  <c r="AQ29" i="20"/>
  <c r="AQ30" i="20"/>
  <c r="AQ31" i="20"/>
  <c r="AQ32" i="20"/>
  <c r="AQ33" i="20"/>
  <c r="AQ34" i="20"/>
  <c r="AQ35" i="20"/>
  <c r="AQ36" i="20"/>
  <c r="AQ37" i="20"/>
  <c r="AQ38" i="20"/>
  <c r="AQ39" i="20"/>
  <c r="AP26" i="20"/>
  <c r="AP27" i="20"/>
  <c r="AP28" i="20"/>
  <c r="AP29" i="20"/>
  <c r="AP30" i="20"/>
  <c r="AP31" i="20"/>
  <c r="AP32" i="20"/>
  <c r="AP33" i="20"/>
  <c r="AP34" i="20"/>
  <c r="AP35" i="20"/>
  <c r="AP36" i="20"/>
  <c r="AP37" i="20"/>
  <c r="AP38" i="20"/>
  <c r="AP39" i="20"/>
  <c r="AO26" i="20"/>
  <c r="AO27" i="20"/>
  <c r="AO28" i="20"/>
  <c r="AO29" i="20"/>
  <c r="AO30" i="20"/>
  <c r="AO31" i="20"/>
  <c r="AO32" i="20"/>
  <c r="AO33" i="20"/>
  <c r="AO34" i="20"/>
  <c r="AO35" i="20"/>
  <c r="AO36" i="20"/>
  <c r="AO37" i="20"/>
  <c r="AO38" i="20"/>
  <c r="AO39" i="20"/>
  <c r="AN26" i="20"/>
  <c r="AN27" i="20"/>
  <c r="AN28" i="20"/>
  <c r="AN29" i="20"/>
  <c r="AN30" i="20"/>
  <c r="AN31" i="20"/>
  <c r="AN32" i="20"/>
  <c r="AN33" i="20"/>
  <c r="AN34" i="20"/>
  <c r="AN35" i="20"/>
  <c r="AN36" i="20"/>
  <c r="AN37" i="20"/>
  <c r="AN38" i="20"/>
  <c r="AN39" i="20"/>
  <c r="AM26" i="20"/>
  <c r="AM27" i="20"/>
  <c r="AM28" i="20"/>
  <c r="AM29" i="20"/>
  <c r="AM30" i="20"/>
  <c r="AM31" i="20"/>
  <c r="AM32" i="20"/>
  <c r="AM33" i="20"/>
  <c r="AM34" i="20"/>
  <c r="AM35" i="20"/>
  <c r="AM36" i="20"/>
  <c r="AM37" i="20"/>
  <c r="AM38" i="20"/>
  <c r="AM39" i="20"/>
  <c r="AM25" i="20"/>
  <c r="AN25" i="20"/>
  <c r="AO25" i="20"/>
  <c r="AP25" i="20"/>
  <c r="AQ25" i="20"/>
  <c r="AR25" i="20"/>
  <c r="AL26" i="20"/>
  <c r="AL27" i="20"/>
  <c r="AL28" i="20"/>
  <c r="AL29" i="20"/>
  <c r="AL30" i="20"/>
  <c r="AL31" i="20"/>
  <c r="AL32" i="20"/>
  <c r="AL33" i="20"/>
  <c r="AL34" i="20"/>
  <c r="AL35" i="20"/>
  <c r="AL36" i="20"/>
  <c r="AL37" i="20"/>
  <c r="AL38" i="20"/>
  <c r="AL25" i="20"/>
  <c r="AL20" i="20"/>
  <c r="AR7" i="20"/>
  <c r="AR8" i="20"/>
  <c r="AR9" i="20"/>
  <c r="AR10" i="20"/>
  <c r="AR11" i="20"/>
  <c r="AR12" i="20"/>
  <c r="AR13" i="20"/>
  <c r="AR14" i="20"/>
  <c r="AR15" i="20"/>
  <c r="AR16" i="20"/>
  <c r="AR17" i="20"/>
  <c r="AR18" i="20"/>
  <c r="AR19" i="20"/>
  <c r="AR20" i="20"/>
  <c r="AQ7" i="20"/>
  <c r="AQ8" i="20"/>
  <c r="AQ9" i="20"/>
  <c r="AQ10" i="20"/>
  <c r="AQ11" i="20"/>
  <c r="AQ12" i="20"/>
  <c r="AQ13" i="20"/>
  <c r="AQ14" i="20"/>
  <c r="AQ15" i="20"/>
  <c r="AQ16" i="20"/>
  <c r="AQ17" i="20"/>
  <c r="AQ18" i="20"/>
  <c r="AQ19" i="20"/>
  <c r="AQ20" i="20"/>
  <c r="AP7" i="20"/>
  <c r="AP8" i="20"/>
  <c r="AP9" i="20"/>
  <c r="AP10" i="20"/>
  <c r="AP11" i="20"/>
  <c r="AP12" i="20"/>
  <c r="AP13" i="20"/>
  <c r="AP14" i="20"/>
  <c r="AP15" i="20"/>
  <c r="AP16" i="20"/>
  <c r="AP17" i="20"/>
  <c r="AP18" i="20"/>
  <c r="AP19" i="20"/>
  <c r="AP20" i="20"/>
  <c r="AO7" i="20"/>
  <c r="AO8" i="20"/>
  <c r="AO9" i="20"/>
  <c r="AO10" i="20"/>
  <c r="AO11" i="20"/>
  <c r="AO12" i="20"/>
  <c r="AO13" i="20"/>
  <c r="AO14" i="20"/>
  <c r="AO15" i="20"/>
  <c r="AO16" i="20"/>
  <c r="AO17" i="20"/>
  <c r="AO18" i="20"/>
  <c r="AO19" i="20"/>
  <c r="AO20" i="20"/>
  <c r="AN7" i="20"/>
  <c r="AN8" i="20"/>
  <c r="AN9" i="20"/>
  <c r="AN10" i="20"/>
  <c r="AN11" i="20"/>
  <c r="AN12" i="20"/>
  <c r="AN13" i="20"/>
  <c r="AN14" i="20"/>
  <c r="AN15" i="20"/>
  <c r="AN16" i="20"/>
  <c r="AN17" i="20"/>
  <c r="AN18" i="20"/>
  <c r="AN19" i="20"/>
  <c r="AN20" i="20"/>
  <c r="AM7" i="20"/>
  <c r="AM8" i="20"/>
  <c r="AM9" i="20"/>
  <c r="AM10" i="20"/>
  <c r="AM11" i="20"/>
  <c r="AM12" i="20"/>
  <c r="AM13" i="20"/>
  <c r="AM14" i="20"/>
  <c r="AM15" i="20"/>
  <c r="AM16" i="20"/>
  <c r="AM17" i="20"/>
  <c r="AM18" i="20"/>
  <c r="AM19" i="20"/>
  <c r="AM20" i="20"/>
  <c r="AM6" i="20"/>
  <c r="AN6" i="20"/>
  <c r="AO6" i="20"/>
  <c r="AP6" i="20"/>
  <c r="AQ6" i="20"/>
  <c r="AR6" i="20"/>
  <c r="AL7" i="20"/>
  <c r="AL8" i="20"/>
  <c r="AL9" i="20"/>
  <c r="AL10" i="20"/>
  <c r="AL11" i="20"/>
  <c r="AL12" i="20"/>
  <c r="AL13" i="20"/>
  <c r="AL14" i="20"/>
  <c r="AL15" i="20"/>
  <c r="AL16" i="20"/>
  <c r="AL17" i="20"/>
  <c r="AL18" i="20"/>
  <c r="AL19" i="20"/>
  <c r="AL6" i="20"/>
  <c r="AC153" i="20"/>
  <c r="AI140" i="20"/>
  <c r="AI141" i="20"/>
  <c r="AI142" i="20"/>
  <c r="AI143" i="20"/>
  <c r="AI144" i="20"/>
  <c r="AI145" i="20"/>
  <c r="AI146" i="20"/>
  <c r="AI147" i="20"/>
  <c r="AI148" i="20"/>
  <c r="AI149" i="20"/>
  <c r="AI150" i="20"/>
  <c r="AI151" i="20"/>
  <c r="AI152" i="20"/>
  <c r="AI153" i="20"/>
  <c r="AH140" i="20"/>
  <c r="AH141" i="20"/>
  <c r="AH142" i="20"/>
  <c r="AH143" i="20"/>
  <c r="AH144" i="20"/>
  <c r="AH145" i="20"/>
  <c r="AH146" i="20"/>
  <c r="AH147" i="20"/>
  <c r="AH148" i="20"/>
  <c r="AH149" i="20"/>
  <c r="AH150" i="20"/>
  <c r="AH151" i="20"/>
  <c r="AH152" i="20"/>
  <c r="AH153" i="20"/>
  <c r="AG140" i="20"/>
  <c r="AG141" i="20"/>
  <c r="AG142" i="20"/>
  <c r="AG143" i="20"/>
  <c r="AG144" i="20"/>
  <c r="AG145" i="20"/>
  <c r="AG146" i="20"/>
  <c r="AG147" i="20"/>
  <c r="AG148" i="20"/>
  <c r="AG149" i="20"/>
  <c r="AG150" i="20"/>
  <c r="AG151" i="20"/>
  <c r="AG152" i="20"/>
  <c r="AG153" i="20"/>
  <c r="AF140" i="20"/>
  <c r="AF141" i="20"/>
  <c r="AF142" i="20"/>
  <c r="AF143" i="20"/>
  <c r="AF144" i="20"/>
  <c r="AF145" i="20"/>
  <c r="AF146" i="20"/>
  <c r="AF147" i="20"/>
  <c r="AF148" i="20"/>
  <c r="AF149" i="20"/>
  <c r="AF150" i="20"/>
  <c r="AF151" i="20"/>
  <c r="AF152" i="20"/>
  <c r="AF153" i="20"/>
  <c r="AE140" i="20"/>
  <c r="AE141" i="20"/>
  <c r="AE142" i="20"/>
  <c r="AE143" i="20"/>
  <c r="AE144" i="20"/>
  <c r="AE145" i="20"/>
  <c r="AE146" i="20"/>
  <c r="AE147" i="20"/>
  <c r="AE148" i="20"/>
  <c r="AE149" i="20"/>
  <c r="AE150" i="20"/>
  <c r="AE151" i="20"/>
  <c r="AE152" i="20"/>
  <c r="AE153" i="20"/>
  <c r="AD140" i="20"/>
  <c r="AD141" i="20"/>
  <c r="AD142" i="20"/>
  <c r="AD143" i="20"/>
  <c r="AD144" i="20"/>
  <c r="AD145" i="20"/>
  <c r="AD146" i="20"/>
  <c r="AD147" i="20"/>
  <c r="AD148" i="20"/>
  <c r="AD149" i="20"/>
  <c r="AD150" i="20"/>
  <c r="AD151" i="20"/>
  <c r="AD152" i="20"/>
  <c r="AD153" i="20"/>
  <c r="AD139" i="20"/>
  <c r="AE139" i="20"/>
  <c r="AF139" i="20"/>
  <c r="AG139" i="20"/>
  <c r="AH139" i="20"/>
  <c r="AI139" i="20"/>
  <c r="AC140" i="20"/>
  <c r="AC141" i="20"/>
  <c r="AC142" i="20"/>
  <c r="AC143" i="20"/>
  <c r="AC144" i="20"/>
  <c r="AC145" i="20"/>
  <c r="AC146" i="20"/>
  <c r="AC147" i="20"/>
  <c r="AC148" i="20"/>
  <c r="AC149" i="20"/>
  <c r="AC150" i="20"/>
  <c r="AC151" i="20"/>
  <c r="AC152" i="20"/>
  <c r="AC139" i="20"/>
  <c r="AC134" i="20"/>
  <c r="AI121" i="20"/>
  <c r="AI122" i="20"/>
  <c r="AI123" i="20"/>
  <c r="AI124" i="20"/>
  <c r="AI125" i="20"/>
  <c r="AI126" i="20"/>
  <c r="AI127" i="20"/>
  <c r="AI128" i="20"/>
  <c r="AI129" i="20"/>
  <c r="AI130" i="20"/>
  <c r="AI131" i="20"/>
  <c r="AI132" i="20"/>
  <c r="AI133" i="20"/>
  <c r="AI134" i="20"/>
  <c r="AH121" i="20"/>
  <c r="AH122" i="20"/>
  <c r="AH123" i="20"/>
  <c r="AH124" i="20"/>
  <c r="AH125" i="20"/>
  <c r="AH126" i="20"/>
  <c r="AH127" i="20"/>
  <c r="AH128" i="20"/>
  <c r="AH129" i="20"/>
  <c r="AH130" i="20"/>
  <c r="AH131" i="20"/>
  <c r="AH132" i="20"/>
  <c r="AH133" i="20"/>
  <c r="AH134" i="20"/>
  <c r="AG121" i="20"/>
  <c r="AG122" i="20"/>
  <c r="AG123" i="20"/>
  <c r="AG124" i="20"/>
  <c r="AG125" i="20"/>
  <c r="AG126" i="20"/>
  <c r="AG127" i="20"/>
  <c r="AG128" i="20"/>
  <c r="AG129" i="20"/>
  <c r="AG130" i="20"/>
  <c r="AG131" i="20"/>
  <c r="AG132" i="20"/>
  <c r="AG133" i="20"/>
  <c r="AG134" i="20"/>
  <c r="AF121" i="20"/>
  <c r="AF122" i="20"/>
  <c r="AF123" i="20"/>
  <c r="AF124" i="20"/>
  <c r="AF125" i="20"/>
  <c r="AF126" i="20"/>
  <c r="AF127" i="20"/>
  <c r="AF128" i="20"/>
  <c r="AF129" i="20"/>
  <c r="AF130" i="20"/>
  <c r="AF131" i="20"/>
  <c r="AF132" i="20"/>
  <c r="AF133" i="20"/>
  <c r="AF134" i="20"/>
  <c r="AE121" i="20"/>
  <c r="AE122" i="20"/>
  <c r="AE123" i="20"/>
  <c r="AE124" i="20"/>
  <c r="AE125" i="20"/>
  <c r="AE126" i="20"/>
  <c r="AE127" i="20"/>
  <c r="AE128" i="20"/>
  <c r="AE129" i="20"/>
  <c r="AE130" i="20"/>
  <c r="AE131" i="20"/>
  <c r="AE132" i="20"/>
  <c r="AE133" i="20"/>
  <c r="AE134" i="20"/>
  <c r="AD121" i="20"/>
  <c r="AD122" i="20"/>
  <c r="AD123" i="20"/>
  <c r="AD124" i="20"/>
  <c r="AD125" i="20"/>
  <c r="AD126" i="20"/>
  <c r="AD127" i="20"/>
  <c r="AD128" i="20"/>
  <c r="AD129" i="20"/>
  <c r="AD130" i="20"/>
  <c r="AD131" i="20"/>
  <c r="AD132" i="20"/>
  <c r="AD133" i="20"/>
  <c r="AD134" i="20"/>
  <c r="AD120" i="20"/>
  <c r="AE120" i="20"/>
  <c r="AF120" i="20"/>
  <c r="AG120" i="20"/>
  <c r="AH120" i="20"/>
  <c r="AI120" i="20"/>
  <c r="AC121" i="20"/>
  <c r="AC122" i="20"/>
  <c r="AC123" i="20"/>
  <c r="AC124" i="20"/>
  <c r="AC125" i="20"/>
  <c r="AC126" i="20"/>
  <c r="AC127" i="20"/>
  <c r="AC128" i="20"/>
  <c r="AC129" i="20"/>
  <c r="AC130" i="20"/>
  <c r="AC131" i="20"/>
  <c r="AC132" i="20"/>
  <c r="AC133" i="20"/>
  <c r="AC120" i="20"/>
  <c r="AC115" i="20"/>
  <c r="AI102" i="20"/>
  <c r="AI103" i="20"/>
  <c r="AI104" i="20"/>
  <c r="AI105" i="20"/>
  <c r="AI106" i="20"/>
  <c r="AI107" i="20"/>
  <c r="AI108" i="20"/>
  <c r="AI109" i="20"/>
  <c r="AI110" i="20"/>
  <c r="AI111" i="20"/>
  <c r="AI112" i="20"/>
  <c r="AI113" i="20"/>
  <c r="AI114" i="20"/>
  <c r="AI115" i="20"/>
  <c r="AH102" i="20"/>
  <c r="AH103" i="20"/>
  <c r="AH104" i="20"/>
  <c r="AH105" i="20"/>
  <c r="AH106" i="20"/>
  <c r="AH107" i="20"/>
  <c r="AH108" i="20"/>
  <c r="AH109" i="20"/>
  <c r="AH110" i="20"/>
  <c r="AH111" i="20"/>
  <c r="AH112" i="20"/>
  <c r="AH113" i="20"/>
  <c r="AH114" i="20"/>
  <c r="AH115" i="20"/>
  <c r="AG102" i="20"/>
  <c r="AG103" i="20"/>
  <c r="AG104" i="20"/>
  <c r="AG105" i="20"/>
  <c r="AG106" i="20"/>
  <c r="AG107" i="20"/>
  <c r="AG108" i="20"/>
  <c r="AG109" i="20"/>
  <c r="AG110" i="20"/>
  <c r="AG111" i="20"/>
  <c r="AG112" i="20"/>
  <c r="AG113" i="20"/>
  <c r="AG114" i="20"/>
  <c r="AG115" i="20"/>
  <c r="AF102" i="20"/>
  <c r="AF103" i="20"/>
  <c r="AF104" i="20"/>
  <c r="AF105" i="20"/>
  <c r="AF106" i="20"/>
  <c r="AF107" i="20"/>
  <c r="AF108" i="20"/>
  <c r="AF109" i="20"/>
  <c r="AF110" i="20"/>
  <c r="AF111" i="20"/>
  <c r="AF112" i="20"/>
  <c r="AF113" i="20"/>
  <c r="AF114" i="20"/>
  <c r="AF115" i="20"/>
  <c r="AE102" i="20"/>
  <c r="AE103" i="20"/>
  <c r="AE104" i="20"/>
  <c r="AE105" i="20"/>
  <c r="AE106" i="20"/>
  <c r="AE107" i="20"/>
  <c r="AE108" i="20"/>
  <c r="AE109" i="20"/>
  <c r="AE110" i="20"/>
  <c r="AE111" i="20"/>
  <c r="AE112" i="20"/>
  <c r="AE113" i="20"/>
  <c r="AE114" i="20"/>
  <c r="AE115" i="20"/>
  <c r="AD102" i="20"/>
  <c r="AD103" i="20"/>
  <c r="AD104" i="20"/>
  <c r="AD105" i="20"/>
  <c r="AD106" i="20"/>
  <c r="AD107" i="20"/>
  <c r="AD108" i="20"/>
  <c r="AD109" i="20"/>
  <c r="AD110" i="20"/>
  <c r="AD111" i="20"/>
  <c r="AD112" i="20"/>
  <c r="AD113" i="20"/>
  <c r="AD114" i="20"/>
  <c r="AD115" i="20"/>
  <c r="AD101" i="20"/>
  <c r="AE101" i="20"/>
  <c r="AF101" i="20"/>
  <c r="AG101" i="20"/>
  <c r="AH101" i="20"/>
  <c r="AI101" i="20"/>
  <c r="AC102" i="20"/>
  <c r="AC103" i="20"/>
  <c r="AC104" i="20"/>
  <c r="AC105" i="20"/>
  <c r="AC106" i="20"/>
  <c r="AC107" i="20"/>
  <c r="AC108" i="20"/>
  <c r="AC109" i="20"/>
  <c r="AC110" i="20"/>
  <c r="AC111" i="20"/>
  <c r="AC112" i="20"/>
  <c r="AC113" i="20"/>
  <c r="AC114" i="20"/>
  <c r="AC101" i="20"/>
  <c r="AC96" i="20"/>
  <c r="AI83" i="20"/>
  <c r="AI84" i="20"/>
  <c r="AI85" i="20"/>
  <c r="AI86" i="20"/>
  <c r="AI87" i="20"/>
  <c r="AI88" i="20"/>
  <c r="AI89" i="20"/>
  <c r="AI90" i="20"/>
  <c r="AI91" i="20"/>
  <c r="AI92" i="20"/>
  <c r="AI93" i="20"/>
  <c r="AI94" i="20"/>
  <c r="AI95" i="20"/>
  <c r="AI96" i="20"/>
  <c r="AH83" i="20"/>
  <c r="AH84" i="20"/>
  <c r="AH85" i="20"/>
  <c r="AH86" i="20"/>
  <c r="AH87" i="20"/>
  <c r="AH88" i="20"/>
  <c r="AH89" i="20"/>
  <c r="AH90" i="20"/>
  <c r="AH91" i="20"/>
  <c r="AH92" i="20"/>
  <c r="AH93" i="20"/>
  <c r="AH94" i="20"/>
  <c r="AH95" i="20"/>
  <c r="AH96" i="20"/>
  <c r="AG83" i="20"/>
  <c r="AG84" i="20"/>
  <c r="AG85" i="20"/>
  <c r="AG86" i="20"/>
  <c r="AG87" i="20"/>
  <c r="AG88" i="20"/>
  <c r="AG89" i="20"/>
  <c r="AG90" i="20"/>
  <c r="AG91" i="20"/>
  <c r="AG92" i="20"/>
  <c r="AG93" i="20"/>
  <c r="AG94" i="20"/>
  <c r="AG95" i="20"/>
  <c r="AG96" i="20"/>
  <c r="AF83" i="20"/>
  <c r="AF84" i="20"/>
  <c r="AF85" i="20"/>
  <c r="AF86" i="20"/>
  <c r="AF87" i="20"/>
  <c r="AF88" i="20"/>
  <c r="AF89" i="20"/>
  <c r="AF90" i="20"/>
  <c r="AF91" i="20"/>
  <c r="AF92" i="20"/>
  <c r="AF93" i="20"/>
  <c r="AF94" i="20"/>
  <c r="AF95" i="20"/>
  <c r="AF96" i="20"/>
  <c r="AE83" i="20"/>
  <c r="AE84" i="20"/>
  <c r="AE85" i="20"/>
  <c r="AE86" i="20"/>
  <c r="AE87" i="20"/>
  <c r="AE88" i="20"/>
  <c r="AE89" i="20"/>
  <c r="AE90" i="20"/>
  <c r="AE91" i="20"/>
  <c r="AE92" i="20"/>
  <c r="AE93" i="20"/>
  <c r="AE94" i="20"/>
  <c r="AE95" i="20"/>
  <c r="AE96" i="20"/>
  <c r="AD83" i="20"/>
  <c r="AD84" i="20"/>
  <c r="AD85" i="20"/>
  <c r="AD86" i="20"/>
  <c r="AD87" i="20"/>
  <c r="AD88" i="20"/>
  <c r="AD89" i="20"/>
  <c r="AD90" i="20"/>
  <c r="AD91" i="20"/>
  <c r="AD92" i="20"/>
  <c r="AD93" i="20"/>
  <c r="AD94" i="20"/>
  <c r="AD95" i="20"/>
  <c r="AD96" i="20"/>
  <c r="AD82" i="20"/>
  <c r="AE82" i="20"/>
  <c r="AF82" i="20"/>
  <c r="AG82" i="20"/>
  <c r="AH82" i="20"/>
  <c r="AI82" i="20"/>
  <c r="AC83" i="20"/>
  <c r="AC84" i="20"/>
  <c r="AC85" i="20"/>
  <c r="AC86" i="20"/>
  <c r="AC87" i="20"/>
  <c r="AC88" i="20"/>
  <c r="AC89" i="20"/>
  <c r="AC90" i="20"/>
  <c r="AC91" i="20"/>
  <c r="AC92" i="20"/>
  <c r="AC93" i="20"/>
  <c r="AC94" i="20"/>
  <c r="AC95" i="20"/>
  <c r="AC82" i="20"/>
  <c r="AC77" i="20"/>
  <c r="AI64" i="20"/>
  <c r="AI65" i="20"/>
  <c r="AI66" i="20"/>
  <c r="AI67" i="20"/>
  <c r="AI68" i="20"/>
  <c r="AI69" i="20"/>
  <c r="AI70" i="20"/>
  <c r="AI71" i="20"/>
  <c r="AI72" i="20"/>
  <c r="AI73" i="20"/>
  <c r="AI74" i="20"/>
  <c r="AI75" i="20"/>
  <c r="AI76" i="20"/>
  <c r="AI77" i="20"/>
  <c r="AH64" i="20"/>
  <c r="AH65" i="20"/>
  <c r="AH66" i="20"/>
  <c r="AH67" i="20"/>
  <c r="AH68" i="20"/>
  <c r="AH69" i="20"/>
  <c r="AH70" i="20"/>
  <c r="AH71" i="20"/>
  <c r="AH72" i="20"/>
  <c r="AH73" i="20"/>
  <c r="AH74" i="20"/>
  <c r="AH75" i="20"/>
  <c r="AH76" i="20"/>
  <c r="AH77" i="20"/>
  <c r="AG64" i="20"/>
  <c r="AG65" i="20"/>
  <c r="AG66" i="20"/>
  <c r="AG67" i="20"/>
  <c r="AG68" i="20"/>
  <c r="AG69" i="20"/>
  <c r="AG70" i="20"/>
  <c r="AG71" i="20"/>
  <c r="AG72" i="20"/>
  <c r="AG73" i="20"/>
  <c r="AG74" i="20"/>
  <c r="AG75" i="20"/>
  <c r="AG76" i="20"/>
  <c r="AG77" i="20"/>
  <c r="AF64" i="20"/>
  <c r="AF65" i="20"/>
  <c r="AF66" i="20"/>
  <c r="AF67" i="20"/>
  <c r="AF68" i="20"/>
  <c r="AF69" i="20"/>
  <c r="AF70" i="20"/>
  <c r="AF71" i="20"/>
  <c r="AF72" i="20"/>
  <c r="AF73" i="20"/>
  <c r="AF74" i="20"/>
  <c r="AF75" i="20"/>
  <c r="AF76" i="20"/>
  <c r="AF77" i="20"/>
  <c r="AE64" i="20"/>
  <c r="AE65" i="20"/>
  <c r="AE66" i="20"/>
  <c r="AE67" i="20"/>
  <c r="AE68" i="20"/>
  <c r="AE69" i="20"/>
  <c r="AE70" i="20"/>
  <c r="AE71" i="20"/>
  <c r="AE72" i="20"/>
  <c r="AE73" i="20"/>
  <c r="AE74" i="20"/>
  <c r="AE75" i="20"/>
  <c r="AE76" i="20"/>
  <c r="AE77" i="20"/>
  <c r="AD64" i="20"/>
  <c r="AD65" i="20"/>
  <c r="AD66" i="20"/>
  <c r="AD67" i="20"/>
  <c r="AD68" i="20"/>
  <c r="AD69" i="20"/>
  <c r="AD70" i="20"/>
  <c r="AD71" i="20"/>
  <c r="AD72" i="20"/>
  <c r="AD73" i="20"/>
  <c r="AD74" i="20"/>
  <c r="AD75" i="20"/>
  <c r="AD76" i="20"/>
  <c r="AD77" i="20"/>
  <c r="AD63" i="20"/>
  <c r="AE63" i="20"/>
  <c r="AF63" i="20"/>
  <c r="AG63" i="20"/>
  <c r="AH63" i="20"/>
  <c r="AI63" i="20"/>
  <c r="AC64" i="20"/>
  <c r="AC65" i="20"/>
  <c r="AC66" i="20"/>
  <c r="AC67" i="20"/>
  <c r="AC68" i="20"/>
  <c r="AC69" i="20"/>
  <c r="AC70" i="20"/>
  <c r="AC71" i="20"/>
  <c r="AC72" i="20"/>
  <c r="AC73" i="20"/>
  <c r="AC74" i="20"/>
  <c r="AC75" i="20"/>
  <c r="AC76" i="20"/>
  <c r="AC63" i="20"/>
  <c r="AC58" i="20"/>
  <c r="AI45" i="20"/>
  <c r="AI46" i="20"/>
  <c r="AI47" i="20"/>
  <c r="AI48" i="20"/>
  <c r="AI49" i="20"/>
  <c r="AI50" i="20"/>
  <c r="AI51" i="20"/>
  <c r="AI52" i="20"/>
  <c r="AI53" i="20"/>
  <c r="AI54" i="20"/>
  <c r="AI55" i="20"/>
  <c r="AI56" i="20"/>
  <c r="AI57" i="20"/>
  <c r="AI58" i="20"/>
  <c r="AH45" i="20"/>
  <c r="AH46" i="20"/>
  <c r="AH47" i="20"/>
  <c r="AH48" i="20"/>
  <c r="AH49" i="20"/>
  <c r="AH50" i="20"/>
  <c r="AH51" i="20"/>
  <c r="AH52" i="20"/>
  <c r="AH53" i="20"/>
  <c r="AH54" i="20"/>
  <c r="AH55" i="20"/>
  <c r="AH56" i="20"/>
  <c r="AH57" i="20"/>
  <c r="AH58" i="20"/>
  <c r="AG45" i="20"/>
  <c r="AG46" i="20"/>
  <c r="AG47" i="20"/>
  <c r="AG48" i="20"/>
  <c r="AG49" i="20"/>
  <c r="AG50" i="20"/>
  <c r="AG51" i="20"/>
  <c r="AG52" i="20"/>
  <c r="AG53" i="20"/>
  <c r="AG54" i="20"/>
  <c r="AG55" i="20"/>
  <c r="AG56" i="20"/>
  <c r="AG57" i="20"/>
  <c r="AG58" i="20"/>
  <c r="AF45" i="20"/>
  <c r="AF46" i="20"/>
  <c r="AF47" i="20"/>
  <c r="AF48" i="20"/>
  <c r="AF49" i="20"/>
  <c r="AF50" i="20"/>
  <c r="AF51" i="20"/>
  <c r="AF52" i="20"/>
  <c r="AF53" i="20"/>
  <c r="AF54" i="20"/>
  <c r="AF55" i="20"/>
  <c r="AF56" i="20"/>
  <c r="AF57" i="20"/>
  <c r="AF58" i="20"/>
  <c r="AE45" i="20"/>
  <c r="AE46" i="20"/>
  <c r="AE47" i="20"/>
  <c r="AE48" i="20"/>
  <c r="AE49" i="20"/>
  <c r="AE50" i="20"/>
  <c r="AE51" i="20"/>
  <c r="AE52" i="20"/>
  <c r="AE53" i="20"/>
  <c r="AE54" i="20"/>
  <c r="AE55" i="20"/>
  <c r="AE56" i="20"/>
  <c r="AE57" i="20"/>
  <c r="AE58" i="20"/>
  <c r="AD45" i="20"/>
  <c r="AD46" i="20"/>
  <c r="AD47" i="20"/>
  <c r="AD48" i="20"/>
  <c r="AD49" i="20"/>
  <c r="AD50" i="20"/>
  <c r="AD51" i="20"/>
  <c r="AD52" i="20"/>
  <c r="AD53" i="20"/>
  <c r="AD54" i="20"/>
  <c r="AD55" i="20"/>
  <c r="AD56" i="20"/>
  <c r="AD57" i="20"/>
  <c r="AD58" i="20"/>
  <c r="AD44" i="20"/>
  <c r="AE44" i="20"/>
  <c r="AF44" i="20"/>
  <c r="AG44" i="20"/>
  <c r="AH44" i="20"/>
  <c r="AI44" i="20"/>
  <c r="AC45" i="20"/>
  <c r="AC46" i="20"/>
  <c r="AC47" i="20"/>
  <c r="AC48" i="20"/>
  <c r="AC49" i="20"/>
  <c r="AC50" i="20"/>
  <c r="AC51" i="20"/>
  <c r="AC52" i="20"/>
  <c r="AC53" i="20"/>
  <c r="AC54" i="20"/>
  <c r="AC55" i="20"/>
  <c r="AC56" i="20"/>
  <c r="AC57" i="20"/>
  <c r="AC44" i="20"/>
  <c r="AC39" i="20"/>
  <c r="AI26" i="20"/>
  <c r="AI27" i="20"/>
  <c r="AI28" i="20"/>
  <c r="AI29" i="20"/>
  <c r="AI30" i="20"/>
  <c r="AI31" i="20"/>
  <c r="AI32" i="20"/>
  <c r="AI33" i="20"/>
  <c r="AI34" i="20"/>
  <c r="AI35" i="20"/>
  <c r="AI36" i="20"/>
  <c r="AI37" i="20"/>
  <c r="AI38" i="20"/>
  <c r="AI39" i="20"/>
  <c r="AH26" i="20"/>
  <c r="AH27" i="20"/>
  <c r="AH28" i="20"/>
  <c r="AH29" i="20"/>
  <c r="AH30" i="20"/>
  <c r="AH31" i="20"/>
  <c r="AH32" i="20"/>
  <c r="AH33" i="20"/>
  <c r="AH34" i="20"/>
  <c r="AH35" i="20"/>
  <c r="AH36" i="20"/>
  <c r="AH37" i="20"/>
  <c r="AH38" i="20"/>
  <c r="AH39" i="20"/>
  <c r="AG37" i="20"/>
  <c r="AG38" i="20"/>
  <c r="AG39" i="20"/>
  <c r="AG35" i="20"/>
  <c r="AG36" i="20"/>
  <c r="AG33" i="20"/>
  <c r="AG34" i="20"/>
  <c r="AG32" i="20"/>
  <c r="AG31" i="20"/>
  <c r="AG28" i="20"/>
  <c r="AG29" i="20"/>
  <c r="AG30" i="20"/>
  <c r="AG26" i="20"/>
  <c r="AG27" i="20"/>
  <c r="AF26" i="20"/>
  <c r="AF27" i="20"/>
  <c r="AF28" i="20"/>
  <c r="AF29" i="20"/>
  <c r="AF30" i="20"/>
  <c r="AF31" i="20"/>
  <c r="AF32" i="20"/>
  <c r="AF33" i="20"/>
  <c r="AF34" i="20"/>
  <c r="AF35" i="20"/>
  <c r="AF36" i="20"/>
  <c r="AF37" i="20"/>
  <c r="AF38" i="20"/>
  <c r="AF39" i="20"/>
  <c r="AE26" i="20"/>
  <c r="AE27" i="20"/>
  <c r="AE28" i="20"/>
  <c r="AE29" i="20"/>
  <c r="AE30" i="20"/>
  <c r="AE31" i="20"/>
  <c r="AE32" i="20"/>
  <c r="AE33" i="20"/>
  <c r="AE34" i="20"/>
  <c r="AE35" i="20"/>
  <c r="AE36" i="20"/>
  <c r="AE37" i="20"/>
  <c r="AE38" i="20"/>
  <c r="AE39" i="20"/>
  <c r="AD26" i="20"/>
  <c r="AD27" i="20"/>
  <c r="AD28" i="20"/>
  <c r="AD29" i="20"/>
  <c r="AD30" i="20"/>
  <c r="AD31" i="20"/>
  <c r="AD32" i="20"/>
  <c r="AD33" i="20"/>
  <c r="AD34" i="20"/>
  <c r="AD35" i="20"/>
  <c r="AD36" i="20"/>
  <c r="AD37" i="20"/>
  <c r="AD38" i="20"/>
  <c r="AD39" i="20"/>
  <c r="AD25" i="20"/>
  <c r="AE25" i="20"/>
  <c r="AF25" i="20"/>
  <c r="AG25" i="20"/>
  <c r="AH25" i="20"/>
  <c r="AI25" i="20"/>
  <c r="AC26" i="20"/>
  <c r="AC27" i="20"/>
  <c r="AC28" i="20"/>
  <c r="AC29" i="20"/>
  <c r="AC30" i="20"/>
  <c r="AC31" i="20"/>
  <c r="AC32" i="20"/>
  <c r="AC33" i="20"/>
  <c r="AC34" i="20"/>
  <c r="AC35" i="20"/>
  <c r="AC36" i="20"/>
  <c r="AC37" i="20"/>
  <c r="AC38" i="20"/>
  <c r="AC25" i="20"/>
  <c r="AC20" i="20"/>
  <c r="AI7" i="20"/>
  <c r="AI8" i="20"/>
  <c r="AI9" i="20"/>
  <c r="AI10" i="20"/>
  <c r="AI11" i="20"/>
  <c r="AI12" i="20"/>
  <c r="AI13" i="20"/>
  <c r="AI14" i="20"/>
  <c r="AI15" i="20"/>
  <c r="AI16" i="20"/>
  <c r="AI17" i="20"/>
  <c r="AI18" i="20"/>
  <c r="AI19" i="20"/>
  <c r="AI20" i="20"/>
  <c r="AH7" i="20"/>
  <c r="AH8" i="20"/>
  <c r="AH9" i="20"/>
  <c r="AH10" i="20"/>
  <c r="AH11" i="20"/>
  <c r="AH12" i="20"/>
  <c r="AH13" i="20"/>
  <c r="AH14" i="20"/>
  <c r="AH15" i="20"/>
  <c r="AH16" i="20"/>
  <c r="AH17" i="20"/>
  <c r="AH18" i="20"/>
  <c r="AH19" i="20"/>
  <c r="AH20" i="20"/>
  <c r="AG7" i="20"/>
  <c r="AG8" i="20"/>
  <c r="AG9" i="20"/>
  <c r="AG10" i="20"/>
  <c r="AG11" i="20"/>
  <c r="AG12" i="20"/>
  <c r="AG13" i="20"/>
  <c r="AG14" i="20"/>
  <c r="AG15" i="20"/>
  <c r="AG16" i="20"/>
  <c r="AG17" i="20"/>
  <c r="AG18" i="20"/>
  <c r="AG19" i="20"/>
  <c r="AG20" i="20"/>
  <c r="AF7" i="20"/>
  <c r="AF8" i="20"/>
  <c r="AF9" i="20"/>
  <c r="AF10" i="20"/>
  <c r="AF11" i="20"/>
  <c r="AF12" i="20"/>
  <c r="AF13" i="20"/>
  <c r="AF14" i="20"/>
  <c r="AF15" i="20"/>
  <c r="AF16" i="20"/>
  <c r="AF17" i="20"/>
  <c r="AF18" i="20"/>
  <c r="AF19" i="20"/>
  <c r="AF20" i="20"/>
  <c r="AE7" i="20"/>
  <c r="AE8" i="20"/>
  <c r="AE9" i="20"/>
  <c r="AE10" i="20"/>
  <c r="AE11" i="20"/>
  <c r="AE12" i="20"/>
  <c r="AE13" i="20"/>
  <c r="AE14" i="20"/>
  <c r="AE15" i="20"/>
  <c r="AE16" i="20"/>
  <c r="AE17" i="20"/>
  <c r="AE18" i="20"/>
  <c r="AE19" i="20"/>
  <c r="AE20" i="20"/>
  <c r="AD7" i="20"/>
  <c r="AD8" i="20"/>
  <c r="AD9" i="20"/>
  <c r="AD10" i="20"/>
  <c r="AD11" i="20"/>
  <c r="AD12" i="20"/>
  <c r="AD13" i="20"/>
  <c r="AD14" i="20"/>
  <c r="AD15" i="20"/>
  <c r="AD16" i="20"/>
  <c r="AD17" i="20"/>
  <c r="AD18" i="20"/>
  <c r="AD19" i="20"/>
  <c r="AD20" i="20"/>
  <c r="AD6" i="20"/>
  <c r="AE6" i="20"/>
  <c r="AF6" i="20"/>
  <c r="AG6" i="20"/>
  <c r="AH6" i="20"/>
  <c r="AI6" i="20"/>
  <c r="AC7" i="20"/>
  <c r="AC8" i="20"/>
  <c r="AC9" i="20"/>
  <c r="AC10" i="20"/>
  <c r="AC11" i="20"/>
  <c r="AC12" i="20"/>
  <c r="AC13" i="20"/>
  <c r="AC14" i="20"/>
  <c r="AC15" i="20"/>
  <c r="AC16" i="20"/>
  <c r="AC17" i="20"/>
  <c r="AC18" i="20"/>
  <c r="AC19" i="20"/>
  <c r="AC6" i="20"/>
  <c r="T153" i="20"/>
  <c r="Z140" i="20"/>
  <c r="Z141" i="20"/>
  <c r="Z142" i="20"/>
  <c r="Z143" i="20"/>
  <c r="Z144" i="20"/>
  <c r="Z145" i="20"/>
  <c r="Z146" i="20"/>
  <c r="Z147" i="20"/>
  <c r="Z148" i="20"/>
  <c r="Z149" i="20"/>
  <c r="Z150" i="20"/>
  <c r="Z151" i="20"/>
  <c r="Z152" i="20"/>
  <c r="Z153" i="20"/>
  <c r="Y140" i="20"/>
  <c r="Y141" i="20"/>
  <c r="Y142" i="20"/>
  <c r="Y143" i="20"/>
  <c r="Y144" i="20"/>
  <c r="Y145" i="20"/>
  <c r="Y146" i="20"/>
  <c r="Y147" i="20"/>
  <c r="Y148" i="20"/>
  <c r="Y149" i="20"/>
  <c r="Y150" i="20"/>
  <c r="Y151" i="20"/>
  <c r="Y152" i="20"/>
  <c r="Y153" i="20"/>
  <c r="X140" i="20"/>
  <c r="X141" i="20"/>
  <c r="X142" i="20"/>
  <c r="X143" i="20"/>
  <c r="X144" i="20"/>
  <c r="X145" i="20"/>
  <c r="X146" i="20"/>
  <c r="X147" i="20"/>
  <c r="X148" i="20"/>
  <c r="X149" i="20"/>
  <c r="X150" i="20"/>
  <c r="X151" i="20"/>
  <c r="X152" i="20"/>
  <c r="X153" i="20"/>
  <c r="W140" i="20"/>
  <c r="W141" i="20"/>
  <c r="W142" i="20"/>
  <c r="W143" i="20"/>
  <c r="W144" i="20"/>
  <c r="W145" i="20"/>
  <c r="W146" i="20"/>
  <c r="W147" i="20"/>
  <c r="W148" i="20"/>
  <c r="W149" i="20"/>
  <c r="W150" i="20"/>
  <c r="W151" i="20"/>
  <c r="W152" i="20"/>
  <c r="W153" i="20"/>
  <c r="V140" i="20"/>
  <c r="V141" i="20"/>
  <c r="V142" i="20"/>
  <c r="V143" i="20"/>
  <c r="V144" i="20"/>
  <c r="V145" i="20"/>
  <c r="V146" i="20"/>
  <c r="V147" i="20"/>
  <c r="V148" i="20"/>
  <c r="V149" i="20"/>
  <c r="V150" i="20"/>
  <c r="V151" i="20"/>
  <c r="V152" i="20"/>
  <c r="V153" i="20"/>
  <c r="U140" i="20"/>
  <c r="U141" i="20"/>
  <c r="U142" i="20"/>
  <c r="U143" i="20"/>
  <c r="U144" i="20"/>
  <c r="U145" i="20"/>
  <c r="U146" i="20"/>
  <c r="U147" i="20"/>
  <c r="U148" i="20"/>
  <c r="U149" i="20"/>
  <c r="U150" i="20"/>
  <c r="U151" i="20"/>
  <c r="U152" i="20"/>
  <c r="U153" i="20"/>
  <c r="U139" i="20"/>
  <c r="V139" i="20"/>
  <c r="W139" i="20"/>
  <c r="X139" i="20"/>
  <c r="Y139" i="20"/>
  <c r="Z139" i="20"/>
  <c r="T140" i="20"/>
  <c r="T141" i="20"/>
  <c r="T142" i="20"/>
  <c r="T143" i="20"/>
  <c r="T144" i="20"/>
  <c r="T145" i="20"/>
  <c r="T146" i="20"/>
  <c r="T147" i="20"/>
  <c r="T148" i="20"/>
  <c r="T149" i="20"/>
  <c r="T150" i="20"/>
  <c r="T151" i="20"/>
  <c r="T152" i="20"/>
  <c r="T139" i="20"/>
  <c r="T134" i="20"/>
  <c r="V121" i="20"/>
  <c r="V122" i="20"/>
  <c r="V123" i="20"/>
  <c r="V124" i="20"/>
  <c r="V125" i="20"/>
  <c r="V126" i="20"/>
  <c r="V127" i="20"/>
  <c r="V128" i="20"/>
  <c r="V129" i="20"/>
  <c r="V130" i="20"/>
  <c r="V131" i="20"/>
  <c r="V132" i="20"/>
  <c r="V133" i="20"/>
  <c r="V134" i="20"/>
  <c r="W121" i="20"/>
  <c r="W122" i="20"/>
  <c r="W123" i="20"/>
  <c r="W124" i="20"/>
  <c r="W125" i="20"/>
  <c r="W126" i="20"/>
  <c r="W127" i="20"/>
  <c r="W128" i="20"/>
  <c r="W129" i="20"/>
  <c r="W130" i="20"/>
  <c r="W131" i="20"/>
  <c r="W132" i="20"/>
  <c r="W133" i="20"/>
  <c r="W134" i="20"/>
  <c r="X121" i="20"/>
  <c r="X122" i="20"/>
  <c r="X123" i="20"/>
  <c r="X124" i="20"/>
  <c r="X125" i="20"/>
  <c r="X126" i="20"/>
  <c r="X127" i="20"/>
  <c r="X128" i="20"/>
  <c r="X129" i="20"/>
  <c r="X130" i="20"/>
  <c r="X131" i="20"/>
  <c r="X132" i="20"/>
  <c r="X133" i="20"/>
  <c r="X134" i="20"/>
  <c r="Y121" i="20"/>
  <c r="Y122" i="20"/>
  <c r="Y123" i="20"/>
  <c r="Y124" i="20"/>
  <c r="Y125" i="20"/>
  <c r="Y126" i="20"/>
  <c r="Y127" i="20"/>
  <c r="Y128" i="20"/>
  <c r="Y129" i="20"/>
  <c r="Y130" i="20"/>
  <c r="Y131" i="20"/>
  <c r="Y132" i="20"/>
  <c r="Y133" i="20"/>
  <c r="Y134" i="20"/>
  <c r="Z121" i="20"/>
  <c r="Z122" i="20"/>
  <c r="Z123" i="20"/>
  <c r="Z124" i="20"/>
  <c r="Z125" i="20"/>
  <c r="Z126" i="20"/>
  <c r="Z127" i="20"/>
  <c r="Z128" i="20"/>
  <c r="Z129" i="20"/>
  <c r="Z130" i="20"/>
  <c r="Z131" i="20"/>
  <c r="Z132" i="20"/>
  <c r="Z133" i="20"/>
  <c r="Z134" i="20"/>
  <c r="U121" i="20"/>
  <c r="U122" i="20"/>
  <c r="U123" i="20"/>
  <c r="U124" i="20"/>
  <c r="U125" i="20"/>
  <c r="U126" i="20"/>
  <c r="U127" i="20"/>
  <c r="U128" i="20"/>
  <c r="U129" i="20"/>
  <c r="U130" i="20"/>
  <c r="U131" i="20"/>
  <c r="U132" i="20"/>
  <c r="U133" i="20"/>
  <c r="U134" i="20"/>
  <c r="U120" i="20"/>
  <c r="V120" i="20"/>
  <c r="W120" i="20"/>
  <c r="X120" i="20"/>
  <c r="Y120" i="20"/>
  <c r="Z120" i="20"/>
  <c r="T121" i="20"/>
  <c r="T122" i="20"/>
  <c r="T123" i="20"/>
  <c r="T124" i="20"/>
  <c r="T125" i="20"/>
  <c r="T126" i="20"/>
  <c r="T127" i="20"/>
  <c r="T128" i="20"/>
  <c r="T129" i="20"/>
  <c r="T130" i="20"/>
  <c r="T131" i="20"/>
  <c r="T132" i="20"/>
  <c r="T133" i="20"/>
  <c r="T120" i="20"/>
  <c r="T115" i="20"/>
  <c r="Z102" i="20"/>
  <c r="Z103" i="20"/>
  <c r="Z104" i="20"/>
  <c r="Z105" i="20"/>
  <c r="Z106" i="20"/>
  <c r="Z107" i="20"/>
  <c r="Z108" i="20"/>
  <c r="Z109" i="20"/>
  <c r="Z110" i="20"/>
  <c r="Z111" i="20"/>
  <c r="Z112" i="20"/>
  <c r="Z113" i="20"/>
  <c r="Z114" i="20"/>
  <c r="Z115" i="20"/>
  <c r="Y102" i="20"/>
  <c r="Y103" i="20"/>
  <c r="Y104" i="20"/>
  <c r="Y105" i="20"/>
  <c r="Y106" i="20"/>
  <c r="Y107" i="20"/>
  <c r="Y108" i="20"/>
  <c r="Y109" i="20"/>
  <c r="Y110" i="20"/>
  <c r="Y111" i="20"/>
  <c r="Y112" i="20"/>
  <c r="Y113" i="20"/>
  <c r="Y114" i="20"/>
  <c r="Y115" i="20"/>
  <c r="X102" i="20"/>
  <c r="X103" i="20"/>
  <c r="X104" i="20"/>
  <c r="X105" i="20"/>
  <c r="X106" i="20"/>
  <c r="X107" i="20"/>
  <c r="X108" i="20"/>
  <c r="X109" i="20"/>
  <c r="X110" i="20"/>
  <c r="X111" i="20"/>
  <c r="X112" i="20"/>
  <c r="X113" i="20"/>
  <c r="X114" i="20"/>
  <c r="X115" i="20"/>
  <c r="W102" i="20"/>
  <c r="W103" i="20"/>
  <c r="W104" i="20"/>
  <c r="W105" i="20"/>
  <c r="W106" i="20"/>
  <c r="W107" i="20"/>
  <c r="W108" i="20"/>
  <c r="W109" i="20"/>
  <c r="W110" i="20"/>
  <c r="W111" i="20"/>
  <c r="W112" i="20"/>
  <c r="W113" i="20"/>
  <c r="W114" i="20"/>
  <c r="W115" i="20"/>
  <c r="V102" i="20"/>
  <c r="V103" i="20"/>
  <c r="V104" i="20"/>
  <c r="V105" i="20"/>
  <c r="V106" i="20"/>
  <c r="V107" i="20"/>
  <c r="V108" i="20"/>
  <c r="V109" i="20"/>
  <c r="V110" i="20"/>
  <c r="V111" i="20"/>
  <c r="V112" i="20"/>
  <c r="V113" i="20"/>
  <c r="V114" i="20"/>
  <c r="V115" i="20"/>
  <c r="U102" i="20"/>
  <c r="U103" i="20"/>
  <c r="U104" i="20"/>
  <c r="U105" i="20"/>
  <c r="U106" i="20"/>
  <c r="U107" i="20"/>
  <c r="U108" i="20"/>
  <c r="U109" i="20"/>
  <c r="U110" i="20"/>
  <c r="U111" i="20"/>
  <c r="U112" i="20"/>
  <c r="U113" i="20"/>
  <c r="U114" i="20"/>
  <c r="U115" i="20"/>
  <c r="U101" i="20"/>
  <c r="V101" i="20"/>
  <c r="W101" i="20"/>
  <c r="X101" i="20"/>
  <c r="Y101" i="20"/>
  <c r="Z101" i="20"/>
  <c r="T102" i="20"/>
  <c r="T103" i="20"/>
  <c r="T104" i="20"/>
  <c r="T105" i="20"/>
  <c r="T106" i="20"/>
  <c r="T107" i="20"/>
  <c r="T108" i="20"/>
  <c r="T109" i="20"/>
  <c r="T110" i="20"/>
  <c r="T111" i="20"/>
  <c r="T112" i="20"/>
  <c r="T113" i="20"/>
  <c r="T114" i="20"/>
  <c r="T101" i="20"/>
  <c r="T96" i="20"/>
  <c r="Z83" i="20"/>
  <c r="Z84" i="20"/>
  <c r="Z85" i="20"/>
  <c r="Z86" i="20"/>
  <c r="Z87" i="20"/>
  <c r="Z88" i="20"/>
  <c r="Z89" i="20"/>
  <c r="Z90" i="20"/>
  <c r="Z91" i="20"/>
  <c r="Z92" i="20"/>
  <c r="Z93" i="20"/>
  <c r="Z94" i="20"/>
  <c r="Z95" i="20"/>
  <c r="Z96" i="20"/>
  <c r="Y83" i="20"/>
  <c r="Y84" i="20"/>
  <c r="Y85" i="20"/>
  <c r="Y86" i="20"/>
  <c r="Y87" i="20"/>
  <c r="Y88" i="20"/>
  <c r="Y89" i="20"/>
  <c r="Y90" i="20"/>
  <c r="Y91" i="20"/>
  <c r="Y92" i="20"/>
  <c r="Y93" i="20"/>
  <c r="Y94" i="20"/>
  <c r="Y95" i="20"/>
  <c r="Y96" i="20"/>
  <c r="X83" i="20"/>
  <c r="X84" i="20"/>
  <c r="X85" i="20"/>
  <c r="X86" i="20"/>
  <c r="X87" i="20"/>
  <c r="X88" i="20"/>
  <c r="X89" i="20"/>
  <c r="X90" i="20"/>
  <c r="X91" i="20"/>
  <c r="X92" i="20"/>
  <c r="X93" i="20"/>
  <c r="X94" i="20"/>
  <c r="X95" i="20"/>
  <c r="X96" i="20"/>
  <c r="W83" i="20"/>
  <c r="W84" i="20"/>
  <c r="W85" i="20"/>
  <c r="W86" i="20"/>
  <c r="W87" i="20"/>
  <c r="W88" i="20"/>
  <c r="W89" i="20"/>
  <c r="W90" i="20"/>
  <c r="W91" i="20"/>
  <c r="W92" i="20"/>
  <c r="W93" i="20"/>
  <c r="W94" i="20"/>
  <c r="W95" i="20"/>
  <c r="W96" i="20"/>
  <c r="V83" i="20"/>
  <c r="V84" i="20"/>
  <c r="V85" i="20"/>
  <c r="V86" i="20"/>
  <c r="V87" i="20"/>
  <c r="V88" i="20"/>
  <c r="V89" i="20"/>
  <c r="V90" i="20"/>
  <c r="V91" i="20"/>
  <c r="V92" i="20"/>
  <c r="V93" i="20"/>
  <c r="V94" i="20"/>
  <c r="V95" i="20"/>
  <c r="V96" i="20"/>
  <c r="U83" i="20"/>
  <c r="U84" i="20"/>
  <c r="U85" i="20"/>
  <c r="U86" i="20"/>
  <c r="U87" i="20"/>
  <c r="U88" i="20"/>
  <c r="U89" i="20"/>
  <c r="U90" i="20"/>
  <c r="U91" i="20"/>
  <c r="U92" i="20"/>
  <c r="U93" i="20"/>
  <c r="U94" i="20"/>
  <c r="U95" i="20"/>
  <c r="U96" i="20"/>
  <c r="U82" i="20"/>
  <c r="V82" i="20"/>
  <c r="W82" i="20"/>
  <c r="X82" i="20"/>
  <c r="Y82" i="20"/>
  <c r="Z82" i="20"/>
  <c r="T83" i="20"/>
  <c r="T84" i="20"/>
  <c r="T85" i="20"/>
  <c r="T86" i="20"/>
  <c r="T87" i="20"/>
  <c r="T88" i="20"/>
  <c r="T89" i="20"/>
  <c r="T90" i="20"/>
  <c r="T91" i="20"/>
  <c r="T92" i="20"/>
  <c r="T93" i="20"/>
  <c r="T94" i="20"/>
  <c r="T95" i="20"/>
  <c r="T82" i="20"/>
  <c r="T77" i="20"/>
  <c r="Z64" i="20"/>
  <c r="Z65" i="20"/>
  <c r="Z66" i="20"/>
  <c r="Z67" i="20"/>
  <c r="Z68" i="20"/>
  <c r="Z69" i="20"/>
  <c r="Z70" i="20"/>
  <c r="Z71" i="20"/>
  <c r="Z72" i="20"/>
  <c r="Z73" i="20"/>
  <c r="Z74" i="20"/>
  <c r="Z75" i="20"/>
  <c r="Z76" i="20"/>
  <c r="Z77" i="20"/>
  <c r="Y64" i="20"/>
  <c r="Y65" i="20"/>
  <c r="Y66" i="20"/>
  <c r="Y67" i="20"/>
  <c r="Y68" i="20"/>
  <c r="Y69" i="20"/>
  <c r="Y70" i="20"/>
  <c r="Y71" i="20"/>
  <c r="Y72" i="20"/>
  <c r="Y73" i="20"/>
  <c r="Y74" i="20"/>
  <c r="Y75" i="20"/>
  <c r="Y76" i="20"/>
  <c r="Y77" i="20"/>
  <c r="X64" i="20"/>
  <c r="X65" i="20"/>
  <c r="X66" i="20"/>
  <c r="X67" i="20"/>
  <c r="X68" i="20"/>
  <c r="X69" i="20"/>
  <c r="X70" i="20"/>
  <c r="X71" i="20"/>
  <c r="X72" i="20"/>
  <c r="X73" i="20"/>
  <c r="X74" i="20"/>
  <c r="X75" i="20"/>
  <c r="X76" i="20"/>
  <c r="X77" i="20"/>
  <c r="W64" i="20"/>
  <c r="W65" i="20"/>
  <c r="W66" i="20"/>
  <c r="W67" i="20"/>
  <c r="W68" i="20"/>
  <c r="W69" i="20"/>
  <c r="W70" i="20"/>
  <c r="W71" i="20"/>
  <c r="W72" i="20"/>
  <c r="W73" i="20"/>
  <c r="W74" i="20"/>
  <c r="W75" i="20"/>
  <c r="W76" i="20"/>
  <c r="W77" i="20"/>
  <c r="V64" i="20"/>
  <c r="V65" i="20"/>
  <c r="V66" i="20"/>
  <c r="V67" i="20"/>
  <c r="V68" i="20"/>
  <c r="V69" i="20"/>
  <c r="V70" i="20"/>
  <c r="V71" i="20"/>
  <c r="V72" i="20"/>
  <c r="V73" i="20"/>
  <c r="V74" i="20"/>
  <c r="V75" i="20"/>
  <c r="V76" i="20"/>
  <c r="V77" i="20"/>
  <c r="U64" i="20"/>
  <c r="U65" i="20"/>
  <c r="U66" i="20"/>
  <c r="U67" i="20"/>
  <c r="U68" i="20"/>
  <c r="U69" i="20"/>
  <c r="U70" i="20"/>
  <c r="U71" i="20"/>
  <c r="U72" i="20"/>
  <c r="U73" i="20"/>
  <c r="U74" i="20"/>
  <c r="U75" i="20"/>
  <c r="U76" i="20"/>
  <c r="U77" i="20"/>
  <c r="U63" i="20"/>
  <c r="V63" i="20"/>
  <c r="W63" i="20"/>
  <c r="X63" i="20"/>
  <c r="Y63" i="20"/>
  <c r="Z63" i="20"/>
  <c r="T64" i="20"/>
  <c r="T65" i="20"/>
  <c r="T66" i="20"/>
  <c r="T67" i="20"/>
  <c r="T68" i="20"/>
  <c r="T69" i="20"/>
  <c r="T70" i="20"/>
  <c r="T71" i="20"/>
  <c r="T72" i="20"/>
  <c r="T73" i="20"/>
  <c r="T74" i="20"/>
  <c r="T75" i="20"/>
  <c r="T76" i="20"/>
  <c r="T63" i="20"/>
  <c r="T58" i="20"/>
  <c r="Z45" i="20"/>
  <c r="Z46" i="20"/>
  <c r="Z47" i="20"/>
  <c r="Z48" i="20"/>
  <c r="Z49" i="20"/>
  <c r="Z50" i="20"/>
  <c r="Z51" i="20"/>
  <c r="Z52" i="20"/>
  <c r="Z53" i="20"/>
  <c r="Z54" i="20"/>
  <c r="Z55" i="20"/>
  <c r="Z56" i="20"/>
  <c r="Z57" i="20"/>
  <c r="Z58" i="20"/>
  <c r="Y45" i="20"/>
  <c r="Y46" i="20"/>
  <c r="Y47" i="20"/>
  <c r="Y48" i="20"/>
  <c r="Y49" i="20"/>
  <c r="Y50" i="20"/>
  <c r="Y51" i="20"/>
  <c r="Y52" i="20"/>
  <c r="Y53" i="20"/>
  <c r="Y54" i="20"/>
  <c r="Y55" i="20"/>
  <c r="Y56" i="20"/>
  <c r="Y57" i="20"/>
  <c r="Y58" i="20"/>
  <c r="X45" i="20"/>
  <c r="X46" i="20"/>
  <c r="X47" i="20"/>
  <c r="X48" i="20"/>
  <c r="X49" i="20"/>
  <c r="X50" i="20"/>
  <c r="X51" i="20"/>
  <c r="X52" i="20"/>
  <c r="X53" i="20"/>
  <c r="X54" i="20"/>
  <c r="X55" i="20"/>
  <c r="X56" i="20"/>
  <c r="X57" i="20"/>
  <c r="X58" i="20"/>
  <c r="V56" i="20"/>
  <c r="W45" i="20"/>
  <c r="W46" i="20"/>
  <c r="W47" i="20"/>
  <c r="W48" i="20"/>
  <c r="W49" i="20"/>
  <c r="W50" i="20"/>
  <c r="W51" i="20"/>
  <c r="W52" i="20"/>
  <c r="W53" i="20"/>
  <c r="W54" i="20"/>
  <c r="W55" i="20"/>
  <c r="W56" i="20"/>
  <c r="W57" i="20"/>
  <c r="W58" i="20"/>
  <c r="V45" i="20"/>
  <c r="V46" i="20"/>
  <c r="V47" i="20"/>
  <c r="V48" i="20"/>
  <c r="V49" i="20"/>
  <c r="V50" i="20"/>
  <c r="V51" i="20"/>
  <c r="V52" i="20"/>
  <c r="V53" i="20"/>
  <c r="V54" i="20"/>
  <c r="V55" i="20"/>
  <c r="V57" i="20"/>
  <c r="V58" i="20"/>
  <c r="U45" i="20"/>
  <c r="U46" i="20"/>
  <c r="U47" i="20"/>
  <c r="U48" i="20"/>
  <c r="U49" i="20"/>
  <c r="U50" i="20"/>
  <c r="U51" i="20"/>
  <c r="U52" i="20"/>
  <c r="U53" i="20"/>
  <c r="U54" i="20"/>
  <c r="U55" i="20"/>
  <c r="U56" i="20"/>
  <c r="U57" i="20"/>
  <c r="U58" i="20"/>
  <c r="U44" i="20"/>
  <c r="V44" i="20"/>
  <c r="W44" i="20"/>
  <c r="X44" i="20"/>
  <c r="Y44" i="20"/>
  <c r="Z44" i="20"/>
  <c r="T45" i="20"/>
  <c r="T46" i="20"/>
  <c r="T47" i="20"/>
  <c r="T48" i="20"/>
  <c r="T49" i="20"/>
  <c r="T50" i="20"/>
  <c r="T51" i="20"/>
  <c r="T52" i="20"/>
  <c r="T53" i="20"/>
  <c r="T54" i="20"/>
  <c r="T55" i="20"/>
  <c r="T56" i="20"/>
  <c r="T57" i="20"/>
  <c r="T44" i="20"/>
  <c r="T39" i="20"/>
  <c r="Z26" i="20"/>
  <c r="Z27" i="20"/>
  <c r="Z28" i="20"/>
  <c r="Z29" i="20"/>
  <c r="Z30" i="20"/>
  <c r="Z31" i="20"/>
  <c r="Z32" i="20"/>
  <c r="Z33" i="20"/>
  <c r="Z34" i="20"/>
  <c r="Z35" i="20"/>
  <c r="Z36" i="20"/>
  <c r="Z37" i="20"/>
  <c r="Z38" i="20"/>
  <c r="Z39" i="20"/>
  <c r="Y26" i="20"/>
  <c r="Y27" i="20"/>
  <c r="Y28" i="20"/>
  <c r="Y29" i="20"/>
  <c r="Y30" i="20"/>
  <c r="Y31" i="20"/>
  <c r="Y32" i="20"/>
  <c r="Y33" i="20"/>
  <c r="Y34" i="20"/>
  <c r="Y35" i="20"/>
  <c r="Y36" i="20"/>
  <c r="Y37" i="20"/>
  <c r="Y38" i="20"/>
  <c r="Y39" i="20"/>
  <c r="X26" i="20"/>
  <c r="X27" i="20"/>
  <c r="X28" i="20"/>
  <c r="X29" i="20"/>
  <c r="X30" i="20"/>
  <c r="X31" i="20"/>
  <c r="X32" i="20"/>
  <c r="X33" i="20"/>
  <c r="X34" i="20"/>
  <c r="X35" i="20"/>
  <c r="X36" i="20"/>
  <c r="X37" i="20"/>
  <c r="X38" i="20"/>
  <c r="X39" i="20"/>
  <c r="W38" i="20"/>
  <c r="W39" i="20"/>
  <c r="W26" i="20"/>
  <c r="W27" i="20"/>
  <c r="W28" i="20"/>
  <c r="W29" i="20"/>
  <c r="W30" i="20"/>
  <c r="W31" i="20"/>
  <c r="W32" i="20"/>
  <c r="W33" i="20"/>
  <c r="W34" i="20"/>
  <c r="W35" i="20"/>
  <c r="W36" i="20"/>
  <c r="W37" i="20"/>
  <c r="V26" i="20"/>
  <c r="V27" i="20"/>
  <c r="V28" i="20"/>
  <c r="V29" i="20"/>
  <c r="V30" i="20"/>
  <c r="V31" i="20"/>
  <c r="V32" i="20"/>
  <c r="V33" i="20"/>
  <c r="V34" i="20"/>
  <c r="V35" i="20"/>
  <c r="V36" i="20"/>
  <c r="V37" i="20"/>
  <c r="V38" i="20"/>
  <c r="V39" i="20"/>
  <c r="U26" i="20"/>
  <c r="U27" i="20"/>
  <c r="U28" i="20"/>
  <c r="U29" i="20"/>
  <c r="U30" i="20"/>
  <c r="U31" i="20"/>
  <c r="U32" i="20"/>
  <c r="U33" i="20"/>
  <c r="U34" i="20"/>
  <c r="U35" i="20"/>
  <c r="U36" i="20"/>
  <c r="U37" i="20"/>
  <c r="U38" i="20"/>
  <c r="U39" i="20"/>
  <c r="U25" i="20"/>
  <c r="V25" i="20"/>
  <c r="W25" i="20"/>
  <c r="X25" i="20"/>
  <c r="Y25" i="20"/>
  <c r="Z25" i="20"/>
  <c r="T26" i="20"/>
  <c r="T27" i="20"/>
  <c r="T28" i="20"/>
  <c r="T29" i="20"/>
  <c r="T30" i="20"/>
  <c r="T31" i="20"/>
  <c r="T32" i="20"/>
  <c r="T33" i="20"/>
  <c r="T34" i="20"/>
  <c r="T35" i="20"/>
  <c r="T36" i="20"/>
  <c r="T37" i="20"/>
  <c r="T38" i="20"/>
  <c r="T25" i="20"/>
  <c r="T20" i="20"/>
  <c r="Z7" i="20"/>
  <c r="Z8" i="20"/>
  <c r="Z9" i="20"/>
  <c r="Z10" i="20"/>
  <c r="Z11" i="20"/>
  <c r="Z12" i="20"/>
  <c r="Z13" i="20"/>
  <c r="Z14" i="20"/>
  <c r="Z15" i="20"/>
  <c r="Z16" i="20"/>
  <c r="Z17" i="20"/>
  <c r="Z18" i="20"/>
  <c r="Z19" i="20"/>
  <c r="Z20" i="20"/>
  <c r="Y7" i="20"/>
  <c r="Y8" i="20"/>
  <c r="Y9" i="20"/>
  <c r="Y10" i="20"/>
  <c r="Y11" i="20"/>
  <c r="Y12" i="20"/>
  <c r="Y13" i="20"/>
  <c r="Y14" i="20"/>
  <c r="Y15" i="20"/>
  <c r="Y16" i="20"/>
  <c r="Y17" i="20"/>
  <c r="Y18" i="20"/>
  <c r="Y19" i="20"/>
  <c r="Y20" i="20"/>
  <c r="X7" i="20"/>
  <c r="X8" i="20"/>
  <c r="X9" i="20"/>
  <c r="X10" i="20"/>
  <c r="X11" i="20"/>
  <c r="X12" i="20"/>
  <c r="X13" i="20"/>
  <c r="X14" i="20"/>
  <c r="X15" i="20"/>
  <c r="X16" i="20"/>
  <c r="X17" i="20"/>
  <c r="X18" i="20"/>
  <c r="X19" i="20"/>
  <c r="X20" i="20"/>
  <c r="W7" i="20"/>
  <c r="W8" i="20"/>
  <c r="W9" i="20"/>
  <c r="W10" i="20"/>
  <c r="W11" i="20"/>
  <c r="W12" i="20"/>
  <c r="W13" i="20"/>
  <c r="W14" i="20"/>
  <c r="W15" i="20"/>
  <c r="W16" i="20"/>
  <c r="W17" i="20"/>
  <c r="W18" i="20"/>
  <c r="W19" i="20"/>
  <c r="W20" i="20"/>
  <c r="V7" i="20"/>
  <c r="V8" i="20"/>
  <c r="V9" i="20"/>
  <c r="V10" i="20"/>
  <c r="V11" i="20"/>
  <c r="V12" i="20"/>
  <c r="V13" i="20"/>
  <c r="V14" i="20"/>
  <c r="V15" i="20"/>
  <c r="V16" i="20"/>
  <c r="V17" i="20"/>
  <c r="V18" i="20"/>
  <c r="V19" i="20"/>
  <c r="V20" i="20"/>
  <c r="U7" i="20"/>
  <c r="U8" i="20"/>
  <c r="U9" i="20"/>
  <c r="U10" i="20"/>
  <c r="U11" i="20"/>
  <c r="U12" i="20"/>
  <c r="U13" i="20"/>
  <c r="U14" i="20"/>
  <c r="U15" i="20"/>
  <c r="U16" i="20"/>
  <c r="U17" i="20"/>
  <c r="U18" i="20"/>
  <c r="U19" i="20"/>
  <c r="U20" i="20"/>
  <c r="U6" i="20"/>
  <c r="V6" i="20"/>
  <c r="W6" i="20"/>
  <c r="X6" i="20"/>
  <c r="Y6" i="20"/>
  <c r="Z6" i="20"/>
  <c r="T7" i="20"/>
  <c r="T8" i="20"/>
  <c r="T9" i="20"/>
  <c r="T10" i="20"/>
  <c r="T11" i="20"/>
  <c r="T12" i="20"/>
  <c r="T13" i="20"/>
  <c r="T14" i="20"/>
  <c r="T15" i="20"/>
  <c r="T16" i="20"/>
  <c r="T17" i="20"/>
  <c r="T18" i="20"/>
  <c r="T19" i="20"/>
  <c r="T6" i="20"/>
  <c r="Q153" i="20"/>
  <c r="Q140" i="20"/>
  <c r="Q141" i="20"/>
  <c r="Q142" i="20"/>
  <c r="Q143" i="20"/>
  <c r="Q144" i="20"/>
  <c r="Q145" i="20"/>
  <c r="Q146" i="20"/>
  <c r="Q147" i="20"/>
  <c r="Q148" i="20"/>
  <c r="Q149" i="20"/>
  <c r="Q150" i="20"/>
  <c r="Q151" i="20"/>
  <c r="Q152" i="20"/>
  <c r="P140" i="20"/>
  <c r="P141" i="20"/>
  <c r="P142" i="20"/>
  <c r="P143" i="20"/>
  <c r="P144" i="20"/>
  <c r="P145" i="20"/>
  <c r="P146" i="20"/>
  <c r="P147" i="20"/>
  <c r="P148" i="20"/>
  <c r="P149" i="20"/>
  <c r="P150" i="20"/>
  <c r="P151" i="20"/>
  <c r="P152" i="20"/>
  <c r="P153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M140" i="20"/>
  <c r="M141" i="20"/>
  <c r="M142" i="20"/>
  <c r="M143" i="20"/>
  <c r="M144" i="20"/>
  <c r="M145" i="20"/>
  <c r="M146" i="20"/>
  <c r="M147" i="20"/>
  <c r="M148" i="20"/>
  <c r="M149" i="20"/>
  <c r="M150" i="20"/>
  <c r="M151" i="20"/>
  <c r="M152" i="20"/>
  <c r="M153" i="20"/>
  <c r="L140" i="20"/>
  <c r="L141" i="20"/>
  <c r="L142" i="20"/>
  <c r="L143" i="20"/>
  <c r="L144" i="20"/>
  <c r="L145" i="20"/>
  <c r="L146" i="20"/>
  <c r="L147" i="20"/>
  <c r="L148" i="20"/>
  <c r="L149" i="20"/>
  <c r="L150" i="20"/>
  <c r="L151" i="20"/>
  <c r="L152" i="20"/>
  <c r="L153" i="20"/>
  <c r="K140" i="20"/>
  <c r="K141" i="20"/>
  <c r="K142" i="20"/>
  <c r="K143" i="20"/>
  <c r="K144" i="20"/>
  <c r="K145" i="20"/>
  <c r="K146" i="20"/>
  <c r="K147" i="20"/>
  <c r="K148" i="20"/>
  <c r="K149" i="20"/>
  <c r="K150" i="20"/>
  <c r="K151" i="20"/>
  <c r="K152" i="20"/>
  <c r="K153" i="20"/>
  <c r="L139" i="20"/>
  <c r="M139" i="20"/>
  <c r="N139" i="20"/>
  <c r="O139" i="20"/>
  <c r="P139" i="20"/>
  <c r="Q139" i="20"/>
  <c r="K139" i="20"/>
  <c r="K134" i="20"/>
  <c r="Q121" i="20"/>
  <c r="Q122" i="20"/>
  <c r="Q123" i="20"/>
  <c r="Q124" i="20"/>
  <c r="Q125" i="20"/>
  <c r="Q126" i="20"/>
  <c r="Q127" i="20"/>
  <c r="Q128" i="20"/>
  <c r="Q129" i="20"/>
  <c r="Q130" i="20"/>
  <c r="Q131" i="20"/>
  <c r="Q132" i="20"/>
  <c r="Q133" i="20"/>
  <c r="Q134" i="20"/>
  <c r="P121" i="20"/>
  <c r="P122" i="20"/>
  <c r="P123" i="20"/>
  <c r="P124" i="20"/>
  <c r="P125" i="20"/>
  <c r="P126" i="20"/>
  <c r="P127" i="20"/>
  <c r="P128" i="20"/>
  <c r="P129" i="20"/>
  <c r="P130" i="20"/>
  <c r="P131" i="20"/>
  <c r="P132" i="20"/>
  <c r="P133" i="20"/>
  <c r="P134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M121" i="20"/>
  <c r="M122" i="20"/>
  <c r="M123" i="20"/>
  <c r="M124" i="20"/>
  <c r="M125" i="20"/>
  <c r="M126" i="20"/>
  <c r="M127" i="20"/>
  <c r="M128" i="20"/>
  <c r="M129" i="20"/>
  <c r="M130" i="20"/>
  <c r="M131" i="20"/>
  <c r="M132" i="20"/>
  <c r="M133" i="20"/>
  <c r="M134" i="20"/>
  <c r="L121" i="20"/>
  <c r="L122" i="20"/>
  <c r="L123" i="20"/>
  <c r="L124" i="20"/>
  <c r="L125" i="20"/>
  <c r="L126" i="20"/>
  <c r="L127" i="20"/>
  <c r="L128" i="20"/>
  <c r="L129" i="20"/>
  <c r="L130" i="20"/>
  <c r="L131" i="20"/>
  <c r="L132" i="20"/>
  <c r="L133" i="20"/>
  <c r="L134" i="20"/>
  <c r="L120" i="20"/>
  <c r="M120" i="20"/>
  <c r="N120" i="20"/>
  <c r="O120" i="20"/>
  <c r="P120" i="20"/>
  <c r="Q120" i="20"/>
  <c r="K121" i="20"/>
  <c r="K122" i="20"/>
  <c r="K123" i="20"/>
  <c r="K124" i="20"/>
  <c r="K125" i="20"/>
  <c r="K126" i="20"/>
  <c r="K127" i="20"/>
  <c r="K128" i="20"/>
  <c r="K129" i="20"/>
  <c r="K130" i="20"/>
  <c r="K131" i="20"/>
  <c r="K132" i="20"/>
  <c r="K133" i="20"/>
  <c r="K120" i="20"/>
  <c r="K115" i="20"/>
  <c r="Q102" i="20"/>
  <c r="Q103" i="20"/>
  <c r="Q104" i="20"/>
  <c r="Q105" i="20"/>
  <c r="Q106" i="20"/>
  <c r="Q107" i="20"/>
  <c r="Q108" i="20"/>
  <c r="Q109" i="20"/>
  <c r="Q110" i="20"/>
  <c r="Q111" i="20"/>
  <c r="Q112" i="20"/>
  <c r="Q113" i="20"/>
  <c r="Q114" i="20"/>
  <c r="Q115" i="20"/>
  <c r="Q101" i="20"/>
  <c r="P102" i="20"/>
  <c r="P103" i="20"/>
  <c r="P104" i="20"/>
  <c r="P105" i="20"/>
  <c r="P106" i="20"/>
  <c r="P107" i="20"/>
  <c r="P108" i="20"/>
  <c r="P109" i="20"/>
  <c r="P110" i="20"/>
  <c r="P111" i="20"/>
  <c r="P112" i="20"/>
  <c r="P113" i="20"/>
  <c r="P114" i="20"/>
  <c r="P115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M102" i="20"/>
  <c r="M103" i="20"/>
  <c r="M104" i="20"/>
  <c r="M105" i="20"/>
  <c r="M106" i="20"/>
  <c r="M107" i="20"/>
  <c r="M108" i="20"/>
  <c r="M109" i="20"/>
  <c r="M110" i="20"/>
  <c r="M111" i="20"/>
  <c r="M112" i="20"/>
  <c r="M113" i="20"/>
  <c r="M114" i="20"/>
  <c r="M115" i="20"/>
  <c r="L102" i="20"/>
  <c r="L103" i="20"/>
  <c r="L104" i="20"/>
  <c r="L105" i="20"/>
  <c r="L106" i="20"/>
  <c r="L107" i="20"/>
  <c r="L108" i="20"/>
  <c r="L109" i="20"/>
  <c r="L110" i="20"/>
  <c r="L111" i="20"/>
  <c r="L112" i="20"/>
  <c r="L113" i="20"/>
  <c r="L114" i="20"/>
  <c r="L115" i="20"/>
  <c r="L101" i="20"/>
  <c r="M101" i="20"/>
  <c r="N101" i="20"/>
  <c r="O101" i="20"/>
  <c r="P101" i="20"/>
  <c r="K102" i="20"/>
  <c r="K103" i="20"/>
  <c r="K104" i="20"/>
  <c r="K105" i="20"/>
  <c r="K106" i="20"/>
  <c r="K107" i="20"/>
  <c r="K108" i="20"/>
  <c r="K109" i="20"/>
  <c r="K110" i="20"/>
  <c r="K111" i="20"/>
  <c r="K112" i="20"/>
  <c r="K113" i="20"/>
  <c r="K114" i="20"/>
  <c r="K101" i="20"/>
  <c r="K96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P83" i="20"/>
  <c r="P84" i="20"/>
  <c r="P85" i="20"/>
  <c r="P86" i="20"/>
  <c r="P87" i="20"/>
  <c r="P88" i="20"/>
  <c r="P89" i="20"/>
  <c r="P90" i="20"/>
  <c r="P91" i="20"/>
  <c r="P92" i="20"/>
  <c r="P93" i="20"/>
  <c r="P94" i="20"/>
  <c r="P95" i="20"/>
  <c r="P96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M83" i="20"/>
  <c r="M84" i="20"/>
  <c r="M85" i="20"/>
  <c r="M86" i="20"/>
  <c r="M87" i="20"/>
  <c r="M88" i="20"/>
  <c r="M89" i="20"/>
  <c r="M90" i="20"/>
  <c r="M91" i="20"/>
  <c r="M92" i="20"/>
  <c r="M93" i="20"/>
  <c r="M94" i="20"/>
  <c r="M95" i="20"/>
  <c r="M96" i="20"/>
  <c r="L83" i="20"/>
  <c r="L84" i="20"/>
  <c r="L85" i="20"/>
  <c r="L86" i="20"/>
  <c r="L87" i="20"/>
  <c r="L88" i="20"/>
  <c r="L89" i="20"/>
  <c r="L90" i="20"/>
  <c r="L91" i="20"/>
  <c r="L92" i="20"/>
  <c r="L93" i="20"/>
  <c r="L94" i="20"/>
  <c r="L95" i="20"/>
  <c r="L96" i="20"/>
  <c r="L82" i="20"/>
  <c r="M82" i="20"/>
  <c r="N82" i="20"/>
  <c r="O82" i="20"/>
  <c r="P82" i="20"/>
  <c r="Q82" i="20"/>
  <c r="K83" i="20"/>
  <c r="K84" i="20"/>
  <c r="K85" i="20"/>
  <c r="K86" i="20"/>
  <c r="K87" i="20"/>
  <c r="K88" i="20"/>
  <c r="K89" i="20"/>
  <c r="K90" i="20"/>
  <c r="K91" i="20"/>
  <c r="K92" i="20"/>
  <c r="K93" i="20"/>
  <c r="K94" i="20"/>
  <c r="K95" i="20"/>
  <c r="K82" i="20"/>
  <c r="K77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P64" i="20"/>
  <c r="P65" i="20"/>
  <c r="P66" i="20"/>
  <c r="P67" i="20"/>
  <c r="P68" i="20"/>
  <c r="P69" i="20"/>
  <c r="P70" i="20"/>
  <c r="P71" i="20"/>
  <c r="P72" i="20"/>
  <c r="P73" i="20"/>
  <c r="P74" i="20"/>
  <c r="P75" i="20"/>
  <c r="P76" i="20"/>
  <c r="P77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M64" i="20"/>
  <c r="M65" i="20"/>
  <c r="M66" i="20"/>
  <c r="M67" i="20"/>
  <c r="M68" i="20"/>
  <c r="M69" i="20"/>
  <c r="M70" i="20"/>
  <c r="M71" i="20"/>
  <c r="M72" i="20"/>
  <c r="M73" i="20"/>
  <c r="M74" i="20"/>
  <c r="M75" i="20"/>
  <c r="M76" i="20"/>
  <c r="M77" i="20"/>
  <c r="L64" i="20"/>
  <c r="L65" i="20"/>
  <c r="L66" i="20"/>
  <c r="L67" i="20"/>
  <c r="L68" i="20"/>
  <c r="L69" i="20"/>
  <c r="L70" i="20"/>
  <c r="L71" i="20"/>
  <c r="L72" i="20"/>
  <c r="L73" i="20"/>
  <c r="L74" i="20"/>
  <c r="L75" i="20"/>
  <c r="L76" i="20"/>
  <c r="L77" i="20"/>
  <c r="L63" i="20"/>
  <c r="M63" i="20"/>
  <c r="N63" i="20"/>
  <c r="O63" i="20"/>
  <c r="P63" i="20"/>
  <c r="Q63" i="20"/>
  <c r="K64" i="20"/>
  <c r="K65" i="20"/>
  <c r="K66" i="20"/>
  <c r="K67" i="20"/>
  <c r="K68" i="20"/>
  <c r="K69" i="20"/>
  <c r="K70" i="20"/>
  <c r="K71" i="20"/>
  <c r="K72" i="20"/>
  <c r="K73" i="20"/>
  <c r="K74" i="20"/>
  <c r="K75" i="20"/>
  <c r="K76" i="20"/>
  <c r="K63" i="20"/>
  <c r="K58" i="20"/>
  <c r="Q59" i="20"/>
  <c r="Q58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P45" i="20"/>
  <c r="P46" i="20"/>
  <c r="P47" i="20"/>
  <c r="P48" i="20"/>
  <c r="P49" i="20"/>
  <c r="P50" i="20"/>
  <c r="P51" i="20"/>
  <c r="P52" i="20"/>
  <c r="P53" i="20"/>
  <c r="P54" i="20"/>
  <c r="P55" i="20"/>
  <c r="P56" i="20"/>
  <c r="P57" i="20"/>
  <c r="P58" i="20"/>
  <c r="O57" i="20"/>
  <c r="O58" i="20"/>
  <c r="O52" i="20"/>
  <c r="O53" i="20"/>
  <c r="O54" i="20"/>
  <c r="O55" i="20"/>
  <c r="O56" i="20"/>
  <c r="O45" i="20"/>
  <c r="O46" i="20"/>
  <c r="O47" i="20"/>
  <c r="O48" i="20"/>
  <c r="O49" i="20"/>
  <c r="O50" i="20"/>
  <c r="O51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M45" i="20"/>
  <c r="M46" i="20"/>
  <c r="M47" i="20"/>
  <c r="M48" i="20"/>
  <c r="M49" i="20"/>
  <c r="M50" i="20"/>
  <c r="M51" i="20"/>
  <c r="M52" i="20"/>
  <c r="M53" i="20"/>
  <c r="M54" i="20"/>
  <c r="M55" i="20"/>
  <c r="M56" i="20"/>
  <c r="M57" i="20"/>
  <c r="M58" i="20"/>
  <c r="M44" i="20"/>
  <c r="N44" i="20"/>
  <c r="O44" i="20"/>
  <c r="P44" i="20"/>
  <c r="Q44" i="20"/>
  <c r="L45" i="20"/>
  <c r="L46" i="20"/>
  <c r="L47" i="20"/>
  <c r="L48" i="20"/>
  <c r="L49" i="20"/>
  <c r="L50" i="20"/>
  <c r="L51" i="20"/>
  <c r="L52" i="20"/>
  <c r="L53" i="20"/>
  <c r="L54" i="20"/>
  <c r="L55" i="20"/>
  <c r="L56" i="20"/>
  <c r="L57" i="20"/>
  <c r="L58" i="20"/>
  <c r="L44" i="20"/>
  <c r="K53" i="20"/>
  <c r="K54" i="20"/>
  <c r="K55" i="20"/>
  <c r="K56" i="20"/>
  <c r="K57" i="20"/>
  <c r="K45" i="20"/>
  <c r="K46" i="20"/>
  <c r="K47" i="20"/>
  <c r="K48" i="20"/>
  <c r="K49" i="20"/>
  <c r="K50" i="20"/>
  <c r="K51" i="20"/>
  <c r="K52" i="20"/>
  <c r="K44" i="20"/>
  <c r="K39" i="20"/>
  <c r="H140" i="20"/>
  <c r="H141" i="20"/>
  <c r="H142" i="20"/>
  <c r="H143" i="20"/>
  <c r="H144" i="20"/>
  <c r="H145" i="20"/>
  <c r="H146" i="20"/>
  <c r="H147" i="20"/>
  <c r="H148" i="20"/>
  <c r="H149" i="20"/>
  <c r="H150" i="20"/>
  <c r="H151" i="20"/>
  <c r="H152" i="20"/>
  <c r="H153" i="20"/>
  <c r="H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39" i="20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B153" i="20"/>
  <c r="B139" i="20"/>
  <c r="B135" i="20"/>
  <c r="H121" i="20"/>
  <c r="H122" i="20"/>
  <c r="H123" i="20"/>
  <c r="H124" i="20"/>
  <c r="H125" i="20"/>
  <c r="H126" i="20"/>
  <c r="H127" i="20"/>
  <c r="H128" i="20"/>
  <c r="H129" i="20"/>
  <c r="H130" i="20"/>
  <c r="H131" i="20"/>
  <c r="H132" i="20"/>
  <c r="H133" i="20"/>
  <c r="H134" i="20"/>
  <c r="H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20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01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82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63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44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39" i="20"/>
  <c r="P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39" i="20"/>
  <c r="L25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B25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6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6" i="20"/>
  <c r="K6" i="20"/>
  <c r="B21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7" i="20"/>
  <c r="B20" i="20"/>
  <c r="R46" i="17" l="1"/>
  <c r="R37" i="17"/>
  <c r="R28" i="17"/>
  <c r="R55" i="17"/>
  <c r="T40" i="20"/>
  <c r="K78" i="20"/>
  <c r="B154" i="20"/>
  <c r="B78" i="20"/>
  <c r="B59" i="20"/>
  <c r="K21" i="20"/>
  <c r="R32" i="18"/>
  <c r="D29" i="18"/>
  <c r="D28" i="18"/>
  <c r="D27" i="18"/>
  <c r="C22" i="18"/>
  <c r="R12" i="18"/>
  <c r="O12" i="18"/>
  <c r="C2" i="18"/>
  <c r="D58" i="17" l="1"/>
  <c r="C27" i="17"/>
  <c r="K19" i="17"/>
  <c r="K28" i="17"/>
  <c r="K37" i="17"/>
  <c r="K10" i="17"/>
  <c r="K55" i="17"/>
  <c r="J18" i="17"/>
  <c r="J54" i="17"/>
  <c r="J36" i="17"/>
  <c r="J27" i="17"/>
  <c r="BT103" i="17"/>
  <c r="BT102" i="17"/>
  <c r="BT87" i="17"/>
  <c r="BT86" i="17"/>
  <c r="BT85" i="17"/>
  <c r="BT70" i="17"/>
  <c r="BT69" i="17"/>
  <c r="BT68" i="17"/>
  <c r="BT53" i="17"/>
  <c r="BT52" i="17"/>
  <c r="BT51" i="17"/>
  <c r="BT36" i="17"/>
  <c r="BT35" i="17"/>
  <c r="BT34" i="17"/>
  <c r="BT42" i="17"/>
  <c r="BT59" i="17" s="1"/>
  <c r="BT41" i="17"/>
  <c r="BT58" i="17" s="1"/>
  <c r="BT40" i="17"/>
  <c r="BT39" i="17"/>
  <c r="BT56" i="17" s="1"/>
  <c r="BT38" i="17"/>
  <c r="BT55" i="17" s="1"/>
  <c r="BT19" i="17"/>
  <c r="BT18" i="17"/>
  <c r="BT17" i="17"/>
  <c r="BT2" i="17"/>
  <c r="C9" i="20"/>
  <c r="E11" i="20"/>
  <c r="G13" i="20"/>
  <c r="B16" i="20"/>
  <c r="D18" i="20"/>
  <c r="F20" i="20"/>
  <c r="F21" i="20" s="1"/>
  <c r="H26" i="20"/>
  <c r="C29" i="20"/>
  <c r="E31" i="20"/>
  <c r="G33" i="20"/>
  <c r="B36" i="20"/>
  <c r="D38" i="20"/>
  <c r="BA306" i="21"/>
  <c r="AZ306" i="21"/>
  <c r="AY306" i="21"/>
  <c r="AU306" i="21"/>
  <c r="AR306" i="21"/>
  <c r="AQ306" i="21"/>
  <c r="AP306" i="21"/>
  <c r="AL306" i="21"/>
  <c r="AI306" i="21"/>
  <c r="AH306" i="21"/>
  <c r="AG306" i="21"/>
  <c r="AC306" i="21"/>
  <c r="Z306" i="21"/>
  <c r="Y306" i="21"/>
  <c r="X306" i="21"/>
  <c r="T306" i="21"/>
  <c r="Q306" i="21"/>
  <c r="P306" i="21"/>
  <c r="O306" i="21"/>
  <c r="K306" i="21"/>
  <c r="H306" i="21"/>
  <c r="G306" i="21"/>
  <c r="F306" i="21"/>
  <c r="B306" i="21"/>
  <c r="BA287" i="21"/>
  <c r="AZ287" i="21"/>
  <c r="AY287" i="21"/>
  <c r="AU287" i="21"/>
  <c r="AR287" i="21"/>
  <c r="AQ287" i="21"/>
  <c r="AP287" i="21"/>
  <c r="AL287" i="21"/>
  <c r="AI287" i="21"/>
  <c r="AH287" i="21"/>
  <c r="AG287" i="21"/>
  <c r="AC287" i="21"/>
  <c r="Z287" i="21"/>
  <c r="Y287" i="21"/>
  <c r="X287" i="21"/>
  <c r="T287" i="21"/>
  <c r="Q287" i="21"/>
  <c r="P287" i="21"/>
  <c r="O287" i="21"/>
  <c r="K287" i="21"/>
  <c r="H287" i="21"/>
  <c r="G287" i="21"/>
  <c r="F287" i="21"/>
  <c r="B287" i="21"/>
  <c r="BA268" i="21"/>
  <c r="AZ268" i="21"/>
  <c r="AY268" i="21"/>
  <c r="AU268" i="21"/>
  <c r="AR268" i="21"/>
  <c r="AQ268" i="21"/>
  <c r="AP268" i="21"/>
  <c r="AL268" i="21"/>
  <c r="AI268" i="21"/>
  <c r="AH268" i="21"/>
  <c r="AG268" i="21"/>
  <c r="AC268" i="21"/>
  <c r="Z268" i="21"/>
  <c r="Y268" i="21"/>
  <c r="X268" i="21"/>
  <c r="T268" i="21"/>
  <c r="Q268" i="21"/>
  <c r="P268" i="21"/>
  <c r="O268" i="21"/>
  <c r="K268" i="21"/>
  <c r="H268" i="21"/>
  <c r="G268" i="21"/>
  <c r="F268" i="21"/>
  <c r="B268" i="21"/>
  <c r="BA249" i="21"/>
  <c r="AZ249" i="21"/>
  <c r="AY249" i="21"/>
  <c r="AU249" i="21"/>
  <c r="AR249" i="21"/>
  <c r="AQ249" i="21"/>
  <c r="AP249" i="21"/>
  <c r="AL249" i="21"/>
  <c r="AI249" i="21"/>
  <c r="AH249" i="21"/>
  <c r="AG249" i="21"/>
  <c r="AC249" i="21"/>
  <c r="Z249" i="21"/>
  <c r="Y249" i="21"/>
  <c r="X249" i="21"/>
  <c r="T249" i="21"/>
  <c r="Q249" i="21"/>
  <c r="P249" i="21"/>
  <c r="O249" i="21"/>
  <c r="K249" i="21"/>
  <c r="H249" i="21"/>
  <c r="G249" i="21"/>
  <c r="F249" i="21"/>
  <c r="B249" i="21"/>
  <c r="BA230" i="21"/>
  <c r="AZ230" i="21"/>
  <c r="AY230" i="21"/>
  <c r="AU230" i="21"/>
  <c r="AR230" i="21"/>
  <c r="AQ230" i="21"/>
  <c r="AP230" i="21"/>
  <c r="AL230" i="21"/>
  <c r="AI230" i="21"/>
  <c r="AH230" i="21"/>
  <c r="AG230" i="21"/>
  <c r="AC230" i="21"/>
  <c r="Z230" i="21"/>
  <c r="Y230" i="21"/>
  <c r="X230" i="21"/>
  <c r="T230" i="21"/>
  <c r="Q230" i="21"/>
  <c r="P230" i="21"/>
  <c r="O230" i="21"/>
  <c r="K230" i="21"/>
  <c r="H230" i="21"/>
  <c r="G230" i="21"/>
  <c r="F230" i="21"/>
  <c r="B230" i="21"/>
  <c r="BA211" i="21"/>
  <c r="AZ211" i="21"/>
  <c r="AY211" i="21"/>
  <c r="AU211" i="21"/>
  <c r="AR211" i="21"/>
  <c r="AQ211" i="21"/>
  <c r="AP211" i="21"/>
  <c r="AL211" i="21"/>
  <c r="AI211" i="21"/>
  <c r="AH211" i="21"/>
  <c r="AG211" i="21"/>
  <c r="AC211" i="21"/>
  <c r="Z211" i="21"/>
  <c r="Y211" i="21"/>
  <c r="X211" i="21"/>
  <c r="T211" i="21"/>
  <c r="Q211" i="21"/>
  <c r="P211" i="21"/>
  <c r="O211" i="21"/>
  <c r="K211" i="21"/>
  <c r="H211" i="21"/>
  <c r="G211" i="21"/>
  <c r="F211" i="21"/>
  <c r="B211" i="21"/>
  <c r="BA192" i="21"/>
  <c r="AZ192" i="21"/>
  <c r="AY192" i="21"/>
  <c r="AU192" i="21"/>
  <c r="AR192" i="21"/>
  <c r="AQ192" i="21"/>
  <c r="AP192" i="21"/>
  <c r="AL192" i="21"/>
  <c r="AI192" i="21"/>
  <c r="AH192" i="21"/>
  <c r="AG192" i="21"/>
  <c r="AC192" i="21"/>
  <c r="Z192" i="21"/>
  <c r="Y192" i="21"/>
  <c r="X192" i="21"/>
  <c r="T192" i="21"/>
  <c r="Q192" i="21"/>
  <c r="P192" i="21"/>
  <c r="O192" i="21"/>
  <c r="K192" i="21"/>
  <c r="H192" i="21"/>
  <c r="G192" i="21"/>
  <c r="F192" i="21"/>
  <c r="B192" i="21"/>
  <c r="BA173" i="21"/>
  <c r="AZ173" i="21"/>
  <c r="AY173" i="21"/>
  <c r="AU173" i="21"/>
  <c r="AR173" i="21"/>
  <c r="AQ173" i="21"/>
  <c r="AP173" i="21"/>
  <c r="AL173" i="21"/>
  <c r="AI173" i="21"/>
  <c r="AH173" i="21"/>
  <c r="AG173" i="21"/>
  <c r="AC173" i="21"/>
  <c r="Z173" i="21"/>
  <c r="Y173" i="21"/>
  <c r="X173" i="21"/>
  <c r="T173" i="21"/>
  <c r="Q173" i="21"/>
  <c r="P173" i="21"/>
  <c r="O173" i="21"/>
  <c r="K173" i="21"/>
  <c r="H173" i="21"/>
  <c r="G173" i="21"/>
  <c r="F173" i="21"/>
  <c r="B173" i="21"/>
  <c r="AT1" i="21"/>
  <c r="AK1" i="21"/>
  <c r="AB1" i="21"/>
  <c r="S1" i="21"/>
  <c r="J1" i="21"/>
  <c r="A1" i="21"/>
  <c r="AQ154" i="21"/>
  <c r="AP154" i="21"/>
  <c r="AG154" i="21"/>
  <c r="Z154" i="21"/>
  <c r="BY42" i="17" s="1"/>
  <c r="BA154" i="21"/>
  <c r="AZ154" i="21"/>
  <c r="AY154" i="21"/>
  <c r="AR154" i="21"/>
  <c r="AI154" i="21"/>
  <c r="AH154" i="21"/>
  <c r="Y154" i="21"/>
  <c r="X154" i="21"/>
  <c r="Q154" i="21"/>
  <c r="P154" i="21"/>
  <c r="O154" i="21"/>
  <c r="H154" i="21"/>
  <c r="BY8" i="17" s="1"/>
  <c r="G154" i="21"/>
  <c r="F154" i="21"/>
  <c r="T154" i="21"/>
  <c r="AU154" i="21"/>
  <c r="AL154" i="21"/>
  <c r="AC154" i="21"/>
  <c r="K154" i="21"/>
  <c r="B154" i="21"/>
  <c r="BA135" i="21"/>
  <c r="AZ135" i="21"/>
  <c r="AH135" i="21"/>
  <c r="X135" i="21"/>
  <c r="Q135" i="21"/>
  <c r="P135" i="21"/>
  <c r="AY135" i="21"/>
  <c r="AR135" i="21"/>
  <c r="AQ135" i="21"/>
  <c r="AP135" i="21"/>
  <c r="AI135" i="21"/>
  <c r="AG135" i="21"/>
  <c r="Z135" i="21"/>
  <c r="Y135" i="21"/>
  <c r="O135" i="21"/>
  <c r="H135" i="21"/>
  <c r="G135" i="21"/>
  <c r="F135" i="21"/>
  <c r="AU135" i="21"/>
  <c r="AL135" i="21"/>
  <c r="AC135" i="21"/>
  <c r="T135" i="21"/>
  <c r="K135" i="21"/>
  <c r="B135" i="21"/>
  <c r="BA116" i="21"/>
  <c r="AZ116" i="21"/>
  <c r="AY116" i="21"/>
  <c r="Q116" i="21"/>
  <c r="P116" i="21"/>
  <c r="O116" i="21"/>
  <c r="AR116" i="21"/>
  <c r="AQ116" i="21"/>
  <c r="AP116" i="21"/>
  <c r="AI116" i="21"/>
  <c r="AH116" i="21"/>
  <c r="AG116" i="21"/>
  <c r="Z116" i="21"/>
  <c r="Y116" i="21"/>
  <c r="X116" i="21"/>
  <c r="H116" i="21"/>
  <c r="G116" i="21"/>
  <c r="F116" i="21"/>
  <c r="AU116" i="21"/>
  <c r="AL116" i="21"/>
  <c r="AC116" i="21"/>
  <c r="T116" i="21"/>
  <c r="K116" i="21"/>
  <c r="B116" i="21"/>
  <c r="AR97" i="21"/>
  <c r="AQ97" i="21"/>
  <c r="Y97" i="21"/>
  <c r="H97" i="21"/>
  <c r="G97" i="21"/>
  <c r="BA97" i="21"/>
  <c r="BY90" i="17" s="1"/>
  <c r="AZ97" i="21"/>
  <c r="AY97" i="21"/>
  <c r="AP97" i="21"/>
  <c r="AI97" i="21"/>
  <c r="AH97" i="21"/>
  <c r="AG97" i="21"/>
  <c r="Z97" i="21"/>
  <c r="X97" i="21"/>
  <c r="Q97" i="21"/>
  <c r="P97" i="21"/>
  <c r="O97" i="21"/>
  <c r="F97" i="21"/>
  <c r="AU97" i="21"/>
  <c r="AL97" i="21"/>
  <c r="AC97" i="21"/>
  <c r="T97" i="21"/>
  <c r="K97" i="21"/>
  <c r="B97" i="21"/>
  <c r="AQ78" i="21"/>
  <c r="AP78" i="21"/>
  <c r="G78" i="21"/>
  <c r="F78" i="21"/>
  <c r="BA78" i="21"/>
  <c r="AZ78" i="21"/>
  <c r="AY78" i="21"/>
  <c r="AR78" i="21"/>
  <c r="AI78" i="21"/>
  <c r="AH78" i="21"/>
  <c r="AG78" i="21"/>
  <c r="Z78" i="21"/>
  <c r="Y78" i="21"/>
  <c r="X78" i="21"/>
  <c r="Q78" i="21"/>
  <c r="P78" i="21"/>
  <c r="O78" i="21"/>
  <c r="H78" i="21"/>
  <c r="B78" i="21"/>
  <c r="BW4" i="17" s="1"/>
  <c r="AL78" i="21"/>
  <c r="AU78" i="21"/>
  <c r="AC78" i="21"/>
  <c r="T78" i="21"/>
  <c r="K78" i="21"/>
  <c r="AI59" i="21"/>
  <c r="BY57" i="17" s="1"/>
  <c r="AH59" i="21"/>
  <c r="P59" i="21"/>
  <c r="BA59" i="21"/>
  <c r="AZ59" i="21"/>
  <c r="AY59" i="21"/>
  <c r="AR59" i="21"/>
  <c r="AQ59" i="21"/>
  <c r="AP59" i="21"/>
  <c r="AG59" i="21"/>
  <c r="Z59" i="21"/>
  <c r="Y59" i="21"/>
  <c r="X59" i="21"/>
  <c r="Q59" i="21"/>
  <c r="O59" i="21"/>
  <c r="H59" i="21"/>
  <c r="G59" i="21"/>
  <c r="F59" i="21"/>
  <c r="AU59" i="21"/>
  <c r="AL59" i="21"/>
  <c r="AC59" i="21"/>
  <c r="T59" i="21"/>
  <c r="K59" i="21"/>
  <c r="B59" i="21"/>
  <c r="AG40" i="21"/>
  <c r="BA40" i="21"/>
  <c r="AZ40" i="21"/>
  <c r="AY40" i="21"/>
  <c r="AI40" i="21"/>
  <c r="AH40" i="21"/>
  <c r="Z40" i="21"/>
  <c r="Y40" i="21"/>
  <c r="X40" i="21"/>
  <c r="Q40" i="21"/>
  <c r="P40" i="21"/>
  <c r="O40" i="21"/>
  <c r="H40" i="21"/>
  <c r="G40" i="21"/>
  <c r="F40" i="21"/>
  <c r="AC40" i="21"/>
  <c r="AU40" i="21"/>
  <c r="T40" i="21"/>
  <c r="K40" i="21"/>
  <c r="B40" i="21"/>
  <c r="AQ21" i="21"/>
  <c r="Y21" i="21"/>
  <c r="BA21" i="21"/>
  <c r="AZ21" i="21"/>
  <c r="AY21" i="21"/>
  <c r="AR21" i="21"/>
  <c r="AP21" i="21"/>
  <c r="AI21" i="21"/>
  <c r="AH21" i="21"/>
  <c r="AG21" i="21"/>
  <c r="Z21" i="21"/>
  <c r="X21" i="21"/>
  <c r="Q21" i="21"/>
  <c r="P21" i="21"/>
  <c r="O21" i="21"/>
  <c r="H21" i="21"/>
  <c r="G21" i="21"/>
  <c r="F21" i="21"/>
  <c r="AU21" i="21"/>
  <c r="AL21" i="21"/>
  <c r="AC21" i="21"/>
  <c r="T21" i="21"/>
  <c r="K21" i="21"/>
  <c r="B21" i="21"/>
  <c r="AT2" i="21"/>
  <c r="AK2" i="21"/>
  <c r="AB2" i="21"/>
  <c r="S2" i="21"/>
  <c r="J2" i="21"/>
  <c r="A2" i="21"/>
  <c r="B55" i="17"/>
  <c r="B54" i="17"/>
  <c r="B47" i="17"/>
  <c r="B46" i="17"/>
  <c r="B45" i="17"/>
  <c r="B38" i="17"/>
  <c r="B37" i="17"/>
  <c r="B36" i="17"/>
  <c r="B29" i="17"/>
  <c r="B28" i="17"/>
  <c r="B27" i="17"/>
  <c r="B20" i="17"/>
  <c r="B19" i="17"/>
  <c r="B18" i="17"/>
  <c r="B11" i="17"/>
  <c r="B10" i="17"/>
  <c r="B9" i="17"/>
  <c r="B2" i="17"/>
  <c r="F154" i="20"/>
  <c r="G154" i="20"/>
  <c r="F135" i="20"/>
  <c r="G135" i="20"/>
  <c r="F116" i="20"/>
  <c r="F97" i="20"/>
  <c r="F78" i="20"/>
  <c r="F59" i="20"/>
  <c r="B26" i="20"/>
  <c r="C26" i="20"/>
  <c r="D26" i="20"/>
  <c r="E26" i="20"/>
  <c r="F26" i="20"/>
  <c r="G26" i="20"/>
  <c r="B27" i="20"/>
  <c r="C27" i="20"/>
  <c r="D27" i="20"/>
  <c r="E27" i="20"/>
  <c r="F27" i="20"/>
  <c r="G27" i="20"/>
  <c r="H27" i="20"/>
  <c r="B28" i="20"/>
  <c r="C28" i="20"/>
  <c r="D28" i="20"/>
  <c r="E28" i="20"/>
  <c r="F28" i="20"/>
  <c r="G28" i="20"/>
  <c r="H28" i="20"/>
  <c r="B29" i="20"/>
  <c r="D29" i="20"/>
  <c r="E29" i="20"/>
  <c r="F29" i="20"/>
  <c r="G29" i="20"/>
  <c r="H29" i="20"/>
  <c r="B30" i="20"/>
  <c r="C30" i="20"/>
  <c r="D30" i="20"/>
  <c r="E30" i="20"/>
  <c r="F30" i="20"/>
  <c r="G30" i="20"/>
  <c r="H30" i="20"/>
  <c r="B31" i="20"/>
  <c r="C31" i="20"/>
  <c r="D31" i="20"/>
  <c r="F31" i="20"/>
  <c r="G31" i="20"/>
  <c r="H31" i="20"/>
  <c r="B32" i="20"/>
  <c r="C32" i="20"/>
  <c r="D32" i="20"/>
  <c r="E32" i="20"/>
  <c r="F32" i="20"/>
  <c r="G32" i="20"/>
  <c r="H32" i="20"/>
  <c r="B33" i="20"/>
  <c r="C33" i="20"/>
  <c r="D33" i="20"/>
  <c r="E33" i="20"/>
  <c r="F33" i="20"/>
  <c r="H33" i="20"/>
  <c r="B34" i="20"/>
  <c r="C34" i="20"/>
  <c r="D34" i="20"/>
  <c r="E34" i="20"/>
  <c r="F34" i="20"/>
  <c r="G34" i="20"/>
  <c r="H34" i="20"/>
  <c r="B35" i="20"/>
  <c r="C35" i="20"/>
  <c r="D35" i="20"/>
  <c r="E35" i="20"/>
  <c r="F35" i="20"/>
  <c r="G35" i="20"/>
  <c r="H35" i="20"/>
  <c r="C36" i="20"/>
  <c r="D36" i="20"/>
  <c r="E36" i="20"/>
  <c r="F36" i="20"/>
  <c r="G36" i="20"/>
  <c r="H36" i="20"/>
  <c r="B37" i="20"/>
  <c r="C37" i="20"/>
  <c r="D37" i="20"/>
  <c r="E37" i="20"/>
  <c r="F37" i="20"/>
  <c r="G37" i="20"/>
  <c r="H37" i="20"/>
  <c r="B38" i="20"/>
  <c r="C38" i="20"/>
  <c r="E38" i="20"/>
  <c r="F38" i="20"/>
  <c r="G38" i="20"/>
  <c r="H38" i="20"/>
  <c r="B39" i="20"/>
  <c r="C39" i="20"/>
  <c r="D39" i="20"/>
  <c r="E39" i="20"/>
  <c r="F39" i="20"/>
  <c r="F40" i="20" s="1"/>
  <c r="G39" i="20"/>
  <c r="H39" i="20"/>
  <c r="H40" i="20" s="1"/>
  <c r="C25" i="20"/>
  <c r="D25" i="20"/>
  <c r="E25" i="20"/>
  <c r="F25" i="20"/>
  <c r="G25" i="20"/>
  <c r="H25" i="20"/>
  <c r="B7" i="20"/>
  <c r="C7" i="20"/>
  <c r="D7" i="20"/>
  <c r="E7" i="20"/>
  <c r="F7" i="20"/>
  <c r="G7" i="20"/>
  <c r="H7" i="20"/>
  <c r="B8" i="20"/>
  <c r="C8" i="20"/>
  <c r="D8" i="20"/>
  <c r="E8" i="20"/>
  <c r="F8" i="20"/>
  <c r="G8" i="20"/>
  <c r="H8" i="20"/>
  <c r="B9" i="20"/>
  <c r="D9" i="20"/>
  <c r="E9" i="20"/>
  <c r="F9" i="20"/>
  <c r="G9" i="20"/>
  <c r="H9" i="20"/>
  <c r="B10" i="20"/>
  <c r="C10" i="20"/>
  <c r="D10" i="20"/>
  <c r="E10" i="20"/>
  <c r="F10" i="20"/>
  <c r="G10" i="20"/>
  <c r="H10" i="20"/>
  <c r="B11" i="20"/>
  <c r="C11" i="20"/>
  <c r="D11" i="20"/>
  <c r="F11" i="20"/>
  <c r="G11" i="20"/>
  <c r="H11" i="20"/>
  <c r="B12" i="20"/>
  <c r="C12" i="20"/>
  <c r="D12" i="20"/>
  <c r="E12" i="20"/>
  <c r="F12" i="20"/>
  <c r="G12" i="20"/>
  <c r="H12" i="20"/>
  <c r="B13" i="20"/>
  <c r="C13" i="20"/>
  <c r="D13" i="20"/>
  <c r="E13" i="20"/>
  <c r="F13" i="20"/>
  <c r="H13" i="20"/>
  <c r="B14" i="20"/>
  <c r="C14" i="20"/>
  <c r="D14" i="20"/>
  <c r="E14" i="20"/>
  <c r="F14" i="20"/>
  <c r="G14" i="20"/>
  <c r="H14" i="20"/>
  <c r="B15" i="20"/>
  <c r="C15" i="20"/>
  <c r="D15" i="20"/>
  <c r="E15" i="20"/>
  <c r="F15" i="20"/>
  <c r="G15" i="20"/>
  <c r="H15" i="20"/>
  <c r="C16" i="20"/>
  <c r="D16" i="20"/>
  <c r="E16" i="20"/>
  <c r="F16" i="20"/>
  <c r="G16" i="20"/>
  <c r="H16" i="20"/>
  <c r="B17" i="20"/>
  <c r="C17" i="20"/>
  <c r="D17" i="20"/>
  <c r="E17" i="20"/>
  <c r="F17" i="20"/>
  <c r="G17" i="20"/>
  <c r="H17" i="20"/>
  <c r="B18" i="20"/>
  <c r="C18" i="20"/>
  <c r="E18" i="20"/>
  <c r="F18" i="20"/>
  <c r="G18" i="20"/>
  <c r="H18" i="20"/>
  <c r="B19" i="20"/>
  <c r="C19" i="20"/>
  <c r="D19" i="20"/>
  <c r="E19" i="20"/>
  <c r="F19" i="20"/>
  <c r="G19" i="20"/>
  <c r="H19" i="20"/>
  <c r="C20" i="20"/>
  <c r="D20" i="20"/>
  <c r="E20" i="20"/>
  <c r="G20" i="20"/>
  <c r="G21" i="20" s="1"/>
  <c r="H20" i="20"/>
  <c r="H21" i="20" s="1"/>
  <c r="C6" i="20"/>
  <c r="D6" i="20"/>
  <c r="E6" i="20"/>
  <c r="F6" i="20"/>
  <c r="G6" i="20"/>
  <c r="H6" i="20"/>
  <c r="AT1" i="20"/>
  <c r="AK1" i="20"/>
  <c r="AB1" i="20"/>
  <c r="S1" i="20"/>
  <c r="J1" i="20"/>
  <c r="A1" i="20"/>
  <c r="AQ154" i="20"/>
  <c r="AP154" i="20"/>
  <c r="AI154" i="20"/>
  <c r="AH154" i="20"/>
  <c r="AG154" i="20"/>
  <c r="BA154" i="20"/>
  <c r="AZ154" i="20"/>
  <c r="AY154" i="20"/>
  <c r="AR154" i="20"/>
  <c r="Z154" i="20"/>
  <c r="Y154" i="20"/>
  <c r="X154" i="20"/>
  <c r="Q154" i="20"/>
  <c r="P154" i="20"/>
  <c r="O154" i="20"/>
  <c r="H154" i="20"/>
  <c r="G8" i="17" s="1"/>
  <c r="T154" i="20"/>
  <c r="AU154" i="20"/>
  <c r="AL154" i="20"/>
  <c r="AC154" i="20"/>
  <c r="K154" i="20"/>
  <c r="BA135" i="20"/>
  <c r="AZ135" i="20"/>
  <c r="AG135" i="20"/>
  <c r="Q135" i="20"/>
  <c r="P135" i="20"/>
  <c r="AY135" i="20"/>
  <c r="AR135" i="20"/>
  <c r="AQ135" i="20"/>
  <c r="AP135" i="20"/>
  <c r="AI135" i="20"/>
  <c r="AH135" i="20"/>
  <c r="Z135" i="20"/>
  <c r="Y135" i="20"/>
  <c r="X135" i="20"/>
  <c r="O135" i="20"/>
  <c r="H135" i="20"/>
  <c r="AU135" i="20"/>
  <c r="AL135" i="20"/>
  <c r="AC135" i="20"/>
  <c r="T135" i="20"/>
  <c r="K135" i="20"/>
  <c r="AZ116" i="20"/>
  <c r="AY116" i="20"/>
  <c r="P116" i="20"/>
  <c r="O116" i="20"/>
  <c r="BA116" i="20"/>
  <c r="AR116" i="20"/>
  <c r="AQ116" i="20"/>
  <c r="AP116" i="20"/>
  <c r="AI116" i="20"/>
  <c r="AH116" i="20"/>
  <c r="AG116" i="20"/>
  <c r="F35" i="17" s="1"/>
  <c r="Z116" i="20"/>
  <c r="G25" i="17" s="1"/>
  <c r="Y116" i="20"/>
  <c r="X116" i="20"/>
  <c r="Q116" i="20"/>
  <c r="H116" i="20"/>
  <c r="G116" i="20"/>
  <c r="AU116" i="20"/>
  <c r="AL116" i="20"/>
  <c r="AC116" i="20"/>
  <c r="T116" i="20"/>
  <c r="K116" i="20"/>
  <c r="AR97" i="20"/>
  <c r="AQ97" i="20"/>
  <c r="H97" i="20"/>
  <c r="G97" i="20"/>
  <c r="BA97" i="20"/>
  <c r="AZ97" i="20"/>
  <c r="AY97" i="20"/>
  <c r="AP97" i="20"/>
  <c r="AI97" i="20"/>
  <c r="AH97" i="20"/>
  <c r="AG97" i="20"/>
  <c r="Z97" i="20"/>
  <c r="Y97" i="20"/>
  <c r="X97" i="20"/>
  <c r="F25" i="17" s="1"/>
  <c r="Q97" i="20"/>
  <c r="P97" i="20"/>
  <c r="O97" i="20"/>
  <c r="AU97" i="20"/>
  <c r="AL97" i="20"/>
  <c r="AC97" i="20"/>
  <c r="T97" i="20"/>
  <c r="K97" i="20"/>
  <c r="AP78" i="20"/>
  <c r="BA78" i="20"/>
  <c r="AZ78" i="20"/>
  <c r="AY78" i="20"/>
  <c r="AR78" i="20"/>
  <c r="AQ78" i="20"/>
  <c r="AI78" i="20"/>
  <c r="AH78" i="20"/>
  <c r="AG78" i="20"/>
  <c r="F34" i="17" s="1"/>
  <c r="Z78" i="20"/>
  <c r="Y78" i="20"/>
  <c r="X78" i="20"/>
  <c r="Q78" i="20"/>
  <c r="G16" i="17" s="1"/>
  <c r="P78" i="20"/>
  <c r="O78" i="20"/>
  <c r="H78" i="20"/>
  <c r="G6" i="17" s="1"/>
  <c r="G78" i="20"/>
  <c r="AL78" i="20"/>
  <c r="AU78" i="20"/>
  <c r="AC78" i="20"/>
  <c r="T78" i="20"/>
  <c r="AI59" i="20"/>
  <c r="AH59" i="20"/>
  <c r="BA59" i="20"/>
  <c r="G51" i="17" s="1"/>
  <c r="AZ59" i="20"/>
  <c r="AY59" i="20"/>
  <c r="AR59" i="20"/>
  <c r="AQ59" i="20"/>
  <c r="AP59" i="20"/>
  <c r="AG59" i="20"/>
  <c r="F33" i="17" s="1"/>
  <c r="Z59" i="20"/>
  <c r="Y59" i="20"/>
  <c r="X59" i="20"/>
  <c r="G15" i="17"/>
  <c r="P59" i="20"/>
  <c r="O59" i="20"/>
  <c r="H59" i="20"/>
  <c r="G59" i="20"/>
  <c r="AU59" i="20"/>
  <c r="AL59" i="20"/>
  <c r="AC59" i="20"/>
  <c r="T59" i="20"/>
  <c r="K59" i="20"/>
  <c r="AG40" i="20"/>
  <c r="BA40" i="20"/>
  <c r="G50" i="17" s="1"/>
  <c r="AZ40" i="20"/>
  <c r="AY40" i="20"/>
  <c r="AR40" i="20"/>
  <c r="AQ40" i="20"/>
  <c r="AP40" i="20"/>
  <c r="AI40" i="20"/>
  <c r="G32" i="17" s="1"/>
  <c r="AH40" i="20"/>
  <c r="Z40" i="20"/>
  <c r="Y40" i="20"/>
  <c r="X40" i="20"/>
  <c r="Q40" i="20"/>
  <c r="P40" i="20"/>
  <c r="O40" i="20"/>
  <c r="G40" i="20"/>
  <c r="AC40" i="20"/>
  <c r="AU40" i="20"/>
  <c r="AL40" i="20"/>
  <c r="K40" i="20"/>
  <c r="BA21" i="20"/>
  <c r="G49" i="17" s="1"/>
  <c r="AG21" i="20"/>
  <c r="F31" i="17" s="1"/>
  <c r="Y21" i="20"/>
  <c r="O21" i="20"/>
  <c r="AZ21" i="20"/>
  <c r="AY21" i="20"/>
  <c r="F49" i="17" s="1"/>
  <c r="AR21" i="20"/>
  <c r="AQ21" i="20"/>
  <c r="AP21" i="20"/>
  <c r="AI21" i="20"/>
  <c r="AH21" i="20"/>
  <c r="Z21" i="20"/>
  <c r="X21" i="20"/>
  <c r="Q21" i="20"/>
  <c r="P21" i="20"/>
  <c r="AU21" i="20"/>
  <c r="AL21" i="20"/>
  <c r="AC21" i="20"/>
  <c r="T21" i="20"/>
  <c r="AT2" i="20"/>
  <c r="AK2" i="20"/>
  <c r="AB2" i="20"/>
  <c r="S2" i="20"/>
  <c r="J2" i="20"/>
  <c r="A2" i="20"/>
  <c r="D55" i="17" l="1"/>
  <c r="D28" i="17"/>
  <c r="BX5" i="17"/>
  <c r="BX4" i="17"/>
  <c r="BV4" i="17"/>
  <c r="C54" i="17"/>
  <c r="C18" i="17"/>
  <c r="D46" i="17"/>
  <c r="D19" i="17"/>
  <c r="D10" i="17"/>
  <c r="BY92" i="17"/>
  <c r="BX91" i="17"/>
  <c r="BY89" i="17"/>
  <c r="BX90" i="17"/>
  <c r="BY91" i="17"/>
  <c r="BW90" i="17"/>
  <c r="BW89" i="17"/>
  <c r="BY75" i="17"/>
  <c r="BW75" i="17"/>
  <c r="BX73" i="17"/>
  <c r="BY74" i="17"/>
  <c r="BX75" i="17"/>
  <c r="BX74" i="17"/>
  <c r="BX72" i="17"/>
  <c r="BW73" i="17"/>
  <c r="BY73" i="17"/>
  <c r="BY72" i="17"/>
  <c r="BW74" i="17"/>
  <c r="BY58" i="17"/>
  <c r="BW59" i="17"/>
  <c r="BX58" i="17"/>
  <c r="BX57" i="17"/>
  <c r="BW58" i="17"/>
  <c r="BW57" i="17"/>
  <c r="BY56" i="17"/>
  <c r="BX55" i="17"/>
  <c r="BX56" i="17"/>
  <c r="BW56" i="17"/>
  <c r="BY55" i="17"/>
  <c r="BW55" i="17"/>
  <c r="BW42" i="17"/>
  <c r="BY41" i="17"/>
  <c r="BW41" i="17"/>
  <c r="BY38" i="17"/>
  <c r="BY39" i="17"/>
  <c r="BY40" i="17"/>
  <c r="BW40" i="17"/>
  <c r="BW39" i="17"/>
  <c r="BW38" i="17"/>
  <c r="BX8" i="17"/>
  <c r="BX7" i="17"/>
  <c r="BW8" i="17"/>
  <c r="BY7" i="17"/>
  <c r="BX6" i="17"/>
  <c r="BW7" i="17"/>
  <c r="BY4" i="17"/>
  <c r="BY5" i="17"/>
  <c r="BY6" i="17"/>
  <c r="BW6" i="17"/>
  <c r="BW5" i="17"/>
  <c r="D37" i="17"/>
  <c r="C45" i="17"/>
  <c r="C36" i="17"/>
  <c r="G53" i="17"/>
  <c r="F53" i="17"/>
  <c r="F52" i="17"/>
  <c r="E53" i="17"/>
  <c r="G52" i="17"/>
  <c r="F51" i="17"/>
  <c r="E52" i="17"/>
  <c r="F50" i="17"/>
  <c r="E51" i="17"/>
  <c r="E50" i="17"/>
  <c r="E49" i="17"/>
  <c r="G44" i="17"/>
  <c r="F44" i="17"/>
  <c r="E44" i="17"/>
  <c r="G43" i="17"/>
  <c r="F43" i="17"/>
  <c r="F42" i="17"/>
  <c r="E43" i="17"/>
  <c r="G42" i="17"/>
  <c r="E42" i="17"/>
  <c r="G41" i="17"/>
  <c r="F41" i="17"/>
  <c r="E41" i="17"/>
  <c r="G40" i="17"/>
  <c r="F40" i="17"/>
  <c r="E40" i="17"/>
  <c r="G35" i="17"/>
  <c r="E35" i="17"/>
  <c r="G34" i="17"/>
  <c r="G33" i="17"/>
  <c r="E34" i="17"/>
  <c r="F32" i="17"/>
  <c r="E33" i="17"/>
  <c r="E32" i="17"/>
  <c r="G31" i="17"/>
  <c r="E31" i="17"/>
  <c r="F26" i="17"/>
  <c r="G24" i="17"/>
  <c r="G26" i="17"/>
  <c r="E26" i="17"/>
  <c r="E25" i="17"/>
  <c r="F24" i="17"/>
  <c r="E24" i="17"/>
  <c r="G23" i="17"/>
  <c r="F22" i="17"/>
  <c r="F23" i="17"/>
  <c r="E23" i="17"/>
  <c r="G22" i="17"/>
  <c r="E22" i="17"/>
  <c r="G17" i="17"/>
  <c r="F17" i="17"/>
  <c r="E17" i="17"/>
  <c r="F15" i="17"/>
  <c r="F16" i="17"/>
  <c r="F14" i="17"/>
  <c r="G14" i="17"/>
  <c r="G13" i="17"/>
  <c r="E14" i="17"/>
  <c r="F7" i="17"/>
  <c r="G7" i="17"/>
  <c r="G5" i="17"/>
  <c r="F13" i="17"/>
  <c r="BT106" i="17"/>
  <c r="BT72" i="17"/>
  <c r="BT89" i="17" s="1"/>
  <c r="BT110" i="17"/>
  <c r="BT76" i="17"/>
  <c r="BT93" i="17" s="1"/>
  <c r="BT73" i="17"/>
  <c r="BT90" i="17" s="1"/>
  <c r="BT107" i="17"/>
  <c r="BT75" i="17"/>
  <c r="BT92" i="17" s="1"/>
  <c r="BT109" i="17"/>
  <c r="BT57" i="17"/>
  <c r="F4" i="17"/>
  <c r="F5" i="17"/>
  <c r="F6" i="17"/>
  <c r="F8" i="17"/>
  <c r="B116" i="20"/>
  <c r="G4" i="17"/>
  <c r="B40" i="20"/>
  <c r="B97" i="20"/>
  <c r="BU8" i="17" l="1"/>
  <c r="BV8" i="17"/>
  <c r="BV5" i="17"/>
  <c r="BU5" i="17"/>
  <c r="BU7" i="17"/>
  <c r="BV7" i="17"/>
  <c r="BU6" i="17"/>
  <c r="BV6" i="17"/>
  <c r="BY107" i="17"/>
  <c r="BT108" i="17"/>
  <c r="BT74" i="17"/>
  <c r="E8" i="17"/>
  <c r="E6" i="17"/>
  <c r="E7" i="17"/>
  <c r="BT91" i="17" l="1"/>
  <c r="BM54" i="17" l="1"/>
  <c r="BM53" i="17"/>
  <c r="BF55" i="17"/>
  <c r="BF54" i="17"/>
  <c r="AY55" i="17"/>
  <c r="AY54" i="17"/>
  <c r="AR55" i="17"/>
  <c r="AR54" i="17"/>
  <c r="AK55" i="17"/>
  <c r="AK54" i="17"/>
  <c r="AD55" i="17"/>
  <c r="AD54" i="17"/>
  <c r="W55" i="17"/>
  <c r="W54" i="17"/>
  <c r="P55" i="17"/>
  <c r="P54" i="17"/>
  <c r="BM46" i="17"/>
  <c r="BM45" i="17"/>
  <c r="BF46" i="17"/>
  <c r="BF45" i="17"/>
  <c r="AY46" i="17"/>
  <c r="AY45" i="17"/>
  <c r="AR46" i="17"/>
  <c r="AR45" i="17"/>
  <c r="AK46" i="17"/>
  <c r="AK45" i="17"/>
  <c r="AD46" i="17"/>
  <c r="AD45" i="17"/>
  <c r="W46" i="17"/>
  <c r="W45" i="17"/>
  <c r="P46" i="17"/>
  <c r="P45" i="17"/>
  <c r="I55" i="17"/>
  <c r="I54" i="17"/>
  <c r="I46" i="17"/>
  <c r="I45" i="17"/>
  <c r="AU140" i="9"/>
  <c r="AV140" i="9"/>
  <c r="AW140" i="9"/>
  <c r="AX140" i="9"/>
  <c r="AY140" i="9"/>
  <c r="AZ140" i="9"/>
  <c r="BA140" i="9"/>
  <c r="AU141" i="9"/>
  <c r="AV141" i="9"/>
  <c r="AW141" i="9"/>
  <c r="AX141" i="9"/>
  <c r="AY141" i="9"/>
  <c r="AZ141" i="9"/>
  <c r="BA141" i="9"/>
  <c r="AU142" i="9"/>
  <c r="AV142" i="9"/>
  <c r="AW142" i="9"/>
  <c r="AX142" i="9"/>
  <c r="AY142" i="9"/>
  <c r="AZ142" i="9"/>
  <c r="BA142" i="9"/>
  <c r="AU143" i="9"/>
  <c r="AV143" i="9"/>
  <c r="AW143" i="9"/>
  <c r="AX143" i="9"/>
  <c r="AY143" i="9"/>
  <c r="AZ143" i="9"/>
  <c r="BA143" i="9"/>
  <c r="AU144" i="9"/>
  <c r="AV144" i="9"/>
  <c r="AW144" i="9"/>
  <c r="AX144" i="9"/>
  <c r="AY144" i="9"/>
  <c r="AZ144" i="9"/>
  <c r="BA144" i="9"/>
  <c r="AU145" i="9"/>
  <c r="AV145" i="9"/>
  <c r="AW145" i="9"/>
  <c r="AX145" i="9"/>
  <c r="AY145" i="9"/>
  <c r="AZ145" i="9"/>
  <c r="BA145" i="9"/>
  <c r="AU146" i="9"/>
  <c r="AV146" i="9"/>
  <c r="AW146" i="9"/>
  <c r="AX146" i="9"/>
  <c r="AY146" i="9"/>
  <c r="AZ146" i="9"/>
  <c r="BA146" i="9"/>
  <c r="AU147" i="9"/>
  <c r="AV147" i="9"/>
  <c r="AW147" i="9"/>
  <c r="AX147" i="9"/>
  <c r="AY147" i="9"/>
  <c r="AZ147" i="9"/>
  <c r="BA147" i="9"/>
  <c r="AU148" i="9"/>
  <c r="AV148" i="9"/>
  <c r="AW148" i="9"/>
  <c r="AX148" i="9"/>
  <c r="AY148" i="9"/>
  <c r="AZ148" i="9"/>
  <c r="BA148" i="9"/>
  <c r="AU149" i="9"/>
  <c r="AV149" i="9"/>
  <c r="AW149" i="9"/>
  <c r="AX149" i="9"/>
  <c r="AY149" i="9"/>
  <c r="AZ149" i="9"/>
  <c r="BA149" i="9"/>
  <c r="AU150" i="9"/>
  <c r="AV150" i="9"/>
  <c r="AW150" i="9"/>
  <c r="AX150" i="9"/>
  <c r="AY150" i="9"/>
  <c r="AZ150" i="9"/>
  <c r="BA150" i="9"/>
  <c r="AU151" i="9"/>
  <c r="AV151" i="9"/>
  <c r="AW151" i="9"/>
  <c r="AX151" i="9"/>
  <c r="AY151" i="9"/>
  <c r="AZ151" i="9"/>
  <c r="BA151" i="9"/>
  <c r="AU152" i="9"/>
  <c r="AV152" i="9"/>
  <c r="AW152" i="9"/>
  <c r="AX152" i="9"/>
  <c r="AY152" i="9"/>
  <c r="AZ152" i="9"/>
  <c r="BA152" i="9"/>
  <c r="AU153" i="9"/>
  <c r="AV153" i="9"/>
  <c r="AW153" i="9"/>
  <c r="AX153" i="9"/>
  <c r="AY153" i="9"/>
  <c r="AZ153" i="9"/>
  <c r="BA153" i="9"/>
  <c r="AV139" i="9"/>
  <c r="AW139" i="9"/>
  <c r="AX139" i="9"/>
  <c r="AY139" i="9"/>
  <c r="AZ139" i="9"/>
  <c r="BA139" i="9"/>
  <c r="AU139" i="9"/>
  <c r="AU121" i="9"/>
  <c r="AV121" i="9"/>
  <c r="AW121" i="9"/>
  <c r="AX121" i="9"/>
  <c r="AY121" i="9"/>
  <c r="AZ121" i="9"/>
  <c r="BA121" i="9"/>
  <c r="AU122" i="9"/>
  <c r="AV122" i="9"/>
  <c r="AW122" i="9"/>
  <c r="AX122" i="9"/>
  <c r="AY122" i="9"/>
  <c r="AZ122" i="9"/>
  <c r="BA122" i="9"/>
  <c r="AU123" i="9"/>
  <c r="AV123" i="9"/>
  <c r="AW123" i="9"/>
  <c r="AX123" i="9"/>
  <c r="AY123" i="9"/>
  <c r="AZ123" i="9"/>
  <c r="BA123" i="9"/>
  <c r="AU124" i="9"/>
  <c r="AV124" i="9"/>
  <c r="AW124" i="9"/>
  <c r="AX124" i="9"/>
  <c r="AY124" i="9"/>
  <c r="AZ124" i="9"/>
  <c r="BA124" i="9"/>
  <c r="AU125" i="9"/>
  <c r="AV125" i="9"/>
  <c r="AW125" i="9"/>
  <c r="AX125" i="9"/>
  <c r="AY125" i="9"/>
  <c r="AZ125" i="9"/>
  <c r="BA125" i="9"/>
  <c r="AU126" i="9"/>
  <c r="AV126" i="9"/>
  <c r="AW126" i="9"/>
  <c r="AX126" i="9"/>
  <c r="AY126" i="9"/>
  <c r="AZ126" i="9"/>
  <c r="BA126" i="9"/>
  <c r="AU127" i="9"/>
  <c r="AV127" i="9"/>
  <c r="AW127" i="9"/>
  <c r="AX127" i="9"/>
  <c r="AY127" i="9"/>
  <c r="AZ127" i="9"/>
  <c r="BA127" i="9"/>
  <c r="AU128" i="9"/>
  <c r="AV128" i="9"/>
  <c r="AW128" i="9"/>
  <c r="AX128" i="9"/>
  <c r="AY128" i="9"/>
  <c r="AZ128" i="9"/>
  <c r="BA128" i="9"/>
  <c r="AU129" i="9"/>
  <c r="AV129" i="9"/>
  <c r="AW129" i="9"/>
  <c r="AX129" i="9"/>
  <c r="AY129" i="9"/>
  <c r="AZ129" i="9"/>
  <c r="BA129" i="9"/>
  <c r="AU130" i="9"/>
  <c r="AV130" i="9"/>
  <c r="AW130" i="9"/>
  <c r="AX130" i="9"/>
  <c r="AY130" i="9"/>
  <c r="AZ130" i="9"/>
  <c r="BA130" i="9"/>
  <c r="AU131" i="9"/>
  <c r="AV131" i="9"/>
  <c r="AW131" i="9"/>
  <c r="AX131" i="9"/>
  <c r="AY131" i="9"/>
  <c r="AZ131" i="9"/>
  <c r="BA131" i="9"/>
  <c r="AU132" i="9"/>
  <c r="AV132" i="9"/>
  <c r="AW132" i="9"/>
  <c r="AX132" i="9"/>
  <c r="AY132" i="9"/>
  <c r="AZ132" i="9"/>
  <c r="BA132" i="9"/>
  <c r="AU133" i="9"/>
  <c r="AV133" i="9"/>
  <c r="AW133" i="9"/>
  <c r="AX133" i="9"/>
  <c r="AY133" i="9"/>
  <c r="AZ133" i="9"/>
  <c r="BA133" i="9"/>
  <c r="AU134" i="9"/>
  <c r="AV134" i="9"/>
  <c r="AW134" i="9"/>
  <c r="AX134" i="9"/>
  <c r="AY134" i="9"/>
  <c r="AZ134" i="9"/>
  <c r="BA134" i="9"/>
  <c r="AV120" i="9"/>
  <c r="AW120" i="9"/>
  <c r="AX120" i="9"/>
  <c r="AY120" i="9"/>
  <c r="AZ120" i="9"/>
  <c r="BA120" i="9"/>
  <c r="AU120" i="9"/>
  <c r="AU102" i="9"/>
  <c r="AV102" i="9"/>
  <c r="AW102" i="9"/>
  <c r="AX102" i="9"/>
  <c r="AY102" i="9"/>
  <c r="AZ102" i="9"/>
  <c r="BA102" i="9"/>
  <c r="AU103" i="9"/>
  <c r="AV103" i="9"/>
  <c r="AW103" i="9"/>
  <c r="AX103" i="9"/>
  <c r="AY103" i="9"/>
  <c r="AZ103" i="9"/>
  <c r="BA103" i="9"/>
  <c r="AU104" i="9"/>
  <c r="AV104" i="9"/>
  <c r="AW104" i="9"/>
  <c r="AX104" i="9"/>
  <c r="AY104" i="9"/>
  <c r="AZ104" i="9"/>
  <c r="BA104" i="9"/>
  <c r="AU105" i="9"/>
  <c r="AV105" i="9"/>
  <c r="AW105" i="9"/>
  <c r="AX105" i="9"/>
  <c r="AY105" i="9"/>
  <c r="AZ105" i="9"/>
  <c r="BA105" i="9"/>
  <c r="AU106" i="9"/>
  <c r="AV106" i="9"/>
  <c r="AW106" i="9"/>
  <c r="AX106" i="9"/>
  <c r="AY106" i="9"/>
  <c r="AZ106" i="9"/>
  <c r="BA106" i="9"/>
  <c r="AU107" i="9"/>
  <c r="AV107" i="9"/>
  <c r="AW107" i="9"/>
  <c r="AX107" i="9"/>
  <c r="AY107" i="9"/>
  <c r="AZ107" i="9"/>
  <c r="BA107" i="9"/>
  <c r="AU108" i="9"/>
  <c r="AV108" i="9"/>
  <c r="AW108" i="9"/>
  <c r="AX108" i="9"/>
  <c r="AY108" i="9"/>
  <c r="AZ108" i="9"/>
  <c r="BA108" i="9"/>
  <c r="AU109" i="9"/>
  <c r="AV109" i="9"/>
  <c r="AW109" i="9"/>
  <c r="AX109" i="9"/>
  <c r="AY109" i="9"/>
  <c r="AZ109" i="9"/>
  <c r="BA109" i="9"/>
  <c r="AU110" i="9"/>
  <c r="AV110" i="9"/>
  <c r="AW110" i="9"/>
  <c r="AX110" i="9"/>
  <c r="AY110" i="9"/>
  <c r="AZ110" i="9"/>
  <c r="BA110" i="9"/>
  <c r="AU111" i="9"/>
  <c r="AV111" i="9"/>
  <c r="AW111" i="9"/>
  <c r="AX111" i="9"/>
  <c r="AY111" i="9"/>
  <c r="AZ111" i="9"/>
  <c r="BA111" i="9"/>
  <c r="AU112" i="9"/>
  <c r="AV112" i="9"/>
  <c r="AW112" i="9"/>
  <c r="AX112" i="9"/>
  <c r="AY112" i="9"/>
  <c r="AZ112" i="9"/>
  <c r="BA112" i="9"/>
  <c r="AU113" i="9"/>
  <c r="AV113" i="9"/>
  <c r="AW113" i="9"/>
  <c r="AX113" i="9"/>
  <c r="AY113" i="9"/>
  <c r="AZ113" i="9"/>
  <c r="BA113" i="9"/>
  <c r="AU114" i="9"/>
  <c r="AV114" i="9"/>
  <c r="AW114" i="9"/>
  <c r="AX114" i="9"/>
  <c r="AY114" i="9"/>
  <c r="AZ114" i="9"/>
  <c r="BA114" i="9"/>
  <c r="AU115" i="9"/>
  <c r="AV115" i="9"/>
  <c r="AW115" i="9"/>
  <c r="AX115" i="9"/>
  <c r="AY115" i="9"/>
  <c r="AZ115" i="9"/>
  <c r="BA115" i="9"/>
  <c r="AV101" i="9"/>
  <c r="AW101" i="9"/>
  <c r="AX101" i="9"/>
  <c r="AY101" i="9"/>
  <c r="AZ101" i="9"/>
  <c r="BA101" i="9"/>
  <c r="AU101" i="9"/>
  <c r="AU83" i="9"/>
  <c r="AV83" i="9"/>
  <c r="AW83" i="9"/>
  <c r="AX83" i="9"/>
  <c r="AY83" i="9"/>
  <c r="AZ83" i="9"/>
  <c r="BA83" i="9"/>
  <c r="AU84" i="9"/>
  <c r="AV84" i="9"/>
  <c r="AW84" i="9"/>
  <c r="AX84" i="9"/>
  <c r="AY84" i="9"/>
  <c r="AZ84" i="9"/>
  <c r="BA84" i="9"/>
  <c r="AU85" i="9"/>
  <c r="AV85" i="9"/>
  <c r="AW85" i="9"/>
  <c r="AX85" i="9"/>
  <c r="AY85" i="9"/>
  <c r="AZ85" i="9"/>
  <c r="BA85" i="9"/>
  <c r="AU86" i="9"/>
  <c r="AV86" i="9"/>
  <c r="AW86" i="9"/>
  <c r="AX86" i="9"/>
  <c r="AY86" i="9"/>
  <c r="AZ86" i="9"/>
  <c r="BA86" i="9"/>
  <c r="AU87" i="9"/>
  <c r="AV87" i="9"/>
  <c r="AW87" i="9"/>
  <c r="AX87" i="9"/>
  <c r="AY87" i="9"/>
  <c r="AZ87" i="9"/>
  <c r="BA87" i="9"/>
  <c r="AU88" i="9"/>
  <c r="AV88" i="9"/>
  <c r="AW88" i="9"/>
  <c r="AX88" i="9"/>
  <c r="AY88" i="9"/>
  <c r="AZ88" i="9"/>
  <c r="BA88" i="9"/>
  <c r="AU89" i="9"/>
  <c r="AV89" i="9"/>
  <c r="AW89" i="9"/>
  <c r="AX89" i="9"/>
  <c r="AY89" i="9"/>
  <c r="AZ89" i="9"/>
  <c r="BA89" i="9"/>
  <c r="AU90" i="9"/>
  <c r="AV90" i="9"/>
  <c r="AW90" i="9"/>
  <c r="AX90" i="9"/>
  <c r="AY90" i="9"/>
  <c r="AZ90" i="9"/>
  <c r="BA90" i="9"/>
  <c r="AU91" i="9"/>
  <c r="AV91" i="9"/>
  <c r="AW91" i="9"/>
  <c r="AX91" i="9"/>
  <c r="AY91" i="9"/>
  <c r="AZ91" i="9"/>
  <c r="BA91" i="9"/>
  <c r="AU92" i="9"/>
  <c r="AV92" i="9"/>
  <c r="AW92" i="9"/>
  <c r="AX92" i="9"/>
  <c r="AY92" i="9"/>
  <c r="AZ92" i="9"/>
  <c r="BA92" i="9"/>
  <c r="AU93" i="9"/>
  <c r="AV93" i="9"/>
  <c r="AW93" i="9"/>
  <c r="AX93" i="9"/>
  <c r="AY93" i="9"/>
  <c r="AZ93" i="9"/>
  <c r="BA93" i="9"/>
  <c r="AU94" i="9"/>
  <c r="AV94" i="9"/>
  <c r="AW94" i="9"/>
  <c r="AX94" i="9"/>
  <c r="AY94" i="9"/>
  <c r="AZ94" i="9"/>
  <c r="BA94" i="9"/>
  <c r="AU95" i="9"/>
  <c r="AV95" i="9"/>
  <c r="AW95" i="9"/>
  <c r="AX95" i="9"/>
  <c r="AY95" i="9"/>
  <c r="AZ95" i="9"/>
  <c r="BA95" i="9"/>
  <c r="AU96" i="9"/>
  <c r="AV96" i="9"/>
  <c r="AW96" i="9"/>
  <c r="AX96" i="9"/>
  <c r="AY96" i="9"/>
  <c r="AZ96" i="9"/>
  <c r="BA96" i="9"/>
  <c r="AV82" i="9"/>
  <c r="AW82" i="9"/>
  <c r="AX82" i="9"/>
  <c r="AY82" i="9"/>
  <c r="AZ82" i="9"/>
  <c r="BA82" i="9"/>
  <c r="AU82" i="9"/>
  <c r="AU64" i="9"/>
  <c r="AV64" i="9"/>
  <c r="AW64" i="9"/>
  <c r="AX64" i="9"/>
  <c r="AY64" i="9"/>
  <c r="AZ64" i="9"/>
  <c r="BA64" i="9"/>
  <c r="AU65" i="9"/>
  <c r="AV65" i="9"/>
  <c r="AW65" i="9"/>
  <c r="AX65" i="9"/>
  <c r="AY65" i="9"/>
  <c r="AZ65" i="9"/>
  <c r="BA65" i="9"/>
  <c r="AU66" i="9"/>
  <c r="AV66" i="9"/>
  <c r="AW66" i="9"/>
  <c r="AX66" i="9"/>
  <c r="AY66" i="9"/>
  <c r="AZ66" i="9"/>
  <c r="BA66" i="9"/>
  <c r="AU67" i="9"/>
  <c r="AV67" i="9"/>
  <c r="AW67" i="9"/>
  <c r="AX67" i="9"/>
  <c r="AY67" i="9"/>
  <c r="AZ67" i="9"/>
  <c r="BA67" i="9"/>
  <c r="AU68" i="9"/>
  <c r="AV68" i="9"/>
  <c r="AW68" i="9"/>
  <c r="AX68" i="9"/>
  <c r="AY68" i="9"/>
  <c r="AZ68" i="9"/>
  <c r="BA68" i="9"/>
  <c r="AU69" i="9"/>
  <c r="AV69" i="9"/>
  <c r="AW69" i="9"/>
  <c r="AX69" i="9"/>
  <c r="AY69" i="9"/>
  <c r="AZ69" i="9"/>
  <c r="BA69" i="9"/>
  <c r="AU70" i="9"/>
  <c r="AV70" i="9"/>
  <c r="AW70" i="9"/>
  <c r="AX70" i="9"/>
  <c r="AY70" i="9"/>
  <c r="AZ70" i="9"/>
  <c r="BA70" i="9"/>
  <c r="AU71" i="9"/>
  <c r="AV71" i="9"/>
  <c r="AW71" i="9"/>
  <c r="AX71" i="9"/>
  <c r="AY71" i="9"/>
  <c r="AZ71" i="9"/>
  <c r="BA71" i="9"/>
  <c r="AU72" i="9"/>
  <c r="AV72" i="9"/>
  <c r="AW72" i="9"/>
  <c r="AX72" i="9"/>
  <c r="AY72" i="9"/>
  <c r="AZ72" i="9"/>
  <c r="BA72" i="9"/>
  <c r="AU73" i="9"/>
  <c r="AV73" i="9"/>
  <c r="AW73" i="9"/>
  <c r="AX73" i="9"/>
  <c r="AY73" i="9"/>
  <c r="AZ73" i="9"/>
  <c r="BA73" i="9"/>
  <c r="AU74" i="9"/>
  <c r="AV74" i="9"/>
  <c r="AW74" i="9"/>
  <c r="AX74" i="9"/>
  <c r="AY74" i="9"/>
  <c r="AZ74" i="9"/>
  <c r="BA74" i="9"/>
  <c r="AU75" i="9"/>
  <c r="AV75" i="9"/>
  <c r="AW75" i="9"/>
  <c r="AX75" i="9"/>
  <c r="AY75" i="9"/>
  <c r="AZ75" i="9"/>
  <c r="BA75" i="9"/>
  <c r="AU76" i="9"/>
  <c r="AV76" i="9"/>
  <c r="AW76" i="9"/>
  <c r="AX76" i="9"/>
  <c r="AY76" i="9"/>
  <c r="AZ76" i="9"/>
  <c r="BA76" i="9"/>
  <c r="AU77" i="9"/>
  <c r="AV77" i="9"/>
  <c r="AW77" i="9"/>
  <c r="AX77" i="9"/>
  <c r="AY77" i="9"/>
  <c r="AZ77" i="9"/>
  <c r="BA77" i="9"/>
  <c r="AV63" i="9"/>
  <c r="AW63" i="9"/>
  <c r="AX63" i="9"/>
  <c r="AY63" i="9"/>
  <c r="AZ63" i="9"/>
  <c r="BA63" i="9"/>
  <c r="AU63" i="9"/>
  <c r="AU45" i="9"/>
  <c r="AV45" i="9"/>
  <c r="AW45" i="9"/>
  <c r="AX45" i="9"/>
  <c r="AY45" i="9"/>
  <c r="AZ45" i="9"/>
  <c r="BA45" i="9"/>
  <c r="AU46" i="9"/>
  <c r="AV46" i="9"/>
  <c r="AW46" i="9"/>
  <c r="AX46" i="9"/>
  <c r="AY46" i="9"/>
  <c r="AZ46" i="9"/>
  <c r="BA46" i="9"/>
  <c r="AU47" i="9"/>
  <c r="AV47" i="9"/>
  <c r="AW47" i="9"/>
  <c r="AX47" i="9"/>
  <c r="AY47" i="9"/>
  <c r="AZ47" i="9"/>
  <c r="BA47" i="9"/>
  <c r="AU48" i="9"/>
  <c r="AV48" i="9"/>
  <c r="AW48" i="9"/>
  <c r="AX48" i="9"/>
  <c r="AY48" i="9"/>
  <c r="AZ48" i="9"/>
  <c r="BA48" i="9"/>
  <c r="AU49" i="9"/>
  <c r="AV49" i="9"/>
  <c r="AW49" i="9"/>
  <c r="AX49" i="9"/>
  <c r="AY49" i="9"/>
  <c r="AZ49" i="9"/>
  <c r="BA49" i="9"/>
  <c r="AU50" i="9"/>
  <c r="AV50" i="9"/>
  <c r="AW50" i="9"/>
  <c r="AX50" i="9"/>
  <c r="AY50" i="9"/>
  <c r="AZ50" i="9"/>
  <c r="BA50" i="9"/>
  <c r="AU51" i="9"/>
  <c r="AV51" i="9"/>
  <c r="AW51" i="9"/>
  <c r="AX51" i="9"/>
  <c r="AY51" i="9"/>
  <c r="AZ51" i="9"/>
  <c r="BA51" i="9"/>
  <c r="AU52" i="9"/>
  <c r="AV52" i="9"/>
  <c r="AW52" i="9"/>
  <c r="AX52" i="9"/>
  <c r="AY52" i="9"/>
  <c r="AZ52" i="9"/>
  <c r="BA52" i="9"/>
  <c r="AU53" i="9"/>
  <c r="AV53" i="9"/>
  <c r="AW53" i="9"/>
  <c r="AX53" i="9"/>
  <c r="AY53" i="9"/>
  <c r="AZ53" i="9"/>
  <c r="BA53" i="9"/>
  <c r="AU54" i="9"/>
  <c r="AV54" i="9"/>
  <c r="AW54" i="9"/>
  <c r="AX54" i="9"/>
  <c r="AY54" i="9"/>
  <c r="AZ54" i="9"/>
  <c r="BA54" i="9"/>
  <c r="AU55" i="9"/>
  <c r="AV55" i="9"/>
  <c r="AW55" i="9"/>
  <c r="AX55" i="9"/>
  <c r="AY55" i="9"/>
  <c r="AZ55" i="9"/>
  <c r="BA55" i="9"/>
  <c r="AU56" i="9"/>
  <c r="AV56" i="9"/>
  <c r="AW56" i="9"/>
  <c r="AX56" i="9"/>
  <c r="AY56" i="9"/>
  <c r="AZ56" i="9"/>
  <c r="BA56" i="9"/>
  <c r="AU57" i="9"/>
  <c r="AV57" i="9"/>
  <c r="AW57" i="9"/>
  <c r="AX57" i="9"/>
  <c r="AY57" i="9"/>
  <c r="AZ57" i="9"/>
  <c r="BA57" i="9"/>
  <c r="AU58" i="9"/>
  <c r="AV58" i="9"/>
  <c r="AW58" i="9"/>
  <c r="AX58" i="9"/>
  <c r="AY58" i="9"/>
  <c r="AZ58" i="9"/>
  <c r="BA58" i="9"/>
  <c r="AV44" i="9"/>
  <c r="AW44" i="9"/>
  <c r="AX44" i="9"/>
  <c r="AY44" i="9"/>
  <c r="AZ44" i="9"/>
  <c r="BA44" i="9"/>
  <c r="AU44" i="9"/>
  <c r="AU26" i="9"/>
  <c r="AV26" i="9"/>
  <c r="AW26" i="9"/>
  <c r="AX26" i="9"/>
  <c r="AY26" i="9"/>
  <c r="AZ26" i="9"/>
  <c r="BA26" i="9"/>
  <c r="AU27" i="9"/>
  <c r="AV27" i="9"/>
  <c r="AW27" i="9"/>
  <c r="AX27" i="9"/>
  <c r="AY27" i="9"/>
  <c r="AZ27" i="9"/>
  <c r="BA27" i="9"/>
  <c r="AU28" i="9"/>
  <c r="AV28" i="9"/>
  <c r="AW28" i="9"/>
  <c r="AX28" i="9"/>
  <c r="AY28" i="9"/>
  <c r="AZ28" i="9"/>
  <c r="BA28" i="9"/>
  <c r="AU29" i="9"/>
  <c r="AV29" i="9"/>
  <c r="AW29" i="9"/>
  <c r="AX29" i="9"/>
  <c r="AY29" i="9"/>
  <c r="AZ29" i="9"/>
  <c r="BA29" i="9"/>
  <c r="AU30" i="9"/>
  <c r="AV30" i="9"/>
  <c r="AW30" i="9"/>
  <c r="AX30" i="9"/>
  <c r="AY30" i="9"/>
  <c r="AZ30" i="9"/>
  <c r="BA30" i="9"/>
  <c r="AU31" i="9"/>
  <c r="AV31" i="9"/>
  <c r="AW31" i="9"/>
  <c r="AX31" i="9"/>
  <c r="AY31" i="9"/>
  <c r="AZ31" i="9"/>
  <c r="BA31" i="9"/>
  <c r="AU32" i="9"/>
  <c r="AV32" i="9"/>
  <c r="AW32" i="9"/>
  <c r="AX32" i="9"/>
  <c r="AY32" i="9"/>
  <c r="AZ32" i="9"/>
  <c r="BA32" i="9"/>
  <c r="AU33" i="9"/>
  <c r="AV33" i="9"/>
  <c r="AW33" i="9"/>
  <c r="AX33" i="9"/>
  <c r="AY33" i="9"/>
  <c r="AZ33" i="9"/>
  <c r="BA33" i="9"/>
  <c r="AU34" i="9"/>
  <c r="AV34" i="9"/>
  <c r="AW34" i="9"/>
  <c r="AX34" i="9"/>
  <c r="AY34" i="9"/>
  <c r="AZ34" i="9"/>
  <c r="BA34" i="9"/>
  <c r="AU35" i="9"/>
  <c r="AV35" i="9"/>
  <c r="AW35" i="9"/>
  <c r="AX35" i="9"/>
  <c r="AY35" i="9"/>
  <c r="AZ35" i="9"/>
  <c r="BA35" i="9"/>
  <c r="AU36" i="9"/>
  <c r="AV36" i="9"/>
  <c r="AW36" i="9"/>
  <c r="AX36" i="9"/>
  <c r="AY36" i="9"/>
  <c r="AZ36" i="9"/>
  <c r="BA36" i="9"/>
  <c r="AU37" i="9"/>
  <c r="AV37" i="9"/>
  <c r="AW37" i="9"/>
  <c r="AX37" i="9"/>
  <c r="AY37" i="9"/>
  <c r="AZ37" i="9"/>
  <c r="BA37" i="9"/>
  <c r="AU38" i="9"/>
  <c r="AV38" i="9"/>
  <c r="AW38" i="9"/>
  <c r="AX38" i="9"/>
  <c r="AY38" i="9"/>
  <c r="AZ38" i="9"/>
  <c r="BA38" i="9"/>
  <c r="AU39" i="9"/>
  <c r="AV39" i="9"/>
  <c r="AW39" i="9"/>
  <c r="AX39" i="9"/>
  <c r="AY39" i="9"/>
  <c r="AZ39" i="9"/>
  <c r="BA39" i="9"/>
  <c r="AV25" i="9"/>
  <c r="AW25" i="9"/>
  <c r="AX25" i="9"/>
  <c r="AY25" i="9"/>
  <c r="AZ25" i="9"/>
  <c r="BA25" i="9"/>
  <c r="AU25" i="9"/>
  <c r="AU7" i="9"/>
  <c r="AV7" i="9"/>
  <c r="AW7" i="9"/>
  <c r="AX7" i="9"/>
  <c r="AY7" i="9"/>
  <c r="AZ7" i="9"/>
  <c r="BA7" i="9"/>
  <c r="AU8" i="9"/>
  <c r="AV8" i="9"/>
  <c r="AW8" i="9"/>
  <c r="AX8" i="9"/>
  <c r="AY8" i="9"/>
  <c r="AZ8" i="9"/>
  <c r="BA8" i="9"/>
  <c r="AU9" i="9"/>
  <c r="AV9" i="9"/>
  <c r="AW9" i="9"/>
  <c r="AX9" i="9"/>
  <c r="AY9" i="9"/>
  <c r="AZ9" i="9"/>
  <c r="BA9" i="9"/>
  <c r="AU10" i="9"/>
  <c r="AV10" i="9"/>
  <c r="AW10" i="9"/>
  <c r="AX10" i="9"/>
  <c r="AY10" i="9"/>
  <c r="AZ10" i="9"/>
  <c r="BA10" i="9"/>
  <c r="AU11" i="9"/>
  <c r="AV11" i="9"/>
  <c r="AW11" i="9"/>
  <c r="AX11" i="9"/>
  <c r="AY11" i="9"/>
  <c r="AZ11" i="9"/>
  <c r="BA11" i="9"/>
  <c r="AU12" i="9"/>
  <c r="AV12" i="9"/>
  <c r="AW12" i="9"/>
  <c r="AX12" i="9"/>
  <c r="AY12" i="9"/>
  <c r="AZ12" i="9"/>
  <c r="BA12" i="9"/>
  <c r="AU13" i="9"/>
  <c r="AV13" i="9"/>
  <c r="AW13" i="9"/>
  <c r="AX13" i="9"/>
  <c r="AY13" i="9"/>
  <c r="AZ13" i="9"/>
  <c r="BA13" i="9"/>
  <c r="AU14" i="9"/>
  <c r="AV14" i="9"/>
  <c r="AW14" i="9"/>
  <c r="AX14" i="9"/>
  <c r="AY14" i="9"/>
  <c r="AZ14" i="9"/>
  <c r="BA14" i="9"/>
  <c r="AU15" i="9"/>
  <c r="AV15" i="9"/>
  <c r="AW15" i="9"/>
  <c r="AX15" i="9"/>
  <c r="AY15" i="9"/>
  <c r="AZ15" i="9"/>
  <c r="BA15" i="9"/>
  <c r="AU16" i="9"/>
  <c r="AV16" i="9"/>
  <c r="AW16" i="9"/>
  <c r="AX16" i="9"/>
  <c r="AY16" i="9"/>
  <c r="AZ16" i="9"/>
  <c r="BA16" i="9"/>
  <c r="AU17" i="9"/>
  <c r="AV17" i="9"/>
  <c r="AW17" i="9"/>
  <c r="AX17" i="9"/>
  <c r="AY17" i="9"/>
  <c r="AZ17" i="9"/>
  <c r="BA17" i="9"/>
  <c r="AU18" i="9"/>
  <c r="AV18" i="9"/>
  <c r="AW18" i="9"/>
  <c r="AX18" i="9"/>
  <c r="AY18" i="9"/>
  <c r="AZ18" i="9"/>
  <c r="BA18" i="9"/>
  <c r="AU19" i="9"/>
  <c r="AV19" i="9"/>
  <c r="AW19" i="9"/>
  <c r="AX19" i="9"/>
  <c r="AY19" i="9"/>
  <c r="AZ19" i="9"/>
  <c r="BA19" i="9"/>
  <c r="AU20" i="9"/>
  <c r="AV20" i="9"/>
  <c r="AW20" i="9"/>
  <c r="AX20" i="9"/>
  <c r="AY20" i="9"/>
  <c r="AZ20" i="9"/>
  <c r="BA20" i="9"/>
  <c r="AV6" i="9"/>
  <c r="AW6" i="9"/>
  <c r="AX6" i="9"/>
  <c r="AY6" i="9"/>
  <c r="AZ6" i="9"/>
  <c r="BA6" i="9"/>
  <c r="AU6" i="9"/>
  <c r="AL140" i="9"/>
  <c r="AM140" i="9"/>
  <c r="AN140" i="9"/>
  <c r="AO140" i="9"/>
  <c r="AP140" i="9"/>
  <c r="AQ140" i="9"/>
  <c r="AR140" i="9"/>
  <c r="AL141" i="9"/>
  <c r="AM141" i="9"/>
  <c r="AN141" i="9"/>
  <c r="AO141" i="9"/>
  <c r="AP141" i="9"/>
  <c r="AQ141" i="9"/>
  <c r="AR141" i="9"/>
  <c r="AL142" i="9"/>
  <c r="AM142" i="9"/>
  <c r="AN142" i="9"/>
  <c r="AO142" i="9"/>
  <c r="AP142" i="9"/>
  <c r="AQ142" i="9"/>
  <c r="AR142" i="9"/>
  <c r="AL143" i="9"/>
  <c r="AM143" i="9"/>
  <c r="AN143" i="9"/>
  <c r="AO143" i="9"/>
  <c r="AP143" i="9"/>
  <c r="AQ143" i="9"/>
  <c r="AR143" i="9"/>
  <c r="AL144" i="9"/>
  <c r="AM144" i="9"/>
  <c r="AN144" i="9"/>
  <c r="AO144" i="9"/>
  <c r="AP144" i="9"/>
  <c r="AQ144" i="9"/>
  <c r="AR144" i="9"/>
  <c r="AL145" i="9"/>
  <c r="AM145" i="9"/>
  <c r="AN145" i="9"/>
  <c r="AO145" i="9"/>
  <c r="AP145" i="9"/>
  <c r="AQ145" i="9"/>
  <c r="AR145" i="9"/>
  <c r="AL146" i="9"/>
  <c r="AM146" i="9"/>
  <c r="AN146" i="9"/>
  <c r="AO146" i="9"/>
  <c r="AP146" i="9"/>
  <c r="AQ146" i="9"/>
  <c r="AR146" i="9"/>
  <c r="AL147" i="9"/>
  <c r="AM147" i="9"/>
  <c r="AN147" i="9"/>
  <c r="AO147" i="9"/>
  <c r="AP147" i="9"/>
  <c r="AQ147" i="9"/>
  <c r="AR147" i="9"/>
  <c r="AL148" i="9"/>
  <c r="AM148" i="9"/>
  <c r="AN148" i="9"/>
  <c r="AO148" i="9"/>
  <c r="AP148" i="9"/>
  <c r="AQ148" i="9"/>
  <c r="AR148" i="9"/>
  <c r="AL149" i="9"/>
  <c r="AM149" i="9"/>
  <c r="AN149" i="9"/>
  <c r="AO149" i="9"/>
  <c r="AP149" i="9"/>
  <c r="AQ149" i="9"/>
  <c r="AR149" i="9"/>
  <c r="AL150" i="9"/>
  <c r="AM150" i="9"/>
  <c r="AN150" i="9"/>
  <c r="AO150" i="9"/>
  <c r="AP150" i="9"/>
  <c r="AQ150" i="9"/>
  <c r="AR150" i="9"/>
  <c r="AL151" i="9"/>
  <c r="AM151" i="9"/>
  <c r="AN151" i="9"/>
  <c r="AO151" i="9"/>
  <c r="AP151" i="9"/>
  <c r="AQ151" i="9"/>
  <c r="AR151" i="9"/>
  <c r="AL152" i="9"/>
  <c r="AM152" i="9"/>
  <c r="AN152" i="9"/>
  <c r="AO152" i="9"/>
  <c r="AP152" i="9"/>
  <c r="AQ152" i="9"/>
  <c r="AR152" i="9"/>
  <c r="AL153" i="9"/>
  <c r="AM153" i="9"/>
  <c r="AN153" i="9"/>
  <c r="AO153" i="9"/>
  <c r="AP153" i="9"/>
  <c r="AQ153" i="9"/>
  <c r="AR153" i="9"/>
  <c r="AM139" i="9"/>
  <c r="AN139" i="9"/>
  <c r="AO139" i="9"/>
  <c r="AP139" i="9"/>
  <c r="AQ139" i="9"/>
  <c r="AR139" i="9"/>
  <c r="AL139" i="9"/>
  <c r="AL121" i="9"/>
  <c r="AM121" i="9"/>
  <c r="AN121" i="9"/>
  <c r="AO121" i="9"/>
  <c r="AP121" i="9"/>
  <c r="AQ121" i="9"/>
  <c r="AR121" i="9"/>
  <c r="AL122" i="9"/>
  <c r="AM122" i="9"/>
  <c r="AN122" i="9"/>
  <c r="AO122" i="9"/>
  <c r="AP122" i="9"/>
  <c r="AQ122" i="9"/>
  <c r="AR122" i="9"/>
  <c r="AL123" i="9"/>
  <c r="AM123" i="9"/>
  <c r="AN123" i="9"/>
  <c r="AO123" i="9"/>
  <c r="AP123" i="9"/>
  <c r="AQ123" i="9"/>
  <c r="AR123" i="9"/>
  <c r="AL124" i="9"/>
  <c r="AM124" i="9"/>
  <c r="AN124" i="9"/>
  <c r="AO124" i="9"/>
  <c r="AP124" i="9"/>
  <c r="AQ124" i="9"/>
  <c r="AR124" i="9"/>
  <c r="AL125" i="9"/>
  <c r="AM125" i="9"/>
  <c r="AN125" i="9"/>
  <c r="AO125" i="9"/>
  <c r="AP125" i="9"/>
  <c r="AQ125" i="9"/>
  <c r="AR125" i="9"/>
  <c r="AL126" i="9"/>
  <c r="AM126" i="9"/>
  <c r="AN126" i="9"/>
  <c r="AO126" i="9"/>
  <c r="AP126" i="9"/>
  <c r="AQ126" i="9"/>
  <c r="AR126" i="9"/>
  <c r="AL127" i="9"/>
  <c r="AM127" i="9"/>
  <c r="AN127" i="9"/>
  <c r="AO127" i="9"/>
  <c r="AP127" i="9"/>
  <c r="AQ127" i="9"/>
  <c r="AR127" i="9"/>
  <c r="AL128" i="9"/>
  <c r="AM128" i="9"/>
  <c r="AN128" i="9"/>
  <c r="AO128" i="9"/>
  <c r="AP128" i="9"/>
  <c r="AQ128" i="9"/>
  <c r="AR128" i="9"/>
  <c r="AL129" i="9"/>
  <c r="AM129" i="9"/>
  <c r="AN129" i="9"/>
  <c r="AO129" i="9"/>
  <c r="AP129" i="9"/>
  <c r="AQ129" i="9"/>
  <c r="AR129" i="9"/>
  <c r="AL130" i="9"/>
  <c r="AM130" i="9"/>
  <c r="AN130" i="9"/>
  <c r="AO130" i="9"/>
  <c r="AP130" i="9"/>
  <c r="AQ130" i="9"/>
  <c r="AR130" i="9"/>
  <c r="AL131" i="9"/>
  <c r="AM131" i="9"/>
  <c r="AN131" i="9"/>
  <c r="AO131" i="9"/>
  <c r="AP131" i="9"/>
  <c r="AQ131" i="9"/>
  <c r="AR131" i="9"/>
  <c r="AL132" i="9"/>
  <c r="AM132" i="9"/>
  <c r="AN132" i="9"/>
  <c r="AO132" i="9"/>
  <c r="AP132" i="9"/>
  <c r="AQ132" i="9"/>
  <c r="AR132" i="9"/>
  <c r="AL133" i="9"/>
  <c r="AM133" i="9"/>
  <c r="AN133" i="9"/>
  <c r="AO133" i="9"/>
  <c r="AP133" i="9"/>
  <c r="AQ133" i="9"/>
  <c r="AR133" i="9"/>
  <c r="AL134" i="9"/>
  <c r="AM134" i="9"/>
  <c r="AN134" i="9"/>
  <c r="AO134" i="9"/>
  <c r="AP134" i="9"/>
  <c r="AQ134" i="9"/>
  <c r="AR134" i="9"/>
  <c r="AM120" i="9"/>
  <c r="AN120" i="9"/>
  <c r="AO120" i="9"/>
  <c r="AP120" i="9"/>
  <c r="AQ120" i="9"/>
  <c r="AR120" i="9"/>
  <c r="AL120" i="9"/>
  <c r="AL102" i="9"/>
  <c r="AM102" i="9"/>
  <c r="AN102" i="9"/>
  <c r="AO102" i="9"/>
  <c r="AP102" i="9"/>
  <c r="AQ102" i="9"/>
  <c r="AR102" i="9"/>
  <c r="AL103" i="9"/>
  <c r="AM103" i="9"/>
  <c r="AN103" i="9"/>
  <c r="AO103" i="9"/>
  <c r="AP103" i="9"/>
  <c r="AQ103" i="9"/>
  <c r="AR103" i="9"/>
  <c r="AL104" i="9"/>
  <c r="AM104" i="9"/>
  <c r="AN104" i="9"/>
  <c r="AO104" i="9"/>
  <c r="AP104" i="9"/>
  <c r="AQ104" i="9"/>
  <c r="AR104" i="9"/>
  <c r="AL105" i="9"/>
  <c r="AM105" i="9"/>
  <c r="AN105" i="9"/>
  <c r="AO105" i="9"/>
  <c r="AP105" i="9"/>
  <c r="AQ105" i="9"/>
  <c r="AR105" i="9"/>
  <c r="AL106" i="9"/>
  <c r="AM106" i="9"/>
  <c r="AN106" i="9"/>
  <c r="AO106" i="9"/>
  <c r="AP106" i="9"/>
  <c r="AQ106" i="9"/>
  <c r="AR106" i="9"/>
  <c r="AL107" i="9"/>
  <c r="AM107" i="9"/>
  <c r="AN107" i="9"/>
  <c r="AO107" i="9"/>
  <c r="AP107" i="9"/>
  <c r="AQ107" i="9"/>
  <c r="AR107" i="9"/>
  <c r="AL108" i="9"/>
  <c r="AM108" i="9"/>
  <c r="AN108" i="9"/>
  <c r="AO108" i="9"/>
  <c r="AP108" i="9"/>
  <c r="AQ108" i="9"/>
  <c r="AR108" i="9"/>
  <c r="AL109" i="9"/>
  <c r="AM109" i="9"/>
  <c r="AN109" i="9"/>
  <c r="AO109" i="9"/>
  <c r="AP109" i="9"/>
  <c r="AQ109" i="9"/>
  <c r="AR109" i="9"/>
  <c r="AL110" i="9"/>
  <c r="AM110" i="9"/>
  <c r="AN110" i="9"/>
  <c r="AO110" i="9"/>
  <c r="AP110" i="9"/>
  <c r="AQ110" i="9"/>
  <c r="AR110" i="9"/>
  <c r="AL111" i="9"/>
  <c r="AM111" i="9"/>
  <c r="AN111" i="9"/>
  <c r="AO111" i="9"/>
  <c r="AP111" i="9"/>
  <c r="AQ111" i="9"/>
  <c r="AR111" i="9"/>
  <c r="AL112" i="9"/>
  <c r="AM112" i="9"/>
  <c r="AN112" i="9"/>
  <c r="AO112" i="9"/>
  <c r="AP112" i="9"/>
  <c r="AQ112" i="9"/>
  <c r="AR112" i="9"/>
  <c r="AL113" i="9"/>
  <c r="AM113" i="9"/>
  <c r="AN113" i="9"/>
  <c r="AO113" i="9"/>
  <c r="AP113" i="9"/>
  <c r="AQ113" i="9"/>
  <c r="AR113" i="9"/>
  <c r="AL114" i="9"/>
  <c r="AM114" i="9"/>
  <c r="AN114" i="9"/>
  <c r="AO114" i="9"/>
  <c r="AP114" i="9"/>
  <c r="AQ114" i="9"/>
  <c r="AR114" i="9"/>
  <c r="AL115" i="9"/>
  <c r="AM115" i="9"/>
  <c r="AN115" i="9"/>
  <c r="AO115" i="9"/>
  <c r="AP115" i="9"/>
  <c r="AQ115" i="9"/>
  <c r="AR115" i="9"/>
  <c r="AM101" i="9"/>
  <c r="AN101" i="9"/>
  <c r="AO101" i="9"/>
  <c r="AP101" i="9"/>
  <c r="AQ101" i="9"/>
  <c r="AR101" i="9"/>
  <c r="AL101" i="9"/>
  <c r="AL83" i="9"/>
  <c r="AM83" i="9"/>
  <c r="AN83" i="9"/>
  <c r="AO83" i="9"/>
  <c r="AP83" i="9"/>
  <c r="AQ83" i="9"/>
  <c r="AR83" i="9"/>
  <c r="AL84" i="9"/>
  <c r="AM84" i="9"/>
  <c r="AN84" i="9"/>
  <c r="AO84" i="9"/>
  <c r="AP84" i="9"/>
  <c r="AQ84" i="9"/>
  <c r="AR84" i="9"/>
  <c r="AL85" i="9"/>
  <c r="AM85" i="9"/>
  <c r="AN85" i="9"/>
  <c r="AO85" i="9"/>
  <c r="AP85" i="9"/>
  <c r="AQ85" i="9"/>
  <c r="AR85" i="9"/>
  <c r="AL86" i="9"/>
  <c r="AM86" i="9"/>
  <c r="AN86" i="9"/>
  <c r="AO86" i="9"/>
  <c r="AP86" i="9"/>
  <c r="AQ86" i="9"/>
  <c r="AR86" i="9"/>
  <c r="AL87" i="9"/>
  <c r="AM87" i="9"/>
  <c r="AN87" i="9"/>
  <c r="AO87" i="9"/>
  <c r="AP87" i="9"/>
  <c r="AQ87" i="9"/>
  <c r="AR87" i="9"/>
  <c r="AL88" i="9"/>
  <c r="AM88" i="9"/>
  <c r="AN88" i="9"/>
  <c r="AO88" i="9"/>
  <c r="AP88" i="9"/>
  <c r="AQ88" i="9"/>
  <c r="AR88" i="9"/>
  <c r="AL89" i="9"/>
  <c r="AM89" i="9"/>
  <c r="AN89" i="9"/>
  <c r="AO89" i="9"/>
  <c r="AP89" i="9"/>
  <c r="AQ89" i="9"/>
  <c r="AR89" i="9"/>
  <c r="AL90" i="9"/>
  <c r="AM90" i="9"/>
  <c r="AN90" i="9"/>
  <c r="AO90" i="9"/>
  <c r="AP90" i="9"/>
  <c r="AQ90" i="9"/>
  <c r="AR90" i="9"/>
  <c r="AL91" i="9"/>
  <c r="AM91" i="9"/>
  <c r="AN91" i="9"/>
  <c r="AO91" i="9"/>
  <c r="AP91" i="9"/>
  <c r="AQ91" i="9"/>
  <c r="AR91" i="9"/>
  <c r="AL92" i="9"/>
  <c r="AM92" i="9"/>
  <c r="AN92" i="9"/>
  <c r="AO92" i="9"/>
  <c r="AP92" i="9"/>
  <c r="AQ92" i="9"/>
  <c r="AR92" i="9"/>
  <c r="AL93" i="9"/>
  <c r="AM93" i="9"/>
  <c r="AN93" i="9"/>
  <c r="AO93" i="9"/>
  <c r="AP93" i="9"/>
  <c r="AQ93" i="9"/>
  <c r="AR93" i="9"/>
  <c r="AL94" i="9"/>
  <c r="AM94" i="9"/>
  <c r="AN94" i="9"/>
  <c r="AO94" i="9"/>
  <c r="AP94" i="9"/>
  <c r="AQ94" i="9"/>
  <c r="AR94" i="9"/>
  <c r="AL95" i="9"/>
  <c r="AM95" i="9"/>
  <c r="AN95" i="9"/>
  <c r="AO95" i="9"/>
  <c r="AP95" i="9"/>
  <c r="AQ95" i="9"/>
  <c r="AR95" i="9"/>
  <c r="AL96" i="9"/>
  <c r="AM96" i="9"/>
  <c r="AN96" i="9"/>
  <c r="AO96" i="9"/>
  <c r="AP96" i="9"/>
  <c r="AQ96" i="9"/>
  <c r="AR96" i="9"/>
  <c r="AM82" i="9"/>
  <c r="AN82" i="9"/>
  <c r="AO82" i="9"/>
  <c r="AP82" i="9"/>
  <c r="AQ82" i="9"/>
  <c r="AR82" i="9"/>
  <c r="AL82" i="9"/>
  <c r="AL64" i="9"/>
  <c r="AM64" i="9"/>
  <c r="AN64" i="9"/>
  <c r="AO64" i="9"/>
  <c r="AP64" i="9"/>
  <c r="AQ64" i="9"/>
  <c r="AR64" i="9"/>
  <c r="AL65" i="9"/>
  <c r="AM65" i="9"/>
  <c r="AN65" i="9"/>
  <c r="AO65" i="9"/>
  <c r="AP65" i="9"/>
  <c r="AQ65" i="9"/>
  <c r="AR65" i="9"/>
  <c r="AL66" i="9"/>
  <c r="AM66" i="9"/>
  <c r="AN66" i="9"/>
  <c r="AO66" i="9"/>
  <c r="AP66" i="9"/>
  <c r="AQ66" i="9"/>
  <c r="AR66" i="9"/>
  <c r="AL67" i="9"/>
  <c r="AM67" i="9"/>
  <c r="AN67" i="9"/>
  <c r="AO67" i="9"/>
  <c r="AP67" i="9"/>
  <c r="AQ67" i="9"/>
  <c r="AR67" i="9"/>
  <c r="AL68" i="9"/>
  <c r="AM68" i="9"/>
  <c r="AN68" i="9"/>
  <c r="AO68" i="9"/>
  <c r="AP68" i="9"/>
  <c r="AQ68" i="9"/>
  <c r="AR68" i="9"/>
  <c r="AL69" i="9"/>
  <c r="AM69" i="9"/>
  <c r="AN69" i="9"/>
  <c r="AO69" i="9"/>
  <c r="AP69" i="9"/>
  <c r="AQ69" i="9"/>
  <c r="AR69" i="9"/>
  <c r="AL70" i="9"/>
  <c r="AM70" i="9"/>
  <c r="AN70" i="9"/>
  <c r="AO70" i="9"/>
  <c r="AP70" i="9"/>
  <c r="AQ70" i="9"/>
  <c r="AR70" i="9"/>
  <c r="AL71" i="9"/>
  <c r="AM71" i="9"/>
  <c r="AN71" i="9"/>
  <c r="AO71" i="9"/>
  <c r="AP71" i="9"/>
  <c r="AQ71" i="9"/>
  <c r="AR71" i="9"/>
  <c r="AL72" i="9"/>
  <c r="AM72" i="9"/>
  <c r="AN72" i="9"/>
  <c r="AO72" i="9"/>
  <c r="AP72" i="9"/>
  <c r="AQ72" i="9"/>
  <c r="AR72" i="9"/>
  <c r="AL73" i="9"/>
  <c r="AM73" i="9"/>
  <c r="AN73" i="9"/>
  <c r="AO73" i="9"/>
  <c r="AP73" i="9"/>
  <c r="AQ73" i="9"/>
  <c r="AR73" i="9"/>
  <c r="AL74" i="9"/>
  <c r="AM74" i="9"/>
  <c r="AN74" i="9"/>
  <c r="AO74" i="9"/>
  <c r="AP74" i="9"/>
  <c r="AQ74" i="9"/>
  <c r="AR74" i="9"/>
  <c r="AL75" i="9"/>
  <c r="AM75" i="9"/>
  <c r="AN75" i="9"/>
  <c r="AO75" i="9"/>
  <c r="AP75" i="9"/>
  <c r="AQ75" i="9"/>
  <c r="AR75" i="9"/>
  <c r="AL76" i="9"/>
  <c r="AM76" i="9"/>
  <c r="AN76" i="9"/>
  <c r="AO76" i="9"/>
  <c r="AP76" i="9"/>
  <c r="AQ76" i="9"/>
  <c r="AR76" i="9"/>
  <c r="AL77" i="9"/>
  <c r="AM77" i="9"/>
  <c r="AN77" i="9"/>
  <c r="AO77" i="9"/>
  <c r="AP77" i="9"/>
  <c r="AQ77" i="9"/>
  <c r="AR77" i="9"/>
  <c r="AM63" i="9"/>
  <c r="AN63" i="9"/>
  <c r="AO63" i="9"/>
  <c r="AP63" i="9"/>
  <c r="AQ63" i="9"/>
  <c r="AR63" i="9"/>
  <c r="AL63" i="9"/>
  <c r="AL45" i="9"/>
  <c r="AM45" i="9"/>
  <c r="AN45" i="9"/>
  <c r="AO45" i="9"/>
  <c r="AP45" i="9"/>
  <c r="AQ45" i="9"/>
  <c r="AR45" i="9"/>
  <c r="AL46" i="9"/>
  <c r="AM46" i="9"/>
  <c r="AN46" i="9"/>
  <c r="AO46" i="9"/>
  <c r="AP46" i="9"/>
  <c r="AQ46" i="9"/>
  <c r="AR46" i="9"/>
  <c r="AL47" i="9"/>
  <c r="AM47" i="9"/>
  <c r="AN47" i="9"/>
  <c r="AO47" i="9"/>
  <c r="AP47" i="9"/>
  <c r="AQ47" i="9"/>
  <c r="AR47" i="9"/>
  <c r="AL48" i="9"/>
  <c r="AM48" i="9"/>
  <c r="AN48" i="9"/>
  <c r="AO48" i="9"/>
  <c r="AP48" i="9"/>
  <c r="AQ48" i="9"/>
  <c r="AR48" i="9"/>
  <c r="AL49" i="9"/>
  <c r="AM49" i="9"/>
  <c r="AN49" i="9"/>
  <c r="AO49" i="9"/>
  <c r="AP49" i="9"/>
  <c r="AQ49" i="9"/>
  <c r="AR49" i="9"/>
  <c r="AL50" i="9"/>
  <c r="AM50" i="9"/>
  <c r="AN50" i="9"/>
  <c r="AO50" i="9"/>
  <c r="AP50" i="9"/>
  <c r="AQ50" i="9"/>
  <c r="AR50" i="9"/>
  <c r="AL51" i="9"/>
  <c r="AM51" i="9"/>
  <c r="AN51" i="9"/>
  <c r="AO51" i="9"/>
  <c r="AP51" i="9"/>
  <c r="AQ51" i="9"/>
  <c r="AR51" i="9"/>
  <c r="AL52" i="9"/>
  <c r="AM52" i="9"/>
  <c r="AN52" i="9"/>
  <c r="AO52" i="9"/>
  <c r="AP52" i="9"/>
  <c r="AQ52" i="9"/>
  <c r="AR52" i="9"/>
  <c r="AL53" i="9"/>
  <c r="AM53" i="9"/>
  <c r="AN53" i="9"/>
  <c r="AO53" i="9"/>
  <c r="AP53" i="9"/>
  <c r="AQ53" i="9"/>
  <c r="AR53" i="9"/>
  <c r="AL54" i="9"/>
  <c r="AM54" i="9"/>
  <c r="AN54" i="9"/>
  <c r="AO54" i="9"/>
  <c r="AP54" i="9"/>
  <c r="AQ54" i="9"/>
  <c r="AR54" i="9"/>
  <c r="AL55" i="9"/>
  <c r="AM55" i="9"/>
  <c r="AN55" i="9"/>
  <c r="AO55" i="9"/>
  <c r="AP55" i="9"/>
  <c r="AQ55" i="9"/>
  <c r="AR55" i="9"/>
  <c r="AL56" i="9"/>
  <c r="AM56" i="9"/>
  <c r="AN56" i="9"/>
  <c r="AO56" i="9"/>
  <c r="AP56" i="9"/>
  <c r="AQ56" i="9"/>
  <c r="AR56" i="9"/>
  <c r="AL57" i="9"/>
  <c r="AM57" i="9"/>
  <c r="AN57" i="9"/>
  <c r="AO57" i="9"/>
  <c r="AP57" i="9"/>
  <c r="AQ57" i="9"/>
  <c r="AR57" i="9"/>
  <c r="AL58" i="9"/>
  <c r="AM58" i="9"/>
  <c r="AN58" i="9"/>
  <c r="AO58" i="9"/>
  <c r="AP58" i="9"/>
  <c r="AQ58" i="9"/>
  <c r="AR58" i="9"/>
  <c r="AM44" i="9"/>
  <c r="AN44" i="9"/>
  <c r="AO44" i="9"/>
  <c r="AP44" i="9"/>
  <c r="AQ44" i="9"/>
  <c r="AR44" i="9"/>
  <c r="AL44" i="9"/>
  <c r="AL26" i="9"/>
  <c r="AM26" i="9"/>
  <c r="AN26" i="9"/>
  <c r="AO26" i="9"/>
  <c r="AP26" i="9"/>
  <c r="AQ26" i="9"/>
  <c r="AR26" i="9"/>
  <c r="AL27" i="9"/>
  <c r="AM27" i="9"/>
  <c r="AN27" i="9"/>
  <c r="AO27" i="9"/>
  <c r="AP27" i="9"/>
  <c r="AQ27" i="9"/>
  <c r="AR27" i="9"/>
  <c r="AL28" i="9"/>
  <c r="AM28" i="9"/>
  <c r="AN28" i="9"/>
  <c r="AO28" i="9"/>
  <c r="AP28" i="9"/>
  <c r="AQ28" i="9"/>
  <c r="AR28" i="9"/>
  <c r="AL29" i="9"/>
  <c r="AM29" i="9"/>
  <c r="AN29" i="9"/>
  <c r="AO29" i="9"/>
  <c r="AP29" i="9"/>
  <c r="AQ29" i="9"/>
  <c r="AR29" i="9"/>
  <c r="AL30" i="9"/>
  <c r="AM30" i="9"/>
  <c r="AN30" i="9"/>
  <c r="AO30" i="9"/>
  <c r="AP30" i="9"/>
  <c r="AQ30" i="9"/>
  <c r="AR30" i="9"/>
  <c r="AL31" i="9"/>
  <c r="AM31" i="9"/>
  <c r="AN31" i="9"/>
  <c r="AO31" i="9"/>
  <c r="AP31" i="9"/>
  <c r="AQ31" i="9"/>
  <c r="AR31" i="9"/>
  <c r="AL32" i="9"/>
  <c r="AM32" i="9"/>
  <c r="AN32" i="9"/>
  <c r="AO32" i="9"/>
  <c r="AP32" i="9"/>
  <c r="AQ32" i="9"/>
  <c r="AR32" i="9"/>
  <c r="AL33" i="9"/>
  <c r="AM33" i="9"/>
  <c r="AN33" i="9"/>
  <c r="AO33" i="9"/>
  <c r="AP33" i="9"/>
  <c r="AQ33" i="9"/>
  <c r="AR33" i="9"/>
  <c r="AL34" i="9"/>
  <c r="AM34" i="9"/>
  <c r="AN34" i="9"/>
  <c r="AO34" i="9"/>
  <c r="AP34" i="9"/>
  <c r="AQ34" i="9"/>
  <c r="AR34" i="9"/>
  <c r="AL35" i="9"/>
  <c r="AM35" i="9"/>
  <c r="AN35" i="9"/>
  <c r="AO35" i="9"/>
  <c r="AP35" i="9"/>
  <c r="AQ35" i="9"/>
  <c r="AR35" i="9"/>
  <c r="AL36" i="9"/>
  <c r="AM36" i="9"/>
  <c r="AN36" i="9"/>
  <c r="AO36" i="9"/>
  <c r="AP36" i="9"/>
  <c r="AQ36" i="9"/>
  <c r="AR36" i="9"/>
  <c r="AL37" i="9"/>
  <c r="AM37" i="9"/>
  <c r="AN37" i="9"/>
  <c r="AO37" i="9"/>
  <c r="AP37" i="9"/>
  <c r="AQ37" i="9"/>
  <c r="AR37" i="9"/>
  <c r="AL38" i="9"/>
  <c r="AM38" i="9"/>
  <c r="AN38" i="9"/>
  <c r="AO38" i="9"/>
  <c r="AP38" i="9"/>
  <c r="AQ38" i="9"/>
  <c r="AR38" i="9"/>
  <c r="AL39" i="9"/>
  <c r="AM39" i="9"/>
  <c r="AN39" i="9"/>
  <c r="AO39" i="9"/>
  <c r="AP39" i="9"/>
  <c r="AQ39" i="9"/>
  <c r="AR39" i="9"/>
  <c r="AM25" i="9"/>
  <c r="AN25" i="9"/>
  <c r="AO25" i="9"/>
  <c r="AP25" i="9"/>
  <c r="AQ25" i="9"/>
  <c r="AR25" i="9"/>
  <c r="AL25" i="9"/>
  <c r="AL7" i="9"/>
  <c r="AM7" i="9"/>
  <c r="AN7" i="9"/>
  <c r="AO7" i="9"/>
  <c r="AP7" i="9"/>
  <c r="AQ7" i="9"/>
  <c r="AR7" i="9"/>
  <c r="AL8" i="9"/>
  <c r="AM8" i="9"/>
  <c r="AN8" i="9"/>
  <c r="AO8" i="9"/>
  <c r="AP8" i="9"/>
  <c r="AQ8" i="9"/>
  <c r="AR8" i="9"/>
  <c r="AL9" i="9"/>
  <c r="AM9" i="9"/>
  <c r="AN9" i="9"/>
  <c r="AO9" i="9"/>
  <c r="AP9" i="9"/>
  <c r="AQ9" i="9"/>
  <c r="AR9" i="9"/>
  <c r="AL10" i="9"/>
  <c r="AM10" i="9"/>
  <c r="AN10" i="9"/>
  <c r="AO10" i="9"/>
  <c r="AP10" i="9"/>
  <c r="AQ10" i="9"/>
  <c r="AR10" i="9"/>
  <c r="AL11" i="9"/>
  <c r="AM11" i="9"/>
  <c r="AN11" i="9"/>
  <c r="AO11" i="9"/>
  <c r="AP11" i="9"/>
  <c r="AQ11" i="9"/>
  <c r="AR11" i="9"/>
  <c r="AL12" i="9"/>
  <c r="AM12" i="9"/>
  <c r="AN12" i="9"/>
  <c r="AO12" i="9"/>
  <c r="AP12" i="9"/>
  <c r="AQ12" i="9"/>
  <c r="AR12" i="9"/>
  <c r="AL13" i="9"/>
  <c r="AM13" i="9"/>
  <c r="AN13" i="9"/>
  <c r="AO13" i="9"/>
  <c r="AP13" i="9"/>
  <c r="AQ13" i="9"/>
  <c r="AR13" i="9"/>
  <c r="AL14" i="9"/>
  <c r="AM14" i="9"/>
  <c r="AN14" i="9"/>
  <c r="AO14" i="9"/>
  <c r="AP14" i="9"/>
  <c r="AQ14" i="9"/>
  <c r="AR14" i="9"/>
  <c r="AL15" i="9"/>
  <c r="AM15" i="9"/>
  <c r="AN15" i="9"/>
  <c r="AO15" i="9"/>
  <c r="AP15" i="9"/>
  <c r="AQ15" i="9"/>
  <c r="AR15" i="9"/>
  <c r="AL16" i="9"/>
  <c r="AM16" i="9"/>
  <c r="AN16" i="9"/>
  <c r="AO16" i="9"/>
  <c r="AP16" i="9"/>
  <c r="AQ16" i="9"/>
  <c r="AR16" i="9"/>
  <c r="AL17" i="9"/>
  <c r="AM17" i="9"/>
  <c r="AN17" i="9"/>
  <c r="AO17" i="9"/>
  <c r="AP17" i="9"/>
  <c r="AQ17" i="9"/>
  <c r="AR17" i="9"/>
  <c r="AL18" i="9"/>
  <c r="AM18" i="9"/>
  <c r="AN18" i="9"/>
  <c r="AO18" i="9"/>
  <c r="AP18" i="9"/>
  <c r="AQ18" i="9"/>
  <c r="AR18" i="9"/>
  <c r="AL19" i="9"/>
  <c r="AM19" i="9"/>
  <c r="AN19" i="9"/>
  <c r="AO19" i="9"/>
  <c r="AP19" i="9"/>
  <c r="AQ19" i="9"/>
  <c r="AR19" i="9"/>
  <c r="AL20" i="9"/>
  <c r="AM20" i="9"/>
  <c r="AN20" i="9"/>
  <c r="AO20" i="9"/>
  <c r="AP20" i="9"/>
  <c r="AQ20" i="9"/>
  <c r="AR20" i="9"/>
  <c r="AM6" i="9"/>
  <c r="AN6" i="9"/>
  <c r="AO6" i="9"/>
  <c r="AP6" i="9"/>
  <c r="AQ6" i="9"/>
  <c r="AR6" i="9"/>
  <c r="AL6" i="9"/>
  <c r="AC140" i="9"/>
  <c r="AD140" i="9"/>
  <c r="AE140" i="9"/>
  <c r="AF140" i="9"/>
  <c r="AG140" i="9"/>
  <c r="AH140" i="9"/>
  <c r="AI140" i="9"/>
  <c r="AC141" i="9"/>
  <c r="AD141" i="9"/>
  <c r="AE141" i="9"/>
  <c r="AF141" i="9"/>
  <c r="AG141" i="9"/>
  <c r="AH141" i="9"/>
  <c r="AI141" i="9"/>
  <c r="AC142" i="9"/>
  <c r="AD142" i="9"/>
  <c r="AE142" i="9"/>
  <c r="AF142" i="9"/>
  <c r="AG142" i="9"/>
  <c r="AH142" i="9"/>
  <c r="AI142" i="9"/>
  <c r="AC143" i="9"/>
  <c r="AD143" i="9"/>
  <c r="AE143" i="9"/>
  <c r="AF143" i="9"/>
  <c r="AG143" i="9"/>
  <c r="AH143" i="9"/>
  <c r="AI143" i="9"/>
  <c r="AC144" i="9"/>
  <c r="AD144" i="9"/>
  <c r="AE144" i="9"/>
  <c r="AF144" i="9"/>
  <c r="AG144" i="9"/>
  <c r="AH144" i="9"/>
  <c r="AI144" i="9"/>
  <c r="AC145" i="9"/>
  <c r="AD145" i="9"/>
  <c r="AE145" i="9"/>
  <c r="AF145" i="9"/>
  <c r="AG145" i="9"/>
  <c r="AH145" i="9"/>
  <c r="AI145" i="9"/>
  <c r="AC146" i="9"/>
  <c r="AD146" i="9"/>
  <c r="AE146" i="9"/>
  <c r="AF146" i="9"/>
  <c r="AG146" i="9"/>
  <c r="AH146" i="9"/>
  <c r="AI146" i="9"/>
  <c r="AC147" i="9"/>
  <c r="AD147" i="9"/>
  <c r="AE147" i="9"/>
  <c r="AF147" i="9"/>
  <c r="AG147" i="9"/>
  <c r="AH147" i="9"/>
  <c r="AI147" i="9"/>
  <c r="AC148" i="9"/>
  <c r="AD148" i="9"/>
  <c r="AE148" i="9"/>
  <c r="AF148" i="9"/>
  <c r="AG148" i="9"/>
  <c r="AH148" i="9"/>
  <c r="AI148" i="9"/>
  <c r="AC149" i="9"/>
  <c r="AD149" i="9"/>
  <c r="AE149" i="9"/>
  <c r="AF149" i="9"/>
  <c r="AG149" i="9"/>
  <c r="AH149" i="9"/>
  <c r="AI149" i="9"/>
  <c r="AC150" i="9"/>
  <c r="AD150" i="9"/>
  <c r="AE150" i="9"/>
  <c r="AF150" i="9"/>
  <c r="AG150" i="9"/>
  <c r="AH150" i="9"/>
  <c r="AI150" i="9"/>
  <c r="AC151" i="9"/>
  <c r="AD151" i="9"/>
  <c r="AE151" i="9"/>
  <c r="AF151" i="9"/>
  <c r="AG151" i="9"/>
  <c r="AH151" i="9"/>
  <c r="AI151" i="9"/>
  <c r="AC152" i="9"/>
  <c r="AD152" i="9"/>
  <c r="AE152" i="9"/>
  <c r="AF152" i="9"/>
  <c r="AG152" i="9"/>
  <c r="AH152" i="9"/>
  <c r="AI152" i="9"/>
  <c r="AC153" i="9"/>
  <c r="AD153" i="9"/>
  <c r="AE153" i="9"/>
  <c r="AF153" i="9"/>
  <c r="AG153" i="9"/>
  <c r="AH153" i="9"/>
  <c r="AI153" i="9"/>
  <c r="AD139" i="9"/>
  <c r="AE139" i="9"/>
  <c r="AF139" i="9"/>
  <c r="AG139" i="9"/>
  <c r="AH139" i="9"/>
  <c r="AI139" i="9"/>
  <c r="AC139" i="9"/>
  <c r="AC121" i="9"/>
  <c r="AD121" i="9"/>
  <c r="AE121" i="9"/>
  <c r="AF121" i="9"/>
  <c r="AG121" i="9"/>
  <c r="AH121" i="9"/>
  <c r="AI121" i="9"/>
  <c r="AC122" i="9"/>
  <c r="AD122" i="9"/>
  <c r="AE122" i="9"/>
  <c r="AF122" i="9"/>
  <c r="AG122" i="9"/>
  <c r="AH122" i="9"/>
  <c r="AI122" i="9"/>
  <c r="AC123" i="9"/>
  <c r="AD123" i="9"/>
  <c r="AE123" i="9"/>
  <c r="AF123" i="9"/>
  <c r="AG123" i="9"/>
  <c r="AH123" i="9"/>
  <c r="AI123" i="9"/>
  <c r="AC124" i="9"/>
  <c r="AD124" i="9"/>
  <c r="AE124" i="9"/>
  <c r="AF124" i="9"/>
  <c r="AG124" i="9"/>
  <c r="AH124" i="9"/>
  <c r="AI124" i="9"/>
  <c r="AC125" i="9"/>
  <c r="AD125" i="9"/>
  <c r="AE125" i="9"/>
  <c r="AF125" i="9"/>
  <c r="AG125" i="9"/>
  <c r="AH125" i="9"/>
  <c r="AI125" i="9"/>
  <c r="AC126" i="9"/>
  <c r="AD126" i="9"/>
  <c r="AE126" i="9"/>
  <c r="AF126" i="9"/>
  <c r="AG126" i="9"/>
  <c r="AH126" i="9"/>
  <c r="AI126" i="9"/>
  <c r="AC127" i="9"/>
  <c r="AD127" i="9"/>
  <c r="AE127" i="9"/>
  <c r="AF127" i="9"/>
  <c r="AG127" i="9"/>
  <c r="AH127" i="9"/>
  <c r="AI127" i="9"/>
  <c r="AC128" i="9"/>
  <c r="AD128" i="9"/>
  <c r="AE128" i="9"/>
  <c r="AF128" i="9"/>
  <c r="AG128" i="9"/>
  <c r="AH128" i="9"/>
  <c r="AI128" i="9"/>
  <c r="AC129" i="9"/>
  <c r="AD129" i="9"/>
  <c r="AE129" i="9"/>
  <c r="AF129" i="9"/>
  <c r="AG129" i="9"/>
  <c r="AH129" i="9"/>
  <c r="AI129" i="9"/>
  <c r="AC130" i="9"/>
  <c r="AD130" i="9"/>
  <c r="AE130" i="9"/>
  <c r="AF130" i="9"/>
  <c r="AG130" i="9"/>
  <c r="AH130" i="9"/>
  <c r="AI130" i="9"/>
  <c r="AC131" i="9"/>
  <c r="AD131" i="9"/>
  <c r="AE131" i="9"/>
  <c r="AF131" i="9"/>
  <c r="AG131" i="9"/>
  <c r="AH131" i="9"/>
  <c r="AI131" i="9"/>
  <c r="AC132" i="9"/>
  <c r="AD132" i="9"/>
  <c r="AE132" i="9"/>
  <c r="AF132" i="9"/>
  <c r="AG132" i="9"/>
  <c r="AH132" i="9"/>
  <c r="AI132" i="9"/>
  <c r="AC133" i="9"/>
  <c r="AD133" i="9"/>
  <c r="AE133" i="9"/>
  <c r="AF133" i="9"/>
  <c r="AG133" i="9"/>
  <c r="AH133" i="9"/>
  <c r="AI133" i="9"/>
  <c r="AC134" i="9"/>
  <c r="AD134" i="9"/>
  <c r="AE134" i="9"/>
  <c r="AF134" i="9"/>
  <c r="AG134" i="9"/>
  <c r="AH134" i="9"/>
  <c r="AI134" i="9"/>
  <c r="AD120" i="9"/>
  <c r="AE120" i="9"/>
  <c r="AF120" i="9"/>
  <c r="AG120" i="9"/>
  <c r="AH120" i="9"/>
  <c r="AI120" i="9"/>
  <c r="AC120" i="9"/>
  <c r="AC102" i="9"/>
  <c r="AD102" i="9"/>
  <c r="AE102" i="9"/>
  <c r="AF102" i="9"/>
  <c r="AG102" i="9"/>
  <c r="AH102" i="9"/>
  <c r="AI102" i="9"/>
  <c r="AC103" i="9"/>
  <c r="AD103" i="9"/>
  <c r="AE103" i="9"/>
  <c r="AF103" i="9"/>
  <c r="AG103" i="9"/>
  <c r="AH103" i="9"/>
  <c r="AI103" i="9"/>
  <c r="AC104" i="9"/>
  <c r="AD104" i="9"/>
  <c r="AE104" i="9"/>
  <c r="AF104" i="9"/>
  <c r="AG104" i="9"/>
  <c r="AH104" i="9"/>
  <c r="AI104" i="9"/>
  <c r="AC105" i="9"/>
  <c r="AD105" i="9"/>
  <c r="AE105" i="9"/>
  <c r="AF105" i="9"/>
  <c r="AG105" i="9"/>
  <c r="AH105" i="9"/>
  <c r="AI105" i="9"/>
  <c r="AC106" i="9"/>
  <c r="AD106" i="9"/>
  <c r="AE106" i="9"/>
  <c r="AF106" i="9"/>
  <c r="AG106" i="9"/>
  <c r="AH106" i="9"/>
  <c r="AI106" i="9"/>
  <c r="AC107" i="9"/>
  <c r="AD107" i="9"/>
  <c r="AE107" i="9"/>
  <c r="AF107" i="9"/>
  <c r="AG107" i="9"/>
  <c r="AH107" i="9"/>
  <c r="AI107" i="9"/>
  <c r="AC108" i="9"/>
  <c r="AD108" i="9"/>
  <c r="AE108" i="9"/>
  <c r="AF108" i="9"/>
  <c r="AG108" i="9"/>
  <c r="AH108" i="9"/>
  <c r="AI108" i="9"/>
  <c r="AC109" i="9"/>
  <c r="AD109" i="9"/>
  <c r="AE109" i="9"/>
  <c r="AF109" i="9"/>
  <c r="AG109" i="9"/>
  <c r="AH109" i="9"/>
  <c r="AI109" i="9"/>
  <c r="AC110" i="9"/>
  <c r="AD110" i="9"/>
  <c r="AE110" i="9"/>
  <c r="AF110" i="9"/>
  <c r="AG110" i="9"/>
  <c r="AH110" i="9"/>
  <c r="AI110" i="9"/>
  <c r="AC111" i="9"/>
  <c r="AD111" i="9"/>
  <c r="AE111" i="9"/>
  <c r="AF111" i="9"/>
  <c r="AG111" i="9"/>
  <c r="AH111" i="9"/>
  <c r="AI111" i="9"/>
  <c r="AC112" i="9"/>
  <c r="AD112" i="9"/>
  <c r="AE112" i="9"/>
  <c r="AF112" i="9"/>
  <c r="AG112" i="9"/>
  <c r="AH112" i="9"/>
  <c r="AI112" i="9"/>
  <c r="AC113" i="9"/>
  <c r="AD113" i="9"/>
  <c r="AE113" i="9"/>
  <c r="AF113" i="9"/>
  <c r="AG113" i="9"/>
  <c r="AH113" i="9"/>
  <c r="AI113" i="9"/>
  <c r="AC114" i="9"/>
  <c r="AD114" i="9"/>
  <c r="AE114" i="9"/>
  <c r="AF114" i="9"/>
  <c r="AG114" i="9"/>
  <c r="AH114" i="9"/>
  <c r="AI114" i="9"/>
  <c r="AC115" i="9"/>
  <c r="AD115" i="9"/>
  <c r="AE115" i="9"/>
  <c r="AF115" i="9"/>
  <c r="AG115" i="9"/>
  <c r="AH115" i="9"/>
  <c r="AI115" i="9"/>
  <c r="AD101" i="9"/>
  <c r="AE101" i="9"/>
  <c r="AF101" i="9"/>
  <c r="AG101" i="9"/>
  <c r="AH101" i="9"/>
  <c r="AI101" i="9"/>
  <c r="AC101" i="9"/>
  <c r="AC83" i="9"/>
  <c r="AD83" i="9"/>
  <c r="AE83" i="9"/>
  <c r="AF83" i="9"/>
  <c r="AG83" i="9"/>
  <c r="AH83" i="9"/>
  <c r="AI83" i="9"/>
  <c r="AC84" i="9"/>
  <c r="AD84" i="9"/>
  <c r="AE84" i="9"/>
  <c r="AF84" i="9"/>
  <c r="AG84" i="9"/>
  <c r="AH84" i="9"/>
  <c r="AI84" i="9"/>
  <c r="AC85" i="9"/>
  <c r="AD85" i="9"/>
  <c r="AE85" i="9"/>
  <c r="AF85" i="9"/>
  <c r="AG85" i="9"/>
  <c r="AH85" i="9"/>
  <c r="AI85" i="9"/>
  <c r="AC86" i="9"/>
  <c r="AD86" i="9"/>
  <c r="AE86" i="9"/>
  <c r="AF86" i="9"/>
  <c r="AG86" i="9"/>
  <c r="AH86" i="9"/>
  <c r="AI86" i="9"/>
  <c r="AC87" i="9"/>
  <c r="AD87" i="9"/>
  <c r="AE87" i="9"/>
  <c r="AF87" i="9"/>
  <c r="AG87" i="9"/>
  <c r="AH87" i="9"/>
  <c r="AI87" i="9"/>
  <c r="AC88" i="9"/>
  <c r="AD88" i="9"/>
  <c r="AE88" i="9"/>
  <c r="AF88" i="9"/>
  <c r="AG88" i="9"/>
  <c r="AH88" i="9"/>
  <c r="AI88" i="9"/>
  <c r="AC89" i="9"/>
  <c r="AD89" i="9"/>
  <c r="AE89" i="9"/>
  <c r="AF89" i="9"/>
  <c r="AG89" i="9"/>
  <c r="AH89" i="9"/>
  <c r="AI89" i="9"/>
  <c r="AC90" i="9"/>
  <c r="AD90" i="9"/>
  <c r="AE90" i="9"/>
  <c r="AF90" i="9"/>
  <c r="AG90" i="9"/>
  <c r="AH90" i="9"/>
  <c r="AI90" i="9"/>
  <c r="AC91" i="9"/>
  <c r="AD91" i="9"/>
  <c r="AE91" i="9"/>
  <c r="AF91" i="9"/>
  <c r="AG91" i="9"/>
  <c r="AH91" i="9"/>
  <c r="AI91" i="9"/>
  <c r="AC92" i="9"/>
  <c r="AD92" i="9"/>
  <c r="AE92" i="9"/>
  <c r="AF92" i="9"/>
  <c r="AG92" i="9"/>
  <c r="AH92" i="9"/>
  <c r="AI92" i="9"/>
  <c r="AC93" i="9"/>
  <c r="AD93" i="9"/>
  <c r="AE93" i="9"/>
  <c r="AF93" i="9"/>
  <c r="AG93" i="9"/>
  <c r="AH93" i="9"/>
  <c r="AI93" i="9"/>
  <c r="AC94" i="9"/>
  <c r="AD94" i="9"/>
  <c r="AE94" i="9"/>
  <c r="AF94" i="9"/>
  <c r="AG94" i="9"/>
  <c r="AH94" i="9"/>
  <c r="AI94" i="9"/>
  <c r="AC95" i="9"/>
  <c r="AD95" i="9"/>
  <c r="AE95" i="9"/>
  <c r="AF95" i="9"/>
  <c r="AG95" i="9"/>
  <c r="AH95" i="9"/>
  <c r="AI95" i="9"/>
  <c r="AC96" i="9"/>
  <c r="AD96" i="9"/>
  <c r="AE96" i="9"/>
  <c r="AF96" i="9"/>
  <c r="AG96" i="9"/>
  <c r="AH96" i="9"/>
  <c r="AI96" i="9"/>
  <c r="AD82" i="9"/>
  <c r="AE82" i="9"/>
  <c r="AF82" i="9"/>
  <c r="AG82" i="9"/>
  <c r="AH82" i="9"/>
  <c r="AI82" i="9"/>
  <c r="AC82" i="9"/>
  <c r="AC64" i="9"/>
  <c r="AD64" i="9"/>
  <c r="AE64" i="9"/>
  <c r="AF64" i="9"/>
  <c r="AG64" i="9"/>
  <c r="AH64" i="9"/>
  <c r="AI64" i="9"/>
  <c r="AC65" i="9"/>
  <c r="AD65" i="9"/>
  <c r="AE65" i="9"/>
  <c r="AF65" i="9"/>
  <c r="AG65" i="9"/>
  <c r="AH65" i="9"/>
  <c r="AI65" i="9"/>
  <c r="AC66" i="9"/>
  <c r="AD66" i="9"/>
  <c r="AE66" i="9"/>
  <c r="AF66" i="9"/>
  <c r="AG66" i="9"/>
  <c r="AH66" i="9"/>
  <c r="AI66" i="9"/>
  <c r="AC67" i="9"/>
  <c r="AD67" i="9"/>
  <c r="AE67" i="9"/>
  <c r="AF67" i="9"/>
  <c r="AG67" i="9"/>
  <c r="AH67" i="9"/>
  <c r="AI67" i="9"/>
  <c r="AC68" i="9"/>
  <c r="AD68" i="9"/>
  <c r="AE68" i="9"/>
  <c r="AF68" i="9"/>
  <c r="AG68" i="9"/>
  <c r="AH68" i="9"/>
  <c r="AI68" i="9"/>
  <c r="AC69" i="9"/>
  <c r="AD69" i="9"/>
  <c r="AE69" i="9"/>
  <c r="AF69" i="9"/>
  <c r="AG69" i="9"/>
  <c r="AH69" i="9"/>
  <c r="AI69" i="9"/>
  <c r="AC70" i="9"/>
  <c r="AD70" i="9"/>
  <c r="AE70" i="9"/>
  <c r="AF70" i="9"/>
  <c r="AG70" i="9"/>
  <c r="AH70" i="9"/>
  <c r="AI70" i="9"/>
  <c r="AC71" i="9"/>
  <c r="AD71" i="9"/>
  <c r="AE71" i="9"/>
  <c r="AF71" i="9"/>
  <c r="AG71" i="9"/>
  <c r="AH71" i="9"/>
  <c r="AI71" i="9"/>
  <c r="AC72" i="9"/>
  <c r="AD72" i="9"/>
  <c r="AE72" i="9"/>
  <c r="AF72" i="9"/>
  <c r="AG72" i="9"/>
  <c r="AH72" i="9"/>
  <c r="AI72" i="9"/>
  <c r="AC73" i="9"/>
  <c r="AD73" i="9"/>
  <c r="AE73" i="9"/>
  <c r="AF73" i="9"/>
  <c r="AG73" i="9"/>
  <c r="AH73" i="9"/>
  <c r="AI73" i="9"/>
  <c r="AC74" i="9"/>
  <c r="AD74" i="9"/>
  <c r="AE74" i="9"/>
  <c r="AF74" i="9"/>
  <c r="AG74" i="9"/>
  <c r="AH74" i="9"/>
  <c r="AI74" i="9"/>
  <c r="AC75" i="9"/>
  <c r="AD75" i="9"/>
  <c r="AE75" i="9"/>
  <c r="AF75" i="9"/>
  <c r="AG75" i="9"/>
  <c r="AH75" i="9"/>
  <c r="AI75" i="9"/>
  <c r="AC76" i="9"/>
  <c r="AD76" i="9"/>
  <c r="AE76" i="9"/>
  <c r="AF76" i="9"/>
  <c r="AG76" i="9"/>
  <c r="AH76" i="9"/>
  <c r="AI76" i="9"/>
  <c r="AC77" i="9"/>
  <c r="AD77" i="9"/>
  <c r="AE77" i="9"/>
  <c r="AF77" i="9"/>
  <c r="AG77" i="9"/>
  <c r="AH77" i="9"/>
  <c r="AI77" i="9"/>
  <c r="AD63" i="9"/>
  <c r="AE63" i="9"/>
  <c r="AF63" i="9"/>
  <c r="AG63" i="9"/>
  <c r="AH63" i="9"/>
  <c r="AI63" i="9"/>
  <c r="AC63" i="9"/>
  <c r="AC45" i="9"/>
  <c r="AD45" i="9"/>
  <c r="AE45" i="9"/>
  <c r="AF45" i="9"/>
  <c r="AG45" i="9"/>
  <c r="AH45" i="9"/>
  <c r="AI45" i="9"/>
  <c r="AC46" i="9"/>
  <c r="AD46" i="9"/>
  <c r="AE46" i="9"/>
  <c r="AF46" i="9"/>
  <c r="AG46" i="9"/>
  <c r="AH46" i="9"/>
  <c r="AI46" i="9"/>
  <c r="AC47" i="9"/>
  <c r="AD47" i="9"/>
  <c r="AE47" i="9"/>
  <c r="AF47" i="9"/>
  <c r="AG47" i="9"/>
  <c r="AH47" i="9"/>
  <c r="AI47" i="9"/>
  <c r="AC48" i="9"/>
  <c r="AD48" i="9"/>
  <c r="AE48" i="9"/>
  <c r="AF48" i="9"/>
  <c r="AG48" i="9"/>
  <c r="AH48" i="9"/>
  <c r="AI48" i="9"/>
  <c r="AC49" i="9"/>
  <c r="AD49" i="9"/>
  <c r="AE49" i="9"/>
  <c r="AF49" i="9"/>
  <c r="AG49" i="9"/>
  <c r="AH49" i="9"/>
  <c r="AI49" i="9"/>
  <c r="AC50" i="9"/>
  <c r="AD50" i="9"/>
  <c r="AE50" i="9"/>
  <c r="AF50" i="9"/>
  <c r="AG50" i="9"/>
  <c r="AH50" i="9"/>
  <c r="AI50" i="9"/>
  <c r="AC51" i="9"/>
  <c r="AD51" i="9"/>
  <c r="AE51" i="9"/>
  <c r="AF51" i="9"/>
  <c r="AG51" i="9"/>
  <c r="AH51" i="9"/>
  <c r="AI51" i="9"/>
  <c r="AC52" i="9"/>
  <c r="AD52" i="9"/>
  <c r="AE52" i="9"/>
  <c r="AF52" i="9"/>
  <c r="AG52" i="9"/>
  <c r="AH52" i="9"/>
  <c r="AI52" i="9"/>
  <c r="AC53" i="9"/>
  <c r="AD53" i="9"/>
  <c r="AE53" i="9"/>
  <c r="AF53" i="9"/>
  <c r="AG53" i="9"/>
  <c r="AH53" i="9"/>
  <c r="AI53" i="9"/>
  <c r="AC54" i="9"/>
  <c r="AD54" i="9"/>
  <c r="AE54" i="9"/>
  <c r="AF54" i="9"/>
  <c r="AG54" i="9"/>
  <c r="AH54" i="9"/>
  <c r="AI54" i="9"/>
  <c r="AC55" i="9"/>
  <c r="AD55" i="9"/>
  <c r="AE55" i="9"/>
  <c r="AF55" i="9"/>
  <c r="AG55" i="9"/>
  <c r="AH55" i="9"/>
  <c r="AI55" i="9"/>
  <c r="AC56" i="9"/>
  <c r="AD56" i="9"/>
  <c r="AE56" i="9"/>
  <c r="AF56" i="9"/>
  <c r="AG56" i="9"/>
  <c r="AH56" i="9"/>
  <c r="AI56" i="9"/>
  <c r="AC57" i="9"/>
  <c r="AD57" i="9"/>
  <c r="AE57" i="9"/>
  <c r="AF57" i="9"/>
  <c r="AG57" i="9"/>
  <c r="AH57" i="9"/>
  <c r="AI57" i="9"/>
  <c r="AC58" i="9"/>
  <c r="AD58" i="9"/>
  <c r="AE58" i="9"/>
  <c r="AF58" i="9"/>
  <c r="AG58" i="9"/>
  <c r="AH58" i="9"/>
  <c r="AI58" i="9"/>
  <c r="AD44" i="9"/>
  <c r="AE44" i="9"/>
  <c r="AF44" i="9"/>
  <c r="AG44" i="9"/>
  <c r="AH44" i="9"/>
  <c r="AI44" i="9"/>
  <c r="AC44" i="9"/>
  <c r="AC26" i="9"/>
  <c r="AD26" i="9"/>
  <c r="AE26" i="9"/>
  <c r="AF26" i="9"/>
  <c r="AG26" i="9"/>
  <c r="AH26" i="9"/>
  <c r="AI26" i="9"/>
  <c r="AC27" i="9"/>
  <c r="AD27" i="9"/>
  <c r="AE27" i="9"/>
  <c r="AF27" i="9"/>
  <c r="AG27" i="9"/>
  <c r="AH27" i="9"/>
  <c r="AI27" i="9"/>
  <c r="AC28" i="9"/>
  <c r="AD28" i="9"/>
  <c r="AE28" i="9"/>
  <c r="AF28" i="9"/>
  <c r="AG28" i="9"/>
  <c r="AH28" i="9"/>
  <c r="AI28" i="9"/>
  <c r="AC29" i="9"/>
  <c r="AD29" i="9"/>
  <c r="AE29" i="9"/>
  <c r="AF29" i="9"/>
  <c r="AG29" i="9"/>
  <c r="AH29" i="9"/>
  <c r="AI29" i="9"/>
  <c r="AC30" i="9"/>
  <c r="AD30" i="9"/>
  <c r="AE30" i="9"/>
  <c r="AF30" i="9"/>
  <c r="AG30" i="9"/>
  <c r="AH30" i="9"/>
  <c r="AI30" i="9"/>
  <c r="AC31" i="9"/>
  <c r="AD31" i="9"/>
  <c r="AE31" i="9"/>
  <c r="AF31" i="9"/>
  <c r="AG31" i="9"/>
  <c r="AH31" i="9"/>
  <c r="AI31" i="9"/>
  <c r="AC32" i="9"/>
  <c r="AD32" i="9"/>
  <c r="AE32" i="9"/>
  <c r="AF32" i="9"/>
  <c r="AG32" i="9"/>
  <c r="AH32" i="9"/>
  <c r="AI32" i="9"/>
  <c r="AC33" i="9"/>
  <c r="AD33" i="9"/>
  <c r="AE33" i="9"/>
  <c r="AF33" i="9"/>
  <c r="AG33" i="9"/>
  <c r="AH33" i="9"/>
  <c r="AI33" i="9"/>
  <c r="AC34" i="9"/>
  <c r="AD34" i="9"/>
  <c r="AE34" i="9"/>
  <c r="AF34" i="9"/>
  <c r="AG34" i="9"/>
  <c r="AH34" i="9"/>
  <c r="AI34" i="9"/>
  <c r="AC35" i="9"/>
  <c r="AD35" i="9"/>
  <c r="AE35" i="9"/>
  <c r="AF35" i="9"/>
  <c r="AG35" i="9"/>
  <c r="AH35" i="9"/>
  <c r="AI35" i="9"/>
  <c r="AC36" i="9"/>
  <c r="AD36" i="9"/>
  <c r="AE36" i="9"/>
  <c r="AF36" i="9"/>
  <c r="AG36" i="9"/>
  <c r="AH36" i="9"/>
  <c r="AI36" i="9"/>
  <c r="AC37" i="9"/>
  <c r="AD37" i="9"/>
  <c r="AE37" i="9"/>
  <c r="AF37" i="9"/>
  <c r="AG37" i="9"/>
  <c r="AH37" i="9"/>
  <c r="AI37" i="9"/>
  <c r="AC38" i="9"/>
  <c r="AD38" i="9"/>
  <c r="AE38" i="9"/>
  <c r="AF38" i="9"/>
  <c r="AG38" i="9"/>
  <c r="AH38" i="9"/>
  <c r="AI38" i="9"/>
  <c r="AC39" i="9"/>
  <c r="AD39" i="9"/>
  <c r="AE39" i="9"/>
  <c r="AF39" i="9"/>
  <c r="AG39" i="9"/>
  <c r="AH39" i="9"/>
  <c r="AI39" i="9"/>
  <c r="AD25" i="9"/>
  <c r="AE25" i="9"/>
  <c r="AF25" i="9"/>
  <c r="AG25" i="9"/>
  <c r="AH25" i="9"/>
  <c r="AI25" i="9"/>
  <c r="AC25" i="9"/>
  <c r="AC7" i="9"/>
  <c r="AD7" i="9"/>
  <c r="AE7" i="9"/>
  <c r="AF7" i="9"/>
  <c r="AG7" i="9"/>
  <c r="AH7" i="9"/>
  <c r="AI7" i="9"/>
  <c r="AC8" i="9"/>
  <c r="AD8" i="9"/>
  <c r="AE8" i="9"/>
  <c r="AF8" i="9"/>
  <c r="AG8" i="9"/>
  <c r="AH8" i="9"/>
  <c r="AI8" i="9"/>
  <c r="AC9" i="9"/>
  <c r="AD9" i="9"/>
  <c r="AE9" i="9"/>
  <c r="AF9" i="9"/>
  <c r="AG9" i="9"/>
  <c r="AH9" i="9"/>
  <c r="AI9" i="9"/>
  <c r="AC10" i="9"/>
  <c r="AD10" i="9"/>
  <c r="AE10" i="9"/>
  <c r="AF10" i="9"/>
  <c r="AG10" i="9"/>
  <c r="AH10" i="9"/>
  <c r="AI10" i="9"/>
  <c r="AC11" i="9"/>
  <c r="AD11" i="9"/>
  <c r="AE11" i="9"/>
  <c r="AF11" i="9"/>
  <c r="AG11" i="9"/>
  <c r="AH11" i="9"/>
  <c r="AI11" i="9"/>
  <c r="AC12" i="9"/>
  <c r="AD12" i="9"/>
  <c r="AE12" i="9"/>
  <c r="AF12" i="9"/>
  <c r="AG12" i="9"/>
  <c r="AH12" i="9"/>
  <c r="AI12" i="9"/>
  <c r="AC13" i="9"/>
  <c r="AD13" i="9"/>
  <c r="AE13" i="9"/>
  <c r="AF13" i="9"/>
  <c r="AG13" i="9"/>
  <c r="AH13" i="9"/>
  <c r="AI13" i="9"/>
  <c r="AC14" i="9"/>
  <c r="AD14" i="9"/>
  <c r="AE14" i="9"/>
  <c r="AF14" i="9"/>
  <c r="AG14" i="9"/>
  <c r="AH14" i="9"/>
  <c r="AI14" i="9"/>
  <c r="AC15" i="9"/>
  <c r="AD15" i="9"/>
  <c r="AE15" i="9"/>
  <c r="AF15" i="9"/>
  <c r="AG15" i="9"/>
  <c r="AH15" i="9"/>
  <c r="AI15" i="9"/>
  <c r="AC16" i="9"/>
  <c r="AD16" i="9"/>
  <c r="AE16" i="9"/>
  <c r="AF16" i="9"/>
  <c r="AG16" i="9"/>
  <c r="AH16" i="9"/>
  <c r="AI16" i="9"/>
  <c r="AC17" i="9"/>
  <c r="AD17" i="9"/>
  <c r="AE17" i="9"/>
  <c r="AF17" i="9"/>
  <c r="AG17" i="9"/>
  <c r="AH17" i="9"/>
  <c r="AI17" i="9"/>
  <c r="AC18" i="9"/>
  <c r="AD18" i="9"/>
  <c r="AE18" i="9"/>
  <c r="AF18" i="9"/>
  <c r="AG18" i="9"/>
  <c r="AH18" i="9"/>
  <c r="AI18" i="9"/>
  <c r="AC19" i="9"/>
  <c r="AD19" i="9"/>
  <c r="AE19" i="9"/>
  <c r="AF19" i="9"/>
  <c r="AG19" i="9"/>
  <c r="AH19" i="9"/>
  <c r="AI19" i="9"/>
  <c r="AC20" i="9"/>
  <c r="AD20" i="9"/>
  <c r="AE20" i="9"/>
  <c r="AF20" i="9"/>
  <c r="AG20" i="9"/>
  <c r="AH20" i="9"/>
  <c r="AI20" i="9"/>
  <c r="AD6" i="9"/>
  <c r="AE6" i="9"/>
  <c r="AF6" i="9"/>
  <c r="AG6" i="9"/>
  <c r="AH6" i="9"/>
  <c r="AI6" i="9"/>
  <c r="AC6" i="9"/>
  <c r="T140" i="9"/>
  <c r="U140" i="9"/>
  <c r="V140" i="9"/>
  <c r="W140" i="9"/>
  <c r="X140" i="9"/>
  <c r="Y140" i="9"/>
  <c r="Z140" i="9"/>
  <c r="T141" i="9"/>
  <c r="U141" i="9"/>
  <c r="V141" i="9"/>
  <c r="W141" i="9"/>
  <c r="X141" i="9"/>
  <c r="Y141" i="9"/>
  <c r="Z141" i="9"/>
  <c r="T142" i="9"/>
  <c r="U142" i="9"/>
  <c r="V142" i="9"/>
  <c r="W142" i="9"/>
  <c r="X142" i="9"/>
  <c r="Y142" i="9"/>
  <c r="Z142" i="9"/>
  <c r="T143" i="9"/>
  <c r="U143" i="9"/>
  <c r="V143" i="9"/>
  <c r="W143" i="9"/>
  <c r="X143" i="9"/>
  <c r="Y143" i="9"/>
  <c r="Z143" i="9"/>
  <c r="T144" i="9"/>
  <c r="U144" i="9"/>
  <c r="V144" i="9"/>
  <c r="W144" i="9"/>
  <c r="X144" i="9"/>
  <c r="Y144" i="9"/>
  <c r="Z144" i="9"/>
  <c r="T145" i="9"/>
  <c r="U145" i="9"/>
  <c r="V145" i="9"/>
  <c r="W145" i="9"/>
  <c r="X145" i="9"/>
  <c r="Y145" i="9"/>
  <c r="Z145" i="9"/>
  <c r="T146" i="9"/>
  <c r="U146" i="9"/>
  <c r="V146" i="9"/>
  <c r="W146" i="9"/>
  <c r="X146" i="9"/>
  <c r="Y146" i="9"/>
  <c r="Z146" i="9"/>
  <c r="T147" i="9"/>
  <c r="U147" i="9"/>
  <c r="V147" i="9"/>
  <c r="W147" i="9"/>
  <c r="X147" i="9"/>
  <c r="Y147" i="9"/>
  <c r="Z147" i="9"/>
  <c r="T148" i="9"/>
  <c r="U148" i="9"/>
  <c r="V148" i="9"/>
  <c r="W148" i="9"/>
  <c r="X148" i="9"/>
  <c r="Y148" i="9"/>
  <c r="Z148" i="9"/>
  <c r="T149" i="9"/>
  <c r="U149" i="9"/>
  <c r="V149" i="9"/>
  <c r="W149" i="9"/>
  <c r="X149" i="9"/>
  <c r="Y149" i="9"/>
  <c r="Z149" i="9"/>
  <c r="T150" i="9"/>
  <c r="U150" i="9"/>
  <c r="V150" i="9"/>
  <c r="W150" i="9"/>
  <c r="X150" i="9"/>
  <c r="Y150" i="9"/>
  <c r="Z150" i="9"/>
  <c r="T151" i="9"/>
  <c r="U151" i="9"/>
  <c r="V151" i="9"/>
  <c r="W151" i="9"/>
  <c r="X151" i="9"/>
  <c r="Y151" i="9"/>
  <c r="Z151" i="9"/>
  <c r="T152" i="9"/>
  <c r="U152" i="9"/>
  <c r="V152" i="9"/>
  <c r="W152" i="9"/>
  <c r="X152" i="9"/>
  <c r="Y152" i="9"/>
  <c r="Z152" i="9"/>
  <c r="T153" i="9"/>
  <c r="U153" i="9"/>
  <c r="V153" i="9"/>
  <c r="W153" i="9"/>
  <c r="X153" i="9"/>
  <c r="Y153" i="9"/>
  <c r="Z153" i="9"/>
  <c r="U139" i="9"/>
  <c r="V139" i="9"/>
  <c r="W139" i="9"/>
  <c r="X139" i="9"/>
  <c r="Y139" i="9"/>
  <c r="Z139" i="9"/>
  <c r="T139" i="9"/>
  <c r="T121" i="9"/>
  <c r="U121" i="9"/>
  <c r="V121" i="9"/>
  <c r="W121" i="9"/>
  <c r="X121" i="9"/>
  <c r="Y121" i="9"/>
  <c r="Z121" i="9"/>
  <c r="T122" i="9"/>
  <c r="U122" i="9"/>
  <c r="V122" i="9"/>
  <c r="W122" i="9"/>
  <c r="X122" i="9"/>
  <c r="Y122" i="9"/>
  <c r="Z122" i="9"/>
  <c r="T123" i="9"/>
  <c r="U123" i="9"/>
  <c r="V123" i="9"/>
  <c r="W123" i="9"/>
  <c r="X123" i="9"/>
  <c r="Y123" i="9"/>
  <c r="Z123" i="9"/>
  <c r="T124" i="9"/>
  <c r="U124" i="9"/>
  <c r="V124" i="9"/>
  <c r="W124" i="9"/>
  <c r="X124" i="9"/>
  <c r="Y124" i="9"/>
  <c r="Z124" i="9"/>
  <c r="T125" i="9"/>
  <c r="U125" i="9"/>
  <c r="V125" i="9"/>
  <c r="W125" i="9"/>
  <c r="X125" i="9"/>
  <c r="Y125" i="9"/>
  <c r="Z125" i="9"/>
  <c r="T126" i="9"/>
  <c r="U126" i="9"/>
  <c r="V126" i="9"/>
  <c r="W126" i="9"/>
  <c r="X126" i="9"/>
  <c r="Y126" i="9"/>
  <c r="Z126" i="9"/>
  <c r="T127" i="9"/>
  <c r="U127" i="9"/>
  <c r="V127" i="9"/>
  <c r="W127" i="9"/>
  <c r="X127" i="9"/>
  <c r="Y127" i="9"/>
  <c r="Z127" i="9"/>
  <c r="T128" i="9"/>
  <c r="U128" i="9"/>
  <c r="V128" i="9"/>
  <c r="W128" i="9"/>
  <c r="X128" i="9"/>
  <c r="Y128" i="9"/>
  <c r="Z128" i="9"/>
  <c r="T129" i="9"/>
  <c r="U129" i="9"/>
  <c r="V129" i="9"/>
  <c r="W129" i="9"/>
  <c r="X129" i="9"/>
  <c r="Y129" i="9"/>
  <c r="Z129" i="9"/>
  <c r="T130" i="9"/>
  <c r="U130" i="9"/>
  <c r="V130" i="9"/>
  <c r="W130" i="9"/>
  <c r="X130" i="9"/>
  <c r="Y130" i="9"/>
  <c r="Z130" i="9"/>
  <c r="T131" i="9"/>
  <c r="U131" i="9"/>
  <c r="V131" i="9"/>
  <c r="W131" i="9"/>
  <c r="X131" i="9"/>
  <c r="Y131" i="9"/>
  <c r="Z131" i="9"/>
  <c r="T132" i="9"/>
  <c r="U132" i="9"/>
  <c r="V132" i="9"/>
  <c r="W132" i="9"/>
  <c r="X132" i="9"/>
  <c r="Y132" i="9"/>
  <c r="Z132" i="9"/>
  <c r="T133" i="9"/>
  <c r="U133" i="9"/>
  <c r="V133" i="9"/>
  <c r="W133" i="9"/>
  <c r="X133" i="9"/>
  <c r="Y133" i="9"/>
  <c r="Z133" i="9"/>
  <c r="T134" i="9"/>
  <c r="U134" i="9"/>
  <c r="V134" i="9"/>
  <c r="W134" i="9"/>
  <c r="X134" i="9"/>
  <c r="Y134" i="9"/>
  <c r="Z134" i="9"/>
  <c r="U120" i="9"/>
  <c r="V120" i="9"/>
  <c r="W120" i="9"/>
  <c r="X120" i="9"/>
  <c r="Y120" i="9"/>
  <c r="Z120" i="9"/>
  <c r="T120" i="9"/>
  <c r="T102" i="9"/>
  <c r="U102" i="9"/>
  <c r="V102" i="9"/>
  <c r="W102" i="9"/>
  <c r="X102" i="9"/>
  <c r="Y102" i="9"/>
  <c r="Z102" i="9"/>
  <c r="T103" i="9"/>
  <c r="U103" i="9"/>
  <c r="V103" i="9"/>
  <c r="W103" i="9"/>
  <c r="X103" i="9"/>
  <c r="Y103" i="9"/>
  <c r="Z103" i="9"/>
  <c r="T104" i="9"/>
  <c r="U104" i="9"/>
  <c r="V104" i="9"/>
  <c r="W104" i="9"/>
  <c r="X104" i="9"/>
  <c r="Y104" i="9"/>
  <c r="Z104" i="9"/>
  <c r="T105" i="9"/>
  <c r="U105" i="9"/>
  <c r="V105" i="9"/>
  <c r="W105" i="9"/>
  <c r="X105" i="9"/>
  <c r="Y105" i="9"/>
  <c r="Z105" i="9"/>
  <c r="T106" i="9"/>
  <c r="U106" i="9"/>
  <c r="V106" i="9"/>
  <c r="W106" i="9"/>
  <c r="X106" i="9"/>
  <c r="Y106" i="9"/>
  <c r="Z106" i="9"/>
  <c r="T107" i="9"/>
  <c r="U107" i="9"/>
  <c r="V107" i="9"/>
  <c r="W107" i="9"/>
  <c r="X107" i="9"/>
  <c r="Y107" i="9"/>
  <c r="Z107" i="9"/>
  <c r="T108" i="9"/>
  <c r="U108" i="9"/>
  <c r="V108" i="9"/>
  <c r="W108" i="9"/>
  <c r="X108" i="9"/>
  <c r="Y108" i="9"/>
  <c r="Z108" i="9"/>
  <c r="T109" i="9"/>
  <c r="U109" i="9"/>
  <c r="V109" i="9"/>
  <c r="W109" i="9"/>
  <c r="X109" i="9"/>
  <c r="Y109" i="9"/>
  <c r="Z109" i="9"/>
  <c r="T110" i="9"/>
  <c r="U110" i="9"/>
  <c r="V110" i="9"/>
  <c r="W110" i="9"/>
  <c r="X110" i="9"/>
  <c r="Y110" i="9"/>
  <c r="Z110" i="9"/>
  <c r="T111" i="9"/>
  <c r="U111" i="9"/>
  <c r="V111" i="9"/>
  <c r="W111" i="9"/>
  <c r="X111" i="9"/>
  <c r="Y111" i="9"/>
  <c r="Z111" i="9"/>
  <c r="T112" i="9"/>
  <c r="U112" i="9"/>
  <c r="V112" i="9"/>
  <c r="W112" i="9"/>
  <c r="X112" i="9"/>
  <c r="Y112" i="9"/>
  <c r="Z112" i="9"/>
  <c r="T113" i="9"/>
  <c r="U113" i="9"/>
  <c r="V113" i="9"/>
  <c r="W113" i="9"/>
  <c r="X113" i="9"/>
  <c r="Y113" i="9"/>
  <c r="Z113" i="9"/>
  <c r="T114" i="9"/>
  <c r="U114" i="9"/>
  <c r="V114" i="9"/>
  <c r="W114" i="9"/>
  <c r="X114" i="9"/>
  <c r="Y114" i="9"/>
  <c r="Z114" i="9"/>
  <c r="T115" i="9"/>
  <c r="U115" i="9"/>
  <c r="V115" i="9"/>
  <c r="W115" i="9"/>
  <c r="X115" i="9"/>
  <c r="Y115" i="9"/>
  <c r="Z115" i="9"/>
  <c r="U101" i="9"/>
  <c r="V101" i="9"/>
  <c r="W101" i="9"/>
  <c r="X101" i="9"/>
  <c r="Y101" i="9"/>
  <c r="Z101" i="9"/>
  <c r="T101" i="9"/>
  <c r="T83" i="9"/>
  <c r="U83" i="9"/>
  <c r="V83" i="9"/>
  <c r="W83" i="9"/>
  <c r="X83" i="9"/>
  <c r="Y83" i="9"/>
  <c r="Z83" i="9"/>
  <c r="T84" i="9"/>
  <c r="U84" i="9"/>
  <c r="V84" i="9"/>
  <c r="W84" i="9"/>
  <c r="X84" i="9"/>
  <c r="Y84" i="9"/>
  <c r="Z84" i="9"/>
  <c r="T85" i="9"/>
  <c r="U85" i="9"/>
  <c r="V85" i="9"/>
  <c r="W85" i="9"/>
  <c r="X85" i="9"/>
  <c r="Y85" i="9"/>
  <c r="Z85" i="9"/>
  <c r="T86" i="9"/>
  <c r="U86" i="9"/>
  <c r="V86" i="9"/>
  <c r="W86" i="9"/>
  <c r="X86" i="9"/>
  <c r="Y86" i="9"/>
  <c r="Z86" i="9"/>
  <c r="T87" i="9"/>
  <c r="U87" i="9"/>
  <c r="V87" i="9"/>
  <c r="W87" i="9"/>
  <c r="X87" i="9"/>
  <c r="Y87" i="9"/>
  <c r="Z87" i="9"/>
  <c r="T88" i="9"/>
  <c r="U88" i="9"/>
  <c r="V88" i="9"/>
  <c r="W88" i="9"/>
  <c r="X88" i="9"/>
  <c r="Y88" i="9"/>
  <c r="Z88" i="9"/>
  <c r="T89" i="9"/>
  <c r="U89" i="9"/>
  <c r="V89" i="9"/>
  <c r="W89" i="9"/>
  <c r="X89" i="9"/>
  <c r="Y89" i="9"/>
  <c r="Z89" i="9"/>
  <c r="T90" i="9"/>
  <c r="U90" i="9"/>
  <c r="V90" i="9"/>
  <c r="W90" i="9"/>
  <c r="X90" i="9"/>
  <c r="Y90" i="9"/>
  <c r="Z90" i="9"/>
  <c r="T91" i="9"/>
  <c r="U91" i="9"/>
  <c r="V91" i="9"/>
  <c r="W91" i="9"/>
  <c r="X91" i="9"/>
  <c r="Y91" i="9"/>
  <c r="Z91" i="9"/>
  <c r="T92" i="9"/>
  <c r="U92" i="9"/>
  <c r="V92" i="9"/>
  <c r="W92" i="9"/>
  <c r="X92" i="9"/>
  <c r="Y92" i="9"/>
  <c r="Z92" i="9"/>
  <c r="T93" i="9"/>
  <c r="U93" i="9"/>
  <c r="V93" i="9"/>
  <c r="W93" i="9"/>
  <c r="X93" i="9"/>
  <c r="Y93" i="9"/>
  <c r="Z93" i="9"/>
  <c r="T94" i="9"/>
  <c r="U94" i="9"/>
  <c r="V94" i="9"/>
  <c r="W94" i="9"/>
  <c r="X94" i="9"/>
  <c r="Y94" i="9"/>
  <c r="Z94" i="9"/>
  <c r="T95" i="9"/>
  <c r="U95" i="9"/>
  <c r="V95" i="9"/>
  <c r="W95" i="9"/>
  <c r="X95" i="9"/>
  <c r="Y95" i="9"/>
  <c r="Z95" i="9"/>
  <c r="T96" i="9"/>
  <c r="U96" i="9"/>
  <c r="V96" i="9"/>
  <c r="W96" i="9"/>
  <c r="X96" i="9"/>
  <c r="Y96" i="9"/>
  <c r="Z96" i="9"/>
  <c r="U82" i="9"/>
  <c r="V82" i="9"/>
  <c r="W82" i="9"/>
  <c r="X82" i="9"/>
  <c r="Y82" i="9"/>
  <c r="Z82" i="9"/>
  <c r="T82" i="9"/>
  <c r="T64" i="9"/>
  <c r="U64" i="9"/>
  <c r="V64" i="9"/>
  <c r="W64" i="9"/>
  <c r="X64" i="9"/>
  <c r="Y64" i="9"/>
  <c r="Z64" i="9"/>
  <c r="T65" i="9"/>
  <c r="U65" i="9"/>
  <c r="V65" i="9"/>
  <c r="W65" i="9"/>
  <c r="X65" i="9"/>
  <c r="Y65" i="9"/>
  <c r="Z65" i="9"/>
  <c r="T66" i="9"/>
  <c r="U66" i="9"/>
  <c r="V66" i="9"/>
  <c r="W66" i="9"/>
  <c r="X66" i="9"/>
  <c r="Y66" i="9"/>
  <c r="Z66" i="9"/>
  <c r="T67" i="9"/>
  <c r="U67" i="9"/>
  <c r="V67" i="9"/>
  <c r="W67" i="9"/>
  <c r="X67" i="9"/>
  <c r="Y67" i="9"/>
  <c r="Z67" i="9"/>
  <c r="T68" i="9"/>
  <c r="U68" i="9"/>
  <c r="V68" i="9"/>
  <c r="W68" i="9"/>
  <c r="X68" i="9"/>
  <c r="Y68" i="9"/>
  <c r="Z68" i="9"/>
  <c r="T69" i="9"/>
  <c r="U69" i="9"/>
  <c r="V69" i="9"/>
  <c r="W69" i="9"/>
  <c r="X69" i="9"/>
  <c r="Y69" i="9"/>
  <c r="Z69" i="9"/>
  <c r="T70" i="9"/>
  <c r="U70" i="9"/>
  <c r="V70" i="9"/>
  <c r="W70" i="9"/>
  <c r="X70" i="9"/>
  <c r="Y70" i="9"/>
  <c r="Z70" i="9"/>
  <c r="T71" i="9"/>
  <c r="U71" i="9"/>
  <c r="V71" i="9"/>
  <c r="W71" i="9"/>
  <c r="X71" i="9"/>
  <c r="Y71" i="9"/>
  <c r="Z71" i="9"/>
  <c r="T72" i="9"/>
  <c r="U72" i="9"/>
  <c r="V72" i="9"/>
  <c r="W72" i="9"/>
  <c r="X72" i="9"/>
  <c r="Y72" i="9"/>
  <c r="Z72" i="9"/>
  <c r="T73" i="9"/>
  <c r="U73" i="9"/>
  <c r="V73" i="9"/>
  <c r="W73" i="9"/>
  <c r="X73" i="9"/>
  <c r="Y73" i="9"/>
  <c r="Z73" i="9"/>
  <c r="T74" i="9"/>
  <c r="U74" i="9"/>
  <c r="V74" i="9"/>
  <c r="W74" i="9"/>
  <c r="X74" i="9"/>
  <c r="Y74" i="9"/>
  <c r="Z74" i="9"/>
  <c r="T75" i="9"/>
  <c r="U75" i="9"/>
  <c r="V75" i="9"/>
  <c r="W75" i="9"/>
  <c r="X75" i="9"/>
  <c r="Y75" i="9"/>
  <c r="Z75" i="9"/>
  <c r="T76" i="9"/>
  <c r="U76" i="9"/>
  <c r="V76" i="9"/>
  <c r="W76" i="9"/>
  <c r="X76" i="9"/>
  <c r="Y76" i="9"/>
  <c r="Z76" i="9"/>
  <c r="T77" i="9"/>
  <c r="U77" i="9"/>
  <c r="V77" i="9"/>
  <c r="W77" i="9"/>
  <c r="X77" i="9"/>
  <c r="Y77" i="9"/>
  <c r="Z77" i="9"/>
  <c r="U63" i="9"/>
  <c r="V63" i="9"/>
  <c r="W63" i="9"/>
  <c r="X63" i="9"/>
  <c r="Y63" i="9"/>
  <c r="Z63" i="9"/>
  <c r="T63" i="9"/>
  <c r="T45" i="9"/>
  <c r="U45" i="9"/>
  <c r="V45" i="9"/>
  <c r="W45" i="9"/>
  <c r="X45" i="9"/>
  <c r="Y45" i="9"/>
  <c r="Z45" i="9"/>
  <c r="T46" i="9"/>
  <c r="U46" i="9"/>
  <c r="V46" i="9"/>
  <c r="W46" i="9"/>
  <c r="X46" i="9"/>
  <c r="Y46" i="9"/>
  <c r="Z46" i="9"/>
  <c r="T47" i="9"/>
  <c r="U47" i="9"/>
  <c r="V47" i="9"/>
  <c r="W47" i="9"/>
  <c r="X47" i="9"/>
  <c r="Y47" i="9"/>
  <c r="Z47" i="9"/>
  <c r="T48" i="9"/>
  <c r="U48" i="9"/>
  <c r="V48" i="9"/>
  <c r="W48" i="9"/>
  <c r="X48" i="9"/>
  <c r="Y48" i="9"/>
  <c r="Z48" i="9"/>
  <c r="T49" i="9"/>
  <c r="U49" i="9"/>
  <c r="V49" i="9"/>
  <c r="W49" i="9"/>
  <c r="X49" i="9"/>
  <c r="Y49" i="9"/>
  <c r="Z49" i="9"/>
  <c r="T50" i="9"/>
  <c r="U50" i="9"/>
  <c r="V50" i="9"/>
  <c r="W50" i="9"/>
  <c r="X50" i="9"/>
  <c r="Y50" i="9"/>
  <c r="Z50" i="9"/>
  <c r="T51" i="9"/>
  <c r="U51" i="9"/>
  <c r="V51" i="9"/>
  <c r="W51" i="9"/>
  <c r="X51" i="9"/>
  <c r="Y51" i="9"/>
  <c r="Z51" i="9"/>
  <c r="T52" i="9"/>
  <c r="U52" i="9"/>
  <c r="V52" i="9"/>
  <c r="W52" i="9"/>
  <c r="X52" i="9"/>
  <c r="Y52" i="9"/>
  <c r="Z52" i="9"/>
  <c r="T53" i="9"/>
  <c r="U53" i="9"/>
  <c r="V53" i="9"/>
  <c r="W53" i="9"/>
  <c r="X53" i="9"/>
  <c r="Y53" i="9"/>
  <c r="Z53" i="9"/>
  <c r="T54" i="9"/>
  <c r="U54" i="9"/>
  <c r="V54" i="9"/>
  <c r="W54" i="9"/>
  <c r="X54" i="9"/>
  <c r="Y54" i="9"/>
  <c r="Z54" i="9"/>
  <c r="T55" i="9"/>
  <c r="U55" i="9"/>
  <c r="V55" i="9"/>
  <c r="W55" i="9"/>
  <c r="X55" i="9"/>
  <c r="Y55" i="9"/>
  <c r="Z55" i="9"/>
  <c r="T56" i="9"/>
  <c r="U56" i="9"/>
  <c r="V56" i="9"/>
  <c r="W56" i="9"/>
  <c r="X56" i="9"/>
  <c r="Y56" i="9"/>
  <c r="Z56" i="9"/>
  <c r="T57" i="9"/>
  <c r="U57" i="9"/>
  <c r="V57" i="9"/>
  <c r="W57" i="9"/>
  <c r="X57" i="9"/>
  <c r="Y57" i="9"/>
  <c r="Z57" i="9"/>
  <c r="T58" i="9"/>
  <c r="U58" i="9"/>
  <c r="V58" i="9"/>
  <c r="W58" i="9"/>
  <c r="X58" i="9"/>
  <c r="Y58" i="9"/>
  <c r="Z58" i="9"/>
  <c r="U44" i="9"/>
  <c r="V44" i="9"/>
  <c r="W44" i="9"/>
  <c r="X44" i="9"/>
  <c r="Y44" i="9"/>
  <c r="Z44" i="9"/>
  <c r="T44" i="9"/>
  <c r="T26" i="9"/>
  <c r="U26" i="9"/>
  <c r="V26" i="9"/>
  <c r="W26" i="9"/>
  <c r="X26" i="9"/>
  <c r="Y26" i="9"/>
  <c r="Z26" i="9"/>
  <c r="T27" i="9"/>
  <c r="U27" i="9"/>
  <c r="V27" i="9"/>
  <c r="W27" i="9"/>
  <c r="X27" i="9"/>
  <c r="Y27" i="9"/>
  <c r="Z27" i="9"/>
  <c r="T28" i="9"/>
  <c r="U28" i="9"/>
  <c r="V28" i="9"/>
  <c r="W28" i="9"/>
  <c r="X28" i="9"/>
  <c r="Y28" i="9"/>
  <c r="Z28" i="9"/>
  <c r="T29" i="9"/>
  <c r="U29" i="9"/>
  <c r="V29" i="9"/>
  <c r="W29" i="9"/>
  <c r="X29" i="9"/>
  <c r="Y29" i="9"/>
  <c r="Z29" i="9"/>
  <c r="T30" i="9"/>
  <c r="U30" i="9"/>
  <c r="V30" i="9"/>
  <c r="W30" i="9"/>
  <c r="X30" i="9"/>
  <c r="Y30" i="9"/>
  <c r="Z30" i="9"/>
  <c r="T31" i="9"/>
  <c r="U31" i="9"/>
  <c r="V31" i="9"/>
  <c r="W31" i="9"/>
  <c r="X31" i="9"/>
  <c r="Y31" i="9"/>
  <c r="Z31" i="9"/>
  <c r="T32" i="9"/>
  <c r="U32" i="9"/>
  <c r="V32" i="9"/>
  <c r="W32" i="9"/>
  <c r="X32" i="9"/>
  <c r="Y32" i="9"/>
  <c r="Z32" i="9"/>
  <c r="T33" i="9"/>
  <c r="U33" i="9"/>
  <c r="V33" i="9"/>
  <c r="W33" i="9"/>
  <c r="X33" i="9"/>
  <c r="Y33" i="9"/>
  <c r="Z33" i="9"/>
  <c r="T34" i="9"/>
  <c r="U34" i="9"/>
  <c r="V34" i="9"/>
  <c r="W34" i="9"/>
  <c r="X34" i="9"/>
  <c r="Y34" i="9"/>
  <c r="Z34" i="9"/>
  <c r="T35" i="9"/>
  <c r="U35" i="9"/>
  <c r="V35" i="9"/>
  <c r="W35" i="9"/>
  <c r="X35" i="9"/>
  <c r="Y35" i="9"/>
  <c r="Z35" i="9"/>
  <c r="T36" i="9"/>
  <c r="U36" i="9"/>
  <c r="V36" i="9"/>
  <c r="W36" i="9"/>
  <c r="X36" i="9"/>
  <c r="Y36" i="9"/>
  <c r="Z36" i="9"/>
  <c r="T37" i="9"/>
  <c r="U37" i="9"/>
  <c r="V37" i="9"/>
  <c r="W37" i="9"/>
  <c r="X37" i="9"/>
  <c r="Y37" i="9"/>
  <c r="Z37" i="9"/>
  <c r="T38" i="9"/>
  <c r="U38" i="9"/>
  <c r="V38" i="9"/>
  <c r="W38" i="9"/>
  <c r="X38" i="9"/>
  <c r="Y38" i="9"/>
  <c r="Z38" i="9"/>
  <c r="T39" i="9"/>
  <c r="U39" i="9"/>
  <c r="V39" i="9"/>
  <c r="W39" i="9"/>
  <c r="X39" i="9"/>
  <c r="Y39" i="9"/>
  <c r="Z39" i="9"/>
  <c r="U25" i="9"/>
  <c r="V25" i="9"/>
  <c r="W25" i="9"/>
  <c r="X25" i="9"/>
  <c r="Y25" i="9"/>
  <c r="Z25" i="9"/>
  <c r="T25" i="9"/>
  <c r="T7" i="9"/>
  <c r="U7" i="9"/>
  <c r="V7" i="9"/>
  <c r="W7" i="9"/>
  <c r="X7" i="9"/>
  <c r="Y7" i="9"/>
  <c r="Z7" i="9"/>
  <c r="T8" i="9"/>
  <c r="U8" i="9"/>
  <c r="V8" i="9"/>
  <c r="W8" i="9"/>
  <c r="X8" i="9"/>
  <c r="Y8" i="9"/>
  <c r="Z8" i="9"/>
  <c r="T9" i="9"/>
  <c r="U9" i="9"/>
  <c r="V9" i="9"/>
  <c r="W9" i="9"/>
  <c r="X9" i="9"/>
  <c r="Y9" i="9"/>
  <c r="Z9" i="9"/>
  <c r="T10" i="9"/>
  <c r="U10" i="9"/>
  <c r="V10" i="9"/>
  <c r="W10" i="9"/>
  <c r="X10" i="9"/>
  <c r="Y10" i="9"/>
  <c r="Z10" i="9"/>
  <c r="T11" i="9"/>
  <c r="U11" i="9"/>
  <c r="V11" i="9"/>
  <c r="W11" i="9"/>
  <c r="X11" i="9"/>
  <c r="Y11" i="9"/>
  <c r="Z11" i="9"/>
  <c r="T12" i="9"/>
  <c r="U12" i="9"/>
  <c r="V12" i="9"/>
  <c r="W12" i="9"/>
  <c r="X12" i="9"/>
  <c r="Y12" i="9"/>
  <c r="Z12" i="9"/>
  <c r="T13" i="9"/>
  <c r="U13" i="9"/>
  <c r="V13" i="9"/>
  <c r="W13" i="9"/>
  <c r="X13" i="9"/>
  <c r="Y13" i="9"/>
  <c r="Z13" i="9"/>
  <c r="T14" i="9"/>
  <c r="U14" i="9"/>
  <c r="V14" i="9"/>
  <c r="W14" i="9"/>
  <c r="X14" i="9"/>
  <c r="Y14" i="9"/>
  <c r="Z14" i="9"/>
  <c r="T15" i="9"/>
  <c r="U15" i="9"/>
  <c r="V15" i="9"/>
  <c r="W15" i="9"/>
  <c r="X15" i="9"/>
  <c r="Y15" i="9"/>
  <c r="Z15" i="9"/>
  <c r="T16" i="9"/>
  <c r="U16" i="9"/>
  <c r="V16" i="9"/>
  <c r="W16" i="9"/>
  <c r="X16" i="9"/>
  <c r="Y16" i="9"/>
  <c r="Z16" i="9"/>
  <c r="T17" i="9"/>
  <c r="U17" i="9"/>
  <c r="V17" i="9"/>
  <c r="W17" i="9"/>
  <c r="X17" i="9"/>
  <c r="Y17" i="9"/>
  <c r="Z17" i="9"/>
  <c r="T18" i="9"/>
  <c r="U18" i="9"/>
  <c r="V18" i="9"/>
  <c r="W18" i="9"/>
  <c r="X18" i="9"/>
  <c r="Y18" i="9"/>
  <c r="Z18" i="9"/>
  <c r="T19" i="9"/>
  <c r="U19" i="9"/>
  <c r="V19" i="9"/>
  <c r="W19" i="9"/>
  <c r="X19" i="9"/>
  <c r="Y19" i="9"/>
  <c r="Z19" i="9"/>
  <c r="T20" i="9"/>
  <c r="U20" i="9"/>
  <c r="V20" i="9"/>
  <c r="W20" i="9"/>
  <c r="X20" i="9"/>
  <c r="Y20" i="9"/>
  <c r="Z20" i="9"/>
  <c r="U6" i="9"/>
  <c r="V6" i="9"/>
  <c r="W6" i="9"/>
  <c r="X6" i="9"/>
  <c r="Y6" i="9"/>
  <c r="Z6" i="9"/>
  <c r="T6" i="9"/>
  <c r="K140" i="9"/>
  <c r="L140" i="9"/>
  <c r="M140" i="9"/>
  <c r="N140" i="9"/>
  <c r="O140" i="9"/>
  <c r="P140" i="9"/>
  <c r="Q140" i="9"/>
  <c r="K141" i="9"/>
  <c r="L141" i="9"/>
  <c r="M141" i="9"/>
  <c r="N141" i="9"/>
  <c r="O141" i="9"/>
  <c r="P141" i="9"/>
  <c r="Q141" i="9"/>
  <c r="K142" i="9"/>
  <c r="L142" i="9"/>
  <c r="M142" i="9"/>
  <c r="N142" i="9"/>
  <c r="O142" i="9"/>
  <c r="P142" i="9"/>
  <c r="Q142" i="9"/>
  <c r="K143" i="9"/>
  <c r="L143" i="9"/>
  <c r="M143" i="9"/>
  <c r="N143" i="9"/>
  <c r="O143" i="9"/>
  <c r="P143" i="9"/>
  <c r="Q143" i="9"/>
  <c r="K144" i="9"/>
  <c r="L144" i="9"/>
  <c r="M144" i="9"/>
  <c r="N144" i="9"/>
  <c r="O144" i="9"/>
  <c r="P144" i="9"/>
  <c r="Q144" i="9"/>
  <c r="K145" i="9"/>
  <c r="L145" i="9"/>
  <c r="M145" i="9"/>
  <c r="N145" i="9"/>
  <c r="O145" i="9"/>
  <c r="P145" i="9"/>
  <c r="Q145" i="9"/>
  <c r="K146" i="9"/>
  <c r="L146" i="9"/>
  <c r="M146" i="9"/>
  <c r="N146" i="9"/>
  <c r="O146" i="9"/>
  <c r="P146" i="9"/>
  <c r="Q146" i="9"/>
  <c r="K147" i="9"/>
  <c r="L147" i="9"/>
  <c r="M147" i="9"/>
  <c r="N147" i="9"/>
  <c r="O147" i="9"/>
  <c r="P147" i="9"/>
  <c r="Q147" i="9"/>
  <c r="K148" i="9"/>
  <c r="L148" i="9"/>
  <c r="M148" i="9"/>
  <c r="N148" i="9"/>
  <c r="O148" i="9"/>
  <c r="P148" i="9"/>
  <c r="Q148" i="9"/>
  <c r="K149" i="9"/>
  <c r="L149" i="9"/>
  <c r="M149" i="9"/>
  <c r="N149" i="9"/>
  <c r="O149" i="9"/>
  <c r="P149" i="9"/>
  <c r="Q149" i="9"/>
  <c r="K150" i="9"/>
  <c r="L150" i="9"/>
  <c r="M150" i="9"/>
  <c r="N150" i="9"/>
  <c r="O150" i="9"/>
  <c r="P150" i="9"/>
  <c r="Q150" i="9"/>
  <c r="K151" i="9"/>
  <c r="L151" i="9"/>
  <c r="M151" i="9"/>
  <c r="N151" i="9"/>
  <c r="O151" i="9"/>
  <c r="P151" i="9"/>
  <c r="Q151" i="9"/>
  <c r="K152" i="9"/>
  <c r="L152" i="9"/>
  <c r="M152" i="9"/>
  <c r="N152" i="9"/>
  <c r="O152" i="9"/>
  <c r="P152" i="9"/>
  <c r="Q152" i="9"/>
  <c r="K153" i="9"/>
  <c r="L153" i="9"/>
  <c r="M153" i="9"/>
  <c r="N153" i="9"/>
  <c r="O153" i="9"/>
  <c r="P153" i="9"/>
  <c r="Q153" i="9"/>
  <c r="L139" i="9"/>
  <c r="M139" i="9"/>
  <c r="N139" i="9"/>
  <c r="O139" i="9"/>
  <c r="P139" i="9"/>
  <c r="Q139" i="9"/>
  <c r="K139" i="9"/>
  <c r="K121" i="9"/>
  <c r="L121" i="9"/>
  <c r="M121" i="9"/>
  <c r="N121" i="9"/>
  <c r="O121" i="9"/>
  <c r="P121" i="9"/>
  <c r="Q121" i="9"/>
  <c r="K122" i="9"/>
  <c r="L122" i="9"/>
  <c r="M122" i="9"/>
  <c r="N122" i="9"/>
  <c r="O122" i="9"/>
  <c r="P122" i="9"/>
  <c r="Q122" i="9"/>
  <c r="K123" i="9"/>
  <c r="L123" i="9"/>
  <c r="M123" i="9"/>
  <c r="N123" i="9"/>
  <c r="O123" i="9"/>
  <c r="P123" i="9"/>
  <c r="Q123" i="9"/>
  <c r="K124" i="9"/>
  <c r="L124" i="9"/>
  <c r="M124" i="9"/>
  <c r="N124" i="9"/>
  <c r="O124" i="9"/>
  <c r="P124" i="9"/>
  <c r="Q124" i="9"/>
  <c r="K125" i="9"/>
  <c r="L125" i="9"/>
  <c r="M125" i="9"/>
  <c r="N125" i="9"/>
  <c r="O125" i="9"/>
  <c r="P125" i="9"/>
  <c r="Q125" i="9"/>
  <c r="K126" i="9"/>
  <c r="L126" i="9"/>
  <c r="M126" i="9"/>
  <c r="N126" i="9"/>
  <c r="O126" i="9"/>
  <c r="P126" i="9"/>
  <c r="Q126" i="9"/>
  <c r="K127" i="9"/>
  <c r="L127" i="9"/>
  <c r="M127" i="9"/>
  <c r="N127" i="9"/>
  <c r="O127" i="9"/>
  <c r="P127" i="9"/>
  <c r="Q127" i="9"/>
  <c r="K128" i="9"/>
  <c r="L128" i="9"/>
  <c r="M128" i="9"/>
  <c r="N128" i="9"/>
  <c r="O128" i="9"/>
  <c r="P128" i="9"/>
  <c r="Q128" i="9"/>
  <c r="K129" i="9"/>
  <c r="L129" i="9"/>
  <c r="M129" i="9"/>
  <c r="N129" i="9"/>
  <c r="O129" i="9"/>
  <c r="P129" i="9"/>
  <c r="Q129" i="9"/>
  <c r="K130" i="9"/>
  <c r="L130" i="9"/>
  <c r="M130" i="9"/>
  <c r="N130" i="9"/>
  <c r="O130" i="9"/>
  <c r="P130" i="9"/>
  <c r="Q130" i="9"/>
  <c r="K131" i="9"/>
  <c r="L131" i="9"/>
  <c r="M131" i="9"/>
  <c r="N131" i="9"/>
  <c r="O131" i="9"/>
  <c r="P131" i="9"/>
  <c r="Q131" i="9"/>
  <c r="K132" i="9"/>
  <c r="L132" i="9"/>
  <c r="M132" i="9"/>
  <c r="N132" i="9"/>
  <c r="O132" i="9"/>
  <c r="P132" i="9"/>
  <c r="Q132" i="9"/>
  <c r="K133" i="9"/>
  <c r="L133" i="9"/>
  <c r="M133" i="9"/>
  <c r="N133" i="9"/>
  <c r="O133" i="9"/>
  <c r="P133" i="9"/>
  <c r="Q133" i="9"/>
  <c r="K134" i="9"/>
  <c r="L134" i="9"/>
  <c r="M134" i="9"/>
  <c r="N134" i="9"/>
  <c r="O134" i="9"/>
  <c r="P134" i="9"/>
  <c r="Q134" i="9"/>
  <c r="L120" i="9"/>
  <c r="M120" i="9"/>
  <c r="N120" i="9"/>
  <c r="O120" i="9"/>
  <c r="P120" i="9"/>
  <c r="Q120" i="9"/>
  <c r="K120" i="9"/>
  <c r="K102" i="9"/>
  <c r="L102" i="9"/>
  <c r="M102" i="9"/>
  <c r="N102" i="9"/>
  <c r="O102" i="9"/>
  <c r="P102" i="9"/>
  <c r="Q102" i="9"/>
  <c r="K103" i="9"/>
  <c r="L103" i="9"/>
  <c r="M103" i="9"/>
  <c r="N103" i="9"/>
  <c r="O103" i="9"/>
  <c r="P103" i="9"/>
  <c r="Q103" i="9"/>
  <c r="K104" i="9"/>
  <c r="L104" i="9"/>
  <c r="M104" i="9"/>
  <c r="N104" i="9"/>
  <c r="O104" i="9"/>
  <c r="P104" i="9"/>
  <c r="Q104" i="9"/>
  <c r="K105" i="9"/>
  <c r="L105" i="9"/>
  <c r="M105" i="9"/>
  <c r="N105" i="9"/>
  <c r="O105" i="9"/>
  <c r="P105" i="9"/>
  <c r="Q105" i="9"/>
  <c r="K106" i="9"/>
  <c r="L106" i="9"/>
  <c r="M106" i="9"/>
  <c r="N106" i="9"/>
  <c r="O106" i="9"/>
  <c r="P106" i="9"/>
  <c r="Q106" i="9"/>
  <c r="K107" i="9"/>
  <c r="L107" i="9"/>
  <c r="M107" i="9"/>
  <c r="N107" i="9"/>
  <c r="O107" i="9"/>
  <c r="P107" i="9"/>
  <c r="Q107" i="9"/>
  <c r="K108" i="9"/>
  <c r="L108" i="9"/>
  <c r="M108" i="9"/>
  <c r="N108" i="9"/>
  <c r="O108" i="9"/>
  <c r="P108" i="9"/>
  <c r="Q108" i="9"/>
  <c r="K109" i="9"/>
  <c r="L109" i="9"/>
  <c r="M109" i="9"/>
  <c r="N109" i="9"/>
  <c r="O109" i="9"/>
  <c r="P109" i="9"/>
  <c r="Q109" i="9"/>
  <c r="K110" i="9"/>
  <c r="L110" i="9"/>
  <c r="M110" i="9"/>
  <c r="N110" i="9"/>
  <c r="O110" i="9"/>
  <c r="P110" i="9"/>
  <c r="Q110" i="9"/>
  <c r="K111" i="9"/>
  <c r="L111" i="9"/>
  <c r="M111" i="9"/>
  <c r="N111" i="9"/>
  <c r="O111" i="9"/>
  <c r="P111" i="9"/>
  <c r="Q111" i="9"/>
  <c r="K112" i="9"/>
  <c r="L112" i="9"/>
  <c r="M112" i="9"/>
  <c r="N112" i="9"/>
  <c r="O112" i="9"/>
  <c r="P112" i="9"/>
  <c r="Q112" i="9"/>
  <c r="K113" i="9"/>
  <c r="L113" i="9"/>
  <c r="M113" i="9"/>
  <c r="N113" i="9"/>
  <c r="O113" i="9"/>
  <c r="P113" i="9"/>
  <c r="Q113" i="9"/>
  <c r="K114" i="9"/>
  <c r="L114" i="9"/>
  <c r="M114" i="9"/>
  <c r="N114" i="9"/>
  <c r="O114" i="9"/>
  <c r="P114" i="9"/>
  <c r="Q114" i="9"/>
  <c r="K115" i="9"/>
  <c r="L115" i="9"/>
  <c r="M115" i="9"/>
  <c r="N115" i="9"/>
  <c r="O115" i="9"/>
  <c r="P115" i="9"/>
  <c r="Q115" i="9"/>
  <c r="L101" i="9"/>
  <c r="M101" i="9"/>
  <c r="N101" i="9"/>
  <c r="O101" i="9"/>
  <c r="P101" i="9"/>
  <c r="Q101" i="9"/>
  <c r="K101" i="9"/>
  <c r="K83" i="9"/>
  <c r="L83" i="9"/>
  <c r="M83" i="9"/>
  <c r="N83" i="9"/>
  <c r="O83" i="9"/>
  <c r="P83" i="9"/>
  <c r="Q83" i="9"/>
  <c r="K84" i="9"/>
  <c r="L84" i="9"/>
  <c r="M84" i="9"/>
  <c r="N84" i="9"/>
  <c r="O84" i="9"/>
  <c r="P84" i="9"/>
  <c r="Q84" i="9"/>
  <c r="K85" i="9"/>
  <c r="L85" i="9"/>
  <c r="M85" i="9"/>
  <c r="N85" i="9"/>
  <c r="O85" i="9"/>
  <c r="P85" i="9"/>
  <c r="Q85" i="9"/>
  <c r="K86" i="9"/>
  <c r="L86" i="9"/>
  <c r="M86" i="9"/>
  <c r="N86" i="9"/>
  <c r="O86" i="9"/>
  <c r="P86" i="9"/>
  <c r="Q86" i="9"/>
  <c r="K87" i="9"/>
  <c r="L87" i="9"/>
  <c r="M87" i="9"/>
  <c r="N87" i="9"/>
  <c r="O87" i="9"/>
  <c r="P87" i="9"/>
  <c r="Q87" i="9"/>
  <c r="K88" i="9"/>
  <c r="L88" i="9"/>
  <c r="M88" i="9"/>
  <c r="N88" i="9"/>
  <c r="O88" i="9"/>
  <c r="P88" i="9"/>
  <c r="Q88" i="9"/>
  <c r="K89" i="9"/>
  <c r="L89" i="9"/>
  <c r="M89" i="9"/>
  <c r="N89" i="9"/>
  <c r="O89" i="9"/>
  <c r="P89" i="9"/>
  <c r="Q89" i="9"/>
  <c r="K90" i="9"/>
  <c r="L90" i="9"/>
  <c r="M90" i="9"/>
  <c r="N90" i="9"/>
  <c r="O90" i="9"/>
  <c r="P90" i="9"/>
  <c r="Q90" i="9"/>
  <c r="K91" i="9"/>
  <c r="L91" i="9"/>
  <c r="M91" i="9"/>
  <c r="N91" i="9"/>
  <c r="O91" i="9"/>
  <c r="P91" i="9"/>
  <c r="Q91" i="9"/>
  <c r="K92" i="9"/>
  <c r="L92" i="9"/>
  <c r="M92" i="9"/>
  <c r="N92" i="9"/>
  <c r="O92" i="9"/>
  <c r="P92" i="9"/>
  <c r="Q92" i="9"/>
  <c r="K93" i="9"/>
  <c r="L93" i="9"/>
  <c r="M93" i="9"/>
  <c r="N93" i="9"/>
  <c r="O93" i="9"/>
  <c r="P93" i="9"/>
  <c r="Q93" i="9"/>
  <c r="K94" i="9"/>
  <c r="L94" i="9"/>
  <c r="M94" i="9"/>
  <c r="N94" i="9"/>
  <c r="O94" i="9"/>
  <c r="P94" i="9"/>
  <c r="Q94" i="9"/>
  <c r="K95" i="9"/>
  <c r="L95" i="9"/>
  <c r="M95" i="9"/>
  <c r="N95" i="9"/>
  <c r="O95" i="9"/>
  <c r="P95" i="9"/>
  <c r="Q95" i="9"/>
  <c r="K96" i="9"/>
  <c r="L96" i="9"/>
  <c r="M96" i="9"/>
  <c r="N96" i="9"/>
  <c r="O96" i="9"/>
  <c r="P96" i="9"/>
  <c r="Q96" i="9"/>
  <c r="L82" i="9"/>
  <c r="M82" i="9"/>
  <c r="N82" i="9"/>
  <c r="O82" i="9"/>
  <c r="P82" i="9"/>
  <c r="Q82" i="9"/>
  <c r="K82" i="9"/>
  <c r="K64" i="9"/>
  <c r="L64" i="9"/>
  <c r="M64" i="9"/>
  <c r="N64" i="9"/>
  <c r="O64" i="9"/>
  <c r="P64" i="9"/>
  <c r="Q64" i="9"/>
  <c r="K65" i="9"/>
  <c r="L65" i="9"/>
  <c r="M65" i="9"/>
  <c r="N65" i="9"/>
  <c r="O65" i="9"/>
  <c r="P65" i="9"/>
  <c r="Q65" i="9"/>
  <c r="K66" i="9"/>
  <c r="L66" i="9"/>
  <c r="M66" i="9"/>
  <c r="N66" i="9"/>
  <c r="O66" i="9"/>
  <c r="P66" i="9"/>
  <c r="Q66" i="9"/>
  <c r="K67" i="9"/>
  <c r="L67" i="9"/>
  <c r="M67" i="9"/>
  <c r="N67" i="9"/>
  <c r="O67" i="9"/>
  <c r="P67" i="9"/>
  <c r="Q67" i="9"/>
  <c r="K68" i="9"/>
  <c r="L68" i="9"/>
  <c r="M68" i="9"/>
  <c r="N68" i="9"/>
  <c r="O68" i="9"/>
  <c r="P68" i="9"/>
  <c r="Q68" i="9"/>
  <c r="K69" i="9"/>
  <c r="L69" i="9"/>
  <c r="M69" i="9"/>
  <c r="N69" i="9"/>
  <c r="O69" i="9"/>
  <c r="P69" i="9"/>
  <c r="Q69" i="9"/>
  <c r="K70" i="9"/>
  <c r="L70" i="9"/>
  <c r="M70" i="9"/>
  <c r="N70" i="9"/>
  <c r="O70" i="9"/>
  <c r="P70" i="9"/>
  <c r="Q70" i="9"/>
  <c r="K71" i="9"/>
  <c r="L71" i="9"/>
  <c r="M71" i="9"/>
  <c r="N71" i="9"/>
  <c r="O71" i="9"/>
  <c r="P71" i="9"/>
  <c r="Q71" i="9"/>
  <c r="K72" i="9"/>
  <c r="L72" i="9"/>
  <c r="M72" i="9"/>
  <c r="N72" i="9"/>
  <c r="O72" i="9"/>
  <c r="P72" i="9"/>
  <c r="Q72" i="9"/>
  <c r="K73" i="9"/>
  <c r="L73" i="9"/>
  <c r="M73" i="9"/>
  <c r="N73" i="9"/>
  <c r="O73" i="9"/>
  <c r="P73" i="9"/>
  <c r="Q73" i="9"/>
  <c r="K74" i="9"/>
  <c r="L74" i="9"/>
  <c r="M74" i="9"/>
  <c r="N74" i="9"/>
  <c r="O74" i="9"/>
  <c r="P74" i="9"/>
  <c r="Q74" i="9"/>
  <c r="K75" i="9"/>
  <c r="L75" i="9"/>
  <c r="M75" i="9"/>
  <c r="N75" i="9"/>
  <c r="O75" i="9"/>
  <c r="P75" i="9"/>
  <c r="Q75" i="9"/>
  <c r="K76" i="9"/>
  <c r="L76" i="9"/>
  <c r="M76" i="9"/>
  <c r="N76" i="9"/>
  <c r="O76" i="9"/>
  <c r="P76" i="9"/>
  <c r="Q76" i="9"/>
  <c r="K77" i="9"/>
  <c r="L77" i="9"/>
  <c r="M77" i="9"/>
  <c r="N77" i="9"/>
  <c r="O77" i="9"/>
  <c r="P77" i="9"/>
  <c r="Q77" i="9"/>
  <c r="L63" i="9"/>
  <c r="M63" i="9"/>
  <c r="N63" i="9"/>
  <c r="O63" i="9"/>
  <c r="P63" i="9"/>
  <c r="Q63" i="9"/>
  <c r="K63" i="9"/>
  <c r="K45" i="9"/>
  <c r="L45" i="9"/>
  <c r="M45" i="9"/>
  <c r="N45" i="9"/>
  <c r="O45" i="9"/>
  <c r="P45" i="9"/>
  <c r="Q45" i="9"/>
  <c r="K46" i="9"/>
  <c r="L46" i="9"/>
  <c r="M46" i="9"/>
  <c r="N46" i="9"/>
  <c r="O46" i="9"/>
  <c r="P46" i="9"/>
  <c r="Q46" i="9"/>
  <c r="K47" i="9"/>
  <c r="L47" i="9"/>
  <c r="M47" i="9"/>
  <c r="N47" i="9"/>
  <c r="O47" i="9"/>
  <c r="P47" i="9"/>
  <c r="Q47" i="9"/>
  <c r="K48" i="9"/>
  <c r="L48" i="9"/>
  <c r="M48" i="9"/>
  <c r="N48" i="9"/>
  <c r="O48" i="9"/>
  <c r="P48" i="9"/>
  <c r="Q48" i="9"/>
  <c r="K49" i="9"/>
  <c r="L49" i="9"/>
  <c r="M49" i="9"/>
  <c r="N49" i="9"/>
  <c r="O49" i="9"/>
  <c r="P49" i="9"/>
  <c r="Q49" i="9"/>
  <c r="K50" i="9"/>
  <c r="L50" i="9"/>
  <c r="M50" i="9"/>
  <c r="N50" i="9"/>
  <c r="O50" i="9"/>
  <c r="P50" i="9"/>
  <c r="Q50" i="9"/>
  <c r="K51" i="9"/>
  <c r="L51" i="9"/>
  <c r="M51" i="9"/>
  <c r="N51" i="9"/>
  <c r="O51" i="9"/>
  <c r="P51" i="9"/>
  <c r="Q51" i="9"/>
  <c r="K52" i="9"/>
  <c r="L52" i="9"/>
  <c r="M52" i="9"/>
  <c r="N52" i="9"/>
  <c r="O52" i="9"/>
  <c r="P52" i="9"/>
  <c r="Q52" i="9"/>
  <c r="K53" i="9"/>
  <c r="L53" i="9"/>
  <c r="M53" i="9"/>
  <c r="N53" i="9"/>
  <c r="O53" i="9"/>
  <c r="P53" i="9"/>
  <c r="Q53" i="9"/>
  <c r="K54" i="9"/>
  <c r="L54" i="9"/>
  <c r="M54" i="9"/>
  <c r="N54" i="9"/>
  <c r="O54" i="9"/>
  <c r="P54" i="9"/>
  <c r="Q54" i="9"/>
  <c r="K55" i="9"/>
  <c r="L55" i="9"/>
  <c r="M55" i="9"/>
  <c r="N55" i="9"/>
  <c r="O55" i="9"/>
  <c r="P55" i="9"/>
  <c r="Q55" i="9"/>
  <c r="K56" i="9"/>
  <c r="L56" i="9"/>
  <c r="M56" i="9"/>
  <c r="N56" i="9"/>
  <c r="O56" i="9"/>
  <c r="P56" i="9"/>
  <c r="Q56" i="9"/>
  <c r="K57" i="9"/>
  <c r="L57" i="9"/>
  <c r="M57" i="9"/>
  <c r="N57" i="9"/>
  <c r="O57" i="9"/>
  <c r="P57" i="9"/>
  <c r="Q57" i="9"/>
  <c r="K58" i="9"/>
  <c r="L58" i="9"/>
  <c r="M58" i="9"/>
  <c r="N58" i="9"/>
  <c r="O58" i="9"/>
  <c r="P58" i="9"/>
  <c r="Q58" i="9"/>
  <c r="L44" i="9"/>
  <c r="M44" i="9"/>
  <c r="N44" i="9"/>
  <c r="O44" i="9"/>
  <c r="P44" i="9"/>
  <c r="Q44" i="9"/>
  <c r="K44" i="9"/>
  <c r="K26" i="9"/>
  <c r="L26" i="9"/>
  <c r="M26" i="9"/>
  <c r="N26" i="9"/>
  <c r="O26" i="9"/>
  <c r="P26" i="9"/>
  <c r="Q26" i="9"/>
  <c r="K27" i="9"/>
  <c r="L27" i="9"/>
  <c r="M27" i="9"/>
  <c r="N27" i="9"/>
  <c r="O27" i="9"/>
  <c r="P27" i="9"/>
  <c r="Q27" i="9"/>
  <c r="K28" i="9"/>
  <c r="L28" i="9"/>
  <c r="M28" i="9"/>
  <c r="N28" i="9"/>
  <c r="O28" i="9"/>
  <c r="P28" i="9"/>
  <c r="Q28" i="9"/>
  <c r="K29" i="9"/>
  <c r="L29" i="9"/>
  <c r="M29" i="9"/>
  <c r="N29" i="9"/>
  <c r="O29" i="9"/>
  <c r="P29" i="9"/>
  <c r="Q29" i="9"/>
  <c r="K30" i="9"/>
  <c r="L30" i="9"/>
  <c r="M30" i="9"/>
  <c r="N30" i="9"/>
  <c r="O30" i="9"/>
  <c r="P30" i="9"/>
  <c r="Q30" i="9"/>
  <c r="K31" i="9"/>
  <c r="L31" i="9"/>
  <c r="M31" i="9"/>
  <c r="N31" i="9"/>
  <c r="O31" i="9"/>
  <c r="P31" i="9"/>
  <c r="Q31" i="9"/>
  <c r="K32" i="9"/>
  <c r="L32" i="9"/>
  <c r="M32" i="9"/>
  <c r="N32" i="9"/>
  <c r="O32" i="9"/>
  <c r="P32" i="9"/>
  <c r="Q32" i="9"/>
  <c r="K33" i="9"/>
  <c r="L33" i="9"/>
  <c r="M33" i="9"/>
  <c r="N33" i="9"/>
  <c r="O33" i="9"/>
  <c r="P33" i="9"/>
  <c r="Q33" i="9"/>
  <c r="K34" i="9"/>
  <c r="L34" i="9"/>
  <c r="M34" i="9"/>
  <c r="N34" i="9"/>
  <c r="O34" i="9"/>
  <c r="P34" i="9"/>
  <c r="Q34" i="9"/>
  <c r="K35" i="9"/>
  <c r="L35" i="9"/>
  <c r="M35" i="9"/>
  <c r="N35" i="9"/>
  <c r="O35" i="9"/>
  <c r="P35" i="9"/>
  <c r="Q35" i="9"/>
  <c r="K36" i="9"/>
  <c r="L36" i="9"/>
  <c r="M36" i="9"/>
  <c r="N36" i="9"/>
  <c r="O36" i="9"/>
  <c r="P36" i="9"/>
  <c r="Q36" i="9"/>
  <c r="K37" i="9"/>
  <c r="L37" i="9"/>
  <c r="M37" i="9"/>
  <c r="N37" i="9"/>
  <c r="O37" i="9"/>
  <c r="P37" i="9"/>
  <c r="Q37" i="9"/>
  <c r="K38" i="9"/>
  <c r="L38" i="9"/>
  <c r="M38" i="9"/>
  <c r="N38" i="9"/>
  <c r="O38" i="9"/>
  <c r="P38" i="9"/>
  <c r="Q38" i="9"/>
  <c r="K39" i="9"/>
  <c r="L39" i="9"/>
  <c r="M39" i="9"/>
  <c r="N39" i="9"/>
  <c r="O39" i="9"/>
  <c r="P39" i="9"/>
  <c r="Q39" i="9"/>
  <c r="L25" i="9"/>
  <c r="M25" i="9"/>
  <c r="N25" i="9"/>
  <c r="O25" i="9"/>
  <c r="P25" i="9"/>
  <c r="Q25" i="9"/>
  <c r="K25" i="9"/>
  <c r="K7" i="9"/>
  <c r="L7" i="9"/>
  <c r="M7" i="9"/>
  <c r="N7" i="9"/>
  <c r="O7" i="9"/>
  <c r="P7" i="9"/>
  <c r="Q7" i="9"/>
  <c r="K8" i="9"/>
  <c r="L8" i="9"/>
  <c r="M8" i="9"/>
  <c r="N8" i="9"/>
  <c r="O8" i="9"/>
  <c r="P8" i="9"/>
  <c r="Q8" i="9"/>
  <c r="K9" i="9"/>
  <c r="L9" i="9"/>
  <c r="M9" i="9"/>
  <c r="N9" i="9"/>
  <c r="O9" i="9"/>
  <c r="P9" i="9"/>
  <c r="Q9" i="9"/>
  <c r="K10" i="9"/>
  <c r="L10" i="9"/>
  <c r="M10" i="9"/>
  <c r="N10" i="9"/>
  <c r="O10" i="9"/>
  <c r="P10" i="9"/>
  <c r="Q10" i="9"/>
  <c r="K11" i="9"/>
  <c r="L11" i="9"/>
  <c r="M11" i="9"/>
  <c r="N11" i="9"/>
  <c r="O11" i="9"/>
  <c r="P11" i="9"/>
  <c r="Q11" i="9"/>
  <c r="K12" i="9"/>
  <c r="L12" i="9"/>
  <c r="M12" i="9"/>
  <c r="N12" i="9"/>
  <c r="O12" i="9"/>
  <c r="P12" i="9"/>
  <c r="Q12" i="9"/>
  <c r="K13" i="9"/>
  <c r="L13" i="9"/>
  <c r="M13" i="9"/>
  <c r="N13" i="9"/>
  <c r="O13" i="9"/>
  <c r="P13" i="9"/>
  <c r="Q13" i="9"/>
  <c r="K14" i="9"/>
  <c r="L14" i="9"/>
  <c r="M14" i="9"/>
  <c r="N14" i="9"/>
  <c r="O14" i="9"/>
  <c r="P14" i="9"/>
  <c r="Q14" i="9"/>
  <c r="K15" i="9"/>
  <c r="L15" i="9"/>
  <c r="M15" i="9"/>
  <c r="N15" i="9"/>
  <c r="O15" i="9"/>
  <c r="P15" i="9"/>
  <c r="Q15" i="9"/>
  <c r="K16" i="9"/>
  <c r="L16" i="9"/>
  <c r="M16" i="9"/>
  <c r="N16" i="9"/>
  <c r="O16" i="9"/>
  <c r="P16" i="9"/>
  <c r="Q16" i="9"/>
  <c r="K17" i="9"/>
  <c r="L17" i="9"/>
  <c r="M17" i="9"/>
  <c r="N17" i="9"/>
  <c r="O17" i="9"/>
  <c r="P17" i="9"/>
  <c r="Q17" i="9"/>
  <c r="K18" i="9"/>
  <c r="L18" i="9"/>
  <c r="M18" i="9"/>
  <c r="N18" i="9"/>
  <c r="O18" i="9"/>
  <c r="P18" i="9"/>
  <c r="Q18" i="9"/>
  <c r="K19" i="9"/>
  <c r="L19" i="9"/>
  <c r="M19" i="9"/>
  <c r="N19" i="9"/>
  <c r="O19" i="9"/>
  <c r="P19" i="9"/>
  <c r="Q19" i="9"/>
  <c r="K20" i="9"/>
  <c r="L20" i="9"/>
  <c r="M20" i="9"/>
  <c r="N20" i="9"/>
  <c r="O20" i="9"/>
  <c r="P20" i="9"/>
  <c r="Q20" i="9"/>
  <c r="L6" i="9"/>
  <c r="M6" i="9"/>
  <c r="N6" i="9"/>
  <c r="O6" i="9"/>
  <c r="P6" i="9"/>
  <c r="Q6" i="9"/>
  <c r="K6" i="9"/>
  <c r="B140" i="9"/>
  <c r="C140" i="9"/>
  <c r="D140" i="9"/>
  <c r="E140" i="9"/>
  <c r="F140" i="9"/>
  <c r="G140" i="9"/>
  <c r="H140" i="9"/>
  <c r="B141" i="9"/>
  <c r="C141" i="9"/>
  <c r="D141" i="9"/>
  <c r="E141" i="9"/>
  <c r="F141" i="9"/>
  <c r="G141" i="9"/>
  <c r="H141" i="9"/>
  <c r="B142" i="9"/>
  <c r="C142" i="9"/>
  <c r="D142" i="9"/>
  <c r="E142" i="9"/>
  <c r="F142" i="9"/>
  <c r="G142" i="9"/>
  <c r="H142" i="9"/>
  <c r="B143" i="9"/>
  <c r="C143" i="9"/>
  <c r="D143" i="9"/>
  <c r="E143" i="9"/>
  <c r="F143" i="9"/>
  <c r="G143" i="9"/>
  <c r="H143" i="9"/>
  <c r="B144" i="9"/>
  <c r="C144" i="9"/>
  <c r="D144" i="9"/>
  <c r="E144" i="9"/>
  <c r="F144" i="9"/>
  <c r="G144" i="9"/>
  <c r="H144" i="9"/>
  <c r="B145" i="9"/>
  <c r="C145" i="9"/>
  <c r="D145" i="9"/>
  <c r="E145" i="9"/>
  <c r="F145" i="9"/>
  <c r="G145" i="9"/>
  <c r="H145" i="9"/>
  <c r="B146" i="9"/>
  <c r="C146" i="9"/>
  <c r="D146" i="9"/>
  <c r="E146" i="9"/>
  <c r="F146" i="9"/>
  <c r="G146" i="9"/>
  <c r="H146" i="9"/>
  <c r="B147" i="9"/>
  <c r="C147" i="9"/>
  <c r="D147" i="9"/>
  <c r="E147" i="9"/>
  <c r="F147" i="9"/>
  <c r="G147" i="9"/>
  <c r="H147" i="9"/>
  <c r="B148" i="9"/>
  <c r="C148" i="9"/>
  <c r="D148" i="9"/>
  <c r="E148" i="9"/>
  <c r="F148" i="9"/>
  <c r="G148" i="9"/>
  <c r="H148" i="9"/>
  <c r="B149" i="9"/>
  <c r="C149" i="9"/>
  <c r="D149" i="9"/>
  <c r="E149" i="9"/>
  <c r="F149" i="9"/>
  <c r="G149" i="9"/>
  <c r="H149" i="9"/>
  <c r="B150" i="9"/>
  <c r="C150" i="9"/>
  <c r="D150" i="9"/>
  <c r="E150" i="9"/>
  <c r="F150" i="9"/>
  <c r="G150" i="9"/>
  <c r="H150" i="9"/>
  <c r="B151" i="9"/>
  <c r="C151" i="9"/>
  <c r="D151" i="9"/>
  <c r="E151" i="9"/>
  <c r="F151" i="9"/>
  <c r="G151" i="9"/>
  <c r="H151" i="9"/>
  <c r="B152" i="9"/>
  <c r="C152" i="9"/>
  <c r="D152" i="9"/>
  <c r="E152" i="9"/>
  <c r="F152" i="9"/>
  <c r="G152" i="9"/>
  <c r="H152" i="9"/>
  <c r="B153" i="9"/>
  <c r="C153" i="9"/>
  <c r="D153" i="9"/>
  <c r="E153" i="9"/>
  <c r="F153" i="9"/>
  <c r="G153" i="9"/>
  <c r="H153" i="9"/>
  <c r="C139" i="9"/>
  <c r="D139" i="9"/>
  <c r="E139" i="9"/>
  <c r="F139" i="9"/>
  <c r="G139" i="9"/>
  <c r="H139" i="9"/>
  <c r="B139" i="9"/>
  <c r="B121" i="9"/>
  <c r="C121" i="9"/>
  <c r="D121" i="9"/>
  <c r="E121" i="9"/>
  <c r="F121" i="9"/>
  <c r="G121" i="9"/>
  <c r="H121" i="9"/>
  <c r="B122" i="9"/>
  <c r="C122" i="9"/>
  <c r="D122" i="9"/>
  <c r="E122" i="9"/>
  <c r="F122" i="9"/>
  <c r="G122" i="9"/>
  <c r="H122" i="9"/>
  <c r="B123" i="9"/>
  <c r="C123" i="9"/>
  <c r="D123" i="9"/>
  <c r="E123" i="9"/>
  <c r="F123" i="9"/>
  <c r="G123" i="9"/>
  <c r="H123" i="9"/>
  <c r="B124" i="9"/>
  <c r="C124" i="9"/>
  <c r="D124" i="9"/>
  <c r="E124" i="9"/>
  <c r="F124" i="9"/>
  <c r="G124" i="9"/>
  <c r="H124" i="9"/>
  <c r="B125" i="9"/>
  <c r="C125" i="9"/>
  <c r="D125" i="9"/>
  <c r="E125" i="9"/>
  <c r="F125" i="9"/>
  <c r="G125" i="9"/>
  <c r="H125" i="9"/>
  <c r="B126" i="9"/>
  <c r="C126" i="9"/>
  <c r="D126" i="9"/>
  <c r="E126" i="9"/>
  <c r="F126" i="9"/>
  <c r="G126" i="9"/>
  <c r="H126" i="9"/>
  <c r="B127" i="9"/>
  <c r="C127" i="9"/>
  <c r="D127" i="9"/>
  <c r="E127" i="9"/>
  <c r="F127" i="9"/>
  <c r="G127" i="9"/>
  <c r="H127" i="9"/>
  <c r="B128" i="9"/>
  <c r="C128" i="9"/>
  <c r="D128" i="9"/>
  <c r="E128" i="9"/>
  <c r="F128" i="9"/>
  <c r="G128" i="9"/>
  <c r="H128" i="9"/>
  <c r="B129" i="9"/>
  <c r="C129" i="9"/>
  <c r="D129" i="9"/>
  <c r="E129" i="9"/>
  <c r="F129" i="9"/>
  <c r="G129" i="9"/>
  <c r="H129" i="9"/>
  <c r="B130" i="9"/>
  <c r="C130" i="9"/>
  <c r="D130" i="9"/>
  <c r="E130" i="9"/>
  <c r="F130" i="9"/>
  <c r="G130" i="9"/>
  <c r="H130" i="9"/>
  <c r="B131" i="9"/>
  <c r="C131" i="9"/>
  <c r="D131" i="9"/>
  <c r="E131" i="9"/>
  <c r="F131" i="9"/>
  <c r="G131" i="9"/>
  <c r="H131" i="9"/>
  <c r="B132" i="9"/>
  <c r="C132" i="9"/>
  <c r="D132" i="9"/>
  <c r="E132" i="9"/>
  <c r="F132" i="9"/>
  <c r="G132" i="9"/>
  <c r="H132" i="9"/>
  <c r="B133" i="9"/>
  <c r="C133" i="9"/>
  <c r="D133" i="9"/>
  <c r="E133" i="9"/>
  <c r="F133" i="9"/>
  <c r="G133" i="9"/>
  <c r="H133" i="9"/>
  <c r="B134" i="9"/>
  <c r="C134" i="9"/>
  <c r="D134" i="9"/>
  <c r="E134" i="9"/>
  <c r="F134" i="9"/>
  <c r="G134" i="9"/>
  <c r="H134" i="9"/>
  <c r="C120" i="9"/>
  <c r="D120" i="9"/>
  <c r="E120" i="9"/>
  <c r="F120" i="9"/>
  <c r="G120" i="9"/>
  <c r="H120" i="9"/>
  <c r="B120" i="9"/>
  <c r="B102" i="9"/>
  <c r="C102" i="9"/>
  <c r="D102" i="9"/>
  <c r="E102" i="9"/>
  <c r="F102" i="9"/>
  <c r="G102" i="9"/>
  <c r="H102" i="9"/>
  <c r="B103" i="9"/>
  <c r="C103" i="9"/>
  <c r="D103" i="9"/>
  <c r="E103" i="9"/>
  <c r="F103" i="9"/>
  <c r="G103" i="9"/>
  <c r="H103" i="9"/>
  <c r="B104" i="9"/>
  <c r="C104" i="9"/>
  <c r="D104" i="9"/>
  <c r="E104" i="9"/>
  <c r="F104" i="9"/>
  <c r="G104" i="9"/>
  <c r="H104" i="9"/>
  <c r="B105" i="9"/>
  <c r="C105" i="9"/>
  <c r="D105" i="9"/>
  <c r="E105" i="9"/>
  <c r="F105" i="9"/>
  <c r="G105" i="9"/>
  <c r="H105" i="9"/>
  <c r="B106" i="9"/>
  <c r="C106" i="9"/>
  <c r="D106" i="9"/>
  <c r="E106" i="9"/>
  <c r="F106" i="9"/>
  <c r="G106" i="9"/>
  <c r="H106" i="9"/>
  <c r="B107" i="9"/>
  <c r="C107" i="9"/>
  <c r="D107" i="9"/>
  <c r="E107" i="9"/>
  <c r="F107" i="9"/>
  <c r="G107" i="9"/>
  <c r="H107" i="9"/>
  <c r="B108" i="9"/>
  <c r="C108" i="9"/>
  <c r="D108" i="9"/>
  <c r="E108" i="9"/>
  <c r="F108" i="9"/>
  <c r="G108" i="9"/>
  <c r="H108" i="9"/>
  <c r="B109" i="9"/>
  <c r="C109" i="9"/>
  <c r="D109" i="9"/>
  <c r="E109" i="9"/>
  <c r="F109" i="9"/>
  <c r="G109" i="9"/>
  <c r="H109" i="9"/>
  <c r="B110" i="9"/>
  <c r="C110" i="9"/>
  <c r="D110" i="9"/>
  <c r="E110" i="9"/>
  <c r="F110" i="9"/>
  <c r="G110" i="9"/>
  <c r="H110" i="9"/>
  <c r="B111" i="9"/>
  <c r="C111" i="9"/>
  <c r="D111" i="9"/>
  <c r="E111" i="9"/>
  <c r="F111" i="9"/>
  <c r="G111" i="9"/>
  <c r="H111" i="9"/>
  <c r="B112" i="9"/>
  <c r="C112" i="9"/>
  <c r="D112" i="9"/>
  <c r="E112" i="9"/>
  <c r="F112" i="9"/>
  <c r="G112" i="9"/>
  <c r="H112" i="9"/>
  <c r="B113" i="9"/>
  <c r="C113" i="9"/>
  <c r="D113" i="9"/>
  <c r="E113" i="9"/>
  <c r="F113" i="9"/>
  <c r="G113" i="9"/>
  <c r="H113" i="9"/>
  <c r="B114" i="9"/>
  <c r="C114" i="9"/>
  <c r="D114" i="9"/>
  <c r="E114" i="9"/>
  <c r="F114" i="9"/>
  <c r="G114" i="9"/>
  <c r="H114" i="9"/>
  <c r="B115" i="9"/>
  <c r="C115" i="9"/>
  <c r="D115" i="9"/>
  <c r="E115" i="9"/>
  <c r="F115" i="9"/>
  <c r="G115" i="9"/>
  <c r="H115" i="9"/>
  <c r="C101" i="9"/>
  <c r="D101" i="9"/>
  <c r="E101" i="9"/>
  <c r="F101" i="9"/>
  <c r="G101" i="9"/>
  <c r="H101" i="9"/>
  <c r="B101" i="9"/>
  <c r="B83" i="9"/>
  <c r="C83" i="9"/>
  <c r="D83" i="9"/>
  <c r="E83" i="9"/>
  <c r="F83" i="9"/>
  <c r="G83" i="9"/>
  <c r="H83" i="9"/>
  <c r="B84" i="9"/>
  <c r="C84" i="9"/>
  <c r="D84" i="9"/>
  <c r="E84" i="9"/>
  <c r="F84" i="9"/>
  <c r="G84" i="9"/>
  <c r="H84" i="9"/>
  <c r="B85" i="9"/>
  <c r="C85" i="9"/>
  <c r="D85" i="9"/>
  <c r="E85" i="9"/>
  <c r="F85" i="9"/>
  <c r="G85" i="9"/>
  <c r="H85" i="9"/>
  <c r="B86" i="9"/>
  <c r="C86" i="9"/>
  <c r="D86" i="9"/>
  <c r="E86" i="9"/>
  <c r="F86" i="9"/>
  <c r="G86" i="9"/>
  <c r="H86" i="9"/>
  <c r="B87" i="9"/>
  <c r="C87" i="9"/>
  <c r="D87" i="9"/>
  <c r="E87" i="9"/>
  <c r="F87" i="9"/>
  <c r="G87" i="9"/>
  <c r="H87" i="9"/>
  <c r="B88" i="9"/>
  <c r="C88" i="9"/>
  <c r="D88" i="9"/>
  <c r="E88" i="9"/>
  <c r="F88" i="9"/>
  <c r="G88" i="9"/>
  <c r="H88" i="9"/>
  <c r="B89" i="9"/>
  <c r="C89" i="9"/>
  <c r="D89" i="9"/>
  <c r="E89" i="9"/>
  <c r="F89" i="9"/>
  <c r="G89" i="9"/>
  <c r="H89" i="9"/>
  <c r="B90" i="9"/>
  <c r="C90" i="9"/>
  <c r="D90" i="9"/>
  <c r="E90" i="9"/>
  <c r="F90" i="9"/>
  <c r="G90" i="9"/>
  <c r="H90" i="9"/>
  <c r="B91" i="9"/>
  <c r="C91" i="9"/>
  <c r="D91" i="9"/>
  <c r="E91" i="9"/>
  <c r="F91" i="9"/>
  <c r="G91" i="9"/>
  <c r="H91" i="9"/>
  <c r="B92" i="9"/>
  <c r="C92" i="9"/>
  <c r="D92" i="9"/>
  <c r="E92" i="9"/>
  <c r="F92" i="9"/>
  <c r="G92" i="9"/>
  <c r="H92" i="9"/>
  <c r="B93" i="9"/>
  <c r="C93" i="9"/>
  <c r="D93" i="9"/>
  <c r="E93" i="9"/>
  <c r="F93" i="9"/>
  <c r="G93" i="9"/>
  <c r="H93" i="9"/>
  <c r="B94" i="9"/>
  <c r="C94" i="9"/>
  <c r="D94" i="9"/>
  <c r="E94" i="9"/>
  <c r="F94" i="9"/>
  <c r="G94" i="9"/>
  <c r="H94" i="9"/>
  <c r="B95" i="9"/>
  <c r="C95" i="9"/>
  <c r="D95" i="9"/>
  <c r="E95" i="9"/>
  <c r="F95" i="9"/>
  <c r="G95" i="9"/>
  <c r="H95" i="9"/>
  <c r="B96" i="9"/>
  <c r="C96" i="9"/>
  <c r="D96" i="9"/>
  <c r="E96" i="9"/>
  <c r="F96" i="9"/>
  <c r="G96" i="9"/>
  <c r="H96" i="9"/>
  <c r="C82" i="9"/>
  <c r="D82" i="9"/>
  <c r="E82" i="9"/>
  <c r="F82" i="9"/>
  <c r="G82" i="9"/>
  <c r="H82" i="9"/>
  <c r="B82" i="9"/>
  <c r="B64" i="9"/>
  <c r="C64" i="9"/>
  <c r="D64" i="9"/>
  <c r="E64" i="9"/>
  <c r="F64" i="9"/>
  <c r="G64" i="9"/>
  <c r="H64" i="9"/>
  <c r="B65" i="9"/>
  <c r="C65" i="9"/>
  <c r="D65" i="9"/>
  <c r="E65" i="9"/>
  <c r="F65" i="9"/>
  <c r="G65" i="9"/>
  <c r="H65" i="9"/>
  <c r="B66" i="9"/>
  <c r="C66" i="9"/>
  <c r="D66" i="9"/>
  <c r="E66" i="9"/>
  <c r="F66" i="9"/>
  <c r="G66" i="9"/>
  <c r="H66" i="9"/>
  <c r="B67" i="9"/>
  <c r="C67" i="9"/>
  <c r="D67" i="9"/>
  <c r="E67" i="9"/>
  <c r="F67" i="9"/>
  <c r="G67" i="9"/>
  <c r="H67" i="9"/>
  <c r="B68" i="9"/>
  <c r="C68" i="9"/>
  <c r="D68" i="9"/>
  <c r="E68" i="9"/>
  <c r="F68" i="9"/>
  <c r="G68" i="9"/>
  <c r="H68" i="9"/>
  <c r="B69" i="9"/>
  <c r="C69" i="9"/>
  <c r="D69" i="9"/>
  <c r="E69" i="9"/>
  <c r="F69" i="9"/>
  <c r="G69" i="9"/>
  <c r="H69" i="9"/>
  <c r="B70" i="9"/>
  <c r="C70" i="9"/>
  <c r="D70" i="9"/>
  <c r="E70" i="9"/>
  <c r="F70" i="9"/>
  <c r="G70" i="9"/>
  <c r="H70" i="9"/>
  <c r="B71" i="9"/>
  <c r="C71" i="9"/>
  <c r="D71" i="9"/>
  <c r="E71" i="9"/>
  <c r="F71" i="9"/>
  <c r="G71" i="9"/>
  <c r="H71" i="9"/>
  <c r="B72" i="9"/>
  <c r="C72" i="9"/>
  <c r="D72" i="9"/>
  <c r="E72" i="9"/>
  <c r="F72" i="9"/>
  <c r="G72" i="9"/>
  <c r="H72" i="9"/>
  <c r="B73" i="9"/>
  <c r="C73" i="9"/>
  <c r="D73" i="9"/>
  <c r="E73" i="9"/>
  <c r="F73" i="9"/>
  <c r="G73" i="9"/>
  <c r="H73" i="9"/>
  <c r="B74" i="9"/>
  <c r="C74" i="9"/>
  <c r="D74" i="9"/>
  <c r="E74" i="9"/>
  <c r="F74" i="9"/>
  <c r="G74" i="9"/>
  <c r="H74" i="9"/>
  <c r="B75" i="9"/>
  <c r="C75" i="9"/>
  <c r="D75" i="9"/>
  <c r="E75" i="9"/>
  <c r="F75" i="9"/>
  <c r="G75" i="9"/>
  <c r="H75" i="9"/>
  <c r="B76" i="9"/>
  <c r="C76" i="9"/>
  <c r="D76" i="9"/>
  <c r="E76" i="9"/>
  <c r="F76" i="9"/>
  <c r="G76" i="9"/>
  <c r="H76" i="9"/>
  <c r="B77" i="9"/>
  <c r="C77" i="9"/>
  <c r="D77" i="9"/>
  <c r="E77" i="9"/>
  <c r="F77" i="9"/>
  <c r="G77" i="9"/>
  <c r="H77" i="9"/>
  <c r="C63" i="9"/>
  <c r="D63" i="9"/>
  <c r="E63" i="9"/>
  <c r="F63" i="9"/>
  <c r="G63" i="9"/>
  <c r="H63" i="9"/>
  <c r="B63" i="9"/>
  <c r="B45" i="9"/>
  <c r="C45" i="9"/>
  <c r="D45" i="9"/>
  <c r="E45" i="9"/>
  <c r="F45" i="9"/>
  <c r="G45" i="9"/>
  <c r="H45" i="9"/>
  <c r="B46" i="9"/>
  <c r="C46" i="9"/>
  <c r="D46" i="9"/>
  <c r="E46" i="9"/>
  <c r="F46" i="9"/>
  <c r="G46" i="9"/>
  <c r="H46" i="9"/>
  <c r="B47" i="9"/>
  <c r="C47" i="9"/>
  <c r="D47" i="9"/>
  <c r="E47" i="9"/>
  <c r="F47" i="9"/>
  <c r="G47" i="9"/>
  <c r="H47" i="9"/>
  <c r="B48" i="9"/>
  <c r="C48" i="9"/>
  <c r="D48" i="9"/>
  <c r="E48" i="9"/>
  <c r="F48" i="9"/>
  <c r="G48" i="9"/>
  <c r="H48" i="9"/>
  <c r="B49" i="9"/>
  <c r="C49" i="9"/>
  <c r="D49" i="9"/>
  <c r="E49" i="9"/>
  <c r="F49" i="9"/>
  <c r="G49" i="9"/>
  <c r="H49" i="9"/>
  <c r="B50" i="9"/>
  <c r="C50" i="9"/>
  <c r="D50" i="9"/>
  <c r="E50" i="9"/>
  <c r="F50" i="9"/>
  <c r="G50" i="9"/>
  <c r="H50" i="9"/>
  <c r="B51" i="9"/>
  <c r="C51" i="9"/>
  <c r="D51" i="9"/>
  <c r="E51" i="9"/>
  <c r="F51" i="9"/>
  <c r="G51" i="9"/>
  <c r="H51" i="9"/>
  <c r="B52" i="9"/>
  <c r="C52" i="9"/>
  <c r="D52" i="9"/>
  <c r="E52" i="9"/>
  <c r="F52" i="9"/>
  <c r="G52" i="9"/>
  <c r="H52" i="9"/>
  <c r="B53" i="9"/>
  <c r="C53" i="9"/>
  <c r="D53" i="9"/>
  <c r="E53" i="9"/>
  <c r="F53" i="9"/>
  <c r="G53" i="9"/>
  <c r="H53" i="9"/>
  <c r="B54" i="9"/>
  <c r="C54" i="9"/>
  <c r="D54" i="9"/>
  <c r="E54" i="9"/>
  <c r="F54" i="9"/>
  <c r="G54" i="9"/>
  <c r="H54" i="9"/>
  <c r="B55" i="9"/>
  <c r="C55" i="9"/>
  <c r="D55" i="9"/>
  <c r="E55" i="9"/>
  <c r="F55" i="9"/>
  <c r="G55" i="9"/>
  <c r="H55" i="9"/>
  <c r="B56" i="9"/>
  <c r="C56" i="9"/>
  <c r="D56" i="9"/>
  <c r="E56" i="9"/>
  <c r="F56" i="9"/>
  <c r="G56" i="9"/>
  <c r="H56" i="9"/>
  <c r="B57" i="9"/>
  <c r="C57" i="9"/>
  <c r="D57" i="9"/>
  <c r="E57" i="9"/>
  <c r="F57" i="9"/>
  <c r="G57" i="9"/>
  <c r="H57" i="9"/>
  <c r="B58" i="9"/>
  <c r="C58" i="9"/>
  <c r="D58" i="9"/>
  <c r="E58" i="9"/>
  <c r="F58" i="9"/>
  <c r="G58" i="9"/>
  <c r="H58" i="9"/>
  <c r="C44" i="9"/>
  <c r="D44" i="9"/>
  <c r="E44" i="9"/>
  <c r="F44" i="9"/>
  <c r="G44" i="9"/>
  <c r="H44" i="9"/>
  <c r="B44" i="9"/>
  <c r="B26" i="9"/>
  <c r="C26" i="9"/>
  <c r="D26" i="9"/>
  <c r="E26" i="9"/>
  <c r="F26" i="9"/>
  <c r="G26" i="9"/>
  <c r="H26" i="9"/>
  <c r="B27" i="9"/>
  <c r="C27" i="9"/>
  <c r="D27" i="9"/>
  <c r="E27" i="9"/>
  <c r="F27" i="9"/>
  <c r="G27" i="9"/>
  <c r="H27" i="9"/>
  <c r="B28" i="9"/>
  <c r="C28" i="9"/>
  <c r="D28" i="9"/>
  <c r="E28" i="9"/>
  <c r="F28" i="9"/>
  <c r="G28" i="9"/>
  <c r="H28" i="9"/>
  <c r="B29" i="9"/>
  <c r="C29" i="9"/>
  <c r="D29" i="9"/>
  <c r="E29" i="9"/>
  <c r="F29" i="9"/>
  <c r="G29" i="9"/>
  <c r="H29" i="9"/>
  <c r="B30" i="9"/>
  <c r="C30" i="9"/>
  <c r="D30" i="9"/>
  <c r="E30" i="9"/>
  <c r="F30" i="9"/>
  <c r="G30" i="9"/>
  <c r="H30" i="9"/>
  <c r="B31" i="9"/>
  <c r="C31" i="9"/>
  <c r="D31" i="9"/>
  <c r="E31" i="9"/>
  <c r="F31" i="9"/>
  <c r="G31" i="9"/>
  <c r="H31" i="9"/>
  <c r="B32" i="9"/>
  <c r="C32" i="9"/>
  <c r="D32" i="9"/>
  <c r="E32" i="9"/>
  <c r="F32" i="9"/>
  <c r="G32" i="9"/>
  <c r="H32" i="9"/>
  <c r="B33" i="9"/>
  <c r="C33" i="9"/>
  <c r="D33" i="9"/>
  <c r="E33" i="9"/>
  <c r="F33" i="9"/>
  <c r="G33" i="9"/>
  <c r="H33" i="9"/>
  <c r="B34" i="9"/>
  <c r="C34" i="9"/>
  <c r="D34" i="9"/>
  <c r="E34" i="9"/>
  <c r="F34" i="9"/>
  <c r="G34" i="9"/>
  <c r="H34" i="9"/>
  <c r="B35" i="9"/>
  <c r="C35" i="9"/>
  <c r="D35" i="9"/>
  <c r="E35" i="9"/>
  <c r="F35" i="9"/>
  <c r="G35" i="9"/>
  <c r="H35" i="9"/>
  <c r="B36" i="9"/>
  <c r="C36" i="9"/>
  <c r="D36" i="9"/>
  <c r="E36" i="9"/>
  <c r="F36" i="9"/>
  <c r="G36" i="9"/>
  <c r="H36" i="9"/>
  <c r="B37" i="9"/>
  <c r="C37" i="9"/>
  <c r="D37" i="9"/>
  <c r="E37" i="9"/>
  <c r="F37" i="9"/>
  <c r="G37" i="9"/>
  <c r="H37" i="9"/>
  <c r="B38" i="9"/>
  <c r="C38" i="9"/>
  <c r="D38" i="9"/>
  <c r="E38" i="9"/>
  <c r="F38" i="9"/>
  <c r="G38" i="9"/>
  <c r="H38" i="9"/>
  <c r="B39" i="9"/>
  <c r="C39" i="9"/>
  <c r="D39" i="9"/>
  <c r="E39" i="9"/>
  <c r="F39" i="9"/>
  <c r="G39" i="9"/>
  <c r="H39" i="9"/>
  <c r="C25" i="9"/>
  <c r="D25" i="9"/>
  <c r="E25" i="9"/>
  <c r="F25" i="9"/>
  <c r="G25" i="9"/>
  <c r="H25" i="9"/>
  <c r="B25" i="9"/>
  <c r="B7" i="9"/>
  <c r="C7" i="9"/>
  <c r="D7" i="9"/>
  <c r="E7" i="9"/>
  <c r="F7" i="9"/>
  <c r="G7" i="9"/>
  <c r="H7" i="9"/>
  <c r="B8" i="9"/>
  <c r="C8" i="9"/>
  <c r="D8" i="9"/>
  <c r="E8" i="9"/>
  <c r="F8" i="9"/>
  <c r="G8" i="9"/>
  <c r="H8" i="9"/>
  <c r="B9" i="9"/>
  <c r="C9" i="9"/>
  <c r="D9" i="9"/>
  <c r="E9" i="9"/>
  <c r="F9" i="9"/>
  <c r="G9" i="9"/>
  <c r="H9" i="9"/>
  <c r="B10" i="9"/>
  <c r="C10" i="9"/>
  <c r="D10" i="9"/>
  <c r="E10" i="9"/>
  <c r="F10" i="9"/>
  <c r="G10" i="9"/>
  <c r="H10" i="9"/>
  <c r="B11" i="9"/>
  <c r="C11" i="9"/>
  <c r="D11" i="9"/>
  <c r="E11" i="9"/>
  <c r="F11" i="9"/>
  <c r="G11" i="9"/>
  <c r="H11" i="9"/>
  <c r="B12" i="9"/>
  <c r="C12" i="9"/>
  <c r="D12" i="9"/>
  <c r="E12" i="9"/>
  <c r="F12" i="9"/>
  <c r="G12" i="9"/>
  <c r="H12" i="9"/>
  <c r="B13" i="9"/>
  <c r="C13" i="9"/>
  <c r="D13" i="9"/>
  <c r="E13" i="9"/>
  <c r="F13" i="9"/>
  <c r="G13" i="9"/>
  <c r="H13" i="9"/>
  <c r="B14" i="9"/>
  <c r="C14" i="9"/>
  <c r="D14" i="9"/>
  <c r="E14" i="9"/>
  <c r="F14" i="9"/>
  <c r="G14" i="9"/>
  <c r="H14" i="9"/>
  <c r="B15" i="9"/>
  <c r="C15" i="9"/>
  <c r="D15" i="9"/>
  <c r="E15" i="9"/>
  <c r="F15" i="9"/>
  <c r="G15" i="9"/>
  <c r="H15" i="9"/>
  <c r="B16" i="9"/>
  <c r="C16" i="9"/>
  <c r="D16" i="9"/>
  <c r="E16" i="9"/>
  <c r="F16" i="9"/>
  <c r="G16" i="9"/>
  <c r="H16" i="9"/>
  <c r="B17" i="9"/>
  <c r="C17" i="9"/>
  <c r="D17" i="9"/>
  <c r="E17" i="9"/>
  <c r="F17" i="9"/>
  <c r="G17" i="9"/>
  <c r="H17" i="9"/>
  <c r="B18" i="9"/>
  <c r="C18" i="9"/>
  <c r="D18" i="9"/>
  <c r="E18" i="9"/>
  <c r="F18" i="9"/>
  <c r="G18" i="9"/>
  <c r="H18" i="9"/>
  <c r="B19" i="9"/>
  <c r="C19" i="9"/>
  <c r="D19" i="9"/>
  <c r="E19" i="9"/>
  <c r="F19" i="9"/>
  <c r="G19" i="9"/>
  <c r="H19" i="9"/>
  <c r="B20" i="9"/>
  <c r="C20" i="9"/>
  <c r="D20" i="9"/>
  <c r="E20" i="9"/>
  <c r="F20" i="9"/>
  <c r="G20" i="9"/>
  <c r="H20" i="9"/>
  <c r="C6" i="9"/>
  <c r="D6" i="9"/>
  <c r="E6" i="9"/>
  <c r="F6" i="9"/>
  <c r="G6" i="9"/>
  <c r="H6" i="9"/>
  <c r="B6" i="9"/>
  <c r="AU140" i="13"/>
  <c r="AV140" i="13"/>
  <c r="AW140" i="13"/>
  <c r="AX140" i="13"/>
  <c r="AY140" i="13"/>
  <c r="AZ140" i="13"/>
  <c r="BA140" i="13"/>
  <c r="AU141" i="13"/>
  <c r="AV141" i="13"/>
  <c r="AW141" i="13"/>
  <c r="AX141" i="13"/>
  <c r="AY141" i="13"/>
  <c r="AZ141" i="13"/>
  <c r="BA141" i="13"/>
  <c r="AU142" i="13"/>
  <c r="AV142" i="13"/>
  <c r="AW142" i="13"/>
  <c r="AX142" i="13"/>
  <c r="AY142" i="13"/>
  <c r="AZ142" i="13"/>
  <c r="BA142" i="13"/>
  <c r="AU143" i="13"/>
  <c r="AV143" i="13"/>
  <c r="AW143" i="13"/>
  <c r="AX143" i="13"/>
  <c r="AY143" i="13"/>
  <c r="AZ143" i="13"/>
  <c r="BA143" i="13"/>
  <c r="AU144" i="13"/>
  <c r="AV144" i="13"/>
  <c r="AW144" i="13"/>
  <c r="AX144" i="13"/>
  <c r="AY144" i="13"/>
  <c r="AZ144" i="13"/>
  <c r="BA144" i="13"/>
  <c r="AU145" i="13"/>
  <c r="AV145" i="13"/>
  <c r="AW145" i="13"/>
  <c r="AX145" i="13"/>
  <c r="AY145" i="13"/>
  <c r="AZ145" i="13"/>
  <c r="BA145" i="13"/>
  <c r="AU146" i="13"/>
  <c r="AV146" i="13"/>
  <c r="AW146" i="13"/>
  <c r="AX146" i="13"/>
  <c r="AY146" i="13"/>
  <c r="AZ146" i="13"/>
  <c r="BA146" i="13"/>
  <c r="AU147" i="13"/>
  <c r="AV147" i="13"/>
  <c r="AW147" i="13"/>
  <c r="AX147" i="13"/>
  <c r="AY147" i="13"/>
  <c r="AZ147" i="13"/>
  <c r="BA147" i="13"/>
  <c r="AU148" i="13"/>
  <c r="AV148" i="13"/>
  <c r="AW148" i="13"/>
  <c r="AX148" i="13"/>
  <c r="AY148" i="13"/>
  <c r="AZ148" i="13"/>
  <c r="BA148" i="13"/>
  <c r="AU149" i="13"/>
  <c r="AV149" i="13"/>
  <c r="AW149" i="13"/>
  <c r="AX149" i="13"/>
  <c r="AY149" i="13"/>
  <c r="AZ149" i="13"/>
  <c r="BA149" i="13"/>
  <c r="AU150" i="13"/>
  <c r="AV150" i="13"/>
  <c r="AW150" i="13"/>
  <c r="AX150" i="13"/>
  <c r="AY150" i="13"/>
  <c r="AZ150" i="13"/>
  <c r="BA150" i="13"/>
  <c r="AU151" i="13"/>
  <c r="AV151" i="13"/>
  <c r="AW151" i="13"/>
  <c r="AX151" i="13"/>
  <c r="AY151" i="13"/>
  <c r="AZ151" i="13"/>
  <c r="BA151" i="13"/>
  <c r="AU152" i="13"/>
  <c r="AV152" i="13"/>
  <c r="AW152" i="13"/>
  <c r="AX152" i="13"/>
  <c r="AY152" i="13"/>
  <c r="AZ152" i="13"/>
  <c r="BA152" i="13"/>
  <c r="AU153" i="13"/>
  <c r="AV153" i="13"/>
  <c r="AW153" i="13"/>
  <c r="AX153" i="13"/>
  <c r="AY153" i="13"/>
  <c r="AZ153" i="13"/>
  <c r="BA153" i="13"/>
  <c r="AV139" i="13"/>
  <c r="AW139" i="13"/>
  <c r="AX139" i="13"/>
  <c r="AY139" i="13"/>
  <c r="AZ139" i="13"/>
  <c r="BA139" i="13"/>
  <c r="AU139" i="13"/>
  <c r="AU121" i="13"/>
  <c r="AV121" i="13"/>
  <c r="AW121" i="13"/>
  <c r="AX121" i="13"/>
  <c r="AY121" i="13"/>
  <c r="AZ121" i="13"/>
  <c r="BA121" i="13"/>
  <c r="AU122" i="13"/>
  <c r="AV122" i="13"/>
  <c r="AW122" i="13"/>
  <c r="AX122" i="13"/>
  <c r="AY122" i="13"/>
  <c r="AZ122" i="13"/>
  <c r="BA122" i="13"/>
  <c r="AU123" i="13"/>
  <c r="AV123" i="13"/>
  <c r="AW123" i="13"/>
  <c r="AX123" i="13"/>
  <c r="AY123" i="13"/>
  <c r="AZ123" i="13"/>
  <c r="BA123" i="13"/>
  <c r="AU124" i="13"/>
  <c r="AV124" i="13"/>
  <c r="AW124" i="13"/>
  <c r="AX124" i="13"/>
  <c r="AY124" i="13"/>
  <c r="AZ124" i="13"/>
  <c r="BA124" i="13"/>
  <c r="AU125" i="13"/>
  <c r="AV125" i="13"/>
  <c r="AW125" i="13"/>
  <c r="AX125" i="13"/>
  <c r="AY125" i="13"/>
  <c r="AZ125" i="13"/>
  <c r="BA125" i="13"/>
  <c r="AU126" i="13"/>
  <c r="AV126" i="13"/>
  <c r="AW126" i="13"/>
  <c r="AX126" i="13"/>
  <c r="AY126" i="13"/>
  <c r="AZ126" i="13"/>
  <c r="BA126" i="13"/>
  <c r="AU127" i="13"/>
  <c r="AV127" i="13"/>
  <c r="AW127" i="13"/>
  <c r="AX127" i="13"/>
  <c r="AY127" i="13"/>
  <c r="AZ127" i="13"/>
  <c r="BA127" i="13"/>
  <c r="AU128" i="13"/>
  <c r="AV128" i="13"/>
  <c r="AW128" i="13"/>
  <c r="AX128" i="13"/>
  <c r="AY128" i="13"/>
  <c r="AZ128" i="13"/>
  <c r="BA128" i="13"/>
  <c r="AU129" i="13"/>
  <c r="AV129" i="13"/>
  <c r="AW129" i="13"/>
  <c r="AX129" i="13"/>
  <c r="AY129" i="13"/>
  <c r="AZ129" i="13"/>
  <c r="BA129" i="13"/>
  <c r="AU130" i="13"/>
  <c r="AV130" i="13"/>
  <c r="AW130" i="13"/>
  <c r="AX130" i="13"/>
  <c r="AY130" i="13"/>
  <c r="AZ130" i="13"/>
  <c r="BA130" i="13"/>
  <c r="AU131" i="13"/>
  <c r="AV131" i="13"/>
  <c r="AW131" i="13"/>
  <c r="AX131" i="13"/>
  <c r="AY131" i="13"/>
  <c r="AZ131" i="13"/>
  <c r="BA131" i="13"/>
  <c r="AU132" i="13"/>
  <c r="AV132" i="13"/>
  <c r="AW132" i="13"/>
  <c r="AX132" i="13"/>
  <c r="AY132" i="13"/>
  <c r="AZ132" i="13"/>
  <c r="BA132" i="13"/>
  <c r="AU133" i="13"/>
  <c r="AV133" i="13"/>
  <c r="AW133" i="13"/>
  <c r="AX133" i="13"/>
  <c r="AY133" i="13"/>
  <c r="AZ133" i="13"/>
  <c r="BA133" i="13"/>
  <c r="AU134" i="13"/>
  <c r="AV134" i="13"/>
  <c r="AW134" i="13"/>
  <c r="AX134" i="13"/>
  <c r="AY134" i="13"/>
  <c r="AZ134" i="13"/>
  <c r="BA134" i="13"/>
  <c r="AV120" i="13"/>
  <c r="AW120" i="13"/>
  <c r="AX120" i="13"/>
  <c r="AY120" i="13"/>
  <c r="AZ120" i="13"/>
  <c r="BA120" i="13"/>
  <c r="AU120" i="13"/>
  <c r="AU102" i="13"/>
  <c r="AV102" i="13"/>
  <c r="AW102" i="13"/>
  <c r="AX102" i="13"/>
  <c r="AY102" i="13"/>
  <c r="AZ102" i="13"/>
  <c r="BA102" i="13"/>
  <c r="AU103" i="13"/>
  <c r="AV103" i="13"/>
  <c r="AW103" i="13"/>
  <c r="AX103" i="13"/>
  <c r="AY103" i="13"/>
  <c r="AZ103" i="13"/>
  <c r="BA103" i="13"/>
  <c r="AU104" i="13"/>
  <c r="AV104" i="13"/>
  <c r="AW104" i="13"/>
  <c r="AX104" i="13"/>
  <c r="AY104" i="13"/>
  <c r="AZ104" i="13"/>
  <c r="BA104" i="13"/>
  <c r="AU105" i="13"/>
  <c r="AV105" i="13"/>
  <c r="AW105" i="13"/>
  <c r="AX105" i="13"/>
  <c r="AY105" i="13"/>
  <c r="AZ105" i="13"/>
  <c r="BA105" i="13"/>
  <c r="AU106" i="13"/>
  <c r="AV106" i="13"/>
  <c r="AW106" i="13"/>
  <c r="AX106" i="13"/>
  <c r="AY106" i="13"/>
  <c r="AZ106" i="13"/>
  <c r="BA106" i="13"/>
  <c r="AU107" i="13"/>
  <c r="AV107" i="13"/>
  <c r="AW107" i="13"/>
  <c r="AX107" i="13"/>
  <c r="AY107" i="13"/>
  <c r="AZ107" i="13"/>
  <c r="BA107" i="13"/>
  <c r="AU108" i="13"/>
  <c r="AV108" i="13"/>
  <c r="AW108" i="13"/>
  <c r="AX108" i="13"/>
  <c r="AY108" i="13"/>
  <c r="AZ108" i="13"/>
  <c r="BA108" i="13"/>
  <c r="AU109" i="13"/>
  <c r="AV109" i="13"/>
  <c r="AW109" i="13"/>
  <c r="AX109" i="13"/>
  <c r="AY109" i="13"/>
  <c r="AZ109" i="13"/>
  <c r="BA109" i="13"/>
  <c r="AU110" i="13"/>
  <c r="AV110" i="13"/>
  <c r="AW110" i="13"/>
  <c r="AX110" i="13"/>
  <c r="AY110" i="13"/>
  <c r="AZ110" i="13"/>
  <c r="BA110" i="13"/>
  <c r="AU111" i="13"/>
  <c r="AV111" i="13"/>
  <c r="AW111" i="13"/>
  <c r="AX111" i="13"/>
  <c r="AY111" i="13"/>
  <c r="AZ111" i="13"/>
  <c r="BA111" i="13"/>
  <c r="AU112" i="13"/>
  <c r="AV112" i="13"/>
  <c r="AW112" i="13"/>
  <c r="AX112" i="13"/>
  <c r="AY112" i="13"/>
  <c r="AZ112" i="13"/>
  <c r="BA112" i="13"/>
  <c r="AU113" i="13"/>
  <c r="AV113" i="13"/>
  <c r="AW113" i="13"/>
  <c r="AX113" i="13"/>
  <c r="AY113" i="13"/>
  <c r="AZ113" i="13"/>
  <c r="BA113" i="13"/>
  <c r="AU114" i="13"/>
  <c r="AV114" i="13"/>
  <c r="AW114" i="13"/>
  <c r="AX114" i="13"/>
  <c r="AY114" i="13"/>
  <c r="AZ114" i="13"/>
  <c r="BA114" i="13"/>
  <c r="AU115" i="13"/>
  <c r="AV115" i="13"/>
  <c r="AW115" i="13"/>
  <c r="AX115" i="13"/>
  <c r="AY115" i="13"/>
  <c r="AZ115" i="13"/>
  <c r="BA115" i="13"/>
  <c r="AV101" i="13"/>
  <c r="AW101" i="13"/>
  <c r="AX101" i="13"/>
  <c r="AY101" i="13"/>
  <c r="AZ101" i="13"/>
  <c r="BA101" i="13"/>
  <c r="AU101" i="13"/>
  <c r="AU83" i="13"/>
  <c r="AV83" i="13"/>
  <c r="AW83" i="13"/>
  <c r="AX83" i="13"/>
  <c r="AY83" i="13"/>
  <c r="AZ83" i="13"/>
  <c r="BA83" i="13"/>
  <c r="AU84" i="13"/>
  <c r="AV84" i="13"/>
  <c r="AW84" i="13"/>
  <c r="AX84" i="13"/>
  <c r="AY84" i="13"/>
  <c r="AZ84" i="13"/>
  <c r="BA84" i="13"/>
  <c r="AU85" i="13"/>
  <c r="AV85" i="13"/>
  <c r="AW85" i="13"/>
  <c r="AX85" i="13"/>
  <c r="AY85" i="13"/>
  <c r="AZ85" i="13"/>
  <c r="BA85" i="13"/>
  <c r="AU86" i="13"/>
  <c r="AV86" i="13"/>
  <c r="AW86" i="13"/>
  <c r="AX86" i="13"/>
  <c r="AY86" i="13"/>
  <c r="AZ86" i="13"/>
  <c r="BA86" i="13"/>
  <c r="AU87" i="13"/>
  <c r="AV87" i="13"/>
  <c r="AW87" i="13"/>
  <c r="AX87" i="13"/>
  <c r="AY87" i="13"/>
  <c r="AZ87" i="13"/>
  <c r="BA87" i="13"/>
  <c r="AU88" i="13"/>
  <c r="AV88" i="13"/>
  <c r="AW88" i="13"/>
  <c r="AX88" i="13"/>
  <c r="AY88" i="13"/>
  <c r="AZ88" i="13"/>
  <c r="BA88" i="13"/>
  <c r="AU89" i="13"/>
  <c r="AV89" i="13"/>
  <c r="AW89" i="13"/>
  <c r="AX89" i="13"/>
  <c r="AY89" i="13"/>
  <c r="AZ89" i="13"/>
  <c r="BA89" i="13"/>
  <c r="AU90" i="13"/>
  <c r="AV90" i="13"/>
  <c r="AW90" i="13"/>
  <c r="AX90" i="13"/>
  <c r="AY90" i="13"/>
  <c r="AZ90" i="13"/>
  <c r="BA90" i="13"/>
  <c r="AU91" i="13"/>
  <c r="AV91" i="13"/>
  <c r="AW91" i="13"/>
  <c r="AX91" i="13"/>
  <c r="AY91" i="13"/>
  <c r="AZ91" i="13"/>
  <c r="BA91" i="13"/>
  <c r="AU92" i="13"/>
  <c r="AV92" i="13"/>
  <c r="AW92" i="13"/>
  <c r="AX92" i="13"/>
  <c r="AY92" i="13"/>
  <c r="AZ92" i="13"/>
  <c r="BA92" i="13"/>
  <c r="AU93" i="13"/>
  <c r="AV93" i="13"/>
  <c r="AW93" i="13"/>
  <c r="AX93" i="13"/>
  <c r="AY93" i="13"/>
  <c r="AZ93" i="13"/>
  <c r="BA93" i="13"/>
  <c r="AU94" i="13"/>
  <c r="AV94" i="13"/>
  <c r="AW94" i="13"/>
  <c r="AX94" i="13"/>
  <c r="AY94" i="13"/>
  <c r="AZ94" i="13"/>
  <c r="BA94" i="13"/>
  <c r="AU95" i="13"/>
  <c r="AV95" i="13"/>
  <c r="AW95" i="13"/>
  <c r="AX95" i="13"/>
  <c r="AY95" i="13"/>
  <c r="AZ95" i="13"/>
  <c r="BA95" i="13"/>
  <c r="AU96" i="13"/>
  <c r="AV96" i="13"/>
  <c r="AW96" i="13"/>
  <c r="AX96" i="13"/>
  <c r="AY96" i="13"/>
  <c r="AZ96" i="13"/>
  <c r="BA96" i="13"/>
  <c r="AV82" i="13"/>
  <c r="AW82" i="13"/>
  <c r="AX82" i="13"/>
  <c r="AY82" i="13"/>
  <c r="AZ82" i="13"/>
  <c r="BA82" i="13"/>
  <c r="AU82" i="13"/>
  <c r="AU64" i="13"/>
  <c r="AV64" i="13"/>
  <c r="AW64" i="13"/>
  <c r="AX64" i="13"/>
  <c r="AY64" i="13"/>
  <c r="AZ64" i="13"/>
  <c r="BA64" i="13"/>
  <c r="AU65" i="13"/>
  <c r="AV65" i="13"/>
  <c r="AW65" i="13"/>
  <c r="AX65" i="13"/>
  <c r="AY65" i="13"/>
  <c r="AZ65" i="13"/>
  <c r="BA65" i="13"/>
  <c r="AU66" i="13"/>
  <c r="AV66" i="13"/>
  <c r="AW66" i="13"/>
  <c r="AX66" i="13"/>
  <c r="AY66" i="13"/>
  <c r="AZ66" i="13"/>
  <c r="BA66" i="13"/>
  <c r="AU67" i="13"/>
  <c r="AV67" i="13"/>
  <c r="AW67" i="13"/>
  <c r="AX67" i="13"/>
  <c r="AY67" i="13"/>
  <c r="AZ67" i="13"/>
  <c r="BA67" i="13"/>
  <c r="AU68" i="13"/>
  <c r="AV68" i="13"/>
  <c r="AW68" i="13"/>
  <c r="AX68" i="13"/>
  <c r="AY68" i="13"/>
  <c r="AZ68" i="13"/>
  <c r="BA68" i="13"/>
  <c r="AU69" i="13"/>
  <c r="AV69" i="13"/>
  <c r="AW69" i="13"/>
  <c r="AX69" i="13"/>
  <c r="AY69" i="13"/>
  <c r="AZ69" i="13"/>
  <c r="BA69" i="13"/>
  <c r="AU70" i="13"/>
  <c r="AV70" i="13"/>
  <c r="AW70" i="13"/>
  <c r="AX70" i="13"/>
  <c r="AY70" i="13"/>
  <c r="AZ70" i="13"/>
  <c r="BA70" i="13"/>
  <c r="AU71" i="13"/>
  <c r="AV71" i="13"/>
  <c r="AW71" i="13"/>
  <c r="AX71" i="13"/>
  <c r="AY71" i="13"/>
  <c r="AZ71" i="13"/>
  <c r="BA71" i="13"/>
  <c r="AU72" i="13"/>
  <c r="AV72" i="13"/>
  <c r="AW72" i="13"/>
  <c r="AX72" i="13"/>
  <c r="AY72" i="13"/>
  <c r="AZ72" i="13"/>
  <c r="BA72" i="13"/>
  <c r="AU73" i="13"/>
  <c r="AV73" i="13"/>
  <c r="AW73" i="13"/>
  <c r="AX73" i="13"/>
  <c r="AY73" i="13"/>
  <c r="AZ73" i="13"/>
  <c r="BA73" i="13"/>
  <c r="AU74" i="13"/>
  <c r="AV74" i="13"/>
  <c r="AW74" i="13"/>
  <c r="AX74" i="13"/>
  <c r="AY74" i="13"/>
  <c r="AZ74" i="13"/>
  <c r="BA74" i="13"/>
  <c r="AU75" i="13"/>
  <c r="AV75" i="13"/>
  <c r="AW75" i="13"/>
  <c r="AX75" i="13"/>
  <c r="AY75" i="13"/>
  <c r="AZ75" i="13"/>
  <c r="BA75" i="13"/>
  <c r="AU76" i="13"/>
  <c r="AV76" i="13"/>
  <c r="AW76" i="13"/>
  <c r="AX76" i="13"/>
  <c r="AY76" i="13"/>
  <c r="AZ76" i="13"/>
  <c r="BA76" i="13"/>
  <c r="AU77" i="13"/>
  <c r="AV77" i="13"/>
  <c r="AW77" i="13"/>
  <c r="AX77" i="13"/>
  <c r="AY77" i="13"/>
  <c r="AZ77" i="13"/>
  <c r="BA77" i="13"/>
  <c r="AV63" i="13"/>
  <c r="AW63" i="13"/>
  <c r="AX63" i="13"/>
  <c r="AY63" i="13"/>
  <c r="AZ63" i="13"/>
  <c r="BA63" i="13"/>
  <c r="AU63" i="13"/>
  <c r="AU45" i="13"/>
  <c r="AV45" i="13"/>
  <c r="AW45" i="13"/>
  <c r="AX45" i="13"/>
  <c r="AY45" i="13"/>
  <c r="AZ45" i="13"/>
  <c r="BA45" i="13"/>
  <c r="AU46" i="13"/>
  <c r="AV46" i="13"/>
  <c r="AW46" i="13"/>
  <c r="AX46" i="13"/>
  <c r="AY46" i="13"/>
  <c r="AZ46" i="13"/>
  <c r="BA46" i="13"/>
  <c r="AU47" i="13"/>
  <c r="AV47" i="13"/>
  <c r="AW47" i="13"/>
  <c r="AX47" i="13"/>
  <c r="AY47" i="13"/>
  <c r="AZ47" i="13"/>
  <c r="BA47" i="13"/>
  <c r="AU48" i="13"/>
  <c r="AV48" i="13"/>
  <c r="AW48" i="13"/>
  <c r="AX48" i="13"/>
  <c r="AY48" i="13"/>
  <c r="AZ48" i="13"/>
  <c r="BA48" i="13"/>
  <c r="AU49" i="13"/>
  <c r="AV49" i="13"/>
  <c r="AW49" i="13"/>
  <c r="AX49" i="13"/>
  <c r="AY49" i="13"/>
  <c r="AZ49" i="13"/>
  <c r="BA49" i="13"/>
  <c r="AU50" i="13"/>
  <c r="AV50" i="13"/>
  <c r="AW50" i="13"/>
  <c r="AX50" i="13"/>
  <c r="AY50" i="13"/>
  <c r="AZ50" i="13"/>
  <c r="BA50" i="13"/>
  <c r="AU51" i="13"/>
  <c r="AV51" i="13"/>
  <c r="AW51" i="13"/>
  <c r="AX51" i="13"/>
  <c r="AY51" i="13"/>
  <c r="AZ51" i="13"/>
  <c r="BA51" i="13"/>
  <c r="AU52" i="13"/>
  <c r="AV52" i="13"/>
  <c r="AW52" i="13"/>
  <c r="AX52" i="13"/>
  <c r="AY52" i="13"/>
  <c r="AZ52" i="13"/>
  <c r="BA52" i="13"/>
  <c r="AU53" i="13"/>
  <c r="AV53" i="13"/>
  <c r="AW53" i="13"/>
  <c r="AX53" i="13"/>
  <c r="AY53" i="13"/>
  <c r="AZ53" i="13"/>
  <c r="BA53" i="13"/>
  <c r="AU54" i="13"/>
  <c r="AV54" i="13"/>
  <c r="AW54" i="13"/>
  <c r="AX54" i="13"/>
  <c r="AY54" i="13"/>
  <c r="AZ54" i="13"/>
  <c r="BA54" i="13"/>
  <c r="AU55" i="13"/>
  <c r="AV55" i="13"/>
  <c r="AW55" i="13"/>
  <c r="AX55" i="13"/>
  <c r="AY55" i="13"/>
  <c r="AZ55" i="13"/>
  <c r="BA55" i="13"/>
  <c r="AU56" i="13"/>
  <c r="AV56" i="13"/>
  <c r="AW56" i="13"/>
  <c r="AX56" i="13"/>
  <c r="AY56" i="13"/>
  <c r="AZ56" i="13"/>
  <c r="BA56" i="13"/>
  <c r="AU57" i="13"/>
  <c r="AV57" i="13"/>
  <c r="AW57" i="13"/>
  <c r="AX57" i="13"/>
  <c r="AY57" i="13"/>
  <c r="AZ57" i="13"/>
  <c r="BA57" i="13"/>
  <c r="AU58" i="13"/>
  <c r="AV58" i="13"/>
  <c r="AW58" i="13"/>
  <c r="AX58" i="13"/>
  <c r="AY58" i="13"/>
  <c r="AZ58" i="13"/>
  <c r="BA58" i="13"/>
  <c r="AV44" i="13"/>
  <c r="AW44" i="13"/>
  <c r="AX44" i="13"/>
  <c r="AY44" i="13"/>
  <c r="AZ44" i="13"/>
  <c r="BA44" i="13"/>
  <c r="AU44" i="13"/>
  <c r="AU26" i="13"/>
  <c r="AV26" i="13"/>
  <c r="AW26" i="13"/>
  <c r="AX26" i="13"/>
  <c r="AY26" i="13"/>
  <c r="AZ26" i="13"/>
  <c r="BA26" i="13"/>
  <c r="AU27" i="13"/>
  <c r="AV27" i="13"/>
  <c r="AW27" i="13"/>
  <c r="AX27" i="13"/>
  <c r="AY27" i="13"/>
  <c r="AZ27" i="13"/>
  <c r="BA27" i="13"/>
  <c r="AU28" i="13"/>
  <c r="AV28" i="13"/>
  <c r="AW28" i="13"/>
  <c r="AX28" i="13"/>
  <c r="AY28" i="13"/>
  <c r="AZ28" i="13"/>
  <c r="BA28" i="13"/>
  <c r="AU29" i="13"/>
  <c r="AV29" i="13"/>
  <c r="AW29" i="13"/>
  <c r="AX29" i="13"/>
  <c r="AY29" i="13"/>
  <c r="AZ29" i="13"/>
  <c r="BA29" i="13"/>
  <c r="AU30" i="13"/>
  <c r="AV30" i="13"/>
  <c r="AW30" i="13"/>
  <c r="AX30" i="13"/>
  <c r="AY30" i="13"/>
  <c r="AZ30" i="13"/>
  <c r="BA30" i="13"/>
  <c r="AU31" i="13"/>
  <c r="AV31" i="13"/>
  <c r="AW31" i="13"/>
  <c r="AX31" i="13"/>
  <c r="AY31" i="13"/>
  <c r="AZ31" i="13"/>
  <c r="BA31" i="13"/>
  <c r="AU32" i="13"/>
  <c r="AV32" i="13"/>
  <c r="AW32" i="13"/>
  <c r="AX32" i="13"/>
  <c r="AY32" i="13"/>
  <c r="AZ32" i="13"/>
  <c r="BA32" i="13"/>
  <c r="AU33" i="13"/>
  <c r="AV33" i="13"/>
  <c r="AW33" i="13"/>
  <c r="AX33" i="13"/>
  <c r="AY33" i="13"/>
  <c r="AZ33" i="13"/>
  <c r="BA33" i="13"/>
  <c r="AU34" i="13"/>
  <c r="AV34" i="13"/>
  <c r="AW34" i="13"/>
  <c r="AX34" i="13"/>
  <c r="AY34" i="13"/>
  <c r="AZ34" i="13"/>
  <c r="BA34" i="13"/>
  <c r="AU35" i="13"/>
  <c r="AV35" i="13"/>
  <c r="AW35" i="13"/>
  <c r="AX35" i="13"/>
  <c r="AY35" i="13"/>
  <c r="AZ35" i="13"/>
  <c r="BA35" i="13"/>
  <c r="AU36" i="13"/>
  <c r="AV36" i="13"/>
  <c r="AW36" i="13"/>
  <c r="AX36" i="13"/>
  <c r="AY36" i="13"/>
  <c r="AZ36" i="13"/>
  <c r="BA36" i="13"/>
  <c r="AU37" i="13"/>
  <c r="AV37" i="13"/>
  <c r="AW37" i="13"/>
  <c r="AX37" i="13"/>
  <c r="AY37" i="13"/>
  <c r="AZ37" i="13"/>
  <c r="BA37" i="13"/>
  <c r="AU38" i="13"/>
  <c r="AV38" i="13"/>
  <c r="AW38" i="13"/>
  <c r="AX38" i="13"/>
  <c r="AY38" i="13"/>
  <c r="AZ38" i="13"/>
  <c r="BA38" i="13"/>
  <c r="AU39" i="13"/>
  <c r="AV39" i="13"/>
  <c r="AW39" i="13"/>
  <c r="AX39" i="13"/>
  <c r="AY39" i="13"/>
  <c r="AZ39" i="13"/>
  <c r="BA39" i="13"/>
  <c r="AV25" i="13"/>
  <c r="AW25" i="13"/>
  <c r="AX25" i="13"/>
  <c r="AY25" i="13"/>
  <c r="AZ25" i="13"/>
  <c r="BA25" i="13"/>
  <c r="AU25" i="13"/>
  <c r="AU7" i="13"/>
  <c r="AV7" i="13"/>
  <c r="AW7" i="13"/>
  <c r="AX7" i="13"/>
  <c r="AY7" i="13"/>
  <c r="AZ7" i="13"/>
  <c r="BA7" i="13"/>
  <c r="AU8" i="13"/>
  <c r="AV8" i="13"/>
  <c r="AW8" i="13"/>
  <c r="AX8" i="13"/>
  <c r="AY8" i="13"/>
  <c r="AZ8" i="13"/>
  <c r="BA8" i="13"/>
  <c r="AU9" i="13"/>
  <c r="AV9" i="13"/>
  <c r="AW9" i="13"/>
  <c r="AX9" i="13"/>
  <c r="AY9" i="13"/>
  <c r="AZ9" i="13"/>
  <c r="BA9" i="13"/>
  <c r="AU10" i="13"/>
  <c r="AV10" i="13"/>
  <c r="AW10" i="13"/>
  <c r="AX10" i="13"/>
  <c r="AY10" i="13"/>
  <c r="AZ10" i="13"/>
  <c r="BA10" i="13"/>
  <c r="AU11" i="13"/>
  <c r="AV11" i="13"/>
  <c r="AW11" i="13"/>
  <c r="AX11" i="13"/>
  <c r="AY11" i="13"/>
  <c r="AZ11" i="13"/>
  <c r="BA11" i="13"/>
  <c r="AU12" i="13"/>
  <c r="AV12" i="13"/>
  <c r="AW12" i="13"/>
  <c r="AX12" i="13"/>
  <c r="AY12" i="13"/>
  <c r="AZ12" i="13"/>
  <c r="BA12" i="13"/>
  <c r="AU13" i="13"/>
  <c r="AV13" i="13"/>
  <c r="AW13" i="13"/>
  <c r="AX13" i="13"/>
  <c r="AY13" i="13"/>
  <c r="AZ13" i="13"/>
  <c r="BA13" i="13"/>
  <c r="AU14" i="13"/>
  <c r="AV14" i="13"/>
  <c r="AW14" i="13"/>
  <c r="AX14" i="13"/>
  <c r="AY14" i="13"/>
  <c r="AZ14" i="13"/>
  <c r="BA14" i="13"/>
  <c r="AU15" i="13"/>
  <c r="AV15" i="13"/>
  <c r="AW15" i="13"/>
  <c r="AX15" i="13"/>
  <c r="AY15" i="13"/>
  <c r="AZ15" i="13"/>
  <c r="BA15" i="13"/>
  <c r="AU16" i="13"/>
  <c r="AV16" i="13"/>
  <c r="AW16" i="13"/>
  <c r="AX16" i="13"/>
  <c r="AY16" i="13"/>
  <c r="AZ16" i="13"/>
  <c r="BA16" i="13"/>
  <c r="AU17" i="13"/>
  <c r="AV17" i="13"/>
  <c r="AW17" i="13"/>
  <c r="AX17" i="13"/>
  <c r="AY17" i="13"/>
  <c r="AZ17" i="13"/>
  <c r="BA17" i="13"/>
  <c r="AU18" i="13"/>
  <c r="AV18" i="13"/>
  <c r="AW18" i="13"/>
  <c r="AX18" i="13"/>
  <c r="AY18" i="13"/>
  <c r="AZ18" i="13"/>
  <c r="BA18" i="13"/>
  <c r="AU19" i="13"/>
  <c r="AV19" i="13"/>
  <c r="AW19" i="13"/>
  <c r="AX19" i="13"/>
  <c r="AY19" i="13"/>
  <c r="AZ19" i="13"/>
  <c r="BA19" i="13"/>
  <c r="AU20" i="13"/>
  <c r="AV20" i="13"/>
  <c r="AW20" i="13"/>
  <c r="AX20" i="13"/>
  <c r="AY20" i="13"/>
  <c r="AZ20" i="13"/>
  <c r="BA20" i="13"/>
  <c r="AV6" i="13"/>
  <c r="AW6" i="13"/>
  <c r="AX6" i="13"/>
  <c r="AY6" i="13"/>
  <c r="AZ6" i="13"/>
  <c r="BA6" i="13"/>
  <c r="AU6" i="13"/>
  <c r="AL140" i="13"/>
  <c r="AM140" i="13"/>
  <c r="AN140" i="13"/>
  <c r="AO140" i="13"/>
  <c r="AP140" i="13"/>
  <c r="AQ140" i="13"/>
  <c r="AR140" i="13"/>
  <c r="AL141" i="13"/>
  <c r="AM141" i="13"/>
  <c r="AN141" i="13"/>
  <c r="AO141" i="13"/>
  <c r="AP141" i="13"/>
  <c r="AQ141" i="13"/>
  <c r="AR141" i="13"/>
  <c r="AL142" i="13"/>
  <c r="AM142" i="13"/>
  <c r="AN142" i="13"/>
  <c r="AO142" i="13"/>
  <c r="AP142" i="13"/>
  <c r="AQ142" i="13"/>
  <c r="AR142" i="13"/>
  <c r="AL143" i="13"/>
  <c r="AM143" i="13"/>
  <c r="AN143" i="13"/>
  <c r="AO143" i="13"/>
  <c r="AP143" i="13"/>
  <c r="AQ143" i="13"/>
  <c r="AR143" i="13"/>
  <c r="AL144" i="13"/>
  <c r="AM144" i="13"/>
  <c r="AN144" i="13"/>
  <c r="AO144" i="13"/>
  <c r="AP144" i="13"/>
  <c r="AQ144" i="13"/>
  <c r="AR144" i="13"/>
  <c r="AL145" i="13"/>
  <c r="AM145" i="13"/>
  <c r="AN145" i="13"/>
  <c r="AO145" i="13"/>
  <c r="AP145" i="13"/>
  <c r="AQ145" i="13"/>
  <c r="AR145" i="13"/>
  <c r="AL146" i="13"/>
  <c r="AM146" i="13"/>
  <c r="AN146" i="13"/>
  <c r="AO146" i="13"/>
  <c r="AP146" i="13"/>
  <c r="AQ146" i="13"/>
  <c r="AR146" i="13"/>
  <c r="AL147" i="13"/>
  <c r="AM147" i="13"/>
  <c r="AN147" i="13"/>
  <c r="AO147" i="13"/>
  <c r="AP147" i="13"/>
  <c r="AQ147" i="13"/>
  <c r="AR147" i="13"/>
  <c r="AL148" i="13"/>
  <c r="AM148" i="13"/>
  <c r="AN148" i="13"/>
  <c r="AO148" i="13"/>
  <c r="AP148" i="13"/>
  <c r="AQ148" i="13"/>
  <c r="AR148" i="13"/>
  <c r="AL149" i="13"/>
  <c r="AM149" i="13"/>
  <c r="AN149" i="13"/>
  <c r="AO149" i="13"/>
  <c r="AP149" i="13"/>
  <c r="AQ149" i="13"/>
  <c r="AR149" i="13"/>
  <c r="AL150" i="13"/>
  <c r="AM150" i="13"/>
  <c r="AN150" i="13"/>
  <c r="AO150" i="13"/>
  <c r="AP150" i="13"/>
  <c r="AQ150" i="13"/>
  <c r="AR150" i="13"/>
  <c r="AL151" i="13"/>
  <c r="AM151" i="13"/>
  <c r="AN151" i="13"/>
  <c r="AO151" i="13"/>
  <c r="AP151" i="13"/>
  <c r="AQ151" i="13"/>
  <c r="AR151" i="13"/>
  <c r="AL152" i="13"/>
  <c r="AM152" i="13"/>
  <c r="AN152" i="13"/>
  <c r="AO152" i="13"/>
  <c r="AP152" i="13"/>
  <c r="AQ152" i="13"/>
  <c r="AR152" i="13"/>
  <c r="AL153" i="13"/>
  <c r="AM153" i="13"/>
  <c r="AN153" i="13"/>
  <c r="AO153" i="13"/>
  <c r="AP153" i="13"/>
  <c r="AQ153" i="13"/>
  <c r="AR153" i="13"/>
  <c r="AM139" i="13"/>
  <c r="AN139" i="13"/>
  <c r="AO139" i="13"/>
  <c r="AP139" i="13"/>
  <c r="AQ139" i="13"/>
  <c r="AR139" i="13"/>
  <c r="AL139" i="13"/>
  <c r="AL121" i="13"/>
  <c r="AM121" i="13"/>
  <c r="AN121" i="13"/>
  <c r="AO121" i="13"/>
  <c r="AP121" i="13"/>
  <c r="AQ121" i="13"/>
  <c r="AR121" i="13"/>
  <c r="AL122" i="13"/>
  <c r="AM122" i="13"/>
  <c r="AN122" i="13"/>
  <c r="AO122" i="13"/>
  <c r="AP122" i="13"/>
  <c r="AQ122" i="13"/>
  <c r="AR122" i="13"/>
  <c r="AL123" i="13"/>
  <c r="AM123" i="13"/>
  <c r="AN123" i="13"/>
  <c r="AO123" i="13"/>
  <c r="AP123" i="13"/>
  <c r="AQ123" i="13"/>
  <c r="AR123" i="13"/>
  <c r="AL124" i="13"/>
  <c r="AM124" i="13"/>
  <c r="AN124" i="13"/>
  <c r="AO124" i="13"/>
  <c r="AP124" i="13"/>
  <c r="AQ124" i="13"/>
  <c r="AR124" i="13"/>
  <c r="AL125" i="13"/>
  <c r="AM125" i="13"/>
  <c r="AN125" i="13"/>
  <c r="AO125" i="13"/>
  <c r="AP125" i="13"/>
  <c r="AQ125" i="13"/>
  <c r="AR125" i="13"/>
  <c r="AL126" i="13"/>
  <c r="AM126" i="13"/>
  <c r="AN126" i="13"/>
  <c r="AO126" i="13"/>
  <c r="AP126" i="13"/>
  <c r="AQ126" i="13"/>
  <c r="AR126" i="13"/>
  <c r="AL127" i="13"/>
  <c r="AM127" i="13"/>
  <c r="AN127" i="13"/>
  <c r="AO127" i="13"/>
  <c r="AP127" i="13"/>
  <c r="AQ127" i="13"/>
  <c r="AR127" i="13"/>
  <c r="AL128" i="13"/>
  <c r="AM128" i="13"/>
  <c r="AN128" i="13"/>
  <c r="AO128" i="13"/>
  <c r="AP128" i="13"/>
  <c r="AQ128" i="13"/>
  <c r="AR128" i="13"/>
  <c r="AL129" i="13"/>
  <c r="AM129" i="13"/>
  <c r="AN129" i="13"/>
  <c r="AO129" i="13"/>
  <c r="AP129" i="13"/>
  <c r="AQ129" i="13"/>
  <c r="AR129" i="13"/>
  <c r="AL130" i="13"/>
  <c r="AM130" i="13"/>
  <c r="AN130" i="13"/>
  <c r="AO130" i="13"/>
  <c r="AP130" i="13"/>
  <c r="AQ130" i="13"/>
  <c r="AR130" i="13"/>
  <c r="AL131" i="13"/>
  <c r="AM131" i="13"/>
  <c r="AN131" i="13"/>
  <c r="AO131" i="13"/>
  <c r="AP131" i="13"/>
  <c r="AQ131" i="13"/>
  <c r="AR131" i="13"/>
  <c r="AL132" i="13"/>
  <c r="AM132" i="13"/>
  <c r="AN132" i="13"/>
  <c r="AO132" i="13"/>
  <c r="AP132" i="13"/>
  <c r="AQ132" i="13"/>
  <c r="AR132" i="13"/>
  <c r="AL133" i="13"/>
  <c r="AM133" i="13"/>
  <c r="AN133" i="13"/>
  <c r="AO133" i="13"/>
  <c r="AP133" i="13"/>
  <c r="AQ133" i="13"/>
  <c r="AR133" i="13"/>
  <c r="AL134" i="13"/>
  <c r="AM134" i="13"/>
  <c r="AN134" i="13"/>
  <c r="AO134" i="13"/>
  <c r="AP134" i="13"/>
  <c r="AQ134" i="13"/>
  <c r="AR134" i="13"/>
  <c r="AM120" i="13"/>
  <c r="AN120" i="13"/>
  <c r="AO120" i="13"/>
  <c r="AP120" i="13"/>
  <c r="AQ120" i="13"/>
  <c r="AR120" i="13"/>
  <c r="AL120" i="13"/>
  <c r="AL102" i="13"/>
  <c r="AM102" i="13"/>
  <c r="AN102" i="13"/>
  <c r="AO102" i="13"/>
  <c r="AP102" i="13"/>
  <c r="AQ102" i="13"/>
  <c r="AR102" i="13"/>
  <c r="AL103" i="13"/>
  <c r="AM103" i="13"/>
  <c r="AN103" i="13"/>
  <c r="AO103" i="13"/>
  <c r="AP103" i="13"/>
  <c r="AQ103" i="13"/>
  <c r="AR103" i="13"/>
  <c r="AL104" i="13"/>
  <c r="AM104" i="13"/>
  <c r="AN104" i="13"/>
  <c r="AO104" i="13"/>
  <c r="AP104" i="13"/>
  <c r="AQ104" i="13"/>
  <c r="AR104" i="13"/>
  <c r="AL105" i="13"/>
  <c r="AM105" i="13"/>
  <c r="AN105" i="13"/>
  <c r="AO105" i="13"/>
  <c r="AP105" i="13"/>
  <c r="AQ105" i="13"/>
  <c r="AR105" i="13"/>
  <c r="AL106" i="13"/>
  <c r="AM106" i="13"/>
  <c r="AN106" i="13"/>
  <c r="AO106" i="13"/>
  <c r="AP106" i="13"/>
  <c r="AQ106" i="13"/>
  <c r="AR106" i="13"/>
  <c r="AL107" i="13"/>
  <c r="AM107" i="13"/>
  <c r="AN107" i="13"/>
  <c r="AO107" i="13"/>
  <c r="AP107" i="13"/>
  <c r="AQ107" i="13"/>
  <c r="AR107" i="13"/>
  <c r="AL108" i="13"/>
  <c r="AM108" i="13"/>
  <c r="AN108" i="13"/>
  <c r="AO108" i="13"/>
  <c r="AP108" i="13"/>
  <c r="AQ108" i="13"/>
  <c r="AR108" i="13"/>
  <c r="AL109" i="13"/>
  <c r="AM109" i="13"/>
  <c r="AN109" i="13"/>
  <c r="AO109" i="13"/>
  <c r="AP109" i="13"/>
  <c r="AQ109" i="13"/>
  <c r="AR109" i="13"/>
  <c r="AL110" i="13"/>
  <c r="AM110" i="13"/>
  <c r="AN110" i="13"/>
  <c r="AO110" i="13"/>
  <c r="AP110" i="13"/>
  <c r="AQ110" i="13"/>
  <c r="AR110" i="13"/>
  <c r="AL111" i="13"/>
  <c r="AM111" i="13"/>
  <c r="AN111" i="13"/>
  <c r="AO111" i="13"/>
  <c r="AP111" i="13"/>
  <c r="AQ111" i="13"/>
  <c r="AR111" i="13"/>
  <c r="AL112" i="13"/>
  <c r="AM112" i="13"/>
  <c r="AN112" i="13"/>
  <c r="AO112" i="13"/>
  <c r="AP112" i="13"/>
  <c r="AQ112" i="13"/>
  <c r="AR112" i="13"/>
  <c r="AL113" i="13"/>
  <c r="AM113" i="13"/>
  <c r="AN113" i="13"/>
  <c r="AO113" i="13"/>
  <c r="AP113" i="13"/>
  <c r="AQ113" i="13"/>
  <c r="AR113" i="13"/>
  <c r="AL114" i="13"/>
  <c r="AM114" i="13"/>
  <c r="AN114" i="13"/>
  <c r="AO114" i="13"/>
  <c r="AP114" i="13"/>
  <c r="AQ114" i="13"/>
  <c r="AR114" i="13"/>
  <c r="AL115" i="13"/>
  <c r="AM115" i="13"/>
  <c r="AN115" i="13"/>
  <c r="AO115" i="13"/>
  <c r="AP115" i="13"/>
  <c r="AQ115" i="13"/>
  <c r="AR115" i="13"/>
  <c r="AM101" i="13"/>
  <c r="AN101" i="13"/>
  <c r="AO101" i="13"/>
  <c r="AP101" i="13"/>
  <c r="AQ101" i="13"/>
  <c r="AR101" i="13"/>
  <c r="AL101" i="13"/>
  <c r="AL83" i="13"/>
  <c r="AM83" i="13"/>
  <c r="AN83" i="13"/>
  <c r="AO83" i="13"/>
  <c r="AP83" i="13"/>
  <c r="AQ83" i="13"/>
  <c r="AR83" i="13"/>
  <c r="AL84" i="13"/>
  <c r="AM84" i="13"/>
  <c r="AN84" i="13"/>
  <c r="AO84" i="13"/>
  <c r="AP84" i="13"/>
  <c r="AQ84" i="13"/>
  <c r="AR84" i="13"/>
  <c r="AL85" i="13"/>
  <c r="AM85" i="13"/>
  <c r="AN85" i="13"/>
  <c r="AO85" i="13"/>
  <c r="AP85" i="13"/>
  <c r="AQ85" i="13"/>
  <c r="AR85" i="13"/>
  <c r="AL86" i="13"/>
  <c r="AM86" i="13"/>
  <c r="AN86" i="13"/>
  <c r="AO86" i="13"/>
  <c r="AP86" i="13"/>
  <c r="AQ86" i="13"/>
  <c r="AR86" i="13"/>
  <c r="AL87" i="13"/>
  <c r="AM87" i="13"/>
  <c r="AN87" i="13"/>
  <c r="AO87" i="13"/>
  <c r="AP87" i="13"/>
  <c r="AQ87" i="13"/>
  <c r="AR87" i="13"/>
  <c r="AL88" i="13"/>
  <c r="AM88" i="13"/>
  <c r="AN88" i="13"/>
  <c r="AO88" i="13"/>
  <c r="AP88" i="13"/>
  <c r="AQ88" i="13"/>
  <c r="AR88" i="13"/>
  <c r="AL89" i="13"/>
  <c r="AM89" i="13"/>
  <c r="AN89" i="13"/>
  <c r="AO89" i="13"/>
  <c r="AP89" i="13"/>
  <c r="AQ89" i="13"/>
  <c r="AR89" i="13"/>
  <c r="AL90" i="13"/>
  <c r="AM90" i="13"/>
  <c r="AN90" i="13"/>
  <c r="AO90" i="13"/>
  <c r="AP90" i="13"/>
  <c r="AQ90" i="13"/>
  <c r="AR90" i="13"/>
  <c r="AL91" i="13"/>
  <c r="AM91" i="13"/>
  <c r="AN91" i="13"/>
  <c r="AO91" i="13"/>
  <c r="AP91" i="13"/>
  <c r="AQ91" i="13"/>
  <c r="AR91" i="13"/>
  <c r="AL92" i="13"/>
  <c r="AM92" i="13"/>
  <c r="AN92" i="13"/>
  <c r="AO92" i="13"/>
  <c r="AP92" i="13"/>
  <c r="AQ92" i="13"/>
  <c r="AR92" i="13"/>
  <c r="AL93" i="13"/>
  <c r="AM93" i="13"/>
  <c r="AN93" i="13"/>
  <c r="AO93" i="13"/>
  <c r="AP93" i="13"/>
  <c r="AQ93" i="13"/>
  <c r="AR93" i="13"/>
  <c r="AL94" i="13"/>
  <c r="AM94" i="13"/>
  <c r="AN94" i="13"/>
  <c r="AO94" i="13"/>
  <c r="AP94" i="13"/>
  <c r="AQ94" i="13"/>
  <c r="AR94" i="13"/>
  <c r="AL95" i="13"/>
  <c r="AM95" i="13"/>
  <c r="AN95" i="13"/>
  <c r="AO95" i="13"/>
  <c r="AP95" i="13"/>
  <c r="AQ95" i="13"/>
  <c r="AR95" i="13"/>
  <c r="AL96" i="13"/>
  <c r="AM96" i="13"/>
  <c r="AN96" i="13"/>
  <c r="AO96" i="13"/>
  <c r="AP96" i="13"/>
  <c r="AQ96" i="13"/>
  <c r="AR96" i="13"/>
  <c r="AM82" i="13"/>
  <c r="AN82" i="13"/>
  <c r="AO82" i="13"/>
  <c r="AP82" i="13"/>
  <c r="AQ82" i="13"/>
  <c r="AR82" i="13"/>
  <c r="AL82" i="13"/>
  <c r="AL64" i="13"/>
  <c r="AM64" i="13"/>
  <c r="AN64" i="13"/>
  <c r="AO64" i="13"/>
  <c r="AP64" i="13"/>
  <c r="AQ64" i="13"/>
  <c r="AR64" i="13"/>
  <c r="AL65" i="13"/>
  <c r="AM65" i="13"/>
  <c r="AN65" i="13"/>
  <c r="AO65" i="13"/>
  <c r="AP65" i="13"/>
  <c r="AQ65" i="13"/>
  <c r="AR65" i="13"/>
  <c r="AL66" i="13"/>
  <c r="AM66" i="13"/>
  <c r="AN66" i="13"/>
  <c r="AO66" i="13"/>
  <c r="AP66" i="13"/>
  <c r="AQ66" i="13"/>
  <c r="AR66" i="13"/>
  <c r="AL67" i="13"/>
  <c r="AM67" i="13"/>
  <c r="AN67" i="13"/>
  <c r="AO67" i="13"/>
  <c r="AP67" i="13"/>
  <c r="AQ67" i="13"/>
  <c r="AR67" i="13"/>
  <c r="AL68" i="13"/>
  <c r="AM68" i="13"/>
  <c r="AN68" i="13"/>
  <c r="AO68" i="13"/>
  <c r="AP68" i="13"/>
  <c r="AQ68" i="13"/>
  <c r="AR68" i="13"/>
  <c r="AL69" i="13"/>
  <c r="AM69" i="13"/>
  <c r="AN69" i="13"/>
  <c r="AO69" i="13"/>
  <c r="AP69" i="13"/>
  <c r="AQ69" i="13"/>
  <c r="AR69" i="13"/>
  <c r="AL70" i="13"/>
  <c r="AM70" i="13"/>
  <c r="AN70" i="13"/>
  <c r="AO70" i="13"/>
  <c r="AP70" i="13"/>
  <c r="AQ70" i="13"/>
  <c r="AR70" i="13"/>
  <c r="AL71" i="13"/>
  <c r="AM71" i="13"/>
  <c r="AN71" i="13"/>
  <c r="AO71" i="13"/>
  <c r="AP71" i="13"/>
  <c r="AQ71" i="13"/>
  <c r="AR71" i="13"/>
  <c r="AL72" i="13"/>
  <c r="AM72" i="13"/>
  <c r="AN72" i="13"/>
  <c r="AO72" i="13"/>
  <c r="AP72" i="13"/>
  <c r="AQ72" i="13"/>
  <c r="AR72" i="13"/>
  <c r="AL73" i="13"/>
  <c r="AM73" i="13"/>
  <c r="AN73" i="13"/>
  <c r="AO73" i="13"/>
  <c r="AP73" i="13"/>
  <c r="AQ73" i="13"/>
  <c r="AR73" i="13"/>
  <c r="AL74" i="13"/>
  <c r="AM74" i="13"/>
  <c r="AN74" i="13"/>
  <c r="AO74" i="13"/>
  <c r="AP74" i="13"/>
  <c r="AQ74" i="13"/>
  <c r="AR74" i="13"/>
  <c r="AL75" i="13"/>
  <c r="AM75" i="13"/>
  <c r="AN75" i="13"/>
  <c r="AO75" i="13"/>
  <c r="AP75" i="13"/>
  <c r="AQ75" i="13"/>
  <c r="AR75" i="13"/>
  <c r="AL76" i="13"/>
  <c r="AM76" i="13"/>
  <c r="AN76" i="13"/>
  <c r="AO76" i="13"/>
  <c r="AP76" i="13"/>
  <c r="AQ76" i="13"/>
  <c r="AR76" i="13"/>
  <c r="AL77" i="13"/>
  <c r="AM77" i="13"/>
  <c r="AN77" i="13"/>
  <c r="AO77" i="13"/>
  <c r="AP77" i="13"/>
  <c r="AQ77" i="13"/>
  <c r="AR77" i="13"/>
  <c r="AM63" i="13"/>
  <c r="AN63" i="13"/>
  <c r="AO63" i="13"/>
  <c r="AP63" i="13"/>
  <c r="AQ63" i="13"/>
  <c r="AR63" i="13"/>
  <c r="AL63" i="13"/>
  <c r="AL45" i="13"/>
  <c r="AM45" i="13"/>
  <c r="AN45" i="13"/>
  <c r="AO45" i="13"/>
  <c r="AP45" i="13"/>
  <c r="AQ45" i="13"/>
  <c r="AR45" i="13"/>
  <c r="AL46" i="13"/>
  <c r="AM46" i="13"/>
  <c r="AN46" i="13"/>
  <c r="AO46" i="13"/>
  <c r="AP46" i="13"/>
  <c r="AQ46" i="13"/>
  <c r="AR46" i="13"/>
  <c r="AL47" i="13"/>
  <c r="AM47" i="13"/>
  <c r="AN47" i="13"/>
  <c r="AO47" i="13"/>
  <c r="AP47" i="13"/>
  <c r="AQ47" i="13"/>
  <c r="AR47" i="13"/>
  <c r="AL48" i="13"/>
  <c r="AM48" i="13"/>
  <c r="AN48" i="13"/>
  <c r="AO48" i="13"/>
  <c r="AP48" i="13"/>
  <c r="AQ48" i="13"/>
  <c r="AR48" i="13"/>
  <c r="AL49" i="13"/>
  <c r="AM49" i="13"/>
  <c r="AN49" i="13"/>
  <c r="AO49" i="13"/>
  <c r="AP49" i="13"/>
  <c r="AQ49" i="13"/>
  <c r="AR49" i="13"/>
  <c r="AL50" i="13"/>
  <c r="AM50" i="13"/>
  <c r="AN50" i="13"/>
  <c r="AO50" i="13"/>
  <c r="AP50" i="13"/>
  <c r="AQ50" i="13"/>
  <c r="AR50" i="13"/>
  <c r="AL51" i="13"/>
  <c r="AM51" i="13"/>
  <c r="AN51" i="13"/>
  <c r="AO51" i="13"/>
  <c r="AP51" i="13"/>
  <c r="AQ51" i="13"/>
  <c r="AR51" i="13"/>
  <c r="AL52" i="13"/>
  <c r="AM52" i="13"/>
  <c r="AN52" i="13"/>
  <c r="AO52" i="13"/>
  <c r="AP52" i="13"/>
  <c r="AQ52" i="13"/>
  <c r="AR52" i="13"/>
  <c r="AL53" i="13"/>
  <c r="AM53" i="13"/>
  <c r="AN53" i="13"/>
  <c r="AO53" i="13"/>
  <c r="AP53" i="13"/>
  <c r="AQ53" i="13"/>
  <c r="AR53" i="13"/>
  <c r="AL54" i="13"/>
  <c r="AM54" i="13"/>
  <c r="AN54" i="13"/>
  <c r="AO54" i="13"/>
  <c r="AP54" i="13"/>
  <c r="AQ54" i="13"/>
  <c r="AR54" i="13"/>
  <c r="AL55" i="13"/>
  <c r="AM55" i="13"/>
  <c r="AN55" i="13"/>
  <c r="AO55" i="13"/>
  <c r="AP55" i="13"/>
  <c r="AQ55" i="13"/>
  <c r="AR55" i="13"/>
  <c r="AL56" i="13"/>
  <c r="AM56" i="13"/>
  <c r="AN56" i="13"/>
  <c r="AO56" i="13"/>
  <c r="AP56" i="13"/>
  <c r="AQ56" i="13"/>
  <c r="AR56" i="13"/>
  <c r="AL57" i="13"/>
  <c r="AM57" i="13"/>
  <c r="AN57" i="13"/>
  <c r="AO57" i="13"/>
  <c r="AP57" i="13"/>
  <c r="AQ57" i="13"/>
  <c r="AR57" i="13"/>
  <c r="AL58" i="13"/>
  <c r="AM58" i="13"/>
  <c r="AN58" i="13"/>
  <c r="AO58" i="13"/>
  <c r="AP58" i="13"/>
  <c r="AQ58" i="13"/>
  <c r="AR58" i="13"/>
  <c r="AM44" i="13"/>
  <c r="AN44" i="13"/>
  <c r="AO44" i="13"/>
  <c r="AP44" i="13"/>
  <c r="AQ44" i="13"/>
  <c r="AR44" i="13"/>
  <c r="AL44" i="13"/>
  <c r="AL26" i="13"/>
  <c r="AM26" i="13"/>
  <c r="AN26" i="13"/>
  <c r="AO26" i="13"/>
  <c r="AP26" i="13"/>
  <c r="AQ26" i="13"/>
  <c r="AR26" i="13"/>
  <c r="AL27" i="13"/>
  <c r="AM27" i="13"/>
  <c r="AN27" i="13"/>
  <c r="AO27" i="13"/>
  <c r="AP27" i="13"/>
  <c r="AQ27" i="13"/>
  <c r="AR27" i="13"/>
  <c r="AL28" i="13"/>
  <c r="AM28" i="13"/>
  <c r="AN28" i="13"/>
  <c r="AO28" i="13"/>
  <c r="AP28" i="13"/>
  <c r="AQ28" i="13"/>
  <c r="AR28" i="13"/>
  <c r="AL29" i="13"/>
  <c r="AM29" i="13"/>
  <c r="AN29" i="13"/>
  <c r="AO29" i="13"/>
  <c r="AP29" i="13"/>
  <c r="AQ29" i="13"/>
  <c r="AR29" i="13"/>
  <c r="AL30" i="13"/>
  <c r="AM30" i="13"/>
  <c r="AN30" i="13"/>
  <c r="AO30" i="13"/>
  <c r="AP30" i="13"/>
  <c r="AQ30" i="13"/>
  <c r="AR30" i="13"/>
  <c r="AL31" i="13"/>
  <c r="AM31" i="13"/>
  <c r="AN31" i="13"/>
  <c r="AO31" i="13"/>
  <c r="AP31" i="13"/>
  <c r="AQ31" i="13"/>
  <c r="AR31" i="13"/>
  <c r="AL32" i="13"/>
  <c r="AM32" i="13"/>
  <c r="AN32" i="13"/>
  <c r="AO32" i="13"/>
  <c r="AP32" i="13"/>
  <c r="AQ32" i="13"/>
  <c r="AR32" i="13"/>
  <c r="AL33" i="13"/>
  <c r="AM33" i="13"/>
  <c r="AN33" i="13"/>
  <c r="AO33" i="13"/>
  <c r="AP33" i="13"/>
  <c r="AQ33" i="13"/>
  <c r="AR33" i="13"/>
  <c r="AL34" i="13"/>
  <c r="AM34" i="13"/>
  <c r="AN34" i="13"/>
  <c r="AO34" i="13"/>
  <c r="AP34" i="13"/>
  <c r="AQ34" i="13"/>
  <c r="AR34" i="13"/>
  <c r="AL35" i="13"/>
  <c r="AM35" i="13"/>
  <c r="AN35" i="13"/>
  <c r="AO35" i="13"/>
  <c r="AP35" i="13"/>
  <c r="AQ35" i="13"/>
  <c r="AR35" i="13"/>
  <c r="AL36" i="13"/>
  <c r="AM36" i="13"/>
  <c r="AN36" i="13"/>
  <c r="AO36" i="13"/>
  <c r="AP36" i="13"/>
  <c r="AQ36" i="13"/>
  <c r="AR36" i="13"/>
  <c r="AL37" i="13"/>
  <c r="AM37" i="13"/>
  <c r="AN37" i="13"/>
  <c r="AO37" i="13"/>
  <c r="AP37" i="13"/>
  <c r="AQ37" i="13"/>
  <c r="AR37" i="13"/>
  <c r="AL38" i="13"/>
  <c r="AM38" i="13"/>
  <c r="AN38" i="13"/>
  <c r="AO38" i="13"/>
  <c r="AP38" i="13"/>
  <c r="AQ38" i="13"/>
  <c r="AR38" i="13"/>
  <c r="AL39" i="13"/>
  <c r="AM39" i="13"/>
  <c r="AN39" i="13"/>
  <c r="AO39" i="13"/>
  <c r="AP39" i="13"/>
  <c r="AQ39" i="13"/>
  <c r="AR39" i="13"/>
  <c r="AM25" i="13"/>
  <c r="AN25" i="13"/>
  <c r="AO25" i="13"/>
  <c r="AP25" i="13"/>
  <c r="AQ25" i="13"/>
  <c r="AR25" i="13"/>
  <c r="AL25" i="13"/>
  <c r="AL7" i="13"/>
  <c r="AM7" i="13"/>
  <c r="AN7" i="13"/>
  <c r="AO7" i="13"/>
  <c r="AP7" i="13"/>
  <c r="AQ7" i="13"/>
  <c r="AR7" i="13"/>
  <c r="AL8" i="13"/>
  <c r="AM8" i="13"/>
  <c r="AN8" i="13"/>
  <c r="AO8" i="13"/>
  <c r="AP8" i="13"/>
  <c r="AQ8" i="13"/>
  <c r="AR8" i="13"/>
  <c r="AL9" i="13"/>
  <c r="AM9" i="13"/>
  <c r="AN9" i="13"/>
  <c r="AO9" i="13"/>
  <c r="AP9" i="13"/>
  <c r="AQ9" i="13"/>
  <c r="AR9" i="13"/>
  <c r="AL10" i="13"/>
  <c r="AM10" i="13"/>
  <c r="AN10" i="13"/>
  <c r="AO10" i="13"/>
  <c r="AP10" i="13"/>
  <c r="AQ10" i="13"/>
  <c r="AR10" i="13"/>
  <c r="AL11" i="13"/>
  <c r="AM11" i="13"/>
  <c r="AN11" i="13"/>
  <c r="AO11" i="13"/>
  <c r="AP11" i="13"/>
  <c r="AQ11" i="13"/>
  <c r="AR11" i="13"/>
  <c r="AL12" i="13"/>
  <c r="AM12" i="13"/>
  <c r="AN12" i="13"/>
  <c r="AO12" i="13"/>
  <c r="AP12" i="13"/>
  <c r="AQ12" i="13"/>
  <c r="AR12" i="13"/>
  <c r="AL13" i="13"/>
  <c r="AM13" i="13"/>
  <c r="AN13" i="13"/>
  <c r="AO13" i="13"/>
  <c r="AP13" i="13"/>
  <c r="AQ13" i="13"/>
  <c r="AR13" i="13"/>
  <c r="AL14" i="13"/>
  <c r="AM14" i="13"/>
  <c r="AN14" i="13"/>
  <c r="AO14" i="13"/>
  <c r="AP14" i="13"/>
  <c r="AQ14" i="13"/>
  <c r="AR14" i="13"/>
  <c r="AL15" i="13"/>
  <c r="AM15" i="13"/>
  <c r="AN15" i="13"/>
  <c r="AO15" i="13"/>
  <c r="AP15" i="13"/>
  <c r="AQ15" i="13"/>
  <c r="AR15" i="13"/>
  <c r="AL16" i="13"/>
  <c r="AM16" i="13"/>
  <c r="AN16" i="13"/>
  <c r="AO16" i="13"/>
  <c r="AP16" i="13"/>
  <c r="AQ16" i="13"/>
  <c r="AR16" i="13"/>
  <c r="AL17" i="13"/>
  <c r="AM17" i="13"/>
  <c r="AN17" i="13"/>
  <c r="AO17" i="13"/>
  <c r="AP17" i="13"/>
  <c r="AQ17" i="13"/>
  <c r="AR17" i="13"/>
  <c r="AL18" i="13"/>
  <c r="AM18" i="13"/>
  <c r="AN18" i="13"/>
  <c r="AO18" i="13"/>
  <c r="AP18" i="13"/>
  <c r="AQ18" i="13"/>
  <c r="AR18" i="13"/>
  <c r="AL19" i="13"/>
  <c r="AM19" i="13"/>
  <c r="AN19" i="13"/>
  <c r="AO19" i="13"/>
  <c r="AP19" i="13"/>
  <c r="AQ19" i="13"/>
  <c r="AR19" i="13"/>
  <c r="AL20" i="13"/>
  <c r="AM20" i="13"/>
  <c r="AN20" i="13"/>
  <c r="AO20" i="13"/>
  <c r="AP20" i="13"/>
  <c r="AQ20" i="13"/>
  <c r="AR20" i="13"/>
  <c r="AM6" i="13"/>
  <c r="AN6" i="13"/>
  <c r="AO6" i="13"/>
  <c r="AP6" i="13"/>
  <c r="AQ6" i="13"/>
  <c r="AR6" i="13"/>
  <c r="AL6" i="13"/>
  <c r="AC140" i="13"/>
  <c r="AD140" i="13"/>
  <c r="AE140" i="13"/>
  <c r="AF140" i="13"/>
  <c r="AG140" i="13"/>
  <c r="AH140" i="13"/>
  <c r="AI140" i="13"/>
  <c r="AC141" i="13"/>
  <c r="AD141" i="13"/>
  <c r="AE141" i="13"/>
  <c r="AF141" i="13"/>
  <c r="AG141" i="13"/>
  <c r="AH141" i="13"/>
  <c r="AI141" i="13"/>
  <c r="AC142" i="13"/>
  <c r="AD142" i="13"/>
  <c r="AE142" i="13"/>
  <c r="AF142" i="13"/>
  <c r="AG142" i="13"/>
  <c r="AH142" i="13"/>
  <c r="AI142" i="13"/>
  <c r="AC143" i="13"/>
  <c r="AD143" i="13"/>
  <c r="AE143" i="13"/>
  <c r="AF143" i="13"/>
  <c r="AG143" i="13"/>
  <c r="AH143" i="13"/>
  <c r="AI143" i="13"/>
  <c r="AC144" i="13"/>
  <c r="AD144" i="13"/>
  <c r="AE144" i="13"/>
  <c r="AF144" i="13"/>
  <c r="AG144" i="13"/>
  <c r="AH144" i="13"/>
  <c r="AI144" i="13"/>
  <c r="AC145" i="13"/>
  <c r="AD145" i="13"/>
  <c r="AE145" i="13"/>
  <c r="AF145" i="13"/>
  <c r="AG145" i="13"/>
  <c r="AH145" i="13"/>
  <c r="AI145" i="13"/>
  <c r="AC146" i="13"/>
  <c r="AD146" i="13"/>
  <c r="AE146" i="13"/>
  <c r="AF146" i="13"/>
  <c r="AG146" i="13"/>
  <c r="AH146" i="13"/>
  <c r="AI146" i="13"/>
  <c r="AC147" i="13"/>
  <c r="AD147" i="13"/>
  <c r="AE147" i="13"/>
  <c r="AF147" i="13"/>
  <c r="AG147" i="13"/>
  <c r="AH147" i="13"/>
  <c r="AI147" i="13"/>
  <c r="AC148" i="13"/>
  <c r="AD148" i="13"/>
  <c r="AE148" i="13"/>
  <c r="AF148" i="13"/>
  <c r="AG148" i="13"/>
  <c r="AH148" i="13"/>
  <c r="AI148" i="13"/>
  <c r="AC149" i="13"/>
  <c r="AD149" i="13"/>
  <c r="AE149" i="13"/>
  <c r="AF149" i="13"/>
  <c r="AG149" i="13"/>
  <c r="AH149" i="13"/>
  <c r="AI149" i="13"/>
  <c r="AC150" i="13"/>
  <c r="AD150" i="13"/>
  <c r="AE150" i="13"/>
  <c r="AF150" i="13"/>
  <c r="AG150" i="13"/>
  <c r="AH150" i="13"/>
  <c r="AI150" i="13"/>
  <c r="AC151" i="13"/>
  <c r="AD151" i="13"/>
  <c r="AE151" i="13"/>
  <c r="AF151" i="13"/>
  <c r="AG151" i="13"/>
  <c r="AH151" i="13"/>
  <c r="AI151" i="13"/>
  <c r="AC152" i="13"/>
  <c r="AD152" i="13"/>
  <c r="AE152" i="13"/>
  <c r="AF152" i="13"/>
  <c r="AG152" i="13"/>
  <c r="AH152" i="13"/>
  <c r="AI152" i="13"/>
  <c r="AC153" i="13"/>
  <c r="AD153" i="13"/>
  <c r="AE153" i="13"/>
  <c r="AF153" i="13"/>
  <c r="AG153" i="13"/>
  <c r="AH153" i="13"/>
  <c r="AI153" i="13"/>
  <c r="AD139" i="13"/>
  <c r="AE139" i="13"/>
  <c r="AF139" i="13"/>
  <c r="AG139" i="13"/>
  <c r="AH139" i="13"/>
  <c r="AI139" i="13"/>
  <c r="AC139" i="13"/>
  <c r="AC121" i="13"/>
  <c r="AD121" i="13"/>
  <c r="AE121" i="13"/>
  <c r="AF121" i="13"/>
  <c r="AG121" i="13"/>
  <c r="AH121" i="13"/>
  <c r="AI121" i="13"/>
  <c r="AC122" i="13"/>
  <c r="AD122" i="13"/>
  <c r="AE122" i="13"/>
  <c r="AF122" i="13"/>
  <c r="AG122" i="13"/>
  <c r="AH122" i="13"/>
  <c r="AI122" i="13"/>
  <c r="AC123" i="13"/>
  <c r="AD123" i="13"/>
  <c r="AE123" i="13"/>
  <c r="AF123" i="13"/>
  <c r="AG123" i="13"/>
  <c r="AH123" i="13"/>
  <c r="AI123" i="13"/>
  <c r="AC124" i="13"/>
  <c r="AD124" i="13"/>
  <c r="AE124" i="13"/>
  <c r="AF124" i="13"/>
  <c r="AG124" i="13"/>
  <c r="AH124" i="13"/>
  <c r="AI124" i="13"/>
  <c r="AC125" i="13"/>
  <c r="AD125" i="13"/>
  <c r="AE125" i="13"/>
  <c r="AF125" i="13"/>
  <c r="AG125" i="13"/>
  <c r="AH125" i="13"/>
  <c r="AI125" i="13"/>
  <c r="AC126" i="13"/>
  <c r="AD126" i="13"/>
  <c r="AE126" i="13"/>
  <c r="AF126" i="13"/>
  <c r="AG126" i="13"/>
  <c r="AH126" i="13"/>
  <c r="AI126" i="13"/>
  <c r="AC127" i="13"/>
  <c r="AD127" i="13"/>
  <c r="AE127" i="13"/>
  <c r="AF127" i="13"/>
  <c r="AG127" i="13"/>
  <c r="AH127" i="13"/>
  <c r="AI127" i="13"/>
  <c r="AC128" i="13"/>
  <c r="AD128" i="13"/>
  <c r="AE128" i="13"/>
  <c r="AF128" i="13"/>
  <c r="AG128" i="13"/>
  <c r="AH128" i="13"/>
  <c r="AI128" i="13"/>
  <c r="AC129" i="13"/>
  <c r="AD129" i="13"/>
  <c r="AE129" i="13"/>
  <c r="AF129" i="13"/>
  <c r="AG129" i="13"/>
  <c r="AH129" i="13"/>
  <c r="AI129" i="13"/>
  <c r="AC130" i="13"/>
  <c r="AD130" i="13"/>
  <c r="AE130" i="13"/>
  <c r="AF130" i="13"/>
  <c r="AG130" i="13"/>
  <c r="AH130" i="13"/>
  <c r="AI130" i="13"/>
  <c r="AC131" i="13"/>
  <c r="AD131" i="13"/>
  <c r="AE131" i="13"/>
  <c r="AF131" i="13"/>
  <c r="AG131" i="13"/>
  <c r="AH131" i="13"/>
  <c r="AI131" i="13"/>
  <c r="AC132" i="13"/>
  <c r="AD132" i="13"/>
  <c r="AE132" i="13"/>
  <c r="AF132" i="13"/>
  <c r="AG132" i="13"/>
  <c r="AH132" i="13"/>
  <c r="AI132" i="13"/>
  <c r="AC133" i="13"/>
  <c r="AD133" i="13"/>
  <c r="AE133" i="13"/>
  <c r="AF133" i="13"/>
  <c r="AG133" i="13"/>
  <c r="AH133" i="13"/>
  <c r="AI133" i="13"/>
  <c r="AC134" i="13"/>
  <c r="AD134" i="13"/>
  <c r="AE134" i="13"/>
  <c r="AF134" i="13"/>
  <c r="AG134" i="13"/>
  <c r="AH134" i="13"/>
  <c r="AI134" i="13"/>
  <c r="AD120" i="13"/>
  <c r="AE120" i="13"/>
  <c r="AF120" i="13"/>
  <c r="AG120" i="13"/>
  <c r="AH120" i="13"/>
  <c r="AI120" i="13"/>
  <c r="AC120" i="13"/>
  <c r="AC102" i="13"/>
  <c r="AD102" i="13"/>
  <c r="AE102" i="13"/>
  <c r="AF102" i="13"/>
  <c r="AG102" i="13"/>
  <c r="AH102" i="13"/>
  <c r="AI102" i="13"/>
  <c r="AC103" i="13"/>
  <c r="AD103" i="13"/>
  <c r="AE103" i="13"/>
  <c r="AF103" i="13"/>
  <c r="AG103" i="13"/>
  <c r="AH103" i="13"/>
  <c r="AI103" i="13"/>
  <c r="AC104" i="13"/>
  <c r="AD104" i="13"/>
  <c r="AE104" i="13"/>
  <c r="AF104" i="13"/>
  <c r="AG104" i="13"/>
  <c r="AH104" i="13"/>
  <c r="AI104" i="13"/>
  <c r="AC105" i="13"/>
  <c r="AD105" i="13"/>
  <c r="AE105" i="13"/>
  <c r="AF105" i="13"/>
  <c r="AG105" i="13"/>
  <c r="AH105" i="13"/>
  <c r="AI105" i="13"/>
  <c r="AC106" i="13"/>
  <c r="AD106" i="13"/>
  <c r="AE106" i="13"/>
  <c r="AF106" i="13"/>
  <c r="AG106" i="13"/>
  <c r="AH106" i="13"/>
  <c r="AI106" i="13"/>
  <c r="AC107" i="13"/>
  <c r="AD107" i="13"/>
  <c r="AE107" i="13"/>
  <c r="AF107" i="13"/>
  <c r="AG107" i="13"/>
  <c r="AH107" i="13"/>
  <c r="AI107" i="13"/>
  <c r="AC108" i="13"/>
  <c r="AD108" i="13"/>
  <c r="AE108" i="13"/>
  <c r="AF108" i="13"/>
  <c r="AG108" i="13"/>
  <c r="AH108" i="13"/>
  <c r="AI108" i="13"/>
  <c r="AC109" i="13"/>
  <c r="AD109" i="13"/>
  <c r="AE109" i="13"/>
  <c r="AF109" i="13"/>
  <c r="AG109" i="13"/>
  <c r="AH109" i="13"/>
  <c r="AI109" i="13"/>
  <c r="AC110" i="13"/>
  <c r="AD110" i="13"/>
  <c r="AE110" i="13"/>
  <c r="AF110" i="13"/>
  <c r="AG110" i="13"/>
  <c r="AH110" i="13"/>
  <c r="AI110" i="13"/>
  <c r="AC111" i="13"/>
  <c r="AD111" i="13"/>
  <c r="AE111" i="13"/>
  <c r="AF111" i="13"/>
  <c r="AG111" i="13"/>
  <c r="AH111" i="13"/>
  <c r="AI111" i="13"/>
  <c r="AC112" i="13"/>
  <c r="AD112" i="13"/>
  <c r="AE112" i="13"/>
  <c r="AF112" i="13"/>
  <c r="AG112" i="13"/>
  <c r="AH112" i="13"/>
  <c r="AI112" i="13"/>
  <c r="AC113" i="13"/>
  <c r="AD113" i="13"/>
  <c r="AE113" i="13"/>
  <c r="AF113" i="13"/>
  <c r="AG113" i="13"/>
  <c r="AH113" i="13"/>
  <c r="AI113" i="13"/>
  <c r="AC114" i="13"/>
  <c r="AD114" i="13"/>
  <c r="AE114" i="13"/>
  <c r="AF114" i="13"/>
  <c r="AG114" i="13"/>
  <c r="AH114" i="13"/>
  <c r="AI114" i="13"/>
  <c r="AC115" i="13"/>
  <c r="AD115" i="13"/>
  <c r="AE115" i="13"/>
  <c r="AF115" i="13"/>
  <c r="AG115" i="13"/>
  <c r="AH115" i="13"/>
  <c r="AI115" i="13"/>
  <c r="AD101" i="13"/>
  <c r="AE101" i="13"/>
  <c r="AF101" i="13"/>
  <c r="AG101" i="13"/>
  <c r="AH101" i="13"/>
  <c r="AI101" i="13"/>
  <c r="AC101" i="13"/>
  <c r="AC83" i="13"/>
  <c r="AD83" i="13"/>
  <c r="AE83" i="13"/>
  <c r="AF83" i="13"/>
  <c r="AG83" i="13"/>
  <c r="AH83" i="13"/>
  <c r="AI83" i="13"/>
  <c r="AC84" i="13"/>
  <c r="AD84" i="13"/>
  <c r="AE84" i="13"/>
  <c r="AF84" i="13"/>
  <c r="AG84" i="13"/>
  <c r="AH84" i="13"/>
  <c r="AI84" i="13"/>
  <c r="AC85" i="13"/>
  <c r="AD85" i="13"/>
  <c r="AE85" i="13"/>
  <c r="AF85" i="13"/>
  <c r="AG85" i="13"/>
  <c r="AH85" i="13"/>
  <c r="AI85" i="13"/>
  <c r="AC86" i="13"/>
  <c r="AD86" i="13"/>
  <c r="AE86" i="13"/>
  <c r="AF86" i="13"/>
  <c r="AG86" i="13"/>
  <c r="AH86" i="13"/>
  <c r="AI86" i="13"/>
  <c r="AC87" i="13"/>
  <c r="AD87" i="13"/>
  <c r="AE87" i="13"/>
  <c r="AF87" i="13"/>
  <c r="AG87" i="13"/>
  <c r="AH87" i="13"/>
  <c r="AI87" i="13"/>
  <c r="AC88" i="13"/>
  <c r="AD88" i="13"/>
  <c r="AE88" i="13"/>
  <c r="AF88" i="13"/>
  <c r="AG88" i="13"/>
  <c r="AH88" i="13"/>
  <c r="AI88" i="13"/>
  <c r="AC89" i="13"/>
  <c r="AD89" i="13"/>
  <c r="AE89" i="13"/>
  <c r="AF89" i="13"/>
  <c r="AG89" i="13"/>
  <c r="AH89" i="13"/>
  <c r="AI89" i="13"/>
  <c r="AC90" i="13"/>
  <c r="AD90" i="13"/>
  <c r="AE90" i="13"/>
  <c r="AF90" i="13"/>
  <c r="AG90" i="13"/>
  <c r="AH90" i="13"/>
  <c r="AI90" i="13"/>
  <c r="AC91" i="13"/>
  <c r="AD91" i="13"/>
  <c r="AE91" i="13"/>
  <c r="AF91" i="13"/>
  <c r="AG91" i="13"/>
  <c r="AH91" i="13"/>
  <c r="AI91" i="13"/>
  <c r="AC92" i="13"/>
  <c r="AD92" i="13"/>
  <c r="AE92" i="13"/>
  <c r="AF92" i="13"/>
  <c r="AG92" i="13"/>
  <c r="AH92" i="13"/>
  <c r="AI92" i="13"/>
  <c r="AC93" i="13"/>
  <c r="AD93" i="13"/>
  <c r="AE93" i="13"/>
  <c r="AF93" i="13"/>
  <c r="AG93" i="13"/>
  <c r="AH93" i="13"/>
  <c r="AI93" i="13"/>
  <c r="AC94" i="13"/>
  <c r="AD94" i="13"/>
  <c r="AE94" i="13"/>
  <c r="AF94" i="13"/>
  <c r="AG94" i="13"/>
  <c r="AH94" i="13"/>
  <c r="AI94" i="13"/>
  <c r="AC95" i="13"/>
  <c r="AD95" i="13"/>
  <c r="AE95" i="13"/>
  <c r="AF95" i="13"/>
  <c r="AG95" i="13"/>
  <c r="AH95" i="13"/>
  <c r="AI95" i="13"/>
  <c r="AC96" i="13"/>
  <c r="AD96" i="13"/>
  <c r="AE96" i="13"/>
  <c r="AF96" i="13"/>
  <c r="AG96" i="13"/>
  <c r="AH96" i="13"/>
  <c r="AI96" i="13"/>
  <c r="AD82" i="13"/>
  <c r="AE82" i="13"/>
  <c r="AF82" i="13"/>
  <c r="AG82" i="13"/>
  <c r="AH82" i="13"/>
  <c r="AI82" i="13"/>
  <c r="AC82" i="13"/>
  <c r="AC64" i="13"/>
  <c r="AD64" i="13"/>
  <c r="AE64" i="13"/>
  <c r="AF64" i="13"/>
  <c r="AG64" i="13"/>
  <c r="AH64" i="13"/>
  <c r="AI64" i="13"/>
  <c r="AC65" i="13"/>
  <c r="AD65" i="13"/>
  <c r="AE65" i="13"/>
  <c r="AF65" i="13"/>
  <c r="AG65" i="13"/>
  <c r="AH65" i="13"/>
  <c r="AI65" i="13"/>
  <c r="AC66" i="13"/>
  <c r="AD66" i="13"/>
  <c r="AE66" i="13"/>
  <c r="AF66" i="13"/>
  <c r="AG66" i="13"/>
  <c r="AH66" i="13"/>
  <c r="AI66" i="13"/>
  <c r="AC67" i="13"/>
  <c r="AD67" i="13"/>
  <c r="AE67" i="13"/>
  <c r="AF67" i="13"/>
  <c r="AG67" i="13"/>
  <c r="AH67" i="13"/>
  <c r="AI67" i="13"/>
  <c r="AC68" i="13"/>
  <c r="AD68" i="13"/>
  <c r="AE68" i="13"/>
  <c r="AF68" i="13"/>
  <c r="AG68" i="13"/>
  <c r="AH68" i="13"/>
  <c r="AI68" i="13"/>
  <c r="AC69" i="13"/>
  <c r="AD69" i="13"/>
  <c r="AE69" i="13"/>
  <c r="AF69" i="13"/>
  <c r="AG69" i="13"/>
  <c r="AH69" i="13"/>
  <c r="AI69" i="13"/>
  <c r="AC70" i="13"/>
  <c r="AD70" i="13"/>
  <c r="AE70" i="13"/>
  <c r="AF70" i="13"/>
  <c r="AG70" i="13"/>
  <c r="AH70" i="13"/>
  <c r="AI70" i="13"/>
  <c r="AC71" i="13"/>
  <c r="AD71" i="13"/>
  <c r="AE71" i="13"/>
  <c r="AF71" i="13"/>
  <c r="AG71" i="13"/>
  <c r="AH71" i="13"/>
  <c r="AI71" i="13"/>
  <c r="AC72" i="13"/>
  <c r="AD72" i="13"/>
  <c r="AE72" i="13"/>
  <c r="AF72" i="13"/>
  <c r="AG72" i="13"/>
  <c r="AH72" i="13"/>
  <c r="AI72" i="13"/>
  <c r="AC73" i="13"/>
  <c r="AD73" i="13"/>
  <c r="AE73" i="13"/>
  <c r="AF73" i="13"/>
  <c r="AG73" i="13"/>
  <c r="AH73" i="13"/>
  <c r="AI73" i="13"/>
  <c r="AC74" i="13"/>
  <c r="AD74" i="13"/>
  <c r="AE74" i="13"/>
  <c r="AF74" i="13"/>
  <c r="AG74" i="13"/>
  <c r="AH74" i="13"/>
  <c r="AI74" i="13"/>
  <c r="AC75" i="13"/>
  <c r="AD75" i="13"/>
  <c r="AE75" i="13"/>
  <c r="AF75" i="13"/>
  <c r="AG75" i="13"/>
  <c r="AH75" i="13"/>
  <c r="AI75" i="13"/>
  <c r="AC76" i="13"/>
  <c r="AD76" i="13"/>
  <c r="AE76" i="13"/>
  <c r="AF76" i="13"/>
  <c r="AG76" i="13"/>
  <c r="AH76" i="13"/>
  <c r="AI76" i="13"/>
  <c r="AC77" i="13"/>
  <c r="AD77" i="13"/>
  <c r="AE77" i="13"/>
  <c r="AF77" i="13"/>
  <c r="AG77" i="13"/>
  <c r="AH77" i="13"/>
  <c r="AI77" i="13"/>
  <c r="AD63" i="13"/>
  <c r="AE63" i="13"/>
  <c r="AF63" i="13"/>
  <c r="AG63" i="13"/>
  <c r="AH63" i="13"/>
  <c r="AI63" i="13"/>
  <c r="AC63" i="13"/>
  <c r="AC45" i="13"/>
  <c r="AD45" i="13"/>
  <c r="AE45" i="13"/>
  <c r="AF45" i="13"/>
  <c r="AG45" i="13"/>
  <c r="AH45" i="13"/>
  <c r="AI45" i="13"/>
  <c r="AC46" i="13"/>
  <c r="AD46" i="13"/>
  <c r="AE46" i="13"/>
  <c r="AF46" i="13"/>
  <c r="AG46" i="13"/>
  <c r="AH46" i="13"/>
  <c r="AI46" i="13"/>
  <c r="AC47" i="13"/>
  <c r="AD47" i="13"/>
  <c r="AE47" i="13"/>
  <c r="AF47" i="13"/>
  <c r="AG47" i="13"/>
  <c r="AH47" i="13"/>
  <c r="AI47" i="13"/>
  <c r="AC48" i="13"/>
  <c r="AD48" i="13"/>
  <c r="AE48" i="13"/>
  <c r="AF48" i="13"/>
  <c r="AG48" i="13"/>
  <c r="AH48" i="13"/>
  <c r="AI48" i="13"/>
  <c r="AC49" i="13"/>
  <c r="AD49" i="13"/>
  <c r="AE49" i="13"/>
  <c r="AF49" i="13"/>
  <c r="AG49" i="13"/>
  <c r="AH49" i="13"/>
  <c r="AI49" i="13"/>
  <c r="AC50" i="13"/>
  <c r="AD50" i="13"/>
  <c r="AE50" i="13"/>
  <c r="AF50" i="13"/>
  <c r="AG50" i="13"/>
  <c r="AH50" i="13"/>
  <c r="AI50" i="13"/>
  <c r="AC51" i="13"/>
  <c r="AD51" i="13"/>
  <c r="AE51" i="13"/>
  <c r="AF51" i="13"/>
  <c r="AG51" i="13"/>
  <c r="AH51" i="13"/>
  <c r="AI51" i="13"/>
  <c r="AC52" i="13"/>
  <c r="AD52" i="13"/>
  <c r="AE52" i="13"/>
  <c r="AF52" i="13"/>
  <c r="AG52" i="13"/>
  <c r="AH52" i="13"/>
  <c r="AI52" i="13"/>
  <c r="AC53" i="13"/>
  <c r="AD53" i="13"/>
  <c r="AE53" i="13"/>
  <c r="AF53" i="13"/>
  <c r="AG53" i="13"/>
  <c r="AH53" i="13"/>
  <c r="AI53" i="13"/>
  <c r="AC54" i="13"/>
  <c r="AD54" i="13"/>
  <c r="AE54" i="13"/>
  <c r="AF54" i="13"/>
  <c r="AG54" i="13"/>
  <c r="AH54" i="13"/>
  <c r="AI54" i="13"/>
  <c r="AC55" i="13"/>
  <c r="AD55" i="13"/>
  <c r="AE55" i="13"/>
  <c r="AF55" i="13"/>
  <c r="AG55" i="13"/>
  <c r="AH55" i="13"/>
  <c r="AI55" i="13"/>
  <c r="AC56" i="13"/>
  <c r="AD56" i="13"/>
  <c r="AE56" i="13"/>
  <c r="AF56" i="13"/>
  <c r="AG56" i="13"/>
  <c r="AH56" i="13"/>
  <c r="AI56" i="13"/>
  <c r="AC57" i="13"/>
  <c r="AD57" i="13"/>
  <c r="AE57" i="13"/>
  <c r="AF57" i="13"/>
  <c r="AG57" i="13"/>
  <c r="AH57" i="13"/>
  <c r="AI57" i="13"/>
  <c r="AC58" i="13"/>
  <c r="AD58" i="13"/>
  <c r="AE58" i="13"/>
  <c r="AF58" i="13"/>
  <c r="AG58" i="13"/>
  <c r="AH58" i="13"/>
  <c r="AI58" i="13"/>
  <c r="AD44" i="13"/>
  <c r="AE44" i="13"/>
  <c r="AF44" i="13"/>
  <c r="AG44" i="13"/>
  <c r="AH44" i="13"/>
  <c r="AI44" i="13"/>
  <c r="AC44" i="13"/>
  <c r="AC26" i="13"/>
  <c r="AD26" i="13"/>
  <c r="AE26" i="13"/>
  <c r="AF26" i="13"/>
  <c r="AG26" i="13"/>
  <c r="AH26" i="13"/>
  <c r="AI26" i="13"/>
  <c r="AC27" i="13"/>
  <c r="AD27" i="13"/>
  <c r="AE27" i="13"/>
  <c r="AF27" i="13"/>
  <c r="AG27" i="13"/>
  <c r="AH27" i="13"/>
  <c r="AI27" i="13"/>
  <c r="AC28" i="13"/>
  <c r="AD28" i="13"/>
  <c r="AE28" i="13"/>
  <c r="AF28" i="13"/>
  <c r="AG28" i="13"/>
  <c r="AH28" i="13"/>
  <c r="AI28" i="13"/>
  <c r="AC29" i="13"/>
  <c r="AD29" i="13"/>
  <c r="AE29" i="13"/>
  <c r="AF29" i="13"/>
  <c r="AG29" i="13"/>
  <c r="AH29" i="13"/>
  <c r="AI29" i="13"/>
  <c r="AC30" i="13"/>
  <c r="AD30" i="13"/>
  <c r="AE30" i="13"/>
  <c r="AF30" i="13"/>
  <c r="AG30" i="13"/>
  <c r="AH30" i="13"/>
  <c r="AI30" i="13"/>
  <c r="AC31" i="13"/>
  <c r="AD31" i="13"/>
  <c r="AE31" i="13"/>
  <c r="AF31" i="13"/>
  <c r="AG31" i="13"/>
  <c r="AH31" i="13"/>
  <c r="AI31" i="13"/>
  <c r="AC32" i="13"/>
  <c r="AD32" i="13"/>
  <c r="AE32" i="13"/>
  <c r="AF32" i="13"/>
  <c r="AG32" i="13"/>
  <c r="AH32" i="13"/>
  <c r="AI32" i="13"/>
  <c r="AC33" i="13"/>
  <c r="AD33" i="13"/>
  <c r="AE33" i="13"/>
  <c r="AF33" i="13"/>
  <c r="AG33" i="13"/>
  <c r="AH33" i="13"/>
  <c r="AI33" i="13"/>
  <c r="AC34" i="13"/>
  <c r="AD34" i="13"/>
  <c r="AE34" i="13"/>
  <c r="AF34" i="13"/>
  <c r="AG34" i="13"/>
  <c r="AH34" i="13"/>
  <c r="AI34" i="13"/>
  <c r="AC35" i="13"/>
  <c r="AD35" i="13"/>
  <c r="AE35" i="13"/>
  <c r="AF35" i="13"/>
  <c r="AG35" i="13"/>
  <c r="AH35" i="13"/>
  <c r="AI35" i="13"/>
  <c r="AC36" i="13"/>
  <c r="AD36" i="13"/>
  <c r="AE36" i="13"/>
  <c r="AF36" i="13"/>
  <c r="AG36" i="13"/>
  <c r="AH36" i="13"/>
  <c r="AI36" i="13"/>
  <c r="AC37" i="13"/>
  <c r="AD37" i="13"/>
  <c r="AE37" i="13"/>
  <c r="AF37" i="13"/>
  <c r="AG37" i="13"/>
  <c r="AH37" i="13"/>
  <c r="AI37" i="13"/>
  <c r="AC38" i="13"/>
  <c r="AD38" i="13"/>
  <c r="AE38" i="13"/>
  <c r="AF38" i="13"/>
  <c r="AG38" i="13"/>
  <c r="AH38" i="13"/>
  <c r="AI38" i="13"/>
  <c r="AC39" i="13"/>
  <c r="AD39" i="13"/>
  <c r="AE39" i="13"/>
  <c r="AF39" i="13"/>
  <c r="AG39" i="13"/>
  <c r="AH39" i="13"/>
  <c r="AI39" i="13"/>
  <c r="AD25" i="13"/>
  <c r="AE25" i="13"/>
  <c r="AF25" i="13"/>
  <c r="AG25" i="13"/>
  <c r="AH25" i="13"/>
  <c r="AI25" i="13"/>
  <c r="AC25" i="13"/>
  <c r="AC7" i="13"/>
  <c r="AD7" i="13"/>
  <c r="AE7" i="13"/>
  <c r="AF7" i="13"/>
  <c r="AG7" i="13"/>
  <c r="AH7" i="13"/>
  <c r="AI7" i="13"/>
  <c r="AC8" i="13"/>
  <c r="AD8" i="13"/>
  <c r="AE8" i="13"/>
  <c r="AF8" i="13"/>
  <c r="AG8" i="13"/>
  <c r="AH8" i="13"/>
  <c r="AI8" i="13"/>
  <c r="AC9" i="13"/>
  <c r="AD9" i="13"/>
  <c r="AE9" i="13"/>
  <c r="AF9" i="13"/>
  <c r="AG9" i="13"/>
  <c r="AH9" i="13"/>
  <c r="AI9" i="13"/>
  <c r="AC10" i="13"/>
  <c r="AD10" i="13"/>
  <c r="AE10" i="13"/>
  <c r="AF10" i="13"/>
  <c r="AG10" i="13"/>
  <c r="AH10" i="13"/>
  <c r="AI10" i="13"/>
  <c r="AC11" i="13"/>
  <c r="AD11" i="13"/>
  <c r="AE11" i="13"/>
  <c r="AF11" i="13"/>
  <c r="AG11" i="13"/>
  <c r="AH11" i="13"/>
  <c r="AI11" i="13"/>
  <c r="AC12" i="13"/>
  <c r="AD12" i="13"/>
  <c r="AE12" i="13"/>
  <c r="AF12" i="13"/>
  <c r="AG12" i="13"/>
  <c r="AH12" i="13"/>
  <c r="AI12" i="13"/>
  <c r="AC13" i="13"/>
  <c r="AD13" i="13"/>
  <c r="AE13" i="13"/>
  <c r="AF13" i="13"/>
  <c r="AG13" i="13"/>
  <c r="AH13" i="13"/>
  <c r="AI13" i="13"/>
  <c r="AC14" i="13"/>
  <c r="AD14" i="13"/>
  <c r="AE14" i="13"/>
  <c r="AF14" i="13"/>
  <c r="AG14" i="13"/>
  <c r="AH14" i="13"/>
  <c r="AI14" i="13"/>
  <c r="AC15" i="13"/>
  <c r="AD15" i="13"/>
  <c r="AE15" i="13"/>
  <c r="AF15" i="13"/>
  <c r="AG15" i="13"/>
  <c r="AH15" i="13"/>
  <c r="AI15" i="13"/>
  <c r="AC16" i="13"/>
  <c r="AD16" i="13"/>
  <c r="AE16" i="13"/>
  <c r="AF16" i="13"/>
  <c r="AG16" i="13"/>
  <c r="AH16" i="13"/>
  <c r="AI16" i="13"/>
  <c r="AC17" i="13"/>
  <c r="AD17" i="13"/>
  <c r="AE17" i="13"/>
  <c r="AF17" i="13"/>
  <c r="AG17" i="13"/>
  <c r="AH17" i="13"/>
  <c r="AI17" i="13"/>
  <c r="AC18" i="13"/>
  <c r="AD18" i="13"/>
  <c r="AE18" i="13"/>
  <c r="AF18" i="13"/>
  <c r="AG18" i="13"/>
  <c r="AH18" i="13"/>
  <c r="AI18" i="13"/>
  <c r="AC19" i="13"/>
  <c r="AD19" i="13"/>
  <c r="AE19" i="13"/>
  <c r="AF19" i="13"/>
  <c r="AG19" i="13"/>
  <c r="AH19" i="13"/>
  <c r="AI19" i="13"/>
  <c r="AC20" i="13"/>
  <c r="AD20" i="13"/>
  <c r="AE20" i="13"/>
  <c r="AF20" i="13"/>
  <c r="AG20" i="13"/>
  <c r="AH20" i="13"/>
  <c r="AI20" i="13"/>
  <c r="AD6" i="13"/>
  <c r="AE6" i="13"/>
  <c r="AF6" i="13"/>
  <c r="AG6" i="13"/>
  <c r="AH6" i="13"/>
  <c r="AI6" i="13"/>
  <c r="AC6" i="13"/>
  <c r="T140" i="13"/>
  <c r="U140" i="13"/>
  <c r="V140" i="13"/>
  <c r="W140" i="13"/>
  <c r="X140" i="13"/>
  <c r="Y140" i="13"/>
  <c r="Z140" i="13"/>
  <c r="T141" i="13"/>
  <c r="U141" i="13"/>
  <c r="V141" i="13"/>
  <c r="W141" i="13"/>
  <c r="X141" i="13"/>
  <c r="Y141" i="13"/>
  <c r="Z141" i="13"/>
  <c r="T142" i="13"/>
  <c r="U142" i="13"/>
  <c r="V142" i="13"/>
  <c r="W142" i="13"/>
  <c r="X142" i="13"/>
  <c r="Y142" i="13"/>
  <c r="Z142" i="13"/>
  <c r="T143" i="13"/>
  <c r="U143" i="13"/>
  <c r="V143" i="13"/>
  <c r="W143" i="13"/>
  <c r="X143" i="13"/>
  <c r="Y143" i="13"/>
  <c r="Z143" i="13"/>
  <c r="T144" i="13"/>
  <c r="U144" i="13"/>
  <c r="V144" i="13"/>
  <c r="W144" i="13"/>
  <c r="X144" i="13"/>
  <c r="Y144" i="13"/>
  <c r="Z144" i="13"/>
  <c r="T145" i="13"/>
  <c r="U145" i="13"/>
  <c r="V145" i="13"/>
  <c r="W145" i="13"/>
  <c r="X145" i="13"/>
  <c r="Y145" i="13"/>
  <c r="Z145" i="13"/>
  <c r="T146" i="13"/>
  <c r="U146" i="13"/>
  <c r="V146" i="13"/>
  <c r="W146" i="13"/>
  <c r="X146" i="13"/>
  <c r="Y146" i="13"/>
  <c r="Z146" i="13"/>
  <c r="T147" i="13"/>
  <c r="U147" i="13"/>
  <c r="V147" i="13"/>
  <c r="W147" i="13"/>
  <c r="X147" i="13"/>
  <c r="Y147" i="13"/>
  <c r="Z147" i="13"/>
  <c r="T148" i="13"/>
  <c r="U148" i="13"/>
  <c r="V148" i="13"/>
  <c r="W148" i="13"/>
  <c r="X148" i="13"/>
  <c r="Y148" i="13"/>
  <c r="Z148" i="13"/>
  <c r="T149" i="13"/>
  <c r="U149" i="13"/>
  <c r="V149" i="13"/>
  <c r="W149" i="13"/>
  <c r="X149" i="13"/>
  <c r="Y149" i="13"/>
  <c r="Z149" i="13"/>
  <c r="T150" i="13"/>
  <c r="U150" i="13"/>
  <c r="V150" i="13"/>
  <c r="W150" i="13"/>
  <c r="X150" i="13"/>
  <c r="Y150" i="13"/>
  <c r="Z150" i="13"/>
  <c r="T151" i="13"/>
  <c r="U151" i="13"/>
  <c r="V151" i="13"/>
  <c r="W151" i="13"/>
  <c r="X151" i="13"/>
  <c r="Y151" i="13"/>
  <c r="Z151" i="13"/>
  <c r="T152" i="13"/>
  <c r="U152" i="13"/>
  <c r="V152" i="13"/>
  <c r="W152" i="13"/>
  <c r="X152" i="13"/>
  <c r="Y152" i="13"/>
  <c r="Z152" i="13"/>
  <c r="T153" i="13"/>
  <c r="U153" i="13"/>
  <c r="V153" i="13"/>
  <c r="W153" i="13"/>
  <c r="X153" i="13"/>
  <c r="Y153" i="13"/>
  <c r="Z153" i="13"/>
  <c r="U139" i="13"/>
  <c r="V139" i="13"/>
  <c r="W139" i="13"/>
  <c r="X139" i="13"/>
  <c r="Y139" i="13"/>
  <c r="Z139" i="13"/>
  <c r="T139" i="13"/>
  <c r="T121" i="13"/>
  <c r="U121" i="13"/>
  <c r="V121" i="13"/>
  <c r="W121" i="13"/>
  <c r="X121" i="13"/>
  <c r="Y121" i="13"/>
  <c r="Z121" i="13"/>
  <c r="T122" i="13"/>
  <c r="U122" i="13"/>
  <c r="V122" i="13"/>
  <c r="W122" i="13"/>
  <c r="X122" i="13"/>
  <c r="Y122" i="13"/>
  <c r="Z122" i="13"/>
  <c r="T123" i="13"/>
  <c r="U123" i="13"/>
  <c r="V123" i="13"/>
  <c r="W123" i="13"/>
  <c r="X123" i="13"/>
  <c r="Y123" i="13"/>
  <c r="Z123" i="13"/>
  <c r="T124" i="13"/>
  <c r="U124" i="13"/>
  <c r="V124" i="13"/>
  <c r="W124" i="13"/>
  <c r="X124" i="13"/>
  <c r="Y124" i="13"/>
  <c r="Z124" i="13"/>
  <c r="T125" i="13"/>
  <c r="U125" i="13"/>
  <c r="V125" i="13"/>
  <c r="W125" i="13"/>
  <c r="X125" i="13"/>
  <c r="Y125" i="13"/>
  <c r="Z125" i="13"/>
  <c r="T126" i="13"/>
  <c r="U126" i="13"/>
  <c r="V126" i="13"/>
  <c r="W126" i="13"/>
  <c r="X126" i="13"/>
  <c r="Y126" i="13"/>
  <c r="Z126" i="13"/>
  <c r="T127" i="13"/>
  <c r="U127" i="13"/>
  <c r="V127" i="13"/>
  <c r="W127" i="13"/>
  <c r="X127" i="13"/>
  <c r="Y127" i="13"/>
  <c r="Z127" i="13"/>
  <c r="T128" i="13"/>
  <c r="U128" i="13"/>
  <c r="V128" i="13"/>
  <c r="W128" i="13"/>
  <c r="X128" i="13"/>
  <c r="Y128" i="13"/>
  <c r="Z128" i="13"/>
  <c r="T129" i="13"/>
  <c r="U129" i="13"/>
  <c r="V129" i="13"/>
  <c r="W129" i="13"/>
  <c r="X129" i="13"/>
  <c r="Y129" i="13"/>
  <c r="Z129" i="13"/>
  <c r="T130" i="13"/>
  <c r="U130" i="13"/>
  <c r="V130" i="13"/>
  <c r="W130" i="13"/>
  <c r="X130" i="13"/>
  <c r="Y130" i="13"/>
  <c r="Z130" i="13"/>
  <c r="T131" i="13"/>
  <c r="U131" i="13"/>
  <c r="V131" i="13"/>
  <c r="W131" i="13"/>
  <c r="X131" i="13"/>
  <c r="Y131" i="13"/>
  <c r="Z131" i="13"/>
  <c r="T132" i="13"/>
  <c r="U132" i="13"/>
  <c r="V132" i="13"/>
  <c r="W132" i="13"/>
  <c r="X132" i="13"/>
  <c r="Y132" i="13"/>
  <c r="Z132" i="13"/>
  <c r="T133" i="13"/>
  <c r="U133" i="13"/>
  <c r="V133" i="13"/>
  <c r="W133" i="13"/>
  <c r="X133" i="13"/>
  <c r="Y133" i="13"/>
  <c r="Z133" i="13"/>
  <c r="T134" i="13"/>
  <c r="U134" i="13"/>
  <c r="V134" i="13"/>
  <c r="W134" i="13"/>
  <c r="X134" i="13"/>
  <c r="Y134" i="13"/>
  <c r="Z134" i="13"/>
  <c r="U120" i="13"/>
  <c r="V120" i="13"/>
  <c r="W120" i="13"/>
  <c r="X120" i="13"/>
  <c r="Y120" i="13"/>
  <c r="Z120" i="13"/>
  <c r="T120" i="13"/>
  <c r="T102" i="13"/>
  <c r="U102" i="13"/>
  <c r="V102" i="13"/>
  <c r="W102" i="13"/>
  <c r="X102" i="13"/>
  <c r="Y102" i="13"/>
  <c r="Z102" i="13"/>
  <c r="T103" i="13"/>
  <c r="U103" i="13"/>
  <c r="V103" i="13"/>
  <c r="W103" i="13"/>
  <c r="X103" i="13"/>
  <c r="Y103" i="13"/>
  <c r="Z103" i="13"/>
  <c r="T104" i="13"/>
  <c r="U104" i="13"/>
  <c r="V104" i="13"/>
  <c r="W104" i="13"/>
  <c r="X104" i="13"/>
  <c r="Y104" i="13"/>
  <c r="Z104" i="13"/>
  <c r="T105" i="13"/>
  <c r="U105" i="13"/>
  <c r="V105" i="13"/>
  <c r="W105" i="13"/>
  <c r="X105" i="13"/>
  <c r="Y105" i="13"/>
  <c r="Z105" i="13"/>
  <c r="T106" i="13"/>
  <c r="U106" i="13"/>
  <c r="V106" i="13"/>
  <c r="W106" i="13"/>
  <c r="X106" i="13"/>
  <c r="Y106" i="13"/>
  <c r="Z106" i="13"/>
  <c r="T107" i="13"/>
  <c r="U107" i="13"/>
  <c r="V107" i="13"/>
  <c r="W107" i="13"/>
  <c r="X107" i="13"/>
  <c r="Y107" i="13"/>
  <c r="Z107" i="13"/>
  <c r="T108" i="13"/>
  <c r="U108" i="13"/>
  <c r="V108" i="13"/>
  <c r="W108" i="13"/>
  <c r="X108" i="13"/>
  <c r="Y108" i="13"/>
  <c r="Z108" i="13"/>
  <c r="T109" i="13"/>
  <c r="U109" i="13"/>
  <c r="V109" i="13"/>
  <c r="W109" i="13"/>
  <c r="X109" i="13"/>
  <c r="Y109" i="13"/>
  <c r="Z109" i="13"/>
  <c r="T110" i="13"/>
  <c r="U110" i="13"/>
  <c r="V110" i="13"/>
  <c r="W110" i="13"/>
  <c r="X110" i="13"/>
  <c r="Y110" i="13"/>
  <c r="Z110" i="13"/>
  <c r="T111" i="13"/>
  <c r="U111" i="13"/>
  <c r="V111" i="13"/>
  <c r="W111" i="13"/>
  <c r="X111" i="13"/>
  <c r="Y111" i="13"/>
  <c r="Z111" i="13"/>
  <c r="T112" i="13"/>
  <c r="U112" i="13"/>
  <c r="V112" i="13"/>
  <c r="W112" i="13"/>
  <c r="X112" i="13"/>
  <c r="Y112" i="13"/>
  <c r="Z112" i="13"/>
  <c r="T113" i="13"/>
  <c r="U113" i="13"/>
  <c r="V113" i="13"/>
  <c r="W113" i="13"/>
  <c r="X113" i="13"/>
  <c r="Y113" i="13"/>
  <c r="Z113" i="13"/>
  <c r="T114" i="13"/>
  <c r="U114" i="13"/>
  <c r="V114" i="13"/>
  <c r="W114" i="13"/>
  <c r="X114" i="13"/>
  <c r="Y114" i="13"/>
  <c r="Z114" i="13"/>
  <c r="T115" i="13"/>
  <c r="U115" i="13"/>
  <c r="V115" i="13"/>
  <c r="W115" i="13"/>
  <c r="X115" i="13"/>
  <c r="Y115" i="13"/>
  <c r="Z115" i="13"/>
  <c r="U101" i="13"/>
  <c r="V101" i="13"/>
  <c r="W101" i="13"/>
  <c r="X101" i="13"/>
  <c r="Y101" i="13"/>
  <c r="Z101" i="13"/>
  <c r="T101" i="13"/>
  <c r="T83" i="13"/>
  <c r="U83" i="13"/>
  <c r="V83" i="13"/>
  <c r="W83" i="13"/>
  <c r="X83" i="13"/>
  <c r="Y83" i="13"/>
  <c r="Z83" i="13"/>
  <c r="T84" i="13"/>
  <c r="U84" i="13"/>
  <c r="V84" i="13"/>
  <c r="W84" i="13"/>
  <c r="X84" i="13"/>
  <c r="Y84" i="13"/>
  <c r="Z84" i="13"/>
  <c r="T85" i="13"/>
  <c r="U85" i="13"/>
  <c r="V85" i="13"/>
  <c r="W85" i="13"/>
  <c r="X85" i="13"/>
  <c r="Y85" i="13"/>
  <c r="Z85" i="13"/>
  <c r="T86" i="13"/>
  <c r="U86" i="13"/>
  <c r="V86" i="13"/>
  <c r="W86" i="13"/>
  <c r="X86" i="13"/>
  <c r="Y86" i="13"/>
  <c r="Z86" i="13"/>
  <c r="T87" i="13"/>
  <c r="U87" i="13"/>
  <c r="V87" i="13"/>
  <c r="W87" i="13"/>
  <c r="X87" i="13"/>
  <c r="Y87" i="13"/>
  <c r="Z87" i="13"/>
  <c r="T88" i="13"/>
  <c r="U88" i="13"/>
  <c r="V88" i="13"/>
  <c r="W88" i="13"/>
  <c r="X88" i="13"/>
  <c r="Y88" i="13"/>
  <c r="Z88" i="13"/>
  <c r="T89" i="13"/>
  <c r="U89" i="13"/>
  <c r="V89" i="13"/>
  <c r="W89" i="13"/>
  <c r="X89" i="13"/>
  <c r="Y89" i="13"/>
  <c r="Z89" i="13"/>
  <c r="T90" i="13"/>
  <c r="U90" i="13"/>
  <c r="V90" i="13"/>
  <c r="W90" i="13"/>
  <c r="X90" i="13"/>
  <c r="Y90" i="13"/>
  <c r="Z90" i="13"/>
  <c r="T91" i="13"/>
  <c r="U91" i="13"/>
  <c r="V91" i="13"/>
  <c r="W91" i="13"/>
  <c r="X91" i="13"/>
  <c r="Y91" i="13"/>
  <c r="Z91" i="13"/>
  <c r="T92" i="13"/>
  <c r="U92" i="13"/>
  <c r="V92" i="13"/>
  <c r="W92" i="13"/>
  <c r="X92" i="13"/>
  <c r="Y92" i="13"/>
  <c r="Z92" i="13"/>
  <c r="T93" i="13"/>
  <c r="U93" i="13"/>
  <c r="V93" i="13"/>
  <c r="W93" i="13"/>
  <c r="X93" i="13"/>
  <c r="Y93" i="13"/>
  <c r="Z93" i="13"/>
  <c r="T94" i="13"/>
  <c r="U94" i="13"/>
  <c r="V94" i="13"/>
  <c r="W94" i="13"/>
  <c r="X94" i="13"/>
  <c r="Y94" i="13"/>
  <c r="Z94" i="13"/>
  <c r="T95" i="13"/>
  <c r="U95" i="13"/>
  <c r="V95" i="13"/>
  <c r="W95" i="13"/>
  <c r="X95" i="13"/>
  <c r="Y95" i="13"/>
  <c r="Z95" i="13"/>
  <c r="T96" i="13"/>
  <c r="U96" i="13"/>
  <c r="V96" i="13"/>
  <c r="W96" i="13"/>
  <c r="X96" i="13"/>
  <c r="Y96" i="13"/>
  <c r="Z96" i="13"/>
  <c r="U82" i="13"/>
  <c r="V82" i="13"/>
  <c r="W82" i="13"/>
  <c r="X82" i="13"/>
  <c r="Y82" i="13"/>
  <c r="Z82" i="13"/>
  <c r="T82" i="13"/>
  <c r="T64" i="13"/>
  <c r="U64" i="13"/>
  <c r="V64" i="13"/>
  <c r="W64" i="13"/>
  <c r="X64" i="13"/>
  <c r="Y64" i="13"/>
  <c r="Z64" i="13"/>
  <c r="T65" i="13"/>
  <c r="U65" i="13"/>
  <c r="V65" i="13"/>
  <c r="W65" i="13"/>
  <c r="X65" i="13"/>
  <c r="Y65" i="13"/>
  <c r="Z65" i="13"/>
  <c r="T66" i="13"/>
  <c r="U66" i="13"/>
  <c r="V66" i="13"/>
  <c r="W66" i="13"/>
  <c r="X66" i="13"/>
  <c r="Y66" i="13"/>
  <c r="Z66" i="13"/>
  <c r="T67" i="13"/>
  <c r="U67" i="13"/>
  <c r="V67" i="13"/>
  <c r="W67" i="13"/>
  <c r="X67" i="13"/>
  <c r="Y67" i="13"/>
  <c r="Z67" i="13"/>
  <c r="T68" i="13"/>
  <c r="U68" i="13"/>
  <c r="V68" i="13"/>
  <c r="W68" i="13"/>
  <c r="X68" i="13"/>
  <c r="Y68" i="13"/>
  <c r="Z68" i="13"/>
  <c r="T69" i="13"/>
  <c r="U69" i="13"/>
  <c r="V69" i="13"/>
  <c r="W69" i="13"/>
  <c r="X69" i="13"/>
  <c r="Y69" i="13"/>
  <c r="Z69" i="13"/>
  <c r="T70" i="13"/>
  <c r="U70" i="13"/>
  <c r="V70" i="13"/>
  <c r="W70" i="13"/>
  <c r="X70" i="13"/>
  <c r="Y70" i="13"/>
  <c r="Z70" i="13"/>
  <c r="T71" i="13"/>
  <c r="U71" i="13"/>
  <c r="V71" i="13"/>
  <c r="W71" i="13"/>
  <c r="X71" i="13"/>
  <c r="Y71" i="13"/>
  <c r="Z71" i="13"/>
  <c r="T72" i="13"/>
  <c r="U72" i="13"/>
  <c r="V72" i="13"/>
  <c r="W72" i="13"/>
  <c r="X72" i="13"/>
  <c r="Y72" i="13"/>
  <c r="Z72" i="13"/>
  <c r="T73" i="13"/>
  <c r="U73" i="13"/>
  <c r="V73" i="13"/>
  <c r="W73" i="13"/>
  <c r="X73" i="13"/>
  <c r="Y73" i="13"/>
  <c r="Z73" i="13"/>
  <c r="T74" i="13"/>
  <c r="U74" i="13"/>
  <c r="V74" i="13"/>
  <c r="W74" i="13"/>
  <c r="X74" i="13"/>
  <c r="Y74" i="13"/>
  <c r="Z74" i="13"/>
  <c r="T75" i="13"/>
  <c r="U75" i="13"/>
  <c r="V75" i="13"/>
  <c r="W75" i="13"/>
  <c r="X75" i="13"/>
  <c r="Y75" i="13"/>
  <c r="Z75" i="13"/>
  <c r="T76" i="13"/>
  <c r="U76" i="13"/>
  <c r="V76" i="13"/>
  <c r="W76" i="13"/>
  <c r="X76" i="13"/>
  <c r="Y76" i="13"/>
  <c r="Z76" i="13"/>
  <c r="T77" i="13"/>
  <c r="U77" i="13"/>
  <c r="V77" i="13"/>
  <c r="W77" i="13"/>
  <c r="X77" i="13"/>
  <c r="Y77" i="13"/>
  <c r="Z77" i="13"/>
  <c r="U63" i="13"/>
  <c r="V63" i="13"/>
  <c r="W63" i="13"/>
  <c r="X63" i="13"/>
  <c r="Y63" i="13"/>
  <c r="Z63" i="13"/>
  <c r="T63" i="13"/>
  <c r="T45" i="13"/>
  <c r="U45" i="13"/>
  <c r="V45" i="13"/>
  <c r="W45" i="13"/>
  <c r="X45" i="13"/>
  <c r="Y45" i="13"/>
  <c r="Z45" i="13"/>
  <c r="T46" i="13"/>
  <c r="U46" i="13"/>
  <c r="V46" i="13"/>
  <c r="W46" i="13"/>
  <c r="X46" i="13"/>
  <c r="Y46" i="13"/>
  <c r="Z46" i="13"/>
  <c r="T47" i="13"/>
  <c r="U47" i="13"/>
  <c r="V47" i="13"/>
  <c r="W47" i="13"/>
  <c r="X47" i="13"/>
  <c r="Y47" i="13"/>
  <c r="Z47" i="13"/>
  <c r="T48" i="13"/>
  <c r="U48" i="13"/>
  <c r="V48" i="13"/>
  <c r="W48" i="13"/>
  <c r="X48" i="13"/>
  <c r="Y48" i="13"/>
  <c r="Z48" i="13"/>
  <c r="T49" i="13"/>
  <c r="U49" i="13"/>
  <c r="V49" i="13"/>
  <c r="W49" i="13"/>
  <c r="X49" i="13"/>
  <c r="Y49" i="13"/>
  <c r="Z49" i="13"/>
  <c r="T50" i="13"/>
  <c r="U50" i="13"/>
  <c r="V50" i="13"/>
  <c r="W50" i="13"/>
  <c r="X50" i="13"/>
  <c r="Y50" i="13"/>
  <c r="Z50" i="13"/>
  <c r="T51" i="13"/>
  <c r="U51" i="13"/>
  <c r="V51" i="13"/>
  <c r="W51" i="13"/>
  <c r="X51" i="13"/>
  <c r="Y51" i="13"/>
  <c r="Z51" i="13"/>
  <c r="T52" i="13"/>
  <c r="U52" i="13"/>
  <c r="V52" i="13"/>
  <c r="W52" i="13"/>
  <c r="X52" i="13"/>
  <c r="Y52" i="13"/>
  <c r="Z52" i="13"/>
  <c r="T53" i="13"/>
  <c r="U53" i="13"/>
  <c r="V53" i="13"/>
  <c r="W53" i="13"/>
  <c r="X53" i="13"/>
  <c r="Y53" i="13"/>
  <c r="Z53" i="13"/>
  <c r="T54" i="13"/>
  <c r="U54" i="13"/>
  <c r="V54" i="13"/>
  <c r="W54" i="13"/>
  <c r="X54" i="13"/>
  <c r="Y54" i="13"/>
  <c r="Z54" i="13"/>
  <c r="T55" i="13"/>
  <c r="U55" i="13"/>
  <c r="V55" i="13"/>
  <c r="W55" i="13"/>
  <c r="X55" i="13"/>
  <c r="Y55" i="13"/>
  <c r="Z55" i="13"/>
  <c r="T56" i="13"/>
  <c r="U56" i="13"/>
  <c r="V56" i="13"/>
  <c r="W56" i="13"/>
  <c r="X56" i="13"/>
  <c r="Y56" i="13"/>
  <c r="Z56" i="13"/>
  <c r="T57" i="13"/>
  <c r="U57" i="13"/>
  <c r="V57" i="13"/>
  <c r="W57" i="13"/>
  <c r="X57" i="13"/>
  <c r="Y57" i="13"/>
  <c r="Z57" i="13"/>
  <c r="T58" i="13"/>
  <c r="U58" i="13"/>
  <c r="V58" i="13"/>
  <c r="W58" i="13"/>
  <c r="X58" i="13"/>
  <c r="Y58" i="13"/>
  <c r="Z58" i="13"/>
  <c r="U44" i="13"/>
  <c r="V44" i="13"/>
  <c r="W44" i="13"/>
  <c r="X44" i="13"/>
  <c r="Y44" i="13"/>
  <c r="Z44" i="13"/>
  <c r="T44" i="13"/>
  <c r="T26" i="13"/>
  <c r="U26" i="13"/>
  <c r="V26" i="13"/>
  <c r="W26" i="13"/>
  <c r="X26" i="13"/>
  <c r="Y26" i="13"/>
  <c r="Z26" i="13"/>
  <c r="T27" i="13"/>
  <c r="U27" i="13"/>
  <c r="V27" i="13"/>
  <c r="W27" i="13"/>
  <c r="X27" i="13"/>
  <c r="Y27" i="13"/>
  <c r="Z27" i="13"/>
  <c r="T28" i="13"/>
  <c r="U28" i="13"/>
  <c r="V28" i="13"/>
  <c r="W28" i="13"/>
  <c r="X28" i="13"/>
  <c r="Y28" i="13"/>
  <c r="Z28" i="13"/>
  <c r="T29" i="13"/>
  <c r="U29" i="13"/>
  <c r="V29" i="13"/>
  <c r="W29" i="13"/>
  <c r="X29" i="13"/>
  <c r="Y29" i="13"/>
  <c r="Z29" i="13"/>
  <c r="T30" i="13"/>
  <c r="U30" i="13"/>
  <c r="V30" i="13"/>
  <c r="W30" i="13"/>
  <c r="X30" i="13"/>
  <c r="Y30" i="13"/>
  <c r="Z30" i="13"/>
  <c r="T31" i="13"/>
  <c r="U31" i="13"/>
  <c r="V31" i="13"/>
  <c r="W31" i="13"/>
  <c r="X31" i="13"/>
  <c r="Y31" i="13"/>
  <c r="Z31" i="13"/>
  <c r="T32" i="13"/>
  <c r="U32" i="13"/>
  <c r="V32" i="13"/>
  <c r="W32" i="13"/>
  <c r="X32" i="13"/>
  <c r="Y32" i="13"/>
  <c r="Z32" i="13"/>
  <c r="T33" i="13"/>
  <c r="U33" i="13"/>
  <c r="V33" i="13"/>
  <c r="W33" i="13"/>
  <c r="X33" i="13"/>
  <c r="Y33" i="13"/>
  <c r="Z33" i="13"/>
  <c r="T34" i="13"/>
  <c r="U34" i="13"/>
  <c r="V34" i="13"/>
  <c r="W34" i="13"/>
  <c r="X34" i="13"/>
  <c r="Y34" i="13"/>
  <c r="Z34" i="13"/>
  <c r="T35" i="13"/>
  <c r="U35" i="13"/>
  <c r="V35" i="13"/>
  <c r="W35" i="13"/>
  <c r="X35" i="13"/>
  <c r="Y35" i="13"/>
  <c r="Z35" i="13"/>
  <c r="T36" i="13"/>
  <c r="U36" i="13"/>
  <c r="V36" i="13"/>
  <c r="W36" i="13"/>
  <c r="X36" i="13"/>
  <c r="Y36" i="13"/>
  <c r="Z36" i="13"/>
  <c r="T37" i="13"/>
  <c r="U37" i="13"/>
  <c r="V37" i="13"/>
  <c r="W37" i="13"/>
  <c r="X37" i="13"/>
  <c r="Y37" i="13"/>
  <c r="Z37" i="13"/>
  <c r="T38" i="13"/>
  <c r="U38" i="13"/>
  <c r="V38" i="13"/>
  <c r="W38" i="13"/>
  <c r="X38" i="13"/>
  <c r="Y38" i="13"/>
  <c r="Z38" i="13"/>
  <c r="T39" i="13"/>
  <c r="U39" i="13"/>
  <c r="V39" i="13"/>
  <c r="W39" i="13"/>
  <c r="X39" i="13"/>
  <c r="Y39" i="13"/>
  <c r="Z39" i="13"/>
  <c r="U25" i="13"/>
  <c r="V25" i="13"/>
  <c r="W25" i="13"/>
  <c r="X25" i="13"/>
  <c r="Y25" i="13"/>
  <c r="Z25" i="13"/>
  <c r="T25" i="13"/>
  <c r="T7" i="13"/>
  <c r="U7" i="13"/>
  <c r="V7" i="13"/>
  <c r="W7" i="13"/>
  <c r="X7" i="13"/>
  <c r="Y7" i="13"/>
  <c r="Z7" i="13"/>
  <c r="T8" i="13"/>
  <c r="U8" i="13"/>
  <c r="V8" i="13"/>
  <c r="W8" i="13"/>
  <c r="X8" i="13"/>
  <c r="Y8" i="13"/>
  <c r="Z8" i="13"/>
  <c r="T9" i="13"/>
  <c r="U9" i="13"/>
  <c r="V9" i="13"/>
  <c r="W9" i="13"/>
  <c r="X9" i="13"/>
  <c r="Y9" i="13"/>
  <c r="Z9" i="13"/>
  <c r="T10" i="13"/>
  <c r="U10" i="13"/>
  <c r="V10" i="13"/>
  <c r="W10" i="13"/>
  <c r="X10" i="13"/>
  <c r="Y10" i="13"/>
  <c r="Z10" i="13"/>
  <c r="T11" i="13"/>
  <c r="U11" i="13"/>
  <c r="V11" i="13"/>
  <c r="W11" i="13"/>
  <c r="X11" i="13"/>
  <c r="Y11" i="13"/>
  <c r="Z11" i="13"/>
  <c r="T12" i="13"/>
  <c r="U12" i="13"/>
  <c r="V12" i="13"/>
  <c r="W12" i="13"/>
  <c r="X12" i="13"/>
  <c r="Y12" i="13"/>
  <c r="Z12" i="13"/>
  <c r="T13" i="13"/>
  <c r="U13" i="13"/>
  <c r="V13" i="13"/>
  <c r="W13" i="13"/>
  <c r="X13" i="13"/>
  <c r="Y13" i="13"/>
  <c r="Z13" i="13"/>
  <c r="T14" i="13"/>
  <c r="U14" i="13"/>
  <c r="V14" i="13"/>
  <c r="W14" i="13"/>
  <c r="X14" i="13"/>
  <c r="Y14" i="13"/>
  <c r="Z14" i="13"/>
  <c r="T15" i="13"/>
  <c r="U15" i="13"/>
  <c r="V15" i="13"/>
  <c r="W15" i="13"/>
  <c r="X15" i="13"/>
  <c r="Y15" i="13"/>
  <c r="Z15" i="13"/>
  <c r="T16" i="13"/>
  <c r="U16" i="13"/>
  <c r="V16" i="13"/>
  <c r="W16" i="13"/>
  <c r="X16" i="13"/>
  <c r="Y16" i="13"/>
  <c r="Z16" i="13"/>
  <c r="T17" i="13"/>
  <c r="U17" i="13"/>
  <c r="V17" i="13"/>
  <c r="W17" i="13"/>
  <c r="X17" i="13"/>
  <c r="Y17" i="13"/>
  <c r="Z17" i="13"/>
  <c r="T18" i="13"/>
  <c r="U18" i="13"/>
  <c r="V18" i="13"/>
  <c r="W18" i="13"/>
  <c r="X18" i="13"/>
  <c r="Y18" i="13"/>
  <c r="Z18" i="13"/>
  <c r="T19" i="13"/>
  <c r="U19" i="13"/>
  <c r="V19" i="13"/>
  <c r="W19" i="13"/>
  <c r="X19" i="13"/>
  <c r="Y19" i="13"/>
  <c r="Z19" i="13"/>
  <c r="T20" i="13"/>
  <c r="U20" i="13"/>
  <c r="V20" i="13"/>
  <c r="W20" i="13"/>
  <c r="X20" i="13"/>
  <c r="Y20" i="13"/>
  <c r="Z20" i="13"/>
  <c r="U6" i="13"/>
  <c r="V6" i="13"/>
  <c r="W6" i="13"/>
  <c r="X6" i="13"/>
  <c r="Y6" i="13"/>
  <c r="Z6" i="13"/>
  <c r="T6" i="13"/>
  <c r="K140" i="13"/>
  <c r="L140" i="13"/>
  <c r="M140" i="13"/>
  <c r="N140" i="13"/>
  <c r="O140" i="13"/>
  <c r="P140" i="13"/>
  <c r="Q140" i="13"/>
  <c r="K141" i="13"/>
  <c r="L141" i="13"/>
  <c r="M141" i="13"/>
  <c r="N141" i="13"/>
  <c r="O141" i="13"/>
  <c r="P141" i="13"/>
  <c r="Q141" i="13"/>
  <c r="K142" i="13"/>
  <c r="L142" i="13"/>
  <c r="M142" i="13"/>
  <c r="N142" i="13"/>
  <c r="O142" i="13"/>
  <c r="P142" i="13"/>
  <c r="Q142" i="13"/>
  <c r="K143" i="13"/>
  <c r="L143" i="13"/>
  <c r="M143" i="13"/>
  <c r="N143" i="13"/>
  <c r="O143" i="13"/>
  <c r="P143" i="13"/>
  <c r="Q143" i="13"/>
  <c r="K144" i="13"/>
  <c r="L144" i="13"/>
  <c r="M144" i="13"/>
  <c r="N144" i="13"/>
  <c r="O144" i="13"/>
  <c r="P144" i="13"/>
  <c r="Q144" i="13"/>
  <c r="K145" i="13"/>
  <c r="L145" i="13"/>
  <c r="M145" i="13"/>
  <c r="N145" i="13"/>
  <c r="O145" i="13"/>
  <c r="P145" i="13"/>
  <c r="Q145" i="13"/>
  <c r="K146" i="13"/>
  <c r="L146" i="13"/>
  <c r="M146" i="13"/>
  <c r="N146" i="13"/>
  <c r="O146" i="13"/>
  <c r="P146" i="13"/>
  <c r="Q146" i="13"/>
  <c r="K147" i="13"/>
  <c r="L147" i="13"/>
  <c r="M147" i="13"/>
  <c r="N147" i="13"/>
  <c r="O147" i="13"/>
  <c r="P147" i="13"/>
  <c r="Q147" i="13"/>
  <c r="K148" i="13"/>
  <c r="L148" i="13"/>
  <c r="M148" i="13"/>
  <c r="N148" i="13"/>
  <c r="O148" i="13"/>
  <c r="P148" i="13"/>
  <c r="Q148" i="13"/>
  <c r="K149" i="13"/>
  <c r="L149" i="13"/>
  <c r="M149" i="13"/>
  <c r="N149" i="13"/>
  <c r="O149" i="13"/>
  <c r="P149" i="13"/>
  <c r="Q149" i="13"/>
  <c r="K150" i="13"/>
  <c r="L150" i="13"/>
  <c r="M150" i="13"/>
  <c r="N150" i="13"/>
  <c r="O150" i="13"/>
  <c r="P150" i="13"/>
  <c r="Q150" i="13"/>
  <c r="K151" i="13"/>
  <c r="L151" i="13"/>
  <c r="M151" i="13"/>
  <c r="N151" i="13"/>
  <c r="O151" i="13"/>
  <c r="P151" i="13"/>
  <c r="Q151" i="13"/>
  <c r="K152" i="13"/>
  <c r="L152" i="13"/>
  <c r="M152" i="13"/>
  <c r="N152" i="13"/>
  <c r="O152" i="13"/>
  <c r="P152" i="13"/>
  <c r="Q152" i="13"/>
  <c r="K153" i="13"/>
  <c r="L153" i="13"/>
  <c r="M153" i="13"/>
  <c r="N153" i="13"/>
  <c r="O153" i="13"/>
  <c r="P153" i="13"/>
  <c r="Q153" i="13"/>
  <c r="L139" i="13"/>
  <c r="M139" i="13"/>
  <c r="N139" i="13"/>
  <c r="O139" i="13"/>
  <c r="P139" i="13"/>
  <c r="Q139" i="13"/>
  <c r="K139" i="13"/>
  <c r="K121" i="13"/>
  <c r="L121" i="13"/>
  <c r="M121" i="13"/>
  <c r="N121" i="13"/>
  <c r="O121" i="13"/>
  <c r="P121" i="13"/>
  <c r="Q121" i="13"/>
  <c r="K122" i="13"/>
  <c r="L122" i="13"/>
  <c r="M122" i="13"/>
  <c r="N122" i="13"/>
  <c r="O122" i="13"/>
  <c r="P122" i="13"/>
  <c r="Q122" i="13"/>
  <c r="K123" i="13"/>
  <c r="L123" i="13"/>
  <c r="M123" i="13"/>
  <c r="N123" i="13"/>
  <c r="O123" i="13"/>
  <c r="P123" i="13"/>
  <c r="Q123" i="13"/>
  <c r="K124" i="13"/>
  <c r="L124" i="13"/>
  <c r="M124" i="13"/>
  <c r="N124" i="13"/>
  <c r="O124" i="13"/>
  <c r="P124" i="13"/>
  <c r="Q124" i="13"/>
  <c r="K125" i="13"/>
  <c r="L125" i="13"/>
  <c r="M125" i="13"/>
  <c r="N125" i="13"/>
  <c r="O125" i="13"/>
  <c r="P125" i="13"/>
  <c r="Q125" i="13"/>
  <c r="K126" i="13"/>
  <c r="L126" i="13"/>
  <c r="M126" i="13"/>
  <c r="N126" i="13"/>
  <c r="O126" i="13"/>
  <c r="P126" i="13"/>
  <c r="Q126" i="13"/>
  <c r="K127" i="13"/>
  <c r="L127" i="13"/>
  <c r="M127" i="13"/>
  <c r="N127" i="13"/>
  <c r="O127" i="13"/>
  <c r="P127" i="13"/>
  <c r="Q127" i="13"/>
  <c r="K128" i="13"/>
  <c r="L128" i="13"/>
  <c r="M128" i="13"/>
  <c r="N128" i="13"/>
  <c r="O128" i="13"/>
  <c r="P128" i="13"/>
  <c r="Q128" i="13"/>
  <c r="K129" i="13"/>
  <c r="L129" i="13"/>
  <c r="M129" i="13"/>
  <c r="N129" i="13"/>
  <c r="O129" i="13"/>
  <c r="P129" i="13"/>
  <c r="Q129" i="13"/>
  <c r="K130" i="13"/>
  <c r="L130" i="13"/>
  <c r="M130" i="13"/>
  <c r="N130" i="13"/>
  <c r="O130" i="13"/>
  <c r="P130" i="13"/>
  <c r="Q130" i="13"/>
  <c r="K131" i="13"/>
  <c r="L131" i="13"/>
  <c r="M131" i="13"/>
  <c r="N131" i="13"/>
  <c r="O131" i="13"/>
  <c r="P131" i="13"/>
  <c r="Q131" i="13"/>
  <c r="K132" i="13"/>
  <c r="L132" i="13"/>
  <c r="M132" i="13"/>
  <c r="N132" i="13"/>
  <c r="O132" i="13"/>
  <c r="P132" i="13"/>
  <c r="Q132" i="13"/>
  <c r="K133" i="13"/>
  <c r="L133" i="13"/>
  <c r="M133" i="13"/>
  <c r="N133" i="13"/>
  <c r="O133" i="13"/>
  <c r="P133" i="13"/>
  <c r="Q133" i="13"/>
  <c r="K134" i="13"/>
  <c r="L134" i="13"/>
  <c r="M134" i="13"/>
  <c r="N134" i="13"/>
  <c r="O134" i="13"/>
  <c r="P134" i="13"/>
  <c r="Q134" i="13"/>
  <c r="L120" i="13"/>
  <c r="M120" i="13"/>
  <c r="N120" i="13"/>
  <c r="O120" i="13"/>
  <c r="P120" i="13"/>
  <c r="Q120" i="13"/>
  <c r="K120" i="13"/>
  <c r="K102" i="13"/>
  <c r="L102" i="13"/>
  <c r="M102" i="13"/>
  <c r="N102" i="13"/>
  <c r="O102" i="13"/>
  <c r="P102" i="13"/>
  <c r="Q102" i="13"/>
  <c r="K103" i="13"/>
  <c r="L103" i="13"/>
  <c r="M103" i="13"/>
  <c r="N103" i="13"/>
  <c r="O103" i="13"/>
  <c r="P103" i="13"/>
  <c r="Q103" i="13"/>
  <c r="K104" i="13"/>
  <c r="L104" i="13"/>
  <c r="M104" i="13"/>
  <c r="N104" i="13"/>
  <c r="O104" i="13"/>
  <c r="P104" i="13"/>
  <c r="Q104" i="13"/>
  <c r="K105" i="13"/>
  <c r="L105" i="13"/>
  <c r="M105" i="13"/>
  <c r="N105" i="13"/>
  <c r="O105" i="13"/>
  <c r="P105" i="13"/>
  <c r="Q105" i="13"/>
  <c r="K106" i="13"/>
  <c r="L106" i="13"/>
  <c r="M106" i="13"/>
  <c r="N106" i="13"/>
  <c r="O106" i="13"/>
  <c r="P106" i="13"/>
  <c r="Q106" i="13"/>
  <c r="K107" i="13"/>
  <c r="L107" i="13"/>
  <c r="M107" i="13"/>
  <c r="N107" i="13"/>
  <c r="O107" i="13"/>
  <c r="P107" i="13"/>
  <c r="Q107" i="13"/>
  <c r="K108" i="13"/>
  <c r="L108" i="13"/>
  <c r="M108" i="13"/>
  <c r="N108" i="13"/>
  <c r="O108" i="13"/>
  <c r="P108" i="13"/>
  <c r="Q108" i="13"/>
  <c r="K109" i="13"/>
  <c r="L109" i="13"/>
  <c r="M109" i="13"/>
  <c r="N109" i="13"/>
  <c r="O109" i="13"/>
  <c r="P109" i="13"/>
  <c r="Q109" i="13"/>
  <c r="K110" i="13"/>
  <c r="L110" i="13"/>
  <c r="M110" i="13"/>
  <c r="N110" i="13"/>
  <c r="O110" i="13"/>
  <c r="P110" i="13"/>
  <c r="Q110" i="13"/>
  <c r="K111" i="13"/>
  <c r="L111" i="13"/>
  <c r="M111" i="13"/>
  <c r="N111" i="13"/>
  <c r="O111" i="13"/>
  <c r="P111" i="13"/>
  <c r="Q111" i="13"/>
  <c r="K112" i="13"/>
  <c r="L112" i="13"/>
  <c r="M112" i="13"/>
  <c r="N112" i="13"/>
  <c r="O112" i="13"/>
  <c r="P112" i="13"/>
  <c r="Q112" i="13"/>
  <c r="K113" i="13"/>
  <c r="L113" i="13"/>
  <c r="M113" i="13"/>
  <c r="N113" i="13"/>
  <c r="O113" i="13"/>
  <c r="P113" i="13"/>
  <c r="Q113" i="13"/>
  <c r="K114" i="13"/>
  <c r="L114" i="13"/>
  <c r="M114" i="13"/>
  <c r="N114" i="13"/>
  <c r="O114" i="13"/>
  <c r="P114" i="13"/>
  <c r="Q114" i="13"/>
  <c r="K115" i="13"/>
  <c r="L115" i="13"/>
  <c r="M115" i="13"/>
  <c r="N115" i="13"/>
  <c r="O115" i="13"/>
  <c r="P115" i="13"/>
  <c r="Q115" i="13"/>
  <c r="L101" i="13"/>
  <c r="M101" i="13"/>
  <c r="N101" i="13"/>
  <c r="O101" i="13"/>
  <c r="P101" i="13"/>
  <c r="Q101" i="13"/>
  <c r="K101" i="13"/>
  <c r="K83" i="13"/>
  <c r="L83" i="13"/>
  <c r="M83" i="13"/>
  <c r="N83" i="13"/>
  <c r="O83" i="13"/>
  <c r="P83" i="13"/>
  <c r="Q83" i="13"/>
  <c r="K84" i="13"/>
  <c r="L84" i="13"/>
  <c r="M84" i="13"/>
  <c r="N84" i="13"/>
  <c r="O84" i="13"/>
  <c r="P84" i="13"/>
  <c r="Q84" i="13"/>
  <c r="K85" i="13"/>
  <c r="L85" i="13"/>
  <c r="M85" i="13"/>
  <c r="N85" i="13"/>
  <c r="O85" i="13"/>
  <c r="P85" i="13"/>
  <c r="Q85" i="13"/>
  <c r="K86" i="13"/>
  <c r="L86" i="13"/>
  <c r="M86" i="13"/>
  <c r="N86" i="13"/>
  <c r="O86" i="13"/>
  <c r="P86" i="13"/>
  <c r="Q86" i="13"/>
  <c r="K87" i="13"/>
  <c r="L87" i="13"/>
  <c r="M87" i="13"/>
  <c r="N87" i="13"/>
  <c r="O87" i="13"/>
  <c r="P87" i="13"/>
  <c r="Q87" i="13"/>
  <c r="K88" i="13"/>
  <c r="L88" i="13"/>
  <c r="M88" i="13"/>
  <c r="N88" i="13"/>
  <c r="O88" i="13"/>
  <c r="P88" i="13"/>
  <c r="Q88" i="13"/>
  <c r="K89" i="13"/>
  <c r="L89" i="13"/>
  <c r="M89" i="13"/>
  <c r="N89" i="13"/>
  <c r="O89" i="13"/>
  <c r="P89" i="13"/>
  <c r="Q89" i="13"/>
  <c r="K90" i="13"/>
  <c r="L90" i="13"/>
  <c r="M90" i="13"/>
  <c r="N90" i="13"/>
  <c r="O90" i="13"/>
  <c r="P90" i="13"/>
  <c r="Q90" i="13"/>
  <c r="K91" i="13"/>
  <c r="L91" i="13"/>
  <c r="M91" i="13"/>
  <c r="N91" i="13"/>
  <c r="O91" i="13"/>
  <c r="P91" i="13"/>
  <c r="Q91" i="13"/>
  <c r="K92" i="13"/>
  <c r="L92" i="13"/>
  <c r="M92" i="13"/>
  <c r="N92" i="13"/>
  <c r="O92" i="13"/>
  <c r="P92" i="13"/>
  <c r="Q92" i="13"/>
  <c r="K93" i="13"/>
  <c r="L93" i="13"/>
  <c r="M93" i="13"/>
  <c r="N93" i="13"/>
  <c r="O93" i="13"/>
  <c r="P93" i="13"/>
  <c r="Q93" i="13"/>
  <c r="K94" i="13"/>
  <c r="L94" i="13"/>
  <c r="M94" i="13"/>
  <c r="N94" i="13"/>
  <c r="O94" i="13"/>
  <c r="P94" i="13"/>
  <c r="Q94" i="13"/>
  <c r="K95" i="13"/>
  <c r="L95" i="13"/>
  <c r="M95" i="13"/>
  <c r="N95" i="13"/>
  <c r="O95" i="13"/>
  <c r="P95" i="13"/>
  <c r="Q95" i="13"/>
  <c r="K96" i="13"/>
  <c r="L96" i="13"/>
  <c r="M96" i="13"/>
  <c r="N96" i="13"/>
  <c r="O96" i="13"/>
  <c r="P96" i="13"/>
  <c r="Q96" i="13"/>
  <c r="L82" i="13"/>
  <c r="M82" i="13"/>
  <c r="N82" i="13"/>
  <c r="O82" i="13"/>
  <c r="P82" i="13"/>
  <c r="Q82" i="13"/>
  <c r="K82" i="13"/>
  <c r="K64" i="13"/>
  <c r="L64" i="13"/>
  <c r="M64" i="13"/>
  <c r="N64" i="13"/>
  <c r="O64" i="13"/>
  <c r="P64" i="13"/>
  <c r="Q64" i="13"/>
  <c r="K65" i="13"/>
  <c r="L65" i="13"/>
  <c r="M65" i="13"/>
  <c r="N65" i="13"/>
  <c r="O65" i="13"/>
  <c r="P65" i="13"/>
  <c r="Q65" i="13"/>
  <c r="K66" i="13"/>
  <c r="L66" i="13"/>
  <c r="M66" i="13"/>
  <c r="N66" i="13"/>
  <c r="O66" i="13"/>
  <c r="P66" i="13"/>
  <c r="Q66" i="13"/>
  <c r="K67" i="13"/>
  <c r="L67" i="13"/>
  <c r="M67" i="13"/>
  <c r="N67" i="13"/>
  <c r="O67" i="13"/>
  <c r="P67" i="13"/>
  <c r="Q67" i="13"/>
  <c r="K68" i="13"/>
  <c r="L68" i="13"/>
  <c r="M68" i="13"/>
  <c r="N68" i="13"/>
  <c r="O68" i="13"/>
  <c r="P68" i="13"/>
  <c r="Q68" i="13"/>
  <c r="K69" i="13"/>
  <c r="L69" i="13"/>
  <c r="M69" i="13"/>
  <c r="N69" i="13"/>
  <c r="O69" i="13"/>
  <c r="P69" i="13"/>
  <c r="Q69" i="13"/>
  <c r="K70" i="13"/>
  <c r="L70" i="13"/>
  <c r="M70" i="13"/>
  <c r="N70" i="13"/>
  <c r="O70" i="13"/>
  <c r="P70" i="13"/>
  <c r="Q70" i="13"/>
  <c r="K71" i="13"/>
  <c r="L71" i="13"/>
  <c r="M71" i="13"/>
  <c r="N71" i="13"/>
  <c r="O71" i="13"/>
  <c r="P71" i="13"/>
  <c r="Q71" i="13"/>
  <c r="K72" i="13"/>
  <c r="L72" i="13"/>
  <c r="M72" i="13"/>
  <c r="N72" i="13"/>
  <c r="O72" i="13"/>
  <c r="P72" i="13"/>
  <c r="Q72" i="13"/>
  <c r="K73" i="13"/>
  <c r="L73" i="13"/>
  <c r="M73" i="13"/>
  <c r="N73" i="13"/>
  <c r="O73" i="13"/>
  <c r="P73" i="13"/>
  <c r="Q73" i="13"/>
  <c r="K74" i="13"/>
  <c r="L74" i="13"/>
  <c r="M74" i="13"/>
  <c r="N74" i="13"/>
  <c r="O74" i="13"/>
  <c r="P74" i="13"/>
  <c r="Q74" i="13"/>
  <c r="K75" i="13"/>
  <c r="L75" i="13"/>
  <c r="M75" i="13"/>
  <c r="N75" i="13"/>
  <c r="O75" i="13"/>
  <c r="P75" i="13"/>
  <c r="Q75" i="13"/>
  <c r="K76" i="13"/>
  <c r="L76" i="13"/>
  <c r="M76" i="13"/>
  <c r="N76" i="13"/>
  <c r="O76" i="13"/>
  <c r="P76" i="13"/>
  <c r="Q76" i="13"/>
  <c r="K77" i="13"/>
  <c r="L77" i="13"/>
  <c r="M77" i="13"/>
  <c r="N77" i="13"/>
  <c r="O77" i="13"/>
  <c r="P77" i="13"/>
  <c r="Q77" i="13"/>
  <c r="L63" i="13"/>
  <c r="M63" i="13"/>
  <c r="N63" i="13"/>
  <c r="O63" i="13"/>
  <c r="P63" i="13"/>
  <c r="Q63" i="13"/>
  <c r="K63" i="13"/>
  <c r="K45" i="13"/>
  <c r="L45" i="13"/>
  <c r="M45" i="13"/>
  <c r="N45" i="13"/>
  <c r="O45" i="13"/>
  <c r="P45" i="13"/>
  <c r="Q45" i="13"/>
  <c r="K46" i="13"/>
  <c r="L46" i="13"/>
  <c r="M46" i="13"/>
  <c r="N46" i="13"/>
  <c r="O46" i="13"/>
  <c r="P46" i="13"/>
  <c r="Q46" i="13"/>
  <c r="K47" i="13"/>
  <c r="L47" i="13"/>
  <c r="M47" i="13"/>
  <c r="N47" i="13"/>
  <c r="O47" i="13"/>
  <c r="P47" i="13"/>
  <c r="Q47" i="13"/>
  <c r="K48" i="13"/>
  <c r="L48" i="13"/>
  <c r="M48" i="13"/>
  <c r="N48" i="13"/>
  <c r="O48" i="13"/>
  <c r="P48" i="13"/>
  <c r="Q48" i="13"/>
  <c r="K49" i="13"/>
  <c r="L49" i="13"/>
  <c r="M49" i="13"/>
  <c r="N49" i="13"/>
  <c r="O49" i="13"/>
  <c r="P49" i="13"/>
  <c r="Q49" i="13"/>
  <c r="K50" i="13"/>
  <c r="L50" i="13"/>
  <c r="M50" i="13"/>
  <c r="N50" i="13"/>
  <c r="O50" i="13"/>
  <c r="P50" i="13"/>
  <c r="Q50" i="13"/>
  <c r="K51" i="13"/>
  <c r="L51" i="13"/>
  <c r="M51" i="13"/>
  <c r="N51" i="13"/>
  <c r="O51" i="13"/>
  <c r="P51" i="13"/>
  <c r="Q51" i="13"/>
  <c r="K52" i="13"/>
  <c r="L52" i="13"/>
  <c r="M52" i="13"/>
  <c r="N52" i="13"/>
  <c r="O52" i="13"/>
  <c r="P52" i="13"/>
  <c r="Q52" i="13"/>
  <c r="K53" i="13"/>
  <c r="L53" i="13"/>
  <c r="M53" i="13"/>
  <c r="N53" i="13"/>
  <c r="O53" i="13"/>
  <c r="P53" i="13"/>
  <c r="Q53" i="13"/>
  <c r="K54" i="13"/>
  <c r="L54" i="13"/>
  <c r="M54" i="13"/>
  <c r="N54" i="13"/>
  <c r="O54" i="13"/>
  <c r="P54" i="13"/>
  <c r="Q54" i="13"/>
  <c r="K55" i="13"/>
  <c r="L55" i="13"/>
  <c r="M55" i="13"/>
  <c r="N55" i="13"/>
  <c r="O55" i="13"/>
  <c r="P55" i="13"/>
  <c r="Q55" i="13"/>
  <c r="K56" i="13"/>
  <c r="L56" i="13"/>
  <c r="M56" i="13"/>
  <c r="N56" i="13"/>
  <c r="O56" i="13"/>
  <c r="P56" i="13"/>
  <c r="Q56" i="13"/>
  <c r="K57" i="13"/>
  <c r="L57" i="13"/>
  <c r="M57" i="13"/>
  <c r="N57" i="13"/>
  <c r="O57" i="13"/>
  <c r="P57" i="13"/>
  <c r="Q57" i="13"/>
  <c r="K58" i="13"/>
  <c r="L58" i="13"/>
  <c r="M58" i="13"/>
  <c r="N58" i="13"/>
  <c r="O58" i="13"/>
  <c r="P58" i="13"/>
  <c r="Q58" i="13"/>
  <c r="L44" i="13"/>
  <c r="M44" i="13"/>
  <c r="N44" i="13"/>
  <c r="O44" i="13"/>
  <c r="P44" i="13"/>
  <c r="Q44" i="13"/>
  <c r="K44" i="13"/>
  <c r="K26" i="13"/>
  <c r="L26" i="13"/>
  <c r="M26" i="13"/>
  <c r="N26" i="13"/>
  <c r="O26" i="13"/>
  <c r="P26" i="13"/>
  <c r="Q26" i="13"/>
  <c r="K27" i="13"/>
  <c r="L27" i="13"/>
  <c r="M27" i="13"/>
  <c r="N27" i="13"/>
  <c r="O27" i="13"/>
  <c r="P27" i="13"/>
  <c r="Q27" i="13"/>
  <c r="K28" i="13"/>
  <c r="L28" i="13"/>
  <c r="M28" i="13"/>
  <c r="N28" i="13"/>
  <c r="O28" i="13"/>
  <c r="P28" i="13"/>
  <c r="Q28" i="13"/>
  <c r="K29" i="13"/>
  <c r="L29" i="13"/>
  <c r="M29" i="13"/>
  <c r="N29" i="13"/>
  <c r="O29" i="13"/>
  <c r="P29" i="13"/>
  <c r="Q29" i="13"/>
  <c r="K30" i="13"/>
  <c r="L30" i="13"/>
  <c r="M30" i="13"/>
  <c r="N30" i="13"/>
  <c r="O30" i="13"/>
  <c r="P30" i="13"/>
  <c r="Q30" i="13"/>
  <c r="K31" i="13"/>
  <c r="L31" i="13"/>
  <c r="M31" i="13"/>
  <c r="N31" i="13"/>
  <c r="O31" i="13"/>
  <c r="P31" i="13"/>
  <c r="Q31" i="13"/>
  <c r="K32" i="13"/>
  <c r="L32" i="13"/>
  <c r="M32" i="13"/>
  <c r="N32" i="13"/>
  <c r="O32" i="13"/>
  <c r="P32" i="13"/>
  <c r="Q32" i="13"/>
  <c r="K33" i="13"/>
  <c r="L33" i="13"/>
  <c r="M33" i="13"/>
  <c r="N33" i="13"/>
  <c r="O33" i="13"/>
  <c r="P33" i="13"/>
  <c r="Q33" i="13"/>
  <c r="K34" i="13"/>
  <c r="L34" i="13"/>
  <c r="M34" i="13"/>
  <c r="N34" i="13"/>
  <c r="O34" i="13"/>
  <c r="P34" i="13"/>
  <c r="Q34" i="13"/>
  <c r="K35" i="13"/>
  <c r="L35" i="13"/>
  <c r="M35" i="13"/>
  <c r="N35" i="13"/>
  <c r="O35" i="13"/>
  <c r="P35" i="13"/>
  <c r="Q35" i="13"/>
  <c r="K36" i="13"/>
  <c r="L36" i="13"/>
  <c r="M36" i="13"/>
  <c r="N36" i="13"/>
  <c r="O36" i="13"/>
  <c r="P36" i="13"/>
  <c r="Q36" i="13"/>
  <c r="K37" i="13"/>
  <c r="L37" i="13"/>
  <c r="M37" i="13"/>
  <c r="N37" i="13"/>
  <c r="O37" i="13"/>
  <c r="P37" i="13"/>
  <c r="Q37" i="13"/>
  <c r="K38" i="13"/>
  <c r="L38" i="13"/>
  <c r="M38" i="13"/>
  <c r="N38" i="13"/>
  <c r="O38" i="13"/>
  <c r="P38" i="13"/>
  <c r="Q38" i="13"/>
  <c r="K39" i="13"/>
  <c r="L39" i="13"/>
  <c r="M39" i="13"/>
  <c r="N39" i="13"/>
  <c r="O39" i="13"/>
  <c r="P39" i="13"/>
  <c r="Q39" i="13"/>
  <c r="L25" i="13"/>
  <c r="M25" i="13"/>
  <c r="N25" i="13"/>
  <c r="O25" i="13"/>
  <c r="P25" i="13"/>
  <c r="Q25" i="13"/>
  <c r="K25" i="13"/>
  <c r="K7" i="13"/>
  <c r="L7" i="13"/>
  <c r="M7" i="13"/>
  <c r="N7" i="13"/>
  <c r="O7" i="13"/>
  <c r="P7" i="13"/>
  <c r="Q7" i="13"/>
  <c r="K8" i="13"/>
  <c r="L8" i="13"/>
  <c r="M8" i="13"/>
  <c r="N8" i="13"/>
  <c r="O8" i="13"/>
  <c r="P8" i="13"/>
  <c r="Q8" i="13"/>
  <c r="K9" i="13"/>
  <c r="L9" i="13"/>
  <c r="M9" i="13"/>
  <c r="N9" i="13"/>
  <c r="O9" i="13"/>
  <c r="P9" i="13"/>
  <c r="Q9" i="13"/>
  <c r="K10" i="13"/>
  <c r="L10" i="13"/>
  <c r="M10" i="13"/>
  <c r="N10" i="13"/>
  <c r="O10" i="13"/>
  <c r="P10" i="13"/>
  <c r="Q10" i="13"/>
  <c r="K11" i="13"/>
  <c r="L11" i="13"/>
  <c r="M11" i="13"/>
  <c r="N11" i="13"/>
  <c r="O11" i="13"/>
  <c r="P11" i="13"/>
  <c r="Q11" i="13"/>
  <c r="K12" i="13"/>
  <c r="L12" i="13"/>
  <c r="M12" i="13"/>
  <c r="N12" i="13"/>
  <c r="O12" i="13"/>
  <c r="P12" i="13"/>
  <c r="Q12" i="13"/>
  <c r="K13" i="13"/>
  <c r="L13" i="13"/>
  <c r="M13" i="13"/>
  <c r="N13" i="13"/>
  <c r="O13" i="13"/>
  <c r="P13" i="13"/>
  <c r="Q13" i="13"/>
  <c r="K14" i="13"/>
  <c r="L14" i="13"/>
  <c r="M14" i="13"/>
  <c r="N14" i="13"/>
  <c r="O14" i="13"/>
  <c r="P14" i="13"/>
  <c r="Q14" i="13"/>
  <c r="K15" i="13"/>
  <c r="L15" i="13"/>
  <c r="M15" i="13"/>
  <c r="N15" i="13"/>
  <c r="O15" i="13"/>
  <c r="P15" i="13"/>
  <c r="Q15" i="13"/>
  <c r="K16" i="13"/>
  <c r="L16" i="13"/>
  <c r="M16" i="13"/>
  <c r="N16" i="13"/>
  <c r="O16" i="13"/>
  <c r="P16" i="13"/>
  <c r="Q16" i="13"/>
  <c r="K17" i="13"/>
  <c r="L17" i="13"/>
  <c r="M17" i="13"/>
  <c r="N17" i="13"/>
  <c r="O17" i="13"/>
  <c r="P17" i="13"/>
  <c r="Q17" i="13"/>
  <c r="K18" i="13"/>
  <c r="L18" i="13"/>
  <c r="M18" i="13"/>
  <c r="N18" i="13"/>
  <c r="O18" i="13"/>
  <c r="P18" i="13"/>
  <c r="Q18" i="13"/>
  <c r="K19" i="13"/>
  <c r="L19" i="13"/>
  <c r="M19" i="13"/>
  <c r="N19" i="13"/>
  <c r="O19" i="13"/>
  <c r="P19" i="13"/>
  <c r="Q19" i="13"/>
  <c r="K20" i="13"/>
  <c r="L20" i="13"/>
  <c r="M20" i="13"/>
  <c r="N20" i="13"/>
  <c r="O20" i="13"/>
  <c r="P20" i="13"/>
  <c r="Q20" i="13"/>
  <c r="L6" i="13"/>
  <c r="M6" i="13"/>
  <c r="N6" i="13"/>
  <c r="O6" i="13"/>
  <c r="P6" i="13"/>
  <c r="Q6" i="13"/>
  <c r="K6" i="13"/>
  <c r="B140" i="13"/>
  <c r="C140" i="13"/>
  <c r="D140" i="13"/>
  <c r="E140" i="13"/>
  <c r="F140" i="13"/>
  <c r="G140" i="13"/>
  <c r="H140" i="13"/>
  <c r="B141" i="13"/>
  <c r="C141" i="13"/>
  <c r="D141" i="13"/>
  <c r="E141" i="13"/>
  <c r="F141" i="13"/>
  <c r="G141" i="13"/>
  <c r="H141" i="13"/>
  <c r="B142" i="13"/>
  <c r="C142" i="13"/>
  <c r="D142" i="13"/>
  <c r="E142" i="13"/>
  <c r="F142" i="13"/>
  <c r="G142" i="13"/>
  <c r="H142" i="13"/>
  <c r="B143" i="13"/>
  <c r="C143" i="13"/>
  <c r="D143" i="13"/>
  <c r="E143" i="13"/>
  <c r="F143" i="13"/>
  <c r="G143" i="13"/>
  <c r="H143" i="13"/>
  <c r="B144" i="13"/>
  <c r="C144" i="13"/>
  <c r="D144" i="13"/>
  <c r="E144" i="13"/>
  <c r="F144" i="13"/>
  <c r="G144" i="13"/>
  <c r="H144" i="13"/>
  <c r="B145" i="13"/>
  <c r="C145" i="13"/>
  <c r="D145" i="13"/>
  <c r="E145" i="13"/>
  <c r="F145" i="13"/>
  <c r="G145" i="13"/>
  <c r="H145" i="13"/>
  <c r="B146" i="13"/>
  <c r="C146" i="13"/>
  <c r="D146" i="13"/>
  <c r="E146" i="13"/>
  <c r="F146" i="13"/>
  <c r="G146" i="13"/>
  <c r="H146" i="13"/>
  <c r="B147" i="13"/>
  <c r="C147" i="13"/>
  <c r="D147" i="13"/>
  <c r="E147" i="13"/>
  <c r="F147" i="13"/>
  <c r="G147" i="13"/>
  <c r="H147" i="13"/>
  <c r="B148" i="13"/>
  <c r="C148" i="13"/>
  <c r="D148" i="13"/>
  <c r="E148" i="13"/>
  <c r="F148" i="13"/>
  <c r="G148" i="13"/>
  <c r="H148" i="13"/>
  <c r="B149" i="13"/>
  <c r="C149" i="13"/>
  <c r="D149" i="13"/>
  <c r="E149" i="13"/>
  <c r="F149" i="13"/>
  <c r="G149" i="13"/>
  <c r="H149" i="13"/>
  <c r="B150" i="13"/>
  <c r="C150" i="13"/>
  <c r="D150" i="13"/>
  <c r="E150" i="13"/>
  <c r="F150" i="13"/>
  <c r="G150" i="13"/>
  <c r="H150" i="13"/>
  <c r="B151" i="13"/>
  <c r="C151" i="13"/>
  <c r="D151" i="13"/>
  <c r="E151" i="13"/>
  <c r="F151" i="13"/>
  <c r="G151" i="13"/>
  <c r="H151" i="13"/>
  <c r="B152" i="13"/>
  <c r="C152" i="13"/>
  <c r="D152" i="13"/>
  <c r="E152" i="13"/>
  <c r="F152" i="13"/>
  <c r="G152" i="13"/>
  <c r="H152" i="13"/>
  <c r="B153" i="13"/>
  <c r="C153" i="13"/>
  <c r="D153" i="13"/>
  <c r="E153" i="13"/>
  <c r="F153" i="13"/>
  <c r="G153" i="13"/>
  <c r="H153" i="13"/>
  <c r="C139" i="13"/>
  <c r="D139" i="13"/>
  <c r="E139" i="13"/>
  <c r="F139" i="13"/>
  <c r="G139" i="13"/>
  <c r="H139" i="13"/>
  <c r="B139" i="13"/>
  <c r="B121" i="13"/>
  <c r="C121" i="13"/>
  <c r="D121" i="13"/>
  <c r="E121" i="13"/>
  <c r="F121" i="13"/>
  <c r="G121" i="13"/>
  <c r="H121" i="13"/>
  <c r="B122" i="13"/>
  <c r="C122" i="13"/>
  <c r="D122" i="13"/>
  <c r="E122" i="13"/>
  <c r="F122" i="13"/>
  <c r="G122" i="13"/>
  <c r="H122" i="13"/>
  <c r="B123" i="13"/>
  <c r="C123" i="13"/>
  <c r="D123" i="13"/>
  <c r="E123" i="13"/>
  <c r="F123" i="13"/>
  <c r="G123" i="13"/>
  <c r="H123" i="13"/>
  <c r="B124" i="13"/>
  <c r="C124" i="13"/>
  <c r="D124" i="13"/>
  <c r="E124" i="13"/>
  <c r="F124" i="13"/>
  <c r="G124" i="13"/>
  <c r="H124" i="13"/>
  <c r="B125" i="13"/>
  <c r="C125" i="13"/>
  <c r="D125" i="13"/>
  <c r="E125" i="13"/>
  <c r="F125" i="13"/>
  <c r="G125" i="13"/>
  <c r="H125" i="13"/>
  <c r="B126" i="13"/>
  <c r="C126" i="13"/>
  <c r="D126" i="13"/>
  <c r="E126" i="13"/>
  <c r="F126" i="13"/>
  <c r="G126" i="13"/>
  <c r="H126" i="13"/>
  <c r="B127" i="13"/>
  <c r="C127" i="13"/>
  <c r="D127" i="13"/>
  <c r="E127" i="13"/>
  <c r="F127" i="13"/>
  <c r="G127" i="13"/>
  <c r="H127" i="13"/>
  <c r="B128" i="13"/>
  <c r="C128" i="13"/>
  <c r="D128" i="13"/>
  <c r="E128" i="13"/>
  <c r="F128" i="13"/>
  <c r="G128" i="13"/>
  <c r="H128" i="13"/>
  <c r="B129" i="13"/>
  <c r="C129" i="13"/>
  <c r="D129" i="13"/>
  <c r="E129" i="13"/>
  <c r="F129" i="13"/>
  <c r="G129" i="13"/>
  <c r="H129" i="13"/>
  <c r="B130" i="13"/>
  <c r="C130" i="13"/>
  <c r="D130" i="13"/>
  <c r="E130" i="13"/>
  <c r="F130" i="13"/>
  <c r="G130" i="13"/>
  <c r="H130" i="13"/>
  <c r="B131" i="13"/>
  <c r="C131" i="13"/>
  <c r="D131" i="13"/>
  <c r="E131" i="13"/>
  <c r="F131" i="13"/>
  <c r="G131" i="13"/>
  <c r="H131" i="13"/>
  <c r="B132" i="13"/>
  <c r="C132" i="13"/>
  <c r="D132" i="13"/>
  <c r="E132" i="13"/>
  <c r="F132" i="13"/>
  <c r="G132" i="13"/>
  <c r="H132" i="13"/>
  <c r="B133" i="13"/>
  <c r="C133" i="13"/>
  <c r="D133" i="13"/>
  <c r="E133" i="13"/>
  <c r="F133" i="13"/>
  <c r="G133" i="13"/>
  <c r="H133" i="13"/>
  <c r="B134" i="13"/>
  <c r="C134" i="13"/>
  <c r="D134" i="13"/>
  <c r="E134" i="13"/>
  <c r="F134" i="13"/>
  <c r="G134" i="13"/>
  <c r="H134" i="13"/>
  <c r="C120" i="13"/>
  <c r="D120" i="13"/>
  <c r="E120" i="13"/>
  <c r="F120" i="13"/>
  <c r="G120" i="13"/>
  <c r="H120" i="13"/>
  <c r="B120" i="13"/>
  <c r="B102" i="13"/>
  <c r="C102" i="13"/>
  <c r="D102" i="13"/>
  <c r="E102" i="13"/>
  <c r="F102" i="13"/>
  <c r="G102" i="13"/>
  <c r="H102" i="13"/>
  <c r="B103" i="13"/>
  <c r="C103" i="13"/>
  <c r="D103" i="13"/>
  <c r="E103" i="13"/>
  <c r="F103" i="13"/>
  <c r="G103" i="13"/>
  <c r="H103" i="13"/>
  <c r="B104" i="13"/>
  <c r="C104" i="13"/>
  <c r="D104" i="13"/>
  <c r="E104" i="13"/>
  <c r="F104" i="13"/>
  <c r="G104" i="13"/>
  <c r="H104" i="13"/>
  <c r="B105" i="13"/>
  <c r="C105" i="13"/>
  <c r="D105" i="13"/>
  <c r="E105" i="13"/>
  <c r="F105" i="13"/>
  <c r="G105" i="13"/>
  <c r="H105" i="13"/>
  <c r="B106" i="13"/>
  <c r="C106" i="13"/>
  <c r="D106" i="13"/>
  <c r="E106" i="13"/>
  <c r="F106" i="13"/>
  <c r="G106" i="13"/>
  <c r="H106" i="13"/>
  <c r="B107" i="13"/>
  <c r="C107" i="13"/>
  <c r="D107" i="13"/>
  <c r="E107" i="13"/>
  <c r="F107" i="13"/>
  <c r="G107" i="13"/>
  <c r="H107" i="13"/>
  <c r="B108" i="13"/>
  <c r="C108" i="13"/>
  <c r="D108" i="13"/>
  <c r="E108" i="13"/>
  <c r="F108" i="13"/>
  <c r="G108" i="13"/>
  <c r="H108" i="13"/>
  <c r="B109" i="13"/>
  <c r="C109" i="13"/>
  <c r="D109" i="13"/>
  <c r="E109" i="13"/>
  <c r="F109" i="13"/>
  <c r="G109" i="13"/>
  <c r="H109" i="13"/>
  <c r="B110" i="13"/>
  <c r="C110" i="13"/>
  <c r="D110" i="13"/>
  <c r="E110" i="13"/>
  <c r="F110" i="13"/>
  <c r="G110" i="13"/>
  <c r="H110" i="13"/>
  <c r="B111" i="13"/>
  <c r="C111" i="13"/>
  <c r="D111" i="13"/>
  <c r="E111" i="13"/>
  <c r="F111" i="13"/>
  <c r="G111" i="13"/>
  <c r="H111" i="13"/>
  <c r="B112" i="13"/>
  <c r="C112" i="13"/>
  <c r="D112" i="13"/>
  <c r="E112" i="13"/>
  <c r="F112" i="13"/>
  <c r="G112" i="13"/>
  <c r="H112" i="13"/>
  <c r="B113" i="13"/>
  <c r="C113" i="13"/>
  <c r="D113" i="13"/>
  <c r="E113" i="13"/>
  <c r="F113" i="13"/>
  <c r="G113" i="13"/>
  <c r="H113" i="13"/>
  <c r="B114" i="13"/>
  <c r="C114" i="13"/>
  <c r="D114" i="13"/>
  <c r="E114" i="13"/>
  <c r="F114" i="13"/>
  <c r="G114" i="13"/>
  <c r="H114" i="13"/>
  <c r="B115" i="13"/>
  <c r="C115" i="13"/>
  <c r="D115" i="13"/>
  <c r="E115" i="13"/>
  <c r="F115" i="13"/>
  <c r="G115" i="13"/>
  <c r="H115" i="13"/>
  <c r="C101" i="13"/>
  <c r="D101" i="13"/>
  <c r="E101" i="13"/>
  <c r="F101" i="13"/>
  <c r="G101" i="13"/>
  <c r="H101" i="13"/>
  <c r="B101" i="13"/>
  <c r="B83" i="13"/>
  <c r="C83" i="13"/>
  <c r="D83" i="13"/>
  <c r="E83" i="13"/>
  <c r="F83" i="13"/>
  <c r="G83" i="13"/>
  <c r="H83" i="13"/>
  <c r="B84" i="13"/>
  <c r="C84" i="13"/>
  <c r="D84" i="13"/>
  <c r="E84" i="13"/>
  <c r="F84" i="13"/>
  <c r="G84" i="13"/>
  <c r="H84" i="13"/>
  <c r="B85" i="13"/>
  <c r="C85" i="13"/>
  <c r="D85" i="13"/>
  <c r="E85" i="13"/>
  <c r="F85" i="13"/>
  <c r="G85" i="13"/>
  <c r="H85" i="13"/>
  <c r="B86" i="13"/>
  <c r="C86" i="13"/>
  <c r="D86" i="13"/>
  <c r="E86" i="13"/>
  <c r="F86" i="13"/>
  <c r="G86" i="13"/>
  <c r="H86" i="13"/>
  <c r="B87" i="13"/>
  <c r="C87" i="13"/>
  <c r="D87" i="13"/>
  <c r="E87" i="13"/>
  <c r="F87" i="13"/>
  <c r="G87" i="13"/>
  <c r="H87" i="13"/>
  <c r="B88" i="13"/>
  <c r="C88" i="13"/>
  <c r="D88" i="13"/>
  <c r="E88" i="13"/>
  <c r="F88" i="13"/>
  <c r="G88" i="13"/>
  <c r="H88" i="13"/>
  <c r="B89" i="13"/>
  <c r="C89" i="13"/>
  <c r="D89" i="13"/>
  <c r="E89" i="13"/>
  <c r="F89" i="13"/>
  <c r="G89" i="13"/>
  <c r="H89" i="13"/>
  <c r="B90" i="13"/>
  <c r="C90" i="13"/>
  <c r="D90" i="13"/>
  <c r="E90" i="13"/>
  <c r="F90" i="13"/>
  <c r="G90" i="13"/>
  <c r="H90" i="13"/>
  <c r="B91" i="13"/>
  <c r="C91" i="13"/>
  <c r="D91" i="13"/>
  <c r="E91" i="13"/>
  <c r="F91" i="13"/>
  <c r="G91" i="13"/>
  <c r="H91" i="13"/>
  <c r="B92" i="13"/>
  <c r="C92" i="13"/>
  <c r="D92" i="13"/>
  <c r="E92" i="13"/>
  <c r="F92" i="13"/>
  <c r="G92" i="13"/>
  <c r="H92" i="13"/>
  <c r="B93" i="13"/>
  <c r="C93" i="13"/>
  <c r="D93" i="13"/>
  <c r="E93" i="13"/>
  <c r="F93" i="13"/>
  <c r="G93" i="13"/>
  <c r="H93" i="13"/>
  <c r="B94" i="13"/>
  <c r="C94" i="13"/>
  <c r="D94" i="13"/>
  <c r="E94" i="13"/>
  <c r="F94" i="13"/>
  <c r="G94" i="13"/>
  <c r="H94" i="13"/>
  <c r="B95" i="13"/>
  <c r="C95" i="13"/>
  <c r="D95" i="13"/>
  <c r="E95" i="13"/>
  <c r="F95" i="13"/>
  <c r="G95" i="13"/>
  <c r="H95" i="13"/>
  <c r="B96" i="13"/>
  <c r="C96" i="13"/>
  <c r="D96" i="13"/>
  <c r="E96" i="13"/>
  <c r="F96" i="13"/>
  <c r="G96" i="13"/>
  <c r="H96" i="13"/>
  <c r="C82" i="13"/>
  <c r="D82" i="13"/>
  <c r="E82" i="13"/>
  <c r="F82" i="13"/>
  <c r="G82" i="13"/>
  <c r="H82" i="13"/>
  <c r="B82" i="13"/>
  <c r="B64" i="13"/>
  <c r="C64" i="13"/>
  <c r="D64" i="13"/>
  <c r="E64" i="13"/>
  <c r="F64" i="13"/>
  <c r="G64" i="13"/>
  <c r="H64" i="13"/>
  <c r="B65" i="13"/>
  <c r="C65" i="13"/>
  <c r="D65" i="13"/>
  <c r="E65" i="13"/>
  <c r="F65" i="13"/>
  <c r="G65" i="13"/>
  <c r="H65" i="13"/>
  <c r="B66" i="13"/>
  <c r="C66" i="13"/>
  <c r="D66" i="13"/>
  <c r="E66" i="13"/>
  <c r="F66" i="13"/>
  <c r="G66" i="13"/>
  <c r="H66" i="13"/>
  <c r="B67" i="13"/>
  <c r="C67" i="13"/>
  <c r="D67" i="13"/>
  <c r="E67" i="13"/>
  <c r="F67" i="13"/>
  <c r="G67" i="13"/>
  <c r="H67" i="13"/>
  <c r="B68" i="13"/>
  <c r="C68" i="13"/>
  <c r="D68" i="13"/>
  <c r="E68" i="13"/>
  <c r="F68" i="13"/>
  <c r="G68" i="13"/>
  <c r="H68" i="13"/>
  <c r="B69" i="13"/>
  <c r="C69" i="13"/>
  <c r="D69" i="13"/>
  <c r="E69" i="13"/>
  <c r="F69" i="13"/>
  <c r="G69" i="13"/>
  <c r="H69" i="13"/>
  <c r="B70" i="13"/>
  <c r="C70" i="13"/>
  <c r="D70" i="13"/>
  <c r="E70" i="13"/>
  <c r="F70" i="13"/>
  <c r="G70" i="13"/>
  <c r="H70" i="13"/>
  <c r="B71" i="13"/>
  <c r="C71" i="13"/>
  <c r="D71" i="13"/>
  <c r="E71" i="13"/>
  <c r="F71" i="13"/>
  <c r="G71" i="13"/>
  <c r="H71" i="13"/>
  <c r="B72" i="13"/>
  <c r="C72" i="13"/>
  <c r="D72" i="13"/>
  <c r="E72" i="13"/>
  <c r="F72" i="13"/>
  <c r="G72" i="13"/>
  <c r="H72" i="13"/>
  <c r="B73" i="13"/>
  <c r="C73" i="13"/>
  <c r="D73" i="13"/>
  <c r="E73" i="13"/>
  <c r="F73" i="13"/>
  <c r="G73" i="13"/>
  <c r="H73" i="13"/>
  <c r="B74" i="13"/>
  <c r="C74" i="13"/>
  <c r="D74" i="13"/>
  <c r="E74" i="13"/>
  <c r="F74" i="13"/>
  <c r="G74" i="13"/>
  <c r="H74" i="13"/>
  <c r="B75" i="13"/>
  <c r="C75" i="13"/>
  <c r="D75" i="13"/>
  <c r="E75" i="13"/>
  <c r="F75" i="13"/>
  <c r="G75" i="13"/>
  <c r="H75" i="13"/>
  <c r="B76" i="13"/>
  <c r="C76" i="13"/>
  <c r="D76" i="13"/>
  <c r="E76" i="13"/>
  <c r="F76" i="13"/>
  <c r="G76" i="13"/>
  <c r="H76" i="13"/>
  <c r="B77" i="13"/>
  <c r="C77" i="13"/>
  <c r="D77" i="13"/>
  <c r="E77" i="13"/>
  <c r="F77" i="13"/>
  <c r="G77" i="13"/>
  <c r="H77" i="13"/>
  <c r="C63" i="13"/>
  <c r="D63" i="13"/>
  <c r="E63" i="13"/>
  <c r="F63" i="13"/>
  <c r="G63" i="13"/>
  <c r="H63" i="13"/>
  <c r="B63" i="13"/>
  <c r="B45" i="13"/>
  <c r="C45" i="13"/>
  <c r="D45" i="13"/>
  <c r="E45" i="13"/>
  <c r="F45" i="13"/>
  <c r="G45" i="13"/>
  <c r="H45" i="13"/>
  <c r="B46" i="13"/>
  <c r="C46" i="13"/>
  <c r="D46" i="13"/>
  <c r="E46" i="13"/>
  <c r="F46" i="13"/>
  <c r="G46" i="13"/>
  <c r="H46" i="13"/>
  <c r="B47" i="13"/>
  <c r="C47" i="13"/>
  <c r="D47" i="13"/>
  <c r="E47" i="13"/>
  <c r="F47" i="13"/>
  <c r="G47" i="13"/>
  <c r="H47" i="13"/>
  <c r="B48" i="13"/>
  <c r="C48" i="13"/>
  <c r="D48" i="13"/>
  <c r="E48" i="13"/>
  <c r="F48" i="13"/>
  <c r="G48" i="13"/>
  <c r="H48" i="13"/>
  <c r="B49" i="13"/>
  <c r="C49" i="13"/>
  <c r="D49" i="13"/>
  <c r="E49" i="13"/>
  <c r="F49" i="13"/>
  <c r="G49" i="13"/>
  <c r="H49" i="13"/>
  <c r="B50" i="13"/>
  <c r="C50" i="13"/>
  <c r="D50" i="13"/>
  <c r="E50" i="13"/>
  <c r="F50" i="13"/>
  <c r="G50" i="13"/>
  <c r="H50" i="13"/>
  <c r="B51" i="13"/>
  <c r="C51" i="13"/>
  <c r="D51" i="13"/>
  <c r="E51" i="13"/>
  <c r="F51" i="13"/>
  <c r="G51" i="13"/>
  <c r="H51" i="13"/>
  <c r="B52" i="13"/>
  <c r="C52" i="13"/>
  <c r="D52" i="13"/>
  <c r="E52" i="13"/>
  <c r="F52" i="13"/>
  <c r="G52" i="13"/>
  <c r="H52" i="13"/>
  <c r="B53" i="13"/>
  <c r="C53" i="13"/>
  <c r="D53" i="13"/>
  <c r="E53" i="13"/>
  <c r="F53" i="13"/>
  <c r="G53" i="13"/>
  <c r="H53" i="13"/>
  <c r="B54" i="13"/>
  <c r="C54" i="13"/>
  <c r="D54" i="13"/>
  <c r="E54" i="13"/>
  <c r="F54" i="13"/>
  <c r="G54" i="13"/>
  <c r="H54" i="13"/>
  <c r="B55" i="13"/>
  <c r="C55" i="13"/>
  <c r="D55" i="13"/>
  <c r="E55" i="13"/>
  <c r="F55" i="13"/>
  <c r="G55" i="13"/>
  <c r="H55" i="13"/>
  <c r="B56" i="13"/>
  <c r="C56" i="13"/>
  <c r="D56" i="13"/>
  <c r="E56" i="13"/>
  <c r="F56" i="13"/>
  <c r="G56" i="13"/>
  <c r="H56" i="13"/>
  <c r="B57" i="13"/>
  <c r="C57" i="13"/>
  <c r="D57" i="13"/>
  <c r="E57" i="13"/>
  <c r="F57" i="13"/>
  <c r="G57" i="13"/>
  <c r="H57" i="13"/>
  <c r="B58" i="13"/>
  <c r="C58" i="13"/>
  <c r="D58" i="13"/>
  <c r="E58" i="13"/>
  <c r="F58" i="13"/>
  <c r="G58" i="13"/>
  <c r="H58" i="13"/>
  <c r="C44" i="13"/>
  <c r="D44" i="13"/>
  <c r="E44" i="13"/>
  <c r="F44" i="13"/>
  <c r="G44" i="13"/>
  <c r="H44" i="13"/>
  <c r="B44" i="13"/>
  <c r="B26" i="13"/>
  <c r="C26" i="13"/>
  <c r="D26" i="13"/>
  <c r="E26" i="13"/>
  <c r="F26" i="13"/>
  <c r="G26" i="13"/>
  <c r="H26" i="13"/>
  <c r="B27" i="13"/>
  <c r="C27" i="13"/>
  <c r="D27" i="13"/>
  <c r="E27" i="13"/>
  <c r="F27" i="13"/>
  <c r="G27" i="13"/>
  <c r="H27" i="13"/>
  <c r="B28" i="13"/>
  <c r="C28" i="13"/>
  <c r="D28" i="13"/>
  <c r="E28" i="13"/>
  <c r="F28" i="13"/>
  <c r="G28" i="13"/>
  <c r="H28" i="13"/>
  <c r="B29" i="13"/>
  <c r="C29" i="13"/>
  <c r="D29" i="13"/>
  <c r="E29" i="13"/>
  <c r="F29" i="13"/>
  <c r="G29" i="13"/>
  <c r="H29" i="13"/>
  <c r="B30" i="13"/>
  <c r="C30" i="13"/>
  <c r="D30" i="13"/>
  <c r="E30" i="13"/>
  <c r="F30" i="13"/>
  <c r="G30" i="13"/>
  <c r="H30" i="13"/>
  <c r="B31" i="13"/>
  <c r="C31" i="13"/>
  <c r="D31" i="13"/>
  <c r="E31" i="13"/>
  <c r="F31" i="13"/>
  <c r="G31" i="13"/>
  <c r="H31" i="13"/>
  <c r="B32" i="13"/>
  <c r="C32" i="13"/>
  <c r="D32" i="13"/>
  <c r="E32" i="13"/>
  <c r="F32" i="13"/>
  <c r="G32" i="13"/>
  <c r="H32" i="13"/>
  <c r="B33" i="13"/>
  <c r="C33" i="13"/>
  <c r="D33" i="13"/>
  <c r="E33" i="13"/>
  <c r="F33" i="13"/>
  <c r="G33" i="13"/>
  <c r="H33" i="13"/>
  <c r="B34" i="13"/>
  <c r="C34" i="13"/>
  <c r="D34" i="13"/>
  <c r="E34" i="13"/>
  <c r="F34" i="13"/>
  <c r="G34" i="13"/>
  <c r="H34" i="13"/>
  <c r="B35" i="13"/>
  <c r="C35" i="13"/>
  <c r="D35" i="13"/>
  <c r="E35" i="13"/>
  <c r="F35" i="13"/>
  <c r="G35" i="13"/>
  <c r="H35" i="13"/>
  <c r="B36" i="13"/>
  <c r="C36" i="13"/>
  <c r="D36" i="13"/>
  <c r="E36" i="13"/>
  <c r="F36" i="13"/>
  <c r="G36" i="13"/>
  <c r="H36" i="13"/>
  <c r="B37" i="13"/>
  <c r="C37" i="13"/>
  <c r="D37" i="13"/>
  <c r="E37" i="13"/>
  <c r="F37" i="13"/>
  <c r="G37" i="13"/>
  <c r="H37" i="13"/>
  <c r="B38" i="13"/>
  <c r="C38" i="13"/>
  <c r="D38" i="13"/>
  <c r="E38" i="13"/>
  <c r="F38" i="13"/>
  <c r="G38" i="13"/>
  <c r="H38" i="13"/>
  <c r="B39" i="13"/>
  <c r="C39" i="13"/>
  <c r="D39" i="13"/>
  <c r="E39" i="13"/>
  <c r="F39" i="13"/>
  <c r="G39" i="13"/>
  <c r="H39" i="13"/>
  <c r="C25" i="13"/>
  <c r="D25" i="13"/>
  <c r="E25" i="13"/>
  <c r="F25" i="13"/>
  <c r="G25" i="13"/>
  <c r="H25" i="13"/>
  <c r="B25" i="13"/>
  <c r="B7" i="13"/>
  <c r="C7" i="13"/>
  <c r="D7" i="13"/>
  <c r="E7" i="13"/>
  <c r="F7" i="13"/>
  <c r="G7" i="13"/>
  <c r="H7" i="13"/>
  <c r="B8" i="13"/>
  <c r="C8" i="13"/>
  <c r="D8" i="13"/>
  <c r="E8" i="13"/>
  <c r="F8" i="13"/>
  <c r="G8" i="13"/>
  <c r="H8" i="13"/>
  <c r="B9" i="13"/>
  <c r="C9" i="13"/>
  <c r="D9" i="13"/>
  <c r="E9" i="13"/>
  <c r="F9" i="13"/>
  <c r="G9" i="13"/>
  <c r="H9" i="13"/>
  <c r="B10" i="13"/>
  <c r="C10" i="13"/>
  <c r="D10" i="13"/>
  <c r="E10" i="13"/>
  <c r="F10" i="13"/>
  <c r="G10" i="13"/>
  <c r="H10" i="13"/>
  <c r="B11" i="13"/>
  <c r="C11" i="13"/>
  <c r="D11" i="13"/>
  <c r="E11" i="13"/>
  <c r="F11" i="13"/>
  <c r="G11" i="13"/>
  <c r="H11" i="13"/>
  <c r="B12" i="13"/>
  <c r="C12" i="13"/>
  <c r="D12" i="13"/>
  <c r="E12" i="13"/>
  <c r="F12" i="13"/>
  <c r="G12" i="13"/>
  <c r="H12" i="13"/>
  <c r="B13" i="13"/>
  <c r="C13" i="13"/>
  <c r="D13" i="13"/>
  <c r="E13" i="13"/>
  <c r="F13" i="13"/>
  <c r="G13" i="13"/>
  <c r="H13" i="13"/>
  <c r="B14" i="13"/>
  <c r="C14" i="13"/>
  <c r="D14" i="13"/>
  <c r="E14" i="13"/>
  <c r="F14" i="13"/>
  <c r="G14" i="13"/>
  <c r="H14" i="13"/>
  <c r="B15" i="13"/>
  <c r="C15" i="13"/>
  <c r="D15" i="13"/>
  <c r="E15" i="13"/>
  <c r="F15" i="13"/>
  <c r="G15" i="13"/>
  <c r="H15" i="13"/>
  <c r="B16" i="13"/>
  <c r="C16" i="13"/>
  <c r="D16" i="13"/>
  <c r="E16" i="13"/>
  <c r="F16" i="13"/>
  <c r="G16" i="13"/>
  <c r="H16" i="13"/>
  <c r="B17" i="13"/>
  <c r="C17" i="13"/>
  <c r="D17" i="13"/>
  <c r="E17" i="13"/>
  <c r="F17" i="13"/>
  <c r="G17" i="13"/>
  <c r="H17" i="13"/>
  <c r="B18" i="13"/>
  <c r="C18" i="13"/>
  <c r="D18" i="13"/>
  <c r="E18" i="13"/>
  <c r="F18" i="13"/>
  <c r="G18" i="13"/>
  <c r="H18" i="13"/>
  <c r="B19" i="13"/>
  <c r="C19" i="13"/>
  <c r="D19" i="13"/>
  <c r="E19" i="13"/>
  <c r="F19" i="13"/>
  <c r="G19" i="13"/>
  <c r="H19" i="13"/>
  <c r="B20" i="13"/>
  <c r="C20" i="13"/>
  <c r="D20" i="13"/>
  <c r="E20" i="13"/>
  <c r="F20" i="13"/>
  <c r="G20" i="13"/>
  <c r="H20" i="13"/>
  <c r="C6" i="13"/>
  <c r="D6" i="13"/>
  <c r="E6" i="13"/>
  <c r="F6" i="13"/>
  <c r="G6" i="13"/>
  <c r="H6" i="13"/>
  <c r="B6" i="13"/>
  <c r="AU64" i="14"/>
  <c r="AV64" i="14"/>
  <c r="AW64" i="14"/>
  <c r="AX64" i="14"/>
  <c r="AY64" i="14"/>
  <c r="AZ64" i="14"/>
  <c r="BA64" i="14"/>
  <c r="AU65" i="14"/>
  <c r="AV65" i="14"/>
  <c r="AW65" i="14"/>
  <c r="AX65" i="14"/>
  <c r="AY65" i="14"/>
  <c r="AZ65" i="14"/>
  <c r="BA65" i="14"/>
  <c r="AU66" i="14"/>
  <c r="AV66" i="14"/>
  <c r="AW66" i="14"/>
  <c r="AX66" i="14"/>
  <c r="AY66" i="14"/>
  <c r="AZ66" i="14"/>
  <c r="BA66" i="14"/>
  <c r="AU67" i="14"/>
  <c r="AV67" i="14"/>
  <c r="AW67" i="14"/>
  <c r="AX67" i="14"/>
  <c r="AY67" i="14"/>
  <c r="AZ67" i="14"/>
  <c r="BA67" i="14"/>
  <c r="AU68" i="14"/>
  <c r="AV68" i="14"/>
  <c r="AW68" i="14"/>
  <c r="AX68" i="14"/>
  <c r="AY68" i="14"/>
  <c r="AZ68" i="14"/>
  <c r="BA68" i="14"/>
  <c r="AU69" i="14"/>
  <c r="AV69" i="14"/>
  <c r="AW69" i="14"/>
  <c r="AX69" i="14"/>
  <c r="AY69" i="14"/>
  <c r="AZ69" i="14"/>
  <c r="BA69" i="14"/>
  <c r="AU70" i="14"/>
  <c r="AV70" i="14"/>
  <c r="AW70" i="14"/>
  <c r="AX70" i="14"/>
  <c r="AY70" i="14"/>
  <c r="AZ70" i="14"/>
  <c r="BA70" i="14"/>
  <c r="AU71" i="14"/>
  <c r="AV71" i="14"/>
  <c r="AW71" i="14"/>
  <c r="AX71" i="14"/>
  <c r="AY71" i="14"/>
  <c r="AZ71" i="14"/>
  <c r="BA71" i="14"/>
  <c r="AU72" i="14"/>
  <c r="AV72" i="14"/>
  <c r="AW72" i="14"/>
  <c r="AX72" i="14"/>
  <c r="AY72" i="14"/>
  <c r="AZ72" i="14"/>
  <c r="BA72" i="14"/>
  <c r="AU73" i="14"/>
  <c r="AV73" i="14"/>
  <c r="AW73" i="14"/>
  <c r="AX73" i="14"/>
  <c r="AY73" i="14"/>
  <c r="AZ73" i="14"/>
  <c r="BA73" i="14"/>
  <c r="AU74" i="14"/>
  <c r="AV74" i="14"/>
  <c r="AW74" i="14"/>
  <c r="AX74" i="14"/>
  <c r="AY74" i="14"/>
  <c r="AZ74" i="14"/>
  <c r="BA74" i="14"/>
  <c r="AU75" i="14"/>
  <c r="AV75" i="14"/>
  <c r="AW75" i="14"/>
  <c r="AX75" i="14"/>
  <c r="AY75" i="14"/>
  <c r="AZ75" i="14"/>
  <c r="BA75" i="14"/>
  <c r="AU76" i="14"/>
  <c r="AV76" i="14"/>
  <c r="AW76" i="14"/>
  <c r="AX76" i="14"/>
  <c r="AY76" i="14"/>
  <c r="AZ76" i="14"/>
  <c r="BA76" i="14"/>
  <c r="AU77" i="14"/>
  <c r="AV77" i="14"/>
  <c r="AW77" i="14"/>
  <c r="AX77" i="14"/>
  <c r="AY77" i="14"/>
  <c r="AZ77" i="14"/>
  <c r="BA77" i="14"/>
  <c r="AV63" i="14"/>
  <c r="AW63" i="14"/>
  <c r="AX63" i="14"/>
  <c r="AY63" i="14"/>
  <c r="AZ63" i="14"/>
  <c r="BA63" i="14"/>
  <c r="AU63" i="14"/>
  <c r="AU45" i="14"/>
  <c r="AV45" i="14"/>
  <c r="AW45" i="14"/>
  <c r="AX45" i="14"/>
  <c r="AY45" i="14"/>
  <c r="AZ45" i="14"/>
  <c r="BA45" i="14"/>
  <c r="AU46" i="14"/>
  <c r="AV46" i="14"/>
  <c r="AW46" i="14"/>
  <c r="AX46" i="14"/>
  <c r="AY46" i="14"/>
  <c r="AZ46" i="14"/>
  <c r="BA46" i="14"/>
  <c r="AU47" i="14"/>
  <c r="AV47" i="14"/>
  <c r="AW47" i="14"/>
  <c r="AX47" i="14"/>
  <c r="AY47" i="14"/>
  <c r="AZ47" i="14"/>
  <c r="BA47" i="14"/>
  <c r="AU48" i="14"/>
  <c r="AV48" i="14"/>
  <c r="AW48" i="14"/>
  <c r="AX48" i="14"/>
  <c r="AY48" i="14"/>
  <c r="AZ48" i="14"/>
  <c r="BA48" i="14"/>
  <c r="AU49" i="14"/>
  <c r="AV49" i="14"/>
  <c r="AW49" i="14"/>
  <c r="AX49" i="14"/>
  <c r="AY49" i="14"/>
  <c r="AZ49" i="14"/>
  <c r="BA49" i="14"/>
  <c r="AU50" i="14"/>
  <c r="AV50" i="14"/>
  <c r="AW50" i="14"/>
  <c r="AX50" i="14"/>
  <c r="AY50" i="14"/>
  <c r="AZ50" i="14"/>
  <c r="BA50" i="14"/>
  <c r="AU51" i="14"/>
  <c r="AV51" i="14"/>
  <c r="AW51" i="14"/>
  <c r="AX51" i="14"/>
  <c r="AY51" i="14"/>
  <c r="AZ51" i="14"/>
  <c r="BA51" i="14"/>
  <c r="AU52" i="14"/>
  <c r="AV52" i="14"/>
  <c r="AW52" i="14"/>
  <c r="AX52" i="14"/>
  <c r="AY52" i="14"/>
  <c r="AZ52" i="14"/>
  <c r="BA52" i="14"/>
  <c r="AU53" i="14"/>
  <c r="AV53" i="14"/>
  <c r="AW53" i="14"/>
  <c r="AX53" i="14"/>
  <c r="AY53" i="14"/>
  <c r="AZ53" i="14"/>
  <c r="BA53" i="14"/>
  <c r="AU54" i="14"/>
  <c r="AV54" i="14"/>
  <c r="AW54" i="14"/>
  <c r="AX54" i="14"/>
  <c r="AY54" i="14"/>
  <c r="AZ54" i="14"/>
  <c r="BA54" i="14"/>
  <c r="AU55" i="14"/>
  <c r="AV55" i="14"/>
  <c r="AW55" i="14"/>
  <c r="AX55" i="14"/>
  <c r="AY55" i="14"/>
  <c r="AZ55" i="14"/>
  <c r="BA55" i="14"/>
  <c r="AU56" i="14"/>
  <c r="AV56" i="14"/>
  <c r="AW56" i="14"/>
  <c r="AX56" i="14"/>
  <c r="AY56" i="14"/>
  <c r="AZ56" i="14"/>
  <c r="BA56" i="14"/>
  <c r="AU57" i="14"/>
  <c r="AV57" i="14"/>
  <c r="AW57" i="14"/>
  <c r="AX57" i="14"/>
  <c r="AY57" i="14"/>
  <c r="AZ57" i="14"/>
  <c r="BA57" i="14"/>
  <c r="AU58" i="14"/>
  <c r="AV58" i="14"/>
  <c r="AW58" i="14"/>
  <c r="AX58" i="14"/>
  <c r="AY58" i="14"/>
  <c r="AZ58" i="14"/>
  <c r="BA58" i="14"/>
  <c r="AV44" i="14"/>
  <c r="AW44" i="14"/>
  <c r="AX44" i="14"/>
  <c r="AY44" i="14"/>
  <c r="AZ44" i="14"/>
  <c r="BA44" i="14"/>
  <c r="AU44" i="14"/>
  <c r="AU26" i="14"/>
  <c r="AV26" i="14"/>
  <c r="AW26" i="14"/>
  <c r="AX26" i="14"/>
  <c r="AY26" i="14"/>
  <c r="AZ26" i="14"/>
  <c r="BA26" i="14"/>
  <c r="AU27" i="14"/>
  <c r="AV27" i="14"/>
  <c r="AW27" i="14"/>
  <c r="AX27" i="14"/>
  <c r="AY27" i="14"/>
  <c r="AZ27" i="14"/>
  <c r="BA27" i="14"/>
  <c r="AU28" i="14"/>
  <c r="AV28" i="14"/>
  <c r="AW28" i="14"/>
  <c r="AX28" i="14"/>
  <c r="AY28" i="14"/>
  <c r="AZ28" i="14"/>
  <c r="BA28" i="14"/>
  <c r="AU29" i="14"/>
  <c r="AV29" i="14"/>
  <c r="AW29" i="14"/>
  <c r="AX29" i="14"/>
  <c r="AY29" i="14"/>
  <c r="AZ29" i="14"/>
  <c r="BA29" i="14"/>
  <c r="AU30" i="14"/>
  <c r="AV30" i="14"/>
  <c r="AW30" i="14"/>
  <c r="AX30" i="14"/>
  <c r="AY30" i="14"/>
  <c r="AZ30" i="14"/>
  <c r="BA30" i="14"/>
  <c r="AU31" i="14"/>
  <c r="AV31" i="14"/>
  <c r="AW31" i="14"/>
  <c r="AX31" i="14"/>
  <c r="AY31" i="14"/>
  <c r="AZ31" i="14"/>
  <c r="BA31" i="14"/>
  <c r="AU32" i="14"/>
  <c r="AV32" i="14"/>
  <c r="AW32" i="14"/>
  <c r="AX32" i="14"/>
  <c r="AY32" i="14"/>
  <c r="AZ32" i="14"/>
  <c r="BA32" i="14"/>
  <c r="AU33" i="14"/>
  <c r="AV33" i="14"/>
  <c r="AW33" i="14"/>
  <c r="AX33" i="14"/>
  <c r="AY33" i="14"/>
  <c r="AZ33" i="14"/>
  <c r="BA33" i="14"/>
  <c r="AU34" i="14"/>
  <c r="AV34" i="14"/>
  <c r="AW34" i="14"/>
  <c r="AX34" i="14"/>
  <c r="AY34" i="14"/>
  <c r="AZ34" i="14"/>
  <c r="BA34" i="14"/>
  <c r="AU35" i="14"/>
  <c r="AV35" i="14"/>
  <c r="AW35" i="14"/>
  <c r="AX35" i="14"/>
  <c r="AY35" i="14"/>
  <c r="AZ35" i="14"/>
  <c r="BA35" i="14"/>
  <c r="AU36" i="14"/>
  <c r="AV36" i="14"/>
  <c r="AW36" i="14"/>
  <c r="AX36" i="14"/>
  <c r="AY36" i="14"/>
  <c r="AZ36" i="14"/>
  <c r="BA36" i="14"/>
  <c r="AU37" i="14"/>
  <c r="AV37" i="14"/>
  <c r="AW37" i="14"/>
  <c r="AX37" i="14"/>
  <c r="AY37" i="14"/>
  <c r="AZ37" i="14"/>
  <c r="BA37" i="14"/>
  <c r="AU38" i="14"/>
  <c r="AV38" i="14"/>
  <c r="AW38" i="14"/>
  <c r="AX38" i="14"/>
  <c r="AY38" i="14"/>
  <c r="AZ38" i="14"/>
  <c r="BA38" i="14"/>
  <c r="AU39" i="14"/>
  <c r="AV39" i="14"/>
  <c r="AW39" i="14"/>
  <c r="AX39" i="14"/>
  <c r="AY39" i="14"/>
  <c r="AZ39" i="14"/>
  <c r="BA39" i="14"/>
  <c r="AV25" i="14"/>
  <c r="AW25" i="14"/>
  <c r="AX25" i="14"/>
  <c r="AY25" i="14"/>
  <c r="AZ25" i="14"/>
  <c r="BA25" i="14"/>
  <c r="AU25" i="14"/>
  <c r="AU7" i="14"/>
  <c r="AV7" i="14"/>
  <c r="AW7" i="14"/>
  <c r="AX7" i="14"/>
  <c r="AY7" i="14"/>
  <c r="AZ7" i="14"/>
  <c r="BA7" i="14"/>
  <c r="AU8" i="14"/>
  <c r="AV8" i="14"/>
  <c r="AW8" i="14"/>
  <c r="AX8" i="14"/>
  <c r="AY8" i="14"/>
  <c r="AZ8" i="14"/>
  <c r="BA8" i="14"/>
  <c r="AU9" i="14"/>
  <c r="AV9" i="14"/>
  <c r="AW9" i="14"/>
  <c r="AX9" i="14"/>
  <c r="AY9" i="14"/>
  <c r="AZ9" i="14"/>
  <c r="BA9" i="14"/>
  <c r="AU10" i="14"/>
  <c r="AV10" i="14"/>
  <c r="AW10" i="14"/>
  <c r="AX10" i="14"/>
  <c r="AY10" i="14"/>
  <c r="AZ10" i="14"/>
  <c r="BA10" i="14"/>
  <c r="AU11" i="14"/>
  <c r="AV11" i="14"/>
  <c r="AW11" i="14"/>
  <c r="AX11" i="14"/>
  <c r="AY11" i="14"/>
  <c r="AZ11" i="14"/>
  <c r="BA11" i="14"/>
  <c r="AU12" i="14"/>
  <c r="AV12" i="14"/>
  <c r="AW12" i="14"/>
  <c r="AX12" i="14"/>
  <c r="AY12" i="14"/>
  <c r="AZ12" i="14"/>
  <c r="BA12" i="14"/>
  <c r="AU13" i="14"/>
  <c r="AV13" i="14"/>
  <c r="AW13" i="14"/>
  <c r="AX13" i="14"/>
  <c r="AY13" i="14"/>
  <c r="AZ13" i="14"/>
  <c r="BA13" i="14"/>
  <c r="AU14" i="14"/>
  <c r="AV14" i="14"/>
  <c r="AW14" i="14"/>
  <c r="AX14" i="14"/>
  <c r="AY14" i="14"/>
  <c r="AZ14" i="14"/>
  <c r="BA14" i="14"/>
  <c r="AU15" i="14"/>
  <c r="AV15" i="14"/>
  <c r="AW15" i="14"/>
  <c r="AX15" i="14"/>
  <c r="AY15" i="14"/>
  <c r="AZ15" i="14"/>
  <c r="BA15" i="14"/>
  <c r="AU16" i="14"/>
  <c r="AV16" i="14"/>
  <c r="AW16" i="14"/>
  <c r="AX16" i="14"/>
  <c r="AY16" i="14"/>
  <c r="AZ16" i="14"/>
  <c r="BA16" i="14"/>
  <c r="AU17" i="14"/>
  <c r="AV17" i="14"/>
  <c r="AW17" i="14"/>
  <c r="AX17" i="14"/>
  <c r="AY17" i="14"/>
  <c r="AZ17" i="14"/>
  <c r="BA17" i="14"/>
  <c r="AU18" i="14"/>
  <c r="AV18" i="14"/>
  <c r="AW18" i="14"/>
  <c r="AX18" i="14"/>
  <c r="AY18" i="14"/>
  <c r="AZ18" i="14"/>
  <c r="BA18" i="14"/>
  <c r="AU19" i="14"/>
  <c r="AV19" i="14"/>
  <c r="AW19" i="14"/>
  <c r="AX19" i="14"/>
  <c r="AY19" i="14"/>
  <c r="AZ19" i="14"/>
  <c r="BA19" i="14"/>
  <c r="AU20" i="14"/>
  <c r="AV20" i="14"/>
  <c r="AW20" i="14"/>
  <c r="AX20" i="14"/>
  <c r="AY20" i="14"/>
  <c r="AZ20" i="14"/>
  <c r="BA20" i="14"/>
  <c r="AV6" i="14"/>
  <c r="AW6" i="14"/>
  <c r="AX6" i="14"/>
  <c r="AY6" i="14"/>
  <c r="AZ6" i="14"/>
  <c r="BA6" i="14"/>
  <c r="AU6" i="14"/>
  <c r="AL64" i="14"/>
  <c r="AM64" i="14"/>
  <c r="AN64" i="14"/>
  <c r="AO64" i="14"/>
  <c r="AP64" i="14"/>
  <c r="AQ64" i="14"/>
  <c r="AR64" i="14"/>
  <c r="AL65" i="14"/>
  <c r="AM65" i="14"/>
  <c r="AN65" i="14"/>
  <c r="AO65" i="14"/>
  <c r="AP65" i="14"/>
  <c r="AQ65" i="14"/>
  <c r="AR65" i="14"/>
  <c r="AL66" i="14"/>
  <c r="AM66" i="14"/>
  <c r="AN66" i="14"/>
  <c r="AO66" i="14"/>
  <c r="AP66" i="14"/>
  <c r="AQ66" i="14"/>
  <c r="AR66" i="14"/>
  <c r="AL67" i="14"/>
  <c r="AM67" i="14"/>
  <c r="AN67" i="14"/>
  <c r="AO67" i="14"/>
  <c r="AP67" i="14"/>
  <c r="AQ67" i="14"/>
  <c r="AR67" i="14"/>
  <c r="AL68" i="14"/>
  <c r="AM68" i="14"/>
  <c r="AN68" i="14"/>
  <c r="AO68" i="14"/>
  <c r="AP68" i="14"/>
  <c r="AQ68" i="14"/>
  <c r="AR68" i="14"/>
  <c r="AL69" i="14"/>
  <c r="AM69" i="14"/>
  <c r="AN69" i="14"/>
  <c r="AO69" i="14"/>
  <c r="AP69" i="14"/>
  <c r="AQ69" i="14"/>
  <c r="AR69" i="14"/>
  <c r="AL70" i="14"/>
  <c r="AM70" i="14"/>
  <c r="AN70" i="14"/>
  <c r="AO70" i="14"/>
  <c r="AP70" i="14"/>
  <c r="AQ70" i="14"/>
  <c r="AR70" i="14"/>
  <c r="AL71" i="14"/>
  <c r="AM71" i="14"/>
  <c r="AN71" i="14"/>
  <c r="AO71" i="14"/>
  <c r="AP71" i="14"/>
  <c r="AQ71" i="14"/>
  <c r="AR71" i="14"/>
  <c r="AL72" i="14"/>
  <c r="AM72" i="14"/>
  <c r="AN72" i="14"/>
  <c r="AO72" i="14"/>
  <c r="AP72" i="14"/>
  <c r="AQ72" i="14"/>
  <c r="AR72" i="14"/>
  <c r="AL73" i="14"/>
  <c r="AM73" i="14"/>
  <c r="AN73" i="14"/>
  <c r="AO73" i="14"/>
  <c r="AP73" i="14"/>
  <c r="AQ73" i="14"/>
  <c r="AR73" i="14"/>
  <c r="AL74" i="14"/>
  <c r="AM74" i="14"/>
  <c r="AN74" i="14"/>
  <c r="AO74" i="14"/>
  <c r="AP74" i="14"/>
  <c r="AQ74" i="14"/>
  <c r="AR74" i="14"/>
  <c r="AL75" i="14"/>
  <c r="AM75" i="14"/>
  <c r="AN75" i="14"/>
  <c r="AO75" i="14"/>
  <c r="AP75" i="14"/>
  <c r="AQ75" i="14"/>
  <c r="AR75" i="14"/>
  <c r="AL76" i="14"/>
  <c r="AM76" i="14"/>
  <c r="AN76" i="14"/>
  <c r="AO76" i="14"/>
  <c r="AP76" i="14"/>
  <c r="AQ76" i="14"/>
  <c r="AR76" i="14"/>
  <c r="AL77" i="14"/>
  <c r="AM77" i="14"/>
  <c r="AN77" i="14"/>
  <c r="AO77" i="14"/>
  <c r="AP77" i="14"/>
  <c r="AQ77" i="14"/>
  <c r="AR77" i="14"/>
  <c r="AM63" i="14"/>
  <c r="AN63" i="14"/>
  <c r="AO63" i="14"/>
  <c r="AP63" i="14"/>
  <c r="AQ63" i="14"/>
  <c r="AR63" i="14"/>
  <c r="AL63" i="14"/>
  <c r="AL45" i="14"/>
  <c r="AM45" i="14"/>
  <c r="AN45" i="14"/>
  <c r="AO45" i="14"/>
  <c r="AP45" i="14"/>
  <c r="AQ45" i="14"/>
  <c r="AR45" i="14"/>
  <c r="AL46" i="14"/>
  <c r="AM46" i="14"/>
  <c r="AN46" i="14"/>
  <c r="AO46" i="14"/>
  <c r="AP46" i="14"/>
  <c r="AQ46" i="14"/>
  <c r="AR46" i="14"/>
  <c r="AL47" i="14"/>
  <c r="AM47" i="14"/>
  <c r="AN47" i="14"/>
  <c r="AO47" i="14"/>
  <c r="AP47" i="14"/>
  <c r="AQ47" i="14"/>
  <c r="AR47" i="14"/>
  <c r="AL48" i="14"/>
  <c r="AM48" i="14"/>
  <c r="AN48" i="14"/>
  <c r="AO48" i="14"/>
  <c r="AP48" i="14"/>
  <c r="AQ48" i="14"/>
  <c r="AR48" i="14"/>
  <c r="AL49" i="14"/>
  <c r="AM49" i="14"/>
  <c r="AN49" i="14"/>
  <c r="AO49" i="14"/>
  <c r="AP49" i="14"/>
  <c r="AQ49" i="14"/>
  <c r="AR49" i="14"/>
  <c r="AL50" i="14"/>
  <c r="AM50" i="14"/>
  <c r="AN50" i="14"/>
  <c r="AO50" i="14"/>
  <c r="AP50" i="14"/>
  <c r="AQ50" i="14"/>
  <c r="AR50" i="14"/>
  <c r="AL51" i="14"/>
  <c r="AM51" i="14"/>
  <c r="AN51" i="14"/>
  <c r="AO51" i="14"/>
  <c r="AP51" i="14"/>
  <c r="AQ51" i="14"/>
  <c r="AR51" i="14"/>
  <c r="AL52" i="14"/>
  <c r="AM52" i="14"/>
  <c r="AN52" i="14"/>
  <c r="AO52" i="14"/>
  <c r="AP52" i="14"/>
  <c r="AQ52" i="14"/>
  <c r="AR52" i="14"/>
  <c r="AL53" i="14"/>
  <c r="AM53" i="14"/>
  <c r="AN53" i="14"/>
  <c r="AO53" i="14"/>
  <c r="AP53" i="14"/>
  <c r="AQ53" i="14"/>
  <c r="AR53" i="14"/>
  <c r="AL54" i="14"/>
  <c r="AM54" i="14"/>
  <c r="AN54" i="14"/>
  <c r="AO54" i="14"/>
  <c r="AP54" i="14"/>
  <c r="AQ54" i="14"/>
  <c r="AR54" i="14"/>
  <c r="AL55" i="14"/>
  <c r="AM55" i="14"/>
  <c r="AN55" i="14"/>
  <c r="AO55" i="14"/>
  <c r="AP55" i="14"/>
  <c r="AQ55" i="14"/>
  <c r="AR55" i="14"/>
  <c r="AL56" i="14"/>
  <c r="AM56" i="14"/>
  <c r="AN56" i="14"/>
  <c r="AO56" i="14"/>
  <c r="AP56" i="14"/>
  <c r="AQ56" i="14"/>
  <c r="AR56" i="14"/>
  <c r="AL57" i="14"/>
  <c r="AM57" i="14"/>
  <c r="AN57" i="14"/>
  <c r="AO57" i="14"/>
  <c r="AP57" i="14"/>
  <c r="AQ57" i="14"/>
  <c r="AR57" i="14"/>
  <c r="AL58" i="14"/>
  <c r="AM58" i="14"/>
  <c r="AN58" i="14"/>
  <c r="AO58" i="14"/>
  <c r="AP58" i="14"/>
  <c r="AQ58" i="14"/>
  <c r="AR58" i="14"/>
  <c r="AM44" i="14"/>
  <c r="AN44" i="14"/>
  <c r="AO44" i="14"/>
  <c r="AP44" i="14"/>
  <c r="AQ44" i="14"/>
  <c r="AR44" i="14"/>
  <c r="AL44" i="14"/>
  <c r="AL26" i="14"/>
  <c r="AM26" i="14"/>
  <c r="AN26" i="14"/>
  <c r="AO26" i="14"/>
  <c r="AP26" i="14"/>
  <c r="AQ26" i="14"/>
  <c r="AR26" i="14"/>
  <c r="AL27" i="14"/>
  <c r="AM27" i="14"/>
  <c r="AN27" i="14"/>
  <c r="AO27" i="14"/>
  <c r="AP27" i="14"/>
  <c r="AQ27" i="14"/>
  <c r="AR27" i="14"/>
  <c r="AL28" i="14"/>
  <c r="AM28" i="14"/>
  <c r="AN28" i="14"/>
  <c r="AO28" i="14"/>
  <c r="AP28" i="14"/>
  <c r="AQ28" i="14"/>
  <c r="AR28" i="14"/>
  <c r="AL29" i="14"/>
  <c r="AM29" i="14"/>
  <c r="AN29" i="14"/>
  <c r="AO29" i="14"/>
  <c r="AP29" i="14"/>
  <c r="AQ29" i="14"/>
  <c r="AR29" i="14"/>
  <c r="AL30" i="14"/>
  <c r="AM30" i="14"/>
  <c r="AN30" i="14"/>
  <c r="AO30" i="14"/>
  <c r="AP30" i="14"/>
  <c r="AQ30" i="14"/>
  <c r="AR30" i="14"/>
  <c r="AL31" i="14"/>
  <c r="AM31" i="14"/>
  <c r="AN31" i="14"/>
  <c r="AO31" i="14"/>
  <c r="AP31" i="14"/>
  <c r="AQ31" i="14"/>
  <c r="AR31" i="14"/>
  <c r="AL32" i="14"/>
  <c r="AM32" i="14"/>
  <c r="AN32" i="14"/>
  <c r="AO32" i="14"/>
  <c r="AP32" i="14"/>
  <c r="AQ32" i="14"/>
  <c r="AR32" i="14"/>
  <c r="AL33" i="14"/>
  <c r="AM33" i="14"/>
  <c r="AN33" i="14"/>
  <c r="AO33" i="14"/>
  <c r="AP33" i="14"/>
  <c r="AQ33" i="14"/>
  <c r="AR33" i="14"/>
  <c r="AL34" i="14"/>
  <c r="AM34" i="14"/>
  <c r="AN34" i="14"/>
  <c r="AO34" i="14"/>
  <c r="AP34" i="14"/>
  <c r="AQ34" i="14"/>
  <c r="AR34" i="14"/>
  <c r="AL35" i="14"/>
  <c r="AM35" i="14"/>
  <c r="AN35" i="14"/>
  <c r="AO35" i="14"/>
  <c r="AP35" i="14"/>
  <c r="AQ35" i="14"/>
  <c r="AR35" i="14"/>
  <c r="AL36" i="14"/>
  <c r="AM36" i="14"/>
  <c r="AN36" i="14"/>
  <c r="AO36" i="14"/>
  <c r="AP36" i="14"/>
  <c r="AQ36" i="14"/>
  <c r="AR36" i="14"/>
  <c r="AL37" i="14"/>
  <c r="AM37" i="14"/>
  <c r="AN37" i="14"/>
  <c r="AO37" i="14"/>
  <c r="AP37" i="14"/>
  <c r="AQ37" i="14"/>
  <c r="AR37" i="14"/>
  <c r="AL38" i="14"/>
  <c r="AM38" i="14"/>
  <c r="AN38" i="14"/>
  <c r="AO38" i="14"/>
  <c r="AP38" i="14"/>
  <c r="AQ38" i="14"/>
  <c r="AR38" i="14"/>
  <c r="AL39" i="14"/>
  <c r="AM39" i="14"/>
  <c r="AN39" i="14"/>
  <c r="AO39" i="14"/>
  <c r="AP39" i="14"/>
  <c r="AQ39" i="14"/>
  <c r="AR39" i="14"/>
  <c r="AM25" i="14"/>
  <c r="AN25" i="14"/>
  <c r="AO25" i="14"/>
  <c r="AP25" i="14"/>
  <c r="AQ25" i="14"/>
  <c r="AR25" i="14"/>
  <c r="AL25" i="14"/>
  <c r="AL7" i="14"/>
  <c r="AM7" i="14"/>
  <c r="AN7" i="14"/>
  <c r="AO7" i="14"/>
  <c r="AP7" i="14"/>
  <c r="AQ7" i="14"/>
  <c r="AR7" i="14"/>
  <c r="AL8" i="14"/>
  <c r="AM8" i="14"/>
  <c r="AN8" i="14"/>
  <c r="AO8" i="14"/>
  <c r="AP8" i="14"/>
  <c r="AQ8" i="14"/>
  <c r="AR8" i="14"/>
  <c r="AL9" i="14"/>
  <c r="AM9" i="14"/>
  <c r="AN9" i="14"/>
  <c r="AO9" i="14"/>
  <c r="AP9" i="14"/>
  <c r="AQ9" i="14"/>
  <c r="AR9" i="14"/>
  <c r="AL10" i="14"/>
  <c r="AM10" i="14"/>
  <c r="AN10" i="14"/>
  <c r="AO10" i="14"/>
  <c r="AP10" i="14"/>
  <c r="AQ10" i="14"/>
  <c r="AR10" i="14"/>
  <c r="AL11" i="14"/>
  <c r="AM11" i="14"/>
  <c r="AN11" i="14"/>
  <c r="AO11" i="14"/>
  <c r="AP11" i="14"/>
  <c r="AQ11" i="14"/>
  <c r="AR11" i="14"/>
  <c r="AL12" i="14"/>
  <c r="AM12" i="14"/>
  <c r="AN12" i="14"/>
  <c r="AO12" i="14"/>
  <c r="AP12" i="14"/>
  <c r="AQ12" i="14"/>
  <c r="AR12" i="14"/>
  <c r="AL13" i="14"/>
  <c r="AM13" i="14"/>
  <c r="AN13" i="14"/>
  <c r="AO13" i="14"/>
  <c r="AP13" i="14"/>
  <c r="AQ13" i="14"/>
  <c r="AR13" i="14"/>
  <c r="AL14" i="14"/>
  <c r="AM14" i="14"/>
  <c r="AN14" i="14"/>
  <c r="AO14" i="14"/>
  <c r="AP14" i="14"/>
  <c r="AQ14" i="14"/>
  <c r="AR14" i="14"/>
  <c r="AL15" i="14"/>
  <c r="AM15" i="14"/>
  <c r="AN15" i="14"/>
  <c r="AO15" i="14"/>
  <c r="AP15" i="14"/>
  <c r="AQ15" i="14"/>
  <c r="AR15" i="14"/>
  <c r="AL16" i="14"/>
  <c r="AM16" i="14"/>
  <c r="AN16" i="14"/>
  <c r="AO16" i="14"/>
  <c r="AP16" i="14"/>
  <c r="AQ16" i="14"/>
  <c r="AR16" i="14"/>
  <c r="AL17" i="14"/>
  <c r="AM17" i="14"/>
  <c r="AN17" i="14"/>
  <c r="AO17" i="14"/>
  <c r="AP17" i="14"/>
  <c r="AQ17" i="14"/>
  <c r="AR17" i="14"/>
  <c r="AL18" i="14"/>
  <c r="AM18" i="14"/>
  <c r="AN18" i="14"/>
  <c r="AO18" i="14"/>
  <c r="AP18" i="14"/>
  <c r="AQ18" i="14"/>
  <c r="AR18" i="14"/>
  <c r="AL19" i="14"/>
  <c r="AM19" i="14"/>
  <c r="AN19" i="14"/>
  <c r="AO19" i="14"/>
  <c r="AP19" i="14"/>
  <c r="AQ19" i="14"/>
  <c r="AR19" i="14"/>
  <c r="AL20" i="14"/>
  <c r="AM20" i="14"/>
  <c r="AN20" i="14"/>
  <c r="AO20" i="14"/>
  <c r="AP20" i="14"/>
  <c r="AQ20" i="14"/>
  <c r="AR20" i="14"/>
  <c r="AM6" i="14"/>
  <c r="AN6" i="14"/>
  <c r="AO6" i="14"/>
  <c r="AP6" i="14"/>
  <c r="AQ6" i="14"/>
  <c r="AR6" i="14"/>
  <c r="AL6" i="14"/>
  <c r="AC64" i="14"/>
  <c r="AD64" i="14"/>
  <c r="AE64" i="14"/>
  <c r="AF64" i="14"/>
  <c r="AG64" i="14"/>
  <c r="AH64" i="14"/>
  <c r="AI64" i="14"/>
  <c r="AC65" i="14"/>
  <c r="AD65" i="14"/>
  <c r="AE65" i="14"/>
  <c r="AF65" i="14"/>
  <c r="AG65" i="14"/>
  <c r="AH65" i="14"/>
  <c r="AI65" i="14"/>
  <c r="AC66" i="14"/>
  <c r="AD66" i="14"/>
  <c r="AE66" i="14"/>
  <c r="AF66" i="14"/>
  <c r="AG66" i="14"/>
  <c r="AH66" i="14"/>
  <c r="AI66" i="14"/>
  <c r="AC67" i="14"/>
  <c r="AD67" i="14"/>
  <c r="AE67" i="14"/>
  <c r="AF67" i="14"/>
  <c r="AG67" i="14"/>
  <c r="AH67" i="14"/>
  <c r="AI67" i="14"/>
  <c r="AC68" i="14"/>
  <c r="AD68" i="14"/>
  <c r="AE68" i="14"/>
  <c r="AF68" i="14"/>
  <c r="AG68" i="14"/>
  <c r="AH68" i="14"/>
  <c r="AI68" i="14"/>
  <c r="AC69" i="14"/>
  <c r="AD69" i="14"/>
  <c r="AE69" i="14"/>
  <c r="AF69" i="14"/>
  <c r="AG69" i="14"/>
  <c r="AH69" i="14"/>
  <c r="AI69" i="14"/>
  <c r="AC70" i="14"/>
  <c r="AD70" i="14"/>
  <c r="AE70" i="14"/>
  <c r="AF70" i="14"/>
  <c r="AG70" i="14"/>
  <c r="AH70" i="14"/>
  <c r="AI70" i="14"/>
  <c r="AC71" i="14"/>
  <c r="AD71" i="14"/>
  <c r="AE71" i="14"/>
  <c r="AF71" i="14"/>
  <c r="AG71" i="14"/>
  <c r="AH71" i="14"/>
  <c r="AI71" i="14"/>
  <c r="AC72" i="14"/>
  <c r="AD72" i="14"/>
  <c r="AE72" i="14"/>
  <c r="AF72" i="14"/>
  <c r="AG72" i="14"/>
  <c r="AH72" i="14"/>
  <c r="AI72" i="14"/>
  <c r="AC73" i="14"/>
  <c r="AD73" i="14"/>
  <c r="AE73" i="14"/>
  <c r="AF73" i="14"/>
  <c r="AG73" i="14"/>
  <c r="AH73" i="14"/>
  <c r="AI73" i="14"/>
  <c r="AC74" i="14"/>
  <c r="AD74" i="14"/>
  <c r="AE74" i="14"/>
  <c r="AF74" i="14"/>
  <c r="AG74" i="14"/>
  <c r="AH74" i="14"/>
  <c r="AI74" i="14"/>
  <c r="AC75" i="14"/>
  <c r="AD75" i="14"/>
  <c r="AE75" i="14"/>
  <c r="AF75" i="14"/>
  <c r="AG75" i="14"/>
  <c r="AH75" i="14"/>
  <c r="AI75" i="14"/>
  <c r="AC76" i="14"/>
  <c r="AD76" i="14"/>
  <c r="AE76" i="14"/>
  <c r="AF76" i="14"/>
  <c r="AG76" i="14"/>
  <c r="AH76" i="14"/>
  <c r="AI76" i="14"/>
  <c r="AC77" i="14"/>
  <c r="AD77" i="14"/>
  <c r="AE77" i="14"/>
  <c r="AF77" i="14"/>
  <c r="AG77" i="14"/>
  <c r="AH77" i="14"/>
  <c r="AI77" i="14"/>
  <c r="AD63" i="14"/>
  <c r="AE63" i="14"/>
  <c r="AF63" i="14"/>
  <c r="AG63" i="14"/>
  <c r="AH63" i="14"/>
  <c r="AI63" i="14"/>
  <c r="AC63" i="14"/>
  <c r="AC45" i="14"/>
  <c r="AD45" i="14"/>
  <c r="AE45" i="14"/>
  <c r="AF45" i="14"/>
  <c r="AG45" i="14"/>
  <c r="AH45" i="14"/>
  <c r="AI45" i="14"/>
  <c r="AC46" i="14"/>
  <c r="AD46" i="14"/>
  <c r="AE46" i="14"/>
  <c r="AF46" i="14"/>
  <c r="AG46" i="14"/>
  <c r="AH46" i="14"/>
  <c r="AI46" i="14"/>
  <c r="AC47" i="14"/>
  <c r="AD47" i="14"/>
  <c r="AE47" i="14"/>
  <c r="AF47" i="14"/>
  <c r="AG47" i="14"/>
  <c r="AH47" i="14"/>
  <c r="AI47" i="14"/>
  <c r="AC48" i="14"/>
  <c r="AD48" i="14"/>
  <c r="AE48" i="14"/>
  <c r="AF48" i="14"/>
  <c r="AG48" i="14"/>
  <c r="AH48" i="14"/>
  <c r="AI48" i="14"/>
  <c r="AC49" i="14"/>
  <c r="AD49" i="14"/>
  <c r="AE49" i="14"/>
  <c r="AF49" i="14"/>
  <c r="AG49" i="14"/>
  <c r="AH49" i="14"/>
  <c r="AI49" i="14"/>
  <c r="AC50" i="14"/>
  <c r="AD50" i="14"/>
  <c r="AE50" i="14"/>
  <c r="AF50" i="14"/>
  <c r="AG50" i="14"/>
  <c r="AH50" i="14"/>
  <c r="AI50" i="14"/>
  <c r="AC51" i="14"/>
  <c r="AD51" i="14"/>
  <c r="AE51" i="14"/>
  <c r="AF51" i="14"/>
  <c r="AG51" i="14"/>
  <c r="AH51" i="14"/>
  <c r="AI51" i="14"/>
  <c r="AC52" i="14"/>
  <c r="AD52" i="14"/>
  <c r="AE52" i="14"/>
  <c r="AF52" i="14"/>
  <c r="AG52" i="14"/>
  <c r="AH52" i="14"/>
  <c r="AI52" i="14"/>
  <c r="AC53" i="14"/>
  <c r="AD53" i="14"/>
  <c r="AE53" i="14"/>
  <c r="AF53" i="14"/>
  <c r="AG53" i="14"/>
  <c r="AH53" i="14"/>
  <c r="AI53" i="14"/>
  <c r="AC54" i="14"/>
  <c r="AD54" i="14"/>
  <c r="AE54" i="14"/>
  <c r="AF54" i="14"/>
  <c r="AG54" i="14"/>
  <c r="AH54" i="14"/>
  <c r="AI54" i="14"/>
  <c r="AC55" i="14"/>
  <c r="AD55" i="14"/>
  <c r="AE55" i="14"/>
  <c r="AF55" i="14"/>
  <c r="AG55" i="14"/>
  <c r="AH55" i="14"/>
  <c r="AI55" i="14"/>
  <c r="AC56" i="14"/>
  <c r="AD56" i="14"/>
  <c r="AE56" i="14"/>
  <c r="AF56" i="14"/>
  <c r="AG56" i="14"/>
  <c r="AH56" i="14"/>
  <c r="AI56" i="14"/>
  <c r="AC57" i="14"/>
  <c r="AD57" i="14"/>
  <c r="AE57" i="14"/>
  <c r="AF57" i="14"/>
  <c r="AG57" i="14"/>
  <c r="AH57" i="14"/>
  <c r="AI57" i="14"/>
  <c r="AC58" i="14"/>
  <c r="AD58" i="14"/>
  <c r="AE58" i="14"/>
  <c r="AF58" i="14"/>
  <c r="AG58" i="14"/>
  <c r="AH58" i="14"/>
  <c r="AI58" i="14"/>
  <c r="AD44" i="14"/>
  <c r="AE44" i="14"/>
  <c r="AF44" i="14"/>
  <c r="AG44" i="14"/>
  <c r="AH44" i="14"/>
  <c r="AI44" i="14"/>
  <c r="AC44" i="14"/>
  <c r="AC26" i="14"/>
  <c r="AD26" i="14"/>
  <c r="AE26" i="14"/>
  <c r="AF26" i="14"/>
  <c r="AG26" i="14"/>
  <c r="AH26" i="14"/>
  <c r="AI26" i="14"/>
  <c r="AC27" i="14"/>
  <c r="AD27" i="14"/>
  <c r="AE27" i="14"/>
  <c r="AF27" i="14"/>
  <c r="AG27" i="14"/>
  <c r="AH27" i="14"/>
  <c r="AI27" i="14"/>
  <c r="AC28" i="14"/>
  <c r="AD28" i="14"/>
  <c r="AE28" i="14"/>
  <c r="AF28" i="14"/>
  <c r="AG28" i="14"/>
  <c r="AH28" i="14"/>
  <c r="AI28" i="14"/>
  <c r="AC29" i="14"/>
  <c r="AD29" i="14"/>
  <c r="AE29" i="14"/>
  <c r="AF29" i="14"/>
  <c r="AG29" i="14"/>
  <c r="AH29" i="14"/>
  <c r="AI29" i="14"/>
  <c r="AC30" i="14"/>
  <c r="AD30" i="14"/>
  <c r="AE30" i="14"/>
  <c r="AF30" i="14"/>
  <c r="AG30" i="14"/>
  <c r="AH30" i="14"/>
  <c r="AI30" i="14"/>
  <c r="AC31" i="14"/>
  <c r="AD31" i="14"/>
  <c r="AE31" i="14"/>
  <c r="AF31" i="14"/>
  <c r="AG31" i="14"/>
  <c r="AH31" i="14"/>
  <c r="AI31" i="14"/>
  <c r="AC32" i="14"/>
  <c r="AD32" i="14"/>
  <c r="AE32" i="14"/>
  <c r="AF32" i="14"/>
  <c r="AG32" i="14"/>
  <c r="AH32" i="14"/>
  <c r="AI32" i="14"/>
  <c r="AC33" i="14"/>
  <c r="AD33" i="14"/>
  <c r="AE33" i="14"/>
  <c r="AF33" i="14"/>
  <c r="AG33" i="14"/>
  <c r="AH33" i="14"/>
  <c r="AI33" i="14"/>
  <c r="AC34" i="14"/>
  <c r="AD34" i="14"/>
  <c r="AE34" i="14"/>
  <c r="AF34" i="14"/>
  <c r="AG34" i="14"/>
  <c r="AH34" i="14"/>
  <c r="AI34" i="14"/>
  <c r="AC35" i="14"/>
  <c r="AD35" i="14"/>
  <c r="AE35" i="14"/>
  <c r="AF35" i="14"/>
  <c r="AG35" i="14"/>
  <c r="AH35" i="14"/>
  <c r="AI35" i="14"/>
  <c r="AC36" i="14"/>
  <c r="AD36" i="14"/>
  <c r="AE36" i="14"/>
  <c r="AF36" i="14"/>
  <c r="AG36" i="14"/>
  <c r="AH36" i="14"/>
  <c r="AI36" i="14"/>
  <c r="AC37" i="14"/>
  <c r="AD37" i="14"/>
  <c r="AE37" i="14"/>
  <c r="AF37" i="14"/>
  <c r="AG37" i="14"/>
  <c r="AH37" i="14"/>
  <c r="AI37" i="14"/>
  <c r="AC38" i="14"/>
  <c r="AD38" i="14"/>
  <c r="AE38" i="14"/>
  <c r="AF38" i="14"/>
  <c r="AG38" i="14"/>
  <c r="AH38" i="14"/>
  <c r="AI38" i="14"/>
  <c r="AC39" i="14"/>
  <c r="AD39" i="14"/>
  <c r="AE39" i="14"/>
  <c r="AF39" i="14"/>
  <c r="AG39" i="14"/>
  <c r="AH39" i="14"/>
  <c r="AI39" i="14"/>
  <c r="AD25" i="14"/>
  <c r="AE25" i="14"/>
  <c r="AF25" i="14"/>
  <c r="AG25" i="14"/>
  <c r="AH25" i="14"/>
  <c r="AI25" i="14"/>
  <c r="AC25" i="14"/>
  <c r="AC7" i="14"/>
  <c r="AD7" i="14"/>
  <c r="AE7" i="14"/>
  <c r="AF7" i="14"/>
  <c r="AG7" i="14"/>
  <c r="AH7" i="14"/>
  <c r="AI7" i="14"/>
  <c r="AC8" i="14"/>
  <c r="AD8" i="14"/>
  <c r="AE8" i="14"/>
  <c r="AF8" i="14"/>
  <c r="AG8" i="14"/>
  <c r="AH8" i="14"/>
  <c r="AI8" i="14"/>
  <c r="AC9" i="14"/>
  <c r="AD9" i="14"/>
  <c r="AE9" i="14"/>
  <c r="AF9" i="14"/>
  <c r="AG9" i="14"/>
  <c r="AH9" i="14"/>
  <c r="AI9" i="14"/>
  <c r="AC10" i="14"/>
  <c r="AD10" i="14"/>
  <c r="AE10" i="14"/>
  <c r="AF10" i="14"/>
  <c r="AG10" i="14"/>
  <c r="AH10" i="14"/>
  <c r="AI10" i="14"/>
  <c r="AC11" i="14"/>
  <c r="AD11" i="14"/>
  <c r="AE11" i="14"/>
  <c r="AF11" i="14"/>
  <c r="AG11" i="14"/>
  <c r="AH11" i="14"/>
  <c r="AI11" i="14"/>
  <c r="AC12" i="14"/>
  <c r="AD12" i="14"/>
  <c r="AE12" i="14"/>
  <c r="AF12" i="14"/>
  <c r="AG12" i="14"/>
  <c r="AH12" i="14"/>
  <c r="AI12" i="14"/>
  <c r="AC13" i="14"/>
  <c r="AD13" i="14"/>
  <c r="AE13" i="14"/>
  <c r="AF13" i="14"/>
  <c r="AG13" i="14"/>
  <c r="AH13" i="14"/>
  <c r="AI13" i="14"/>
  <c r="AC14" i="14"/>
  <c r="AD14" i="14"/>
  <c r="AE14" i="14"/>
  <c r="AF14" i="14"/>
  <c r="AG14" i="14"/>
  <c r="AH14" i="14"/>
  <c r="AI14" i="14"/>
  <c r="AC15" i="14"/>
  <c r="AD15" i="14"/>
  <c r="AE15" i="14"/>
  <c r="AF15" i="14"/>
  <c r="AG15" i="14"/>
  <c r="AH15" i="14"/>
  <c r="AI15" i="14"/>
  <c r="AC16" i="14"/>
  <c r="AD16" i="14"/>
  <c r="AE16" i="14"/>
  <c r="AF16" i="14"/>
  <c r="AG16" i="14"/>
  <c r="AH16" i="14"/>
  <c r="AI16" i="14"/>
  <c r="AC17" i="14"/>
  <c r="AD17" i="14"/>
  <c r="AE17" i="14"/>
  <c r="AF17" i="14"/>
  <c r="AG17" i="14"/>
  <c r="AH17" i="14"/>
  <c r="AI17" i="14"/>
  <c r="AC18" i="14"/>
  <c r="AD18" i="14"/>
  <c r="AE18" i="14"/>
  <c r="AF18" i="14"/>
  <c r="AG18" i="14"/>
  <c r="AH18" i="14"/>
  <c r="AI18" i="14"/>
  <c r="AC19" i="14"/>
  <c r="AD19" i="14"/>
  <c r="AE19" i="14"/>
  <c r="AF19" i="14"/>
  <c r="AG19" i="14"/>
  <c r="AH19" i="14"/>
  <c r="AI19" i="14"/>
  <c r="AC20" i="14"/>
  <c r="AD20" i="14"/>
  <c r="AE20" i="14"/>
  <c r="AF20" i="14"/>
  <c r="AG20" i="14"/>
  <c r="AH20" i="14"/>
  <c r="AI20" i="14"/>
  <c r="AD6" i="14"/>
  <c r="AE6" i="14"/>
  <c r="AF6" i="14"/>
  <c r="AG6" i="14"/>
  <c r="AH6" i="14"/>
  <c r="AI6" i="14"/>
  <c r="AC6" i="14"/>
  <c r="T64" i="14"/>
  <c r="U64" i="14"/>
  <c r="V64" i="14"/>
  <c r="W64" i="14"/>
  <c r="X64" i="14"/>
  <c r="Y64" i="14"/>
  <c r="Z64" i="14"/>
  <c r="T65" i="14"/>
  <c r="U65" i="14"/>
  <c r="V65" i="14"/>
  <c r="W65" i="14"/>
  <c r="X65" i="14"/>
  <c r="Y65" i="14"/>
  <c r="Z65" i="14"/>
  <c r="T66" i="14"/>
  <c r="U66" i="14"/>
  <c r="V66" i="14"/>
  <c r="W66" i="14"/>
  <c r="X66" i="14"/>
  <c r="Y66" i="14"/>
  <c r="Z66" i="14"/>
  <c r="T67" i="14"/>
  <c r="U67" i="14"/>
  <c r="V67" i="14"/>
  <c r="W67" i="14"/>
  <c r="X67" i="14"/>
  <c r="Y67" i="14"/>
  <c r="Z67" i="14"/>
  <c r="T68" i="14"/>
  <c r="U68" i="14"/>
  <c r="V68" i="14"/>
  <c r="W68" i="14"/>
  <c r="X68" i="14"/>
  <c r="Y68" i="14"/>
  <c r="Z68" i="14"/>
  <c r="T69" i="14"/>
  <c r="U69" i="14"/>
  <c r="V69" i="14"/>
  <c r="W69" i="14"/>
  <c r="X69" i="14"/>
  <c r="Y69" i="14"/>
  <c r="Z69" i="14"/>
  <c r="T70" i="14"/>
  <c r="U70" i="14"/>
  <c r="V70" i="14"/>
  <c r="W70" i="14"/>
  <c r="X70" i="14"/>
  <c r="Y70" i="14"/>
  <c r="Z70" i="14"/>
  <c r="T71" i="14"/>
  <c r="U71" i="14"/>
  <c r="V71" i="14"/>
  <c r="W71" i="14"/>
  <c r="X71" i="14"/>
  <c r="Y71" i="14"/>
  <c r="Z71" i="14"/>
  <c r="T72" i="14"/>
  <c r="U72" i="14"/>
  <c r="V72" i="14"/>
  <c r="W72" i="14"/>
  <c r="X72" i="14"/>
  <c r="Y72" i="14"/>
  <c r="Z72" i="14"/>
  <c r="T73" i="14"/>
  <c r="U73" i="14"/>
  <c r="V73" i="14"/>
  <c r="W73" i="14"/>
  <c r="X73" i="14"/>
  <c r="Y73" i="14"/>
  <c r="Z73" i="14"/>
  <c r="T74" i="14"/>
  <c r="U74" i="14"/>
  <c r="V74" i="14"/>
  <c r="W74" i="14"/>
  <c r="X74" i="14"/>
  <c r="Y74" i="14"/>
  <c r="Z74" i="14"/>
  <c r="T75" i="14"/>
  <c r="U75" i="14"/>
  <c r="V75" i="14"/>
  <c r="W75" i="14"/>
  <c r="X75" i="14"/>
  <c r="Y75" i="14"/>
  <c r="Z75" i="14"/>
  <c r="T76" i="14"/>
  <c r="U76" i="14"/>
  <c r="V76" i="14"/>
  <c r="W76" i="14"/>
  <c r="X76" i="14"/>
  <c r="Y76" i="14"/>
  <c r="Z76" i="14"/>
  <c r="T77" i="14"/>
  <c r="U77" i="14"/>
  <c r="V77" i="14"/>
  <c r="W77" i="14"/>
  <c r="X77" i="14"/>
  <c r="Y77" i="14"/>
  <c r="Z77" i="14"/>
  <c r="U63" i="14"/>
  <c r="V63" i="14"/>
  <c r="W63" i="14"/>
  <c r="X63" i="14"/>
  <c r="Y63" i="14"/>
  <c r="Z63" i="14"/>
  <c r="T63" i="14"/>
  <c r="T45" i="14"/>
  <c r="U45" i="14"/>
  <c r="V45" i="14"/>
  <c r="W45" i="14"/>
  <c r="X45" i="14"/>
  <c r="Y45" i="14"/>
  <c r="Z45" i="14"/>
  <c r="T46" i="14"/>
  <c r="U46" i="14"/>
  <c r="V46" i="14"/>
  <c r="W46" i="14"/>
  <c r="X46" i="14"/>
  <c r="Y46" i="14"/>
  <c r="Z46" i="14"/>
  <c r="T47" i="14"/>
  <c r="U47" i="14"/>
  <c r="V47" i="14"/>
  <c r="W47" i="14"/>
  <c r="X47" i="14"/>
  <c r="Y47" i="14"/>
  <c r="Z47" i="14"/>
  <c r="T48" i="14"/>
  <c r="U48" i="14"/>
  <c r="V48" i="14"/>
  <c r="W48" i="14"/>
  <c r="X48" i="14"/>
  <c r="Y48" i="14"/>
  <c r="Z48" i="14"/>
  <c r="T49" i="14"/>
  <c r="U49" i="14"/>
  <c r="V49" i="14"/>
  <c r="W49" i="14"/>
  <c r="X49" i="14"/>
  <c r="Y49" i="14"/>
  <c r="Z49" i="14"/>
  <c r="T50" i="14"/>
  <c r="U50" i="14"/>
  <c r="V50" i="14"/>
  <c r="W50" i="14"/>
  <c r="X50" i="14"/>
  <c r="Y50" i="14"/>
  <c r="Z50" i="14"/>
  <c r="T51" i="14"/>
  <c r="U51" i="14"/>
  <c r="V51" i="14"/>
  <c r="W51" i="14"/>
  <c r="X51" i="14"/>
  <c r="Y51" i="14"/>
  <c r="Z51" i="14"/>
  <c r="T52" i="14"/>
  <c r="U52" i="14"/>
  <c r="V52" i="14"/>
  <c r="W52" i="14"/>
  <c r="X52" i="14"/>
  <c r="Y52" i="14"/>
  <c r="Z52" i="14"/>
  <c r="T53" i="14"/>
  <c r="U53" i="14"/>
  <c r="V53" i="14"/>
  <c r="W53" i="14"/>
  <c r="X53" i="14"/>
  <c r="Y53" i="14"/>
  <c r="Z53" i="14"/>
  <c r="T54" i="14"/>
  <c r="U54" i="14"/>
  <c r="V54" i="14"/>
  <c r="W54" i="14"/>
  <c r="X54" i="14"/>
  <c r="Y54" i="14"/>
  <c r="Z54" i="14"/>
  <c r="T55" i="14"/>
  <c r="U55" i="14"/>
  <c r="V55" i="14"/>
  <c r="W55" i="14"/>
  <c r="X55" i="14"/>
  <c r="Y55" i="14"/>
  <c r="Z55" i="14"/>
  <c r="T56" i="14"/>
  <c r="U56" i="14"/>
  <c r="V56" i="14"/>
  <c r="W56" i="14"/>
  <c r="X56" i="14"/>
  <c r="Y56" i="14"/>
  <c r="Z56" i="14"/>
  <c r="T57" i="14"/>
  <c r="U57" i="14"/>
  <c r="V57" i="14"/>
  <c r="W57" i="14"/>
  <c r="X57" i="14"/>
  <c r="Y57" i="14"/>
  <c r="Z57" i="14"/>
  <c r="T58" i="14"/>
  <c r="U58" i="14"/>
  <c r="V58" i="14"/>
  <c r="W58" i="14"/>
  <c r="X58" i="14"/>
  <c r="Y58" i="14"/>
  <c r="Z58" i="14"/>
  <c r="U44" i="14"/>
  <c r="V44" i="14"/>
  <c r="W44" i="14"/>
  <c r="X44" i="14"/>
  <c r="Y44" i="14"/>
  <c r="Z44" i="14"/>
  <c r="T44" i="14"/>
  <c r="T26" i="14"/>
  <c r="U26" i="14"/>
  <c r="V26" i="14"/>
  <c r="W26" i="14"/>
  <c r="X26" i="14"/>
  <c r="Y26" i="14"/>
  <c r="Z26" i="14"/>
  <c r="T27" i="14"/>
  <c r="U27" i="14"/>
  <c r="V27" i="14"/>
  <c r="W27" i="14"/>
  <c r="X27" i="14"/>
  <c r="Y27" i="14"/>
  <c r="Z27" i="14"/>
  <c r="T28" i="14"/>
  <c r="U28" i="14"/>
  <c r="V28" i="14"/>
  <c r="W28" i="14"/>
  <c r="X28" i="14"/>
  <c r="Y28" i="14"/>
  <c r="Z28" i="14"/>
  <c r="T29" i="14"/>
  <c r="U29" i="14"/>
  <c r="V29" i="14"/>
  <c r="W29" i="14"/>
  <c r="X29" i="14"/>
  <c r="Y29" i="14"/>
  <c r="Z29" i="14"/>
  <c r="T30" i="14"/>
  <c r="U30" i="14"/>
  <c r="V30" i="14"/>
  <c r="W30" i="14"/>
  <c r="X30" i="14"/>
  <c r="Y30" i="14"/>
  <c r="Z30" i="14"/>
  <c r="T31" i="14"/>
  <c r="U31" i="14"/>
  <c r="V31" i="14"/>
  <c r="W31" i="14"/>
  <c r="X31" i="14"/>
  <c r="Y31" i="14"/>
  <c r="Z31" i="14"/>
  <c r="T32" i="14"/>
  <c r="U32" i="14"/>
  <c r="V32" i="14"/>
  <c r="W32" i="14"/>
  <c r="X32" i="14"/>
  <c r="Y32" i="14"/>
  <c r="Z32" i="14"/>
  <c r="T33" i="14"/>
  <c r="U33" i="14"/>
  <c r="V33" i="14"/>
  <c r="W33" i="14"/>
  <c r="X33" i="14"/>
  <c r="Y33" i="14"/>
  <c r="Z33" i="14"/>
  <c r="T34" i="14"/>
  <c r="U34" i="14"/>
  <c r="V34" i="14"/>
  <c r="W34" i="14"/>
  <c r="X34" i="14"/>
  <c r="Y34" i="14"/>
  <c r="Z34" i="14"/>
  <c r="T35" i="14"/>
  <c r="U35" i="14"/>
  <c r="V35" i="14"/>
  <c r="W35" i="14"/>
  <c r="X35" i="14"/>
  <c r="Y35" i="14"/>
  <c r="Z35" i="14"/>
  <c r="T36" i="14"/>
  <c r="U36" i="14"/>
  <c r="V36" i="14"/>
  <c r="W36" i="14"/>
  <c r="X36" i="14"/>
  <c r="Y36" i="14"/>
  <c r="Z36" i="14"/>
  <c r="T37" i="14"/>
  <c r="U37" i="14"/>
  <c r="V37" i="14"/>
  <c r="W37" i="14"/>
  <c r="X37" i="14"/>
  <c r="Y37" i="14"/>
  <c r="Z37" i="14"/>
  <c r="T38" i="14"/>
  <c r="U38" i="14"/>
  <c r="V38" i="14"/>
  <c r="W38" i="14"/>
  <c r="X38" i="14"/>
  <c r="Y38" i="14"/>
  <c r="Z38" i="14"/>
  <c r="T39" i="14"/>
  <c r="U39" i="14"/>
  <c r="V39" i="14"/>
  <c r="W39" i="14"/>
  <c r="X39" i="14"/>
  <c r="Y39" i="14"/>
  <c r="Z39" i="14"/>
  <c r="U25" i="14"/>
  <c r="V25" i="14"/>
  <c r="W25" i="14"/>
  <c r="X25" i="14"/>
  <c r="Y25" i="14"/>
  <c r="Z25" i="14"/>
  <c r="T25" i="14"/>
  <c r="T7" i="14"/>
  <c r="U7" i="14"/>
  <c r="V7" i="14"/>
  <c r="W7" i="14"/>
  <c r="X7" i="14"/>
  <c r="Y7" i="14"/>
  <c r="Z7" i="14"/>
  <c r="T8" i="14"/>
  <c r="U8" i="14"/>
  <c r="V8" i="14"/>
  <c r="W8" i="14"/>
  <c r="X8" i="14"/>
  <c r="Y8" i="14"/>
  <c r="Z8" i="14"/>
  <c r="T9" i="14"/>
  <c r="U9" i="14"/>
  <c r="V9" i="14"/>
  <c r="W9" i="14"/>
  <c r="X9" i="14"/>
  <c r="Y9" i="14"/>
  <c r="Z9" i="14"/>
  <c r="T10" i="14"/>
  <c r="U10" i="14"/>
  <c r="V10" i="14"/>
  <c r="W10" i="14"/>
  <c r="X10" i="14"/>
  <c r="Y10" i="14"/>
  <c r="Z10" i="14"/>
  <c r="T11" i="14"/>
  <c r="U11" i="14"/>
  <c r="V11" i="14"/>
  <c r="W11" i="14"/>
  <c r="X11" i="14"/>
  <c r="Y11" i="14"/>
  <c r="Z11" i="14"/>
  <c r="T12" i="14"/>
  <c r="U12" i="14"/>
  <c r="V12" i="14"/>
  <c r="W12" i="14"/>
  <c r="X12" i="14"/>
  <c r="Y12" i="14"/>
  <c r="Z12" i="14"/>
  <c r="T13" i="14"/>
  <c r="U13" i="14"/>
  <c r="V13" i="14"/>
  <c r="W13" i="14"/>
  <c r="X13" i="14"/>
  <c r="Y13" i="14"/>
  <c r="Z13" i="14"/>
  <c r="T14" i="14"/>
  <c r="U14" i="14"/>
  <c r="V14" i="14"/>
  <c r="W14" i="14"/>
  <c r="X14" i="14"/>
  <c r="Y14" i="14"/>
  <c r="Z14" i="14"/>
  <c r="T15" i="14"/>
  <c r="U15" i="14"/>
  <c r="V15" i="14"/>
  <c r="W15" i="14"/>
  <c r="X15" i="14"/>
  <c r="Y15" i="14"/>
  <c r="Z15" i="14"/>
  <c r="T16" i="14"/>
  <c r="U16" i="14"/>
  <c r="V16" i="14"/>
  <c r="W16" i="14"/>
  <c r="X16" i="14"/>
  <c r="Y16" i="14"/>
  <c r="Z16" i="14"/>
  <c r="T17" i="14"/>
  <c r="U17" i="14"/>
  <c r="V17" i="14"/>
  <c r="W17" i="14"/>
  <c r="X17" i="14"/>
  <c r="Y17" i="14"/>
  <c r="Z17" i="14"/>
  <c r="T18" i="14"/>
  <c r="U18" i="14"/>
  <c r="V18" i="14"/>
  <c r="W18" i="14"/>
  <c r="X18" i="14"/>
  <c r="Y18" i="14"/>
  <c r="Z18" i="14"/>
  <c r="T19" i="14"/>
  <c r="U19" i="14"/>
  <c r="V19" i="14"/>
  <c r="W19" i="14"/>
  <c r="X19" i="14"/>
  <c r="Y19" i="14"/>
  <c r="Z19" i="14"/>
  <c r="T20" i="14"/>
  <c r="U20" i="14"/>
  <c r="V20" i="14"/>
  <c r="W20" i="14"/>
  <c r="X20" i="14"/>
  <c r="Y20" i="14"/>
  <c r="Z20" i="14"/>
  <c r="U6" i="14"/>
  <c r="V6" i="14"/>
  <c r="W6" i="14"/>
  <c r="X6" i="14"/>
  <c r="Y6" i="14"/>
  <c r="Z6" i="14"/>
  <c r="T6" i="14"/>
  <c r="K64" i="14"/>
  <c r="L64" i="14"/>
  <c r="M64" i="14"/>
  <c r="N64" i="14"/>
  <c r="O64" i="14"/>
  <c r="P64" i="14"/>
  <c r="Q64" i="14"/>
  <c r="K65" i="14"/>
  <c r="L65" i="14"/>
  <c r="M65" i="14"/>
  <c r="N65" i="14"/>
  <c r="O65" i="14"/>
  <c r="P65" i="14"/>
  <c r="Q65" i="14"/>
  <c r="K66" i="14"/>
  <c r="L66" i="14"/>
  <c r="M66" i="14"/>
  <c r="N66" i="14"/>
  <c r="O66" i="14"/>
  <c r="P66" i="14"/>
  <c r="Q66" i="14"/>
  <c r="K67" i="14"/>
  <c r="L67" i="14"/>
  <c r="M67" i="14"/>
  <c r="N67" i="14"/>
  <c r="O67" i="14"/>
  <c r="P67" i="14"/>
  <c r="Q67" i="14"/>
  <c r="K68" i="14"/>
  <c r="L68" i="14"/>
  <c r="M68" i="14"/>
  <c r="N68" i="14"/>
  <c r="O68" i="14"/>
  <c r="P68" i="14"/>
  <c r="Q68" i="14"/>
  <c r="K69" i="14"/>
  <c r="L69" i="14"/>
  <c r="M69" i="14"/>
  <c r="N69" i="14"/>
  <c r="O69" i="14"/>
  <c r="P69" i="14"/>
  <c r="Q69" i="14"/>
  <c r="K70" i="14"/>
  <c r="L70" i="14"/>
  <c r="M70" i="14"/>
  <c r="N70" i="14"/>
  <c r="O70" i="14"/>
  <c r="P70" i="14"/>
  <c r="Q70" i="14"/>
  <c r="K71" i="14"/>
  <c r="L71" i="14"/>
  <c r="M71" i="14"/>
  <c r="N71" i="14"/>
  <c r="O71" i="14"/>
  <c r="P71" i="14"/>
  <c r="Q71" i="14"/>
  <c r="K72" i="14"/>
  <c r="L72" i="14"/>
  <c r="M72" i="14"/>
  <c r="N72" i="14"/>
  <c r="O72" i="14"/>
  <c r="P72" i="14"/>
  <c r="Q72" i="14"/>
  <c r="K73" i="14"/>
  <c r="L73" i="14"/>
  <c r="M73" i="14"/>
  <c r="N73" i="14"/>
  <c r="O73" i="14"/>
  <c r="P73" i="14"/>
  <c r="Q73" i="14"/>
  <c r="K74" i="14"/>
  <c r="L74" i="14"/>
  <c r="M74" i="14"/>
  <c r="N74" i="14"/>
  <c r="O74" i="14"/>
  <c r="P74" i="14"/>
  <c r="Q74" i="14"/>
  <c r="K75" i="14"/>
  <c r="L75" i="14"/>
  <c r="M75" i="14"/>
  <c r="N75" i="14"/>
  <c r="O75" i="14"/>
  <c r="P75" i="14"/>
  <c r="Q75" i="14"/>
  <c r="K76" i="14"/>
  <c r="L76" i="14"/>
  <c r="M76" i="14"/>
  <c r="N76" i="14"/>
  <c r="O76" i="14"/>
  <c r="P76" i="14"/>
  <c r="Q76" i="14"/>
  <c r="K77" i="14"/>
  <c r="L77" i="14"/>
  <c r="M77" i="14"/>
  <c r="N77" i="14"/>
  <c r="O77" i="14"/>
  <c r="P77" i="14"/>
  <c r="Q77" i="14"/>
  <c r="L63" i="14"/>
  <c r="M63" i="14"/>
  <c r="N63" i="14"/>
  <c r="O63" i="14"/>
  <c r="P63" i="14"/>
  <c r="Q63" i="14"/>
  <c r="K63" i="14"/>
  <c r="K45" i="14"/>
  <c r="L45" i="14"/>
  <c r="M45" i="14"/>
  <c r="N45" i="14"/>
  <c r="O45" i="14"/>
  <c r="P45" i="14"/>
  <c r="Q45" i="14"/>
  <c r="K46" i="14"/>
  <c r="L46" i="14"/>
  <c r="M46" i="14"/>
  <c r="N46" i="14"/>
  <c r="O46" i="14"/>
  <c r="P46" i="14"/>
  <c r="Q46" i="14"/>
  <c r="K47" i="14"/>
  <c r="L47" i="14"/>
  <c r="M47" i="14"/>
  <c r="N47" i="14"/>
  <c r="O47" i="14"/>
  <c r="P47" i="14"/>
  <c r="Q47" i="14"/>
  <c r="K48" i="14"/>
  <c r="L48" i="14"/>
  <c r="M48" i="14"/>
  <c r="N48" i="14"/>
  <c r="O48" i="14"/>
  <c r="P48" i="14"/>
  <c r="Q48" i="14"/>
  <c r="K49" i="14"/>
  <c r="L49" i="14"/>
  <c r="M49" i="14"/>
  <c r="N49" i="14"/>
  <c r="O49" i="14"/>
  <c r="P49" i="14"/>
  <c r="Q49" i="14"/>
  <c r="K50" i="14"/>
  <c r="L50" i="14"/>
  <c r="M50" i="14"/>
  <c r="N50" i="14"/>
  <c r="O50" i="14"/>
  <c r="P50" i="14"/>
  <c r="Q50" i="14"/>
  <c r="K51" i="14"/>
  <c r="L51" i="14"/>
  <c r="M51" i="14"/>
  <c r="N51" i="14"/>
  <c r="O51" i="14"/>
  <c r="P51" i="14"/>
  <c r="Q51" i="14"/>
  <c r="K52" i="14"/>
  <c r="L52" i="14"/>
  <c r="M52" i="14"/>
  <c r="N52" i="14"/>
  <c r="O52" i="14"/>
  <c r="P52" i="14"/>
  <c r="Q52" i="14"/>
  <c r="K53" i="14"/>
  <c r="L53" i="14"/>
  <c r="M53" i="14"/>
  <c r="N53" i="14"/>
  <c r="O53" i="14"/>
  <c r="P53" i="14"/>
  <c r="Q53" i="14"/>
  <c r="K54" i="14"/>
  <c r="L54" i="14"/>
  <c r="M54" i="14"/>
  <c r="N54" i="14"/>
  <c r="O54" i="14"/>
  <c r="P54" i="14"/>
  <c r="Q54" i="14"/>
  <c r="K55" i="14"/>
  <c r="L55" i="14"/>
  <c r="M55" i="14"/>
  <c r="N55" i="14"/>
  <c r="O55" i="14"/>
  <c r="P55" i="14"/>
  <c r="Q55" i="14"/>
  <c r="K56" i="14"/>
  <c r="L56" i="14"/>
  <c r="M56" i="14"/>
  <c r="N56" i="14"/>
  <c r="O56" i="14"/>
  <c r="P56" i="14"/>
  <c r="Q56" i="14"/>
  <c r="K57" i="14"/>
  <c r="L57" i="14"/>
  <c r="M57" i="14"/>
  <c r="N57" i="14"/>
  <c r="O57" i="14"/>
  <c r="P57" i="14"/>
  <c r="Q57" i="14"/>
  <c r="K58" i="14"/>
  <c r="L58" i="14"/>
  <c r="M58" i="14"/>
  <c r="N58" i="14"/>
  <c r="O58" i="14"/>
  <c r="P58" i="14"/>
  <c r="Q58" i="14"/>
  <c r="L44" i="14"/>
  <c r="M44" i="14"/>
  <c r="N44" i="14"/>
  <c r="O44" i="14"/>
  <c r="P44" i="14"/>
  <c r="Q44" i="14"/>
  <c r="K44" i="14"/>
  <c r="K26" i="14"/>
  <c r="L26" i="14"/>
  <c r="M26" i="14"/>
  <c r="N26" i="14"/>
  <c r="O26" i="14"/>
  <c r="P26" i="14"/>
  <c r="Q26" i="14"/>
  <c r="K27" i="14"/>
  <c r="L27" i="14"/>
  <c r="M27" i="14"/>
  <c r="N27" i="14"/>
  <c r="O27" i="14"/>
  <c r="P27" i="14"/>
  <c r="Q27" i="14"/>
  <c r="K28" i="14"/>
  <c r="L28" i="14"/>
  <c r="M28" i="14"/>
  <c r="N28" i="14"/>
  <c r="O28" i="14"/>
  <c r="P28" i="14"/>
  <c r="Q28" i="14"/>
  <c r="K29" i="14"/>
  <c r="L29" i="14"/>
  <c r="M29" i="14"/>
  <c r="N29" i="14"/>
  <c r="O29" i="14"/>
  <c r="P29" i="14"/>
  <c r="Q29" i="14"/>
  <c r="K30" i="14"/>
  <c r="L30" i="14"/>
  <c r="M30" i="14"/>
  <c r="N30" i="14"/>
  <c r="O30" i="14"/>
  <c r="P30" i="14"/>
  <c r="Q30" i="14"/>
  <c r="K31" i="14"/>
  <c r="L31" i="14"/>
  <c r="M31" i="14"/>
  <c r="N31" i="14"/>
  <c r="O31" i="14"/>
  <c r="P31" i="14"/>
  <c r="Q31" i="14"/>
  <c r="K32" i="14"/>
  <c r="L32" i="14"/>
  <c r="M32" i="14"/>
  <c r="N32" i="14"/>
  <c r="O32" i="14"/>
  <c r="P32" i="14"/>
  <c r="Q32" i="14"/>
  <c r="K33" i="14"/>
  <c r="L33" i="14"/>
  <c r="M33" i="14"/>
  <c r="N33" i="14"/>
  <c r="O33" i="14"/>
  <c r="P33" i="14"/>
  <c r="Q33" i="14"/>
  <c r="K34" i="14"/>
  <c r="L34" i="14"/>
  <c r="M34" i="14"/>
  <c r="N34" i="14"/>
  <c r="O34" i="14"/>
  <c r="P34" i="14"/>
  <c r="Q34" i="14"/>
  <c r="K35" i="14"/>
  <c r="L35" i="14"/>
  <c r="M35" i="14"/>
  <c r="N35" i="14"/>
  <c r="O35" i="14"/>
  <c r="P35" i="14"/>
  <c r="Q35" i="14"/>
  <c r="K36" i="14"/>
  <c r="L36" i="14"/>
  <c r="M36" i="14"/>
  <c r="N36" i="14"/>
  <c r="O36" i="14"/>
  <c r="P36" i="14"/>
  <c r="Q36" i="14"/>
  <c r="K37" i="14"/>
  <c r="L37" i="14"/>
  <c r="M37" i="14"/>
  <c r="N37" i="14"/>
  <c r="O37" i="14"/>
  <c r="P37" i="14"/>
  <c r="Q37" i="14"/>
  <c r="K38" i="14"/>
  <c r="L38" i="14"/>
  <c r="M38" i="14"/>
  <c r="N38" i="14"/>
  <c r="O38" i="14"/>
  <c r="P38" i="14"/>
  <c r="Q38" i="14"/>
  <c r="K39" i="14"/>
  <c r="L39" i="14"/>
  <c r="M39" i="14"/>
  <c r="N39" i="14"/>
  <c r="O39" i="14"/>
  <c r="P39" i="14"/>
  <c r="Q39" i="14"/>
  <c r="L25" i="14"/>
  <c r="M25" i="14"/>
  <c r="N25" i="14"/>
  <c r="O25" i="14"/>
  <c r="P25" i="14"/>
  <c r="Q25" i="14"/>
  <c r="K25" i="14"/>
  <c r="K7" i="14"/>
  <c r="L7" i="14"/>
  <c r="M7" i="14"/>
  <c r="N7" i="14"/>
  <c r="O7" i="14"/>
  <c r="P7" i="14"/>
  <c r="Q7" i="14"/>
  <c r="K8" i="14"/>
  <c r="L8" i="14"/>
  <c r="M8" i="14"/>
  <c r="N8" i="14"/>
  <c r="O8" i="14"/>
  <c r="P8" i="14"/>
  <c r="Q8" i="14"/>
  <c r="K9" i="14"/>
  <c r="L9" i="14"/>
  <c r="M9" i="14"/>
  <c r="N9" i="14"/>
  <c r="O9" i="14"/>
  <c r="P9" i="14"/>
  <c r="Q9" i="14"/>
  <c r="K10" i="14"/>
  <c r="L10" i="14"/>
  <c r="M10" i="14"/>
  <c r="N10" i="14"/>
  <c r="O10" i="14"/>
  <c r="P10" i="14"/>
  <c r="Q10" i="14"/>
  <c r="K11" i="14"/>
  <c r="L11" i="14"/>
  <c r="M11" i="14"/>
  <c r="N11" i="14"/>
  <c r="O11" i="14"/>
  <c r="P11" i="14"/>
  <c r="Q11" i="14"/>
  <c r="K12" i="14"/>
  <c r="L12" i="14"/>
  <c r="M12" i="14"/>
  <c r="N12" i="14"/>
  <c r="O12" i="14"/>
  <c r="P12" i="14"/>
  <c r="Q12" i="14"/>
  <c r="K13" i="14"/>
  <c r="L13" i="14"/>
  <c r="M13" i="14"/>
  <c r="N13" i="14"/>
  <c r="O13" i="14"/>
  <c r="P13" i="14"/>
  <c r="Q13" i="14"/>
  <c r="K14" i="14"/>
  <c r="L14" i="14"/>
  <c r="M14" i="14"/>
  <c r="N14" i="14"/>
  <c r="O14" i="14"/>
  <c r="P14" i="14"/>
  <c r="Q14" i="14"/>
  <c r="K15" i="14"/>
  <c r="L15" i="14"/>
  <c r="M15" i="14"/>
  <c r="N15" i="14"/>
  <c r="O15" i="14"/>
  <c r="P15" i="14"/>
  <c r="Q15" i="14"/>
  <c r="K16" i="14"/>
  <c r="L16" i="14"/>
  <c r="M16" i="14"/>
  <c r="N16" i="14"/>
  <c r="O16" i="14"/>
  <c r="P16" i="14"/>
  <c r="Q16" i="14"/>
  <c r="K17" i="14"/>
  <c r="L17" i="14"/>
  <c r="M17" i="14"/>
  <c r="N17" i="14"/>
  <c r="O17" i="14"/>
  <c r="P17" i="14"/>
  <c r="Q17" i="14"/>
  <c r="K18" i="14"/>
  <c r="L18" i="14"/>
  <c r="M18" i="14"/>
  <c r="N18" i="14"/>
  <c r="O18" i="14"/>
  <c r="P18" i="14"/>
  <c r="Q18" i="14"/>
  <c r="K19" i="14"/>
  <c r="L19" i="14"/>
  <c r="M19" i="14"/>
  <c r="N19" i="14"/>
  <c r="O19" i="14"/>
  <c r="P19" i="14"/>
  <c r="Q19" i="14"/>
  <c r="K20" i="14"/>
  <c r="L20" i="14"/>
  <c r="M20" i="14"/>
  <c r="N20" i="14"/>
  <c r="O20" i="14"/>
  <c r="P20" i="14"/>
  <c r="Q20" i="14"/>
  <c r="L6" i="14"/>
  <c r="M6" i="14"/>
  <c r="N6" i="14"/>
  <c r="O6" i="14"/>
  <c r="P6" i="14"/>
  <c r="Q6" i="14"/>
  <c r="K6" i="14"/>
  <c r="B64" i="14"/>
  <c r="C64" i="14"/>
  <c r="D64" i="14"/>
  <c r="E64" i="14"/>
  <c r="F64" i="14"/>
  <c r="G64" i="14"/>
  <c r="H64" i="14"/>
  <c r="B65" i="14"/>
  <c r="C65" i="14"/>
  <c r="D65" i="14"/>
  <c r="E65" i="14"/>
  <c r="F65" i="14"/>
  <c r="G65" i="14"/>
  <c r="H65" i="14"/>
  <c r="B66" i="14"/>
  <c r="C66" i="14"/>
  <c r="D66" i="14"/>
  <c r="E66" i="14"/>
  <c r="F66" i="14"/>
  <c r="G66" i="14"/>
  <c r="H66" i="14"/>
  <c r="B67" i="14"/>
  <c r="C67" i="14"/>
  <c r="D67" i="14"/>
  <c r="E67" i="14"/>
  <c r="F67" i="14"/>
  <c r="G67" i="14"/>
  <c r="H67" i="14"/>
  <c r="B68" i="14"/>
  <c r="C68" i="14"/>
  <c r="D68" i="14"/>
  <c r="E68" i="14"/>
  <c r="F68" i="14"/>
  <c r="G68" i="14"/>
  <c r="H68" i="14"/>
  <c r="B69" i="14"/>
  <c r="C69" i="14"/>
  <c r="D69" i="14"/>
  <c r="E69" i="14"/>
  <c r="F69" i="14"/>
  <c r="G69" i="14"/>
  <c r="H69" i="14"/>
  <c r="B70" i="14"/>
  <c r="C70" i="14"/>
  <c r="D70" i="14"/>
  <c r="E70" i="14"/>
  <c r="F70" i="14"/>
  <c r="G70" i="14"/>
  <c r="H70" i="14"/>
  <c r="B71" i="14"/>
  <c r="C71" i="14"/>
  <c r="D71" i="14"/>
  <c r="E71" i="14"/>
  <c r="F71" i="14"/>
  <c r="G71" i="14"/>
  <c r="H71" i="14"/>
  <c r="B72" i="14"/>
  <c r="C72" i="14"/>
  <c r="D72" i="14"/>
  <c r="E72" i="14"/>
  <c r="F72" i="14"/>
  <c r="G72" i="14"/>
  <c r="H72" i="14"/>
  <c r="B73" i="14"/>
  <c r="C73" i="14"/>
  <c r="D73" i="14"/>
  <c r="E73" i="14"/>
  <c r="F73" i="14"/>
  <c r="G73" i="14"/>
  <c r="H73" i="14"/>
  <c r="B74" i="14"/>
  <c r="C74" i="14"/>
  <c r="D74" i="14"/>
  <c r="E74" i="14"/>
  <c r="F74" i="14"/>
  <c r="G74" i="14"/>
  <c r="H74" i="14"/>
  <c r="B75" i="14"/>
  <c r="C75" i="14"/>
  <c r="D75" i="14"/>
  <c r="E75" i="14"/>
  <c r="F75" i="14"/>
  <c r="G75" i="14"/>
  <c r="H75" i="14"/>
  <c r="B76" i="14"/>
  <c r="C76" i="14"/>
  <c r="D76" i="14"/>
  <c r="E76" i="14"/>
  <c r="F76" i="14"/>
  <c r="G76" i="14"/>
  <c r="H76" i="14"/>
  <c r="B77" i="14"/>
  <c r="C77" i="14"/>
  <c r="D77" i="14"/>
  <c r="E77" i="14"/>
  <c r="F77" i="14"/>
  <c r="G77" i="14"/>
  <c r="H77" i="14"/>
  <c r="C63" i="14"/>
  <c r="D63" i="14"/>
  <c r="E63" i="14"/>
  <c r="F63" i="14"/>
  <c r="G63" i="14"/>
  <c r="H63" i="14"/>
  <c r="B63" i="14"/>
  <c r="B45" i="14"/>
  <c r="C45" i="14"/>
  <c r="D45" i="14"/>
  <c r="E45" i="14"/>
  <c r="F45" i="14"/>
  <c r="G45" i="14"/>
  <c r="H45" i="14"/>
  <c r="B46" i="14"/>
  <c r="C46" i="14"/>
  <c r="D46" i="14"/>
  <c r="E46" i="14"/>
  <c r="F46" i="14"/>
  <c r="G46" i="14"/>
  <c r="H46" i="14"/>
  <c r="B47" i="14"/>
  <c r="C47" i="14"/>
  <c r="D47" i="14"/>
  <c r="E47" i="14"/>
  <c r="F47" i="14"/>
  <c r="G47" i="14"/>
  <c r="H47" i="14"/>
  <c r="B48" i="14"/>
  <c r="C48" i="14"/>
  <c r="D48" i="14"/>
  <c r="E48" i="14"/>
  <c r="F48" i="14"/>
  <c r="G48" i="14"/>
  <c r="H48" i="14"/>
  <c r="B49" i="14"/>
  <c r="C49" i="14"/>
  <c r="D49" i="14"/>
  <c r="E49" i="14"/>
  <c r="F49" i="14"/>
  <c r="G49" i="14"/>
  <c r="H49" i="14"/>
  <c r="B50" i="14"/>
  <c r="C50" i="14"/>
  <c r="D50" i="14"/>
  <c r="E50" i="14"/>
  <c r="F50" i="14"/>
  <c r="G50" i="14"/>
  <c r="H50" i="14"/>
  <c r="B51" i="14"/>
  <c r="C51" i="14"/>
  <c r="D51" i="14"/>
  <c r="E51" i="14"/>
  <c r="F51" i="14"/>
  <c r="G51" i="14"/>
  <c r="H51" i="14"/>
  <c r="B52" i="14"/>
  <c r="C52" i="14"/>
  <c r="D52" i="14"/>
  <c r="E52" i="14"/>
  <c r="F52" i="14"/>
  <c r="G52" i="14"/>
  <c r="H52" i="14"/>
  <c r="B53" i="14"/>
  <c r="C53" i="14"/>
  <c r="D53" i="14"/>
  <c r="E53" i="14"/>
  <c r="F53" i="14"/>
  <c r="G53" i="14"/>
  <c r="H53" i="14"/>
  <c r="B54" i="14"/>
  <c r="C54" i="14"/>
  <c r="D54" i="14"/>
  <c r="E54" i="14"/>
  <c r="F54" i="14"/>
  <c r="G54" i="14"/>
  <c r="H54" i="14"/>
  <c r="B55" i="14"/>
  <c r="C55" i="14"/>
  <c r="D55" i="14"/>
  <c r="E55" i="14"/>
  <c r="F55" i="14"/>
  <c r="G55" i="14"/>
  <c r="H55" i="14"/>
  <c r="B56" i="14"/>
  <c r="C56" i="14"/>
  <c r="D56" i="14"/>
  <c r="E56" i="14"/>
  <c r="F56" i="14"/>
  <c r="G56" i="14"/>
  <c r="H56" i="14"/>
  <c r="B57" i="14"/>
  <c r="C57" i="14"/>
  <c r="D57" i="14"/>
  <c r="E57" i="14"/>
  <c r="F57" i="14"/>
  <c r="G57" i="14"/>
  <c r="H57" i="14"/>
  <c r="B58" i="14"/>
  <c r="C58" i="14"/>
  <c r="D58" i="14"/>
  <c r="E58" i="14"/>
  <c r="F58" i="14"/>
  <c r="G58" i="14"/>
  <c r="H58" i="14"/>
  <c r="C44" i="14"/>
  <c r="D44" i="14"/>
  <c r="E44" i="14"/>
  <c r="F44" i="14"/>
  <c r="G44" i="14"/>
  <c r="H44" i="14"/>
  <c r="B44" i="14"/>
  <c r="B26" i="14"/>
  <c r="C26" i="14"/>
  <c r="D26" i="14"/>
  <c r="E26" i="14"/>
  <c r="F26" i="14"/>
  <c r="G26" i="14"/>
  <c r="H26" i="14"/>
  <c r="B27" i="14"/>
  <c r="C27" i="14"/>
  <c r="D27" i="14"/>
  <c r="E27" i="14"/>
  <c r="F27" i="14"/>
  <c r="G27" i="14"/>
  <c r="H27" i="14"/>
  <c r="B28" i="14"/>
  <c r="C28" i="14"/>
  <c r="D28" i="14"/>
  <c r="E28" i="14"/>
  <c r="F28" i="14"/>
  <c r="G28" i="14"/>
  <c r="H28" i="14"/>
  <c r="B29" i="14"/>
  <c r="C29" i="14"/>
  <c r="D29" i="14"/>
  <c r="E29" i="14"/>
  <c r="F29" i="14"/>
  <c r="G29" i="14"/>
  <c r="H29" i="14"/>
  <c r="B30" i="14"/>
  <c r="C30" i="14"/>
  <c r="D30" i="14"/>
  <c r="E30" i="14"/>
  <c r="F30" i="14"/>
  <c r="G30" i="14"/>
  <c r="H30" i="14"/>
  <c r="B31" i="14"/>
  <c r="C31" i="14"/>
  <c r="D31" i="14"/>
  <c r="E31" i="14"/>
  <c r="F31" i="14"/>
  <c r="G31" i="14"/>
  <c r="H31" i="14"/>
  <c r="B32" i="14"/>
  <c r="C32" i="14"/>
  <c r="D32" i="14"/>
  <c r="E32" i="14"/>
  <c r="F32" i="14"/>
  <c r="G32" i="14"/>
  <c r="H32" i="14"/>
  <c r="B33" i="14"/>
  <c r="C33" i="14"/>
  <c r="D33" i="14"/>
  <c r="E33" i="14"/>
  <c r="F33" i="14"/>
  <c r="G33" i="14"/>
  <c r="H33" i="14"/>
  <c r="B34" i="14"/>
  <c r="C34" i="14"/>
  <c r="D34" i="14"/>
  <c r="E34" i="14"/>
  <c r="F34" i="14"/>
  <c r="G34" i="14"/>
  <c r="H34" i="14"/>
  <c r="B35" i="14"/>
  <c r="C35" i="14"/>
  <c r="D35" i="14"/>
  <c r="E35" i="14"/>
  <c r="F35" i="14"/>
  <c r="G35" i="14"/>
  <c r="H35" i="14"/>
  <c r="B36" i="14"/>
  <c r="C36" i="14"/>
  <c r="D36" i="14"/>
  <c r="E36" i="14"/>
  <c r="F36" i="14"/>
  <c r="G36" i="14"/>
  <c r="H36" i="14"/>
  <c r="B37" i="14"/>
  <c r="C37" i="14"/>
  <c r="D37" i="14"/>
  <c r="E37" i="14"/>
  <c r="F37" i="14"/>
  <c r="G37" i="14"/>
  <c r="H37" i="14"/>
  <c r="B38" i="14"/>
  <c r="C38" i="14"/>
  <c r="D38" i="14"/>
  <c r="E38" i="14"/>
  <c r="F38" i="14"/>
  <c r="G38" i="14"/>
  <c r="H38" i="14"/>
  <c r="B39" i="14"/>
  <c r="C39" i="14"/>
  <c r="D39" i="14"/>
  <c r="E39" i="14"/>
  <c r="F39" i="14"/>
  <c r="G39" i="14"/>
  <c r="H39" i="14"/>
  <c r="C25" i="14"/>
  <c r="D25" i="14"/>
  <c r="E25" i="14"/>
  <c r="F25" i="14"/>
  <c r="G25" i="14"/>
  <c r="H25" i="14"/>
  <c r="B25" i="14"/>
  <c r="B7" i="14"/>
  <c r="C7" i="14"/>
  <c r="D7" i="14"/>
  <c r="E7" i="14"/>
  <c r="F7" i="14"/>
  <c r="G7" i="14"/>
  <c r="H7" i="14"/>
  <c r="B8" i="14"/>
  <c r="C8" i="14"/>
  <c r="D8" i="14"/>
  <c r="E8" i="14"/>
  <c r="F8" i="14"/>
  <c r="G8" i="14"/>
  <c r="H8" i="14"/>
  <c r="B9" i="14"/>
  <c r="C9" i="14"/>
  <c r="D9" i="14"/>
  <c r="E9" i="14"/>
  <c r="F9" i="14"/>
  <c r="G9" i="14"/>
  <c r="H9" i="14"/>
  <c r="B10" i="14"/>
  <c r="C10" i="14"/>
  <c r="D10" i="14"/>
  <c r="E10" i="14"/>
  <c r="F10" i="14"/>
  <c r="G10" i="14"/>
  <c r="H10" i="14"/>
  <c r="B11" i="14"/>
  <c r="C11" i="14"/>
  <c r="D11" i="14"/>
  <c r="E11" i="14"/>
  <c r="F11" i="14"/>
  <c r="G11" i="14"/>
  <c r="H11" i="14"/>
  <c r="B12" i="14"/>
  <c r="C12" i="14"/>
  <c r="D12" i="14"/>
  <c r="E12" i="14"/>
  <c r="F12" i="14"/>
  <c r="G12" i="14"/>
  <c r="H12" i="14"/>
  <c r="B13" i="14"/>
  <c r="C13" i="14"/>
  <c r="D13" i="14"/>
  <c r="E13" i="14"/>
  <c r="F13" i="14"/>
  <c r="G13" i="14"/>
  <c r="H13" i="14"/>
  <c r="B14" i="14"/>
  <c r="C14" i="14"/>
  <c r="D14" i="14"/>
  <c r="E14" i="14"/>
  <c r="F14" i="14"/>
  <c r="G14" i="14"/>
  <c r="H14" i="14"/>
  <c r="B15" i="14"/>
  <c r="C15" i="14"/>
  <c r="D15" i="14"/>
  <c r="E15" i="14"/>
  <c r="F15" i="14"/>
  <c r="G15" i="14"/>
  <c r="H15" i="14"/>
  <c r="B16" i="14"/>
  <c r="C16" i="14"/>
  <c r="D16" i="14"/>
  <c r="E16" i="14"/>
  <c r="F16" i="14"/>
  <c r="G16" i="14"/>
  <c r="H16" i="14"/>
  <c r="B17" i="14"/>
  <c r="C17" i="14"/>
  <c r="D17" i="14"/>
  <c r="E17" i="14"/>
  <c r="F17" i="14"/>
  <c r="G17" i="14"/>
  <c r="H17" i="14"/>
  <c r="B18" i="14"/>
  <c r="C18" i="14"/>
  <c r="D18" i="14"/>
  <c r="E18" i="14"/>
  <c r="F18" i="14"/>
  <c r="G18" i="14"/>
  <c r="H18" i="14"/>
  <c r="B19" i="14"/>
  <c r="C19" i="14"/>
  <c r="D19" i="14"/>
  <c r="E19" i="14"/>
  <c r="F19" i="14"/>
  <c r="G19" i="14"/>
  <c r="H19" i="14"/>
  <c r="B20" i="14"/>
  <c r="C20" i="14"/>
  <c r="D20" i="14"/>
  <c r="E20" i="14"/>
  <c r="F20" i="14"/>
  <c r="G20" i="14"/>
  <c r="H20" i="14"/>
  <c r="C6" i="14"/>
  <c r="D6" i="14"/>
  <c r="E6" i="14"/>
  <c r="F6" i="14"/>
  <c r="G6" i="14"/>
  <c r="H6" i="14"/>
  <c r="B6" i="14"/>
  <c r="AU64" i="15"/>
  <c r="AV64" i="15"/>
  <c r="AW64" i="15"/>
  <c r="AX64" i="15"/>
  <c r="AY64" i="15"/>
  <c r="AZ64" i="15"/>
  <c r="BA64" i="15"/>
  <c r="AU65" i="15"/>
  <c r="AV65" i="15"/>
  <c r="AW65" i="15"/>
  <c r="AX65" i="15"/>
  <c r="AY65" i="15"/>
  <c r="AZ65" i="15"/>
  <c r="BA65" i="15"/>
  <c r="AU66" i="15"/>
  <c r="AV66" i="15"/>
  <c r="AW66" i="15"/>
  <c r="AX66" i="15"/>
  <c r="AY66" i="15"/>
  <c r="AZ66" i="15"/>
  <c r="BA66" i="15"/>
  <c r="AU67" i="15"/>
  <c r="AV67" i="15"/>
  <c r="AW67" i="15"/>
  <c r="AX67" i="15"/>
  <c r="AY67" i="15"/>
  <c r="AZ67" i="15"/>
  <c r="BA67" i="15"/>
  <c r="AU68" i="15"/>
  <c r="AV68" i="15"/>
  <c r="AW68" i="15"/>
  <c r="AX68" i="15"/>
  <c r="AY68" i="15"/>
  <c r="AZ68" i="15"/>
  <c r="BA68" i="15"/>
  <c r="AU69" i="15"/>
  <c r="AV69" i="15"/>
  <c r="AW69" i="15"/>
  <c r="AX69" i="15"/>
  <c r="AY69" i="15"/>
  <c r="AZ69" i="15"/>
  <c r="BA69" i="15"/>
  <c r="AU70" i="15"/>
  <c r="AV70" i="15"/>
  <c r="AW70" i="15"/>
  <c r="AX70" i="15"/>
  <c r="AY70" i="15"/>
  <c r="AZ70" i="15"/>
  <c r="BA70" i="15"/>
  <c r="AU71" i="15"/>
  <c r="AV71" i="15"/>
  <c r="AW71" i="15"/>
  <c r="AX71" i="15"/>
  <c r="AY71" i="15"/>
  <c r="AZ71" i="15"/>
  <c r="BA71" i="15"/>
  <c r="AU72" i="15"/>
  <c r="AV72" i="15"/>
  <c r="AW72" i="15"/>
  <c r="AX72" i="15"/>
  <c r="AY72" i="15"/>
  <c r="AZ72" i="15"/>
  <c r="BA72" i="15"/>
  <c r="AU73" i="15"/>
  <c r="AV73" i="15"/>
  <c r="AW73" i="15"/>
  <c r="AX73" i="15"/>
  <c r="AY73" i="15"/>
  <c r="AZ73" i="15"/>
  <c r="BA73" i="15"/>
  <c r="AU74" i="15"/>
  <c r="AV74" i="15"/>
  <c r="AW74" i="15"/>
  <c r="AX74" i="15"/>
  <c r="AY74" i="15"/>
  <c r="AZ74" i="15"/>
  <c r="BA74" i="15"/>
  <c r="AU75" i="15"/>
  <c r="AV75" i="15"/>
  <c r="AW75" i="15"/>
  <c r="AX75" i="15"/>
  <c r="AY75" i="15"/>
  <c r="AZ75" i="15"/>
  <c r="BA75" i="15"/>
  <c r="AU76" i="15"/>
  <c r="AV76" i="15"/>
  <c r="AW76" i="15"/>
  <c r="AX76" i="15"/>
  <c r="AY76" i="15"/>
  <c r="AZ76" i="15"/>
  <c r="BA76" i="15"/>
  <c r="AU77" i="15"/>
  <c r="AV77" i="15"/>
  <c r="AW77" i="15"/>
  <c r="AX77" i="15"/>
  <c r="AY77" i="15"/>
  <c r="AZ77" i="15"/>
  <c r="BA77" i="15"/>
  <c r="AV63" i="15"/>
  <c r="AW63" i="15"/>
  <c r="AX63" i="15"/>
  <c r="AY63" i="15"/>
  <c r="AZ63" i="15"/>
  <c r="BA63" i="15"/>
  <c r="AU63" i="15"/>
  <c r="AU45" i="15"/>
  <c r="AV45" i="15"/>
  <c r="AW45" i="15"/>
  <c r="AX45" i="15"/>
  <c r="AY45" i="15"/>
  <c r="AZ45" i="15"/>
  <c r="BA45" i="15"/>
  <c r="AU46" i="15"/>
  <c r="AV46" i="15"/>
  <c r="AW46" i="15"/>
  <c r="AX46" i="15"/>
  <c r="AY46" i="15"/>
  <c r="AZ46" i="15"/>
  <c r="BA46" i="15"/>
  <c r="AU47" i="15"/>
  <c r="AV47" i="15"/>
  <c r="AW47" i="15"/>
  <c r="AX47" i="15"/>
  <c r="AY47" i="15"/>
  <c r="AZ47" i="15"/>
  <c r="BA47" i="15"/>
  <c r="AU48" i="15"/>
  <c r="AV48" i="15"/>
  <c r="AW48" i="15"/>
  <c r="AX48" i="15"/>
  <c r="AY48" i="15"/>
  <c r="AZ48" i="15"/>
  <c r="BA48" i="15"/>
  <c r="AU49" i="15"/>
  <c r="AV49" i="15"/>
  <c r="AW49" i="15"/>
  <c r="AX49" i="15"/>
  <c r="AY49" i="15"/>
  <c r="AZ49" i="15"/>
  <c r="BA49" i="15"/>
  <c r="AU50" i="15"/>
  <c r="AV50" i="15"/>
  <c r="AW50" i="15"/>
  <c r="AX50" i="15"/>
  <c r="AY50" i="15"/>
  <c r="AZ50" i="15"/>
  <c r="BA50" i="15"/>
  <c r="AU51" i="15"/>
  <c r="AV51" i="15"/>
  <c r="AW51" i="15"/>
  <c r="AX51" i="15"/>
  <c r="AY51" i="15"/>
  <c r="AZ51" i="15"/>
  <c r="BA51" i="15"/>
  <c r="AU52" i="15"/>
  <c r="AV52" i="15"/>
  <c r="AW52" i="15"/>
  <c r="AX52" i="15"/>
  <c r="AY52" i="15"/>
  <c r="AZ52" i="15"/>
  <c r="BA52" i="15"/>
  <c r="AU53" i="15"/>
  <c r="AV53" i="15"/>
  <c r="AW53" i="15"/>
  <c r="AX53" i="15"/>
  <c r="AY53" i="15"/>
  <c r="AZ53" i="15"/>
  <c r="BA53" i="15"/>
  <c r="AU54" i="15"/>
  <c r="AV54" i="15"/>
  <c r="AW54" i="15"/>
  <c r="AX54" i="15"/>
  <c r="AY54" i="15"/>
  <c r="AZ54" i="15"/>
  <c r="BA54" i="15"/>
  <c r="AU55" i="15"/>
  <c r="AV55" i="15"/>
  <c r="AW55" i="15"/>
  <c r="AX55" i="15"/>
  <c r="AY55" i="15"/>
  <c r="AZ55" i="15"/>
  <c r="BA55" i="15"/>
  <c r="AU56" i="15"/>
  <c r="AV56" i="15"/>
  <c r="AW56" i="15"/>
  <c r="AX56" i="15"/>
  <c r="AY56" i="15"/>
  <c r="AZ56" i="15"/>
  <c r="BA56" i="15"/>
  <c r="AU57" i="15"/>
  <c r="AV57" i="15"/>
  <c r="AW57" i="15"/>
  <c r="AX57" i="15"/>
  <c r="AY57" i="15"/>
  <c r="AZ57" i="15"/>
  <c r="BA57" i="15"/>
  <c r="AU58" i="15"/>
  <c r="AV58" i="15"/>
  <c r="AW58" i="15"/>
  <c r="AX58" i="15"/>
  <c r="AY58" i="15"/>
  <c r="AZ58" i="15"/>
  <c r="BA58" i="15"/>
  <c r="AV44" i="15"/>
  <c r="AW44" i="15"/>
  <c r="AX44" i="15"/>
  <c r="AY44" i="15"/>
  <c r="AZ44" i="15"/>
  <c r="BA44" i="15"/>
  <c r="AU44" i="15"/>
  <c r="AU26" i="15"/>
  <c r="AV26" i="15"/>
  <c r="AW26" i="15"/>
  <c r="AX26" i="15"/>
  <c r="AY26" i="15"/>
  <c r="AZ26" i="15"/>
  <c r="BA26" i="15"/>
  <c r="AU27" i="15"/>
  <c r="AV27" i="15"/>
  <c r="AW27" i="15"/>
  <c r="AX27" i="15"/>
  <c r="AY27" i="15"/>
  <c r="AZ27" i="15"/>
  <c r="BA27" i="15"/>
  <c r="AU28" i="15"/>
  <c r="AV28" i="15"/>
  <c r="AW28" i="15"/>
  <c r="AX28" i="15"/>
  <c r="AY28" i="15"/>
  <c r="AZ28" i="15"/>
  <c r="BA28" i="15"/>
  <c r="AU29" i="15"/>
  <c r="AV29" i="15"/>
  <c r="AW29" i="15"/>
  <c r="AX29" i="15"/>
  <c r="AY29" i="15"/>
  <c r="AZ29" i="15"/>
  <c r="BA29" i="15"/>
  <c r="AU30" i="15"/>
  <c r="AV30" i="15"/>
  <c r="AW30" i="15"/>
  <c r="AX30" i="15"/>
  <c r="AY30" i="15"/>
  <c r="AZ30" i="15"/>
  <c r="BA30" i="15"/>
  <c r="AU31" i="15"/>
  <c r="AV31" i="15"/>
  <c r="AW31" i="15"/>
  <c r="AX31" i="15"/>
  <c r="AY31" i="15"/>
  <c r="AZ31" i="15"/>
  <c r="BA31" i="15"/>
  <c r="AU32" i="15"/>
  <c r="AV32" i="15"/>
  <c r="AW32" i="15"/>
  <c r="AX32" i="15"/>
  <c r="AY32" i="15"/>
  <c r="AZ32" i="15"/>
  <c r="BA32" i="15"/>
  <c r="AU33" i="15"/>
  <c r="AV33" i="15"/>
  <c r="AW33" i="15"/>
  <c r="AX33" i="15"/>
  <c r="AY33" i="15"/>
  <c r="AZ33" i="15"/>
  <c r="BA33" i="15"/>
  <c r="AU34" i="15"/>
  <c r="AV34" i="15"/>
  <c r="AW34" i="15"/>
  <c r="AX34" i="15"/>
  <c r="AY34" i="15"/>
  <c r="AZ34" i="15"/>
  <c r="BA34" i="15"/>
  <c r="AU35" i="15"/>
  <c r="AV35" i="15"/>
  <c r="AW35" i="15"/>
  <c r="AX35" i="15"/>
  <c r="AY35" i="15"/>
  <c r="AZ35" i="15"/>
  <c r="BA35" i="15"/>
  <c r="AU36" i="15"/>
  <c r="AV36" i="15"/>
  <c r="AW36" i="15"/>
  <c r="AX36" i="15"/>
  <c r="AY36" i="15"/>
  <c r="AZ36" i="15"/>
  <c r="BA36" i="15"/>
  <c r="AU37" i="15"/>
  <c r="AV37" i="15"/>
  <c r="AW37" i="15"/>
  <c r="AX37" i="15"/>
  <c r="AY37" i="15"/>
  <c r="AZ37" i="15"/>
  <c r="BA37" i="15"/>
  <c r="AU38" i="15"/>
  <c r="AV38" i="15"/>
  <c r="AW38" i="15"/>
  <c r="AX38" i="15"/>
  <c r="AY38" i="15"/>
  <c r="AZ38" i="15"/>
  <c r="BA38" i="15"/>
  <c r="AU39" i="15"/>
  <c r="AV39" i="15"/>
  <c r="AW39" i="15"/>
  <c r="AX39" i="15"/>
  <c r="AY39" i="15"/>
  <c r="AZ39" i="15"/>
  <c r="BA39" i="15"/>
  <c r="AV25" i="15"/>
  <c r="AW25" i="15"/>
  <c r="AX25" i="15"/>
  <c r="AY25" i="15"/>
  <c r="AZ25" i="15"/>
  <c r="BA25" i="15"/>
  <c r="AU25" i="15"/>
  <c r="AU7" i="15"/>
  <c r="AV7" i="15"/>
  <c r="AW7" i="15"/>
  <c r="AX7" i="15"/>
  <c r="AY7" i="15"/>
  <c r="AZ7" i="15"/>
  <c r="BA7" i="15"/>
  <c r="AU8" i="15"/>
  <c r="AV8" i="15"/>
  <c r="AW8" i="15"/>
  <c r="AX8" i="15"/>
  <c r="AY8" i="15"/>
  <c r="AZ8" i="15"/>
  <c r="BA8" i="15"/>
  <c r="AU9" i="15"/>
  <c r="AV9" i="15"/>
  <c r="AW9" i="15"/>
  <c r="AX9" i="15"/>
  <c r="AY9" i="15"/>
  <c r="AZ9" i="15"/>
  <c r="BA9" i="15"/>
  <c r="AU10" i="15"/>
  <c r="AV10" i="15"/>
  <c r="AW10" i="15"/>
  <c r="AX10" i="15"/>
  <c r="AY10" i="15"/>
  <c r="AZ10" i="15"/>
  <c r="BA10" i="15"/>
  <c r="AU11" i="15"/>
  <c r="AV11" i="15"/>
  <c r="AW11" i="15"/>
  <c r="AX11" i="15"/>
  <c r="AY11" i="15"/>
  <c r="AZ11" i="15"/>
  <c r="BA11" i="15"/>
  <c r="AU12" i="15"/>
  <c r="AV12" i="15"/>
  <c r="AW12" i="15"/>
  <c r="AX12" i="15"/>
  <c r="AY12" i="15"/>
  <c r="AZ12" i="15"/>
  <c r="BA12" i="15"/>
  <c r="AU13" i="15"/>
  <c r="AV13" i="15"/>
  <c r="AW13" i="15"/>
  <c r="AX13" i="15"/>
  <c r="AY13" i="15"/>
  <c r="AZ13" i="15"/>
  <c r="BA13" i="15"/>
  <c r="AU14" i="15"/>
  <c r="AV14" i="15"/>
  <c r="AW14" i="15"/>
  <c r="AX14" i="15"/>
  <c r="AY14" i="15"/>
  <c r="AZ14" i="15"/>
  <c r="BA14" i="15"/>
  <c r="AU15" i="15"/>
  <c r="AV15" i="15"/>
  <c r="AW15" i="15"/>
  <c r="AX15" i="15"/>
  <c r="AY15" i="15"/>
  <c r="AZ15" i="15"/>
  <c r="BA15" i="15"/>
  <c r="AU16" i="15"/>
  <c r="AV16" i="15"/>
  <c r="AW16" i="15"/>
  <c r="AX16" i="15"/>
  <c r="AY16" i="15"/>
  <c r="AZ16" i="15"/>
  <c r="BA16" i="15"/>
  <c r="AU17" i="15"/>
  <c r="AV17" i="15"/>
  <c r="AW17" i="15"/>
  <c r="AX17" i="15"/>
  <c r="AY17" i="15"/>
  <c r="AZ17" i="15"/>
  <c r="BA17" i="15"/>
  <c r="AU18" i="15"/>
  <c r="AV18" i="15"/>
  <c r="AW18" i="15"/>
  <c r="AX18" i="15"/>
  <c r="AY18" i="15"/>
  <c r="AZ18" i="15"/>
  <c r="BA18" i="15"/>
  <c r="AU19" i="15"/>
  <c r="AV19" i="15"/>
  <c r="AW19" i="15"/>
  <c r="AX19" i="15"/>
  <c r="AY19" i="15"/>
  <c r="AZ19" i="15"/>
  <c r="BA19" i="15"/>
  <c r="AU20" i="15"/>
  <c r="AV20" i="15"/>
  <c r="AW20" i="15"/>
  <c r="AX20" i="15"/>
  <c r="AY20" i="15"/>
  <c r="AZ20" i="15"/>
  <c r="BA20" i="15"/>
  <c r="AV6" i="15"/>
  <c r="AW6" i="15"/>
  <c r="AX6" i="15"/>
  <c r="AY6" i="15"/>
  <c r="AZ6" i="15"/>
  <c r="BA6" i="15"/>
  <c r="AU6" i="15"/>
  <c r="AL64" i="15"/>
  <c r="AM64" i="15"/>
  <c r="AN64" i="15"/>
  <c r="AO64" i="15"/>
  <c r="AP64" i="15"/>
  <c r="AQ64" i="15"/>
  <c r="AR64" i="15"/>
  <c r="AL65" i="15"/>
  <c r="AM65" i="15"/>
  <c r="AN65" i="15"/>
  <c r="AO65" i="15"/>
  <c r="AP65" i="15"/>
  <c r="AQ65" i="15"/>
  <c r="AR65" i="15"/>
  <c r="AL66" i="15"/>
  <c r="AM66" i="15"/>
  <c r="AN66" i="15"/>
  <c r="AO66" i="15"/>
  <c r="AP66" i="15"/>
  <c r="AQ66" i="15"/>
  <c r="AR66" i="15"/>
  <c r="AL67" i="15"/>
  <c r="AM67" i="15"/>
  <c r="AN67" i="15"/>
  <c r="AO67" i="15"/>
  <c r="AP67" i="15"/>
  <c r="AQ67" i="15"/>
  <c r="AR67" i="15"/>
  <c r="AL68" i="15"/>
  <c r="AM68" i="15"/>
  <c r="AN68" i="15"/>
  <c r="AO68" i="15"/>
  <c r="AP68" i="15"/>
  <c r="AQ68" i="15"/>
  <c r="AR68" i="15"/>
  <c r="AL69" i="15"/>
  <c r="AM69" i="15"/>
  <c r="AN69" i="15"/>
  <c r="AO69" i="15"/>
  <c r="AP69" i="15"/>
  <c r="AQ69" i="15"/>
  <c r="AR69" i="15"/>
  <c r="AL70" i="15"/>
  <c r="AM70" i="15"/>
  <c r="AN70" i="15"/>
  <c r="AO70" i="15"/>
  <c r="AP70" i="15"/>
  <c r="AQ70" i="15"/>
  <c r="AR70" i="15"/>
  <c r="AL71" i="15"/>
  <c r="AM71" i="15"/>
  <c r="AN71" i="15"/>
  <c r="AO71" i="15"/>
  <c r="AP71" i="15"/>
  <c r="AQ71" i="15"/>
  <c r="AR71" i="15"/>
  <c r="AL72" i="15"/>
  <c r="AM72" i="15"/>
  <c r="AN72" i="15"/>
  <c r="AO72" i="15"/>
  <c r="AP72" i="15"/>
  <c r="AQ72" i="15"/>
  <c r="AR72" i="15"/>
  <c r="AL73" i="15"/>
  <c r="AM73" i="15"/>
  <c r="AN73" i="15"/>
  <c r="AO73" i="15"/>
  <c r="AP73" i="15"/>
  <c r="AQ73" i="15"/>
  <c r="AR73" i="15"/>
  <c r="AL74" i="15"/>
  <c r="AM74" i="15"/>
  <c r="AN74" i="15"/>
  <c r="AO74" i="15"/>
  <c r="AP74" i="15"/>
  <c r="AQ74" i="15"/>
  <c r="AR74" i="15"/>
  <c r="AL75" i="15"/>
  <c r="AM75" i="15"/>
  <c r="AN75" i="15"/>
  <c r="AO75" i="15"/>
  <c r="AP75" i="15"/>
  <c r="AQ75" i="15"/>
  <c r="AR75" i="15"/>
  <c r="AL76" i="15"/>
  <c r="AM76" i="15"/>
  <c r="AN76" i="15"/>
  <c r="AO76" i="15"/>
  <c r="AP76" i="15"/>
  <c r="AQ76" i="15"/>
  <c r="AR76" i="15"/>
  <c r="AL77" i="15"/>
  <c r="AM77" i="15"/>
  <c r="AN77" i="15"/>
  <c r="AO77" i="15"/>
  <c r="AP77" i="15"/>
  <c r="AQ77" i="15"/>
  <c r="AR77" i="15"/>
  <c r="AM63" i="15"/>
  <c r="AN63" i="15"/>
  <c r="AO63" i="15"/>
  <c r="AP63" i="15"/>
  <c r="AQ63" i="15"/>
  <c r="AR63" i="15"/>
  <c r="AL63" i="15"/>
  <c r="AL45" i="15"/>
  <c r="AM45" i="15"/>
  <c r="AN45" i="15"/>
  <c r="AO45" i="15"/>
  <c r="AP45" i="15"/>
  <c r="AQ45" i="15"/>
  <c r="AR45" i="15"/>
  <c r="AL46" i="15"/>
  <c r="AM46" i="15"/>
  <c r="AN46" i="15"/>
  <c r="AO46" i="15"/>
  <c r="AP46" i="15"/>
  <c r="AQ46" i="15"/>
  <c r="AR46" i="15"/>
  <c r="AL47" i="15"/>
  <c r="AM47" i="15"/>
  <c r="AN47" i="15"/>
  <c r="AO47" i="15"/>
  <c r="AP47" i="15"/>
  <c r="AQ47" i="15"/>
  <c r="AR47" i="15"/>
  <c r="AL48" i="15"/>
  <c r="AM48" i="15"/>
  <c r="AN48" i="15"/>
  <c r="AO48" i="15"/>
  <c r="AP48" i="15"/>
  <c r="AQ48" i="15"/>
  <c r="AR48" i="15"/>
  <c r="AL49" i="15"/>
  <c r="AM49" i="15"/>
  <c r="AN49" i="15"/>
  <c r="AO49" i="15"/>
  <c r="AP49" i="15"/>
  <c r="AQ49" i="15"/>
  <c r="AR49" i="15"/>
  <c r="AL50" i="15"/>
  <c r="AM50" i="15"/>
  <c r="AN50" i="15"/>
  <c r="AO50" i="15"/>
  <c r="AP50" i="15"/>
  <c r="AQ50" i="15"/>
  <c r="AR50" i="15"/>
  <c r="AL51" i="15"/>
  <c r="AM51" i="15"/>
  <c r="AN51" i="15"/>
  <c r="AO51" i="15"/>
  <c r="AP51" i="15"/>
  <c r="AQ51" i="15"/>
  <c r="AR51" i="15"/>
  <c r="AL52" i="15"/>
  <c r="AM52" i="15"/>
  <c r="AN52" i="15"/>
  <c r="AO52" i="15"/>
  <c r="AP52" i="15"/>
  <c r="AQ52" i="15"/>
  <c r="AR52" i="15"/>
  <c r="AL53" i="15"/>
  <c r="AM53" i="15"/>
  <c r="AN53" i="15"/>
  <c r="AO53" i="15"/>
  <c r="AP53" i="15"/>
  <c r="AQ53" i="15"/>
  <c r="AR53" i="15"/>
  <c r="AL54" i="15"/>
  <c r="AM54" i="15"/>
  <c r="AN54" i="15"/>
  <c r="AO54" i="15"/>
  <c r="AP54" i="15"/>
  <c r="AQ54" i="15"/>
  <c r="AR54" i="15"/>
  <c r="AL55" i="15"/>
  <c r="AM55" i="15"/>
  <c r="AN55" i="15"/>
  <c r="AO55" i="15"/>
  <c r="AP55" i="15"/>
  <c r="AQ55" i="15"/>
  <c r="AR55" i="15"/>
  <c r="AL56" i="15"/>
  <c r="AM56" i="15"/>
  <c r="AN56" i="15"/>
  <c r="AO56" i="15"/>
  <c r="AP56" i="15"/>
  <c r="AQ56" i="15"/>
  <c r="AR56" i="15"/>
  <c r="AL57" i="15"/>
  <c r="AM57" i="15"/>
  <c r="AN57" i="15"/>
  <c r="AO57" i="15"/>
  <c r="AP57" i="15"/>
  <c r="AQ57" i="15"/>
  <c r="AR57" i="15"/>
  <c r="AL58" i="15"/>
  <c r="AM58" i="15"/>
  <c r="AN58" i="15"/>
  <c r="AO58" i="15"/>
  <c r="AP58" i="15"/>
  <c r="AQ58" i="15"/>
  <c r="AR58" i="15"/>
  <c r="AM44" i="15"/>
  <c r="AN44" i="15"/>
  <c r="AO44" i="15"/>
  <c r="AP44" i="15"/>
  <c r="AQ44" i="15"/>
  <c r="AR44" i="15"/>
  <c r="AL44" i="15"/>
  <c r="AL26" i="15"/>
  <c r="AM26" i="15"/>
  <c r="AN26" i="15"/>
  <c r="AO26" i="15"/>
  <c r="AP26" i="15"/>
  <c r="AQ26" i="15"/>
  <c r="AR26" i="15"/>
  <c r="AL27" i="15"/>
  <c r="AM27" i="15"/>
  <c r="AN27" i="15"/>
  <c r="AO27" i="15"/>
  <c r="AP27" i="15"/>
  <c r="AQ27" i="15"/>
  <c r="AR27" i="15"/>
  <c r="AL28" i="15"/>
  <c r="AM28" i="15"/>
  <c r="AN28" i="15"/>
  <c r="AO28" i="15"/>
  <c r="AP28" i="15"/>
  <c r="AQ28" i="15"/>
  <c r="AR28" i="15"/>
  <c r="AL29" i="15"/>
  <c r="AM29" i="15"/>
  <c r="AN29" i="15"/>
  <c r="AO29" i="15"/>
  <c r="AP29" i="15"/>
  <c r="AQ29" i="15"/>
  <c r="AR29" i="15"/>
  <c r="AL30" i="15"/>
  <c r="AM30" i="15"/>
  <c r="AN30" i="15"/>
  <c r="AO30" i="15"/>
  <c r="AP30" i="15"/>
  <c r="AQ30" i="15"/>
  <c r="AR30" i="15"/>
  <c r="AL31" i="15"/>
  <c r="AM31" i="15"/>
  <c r="AN31" i="15"/>
  <c r="AO31" i="15"/>
  <c r="AP31" i="15"/>
  <c r="AQ31" i="15"/>
  <c r="AR31" i="15"/>
  <c r="AL32" i="15"/>
  <c r="AM32" i="15"/>
  <c r="AN32" i="15"/>
  <c r="AO32" i="15"/>
  <c r="AP32" i="15"/>
  <c r="AQ32" i="15"/>
  <c r="AR32" i="15"/>
  <c r="AL33" i="15"/>
  <c r="AM33" i="15"/>
  <c r="AN33" i="15"/>
  <c r="AO33" i="15"/>
  <c r="AP33" i="15"/>
  <c r="AQ33" i="15"/>
  <c r="AR33" i="15"/>
  <c r="AL34" i="15"/>
  <c r="AM34" i="15"/>
  <c r="AN34" i="15"/>
  <c r="AO34" i="15"/>
  <c r="AP34" i="15"/>
  <c r="AQ34" i="15"/>
  <c r="AR34" i="15"/>
  <c r="AL35" i="15"/>
  <c r="AM35" i="15"/>
  <c r="AN35" i="15"/>
  <c r="AO35" i="15"/>
  <c r="AP35" i="15"/>
  <c r="AQ35" i="15"/>
  <c r="AR35" i="15"/>
  <c r="AL36" i="15"/>
  <c r="AM36" i="15"/>
  <c r="AN36" i="15"/>
  <c r="AO36" i="15"/>
  <c r="AP36" i="15"/>
  <c r="AQ36" i="15"/>
  <c r="AR36" i="15"/>
  <c r="AL37" i="15"/>
  <c r="AM37" i="15"/>
  <c r="AN37" i="15"/>
  <c r="AO37" i="15"/>
  <c r="AP37" i="15"/>
  <c r="AQ37" i="15"/>
  <c r="AR37" i="15"/>
  <c r="AL38" i="15"/>
  <c r="AM38" i="15"/>
  <c r="AN38" i="15"/>
  <c r="AO38" i="15"/>
  <c r="AP38" i="15"/>
  <c r="AQ38" i="15"/>
  <c r="AR38" i="15"/>
  <c r="AL39" i="15"/>
  <c r="AM39" i="15"/>
  <c r="AN39" i="15"/>
  <c r="AO39" i="15"/>
  <c r="AP39" i="15"/>
  <c r="AQ39" i="15"/>
  <c r="AR39" i="15"/>
  <c r="AM25" i="15"/>
  <c r="AN25" i="15"/>
  <c r="AO25" i="15"/>
  <c r="AP25" i="15"/>
  <c r="AQ25" i="15"/>
  <c r="AR25" i="15"/>
  <c r="AL25" i="15"/>
  <c r="AL7" i="15"/>
  <c r="AM7" i="15"/>
  <c r="AN7" i="15"/>
  <c r="AO7" i="15"/>
  <c r="AP7" i="15"/>
  <c r="AQ7" i="15"/>
  <c r="AR7" i="15"/>
  <c r="AL8" i="15"/>
  <c r="AM8" i="15"/>
  <c r="AN8" i="15"/>
  <c r="AO8" i="15"/>
  <c r="AP8" i="15"/>
  <c r="AQ8" i="15"/>
  <c r="AR8" i="15"/>
  <c r="AL9" i="15"/>
  <c r="AM9" i="15"/>
  <c r="AN9" i="15"/>
  <c r="AO9" i="15"/>
  <c r="AP9" i="15"/>
  <c r="AQ9" i="15"/>
  <c r="AR9" i="15"/>
  <c r="AL10" i="15"/>
  <c r="AM10" i="15"/>
  <c r="AN10" i="15"/>
  <c r="AO10" i="15"/>
  <c r="AP10" i="15"/>
  <c r="AQ10" i="15"/>
  <c r="AR10" i="15"/>
  <c r="AL11" i="15"/>
  <c r="AM11" i="15"/>
  <c r="AN11" i="15"/>
  <c r="AO11" i="15"/>
  <c r="AP11" i="15"/>
  <c r="AQ11" i="15"/>
  <c r="AR11" i="15"/>
  <c r="AL12" i="15"/>
  <c r="AM12" i="15"/>
  <c r="AN12" i="15"/>
  <c r="AO12" i="15"/>
  <c r="AP12" i="15"/>
  <c r="AQ12" i="15"/>
  <c r="AR12" i="15"/>
  <c r="AL13" i="15"/>
  <c r="AM13" i="15"/>
  <c r="AN13" i="15"/>
  <c r="AO13" i="15"/>
  <c r="AP13" i="15"/>
  <c r="AQ13" i="15"/>
  <c r="AR13" i="15"/>
  <c r="AL14" i="15"/>
  <c r="AM14" i="15"/>
  <c r="AN14" i="15"/>
  <c r="AO14" i="15"/>
  <c r="AP14" i="15"/>
  <c r="AQ14" i="15"/>
  <c r="AR14" i="15"/>
  <c r="AL15" i="15"/>
  <c r="AM15" i="15"/>
  <c r="AN15" i="15"/>
  <c r="AO15" i="15"/>
  <c r="AP15" i="15"/>
  <c r="AQ15" i="15"/>
  <c r="AR15" i="15"/>
  <c r="AL16" i="15"/>
  <c r="AM16" i="15"/>
  <c r="AN16" i="15"/>
  <c r="AO16" i="15"/>
  <c r="AP16" i="15"/>
  <c r="AQ16" i="15"/>
  <c r="AR16" i="15"/>
  <c r="AL17" i="15"/>
  <c r="AM17" i="15"/>
  <c r="AN17" i="15"/>
  <c r="AO17" i="15"/>
  <c r="AP17" i="15"/>
  <c r="AQ17" i="15"/>
  <c r="AR17" i="15"/>
  <c r="AL18" i="15"/>
  <c r="AM18" i="15"/>
  <c r="AN18" i="15"/>
  <c r="AO18" i="15"/>
  <c r="AP18" i="15"/>
  <c r="AQ18" i="15"/>
  <c r="AR18" i="15"/>
  <c r="AL19" i="15"/>
  <c r="AM19" i="15"/>
  <c r="AN19" i="15"/>
  <c r="AO19" i="15"/>
  <c r="AP19" i="15"/>
  <c r="AQ19" i="15"/>
  <c r="AR19" i="15"/>
  <c r="AL20" i="15"/>
  <c r="AM20" i="15"/>
  <c r="AN20" i="15"/>
  <c r="AO20" i="15"/>
  <c r="AP20" i="15"/>
  <c r="AQ20" i="15"/>
  <c r="AR20" i="15"/>
  <c r="AM6" i="15"/>
  <c r="AN6" i="15"/>
  <c r="AO6" i="15"/>
  <c r="AP6" i="15"/>
  <c r="AQ6" i="15"/>
  <c r="AR6" i="15"/>
  <c r="AL6" i="15"/>
  <c r="AC64" i="15"/>
  <c r="AD64" i="15"/>
  <c r="AE64" i="15"/>
  <c r="AF64" i="15"/>
  <c r="AG64" i="15"/>
  <c r="AH64" i="15"/>
  <c r="AI64" i="15"/>
  <c r="AC65" i="15"/>
  <c r="AD65" i="15"/>
  <c r="AE65" i="15"/>
  <c r="AF65" i="15"/>
  <c r="AG65" i="15"/>
  <c r="AH65" i="15"/>
  <c r="AI65" i="15"/>
  <c r="AC66" i="15"/>
  <c r="AD66" i="15"/>
  <c r="AE66" i="15"/>
  <c r="AF66" i="15"/>
  <c r="AG66" i="15"/>
  <c r="AH66" i="15"/>
  <c r="AI66" i="15"/>
  <c r="AC67" i="15"/>
  <c r="AD67" i="15"/>
  <c r="AE67" i="15"/>
  <c r="AF67" i="15"/>
  <c r="AG67" i="15"/>
  <c r="AH67" i="15"/>
  <c r="AI67" i="15"/>
  <c r="AC68" i="15"/>
  <c r="AD68" i="15"/>
  <c r="AE68" i="15"/>
  <c r="AF68" i="15"/>
  <c r="AG68" i="15"/>
  <c r="AH68" i="15"/>
  <c r="AI68" i="15"/>
  <c r="AC69" i="15"/>
  <c r="AD69" i="15"/>
  <c r="AE69" i="15"/>
  <c r="AF69" i="15"/>
  <c r="AG69" i="15"/>
  <c r="AH69" i="15"/>
  <c r="AI69" i="15"/>
  <c r="AC70" i="15"/>
  <c r="AD70" i="15"/>
  <c r="AE70" i="15"/>
  <c r="AF70" i="15"/>
  <c r="AG70" i="15"/>
  <c r="AH70" i="15"/>
  <c r="AI70" i="15"/>
  <c r="AC71" i="15"/>
  <c r="AD71" i="15"/>
  <c r="AE71" i="15"/>
  <c r="AF71" i="15"/>
  <c r="AG71" i="15"/>
  <c r="AH71" i="15"/>
  <c r="AI71" i="15"/>
  <c r="AC72" i="15"/>
  <c r="AD72" i="15"/>
  <c r="AE72" i="15"/>
  <c r="AF72" i="15"/>
  <c r="AG72" i="15"/>
  <c r="AH72" i="15"/>
  <c r="AI72" i="15"/>
  <c r="AC73" i="15"/>
  <c r="AD73" i="15"/>
  <c r="AE73" i="15"/>
  <c r="AF73" i="15"/>
  <c r="AG73" i="15"/>
  <c r="AH73" i="15"/>
  <c r="AI73" i="15"/>
  <c r="AC74" i="15"/>
  <c r="AD74" i="15"/>
  <c r="AE74" i="15"/>
  <c r="AF74" i="15"/>
  <c r="AG74" i="15"/>
  <c r="AH74" i="15"/>
  <c r="AI74" i="15"/>
  <c r="AC75" i="15"/>
  <c r="AD75" i="15"/>
  <c r="AE75" i="15"/>
  <c r="AF75" i="15"/>
  <c r="AG75" i="15"/>
  <c r="AH75" i="15"/>
  <c r="AI75" i="15"/>
  <c r="AC76" i="15"/>
  <c r="AD76" i="15"/>
  <c r="AE76" i="15"/>
  <c r="AF76" i="15"/>
  <c r="AG76" i="15"/>
  <c r="AH76" i="15"/>
  <c r="AI76" i="15"/>
  <c r="AC77" i="15"/>
  <c r="AD77" i="15"/>
  <c r="AE77" i="15"/>
  <c r="AF77" i="15"/>
  <c r="AG77" i="15"/>
  <c r="AH77" i="15"/>
  <c r="AI77" i="15"/>
  <c r="AD63" i="15"/>
  <c r="AE63" i="15"/>
  <c r="AF63" i="15"/>
  <c r="AG63" i="15"/>
  <c r="AH63" i="15"/>
  <c r="AI63" i="15"/>
  <c r="AC63" i="15"/>
  <c r="AC45" i="15"/>
  <c r="AD45" i="15"/>
  <c r="AE45" i="15"/>
  <c r="AF45" i="15"/>
  <c r="AG45" i="15"/>
  <c r="AH45" i="15"/>
  <c r="AI45" i="15"/>
  <c r="AC46" i="15"/>
  <c r="AD46" i="15"/>
  <c r="AE46" i="15"/>
  <c r="AF46" i="15"/>
  <c r="AG46" i="15"/>
  <c r="AH46" i="15"/>
  <c r="AI46" i="15"/>
  <c r="AC47" i="15"/>
  <c r="AD47" i="15"/>
  <c r="AE47" i="15"/>
  <c r="AF47" i="15"/>
  <c r="AG47" i="15"/>
  <c r="AH47" i="15"/>
  <c r="AI47" i="15"/>
  <c r="AC48" i="15"/>
  <c r="AD48" i="15"/>
  <c r="AE48" i="15"/>
  <c r="AF48" i="15"/>
  <c r="AG48" i="15"/>
  <c r="AH48" i="15"/>
  <c r="AI48" i="15"/>
  <c r="AC49" i="15"/>
  <c r="AD49" i="15"/>
  <c r="AE49" i="15"/>
  <c r="AF49" i="15"/>
  <c r="AG49" i="15"/>
  <c r="AH49" i="15"/>
  <c r="AI49" i="15"/>
  <c r="AC50" i="15"/>
  <c r="AD50" i="15"/>
  <c r="AE50" i="15"/>
  <c r="AF50" i="15"/>
  <c r="AG50" i="15"/>
  <c r="AH50" i="15"/>
  <c r="AI50" i="15"/>
  <c r="AC51" i="15"/>
  <c r="AD51" i="15"/>
  <c r="AE51" i="15"/>
  <c r="AF51" i="15"/>
  <c r="AG51" i="15"/>
  <c r="AH51" i="15"/>
  <c r="AI51" i="15"/>
  <c r="AC52" i="15"/>
  <c r="AD52" i="15"/>
  <c r="AE52" i="15"/>
  <c r="AF52" i="15"/>
  <c r="AG52" i="15"/>
  <c r="AH52" i="15"/>
  <c r="AI52" i="15"/>
  <c r="AC53" i="15"/>
  <c r="AD53" i="15"/>
  <c r="AE53" i="15"/>
  <c r="AF53" i="15"/>
  <c r="AG53" i="15"/>
  <c r="AH53" i="15"/>
  <c r="AI53" i="15"/>
  <c r="AC54" i="15"/>
  <c r="AD54" i="15"/>
  <c r="AE54" i="15"/>
  <c r="AF54" i="15"/>
  <c r="AG54" i="15"/>
  <c r="AH54" i="15"/>
  <c r="AI54" i="15"/>
  <c r="AC55" i="15"/>
  <c r="AD55" i="15"/>
  <c r="AE55" i="15"/>
  <c r="AF55" i="15"/>
  <c r="AG55" i="15"/>
  <c r="AH55" i="15"/>
  <c r="AI55" i="15"/>
  <c r="AC56" i="15"/>
  <c r="AD56" i="15"/>
  <c r="AE56" i="15"/>
  <c r="AF56" i="15"/>
  <c r="AG56" i="15"/>
  <c r="AH56" i="15"/>
  <c r="AI56" i="15"/>
  <c r="AC57" i="15"/>
  <c r="AD57" i="15"/>
  <c r="AE57" i="15"/>
  <c r="AF57" i="15"/>
  <c r="AG57" i="15"/>
  <c r="AH57" i="15"/>
  <c r="AI57" i="15"/>
  <c r="AC58" i="15"/>
  <c r="AD58" i="15"/>
  <c r="AE58" i="15"/>
  <c r="AF58" i="15"/>
  <c r="AG58" i="15"/>
  <c r="AH58" i="15"/>
  <c r="AI58" i="15"/>
  <c r="AD44" i="15"/>
  <c r="AE44" i="15"/>
  <c r="AF44" i="15"/>
  <c r="AG44" i="15"/>
  <c r="AH44" i="15"/>
  <c r="AI44" i="15"/>
  <c r="AC44" i="15"/>
  <c r="AC26" i="15"/>
  <c r="AD26" i="15"/>
  <c r="AE26" i="15"/>
  <c r="AF26" i="15"/>
  <c r="AG26" i="15"/>
  <c r="AH26" i="15"/>
  <c r="AI26" i="15"/>
  <c r="AC27" i="15"/>
  <c r="AD27" i="15"/>
  <c r="AE27" i="15"/>
  <c r="AF27" i="15"/>
  <c r="AG27" i="15"/>
  <c r="AH27" i="15"/>
  <c r="AI27" i="15"/>
  <c r="AC28" i="15"/>
  <c r="AD28" i="15"/>
  <c r="AE28" i="15"/>
  <c r="AF28" i="15"/>
  <c r="AG28" i="15"/>
  <c r="AH28" i="15"/>
  <c r="AI28" i="15"/>
  <c r="AC29" i="15"/>
  <c r="AD29" i="15"/>
  <c r="AE29" i="15"/>
  <c r="AF29" i="15"/>
  <c r="AG29" i="15"/>
  <c r="AH29" i="15"/>
  <c r="AI29" i="15"/>
  <c r="AC30" i="15"/>
  <c r="AD30" i="15"/>
  <c r="AE30" i="15"/>
  <c r="AF30" i="15"/>
  <c r="AG30" i="15"/>
  <c r="AH30" i="15"/>
  <c r="AI30" i="15"/>
  <c r="AC31" i="15"/>
  <c r="AD31" i="15"/>
  <c r="AE31" i="15"/>
  <c r="AF31" i="15"/>
  <c r="AG31" i="15"/>
  <c r="AH31" i="15"/>
  <c r="AI31" i="15"/>
  <c r="AC32" i="15"/>
  <c r="AD32" i="15"/>
  <c r="AE32" i="15"/>
  <c r="AF32" i="15"/>
  <c r="AG32" i="15"/>
  <c r="AH32" i="15"/>
  <c r="AI32" i="15"/>
  <c r="AC33" i="15"/>
  <c r="AD33" i="15"/>
  <c r="AE33" i="15"/>
  <c r="AF33" i="15"/>
  <c r="AG33" i="15"/>
  <c r="AH33" i="15"/>
  <c r="AI33" i="15"/>
  <c r="AC34" i="15"/>
  <c r="AD34" i="15"/>
  <c r="AE34" i="15"/>
  <c r="AF34" i="15"/>
  <c r="AG34" i="15"/>
  <c r="AH34" i="15"/>
  <c r="AI34" i="15"/>
  <c r="AC35" i="15"/>
  <c r="AD35" i="15"/>
  <c r="AE35" i="15"/>
  <c r="AF35" i="15"/>
  <c r="AG35" i="15"/>
  <c r="AH35" i="15"/>
  <c r="AI35" i="15"/>
  <c r="AC36" i="15"/>
  <c r="AD36" i="15"/>
  <c r="AE36" i="15"/>
  <c r="AF36" i="15"/>
  <c r="AG36" i="15"/>
  <c r="AH36" i="15"/>
  <c r="AI36" i="15"/>
  <c r="AC37" i="15"/>
  <c r="AD37" i="15"/>
  <c r="AE37" i="15"/>
  <c r="AF37" i="15"/>
  <c r="AG37" i="15"/>
  <c r="AH37" i="15"/>
  <c r="AI37" i="15"/>
  <c r="AC38" i="15"/>
  <c r="AD38" i="15"/>
  <c r="AE38" i="15"/>
  <c r="AF38" i="15"/>
  <c r="AG38" i="15"/>
  <c r="AH38" i="15"/>
  <c r="AI38" i="15"/>
  <c r="AC39" i="15"/>
  <c r="AD39" i="15"/>
  <c r="AE39" i="15"/>
  <c r="AF39" i="15"/>
  <c r="AG39" i="15"/>
  <c r="AH39" i="15"/>
  <c r="AI39" i="15"/>
  <c r="AD25" i="15"/>
  <c r="AE25" i="15"/>
  <c r="AF25" i="15"/>
  <c r="AG25" i="15"/>
  <c r="AH25" i="15"/>
  <c r="AI25" i="15"/>
  <c r="AC25" i="15"/>
  <c r="AC7" i="15"/>
  <c r="AD7" i="15"/>
  <c r="AE7" i="15"/>
  <c r="AF7" i="15"/>
  <c r="AG7" i="15"/>
  <c r="AH7" i="15"/>
  <c r="AI7" i="15"/>
  <c r="AC8" i="15"/>
  <c r="AD8" i="15"/>
  <c r="AE8" i="15"/>
  <c r="AF8" i="15"/>
  <c r="AG8" i="15"/>
  <c r="AH8" i="15"/>
  <c r="AI8" i="15"/>
  <c r="AC9" i="15"/>
  <c r="AD9" i="15"/>
  <c r="AE9" i="15"/>
  <c r="AF9" i="15"/>
  <c r="AG9" i="15"/>
  <c r="AH9" i="15"/>
  <c r="AI9" i="15"/>
  <c r="AC10" i="15"/>
  <c r="AD10" i="15"/>
  <c r="AE10" i="15"/>
  <c r="AF10" i="15"/>
  <c r="AG10" i="15"/>
  <c r="AH10" i="15"/>
  <c r="AI10" i="15"/>
  <c r="AC11" i="15"/>
  <c r="AD11" i="15"/>
  <c r="AE11" i="15"/>
  <c r="AF11" i="15"/>
  <c r="AG11" i="15"/>
  <c r="AH11" i="15"/>
  <c r="AI11" i="15"/>
  <c r="AC12" i="15"/>
  <c r="AD12" i="15"/>
  <c r="AE12" i="15"/>
  <c r="AF12" i="15"/>
  <c r="AG12" i="15"/>
  <c r="AH12" i="15"/>
  <c r="AI12" i="15"/>
  <c r="AC13" i="15"/>
  <c r="AD13" i="15"/>
  <c r="AE13" i="15"/>
  <c r="AF13" i="15"/>
  <c r="AG13" i="15"/>
  <c r="AH13" i="15"/>
  <c r="AI13" i="15"/>
  <c r="AC14" i="15"/>
  <c r="AD14" i="15"/>
  <c r="AE14" i="15"/>
  <c r="AF14" i="15"/>
  <c r="AG14" i="15"/>
  <c r="AH14" i="15"/>
  <c r="AI14" i="15"/>
  <c r="AC15" i="15"/>
  <c r="AD15" i="15"/>
  <c r="AE15" i="15"/>
  <c r="AF15" i="15"/>
  <c r="AG15" i="15"/>
  <c r="AH15" i="15"/>
  <c r="AI15" i="15"/>
  <c r="AC16" i="15"/>
  <c r="AD16" i="15"/>
  <c r="AE16" i="15"/>
  <c r="AF16" i="15"/>
  <c r="AG16" i="15"/>
  <c r="AH16" i="15"/>
  <c r="AI16" i="15"/>
  <c r="AC17" i="15"/>
  <c r="AD17" i="15"/>
  <c r="AE17" i="15"/>
  <c r="AF17" i="15"/>
  <c r="AG17" i="15"/>
  <c r="AH17" i="15"/>
  <c r="AI17" i="15"/>
  <c r="AC18" i="15"/>
  <c r="AD18" i="15"/>
  <c r="AE18" i="15"/>
  <c r="AF18" i="15"/>
  <c r="AG18" i="15"/>
  <c r="AH18" i="15"/>
  <c r="AI18" i="15"/>
  <c r="AC19" i="15"/>
  <c r="AD19" i="15"/>
  <c r="AE19" i="15"/>
  <c r="AF19" i="15"/>
  <c r="AG19" i="15"/>
  <c r="AH19" i="15"/>
  <c r="AI19" i="15"/>
  <c r="AC20" i="15"/>
  <c r="AD20" i="15"/>
  <c r="AE20" i="15"/>
  <c r="AF20" i="15"/>
  <c r="AG20" i="15"/>
  <c r="AH20" i="15"/>
  <c r="AI20" i="15"/>
  <c r="AD6" i="15"/>
  <c r="AE6" i="15"/>
  <c r="AF6" i="15"/>
  <c r="AG6" i="15"/>
  <c r="AH6" i="15"/>
  <c r="AI6" i="15"/>
  <c r="AC6" i="15"/>
  <c r="T64" i="15"/>
  <c r="U64" i="15"/>
  <c r="V64" i="15"/>
  <c r="W64" i="15"/>
  <c r="X64" i="15"/>
  <c r="Y64" i="15"/>
  <c r="Z64" i="15"/>
  <c r="T65" i="15"/>
  <c r="U65" i="15"/>
  <c r="V65" i="15"/>
  <c r="W65" i="15"/>
  <c r="X65" i="15"/>
  <c r="Y65" i="15"/>
  <c r="Z65" i="15"/>
  <c r="T66" i="15"/>
  <c r="U66" i="15"/>
  <c r="V66" i="15"/>
  <c r="W66" i="15"/>
  <c r="X66" i="15"/>
  <c r="Y66" i="15"/>
  <c r="Z66" i="15"/>
  <c r="T67" i="15"/>
  <c r="U67" i="15"/>
  <c r="V67" i="15"/>
  <c r="W67" i="15"/>
  <c r="X67" i="15"/>
  <c r="Y67" i="15"/>
  <c r="Z67" i="15"/>
  <c r="T68" i="15"/>
  <c r="U68" i="15"/>
  <c r="V68" i="15"/>
  <c r="W68" i="15"/>
  <c r="X68" i="15"/>
  <c r="Y68" i="15"/>
  <c r="Z68" i="15"/>
  <c r="T69" i="15"/>
  <c r="U69" i="15"/>
  <c r="V69" i="15"/>
  <c r="W69" i="15"/>
  <c r="X69" i="15"/>
  <c r="Y69" i="15"/>
  <c r="Z69" i="15"/>
  <c r="T70" i="15"/>
  <c r="U70" i="15"/>
  <c r="V70" i="15"/>
  <c r="W70" i="15"/>
  <c r="X70" i="15"/>
  <c r="Y70" i="15"/>
  <c r="Z70" i="15"/>
  <c r="T71" i="15"/>
  <c r="U71" i="15"/>
  <c r="V71" i="15"/>
  <c r="W71" i="15"/>
  <c r="X71" i="15"/>
  <c r="Y71" i="15"/>
  <c r="Z71" i="15"/>
  <c r="T72" i="15"/>
  <c r="U72" i="15"/>
  <c r="V72" i="15"/>
  <c r="W72" i="15"/>
  <c r="X72" i="15"/>
  <c r="Y72" i="15"/>
  <c r="Z72" i="15"/>
  <c r="T73" i="15"/>
  <c r="U73" i="15"/>
  <c r="V73" i="15"/>
  <c r="W73" i="15"/>
  <c r="X73" i="15"/>
  <c r="Y73" i="15"/>
  <c r="Z73" i="15"/>
  <c r="T74" i="15"/>
  <c r="U74" i="15"/>
  <c r="V74" i="15"/>
  <c r="W74" i="15"/>
  <c r="X74" i="15"/>
  <c r="Y74" i="15"/>
  <c r="Z74" i="15"/>
  <c r="T75" i="15"/>
  <c r="U75" i="15"/>
  <c r="V75" i="15"/>
  <c r="W75" i="15"/>
  <c r="X75" i="15"/>
  <c r="Y75" i="15"/>
  <c r="Z75" i="15"/>
  <c r="T76" i="15"/>
  <c r="U76" i="15"/>
  <c r="V76" i="15"/>
  <c r="W76" i="15"/>
  <c r="X76" i="15"/>
  <c r="Y76" i="15"/>
  <c r="Z76" i="15"/>
  <c r="T77" i="15"/>
  <c r="U77" i="15"/>
  <c r="V77" i="15"/>
  <c r="W77" i="15"/>
  <c r="X77" i="15"/>
  <c r="Y77" i="15"/>
  <c r="Z77" i="15"/>
  <c r="U63" i="15"/>
  <c r="V63" i="15"/>
  <c r="W63" i="15"/>
  <c r="X63" i="15"/>
  <c r="Y63" i="15"/>
  <c r="Z63" i="15"/>
  <c r="T63" i="15"/>
  <c r="T45" i="15"/>
  <c r="U45" i="15"/>
  <c r="V45" i="15"/>
  <c r="W45" i="15"/>
  <c r="X45" i="15"/>
  <c r="Y45" i="15"/>
  <c r="Z45" i="15"/>
  <c r="T46" i="15"/>
  <c r="U46" i="15"/>
  <c r="V46" i="15"/>
  <c r="W46" i="15"/>
  <c r="X46" i="15"/>
  <c r="Y46" i="15"/>
  <c r="Z46" i="15"/>
  <c r="T47" i="15"/>
  <c r="U47" i="15"/>
  <c r="V47" i="15"/>
  <c r="W47" i="15"/>
  <c r="X47" i="15"/>
  <c r="Y47" i="15"/>
  <c r="Z47" i="15"/>
  <c r="T48" i="15"/>
  <c r="U48" i="15"/>
  <c r="V48" i="15"/>
  <c r="W48" i="15"/>
  <c r="X48" i="15"/>
  <c r="Y48" i="15"/>
  <c r="Z48" i="15"/>
  <c r="T49" i="15"/>
  <c r="U49" i="15"/>
  <c r="V49" i="15"/>
  <c r="W49" i="15"/>
  <c r="X49" i="15"/>
  <c r="Y49" i="15"/>
  <c r="Z49" i="15"/>
  <c r="T50" i="15"/>
  <c r="U50" i="15"/>
  <c r="V50" i="15"/>
  <c r="W50" i="15"/>
  <c r="X50" i="15"/>
  <c r="Y50" i="15"/>
  <c r="Z50" i="15"/>
  <c r="T51" i="15"/>
  <c r="U51" i="15"/>
  <c r="V51" i="15"/>
  <c r="W51" i="15"/>
  <c r="X51" i="15"/>
  <c r="Y51" i="15"/>
  <c r="Z51" i="15"/>
  <c r="T52" i="15"/>
  <c r="U52" i="15"/>
  <c r="V52" i="15"/>
  <c r="W52" i="15"/>
  <c r="X52" i="15"/>
  <c r="Y52" i="15"/>
  <c r="Z52" i="15"/>
  <c r="T53" i="15"/>
  <c r="U53" i="15"/>
  <c r="V53" i="15"/>
  <c r="W53" i="15"/>
  <c r="X53" i="15"/>
  <c r="Y53" i="15"/>
  <c r="Z53" i="15"/>
  <c r="T54" i="15"/>
  <c r="U54" i="15"/>
  <c r="V54" i="15"/>
  <c r="W54" i="15"/>
  <c r="X54" i="15"/>
  <c r="Y54" i="15"/>
  <c r="Z54" i="15"/>
  <c r="T55" i="15"/>
  <c r="U55" i="15"/>
  <c r="V55" i="15"/>
  <c r="W55" i="15"/>
  <c r="X55" i="15"/>
  <c r="Y55" i="15"/>
  <c r="Z55" i="15"/>
  <c r="T56" i="15"/>
  <c r="U56" i="15"/>
  <c r="V56" i="15"/>
  <c r="W56" i="15"/>
  <c r="X56" i="15"/>
  <c r="Y56" i="15"/>
  <c r="Z56" i="15"/>
  <c r="T57" i="15"/>
  <c r="U57" i="15"/>
  <c r="V57" i="15"/>
  <c r="W57" i="15"/>
  <c r="X57" i="15"/>
  <c r="Y57" i="15"/>
  <c r="Z57" i="15"/>
  <c r="T58" i="15"/>
  <c r="U58" i="15"/>
  <c r="V58" i="15"/>
  <c r="W58" i="15"/>
  <c r="X58" i="15"/>
  <c r="Y58" i="15"/>
  <c r="Z58" i="15"/>
  <c r="U44" i="15"/>
  <c r="V44" i="15"/>
  <c r="W44" i="15"/>
  <c r="X44" i="15"/>
  <c r="Y44" i="15"/>
  <c r="Z44" i="15"/>
  <c r="T44" i="15"/>
  <c r="T26" i="15"/>
  <c r="U26" i="15"/>
  <c r="V26" i="15"/>
  <c r="W26" i="15"/>
  <c r="X26" i="15"/>
  <c r="Y26" i="15"/>
  <c r="Z26" i="15"/>
  <c r="T27" i="15"/>
  <c r="U27" i="15"/>
  <c r="V27" i="15"/>
  <c r="W27" i="15"/>
  <c r="X27" i="15"/>
  <c r="Y27" i="15"/>
  <c r="Z27" i="15"/>
  <c r="T28" i="15"/>
  <c r="U28" i="15"/>
  <c r="V28" i="15"/>
  <c r="W28" i="15"/>
  <c r="X28" i="15"/>
  <c r="Y28" i="15"/>
  <c r="Z28" i="15"/>
  <c r="T29" i="15"/>
  <c r="U29" i="15"/>
  <c r="V29" i="15"/>
  <c r="W29" i="15"/>
  <c r="X29" i="15"/>
  <c r="Y29" i="15"/>
  <c r="Z29" i="15"/>
  <c r="T30" i="15"/>
  <c r="U30" i="15"/>
  <c r="V30" i="15"/>
  <c r="W30" i="15"/>
  <c r="X30" i="15"/>
  <c r="Y30" i="15"/>
  <c r="Z30" i="15"/>
  <c r="T31" i="15"/>
  <c r="U31" i="15"/>
  <c r="V31" i="15"/>
  <c r="W31" i="15"/>
  <c r="X31" i="15"/>
  <c r="Y31" i="15"/>
  <c r="Z31" i="15"/>
  <c r="T32" i="15"/>
  <c r="U32" i="15"/>
  <c r="V32" i="15"/>
  <c r="W32" i="15"/>
  <c r="X32" i="15"/>
  <c r="Y32" i="15"/>
  <c r="Z32" i="15"/>
  <c r="T33" i="15"/>
  <c r="U33" i="15"/>
  <c r="V33" i="15"/>
  <c r="W33" i="15"/>
  <c r="X33" i="15"/>
  <c r="Y33" i="15"/>
  <c r="Z33" i="15"/>
  <c r="T34" i="15"/>
  <c r="U34" i="15"/>
  <c r="V34" i="15"/>
  <c r="W34" i="15"/>
  <c r="X34" i="15"/>
  <c r="Y34" i="15"/>
  <c r="Z34" i="15"/>
  <c r="T35" i="15"/>
  <c r="U35" i="15"/>
  <c r="V35" i="15"/>
  <c r="W35" i="15"/>
  <c r="X35" i="15"/>
  <c r="Y35" i="15"/>
  <c r="Z35" i="15"/>
  <c r="T36" i="15"/>
  <c r="U36" i="15"/>
  <c r="V36" i="15"/>
  <c r="W36" i="15"/>
  <c r="X36" i="15"/>
  <c r="Y36" i="15"/>
  <c r="Z36" i="15"/>
  <c r="T37" i="15"/>
  <c r="U37" i="15"/>
  <c r="V37" i="15"/>
  <c r="W37" i="15"/>
  <c r="X37" i="15"/>
  <c r="Y37" i="15"/>
  <c r="Z37" i="15"/>
  <c r="T38" i="15"/>
  <c r="U38" i="15"/>
  <c r="V38" i="15"/>
  <c r="W38" i="15"/>
  <c r="X38" i="15"/>
  <c r="Y38" i="15"/>
  <c r="Z38" i="15"/>
  <c r="T39" i="15"/>
  <c r="U39" i="15"/>
  <c r="V39" i="15"/>
  <c r="W39" i="15"/>
  <c r="X39" i="15"/>
  <c r="Y39" i="15"/>
  <c r="Z39" i="15"/>
  <c r="U25" i="15"/>
  <c r="V25" i="15"/>
  <c r="W25" i="15"/>
  <c r="X25" i="15"/>
  <c r="Y25" i="15"/>
  <c r="Z25" i="15"/>
  <c r="T25" i="15"/>
  <c r="T7" i="15"/>
  <c r="U7" i="15"/>
  <c r="V7" i="15"/>
  <c r="W7" i="15"/>
  <c r="X7" i="15"/>
  <c r="Y7" i="15"/>
  <c r="Z7" i="15"/>
  <c r="T8" i="15"/>
  <c r="U8" i="15"/>
  <c r="V8" i="15"/>
  <c r="W8" i="15"/>
  <c r="X8" i="15"/>
  <c r="Y8" i="15"/>
  <c r="Z8" i="15"/>
  <c r="T9" i="15"/>
  <c r="U9" i="15"/>
  <c r="V9" i="15"/>
  <c r="W9" i="15"/>
  <c r="X9" i="15"/>
  <c r="Y9" i="15"/>
  <c r="Z9" i="15"/>
  <c r="T10" i="15"/>
  <c r="U10" i="15"/>
  <c r="V10" i="15"/>
  <c r="W10" i="15"/>
  <c r="X10" i="15"/>
  <c r="Y10" i="15"/>
  <c r="Z10" i="15"/>
  <c r="T11" i="15"/>
  <c r="U11" i="15"/>
  <c r="V11" i="15"/>
  <c r="W11" i="15"/>
  <c r="X11" i="15"/>
  <c r="Y11" i="15"/>
  <c r="Z11" i="15"/>
  <c r="T12" i="15"/>
  <c r="U12" i="15"/>
  <c r="V12" i="15"/>
  <c r="W12" i="15"/>
  <c r="X12" i="15"/>
  <c r="Y12" i="15"/>
  <c r="Z12" i="15"/>
  <c r="T13" i="15"/>
  <c r="U13" i="15"/>
  <c r="V13" i="15"/>
  <c r="W13" i="15"/>
  <c r="X13" i="15"/>
  <c r="Y13" i="15"/>
  <c r="Z13" i="15"/>
  <c r="T14" i="15"/>
  <c r="U14" i="15"/>
  <c r="V14" i="15"/>
  <c r="W14" i="15"/>
  <c r="X14" i="15"/>
  <c r="Y14" i="15"/>
  <c r="Z14" i="15"/>
  <c r="T15" i="15"/>
  <c r="U15" i="15"/>
  <c r="V15" i="15"/>
  <c r="W15" i="15"/>
  <c r="X15" i="15"/>
  <c r="Y15" i="15"/>
  <c r="Z15" i="15"/>
  <c r="T16" i="15"/>
  <c r="U16" i="15"/>
  <c r="V16" i="15"/>
  <c r="W16" i="15"/>
  <c r="X16" i="15"/>
  <c r="Y16" i="15"/>
  <c r="Z16" i="15"/>
  <c r="T17" i="15"/>
  <c r="U17" i="15"/>
  <c r="V17" i="15"/>
  <c r="W17" i="15"/>
  <c r="X17" i="15"/>
  <c r="Y17" i="15"/>
  <c r="Z17" i="15"/>
  <c r="T18" i="15"/>
  <c r="U18" i="15"/>
  <c r="V18" i="15"/>
  <c r="W18" i="15"/>
  <c r="X18" i="15"/>
  <c r="Y18" i="15"/>
  <c r="Z18" i="15"/>
  <c r="T19" i="15"/>
  <c r="U19" i="15"/>
  <c r="V19" i="15"/>
  <c r="W19" i="15"/>
  <c r="X19" i="15"/>
  <c r="Y19" i="15"/>
  <c r="Z19" i="15"/>
  <c r="T20" i="15"/>
  <c r="U20" i="15"/>
  <c r="V20" i="15"/>
  <c r="W20" i="15"/>
  <c r="X20" i="15"/>
  <c r="Y20" i="15"/>
  <c r="Z20" i="15"/>
  <c r="U6" i="15"/>
  <c r="V6" i="15"/>
  <c r="W6" i="15"/>
  <c r="X6" i="15"/>
  <c r="Y6" i="15"/>
  <c r="Z6" i="15"/>
  <c r="T6" i="15"/>
  <c r="K64" i="15"/>
  <c r="L64" i="15"/>
  <c r="M64" i="15"/>
  <c r="N64" i="15"/>
  <c r="O64" i="15"/>
  <c r="P64" i="15"/>
  <c r="Q64" i="15"/>
  <c r="K65" i="15"/>
  <c r="L65" i="15"/>
  <c r="M65" i="15"/>
  <c r="N65" i="15"/>
  <c r="O65" i="15"/>
  <c r="P65" i="15"/>
  <c r="Q65" i="15"/>
  <c r="K66" i="15"/>
  <c r="L66" i="15"/>
  <c r="M66" i="15"/>
  <c r="N66" i="15"/>
  <c r="O66" i="15"/>
  <c r="P66" i="15"/>
  <c r="Q66" i="15"/>
  <c r="K67" i="15"/>
  <c r="L67" i="15"/>
  <c r="M67" i="15"/>
  <c r="N67" i="15"/>
  <c r="O67" i="15"/>
  <c r="P67" i="15"/>
  <c r="Q67" i="15"/>
  <c r="K68" i="15"/>
  <c r="L68" i="15"/>
  <c r="M68" i="15"/>
  <c r="N68" i="15"/>
  <c r="O68" i="15"/>
  <c r="P68" i="15"/>
  <c r="Q68" i="15"/>
  <c r="K69" i="15"/>
  <c r="L69" i="15"/>
  <c r="M69" i="15"/>
  <c r="N69" i="15"/>
  <c r="O69" i="15"/>
  <c r="P69" i="15"/>
  <c r="Q69" i="15"/>
  <c r="K70" i="15"/>
  <c r="L70" i="15"/>
  <c r="M70" i="15"/>
  <c r="N70" i="15"/>
  <c r="O70" i="15"/>
  <c r="P70" i="15"/>
  <c r="Q70" i="15"/>
  <c r="K71" i="15"/>
  <c r="L71" i="15"/>
  <c r="M71" i="15"/>
  <c r="N71" i="15"/>
  <c r="O71" i="15"/>
  <c r="P71" i="15"/>
  <c r="Q71" i="15"/>
  <c r="K72" i="15"/>
  <c r="L72" i="15"/>
  <c r="M72" i="15"/>
  <c r="N72" i="15"/>
  <c r="O72" i="15"/>
  <c r="P72" i="15"/>
  <c r="Q72" i="15"/>
  <c r="K73" i="15"/>
  <c r="L73" i="15"/>
  <c r="M73" i="15"/>
  <c r="N73" i="15"/>
  <c r="O73" i="15"/>
  <c r="P73" i="15"/>
  <c r="Q73" i="15"/>
  <c r="K74" i="15"/>
  <c r="L74" i="15"/>
  <c r="M74" i="15"/>
  <c r="N74" i="15"/>
  <c r="O74" i="15"/>
  <c r="P74" i="15"/>
  <c r="Q74" i="15"/>
  <c r="K75" i="15"/>
  <c r="L75" i="15"/>
  <c r="M75" i="15"/>
  <c r="N75" i="15"/>
  <c r="O75" i="15"/>
  <c r="P75" i="15"/>
  <c r="Q75" i="15"/>
  <c r="K76" i="15"/>
  <c r="L76" i="15"/>
  <c r="M76" i="15"/>
  <c r="N76" i="15"/>
  <c r="O76" i="15"/>
  <c r="P76" i="15"/>
  <c r="Q76" i="15"/>
  <c r="K77" i="15"/>
  <c r="L77" i="15"/>
  <c r="M77" i="15"/>
  <c r="N77" i="15"/>
  <c r="O77" i="15"/>
  <c r="P77" i="15"/>
  <c r="Q77" i="15"/>
  <c r="L63" i="15"/>
  <c r="M63" i="15"/>
  <c r="N63" i="15"/>
  <c r="O63" i="15"/>
  <c r="P63" i="15"/>
  <c r="Q63" i="15"/>
  <c r="K63" i="15"/>
  <c r="K45" i="15"/>
  <c r="L45" i="15"/>
  <c r="M45" i="15"/>
  <c r="N45" i="15"/>
  <c r="O45" i="15"/>
  <c r="P45" i="15"/>
  <c r="Q45" i="15"/>
  <c r="K46" i="15"/>
  <c r="L46" i="15"/>
  <c r="M46" i="15"/>
  <c r="N46" i="15"/>
  <c r="O46" i="15"/>
  <c r="P46" i="15"/>
  <c r="Q46" i="15"/>
  <c r="K47" i="15"/>
  <c r="L47" i="15"/>
  <c r="M47" i="15"/>
  <c r="N47" i="15"/>
  <c r="O47" i="15"/>
  <c r="P47" i="15"/>
  <c r="Q47" i="15"/>
  <c r="K48" i="15"/>
  <c r="L48" i="15"/>
  <c r="M48" i="15"/>
  <c r="N48" i="15"/>
  <c r="O48" i="15"/>
  <c r="P48" i="15"/>
  <c r="Q48" i="15"/>
  <c r="K49" i="15"/>
  <c r="L49" i="15"/>
  <c r="M49" i="15"/>
  <c r="N49" i="15"/>
  <c r="O49" i="15"/>
  <c r="P49" i="15"/>
  <c r="Q49" i="15"/>
  <c r="K50" i="15"/>
  <c r="L50" i="15"/>
  <c r="M50" i="15"/>
  <c r="N50" i="15"/>
  <c r="O50" i="15"/>
  <c r="P50" i="15"/>
  <c r="Q50" i="15"/>
  <c r="K51" i="15"/>
  <c r="L51" i="15"/>
  <c r="M51" i="15"/>
  <c r="N51" i="15"/>
  <c r="O51" i="15"/>
  <c r="P51" i="15"/>
  <c r="Q51" i="15"/>
  <c r="K52" i="15"/>
  <c r="L52" i="15"/>
  <c r="M52" i="15"/>
  <c r="N52" i="15"/>
  <c r="O52" i="15"/>
  <c r="P52" i="15"/>
  <c r="Q52" i="15"/>
  <c r="K53" i="15"/>
  <c r="L53" i="15"/>
  <c r="M53" i="15"/>
  <c r="N53" i="15"/>
  <c r="O53" i="15"/>
  <c r="P53" i="15"/>
  <c r="Q53" i="15"/>
  <c r="K54" i="15"/>
  <c r="L54" i="15"/>
  <c r="M54" i="15"/>
  <c r="N54" i="15"/>
  <c r="O54" i="15"/>
  <c r="P54" i="15"/>
  <c r="Q54" i="15"/>
  <c r="K55" i="15"/>
  <c r="L55" i="15"/>
  <c r="M55" i="15"/>
  <c r="N55" i="15"/>
  <c r="O55" i="15"/>
  <c r="P55" i="15"/>
  <c r="Q55" i="15"/>
  <c r="K56" i="15"/>
  <c r="L56" i="15"/>
  <c r="M56" i="15"/>
  <c r="N56" i="15"/>
  <c r="O56" i="15"/>
  <c r="P56" i="15"/>
  <c r="Q56" i="15"/>
  <c r="K57" i="15"/>
  <c r="L57" i="15"/>
  <c r="M57" i="15"/>
  <c r="N57" i="15"/>
  <c r="O57" i="15"/>
  <c r="P57" i="15"/>
  <c r="Q57" i="15"/>
  <c r="K58" i="15"/>
  <c r="L58" i="15"/>
  <c r="M58" i="15"/>
  <c r="N58" i="15"/>
  <c r="O58" i="15"/>
  <c r="P58" i="15"/>
  <c r="Q58" i="15"/>
  <c r="L44" i="15"/>
  <c r="M44" i="15"/>
  <c r="N44" i="15"/>
  <c r="O44" i="15"/>
  <c r="P44" i="15"/>
  <c r="Q44" i="15"/>
  <c r="K44" i="15"/>
  <c r="K26" i="15"/>
  <c r="L26" i="15"/>
  <c r="M26" i="15"/>
  <c r="N26" i="15"/>
  <c r="O26" i="15"/>
  <c r="P26" i="15"/>
  <c r="Q26" i="15"/>
  <c r="K27" i="15"/>
  <c r="L27" i="15"/>
  <c r="M27" i="15"/>
  <c r="N27" i="15"/>
  <c r="O27" i="15"/>
  <c r="P27" i="15"/>
  <c r="Q27" i="15"/>
  <c r="K28" i="15"/>
  <c r="L28" i="15"/>
  <c r="M28" i="15"/>
  <c r="N28" i="15"/>
  <c r="O28" i="15"/>
  <c r="P28" i="15"/>
  <c r="Q28" i="15"/>
  <c r="K29" i="15"/>
  <c r="L29" i="15"/>
  <c r="M29" i="15"/>
  <c r="N29" i="15"/>
  <c r="O29" i="15"/>
  <c r="P29" i="15"/>
  <c r="Q29" i="15"/>
  <c r="K30" i="15"/>
  <c r="L30" i="15"/>
  <c r="M30" i="15"/>
  <c r="N30" i="15"/>
  <c r="O30" i="15"/>
  <c r="P30" i="15"/>
  <c r="Q30" i="15"/>
  <c r="K31" i="15"/>
  <c r="L31" i="15"/>
  <c r="M31" i="15"/>
  <c r="N31" i="15"/>
  <c r="O31" i="15"/>
  <c r="P31" i="15"/>
  <c r="Q31" i="15"/>
  <c r="K32" i="15"/>
  <c r="L32" i="15"/>
  <c r="M32" i="15"/>
  <c r="N32" i="15"/>
  <c r="O32" i="15"/>
  <c r="P32" i="15"/>
  <c r="Q32" i="15"/>
  <c r="K33" i="15"/>
  <c r="L33" i="15"/>
  <c r="M33" i="15"/>
  <c r="N33" i="15"/>
  <c r="O33" i="15"/>
  <c r="P33" i="15"/>
  <c r="Q33" i="15"/>
  <c r="K34" i="15"/>
  <c r="L34" i="15"/>
  <c r="M34" i="15"/>
  <c r="N34" i="15"/>
  <c r="O34" i="15"/>
  <c r="P34" i="15"/>
  <c r="Q34" i="15"/>
  <c r="K35" i="15"/>
  <c r="L35" i="15"/>
  <c r="M35" i="15"/>
  <c r="N35" i="15"/>
  <c r="O35" i="15"/>
  <c r="P35" i="15"/>
  <c r="Q35" i="15"/>
  <c r="K36" i="15"/>
  <c r="L36" i="15"/>
  <c r="M36" i="15"/>
  <c r="N36" i="15"/>
  <c r="O36" i="15"/>
  <c r="P36" i="15"/>
  <c r="Q36" i="15"/>
  <c r="K37" i="15"/>
  <c r="L37" i="15"/>
  <c r="M37" i="15"/>
  <c r="N37" i="15"/>
  <c r="O37" i="15"/>
  <c r="P37" i="15"/>
  <c r="Q37" i="15"/>
  <c r="K38" i="15"/>
  <c r="L38" i="15"/>
  <c r="M38" i="15"/>
  <c r="N38" i="15"/>
  <c r="O38" i="15"/>
  <c r="P38" i="15"/>
  <c r="Q38" i="15"/>
  <c r="K39" i="15"/>
  <c r="L39" i="15"/>
  <c r="M39" i="15"/>
  <c r="N39" i="15"/>
  <c r="O39" i="15"/>
  <c r="P39" i="15"/>
  <c r="Q39" i="15"/>
  <c r="L25" i="15"/>
  <c r="M25" i="15"/>
  <c r="N25" i="15"/>
  <c r="O25" i="15"/>
  <c r="P25" i="15"/>
  <c r="Q25" i="15"/>
  <c r="K25" i="15"/>
  <c r="K7" i="15"/>
  <c r="L7" i="15"/>
  <c r="M7" i="15"/>
  <c r="N7" i="15"/>
  <c r="O7" i="15"/>
  <c r="P7" i="15"/>
  <c r="Q7" i="15"/>
  <c r="K8" i="15"/>
  <c r="L8" i="15"/>
  <c r="M8" i="15"/>
  <c r="N8" i="15"/>
  <c r="O8" i="15"/>
  <c r="P8" i="15"/>
  <c r="Q8" i="15"/>
  <c r="K9" i="15"/>
  <c r="L9" i="15"/>
  <c r="M9" i="15"/>
  <c r="N9" i="15"/>
  <c r="O9" i="15"/>
  <c r="P9" i="15"/>
  <c r="Q9" i="15"/>
  <c r="K10" i="15"/>
  <c r="L10" i="15"/>
  <c r="M10" i="15"/>
  <c r="N10" i="15"/>
  <c r="O10" i="15"/>
  <c r="P10" i="15"/>
  <c r="Q10" i="15"/>
  <c r="K11" i="15"/>
  <c r="L11" i="15"/>
  <c r="M11" i="15"/>
  <c r="N11" i="15"/>
  <c r="O11" i="15"/>
  <c r="P11" i="15"/>
  <c r="Q11" i="15"/>
  <c r="K12" i="15"/>
  <c r="L12" i="15"/>
  <c r="M12" i="15"/>
  <c r="N12" i="15"/>
  <c r="O12" i="15"/>
  <c r="P12" i="15"/>
  <c r="Q12" i="15"/>
  <c r="K13" i="15"/>
  <c r="L13" i="15"/>
  <c r="M13" i="15"/>
  <c r="N13" i="15"/>
  <c r="O13" i="15"/>
  <c r="P13" i="15"/>
  <c r="Q13" i="15"/>
  <c r="K14" i="15"/>
  <c r="L14" i="15"/>
  <c r="M14" i="15"/>
  <c r="N14" i="15"/>
  <c r="O14" i="15"/>
  <c r="P14" i="15"/>
  <c r="Q14" i="15"/>
  <c r="K15" i="15"/>
  <c r="L15" i="15"/>
  <c r="M15" i="15"/>
  <c r="N15" i="15"/>
  <c r="O15" i="15"/>
  <c r="P15" i="15"/>
  <c r="Q15" i="15"/>
  <c r="K16" i="15"/>
  <c r="L16" i="15"/>
  <c r="M16" i="15"/>
  <c r="N16" i="15"/>
  <c r="O16" i="15"/>
  <c r="P16" i="15"/>
  <c r="Q16" i="15"/>
  <c r="K17" i="15"/>
  <c r="L17" i="15"/>
  <c r="M17" i="15"/>
  <c r="N17" i="15"/>
  <c r="O17" i="15"/>
  <c r="P17" i="15"/>
  <c r="Q17" i="15"/>
  <c r="K18" i="15"/>
  <c r="L18" i="15"/>
  <c r="M18" i="15"/>
  <c r="N18" i="15"/>
  <c r="O18" i="15"/>
  <c r="P18" i="15"/>
  <c r="Q18" i="15"/>
  <c r="K19" i="15"/>
  <c r="L19" i="15"/>
  <c r="M19" i="15"/>
  <c r="N19" i="15"/>
  <c r="O19" i="15"/>
  <c r="P19" i="15"/>
  <c r="Q19" i="15"/>
  <c r="K20" i="15"/>
  <c r="L20" i="15"/>
  <c r="M20" i="15"/>
  <c r="N20" i="15"/>
  <c r="O20" i="15"/>
  <c r="P20" i="15"/>
  <c r="Q20" i="15"/>
  <c r="L6" i="15"/>
  <c r="M6" i="15"/>
  <c r="N6" i="15"/>
  <c r="O6" i="15"/>
  <c r="P6" i="15"/>
  <c r="Q6" i="15"/>
  <c r="K6" i="15"/>
  <c r="B64" i="15"/>
  <c r="C64" i="15"/>
  <c r="D64" i="15"/>
  <c r="E64" i="15"/>
  <c r="F64" i="15"/>
  <c r="G64" i="15"/>
  <c r="H64" i="15"/>
  <c r="B65" i="15"/>
  <c r="C65" i="15"/>
  <c r="D65" i="15"/>
  <c r="E65" i="15"/>
  <c r="F65" i="15"/>
  <c r="G65" i="15"/>
  <c r="H65" i="15"/>
  <c r="B66" i="15"/>
  <c r="C66" i="15"/>
  <c r="D66" i="15"/>
  <c r="E66" i="15"/>
  <c r="F66" i="15"/>
  <c r="G66" i="15"/>
  <c r="H66" i="15"/>
  <c r="B67" i="15"/>
  <c r="C67" i="15"/>
  <c r="D67" i="15"/>
  <c r="E67" i="15"/>
  <c r="F67" i="15"/>
  <c r="G67" i="15"/>
  <c r="H67" i="15"/>
  <c r="B68" i="15"/>
  <c r="C68" i="15"/>
  <c r="D68" i="15"/>
  <c r="E68" i="15"/>
  <c r="F68" i="15"/>
  <c r="G68" i="15"/>
  <c r="H68" i="15"/>
  <c r="B69" i="15"/>
  <c r="C69" i="15"/>
  <c r="D69" i="15"/>
  <c r="E69" i="15"/>
  <c r="F69" i="15"/>
  <c r="G69" i="15"/>
  <c r="H69" i="15"/>
  <c r="B70" i="15"/>
  <c r="C70" i="15"/>
  <c r="D70" i="15"/>
  <c r="E70" i="15"/>
  <c r="F70" i="15"/>
  <c r="G70" i="15"/>
  <c r="H70" i="15"/>
  <c r="B71" i="15"/>
  <c r="C71" i="15"/>
  <c r="D71" i="15"/>
  <c r="E71" i="15"/>
  <c r="F71" i="15"/>
  <c r="G71" i="15"/>
  <c r="H71" i="15"/>
  <c r="B72" i="15"/>
  <c r="C72" i="15"/>
  <c r="D72" i="15"/>
  <c r="E72" i="15"/>
  <c r="F72" i="15"/>
  <c r="G72" i="15"/>
  <c r="H72" i="15"/>
  <c r="B73" i="15"/>
  <c r="C73" i="15"/>
  <c r="D73" i="15"/>
  <c r="E73" i="15"/>
  <c r="F73" i="15"/>
  <c r="G73" i="15"/>
  <c r="H73" i="15"/>
  <c r="B74" i="15"/>
  <c r="C74" i="15"/>
  <c r="D74" i="15"/>
  <c r="E74" i="15"/>
  <c r="F74" i="15"/>
  <c r="G74" i="15"/>
  <c r="H74" i="15"/>
  <c r="B75" i="15"/>
  <c r="C75" i="15"/>
  <c r="D75" i="15"/>
  <c r="E75" i="15"/>
  <c r="F75" i="15"/>
  <c r="G75" i="15"/>
  <c r="H75" i="15"/>
  <c r="B76" i="15"/>
  <c r="C76" i="15"/>
  <c r="D76" i="15"/>
  <c r="E76" i="15"/>
  <c r="F76" i="15"/>
  <c r="G76" i="15"/>
  <c r="H76" i="15"/>
  <c r="B77" i="15"/>
  <c r="C77" i="15"/>
  <c r="D77" i="15"/>
  <c r="E77" i="15"/>
  <c r="F77" i="15"/>
  <c r="G77" i="15"/>
  <c r="H77" i="15"/>
  <c r="C63" i="15"/>
  <c r="D63" i="15"/>
  <c r="E63" i="15"/>
  <c r="F63" i="15"/>
  <c r="G63" i="15"/>
  <c r="H63" i="15"/>
  <c r="B63" i="15"/>
  <c r="B45" i="15"/>
  <c r="C45" i="15"/>
  <c r="D45" i="15"/>
  <c r="E45" i="15"/>
  <c r="F45" i="15"/>
  <c r="G45" i="15"/>
  <c r="H45" i="15"/>
  <c r="B46" i="15"/>
  <c r="C46" i="15"/>
  <c r="D46" i="15"/>
  <c r="E46" i="15"/>
  <c r="F46" i="15"/>
  <c r="G46" i="15"/>
  <c r="H46" i="15"/>
  <c r="B47" i="15"/>
  <c r="C47" i="15"/>
  <c r="D47" i="15"/>
  <c r="E47" i="15"/>
  <c r="F47" i="15"/>
  <c r="G47" i="15"/>
  <c r="H47" i="15"/>
  <c r="B48" i="15"/>
  <c r="C48" i="15"/>
  <c r="D48" i="15"/>
  <c r="E48" i="15"/>
  <c r="F48" i="15"/>
  <c r="G48" i="15"/>
  <c r="H48" i="15"/>
  <c r="B49" i="15"/>
  <c r="C49" i="15"/>
  <c r="D49" i="15"/>
  <c r="E49" i="15"/>
  <c r="F49" i="15"/>
  <c r="G49" i="15"/>
  <c r="H49" i="15"/>
  <c r="B50" i="15"/>
  <c r="C50" i="15"/>
  <c r="D50" i="15"/>
  <c r="E50" i="15"/>
  <c r="F50" i="15"/>
  <c r="G50" i="15"/>
  <c r="H50" i="15"/>
  <c r="B51" i="15"/>
  <c r="C51" i="15"/>
  <c r="D51" i="15"/>
  <c r="E51" i="15"/>
  <c r="F51" i="15"/>
  <c r="G51" i="15"/>
  <c r="H51" i="15"/>
  <c r="B52" i="15"/>
  <c r="C52" i="15"/>
  <c r="D52" i="15"/>
  <c r="E52" i="15"/>
  <c r="F52" i="15"/>
  <c r="G52" i="15"/>
  <c r="H52" i="15"/>
  <c r="B53" i="15"/>
  <c r="C53" i="15"/>
  <c r="D53" i="15"/>
  <c r="E53" i="15"/>
  <c r="F53" i="15"/>
  <c r="G53" i="15"/>
  <c r="H53" i="15"/>
  <c r="B54" i="15"/>
  <c r="C54" i="15"/>
  <c r="D54" i="15"/>
  <c r="E54" i="15"/>
  <c r="F54" i="15"/>
  <c r="G54" i="15"/>
  <c r="H54" i="15"/>
  <c r="B55" i="15"/>
  <c r="C55" i="15"/>
  <c r="D55" i="15"/>
  <c r="E55" i="15"/>
  <c r="F55" i="15"/>
  <c r="G55" i="15"/>
  <c r="H55" i="15"/>
  <c r="B56" i="15"/>
  <c r="C56" i="15"/>
  <c r="D56" i="15"/>
  <c r="E56" i="15"/>
  <c r="F56" i="15"/>
  <c r="G56" i="15"/>
  <c r="H56" i="15"/>
  <c r="B57" i="15"/>
  <c r="C57" i="15"/>
  <c r="D57" i="15"/>
  <c r="E57" i="15"/>
  <c r="F57" i="15"/>
  <c r="G57" i="15"/>
  <c r="H57" i="15"/>
  <c r="B58" i="15"/>
  <c r="C58" i="15"/>
  <c r="D58" i="15"/>
  <c r="E58" i="15"/>
  <c r="F58" i="15"/>
  <c r="G58" i="15"/>
  <c r="H58" i="15"/>
  <c r="C44" i="15"/>
  <c r="D44" i="15"/>
  <c r="E44" i="15"/>
  <c r="F44" i="15"/>
  <c r="G44" i="15"/>
  <c r="H44" i="15"/>
  <c r="B44" i="15"/>
  <c r="B26" i="15"/>
  <c r="C26" i="15"/>
  <c r="D26" i="15"/>
  <c r="E26" i="15"/>
  <c r="F26" i="15"/>
  <c r="G26" i="15"/>
  <c r="H26" i="15"/>
  <c r="B27" i="15"/>
  <c r="C27" i="15"/>
  <c r="D27" i="15"/>
  <c r="E27" i="15"/>
  <c r="F27" i="15"/>
  <c r="G27" i="15"/>
  <c r="H27" i="15"/>
  <c r="B28" i="15"/>
  <c r="C28" i="15"/>
  <c r="D28" i="15"/>
  <c r="E28" i="15"/>
  <c r="F28" i="15"/>
  <c r="G28" i="15"/>
  <c r="H28" i="15"/>
  <c r="B29" i="15"/>
  <c r="C29" i="15"/>
  <c r="D29" i="15"/>
  <c r="E29" i="15"/>
  <c r="F29" i="15"/>
  <c r="G29" i="15"/>
  <c r="H29" i="15"/>
  <c r="B30" i="15"/>
  <c r="C30" i="15"/>
  <c r="D30" i="15"/>
  <c r="E30" i="15"/>
  <c r="F30" i="15"/>
  <c r="G30" i="15"/>
  <c r="H30" i="15"/>
  <c r="B31" i="15"/>
  <c r="C31" i="15"/>
  <c r="D31" i="15"/>
  <c r="E31" i="15"/>
  <c r="F31" i="15"/>
  <c r="G31" i="15"/>
  <c r="H31" i="15"/>
  <c r="B32" i="15"/>
  <c r="C32" i="15"/>
  <c r="D32" i="15"/>
  <c r="E32" i="15"/>
  <c r="F32" i="15"/>
  <c r="G32" i="15"/>
  <c r="H32" i="15"/>
  <c r="B33" i="15"/>
  <c r="C33" i="15"/>
  <c r="D33" i="15"/>
  <c r="E33" i="15"/>
  <c r="F33" i="15"/>
  <c r="G33" i="15"/>
  <c r="H33" i="15"/>
  <c r="B34" i="15"/>
  <c r="C34" i="15"/>
  <c r="D34" i="15"/>
  <c r="E34" i="15"/>
  <c r="F34" i="15"/>
  <c r="G34" i="15"/>
  <c r="H34" i="15"/>
  <c r="B35" i="15"/>
  <c r="C35" i="15"/>
  <c r="D35" i="15"/>
  <c r="E35" i="15"/>
  <c r="F35" i="15"/>
  <c r="G35" i="15"/>
  <c r="H35" i="15"/>
  <c r="B36" i="15"/>
  <c r="C36" i="15"/>
  <c r="D36" i="15"/>
  <c r="E36" i="15"/>
  <c r="F36" i="15"/>
  <c r="G36" i="15"/>
  <c r="H36" i="15"/>
  <c r="B37" i="15"/>
  <c r="C37" i="15"/>
  <c r="D37" i="15"/>
  <c r="E37" i="15"/>
  <c r="F37" i="15"/>
  <c r="G37" i="15"/>
  <c r="H37" i="15"/>
  <c r="B38" i="15"/>
  <c r="C38" i="15"/>
  <c r="D38" i="15"/>
  <c r="E38" i="15"/>
  <c r="F38" i="15"/>
  <c r="G38" i="15"/>
  <c r="H38" i="15"/>
  <c r="B39" i="15"/>
  <c r="C39" i="15"/>
  <c r="D39" i="15"/>
  <c r="E39" i="15"/>
  <c r="F39" i="15"/>
  <c r="G39" i="15"/>
  <c r="H39" i="15"/>
  <c r="C25" i="15"/>
  <c r="D25" i="15"/>
  <c r="E25" i="15"/>
  <c r="F25" i="15"/>
  <c r="G25" i="15"/>
  <c r="H25" i="15"/>
  <c r="B25" i="15"/>
  <c r="B7" i="15"/>
  <c r="C7" i="15"/>
  <c r="D7" i="15"/>
  <c r="E7" i="15"/>
  <c r="F7" i="15"/>
  <c r="G7" i="15"/>
  <c r="H7" i="15"/>
  <c r="B8" i="15"/>
  <c r="C8" i="15"/>
  <c r="D8" i="15"/>
  <c r="E8" i="15"/>
  <c r="F8" i="15"/>
  <c r="G8" i="15"/>
  <c r="H8" i="15"/>
  <c r="B9" i="15"/>
  <c r="C9" i="15"/>
  <c r="D9" i="15"/>
  <c r="E9" i="15"/>
  <c r="F9" i="15"/>
  <c r="G9" i="15"/>
  <c r="H9" i="15"/>
  <c r="B10" i="15"/>
  <c r="C10" i="15"/>
  <c r="D10" i="15"/>
  <c r="E10" i="15"/>
  <c r="F10" i="15"/>
  <c r="G10" i="15"/>
  <c r="H10" i="15"/>
  <c r="B11" i="15"/>
  <c r="C11" i="15"/>
  <c r="D11" i="15"/>
  <c r="E11" i="15"/>
  <c r="F11" i="15"/>
  <c r="G11" i="15"/>
  <c r="H11" i="15"/>
  <c r="B12" i="15"/>
  <c r="C12" i="15"/>
  <c r="D12" i="15"/>
  <c r="E12" i="15"/>
  <c r="F12" i="15"/>
  <c r="G12" i="15"/>
  <c r="H12" i="15"/>
  <c r="B13" i="15"/>
  <c r="C13" i="15"/>
  <c r="D13" i="15"/>
  <c r="E13" i="15"/>
  <c r="F13" i="15"/>
  <c r="G13" i="15"/>
  <c r="H13" i="15"/>
  <c r="B14" i="15"/>
  <c r="C14" i="15"/>
  <c r="D14" i="15"/>
  <c r="E14" i="15"/>
  <c r="F14" i="15"/>
  <c r="G14" i="15"/>
  <c r="H14" i="15"/>
  <c r="B15" i="15"/>
  <c r="C15" i="15"/>
  <c r="D15" i="15"/>
  <c r="E15" i="15"/>
  <c r="F15" i="15"/>
  <c r="G15" i="15"/>
  <c r="H15" i="15"/>
  <c r="B16" i="15"/>
  <c r="C16" i="15"/>
  <c r="D16" i="15"/>
  <c r="E16" i="15"/>
  <c r="F16" i="15"/>
  <c r="G16" i="15"/>
  <c r="H16" i="15"/>
  <c r="B17" i="15"/>
  <c r="C17" i="15"/>
  <c r="D17" i="15"/>
  <c r="E17" i="15"/>
  <c r="F17" i="15"/>
  <c r="G17" i="15"/>
  <c r="H17" i="15"/>
  <c r="B18" i="15"/>
  <c r="C18" i="15"/>
  <c r="D18" i="15"/>
  <c r="E18" i="15"/>
  <c r="F18" i="15"/>
  <c r="G18" i="15"/>
  <c r="H18" i="15"/>
  <c r="B19" i="15"/>
  <c r="C19" i="15"/>
  <c r="D19" i="15"/>
  <c r="E19" i="15"/>
  <c r="F19" i="15"/>
  <c r="G19" i="15"/>
  <c r="H19" i="15"/>
  <c r="B20" i="15"/>
  <c r="C20" i="15"/>
  <c r="D20" i="15"/>
  <c r="E20" i="15"/>
  <c r="F20" i="15"/>
  <c r="G20" i="15"/>
  <c r="H20" i="15"/>
  <c r="C6" i="15"/>
  <c r="D6" i="15"/>
  <c r="E6" i="15"/>
  <c r="F6" i="15"/>
  <c r="G6" i="15"/>
  <c r="H6" i="15"/>
  <c r="B6" i="15"/>
  <c r="AU64" i="16"/>
  <c r="AV64" i="16"/>
  <c r="AW64" i="16"/>
  <c r="AX64" i="16"/>
  <c r="AY64" i="16"/>
  <c r="AZ64" i="16"/>
  <c r="BA64" i="16"/>
  <c r="AU65" i="16"/>
  <c r="AV65" i="16"/>
  <c r="AW65" i="16"/>
  <c r="AX65" i="16"/>
  <c r="AY65" i="16"/>
  <c r="AZ65" i="16"/>
  <c r="BA65" i="16"/>
  <c r="AU66" i="16"/>
  <c r="AV66" i="16"/>
  <c r="AW66" i="16"/>
  <c r="AX66" i="16"/>
  <c r="AY66" i="16"/>
  <c r="AZ66" i="16"/>
  <c r="BA66" i="16"/>
  <c r="AU67" i="16"/>
  <c r="AV67" i="16"/>
  <c r="AW67" i="16"/>
  <c r="AX67" i="16"/>
  <c r="AY67" i="16"/>
  <c r="AZ67" i="16"/>
  <c r="BA67" i="16"/>
  <c r="AU68" i="16"/>
  <c r="AV68" i="16"/>
  <c r="AW68" i="16"/>
  <c r="AX68" i="16"/>
  <c r="AY68" i="16"/>
  <c r="AZ68" i="16"/>
  <c r="BA68" i="16"/>
  <c r="AU69" i="16"/>
  <c r="AV69" i="16"/>
  <c r="AW69" i="16"/>
  <c r="AX69" i="16"/>
  <c r="AY69" i="16"/>
  <c r="AZ69" i="16"/>
  <c r="BA69" i="16"/>
  <c r="AU70" i="16"/>
  <c r="AV70" i="16"/>
  <c r="AW70" i="16"/>
  <c r="AX70" i="16"/>
  <c r="AY70" i="16"/>
  <c r="AZ70" i="16"/>
  <c r="BA70" i="16"/>
  <c r="AU71" i="16"/>
  <c r="AV71" i="16"/>
  <c r="AW71" i="16"/>
  <c r="AX71" i="16"/>
  <c r="AY71" i="16"/>
  <c r="AZ71" i="16"/>
  <c r="BA71" i="16"/>
  <c r="AU72" i="16"/>
  <c r="AV72" i="16"/>
  <c r="AW72" i="16"/>
  <c r="AX72" i="16"/>
  <c r="AY72" i="16"/>
  <c r="AZ72" i="16"/>
  <c r="BA72" i="16"/>
  <c r="AU73" i="16"/>
  <c r="AV73" i="16"/>
  <c r="AW73" i="16"/>
  <c r="AX73" i="16"/>
  <c r="AY73" i="16"/>
  <c r="AZ73" i="16"/>
  <c r="BA73" i="16"/>
  <c r="AU74" i="16"/>
  <c r="AV74" i="16"/>
  <c r="AW74" i="16"/>
  <c r="AX74" i="16"/>
  <c r="AY74" i="16"/>
  <c r="AZ74" i="16"/>
  <c r="BA74" i="16"/>
  <c r="AU75" i="16"/>
  <c r="AV75" i="16"/>
  <c r="AW75" i="16"/>
  <c r="AX75" i="16"/>
  <c r="AY75" i="16"/>
  <c r="AZ75" i="16"/>
  <c r="BA75" i="16"/>
  <c r="AU76" i="16"/>
  <c r="AV76" i="16"/>
  <c r="AW76" i="16"/>
  <c r="AX76" i="16"/>
  <c r="AY76" i="16"/>
  <c r="AZ76" i="16"/>
  <c r="BA76" i="16"/>
  <c r="AU77" i="16"/>
  <c r="AV77" i="16"/>
  <c r="AW77" i="16"/>
  <c r="AX77" i="16"/>
  <c r="AY77" i="16"/>
  <c r="AZ77" i="16"/>
  <c r="BA77" i="16"/>
  <c r="AV63" i="16"/>
  <c r="AW63" i="16"/>
  <c r="AX63" i="16"/>
  <c r="AY63" i="16"/>
  <c r="AZ63" i="16"/>
  <c r="BA63" i="16"/>
  <c r="AU63" i="16"/>
  <c r="AU45" i="16"/>
  <c r="AV45" i="16"/>
  <c r="AW45" i="16"/>
  <c r="AX45" i="16"/>
  <c r="AY45" i="16"/>
  <c r="AZ45" i="16"/>
  <c r="BA45" i="16"/>
  <c r="AU46" i="16"/>
  <c r="AV46" i="16"/>
  <c r="AW46" i="16"/>
  <c r="AX46" i="16"/>
  <c r="AY46" i="16"/>
  <c r="AZ46" i="16"/>
  <c r="BA46" i="16"/>
  <c r="AU47" i="16"/>
  <c r="AV47" i="16"/>
  <c r="AW47" i="16"/>
  <c r="AX47" i="16"/>
  <c r="AY47" i="16"/>
  <c r="AZ47" i="16"/>
  <c r="BA47" i="16"/>
  <c r="AU48" i="16"/>
  <c r="AV48" i="16"/>
  <c r="AW48" i="16"/>
  <c r="AX48" i="16"/>
  <c r="AY48" i="16"/>
  <c r="AZ48" i="16"/>
  <c r="BA48" i="16"/>
  <c r="AU49" i="16"/>
  <c r="AV49" i="16"/>
  <c r="AW49" i="16"/>
  <c r="AX49" i="16"/>
  <c r="AY49" i="16"/>
  <c r="AZ49" i="16"/>
  <c r="BA49" i="16"/>
  <c r="AU50" i="16"/>
  <c r="AV50" i="16"/>
  <c r="AW50" i="16"/>
  <c r="AX50" i="16"/>
  <c r="AY50" i="16"/>
  <c r="AZ50" i="16"/>
  <c r="BA50" i="16"/>
  <c r="AU51" i="16"/>
  <c r="AV51" i="16"/>
  <c r="AW51" i="16"/>
  <c r="AX51" i="16"/>
  <c r="AY51" i="16"/>
  <c r="AZ51" i="16"/>
  <c r="BA51" i="16"/>
  <c r="AU52" i="16"/>
  <c r="AV52" i="16"/>
  <c r="AW52" i="16"/>
  <c r="AX52" i="16"/>
  <c r="AY52" i="16"/>
  <c r="AZ52" i="16"/>
  <c r="BA52" i="16"/>
  <c r="AU53" i="16"/>
  <c r="AV53" i="16"/>
  <c r="AW53" i="16"/>
  <c r="AX53" i="16"/>
  <c r="AY53" i="16"/>
  <c r="AZ53" i="16"/>
  <c r="BA53" i="16"/>
  <c r="AU54" i="16"/>
  <c r="AV54" i="16"/>
  <c r="AW54" i="16"/>
  <c r="AX54" i="16"/>
  <c r="AY54" i="16"/>
  <c r="AZ54" i="16"/>
  <c r="BA54" i="16"/>
  <c r="AU55" i="16"/>
  <c r="AV55" i="16"/>
  <c r="AW55" i="16"/>
  <c r="AX55" i="16"/>
  <c r="AY55" i="16"/>
  <c r="AZ55" i="16"/>
  <c r="BA55" i="16"/>
  <c r="AU56" i="16"/>
  <c r="AV56" i="16"/>
  <c r="AW56" i="16"/>
  <c r="AX56" i="16"/>
  <c r="AY56" i="16"/>
  <c r="AZ56" i="16"/>
  <c r="BA56" i="16"/>
  <c r="AU57" i="16"/>
  <c r="AV57" i="16"/>
  <c r="AW57" i="16"/>
  <c r="AX57" i="16"/>
  <c r="AY57" i="16"/>
  <c r="AZ57" i="16"/>
  <c r="BA57" i="16"/>
  <c r="AU58" i="16"/>
  <c r="AV58" i="16"/>
  <c r="AW58" i="16"/>
  <c r="AX58" i="16"/>
  <c r="AY58" i="16"/>
  <c r="AZ58" i="16"/>
  <c r="BA58" i="16"/>
  <c r="AV44" i="16"/>
  <c r="AW44" i="16"/>
  <c r="AX44" i="16"/>
  <c r="AY44" i="16"/>
  <c r="AZ44" i="16"/>
  <c r="BA44" i="16"/>
  <c r="AU44" i="16"/>
  <c r="AU26" i="16"/>
  <c r="AV26" i="16"/>
  <c r="AW26" i="16"/>
  <c r="AX26" i="16"/>
  <c r="AY26" i="16"/>
  <c r="AZ26" i="16"/>
  <c r="BA26" i="16"/>
  <c r="AU27" i="16"/>
  <c r="AV27" i="16"/>
  <c r="AW27" i="16"/>
  <c r="AX27" i="16"/>
  <c r="AY27" i="16"/>
  <c r="AZ27" i="16"/>
  <c r="BA27" i="16"/>
  <c r="AU28" i="16"/>
  <c r="AV28" i="16"/>
  <c r="AW28" i="16"/>
  <c r="AX28" i="16"/>
  <c r="AY28" i="16"/>
  <c r="AZ28" i="16"/>
  <c r="BA28" i="16"/>
  <c r="AU29" i="16"/>
  <c r="AV29" i="16"/>
  <c r="AW29" i="16"/>
  <c r="AX29" i="16"/>
  <c r="AY29" i="16"/>
  <c r="AZ29" i="16"/>
  <c r="BA29" i="16"/>
  <c r="AU30" i="16"/>
  <c r="AV30" i="16"/>
  <c r="AW30" i="16"/>
  <c r="AX30" i="16"/>
  <c r="AY30" i="16"/>
  <c r="AZ30" i="16"/>
  <c r="BA30" i="16"/>
  <c r="AU31" i="16"/>
  <c r="AV31" i="16"/>
  <c r="AW31" i="16"/>
  <c r="AX31" i="16"/>
  <c r="AY31" i="16"/>
  <c r="AZ31" i="16"/>
  <c r="BA31" i="16"/>
  <c r="AU32" i="16"/>
  <c r="AV32" i="16"/>
  <c r="AW32" i="16"/>
  <c r="AX32" i="16"/>
  <c r="AY32" i="16"/>
  <c r="AZ32" i="16"/>
  <c r="BA32" i="16"/>
  <c r="AU33" i="16"/>
  <c r="AV33" i="16"/>
  <c r="AW33" i="16"/>
  <c r="AX33" i="16"/>
  <c r="AY33" i="16"/>
  <c r="AZ33" i="16"/>
  <c r="BA33" i="16"/>
  <c r="AU34" i="16"/>
  <c r="AV34" i="16"/>
  <c r="AW34" i="16"/>
  <c r="AX34" i="16"/>
  <c r="AY34" i="16"/>
  <c r="AZ34" i="16"/>
  <c r="BA34" i="16"/>
  <c r="AU35" i="16"/>
  <c r="AV35" i="16"/>
  <c r="AW35" i="16"/>
  <c r="AX35" i="16"/>
  <c r="AY35" i="16"/>
  <c r="AZ35" i="16"/>
  <c r="BA35" i="16"/>
  <c r="AU36" i="16"/>
  <c r="AV36" i="16"/>
  <c r="AW36" i="16"/>
  <c r="AX36" i="16"/>
  <c r="AY36" i="16"/>
  <c r="AZ36" i="16"/>
  <c r="BA36" i="16"/>
  <c r="AU37" i="16"/>
  <c r="AV37" i="16"/>
  <c r="AW37" i="16"/>
  <c r="AX37" i="16"/>
  <c r="AY37" i="16"/>
  <c r="AZ37" i="16"/>
  <c r="BA37" i="16"/>
  <c r="AU38" i="16"/>
  <c r="AV38" i="16"/>
  <c r="AW38" i="16"/>
  <c r="AX38" i="16"/>
  <c r="AY38" i="16"/>
  <c r="AZ38" i="16"/>
  <c r="BA38" i="16"/>
  <c r="AU39" i="16"/>
  <c r="AV39" i="16"/>
  <c r="AW39" i="16"/>
  <c r="AX39" i="16"/>
  <c r="AY39" i="16"/>
  <c r="AZ39" i="16"/>
  <c r="BA39" i="16"/>
  <c r="AV25" i="16"/>
  <c r="AW25" i="16"/>
  <c r="AX25" i="16"/>
  <c r="AY25" i="16"/>
  <c r="AZ25" i="16"/>
  <c r="BA25" i="16"/>
  <c r="AU25" i="16"/>
  <c r="AU7" i="16"/>
  <c r="AV7" i="16"/>
  <c r="AW7" i="16"/>
  <c r="AX7" i="16"/>
  <c r="AY7" i="16"/>
  <c r="AZ7" i="16"/>
  <c r="BA7" i="16"/>
  <c r="AU8" i="16"/>
  <c r="AV8" i="16"/>
  <c r="AW8" i="16"/>
  <c r="AX8" i="16"/>
  <c r="AY8" i="16"/>
  <c r="AZ8" i="16"/>
  <c r="BA8" i="16"/>
  <c r="AU9" i="16"/>
  <c r="AV9" i="16"/>
  <c r="AW9" i="16"/>
  <c r="AX9" i="16"/>
  <c r="AY9" i="16"/>
  <c r="AZ9" i="16"/>
  <c r="BA9" i="16"/>
  <c r="AU10" i="16"/>
  <c r="AV10" i="16"/>
  <c r="AW10" i="16"/>
  <c r="AX10" i="16"/>
  <c r="AY10" i="16"/>
  <c r="AZ10" i="16"/>
  <c r="BA10" i="16"/>
  <c r="AU11" i="16"/>
  <c r="AV11" i="16"/>
  <c r="AW11" i="16"/>
  <c r="AX11" i="16"/>
  <c r="AY11" i="16"/>
  <c r="AZ11" i="16"/>
  <c r="BA11" i="16"/>
  <c r="AU12" i="16"/>
  <c r="AV12" i="16"/>
  <c r="AW12" i="16"/>
  <c r="AX12" i="16"/>
  <c r="AY12" i="16"/>
  <c r="AZ12" i="16"/>
  <c r="BA12" i="16"/>
  <c r="AU13" i="16"/>
  <c r="AV13" i="16"/>
  <c r="AW13" i="16"/>
  <c r="AX13" i="16"/>
  <c r="AY13" i="16"/>
  <c r="AZ13" i="16"/>
  <c r="BA13" i="16"/>
  <c r="AU14" i="16"/>
  <c r="AV14" i="16"/>
  <c r="AW14" i="16"/>
  <c r="AX14" i="16"/>
  <c r="AY14" i="16"/>
  <c r="AZ14" i="16"/>
  <c r="BA14" i="16"/>
  <c r="AU15" i="16"/>
  <c r="AV15" i="16"/>
  <c r="AW15" i="16"/>
  <c r="AX15" i="16"/>
  <c r="AY15" i="16"/>
  <c r="AZ15" i="16"/>
  <c r="BA15" i="16"/>
  <c r="AU16" i="16"/>
  <c r="AV16" i="16"/>
  <c r="AW16" i="16"/>
  <c r="AX16" i="16"/>
  <c r="AY16" i="16"/>
  <c r="AZ16" i="16"/>
  <c r="BA16" i="16"/>
  <c r="AU17" i="16"/>
  <c r="AV17" i="16"/>
  <c r="AW17" i="16"/>
  <c r="AX17" i="16"/>
  <c r="AY17" i="16"/>
  <c r="AZ17" i="16"/>
  <c r="BA17" i="16"/>
  <c r="AU18" i="16"/>
  <c r="AV18" i="16"/>
  <c r="AW18" i="16"/>
  <c r="AX18" i="16"/>
  <c r="AY18" i="16"/>
  <c r="AZ18" i="16"/>
  <c r="BA18" i="16"/>
  <c r="AU19" i="16"/>
  <c r="AV19" i="16"/>
  <c r="AW19" i="16"/>
  <c r="AX19" i="16"/>
  <c r="AY19" i="16"/>
  <c r="AZ19" i="16"/>
  <c r="BA19" i="16"/>
  <c r="AU20" i="16"/>
  <c r="AV20" i="16"/>
  <c r="AW20" i="16"/>
  <c r="AX20" i="16"/>
  <c r="AY20" i="16"/>
  <c r="AZ20" i="16"/>
  <c r="BA20" i="16"/>
  <c r="AV6" i="16"/>
  <c r="AW6" i="16"/>
  <c r="AX6" i="16"/>
  <c r="AY6" i="16"/>
  <c r="AZ6" i="16"/>
  <c r="BA6" i="16"/>
  <c r="AU6" i="16"/>
  <c r="AL64" i="16"/>
  <c r="AM64" i="16"/>
  <c r="AN64" i="16"/>
  <c r="AO64" i="16"/>
  <c r="AP64" i="16"/>
  <c r="AQ64" i="16"/>
  <c r="AR64" i="16"/>
  <c r="AL65" i="16"/>
  <c r="AM65" i="16"/>
  <c r="AN65" i="16"/>
  <c r="AO65" i="16"/>
  <c r="AP65" i="16"/>
  <c r="AQ65" i="16"/>
  <c r="AR65" i="16"/>
  <c r="AL66" i="16"/>
  <c r="AM66" i="16"/>
  <c r="AN66" i="16"/>
  <c r="AO66" i="16"/>
  <c r="AP66" i="16"/>
  <c r="AQ66" i="16"/>
  <c r="AR66" i="16"/>
  <c r="AL67" i="16"/>
  <c r="AM67" i="16"/>
  <c r="AN67" i="16"/>
  <c r="AO67" i="16"/>
  <c r="AP67" i="16"/>
  <c r="AQ67" i="16"/>
  <c r="AR67" i="16"/>
  <c r="AL68" i="16"/>
  <c r="AM68" i="16"/>
  <c r="AN68" i="16"/>
  <c r="AO68" i="16"/>
  <c r="AP68" i="16"/>
  <c r="AQ68" i="16"/>
  <c r="AR68" i="16"/>
  <c r="AL69" i="16"/>
  <c r="AM69" i="16"/>
  <c r="AN69" i="16"/>
  <c r="AO69" i="16"/>
  <c r="AP69" i="16"/>
  <c r="AQ69" i="16"/>
  <c r="AR69" i="16"/>
  <c r="AL70" i="16"/>
  <c r="AM70" i="16"/>
  <c r="AN70" i="16"/>
  <c r="AO70" i="16"/>
  <c r="AP70" i="16"/>
  <c r="AQ70" i="16"/>
  <c r="AR70" i="16"/>
  <c r="AL71" i="16"/>
  <c r="AM71" i="16"/>
  <c r="AN71" i="16"/>
  <c r="AO71" i="16"/>
  <c r="AP71" i="16"/>
  <c r="AQ71" i="16"/>
  <c r="AR71" i="16"/>
  <c r="AL72" i="16"/>
  <c r="AM72" i="16"/>
  <c r="AN72" i="16"/>
  <c r="AO72" i="16"/>
  <c r="AP72" i="16"/>
  <c r="AQ72" i="16"/>
  <c r="AR72" i="16"/>
  <c r="AL73" i="16"/>
  <c r="AM73" i="16"/>
  <c r="AN73" i="16"/>
  <c r="AO73" i="16"/>
  <c r="AP73" i="16"/>
  <c r="AQ73" i="16"/>
  <c r="AR73" i="16"/>
  <c r="AL74" i="16"/>
  <c r="AM74" i="16"/>
  <c r="AN74" i="16"/>
  <c r="AO74" i="16"/>
  <c r="AP74" i="16"/>
  <c r="AQ74" i="16"/>
  <c r="AR74" i="16"/>
  <c r="AL75" i="16"/>
  <c r="AM75" i="16"/>
  <c r="AN75" i="16"/>
  <c r="AO75" i="16"/>
  <c r="AP75" i="16"/>
  <c r="AQ75" i="16"/>
  <c r="AR75" i="16"/>
  <c r="AL76" i="16"/>
  <c r="AM76" i="16"/>
  <c r="AN76" i="16"/>
  <c r="AO76" i="16"/>
  <c r="AP76" i="16"/>
  <c r="AQ76" i="16"/>
  <c r="AR76" i="16"/>
  <c r="AL77" i="16"/>
  <c r="AM77" i="16"/>
  <c r="AN77" i="16"/>
  <c r="AO77" i="16"/>
  <c r="AP77" i="16"/>
  <c r="AQ77" i="16"/>
  <c r="AR77" i="16"/>
  <c r="AM63" i="16"/>
  <c r="AN63" i="16"/>
  <c r="AO63" i="16"/>
  <c r="AP63" i="16"/>
  <c r="AQ63" i="16"/>
  <c r="AR63" i="16"/>
  <c r="AL63" i="16"/>
  <c r="AL45" i="16"/>
  <c r="AM45" i="16"/>
  <c r="AN45" i="16"/>
  <c r="AO45" i="16"/>
  <c r="AP45" i="16"/>
  <c r="AQ45" i="16"/>
  <c r="AR45" i="16"/>
  <c r="AL46" i="16"/>
  <c r="AM46" i="16"/>
  <c r="AN46" i="16"/>
  <c r="AO46" i="16"/>
  <c r="AP46" i="16"/>
  <c r="AQ46" i="16"/>
  <c r="AR46" i="16"/>
  <c r="AL47" i="16"/>
  <c r="AM47" i="16"/>
  <c r="AN47" i="16"/>
  <c r="AO47" i="16"/>
  <c r="AP47" i="16"/>
  <c r="AQ47" i="16"/>
  <c r="AR47" i="16"/>
  <c r="AL48" i="16"/>
  <c r="AM48" i="16"/>
  <c r="AN48" i="16"/>
  <c r="AO48" i="16"/>
  <c r="AP48" i="16"/>
  <c r="AQ48" i="16"/>
  <c r="AR48" i="16"/>
  <c r="AL49" i="16"/>
  <c r="AM49" i="16"/>
  <c r="AN49" i="16"/>
  <c r="AO49" i="16"/>
  <c r="AP49" i="16"/>
  <c r="AQ49" i="16"/>
  <c r="AR49" i="16"/>
  <c r="AL50" i="16"/>
  <c r="AM50" i="16"/>
  <c r="AN50" i="16"/>
  <c r="AO50" i="16"/>
  <c r="AP50" i="16"/>
  <c r="AQ50" i="16"/>
  <c r="AR50" i="16"/>
  <c r="AL51" i="16"/>
  <c r="AM51" i="16"/>
  <c r="AN51" i="16"/>
  <c r="AO51" i="16"/>
  <c r="AP51" i="16"/>
  <c r="AQ51" i="16"/>
  <c r="AR51" i="16"/>
  <c r="AL52" i="16"/>
  <c r="AM52" i="16"/>
  <c r="AN52" i="16"/>
  <c r="AO52" i="16"/>
  <c r="AP52" i="16"/>
  <c r="AQ52" i="16"/>
  <c r="AR52" i="16"/>
  <c r="AL53" i="16"/>
  <c r="AM53" i="16"/>
  <c r="AN53" i="16"/>
  <c r="AO53" i="16"/>
  <c r="AP53" i="16"/>
  <c r="AQ53" i="16"/>
  <c r="AR53" i="16"/>
  <c r="AL54" i="16"/>
  <c r="AM54" i="16"/>
  <c r="AN54" i="16"/>
  <c r="AO54" i="16"/>
  <c r="AP54" i="16"/>
  <c r="AQ54" i="16"/>
  <c r="AR54" i="16"/>
  <c r="AL55" i="16"/>
  <c r="AM55" i="16"/>
  <c r="AN55" i="16"/>
  <c r="AO55" i="16"/>
  <c r="AP55" i="16"/>
  <c r="AQ55" i="16"/>
  <c r="AR55" i="16"/>
  <c r="AL56" i="16"/>
  <c r="AM56" i="16"/>
  <c r="AN56" i="16"/>
  <c r="AO56" i="16"/>
  <c r="AP56" i="16"/>
  <c r="AQ56" i="16"/>
  <c r="AR56" i="16"/>
  <c r="AL57" i="16"/>
  <c r="AM57" i="16"/>
  <c r="AN57" i="16"/>
  <c r="AO57" i="16"/>
  <c r="AP57" i="16"/>
  <c r="AQ57" i="16"/>
  <c r="AR57" i="16"/>
  <c r="AL58" i="16"/>
  <c r="AM58" i="16"/>
  <c r="AN58" i="16"/>
  <c r="AO58" i="16"/>
  <c r="AP58" i="16"/>
  <c r="AQ58" i="16"/>
  <c r="AR58" i="16"/>
  <c r="AM44" i="16"/>
  <c r="AN44" i="16"/>
  <c r="AO44" i="16"/>
  <c r="AP44" i="16"/>
  <c r="AQ44" i="16"/>
  <c r="AR44" i="16"/>
  <c r="AL44" i="16"/>
  <c r="AL26" i="16"/>
  <c r="AM26" i="16"/>
  <c r="AN26" i="16"/>
  <c r="AO26" i="16"/>
  <c r="AP26" i="16"/>
  <c r="AQ26" i="16"/>
  <c r="AR26" i="16"/>
  <c r="AL27" i="16"/>
  <c r="AM27" i="16"/>
  <c r="AN27" i="16"/>
  <c r="AO27" i="16"/>
  <c r="AP27" i="16"/>
  <c r="AQ27" i="16"/>
  <c r="AR27" i="16"/>
  <c r="AL28" i="16"/>
  <c r="AM28" i="16"/>
  <c r="AN28" i="16"/>
  <c r="AO28" i="16"/>
  <c r="AP28" i="16"/>
  <c r="AQ28" i="16"/>
  <c r="AR28" i="16"/>
  <c r="AL29" i="16"/>
  <c r="AM29" i="16"/>
  <c r="AN29" i="16"/>
  <c r="AO29" i="16"/>
  <c r="AP29" i="16"/>
  <c r="AQ29" i="16"/>
  <c r="AR29" i="16"/>
  <c r="AL30" i="16"/>
  <c r="AM30" i="16"/>
  <c r="AN30" i="16"/>
  <c r="AO30" i="16"/>
  <c r="AP30" i="16"/>
  <c r="AQ30" i="16"/>
  <c r="AR30" i="16"/>
  <c r="AL31" i="16"/>
  <c r="AM31" i="16"/>
  <c r="AN31" i="16"/>
  <c r="AO31" i="16"/>
  <c r="AP31" i="16"/>
  <c r="AQ31" i="16"/>
  <c r="AR31" i="16"/>
  <c r="AL32" i="16"/>
  <c r="AM32" i="16"/>
  <c r="AN32" i="16"/>
  <c r="AO32" i="16"/>
  <c r="AP32" i="16"/>
  <c r="AQ32" i="16"/>
  <c r="AR32" i="16"/>
  <c r="AL33" i="16"/>
  <c r="AM33" i="16"/>
  <c r="AN33" i="16"/>
  <c r="AO33" i="16"/>
  <c r="AP33" i="16"/>
  <c r="AQ33" i="16"/>
  <c r="AR33" i="16"/>
  <c r="AL34" i="16"/>
  <c r="AM34" i="16"/>
  <c r="AN34" i="16"/>
  <c r="AO34" i="16"/>
  <c r="AP34" i="16"/>
  <c r="AQ34" i="16"/>
  <c r="AR34" i="16"/>
  <c r="AL35" i="16"/>
  <c r="AM35" i="16"/>
  <c r="AN35" i="16"/>
  <c r="AO35" i="16"/>
  <c r="AP35" i="16"/>
  <c r="AQ35" i="16"/>
  <c r="AR35" i="16"/>
  <c r="AL36" i="16"/>
  <c r="AM36" i="16"/>
  <c r="AN36" i="16"/>
  <c r="AO36" i="16"/>
  <c r="AP36" i="16"/>
  <c r="AQ36" i="16"/>
  <c r="AR36" i="16"/>
  <c r="AL37" i="16"/>
  <c r="AM37" i="16"/>
  <c r="AN37" i="16"/>
  <c r="AO37" i="16"/>
  <c r="AP37" i="16"/>
  <c r="AQ37" i="16"/>
  <c r="AR37" i="16"/>
  <c r="AL38" i="16"/>
  <c r="AM38" i="16"/>
  <c r="AN38" i="16"/>
  <c r="AO38" i="16"/>
  <c r="AP38" i="16"/>
  <c r="AQ38" i="16"/>
  <c r="AR38" i="16"/>
  <c r="AL39" i="16"/>
  <c r="AM39" i="16"/>
  <c r="AN39" i="16"/>
  <c r="AO39" i="16"/>
  <c r="AP39" i="16"/>
  <c r="AQ39" i="16"/>
  <c r="AR39" i="16"/>
  <c r="AM25" i="16"/>
  <c r="AN25" i="16"/>
  <c r="AO25" i="16"/>
  <c r="AP25" i="16"/>
  <c r="AQ25" i="16"/>
  <c r="AR25" i="16"/>
  <c r="AL25" i="16"/>
  <c r="AL7" i="16"/>
  <c r="AM7" i="16"/>
  <c r="AN7" i="16"/>
  <c r="AO7" i="16"/>
  <c r="AP7" i="16"/>
  <c r="AQ7" i="16"/>
  <c r="AR7" i="16"/>
  <c r="AL8" i="16"/>
  <c r="AM8" i="16"/>
  <c r="AN8" i="16"/>
  <c r="AO8" i="16"/>
  <c r="AP8" i="16"/>
  <c r="AQ8" i="16"/>
  <c r="AR8" i="16"/>
  <c r="AL9" i="16"/>
  <c r="AM9" i="16"/>
  <c r="AN9" i="16"/>
  <c r="AO9" i="16"/>
  <c r="AP9" i="16"/>
  <c r="AQ9" i="16"/>
  <c r="AR9" i="16"/>
  <c r="AL10" i="16"/>
  <c r="AM10" i="16"/>
  <c r="AN10" i="16"/>
  <c r="AO10" i="16"/>
  <c r="AP10" i="16"/>
  <c r="AQ10" i="16"/>
  <c r="AR10" i="16"/>
  <c r="AL11" i="16"/>
  <c r="AM11" i="16"/>
  <c r="AN11" i="16"/>
  <c r="AO11" i="16"/>
  <c r="AP11" i="16"/>
  <c r="AQ11" i="16"/>
  <c r="AR11" i="16"/>
  <c r="AL12" i="16"/>
  <c r="AM12" i="16"/>
  <c r="AN12" i="16"/>
  <c r="AO12" i="16"/>
  <c r="AP12" i="16"/>
  <c r="AQ12" i="16"/>
  <c r="AR12" i="16"/>
  <c r="AL13" i="16"/>
  <c r="AM13" i="16"/>
  <c r="AN13" i="16"/>
  <c r="AO13" i="16"/>
  <c r="AP13" i="16"/>
  <c r="AQ13" i="16"/>
  <c r="AR13" i="16"/>
  <c r="AL14" i="16"/>
  <c r="AM14" i="16"/>
  <c r="AN14" i="16"/>
  <c r="AO14" i="16"/>
  <c r="AP14" i="16"/>
  <c r="AQ14" i="16"/>
  <c r="AR14" i="16"/>
  <c r="AL15" i="16"/>
  <c r="AM15" i="16"/>
  <c r="AN15" i="16"/>
  <c r="AO15" i="16"/>
  <c r="AP15" i="16"/>
  <c r="AQ15" i="16"/>
  <c r="AR15" i="16"/>
  <c r="AL16" i="16"/>
  <c r="AM16" i="16"/>
  <c r="AN16" i="16"/>
  <c r="AO16" i="16"/>
  <c r="AP16" i="16"/>
  <c r="AQ16" i="16"/>
  <c r="AR16" i="16"/>
  <c r="AL17" i="16"/>
  <c r="AM17" i="16"/>
  <c r="AN17" i="16"/>
  <c r="AO17" i="16"/>
  <c r="AP17" i="16"/>
  <c r="AQ17" i="16"/>
  <c r="AR17" i="16"/>
  <c r="AL18" i="16"/>
  <c r="AM18" i="16"/>
  <c r="AN18" i="16"/>
  <c r="AO18" i="16"/>
  <c r="AP18" i="16"/>
  <c r="AQ18" i="16"/>
  <c r="AR18" i="16"/>
  <c r="AL19" i="16"/>
  <c r="AM19" i="16"/>
  <c r="AN19" i="16"/>
  <c r="AO19" i="16"/>
  <c r="AP19" i="16"/>
  <c r="AQ19" i="16"/>
  <c r="AR19" i="16"/>
  <c r="AL20" i="16"/>
  <c r="AM20" i="16"/>
  <c r="AN20" i="16"/>
  <c r="AO20" i="16"/>
  <c r="AP20" i="16"/>
  <c r="AQ20" i="16"/>
  <c r="AR20" i="16"/>
  <c r="AM6" i="16"/>
  <c r="AN6" i="16"/>
  <c r="AO6" i="16"/>
  <c r="AP6" i="16"/>
  <c r="AQ6" i="16"/>
  <c r="AR6" i="16"/>
  <c r="AL6" i="16"/>
  <c r="AC64" i="16"/>
  <c r="AD64" i="16"/>
  <c r="AE64" i="16"/>
  <c r="AF64" i="16"/>
  <c r="AG64" i="16"/>
  <c r="AH64" i="16"/>
  <c r="AI64" i="16"/>
  <c r="AC65" i="16"/>
  <c r="AD65" i="16"/>
  <c r="AE65" i="16"/>
  <c r="AF65" i="16"/>
  <c r="AG65" i="16"/>
  <c r="AH65" i="16"/>
  <c r="AI65" i="16"/>
  <c r="AC66" i="16"/>
  <c r="AD66" i="16"/>
  <c r="AE66" i="16"/>
  <c r="AF66" i="16"/>
  <c r="AG66" i="16"/>
  <c r="AH66" i="16"/>
  <c r="AI66" i="16"/>
  <c r="AC67" i="16"/>
  <c r="AD67" i="16"/>
  <c r="AE67" i="16"/>
  <c r="AF67" i="16"/>
  <c r="AG67" i="16"/>
  <c r="AH67" i="16"/>
  <c r="AI67" i="16"/>
  <c r="AC68" i="16"/>
  <c r="AD68" i="16"/>
  <c r="AE68" i="16"/>
  <c r="AF68" i="16"/>
  <c r="AG68" i="16"/>
  <c r="AH68" i="16"/>
  <c r="AI68" i="16"/>
  <c r="AC69" i="16"/>
  <c r="AD69" i="16"/>
  <c r="AE69" i="16"/>
  <c r="AF69" i="16"/>
  <c r="AG69" i="16"/>
  <c r="AH69" i="16"/>
  <c r="AI69" i="16"/>
  <c r="AC70" i="16"/>
  <c r="AD70" i="16"/>
  <c r="AE70" i="16"/>
  <c r="AF70" i="16"/>
  <c r="AG70" i="16"/>
  <c r="AH70" i="16"/>
  <c r="AI70" i="16"/>
  <c r="AC71" i="16"/>
  <c r="AD71" i="16"/>
  <c r="AE71" i="16"/>
  <c r="AF71" i="16"/>
  <c r="AG71" i="16"/>
  <c r="AH71" i="16"/>
  <c r="AI71" i="16"/>
  <c r="AC72" i="16"/>
  <c r="AD72" i="16"/>
  <c r="AE72" i="16"/>
  <c r="AF72" i="16"/>
  <c r="AG72" i="16"/>
  <c r="AH72" i="16"/>
  <c r="AI72" i="16"/>
  <c r="AC73" i="16"/>
  <c r="AD73" i="16"/>
  <c r="AE73" i="16"/>
  <c r="AF73" i="16"/>
  <c r="AG73" i="16"/>
  <c r="AH73" i="16"/>
  <c r="AI73" i="16"/>
  <c r="AC74" i="16"/>
  <c r="AD74" i="16"/>
  <c r="AE74" i="16"/>
  <c r="AF74" i="16"/>
  <c r="AG74" i="16"/>
  <c r="AH74" i="16"/>
  <c r="AI74" i="16"/>
  <c r="AC75" i="16"/>
  <c r="AD75" i="16"/>
  <c r="AE75" i="16"/>
  <c r="AF75" i="16"/>
  <c r="AG75" i="16"/>
  <c r="AH75" i="16"/>
  <c r="AI75" i="16"/>
  <c r="AC76" i="16"/>
  <c r="AD76" i="16"/>
  <c r="AE76" i="16"/>
  <c r="AF76" i="16"/>
  <c r="AG76" i="16"/>
  <c r="AH76" i="16"/>
  <c r="AI76" i="16"/>
  <c r="AC77" i="16"/>
  <c r="AD77" i="16"/>
  <c r="AE77" i="16"/>
  <c r="AF77" i="16"/>
  <c r="AG77" i="16"/>
  <c r="AH77" i="16"/>
  <c r="AI77" i="16"/>
  <c r="AD63" i="16"/>
  <c r="AE63" i="16"/>
  <c r="AF63" i="16"/>
  <c r="AG63" i="16"/>
  <c r="AH63" i="16"/>
  <c r="AI63" i="16"/>
  <c r="AC63" i="16"/>
  <c r="AC45" i="16"/>
  <c r="AD45" i="16"/>
  <c r="AE45" i="16"/>
  <c r="AF45" i="16"/>
  <c r="AG45" i="16"/>
  <c r="AH45" i="16"/>
  <c r="AI45" i="16"/>
  <c r="AC46" i="16"/>
  <c r="AD46" i="16"/>
  <c r="AE46" i="16"/>
  <c r="AF46" i="16"/>
  <c r="AG46" i="16"/>
  <c r="AH46" i="16"/>
  <c r="AI46" i="16"/>
  <c r="AC47" i="16"/>
  <c r="AD47" i="16"/>
  <c r="AE47" i="16"/>
  <c r="AF47" i="16"/>
  <c r="AG47" i="16"/>
  <c r="AH47" i="16"/>
  <c r="AI47" i="16"/>
  <c r="AC48" i="16"/>
  <c r="AD48" i="16"/>
  <c r="AE48" i="16"/>
  <c r="AF48" i="16"/>
  <c r="AG48" i="16"/>
  <c r="AH48" i="16"/>
  <c r="AI48" i="16"/>
  <c r="AC49" i="16"/>
  <c r="AD49" i="16"/>
  <c r="AE49" i="16"/>
  <c r="AF49" i="16"/>
  <c r="AG49" i="16"/>
  <c r="AH49" i="16"/>
  <c r="AI49" i="16"/>
  <c r="AC50" i="16"/>
  <c r="AD50" i="16"/>
  <c r="AE50" i="16"/>
  <c r="AF50" i="16"/>
  <c r="AG50" i="16"/>
  <c r="AH50" i="16"/>
  <c r="AI50" i="16"/>
  <c r="AC51" i="16"/>
  <c r="AD51" i="16"/>
  <c r="AE51" i="16"/>
  <c r="AF51" i="16"/>
  <c r="AG51" i="16"/>
  <c r="AH51" i="16"/>
  <c r="AI51" i="16"/>
  <c r="AC52" i="16"/>
  <c r="AD52" i="16"/>
  <c r="AE52" i="16"/>
  <c r="AF52" i="16"/>
  <c r="AG52" i="16"/>
  <c r="AH52" i="16"/>
  <c r="AI52" i="16"/>
  <c r="AC53" i="16"/>
  <c r="AD53" i="16"/>
  <c r="AE53" i="16"/>
  <c r="AF53" i="16"/>
  <c r="AG53" i="16"/>
  <c r="AH53" i="16"/>
  <c r="AI53" i="16"/>
  <c r="AC54" i="16"/>
  <c r="AD54" i="16"/>
  <c r="AE54" i="16"/>
  <c r="AF54" i="16"/>
  <c r="AG54" i="16"/>
  <c r="AH54" i="16"/>
  <c r="AI54" i="16"/>
  <c r="AC55" i="16"/>
  <c r="AD55" i="16"/>
  <c r="AE55" i="16"/>
  <c r="AF55" i="16"/>
  <c r="AG55" i="16"/>
  <c r="AH55" i="16"/>
  <c r="AI55" i="16"/>
  <c r="AC56" i="16"/>
  <c r="AD56" i="16"/>
  <c r="AE56" i="16"/>
  <c r="AF56" i="16"/>
  <c r="AG56" i="16"/>
  <c r="AH56" i="16"/>
  <c r="AI56" i="16"/>
  <c r="AC57" i="16"/>
  <c r="AD57" i="16"/>
  <c r="AE57" i="16"/>
  <c r="AF57" i="16"/>
  <c r="AG57" i="16"/>
  <c r="AH57" i="16"/>
  <c r="AI57" i="16"/>
  <c r="AC58" i="16"/>
  <c r="AD58" i="16"/>
  <c r="AE58" i="16"/>
  <c r="AF58" i="16"/>
  <c r="AG58" i="16"/>
  <c r="AH58" i="16"/>
  <c r="AI58" i="16"/>
  <c r="AD44" i="16"/>
  <c r="AE44" i="16"/>
  <c r="AF44" i="16"/>
  <c r="AG44" i="16"/>
  <c r="AH44" i="16"/>
  <c r="AI44" i="16"/>
  <c r="AC44" i="16"/>
  <c r="AC26" i="16"/>
  <c r="AD26" i="16"/>
  <c r="AE26" i="16"/>
  <c r="AF26" i="16"/>
  <c r="AG26" i="16"/>
  <c r="AH26" i="16"/>
  <c r="AI26" i="16"/>
  <c r="AC27" i="16"/>
  <c r="AD27" i="16"/>
  <c r="AE27" i="16"/>
  <c r="AF27" i="16"/>
  <c r="AG27" i="16"/>
  <c r="AH27" i="16"/>
  <c r="AI27" i="16"/>
  <c r="AC28" i="16"/>
  <c r="AD28" i="16"/>
  <c r="AE28" i="16"/>
  <c r="AF28" i="16"/>
  <c r="AG28" i="16"/>
  <c r="AH28" i="16"/>
  <c r="AI28" i="16"/>
  <c r="AC29" i="16"/>
  <c r="AD29" i="16"/>
  <c r="AE29" i="16"/>
  <c r="AF29" i="16"/>
  <c r="AG29" i="16"/>
  <c r="AH29" i="16"/>
  <c r="AI29" i="16"/>
  <c r="AC30" i="16"/>
  <c r="AD30" i="16"/>
  <c r="AE30" i="16"/>
  <c r="AF30" i="16"/>
  <c r="AG30" i="16"/>
  <c r="AH30" i="16"/>
  <c r="AI30" i="16"/>
  <c r="AC31" i="16"/>
  <c r="AD31" i="16"/>
  <c r="AE31" i="16"/>
  <c r="AF31" i="16"/>
  <c r="AG31" i="16"/>
  <c r="AH31" i="16"/>
  <c r="AI31" i="16"/>
  <c r="AC32" i="16"/>
  <c r="AD32" i="16"/>
  <c r="AE32" i="16"/>
  <c r="AF32" i="16"/>
  <c r="AG32" i="16"/>
  <c r="AH32" i="16"/>
  <c r="AI32" i="16"/>
  <c r="AC33" i="16"/>
  <c r="AD33" i="16"/>
  <c r="AE33" i="16"/>
  <c r="AF33" i="16"/>
  <c r="AG33" i="16"/>
  <c r="AH33" i="16"/>
  <c r="AI33" i="16"/>
  <c r="AC34" i="16"/>
  <c r="AD34" i="16"/>
  <c r="AE34" i="16"/>
  <c r="AF34" i="16"/>
  <c r="AG34" i="16"/>
  <c r="AH34" i="16"/>
  <c r="AI34" i="16"/>
  <c r="AC35" i="16"/>
  <c r="AD35" i="16"/>
  <c r="AE35" i="16"/>
  <c r="AF35" i="16"/>
  <c r="AG35" i="16"/>
  <c r="AH35" i="16"/>
  <c r="AI35" i="16"/>
  <c r="AC36" i="16"/>
  <c r="AD36" i="16"/>
  <c r="AE36" i="16"/>
  <c r="AF36" i="16"/>
  <c r="AG36" i="16"/>
  <c r="AH36" i="16"/>
  <c r="AI36" i="16"/>
  <c r="AC37" i="16"/>
  <c r="AD37" i="16"/>
  <c r="AE37" i="16"/>
  <c r="AF37" i="16"/>
  <c r="AG37" i="16"/>
  <c r="AH37" i="16"/>
  <c r="AI37" i="16"/>
  <c r="AC38" i="16"/>
  <c r="AD38" i="16"/>
  <c r="AE38" i="16"/>
  <c r="AF38" i="16"/>
  <c r="AG38" i="16"/>
  <c r="AH38" i="16"/>
  <c r="AI38" i="16"/>
  <c r="AC39" i="16"/>
  <c r="AD39" i="16"/>
  <c r="AE39" i="16"/>
  <c r="AF39" i="16"/>
  <c r="AG39" i="16"/>
  <c r="AH39" i="16"/>
  <c r="AI39" i="16"/>
  <c r="AD25" i="16"/>
  <c r="AE25" i="16"/>
  <c r="AF25" i="16"/>
  <c r="AG25" i="16"/>
  <c r="AH25" i="16"/>
  <c r="AI25" i="16"/>
  <c r="AC25" i="16"/>
  <c r="AC7" i="16"/>
  <c r="AD7" i="16"/>
  <c r="AE7" i="16"/>
  <c r="AF7" i="16"/>
  <c r="AG7" i="16"/>
  <c r="AH7" i="16"/>
  <c r="AI7" i="16"/>
  <c r="AC8" i="16"/>
  <c r="AD8" i="16"/>
  <c r="AE8" i="16"/>
  <c r="AF8" i="16"/>
  <c r="AG8" i="16"/>
  <c r="AH8" i="16"/>
  <c r="AI8" i="16"/>
  <c r="AC9" i="16"/>
  <c r="AD9" i="16"/>
  <c r="AE9" i="16"/>
  <c r="AF9" i="16"/>
  <c r="AG9" i="16"/>
  <c r="AH9" i="16"/>
  <c r="AI9" i="16"/>
  <c r="AC10" i="16"/>
  <c r="AD10" i="16"/>
  <c r="AE10" i="16"/>
  <c r="AF10" i="16"/>
  <c r="AG10" i="16"/>
  <c r="AH10" i="16"/>
  <c r="AI10" i="16"/>
  <c r="AC11" i="16"/>
  <c r="AD11" i="16"/>
  <c r="AE11" i="16"/>
  <c r="AF11" i="16"/>
  <c r="AG11" i="16"/>
  <c r="AH11" i="16"/>
  <c r="AI11" i="16"/>
  <c r="AC12" i="16"/>
  <c r="AD12" i="16"/>
  <c r="AE12" i="16"/>
  <c r="AF12" i="16"/>
  <c r="AG12" i="16"/>
  <c r="AH12" i="16"/>
  <c r="AI12" i="16"/>
  <c r="AC13" i="16"/>
  <c r="AD13" i="16"/>
  <c r="AE13" i="16"/>
  <c r="AF13" i="16"/>
  <c r="AG13" i="16"/>
  <c r="AH13" i="16"/>
  <c r="AI13" i="16"/>
  <c r="AC14" i="16"/>
  <c r="AD14" i="16"/>
  <c r="AE14" i="16"/>
  <c r="AF14" i="16"/>
  <c r="AG14" i="16"/>
  <c r="AH14" i="16"/>
  <c r="AI14" i="16"/>
  <c r="AC15" i="16"/>
  <c r="AD15" i="16"/>
  <c r="AE15" i="16"/>
  <c r="AF15" i="16"/>
  <c r="AG15" i="16"/>
  <c r="AH15" i="16"/>
  <c r="AI15" i="16"/>
  <c r="AC16" i="16"/>
  <c r="AD16" i="16"/>
  <c r="AE16" i="16"/>
  <c r="AF16" i="16"/>
  <c r="AG16" i="16"/>
  <c r="AH16" i="16"/>
  <c r="AI16" i="16"/>
  <c r="AC17" i="16"/>
  <c r="AD17" i="16"/>
  <c r="AE17" i="16"/>
  <c r="AF17" i="16"/>
  <c r="AG17" i="16"/>
  <c r="AH17" i="16"/>
  <c r="AI17" i="16"/>
  <c r="AC18" i="16"/>
  <c r="AD18" i="16"/>
  <c r="AE18" i="16"/>
  <c r="AF18" i="16"/>
  <c r="AG18" i="16"/>
  <c r="AH18" i="16"/>
  <c r="AI18" i="16"/>
  <c r="AC19" i="16"/>
  <c r="AD19" i="16"/>
  <c r="AE19" i="16"/>
  <c r="AF19" i="16"/>
  <c r="AG19" i="16"/>
  <c r="AH19" i="16"/>
  <c r="AI19" i="16"/>
  <c r="AC20" i="16"/>
  <c r="AD20" i="16"/>
  <c r="AE20" i="16"/>
  <c r="AF20" i="16"/>
  <c r="AG20" i="16"/>
  <c r="AH20" i="16"/>
  <c r="AI20" i="16"/>
  <c r="AD6" i="16"/>
  <c r="AE6" i="16"/>
  <c r="AF6" i="16"/>
  <c r="AG6" i="16"/>
  <c r="AH6" i="16"/>
  <c r="AI6" i="16"/>
  <c r="AC6" i="16"/>
  <c r="T64" i="16"/>
  <c r="U64" i="16"/>
  <c r="V64" i="16"/>
  <c r="W64" i="16"/>
  <c r="X64" i="16"/>
  <c r="Y64" i="16"/>
  <c r="Z64" i="16"/>
  <c r="T65" i="16"/>
  <c r="U65" i="16"/>
  <c r="V65" i="16"/>
  <c r="W65" i="16"/>
  <c r="X65" i="16"/>
  <c r="Y65" i="16"/>
  <c r="Z65" i="16"/>
  <c r="T66" i="16"/>
  <c r="U66" i="16"/>
  <c r="V66" i="16"/>
  <c r="W66" i="16"/>
  <c r="X66" i="16"/>
  <c r="Y66" i="16"/>
  <c r="Z66" i="16"/>
  <c r="T67" i="16"/>
  <c r="U67" i="16"/>
  <c r="V67" i="16"/>
  <c r="W67" i="16"/>
  <c r="X67" i="16"/>
  <c r="Y67" i="16"/>
  <c r="Z67" i="16"/>
  <c r="T68" i="16"/>
  <c r="U68" i="16"/>
  <c r="V68" i="16"/>
  <c r="W68" i="16"/>
  <c r="X68" i="16"/>
  <c r="Y68" i="16"/>
  <c r="Z68" i="16"/>
  <c r="T69" i="16"/>
  <c r="U69" i="16"/>
  <c r="V69" i="16"/>
  <c r="W69" i="16"/>
  <c r="X69" i="16"/>
  <c r="Y69" i="16"/>
  <c r="Z69" i="16"/>
  <c r="T70" i="16"/>
  <c r="U70" i="16"/>
  <c r="V70" i="16"/>
  <c r="W70" i="16"/>
  <c r="X70" i="16"/>
  <c r="Y70" i="16"/>
  <c r="Z70" i="16"/>
  <c r="T71" i="16"/>
  <c r="U71" i="16"/>
  <c r="V71" i="16"/>
  <c r="W71" i="16"/>
  <c r="X71" i="16"/>
  <c r="Y71" i="16"/>
  <c r="Z71" i="16"/>
  <c r="T72" i="16"/>
  <c r="U72" i="16"/>
  <c r="V72" i="16"/>
  <c r="W72" i="16"/>
  <c r="X72" i="16"/>
  <c r="Y72" i="16"/>
  <c r="Z72" i="16"/>
  <c r="T73" i="16"/>
  <c r="U73" i="16"/>
  <c r="V73" i="16"/>
  <c r="W73" i="16"/>
  <c r="X73" i="16"/>
  <c r="Y73" i="16"/>
  <c r="Z73" i="16"/>
  <c r="T74" i="16"/>
  <c r="U74" i="16"/>
  <c r="V74" i="16"/>
  <c r="W74" i="16"/>
  <c r="X74" i="16"/>
  <c r="Y74" i="16"/>
  <c r="Z74" i="16"/>
  <c r="T75" i="16"/>
  <c r="U75" i="16"/>
  <c r="V75" i="16"/>
  <c r="W75" i="16"/>
  <c r="X75" i="16"/>
  <c r="Y75" i="16"/>
  <c r="Z75" i="16"/>
  <c r="T76" i="16"/>
  <c r="U76" i="16"/>
  <c r="V76" i="16"/>
  <c r="W76" i="16"/>
  <c r="X76" i="16"/>
  <c r="Y76" i="16"/>
  <c r="Z76" i="16"/>
  <c r="T77" i="16"/>
  <c r="U77" i="16"/>
  <c r="V77" i="16"/>
  <c r="W77" i="16"/>
  <c r="X77" i="16"/>
  <c r="Y77" i="16"/>
  <c r="Z77" i="16"/>
  <c r="U63" i="16"/>
  <c r="V63" i="16"/>
  <c r="W63" i="16"/>
  <c r="X63" i="16"/>
  <c r="Y63" i="16"/>
  <c r="Z63" i="16"/>
  <c r="T63" i="16"/>
  <c r="T45" i="16"/>
  <c r="U45" i="16"/>
  <c r="V45" i="16"/>
  <c r="W45" i="16"/>
  <c r="X45" i="16"/>
  <c r="Y45" i="16"/>
  <c r="Z45" i="16"/>
  <c r="T46" i="16"/>
  <c r="U46" i="16"/>
  <c r="V46" i="16"/>
  <c r="W46" i="16"/>
  <c r="X46" i="16"/>
  <c r="Y46" i="16"/>
  <c r="Z46" i="16"/>
  <c r="T47" i="16"/>
  <c r="U47" i="16"/>
  <c r="V47" i="16"/>
  <c r="W47" i="16"/>
  <c r="X47" i="16"/>
  <c r="Y47" i="16"/>
  <c r="Z47" i="16"/>
  <c r="T48" i="16"/>
  <c r="U48" i="16"/>
  <c r="V48" i="16"/>
  <c r="W48" i="16"/>
  <c r="X48" i="16"/>
  <c r="Y48" i="16"/>
  <c r="Z48" i="16"/>
  <c r="T49" i="16"/>
  <c r="U49" i="16"/>
  <c r="V49" i="16"/>
  <c r="W49" i="16"/>
  <c r="X49" i="16"/>
  <c r="Y49" i="16"/>
  <c r="Z49" i="16"/>
  <c r="T50" i="16"/>
  <c r="U50" i="16"/>
  <c r="V50" i="16"/>
  <c r="W50" i="16"/>
  <c r="X50" i="16"/>
  <c r="Y50" i="16"/>
  <c r="Z50" i="16"/>
  <c r="T51" i="16"/>
  <c r="U51" i="16"/>
  <c r="V51" i="16"/>
  <c r="W51" i="16"/>
  <c r="X51" i="16"/>
  <c r="Y51" i="16"/>
  <c r="Z51" i="16"/>
  <c r="T52" i="16"/>
  <c r="U52" i="16"/>
  <c r="V52" i="16"/>
  <c r="W52" i="16"/>
  <c r="X52" i="16"/>
  <c r="Y52" i="16"/>
  <c r="Z52" i="16"/>
  <c r="T53" i="16"/>
  <c r="U53" i="16"/>
  <c r="V53" i="16"/>
  <c r="W53" i="16"/>
  <c r="X53" i="16"/>
  <c r="Y53" i="16"/>
  <c r="Z53" i="16"/>
  <c r="T54" i="16"/>
  <c r="U54" i="16"/>
  <c r="V54" i="16"/>
  <c r="W54" i="16"/>
  <c r="X54" i="16"/>
  <c r="Y54" i="16"/>
  <c r="Z54" i="16"/>
  <c r="T55" i="16"/>
  <c r="U55" i="16"/>
  <c r="V55" i="16"/>
  <c r="W55" i="16"/>
  <c r="X55" i="16"/>
  <c r="Y55" i="16"/>
  <c r="Z55" i="16"/>
  <c r="T56" i="16"/>
  <c r="U56" i="16"/>
  <c r="V56" i="16"/>
  <c r="W56" i="16"/>
  <c r="X56" i="16"/>
  <c r="Y56" i="16"/>
  <c r="Z56" i="16"/>
  <c r="T57" i="16"/>
  <c r="U57" i="16"/>
  <c r="V57" i="16"/>
  <c r="W57" i="16"/>
  <c r="X57" i="16"/>
  <c r="Y57" i="16"/>
  <c r="Z57" i="16"/>
  <c r="T58" i="16"/>
  <c r="U58" i="16"/>
  <c r="V58" i="16"/>
  <c r="W58" i="16"/>
  <c r="X58" i="16"/>
  <c r="Y58" i="16"/>
  <c r="Z58" i="16"/>
  <c r="U44" i="16"/>
  <c r="V44" i="16"/>
  <c r="W44" i="16"/>
  <c r="X44" i="16"/>
  <c r="Y44" i="16"/>
  <c r="Z44" i="16"/>
  <c r="T44" i="16"/>
  <c r="T26" i="16"/>
  <c r="U26" i="16"/>
  <c r="V26" i="16"/>
  <c r="W26" i="16"/>
  <c r="X26" i="16"/>
  <c r="Y26" i="16"/>
  <c r="Z26" i="16"/>
  <c r="T27" i="16"/>
  <c r="U27" i="16"/>
  <c r="V27" i="16"/>
  <c r="W27" i="16"/>
  <c r="X27" i="16"/>
  <c r="Y27" i="16"/>
  <c r="Z27" i="16"/>
  <c r="T28" i="16"/>
  <c r="U28" i="16"/>
  <c r="V28" i="16"/>
  <c r="W28" i="16"/>
  <c r="X28" i="16"/>
  <c r="Y28" i="16"/>
  <c r="Z28" i="16"/>
  <c r="T29" i="16"/>
  <c r="U29" i="16"/>
  <c r="V29" i="16"/>
  <c r="W29" i="16"/>
  <c r="X29" i="16"/>
  <c r="Y29" i="16"/>
  <c r="Z29" i="16"/>
  <c r="T30" i="16"/>
  <c r="U30" i="16"/>
  <c r="V30" i="16"/>
  <c r="W30" i="16"/>
  <c r="X30" i="16"/>
  <c r="Y30" i="16"/>
  <c r="Z30" i="16"/>
  <c r="T31" i="16"/>
  <c r="U31" i="16"/>
  <c r="V31" i="16"/>
  <c r="W31" i="16"/>
  <c r="X31" i="16"/>
  <c r="Y31" i="16"/>
  <c r="Z31" i="16"/>
  <c r="T32" i="16"/>
  <c r="U32" i="16"/>
  <c r="V32" i="16"/>
  <c r="W32" i="16"/>
  <c r="X32" i="16"/>
  <c r="Y32" i="16"/>
  <c r="Z32" i="16"/>
  <c r="T33" i="16"/>
  <c r="U33" i="16"/>
  <c r="V33" i="16"/>
  <c r="W33" i="16"/>
  <c r="X33" i="16"/>
  <c r="Y33" i="16"/>
  <c r="Z33" i="16"/>
  <c r="T34" i="16"/>
  <c r="U34" i="16"/>
  <c r="V34" i="16"/>
  <c r="W34" i="16"/>
  <c r="X34" i="16"/>
  <c r="Y34" i="16"/>
  <c r="Z34" i="16"/>
  <c r="T35" i="16"/>
  <c r="U35" i="16"/>
  <c r="V35" i="16"/>
  <c r="W35" i="16"/>
  <c r="X35" i="16"/>
  <c r="Y35" i="16"/>
  <c r="Z35" i="16"/>
  <c r="T36" i="16"/>
  <c r="U36" i="16"/>
  <c r="V36" i="16"/>
  <c r="W36" i="16"/>
  <c r="X36" i="16"/>
  <c r="Y36" i="16"/>
  <c r="Z36" i="16"/>
  <c r="T37" i="16"/>
  <c r="U37" i="16"/>
  <c r="V37" i="16"/>
  <c r="W37" i="16"/>
  <c r="X37" i="16"/>
  <c r="Y37" i="16"/>
  <c r="Z37" i="16"/>
  <c r="T38" i="16"/>
  <c r="U38" i="16"/>
  <c r="V38" i="16"/>
  <c r="W38" i="16"/>
  <c r="X38" i="16"/>
  <c r="Y38" i="16"/>
  <c r="Z38" i="16"/>
  <c r="T39" i="16"/>
  <c r="U39" i="16"/>
  <c r="V39" i="16"/>
  <c r="W39" i="16"/>
  <c r="X39" i="16"/>
  <c r="Y39" i="16"/>
  <c r="Z39" i="16"/>
  <c r="U25" i="16"/>
  <c r="V25" i="16"/>
  <c r="W25" i="16"/>
  <c r="X25" i="16"/>
  <c r="Y25" i="16"/>
  <c r="Z25" i="16"/>
  <c r="T25" i="16"/>
  <c r="T7" i="16"/>
  <c r="U7" i="16"/>
  <c r="V7" i="16"/>
  <c r="W7" i="16"/>
  <c r="X7" i="16"/>
  <c r="Y7" i="16"/>
  <c r="Z7" i="16"/>
  <c r="T8" i="16"/>
  <c r="U8" i="16"/>
  <c r="V8" i="16"/>
  <c r="W8" i="16"/>
  <c r="X8" i="16"/>
  <c r="Y8" i="16"/>
  <c r="Z8" i="16"/>
  <c r="T9" i="16"/>
  <c r="U9" i="16"/>
  <c r="V9" i="16"/>
  <c r="W9" i="16"/>
  <c r="X9" i="16"/>
  <c r="Y9" i="16"/>
  <c r="Z9" i="16"/>
  <c r="T10" i="16"/>
  <c r="U10" i="16"/>
  <c r="V10" i="16"/>
  <c r="W10" i="16"/>
  <c r="X10" i="16"/>
  <c r="Y10" i="16"/>
  <c r="Z10" i="16"/>
  <c r="T11" i="16"/>
  <c r="U11" i="16"/>
  <c r="V11" i="16"/>
  <c r="W11" i="16"/>
  <c r="X11" i="16"/>
  <c r="Y11" i="16"/>
  <c r="Z11" i="16"/>
  <c r="T12" i="16"/>
  <c r="U12" i="16"/>
  <c r="V12" i="16"/>
  <c r="W12" i="16"/>
  <c r="X12" i="16"/>
  <c r="Y12" i="16"/>
  <c r="Z12" i="16"/>
  <c r="T13" i="16"/>
  <c r="U13" i="16"/>
  <c r="V13" i="16"/>
  <c r="W13" i="16"/>
  <c r="X13" i="16"/>
  <c r="Y13" i="16"/>
  <c r="Z13" i="16"/>
  <c r="T14" i="16"/>
  <c r="U14" i="16"/>
  <c r="V14" i="16"/>
  <c r="W14" i="16"/>
  <c r="X14" i="16"/>
  <c r="Y14" i="16"/>
  <c r="Z14" i="16"/>
  <c r="T15" i="16"/>
  <c r="U15" i="16"/>
  <c r="V15" i="16"/>
  <c r="W15" i="16"/>
  <c r="X15" i="16"/>
  <c r="Y15" i="16"/>
  <c r="Z15" i="16"/>
  <c r="T16" i="16"/>
  <c r="U16" i="16"/>
  <c r="V16" i="16"/>
  <c r="W16" i="16"/>
  <c r="X16" i="16"/>
  <c r="Y16" i="16"/>
  <c r="Z16" i="16"/>
  <c r="T17" i="16"/>
  <c r="U17" i="16"/>
  <c r="V17" i="16"/>
  <c r="W17" i="16"/>
  <c r="X17" i="16"/>
  <c r="Y17" i="16"/>
  <c r="Z17" i="16"/>
  <c r="T18" i="16"/>
  <c r="U18" i="16"/>
  <c r="V18" i="16"/>
  <c r="W18" i="16"/>
  <c r="X18" i="16"/>
  <c r="Y18" i="16"/>
  <c r="Z18" i="16"/>
  <c r="T19" i="16"/>
  <c r="U19" i="16"/>
  <c r="V19" i="16"/>
  <c r="W19" i="16"/>
  <c r="X19" i="16"/>
  <c r="Y19" i="16"/>
  <c r="Z19" i="16"/>
  <c r="T20" i="16"/>
  <c r="U20" i="16"/>
  <c r="V20" i="16"/>
  <c r="W20" i="16"/>
  <c r="X20" i="16"/>
  <c r="Y20" i="16"/>
  <c r="Z20" i="16"/>
  <c r="U6" i="16"/>
  <c r="V6" i="16"/>
  <c r="W6" i="16"/>
  <c r="X6" i="16"/>
  <c r="Y6" i="16"/>
  <c r="Z6" i="16"/>
  <c r="T6" i="16"/>
  <c r="K64" i="16"/>
  <c r="L64" i="16"/>
  <c r="M64" i="16"/>
  <c r="N64" i="16"/>
  <c r="O64" i="16"/>
  <c r="P64" i="16"/>
  <c r="Q64" i="16"/>
  <c r="K65" i="16"/>
  <c r="L65" i="16"/>
  <c r="M65" i="16"/>
  <c r="N65" i="16"/>
  <c r="O65" i="16"/>
  <c r="P65" i="16"/>
  <c r="Q65" i="16"/>
  <c r="K66" i="16"/>
  <c r="L66" i="16"/>
  <c r="M66" i="16"/>
  <c r="N66" i="16"/>
  <c r="O66" i="16"/>
  <c r="P66" i="16"/>
  <c r="Q66" i="16"/>
  <c r="K67" i="16"/>
  <c r="L67" i="16"/>
  <c r="M67" i="16"/>
  <c r="N67" i="16"/>
  <c r="O67" i="16"/>
  <c r="P67" i="16"/>
  <c r="Q67" i="16"/>
  <c r="K68" i="16"/>
  <c r="L68" i="16"/>
  <c r="M68" i="16"/>
  <c r="N68" i="16"/>
  <c r="O68" i="16"/>
  <c r="P68" i="16"/>
  <c r="Q68" i="16"/>
  <c r="K69" i="16"/>
  <c r="L69" i="16"/>
  <c r="M69" i="16"/>
  <c r="N69" i="16"/>
  <c r="O69" i="16"/>
  <c r="P69" i="16"/>
  <c r="Q69" i="16"/>
  <c r="K70" i="16"/>
  <c r="L70" i="16"/>
  <c r="M70" i="16"/>
  <c r="N70" i="16"/>
  <c r="O70" i="16"/>
  <c r="P70" i="16"/>
  <c r="Q70" i="16"/>
  <c r="K71" i="16"/>
  <c r="L71" i="16"/>
  <c r="M71" i="16"/>
  <c r="N71" i="16"/>
  <c r="O71" i="16"/>
  <c r="P71" i="16"/>
  <c r="Q71" i="16"/>
  <c r="K72" i="16"/>
  <c r="L72" i="16"/>
  <c r="M72" i="16"/>
  <c r="N72" i="16"/>
  <c r="O72" i="16"/>
  <c r="P72" i="16"/>
  <c r="Q72" i="16"/>
  <c r="K73" i="16"/>
  <c r="L73" i="16"/>
  <c r="M73" i="16"/>
  <c r="N73" i="16"/>
  <c r="O73" i="16"/>
  <c r="P73" i="16"/>
  <c r="Q73" i="16"/>
  <c r="K74" i="16"/>
  <c r="L74" i="16"/>
  <c r="M74" i="16"/>
  <c r="N74" i="16"/>
  <c r="O74" i="16"/>
  <c r="P74" i="16"/>
  <c r="Q74" i="16"/>
  <c r="K75" i="16"/>
  <c r="L75" i="16"/>
  <c r="M75" i="16"/>
  <c r="N75" i="16"/>
  <c r="O75" i="16"/>
  <c r="P75" i="16"/>
  <c r="Q75" i="16"/>
  <c r="K76" i="16"/>
  <c r="L76" i="16"/>
  <c r="M76" i="16"/>
  <c r="N76" i="16"/>
  <c r="O76" i="16"/>
  <c r="P76" i="16"/>
  <c r="Q76" i="16"/>
  <c r="K77" i="16"/>
  <c r="L77" i="16"/>
  <c r="M77" i="16"/>
  <c r="N77" i="16"/>
  <c r="O77" i="16"/>
  <c r="P77" i="16"/>
  <c r="Q77" i="16"/>
  <c r="L63" i="16"/>
  <c r="M63" i="16"/>
  <c r="N63" i="16"/>
  <c r="O63" i="16"/>
  <c r="P63" i="16"/>
  <c r="Q63" i="16"/>
  <c r="K63" i="16"/>
  <c r="K45" i="16"/>
  <c r="L45" i="16"/>
  <c r="M45" i="16"/>
  <c r="N45" i="16"/>
  <c r="O45" i="16"/>
  <c r="P45" i="16"/>
  <c r="Q45" i="16"/>
  <c r="K46" i="16"/>
  <c r="L46" i="16"/>
  <c r="M46" i="16"/>
  <c r="N46" i="16"/>
  <c r="O46" i="16"/>
  <c r="P46" i="16"/>
  <c r="Q46" i="16"/>
  <c r="K47" i="16"/>
  <c r="L47" i="16"/>
  <c r="M47" i="16"/>
  <c r="N47" i="16"/>
  <c r="O47" i="16"/>
  <c r="P47" i="16"/>
  <c r="Q47" i="16"/>
  <c r="K48" i="16"/>
  <c r="L48" i="16"/>
  <c r="M48" i="16"/>
  <c r="N48" i="16"/>
  <c r="O48" i="16"/>
  <c r="P48" i="16"/>
  <c r="Q48" i="16"/>
  <c r="K49" i="16"/>
  <c r="L49" i="16"/>
  <c r="M49" i="16"/>
  <c r="N49" i="16"/>
  <c r="O49" i="16"/>
  <c r="P49" i="16"/>
  <c r="Q49" i="16"/>
  <c r="K50" i="16"/>
  <c r="L50" i="16"/>
  <c r="M50" i="16"/>
  <c r="N50" i="16"/>
  <c r="O50" i="16"/>
  <c r="P50" i="16"/>
  <c r="Q50" i="16"/>
  <c r="K51" i="16"/>
  <c r="L51" i="16"/>
  <c r="M51" i="16"/>
  <c r="N51" i="16"/>
  <c r="O51" i="16"/>
  <c r="P51" i="16"/>
  <c r="Q51" i="16"/>
  <c r="K52" i="16"/>
  <c r="L52" i="16"/>
  <c r="M52" i="16"/>
  <c r="N52" i="16"/>
  <c r="O52" i="16"/>
  <c r="P52" i="16"/>
  <c r="Q52" i="16"/>
  <c r="K53" i="16"/>
  <c r="L53" i="16"/>
  <c r="M53" i="16"/>
  <c r="N53" i="16"/>
  <c r="O53" i="16"/>
  <c r="P53" i="16"/>
  <c r="Q53" i="16"/>
  <c r="K54" i="16"/>
  <c r="L54" i="16"/>
  <c r="M54" i="16"/>
  <c r="N54" i="16"/>
  <c r="O54" i="16"/>
  <c r="P54" i="16"/>
  <c r="Q54" i="16"/>
  <c r="K55" i="16"/>
  <c r="L55" i="16"/>
  <c r="M55" i="16"/>
  <c r="N55" i="16"/>
  <c r="O55" i="16"/>
  <c r="P55" i="16"/>
  <c r="Q55" i="16"/>
  <c r="K56" i="16"/>
  <c r="L56" i="16"/>
  <c r="M56" i="16"/>
  <c r="N56" i="16"/>
  <c r="O56" i="16"/>
  <c r="P56" i="16"/>
  <c r="Q56" i="16"/>
  <c r="K57" i="16"/>
  <c r="L57" i="16"/>
  <c r="M57" i="16"/>
  <c r="N57" i="16"/>
  <c r="O57" i="16"/>
  <c r="P57" i="16"/>
  <c r="Q57" i="16"/>
  <c r="K58" i="16"/>
  <c r="L58" i="16"/>
  <c r="M58" i="16"/>
  <c r="N58" i="16"/>
  <c r="O58" i="16"/>
  <c r="P58" i="16"/>
  <c r="Q58" i="16"/>
  <c r="L44" i="16"/>
  <c r="M44" i="16"/>
  <c r="N44" i="16"/>
  <c r="O44" i="16"/>
  <c r="P44" i="16"/>
  <c r="Q44" i="16"/>
  <c r="K44" i="16"/>
  <c r="K26" i="16"/>
  <c r="L26" i="16"/>
  <c r="M26" i="16"/>
  <c r="N26" i="16"/>
  <c r="O26" i="16"/>
  <c r="P26" i="16"/>
  <c r="Q26" i="16"/>
  <c r="K27" i="16"/>
  <c r="L27" i="16"/>
  <c r="M27" i="16"/>
  <c r="N27" i="16"/>
  <c r="O27" i="16"/>
  <c r="P27" i="16"/>
  <c r="Q27" i="16"/>
  <c r="K28" i="16"/>
  <c r="L28" i="16"/>
  <c r="M28" i="16"/>
  <c r="N28" i="16"/>
  <c r="O28" i="16"/>
  <c r="P28" i="16"/>
  <c r="Q28" i="16"/>
  <c r="K29" i="16"/>
  <c r="L29" i="16"/>
  <c r="M29" i="16"/>
  <c r="N29" i="16"/>
  <c r="O29" i="16"/>
  <c r="P29" i="16"/>
  <c r="Q29" i="16"/>
  <c r="K30" i="16"/>
  <c r="L30" i="16"/>
  <c r="M30" i="16"/>
  <c r="N30" i="16"/>
  <c r="O30" i="16"/>
  <c r="P30" i="16"/>
  <c r="Q30" i="16"/>
  <c r="K31" i="16"/>
  <c r="L31" i="16"/>
  <c r="M31" i="16"/>
  <c r="N31" i="16"/>
  <c r="O31" i="16"/>
  <c r="P31" i="16"/>
  <c r="Q31" i="16"/>
  <c r="K32" i="16"/>
  <c r="L32" i="16"/>
  <c r="M32" i="16"/>
  <c r="N32" i="16"/>
  <c r="O32" i="16"/>
  <c r="P32" i="16"/>
  <c r="Q32" i="16"/>
  <c r="K33" i="16"/>
  <c r="L33" i="16"/>
  <c r="M33" i="16"/>
  <c r="N33" i="16"/>
  <c r="O33" i="16"/>
  <c r="P33" i="16"/>
  <c r="Q33" i="16"/>
  <c r="K34" i="16"/>
  <c r="L34" i="16"/>
  <c r="M34" i="16"/>
  <c r="N34" i="16"/>
  <c r="O34" i="16"/>
  <c r="P34" i="16"/>
  <c r="Q34" i="16"/>
  <c r="K35" i="16"/>
  <c r="L35" i="16"/>
  <c r="M35" i="16"/>
  <c r="N35" i="16"/>
  <c r="O35" i="16"/>
  <c r="P35" i="16"/>
  <c r="Q35" i="16"/>
  <c r="K36" i="16"/>
  <c r="L36" i="16"/>
  <c r="M36" i="16"/>
  <c r="N36" i="16"/>
  <c r="O36" i="16"/>
  <c r="P36" i="16"/>
  <c r="Q36" i="16"/>
  <c r="K37" i="16"/>
  <c r="L37" i="16"/>
  <c r="M37" i="16"/>
  <c r="N37" i="16"/>
  <c r="O37" i="16"/>
  <c r="P37" i="16"/>
  <c r="Q37" i="16"/>
  <c r="K38" i="16"/>
  <c r="L38" i="16"/>
  <c r="M38" i="16"/>
  <c r="N38" i="16"/>
  <c r="O38" i="16"/>
  <c r="P38" i="16"/>
  <c r="Q38" i="16"/>
  <c r="K39" i="16"/>
  <c r="L39" i="16"/>
  <c r="M39" i="16"/>
  <c r="N39" i="16"/>
  <c r="O39" i="16"/>
  <c r="P39" i="16"/>
  <c r="Q39" i="16"/>
  <c r="L25" i="16"/>
  <c r="M25" i="16"/>
  <c r="N25" i="16"/>
  <c r="O25" i="16"/>
  <c r="P25" i="16"/>
  <c r="Q25" i="16"/>
  <c r="K25" i="16"/>
  <c r="K7" i="16"/>
  <c r="L7" i="16"/>
  <c r="M7" i="16"/>
  <c r="N7" i="16"/>
  <c r="O7" i="16"/>
  <c r="P7" i="16"/>
  <c r="Q7" i="16"/>
  <c r="K8" i="16"/>
  <c r="L8" i="16"/>
  <c r="M8" i="16"/>
  <c r="N8" i="16"/>
  <c r="O8" i="16"/>
  <c r="P8" i="16"/>
  <c r="Q8" i="16"/>
  <c r="K9" i="16"/>
  <c r="L9" i="16"/>
  <c r="M9" i="16"/>
  <c r="N9" i="16"/>
  <c r="O9" i="16"/>
  <c r="P9" i="16"/>
  <c r="Q9" i="16"/>
  <c r="K10" i="16"/>
  <c r="L10" i="16"/>
  <c r="M10" i="16"/>
  <c r="N10" i="16"/>
  <c r="O10" i="16"/>
  <c r="P10" i="16"/>
  <c r="Q10" i="16"/>
  <c r="K11" i="16"/>
  <c r="L11" i="16"/>
  <c r="M11" i="16"/>
  <c r="N11" i="16"/>
  <c r="O11" i="16"/>
  <c r="P11" i="16"/>
  <c r="Q11" i="16"/>
  <c r="K12" i="16"/>
  <c r="L12" i="16"/>
  <c r="M12" i="16"/>
  <c r="N12" i="16"/>
  <c r="O12" i="16"/>
  <c r="P12" i="16"/>
  <c r="Q12" i="16"/>
  <c r="K13" i="16"/>
  <c r="L13" i="16"/>
  <c r="M13" i="16"/>
  <c r="N13" i="16"/>
  <c r="O13" i="16"/>
  <c r="P13" i="16"/>
  <c r="Q13" i="16"/>
  <c r="K14" i="16"/>
  <c r="L14" i="16"/>
  <c r="M14" i="16"/>
  <c r="N14" i="16"/>
  <c r="O14" i="16"/>
  <c r="P14" i="16"/>
  <c r="Q14" i="16"/>
  <c r="K15" i="16"/>
  <c r="L15" i="16"/>
  <c r="M15" i="16"/>
  <c r="N15" i="16"/>
  <c r="O15" i="16"/>
  <c r="P15" i="16"/>
  <c r="Q15" i="16"/>
  <c r="K16" i="16"/>
  <c r="L16" i="16"/>
  <c r="M16" i="16"/>
  <c r="N16" i="16"/>
  <c r="O16" i="16"/>
  <c r="P16" i="16"/>
  <c r="Q16" i="16"/>
  <c r="K17" i="16"/>
  <c r="L17" i="16"/>
  <c r="M17" i="16"/>
  <c r="N17" i="16"/>
  <c r="O17" i="16"/>
  <c r="P17" i="16"/>
  <c r="Q17" i="16"/>
  <c r="K18" i="16"/>
  <c r="L18" i="16"/>
  <c r="M18" i="16"/>
  <c r="N18" i="16"/>
  <c r="O18" i="16"/>
  <c r="P18" i="16"/>
  <c r="Q18" i="16"/>
  <c r="K19" i="16"/>
  <c r="L19" i="16"/>
  <c r="M19" i="16"/>
  <c r="N19" i="16"/>
  <c r="O19" i="16"/>
  <c r="P19" i="16"/>
  <c r="Q19" i="16"/>
  <c r="K20" i="16"/>
  <c r="L20" i="16"/>
  <c r="M20" i="16"/>
  <c r="N20" i="16"/>
  <c r="O20" i="16"/>
  <c r="P20" i="16"/>
  <c r="Q20" i="16"/>
  <c r="L6" i="16"/>
  <c r="M6" i="16"/>
  <c r="N6" i="16"/>
  <c r="O6" i="16"/>
  <c r="P6" i="16"/>
  <c r="Q6" i="16"/>
  <c r="K6" i="16"/>
  <c r="B64" i="16"/>
  <c r="C64" i="16"/>
  <c r="D64" i="16"/>
  <c r="E64" i="16"/>
  <c r="F64" i="16"/>
  <c r="G64" i="16"/>
  <c r="H64" i="16"/>
  <c r="B65" i="16"/>
  <c r="C65" i="16"/>
  <c r="D65" i="16"/>
  <c r="E65" i="16"/>
  <c r="F65" i="16"/>
  <c r="G65" i="16"/>
  <c r="H65" i="16"/>
  <c r="B66" i="16"/>
  <c r="C66" i="16"/>
  <c r="D66" i="16"/>
  <c r="E66" i="16"/>
  <c r="F66" i="16"/>
  <c r="G66" i="16"/>
  <c r="H66" i="16"/>
  <c r="B67" i="16"/>
  <c r="C67" i="16"/>
  <c r="D67" i="16"/>
  <c r="E67" i="16"/>
  <c r="F67" i="16"/>
  <c r="G67" i="16"/>
  <c r="H67" i="16"/>
  <c r="B68" i="16"/>
  <c r="C68" i="16"/>
  <c r="D68" i="16"/>
  <c r="E68" i="16"/>
  <c r="F68" i="16"/>
  <c r="G68" i="16"/>
  <c r="H68" i="16"/>
  <c r="B69" i="16"/>
  <c r="C69" i="16"/>
  <c r="D69" i="16"/>
  <c r="E69" i="16"/>
  <c r="F69" i="16"/>
  <c r="G69" i="16"/>
  <c r="H69" i="16"/>
  <c r="B70" i="16"/>
  <c r="C70" i="16"/>
  <c r="D70" i="16"/>
  <c r="E70" i="16"/>
  <c r="F70" i="16"/>
  <c r="G70" i="16"/>
  <c r="H70" i="16"/>
  <c r="B71" i="16"/>
  <c r="C71" i="16"/>
  <c r="D71" i="16"/>
  <c r="E71" i="16"/>
  <c r="F71" i="16"/>
  <c r="G71" i="16"/>
  <c r="H71" i="16"/>
  <c r="B72" i="16"/>
  <c r="C72" i="16"/>
  <c r="D72" i="16"/>
  <c r="E72" i="16"/>
  <c r="F72" i="16"/>
  <c r="G72" i="16"/>
  <c r="H72" i="16"/>
  <c r="B73" i="16"/>
  <c r="C73" i="16"/>
  <c r="D73" i="16"/>
  <c r="E73" i="16"/>
  <c r="F73" i="16"/>
  <c r="G73" i="16"/>
  <c r="H73" i="16"/>
  <c r="B74" i="16"/>
  <c r="C74" i="16"/>
  <c r="D74" i="16"/>
  <c r="E74" i="16"/>
  <c r="F74" i="16"/>
  <c r="G74" i="16"/>
  <c r="H74" i="16"/>
  <c r="B75" i="16"/>
  <c r="C75" i="16"/>
  <c r="D75" i="16"/>
  <c r="E75" i="16"/>
  <c r="F75" i="16"/>
  <c r="G75" i="16"/>
  <c r="H75" i="16"/>
  <c r="B76" i="16"/>
  <c r="C76" i="16"/>
  <c r="D76" i="16"/>
  <c r="E76" i="16"/>
  <c r="F76" i="16"/>
  <c r="G76" i="16"/>
  <c r="H76" i="16"/>
  <c r="B77" i="16"/>
  <c r="C77" i="16"/>
  <c r="D77" i="16"/>
  <c r="E77" i="16"/>
  <c r="F77" i="16"/>
  <c r="G77" i="16"/>
  <c r="H77" i="16"/>
  <c r="C63" i="16"/>
  <c r="D63" i="16"/>
  <c r="E63" i="16"/>
  <c r="F63" i="16"/>
  <c r="G63" i="16"/>
  <c r="H63" i="16"/>
  <c r="B63" i="16"/>
  <c r="B45" i="16"/>
  <c r="C45" i="16"/>
  <c r="D45" i="16"/>
  <c r="E45" i="16"/>
  <c r="F45" i="16"/>
  <c r="G45" i="16"/>
  <c r="H45" i="16"/>
  <c r="B46" i="16"/>
  <c r="C46" i="16"/>
  <c r="D46" i="16"/>
  <c r="E46" i="16"/>
  <c r="F46" i="16"/>
  <c r="G46" i="16"/>
  <c r="H46" i="16"/>
  <c r="B47" i="16"/>
  <c r="C47" i="16"/>
  <c r="D47" i="16"/>
  <c r="E47" i="16"/>
  <c r="F47" i="16"/>
  <c r="G47" i="16"/>
  <c r="H47" i="16"/>
  <c r="B48" i="16"/>
  <c r="C48" i="16"/>
  <c r="D48" i="16"/>
  <c r="E48" i="16"/>
  <c r="F48" i="16"/>
  <c r="G48" i="16"/>
  <c r="H48" i="16"/>
  <c r="B49" i="16"/>
  <c r="C49" i="16"/>
  <c r="D49" i="16"/>
  <c r="E49" i="16"/>
  <c r="F49" i="16"/>
  <c r="G49" i="16"/>
  <c r="H49" i="16"/>
  <c r="B50" i="16"/>
  <c r="C50" i="16"/>
  <c r="D50" i="16"/>
  <c r="E50" i="16"/>
  <c r="F50" i="16"/>
  <c r="G50" i="16"/>
  <c r="H50" i="16"/>
  <c r="B51" i="16"/>
  <c r="C51" i="16"/>
  <c r="D51" i="16"/>
  <c r="E51" i="16"/>
  <c r="F51" i="16"/>
  <c r="G51" i="16"/>
  <c r="H51" i="16"/>
  <c r="B52" i="16"/>
  <c r="C52" i="16"/>
  <c r="D52" i="16"/>
  <c r="E52" i="16"/>
  <c r="F52" i="16"/>
  <c r="G52" i="16"/>
  <c r="H52" i="16"/>
  <c r="B53" i="16"/>
  <c r="C53" i="16"/>
  <c r="D53" i="16"/>
  <c r="E53" i="16"/>
  <c r="F53" i="16"/>
  <c r="G53" i="16"/>
  <c r="H53" i="16"/>
  <c r="B54" i="16"/>
  <c r="C54" i="16"/>
  <c r="D54" i="16"/>
  <c r="E54" i="16"/>
  <c r="F54" i="16"/>
  <c r="G54" i="16"/>
  <c r="H54" i="16"/>
  <c r="B55" i="16"/>
  <c r="C55" i="16"/>
  <c r="D55" i="16"/>
  <c r="E55" i="16"/>
  <c r="F55" i="16"/>
  <c r="G55" i="16"/>
  <c r="H55" i="16"/>
  <c r="B56" i="16"/>
  <c r="C56" i="16"/>
  <c r="D56" i="16"/>
  <c r="E56" i="16"/>
  <c r="F56" i="16"/>
  <c r="G56" i="16"/>
  <c r="H56" i="16"/>
  <c r="B57" i="16"/>
  <c r="C57" i="16"/>
  <c r="D57" i="16"/>
  <c r="E57" i="16"/>
  <c r="F57" i="16"/>
  <c r="G57" i="16"/>
  <c r="H57" i="16"/>
  <c r="B58" i="16"/>
  <c r="C58" i="16"/>
  <c r="D58" i="16"/>
  <c r="E58" i="16"/>
  <c r="F58" i="16"/>
  <c r="G58" i="16"/>
  <c r="H58" i="16"/>
  <c r="C44" i="16"/>
  <c r="D44" i="16"/>
  <c r="E44" i="16"/>
  <c r="F44" i="16"/>
  <c r="G44" i="16"/>
  <c r="H44" i="16"/>
  <c r="B44" i="16"/>
  <c r="B26" i="16"/>
  <c r="C26" i="16"/>
  <c r="D26" i="16"/>
  <c r="E26" i="16"/>
  <c r="F26" i="16"/>
  <c r="G26" i="16"/>
  <c r="H26" i="16"/>
  <c r="B27" i="16"/>
  <c r="C27" i="16"/>
  <c r="D27" i="16"/>
  <c r="E27" i="16"/>
  <c r="F27" i="16"/>
  <c r="G27" i="16"/>
  <c r="H27" i="16"/>
  <c r="B28" i="16"/>
  <c r="C28" i="16"/>
  <c r="D28" i="16"/>
  <c r="E28" i="16"/>
  <c r="F28" i="16"/>
  <c r="G28" i="16"/>
  <c r="H28" i="16"/>
  <c r="B29" i="16"/>
  <c r="C29" i="16"/>
  <c r="D29" i="16"/>
  <c r="E29" i="16"/>
  <c r="F29" i="16"/>
  <c r="G29" i="16"/>
  <c r="H29" i="16"/>
  <c r="B30" i="16"/>
  <c r="C30" i="16"/>
  <c r="D30" i="16"/>
  <c r="E30" i="16"/>
  <c r="F30" i="16"/>
  <c r="G30" i="16"/>
  <c r="H30" i="16"/>
  <c r="B31" i="16"/>
  <c r="C31" i="16"/>
  <c r="D31" i="16"/>
  <c r="E31" i="16"/>
  <c r="F31" i="16"/>
  <c r="G31" i="16"/>
  <c r="H31" i="16"/>
  <c r="B32" i="16"/>
  <c r="C32" i="16"/>
  <c r="D32" i="16"/>
  <c r="E32" i="16"/>
  <c r="F32" i="16"/>
  <c r="G32" i="16"/>
  <c r="H32" i="16"/>
  <c r="B33" i="16"/>
  <c r="C33" i="16"/>
  <c r="D33" i="16"/>
  <c r="E33" i="16"/>
  <c r="F33" i="16"/>
  <c r="G33" i="16"/>
  <c r="H33" i="16"/>
  <c r="B34" i="16"/>
  <c r="C34" i="16"/>
  <c r="D34" i="16"/>
  <c r="E34" i="16"/>
  <c r="F34" i="16"/>
  <c r="G34" i="16"/>
  <c r="H34" i="16"/>
  <c r="B35" i="16"/>
  <c r="C35" i="16"/>
  <c r="D35" i="16"/>
  <c r="E35" i="16"/>
  <c r="F35" i="16"/>
  <c r="G35" i="16"/>
  <c r="H35" i="16"/>
  <c r="B36" i="16"/>
  <c r="C36" i="16"/>
  <c r="D36" i="16"/>
  <c r="E36" i="16"/>
  <c r="F36" i="16"/>
  <c r="G36" i="16"/>
  <c r="H36" i="16"/>
  <c r="B37" i="16"/>
  <c r="C37" i="16"/>
  <c r="D37" i="16"/>
  <c r="E37" i="16"/>
  <c r="F37" i="16"/>
  <c r="G37" i="16"/>
  <c r="H37" i="16"/>
  <c r="B38" i="16"/>
  <c r="C38" i="16"/>
  <c r="D38" i="16"/>
  <c r="E38" i="16"/>
  <c r="F38" i="16"/>
  <c r="G38" i="16"/>
  <c r="H38" i="16"/>
  <c r="B39" i="16"/>
  <c r="C39" i="16"/>
  <c r="D39" i="16"/>
  <c r="E39" i="16"/>
  <c r="F39" i="16"/>
  <c r="G39" i="16"/>
  <c r="H39" i="16"/>
  <c r="C25" i="16"/>
  <c r="D25" i="16"/>
  <c r="E25" i="16"/>
  <c r="F25" i="16"/>
  <c r="G25" i="16"/>
  <c r="H25" i="16"/>
  <c r="B25" i="16"/>
  <c r="B7" i="16"/>
  <c r="C7" i="16"/>
  <c r="D7" i="16"/>
  <c r="E7" i="16"/>
  <c r="F7" i="16"/>
  <c r="G7" i="16"/>
  <c r="H7" i="16"/>
  <c r="B8" i="16"/>
  <c r="C8" i="16"/>
  <c r="D8" i="16"/>
  <c r="E8" i="16"/>
  <c r="F8" i="16"/>
  <c r="G8" i="16"/>
  <c r="H8" i="16"/>
  <c r="B9" i="16"/>
  <c r="C9" i="16"/>
  <c r="D9" i="16"/>
  <c r="E9" i="16"/>
  <c r="F9" i="16"/>
  <c r="G9" i="16"/>
  <c r="H9" i="16"/>
  <c r="B10" i="16"/>
  <c r="C10" i="16"/>
  <c r="D10" i="16"/>
  <c r="E10" i="16"/>
  <c r="F10" i="16"/>
  <c r="G10" i="16"/>
  <c r="H10" i="16"/>
  <c r="B11" i="16"/>
  <c r="C11" i="16"/>
  <c r="D11" i="16"/>
  <c r="E11" i="16"/>
  <c r="F11" i="16"/>
  <c r="G11" i="16"/>
  <c r="H11" i="16"/>
  <c r="B12" i="16"/>
  <c r="C12" i="16"/>
  <c r="D12" i="16"/>
  <c r="E12" i="16"/>
  <c r="F12" i="16"/>
  <c r="G12" i="16"/>
  <c r="H12" i="16"/>
  <c r="B13" i="16"/>
  <c r="C13" i="16"/>
  <c r="D13" i="16"/>
  <c r="E13" i="16"/>
  <c r="F13" i="16"/>
  <c r="G13" i="16"/>
  <c r="H13" i="16"/>
  <c r="B14" i="16"/>
  <c r="C14" i="16"/>
  <c r="D14" i="16"/>
  <c r="E14" i="16"/>
  <c r="F14" i="16"/>
  <c r="G14" i="16"/>
  <c r="H14" i="16"/>
  <c r="B15" i="16"/>
  <c r="C15" i="16"/>
  <c r="D15" i="16"/>
  <c r="E15" i="16"/>
  <c r="F15" i="16"/>
  <c r="G15" i="16"/>
  <c r="H15" i="16"/>
  <c r="B16" i="16"/>
  <c r="C16" i="16"/>
  <c r="D16" i="16"/>
  <c r="E16" i="16"/>
  <c r="F16" i="16"/>
  <c r="G16" i="16"/>
  <c r="H16" i="16"/>
  <c r="B17" i="16"/>
  <c r="C17" i="16"/>
  <c r="D17" i="16"/>
  <c r="E17" i="16"/>
  <c r="F17" i="16"/>
  <c r="G17" i="16"/>
  <c r="H17" i="16"/>
  <c r="B18" i="16"/>
  <c r="C18" i="16"/>
  <c r="D18" i="16"/>
  <c r="E18" i="16"/>
  <c r="F18" i="16"/>
  <c r="G18" i="16"/>
  <c r="H18" i="16"/>
  <c r="B19" i="16"/>
  <c r="C19" i="16"/>
  <c r="D19" i="16"/>
  <c r="E19" i="16"/>
  <c r="F19" i="16"/>
  <c r="G19" i="16"/>
  <c r="H19" i="16"/>
  <c r="B20" i="16"/>
  <c r="C20" i="16"/>
  <c r="D20" i="16"/>
  <c r="E20" i="16"/>
  <c r="F20" i="16"/>
  <c r="G20" i="16"/>
  <c r="H20" i="16"/>
  <c r="C6" i="16"/>
  <c r="D6" i="16"/>
  <c r="E6" i="16"/>
  <c r="F6" i="16"/>
  <c r="G6" i="16"/>
  <c r="H6" i="16"/>
  <c r="B6" i="16"/>
  <c r="AU140" i="8"/>
  <c r="AV140" i="8"/>
  <c r="AW140" i="8"/>
  <c r="AX140" i="8"/>
  <c r="AY140" i="8"/>
  <c r="AZ140" i="8"/>
  <c r="BA140" i="8"/>
  <c r="AU141" i="8"/>
  <c r="AV141" i="8"/>
  <c r="AW141" i="8"/>
  <c r="AX141" i="8"/>
  <c r="AY141" i="8"/>
  <c r="AZ141" i="8"/>
  <c r="BA141" i="8"/>
  <c r="AU142" i="8"/>
  <c r="AV142" i="8"/>
  <c r="AW142" i="8"/>
  <c r="AX142" i="8"/>
  <c r="AY142" i="8"/>
  <c r="AZ142" i="8"/>
  <c r="BA142" i="8"/>
  <c r="AU143" i="8"/>
  <c r="AV143" i="8"/>
  <c r="AW143" i="8"/>
  <c r="AX143" i="8"/>
  <c r="AY143" i="8"/>
  <c r="AZ143" i="8"/>
  <c r="BA143" i="8"/>
  <c r="AU144" i="8"/>
  <c r="AV144" i="8"/>
  <c r="AW144" i="8"/>
  <c r="AX144" i="8"/>
  <c r="AY144" i="8"/>
  <c r="AZ144" i="8"/>
  <c r="BA144" i="8"/>
  <c r="AU145" i="8"/>
  <c r="AV145" i="8"/>
  <c r="AW145" i="8"/>
  <c r="AX145" i="8"/>
  <c r="AY145" i="8"/>
  <c r="AZ145" i="8"/>
  <c r="BA145" i="8"/>
  <c r="AU146" i="8"/>
  <c r="AV146" i="8"/>
  <c r="AW146" i="8"/>
  <c r="AX146" i="8"/>
  <c r="AY146" i="8"/>
  <c r="AZ146" i="8"/>
  <c r="BA146" i="8"/>
  <c r="AU147" i="8"/>
  <c r="AV147" i="8"/>
  <c r="AW147" i="8"/>
  <c r="AX147" i="8"/>
  <c r="AY147" i="8"/>
  <c r="AZ147" i="8"/>
  <c r="BA147" i="8"/>
  <c r="AU148" i="8"/>
  <c r="AV148" i="8"/>
  <c r="AW148" i="8"/>
  <c r="AX148" i="8"/>
  <c r="AY148" i="8"/>
  <c r="AZ148" i="8"/>
  <c r="BA148" i="8"/>
  <c r="AU149" i="8"/>
  <c r="AV149" i="8"/>
  <c r="AW149" i="8"/>
  <c r="AX149" i="8"/>
  <c r="AY149" i="8"/>
  <c r="AZ149" i="8"/>
  <c r="BA149" i="8"/>
  <c r="AU150" i="8"/>
  <c r="AV150" i="8"/>
  <c r="AW150" i="8"/>
  <c r="AX150" i="8"/>
  <c r="AY150" i="8"/>
  <c r="AZ150" i="8"/>
  <c r="BA150" i="8"/>
  <c r="AU151" i="8"/>
  <c r="AV151" i="8"/>
  <c r="AW151" i="8"/>
  <c r="AX151" i="8"/>
  <c r="AY151" i="8"/>
  <c r="AZ151" i="8"/>
  <c r="BA151" i="8"/>
  <c r="AU152" i="8"/>
  <c r="AV152" i="8"/>
  <c r="AW152" i="8"/>
  <c r="AX152" i="8"/>
  <c r="AY152" i="8"/>
  <c r="AZ152" i="8"/>
  <c r="BA152" i="8"/>
  <c r="AU153" i="8"/>
  <c r="AV153" i="8"/>
  <c r="AW153" i="8"/>
  <c r="AX153" i="8"/>
  <c r="AY153" i="8"/>
  <c r="AY154" i="8" s="1"/>
  <c r="AZ153" i="8"/>
  <c r="BA153" i="8"/>
  <c r="AV139" i="8"/>
  <c r="AW139" i="8"/>
  <c r="AX139" i="8"/>
  <c r="AY139" i="8"/>
  <c r="AZ139" i="8"/>
  <c r="BA139" i="8"/>
  <c r="AU139" i="8"/>
  <c r="AU121" i="8"/>
  <c r="AV121" i="8"/>
  <c r="AW121" i="8"/>
  <c r="AX121" i="8"/>
  <c r="AY121" i="8"/>
  <c r="AZ121" i="8"/>
  <c r="BA121" i="8"/>
  <c r="AU122" i="8"/>
  <c r="AV122" i="8"/>
  <c r="AW122" i="8"/>
  <c r="AX122" i="8"/>
  <c r="AY122" i="8"/>
  <c r="AZ122" i="8"/>
  <c r="BA122" i="8"/>
  <c r="AU123" i="8"/>
  <c r="AV123" i="8"/>
  <c r="AW123" i="8"/>
  <c r="AX123" i="8"/>
  <c r="AY123" i="8"/>
  <c r="AZ123" i="8"/>
  <c r="BA123" i="8"/>
  <c r="AU124" i="8"/>
  <c r="AV124" i="8"/>
  <c r="AW124" i="8"/>
  <c r="AX124" i="8"/>
  <c r="AY124" i="8"/>
  <c r="AZ124" i="8"/>
  <c r="BA124" i="8"/>
  <c r="AU125" i="8"/>
  <c r="AV125" i="8"/>
  <c r="AW125" i="8"/>
  <c r="AX125" i="8"/>
  <c r="AY125" i="8"/>
  <c r="AZ125" i="8"/>
  <c r="BA125" i="8"/>
  <c r="AU126" i="8"/>
  <c r="AV126" i="8"/>
  <c r="AW126" i="8"/>
  <c r="AX126" i="8"/>
  <c r="AY126" i="8"/>
  <c r="AZ126" i="8"/>
  <c r="BA126" i="8"/>
  <c r="AU127" i="8"/>
  <c r="AV127" i="8"/>
  <c r="AW127" i="8"/>
  <c r="AX127" i="8"/>
  <c r="AY127" i="8"/>
  <c r="AZ127" i="8"/>
  <c r="BA127" i="8"/>
  <c r="AU128" i="8"/>
  <c r="AV128" i="8"/>
  <c r="AW128" i="8"/>
  <c r="AX128" i="8"/>
  <c r="AY128" i="8"/>
  <c r="AZ128" i="8"/>
  <c r="BA128" i="8"/>
  <c r="AU129" i="8"/>
  <c r="AV129" i="8"/>
  <c r="AW129" i="8"/>
  <c r="AX129" i="8"/>
  <c r="AY129" i="8"/>
  <c r="AZ129" i="8"/>
  <c r="BA129" i="8"/>
  <c r="AU130" i="8"/>
  <c r="AV130" i="8"/>
  <c r="AW130" i="8"/>
  <c r="AX130" i="8"/>
  <c r="AY130" i="8"/>
  <c r="AZ130" i="8"/>
  <c r="BA130" i="8"/>
  <c r="AU131" i="8"/>
  <c r="AV131" i="8"/>
  <c r="AW131" i="8"/>
  <c r="AX131" i="8"/>
  <c r="AY131" i="8"/>
  <c r="AZ131" i="8"/>
  <c r="BA131" i="8"/>
  <c r="AU132" i="8"/>
  <c r="AV132" i="8"/>
  <c r="AW132" i="8"/>
  <c r="AX132" i="8"/>
  <c r="AY132" i="8"/>
  <c r="AZ132" i="8"/>
  <c r="BA132" i="8"/>
  <c r="AU133" i="8"/>
  <c r="AV133" i="8"/>
  <c r="AW133" i="8"/>
  <c r="AX133" i="8"/>
  <c r="AY133" i="8"/>
  <c r="AZ133" i="8"/>
  <c r="BA133" i="8"/>
  <c r="AU134" i="8"/>
  <c r="AV134" i="8"/>
  <c r="AW134" i="8"/>
  <c r="AX134" i="8"/>
  <c r="AY134" i="8"/>
  <c r="AZ134" i="8"/>
  <c r="BA134" i="8"/>
  <c r="AV120" i="8"/>
  <c r="AW120" i="8"/>
  <c r="AX120" i="8"/>
  <c r="AY120" i="8"/>
  <c r="AZ120" i="8"/>
  <c r="BA120" i="8"/>
  <c r="AU120" i="8"/>
  <c r="AU102" i="8"/>
  <c r="AV102" i="8"/>
  <c r="AW102" i="8"/>
  <c r="AX102" i="8"/>
  <c r="AY102" i="8"/>
  <c r="AZ102" i="8"/>
  <c r="BA102" i="8"/>
  <c r="AU103" i="8"/>
  <c r="AV103" i="8"/>
  <c r="AW103" i="8"/>
  <c r="AX103" i="8"/>
  <c r="AY103" i="8"/>
  <c r="AZ103" i="8"/>
  <c r="BA103" i="8"/>
  <c r="AU104" i="8"/>
  <c r="AV104" i="8"/>
  <c r="AW104" i="8"/>
  <c r="AX104" i="8"/>
  <c r="AY104" i="8"/>
  <c r="AZ104" i="8"/>
  <c r="BA104" i="8"/>
  <c r="AU105" i="8"/>
  <c r="AV105" i="8"/>
  <c r="AW105" i="8"/>
  <c r="AX105" i="8"/>
  <c r="AY105" i="8"/>
  <c r="AZ105" i="8"/>
  <c r="BA105" i="8"/>
  <c r="AU106" i="8"/>
  <c r="AV106" i="8"/>
  <c r="AW106" i="8"/>
  <c r="AX106" i="8"/>
  <c r="AY106" i="8"/>
  <c r="AZ106" i="8"/>
  <c r="BA106" i="8"/>
  <c r="AU107" i="8"/>
  <c r="AV107" i="8"/>
  <c r="AW107" i="8"/>
  <c r="AX107" i="8"/>
  <c r="AY107" i="8"/>
  <c r="AZ107" i="8"/>
  <c r="BA107" i="8"/>
  <c r="AU108" i="8"/>
  <c r="AV108" i="8"/>
  <c r="AW108" i="8"/>
  <c r="AX108" i="8"/>
  <c r="AY108" i="8"/>
  <c r="AZ108" i="8"/>
  <c r="BA108" i="8"/>
  <c r="AU109" i="8"/>
  <c r="AV109" i="8"/>
  <c r="AW109" i="8"/>
  <c r="AX109" i="8"/>
  <c r="AY109" i="8"/>
  <c r="AZ109" i="8"/>
  <c r="BA109" i="8"/>
  <c r="AU110" i="8"/>
  <c r="AV110" i="8"/>
  <c r="AW110" i="8"/>
  <c r="AX110" i="8"/>
  <c r="AY110" i="8"/>
  <c r="AZ110" i="8"/>
  <c r="BA110" i="8"/>
  <c r="AU111" i="8"/>
  <c r="AV111" i="8"/>
  <c r="AW111" i="8"/>
  <c r="AX111" i="8"/>
  <c r="AY111" i="8"/>
  <c r="AZ111" i="8"/>
  <c r="BA111" i="8"/>
  <c r="AU112" i="8"/>
  <c r="AV112" i="8"/>
  <c r="AW112" i="8"/>
  <c r="AX112" i="8"/>
  <c r="AY112" i="8"/>
  <c r="AZ112" i="8"/>
  <c r="BA112" i="8"/>
  <c r="AU113" i="8"/>
  <c r="AV113" i="8"/>
  <c r="AW113" i="8"/>
  <c r="AX113" i="8"/>
  <c r="AY113" i="8"/>
  <c r="AZ113" i="8"/>
  <c r="BA113" i="8"/>
  <c r="AU114" i="8"/>
  <c r="AV114" i="8"/>
  <c r="AW114" i="8"/>
  <c r="AX114" i="8"/>
  <c r="AY114" i="8"/>
  <c r="AZ114" i="8"/>
  <c r="BA114" i="8"/>
  <c r="AU115" i="8"/>
  <c r="AV115" i="8"/>
  <c r="AW115" i="8"/>
  <c r="AX115" i="8"/>
  <c r="AY115" i="8"/>
  <c r="AZ115" i="8"/>
  <c r="BA115" i="8"/>
  <c r="AV101" i="8"/>
  <c r="AW101" i="8"/>
  <c r="AX101" i="8"/>
  <c r="AY101" i="8"/>
  <c r="AZ101" i="8"/>
  <c r="BA101" i="8"/>
  <c r="AU101" i="8"/>
  <c r="AU83" i="8"/>
  <c r="AV83" i="8"/>
  <c r="AW83" i="8"/>
  <c r="AX83" i="8"/>
  <c r="AY83" i="8"/>
  <c r="AZ83" i="8"/>
  <c r="BA83" i="8"/>
  <c r="AU84" i="8"/>
  <c r="AV84" i="8"/>
  <c r="AW84" i="8"/>
  <c r="AX84" i="8"/>
  <c r="AY84" i="8"/>
  <c r="AZ84" i="8"/>
  <c r="BA84" i="8"/>
  <c r="AU85" i="8"/>
  <c r="AV85" i="8"/>
  <c r="AW85" i="8"/>
  <c r="AX85" i="8"/>
  <c r="AY85" i="8"/>
  <c r="AZ85" i="8"/>
  <c r="BA85" i="8"/>
  <c r="AU86" i="8"/>
  <c r="AV86" i="8"/>
  <c r="AW86" i="8"/>
  <c r="AX86" i="8"/>
  <c r="AY86" i="8"/>
  <c r="AZ86" i="8"/>
  <c r="BA86" i="8"/>
  <c r="AU87" i="8"/>
  <c r="AV87" i="8"/>
  <c r="AW87" i="8"/>
  <c r="AX87" i="8"/>
  <c r="AY87" i="8"/>
  <c r="AZ87" i="8"/>
  <c r="BA87" i="8"/>
  <c r="AU88" i="8"/>
  <c r="AV88" i="8"/>
  <c r="AW88" i="8"/>
  <c r="AX88" i="8"/>
  <c r="AY88" i="8"/>
  <c r="AZ88" i="8"/>
  <c r="BA88" i="8"/>
  <c r="AU89" i="8"/>
  <c r="AV89" i="8"/>
  <c r="AW89" i="8"/>
  <c r="AX89" i="8"/>
  <c r="AY89" i="8"/>
  <c r="AZ89" i="8"/>
  <c r="BA89" i="8"/>
  <c r="AU90" i="8"/>
  <c r="AV90" i="8"/>
  <c r="AW90" i="8"/>
  <c r="AX90" i="8"/>
  <c r="AY90" i="8"/>
  <c r="AZ90" i="8"/>
  <c r="BA90" i="8"/>
  <c r="AU91" i="8"/>
  <c r="AV91" i="8"/>
  <c r="AW91" i="8"/>
  <c r="AX91" i="8"/>
  <c r="AY91" i="8"/>
  <c r="AZ91" i="8"/>
  <c r="BA91" i="8"/>
  <c r="AU92" i="8"/>
  <c r="AV92" i="8"/>
  <c r="AW92" i="8"/>
  <c r="AX92" i="8"/>
  <c r="AY92" i="8"/>
  <c r="AZ92" i="8"/>
  <c r="BA92" i="8"/>
  <c r="AU93" i="8"/>
  <c r="AV93" i="8"/>
  <c r="AW93" i="8"/>
  <c r="AX93" i="8"/>
  <c r="AY93" i="8"/>
  <c r="AZ93" i="8"/>
  <c r="BA93" i="8"/>
  <c r="AU94" i="8"/>
  <c r="AV94" i="8"/>
  <c r="AW94" i="8"/>
  <c r="AX94" i="8"/>
  <c r="AY94" i="8"/>
  <c r="AZ94" i="8"/>
  <c r="BA94" i="8"/>
  <c r="AU95" i="8"/>
  <c r="AV95" i="8"/>
  <c r="AW95" i="8"/>
  <c r="AX95" i="8"/>
  <c r="AY95" i="8"/>
  <c r="AZ95" i="8"/>
  <c r="BA95" i="8"/>
  <c r="AU96" i="8"/>
  <c r="AV96" i="8"/>
  <c r="AW96" i="8"/>
  <c r="AX96" i="8"/>
  <c r="AY96" i="8"/>
  <c r="AZ96" i="8"/>
  <c r="BA96" i="8"/>
  <c r="AV82" i="8"/>
  <c r="AW82" i="8"/>
  <c r="AX82" i="8"/>
  <c r="AY82" i="8"/>
  <c r="AZ82" i="8"/>
  <c r="BA82" i="8"/>
  <c r="AU82" i="8"/>
  <c r="AU64" i="8"/>
  <c r="AV64" i="8"/>
  <c r="AW64" i="8"/>
  <c r="AX64" i="8"/>
  <c r="AY64" i="8"/>
  <c r="AZ64" i="8"/>
  <c r="BA64" i="8"/>
  <c r="AU65" i="8"/>
  <c r="AV65" i="8"/>
  <c r="AW65" i="8"/>
  <c r="AX65" i="8"/>
  <c r="AY65" i="8"/>
  <c r="AZ65" i="8"/>
  <c r="BA65" i="8"/>
  <c r="AU66" i="8"/>
  <c r="AV66" i="8"/>
  <c r="AW66" i="8"/>
  <c r="AX66" i="8"/>
  <c r="AY66" i="8"/>
  <c r="AZ66" i="8"/>
  <c r="BA66" i="8"/>
  <c r="AU67" i="8"/>
  <c r="AV67" i="8"/>
  <c r="AW67" i="8"/>
  <c r="AX67" i="8"/>
  <c r="AY67" i="8"/>
  <c r="AZ67" i="8"/>
  <c r="BA67" i="8"/>
  <c r="AU68" i="8"/>
  <c r="AV68" i="8"/>
  <c r="AW68" i="8"/>
  <c r="AX68" i="8"/>
  <c r="AY68" i="8"/>
  <c r="AZ68" i="8"/>
  <c r="BA68" i="8"/>
  <c r="AU69" i="8"/>
  <c r="AV69" i="8"/>
  <c r="AW69" i="8"/>
  <c r="AX69" i="8"/>
  <c r="AY69" i="8"/>
  <c r="AZ69" i="8"/>
  <c r="BA69" i="8"/>
  <c r="AU70" i="8"/>
  <c r="AV70" i="8"/>
  <c r="AW70" i="8"/>
  <c r="AX70" i="8"/>
  <c r="AY70" i="8"/>
  <c r="AZ70" i="8"/>
  <c r="BA70" i="8"/>
  <c r="AU71" i="8"/>
  <c r="AV71" i="8"/>
  <c r="AW71" i="8"/>
  <c r="AX71" i="8"/>
  <c r="AY71" i="8"/>
  <c r="AZ71" i="8"/>
  <c r="BA71" i="8"/>
  <c r="AU72" i="8"/>
  <c r="AV72" i="8"/>
  <c r="AW72" i="8"/>
  <c r="AX72" i="8"/>
  <c r="AY72" i="8"/>
  <c r="AZ72" i="8"/>
  <c r="BA72" i="8"/>
  <c r="AU73" i="8"/>
  <c r="AV73" i="8"/>
  <c r="AW73" i="8"/>
  <c r="AX73" i="8"/>
  <c r="AY73" i="8"/>
  <c r="AZ73" i="8"/>
  <c r="BA73" i="8"/>
  <c r="AU74" i="8"/>
  <c r="AV74" i="8"/>
  <c r="AW74" i="8"/>
  <c r="AX74" i="8"/>
  <c r="AY74" i="8"/>
  <c r="AZ74" i="8"/>
  <c r="BA74" i="8"/>
  <c r="AU75" i="8"/>
  <c r="AV75" i="8"/>
  <c r="AW75" i="8"/>
  <c r="AX75" i="8"/>
  <c r="AY75" i="8"/>
  <c r="AZ75" i="8"/>
  <c r="BA75" i="8"/>
  <c r="AU76" i="8"/>
  <c r="AV76" i="8"/>
  <c r="AW76" i="8"/>
  <c r="AX76" i="8"/>
  <c r="AY76" i="8"/>
  <c r="AZ76" i="8"/>
  <c r="BA76" i="8"/>
  <c r="AU77" i="8"/>
  <c r="AV77" i="8"/>
  <c r="AW77" i="8"/>
  <c r="AX77" i="8"/>
  <c r="AY77" i="8"/>
  <c r="AZ77" i="8"/>
  <c r="BA77" i="8"/>
  <c r="AV63" i="8"/>
  <c r="AW63" i="8"/>
  <c r="AX63" i="8"/>
  <c r="AY63" i="8"/>
  <c r="AZ63" i="8"/>
  <c r="BA63" i="8"/>
  <c r="AU63" i="8"/>
  <c r="AU45" i="8"/>
  <c r="AV45" i="8"/>
  <c r="AW45" i="8"/>
  <c r="AX45" i="8"/>
  <c r="AY45" i="8"/>
  <c r="AZ45" i="8"/>
  <c r="BA45" i="8"/>
  <c r="AU46" i="8"/>
  <c r="AV46" i="8"/>
  <c r="AW46" i="8"/>
  <c r="AX46" i="8"/>
  <c r="AY46" i="8"/>
  <c r="AZ46" i="8"/>
  <c r="BA46" i="8"/>
  <c r="AU47" i="8"/>
  <c r="AV47" i="8"/>
  <c r="AW47" i="8"/>
  <c r="AX47" i="8"/>
  <c r="AY47" i="8"/>
  <c r="AZ47" i="8"/>
  <c r="BA47" i="8"/>
  <c r="AU48" i="8"/>
  <c r="AV48" i="8"/>
  <c r="AW48" i="8"/>
  <c r="AX48" i="8"/>
  <c r="AY48" i="8"/>
  <c r="AZ48" i="8"/>
  <c r="BA48" i="8"/>
  <c r="AU49" i="8"/>
  <c r="AV49" i="8"/>
  <c r="AW49" i="8"/>
  <c r="AX49" i="8"/>
  <c r="AY49" i="8"/>
  <c r="AZ49" i="8"/>
  <c r="BA49" i="8"/>
  <c r="AU50" i="8"/>
  <c r="AV50" i="8"/>
  <c r="AW50" i="8"/>
  <c r="AX50" i="8"/>
  <c r="AY50" i="8"/>
  <c r="AZ50" i="8"/>
  <c r="BA50" i="8"/>
  <c r="AU51" i="8"/>
  <c r="AV51" i="8"/>
  <c r="AW51" i="8"/>
  <c r="AX51" i="8"/>
  <c r="AY51" i="8"/>
  <c r="AZ51" i="8"/>
  <c r="BA51" i="8"/>
  <c r="AU52" i="8"/>
  <c r="AV52" i="8"/>
  <c r="AW52" i="8"/>
  <c r="AX52" i="8"/>
  <c r="AY52" i="8"/>
  <c r="AZ52" i="8"/>
  <c r="BA52" i="8"/>
  <c r="AU53" i="8"/>
  <c r="AV53" i="8"/>
  <c r="AW53" i="8"/>
  <c r="AX53" i="8"/>
  <c r="AY53" i="8"/>
  <c r="AZ53" i="8"/>
  <c r="BA53" i="8"/>
  <c r="AU54" i="8"/>
  <c r="AV54" i="8"/>
  <c r="AW54" i="8"/>
  <c r="AX54" i="8"/>
  <c r="AY54" i="8"/>
  <c r="AZ54" i="8"/>
  <c r="BA54" i="8"/>
  <c r="AU55" i="8"/>
  <c r="AV55" i="8"/>
  <c r="AW55" i="8"/>
  <c r="AX55" i="8"/>
  <c r="AY55" i="8"/>
  <c r="AZ55" i="8"/>
  <c r="BA55" i="8"/>
  <c r="AU56" i="8"/>
  <c r="AV56" i="8"/>
  <c r="AW56" i="8"/>
  <c r="AX56" i="8"/>
  <c r="AY56" i="8"/>
  <c r="AZ56" i="8"/>
  <c r="BA56" i="8"/>
  <c r="AU57" i="8"/>
  <c r="AV57" i="8"/>
  <c r="AW57" i="8"/>
  <c r="AX57" i="8"/>
  <c r="AY57" i="8"/>
  <c r="AZ57" i="8"/>
  <c r="BA57" i="8"/>
  <c r="AU58" i="8"/>
  <c r="AV58" i="8"/>
  <c r="AW58" i="8"/>
  <c r="AX58" i="8"/>
  <c r="AY58" i="8"/>
  <c r="AZ58" i="8"/>
  <c r="BA58" i="8"/>
  <c r="AV44" i="8"/>
  <c r="AW44" i="8"/>
  <c r="AX44" i="8"/>
  <c r="AY44" i="8"/>
  <c r="AZ44" i="8"/>
  <c r="BA44" i="8"/>
  <c r="AU44" i="8"/>
  <c r="AU26" i="8"/>
  <c r="AV26" i="8"/>
  <c r="AW26" i="8"/>
  <c r="AX26" i="8"/>
  <c r="AY26" i="8"/>
  <c r="AZ26" i="8"/>
  <c r="BA26" i="8"/>
  <c r="AU27" i="8"/>
  <c r="AV27" i="8"/>
  <c r="AW27" i="8"/>
  <c r="AX27" i="8"/>
  <c r="AY27" i="8"/>
  <c r="AZ27" i="8"/>
  <c r="BA27" i="8"/>
  <c r="AU28" i="8"/>
  <c r="AV28" i="8"/>
  <c r="AW28" i="8"/>
  <c r="AX28" i="8"/>
  <c r="AY28" i="8"/>
  <c r="AZ28" i="8"/>
  <c r="BA28" i="8"/>
  <c r="AU29" i="8"/>
  <c r="AV29" i="8"/>
  <c r="AW29" i="8"/>
  <c r="AX29" i="8"/>
  <c r="AY29" i="8"/>
  <c r="AZ29" i="8"/>
  <c r="BA29" i="8"/>
  <c r="AU30" i="8"/>
  <c r="AV30" i="8"/>
  <c r="AW30" i="8"/>
  <c r="AX30" i="8"/>
  <c r="AY30" i="8"/>
  <c r="AZ30" i="8"/>
  <c r="BA30" i="8"/>
  <c r="AU31" i="8"/>
  <c r="AV31" i="8"/>
  <c r="AW31" i="8"/>
  <c r="AX31" i="8"/>
  <c r="AY31" i="8"/>
  <c r="AZ31" i="8"/>
  <c r="BA31" i="8"/>
  <c r="AU32" i="8"/>
  <c r="AV32" i="8"/>
  <c r="AW32" i="8"/>
  <c r="AX32" i="8"/>
  <c r="AY32" i="8"/>
  <c r="AZ32" i="8"/>
  <c r="BA32" i="8"/>
  <c r="AU33" i="8"/>
  <c r="AV33" i="8"/>
  <c r="AW33" i="8"/>
  <c r="AX33" i="8"/>
  <c r="AY33" i="8"/>
  <c r="AZ33" i="8"/>
  <c r="BA33" i="8"/>
  <c r="AU34" i="8"/>
  <c r="AV34" i="8"/>
  <c r="AW34" i="8"/>
  <c r="AX34" i="8"/>
  <c r="AY34" i="8"/>
  <c r="AZ34" i="8"/>
  <c r="BA34" i="8"/>
  <c r="AU35" i="8"/>
  <c r="AV35" i="8"/>
  <c r="AW35" i="8"/>
  <c r="AX35" i="8"/>
  <c r="AY35" i="8"/>
  <c r="AZ35" i="8"/>
  <c r="BA35" i="8"/>
  <c r="AU36" i="8"/>
  <c r="AV36" i="8"/>
  <c r="AW36" i="8"/>
  <c r="AX36" i="8"/>
  <c r="AY36" i="8"/>
  <c r="AZ36" i="8"/>
  <c r="BA36" i="8"/>
  <c r="AU37" i="8"/>
  <c r="AV37" i="8"/>
  <c r="AW37" i="8"/>
  <c r="AX37" i="8"/>
  <c r="AY37" i="8"/>
  <c r="AZ37" i="8"/>
  <c r="BA37" i="8"/>
  <c r="AU38" i="8"/>
  <c r="AV38" i="8"/>
  <c r="AW38" i="8"/>
  <c r="AX38" i="8"/>
  <c r="AY38" i="8"/>
  <c r="AZ38" i="8"/>
  <c r="BA38" i="8"/>
  <c r="AU39" i="8"/>
  <c r="AV39" i="8"/>
  <c r="AW39" i="8"/>
  <c r="AX39" i="8"/>
  <c r="AY39" i="8"/>
  <c r="AZ39" i="8"/>
  <c r="BA39" i="8"/>
  <c r="AV25" i="8"/>
  <c r="AW25" i="8"/>
  <c r="AX25" i="8"/>
  <c r="AY25" i="8"/>
  <c r="AZ25" i="8"/>
  <c r="BA25" i="8"/>
  <c r="AU25" i="8"/>
  <c r="AU7" i="8"/>
  <c r="AV7" i="8"/>
  <c r="AW7" i="8"/>
  <c r="AX7" i="8"/>
  <c r="AY7" i="8"/>
  <c r="AZ7" i="8"/>
  <c r="BA7" i="8"/>
  <c r="AU8" i="8"/>
  <c r="AV8" i="8"/>
  <c r="AW8" i="8"/>
  <c r="AX8" i="8"/>
  <c r="AY8" i="8"/>
  <c r="AZ8" i="8"/>
  <c r="BA8" i="8"/>
  <c r="AU9" i="8"/>
  <c r="AV9" i="8"/>
  <c r="AW9" i="8"/>
  <c r="AX9" i="8"/>
  <c r="AY9" i="8"/>
  <c r="AZ9" i="8"/>
  <c r="BA9" i="8"/>
  <c r="AU10" i="8"/>
  <c r="AV10" i="8"/>
  <c r="AW10" i="8"/>
  <c r="AX10" i="8"/>
  <c r="AY10" i="8"/>
  <c r="AZ10" i="8"/>
  <c r="BA10" i="8"/>
  <c r="AU11" i="8"/>
  <c r="AV11" i="8"/>
  <c r="AW11" i="8"/>
  <c r="AX11" i="8"/>
  <c r="AY11" i="8"/>
  <c r="AZ11" i="8"/>
  <c r="BA11" i="8"/>
  <c r="AU12" i="8"/>
  <c r="AV12" i="8"/>
  <c r="AW12" i="8"/>
  <c r="AX12" i="8"/>
  <c r="AY12" i="8"/>
  <c r="AZ12" i="8"/>
  <c r="BA12" i="8"/>
  <c r="AU13" i="8"/>
  <c r="AV13" i="8"/>
  <c r="AW13" i="8"/>
  <c r="AX13" i="8"/>
  <c r="AY13" i="8"/>
  <c r="AZ13" i="8"/>
  <c r="BA13" i="8"/>
  <c r="AU14" i="8"/>
  <c r="AV14" i="8"/>
  <c r="AW14" i="8"/>
  <c r="AX14" i="8"/>
  <c r="AY14" i="8"/>
  <c r="AZ14" i="8"/>
  <c r="BA14" i="8"/>
  <c r="AU15" i="8"/>
  <c r="AV15" i="8"/>
  <c r="AW15" i="8"/>
  <c r="AX15" i="8"/>
  <c r="AY15" i="8"/>
  <c r="AZ15" i="8"/>
  <c r="BA15" i="8"/>
  <c r="AU16" i="8"/>
  <c r="AV16" i="8"/>
  <c r="AW16" i="8"/>
  <c r="AX16" i="8"/>
  <c r="AY16" i="8"/>
  <c r="AZ16" i="8"/>
  <c r="BA16" i="8"/>
  <c r="AU17" i="8"/>
  <c r="AV17" i="8"/>
  <c r="AW17" i="8"/>
  <c r="AX17" i="8"/>
  <c r="AY17" i="8"/>
  <c r="AZ17" i="8"/>
  <c r="BA17" i="8"/>
  <c r="AU18" i="8"/>
  <c r="AV18" i="8"/>
  <c r="AW18" i="8"/>
  <c r="AX18" i="8"/>
  <c r="AY18" i="8"/>
  <c r="AZ18" i="8"/>
  <c r="BA18" i="8"/>
  <c r="AU19" i="8"/>
  <c r="AV19" i="8"/>
  <c r="AW19" i="8"/>
  <c r="AX19" i="8"/>
  <c r="AY19" i="8"/>
  <c r="AZ19" i="8"/>
  <c r="BA19" i="8"/>
  <c r="AU20" i="8"/>
  <c r="AV20" i="8"/>
  <c r="AW20" i="8"/>
  <c r="AX20" i="8"/>
  <c r="AY20" i="8"/>
  <c r="AZ20" i="8"/>
  <c r="BA20" i="8"/>
  <c r="AV6" i="8"/>
  <c r="AW6" i="8"/>
  <c r="AX6" i="8"/>
  <c r="AY6" i="8"/>
  <c r="AZ6" i="8"/>
  <c r="BA6" i="8"/>
  <c r="AU6" i="8"/>
  <c r="AL140" i="8"/>
  <c r="AM140" i="8"/>
  <c r="AN140" i="8"/>
  <c r="AO140" i="8"/>
  <c r="AP140" i="8"/>
  <c r="AQ140" i="8"/>
  <c r="AR140" i="8"/>
  <c r="AL141" i="8"/>
  <c r="AM141" i="8"/>
  <c r="AN141" i="8"/>
  <c r="AO141" i="8"/>
  <c r="AP141" i="8"/>
  <c r="AQ141" i="8"/>
  <c r="AR141" i="8"/>
  <c r="AL142" i="8"/>
  <c r="AM142" i="8"/>
  <c r="AN142" i="8"/>
  <c r="AO142" i="8"/>
  <c r="AP142" i="8"/>
  <c r="AQ142" i="8"/>
  <c r="AR142" i="8"/>
  <c r="AL143" i="8"/>
  <c r="AM143" i="8"/>
  <c r="AN143" i="8"/>
  <c r="AO143" i="8"/>
  <c r="AP143" i="8"/>
  <c r="AQ143" i="8"/>
  <c r="AR143" i="8"/>
  <c r="AL144" i="8"/>
  <c r="AM144" i="8"/>
  <c r="AN144" i="8"/>
  <c r="AO144" i="8"/>
  <c r="AP144" i="8"/>
  <c r="AQ144" i="8"/>
  <c r="AR144" i="8"/>
  <c r="AL145" i="8"/>
  <c r="AM145" i="8"/>
  <c r="AN145" i="8"/>
  <c r="AO145" i="8"/>
  <c r="AP145" i="8"/>
  <c r="AQ145" i="8"/>
  <c r="AR145" i="8"/>
  <c r="AL146" i="8"/>
  <c r="AM146" i="8"/>
  <c r="AN146" i="8"/>
  <c r="AO146" i="8"/>
  <c r="AP146" i="8"/>
  <c r="AQ146" i="8"/>
  <c r="AR146" i="8"/>
  <c r="AL147" i="8"/>
  <c r="AM147" i="8"/>
  <c r="AN147" i="8"/>
  <c r="AO147" i="8"/>
  <c r="AP147" i="8"/>
  <c r="AQ147" i="8"/>
  <c r="AR147" i="8"/>
  <c r="AL148" i="8"/>
  <c r="AM148" i="8"/>
  <c r="AN148" i="8"/>
  <c r="AO148" i="8"/>
  <c r="AP148" i="8"/>
  <c r="AQ148" i="8"/>
  <c r="AR148" i="8"/>
  <c r="AL149" i="8"/>
  <c r="AM149" i="8"/>
  <c r="AN149" i="8"/>
  <c r="AO149" i="8"/>
  <c r="AP149" i="8"/>
  <c r="AQ149" i="8"/>
  <c r="AR149" i="8"/>
  <c r="AL150" i="8"/>
  <c r="AM150" i="8"/>
  <c r="AN150" i="8"/>
  <c r="AO150" i="8"/>
  <c r="AP150" i="8"/>
  <c r="AQ150" i="8"/>
  <c r="AR150" i="8"/>
  <c r="AL151" i="8"/>
  <c r="AM151" i="8"/>
  <c r="AN151" i="8"/>
  <c r="AO151" i="8"/>
  <c r="AP151" i="8"/>
  <c r="AQ151" i="8"/>
  <c r="AR151" i="8"/>
  <c r="AL152" i="8"/>
  <c r="AM152" i="8"/>
  <c r="AN152" i="8"/>
  <c r="AO152" i="8"/>
  <c r="AP152" i="8"/>
  <c r="AQ152" i="8"/>
  <c r="AR152" i="8"/>
  <c r="AL153" i="8"/>
  <c r="AM153" i="8"/>
  <c r="AN153" i="8"/>
  <c r="AO153" i="8"/>
  <c r="AP153" i="8"/>
  <c r="AQ153" i="8"/>
  <c r="AR153" i="8"/>
  <c r="AM139" i="8"/>
  <c r="AN139" i="8"/>
  <c r="AO139" i="8"/>
  <c r="AP139" i="8"/>
  <c r="AQ139" i="8"/>
  <c r="AR139" i="8"/>
  <c r="AL139" i="8"/>
  <c r="AL121" i="8"/>
  <c r="AM121" i="8"/>
  <c r="AN121" i="8"/>
  <c r="AO121" i="8"/>
  <c r="AP121" i="8"/>
  <c r="AQ121" i="8"/>
  <c r="AR121" i="8"/>
  <c r="AL122" i="8"/>
  <c r="AM122" i="8"/>
  <c r="AN122" i="8"/>
  <c r="AO122" i="8"/>
  <c r="AP122" i="8"/>
  <c r="AQ122" i="8"/>
  <c r="AR122" i="8"/>
  <c r="AL123" i="8"/>
  <c r="AM123" i="8"/>
  <c r="AN123" i="8"/>
  <c r="AO123" i="8"/>
  <c r="AP123" i="8"/>
  <c r="AQ123" i="8"/>
  <c r="AR123" i="8"/>
  <c r="AL124" i="8"/>
  <c r="AM124" i="8"/>
  <c r="AN124" i="8"/>
  <c r="AO124" i="8"/>
  <c r="AP124" i="8"/>
  <c r="AQ124" i="8"/>
  <c r="AR124" i="8"/>
  <c r="AL125" i="8"/>
  <c r="AM125" i="8"/>
  <c r="AN125" i="8"/>
  <c r="AO125" i="8"/>
  <c r="AP125" i="8"/>
  <c r="AQ125" i="8"/>
  <c r="AR125" i="8"/>
  <c r="AL126" i="8"/>
  <c r="AM126" i="8"/>
  <c r="AN126" i="8"/>
  <c r="AO126" i="8"/>
  <c r="AP126" i="8"/>
  <c r="AQ126" i="8"/>
  <c r="AR126" i="8"/>
  <c r="AL127" i="8"/>
  <c r="AM127" i="8"/>
  <c r="AN127" i="8"/>
  <c r="AO127" i="8"/>
  <c r="AP127" i="8"/>
  <c r="AQ127" i="8"/>
  <c r="AR127" i="8"/>
  <c r="AL128" i="8"/>
  <c r="AM128" i="8"/>
  <c r="AN128" i="8"/>
  <c r="AO128" i="8"/>
  <c r="AP128" i="8"/>
  <c r="AQ128" i="8"/>
  <c r="AR128" i="8"/>
  <c r="AL129" i="8"/>
  <c r="AM129" i="8"/>
  <c r="AN129" i="8"/>
  <c r="AO129" i="8"/>
  <c r="AP129" i="8"/>
  <c r="AQ129" i="8"/>
  <c r="AR129" i="8"/>
  <c r="AL130" i="8"/>
  <c r="AM130" i="8"/>
  <c r="AN130" i="8"/>
  <c r="AO130" i="8"/>
  <c r="AP130" i="8"/>
  <c r="AQ130" i="8"/>
  <c r="AR130" i="8"/>
  <c r="AL131" i="8"/>
  <c r="AM131" i="8"/>
  <c r="AN131" i="8"/>
  <c r="AO131" i="8"/>
  <c r="AP131" i="8"/>
  <c r="AQ131" i="8"/>
  <c r="AR131" i="8"/>
  <c r="AL132" i="8"/>
  <c r="AM132" i="8"/>
  <c r="AN132" i="8"/>
  <c r="AO132" i="8"/>
  <c r="AP132" i="8"/>
  <c r="AQ132" i="8"/>
  <c r="AR132" i="8"/>
  <c r="AL133" i="8"/>
  <c r="AM133" i="8"/>
  <c r="AN133" i="8"/>
  <c r="AO133" i="8"/>
  <c r="AP133" i="8"/>
  <c r="AQ133" i="8"/>
  <c r="AR133" i="8"/>
  <c r="AL134" i="8"/>
  <c r="AM134" i="8"/>
  <c r="AN134" i="8"/>
  <c r="AO134" i="8"/>
  <c r="AP134" i="8"/>
  <c r="AQ134" i="8"/>
  <c r="AR134" i="8"/>
  <c r="AM120" i="8"/>
  <c r="AN120" i="8"/>
  <c r="AO120" i="8"/>
  <c r="AP120" i="8"/>
  <c r="AQ120" i="8"/>
  <c r="AR120" i="8"/>
  <c r="AL120" i="8"/>
  <c r="AL102" i="8"/>
  <c r="AM102" i="8"/>
  <c r="AN102" i="8"/>
  <c r="AO102" i="8"/>
  <c r="AP102" i="8"/>
  <c r="AQ102" i="8"/>
  <c r="AR102" i="8"/>
  <c r="AL103" i="8"/>
  <c r="AM103" i="8"/>
  <c r="AN103" i="8"/>
  <c r="AO103" i="8"/>
  <c r="AP103" i="8"/>
  <c r="AQ103" i="8"/>
  <c r="AR103" i="8"/>
  <c r="AL104" i="8"/>
  <c r="AM104" i="8"/>
  <c r="AN104" i="8"/>
  <c r="AO104" i="8"/>
  <c r="AP104" i="8"/>
  <c r="AQ104" i="8"/>
  <c r="AR104" i="8"/>
  <c r="AL105" i="8"/>
  <c r="AM105" i="8"/>
  <c r="AN105" i="8"/>
  <c r="AO105" i="8"/>
  <c r="AP105" i="8"/>
  <c r="AQ105" i="8"/>
  <c r="AR105" i="8"/>
  <c r="AL106" i="8"/>
  <c r="AM106" i="8"/>
  <c r="AN106" i="8"/>
  <c r="AO106" i="8"/>
  <c r="AP106" i="8"/>
  <c r="AQ106" i="8"/>
  <c r="AR106" i="8"/>
  <c r="AL107" i="8"/>
  <c r="AM107" i="8"/>
  <c r="AN107" i="8"/>
  <c r="AO107" i="8"/>
  <c r="AP107" i="8"/>
  <c r="AQ107" i="8"/>
  <c r="AR107" i="8"/>
  <c r="AL108" i="8"/>
  <c r="AM108" i="8"/>
  <c r="AN108" i="8"/>
  <c r="AO108" i="8"/>
  <c r="AP108" i="8"/>
  <c r="AQ108" i="8"/>
  <c r="AR108" i="8"/>
  <c r="AL109" i="8"/>
  <c r="AM109" i="8"/>
  <c r="AN109" i="8"/>
  <c r="AO109" i="8"/>
  <c r="AP109" i="8"/>
  <c r="AQ109" i="8"/>
  <c r="AR109" i="8"/>
  <c r="AL110" i="8"/>
  <c r="AM110" i="8"/>
  <c r="AN110" i="8"/>
  <c r="AO110" i="8"/>
  <c r="AP110" i="8"/>
  <c r="AQ110" i="8"/>
  <c r="AR110" i="8"/>
  <c r="AL111" i="8"/>
  <c r="AM111" i="8"/>
  <c r="AN111" i="8"/>
  <c r="AO111" i="8"/>
  <c r="AP111" i="8"/>
  <c r="AQ111" i="8"/>
  <c r="AR111" i="8"/>
  <c r="AL112" i="8"/>
  <c r="AM112" i="8"/>
  <c r="AN112" i="8"/>
  <c r="AO112" i="8"/>
  <c r="AP112" i="8"/>
  <c r="AQ112" i="8"/>
  <c r="AR112" i="8"/>
  <c r="AL113" i="8"/>
  <c r="AM113" i="8"/>
  <c r="AN113" i="8"/>
  <c r="AO113" i="8"/>
  <c r="AP113" i="8"/>
  <c r="AQ113" i="8"/>
  <c r="AR113" i="8"/>
  <c r="AL114" i="8"/>
  <c r="AM114" i="8"/>
  <c r="AN114" i="8"/>
  <c r="AO114" i="8"/>
  <c r="AP114" i="8"/>
  <c r="AQ114" i="8"/>
  <c r="AR114" i="8"/>
  <c r="AL115" i="8"/>
  <c r="AM115" i="8"/>
  <c r="AN115" i="8"/>
  <c r="AO115" i="8"/>
  <c r="AP115" i="8"/>
  <c r="AQ115" i="8"/>
  <c r="AR115" i="8"/>
  <c r="AM101" i="8"/>
  <c r="AN101" i="8"/>
  <c r="AO101" i="8"/>
  <c r="AP101" i="8"/>
  <c r="AQ101" i="8"/>
  <c r="AR101" i="8"/>
  <c r="AL101" i="8"/>
  <c r="AL83" i="8"/>
  <c r="AM83" i="8"/>
  <c r="AN83" i="8"/>
  <c r="AO83" i="8"/>
  <c r="AP83" i="8"/>
  <c r="AQ83" i="8"/>
  <c r="AR83" i="8"/>
  <c r="AL84" i="8"/>
  <c r="AM84" i="8"/>
  <c r="AN84" i="8"/>
  <c r="AO84" i="8"/>
  <c r="AP84" i="8"/>
  <c r="AQ84" i="8"/>
  <c r="AR84" i="8"/>
  <c r="AL85" i="8"/>
  <c r="AM85" i="8"/>
  <c r="AN85" i="8"/>
  <c r="AO85" i="8"/>
  <c r="AP85" i="8"/>
  <c r="AQ85" i="8"/>
  <c r="AR85" i="8"/>
  <c r="AL86" i="8"/>
  <c r="AM86" i="8"/>
  <c r="AN86" i="8"/>
  <c r="AO86" i="8"/>
  <c r="AP86" i="8"/>
  <c r="AQ86" i="8"/>
  <c r="AR86" i="8"/>
  <c r="AL87" i="8"/>
  <c r="AM87" i="8"/>
  <c r="AN87" i="8"/>
  <c r="AO87" i="8"/>
  <c r="AP87" i="8"/>
  <c r="AQ87" i="8"/>
  <c r="AR87" i="8"/>
  <c r="AL88" i="8"/>
  <c r="AM88" i="8"/>
  <c r="AN88" i="8"/>
  <c r="AO88" i="8"/>
  <c r="AP88" i="8"/>
  <c r="AQ88" i="8"/>
  <c r="AR88" i="8"/>
  <c r="AL89" i="8"/>
  <c r="AM89" i="8"/>
  <c r="AN89" i="8"/>
  <c r="AO89" i="8"/>
  <c r="AP89" i="8"/>
  <c r="AQ89" i="8"/>
  <c r="AR89" i="8"/>
  <c r="AL90" i="8"/>
  <c r="AM90" i="8"/>
  <c r="AN90" i="8"/>
  <c r="AO90" i="8"/>
  <c r="AP90" i="8"/>
  <c r="AQ90" i="8"/>
  <c r="AR90" i="8"/>
  <c r="AL91" i="8"/>
  <c r="AM91" i="8"/>
  <c r="AN91" i="8"/>
  <c r="AO91" i="8"/>
  <c r="AP91" i="8"/>
  <c r="AQ91" i="8"/>
  <c r="AR91" i="8"/>
  <c r="AL92" i="8"/>
  <c r="AM92" i="8"/>
  <c r="AN92" i="8"/>
  <c r="AO92" i="8"/>
  <c r="AP92" i="8"/>
  <c r="AQ92" i="8"/>
  <c r="AR92" i="8"/>
  <c r="AL93" i="8"/>
  <c r="AM93" i="8"/>
  <c r="AN93" i="8"/>
  <c r="AO93" i="8"/>
  <c r="AP93" i="8"/>
  <c r="AQ93" i="8"/>
  <c r="AR93" i="8"/>
  <c r="AL94" i="8"/>
  <c r="AM94" i="8"/>
  <c r="AN94" i="8"/>
  <c r="AO94" i="8"/>
  <c r="AP94" i="8"/>
  <c r="AQ94" i="8"/>
  <c r="AR94" i="8"/>
  <c r="AL95" i="8"/>
  <c r="AM95" i="8"/>
  <c r="AN95" i="8"/>
  <c r="AO95" i="8"/>
  <c r="AP95" i="8"/>
  <c r="AQ95" i="8"/>
  <c r="AR95" i="8"/>
  <c r="AL96" i="8"/>
  <c r="AM96" i="8"/>
  <c r="AN96" i="8"/>
  <c r="AO96" i="8"/>
  <c r="AP96" i="8"/>
  <c r="AQ96" i="8"/>
  <c r="AR96" i="8"/>
  <c r="AM82" i="8"/>
  <c r="AN82" i="8"/>
  <c r="AO82" i="8"/>
  <c r="AP82" i="8"/>
  <c r="AQ82" i="8"/>
  <c r="AR82" i="8"/>
  <c r="AL82" i="8"/>
  <c r="AL64" i="8"/>
  <c r="AM64" i="8"/>
  <c r="AN64" i="8"/>
  <c r="AO64" i="8"/>
  <c r="AP64" i="8"/>
  <c r="AQ64" i="8"/>
  <c r="AR64" i="8"/>
  <c r="AL65" i="8"/>
  <c r="AM65" i="8"/>
  <c r="AN65" i="8"/>
  <c r="AO65" i="8"/>
  <c r="AP65" i="8"/>
  <c r="AQ65" i="8"/>
  <c r="AR65" i="8"/>
  <c r="AL66" i="8"/>
  <c r="AM66" i="8"/>
  <c r="AN66" i="8"/>
  <c r="AO66" i="8"/>
  <c r="AP66" i="8"/>
  <c r="AQ66" i="8"/>
  <c r="AR66" i="8"/>
  <c r="AL67" i="8"/>
  <c r="AM67" i="8"/>
  <c r="AN67" i="8"/>
  <c r="AO67" i="8"/>
  <c r="AP67" i="8"/>
  <c r="AQ67" i="8"/>
  <c r="AR67" i="8"/>
  <c r="AL68" i="8"/>
  <c r="AM68" i="8"/>
  <c r="AN68" i="8"/>
  <c r="AO68" i="8"/>
  <c r="AP68" i="8"/>
  <c r="AQ68" i="8"/>
  <c r="AR68" i="8"/>
  <c r="AL69" i="8"/>
  <c r="AM69" i="8"/>
  <c r="AN69" i="8"/>
  <c r="AO69" i="8"/>
  <c r="AP69" i="8"/>
  <c r="AQ69" i="8"/>
  <c r="AR69" i="8"/>
  <c r="AL70" i="8"/>
  <c r="AM70" i="8"/>
  <c r="AN70" i="8"/>
  <c r="AO70" i="8"/>
  <c r="AP70" i="8"/>
  <c r="AQ70" i="8"/>
  <c r="AR70" i="8"/>
  <c r="AL71" i="8"/>
  <c r="AM71" i="8"/>
  <c r="AN71" i="8"/>
  <c r="AO71" i="8"/>
  <c r="AP71" i="8"/>
  <c r="AQ71" i="8"/>
  <c r="AR71" i="8"/>
  <c r="AL72" i="8"/>
  <c r="AM72" i="8"/>
  <c r="AN72" i="8"/>
  <c r="AO72" i="8"/>
  <c r="AP72" i="8"/>
  <c r="AQ72" i="8"/>
  <c r="AR72" i="8"/>
  <c r="AL73" i="8"/>
  <c r="AM73" i="8"/>
  <c r="AN73" i="8"/>
  <c r="AO73" i="8"/>
  <c r="AP73" i="8"/>
  <c r="AQ73" i="8"/>
  <c r="AR73" i="8"/>
  <c r="AL74" i="8"/>
  <c r="AM74" i="8"/>
  <c r="AN74" i="8"/>
  <c r="AO74" i="8"/>
  <c r="AP74" i="8"/>
  <c r="AQ74" i="8"/>
  <c r="AR74" i="8"/>
  <c r="AL75" i="8"/>
  <c r="AM75" i="8"/>
  <c r="AN75" i="8"/>
  <c r="AO75" i="8"/>
  <c r="AP75" i="8"/>
  <c r="AQ75" i="8"/>
  <c r="AR75" i="8"/>
  <c r="AL76" i="8"/>
  <c r="AM76" i="8"/>
  <c r="AN76" i="8"/>
  <c r="AO76" i="8"/>
  <c r="AP76" i="8"/>
  <c r="AQ76" i="8"/>
  <c r="AR76" i="8"/>
  <c r="AL77" i="8"/>
  <c r="AM77" i="8"/>
  <c r="AN77" i="8"/>
  <c r="AO77" i="8"/>
  <c r="AP77" i="8"/>
  <c r="AQ77" i="8"/>
  <c r="AR77" i="8"/>
  <c r="AM63" i="8"/>
  <c r="AN63" i="8"/>
  <c r="AO63" i="8"/>
  <c r="AP63" i="8"/>
  <c r="AQ63" i="8"/>
  <c r="AR63" i="8"/>
  <c r="AL63" i="8"/>
  <c r="AL45" i="8"/>
  <c r="AM45" i="8"/>
  <c r="AN45" i="8"/>
  <c r="AO45" i="8"/>
  <c r="AP45" i="8"/>
  <c r="AQ45" i="8"/>
  <c r="AR45" i="8"/>
  <c r="AL46" i="8"/>
  <c r="AM46" i="8"/>
  <c r="AN46" i="8"/>
  <c r="AO46" i="8"/>
  <c r="AP46" i="8"/>
  <c r="AQ46" i="8"/>
  <c r="AR46" i="8"/>
  <c r="AL47" i="8"/>
  <c r="AM47" i="8"/>
  <c r="AN47" i="8"/>
  <c r="AO47" i="8"/>
  <c r="AP47" i="8"/>
  <c r="AQ47" i="8"/>
  <c r="AR47" i="8"/>
  <c r="AL48" i="8"/>
  <c r="AM48" i="8"/>
  <c r="AN48" i="8"/>
  <c r="AO48" i="8"/>
  <c r="AP48" i="8"/>
  <c r="AQ48" i="8"/>
  <c r="AR48" i="8"/>
  <c r="AL49" i="8"/>
  <c r="AM49" i="8"/>
  <c r="AN49" i="8"/>
  <c r="AO49" i="8"/>
  <c r="AP49" i="8"/>
  <c r="AQ49" i="8"/>
  <c r="AR49" i="8"/>
  <c r="AL50" i="8"/>
  <c r="AM50" i="8"/>
  <c r="AN50" i="8"/>
  <c r="AO50" i="8"/>
  <c r="AP50" i="8"/>
  <c r="AQ50" i="8"/>
  <c r="AR50" i="8"/>
  <c r="AL51" i="8"/>
  <c r="AM51" i="8"/>
  <c r="AN51" i="8"/>
  <c r="AO51" i="8"/>
  <c r="AP51" i="8"/>
  <c r="AQ51" i="8"/>
  <c r="AR51" i="8"/>
  <c r="AL52" i="8"/>
  <c r="AM52" i="8"/>
  <c r="AN52" i="8"/>
  <c r="AO52" i="8"/>
  <c r="AP52" i="8"/>
  <c r="AQ52" i="8"/>
  <c r="AR52" i="8"/>
  <c r="AL53" i="8"/>
  <c r="AM53" i="8"/>
  <c r="AN53" i="8"/>
  <c r="AO53" i="8"/>
  <c r="AP53" i="8"/>
  <c r="AQ53" i="8"/>
  <c r="AR53" i="8"/>
  <c r="AL54" i="8"/>
  <c r="AM54" i="8"/>
  <c r="AN54" i="8"/>
  <c r="AO54" i="8"/>
  <c r="AP54" i="8"/>
  <c r="AQ54" i="8"/>
  <c r="AR54" i="8"/>
  <c r="AL55" i="8"/>
  <c r="AM55" i="8"/>
  <c r="AN55" i="8"/>
  <c r="AO55" i="8"/>
  <c r="AP55" i="8"/>
  <c r="AQ55" i="8"/>
  <c r="AR55" i="8"/>
  <c r="AL56" i="8"/>
  <c r="AM56" i="8"/>
  <c r="AN56" i="8"/>
  <c r="AO56" i="8"/>
  <c r="AP56" i="8"/>
  <c r="AQ56" i="8"/>
  <c r="AR56" i="8"/>
  <c r="AL57" i="8"/>
  <c r="AM57" i="8"/>
  <c r="AN57" i="8"/>
  <c r="AO57" i="8"/>
  <c r="AP57" i="8"/>
  <c r="AQ57" i="8"/>
  <c r="AR57" i="8"/>
  <c r="AL58" i="8"/>
  <c r="AM58" i="8"/>
  <c r="AN58" i="8"/>
  <c r="AO58" i="8"/>
  <c r="AP58" i="8"/>
  <c r="AQ58" i="8"/>
  <c r="AR58" i="8"/>
  <c r="AM44" i="8"/>
  <c r="AN44" i="8"/>
  <c r="AO44" i="8"/>
  <c r="AP44" i="8"/>
  <c r="AQ44" i="8"/>
  <c r="AR44" i="8"/>
  <c r="AL44" i="8"/>
  <c r="AL26" i="8"/>
  <c r="AM26" i="8"/>
  <c r="AN26" i="8"/>
  <c r="AO26" i="8"/>
  <c r="AP26" i="8"/>
  <c r="AQ26" i="8"/>
  <c r="AR26" i="8"/>
  <c r="AL27" i="8"/>
  <c r="AM27" i="8"/>
  <c r="AN27" i="8"/>
  <c r="AO27" i="8"/>
  <c r="AP27" i="8"/>
  <c r="AQ27" i="8"/>
  <c r="AR27" i="8"/>
  <c r="AL28" i="8"/>
  <c r="AM28" i="8"/>
  <c r="AN28" i="8"/>
  <c r="AO28" i="8"/>
  <c r="AP28" i="8"/>
  <c r="AQ28" i="8"/>
  <c r="AR28" i="8"/>
  <c r="AL29" i="8"/>
  <c r="AM29" i="8"/>
  <c r="AN29" i="8"/>
  <c r="AO29" i="8"/>
  <c r="AP29" i="8"/>
  <c r="AQ29" i="8"/>
  <c r="AR29" i="8"/>
  <c r="AL30" i="8"/>
  <c r="AM30" i="8"/>
  <c r="AN30" i="8"/>
  <c r="AO30" i="8"/>
  <c r="AP30" i="8"/>
  <c r="AQ30" i="8"/>
  <c r="AR30" i="8"/>
  <c r="AL31" i="8"/>
  <c r="AM31" i="8"/>
  <c r="AN31" i="8"/>
  <c r="AO31" i="8"/>
  <c r="AP31" i="8"/>
  <c r="AQ31" i="8"/>
  <c r="AR31" i="8"/>
  <c r="AL32" i="8"/>
  <c r="AM32" i="8"/>
  <c r="AN32" i="8"/>
  <c r="AO32" i="8"/>
  <c r="AP32" i="8"/>
  <c r="AQ32" i="8"/>
  <c r="AR32" i="8"/>
  <c r="AL33" i="8"/>
  <c r="AM33" i="8"/>
  <c r="AN33" i="8"/>
  <c r="AO33" i="8"/>
  <c r="AP33" i="8"/>
  <c r="AQ33" i="8"/>
  <c r="AR33" i="8"/>
  <c r="AL34" i="8"/>
  <c r="AM34" i="8"/>
  <c r="AN34" i="8"/>
  <c r="AO34" i="8"/>
  <c r="AP34" i="8"/>
  <c r="AQ34" i="8"/>
  <c r="AR34" i="8"/>
  <c r="AL35" i="8"/>
  <c r="AM35" i="8"/>
  <c r="AN35" i="8"/>
  <c r="AO35" i="8"/>
  <c r="AP35" i="8"/>
  <c r="AQ35" i="8"/>
  <c r="AR35" i="8"/>
  <c r="AL36" i="8"/>
  <c r="AM36" i="8"/>
  <c r="AN36" i="8"/>
  <c r="AO36" i="8"/>
  <c r="AP36" i="8"/>
  <c r="AQ36" i="8"/>
  <c r="AR36" i="8"/>
  <c r="AL37" i="8"/>
  <c r="AM37" i="8"/>
  <c r="AN37" i="8"/>
  <c r="AO37" i="8"/>
  <c r="AP37" i="8"/>
  <c r="AQ37" i="8"/>
  <c r="AR37" i="8"/>
  <c r="AL38" i="8"/>
  <c r="AM38" i="8"/>
  <c r="AN38" i="8"/>
  <c r="AO38" i="8"/>
  <c r="AP38" i="8"/>
  <c r="AQ38" i="8"/>
  <c r="AR38" i="8"/>
  <c r="AL39" i="8"/>
  <c r="AM39" i="8"/>
  <c r="AN39" i="8"/>
  <c r="AO39" i="8"/>
  <c r="AP39" i="8"/>
  <c r="AQ39" i="8"/>
  <c r="AR39" i="8"/>
  <c r="AM25" i="8"/>
  <c r="AN25" i="8"/>
  <c r="AO25" i="8"/>
  <c r="AP25" i="8"/>
  <c r="AQ25" i="8"/>
  <c r="AR25" i="8"/>
  <c r="AL25" i="8"/>
  <c r="AL7" i="8"/>
  <c r="AM7" i="8"/>
  <c r="AN7" i="8"/>
  <c r="AO7" i="8"/>
  <c r="AP7" i="8"/>
  <c r="AQ7" i="8"/>
  <c r="AR7" i="8"/>
  <c r="AL8" i="8"/>
  <c r="AM8" i="8"/>
  <c r="AN8" i="8"/>
  <c r="AO8" i="8"/>
  <c r="AP8" i="8"/>
  <c r="AQ8" i="8"/>
  <c r="AR8" i="8"/>
  <c r="AL9" i="8"/>
  <c r="AM9" i="8"/>
  <c r="AN9" i="8"/>
  <c r="AO9" i="8"/>
  <c r="AP9" i="8"/>
  <c r="AQ9" i="8"/>
  <c r="AR9" i="8"/>
  <c r="AL10" i="8"/>
  <c r="AM10" i="8"/>
  <c r="AN10" i="8"/>
  <c r="AO10" i="8"/>
  <c r="AP10" i="8"/>
  <c r="AQ10" i="8"/>
  <c r="AR10" i="8"/>
  <c r="AL11" i="8"/>
  <c r="AM11" i="8"/>
  <c r="AN11" i="8"/>
  <c r="AO11" i="8"/>
  <c r="AP11" i="8"/>
  <c r="AQ11" i="8"/>
  <c r="AR11" i="8"/>
  <c r="AL12" i="8"/>
  <c r="AM12" i="8"/>
  <c r="AN12" i="8"/>
  <c r="AO12" i="8"/>
  <c r="AP12" i="8"/>
  <c r="AQ12" i="8"/>
  <c r="AR12" i="8"/>
  <c r="AL13" i="8"/>
  <c r="AM13" i="8"/>
  <c r="AN13" i="8"/>
  <c r="AO13" i="8"/>
  <c r="AP13" i="8"/>
  <c r="AQ13" i="8"/>
  <c r="AR13" i="8"/>
  <c r="AL14" i="8"/>
  <c r="AM14" i="8"/>
  <c r="AN14" i="8"/>
  <c r="AO14" i="8"/>
  <c r="AP14" i="8"/>
  <c r="AQ14" i="8"/>
  <c r="AR14" i="8"/>
  <c r="AL15" i="8"/>
  <c r="AM15" i="8"/>
  <c r="AN15" i="8"/>
  <c r="AO15" i="8"/>
  <c r="AP15" i="8"/>
  <c r="AQ15" i="8"/>
  <c r="AR15" i="8"/>
  <c r="AL16" i="8"/>
  <c r="AM16" i="8"/>
  <c r="AN16" i="8"/>
  <c r="AO16" i="8"/>
  <c r="AP16" i="8"/>
  <c r="AQ16" i="8"/>
  <c r="AR16" i="8"/>
  <c r="AL17" i="8"/>
  <c r="AM17" i="8"/>
  <c r="AN17" i="8"/>
  <c r="AO17" i="8"/>
  <c r="AP17" i="8"/>
  <c r="AQ17" i="8"/>
  <c r="AR17" i="8"/>
  <c r="AL18" i="8"/>
  <c r="AM18" i="8"/>
  <c r="AN18" i="8"/>
  <c r="AO18" i="8"/>
  <c r="AP18" i="8"/>
  <c r="AQ18" i="8"/>
  <c r="AR18" i="8"/>
  <c r="AL19" i="8"/>
  <c r="AM19" i="8"/>
  <c r="AN19" i="8"/>
  <c r="AO19" i="8"/>
  <c r="AP19" i="8"/>
  <c r="AQ19" i="8"/>
  <c r="AR19" i="8"/>
  <c r="AL20" i="8"/>
  <c r="AM20" i="8"/>
  <c r="AN20" i="8"/>
  <c r="AO20" i="8"/>
  <c r="AP20" i="8"/>
  <c r="AQ20" i="8"/>
  <c r="AR20" i="8"/>
  <c r="AM6" i="8"/>
  <c r="AN6" i="8"/>
  <c r="AO6" i="8"/>
  <c r="AP6" i="8"/>
  <c r="AQ6" i="8"/>
  <c r="AR6" i="8"/>
  <c r="AL6" i="8"/>
  <c r="AC140" i="8"/>
  <c r="AD140" i="8"/>
  <c r="AE140" i="8"/>
  <c r="AF140" i="8"/>
  <c r="AG140" i="8"/>
  <c r="AH140" i="8"/>
  <c r="AI140" i="8"/>
  <c r="AC141" i="8"/>
  <c r="AD141" i="8"/>
  <c r="AE141" i="8"/>
  <c r="AF141" i="8"/>
  <c r="AG141" i="8"/>
  <c r="AH141" i="8"/>
  <c r="AI141" i="8"/>
  <c r="AC142" i="8"/>
  <c r="AD142" i="8"/>
  <c r="AE142" i="8"/>
  <c r="AF142" i="8"/>
  <c r="AG142" i="8"/>
  <c r="AH142" i="8"/>
  <c r="AI142" i="8"/>
  <c r="AC143" i="8"/>
  <c r="AD143" i="8"/>
  <c r="AE143" i="8"/>
  <c r="AF143" i="8"/>
  <c r="AG143" i="8"/>
  <c r="AH143" i="8"/>
  <c r="AI143" i="8"/>
  <c r="AC144" i="8"/>
  <c r="AD144" i="8"/>
  <c r="AE144" i="8"/>
  <c r="AF144" i="8"/>
  <c r="AG144" i="8"/>
  <c r="AH144" i="8"/>
  <c r="AI144" i="8"/>
  <c r="AC145" i="8"/>
  <c r="AD145" i="8"/>
  <c r="AE145" i="8"/>
  <c r="AF145" i="8"/>
  <c r="AG145" i="8"/>
  <c r="AH145" i="8"/>
  <c r="AI145" i="8"/>
  <c r="AC146" i="8"/>
  <c r="AD146" i="8"/>
  <c r="AE146" i="8"/>
  <c r="AF146" i="8"/>
  <c r="AG146" i="8"/>
  <c r="AH146" i="8"/>
  <c r="AI146" i="8"/>
  <c r="AC147" i="8"/>
  <c r="AD147" i="8"/>
  <c r="AE147" i="8"/>
  <c r="AF147" i="8"/>
  <c r="AG147" i="8"/>
  <c r="AH147" i="8"/>
  <c r="AI147" i="8"/>
  <c r="AC148" i="8"/>
  <c r="AD148" i="8"/>
  <c r="AE148" i="8"/>
  <c r="AF148" i="8"/>
  <c r="AG148" i="8"/>
  <c r="AH148" i="8"/>
  <c r="AI148" i="8"/>
  <c r="AC149" i="8"/>
  <c r="AD149" i="8"/>
  <c r="AE149" i="8"/>
  <c r="AF149" i="8"/>
  <c r="AG149" i="8"/>
  <c r="AH149" i="8"/>
  <c r="AI149" i="8"/>
  <c r="AC150" i="8"/>
  <c r="AD150" i="8"/>
  <c r="AE150" i="8"/>
  <c r="AF150" i="8"/>
  <c r="AG150" i="8"/>
  <c r="AH150" i="8"/>
  <c r="AI150" i="8"/>
  <c r="AC151" i="8"/>
  <c r="AD151" i="8"/>
  <c r="AE151" i="8"/>
  <c r="AF151" i="8"/>
  <c r="AG151" i="8"/>
  <c r="AH151" i="8"/>
  <c r="AI151" i="8"/>
  <c r="AC152" i="8"/>
  <c r="AD152" i="8"/>
  <c r="AE152" i="8"/>
  <c r="AF152" i="8"/>
  <c r="AG152" i="8"/>
  <c r="AH152" i="8"/>
  <c r="AI152" i="8"/>
  <c r="AC153" i="8"/>
  <c r="AD153" i="8"/>
  <c r="AE153" i="8"/>
  <c r="AF153" i="8"/>
  <c r="AG153" i="8"/>
  <c r="AH153" i="8"/>
  <c r="AI153" i="8"/>
  <c r="AD139" i="8"/>
  <c r="AE139" i="8"/>
  <c r="AF139" i="8"/>
  <c r="AG139" i="8"/>
  <c r="AH139" i="8"/>
  <c r="AI139" i="8"/>
  <c r="AC139" i="8"/>
  <c r="AC121" i="8"/>
  <c r="AD121" i="8"/>
  <c r="AE121" i="8"/>
  <c r="AF121" i="8"/>
  <c r="AG121" i="8"/>
  <c r="AH121" i="8"/>
  <c r="AI121" i="8"/>
  <c r="AC122" i="8"/>
  <c r="AD122" i="8"/>
  <c r="AE122" i="8"/>
  <c r="AF122" i="8"/>
  <c r="AG122" i="8"/>
  <c r="AH122" i="8"/>
  <c r="AI122" i="8"/>
  <c r="AC123" i="8"/>
  <c r="AD123" i="8"/>
  <c r="AE123" i="8"/>
  <c r="AF123" i="8"/>
  <c r="AG123" i="8"/>
  <c r="AH123" i="8"/>
  <c r="AI123" i="8"/>
  <c r="AC124" i="8"/>
  <c r="AD124" i="8"/>
  <c r="AE124" i="8"/>
  <c r="AF124" i="8"/>
  <c r="AG124" i="8"/>
  <c r="AH124" i="8"/>
  <c r="AI124" i="8"/>
  <c r="AC125" i="8"/>
  <c r="AD125" i="8"/>
  <c r="AE125" i="8"/>
  <c r="AF125" i="8"/>
  <c r="AG125" i="8"/>
  <c r="AH125" i="8"/>
  <c r="AI125" i="8"/>
  <c r="AC126" i="8"/>
  <c r="AD126" i="8"/>
  <c r="AE126" i="8"/>
  <c r="AF126" i="8"/>
  <c r="AG126" i="8"/>
  <c r="AH126" i="8"/>
  <c r="AI126" i="8"/>
  <c r="AC127" i="8"/>
  <c r="AD127" i="8"/>
  <c r="AE127" i="8"/>
  <c r="AF127" i="8"/>
  <c r="AG127" i="8"/>
  <c r="AH127" i="8"/>
  <c r="AI127" i="8"/>
  <c r="AC128" i="8"/>
  <c r="AD128" i="8"/>
  <c r="AE128" i="8"/>
  <c r="AF128" i="8"/>
  <c r="AG128" i="8"/>
  <c r="AH128" i="8"/>
  <c r="AI128" i="8"/>
  <c r="AC129" i="8"/>
  <c r="AD129" i="8"/>
  <c r="AE129" i="8"/>
  <c r="AF129" i="8"/>
  <c r="AG129" i="8"/>
  <c r="AH129" i="8"/>
  <c r="AI129" i="8"/>
  <c r="AC130" i="8"/>
  <c r="AD130" i="8"/>
  <c r="AE130" i="8"/>
  <c r="AF130" i="8"/>
  <c r="AG130" i="8"/>
  <c r="AH130" i="8"/>
  <c r="AI130" i="8"/>
  <c r="AC131" i="8"/>
  <c r="AD131" i="8"/>
  <c r="AE131" i="8"/>
  <c r="AF131" i="8"/>
  <c r="AG131" i="8"/>
  <c r="AH131" i="8"/>
  <c r="AI131" i="8"/>
  <c r="AC132" i="8"/>
  <c r="AD132" i="8"/>
  <c r="AE132" i="8"/>
  <c r="AF132" i="8"/>
  <c r="AG132" i="8"/>
  <c r="AH132" i="8"/>
  <c r="AI132" i="8"/>
  <c r="AC133" i="8"/>
  <c r="AD133" i="8"/>
  <c r="AE133" i="8"/>
  <c r="AF133" i="8"/>
  <c r="AG133" i="8"/>
  <c r="AH133" i="8"/>
  <c r="AI133" i="8"/>
  <c r="AC134" i="8"/>
  <c r="AD134" i="8"/>
  <c r="AE134" i="8"/>
  <c r="AF134" i="8"/>
  <c r="AG134" i="8"/>
  <c r="AH134" i="8"/>
  <c r="AI134" i="8"/>
  <c r="AD120" i="8"/>
  <c r="AE120" i="8"/>
  <c r="AF120" i="8"/>
  <c r="AG120" i="8"/>
  <c r="AH120" i="8"/>
  <c r="AI120" i="8"/>
  <c r="AC120" i="8"/>
  <c r="AC102" i="8"/>
  <c r="AD102" i="8"/>
  <c r="AE102" i="8"/>
  <c r="AF102" i="8"/>
  <c r="AG102" i="8"/>
  <c r="AH102" i="8"/>
  <c r="AI102" i="8"/>
  <c r="AC103" i="8"/>
  <c r="AD103" i="8"/>
  <c r="AE103" i="8"/>
  <c r="AF103" i="8"/>
  <c r="AG103" i="8"/>
  <c r="AH103" i="8"/>
  <c r="AI103" i="8"/>
  <c r="AC104" i="8"/>
  <c r="AD104" i="8"/>
  <c r="AE104" i="8"/>
  <c r="AF104" i="8"/>
  <c r="AG104" i="8"/>
  <c r="AH104" i="8"/>
  <c r="AI104" i="8"/>
  <c r="AC105" i="8"/>
  <c r="AD105" i="8"/>
  <c r="AE105" i="8"/>
  <c r="AF105" i="8"/>
  <c r="AG105" i="8"/>
  <c r="AH105" i="8"/>
  <c r="AI105" i="8"/>
  <c r="AC106" i="8"/>
  <c r="AD106" i="8"/>
  <c r="AE106" i="8"/>
  <c r="AF106" i="8"/>
  <c r="AG106" i="8"/>
  <c r="AH106" i="8"/>
  <c r="AI106" i="8"/>
  <c r="AC107" i="8"/>
  <c r="AD107" i="8"/>
  <c r="AE107" i="8"/>
  <c r="AF107" i="8"/>
  <c r="AG107" i="8"/>
  <c r="AH107" i="8"/>
  <c r="AI107" i="8"/>
  <c r="AC108" i="8"/>
  <c r="AD108" i="8"/>
  <c r="AE108" i="8"/>
  <c r="AF108" i="8"/>
  <c r="AG108" i="8"/>
  <c r="AH108" i="8"/>
  <c r="AI108" i="8"/>
  <c r="AC109" i="8"/>
  <c r="AD109" i="8"/>
  <c r="AE109" i="8"/>
  <c r="AF109" i="8"/>
  <c r="AG109" i="8"/>
  <c r="AH109" i="8"/>
  <c r="AI109" i="8"/>
  <c r="AC110" i="8"/>
  <c r="AD110" i="8"/>
  <c r="AE110" i="8"/>
  <c r="AF110" i="8"/>
  <c r="AG110" i="8"/>
  <c r="AH110" i="8"/>
  <c r="AI110" i="8"/>
  <c r="AC111" i="8"/>
  <c r="AD111" i="8"/>
  <c r="AE111" i="8"/>
  <c r="AF111" i="8"/>
  <c r="AG111" i="8"/>
  <c r="AH111" i="8"/>
  <c r="AI111" i="8"/>
  <c r="AC112" i="8"/>
  <c r="AD112" i="8"/>
  <c r="AE112" i="8"/>
  <c r="AF112" i="8"/>
  <c r="AG112" i="8"/>
  <c r="AH112" i="8"/>
  <c r="AI112" i="8"/>
  <c r="AC113" i="8"/>
  <c r="AD113" i="8"/>
  <c r="AE113" i="8"/>
  <c r="AF113" i="8"/>
  <c r="AG113" i="8"/>
  <c r="AH113" i="8"/>
  <c r="AI113" i="8"/>
  <c r="AC114" i="8"/>
  <c r="AD114" i="8"/>
  <c r="AE114" i="8"/>
  <c r="AF114" i="8"/>
  <c r="AG114" i="8"/>
  <c r="AH114" i="8"/>
  <c r="AI114" i="8"/>
  <c r="AC115" i="8"/>
  <c r="AD115" i="8"/>
  <c r="AE115" i="8"/>
  <c r="AF115" i="8"/>
  <c r="AG115" i="8"/>
  <c r="AH115" i="8"/>
  <c r="AI115" i="8"/>
  <c r="AD101" i="8"/>
  <c r="AE101" i="8"/>
  <c r="AF101" i="8"/>
  <c r="AG101" i="8"/>
  <c r="AH101" i="8"/>
  <c r="AI101" i="8"/>
  <c r="AC101" i="8"/>
  <c r="AC83" i="8"/>
  <c r="AD83" i="8"/>
  <c r="AE83" i="8"/>
  <c r="AF83" i="8"/>
  <c r="AG83" i="8"/>
  <c r="AH83" i="8"/>
  <c r="AI83" i="8"/>
  <c r="AC84" i="8"/>
  <c r="AD84" i="8"/>
  <c r="AE84" i="8"/>
  <c r="AF84" i="8"/>
  <c r="AG84" i="8"/>
  <c r="AH84" i="8"/>
  <c r="AI84" i="8"/>
  <c r="AC85" i="8"/>
  <c r="AD85" i="8"/>
  <c r="AE85" i="8"/>
  <c r="AF85" i="8"/>
  <c r="AG85" i="8"/>
  <c r="AH85" i="8"/>
  <c r="AI85" i="8"/>
  <c r="AC86" i="8"/>
  <c r="AD86" i="8"/>
  <c r="AE86" i="8"/>
  <c r="AF86" i="8"/>
  <c r="AG86" i="8"/>
  <c r="AH86" i="8"/>
  <c r="AI86" i="8"/>
  <c r="AC87" i="8"/>
  <c r="AD87" i="8"/>
  <c r="AE87" i="8"/>
  <c r="AF87" i="8"/>
  <c r="AG87" i="8"/>
  <c r="AH87" i="8"/>
  <c r="AI87" i="8"/>
  <c r="AC88" i="8"/>
  <c r="AD88" i="8"/>
  <c r="AE88" i="8"/>
  <c r="AF88" i="8"/>
  <c r="AG88" i="8"/>
  <c r="AH88" i="8"/>
  <c r="AI88" i="8"/>
  <c r="AC89" i="8"/>
  <c r="AD89" i="8"/>
  <c r="AE89" i="8"/>
  <c r="AF89" i="8"/>
  <c r="AG89" i="8"/>
  <c r="AH89" i="8"/>
  <c r="AI89" i="8"/>
  <c r="AC90" i="8"/>
  <c r="AD90" i="8"/>
  <c r="AE90" i="8"/>
  <c r="AF90" i="8"/>
  <c r="AG90" i="8"/>
  <c r="AH90" i="8"/>
  <c r="AI90" i="8"/>
  <c r="AC91" i="8"/>
  <c r="AD91" i="8"/>
  <c r="AE91" i="8"/>
  <c r="AF91" i="8"/>
  <c r="AG91" i="8"/>
  <c r="AH91" i="8"/>
  <c r="AI91" i="8"/>
  <c r="AC92" i="8"/>
  <c r="AD92" i="8"/>
  <c r="AE92" i="8"/>
  <c r="AF92" i="8"/>
  <c r="AG92" i="8"/>
  <c r="AH92" i="8"/>
  <c r="AI92" i="8"/>
  <c r="AC93" i="8"/>
  <c r="AD93" i="8"/>
  <c r="AE93" i="8"/>
  <c r="AF93" i="8"/>
  <c r="AG93" i="8"/>
  <c r="AH93" i="8"/>
  <c r="AI93" i="8"/>
  <c r="AC94" i="8"/>
  <c r="AD94" i="8"/>
  <c r="AE94" i="8"/>
  <c r="AF94" i="8"/>
  <c r="AG94" i="8"/>
  <c r="AH94" i="8"/>
  <c r="AI94" i="8"/>
  <c r="AC95" i="8"/>
  <c r="AD95" i="8"/>
  <c r="AE95" i="8"/>
  <c r="AF95" i="8"/>
  <c r="AG95" i="8"/>
  <c r="AH95" i="8"/>
  <c r="AI95" i="8"/>
  <c r="AC96" i="8"/>
  <c r="AD96" i="8"/>
  <c r="AE96" i="8"/>
  <c r="AF96" i="8"/>
  <c r="AG96" i="8"/>
  <c r="AH96" i="8"/>
  <c r="AI96" i="8"/>
  <c r="AD82" i="8"/>
  <c r="AE82" i="8"/>
  <c r="AF82" i="8"/>
  <c r="AG82" i="8"/>
  <c r="AH82" i="8"/>
  <c r="AI82" i="8"/>
  <c r="AC82" i="8"/>
  <c r="AC64" i="8"/>
  <c r="AD64" i="8"/>
  <c r="AE64" i="8"/>
  <c r="AF64" i="8"/>
  <c r="AG64" i="8"/>
  <c r="AH64" i="8"/>
  <c r="AI64" i="8"/>
  <c r="AC65" i="8"/>
  <c r="AD65" i="8"/>
  <c r="AE65" i="8"/>
  <c r="AF65" i="8"/>
  <c r="AG65" i="8"/>
  <c r="AH65" i="8"/>
  <c r="AI65" i="8"/>
  <c r="AC66" i="8"/>
  <c r="AD66" i="8"/>
  <c r="AE66" i="8"/>
  <c r="AF66" i="8"/>
  <c r="AG66" i="8"/>
  <c r="AH66" i="8"/>
  <c r="AI66" i="8"/>
  <c r="AC67" i="8"/>
  <c r="AD67" i="8"/>
  <c r="AE67" i="8"/>
  <c r="AF67" i="8"/>
  <c r="AG67" i="8"/>
  <c r="AH67" i="8"/>
  <c r="AI67" i="8"/>
  <c r="AC68" i="8"/>
  <c r="AD68" i="8"/>
  <c r="AE68" i="8"/>
  <c r="AF68" i="8"/>
  <c r="AG68" i="8"/>
  <c r="AH68" i="8"/>
  <c r="AI68" i="8"/>
  <c r="AC69" i="8"/>
  <c r="AD69" i="8"/>
  <c r="AE69" i="8"/>
  <c r="AF69" i="8"/>
  <c r="AG69" i="8"/>
  <c r="AH69" i="8"/>
  <c r="AI69" i="8"/>
  <c r="AC70" i="8"/>
  <c r="AD70" i="8"/>
  <c r="AE70" i="8"/>
  <c r="AF70" i="8"/>
  <c r="AG70" i="8"/>
  <c r="AH70" i="8"/>
  <c r="AI70" i="8"/>
  <c r="AC71" i="8"/>
  <c r="AD71" i="8"/>
  <c r="AE71" i="8"/>
  <c r="AF71" i="8"/>
  <c r="AG71" i="8"/>
  <c r="AH71" i="8"/>
  <c r="AI71" i="8"/>
  <c r="AC72" i="8"/>
  <c r="AD72" i="8"/>
  <c r="AE72" i="8"/>
  <c r="AF72" i="8"/>
  <c r="AG72" i="8"/>
  <c r="AH72" i="8"/>
  <c r="AI72" i="8"/>
  <c r="AC73" i="8"/>
  <c r="AD73" i="8"/>
  <c r="AE73" i="8"/>
  <c r="AF73" i="8"/>
  <c r="AG73" i="8"/>
  <c r="AH73" i="8"/>
  <c r="AI73" i="8"/>
  <c r="AC74" i="8"/>
  <c r="AD74" i="8"/>
  <c r="AE74" i="8"/>
  <c r="AF74" i="8"/>
  <c r="AG74" i="8"/>
  <c r="AH74" i="8"/>
  <c r="AI74" i="8"/>
  <c r="AC75" i="8"/>
  <c r="AD75" i="8"/>
  <c r="AE75" i="8"/>
  <c r="AF75" i="8"/>
  <c r="AG75" i="8"/>
  <c r="AH75" i="8"/>
  <c r="AI75" i="8"/>
  <c r="AC76" i="8"/>
  <c r="AD76" i="8"/>
  <c r="AE76" i="8"/>
  <c r="AF76" i="8"/>
  <c r="AG76" i="8"/>
  <c r="AH76" i="8"/>
  <c r="AI76" i="8"/>
  <c r="AC77" i="8"/>
  <c r="AD77" i="8"/>
  <c r="AE77" i="8"/>
  <c r="AF77" i="8"/>
  <c r="AG77" i="8"/>
  <c r="AH77" i="8"/>
  <c r="AI77" i="8"/>
  <c r="AD63" i="8"/>
  <c r="AE63" i="8"/>
  <c r="AF63" i="8"/>
  <c r="AG63" i="8"/>
  <c r="AH63" i="8"/>
  <c r="AI63" i="8"/>
  <c r="AC63" i="8"/>
  <c r="AC45" i="8"/>
  <c r="AD45" i="8"/>
  <c r="AE45" i="8"/>
  <c r="AF45" i="8"/>
  <c r="AG45" i="8"/>
  <c r="AH45" i="8"/>
  <c r="AI45" i="8"/>
  <c r="AC46" i="8"/>
  <c r="AD46" i="8"/>
  <c r="AE46" i="8"/>
  <c r="AF46" i="8"/>
  <c r="AG46" i="8"/>
  <c r="AH46" i="8"/>
  <c r="AI46" i="8"/>
  <c r="AC47" i="8"/>
  <c r="AD47" i="8"/>
  <c r="AE47" i="8"/>
  <c r="AF47" i="8"/>
  <c r="AG47" i="8"/>
  <c r="AH47" i="8"/>
  <c r="AI47" i="8"/>
  <c r="AC48" i="8"/>
  <c r="AD48" i="8"/>
  <c r="AE48" i="8"/>
  <c r="AF48" i="8"/>
  <c r="AG48" i="8"/>
  <c r="AH48" i="8"/>
  <c r="AI48" i="8"/>
  <c r="AC49" i="8"/>
  <c r="AD49" i="8"/>
  <c r="AE49" i="8"/>
  <c r="AF49" i="8"/>
  <c r="AG49" i="8"/>
  <c r="AH49" i="8"/>
  <c r="AI49" i="8"/>
  <c r="AC50" i="8"/>
  <c r="AD50" i="8"/>
  <c r="AE50" i="8"/>
  <c r="AF50" i="8"/>
  <c r="AG50" i="8"/>
  <c r="AH50" i="8"/>
  <c r="AI50" i="8"/>
  <c r="AC51" i="8"/>
  <c r="AD51" i="8"/>
  <c r="AE51" i="8"/>
  <c r="AF51" i="8"/>
  <c r="AG51" i="8"/>
  <c r="AH51" i="8"/>
  <c r="AI51" i="8"/>
  <c r="AC52" i="8"/>
  <c r="AD52" i="8"/>
  <c r="AE52" i="8"/>
  <c r="AF52" i="8"/>
  <c r="AG52" i="8"/>
  <c r="AH52" i="8"/>
  <c r="AI52" i="8"/>
  <c r="AC53" i="8"/>
  <c r="AD53" i="8"/>
  <c r="AE53" i="8"/>
  <c r="AF53" i="8"/>
  <c r="AG53" i="8"/>
  <c r="AH53" i="8"/>
  <c r="AI53" i="8"/>
  <c r="AC54" i="8"/>
  <c r="AD54" i="8"/>
  <c r="AE54" i="8"/>
  <c r="AF54" i="8"/>
  <c r="AG54" i="8"/>
  <c r="AH54" i="8"/>
  <c r="AI54" i="8"/>
  <c r="AC55" i="8"/>
  <c r="AD55" i="8"/>
  <c r="AE55" i="8"/>
  <c r="AF55" i="8"/>
  <c r="AG55" i="8"/>
  <c r="AH55" i="8"/>
  <c r="AI55" i="8"/>
  <c r="AC56" i="8"/>
  <c r="AD56" i="8"/>
  <c r="AE56" i="8"/>
  <c r="AF56" i="8"/>
  <c r="AG56" i="8"/>
  <c r="AH56" i="8"/>
  <c r="AI56" i="8"/>
  <c r="AC57" i="8"/>
  <c r="AD57" i="8"/>
  <c r="AE57" i="8"/>
  <c r="AF57" i="8"/>
  <c r="AG57" i="8"/>
  <c r="AH57" i="8"/>
  <c r="AI57" i="8"/>
  <c r="AC58" i="8"/>
  <c r="AD58" i="8"/>
  <c r="AE58" i="8"/>
  <c r="AF58" i="8"/>
  <c r="AG58" i="8"/>
  <c r="AH58" i="8"/>
  <c r="AI58" i="8"/>
  <c r="AD44" i="8"/>
  <c r="AE44" i="8"/>
  <c r="AF44" i="8"/>
  <c r="AG44" i="8"/>
  <c r="AH44" i="8"/>
  <c r="AI44" i="8"/>
  <c r="AC44" i="8"/>
  <c r="AC26" i="8"/>
  <c r="AD26" i="8"/>
  <c r="AE26" i="8"/>
  <c r="AF26" i="8"/>
  <c r="AG26" i="8"/>
  <c r="AH26" i="8"/>
  <c r="AI26" i="8"/>
  <c r="AC27" i="8"/>
  <c r="AD27" i="8"/>
  <c r="AE27" i="8"/>
  <c r="AF27" i="8"/>
  <c r="AG27" i="8"/>
  <c r="AH27" i="8"/>
  <c r="AI27" i="8"/>
  <c r="AC28" i="8"/>
  <c r="AD28" i="8"/>
  <c r="AE28" i="8"/>
  <c r="AF28" i="8"/>
  <c r="AG28" i="8"/>
  <c r="AH28" i="8"/>
  <c r="AI28" i="8"/>
  <c r="AC29" i="8"/>
  <c r="AD29" i="8"/>
  <c r="AE29" i="8"/>
  <c r="AF29" i="8"/>
  <c r="AG29" i="8"/>
  <c r="AH29" i="8"/>
  <c r="AI29" i="8"/>
  <c r="AC30" i="8"/>
  <c r="AD30" i="8"/>
  <c r="AE30" i="8"/>
  <c r="AF30" i="8"/>
  <c r="AG30" i="8"/>
  <c r="AH30" i="8"/>
  <c r="AI30" i="8"/>
  <c r="AC31" i="8"/>
  <c r="AD31" i="8"/>
  <c r="AE31" i="8"/>
  <c r="AF31" i="8"/>
  <c r="AG31" i="8"/>
  <c r="AH31" i="8"/>
  <c r="AI31" i="8"/>
  <c r="AC32" i="8"/>
  <c r="AD32" i="8"/>
  <c r="AE32" i="8"/>
  <c r="AF32" i="8"/>
  <c r="AG32" i="8"/>
  <c r="AH32" i="8"/>
  <c r="AI32" i="8"/>
  <c r="AC33" i="8"/>
  <c r="AD33" i="8"/>
  <c r="AE33" i="8"/>
  <c r="AF33" i="8"/>
  <c r="AG33" i="8"/>
  <c r="AH33" i="8"/>
  <c r="AI33" i="8"/>
  <c r="AC34" i="8"/>
  <c r="AD34" i="8"/>
  <c r="AE34" i="8"/>
  <c r="AF34" i="8"/>
  <c r="AG34" i="8"/>
  <c r="AH34" i="8"/>
  <c r="AI34" i="8"/>
  <c r="AC35" i="8"/>
  <c r="AD35" i="8"/>
  <c r="AE35" i="8"/>
  <c r="AF35" i="8"/>
  <c r="AG35" i="8"/>
  <c r="AH35" i="8"/>
  <c r="AI35" i="8"/>
  <c r="AC36" i="8"/>
  <c r="AD36" i="8"/>
  <c r="AE36" i="8"/>
  <c r="AF36" i="8"/>
  <c r="AG36" i="8"/>
  <c r="AH36" i="8"/>
  <c r="AI36" i="8"/>
  <c r="AC37" i="8"/>
  <c r="AD37" i="8"/>
  <c r="AE37" i="8"/>
  <c r="AF37" i="8"/>
  <c r="AG37" i="8"/>
  <c r="AH37" i="8"/>
  <c r="AI37" i="8"/>
  <c r="AC38" i="8"/>
  <c r="AD38" i="8"/>
  <c r="AE38" i="8"/>
  <c r="AF38" i="8"/>
  <c r="AG38" i="8"/>
  <c r="AH38" i="8"/>
  <c r="AI38" i="8"/>
  <c r="AC39" i="8"/>
  <c r="AD39" i="8"/>
  <c r="AE39" i="8"/>
  <c r="AF39" i="8"/>
  <c r="AG39" i="8"/>
  <c r="AH39" i="8"/>
  <c r="AI39" i="8"/>
  <c r="AD25" i="8"/>
  <c r="AE25" i="8"/>
  <c r="AF25" i="8"/>
  <c r="AG25" i="8"/>
  <c r="AH25" i="8"/>
  <c r="AI25" i="8"/>
  <c r="AC25" i="8"/>
  <c r="AC7" i="8"/>
  <c r="AD7" i="8"/>
  <c r="AE7" i="8"/>
  <c r="AF7" i="8"/>
  <c r="AG7" i="8"/>
  <c r="AH7" i="8"/>
  <c r="AI7" i="8"/>
  <c r="AC8" i="8"/>
  <c r="AD8" i="8"/>
  <c r="AE8" i="8"/>
  <c r="AF8" i="8"/>
  <c r="AG8" i="8"/>
  <c r="AH8" i="8"/>
  <c r="AI8" i="8"/>
  <c r="AC9" i="8"/>
  <c r="AD9" i="8"/>
  <c r="AE9" i="8"/>
  <c r="AF9" i="8"/>
  <c r="AG9" i="8"/>
  <c r="AH9" i="8"/>
  <c r="AI9" i="8"/>
  <c r="AC10" i="8"/>
  <c r="AD10" i="8"/>
  <c r="AE10" i="8"/>
  <c r="AF10" i="8"/>
  <c r="AG10" i="8"/>
  <c r="AH10" i="8"/>
  <c r="AI10" i="8"/>
  <c r="AC11" i="8"/>
  <c r="AD11" i="8"/>
  <c r="AE11" i="8"/>
  <c r="AF11" i="8"/>
  <c r="AG11" i="8"/>
  <c r="AH11" i="8"/>
  <c r="AI11" i="8"/>
  <c r="AC12" i="8"/>
  <c r="AD12" i="8"/>
  <c r="AE12" i="8"/>
  <c r="AF12" i="8"/>
  <c r="AG12" i="8"/>
  <c r="AH12" i="8"/>
  <c r="AI12" i="8"/>
  <c r="AC13" i="8"/>
  <c r="AD13" i="8"/>
  <c r="AE13" i="8"/>
  <c r="AF13" i="8"/>
  <c r="AG13" i="8"/>
  <c r="AH13" i="8"/>
  <c r="AI13" i="8"/>
  <c r="AC14" i="8"/>
  <c r="AD14" i="8"/>
  <c r="AE14" i="8"/>
  <c r="AF14" i="8"/>
  <c r="AG14" i="8"/>
  <c r="AH14" i="8"/>
  <c r="AI14" i="8"/>
  <c r="AC15" i="8"/>
  <c r="AD15" i="8"/>
  <c r="AE15" i="8"/>
  <c r="AF15" i="8"/>
  <c r="AG15" i="8"/>
  <c r="AH15" i="8"/>
  <c r="AI15" i="8"/>
  <c r="AC16" i="8"/>
  <c r="AD16" i="8"/>
  <c r="AE16" i="8"/>
  <c r="AF16" i="8"/>
  <c r="AG16" i="8"/>
  <c r="AH16" i="8"/>
  <c r="AI16" i="8"/>
  <c r="AC17" i="8"/>
  <c r="AD17" i="8"/>
  <c r="AE17" i="8"/>
  <c r="AF17" i="8"/>
  <c r="AG17" i="8"/>
  <c r="AH17" i="8"/>
  <c r="AI17" i="8"/>
  <c r="AC18" i="8"/>
  <c r="AD18" i="8"/>
  <c r="AE18" i="8"/>
  <c r="AF18" i="8"/>
  <c r="AG18" i="8"/>
  <c r="AH18" i="8"/>
  <c r="AI18" i="8"/>
  <c r="AC19" i="8"/>
  <c r="AD19" i="8"/>
  <c r="AE19" i="8"/>
  <c r="AF19" i="8"/>
  <c r="AG19" i="8"/>
  <c r="AH19" i="8"/>
  <c r="AI19" i="8"/>
  <c r="AC20" i="8"/>
  <c r="AD20" i="8"/>
  <c r="AE20" i="8"/>
  <c r="AF20" i="8"/>
  <c r="AG20" i="8"/>
  <c r="AH20" i="8"/>
  <c r="AI20" i="8"/>
  <c r="AD6" i="8"/>
  <c r="AE6" i="8"/>
  <c r="AF6" i="8"/>
  <c r="AG6" i="8"/>
  <c r="AH6" i="8"/>
  <c r="AI6" i="8"/>
  <c r="AC6" i="8"/>
  <c r="T140" i="8"/>
  <c r="U140" i="8"/>
  <c r="V140" i="8"/>
  <c r="W140" i="8"/>
  <c r="X140" i="8"/>
  <c r="Y140" i="8"/>
  <c r="Z140" i="8"/>
  <c r="T141" i="8"/>
  <c r="U141" i="8"/>
  <c r="V141" i="8"/>
  <c r="W141" i="8"/>
  <c r="X141" i="8"/>
  <c r="Y141" i="8"/>
  <c r="Z141" i="8"/>
  <c r="T142" i="8"/>
  <c r="U142" i="8"/>
  <c r="V142" i="8"/>
  <c r="W142" i="8"/>
  <c r="X142" i="8"/>
  <c r="Y142" i="8"/>
  <c r="Z142" i="8"/>
  <c r="T143" i="8"/>
  <c r="U143" i="8"/>
  <c r="V143" i="8"/>
  <c r="W143" i="8"/>
  <c r="X143" i="8"/>
  <c r="Y143" i="8"/>
  <c r="Z143" i="8"/>
  <c r="T144" i="8"/>
  <c r="U144" i="8"/>
  <c r="V144" i="8"/>
  <c r="W144" i="8"/>
  <c r="X144" i="8"/>
  <c r="Y144" i="8"/>
  <c r="Z144" i="8"/>
  <c r="T145" i="8"/>
  <c r="U145" i="8"/>
  <c r="V145" i="8"/>
  <c r="W145" i="8"/>
  <c r="X145" i="8"/>
  <c r="Y145" i="8"/>
  <c r="Z145" i="8"/>
  <c r="T146" i="8"/>
  <c r="U146" i="8"/>
  <c r="V146" i="8"/>
  <c r="W146" i="8"/>
  <c r="X146" i="8"/>
  <c r="Y146" i="8"/>
  <c r="Z146" i="8"/>
  <c r="T147" i="8"/>
  <c r="U147" i="8"/>
  <c r="V147" i="8"/>
  <c r="W147" i="8"/>
  <c r="X147" i="8"/>
  <c r="Y147" i="8"/>
  <c r="Z147" i="8"/>
  <c r="T148" i="8"/>
  <c r="U148" i="8"/>
  <c r="V148" i="8"/>
  <c r="W148" i="8"/>
  <c r="X148" i="8"/>
  <c r="Y148" i="8"/>
  <c r="Z148" i="8"/>
  <c r="T149" i="8"/>
  <c r="U149" i="8"/>
  <c r="V149" i="8"/>
  <c r="W149" i="8"/>
  <c r="X149" i="8"/>
  <c r="Y149" i="8"/>
  <c r="Z149" i="8"/>
  <c r="T150" i="8"/>
  <c r="U150" i="8"/>
  <c r="V150" i="8"/>
  <c r="W150" i="8"/>
  <c r="X150" i="8"/>
  <c r="Y150" i="8"/>
  <c r="Z150" i="8"/>
  <c r="T151" i="8"/>
  <c r="U151" i="8"/>
  <c r="V151" i="8"/>
  <c r="W151" i="8"/>
  <c r="X151" i="8"/>
  <c r="Y151" i="8"/>
  <c r="Z151" i="8"/>
  <c r="T152" i="8"/>
  <c r="U152" i="8"/>
  <c r="V152" i="8"/>
  <c r="W152" i="8"/>
  <c r="X152" i="8"/>
  <c r="Y152" i="8"/>
  <c r="Z152" i="8"/>
  <c r="T153" i="8"/>
  <c r="U153" i="8"/>
  <c r="V153" i="8"/>
  <c r="W153" i="8"/>
  <c r="X153" i="8"/>
  <c r="Y153" i="8"/>
  <c r="Z153" i="8"/>
  <c r="U139" i="8"/>
  <c r="V139" i="8"/>
  <c r="W139" i="8"/>
  <c r="X139" i="8"/>
  <c r="Y139" i="8"/>
  <c r="Z139" i="8"/>
  <c r="T139" i="8"/>
  <c r="T121" i="8"/>
  <c r="U121" i="8"/>
  <c r="V121" i="8"/>
  <c r="W121" i="8"/>
  <c r="X121" i="8"/>
  <c r="Y121" i="8"/>
  <c r="Z121" i="8"/>
  <c r="T122" i="8"/>
  <c r="U122" i="8"/>
  <c r="V122" i="8"/>
  <c r="W122" i="8"/>
  <c r="X122" i="8"/>
  <c r="Y122" i="8"/>
  <c r="Z122" i="8"/>
  <c r="T123" i="8"/>
  <c r="U123" i="8"/>
  <c r="V123" i="8"/>
  <c r="W123" i="8"/>
  <c r="X123" i="8"/>
  <c r="Y123" i="8"/>
  <c r="Z123" i="8"/>
  <c r="T124" i="8"/>
  <c r="U124" i="8"/>
  <c r="V124" i="8"/>
  <c r="W124" i="8"/>
  <c r="X124" i="8"/>
  <c r="Y124" i="8"/>
  <c r="Z124" i="8"/>
  <c r="T125" i="8"/>
  <c r="U125" i="8"/>
  <c r="V125" i="8"/>
  <c r="W125" i="8"/>
  <c r="X125" i="8"/>
  <c r="Y125" i="8"/>
  <c r="Z125" i="8"/>
  <c r="T126" i="8"/>
  <c r="U126" i="8"/>
  <c r="V126" i="8"/>
  <c r="W126" i="8"/>
  <c r="X126" i="8"/>
  <c r="Y126" i="8"/>
  <c r="Z126" i="8"/>
  <c r="T127" i="8"/>
  <c r="U127" i="8"/>
  <c r="V127" i="8"/>
  <c r="W127" i="8"/>
  <c r="X127" i="8"/>
  <c r="Y127" i="8"/>
  <c r="Z127" i="8"/>
  <c r="T128" i="8"/>
  <c r="U128" i="8"/>
  <c r="V128" i="8"/>
  <c r="W128" i="8"/>
  <c r="X128" i="8"/>
  <c r="Y128" i="8"/>
  <c r="Z128" i="8"/>
  <c r="T129" i="8"/>
  <c r="U129" i="8"/>
  <c r="V129" i="8"/>
  <c r="W129" i="8"/>
  <c r="X129" i="8"/>
  <c r="Y129" i="8"/>
  <c r="Z129" i="8"/>
  <c r="T130" i="8"/>
  <c r="U130" i="8"/>
  <c r="V130" i="8"/>
  <c r="W130" i="8"/>
  <c r="X130" i="8"/>
  <c r="Y130" i="8"/>
  <c r="Z130" i="8"/>
  <c r="T131" i="8"/>
  <c r="U131" i="8"/>
  <c r="V131" i="8"/>
  <c r="W131" i="8"/>
  <c r="X131" i="8"/>
  <c r="Y131" i="8"/>
  <c r="Z131" i="8"/>
  <c r="T132" i="8"/>
  <c r="U132" i="8"/>
  <c r="V132" i="8"/>
  <c r="W132" i="8"/>
  <c r="X132" i="8"/>
  <c r="Y132" i="8"/>
  <c r="Z132" i="8"/>
  <c r="T133" i="8"/>
  <c r="U133" i="8"/>
  <c r="V133" i="8"/>
  <c r="W133" i="8"/>
  <c r="X133" i="8"/>
  <c r="Y133" i="8"/>
  <c r="Z133" i="8"/>
  <c r="T134" i="8"/>
  <c r="U134" i="8"/>
  <c r="V134" i="8"/>
  <c r="W134" i="8"/>
  <c r="X134" i="8"/>
  <c r="Y134" i="8"/>
  <c r="Z134" i="8"/>
  <c r="U120" i="8"/>
  <c r="V120" i="8"/>
  <c r="W120" i="8"/>
  <c r="X120" i="8"/>
  <c r="Y120" i="8"/>
  <c r="Z120" i="8"/>
  <c r="T120" i="8"/>
  <c r="T102" i="8"/>
  <c r="U102" i="8"/>
  <c r="V102" i="8"/>
  <c r="W102" i="8"/>
  <c r="X102" i="8"/>
  <c r="Y102" i="8"/>
  <c r="Z102" i="8"/>
  <c r="T103" i="8"/>
  <c r="U103" i="8"/>
  <c r="V103" i="8"/>
  <c r="W103" i="8"/>
  <c r="X103" i="8"/>
  <c r="Y103" i="8"/>
  <c r="Z103" i="8"/>
  <c r="T104" i="8"/>
  <c r="U104" i="8"/>
  <c r="V104" i="8"/>
  <c r="W104" i="8"/>
  <c r="X104" i="8"/>
  <c r="Y104" i="8"/>
  <c r="Z104" i="8"/>
  <c r="T105" i="8"/>
  <c r="U105" i="8"/>
  <c r="V105" i="8"/>
  <c r="W105" i="8"/>
  <c r="X105" i="8"/>
  <c r="Y105" i="8"/>
  <c r="Z105" i="8"/>
  <c r="T106" i="8"/>
  <c r="U106" i="8"/>
  <c r="V106" i="8"/>
  <c r="W106" i="8"/>
  <c r="X106" i="8"/>
  <c r="Y106" i="8"/>
  <c r="Z106" i="8"/>
  <c r="T107" i="8"/>
  <c r="U107" i="8"/>
  <c r="V107" i="8"/>
  <c r="W107" i="8"/>
  <c r="X107" i="8"/>
  <c r="Y107" i="8"/>
  <c r="Z107" i="8"/>
  <c r="T108" i="8"/>
  <c r="U108" i="8"/>
  <c r="V108" i="8"/>
  <c r="W108" i="8"/>
  <c r="X108" i="8"/>
  <c r="Y108" i="8"/>
  <c r="Z108" i="8"/>
  <c r="T109" i="8"/>
  <c r="U109" i="8"/>
  <c r="V109" i="8"/>
  <c r="W109" i="8"/>
  <c r="X109" i="8"/>
  <c r="Y109" i="8"/>
  <c r="Z109" i="8"/>
  <c r="T110" i="8"/>
  <c r="U110" i="8"/>
  <c r="V110" i="8"/>
  <c r="W110" i="8"/>
  <c r="X110" i="8"/>
  <c r="Y110" i="8"/>
  <c r="Z110" i="8"/>
  <c r="T111" i="8"/>
  <c r="U111" i="8"/>
  <c r="V111" i="8"/>
  <c r="W111" i="8"/>
  <c r="X111" i="8"/>
  <c r="Y111" i="8"/>
  <c r="Z111" i="8"/>
  <c r="T112" i="8"/>
  <c r="U112" i="8"/>
  <c r="V112" i="8"/>
  <c r="W112" i="8"/>
  <c r="X112" i="8"/>
  <c r="Y112" i="8"/>
  <c r="Z112" i="8"/>
  <c r="T113" i="8"/>
  <c r="U113" i="8"/>
  <c r="V113" i="8"/>
  <c r="W113" i="8"/>
  <c r="X113" i="8"/>
  <c r="Y113" i="8"/>
  <c r="Z113" i="8"/>
  <c r="T114" i="8"/>
  <c r="U114" i="8"/>
  <c r="V114" i="8"/>
  <c r="W114" i="8"/>
  <c r="X114" i="8"/>
  <c r="Y114" i="8"/>
  <c r="Z114" i="8"/>
  <c r="T115" i="8"/>
  <c r="U115" i="8"/>
  <c r="V115" i="8"/>
  <c r="W115" i="8"/>
  <c r="X115" i="8"/>
  <c r="Y115" i="8"/>
  <c r="Z115" i="8"/>
  <c r="U101" i="8"/>
  <c r="V101" i="8"/>
  <c r="W101" i="8"/>
  <c r="X101" i="8"/>
  <c r="Y101" i="8"/>
  <c r="Z101" i="8"/>
  <c r="T101" i="8"/>
  <c r="T83" i="8"/>
  <c r="U83" i="8"/>
  <c r="V83" i="8"/>
  <c r="W83" i="8"/>
  <c r="X83" i="8"/>
  <c r="Y83" i="8"/>
  <c r="Z83" i="8"/>
  <c r="T84" i="8"/>
  <c r="U84" i="8"/>
  <c r="V84" i="8"/>
  <c r="W84" i="8"/>
  <c r="X84" i="8"/>
  <c r="Y84" i="8"/>
  <c r="Z84" i="8"/>
  <c r="T85" i="8"/>
  <c r="U85" i="8"/>
  <c r="V85" i="8"/>
  <c r="W85" i="8"/>
  <c r="X85" i="8"/>
  <c r="Y85" i="8"/>
  <c r="Z85" i="8"/>
  <c r="T86" i="8"/>
  <c r="U86" i="8"/>
  <c r="V86" i="8"/>
  <c r="W86" i="8"/>
  <c r="X86" i="8"/>
  <c r="Y86" i="8"/>
  <c r="Z86" i="8"/>
  <c r="T87" i="8"/>
  <c r="U87" i="8"/>
  <c r="V87" i="8"/>
  <c r="W87" i="8"/>
  <c r="X87" i="8"/>
  <c r="Y87" i="8"/>
  <c r="Z87" i="8"/>
  <c r="T88" i="8"/>
  <c r="U88" i="8"/>
  <c r="V88" i="8"/>
  <c r="W88" i="8"/>
  <c r="X88" i="8"/>
  <c r="Y88" i="8"/>
  <c r="Z88" i="8"/>
  <c r="T89" i="8"/>
  <c r="U89" i="8"/>
  <c r="V89" i="8"/>
  <c r="W89" i="8"/>
  <c r="X89" i="8"/>
  <c r="Y89" i="8"/>
  <c r="Z89" i="8"/>
  <c r="T90" i="8"/>
  <c r="U90" i="8"/>
  <c r="V90" i="8"/>
  <c r="W90" i="8"/>
  <c r="X90" i="8"/>
  <c r="Y90" i="8"/>
  <c r="Z90" i="8"/>
  <c r="T91" i="8"/>
  <c r="U91" i="8"/>
  <c r="V91" i="8"/>
  <c r="W91" i="8"/>
  <c r="X91" i="8"/>
  <c r="Y91" i="8"/>
  <c r="Z91" i="8"/>
  <c r="T92" i="8"/>
  <c r="U92" i="8"/>
  <c r="V92" i="8"/>
  <c r="W92" i="8"/>
  <c r="X92" i="8"/>
  <c r="Y92" i="8"/>
  <c r="Z92" i="8"/>
  <c r="T93" i="8"/>
  <c r="U93" i="8"/>
  <c r="V93" i="8"/>
  <c r="W93" i="8"/>
  <c r="X93" i="8"/>
  <c r="Y93" i="8"/>
  <c r="Z93" i="8"/>
  <c r="T94" i="8"/>
  <c r="U94" i="8"/>
  <c r="V94" i="8"/>
  <c r="W94" i="8"/>
  <c r="X94" i="8"/>
  <c r="Y94" i="8"/>
  <c r="Z94" i="8"/>
  <c r="T95" i="8"/>
  <c r="U95" i="8"/>
  <c r="V95" i="8"/>
  <c r="W95" i="8"/>
  <c r="X95" i="8"/>
  <c r="Y95" i="8"/>
  <c r="Z95" i="8"/>
  <c r="T96" i="8"/>
  <c r="U96" i="8"/>
  <c r="V96" i="8"/>
  <c r="W96" i="8"/>
  <c r="X96" i="8"/>
  <c r="Y96" i="8"/>
  <c r="Z96" i="8"/>
  <c r="U82" i="8"/>
  <c r="V82" i="8"/>
  <c r="W82" i="8"/>
  <c r="X82" i="8"/>
  <c r="Y82" i="8"/>
  <c r="Z82" i="8"/>
  <c r="T82" i="8"/>
  <c r="T64" i="8"/>
  <c r="U64" i="8"/>
  <c r="V64" i="8"/>
  <c r="W64" i="8"/>
  <c r="X64" i="8"/>
  <c r="Y64" i="8"/>
  <c r="Z64" i="8"/>
  <c r="T65" i="8"/>
  <c r="U65" i="8"/>
  <c r="V65" i="8"/>
  <c r="W65" i="8"/>
  <c r="X65" i="8"/>
  <c r="Y65" i="8"/>
  <c r="Z65" i="8"/>
  <c r="T66" i="8"/>
  <c r="U66" i="8"/>
  <c r="V66" i="8"/>
  <c r="W66" i="8"/>
  <c r="X66" i="8"/>
  <c r="Y66" i="8"/>
  <c r="Z66" i="8"/>
  <c r="T67" i="8"/>
  <c r="U67" i="8"/>
  <c r="V67" i="8"/>
  <c r="W67" i="8"/>
  <c r="X67" i="8"/>
  <c r="Y67" i="8"/>
  <c r="Z67" i="8"/>
  <c r="T68" i="8"/>
  <c r="U68" i="8"/>
  <c r="V68" i="8"/>
  <c r="W68" i="8"/>
  <c r="X68" i="8"/>
  <c r="Y68" i="8"/>
  <c r="Z68" i="8"/>
  <c r="T69" i="8"/>
  <c r="U69" i="8"/>
  <c r="V69" i="8"/>
  <c r="W69" i="8"/>
  <c r="X69" i="8"/>
  <c r="Y69" i="8"/>
  <c r="Z69" i="8"/>
  <c r="T70" i="8"/>
  <c r="U70" i="8"/>
  <c r="V70" i="8"/>
  <c r="W70" i="8"/>
  <c r="X70" i="8"/>
  <c r="Y70" i="8"/>
  <c r="Z70" i="8"/>
  <c r="T71" i="8"/>
  <c r="U71" i="8"/>
  <c r="V71" i="8"/>
  <c r="W71" i="8"/>
  <c r="X71" i="8"/>
  <c r="Y71" i="8"/>
  <c r="Z71" i="8"/>
  <c r="T72" i="8"/>
  <c r="U72" i="8"/>
  <c r="V72" i="8"/>
  <c r="W72" i="8"/>
  <c r="X72" i="8"/>
  <c r="Y72" i="8"/>
  <c r="Z72" i="8"/>
  <c r="T73" i="8"/>
  <c r="U73" i="8"/>
  <c r="V73" i="8"/>
  <c r="W73" i="8"/>
  <c r="X73" i="8"/>
  <c r="Y73" i="8"/>
  <c r="Z73" i="8"/>
  <c r="T74" i="8"/>
  <c r="U74" i="8"/>
  <c r="V74" i="8"/>
  <c r="W74" i="8"/>
  <c r="X74" i="8"/>
  <c r="Y74" i="8"/>
  <c r="Z74" i="8"/>
  <c r="T75" i="8"/>
  <c r="U75" i="8"/>
  <c r="V75" i="8"/>
  <c r="W75" i="8"/>
  <c r="X75" i="8"/>
  <c r="Y75" i="8"/>
  <c r="Z75" i="8"/>
  <c r="T76" i="8"/>
  <c r="U76" i="8"/>
  <c r="V76" i="8"/>
  <c r="W76" i="8"/>
  <c r="X76" i="8"/>
  <c r="Y76" i="8"/>
  <c r="Z76" i="8"/>
  <c r="T77" i="8"/>
  <c r="U77" i="8"/>
  <c r="V77" i="8"/>
  <c r="W77" i="8"/>
  <c r="X77" i="8"/>
  <c r="Y77" i="8"/>
  <c r="Z77" i="8"/>
  <c r="U63" i="8"/>
  <c r="V63" i="8"/>
  <c r="W63" i="8"/>
  <c r="X63" i="8"/>
  <c r="Y63" i="8"/>
  <c r="Z63" i="8"/>
  <c r="T63" i="8"/>
  <c r="T45" i="8"/>
  <c r="U45" i="8"/>
  <c r="V45" i="8"/>
  <c r="W45" i="8"/>
  <c r="X45" i="8"/>
  <c r="Y45" i="8"/>
  <c r="Z45" i="8"/>
  <c r="T46" i="8"/>
  <c r="U46" i="8"/>
  <c r="V46" i="8"/>
  <c r="W46" i="8"/>
  <c r="X46" i="8"/>
  <c r="Y46" i="8"/>
  <c r="Z46" i="8"/>
  <c r="T47" i="8"/>
  <c r="U47" i="8"/>
  <c r="V47" i="8"/>
  <c r="W47" i="8"/>
  <c r="X47" i="8"/>
  <c r="Y47" i="8"/>
  <c r="Z47" i="8"/>
  <c r="T48" i="8"/>
  <c r="U48" i="8"/>
  <c r="V48" i="8"/>
  <c r="W48" i="8"/>
  <c r="X48" i="8"/>
  <c r="Y48" i="8"/>
  <c r="Z48" i="8"/>
  <c r="T49" i="8"/>
  <c r="U49" i="8"/>
  <c r="V49" i="8"/>
  <c r="W49" i="8"/>
  <c r="X49" i="8"/>
  <c r="Y49" i="8"/>
  <c r="Z49" i="8"/>
  <c r="T50" i="8"/>
  <c r="U50" i="8"/>
  <c r="V50" i="8"/>
  <c r="W50" i="8"/>
  <c r="X50" i="8"/>
  <c r="Y50" i="8"/>
  <c r="Z50" i="8"/>
  <c r="T51" i="8"/>
  <c r="U51" i="8"/>
  <c r="V51" i="8"/>
  <c r="W51" i="8"/>
  <c r="X51" i="8"/>
  <c r="Y51" i="8"/>
  <c r="Z51" i="8"/>
  <c r="T52" i="8"/>
  <c r="U52" i="8"/>
  <c r="V52" i="8"/>
  <c r="W52" i="8"/>
  <c r="X52" i="8"/>
  <c r="Y52" i="8"/>
  <c r="Z52" i="8"/>
  <c r="T53" i="8"/>
  <c r="U53" i="8"/>
  <c r="V53" i="8"/>
  <c r="W53" i="8"/>
  <c r="X53" i="8"/>
  <c r="Y53" i="8"/>
  <c r="Z53" i="8"/>
  <c r="T54" i="8"/>
  <c r="U54" i="8"/>
  <c r="V54" i="8"/>
  <c r="W54" i="8"/>
  <c r="X54" i="8"/>
  <c r="Y54" i="8"/>
  <c r="Z54" i="8"/>
  <c r="T55" i="8"/>
  <c r="U55" i="8"/>
  <c r="V55" i="8"/>
  <c r="W55" i="8"/>
  <c r="X55" i="8"/>
  <c r="Y55" i="8"/>
  <c r="Z55" i="8"/>
  <c r="T56" i="8"/>
  <c r="U56" i="8"/>
  <c r="V56" i="8"/>
  <c r="W56" i="8"/>
  <c r="X56" i="8"/>
  <c r="Y56" i="8"/>
  <c r="Z56" i="8"/>
  <c r="T57" i="8"/>
  <c r="U57" i="8"/>
  <c r="V57" i="8"/>
  <c r="W57" i="8"/>
  <c r="X57" i="8"/>
  <c r="Y57" i="8"/>
  <c r="Z57" i="8"/>
  <c r="T58" i="8"/>
  <c r="U58" i="8"/>
  <c r="V58" i="8"/>
  <c r="W58" i="8"/>
  <c r="X58" i="8"/>
  <c r="Y58" i="8"/>
  <c r="Z58" i="8"/>
  <c r="U44" i="8"/>
  <c r="V44" i="8"/>
  <c r="W44" i="8"/>
  <c r="X44" i="8"/>
  <c r="Y44" i="8"/>
  <c r="Z44" i="8"/>
  <c r="T44" i="8"/>
  <c r="T26" i="8"/>
  <c r="U26" i="8"/>
  <c r="V26" i="8"/>
  <c r="W26" i="8"/>
  <c r="X26" i="8"/>
  <c r="Y26" i="8"/>
  <c r="Z26" i="8"/>
  <c r="T27" i="8"/>
  <c r="U27" i="8"/>
  <c r="V27" i="8"/>
  <c r="W27" i="8"/>
  <c r="X27" i="8"/>
  <c r="Y27" i="8"/>
  <c r="Z27" i="8"/>
  <c r="T28" i="8"/>
  <c r="U28" i="8"/>
  <c r="V28" i="8"/>
  <c r="W28" i="8"/>
  <c r="X28" i="8"/>
  <c r="Y28" i="8"/>
  <c r="Z28" i="8"/>
  <c r="T29" i="8"/>
  <c r="U29" i="8"/>
  <c r="V29" i="8"/>
  <c r="W29" i="8"/>
  <c r="X29" i="8"/>
  <c r="Y29" i="8"/>
  <c r="Z29" i="8"/>
  <c r="T30" i="8"/>
  <c r="U30" i="8"/>
  <c r="V30" i="8"/>
  <c r="W30" i="8"/>
  <c r="X30" i="8"/>
  <c r="Y30" i="8"/>
  <c r="Z30" i="8"/>
  <c r="T31" i="8"/>
  <c r="U31" i="8"/>
  <c r="V31" i="8"/>
  <c r="W31" i="8"/>
  <c r="X31" i="8"/>
  <c r="Y31" i="8"/>
  <c r="Z31" i="8"/>
  <c r="T32" i="8"/>
  <c r="U32" i="8"/>
  <c r="V32" i="8"/>
  <c r="W32" i="8"/>
  <c r="X32" i="8"/>
  <c r="Y32" i="8"/>
  <c r="Z32" i="8"/>
  <c r="T33" i="8"/>
  <c r="U33" i="8"/>
  <c r="V33" i="8"/>
  <c r="W33" i="8"/>
  <c r="X33" i="8"/>
  <c r="Y33" i="8"/>
  <c r="Z33" i="8"/>
  <c r="T34" i="8"/>
  <c r="U34" i="8"/>
  <c r="V34" i="8"/>
  <c r="W34" i="8"/>
  <c r="X34" i="8"/>
  <c r="Y34" i="8"/>
  <c r="Z34" i="8"/>
  <c r="T35" i="8"/>
  <c r="U35" i="8"/>
  <c r="V35" i="8"/>
  <c r="W35" i="8"/>
  <c r="X35" i="8"/>
  <c r="Y35" i="8"/>
  <c r="Z35" i="8"/>
  <c r="T36" i="8"/>
  <c r="U36" i="8"/>
  <c r="V36" i="8"/>
  <c r="W36" i="8"/>
  <c r="X36" i="8"/>
  <c r="Y36" i="8"/>
  <c r="Z36" i="8"/>
  <c r="T37" i="8"/>
  <c r="U37" i="8"/>
  <c r="V37" i="8"/>
  <c r="W37" i="8"/>
  <c r="X37" i="8"/>
  <c r="Y37" i="8"/>
  <c r="Z37" i="8"/>
  <c r="T38" i="8"/>
  <c r="U38" i="8"/>
  <c r="V38" i="8"/>
  <c r="W38" i="8"/>
  <c r="X38" i="8"/>
  <c r="Y38" i="8"/>
  <c r="Z38" i="8"/>
  <c r="T39" i="8"/>
  <c r="U39" i="8"/>
  <c r="V39" i="8"/>
  <c r="W39" i="8"/>
  <c r="X39" i="8"/>
  <c r="Y39" i="8"/>
  <c r="Z39" i="8"/>
  <c r="U25" i="8"/>
  <c r="V25" i="8"/>
  <c r="W25" i="8"/>
  <c r="X25" i="8"/>
  <c r="Y25" i="8"/>
  <c r="Z25" i="8"/>
  <c r="T25" i="8"/>
  <c r="T7" i="8"/>
  <c r="U7" i="8"/>
  <c r="V7" i="8"/>
  <c r="W7" i="8"/>
  <c r="X7" i="8"/>
  <c r="Y7" i="8"/>
  <c r="Z7" i="8"/>
  <c r="T8" i="8"/>
  <c r="U8" i="8"/>
  <c r="V8" i="8"/>
  <c r="W8" i="8"/>
  <c r="X8" i="8"/>
  <c r="Y8" i="8"/>
  <c r="Z8" i="8"/>
  <c r="T9" i="8"/>
  <c r="U9" i="8"/>
  <c r="V9" i="8"/>
  <c r="W9" i="8"/>
  <c r="X9" i="8"/>
  <c r="Y9" i="8"/>
  <c r="Z9" i="8"/>
  <c r="T10" i="8"/>
  <c r="U10" i="8"/>
  <c r="V10" i="8"/>
  <c r="W10" i="8"/>
  <c r="X10" i="8"/>
  <c r="Y10" i="8"/>
  <c r="Z10" i="8"/>
  <c r="T11" i="8"/>
  <c r="U11" i="8"/>
  <c r="V11" i="8"/>
  <c r="W11" i="8"/>
  <c r="X11" i="8"/>
  <c r="Y11" i="8"/>
  <c r="Z11" i="8"/>
  <c r="T12" i="8"/>
  <c r="U12" i="8"/>
  <c r="V12" i="8"/>
  <c r="W12" i="8"/>
  <c r="X12" i="8"/>
  <c r="Y12" i="8"/>
  <c r="Z12" i="8"/>
  <c r="T13" i="8"/>
  <c r="U13" i="8"/>
  <c r="V13" i="8"/>
  <c r="W13" i="8"/>
  <c r="X13" i="8"/>
  <c r="Y13" i="8"/>
  <c r="Z13" i="8"/>
  <c r="T14" i="8"/>
  <c r="U14" i="8"/>
  <c r="V14" i="8"/>
  <c r="W14" i="8"/>
  <c r="X14" i="8"/>
  <c r="Y14" i="8"/>
  <c r="Z14" i="8"/>
  <c r="T15" i="8"/>
  <c r="U15" i="8"/>
  <c r="V15" i="8"/>
  <c r="W15" i="8"/>
  <c r="X15" i="8"/>
  <c r="Y15" i="8"/>
  <c r="Z15" i="8"/>
  <c r="T16" i="8"/>
  <c r="U16" i="8"/>
  <c r="V16" i="8"/>
  <c r="W16" i="8"/>
  <c r="X16" i="8"/>
  <c r="Y16" i="8"/>
  <c r="Z16" i="8"/>
  <c r="T17" i="8"/>
  <c r="U17" i="8"/>
  <c r="V17" i="8"/>
  <c r="W17" i="8"/>
  <c r="X17" i="8"/>
  <c r="Y17" i="8"/>
  <c r="Z17" i="8"/>
  <c r="T18" i="8"/>
  <c r="U18" i="8"/>
  <c r="V18" i="8"/>
  <c r="W18" i="8"/>
  <c r="X18" i="8"/>
  <c r="Y18" i="8"/>
  <c r="Z18" i="8"/>
  <c r="T19" i="8"/>
  <c r="U19" i="8"/>
  <c r="V19" i="8"/>
  <c r="W19" i="8"/>
  <c r="X19" i="8"/>
  <c r="Y19" i="8"/>
  <c r="Z19" i="8"/>
  <c r="T20" i="8"/>
  <c r="U20" i="8"/>
  <c r="V20" i="8"/>
  <c r="W20" i="8"/>
  <c r="X20" i="8"/>
  <c r="Y20" i="8"/>
  <c r="Z20" i="8"/>
  <c r="U6" i="8"/>
  <c r="V6" i="8"/>
  <c r="W6" i="8"/>
  <c r="X6" i="8"/>
  <c r="Y6" i="8"/>
  <c r="Z6" i="8"/>
  <c r="T6" i="8"/>
  <c r="K140" i="8"/>
  <c r="L140" i="8"/>
  <c r="M140" i="8"/>
  <c r="N140" i="8"/>
  <c r="O140" i="8"/>
  <c r="P140" i="8"/>
  <c r="Q140" i="8"/>
  <c r="K141" i="8"/>
  <c r="L141" i="8"/>
  <c r="M141" i="8"/>
  <c r="N141" i="8"/>
  <c r="O141" i="8"/>
  <c r="P141" i="8"/>
  <c r="Q141" i="8"/>
  <c r="K142" i="8"/>
  <c r="L142" i="8"/>
  <c r="M142" i="8"/>
  <c r="N142" i="8"/>
  <c r="O142" i="8"/>
  <c r="P142" i="8"/>
  <c r="Q142" i="8"/>
  <c r="K143" i="8"/>
  <c r="L143" i="8"/>
  <c r="M143" i="8"/>
  <c r="N143" i="8"/>
  <c r="O143" i="8"/>
  <c r="P143" i="8"/>
  <c r="Q143" i="8"/>
  <c r="K144" i="8"/>
  <c r="L144" i="8"/>
  <c r="M144" i="8"/>
  <c r="N144" i="8"/>
  <c r="O144" i="8"/>
  <c r="P144" i="8"/>
  <c r="Q144" i="8"/>
  <c r="K145" i="8"/>
  <c r="L145" i="8"/>
  <c r="M145" i="8"/>
  <c r="N145" i="8"/>
  <c r="O145" i="8"/>
  <c r="P145" i="8"/>
  <c r="Q145" i="8"/>
  <c r="K146" i="8"/>
  <c r="L146" i="8"/>
  <c r="M146" i="8"/>
  <c r="N146" i="8"/>
  <c r="O146" i="8"/>
  <c r="P146" i="8"/>
  <c r="Q146" i="8"/>
  <c r="K147" i="8"/>
  <c r="L147" i="8"/>
  <c r="M147" i="8"/>
  <c r="N147" i="8"/>
  <c r="O147" i="8"/>
  <c r="P147" i="8"/>
  <c r="Q147" i="8"/>
  <c r="K148" i="8"/>
  <c r="L148" i="8"/>
  <c r="M148" i="8"/>
  <c r="N148" i="8"/>
  <c r="O148" i="8"/>
  <c r="P148" i="8"/>
  <c r="Q148" i="8"/>
  <c r="K149" i="8"/>
  <c r="L149" i="8"/>
  <c r="M149" i="8"/>
  <c r="N149" i="8"/>
  <c r="O149" i="8"/>
  <c r="P149" i="8"/>
  <c r="Q149" i="8"/>
  <c r="K150" i="8"/>
  <c r="L150" i="8"/>
  <c r="M150" i="8"/>
  <c r="N150" i="8"/>
  <c r="O150" i="8"/>
  <c r="P150" i="8"/>
  <c r="Q150" i="8"/>
  <c r="K151" i="8"/>
  <c r="L151" i="8"/>
  <c r="M151" i="8"/>
  <c r="N151" i="8"/>
  <c r="O151" i="8"/>
  <c r="P151" i="8"/>
  <c r="Q151" i="8"/>
  <c r="K152" i="8"/>
  <c r="L152" i="8"/>
  <c r="M152" i="8"/>
  <c r="N152" i="8"/>
  <c r="O152" i="8"/>
  <c r="P152" i="8"/>
  <c r="Q152" i="8"/>
  <c r="K153" i="8"/>
  <c r="L153" i="8"/>
  <c r="M153" i="8"/>
  <c r="N153" i="8"/>
  <c r="O153" i="8"/>
  <c r="P153" i="8"/>
  <c r="Q153" i="8"/>
  <c r="L139" i="8"/>
  <c r="M139" i="8"/>
  <c r="N139" i="8"/>
  <c r="O139" i="8"/>
  <c r="P139" i="8"/>
  <c r="Q139" i="8"/>
  <c r="K139" i="8"/>
  <c r="K121" i="8"/>
  <c r="L121" i="8"/>
  <c r="M121" i="8"/>
  <c r="N121" i="8"/>
  <c r="O121" i="8"/>
  <c r="P121" i="8"/>
  <c r="Q121" i="8"/>
  <c r="K122" i="8"/>
  <c r="L122" i="8"/>
  <c r="M122" i="8"/>
  <c r="N122" i="8"/>
  <c r="O122" i="8"/>
  <c r="P122" i="8"/>
  <c r="Q122" i="8"/>
  <c r="K123" i="8"/>
  <c r="L123" i="8"/>
  <c r="M123" i="8"/>
  <c r="N123" i="8"/>
  <c r="O123" i="8"/>
  <c r="P123" i="8"/>
  <c r="Q123" i="8"/>
  <c r="K124" i="8"/>
  <c r="L124" i="8"/>
  <c r="M124" i="8"/>
  <c r="N124" i="8"/>
  <c r="O124" i="8"/>
  <c r="P124" i="8"/>
  <c r="Q124" i="8"/>
  <c r="K125" i="8"/>
  <c r="L125" i="8"/>
  <c r="M125" i="8"/>
  <c r="N125" i="8"/>
  <c r="O125" i="8"/>
  <c r="P125" i="8"/>
  <c r="Q125" i="8"/>
  <c r="K126" i="8"/>
  <c r="L126" i="8"/>
  <c r="M126" i="8"/>
  <c r="N126" i="8"/>
  <c r="O126" i="8"/>
  <c r="P126" i="8"/>
  <c r="Q126" i="8"/>
  <c r="K127" i="8"/>
  <c r="L127" i="8"/>
  <c r="M127" i="8"/>
  <c r="N127" i="8"/>
  <c r="O127" i="8"/>
  <c r="P127" i="8"/>
  <c r="Q127" i="8"/>
  <c r="K128" i="8"/>
  <c r="L128" i="8"/>
  <c r="M128" i="8"/>
  <c r="N128" i="8"/>
  <c r="O128" i="8"/>
  <c r="P128" i="8"/>
  <c r="Q128" i="8"/>
  <c r="K129" i="8"/>
  <c r="L129" i="8"/>
  <c r="M129" i="8"/>
  <c r="N129" i="8"/>
  <c r="O129" i="8"/>
  <c r="P129" i="8"/>
  <c r="Q129" i="8"/>
  <c r="K130" i="8"/>
  <c r="L130" i="8"/>
  <c r="M130" i="8"/>
  <c r="N130" i="8"/>
  <c r="O130" i="8"/>
  <c r="P130" i="8"/>
  <c r="Q130" i="8"/>
  <c r="K131" i="8"/>
  <c r="L131" i="8"/>
  <c r="M131" i="8"/>
  <c r="N131" i="8"/>
  <c r="O131" i="8"/>
  <c r="P131" i="8"/>
  <c r="Q131" i="8"/>
  <c r="K132" i="8"/>
  <c r="L132" i="8"/>
  <c r="M132" i="8"/>
  <c r="N132" i="8"/>
  <c r="O132" i="8"/>
  <c r="P132" i="8"/>
  <c r="Q132" i="8"/>
  <c r="K133" i="8"/>
  <c r="L133" i="8"/>
  <c r="M133" i="8"/>
  <c r="N133" i="8"/>
  <c r="O133" i="8"/>
  <c r="P133" i="8"/>
  <c r="Q133" i="8"/>
  <c r="K134" i="8"/>
  <c r="L134" i="8"/>
  <c r="M134" i="8"/>
  <c r="N134" i="8"/>
  <c r="O134" i="8"/>
  <c r="P134" i="8"/>
  <c r="Q134" i="8"/>
  <c r="L120" i="8"/>
  <c r="M120" i="8"/>
  <c r="N120" i="8"/>
  <c r="O120" i="8"/>
  <c r="P120" i="8"/>
  <c r="Q120" i="8"/>
  <c r="K120" i="8"/>
  <c r="K102" i="8"/>
  <c r="L102" i="8"/>
  <c r="M102" i="8"/>
  <c r="N102" i="8"/>
  <c r="O102" i="8"/>
  <c r="P102" i="8"/>
  <c r="Q102" i="8"/>
  <c r="K103" i="8"/>
  <c r="L103" i="8"/>
  <c r="M103" i="8"/>
  <c r="N103" i="8"/>
  <c r="O103" i="8"/>
  <c r="P103" i="8"/>
  <c r="Q103" i="8"/>
  <c r="K104" i="8"/>
  <c r="L104" i="8"/>
  <c r="M104" i="8"/>
  <c r="N104" i="8"/>
  <c r="O104" i="8"/>
  <c r="P104" i="8"/>
  <c r="Q104" i="8"/>
  <c r="K105" i="8"/>
  <c r="L105" i="8"/>
  <c r="M105" i="8"/>
  <c r="N105" i="8"/>
  <c r="O105" i="8"/>
  <c r="P105" i="8"/>
  <c r="Q105" i="8"/>
  <c r="K106" i="8"/>
  <c r="L106" i="8"/>
  <c r="M106" i="8"/>
  <c r="N106" i="8"/>
  <c r="O106" i="8"/>
  <c r="P106" i="8"/>
  <c r="Q106" i="8"/>
  <c r="K107" i="8"/>
  <c r="L107" i="8"/>
  <c r="M107" i="8"/>
  <c r="N107" i="8"/>
  <c r="O107" i="8"/>
  <c r="P107" i="8"/>
  <c r="Q107" i="8"/>
  <c r="K108" i="8"/>
  <c r="L108" i="8"/>
  <c r="M108" i="8"/>
  <c r="N108" i="8"/>
  <c r="O108" i="8"/>
  <c r="P108" i="8"/>
  <c r="Q108" i="8"/>
  <c r="K109" i="8"/>
  <c r="L109" i="8"/>
  <c r="M109" i="8"/>
  <c r="N109" i="8"/>
  <c r="O109" i="8"/>
  <c r="P109" i="8"/>
  <c r="Q109" i="8"/>
  <c r="K110" i="8"/>
  <c r="L110" i="8"/>
  <c r="M110" i="8"/>
  <c r="N110" i="8"/>
  <c r="O110" i="8"/>
  <c r="P110" i="8"/>
  <c r="Q110" i="8"/>
  <c r="K111" i="8"/>
  <c r="L111" i="8"/>
  <c r="M111" i="8"/>
  <c r="N111" i="8"/>
  <c r="O111" i="8"/>
  <c r="P111" i="8"/>
  <c r="Q111" i="8"/>
  <c r="K112" i="8"/>
  <c r="L112" i="8"/>
  <c r="M112" i="8"/>
  <c r="N112" i="8"/>
  <c r="O112" i="8"/>
  <c r="P112" i="8"/>
  <c r="Q112" i="8"/>
  <c r="K113" i="8"/>
  <c r="L113" i="8"/>
  <c r="M113" i="8"/>
  <c r="N113" i="8"/>
  <c r="O113" i="8"/>
  <c r="P113" i="8"/>
  <c r="Q113" i="8"/>
  <c r="K114" i="8"/>
  <c r="L114" i="8"/>
  <c r="M114" i="8"/>
  <c r="N114" i="8"/>
  <c r="O114" i="8"/>
  <c r="P114" i="8"/>
  <c r="Q114" i="8"/>
  <c r="K115" i="8"/>
  <c r="L115" i="8"/>
  <c r="M115" i="8"/>
  <c r="N115" i="8"/>
  <c r="O115" i="8"/>
  <c r="P115" i="8"/>
  <c r="Q115" i="8"/>
  <c r="L101" i="8"/>
  <c r="M101" i="8"/>
  <c r="N101" i="8"/>
  <c r="O101" i="8"/>
  <c r="P101" i="8"/>
  <c r="Q101" i="8"/>
  <c r="K101" i="8"/>
  <c r="K83" i="8"/>
  <c r="L83" i="8"/>
  <c r="M83" i="8"/>
  <c r="N83" i="8"/>
  <c r="O83" i="8"/>
  <c r="P83" i="8"/>
  <c r="Q83" i="8"/>
  <c r="K84" i="8"/>
  <c r="L84" i="8"/>
  <c r="M84" i="8"/>
  <c r="N84" i="8"/>
  <c r="O84" i="8"/>
  <c r="P84" i="8"/>
  <c r="Q84" i="8"/>
  <c r="K85" i="8"/>
  <c r="L85" i="8"/>
  <c r="M85" i="8"/>
  <c r="N85" i="8"/>
  <c r="O85" i="8"/>
  <c r="P85" i="8"/>
  <c r="Q85" i="8"/>
  <c r="K86" i="8"/>
  <c r="L86" i="8"/>
  <c r="M86" i="8"/>
  <c r="N86" i="8"/>
  <c r="O86" i="8"/>
  <c r="P86" i="8"/>
  <c r="Q86" i="8"/>
  <c r="K87" i="8"/>
  <c r="L87" i="8"/>
  <c r="M87" i="8"/>
  <c r="N87" i="8"/>
  <c r="O87" i="8"/>
  <c r="P87" i="8"/>
  <c r="Q87" i="8"/>
  <c r="K88" i="8"/>
  <c r="L88" i="8"/>
  <c r="M88" i="8"/>
  <c r="N88" i="8"/>
  <c r="O88" i="8"/>
  <c r="P88" i="8"/>
  <c r="Q88" i="8"/>
  <c r="K89" i="8"/>
  <c r="L89" i="8"/>
  <c r="M89" i="8"/>
  <c r="N89" i="8"/>
  <c r="O89" i="8"/>
  <c r="P89" i="8"/>
  <c r="Q89" i="8"/>
  <c r="K90" i="8"/>
  <c r="L90" i="8"/>
  <c r="M90" i="8"/>
  <c r="N90" i="8"/>
  <c r="O90" i="8"/>
  <c r="P90" i="8"/>
  <c r="Q90" i="8"/>
  <c r="K91" i="8"/>
  <c r="L91" i="8"/>
  <c r="M91" i="8"/>
  <c r="N91" i="8"/>
  <c r="O91" i="8"/>
  <c r="P91" i="8"/>
  <c r="Q91" i="8"/>
  <c r="K92" i="8"/>
  <c r="L92" i="8"/>
  <c r="M92" i="8"/>
  <c r="N92" i="8"/>
  <c r="O92" i="8"/>
  <c r="P92" i="8"/>
  <c r="Q92" i="8"/>
  <c r="K93" i="8"/>
  <c r="L93" i="8"/>
  <c r="M93" i="8"/>
  <c r="N93" i="8"/>
  <c r="O93" i="8"/>
  <c r="P93" i="8"/>
  <c r="Q93" i="8"/>
  <c r="K94" i="8"/>
  <c r="L94" i="8"/>
  <c r="M94" i="8"/>
  <c r="N94" i="8"/>
  <c r="O94" i="8"/>
  <c r="P94" i="8"/>
  <c r="Q94" i="8"/>
  <c r="K95" i="8"/>
  <c r="L95" i="8"/>
  <c r="M95" i="8"/>
  <c r="N95" i="8"/>
  <c r="O95" i="8"/>
  <c r="P95" i="8"/>
  <c r="Q95" i="8"/>
  <c r="K96" i="8"/>
  <c r="L96" i="8"/>
  <c r="M96" i="8"/>
  <c r="N96" i="8"/>
  <c r="O96" i="8"/>
  <c r="P96" i="8"/>
  <c r="Q96" i="8"/>
  <c r="L82" i="8"/>
  <c r="M82" i="8"/>
  <c r="N82" i="8"/>
  <c r="O82" i="8"/>
  <c r="P82" i="8"/>
  <c r="Q82" i="8"/>
  <c r="K82" i="8"/>
  <c r="K64" i="8"/>
  <c r="L64" i="8"/>
  <c r="M64" i="8"/>
  <c r="N64" i="8"/>
  <c r="O64" i="8"/>
  <c r="P64" i="8"/>
  <c r="Q64" i="8"/>
  <c r="K65" i="8"/>
  <c r="L65" i="8"/>
  <c r="M65" i="8"/>
  <c r="N65" i="8"/>
  <c r="O65" i="8"/>
  <c r="P65" i="8"/>
  <c r="Q65" i="8"/>
  <c r="K66" i="8"/>
  <c r="L66" i="8"/>
  <c r="M66" i="8"/>
  <c r="N66" i="8"/>
  <c r="O66" i="8"/>
  <c r="P66" i="8"/>
  <c r="Q66" i="8"/>
  <c r="K67" i="8"/>
  <c r="L67" i="8"/>
  <c r="M67" i="8"/>
  <c r="N67" i="8"/>
  <c r="O67" i="8"/>
  <c r="P67" i="8"/>
  <c r="Q67" i="8"/>
  <c r="K68" i="8"/>
  <c r="L68" i="8"/>
  <c r="M68" i="8"/>
  <c r="N68" i="8"/>
  <c r="O68" i="8"/>
  <c r="P68" i="8"/>
  <c r="Q68" i="8"/>
  <c r="K69" i="8"/>
  <c r="L69" i="8"/>
  <c r="M69" i="8"/>
  <c r="N69" i="8"/>
  <c r="O69" i="8"/>
  <c r="P69" i="8"/>
  <c r="Q69" i="8"/>
  <c r="K70" i="8"/>
  <c r="L70" i="8"/>
  <c r="M70" i="8"/>
  <c r="N70" i="8"/>
  <c r="O70" i="8"/>
  <c r="P70" i="8"/>
  <c r="Q70" i="8"/>
  <c r="K71" i="8"/>
  <c r="L71" i="8"/>
  <c r="M71" i="8"/>
  <c r="N71" i="8"/>
  <c r="O71" i="8"/>
  <c r="P71" i="8"/>
  <c r="Q71" i="8"/>
  <c r="K72" i="8"/>
  <c r="L72" i="8"/>
  <c r="M72" i="8"/>
  <c r="N72" i="8"/>
  <c r="O72" i="8"/>
  <c r="P72" i="8"/>
  <c r="Q72" i="8"/>
  <c r="K73" i="8"/>
  <c r="L73" i="8"/>
  <c r="M73" i="8"/>
  <c r="N73" i="8"/>
  <c r="O73" i="8"/>
  <c r="P73" i="8"/>
  <c r="Q73" i="8"/>
  <c r="K74" i="8"/>
  <c r="L74" i="8"/>
  <c r="M74" i="8"/>
  <c r="N74" i="8"/>
  <c r="O74" i="8"/>
  <c r="P74" i="8"/>
  <c r="Q74" i="8"/>
  <c r="K75" i="8"/>
  <c r="L75" i="8"/>
  <c r="M75" i="8"/>
  <c r="N75" i="8"/>
  <c r="O75" i="8"/>
  <c r="P75" i="8"/>
  <c r="Q75" i="8"/>
  <c r="K76" i="8"/>
  <c r="L76" i="8"/>
  <c r="M76" i="8"/>
  <c r="N76" i="8"/>
  <c r="O76" i="8"/>
  <c r="P76" i="8"/>
  <c r="Q76" i="8"/>
  <c r="K77" i="8"/>
  <c r="L77" i="8"/>
  <c r="M77" i="8"/>
  <c r="N77" i="8"/>
  <c r="O77" i="8"/>
  <c r="P77" i="8"/>
  <c r="Q77" i="8"/>
  <c r="L63" i="8"/>
  <c r="M63" i="8"/>
  <c r="N63" i="8"/>
  <c r="O63" i="8"/>
  <c r="P63" i="8"/>
  <c r="Q63" i="8"/>
  <c r="K63" i="8"/>
  <c r="K45" i="8"/>
  <c r="L45" i="8"/>
  <c r="M45" i="8"/>
  <c r="N45" i="8"/>
  <c r="O45" i="8"/>
  <c r="P45" i="8"/>
  <c r="Q45" i="8"/>
  <c r="K46" i="8"/>
  <c r="L46" i="8"/>
  <c r="M46" i="8"/>
  <c r="N46" i="8"/>
  <c r="O46" i="8"/>
  <c r="P46" i="8"/>
  <c r="Q46" i="8"/>
  <c r="K47" i="8"/>
  <c r="L47" i="8"/>
  <c r="M47" i="8"/>
  <c r="N47" i="8"/>
  <c r="O47" i="8"/>
  <c r="P47" i="8"/>
  <c r="Q47" i="8"/>
  <c r="K48" i="8"/>
  <c r="L48" i="8"/>
  <c r="M48" i="8"/>
  <c r="N48" i="8"/>
  <c r="O48" i="8"/>
  <c r="P48" i="8"/>
  <c r="Q48" i="8"/>
  <c r="K49" i="8"/>
  <c r="L49" i="8"/>
  <c r="M49" i="8"/>
  <c r="N49" i="8"/>
  <c r="O49" i="8"/>
  <c r="P49" i="8"/>
  <c r="Q49" i="8"/>
  <c r="K50" i="8"/>
  <c r="L50" i="8"/>
  <c r="M50" i="8"/>
  <c r="N50" i="8"/>
  <c r="O50" i="8"/>
  <c r="P50" i="8"/>
  <c r="Q50" i="8"/>
  <c r="K51" i="8"/>
  <c r="L51" i="8"/>
  <c r="M51" i="8"/>
  <c r="N51" i="8"/>
  <c r="O51" i="8"/>
  <c r="P51" i="8"/>
  <c r="Q51" i="8"/>
  <c r="K52" i="8"/>
  <c r="L52" i="8"/>
  <c r="M52" i="8"/>
  <c r="N52" i="8"/>
  <c r="O52" i="8"/>
  <c r="P52" i="8"/>
  <c r="Q52" i="8"/>
  <c r="K53" i="8"/>
  <c r="L53" i="8"/>
  <c r="M53" i="8"/>
  <c r="N53" i="8"/>
  <c r="O53" i="8"/>
  <c r="P53" i="8"/>
  <c r="Q53" i="8"/>
  <c r="K54" i="8"/>
  <c r="L54" i="8"/>
  <c r="M54" i="8"/>
  <c r="N54" i="8"/>
  <c r="O54" i="8"/>
  <c r="P54" i="8"/>
  <c r="Q54" i="8"/>
  <c r="K55" i="8"/>
  <c r="L55" i="8"/>
  <c r="M55" i="8"/>
  <c r="N55" i="8"/>
  <c r="O55" i="8"/>
  <c r="P55" i="8"/>
  <c r="Q55" i="8"/>
  <c r="K56" i="8"/>
  <c r="L56" i="8"/>
  <c r="M56" i="8"/>
  <c r="N56" i="8"/>
  <c r="O56" i="8"/>
  <c r="P56" i="8"/>
  <c r="Q56" i="8"/>
  <c r="K57" i="8"/>
  <c r="L57" i="8"/>
  <c r="M57" i="8"/>
  <c r="N57" i="8"/>
  <c r="O57" i="8"/>
  <c r="P57" i="8"/>
  <c r="Q57" i="8"/>
  <c r="K58" i="8"/>
  <c r="L58" i="8"/>
  <c r="M58" i="8"/>
  <c r="N58" i="8"/>
  <c r="O58" i="8"/>
  <c r="P58" i="8"/>
  <c r="Q58" i="8"/>
  <c r="L44" i="8"/>
  <c r="M44" i="8"/>
  <c r="N44" i="8"/>
  <c r="O44" i="8"/>
  <c r="P44" i="8"/>
  <c r="Q44" i="8"/>
  <c r="K44" i="8"/>
  <c r="K26" i="8"/>
  <c r="L26" i="8"/>
  <c r="M26" i="8"/>
  <c r="N26" i="8"/>
  <c r="O26" i="8"/>
  <c r="P26" i="8"/>
  <c r="Q26" i="8"/>
  <c r="K27" i="8"/>
  <c r="L27" i="8"/>
  <c r="M27" i="8"/>
  <c r="N27" i="8"/>
  <c r="O27" i="8"/>
  <c r="P27" i="8"/>
  <c r="Q27" i="8"/>
  <c r="K28" i="8"/>
  <c r="L28" i="8"/>
  <c r="M28" i="8"/>
  <c r="N28" i="8"/>
  <c r="O28" i="8"/>
  <c r="P28" i="8"/>
  <c r="Q28" i="8"/>
  <c r="K29" i="8"/>
  <c r="L29" i="8"/>
  <c r="M29" i="8"/>
  <c r="N29" i="8"/>
  <c r="O29" i="8"/>
  <c r="P29" i="8"/>
  <c r="Q29" i="8"/>
  <c r="K30" i="8"/>
  <c r="L30" i="8"/>
  <c r="M30" i="8"/>
  <c r="N30" i="8"/>
  <c r="O30" i="8"/>
  <c r="P30" i="8"/>
  <c r="Q30" i="8"/>
  <c r="K31" i="8"/>
  <c r="L31" i="8"/>
  <c r="M31" i="8"/>
  <c r="N31" i="8"/>
  <c r="O31" i="8"/>
  <c r="P31" i="8"/>
  <c r="Q31" i="8"/>
  <c r="K32" i="8"/>
  <c r="L32" i="8"/>
  <c r="M32" i="8"/>
  <c r="N32" i="8"/>
  <c r="O32" i="8"/>
  <c r="P32" i="8"/>
  <c r="Q32" i="8"/>
  <c r="K33" i="8"/>
  <c r="L33" i="8"/>
  <c r="M33" i="8"/>
  <c r="N33" i="8"/>
  <c r="O33" i="8"/>
  <c r="P33" i="8"/>
  <c r="Q33" i="8"/>
  <c r="K34" i="8"/>
  <c r="L34" i="8"/>
  <c r="M34" i="8"/>
  <c r="N34" i="8"/>
  <c r="O34" i="8"/>
  <c r="P34" i="8"/>
  <c r="Q34" i="8"/>
  <c r="K35" i="8"/>
  <c r="L35" i="8"/>
  <c r="M35" i="8"/>
  <c r="N35" i="8"/>
  <c r="O35" i="8"/>
  <c r="P35" i="8"/>
  <c r="Q35" i="8"/>
  <c r="K36" i="8"/>
  <c r="L36" i="8"/>
  <c r="M36" i="8"/>
  <c r="N36" i="8"/>
  <c r="O36" i="8"/>
  <c r="P36" i="8"/>
  <c r="Q36" i="8"/>
  <c r="K37" i="8"/>
  <c r="L37" i="8"/>
  <c r="M37" i="8"/>
  <c r="N37" i="8"/>
  <c r="O37" i="8"/>
  <c r="P37" i="8"/>
  <c r="Q37" i="8"/>
  <c r="K38" i="8"/>
  <c r="L38" i="8"/>
  <c r="M38" i="8"/>
  <c r="N38" i="8"/>
  <c r="O38" i="8"/>
  <c r="P38" i="8"/>
  <c r="Q38" i="8"/>
  <c r="K39" i="8"/>
  <c r="L39" i="8"/>
  <c r="M39" i="8"/>
  <c r="N39" i="8"/>
  <c r="O39" i="8"/>
  <c r="P39" i="8"/>
  <c r="Q39" i="8"/>
  <c r="L25" i="8"/>
  <c r="M25" i="8"/>
  <c r="N25" i="8"/>
  <c r="O25" i="8"/>
  <c r="P25" i="8"/>
  <c r="Q25" i="8"/>
  <c r="K25" i="8"/>
  <c r="K7" i="8"/>
  <c r="L7" i="8"/>
  <c r="M7" i="8"/>
  <c r="N7" i="8"/>
  <c r="O7" i="8"/>
  <c r="P7" i="8"/>
  <c r="Q7" i="8"/>
  <c r="K8" i="8"/>
  <c r="L8" i="8"/>
  <c r="M8" i="8"/>
  <c r="N8" i="8"/>
  <c r="O8" i="8"/>
  <c r="P8" i="8"/>
  <c r="Q8" i="8"/>
  <c r="K9" i="8"/>
  <c r="L9" i="8"/>
  <c r="M9" i="8"/>
  <c r="N9" i="8"/>
  <c r="O9" i="8"/>
  <c r="P9" i="8"/>
  <c r="Q9" i="8"/>
  <c r="K10" i="8"/>
  <c r="L10" i="8"/>
  <c r="M10" i="8"/>
  <c r="N10" i="8"/>
  <c r="O10" i="8"/>
  <c r="P10" i="8"/>
  <c r="Q10" i="8"/>
  <c r="K11" i="8"/>
  <c r="L11" i="8"/>
  <c r="M11" i="8"/>
  <c r="N11" i="8"/>
  <c r="O11" i="8"/>
  <c r="P11" i="8"/>
  <c r="Q11" i="8"/>
  <c r="K12" i="8"/>
  <c r="L12" i="8"/>
  <c r="M12" i="8"/>
  <c r="N12" i="8"/>
  <c r="O12" i="8"/>
  <c r="P12" i="8"/>
  <c r="Q12" i="8"/>
  <c r="K13" i="8"/>
  <c r="L13" i="8"/>
  <c r="M13" i="8"/>
  <c r="N13" i="8"/>
  <c r="O13" i="8"/>
  <c r="P13" i="8"/>
  <c r="Q13" i="8"/>
  <c r="K14" i="8"/>
  <c r="L14" i="8"/>
  <c r="M14" i="8"/>
  <c r="N14" i="8"/>
  <c r="O14" i="8"/>
  <c r="P14" i="8"/>
  <c r="Q14" i="8"/>
  <c r="K15" i="8"/>
  <c r="L15" i="8"/>
  <c r="M15" i="8"/>
  <c r="N15" i="8"/>
  <c r="O15" i="8"/>
  <c r="P15" i="8"/>
  <c r="Q15" i="8"/>
  <c r="K16" i="8"/>
  <c r="L16" i="8"/>
  <c r="M16" i="8"/>
  <c r="N16" i="8"/>
  <c r="O16" i="8"/>
  <c r="P16" i="8"/>
  <c r="Q16" i="8"/>
  <c r="K17" i="8"/>
  <c r="L17" i="8"/>
  <c r="M17" i="8"/>
  <c r="N17" i="8"/>
  <c r="O17" i="8"/>
  <c r="P17" i="8"/>
  <c r="Q17" i="8"/>
  <c r="K18" i="8"/>
  <c r="L18" i="8"/>
  <c r="M18" i="8"/>
  <c r="N18" i="8"/>
  <c r="O18" i="8"/>
  <c r="P18" i="8"/>
  <c r="Q18" i="8"/>
  <c r="K19" i="8"/>
  <c r="L19" i="8"/>
  <c r="M19" i="8"/>
  <c r="N19" i="8"/>
  <c r="O19" i="8"/>
  <c r="P19" i="8"/>
  <c r="Q19" i="8"/>
  <c r="K20" i="8"/>
  <c r="L20" i="8"/>
  <c r="M20" i="8"/>
  <c r="N20" i="8"/>
  <c r="O20" i="8"/>
  <c r="P20" i="8"/>
  <c r="Q20" i="8"/>
  <c r="L6" i="8"/>
  <c r="M6" i="8"/>
  <c r="N6" i="8"/>
  <c r="O6" i="8"/>
  <c r="P6" i="8"/>
  <c r="Q6" i="8"/>
  <c r="K6" i="8"/>
  <c r="B140" i="8"/>
  <c r="C140" i="8"/>
  <c r="D140" i="8"/>
  <c r="E140" i="8"/>
  <c r="F140" i="8"/>
  <c r="G140" i="8"/>
  <c r="H140" i="8"/>
  <c r="B141" i="8"/>
  <c r="C141" i="8"/>
  <c r="D141" i="8"/>
  <c r="E141" i="8"/>
  <c r="F141" i="8"/>
  <c r="G141" i="8"/>
  <c r="H141" i="8"/>
  <c r="B142" i="8"/>
  <c r="C142" i="8"/>
  <c r="D142" i="8"/>
  <c r="E142" i="8"/>
  <c r="F142" i="8"/>
  <c r="G142" i="8"/>
  <c r="H142" i="8"/>
  <c r="B143" i="8"/>
  <c r="C143" i="8"/>
  <c r="D143" i="8"/>
  <c r="E143" i="8"/>
  <c r="F143" i="8"/>
  <c r="G143" i="8"/>
  <c r="H143" i="8"/>
  <c r="B144" i="8"/>
  <c r="C144" i="8"/>
  <c r="D144" i="8"/>
  <c r="E144" i="8"/>
  <c r="F144" i="8"/>
  <c r="G144" i="8"/>
  <c r="H144" i="8"/>
  <c r="B145" i="8"/>
  <c r="C145" i="8"/>
  <c r="D145" i="8"/>
  <c r="E145" i="8"/>
  <c r="F145" i="8"/>
  <c r="G145" i="8"/>
  <c r="H145" i="8"/>
  <c r="B146" i="8"/>
  <c r="C146" i="8"/>
  <c r="D146" i="8"/>
  <c r="E146" i="8"/>
  <c r="F146" i="8"/>
  <c r="G146" i="8"/>
  <c r="H146" i="8"/>
  <c r="B147" i="8"/>
  <c r="C147" i="8"/>
  <c r="D147" i="8"/>
  <c r="E147" i="8"/>
  <c r="F147" i="8"/>
  <c r="G147" i="8"/>
  <c r="H147" i="8"/>
  <c r="B148" i="8"/>
  <c r="C148" i="8"/>
  <c r="D148" i="8"/>
  <c r="E148" i="8"/>
  <c r="F148" i="8"/>
  <c r="G148" i="8"/>
  <c r="H148" i="8"/>
  <c r="B149" i="8"/>
  <c r="C149" i="8"/>
  <c r="D149" i="8"/>
  <c r="E149" i="8"/>
  <c r="F149" i="8"/>
  <c r="G149" i="8"/>
  <c r="H149" i="8"/>
  <c r="B150" i="8"/>
  <c r="C150" i="8"/>
  <c r="D150" i="8"/>
  <c r="E150" i="8"/>
  <c r="F150" i="8"/>
  <c r="G150" i="8"/>
  <c r="H150" i="8"/>
  <c r="B151" i="8"/>
  <c r="C151" i="8"/>
  <c r="D151" i="8"/>
  <c r="E151" i="8"/>
  <c r="F151" i="8"/>
  <c r="G151" i="8"/>
  <c r="H151" i="8"/>
  <c r="B152" i="8"/>
  <c r="C152" i="8"/>
  <c r="D152" i="8"/>
  <c r="E152" i="8"/>
  <c r="F152" i="8"/>
  <c r="G152" i="8"/>
  <c r="H152" i="8"/>
  <c r="B153" i="8"/>
  <c r="C153" i="8"/>
  <c r="D153" i="8"/>
  <c r="E153" i="8"/>
  <c r="F153" i="8"/>
  <c r="G153" i="8"/>
  <c r="H153" i="8"/>
  <c r="C139" i="8"/>
  <c r="D139" i="8"/>
  <c r="E139" i="8"/>
  <c r="F139" i="8"/>
  <c r="G139" i="8"/>
  <c r="H139" i="8"/>
  <c r="B139" i="8"/>
  <c r="B121" i="8"/>
  <c r="C121" i="8"/>
  <c r="D121" i="8"/>
  <c r="E121" i="8"/>
  <c r="F121" i="8"/>
  <c r="G121" i="8"/>
  <c r="H121" i="8"/>
  <c r="B122" i="8"/>
  <c r="C122" i="8"/>
  <c r="D122" i="8"/>
  <c r="E122" i="8"/>
  <c r="F122" i="8"/>
  <c r="G122" i="8"/>
  <c r="H122" i="8"/>
  <c r="B123" i="8"/>
  <c r="C123" i="8"/>
  <c r="D123" i="8"/>
  <c r="E123" i="8"/>
  <c r="F123" i="8"/>
  <c r="G123" i="8"/>
  <c r="H123" i="8"/>
  <c r="B124" i="8"/>
  <c r="C124" i="8"/>
  <c r="D124" i="8"/>
  <c r="E124" i="8"/>
  <c r="F124" i="8"/>
  <c r="G124" i="8"/>
  <c r="H124" i="8"/>
  <c r="B125" i="8"/>
  <c r="C125" i="8"/>
  <c r="D125" i="8"/>
  <c r="E125" i="8"/>
  <c r="F125" i="8"/>
  <c r="G125" i="8"/>
  <c r="H125" i="8"/>
  <c r="B126" i="8"/>
  <c r="C126" i="8"/>
  <c r="D126" i="8"/>
  <c r="E126" i="8"/>
  <c r="F126" i="8"/>
  <c r="G126" i="8"/>
  <c r="H126" i="8"/>
  <c r="B127" i="8"/>
  <c r="C127" i="8"/>
  <c r="D127" i="8"/>
  <c r="E127" i="8"/>
  <c r="F127" i="8"/>
  <c r="G127" i="8"/>
  <c r="H127" i="8"/>
  <c r="B128" i="8"/>
  <c r="C128" i="8"/>
  <c r="D128" i="8"/>
  <c r="E128" i="8"/>
  <c r="F128" i="8"/>
  <c r="G128" i="8"/>
  <c r="H128" i="8"/>
  <c r="B129" i="8"/>
  <c r="C129" i="8"/>
  <c r="D129" i="8"/>
  <c r="E129" i="8"/>
  <c r="F129" i="8"/>
  <c r="G129" i="8"/>
  <c r="H129" i="8"/>
  <c r="B130" i="8"/>
  <c r="C130" i="8"/>
  <c r="D130" i="8"/>
  <c r="E130" i="8"/>
  <c r="F130" i="8"/>
  <c r="G130" i="8"/>
  <c r="H130" i="8"/>
  <c r="B131" i="8"/>
  <c r="C131" i="8"/>
  <c r="D131" i="8"/>
  <c r="E131" i="8"/>
  <c r="F131" i="8"/>
  <c r="G131" i="8"/>
  <c r="H131" i="8"/>
  <c r="B132" i="8"/>
  <c r="C132" i="8"/>
  <c r="D132" i="8"/>
  <c r="E132" i="8"/>
  <c r="F132" i="8"/>
  <c r="G132" i="8"/>
  <c r="H132" i="8"/>
  <c r="B133" i="8"/>
  <c r="C133" i="8"/>
  <c r="D133" i="8"/>
  <c r="E133" i="8"/>
  <c r="F133" i="8"/>
  <c r="G133" i="8"/>
  <c r="H133" i="8"/>
  <c r="B134" i="8"/>
  <c r="C134" i="8"/>
  <c r="D134" i="8"/>
  <c r="E134" i="8"/>
  <c r="F134" i="8"/>
  <c r="G134" i="8"/>
  <c r="H134" i="8"/>
  <c r="C120" i="8"/>
  <c r="D120" i="8"/>
  <c r="E120" i="8"/>
  <c r="F120" i="8"/>
  <c r="G120" i="8"/>
  <c r="H120" i="8"/>
  <c r="B120" i="8"/>
  <c r="B102" i="8"/>
  <c r="C102" i="8"/>
  <c r="D102" i="8"/>
  <c r="E102" i="8"/>
  <c r="F102" i="8"/>
  <c r="G102" i="8"/>
  <c r="H102" i="8"/>
  <c r="B103" i="8"/>
  <c r="C103" i="8"/>
  <c r="D103" i="8"/>
  <c r="E103" i="8"/>
  <c r="F103" i="8"/>
  <c r="G103" i="8"/>
  <c r="H103" i="8"/>
  <c r="B104" i="8"/>
  <c r="C104" i="8"/>
  <c r="D104" i="8"/>
  <c r="E104" i="8"/>
  <c r="F104" i="8"/>
  <c r="G104" i="8"/>
  <c r="H104" i="8"/>
  <c r="B105" i="8"/>
  <c r="C105" i="8"/>
  <c r="D105" i="8"/>
  <c r="E105" i="8"/>
  <c r="F105" i="8"/>
  <c r="G105" i="8"/>
  <c r="H105" i="8"/>
  <c r="B106" i="8"/>
  <c r="C106" i="8"/>
  <c r="D106" i="8"/>
  <c r="E106" i="8"/>
  <c r="F106" i="8"/>
  <c r="G106" i="8"/>
  <c r="H106" i="8"/>
  <c r="B107" i="8"/>
  <c r="C107" i="8"/>
  <c r="D107" i="8"/>
  <c r="E107" i="8"/>
  <c r="F107" i="8"/>
  <c r="G107" i="8"/>
  <c r="H107" i="8"/>
  <c r="B108" i="8"/>
  <c r="C108" i="8"/>
  <c r="D108" i="8"/>
  <c r="E108" i="8"/>
  <c r="F108" i="8"/>
  <c r="G108" i="8"/>
  <c r="H108" i="8"/>
  <c r="B109" i="8"/>
  <c r="C109" i="8"/>
  <c r="D109" i="8"/>
  <c r="E109" i="8"/>
  <c r="F109" i="8"/>
  <c r="G109" i="8"/>
  <c r="H109" i="8"/>
  <c r="B110" i="8"/>
  <c r="C110" i="8"/>
  <c r="D110" i="8"/>
  <c r="E110" i="8"/>
  <c r="F110" i="8"/>
  <c r="G110" i="8"/>
  <c r="H110" i="8"/>
  <c r="B111" i="8"/>
  <c r="C111" i="8"/>
  <c r="D111" i="8"/>
  <c r="E111" i="8"/>
  <c r="F111" i="8"/>
  <c r="G111" i="8"/>
  <c r="H111" i="8"/>
  <c r="B112" i="8"/>
  <c r="C112" i="8"/>
  <c r="D112" i="8"/>
  <c r="E112" i="8"/>
  <c r="F112" i="8"/>
  <c r="G112" i="8"/>
  <c r="H112" i="8"/>
  <c r="B113" i="8"/>
  <c r="C113" i="8"/>
  <c r="D113" i="8"/>
  <c r="E113" i="8"/>
  <c r="F113" i="8"/>
  <c r="G113" i="8"/>
  <c r="H113" i="8"/>
  <c r="B114" i="8"/>
  <c r="C114" i="8"/>
  <c r="D114" i="8"/>
  <c r="E114" i="8"/>
  <c r="F114" i="8"/>
  <c r="G114" i="8"/>
  <c r="H114" i="8"/>
  <c r="B115" i="8"/>
  <c r="C115" i="8"/>
  <c r="D115" i="8"/>
  <c r="E115" i="8"/>
  <c r="F115" i="8"/>
  <c r="G115" i="8"/>
  <c r="H115" i="8"/>
  <c r="C101" i="8"/>
  <c r="D101" i="8"/>
  <c r="E101" i="8"/>
  <c r="F101" i="8"/>
  <c r="G101" i="8"/>
  <c r="H101" i="8"/>
  <c r="B101" i="8"/>
  <c r="B83" i="8"/>
  <c r="C83" i="8"/>
  <c r="D83" i="8"/>
  <c r="E83" i="8"/>
  <c r="F83" i="8"/>
  <c r="G83" i="8"/>
  <c r="H83" i="8"/>
  <c r="B84" i="8"/>
  <c r="C84" i="8"/>
  <c r="D84" i="8"/>
  <c r="E84" i="8"/>
  <c r="F84" i="8"/>
  <c r="G84" i="8"/>
  <c r="H84" i="8"/>
  <c r="B85" i="8"/>
  <c r="C85" i="8"/>
  <c r="D85" i="8"/>
  <c r="E85" i="8"/>
  <c r="F85" i="8"/>
  <c r="G85" i="8"/>
  <c r="H85" i="8"/>
  <c r="B86" i="8"/>
  <c r="C86" i="8"/>
  <c r="D86" i="8"/>
  <c r="E86" i="8"/>
  <c r="F86" i="8"/>
  <c r="G86" i="8"/>
  <c r="H86" i="8"/>
  <c r="B87" i="8"/>
  <c r="C87" i="8"/>
  <c r="D87" i="8"/>
  <c r="E87" i="8"/>
  <c r="F87" i="8"/>
  <c r="G87" i="8"/>
  <c r="H87" i="8"/>
  <c r="B88" i="8"/>
  <c r="C88" i="8"/>
  <c r="D88" i="8"/>
  <c r="E88" i="8"/>
  <c r="F88" i="8"/>
  <c r="G88" i="8"/>
  <c r="H88" i="8"/>
  <c r="B89" i="8"/>
  <c r="C89" i="8"/>
  <c r="D89" i="8"/>
  <c r="E89" i="8"/>
  <c r="F89" i="8"/>
  <c r="G89" i="8"/>
  <c r="H89" i="8"/>
  <c r="B90" i="8"/>
  <c r="C90" i="8"/>
  <c r="D90" i="8"/>
  <c r="E90" i="8"/>
  <c r="F90" i="8"/>
  <c r="G90" i="8"/>
  <c r="H90" i="8"/>
  <c r="B91" i="8"/>
  <c r="C91" i="8"/>
  <c r="D91" i="8"/>
  <c r="E91" i="8"/>
  <c r="F91" i="8"/>
  <c r="G91" i="8"/>
  <c r="H91" i="8"/>
  <c r="B92" i="8"/>
  <c r="C92" i="8"/>
  <c r="D92" i="8"/>
  <c r="E92" i="8"/>
  <c r="F92" i="8"/>
  <c r="G92" i="8"/>
  <c r="H92" i="8"/>
  <c r="B93" i="8"/>
  <c r="C93" i="8"/>
  <c r="D93" i="8"/>
  <c r="E93" i="8"/>
  <c r="F93" i="8"/>
  <c r="G93" i="8"/>
  <c r="H93" i="8"/>
  <c r="B94" i="8"/>
  <c r="C94" i="8"/>
  <c r="D94" i="8"/>
  <c r="E94" i="8"/>
  <c r="F94" i="8"/>
  <c r="G94" i="8"/>
  <c r="H94" i="8"/>
  <c r="B95" i="8"/>
  <c r="C95" i="8"/>
  <c r="D95" i="8"/>
  <c r="E95" i="8"/>
  <c r="F95" i="8"/>
  <c r="G95" i="8"/>
  <c r="H95" i="8"/>
  <c r="B96" i="8"/>
  <c r="C96" i="8"/>
  <c r="D96" i="8"/>
  <c r="E96" i="8"/>
  <c r="F96" i="8"/>
  <c r="G96" i="8"/>
  <c r="H96" i="8"/>
  <c r="C82" i="8"/>
  <c r="D82" i="8"/>
  <c r="E82" i="8"/>
  <c r="F82" i="8"/>
  <c r="G82" i="8"/>
  <c r="H82" i="8"/>
  <c r="B82" i="8"/>
  <c r="B64" i="8"/>
  <c r="C64" i="8"/>
  <c r="D64" i="8"/>
  <c r="E64" i="8"/>
  <c r="F64" i="8"/>
  <c r="G64" i="8"/>
  <c r="H64" i="8"/>
  <c r="B65" i="8"/>
  <c r="C65" i="8"/>
  <c r="D65" i="8"/>
  <c r="E65" i="8"/>
  <c r="F65" i="8"/>
  <c r="G65" i="8"/>
  <c r="H65" i="8"/>
  <c r="B66" i="8"/>
  <c r="C66" i="8"/>
  <c r="D66" i="8"/>
  <c r="E66" i="8"/>
  <c r="F66" i="8"/>
  <c r="G66" i="8"/>
  <c r="H66" i="8"/>
  <c r="B67" i="8"/>
  <c r="C67" i="8"/>
  <c r="D67" i="8"/>
  <c r="E67" i="8"/>
  <c r="F67" i="8"/>
  <c r="G67" i="8"/>
  <c r="H67" i="8"/>
  <c r="B68" i="8"/>
  <c r="C68" i="8"/>
  <c r="D68" i="8"/>
  <c r="E68" i="8"/>
  <c r="F68" i="8"/>
  <c r="G68" i="8"/>
  <c r="H68" i="8"/>
  <c r="B69" i="8"/>
  <c r="C69" i="8"/>
  <c r="D69" i="8"/>
  <c r="E69" i="8"/>
  <c r="F69" i="8"/>
  <c r="G69" i="8"/>
  <c r="H69" i="8"/>
  <c r="B70" i="8"/>
  <c r="C70" i="8"/>
  <c r="D70" i="8"/>
  <c r="E70" i="8"/>
  <c r="F70" i="8"/>
  <c r="G70" i="8"/>
  <c r="H70" i="8"/>
  <c r="B71" i="8"/>
  <c r="C71" i="8"/>
  <c r="D71" i="8"/>
  <c r="E71" i="8"/>
  <c r="F71" i="8"/>
  <c r="G71" i="8"/>
  <c r="H71" i="8"/>
  <c r="B72" i="8"/>
  <c r="C72" i="8"/>
  <c r="D72" i="8"/>
  <c r="E72" i="8"/>
  <c r="F72" i="8"/>
  <c r="G72" i="8"/>
  <c r="H72" i="8"/>
  <c r="B73" i="8"/>
  <c r="C73" i="8"/>
  <c r="D73" i="8"/>
  <c r="E73" i="8"/>
  <c r="F73" i="8"/>
  <c r="G73" i="8"/>
  <c r="H73" i="8"/>
  <c r="B74" i="8"/>
  <c r="C74" i="8"/>
  <c r="D74" i="8"/>
  <c r="E74" i="8"/>
  <c r="F74" i="8"/>
  <c r="G74" i="8"/>
  <c r="H74" i="8"/>
  <c r="B75" i="8"/>
  <c r="C75" i="8"/>
  <c r="D75" i="8"/>
  <c r="E75" i="8"/>
  <c r="F75" i="8"/>
  <c r="G75" i="8"/>
  <c r="H75" i="8"/>
  <c r="B76" i="8"/>
  <c r="C76" i="8"/>
  <c r="D76" i="8"/>
  <c r="E76" i="8"/>
  <c r="F76" i="8"/>
  <c r="G76" i="8"/>
  <c r="H76" i="8"/>
  <c r="B77" i="8"/>
  <c r="C77" i="8"/>
  <c r="D77" i="8"/>
  <c r="E77" i="8"/>
  <c r="F77" i="8"/>
  <c r="G77" i="8"/>
  <c r="H77" i="8"/>
  <c r="C63" i="8"/>
  <c r="D63" i="8"/>
  <c r="E63" i="8"/>
  <c r="F63" i="8"/>
  <c r="G63" i="8"/>
  <c r="H63" i="8"/>
  <c r="B63" i="8"/>
  <c r="B45" i="8"/>
  <c r="C45" i="8"/>
  <c r="D45" i="8"/>
  <c r="E45" i="8"/>
  <c r="F45" i="8"/>
  <c r="G45" i="8"/>
  <c r="H45" i="8"/>
  <c r="B46" i="8"/>
  <c r="C46" i="8"/>
  <c r="D46" i="8"/>
  <c r="E46" i="8"/>
  <c r="F46" i="8"/>
  <c r="G46" i="8"/>
  <c r="H46" i="8"/>
  <c r="B47" i="8"/>
  <c r="C47" i="8"/>
  <c r="D47" i="8"/>
  <c r="E47" i="8"/>
  <c r="F47" i="8"/>
  <c r="G47" i="8"/>
  <c r="H47" i="8"/>
  <c r="B48" i="8"/>
  <c r="C48" i="8"/>
  <c r="D48" i="8"/>
  <c r="E48" i="8"/>
  <c r="F48" i="8"/>
  <c r="G48" i="8"/>
  <c r="H48" i="8"/>
  <c r="B49" i="8"/>
  <c r="C49" i="8"/>
  <c r="D49" i="8"/>
  <c r="E49" i="8"/>
  <c r="F49" i="8"/>
  <c r="G49" i="8"/>
  <c r="H49" i="8"/>
  <c r="B50" i="8"/>
  <c r="C50" i="8"/>
  <c r="D50" i="8"/>
  <c r="E50" i="8"/>
  <c r="F50" i="8"/>
  <c r="G50" i="8"/>
  <c r="H50" i="8"/>
  <c r="B51" i="8"/>
  <c r="C51" i="8"/>
  <c r="D51" i="8"/>
  <c r="E51" i="8"/>
  <c r="F51" i="8"/>
  <c r="G51" i="8"/>
  <c r="H51" i="8"/>
  <c r="B52" i="8"/>
  <c r="C52" i="8"/>
  <c r="D52" i="8"/>
  <c r="E52" i="8"/>
  <c r="F52" i="8"/>
  <c r="G52" i="8"/>
  <c r="H52" i="8"/>
  <c r="B53" i="8"/>
  <c r="C53" i="8"/>
  <c r="D53" i="8"/>
  <c r="E53" i="8"/>
  <c r="F53" i="8"/>
  <c r="G53" i="8"/>
  <c r="H53" i="8"/>
  <c r="B54" i="8"/>
  <c r="C54" i="8"/>
  <c r="D54" i="8"/>
  <c r="E54" i="8"/>
  <c r="F54" i="8"/>
  <c r="G54" i="8"/>
  <c r="H54" i="8"/>
  <c r="B55" i="8"/>
  <c r="C55" i="8"/>
  <c r="D55" i="8"/>
  <c r="E55" i="8"/>
  <c r="F55" i="8"/>
  <c r="G55" i="8"/>
  <c r="H55" i="8"/>
  <c r="B56" i="8"/>
  <c r="C56" i="8"/>
  <c r="D56" i="8"/>
  <c r="E56" i="8"/>
  <c r="F56" i="8"/>
  <c r="G56" i="8"/>
  <c r="H56" i="8"/>
  <c r="B57" i="8"/>
  <c r="C57" i="8"/>
  <c r="D57" i="8"/>
  <c r="E57" i="8"/>
  <c r="F57" i="8"/>
  <c r="G57" i="8"/>
  <c r="H57" i="8"/>
  <c r="B58" i="8"/>
  <c r="C58" i="8"/>
  <c r="D58" i="8"/>
  <c r="E58" i="8"/>
  <c r="F58" i="8"/>
  <c r="G58" i="8"/>
  <c r="H58" i="8"/>
  <c r="C44" i="8"/>
  <c r="D44" i="8"/>
  <c r="E44" i="8"/>
  <c r="F44" i="8"/>
  <c r="G44" i="8"/>
  <c r="H44" i="8"/>
  <c r="B44" i="8"/>
  <c r="B26" i="8"/>
  <c r="C26" i="8"/>
  <c r="D26" i="8"/>
  <c r="E26" i="8"/>
  <c r="F26" i="8"/>
  <c r="G26" i="8"/>
  <c r="H26" i="8"/>
  <c r="B27" i="8"/>
  <c r="C27" i="8"/>
  <c r="D27" i="8"/>
  <c r="E27" i="8"/>
  <c r="F27" i="8"/>
  <c r="G27" i="8"/>
  <c r="H27" i="8"/>
  <c r="B28" i="8"/>
  <c r="C28" i="8"/>
  <c r="D28" i="8"/>
  <c r="E28" i="8"/>
  <c r="F28" i="8"/>
  <c r="G28" i="8"/>
  <c r="H28" i="8"/>
  <c r="B29" i="8"/>
  <c r="C29" i="8"/>
  <c r="D29" i="8"/>
  <c r="E29" i="8"/>
  <c r="F29" i="8"/>
  <c r="G29" i="8"/>
  <c r="H29" i="8"/>
  <c r="B30" i="8"/>
  <c r="C30" i="8"/>
  <c r="D30" i="8"/>
  <c r="E30" i="8"/>
  <c r="F30" i="8"/>
  <c r="G30" i="8"/>
  <c r="H30" i="8"/>
  <c r="B31" i="8"/>
  <c r="C31" i="8"/>
  <c r="D31" i="8"/>
  <c r="E31" i="8"/>
  <c r="F31" i="8"/>
  <c r="G31" i="8"/>
  <c r="H31" i="8"/>
  <c r="B32" i="8"/>
  <c r="C32" i="8"/>
  <c r="D32" i="8"/>
  <c r="E32" i="8"/>
  <c r="F32" i="8"/>
  <c r="G32" i="8"/>
  <c r="H32" i="8"/>
  <c r="B33" i="8"/>
  <c r="C33" i="8"/>
  <c r="D33" i="8"/>
  <c r="E33" i="8"/>
  <c r="F33" i="8"/>
  <c r="G33" i="8"/>
  <c r="H33" i="8"/>
  <c r="B34" i="8"/>
  <c r="C34" i="8"/>
  <c r="D34" i="8"/>
  <c r="E34" i="8"/>
  <c r="F34" i="8"/>
  <c r="G34" i="8"/>
  <c r="H34" i="8"/>
  <c r="B35" i="8"/>
  <c r="C35" i="8"/>
  <c r="D35" i="8"/>
  <c r="E35" i="8"/>
  <c r="F35" i="8"/>
  <c r="G35" i="8"/>
  <c r="H35" i="8"/>
  <c r="B36" i="8"/>
  <c r="C36" i="8"/>
  <c r="D36" i="8"/>
  <c r="E36" i="8"/>
  <c r="F36" i="8"/>
  <c r="G36" i="8"/>
  <c r="H36" i="8"/>
  <c r="B37" i="8"/>
  <c r="C37" i="8"/>
  <c r="D37" i="8"/>
  <c r="E37" i="8"/>
  <c r="F37" i="8"/>
  <c r="G37" i="8"/>
  <c r="H37" i="8"/>
  <c r="B38" i="8"/>
  <c r="C38" i="8"/>
  <c r="D38" i="8"/>
  <c r="E38" i="8"/>
  <c r="F38" i="8"/>
  <c r="G38" i="8"/>
  <c r="H38" i="8"/>
  <c r="B39" i="8"/>
  <c r="C39" i="8"/>
  <c r="D39" i="8"/>
  <c r="E39" i="8"/>
  <c r="F39" i="8"/>
  <c r="G39" i="8"/>
  <c r="H39" i="8"/>
  <c r="C25" i="8"/>
  <c r="D25" i="8"/>
  <c r="E25" i="8"/>
  <c r="F25" i="8"/>
  <c r="G25" i="8"/>
  <c r="H25" i="8"/>
  <c r="B25" i="8"/>
  <c r="B7" i="8"/>
  <c r="C7" i="8"/>
  <c r="D7" i="8"/>
  <c r="E7" i="8"/>
  <c r="F7" i="8"/>
  <c r="G7" i="8"/>
  <c r="H7" i="8"/>
  <c r="B8" i="8"/>
  <c r="C8" i="8"/>
  <c r="D8" i="8"/>
  <c r="E8" i="8"/>
  <c r="F8" i="8"/>
  <c r="G8" i="8"/>
  <c r="H8" i="8"/>
  <c r="B9" i="8"/>
  <c r="C9" i="8"/>
  <c r="D9" i="8"/>
  <c r="E9" i="8"/>
  <c r="F9" i="8"/>
  <c r="G9" i="8"/>
  <c r="H9" i="8"/>
  <c r="B10" i="8"/>
  <c r="C10" i="8"/>
  <c r="D10" i="8"/>
  <c r="E10" i="8"/>
  <c r="F10" i="8"/>
  <c r="G10" i="8"/>
  <c r="H10" i="8"/>
  <c r="B11" i="8"/>
  <c r="C11" i="8"/>
  <c r="D11" i="8"/>
  <c r="E11" i="8"/>
  <c r="F11" i="8"/>
  <c r="G11" i="8"/>
  <c r="H11" i="8"/>
  <c r="B12" i="8"/>
  <c r="C12" i="8"/>
  <c r="D12" i="8"/>
  <c r="E12" i="8"/>
  <c r="F12" i="8"/>
  <c r="G12" i="8"/>
  <c r="H12" i="8"/>
  <c r="B13" i="8"/>
  <c r="C13" i="8"/>
  <c r="D13" i="8"/>
  <c r="E13" i="8"/>
  <c r="F13" i="8"/>
  <c r="G13" i="8"/>
  <c r="H13" i="8"/>
  <c r="B14" i="8"/>
  <c r="C14" i="8"/>
  <c r="D14" i="8"/>
  <c r="E14" i="8"/>
  <c r="F14" i="8"/>
  <c r="G14" i="8"/>
  <c r="H14" i="8"/>
  <c r="B15" i="8"/>
  <c r="C15" i="8"/>
  <c r="D15" i="8"/>
  <c r="E15" i="8"/>
  <c r="F15" i="8"/>
  <c r="G15" i="8"/>
  <c r="H15" i="8"/>
  <c r="B16" i="8"/>
  <c r="C16" i="8"/>
  <c r="D16" i="8"/>
  <c r="E16" i="8"/>
  <c r="F16" i="8"/>
  <c r="G16" i="8"/>
  <c r="H16" i="8"/>
  <c r="B17" i="8"/>
  <c r="C17" i="8"/>
  <c r="D17" i="8"/>
  <c r="E17" i="8"/>
  <c r="F17" i="8"/>
  <c r="G17" i="8"/>
  <c r="H17" i="8"/>
  <c r="B18" i="8"/>
  <c r="C18" i="8"/>
  <c r="D18" i="8"/>
  <c r="E18" i="8"/>
  <c r="F18" i="8"/>
  <c r="G18" i="8"/>
  <c r="H18" i="8"/>
  <c r="B19" i="8"/>
  <c r="C19" i="8"/>
  <c r="D19" i="8"/>
  <c r="E19" i="8"/>
  <c r="F19" i="8"/>
  <c r="G19" i="8"/>
  <c r="H19" i="8"/>
  <c r="B20" i="8"/>
  <c r="C20" i="8"/>
  <c r="D20" i="8"/>
  <c r="E20" i="8"/>
  <c r="F20" i="8"/>
  <c r="G20" i="8"/>
  <c r="H20" i="8"/>
  <c r="C6" i="8"/>
  <c r="D6" i="8"/>
  <c r="E6" i="8"/>
  <c r="F6" i="8"/>
  <c r="G6" i="8"/>
  <c r="H6" i="8"/>
  <c r="B6" i="8"/>
  <c r="AU140" i="19"/>
  <c r="AV140" i="19"/>
  <c r="AW140" i="19"/>
  <c r="AX140" i="19"/>
  <c r="AY140" i="19"/>
  <c r="AZ140" i="19"/>
  <c r="BA140" i="19"/>
  <c r="AU141" i="19"/>
  <c r="AV141" i="19"/>
  <c r="AW141" i="19"/>
  <c r="AX141" i="19"/>
  <c r="AY141" i="19"/>
  <c r="AZ141" i="19"/>
  <c r="BA141" i="19"/>
  <c r="AU142" i="19"/>
  <c r="AV142" i="19"/>
  <c r="AW142" i="19"/>
  <c r="AX142" i="19"/>
  <c r="AY142" i="19"/>
  <c r="AZ142" i="19"/>
  <c r="BA142" i="19"/>
  <c r="AU143" i="19"/>
  <c r="AV143" i="19"/>
  <c r="AW143" i="19"/>
  <c r="AX143" i="19"/>
  <c r="AY143" i="19"/>
  <c r="AZ143" i="19"/>
  <c r="BA143" i="19"/>
  <c r="AU144" i="19"/>
  <c r="AV144" i="19"/>
  <c r="AW144" i="19"/>
  <c r="AX144" i="19"/>
  <c r="AY144" i="19"/>
  <c r="AZ144" i="19"/>
  <c r="BA144" i="19"/>
  <c r="AU145" i="19"/>
  <c r="AV145" i="19"/>
  <c r="AW145" i="19"/>
  <c r="AX145" i="19"/>
  <c r="AY145" i="19"/>
  <c r="AZ145" i="19"/>
  <c r="BA145" i="19"/>
  <c r="AU146" i="19"/>
  <c r="AV146" i="19"/>
  <c r="AW146" i="19"/>
  <c r="AX146" i="19"/>
  <c r="AY146" i="19"/>
  <c r="AZ146" i="19"/>
  <c r="BA146" i="19"/>
  <c r="AU147" i="19"/>
  <c r="AV147" i="19"/>
  <c r="AW147" i="19"/>
  <c r="AX147" i="19"/>
  <c r="AY147" i="19"/>
  <c r="AZ147" i="19"/>
  <c r="BA147" i="19"/>
  <c r="AU148" i="19"/>
  <c r="AV148" i="19"/>
  <c r="AW148" i="19"/>
  <c r="AX148" i="19"/>
  <c r="AY148" i="19"/>
  <c r="AZ148" i="19"/>
  <c r="BA148" i="19"/>
  <c r="AU149" i="19"/>
  <c r="AV149" i="19"/>
  <c r="AW149" i="19"/>
  <c r="AX149" i="19"/>
  <c r="AY149" i="19"/>
  <c r="AZ149" i="19"/>
  <c r="BA149" i="19"/>
  <c r="AU150" i="19"/>
  <c r="AV150" i="19"/>
  <c r="AW150" i="19"/>
  <c r="AX150" i="19"/>
  <c r="AY150" i="19"/>
  <c r="AZ150" i="19"/>
  <c r="BA150" i="19"/>
  <c r="AU151" i="19"/>
  <c r="AV151" i="19"/>
  <c r="AW151" i="19"/>
  <c r="AX151" i="19"/>
  <c r="AY151" i="19"/>
  <c r="AZ151" i="19"/>
  <c r="BA151" i="19"/>
  <c r="AU152" i="19"/>
  <c r="AV152" i="19"/>
  <c r="AW152" i="19"/>
  <c r="AX152" i="19"/>
  <c r="AY152" i="19"/>
  <c r="AZ152" i="19"/>
  <c r="BA152" i="19"/>
  <c r="AU153" i="19"/>
  <c r="AV153" i="19"/>
  <c r="AW153" i="19"/>
  <c r="AX153" i="19"/>
  <c r="AY153" i="19"/>
  <c r="AZ153" i="19"/>
  <c r="BA153" i="19"/>
  <c r="AV139" i="19"/>
  <c r="AW139" i="19"/>
  <c r="AX139" i="19"/>
  <c r="AY139" i="19"/>
  <c r="AZ139" i="19"/>
  <c r="BA139" i="19"/>
  <c r="AU139" i="19"/>
  <c r="AU121" i="19"/>
  <c r="AV121" i="19"/>
  <c r="AW121" i="19"/>
  <c r="AX121" i="19"/>
  <c r="AY121" i="19"/>
  <c r="AZ121" i="19"/>
  <c r="BA121" i="19"/>
  <c r="AU122" i="19"/>
  <c r="AV122" i="19"/>
  <c r="AW122" i="19"/>
  <c r="AX122" i="19"/>
  <c r="AY122" i="19"/>
  <c r="AZ122" i="19"/>
  <c r="BA122" i="19"/>
  <c r="AU123" i="19"/>
  <c r="AV123" i="19"/>
  <c r="AW123" i="19"/>
  <c r="AX123" i="19"/>
  <c r="AY123" i="19"/>
  <c r="AZ123" i="19"/>
  <c r="BA123" i="19"/>
  <c r="AU124" i="19"/>
  <c r="AV124" i="19"/>
  <c r="AW124" i="19"/>
  <c r="AX124" i="19"/>
  <c r="AY124" i="19"/>
  <c r="AZ124" i="19"/>
  <c r="BA124" i="19"/>
  <c r="AU125" i="19"/>
  <c r="AV125" i="19"/>
  <c r="AW125" i="19"/>
  <c r="AX125" i="19"/>
  <c r="AY125" i="19"/>
  <c r="AZ125" i="19"/>
  <c r="BA125" i="19"/>
  <c r="AU126" i="19"/>
  <c r="AV126" i="19"/>
  <c r="AW126" i="19"/>
  <c r="AX126" i="19"/>
  <c r="AY126" i="19"/>
  <c r="AZ126" i="19"/>
  <c r="BA126" i="19"/>
  <c r="AU127" i="19"/>
  <c r="AV127" i="19"/>
  <c r="AW127" i="19"/>
  <c r="AX127" i="19"/>
  <c r="AY127" i="19"/>
  <c r="AZ127" i="19"/>
  <c r="BA127" i="19"/>
  <c r="AU128" i="19"/>
  <c r="AV128" i="19"/>
  <c r="AW128" i="19"/>
  <c r="AX128" i="19"/>
  <c r="AY128" i="19"/>
  <c r="AZ128" i="19"/>
  <c r="BA128" i="19"/>
  <c r="AU129" i="19"/>
  <c r="AV129" i="19"/>
  <c r="AW129" i="19"/>
  <c r="AX129" i="19"/>
  <c r="AY129" i="19"/>
  <c r="AZ129" i="19"/>
  <c r="BA129" i="19"/>
  <c r="AU130" i="19"/>
  <c r="AV130" i="19"/>
  <c r="AW130" i="19"/>
  <c r="AX130" i="19"/>
  <c r="AY130" i="19"/>
  <c r="AZ130" i="19"/>
  <c r="BA130" i="19"/>
  <c r="AU131" i="19"/>
  <c r="AV131" i="19"/>
  <c r="AW131" i="19"/>
  <c r="AX131" i="19"/>
  <c r="AY131" i="19"/>
  <c r="AZ131" i="19"/>
  <c r="BA131" i="19"/>
  <c r="AU132" i="19"/>
  <c r="AV132" i="19"/>
  <c r="AW132" i="19"/>
  <c r="AX132" i="19"/>
  <c r="AY132" i="19"/>
  <c r="AZ132" i="19"/>
  <c r="BA132" i="19"/>
  <c r="AU133" i="19"/>
  <c r="AV133" i="19"/>
  <c r="AW133" i="19"/>
  <c r="AX133" i="19"/>
  <c r="AY133" i="19"/>
  <c r="AZ133" i="19"/>
  <c r="BA133" i="19"/>
  <c r="AU134" i="19"/>
  <c r="AV134" i="19"/>
  <c r="AW134" i="19"/>
  <c r="AX134" i="19"/>
  <c r="AY134" i="19"/>
  <c r="AZ134" i="19"/>
  <c r="BA134" i="19"/>
  <c r="AV120" i="19"/>
  <c r="AW120" i="19"/>
  <c r="AX120" i="19"/>
  <c r="AY120" i="19"/>
  <c r="AZ120" i="19"/>
  <c r="BA120" i="19"/>
  <c r="AU120" i="19"/>
  <c r="AU102" i="19"/>
  <c r="AV102" i="19"/>
  <c r="AW102" i="19"/>
  <c r="AX102" i="19"/>
  <c r="AY102" i="19"/>
  <c r="AZ102" i="19"/>
  <c r="BA102" i="19"/>
  <c r="AU103" i="19"/>
  <c r="AV103" i="19"/>
  <c r="AW103" i="19"/>
  <c r="AX103" i="19"/>
  <c r="AY103" i="19"/>
  <c r="AZ103" i="19"/>
  <c r="BA103" i="19"/>
  <c r="AU104" i="19"/>
  <c r="AV104" i="19"/>
  <c r="AW104" i="19"/>
  <c r="AX104" i="19"/>
  <c r="AY104" i="19"/>
  <c r="AZ104" i="19"/>
  <c r="BA104" i="19"/>
  <c r="AU105" i="19"/>
  <c r="AV105" i="19"/>
  <c r="AW105" i="19"/>
  <c r="AX105" i="19"/>
  <c r="AY105" i="19"/>
  <c r="AZ105" i="19"/>
  <c r="BA105" i="19"/>
  <c r="AU106" i="19"/>
  <c r="AV106" i="19"/>
  <c r="AW106" i="19"/>
  <c r="AX106" i="19"/>
  <c r="AY106" i="19"/>
  <c r="AZ106" i="19"/>
  <c r="BA106" i="19"/>
  <c r="AU107" i="19"/>
  <c r="AV107" i="19"/>
  <c r="AW107" i="19"/>
  <c r="AX107" i="19"/>
  <c r="AY107" i="19"/>
  <c r="AZ107" i="19"/>
  <c r="BA107" i="19"/>
  <c r="AU108" i="19"/>
  <c r="AV108" i="19"/>
  <c r="AW108" i="19"/>
  <c r="AX108" i="19"/>
  <c r="AY108" i="19"/>
  <c r="AZ108" i="19"/>
  <c r="BA108" i="19"/>
  <c r="AU109" i="19"/>
  <c r="AV109" i="19"/>
  <c r="AW109" i="19"/>
  <c r="AX109" i="19"/>
  <c r="AY109" i="19"/>
  <c r="AZ109" i="19"/>
  <c r="BA109" i="19"/>
  <c r="AU110" i="19"/>
  <c r="AV110" i="19"/>
  <c r="AW110" i="19"/>
  <c r="AX110" i="19"/>
  <c r="AY110" i="19"/>
  <c r="AZ110" i="19"/>
  <c r="BA110" i="19"/>
  <c r="AU111" i="19"/>
  <c r="AV111" i="19"/>
  <c r="AW111" i="19"/>
  <c r="AX111" i="19"/>
  <c r="AY111" i="19"/>
  <c r="AZ111" i="19"/>
  <c r="BA111" i="19"/>
  <c r="AU112" i="19"/>
  <c r="AV112" i="19"/>
  <c r="AW112" i="19"/>
  <c r="AX112" i="19"/>
  <c r="AY112" i="19"/>
  <c r="AZ112" i="19"/>
  <c r="BA112" i="19"/>
  <c r="AU113" i="19"/>
  <c r="AV113" i="19"/>
  <c r="AW113" i="19"/>
  <c r="AX113" i="19"/>
  <c r="AY113" i="19"/>
  <c r="AZ113" i="19"/>
  <c r="BA113" i="19"/>
  <c r="AU114" i="19"/>
  <c r="AV114" i="19"/>
  <c r="AW114" i="19"/>
  <c r="AX114" i="19"/>
  <c r="AY114" i="19"/>
  <c r="AZ114" i="19"/>
  <c r="BA114" i="19"/>
  <c r="AU115" i="19"/>
  <c r="AV115" i="19"/>
  <c r="AW115" i="19"/>
  <c r="AX115" i="19"/>
  <c r="AY115" i="19"/>
  <c r="AZ115" i="19"/>
  <c r="BA115" i="19"/>
  <c r="AV101" i="19"/>
  <c r="AW101" i="19"/>
  <c r="AX101" i="19"/>
  <c r="AY101" i="19"/>
  <c r="AZ101" i="19"/>
  <c r="BA101" i="19"/>
  <c r="AU101" i="19"/>
  <c r="AU83" i="19"/>
  <c r="AV83" i="19"/>
  <c r="AW83" i="19"/>
  <c r="AX83" i="19"/>
  <c r="AY83" i="19"/>
  <c r="AZ83" i="19"/>
  <c r="BA83" i="19"/>
  <c r="AU84" i="19"/>
  <c r="AV84" i="19"/>
  <c r="AW84" i="19"/>
  <c r="AX84" i="19"/>
  <c r="AY84" i="19"/>
  <c r="AZ84" i="19"/>
  <c r="BA84" i="19"/>
  <c r="AU85" i="19"/>
  <c r="AV85" i="19"/>
  <c r="AW85" i="19"/>
  <c r="AX85" i="19"/>
  <c r="AY85" i="19"/>
  <c r="AZ85" i="19"/>
  <c r="BA85" i="19"/>
  <c r="AU86" i="19"/>
  <c r="AV86" i="19"/>
  <c r="AW86" i="19"/>
  <c r="AX86" i="19"/>
  <c r="AY86" i="19"/>
  <c r="AZ86" i="19"/>
  <c r="BA86" i="19"/>
  <c r="AU87" i="19"/>
  <c r="AV87" i="19"/>
  <c r="AW87" i="19"/>
  <c r="AX87" i="19"/>
  <c r="AY87" i="19"/>
  <c r="AZ87" i="19"/>
  <c r="BA87" i="19"/>
  <c r="AU88" i="19"/>
  <c r="AV88" i="19"/>
  <c r="AW88" i="19"/>
  <c r="AX88" i="19"/>
  <c r="AY88" i="19"/>
  <c r="AZ88" i="19"/>
  <c r="BA88" i="19"/>
  <c r="AU89" i="19"/>
  <c r="AV89" i="19"/>
  <c r="AW89" i="19"/>
  <c r="AX89" i="19"/>
  <c r="AY89" i="19"/>
  <c r="AZ89" i="19"/>
  <c r="BA89" i="19"/>
  <c r="AU90" i="19"/>
  <c r="AV90" i="19"/>
  <c r="AW90" i="19"/>
  <c r="AX90" i="19"/>
  <c r="AY90" i="19"/>
  <c r="AZ90" i="19"/>
  <c r="BA90" i="19"/>
  <c r="AU91" i="19"/>
  <c r="AV91" i="19"/>
  <c r="AW91" i="19"/>
  <c r="AX91" i="19"/>
  <c r="AY91" i="19"/>
  <c r="AZ91" i="19"/>
  <c r="BA91" i="19"/>
  <c r="AU92" i="19"/>
  <c r="AV92" i="19"/>
  <c r="AW92" i="19"/>
  <c r="AX92" i="19"/>
  <c r="AY92" i="19"/>
  <c r="AZ92" i="19"/>
  <c r="BA92" i="19"/>
  <c r="AU93" i="19"/>
  <c r="AV93" i="19"/>
  <c r="AW93" i="19"/>
  <c r="AX93" i="19"/>
  <c r="AY93" i="19"/>
  <c r="AZ93" i="19"/>
  <c r="BA93" i="19"/>
  <c r="AU94" i="19"/>
  <c r="AV94" i="19"/>
  <c r="AW94" i="19"/>
  <c r="AX94" i="19"/>
  <c r="AY94" i="19"/>
  <c r="AZ94" i="19"/>
  <c r="BA94" i="19"/>
  <c r="AU95" i="19"/>
  <c r="AV95" i="19"/>
  <c r="AW95" i="19"/>
  <c r="AX95" i="19"/>
  <c r="AY95" i="19"/>
  <c r="AZ95" i="19"/>
  <c r="BA95" i="19"/>
  <c r="AU96" i="19"/>
  <c r="AV96" i="19"/>
  <c r="AW96" i="19"/>
  <c r="AX96" i="19"/>
  <c r="AY96" i="19"/>
  <c r="AZ96" i="19"/>
  <c r="BA96" i="19"/>
  <c r="AV82" i="19"/>
  <c r="AW82" i="19"/>
  <c r="AX82" i="19"/>
  <c r="AY82" i="19"/>
  <c r="AZ82" i="19"/>
  <c r="BA82" i="19"/>
  <c r="AU82" i="19"/>
  <c r="AU64" i="19"/>
  <c r="AV64" i="19"/>
  <c r="AW64" i="19"/>
  <c r="AX64" i="19"/>
  <c r="AY64" i="19"/>
  <c r="AZ64" i="19"/>
  <c r="BA64" i="19"/>
  <c r="AU65" i="19"/>
  <c r="AV65" i="19"/>
  <c r="AW65" i="19"/>
  <c r="AX65" i="19"/>
  <c r="AY65" i="19"/>
  <c r="AZ65" i="19"/>
  <c r="BA65" i="19"/>
  <c r="AU66" i="19"/>
  <c r="AV66" i="19"/>
  <c r="AW66" i="19"/>
  <c r="AX66" i="19"/>
  <c r="AY66" i="19"/>
  <c r="AZ66" i="19"/>
  <c r="BA66" i="19"/>
  <c r="AU67" i="19"/>
  <c r="AV67" i="19"/>
  <c r="AW67" i="19"/>
  <c r="AX67" i="19"/>
  <c r="AY67" i="19"/>
  <c r="AZ67" i="19"/>
  <c r="BA67" i="19"/>
  <c r="AU68" i="19"/>
  <c r="AV68" i="19"/>
  <c r="AW68" i="19"/>
  <c r="AX68" i="19"/>
  <c r="AY68" i="19"/>
  <c r="AZ68" i="19"/>
  <c r="BA68" i="19"/>
  <c r="AU69" i="19"/>
  <c r="AV69" i="19"/>
  <c r="AW69" i="19"/>
  <c r="AX69" i="19"/>
  <c r="AY69" i="19"/>
  <c r="AZ69" i="19"/>
  <c r="BA69" i="19"/>
  <c r="AU70" i="19"/>
  <c r="AV70" i="19"/>
  <c r="AW70" i="19"/>
  <c r="AX70" i="19"/>
  <c r="AY70" i="19"/>
  <c r="AZ70" i="19"/>
  <c r="BA70" i="19"/>
  <c r="AU71" i="19"/>
  <c r="AV71" i="19"/>
  <c r="AW71" i="19"/>
  <c r="AX71" i="19"/>
  <c r="AY71" i="19"/>
  <c r="AZ71" i="19"/>
  <c r="BA71" i="19"/>
  <c r="AU72" i="19"/>
  <c r="AV72" i="19"/>
  <c r="AW72" i="19"/>
  <c r="AX72" i="19"/>
  <c r="AY72" i="19"/>
  <c r="AZ72" i="19"/>
  <c r="BA72" i="19"/>
  <c r="AU73" i="19"/>
  <c r="AV73" i="19"/>
  <c r="AW73" i="19"/>
  <c r="AX73" i="19"/>
  <c r="AY73" i="19"/>
  <c r="AZ73" i="19"/>
  <c r="BA73" i="19"/>
  <c r="AU74" i="19"/>
  <c r="AV74" i="19"/>
  <c r="AW74" i="19"/>
  <c r="AX74" i="19"/>
  <c r="AY74" i="19"/>
  <c r="AZ74" i="19"/>
  <c r="BA74" i="19"/>
  <c r="AU75" i="19"/>
  <c r="AV75" i="19"/>
  <c r="AW75" i="19"/>
  <c r="AX75" i="19"/>
  <c r="AY75" i="19"/>
  <c r="AZ75" i="19"/>
  <c r="BA75" i="19"/>
  <c r="AU76" i="19"/>
  <c r="AV76" i="19"/>
  <c r="AW76" i="19"/>
  <c r="AX76" i="19"/>
  <c r="AY76" i="19"/>
  <c r="AZ76" i="19"/>
  <c r="BA76" i="19"/>
  <c r="AU77" i="19"/>
  <c r="AV77" i="19"/>
  <c r="AW77" i="19"/>
  <c r="AX77" i="19"/>
  <c r="AY77" i="19"/>
  <c r="AZ77" i="19"/>
  <c r="BA77" i="19"/>
  <c r="AV63" i="19"/>
  <c r="AW63" i="19"/>
  <c r="AX63" i="19"/>
  <c r="AY63" i="19"/>
  <c r="AZ63" i="19"/>
  <c r="BA63" i="19"/>
  <c r="AU63" i="19"/>
  <c r="AU45" i="19"/>
  <c r="AV45" i="19"/>
  <c r="AW45" i="19"/>
  <c r="AX45" i="19"/>
  <c r="AY45" i="19"/>
  <c r="AZ45" i="19"/>
  <c r="BA45" i="19"/>
  <c r="AU46" i="19"/>
  <c r="AV46" i="19"/>
  <c r="AW46" i="19"/>
  <c r="AX46" i="19"/>
  <c r="AY46" i="19"/>
  <c r="AZ46" i="19"/>
  <c r="BA46" i="19"/>
  <c r="AU47" i="19"/>
  <c r="AV47" i="19"/>
  <c r="AW47" i="19"/>
  <c r="AX47" i="19"/>
  <c r="AY47" i="19"/>
  <c r="AZ47" i="19"/>
  <c r="BA47" i="19"/>
  <c r="AU48" i="19"/>
  <c r="AV48" i="19"/>
  <c r="AW48" i="19"/>
  <c r="AX48" i="19"/>
  <c r="AY48" i="19"/>
  <c r="AZ48" i="19"/>
  <c r="BA48" i="19"/>
  <c r="AU49" i="19"/>
  <c r="AV49" i="19"/>
  <c r="AW49" i="19"/>
  <c r="AX49" i="19"/>
  <c r="AY49" i="19"/>
  <c r="AZ49" i="19"/>
  <c r="BA49" i="19"/>
  <c r="AU50" i="19"/>
  <c r="AV50" i="19"/>
  <c r="AW50" i="19"/>
  <c r="AX50" i="19"/>
  <c r="AY50" i="19"/>
  <c r="AZ50" i="19"/>
  <c r="BA50" i="19"/>
  <c r="AU51" i="19"/>
  <c r="AV51" i="19"/>
  <c r="AW51" i="19"/>
  <c r="AX51" i="19"/>
  <c r="AY51" i="19"/>
  <c r="AZ51" i="19"/>
  <c r="BA51" i="19"/>
  <c r="AU52" i="19"/>
  <c r="AV52" i="19"/>
  <c r="AW52" i="19"/>
  <c r="AX52" i="19"/>
  <c r="AY52" i="19"/>
  <c r="AZ52" i="19"/>
  <c r="BA52" i="19"/>
  <c r="AU53" i="19"/>
  <c r="AV53" i="19"/>
  <c r="AW53" i="19"/>
  <c r="AX53" i="19"/>
  <c r="AY53" i="19"/>
  <c r="AZ53" i="19"/>
  <c r="BA53" i="19"/>
  <c r="AU54" i="19"/>
  <c r="AV54" i="19"/>
  <c r="AW54" i="19"/>
  <c r="AX54" i="19"/>
  <c r="AY54" i="19"/>
  <c r="AZ54" i="19"/>
  <c r="BA54" i="19"/>
  <c r="AU55" i="19"/>
  <c r="AV55" i="19"/>
  <c r="AW55" i="19"/>
  <c r="AX55" i="19"/>
  <c r="AY55" i="19"/>
  <c r="AZ55" i="19"/>
  <c r="BA55" i="19"/>
  <c r="AU56" i="19"/>
  <c r="AV56" i="19"/>
  <c r="AW56" i="19"/>
  <c r="AX56" i="19"/>
  <c r="AY56" i="19"/>
  <c r="AZ56" i="19"/>
  <c r="BA56" i="19"/>
  <c r="AU57" i="19"/>
  <c r="AV57" i="19"/>
  <c r="AW57" i="19"/>
  <c r="AX57" i="19"/>
  <c r="AY57" i="19"/>
  <c r="AZ57" i="19"/>
  <c r="BA57" i="19"/>
  <c r="AU58" i="19"/>
  <c r="AV58" i="19"/>
  <c r="AW58" i="19"/>
  <c r="AX58" i="19"/>
  <c r="AY58" i="19"/>
  <c r="AZ58" i="19"/>
  <c r="BA58" i="19"/>
  <c r="AV44" i="19"/>
  <c r="AW44" i="19"/>
  <c r="AX44" i="19"/>
  <c r="AY44" i="19"/>
  <c r="AZ44" i="19"/>
  <c r="BA44" i="19"/>
  <c r="AU44" i="19"/>
  <c r="AU26" i="19"/>
  <c r="AV26" i="19"/>
  <c r="AW26" i="19"/>
  <c r="AX26" i="19"/>
  <c r="AY26" i="19"/>
  <c r="AZ26" i="19"/>
  <c r="BA26" i="19"/>
  <c r="AU27" i="19"/>
  <c r="AV27" i="19"/>
  <c r="AW27" i="19"/>
  <c r="AX27" i="19"/>
  <c r="AY27" i="19"/>
  <c r="AZ27" i="19"/>
  <c r="BA27" i="19"/>
  <c r="AU28" i="19"/>
  <c r="AV28" i="19"/>
  <c r="AW28" i="19"/>
  <c r="AX28" i="19"/>
  <c r="AY28" i="19"/>
  <c r="AZ28" i="19"/>
  <c r="BA28" i="19"/>
  <c r="AU29" i="19"/>
  <c r="AV29" i="19"/>
  <c r="AW29" i="19"/>
  <c r="AX29" i="19"/>
  <c r="AY29" i="19"/>
  <c r="AZ29" i="19"/>
  <c r="BA29" i="19"/>
  <c r="AU30" i="19"/>
  <c r="AV30" i="19"/>
  <c r="AW30" i="19"/>
  <c r="AX30" i="19"/>
  <c r="AY30" i="19"/>
  <c r="AZ30" i="19"/>
  <c r="BA30" i="19"/>
  <c r="AU31" i="19"/>
  <c r="AV31" i="19"/>
  <c r="AW31" i="19"/>
  <c r="AX31" i="19"/>
  <c r="AY31" i="19"/>
  <c r="AZ31" i="19"/>
  <c r="BA31" i="19"/>
  <c r="AU32" i="19"/>
  <c r="AV32" i="19"/>
  <c r="AW32" i="19"/>
  <c r="AX32" i="19"/>
  <c r="AY32" i="19"/>
  <c r="AZ32" i="19"/>
  <c r="BA32" i="19"/>
  <c r="AU33" i="19"/>
  <c r="AV33" i="19"/>
  <c r="AW33" i="19"/>
  <c r="AX33" i="19"/>
  <c r="AY33" i="19"/>
  <c r="AZ33" i="19"/>
  <c r="BA33" i="19"/>
  <c r="AU34" i="19"/>
  <c r="AV34" i="19"/>
  <c r="AW34" i="19"/>
  <c r="AX34" i="19"/>
  <c r="AY34" i="19"/>
  <c r="AZ34" i="19"/>
  <c r="BA34" i="19"/>
  <c r="AU35" i="19"/>
  <c r="AV35" i="19"/>
  <c r="AW35" i="19"/>
  <c r="AX35" i="19"/>
  <c r="AY35" i="19"/>
  <c r="AZ35" i="19"/>
  <c r="BA35" i="19"/>
  <c r="AU36" i="19"/>
  <c r="AV36" i="19"/>
  <c r="AW36" i="19"/>
  <c r="AX36" i="19"/>
  <c r="AY36" i="19"/>
  <c r="AZ36" i="19"/>
  <c r="BA36" i="19"/>
  <c r="AU37" i="19"/>
  <c r="AV37" i="19"/>
  <c r="AW37" i="19"/>
  <c r="AX37" i="19"/>
  <c r="AY37" i="19"/>
  <c r="AZ37" i="19"/>
  <c r="BA37" i="19"/>
  <c r="AU38" i="19"/>
  <c r="AV38" i="19"/>
  <c r="AW38" i="19"/>
  <c r="AX38" i="19"/>
  <c r="AY38" i="19"/>
  <c r="AZ38" i="19"/>
  <c r="BA38" i="19"/>
  <c r="AU39" i="19"/>
  <c r="AV39" i="19"/>
  <c r="AW39" i="19"/>
  <c r="AX39" i="19"/>
  <c r="AY39" i="19"/>
  <c r="AZ39" i="19"/>
  <c r="BA39" i="19"/>
  <c r="AV25" i="19"/>
  <c r="AW25" i="19"/>
  <c r="AX25" i="19"/>
  <c r="AY25" i="19"/>
  <c r="AZ25" i="19"/>
  <c r="BA25" i="19"/>
  <c r="AU25" i="19"/>
  <c r="AU7" i="19"/>
  <c r="AV7" i="19"/>
  <c r="AW7" i="19"/>
  <c r="AX7" i="19"/>
  <c r="AY7" i="19"/>
  <c r="AZ7" i="19"/>
  <c r="BA7" i="19"/>
  <c r="AU8" i="19"/>
  <c r="AV8" i="19"/>
  <c r="AW8" i="19"/>
  <c r="AX8" i="19"/>
  <c r="AY8" i="19"/>
  <c r="AZ8" i="19"/>
  <c r="BA8" i="19"/>
  <c r="AU9" i="19"/>
  <c r="AV9" i="19"/>
  <c r="AW9" i="19"/>
  <c r="AX9" i="19"/>
  <c r="AY9" i="19"/>
  <c r="AZ9" i="19"/>
  <c r="BA9" i="19"/>
  <c r="AU10" i="19"/>
  <c r="AV10" i="19"/>
  <c r="AW10" i="19"/>
  <c r="AX10" i="19"/>
  <c r="AY10" i="19"/>
  <c r="AZ10" i="19"/>
  <c r="BA10" i="19"/>
  <c r="AU11" i="19"/>
  <c r="AV11" i="19"/>
  <c r="AW11" i="19"/>
  <c r="AX11" i="19"/>
  <c r="AY11" i="19"/>
  <c r="AZ11" i="19"/>
  <c r="BA11" i="19"/>
  <c r="AU12" i="19"/>
  <c r="AV12" i="19"/>
  <c r="AW12" i="19"/>
  <c r="AX12" i="19"/>
  <c r="AY12" i="19"/>
  <c r="AZ12" i="19"/>
  <c r="BA12" i="19"/>
  <c r="AU13" i="19"/>
  <c r="AV13" i="19"/>
  <c r="AW13" i="19"/>
  <c r="AX13" i="19"/>
  <c r="AY13" i="19"/>
  <c r="AZ13" i="19"/>
  <c r="BA13" i="19"/>
  <c r="AU14" i="19"/>
  <c r="AV14" i="19"/>
  <c r="AW14" i="19"/>
  <c r="AX14" i="19"/>
  <c r="AY14" i="19"/>
  <c r="AZ14" i="19"/>
  <c r="BA14" i="19"/>
  <c r="AU15" i="19"/>
  <c r="AV15" i="19"/>
  <c r="AW15" i="19"/>
  <c r="AX15" i="19"/>
  <c r="AY15" i="19"/>
  <c r="AZ15" i="19"/>
  <c r="BA15" i="19"/>
  <c r="AU16" i="19"/>
  <c r="AV16" i="19"/>
  <c r="AW16" i="19"/>
  <c r="AX16" i="19"/>
  <c r="AY16" i="19"/>
  <c r="AZ16" i="19"/>
  <c r="BA16" i="19"/>
  <c r="AU17" i="19"/>
  <c r="AV17" i="19"/>
  <c r="AW17" i="19"/>
  <c r="AX17" i="19"/>
  <c r="AY17" i="19"/>
  <c r="AZ17" i="19"/>
  <c r="BA17" i="19"/>
  <c r="AU18" i="19"/>
  <c r="AV18" i="19"/>
  <c r="AW18" i="19"/>
  <c r="AX18" i="19"/>
  <c r="AY18" i="19"/>
  <c r="AZ18" i="19"/>
  <c r="BA18" i="19"/>
  <c r="AU19" i="19"/>
  <c r="AV19" i="19"/>
  <c r="AW19" i="19"/>
  <c r="AX19" i="19"/>
  <c r="AY19" i="19"/>
  <c r="AZ19" i="19"/>
  <c r="BA19" i="19"/>
  <c r="AU20" i="19"/>
  <c r="AV20" i="19"/>
  <c r="AW20" i="19"/>
  <c r="AX20" i="19"/>
  <c r="AY20" i="19"/>
  <c r="AZ20" i="19"/>
  <c r="BA20" i="19"/>
  <c r="AV6" i="19"/>
  <c r="AW6" i="19"/>
  <c r="AX6" i="19"/>
  <c r="AY6" i="19"/>
  <c r="AZ6" i="19"/>
  <c r="BA6" i="19"/>
  <c r="AU6" i="19"/>
  <c r="AL140" i="19"/>
  <c r="AM140" i="19"/>
  <c r="AN140" i="19"/>
  <c r="AO140" i="19"/>
  <c r="AP140" i="19"/>
  <c r="AQ140" i="19"/>
  <c r="AR140" i="19"/>
  <c r="AL141" i="19"/>
  <c r="AM141" i="19"/>
  <c r="AN141" i="19"/>
  <c r="AO141" i="19"/>
  <c r="AP141" i="19"/>
  <c r="AQ141" i="19"/>
  <c r="AR141" i="19"/>
  <c r="AL142" i="19"/>
  <c r="AM142" i="19"/>
  <c r="AN142" i="19"/>
  <c r="AO142" i="19"/>
  <c r="AP142" i="19"/>
  <c r="AQ142" i="19"/>
  <c r="AR142" i="19"/>
  <c r="AL143" i="19"/>
  <c r="AM143" i="19"/>
  <c r="AN143" i="19"/>
  <c r="AO143" i="19"/>
  <c r="AP143" i="19"/>
  <c r="AQ143" i="19"/>
  <c r="AR143" i="19"/>
  <c r="AL144" i="19"/>
  <c r="AM144" i="19"/>
  <c r="AN144" i="19"/>
  <c r="AO144" i="19"/>
  <c r="AP144" i="19"/>
  <c r="AQ144" i="19"/>
  <c r="AR144" i="19"/>
  <c r="AL145" i="19"/>
  <c r="AM145" i="19"/>
  <c r="AN145" i="19"/>
  <c r="AO145" i="19"/>
  <c r="AP145" i="19"/>
  <c r="AQ145" i="19"/>
  <c r="AR145" i="19"/>
  <c r="AL146" i="19"/>
  <c r="AM146" i="19"/>
  <c r="AN146" i="19"/>
  <c r="AO146" i="19"/>
  <c r="AP146" i="19"/>
  <c r="AQ146" i="19"/>
  <c r="AR146" i="19"/>
  <c r="AL147" i="19"/>
  <c r="AM147" i="19"/>
  <c r="AN147" i="19"/>
  <c r="AO147" i="19"/>
  <c r="AP147" i="19"/>
  <c r="AQ147" i="19"/>
  <c r="AR147" i="19"/>
  <c r="AL148" i="19"/>
  <c r="AM148" i="19"/>
  <c r="AN148" i="19"/>
  <c r="AO148" i="19"/>
  <c r="AP148" i="19"/>
  <c r="AQ148" i="19"/>
  <c r="AR148" i="19"/>
  <c r="AL149" i="19"/>
  <c r="AM149" i="19"/>
  <c r="AN149" i="19"/>
  <c r="AO149" i="19"/>
  <c r="AP149" i="19"/>
  <c r="AQ149" i="19"/>
  <c r="AR149" i="19"/>
  <c r="AL150" i="19"/>
  <c r="AM150" i="19"/>
  <c r="AN150" i="19"/>
  <c r="AO150" i="19"/>
  <c r="AP150" i="19"/>
  <c r="AQ150" i="19"/>
  <c r="AR150" i="19"/>
  <c r="AL151" i="19"/>
  <c r="AM151" i="19"/>
  <c r="AN151" i="19"/>
  <c r="AO151" i="19"/>
  <c r="AP151" i="19"/>
  <c r="AQ151" i="19"/>
  <c r="AR151" i="19"/>
  <c r="AL152" i="19"/>
  <c r="AM152" i="19"/>
  <c r="AN152" i="19"/>
  <c r="AO152" i="19"/>
  <c r="AP152" i="19"/>
  <c r="AQ152" i="19"/>
  <c r="AR152" i="19"/>
  <c r="AL153" i="19"/>
  <c r="AM153" i="19"/>
  <c r="AN153" i="19"/>
  <c r="AO153" i="19"/>
  <c r="AP153" i="19"/>
  <c r="AQ153" i="19"/>
  <c r="AR153" i="19"/>
  <c r="AM139" i="19"/>
  <c r="AN139" i="19"/>
  <c r="AO139" i="19"/>
  <c r="AP139" i="19"/>
  <c r="AQ139" i="19"/>
  <c r="AR139" i="19"/>
  <c r="AL139" i="19"/>
  <c r="AL121" i="19"/>
  <c r="AM121" i="19"/>
  <c r="AN121" i="19"/>
  <c r="AO121" i="19"/>
  <c r="AP121" i="19"/>
  <c r="AQ121" i="19"/>
  <c r="AR121" i="19"/>
  <c r="AL122" i="19"/>
  <c r="AM122" i="19"/>
  <c r="AN122" i="19"/>
  <c r="AO122" i="19"/>
  <c r="AP122" i="19"/>
  <c r="AQ122" i="19"/>
  <c r="AR122" i="19"/>
  <c r="AL123" i="19"/>
  <c r="AM123" i="19"/>
  <c r="AN123" i="19"/>
  <c r="AO123" i="19"/>
  <c r="AP123" i="19"/>
  <c r="AQ123" i="19"/>
  <c r="AR123" i="19"/>
  <c r="AL124" i="19"/>
  <c r="AM124" i="19"/>
  <c r="AN124" i="19"/>
  <c r="AO124" i="19"/>
  <c r="AP124" i="19"/>
  <c r="AQ124" i="19"/>
  <c r="AR124" i="19"/>
  <c r="AL125" i="19"/>
  <c r="AM125" i="19"/>
  <c r="AN125" i="19"/>
  <c r="AO125" i="19"/>
  <c r="AP125" i="19"/>
  <c r="AQ125" i="19"/>
  <c r="AR125" i="19"/>
  <c r="AL126" i="19"/>
  <c r="AM126" i="19"/>
  <c r="AN126" i="19"/>
  <c r="AO126" i="19"/>
  <c r="AP126" i="19"/>
  <c r="AQ126" i="19"/>
  <c r="AR126" i="19"/>
  <c r="AL127" i="19"/>
  <c r="AM127" i="19"/>
  <c r="AN127" i="19"/>
  <c r="AO127" i="19"/>
  <c r="AP127" i="19"/>
  <c r="AQ127" i="19"/>
  <c r="AR127" i="19"/>
  <c r="AL128" i="19"/>
  <c r="AM128" i="19"/>
  <c r="AN128" i="19"/>
  <c r="AO128" i="19"/>
  <c r="AP128" i="19"/>
  <c r="AQ128" i="19"/>
  <c r="AR128" i="19"/>
  <c r="AL129" i="19"/>
  <c r="AM129" i="19"/>
  <c r="AN129" i="19"/>
  <c r="AO129" i="19"/>
  <c r="AP129" i="19"/>
  <c r="AQ129" i="19"/>
  <c r="AR129" i="19"/>
  <c r="AL130" i="19"/>
  <c r="AM130" i="19"/>
  <c r="AN130" i="19"/>
  <c r="AO130" i="19"/>
  <c r="AP130" i="19"/>
  <c r="AQ130" i="19"/>
  <c r="AR130" i="19"/>
  <c r="AL131" i="19"/>
  <c r="AM131" i="19"/>
  <c r="AN131" i="19"/>
  <c r="AO131" i="19"/>
  <c r="AP131" i="19"/>
  <c r="AQ131" i="19"/>
  <c r="AR131" i="19"/>
  <c r="AL132" i="19"/>
  <c r="AM132" i="19"/>
  <c r="AN132" i="19"/>
  <c r="AO132" i="19"/>
  <c r="AP132" i="19"/>
  <c r="AQ132" i="19"/>
  <c r="AR132" i="19"/>
  <c r="AL133" i="19"/>
  <c r="AM133" i="19"/>
  <c r="AN133" i="19"/>
  <c r="AO133" i="19"/>
  <c r="AP133" i="19"/>
  <c r="AQ133" i="19"/>
  <c r="AR133" i="19"/>
  <c r="AL134" i="19"/>
  <c r="AM134" i="19"/>
  <c r="AN134" i="19"/>
  <c r="AO134" i="19"/>
  <c r="AP134" i="19"/>
  <c r="AQ134" i="19"/>
  <c r="AR134" i="19"/>
  <c r="AM120" i="19"/>
  <c r="AN120" i="19"/>
  <c r="AO120" i="19"/>
  <c r="AP120" i="19"/>
  <c r="AQ120" i="19"/>
  <c r="AR120" i="19"/>
  <c r="AL120" i="19"/>
  <c r="AL102" i="19"/>
  <c r="AM102" i="19"/>
  <c r="AN102" i="19"/>
  <c r="AO102" i="19"/>
  <c r="AP102" i="19"/>
  <c r="AQ102" i="19"/>
  <c r="AR102" i="19"/>
  <c r="AL103" i="19"/>
  <c r="AM103" i="19"/>
  <c r="AN103" i="19"/>
  <c r="AO103" i="19"/>
  <c r="AP103" i="19"/>
  <c r="AQ103" i="19"/>
  <c r="AR103" i="19"/>
  <c r="AL104" i="19"/>
  <c r="AM104" i="19"/>
  <c r="AN104" i="19"/>
  <c r="AO104" i="19"/>
  <c r="AP104" i="19"/>
  <c r="AQ104" i="19"/>
  <c r="AR104" i="19"/>
  <c r="AL105" i="19"/>
  <c r="AM105" i="19"/>
  <c r="AN105" i="19"/>
  <c r="AO105" i="19"/>
  <c r="AP105" i="19"/>
  <c r="AQ105" i="19"/>
  <c r="AR105" i="19"/>
  <c r="AL106" i="19"/>
  <c r="AM106" i="19"/>
  <c r="AN106" i="19"/>
  <c r="AO106" i="19"/>
  <c r="AP106" i="19"/>
  <c r="AQ106" i="19"/>
  <c r="AR106" i="19"/>
  <c r="AL107" i="19"/>
  <c r="AM107" i="19"/>
  <c r="AN107" i="19"/>
  <c r="AO107" i="19"/>
  <c r="AP107" i="19"/>
  <c r="AQ107" i="19"/>
  <c r="AR107" i="19"/>
  <c r="AL108" i="19"/>
  <c r="AM108" i="19"/>
  <c r="AN108" i="19"/>
  <c r="AO108" i="19"/>
  <c r="AP108" i="19"/>
  <c r="AQ108" i="19"/>
  <c r="AR108" i="19"/>
  <c r="AL109" i="19"/>
  <c r="AM109" i="19"/>
  <c r="AN109" i="19"/>
  <c r="AO109" i="19"/>
  <c r="AP109" i="19"/>
  <c r="AQ109" i="19"/>
  <c r="AR109" i="19"/>
  <c r="AL110" i="19"/>
  <c r="AM110" i="19"/>
  <c r="AN110" i="19"/>
  <c r="AO110" i="19"/>
  <c r="AP110" i="19"/>
  <c r="AQ110" i="19"/>
  <c r="AR110" i="19"/>
  <c r="AL111" i="19"/>
  <c r="AM111" i="19"/>
  <c r="AN111" i="19"/>
  <c r="AO111" i="19"/>
  <c r="AP111" i="19"/>
  <c r="AQ111" i="19"/>
  <c r="AR111" i="19"/>
  <c r="AL112" i="19"/>
  <c r="AM112" i="19"/>
  <c r="AN112" i="19"/>
  <c r="AO112" i="19"/>
  <c r="AP112" i="19"/>
  <c r="AQ112" i="19"/>
  <c r="AR112" i="19"/>
  <c r="AL113" i="19"/>
  <c r="AM113" i="19"/>
  <c r="AN113" i="19"/>
  <c r="AO113" i="19"/>
  <c r="AP113" i="19"/>
  <c r="AQ113" i="19"/>
  <c r="AR113" i="19"/>
  <c r="AL114" i="19"/>
  <c r="AM114" i="19"/>
  <c r="AN114" i="19"/>
  <c r="AO114" i="19"/>
  <c r="AP114" i="19"/>
  <c r="AQ114" i="19"/>
  <c r="AR114" i="19"/>
  <c r="AL115" i="19"/>
  <c r="AM115" i="19"/>
  <c r="AN115" i="19"/>
  <c r="AO115" i="19"/>
  <c r="AP115" i="19"/>
  <c r="AQ115" i="19"/>
  <c r="AR115" i="19"/>
  <c r="AM101" i="19"/>
  <c r="AN101" i="19"/>
  <c r="AO101" i="19"/>
  <c r="AP101" i="19"/>
  <c r="AQ101" i="19"/>
  <c r="AR101" i="19"/>
  <c r="AL101" i="19"/>
  <c r="AL83" i="19"/>
  <c r="AM83" i="19"/>
  <c r="AN83" i="19"/>
  <c r="AO83" i="19"/>
  <c r="AP83" i="19"/>
  <c r="AQ83" i="19"/>
  <c r="AR83" i="19"/>
  <c r="AL84" i="19"/>
  <c r="AM84" i="19"/>
  <c r="AN84" i="19"/>
  <c r="AO84" i="19"/>
  <c r="AP84" i="19"/>
  <c r="AQ84" i="19"/>
  <c r="AR84" i="19"/>
  <c r="AL85" i="19"/>
  <c r="AM85" i="19"/>
  <c r="AN85" i="19"/>
  <c r="AO85" i="19"/>
  <c r="AP85" i="19"/>
  <c r="AQ85" i="19"/>
  <c r="AR85" i="19"/>
  <c r="AL86" i="19"/>
  <c r="AM86" i="19"/>
  <c r="AN86" i="19"/>
  <c r="AO86" i="19"/>
  <c r="AP86" i="19"/>
  <c r="AQ86" i="19"/>
  <c r="AR86" i="19"/>
  <c r="AL87" i="19"/>
  <c r="AM87" i="19"/>
  <c r="AN87" i="19"/>
  <c r="AO87" i="19"/>
  <c r="AP87" i="19"/>
  <c r="AQ87" i="19"/>
  <c r="AR87" i="19"/>
  <c r="AL88" i="19"/>
  <c r="AM88" i="19"/>
  <c r="AN88" i="19"/>
  <c r="AO88" i="19"/>
  <c r="AP88" i="19"/>
  <c r="AQ88" i="19"/>
  <c r="AR88" i="19"/>
  <c r="AL89" i="19"/>
  <c r="AM89" i="19"/>
  <c r="AN89" i="19"/>
  <c r="AO89" i="19"/>
  <c r="AP89" i="19"/>
  <c r="AQ89" i="19"/>
  <c r="AR89" i="19"/>
  <c r="AL90" i="19"/>
  <c r="AM90" i="19"/>
  <c r="AN90" i="19"/>
  <c r="AO90" i="19"/>
  <c r="AP90" i="19"/>
  <c r="AQ90" i="19"/>
  <c r="AR90" i="19"/>
  <c r="AL91" i="19"/>
  <c r="AM91" i="19"/>
  <c r="AN91" i="19"/>
  <c r="AO91" i="19"/>
  <c r="AP91" i="19"/>
  <c r="AQ91" i="19"/>
  <c r="AR91" i="19"/>
  <c r="AL92" i="19"/>
  <c r="AM92" i="19"/>
  <c r="AN92" i="19"/>
  <c r="AO92" i="19"/>
  <c r="AP92" i="19"/>
  <c r="AQ92" i="19"/>
  <c r="AR92" i="19"/>
  <c r="AL93" i="19"/>
  <c r="AM93" i="19"/>
  <c r="AN93" i="19"/>
  <c r="AO93" i="19"/>
  <c r="AP93" i="19"/>
  <c r="AQ93" i="19"/>
  <c r="AR93" i="19"/>
  <c r="AL94" i="19"/>
  <c r="AM94" i="19"/>
  <c r="AN94" i="19"/>
  <c r="AO94" i="19"/>
  <c r="AP94" i="19"/>
  <c r="AQ94" i="19"/>
  <c r="AR94" i="19"/>
  <c r="AL95" i="19"/>
  <c r="AM95" i="19"/>
  <c r="AN95" i="19"/>
  <c r="AO95" i="19"/>
  <c r="AP95" i="19"/>
  <c r="AQ95" i="19"/>
  <c r="AR95" i="19"/>
  <c r="AL96" i="19"/>
  <c r="AM96" i="19"/>
  <c r="AN96" i="19"/>
  <c r="AO96" i="19"/>
  <c r="AP96" i="19"/>
  <c r="AQ96" i="19"/>
  <c r="AR96" i="19"/>
  <c r="AM82" i="19"/>
  <c r="AN82" i="19"/>
  <c r="AO82" i="19"/>
  <c r="AP82" i="19"/>
  <c r="AQ82" i="19"/>
  <c r="AR82" i="19"/>
  <c r="AL82" i="19"/>
  <c r="AL64" i="19"/>
  <c r="AM64" i="19"/>
  <c r="AN64" i="19"/>
  <c r="AO64" i="19"/>
  <c r="AP64" i="19"/>
  <c r="AQ64" i="19"/>
  <c r="AR64" i="19"/>
  <c r="AL65" i="19"/>
  <c r="AM65" i="19"/>
  <c r="AN65" i="19"/>
  <c r="AO65" i="19"/>
  <c r="AP65" i="19"/>
  <c r="AQ65" i="19"/>
  <c r="AR65" i="19"/>
  <c r="AL66" i="19"/>
  <c r="AM66" i="19"/>
  <c r="AN66" i="19"/>
  <c r="AO66" i="19"/>
  <c r="AP66" i="19"/>
  <c r="AQ66" i="19"/>
  <c r="AR66" i="19"/>
  <c r="AL67" i="19"/>
  <c r="AM67" i="19"/>
  <c r="AN67" i="19"/>
  <c r="AO67" i="19"/>
  <c r="AP67" i="19"/>
  <c r="AQ67" i="19"/>
  <c r="AR67" i="19"/>
  <c r="AL68" i="19"/>
  <c r="AM68" i="19"/>
  <c r="AN68" i="19"/>
  <c r="AO68" i="19"/>
  <c r="AP68" i="19"/>
  <c r="AQ68" i="19"/>
  <c r="AR68" i="19"/>
  <c r="AL69" i="19"/>
  <c r="AM69" i="19"/>
  <c r="AN69" i="19"/>
  <c r="AO69" i="19"/>
  <c r="AP69" i="19"/>
  <c r="AQ69" i="19"/>
  <c r="AR69" i="19"/>
  <c r="AL70" i="19"/>
  <c r="AM70" i="19"/>
  <c r="AN70" i="19"/>
  <c r="AO70" i="19"/>
  <c r="AP70" i="19"/>
  <c r="AQ70" i="19"/>
  <c r="AR70" i="19"/>
  <c r="AL71" i="19"/>
  <c r="AM71" i="19"/>
  <c r="AN71" i="19"/>
  <c r="AO71" i="19"/>
  <c r="AP71" i="19"/>
  <c r="AQ71" i="19"/>
  <c r="AR71" i="19"/>
  <c r="AL72" i="19"/>
  <c r="AM72" i="19"/>
  <c r="AN72" i="19"/>
  <c r="AO72" i="19"/>
  <c r="AP72" i="19"/>
  <c r="AQ72" i="19"/>
  <c r="AR72" i="19"/>
  <c r="AL73" i="19"/>
  <c r="AM73" i="19"/>
  <c r="AN73" i="19"/>
  <c r="AO73" i="19"/>
  <c r="AP73" i="19"/>
  <c r="AQ73" i="19"/>
  <c r="AR73" i="19"/>
  <c r="AL74" i="19"/>
  <c r="AM74" i="19"/>
  <c r="AN74" i="19"/>
  <c r="AO74" i="19"/>
  <c r="AP74" i="19"/>
  <c r="AQ74" i="19"/>
  <c r="AR74" i="19"/>
  <c r="AL75" i="19"/>
  <c r="AM75" i="19"/>
  <c r="AN75" i="19"/>
  <c r="AO75" i="19"/>
  <c r="AP75" i="19"/>
  <c r="AQ75" i="19"/>
  <c r="AR75" i="19"/>
  <c r="AL76" i="19"/>
  <c r="AM76" i="19"/>
  <c r="AN76" i="19"/>
  <c r="AO76" i="19"/>
  <c r="AP76" i="19"/>
  <c r="AQ76" i="19"/>
  <c r="AR76" i="19"/>
  <c r="AL77" i="19"/>
  <c r="AM77" i="19"/>
  <c r="AN77" i="19"/>
  <c r="AO77" i="19"/>
  <c r="AP77" i="19"/>
  <c r="AQ77" i="19"/>
  <c r="AR77" i="19"/>
  <c r="AM63" i="19"/>
  <c r="AN63" i="19"/>
  <c r="AO63" i="19"/>
  <c r="AP63" i="19"/>
  <c r="AQ63" i="19"/>
  <c r="AR63" i="19"/>
  <c r="AL63" i="19"/>
  <c r="AL45" i="19"/>
  <c r="AM45" i="19"/>
  <c r="AN45" i="19"/>
  <c r="AO45" i="19"/>
  <c r="AP45" i="19"/>
  <c r="AQ45" i="19"/>
  <c r="AR45" i="19"/>
  <c r="AL46" i="19"/>
  <c r="AM46" i="19"/>
  <c r="AN46" i="19"/>
  <c r="AO46" i="19"/>
  <c r="AP46" i="19"/>
  <c r="AQ46" i="19"/>
  <c r="AR46" i="19"/>
  <c r="AL47" i="19"/>
  <c r="AM47" i="19"/>
  <c r="AN47" i="19"/>
  <c r="AO47" i="19"/>
  <c r="AP47" i="19"/>
  <c r="AQ47" i="19"/>
  <c r="AR47" i="19"/>
  <c r="AL48" i="19"/>
  <c r="AM48" i="19"/>
  <c r="AN48" i="19"/>
  <c r="AO48" i="19"/>
  <c r="AP48" i="19"/>
  <c r="AQ48" i="19"/>
  <c r="AR48" i="19"/>
  <c r="AL49" i="19"/>
  <c r="AM49" i="19"/>
  <c r="AN49" i="19"/>
  <c r="AO49" i="19"/>
  <c r="AP49" i="19"/>
  <c r="AQ49" i="19"/>
  <c r="AR49" i="19"/>
  <c r="AL50" i="19"/>
  <c r="AM50" i="19"/>
  <c r="AN50" i="19"/>
  <c r="AO50" i="19"/>
  <c r="AP50" i="19"/>
  <c r="AQ50" i="19"/>
  <c r="AR50" i="19"/>
  <c r="AL51" i="19"/>
  <c r="AM51" i="19"/>
  <c r="AN51" i="19"/>
  <c r="AO51" i="19"/>
  <c r="AP51" i="19"/>
  <c r="AQ51" i="19"/>
  <c r="AR51" i="19"/>
  <c r="AL52" i="19"/>
  <c r="AM52" i="19"/>
  <c r="AN52" i="19"/>
  <c r="AO52" i="19"/>
  <c r="AP52" i="19"/>
  <c r="AQ52" i="19"/>
  <c r="AR52" i="19"/>
  <c r="AL53" i="19"/>
  <c r="AM53" i="19"/>
  <c r="AN53" i="19"/>
  <c r="AO53" i="19"/>
  <c r="AP53" i="19"/>
  <c r="AQ53" i="19"/>
  <c r="AR53" i="19"/>
  <c r="AL54" i="19"/>
  <c r="AM54" i="19"/>
  <c r="AN54" i="19"/>
  <c r="AO54" i="19"/>
  <c r="AP54" i="19"/>
  <c r="AQ54" i="19"/>
  <c r="AR54" i="19"/>
  <c r="AL55" i="19"/>
  <c r="AM55" i="19"/>
  <c r="AN55" i="19"/>
  <c r="AO55" i="19"/>
  <c r="AP55" i="19"/>
  <c r="AQ55" i="19"/>
  <c r="AR55" i="19"/>
  <c r="AL56" i="19"/>
  <c r="AM56" i="19"/>
  <c r="AN56" i="19"/>
  <c r="AO56" i="19"/>
  <c r="AP56" i="19"/>
  <c r="AQ56" i="19"/>
  <c r="AR56" i="19"/>
  <c r="AL57" i="19"/>
  <c r="AM57" i="19"/>
  <c r="AN57" i="19"/>
  <c r="AO57" i="19"/>
  <c r="AP57" i="19"/>
  <c r="AQ57" i="19"/>
  <c r="AR57" i="19"/>
  <c r="AL58" i="19"/>
  <c r="AM58" i="19"/>
  <c r="AN58" i="19"/>
  <c r="AO58" i="19"/>
  <c r="AP58" i="19"/>
  <c r="AQ58" i="19"/>
  <c r="AR58" i="19"/>
  <c r="AM44" i="19"/>
  <c r="AN44" i="19"/>
  <c r="AO44" i="19"/>
  <c r="AP44" i="19"/>
  <c r="AQ44" i="19"/>
  <c r="AR44" i="19"/>
  <c r="AL44" i="19"/>
  <c r="AL26" i="19"/>
  <c r="AM26" i="19"/>
  <c r="AN26" i="19"/>
  <c r="AO26" i="19"/>
  <c r="AP26" i="19"/>
  <c r="AQ26" i="19"/>
  <c r="AR26" i="19"/>
  <c r="AL27" i="19"/>
  <c r="AM27" i="19"/>
  <c r="AN27" i="19"/>
  <c r="AO27" i="19"/>
  <c r="AP27" i="19"/>
  <c r="AQ27" i="19"/>
  <c r="AR27" i="19"/>
  <c r="AL28" i="19"/>
  <c r="AM28" i="19"/>
  <c r="AN28" i="19"/>
  <c r="AO28" i="19"/>
  <c r="AP28" i="19"/>
  <c r="AQ28" i="19"/>
  <c r="AR28" i="19"/>
  <c r="AL29" i="19"/>
  <c r="AM29" i="19"/>
  <c r="AN29" i="19"/>
  <c r="AO29" i="19"/>
  <c r="AP29" i="19"/>
  <c r="AQ29" i="19"/>
  <c r="AR29" i="19"/>
  <c r="AL30" i="19"/>
  <c r="AM30" i="19"/>
  <c r="AN30" i="19"/>
  <c r="AO30" i="19"/>
  <c r="AP30" i="19"/>
  <c r="AQ30" i="19"/>
  <c r="AR30" i="19"/>
  <c r="AL31" i="19"/>
  <c r="AM31" i="19"/>
  <c r="AN31" i="19"/>
  <c r="AO31" i="19"/>
  <c r="AP31" i="19"/>
  <c r="AQ31" i="19"/>
  <c r="AR31" i="19"/>
  <c r="AL32" i="19"/>
  <c r="AM32" i="19"/>
  <c r="AN32" i="19"/>
  <c r="AO32" i="19"/>
  <c r="AP32" i="19"/>
  <c r="AQ32" i="19"/>
  <c r="AR32" i="19"/>
  <c r="AL33" i="19"/>
  <c r="AM33" i="19"/>
  <c r="AN33" i="19"/>
  <c r="AO33" i="19"/>
  <c r="AP33" i="19"/>
  <c r="AQ33" i="19"/>
  <c r="AR33" i="19"/>
  <c r="AL34" i="19"/>
  <c r="AM34" i="19"/>
  <c r="AN34" i="19"/>
  <c r="AO34" i="19"/>
  <c r="AP34" i="19"/>
  <c r="AQ34" i="19"/>
  <c r="AR34" i="19"/>
  <c r="AL35" i="19"/>
  <c r="AM35" i="19"/>
  <c r="AN35" i="19"/>
  <c r="AO35" i="19"/>
  <c r="AP35" i="19"/>
  <c r="AQ35" i="19"/>
  <c r="AR35" i="19"/>
  <c r="AL36" i="19"/>
  <c r="AM36" i="19"/>
  <c r="AN36" i="19"/>
  <c r="AO36" i="19"/>
  <c r="AP36" i="19"/>
  <c r="AQ36" i="19"/>
  <c r="AR36" i="19"/>
  <c r="AL37" i="19"/>
  <c r="AM37" i="19"/>
  <c r="AN37" i="19"/>
  <c r="AO37" i="19"/>
  <c r="AP37" i="19"/>
  <c r="AQ37" i="19"/>
  <c r="AR37" i="19"/>
  <c r="AL38" i="19"/>
  <c r="AM38" i="19"/>
  <c r="AN38" i="19"/>
  <c r="AO38" i="19"/>
  <c r="AP38" i="19"/>
  <c r="AQ38" i="19"/>
  <c r="AR38" i="19"/>
  <c r="AL39" i="19"/>
  <c r="AM39" i="19"/>
  <c r="AN39" i="19"/>
  <c r="AO39" i="19"/>
  <c r="AP39" i="19"/>
  <c r="AQ39" i="19"/>
  <c r="AR39" i="19"/>
  <c r="AM25" i="19"/>
  <c r="AN25" i="19"/>
  <c r="AO25" i="19"/>
  <c r="AP25" i="19"/>
  <c r="AQ25" i="19"/>
  <c r="AR25" i="19"/>
  <c r="AL25" i="19"/>
  <c r="AL7" i="19"/>
  <c r="AM7" i="19"/>
  <c r="AN7" i="19"/>
  <c r="AO7" i="19"/>
  <c r="AP7" i="19"/>
  <c r="AQ7" i="19"/>
  <c r="AR7" i="19"/>
  <c r="AL8" i="19"/>
  <c r="AM8" i="19"/>
  <c r="AN8" i="19"/>
  <c r="AO8" i="19"/>
  <c r="AP8" i="19"/>
  <c r="AQ8" i="19"/>
  <c r="AR8" i="19"/>
  <c r="AL9" i="19"/>
  <c r="AM9" i="19"/>
  <c r="AN9" i="19"/>
  <c r="AO9" i="19"/>
  <c r="AP9" i="19"/>
  <c r="AQ9" i="19"/>
  <c r="AR9" i="19"/>
  <c r="AL10" i="19"/>
  <c r="AM10" i="19"/>
  <c r="AN10" i="19"/>
  <c r="AO10" i="19"/>
  <c r="AP10" i="19"/>
  <c r="AQ10" i="19"/>
  <c r="AR10" i="19"/>
  <c r="AL11" i="19"/>
  <c r="AM11" i="19"/>
  <c r="AN11" i="19"/>
  <c r="AO11" i="19"/>
  <c r="AP11" i="19"/>
  <c r="AQ11" i="19"/>
  <c r="AR11" i="19"/>
  <c r="AL12" i="19"/>
  <c r="AM12" i="19"/>
  <c r="AN12" i="19"/>
  <c r="AO12" i="19"/>
  <c r="AP12" i="19"/>
  <c r="AQ12" i="19"/>
  <c r="AR12" i="19"/>
  <c r="AL13" i="19"/>
  <c r="AM13" i="19"/>
  <c r="AN13" i="19"/>
  <c r="AO13" i="19"/>
  <c r="AP13" i="19"/>
  <c r="AQ13" i="19"/>
  <c r="AR13" i="19"/>
  <c r="AL14" i="19"/>
  <c r="AM14" i="19"/>
  <c r="AN14" i="19"/>
  <c r="AO14" i="19"/>
  <c r="AP14" i="19"/>
  <c r="AQ14" i="19"/>
  <c r="AR14" i="19"/>
  <c r="AL15" i="19"/>
  <c r="AM15" i="19"/>
  <c r="AN15" i="19"/>
  <c r="AO15" i="19"/>
  <c r="AP15" i="19"/>
  <c r="AQ15" i="19"/>
  <c r="AR15" i="19"/>
  <c r="AL16" i="19"/>
  <c r="AM16" i="19"/>
  <c r="AN16" i="19"/>
  <c r="AO16" i="19"/>
  <c r="AP16" i="19"/>
  <c r="AQ16" i="19"/>
  <c r="AR16" i="19"/>
  <c r="AL17" i="19"/>
  <c r="AM17" i="19"/>
  <c r="AN17" i="19"/>
  <c r="AO17" i="19"/>
  <c r="AP17" i="19"/>
  <c r="AQ17" i="19"/>
  <c r="AR17" i="19"/>
  <c r="AL18" i="19"/>
  <c r="AM18" i="19"/>
  <c r="AN18" i="19"/>
  <c r="AO18" i="19"/>
  <c r="AP18" i="19"/>
  <c r="AQ18" i="19"/>
  <c r="AR18" i="19"/>
  <c r="AL19" i="19"/>
  <c r="AM19" i="19"/>
  <c r="AN19" i="19"/>
  <c r="AO19" i="19"/>
  <c r="AP19" i="19"/>
  <c r="AQ19" i="19"/>
  <c r="AR19" i="19"/>
  <c r="AL20" i="19"/>
  <c r="AM20" i="19"/>
  <c r="AN20" i="19"/>
  <c r="AO20" i="19"/>
  <c r="AP20" i="19"/>
  <c r="AQ20" i="19"/>
  <c r="AR20" i="19"/>
  <c r="AM6" i="19"/>
  <c r="AN6" i="19"/>
  <c r="AO6" i="19"/>
  <c r="AP6" i="19"/>
  <c r="AQ6" i="19"/>
  <c r="AR6" i="19"/>
  <c r="AL6" i="19"/>
  <c r="AC140" i="19"/>
  <c r="AD140" i="19"/>
  <c r="AE140" i="19"/>
  <c r="AF140" i="19"/>
  <c r="AG140" i="19"/>
  <c r="AH140" i="19"/>
  <c r="AI140" i="19"/>
  <c r="AC141" i="19"/>
  <c r="AD141" i="19"/>
  <c r="AE141" i="19"/>
  <c r="AF141" i="19"/>
  <c r="AG141" i="19"/>
  <c r="AH141" i="19"/>
  <c r="AI141" i="19"/>
  <c r="AC142" i="19"/>
  <c r="AD142" i="19"/>
  <c r="AE142" i="19"/>
  <c r="AF142" i="19"/>
  <c r="AG142" i="19"/>
  <c r="AH142" i="19"/>
  <c r="AI142" i="19"/>
  <c r="AC143" i="19"/>
  <c r="AD143" i="19"/>
  <c r="AE143" i="19"/>
  <c r="AF143" i="19"/>
  <c r="AG143" i="19"/>
  <c r="AH143" i="19"/>
  <c r="AI143" i="19"/>
  <c r="AC144" i="19"/>
  <c r="AD144" i="19"/>
  <c r="AE144" i="19"/>
  <c r="AF144" i="19"/>
  <c r="AG144" i="19"/>
  <c r="AH144" i="19"/>
  <c r="AI144" i="19"/>
  <c r="AC145" i="19"/>
  <c r="AD145" i="19"/>
  <c r="AE145" i="19"/>
  <c r="AF145" i="19"/>
  <c r="AG145" i="19"/>
  <c r="AH145" i="19"/>
  <c r="AI145" i="19"/>
  <c r="AC146" i="19"/>
  <c r="AD146" i="19"/>
  <c r="AE146" i="19"/>
  <c r="AF146" i="19"/>
  <c r="AG146" i="19"/>
  <c r="AH146" i="19"/>
  <c r="AI146" i="19"/>
  <c r="AC147" i="19"/>
  <c r="AD147" i="19"/>
  <c r="AE147" i="19"/>
  <c r="AF147" i="19"/>
  <c r="AG147" i="19"/>
  <c r="AH147" i="19"/>
  <c r="AI147" i="19"/>
  <c r="AC148" i="19"/>
  <c r="AD148" i="19"/>
  <c r="AE148" i="19"/>
  <c r="AF148" i="19"/>
  <c r="AG148" i="19"/>
  <c r="AH148" i="19"/>
  <c r="AI148" i="19"/>
  <c r="AC149" i="19"/>
  <c r="AD149" i="19"/>
  <c r="AE149" i="19"/>
  <c r="AF149" i="19"/>
  <c r="AG149" i="19"/>
  <c r="AH149" i="19"/>
  <c r="AI149" i="19"/>
  <c r="AC150" i="19"/>
  <c r="AD150" i="19"/>
  <c r="AE150" i="19"/>
  <c r="AF150" i="19"/>
  <c r="AG150" i="19"/>
  <c r="AH150" i="19"/>
  <c r="AI150" i="19"/>
  <c r="AC151" i="19"/>
  <c r="AD151" i="19"/>
  <c r="AE151" i="19"/>
  <c r="AF151" i="19"/>
  <c r="AG151" i="19"/>
  <c r="AH151" i="19"/>
  <c r="AI151" i="19"/>
  <c r="AC152" i="19"/>
  <c r="AD152" i="19"/>
  <c r="AE152" i="19"/>
  <c r="AF152" i="19"/>
  <c r="AG152" i="19"/>
  <c r="AH152" i="19"/>
  <c r="AI152" i="19"/>
  <c r="AC153" i="19"/>
  <c r="AD153" i="19"/>
  <c r="AE153" i="19"/>
  <c r="AF153" i="19"/>
  <c r="AG153" i="19"/>
  <c r="AH153" i="19"/>
  <c r="AI153" i="19"/>
  <c r="AD139" i="19"/>
  <c r="AE139" i="19"/>
  <c r="AF139" i="19"/>
  <c r="AG139" i="19"/>
  <c r="AH139" i="19"/>
  <c r="AI139" i="19"/>
  <c r="AC139" i="19"/>
  <c r="AC121" i="19"/>
  <c r="AD121" i="19"/>
  <c r="AE121" i="19"/>
  <c r="AF121" i="19"/>
  <c r="AG121" i="19"/>
  <c r="AH121" i="19"/>
  <c r="AI121" i="19"/>
  <c r="AC122" i="19"/>
  <c r="AD122" i="19"/>
  <c r="AE122" i="19"/>
  <c r="AF122" i="19"/>
  <c r="AG122" i="19"/>
  <c r="AH122" i="19"/>
  <c r="AI122" i="19"/>
  <c r="AC123" i="19"/>
  <c r="AD123" i="19"/>
  <c r="AE123" i="19"/>
  <c r="AF123" i="19"/>
  <c r="AG123" i="19"/>
  <c r="AH123" i="19"/>
  <c r="AI123" i="19"/>
  <c r="AC124" i="19"/>
  <c r="AD124" i="19"/>
  <c r="AE124" i="19"/>
  <c r="AF124" i="19"/>
  <c r="AG124" i="19"/>
  <c r="AH124" i="19"/>
  <c r="AI124" i="19"/>
  <c r="AC125" i="19"/>
  <c r="AD125" i="19"/>
  <c r="AE125" i="19"/>
  <c r="AF125" i="19"/>
  <c r="AG125" i="19"/>
  <c r="AH125" i="19"/>
  <c r="AI125" i="19"/>
  <c r="AC126" i="19"/>
  <c r="AD126" i="19"/>
  <c r="AE126" i="19"/>
  <c r="AF126" i="19"/>
  <c r="AG126" i="19"/>
  <c r="AH126" i="19"/>
  <c r="AI126" i="19"/>
  <c r="AC127" i="19"/>
  <c r="AD127" i="19"/>
  <c r="AE127" i="19"/>
  <c r="AF127" i="19"/>
  <c r="AG127" i="19"/>
  <c r="AH127" i="19"/>
  <c r="AI127" i="19"/>
  <c r="AC128" i="19"/>
  <c r="AD128" i="19"/>
  <c r="AE128" i="19"/>
  <c r="AF128" i="19"/>
  <c r="AG128" i="19"/>
  <c r="AH128" i="19"/>
  <c r="AI128" i="19"/>
  <c r="AC129" i="19"/>
  <c r="AD129" i="19"/>
  <c r="AE129" i="19"/>
  <c r="AF129" i="19"/>
  <c r="AG129" i="19"/>
  <c r="AH129" i="19"/>
  <c r="AI129" i="19"/>
  <c r="AC130" i="19"/>
  <c r="AD130" i="19"/>
  <c r="AE130" i="19"/>
  <c r="AF130" i="19"/>
  <c r="AG130" i="19"/>
  <c r="AH130" i="19"/>
  <c r="AI130" i="19"/>
  <c r="AC131" i="19"/>
  <c r="AD131" i="19"/>
  <c r="AE131" i="19"/>
  <c r="AF131" i="19"/>
  <c r="AG131" i="19"/>
  <c r="AH131" i="19"/>
  <c r="AI131" i="19"/>
  <c r="AC132" i="19"/>
  <c r="AD132" i="19"/>
  <c r="AE132" i="19"/>
  <c r="AF132" i="19"/>
  <c r="AG132" i="19"/>
  <c r="AH132" i="19"/>
  <c r="AI132" i="19"/>
  <c r="AC133" i="19"/>
  <c r="AD133" i="19"/>
  <c r="AE133" i="19"/>
  <c r="AF133" i="19"/>
  <c r="AG133" i="19"/>
  <c r="AH133" i="19"/>
  <c r="AI133" i="19"/>
  <c r="AC134" i="19"/>
  <c r="AD134" i="19"/>
  <c r="AE134" i="19"/>
  <c r="AF134" i="19"/>
  <c r="AG134" i="19"/>
  <c r="AH134" i="19"/>
  <c r="AI134" i="19"/>
  <c r="AD120" i="19"/>
  <c r="AE120" i="19"/>
  <c r="AF120" i="19"/>
  <c r="AG120" i="19"/>
  <c r="AH120" i="19"/>
  <c r="AI120" i="19"/>
  <c r="AC120" i="19"/>
  <c r="AC102" i="19"/>
  <c r="AD102" i="19"/>
  <c r="AE102" i="19"/>
  <c r="AF102" i="19"/>
  <c r="AG102" i="19"/>
  <c r="AH102" i="19"/>
  <c r="AI102" i="19"/>
  <c r="AC103" i="19"/>
  <c r="AD103" i="19"/>
  <c r="AE103" i="19"/>
  <c r="AF103" i="19"/>
  <c r="AG103" i="19"/>
  <c r="AH103" i="19"/>
  <c r="AI103" i="19"/>
  <c r="AC104" i="19"/>
  <c r="AD104" i="19"/>
  <c r="AE104" i="19"/>
  <c r="AF104" i="19"/>
  <c r="AG104" i="19"/>
  <c r="AH104" i="19"/>
  <c r="AI104" i="19"/>
  <c r="AC105" i="19"/>
  <c r="AD105" i="19"/>
  <c r="AE105" i="19"/>
  <c r="AF105" i="19"/>
  <c r="AG105" i="19"/>
  <c r="AH105" i="19"/>
  <c r="AI105" i="19"/>
  <c r="AC106" i="19"/>
  <c r="AD106" i="19"/>
  <c r="AE106" i="19"/>
  <c r="AF106" i="19"/>
  <c r="AG106" i="19"/>
  <c r="AH106" i="19"/>
  <c r="AI106" i="19"/>
  <c r="AC107" i="19"/>
  <c r="AD107" i="19"/>
  <c r="AE107" i="19"/>
  <c r="AF107" i="19"/>
  <c r="AG107" i="19"/>
  <c r="AH107" i="19"/>
  <c r="AI107" i="19"/>
  <c r="AC108" i="19"/>
  <c r="AD108" i="19"/>
  <c r="AE108" i="19"/>
  <c r="AF108" i="19"/>
  <c r="AG108" i="19"/>
  <c r="AH108" i="19"/>
  <c r="AI108" i="19"/>
  <c r="AC109" i="19"/>
  <c r="AD109" i="19"/>
  <c r="AE109" i="19"/>
  <c r="AF109" i="19"/>
  <c r="AG109" i="19"/>
  <c r="AH109" i="19"/>
  <c r="AI109" i="19"/>
  <c r="AC110" i="19"/>
  <c r="AD110" i="19"/>
  <c r="AE110" i="19"/>
  <c r="AF110" i="19"/>
  <c r="AG110" i="19"/>
  <c r="AH110" i="19"/>
  <c r="AI110" i="19"/>
  <c r="AC111" i="19"/>
  <c r="AD111" i="19"/>
  <c r="AE111" i="19"/>
  <c r="AF111" i="19"/>
  <c r="AG111" i="19"/>
  <c r="AH111" i="19"/>
  <c r="AI111" i="19"/>
  <c r="AC112" i="19"/>
  <c r="AD112" i="19"/>
  <c r="AE112" i="19"/>
  <c r="AF112" i="19"/>
  <c r="AG112" i="19"/>
  <c r="AH112" i="19"/>
  <c r="AI112" i="19"/>
  <c r="AC113" i="19"/>
  <c r="AD113" i="19"/>
  <c r="AE113" i="19"/>
  <c r="AF113" i="19"/>
  <c r="AG113" i="19"/>
  <c r="AH113" i="19"/>
  <c r="AI113" i="19"/>
  <c r="AC114" i="19"/>
  <c r="AD114" i="19"/>
  <c r="AE114" i="19"/>
  <c r="AF114" i="19"/>
  <c r="AG114" i="19"/>
  <c r="AH114" i="19"/>
  <c r="AI114" i="19"/>
  <c r="AC115" i="19"/>
  <c r="AD115" i="19"/>
  <c r="AE115" i="19"/>
  <c r="AF115" i="19"/>
  <c r="AG115" i="19"/>
  <c r="AH115" i="19"/>
  <c r="AI115" i="19"/>
  <c r="AD101" i="19"/>
  <c r="AE101" i="19"/>
  <c r="AF101" i="19"/>
  <c r="AG101" i="19"/>
  <c r="AH101" i="19"/>
  <c r="AI101" i="19"/>
  <c r="AC101" i="19"/>
  <c r="AC83" i="19"/>
  <c r="AD83" i="19"/>
  <c r="AE83" i="19"/>
  <c r="AF83" i="19"/>
  <c r="AG83" i="19"/>
  <c r="AH83" i="19"/>
  <c r="AI83" i="19"/>
  <c r="AC84" i="19"/>
  <c r="AD84" i="19"/>
  <c r="AE84" i="19"/>
  <c r="AF84" i="19"/>
  <c r="AG84" i="19"/>
  <c r="AH84" i="19"/>
  <c r="AI84" i="19"/>
  <c r="AC85" i="19"/>
  <c r="AD85" i="19"/>
  <c r="AE85" i="19"/>
  <c r="AF85" i="19"/>
  <c r="AG85" i="19"/>
  <c r="AH85" i="19"/>
  <c r="AI85" i="19"/>
  <c r="AC86" i="19"/>
  <c r="AD86" i="19"/>
  <c r="AE86" i="19"/>
  <c r="AF86" i="19"/>
  <c r="AG86" i="19"/>
  <c r="AH86" i="19"/>
  <c r="AI86" i="19"/>
  <c r="AC87" i="19"/>
  <c r="AD87" i="19"/>
  <c r="AE87" i="19"/>
  <c r="AF87" i="19"/>
  <c r="AG87" i="19"/>
  <c r="AH87" i="19"/>
  <c r="AI87" i="19"/>
  <c r="AC88" i="19"/>
  <c r="AD88" i="19"/>
  <c r="AE88" i="19"/>
  <c r="AF88" i="19"/>
  <c r="AG88" i="19"/>
  <c r="AH88" i="19"/>
  <c r="AI88" i="19"/>
  <c r="AC89" i="19"/>
  <c r="AD89" i="19"/>
  <c r="AE89" i="19"/>
  <c r="AF89" i="19"/>
  <c r="AG89" i="19"/>
  <c r="AH89" i="19"/>
  <c r="AI89" i="19"/>
  <c r="AC90" i="19"/>
  <c r="AD90" i="19"/>
  <c r="AE90" i="19"/>
  <c r="AF90" i="19"/>
  <c r="AG90" i="19"/>
  <c r="AH90" i="19"/>
  <c r="AI90" i="19"/>
  <c r="AC91" i="19"/>
  <c r="AD91" i="19"/>
  <c r="AE91" i="19"/>
  <c r="AF91" i="19"/>
  <c r="AG91" i="19"/>
  <c r="AH91" i="19"/>
  <c r="AI91" i="19"/>
  <c r="AC92" i="19"/>
  <c r="AD92" i="19"/>
  <c r="AE92" i="19"/>
  <c r="AF92" i="19"/>
  <c r="AG92" i="19"/>
  <c r="AH92" i="19"/>
  <c r="AI92" i="19"/>
  <c r="AC93" i="19"/>
  <c r="AD93" i="19"/>
  <c r="AE93" i="19"/>
  <c r="AF93" i="19"/>
  <c r="AG93" i="19"/>
  <c r="AH93" i="19"/>
  <c r="AI93" i="19"/>
  <c r="AC94" i="19"/>
  <c r="AD94" i="19"/>
  <c r="AE94" i="19"/>
  <c r="AF94" i="19"/>
  <c r="AG94" i="19"/>
  <c r="AH94" i="19"/>
  <c r="AI94" i="19"/>
  <c r="AC95" i="19"/>
  <c r="AD95" i="19"/>
  <c r="AE95" i="19"/>
  <c r="AF95" i="19"/>
  <c r="AG95" i="19"/>
  <c r="AH95" i="19"/>
  <c r="AI95" i="19"/>
  <c r="AC96" i="19"/>
  <c r="AD96" i="19"/>
  <c r="AE96" i="19"/>
  <c r="AF96" i="19"/>
  <c r="AG96" i="19"/>
  <c r="AH96" i="19"/>
  <c r="AI96" i="19"/>
  <c r="AD82" i="19"/>
  <c r="AE82" i="19"/>
  <c r="AF82" i="19"/>
  <c r="AG82" i="19"/>
  <c r="AH82" i="19"/>
  <c r="AI82" i="19"/>
  <c r="AC82" i="19"/>
  <c r="AC64" i="19"/>
  <c r="AD64" i="19"/>
  <c r="AE64" i="19"/>
  <c r="AF64" i="19"/>
  <c r="AG64" i="19"/>
  <c r="AH64" i="19"/>
  <c r="AI64" i="19"/>
  <c r="AC65" i="19"/>
  <c r="AD65" i="19"/>
  <c r="AE65" i="19"/>
  <c r="AF65" i="19"/>
  <c r="AG65" i="19"/>
  <c r="AH65" i="19"/>
  <c r="AI65" i="19"/>
  <c r="AC66" i="19"/>
  <c r="AD66" i="19"/>
  <c r="AE66" i="19"/>
  <c r="AF66" i="19"/>
  <c r="AG66" i="19"/>
  <c r="AH66" i="19"/>
  <c r="AI66" i="19"/>
  <c r="AC67" i="19"/>
  <c r="AD67" i="19"/>
  <c r="AE67" i="19"/>
  <c r="AF67" i="19"/>
  <c r="AG67" i="19"/>
  <c r="AH67" i="19"/>
  <c r="AI67" i="19"/>
  <c r="AC68" i="19"/>
  <c r="AD68" i="19"/>
  <c r="AE68" i="19"/>
  <c r="AF68" i="19"/>
  <c r="AG68" i="19"/>
  <c r="AH68" i="19"/>
  <c r="AI68" i="19"/>
  <c r="AC69" i="19"/>
  <c r="AD69" i="19"/>
  <c r="AE69" i="19"/>
  <c r="AF69" i="19"/>
  <c r="AG69" i="19"/>
  <c r="AH69" i="19"/>
  <c r="AI69" i="19"/>
  <c r="AC70" i="19"/>
  <c r="AD70" i="19"/>
  <c r="AE70" i="19"/>
  <c r="AF70" i="19"/>
  <c r="AG70" i="19"/>
  <c r="AH70" i="19"/>
  <c r="AI70" i="19"/>
  <c r="AC71" i="19"/>
  <c r="AD71" i="19"/>
  <c r="AE71" i="19"/>
  <c r="AF71" i="19"/>
  <c r="AG71" i="19"/>
  <c r="AH71" i="19"/>
  <c r="AI71" i="19"/>
  <c r="AC72" i="19"/>
  <c r="AD72" i="19"/>
  <c r="AE72" i="19"/>
  <c r="AF72" i="19"/>
  <c r="AG72" i="19"/>
  <c r="AH72" i="19"/>
  <c r="AI72" i="19"/>
  <c r="AC73" i="19"/>
  <c r="AD73" i="19"/>
  <c r="AE73" i="19"/>
  <c r="AF73" i="19"/>
  <c r="AG73" i="19"/>
  <c r="AH73" i="19"/>
  <c r="AI73" i="19"/>
  <c r="AC74" i="19"/>
  <c r="AD74" i="19"/>
  <c r="AE74" i="19"/>
  <c r="AF74" i="19"/>
  <c r="AG74" i="19"/>
  <c r="AH74" i="19"/>
  <c r="AI74" i="19"/>
  <c r="AC75" i="19"/>
  <c r="AD75" i="19"/>
  <c r="AE75" i="19"/>
  <c r="AF75" i="19"/>
  <c r="AG75" i="19"/>
  <c r="AH75" i="19"/>
  <c r="AI75" i="19"/>
  <c r="AC76" i="19"/>
  <c r="AD76" i="19"/>
  <c r="AE76" i="19"/>
  <c r="AF76" i="19"/>
  <c r="AG76" i="19"/>
  <c r="AH76" i="19"/>
  <c r="AI76" i="19"/>
  <c r="AC77" i="19"/>
  <c r="AD77" i="19"/>
  <c r="AE77" i="19"/>
  <c r="AF77" i="19"/>
  <c r="AG77" i="19"/>
  <c r="AH77" i="19"/>
  <c r="AI77" i="19"/>
  <c r="AD63" i="19"/>
  <c r="AE63" i="19"/>
  <c r="AF63" i="19"/>
  <c r="AG63" i="19"/>
  <c r="AH63" i="19"/>
  <c r="AI63" i="19"/>
  <c r="AC63" i="19"/>
  <c r="AC45" i="19"/>
  <c r="AD45" i="19"/>
  <c r="AE45" i="19"/>
  <c r="AF45" i="19"/>
  <c r="AG45" i="19"/>
  <c r="AH45" i="19"/>
  <c r="AI45" i="19"/>
  <c r="AC46" i="19"/>
  <c r="AD46" i="19"/>
  <c r="AE46" i="19"/>
  <c r="AF46" i="19"/>
  <c r="AG46" i="19"/>
  <c r="AH46" i="19"/>
  <c r="AI46" i="19"/>
  <c r="AC47" i="19"/>
  <c r="AD47" i="19"/>
  <c r="AE47" i="19"/>
  <c r="AF47" i="19"/>
  <c r="AG47" i="19"/>
  <c r="AH47" i="19"/>
  <c r="AI47" i="19"/>
  <c r="AC48" i="19"/>
  <c r="AD48" i="19"/>
  <c r="AE48" i="19"/>
  <c r="AF48" i="19"/>
  <c r="AG48" i="19"/>
  <c r="AH48" i="19"/>
  <c r="AI48" i="19"/>
  <c r="AC49" i="19"/>
  <c r="AD49" i="19"/>
  <c r="AE49" i="19"/>
  <c r="AF49" i="19"/>
  <c r="AG49" i="19"/>
  <c r="AH49" i="19"/>
  <c r="AI49" i="19"/>
  <c r="AC50" i="19"/>
  <c r="AD50" i="19"/>
  <c r="AE50" i="19"/>
  <c r="AF50" i="19"/>
  <c r="AG50" i="19"/>
  <c r="AH50" i="19"/>
  <c r="AI50" i="19"/>
  <c r="AC51" i="19"/>
  <c r="AD51" i="19"/>
  <c r="AE51" i="19"/>
  <c r="AF51" i="19"/>
  <c r="AG51" i="19"/>
  <c r="AH51" i="19"/>
  <c r="AI51" i="19"/>
  <c r="AC52" i="19"/>
  <c r="AD52" i="19"/>
  <c r="AE52" i="19"/>
  <c r="AF52" i="19"/>
  <c r="AG52" i="19"/>
  <c r="AH52" i="19"/>
  <c r="AI52" i="19"/>
  <c r="AC53" i="19"/>
  <c r="AD53" i="19"/>
  <c r="AE53" i="19"/>
  <c r="AF53" i="19"/>
  <c r="AG53" i="19"/>
  <c r="AH53" i="19"/>
  <c r="AI53" i="19"/>
  <c r="AC54" i="19"/>
  <c r="AD54" i="19"/>
  <c r="AE54" i="19"/>
  <c r="AF54" i="19"/>
  <c r="AG54" i="19"/>
  <c r="AH54" i="19"/>
  <c r="AI54" i="19"/>
  <c r="AC55" i="19"/>
  <c r="AD55" i="19"/>
  <c r="AE55" i="19"/>
  <c r="AF55" i="19"/>
  <c r="AG55" i="19"/>
  <c r="AH55" i="19"/>
  <c r="AI55" i="19"/>
  <c r="AC56" i="19"/>
  <c r="AD56" i="19"/>
  <c r="AE56" i="19"/>
  <c r="AF56" i="19"/>
  <c r="AG56" i="19"/>
  <c r="AH56" i="19"/>
  <c r="AI56" i="19"/>
  <c r="AC57" i="19"/>
  <c r="AD57" i="19"/>
  <c r="AE57" i="19"/>
  <c r="AF57" i="19"/>
  <c r="AG57" i="19"/>
  <c r="AH57" i="19"/>
  <c r="AI57" i="19"/>
  <c r="AC58" i="19"/>
  <c r="AD58" i="19"/>
  <c r="AE58" i="19"/>
  <c r="AF58" i="19"/>
  <c r="AG58" i="19"/>
  <c r="AH58" i="19"/>
  <c r="AI58" i="19"/>
  <c r="AD44" i="19"/>
  <c r="AE44" i="19"/>
  <c r="AF44" i="19"/>
  <c r="AG44" i="19"/>
  <c r="AH44" i="19"/>
  <c r="AI44" i="19"/>
  <c r="AC44" i="19"/>
  <c r="AC26" i="19"/>
  <c r="AD26" i="19"/>
  <c r="AE26" i="19"/>
  <c r="AF26" i="19"/>
  <c r="AG26" i="19"/>
  <c r="AH26" i="19"/>
  <c r="AI26" i="19"/>
  <c r="AC27" i="19"/>
  <c r="AD27" i="19"/>
  <c r="AE27" i="19"/>
  <c r="AF27" i="19"/>
  <c r="AG27" i="19"/>
  <c r="AH27" i="19"/>
  <c r="AI27" i="19"/>
  <c r="AC28" i="19"/>
  <c r="AD28" i="19"/>
  <c r="AE28" i="19"/>
  <c r="AF28" i="19"/>
  <c r="AG28" i="19"/>
  <c r="AH28" i="19"/>
  <c r="AI28" i="19"/>
  <c r="AC29" i="19"/>
  <c r="AD29" i="19"/>
  <c r="AE29" i="19"/>
  <c r="AF29" i="19"/>
  <c r="AG29" i="19"/>
  <c r="AH29" i="19"/>
  <c r="AI29" i="19"/>
  <c r="AC30" i="19"/>
  <c r="AD30" i="19"/>
  <c r="AE30" i="19"/>
  <c r="AF30" i="19"/>
  <c r="AG30" i="19"/>
  <c r="AH30" i="19"/>
  <c r="AI30" i="19"/>
  <c r="AC31" i="19"/>
  <c r="AD31" i="19"/>
  <c r="AE31" i="19"/>
  <c r="AF31" i="19"/>
  <c r="AG31" i="19"/>
  <c r="AH31" i="19"/>
  <c r="AI31" i="19"/>
  <c r="AC32" i="19"/>
  <c r="AD32" i="19"/>
  <c r="AE32" i="19"/>
  <c r="AF32" i="19"/>
  <c r="AG32" i="19"/>
  <c r="AH32" i="19"/>
  <c r="AI32" i="19"/>
  <c r="AC33" i="19"/>
  <c r="AD33" i="19"/>
  <c r="AE33" i="19"/>
  <c r="AF33" i="19"/>
  <c r="AG33" i="19"/>
  <c r="AH33" i="19"/>
  <c r="AI33" i="19"/>
  <c r="AC34" i="19"/>
  <c r="AD34" i="19"/>
  <c r="AE34" i="19"/>
  <c r="AF34" i="19"/>
  <c r="AG34" i="19"/>
  <c r="AH34" i="19"/>
  <c r="AI34" i="19"/>
  <c r="AC35" i="19"/>
  <c r="AD35" i="19"/>
  <c r="AE35" i="19"/>
  <c r="AF35" i="19"/>
  <c r="AG35" i="19"/>
  <c r="AH35" i="19"/>
  <c r="AI35" i="19"/>
  <c r="AC36" i="19"/>
  <c r="AD36" i="19"/>
  <c r="AE36" i="19"/>
  <c r="AF36" i="19"/>
  <c r="AG36" i="19"/>
  <c r="AH36" i="19"/>
  <c r="AI36" i="19"/>
  <c r="AC37" i="19"/>
  <c r="AD37" i="19"/>
  <c r="AE37" i="19"/>
  <c r="AF37" i="19"/>
  <c r="AG37" i="19"/>
  <c r="AH37" i="19"/>
  <c r="AI37" i="19"/>
  <c r="AC38" i="19"/>
  <c r="AD38" i="19"/>
  <c r="AE38" i="19"/>
  <c r="AF38" i="19"/>
  <c r="AG38" i="19"/>
  <c r="AH38" i="19"/>
  <c r="AI38" i="19"/>
  <c r="AC39" i="19"/>
  <c r="AD39" i="19"/>
  <c r="AE39" i="19"/>
  <c r="AF39" i="19"/>
  <c r="AG39" i="19"/>
  <c r="AH39" i="19"/>
  <c r="AI39" i="19"/>
  <c r="AD25" i="19"/>
  <c r="AE25" i="19"/>
  <c r="AF25" i="19"/>
  <c r="AG25" i="19"/>
  <c r="AH25" i="19"/>
  <c r="AI25" i="19"/>
  <c r="AC25" i="19"/>
  <c r="AC7" i="19"/>
  <c r="AD7" i="19"/>
  <c r="AE7" i="19"/>
  <c r="AF7" i="19"/>
  <c r="AG7" i="19"/>
  <c r="AH7" i="19"/>
  <c r="AI7" i="19"/>
  <c r="AC8" i="19"/>
  <c r="AD8" i="19"/>
  <c r="AE8" i="19"/>
  <c r="AF8" i="19"/>
  <c r="AG8" i="19"/>
  <c r="AH8" i="19"/>
  <c r="AI8" i="19"/>
  <c r="AC9" i="19"/>
  <c r="AD9" i="19"/>
  <c r="AE9" i="19"/>
  <c r="AF9" i="19"/>
  <c r="AG9" i="19"/>
  <c r="AH9" i="19"/>
  <c r="AI9" i="19"/>
  <c r="AC10" i="19"/>
  <c r="AD10" i="19"/>
  <c r="AE10" i="19"/>
  <c r="AF10" i="19"/>
  <c r="AG10" i="19"/>
  <c r="AH10" i="19"/>
  <c r="AI10" i="19"/>
  <c r="AC11" i="19"/>
  <c r="AD11" i="19"/>
  <c r="AE11" i="19"/>
  <c r="AF11" i="19"/>
  <c r="AG11" i="19"/>
  <c r="AH11" i="19"/>
  <c r="AI11" i="19"/>
  <c r="AC12" i="19"/>
  <c r="AD12" i="19"/>
  <c r="AE12" i="19"/>
  <c r="AF12" i="19"/>
  <c r="AG12" i="19"/>
  <c r="AH12" i="19"/>
  <c r="AI12" i="19"/>
  <c r="AC13" i="19"/>
  <c r="AD13" i="19"/>
  <c r="AE13" i="19"/>
  <c r="AF13" i="19"/>
  <c r="AG13" i="19"/>
  <c r="AH13" i="19"/>
  <c r="AI13" i="19"/>
  <c r="AC14" i="19"/>
  <c r="AD14" i="19"/>
  <c r="AE14" i="19"/>
  <c r="AF14" i="19"/>
  <c r="AG14" i="19"/>
  <c r="AH14" i="19"/>
  <c r="AI14" i="19"/>
  <c r="AC15" i="19"/>
  <c r="AD15" i="19"/>
  <c r="AE15" i="19"/>
  <c r="AF15" i="19"/>
  <c r="AG15" i="19"/>
  <c r="AH15" i="19"/>
  <c r="AI15" i="19"/>
  <c r="AC16" i="19"/>
  <c r="AD16" i="19"/>
  <c r="AE16" i="19"/>
  <c r="AF16" i="19"/>
  <c r="AG16" i="19"/>
  <c r="AH16" i="19"/>
  <c r="AI16" i="19"/>
  <c r="AC17" i="19"/>
  <c r="AD17" i="19"/>
  <c r="AE17" i="19"/>
  <c r="AF17" i="19"/>
  <c r="AG17" i="19"/>
  <c r="AH17" i="19"/>
  <c r="AI17" i="19"/>
  <c r="AC18" i="19"/>
  <c r="AD18" i="19"/>
  <c r="AE18" i="19"/>
  <c r="AF18" i="19"/>
  <c r="AG18" i="19"/>
  <c r="AH18" i="19"/>
  <c r="AI18" i="19"/>
  <c r="AC19" i="19"/>
  <c r="AD19" i="19"/>
  <c r="AE19" i="19"/>
  <c r="AF19" i="19"/>
  <c r="AG19" i="19"/>
  <c r="AH19" i="19"/>
  <c r="AI19" i="19"/>
  <c r="AC20" i="19"/>
  <c r="AD20" i="19"/>
  <c r="AE20" i="19"/>
  <c r="AF20" i="19"/>
  <c r="AG20" i="19"/>
  <c r="AH20" i="19"/>
  <c r="AI20" i="19"/>
  <c r="AD6" i="19"/>
  <c r="AE6" i="19"/>
  <c r="AF6" i="19"/>
  <c r="AG6" i="19"/>
  <c r="AH6" i="19"/>
  <c r="AI6" i="19"/>
  <c r="AC6" i="19"/>
  <c r="T140" i="19"/>
  <c r="U140" i="19"/>
  <c r="V140" i="19"/>
  <c r="W140" i="19"/>
  <c r="X140" i="19"/>
  <c r="Y140" i="19"/>
  <c r="Z140" i="19"/>
  <c r="T141" i="19"/>
  <c r="U141" i="19"/>
  <c r="V141" i="19"/>
  <c r="W141" i="19"/>
  <c r="X141" i="19"/>
  <c r="Y141" i="19"/>
  <c r="Z141" i="19"/>
  <c r="T142" i="19"/>
  <c r="U142" i="19"/>
  <c r="V142" i="19"/>
  <c r="W142" i="19"/>
  <c r="X142" i="19"/>
  <c r="Y142" i="19"/>
  <c r="Z142" i="19"/>
  <c r="T143" i="19"/>
  <c r="U143" i="19"/>
  <c r="V143" i="19"/>
  <c r="W143" i="19"/>
  <c r="X143" i="19"/>
  <c r="Y143" i="19"/>
  <c r="Z143" i="19"/>
  <c r="T144" i="19"/>
  <c r="U144" i="19"/>
  <c r="V144" i="19"/>
  <c r="W144" i="19"/>
  <c r="X144" i="19"/>
  <c r="Y144" i="19"/>
  <c r="Z144" i="19"/>
  <c r="T145" i="19"/>
  <c r="U145" i="19"/>
  <c r="V145" i="19"/>
  <c r="W145" i="19"/>
  <c r="X145" i="19"/>
  <c r="Y145" i="19"/>
  <c r="Z145" i="19"/>
  <c r="T146" i="19"/>
  <c r="U146" i="19"/>
  <c r="V146" i="19"/>
  <c r="W146" i="19"/>
  <c r="X146" i="19"/>
  <c r="Y146" i="19"/>
  <c r="Z146" i="19"/>
  <c r="T147" i="19"/>
  <c r="U147" i="19"/>
  <c r="V147" i="19"/>
  <c r="W147" i="19"/>
  <c r="X147" i="19"/>
  <c r="Y147" i="19"/>
  <c r="Z147" i="19"/>
  <c r="T148" i="19"/>
  <c r="U148" i="19"/>
  <c r="V148" i="19"/>
  <c r="W148" i="19"/>
  <c r="X148" i="19"/>
  <c r="Y148" i="19"/>
  <c r="Z148" i="19"/>
  <c r="T149" i="19"/>
  <c r="U149" i="19"/>
  <c r="V149" i="19"/>
  <c r="W149" i="19"/>
  <c r="X149" i="19"/>
  <c r="Y149" i="19"/>
  <c r="Z149" i="19"/>
  <c r="T150" i="19"/>
  <c r="U150" i="19"/>
  <c r="V150" i="19"/>
  <c r="W150" i="19"/>
  <c r="X150" i="19"/>
  <c r="Y150" i="19"/>
  <c r="Z150" i="19"/>
  <c r="T151" i="19"/>
  <c r="U151" i="19"/>
  <c r="V151" i="19"/>
  <c r="W151" i="19"/>
  <c r="X151" i="19"/>
  <c r="Y151" i="19"/>
  <c r="Z151" i="19"/>
  <c r="T152" i="19"/>
  <c r="U152" i="19"/>
  <c r="V152" i="19"/>
  <c r="W152" i="19"/>
  <c r="X152" i="19"/>
  <c r="Y152" i="19"/>
  <c r="Z152" i="19"/>
  <c r="T153" i="19"/>
  <c r="U153" i="19"/>
  <c r="V153" i="19"/>
  <c r="W153" i="19"/>
  <c r="X153" i="19"/>
  <c r="Y153" i="19"/>
  <c r="Z153" i="19"/>
  <c r="U139" i="19"/>
  <c r="V139" i="19"/>
  <c r="W139" i="19"/>
  <c r="X139" i="19"/>
  <c r="Y139" i="19"/>
  <c r="Z139" i="19"/>
  <c r="T139" i="19"/>
  <c r="T121" i="19"/>
  <c r="U121" i="19"/>
  <c r="V121" i="19"/>
  <c r="W121" i="19"/>
  <c r="X121" i="19"/>
  <c r="Y121" i="19"/>
  <c r="Z121" i="19"/>
  <c r="T122" i="19"/>
  <c r="U122" i="19"/>
  <c r="V122" i="19"/>
  <c r="W122" i="19"/>
  <c r="X122" i="19"/>
  <c r="Y122" i="19"/>
  <c r="Z122" i="19"/>
  <c r="T123" i="19"/>
  <c r="U123" i="19"/>
  <c r="V123" i="19"/>
  <c r="W123" i="19"/>
  <c r="X123" i="19"/>
  <c r="Y123" i="19"/>
  <c r="Z123" i="19"/>
  <c r="T124" i="19"/>
  <c r="U124" i="19"/>
  <c r="V124" i="19"/>
  <c r="W124" i="19"/>
  <c r="X124" i="19"/>
  <c r="Y124" i="19"/>
  <c r="Z124" i="19"/>
  <c r="T125" i="19"/>
  <c r="U125" i="19"/>
  <c r="V125" i="19"/>
  <c r="W125" i="19"/>
  <c r="X125" i="19"/>
  <c r="Y125" i="19"/>
  <c r="Z125" i="19"/>
  <c r="T126" i="19"/>
  <c r="U126" i="19"/>
  <c r="V126" i="19"/>
  <c r="W126" i="19"/>
  <c r="X126" i="19"/>
  <c r="Y126" i="19"/>
  <c r="Z126" i="19"/>
  <c r="T127" i="19"/>
  <c r="U127" i="19"/>
  <c r="V127" i="19"/>
  <c r="W127" i="19"/>
  <c r="X127" i="19"/>
  <c r="Y127" i="19"/>
  <c r="Z127" i="19"/>
  <c r="T128" i="19"/>
  <c r="U128" i="19"/>
  <c r="V128" i="19"/>
  <c r="W128" i="19"/>
  <c r="X128" i="19"/>
  <c r="Y128" i="19"/>
  <c r="Z128" i="19"/>
  <c r="T129" i="19"/>
  <c r="U129" i="19"/>
  <c r="V129" i="19"/>
  <c r="W129" i="19"/>
  <c r="X129" i="19"/>
  <c r="Y129" i="19"/>
  <c r="Z129" i="19"/>
  <c r="T130" i="19"/>
  <c r="U130" i="19"/>
  <c r="V130" i="19"/>
  <c r="W130" i="19"/>
  <c r="X130" i="19"/>
  <c r="Y130" i="19"/>
  <c r="Z130" i="19"/>
  <c r="T131" i="19"/>
  <c r="U131" i="19"/>
  <c r="V131" i="19"/>
  <c r="W131" i="19"/>
  <c r="X131" i="19"/>
  <c r="Y131" i="19"/>
  <c r="Z131" i="19"/>
  <c r="T132" i="19"/>
  <c r="U132" i="19"/>
  <c r="V132" i="19"/>
  <c r="W132" i="19"/>
  <c r="X132" i="19"/>
  <c r="Y132" i="19"/>
  <c r="Z132" i="19"/>
  <c r="T133" i="19"/>
  <c r="U133" i="19"/>
  <c r="V133" i="19"/>
  <c r="W133" i="19"/>
  <c r="X133" i="19"/>
  <c r="Y133" i="19"/>
  <c r="Z133" i="19"/>
  <c r="T134" i="19"/>
  <c r="U134" i="19"/>
  <c r="V134" i="19"/>
  <c r="W134" i="19"/>
  <c r="X134" i="19"/>
  <c r="Y134" i="19"/>
  <c r="Z134" i="19"/>
  <c r="U120" i="19"/>
  <c r="V120" i="19"/>
  <c r="W120" i="19"/>
  <c r="X120" i="19"/>
  <c r="Y120" i="19"/>
  <c r="Z120" i="19"/>
  <c r="T120" i="19"/>
  <c r="T102" i="19"/>
  <c r="U102" i="19"/>
  <c r="V102" i="19"/>
  <c r="W102" i="19"/>
  <c r="X102" i="19"/>
  <c r="Y102" i="19"/>
  <c r="Z102" i="19"/>
  <c r="T103" i="19"/>
  <c r="U103" i="19"/>
  <c r="V103" i="19"/>
  <c r="W103" i="19"/>
  <c r="X103" i="19"/>
  <c r="Y103" i="19"/>
  <c r="Z103" i="19"/>
  <c r="T104" i="19"/>
  <c r="U104" i="19"/>
  <c r="V104" i="19"/>
  <c r="W104" i="19"/>
  <c r="X104" i="19"/>
  <c r="Y104" i="19"/>
  <c r="Z104" i="19"/>
  <c r="T105" i="19"/>
  <c r="U105" i="19"/>
  <c r="V105" i="19"/>
  <c r="W105" i="19"/>
  <c r="X105" i="19"/>
  <c r="Y105" i="19"/>
  <c r="Z105" i="19"/>
  <c r="T106" i="19"/>
  <c r="U106" i="19"/>
  <c r="V106" i="19"/>
  <c r="W106" i="19"/>
  <c r="X106" i="19"/>
  <c r="Y106" i="19"/>
  <c r="Z106" i="19"/>
  <c r="T107" i="19"/>
  <c r="U107" i="19"/>
  <c r="V107" i="19"/>
  <c r="W107" i="19"/>
  <c r="X107" i="19"/>
  <c r="Y107" i="19"/>
  <c r="Z107" i="19"/>
  <c r="T108" i="19"/>
  <c r="U108" i="19"/>
  <c r="V108" i="19"/>
  <c r="W108" i="19"/>
  <c r="X108" i="19"/>
  <c r="Y108" i="19"/>
  <c r="Z108" i="19"/>
  <c r="T109" i="19"/>
  <c r="U109" i="19"/>
  <c r="V109" i="19"/>
  <c r="W109" i="19"/>
  <c r="X109" i="19"/>
  <c r="Y109" i="19"/>
  <c r="Z109" i="19"/>
  <c r="T110" i="19"/>
  <c r="U110" i="19"/>
  <c r="V110" i="19"/>
  <c r="W110" i="19"/>
  <c r="X110" i="19"/>
  <c r="Y110" i="19"/>
  <c r="Z110" i="19"/>
  <c r="T111" i="19"/>
  <c r="U111" i="19"/>
  <c r="V111" i="19"/>
  <c r="W111" i="19"/>
  <c r="X111" i="19"/>
  <c r="Y111" i="19"/>
  <c r="Z111" i="19"/>
  <c r="T112" i="19"/>
  <c r="U112" i="19"/>
  <c r="V112" i="19"/>
  <c r="W112" i="19"/>
  <c r="X112" i="19"/>
  <c r="Y112" i="19"/>
  <c r="Z112" i="19"/>
  <c r="T113" i="19"/>
  <c r="U113" i="19"/>
  <c r="V113" i="19"/>
  <c r="W113" i="19"/>
  <c r="X113" i="19"/>
  <c r="Y113" i="19"/>
  <c r="Z113" i="19"/>
  <c r="T114" i="19"/>
  <c r="U114" i="19"/>
  <c r="V114" i="19"/>
  <c r="W114" i="19"/>
  <c r="X114" i="19"/>
  <c r="Y114" i="19"/>
  <c r="Z114" i="19"/>
  <c r="T115" i="19"/>
  <c r="U115" i="19"/>
  <c r="V115" i="19"/>
  <c r="W115" i="19"/>
  <c r="X115" i="19"/>
  <c r="Y115" i="19"/>
  <c r="Z115" i="19"/>
  <c r="U101" i="19"/>
  <c r="V101" i="19"/>
  <c r="W101" i="19"/>
  <c r="X101" i="19"/>
  <c r="Y101" i="19"/>
  <c r="Z101" i="19"/>
  <c r="T101" i="19"/>
  <c r="T83" i="19"/>
  <c r="U83" i="19"/>
  <c r="V83" i="19"/>
  <c r="W83" i="19"/>
  <c r="X83" i="19"/>
  <c r="Y83" i="19"/>
  <c r="Z83" i="19"/>
  <c r="T84" i="19"/>
  <c r="U84" i="19"/>
  <c r="V84" i="19"/>
  <c r="W84" i="19"/>
  <c r="X84" i="19"/>
  <c r="Y84" i="19"/>
  <c r="Z84" i="19"/>
  <c r="T85" i="19"/>
  <c r="U85" i="19"/>
  <c r="V85" i="19"/>
  <c r="W85" i="19"/>
  <c r="X85" i="19"/>
  <c r="Y85" i="19"/>
  <c r="Z85" i="19"/>
  <c r="T86" i="19"/>
  <c r="U86" i="19"/>
  <c r="V86" i="19"/>
  <c r="W86" i="19"/>
  <c r="X86" i="19"/>
  <c r="Y86" i="19"/>
  <c r="Z86" i="19"/>
  <c r="T87" i="19"/>
  <c r="U87" i="19"/>
  <c r="V87" i="19"/>
  <c r="W87" i="19"/>
  <c r="X87" i="19"/>
  <c r="Y87" i="19"/>
  <c r="Z87" i="19"/>
  <c r="T88" i="19"/>
  <c r="U88" i="19"/>
  <c r="V88" i="19"/>
  <c r="W88" i="19"/>
  <c r="X88" i="19"/>
  <c r="Y88" i="19"/>
  <c r="Z88" i="19"/>
  <c r="T89" i="19"/>
  <c r="U89" i="19"/>
  <c r="V89" i="19"/>
  <c r="W89" i="19"/>
  <c r="X89" i="19"/>
  <c r="Y89" i="19"/>
  <c r="Z89" i="19"/>
  <c r="T90" i="19"/>
  <c r="U90" i="19"/>
  <c r="V90" i="19"/>
  <c r="W90" i="19"/>
  <c r="X90" i="19"/>
  <c r="Y90" i="19"/>
  <c r="Z90" i="19"/>
  <c r="T91" i="19"/>
  <c r="U91" i="19"/>
  <c r="V91" i="19"/>
  <c r="W91" i="19"/>
  <c r="X91" i="19"/>
  <c r="Y91" i="19"/>
  <c r="Z91" i="19"/>
  <c r="T92" i="19"/>
  <c r="U92" i="19"/>
  <c r="V92" i="19"/>
  <c r="W92" i="19"/>
  <c r="X92" i="19"/>
  <c r="Y92" i="19"/>
  <c r="Z92" i="19"/>
  <c r="T93" i="19"/>
  <c r="U93" i="19"/>
  <c r="V93" i="19"/>
  <c r="W93" i="19"/>
  <c r="X93" i="19"/>
  <c r="Y93" i="19"/>
  <c r="Z93" i="19"/>
  <c r="T94" i="19"/>
  <c r="U94" i="19"/>
  <c r="V94" i="19"/>
  <c r="W94" i="19"/>
  <c r="X94" i="19"/>
  <c r="Y94" i="19"/>
  <c r="Z94" i="19"/>
  <c r="T95" i="19"/>
  <c r="U95" i="19"/>
  <c r="V95" i="19"/>
  <c r="W95" i="19"/>
  <c r="X95" i="19"/>
  <c r="Y95" i="19"/>
  <c r="Z95" i="19"/>
  <c r="T96" i="19"/>
  <c r="U96" i="19"/>
  <c r="V96" i="19"/>
  <c r="W96" i="19"/>
  <c r="X96" i="19"/>
  <c r="Y96" i="19"/>
  <c r="Z96" i="19"/>
  <c r="U82" i="19"/>
  <c r="V82" i="19"/>
  <c r="W82" i="19"/>
  <c r="X82" i="19"/>
  <c r="Y82" i="19"/>
  <c r="Z82" i="19"/>
  <c r="T82" i="19"/>
  <c r="T64" i="19"/>
  <c r="U64" i="19"/>
  <c r="V64" i="19"/>
  <c r="W64" i="19"/>
  <c r="X64" i="19"/>
  <c r="Y64" i="19"/>
  <c r="Z64" i="19"/>
  <c r="T65" i="19"/>
  <c r="U65" i="19"/>
  <c r="V65" i="19"/>
  <c r="W65" i="19"/>
  <c r="X65" i="19"/>
  <c r="Y65" i="19"/>
  <c r="Z65" i="19"/>
  <c r="T66" i="19"/>
  <c r="U66" i="19"/>
  <c r="V66" i="19"/>
  <c r="W66" i="19"/>
  <c r="X66" i="19"/>
  <c r="Y66" i="19"/>
  <c r="Z66" i="19"/>
  <c r="T67" i="19"/>
  <c r="U67" i="19"/>
  <c r="V67" i="19"/>
  <c r="W67" i="19"/>
  <c r="X67" i="19"/>
  <c r="Y67" i="19"/>
  <c r="Z67" i="19"/>
  <c r="T68" i="19"/>
  <c r="U68" i="19"/>
  <c r="V68" i="19"/>
  <c r="W68" i="19"/>
  <c r="X68" i="19"/>
  <c r="Y68" i="19"/>
  <c r="Z68" i="19"/>
  <c r="T69" i="19"/>
  <c r="U69" i="19"/>
  <c r="V69" i="19"/>
  <c r="W69" i="19"/>
  <c r="X69" i="19"/>
  <c r="Y69" i="19"/>
  <c r="Z69" i="19"/>
  <c r="T70" i="19"/>
  <c r="U70" i="19"/>
  <c r="V70" i="19"/>
  <c r="W70" i="19"/>
  <c r="X70" i="19"/>
  <c r="Y70" i="19"/>
  <c r="Z70" i="19"/>
  <c r="T71" i="19"/>
  <c r="U71" i="19"/>
  <c r="V71" i="19"/>
  <c r="W71" i="19"/>
  <c r="X71" i="19"/>
  <c r="Y71" i="19"/>
  <c r="Z71" i="19"/>
  <c r="T72" i="19"/>
  <c r="U72" i="19"/>
  <c r="V72" i="19"/>
  <c r="W72" i="19"/>
  <c r="X72" i="19"/>
  <c r="Y72" i="19"/>
  <c r="Z72" i="19"/>
  <c r="T73" i="19"/>
  <c r="U73" i="19"/>
  <c r="V73" i="19"/>
  <c r="W73" i="19"/>
  <c r="X73" i="19"/>
  <c r="Y73" i="19"/>
  <c r="Z73" i="19"/>
  <c r="T74" i="19"/>
  <c r="U74" i="19"/>
  <c r="V74" i="19"/>
  <c r="W74" i="19"/>
  <c r="X74" i="19"/>
  <c r="Y74" i="19"/>
  <c r="Z74" i="19"/>
  <c r="T75" i="19"/>
  <c r="U75" i="19"/>
  <c r="V75" i="19"/>
  <c r="W75" i="19"/>
  <c r="X75" i="19"/>
  <c r="Y75" i="19"/>
  <c r="Z75" i="19"/>
  <c r="T76" i="19"/>
  <c r="U76" i="19"/>
  <c r="V76" i="19"/>
  <c r="W76" i="19"/>
  <c r="X76" i="19"/>
  <c r="Y76" i="19"/>
  <c r="Z76" i="19"/>
  <c r="T77" i="19"/>
  <c r="U77" i="19"/>
  <c r="V77" i="19"/>
  <c r="W77" i="19"/>
  <c r="X77" i="19"/>
  <c r="Y77" i="19"/>
  <c r="Z77" i="19"/>
  <c r="U63" i="19"/>
  <c r="V63" i="19"/>
  <c r="W63" i="19"/>
  <c r="X63" i="19"/>
  <c r="Y63" i="19"/>
  <c r="Z63" i="19"/>
  <c r="T63" i="19"/>
  <c r="T45" i="19"/>
  <c r="U45" i="19"/>
  <c r="V45" i="19"/>
  <c r="W45" i="19"/>
  <c r="X45" i="19"/>
  <c r="Y45" i="19"/>
  <c r="Z45" i="19"/>
  <c r="T46" i="19"/>
  <c r="U46" i="19"/>
  <c r="V46" i="19"/>
  <c r="W46" i="19"/>
  <c r="X46" i="19"/>
  <c r="Y46" i="19"/>
  <c r="Z46" i="19"/>
  <c r="T47" i="19"/>
  <c r="U47" i="19"/>
  <c r="V47" i="19"/>
  <c r="W47" i="19"/>
  <c r="X47" i="19"/>
  <c r="Y47" i="19"/>
  <c r="Z47" i="19"/>
  <c r="T48" i="19"/>
  <c r="U48" i="19"/>
  <c r="V48" i="19"/>
  <c r="W48" i="19"/>
  <c r="X48" i="19"/>
  <c r="Y48" i="19"/>
  <c r="Z48" i="19"/>
  <c r="T49" i="19"/>
  <c r="U49" i="19"/>
  <c r="V49" i="19"/>
  <c r="W49" i="19"/>
  <c r="X49" i="19"/>
  <c r="Y49" i="19"/>
  <c r="Z49" i="19"/>
  <c r="T50" i="19"/>
  <c r="U50" i="19"/>
  <c r="V50" i="19"/>
  <c r="W50" i="19"/>
  <c r="X50" i="19"/>
  <c r="Y50" i="19"/>
  <c r="Z50" i="19"/>
  <c r="T51" i="19"/>
  <c r="U51" i="19"/>
  <c r="V51" i="19"/>
  <c r="W51" i="19"/>
  <c r="X51" i="19"/>
  <c r="Y51" i="19"/>
  <c r="Z51" i="19"/>
  <c r="T52" i="19"/>
  <c r="U52" i="19"/>
  <c r="V52" i="19"/>
  <c r="W52" i="19"/>
  <c r="X52" i="19"/>
  <c r="Y52" i="19"/>
  <c r="Z52" i="19"/>
  <c r="T53" i="19"/>
  <c r="U53" i="19"/>
  <c r="V53" i="19"/>
  <c r="W53" i="19"/>
  <c r="X53" i="19"/>
  <c r="Y53" i="19"/>
  <c r="Z53" i="19"/>
  <c r="T54" i="19"/>
  <c r="U54" i="19"/>
  <c r="V54" i="19"/>
  <c r="W54" i="19"/>
  <c r="X54" i="19"/>
  <c r="Y54" i="19"/>
  <c r="Z54" i="19"/>
  <c r="T55" i="19"/>
  <c r="U55" i="19"/>
  <c r="V55" i="19"/>
  <c r="W55" i="19"/>
  <c r="X55" i="19"/>
  <c r="Y55" i="19"/>
  <c r="Z55" i="19"/>
  <c r="T56" i="19"/>
  <c r="U56" i="19"/>
  <c r="V56" i="19"/>
  <c r="W56" i="19"/>
  <c r="X56" i="19"/>
  <c r="Y56" i="19"/>
  <c r="Z56" i="19"/>
  <c r="T57" i="19"/>
  <c r="U57" i="19"/>
  <c r="V57" i="19"/>
  <c r="W57" i="19"/>
  <c r="X57" i="19"/>
  <c r="Y57" i="19"/>
  <c r="Z57" i="19"/>
  <c r="T58" i="19"/>
  <c r="U58" i="19"/>
  <c r="V58" i="19"/>
  <c r="W58" i="19"/>
  <c r="X58" i="19"/>
  <c r="Y58" i="19"/>
  <c r="Z58" i="19"/>
  <c r="U44" i="19"/>
  <c r="V44" i="19"/>
  <c r="W44" i="19"/>
  <c r="X44" i="19"/>
  <c r="Y44" i="19"/>
  <c r="Z44" i="19"/>
  <c r="T44" i="19"/>
  <c r="T26" i="19"/>
  <c r="U26" i="19"/>
  <c r="V26" i="19"/>
  <c r="W26" i="19"/>
  <c r="X26" i="19"/>
  <c r="Y26" i="19"/>
  <c r="Z26" i="19"/>
  <c r="T27" i="19"/>
  <c r="U27" i="19"/>
  <c r="V27" i="19"/>
  <c r="W27" i="19"/>
  <c r="X27" i="19"/>
  <c r="Y27" i="19"/>
  <c r="Z27" i="19"/>
  <c r="T28" i="19"/>
  <c r="U28" i="19"/>
  <c r="V28" i="19"/>
  <c r="W28" i="19"/>
  <c r="X28" i="19"/>
  <c r="Y28" i="19"/>
  <c r="Z28" i="19"/>
  <c r="T29" i="19"/>
  <c r="U29" i="19"/>
  <c r="V29" i="19"/>
  <c r="W29" i="19"/>
  <c r="X29" i="19"/>
  <c r="Y29" i="19"/>
  <c r="Z29" i="19"/>
  <c r="T30" i="19"/>
  <c r="U30" i="19"/>
  <c r="V30" i="19"/>
  <c r="W30" i="19"/>
  <c r="X30" i="19"/>
  <c r="Y30" i="19"/>
  <c r="Z30" i="19"/>
  <c r="T31" i="19"/>
  <c r="U31" i="19"/>
  <c r="V31" i="19"/>
  <c r="W31" i="19"/>
  <c r="X31" i="19"/>
  <c r="Y31" i="19"/>
  <c r="Z31" i="19"/>
  <c r="T32" i="19"/>
  <c r="U32" i="19"/>
  <c r="V32" i="19"/>
  <c r="W32" i="19"/>
  <c r="X32" i="19"/>
  <c r="Y32" i="19"/>
  <c r="Z32" i="19"/>
  <c r="T33" i="19"/>
  <c r="U33" i="19"/>
  <c r="V33" i="19"/>
  <c r="W33" i="19"/>
  <c r="X33" i="19"/>
  <c r="Y33" i="19"/>
  <c r="Z33" i="19"/>
  <c r="T34" i="19"/>
  <c r="U34" i="19"/>
  <c r="V34" i="19"/>
  <c r="W34" i="19"/>
  <c r="X34" i="19"/>
  <c r="Y34" i="19"/>
  <c r="Z34" i="19"/>
  <c r="T35" i="19"/>
  <c r="U35" i="19"/>
  <c r="V35" i="19"/>
  <c r="W35" i="19"/>
  <c r="X35" i="19"/>
  <c r="Y35" i="19"/>
  <c r="Z35" i="19"/>
  <c r="T36" i="19"/>
  <c r="U36" i="19"/>
  <c r="V36" i="19"/>
  <c r="W36" i="19"/>
  <c r="X36" i="19"/>
  <c r="Y36" i="19"/>
  <c r="Z36" i="19"/>
  <c r="T37" i="19"/>
  <c r="U37" i="19"/>
  <c r="V37" i="19"/>
  <c r="W37" i="19"/>
  <c r="X37" i="19"/>
  <c r="Y37" i="19"/>
  <c r="Z37" i="19"/>
  <c r="T38" i="19"/>
  <c r="U38" i="19"/>
  <c r="V38" i="19"/>
  <c r="W38" i="19"/>
  <c r="X38" i="19"/>
  <c r="Y38" i="19"/>
  <c r="Z38" i="19"/>
  <c r="T39" i="19"/>
  <c r="U39" i="19"/>
  <c r="V39" i="19"/>
  <c r="W39" i="19"/>
  <c r="X39" i="19"/>
  <c r="Y39" i="19"/>
  <c r="Z39" i="19"/>
  <c r="U25" i="19"/>
  <c r="V25" i="19"/>
  <c r="W25" i="19"/>
  <c r="X25" i="19"/>
  <c r="Y25" i="19"/>
  <c r="Z25" i="19"/>
  <c r="T25" i="19"/>
  <c r="T7" i="19"/>
  <c r="U7" i="19"/>
  <c r="V7" i="19"/>
  <c r="W7" i="19"/>
  <c r="X7" i="19"/>
  <c r="Y7" i="19"/>
  <c r="Z7" i="19"/>
  <c r="T8" i="19"/>
  <c r="U8" i="19"/>
  <c r="V8" i="19"/>
  <c r="W8" i="19"/>
  <c r="X8" i="19"/>
  <c r="Y8" i="19"/>
  <c r="Z8" i="19"/>
  <c r="T9" i="19"/>
  <c r="U9" i="19"/>
  <c r="V9" i="19"/>
  <c r="W9" i="19"/>
  <c r="X9" i="19"/>
  <c r="Y9" i="19"/>
  <c r="Z9" i="19"/>
  <c r="T10" i="19"/>
  <c r="U10" i="19"/>
  <c r="V10" i="19"/>
  <c r="W10" i="19"/>
  <c r="X10" i="19"/>
  <c r="Y10" i="19"/>
  <c r="Z10" i="19"/>
  <c r="T11" i="19"/>
  <c r="U11" i="19"/>
  <c r="V11" i="19"/>
  <c r="W11" i="19"/>
  <c r="X11" i="19"/>
  <c r="Y11" i="19"/>
  <c r="Z11" i="19"/>
  <c r="T12" i="19"/>
  <c r="U12" i="19"/>
  <c r="V12" i="19"/>
  <c r="W12" i="19"/>
  <c r="X12" i="19"/>
  <c r="Y12" i="19"/>
  <c r="Z12" i="19"/>
  <c r="T13" i="19"/>
  <c r="U13" i="19"/>
  <c r="V13" i="19"/>
  <c r="W13" i="19"/>
  <c r="X13" i="19"/>
  <c r="Y13" i="19"/>
  <c r="Z13" i="19"/>
  <c r="T14" i="19"/>
  <c r="U14" i="19"/>
  <c r="V14" i="19"/>
  <c r="W14" i="19"/>
  <c r="X14" i="19"/>
  <c r="Y14" i="19"/>
  <c r="Z14" i="19"/>
  <c r="T15" i="19"/>
  <c r="U15" i="19"/>
  <c r="V15" i="19"/>
  <c r="W15" i="19"/>
  <c r="X15" i="19"/>
  <c r="Y15" i="19"/>
  <c r="Z15" i="19"/>
  <c r="T16" i="19"/>
  <c r="U16" i="19"/>
  <c r="V16" i="19"/>
  <c r="W16" i="19"/>
  <c r="X16" i="19"/>
  <c r="Y16" i="19"/>
  <c r="Z16" i="19"/>
  <c r="T17" i="19"/>
  <c r="U17" i="19"/>
  <c r="V17" i="19"/>
  <c r="W17" i="19"/>
  <c r="X17" i="19"/>
  <c r="Y17" i="19"/>
  <c r="Z17" i="19"/>
  <c r="T18" i="19"/>
  <c r="U18" i="19"/>
  <c r="V18" i="19"/>
  <c r="W18" i="19"/>
  <c r="X18" i="19"/>
  <c r="Y18" i="19"/>
  <c r="Z18" i="19"/>
  <c r="T19" i="19"/>
  <c r="U19" i="19"/>
  <c r="V19" i="19"/>
  <c r="W19" i="19"/>
  <c r="X19" i="19"/>
  <c r="Y19" i="19"/>
  <c r="Z19" i="19"/>
  <c r="T20" i="19"/>
  <c r="U20" i="19"/>
  <c r="V20" i="19"/>
  <c r="W20" i="19"/>
  <c r="X20" i="19"/>
  <c r="Y20" i="19"/>
  <c r="Z20" i="19"/>
  <c r="U6" i="19"/>
  <c r="V6" i="19"/>
  <c r="W6" i="19"/>
  <c r="X6" i="19"/>
  <c r="Y6" i="19"/>
  <c r="Z6" i="19"/>
  <c r="T6" i="19"/>
  <c r="K140" i="19"/>
  <c r="L140" i="19"/>
  <c r="M140" i="19"/>
  <c r="N140" i="19"/>
  <c r="O140" i="19"/>
  <c r="P140" i="19"/>
  <c r="Q140" i="19"/>
  <c r="K141" i="19"/>
  <c r="L141" i="19"/>
  <c r="M141" i="19"/>
  <c r="N141" i="19"/>
  <c r="O141" i="19"/>
  <c r="P141" i="19"/>
  <c r="Q141" i="19"/>
  <c r="K142" i="19"/>
  <c r="L142" i="19"/>
  <c r="M142" i="19"/>
  <c r="N142" i="19"/>
  <c r="O142" i="19"/>
  <c r="P142" i="19"/>
  <c r="Q142" i="19"/>
  <c r="K143" i="19"/>
  <c r="L143" i="19"/>
  <c r="M143" i="19"/>
  <c r="N143" i="19"/>
  <c r="O143" i="19"/>
  <c r="P143" i="19"/>
  <c r="Q143" i="19"/>
  <c r="K144" i="19"/>
  <c r="L144" i="19"/>
  <c r="M144" i="19"/>
  <c r="N144" i="19"/>
  <c r="O144" i="19"/>
  <c r="P144" i="19"/>
  <c r="Q144" i="19"/>
  <c r="K145" i="19"/>
  <c r="L145" i="19"/>
  <c r="M145" i="19"/>
  <c r="N145" i="19"/>
  <c r="O145" i="19"/>
  <c r="P145" i="19"/>
  <c r="Q145" i="19"/>
  <c r="K146" i="19"/>
  <c r="L146" i="19"/>
  <c r="M146" i="19"/>
  <c r="N146" i="19"/>
  <c r="O146" i="19"/>
  <c r="P146" i="19"/>
  <c r="Q146" i="19"/>
  <c r="K147" i="19"/>
  <c r="L147" i="19"/>
  <c r="M147" i="19"/>
  <c r="N147" i="19"/>
  <c r="O147" i="19"/>
  <c r="P147" i="19"/>
  <c r="Q147" i="19"/>
  <c r="K148" i="19"/>
  <c r="L148" i="19"/>
  <c r="M148" i="19"/>
  <c r="N148" i="19"/>
  <c r="O148" i="19"/>
  <c r="P148" i="19"/>
  <c r="Q148" i="19"/>
  <c r="K149" i="19"/>
  <c r="L149" i="19"/>
  <c r="M149" i="19"/>
  <c r="N149" i="19"/>
  <c r="O149" i="19"/>
  <c r="P149" i="19"/>
  <c r="Q149" i="19"/>
  <c r="K150" i="19"/>
  <c r="L150" i="19"/>
  <c r="M150" i="19"/>
  <c r="N150" i="19"/>
  <c r="O150" i="19"/>
  <c r="P150" i="19"/>
  <c r="Q150" i="19"/>
  <c r="K151" i="19"/>
  <c r="L151" i="19"/>
  <c r="M151" i="19"/>
  <c r="N151" i="19"/>
  <c r="O151" i="19"/>
  <c r="P151" i="19"/>
  <c r="Q151" i="19"/>
  <c r="K152" i="19"/>
  <c r="L152" i="19"/>
  <c r="M152" i="19"/>
  <c r="N152" i="19"/>
  <c r="O152" i="19"/>
  <c r="P152" i="19"/>
  <c r="Q152" i="19"/>
  <c r="K153" i="19"/>
  <c r="L153" i="19"/>
  <c r="M153" i="19"/>
  <c r="N153" i="19"/>
  <c r="O153" i="19"/>
  <c r="P153" i="19"/>
  <c r="Q153" i="19"/>
  <c r="L139" i="19"/>
  <c r="M139" i="19"/>
  <c r="N139" i="19"/>
  <c r="O139" i="19"/>
  <c r="P139" i="19"/>
  <c r="Q139" i="19"/>
  <c r="K139" i="19"/>
  <c r="K121" i="19"/>
  <c r="L121" i="19"/>
  <c r="M121" i="19"/>
  <c r="N121" i="19"/>
  <c r="O121" i="19"/>
  <c r="P121" i="19"/>
  <c r="Q121" i="19"/>
  <c r="K122" i="19"/>
  <c r="L122" i="19"/>
  <c r="M122" i="19"/>
  <c r="N122" i="19"/>
  <c r="O122" i="19"/>
  <c r="P122" i="19"/>
  <c r="Q122" i="19"/>
  <c r="K123" i="19"/>
  <c r="L123" i="19"/>
  <c r="M123" i="19"/>
  <c r="N123" i="19"/>
  <c r="O123" i="19"/>
  <c r="P123" i="19"/>
  <c r="Q123" i="19"/>
  <c r="K124" i="19"/>
  <c r="L124" i="19"/>
  <c r="M124" i="19"/>
  <c r="N124" i="19"/>
  <c r="O124" i="19"/>
  <c r="P124" i="19"/>
  <c r="Q124" i="19"/>
  <c r="K125" i="19"/>
  <c r="L125" i="19"/>
  <c r="M125" i="19"/>
  <c r="N125" i="19"/>
  <c r="O125" i="19"/>
  <c r="P125" i="19"/>
  <c r="Q125" i="19"/>
  <c r="K126" i="19"/>
  <c r="L126" i="19"/>
  <c r="M126" i="19"/>
  <c r="N126" i="19"/>
  <c r="O126" i="19"/>
  <c r="P126" i="19"/>
  <c r="Q126" i="19"/>
  <c r="K127" i="19"/>
  <c r="L127" i="19"/>
  <c r="M127" i="19"/>
  <c r="N127" i="19"/>
  <c r="O127" i="19"/>
  <c r="P127" i="19"/>
  <c r="Q127" i="19"/>
  <c r="K128" i="19"/>
  <c r="L128" i="19"/>
  <c r="M128" i="19"/>
  <c r="N128" i="19"/>
  <c r="O128" i="19"/>
  <c r="P128" i="19"/>
  <c r="Q128" i="19"/>
  <c r="K129" i="19"/>
  <c r="L129" i="19"/>
  <c r="M129" i="19"/>
  <c r="N129" i="19"/>
  <c r="O129" i="19"/>
  <c r="P129" i="19"/>
  <c r="Q129" i="19"/>
  <c r="K130" i="19"/>
  <c r="L130" i="19"/>
  <c r="M130" i="19"/>
  <c r="N130" i="19"/>
  <c r="O130" i="19"/>
  <c r="P130" i="19"/>
  <c r="Q130" i="19"/>
  <c r="K131" i="19"/>
  <c r="L131" i="19"/>
  <c r="M131" i="19"/>
  <c r="N131" i="19"/>
  <c r="O131" i="19"/>
  <c r="P131" i="19"/>
  <c r="Q131" i="19"/>
  <c r="K132" i="19"/>
  <c r="L132" i="19"/>
  <c r="M132" i="19"/>
  <c r="N132" i="19"/>
  <c r="O132" i="19"/>
  <c r="P132" i="19"/>
  <c r="Q132" i="19"/>
  <c r="K133" i="19"/>
  <c r="L133" i="19"/>
  <c r="M133" i="19"/>
  <c r="N133" i="19"/>
  <c r="O133" i="19"/>
  <c r="P133" i="19"/>
  <c r="Q133" i="19"/>
  <c r="K134" i="19"/>
  <c r="L134" i="19"/>
  <c r="M134" i="19"/>
  <c r="N134" i="19"/>
  <c r="O134" i="19"/>
  <c r="P134" i="19"/>
  <c r="Q134" i="19"/>
  <c r="L120" i="19"/>
  <c r="M120" i="19"/>
  <c r="N120" i="19"/>
  <c r="O120" i="19"/>
  <c r="P120" i="19"/>
  <c r="Q120" i="19"/>
  <c r="K120" i="19"/>
  <c r="K102" i="19"/>
  <c r="L102" i="19"/>
  <c r="M102" i="19"/>
  <c r="N102" i="19"/>
  <c r="O102" i="19"/>
  <c r="P102" i="19"/>
  <c r="Q102" i="19"/>
  <c r="K103" i="19"/>
  <c r="L103" i="19"/>
  <c r="M103" i="19"/>
  <c r="N103" i="19"/>
  <c r="O103" i="19"/>
  <c r="P103" i="19"/>
  <c r="Q103" i="19"/>
  <c r="K104" i="19"/>
  <c r="L104" i="19"/>
  <c r="M104" i="19"/>
  <c r="N104" i="19"/>
  <c r="O104" i="19"/>
  <c r="P104" i="19"/>
  <c r="Q104" i="19"/>
  <c r="K105" i="19"/>
  <c r="L105" i="19"/>
  <c r="M105" i="19"/>
  <c r="N105" i="19"/>
  <c r="O105" i="19"/>
  <c r="P105" i="19"/>
  <c r="Q105" i="19"/>
  <c r="K106" i="19"/>
  <c r="L106" i="19"/>
  <c r="M106" i="19"/>
  <c r="N106" i="19"/>
  <c r="O106" i="19"/>
  <c r="P106" i="19"/>
  <c r="Q106" i="19"/>
  <c r="K107" i="19"/>
  <c r="L107" i="19"/>
  <c r="M107" i="19"/>
  <c r="N107" i="19"/>
  <c r="O107" i="19"/>
  <c r="P107" i="19"/>
  <c r="Q107" i="19"/>
  <c r="K108" i="19"/>
  <c r="L108" i="19"/>
  <c r="M108" i="19"/>
  <c r="N108" i="19"/>
  <c r="O108" i="19"/>
  <c r="P108" i="19"/>
  <c r="Q108" i="19"/>
  <c r="K109" i="19"/>
  <c r="L109" i="19"/>
  <c r="M109" i="19"/>
  <c r="N109" i="19"/>
  <c r="O109" i="19"/>
  <c r="P109" i="19"/>
  <c r="Q109" i="19"/>
  <c r="K110" i="19"/>
  <c r="L110" i="19"/>
  <c r="M110" i="19"/>
  <c r="N110" i="19"/>
  <c r="O110" i="19"/>
  <c r="P110" i="19"/>
  <c r="Q110" i="19"/>
  <c r="K111" i="19"/>
  <c r="L111" i="19"/>
  <c r="M111" i="19"/>
  <c r="N111" i="19"/>
  <c r="O111" i="19"/>
  <c r="P111" i="19"/>
  <c r="Q111" i="19"/>
  <c r="K112" i="19"/>
  <c r="L112" i="19"/>
  <c r="M112" i="19"/>
  <c r="N112" i="19"/>
  <c r="O112" i="19"/>
  <c r="P112" i="19"/>
  <c r="Q112" i="19"/>
  <c r="K113" i="19"/>
  <c r="L113" i="19"/>
  <c r="M113" i="19"/>
  <c r="N113" i="19"/>
  <c r="O113" i="19"/>
  <c r="P113" i="19"/>
  <c r="Q113" i="19"/>
  <c r="K114" i="19"/>
  <c r="L114" i="19"/>
  <c r="M114" i="19"/>
  <c r="N114" i="19"/>
  <c r="O114" i="19"/>
  <c r="P114" i="19"/>
  <c r="Q114" i="19"/>
  <c r="K115" i="19"/>
  <c r="L115" i="19"/>
  <c r="M115" i="19"/>
  <c r="N115" i="19"/>
  <c r="O115" i="19"/>
  <c r="P115" i="19"/>
  <c r="Q115" i="19"/>
  <c r="L101" i="19"/>
  <c r="M101" i="19"/>
  <c r="N101" i="19"/>
  <c r="O101" i="19"/>
  <c r="P101" i="19"/>
  <c r="Q101" i="19"/>
  <c r="K101" i="19"/>
  <c r="K83" i="19"/>
  <c r="L83" i="19"/>
  <c r="M83" i="19"/>
  <c r="N83" i="19"/>
  <c r="O83" i="19"/>
  <c r="P83" i="19"/>
  <c r="Q83" i="19"/>
  <c r="K84" i="19"/>
  <c r="L84" i="19"/>
  <c r="M84" i="19"/>
  <c r="N84" i="19"/>
  <c r="O84" i="19"/>
  <c r="P84" i="19"/>
  <c r="Q84" i="19"/>
  <c r="K85" i="19"/>
  <c r="L85" i="19"/>
  <c r="M85" i="19"/>
  <c r="N85" i="19"/>
  <c r="O85" i="19"/>
  <c r="P85" i="19"/>
  <c r="Q85" i="19"/>
  <c r="K86" i="19"/>
  <c r="L86" i="19"/>
  <c r="M86" i="19"/>
  <c r="N86" i="19"/>
  <c r="O86" i="19"/>
  <c r="P86" i="19"/>
  <c r="Q86" i="19"/>
  <c r="K87" i="19"/>
  <c r="L87" i="19"/>
  <c r="M87" i="19"/>
  <c r="N87" i="19"/>
  <c r="O87" i="19"/>
  <c r="P87" i="19"/>
  <c r="Q87" i="19"/>
  <c r="K88" i="19"/>
  <c r="L88" i="19"/>
  <c r="M88" i="19"/>
  <c r="N88" i="19"/>
  <c r="O88" i="19"/>
  <c r="P88" i="19"/>
  <c r="Q88" i="19"/>
  <c r="K89" i="19"/>
  <c r="L89" i="19"/>
  <c r="M89" i="19"/>
  <c r="N89" i="19"/>
  <c r="O89" i="19"/>
  <c r="P89" i="19"/>
  <c r="Q89" i="19"/>
  <c r="K90" i="19"/>
  <c r="L90" i="19"/>
  <c r="M90" i="19"/>
  <c r="N90" i="19"/>
  <c r="O90" i="19"/>
  <c r="P90" i="19"/>
  <c r="Q90" i="19"/>
  <c r="K91" i="19"/>
  <c r="L91" i="19"/>
  <c r="M91" i="19"/>
  <c r="N91" i="19"/>
  <c r="O91" i="19"/>
  <c r="P91" i="19"/>
  <c r="Q91" i="19"/>
  <c r="K92" i="19"/>
  <c r="L92" i="19"/>
  <c r="M92" i="19"/>
  <c r="N92" i="19"/>
  <c r="O92" i="19"/>
  <c r="P92" i="19"/>
  <c r="Q92" i="19"/>
  <c r="K93" i="19"/>
  <c r="L93" i="19"/>
  <c r="M93" i="19"/>
  <c r="N93" i="19"/>
  <c r="O93" i="19"/>
  <c r="P93" i="19"/>
  <c r="Q93" i="19"/>
  <c r="K94" i="19"/>
  <c r="L94" i="19"/>
  <c r="M94" i="19"/>
  <c r="N94" i="19"/>
  <c r="O94" i="19"/>
  <c r="P94" i="19"/>
  <c r="Q94" i="19"/>
  <c r="K95" i="19"/>
  <c r="L95" i="19"/>
  <c r="M95" i="19"/>
  <c r="N95" i="19"/>
  <c r="O95" i="19"/>
  <c r="P95" i="19"/>
  <c r="Q95" i="19"/>
  <c r="K96" i="19"/>
  <c r="L96" i="19"/>
  <c r="M96" i="19"/>
  <c r="N96" i="19"/>
  <c r="O96" i="19"/>
  <c r="P96" i="19"/>
  <c r="Q96" i="19"/>
  <c r="L82" i="19"/>
  <c r="M82" i="19"/>
  <c r="N82" i="19"/>
  <c r="O82" i="19"/>
  <c r="P82" i="19"/>
  <c r="Q82" i="19"/>
  <c r="K82" i="19"/>
  <c r="K64" i="19"/>
  <c r="L64" i="19"/>
  <c r="M64" i="19"/>
  <c r="N64" i="19"/>
  <c r="O64" i="19"/>
  <c r="P64" i="19"/>
  <c r="Q64" i="19"/>
  <c r="K65" i="19"/>
  <c r="L65" i="19"/>
  <c r="M65" i="19"/>
  <c r="N65" i="19"/>
  <c r="O65" i="19"/>
  <c r="P65" i="19"/>
  <c r="Q65" i="19"/>
  <c r="K66" i="19"/>
  <c r="L66" i="19"/>
  <c r="M66" i="19"/>
  <c r="N66" i="19"/>
  <c r="O66" i="19"/>
  <c r="P66" i="19"/>
  <c r="Q66" i="19"/>
  <c r="K67" i="19"/>
  <c r="L67" i="19"/>
  <c r="M67" i="19"/>
  <c r="N67" i="19"/>
  <c r="O67" i="19"/>
  <c r="P67" i="19"/>
  <c r="Q67" i="19"/>
  <c r="K68" i="19"/>
  <c r="L68" i="19"/>
  <c r="M68" i="19"/>
  <c r="N68" i="19"/>
  <c r="O68" i="19"/>
  <c r="P68" i="19"/>
  <c r="Q68" i="19"/>
  <c r="K69" i="19"/>
  <c r="L69" i="19"/>
  <c r="M69" i="19"/>
  <c r="N69" i="19"/>
  <c r="O69" i="19"/>
  <c r="P69" i="19"/>
  <c r="Q69" i="19"/>
  <c r="K70" i="19"/>
  <c r="L70" i="19"/>
  <c r="M70" i="19"/>
  <c r="N70" i="19"/>
  <c r="O70" i="19"/>
  <c r="P70" i="19"/>
  <c r="Q70" i="19"/>
  <c r="K71" i="19"/>
  <c r="L71" i="19"/>
  <c r="M71" i="19"/>
  <c r="N71" i="19"/>
  <c r="O71" i="19"/>
  <c r="P71" i="19"/>
  <c r="Q71" i="19"/>
  <c r="K72" i="19"/>
  <c r="L72" i="19"/>
  <c r="M72" i="19"/>
  <c r="N72" i="19"/>
  <c r="O72" i="19"/>
  <c r="P72" i="19"/>
  <c r="Q72" i="19"/>
  <c r="K73" i="19"/>
  <c r="L73" i="19"/>
  <c r="M73" i="19"/>
  <c r="N73" i="19"/>
  <c r="O73" i="19"/>
  <c r="P73" i="19"/>
  <c r="Q73" i="19"/>
  <c r="K74" i="19"/>
  <c r="L74" i="19"/>
  <c r="M74" i="19"/>
  <c r="N74" i="19"/>
  <c r="O74" i="19"/>
  <c r="P74" i="19"/>
  <c r="Q74" i="19"/>
  <c r="K75" i="19"/>
  <c r="L75" i="19"/>
  <c r="M75" i="19"/>
  <c r="N75" i="19"/>
  <c r="O75" i="19"/>
  <c r="P75" i="19"/>
  <c r="Q75" i="19"/>
  <c r="K76" i="19"/>
  <c r="L76" i="19"/>
  <c r="M76" i="19"/>
  <c r="N76" i="19"/>
  <c r="O76" i="19"/>
  <c r="P76" i="19"/>
  <c r="Q76" i="19"/>
  <c r="K77" i="19"/>
  <c r="L77" i="19"/>
  <c r="M77" i="19"/>
  <c r="N77" i="19"/>
  <c r="O77" i="19"/>
  <c r="P77" i="19"/>
  <c r="Q77" i="19"/>
  <c r="L63" i="19"/>
  <c r="M63" i="19"/>
  <c r="N63" i="19"/>
  <c r="O63" i="19"/>
  <c r="P63" i="19"/>
  <c r="Q63" i="19"/>
  <c r="K63" i="19"/>
  <c r="K45" i="19"/>
  <c r="L45" i="19"/>
  <c r="M45" i="19"/>
  <c r="N45" i="19"/>
  <c r="O45" i="19"/>
  <c r="P45" i="19"/>
  <c r="Q45" i="19"/>
  <c r="K46" i="19"/>
  <c r="L46" i="19"/>
  <c r="M46" i="19"/>
  <c r="N46" i="19"/>
  <c r="O46" i="19"/>
  <c r="P46" i="19"/>
  <c r="Q46" i="19"/>
  <c r="K47" i="19"/>
  <c r="L47" i="19"/>
  <c r="M47" i="19"/>
  <c r="N47" i="19"/>
  <c r="O47" i="19"/>
  <c r="P47" i="19"/>
  <c r="Q47" i="19"/>
  <c r="K48" i="19"/>
  <c r="L48" i="19"/>
  <c r="M48" i="19"/>
  <c r="N48" i="19"/>
  <c r="O48" i="19"/>
  <c r="P48" i="19"/>
  <c r="Q48" i="19"/>
  <c r="K49" i="19"/>
  <c r="L49" i="19"/>
  <c r="M49" i="19"/>
  <c r="N49" i="19"/>
  <c r="O49" i="19"/>
  <c r="P49" i="19"/>
  <c r="Q49" i="19"/>
  <c r="K50" i="19"/>
  <c r="L50" i="19"/>
  <c r="M50" i="19"/>
  <c r="N50" i="19"/>
  <c r="O50" i="19"/>
  <c r="P50" i="19"/>
  <c r="Q50" i="19"/>
  <c r="K51" i="19"/>
  <c r="L51" i="19"/>
  <c r="M51" i="19"/>
  <c r="N51" i="19"/>
  <c r="O51" i="19"/>
  <c r="P51" i="19"/>
  <c r="Q51" i="19"/>
  <c r="K52" i="19"/>
  <c r="L52" i="19"/>
  <c r="M52" i="19"/>
  <c r="N52" i="19"/>
  <c r="O52" i="19"/>
  <c r="P52" i="19"/>
  <c r="Q52" i="19"/>
  <c r="K53" i="19"/>
  <c r="L53" i="19"/>
  <c r="M53" i="19"/>
  <c r="N53" i="19"/>
  <c r="O53" i="19"/>
  <c r="P53" i="19"/>
  <c r="Q53" i="19"/>
  <c r="K54" i="19"/>
  <c r="L54" i="19"/>
  <c r="M54" i="19"/>
  <c r="N54" i="19"/>
  <c r="O54" i="19"/>
  <c r="P54" i="19"/>
  <c r="Q54" i="19"/>
  <c r="K55" i="19"/>
  <c r="L55" i="19"/>
  <c r="M55" i="19"/>
  <c r="N55" i="19"/>
  <c r="O55" i="19"/>
  <c r="P55" i="19"/>
  <c r="Q55" i="19"/>
  <c r="K56" i="19"/>
  <c r="L56" i="19"/>
  <c r="M56" i="19"/>
  <c r="N56" i="19"/>
  <c r="O56" i="19"/>
  <c r="P56" i="19"/>
  <c r="Q56" i="19"/>
  <c r="K57" i="19"/>
  <c r="L57" i="19"/>
  <c r="M57" i="19"/>
  <c r="N57" i="19"/>
  <c r="O57" i="19"/>
  <c r="P57" i="19"/>
  <c r="Q57" i="19"/>
  <c r="K58" i="19"/>
  <c r="L58" i="19"/>
  <c r="M58" i="19"/>
  <c r="N58" i="19"/>
  <c r="O58" i="19"/>
  <c r="P58" i="19"/>
  <c r="Q58" i="19"/>
  <c r="L44" i="19"/>
  <c r="M44" i="19"/>
  <c r="N44" i="19"/>
  <c r="O44" i="19"/>
  <c r="P44" i="19"/>
  <c r="Q44" i="19"/>
  <c r="K44" i="19"/>
  <c r="K26" i="19"/>
  <c r="L26" i="19"/>
  <c r="M26" i="19"/>
  <c r="N26" i="19"/>
  <c r="O26" i="19"/>
  <c r="P26" i="19"/>
  <c r="Q26" i="19"/>
  <c r="K27" i="19"/>
  <c r="L27" i="19"/>
  <c r="M27" i="19"/>
  <c r="N27" i="19"/>
  <c r="O27" i="19"/>
  <c r="P27" i="19"/>
  <c r="Q27" i="19"/>
  <c r="K28" i="19"/>
  <c r="L28" i="19"/>
  <c r="M28" i="19"/>
  <c r="N28" i="19"/>
  <c r="O28" i="19"/>
  <c r="P28" i="19"/>
  <c r="Q28" i="19"/>
  <c r="K29" i="19"/>
  <c r="L29" i="19"/>
  <c r="M29" i="19"/>
  <c r="N29" i="19"/>
  <c r="O29" i="19"/>
  <c r="P29" i="19"/>
  <c r="Q29" i="19"/>
  <c r="K30" i="19"/>
  <c r="L30" i="19"/>
  <c r="M30" i="19"/>
  <c r="N30" i="19"/>
  <c r="O30" i="19"/>
  <c r="P30" i="19"/>
  <c r="Q30" i="19"/>
  <c r="K31" i="19"/>
  <c r="L31" i="19"/>
  <c r="M31" i="19"/>
  <c r="N31" i="19"/>
  <c r="O31" i="19"/>
  <c r="P31" i="19"/>
  <c r="Q31" i="19"/>
  <c r="K32" i="19"/>
  <c r="L32" i="19"/>
  <c r="M32" i="19"/>
  <c r="N32" i="19"/>
  <c r="O32" i="19"/>
  <c r="P32" i="19"/>
  <c r="Q32" i="19"/>
  <c r="K33" i="19"/>
  <c r="L33" i="19"/>
  <c r="M33" i="19"/>
  <c r="N33" i="19"/>
  <c r="O33" i="19"/>
  <c r="P33" i="19"/>
  <c r="Q33" i="19"/>
  <c r="K34" i="19"/>
  <c r="L34" i="19"/>
  <c r="M34" i="19"/>
  <c r="N34" i="19"/>
  <c r="O34" i="19"/>
  <c r="P34" i="19"/>
  <c r="Q34" i="19"/>
  <c r="K35" i="19"/>
  <c r="L35" i="19"/>
  <c r="M35" i="19"/>
  <c r="N35" i="19"/>
  <c r="O35" i="19"/>
  <c r="P35" i="19"/>
  <c r="Q35" i="19"/>
  <c r="K36" i="19"/>
  <c r="L36" i="19"/>
  <c r="M36" i="19"/>
  <c r="N36" i="19"/>
  <c r="O36" i="19"/>
  <c r="P36" i="19"/>
  <c r="Q36" i="19"/>
  <c r="K37" i="19"/>
  <c r="L37" i="19"/>
  <c r="M37" i="19"/>
  <c r="N37" i="19"/>
  <c r="O37" i="19"/>
  <c r="P37" i="19"/>
  <c r="Q37" i="19"/>
  <c r="K38" i="19"/>
  <c r="L38" i="19"/>
  <c r="M38" i="19"/>
  <c r="N38" i="19"/>
  <c r="O38" i="19"/>
  <c r="P38" i="19"/>
  <c r="Q38" i="19"/>
  <c r="K39" i="19"/>
  <c r="L39" i="19"/>
  <c r="M39" i="19"/>
  <c r="N39" i="19"/>
  <c r="O39" i="19"/>
  <c r="P39" i="19"/>
  <c r="Q39" i="19"/>
  <c r="L25" i="19"/>
  <c r="M25" i="19"/>
  <c r="N25" i="19"/>
  <c r="O25" i="19"/>
  <c r="P25" i="19"/>
  <c r="Q25" i="19"/>
  <c r="K25" i="19"/>
  <c r="K7" i="19"/>
  <c r="L7" i="19"/>
  <c r="M7" i="19"/>
  <c r="N7" i="19"/>
  <c r="O7" i="19"/>
  <c r="P7" i="19"/>
  <c r="Q7" i="19"/>
  <c r="K8" i="19"/>
  <c r="L8" i="19"/>
  <c r="M8" i="19"/>
  <c r="N8" i="19"/>
  <c r="O8" i="19"/>
  <c r="P8" i="19"/>
  <c r="Q8" i="19"/>
  <c r="K9" i="19"/>
  <c r="L9" i="19"/>
  <c r="M9" i="19"/>
  <c r="N9" i="19"/>
  <c r="O9" i="19"/>
  <c r="P9" i="19"/>
  <c r="Q9" i="19"/>
  <c r="K10" i="19"/>
  <c r="L10" i="19"/>
  <c r="M10" i="19"/>
  <c r="N10" i="19"/>
  <c r="O10" i="19"/>
  <c r="P10" i="19"/>
  <c r="Q10" i="19"/>
  <c r="K11" i="19"/>
  <c r="L11" i="19"/>
  <c r="M11" i="19"/>
  <c r="N11" i="19"/>
  <c r="O11" i="19"/>
  <c r="P11" i="19"/>
  <c r="Q11" i="19"/>
  <c r="K12" i="19"/>
  <c r="L12" i="19"/>
  <c r="M12" i="19"/>
  <c r="N12" i="19"/>
  <c r="O12" i="19"/>
  <c r="P12" i="19"/>
  <c r="Q12" i="19"/>
  <c r="K13" i="19"/>
  <c r="L13" i="19"/>
  <c r="M13" i="19"/>
  <c r="N13" i="19"/>
  <c r="O13" i="19"/>
  <c r="P13" i="19"/>
  <c r="Q13" i="19"/>
  <c r="K14" i="19"/>
  <c r="L14" i="19"/>
  <c r="M14" i="19"/>
  <c r="N14" i="19"/>
  <c r="O14" i="19"/>
  <c r="P14" i="19"/>
  <c r="Q14" i="19"/>
  <c r="K15" i="19"/>
  <c r="L15" i="19"/>
  <c r="M15" i="19"/>
  <c r="N15" i="19"/>
  <c r="O15" i="19"/>
  <c r="P15" i="19"/>
  <c r="Q15" i="19"/>
  <c r="K16" i="19"/>
  <c r="L16" i="19"/>
  <c r="M16" i="19"/>
  <c r="N16" i="19"/>
  <c r="O16" i="19"/>
  <c r="P16" i="19"/>
  <c r="Q16" i="19"/>
  <c r="K17" i="19"/>
  <c r="L17" i="19"/>
  <c r="M17" i="19"/>
  <c r="N17" i="19"/>
  <c r="O17" i="19"/>
  <c r="P17" i="19"/>
  <c r="Q17" i="19"/>
  <c r="K18" i="19"/>
  <c r="L18" i="19"/>
  <c r="M18" i="19"/>
  <c r="N18" i="19"/>
  <c r="O18" i="19"/>
  <c r="P18" i="19"/>
  <c r="Q18" i="19"/>
  <c r="K19" i="19"/>
  <c r="L19" i="19"/>
  <c r="M19" i="19"/>
  <c r="N19" i="19"/>
  <c r="O19" i="19"/>
  <c r="P19" i="19"/>
  <c r="Q19" i="19"/>
  <c r="K20" i="19"/>
  <c r="L20" i="19"/>
  <c r="M20" i="19"/>
  <c r="N20" i="19"/>
  <c r="O20" i="19"/>
  <c r="P20" i="19"/>
  <c r="Q20" i="19"/>
  <c r="L6" i="19"/>
  <c r="M6" i="19"/>
  <c r="N6" i="19"/>
  <c r="O6" i="19"/>
  <c r="P6" i="19"/>
  <c r="Q6" i="19"/>
  <c r="K6" i="19"/>
  <c r="B140" i="19"/>
  <c r="C140" i="19"/>
  <c r="D140" i="19"/>
  <c r="E140" i="19"/>
  <c r="F140" i="19"/>
  <c r="G140" i="19"/>
  <c r="H140" i="19"/>
  <c r="B141" i="19"/>
  <c r="C141" i="19"/>
  <c r="D141" i="19"/>
  <c r="E141" i="19"/>
  <c r="F141" i="19"/>
  <c r="G141" i="19"/>
  <c r="H141" i="19"/>
  <c r="B142" i="19"/>
  <c r="C142" i="19"/>
  <c r="D142" i="19"/>
  <c r="E142" i="19"/>
  <c r="F142" i="19"/>
  <c r="G142" i="19"/>
  <c r="H142" i="19"/>
  <c r="B143" i="19"/>
  <c r="C143" i="19"/>
  <c r="D143" i="19"/>
  <c r="E143" i="19"/>
  <c r="F143" i="19"/>
  <c r="G143" i="19"/>
  <c r="H143" i="19"/>
  <c r="B144" i="19"/>
  <c r="C144" i="19"/>
  <c r="D144" i="19"/>
  <c r="E144" i="19"/>
  <c r="F144" i="19"/>
  <c r="G144" i="19"/>
  <c r="H144" i="19"/>
  <c r="B145" i="19"/>
  <c r="C145" i="19"/>
  <c r="D145" i="19"/>
  <c r="E145" i="19"/>
  <c r="F145" i="19"/>
  <c r="G145" i="19"/>
  <c r="H145" i="19"/>
  <c r="B146" i="19"/>
  <c r="C146" i="19"/>
  <c r="D146" i="19"/>
  <c r="E146" i="19"/>
  <c r="F146" i="19"/>
  <c r="G146" i="19"/>
  <c r="H146" i="19"/>
  <c r="B147" i="19"/>
  <c r="C147" i="19"/>
  <c r="D147" i="19"/>
  <c r="E147" i="19"/>
  <c r="F147" i="19"/>
  <c r="G147" i="19"/>
  <c r="H147" i="19"/>
  <c r="B148" i="19"/>
  <c r="C148" i="19"/>
  <c r="D148" i="19"/>
  <c r="E148" i="19"/>
  <c r="F148" i="19"/>
  <c r="G148" i="19"/>
  <c r="H148" i="19"/>
  <c r="B149" i="19"/>
  <c r="C149" i="19"/>
  <c r="D149" i="19"/>
  <c r="E149" i="19"/>
  <c r="F149" i="19"/>
  <c r="G149" i="19"/>
  <c r="H149" i="19"/>
  <c r="B150" i="19"/>
  <c r="C150" i="19"/>
  <c r="D150" i="19"/>
  <c r="E150" i="19"/>
  <c r="F150" i="19"/>
  <c r="G150" i="19"/>
  <c r="H150" i="19"/>
  <c r="B151" i="19"/>
  <c r="C151" i="19"/>
  <c r="D151" i="19"/>
  <c r="E151" i="19"/>
  <c r="F151" i="19"/>
  <c r="G151" i="19"/>
  <c r="H151" i="19"/>
  <c r="B152" i="19"/>
  <c r="C152" i="19"/>
  <c r="D152" i="19"/>
  <c r="E152" i="19"/>
  <c r="F152" i="19"/>
  <c r="G152" i="19"/>
  <c r="H152" i="19"/>
  <c r="B153" i="19"/>
  <c r="C153" i="19"/>
  <c r="D153" i="19"/>
  <c r="E153" i="19"/>
  <c r="F153" i="19"/>
  <c r="G153" i="19"/>
  <c r="H153" i="19"/>
  <c r="C139" i="19"/>
  <c r="D139" i="19"/>
  <c r="E139" i="19"/>
  <c r="F139" i="19"/>
  <c r="G139" i="19"/>
  <c r="H139" i="19"/>
  <c r="B139" i="19"/>
  <c r="B121" i="19"/>
  <c r="C121" i="19"/>
  <c r="D121" i="19"/>
  <c r="E121" i="19"/>
  <c r="F121" i="19"/>
  <c r="G121" i="19"/>
  <c r="H121" i="19"/>
  <c r="B122" i="19"/>
  <c r="C122" i="19"/>
  <c r="D122" i="19"/>
  <c r="E122" i="19"/>
  <c r="F122" i="19"/>
  <c r="G122" i="19"/>
  <c r="H122" i="19"/>
  <c r="B123" i="19"/>
  <c r="C123" i="19"/>
  <c r="D123" i="19"/>
  <c r="E123" i="19"/>
  <c r="F123" i="19"/>
  <c r="G123" i="19"/>
  <c r="H123" i="19"/>
  <c r="B124" i="19"/>
  <c r="C124" i="19"/>
  <c r="D124" i="19"/>
  <c r="E124" i="19"/>
  <c r="F124" i="19"/>
  <c r="G124" i="19"/>
  <c r="H124" i="19"/>
  <c r="B125" i="19"/>
  <c r="C125" i="19"/>
  <c r="D125" i="19"/>
  <c r="E125" i="19"/>
  <c r="F125" i="19"/>
  <c r="G125" i="19"/>
  <c r="H125" i="19"/>
  <c r="B126" i="19"/>
  <c r="C126" i="19"/>
  <c r="D126" i="19"/>
  <c r="E126" i="19"/>
  <c r="F126" i="19"/>
  <c r="G126" i="19"/>
  <c r="H126" i="19"/>
  <c r="B127" i="19"/>
  <c r="C127" i="19"/>
  <c r="D127" i="19"/>
  <c r="E127" i="19"/>
  <c r="F127" i="19"/>
  <c r="G127" i="19"/>
  <c r="H127" i="19"/>
  <c r="B128" i="19"/>
  <c r="C128" i="19"/>
  <c r="D128" i="19"/>
  <c r="E128" i="19"/>
  <c r="F128" i="19"/>
  <c r="G128" i="19"/>
  <c r="H128" i="19"/>
  <c r="B129" i="19"/>
  <c r="C129" i="19"/>
  <c r="D129" i="19"/>
  <c r="E129" i="19"/>
  <c r="F129" i="19"/>
  <c r="G129" i="19"/>
  <c r="H129" i="19"/>
  <c r="B130" i="19"/>
  <c r="C130" i="19"/>
  <c r="D130" i="19"/>
  <c r="E130" i="19"/>
  <c r="F130" i="19"/>
  <c r="G130" i="19"/>
  <c r="H130" i="19"/>
  <c r="B131" i="19"/>
  <c r="C131" i="19"/>
  <c r="D131" i="19"/>
  <c r="E131" i="19"/>
  <c r="F131" i="19"/>
  <c r="G131" i="19"/>
  <c r="H131" i="19"/>
  <c r="B132" i="19"/>
  <c r="C132" i="19"/>
  <c r="D132" i="19"/>
  <c r="E132" i="19"/>
  <c r="F132" i="19"/>
  <c r="G132" i="19"/>
  <c r="H132" i="19"/>
  <c r="B133" i="19"/>
  <c r="C133" i="19"/>
  <c r="D133" i="19"/>
  <c r="E133" i="19"/>
  <c r="F133" i="19"/>
  <c r="G133" i="19"/>
  <c r="H133" i="19"/>
  <c r="B134" i="19"/>
  <c r="C134" i="19"/>
  <c r="D134" i="19"/>
  <c r="E134" i="19"/>
  <c r="F134" i="19"/>
  <c r="G134" i="19"/>
  <c r="H134" i="19"/>
  <c r="C120" i="19"/>
  <c r="D120" i="19"/>
  <c r="E120" i="19"/>
  <c r="F120" i="19"/>
  <c r="G120" i="19"/>
  <c r="H120" i="19"/>
  <c r="B120" i="19"/>
  <c r="B102" i="19"/>
  <c r="C102" i="19"/>
  <c r="D102" i="19"/>
  <c r="E102" i="19"/>
  <c r="F102" i="19"/>
  <c r="G102" i="19"/>
  <c r="H102" i="19"/>
  <c r="B103" i="19"/>
  <c r="C103" i="19"/>
  <c r="D103" i="19"/>
  <c r="E103" i="19"/>
  <c r="F103" i="19"/>
  <c r="G103" i="19"/>
  <c r="H103" i="19"/>
  <c r="B104" i="19"/>
  <c r="C104" i="19"/>
  <c r="D104" i="19"/>
  <c r="E104" i="19"/>
  <c r="F104" i="19"/>
  <c r="G104" i="19"/>
  <c r="H104" i="19"/>
  <c r="B105" i="19"/>
  <c r="C105" i="19"/>
  <c r="D105" i="19"/>
  <c r="E105" i="19"/>
  <c r="F105" i="19"/>
  <c r="G105" i="19"/>
  <c r="H105" i="19"/>
  <c r="B106" i="19"/>
  <c r="C106" i="19"/>
  <c r="D106" i="19"/>
  <c r="E106" i="19"/>
  <c r="F106" i="19"/>
  <c r="G106" i="19"/>
  <c r="H106" i="19"/>
  <c r="B107" i="19"/>
  <c r="C107" i="19"/>
  <c r="D107" i="19"/>
  <c r="E107" i="19"/>
  <c r="F107" i="19"/>
  <c r="G107" i="19"/>
  <c r="H107" i="19"/>
  <c r="B108" i="19"/>
  <c r="C108" i="19"/>
  <c r="D108" i="19"/>
  <c r="E108" i="19"/>
  <c r="F108" i="19"/>
  <c r="G108" i="19"/>
  <c r="H108" i="19"/>
  <c r="B109" i="19"/>
  <c r="C109" i="19"/>
  <c r="D109" i="19"/>
  <c r="E109" i="19"/>
  <c r="F109" i="19"/>
  <c r="G109" i="19"/>
  <c r="H109" i="19"/>
  <c r="B110" i="19"/>
  <c r="C110" i="19"/>
  <c r="D110" i="19"/>
  <c r="E110" i="19"/>
  <c r="F110" i="19"/>
  <c r="G110" i="19"/>
  <c r="H110" i="19"/>
  <c r="B111" i="19"/>
  <c r="C111" i="19"/>
  <c r="D111" i="19"/>
  <c r="E111" i="19"/>
  <c r="F111" i="19"/>
  <c r="G111" i="19"/>
  <c r="H111" i="19"/>
  <c r="B112" i="19"/>
  <c r="C112" i="19"/>
  <c r="D112" i="19"/>
  <c r="E112" i="19"/>
  <c r="F112" i="19"/>
  <c r="G112" i="19"/>
  <c r="H112" i="19"/>
  <c r="B113" i="19"/>
  <c r="C113" i="19"/>
  <c r="D113" i="19"/>
  <c r="E113" i="19"/>
  <c r="F113" i="19"/>
  <c r="G113" i="19"/>
  <c r="H113" i="19"/>
  <c r="B114" i="19"/>
  <c r="C114" i="19"/>
  <c r="D114" i="19"/>
  <c r="E114" i="19"/>
  <c r="F114" i="19"/>
  <c r="G114" i="19"/>
  <c r="H114" i="19"/>
  <c r="B115" i="19"/>
  <c r="C115" i="19"/>
  <c r="D115" i="19"/>
  <c r="E115" i="19"/>
  <c r="F115" i="19"/>
  <c r="G115" i="19"/>
  <c r="H115" i="19"/>
  <c r="C101" i="19"/>
  <c r="D101" i="19"/>
  <c r="E101" i="19"/>
  <c r="F101" i="19"/>
  <c r="G101" i="19"/>
  <c r="H101" i="19"/>
  <c r="B101" i="19"/>
  <c r="B83" i="19"/>
  <c r="C83" i="19"/>
  <c r="D83" i="19"/>
  <c r="E83" i="19"/>
  <c r="F83" i="19"/>
  <c r="G83" i="19"/>
  <c r="H83" i="19"/>
  <c r="B84" i="19"/>
  <c r="C84" i="19"/>
  <c r="D84" i="19"/>
  <c r="E84" i="19"/>
  <c r="F84" i="19"/>
  <c r="G84" i="19"/>
  <c r="H84" i="19"/>
  <c r="B85" i="19"/>
  <c r="C85" i="19"/>
  <c r="D85" i="19"/>
  <c r="E85" i="19"/>
  <c r="F85" i="19"/>
  <c r="G85" i="19"/>
  <c r="H85" i="19"/>
  <c r="B86" i="19"/>
  <c r="C86" i="19"/>
  <c r="D86" i="19"/>
  <c r="E86" i="19"/>
  <c r="F86" i="19"/>
  <c r="G86" i="19"/>
  <c r="H86" i="19"/>
  <c r="B87" i="19"/>
  <c r="C87" i="19"/>
  <c r="D87" i="19"/>
  <c r="E87" i="19"/>
  <c r="F87" i="19"/>
  <c r="G87" i="19"/>
  <c r="H87" i="19"/>
  <c r="B88" i="19"/>
  <c r="C88" i="19"/>
  <c r="D88" i="19"/>
  <c r="E88" i="19"/>
  <c r="F88" i="19"/>
  <c r="G88" i="19"/>
  <c r="H88" i="19"/>
  <c r="B89" i="19"/>
  <c r="C89" i="19"/>
  <c r="D89" i="19"/>
  <c r="E89" i="19"/>
  <c r="F89" i="19"/>
  <c r="G89" i="19"/>
  <c r="H89" i="19"/>
  <c r="B90" i="19"/>
  <c r="C90" i="19"/>
  <c r="D90" i="19"/>
  <c r="E90" i="19"/>
  <c r="F90" i="19"/>
  <c r="G90" i="19"/>
  <c r="H90" i="19"/>
  <c r="B91" i="19"/>
  <c r="C91" i="19"/>
  <c r="D91" i="19"/>
  <c r="E91" i="19"/>
  <c r="F91" i="19"/>
  <c r="G91" i="19"/>
  <c r="H91" i="19"/>
  <c r="B92" i="19"/>
  <c r="C92" i="19"/>
  <c r="D92" i="19"/>
  <c r="E92" i="19"/>
  <c r="F92" i="19"/>
  <c r="G92" i="19"/>
  <c r="H92" i="19"/>
  <c r="B93" i="19"/>
  <c r="C93" i="19"/>
  <c r="D93" i="19"/>
  <c r="E93" i="19"/>
  <c r="F93" i="19"/>
  <c r="G93" i="19"/>
  <c r="H93" i="19"/>
  <c r="B94" i="19"/>
  <c r="C94" i="19"/>
  <c r="D94" i="19"/>
  <c r="E94" i="19"/>
  <c r="F94" i="19"/>
  <c r="G94" i="19"/>
  <c r="H94" i="19"/>
  <c r="B95" i="19"/>
  <c r="C95" i="19"/>
  <c r="D95" i="19"/>
  <c r="E95" i="19"/>
  <c r="F95" i="19"/>
  <c r="G95" i="19"/>
  <c r="H95" i="19"/>
  <c r="B96" i="19"/>
  <c r="C96" i="19"/>
  <c r="D96" i="19"/>
  <c r="E96" i="19"/>
  <c r="F96" i="19"/>
  <c r="G96" i="19"/>
  <c r="H96" i="19"/>
  <c r="C82" i="19"/>
  <c r="D82" i="19"/>
  <c r="E82" i="19"/>
  <c r="F82" i="19"/>
  <c r="G82" i="19"/>
  <c r="H82" i="19"/>
  <c r="B82" i="19"/>
  <c r="B64" i="19"/>
  <c r="C64" i="19"/>
  <c r="D64" i="19"/>
  <c r="E64" i="19"/>
  <c r="F64" i="19"/>
  <c r="G64" i="19"/>
  <c r="H64" i="19"/>
  <c r="B65" i="19"/>
  <c r="C65" i="19"/>
  <c r="D65" i="19"/>
  <c r="E65" i="19"/>
  <c r="F65" i="19"/>
  <c r="G65" i="19"/>
  <c r="H65" i="19"/>
  <c r="B66" i="19"/>
  <c r="C66" i="19"/>
  <c r="D66" i="19"/>
  <c r="E66" i="19"/>
  <c r="F66" i="19"/>
  <c r="G66" i="19"/>
  <c r="H66" i="19"/>
  <c r="B67" i="19"/>
  <c r="C67" i="19"/>
  <c r="D67" i="19"/>
  <c r="E67" i="19"/>
  <c r="F67" i="19"/>
  <c r="G67" i="19"/>
  <c r="H67" i="19"/>
  <c r="B68" i="19"/>
  <c r="C68" i="19"/>
  <c r="D68" i="19"/>
  <c r="E68" i="19"/>
  <c r="F68" i="19"/>
  <c r="G68" i="19"/>
  <c r="H68" i="19"/>
  <c r="B69" i="19"/>
  <c r="C69" i="19"/>
  <c r="D69" i="19"/>
  <c r="E69" i="19"/>
  <c r="F69" i="19"/>
  <c r="G69" i="19"/>
  <c r="H69" i="19"/>
  <c r="B70" i="19"/>
  <c r="C70" i="19"/>
  <c r="D70" i="19"/>
  <c r="E70" i="19"/>
  <c r="F70" i="19"/>
  <c r="G70" i="19"/>
  <c r="H70" i="19"/>
  <c r="B71" i="19"/>
  <c r="C71" i="19"/>
  <c r="D71" i="19"/>
  <c r="E71" i="19"/>
  <c r="F71" i="19"/>
  <c r="G71" i="19"/>
  <c r="H71" i="19"/>
  <c r="B72" i="19"/>
  <c r="C72" i="19"/>
  <c r="D72" i="19"/>
  <c r="E72" i="19"/>
  <c r="F72" i="19"/>
  <c r="G72" i="19"/>
  <c r="H72" i="19"/>
  <c r="B73" i="19"/>
  <c r="C73" i="19"/>
  <c r="D73" i="19"/>
  <c r="E73" i="19"/>
  <c r="F73" i="19"/>
  <c r="G73" i="19"/>
  <c r="H73" i="19"/>
  <c r="B74" i="19"/>
  <c r="C74" i="19"/>
  <c r="D74" i="19"/>
  <c r="E74" i="19"/>
  <c r="F74" i="19"/>
  <c r="G74" i="19"/>
  <c r="H74" i="19"/>
  <c r="B75" i="19"/>
  <c r="C75" i="19"/>
  <c r="D75" i="19"/>
  <c r="E75" i="19"/>
  <c r="F75" i="19"/>
  <c r="G75" i="19"/>
  <c r="H75" i="19"/>
  <c r="B76" i="19"/>
  <c r="C76" i="19"/>
  <c r="D76" i="19"/>
  <c r="E76" i="19"/>
  <c r="F76" i="19"/>
  <c r="G76" i="19"/>
  <c r="H76" i="19"/>
  <c r="B77" i="19"/>
  <c r="C77" i="19"/>
  <c r="D77" i="19"/>
  <c r="E77" i="19"/>
  <c r="F77" i="19"/>
  <c r="G77" i="19"/>
  <c r="H77" i="19"/>
  <c r="C63" i="19"/>
  <c r="D63" i="19"/>
  <c r="E63" i="19"/>
  <c r="F63" i="19"/>
  <c r="G63" i="19"/>
  <c r="H63" i="19"/>
  <c r="B63" i="19"/>
  <c r="B45" i="19"/>
  <c r="C45" i="19"/>
  <c r="D45" i="19"/>
  <c r="E45" i="19"/>
  <c r="F45" i="19"/>
  <c r="G45" i="19"/>
  <c r="H45" i="19"/>
  <c r="B46" i="19"/>
  <c r="C46" i="19"/>
  <c r="D46" i="19"/>
  <c r="E46" i="19"/>
  <c r="F46" i="19"/>
  <c r="G46" i="19"/>
  <c r="H46" i="19"/>
  <c r="B47" i="19"/>
  <c r="C47" i="19"/>
  <c r="D47" i="19"/>
  <c r="E47" i="19"/>
  <c r="F47" i="19"/>
  <c r="G47" i="19"/>
  <c r="H47" i="19"/>
  <c r="B48" i="19"/>
  <c r="C48" i="19"/>
  <c r="D48" i="19"/>
  <c r="E48" i="19"/>
  <c r="F48" i="19"/>
  <c r="G48" i="19"/>
  <c r="H48" i="19"/>
  <c r="B49" i="19"/>
  <c r="C49" i="19"/>
  <c r="D49" i="19"/>
  <c r="E49" i="19"/>
  <c r="F49" i="19"/>
  <c r="G49" i="19"/>
  <c r="H49" i="19"/>
  <c r="B50" i="19"/>
  <c r="C50" i="19"/>
  <c r="D50" i="19"/>
  <c r="E50" i="19"/>
  <c r="F50" i="19"/>
  <c r="G50" i="19"/>
  <c r="H50" i="19"/>
  <c r="B51" i="19"/>
  <c r="C51" i="19"/>
  <c r="D51" i="19"/>
  <c r="E51" i="19"/>
  <c r="F51" i="19"/>
  <c r="G51" i="19"/>
  <c r="H51" i="19"/>
  <c r="B52" i="19"/>
  <c r="C52" i="19"/>
  <c r="D52" i="19"/>
  <c r="E52" i="19"/>
  <c r="F52" i="19"/>
  <c r="G52" i="19"/>
  <c r="H52" i="19"/>
  <c r="B53" i="19"/>
  <c r="C53" i="19"/>
  <c r="D53" i="19"/>
  <c r="E53" i="19"/>
  <c r="F53" i="19"/>
  <c r="G53" i="19"/>
  <c r="H53" i="19"/>
  <c r="B54" i="19"/>
  <c r="C54" i="19"/>
  <c r="D54" i="19"/>
  <c r="E54" i="19"/>
  <c r="F54" i="19"/>
  <c r="G54" i="19"/>
  <c r="H54" i="19"/>
  <c r="B55" i="19"/>
  <c r="C55" i="19"/>
  <c r="D55" i="19"/>
  <c r="E55" i="19"/>
  <c r="F55" i="19"/>
  <c r="G55" i="19"/>
  <c r="H55" i="19"/>
  <c r="B56" i="19"/>
  <c r="C56" i="19"/>
  <c r="D56" i="19"/>
  <c r="E56" i="19"/>
  <c r="F56" i="19"/>
  <c r="G56" i="19"/>
  <c r="H56" i="19"/>
  <c r="B57" i="19"/>
  <c r="C57" i="19"/>
  <c r="D57" i="19"/>
  <c r="E57" i="19"/>
  <c r="F57" i="19"/>
  <c r="G57" i="19"/>
  <c r="H57" i="19"/>
  <c r="B58" i="19"/>
  <c r="C58" i="19"/>
  <c r="D58" i="19"/>
  <c r="E58" i="19"/>
  <c r="F58" i="19"/>
  <c r="G58" i="19"/>
  <c r="H58" i="19"/>
  <c r="C44" i="19"/>
  <c r="D44" i="19"/>
  <c r="E44" i="19"/>
  <c r="F44" i="19"/>
  <c r="G44" i="19"/>
  <c r="H44" i="19"/>
  <c r="B44" i="19"/>
  <c r="B26" i="19"/>
  <c r="C26" i="19"/>
  <c r="D26" i="19"/>
  <c r="E26" i="19"/>
  <c r="F26" i="19"/>
  <c r="G26" i="19"/>
  <c r="H26" i="19"/>
  <c r="B27" i="19"/>
  <c r="C27" i="19"/>
  <c r="D27" i="19"/>
  <c r="E27" i="19"/>
  <c r="F27" i="19"/>
  <c r="G27" i="19"/>
  <c r="H27" i="19"/>
  <c r="B28" i="19"/>
  <c r="C28" i="19"/>
  <c r="D28" i="19"/>
  <c r="E28" i="19"/>
  <c r="F28" i="19"/>
  <c r="G28" i="19"/>
  <c r="H28" i="19"/>
  <c r="B29" i="19"/>
  <c r="C29" i="19"/>
  <c r="D29" i="19"/>
  <c r="E29" i="19"/>
  <c r="F29" i="19"/>
  <c r="G29" i="19"/>
  <c r="H29" i="19"/>
  <c r="B30" i="19"/>
  <c r="C30" i="19"/>
  <c r="D30" i="19"/>
  <c r="E30" i="19"/>
  <c r="F30" i="19"/>
  <c r="G30" i="19"/>
  <c r="H30" i="19"/>
  <c r="B31" i="19"/>
  <c r="C31" i="19"/>
  <c r="D31" i="19"/>
  <c r="E31" i="19"/>
  <c r="F31" i="19"/>
  <c r="G31" i="19"/>
  <c r="H31" i="19"/>
  <c r="B32" i="19"/>
  <c r="C32" i="19"/>
  <c r="D32" i="19"/>
  <c r="E32" i="19"/>
  <c r="F32" i="19"/>
  <c r="G32" i="19"/>
  <c r="H32" i="19"/>
  <c r="B33" i="19"/>
  <c r="C33" i="19"/>
  <c r="D33" i="19"/>
  <c r="E33" i="19"/>
  <c r="F33" i="19"/>
  <c r="G33" i="19"/>
  <c r="H33" i="19"/>
  <c r="B34" i="19"/>
  <c r="C34" i="19"/>
  <c r="D34" i="19"/>
  <c r="E34" i="19"/>
  <c r="F34" i="19"/>
  <c r="G34" i="19"/>
  <c r="H34" i="19"/>
  <c r="B35" i="19"/>
  <c r="C35" i="19"/>
  <c r="D35" i="19"/>
  <c r="E35" i="19"/>
  <c r="F35" i="19"/>
  <c r="G35" i="19"/>
  <c r="H35" i="19"/>
  <c r="B36" i="19"/>
  <c r="C36" i="19"/>
  <c r="D36" i="19"/>
  <c r="E36" i="19"/>
  <c r="F36" i="19"/>
  <c r="G36" i="19"/>
  <c r="H36" i="19"/>
  <c r="B37" i="19"/>
  <c r="C37" i="19"/>
  <c r="D37" i="19"/>
  <c r="E37" i="19"/>
  <c r="F37" i="19"/>
  <c r="G37" i="19"/>
  <c r="H37" i="19"/>
  <c r="B38" i="19"/>
  <c r="C38" i="19"/>
  <c r="D38" i="19"/>
  <c r="E38" i="19"/>
  <c r="F38" i="19"/>
  <c r="G38" i="19"/>
  <c r="H38" i="19"/>
  <c r="B39" i="19"/>
  <c r="C39" i="19"/>
  <c r="D39" i="19"/>
  <c r="E39" i="19"/>
  <c r="F39" i="19"/>
  <c r="G39" i="19"/>
  <c r="H39" i="19"/>
  <c r="C25" i="19"/>
  <c r="D25" i="19"/>
  <c r="E25" i="19"/>
  <c r="F25" i="19"/>
  <c r="G25" i="19"/>
  <c r="H25" i="19"/>
  <c r="B25" i="19"/>
  <c r="B7" i="19"/>
  <c r="C7" i="19"/>
  <c r="D7" i="19"/>
  <c r="E7" i="19"/>
  <c r="F7" i="19"/>
  <c r="G7" i="19"/>
  <c r="H7" i="19"/>
  <c r="B8" i="19"/>
  <c r="C8" i="19"/>
  <c r="D8" i="19"/>
  <c r="E8" i="19"/>
  <c r="F8" i="19"/>
  <c r="G8" i="19"/>
  <c r="H8" i="19"/>
  <c r="B9" i="19"/>
  <c r="C9" i="19"/>
  <c r="D9" i="19"/>
  <c r="E9" i="19"/>
  <c r="F9" i="19"/>
  <c r="G9" i="19"/>
  <c r="H9" i="19"/>
  <c r="B10" i="19"/>
  <c r="C10" i="19"/>
  <c r="D10" i="19"/>
  <c r="E10" i="19"/>
  <c r="F10" i="19"/>
  <c r="G10" i="19"/>
  <c r="H10" i="19"/>
  <c r="B11" i="19"/>
  <c r="C11" i="19"/>
  <c r="D11" i="19"/>
  <c r="E11" i="19"/>
  <c r="F11" i="19"/>
  <c r="G11" i="19"/>
  <c r="H11" i="19"/>
  <c r="B12" i="19"/>
  <c r="C12" i="19"/>
  <c r="D12" i="19"/>
  <c r="E12" i="19"/>
  <c r="F12" i="19"/>
  <c r="G12" i="19"/>
  <c r="H12" i="19"/>
  <c r="B13" i="19"/>
  <c r="C13" i="19"/>
  <c r="D13" i="19"/>
  <c r="E13" i="19"/>
  <c r="F13" i="19"/>
  <c r="G13" i="19"/>
  <c r="H13" i="19"/>
  <c r="B14" i="19"/>
  <c r="C14" i="19"/>
  <c r="D14" i="19"/>
  <c r="E14" i="19"/>
  <c r="F14" i="19"/>
  <c r="G14" i="19"/>
  <c r="H14" i="19"/>
  <c r="B15" i="19"/>
  <c r="C15" i="19"/>
  <c r="D15" i="19"/>
  <c r="E15" i="19"/>
  <c r="F15" i="19"/>
  <c r="G15" i="19"/>
  <c r="H15" i="19"/>
  <c r="B16" i="19"/>
  <c r="C16" i="19"/>
  <c r="D16" i="19"/>
  <c r="E16" i="19"/>
  <c r="F16" i="19"/>
  <c r="G16" i="19"/>
  <c r="H16" i="19"/>
  <c r="B17" i="19"/>
  <c r="C17" i="19"/>
  <c r="D17" i="19"/>
  <c r="E17" i="19"/>
  <c r="F17" i="19"/>
  <c r="G17" i="19"/>
  <c r="H17" i="19"/>
  <c r="B18" i="19"/>
  <c r="C18" i="19"/>
  <c r="D18" i="19"/>
  <c r="E18" i="19"/>
  <c r="F18" i="19"/>
  <c r="G18" i="19"/>
  <c r="H18" i="19"/>
  <c r="B19" i="19"/>
  <c r="C19" i="19"/>
  <c r="D19" i="19"/>
  <c r="E19" i="19"/>
  <c r="F19" i="19"/>
  <c r="G19" i="19"/>
  <c r="H19" i="19"/>
  <c r="B20" i="19"/>
  <c r="C20" i="19"/>
  <c r="D20" i="19"/>
  <c r="E20" i="19"/>
  <c r="F20" i="19"/>
  <c r="G20" i="19"/>
  <c r="H20" i="19"/>
  <c r="C6" i="19"/>
  <c r="D6" i="19"/>
  <c r="E6" i="19"/>
  <c r="F6" i="19"/>
  <c r="G6" i="19"/>
  <c r="H6" i="19"/>
  <c r="B6" i="19"/>
  <c r="AU140" i="12"/>
  <c r="AV140" i="12"/>
  <c r="AW140" i="12"/>
  <c r="AX140" i="12"/>
  <c r="AY140" i="12"/>
  <c r="AZ140" i="12"/>
  <c r="BA140" i="12"/>
  <c r="AU141" i="12"/>
  <c r="AV141" i="12"/>
  <c r="AW141" i="12"/>
  <c r="AX141" i="12"/>
  <c r="AY141" i="12"/>
  <c r="AZ141" i="12"/>
  <c r="BA141" i="12"/>
  <c r="AU142" i="12"/>
  <c r="AV142" i="12"/>
  <c r="AW142" i="12"/>
  <c r="AX142" i="12"/>
  <c r="AY142" i="12"/>
  <c r="AZ142" i="12"/>
  <c r="BA142" i="12"/>
  <c r="AU143" i="12"/>
  <c r="AV143" i="12"/>
  <c r="AW143" i="12"/>
  <c r="AX143" i="12"/>
  <c r="AY143" i="12"/>
  <c r="AZ143" i="12"/>
  <c r="BA143" i="12"/>
  <c r="AU144" i="12"/>
  <c r="AV144" i="12"/>
  <c r="AW144" i="12"/>
  <c r="AX144" i="12"/>
  <c r="AY144" i="12"/>
  <c r="AZ144" i="12"/>
  <c r="BA144" i="12"/>
  <c r="AU145" i="12"/>
  <c r="AV145" i="12"/>
  <c r="AW145" i="12"/>
  <c r="AX145" i="12"/>
  <c r="AY145" i="12"/>
  <c r="AZ145" i="12"/>
  <c r="BA145" i="12"/>
  <c r="AU146" i="12"/>
  <c r="AV146" i="12"/>
  <c r="AW146" i="12"/>
  <c r="AX146" i="12"/>
  <c r="AY146" i="12"/>
  <c r="AZ146" i="12"/>
  <c r="BA146" i="12"/>
  <c r="AU147" i="12"/>
  <c r="AV147" i="12"/>
  <c r="AW147" i="12"/>
  <c r="AX147" i="12"/>
  <c r="AY147" i="12"/>
  <c r="AZ147" i="12"/>
  <c r="BA147" i="12"/>
  <c r="AU148" i="12"/>
  <c r="AV148" i="12"/>
  <c r="AW148" i="12"/>
  <c r="AX148" i="12"/>
  <c r="AY148" i="12"/>
  <c r="AZ148" i="12"/>
  <c r="BA148" i="12"/>
  <c r="AU149" i="12"/>
  <c r="AV149" i="12"/>
  <c r="AW149" i="12"/>
  <c r="AX149" i="12"/>
  <c r="AY149" i="12"/>
  <c r="AZ149" i="12"/>
  <c r="BA149" i="12"/>
  <c r="AU150" i="12"/>
  <c r="AV150" i="12"/>
  <c r="AW150" i="12"/>
  <c r="AX150" i="12"/>
  <c r="AY150" i="12"/>
  <c r="AZ150" i="12"/>
  <c r="BA150" i="12"/>
  <c r="AU151" i="12"/>
  <c r="AV151" i="12"/>
  <c r="AW151" i="12"/>
  <c r="AX151" i="12"/>
  <c r="AY151" i="12"/>
  <c r="AZ151" i="12"/>
  <c r="BA151" i="12"/>
  <c r="AU152" i="12"/>
  <c r="AV152" i="12"/>
  <c r="AW152" i="12"/>
  <c r="AX152" i="12"/>
  <c r="AY152" i="12"/>
  <c r="AZ152" i="12"/>
  <c r="BA152" i="12"/>
  <c r="AU153" i="12"/>
  <c r="AV153" i="12"/>
  <c r="AW153" i="12"/>
  <c r="AX153" i="12"/>
  <c r="AY153" i="12"/>
  <c r="AZ153" i="12"/>
  <c r="BA153" i="12"/>
  <c r="AV139" i="12"/>
  <c r="AW139" i="12"/>
  <c r="AX139" i="12"/>
  <c r="AY139" i="12"/>
  <c r="AZ139" i="12"/>
  <c r="BA139" i="12"/>
  <c r="AU139" i="12"/>
  <c r="AU121" i="12"/>
  <c r="AV121" i="12"/>
  <c r="AW121" i="12"/>
  <c r="AX121" i="12"/>
  <c r="AY121" i="12"/>
  <c r="AZ121" i="12"/>
  <c r="BA121" i="12"/>
  <c r="AU122" i="12"/>
  <c r="AV122" i="12"/>
  <c r="AW122" i="12"/>
  <c r="AX122" i="12"/>
  <c r="AY122" i="12"/>
  <c r="AZ122" i="12"/>
  <c r="BA122" i="12"/>
  <c r="AU123" i="12"/>
  <c r="AV123" i="12"/>
  <c r="AW123" i="12"/>
  <c r="AX123" i="12"/>
  <c r="AY123" i="12"/>
  <c r="AZ123" i="12"/>
  <c r="BA123" i="12"/>
  <c r="AU124" i="12"/>
  <c r="AV124" i="12"/>
  <c r="AW124" i="12"/>
  <c r="AX124" i="12"/>
  <c r="AY124" i="12"/>
  <c r="AZ124" i="12"/>
  <c r="BA124" i="12"/>
  <c r="AU125" i="12"/>
  <c r="AV125" i="12"/>
  <c r="AW125" i="12"/>
  <c r="AX125" i="12"/>
  <c r="AY125" i="12"/>
  <c r="AZ125" i="12"/>
  <c r="BA125" i="12"/>
  <c r="AU126" i="12"/>
  <c r="AV126" i="12"/>
  <c r="AW126" i="12"/>
  <c r="AX126" i="12"/>
  <c r="AY126" i="12"/>
  <c r="AZ126" i="12"/>
  <c r="BA126" i="12"/>
  <c r="AU127" i="12"/>
  <c r="AV127" i="12"/>
  <c r="AW127" i="12"/>
  <c r="AX127" i="12"/>
  <c r="AY127" i="12"/>
  <c r="AZ127" i="12"/>
  <c r="BA127" i="12"/>
  <c r="AU128" i="12"/>
  <c r="AV128" i="12"/>
  <c r="AW128" i="12"/>
  <c r="AX128" i="12"/>
  <c r="AY128" i="12"/>
  <c r="AZ128" i="12"/>
  <c r="BA128" i="12"/>
  <c r="AU129" i="12"/>
  <c r="AV129" i="12"/>
  <c r="AW129" i="12"/>
  <c r="AX129" i="12"/>
  <c r="AY129" i="12"/>
  <c r="AZ129" i="12"/>
  <c r="BA129" i="12"/>
  <c r="AU130" i="12"/>
  <c r="AV130" i="12"/>
  <c r="AW130" i="12"/>
  <c r="AX130" i="12"/>
  <c r="AY130" i="12"/>
  <c r="AZ130" i="12"/>
  <c r="BA130" i="12"/>
  <c r="AU131" i="12"/>
  <c r="AV131" i="12"/>
  <c r="AW131" i="12"/>
  <c r="AX131" i="12"/>
  <c r="AY131" i="12"/>
  <c r="AZ131" i="12"/>
  <c r="BA131" i="12"/>
  <c r="AU132" i="12"/>
  <c r="AV132" i="12"/>
  <c r="AW132" i="12"/>
  <c r="AX132" i="12"/>
  <c r="AY132" i="12"/>
  <c r="AZ132" i="12"/>
  <c r="BA132" i="12"/>
  <c r="AU133" i="12"/>
  <c r="AV133" i="12"/>
  <c r="AW133" i="12"/>
  <c r="AX133" i="12"/>
  <c r="AY133" i="12"/>
  <c r="AZ133" i="12"/>
  <c r="BA133" i="12"/>
  <c r="AU134" i="12"/>
  <c r="AV134" i="12"/>
  <c r="AW134" i="12"/>
  <c r="AX134" i="12"/>
  <c r="AY134" i="12"/>
  <c r="AZ134" i="12"/>
  <c r="BA134" i="12"/>
  <c r="AV120" i="12"/>
  <c r="AW120" i="12"/>
  <c r="AX120" i="12"/>
  <c r="AY120" i="12"/>
  <c r="AZ120" i="12"/>
  <c r="BA120" i="12"/>
  <c r="AU120" i="12"/>
  <c r="AU102" i="12"/>
  <c r="AV102" i="12"/>
  <c r="AW102" i="12"/>
  <c r="AX102" i="12"/>
  <c r="AY102" i="12"/>
  <c r="AZ102" i="12"/>
  <c r="BA102" i="12"/>
  <c r="AU103" i="12"/>
  <c r="AV103" i="12"/>
  <c r="AW103" i="12"/>
  <c r="AX103" i="12"/>
  <c r="AY103" i="12"/>
  <c r="AZ103" i="12"/>
  <c r="BA103" i="12"/>
  <c r="AU104" i="12"/>
  <c r="AV104" i="12"/>
  <c r="AW104" i="12"/>
  <c r="AX104" i="12"/>
  <c r="AY104" i="12"/>
  <c r="AZ104" i="12"/>
  <c r="BA104" i="12"/>
  <c r="AU105" i="12"/>
  <c r="AV105" i="12"/>
  <c r="AW105" i="12"/>
  <c r="AX105" i="12"/>
  <c r="AY105" i="12"/>
  <c r="AZ105" i="12"/>
  <c r="BA105" i="12"/>
  <c r="AU106" i="12"/>
  <c r="AV106" i="12"/>
  <c r="AW106" i="12"/>
  <c r="AX106" i="12"/>
  <c r="AY106" i="12"/>
  <c r="AZ106" i="12"/>
  <c r="BA106" i="12"/>
  <c r="AU107" i="12"/>
  <c r="AV107" i="12"/>
  <c r="AW107" i="12"/>
  <c r="AX107" i="12"/>
  <c r="AY107" i="12"/>
  <c r="AZ107" i="12"/>
  <c r="BA107" i="12"/>
  <c r="AU108" i="12"/>
  <c r="AV108" i="12"/>
  <c r="AW108" i="12"/>
  <c r="AX108" i="12"/>
  <c r="AY108" i="12"/>
  <c r="AZ108" i="12"/>
  <c r="BA108" i="12"/>
  <c r="AU109" i="12"/>
  <c r="AV109" i="12"/>
  <c r="AW109" i="12"/>
  <c r="AX109" i="12"/>
  <c r="AY109" i="12"/>
  <c r="AZ109" i="12"/>
  <c r="BA109" i="12"/>
  <c r="AU110" i="12"/>
  <c r="AV110" i="12"/>
  <c r="AW110" i="12"/>
  <c r="AX110" i="12"/>
  <c r="AY110" i="12"/>
  <c r="AZ110" i="12"/>
  <c r="BA110" i="12"/>
  <c r="AU111" i="12"/>
  <c r="AV111" i="12"/>
  <c r="AW111" i="12"/>
  <c r="AX111" i="12"/>
  <c r="AY111" i="12"/>
  <c r="AZ111" i="12"/>
  <c r="BA111" i="12"/>
  <c r="AU112" i="12"/>
  <c r="AV112" i="12"/>
  <c r="AW112" i="12"/>
  <c r="AX112" i="12"/>
  <c r="AY112" i="12"/>
  <c r="AZ112" i="12"/>
  <c r="BA112" i="12"/>
  <c r="AU113" i="12"/>
  <c r="AV113" i="12"/>
  <c r="AW113" i="12"/>
  <c r="AX113" i="12"/>
  <c r="AY113" i="12"/>
  <c r="AZ113" i="12"/>
  <c r="BA113" i="12"/>
  <c r="AU114" i="12"/>
  <c r="AV114" i="12"/>
  <c r="AW114" i="12"/>
  <c r="AX114" i="12"/>
  <c r="AY114" i="12"/>
  <c r="AZ114" i="12"/>
  <c r="BA114" i="12"/>
  <c r="AU115" i="12"/>
  <c r="AV115" i="12"/>
  <c r="AW115" i="12"/>
  <c r="AX115" i="12"/>
  <c r="AY115" i="12"/>
  <c r="AZ115" i="12"/>
  <c r="BA115" i="12"/>
  <c r="AV101" i="12"/>
  <c r="AW101" i="12"/>
  <c r="AX101" i="12"/>
  <c r="AY101" i="12"/>
  <c r="AZ101" i="12"/>
  <c r="BA101" i="12"/>
  <c r="AU101" i="12"/>
  <c r="AU83" i="12"/>
  <c r="AV83" i="12"/>
  <c r="AW83" i="12"/>
  <c r="AX83" i="12"/>
  <c r="AY83" i="12"/>
  <c r="AZ83" i="12"/>
  <c r="BA83" i="12"/>
  <c r="AU84" i="12"/>
  <c r="AV84" i="12"/>
  <c r="AW84" i="12"/>
  <c r="AX84" i="12"/>
  <c r="AY84" i="12"/>
  <c r="AZ84" i="12"/>
  <c r="BA84" i="12"/>
  <c r="AU85" i="12"/>
  <c r="AV85" i="12"/>
  <c r="AW85" i="12"/>
  <c r="AX85" i="12"/>
  <c r="AY85" i="12"/>
  <c r="AZ85" i="12"/>
  <c r="BA85" i="12"/>
  <c r="AU86" i="12"/>
  <c r="AV86" i="12"/>
  <c r="AW86" i="12"/>
  <c r="AX86" i="12"/>
  <c r="AY86" i="12"/>
  <c r="AZ86" i="12"/>
  <c r="BA86" i="12"/>
  <c r="AU87" i="12"/>
  <c r="AV87" i="12"/>
  <c r="AW87" i="12"/>
  <c r="AX87" i="12"/>
  <c r="AY87" i="12"/>
  <c r="AZ87" i="12"/>
  <c r="BA87" i="12"/>
  <c r="AU88" i="12"/>
  <c r="AV88" i="12"/>
  <c r="AW88" i="12"/>
  <c r="AX88" i="12"/>
  <c r="AY88" i="12"/>
  <c r="AZ88" i="12"/>
  <c r="BA88" i="12"/>
  <c r="AU89" i="12"/>
  <c r="AV89" i="12"/>
  <c r="AW89" i="12"/>
  <c r="AX89" i="12"/>
  <c r="AY89" i="12"/>
  <c r="AZ89" i="12"/>
  <c r="BA89" i="12"/>
  <c r="AU90" i="12"/>
  <c r="AV90" i="12"/>
  <c r="AW90" i="12"/>
  <c r="AX90" i="12"/>
  <c r="AY90" i="12"/>
  <c r="AZ90" i="12"/>
  <c r="BA90" i="12"/>
  <c r="AU91" i="12"/>
  <c r="AV91" i="12"/>
  <c r="AW91" i="12"/>
  <c r="AX91" i="12"/>
  <c r="AY91" i="12"/>
  <c r="AZ91" i="12"/>
  <c r="BA91" i="12"/>
  <c r="AU92" i="12"/>
  <c r="AV92" i="12"/>
  <c r="AW92" i="12"/>
  <c r="AX92" i="12"/>
  <c r="AY92" i="12"/>
  <c r="AZ92" i="12"/>
  <c r="BA92" i="12"/>
  <c r="AU93" i="12"/>
  <c r="AV93" i="12"/>
  <c r="AW93" i="12"/>
  <c r="AX93" i="12"/>
  <c r="AY93" i="12"/>
  <c r="AZ93" i="12"/>
  <c r="BA93" i="12"/>
  <c r="AU94" i="12"/>
  <c r="AV94" i="12"/>
  <c r="AW94" i="12"/>
  <c r="AX94" i="12"/>
  <c r="AY94" i="12"/>
  <c r="AZ94" i="12"/>
  <c r="BA94" i="12"/>
  <c r="AU95" i="12"/>
  <c r="AV95" i="12"/>
  <c r="AW95" i="12"/>
  <c r="AX95" i="12"/>
  <c r="AY95" i="12"/>
  <c r="AZ95" i="12"/>
  <c r="BA95" i="12"/>
  <c r="AU96" i="12"/>
  <c r="AV96" i="12"/>
  <c r="AW96" i="12"/>
  <c r="AX96" i="12"/>
  <c r="AY96" i="12"/>
  <c r="AZ96" i="12"/>
  <c r="BA96" i="12"/>
  <c r="AV82" i="12"/>
  <c r="AW82" i="12"/>
  <c r="AX82" i="12"/>
  <c r="AY82" i="12"/>
  <c r="AZ82" i="12"/>
  <c r="BA82" i="12"/>
  <c r="AU82" i="12"/>
  <c r="AU64" i="12"/>
  <c r="AV64" i="12"/>
  <c r="AW64" i="12"/>
  <c r="AX64" i="12"/>
  <c r="AY64" i="12"/>
  <c r="AZ64" i="12"/>
  <c r="BA64" i="12"/>
  <c r="AU65" i="12"/>
  <c r="AV65" i="12"/>
  <c r="AW65" i="12"/>
  <c r="AX65" i="12"/>
  <c r="AY65" i="12"/>
  <c r="AZ65" i="12"/>
  <c r="BA65" i="12"/>
  <c r="AU66" i="12"/>
  <c r="AV66" i="12"/>
  <c r="AW66" i="12"/>
  <c r="AX66" i="12"/>
  <c r="AY66" i="12"/>
  <c r="AZ66" i="12"/>
  <c r="BA66" i="12"/>
  <c r="AU67" i="12"/>
  <c r="AV67" i="12"/>
  <c r="AW67" i="12"/>
  <c r="AX67" i="12"/>
  <c r="AY67" i="12"/>
  <c r="AZ67" i="12"/>
  <c r="BA67" i="12"/>
  <c r="AU68" i="12"/>
  <c r="AV68" i="12"/>
  <c r="AW68" i="12"/>
  <c r="AX68" i="12"/>
  <c r="AY68" i="12"/>
  <c r="AZ68" i="12"/>
  <c r="BA68" i="12"/>
  <c r="AU69" i="12"/>
  <c r="AV69" i="12"/>
  <c r="AW69" i="12"/>
  <c r="AX69" i="12"/>
  <c r="AY69" i="12"/>
  <c r="AZ69" i="12"/>
  <c r="BA69" i="12"/>
  <c r="AU70" i="12"/>
  <c r="AV70" i="12"/>
  <c r="AW70" i="12"/>
  <c r="AX70" i="12"/>
  <c r="AY70" i="12"/>
  <c r="AZ70" i="12"/>
  <c r="BA70" i="12"/>
  <c r="AU71" i="12"/>
  <c r="AV71" i="12"/>
  <c r="AW71" i="12"/>
  <c r="AX71" i="12"/>
  <c r="AY71" i="12"/>
  <c r="AZ71" i="12"/>
  <c r="BA71" i="12"/>
  <c r="AU72" i="12"/>
  <c r="AV72" i="12"/>
  <c r="AW72" i="12"/>
  <c r="AX72" i="12"/>
  <c r="AY72" i="12"/>
  <c r="AZ72" i="12"/>
  <c r="BA72" i="12"/>
  <c r="AU73" i="12"/>
  <c r="AV73" i="12"/>
  <c r="AW73" i="12"/>
  <c r="AX73" i="12"/>
  <c r="AY73" i="12"/>
  <c r="AZ73" i="12"/>
  <c r="BA73" i="12"/>
  <c r="AU74" i="12"/>
  <c r="AV74" i="12"/>
  <c r="AW74" i="12"/>
  <c r="AX74" i="12"/>
  <c r="AY74" i="12"/>
  <c r="AZ74" i="12"/>
  <c r="BA74" i="12"/>
  <c r="AU75" i="12"/>
  <c r="AV75" i="12"/>
  <c r="AW75" i="12"/>
  <c r="AX75" i="12"/>
  <c r="AY75" i="12"/>
  <c r="AZ75" i="12"/>
  <c r="BA75" i="12"/>
  <c r="AU76" i="12"/>
  <c r="AV76" i="12"/>
  <c r="AW76" i="12"/>
  <c r="AX76" i="12"/>
  <c r="AY76" i="12"/>
  <c r="AZ76" i="12"/>
  <c r="BA76" i="12"/>
  <c r="AU77" i="12"/>
  <c r="AV77" i="12"/>
  <c r="AW77" i="12"/>
  <c r="AX77" i="12"/>
  <c r="AY77" i="12"/>
  <c r="AZ77" i="12"/>
  <c r="BA77" i="12"/>
  <c r="AV63" i="12"/>
  <c r="AW63" i="12"/>
  <c r="AX63" i="12"/>
  <c r="AY63" i="12"/>
  <c r="AZ63" i="12"/>
  <c r="BA63" i="12"/>
  <c r="AU63" i="12"/>
  <c r="AU45" i="12"/>
  <c r="AV45" i="12"/>
  <c r="AW45" i="12"/>
  <c r="AX45" i="12"/>
  <c r="AY45" i="12"/>
  <c r="AZ45" i="12"/>
  <c r="BA45" i="12"/>
  <c r="AU46" i="12"/>
  <c r="AV46" i="12"/>
  <c r="AW46" i="12"/>
  <c r="AX46" i="12"/>
  <c r="AY46" i="12"/>
  <c r="AZ46" i="12"/>
  <c r="BA46" i="12"/>
  <c r="AU47" i="12"/>
  <c r="AV47" i="12"/>
  <c r="AW47" i="12"/>
  <c r="AX47" i="12"/>
  <c r="AY47" i="12"/>
  <c r="AZ47" i="12"/>
  <c r="BA47" i="12"/>
  <c r="AU48" i="12"/>
  <c r="AV48" i="12"/>
  <c r="AW48" i="12"/>
  <c r="AX48" i="12"/>
  <c r="AY48" i="12"/>
  <c r="AZ48" i="12"/>
  <c r="BA48" i="12"/>
  <c r="AU49" i="12"/>
  <c r="AV49" i="12"/>
  <c r="AW49" i="12"/>
  <c r="AX49" i="12"/>
  <c r="AY49" i="12"/>
  <c r="AZ49" i="12"/>
  <c r="BA49" i="12"/>
  <c r="AU50" i="12"/>
  <c r="AV50" i="12"/>
  <c r="AW50" i="12"/>
  <c r="AX50" i="12"/>
  <c r="AY50" i="12"/>
  <c r="AZ50" i="12"/>
  <c r="BA50" i="12"/>
  <c r="AU51" i="12"/>
  <c r="AV51" i="12"/>
  <c r="AW51" i="12"/>
  <c r="AX51" i="12"/>
  <c r="AY51" i="12"/>
  <c r="AZ51" i="12"/>
  <c r="BA51" i="12"/>
  <c r="AU52" i="12"/>
  <c r="AV52" i="12"/>
  <c r="AW52" i="12"/>
  <c r="AX52" i="12"/>
  <c r="AY52" i="12"/>
  <c r="AZ52" i="12"/>
  <c r="BA52" i="12"/>
  <c r="AU53" i="12"/>
  <c r="AV53" i="12"/>
  <c r="AW53" i="12"/>
  <c r="AX53" i="12"/>
  <c r="AY53" i="12"/>
  <c r="AZ53" i="12"/>
  <c r="BA53" i="12"/>
  <c r="AU54" i="12"/>
  <c r="AV54" i="12"/>
  <c r="AW54" i="12"/>
  <c r="AX54" i="12"/>
  <c r="AY54" i="12"/>
  <c r="AZ54" i="12"/>
  <c r="BA54" i="12"/>
  <c r="AU55" i="12"/>
  <c r="AV55" i="12"/>
  <c r="AW55" i="12"/>
  <c r="AX55" i="12"/>
  <c r="AY55" i="12"/>
  <c r="AZ55" i="12"/>
  <c r="BA55" i="12"/>
  <c r="AU56" i="12"/>
  <c r="AV56" i="12"/>
  <c r="AW56" i="12"/>
  <c r="AX56" i="12"/>
  <c r="AY56" i="12"/>
  <c r="AZ56" i="12"/>
  <c r="BA56" i="12"/>
  <c r="AU57" i="12"/>
  <c r="AV57" i="12"/>
  <c r="AW57" i="12"/>
  <c r="AX57" i="12"/>
  <c r="AY57" i="12"/>
  <c r="AZ57" i="12"/>
  <c r="BA57" i="12"/>
  <c r="AU58" i="12"/>
  <c r="AV58" i="12"/>
  <c r="AW58" i="12"/>
  <c r="AX58" i="12"/>
  <c r="AY58" i="12"/>
  <c r="AZ58" i="12"/>
  <c r="BA58" i="12"/>
  <c r="AV44" i="12"/>
  <c r="AW44" i="12"/>
  <c r="AX44" i="12"/>
  <c r="AY44" i="12"/>
  <c r="AZ44" i="12"/>
  <c r="BA44" i="12"/>
  <c r="AU44" i="12"/>
  <c r="AU26" i="12"/>
  <c r="AV26" i="12"/>
  <c r="AW26" i="12"/>
  <c r="AX26" i="12"/>
  <c r="AY26" i="12"/>
  <c r="AZ26" i="12"/>
  <c r="BA26" i="12"/>
  <c r="AU27" i="12"/>
  <c r="AV27" i="12"/>
  <c r="AW27" i="12"/>
  <c r="AX27" i="12"/>
  <c r="AY27" i="12"/>
  <c r="AZ27" i="12"/>
  <c r="BA27" i="12"/>
  <c r="AU28" i="12"/>
  <c r="AV28" i="12"/>
  <c r="AW28" i="12"/>
  <c r="AX28" i="12"/>
  <c r="AY28" i="12"/>
  <c r="AZ28" i="12"/>
  <c r="BA28" i="12"/>
  <c r="AU29" i="12"/>
  <c r="AV29" i="12"/>
  <c r="AW29" i="12"/>
  <c r="AX29" i="12"/>
  <c r="AY29" i="12"/>
  <c r="AZ29" i="12"/>
  <c r="BA29" i="12"/>
  <c r="AU30" i="12"/>
  <c r="AV30" i="12"/>
  <c r="AW30" i="12"/>
  <c r="AX30" i="12"/>
  <c r="AY30" i="12"/>
  <c r="AZ30" i="12"/>
  <c r="BA30" i="12"/>
  <c r="AU31" i="12"/>
  <c r="AV31" i="12"/>
  <c r="AW31" i="12"/>
  <c r="AX31" i="12"/>
  <c r="AY31" i="12"/>
  <c r="AZ31" i="12"/>
  <c r="BA31" i="12"/>
  <c r="AU32" i="12"/>
  <c r="AV32" i="12"/>
  <c r="AW32" i="12"/>
  <c r="AX32" i="12"/>
  <c r="AY32" i="12"/>
  <c r="AZ32" i="12"/>
  <c r="BA32" i="12"/>
  <c r="AU33" i="12"/>
  <c r="AV33" i="12"/>
  <c r="AW33" i="12"/>
  <c r="AX33" i="12"/>
  <c r="AY33" i="12"/>
  <c r="AZ33" i="12"/>
  <c r="BA33" i="12"/>
  <c r="AU34" i="12"/>
  <c r="AV34" i="12"/>
  <c r="AW34" i="12"/>
  <c r="AX34" i="12"/>
  <c r="AY34" i="12"/>
  <c r="AZ34" i="12"/>
  <c r="BA34" i="12"/>
  <c r="AU35" i="12"/>
  <c r="AV35" i="12"/>
  <c r="AW35" i="12"/>
  <c r="AX35" i="12"/>
  <c r="AY35" i="12"/>
  <c r="AZ35" i="12"/>
  <c r="BA35" i="12"/>
  <c r="AU36" i="12"/>
  <c r="AV36" i="12"/>
  <c r="AW36" i="12"/>
  <c r="AX36" i="12"/>
  <c r="AY36" i="12"/>
  <c r="AZ36" i="12"/>
  <c r="BA36" i="12"/>
  <c r="AU37" i="12"/>
  <c r="AV37" i="12"/>
  <c r="AW37" i="12"/>
  <c r="AX37" i="12"/>
  <c r="AY37" i="12"/>
  <c r="AZ37" i="12"/>
  <c r="BA37" i="12"/>
  <c r="AU38" i="12"/>
  <c r="AV38" i="12"/>
  <c r="AW38" i="12"/>
  <c r="AX38" i="12"/>
  <c r="AY38" i="12"/>
  <c r="AZ38" i="12"/>
  <c r="BA38" i="12"/>
  <c r="AU39" i="12"/>
  <c r="AV39" i="12"/>
  <c r="AW39" i="12"/>
  <c r="AX39" i="12"/>
  <c r="AY39" i="12"/>
  <c r="AZ39" i="12"/>
  <c r="BA39" i="12"/>
  <c r="AV25" i="12"/>
  <c r="AW25" i="12"/>
  <c r="AX25" i="12"/>
  <c r="AY25" i="12"/>
  <c r="AZ25" i="12"/>
  <c r="BA25" i="12"/>
  <c r="AU25" i="12"/>
  <c r="AU7" i="12"/>
  <c r="AV7" i="12"/>
  <c r="AW7" i="12"/>
  <c r="AX7" i="12"/>
  <c r="AY7" i="12"/>
  <c r="AZ7" i="12"/>
  <c r="BA7" i="12"/>
  <c r="AU8" i="12"/>
  <c r="AV8" i="12"/>
  <c r="AW8" i="12"/>
  <c r="AX8" i="12"/>
  <c r="AY8" i="12"/>
  <c r="AZ8" i="12"/>
  <c r="BA8" i="12"/>
  <c r="AU9" i="12"/>
  <c r="AV9" i="12"/>
  <c r="AW9" i="12"/>
  <c r="AX9" i="12"/>
  <c r="AY9" i="12"/>
  <c r="AZ9" i="12"/>
  <c r="BA9" i="12"/>
  <c r="AU10" i="12"/>
  <c r="AV10" i="12"/>
  <c r="AW10" i="12"/>
  <c r="AX10" i="12"/>
  <c r="AY10" i="12"/>
  <c r="AZ10" i="12"/>
  <c r="BA10" i="12"/>
  <c r="AU11" i="12"/>
  <c r="AV11" i="12"/>
  <c r="AW11" i="12"/>
  <c r="AX11" i="12"/>
  <c r="AY11" i="12"/>
  <c r="AZ11" i="12"/>
  <c r="BA11" i="12"/>
  <c r="AU12" i="12"/>
  <c r="AV12" i="12"/>
  <c r="AW12" i="12"/>
  <c r="AX12" i="12"/>
  <c r="AY12" i="12"/>
  <c r="AZ12" i="12"/>
  <c r="BA12" i="12"/>
  <c r="AU13" i="12"/>
  <c r="AV13" i="12"/>
  <c r="AW13" i="12"/>
  <c r="AX13" i="12"/>
  <c r="AY13" i="12"/>
  <c r="AZ13" i="12"/>
  <c r="BA13" i="12"/>
  <c r="AU14" i="12"/>
  <c r="AV14" i="12"/>
  <c r="AW14" i="12"/>
  <c r="AX14" i="12"/>
  <c r="AY14" i="12"/>
  <c r="AZ14" i="12"/>
  <c r="BA14" i="12"/>
  <c r="AU15" i="12"/>
  <c r="AV15" i="12"/>
  <c r="AW15" i="12"/>
  <c r="AX15" i="12"/>
  <c r="AY15" i="12"/>
  <c r="AZ15" i="12"/>
  <c r="BA15" i="12"/>
  <c r="AU16" i="12"/>
  <c r="AV16" i="12"/>
  <c r="AW16" i="12"/>
  <c r="AX16" i="12"/>
  <c r="AY16" i="12"/>
  <c r="AZ16" i="12"/>
  <c r="BA16" i="12"/>
  <c r="AU17" i="12"/>
  <c r="AV17" i="12"/>
  <c r="AW17" i="12"/>
  <c r="AX17" i="12"/>
  <c r="AY17" i="12"/>
  <c r="AZ17" i="12"/>
  <c r="BA17" i="12"/>
  <c r="AU18" i="12"/>
  <c r="AV18" i="12"/>
  <c r="AW18" i="12"/>
  <c r="AX18" i="12"/>
  <c r="AY18" i="12"/>
  <c r="AZ18" i="12"/>
  <c r="BA18" i="12"/>
  <c r="AU19" i="12"/>
  <c r="AV19" i="12"/>
  <c r="AW19" i="12"/>
  <c r="AX19" i="12"/>
  <c r="AY19" i="12"/>
  <c r="AZ19" i="12"/>
  <c r="BA19" i="12"/>
  <c r="AU20" i="12"/>
  <c r="AV20" i="12"/>
  <c r="AW20" i="12"/>
  <c r="AX20" i="12"/>
  <c r="AY20" i="12"/>
  <c r="AZ20" i="12"/>
  <c r="BA20" i="12"/>
  <c r="AV6" i="12"/>
  <c r="AW6" i="12"/>
  <c r="AX6" i="12"/>
  <c r="AY6" i="12"/>
  <c r="AZ6" i="12"/>
  <c r="BA6" i="12"/>
  <c r="AU6" i="12"/>
  <c r="AL140" i="12"/>
  <c r="AM140" i="12"/>
  <c r="AN140" i="12"/>
  <c r="AO140" i="12"/>
  <c r="AP140" i="12"/>
  <c r="AQ140" i="12"/>
  <c r="AR140" i="12"/>
  <c r="AL141" i="12"/>
  <c r="AM141" i="12"/>
  <c r="AN141" i="12"/>
  <c r="AO141" i="12"/>
  <c r="AP141" i="12"/>
  <c r="AQ141" i="12"/>
  <c r="AR141" i="12"/>
  <c r="AL142" i="12"/>
  <c r="AM142" i="12"/>
  <c r="AN142" i="12"/>
  <c r="AO142" i="12"/>
  <c r="AP142" i="12"/>
  <c r="AQ142" i="12"/>
  <c r="AR142" i="12"/>
  <c r="AL143" i="12"/>
  <c r="AM143" i="12"/>
  <c r="AN143" i="12"/>
  <c r="AO143" i="12"/>
  <c r="AP143" i="12"/>
  <c r="AQ143" i="12"/>
  <c r="AR143" i="12"/>
  <c r="AL144" i="12"/>
  <c r="AM144" i="12"/>
  <c r="AN144" i="12"/>
  <c r="AO144" i="12"/>
  <c r="AP144" i="12"/>
  <c r="AQ144" i="12"/>
  <c r="AR144" i="12"/>
  <c r="AL145" i="12"/>
  <c r="AM145" i="12"/>
  <c r="AN145" i="12"/>
  <c r="AO145" i="12"/>
  <c r="AP145" i="12"/>
  <c r="AQ145" i="12"/>
  <c r="AR145" i="12"/>
  <c r="AL146" i="12"/>
  <c r="AM146" i="12"/>
  <c r="AN146" i="12"/>
  <c r="AO146" i="12"/>
  <c r="AP146" i="12"/>
  <c r="AQ146" i="12"/>
  <c r="AR146" i="12"/>
  <c r="AL147" i="12"/>
  <c r="AM147" i="12"/>
  <c r="AN147" i="12"/>
  <c r="AO147" i="12"/>
  <c r="AP147" i="12"/>
  <c r="AQ147" i="12"/>
  <c r="AR147" i="12"/>
  <c r="AL148" i="12"/>
  <c r="AM148" i="12"/>
  <c r="AN148" i="12"/>
  <c r="AO148" i="12"/>
  <c r="AP148" i="12"/>
  <c r="AQ148" i="12"/>
  <c r="AR148" i="12"/>
  <c r="AL149" i="12"/>
  <c r="AM149" i="12"/>
  <c r="AN149" i="12"/>
  <c r="AO149" i="12"/>
  <c r="AP149" i="12"/>
  <c r="AQ149" i="12"/>
  <c r="AR149" i="12"/>
  <c r="AL150" i="12"/>
  <c r="AM150" i="12"/>
  <c r="AN150" i="12"/>
  <c r="AO150" i="12"/>
  <c r="AP150" i="12"/>
  <c r="AQ150" i="12"/>
  <c r="AR150" i="12"/>
  <c r="AL151" i="12"/>
  <c r="AM151" i="12"/>
  <c r="AN151" i="12"/>
  <c r="AO151" i="12"/>
  <c r="AP151" i="12"/>
  <c r="AQ151" i="12"/>
  <c r="AR151" i="12"/>
  <c r="AL152" i="12"/>
  <c r="AM152" i="12"/>
  <c r="AN152" i="12"/>
  <c r="AO152" i="12"/>
  <c r="AP152" i="12"/>
  <c r="AQ152" i="12"/>
  <c r="AR152" i="12"/>
  <c r="AL153" i="12"/>
  <c r="AM153" i="12"/>
  <c r="AN153" i="12"/>
  <c r="AO153" i="12"/>
  <c r="AP153" i="12"/>
  <c r="AQ153" i="12"/>
  <c r="AR153" i="12"/>
  <c r="AM139" i="12"/>
  <c r="AN139" i="12"/>
  <c r="AO139" i="12"/>
  <c r="AP139" i="12"/>
  <c r="AQ139" i="12"/>
  <c r="AR139" i="12"/>
  <c r="AL139" i="12"/>
  <c r="AL121" i="12"/>
  <c r="AM121" i="12"/>
  <c r="AN121" i="12"/>
  <c r="AO121" i="12"/>
  <c r="AP121" i="12"/>
  <c r="AQ121" i="12"/>
  <c r="AR121" i="12"/>
  <c r="AL122" i="12"/>
  <c r="AM122" i="12"/>
  <c r="AN122" i="12"/>
  <c r="AO122" i="12"/>
  <c r="AP122" i="12"/>
  <c r="AQ122" i="12"/>
  <c r="AR122" i="12"/>
  <c r="AL123" i="12"/>
  <c r="AM123" i="12"/>
  <c r="AN123" i="12"/>
  <c r="AO123" i="12"/>
  <c r="AP123" i="12"/>
  <c r="AQ123" i="12"/>
  <c r="AR123" i="12"/>
  <c r="AL124" i="12"/>
  <c r="AM124" i="12"/>
  <c r="AN124" i="12"/>
  <c r="AO124" i="12"/>
  <c r="AP124" i="12"/>
  <c r="AQ124" i="12"/>
  <c r="AR124" i="12"/>
  <c r="AL125" i="12"/>
  <c r="AM125" i="12"/>
  <c r="AN125" i="12"/>
  <c r="AO125" i="12"/>
  <c r="AP125" i="12"/>
  <c r="AQ125" i="12"/>
  <c r="AR125" i="12"/>
  <c r="AL126" i="12"/>
  <c r="AM126" i="12"/>
  <c r="AN126" i="12"/>
  <c r="AO126" i="12"/>
  <c r="AP126" i="12"/>
  <c r="AQ126" i="12"/>
  <c r="AR126" i="12"/>
  <c r="AL127" i="12"/>
  <c r="AM127" i="12"/>
  <c r="AN127" i="12"/>
  <c r="AO127" i="12"/>
  <c r="AP127" i="12"/>
  <c r="AQ127" i="12"/>
  <c r="AR127" i="12"/>
  <c r="AL128" i="12"/>
  <c r="AM128" i="12"/>
  <c r="AN128" i="12"/>
  <c r="AO128" i="12"/>
  <c r="AP128" i="12"/>
  <c r="AQ128" i="12"/>
  <c r="AR128" i="12"/>
  <c r="AL129" i="12"/>
  <c r="AM129" i="12"/>
  <c r="AN129" i="12"/>
  <c r="AO129" i="12"/>
  <c r="AP129" i="12"/>
  <c r="AQ129" i="12"/>
  <c r="AR129" i="12"/>
  <c r="AL130" i="12"/>
  <c r="AM130" i="12"/>
  <c r="AN130" i="12"/>
  <c r="AO130" i="12"/>
  <c r="AP130" i="12"/>
  <c r="AQ130" i="12"/>
  <c r="AR130" i="12"/>
  <c r="AL131" i="12"/>
  <c r="AM131" i="12"/>
  <c r="AN131" i="12"/>
  <c r="AO131" i="12"/>
  <c r="AP131" i="12"/>
  <c r="AQ131" i="12"/>
  <c r="AR131" i="12"/>
  <c r="AL132" i="12"/>
  <c r="AM132" i="12"/>
  <c r="AN132" i="12"/>
  <c r="AO132" i="12"/>
  <c r="AP132" i="12"/>
  <c r="AQ132" i="12"/>
  <c r="AR132" i="12"/>
  <c r="AL133" i="12"/>
  <c r="AM133" i="12"/>
  <c r="AN133" i="12"/>
  <c r="AO133" i="12"/>
  <c r="AP133" i="12"/>
  <c r="AQ133" i="12"/>
  <c r="AR133" i="12"/>
  <c r="AL134" i="12"/>
  <c r="AM134" i="12"/>
  <c r="AN134" i="12"/>
  <c r="AO134" i="12"/>
  <c r="AP134" i="12"/>
  <c r="AQ134" i="12"/>
  <c r="AR134" i="12"/>
  <c r="AM120" i="12"/>
  <c r="AN120" i="12"/>
  <c r="AO120" i="12"/>
  <c r="AP120" i="12"/>
  <c r="AQ120" i="12"/>
  <c r="AR120" i="12"/>
  <c r="AL120" i="12"/>
  <c r="AL102" i="12"/>
  <c r="AM102" i="12"/>
  <c r="AN102" i="12"/>
  <c r="AO102" i="12"/>
  <c r="AP102" i="12"/>
  <c r="AQ102" i="12"/>
  <c r="AR102" i="12"/>
  <c r="AL103" i="12"/>
  <c r="AM103" i="12"/>
  <c r="AN103" i="12"/>
  <c r="AO103" i="12"/>
  <c r="AP103" i="12"/>
  <c r="AQ103" i="12"/>
  <c r="AR103" i="12"/>
  <c r="AL104" i="12"/>
  <c r="AM104" i="12"/>
  <c r="AN104" i="12"/>
  <c r="AO104" i="12"/>
  <c r="AP104" i="12"/>
  <c r="AQ104" i="12"/>
  <c r="AR104" i="12"/>
  <c r="AL105" i="12"/>
  <c r="AM105" i="12"/>
  <c r="AN105" i="12"/>
  <c r="AO105" i="12"/>
  <c r="AP105" i="12"/>
  <c r="AQ105" i="12"/>
  <c r="AR105" i="12"/>
  <c r="AL106" i="12"/>
  <c r="AM106" i="12"/>
  <c r="AN106" i="12"/>
  <c r="AO106" i="12"/>
  <c r="AP106" i="12"/>
  <c r="AQ106" i="12"/>
  <c r="AR106" i="12"/>
  <c r="AL107" i="12"/>
  <c r="AM107" i="12"/>
  <c r="AN107" i="12"/>
  <c r="AO107" i="12"/>
  <c r="AP107" i="12"/>
  <c r="AQ107" i="12"/>
  <c r="AR107" i="12"/>
  <c r="AL108" i="12"/>
  <c r="AM108" i="12"/>
  <c r="AN108" i="12"/>
  <c r="AO108" i="12"/>
  <c r="AP108" i="12"/>
  <c r="AQ108" i="12"/>
  <c r="AR108" i="12"/>
  <c r="AL109" i="12"/>
  <c r="AM109" i="12"/>
  <c r="AN109" i="12"/>
  <c r="AO109" i="12"/>
  <c r="AP109" i="12"/>
  <c r="AQ109" i="12"/>
  <c r="AR109" i="12"/>
  <c r="AL110" i="12"/>
  <c r="AM110" i="12"/>
  <c r="AN110" i="12"/>
  <c r="AO110" i="12"/>
  <c r="AP110" i="12"/>
  <c r="AQ110" i="12"/>
  <c r="AR110" i="12"/>
  <c r="AL111" i="12"/>
  <c r="AM111" i="12"/>
  <c r="AN111" i="12"/>
  <c r="AO111" i="12"/>
  <c r="AP111" i="12"/>
  <c r="AQ111" i="12"/>
  <c r="AR111" i="12"/>
  <c r="AL112" i="12"/>
  <c r="AM112" i="12"/>
  <c r="AN112" i="12"/>
  <c r="AO112" i="12"/>
  <c r="AP112" i="12"/>
  <c r="AQ112" i="12"/>
  <c r="AR112" i="12"/>
  <c r="AL113" i="12"/>
  <c r="AM113" i="12"/>
  <c r="AN113" i="12"/>
  <c r="AO113" i="12"/>
  <c r="AP113" i="12"/>
  <c r="AQ113" i="12"/>
  <c r="AR113" i="12"/>
  <c r="AL114" i="12"/>
  <c r="AM114" i="12"/>
  <c r="AN114" i="12"/>
  <c r="AO114" i="12"/>
  <c r="AP114" i="12"/>
  <c r="AQ114" i="12"/>
  <c r="AR114" i="12"/>
  <c r="AL115" i="12"/>
  <c r="AM115" i="12"/>
  <c r="AN115" i="12"/>
  <c r="AO115" i="12"/>
  <c r="AP115" i="12"/>
  <c r="AQ115" i="12"/>
  <c r="AR115" i="12"/>
  <c r="AM101" i="12"/>
  <c r="AN101" i="12"/>
  <c r="AO101" i="12"/>
  <c r="AP101" i="12"/>
  <c r="AQ101" i="12"/>
  <c r="AR101" i="12"/>
  <c r="AL101" i="12"/>
  <c r="AL83" i="12"/>
  <c r="AM83" i="12"/>
  <c r="AN83" i="12"/>
  <c r="AO83" i="12"/>
  <c r="AP83" i="12"/>
  <c r="AQ83" i="12"/>
  <c r="AR83" i="12"/>
  <c r="AL84" i="12"/>
  <c r="AM84" i="12"/>
  <c r="AN84" i="12"/>
  <c r="AO84" i="12"/>
  <c r="AP84" i="12"/>
  <c r="AQ84" i="12"/>
  <c r="AR84" i="12"/>
  <c r="AL85" i="12"/>
  <c r="AM85" i="12"/>
  <c r="AN85" i="12"/>
  <c r="AO85" i="12"/>
  <c r="AP85" i="12"/>
  <c r="AQ85" i="12"/>
  <c r="AR85" i="12"/>
  <c r="AL86" i="12"/>
  <c r="AM86" i="12"/>
  <c r="AN86" i="12"/>
  <c r="AO86" i="12"/>
  <c r="AP86" i="12"/>
  <c r="AQ86" i="12"/>
  <c r="AR86" i="12"/>
  <c r="AL87" i="12"/>
  <c r="AM87" i="12"/>
  <c r="AN87" i="12"/>
  <c r="AO87" i="12"/>
  <c r="AP87" i="12"/>
  <c r="AQ87" i="12"/>
  <c r="AR87" i="12"/>
  <c r="AL88" i="12"/>
  <c r="AM88" i="12"/>
  <c r="AN88" i="12"/>
  <c r="AO88" i="12"/>
  <c r="AP88" i="12"/>
  <c r="AQ88" i="12"/>
  <c r="AR88" i="12"/>
  <c r="AL89" i="12"/>
  <c r="AM89" i="12"/>
  <c r="AN89" i="12"/>
  <c r="AO89" i="12"/>
  <c r="AP89" i="12"/>
  <c r="AQ89" i="12"/>
  <c r="AR89" i="12"/>
  <c r="AL90" i="12"/>
  <c r="AM90" i="12"/>
  <c r="AN90" i="12"/>
  <c r="AO90" i="12"/>
  <c r="AP90" i="12"/>
  <c r="AQ90" i="12"/>
  <c r="AR90" i="12"/>
  <c r="AL91" i="12"/>
  <c r="AM91" i="12"/>
  <c r="AN91" i="12"/>
  <c r="AO91" i="12"/>
  <c r="AP91" i="12"/>
  <c r="AQ91" i="12"/>
  <c r="AR91" i="12"/>
  <c r="AL92" i="12"/>
  <c r="AM92" i="12"/>
  <c r="AN92" i="12"/>
  <c r="AO92" i="12"/>
  <c r="AP92" i="12"/>
  <c r="AQ92" i="12"/>
  <c r="AR92" i="12"/>
  <c r="AL93" i="12"/>
  <c r="AM93" i="12"/>
  <c r="AN93" i="12"/>
  <c r="AO93" i="12"/>
  <c r="AP93" i="12"/>
  <c r="AQ93" i="12"/>
  <c r="AR93" i="12"/>
  <c r="AL94" i="12"/>
  <c r="AM94" i="12"/>
  <c r="AN94" i="12"/>
  <c r="AO94" i="12"/>
  <c r="AP94" i="12"/>
  <c r="AQ94" i="12"/>
  <c r="AR94" i="12"/>
  <c r="AL95" i="12"/>
  <c r="AM95" i="12"/>
  <c r="AN95" i="12"/>
  <c r="AO95" i="12"/>
  <c r="AP95" i="12"/>
  <c r="AQ95" i="12"/>
  <c r="AR95" i="12"/>
  <c r="AL96" i="12"/>
  <c r="AM96" i="12"/>
  <c r="AN96" i="12"/>
  <c r="AO96" i="12"/>
  <c r="AP96" i="12"/>
  <c r="AQ96" i="12"/>
  <c r="AR96" i="12"/>
  <c r="AM82" i="12"/>
  <c r="AN82" i="12"/>
  <c r="AO82" i="12"/>
  <c r="AP82" i="12"/>
  <c r="AQ82" i="12"/>
  <c r="AR82" i="12"/>
  <c r="AL82" i="12"/>
  <c r="AL64" i="12"/>
  <c r="AM64" i="12"/>
  <c r="AN64" i="12"/>
  <c r="AO64" i="12"/>
  <c r="AP64" i="12"/>
  <c r="AQ64" i="12"/>
  <c r="AR64" i="12"/>
  <c r="AL65" i="12"/>
  <c r="AM65" i="12"/>
  <c r="AN65" i="12"/>
  <c r="AO65" i="12"/>
  <c r="AP65" i="12"/>
  <c r="AQ65" i="12"/>
  <c r="AR65" i="12"/>
  <c r="AL66" i="12"/>
  <c r="AM66" i="12"/>
  <c r="AN66" i="12"/>
  <c r="AO66" i="12"/>
  <c r="AP66" i="12"/>
  <c r="AQ66" i="12"/>
  <c r="AR66" i="12"/>
  <c r="AL67" i="12"/>
  <c r="AM67" i="12"/>
  <c r="AN67" i="12"/>
  <c r="AO67" i="12"/>
  <c r="AP67" i="12"/>
  <c r="AQ67" i="12"/>
  <c r="AR67" i="12"/>
  <c r="AL68" i="12"/>
  <c r="AM68" i="12"/>
  <c r="AN68" i="12"/>
  <c r="AO68" i="12"/>
  <c r="AP68" i="12"/>
  <c r="AQ68" i="12"/>
  <c r="AR68" i="12"/>
  <c r="AL69" i="12"/>
  <c r="AM69" i="12"/>
  <c r="AN69" i="12"/>
  <c r="AO69" i="12"/>
  <c r="AP69" i="12"/>
  <c r="AQ69" i="12"/>
  <c r="AR69" i="12"/>
  <c r="AL70" i="12"/>
  <c r="AM70" i="12"/>
  <c r="AN70" i="12"/>
  <c r="AO70" i="12"/>
  <c r="AP70" i="12"/>
  <c r="AQ70" i="12"/>
  <c r="AR70" i="12"/>
  <c r="AL71" i="12"/>
  <c r="AM71" i="12"/>
  <c r="AN71" i="12"/>
  <c r="AO71" i="12"/>
  <c r="AP71" i="12"/>
  <c r="AQ71" i="12"/>
  <c r="AR71" i="12"/>
  <c r="AL72" i="12"/>
  <c r="AM72" i="12"/>
  <c r="AN72" i="12"/>
  <c r="AO72" i="12"/>
  <c r="AP72" i="12"/>
  <c r="AQ72" i="12"/>
  <c r="AR72" i="12"/>
  <c r="AL73" i="12"/>
  <c r="AM73" i="12"/>
  <c r="AN73" i="12"/>
  <c r="AO73" i="12"/>
  <c r="AP73" i="12"/>
  <c r="AQ73" i="12"/>
  <c r="AR73" i="12"/>
  <c r="AL74" i="12"/>
  <c r="AM74" i="12"/>
  <c r="AN74" i="12"/>
  <c r="AO74" i="12"/>
  <c r="AP74" i="12"/>
  <c r="AQ74" i="12"/>
  <c r="AR74" i="12"/>
  <c r="AL75" i="12"/>
  <c r="AM75" i="12"/>
  <c r="AN75" i="12"/>
  <c r="AO75" i="12"/>
  <c r="AP75" i="12"/>
  <c r="AQ75" i="12"/>
  <c r="AR75" i="12"/>
  <c r="AL76" i="12"/>
  <c r="AM76" i="12"/>
  <c r="AN76" i="12"/>
  <c r="AO76" i="12"/>
  <c r="AP76" i="12"/>
  <c r="AQ76" i="12"/>
  <c r="AR76" i="12"/>
  <c r="AL77" i="12"/>
  <c r="AM77" i="12"/>
  <c r="AN77" i="12"/>
  <c r="AO77" i="12"/>
  <c r="AP77" i="12"/>
  <c r="AQ77" i="12"/>
  <c r="AR77" i="12"/>
  <c r="AM63" i="12"/>
  <c r="AN63" i="12"/>
  <c r="AO63" i="12"/>
  <c r="AP63" i="12"/>
  <c r="AQ63" i="12"/>
  <c r="AR63" i="12"/>
  <c r="AL63" i="12"/>
  <c r="AL45" i="12"/>
  <c r="AM45" i="12"/>
  <c r="AN45" i="12"/>
  <c r="AO45" i="12"/>
  <c r="AP45" i="12"/>
  <c r="AQ45" i="12"/>
  <c r="AR45" i="12"/>
  <c r="AL46" i="12"/>
  <c r="AM46" i="12"/>
  <c r="AN46" i="12"/>
  <c r="AO46" i="12"/>
  <c r="AP46" i="12"/>
  <c r="AQ46" i="12"/>
  <c r="AR46" i="12"/>
  <c r="AL47" i="12"/>
  <c r="AM47" i="12"/>
  <c r="AN47" i="12"/>
  <c r="AO47" i="12"/>
  <c r="AP47" i="12"/>
  <c r="AQ47" i="12"/>
  <c r="AR47" i="12"/>
  <c r="AL48" i="12"/>
  <c r="AM48" i="12"/>
  <c r="AN48" i="12"/>
  <c r="AO48" i="12"/>
  <c r="AP48" i="12"/>
  <c r="AQ48" i="12"/>
  <c r="AR48" i="12"/>
  <c r="AL49" i="12"/>
  <c r="AM49" i="12"/>
  <c r="AN49" i="12"/>
  <c r="AO49" i="12"/>
  <c r="AP49" i="12"/>
  <c r="AQ49" i="12"/>
  <c r="AR49" i="12"/>
  <c r="AL50" i="12"/>
  <c r="AM50" i="12"/>
  <c r="AN50" i="12"/>
  <c r="AO50" i="12"/>
  <c r="AP50" i="12"/>
  <c r="AQ50" i="12"/>
  <c r="AR50" i="12"/>
  <c r="AL51" i="12"/>
  <c r="AM51" i="12"/>
  <c r="AN51" i="12"/>
  <c r="AO51" i="12"/>
  <c r="AP51" i="12"/>
  <c r="AQ51" i="12"/>
  <c r="AR51" i="12"/>
  <c r="AL52" i="12"/>
  <c r="AM52" i="12"/>
  <c r="AN52" i="12"/>
  <c r="AO52" i="12"/>
  <c r="AP52" i="12"/>
  <c r="AQ52" i="12"/>
  <c r="AR52" i="12"/>
  <c r="AL53" i="12"/>
  <c r="AM53" i="12"/>
  <c r="AN53" i="12"/>
  <c r="AO53" i="12"/>
  <c r="AP53" i="12"/>
  <c r="AQ53" i="12"/>
  <c r="AR53" i="12"/>
  <c r="AL54" i="12"/>
  <c r="AM54" i="12"/>
  <c r="AN54" i="12"/>
  <c r="AO54" i="12"/>
  <c r="AP54" i="12"/>
  <c r="AQ54" i="12"/>
  <c r="AR54" i="12"/>
  <c r="AL55" i="12"/>
  <c r="AM55" i="12"/>
  <c r="AN55" i="12"/>
  <c r="AO55" i="12"/>
  <c r="AP55" i="12"/>
  <c r="AQ55" i="12"/>
  <c r="AR55" i="12"/>
  <c r="AL56" i="12"/>
  <c r="AM56" i="12"/>
  <c r="AN56" i="12"/>
  <c r="AO56" i="12"/>
  <c r="AP56" i="12"/>
  <c r="AQ56" i="12"/>
  <c r="AR56" i="12"/>
  <c r="AL57" i="12"/>
  <c r="AM57" i="12"/>
  <c r="AN57" i="12"/>
  <c r="AO57" i="12"/>
  <c r="AP57" i="12"/>
  <c r="AQ57" i="12"/>
  <c r="AR57" i="12"/>
  <c r="AL58" i="12"/>
  <c r="AM58" i="12"/>
  <c r="AN58" i="12"/>
  <c r="AO58" i="12"/>
  <c r="AP58" i="12"/>
  <c r="AQ58" i="12"/>
  <c r="AR58" i="12"/>
  <c r="AM44" i="12"/>
  <c r="AN44" i="12"/>
  <c r="AO44" i="12"/>
  <c r="AP44" i="12"/>
  <c r="AQ44" i="12"/>
  <c r="AR44" i="12"/>
  <c r="AL44" i="12"/>
  <c r="AL26" i="12"/>
  <c r="AM26" i="12"/>
  <c r="AN26" i="12"/>
  <c r="AO26" i="12"/>
  <c r="AP26" i="12"/>
  <c r="AQ26" i="12"/>
  <c r="AR26" i="12"/>
  <c r="AL27" i="12"/>
  <c r="AM27" i="12"/>
  <c r="AN27" i="12"/>
  <c r="AO27" i="12"/>
  <c r="AP27" i="12"/>
  <c r="AQ27" i="12"/>
  <c r="AR27" i="12"/>
  <c r="AL28" i="12"/>
  <c r="AM28" i="12"/>
  <c r="AN28" i="12"/>
  <c r="AO28" i="12"/>
  <c r="AP28" i="12"/>
  <c r="AQ28" i="12"/>
  <c r="AR28" i="12"/>
  <c r="AL29" i="12"/>
  <c r="AM29" i="12"/>
  <c r="AN29" i="12"/>
  <c r="AO29" i="12"/>
  <c r="AP29" i="12"/>
  <c r="AQ29" i="12"/>
  <c r="AR29" i="12"/>
  <c r="AL30" i="12"/>
  <c r="AM30" i="12"/>
  <c r="AN30" i="12"/>
  <c r="AO30" i="12"/>
  <c r="AP30" i="12"/>
  <c r="AQ30" i="12"/>
  <c r="AR30" i="12"/>
  <c r="AL31" i="12"/>
  <c r="AM31" i="12"/>
  <c r="AN31" i="12"/>
  <c r="AO31" i="12"/>
  <c r="AP31" i="12"/>
  <c r="AQ31" i="12"/>
  <c r="AR31" i="12"/>
  <c r="AL32" i="12"/>
  <c r="AM32" i="12"/>
  <c r="AN32" i="12"/>
  <c r="AO32" i="12"/>
  <c r="AP32" i="12"/>
  <c r="AQ32" i="12"/>
  <c r="AR32" i="12"/>
  <c r="AL33" i="12"/>
  <c r="AM33" i="12"/>
  <c r="AN33" i="12"/>
  <c r="AO33" i="12"/>
  <c r="AP33" i="12"/>
  <c r="AQ33" i="12"/>
  <c r="AR33" i="12"/>
  <c r="AL34" i="12"/>
  <c r="AM34" i="12"/>
  <c r="AN34" i="12"/>
  <c r="AO34" i="12"/>
  <c r="AP34" i="12"/>
  <c r="AQ34" i="12"/>
  <c r="AR34" i="12"/>
  <c r="AL35" i="12"/>
  <c r="AM35" i="12"/>
  <c r="AN35" i="12"/>
  <c r="AO35" i="12"/>
  <c r="AP35" i="12"/>
  <c r="AQ35" i="12"/>
  <c r="AR35" i="12"/>
  <c r="AL36" i="12"/>
  <c r="AM36" i="12"/>
  <c r="AN36" i="12"/>
  <c r="AO36" i="12"/>
  <c r="AP36" i="12"/>
  <c r="AQ36" i="12"/>
  <c r="AR36" i="12"/>
  <c r="AL37" i="12"/>
  <c r="AM37" i="12"/>
  <c r="AN37" i="12"/>
  <c r="AO37" i="12"/>
  <c r="AP37" i="12"/>
  <c r="AQ37" i="12"/>
  <c r="AR37" i="12"/>
  <c r="AL38" i="12"/>
  <c r="AM38" i="12"/>
  <c r="AN38" i="12"/>
  <c r="AO38" i="12"/>
  <c r="AP38" i="12"/>
  <c r="AQ38" i="12"/>
  <c r="AR38" i="12"/>
  <c r="AL39" i="12"/>
  <c r="AM39" i="12"/>
  <c r="AN39" i="12"/>
  <c r="AO39" i="12"/>
  <c r="AP39" i="12"/>
  <c r="AQ39" i="12"/>
  <c r="AR39" i="12"/>
  <c r="AM25" i="12"/>
  <c r="AN25" i="12"/>
  <c r="AO25" i="12"/>
  <c r="AP25" i="12"/>
  <c r="AQ25" i="12"/>
  <c r="AR25" i="12"/>
  <c r="AL25" i="12"/>
  <c r="AL7" i="12"/>
  <c r="AM7" i="12"/>
  <c r="AN7" i="12"/>
  <c r="AO7" i="12"/>
  <c r="AP7" i="12"/>
  <c r="AQ7" i="12"/>
  <c r="AR7" i="12"/>
  <c r="AL8" i="12"/>
  <c r="AM8" i="12"/>
  <c r="AN8" i="12"/>
  <c r="AO8" i="12"/>
  <c r="AP8" i="12"/>
  <c r="AQ8" i="12"/>
  <c r="AR8" i="12"/>
  <c r="AL9" i="12"/>
  <c r="AM9" i="12"/>
  <c r="AN9" i="12"/>
  <c r="AO9" i="12"/>
  <c r="AP9" i="12"/>
  <c r="AQ9" i="12"/>
  <c r="AR9" i="12"/>
  <c r="AL10" i="12"/>
  <c r="AM10" i="12"/>
  <c r="AN10" i="12"/>
  <c r="AO10" i="12"/>
  <c r="AP10" i="12"/>
  <c r="AQ10" i="12"/>
  <c r="AR10" i="12"/>
  <c r="AL11" i="12"/>
  <c r="AM11" i="12"/>
  <c r="AN11" i="12"/>
  <c r="AO11" i="12"/>
  <c r="AP11" i="12"/>
  <c r="AQ11" i="12"/>
  <c r="AR11" i="12"/>
  <c r="AL12" i="12"/>
  <c r="AM12" i="12"/>
  <c r="AN12" i="12"/>
  <c r="AO12" i="12"/>
  <c r="AP12" i="12"/>
  <c r="AQ12" i="12"/>
  <c r="AR12" i="12"/>
  <c r="AL13" i="12"/>
  <c r="AM13" i="12"/>
  <c r="AN13" i="12"/>
  <c r="AO13" i="12"/>
  <c r="AP13" i="12"/>
  <c r="AQ13" i="12"/>
  <c r="AR13" i="12"/>
  <c r="AL14" i="12"/>
  <c r="AM14" i="12"/>
  <c r="AN14" i="12"/>
  <c r="AO14" i="12"/>
  <c r="AP14" i="12"/>
  <c r="AQ14" i="12"/>
  <c r="AR14" i="12"/>
  <c r="AL15" i="12"/>
  <c r="AM15" i="12"/>
  <c r="AN15" i="12"/>
  <c r="AO15" i="12"/>
  <c r="AP15" i="12"/>
  <c r="AQ15" i="12"/>
  <c r="AR15" i="12"/>
  <c r="AL16" i="12"/>
  <c r="AM16" i="12"/>
  <c r="AN16" i="12"/>
  <c r="AO16" i="12"/>
  <c r="AP16" i="12"/>
  <c r="AQ16" i="12"/>
  <c r="AR16" i="12"/>
  <c r="AL17" i="12"/>
  <c r="AM17" i="12"/>
  <c r="AN17" i="12"/>
  <c r="AO17" i="12"/>
  <c r="AP17" i="12"/>
  <c r="AQ17" i="12"/>
  <c r="AR17" i="12"/>
  <c r="AL18" i="12"/>
  <c r="AM18" i="12"/>
  <c r="AN18" i="12"/>
  <c r="AO18" i="12"/>
  <c r="AP18" i="12"/>
  <c r="AQ18" i="12"/>
  <c r="AR18" i="12"/>
  <c r="AL19" i="12"/>
  <c r="AM19" i="12"/>
  <c r="AN19" i="12"/>
  <c r="AO19" i="12"/>
  <c r="AP19" i="12"/>
  <c r="AQ19" i="12"/>
  <c r="AR19" i="12"/>
  <c r="AL20" i="12"/>
  <c r="AM20" i="12"/>
  <c r="AN20" i="12"/>
  <c r="AO20" i="12"/>
  <c r="AP20" i="12"/>
  <c r="AQ20" i="12"/>
  <c r="AR20" i="12"/>
  <c r="AM6" i="12"/>
  <c r="AN6" i="12"/>
  <c r="AO6" i="12"/>
  <c r="AP6" i="12"/>
  <c r="AQ6" i="12"/>
  <c r="AR6" i="12"/>
  <c r="AL6" i="12"/>
  <c r="AC140" i="12"/>
  <c r="AD140" i="12"/>
  <c r="AE140" i="12"/>
  <c r="AF140" i="12"/>
  <c r="AG140" i="12"/>
  <c r="AH140" i="12"/>
  <c r="AI140" i="12"/>
  <c r="AC141" i="12"/>
  <c r="AD141" i="12"/>
  <c r="AE141" i="12"/>
  <c r="AF141" i="12"/>
  <c r="AG141" i="12"/>
  <c r="AH141" i="12"/>
  <c r="AI141" i="12"/>
  <c r="AC142" i="12"/>
  <c r="AD142" i="12"/>
  <c r="AE142" i="12"/>
  <c r="AF142" i="12"/>
  <c r="AG142" i="12"/>
  <c r="AH142" i="12"/>
  <c r="AI142" i="12"/>
  <c r="AC143" i="12"/>
  <c r="AD143" i="12"/>
  <c r="AE143" i="12"/>
  <c r="AF143" i="12"/>
  <c r="AG143" i="12"/>
  <c r="AH143" i="12"/>
  <c r="AI143" i="12"/>
  <c r="AC144" i="12"/>
  <c r="AD144" i="12"/>
  <c r="AE144" i="12"/>
  <c r="AF144" i="12"/>
  <c r="AG144" i="12"/>
  <c r="AH144" i="12"/>
  <c r="AI144" i="12"/>
  <c r="AC145" i="12"/>
  <c r="AD145" i="12"/>
  <c r="AE145" i="12"/>
  <c r="AF145" i="12"/>
  <c r="AG145" i="12"/>
  <c r="AH145" i="12"/>
  <c r="AI145" i="12"/>
  <c r="AC146" i="12"/>
  <c r="AD146" i="12"/>
  <c r="AE146" i="12"/>
  <c r="AF146" i="12"/>
  <c r="AG146" i="12"/>
  <c r="AH146" i="12"/>
  <c r="AI146" i="12"/>
  <c r="AC147" i="12"/>
  <c r="AD147" i="12"/>
  <c r="AE147" i="12"/>
  <c r="AF147" i="12"/>
  <c r="AG147" i="12"/>
  <c r="AH147" i="12"/>
  <c r="AI147" i="12"/>
  <c r="AC148" i="12"/>
  <c r="AD148" i="12"/>
  <c r="AE148" i="12"/>
  <c r="AF148" i="12"/>
  <c r="AG148" i="12"/>
  <c r="AH148" i="12"/>
  <c r="AI148" i="12"/>
  <c r="AC149" i="12"/>
  <c r="AD149" i="12"/>
  <c r="AE149" i="12"/>
  <c r="AF149" i="12"/>
  <c r="AG149" i="12"/>
  <c r="AH149" i="12"/>
  <c r="AI149" i="12"/>
  <c r="AC150" i="12"/>
  <c r="AD150" i="12"/>
  <c r="AE150" i="12"/>
  <c r="AF150" i="12"/>
  <c r="AG150" i="12"/>
  <c r="AH150" i="12"/>
  <c r="AI150" i="12"/>
  <c r="AC151" i="12"/>
  <c r="AD151" i="12"/>
  <c r="AE151" i="12"/>
  <c r="AF151" i="12"/>
  <c r="AG151" i="12"/>
  <c r="AH151" i="12"/>
  <c r="AI151" i="12"/>
  <c r="AC152" i="12"/>
  <c r="AD152" i="12"/>
  <c r="AE152" i="12"/>
  <c r="AF152" i="12"/>
  <c r="AG152" i="12"/>
  <c r="AH152" i="12"/>
  <c r="AI152" i="12"/>
  <c r="AC153" i="12"/>
  <c r="AD153" i="12"/>
  <c r="AE153" i="12"/>
  <c r="AF153" i="12"/>
  <c r="AG153" i="12"/>
  <c r="AH153" i="12"/>
  <c r="AI153" i="12"/>
  <c r="AD139" i="12"/>
  <c r="AE139" i="12"/>
  <c r="AF139" i="12"/>
  <c r="AG139" i="12"/>
  <c r="AH139" i="12"/>
  <c r="AI139" i="12"/>
  <c r="AC139" i="12"/>
  <c r="AC121" i="12"/>
  <c r="AD121" i="12"/>
  <c r="AE121" i="12"/>
  <c r="AF121" i="12"/>
  <c r="AG121" i="12"/>
  <c r="AH121" i="12"/>
  <c r="AI121" i="12"/>
  <c r="AC122" i="12"/>
  <c r="AD122" i="12"/>
  <c r="AE122" i="12"/>
  <c r="AF122" i="12"/>
  <c r="AG122" i="12"/>
  <c r="AH122" i="12"/>
  <c r="AI122" i="12"/>
  <c r="AC123" i="12"/>
  <c r="AD123" i="12"/>
  <c r="AE123" i="12"/>
  <c r="AF123" i="12"/>
  <c r="AG123" i="12"/>
  <c r="AH123" i="12"/>
  <c r="AI123" i="12"/>
  <c r="AC124" i="12"/>
  <c r="AD124" i="12"/>
  <c r="AE124" i="12"/>
  <c r="AF124" i="12"/>
  <c r="AG124" i="12"/>
  <c r="AH124" i="12"/>
  <c r="AI124" i="12"/>
  <c r="AC125" i="12"/>
  <c r="AD125" i="12"/>
  <c r="AE125" i="12"/>
  <c r="AF125" i="12"/>
  <c r="AG125" i="12"/>
  <c r="AH125" i="12"/>
  <c r="AI125" i="12"/>
  <c r="AC126" i="12"/>
  <c r="AD126" i="12"/>
  <c r="AE126" i="12"/>
  <c r="AF126" i="12"/>
  <c r="AG126" i="12"/>
  <c r="AH126" i="12"/>
  <c r="AI126" i="12"/>
  <c r="AC127" i="12"/>
  <c r="AD127" i="12"/>
  <c r="AE127" i="12"/>
  <c r="AF127" i="12"/>
  <c r="AG127" i="12"/>
  <c r="AH127" i="12"/>
  <c r="AI127" i="12"/>
  <c r="AC128" i="12"/>
  <c r="AD128" i="12"/>
  <c r="AE128" i="12"/>
  <c r="AF128" i="12"/>
  <c r="AG128" i="12"/>
  <c r="AH128" i="12"/>
  <c r="AI128" i="12"/>
  <c r="AC129" i="12"/>
  <c r="AD129" i="12"/>
  <c r="AE129" i="12"/>
  <c r="AF129" i="12"/>
  <c r="AG129" i="12"/>
  <c r="AH129" i="12"/>
  <c r="AI129" i="12"/>
  <c r="AC130" i="12"/>
  <c r="AD130" i="12"/>
  <c r="AE130" i="12"/>
  <c r="AF130" i="12"/>
  <c r="AG130" i="12"/>
  <c r="AH130" i="12"/>
  <c r="AI130" i="12"/>
  <c r="AC131" i="12"/>
  <c r="AD131" i="12"/>
  <c r="AE131" i="12"/>
  <c r="AF131" i="12"/>
  <c r="AG131" i="12"/>
  <c r="AH131" i="12"/>
  <c r="AI131" i="12"/>
  <c r="AC132" i="12"/>
  <c r="AD132" i="12"/>
  <c r="AE132" i="12"/>
  <c r="AF132" i="12"/>
  <c r="AG132" i="12"/>
  <c r="AH132" i="12"/>
  <c r="AI132" i="12"/>
  <c r="AC133" i="12"/>
  <c r="AD133" i="12"/>
  <c r="AE133" i="12"/>
  <c r="AF133" i="12"/>
  <c r="AG133" i="12"/>
  <c r="AH133" i="12"/>
  <c r="AI133" i="12"/>
  <c r="AC134" i="12"/>
  <c r="AD134" i="12"/>
  <c r="AE134" i="12"/>
  <c r="AF134" i="12"/>
  <c r="AG134" i="12"/>
  <c r="AH134" i="12"/>
  <c r="AI134" i="12"/>
  <c r="AD120" i="12"/>
  <c r="AE120" i="12"/>
  <c r="AF120" i="12"/>
  <c r="AG120" i="12"/>
  <c r="AH120" i="12"/>
  <c r="AI120" i="12"/>
  <c r="AC120" i="12"/>
  <c r="AC102" i="12"/>
  <c r="AD102" i="12"/>
  <c r="AE102" i="12"/>
  <c r="AF102" i="12"/>
  <c r="AG102" i="12"/>
  <c r="AH102" i="12"/>
  <c r="AI102" i="12"/>
  <c r="AC103" i="12"/>
  <c r="AD103" i="12"/>
  <c r="AE103" i="12"/>
  <c r="AF103" i="12"/>
  <c r="AG103" i="12"/>
  <c r="AH103" i="12"/>
  <c r="AI103" i="12"/>
  <c r="AC104" i="12"/>
  <c r="AD104" i="12"/>
  <c r="AE104" i="12"/>
  <c r="AF104" i="12"/>
  <c r="AG104" i="12"/>
  <c r="AH104" i="12"/>
  <c r="AI104" i="12"/>
  <c r="AC105" i="12"/>
  <c r="AD105" i="12"/>
  <c r="AE105" i="12"/>
  <c r="AF105" i="12"/>
  <c r="AG105" i="12"/>
  <c r="AH105" i="12"/>
  <c r="AI105" i="12"/>
  <c r="AC106" i="12"/>
  <c r="AD106" i="12"/>
  <c r="AE106" i="12"/>
  <c r="AF106" i="12"/>
  <c r="AG106" i="12"/>
  <c r="AH106" i="12"/>
  <c r="AI106" i="12"/>
  <c r="AC107" i="12"/>
  <c r="AD107" i="12"/>
  <c r="AE107" i="12"/>
  <c r="AF107" i="12"/>
  <c r="AG107" i="12"/>
  <c r="AH107" i="12"/>
  <c r="AI107" i="12"/>
  <c r="AC108" i="12"/>
  <c r="AD108" i="12"/>
  <c r="AE108" i="12"/>
  <c r="AF108" i="12"/>
  <c r="AG108" i="12"/>
  <c r="AH108" i="12"/>
  <c r="AI108" i="12"/>
  <c r="AC109" i="12"/>
  <c r="AD109" i="12"/>
  <c r="AE109" i="12"/>
  <c r="AF109" i="12"/>
  <c r="AG109" i="12"/>
  <c r="AH109" i="12"/>
  <c r="AI109" i="12"/>
  <c r="AC110" i="12"/>
  <c r="AD110" i="12"/>
  <c r="AE110" i="12"/>
  <c r="AF110" i="12"/>
  <c r="AG110" i="12"/>
  <c r="AH110" i="12"/>
  <c r="AI110" i="12"/>
  <c r="AC111" i="12"/>
  <c r="AD111" i="12"/>
  <c r="AE111" i="12"/>
  <c r="AF111" i="12"/>
  <c r="AG111" i="12"/>
  <c r="AH111" i="12"/>
  <c r="AI111" i="12"/>
  <c r="AC112" i="12"/>
  <c r="AD112" i="12"/>
  <c r="AE112" i="12"/>
  <c r="AF112" i="12"/>
  <c r="AG112" i="12"/>
  <c r="AH112" i="12"/>
  <c r="AI112" i="12"/>
  <c r="AC113" i="12"/>
  <c r="AD113" i="12"/>
  <c r="AE113" i="12"/>
  <c r="AF113" i="12"/>
  <c r="AG113" i="12"/>
  <c r="AH113" i="12"/>
  <c r="AI113" i="12"/>
  <c r="AC114" i="12"/>
  <c r="AD114" i="12"/>
  <c r="AE114" i="12"/>
  <c r="AF114" i="12"/>
  <c r="AG114" i="12"/>
  <c r="AH114" i="12"/>
  <c r="AI114" i="12"/>
  <c r="AC115" i="12"/>
  <c r="AD115" i="12"/>
  <c r="AE115" i="12"/>
  <c r="AF115" i="12"/>
  <c r="AG115" i="12"/>
  <c r="AH115" i="12"/>
  <c r="AI115" i="12"/>
  <c r="AD101" i="12"/>
  <c r="AE101" i="12"/>
  <c r="AF101" i="12"/>
  <c r="AG101" i="12"/>
  <c r="AH101" i="12"/>
  <c r="AI101" i="12"/>
  <c r="AC101" i="12"/>
  <c r="AC83" i="12"/>
  <c r="AD83" i="12"/>
  <c r="AE83" i="12"/>
  <c r="AF83" i="12"/>
  <c r="AG83" i="12"/>
  <c r="AH83" i="12"/>
  <c r="AI83" i="12"/>
  <c r="AC84" i="12"/>
  <c r="AD84" i="12"/>
  <c r="AE84" i="12"/>
  <c r="AF84" i="12"/>
  <c r="AG84" i="12"/>
  <c r="AH84" i="12"/>
  <c r="AI84" i="12"/>
  <c r="AC85" i="12"/>
  <c r="AD85" i="12"/>
  <c r="AE85" i="12"/>
  <c r="AF85" i="12"/>
  <c r="AG85" i="12"/>
  <c r="AH85" i="12"/>
  <c r="AI85" i="12"/>
  <c r="AC86" i="12"/>
  <c r="AD86" i="12"/>
  <c r="AE86" i="12"/>
  <c r="AF86" i="12"/>
  <c r="AG86" i="12"/>
  <c r="AH86" i="12"/>
  <c r="AI86" i="12"/>
  <c r="AC87" i="12"/>
  <c r="AD87" i="12"/>
  <c r="AE87" i="12"/>
  <c r="AF87" i="12"/>
  <c r="AG87" i="12"/>
  <c r="AH87" i="12"/>
  <c r="AI87" i="12"/>
  <c r="AC88" i="12"/>
  <c r="AD88" i="12"/>
  <c r="AE88" i="12"/>
  <c r="AF88" i="12"/>
  <c r="AG88" i="12"/>
  <c r="AH88" i="12"/>
  <c r="AI88" i="12"/>
  <c r="AC89" i="12"/>
  <c r="AD89" i="12"/>
  <c r="AE89" i="12"/>
  <c r="AF89" i="12"/>
  <c r="AG89" i="12"/>
  <c r="AH89" i="12"/>
  <c r="AI89" i="12"/>
  <c r="AC90" i="12"/>
  <c r="AD90" i="12"/>
  <c r="AE90" i="12"/>
  <c r="AF90" i="12"/>
  <c r="AG90" i="12"/>
  <c r="AH90" i="12"/>
  <c r="AI90" i="12"/>
  <c r="AC91" i="12"/>
  <c r="AD91" i="12"/>
  <c r="AE91" i="12"/>
  <c r="AF91" i="12"/>
  <c r="AG91" i="12"/>
  <c r="AH91" i="12"/>
  <c r="AI91" i="12"/>
  <c r="AC92" i="12"/>
  <c r="AD92" i="12"/>
  <c r="AE92" i="12"/>
  <c r="AF92" i="12"/>
  <c r="AG92" i="12"/>
  <c r="AH92" i="12"/>
  <c r="AI92" i="12"/>
  <c r="AC93" i="12"/>
  <c r="AD93" i="12"/>
  <c r="AE93" i="12"/>
  <c r="AF93" i="12"/>
  <c r="AG93" i="12"/>
  <c r="AH93" i="12"/>
  <c r="AI93" i="12"/>
  <c r="AC94" i="12"/>
  <c r="AD94" i="12"/>
  <c r="AE94" i="12"/>
  <c r="AF94" i="12"/>
  <c r="AG94" i="12"/>
  <c r="AH94" i="12"/>
  <c r="AI94" i="12"/>
  <c r="AC95" i="12"/>
  <c r="AD95" i="12"/>
  <c r="AE95" i="12"/>
  <c r="AF95" i="12"/>
  <c r="AG95" i="12"/>
  <c r="AH95" i="12"/>
  <c r="AI95" i="12"/>
  <c r="AC96" i="12"/>
  <c r="AD96" i="12"/>
  <c r="AE96" i="12"/>
  <c r="AF96" i="12"/>
  <c r="AG96" i="12"/>
  <c r="AH96" i="12"/>
  <c r="AI96" i="12"/>
  <c r="AD82" i="12"/>
  <c r="AE82" i="12"/>
  <c r="AF82" i="12"/>
  <c r="AG82" i="12"/>
  <c r="AH82" i="12"/>
  <c r="AI82" i="12"/>
  <c r="AC82" i="12"/>
  <c r="AC64" i="12"/>
  <c r="AD64" i="12"/>
  <c r="AE64" i="12"/>
  <c r="AF64" i="12"/>
  <c r="AG64" i="12"/>
  <c r="AH64" i="12"/>
  <c r="AI64" i="12"/>
  <c r="AC65" i="12"/>
  <c r="AD65" i="12"/>
  <c r="AE65" i="12"/>
  <c r="AF65" i="12"/>
  <c r="AG65" i="12"/>
  <c r="AH65" i="12"/>
  <c r="AI65" i="12"/>
  <c r="AC66" i="12"/>
  <c r="AD66" i="12"/>
  <c r="AE66" i="12"/>
  <c r="AF66" i="12"/>
  <c r="AG66" i="12"/>
  <c r="AH66" i="12"/>
  <c r="AI66" i="12"/>
  <c r="AC67" i="12"/>
  <c r="AD67" i="12"/>
  <c r="AE67" i="12"/>
  <c r="AF67" i="12"/>
  <c r="AG67" i="12"/>
  <c r="AH67" i="12"/>
  <c r="AI67" i="12"/>
  <c r="AC68" i="12"/>
  <c r="AD68" i="12"/>
  <c r="AE68" i="12"/>
  <c r="AF68" i="12"/>
  <c r="AG68" i="12"/>
  <c r="AH68" i="12"/>
  <c r="AI68" i="12"/>
  <c r="AC69" i="12"/>
  <c r="AD69" i="12"/>
  <c r="AE69" i="12"/>
  <c r="AF69" i="12"/>
  <c r="AG69" i="12"/>
  <c r="AH69" i="12"/>
  <c r="AI69" i="12"/>
  <c r="AC70" i="12"/>
  <c r="AD70" i="12"/>
  <c r="AE70" i="12"/>
  <c r="AF70" i="12"/>
  <c r="AG70" i="12"/>
  <c r="AH70" i="12"/>
  <c r="AI70" i="12"/>
  <c r="AC71" i="12"/>
  <c r="AD71" i="12"/>
  <c r="AE71" i="12"/>
  <c r="AF71" i="12"/>
  <c r="AG71" i="12"/>
  <c r="AH71" i="12"/>
  <c r="AI71" i="12"/>
  <c r="AC72" i="12"/>
  <c r="AD72" i="12"/>
  <c r="AE72" i="12"/>
  <c r="AF72" i="12"/>
  <c r="AG72" i="12"/>
  <c r="AH72" i="12"/>
  <c r="AI72" i="12"/>
  <c r="AC73" i="12"/>
  <c r="AD73" i="12"/>
  <c r="AE73" i="12"/>
  <c r="AF73" i="12"/>
  <c r="AG73" i="12"/>
  <c r="AH73" i="12"/>
  <c r="AI73" i="12"/>
  <c r="AC74" i="12"/>
  <c r="AD74" i="12"/>
  <c r="AE74" i="12"/>
  <c r="AF74" i="12"/>
  <c r="AG74" i="12"/>
  <c r="AH74" i="12"/>
  <c r="AI74" i="12"/>
  <c r="AC75" i="12"/>
  <c r="AD75" i="12"/>
  <c r="AE75" i="12"/>
  <c r="AF75" i="12"/>
  <c r="AG75" i="12"/>
  <c r="AH75" i="12"/>
  <c r="AI75" i="12"/>
  <c r="AC76" i="12"/>
  <c r="AD76" i="12"/>
  <c r="AE76" i="12"/>
  <c r="AF76" i="12"/>
  <c r="AG76" i="12"/>
  <c r="AH76" i="12"/>
  <c r="AI76" i="12"/>
  <c r="AC77" i="12"/>
  <c r="AD77" i="12"/>
  <c r="AE77" i="12"/>
  <c r="AF77" i="12"/>
  <c r="AG77" i="12"/>
  <c r="AH77" i="12"/>
  <c r="AI77" i="12"/>
  <c r="AD63" i="12"/>
  <c r="AE63" i="12"/>
  <c r="AF63" i="12"/>
  <c r="AG63" i="12"/>
  <c r="AH63" i="12"/>
  <c r="AI63" i="12"/>
  <c r="AC63" i="12"/>
  <c r="AC45" i="12"/>
  <c r="AD45" i="12"/>
  <c r="AE45" i="12"/>
  <c r="AF45" i="12"/>
  <c r="AG45" i="12"/>
  <c r="AH45" i="12"/>
  <c r="AI45" i="12"/>
  <c r="AC46" i="12"/>
  <c r="AD46" i="12"/>
  <c r="AE46" i="12"/>
  <c r="AF46" i="12"/>
  <c r="AG46" i="12"/>
  <c r="AH46" i="12"/>
  <c r="AI46" i="12"/>
  <c r="AC47" i="12"/>
  <c r="AD47" i="12"/>
  <c r="AE47" i="12"/>
  <c r="AF47" i="12"/>
  <c r="AG47" i="12"/>
  <c r="AH47" i="12"/>
  <c r="AI47" i="12"/>
  <c r="AC48" i="12"/>
  <c r="AD48" i="12"/>
  <c r="AE48" i="12"/>
  <c r="AF48" i="12"/>
  <c r="AG48" i="12"/>
  <c r="AH48" i="12"/>
  <c r="AI48" i="12"/>
  <c r="AC49" i="12"/>
  <c r="AD49" i="12"/>
  <c r="AE49" i="12"/>
  <c r="AF49" i="12"/>
  <c r="AG49" i="12"/>
  <c r="AH49" i="12"/>
  <c r="AI49" i="12"/>
  <c r="AC50" i="12"/>
  <c r="AD50" i="12"/>
  <c r="AE50" i="12"/>
  <c r="AF50" i="12"/>
  <c r="AG50" i="12"/>
  <c r="AH50" i="12"/>
  <c r="AI50" i="12"/>
  <c r="AC51" i="12"/>
  <c r="AD51" i="12"/>
  <c r="AE51" i="12"/>
  <c r="AF51" i="12"/>
  <c r="AG51" i="12"/>
  <c r="AH51" i="12"/>
  <c r="AI51" i="12"/>
  <c r="AC52" i="12"/>
  <c r="AD52" i="12"/>
  <c r="AE52" i="12"/>
  <c r="AF52" i="12"/>
  <c r="AG52" i="12"/>
  <c r="AH52" i="12"/>
  <c r="AI52" i="12"/>
  <c r="AC53" i="12"/>
  <c r="AD53" i="12"/>
  <c r="AE53" i="12"/>
  <c r="AF53" i="12"/>
  <c r="AG53" i="12"/>
  <c r="AH53" i="12"/>
  <c r="AI53" i="12"/>
  <c r="AC54" i="12"/>
  <c r="AD54" i="12"/>
  <c r="AE54" i="12"/>
  <c r="AF54" i="12"/>
  <c r="AG54" i="12"/>
  <c r="AH54" i="12"/>
  <c r="AI54" i="12"/>
  <c r="AC55" i="12"/>
  <c r="AD55" i="12"/>
  <c r="AE55" i="12"/>
  <c r="AF55" i="12"/>
  <c r="AG55" i="12"/>
  <c r="AH55" i="12"/>
  <c r="AI55" i="12"/>
  <c r="AC56" i="12"/>
  <c r="AD56" i="12"/>
  <c r="AE56" i="12"/>
  <c r="AF56" i="12"/>
  <c r="AG56" i="12"/>
  <c r="AH56" i="12"/>
  <c r="AI56" i="12"/>
  <c r="AC57" i="12"/>
  <c r="AD57" i="12"/>
  <c r="AE57" i="12"/>
  <c r="AF57" i="12"/>
  <c r="AG57" i="12"/>
  <c r="AH57" i="12"/>
  <c r="AI57" i="12"/>
  <c r="AC58" i="12"/>
  <c r="AD58" i="12"/>
  <c r="AE58" i="12"/>
  <c r="AF58" i="12"/>
  <c r="AG58" i="12"/>
  <c r="AH58" i="12"/>
  <c r="AI58" i="12"/>
  <c r="AD44" i="12"/>
  <c r="AE44" i="12"/>
  <c r="AF44" i="12"/>
  <c r="AG44" i="12"/>
  <c r="AH44" i="12"/>
  <c r="AI44" i="12"/>
  <c r="AC44" i="12"/>
  <c r="AC26" i="12"/>
  <c r="AD26" i="12"/>
  <c r="AE26" i="12"/>
  <c r="AF26" i="12"/>
  <c r="AG26" i="12"/>
  <c r="AH26" i="12"/>
  <c r="AI26" i="12"/>
  <c r="AC27" i="12"/>
  <c r="AD27" i="12"/>
  <c r="AE27" i="12"/>
  <c r="AF27" i="12"/>
  <c r="AG27" i="12"/>
  <c r="AH27" i="12"/>
  <c r="AI27" i="12"/>
  <c r="AC28" i="12"/>
  <c r="AD28" i="12"/>
  <c r="AE28" i="12"/>
  <c r="AF28" i="12"/>
  <c r="AG28" i="12"/>
  <c r="AH28" i="12"/>
  <c r="AI28" i="12"/>
  <c r="AC29" i="12"/>
  <c r="AD29" i="12"/>
  <c r="AE29" i="12"/>
  <c r="AF29" i="12"/>
  <c r="AG29" i="12"/>
  <c r="AH29" i="12"/>
  <c r="AI29" i="12"/>
  <c r="AC30" i="12"/>
  <c r="AD30" i="12"/>
  <c r="AE30" i="12"/>
  <c r="AF30" i="12"/>
  <c r="AG30" i="12"/>
  <c r="AH30" i="12"/>
  <c r="AI30" i="12"/>
  <c r="AC31" i="12"/>
  <c r="AD31" i="12"/>
  <c r="AE31" i="12"/>
  <c r="AF31" i="12"/>
  <c r="AG31" i="12"/>
  <c r="AH31" i="12"/>
  <c r="AI31" i="12"/>
  <c r="AC32" i="12"/>
  <c r="AD32" i="12"/>
  <c r="AE32" i="12"/>
  <c r="AF32" i="12"/>
  <c r="AG32" i="12"/>
  <c r="AH32" i="12"/>
  <c r="AI32" i="12"/>
  <c r="AC33" i="12"/>
  <c r="AD33" i="12"/>
  <c r="AE33" i="12"/>
  <c r="AF33" i="12"/>
  <c r="AG33" i="12"/>
  <c r="AH33" i="12"/>
  <c r="AI33" i="12"/>
  <c r="AC34" i="12"/>
  <c r="AD34" i="12"/>
  <c r="AE34" i="12"/>
  <c r="AF34" i="12"/>
  <c r="AG34" i="12"/>
  <c r="AH34" i="12"/>
  <c r="AI34" i="12"/>
  <c r="AC35" i="12"/>
  <c r="AD35" i="12"/>
  <c r="AE35" i="12"/>
  <c r="AF35" i="12"/>
  <c r="AG35" i="12"/>
  <c r="AH35" i="12"/>
  <c r="AI35" i="12"/>
  <c r="AC36" i="12"/>
  <c r="AD36" i="12"/>
  <c r="AE36" i="12"/>
  <c r="AF36" i="12"/>
  <c r="AG36" i="12"/>
  <c r="AH36" i="12"/>
  <c r="AI36" i="12"/>
  <c r="AC37" i="12"/>
  <c r="AD37" i="12"/>
  <c r="AE37" i="12"/>
  <c r="AF37" i="12"/>
  <c r="AG37" i="12"/>
  <c r="AH37" i="12"/>
  <c r="AI37" i="12"/>
  <c r="AC38" i="12"/>
  <c r="AD38" i="12"/>
  <c r="AE38" i="12"/>
  <c r="AF38" i="12"/>
  <c r="AG38" i="12"/>
  <c r="AH38" i="12"/>
  <c r="AI38" i="12"/>
  <c r="AC39" i="12"/>
  <c r="AD39" i="12"/>
  <c r="AE39" i="12"/>
  <c r="AF39" i="12"/>
  <c r="AG39" i="12"/>
  <c r="AH39" i="12"/>
  <c r="AI39" i="12"/>
  <c r="AD25" i="12"/>
  <c r="AE25" i="12"/>
  <c r="AF25" i="12"/>
  <c r="AG25" i="12"/>
  <c r="AH25" i="12"/>
  <c r="AI25" i="12"/>
  <c r="AC25" i="12"/>
  <c r="AC7" i="12"/>
  <c r="AD7" i="12"/>
  <c r="AE7" i="12"/>
  <c r="AF7" i="12"/>
  <c r="AG7" i="12"/>
  <c r="AH7" i="12"/>
  <c r="AI7" i="12"/>
  <c r="AC8" i="12"/>
  <c r="AD8" i="12"/>
  <c r="AE8" i="12"/>
  <c r="AF8" i="12"/>
  <c r="AG8" i="12"/>
  <c r="AH8" i="12"/>
  <c r="AI8" i="12"/>
  <c r="AC9" i="12"/>
  <c r="AD9" i="12"/>
  <c r="AE9" i="12"/>
  <c r="AF9" i="12"/>
  <c r="AG9" i="12"/>
  <c r="AH9" i="12"/>
  <c r="AI9" i="12"/>
  <c r="AC10" i="12"/>
  <c r="AD10" i="12"/>
  <c r="AE10" i="12"/>
  <c r="AF10" i="12"/>
  <c r="AG10" i="12"/>
  <c r="AH10" i="12"/>
  <c r="AI10" i="12"/>
  <c r="AC11" i="12"/>
  <c r="AD11" i="12"/>
  <c r="AE11" i="12"/>
  <c r="AF11" i="12"/>
  <c r="AG11" i="12"/>
  <c r="AH11" i="12"/>
  <c r="AI11" i="12"/>
  <c r="AC12" i="12"/>
  <c r="AD12" i="12"/>
  <c r="AE12" i="12"/>
  <c r="AF12" i="12"/>
  <c r="AG12" i="12"/>
  <c r="AH12" i="12"/>
  <c r="AI12" i="12"/>
  <c r="AC13" i="12"/>
  <c r="AD13" i="12"/>
  <c r="AE13" i="12"/>
  <c r="AF13" i="12"/>
  <c r="AG13" i="12"/>
  <c r="AH13" i="12"/>
  <c r="AI13" i="12"/>
  <c r="AC14" i="12"/>
  <c r="AD14" i="12"/>
  <c r="AE14" i="12"/>
  <c r="AF14" i="12"/>
  <c r="AG14" i="12"/>
  <c r="AH14" i="12"/>
  <c r="AI14" i="12"/>
  <c r="AC15" i="12"/>
  <c r="AD15" i="12"/>
  <c r="AE15" i="12"/>
  <c r="AF15" i="12"/>
  <c r="AG15" i="12"/>
  <c r="AH15" i="12"/>
  <c r="AI15" i="12"/>
  <c r="AC16" i="12"/>
  <c r="AD16" i="12"/>
  <c r="AE16" i="12"/>
  <c r="AF16" i="12"/>
  <c r="AG16" i="12"/>
  <c r="AH16" i="12"/>
  <c r="AI16" i="12"/>
  <c r="AC17" i="12"/>
  <c r="AD17" i="12"/>
  <c r="AE17" i="12"/>
  <c r="AF17" i="12"/>
  <c r="AG17" i="12"/>
  <c r="AH17" i="12"/>
  <c r="AI17" i="12"/>
  <c r="AC18" i="12"/>
  <c r="AD18" i="12"/>
  <c r="AE18" i="12"/>
  <c r="AF18" i="12"/>
  <c r="AG18" i="12"/>
  <c r="AH18" i="12"/>
  <c r="AI18" i="12"/>
  <c r="AC19" i="12"/>
  <c r="AD19" i="12"/>
  <c r="AE19" i="12"/>
  <c r="AF19" i="12"/>
  <c r="AG19" i="12"/>
  <c r="AH19" i="12"/>
  <c r="AI19" i="12"/>
  <c r="AC20" i="12"/>
  <c r="AD20" i="12"/>
  <c r="AE20" i="12"/>
  <c r="AF20" i="12"/>
  <c r="AG20" i="12"/>
  <c r="AH20" i="12"/>
  <c r="AI20" i="12"/>
  <c r="AD6" i="12"/>
  <c r="AE6" i="12"/>
  <c r="AF6" i="12"/>
  <c r="AG6" i="12"/>
  <c r="AH6" i="12"/>
  <c r="AI6" i="12"/>
  <c r="AC6" i="12"/>
  <c r="T140" i="12"/>
  <c r="U140" i="12"/>
  <c r="V140" i="12"/>
  <c r="W140" i="12"/>
  <c r="X140" i="12"/>
  <c r="Y140" i="12"/>
  <c r="Z140" i="12"/>
  <c r="T141" i="12"/>
  <c r="U141" i="12"/>
  <c r="V141" i="12"/>
  <c r="W141" i="12"/>
  <c r="X141" i="12"/>
  <c r="Y141" i="12"/>
  <c r="Z141" i="12"/>
  <c r="T142" i="12"/>
  <c r="U142" i="12"/>
  <c r="V142" i="12"/>
  <c r="W142" i="12"/>
  <c r="X142" i="12"/>
  <c r="Y142" i="12"/>
  <c r="Z142" i="12"/>
  <c r="T143" i="12"/>
  <c r="U143" i="12"/>
  <c r="V143" i="12"/>
  <c r="W143" i="12"/>
  <c r="X143" i="12"/>
  <c r="Y143" i="12"/>
  <c r="Z143" i="12"/>
  <c r="T144" i="12"/>
  <c r="U144" i="12"/>
  <c r="V144" i="12"/>
  <c r="W144" i="12"/>
  <c r="X144" i="12"/>
  <c r="Y144" i="12"/>
  <c r="Z144" i="12"/>
  <c r="T145" i="12"/>
  <c r="U145" i="12"/>
  <c r="V145" i="12"/>
  <c r="W145" i="12"/>
  <c r="X145" i="12"/>
  <c r="Y145" i="12"/>
  <c r="Z145" i="12"/>
  <c r="T146" i="12"/>
  <c r="U146" i="12"/>
  <c r="V146" i="12"/>
  <c r="W146" i="12"/>
  <c r="X146" i="12"/>
  <c r="Y146" i="12"/>
  <c r="Z146" i="12"/>
  <c r="T147" i="12"/>
  <c r="U147" i="12"/>
  <c r="V147" i="12"/>
  <c r="W147" i="12"/>
  <c r="X147" i="12"/>
  <c r="Y147" i="12"/>
  <c r="Z147" i="12"/>
  <c r="T148" i="12"/>
  <c r="U148" i="12"/>
  <c r="V148" i="12"/>
  <c r="W148" i="12"/>
  <c r="X148" i="12"/>
  <c r="Y148" i="12"/>
  <c r="Z148" i="12"/>
  <c r="T149" i="12"/>
  <c r="U149" i="12"/>
  <c r="V149" i="12"/>
  <c r="W149" i="12"/>
  <c r="X149" i="12"/>
  <c r="Y149" i="12"/>
  <c r="Z149" i="12"/>
  <c r="T150" i="12"/>
  <c r="U150" i="12"/>
  <c r="V150" i="12"/>
  <c r="W150" i="12"/>
  <c r="X150" i="12"/>
  <c r="Y150" i="12"/>
  <c r="Z150" i="12"/>
  <c r="T151" i="12"/>
  <c r="U151" i="12"/>
  <c r="V151" i="12"/>
  <c r="W151" i="12"/>
  <c r="X151" i="12"/>
  <c r="Y151" i="12"/>
  <c r="Z151" i="12"/>
  <c r="T152" i="12"/>
  <c r="U152" i="12"/>
  <c r="V152" i="12"/>
  <c r="W152" i="12"/>
  <c r="X152" i="12"/>
  <c r="Y152" i="12"/>
  <c r="Z152" i="12"/>
  <c r="T153" i="12"/>
  <c r="U153" i="12"/>
  <c r="V153" i="12"/>
  <c r="W153" i="12"/>
  <c r="X153" i="12"/>
  <c r="Y153" i="12"/>
  <c r="Z153" i="12"/>
  <c r="U139" i="12"/>
  <c r="V139" i="12"/>
  <c r="W139" i="12"/>
  <c r="X139" i="12"/>
  <c r="Y139" i="12"/>
  <c r="Z139" i="12"/>
  <c r="T139" i="12"/>
  <c r="T121" i="12"/>
  <c r="U121" i="12"/>
  <c r="V121" i="12"/>
  <c r="W121" i="12"/>
  <c r="X121" i="12"/>
  <c r="Y121" i="12"/>
  <c r="Z121" i="12"/>
  <c r="T122" i="12"/>
  <c r="U122" i="12"/>
  <c r="V122" i="12"/>
  <c r="W122" i="12"/>
  <c r="X122" i="12"/>
  <c r="Y122" i="12"/>
  <c r="Z122" i="12"/>
  <c r="T123" i="12"/>
  <c r="U123" i="12"/>
  <c r="V123" i="12"/>
  <c r="W123" i="12"/>
  <c r="X123" i="12"/>
  <c r="Y123" i="12"/>
  <c r="Z123" i="12"/>
  <c r="T124" i="12"/>
  <c r="U124" i="12"/>
  <c r="V124" i="12"/>
  <c r="W124" i="12"/>
  <c r="X124" i="12"/>
  <c r="Y124" i="12"/>
  <c r="Z124" i="12"/>
  <c r="T125" i="12"/>
  <c r="U125" i="12"/>
  <c r="V125" i="12"/>
  <c r="W125" i="12"/>
  <c r="X125" i="12"/>
  <c r="Y125" i="12"/>
  <c r="Z125" i="12"/>
  <c r="T126" i="12"/>
  <c r="U126" i="12"/>
  <c r="V126" i="12"/>
  <c r="W126" i="12"/>
  <c r="X126" i="12"/>
  <c r="Y126" i="12"/>
  <c r="Z126" i="12"/>
  <c r="T127" i="12"/>
  <c r="U127" i="12"/>
  <c r="V127" i="12"/>
  <c r="W127" i="12"/>
  <c r="X127" i="12"/>
  <c r="Y127" i="12"/>
  <c r="Z127" i="12"/>
  <c r="T128" i="12"/>
  <c r="U128" i="12"/>
  <c r="V128" i="12"/>
  <c r="W128" i="12"/>
  <c r="X128" i="12"/>
  <c r="Y128" i="12"/>
  <c r="Z128" i="12"/>
  <c r="T129" i="12"/>
  <c r="U129" i="12"/>
  <c r="V129" i="12"/>
  <c r="W129" i="12"/>
  <c r="X129" i="12"/>
  <c r="Y129" i="12"/>
  <c r="Z129" i="12"/>
  <c r="T130" i="12"/>
  <c r="U130" i="12"/>
  <c r="V130" i="12"/>
  <c r="W130" i="12"/>
  <c r="X130" i="12"/>
  <c r="Y130" i="12"/>
  <c r="Z130" i="12"/>
  <c r="T131" i="12"/>
  <c r="U131" i="12"/>
  <c r="V131" i="12"/>
  <c r="W131" i="12"/>
  <c r="X131" i="12"/>
  <c r="Y131" i="12"/>
  <c r="Z131" i="12"/>
  <c r="T132" i="12"/>
  <c r="U132" i="12"/>
  <c r="V132" i="12"/>
  <c r="W132" i="12"/>
  <c r="X132" i="12"/>
  <c r="Y132" i="12"/>
  <c r="Z132" i="12"/>
  <c r="T133" i="12"/>
  <c r="U133" i="12"/>
  <c r="V133" i="12"/>
  <c r="W133" i="12"/>
  <c r="X133" i="12"/>
  <c r="Y133" i="12"/>
  <c r="Z133" i="12"/>
  <c r="T134" i="12"/>
  <c r="U134" i="12"/>
  <c r="V134" i="12"/>
  <c r="W134" i="12"/>
  <c r="X134" i="12"/>
  <c r="Y134" i="12"/>
  <c r="Z134" i="12"/>
  <c r="U120" i="12"/>
  <c r="V120" i="12"/>
  <c r="W120" i="12"/>
  <c r="X120" i="12"/>
  <c r="Y120" i="12"/>
  <c r="Z120" i="12"/>
  <c r="T120" i="12"/>
  <c r="T102" i="12"/>
  <c r="U102" i="12"/>
  <c r="V102" i="12"/>
  <c r="W102" i="12"/>
  <c r="X102" i="12"/>
  <c r="Y102" i="12"/>
  <c r="Z102" i="12"/>
  <c r="T103" i="12"/>
  <c r="U103" i="12"/>
  <c r="V103" i="12"/>
  <c r="W103" i="12"/>
  <c r="X103" i="12"/>
  <c r="Y103" i="12"/>
  <c r="Z103" i="12"/>
  <c r="T104" i="12"/>
  <c r="U104" i="12"/>
  <c r="V104" i="12"/>
  <c r="W104" i="12"/>
  <c r="X104" i="12"/>
  <c r="Y104" i="12"/>
  <c r="Z104" i="12"/>
  <c r="T105" i="12"/>
  <c r="U105" i="12"/>
  <c r="V105" i="12"/>
  <c r="W105" i="12"/>
  <c r="X105" i="12"/>
  <c r="Y105" i="12"/>
  <c r="Z105" i="12"/>
  <c r="T106" i="12"/>
  <c r="U106" i="12"/>
  <c r="V106" i="12"/>
  <c r="W106" i="12"/>
  <c r="X106" i="12"/>
  <c r="Y106" i="12"/>
  <c r="Z106" i="12"/>
  <c r="T107" i="12"/>
  <c r="U107" i="12"/>
  <c r="V107" i="12"/>
  <c r="W107" i="12"/>
  <c r="X107" i="12"/>
  <c r="Y107" i="12"/>
  <c r="Z107" i="12"/>
  <c r="T108" i="12"/>
  <c r="U108" i="12"/>
  <c r="V108" i="12"/>
  <c r="W108" i="12"/>
  <c r="X108" i="12"/>
  <c r="Y108" i="12"/>
  <c r="Z108" i="12"/>
  <c r="T109" i="12"/>
  <c r="U109" i="12"/>
  <c r="V109" i="12"/>
  <c r="W109" i="12"/>
  <c r="X109" i="12"/>
  <c r="Y109" i="12"/>
  <c r="Z109" i="12"/>
  <c r="T110" i="12"/>
  <c r="U110" i="12"/>
  <c r="V110" i="12"/>
  <c r="W110" i="12"/>
  <c r="X110" i="12"/>
  <c r="Y110" i="12"/>
  <c r="Z110" i="12"/>
  <c r="T111" i="12"/>
  <c r="U111" i="12"/>
  <c r="V111" i="12"/>
  <c r="W111" i="12"/>
  <c r="X111" i="12"/>
  <c r="Y111" i="12"/>
  <c r="Z111" i="12"/>
  <c r="T112" i="12"/>
  <c r="U112" i="12"/>
  <c r="V112" i="12"/>
  <c r="W112" i="12"/>
  <c r="X112" i="12"/>
  <c r="Y112" i="12"/>
  <c r="Z112" i="12"/>
  <c r="T113" i="12"/>
  <c r="U113" i="12"/>
  <c r="V113" i="12"/>
  <c r="W113" i="12"/>
  <c r="X113" i="12"/>
  <c r="Y113" i="12"/>
  <c r="Z113" i="12"/>
  <c r="T114" i="12"/>
  <c r="U114" i="12"/>
  <c r="V114" i="12"/>
  <c r="W114" i="12"/>
  <c r="X114" i="12"/>
  <c r="Y114" i="12"/>
  <c r="Z114" i="12"/>
  <c r="T115" i="12"/>
  <c r="U115" i="12"/>
  <c r="V115" i="12"/>
  <c r="W115" i="12"/>
  <c r="X115" i="12"/>
  <c r="Y115" i="12"/>
  <c r="Z115" i="12"/>
  <c r="U101" i="12"/>
  <c r="V101" i="12"/>
  <c r="W101" i="12"/>
  <c r="X101" i="12"/>
  <c r="Y101" i="12"/>
  <c r="Z101" i="12"/>
  <c r="T101" i="12"/>
  <c r="T83" i="12"/>
  <c r="U83" i="12"/>
  <c r="V83" i="12"/>
  <c r="W83" i="12"/>
  <c r="X83" i="12"/>
  <c r="Y83" i="12"/>
  <c r="Z83" i="12"/>
  <c r="T84" i="12"/>
  <c r="U84" i="12"/>
  <c r="V84" i="12"/>
  <c r="W84" i="12"/>
  <c r="X84" i="12"/>
  <c r="Y84" i="12"/>
  <c r="Z84" i="12"/>
  <c r="T85" i="12"/>
  <c r="U85" i="12"/>
  <c r="V85" i="12"/>
  <c r="W85" i="12"/>
  <c r="X85" i="12"/>
  <c r="Y85" i="12"/>
  <c r="Z85" i="12"/>
  <c r="T86" i="12"/>
  <c r="U86" i="12"/>
  <c r="V86" i="12"/>
  <c r="W86" i="12"/>
  <c r="X86" i="12"/>
  <c r="Y86" i="12"/>
  <c r="Z86" i="12"/>
  <c r="T87" i="12"/>
  <c r="U87" i="12"/>
  <c r="V87" i="12"/>
  <c r="W87" i="12"/>
  <c r="X87" i="12"/>
  <c r="Y87" i="12"/>
  <c r="Z87" i="12"/>
  <c r="T88" i="12"/>
  <c r="U88" i="12"/>
  <c r="V88" i="12"/>
  <c r="W88" i="12"/>
  <c r="X88" i="12"/>
  <c r="Y88" i="12"/>
  <c r="Z88" i="12"/>
  <c r="T89" i="12"/>
  <c r="U89" i="12"/>
  <c r="V89" i="12"/>
  <c r="W89" i="12"/>
  <c r="X89" i="12"/>
  <c r="Y89" i="12"/>
  <c r="Z89" i="12"/>
  <c r="T90" i="12"/>
  <c r="U90" i="12"/>
  <c r="V90" i="12"/>
  <c r="W90" i="12"/>
  <c r="X90" i="12"/>
  <c r="Y90" i="12"/>
  <c r="Z90" i="12"/>
  <c r="T91" i="12"/>
  <c r="U91" i="12"/>
  <c r="V91" i="12"/>
  <c r="W91" i="12"/>
  <c r="X91" i="12"/>
  <c r="Y91" i="12"/>
  <c r="Z91" i="12"/>
  <c r="T92" i="12"/>
  <c r="U92" i="12"/>
  <c r="V92" i="12"/>
  <c r="W92" i="12"/>
  <c r="X92" i="12"/>
  <c r="Y92" i="12"/>
  <c r="Z92" i="12"/>
  <c r="T93" i="12"/>
  <c r="U93" i="12"/>
  <c r="V93" i="12"/>
  <c r="W93" i="12"/>
  <c r="X93" i="12"/>
  <c r="Y93" i="12"/>
  <c r="Z93" i="12"/>
  <c r="T94" i="12"/>
  <c r="U94" i="12"/>
  <c r="V94" i="12"/>
  <c r="W94" i="12"/>
  <c r="X94" i="12"/>
  <c r="Y94" i="12"/>
  <c r="Z94" i="12"/>
  <c r="T95" i="12"/>
  <c r="U95" i="12"/>
  <c r="V95" i="12"/>
  <c r="W95" i="12"/>
  <c r="X95" i="12"/>
  <c r="Y95" i="12"/>
  <c r="Z95" i="12"/>
  <c r="T96" i="12"/>
  <c r="U96" i="12"/>
  <c r="V96" i="12"/>
  <c r="W96" i="12"/>
  <c r="X96" i="12"/>
  <c r="Y96" i="12"/>
  <c r="Z96" i="12"/>
  <c r="U82" i="12"/>
  <c r="V82" i="12"/>
  <c r="W82" i="12"/>
  <c r="X82" i="12"/>
  <c r="Y82" i="12"/>
  <c r="Z82" i="12"/>
  <c r="T82" i="12"/>
  <c r="T64" i="12"/>
  <c r="U64" i="12"/>
  <c r="V64" i="12"/>
  <c r="W64" i="12"/>
  <c r="X64" i="12"/>
  <c r="Y64" i="12"/>
  <c r="Z64" i="12"/>
  <c r="T65" i="12"/>
  <c r="U65" i="12"/>
  <c r="V65" i="12"/>
  <c r="W65" i="12"/>
  <c r="X65" i="12"/>
  <c r="Y65" i="12"/>
  <c r="Z65" i="12"/>
  <c r="T66" i="12"/>
  <c r="U66" i="12"/>
  <c r="V66" i="12"/>
  <c r="W66" i="12"/>
  <c r="X66" i="12"/>
  <c r="Y66" i="12"/>
  <c r="Z66" i="12"/>
  <c r="T67" i="12"/>
  <c r="U67" i="12"/>
  <c r="V67" i="12"/>
  <c r="W67" i="12"/>
  <c r="X67" i="12"/>
  <c r="Y67" i="12"/>
  <c r="Z67" i="12"/>
  <c r="T68" i="12"/>
  <c r="U68" i="12"/>
  <c r="V68" i="12"/>
  <c r="W68" i="12"/>
  <c r="X68" i="12"/>
  <c r="Y68" i="12"/>
  <c r="Z68" i="12"/>
  <c r="T69" i="12"/>
  <c r="U69" i="12"/>
  <c r="V69" i="12"/>
  <c r="W69" i="12"/>
  <c r="X69" i="12"/>
  <c r="Y69" i="12"/>
  <c r="Z69" i="12"/>
  <c r="T70" i="12"/>
  <c r="U70" i="12"/>
  <c r="V70" i="12"/>
  <c r="W70" i="12"/>
  <c r="X70" i="12"/>
  <c r="Y70" i="12"/>
  <c r="Z70" i="12"/>
  <c r="T71" i="12"/>
  <c r="U71" i="12"/>
  <c r="V71" i="12"/>
  <c r="W71" i="12"/>
  <c r="X71" i="12"/>
  <c r="Y71" i="12"/>
  <c r="Z71" i="12"/>
  <c r="T72" i="12"/>
  <c r="U72" i="12"/>
  <c r="V72" i="12"/>
  <c r="W72" i="12"/>
  <c r="X72" i="12"/>
  <c r="Y72" i="12"/>
  <c r="Z72" i="12"/>
  <c r="T73" i="12"/>
  <c r="U73" i="12"/>
  <c r="V73" i="12"/>
  <c r="W73" i="12"/>
  <c r="X73" i="12"/>
  <c r="Y73" i="12"/>
  <c r="Z73" i="12"/>
  <c r="T74" i="12"/>
  <c r="U74" i="12"/>
  <c r="V74" i="12"/>
  <c r="W74" i="12"/>
  <c r="X74" i="12"/>
  <c r="Y74" i="12"/>
  <c r="Z74" i="12"/>
  <c r="T75" i="12"/>
  <c r="U75" i="12"/>
  <c r="V75" i="12"/>
  <c r="W75" i="12"/>
  <c r="X75" i="12"/>
  <c r="Y75" i="12"/>
  <c r="Z75" i="12"/>
  <c r="T76" i="12"/>
  <c r="U76" i="12"/>
  <c r="V76" i="12"/>
  <c r="W76" i="12"/>
  <c r="X76" i="12"/>
  <c r="Y76" i="12"/>
  <c r="Z76" i="12"/>
  <c r="T77" i="12"/>
  <c r="U77" i="12"/>
  <c r="V77" i="12"/>
  <c r="W77" i="12"/>
  <c r="X77" i="12"/>
  <c r="Y77" i="12"/>
  <c r="Z77" i="12"/>
  <c r="U63" i="12"/>
  <c r="V63" i="12"/>
  <c r="W63" i="12"/>
  <c r="X63" i="12"/>
  <c r="Y63" i="12"/>
  <c r="Z63" i="12"/>
  <c r="T63" i="12"/>
  <c r="T45" i="12"/>
  <c r="U45" i="12"/>
  <c r="V45" i="12"/>
  <c r="W45" i="12"/>
  <c r="X45" i="12"/>
  <c r="Y45" i="12"/>
  <c r="Z45" i="12"/>
  <c r="T46" i="12"/>
  <c r="U46" i="12"/>
  <c r="V46" i="12"/>
  <c r="W46" i="12"/>
  <c r="X46" i="12"/>
  <c r="Y46" i="12"/>
  <c r="Z46" i="12"/>
  <c r="T47" i="12"/>
  <c r="U47" i="12"/>
  <c r="V47" i="12"/>
  <c r="W47" i="12"/>
  <c r="X47" i="12"/>
  <c r="Y47" i="12"/>
  <c r="Z47" i="12"/>
  <c r="T48" i="12"/>
  <c r="U48" i="12"/>
  <c r="V48" i="12"/>
  <c r="W48" i="12"/>
  <c r="X48" i="12"/>
  <c r="Y48" i="12"/>
  <c r="Z48" i="12"/>
  <c r="T49" i="12"/>
  <c r="U49" i="12"/>
  <c r="V49" i="12"/>
  <c r="W49" i="12"/>
  <c r="X49" i="12"/>
  <c r="Y49" i="12"/>
  <c r="Z49" i="12"/>
  <c r="T50" i="12"/>
  <c r="U50" i="12"/>
  <c r="V50" i="12"/>
  <c r="W50" i="12"/>
  <c r="X50" i="12"/>
  <c r="Y50" i="12"/>
  <c r="Z50" i="12"/>
  <c r="T51" i="12"/>
  <c r="U51" i="12"/>
  <c r="V51" i="12"/>
  <c r="W51" i="12"/>
  <c r="X51" i="12"/>
  <c r="Y51" i="12"/>
  <c r="Z51" i="12"/>
  <c r="T52" i="12"/>
  <c r="U52" i="12"/>
  <c r="V52" i="12"/>
  <c r="W52" i="12"/>
  <c r="X52" i="12"/>
  <c r="Y52" i="12"/>
  <c r="Z52" i="12"/>
  <c r="T53" i="12"/>
  <c r="U53" i="12"/>
  <c r="V53" i="12"/>
  <c r="W53" i="12"/>
  <c r="X53" i="12"/>
  <c r="Y53" i="12"/>
  <c r="Z53" i="12"/>
  <c r="T54" i="12"/>
  <c r="U54" i="12"/>
  <c r="V54" i="12"/>
  <c r="W54" i="12"/>
  <c r="X54" i="12"/>
  <c r="Y54" i="12"/>
  <c r="Z54" i="12"/>
  <c r="T55" i="12"/>
  <c r="U55" i="12"/>
  <c r="V55" i="12"/>
  <c r="W55" i="12"/>
  <c r="X55" i="12"/>
  <c r="Y55" i="12"/>
  <c r="Z55" i="12"/>
  <c r="T56" i="12"/>
  <c r="U56" i="12"/>
  <c r="V56" i="12"/>
  <c r="W56" i="12"/>
  <c r="X56" i="12"/>
  <c r="Y56" i="12"/>
  <c r="Z56" i="12"/>
  <c r="T57" i="12"/>
  <c r="U57" i="12"/>
  <c r="V57" i="12"/>
  <c r="W57" i="12"/>
  <c r="X57" i="12"/>
  <c r="Y57" i="12"/>
  <c r="Z57" i="12"/>
  <c r="T58" i="12"/>
  <c r="U58" i="12"/>
  <c r="V58" i="12"/>
  <c r="W58" i="12"/>
  <c r="X58" i="12"/>
  <c r="Y58" i="12"/>
  <c r="Z58" i="12"/>
  <c r="U44" i="12"/>
  <c r="V44" i="12"/>
  <c r="W44" i="12"/>
  <c r="X44" i="12"/>
  <c r="Y44" i="12"/>
  <c r="Z44" i="12"/>
  <c r="T44" i="12"/>
  <c r="T26" i="12"/>
  <c r="U26" i="12"/>
  <c r="V26" i="12"/>
  <c r="W26" i="12"/>
  <c r="X26" i="12"/>
  <c r="Y26" i="12"/>
  <c r="Z26" i="12"/>
  <c r="T27" i="12"/>
  <c r="U27" i="12"/>
  <c r="V27" i="12"/>
  <c r="W27" i="12"/>
  <c r="X27" i="12"/>
  <c r="Y27" i="12"/>
  <c r="Z27" i="12"/>
  <c r="T28" i="12"/>
  <c r="U28" i="12"/>
  <c r="V28" i="12"/>
  <c r="W28" i="12"/>
  <c r="X28" i="12"/>
  <c r="Y28" i="12"/>
  <c r="Z28" i="12"/>
  <c r="T29" i="12"/>
  <c r="U29" i="12"/>
  <c r="V29" i="12"/>
  <c r="W29" i="12"/>
  <c r="X29" i="12"/>
  <c r="Y29" i="12"/>
  <c r="Z29" i="12"/>
  <c r="T30" i="12"/>
  <c r="U30" i="12"/>
  <c r="V30" i="12"/>
  <c r="W30" i="12"/>
  <c r="X30" i="12"/>
  <c r="Y30" i="12"/>
  <c r="Z30" i="12"/>
  <c r="T31" i="12"/>
  <c r="U31" i="12"/>
  <c r="V31" i="12"/>
  <c r="W31" i="12"/>
  <c r="X31" i="12"/>
  <c r="Y31" i="12"/>
  <c r="Z31" i="12"/>
  <c r="T32" i="12"/>
  <c r="U32" i="12"/>
  <c r="V32" i="12"/>
  <c r="W32" i="12"/>
  <c r="X32" i="12"/>
  <c r="Y32" i="12"/>
  <c r="Z32" i="12"/>
  <c r="T33" i="12"/>
  <c r="U33" i="12"/>
  <c r="V33" i="12"/>
  <c r="W33" i="12"/>
  <c r="X33" i="12"/>
  <c r="Y33" i="12"/>
  <c r="Z33" i="12"/>
  <c r="T34" i="12"/>
  <c r="U34" i="12"/>
  <c r="V34" i="12"/>
  <c r="W34" i="12"/>
  <c r="X34" i="12"/>
  <c r="Y34" i="12"/>
  <c r="Z34" i="12"/>
  <c r="T35" i="12"/>
  <c r="U35" i="12"/>
  <c r="V35" i="12"/>
  <c r="W35" i="12"/>
  <c r="X35" i="12"/>
  <c r="Y35" i="12"/>
  <c r="Z35" i="12"/>
  <c r="T36" i="12"/>
  <c r="U36" i="12"/>
  <c r="V36" i="12"/>
  <c r="W36" i="12"/>
  <c r="X36" i="12"/>
  <c r="Y36" i="12"/>
  <c r="Z36" i="12"/>
  <c r="T37" i="12"/>
  <c r="U37" i="12"/>
  <c r="V37" i="12"/>
  <c r="W37" i="12"/>
  <c r="X37" i="12"/>
  <c r="Y37" i="12"/>
  <c r="Z37" i="12"/>
  <c r="T38" i="12"/>
  <c r="U38" i="12"/>
  <c r="V38" i="12"/>
  <c r="W38" i="12"/>
  <c r="X38" i="12"/>
  <c r="Y38" i="12"/>
  <c r="Z38" i="12"/>
  <c r="T39" i="12"/>
  <c r="U39" i="12"/>
  <c r="V39" i="12"/>
  <c r="W39" i="12"/>
  <c r="X39" i="12"/>
  <c r="Y39" i="12"/>
  <c r="Z39" i="12"/>
  <c r="U25" i="12"/>
  <c r="V25" i="12"/>
  <c r="W25" i="12"/>
  <c r="X25" i="12"/>
  <c r="Y25" i="12"/>
  <c r="Z25" i="12"/>
  <c r="T25" i="12"/>
  <c r="T7" i="12"/>
  <c r="U7" i="12"/>
  <c r="V7" i="12"/>
  <c r="W7" i="12"/>
  <c r="X7" i="12"/>
  <c r="Y7" i="12"/>
  <c r="Z7" i="12"/>
  <c r="T8" i="12"/>
  <c r="U8" i="12"/>
  <c r="V8" i="12"/>
  <c r="W8" i="12"/>
  <c r="X8" i="12"/>
  <c r="Y8" i="12"/>
  <c r="Z8" i="12"/>
  <c r="T9" i="12"/>
  <c r="U9" i="12"/>
  <c r="V9" i="12"/>
  <c r="W9" i="12"/>
  <c r="X9" i="12"/>
  <c r="Y9" i="12"/>
  <c r="Z9" i="12"/>
  <c r="T10" i="12"/>
  <c r="U10" i="12"/>
  <c r="V10" i="12"/>
  <c r="W10" i="12"/>
  <c r="X10" i="12"/>
  <c r="Y10" i="12"/>
  <c r="Z10" i="12"/>
  <c r="T11" i="12"/>
  <c r="U11" i="12"/>
  <c r="V11" i="12"/>
  <c r="W11" i="12"/>
  <c r="X11" i="12"/>
  <c r="Y11" i="12"/>
  <c r="Z11" i="12"/>
  <c r="T12" i="12"/>
  <c r="U12" i="12"/>
  <c r="V12" i="12"/>
  <c r="W12" i="12"/>
  <c r="X12" i="12"/>
  <c r="Y12" i="12"/>
  <c r="Z12" i="12"/>
  <c r="T13" i="12"/>
  <c r="U13" i="12"/>
  <c r="V13" i="12"/>
  <c r="W13" i="12"/>
  <c r="X13" i="12"/>
  <c r="Y13" i="12"/>
  <c r="Z13" i="12"/>
  <c r="T14" i="12"/>
  <c r="U14" i="12"/>
  <c r="V14" i="12"/>
  <c r="W14" i="12"/>
  <c r="X14" i="12"/>
  <c r="Y14" i="12"/>
  <c r="Z14" i="12"/>
  <c r="T15" i="12"/>
  <c r="U15" i="12"/>
  <c r="V15" i="12"/>
  <c r="W15" i="12"/>
  <c r="X15" i="12"/>
  <c r="Y15" i="12"/>
  <c r="Z15" i="12"/>
  <c r="T16" i="12"/>
  <c r="U16" i="12"/>
  <c r="V16" i="12"/>
  <c r="W16" i="12"/>
  <c r="X16" i="12"/>
  <c r="Y16" i="12"/>
  <c r="Z16" i="12"/>
  <c r="T17" i="12"/>
  <c r="U17" i="12"/>
  <c r="V17" i="12"/>
  <c r="W17" i="12"/>
  <c r="X17" i="12"/>
  <c r="Y17" i="12"/>
  <c r="Z17" i="12"/>
  <c r="T18" i="12"/>
  <c r="U18" i="12"/>
  <c r="V18" i="12"/>
  <c r="W18" i="12"/>
  <c r="X18" i="12"/>
  <c r="Y18" i="12"/>
  <c r="Z18" i="12"/>
  <c r="T19" i="12"/>
  <c r="U19" i="12"/>
  <c r="V19" i="12"/>
  <c r="W19" i="12"/>
  <c r="X19" i="12"/>
  <c r="Y19" i="12"/>
  <c r="Z19" i="12"/>
  <c r="T20" i="12"/>
  <c r="U20" i="12"/>
  <c r="V20" i="12"/>
  <c r="W20" i="12"/>
  <c r="X20" i="12"/>
  <c r="Y20" i="12"/>
  <c r="Z20" i="12"/>
  <c r="U6" i="12"/>
  <c r="V6" i="12"/>
  <c r="W6" i="12"/>
  <c r="X6" i="12"/>
  <c r="Y6" i="12"/>
  <c r="Z6" i="12"/>
  <c r="T6" i="12"/>
  <c r="K140" i="12"/>
  <c r="L140" i="12"/>
  <c r="M140" i="12"/>
  <c r="N140" i="12"/>
  <c r="O140" i="12"/>
  <c r="P140" i="12"/>
  <c r="Q140" i="12"/>
  <c r="K141" i="12"/>
  <c r="L141" i="12"/>
  <c r="M141" i="12"/>
  <c r="N141" i="12"/>
  <c r="O141" i="12"/>
  <c r="P141" i="12"/>
  <c r="Q141" i="12"/>
  <c r="K142" i="12"/>
  <c r="L142" i="12"/>
  <c r="M142" i="12"/>
  <c r="N142" i="12"/>
  <c r="O142" i="12"/>
  <c r="P142" i="12"/>
  <c r="Q142" i="12"/>
  <c r="K143" i="12"/>
  <c r="L143" i="12"/>
  <c r="M143" i="12"/>
  <c r="N143" i="12"/>
  <c r="O143" i="12"/>
  <c r="P143" i="12"/>
  <c r="Q143" i="12"/>
  <c r="K144" i="12"/>
  <c r="L144" i="12"/>
  <c r="M144" i="12"/>
  <c r="N144" i="12"/>
  <c r="O144" i="12"/>
  <c r="P144" i="12"/>
  <c r="Q144" i="12"/>
  <c r="K145" i="12"/>
  <c r="L145" i="12"/>
  <c r="M145" i="12"/>
  <c r="N145" i="12"/>
  <c r="O145" i="12"/>
  <c r="P145" i="12"/>
  <c r="Q145" i="12"/>
  <c r="K146" i="12"/>
  <c r="L146" i="12"/>
  <c r="M146" i="12"/>
  <c r="N146" i="12"/>
  <c r="O146" i="12"/>
  <c r="P146" i="12"/>
  <c r="Q146" i="12"/>
  <c r="K147" i="12"/>
  <c r="L147" i="12"/>
  <c r="M147" i="12"/>
  <c r="N147" i="12"/>
  <c r="O147" i="12"/>
  <c r="P147" i="12"/>
  <c r="Q147" i="12"/>
  <c r="K148" i="12"/>
  <c r="L148" i="12"/>
  <c r="M148" i="12"/>
  <c r="N148" i="12"/>
  <c r="O148" i="12"/>
  <c r="P148" i="12"/>
  <c r="Q148" i="12"/>
  <c r="K149" i="12"/>
  <c r="L149" i="12"/>
  <c r="M149" i="12"/>
  <c r="N149" i="12"/>
  <c r="O149" i="12"/>
  <c r="P149" i="12"/>
  <c r="Q149" i="12"/>
  <c r="K150" i="12"/>
  <c r="L150" i="12"/>
  <c r="M150" i="12"/>
  <c r="N150" i="12"/>
  <c r="O150" i="12"/>
  <c r="P150" i="12"/>
  <c r="Q150" i="12"/>
  <c r="K151" i="12"/>
  <c r="L151" i="12"/>
  <c r="M151" i="12"/>
  <c r="N151" i="12"/>
  <c r="O151" i="12"/>
  <c r="P151" i="12"/>
  <c r="Q151" i="12"/>
  <c r="K152" i="12"/>
  <c r="L152" i="12"/>
  <c r="M152" i="12"/>
  <c r="N152" i="12"/>
  <c r="O152" i="12"/>
  <c r="P152" i="12"/>
  <c r="Q152" i="12"/>
  <c r="K153" i="12"/>
  <c r="L153" i="12"/>
  <c r="M153" i="12"/>
  <c r="N153" i="12"/>
  <c r="O153" i="12"/>
  <c r="P153" i="12"/>
  <c r="Q153" i="12"/>
  <c r="L139" i="12"/>
  <c r="M139" i="12"/>
  <c r="N139" i="12"/>
  <c r="O139" i="12"/>
  <c r="P139" i="12"/>
  <c r="Q139" i="12"/>
  <c r="K139" i="12"/>
  <c r="K121" i="12"/>
  <c r="L121" i="12"/>
  <c r="M121" i="12"/>
  <c r="N121" i="12"/>
  <c r="O121" i="12"/>
  <c r="P121" i="12"/>
  <c r="Q121" i="12"/>
  <c r="K122" i="12"/>
  <c r="L122" i="12"/>
  <c r="M122" i="12"/>
  <c r="N122" i="12"/>
  <c r="O122" i="12"/>
  <c r="P122" i="12"/>
  <c r="Q122" i="12"/>
  <c r="K123" i="12"/>
  <c r="L123" i="12"/>
  <c r="M123" i="12"/>
  <c r="N123" i="12"/>
  <c r="O123" i="12"/>
  <c r="P123" i="12"/>
  <c r="Q123" i="12"/>
  <c r="K124" i="12"/>
  <c r="L124" i="12"/>
  <c r="M124" i="12"/>
  <c r="N124" i="12"/>
  <c r="O124" i="12"/>
  <c r="P124" i="12"/>
  <c r="Q124" i="12"/>
  <c r="K125" i="12"/>
  <c r="L125" i="12"/>
  <c r="M125" i="12"/>
  <c r="N125" i="12"/>
  <c r="O125" i="12"/>
  <c r="P125" i="12"/>
  <c r="Q125" i="12"/>
  <c r="K126" i="12"/>
  <c r="L126" i="12"/>
  <c r="M126" i="12"/>
  <c r="N126" i="12"/>
  <c r="O126" i="12"/>
  <c r="P126" i="12"/>
  <c r="Q126" i="12"/>
  <c r="K127" i="12"/>
  <c r="L127" i="12"/>
  <c r="M127" i="12"/>
  <c r="N127" i="12"/>
  <c r="O127" i="12"/>
  <c r="P127" i="12"/>
  <c r="Q127" i="12"/>
  <c r="K128" i="12"/>
  <c r="L128" i="12"/>
  <c r="M128" i="12"/>
  <c r="N128" i="12"/>
  <c r="O128" i="12"/>
  <c r="P128" i="12"/>
  <c r="Q128" i="12"/>
  <c r="K129" i="12"/>
  <c r="L129" i="12"/>
  <c r="M129" i="12"/>
  <c r="N129" i="12"/>
  <c r="O129" i="12"/>
  <c r="P129" i="12"/>
  <c r="Q129" i="12"/>
  <c r="K130" i="12"/>
  <c r="L130" i="12"/>
  <c r="M130" i="12"/>
  <c r="N130" i="12"/>
  <c r="O130" i="12"/>
  <c r="P130" i="12"/>
  <c r="Q130" i="12"/>
  <c r="K131" i="12"/>
  <c r="L131" i="12"/>
  <c r="M131" i="12"/>
  <c r="N131" i="12"/>
  <c r="O131" i="12"/>
  <c r="P131" i="12"/>
  <c r="Q131" i="12"/>
  <c r="K132" i="12"/>
  <c r="L132" i="12"/>
  <c r="M132" i="12"/>
  <c r="N132" i="12"/>
  <c r="O132" i="12"/>
  <c r="P132" i="12"/>
  <c r="Q132" i="12"/>
  <c r="K133" i="12"/>
  <c r="L133" i="12"/>
  <c r="M133" i="12"/>
  <c r="N133" i="12"/>
  <c r="O133" i="12"/>
  <c r="P133" i="12"/>
  <c r="Q133" i="12"/>
  <c r="K134" i="12"/>
  <c r="L134" i="12"/>
  <c r="M134" i="12"/>
  <c r="N134" i="12"/>
  <c r="O134" i="12"/>
  <c r="P134" i="12"/>
  <c r="Q134" i="12"/>
  <c r="L120" i="12"/>
  <c r="M120" i="12"/>
  <c r="N120" i="12"/>
  <c r="O120" i="12"/>
  <c r="P120" i="12"/>
  <c r="Q120" i="12"/>
  <c r="K120" i="12"/>
  <c r="K102" i="12"/>
  <c r="L102" i="12"/>
  <c r="M102" i="12"/>
  <c r="N102" i="12"/>
  <c r="O102" i="12"/>
  <c r="P102" i="12"/>
  <c r="Q102" i="12"/>
  <c r="K103" i="12"/>
  <c r="L103" i="12"/>
  <c r="M103" i="12"/>
  <c r="N103" i="12"/>
  <c r="O103" i="12"/>
  <c r="P103" i="12"/>
  <c r="Q103" i="12"/>
  <c r="K104" i="12"/>
  <c r="L104" i="12"/>
  <c r="M104" i="12"/>
  <c r="N104" i="12"/>
  <c r="O104" i="12"/>
  <c r="P104" i="12"/>
  <c r="Q104" i="12"/>
  <c r="K105" i="12"/>
  <c r="L105" i="12"/>
  <c r="M105" i="12"/>
  <c r="N105" i="12"/>
  <c r="O105" i="12"/>
  <c r="P105" i="12"/>
  <c r="Q105" i="12"/>
  <c r="K106" i="12"/>
  <c r="L106" i="12"/>
  <c r="M106" i="12"/>
  <c r="N106" i="12"/>
  <c r="O106" i="12"/>
  <c r="P106" i="12"/>
  <c r="Q106" i="12"/>
  <c r="K107" i="12"/>
  <c r="L107" i="12"/>
  <c r="M107" i="12"/>
  <c r="N107" i="12"/>
  <c r="O107" i="12"/>
  <c r="P107" i="12"/>
  <c r="Q107" i="12"/>
  <c r="K108" i="12"/>
  <c r="L108" i="12"/>
  <c r="M108" i="12"/>
  <c r="N108" i="12"/>
  <c r="O108" i="12"/>
  <c r="P108" i="12"/>
  <c r="Q108" i="12"/>
  <c r="K109" i="12"/>
  <c r="L109" i="12"/>
  <c r="M109" i="12"/>
  <c r="N109" i="12"/>
  <c r="O109" i="12"/>
  <c r="P109" i="12"/>
  <c r="Q109" i="12"/>
  <c r="K110" i="12"/>
  <c r="L110" i="12"/>
  <c r="M110" i="12"/>
  <c r="N110" i="12"/>
  <c r="O110" i="12"/>
  <c r="P110" i="12"/>
  <c r="Q110" i="12"/>
  <c r="K111" i="12"/>
  <c r="L111" i="12"/>
  <c r="M111" i="12"/>
  <c r="N111" i="12"/>
  <c r="O111" i="12"/>
  <c r="P111" i="12"/>
  <c r="Q111" i="12"/>
  <c r="K112" i="12"/>
  <c r="L112" i="12"/>
  <c r="M112" i="12"/>
  <c r="N112" i="12"/>
  <c r="O112" i="12"/>
  <c r="P112" i="12"/>
  <c r="Q112" i="12"/>
  <c r="K113" i="12"/>
  <c r="L113" i="12"/>
  <c r="M113" i="12"/>
  <c r="N113" i="12"/>
  <c r="O113" i="12"/>
  <c r="P113" i="12"/>
  <c r="Q113" i="12"/>
  <c r="K114" i="12"/>
  <c r="L114" i="12"/>
  <c r="M114" i="12"/>
  <c r="N114" i="12"/>
  <c r="O114" i="12"/>
  <c r="P114" i="12"/>
  <c r="Q114" i="12"/>
  <c r="K115" i="12"/>
  <c r="L115" i="12"/>
  <c r="M115" i="12"/>
  <c r="N115" i="12"/>
  <c r="O115" i="12"/>
  <c r="P115" i="12"/>
  <c r="Q115" i="12"/>
  <c r="L101" i="12"/>
  <c r="M101" i="12"/>
  <c r="N101" i="12"/>
  <c r="O101" i="12"/>
  <c r="P101" i="12"/>
  <c r="Q101" i="12"/>
  <c r="K101" i="12"/>
  <c r="K83" i="12"/>
  <c r="L83" i="12"/>
  <c r="M83" i="12"/>
  <c r="N83" i="12"/>
  <c r="O83" i="12"/>
  <c r="P83" i="12"/>
  <c r="Q83" i="12"/>
  <c r="K84" i="12"/>
  <c r="L84" i="12"/>
  <c r="M84" i="12"/>
  <c r="N84" i="12"/>
  <c r="O84" i="12"/>
  <c r="P84" i="12"/>
  <c r="Q84" i="12"/>
  <c r="K85" i="12"/>
  <c r="L85" i="12"/>
  <c r="M85" i="12"/>
  <c r="N85" i="12"/>
  <c r="O85" i="12"/>
  <c r="P85" i="12"/>
  <c r="Q85" i="12"/>
  <c r="K86" i="12"/>
  <c r="L86" i="12"/>
  <c r="M86" i="12"/>
  <c r="N86" i="12"/>
  <c r="O86" i="12"/>
  <c r="P86" i="12"/>
  <c r="Q86" i="12"/>
  <c r="K87" i="12"/>
  <c r="L87" i="12"/>
  <c r="M87" i="12"/>
  <c r="N87" i="12"/>
  <c r="O87" i="12"/>
  <c r="P87" i="12"/>
  <c r="Q87" i="12"/>
  <c r="K88" i="12"/>
  <c r="L88" i="12"/>
  <c r="M88" i="12"/>
  <c r="N88" i="12"/>
  <c r="O88" i="12"/>
  <c r="P88" i="12"/>
  <c r="Q88" i="12"/>
  <c r="K89" i="12"/>
  <c r="L89" i="12"/>
  <c r="M89" i="12"/>
  <c r="N89" i="12"/>
  <c r="O89" i="12"/>
  <c r="P89" i="12"/>
  <c r="Q89" i="12"/>
  <c r="K90" i="12"/>
  <c r="L90" i="12"/>
  <c r="M90" i="12"/>
  <c r="N90" i="12"/>
  <c r="O90" i="12"/>
  <c r="P90" i="12"/>
  <c r="Q90" i="12"/>
  <c r="K91" i="12"/>
  <c r="L91" i="12"/>
  <c r="M91" i="12"/>
  <c r="N91" i="12"/>
  <c r="O91" i="12"/>
  <c r="P91" i="12"/>
  <c r="Q91" i="12"/>
  <c r="K92" i="12"/>
  <c r="L92" i="12"/>
  <c r="M92" i="12"/>
  <c r="N92" i="12"/>
  <c r="O92" i="12"/>
  <c r="P92" i="12"/>
  <c r="Q92" i="12"/>
  <c r="K93" i="12"/>
  <c r="L93" i="12"/>
  <c r="M93" i="12"/>
  <c r="N93" i="12"/>
  <c r="O93" i="12"/>
  <c r="P93" i="12"/>
  <c r="Q93" i="12"/>
  <c r="K94" i="12"/>
  <c r="L94" i="12"/>
  <c r="M94" i="12"/>
  <c r="N94" i="12"/>
  <c r="O94" i="12"/>
  <c r="P94" i="12"/>
  <c r="Q94" i="12"/>
  <c r="K95" i="12"/>
  <c r="L95" i="12"/>
  <c r="M95" i="12"/>
  <c r="N95" i="12"/>
  <c r="O95" i="12"/>
  <c r="P95" i="12"/>
  <c r="Q95" i="12"/>
  <c r="K96" i="12"/>
  <c r="L96" i="12"/>
  <c r="M96" i="12"/>
  <c r="N96" i="12"/>
  <c r="O96" i="12"/>
  <c r="P96" i="12"/>
  <c r="Q96" i="12"/>
  <c r="L82" i="12"/>
  <c r="M82" i="12"/>
  <c r="N82" i="12"/>
  <c r="O82" i="12"/>
  <c r="P82" i="12"/>
  <c r="Q82" i="12"/>
  <c r="K82" i="12"/>
  <c r="K64" i="12"/>
  <c r="L64" i="12"/>
  <c r="M64" i="12"/>
  <c r="N64" i="12"/>
  <c r="O64" i="12"/>
  <c r="P64" i="12"/>
  <c r="Q64" i="12"/>
  <c r="K65" i="12"/>
  <c r="L65" i="12"/>
  <c r="M65" i="12"/>
  <c r="N65" i="12"/>
  <c r="O65" i="12"/>
  <c r="P65" i="12"/>
  <c r="Q65" i="12"/>
  <c r="K66" i="12"/>
  <c r="L66" i="12"/>
  <c r="M66" i="12"/>
  <c r="N66" i="12"/>
  <c r="O66" i="12"/>
  <c r="P66" i="12"/>
  <c r="Q66" i="12"/>
  <c r="K67" i="12"/>
  <c r="L67" i="12"/>
  <c r="M67" i="12"/>
  <c r="N67" i="12"/>
  <c r="O67" i="12"/>
  <c r="P67" i="12"/>
  <c r="Q67" i="12"/>
  <c r="K68" i="12"/>
  <c r="L68" i="12"/>
  <c r="M68" i="12"/>
  <c r="N68" i="12"/>
  <c r="O68" i="12"/>
  <c r="P68" i="12"/>
  <c r="Q68" i="12"/>
  <c r="K69" i="12"/>
  <c r="L69" i="12"/>
  <c r="M69" i="12"/>
  <c r="N69" i="12"/>
  <c r="O69" i="12"/>
  <c r="P69" i="12"/>
  <c r="Q69" i="12"/>
  <c r="K70" i="12"/>
  <c r="L70" i="12"/>
  <c r="M70" i="12"/>
  <c r="N70" i="12"/>
  <c r="O70" i="12"/>
  <c r="P70" i="12"/>
  <c r="Q70" i="12"/>
  <c r="K71" i="12"/>
  <c r="L71" i="12"/>
  <c r="M71" i="12"/>
  <c r="N71" i="12"/>
  <c r="O71" i="12"/>
  <c r="P71" i="12"/>
  <c r="Q71" i="12"/>
  <c r="K72" i="12"/>
  <c r="L72" i="12"/>
  <c r="M72" i="12"/>
  <c r="N72" i="12"/>
  <c r="O72" i="12"/>
  <c r="P72" i="12"/>
  <c r="Q72" i="12"/>
  <c r="K73" i="12"/>
  <c r="L73" i="12"/>
  <c r="M73" i="12"/>
  <c r="N73" i="12"/>
  <c r="O73" i="12"/>
  <c r="P73" i="12"/>
  <c r="Q73" i="12"/>
  <c r="K74" i="12"/>
  <c r="L74" i="12"/>
  <c r="M74" i="12"/>
  <c r="N74" i="12"/>
  <c r="O74" i="12"/>
  <c r="P74" i="12"/>
  <c r="Q74" i="12"/>
  <c r="K75" i="12"/>
  <c r="L75" i="12"/>
  <c r="M75" i="12"/>
  <c r="N75" i="12"/>
  <c r="O75" i="12"/>
  <c r="P75" i="12"/>
  <c r="Q75" i="12"/>
  <c r="K76" i="12"/>
  <c r="L76" i="12"/>
  <c r="M76" i="12"/>
  <c r="N76" i="12"/>
  <c r="O76" i="12"/>
  <c r="P76" i="12"/>
  <c r="Q76" i="12"/>
  <c r="K77" i="12"/>
  <c r="L77" i="12"/>
  <c r="M77" i="12"/>
  <c r="N77" i="12"/>
  <c r="O77" i="12"/>
  <c r="P77" i="12"/>
  <c r="Q77" i="12"/>
  <c r="L63" i="12"/>
  <c r="M63" i="12"/>
  <c r="N63" i="12"/>
  <c r="O63" i="12"/>
  <c r="P63" i="12"/>
  <c r="Q63" i="12"/>
  <c r="K63" i="12"/>
  <c r="K45" i="12"/>
  <c r="L45" i="12"/>
  <c r="M45" i="12"/>
  <c r="N45" i="12"/>
  <c r="O45" i="12"/>
  <c r="P45" i="12"/>
  <c r="Q45" i="12"/>
  <c r="K46" i="12"/>
  <c r="L46" i="12"/>
  <c r="M46" i="12"/>
  <c r="N46" i="12"/>
  <c r="O46" i="12"/>
  <c r="P46" i="12"/>
  <c r="Q46" i="12"/>
  <c r="K47" i="12"/>
  <c r="L47" i="12"/>
  <c r="M47" i="12"/>
  <c r="N47" i="12"/>
  <c r="O47" i="12"/>
  <c r="P47" i="12"/>
  <c r="Q47" i="12"/>
  <c r="K48" i="12"/>
  <c r="L48" i="12"/>
  <c r="M48" i="12"/>
  <c r="N48" i="12"/>
  <c r="O48" i="12"/>
  <c r="P48" i="12"/>
  <c r="Q48" i="12"/>
  <c r="K49" i="12"/>
  <c r="L49" i="12"/>
  <c r="M49" i="12"/>
  <c r="N49" i="12"/>
  <c r="O49" i="12"/>
  <c r="P49" i="12"/>
  <c r="Q49" i="12"/>
  <c r="K50" i="12"/>
  <c r="L50" i="12"/>
  <c r="M50" i="12"/>
  <c r="N50" i="12"/>
  <c r="O50" i="12"/>
  <c r="P50" i="12"/>
  <c r="Q50" i="12"/>
  <c r="K51" i="12"/>
  <c r="L51" i="12"/>
  <c r="M51" i="12"/>
  <c r="N51" i="12"/>
  <c r="O51" i="12"/>
  <c r="P51" i="12"/>
  <c r="Q51" i="12"/>
  <c r="K52" i="12"/>
  <c r="L52" i="12"/>
  <c r="M52" i="12"/>
  <c r="N52" i="12"/>
  <c r="O52" i="12"/>
  <c r="P52" i="12"/>
  <c r="Q52" i="12"/>
  <c r="K53" i="12"/>
  <c r="L53" i="12"/>
  <c r="M53" i="12"/>
  <c r="N53" i="12"/>
  <c r="O53" i="12"/>
  <c r="P53" i="12"/>
  <c r="Q53" i="12"/>
  <c r="K54" i="12"/>
  <c r="L54" i="12"/>
  <c r="M54" i="12"/>
  <c r="N54" i="12"/>
  <c r="O54" i="12"/>
  <c r="P54" i="12"/>
  <c r="Q54" i="12"/>
  <c r="K55" i="12"/>
  <c r="L55" i="12"/>
  <c r="M55" i="12"/>
  <c r="N55" i="12"/>
  <c r="O55" i="12"/>
  <c r="P55" i="12"/>
  <c r="Q55" i="12"/>
  <c r="K56" i="12"/>
  <c r="L56" i="12"/>
  <c r="M56" i="12"/>
  <c r="N56" i="12"/>
  <c r="O56" i="12"/>
  <c r="P56" i="12"/>
  <c r="Q56" i="12"/>
  <c r="K57" i="12"/>
  <c r="L57" i="12"/>
  <c r="M57" i="12"/>
  <c r="N57" i="12"/>
  <c r="O57" i="12"/>
  <c r="P57" i="12"/>
  <c r="Q57" i="12"/>
  <c r="K58" i="12"/>
  <c r="L58" i="12"/>
  <c r="M58" i="12"/>
  <c r="N58" i="12"/>
  <c r="O58" i="12"/>
  <c r="P58" i="12"/>
  <c r="Q58" i="12"/>
  <c r="L44" i="12"/>
  <c r="M44" i="12"/>
  <c r="N44" i="12"/>
  <c r="O44" i="12"/>
  <c r="P44" i="12"/>
  <c r="Q44" i="12"/>
  <c r="K44" i="12"/>
  <c r="K26" i="12"/>
  <c r="L26" i="12"/>
  <c r="M26" i="12"/>
  <c r="N26" i="12"/>
  <c r="O26" i="12"/>
  <c r="P26" i="12"/>
  <c r="Q26" i="12"/>
  <c r="K27" i="12"/>
  <c r="L27" i="12"/>
  <c r="M27" i="12"/>
  <c r="N27" i="12"/>
  <c r="O27" i="12"/>
  <c r="P27" i="12"/>
  <c r="Q27" i="12"/>
  <c r="K28" i="12"/>
  <c r="L28" i="12"/>
  <c r="M28" i="12"/>
  <c r="N28" i="12"/>
  <c r="O28" i="12"/>
  <c r="P28" i="12"/>
  <c r="Q28" i="12"/>
  <c r="K29" i="12"/>
  <c r="L29" i="12"/>
  <c r="M29" i="12"/>
  <c r="N29" i="12"/>
  <c r="O29" i="12"/>
  <c r="P29" i="12"/>
  <c r="Q29" i="12"/>
  <c r="K30" i="12"/>
  <c r="L30" i="12"/>
  <c r="M30" i="12"/>
  <c r="N30" i="12"/>
  <c r="O30" i="12"/>
  <c r="P30" i="12"/>
  <c r="Q30" i="12"/>
  <c r="K31" i="12"/>
  <c r="L31" i="12"/>
  <c r="M31" i="12"/>
  <c r="N31" i="12"/>
  <c r="O31" i="12"/>
  <c r="P31" i="12"/>
  <c r="Q31" i="12"/>
  <c r="K32" i="12"/>
  <c r="L32" i="12"/>
  <c r="M32" i="12"/>
  <c r="N32" i="12"/>
  <c r="O32" i="12"/>
  <c r="P32" i="12"/>
  <c r="Q32" i="12"/>
  <c r="K33" i="12"/>
  <c r="L33" i="12"/>
  <c r="M33" i="12"/>
  <c r="N33" i="12"/>
  <c r="O33" i="12"/>
  <c r="P33" i="12"/>
  <c r="Q33" i="12"/>
  <c r="K34" i="12"/>
  <c r="L34" i="12"/>
  <c r="M34" i="12"/>
  <c r="N34" i="12"/>
  <c r="O34" i="12"/>
  <c r="P34" i="12"/>
  <c r="Q34" i="12"/>
  <c r="K35" i="12"/>
  <c r="L35" i="12"/>
  <c r="M35" i="12"/>
  <c r="N35" i="12"/>
  <c r="O35" i="12"/>
  <c r="P35" i="12"/>
  <c r="Q35" i="12"/>
  <c r="K36" i="12"/>
  <c r="L36" i="12"/>
  <c r="M36" i="12"/>
  <c r="N36" i="12"/>
  <c r="O36" i="12"/>
  <c r="P36" i="12"/>
  <c r="Q36" i="12"/>
  <c r="K37" i="12"/>
  <c r="L37" i="12"/>
  <c r="M37" i="12"/>
  <c r="N37" i="12"/>
  <c r="O37" i="12"/>
  <c r="P37" i="12"/>
  <c r="Q37" i="12"/>
  <c r="K38" i="12"/>
  <c r="L38" i="12"/>
  <c r="M38" i="12"/>
  <c r="N38" i="12"/>
  <c r="O38" i="12"/>
  <c r="P38" i="12"/>
  <c r="Q38" i="12"/>
  <c r="K39" i="12"/>
  <c r="L39" i="12"/>
  <c r="M39" i="12"/>
  <c r="N39" i="12"/>
  <c r="O39" i="12"/>
  <c r="P39" i="12"/>
  <c r="Q39" i="12"/>
  <c r="L25" i="12"/>
  <c r="M25" i="12"/>
  <c r="N25" i="12"/>
  <c r="O25" i="12"/>
  <c r="P25" i="12"/>
  <c r="Q25" i="12"/>
  <c r="K25" i="12"/>
  <c r="K7" i="12"/>
  <c r="L7" i="12"/>
  <c r="M7" i="12"/>
  <c r="N7" i="12"/>
  <c r="O7" i="12"/>
  <c r="P7" i="12"/>
  <c r="Q7" i="12"/>
  <c r="K8" i="12"/>
  <c r="L8" i="12"/>
  <c r="M8" i="12"/>
  <c r="N8" i="12"/>
  <c r="O8" i="12"/>
  <c r="P8" i="12"/>
  <c r="Q8" i="12"/>
  <c r="K9" i="12"/>
  <c r="L9" i="12"/>
  <c r="M9" i="12"/>
  <c r="N9" i="12"/>
  <c r="O9" i="12"/>
  <c r="P9" i="12"/>
  <c r="Q9" i="12"/>
  <c r="K10" i="12"/>
  <c r="L10" i="12"/>
  <c r="M10" i="12"/>
  <c r="N10" i="12"/>
  <c r="O10" i="12"/>
  <c r="P10" i="12"/>
  <c r="Q10" i="12"/>
  <c r="K11" i="12"/>
  <c r="L11" i="12"/>
  <c r="M11" i="12"/>
  <c r="N11" i="12"/>
  <c r="O11" i="12"/>
  <c r="P11" i="12"/>
  <c r="Q11" i="12"/>
  <c r="K12" i="12"/>
  <c r="L12" i="12"/>
  <c r="M12" i="12"/>
  <c r="N12" i="12"/>
  <c r="O12" i="12"/>
  <c r="P12" i="12"/>
  <c r="Q12" i="12"/>
  <c r="K13" i="12"/>
  <c r="L13" i="12"/>
  <c r="M13" i="12"/>
  <c r="N13" i="12"/>
  <c r="O13" i="12"/>
  <c r="P13" i="12"/>
  <c r="Q13" i="12"/>
  <c r="K14" i="12"/>
  <c r="L14" i="12"/>
  <c r="M14" i="12"/>
  <c r="N14" i="12"/>
  <c r="O14" i="12"/>
  <c r="P14" i="12"/>
  <c r="Q14" i="12"/>
  <c r="K15" i="12"/>
  <c r="L15" i="12"/>
  <c r="M15" i="12"/>
  <c r="N15" i="12"/>
  <c r="O15" i="12"/>
  <c r="P15" i="12"/>
  <c r="Q15" i="12"/>
  <c r="K16" i="12"/>
  <c r="L16" i="12"/>
  <c r="M16" i="12"/>
  <c r="N16" i="12"/>
  <c r="O16" i="12"/>
  <c r="P16" i="12"/>
  <c r="Q16" i="12"/>
  <c r="K17" i="12"/>
  <c r="L17" i="12"/>
  <c r="M17" i="12"/>
  <c r="N17" i="12"/>
  <c r="O17" i="12"/>
  <c r="P17" i="12"/>
  <c r="Q17" i="12"/>
  <c r="K18" i="12"/>
  <c r="L18" i="12"/>
  <c r="M18" i="12"/>
  <c r="N18" i="12"/>
  <c r="O18" i="12"/>
  <c r="P18" i="12"/>
  <c r="Q18" i="12"/>
  <c r="K19" i="12"/>
  <c r="L19" i="12"/>
  <c r="M19" i="12"/>
  <c r="N19" i="12"/>
  <c r="O19" i="12"/>
  <c r="P19" i="12"/>
  <c r="Q19" i="12"/>
  <c r="K20" i="12"/>
  <c r="L20" i="12"/>
  <c r="M20" i="12"/>
  <c r="N20" i="12"/>
  <c r="O20" i="12"/>
  <c r="P20" i="12"/>
  <c r="Q20" i="12"/>
  <c r="L6" i="12"/>
  <c r="M6" i="12"/>
  <c r="N6" i="12"/>
  <c r="O6" i="12"/>
  <c r="P6" i="12"/>
  <c r="Q6" i="12"/>
  <c r="K6" i="12"/>
  <c r="B140" i="12"/>
  <c r="C140" i="12"/>
  <c r="D140" i="12"/>
  <c r="E140" i="12"/>
  <c r="F140" i="12"/>
  <c r="G140" i="12"/>
  <c r="H140" i="12"/>
  <c r="B141" i="12"/>
  <c r="C141" i="12"/>
  <c r="D141" i="12"/>
  <c r="E141" i="12"/>
  <c r="F141" i="12"/>
  <c r="G141" i="12"/>
  <c r="H141" i="12"/>
  <c r="B142" i="12"/>
  <c r="C142" i="12"/>
  <c r="D142" i="12"/>
  <c r="E142" i="12"/>
  <c r="F142" i="12"/>
  <c r="G142" i="12"/>
  <c r="H142" i="12"/>
  <c r="B143" i="12"/>
  <c r="C143" i="12"/>
  <c r="D143" i="12"/>
  <c r="E143" i="12"/>
  <c r="F143" i="12"/>
  <c r="G143" i="12"/>
  <c r="H143" i="12"/>
  <c r="B144" i="12"/>
  <c r="C144" i="12"/>
  <c r="D144" i="12"/>
  <c r="E144" i="12"/>
  <c r="F144" i="12"/>
  <c r="G144" i="12"/>
  <c r="H144" i="12"/>
  <c r="B145" i="12"/>
  <c r="C145" i="12"/>
  <c r="D145" i="12"/>
  <c r="E145" i="12"/>
  <c r="F145" i="12"/>
  <c r="G145" i="12"/>
  <c r="H145" i="12"/>
  <c r="B146" i="12"/>
  <c r="C146" i="12"/>
  <c r="D146" i="12"/>
  <c r="E146" i="12"/>
  <c r="F146" i="12"/>
  <c r="G146" i="12"/>
  <c r="H146" i="12"/>
  <c r="B147" i="12"/>
  <c r="C147" i="12"/>
  <c r="D147" i="12"/>
  <c r="E147" i="12"/>
  <c r="F147" i="12"/>
  <c r="G147" i="12"/>
  <c r="H147" i="12"/>
  <c r="B148" i="12"/>
  <c r="C148" i="12"/>
  <c r="D148" i="12"/>
  <c r="E148" i="12"/>
  <c r="F148" i="12"/>
  <c r="G148" i="12"/>
  <c r="H148" i="12"/>
  <c r="B149" i="12"/>
  <c r="C149" i="12"/>
  <c r="D149" i="12"/>
  <c r="E149" i="12"/>
  <c r="F149" i="12"/>
  <c r="G149" i="12"/>
  <c r="H149" i="12"/>
  <c r="B150" i="12"/>
  <c r="C150" i="12"/>
  <c r="D150" i="12"/>
  <c r="E150" i="12"/>
  <c r="F150" i="12"/>
  <c r="G150" i="12"/>
  <c r="H150" i="12"/>
  <c r="B151" i="12"/>
  <c r="C151" i="12"/>
  <c r="D151" i="12"/>
  <c r="E151" i="12"/>
  <c r="F151" i="12"/>
  <c r="G151" i="12"/>
  <c r="H151" i="12"/>
  <c r="B152" i="12"/>
  <c r="C152" i="12"/>
  <c r="D152" i="12"/>
  <c r="E152" i="12"/>
  <c r="F152" i="12"/>
  <c r="G152" i="12"/>
  <c r="H152" i="12"/>
  <c r="B153" i="12"/>
  <c r="C153" i="12"/>
  <c r="D153" i="12"/>
  <c r="E153" i="12"/>
  <c r="F153" i="12"/>
  <c r="G153" i="12"/>
  <c r="H153" i="12"/>
  <c r="C139" i="12"/>
  <c r="D139" i="12"/>
  <c r="E139" i="12"/>
  <c r="F139" i="12"/>
  <c r="G139" i="12"/>
  <c r="H139" i="12"/>
  <c r="B139" i="12"/>
  <c r="B121" i="12"/>
  <c r="C121" i="12"/>
  <c r="D121" i="12"/>
  <c r="E121" i="12"/>
  <c r="F121" i="12"/>
  <c r="G121" i="12"/>
  <c r="H121" i="12"/>
  <c r="B122" i="12"/>
  <c r="C122" i="12"/>
  <c r="D122" i="12"/>
  <c r="E122" i="12"/>
  <c r="F122" i="12"/>
  <c r="G122" i="12"/>
  <c r="H122" i="12"/>
  <c r="B123" i="12"/>
  <c r="C123" i="12"/>
  <c r="D123" i="12"/>
  <c r="E123" i="12"/>
  <c r="F123" i="12"/>
  <c r="G123" i="12"/>
  <c r="H123" i="12"/>
  <c r="B124" i="12"/>
  <c r="C124" i="12"/>
  <c r="D124" i="12"/>
  <c r="E124" i="12"/>
  <c r="F124" i="12"/>
  <c r="G124" i="12"/>
  <c r="H124" i="12"/>
  <c r="B125" i="12"/>
  <c r="C125" i="12"/>
  <c r="D125" i="12"/>
  <c r="E125" i="12"/>
  <c r="F125" i="12"/>
  <c r="G125" i="12"/>
  <c r="H125" i="12"/>
  <c r="B126" i="12"/>
  <c r="C126" i="12"/>
  <c r="D126" i="12"/>
  <c r="E126" i="12"/>
  <c r="F126" i="12"/>
  <c r="G126" i="12"/>
  <c r="H126" i="12"/>
  <c r="B127" i="12"/>
  <c r="C127" i="12"/>
  <c r="D127" i="12"/>
  <c r="E127" i="12"/>
  <c r="F127" i="12"/>
  <c r="G127" i="12"/>
  <c r="H127" i="12"/>
  <c r="B128" i="12"/>
  <c r="C128" i="12"/>
  <c r="D128" i="12"/>
  <c r="E128" i="12"/>
  <c r="F128" i="12"/>
  <c r="G128" i="12"/>
  <c r="H128" i="12"/>
  <c r="B129" i="12"/>
  <c r="C129" i="12"/>
  <c r="D129" i="12"/>
  <c r="E129" i="12"/>
  <c r="F129" i="12"/>
  <c r="G129" i="12"/>
  <c r="H129" i="12"/>
  <c r="B130" i="12"/>
  <c r="C130" i="12"/>
  <c r="D130" i="12"/>
  <c r="E130" i="12"/>
  <c r="F130" i="12"/>
  <c r="G130" i="12"/>
  <c r="H130" i="12"/>
  <c r="B131" i="12"/>
  <c r="C131" i="12"/>
  <c r="D131" i="12"/>
  <c r="E131" i="12"/>
  <c r="F131" i="12"/>
  <c r="G131" i="12"/>
  <c r="H131" i="12"/>
  <c r="B132" i="12"/>
  <c r="C132" i="12"/>
  <c r="D132" i="12"/>
  <c r="E132" i="12"/>
  <c r="F132" i="12"/>
  <c r="G132" i="12"/>
  <c r="H132" i="12"/>
  <c r="B133" i="12"/>
  <c r="C133" i="12"/>
  <c r="D133" i="12"/>
  <c r="E133" i="12"/>
  <c r="F133" i="12"/>
  <c r="G133" i="12"/>
  <c r="H133" i="12"/>
  <c r="B134" i="12"/>
  <c r="C134" i="12"/>
  <c r="D134" i="12"/>
  <c r="E134" i="12"/>
  <c r="F134" i="12"/>
  <c r="G134" i="12"/>
  <c r="H134" i="12"/>
  <c r="C120" i="12"/>
  <c r="D120" i="12"/>
  <c r="E120" i="12"/>
  <c r="F120" i="12"/>
  <c r="G120" i="12"/>
  <c r="H120" i="12"/>
  <c r="B120" i="12"/>
  <c r="B102" i="12"/>
  <c r="C102" i="12"/>
  <c r="D102" i="12"/>
  <c r="E102" i="12"/>
  <c r="F102" i="12"/>
  <c r="G102" i="12"/>
  <c r="H102" i="12"/>
  <c r="B103" i="12"/>
  <c r="C103" i="12"/>
  <c r="D103" i="12"/>
  <c r="E103" i="12"/>
  <c r="F103" i="12"/>
  <c r="G103" i="12"/>
  <c r="H103" i="12"/>
  <c r="B104" i="12"/>
  <c r="C104" i="12"/>
  <c r="D104" i="12"/>
  <c r="E104" i="12"/>
  <c r="F104" i="12"/>
  <c r="G104" i="12"/>
  <c r="H104" i="12"/>
  <c r="B105" i="12"/>
  <c r="C105" i="12"/>
  <c r="D105" i="12"/>
  <c r="E105" i="12"/>
  <c r="F105" i="12"/>
  <c r="G105" i="12"/>
  <c r="H105" i="12"/>
  <c r="B106" i="12"/>
  <c r="C106" i="12"/>
  <c r="D106" i="12"/>
  <c r="E106" i="12"/>
  <c r="F106" i="12"/>
  <c r="G106" i="12"/>
  <c r="H106" i="12"/>
  <c r="B107" i="12"/>
  <c r="C107" i="12"/>
  <c r="D107" i="12"/>
  <c r="E107" i="12"/>
  <c r="F107" i="12"/>
  <c r="G107" i="12"/>
  <c r="H107" i="12"/>
  <c r="B108" i="12"/>
  <c r="C108" i="12"/>
  <c r="D108" i="12"/>
  <c r="E108" i="12"/>
  <c r="F108" i="12"/>
  <c r="G108" i="12"/>
  <c r="H108" i="12"/>
  <c r="B109" i="12"/>
  <c r="C109" i="12"/>
  <c r="D109" i="12"/>
  <c r="E109" i="12"/>
  <c r="F109" i="12"/>
  <c r="G109" i="12"/>
  <c r="H109" i="12"/>
  <c r="B110" i="12"/>
  <c r="C110" i="12"/>
  <c r="D110" i="12"/>
  <c r="E110" i="12"/>
  <c r="F110" i="12"/>
  <c r="G110" i="12"/>
  <c r="H110" i="12"/>
  <c r="B111" i="12"/>
  <c r="C111" i="12"/>
  <c r="D111" i="12"/>
  <c r="E111" i="12"/>
  <c r="F111" i="12"/>
  <c r="G111" i="12"/>
  <c r="H111" i="12"/>
  <c r="B112" i="12"/>
  <c r="C112" i="12"/>
  <c r="D112" i="12"/>
  <c r="E112" i="12"/>
  <c r="F112" i="12"/>
  <c r="G112" i="12"/>
  <c r="H112" i="12"/>
  <c r="B113" i="12"/>
  <c r="C113" i="12"/>
  <c r="D113" i="12"/>
  <c r="E113" i="12"/>
  <c r="F113" i="12"/>
  <c r="G113" i="12"/>
  <c r="H113" i="12"/>
  <c r="B114" i="12"/>
  <c r="C114" i="12"/>
  <c r="D114" i="12"/>
  <c r="E114" i="12"/>
  <c r="F114" i="12"/>
  <c r="G114" i="12"/>
  <c r="H114" i="12"/>
  <c r="B115" i="12"/>
  <c r="C115" i="12"/>
  <c r="D115" i="12"/>
  <c r="E115" i="12"/>
  <c r="F115" i="12"/>
  <c r="G115" i="12"/>
  <c r="H115" i="12"/>
  <c r="C101" i="12"/>
  <c r="D101" i="12"/>
  <c r="E101" i="12"/>
  <c r="F101" i="12"/>
  <c r="G101" i="12"/>
  <c r="H101" i="12"/>
  <c r="B101" i="12"/>
  <c r="B83" i="12"/>
  <c r="C83" i="12"/>
  <c r="D83" i="12"/>
  <c r="E83" i="12"/>
  <c r="F83" i="12"/>
  <c r="G83" i="12"/>
  <c r="H83" i="12"/>
  <c r="B84" i="12"/>
  <c r="C84" i="12"/>
  <c r="D84" i="12"/>
  <c r="E84" i="12"/>
  <c r="F84" i="12"/>
  <c r="G84" i="12"/>
  <c r="H84" i="12"/>
  <c r="B85" i="12"/>
  <c r="C85" i="12"/>
  <c r="D85" i="12"/>
  <c r="E85" i="12"/>
  <c r="F85" i="12"/>
  <c r="G85" i="12"/>
  <c r="H85" i="12"/>
  <c r="B86" i="12"/>
  <c r="C86" i="12"/>
  <c r="D86" i="12"/>
  <c r="E86" i="12"/>
  <c r="F86" i="12"/>
  <c r="G86" i="12"/>
  <c r="H86" i="12"/>
  <c r="B87" i="12"/>
  <c r="C87" i="12"/>
  <c r="D87" i="12"/>
  <c r="E87" i="12"/>
  <c r="F87" i="12"/>
  <c r="G87" i="12"/>
  <c r="H87" i="12"/>
  <c r="B88" i="12"/>
  <c r="C88" i="12"/>
  <c r="D88" i="12"/>
  <c r="E88" i="12"/>
  <c r="F88" i="12"/>
  <c r="G88" i="12"/>
  <c r="H88" i="12"/>
  <c r="B89" i="12"/>
  <c r="C89" i="12"/>
  <c r="D89" i="12"/>
  <c r="E89" i="12"/>
  <c r="F89" i="12"/>
  <c r="G89" i="12"/>
  <c r="H89" i="12"/>
  <c r="B90" i="12"/>
  <c r="C90" i="12"/>
  <c r="D90" i="12"/>
  <c r="E90" i="12"/>
  <c r="F90" i="12"/>
  <c r="G90" i="12"/>
  <c r="H90" i="12"/>
  <c r="B91" i="12"/>
  <c r="C91" i="12"/>
  <c r="D91" i="12"/>
  <c r="E91" i="12"/>
  <c r="F91" i="12"/>
  <c r="G91" i="12"/>
  <c r="H91" i="12"/>
  <c r="B92" i="12"/>
  <c r="C92" i="12"/>
  <c r="D92" i="12"/>
  <c r="E92" i="12"/>
  <c r="F92" i="12"/>
  <c r="G92" i="12"/>
  <c r="H92" i="12"/>
  <c r="B93" i="12"/>
  <c r="C93" i="12"/>
  <c r="D93" i="12"/>
  <c r="E93" i="12"/>
  <c r="F93" i="12"/>
  <c r="G93" i="12"/>
  <c r="H93" i="12"/>
  <c r="B94" i="12"/>
  <c r="C94" i="12"/>
  <c r="D94" i="12"/>
  <c r="E94" i="12"/>
  <c r="F94" i="12"/>
  <c r="G94" i="12"/>
  <c r="H94" i="12"/>
  <c r="B95" i="12"/>
  <c r="C95" i="12"/>
  <c r="D95" i="12"/>
  <c r="E95" i="12"/>
  <c r="F95" i="12"/>
  <c r="G95" i="12"/>
  <c r="H95" i="12"/>
  <c r="B96" i="12"/>
  <c r="C96" i="12"/>
  <c r="D96" i="12"/>
  <c r="E96" i="12"/>
  <c r="F96" i="12"/>
  <c r="G96" i="12"/>
  <c r="H96" i="12"/>
  <c r="C82" i="12"/>
  <c r="D82" i="12"/>
  <c r="E82" i="12"/>
  <c r="F82" i="12"/>
  <c r="G82" i="12"/>
  <c r="H82" i="12"/>
  <c r="B82" i="12"/>
  <c r="B64" i="12"/>
  <c r="C64" i="12"/>
  <c r="D64" i="12"/>
  <c r="E64" i="12"/>
  <c r="F64" i="12"/>
  <c r="G64" i="12"/>
  <c r="H64" i="12"/>
  <c r="B65" i="12"/>
  <c r="C65" i="12"/>
  <c r="D65" i="12"/>
  <c r="E65" i="12"/>
  <c r="F65" i="12"/>
  <c r="G65" i="12"/>
  <c r="H65" i="12"/>
  <c r="B66" i="12"/>
  <c r="C66" i="12"/>
  <c r="D66" i="12"/>
  <c r="E66" i="12"/>
  <c r="F66" i="12"/>
  <c r="G66" i="12"/>
  <c r="H66" i="12"/>
  <c r="B67" i="12"/>
  <c r="C67" i="12"/>
  <c r="D67" i="12"/>
  <c r="E67" i="12"/>
  <c r="F67" i="12"/>
  <c r="G67" i="12"/>
  <c r="H67" i="12"/>
  <c r="B68" i="12"/>
  <c r="C68" i="12"/>
  <c r="D68" i="12"/>
  <c r="E68" i="12"/>
  <c r="F68" i="12"/>
  <c r="G68" i="12"/>
  <c r="H68" i="12"/>
  <c r="B69" i="12"/>
  <c r="C69" i="12"/>
  <c r="D69" i="12"/>
  <c r="E69" i="12"/>
  <c r="F69" i="12"/>
  <c r="G69" i="12"/>
  <c r="H69" i="12"/>
  <c r="B70" i="12"/>
  <c r="C70" i="12"/>
  <c r="D70" i="12"/>
  <c r="E70" i="12"/>
  <c r="F70" i="12"/>
  <c r="G70" i="12"/>
  <c r="H70" i="12"/>
  <c r="B71" i="12"/>
  <c r="C71" i="12"/>
  <c r="D71" i="12"/>
  <c r="E71" i="12"/>
  <c r="F71" i="12"/>
  <c r="G71" i="12"/>
  <c r="H71" i="12"/>
  <c r="B72" i="12"/>
  <c r="C72" i="12"/>
  <c r="D72" i="12"/>
  <c r="E72" i="12"/>
  <c r="F72" i="12"/>
  <c r="G72" i="12"/>
  <c r="H72" i="12"/>
  <c r="B73" i="12"/>
  <c r="C73" i="12"/>
  <c r="D73" i="12"/>
  <c r="E73" i="12"/>
  <c r="F73" i="12"/>
  <c r="G73" i="12"/>
  <c r="H73" i="12"/>
  <c r="B74" i="12"/>
  <c r="C74" i="12"/>
  <c r="D74" i="12"/>
  <c r="E74" i="12"/>
  <c r="F74" i="12"/>
  <c r="G74" i="12"/>
  <c r="H74" i="12"/>
  <c r="B75" i="12"/>
  <c r="C75" i="12"/>
  <c r="D75" i="12"/>
  <c r="E75" i="12"/>
  <c r="F75" i="12"/>
  <c r="G75" i="12"/>
  <c r="H75" i="12"/>
  <c r="B76" i="12"/>
  <c r="C76" i="12"/>
  <c r="D76" i="12"/>
  <c r="E76" i="12"/>
  <c r="F76" i="12"/>
  <c r="G76" i="12"/>
  <c r="H76" i="12"/>
  <c r="B77" i="12"/>
  <c r="C77" i="12"/>
  <c r="D77" i="12"/>
  <c r="E77" i="12"/>
  <c r="F77" i="12"/>
  <c r="G77" i="12"/>
  <c r="H77" i="12"/>
  <c r="C63" i="12"/>
  <c r="D63" i="12"/>
  <c r="E63" i="12"/>
  <c r="F63" i="12"/>
  <c r="G63" i="12"/>
  <c r="H63" i="12"/>
  <c r="B63" i="12"/>
  <c r="B45" i="12"/>
  <c r="C45" i="12"/>
  <c r="D45" i="12"/>
  <c r="E45" i="12"/>
  <c r="F45" i="12"/>
  <c r="G45" i="12"/>
  <c r="H45" i="12"/>
  <c r="B46" i="12"/>
  <c r="C46" i="12"/>
  <c r="D46" i="12"/>
  <c r="E46" i="12"/>
  <c r="F46" i="12"/>
  <c r="G46" i="12"/>
  <c r="H46" i="12"/>
  <c r="B47" i="12"/>
  <c r="C47" i="12"/>
  <c r="D47" i="12"/>
  <c r="E47" i="12"/>
  <c r="F47" i="12"/>
  <c r="G47" i="12"/>
  <c r="H47" i="12"/>
  <c r="B48" i="12"/>
  <c r="C48" i="12"/>
  <c r="D48" i="12"/>
  <c r="E48" i="12"/>
  <c r="F48" i="12"/>
  <c r="G48" i="12"/>
  <c r="H48" i="12"/>
  <c r="B49" i="12"/>
  <c r="C49" i="12"/>
  <c r="D49" i="12"/>
  <c r="E49" i="12"/>
  <c r="F49" i="12"/>
  <c r="G49" i="12"/>
  <c r="H49" i="12"/>
  <c r="B50" i="12"/>
  <c r="C50" i="12"/>
  <c r="D50" i="12"/>
  <c r="E50" i="12"/>
  <c r="F50" i="12"/>
  <c r="G50" i="12"/>
  <c r="H50" i="12"/>
  <c r="B51" i="12"/>
  <c r="C51" i="12"/>
  <c r="D51" i="12"/>
  <c r="E51" i="12"/>
  <c r="F51" i="12"/>
  <c r="G51" i="12"/>
  <c r="H51" i="12"/>
  <c r="B52" i="12"/>
  <c r="C52" i="12"/>
  <c r="D52" i="12"/>
  <c r="E52" i="12"/>
  <c r="F52" i="12"/>
  <c r="G52" i="12"/>
  <c r="H52" i="12"/>
  <c r="B53" i="12"/>
  <c r="C53" i="12"/>
  <c r="D53" i="12"/>
  <c r="E53" i="12"/>
  <c r="F53" i="12"/>
  <c r="G53" i="12"/>
  <c r="H53" i="12"/>
  <c r="B54" i="12"/>
  <c r="C54" i="12"/>
  <c r="D54" i="12"/>
  <c r="E54" i="12"/>
  <c r="F54" i="12"/>
  <c r="G54" i="12"/>
  <c r="H54" i="12"/>
  <c r="B55" i="12"/>
  <c r="C55" i="12"/>
  <c r="D55" i="12"/>
  <c r="E55" i="12"/>
  <c r="F55" i="12"/>
  <c r="G55" i="12"/>
  <c r="H55" i="12"/>
  <c r="B56" i="12"/>
  <c r="C56" i="12"/>
  <c r="D56" i="12"/>
  <c r="E56" i="12"/>
  <c r="F56" i="12"/>
  <c r="G56" i="12"/>
  <c r="H56" i="12"/>
  <c r="B57" i="12"/>
  <c r="C57" i="12"/>
  <c r="D57" i="12"/>
  <c r="E57" i="12"/>
  <c r="F57" i="12"/>
  <c r="G57" i="12"/>
  <c r="H57" i="12"/>
  <c r="B58" i="12"/>
  <c r="C58" i="12"/>
  <c r="D58" i="12"/>
  <c r="E58" i="12"/>
  <c r="F58" i="12"/>
  <c r="G58" i="12"/>
  <c r="H58" i="12"/>
  <c r="C44" i="12"/>
  <c r="D44" i="12"/>
  <c r="E44" i="12"/>
  <c r="F44" i="12"/>
  <c r="G44" i="12"/>
  <c r="H44" i="12"/>
  <c r="B44" i="12"/>
  <c r="B26" i="12"/>
  <c r="C26" i="12"/>
  <c r="D26" i="12"/>
  <c r="E26" i="12"/>
  <c r="F26" i="12"/>
  <c r="G26" i="12"/>
  <c r="H26" i="12"/>
  <c r="B27" i="12"/>
  <c r="C27" i="12"/>
  <c r="D27" i="12"/>
  <c r="E27" i="12"/>
  <c r="F27" i="12"/>
  <c r="G27" i="12"/>
  <c r="H27" i="12"/>
  <c r="B28" i="12"/>
  <c r="C28" i="12"/>
  <c r="D28" i="12"/>
  <c r="E28" i="12"/>
  <c r="F28" i="12"/>
  <c r="G28" i="12"/>
  <c r="H28" i="12"/>
  <c r="B29" i="12"/>
  <c r="C29" i="12"/>
  <c r="D29" i="12"/>
  <c r="E29" i="12"/>
  <c r="F29" i="12"/>
  <c r="G29" i="12"/>
  <c r="H29" i="12"/>
  <c r="B30" i="12"/>
  <c r="C30" i="12"/>
  <c r="D30" i="12"/>
  <c r="E30" i="12"/>
  <c r="F30" i="12"/>
  <c r="G30" i="12"/>
  <c r="H30" i="12"/>
  <c r="B31" i="12"/>
  <c r="C31" i="12"/>
  <c r="D31" i="12"/>
  <c r="E31" i="12"/>
  <c r="F31" i="12"/>
  <c r="G31" i="12"/>
  <c r="H31" i="12"/>
  <c r="B32" i="12"/>
  <c r="C32" i="12"/>
  <c r="D32" i="12"/>
  <c r="E32" i="12"/>
  <c r="F32" i="12"/>
  <c r="G32" i="12"/>
  <c r="H32" i="12"/>
  <c r="B33" i="12"/>
  <c r="C33" i="12"/>
  <c r="D33" i="12"/>
  <c r="E33" i="12"/>
  <c r="F33" i="12"/>
  <c r="G33" i="12"/>
  <c r="H33" i="12"/>
  <c r="B34" i="12"/>
  <c r="C34" i="12"/>
  <c r="D34" i="12"/>
  <c r="E34" i="12"/>
  <c r="F34" i="12"/>
  <c r="G34" i="12"/>
  <c r="H34" i="12"/>
  <c r="B35" i="12"/>
  <c r="C35" i="12"/>
  <c r="D35" i="12"/>
  <c r="E35" i="12"/>
  <c r="F35" i="12"/>
  <c r="G35" i="12"/>
  <c r="H35" i="12"/>
  <c r="B36" i="12"/>
  <c r="C36" i="12"/>
  <c r="D36" i="12"/>
  <c r="E36" i="12"/>
  <c r="F36" i="12"/>
  <c r="G36" i="12"/>
  <c r="H36" i="12"/>
  <c r="B37" i="12"/>
  <c r="C37" i="12"/>
  <c r="D37" i="12"/>
  <c r="E37" i="12"/>
  <c r="F37" i="12"/>
  <c r="G37" i="12"/>
  <c r="H37" i="12"/>
  <c r="B38" i="12"/>
  <c r="C38" i="12"/>
  <c r="D38" i="12"/>
  <c r="E38" i="12"/>
  <c r="F38" i="12"/>
  <c r="G38" i="12"/>
  <c r="H38" i="12"/>
  <c r="B39" i="12"/>
  <c r="C39" i="12"/>
  <c r="D39" i="12"/>
  <c r="E39" i="12"/>
  <c r="F39" i="12"/>
  <c r="G39" i="12"/>
  <c r="H39" i="12"/>
  <c r="C25" i="12"/>
  <c r="D25" i="12"/>
  <c r="E25" i="12"/>
  <c r="F25" i="12"/>
  <c r="G25" i="12"/>
  <c r="H25" i="12"/>
  <c r="B25" i="12"/>
  <c r="B7" i="12"/>
  <c r="C7" i="12"/>
  <c r="D7" i="12"/>
  <c r="E7" i="12"/>
  <c r="F7" i="12"/>
  <c r="G7" i="12"/>
  <c r="H7" i="12"/>
  <c r="B8" i="12"/>
  <c r="C8" i="12"/>
  <c r="D8" i="12"/>
  <c r="E8" i="12"/>
  <c r="F8" i="12"/>
  <c r="G8" i="12"/>
  <c r="H8" i="12"/>
  <c r="B9" i="12"/>
  <c r="C9" i="12"/>
  <c r="D9" i="12"/>
  <c r="E9" i="12"/>
  <c r="F9" i="12"/>
  <c r="G9" i="12"/>
  <c r="H9" i="12"/>
  <c r="B10" i="12"/>
  <c r="C10" i="12"/>
  <c r="D10" i="12"/>
  <c r="E10" i="12"/>
  <c r="F10" i="12"/>
  <c r="G10" i="12"/>
  <c r="H10" i="12"/>
  <c r="B11" i="12"/>
  <c r="C11" i="12"/>
  <c r="D11" i="12"/>
  <c r="E11" i="12"/>
  <c r="F11" i="12"/>
  <c r="G11" i="12"/>
  <c r="H11" i="12"/>
  <c r="B12" i="12"/>
  <c r="C12" i="12"/>
  <c r="D12" i="12"/>
  <c r="E12" i="12"/>
  <c r="F12" i="12"/>
  <c r="G12" i="12"/>
  <c r="H12" i="12"/>
  <c r="B13" i="12"/>
  <c r="C13" i="12"/>
  <c r="D13" i="12"/>
  <c r="E13" i="12"/>
  <c r="F13" i="12"/>
  <c r="G13" i="12"/>
  <c r="H13" i="12"/>
  <c r="B14" i="12"/>
  <c r="C14" i="12"/>
  <c r="D14" i="12"/>
  <c r="E14" i="12"/>
  <c r="F14" i="12"/>
  <c r="G14" i="12"/>
  <c r="H14" i="12"/>
  <c r="B15" i="12"/>
  <c r="C15" i="12"/>
  <c r="D15" i="12"/>
  <c r="E15" i="12"/>
  <c r="F15" i="12"/>
  <c r="G15" i="12"/>
  <c r="H15" i="12"/>
  <c r="B16" i="12"/>
  <c r="C16" i="12"/>
  <c r="D16" i="12"/>
  <c r="E16" i="12"/>
  <c r="F16" i="12"/>
  <c r="G16" i="12"/>
  <c r="H16" i="12"/>
  <c r="B17" i="12"/>
  <c r="C17" i="12"/>
  <c r="D17" i="12"/>
  <c r="E17" i="12"/>
  <c r="F17" i="12"/>
  <c r="G17" i="12"/>
  <c r="H17" i="12"/>
  <c r="B18" i="12"/>
  <c r="C18" i="12"/>
  <c r="D18" i="12"/>
  <c r="E18" i="12"/>
  <c r="F18" i="12"/>
  <c r="G18" i="12"/>
  <c r="H18" i="12"/>
  <c r="B19" i="12"/>
  <c r="C19" i="12"/>
  <c r="D19" i="12"/>
  <c r="E19" i="12"/>
  <c r="F19" i="12"/>
  <c r="G19" i="12"/>
  <c r="H19" i="12"/>
  <c r="B20" i="12"/>
  <c r="C20" i="12"/>
  <c r="D20" i="12"/>
  <c r="E20" i="12"/>
  <c r="F20" i="12"/>
  <c r="G20" i="12"/>
  <c r="H20" i="12"/>
  <c r="C6" i="12"/>
  <c r="D6" i="12"/>
  <c r="E6" i="12"/>
  <c r="F6" i="12"/>
  <c r="G6" i="12"/>
  <c r="H6" i="12"/>
  <c r="B6" i="12"/>
  <c r="AU140" i="1"/>
  <c r="AV140" i="1"/>
  <c r="AW140" i="1"/>
  <c r="AX140" i="1"/>
  <c r="AY140" i="1"/>
  <c r="AZ140" i="1"/>
  <c r="BA140" i="1"/>
  <c r="AU141" i="1"/>
  <c r="AV141" i="1"/>
  <c r="AW141" i="1"/>
  <c r="AX141" i="1"/>
  <c r="AY141" i="1"/>
  <c r="AZ141" i="1"/>
  <c r="BA141" i="1"/>
  <c r="AU142" i="1"/>
  <c r="AV142" i="1"/>
  <c r="AW142" i="1"/>
  <c r="AX142" i="1"/>
  <c r="AY142" i="1"/>
  <c r="AZ142" i="1"/>
  <c r="BA142" i="1"/>
  <c r="AU143" i="1"/>
  <c r="AV143" i="1"/>
  <c r="AW143" i="1"/>
  <c r="AX143" i="1"/>
  <c r="AY143" i="1"/>
  <c r="AZ143" i="1"/>
  <c r="BA143" i="1"/>
  <c r="AU144" i="1"/>
  <c r="AV144" i="1"/>
  <c r="AW144" i="1"/>
  <c r="AX144" i="1"/>
  <c r="AY144" i="1"/>
  <c r="AZ144" i="1"/>
  <c r="BA144" i="1"/>
  <c r="AU145" i="1"/>
  <c r="AV145" i="1"/>
  <c r="AW145" i="1"/>
  <c r="AX145" i="1"/>
  <c r="AY145" i="1"/>
  <c r="AZ145" i="1"/>
  <c r="BA145" i="1"/>
  <c r="AU146" i="1"/>
  <c r="AV146" i="1"/>
  <c r="AW146" i="1"/>
  <c r="AX146" i="1"/>
  <c r="AY146" i="1"/>
  <c r="AZ146" i="1"/>
  <c r="BA146" i="1"/>
  <c r="AU147" i="1"/>
  <c r="AV147" i="1"/>
  <c r="AW147" i="1"/>
  <c r="AX147" i="1"/>
  <c r="AY147" i="1"/>
  <c r="AZ147" i="1"/>
  <c r="BA147" i="1"/>
  <c r="AU148" i="1"/>
  <c r="AV148" i="1"/>
  <c r="AW148" i="1"/>
  <c r="AX148" i="1"/>
  <c r="AY148" i="1"/>
  <c r="AZ148" i="1"/>
  <c r="BA148" i="1"/>
  <c r="AU149" i="1"/>
  <c r="AV149" i="1"/>
  <c r="AW149" i="1"/>
  <c r="AX149" i="1"/>
  <c r="AY149" i="1"/>
  <c r="AZ149" i="1"/>
  <c r="BA149" i="1"/>
  <c r="AU150" i="1"/>
  <c r="AV150" i="1"/>
  <c r="AW150" i="1"/>
  <c r="AX150" i="1"/>
  <c r="AY150" i="1"/>
  <c r="AZ150" i="1"/>
  <c r="BA150" i="1"/>
  <c r="AU151" i="1"/>
  <c r="AV151" i="1"/>
  <c r="AW151" i="1"/>
  <c r="AX151" i="1"/>
  <c r="AY151" i="1"/>
  <c r="AZ151" i="1"/>
  <c r="BA151" i="1"/>
  <c r="AU152" i="1"/>
  <c r="AV152" i="1"/>
  <c r="AW152" i="1"/>
  <c r="AX152" i="1"/>
  <c r="AY152" i="1"/>
  <c r="AZ152" i="1"/>
  <c r="BA152" i="1"/>
  <c r="AU153" i="1"/>
  <c r="AV153" i="1"/>
  <c r="AW153" i="1"/>
  <c r="AX153" i="1"/>
  <c r="AY153" i="1"/>
  <c r="AZ153" i="1"/>
  <c r="BA153" i="1"/>
  <c r="AV139" i="1"/>
  <c r="AW139" i="1"/>
  <c r="AX139" i="1"/>
  <c r="AY139" i="1"/>
  <c r="AZ139" i="1"/>
  <c r="BA139" i="1"/>
  <c r="AU139" i="1"/>
  <c r="AU121" i="1"/>
  <c r="AV121" i="1"/>
  <c r="AW121" i="1"/>
  <c r="AX121" i="1"/>
  <c r="AY121" i="1"/>
  <c r="AZ121" i="1"/>
  <c r="BA121" i="1"/>
  <c r="AU122" i="1"/>
  <c r="AV122" i="1"/>
  <c r="AW122" i="1"/>
  <c r="AX122" i="1"/>
  <c r="AY122" i="1"/>
  <c r="AZ122" i="1"/>
  <c r="BA122" i="1"/>
  <c r="AU123" i="1"/>
  <c r="AV123" i="1"/>
  <c r="AW123" i="1"/>
  <c r="AX123" i="1"/>
  <c r="AY123" i="1"/>
  <c r="AZ123" i="1"/>
  <c r="BA123" i="1"/>
  <c r="AU124" i="1"/>
  <c r="AV124" i="1"/>
  <c r="AW124" i="1"/>
  <c r="AX124" i="1"/>
  <c r="AY124" i="1"/>
  <c r="AZ124" i="1"/>
  <c r="BA124" i="1"/>
  <c r="AU125" i="1"/>
  <c r="AV125" i="1"/>
  <c r="AW125" i="1"/>
  <c r="AX125" i="1"/>
  <c r="AY125" i="1"/>
  <c r="AZ125" i="1"/>
  <c r="BA125" i="1"/>
  <c r="AU126" i="1"/>
  <c r="AV126" i="1"/>
  <c r="AW126" i="1"/>
  <c r="AX126" i="1"/>
  <c r="AY126" i="1"/>
  <c r="AZ126" i="1"/>
  <c r="BA126" i="1"/>
  <c r="AU127" i="1"/>
  <c r="AV127" i="1"/>
  <c r="AW127" i="1"/>
  <c r="AX127" i="1"/>
  <c r="AY127" i="1"/>
  <c r="AZ127" i="1"/>
  <c r="BA127" i="1"/>
  <c r="AU128" i="1"/>
  <c r="AV128" i="1"/>
  <c r="AW128" i="1"/>
  <c r="AX128" i="1"/>
  <c r="AY128" i="1"/>
  <c r="AZ128" i="1"/>
  <c r="BA128" i="1"/>
  <c r="AU129" i="1"/>
  <c r="AV129" i="1"/>
  <c r="AW129" i="1"/>
  <c r="AX129" i="1"/>
  <c r="AY129" i="1"/>
  <c r="AZ129" i="1"/>
  <c r="BA129" i="1"/>
  <c r="AU130" i="1"/>
  <c r="AV130" i="1"/>
  <c r="AW130" i="1"/>
  <c r="AX130" i="1"/>
  <c r="AY130" i="1"/>
  <c r="AZ130" i="1"/>
  <c r="BA130" i="1"/>
  <c r="AU131" i="1"/>
  <c r="AV131" i="1"/>
  <c r="AW131" i="1"/>
  <c r="AX131" i="1"/>
  <c r="AY131" i="1"/>
  <c r="AZ131" i="1"/>
  <c r="BA131" i="1"/>
  <c r="AU132" i="1"/>
  <c r="AV132" i="1"/>
  <c r="AW132" i="1"/>
  <c r="AX132" i="1"/>
  <c r="AY132" i="1"/>
  <c r="AZ132" i="1"/>
  <c r="BA132" i="1"/>
  <c r="AU133" i="1"/>
  <c r="AV133" i="1"/>
  <c r="AW133" i="1"/>
  <c r="AX133" i="1"/>
  <c r="AY133" i="1"/>
  <c r="AZ133" i="1"/>
  <c r="BA133" i="1"/>
  <c r="AU134" i="1"/>
  <c r="AV134" i="1"/>
  <c r="AW134" i="1"/>
  <c r="AX134" i="1"/>
  <c r="AY134" i="1"/>
  <c r="AZ134" i="1"/>
  <c r="BA134" i="1"/>
  <c r="AV120" i="1"/>
  <c r="AW120" i="1"/>
  <c r="AX120" i="1"/>
  <c r="AY120" i="1"/>
  <c r="AZ120" i="1"/>
  <c r="BA120" i="1"/>
  <c r="AU120" i="1"/>
  <c r="AU102" i="1"/>
  <c r="AV102" i="1"/>
  <c r="AW102" i="1"/>
  <c r="AX102" i="1"/>
  <c r="AY102" i="1"/>
  <c r="AZ102" i="1"/>
  <c r="BA102" i="1"/>
  <c r="AU103" i="1"/>
  <c r="AV103" i="1"/>
  <c r="AW103" i="1"/>
  <c r="AX103" i="1"/>
  <c r="AY103" i="1"/>
  <c r="AZ103" i="1"/>
  <c r="BA103" i="1"/>
  <c r="AU104" i="1"/>
  <c r="AV104" i="1"/>
  <c r="AW104" i="1"/>
  <c r="AX104" i="1"/>
  <c r="AY104" i="1"/>
  <c r="AZ104" i="1"/>
  <c r="BA104" i="1"/>
  <c r="AU105" i="1"/>
  <c r="AV105" i="1"/>
  <c r="AW105" i="1"/>
  <c r="AX105" i="1"/>
  <c r="AY105" i="1"/>
  <c r="AZ105" i="1"/>
  <c r="BA105" i="1"/>
  <c r="AU106" i="1"/>
  <c r="AV106" i="1"/>
  <c r="AW106" i="1"/>
  <c r="AX106" i="1"/>
  <c r="AY106" i="1"/>
  <c r="AZ106" i="1"/>
  <c r="BA106" i="1"/>
  <c r="AU107" i="1"/>
  <c r="AV107" i="1"/>
  <c r="AW107" i="1"/>
  <c r="AX107" i="1"/>
  <c r="AY107" i="1"/>
  <c r="AZ107" i="1"/>
  <c r="BA107" i="1"/>
  <c r="AU108" i="1"/>
  <c r="AV108" i="1"/>
  <c r="AW108" i="1"/>
  <c r="AX108" i="1"/>
  <c r="AY108" i="1"/>
  <c r="AZ108" i="1"/>
  <c r="BA108" i="1"/>
  <c r="AU109" i="1"/>
  <c r="AV109" i="1"/>
  <c r="AW109" i="1"/>
  <c r="AX109" i="1"/>
  <c r="AY109" i="1"/>
  <c r="AZ109" i="1"/>
  <c r="BA109" i="1"/>
  <c r="AU110" i="1"/>
  <c r="AV110" i="1"/>
  <c r="AW110" i="1"/>
  <c r="AX110" i="1"/>
  <c r="AY110" i="1"/>
  <c r="AZ110" i="1"/>
  <c r="BA110" i="1"/>
  <c r="AU111" i="1"/>
  <c r="AV111" i="1"/>
  <c r="AW111" i="1"/>
  <c r="AX111" i="1"/>
  <c r="AY111" i="1"/>
  <c r="AZ111" i="1"/>
  <c r="BA111" i="1"/>
  <c r="AU112" i="1"/>
  <c r="AV112" i="1"/>
  <c r="AW112" i="1"/>
  <c r="AX112" i="1"/>
  <c r="AY112" i="1"/>
  <c r="AZ112" i="1"/>
  <c r="BA112" i="1"/>
  <c r="AU113" i="1"/>
  <c r="AV113" i="1"/>
  <c r="AW113" i="1"/>
  <c r="AX113" i="1"/>
  <c r="AY113" i="1"/>
  <c r="AZ113" i="1"/>
  <c r="BA113" i="1"/>
  <c r="AU114" i="1"/>
  <c r="AV114" i="1"/>
  <c r="AW114" i="1"/>
  <c r="AX114" i="1"/>
  <c r="AY114" i="1"/>
  <c r="AZ114" i="1"/>
  <c r="BA114" i="1"/>
  <c r="AU115" i="1"/>
  <c r="AV115" i="1"/>
  <c r="AW115" i="1"/>
  <c r="AX115" i="1"/>
  <c r="AY115" i="1"/>
  <c r="AZ115" i="1"/>
  <c r="BA115" i="1"/>
  <c r="AV101" i="1"/>
  <c r="AW101" i="1"/>
  <c r="AX101" i="1"/>
  <c r="AY101" i="1"/>
  <c r="AZ101" i="1"/>
  <c r="BA101" i="1"/>
  <c r="AU101" i="1"/>
  <c r="AU83" i="1"/>
  <c r="AV83" i="1"/>
  <c r="AW83" i="1"/>
  <c r="AX83" i="1"/>
  <c r="AY83" i="1"/>
  <c r="AZ83" i="1"/>
  <c r="BA83" i="1"/>
  <c r="AU84" i="1"/>
  <c r="AV84" i="1"/>
  <c r="AW84" i="1"/>
  <c r="AX84" i="1"/>
  <c r="AY84" i="1"/>
  <c r="AZ84" i="1"/>
  <c r="BA84" i="1"/>
  <c r="AU85" i="1"/>
  <c r="AV85" i="1"/>
  <c r="AW85" i="1"/>
  <c r="AX85" i="1"/>
  <c r="AY85" i="1"/>
  <c r="AZ85" i="1"/>
  <c r="BA85" i="1"/>
  <c r="AU86" i="1"/>
  <c r="AV86" i="1"/>
  <c r="AW86" i="1"/>
  <c r="AX86" i="1"/>
  <c r="AY86" i="1"/>
  <c r="AZ86" i="1"/>
  <c r="BA86" i="1"/>
  <c r="AU87" i="1"/>
  <c r="AV87" i="1"/>
  <c r="AW87" i="1"/>
  <c r="AX87" i="1"/>
  <c r="AY87" i="1"/>
  <c r="AZ87" i="1"/>
  <c r="BA87" i="1"/>
  <c r="AU88" i="1"/>
  <c r="AV88" i="1"/>
  <c r="AW88" i="1"/>
  <c r="AX88" i="1"/>
  <c r="AY88" i="1"/>
  <c r="AZ88" i="1"/>
  <c r="BA88" i="1"/>
  <c r="AU89" i="1"/>
  <c r="AV89" i="1"/>
  <c r="AW89" i="1"/>
  <c r="AX89" i="1"/>
  <c r="AY89" i="1"/>
  <c r="AZ89" i="1"/>
  <c r="BA89" i="1"/>
  <c r="AU90" i="1"/>
  <c r="AV90" i="1"/>
  <c r="AW90" i="1"/>
  <c r="AX90" i="1"/>
  <c r="AY90" i="1"/>
  <c r="AZ90" i="1"/>
  <c r="BA90" i="1"/>
  <c r="AU91" i="1"/>
  <c r="AV91" i="1"/>
  <c r="AW91" i="1"/>
  <c r="AX91" i="1"/>
  <c r="AY91" i="1"/>
  <c r="AZ91" i="1"/>
  <c r="BA91" i="1"/>
  <c r="AU92" i="1"/>
  <c r="AV92" i="1"/>
  <c r="AW92" i="1"/>
  <c r="AX92" i="1"/>
  <c r="AY92" i="1"/>
  <c r="AZ92" i="1"/>
  <c r="BA92" i="1"/>
  <c r="AU93" i="1"/>
  <c r="AV93" i="1"/>
  <c r="AW93" i="1"/>
  <c r="AX93" i="1"/>
  <c r="AY93" i="1"/>
  <c r="AZ93" i="1"/>
  <c r="BA93" i="1"/>
  <c r="AU94" i="1"/>
  <c r="AV94" i="1"/>
  <c r="AW94" i="1"/>
  <c r="AX94" i="1"/>
  <c r="AY94" i="1"/>
  <c r="AZ94" i="1"/>
  <c r="BA94" i="1"/>
  <c r="AU95" i="1"/>
  <c r="AV95" i="1"/>
  <c r="AW95" i="1"/>
  <c r="AX95" i="1"/>
  <c r="AY95" i="1"/>
  <c r="AZ95" i="1"/>
  <c r="BA95" i="1"/>
  <c r="AU96" i="1"/>
  <c r="AV96" i="1"/>
  <c r="AW96" i="1"/>
  <c r="AX96" i="1"/>
  <c r="AY96" i="1"/>
  <c r="AZ96" i="1"/>
  <c r="BA96" i="1"/>
  <c r="AV82" i="1"/>
  <c r="AW82" i="1"/>
  <c r="AX82" i="1"/>
  <c r="AY82" i="1"/>
  <c r="AZ82" i="1"/>
  <c r="BA82" i="1"/>
  <c r="AU82" i="1"/>
  <c r="AU64" i="1"/>
  <c r="AV64" i="1"/>
  <c r="AW64" i="1"/>
  <c r="AX64" i="1"/>
  <c r="AY64" i="1"/>
  <c r="AZ64" i="1"/>
  <c r="BA64" i="1"/>
  <c r="AU65" i="1"/>
  <c r="AV65" i="1"/>
  <c r="AW65" i="1"/>
  <c r="AX65" i="1"/>
  <c r="AY65" i="1"/>
  <c r="AZ65" i="1"/>
  <c r="BA65" i="1"/>
  <c r="AU66" i="1"/>
  <c r="AV66" i="1"/>
  <c r="AW66" i="1"/>
  <c r="AX66" i="1"/>
  <c r="AY66" i="1"/>
  <c r="AZ66" i="1"/>
  <c r="BA66" i="1"/>
  <c r="AU67" i="1"/>
  <c r="AV67" i="1"/>
  <c r="AW67" i="1"/>
  <c r="AX67" i="1"/>
  <c r="AY67" i="1"/>
  <c r="AZ67" i="1"/>
  <c r="BA67" i="1"/>
  <c r="AU68" i="1"/>
  <c r="AV68" i="1"/>
  <c r="AW68" i="1"/>
  <c r="AX68" i="1"/>
  <c r="AY68" i="1"/>
  <c r="AZ68" i="1"/>
  <c r="BA68" i="1"/>
  <c r="AU69" i="1"/>
  <c r="AV69" i="1"/>
  <c r="AW69" i="1"/>
  <c r="AX69" i="1"/>
  <c r="AY69" i="1"/>
  <c r="AZ69" i="1"/>
  <c r="BA69" i="1"/>
  <c r="AU70" i="1"/>
  <c r="AV70" i="1"/>
  <c r="AW70" i="1"/>
  <c r="AX70" i="1"/>
  <c r="AY70" i="1"/>
  <c r="AZ70" i="1"/>
  <c r="BA70" i="1"/>
  <c r="AU71" i="1"/>
  <c r="AV71" i="1"/>
  <c r="AW71" i="1"/>
  <c r="AX71" i="1"/>
  <c r="AY71" i="1"/>
  <c r="AZ71" i="1"/>
  <c r="BA71" i="1"/>
  <c r="AU72" i="1"/>
  <c r="AV72" i="1"/>
  <c r="AW72" i="1"/>
  <c r="AX72" i="1"/>
  <c r="AY72" i="1"/>
  <c r="AZ72" i="1"/>
  <c r="BA72" i="1"/>
  <c r="AU73" i="1"/>
  <c r="AV73" i="1"/>
  <c r="AW73" i="1"/>
  <c r="AX73" i="1"/>
  <c r="AY73" i="1"/>
  <c r="AZ73" i="1"/>
  <c r="BA73" i="1"/>
  <c r="AU74" i="1"/>
  <c r="AV74" i="1"/>
  <c r="AW74" i="1"/>
  <c r="AX74" i="1"/>
  <c r="AY74" i="1"/>
  <c r="AZ74" i="1"/>
  <c r="BA74" i="1"/>
  <c r="AU75" i="1"/>
  <c r="AV75" i="1"/>
  <c r="AW75" i="1"/>
  <c r="AX75" i="1"/>
  <c r="AY75" i="1"/>
  <c r="AZ75" i="1"/>
  <c r="BA75" i="1"/>
  <c r="AU76" i="1"/>
  <c r="AV76" i="1"/>
  <c r="AW76" i="1"/>
  <c r="AX76" i="1"/>
  <c r="AY76" i="1"/>
  <c r="AZ76" i="1"/>
  <c r="BA76" i="1"/>
  <c r="AU77" i="1"/>
  <c r="AV77" i="1"/>
  <c r="AW77" i="1"/>
  <c r="AX77" i="1"/>
  <c r="AY77" i="1"/>
  <c r="AZ77" i="1"/>
  <c r="BA77" i="1"/>
  <c r="AV63" i="1"/>
  <c r="AW63" i="1"/>
  <c r="AX63" i="1"/>
  <c r="AY63" i="1"/>
  <c r="AZ63" i="1"/>
  <c r="BA63" i="1"/>
  <c r="AU63" i="1"/>
  <c r="AU45" i="1"/>
  <c r="AV45" i="1"/>
  <c r="AW45" i="1"/>
  <c r="AX45" i="1"/>
  <c r="AY45" i="1"/>
  <c r="AZ45" i="1"/>
  <c r="BA45" i="1"/>
  <c r="AU46" i="1"/>
  <c r="AV46" i="1"/>
  <c r="AW46" i="1"/>
  <c r="AX46" i="1"/>
  <c r="AY46" i="1"/>
  <c r="AZ46" i="1"/>
  <c r="BA46" i="1"/>
  <c r="AU47" i="1"/>
  <c r="AV47" i="1"/>
  <c r="AW47" i="1"/>
  <c r="AX47" i="1"/>
  <c r="AY47" i="1"/>
  <c r="AZ47" i="1"/>
  <c r="BA47" i="1"/>
  <c r="AU48" i="1"/>
  <c r="AV48" i="1"/>
  <c r="AW48" i="1"/>
  <c r="AX48" i="1"/>
  <c r="AY48" i="1"/>
  <c r="AZ48" i="1"/>
  <c r="BA48" i="1"/>
  <c r="AU49" i="1"/>
  <c r="AV49" i="1"/>
  <c r="AW49" i="1"/>
  <c r="AX49" i="1"/>
  <c r="AY49" i="1"/>
  <c r="AZ49" i="1"/>
  <c r="BA49" i="1"/>
  <c r="AU50" i="1"/>
  <c r="AV50" i="1"/>
  <c r="AW50" i="1"/>
  <c r="AX50" i="1"/>
  <c r="AY50" i="1"/>
  <c r="AZ50" i="1"/>
  <c r="BA50" i="1"/>
  <c r="AU51" i="1"/>
  <c r="AV51" i="1"/>
  <c r="AW51" i="1"/>
  <c r="AX51" i="1"/>
  <c r="AY51" i="1"/>
  <c r="AZ51" i="1"/>
  <c r="BA51" i="1"/>
  <c r="AU52" i="1"/>
  <c r="AV52" i="1"/>
  <c r="AW52" i="1"/>
  <c r="AX52" i="1"/>
  <c r="AY52" i="1"/>
  <c r="AZ52" i="1"/>
  <c r="BA52" i="1"/>
  <c r="AU53" i="1"/>
  <c r="AV53" i="1"/>
  <c r="AW53" i="1"/>
  <c r="AX53" i="1"/>
  <c r="AY53" i="1"/>
  <c r="AZ53" i="1"/>
  <c r="BA53" i="1"/>
  <c r="AU54" i="1"/>
  <c r="AV54" i="1"/>
  <c r="AW54" i="1"/>
  <c r="AX54" i="1"/>
  <c r="AY54" i="1"/>
  <c r="AZ54" i="1"/>
  <c r="BA54" i="1"/>
  <c r="AU55" i="1"/>
  <c r="AV55" i="1"/>
  <c r="AW55" i="1"/>
  <c r="AX55" i="1"/>
  <c r="AY55" i="1"/>
  <c r="AZ55" i="1"/>
  <c r="BA55" i="1"/>
  <c r="AU56" i="1"/>
  <c r="AV56" i="1"/>
  <c r="AW56" i="1"/>
  <c r="AX56" i="1"/>
  <c r="AY56" i="1"/>
  <c r="AZ56" i="1"/>
  <c r="BA56" i="1"/>
  <c r="AU57" i="1"/>
  <c r="AV57" i="1"/>
  <c r="AW57" i="1"/>
  <c r="AX57" i="1"/>
  <c r="AY57" i="1"/>
  <c r="AZ57" i="1"/>
  <c r="BA57" i="1"/>
  <c r="AU58" i="1"/>
  <c r="AV58" i="1"/>
  <c r="AW58" i="1"/>
  <c r="AX58" i="1"/>
  <c r="AY58" i="1"/>
  <c r="AZ58" i="1"/>
  <c r="BA58" i="1"/>
  <c r="AV44" i="1"/>
  <c r="AW44" i="1"/>
  <c r="AX44" i="1"/>
  <c r="AY44" i="1"/>
  <c r="AZ44" i="1"/>
  <c r="BA44" i="1"/>
  <c r="AU44" i="1"/>
  <c r="AU26" i="1"/>
  <c r="AV26" i="1"/>
  <c r="AW26" i="1"/>
  <c r="AX26" i="1"/>
  <c r="AY26" i="1"/>
  <c r="AZ26" i="1"/>
  <c r="BA26" i="1"/>
  <c r="AU27" i="1"/>
  <c r="AV27" i="1"/>
  <c r="AW27" i="1"/>
  <c r="AX27" i="1"/>
  <c r="AY27" i="1"/>
  <c r="AZ27" i="1"/>
  <c r="BA27" i="1"/>
  <c r="AU28" i="1"/>
  <c r="AV28" i="1"/>
  <c r="AW28" i="1"/>
  <c r="AX28" i="1"/>
  <c r="AY28" i="1"/>
  <c r="AZ28" i="1"/>
  <c r="BA28" i="1"/>
  <c r="AU29" i="1"/>
  <c r="AV29" i="1"/>
  <c r="AW29" i="1"/>
  <c r="AX29" i="1"/>
  <c r="AY29" i="1"/>
  <c r="AZ29" i="1"/>
  <c r="BA29" i="1"/>
  <c r="AU30" i="1"/>
  <c r="AV30" i="1"/>
  <c r="AW30" i="1"/>
  <c r="AX30" i="1"/>
  <c r="AY30" i="1"/>
  <c r="AZ30" i="1"/>
  <c r="BA30" i="1"/>
  <c r="AU31" i="1"/>
  <c r="AV31" i="1"/>
  <c r="AW31" i="1"/>
  <c r="AX31" i="1"/>
  <c r="AY31" i="1"/>
  <c r="AZ31" i="1"/>
  <c r="BA31" i="1"/>
  <c r="AU32" i="1"/>
  <c r="AV32" i="1"/>
  <c r="AW32" i="1"/>
  <c r="AX32" i="1"/>
  <c r="AY32" i="1"/>
  <c r="AZ32" i="1"/>
  <c r="BA32" i="1"/>
  <c r="AU33" i="1"/>
  <c r="AV33" i="1"/>
  <c r="AW33" i="1"/>
  <c r="AX33" i="1"/>
  <c r="AY33" i="1"/>
  <c r="AZ33" i="1"/>
  <c r="BA33" i="1"/>
  <c r="AU34" i="1"/>
  <c r="AV34" i="1"/>
  <c r="AW34" i="1"/>
  <c r="AX34" i="1"/>
  <c r="AY34" i="1"/>
  <c r="AZ34" i="1"/>
  <c r="BA34" i="1"/>
  <c r="AU35" i="1"/>
  <c r="AV35" i="1"/>
  <c r="AW35" i="1"/>
  <c r="AX35" i="1"/>
  <c r="AY35" i="1"/>
  <c r="AZ35" i="1"/>
  <c r="BA35" i="1"/>
  <c r="AU36" i="1"/>
  <c r="AV36" i="1"/>
  <c r="AW36" i="1"/>
  <c r="AX36" i="1"/>
  <c r="AY36" i="1"/>
  <c r="AZ36" i="1"/>
  <c r="BA36" i="1"/>
  <c r="AU37" i="1"/>
  <c r="AV37" i="1"/>
  <c r="AW37" i="1"/>
  <c r="AX37" i="1"/>
  <c r="AY37" i="1"/>
  <c r="AZ37" i="1"/>
  <c r="BA37" i="1"/>
  <c r="AU38" i="1"/>
  <c r="AV38" i="1"/>
  <c r="AW38" i="1"/>
  <c r="AX38" i="1"/>
  <c r="AY38" i="1"/>
  <c r="AZ38" i="1"/>
  <c r="BA38" i="1"/>
  <c r="AU39" i="1"/>
  <c r="AV39" i="1"/>
  <c r="AW39" i="1"/>
  <c r="AX39" i="1"/>
  <c r="AY39" i="1"/>
  <c r="AZ39" i="1"/>
  <c r="BA39" i="1"/>
  <c r="AV25" i="1"/>
  <c r="AW25" i="1"/>
  <c r="AX25" i="1"/>
  <c r="AY25" i="1"/>
  <c r="AZ25" i="1"/>
  <c r="BA25" i="1"/>
  <c r="AU25" i="1"/>
  <c r="AU7" i="1"/>
  <c r="AV7" i="1"/>
  <c r="AW7" i="1"/>
  <c r="AX7" i="1"/>
  <c r="AY7" i="1"/>
  <c r="AZ7" i="1"/>
  <c r="BA7" i="1"/>
  <c r="AU8" i="1"/>
  <c r="AV8" i="1"/>
  <c r="AW8" i="1"/>
  <c r="AX8" i="1"/>
  <c r="AY8" i="1"/>
  <c r="AZ8" i="1"/>
  <c r="BA8" i="1"/>
  <c r="AU9" i="1"/>
  <c r="AV9" i="1"/>
  <c r="AW9" i="1"/>
  <c r="AX9" i="1"/>
  <c r="AY9" i="1"/>
  <c r="AZ9" i="1"/>
  <c r="BA9" i="1"/>
  <c r="AU10" i="1"/>
  <c r="AV10" i="1"/>
  <c r="AW10" i="1"/>
  <c r="AX10" i="1"/>
  <c r="AY10" i="1"/>
  <c r="AZ10" i="1"/>
  <c r="BA10" i="1"/>
  <c r="AU11" i="1"/>
  <c r="AV11" i="1"/>
  <c r="AW11" i="1"/>
  <c r="AX11" i="1"/>
  <c r="AY11" i="1"/>
  <c r="AZ11" i="1"/>
  <c r="BA11" i="1"/>
  <c r="AU12" i="1"/>
  <c r="AV12" i="1"/>
  <c r="AW12" i="1"/>
  <c r="AX12" i="1"/>
  <c r="AY12" i="1"/>
  <c r="AZ12" i="1"/>
  <c r="BA12" i="1"/>
  <c r="AU13" i="1"/>
  <c r="AV13" i="1"/>
  <c r="AW13" i="1"/>
  <c r="AX13" i="1"/>
  <c r="AY13" i="1"/>
  <c r="AZ13" i="1"/>
  <c r="BA13" i="1"/>
  <c r="AU14" i="1"/>
  <c r="AV14" i="1"/>
  <c r="AW14" i="1"/>
  <c r="AX14" i="1"/>
  <c r="AY14" i="1"/>
  <c r="AZ14" i="1"/>
  <c r="BA14" i="1"/>
  <c r="AU15" i="1"/>
  <c r="AV15" i="1"/>
  <c r="AW15" i="1"/>
  <c r="AX15" i="1"/>
  <c r="AY15" i="1"/>
  <c r="AZ15" i="1"/>
  <c r="BA15" i="1"/>
  <c r="AU16" i="1"/>
  <c r="AV16" i="1"/>
  <c r="AW16" i="1"/>
  <c r="AX16" i="1"/>
  <c r="AY16" i="1"/>
  <c r="AZ16" i="1"/>
  <c r="BA16" i="1"/>
  <c r="AU17" i="1"/>
  <c r="AV17" i="1"/>
  <c r="AW17" i="1"/>
  <c r="AX17" i="1"/>
  <c r="AY17" i="1"/>
  <c r="AZ17" i="1"/>
  <c r="BA17" i="1"/>
  <c r="AU18" i="1"/>
  <c r="AV18" i="1"/>
  <c r="AW18" i="1"/>
  <c r="AX18" i="1"/>
  <c r="AY18" i="1"/>
  <c r="AZ18" i="1"/>
  <c r="BA18" i="1"/>
  <c r="AU19" i="1"/>
  <c r="AV19" i="1"/>
  <c r="AW19" i="1"/>
  <c r="AX19" i="1"/>
  <c r="AY19" i="1"/>
  <c r="AZ19" i="1"/>
  <c r="BA19" i="1"/>
  <c r="AU20" i="1"/>
  <c r="AV20" i="1"/>
  <c r="AW20" i="1"/>
  <c r="AX20" i="1"/>
  <c r="AY20" i="1"/>
  <c r="AZ20" i="1"/>
  <c r="BA20" i="1"/>
  <c r="AV6" i="1"/>
  <c r="AW6" i="1"/>
  <c r="AX6" i="1"/>
  <c r="AY6" i="1"/>
  <c r="AZ6" i="1"/>
  <c r="BA6" i="1"/>
  <c r="AU6" i="1"/>
  <c r="AL140" i="1"/>
  <c r="AM140" i="1"/>
  <c r="AN140" i="1"/>
  <c r="AO140" i="1"/>
  <c r="AP140" i="1"/>
  <c r="AQ140" i="1"/>
  <c r="AR140" i="1"/>
  <c r="AL141" i="1"/>
  <c r="AM141" i="1"/>
  <c r="AN141" i="1"/>
  <c r="AO141" i="1"/>
  <c r="AP141" i="1"/>
  <c r="AQ141" i="1"/>
  <c r="AR141" i="1"/>
  <c r="AL142" i="1"/>
  <c r="AM142" i="1"/>
  <c r="AN142" i="1"/>
  <c r="AO142" i="1"/>
  <c r="AP142" i="1"/>
  <c r="AQ142" i="1"/>
  <c r="AR142" i="1"/>
  <c r="AL143" i="1"/>
  <c r="AM143" i="1"/>
  <c r="AN143" i="1"/>
  <c r="AO143" i="1"/>
  <c r="AP143" i="1"/>
  <c r="AQ143" i="1"/>
  <c r="AR143" i="1"/>
  <c r="AL144" i="1"/>
  <c r="AM144" i="1"/>
  <c r="AN144" i="1"/>
  <c r="AO144" i="1"/>
  <c r="AP144" i="1"/>
  <c r="AQ144" i="1"/>
  <c r="AR144" i="1"/>
  <c r="AL145" i="1"/>
  <c r="AM145" i="1"/>
  <c r="AN145" i="1"/>
  <c r="AO145" i="1"/>
  <c r="AP145" i="1"/>
  <c r="AQ145" i="1"/>
  <c r="AR145" i="1"/>
  <c r="AL146" i="1"/>
  <c r="AM146" i="1"/>
  <c r="AN146" i="1"/>
  <c r="AO146" i="1"/>
  <c r="AP146" i="1"/>
  <c r="AQ146" i="1"/>
  <c r="AR146" i="1"/>
  <c r="AL147" i="1"/>
  <c r="AM147" i="1"/>
  <c r="AN147" i="1"/>
  <c r="AO147" i="1"/>
  <c r="AP147" i="1"/>
  <c r="AQ147" i="1"/>
  <c r="AR147" i="1"/>
  <c r="AL148" i="1"/>
  <c r="AM148" i="1"/>
  <c r="AN148" i="1"/>
  <c r="AO148" i="1"/>
  <c r="AP148" i="1"/>
  <c r="AQ148" i="1"/>
  <c r="AR148" i="1"/>
  <c r="AL149" i="1"/>
  <c r="AM149" i="1"/>
  <c r="AN149" i="1"/>
  <c r="AO149" i="1"/>
  <c r="AP149" i="1"/>
  <c r="AQ149" i="1"/>
  <c r="AR149" i="1"/>
  <c r="AL150" i="1"/>
  <c r="AM150" i="1"/>
  <c r="AN150" i="1"/>
  <c r="AO150" i="1"/>
  <c r="AP150" i="1"/>
  <c r="AQ150" i="1"/>
  <c r="AR150" i="1"/>
  <c r="AL151" i="1"/>
  <c r="AM151" i="1"/>
  <c r="AN151" i="1"/>
  <c r="AO151" i="1"/>
  <c r="AP151" i="1"/>
  <c r="AQ151" i="1"/>
  <c r="AR151" i="1"/>
  <c r="AL152" i="1"/>
  <c r="AM152" i="1"/>
  <c r="AN152" i="1"/>
  <c r="AO152" i="1"/>
  <c r="AP152" i="1"/>
  <c r="AQ152" i="1"/>
  <c r="AR152" i="1"/>
  <c r="AL153" i="1"/>
  <c r="AM153" i="1"/>
  <c r="AN153" i="1"/>
  <c r="AO153" i="1"/>
  <c r="AP153" i="1"/>
  <c r="AQ153" i="1"/>
  <c r="AR153" i="1"/>
  <c r="AM139" i="1"/>
  <c r="AN139" i="1"/>
  <c r="AO139" i="1"/>
  <c r="AP139" i="1"/>
  <c r="AQ139" i="1"/>
  <c r="AR139" i="1"/>
  <c r="AL139" i="1"/>
  <c r="AL121" i="1"/>
  <c r="AM121" i="1"/>
  <c r="AN121" i="1"/>
  <c r="AO121" i="1"/>
  <c r="AP121" i="1"/>
  <c r="AQ121" i="1"/>
  <c r="AR121" i="1"/>
  <c r="AL122" i="1"/>
  <c r="AM122" i="1"/>
  <c r="AN122" i="1"/>
  <c r="AO122" i="1"/>
  <c r="AP122" i="1"/>
  <c r="AQ122" i="1"/>
  <c r="AR122" i="1"/>
  <c r="AL123" i="1"/>
  <c r="AM123" i="1"/>
  <c r="AN123" i="1"/>
  <c r="AO123" i="1"/>
  <c r="AP123" i="1"/>
  <c r="AQ123" i="1"/>
  <c r="AR123" i="1"/>
  <c r="AL124" i="1"/>
  <c r="AM124" i="1"/>
  <c r="AN124" i="1"/>
  <c r="AO124" i="1"/>
  <c r="AP124" i="1"/>
  <c r="AQ124" i="1"/>
  <c r="AR124" i="1"/>
  <c r="AL125" i="1"/>
  <c r="AM125" i="1"/>
  <c r="AN125" i="1"/>
  <c r="AO125" i="1"/>
  <c r="AP125" i="1"/>
  <c r="AQ125" i="1"/>
  <c r="AR125" i="1"/>
  <c r="AL126" i="1"/>
  <c r="AM126" i="1"/>
  <c r="AN126" i="1"/>
  <c r="AO126" i="1"/>
  <c r="AP126" i="1"/>
  <c r="AQ126" i="1"/>
  <c r="AR126" i="1"/>
  <c r="AL127" i="1"/>
  <c r="AM127" i="1"/>
  <c r="AN127" i="1"/>
  <c r="AO127" i="1"/>
  <c r="AP127" i="1"/>
  <c r="AQ127" i="1"/>
  <c r="AR127" i="1"/>
  <c r="AL128" i="1"/>
  <c r="AM128" i="1"/>
  <c r="AN128" i="1"/>
  <c r="AO128" i="1"/>
  <c r="AP128" i="1"/>
  <c r="AQ128" i="1"/>
  <c r="AR128" i="1"/>
  <c r="AL129" i="1"/>
  <c r="AM129" i="1"/>
  <c r="AN129" i="1"/>
  <c r="AO129" i="1"/>
  <c r="AP129" i="1"/>
  <c r="AQ129" i="1"/>
  <c r="AR129" i="1"/>
  <c r="AL130" i="1"/>
  <c r="AM130" i="1"/>
  <c r="AN130" i="1"/>
  <c r="AO130" i="1"/>
  <c r="AP130" i="1"/>
  <c r="AQ130" i="1"/>
  <c r="AR130" i="1"/>
  <c r="AL131" i="1"/>
  <c r="AM131" i="1"/>
  <c r="AN131" i="1"/>
  <c r="AO131" i="1"/>
  <c r="AP131" i="1"/>
  <c r="AQ131" i="1"/>
  <c r="AR131" i="1"/>
  <c r="AL132" i="1"/>
  <c r="AM132" i="1"/>
  <c r="AN132" i="1"/>
  <c r="AO132" i="1"/>
  <c r="AP132" i="1"/>
  <c r="AQ132" i="1"/>
  <c r="AR132" i="1"/>
  <c r="AL133" i="1"/>
  <c r="AM133" i="1"/>
  <c r="AN133" i="1"/>
  <c r="AO133" i="1"/>
  <c r="AP133" i="1"/>
  <c r="AQ133" i="1"/>
  <c r="AR133" i="1"/>
  <c r="AL134" i="1"/>
  <c r="AM134" i="1"/>
  <c r="AN134" i="1"/>
  <c r="AO134" i="1"/>
  <c r="AP134" i="1"/>
  <c r="AQ134" i="1"/>
  <c r="AR134" i="1"/>
  <c r="AM120" i="1"/>
  <c r="AN120" i="1"/>
  <c r="AO120" i="1"/>
  <c r="AP120" i="1"/>
  <c r="AQ120" i="1"/>
  <c r="AR120" i="1"/>
  <c r="AL120" i="1"/>
  <c r="AL102" i="1"/>
  <c r="AM102" i="1"/>
  <c r="AN102" i="1"/>
  <c r="AO102" i="1"/>
  <c r="AP102" i="1"/>
  <c r="AQ102" i="1"/>
  <c r="AR102" i="1"/>
  <c r="AL103" i="1"/>
  <c r="AM103" i="1"/>
  <c r="AN103" i="1"/>
  <c r="AO103" i="1"/>
  <c r="AP103" i="1"/>
  <c r="AQ103" i="1"/>
  <c r="AR103" i="1"/>
  <c r="AL104" i="1"/>
  <c r="AM104" i="1"/>
  <c r="AN104" i="1"/>
  <c r="AO104" i="1"/>
  <c r="AP104" i="1"/>
  <c r="AQ104" i="1"/>
  <c r="AR104" i="1"/>
  <c r="AL105" i="1"/>
  <c r="AM105" i="1"/>
  <c r="AN105" i="1"/>
  <c r="AO105" i="1"/>
  <c r="AP105" i="1"/>
  <c r="AQ105" i="1"/>
  <c r="AR105" i="1"/>
  <c r="AL106" i="1"/>
  <c r="AM106" i="1"/>
  <c r="AN106" i="1"/>
  <c r="AO106" i="1"/>
  <c r="AP106" i="1"/>
  <c r="AQ106" i="1"/>
  <c r="AR106" i="1"/>
  <c r="AL107" i="1"/>
  <c r="AM107" i="1"/>
  <c r="AN107" i="1"/>
  <c r="AO107" i="1"/>
  <c r="AP107" i="1"/>
  <c r="AQ107" i="1"/>
  <c r="AR107" i="1"/>
  <c r="AL108" i="1"/>
  <c r="AM108" i="1"/>
  <c r="AN108" i="1"/>
  <c r="AO108" i="1"/>
  <c r="AP108" i="1"/>
  <c r="AQ108" i="1"/>
  <c r="AR108" i="1"/>
  <c r="AL109" i="1"/>
  <c r="AM109" i="1"/>
  <c r="AN109" i="1"/>
  <c r="AO109" i="1"/>
  <c r="AP109" i="1"/>
  <c r="AQ109" i="1"/>
  <c r="AR109" i="1"/>
  <c r="AL110" i="1"/>
  <c r="AM110" i="1"/>
  <c r="AN110" i="1"/>
  <c r="AO110" i="1"/>
  <c r="AP110" i="1"/>
  <c r="AQ110" i="1"/>
  <c r="AR110" i="1"/>
  <c r="AL111" i="1"/>
  <c r="AM111" i="1"/>
  <c r="AN111" i="1"/>
  <c r="AO111" i="1"/>
  <c r="AP111" i="1"/>
  <c r="AQ111" i="1"/>
  <c r="AR111" i="1"/>
  <c r="AL112" i="1"/>
  <c r="AM112" i="1"/>
  <c r="AN112" i="1"/>
  <c r="AO112" i="1"/>
  <c r="AP112" i="1"/>
  <c r="AQ112" i="1"/>
  <c r="AR112" i="1"/>
  <c r="AL113" i="1"/>
  <c r="AM113" i="1"/>
  <c r="AN113" i="1"/>
  <c r="AO113" i="1"/>
  <c r="AP113" i="1"/>
  <c r="AQ113" i="1"/>
  <c r="AR113" i="1"/>
  <c r="AL114" i="1"/>
  <c r="AM114" i="1"/>
  <c r="AN114" i="1"/>
  <c r="AO114" i="1"/>
  <c r="AP114" i="1"/>
  <c r="AQ114" i="1"/>
  <c r="AR114" i="1"/>
  <c r="AL115" i="1"/>
  <c r="AM115" i="1"/>
  <c r="AN115" i="1"/>
  <c r="AO115" i="1"/>
  <c r="AP115" i="1"/>
  <c r="AQ115" i="1"/>
  <c r="AR115" i="1"/>
  <c r="AM101" i="1"/>
  <c r="AN101" i="1"/>
  <c r="AO101" i="1"/>
  <c r="AP101" i="1"/>
  <c r="AQ101" i="1"/>
  <c r="AR101" i="1"/>
  <c r="AL101" i="1"/>
  <c r="AL83" i="1"/>
  <c r="AM83" i="1"/>
  <c r="AN83" i="1"/>
  <c r="AO83" i="1"/>
  <c r="AP83" i="1"/>
  <c r="AQ83" i="1"/>
  <c r="AR83" i="1"/>
  <c r="AL84" i="1"/>
  <c r="AM84" i="1"/>
  <c r="AN84" i="1"/>
  <c r="AO84" i="1"/>
  <c r="AP84" i="1"/>
  <c r="AQ84" i="1"/>
  <c r="AR84" i="1"/>
  <c r="AL85" i="1"/>
  <c r="AM85" i="1"/>
  <c r="AN85" i="1"/>
  <c r="AO85" i="1"/>
  <c r="AP85" i="1"/>
  <c r="AQ85" i="1"/>
  <c r="AR85" i="1"/>
  <c r="AL86" i="1"/>
  <c r="AM86" i="1"/>
  <c r="AN86" i="1"/>
  <c r="AO86" i="1"/>
  <c r="AP86" i="1"/>
  <c r="AQ86" i="1"/>
  <c r="AR86" i="1"/>
  <c r="AL87" i="1"/>
  <c r="AM87" i="1"/>
  <c r="AN87" i="1"/>
  <c r="AO87" i="1"/>
  <c r="AP87" i="1"/>
  <c r="AQ87" i="1"/>
  <c r="AR87" i="1"/>
  <c r="AL88" i="1"/>
  <c r="AM88" i="1"/>
  <c r="AN88" i="1"/>
  <c r="AO88" i="1"/>
  <c r="AP88" i="1"/>
  <c r="AQ88" i="1"/>
  <c r="AR88" i="1"/>
  <c r="AL89" i="1"/>
  <c r="AM89" i="1"/>
  <c r="AN89" i="1"/>
  <c r="AO89" i="1"/>
  <c r="AP89" i="1"/>
  <c r="AQ89" i="1"/>
  <c r="AR89" i="1"/>
  <c r="AL90" i="1"/>
  <c r="AM90" i="1"/>
  <c r="AN90" i="1"/>
  <c r="AO90" i="1"/>
  <c r="AP90" i="1"/>
  <c r="AQ90" i="1"/>
  <c r="AR90" i="1"/>
  <c r="AL91" i="1"/>
  <c r="AM91" i="1"/>
  <c r="AN91" i="1"/>
  <c r="AO91" i="1"/>
  <c r="AP91" i="1"/>
  <c r="AQ91" i="1"/>
  <c r="AR91" i="1"/>
  <c r="AL92" i="1"/>
  <c r="AM92" i="1"/>
  <c r="AN92" i="1"/>
  <c r="AO92" i="1"/>
  <c r="AP92" i="1"/>
  <c r="AQ92" i="1"/>
  <c r="AR92" i="1"/>
  <c r="AL93" i="1"/>
  <c r="AM93" i="1"/>
  <c r="AN93" i="1"/>
  <c r="AO93" i="1"/>
  <c r="AP93" i="1"/>
  <c r="AQ93" i="1"/>
  <c r="AR93" i="1"/>
  <c r="AL94" i="1"/>
  <c r="AM94" i="1"/>
  <c r="AN94" i="1"/>
  <c r="AO94" i="1"/>
  <c r="AP94" i="1"/>
  <c r="AQ94" i="1"/>
  <c r="AR94" i="1"/>
  <c r="AL95" i="1"/>
  <c r="AM95" i="1"/>
  <c r="AN95" i="1"/>
  <c r="AO95" i="1"/>
  <c r="AP95" i="1"/>
  <c r="AQ95" i="1"/>
  <c r="AR95" i="1"/>
  <c r="AL96" i="1"/>
  <c r="AM96" i="1"/>
  <c r="AN96" i="1"/>
  <c r="AO96" i="1"/>
  <c r="AP96" i="1"/>
  <c r="AQ96" i="1"/>
  <c r="AR96" i="1"/>
  <c r="AM82" i="1"/>
  <c r="AN82" i="1"/>
  <c r="AO82" i="1"/>
  <c r="AP82" i="1"/>
  <c r="AQ82" i="1"/>
  <c r="AR82" i="1"/>
  <c r="AL82" i="1"/>
  <c r="AL64" i="1"/>
  <c r="AM64" i="1"/>
  <c r="AN64" i="1"/>
  <c r="AO64" i="1"/>
  <c r="AP64" i="1"/>
  <c r="AQ64" i="1"/>
  <c r="AR64" i="1"/>
  <c r="AL65" i="1"/>
  <c r="AM65" i="1"/>
  <c r="AN65" i="1"/>
  <c r="AO65" i="1"/>
  <c r="AP65" i="1"/>
  <c r="AQ65" i="1"/>
  <c r="AR65" i="1"/>
  <c r="AL66" i="1"/>
  <c r="AM66" i="1"/>
  <c r="AN66" i="1"/>
  <c r="AO66" i="1"/>
  <c r="AP66" i="1"/>
  <c r="AQ66" i="1"/>
  <c r="AR66" i="1"/>
  <c r="AL67" i="1"/>
  <c r="AM67" i="1"/>
  <c r="AN67" i="1"/>
  <c r="AO67" i="1"/>
  <c r="AP67" i="1"/>
  <c r="AQ67" i="1"/>
  <c r="AR67" i="1"/>
  <c r="AL68" i="1"/>
  <c r="AM68" i="1"/>
  <c r="AN68" i="1"/>
  <c r="AO68" i="1"/>
  <c r="AP68" i="1"/>
  <c r="AQ68" i="1"/>
  <c r="AR68" i="1"/>
  <c r="AL69" i="1"/>
  <c r="AM69" i="1"/>
  <c r="AN69" i="1"/>
  <c r="AO69" i="1"/>
  <c r="AP69" i="1"/>
  <c r="AQ69" i="1"/>
  <c r="AR69" i="1"/>
  <c r="AL70" i="1"/>
  <c r="AM70" i="1"/>
  <c r="AN70" i="1"/>
  <c r="AO70" i="1"/>
  <c r="AP70" i="1"/>
  <c r="AQ70" i="1"/>
  <c r="AR70" i="1"/>
  <c r="AL71" i="1"/>
  <c r="AM71" i="1"/>
  <c r="AN71" i="1"/>
  <c r="AO71" i="1"/>
  <c r="AP71" i="1"/>
  <c r="AQ71" i="1"/>
  <c r="AR71" i="1"/>
  <c r="AL72" i="1"/>
  <c r="AM72" i="1"/>
  <c r="AN72" i="1"/>
  <c r="AO72" i="1"/>
  <c r="AP72" i="1"/>
  <c r="AQ72" i="1"/>
  <c r="AR72" i="1"/>
  <c r="AL73" i="1"/>
  <c r="AM73" i="1"/>
  <c r="AN73" i="1"/>
  <c r="AO73" i="1"/>
  <c r="AP73" i="1"/>
  <c r="AQ73" i="1"/>
  <c r="AR73" i="1"/>
  <c r="AL74" i="1"/>
  <c r="AM74" i="1"/>
  <c r="AN74" i="1"/>
  <c r="AO74" i="1"/>
  <c r="AP74" i="1"/>
  <c r="AQ74" i="1"/>
  <c r="AR74" i="1"/>
  <c r="AL75" i="1"/>
  <c r="AM75" i="1"/>
  <c r="AN75" i="1"/>
  <c r="AO75" i="1"/>
  <c r="AP75" i="1"/>
  <c r="AQ75" i="1"/>
  <c r="AR75" i="1"/>
  <c r="AL76" i="1"/>
  <c r="AM76" i="1"/>
  <c r="AN76" i="1"/>
  <c r="AO76" i="1"/>
  <c r="AP76" i="1"/>
  <c r="AQ76" i="1"/>
  <c r="AR76" i="1"/>
  <c r="AL77" i="1"/>
  <c r="AM77" i="1"/>
  <c r="AN77" i="1"/>
  <c r="AO77" i="1"/>
  <c r="AP77" i="1"/>
  <c r="AQ77" i="1"/>
  <c r="AR77" i="1"/>
  <c r="AM63" i="1"/>
  <c r="AN63" i="1"/>
  <c r="AO63" i="1"/>
  <c r="AP63" i="1"/>
  <c r="AQ63" i="1"/>
  <c r="AR63" i="1"/>
  <c r="AL63" i="1"/>
  <c r="AL45" i="1"/>
  <c r="AM45" i="1"/>
  <c r="AN45" i="1"/>
  <c r="AO45" i="1"/>
  <c r="AP45" i="1"/>
  <c r="AQ45" i="1"/>
  <c r="AR45" i="1"/>
  <c r="AL46" i="1"/>
  <c r="AM46" i="1"/>
  <c r="AN46" i="1"/>
  <c r="AO46" i="1"/>
  <c r="AP46" i="1"/>
  <c r="AQ46" i="1"/>
  <c r="AR46" i="1"/>
  <c r="AL47" i="1"/>
  <c r="AM47" i="1"/>
  <c r="AN47" i="1"/>
  <c r="AO47" i="1"/>
  <c r="AP47" i="1"/>
  <c r="AQ47" i="1"/>
  <c r="AR47" i="1"/>
  <c r="AL48" i="1"/>
  <c r="AM48" i="1"/>
  <c r="AN48" i="1"/>
  <c r="AO48" i="1"/>
  <c r="AP48" i="1"/>
  <c r="AQ48" i="1"/>
  <c r="AR48" i="1"/>
  <c r="AL49" i="1"/>
  <c r="AM49" i="1"/>
  <c r="AN49" i="1"/>
  <c r="AO49" i="1"/>
  <c r="AP49" i="1"/>
  <c r="AQ49" i="1"/>
  <c r="AR49" i="1"/>
  <c r="AL50" i="1"/>
  <c r="AM50" i="1"/>
  <c r="AN50" i="1"/>
  <c r="AO50" i="1"/>
  <c r="AP50" i="1"/>
  <c r="AQ50" i="1"/>
  <c r="AR50" i="1"/>
  <c r="AL51" i="1"/>
  <c r="AM51" i="1"/>
  <c r="AN51" i="1"/>
  <c r="AO51" i="1"/>
  <c r="AP51" i="1"/>
  <c r="AQ51" i="1"/>
  <c r="AR51" i="1"/>
  <c r="AL52" i="1"/>
  <c r="AM52" i="1"/>
  <c r="AN52" i="1"/>
  <c r="AO52" i="1"/>
  <c r="AP52" i="1"/>
  <c r="AQ52" i="1"/>
  <c r="AR52" i="1"/>
  <c r="AL53" i="1"/>
  <c r="AM53" i="1"/>
  <c r="AN53" i="1"/>
  <c r="AO53" i="1"/>
  <c r="AP53" i="1"/>
  <c r="AQ53" i="1"/>
  <c r="AR53" i="1"/>
  <c r="AL54" i="1"/>
  <c r="AM54" i="1"/>
  <c r="AN54" i="1"/>
  <c r="AO54" i="1"/>
  <c r="AP54" i="1"/>
  <c r="AQ54" i="1"/>
  <c r="AR54" i="1"/>
  <c r="AL55" i="1"/>
  <c r="AM55" i="1"/>
  <c r="AN55" i="1"/>
  <c r="AO55" i="1"/>
  <c r="AP55" i="1"/>
  <c r="AQ55" i="1"/>
  <c r="AR55" i="1"/>
  <c r="AL56" i="1"/>
  <c r="AM56" i="1"/>
  <c r="AN56" i="1"/>
  <c r="AO56" i="1"/>
  <c r="AP56" i="1"/>
  <c r="AQ56" i="1"/>
  <c r="AR56" i="1"/>
  <c r="AL57" i="1"/>
  <c r="AM57" i="1"/>
  <c r="AN57" i="1"/>
  <c r="AO57" i="1"/>
  <c r="AP57" i="1"/>
  <c r="AQ57" i="1"/>
  <c r="AR57" i="1"/>
  <c r="AL58" i="1"/>
  <c r="AM58" i="1"/>
  <c r="AN58" i="1"/>
  <c r="AO58" i="1"/>
  <c r="AP58" i="1"/>
  <c r="AQ58" i="1"/>
  <c r="AR58" i="1"/>
  <c r="AM44" i="1"/>
  <c r="AN44" i="1"/>
  <c r="AO44" i="1"/>
  <c r="AP44" i="1"/>
  <c r="AQ44" i="1"/>
  <c r="AR44" i="1"/>
  <c r="AL44" i="1"/>
  <c r="AL26" i="1"/>
  <c r="AM26" i="1"/>
  <c r="AN26" i="1"/>
  <c r="AO26" i="1"/>
  <c r="AP26" i="1"/>
  <c r="AQ26" i="1"/>
  <c r="AR26" i="1"/>
  <c r="AL27" i="1"/>
  <c r="AM27" i="1"/>
  <c r="AN27" i="1"/>
  <c r="AO27" i="1"/>
  <c r="AP27" i="1"/>
  <c r="AQ27" i="1"/>
  <c r="AR27" i="1"/>
  <c r="AL28" i="1"/>
  <c r="AM28" i="1"/>
  <c r="AN28" i="1"/>
  <c r="AO28" i="1"/>
  <c r="AP28" i="1"/>
  <c r="AQ28" i="1"/>
  <c r="AR28" i="1"/>
  <c r="AL29" i="1"/>
  <c r="AM29" i="1"/>
  <c r="AN29" i="1"/>
  <c r="AO29" i="1"/>
  <c r="AP29" i="1"/>
  <c r="AQ29" i="1"/>
  <c r="AR29" i="1"/>
  <c r="AL30" i="1"/>
  <c r="AM30" i="1"/>
  <c r="AN30" i="1"/>
  <c r="AO30" i="1"/>
  <c r="AP30" i="1"/>
  <c r="AQ30" i="1"/>
  <c r="AR30" i="1"/>
  <c r="AL31" i="1"/>
  <c r="AM31" i="1"/>
  <c r="AN31" i="1"/>
  <c r="AO31" i="1"/>
  <c r="AP31" i="1"/>
  <c r="AQ31" i="1"/>
  <c r="AR31" i="1"/>
  <c r="AL32" i="1"/>
  <c r="AM32" i="1"/>
  <c r="AN32" i="1"/>
  <c r="AO32" i="1"/>
  <c r="AP32" i="1"/>
  <c r="AQ32" i="1"/>
  <c r="AR32" i="1"/>
  <c r="AL33" i="1"/>
  <c r="AM33" i="1"/>
  <c r="AN33" i="1"/>
  <c r="AO33" i="1"/>
  <c r="AP33" i="1"/>
  <c r="AQ33" i="1"/>
  <c r="AR33" i="1"/>
  <c r="AL34" i="1"/>
  <c r="AM34" i="1"/>
  <c r="AN34" i="1"/>
  <c r="AO34" i="1"/>
  <c r="AP34" i="1"/>
  <c r="AQ34" i="1"/>
  <c r="AR34" i="1"/>
  <c r="AL35" i="1"/>
  <c r="AM35" i="1"/>
  <c r="AN35" i="1"/>
  <c r="AO35" i="1"/>
  <c r="AP35" i="1"/>
  <c r="AQ35" i="1"/>
  <c r="AR35" i="1"/>
  <c r="AL36" i="1"/>
  <c r="AM36" i="1"/>
  <c r="AN36" i="1"/>
  <c r="AO36" i="1"/>
  <c r="AP36" i="1"/>
  <c r="AQ36" i="1"/>
  <c r="AR36" i="1"/>
  <c r="AL37" i="1"/>
  <c r="AM37" i="1"/>
  <c r="AN37" i="1"/>
  <c r="AO37" i="1"/>
  <c r="AP37" i="1"/>
  <c r="AQ37" i="1"/>
  <c r="AR37" i="1"/>
  <c r="AL38" i="1"/>
  <c r="AM38" i="1"/>
  <c r="AN38" i="1"/>
  <c r="AO38" i="1"/>
  <c r="AP38" i="1"/>
  <c r="AQ38" i="1"/>
  <c r="AR38" i="1"/>
  <c r="AL39" i="1"/>
  <c r="AM39" i="1"/>
  <c r="AN39" i="1"/>
  <c r="AO39" i="1"/>
  <c r="AP39" i="1"/>
  <c r="AQ39" i="1"/>
  <c r="AR39" i="1"/>
  <c r="AM25" i="1"/>
  <c r="AN25" i="1"/>
  <c r="AO25" i="1"/>
  <c r="AP25" i="1"/>
  <c r="AQ25" i="1"/>
  <c r="AR25" i="1"/>
  <c r="AL25" i="1"/>
  <c r="AL7" i="1"/>
  <c r="AM7" i="1"/>
  <c r="AN7" i="1"/>
  <c r="AO7" i="1"/>
  <c r="AP7" i="1"/>
  <c r="AQ7" i="1"/>
  <c r="AR7" i="1"/>
  <c r="AL8" i="1"/>
  <c r="AM8" i="1"/>
  <c r="AN8" i="1"/>
  <c r="AO8" i="1"/>
  <c r="AP8" i="1"/>
  <c r="AQ8" i="1"/>
  <c r="AR8" i="1"/>
  <c r="AL9" i="1"/>
  <c r="AM9" i="1"/>
  <c r="AN9" i="1"/>
  <c r="AO9" i="1"/>
  <c r="AP9" i="1"/>
  <c r="AQ9" i="1"/>
  <c r="AR9" i="1"/>
  <c r="AL10" i="1"/>
  <c r="AM10" i="1"/>
  <c r="AN10" i="1"/>
  <c r="AO10" i="1"/>
  <c r="AP10" i="1"/>
  <c r="AQ10" i="1"/>
  <c r="AR10" i="1"/>
  <c r="AL11" i="1"/>
  <c r="AM11" i="1"/>
  <c r="AN11" i="1"/>
  <c r="AO11" i="1"/>
  <c r="AP11" i="1"/>
  <c r="AQ11" i="1"/>
  <c r="AR11" i="1"/>
  <c r="AL12" i="1"/>
  <c r="AM12" i="1"/>
  <c r="AN12" i="1"/>
  <c r="AO12" i="1"/>
  <c r="AP12" i="1"/>
  <c r="AQ12" i="1"/>
  <c r="AR12" i="1"/>
  <c r="AL13" i="1"/>
  <c r="AM13" i="1"/>
  <c r="AN13" i="1"/>
  <c r="AO13" i="1"/>
  <c r="AP13" i="1"/>
  <c r="AQ13" i="1"/>
  <c r="AR13" i="1"/>
  <c r="AL14" i="1"/>
  <c r="AM14" i="1"/>
  <c r="AN14" i="1"/>
  <c r="AO14" i="1"/>
  <c r="AP14" i="1"/>
  <c r="AQ14" i="1"/>
  <c r="AR14" i="1"/>
  <c r="AL15" i="1"/>
  <c r="AM15" i="1"/>
  <c r="AN15" i="1"/>
  <c r="AO15" i="1"/>
  <c r="AP15" i="1"/>
  <c r="AQ15" i="1"/>
  <c r="AR15" i="1"/>
  <c r="AL16" i="1"/>
  <c r="AM16" i="1"/>
  <c r="AN16" i="1"/>
  <c r="AO16" i="1"/>
  <c r="AP16" i="1"/>
  <c r="AQ16" i="1"/>
  <c r="AR16" i="1"/>
  <c r="AL17" i="1"/>
  <c r="AM17" i="1"/>
  <c r="AN17" i="1"/>
  <c r="AO17" i="1"/>
  <c r="AP17" i="1"/>
  <c r="AQ17" i="1"/>
  <c r="AR17" i="1"/>
  <c r="AL18" i="1"/>
  <c r="AM18" i="1"/>
  <c r="AN18" i="1"/>
  <c r="AO18" i="1"/>
  <c r="AP18" i="1"/>
  <c r="AQ18" i="1"/>
  <c r="AR18" i="1"/>
  <c r="AL19" i="1"/>
  <c r="AM19" i="1"/>
  <c r="AN19" i="1"/>
  <c r="AO19" i="1"/>
  <c r="AP19" i="1"/>
  <c r="AQ19" i="1"/>
  <c r="AR19" i="1"/>
  <c r="AL20" i="1"/>
  <c r="AM20" i="1"/>
  <c r="AN20" i="1"/>
  <c r="AO20" i="1"/>
  <c r="AP20" i="1"/>
  <c r="AQ20" i="1"/>
  <c r="AR20" i="1"/>
  <c r="AM6" i="1"/>
  <c r="AN6" i="1"/>
  <c r="AO6" i="1"/>
  <c r="AP6" i="1"/>
  <c r="AQ6" i="1"/>
  <c r="AR6" i="1"/>
  <c r="AL6" i="1"/>
  <c r="AC140" i="1"/>
  <c r="AD140" i="1"/>
  <c r="AE140" i="1"/>
  <c r="AF140" i="1"/>
  <c r="AG140" i="1"/>
  <c r="AH140" i="1"/>
  <c r="AI140" i="1"/>
  <c r="AC141" i="1"/>
  <c r="AD141" i="1"/>
  <c r="AE141" i="1"/>
  <c r="AF141" i="1"/>
  <c r="AG141" i="1"/>
  <c r="AH141" i="1"/>
  <c r="AI141" i="1"/>
  <c r="AC142" i="1"/>
  <c r="AD142" i="1"/>
  <c r="AE142" i="1"/>
  <c r="AF142" i="1"/>
  <c r="AG142" i="1"/>
  <c r="AH142" i="1"/>
  <c r="AI142" i="1"/>
  <c r="AC143" i="1"/>
  <c r="AD143" i="1"/>
  <c r="AE143" i="1"/>
  <c r="AF143" i="1"/>
  <c r="AG143" i="1"/>
  <c r="AH143" i="1"/>
  <c r="AI143" i="1"/>
  <c r="AC144" i="1"/>
  <c r="AD144" i="1"/>
  <c r="AE144" i="1"/>
  <c r="AF144" i="1"/>
  <c r="AG144" i="1"/>
  <c r="AH144" i="1"/>
  <c r="AI144" i="1"/>
  <c r="AC145" i="1"/>
  <c r="AD145" i="1"/>
  <c r="AE145" i="1"/>
  <c r="AF145" i="1"/>
  <c r="AG145" i="1"/>
  <c r="AH145" i="1"/>
  <c r="AI145" i="1"/>
  <c r="AC146" i="1"/>
  <c r="AD146" i="1"/>
  <c r="AE146" i="1"/>
  <c r="AF146" i="1"/>
  <c r="AG146" i="1"/>
  <c r="AH146" i="1"/>
  <c r="AI146" i="1"/>
  <c r="AC147" i="1"/>
  <c r="AD147" i="1"/>
  <c r="AE147" i="1"/>
  <c r="AF147" i="1"/>
  <c r="AG147" i="1"/>
  <c r="AH147" i="1"/>
  <c r="AI147" i="1"/>
  <c r="AC148" i="1"/>
  <c r="AD148" i="1"/>
  <c r="AE148" i="1"/>
  <c r="AF148" i="1"/>
  <c r="AG148" i="1"/>
  <c r="AH148" i="1"/>
  <c r="AI148" i="1"/>
  <c r="AC149" i="1"/>
  <c r="AD149" i="1"/>
  <c r="AE149" i="1"/>
  <c r="AF149" i="1"/>
  <c r="AG149" i="1"/>
  <c r="AH149" i="1"/>
  <c r="AI149" i="1"/>
  <c r="AC150" i="1"/>
  <c r="AD150" i="1"/>
  <c r="AE150" i="1"/>
  <c r="AF150" i="1"/>
  <c r="AG150" i="1"/>
  <c r="AH150" i="1"/>
  <c r="AI150" i="1"/>
  <c r="AC151" i="1"/>
  <c r="AD151" i="1"/>
  <c r="AE151" i="1"/>
  <c r="AF151" i="1"/>
  <c r="AG151" i="1"/>
  <c r="AH151" i="1"/>
  <c r="AI151" i="1"/>
  <c r="AC152" i="1"/>
  <c r="AD152" i="1"/>
  <c r="AE152" i="1"/>
  <c r="AF152" i="1"/>
  <c r="AG152" i="1"/>
  <c r="AH152" i="1"/>
  <c r="AI152" i="1"/>
  <c r="AC153" i="1"/>
  <c r="AD153" i="1"/>
  <c r="AE153" i="1"/>
  <c r="AF153" i="1"/>
  <c r="AG153" i="1"/>
  <c r="AH153" i="1"/>
  <c r="AI153" i="1"/>
  <c r="AD139" i="1"/>
  <c r="AE139" i="1"/>
  <c r="AF139" i="1"/>
  <c r="AG139" i="1"/>
  <c r="AH139" i="1"/>
  <c r="AI139" i="1"/>
  <c r="AC139" i="1"/>
  <c r="AC121" i="1"/>
  <c r="AD121" i="1"/>
  <c r="AE121" i="1"/>
  <c r="AF121" i="1"/>
  <c r="AG121" i="1"/>
  <c r="AH121" i="1"/>
  <c r="AI121" i="1"/>
  <c r="AC122" i="1"/>
  <c r="AD122" i="1"/>
  <c r="AE122" i="1"/>
  <c r="AF122" i="1"/>
  <c r="AG122" i="1"/>
  <c r="AH122" i="1"/>
  <c r="AI122" i="1"/>
  <c r="AC123" i="1"/>
  <c r="AD123" i="1"/>
  <c r="AE123" i="1"/>
  <c r="AF123" i="1"/>
  <c r="AG123" i="1"/>
  <c r="AH123" i="1"/>
  <c r="AI123" i="1"/>
  <c r="AC124" i="1"/>
  <c r="AD124" i="1"/>
  <c r="AE124" i="1"/>
  <c r="AF124" i="1"/>
  <c r="AG124" i="1"/>
  <c r="AH124" i="1"/>
  <c r="AI124" i="1"/>
  <c r="AC125" i="1"/>
  <c r="AD125" i="1"/>
  <c r="AE125" i="1"/>
  <c r="AF125" i="1"/>
  <c r="AG125" i="1"/>
  <c r="AH125" i="1"/>
  <c r="AI125" i="1"/>
  <c r="AC126" i="1"/>
  <c r="AD126" i="1"/>
  <c r="AE126" i="1"/>
  <c r="AF126" i="1"/>
  <c r="AG126" i="1"/>
  <c r="AH126" i="1"/>
  <c r="AI126" i="1"/>
  <c r="AC127" i="1"/>
  <c r="AD127" i="1"/>
  <c r="AE127" i="1"/>
  <c r="AF127" i="1"/>
  <c r="AG127" i="1"/>
  <c r="AH127" i="1"/>
  <c r="AI127" i="1"/>
  <c r="AC128" i="1"/>
  <c r="AD128" i="1"/>
  <c r="AE128" i="1"/>
  <c r="AF128" i="1"/>
  <c r="AG128" i="1"/>
  <c r="AH128" i="1"/>
  <c r="AI128" i="1"/>
  <c r="AC129" i="1"/>
  <c r="AD129" i="1"/>
  <c r="AE129" i="1"/>
  <c r="AF129" i="1"/>
  <c r="AG129" i="1"/>
  <c r="AH129" i="1"/>
  <c r="AI129" i="1"/>
  <c r="AC130" i="1"/>
  <c r="AD130" i="1"/>
  <c r="AE130" i="1"/>
  <c r="AF130" i="1"/>
  <c r="AG130" i="1"/>
  <c r="AH130" i="1"/>
  <c r="AI130" i="1"/>
  <c r="AC131" i="1"/>
  <c r="AD131" i="1"/>
  <c r="AE131" i="1"/>
  <c r="AF131" i="1"/>
  <c r="AG131" i="1"/>
  <c r="AH131" i="1"/>
  <c r="AI131" i="1"/>
  <c r="AC132" i="1"/>
  <c r="AD132" i="1"/>
  <c r="AE132" i="1"/>
  <c r="AF132" i="1"/>
  <c r="AG132" i="1"/>
  <c r="AH132" i="1"/>
  <c r="AI132" i="1"/>
  <c r="AC133" i="1"/>
  <c r="AD133" i="1"/>
  <c r="AE133" i="1"/>
  <c r="AF133" i="1"/>
  <c r="AG133" i="1"/>
  <c r="AH133" i="1"/>
  <c r="AI133" i="1"/>
  <c r="AC134" i="1"/>
  <c r="AD134" i="1"/>
  <c r="AE134" i="1"/>
  <c r="AF134" i="1"/>
  <c r="AG134" i="1"/>
  <c r="AH134" i="1"/>
  <c r="AI134" i="1"/>
  <c r="AD120" i="1"/>
  <c r="AE120" i="1"/>
  <c r="AF120" i="1"/>
  <c r="AG120" i="1"/>
  <c r="AH120" i="1"/>
  <c r="AI120" i="1"/>
  <c r="AC120" i="1"/>
  <c r="AC102" i="1"/>
  <c r="AD102" i="1"/>
  <c r="AE102" i="1"/>
  <c r="AF102" i="1"/>
  <c r="AG102" i="1"/>
  <c r="AH102" i="1"/>
  <c r="AI102" i="1"/>
  <c r="AC103" i="1"/>
  <c r="AD103" i="1"/>
  <c r="AE103" i="1"/>
  <c r="AF103" i="1"/>
  <c r="AG103" i="1"/>
  <c r="AH103" i="1"/>
  <c r="AI103" i="1"/>
  <c r="AC104" i="1"/>
  <c r="AD104" i="1"/>
  <c r="AE104" i="1"/>
  <c r="AF104" i="1"/>
  <c r="AG104" i="1"/>
  <c r="AH104" i="1"/>
  <c r="AI104" i="1"/>
  <c r="AC105" i="1"/>
  <c r="AD105" i="1"/>
  <c r="AE105" i="1"/>
  <c r="AF105" i="1"/>
  <c r="AG105" i="1"/>
  <c r="AH105" i="1"/>
  <c r="AI105" i="1"/>
  <c r="AC106" i="1"/>
  <c r="AD106" i="1"/>
  <c r="AE106" i="1"/>
  <c r="AF106" i="1"/>
  <c r="AG106" i="1"/>
  <c r="AH106" i="1"/>
  <c r="AI106" i="1"/>
  <c r="AC107" i="1"/>
  <c r="AD107" i="1"/>
  <c r="AE107" i="1"/>
  <c r="AF107" i="1"/>
  <c r="AG107" i="1"/>
  <c r="AH107" i="1"/>
  <c r="AI107" i="1"/>
  <c r="AC108" i="1"/>
  <c r="AD108" i="1"/>
  <c r="AE108" i="1"/>
  <c r="AF108" i="1"/>
  <c r="AG108" i="1"/>
  <c r="AH108" i="1"/>
  <c r="AI108" i="1"/>
  <c r="AC109" i="1"/>
  <c r="AD109" i="1"/>
  <c r="AE109" i="1"/>
  <c r="AF109" i="1"/>
  <c r="AG109" i="1"/>
  <c r="AH109" i="1"/>
  <c r="AI109" i="1"/>
  <c r="AC110" i="1"/>
  <c r="AD110" i="1"/>
  <c r="AE110" i="1"/>
  <c r="AF110" i="1"/>
  <c r="AG110" i="1"/>
  <c r="AH110" i="1"/>
  <c r="AI110" i="1"/>
  <c r="AC111" i="1"/>
  <c r="AD111" i="1"/>
  <c r="AE111" i="1"/>
  <c r="AF111" i="1"/>
  <c r="AG111" i="1"/>
  <c r="AH111" i="1"/>
  <c r="AI111" i="1"/>
  <c r="AC112" i="1"/>
  <c r="AD112" i="1"/>
  <c r="AE112" i="1"/>
  <c r="AF112" i="1"/>
  <c r="AG112" i="1"/>
  <c r="AH112" i="1"/>
  <c r="AI112" i="1"/>
  <c r="AC113" i="1"/>
  <c r="AD113" i="1"/>
  <c r="AE113" i="1"/>
  <c r="AF113" i="1"/>
  <c r="AG113" i="1"/>
  <c r="AH113" i="1"/>
  <c r="AI113" i="1"/>
  <c r="AC114" i="1"/>
  <c r="AD114" i="1"/>
  <c r="AE114" i="1"/>
  <c r="AF114" i="1"/>
  <c r="AG114" i="1"/>
  <c r="AH114" i="1"/>
  <c r="AI114" i="1"/>
  <c r="AC115" i="1"/>
  <c r="AD115" i="1"/>
  <c r="AE115" i="1"/>
  <c r="AF115" i="1"/>
  <c r="AG115" i="1"/>
  <c r="AH115" i="1"/>
  <c r="AI115" i="1"/>
  <c r="AD101" i="1"/>
  <c r="AE101" i="1"/>
  <c r="AF101" i="1"/>
  <c r="AG101" i="1"/>
  <c r="AH101" i="1"/>
  <c r="AI101" i="1"/>
  <c r="AC101" i="1"/>
  <c r="AC83" i="1"/>
  <c r="AD83" i="1"/>
  <c r="AE83" i="1"/>
  <c r="AF83" i="1"/>
  <c r="AG83" i="1"/>
  <c r="AH83" i="1"/>
  <c r="AI83" i="1"/>
  <c r="AC84" i="1"/>
  <c r="AD84" i="1"/>
  <c r="AE84" i="1"/>
  <c r="AF84" i="1"/>
  <c r="AG84" i="1"/>
  <c r="AH84" i="1"/>
  <c r="AI84" i="1"/>
  <c r="AC85" i="1"/>
  <c r="AD85" i="1"/>
  <c r="AE85" i="1"/>
  <c r="AF85" i="1"/>
  <c r="AG85" i="1"/>
  <c r="AH85" i="1"/>
  <c r="AI85" i="1"/>
  <c r="AC86" i="1"/>
  <c r="AD86" i="1"/>
  <c r="AE86" i="1"/>
  <c r="AF86" i="1"/>
  <c r="AG86" i="1"/>
  <c r="AH86" i="1"/>
  <c r="AI86" i="1"/>
  <c r="AC87" i="1"/>
  <c r="AD87" i="1"/>
  <c r="AE87" i="1"/>
  <c r="AF87" i="1"/>
  <c r="AG87" i="1"/>
  <c r="AH87" i="1"/>
  <c r="AI87" i="1"/>
  <c r="AC88" i="1"/>
  <c r="AD88" i="1"/>
  <c r="AE88" i="1"/>
  <c r="AF88" i="1"/>
  <c r="AG88" i="1"/>
  <c r="AH88" i="1"/>
  <c r="AI88" i="1"/>
  <c r="AC89" i="1"/>
  <c r="AD89" i="1"/>
  <c r="AE89" i="1"/>
  <c r="AF89" i="1"/>
  <c r="AG89" i="1"/>
  <c r="AH89" i="1"/>
  <c r="AI89" i="1"/>
  <c r="AC90" i="1"/>
  <c r="AD90" i="1"/>
  <c r="AE90" i="1"/>
  <c r="AF90" i="1"/>
  <c r="AG90" i="1"/>
  <c r="AH90" i="1"/>
  <c r="AI90" i="1"/>
  <c r="AC91" i="1"/>
  <c r="AD91" i="1"/>
  <c r="AE91" i="1"/>
  <c r="AF91" i="1"/>
  <c r="AG91" i="1"/>
  <c r="AH91" i="1"/>
  <c r="AI91" i="1"/>
  <c r="AC92" i="1"/>
  <c r="AD92" i="1"/>
  <c r="AE92" i="1"/>
  <c r="AF92" i="1"/>
  <c r="AG92" i="1"/>
  <c r="AH92" i="1"/>
  <c r="AI92" i="1"/>
  <c r="AC93" i="1"/>
  <c r="AD93" i="1"/>
  <c r="AE93" i="1"/>
  <c r="AF93" i="1"/>
  <c r="AG93" i="1"/>
  <c r="AH93" i="1"/>
  <c r="AI93" i="1"/>
  <c r="AC94" i="1"/>
  <c r="AD94" i="1"/>
  <c r="AE94" i="1"/>
  <c r="AF94" i="1"/>
  <c r="AG94" i="1"/>
  <c r="AH94" i="1"/>
  <c r="AI94" i="1"/>
  <c r="AC95" i="1"/>
  <c r="AD95" i="1"/>
  <c r="AE95" i="1"/>
  <c r="AF95" i="1"/>
  <c r="AG95" i="1"/>
  <c r="AH95" i="1"/>
  <c r="AI95" i="1"/>
  <c r="AC96" i="1"/>
  <c r="AD96" i="1"/>
  <c r="AE96" i="1"/>
  <c r="AF96" i="1"/>
  <c r="AG96" i="1"/>
  <c r="AH96" i="1"/>
  <c r="AI96" i="1"/>
  <c r="AD82" i="1"/>
  <c r="AE82" i="1"/>
  <c r="AF82" i="1"/>
  <c r="AG82" i="1"/>
  <c r="AH82" i="1"/>
  <c r="AI82" i="1"/>
  <c r="AC82" i="1"/>
  <c r="AC64" i="1"/>
  <c r="AD64" i="1"/>
  <c r="AE64" i="1"/>
  <c r="AF64" i="1"/>
  <c r="AG64" i="1"/>
  <c r="AH64" i="1"/>
  <c r="AI64" i="1"/>
  <c r="AC65" i="1"/>
  <c r="AD65" i="1"/>
  <c r="AE65" i="1"/>
  <c r="AF65" i="1"/>
  <c r="AG65" i="1"/>
  <c r="AH65" i="1"/>
  <c r="AI65" i="1"/>
  <c r="AC66" i="1"/>
  <c r="AD66" i="1"/>
  <c r="AE66" i="1"/>
  <c r="AF66" i="1"/>
  <c r="AG66" i="1"/>
  <c r="AH66" i="1"/>
  <c r="AI66" i="1"/>
  <c r="AC67" i="1"/>
  <c r="AD67" i="1"/>
  <c r="AE67" i="1"/>
  <c r="AF67" i="1"/>
  <c r="AG67" i="1"/>
  <c r="AH67" i="1"/>
  <c r="AI67" i="1"/>
  <c r="AC68" i="1"/>
  <c r="AD68" i="1"/>
  <c r="AE68" i="1"/>
  <c r="AF68" i="1"/>
  <c r="AG68" i="1"/>
  <c r="AH68" i="1"/>
  <c r="AI68" i="1"/>
  <c r="AC69" i="1"/>
  <c r="AD69" i="1"/>
  <c r="AE69" i="1"/>
  <c r="AF69" i="1"/>
  <c r="AG69" i="1"/>
  <c r="AH69" i="1"/>
  <c r="AI69" i="1"/>
  <c r="AC70" i="1"/>
  <c r="AD70" i="1"/>
  <c r="AE70" i="1"/>
  <c r="AF70" i="1"/>
  <c r="AG70" i="1"/>
  <c r="AH70" i="1"/>
  <c r="AI70" i="1"/>
  <c r="AC71" i="1"/>
  <c r="AD71" i="1"/>
  <c r="AE71" i="1"/>
  <c r="AF71" i="1"/>
  <c r="AG71" i="1"/>
  <c r="AH71" i="1"/>
  <c r="AI71" i="1"/>
  <c r="AC72" i="1"/>
  <c r="AD72" i="1"/>
  <c r="AE72" i="1"/>
  <c r="AF72" i="1"/>
  <c r="AG72" i="1"/>
  <c r="AH72" i="1"/>
  <c r="AI72" i="1"/>
  <c r="AC73" i="1"/>
  <c r="AD73" i="1"/>
  <c r="AE73" i="1"/>
  <c r="AF73" i="1"/>
  <c r="AG73" i="1"/>
  <c r="AH73" i="1"/>
  <c r="AI73" i="1"/>
  <c r="AC74" i="1"/>
  <c r="AD74" i="1"/>
  <c r="AE74" i="1"/>
  <c r="AF74" i="1"/>
  <c r="AG74" i="1"/>
  <c r="AH74" i="1"/>
  <c r="AI74" i="1"/>
  <c r="AC75" i="1"/>
  <c r="AD75" i="1"/>
  <c r="AE75" i="1"/>
  <c r="AF75" i="1"/>
  <c r="AG75" i="1"/>
  <c r="AH75" i="1"/>
  <c r="AI75" i="1"/>
  <c r="AC76" i="1"/>
  <c r="AD76" i="1"/>
  <c r="AE76" i="1"/>
  <c r="AF76" i="1"/>
  <c r="AG76" i="1"/>
  <c r="AH76" i="1"/>
  <c r="AI76" i="1"/>
  <c r="AC77" i="1"/>
  <c r="AD77" i="1"/>
  <c r="AE77" i="1"/>
  <c r="AF77" i="1"/>
  <c r="AG77" i="1"/>
  <c r="AH77" i="1"/>
  <c r="AI77" i="1"/>
  <c r="AD63" i="1"/>
  <c r="AE63" i="1"/>
  <c r="AF63" i="1"/>
  <c r="AG63" i="1"/>
  <c r="AH63" i="1"/>
  <c r="AI63" i="1"/>
  <c r="AC63" i="1"/>
  <c r="AC45" i="1"/>
  <c r="AD45" i="1"/>
  <c r="AE45" i="1"/>
  <c r="AF45" i="1"/>
  <c r="AG45" i="1"/>
  <c r="AH45" i="1"/>
  <c r="AI45" i="1"/>
  <c r="AC46" i="1"/>
  <c r="AD46" i="1"/>
  <c r="AE46" i="1"/>
  <c r="AF46" i="1"/>
  <c r="AG46" i="1"/>
  <c r="AH46" i="1"/>
  <c r="AI46" i="1"/>
  <c r="AC47" i="1"/>
  <c r="AD47" i="1"/>
  <c r="AE47" i="1"/>
  <c r="AF47" i="1"/>
  <c r="AG47" i="1"/>
  <c r="AH47" i="1"/>
  <c r="AI47" i="1"/>
  <c r="AC48" i="1"/>
  <c r="AD48" i="1"/>
  <c r="AE48" i="1"/>
  <c r="AF48" i="1"/>
  <c r="AG48" i="1"/>
  <c r="AH48" i="1"/>
  <c r="AI48" i="1"/>
  <c r="AC49" i="1"/>
  <c r="AD49" i="1"/>
  <c r="AE49" i="1"/>
  <c r="AF49" i="1"/>
  <c r="AG49" i="1"/>
  <c r="AH49" i="1"/>
  <c r="AI49" i="1"/>
  <c r="AC50" i="1"/>
  <c r="AD50" i="1"/>
  <c r="AE50" i="1"/>
  <c r="AF50" i="1"/>
  <c r="AG50" i="1"/>
  <c r="AH50" i="1"/>
  <c r="AI50" i="1"/>
  <c r="AC51" i="1"/>
  <c r="AD51" i="1"/>
  <c r="AE51" i="1"/>
  <c r="AF51" i="1"/>
  <c r="AG51" i="1"/>
  <c r="AH51" i="1"/>
  <c r="AI51" i="1"/>
  <c r="AC52" i="1"/>
  <c r="AD52" i="1"/>
  <c r="AE52" i="1"/>
  <c r="AF52" i="1"/>
  <c r="AG52" i="1"/>
  <c r="AH52" i="1"/>
  <c r="AI52" i="1"/>
  <c r="AC53" i="1"/>
  <c r="AD53" i="1"/>
  <c r="AE53" i="1"/>
  <c r="AF53" i="1"/>
  <c r="AG53" i="1"/>
  <c r="AH53" i="1"/>
  <c r="AI53" i="1"/>
  <c r="AC54" i="1"/>
  <c r="AD54" i="1"/>
  <c r="AE54" i="1"/>
  <c r="AF54" i="1"/>
  <c r="AG54" i="1"/>
  <c r="AH54" i="1"/>
  <c r="AI54" i="1"/>
  <c r="AC55" i="1"/>
  <c r="AD55" i="1"/>
  <c r="AE55" i="1"/>
  <c r="AF55" i="1"/>
  <c r="AG55" i="1"/>
  <c r="AH55" i="1"/>
  <c r="AI55" i="1"/>
  <c r="AC56" i="1"/>
  <c r="AD56" i="1"/>
  <c r="AE56" i="1"/>
  <c r="AF56" i="1"/>
  <c r="AG56" i="1"/>
  <c r="AH56" i="1"/>
  <c r="AI56" i="1"/>
  <c r="AC57" i="1"/>
  <c r="AD57" i="1"/>
  <c r="AE57" i="1"/>
  <c r="AF57" i="1"/>
  <c r="AG57" i="1"/>
  <c r="AH57" i="1"/>
  <c r="AI57" i="1"/>
  <c r="AC58" i="1"/>
  <c r="AD58" i="1"/>
  <c r="AE58" i="1"/>
  <c r="AF58" i="1"/>
  <c r="AG58" i="1"/>
  <c r="AH58" i="1"/>
  <c r="AI58" i="1"/>
  <c r="AD44" i="1"/>
  <c r="AE44" i="1"/>
  <c r="AF44" i="1"/>
  <c r="AG44" i="1"/>
  <c r="AH44" i="1"/>
  <c r="AI44" i="1"/>
  <c r="AC44" i="1"/>
  <c r="AC26" i="1"/>
  <c r="AD26" i="1"/>
  <c r="AE26" i="1"/>
  <c r="AF26" i="1"/>
  <c r="AG26" i="1"/>
  <c r="AH26" i="1"/>
  <c r="AI26" i="1"/>
  <c r="AC27" i="1"/>
  <c r="AD27" i="1"/>
  <c r="AE27" i="1"/>
  <c r="AF27" i="1"/>
  <c r="AG27" i="1"/>
  <c r="AH27" i="1"/>
  <c r="AI27" i="1"/>
  <c r="AC28" i="1"/>
  <c r="AD28" i="1"/>
  <c r="AE28" i="1"/>
  <c r="AF28" i="1"/>
  <c r="AG28" i="1"/>
  <c r="AH28" i="1"/>
  <c r="AI28" i="1"/>
  <c r="AC29" i="1"/>
  <c r="AD29" i="1"/>
  <c r="AE29" i="1"/>
  <c r="AF29" i="1"/>
  <c r="AG29" i="1"/>
  <c r="AH29" i="1"/>
  <c r="AI29" i="1"/>
  <c r="AC30" i="1"/>
  <c r="AD30" i="1"/>
  <c r="AE30" i="1"/>
  <c r="AF30" i="1"/>
  <c r="AG30" i="1"/>
  <c r="AH30" i="1"/>
  <c r="AI30" i="1"/>
  <c r="AC31" i="1"/>
  <c r="AD31" i="1"/>
  <c r="AE31" i="1"/>
  <c r="AF31" i="1"/>
  <c r="AG31" i="1"/>
  <c r="AH31" i="1"/>
  <c r="AI31" i="1"/>
  <c r="AC32" i="1"/>
  <c r="AD32" i="1"/>
  <c r="AE32" i="1"/>
  <c r="AF32" i="1"/>
  <c r="AG32" i="1"/>
  <c r="AH32" i="1"/>
  <c r="AI32" i="1"/>
  <c r="AC33" i="1"/>
  <c r="AD33" i="1"/>
  <c r="AE33" i="1"/>
  <c r="AF33" i="1"/>
  <c r="AG33" i="1"/>
  <c r="AH33" i="1"/>
  <c r="AI33" i="1"/>
  <c r="AC34" i="1"/>
  <c r="AD34" i="1"/>
  <c r="AE34" i="1"/>
  <c r="AF34" i="1"/>
  <c r="AG34" i="1"/>
  <c r="AH34" i="1"/>
  <c r="AI34" i="1"/>
  <c r="AC35" i="1"/>
  <c r="AD35" i="1"/>
  <c r="AE35" i="1"/>
  <c r="AF35" i="1"/>
  <c r="AG35" i="1"/>
  <c r="AH35" i="1"/>
  <c r="AI35" i="1"/>
  <c r="AC36" i="1"/>
  <c r="AD36" i="1"/>
  <c r="AE36" i="1"/>
  <c r="AF36" i="1"/>
  <c r="AG36" i="1"/>
  <c r="AH36" i="1"/>
  <c r="AI36" i="1"/>
  <c r="AC37" i="1"/>
  <c r="AD37" i="1"/>
  <c r="AE37" i="1"/>
  <c r="AF37" i="1"/>
  <c r="AG37" i="1"/>
  <c r="AH37" i="1"/>
  <c r="AI37" i="1"/>
  <c r="AC38" i="1"/>
  <c r="AD38" i="1"/>
  <c r="AE38" i="1"/>
  <c r="AF38" i="1"/>
  <c r="AG38" i="1"/>
  <c r="AH38" i="1"/>
  <c r="AI38" i="1"/>
  <c r="AC39" i="1"/>
  <c r="AD39" i="1"/>
  <c r="AE39" i="1"/>
  <c r="AF39" i="1"/>
  <c r="AG39" i="1"/>
  <c r="AH39" i="1"/>
  <c r="AI39" i="1"/>
  <c r="AD25" i="1"/>
  <c r="AE25" i="1"/>
  <c r="AF25" i="1"/>
  <c r="AG25" i="1"/>
  <c r="AH25" i="1"/>
  <c r="AI25" i="1"/>
  <c r="AC25" i="1"/>
  <c r="AC7" i="1"/>
  <c r="AD7" i="1"/>
  <c r="AE7" i="1"/>
  <c r="AF7" i="1"/>
  <c r="AG7" i="1"/>
  <c r="AH7" i="1"/>
  <c r="AI7" i="1"/>
  <c r="AC8" i="1"/>
  <c r="AD8" i="1"/>
  <c r="AE8" i="1"/>
  <c r="AF8" i="1"/>
  <c r="AG8" i="1"/>
  <c r="AH8" i="1"/>
  <c r="AI8" i="1"/>
  <c r="AC9" i="1"/>
  <c r="AD9" i="1"/>
  <c r="AE9" i="1"/>
  <c r="AF9" i="1"/>
  <c r="AG9" i="1"/>
  <c r="AH9" i="1"/>
  <c r="AI9" i="1"/>
  <c r="AC10" i="1"/>
  <c r="AD10" i="1"/>
  <c r="AE10" i="1"/>
  <c r="AF10" i="1"/>
  <c r="AG10" i="1"/>
  <c r="AH10" i="1"/>
  <c r="AI10" i="1"/>
  <c r="AC11" i="1"/>
  <c r="AD11" i="1"/>
  <c r="AE11" i="1"/>
  <c r="AF11" i="1"/>
  <c r="AG11" i="1"/>
  <c r="AH11" i="1"/>
  <c r="AI11" i="1"/>
  <c r="AC12" i="1"/>
  <c r="AD12" i="1"/>
  <c r="AE12" i="1"/>
  <c r="AF12" i="1"/>
  <c r="AG12" i="1"/>
  <c r="AH12" i="1"/>
  <c r="AI12" i="1"/>
  <c r="AC13" i="1"/>
  <c r="AD13" i="1"/>
  <c r="AE13" i="1"/>
  <c r="AF13" i="1"/>
  <c r="AG13" i="1"/>
  <c r="AH13" i="1"/>
  <c r="AI13" i="1"/>
  <c r="AC14" i="1"/>
  <c r="AD14" i="1"/>
  <c r="AE14" i="1"/>
  <c r="AF14" i="1"/>
  <c r="AG14" i="1"/>
  <c r="AH14" i="1"/>
  <c r="AI14" i="1"/>
  <c r="AC15" i="1"/>
  <c r="AD15" i="1"/>
  <c r="AE15" i="1"/>
  <c r="AF15" i="1"/>
  <c r="AG15" i="1"/>
  <c r="AH15" i="1"/>
  <c r="AI15" i="1"/>
  <c r="AC16" i="1"/>
  <c r="AD16" i="1"/>
  <c r="AE16" i="1"/>
  <c r="AF16" i="1"/>
  <c r="AG16" i="1"/>
  <c r="AH16" i="1"/>
  <c r="AI16" i="1"/>
  <c r="AC17" i="1"/>
  <c r="AD17" i="1"/>
  <c r="AE17" i="1"/>
  <c r="AF17" i="1"/>
  <c r="AG17" i="1"/>
  <c r="AH17" i="1"/>
  <c r="AI17" i="1"/>
  <c r="AC18" i="1"/>
  <c r="AD18" i="1"/>
  <c r="AE18" i="1"/>
  <c r="AF18" i="1"/>
  <c r="AG18" i="1"/>
  <c r="AH18" i="1"/>
  <c r="AI18" i="1"/>
  <c r="AC19" i="1"/>
  <c r="AD19" i="1"/>
  <c r="AE19" i="1"/>
  <c r="AF19" i="1"/>
  <c r="AG19" i="1"/>
  <c r="AH19" i="1"/>
  <c r="AI19" i="1"/>
  <c r="AC20" i="1"/>
  <c r="AD20" i="1"/>
  <c r="AE20" i="1"/>
  <c r="AF20" i="1"/>
  <c r="AG20" i="1"/>
  <c r="AH20" i="1"/>
  <c r="AI20" i="1"/>
  <c r="AD6" i="1"/>
  <c r="AE6" i="1"/>
  <c r="AF6" i="1"/>
  <c r="AG6" i="1"/>
  <c r="AH6" i="1"/>
  <c r="AI6" i="1"/>
  <c r="AC6" i="1"/>
  <c r="T140" i="1"/>
  <c r="U140" i="1"/>
  <c r="V140" i="1"/>
  <c r="W140" i="1"/>
  <c r="X140" i="1"/>
  <c r="Y140" i="1"/>
  <c r="Z140" i="1"/>
  <c r="T141" i="1"/>
  <c r="U141" i="1"/>
  <c r="V141" i="1"/>
  <c r="W141" i="1"/>
  <c r="X141" i="1"/>
  <c r="Y141" i="1"/>
  <c r="Z141" i="1"/>
  <c r="T142" i="1"/>
  <c r="U142" i="1"/>
  <c r="V142" i="1"/>
  <c r="W142" i="1"/>
  <c r="X142" i="1"/>
  <c r="Y142" i="1"/>
  <c r="Z142" i="1"/>
  <c r="T143" i="1"/>
  <c r="U143" i="1"/>
  <c r="V143" i="1"/>
  <c r="W143" i="1"/>
  <c r="X143" i="1"/>
  <c r="Y143" i="1"/>
  <c r="Z143" i="1"/>
  <c r="T144" i="1"/>
  <c r="U144" i="1"/>
  <c r="V144" i="1"/>
  <c r="W144" i="1"/>
  <c r="X144" i="1"/>
  <c r="Y144" i="1"/>
  <c r="Z144" i="1"/>
  <c r="T145" i="1"/>
  <c r="U145" i="1"/>
  <c r="V145" i="1"/>
  <c r="W145" i="1"/>
  <c r="X145" i="1"/>
  <c r="Y145" i="1"/>
  <c r="Z145" i="1"/>
  <c r="T146" i="1"/>
  <c r="U146" i="1"/>
  <c r="V146" i="1"/>
  <c r="W146" i="1"/>
  <c r="X146" i="1"/>
  <c r="Y146" i="1"/>
  <c r="Z146" i="1"/>
  <c r="T147" i="1"/>
  <c r="U147" i="1"/>
  <c r="V147" i="1"/>
  <c r="W147" i="1"/>
  <c r="X147" i="1"/>
  <c r="Y147" i="1"/>
  <c r="Z147" i="1"/>
  <c r="T148" i="1"/>
  <c r="U148" i="1"/>
  <c r="V148" i="1"/>
  <c r="W148" i="1"/>
  <c r="X148" i="1"/>
  <c r="Y148" i="1"/>
  <c r="Z148" i="1"/>
  <c r="T149" i="1"/>
  <c r="U149" i="1"/>
  <c r="V149" i="1"/>
  <c r="W149" i="1"/>
  <c r="X149" i="1"/>
  <c r="Y149" i="1"/>
  <c r="Z149" i="1"/>
  <c r="T150" i="1"/>
  <c r="U150" i="1"/>
  <c r="V150" i="1"/>
  <c r="W150" i="1"/>
  <c r="X150" i="1"/>
  <c r="Y150" i="1"/>
  <c r="Z150" i="1"/>
  <c r="T151" i="1"/>
  <c r="U151" i="1"/>
  <c r="V151" i="1"/>
  <c r="W151" i="1"/>
  <c r="X151" i="1"/>
  <c r="Y151" i="1"/>
  <c r="Z151" i="1"/>
  <c r="T152" i="1"/>
  <c r="U152" i="1"/>
  <c r="V152" i="1"/>
  <c r="W152" i="1"/>
  <c r="X152" i="1"/>
  <c r="Y152" i="1"/>
  <c r="Z152" i="1"/>
  <c r="T153" i="1"/>
  <c r="U153" i="1"/>
  <c r="V153" i="1"/>
  <c r="W153" i="1"/>
  <c r="X153" i="1"/>
  <c r="Y153" i="1"/>
  <c r="Z153" i="1"/>
  <c r="U139" i="1"/>
  <c r="V139" i="1"/>
  <c r="W139" i="1"/>
  <c r="X139" i="1"/>
  <c r="Y139" i="1"/>
  <c r="Z139" i="1"/>
  <c r="T139" i="1"/>
  <c r="T121" i="1"/>
  <c r="U121" i="1"/>
  <c r="V121" i="1"/>
  <c r="W121" i="1"/>
  <c r="X121" i="1"/>
  <c r="Y121" i="1"/>
  <c r="Z121" i="1"/>
  <c r="T122" i="1"/>
  <c r="U122" i="1"/>
  <c r="V122" i="1"/>
  <c r="W122" i="1"/>
  <c r="X122" i="1"/>
  <c r="Y122" i="1"/>
  <c r="Z122" i="1"/>
  <c r="T123" i="1"/>
  <c r="U123" i="1"/>
  <c r="V123" i="1"/>
  <c r="W123" i="1"/>
  <c r="X123" i="1"/>
  <c r="Y123" i="1"/>
  <c r="Z123" i="1"/>
  <c r="T124" i="1"/>
  <c r="U124" i="1"/>
  <c r="V124" i="1"/>
  <c r="W124" i="1"/>
  <c r="X124" i="1"/>
  <c r="Y124" i="1"/>
  <c r="Z124" i="1"/>
  <c r="T125" i="1"/>
  <c r="U125" i="1"/>
  <c r="V125" i="1"/>
  <c r="W125" i="1"/>
  <c r="X125" i="1"/>
  <c r="Y125" i="1"/>
  <c r="Z125" i="1"/>
  <c r="T126" i="1"/>
  <c r="U126" i="1"/>
  <c r="V126" i="1"/>
  <c r="W126" i="1"/>
  <c r="X126" i="1"/>
  <c r="Y126" i="1"/>
  <c r="Z126" i="1"/>
  <c r="T127" i="1"/>
  <c r="U127" i="1"/>
  <c r="V127" i="1"/>
  <c r="W127" i="1"/>
  <c r="X127" i="1"/>
  <c r="Y127" i="1"/>
  <c r="Z127" i="1"/>
  <c r="T128" i="1"/>
  <c r="U128" i="1"/>
  <c r="V128" i="1"/>
  <c r="W128" i="1"/>
  <c r="X128" i="1"/>
  <c r="Y128" i="1"/>
  <c r="Z128" i="1"/>
  <c r="T129" i="1"/>
  <c r="U129" i="1"/>
  <c r="V129" i="1"/>
  <c r="W129" i="1"/>
  <c r="X129" i="1"/>
  <c r="Y129" i="1"/>
  <c r="Z129" i="1"/>
  <c r="T130" i="1"/>
  <c r="U130" i="1"/>
  <c r="V130" i="1"/>
  <c r="W130" i="1"/>
  <c r="X130" i="1"/>
  <c r="Y130" i="1"/>
  <c r="Z130" i="1"/>
  <c r="T131" i="1"/>
  <c r="U131" i="1"/>
  <c r="V131" i="1"/>
  <c r="W131" i="1"/>
  <c r="X131" i="1"/>
  <c r="Y131" i="1"/>
  <c r="Z131" i="1"/>
  <c r="T132" i="1"/>
  <c r="U132" i="1"/>
  <c r="V132" i="1"/>
  <c r="W132" i="1"/>
  <c r="X132" i="1"/>
  <c r="Y132" i="1"/>
  <c r="Z132" i="1"/>
  <c r="T133" i="1"/>
  <c r="U133" i="1"/>
  <c r="V133" i="1"/>
  <c r="W133" i="1"/>
  <c r="X133" i="1"/>
  <c r="Y133" i="1"/>
  <c r="Z133" i="1"/>
  <c r="T134" i="1"/>
  <c r="U134" i="1"/>
  <c r="V134" i="1"/>
  <c r="W134" i="1"/>
  <c r="X134" i="1"/>
  <c r="Y134" i="1"/>
  <c r="Z134" i="1"/>
  <c r="U120" i="1"/>
  <c r="V120" i="1"/>
  <c r="W120" i="1"/>
  <c r="X120" i="1"/>
  <c r="Y120" i="1"/>
  <c r="Z120" i="1"/>
  <c r="T120" i="1"/>
  <c r="T102" i="1"/>
  <c r="U102" i="1"/>
  <c r="V102" i="1"/>
  <c r="W102" i="1"/>
  <c r="X102" i="1"/>
  <c r="Y102" i="1"/>
  <c r="Z102" i="1"/>
  <c r="T103" i="1"/>
  <c r="U103" i="1"/>
  <c r="V103" i="1"/>
  <c r="W103" i="1"/>
  <c r="X103" i="1"/>
  <c r="Y103" i="1"/>
  <c r="Z103" i="1"/>
  <c r="T104" i="1"/>
  <c r="U104" i="1"/>
  <c r="V104" i="1"/>
  <c r="W104" i="1"/>
  <c r="X104" i="1"/>
  <c r="Y104" i="1"/>
  <c r="Z104" i="1"/>
  <c r="T105" i="1"/>
  <c r="U105" i="1"/>
  <c r="V105" i="1"/>
  <c r="W105" i="1"/>
  <c r="X105" i="1"/>
  <c r="Y105" i="1"/>
  <c r="Z105" i="1"/>
  <c r="T106" i="1"/>
  <c r="U106" i="1"/>
  <c r="V106" i="1"/>
  <c r="W106" i="1"/>
  <c r="X106" i="1"/>
  <c r="Y106" i="1"/>
  <c r="Z106" i="1"/>
  <c r="T107" i="1"/>
  <c r="U107" i="1"/>
  <c r="V107" i="1"/>
  <c r="W107" i="1"/>
  <c r="X107" i="1"/>
  <c r="Y107" i="1"/>
  <c r="Z107" i="1"/>
  <c r="T108" i="1"/>
  <c r="U108" i="1"/>
  <c r="V108" i="1"/>
  <c r="W108" i="1"/>
  <c r="X108" i="1"/>
  <c r="Y108" i="1"/>
  <c r="Z108" i="1"/>
  <c r="T109" i="1"/>
  <c r="U109" i="1"/>
  <c r="V109" i="1"/>
  <c r="W109" i="1"/>
  <c r="X109" i="1"/>
  <c r="Y109" i="1"/>
  <c r="Z109" i="1"/>
  <c r="T110" i="1"/>
  <c r="U110" i="1"/>
  <c r="V110" i="1"/>
  <c r="W110" i="1"/>
  <c r="X110" i="1"/>
  <c r="Y110" i="1"/>
  <c r="Z110" i="1"/>
  <c r="T111" i="1"/>
  <c r="U111" i="1"/>
  <c r="V111" i="1"/>
  <c r="W111" i="1"/>
  <c r="X111" i="1"/>
  <c r="Y111" i="1"/>
  <c r="Z111" i="1"/>
  <c r="T112" i="1"/>
  <c r="U112" i="1"/>
  <c r="V112" i="1"/>
  <c r="W112" i="1"/>
  <c r="X112" i="1"/>
  <c r="Y112" i="1"/>
  <c r="Z112" i="1"/>
  <c r="T113" i="1"/>
  <c r="U113" i="1"/>
  <c r="V113" i="1"/>
  <c r="W113" i="1"/>
  <c r="X113" i="1"/>
  <c r="Y113" i="1"/>
  <c r="Z113" i="1"/>
  <c r="T114" i="1"/>
  <c r="U114" i="1"/>
  <c r="V114" i="1"/>
  <c r="W114" i="1"/>
  <c r="X114" i="1"/>
  <c r="Y114" i="1"/>
  <c r="Z114" i="1"/>
  <c r="T115" i="1"/>
  <c r="U115" i="1"/>
  <c r="V115" i="1"/>
  <c r="W115" i="1"/>
  <c r="X115" i="1"/>
  <c r="Y115" i="1"/>
  <c r="Z115" i="1"/>
  <c r="U101" i="1"/>
  <c r="V101" i="1"/>
  <c r="W101" i="1"/>
  <c r="X101" i="1"/>
  <c r="Y101" i="1"/>
  <c r="Z101" i="1"/>
  <c r="T101" i="1"/>
  <c r="T83" i="1"/>
  <c r="U83" i="1"/>
  <c r="V83" i="1"/>
  <c r="W83" i="1"/>
  <c r="X83" i="1"/>
  <c r="Y83" i="1"/>
  <c r="Z83" i="1"/>
  <c r="T84" i="1"/>
  <c r="U84" i="1"/>
  <c r="V84" i="1"/>
  <c r="W84" i="1"/>
  <c r="X84" i="1"/>
  <c r="Y84" i="1"/>
  <c r="Z84" i="1"/>
  <c r="T85" i="1"/>
  <c r="U85" i="1"/>
  <c r="V85" i="1"/>
  <c r="W85" i="1"/>
  <c r="X85" i="1"/>
  <c r="Y85" i="1"/>
  <c r="Z85" i="1"/>
  <c r="T86" i="1"/>
  <c r="U86" i="1"/>
  <c r="V86" i="1"/>
  <c r="W86" i="1"/>
  <c r="X86" i="1"/>
  <c r="Y86" i="1"/>
  <c r="Z86" i="1"/>
  <c r="T87" i="1"/>
  <c r="U87" i="1"/>
  <c r="V87" i="1"/>
  <c r="W87" i="1"/>
  <c r="X87" i="1"/>
  <c r="Y87" i="1"/>
  <c r="Z87" i="1"/>
  <c r="T88" i="1"/>
  <c r="U88" i="1"/>
  <c r="V88" i="1"/>
  <c r="W88" i="1"/>
  <c r="X88" i="1"/>
  <c r="Y88" i="1"/>
  <c r="Z88" i="1"/>
  <c r="T89" i="1"/>
  <c r="U89" i="1"/>
  <c r="V89" i="1"/>
  <c r="W89" i="1"/>
  <c r="X89" i="1"/>
  <c r="Y89" i="1"/>
  <c r="Z89" i="1"/>
  <c r="T90" i="1"/>
  <c r="U90" i="1"/>
  <c r="V90" i="1"/>
  <c r="W90" i="1"/>
  <c r="X90" i="1"/>
  <c r="Y90" i="1"/>
  <c r="Z90" i="1"/>
  <c r="T91" i="1"/>
  <c r="U91" i="1"/>
  <c r="V91" i="1"/>
  <c r="W91" i="1"/>
  <c r="X91" i="1"/>
  <c r="Y91" i="1"/>
  <c r="Z91" i="1"/>
  <c r="T92" i="1"/>
  <c r="U92" i="1"/>
  <c r="V92" i="1"/>
  <c r="W92" i="1"/>
  <c r="X92" i="1"/>
  <c r="Y92" i="1"/>
  <c r="Z92" i="1"/>
  <c r="T93" i="1"/>
  <c r="U93" i="1"/>
  <c r="V93" i="1"/>
  <c r="W93" i="1"/>
  <c r="X93" i="1"/>
  <c r="Y93" i="1"/>
  <c r="Z93" i="1"/>
  <c r="T94" i="1"/>
  <c r="U94" i="1"/>
  <c r="V94" i="1"/>
  <c r="W94" i="1"/>
  <c r="X94" i="1"/>
  <c r="Y94" i="1"/>
  <c r="Z94" i="1"/>
  <c r="T95" i="1"/>
  <c r="U95" i="1"/>
  <c r="V95" i="1"/>
  <c r="W95" i="1"/>
  <c r="X95" i="1"/>
  <c r="Y95" i="1"/>
  <c r="Z95" i="1"/>
  <c r="T96" i="1"/>
  <c r="U96" i="1"/>
  <c r="V96" i="1"/>
  <c r="W96" i="1"/>
  <c r="X96" i="1"/>
  <c r="Y96" i="1"/>
  <c r="Z96" i="1"/>
  <c r="U82" i="1"/>
  <c r="V82" i="1"/>
  <c r="W82" i="1"/>
  <c r="X82" i="1"/>
  <c r="Y82" i="1"/>
  <c r="Z82" i="1"/>
  <c r="T82" i="1"/>
  <c r="T64" i="1"/>
  <c r="U64" i="1"/>
  <c r="V64" i="1"/>
  <c r="W64" i="1"/>
  <c r="X64" i="1"/>
  <c r="Y64" i="1"/>
  <c r="Z64" i="1"/>
  <c r="T65" i="1"/>
  <c r="U65" i="1"/>
  <c r="V65" i="1"/>
  <c r="W65" i="1"/>
  <c r="X65" i="1"/>
  <c r="Y65" i="1"/>
  <c r="Z65" i="1"/>
  <c r="T66" i="1"/>
  <c r="U66" i="1"/>
  <c r="V66" i="1"/>
  <c r="W66" i="1"/>
  <c r="X66" i="1"/>
  <c r="Y66" i="1"/>
  <c r="Z66" i="1"/>
  <c r="T67" i="1"/>
  <c r="U67" i="1"/>
  <c r="V67" i="1"/>
  <c r="W67" i="1"/>
  <c r="X67" i="1"/>
  <c r="Y67" i="1"/>
  <c r="Z67" i="1"/>
  <c r="T68" i="1"/>
  <c r="U68" i="1"/>
  <c r="V68" i="1"/>
  <c r="W68" i="1"/>
  <c r="X68" i="1"/>
  <c r="Y68" i="1"/>
  <c r="Z68" i="1"/>
  <c r="T69" i="1"/>
  <c r="U69" i="1"/>
  <c r="V69" i="1"/>
  <c r="W69" i="1"/>
  <c r="X69" i="1"/>
  <c r="Y69" i="1"/>
  <c r="Z69" i="1"/>
  <c r="T70" i="1"/>
  <c r="U70" i="1"/>
  <c r="V70" i="1"/>
  <c r="W70" i="1"/>
  <c r="X70" i="1"/>
  <c r="Y70" i="1"/>
  <c r="Z70" i="1"/>
  <c r="T71" i="1"/>
  <c r="U71" i="1"/>
  <c r="V71" i="1"/>
  <c r="W71" i="1"/>
  <c r="X71" i="1"/>
  <c r="Y71" i="1"/>
  <c r="Z71" i="1"/>
  <c r="T72" i="1"/>
  <c r="U72" i="1"/>
  <c r="V72" i="1"/>
  <c r="W72" i="1"/>
  <c r="X72" i="1"/>
  <c r="Y72" i="1"/>
  <c r="Z72" i="1"/>
  <c r="T73" i="1"/>
  <c r="U73" i="1"/>
  <c r="V73" i="1"/>
  <c r="W73" i="1"/>
  <c r="X73" i="1"/>
  <c r="Y73" i="1"/>
  <c r="Z73" i="1"/>
  <c r="T74" i="1"/>
  <c r="U74" i="1"/>
  <c r="V74" i="1"/>
  <c r="W74" i="1"/>
  <c r="X74" i="1"/>
  <c r="Y74" i="1"/>
  <c r="Z74" i="1"/>
  <c r="T75" i="1"/>
  <c r="U75" i="1"/>
  <c r="V75" i="1"/>
  <c r="W75" i="1"/>
  <c r="X75" i="1"/>
  <c r="Y75" i="1"/>
  <c r="Z75" i="1"/>
  <c r="T76" i="1"/>
  <c r="U76" i="1"/>
  <c r="V76" i="1"/>
  <c r="W76" i="1"/>
  <c r="X76" i="1"/>
  <c r="Y76" i="1"/>
  <c r="Z76" i="1"/>
  <c r="T77" i="1"/>
  <c r="U77" i="1"/>
  <c r="V77" i="1"/>
  <c r="W77" i="1"/>
  <c r="X77" i="1"/>
  <c r="Y77" i="1"/>
  <c r="Z77" i="1"/>
  <c r="U63" i="1"/>
  <c r="V63" i="1"/>
  <c r="W63" i="1"/>
  <c r="X63" i="1"/>
  <c r="Y63" i="1"/>
  <c r="Z63" i="1"/>
  <c r="T63" i="1"/>
  <c r="T45" i="1"/>
  <c r="U45" i="1"/>
  <c r="V45" i="1"/>
  <c r="W45" i="1"/>
  <c r="X45" i="1"/>
  <c r="Y45" i="1"/>
  <c r="Z45" i="1"/>
  <c r="T46" i="1"/>
  <c r="U46" i="1"/>
  <c r="V46" i="1"/>
  <c r="W46" i="1"/>
  <c r="X46" i="1"/>
  <c r="Y46" i="1"/>
  <c r="Z46" i="1"/>
  <c r="T47" i="1"/>
  <c r="U47" i="1"/>
  <c r="V47" i="1"/>
  <c r="W47" i="1"/>
  <c r="X47" i="1"/>
  <c r="Y47" i="1"/>
  <c r="Z47" i="1"/>
  <c r="T48" i="1"/>
  <c r="U48" i="1"/>
  <c r="V48" i="1"/>
  <c r="W48" i="1"/>
  <c r="X48" i="1"/>
  <c r="Y48" i="1"/>
  <c r="Z48" i="1"/>
  <c r="T49" i="1"/>
  <c r="U49" i="1"/>
  <c r="V49" i="1"/>
  <c r="W49" i="1"/>
  <c r="X49" i="1"/>
  <c r="Y49" i="1"/>
  <c r="Z49" i="1"/>
  <c r="T50" i="1"/>
  <c r="U50" i="1"/>
  <c r="V50" i="1"/>
  <c r="W50" i="1"/>
  <c r="X50" i="1"/>
  <c r="Y50" i="1"/>
  <c r="Z50" i="1"/>
  <c r="T51" i="1"/>
  <c r="U51" i="1"/>
  <c r="V51" i="1"/>
  <c r="W51" i="1"/>
  <c r="X51" i="1"/>
  <c r="Y51" i="1"/>
  <c r="Z51" i="1"/>
  <c r="T52" i="1"/>
  <c r="U52" i="1"/>
  <c r="V52" i="1"/>
  <c r="W52" i="1"/>
  <c r="X52" i="1"/>
  <c r="Y52" i="1"/>
  <c r="Z52" i="1"/>
  <c r="T53" i="1"/>
  <c r="U53" i="1"/>
  <c r="V53" i="1"/>
  <c r="W53" i="1"/>
  <c r="X53" i="1"/>
  <c r="Y53" i="1"/>
  <c r="Z53" i="1"/>
  <c r="T54" i="1"/>
  <c r="U54" i="1"/>
  <c r="V54" i="1"/>
  <c r="W54" i="1"/>
  <c r="X54" i="1"/>
  <c r="Y54" i="1"/>
  <c r="Z54" i="1"/>
  <c r="T55" i="1"/>
  <c r="U55" i="1"/>
  <c r="V55" i="1"/>
  <c r="W55" i="1"/>
  <c r="X55" i="1"/>
  <c r="Y55" i="1"/>
  <c r="Z55" i="1"/>
  <c r="T56" i="1"/>
  <c r="U56" i="1"/>
  <c r="V56" i="1"/>
  <c r="W56" i="1"/>
  <c r="X56" i="1"/>
  <c r="Y56" i="1"/>
  <c r="Z56" i="1"/>
  <c r="T57" i="1"/>
  <c r="U57" i="1"/>
  <c r="V57" i="1"/>
  <c r="W57" i="1"/>
  <c r="X57" i="1"/>
  <c r="Y57" i="1"/>
  <c r="Z57" i="1"/>
  <c r="T58" i="1"/>
  <c r="U58" i="1"/>
  <c r="V58" i="1"/>
  <c r="W58" i="1"/>
  <c r="X58" i="1"/>
  <c r="Y58" i="1"/>
  <c r="Z58" i="1"/>
  <c r="U44" i="1"/>
  <c r="V44" i="1"/>
  <c r="W44" i="1"/>
  <c r="X44" i="1"/>
  <c r="Y44" i="1"/>
  <c r="Z44" i="1"/>
  <c r="T44" i="1"/>
  <c r="T26" i="1"/>
  <c r="U26" i="1"/>
  <c r="V26" i="1"/>
  <c r="W26" i="1"/>
  <c r="X26" i="1"/>
  <c r="Y26" i="1"/>
  <c r="Z26" i="1"/>
  <c r="T27" i="1"/>
  <c r="U27" i="1"/>
  <c r="V27" i="1"/>
  <c r="W27" i="1"/>
  <c r="X27" i="1"/>
  <c r="Y27" i="1"/>
  <c r="Z27" i="1"/>
  <c r="T28" i="1"/>
  <c r="U28" i="1"/>
  <c r="V28" i="1"/>
  <c r="W28" i="1"/>
  <c r="X28" i="1"/>
  <c r="Y28" i="1"/>
  <c r="Z28" i="1"/>
  <c r="T29" i="1"/>
  <c r="U29" i="1"/>
  <c r="V29" i="1"/>
  <c r="W29" i="1"/>
  <c r="X29" i="1"/>
  <c r="Y29" i="1"/>
  <c r="Z29" i="1"/>
  <c r="T30" i="1"/>
  <c r="U30" i="1"/>
  <c r="V30" i="1"/>
  <c r="W30" i="1"/>
  <c r="X30" i="1"/>
  <c r="Y30" i="1"/>
  <c r="Z30" i="1"/>
  <c r="T31" i="1"/>
  <c r="U31" i="1"/>
  <c r="V31" i="1"/>
  <c r="W31" i="1"/>
  <c r="X31" i="1"/>
  <c r="Y31" i="1"/>
  <c r="Z31" i="1"/>
  <c r="T32" i="1"/>
  <c r="U32" i="1"/>
  <c r="V32" i="1"/>
  <c r="W32" i="1"/>
  <c r="X32" i="1"/>
  <c r="Y32" i="1"/>
  <c r="Z32" i="1"/>
  <c r="T33" i="1"/>
  <c r="U33" i="1"/>
  <c r="V33" i="1"/>
  <c r="W33" i="1"/>
  <c r="X33" i="1"/>
  <c r="Y33" i="1"/>
  <c r="Z33" i="1"/>
  <c r="T34" i="1"/>
  <c r="U34" i="1"/>
  <c r="V34" i="1"/>
  <c r="W34" i="1"/>
  <c r="X34" i="1"/>
  <c r="Y34" i="1"/>
  <c r="Z34" i="1"/>
  <c r="T35" i="1"/>
  <c r="U35" i="1"/>
  <c r="V35" i="1"/>
  <c r="W35" i="1"/>
  <c r="X35" i="1"/>
  <c r="Y35" i="1"/>
  <c r="Z35" i="1"/>
  <c r="T36" i="1"/>
  <c r="U36" i="1"/>
  <c r="V36" i="1"/>
  <c r="W36" i="1"/>
  <c r="X36" i="1"/>
  <c r="Y36" i="1"/>
  <c r="Z36" i="1"/>
  <c r="T37" i="1"/>
  <c r="U37" i="1"/>
  <c r="V37" i="1"/>
  <c r="W37" i="1"/>
  <c r="X37" i="1"/>
  <c r="Y37" i="1"/>
  <c r="Z37" i="1"/>
  <c r="T38" i="1"/>
  <c r="U38" i="1"/>
  <c r="V38" i="1"/>
  <c r="W38" i="1"/>
  <c r="X38" i="1"/>
  <c r="Y38" i="1"/>
  <c r="Z38" i="1"/>
  <c r="T39" i="1"/>
  <c r="U39" i="1"/>
  <c r="V39" i="1"/>
  <c r="W39" i="1"/>
  <c r="X39" i="1"/>
  <c r="Y39" i="1"/>
  <c r="Z39" i="1"/>
  <c r="U25" i="1"/>
  <c r="V25" i="1"/>
  <c r="W25" i="1"/>
  <c r="X25" i="1"/>
  <c r="Y25" i="1"/>
  <c r="Z25" i="1"/>
  <c r="T25" i="1"/>
  <c r="T7" i="1"/>
  <c r="U7" i="1"/>
  <c r="V7" i="1"/>
  <c r="W7" i="1"/>
  <c r="X7" i="1"/>
  <c r="Y7" i="1"/>
  <c r="Z7" i="1"/>
  <c r="T8" i="1"/>
  <c r="U8" i="1"/>
  <c r="V8" i="1"/>
  <c r="W8" i="1"/>
  <c r="X8" i="1"/>
  <c r="Y8" i="1"/>
  <c r="Z8" i="1"/>
  <c r="T9" i="1"/>
  <c r="U9" i="1"/>
  <c r="V9" i="1"/>
  <c r="W9" i="1"/>
  <c r="X9" i="1"/>
  <c r="Y9" i="1"/>
  <c r="Z9" i="1"/>
  <c r="T10" i="1"/>
  <c r="U10" i="1"/>
  <c r="V10" i="1"/>
  <c r="W10" i="1"/>
  <c r="X10" i="1"/>
  <c r="Y10" i="1"/>
  <c r="Z10" i="1"/>
  <c r="T11" i="1"/>
  <c r="U11" i="1"/>
  <c r="V11" i="1"/>
  <c r="W11" i="1"/>
  <c r="X11" i="1"/>
  <c r="Y11" i="1"/>
  <c r="Z11" i="1"/>
  <c r="T12" i="1"/>
  <c r="U12" i="1"/>
  <c r="V12" i="1"/>
  <c r="W12" i="1"/>
  <c r="X12" i="1"/>
  <c r="Y12" i="1"/>
  <c r="Z12" i="1"/>
  <c r="T13" i="1"/>
  <c r="U13" i="1"/>
  <c r="V13" i="1"/>
  <c r="W13" i="1"/>
  <c r="X13" i="1"/>
  <c r="Y13" i="1"/>
  <c r="Z13" i="1"/>
  <c r="T14" i="1"/>
  <c r="U14" i="1"/>
  <c r="V14" i="1"/>
  <c r="W14" i="1"/>
  <c r="X14" i="1"/>
  <c r="Y14" i="1"/>
  <c r="Z14" i="1"/>
  <c r="T15" i="1"/>
  <c r="U15" i="1"/>
  <c r="V15" i="1"/>
  <c r="W15" i="1"/>
  <c r="X15" i="1"/>
  <c r="Y15" i="1"/>
  <c r="Z15" i="1"/>
  <c r="T16" i="1"/>
  <c r="U16" i="1"/>
  <c r="V16" i="1"/>
  <c r="W16" i="1"/>
  <c r="X16" i="1"/>
  <c r="Y16" i="1"/>
  <c r="Z16" i="1"/>
  <c r="T17" i="1"/>
  <c r="U17" i="1"/>
  <c r="V17" i="1"/>
  <c r="W17" i="1"/>
  <c r="X17" i="1"/>
  <c r="Y17" i="1"/>
  <c r="Z17" i="1"/>
  <c r="T18" i="1"/>
  <c r="U18" i="1"/>
  <c r="V18" i="1"/>
  <c r="W18" i="1"/>
  <c r="X18" i="1"/>
  <c r="Y18" i="1"/>
  <c r="Z18" i="1"/>
  <c r="T19" i="1"/>
  <c r="U19" i="1"/>
  <c r="V19" i="1"/>
  <c r="W19" i="1"/>
  <c r="X19" i="1"/>
  <c r="Y19" i="1"/>
  <c r="Z19" i="1"/>
  <c r="T20" i="1"/>
  <c r="U20" i="1"/>
  <c r="V20" i="1"/>
  <c r="W20" i="1"/>
  <c r="X20" i="1"/>
  <c r="Y20" i="1"/>
  <c r="Z20" i="1"/>
  <c r="U6" i="1"/>
  <c r="V6" i="1"/>
  <c r="W6" i="1"/>
  <c r="X6" i="1"/>
  <c r="Y6" i="1"/>
  <c r="Z6" i="1"/>
  <c r="T6" i="1"/>
  <c r="K140" i="1"/>
  <c r="L140" i="1"/>
  <c r="M140" i="1"/>
  <c r="N140" i="1"/>
  <c r="O140" i="1"/>
  <c r="P140" i="1"/>
  <c r="Q140" i="1"/>
  <c r="K141" i="1"/>
  <c r="L141" i="1"/>
  <c r="M141" i="1"/>
  <c r="N141" i="1"/>
  <c r="O141" i="1"/>
  <c r="P141" i="1"/>
  <c r="Q141" i="1"/>
  <c r="K142" i="1"/>
  <c r="L142" i="1"/>
  <c r="M142" i="1"/>
  <c r="N142" i="1"/>
  <c r="O142" i="1"/>
  <c r="P142" i="1"/>
  <c r="Q142" i="1"/>
  <c r="K143" i="1"/>
  <c r="L143" i="1"/>
  <c r="M143" i="1"/>
  <c r="N143" i="1"/>
  <c r="O143" i="1"/>
  <c r="P143" i="1"/>
  <c r="Q143" i="1"/>
  <c r="K144" i="1"/>
  <c r="L144" i="1"/>
  <c r="M144" i="1"/>
  <c r="N144" i="1"/>
  <c r="O144" i="1"/>
  <c r="P144" i="1"/>
  <c r="Q144" i="1"/>
  <c r="K145" i="1"/>
  <c r="L145" i="1"/>
  <c r="M145" i="1"/>
  <c r="N145" i="1"/>
  <c r="O145" i="1"/>
  <c r="P145" i="1"/>
  <c r="Q145" i="1"/>
  <c r="K146" i="1"/>
  <c r="L146" i="1"/>
  <c r="M146" i="1"/>
  <c r="N146" i="1"/>
  <c r="O146" i="1"/>
  <c r="P146" i="1"/>
  <c r="Q146" i="1"/>
  <c r="K147" i="1"/>
  <c r="L147" i="1"/>
  <c r="M147" i="1"/>
  <c r="N147" i="1"/>
  <c r="O147" i="1"/>
  <c r="P147" i="1"/>
  <c r="Q147" i="1"/>
  <c r="K148" i="1"/>
  <c r="L148" i="1"/>
  <c r="M148" i="1"/>
  <c r="N148" i="1"/>
  <c r="O148" i="1"/>
  <c r="P148" i="1"/>
  <c r="Q148" i="1"/>
  <c r="K149" i="1"/>
  <c r="L149" i="1"/>
  <c r="M149" i="1"/>
  <c r="N149" i="1"/>
  <c r="O149" i="1"/>
  <c r="P149" i="1"/>
  <c r="Q149" i="1"/>
  <c r="K150" i="1"/>
  <c r="L150" i="1"/>
  <c r="M150" i="1"/>
  <c r="N150" i="1"/>
  <c r="O150" i="1"/>
  <c r="P150" i="1"/>
  <c r="Q150" i="1"/>
  <c r="K151" i="1"/>
  <c r="L151" i="1"/>
  <c r="M151" i="1"/>
  <c r="N151" i="1"/>
  <c r="O151" i="1"/>
  <c r="P151" i="1"/>
  <c r="Q151" i="1"/>
  <c r="K152" i="1"/>
  <c r="L152" i="1"/>
  <c r="M152" i="1"/>
  <c r="N152" i="1"/>
  <c r="O152" i="1"/>
  <c r="P152" i="1"/>
  <c r="Q152" i="1"/>
  <c r="K153" i="1"/>
  <c r="L153" i="1"/>
  <c r="M153" i="1"/>
  <c r="N153" i="1"/>
  <c r="O153" i="1"/>
  <c r="P153" i="1"/>
  <c r="Q153" i="1"/>
  <c r="L139" i="1"/>
  <c r="M139" i="1"/>
  <c r="N139" i="1"/>
  <c r="O139" i="1"/>
  <c r="P139" i="1"/>
  <c r="Q139" i="1"/>
  <c r="K139" i="1"/>
  <c r="K121" i="1"/>
  <c r="L121" i="1"/>
  <c r="M121" i="1"/>
  <c r="N121" i="1"/>
  <c r="O121" i="1"/>
  <c r="P121" i="1"/>
  <c r="Q121" i="1"/>
  <c r="K122" i="1"/>
  <c r="L122" i="1"/>
  <c r="M122" i="1"/>
  <c r="N122" i="1"/>
  <c r="O122" i="1"/>
  <c r="P122" i="1"/>
  <c r="Q122" i="1"/>
  <c r="K123" i="1"/>
  <c r="L123" i="1"/>
  <c r="M123" i="1"/>
  <c r="N123" i="1"/>
  <c r="O123" i="1"/>
  <c r="P123" i="1"/>
  <c r="Q123" i="1"/>
  <c r="K124" i="1"/>
  <c r="L124" i="1"/>
  <c r="M124" i="1"/>
  <c r="N124" i="1"/>
  <c r="O124" i="1"/>
  <c r="P124" i="1"/>
  <c r="Q124" i="1"/>
  <c r="K125" i="1"/>
  <c r="L125" i="1"/>
  <c r="M125" i="1"/>
  <c r="N125" i="1"/>
  <c r="O125" i="1"/>
  <c r="P125" i="1"/>
  <c r="Q125" i="1"/>
  <c r="K126" i="1"/>
  <c r="L126" i="1"/>
  <c r="M126" i="1"/>
  <c r="N126" i="1"/>
  <c r="O126" i="1"/>
  <c r="P126" i="1"/>
  <c r="Q126" i="1"/>
  <c r="K127" i="1"/>
  <c r="L127" i="1"/>
  <c r="M127" i="1"/>
  <c r="N127" i="1"/>
  <c r="O127" i="1"/>
  <c r="P127" i="1"/>
  <c r="Q127" i="1"/>
  <c r="K128" i="1"/>
  <c r="L128" i="1"/>
  <c r="M128" i="1"/>
  <c r="N128" i="1"/>
  <c r="O128" i="1"/>
  <c r="P128" i="1"/>
  <c r="Q128" i="1"/>
  <c r="K129" i="1"/>
  <c r="L129" i="1"/>
  <c r="M129" i="1"/>
  <c r="N129" i="1"/>
  <c r="O129" i="1"/>
  <c r="P129" i="1"/>
  <c r="Q129" i="1"/>
  <c r="K130" i="1"/>
  <c r="L130" i="1"/>
  <c r="M130" i="1"/>
  <c r="N130" i="1"/>
  <c r="O130" i="1"/>
  <c r="P130" i="1"/>
  <c r="Q130" i="1"/>
  <c r="K131" i="1"/>
  <c r="L131" i="1"/>
  <c r="M131" i="1"/>
  <c r="N131" i="1"/>
  <c r="O131" i="1"/>
  <c r="P131" i="1"/>
  <c r="Q131" i="1"/>
  <c r="K132" i="1"/>
  <c r="L132" i="1"/>
  <c r="M132" i="1"/>
  <c r="N132" i="1"/>
  <c r="O132" i="1"/>
  <c r="P132" i="1"/>
  <c r="Q132" i="1"/>
  <c r="K133" i="1"/>
  <c r="L133" i="1"/>
  <c r="M133" i="1"/>
  <c r="N133" i="1"/>
  <c r="O133" i="1"/>
  <c r="P133" i="1"/>
  <c r="Q133" i="1"/>
  <c r="K134" i="1"/>
  <c r="L134" i="1"/>
  <c r="M134" i="1"/>
  <c r="N134" i="1"/>
  <c r="O134" i="1"/>
  <c r="P134" i="1"/>
  <c r="Q134" i="1"/>
  <c r="L120" i="1"/>
  <c r="M120" i="1"/>
  <c r="N120" i="1"/>
  <c r="O120" i="1"/>
  <c r="P120" i="1"/>
  <c r="Q120" i="1"/>
  <c r="K120" i="1"/>
  <c r="K102" i="1"/>
  <c r="L102" i="1"/>
  <c r="M102" i="1"/>
  <c r="N102" i="1"/>
  <c r="O102" i="1"/>
  <c r="P102" i="1"/>
  <c r="Q102" i="1"/>
  <c r="K103" i="1"/>
  <c r="L103" i="1"/>
  <c r="M103" i="1"/>
  <c r="N103" i="1"/>
  <c r="O103" i="1"/>
  <c r="P103" i="1"/>
  <c r="Q103" i="1"/>
  <c r="K104" i="1"/>
  <c r="L104" i="1"/>
  <c r="M104" i="1"/>
  <c r="N104" i="1"/>
  <c r="O104" i="1"/>
  <c r="P104" i="1"/>
  <c r="Q104" i="1"/>
  <c r="K105" i="1"/>
  <c r="L105" i="1"/>
  <c r="M105" i="1"/>
  <c r="N105" i="1"/>
  <c r="O105" i="1"/>
  <c r="P105" i="1"/>
  <c r="Q105" i="1"/>
  <c r="K106" i="1"/>
  <c r="L106" i="1"/>
  <c r="M106" i="1"/>
  <c r="N106" i="1"/>
  <c r="O106" i="1"/>
  <c r="P106" i="1"/>
  <c r="Q106" i="1"/>
  <c r="K107" i="1"/>
  <c r="L107" i="1"/>
  <c r="M107" i="1"/>
  <c r="N107" i="1"/>
  <c r="O107" i="1"/>
  <c r="P107" i="1"/>
  <c r="Q107" i="1"/>
  <c r="K108" i="1"/>
  <c r="L108" i="1"/>
  <c r="M108" i="1"/>
  <c r="N108" i="1"/>
  <c r="O108" i="1"/>
  <c r="P108" i="1"/>
  <c r="Q108" i="1"/>
  <c r="K109" i="1"/>
  <c r="L109" i="1"/>
  <c r="M109" i="1"/>
  <c r="N109" i="1"/>
  <c r="O109" i="1"/>
  <c r="P109" i="1"/>
  <c r="Q109" i="1"/>
  <c r="K110" i="1"/>
  <c r="L110" i="1"/>
  <c r="M110" i="1"/>
  <c r="N110" i="1"/>
  <c r="O110" i="1"/>
  <c r="P110" i="1"/>
  <c r="Q110" i="1"/>
  <c r="K111" i="1"/>
  <c r="L111" i="1"/>
  <c r="M111" i="1"/>
  <c r="N111" i="1"/>
  <c r="O111" i="1"/>
  <c r="P111" i="1"/>
  <c r="Q111" i="1"/>
  <c r="K112" i="1"/>
  <c r="L112" i="1"/>
  <c r="M112" i="1"/>
  <c r="N112" i="1"/>
  <c r="O112" i="1"/>
  <c r="P112" i="1"/>
  <c r="Q112" i="1"/>
  <c r="K113" i="1"/>
  <c r="L113" i="1"/>
  <c r="M113" i="1"/>
  <c r="N113" i="1"/>
  <c r="O113" i="1"/>
  <c r="P113" i="1"/>
  <c r="Q113" i="1"/>
  <c r="K114" i="1"/>
  <c r="L114" i="1"/>
  <c r="M114" i="1"/>
  <c r="N114" i="1"/>
  <c r="O114" i="1"/>
  <c r="P114" i="1"/>
  <c r="Q114" i="1"/>
  <c r="K115" i="1"/>
  <c r="L115" i="1"/>
  <c r="M115" i="1"/>
  <c r="N115" i="1"/>
  <c r="O115" i="1"/>
  <c r="P115" i="1"/>
  <c r="Q115" i="1"/>
  <c r="L101" i="1"/>
  <c r="M101" i="1"/>
  <c r="N101" i="1"/>
  <c r="O101" i="1"/>
  <c r="P101" i="1"/>
  <c r="Q101" i="1"/>
  <c r="K101" i="1"/>
  <c r="K83" i="1"/>
  <c r="L83" i="1"/>
  <c r="M83" i="1"/>
  <c r="N83" i="1"/>
  <c r="O83" i="1"/>
  <c r="P83" i="1"/>
  <c r="Q83" i="1"/>
  <c r="K84" i="1"/>
  <c r="L84" i="1"/>
  <c r="M84" i="1"/>
  <c r="N84" i="1"/>
  <c r="O84" i="1"/>
  <c r="P84" i="1"/>
  <c r="Q84" i="1"/>
  <c r="K85" i="1"/>
  <c r="L85" i="1"/>
  <c r="M85" i="1"/>
  <c r="N85" i="1"/>
  <c r="O85" i="1"/>
  <c r="P85" i="1"/>
  <c r="Q85" i="1"/>
  <c r="K86" i="1"/>
  <c r="L86" i="1"/>
  <c r="M86" i="1"/>
  <c r="N86" i="1"/>
  <c r="O86" i="1"/>
  <c r="P86" i="1"/>
  <c r="Q86" i="1"/>
  <c r="K87" i="1"/>
  <c r="L87" i="1"/>
  <c r="M87" i="1"/>
  <c r="N87" i="1"/>
  <c r="O87" i="1"/>
  <c r="P87" i="1"/>
  <c r="Q87" i="1"/>
  <c r="K88" i="1"/>
  <c r="L88" i="1"/>
  <c r="M88" i="1"/>
  <c r="N88" i="1"/>
  <c r="O88" i="1"/>
  <c r="P88" i="1"/>
  <c r="Q88" i="1"/>
  <c r="K89" i="1"/>
  <c r="L89" i="1"/>
  <c r="M89" i="1"/>
  <c r="N89" i="1"/>
  <c r="O89" i="1"/>
  <c r="P89" i="1"/>
  <c r="Q89" i="1"/>
  <c r="K90" i="1"/>
  <c r="L90" i="1"/>
  <c r="M90" i="1"/>
  <c r="N90" i="1"/>
  <c r="O90" i="1"/>
  <c r="P90" i="1"/>
  <c r="Q90" i="1"/>
  <c r="K91" i="1"/>
  <c r="L91" i="1"/>
  <c r="M91" i="1"/>
  <c r="N91" i="1"/>
  <c r="O91" i="1"/>
  <c r="P91" i="1"/>
  <c r="Q91" i="1"/>
  <c r="K92" i="1"/>
  <c r="L92" i="1"/>
  <c r="M92" i="1"/>
  <c r="N92" i="1"/>
  <c r="O92" i="1"/>
  <c r="P92" i="1"/>
  <c r="Q92" i="1"/>
  <c r="K93" i="1"/>
  <c r="L93" i="1"/>
  <c r="M93" i="1"/>
  <c r="N93" i="1"/>
  <c r="O93" i="1"/>
  <c r="P93" i="1"/>
  <c r="Q93" i="1"/>
  <c r="K94" i="1"/>
  <c r="L94" i="1"/>
  <c r="M94" i="1"/>
  <c r="N94" i="1"/>
  <c r="O94" i="1"/>
  <c r="P94" i="1"/>
  <c r="Q94" i="1"/>
  <c r="K95" i="1"/>
  <c r="L95" i="1"/>
  <c r="M95" i="1"/>
  <c r="N95" i="1"/>
  <c r="O95" i="1"/>
  <c r="P95" i="1"/>
  <c r="Q95" i="1"/>
  <c r="K96" i="1"/>
  <c r="L96" i="1"/>
  <c r="M96" i="1"/>
  <c r="N96" i="1"/>
  <c r="O96" i="1"/>
  <c r="P96" i="1"/>
  <c r="Q96" i="1"/>
  <c r="L82" i="1"/>
  <c r="M82" i="1"/>
  <c r="N82" i="1"/>
  <c r="O82" i="1"/>
  <c r="P82" i="1"/>
  <c r="Q82" i="1"/>
  <c r="K82" i="1"/>
  <c r="K64" i="1"/>
  <c r="L64" i="1"/>
  <c r="M64" i="1"/>
  <c r="N64" i="1"/>
  <c r="O64" i="1"/>
  <c r="P64" i="1"/>
  <c r="Q64" i="1"/>
  <c r="K65" i="1"/>
  <c r="L65" i="1"/>
  <c r="M65" i="1"/>
  <c r="N65" i="1"/>
  <c r="O65" i="1"/>
  <c r="P65" i="1"/>
  <c r="Q65" i="1"/>
  <c r="K66" i="1"/>
  <c r="L66" i="1"/>
  <c r="M66" i="1"/>
  <c r="N66" i="1"/>
  <c r="O66" i="1"/>
  <c r="P66" i="1"/>
  <c r="Q66" i="1"/>
  <c r="K67" i="1"/>
  <c r="L67" i="1"/>
  <c r="M67" i="1"/>
  <c r="N67" i="1"/>
  <c r="O67" i="1"/>
  <c r="P67" i="1"/>
  <c r="Q67" i="1"/>
  <c r="K68" i="1"/>
  <c r="L68" i="1"/>
  <c r="M68" i="1"/>
  <c r="N68" i="1"/>
  <c r="O68" i="1"/>
  <c r="P68" i="1"/>
  <c r="Q68" i="1"/>
  <c r="K69" i="1"/>
  <c r="L69" i="1"/>
  <c r="M69" i="1"/>
  <c r="N69" i="1"/>
  <c r="O69" i="1"/>
  <c r="P69" i="1"/>
  <c r="Q69" i="1"/>
  <c r="K70" i="1"/>
  <c r="L70" i="1"/>
  <c r="M70" i="1"/>
  <c r="N70" i="1"/>
  <c r="O70" i="1"/>
  <c r="P70" i="1"/>
  <c r="Q70" i="1"/>
  <c r="K71" i="1"/>
  <c r="L71" i="1"/>
  <c r="M71" i="1"/>
  <c r="N71" i="1"/>
  <c r="O71" i="1"/>
  <c r="P71" i="1"/>
  <c r="Q71" i="1"/>
  <c r="K72" i="1"/>
  <c r="L72" i="1"/>
  <c r="M72" i="1"/>
  <c r="N72" i="1"/>
  <c r="O72" i="1"/>
  <c r="P72" i="1"/>
  <c r="Q72" i="1"/>
  <c r="K73" i="1"/>
  <c r="L73" i="1"/>
  <c r="M73" i="1"/>
  <c r="N73" i="1"/>
  <c r="O73" i="1"/>
  <c r="P73" i="1"/>
  <c r="Q73" i="1"/>
  <c r="K74" i="1"/>
  <c r="L74" i="1"/>
  <c r="M74" i="1"/>
  <c r="N74" i="1"/>
  <c r="O74" i="1"/>
  <c r="P74" i="1"/>
  <c r="Q74" i="1"/>
  <c r="K75" i="1"/>
  <c r="L75" i="1"/>
  <c r="M75" i="1"/>
  <c r="N75" i="1"/>
  <c r="O75" i="1"/>
  <c r="P75" i="1"/>
  <c r="Q75" i="1"/>
  <c r="K76" i="1"/>
  <c r="L76" i="1"/>
  <c r="M76" i="1"/>
  <c r="N76" i="1"/>
  <c r="O76" i="1"/>
  <c r="P76" i="1"/>
  <c r="Q76" i="1"/>
  <c r="K77" i="1"/>
  <c r="L77" i="1"/>
  <c r="M77" i="1"/>
  <c r="N77" i="1"/>
  <c r="O77" i="1"/>
  <c r="P77" i="1"/>
  <c r="Q77" i="1"/>
  <c r="L63" i="1"/>
  <c r="M63" i="1"/>
  <c r="N63" i="1"/>
  <c r="O63" i="1"/>
  <c r="P63" i="1"/>
  <c r="Q63" i="1"/>
  <c r="K63" i="1"/>
  <c r="K45" i="1"/>
  <c r="L45" i="1"/>
  <c r="M45" i="1"/>
  <c r="N45" i="1"/>
  <c r="O45" i="1"/>
  <c r="P45" i="1"/>
  <c r="Q45" i="1"/>
  <c r="K46" i="1"/>
  <c r="L46" i="1"/>
  <c r="M46" i="1"/>
  <c r="N46" i="1"/>
  <c r="O46" i="1"/>
  <c r="P46" i="1"/>
  <c r="Q46" i="1"/>
  <c r="K47" i="1"/>
  <c r="L47" i="1"/>
  <c r="M47" i="1"/>
  <c r="N47" i="1"/>
  <c r="O47" i="1"/>
  <c r="P47" i="1"/>
  <c r="Q47" i="1"/>
  <c r="K48" i="1"/>
  <c r="L48" i="1"/>
  <c r="M48" i="1"/>
  <c r="N48" i="1"/>
  <c r="O48" i="1"/>
  <c r="P48" i="1"/>
  <c r="Q48" i="1"/>
  <c r="K49" i="1"/>
  <c r="L49" i="1"/>
  <c r="M49" i="1"/>
  <c r="N49" i="1"/>
  <c r="O49" i="1"/>
  <c r="P49" i="1"/>
  <c r="Q49" i="1"/>
  <c r="K50" i="1"/>
  <c r="L50" i="1"/>
  <c r="M50" i="1"/>
  <c r="N50" i="1"/>
  <c r="O50" i="1"/>
  <c r="P50" i="1"/>
  <c r="Q50" i="1"/>
  <c r="K51" i="1"/>
  <c r="L51" i="1"/>
  <c r="M51" i="1"/>
  <c r="N51" i="1"/>
  <c r="O51" i="1"/>
  <c r="P51" i="1"/>
  <c r="Q51" i="1"/>
  <c r="K52" i="1"/>
  <c r="L52" i="1"/>
  <c r="M52" i="1"/>
  <c r="N52" i="1"/>
  <c r="O52" i="1"/>
  <c r="P52" i="1"/>
  <c r="Q52" i="1"/>
  <c r="K53" i="1"/>
  <c r="L53" i="1"/>
  <c r="M53" i="1"/>
  <c r="N53" i="1"/>
  <c r="O53" i="1"/>
  <c r="P53" i="1"/>
  <c r="Q53" i="1"/>
  <c r="K54" i="1"/>
  <c r="L54" i="1"/>
  <c r="M54" i="1"/>
  <c r="N54" i="1"/>
  <c r="O54" i="1"/>
  <c r="P54" i="1"/>
  <c r="Q54" i="1"/>
  <c r="K55" i="1"/>
  <c r="L55" i="1"/>
  <c r="M55" i="1"/>
  <c r="N55" i="1"/>
  <c r="O55" i="1"/>
  <c r="P55" i="1"/>
  <c r="Q55" i="1"/>
  <c r="K56" i="1"/>
  <c r="L56" i="1"/>
  <c r="M56" i="1"/>
  <c r="N56" i="1"/>
  <c r="O56" i="1"/>
  <c r="P56" i="1"/>
  <c r="Q56" i="1"/>
  <c r="K57" i="1"/>
  <c r="L57" i="1"/>
  <c r="M57" i="1"/>
  <c r="N57" i="1"/>
  <c r="O57" i="1"/>
  <c r="P57" i="1"/>
  <c r="Q57" i="1"/>
  <c r="K58" i="1"/>
  <c r="L58" i="1"/>
  <c r="M58" i="1"/>
  <c r="N58" i="1"/>
  <c r="O58" i="1"/>
  <c r="P58" i="1"/>
  <c r="Q58" i="1"/>
  <c r="L44" i="1"/>
  <c r="M44" i="1"/>
  <c r="N44" i="1"/>
  <c r="O44" i="1"/>
  <c r="P44" i="1"/>
  <c r="Q44" i="1"/>
  <c r="K44" i="1"/>
  <c r="K26" i="1"/>
  <c r="L26" i="1"/>
  <c r="M26" i="1"/>
  <c r="N26" i="1"/>
  <c r="O26" i="1"/>
  <c r="P26" i="1"/>
  <c r="Q26" i="1"/>
  <c r="K27" i="1"/>
  <c r="L27" i="1"/>
  <c r="M27" i="1"/>
  <c r="N27" i="1"/>
  <c r="O27" i="1"/>
  <c r="P27" i="1"/>
  <c r="Q27" i="1"/>
  <c r="K28" i="1"/>
  <c r="L28" i="1"/>
  <c r="M28" i="1"/>
  <c r="N28" i="1"/>
  <c r="O28" i="1"/>
  <c r="P28" i="1"/>
  <c r="Q28" i="1"/>
  <c r="K29" i="1"/>
  <c r="L29" i="1"/>
  <c r="M29" i="1"/>
  <c r="N29" i="1"/>
  <c r="O29" i="1"/>
  <c r="P29" i="1"/>
  <c r="Q29" i="1"/>
  <c r="K30" i="1"/>
  <c r="L30" i="1"/>
  <c r="M30" i="1"/>
  <c r="N30" i="1"/>
  <c r="O30" i="1"/>
  <c r="P30" i="1"/>
  <c r="Q30" i="1"/>
  <c r="K31" i="1"/>
  <c r="L31" i="1"/>
  <c r="M31" i="1"/>
  <c r="N31" i="1"/>
  <c r="O31" i="1"/>
  <c r="P31" i="1"/>
  <c r="Q31" i="1"/>
  <c r="K32" i="1"/>
  <c r="L32" i="1"/>
  <c r="M32" i="1"/>
  <c r="N32" i="1"/>
  <c r="O32" i="1"/>
  <c r="P32" i="1"/>
  <c r="Q32" i="1"/>
  <c r="K33" i="1"/>
  <c r="L33" i="1"/>
  <c r="M33" i="1"/>
  <c r="N33" i="1"/>
  <c r="O33" i="1"/>
  <c r="P33" i="1"/>
  <c r="Q33" i="1"/>
  <c r="K34" i="1"/>
  <c r="L34" i="1"/>
  <c r="M34" i="1"/>
  <c r="N34" i="1"/>
  <c r="O34" i="1"/>
  <c r="P34" i="1"/>
  <c r="Q34" i="1"/>
  <c r="K35" i="1"/>
  <c r="L35" i="1"/>
  <c r="M35" i="1"/>
  <c r="N35" i="1"/>
  <c r="O35" i="1"/>
  <c r="P35" i="1"/>
  <c r="Q35" i="1"/>
  <c r="K36" i="1"/>
  <c r="L36" i="1"/>
  <c r="M36" i="1"/>
  <c r="N36" i="1"/>
  <c r="O36" i="1"/>
  <c r="P36" i="1"/>
  <c r="Q36" i="1"/>
  <c r="K37" i="1"/>
  <c r="L37" i="1"/>
  <c r="M37" i="1"/>
  <c r="N37" i="1"/>
  <c r="O37" i="1"/>
  <c r="P37" i="1"/>
  <c r="Q37" i="1"/>
  <c r="K38" i="1"/>
  <c r="L38" i="1"/>
  <c r="M38" i="1"/>
  <c r="N38" i="1"/>
  <c r="O38" i="1"/>
  <c r="P38" i="1"/>
  <c r="Q38" i="1"/>
  <c r="K39" i="1"/>
  <c r="L39" i="1"/>
  <c r="M39" i="1"/>
  <c r="N39" i="1"/>
  <c r="O39" i="1"/>
  <c r="P39" i="1"/>
  <c r="Q39" i="1"/>
  <c r="L25" i="1"/>
  <c r="M25" i="1"/>
  <c r="N25" i="1"/>
  <c r="O25" i="1"/>
  <c r="P25" i="1"/>
  <c r="Q25" i="1"/>
  <c r="K25" i="1"/>
  <c r="K7" i="1"/>
  <c r="L7" i="1"/>
  <c r="M7" i="1"/>
  <c r="N7" i="1"/>
  <c r="O7" i="1"/>
  <c r="P7" i="1"/>
  <c r="Q7" i="1"/>
  <c r="K8" i="1"/>
  <c r="L8" i="1"/>
  <c r="M8" i="1"/>
  <c r="N8" i="1"/>
  <c r="O8" i="1"/>
  <c r="P8" i="1"/>
  <c r="Q8" i="1"/>
  <c r="K9" i="1"/>
  <c r="L9" i="1"/>
  <c r="M9" i="1"/>
  <c r="N9" i="1"/>
  <c r="O9" i="1"/>
  <c r="P9" i="1"/>
  <c r="Q9" i="1"/>
  <c r="K10" i="1"/>
  <c r="L10" i="1"/>
  <c r="M10" i="1"/>
  <c r="N10" i="1"/>
  <c r="O10" i="1"/>
  <c r="P10" i="1"/>
  <c r="Q10" i="1"/>
  <c r="K11" i="1"/>
  <c r="L11" i="1"/>
  <c r="M11" i="1"/>
  <c r="N11" i="1"/>
  <c r="O11" i="1"/>
  <c r="P11" i="1"/>
  <c r="Q11" i="1"/>
  <c r="K12" i="1"/>
  <c r="L12" i="1"/>
  <c r="M12" i="1"/>
  <c r="N12" i="1"/>
  <c r="O12" i="1"/>
  <c r="P12" i="1"/>
  <c r="Q12" i="1"/>
  <c r="K13" i="1"/>
  <c r="L13" i="1"/>
  <c r="M13" i="1"/>
  <c r="N13" i="1"/>
  <c r="O13" i="1"/>
  <c r="P13" i="1"/>
  <c r="Q13" i="1"/>
  <c r="K14" i="1"/>
  <c r="L14" i="1"/>
  <c r="M14" i="1"/>
  <c r="N14" i="1"/>
  <c r="O14" i="1"/>
  <c r="P14" i="1"/>
  <c r="Q14" i="1"/>
  <c r="K15" i="1"/>
  <c r="L15" i="1"/>
  <c r="M15" i="1"/>
  <c r="N15" i="1"/>
  <c r="O15" i="1"/>
  <c r="P15" i="1"/>
  <c r="Q15" i="1"/>
  <c r="K16" i="1"/>
  <c r="L16" i="1"/>
  <c r="M16" i="1"/>
  <c r="N16" i="1"/>
  <c r="O16" i="1"/>
  <c r="P16" i="1"/>
  <c r="Q16" i="1"/>
  <c r="K17" i="1"/>
  <c r="L17" i="1"/>
  <c r="M17" i="1"/>
  <c r="N17" i="1"/>
  <c r="O17" i="1"/>
  <c r="P17" i="1"/>
  <c r="Q17" i="1"/>
  <c r="K18" i="1"/>
  <c r="L18" i="1"/>
  <c r="M18" i="1"/>
  <c r="N18" i="1"/>
  <c r="O18" i="1"/>
  <c r="P18" i="1"/>
  <c r="Q18" i="1"/>
  <c r="K19" i="1"/>
  <c r="L19" i="1"/>
  <c r="M19" i="1"/>
  <c r="N19" i="1"/>
  <c r="O19" i="1"/>
  <c r="P19" i="1"/>
  <c r="Q19" i="1"/>
  <c r="K20" i="1"/>
  <c r="L20" i="1"/>
  <c r="M20" i="1"/>
  <c r="N20" i="1"/>
  <c r="O20" i="1"/>
  <c r="P20" i="1"/>
  <c r="Q20" i="1"/>
  <c r="L6" i="1"/>
  <c r="M6" i="1"/>
  <c r="N6" i="1"/>
  <c r="O6" i="1"/>
  <c r="P6" i="1"/>
  <c r="Q6" i="1"/>
  <c r="K6" i="1"/>
  <c r="B140" i="1" l="1"/>
  <c r="C140" i="1"/>
  <c r="D140" i="1"/>
  <c r="E140" i="1"/>
  <c r="F140" i="1"/>
  <c r="G140" i="1"/>
  <c r="H140" i="1"/>
  <c r="B141" i="1"/>
  <c r="C141" i="1"/>
  <c r="D141" i="1"/>
  <c r="E141" i="1"/>
  <c r="F141" i="1"/>
  <c r="G141" i="1"/>
  <c r="H141" i="1"/>
  <c r="B142" i="1"/>
  <c r="C142" i="1"/>
  <c r="D142" i="1"/>
  <c r="E142" i="1"/>
  <c r="F142" i="1"/>
  <c r="G142" i="1"/>
  <c r="H142" i="1"/>
  <c r="B143" i="1"/>
  <c r="C143" i="1"/>
  <c r="D143" i="1"/>
  <c r="E143" i="1"/>
  <c r="F143" i="1"/>
  <c r="G143" i="1"/>
  <c r="H143" i="1"/>
  <c r="B144" i="1"/>
  <c r="C144" i="1"/>
  <c r="D144" i="1"/>
  <c r="E144" i="1"/>
  <c r="F144" i="1"/>
  <c r="G144" i="1"/>
  <c r="H144" i="1"/>
  <c r="B145" i="1"/>
  <c r="C145" i="1"/>
  <c r="D145" i="1"/>
  <c r="E145" i="1"/>
  <c r="F145" i="1"/>
  <c r="G145" i="1"/>
  <c r="H145" i="1"/>
  <c r="B146" i="1"/>
  <c r="C146" i="1"/>
  <c r="D146" i="1"/>
  <c r="E146" i="1"/>
  <c r="F146" i="1"/>
  <c r="G146" i="1"/>
  <c r="H146" i="1"/>
  <c r="B147" i="1"/>
  <c r="C147" i="1"/>
  <c r="D147" i="1"/>
  <c r="E147" i="1"/>
  <c r="F147" i="1"/>
  <c r="G147" i="1"/>
  <c r="H147" i="1"/>
  <c r="B148" i="1"/>
  <c r="C148" i="1"/>
  <c r="D148" i="1"/>
  <c r="E148" i="1"/>
  <c r="F148" i="1"/>
  <c r="G148" i="1"/>
  <c r="H148" i="1"/>
  <c r="B149" i="1"/>
  <c r="C149" i="1"/>
  <c r="D149" i="1"/>
  <c r="E149" i="1"/>
  <c r="F149" i="1"/>
  <c r="G149" i="1"/>
  <c r="H149" i="1"/>
  <c r="B150" i="1"/>
  <c r="C150" i="1"/>
  <c r="D150" i="1"/>
  <c r="E150" i="1"/>
  <c r="F150" i="1"/>
  <c r="G150" i="1"/>
  <c r="H150" i="1"/>
  <c r="B151" i="1"/>
  <c r="C151" i="1"/>
  <c r="D151" i="1"/>
  <c r="E151" i="1"/>
  <c r="F151" i="1"/>
  <c r="G151" i="1"/>
  <c r="H151" i="1"/>
  <c r="B152" i="1"/>
  <c r="C152" i="1"/>
  <c r="D152" i="1"/>
  <c r="E152" i="1"/>
  <c r="F152" i="1"/>
  <c r="G152" i="1"/>
  <c r="H152" i="1"/>
  <c r="B153" i="1"/>
  <c r="C153" i="1"/>
  <c r="D153" i="1"/>
  <c r="E153" i="1"/>
  <c r="F153" i="1"/>
  <c r="G153" i="1"/>
  <c r="H153" i="1"/>
  <c r="C139" i="1"/>
  <c r="D139" i="1"/>
  <c r="E139" i="1"/>
  <c r="F139" i="1"/>
  <c r="G139" i="1"/>
  <c r="H139" i="1"/>
  <c r="B139" i="1"/>
  <c r="B121" i="1"/>
  <c r="C121" i="1"/>
  <c r="D121" i="1"/>
  <c r="E121" i="1"/>
  <c r="F121" i="1"/>
  <c r="G121" i="1"/>
  <c r="H121" i="1"/>
  <c r="B122" i="1"/>
  <c r="C122" i="1"/>
  <c r="D122" i="1"/>
  <c r="E122" i="1"/>
  <c r="F122" i="1"/>
  <c r="G122" i="1"/>
  <c r="H122" i="1"/>
  <c r="B123" i="1"/>
  <c r="C123" i="1"/>
  <c r="D123" i="1"/>
  <c r="E123" i="1"/>
  <c r="F123" i="1"/>
  <c r="G123" i="1"/>
  <c r="H123" i="1"/>
  <c r="B124" i="1"/>
  <c r="C124" i="1"/>
  <c r="D124" i="1"/>
  <c r="E124" i="1"/>
  <c r="F124" i="1"/>
  <c r="G124" i="1"/>
  <c r="H124" i="1"/>
  <c r="B125" i="1"/>
  <c r="C125" i="1"/>
  <c r="D125" i="1"/>
  <c r="E125" i="1"/>
  <c r="F125" i="1"/>
  <c r="G125" i="1"/>
  <c r="H125" i="1"/>
  <c r="B126" i="1"/>
  <c r="C126" i="1"/>
  <c r="D126" i="1"/>
  <c r="E126" i="1"/>
  <c r="F126" i="1"/>
  <c r="G126" i="1"/>
  <c r="H126" i="1"/>
  <c r="B127" i="1"/>
  <c r="C127" i="1"/>
  <c r="D127" i="1"/>
  <c r="E127" i="1"/>
  <c r="F127" i="1"/>
  <c r="G127" i="1"/>
  <c r="H127" i="1"/>
  <c r="B128" i="1"/>
  <c r="C128" i="1"/>
  <c r="D128" i="1"/>
  <c r="E128" i="1"/>
  <c r="F128" i="1"/>
  <c r="G128" i="1"/>
  <c r="H128" i="1"/>
  <c r="B129" i="1"/>
  <c r="C129" i="1"/>
  <c r="D129" i="1"/>
  <c r="E129" i="1"/>
  <c r="F129" i="1"/>
  <c r="G129" i="1"/>
  <c r="H129" i="1"/>
  <c r="B130" i="1"/>
  <c r="C130" i="1"/>
  <c r="D130" i="1"/>
  <c r="E130" i="1"/>
  <c r="F130" i="1"/>
  <c r="G130" i="1"/>
  <c r="H130" i="1"/>
  <c r="B131" i="1"/>
  <c r="C131" i="1"/>
  <c r="D131" i="1"/>
  <c r="E131" i="1"/>
  <c r="F131" i="1"/>
  <c r="G131" i="1"/>
  <c r="H131" i="1"/>
  <c r="B132" i="1"/>
  <c r="C132" i="1"/>
  <c r="D132" i="1"/>
  <c r="E132" i="1"/>
  <c r="F132" i="1"/>
  <c r="G132" i="1"/>
  <c r="H132" i="1"/>
  <c r="B133" i="1"/>
  <c r="C133" i="1"/>
  <c r="D133" i="1"/>
  <c r="E133" i="1"/>
  <c r="F133" i="1"/>
  <c r="G133" i="1"/>
  <c r="H133" i="1"/>
  <c r="B134" i="1"/>
  <c r="C134" i="1"/>
  <c r="D134" i="1"/>
  <c r="E134" i="1"/>
  <c r="F134" i="1"/>
  <c r="F135" i="1" s="1"/>
  <c r="G134" i="1"/>
  <c r="H134" i="1"/>
  <c r="C120" i="1"/>
  <c r="D120" i="1"/>
  <c r="E120" i="1"/>
  <c r="F120" i="1"/>
  <c r="G120" i="1"/>
  <c r="H120" i="1"/>
  <c r="B120" i="1"/>
  <c r="B102" i="1"/>
  <c r="C102" i="1"/>
  <c r="D102" i="1"/>
  <c r="E102" i="1"/>
  <c r="F102" i="1"/>
  <c r="G102" i="1"/>
  <c r="H102" i="1"/>
  <c r="B103" i="1"/>
  <c r="C103" i="1"/>
  <c r="D103" i="1"/>
  <c r="E103" i="1"/>
  <c r="F103" i="1"/>
  <c r="G103" i="1"/>
  <c r="H103" i="1"/>
  <c r="B104" i="1"/>
  <c r="C104" i="1"/>
  <c r="D104" i="1"/>
  <c r="E104" i="1"/>
  <c r="F104" i="1"/>
  <c r="G104" i="1"/>
  <c r="H104" i="1"/>
  <c r="B105" i="1"/>
  <c r="C105" i="1"/>
  <c r="D105" i="1"/>
  <c r="E105" i="1"/>
  <c r="F105" i="1"/>
  <c r="G105" i="1"/>
  <c r="H105" i="1"/>
  <c r="B106" i="1"/>
  <c r="C106" i="1"/>
  <c r="D106" i="1"/>
  <c r="E106" i="1"/>
  <c r="F106" i="1"/>
  <c r="G106" i="1"/>
  <c r="H106" i="1"/>
  <c r="B107" i="1"/>
  <c r="C107" i="1"/>
  <c r="D107" i="1"/>
  <c r="E107" i="1"/>
  <c r="F107" i="1"/>
  <c r="G107" i="1"/>
  <c r="H107" i="1"/>
  <c r="B108" i="1"/>
  <c r="C108" i="1"/>
  <c r="D108" i="1"/>
  <c r="E108" i="1"/>
  <c r="F108" i="1"/>
  <c r="G108" i="1"/>
  <c r="H108" i="1"/>
  <c r="B109" i="1"/>
  <c r="C109" i="1"/>
  <c r="D109" i="1"/>
  <c r="E109" i="1"/>
  <c r="F109" i="1"/>
  <c r="G109" i="1"/>
  <c r="H109" i="1"/>
  <c r="B110" i="1"/>
  <c r="C110" i="1"/>
  <c r="D110" i="1"/>
  <c r="E110" i="1"/>
  <c r="F110" i="1"/>
  <c r="G110" i="1"/>
  <c r="H110" i="1"/>
  <c r="B111" i="1"/>
  <c r="C111" i="1"/>
  <c r="D111" i="1"/>
  <c r="E111" i="1"/>
  <c r="F111" i="1"/>
  <c r="G111" i="1"/>
  <c r="H111" i="1"/>
  <c r="B112" i="1"/>
  <c r="C112" i="1"/>
  <c r="D112" i="1"/>
  <c r="E112" i="1"/>
  <c r="F112" i="1"/>
  <c r="G112" i="1"/>
  <c r="H112" i="1"/>
  <c r="B113" i="1"/>
  <c r="C113" i="1"/>
  <c r="D113" i="1"/>
  <c r="E113" i="1"/>
  <c r="F113" i="1"/>
  <c r="G113" i="1"/>
  <c r="H113" i="1"/>
  <c r="B114" i="1"/>
  <c r="C114" i="1"/>
  <c r="D114" i="1"/>
  <c r="E114" i="1"/>
  <c r="F114" i="1"/>
  <c r="G114" i="1"/>
  <c r="H114" i="1"/>
  <c r="B115" i="1"/>
  <c r="C115" i="1"/>
  <c r="D115" i="1"/>
  <c r="E115" i="1"/>
  <c r="F115" i="1"/>
  <c r="F116" i="1" s="1"/>
  <c r="G115" i="1"/>
  <c r="G116" i="1" s="1"/>
  <c r="H115" i="1"/>
  <c r="H116" i="1" s="1"/>
  <c r="C101" i="1"/>
  <c r="D101" i="1"/>
  <c r="E101" i="1"/>
  <c r="F101" i="1"/>
  <c r="G101" i="1"/>
  <c r="H101" i="1"/>
  <c r="B101" i="1"/>
  <c r="B83" i="1"/>
  <c r="C83" i="1"/>
  <c r="D83" i="1"/>
  <c r="E83" i="1"/>
  <c r="F83" i="1"/>
  <c r="G83" i="1"/>
  <c r="H83" i="1"/>
  <c r="B84" i="1"/>
  <c r="C84" i="1"/>
  <c r="D84" i="1"/>
  <c r="E84" i="1"/>
  <c r="F84" i="1"/>
  <c r="G84" i="1"/>
  <c r="H84" i="1"/>
  <c r="B85" i="1"/>
  <c r="C85" i="1"/>
  <c r="D85" i="1"/>
  <c r="E85" i="1"/>
  <c r="F85" i="1"/>
  <c r="G85" i="1"/>
  <c r="H85" i="1"/>
  <c r="B86" i="1"/>
  <c r="C86" i="1"/>
  <c r="D86" i="1"/>
  <c r="E86" i="1"/>
  <c r="F86" i="1"/>
  <c r="G86" i="1"/>
  <c r="H86" i="1"/>
  <c r="B87" i="1"/>
  <c r="C87" i="1"/>
  <c r="D87" i="1"/>
  <c r="E87" i="1"/>
  <c r="F87" i="1"/>
  <c r="G87" i="1"/>
  <c r="H87" i="1"/>
  <c r="B88" i="1"/>
  <c r="C88" i="1"/>
  <c r="D88" i="1"/>
  <c r="E88" i="1"/>
  <c r="F88" i="1"/>
  <c r="G88" i="1"/>
  <c r="H88" i="1"/>
  <c r="B89" i="1"/>
  <c r="C89" i="1"/>
  <c r="D89" i="1"/>
  <c r="E89" i="1"/>
  <c r="F89" i="1"/>
  <c r="G89" i="1"/>
  <c r="H89" i="1"/>
  <c r="B90" i="1"/>
  <c r="C90" i="1"/>
  <c r="D90" i="1"/>
  <c r="E90" i="1"/>
  <c r="F90" i="1"/>
  <c r="G90" i="1"/>
  <c r="H90" i="1"/>
  <c r="B91" i="1"/>
  <c r="C91" i="1"/>
  <c r="D91" i="1"/>
  <c r="E91" i="1"/>
  <c r="F91" i="1"/>
  <c r="G91" i="1"/>
  <c r="H91" i="1"/>
  <c r="B92" i="1"/>
  <c r="C92" i="1"/>
  <c r="D92" i="1"/>
  <c r="E92" i="1"/>
  <c r="F92" i="1"/>
  <c r="G92" i="1"/>
  <c r="H92" i="1"/>
  <c r="B93" i="1"/>
  <c r="C93" i="1"/>
  <c r="D93" i="1"/>
  <c r="E93" i="1"/>
  <c r="F93" i="1"/>
  <c r="G93" i="1"/>
  <c r="H93" i="1"/>
  <c r="B94" i="1"/>
  <c r="C94" i="1"/>
  <c r="D94" i="1"/>
  <c r="E94" i="1"/>
  <c r="F94" i="1"/>
  <c r="G94" i="1"/>
  <c r="H94" i="1"/>
  <c r="B95" i="1"/>
  <c r="C95" i="1"/>
  <c r="D95" i="1"/>
  <c r="E95" i="1"/>
  <c r="F95" i="1"/>
  <c r="G95" i="1"/>
  <c r="H95" i="1"/>
  <c r="B96" i="1"/>
  <c r="C96" i="1"/>
  <c r="D96" i="1"/>
  <c r="E96" i="1"/>
  <c r="F96" i="1"/>
  <c r="G96" i="1"/>
  <c r="H96" i="1"/>
  <c r="C82" i="1"/>
  <c r="D82" i="1"/>
  <c r="E82" i="1"/>
  <c r="F82" i="1"/>
  <c r="G82" i="1"/>
  <c r="H82" i="1"/>
  <c r="B82" i="1"/>
  <c r="B64" i="1"/>
  <c r="C64" i="1"/>
  <c r="D64" i="1"/>
  <c r="E64" i="1"/>
  <c r="F64" i="1"/>
  <c r="G64" i="1"/>
  <c r="H64" i="1"/>
  <c r="B65" i="1"/>
  <c r="C65" i="1"/>
  <c r="D65" i="1"/>
  <c r="E65" i="1"/>
  <c r="F65" i="1"/>
  <c r="G65" i="1"/>
  <c r="H65" i="1"/>
  <c r="B66" i="1"/>
  <c r="C66" i="1"/>
  <c r="D66" i="1"/>
  <c r="E66" i="1"/>
  <c r="F66" i="1"/>
  <c r="G66" i="1"/>
  <c r="H66" i="1"/>
  <c r="B67" i="1"/>
  <c r="C67" i="1"/>
  <c r="D67" i="1"/>
  <c r="E67" i="1"/>
  <c r="F67" i="1"/>
  <c r="G67" i="1"/>
  <c r="H67" i="1"/>
  <c r="B68" i="1"/>
  <c r="C68" i="1"/>
  <c r="D68" i="1"/>
  <c r="E68" i="1"/>
  <c r="F68" i="1"/>
  <c r="G68" i="1"/>
  <c r="H68" i="1"/>
  <c r="B69" i="1"/>
  <c r="C69" i="1"/>
  <c r="D69" i="1"/>
  <c r="E69" i="1"/>
  <c r="F69" i="1"/>
  <c r="G69" i="1"/>
  <c r="H69" i="1"/>
  <c r="B70" i="1"/>
  <c r="C70" i="1"/>
  <c r="D70" i="1"/>
  <c r="E70" i="1"/>
  <c r="F70" i="1"/>
  <c r="G70" i="1"/>
  <c r="H70" i="1"/>
  <c r="B71" i="1"/>
  <c r="C71" i="1"/>
  <c r="D71" i="1"/>
  <c r="E71" i="1"/>
  <c r="F71" i="1"/>
  <c r="G71" i="1"/>
  <c r="H71" i="1"/>
  <c r="B72" i="1"/>
  <c r="C72" i="1"/>
  <c r="D72" i="1"/>
  <c r="E72" i="1"/>
  <c r="F72" i="1"/>
  <c r="G72" i="1"/>
  <c r="H72" i="1"/>
  <c r="B73" i="1"/>
  <c r="C73" i="1"/>
  <c r="D73" i="1"/>
  <c r="E73" i="1"/>
  <c r="F73" i="1"/>
  <c r="G73" i="1"/>
  <c r="H73" i="1"/>
  <c r="B74" i="1"/>
  <c r="C74" i="1"/>
  <c r="D74" i="1"/>
  <c r="E74" i="1"/>
  <c r="F74" i="1"/>
  <c r="G74" i="1"/>
  <c r="H74" i="1"/>
  <c r="B75" i="1"/>
  <c r="C75" i="1"/>
  <c r="D75" i="1"/>
  <c r="E75" i="1"/>
  <c r="F75" i="1"/>
  <c r="G75" i="1"/>
  <c r="H75" i="1"/>
  <c r="B76" i="1"/>
  <c r="C76" i="1"/>
  <c r="D76" i="1"/>
  <c r="E76" i="1"/>
  <c r="F76" i="1"/>
  <c r="G76" i="1"/>
  <c r="H76" i="1"/>
  <c r="B77" i="1"/>
  <c r="C77" i="1"/>
  <c r="D77" i="1"/>
  <c r="E77" i="1"/>
  <c r="F77" i="1"/>
  <c r="G77" i="1"/>
  <c r="H77" i="1"/>
  <c r="C63" i="1"/>
  <c r="D63" i="1"/>
  <c r="E63" i="1"/>
  <c r="F63" i="1"/>
  <c r="G63" i="1"/>
  <c r="H63" i="1"/>
  <c r="B63" i="1"/>
  <c r="B45" i="1"/>
  <c r="C45" i="1"/>
  <c r="D45" i="1"/>
  <c r="E45" i="1"/>
  <c r="F45" i="1"/>
  <c r="G45" i="1"/>
  <c r="H45" i="1"/>
  <c r="B46" i="1"/>
  <c r="C46" i="1"/>
  <c r="D46" i="1"/>
  <c r="E46" i="1"/>
  <c r="F46" i="1"/>
  <c r="G46" i="1"/>
  <c r="H46" i="1"/>
  <c r="B47" i="1"/>
  <c r="C47" i="1"/>
  <c r="D47" i="1"/>
  <c r="E47" i="1"/>
  <c r="F47" i="1"/>
  <c r="G47" i="1"/>
  <c r="H47" i="1"/>
  <c r="B48" i="1"/>
  <c r="C48" i="1"/>
  <c r="D48" i="1"/>
  <c r="E48" i="1"/>
  <c r="F48" i="1"/>
  <c r="G48" i="1"/>
  <c r="H48" i="1"/>
  <c r="B49" i="1"/>
  <c r="C49" i="1"/>
  <c r="D49" i="1"/>
  <c r="E49" i="1"/>
  <c r="F49" i="1"/>
  <c r="G49" i="1"/>
  <c r="H49" i="1"/>
  <c r="B50" i="1"/>
  <c r="C50" i="1"/>
  <c r="D50" i="1"/>
  <c r="E50" i="1"/>
  <c r="F50" i="1"/>
  <c r="G50" i="1"/>
  <c r="H50" i="1"/>
  <c r="B51" i="1"/>
  <c r="C51" i="1"/>
  <c r="D51" i="1"/>
  <c r="E51" i="1"/>
  <c r="F51" i="1"/>
  <c r="G51" i="1"/>
  <c r="H51" i="1"/>
  <c r="B52" i="1"/>
  <c r="C52" i="1"/>
  <c r="D52" i="1"/>
  <c r="E52" i="1"/>
  <c r="F52" i="1"/>
  <c r="G52" i="1"/>
  <c r="H52" i="1"/>
  <c r="B53" i="1"/>
  <c r="C53" i="1"/>
  <c r="D53" i="1"/>
  <c r="E53" i="1"/>
  <c r="F53" i="1"/>
  <c r="G53" i="1"/>
  <c r="H53" i="1"/>
  <c r="B54" i="1"/>
  <c r="C54" i="1"/>
  <c r="D54" i="1"/>
  <c r="E54" i="1"/>
  <c r="F54" i="1"/>
  <c r="G54" i="1"/>
  <c r="H54" i="1"/>
  <c r="B55" i="1"/>
  <c r="C55" i="1"/>
  <c r="D55" i="1"/>
  <c r="E55" i="1"/>
  <c r="F55" i="1"/>
  <c r="G55" i="1"/>
  <c r="H55" i="1"/>
  <c r="B56" i="1"/>
  <c r="C56" i="1"/>
  <c r="D56" i="1"/>
  <c r="E56" i="1"/>
  <c r="F56" i="1"/>
  <c r="G56" i="1"/>
  <c r="H56" i="1"/>
  <c r="B57" i="1"/>
  <c r="C57" i="1"/>
  <c r="D57" i="1"/>
  <c r="E57" i="1"/>
  <c r="F57" i="1"/>
  <c r="G57" i="1"/>
  <c r="H57" i="1"/>
  <c r="B58" i="1"/>
  <c r="C58" i="1"/>
  <c r="D58" i="1"/>
  <c r="E58" i="1"/>
  <c r="F58" i="1"/>
  <c r="G58" i="1"/>
  <c r="H58" i="1"/>
  <c r="C44" i="1"/>
  <c r="D44" i="1"/>
  <c r="E44" i="1"/>
  <c r="F44" i="1"/>
  <c r="G44" i="1"/>
  <c r="H44" i="1"/>
  <c r="B44" i="1"/>
  <c r="B26" i="1"/>
  <c r="C26" i="1"/>
  <c r="D26" i="1"/>
  <c r="E26" i="1"/>
  <c r="F26" i="1"/>
  <c r="G26" i="1"/>
  <c r="H26" i="1"/>
  <c r="B27" i="1"/>
  <c r="C27" i="1"/>
  <c r="D27" i="1"/>
  <c r="E27" i="1"/>
  <c r="F27" i="1"/>
  <c r="G27" i="1"/>
  <c r="H27" i="1"/>
  <c r="B28" i="1"/>
  <c r="C28" i="1"/>
  <c r="D28" i="1"/>
  <c r="E28" i="1"/>
  <c r="F28" i="1"/>
  <c r="G28" i="1"/>
  <c r="H28" i="1"/>
  <c r="B29" i="1"/>
  <c r="C29" i="1"/>
  <c r="D29" i="1"/>
  <c r="E29" i="1"/>
  <c r="F29" i="1"/>
  <c r="G29" i="1"/>
  <c r="H29" i="1"/>
  <c r="B30" i="1"/>
  <c r="C30" i="1"/>
  <c r="D30" i="1"/>
  <c r="E30" i="1"/>
  <c r="F30" i="1"/>
  <c r="G30" i="1"/>
  <c r="H30" i="1"/>
  <c r="B31" i="1"/>
  <c r="C31" i="1"/>
  <c r="D31" i="1"/>
  <c r="E31" i="1"/>
  <c r="F31" i="1"/>
  <c r="G31" i="1"/>
  <c r="H31" i="1"/>
  <c r="B32" i="1"/>
  <c r="C32" i="1"/>
  <c r="D32" i="1"/>
  <c r="E32" i="1"/>
  <c r="F32" i="1"/>
  <c r="G32" i="1"/>
  <c r="H32" i="1"/>
  <c r="B33" i="1"/>
  <c r="C33" i="1"/>
  <c r="D33" i="1"/>
  <c r="E33" i="1"/>
  <c r="F33" i="1"/>
  <c r="G33" i="1"/>
  <c r="H33" i="1"/>
  <c r="B34" i="1"/>
  <c r="C34" i="1"/>
  <c r="D34" i="1"/>
  <c r="E34" i="1"/>
  <c r="F34" i="1"/>
  <c r="G34" i="1"/>
  <c r="H34" i="1"/>
  <c r="B35" i="1"/>
  <c r="C35" i="1"/>
  <c r="D35" i="1"/>
  <c r="E35" i="1"/>
  <c r="F35" i="1"/>
  <c r="G35" i="1"/>
  <c r="H35" i="1"/>
  <c r="B36" i="1"/>
  <c r="C36" i="1"/>
  <c r="D36" i="1"/>
  <c r="E36" i="1"/>
  <c r="F36" i="1"/>
  <c r="G36" i="1"/>
  <c r="H36" i="1"/>
  <c r="B37" i="1"/>
  <c r="C37" i="1"/>
  <c r="D37" i="1"/>
  <c r="E37" i="1"/>
  <c r="F37" i="1"/>
  <c r="G37" i="1"/>
  <c r="H37" i="1"/>
  <c r="B38" i="1"/>
  <c r="C38" i="1"/>
  <c r="D38" i="1"/>
  <c r="E38" i="1"/>
  <c r="F38" i="1"/>
  <c r="G38" i="1"/>
  <c r="H38" i="1"/>
  <c r="B39" i="1"/>
  <c r="C39" i="1"/>
  <c r="D39" i="1"/>
  <c r="E39" i="1"/>
  <c r="F39" i="1"/>
  <c r="G39" i="1"/>
  <c r="H39" i="1"/>
  <c r="C25" i="1"/>
  <c r="D25" i="1"/>
  <c r="E25" i="1"/>
  <c r="F25" i="1"/>
  <c r="G25" i="1"/>
  <c r="H25" i="1"/>
  <c r="B25" i="1"/>
  <c r="B7" i="1"/>
  <c r="C7" i="1"/>
  <c r="D7" i="1"/>
  <c r="E7" i="1"/>
  <c r="F7" i="1"/>
  <c r="G7" i="1"/>
  <c r="H7" i="1"/>
  <c r="B8" i="1"/>
  <c r="C8" i="1"/>
  <c r="D8" i="1"/>
  <c r="E8" i="1"/>
  <c r="F8" i="1"/>
  <c r="G8" i="1"/>
  <c r="H8" i="1"/>
  <c r="B9" i="1"/>
  <c r="C9" i="1"/>
  <c r="D9" i="1"/>
  <c r="E9" i="1"/>
  <c r="F9" i="1"/>
  <c r="G9" i="1"/>
  <c r="H9" i="1"/>
  <c r="B10" i="1"/>
  <c r="C10" i="1"/>
  <c r="D10" i="1"/>
  <c r="E10" i="1"/>
  <c r="F10" i="1"/>
  <c r="G10" i="1"/>
  <c r="H10" i="1"/>
  <c r="B11" i="1"/>
  <c r="C11" i="1"/>
  <c r="D11" i="1"/>
  <c r="E11" i="1"/>
  <c r="F11" i="1"/>
  <c r="G11" i="1"/>
  <c r="H11" i="1"/>
  <c r="B12" i="1"/>
  <c r="C12" i="1"/>
  <c r="D12" i="1"/>
  <c r="E12" i="1"/>
  <c r="F12" i="1"/>
  <c r="G12" i="1"/>
  <c r="H12" i="1"/>
  <c r="B13" i="1"/>
  <c r="C13" i="1"/>
  <c r="D13" i="1"/>
  <c r="E13" i="1"/>
  <c r="F13" i="1"/>
  <c r="G13" i="1"/>
  <c r="H13" i="1"/>
  <c r="B14" i="1"/>
  <c r="C14" i="1"/>
  <c r="D14" i="1"/>
  <c r="E14" i="1"/>
  <c r="F14" i="1"/>
  <c r="G14" i="1"/>
  <c r="H14" i="1"/>
  <c r="B15" i="1"/>
  <c r="C15" i="1"/>
  <c r="D15" i="1"/>
  <c r="E15" i="1"/>
  <c r="F15" i="1"/>
  <c r="G15" i="1"/>
  <c r="H15" i="1"/>
  <c r="B16" i="1"/>
  <c r="C16" i="1"/>
  <c r="D16" i="1"/>
  <c r="E16" i="1"/>
  <c r="F16" i="1"/>
  <c r="G16" i="1"/>
  <c r="H16" i="1"/>
  <c r="B17" i="1"/>
  <c r="C17" i="1"/>
  <c r="D17" i="1"/>
  <c r="E17" i="1"/>
  <c r="F17" i="1"/>
  <c r="G17" i="1"/>
  <c r="H17" i="1"/>
  <c r="B18" i="1"/>
  <c r="C18" i="1"/>
  <c r="D18" i="1"/>
  <c r="E18" i="1"/>
  <c r="F18" i="1"/>
  <c r="G18" i="1"/>
  <c r="H18" i="1"/>
  <c r="B19" i="1"/>
  <c r="C19" i="1"/>
  <c r="D19" i="1"/>
  <c r="E19" i="1"/>
  <c r="F19" i="1"/>
  <c r="G19" i="1"/>
  <c r="H19" i="1"/>
  <c r="B20" i="1"/>
  <c r="C20" i="1"/>
  <c r="D20" i="1"/>
  <c r="E20" i="1"/>
  <c r="F20" i="1"/>
  <c r="G20" i="1"/>
  <c r="H20" i="1"/>
  <c r="C6" i="1"/>
  <c r="D6" i="1"/>
  <c r="E6" i="1"/>
  <c r="F6" i="1"/>
  <c r="G6" i="1"/>
  <c r="H6" i="1"/>
  <c r="B6" i="1"/>
  <c r="B9" i="18"/>
  <c r="B8" i="18"/>
  <c r="B7" i="18"/>
  <c r="B6" i="18"/>
  <c r="B5" i="18"/>
  <c r="L2" i="18"/>
  <c r="L22" i="18" s="1"/>
  <c r="I2" i="18"/>
  <c r="W13" i="17"/>
  <c r="W22" i="17" s="1"/>
  <c r="W31" i="17" s="1"/>
  <c r="W14" i="17"/>
  <c r="W23" i="17" s="1"/>
  <c r="W32" i="17" s="1"/>
  <c r="W15" i="17"/>
  <c r="W24" i="17" s="1"/>
  <c r="W33" i="17" s="1"/>
  <c r="W16" i="17"/>
  <c r="W25" i="17" s="1"/>
  <c r="W34" i="17" s="1"/>
  <c r="W17" i="17"/>
  <c r="W26" i="17" s="1"/>
  <c r="W35" i="17" s="1"/>
  <c r="W2" i="17"/>
  <c r="A2" i="1"/>
  <c r="W37" i="17"/>
  <c r="W36" i="17"/>
  <c r="W28" i="17"/>
  <c r="W27" i="17"/>
  <c r="W19" i="17"/>
  <c r="W18" i="17"/>
  <c r="W10" i="17"/>
  <c r="W9" i="17"/>
  <c r="BA154" i="19"/>
  <c r="AZ154" i="19"/>
  <c r="AY154" i="19"/>
  <c r="AU154" i="19"/>
  <c r="BA135" i="19"/>
  <c r="AZ135" i="19"/>
  <c r="AY135" i="19"/>
  <c r="AU135" i="19"/>
  <c r="BA116" i="19"/>
  <c r="AZ116" i="19"/>
  <c r="AY116" i="19"/>
  <c r="AU116" i="19"/>
  <c r="BA97" i="19"/>
  <c r="AZ97" i="19"/>
  <c r="AY97" i="19"/>
  <c r="AU97" i="19"/>
  <c r="BA78" i="19"/>
  <c r="AZ78" i="19"/>
  <c r="AY78" i="19"/>
  <c r="AU78" i="19"/>
  <c r="BA59" i="19"/>
  <c r="AZ59" i="19"/>
  <c r="AY59" i="19"/>
  <c r="AU59" i="19"/>
  <c r="BA40" i="19"/>
  <c r="AZ40" i="19"/>
  <c r="AY40" i="19"/>
  <c r="AU40" i="19"/>
  <c r="BA21" i="19"/>
  <c r="AZ21" i="19"/>
  <c r="AY21" i="19"/>
  <c r="AU21" i="19"/>
  <c r="AR154" i="19"/>
  <c r="AQ154" i="19"/>
  <c r="AP154" i="19"/>
  <c r="AL154" i="19"/>
  <c r="AR135" i="19"/>
  <c r="AQ135" i="19"/>
  <c r="AP135" i="19"/>
  <c r="AL135" i="19"/>
  <c r="AR116" i="19"/>
  <c r="AQ116" i="19"/>
  <c r="AP116" i="19"/>
  <c r="AL116" i="19"/>
  <c r="AR97" i="19"/>
  <c r="AQ97" i="19"/>
  <c r="AP97" i="19"/>
  <c r="AL97" i="19"/>
  <c r="AR78" i="19"/>
  <c r="AQ78" i="19"/>
  <c r="AP78" i="19"/>
  <c r="AL78" i="19"/>
  <c r="AR59" i="19"/>
  <c r="AQ59" i="19"/>
  <c r="AP59" i="19"/>
  <c r="AL59" i="19"/>
  <c r="AR40" i="19"/>
  <c r="AQ40" i="19"/>
  <c r="AP40" i="19"/>
  <c r="AL40" i="19"/>
  <c r="AR21" i="19"/>
  <c r="AQ21" i="19"/>
  <c r="AP21" i="19"/>
  <c r="AL21" i="19"/>
  <c r="AI154" i="19"/>
  <c r="AH154" i="19"/>
  <c r="AG154" i="19"/>
  <c r="AC154" i="19"/>
  <c r="AI135" i="19"/>
  <c r="AH135" i="19"/>
  <c r="AG135" i="19"/>
  <c r="AC135" i="19"/>
  <c r="AI116" i="19"/>
  <c r="AH116" i="19"/>
  <c r="AG116" i="19"/>
  <c r="AC116" i="19"/>
  <c r="AI97" i="19"/>
  <c r="AH97" i="19"/>
  <c r="AG97" i="19"/>
  <c r="AC97" i="19"/>
  <c r="AI78" i="19"/>
  <c r="AH78" i="19"/>
  <c r="AG78" i="19"/>
  <c r="AC78" i="19"/>
  <c r="AI59" i="19"/>
  <c r="AH59" i="19"/>
  <c r="AG59" i="19"/>
  <c r="AC59" i="19"/>
  <c r="AI40" i="19"/>
  <c r="AH40" i="19"/>
  <c r="AG40" i="19"/>
  <c r="AC40" i="19"/>
  <c r="AI21" i="19"/>
  <c r="AH21" i="19"/>
  <c r="AG21" i="19"/>
  <c r="AC21" i="19"/>
  <c r="Z154" i="19"/>
  <c r="Y154" i="19"/>
  <c r="X154" i="19"/>
  <c r="T154" i="19"/>
  <c r="Z135" i="19"/>
  <c r="Y135" i="19"/>
  <c r="X135" i="19"/>
  <c r="T135" i="19"/>
  <c r="Z116" i="19"/>
  <c r="Y116" i="19"/>
  <c r="X116" i="19"/>
  <c r="T116" i="19"/>
  <c r="Z97" i="19"/>
  <c r="Y97" i="19"/>
  <c r="X97" i="19"/>
  <c r="T97" i="19"/>
  <c r="Z78" i="19"/>
  <c r="Y78" i="19"/>
  <c r="X78" i="19"/>
  <c r="T78" i="19"/>
  <c r="Z59" i="19"/>
  <c r="Y59" i="19"/>
  <c r="X59" i="19"/>
  <c r="T59" i="19"/>
  <c r="Z40" i="19"/>
  <c r="Y40" i="19"/>
  <c r="X40" i="19"/>
  <c r="T40" i="19"/>
  <c r="Z21" i="19"/>
  <c r="Y21" i="19"/>
  <c r="X21" i="19"/>
  <c r="T21" i="19"/>
  <c r="Q154" i="19"/>
  <c r="P154" i="19"/>
  <c r="O154" i="19"/>
  <c r="K154" i="19"/>
  <c r="Q135" i="19"/>
  <c r="P135" i="19"/>
  <c r="O135" i="19"/>
  <c r="K135" i="19"/>
  <c r="Q116" i="19"/>
  <c r="P116" i="19"/>
  <c r="O116" i="19"/>
  <c r="K116" i="19"/>
  <c r="Q97" i="19"/>
  <c r="P97" i="19"/>
  <c r="O97" i="19"/>
  <c r="K97" i="19"/>
  <c r="Q78" i="19"/>
  <c r="P78" i="19"/>
  <c r="O78" i="19"/>
  <c r="K78" i="19"/>
  <c r="Q59" i="19"/>
  <c r="P59" i="19"/>
  <c r="O59" i="19"/>
  <c r="K59" i="19"/>
  <c r="Q40" i="19"/>
  <c r="P40" i="19"/>
  <c r="O40" i="19"/>
  <c r="K40" i="19"/>
  <c r="Q21" i="19"/>
  <c r="P21" i="19"/>
  <c r="O21" i="19"/>
  <c r="K21" i="19"/>
  <c r="AT1" i="19"/>
  <c r="AK1" i="19"/>
  <c r="AB1" i="19"/>
  <c r="S1" i="19"/>
  <c r="J1" i="19"/>
  <c r="A1" i="19"/>
  <c r="H154" i="19"/>
  <c r="G154" i="19"/>
  <c r="F154" i="19"/>
  <c r="B154" i="19"/>
  <c r="H135" i="19"/>
  <c r="G135" i="19"/>
  <c r="F135" i="19"/>
  <c r="B135" i="19"/>
  <c r="H116" i="19"/>
  <c r="G116" i="19"/>
  <c r="F116" i="19"/>
  <c r="B116" i="19"/>
  <c r="H97" i="19"/>
  <c r="G97" i="19"/>
  <c r="F97" i="19"/>
  <c r="B97" i="19"/>
  <c r="H78" i="19"/>
  <c r="G78" i="19"/>
  <c r="F78" i="19"/>
  <c r="B78" i="19"/>
  <c r="H59" i="19"/>
  <c r="G59" i="19"/>
  <c r="F59" i="19"/>
  <c r="B59" i="19"/>
  <c r="H40" i="19"/>
  <c r="G40" i="19"/>
  <c r="F40" i="19"/>
  <c r="B40" i="19"/>
  <c r="H21" i="19"/>
  <c r="G21" i="19"/>
  <c r="F21" i="19"/>
  <c r="B21" i="19"/>
  <c r="AT2" i="19"/>
  <c r="AK2" i="19"/>
  <c r="AB2" i="19"/>
  <c r="S2" i="19"/>
  <c r="J2" i="19"/>
  <c r="A2" i="19"/>
  <c r="B116" i="1" l="1"/>
  <c r="W58" i="17"/>
  <c r="W40" i="17"/>
  <c r="W49" i="17" s="1"/>
  <c r="W42" i="17"/>
  <c r="W51" i="17" s="1"/>
  <c r="W60" i="17"/>
  <c r="W41" i="17"/>
  <c r="W50" i="17" s="1"/>
  <c r="W59" i="17"/>
  <c r="W43" i="17"/>
  <c r="W52" i="17" s="1"/>
  <c r="W61" i="17"/>
  <c r="W62" i="17"/>
  <c r="W44" i="17"/>
  <c r="W53" i="17" s="1"/>
  <c r="B19" i="18"/>
  <c r="B39" i="18" s="1"/>
  <c r="BM55" i="17"/>
  <c r="AR53" i="17"/>
  <c r="AK53" i="17"/>
  <c r="AD53" i="17"/>
  <c r="I53" i="17"/>
  <c r="AR52" i="17"/>
  <c r="AK52" i="17"/>
  <c r="AD52" i="17"/>
  <c r="I52" i="17"/>
  <c r="AR51" i="17"/>
  <c r="AK51" i="17"/>
  <c r="AD51" i="17"/>
  <c r="I51" i="17"/>
  <c r="AR50" i="17"/>
  <c r="AK50" i="17"/>
  <c r="AD50" i="17"/>
  <c r="I50" i="17"/>
  <c r="AR49" i="17"/>
  <c r="AK49" i="17"/>
  <c r="AD49" i="17"/>
  <c r="I49" i="17"/>
  <c r="B26" i="18"/>
  <c r="B14" i="18"/>
  <c r="B34" i="18" s="1"/>
  <c r="BM37" i="17"/>
  <c r="BF37" i="17"/>
  <c r="AY37" i="17"/>
  <c r="AR37" i="17"/>
  <c r="AK37" i="17"/>
  <c r="AD37" i="17"/>
  <c r="P37" i="17"/>
  <c r="I37" i="17"/>
  <c r="BM36" i="17"/>
  <c r="BF36" i="17"/>
  <c r="AY36" i="17"/>
  <c r="AR36" i="17"/>
  <c r="AK36" i="17"/>
  <c r="AD36" i="17"/>
  <c r="P36" i="17"/>
  <c r="I36" i="17"/>
  <c r="BM28" i="17"/>
  <c r="BF28" i="17"/>
  <c r="AY28" i="17"/>
  <c r="AR28" i="17"/>
  <c r="AK28" i="17"/>
  <c r="AD28" i="17"/>
  <c r="P28" i="17"/>
  <c r="I28" i="17"/>
  <c r="BM27" i="17"/>
  <c r="BF27" i="17"/>
  <c r="AY27" i="17"/>
  <c r="AR27" i="17"/>
  <c r="AK27" i="17"/>
  <c r="AD27" i="17"/>
  <c r="P27" i="17"/>
  <c r="I27" i="17"/>
  <c r="BM19" i="17"/>
  <c r="BF19" i="17"/>
  <c r="AY19" i="17"/>
  <c r="AR19" i="17"/>
  <c r="AK19" i="17"/>
  <c r="AD19" i="17"/>
  <c r="P19" i="17"/>
  <c r="I19" i="17"/>
  <c r="BM18" i="17"/>
  <c r="BF18" i="17"/>
  <c r="AY18" i="17"/>
  <c r="AR18" i="17"/>
  <c r="AK18" i="17"/>
  <c r="AD18" i="17"/>
  <c r="P18" i="17"/>
  <c r="I18" i="17"/>
  <c r="BM10" i="17"/>
  <c r="BF10" i="17"/>
  <c r="AY10" i="17"/>
  <c r="AR10" i="17"/>
  <c r="AK10" i="17"/>
  <c r="AD10" i="17"/>
  <c r="P10" i="17"/>
  <c r="I10" i="17"/>
  <c r="BM9" i="17"/>
  <c r="BF9" i="17"/>
  <c r="AY9" i="17"/>
  <c r="AR9" i="17"/>
  <c r="AK9" i="17"/>
  <c r="AD9" i="17"/>
  <c r="P9" i="17"/>
  <c r="I9" i="17"/>
  <c r="O32" i="18"/>
  <c r="L12" i="18"/>
  <c r="L32" i="18" s="1"/>
  <c r="I12" i="18"/>
  <c r="I32" i="18" s="1"/>
  <c r="F12" i="18"/>
  <c r="F32" i="18" s="1"/>
  <c r="C12" i="18"/>
  <c r="C32" i="18" s="1"/>
  <c r="O2" i="18"/>
  <c r="O22" i="18" s="1"/>
  <c r="I22" i="18"/>
  <c r="F2" i="18"/>
  <c r="F22" i="18" s="1"/>
  <c r="AW62" i="17"/>
  <c r="AV62" i="17"/>
  <c r="AU62" i="17"/>
  <c r="AR62" i="17"/>
  <c r="AK62" i="17"/>
  <c r="AD62" i="17"/>
  <c r="I62" i="17"/>
  <c r="AW61" i="17"/>
  <c r="AV61" i="17"/>
  <c r="AU61" i="17"/>
  <c r="AR61" i="17"/>
  <c r="AK61" i="17"/>
  <c r="AD61" i="17"/>
  <c r="I61" i="17"/>
  <c r="AW60" i="17"/>
  <c r="AV60" i="17"/>
  <c r="AU60" i="17"/>
  <c r="AR60" i="17"/>
  <c r="AK60" i="17"/>
  <c r="AD60" i="17"/>
  <c r="I60" i="17"/>
  <c r="AW59" i="17"/>
  <c r="AV59" i="17"/>
  <c r="AU59" i="17"/>
  <c r="AR59" i="17"/>
  <c r="AK59" i="17"/>
  <c r="AD59" i="17"/>
  <c r="I59" i="17"/>
  <c r="AR58" i="17"/>
  <c r="AK58" i="17"/>
  <c r="AD58" i="17"/>
  <c r="I58" i="17"/>
  <c r="AR44" i="17"/>
  <c r="AK44" i="17"/>
  <c r="AD44" i="17"/>
  <c r="I44" i="17"/>
  <c r="AR43" i="17"/>
  <c r="AK43" i="17"/>
  <c r="AD43" i="17"/>
  <c r="I43" i="17"/>
  <c r="AR42" i="17"/>
  <c r="AK42" i="17"/>
  <c r="AD42" i="17"/>
  <c r="I42" i="17"/>
  <c r="AR41" i="17"/>
  <c r="AK41" i="17"/>
  <c r="AD41" i="17"/>
  <c r="I41" i="17"/>
  <c r="AR40" i="17"/>
  <c r="AK40" i="17"/>
  <c r="AD40" i="17"/>
  <c r="I40" i="17"/>
  <c r="AR35" i="17"/>
  <c r="AK35" i="17"/>
  <c r="AD35" i="17"/>
  <c r="I35" i="17"/>
  <c r="AR34" i="17"/>
  <c r="AK34" i="17"/>
  <c r="AD34" i="17"/>
  <c r="I34" i="17"/>
  <c r="AR33" i="17"/>
  <c r="AK33" i="17"/>
  <c r="AD33" i="17"/>
  <c r="I33" i="17"/>
  <c r="AR32" i="17"/>
  <c r="AK32" i="17"/>
  <c r="AD32" i="17"/>
  <c r="I32" i="17"/>
  <c r="AR31" i="17"/>
  <c r="AK31" i="17"/>
  <c r="AD31" i="17"/>
  <c r="I31" i="17"/>
  <c r="AR26" i="17"/>
  <c r="AK26" i="17"/>
  <c r="AD26" i="17"/>
  <c r="I26" i="17"/>
  <c r="AR25" i="17"/>
  <c r="AK25" i="17"/>
  <c r="AD25" i="17"/>
  <c r="I25" i="17"/>
  <c r="AR24" i="17"/>
  <c r="AK24" i="17"/>
  <c r="AD24" i="17"/>
  <c r="I24" i="17"/>
  <c r="AR23" i="17"/>
  <c r="AK23" i="17"/>
  <c r="AD23" i="17"/>
  <c r="I23" i="17"/>
  <c r="AR22" i="17"/>
  <c r="AK22" i="17"/>
  <c r="AD22" i="17"/>
  <c r="I22" i="17"/>
  <c r="BM17" i="17"/>
  <c r="BM26" i="17" s="1"/>
  <c r="BM35" i="17" s="1"/>
  <c r="BF17" i="17"/>
  <c r="BF26" i="17" s="1"/>
  <c r="BF35" i="17" s="1"/>
  <c r="AY17" i="17"/>
  <c r="AY26" i="17" s="1"/>
  <c r="AY35" i="17" s="1"/>
  <c r="AR17" i="17"/>
  <c r="AK17" i="17"/>
  <c r="AD17" i="17"/>
  <c r="P17" i="17"/>
  <c r="P26" i="17" s="1"/>
  <c r="P35" i="17" s="1"/>
  <c r="I17" i="17"/>
  <c r="BM16" i="17"/>
  <c r="BM25" i="17" s="1"/>
  <c r="BM34" i="17" s="1"/>
  <c r="BF16" i="17"/>
  <c r="BF25" i="17" s="1"/>
  <c r="BF34" i="17" s="1"/>
  <c r="AY16" i="17"/>
  <c r="AY25" i="17" s="1"/>
  <c r="AY34" i="17" s="1"/>
  <c r="AR16" i="17"/>
  <c r="AK16" i="17"/>
  <c r="AD16" i="17"/>
  <c r="P16" i="17"/>
  <c r="P25" i="17" s="1"/>
  <c r="P34" i="17" s="1"/>
  <c r="I16" i="17"/>
  <c r="BM15" i="17"/>
  <c r="BM24" i="17" s="1"/>
  <c r="BM33" i="17" s="1"/>
  <c r="BF15" i="17"/>
  <c r="BF24" i="17" s="1"/>
  <c r="BF33" i="17" s="1"/>
  <c r="AY15" i="17"/>
  <c r="AY24" i="17" s="1"/>
  <c r="AY33" i="17" s="1"/>
  <c r="AR15" i="17"/>
  <c r="AK15" i="17"/>
  <c r="AD15" i="17"/>
  <c r="P15" i="17"/>
  <c r="P24" i="17" s="1"/>
  <c r="P33" i="17" s="1"/>
  <c r="I15" i="17"/>
  <c r="BM14" i="17"/>
  <c r="BM23" i="17" s="1"/>
  <c r="BM32" i="17" s="1"/>
  <c r="BF14" i="17"/>
  <c r="BF23" i="17" s="1"/>
  <c r="BF32" i="17" s="1"/>
  <c r="AY14" i="17"/>
  <c r="AY23" i="17" s="1"/>
  <c r="AY32" i="17" s="1"/>
  <c r="AR14" i="17"/>
  <c r="AK14" i="17"/>
  <c r="AD14" i="17"/>
  <c r="P14" i="17"/>
  <c r="P23" i="17" s="1"/>
  <c r="P32" i="17" s="1"/>
  <c r="I14" i="17"/>
  <c r="BM13" i="17"/>
  <c r="BM22" i="17" s="1"/>
  <c r="BM31" i="17" s="1"/>
  <c r="BF13" i="17"/>
  <c r="BF22" i="17" s="1"/>
  <c r="BF31" i="17" s="1"/>
  <c r="AY13" i="17"/>
  <c r="AY22" i="17" s="1"/>
  <c r="AY31" i="17" s="1"/>
  <c r="AR13" i="17"/>
  <c r="AK13" i="17"/>
  <c r="AD13" i="17"/>
  <c r="P13" i="17"/>
  <c r="P22" i="17" s="1"/>
  <c r="P31" i="17" s="1"/>
  <c r="I13" i="17"/>
  <c r="B29" i="18" l="1"/>
  <c r="B16" i="18"/>
  <c r="B36" i="18" s="1"/>
  <c r="BF40" i="17"/>
  <c r="BF49" i="17" s="1"/>
  <c r="BF58" i="17"/>
  <c r="BF60" i="17"/>
  <c r="BF42" i="17"/>
  <c r="BF51" i="17" s="1"/>
  <c r="P41" i="17"/>
  <c r="P50" i="17" s="1"/>
  <c r="P59" i="17"/>
  <c r="BF41" i="17"/>
  <c r="BF50" i="17" s="1"/>
  <c r="BF59" i="17"/>
  <c r="BF61" i="17"/>
  <c r="BF43" i="17"/>
  <c r="BF52" i="17" s="1"/>
  <c r="P40" i="17"/>
  <c r="P49" i="17" s="1"/>
  <c r="P58" i="17"/>
  <c r="AY61" i="17"/>
  <c r="AY43" i="17"/>
  <c r="AY52" i="17" s="1"/>
  <c r="AY58" i="17"/>
  <c r="AY40" i="17"/>
  <c r="AY49" i="17" s="1"/>
  <c r="BM58" i="17"/>
  <c r="BM40" i="17"/>
  <c r="BM49" i="17" s="1"/>
  <c r="BM42" i="17"/>
  <c r="BM51" i="17" s="1"/>
  <c r="BM60" i="17"/>
  <c r="BM62" i="17"/>
  <c r="BM44" i="17"/>
  <c r="AY41" i="17"/>
  <c r="AY50" i="17" s="1"/>
  <c r="AY59" i="17"/>
  <c r="BM41" i="17"/>
  <c r="BM50" i="17" s="1"/>
  <c r="BM59" i="17"/>
  <c r="AY42" i="17"/>
  <c r="AY51" i="17" s="1"/>
  <c r="AY60" i="17"/>
  <c r="BM43" i="17"/>
  <c r="BM52" i="17" s="1"/>
  <c r="BM61" i="17"/>
  <c r="P43" i="17"/>
  <c r="P52" i="17" s="1"/>
  <c r="P61" i="17"/>
  <c r="P44" i="17"/>
  <c r="P53" i="17" s="1"/>
  <c r="P62" i="17"/>
  <c r="AY44" i="17"/>
  <c r="AY53" i="17" s="1"/>
  <c r="AY62" i="17"/>
  <c r="P60" i="17"/>
  <c r="P42" i="17"/>
  <c r="P51" i="17" s="1"/>
  <c r="B27" i="18"/>
  <c r="B17" i="18"/>
  <c r="B37" i="18" s="1"/>
  <c r="BF62" i="17"/>
  <c r="BF44" i="17"/>
  <c r="BF53" i="17" s="1"/>
  <c r="B15" i="18"/>
  <c r="B35" i="18" s="1"/>
  <c r="B25" i="18"/>
  <c r="B28" i="18"/>
  <c r="B18" i="18"/>
  <c r="B38" i="18" s="1"/>
  <c r="B24" i="18"/>
  <c r="AT2" i="9" l="1"/>
  <c r="BM47" i="17" s="1"/>
  <c r="BA154" i="9"/>
  <c r="AZ154" i="9"/>
  <c r="AY154" i="9"/>
  <c r="AU154" i="9"/>
  <c r="BA135" i="9"/>
  <c r="AZ135" i="9"/>
  <c r="AY135" i="9"/>
  <c r="AU135" i="9"/>
  <c r="BA116" i="9"/>
  <c r="AZ116" i="9"/>
  <c r="AY116" i="9"/>
  <c r="AU116" i="9"/>
  <c r="BA97" i="9"/>
  <c r="AZ97" i="9"/>
  <c r="AY97" i="9"/>
  <c r="BQ53" i="17" s="1"/>
  <c r="AU97" i="9"/>
  <c r="BA78" i="9"/>
  <c r="AZ78" i="9"/>
  <c r="AY78" i="9"/>
  <c r="AU78" i="9"/>
  <c r="BA59" i="9"/>
  <c r="AZ59" i="9"/>
  <c r="AY59" i="9"/>
  <c r="AU59" i="9"/>
  <c r="BA40" i="9"/>
  <c r="AZ40" i="9"/>
  <c r="AY40" i="9"/>
  <c r="AU40" i="9"/>
  <c r="BA21" i="9"/>
  <c r="AZ21" i="9"/>
  <c r="AY21" i="9"/>
  <c r="AU21" i="9"/>
  <c r="AT1" i="9"/>
  <c r="AT2" i="13"/>
  <c r="BF47" i="17" s="1"/>
  <c r="BA154" i="13"/>
  <c r="AZ154" i="13"/>
  <c r="AY154" i="13"/>
  <c r="AU154" i="13"/>
  <c r="BA135" i="13"/>
  <c r="AZ135" i="13"/>
  <c r="AY135" i="13"/>
  <c r="AU135" i="13"/>
  <c r="BA116" i="13"/>
  <c r="AZ116" i="13"/>
  <c r="AY116" i="13"/>
  <c r="AU116" i="13"/>
  <c r="BA97" i="13"/>
  <c r="BK53" i="17" s="1"/>
  <c r="AZ97" i="13"/>
  <c r="AY97" i="13"/>
  <c r="AU97" i="13"/>
  <c r="BA78" i="13"/>
  <c r="AZ78" i="13"/>
  <c r="AY78" i="13"/>
  <c r="AU78" i="13"/>
  <c r="BA59" i="13"/>
  <c r="AZ59" i="13"/>
  <c r="AY59" i="13"/>
  <c r="AU59" i="13"/>
  <c r="BA40" i="13"/>
  <c r="AZ40" i="13"/>
  <c r="AY40" i="13"/>
  <c r="BJ50" i="17" s="1"/>
  <c r="AU40" i="13"/>
  <c r="BA21" i="13"/>
  <c r="BK49" i="17" s="1"/>
  <c r="AZ21" i="13"/>
  <c r="AY21" i="13"/>
  <c r="AU21" i="13"/>
  <c r="AT1" i="13"/>
  <c r="AT2" i="14"/>
  <c r="AY47" i="17" s="1"/>
  <c r="BA78" i="14"/>
  <c r="AZ78" i="14"/>
  <c r="AY78" i="14"/>
  <c r="AU78" i="14"/>
  <c r="BA59" i="14"/>
  <c r="AZ59" i="14"/>
  <c r="AY59" i="14"/>
  <c r="AU59" i="14"/>
  <c r="BA40" i="14"/>
  <c r="AZ40" i="14"/>
  <c r="AY40" i="14"/>
  <c r="AU40" i="14"/>
  <c r="BA21" i="14"/>
  <c r="AZ21" i="14"/>
  <c r="AY21" i="14"/>
  <c r="AU21" i="14"/>
  <c r="AT1" i="14"/>
  <c r="AT2" i="15"/>
  <c r="AR47" i="17" s="1"/>
  <c r="BA78" i="15"/>
  <c r="AZ78" i="15"/>
  <c r="AY78" i="15"/>
  <c r="AU78" i="15"/>
  <c r="BA59" i="15"/>
  <c r="AZ59" i="15"/>
  <c r="AY59" i="15"/>
  <c r="AU59" i="15"/>
  <c r="BA40" i="15"/>
  <c r="AZ40" i="15"/>
  <c r="AY40" i="15"/>
  <c r="AU40" i="15"/>
  <c r="BA21" i="15"/>
  <c r="AZ21" i="15"/>
  <c r="AY21" i="15"/>
  <c r="AU21" i="15"/>
  <c r="AT1" i="15"/>
  <c r="AT2" i="16"/>
  <c r="AK47" i="17" s="1"/>
  <c r="BA78" i="16"/>
  <c r="AZ78" i="16"/>
  <c r="AY78" i="16"/>
  <c r="AU78" i="16"/>
  <c r="BA59" i="16"/>
  <c r="AZ59" i="16"/>
  <c r="AY59" i="16"/>
  <c r="AU59" i="16"/>
  <c r="BA40" i="16"/>
  <c r="AZ40" i="16"/>
  <c r="AY40" i="16"/>
  <c r="AU40" i="16"/>
  <c r="BA21" i="16"/>
  <c r="AZ21" i="16"/>
  <c r="AY21" i="16"/>
  <c r="AU21" i="16"/>
  <c r="AT1" i="16"/>
  <c r="AT2" i="8"/>
  <c r="AD47" i="17" s="1"/>
  <c r="BA154" i="8"/>
  <c r="AZ154" i="8"/>
  <c r="AU154" i="8"/>
  <c r="BA135" i="8"/>
  <c r="AZ135" i="8"/>
  <c r="AY135" i="8"/>
  <c r="AU135" i="8"/>
  <c r="BA116" i="8"/>
  <c r="AZ116" i="8"/>
  <c r="AY116" i="8"/>
  <c r="AU116" i="8"/>
  <c r="BA97" i="8"/>
  <c r="AZ97" i="8"/>
  <c r="AY97" i="8"/>
  <c r="AU97" i="8"/>
  <c r="BA78" i="8"/>
  <c r="AZ78" i="8"/>
  <c r="AY78" i="8"/>
  <c r="AU78" i="8"/>
  <c r="BA59" i="8"/>
  <c r="AZ59" i="8"/>
  <c r="AY59" i="8"/>
  <c r="AU59" i="8"/>
  <c r="BA40" i="8"/>
  <c r="AZ40" i="8"/>
  <c r="AY40" i="8"/>
  <c r="AU40" i="8"/>
  <c r="BA21" i="8"/>
  <c r="AZ21" i="8"/>
  <c r="AY21" i="8"/>
  <c r="AU21" i="8"/>
  <c r="AT1" i="8"/>
  <c r="AT2" i="12"/>
  <c r="BA154" i="12"/>
  <c r="AZ154" i="12"/>
  <c r="AY154" i="12"/>
  <c r="AU154" i="12"/>
  <c r="BA135" i="12"/>
  <c r="AZ135" i="12"/>
  <c r="AY135" i="12"/>
  <c r="AU135" i="12"/>
  <c r="BA116" i="12"/>
  <c r="AZ116" i="12"/>
  <c r="AY116" i="12"/>
  <c r="AU116" i="12"/>
  <c r="BA97" i="12"/>
  <c r="AZ97" i="12"/>
  <c r="AY97" i="12"/>
  <c r="AU97" i="12"/>
  <c r="BA78" i="12"/>
  <c r="AZ78" i="12"/>
  <c r="AY78" i="12"/>
  <c r="AU78" i="12"/>
  <c r="BA59" i="12"/>
  <c r="AZ59" i="12"/>
  <c r="AY59" i="12"/>
  <c r="AU59" i="12"/>
  <c r="BA40" i="12"/>
  <c r="AZ40" i="12"/>
  <c r="AY40" i="12"/>
  <c r="AU40" i="12"/>
  <c r="BA21" i="12"/>
  <c r="AZ21" i="12"/>
  <c r="AY21" i="12"/>
  <c r="AU21" i="12"/>
  <c r="AT1" i="12"/>
  <c r="AT2" i="1"/>
  <c r="I47" i="17" s="1"/>
  <c r="BA154" i="1"/>
  <c r="AZ154" i="1"/>
  <c r="AY154" i="1"/>
  <c r="AU154" i="1"/>
  <c r="BA135" i="1"/>
  <c r="AZ135" i="1"/>
  <c r="AY135" i="1"/>
  <c r="AU135" i="1"/>
  <c r="BA116" i="1"/>
  <c r="AZ116" i="1"/>
  <c r="AY116" i="1"/>
  <c r="AU116" i="1"/>
  <c r="BA97" i="1"/>
  <c r="AZ97" i="1"/>
  <c r="AY97" i="1"/>
  <c r="AU97" i="1"/>
  <c r="BA78" i="1"/>
  <c r="AZ78" i="1"/>
  <c r="AY78" i="1"/>
  <c r="AU78" i="1"/>
  <c r="BA59" i="1"/>
  <c r="AZ59" i="1"/>
  <c r="AY59" i="1"/>
  <c r="AU59" i="1"/>
  <c r="BA40" i="1"/>
  <c r="AZ40" i="1"/>
  <c r="AY40" i="1"/>
  <c r="AU40" i="1"/>
  <c r="BA21" i="1"/>
  <c r="AZ21" i="1"/>
  <c r="AY21" i="1"/>
  <c r="AU21" i="1"/>
  <c r="AT1" i="1"/>
  <c r="E34" i="5"/>
  <c r="C34" i="5"/>
  <c r="G30" i="5"/>
  <c r="A30" i="5"/>
  <c r="E26" i="5"/>
  <c r="C26" i="5"/>
  <c r="BJ51" i="17" l="1"/>
  <c r="AH49" i="17"/>
  <c r="BK51" i="17"/>
  <c r="AW49" i="17"/>
  <c r="AI50" i="17"/>
  <c r="BD49" i="17"/>
  <c r="BJ53" i="17"/>
  <c r="AH51" i="17"/>
  <c r="BR53" i="17"/>
  <c r="BP53" i="17"/>
  <c r="BN53" i="17" s="1"/>
  <c r="BQ50" i="17"/>
  <c r="BQ52" i="17"/>
  <c r="BR52" i="17"/>
  <c r="BP52" i="17"/>
  <c r="BQ49" i="17"/>
  <c r="BQ51" i="17"/>
  <c r="BR49" i="17"/>
  <c r="BR51" i="17"/>
  <c r="BP51" i="17"/>
  <c r="BP50" i="17"/>
  <c r="BR50" i="17"/>
  <c r="BJ52" i="17"/>
  <c r="BI52" i="17"/>
  <c r="BI53" i="17"/>
  <c r="BK52" i="17"/>
  <c r="BI50" i="17"/>
  <c r="BI51" i="17"/>
  <c r="BK50" i="17"/>
  <c r="BJ49" i="17"/>
  <c r="BC49" i="17"/>
  <c r="AV49" i="17"/>
  <c r="AU49" i="17"/>
  <c r="AO49" i="17"/>
  <c r="AP49" i="17"/>
  <c r="AN49" i="17"/>
  <c r="AH53" i="17"/>
  <c r="AG53" i="17"/>
  <c r="AG51" i="17"/>
  <c r="AG49" i="17"/>
  <c r="AI49" i="17"/>
  <c r="AI51" i="17"/>
  <c r="AI53" i="17"/>
  <c r="AG52" i="17"/>
  <c r="AH50" i="17"/>
  <c r="AH52" i="17"/>
  <c r="AG50" i="17"/>
  <c r="AI52" i="17"/>
  <c r="P47" i="17"/>
  <c r="W47" i="17"/>
  <c r="T53" i="17"/>
  <c r="U53" i="17"/>
  <c r="S53" i="17"/>
  <c r="T52" i="17"/>
  <c r="U52" i="17"/>
  <c r="S52" i="17"/>
  <c r="T51" i="17"/>
  <c r="U51" i="17"/>
  <c r="S51" i="17"/>
  <c r="U50" i="17"/>
  <c r="T50" i="17"/>
  <c r="S50" i="17"/>
  <c r="T49" i="17"/>
  <c r="U49" i="17"/>
  <c r="M52" i="17"/>
  <c r="L51" i="17"/>
  <c r="N50" i="17"/>
  <c r="N52" i="17"/>
  <c r="M51" i="17"/>
  <c r="M53" i="17"/>
  <c r="M49" i="17"/>
  <c r="L50" i="17"/>
  <c r="L49" i="17"/>
  <c r="N51" i="17"/>
  <c r="N53" i="17"/>
  <c r="N49" i="17"/>
  <c r="L52" i="17"/>
  <c r="L53" i="17"/>
  <c r="M50" i="17"/>
  <c r="AK2" i="9"/>
  <c r="BM38" i="17" s="1"/>
  <c r="AR154" i="9"/>
  <c r="AQ154" i="9"/>
  <c r="AP154" i="9"/>
  <c r="AL154" i="9"/>
  <c r="AR135" i="9"/>
  <c r="AQ135" i="9"/>
  <c r="AP135" i="9"/>
  <c r="AL135" i="9"/>
  <c r="AR116" i="9"/>
  <c r="AQ116" i="9"/>
  <c r="AP116" i="9"/>
  <c r="AL116" i="9"/>
  <c r="AR97" i="9"/>
  <c r="AQ97" i="9"/>
  <c r="AP97" i="9"/>
  <c r="AL97" i="9"/>
  <c r="AR78" i="9"/>
  <c r="AQ78" i="9"/>
  <c r="AP78" i="9"/>
  <c r="AL78" i="9"/>
  <c r="AR59" i="9"/>
  <c r="AQ59" i="9"/>
  <c r="AP59" i="9"/>
  <c r="AL59" i="9"/>
  <c r="AR40" i="9"/>
  <c r="AQ40" i="9"/>
  <c r="AP40" i="9"/>
  <c r="AL40" i="9"/>
  <c r="AR21" i="9"/>
  <c r="AQ21" i="9"/>
  <c r="AP21" i="9"/>
  <c r="AL21" i="9"/>
  <c r="AK1" i="9"/>
  <c r="AK2" i="13"/>
  <c r="BF38" i="17" s="1"/>
  <c r="AR154" i="13"/>
  <c r="AQ154" i="13"/>
  <c r="AP154" i="13"/>
  <c r="AL154" i="13"/>
  <c r="AR135" i="13"/>
  <c r="AQ135" i="13"/>
  <c r="AP135" i="13"/>
  <c r="AL135" i="13"/>
  <c r="AR116" i="13"/>
  <c r="AQ116" i="13"/>
  <c r="AP116" i="13"/>
  <c r="AL116" i="13"/>
  <c r="AR97" i="13"/>
  <c r="AQ97" i="13"/>
  <c r="AP97" i="13"/>
  <c r="AL97" i="13"/>
  <c r="AR78" i="13"/>
  <c r="AQ78" i="13"/>
  <c r="AP78" i="13"/>
  <c r="AL78" i="13"/>
  <c r="AR59" i="13"/>
  <c r="AQ59" i="13"/>
  <c r="AP59" i="13"/>
  <c r="AL59" i="13"/>
  <c r="AR40" i="13"/>
  <c r="AQ40" i="13"/>
  <c r="AP40" i="13"/>
  <c r="AL40" i="13"/>
  <c r="AR21" i="13"/>
  <c r="AQ21" i="13"/>
  <c r="AP21" i="13"/>
  <c r="AL21" i="13"/>
  <c r="AK1" i="13"/>
  <c r="AK2" i="14"/>
  <c r="AY38" i="17" s="1"/>
  <c r="AR78" i="14"/>
  <c r="AQ78" i="14"/>
  <c r="AP78" i="14"/>
  <c r="AL78" i="14"/>
  <c r="AR59" i="14"/>
  <c r="AQ59" i="14"/>
  <c r="AP59" i="14"/>
  <c r="AL59" i="14"/>
  <c r="AR40" i="14"/>
  <c r="AQ40" i="14"/>
  <c r="AP40" i="14"/>
  <c r="AL40" i="14"/>
  <c r="AR21" i="14"/>
  <c r="AQ21" i="14"/>
  <c r="AP21" i="14"/>
  <c r="AL21" i="14"/>
  <c r="AK1" i="14"/>
  <c r="AK2" i="15"/>
  <c r="AR38" i="17" s="1"/>
  <c r="AR78" i="15"/>
  <c r="AQ78" i="15"/>
  <c r="AP78" i="15"/>
  <c r="AL78" i="15"/>
  <c r="AR59" i="15"/>
  <c r="AQ59" i="15"/>
  <c r="AP59" i="15"/>
  <c r="AL59" i="15"/>
  <c r="AR40" i="15"/>
  <c r="AQ40" i="15"/>
  <c r="AP40" i="15"/>
  <c r="AL40" i="15"/>
  <c r="AR21" i="15"/>
  <c r="AQ21" i="15"/>
  <c r="AP21" i="15"/>
  <c r="AL21" i="15"/>
  <c r="AK1" i="15"/>
  <c r="AK2" i="16"/>
  <c r="AK38" i="17" s="1"/>
  <c r="AR78" i="16"/>
  <c r="AQ78" i="16"/>
  <c r="AP78" i="16"/>
  <c r="AL78" i="16"/>
  <c r="AR59" i="16"/>
  <c r="AQ59" i="16"/>
  <c r="AP59" i="16"/>
  <c r="AL59" i="16"/>
  <c r="AR40" i="16"/>
  <c r="AQ40" i="16"/>
  <c r="AP40" i="16"/>
  <c r="AL40" i="16"/>
  <c r="AR21" i="16"/>
  <c r="AQ21" i="16"/>
  <c r="AP21" i="16"/>
  <c r="AL21" i="16"/>
  <c r="AK1" i="16"/>
  <c r="AK2" i="8"/>
  <c r="AD38" i="17" s="1"/>
  <c r="AR154" i="8"/>
  <c r="AQ154" i="8"/>
  <c r="AP154" i="8"/>
  <c r="AL154" i="8"/>
  <c r="AR135" i="8"/>
  <c r="AQ135" i="8"/>
  <c r="AP135" i="8"/>
  <c r="AL135" i="8"/>
  <c r="AR116" i="8"/>
  <c r="AQ116" i="8"/>
  <c r="AP116" i="8"/>
  <c r="AL116" i="8"/>
  <c r="AR97" i="8"/>
  <c r="AQ97" i="8"/>
  <c r="AP97" i="8"/>
  <c r="AL97" i="8"/>
  <c r="AR78" i="8"/>
  <c r="AQ78" i="8"/>
  <c r="AP78" i="8"/>
  <c r="AH43" i="17" s="1"/>
  <c r="AL78" i="8"/>
  <c r="AR59" i="8"/>
  <c r="AQ59" i="8"/>
  <c r="AP59" i="8"/>
  <c r="AL59" i="8"/>
  <c r="AR40" i="8"/>
  <c r="AQ40" i="8"/>
  <c r="AP40" i="8"/>
  <c r="AL40" i="8"/>
  <c r="AR21" i="8"/>
  <c r="AQ21" i="8"/>
  <c r="AP21" i="8"/>
  <c r="AL21" i="8"/>
  <c r="AK1" i="8"/>
  <c r="AK2" i="12"/>
  <c r="AR154" i="12"/>
  <c r="AQ154" i="12"/>
  <c r="AP154" i="12"/>
  <c r="AL154" i="12"/>
  <c r="AR135" i="12"/>
  <c r="AQ135" i="12"/>
  <c r="AP135" i="12"/>
  <c r="AL135" i="12"/>
  <c r="AR116" i="12"/>
  <c r="AQ116" i="12"/>
  <c r="AP116" i="12"/>
  <c r="AL116" i="12"/>
  <c r="AR97" i="12"/>
  <c r="AQ97" i="12"/>
  <c r="AP97" i="12"/>
  <c r="AL97" i="12"/>
  <c r="AR78" i="12"/>
  <c r="AQ78" i="12"/>
  <c r="AP78" i="12"/>
  <c r="AL78" i="12"/>
  <c r="AR59" i="12"/>
  <c r="AQ59" i="12"/>
  <c r="AP59" i="12"/>
  <c r="AL59" i="12"/>
  <c r="AR40" i="12"/>
  <c r="AQ40" i="12"/>
  <c r="AP40" i="12"/>
  <c r="AL40" i="12"/>
  <c r="AR21" i="12"/>
  <c r="AQ21" i="12"/>
  <c r="AP21" i="12"/>
  <c r="AL21" i="12"/>
  <c r="AK1" i="12"/>
  <c r="AK2" i="1"/>
  <c r="I38" i="17" s="1"/>
  <c r="BQ41" i="17" l="1"/>
  <c r="AH44" i="17"/>
  <c r="BJ43" i="17"/>
  <c r="BQ43" i="17"/>
  <c r="AI42" i="17"/>
  <c r="BK44" i="17"/>
  <c r="BR43" i="17"/>
  <c r="BQ44" i="17"/>
  <c r="BP43" i="17"/>
  <c r="BR44" i="17"/>
  <c r="BP44" i="17"/>
  <c r="BQ42" i="17"/>
  <c r="BR42" i="17"/>
  <c r="BP42" i="17"/>
  <c r="BP41" i="17"/>
  <c r="BR40" i="17"/>
  <c r="BR41" i="17"/>
  <c r="BQ40" i="17"/>
  <c r="BJ44" i="17"/>
  <c r="BI44" i="17"/>
  <c r="BK43" i="17"/>
  <c r="BI43" i="17"/>
  <c r="BJ41" i="17"/>
  <c r="BK41" i="17"/>
  <c r="BJ42" i="17"/>
  <c r="BK40" i="17"/>
  <c r="BK42" i="17"/>
  <c r="BI42" i="17"/>
  <c r="BI41" i="17"/>
  <c r="BJ40" i="17"/>
  <c r="AO40" i="17"/>
  <c r="AP40" i="17"/>
  <c r="AI44" i="17"/>
  <c r="AG44" i="17"/>
  <c r="AH42" i="17"/>
  <c r="AG42" i="17"/>
  <c r="AH41" i="17"/>
  <c r="AG40" i="17"/>
  <c r="AG41" i="17"/>
  <c r="AH40" i="17"/>
  <c r="AI40" i="17"/>
  <c r="AG43" i="17"/>
  <c r="AI41" i="17"/>
  <c r="AI43" i="17"/>
  <c r="P38" i="17"/>
  <c r="W38" i="17"/>
  <c r="T44" i="17"/>
  <c r="U44" i="17"/>
  <c r="S44" i="17"/>
  <c r="T43" i="17"/>
  <c r="U43" i="17"/>
  <c r="S43" i="17"/>
  <c r="T42" i="17"/>
  <c r="U42" i="17"/>
  <c r="S42" i="17"/>
  <c r="T41" i="17"/>
  <c r="U41" i="17"/>
  <c r="S41" i="17"/>
  <c r="T40" i="17"/>
  <c r="U40" i="17"/>
  <c r="S40" i="17"/>
  <c r="AR154" i="1"/>
  <c r="AQ154" i="1"/>
  <c r="AP154" i="1"/>
  <c r="AL154" i="1"/>
  <c r="AR135" i="1"/>
  <c r="AQ135" i="1"/>
  <c r="AP135" i="1"/>
  <c r="AL135" i="1"/>
  <c r="AR116" i="1"/>
  <c r="AQ116" i="1"/>
  <c r="AP116" i="1"/>
  <c r="AL116" i="1"/>
  <c r="AR97" i="1"/>
  <c r="AQ97" i="1"/>
  <c r="AP97" i="1"/>
  <c r="AL97" i="1"/>
  <c r="AR78" i="1"/>
  <c r="N43" i="17" s="1"/>
  <c r="AQ78" i="1"/>
  <c r="AP78" i="1"/>
  <c r="AL78" i="1"/>
  <c r="AR59" i="1"/>
  <c r="AQ59" i="1"/>
  <c r="AP59" i="1"/>
  <c r="AL59" i="1"/>
  <c r="AR40" i="1"/>
  <c r="AQ40" i="1"/>
  <c r="AP40" i="1"/>
  <c r="AL40" i="1"/>
  <c r="AR21" i="1"/>
  <c r="AQ21" i="1"/>
  <c r="AP21" i="1"/>
  <c r="AL21" i="1"/>
  <c r="AK1" i="1"/>
  <c r="N41" i="17" l="1"/>
  <c r="M42" i="17"/>
  <c r="L42" i="17"/>
  <c r="M44" i="17"/>
  <c r="N42" i="17"/>
  <c r="L40" i="17"/>
  <c r="L41" i="17"/>
  <c r="M40" i="17"/>
  <c r="N40" i="17"/>
  <c r="L44" i="17"/>
  <c r="N44" i="17"/>
  <c r="L43" i="17"/>
  <c r="M41" i="17"/>
  <c r="M43" i="17"/>
  <c r="AB1" i="13"/>
  <c r="S1" i="13"/>
  <c r="J1" i="13"/>
  <c r="A1" i="13"/>
  <c r="X21" i="14"/>
  <c r="Y21" i="14"/>
  <c r="Z21" i="14"/>
  <c r="AC21" i="14"/>
  <c r="AB1" i="14"/>
  <c r="S1" i="14"/>
  <c r="J1" i="14"/>
  <c r="A1" i="14"/>
  <c r="AB1" i="15"/>
  <c r="S1" i="15"/>
  <c r="J1" i="15"/>
  <c r="A1" i="15"/>
  <c r="AB1" i="16"/>
  <c r="S1" i="16"/>
  <c r="J1" i="16"/>
  <c r="A1" i="16"/>
  <c r="AI78" i="16"/>
  <c r="AH78" i="16"/>
  <c r="AG78" i="16"/>
  <c r="AC78" i="16"/>
  <c r="Z78" i="16"/>
  <c r="Y78" i="16"/>
  <c r="X78" i="16"/>
  <c r="T78" i="16"/>
  <c r="Q78" i="16"/>
  <c r="P78" i="16"/>
  <c r="O78" i="16"/>
  <c r="K78" i="16"/>
  <c r="H78" i="16"/>
  <c r="G78" i="16"/>
  <c r="F78" i="16"/>
  <c r="B78" i="16"/>
  <c r="AI59" i="16"/>
  <c r="AH59" i="16"/>
  <c r="AG59" i="16"/>
  <c r="AC59" i="16"/>
  <c r="Z59" i="16"/>
  <c r="Y59" i="16"/>
  <c r="X59" i="16"/>
  <c r="T59" i="16"/>
  <c r="Q59" i="16"/>
  <c r="P59" i="16"/>
  <c r="O59" i="16"/>
  <c r="K59" i="16"/>
  <c r="H59" i="16"/>
  <c r="G59" i="16"/>
  <c r="F59" i="16"/>
  <c r="B59" i="16"/>
  <c r="AI40" i="16"/>
  <c r="AH40" i="16"/>
  <c r="AG40" i="16"/>
  <c r="AC40" i="16"/>
  <c r="Z40" i="16"/>
  <c r="Y40" i="16"/>
  <c r="X40" i="16"/>
  <c r="T40" i="16"/>
  <c r="Q40" i="16"/>
  <c r="P40" i="16"/>
  <c r="O40" i="16"/>
  <c r="K40" i="16"/>
  <c r="H40" i="16"/>
  <c r="G40" i="16"/>
  <c r="F40" i="16"/>
  <c r="B40" i="16"/>
  <c r="AI21" i="16"/>
  <c r="AP31" i="17" s="1"/>
  <c r="AH21" i="16"/>
  <c r="AG21" i="16"/>
  <c r="AO31" i="17" s="1"/>
  <c r="AC21" i="16"/>
  <c r="Z21" i="16"/>
  <c r="AP22" i="17" s="1"/>
  <c r="Y21" i="16"/>
  <c r="X21" i="16"/>
  <c r="AO22" i="17" s="1"/>
  <c r="T21" i="16"/>
  <c r="Q21" i="16"/>
  <c r="AP13" i="17" s="1"/>
  <c r="P21" i="16"/>
  <c r="O21" i="16"/>
  <c r="K21" i="16"/>
  <c r="H21" i="16"/>
  <c r="AP4" i="17" s="1"/>
  <c r="G21" i="16"/>
  <c r="F21" i="16"/>
  <c r="AO4" i="17" s="1"/>
  <c r="B21" i="16"/>
  <c r="AB2" i="16"/>
  <c r="AK29" i="17" s="1"/>
  <c r="S2" i="16"/>
  <c r="AK20" i="17" s="1"/>
  <c r="J2" i="16"/>
  <c r="AK11" i="17" s="1"/>
  <c r="A2" i="16"/>
  <c r="AK2" i="17" s="1"/>
  <c r="AI78" i="15"/>
  <c r="AH78" i="15"/>
  <c r="AG78" i="15"/>
  <c r="AC78" i="15"/>
  <c r="Z78" i="15"/>
  <c r="Y78" i="15"/>
  <c r="X78" i="15"/>
  <c r="T78" i="15"/>
  <c r="Q78" i="15"/>
  <c r="P78" i="15"/>
  <c r="O78" i="15"/>
  <c r="K78" i="15"/>
  <c r="H78" i="15"/>
  <c r="G78" i="15"/>
  <c r="F78" i="15"/>
  <c r="B78" i="15"/>
  <c r="AI59" i="15"/>
  <c r="AH59" i="15"/>
  <c r="AG59" i="15"/>
  <c r="AC59" i="15"/>
  <c r="Z59" i="15"/>
  <c r="Y59" i="15"/>
  <c r="X59" i="15"/>
  <c r="T59" i="15"/>
  <c r="Q59" i="15"/>
  <c r="P59" i="15"/>
  <c r="O59" i="15"/>
  <c r="K59" i="15"/>
  <c r="H59" i="15"/>
  <c r="G59" i="15"/>
  <c r="F59" i="15"/>
  <c r="B59" i="15"/>
  <c r="AI40" i="15"/>
  <c r="AH40" i="15"/>
  <c r="AG40" i="15"/>
  <c r="AC40" i="15"/>
  <c r="Z40" i="15"/>
  <c r="Y40" i="15"/>
  <c r="X40" i="15"/>
  <c r="T40" i="15"/>
  <c r="Q40" i="15"/>
  <c r="P40" i="15"/>
  <c r="O40" i="15"/>
  <c r="K40" i="15"/>
  <c r="H40" i="15"/>
  <c r="G40" i="15"/>
  <c r="F40" i="15"/>
  <c r="B40" i="15"/>
  <c r="AI21" i="15"/>
  <c r="AW31" i="17" s="1"/>
  <c r="AH21" i="15"/>
  <c r="AG21" i="15"/>
  <c r="AV31" i="17" s="1"/>
  <c r="AC21" i="15"/>
  <c r="Z21" i="15"/>
  <c r="AW22" i="17" s="1"/>
  <c r="Y21" i="15"/>
  <c r="X21" i="15"/>
  <c r="T21" i="15"/>
  <c r="Q21" i="15"/>
  <c r="AW13" i="17" s="1"/>
  <c r="P21" i="15"/>
  <c r="O21" i="15"/>
  <c r="AV13" i="17" s="1"/>
  <c r="K21" i="15"/>
  <c r="H21" i="15"/>
  <c r="G21" i="15"/>
  <c r="F21" i="15"/>
  <c r="B21" i="15"/>
  <c r="AB2" i="15"/>
  <c r="AR29" i="17" s="1"/>
  <c r="S2" i="15"/>
  <c r="AR20" i="17" s="1"/>
  <c r="J2" i="15"/>
  <c r="AR11" i="17" s="1"/>
  <c r="A2" i="15"/>
  <c r="AR2" i="17" s="1"/>
  <c r="AI78" i="14"/>
  <c r="AH78" i="14"/>
  <c r="AG78" i="14"/>
  <c r="AC78" i="14"/>
  <c r="Z78" i="14"/>
  <c r="Y78" i="14"/>
  <c r="X78" i="14"/>
  <c r="T78" i="14"/>
  <c r="Q78" i="14"/>
  <c r="P78" i="14"/>
  <c r="O78" i="14"/>
  <c r="K78" i="14"/>
  <c r="H78" i="14"/>
  <c r="G78" i="14"/>
  <c r="F78" i="14"/>
  <c r="B78" i="14"/>
  <c r="AI59" i="14"/>
  <c r="AH59" i="14"/>
  <c r="AG59" i="14"/>
  <c r="AC59" i="14"/>
  <c r="Z59" i="14"/>
  <c r="Y59" i="14"/>
  <c r="X59" i="14"/>
  <c r="T59" i="14"/>
  <c r="Q59" i="14"/>
  <c r="P59" i="14"/>
  <c r="O59" i="14"/>
  <c r="K59" i="14"/>
  <c r="H59" i="14"/>
  <c r="G59" i="14"/>
  <c r="F59" i="14"/>
  <c r="B59" i="14"/>
  <c r="AI40" i="14"/>
  <c r="AH40" i="14"/>
  <c r="AG40" i="14"/>
  <c r="AC40" i="14"/>
  <c r="Z40" i="14"/>
  <c r="Y40" i="14"/>
  <c r="X40" i="14"/>
  <c r="T40" i="14"/>
  <c r="Q40" i="14"/>
  <c r="P40" i="14"/>
  <c r="O40" i="14"/>
  <c r="K40" i="14"/>
  <c r="H40" i="14"/>
  <c r="G40" i="14"/>
  <c r="F40" i="14"/>
  <c r="B40" i="14"/>
  <c r="AI21" i="14"/>
  <c r="BD31" i="17" s="1"/>
  <c r="AH21" i="14"/>
  <c r="AG21" i="14"/>
  <c r="T21" i="14"/>
  <c r="Q21" i="14"/>
  <c r="P21" i="14"/>
  <c r="O21" i="14"/>
  <c r="K21" i="14"/>
  <c r="H21" i="14"/>
  <c r="G21" i="14"/>
  <c r="F21" i="14"/>
  <c r="B21" i="14"/>
  <c r="AB2" i="14"/>
  <c r="AY29" i="17" s="1"/>
  <c r="S2" i="14"/>
  <c r="AY20" i="17" s="1"/>
  <c r="J2" i="14"/>
  <c r="AY11" i="17" s="1"/>
  <c r="A2" i="14"/>
  <c r="AY2" i="17" s="1"/>
  <c r="AI154" i="13"/>
  <c r="AH154" i="13"/>
  <c r="AG154" i="13"/>
  <c r="AC154" i="13"/>
  <c r="Z154" i="13"/>
  <c r="Y154" i="13"/>
  <c r="X154" i="13"/>
  <c r="T154" i="13"/>
  <c r="Q154" i="13"/>
  <c r="P154" i="13"/>
  <c r="O154" i="13"/>
  <c r="K154" i="13"/>
  <c r="H154" i="13"/>
  <c r="G154" i="13"/>
  <c r="F154" i="13"/>
  <c r="B154" i="13"/>
  <c r="AI135" i="13"/>
  <c r="AH135" i="13"/>
  <c r="AG135" i="13"/>
  <c r="AC135" i="13"/>
  <c r="Z135" i="13"/>
  <c r="Y135" i="13"/>
  <c r="X135" i="13"/>
  <c r="T135" i="13"/>
  <c r="Q135" i="13"/>
  <c r="P135" i="13"/>
  <c r="O135" i="13"/>
  <c r="K135" i="13"/>
  <c r="H135" i="13"/>
  <c r="G135" i="13"/>
  <c r="F135" i="13"/>
  <c r="B135" i="13"/>
  <c r="AI116" i="13"/>
  <c r="AH116" i="13"/>
  <c r="AG116" i="13"/>
  <c r="AC116" i="13"/>
  <c r="Z116" i="13"/>
  <c r="Y116" i="13"/>
  <c r="X116" i="13"/>
  <c r="T116" i="13"/>
  <c r="Q116" i="13"/>
  <c r="P116" i="13"/>
  <c r="O116" i="13"/>
  <c r="K116" i="13"/>
  <c r="H116" i="13"/>
  <c r="G116" i="13"/>
  <c r="F116" i="13"/>
  <c r="B116" i="13"/>
  <c r="AI97" i="13"/>
  <c r="BK35" i="17" s="1"/>
  <c r="AH97" i="13"/>
  <c r="AG97" i="13"/>
  <c r="AC97" i="13"/>
  <c r="Z97" i="13"/>
  <c r="Y97" i="13"/>
  <c r="X97" i="13"/>
  <c r="BJ26" i="17" s="1"/>
  <c r="T97" i="13"/>
  <c r="Q97" i="13"/>
  <c r="BK17" i="17" s="1"/>
  <c r="P97" i="13"/>
  <c r="O97" i="13"/>
  <c r="K97" i="13"/>
  <c r="H97" i="13"/>
  <c r="BK8" i="17" s="1"/>
  <c r="G97" i="13"/>
  <c r="F97" i="13"/>
  <c r="BJ8" i="17" s="1"/>
  <c r="B97" i="13"/>
  <c r="AI78" i="13"/>
  <c r="BK34" i="17" s="1"/>
  <c r="AH78" i="13"/>
  <c r="AG78" i="13"/>
  <c r="BJ34" i="17" s="1"/>
  <c r="AC78" i="13"/>
  <c r="Z78" i="13"/>
  <c r="BK25" i="17" s="1"/>
  <c r="Y78" i="13"/>
  <c r="X78" i="13"/>
  <c r="BJ25" i="17" s="1"/>
  <c r="T78" i="13"/>
  <c r="Q78" i="13"/>
  <c r="BK16" i="17" s="1"/>
  <c r="P78" i="13"/>
  <c r="O78" i="13"/>
  <c r="K78" i="13"/>
  <c r="H78" i="13"/>
  <c r="BK7" i="17" s="1"/>
  <c r="G78" i="13"/>
  <c r="F78" i="13"/>
  <c r="B78" i="13"/>
  <c r="AI59" i="13"/>
  <c r="BK33" i="17" s="1"/>
  <c r="AH59" i="13"/>
  <c r="AG59" i="13"/>
  <c r="BJ33" i="17" s="1"/>
  <c r="AC59" i="13"/>
  <c r="Z59" i="13"/>
  <c r="Y59" i="13"/>
  <c r="X59" i="13"/>
  <c r="BJ24" i="17" s="1"/>
  <c r="T59" i="13"/>
  <c r="Q59" i="13"/>
  <c r="BK15" i="17" s="1"/>
  <c r="P59" i="13"/>
  <c r="O59" i="13"/>
  <c r="BJ15" i="17" s="1"/>
  <c r="K59" i="13"/>
  <c r="H59" i="13"/>
  <c r="BK6" i="17" s="1"/>
  <c r="G59" i="13"/>
  <c r="F59" i="13"/>
  <c r="B59" i="13"/>
  <c r="AI40" i="13"/>
  <c r="BK32" i="17" s="1"/>
  <c r="AH40" i="13"/>
  <c r="AG40" i="13"/>
  <c r="BJ32" i="17" s="1"/>
  <c r="AC40" i="13"/>
  <c r="Z40" i="13"/>
  <c r="BK23" i="17" s="1"/>
  <c r="Y40" i="13"/>
  <c r="X40" i="13"/>
  <c r="T40" i="13"/>
  <c r="Q40" i="13"/>
  <c r="BK14" i="17" s="1"/>
  <c r="P40" i="13"/>
  <c r="O40" i="13"/>
  <c r="BJ14" i="17" s="1"/>
  <c r="K40" i="13"/>
  <c r="H40" i="13"/>
  <c r="G40" i="13"/>
  <c r="F40" i="13"/>
  <c r="B40" i="13"/>
  <c r="AI21" i="13"/>
  <c r="BK31" i="17" s="1"/>
  <c r="AH21" i="13"/>
  <c r="AG21" i="13"/>
  <c r="BJ31" i="17" s="1"/>
  <c r="AC21" i="13"/>
  <c r="Z21" i="13"/>
  <c r="Y21" i="13"/>
  <c r="X21" i="13"/>
  <c r="BJ22" i="17" s="1"/>
  <c r="T21" i="13"/>
  <c r="Q21" i="13"/>
  <c r="P21" i="13"/>
  <c r="O21" i="13"/>
  <c r="BJ13" i="17" s="1"/>
  <c r="K21" i="13"/>
  <c r="H21" i="13"/>
  <c r="BK4" i="17" s="1"/>
  <c r="G21" i="13"/>
  <c r="F21" i="13"/>
  <c r="B21" i="13"/>
  <c r="AB2" i="13"/>
  <c r="BF29" i="17" s="1"/>
  <c r="S2" i="13"/>
  <c r="BF20" i="17" s="1"/>
  <c r="J2" i="13"/>
  <c r="BF11" i="17" s="1"/>
  <c r="A2" i="13"/>
  <c r="BF2" i="17" s="1"/>
  <c r="AB1" i="12"/>
  <c r="S1" i="12"/>
  <c r="J1" i="12"/>
  <c r="A1" i="12"/>
  <c r="AI154" i="12"/>
  <c r="AH154" i="12"/>
  <c r="AG154" i="12"/>
  <c r="AC154" i="12"/>
  <c r="Z154" i="12"/>
  <c r="Y154" i="12"/>
  <c r="X154" i="12"/>
  <c r="T154" i="12"/>
  <c r="Q154" i="12"/>
  <c r="P154" i="12"/>
  <c r="O154" i="12"/>
  <c r="K154" i="12"/>
  <c r="H154" i="12"/>
  <c r="G154" i="12"/>
  <c r="F154" i="12"/>
  <c r="B154" i="12"/>
  <c r="AI135" i="12"/>
  <c r="AH135" i="12"/>
  <c r="AG135" i="12"/>
  <c r="AC135" i="12"/>
  <c r="Z135" i="12"/>
  <c r="Y135" i="12"/>
  <c r="X135" i="12"/>
  <c r="T135" i="12"/>
  <c r="Q135" i="12"/>
  <c r="P135" i="12"/>
  <c r="O135" i="12"/>
  <c r="K135" i="12"/>
  <c r="H135" i="12"/>
  <c r="G135" i="12"/>
  <c r="F135" i="12"/>
  <c r="B135" i="12"/>
  <c r="AI116" i="12"/>
  <c r="AH116" i="12"/>
  <c r="AG116" i="12"/>
  <c r="AC116" i="12"/>
  <c r="Z116" i="12"/>
  <c r="Y116" i="12"/>
  <c r="X116" i="12"/>
  <c r="T116" i="12"/>
  <c r="Q116" i="12"/>
  <c r="P116" i="12"/>
  <c r="O116" i="12"/>
  <c r="K116" i="12"/>
  <c r="H116" i="12"/>
  <c r="G116" i="12"/>
  <c r="F116" i="12"/>
  <c r="B116" i="12"/>
  <c r="AI97" i="12"/>
  <c r="AH97" i="12"/>
  <c r="AG97" i="12"/>
  <c r="AC97" i="12"/>
  <c r="Z97" i="12"/>
  <c r="Y97" i="12"/>
  <c r="X97" i="12"/>
  <c r="T97" i="12"/>
  <c r="Q97" i="12"/>
  <c r="P97" i="12"/>
  <c r="O97" i="12"/>
  <c r="K97" i="12"/>
  <c r="H97" i="12"/>
  <c r="G97" i="12"/>
  <c r="F97" i="12"/>
  <c r="B97" i="12"/>
  <c r="AI78" i="12"/>
  <c r="AH78" i="12"/>
  <c r="AG78" i="12"/>
  <c r="AC78" i="12"/>
  <c r="Z78" i="12"/>
  <c r="Y78" i="12"/>
  <c r="X78" i="12"/>
  <c r="T78" i="12"/>
  <c r="Q78" i="12"/>
  <c r="P78" i="12"/>
  <c r="O78" i="12"/>
  <c r="K78" i="12"/>
  <c r="H78" i="12"/>
  <c r="G78" i="12"/>
  <c r="F78" i="12"/>
  <c r="B78" i="12"/>
  <c r="AI59" i="12"/>
  <c r="AH59" i="12"/>
  <c r="AG59" i="12"/>
  <c r="AC59" i="12"/>
  <c r="Z59" i="12"/>
  <c r="Y59" i="12"/>
  <c r="X59" i="12"/>
  <c r="T59" i="12"/>
  <c r="Q59" i="12"/>
  <c r="P59" i="12"/>
  <c r="O59" i="12"/>
  <c r="K59" i="12"/>
  <c r="H59" i="12"/>
  <c r="G59" i="12"/>
  <c r="F59" i="12"/>
  <c r="B59" i="12"/>
  <c r="AI40" i="12"/>
  <c r="AH40" i="12"/>
  <c r="AG40" i="12"/>
  <c r="AC40" i="12"/>
  <c r="Z40" i="12"/>
  <c r="Y40" i="12"/>
  <c r="X40" i="12"/>
  <c r="T40" i="12"/>
  <c r="Q40" i="12"/>
  <c r="P40" i="12"/>
  <c r="O40" i="12"/>
  <c r="K40" i="12"/>
  <c r="H40" i="12"/>
  <c r="G40" i="12"/>
  <c r="F40" i="12"/>
  <c r="B40" i="12"/>
  <c r="AI21" i="12"/>
  <c r="AH21" i="12"/>
  <c r="AG21" i="12"/>
  <c r="AC21" i="12"/>
  <c r="Z21" i="12"/>
  <c r="Y21" i="12"/>
  <c r="X21" i="12"/>
  <c r="T21" i="12"/>
  <c r="Q21" i="12"/>
  <c r="P21" i="12"/>
  <c r="O21" i="12"/>
  <c r="K21" i="12"/>
  <c r="H21" i="12"/>
  <c r="G21" i="12"/>
  <c r="F21" i="12"/>
  <c r="B21" i="12"/>
  <c r="AB2" i="12"/>
  <c r="S2" i="12"/>
  <c r="J2" i="12"/>
  <c r="W11" i="17" s="1"/>
  <c r="A2" i="12"/>
  <c r="P2" i="17" s="1"/>
  <c r="BJ35" i="17" l="1"/>
  <c r="BK26" i="17"/>
  <c r="BK62" i="17" s="1"/>
  <c r="AO13" i="17"/>
  <c r="BK24" i="17"/>
  <c r="BK60" i="17" s="1"/>
  <c r="BC31" i="17"/>
  <c r="AV22" i="17"/>
  <c r="AV58" i="17" s="1"/>
  <c r="BK22" i="17"/>
  <c r="BK58" i="17" s="1"/>
  <c r="BC13" i="17"/>
  <c r="BI35" i="17"/>
  <c r="BI33" i="17"/>
  <c r="BI34" i="17"/>
  <c r="BI32" i="17"/>
  <c r="BI31" i="17"/>
  <c r="BI26" i="17"/>
  <c r="BJ62" i="17"/>
  <c r="BK61" i="17"/>
  <c r="BI25" i="17"/>
  <c r="BI24" i="17"/>
  <c r="BI23" i="17"/>
  <c r="BJ23" i="17"/>
  <c r="BI17" i="17"/>
  <c r="BI15" i="17"/>
  <c r="BI16" i="17"/>
  <c r="BI14" i="17"/>
  <c r="BI13" i="17"/>
  <c r="BI8" i="17"/>
  <c r="BI7" i="17"/>
  <c r="BJ7" i="17"/>
  <c r="BJ61" i="17" s="1"/>
  <c r="BJ6" i="17"/>
  <c r="BJ60" i="17" s="1"/>
  <c r="BI6" i="17"/>
  <c r="BI5" i="17"/>
  <c r="BJ5" i="17"/>
  <c r="BK5" i="17"/>
  <c r="BK59" i="17" s="1"/>
  <c r="BJ4" i="17"/>
  <c r="BJ58" i="17" s="1"/>
  <c r="BI4" i="17"/>
  <c r="BC22" i="17"/>
  <c r="BD22" i="17"/>
  <c r="BB22" i="17"/>
  <c r="BD13" i="17"/>
  <c r="BB13" i="17"/>
  <c r="BC4" i="17"/>
  <c r="BB4" i="17"/>
  <c r="BD4" i="17"/>
  <c r="AU13" i="17"/>
  <c r="AW58" i="17"/>
  <c r="AN31" i="17"/>
  <c r="AN13" i="17"/>
  <c r="AN4" i="17"/>
  <c r="P20" i="17"/>
  <c r="W20" i="17"/>
  <c r="P29" i="17"/>
  <c r="W29" i="17"/>
  <c r="T35" i="17"/>
  <c r="U35" i="17"/>
  <c r="S35" i="17"/>
  <c r="T34" i="17"/>
  <c r="U34" i="17"/>
  <c r="S34" i="17"/>
  <c r="T33" i="17"/>
  <c r="U33" i="17"/>
  <c r="S33" i="17"/>
  <c r="T32" i="17"/>
  <c r="U32" i="17"/>
  <c r="S32" i="17"/>
  <c r="U31" i="17"/>
  <c r="T31" i="17"/>
  <c r="S31" i="17"/>
  <c r="U26" i="17"/>
  <c r="T26" i="17"/>
  <c r="S26" i="17"/>
  <c r="T25" i="17"/>
  <c r="U25" i="17"/>
  <c r="S25" i="17"/>
  <c r="T24" i="17"/>
  <c r="U24" i="17"/>
  <c r="S24" i="17"/>
  <c r="T23" i="17"/>
  <c r="U23" i="17"/>
  <c r="S23" i="17"/>
  <c r="T22" i="17"/>
  <c r="U22" i="17"/>
  <c r="S22" i="17"/>
  <c r="T17" i="17"/>
  <c r="U17" i="17"/>
  <c r="S17" i="17"/>
  <c r="T16" i="17"/>
  <c r="U16" i="17"/>
  <c r="S16" i="17"/>
  <c r="T15" i="17"/>
  <c r="U15" i="17"/>
  <c r="S15" i="17"/>
  <c r="U14" i="17"/>
  <c r="T14" i="17"/>
  <c r="S14" i="17"/>
  <c r="U13" i="17"/>
  <c r="T13" i="17"/>
  <c r="S13" i="17"/>
  <c r="T8" i="17"/>
  <c r="U8" i="17"/>
  <c r="U7" i="17"/>
  <c r="T7" i="17"/>
  <c r="S7" i="17"/>
  <c r="T6" i="17"/>
  <c r="U6" i="17"/>
  <c r="S6" i="17"/>
  <c r="T5" i="17"/>
  <c r="U5" i="17"/>
  <c r="S5" i="17"/>
  <c r="T4" i="17"/>
  <c r="U4" i="17"/>
  <c r="P11" i="17"/>
  <c r="AI135" i="9"/>
  <c r="AI116" i="9"/>
  <c r="Z135" i="9"/>
  <c r="Z116" i="9"/>
  <c r="Z97" i="9"/>
  <c r="Z78" i="9"/>
  <c r="Z40" i="9"/>
  <c r="Q154" i="9"/>
  <c r="Q116" i="9"/>
  <c r="Q59" i="9"/>
  <c r="Q40" i="9"/>
  <c r="Q21" i="9"/>
  <c r="H135" i="9"/>
  <c r="H116" i="9"/>
  <c r="H59" i="9"/>
  <c r="H40" i="9"/>
  <c r="AI154" i="8"/>
  <c r="AI59" i="8"/>
  <c r="AI40" i="8"/>
  <c r="AI21" i="8"/>
  <c r="Z154" i="8"/>
  <c r="Z135" i="8"/>
  <c r="Z116" i="8"/>
  <c r="Z97" i="8"/>
  <c r="Z59" i="8"/>
  <c r="Z40" i="8"/>
  <c r="Q154" i="8"/>
  <c r="Q135" i="8"/>
  <c r="Q116" i="8"/>
  <c r="Q97" i="8"/>
  <c r="Q78" i="8"/>
  <c r="Q59" i="8"/>
  <c r="Q40" i="8"/>
  <c r="H116" i="8"/>
  <c r="H78" i="8"/>
  <c r="H40" i="8"/>
  <c r="AI97" i="1"/>
  <c r="AI59" i="1"/>
  <c r="AI40" i="1"/>
  <c r="Z154" i="1"/>
  <c r="Z135" i="1"/>
  <c r="Z116" i="1"/>
  <c r="Z78" i="1"/>
  <c r="Z59" i="1"/>
  <c r="Q154" i="1"/>
  <c r="Q135" i="1"/>
  <c r="Q116" i="1"/>
  <c r="H154" i="1"/>
  <c r="H135" i="1"/>
  <c r="AH154" i="9"/>
  <c r="AC154" i="9"/>
  <c r="Z154" i="9"/>
  <c r="Y154" i="9"/>
  <c r="T154" i="9"/>
  <c r="P154" i="9"/>
  <c r="K154" i="9"/>
  <c r="H154" i="9"/>
  <c r="G154" i="9"/>
  <c r="B154" i="9"/>
  <c r="AG154" i="9"/>
  <c r="X154" i="9"/>
  <c r="O154" i="9"/>
  <c r="F154" i="9"/>
  <c r="AH135" i="9"/>
  <c r="AC135" i="9"/>
  <c r="Y135" i="9"/>
  <c r="X135" i="9"/>
  <c r="T135" i="9"/>
  <c r="Q135" i="9"/>
  <c r="P135" i="9"/>
  <c r="K135" i="9"/>
  <c r="G135" i="9"/>
  <c r="B135" i="9"/>
  <c r="AG135" i="9"/>
  <c r="O135" i="9"/>
  <c r="F135" i="9"/>
  <c r="AH116" i="9"/>
  <c r="AC116" i="9"/>
  <c r="Y116" i="9"/>
  <c r="T116" i="9"/>
  <c r="P116" i="9"/>
  <c r="K116" i="9"/>
  <c r="G116" i="9"/>
  <c r="B116" i="9"/>
  <c r="AG116" i="9"/>
  <c r="X116" i="9"/>
  <c r="O116" i="9"/>
  <c r="F116" i="9"/>
  <c r="AI97" i="9"/>
  <c r="AH97" i="9"/>
  <c r="AC97" i="9"/>
  <c r="Y97" i="9"/>
  <c r="T97" i="9"/>
  <c r="P97" i="9"/>
  <c r="K97" i="9"/>
  <c r="H97" i="9"/>
  <c r="G97" i="9"/>
  <c r="B97" i="9"/>
  <c r="AG97" i="9"/>
  <c r="X97" i="9"/>
  <c r="O97" i="9"/>
  <c r="F97" i="9"/>
  <c r="AI78" i="9"/>
  <c r="AH78" i="9"/>
  <c r="AC78" i="9"/>
  <c r="Y78" i="9"/>
  <c r="T78" i="9"/>
  <c r="P78" i="9"/>
  <c r="K78" i="9"/>
  <c r="H78" i="9"/>
  <c r="G78" i="9"/>
  <c r="B78" i="9"/>
  <c r="AG78" i="9"/>
  <c r="X78" i="9"/>
  <c r="O78" i="9"/>
  <c r="F78" i="9"/>
  <c r="AI59" i="9"/>
  <c r="AH59" i="9"/>
  <c r="AC59" i="9"/>
  <c r="Z59" i="9"/>
  <c r="Y59" i="9"/>
  <c r="T59" i="9"/>
  <c r="P59" i="9"/>
  <c r="K59" i="9"/>
  <c r="G59" i="9"/>
  <c r="B59" i="9"/>
  <c r="AG59" i="9"/>
  <c r="X59" i="9"/>
  <c r="O59" i="9"/>
  <c r="F59" i="9"/>
  <c r="AH40" i="9"/>
  <c r="AC40" i="9"/>
  <c r="Y40" i="9"/>
  <c r="T40" i="9"/>
  <c r="P40" i="9"/>
  <c r="K40" i="9"/>
  <c r="G40" i="9"/>
  <c r="B40" i="9"/>
  <c r="AG40" i="9"/>
  <c r="X40" i="9"/>
  <c r="BQ23" i="17" s="1"/>
  <c r="O40" i="9"/>
  <c r="BQ14" i="17" s="1"/>
  <c r="F40" i="9"/>
  <c r="AH21" i="9"/>
  <c r="AC21" i="9"/>
  <c r="Z21" i="9"/>
  <c r="Y21" i="9"/>
  <c r="T21" i="9"/>
  <c r="P21" i="9"/>
  <c r="K21" i="9"/>
  <c r="H21" i="9"/>
  <c r="G21" i="9"/>
  <c r="B21" i="9"/>
  <c r="AG21" i="9"/>
  <c r="X21" i="9"/>
  <c r="O21" i="9"/>
  <c r="F21" i="9"/>
  <c r="BQ4" i="17" s="1"/>
  <c r="AH154" i="8"/>
  <c r="AC154" i="8"/>
  <c r="Y154" i="8"/>
  <c r="T154" i="8"/>
  <c r="P154" i="8"/>
  <c r="K154" i="8"/>
  <c r="H154" i="8"/>
  <c r="G154" i="8"/>
  <c r="B154" i="8"/>
  <c r="AG154" i="8"/>
  <c r="X154" i="8"/>
  <c r="O154" i="8"/>
  <c r="F154" i="8"/>
  <c r="AI135" i="8"/>
  <c r="AH135" i="8"/>
  <c r="AC135" i="8"/>
  <c r="Y135" i="8"/>
  <c r="T135" i="8"/>
  <c r="P135" i="8"/>
  <c r="K135" i="8"/>
  <c r="H135" i="8"/>
  <c r="G135" i="8"/>
  <c r="B135" i="8"/>
  <c r="AG135" i="8"/>
  <c r="X135" i="8"/>
  <c r="O135" i="8"/>
  <c r="F135" i="8"/>
  <c r="AI116" i="8"/>
  <c r="AH116" i="8"/>
  <c r="AC116" i="8"/>
  <c r="Y116" i="8"/>
  <c r="T116" i="8"/>
  <c r="P116" i="8"/>
  <c r="K116" i="8"/>
  <c r="G116" i="8"/>
  <c r="B116" i="8"/>
  <c r="AG116" i="8"/>
  <c r="X116" i="8"/>
  <c r="O116" i="8"/>
  <c r="F116" i="8"/>
  <c r="AI97" i="8"/>
  <c r="AH97" i="8"/>
  <c r="AC97" i="8"/>
  <c r="Y97" i="8"/>
  <c r="T97" i="8"/>
  <c r="P97" i="8"/>
  <c r="K97" i="8"/>
  <c r="G97" i="8"/>
  <c r="B97" i="8"/>
  <c r="AG97" i="8"/>
  <c r="X97" i="8"/>
  <c r="O97" i="8"/>
  <c r="F97" i="8"/>
  <c r="AI78" i="8"/>
  <c r="AH78" i="8"/>
  <c r="AC78" i="8"/>
  <c r="Z78" i="8"/>
  <c r="AI25" i="17" s="1"/>
  <c r="Y78" i="8"/>
  <c r="T78" i="8"/>
  <c r="P78" i="8"/>
  <c r="K78" i="8"/>
  <c r="G78" i="8"/>
  <c r="B78" i="8"/>
  <c r="AG78" i="8"/>
  <c r="X78" i="8"/>
  <c r="AH25" i="17" s="1"/>
  <c r="O78" i="8"/>
  <c r="F78" i="8"/>
  <c r="AH59" i="8"/>
  <c r="AC59" i="8"/>
  <c r="Y59" i="8"/>
  <c r="T59" i="8"/>
  <c r="P59" i="8"/>
  <c r="K59" i="8"/>
  <c r="H59" i="8"/>
  <c r="G59" i="8"/>
  <c r="B59" i="8"/>
  <c r="AG59" i="8"/>
  <c r="X59" i="8"/>
  <c r="O59" i="8"/>
  <c r="AH15" i="17" s="1"/>
  <c r="F59" i="8"/>
  <c r="AH40" i="8"/>
  <c r="AC40" i="8"/>
  <c r="Y40" i="8"/>
  <c r="T40" i="8"/>
  <c r="P40" i="8"/>
  <c r="K40" i="8"/>
  <c r="G40" i="8"/>
  <c r="B40" i="8"/>
  <c r="AG40" i="8"/>
  <c r="X40" i="8"/>
  <c r="O40" i="8"/>
  <c r="F40" i="8"/>
  <c r="AH21" i="8"/>
  <c r="AC21" i="8"/>
  <c r="Z21" i="8"/>
  <c r="Y21" i="8"/>
  <c r="X21" i="8"/>
  <c r="T21" i="8"/>
  <c r="Q21" i="8"/>
  <c r="AI13" i="17" s="1"/>
  <c r="P21" i="8"/>
  <c r="K21" i="8"/>
  <c r="H21" i="8"/>
  <c r="G21" i="8"/>
  <c r="B21" i="8"/>
  <c r="AG21" i="8"/>
  <c r="O21" i="8"/>
  <c r="F21" i="8"/>
  <c r="AI154" i="1"/>
  <c r="AH154" i="1"/>
  <c r="AC154" i="1"/>
  <c r="Y154" i="1"/>
  <c r="T154" i="1"/>
  <c r="P154" i="1"/>
  <c r="K154" i="1"/>
  <c r="G154" i="1"/>
  <c r="B154" i="1"/>
  <c r="AG154" i="1"/>
  <c r="X154" i="1"/>
  <c r="O154" i="1"/>
  <c r="F154" i="1"/>
  <c r="AI135" i="1"/>
  <c r="AH135" i="1"/>
  <c r="AC135" i="1"/>
  <c r="Y135" i="1"/>
  <c r="X135" i="1"/>
  <c r="T135" i="1"/>
  <c r="P135" i="1"/>
  <c r="O135" i="1"/>
  <c r="K135" i="1"/>
  <c r="G135" i="1"/>
  <c r="B135" i="1"/>
  <c r="AG135" i="1"/>
  <c r="AI116" i="1"/>
  <c r="AH116" i="1"/>
  <c r="AC116" i="1"/>
  <c r="Y116" i="1"/>
  <c r="T116" i="1"/>
  <c r="P116" i="1"/>
  <c r="O116" i="1"/>
  <c r="K116" i="1"/>
  <c r="AG116" i="1"/>
  <c r="X116" i="1"/>
  <c r="AH97" i="1"/>
  <c r="AC97" i="1"/>
  <c r="Z97" i="1"/>
  <c r="Y97" i="1"/>
  <c r="X97" i="1"/>
  <c r="T97" i="1"/>
  <c r="Q97" i="1"/>
  <c r="P97" i="1"/>
  <c r="O97" i="1"/>
  <c r="K97" i="1"/>
  <c r="H97" i="1"/>
  <c r="G97" i="1"/>
  <c r="B97" i="1"/>
  <c r="AG97" i="1"/>
  <c r="F97" i="1"/>
  <c r="M8" i="17" s="1"/>
  <c r="AI78" i="1"/>
  <c r="AH78" i="1"/>
  <c r="AC78" i="1"/>
  <c r="Y78" i="1"/>
  <c r="T78" i="1"/>
  <c r="Q78" i="1"/>
  <c r="P78" i="1"/>
  <c r="K78" i="1"/>
  <c r="G78" i="1"/>
  <c r="B78" i="1"/>
  <c r="AG78" i="1"/>
  <c r="X78" i="1"/>
  <c r="O78" i="1"/>
  <c r="F78" i="1"/>
  <c r="AH59" i="1"/>
  <c r="AC59" i="1"/>
  <c r="Y59" i="1"/>
  <c r="X59" i="1"/>
  <c r="T59" i="1"/>
  <c r="P59" i="1"/>
  <c r="K59" i="1"/>
  <c r="G59" i="1"/>
  <c r="B59" i="1"/>
  <c r="AG59" i="1"/>
  <c r="O59" i="1"/>
  <c r="F59" i="1"/>
  <c r="AH40" i="1"/>
  <c r="AC40" i="1"/>
  <c r="Z40" i="1"/>
  <c r="Y40" i="1"/>
  <c r="T40" i="1"/>
  <c r="P40" i="1"/>
  <c r="K40" i="1"/>
  <c r="G40" i="1"/>
  <c r="B40" i="1"/>
  <c r="AG40" i="1"/>
  <c r="X40" i="1"/>
  <c r="M23" i="17" s="1"/>
  <c r="O40" i="1"/>
  <c r="F40" i="1"/>
  <c r="AI21" i="1"/>
  <c r="AH21" i="1"/>
  <c r="AC21" i="1"/>
  <c r="Z21" i="1"/>
  <c r="Y21" i="1"/>
  <c r="T21" i="1"/>
  <c r="P21" i="1"/>
  <c r="O21" i="1"/>
  <c r="K21" i="1"/>
  <c r="G21" i="1"/>
  <c r="B21" i="1"/>
  <c r="AG21" i="1"/>
  <c r="X21" i="1"/>
  <c r="F21" i="1"/>
  <c r="I2" i="17"/>
  <c r="AB1" i="9"/>
  <c r="S1" i="9"/>
  <c r="J1" i="9"/>
  <c r="A1" i="9"/>
  <c r="AB1" i="8"/>
  <c r="S1" i="8"/>
  <c r="J1" i="8"/>
  <c r="A1" i="8"/>
  <c r="J1" i="1"/>
  <c r="S1" i="1"/>
  <c r="AB1" i="1"/>
  <c r="A1" i="1"/>
  <c r="A2" i="9"/>
  <c r="BM2" i="17" s="1"/>
  <c r="S2" i="9"/>
  <c r="BM20" i="17" s="1"/>
  <c r="S2" i="8"/>
  <c r="AD20" i="17" s="1"/>
  <c r="S2" i="1"/>
  <c r="I20" i="17" s="1"/>
  <c r="AB2" i="9"/>
  <c r="BM29" i="17" s="1"/>
  <c r="J2" i="9"/>
  <c r="BM11" i="17" s="1"/>
  <c r="AB2" i="8"/>
  <c r="AD29" i="17" s="1"/>
  <c r="J2" i="8"/>
  <c r="AD11" i="17" s="1"/>
  <c r="A2" i="8"/>
  <c r="AD2" i="17" s="1"/>
  <c r="AB2" i="1"/>
  <c r="I29" i="17" s="1"/>
  <c r="J2" i="1"/>
  <c r="I11" i="17" s="1"/>
  <c r="N23" i="17" l="1"/>
  <c r="AI35" i="17"/>
  <c r="AH31" i="17"/>
  <c r="BQ7" i="17"/>
  <c r="BQ26" i="17"/>
  <c r="BJ59" i="17"/>
  <c r="AH32" i="17"/>
  <c r="BR22" i="17"/>
  <c r="BQ5" i="17"/>
  <c r="BP35" i="17"/>
  <c r="BP34" i="17"/>
  <c r="BP32" i="17"/>
  <c r="BR34" i="17"/>
  <c r="BP33" i="17"/>
  <c r="BR33" i="17"/>
  <c r="BP31" i="17"/>
  <c r="BP26" i="17"/>
  <c r="BR26" i="17"/>
  <c r="BQ25" i="17"/>
  <c r="BR25" i="17"/>
  <c r="BP25" i="17"/>
  <c r="BQ24" i="17"/>
  <c r="BR24" i="17"/>
  <c r="BP24" i="17"/>
  <c r="BR23" i="17"/>
  <c r="BP23" i="17"/>
  <c r="BQ22" i="17"/>
  <c r="BQ17" i="17"/>
  <c r="BQ16" i="17"/>
  <c r="BQ15" i="17"/>
  <c r="BP17" i="17"/>
  <c r="BP16" i="17"/>
  <c r="BP15" i="17"/>
  <c r="BP13" i="17"/>
  <c r="BP14" i="17"/>
  <c r="BQ13" i="17"/>
  <c r="BQ8" i="17"/>
  <c r="BR8" i="17"/>
  <c r="BP8" i="17"/>
  <c r="BR7" i="17"/>
  <c r="BP7" i="17"/>
  <c r="BQ6" i="17"/>
  <c r="BR6" i="17"/>
  <c r="BP6" i="17"/>
  <c r="BR5" i="17"/>
  <c r="BR4" i="17"/>
  <c r="BP5" i="17"/>
  <c r="BP4" i="17"/>
  <c r="BI62" i="17"/>
  <c r="BI61" i="17"/>
  <c r="BI59" i="17"/>
  <c r="BI60" i="17"/>
  <c r="BI58" i="17"/>
  <c r="AU58" i="17"/>
  <c r="AG34" i="17"/>
  <c r="AH33" i="17"/>
  <c r="AG26" i="17"/>
  <c r="AG24" i="17"/>
  <c r="AH22" i="17"/>
  <c r="AG17" i="17"/>
  <c r="AI14" i="17"/>
  <c r="AH6" i="17"/>
  <c r="AH34" i="17"/>
  <c r="AI31" i="17"/>
  <c r="AI32" i="17"/>
  <c r="AG31" i="17"/>
  <c r="AH24" i="17"/>
  <c r="AI34" i="17"/>
  <c r="AI23" i="17"/>
  <c r="AI33" i="17"/>
  <c r="AG16" i="17"/>
  <c r="AI24" i="17"/>
  <c r="AG23" i="17"/>
  <c r="AH17" i="17"/>
  <c r="AI15" i="17"/>
  <c r="AI26" i="17"/>
  <c r="AH14" i="17"/>
  <c r="AG25" i="17"/>
  <c r="AH26" i="17"/>
  <c r="AI16" i="17"/>
  <c r="AI22" i="17"/>
  <c r="AG22" i="17"/>
  <c r="AH23" i="17"/>
  <c r="AG32" i="17"/>
  <c r="AH16" i="17"/>
  <c r="AH35" i="17"/>
  <c r="AI17" i="17"/>
  <c r="AG15" i="17"/>
  <c r="AH13" i="17"/>
  <c r="AG14" i="17"/>
  <c r="AG13" i="17"/>
  <c r="AH8" i="17"/>
  <c r="AG8" i="17"/>
  <c r="AH7" i="17"/>
  <c r="AG7" i="17"/>
  <c r="AI4" i="17"/>
  <c r="AG5" i="17"/>
  <c r="AG6" i="17"/>
  <c r="AH5" i="17"/>
  <c r="AH4" i="17"/>
  <c r="M35" i="17"/>
  <c r="M16" i="17"/>
  <c r="N8" i="17"/>
  <c r="M14" i="17"/>
  <c r="N32" i="17"/>
  <c r="N33" i="17"/>
  <c r="N35" i="17"/>
  <c r="L35" i="17"/>
  <c r="M34" i="17"/>
  <c r="M32" i="17"/>
  <c r="N34" i="17"/>
  <c r="L34" i="17"/>
  <c r="M33" i="17"/>
  <c r="L32" i="17"/>
  <c r="L33" i="17"/>
  <c r="N31" i="17"/>
  <c r="M26" i="17"/>
  <c r="M25" i="17"/>
  <c r="N26" i="17"/>
  <c r="L26" i="17"/>
  <c r="N24" i="17"/>
  <c r="N25" i="17"/>
  <c r="L25" i="17"/>
  <c r="M24" i="17"/>
  <c r="L24" i="17"/>
  <c r="L23" i="17"/>
  <c r="M22" i="17"/>
  <c r="N22" i="17"/>
  <c r="L17" i="17"/>
  <c r="M17" i="17"/>
  <c r="N17" i="17"/>
  <c r="N16" i="17"/>
  <c r="M15" i="17"/>
  <c r="L14" i="17"/>
  <c r="M7" i="17"/>
  <c r="M5" i="17"/>
  <c r="M6" i="17"/>
  <c r="M4" i="17"/>
  <c r="AI154" i="9"/>
  <c r="BR35" i="17" s="1"/>
  <c r="Q97" i="9"/>
  <c r="BR17" i="17" s="1"/>
  <c r="Q78" i="9"/>
  <c r="AI21" i="9"/>
  <c r="AI40" i="9"/>
  <c r="H97" i="8"/>
  <c r="AI8" i="17" s="1"/>
  <c r="Q59" i="1"/>
  <c r="N15" i="17" s="1"/>
  <c r="H78" i="1"/>
  <c r="N7" i="17" s="1"/>
  <c r="Q21" i="1"/>
  <c r="H40" i="1"/>
  <c r="H59" i="1"/>
  <c r="Q40" i="1"/>
  <c r="H21" i="1"/>
  <c r="AL54" i="17" l="1"/>
  <c r="AT55" i="17"/>
  <c r="AS54" i="17"/>
  <c r="BR32" i="17"/>
  <c r="BR31" i="17"/>
  <c r="BR16" i="17"/>
  <c r="BR15" i="17"/>
  <c r="BR13" i="17"/>
  <c r="BR14" i="17"/>
  <c r="AI5" i="17"/>
  <c r="AI6" i="17"/>
  <c r="AI7" i="17"/>
  <c r="N14" i="17"/>
  <c r="N13" i="17"/>
  <c r="N6" i="17"/>
  <c r="N5" i="17"/>
  <c r="N4" i="17"/>
  <c r="BA46" i="17" l="1"/>
  <c r="I38" i="18" s="1"/>
  <c r="J38" i="18" s="1"/>
  <c r="BA55" i="17"/>
  <c r="I39" i="18" s="1"/>
  <c r="AZ54" i="17"/>
  <c r="I19" i="18" s="1"/>
  <c r="AZ45" i="17"/>
  <c r="I18" i="18" s="1"/>
  <c r="BA37" i="17"/>
  <c r="I37" i="18" s="1"/>
  <c r="BA19" i="17"/>
  <c r="I35" i="18" s="1"/>
  <c r="J35" i="18" s="1"/>
  <c r="BA10" i="17"/>
  <c r="I34" i="18" s="1"/>
  <c r="BA28" i="17"/>
  <c r="I36" i="18" s="1"/>
  <c r="I14" i="18"/>
  <c r="AZ36" i="17"/>
  <c r="I17" i="18" s="1"/>
  <c r="AZ18" i="17"/>
  <c r="I15" i="18" s="1"/>
  <c r="AZ27" i="17"/>
  <c r="I16" i="18" s="1"/>
  <c r="AS36" i="17"/>
  <c r="F17" i="18" s="1"/>
  <c r="AS45" i="17"/>
  <c r="F18" i="18" s="1"/>
  <c r="AT37" i="17"/>
  <c r="AT46" i="17"/>
  <c r="AS9" i="17"/>
  <c r="AS27" i="17"/>
  <c r="F16" i="18" s="1"/>
  <c r="AS18" i="17"/>
  <c r="F15" i="18" s="1"/>
  <c r="G15" i="18" s="1"/>
  <c r="AT10" i="17"/>
  <c r="AT28" i="17"/>
  <c r="AT19" i="17"/>
  <c r="AL45" i="17"/>
  <c r="C18" i="18" s="1"/>
  <c r="AL36" i="17"/>
  <c r="C17" i="18" s="1"/>
  <c r="D17" i="18" s="1"/>
  <c r="AM55" i="17"/>
  <c r="E34" i="18"/>
  <c r="AL9" i="17"/>
  <c r="C14" i="18" s="1"/>
  <c r="AL27" i="17"/>
  <c r="C16" i="18" s="1"/>
  <c r="AL18" i="17"/>
  <c r="C15" i="18" s="1"/>
  <c r="Y55" i="17"/>
  <c r="Q36" i="17"/>
  <c r="Q45" i="17"/>
  <c r="Q27" i="17"/>
  <c r="F19" i="18"/>
  <c r="C19" i="18"/>
  <c r="BG54" i="17"/>
  <c r="L19" i="18" s="1"/>
  <c r="BU102" i="17"/>
  <c r="R19" i="18" s="1"/>
  <c r="S19" i="18" s="1"/>
  <c r="BN62" i="17"/>
  <c r="N34" i="18"/>
  <c r="K34" i="18"/>
  <c r="BV86" i="17" l="1"/>
  <c r="R38" i="18" s="1"/>
  <c r="S38" i="18" s="1"/>
  <c r="BV103" i="17"/>
  <c r="R39" i="18" s="1"/>
  <c r="S39" i="18" s="1"/>
  <c r="BU68" i="17"/>
  <c r="R17" i="18" s="1"/>
  <c r="S17" i="18" s="1"/>
  <c r="BU85" i="17"/>
  <c r="R18" i="18" s="1"/>
  <c r="S18" i="18" s="1"/>
  <c r="BV35" i="17"/>
  <c r="R35" i="18" s="1"/>
  <c r="S35" i="18" s="1"/>
  <c r="BV69" i="17"/>
  <c r="R37" i="18" s="1"/>
  <c r="S37" i="18" s="1"/>
  <c r="BV52" i="17"/>
  <c r="R36" i="18" s="1"/>
  <c r="S36" i="18" s="1"/>
  <c r="BU34" i="17"/>
  <c r="R15" i="18" s="1"/>
  <c r="S15" i="18" s="1"/>
  <c r="BU51" i="17"/>
  <c r="R16" i="18" s="1"/>
  <c r="S16" i="18" s="1"/>
  <c r="BV18" i="17"/>
  <c r="R34" i="18" s="1"/>
  <c r="S34" i="18" s="1"/>
  <c r="BG27" i="17"/>
  <c r="L16" i="18" s="1"/>
  <c r="BG45" i="17"/>
  <c r="L18" i="18" s="1"/>
  <c r="BG36" i="17"/>
  <c r="L17" i="18" s="1"/>
  <c r="BG18" i="17"/>
  <c r="L15" i="18" s="1"/>
  <c r="BG9" i="17"/>
  <c r="L14" i="18" s="1"/>
  <c r="N14" i="18"/>
  <c r="AM46" i="17"/>
  <c r="C38" i="18" s="1"/>
  <c r="D38" i="18" s="1"/>
  <c r="AM37" i="17"/>
  <c r="C37" i="18" s="1"/>
  <c r="C39" i="18"/>
  <c r="C34" i="18"/>
  <c r="AM28" i="17"/>
  <c r="C36" i="18" s="1"/>
  <c r="AM19" i="17"/>
  <c r="C35" i="18" s="1"/>
  <c r="X45" i="17"/>
  <c r="X54" i="17"/>
  <c r="Y46" i="17"/>
  <c r="Y19" i="17"/>
  <c r="N4" i="18"/>
  <c r="X18" i="17"/>
  <c r="X27" i="17"/>
  <c r="BN54" i="17"/>
  <c r="O19" i="18" s="1"/>
  <c r="BO55" i="17"/>
  <c r="O39" i="18" s="1"/>
  <c r="BH55" i="17"/>
  <c r="L39" i="18" s="1"/>
  <c r="K24" i="18"/>
  <c r="K4" i="18"/>
  <c r="N24" i="18"/>
  <c r="H4" i="18"/>
  <c r="BO46" i="17" l="1"/>
  <c r="O38" i="18" s="1"/>
  <c r="P38" i="18" s="1"/>
  <c r="BO37" i="17"/>
  <c r="O37" i="18" s="1"/>
  <c r="BN36" i="17"/>
  <c r="O17" i="18" s="1"/>
  <c r="BN45" i="17"/>
  <c r="O18" i="18" s="1"/>
  <c r="BO28" i="17"/>
  <c r="O36" i="18" s="1"/>
  <c r="P36" i="18" s="1"/>
  <c r="BO10" i="17"/>
  <c r="O34" i="18" s="1"/>
  <c r="BO19" i="17"/>
  <c r="O35" i="18" s="1"/>
  <c r="BN27" i="17"/>
  <c r="O16" i="18" s="1"/>
  <c r="BN9" i="17"/>
  <c r="O14" i="18" s="1"/>
  <c r="BN18" i="17"/>
  <c r="O15" i="18" s="1"/>
  <c r="BH28" i="17"/>
  <c r="L36" i="18" s="1"/>
  <c r="BH46" i="17"/>
  <c r="L38" i="18" s="1"/>
  <c r="BH37" i="17"/>
  <c r="L37" i="18" s="1"/>
  <c r="BH19" i="17"/>
  <c r="L35" i="18" s="1"/>
  <c r="BH10" i="17"/>
  <c r="L34" i="18" s="1"/>
  <c r="Q24" i="18"/>
  <c r="AF46" i="17"/>
  <c r="AF55" i="17"/>
  <c r="AE54" i="17"/>
  <c r="O9" i="18" s="1"/>
  <c r="P9" i="18" s="1"/>
  <c r="AE45" i="17"/>
  <c r="O8" i="18" s="1"/>
  <c r="AE9" i="17"/>
  <c r="AE36" i="17"/>
  <c r="O7" i="18" s="1"/>
  <c r="AE18" i="17"/>
  <c r="O5" i="18" s="1"/>
  <c r="AE27" i="17"/>
  <c r="O6" i="18" s="1"/>
  <c r="AF10" i="17"/>
  <c r="AF37" i="17"/>
  <c r="AF19" i="17"/>
  <c r="AF28" i="17"/>
  <c r="L8" i="18"/>
  <c r="L7" i="18"/>
  <c r="L9" i="18"/>
  <c r="L5" i="18"/>
  <c r="L6" i="18"/>
  <c r="F29" i="18"/>
  <c r="G29" i="18" s="1"/>
  <c r="Q34" i="18"/>
  <c r="I7" i="18"/>
  <c r="J7" i="18" s="1"/>
  <c r="I8" i="18"/>
  <c r="I6" i="18"/>
  <c r="I5" i="18"/>
  <c r="I9" i="18"/>
  <c r="I4" i="18"/>
  <c r="Q5" i="18"/>
  <c r="H24" i="18"/>
  <c r="F25" i="18"/>
  <c r="F28" i="18"/>
  <c r="F24" i="18"/>
  <c r="F27" i="18"/>
  <c r="F26" i="18"/>
  <c r="L26" i="18" l="1"/>
  <c r="O28" i="18"/>
  <c r="O25" i="18"/>
  <c r="P25" i="18" s="1"/>
  <c r="I24" i="18"/>
  <c r="O27" i="18"/>
  <c r="P27" i="18" s="1"/>
  <c r="O24" i="18"/>
  <c r="O26" i="18"/>
  <c r="P26" i="18" s="1"/>
  <c r="O29" i="18"/>
  <c r="F8" i="18"/>
  <c r="I26" i="18"/>
  <c r="J26" i="18" s="1"/>
  <c r="I27" i="18"/>
  <c r="J27" i="18" s="1"/>
  <c r="I29" i="18"/>
  <c r="J29" i="18" s="1"/>
  <c r="I28" i="18"/>
  <c r="L29" i="18"/>
  <c r="L25" i="18"/>
  <c r="L27" i="18"/>
  <c r="M27" i="18" s="1"/>
  <c r="L28" i="18"/>
  <c r="M28" i="18" s="1"/>
  <c r="L24" i="18"/>
  <c r="I25" i="18"/>
  <c r="J25" i="18" s="1"/>
  <c r="F7" i="18"/>
  <c r="F4" i="18"/>
  <c r="F6" i="18"/>
  <c r="F9" i="18"/>
  <c r="F5" i="18"/>
</calcChain>
</file>

<file path=xl/sharedStrings.xml><?xml version="1.0" encoding="utf-8"?>
<sst xmlns="http://schemas.openxmlformats.org/spreadsheetml/2006/main" count="22203" uniqueCount="199">
  <si>
    <t>時段</t>
    <phoneticPr fontId="20" type="noConversion"/>
  </si>
  <si>
    <t>臨近路段</t>
  </si>
  <si>
    <t>開始時刻</t>
  </si>
  <si>
    <t>停車在臨近車道上的車輛總數(0秒)</t>
    <phoneticPr fontId="20" type="noConversion"/>
  </si>
  <si>
    <t>停車在臨近車道上的車輛總數(15秒)</t>
    <phoneticPr fontId="20" type="noConversion"/>
  </si>
  <si>
    <t>停車在臨近車道上的車輛總數(30秒)</t>
    <phoneticPr fontId="20" type="noConversion"/>
  </si>
  <si>
    <t>停車在臨近車道上的車輛總數(45秒)</t>
    <phoneticPr fontId="20" type="noConversion"/>
  </si>
  <si>
    <t>臨近車道上的流量(總數)</t>
    <phoneticPr fontId="20" type="noConversion"/>
  </si>
  <si>
    <t>臨近車道上的流量(未受阻)</t>
    <phoneticPr fontId="20" type="noConversion"/>
  </si>
  <si>
    <t>臨近車道上的流量(受阻)</t>
    <phoneticPr fontId="20" type="noConversion"/>
  </si>
  <si>
    <t>平日晨峰</t>
    <phoneticPr fontId="20" type="noConversion"/>
  </si>
  <si>
    <t>A</t>
    <phoneticPr fontId="20" type="noConversion"/>
  </si>
  <si>
    <t>B</t>
    <phoneticPr fontId="20" type="noConversion"/>
  </si>
  <si>
    <t>C</t>
    <phoneticPr fontId="20" type="noConversion"/>
  </si>
  <si>
    <t>D</t>
    <phoneticPr fontId="20" type="noConversion"/>
  </si>
  <si>
    <t>平日昏峰</t>
    <phoneticPr fontId="20" type="noConversion"/>
  </si>
  <si>
    <t>TC編號：</t>
  </si>
  <si>
    <t>(例：TC240)</t>
    <phoneticPr fontId="20" type="noConversion"/>
  </si>
  <si>
    <t>路口名稱：</t>
    <phoneticPr fontId="20" type="noConversion"/>
  </si>
  <si>
    <t>行政區域：</t>
    <phoneticPr fontId="20" type="noConversion"/>
  </si>
  <si>
    <t>(例：東區)</t>
    <phoneticPr fontId="20" type="noConversion"/>
  </si>
  <si>
    <t>往北</t>
    <phoneticPr fontId="20" type="noConversion"/>
  </si>
  <si>
    <t>往東</t>
    <phoneticPr fontId="20" type="noConversion"/>
  </si>
  <si>
    <t>往南</t>
    <phoneticPr fontId="20" type="noConversion"/>
  </si>
  <si>
    <t>日期：</t>
    <phoneticPr fontId="20" type="noConversion"/>
  </si>
  <si>
    <t>YYYY/MM/DD</t>
  </si>
  <si>
    <t>往西南</t>
    <phoneticPr fontId="20" type="noConversion"/>
  </si>
  <si>
    <t>天候：</t>
  </si>
  <si>
    <t>往西北</t>
    <phoneticPr fontId="20" type="noConversion"/>
  </si>
  <si>
    <t>往東北</t>
    <phoneticPr fontId="20" type="noConversion"/>
  </si>
  <si>
    <t>往東南</t>
    <phoneticPr fontId="20" type="noConversion"/>
  </si>
  <si>
    <t>路口類型：</t>
    <phoneticPr fontId="20" type="noConversion"/>
  </si>
  <si>
    <t>往西</t>
    <phoneticPr fontId="20" type="noConversion"/>
  </si>
  <si>
    <t>方　向：</t>
  </si>
  <si>
    <t>A</t>
  </si>
  <si>
    <t>B</t>
  </si>
  <si>
    <t>C</t>
  </si>
  <si>
    <t>D</t>
  </si>
  <si>
    <t>路段名：</t>
  </si>
  <si>
    <t>行車方向：</t>
    <phoneticPr fontId="20" type="noConversion"/>
  </si>
  <si>
    <t>車道數：</t>
  </si>
  <si>
    <t>-</t>
  </si>
  <si>
    <t>簡圖：</t>
  </si>
  <si>
    <t>07:00~07:15</t>
  </si>
  <si>
    <t>停車在臨近車道上的車輛總數</t>
    <phoneticPr fontId="20" type="noConversion"/>
  </si>
  <si>
    <t>臨近車道上的流量</t>
    <phoneticPr fontId="20" type="noConversion"/>
  </si>
  <si>
    <t>停車在臨近車道上的車輛總數</t>
  </si>
  <si>
    <t>臨近車道上的流量</t>
  </si>
  <si>
    <t>07:00</t>
  </si>
  <si>
    <t>0秒</t>
  </si>
  <si>
    <t>15秒</t>
  </si>
  <si>
    <t>30秒</t>
  </si>
  <si>
    <t>45秒</t>
  </si>
  <si>
    <t>總數</t>
  </si>
  <si>
    <t>未受阻</t>
  </si>
  <si>
    <t>受阻</t>
  </si>
  <si>
    <t>總   計</t>
  </si>
  <si>
    <t>07:15~07:30</t>
  </si>
  <si>
    <t>07:15</t>
  </si>
  <si>
    <t>07:30~07:45</t>
  </si>
  <si>
    <t>07:30</t>
  </si>
  <si>
    <t>07:45~08:00</t>
  </si>
  <si>
    <t>07:45</t>
  </si>
  <si>
    <t>08:00~08:15</t>
  </si>
  <si>
    <t>08:00</t>
  </si>
  <si>
    <t>08:15~08:30</t>
  </si>
  <si>
    <t>08:15</t>
  </si>
  <si>
    <t>08:30~08:45</t>
  </si>
  <si>
    <t>08:30</t>
  </si>
  <si>
    <t>08:45~09:00</t>
  </si>
  <si>
    <t>08:45</t>
  </si>
  <si>
    <t>09:00</t>
  </si>
  <si>
    <t>17:00~17:15</t>
  </si>
  <si>
    <t>17:00</t>
  </si>
  <si>
    <t>17:15~17:30</t>
  </si>
  <si>
    <t>17:15</t>
  </si>
  <si>
    <t>17:30~17:45</t>
  </si>
  <si>
    <t>17:30</t>
  </si>
  <si>
    <t>17:45~18:00</t>
  </si>
  <si>
    <t>17:45</t>
  </si>
  <si>
    <t>18:00~18:15</t>
  </si>
  <si>
    <t>18:00</t>
  </si>
  <si>
    <t>18:15~18:30</t>
  </si>
  <si>
    <t>18:15</t>
  </si>
  <si>
    <t>18:30~18:45</t>
  </si>
  <si>
    <t>18:30</t>
  </si>
  <si>
    <t>18:45~19:00</t>
  </si>
  <si>
    <t>18:45</t>
  </si>
  <si>
    <t>19:00</t>
  </si>
  <si>
    <t>業主名稱：</t>
    <phoneticPr fontId="20" type="noConversion"/>
  </si>
  <si>
    <t>專案編號：</t>
    <phoneticPr fontId="20" type="noConversion"/>
  </si>
  <si>
    <t>11:00~11:15</t>
    <phoneticPr fontId="20" type="noConversion"/>
  </si>
  <si>
    <t>11:15~11:30</t>
    <phoneticPr fontId="20" type="noConversion"/>
  </si>
  <si>
    <t>11:30~11:45</t>
    <phoneticPr fontId="20" type="noConversion"/>
  </si>
  <si>
    <t>11:45~12:00</t>
    <phoneticPr fontId="20" type="noConversion"/>
  </si>
  <si>
    <t>12:00~12:15</t>
    <phoneticPr fontId="20" type="noConversion"/>
  </si>
  <si>
    <t>12:15~12:30</t>
    <phoneticPr fontId="20" type="noConversion"/>
  </si>
  <si>
    <t>12:30~12:45</t>
    <phoneticPr fontId="20" type="noConversion"/>
  </si>
  <si>
    <t>12:45~13:00</t>
    <phoneticPr fontId="20" type="noConversion"/>
  </si>
  <si>
    <t>平日晨峰(07-09)</t>
    <phoneticPr fontId="20" type="noConversion"/>
  </si>
  <si>
    <t>平日中午(11-13)</t>
    <phoneticPr fontId="20" type="noConversion"/>
  </si>
  <si>
    <t>平日昏峰(17-19)</t>
    <phoneticPr fontId="20" type="noConversion"/>
  </si>
  <si>
    <t>假日(11-12)</t>
    <phoneticPr fontId="20" type="noConversion"/>
  </si>
  <si>
    <t>假日(1430-1530)</t>
    <phoneticPr fontId="20" type="noConversion"/>
  </si>
  <si>
    <t>假日(1730-1830)</t>
  </si>
  <si>
    <t>假日(1730-1830)</t>
    <phoneticPr fontId="20" type="noConversion"/>
  </si>
  <si>
    <t>假日(16-18)</t>
  </si>
  <si>
    <t>假日(16-18)</t>
    <phoneticPr fontId="20" type="noConversion"/>
  </si>
  <si>
    <t>假日(17-19)</t>
    <phoneticPr fontId="20" type="noConversion"/>
  </si>
  <si>
    <t>14:30~14:45</t>
    <phoneticPr fontId="20" type="noConversion"/>
  </si>
  <si>
    <t>14:45~15:00</t>
    <phoneticPr fontId="20" type="noConversion"/>
  </si>
  <si>
    <t>15:00~15:15</t>
    <phoneticPr fontId="20" type="noConversion"/>
  </si>
  <si>
    <t>15:15~15:30</t>
    <phoneticPr fontId="20" type="noConversion"/>
  </si>
  <si>
    <t>17:30~17:45</t>
    <phoneticPr fontId="20" type="noConversion"/>
  </si>
  <si>
    <t>17:45~18:00</t>
    <phoneticPr fontId="20" type="noConversion"/>
  </si>
  <si>
    <t>18:00~18:15</t>
    <phoneticPr fontId="20" type="noConversion"/>
  </si>
  <si>
    <t>18:15~18:30</t>
    <phoneticPr fontId="20" type="noConversion"/>
  </si>
  <si>
    <t>16:00~16:15</t>
    <phoneticPr fontId="20" type="noConversion"/>
  </si>
  <si>
    <t>16:15~16:30</t>
    <phoneticPr fontId="20" type="noConversion"/>
  </si>
  <si>
    <t>16:30~16:45</t>
    <phoneticPr fontId="20" type="noConversion"/>
  </si>
  <si>
    <t>16:45~17:00</t>
    <phoneticPr fontId="20" type="noConversion"/>
  </si>
  <si>
    <t>17:00~17:15</t>
    <phoneticPr fontId="20" type="noConversion"/>
  </si>
  <si>
    <t>17:15~17:30</t>
    <phoneticPr fontId="20" type="noConversion"/>
  </si>
  <si>
    <t>E</t>
  </si>
  <si>
    <t>E</t>
    <phoneticPr fontId="20" type="noConversion"/>
  </si>
  <si>
    <t>F</t>
  </si>
  <si>
    <t>F</t>
    <phoneticPr fontId="20" type="noConversion"/>
  </si>
  <si>
    <t>假日(1430~1530)</t>
    <phoneticPr fontId="20" type="noConversion"/>
  </si>
  <si>
    <t>假日(1730~1830)</t>
    <phoneticPr fontId="20" type="noConversion"/>
  </si>
  <si>
    <t>時間</t>
    <phoneticPr fontId="20" type="noConversion"/>
  </si>
  <si>
    <t>平均延滯</t>
    <phoneticPr fontId="20" type="noConversion"/>
  </si>
  <si>
    <t>平均停等延滯</t>
    <phoneticPr fontId="20" type="noConversion"/>
  </si>
  <si>
    <t>總延滯</t>
  </si>
  <si>
    <t>車輛總數</t>
  </si>
  <si>
    <t>停等車輛數</t>
    <phoneticPr fontId="20" type="noConversion"/>
  </si>
  <si>
    <t>平均延滯</t>
  </si>
  <si>
    <t>07:00~08:00</t>
    <phoneticPr fontId="20" type="noConversion"/>
  </si>
  <si>
    <t>11:00~12:00</t>
    <phoneticPr fontId="20" type="noConversion"/>
  </si>
  <si>
    <t>17:00~18:00</t>
    <phoneticPr fontId="20" type="noConversion"/>
  </si>
  <si>
    <t>14:30~15:30</t>
    <phoneticPr fontId="20" type="noConversion"/>
  </si>
  <si>
    <t>17:30~18:30</t>
    <phoneticPr fontId="20" type="noConversion"/>
  </si>
  <si>
    <t>16:00~17:00</t>
    <phoneticPr fontId="20" type="noConversion"/>
  </si>
  <si>
    <t>07:15~08:15</t>
    <phoneticPr fontId="20" type="noConversion"/>
  </si>
  <si>
    <t>11:15~12:15</t>
    <phoneticPr fontId="20" type="noConversion"/>
  </si>
  <si>
    <t>17:15~18:15</t>
    <phoneticPr fontId="20" type="noConversion"/>
  </si>
  <si>
    <t>16:15~17:15</t>
    <phoneticPr fontId="20" type="noConversion"/>
  </si>
  <si>
    <t>07:30~08:30</t>
    <phoneticPr fontId="20" type="noConversion"/>
  </si>
  <si>
    <t>11:30~12:30</t>
    <phoneticPr fontId="20" type="noConversion"/>
  </si>
  <si>
    <t>16:30~17:30</t>
    <phoneticPr fontId="20" type="noConversion"/>
  </si>
  <si>
    <t>07:45~08:45</t>
    <phoneticPr fontId="20" type="noConversion"/>
  </si>
  <si>
    <t>11:45~12:45</t>
    <phoneticPr fontId="20" type="noConversion"/>
  </si>
  <si>
    <t>17:45~18:45</t>
    <phoneticPr fontId="20" type="noConversion"/>
  </si>
  <si>
    <t>16:45~17:45</t>
    <phoneticPr fontId="20" type="noConversion"/>
  </si>
  <si>
    <t>08:00~09:00</t>
    <phoneticPr fontId="20" type="noConversion"/>
  </si>
  <si>
    <t>12:00~13:00</t>
    <phoneticPr fontId="20" type="noConversion"/>
  </si>
  <si>
    <t>18:00~19:00</t>
    <phoneticPr fontId="20" type="noConversion"/>
  </si>
  <si>
    <t>路口延滯</t>
    <phoneticPr fontId="20" type="noConversion"/>
  </si>
  <si>
    <t>MAX平均延滯</t>
    <phoneticPr fontId="20" type="noConversion"/>
  </si>
  <si>
    <t>MAX時段</t>
    <phoneticPr fontId="20" type="noConversion"/>
  </si>
  <si>
    <t>MAX平均停等延滯</t>
    <phoneticPr fontId="20" type="noConversion"/>
  </si>
  <si>
    <t>平均延滯(報告用)</t>
    <phoneticPr fontId="20" type="noConversion"/>
  </si>
  <si>
    <t>方向</t>
  </si>
  <si>
    <t>各方向延滯</t>
    <phoneticPr fontId="20" type="noConversion"/>
  </si>
  <si>
    <t>服務水準</t>
    <phoneticPr fontId="20" type="noConversion"/>
  </si>
  <si>
    <t>平均停等車輛延滯</t>
    <phoneticPr fontId="20" type="noConversion"/>
  </si>
  <si>
    <t>平日中午(12-14)</t>
  </si>
  <si>
    <t>平日中午(12-14)</t>
    <phoneticPr fontId="20" type="noConversion"/>
  </si>
  <si>
    <t>13:00~13:15</t>
    <phoneticPr fontId="20" type="noConversion"/>
  </si>
  <si>
    <t>13:15~13:30</t>
    <phoneticPr fontId="20" type="noConversion"/>
  </si>
  <si>
    <t>13:30~13:45</t>
    <phoneticPr fontId="20" type="noConversion"/>
  </si>
  <si>
    <t>13:45~14:00</t>
    <phoneticPr fontId="20" type="noConversion"/>
  </si>
  <si>
    <t>1200~13:00</t>
    <phoneticPr fontId="20" type="noConversion"/>
  </si>
  <si>
    <t>12:15~13:15</t>
    <phoneticPr fontId="20" type="noConversion"/>
  </si>
  <si>
    <t>12:30~13:30</t>
    <phoneticPr fontId="20" type="noConversion"/>
  </si>
  <si>
    <t>12:45~13:45</t>
    <phoneticPr fontId="20" type="noConversion"/>
  </si>
  <si>
    <t>13:00~14:00</t>
    <phoneticPr fontId="20" type="noConversion"/>
  </si>
  <si>
    <t>六叉路口</t>
    <phoneticPr fontId="20" type="noConversion"/>
  </si>
  <si>
    <t>0秒</t>
    <phoneticPr fontId="20" type="noConversion"/>
  </si>
  <si>
    <t>平日晨峰(0630-0830)</t>
    <phoneticPr fontId="20" type="noConversion"/>
  </si>
  <si>
    <t>假日(16-20)</t>
    <phoneticPr fontId="20" type="noConversion"/>
  </si>
  <si>
    <t>YYYY/MM/DD</t>
    <phoneticPr fontId="20" type="noConversion"/>
  </si>
  <si>
    <t>06:30~06:45</t>
    <phoneticPr fontId="20" type="noConversion"/>
  </si>
  <si>
    <t>06:45~07:00</t>
    <phoneticPr fontId="20" type="noConversion"/>
  </si>
  <si>
    <t>18:30~18:45</t>
    <phoneticPr fontId="20" type="noConversion"/>
  </si>
  <si>
    <t>18:45~19:00</t>
    <phoneticPr fontId="20" type="noConversion"/>
  </si>
  <si>
    <t>19:00~19:15</t>
    <phoneticPr fontId="20" type="noConversion"/>
  </si>
  <si>
    <t>19:15~19:30</t>
    <phoneticPr fontId="20" type="noConversion"/>
  </si>
  <si>
    <t>19:30~19:45</t>
    <phoneticPr fontId="20" type="noConversion"/>
  </si>
  <si>
    <t>19:45~20:00</t>
    <phoneticPr fontId="20" type="noConversion"/>
  </si>
  <si>
    <t>18:15~19:15</t>
    <phoneticPr fontId="20" type="noConversion"/>
  </si>
  <si>
    <t>18:30~19:30</t>
    <phoneticPr fontId="20" type="noConversion"/>
  </si>
  <si>
    <t>18:45~19:45</t>
    <phoneticPr fontId="20" type="noConversion"/>
  </si>
  <si>
    <t>19:00~20:00</t>
    <phoneticPr fontId="20" type="noConversion"/>
  </si>
  <si>
    <t>06:30~07:30</t>
    <phoneticPr fontId="20" type="noConversion"/>
  </si>
  <si>
    <t>06:45~07:45</t>
    <phoneticPr fontId="20" type="noConversion"/>
  </si>
  <si>
    <t>07:00~08:00</t>
    <phoneticPr fontId="20" type="noConversion"/>
  </si>
  <si>
    <t>07:15~08:15</t>
    <phoneticPr fontId="20" type="noConversion"/>
  </si>
  <si>
    <t>07:30~08:30</t>
    <phoneticPr fontId="20" type="noConversion"/>
  </si>
  <si>
    <t>路口延滯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</si>
</sst>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76" formatCode="0_);[Red]\(0\)"/>
    <numFmt numFmtId="177" formatCode="yyyy/m/d;@"/>
    <numFmt numFmtId="178" formatCode="hhmm"/>
    <numFmt numFmtId="179" formatCode="0.00_ "/>
    <numFmt numFmtId="180" formatCode="#,##0.00_ "/>
  </numFmts>
  <fonts count="35"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9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22"/>
      <name val="微軟正黑體"/>
      <family val="2"/>
      <charset val="136"/>
    </font>
    <font>
      <sz val="12"/>
      <color indexed="10"/>
      <name val="微軟正黑體"/>
      <family val="2"/>
      <charset val="136"/>
    </font>
    <font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2"/>
      <color rgb="FFFFFFFF"/>
      <name val="微軟正黑體"/>
      <family val="2"/>
      <charset val="136"/>
    </font>
    <font>
      <sz val="9"/>
      <name val="Courier New"/>
      <family val="3"/>
    </font>
    <font>
      <sz val="10"/>
      <name val="細明體"/>
      <family val="3"/>
      <charset val="136"/>
    </font>
    <font>
      <sz val="12"/>
      <color rgb="FFFF0000"/>
      <name val="細明體"/>
      <family val="3"/>
      <charset val="136"/>
    </font>
    <font>
      <b/>
      <sz val="12"/>
      <color rgb="FFFF0000"/>
      <name val="細明體"/>
      <family val="3"/>
      <charset val="136"/>
    </font>
    <font>
      <sz val="12"/>
      <name val="細明體"/>
      <family val="3"/>
      <charset val="136"/>
    </font>
    <font>
      <sz val="12"/>
      <name val="Microsoft JhengHei"/>
      <family val="2"/>
    </font>
    <font>
      <sz val="12"/>
      <color indexed="8"/>
      <name val="微軟正黑體"/>
      <family val="2"/>
      <charset val="136"/>
    </font>
  </fonts>
  <fills count="4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9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17" borderId="2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" fillId="18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2" applyNumberFormat="0" applyAlignment="0" applyProtection="0">
      <alignment vertical="center"/>
    </xf>
    <xf numFmtId="0" fontId="16" fillId="17" borderId="8" applyNumberFormat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8" fillId="0" borderId="0"/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275">
    <xf numFmtId="0" fontId="0" fillId="0" borderId="0" xfId="0">
      <alignment vertical="center"/>
    </xf>
    <xf numFmtId="0" fontId="21" fillId="0" borderId="0" xfId="0" applyFont="1">
      <alignment vertical="center"/>
    </xf>
    <xf numFmtId="0" fontId="21" fillId="24" borderId="10" xfId="0" applyFont="1" applyFill="1" applyBorder="1" applyAlignment="1">
      <alignment horizontal="center"/>
    </xf>
    <xf numFmtId="0" fontId="21" fillId="24" borderId="11" xfId="0" applyFont="1" applyFill="1" applyBorder="1">
      <alignment vertical="center"/>
    </xf>
    <xf numFmtId="0" fontId="21" fillId="24" borderId="0" xfId="0" applyFont="1" applyFill="1" applyAlignment="1">
      <alignment horizontal="center"/>
    </xf>
    <xf numFmtId="0" fontId="22" fillId="24" borderId="0" xfId="0" applyFont="1" applyFill="1" applyAlignment="1">
      <alignment horizontal="center"/>
    </xf>
    <xf numFmtId="0" fontId="21" fillId="24" borderId="12" xfId="0" applyFont="1" applyFill="1" applyBorder="1">
      <alignment vertical="center"/>
    </xf>
    <xf numFmtId="0" fontId="21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23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49" fontId="21" fillId="0" borderId="0" xfId="0" applyNumberFormat="1" applyFont="1">
      <alignment vertical="center"/>
    </xf>
    <xf numFmtId="0" fontId="21" fillId="0" borderId="0" xfId="0" applyFont="1" applyAlignment="1" applyProtection="1">
      <protection locked="0"/>
    </xf>
    <xf numFmtId="0" fontId="21" fillId="0" borderId="0" xfId="0" applyFont="1" applyAlignment="1"/>
    <xf numFmtId="49" fontId="26" fillId="0" borderId="13" xfId="0" applyNumberFormat="1" applyFont="1" applyBorder="1">
      <alignment vertical="center"/>
    </xf>
    <xf numFmtId="0" fontId="29" fillId="0" borderId="0" xfId="56" applyFont="1" applyAlignment="1">
      <alignment horizontal="center"/>
    </xf>
    <xf numFmtId="49" fontId="21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30" fillId="0" borderId="0" xfId="0" applyFont="1">
      <alignment vertical="center"/>
    </xf>
    <xf numFmtId="0" fontId="32" fillId="0" borderId="0" xfId="0" applyFont="1">
      <alignment vertical="center"/>
    </xf>
    <xf numFmtId="0" fontId="32" fillId="0" borderId="0" xfId="57" applyFont="1">
      <alignment vertical="center"/>
    </xf>
    <xf numFmtId="0" fontId="21" fillId="0" borderId="0" xfId="0" applyFont="1" applyAlignment="1" applyProtection="1">
      <protection locked="0" hidden="1"/>
    </xf>
    <xf numFmtId="0" fontId="33" fillId="0" borderId="0" xfId="0" applyFont="1" applyAlignment="1">
      <alignment horizontal="left" vertical="center"/>
    </xf>
    <xf numFmtId="49" fontId="21" fillId="29" borderId="14" xfId="0" applyNumberFormat="1" applyFont="1" applyFill="1" applyBorder="1">
      <alignment vertical="center"/>
    </xf>
    <xf numFmtId="14" fontId="21" fillId="29" borderId="4" xfId="0" applyNumberFormat="1" applyFont="1" applyFill="1" applyBorder="1" applyAlignment="1">
      <alignment horizontal="center" vertical="center"/>
    </xf>
    <xf numFmtId="49" fontId="21" fillId="29" borderId="4" xfId="0" applyNumberFormat="1" applyFont="1" applyFill="1" applyBorder="1" applyAlignment="1">
      <alignment horizontal="center" vertical="center"/>
    </xf>
    <xf numFmtId="0" fontId="21" fillId="29" borderId="4" xfId="0" applyFont="1" applyFill="1" applyBorder="1" applyAlignment="1">
      <alignment horizontal="center" vertical="center"/>
    </xf>
    <xf numFmtId="0" fontId="0" fillId="0" borderId="27" xfId="0" applyBorder="1">
      <alignment vertical="center"/>
    </xf>
    <xf numFmtId="0" fontId="27" fillId="2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30" borderId="15" xfId="0" applyFont="1" applyFill="1" applyBorder="1" applyAlignment="1" applyProtection="1">
      <alignment horizontal="center" vertical="center" wrapText="1"/>
      <protection locked="0"/>
    </xf>
    <xf numFmtId="0" fontId="21" fillId="30" borderId="16" xfId="0" applyFont="1" applyFill="1" applyBorder="1" applyAlignment="1" applyProtection="1">
      <alignment horizontal="centerContinuous" vertical="center" wrapText="1"/>
      <protection locked="0"/>
    </xf>
    <xf numFmtId="0" fontId="21" fillId="30" borderId="17" xfId="0" applyFont="1" applyFill="1" applyBorder="1" applyAlignment="1" applyProtection="1">
      <alignment horizontal="centerContinuous" vertical="center" wrapText="1"/>
      <protection locked="0"/>
    </xf>
    <xf numFmtId="0" fontId="21" fillId="30" borderId="18" xfId="0" applyFont="1" applyFill="1" applyBorder="1" applyAlignment="1" applyProtection="1">
      <alignment horizontal="centerContinuous" vertical="center" wrapText="1"/>
      <protection locked="0"/>
    </xf>
    <xf numFmtId="0" fontId="21" fillId="30" borderId="0" xfId="0" applyFont="1" applyFill="1" applyAlignment="1" applyProtection="1">
      <protection locked="0"/>
    </xf>
    <xf numFmtId="20" fontId="21" fillId="30" borderId="19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0" borderId="20" xfId="0" applyFont="1" applyFill="1" applyBorder="1" applyAlignment="1" applyProtection="1">
      <alignment horizontal="center" vertical="center" wrapText="1"/>
      <protection locked="0"/>
    </xf>
    <xf numFmtId="0" fontId="21" fillId="30" borderId="19" xfId="0" applyFont="1" applyFill="1" applyBorder="1" applyAlignment="1" applyProtection="1">
      <alignment horizontal="center" vertical="center" wrapText="1"/>
      <protection locked="0" hidden="1"/>
    </xf>
    <xf numFmtId="0" fontId="21" fillId="30" borderId="20" xfId="0" applyFont="1" applyFill="1" applyBorder="1" applyAlignment="1" applyProtection="1">
      <alignment horizontal="center" vertical="center" wrapText="1"/>
      <protection locked="0" hidden="1"/>
    </xf>
    <xf numFmtId="0" fontId="21" fillId="30" borderId="19" xfId="0" applyFont="1" applyFill="1" applyBorder="1" applyAlignment="1" applyProtection="1">
      <alignment horizontal="center" vertical="center" wrapText="1"/>
      <protection locked="0"/>
    </xf>
    <xf numFmtId="0" fontId="21" fillId="31" borderId="15" xfId="0" applyFont="1" applyFill="1" applyBorder="1" applyAlignment="1" applyProtection="1">
      <alignment horizontal="center" vertical="center" wrapText="1"/>
      <protection locked="0"/>
    </xf>
    <xf numFmtId="0" fontId="21" fillId="31" borderId="16" xfId="0" applyFont="1" applyFill="1" applyBorder="1" applyAlignment="1" applyProtection="1">
      <alignment horizontal="centerContinuous" vertical="center" wrapText="1"/>
      <protection locked="0"/>
    </xf>
    <xf numFmtId="0" fontId="21" fillId="31" borderId="17" xfId="0" applyFont="1" applyFill="1" applyBorder="1" applyAlignment="1" applyProtection="1">
      <alignment horizontal="centerContinuous" vertical="center" wrapText="1"/>
      <protection locked="0"/>
    </xf>
    <xf numFmtId="0" fontId="21" fillId="31" borderId="18" xfId="0" applyFont="1" applyFill="1" applyBorder="1" applyAlignment="1" applyProtection="1">
      <alignment horizontal="centerContinuous" vertical="center" wrapText="1"/>
      <protection locked="0"/>
    </xf>
    <xf numFmtId="0" fontId="21" fillId="31" borderId="0" xfId="0" applyFont="1" applyFill="1" applyAlignment="1" applyProtection="1">
      <protection locked="0"/>
    </xf>
    <xf numFmtId="20" fontId="21" fillId="31" borderId="19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1" borderId="20" xfId="0" applyFont="1" applyFill="1" applyBorder="1" applyAlignment="1" applyProtection="1">
      <alignment horizontal="center" vertical="center" wrapText="1"/>
      <protection locked="0"/>
    </xf>
    <xf numFmtId="0" fontId="21" fillId="31" borderId="19" xfId="0" applyFont="1" applyFill="1" applyBorder="1" applyAlignment="1" applyProtection="1">
      <alignment horizontal="center" vertical="center" wrapText="1"/>
      <protection locked="0" hidden="1"/>
    </xf>
    <xf numFmtId="0" fontId="21" fillId="31" borderId="20" xfId="0" applyFont="1" applyFill="1" applyBorder="1" applyAlignment="1" applyProtection="1">
      <alignment horizontal="center" vertical="center" wrapText="1"/>
      <protection locked="0" hidden="1"/>
    </xf>
    <xf numFmtId="0" fontId="21" fillId="31" borderId="19" xfId="0" applyFont="1" applyFill="1" applyBorder="1" applyAlignment="1" applyProtection="1">
      <alignment horizontal="center" vertical="center" wrapText="1"/>
      <protection locked="0"/>
    </xf>
    <xf numFmtId="20" fontId="21" fillId="31" borderId="0" xfId="0" applyNumberFormat="1" applyFont="1" applyFill="1" applyAlignment="1" applyProtection="1">
      <alignment horizontal="center" vertical="center" wrapText="1"/>
      <protection locked="0" hidden="1"/>
    </xf>
    <xf numFmtId="0" fontId="21" fillId="31" borderId="0" xfId="0" applyFont="1" applyFill="1" applyAlignment="1"/>
    <xf numFmtId="20" fontId="21" fillId="31" borderId="21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0" borderId="15" xfId="0" applyFont="1" applyFill="1" applyBorder="1" applyAlignment="1">
      <alignment horizontal="center" vertical="center" wrapText="1"/>
    </xf>
    <xf numFmtId="0" fontId="21" fillId="30" borderId="16" xfId="0" applyFont="1" applyFill="1" applyBorder="1" applyAlignment="1">
      <alignment horizontal="centerContinuous" vertical="center" wrapText="1"/>
    </xf>
    <xf numFmtId="0" fontId="21" fillId="30" borderId="17" xfId="0" applyFont="1" applyFill="1" applyBorder="1" applyAlignment="1">
      <alignment horizontal="centerContinuous" vertical="center" wrapText="1"/>
    </xf>
    <xf numFmtId="0" fontId="21" fillId="30" borderId="18" xfId="0" applyFont="1" applyFill="1" applyBorder="1" applyAlignment="1">
      <alignment horizontal="centerContinuous" vertical="center" wrapText="1"/>
    </xf>
    <xf numFmtId="0" fontId="21" fillId="30" borderId="0" xfId="0" applyFont="1" applyFill="1" applyAlignment="1"/>
    <xf numFmtId="0" fontId="21" fillId="30" borderId="0" xfId="0" applyFont="1" applyFill="1">
      <alignment vertical="center"/>
    </xf>
    <xf numFmtId="20" fontId="21" fillId="30" borderId="19" xfId="0" applyNumberFormat="1" applyFont="1" applyFill="1" applyBorder="1" applyAlignment="1">
      <alignment horizontal="center" vertical="center" wrapText="1"/>
    </xf>
    <xf numFmtId="0" fontId="21" fillId="30" borderId="20" xfId="0" applyFont="1" applyFill="1" applyBorder="1" applyAlignment="1">
      <alignment horizontal="center" vertical="center" wrapText="1"/>
    </xf>
    <xf numFmtId="0" fontId="21" fillId="30" borderId="19" xfId="0" applyFont="1" applyFill="1" applyBorder="1" applyAlignment="1">
      <alignment horizontal="center" vertical="center" wrapText="1"/>
    </xf>
    <xf numFmtId="0" fontId="21" fillId="31" borderId="15" xfId="0" applyFont="1" applyFill="1" applyBorder="1" applyAlignment="1">
      <alignment horizontal="center" vertical="center" wrapText="1"/>
    </xf>
    <xf numFmtId="0" fontId="21" fillId="31" borderId="16" xfId="0" applyFont="1" applyFill="1" applyBorder="1" applyAlignment="1">
      <alignment horizontal="centerContinuous" vertical="center" wrapText="1"/>
    </xf>
    <xf numFmtId="0" fontId="21" fillId="31" borderId="17" xfId="0" applyFont="1" applyFill="1" applyBorder="1" applyAlignment="1">
      <alignment horizontal="centerContinuous" vertical="center" wrapText="1"/>
    </xf>
    <xf numFmtId="0" fontId="21" fillId="31" borderId="18" xfId="0" applyFont="1" applyFill="1" applyBorder="1" applyAlignment="1">
      <alignment horizontal="centerContinuous" vertical="center" wrapText="1"/>
    </xf>
    <xf numFmtId="0" fontId="21" fillId="31" borderId="0" xfId="0" applyFont="1" applyFill="1">
      <alignment vertical="center"/>
    </xf>
    <xf numFmtId="20" fontId="21" fillId="31" borderId="19" xfId="0" applyNumberFormat="1" applyFont="1" applyFill="1" applyBorder="1" applyAlignment="1">
      <alignment horizontal="center" vertical="center" wrapText="1"/>
    </xf>
    <xf numFmtId="0" fontId="21" fillId="31" borderId="20" xfId="0" applyFont="1" applyFill="1" applyBorder="1" applyAlignment="1">
      <alignment horizontal="center" vertical="center" wrapText="1"/>
    </xf>
    <xf numFmtId="0" fontId="21" fillId="31" borderId="19" xfId="0" applyFont="1" applyFill="1" applyBorder="1" applyAlignment="1">
      <alignment horizontal="center" vertical="center" wrapText="1"/>
    </xf>
    <xf numFmtId="20" fontId="21" fillId="31" borderId="0" xfId="0" applyNumberFormat="1" applyFont="1" applyFill="1" applyAlignment="1">
      <alignment horizontal="center" vertical="center" wrapText="1"/>
    </xf>
    <xf numFmtId="20" fontId="21" fillId="31" borderId="21" xfId="0" applyNumberFormat="1" applyFont="1" applyFill="1" applyBorder="1" applyAlignment="1">
      <alignment horizontal="center" vertical="center" wrapText="1"/>
    </xf>
    <xf numFmtId="0" fontId="21" fillId="30" borderId="0" xfId="0" applyFont="1" applyFill="1" applyAlignment="1">
      <alignment horizontal="center" vertical="center"/>
    </xf>
    <xf numFmtId="0" fontId="21" fillId="29" borderId="0" xfId="0" applyFont="1" applyFill="1" applyAlignment="1">
      <alignment horizontal="center" vertical="center"/>
    </xf>
    <xf numFmtId="0" fontId="33" fillId="29" borderId="0" xfId="0" applyFont="1" applyFill="1" applyAlignment="1">
      <alignment horizontal="center" vertical="center"/>
    </xf>
    <xf numFmtId="0" fontId="21" fillId="32" borderId="0" xfId="0" applyFont="1" applyFill="1" applyAlignment="1">
      <alignment horizontal="center" vertical="center"/>
    </xf>
    <xf numFmtId="14" fontId="21" fillId="32" borderId="4" xfId="0" applyNumberFormat="1" applyFont="1" applyFill="1" applyBorder="1" applyAlignment="1">
      <alignment horizontal="center" vertical="center"/>
    </xf>
    <xf numFmtId="0" fontId="21" fillId="32" borderId="4" xfId="0" applyFont="1" applyFill="1" applyBorder="1" applyAlignment="1">
      <alignment horizontal="center" vertical="center"/>
    </xf>
    <xf numFmtId="49" fontId="21" fillId="32" borderId="4" xfId="0" applyNumberFormat="1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33" borderId="0" xfId="0" applyFill="1" applyAlignment="1">
      <alignment horizontal="center" vertical="center"/>
    </xf>
    <xf numFmtId="20" fontId="21" fillId="33" borderId="0" xfId="0" applyNumberFormat="1" applyFont="1" applyFill="1" applyAlignment="1" applyProtection="1">
      <alignment horizontal="center" vertical="center" wrapText="1"/>
      <protection locked="0" hidden="1"/>
    </xf>
    <xf numFmtId="0" fontId="21" fillId="33" borderId="0" xfId="0" applyFont="1" applyFill="1" applyAlignment="1" applyProtection="1">
      <alignment horizontal="center" vertical="center" wrapText="1"/>
      <protection locked="0" hidden="1"/>
    </xf>
    <xf numFmtId="0" fontId="0" fillId="33" borderId="12" xfId="0" applyFill="1" applyBorder="1" applyAlignment="1">
      <alignment horizontal="center" vertical="center"/>
    </xf>
    <xf numFmtId="20" fontId="21" fillId="33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3" borderId="12" xfId="0" applyFont="1" applyFill="1" applyBorder="1" applyAlignment="1" applyProtection="1">
      <alignment horizontal="center" vertical="center" wrapText="1"/>
      <protection locked="0" hidden="1"/>
    </xf>
    <xf numFmtId="0" fontId="21" fillId="33" borderId="11" xfId="0" applyFont="1" applyFill="1" applyBorder="1" applyAlignment="1" applyProtection="1">
      <alignment horizontal="center" vertical="center" wrapText="1"/>
      <protection locked="0" hidden="1"/>
    </xf>
    <xf numFmtId="0" fontId="0" fillId="30" borderId="0" xfId="0" applyFill="1" applyAlignment="1">
      <alignment horizontal="center" vertical="center"/>
    </xf>
    <xf numFmtId="20" fontId="21" fillId="30" borderId="0" xfId="0" applyNumberFormat="1" applyFont="1" applyFill="1" applyAlignment="1" applyProtection="1">
      <alignment horizontal="center" vertical="center" wrapText="1"/>
      <protection locked="0" hidden="1"/>
    </xf>
    <xf numFmtId="0" fontId="21" fillId="30" borderId="0" xfId="0" applyFont="1" applyFill="1" applyAlignment="1" applyProtection="1">
      <alignment horizontal="center" vertical="center" wrapText="1"/>
      <protection locked="0" hidden="1"/>
    </xf>
    <xf numFmtId="0" fontId="0" fillId="30" borderId="12" xfId="0" applyFill="1" applyBorder="1" applyAlignment="1">
      <alignment horizontal="center" vertical="center"/>
    </xf>
    <xf numFmtId="20" fontId="21" fillId="30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0" borderId="12" xfId="0" applyFont="1" applyFill="1" applyBorder="1" applyAlignment="1" applyProtection="1">
      <alignment horizontal="center" vertical="center" wrapText="1"/>
      <protection locked="0" hidden="1"/>
    </xf>
    <xf numFmtId="0" fontId="21" fillId="30" borderId="11" xfId="0" applyFont="1" applyFill="1" applyBorder="1" applyAlignment="1" applyProtection="1">
      <alignment horizontal="center" vertical="center" wrapText="1"/>
      <protection locked="0" hidden="1"/>
    </xf>
    <xf numFmtId="0" fontId="0" fillId="31" borderId="0" xfId="0" applyFill="1" applyAlignment="1">
      <alignment horizontal="center" vertical="center"/>
    </xf>
    <xf numFmtId="0" fontId="21" fillId="31" borderId="0" xfId="0" applyFont="1" applyFill="1" applyAlignment="1" applyProtection="1">
      <alignment horizontal="center" vertical="center" wrapText="1"/>
      <protection locked="0" hidden="1"/>
    </xf>
    <xf numFmtId="0" fontId="0" fillId="31" borderId="12" xfId="0" applyFill="1" applyBorder="1" applyAlignment="1">
      <alignment horizontal="center" vertical="center"/>
    </xf>
    <xf numFmtId="20" fontId="21" fillId="31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1" borderId="12" xfId="0" applyFont="1" applyFill="1" applyBorder="1" applyAlignment="1" applyProtection="1">
      <alignment horizontal="center" vertical="center" wrapText="1"/>
      <protection locked="0" hidden="1"/>
    </xf>
    <xf numFmtId="0" fontId="0" fillId="33" borderId="27" xfId="0" applyFill="1" applyBorder="1" applyAlignment="1">
      <alignment horizontal="center" vertical="center"/>
    </xf>
    <xf numFmtId="20" fontId="21" fillId="33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3" borderId="27" xfId="0" applyFont="1" applyFill="1" applyBorder="1" applyAlignment="1" applyProtection="1">
      <alignment horizontal="center" vertical="center" wrapText="1"/>
      <protection locked="0" hidden="1"/>
    </xf>
    <xf numFmtId="0" fontId="0" fillId="30" borderId="27" xfId="0" applyFill="1" applyBorder="1" applyAlignment="1">
      <alignment horizontal="center" vertical="center"/>
    </xf>
    <xf numFmtId="20" fontId="21" fillId="30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0" borderId="27" xfId="0" applyFont="1" applyFill="1" applyBorder="1" applyAlignment="1" applyProtection="1">
      <alignment horizontal="center" vertical="center" wrapText="1"/>
      <protection locked="0" hidden="1"/>
    </xf>
    <xf numFmtId="0" fontId="21" fillId="30" borderId="21" xfId="0" applyFont="1" applyFill="1" applyBorder="1" applyAlignment="1" applyProtection="1">
      <alignment horizontal="center" vertical="center" wrapText="1"/>
      <protection locked="0" hidden="1"/>
    </xf>
    <xf numFmtId="0" fontId="0" fillId="31" borderId="27" xfId="0" applyFill="1" applyBorder="1" applyAlignment="1">
      <alignment horizontal="center" vertical="center"/>
    </xf>
    <xf numFmtId="20" fontId="21" fillId="31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1" borderId="27" xfId="0" applyFont="1" applyFill="1" applyBorder="1" applyAlignment="1" applyProtection="1">
      <alignment horizontal="center" vertical="center" wrapText="1"/>
      <protection locked="0" hidden="1"/>
    </xf>
    <xf numFmtId="0" fontId="0" fillId="34" borderId="0" xfId="0" applyFill="1" applyAlignment="1">
      <alignment horizontal="center" vertical="center"/>
    </xf>
    <xf numFmtId="20" fontId="21" fillId="34" borderId="0" xfId="0" applyNumberFormat="1" applyFont="1" applyFill="1" applyAlignment="1" applyProtection="1">
      <alignment horizontal="center" vertical="center" wrapText="1"/>
      <protection locked="0" hidden="1"/>
    </xf>
    <xf numFmtId="0" fontId="0" fillId="34" borderId="12" xfId="0" applyFill="1" applyBorder="1" applyAlignment="1">
      <alignment horizontal="center" vertical="center"/>
    </xf>
    <xf numFmtId="20" fontId="21" fillId="34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4" borderId="12" xfId="0" applyFont="1" applyFill="1" applyBorder="1" applyAlignment="1" applyProtection="1">
      <alignment horizontal="center" vertical="center" wrapText="1"/>
      <protection locked="0" hidden="1"/>
    </xf>
    <xf numFmtId="0" fontId="21" fillId="34" borderId="0" xfId="0" applyFont="1" applyFill="1" applyAlignment="1" applyProtection="1">
      <alignment horizontal="center" vertical="center" wrapText="1"/>
      <protection locked="0" hidden="1"/>
    </xf>
    <xf numFmtId="0" fontId="0" fillId="34" borderId="27" xfId="0" applyFill="1" applyBorder="1" applyAlignment="1">
      <alignment horizontal="center" vertical="center"/>
    </xf>
    <xf numFmtId="20" fontId="21" fillId="34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4" borderId="27" xfId="0" applyFont="1" applyFill="1" applyBorder="1" applyAlignment="1" applyProtection="1">
      <alignment horizontal="center" vertical="center" wrapText="1"/>
      <protection locked="0" hidden="1"/>
    </xf>
    <xf numFmtId="0" fontId="21" fillId="34" borderId="11" xfId="0" applyFont="1" applyFill="1" applyBorder="1" applyAlignment="1" applyProtection="1">
      <alignment horizontal="center" vertical="center" wrapText="1"/>
      <protection locked="0" hidden="1"/>
    </xf>
    <xf numFmtId="0" fontId="21" fillId="34" borderId="11" xfId="0" applyFont="1" applyFill="1" applyBorder="1" applyAlignment="1">
      <alignment horizontal="center" vertical="center"/>
    </xf>
    <xf numFmtId="0" fontId="21" fillId="34" borderId="0" xfId="0" applyFont="1" applyFill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27" xfId="0" applyFont="1" applyFill="1" applyBorder="1" applyAlignment="1">
      <alignment horizontal="center" vertical="center"/>
    </xf>
    <xf numFmtId="0" fontId="21" fillId="34" borderId="21" xfId="0" applyFont="1" applyFill="1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5" borderId="27" xfId="0" applyFill="1" applyBorder="1" applyAlignment="1">
      <alignment horizontal="center" vertical="center"/>
    </xf>
    <xf numFmtId="20" fontId="21" fillId="35" borderId="0" xfId="0" applyNumberFormat="1" applyFont="1" applyFill="1" applyAlignment="1" applyProtection="1">
      <alignment horizontal="center" vertical="center" wrapText="1"/>
      <protection locked="0" hidden="1"/>
    </xf>
    <xf numFmtId="20" fontId="21" fillId="35" borderId="12" xfId="0" applyNumberFormat="1" applyFont="1" applyFill="1" applyBorder="1" applyAlignment="1" applyProtection="1">
      <alignment horizontal="center" vertical="center" wrapText="1"/>
      <protection locked="0" hidden="1"/>
    </xf>
    <xf numFmtId="20" fontId="21" fillId="35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5" borderId="0" xfId="0" applyFont="1" applyFill="1" applyAlignment="1">
      <alignment horizontal="center" vertical="center"/>
    </xf>
    <xf numFmtId="0" fontId="21" fillId="35" borderId="12" xfId="0" applyFont="1" applyFill="1" applyBorder="1" applyAlignment="1">
      <alignment horizontal="center" vertical="center"/>
    </xf>
    <xf numFmtId="0" fontId="21" fillId="35" borderId="11" xfId="0" applyFont="1" applyFill="1" applyBorder="1" applyAlignment="1">
      <alignment horizontal="center" vertical="center"/>
    </xf>
    <xf numFmtId="0" fontId="21" fillId="35" borderId="27" xfId="0" applyFont="1" applyFill="1" applyBorder="1" applyAlignment="1">
      <alignment horizontal="center" vertical="center"/>
    </xf>
    <xf numFmtId="0" fontId="21" fillId="35" borderId="21" xfId="0" applyFont="1" applyFill="1" applyBorder="1" applyAlignment="1">
      <alignment horizontal="center" vertical="center"/>
    </xf>
    <xf numFmtId="0" fontId="0" fillId="36" borderId="0" xfId="0" applyFill="1" applyAlignment="1">
      <alignment horizontal="center" vertical="center"/>
    </xf>
    <xf numFmtId="20" fontId="21" fillId="36" borderId="0" xfId="0" applyNumberFormat="1" applyFont="1" applyFill="1" applyAlignment="1" applyProtection="1">
      <alignment horizontal="center" vertical="center" wrapText="1"/>
      <protection locked="0" hidden="1"/>
    </xf>
    <xf numFmtId="0" fontId="21" fillId="36" borderId="0" xfId="0" applyFont="1" applyFill="1" applyAlignment="1">
      <alignment horizontal="center" vertical="center"/>
    </xf>
    <xf numFmtId="0" fontId="0" fillId="36" borderId="12" xfId="0" applyFill="1" applyBorder="1" applyAlignment="1">
      <alignment horizontal="center" vertical="center"/>
    </xf>
    <xf numFmtId="20" fontId="21" fillId="36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6" borderId="12" xfId="0" applyFont="1" applyFill="1" applyBorder="1" applyAlignment="1">
      <alignment horizontal="center" vertical="center"/>
    </xf>
    <xf numFmtId="0" fontId="21" fillId="36" borderId="11" xfId="0" applyFont="1" applyFill="1" applyBorder="1" applyAlignment="1">
      <alignment horizontal="center" vertical="center"/>
    </xf>
    <xf numFmtId="0" fontId="0" fillId="36" borderId="27" xfId="0" applyFill="1" applyBorder="1" applyAlignment="1">
      <alignment horizontal="center" vertical="center"/>
    </xf>
    <xf numFmtId="20" fontId="21" fillId="36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6" borderId="27" xfId="0" applyFont="1" applyFill="1" applyBorder="1" applyAlignment="1">
      <alignment horizontal="center" vertical="center"/>
    </xf>
    <xf numFmtId="0" fontId="21" fillId="36" borderId="21" xfId="0" applyFont="1" applyFill="1" applyBorder="1" applyAlignment="1">
      <alignment horizontal="center" vertical="center"/>
    </xf>
    <xf numFmtId="0" fontId="0" fillId="36" borderId="11" xfId="0" applyFill="1" applyBorder="1" applyAlignment="1">
      <alignment horizontal="center" vertical="center"/>
    </xf>
    <xf numFmtId="20" fontId="21" fillId="36" borderId="11" xfId="0" applyNumberFormat="1" applyFont="1" applyFill="1" applyBorder="1" applyAlignment="1" applyProtection="1">
      <alignment horizontal="center" vertical="center" wrapText="1"/>
      <protection locked="0" hidden="1"/>
    </xf>
    <xf numFmtId="0" fontId="0" fillId="36" borderId="21" xfId="0" applyFill="1" applyBorder="1" applyAlignment="1">
      <alignment horizontal="center" vertical="center"/>
    </xf>
    <xf numFmtId="20" fontId="21" fillId="36" borderId="21" xfId="0" applyNumberFormat="1" applyFont="1" applyFill="1" applyBorder="1" applyAlignment="1" applyProtection="1">
      <alignment horizontal="center" vertical="center" wrapText="1"/>
      <protection locked="0" hidden="1"/>
    </xf>
    <xf numFmtId="20" fontId="21" fillId="33" borderId="0" xfId="0" applyNumberFormat="1" applyFont="1" applyFill="1" applyAlignment="1">
      <alignment horizontal="center" vertical="center"/>
    </xf>
    <xf numFmtId="20" fontId="21" fillId="33" borderId="27" xfId="0" applyNumberFormat="1" applyFont="1" applyFill="1" applyBorder="1" applyAlignment="1">
      <alignment horizontal="center" vertical="center"/>
    </xf>
    <xf numFmtId="20" fontId="21" fillId="33" borderId="12" xfId="0" applyNumberFormat="1" applyFont="1" applyFill="1" applyBorder="1" applyAlignment="1">
      <alignment horizontal="center" vertical="center"/>
    </xf>
    <xf numFmtId="0" fontId="21" fillId="33" borderId="21" xfId="0" applyFont="1" applyFill="1" applyBorder="1" applyAlignment="1">
      <alignment horizontal="center" vertical="center"/>
    </xf>
    <xf numFmtId="0" fontId="21" fillId="33" borderId="0" xfId="0" applyFont="1" applyFill="1" applyAlignment="1">
      <alignment horizontal="center" vertical="center"/>
    </xf>
    <xf numFmtId="0" fontId="21" fillId="33" borderId="12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/>
    </xf>
    <xf numFmtId="0" fontId="21" fillId="33" borderId="27" xfId="0" applyFont="1" applyFill="1" applyBorder="1" applyAlignment="1">
      <alignment horizontal="center" vertical="center"/>
    </xf>
    <xf numFmtId="20" fontId="21" fillId="30" borderId="0" xfId="0" applyNumberFormat="1" applyFont="1" applyFill="1" applyAlignment="1">
      <alignment horizontal="center" vertical="center"/>
    </xf>
    <xf numFmtId="20" fontId="21" fillId="30" borderId="27" xfId="0" applyNumberFormat="1" applyFont="1" applyFill="1" applyBorder="1" applyAlignment="1">
      <alignment horizontal="center" vertical="center"/>
    </xf>
    <xf numFmtId="20" fontId="21" fillId="30" borderId="12" xfId="0" applyNumberFormat="1" applyFont="1" applyFill="1" applyBorder="1" applyAlignment="1">
      <alignment horizontal="center" vertical="center"/>
    </xf>
    <xf numFmtId="0" fontId="21" fillId="30" borderId="21" xfId="0" applyFont="1" applyFill="1" applyBorder="1" applyAlignment="1">
      <alignment horizontal="center" vertical="center"/>
    </xf>
    <xf numFmtId="0" fontId="21" fillId="30" borderId="12" xfId="0" applyFont="1" applyFill="1" applyBorder="1" applyAlignment="1">
      <alignment horizontal="center" vertical="center"/>
    </xf>
    <xf numFmtId="0" fontId="21" fillId="30" borderId="11" xfId="0" applyFont="1" applyFill="1" applyBorder="1" applyAlignment="1">
      <alignment horizontal="center" vertical="center"/>
    </xf>
    <xf numFmtId="0" fontId="21" fillId="30" borderId="27" xfId="0" applyFont="1" applyFill="1" applyBorder="1" applyAlignment="1">
      <alignment horizontal="center" vertical="center"/>
    </xf>
    <xf numFmtId="0" fontId="21" fillId="33" borderId="0" xfId="0" applyFont="1" applyFill="1" applyAlignment="1" applyProtection="1">
      <alignment horizontal="center" vertical="center" wrapText="1"/>
      <protection locked="0"/>
    </xf>
    <xf numFmtId="0" fontId="21" fillId="33" borderId="12" xfId="0" applyFont="1" applyFill="1" applyBorder="1" applyAlignment="1" applyProtection="1">
      <alignment horizontal="center" vertical="center" wrapText="1"/>
      <protection locked="0"/>
    </xf>
    <xf numFmtId="0" fontId="22" fillId="24" borderId="12" xfId="0" applyFont="1" applyFill="1" applyBorder="1" applyAlignment="1">
      <alignment horizontal="center"/>
    </xf>
    <xf numFmtId="0" fontId="21" fillId="31" borderId="11" xfId="0" applyFont="1" applyFill="1" applyBorder="1" applyAlignment="1" applyProtection="1">
      <alignment horizontal="center" vertical="center" wrapText="1"/>
      <protection locked="0" hidden="1"/>
    </xf>
    <xf numFmtId="0" fontId="21" fillId="33" borderId="21" xfId="0" applyFont="1" applyFill="1" applyBorder="1" applyAlignment="1" applyProtection="1">
      <alignment horizontal="center" vertical="center" wrapText="1"/>
      <protection locked="0" hidden="1"/>
    </xf>
    <xf numFmtId="0" fontId="21" fillId="31" borderId="21" xfId="0" applyFont="1" applyFill="1" applyBorder="1" applyAlignment="1" applyProtection="1">
      <alignment horizontal="center" vertical="center" wrapText="1"/>
      <protection locked="0" hidden="1"/>
    </xf>
    <xf numFmtId="0" fontId="21" fillId="38" borderId="28" xfId="0" applyFont="1" applyFill="1" applyBorder="1" applyAlignment="1">
      <alignment horizontal="center" vertical="center"/>
    </xf>
    <xf numFmtId="49" fontId="21" fillId="38" borderId="28" xfId="0" applyNumberFormat="1" applyFont="1" applyFill="1" applyBorder="1" applyAlignment="1">
      <alignment horizontal="center"/>
    </xf>
    <xf numFmtId="178" fontId="21" fillId="38" borderId="28" xfId="0" applyNumberFormat="1" applyFont="1" applyFill="1" applyBorder="1" applyAlignment="1">
      <alignment horizontal="center"/>
    </xf>
    <xf numFmtId="0" fontId="21" fillId="39" borderId="28" xfId="0" applyFont="1" applyFill="1" applyBorder="1" applyAlignment="1">
      <alignment horizontal="center" vertical="center"/>
    </xf>
    <xf numFmtId="179" fontId="21" fillId="39" borderId="28" xfId="0" applyNumberFormat="1" applyFont="1" applyFill="1" applyBorder="1" applyAlignment="1">
      <alignment horizontal="center" vertical="center"/>
    </xf>
    <xf numFmtId="179" fontId="21" fillId="38" borderId="28" xfId="0" applyNumberFormat="1" applyFont="1" applyFill="1" applyBorder="1" applyAlignment="1">
      <alignment horizontal="center" vertical="center"/>
    </xf>
    <xf numFmtId="0" fontId="21" fillId="40" borderId="0" xfId="0" applyFont="1" applyFill="1">
      <alignment vertical="center"/>
    </xf>
    <xf numFmtId="0" fontId="21" fillId="41" borderId="28" xfId="0" applyFont="1" applyFill="1" applyBorder="1" applyAlignment="1">
      <alignment horizontal="center" vertical="center" wrapText="1"/>
    </xf>
    <xf numFmtId="0" fontId="21" fillId="41" borderId="33" xfId="0" applyFont="1" applyFill="1" applyBorder="1" applyAlignment="1">
      <alignment horizontal="center" vertical="center" wrapText="1"/>
    </xf>
    <xf numFmtId="0" fontId="21" fillId="41" borderId="33" xfId="0" applyFont="1" applyFill="1" applyBorder="1" applyAlignment="1">
      <alignment horizontal="center" vertical="center"/>
    </xf>
    <xf numFmtId="0" fontId="21" fillId="41" borderId="34" xfId="0" applyFont="1" applyFill="1" applyBorder="1" applyAlignment="1">
      <alignment horizontal="center" vertical="center"/>
    </xf>
    <xf numFmtId="0" fontId="21" fillId="30" borderId="34" xfId="0" applyFont="1" applyFill="1" applyBorder="1" applyAlignment="1">
      <alignment horizontal="center" vertical="center"/>
    </xf>
    <xf numFmtId="180" fontId="34" fillId="30" borderId="34" xfId="58" applyNumberFormat="1" applyFont="1" applyFill="1" applyBorder="1" applyAlignment="1">
      <alignment horizontal="center" vertical="center" wrapText="1"/>
    </xf>
    <xf numFmtId="0" fontId="34" fillId="41" borderId="31" xfId="0" applyFont="1" applyFill="1" applyBorder="1" applyAlignment="1">
      <alignment horizontal="center" vertical="center" wrapText="1"/>
    </xf>
    <xf numFmtId="180" fontId="34" fillId="30" borderId="33" xfId="58" applyNumberFormat="1" applyFont="1" applyFill="1" applyBorder="1" applyAlignment="1">
      <alignment horizontal="center" vertical="center" wrapText="1"/>
    </xf>
    <xf numFmtId="180" fontId="34" fillId="30" borderId="32" xfId="58" applyNumberFormat="1" applyFont="1" applyFill="1" applyBorder="1" applyAlignment="1">
      <alignment horizontal="center" vertical="center" wrapText="1"/>
    </xf>
    <xf numFmtId="0" fontId="21" fillId="41" borderId="28" xfId="0" applyFont="1" applyFill="1" applyBorder="1" applyAlignment="1">
      <alignment horizontal="center" vertical="center"/>
    </xf>
    <xf numFmtId="180" fontId="34" fillId="30" borderId="28" xfId="58" applyNumberFormat="1" applyFont="1" applyFill="1" applyBorder="1" applyAlignment="1">
      <alignment horizontal="center" vertical="center" wrapText="1"/>
    </xf>
    <xf numFmtId="0" fontId="34" fillId="41" borderId="35" xfId="0" applyFont="1" applyFill="1" applyBorder="1" applyAlignment="1">
      <alignment horizontal="center" vertical="center" wrapText="1"/>
    </xf>
    <xf numFmtId="0" fontId="34" fillId="41" borderId="10" xfId="0" applyFont="1" applyFill="1" applyBorder="1" applyAlignment="1">
      <alignment horizontal="center" vertical="center" wrapText="1"/>
    </xf>
    <xf numFmtId="180" fontId="34" fillId="30" borderId="36" xfId="58" applyNumberFormat="1" applyFont="1" applyFill="1" applyBorder="1" applyAlignment="1">
      <alignment horizontal="center" vertical="center" wrapText="1"/>
    </xf>
    <xf numFmtId="0" fontId="21" fillId="41" borderId="10" xfId="0" applyFont="1" applyFill="1" applyBorder="1" applyAlignment="1">
      <alignment vertical="center" wrapText="1"/>
    </xf>
    <xf numFmtId="0" fontId="21" fillId="41" borderId="34" xfId="0" applyFont="1" applyFill="1" applyBorder="1" applyAlignment="1">
      <alignment vertical="center" wrapText="1"/>
    </xf>
    <xf numFmtId="0" fontId="21" fillId="30" borderId="28" xfId="0" applyFont="1" applyFill="1" applyBorder="1" applyAlignment="1">
      <alignment horizontal="center" vertical="center"/>
    </xf>
    <xf numFmtId="180" fontId="34" fillId="41" borderId="0" xfId="58" applyNumberFormat="1" applyFont="1" applyFill="1" applyBorder="1" applyAlignment="1">
      <alignment horizontal="center" vertical="center" wrapText="1"/>
    </xf>
    <xf numFmtId="0" fontId="34" fillId="41" borderId="0" xfId="0" applyFont="1" applyFill="1" applyAlignment="1">
      <alignment horizontal="center" vertical="center" wrapText="1"/>
    </xf>
    <xf numFmtId="0" fontId="21" fillId="41" borderId="0" xfId="0" applyFont="1" applyFill="1">
      <alignment vertical="center"/>
    </xf>
    <xf numFmtId="0" fontId="21" fillId="33" borderId="34" xfId="0" applyFont="1" applyFill="1" applyBorder="1" applyAlignment="1">
      <alignment horizontal="center" vertical="center"/>
    </xf>
    <xf numFmtId="180" fontId="34" fillId="33" borderId="34" xfId="58" applyNumberFormat="1" applyFont="1" applyFill="1" applyBorder="1" applyAlignment="1">
      <alignment horizontal="center" vertical="center" wrapText="1"/>
    </xf>
    <xf numFmtId="180" fontId="34" fillId="33" borderId="33" xfId="58" applyNumberFormat="1" applyFont="1" applyFill="1" applyBorder="1" applyAlignment="1">
      <alignment horizontal="center" vertical="center" wrapText="1"/>
    </xf>
    <xf numFmtId="180" fontId="34" fillId="33" borderId="32" xfId="58" applyNumberFormat="1" applyFont="1" applyFill="1" applyBorder="1" applyAlignment="1">
      <alignment horizontal="center" vertical="center" wrapText="1"/>
    </xf>
    <xf numFmtId="180" fontId="34" fillId="33" borderId="28" xfId="58" applyNumberFormat="1" applyFont="1" applyFill="1" applyBorder="1" applyAlignment="1">
      <alignment horizontal="center" vertical="center" wrapText="1"/>
    </xf>
    <xf numFmtId="180" fontId="34" fillId="33" borderId="36" xfId="58" applyNumberFormat="1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/>
    </xf>
    <xf numFmtId="180" fontId="34" fillId="33" borderId="30" xfId="58" applyNumberFormat="1" applyFont="1" applyFill="1" applyBorder="1" applyAlignment="1">
      <alignment horizontal="center" vertical="center" wrapText="1"/>
    </xf>
    <xf numFmtId="0" fontId="21" fillId="33" borderId="28" xfId="0" applyFont="1" applyFill="1" applyBorder="1" applyAlignment="1">
      <alignment horizontal="center" vertical="center"/>
    </xf>
    <xf numFmtId="176" fontId="31" fillId="0" borderId="0" xfId="56" applyNumberFormat="1" applyFont="1" applyAlignment="1">
      <alignment horizontal="center"/>
    </xf>
    <xf numFmtId="0" fontId="29" fillId="0" borderId="0" xfId="56" applyFont="1" applyAlignment="1">
      <alignment horizontal="right"/>
    </xf>
    <xf numFmtId="177" fontId="29" fillId="0" borderId="0" xfId="56" applyNumberFormat="1" applyFont="1" applyAlignment="1">
      <alignment horizontal="center"/>
    </xf>
    <xf numFmtId="0" fontId="0" fillId="42" borderId="0" xfId="0" applyFill="1" applyAlignment="1">
      <alignment horizontal="center" vertical="center"/>
    </xf>
    <xf numFmtId="20" fontId="21" fillId="42" borderId="0" xfId="0" applyNumberFormat="1" applyFont="1" applyFill="1" applyAlignment="1" applyProtection="1">
      <alignment horizontal="center" vertical="center" wrapText="1"/>
      <protection locked="0" hidden="1"/>
    </xf>
    <xf numFmtId="0" fontId="21" fillId="42" borderId="0" xfId="0" applyFont="1" applyFill="1" applyAlignment="1" applyProtection="1">
      <alignment horizontal="center" vertical="center" wrapText="1"/>
      <protection locked="0" hidden="1"/>
    </xf>
    <xf numFmtId="0" fontId="0" fillId="42" borderId="12" xfId="0" applyFill="1" applyBorder="1" applyAlignment="1">
      <alignment horizontal="center" vertical="center"/>
    </xf>
    <xf numFmtId="20" fontId="21" fillId="42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42" borderId="12" xfId="0" applyFont="1" applyFill="1" applyBorder="1" applyAlignment="1" applyProtection="1">
      <alignment horizontal="center" vertical="center" wrapText="1"/>
      <protection locked="0" hidden="1"/>
    </xf>
    <xf numFmtId="0" fontId="21" fillId="42" borderId="11" xfId="0" applyFont="1" applyFill="1" applyBorder="1" applyAlignment="1" applyProtection="1">
      <alignment horizontal="center" vertical="center" wrapText="1"/>
      <protection locked="0" hidden="1"/>
    </xf>
    <xf numFmtId="0" fontId="0" fillId="42" borderId="27" xfId="0" applyFill="1" applyBorder="1" applyAlignment="1">
      <alignment horizontal="center" vertical="center"/>
    </xf>
    <xf numFmtId="20" fontId="21" fillId="42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42" borderId="27" xfId="0" applyFont="1" applyFill="1" applyBorder="1" applyAlignment="1" applyProtection="1">
      <alignment horizontal="center" vertical="center" wrapText="1"/>
      <protection locked="0" hidden="1"/>
    </xf>
    <xf numFmtId="0" fontId="21" fillId="42" borderId="21" xfId="0" applyFont="1" applyFill="1" applyBorder="1" applyAlignment="1" applyProtection="1">
      <alignment horizontal="center" vertical="center" wrapText="1"/>
      <protection locked="0" hidden="1"/>
    </xf>
    <xf numFmtId="0" fontId="0" fillId="43" borderId="0" xfId="0" applyFill="1" applyAlignment="1">
      <alignment horizontal="center" vertical="center"/>
    </xf>
    <xf numFmtId="20" fontId="21" fillId="43" borderId="0" xfId="0" applyNumberFormat="1" applyFont="1" applyFill="1" applyAlignment="1" applyProtection="1">
      <alignment horizontal="center" vertical="center" wrapText="1"/>
      <protection locked="0" hidden="1"/>
    </xf>
    <xf numFmtId="0" fontId="21" fillId="43" borderId="0" xfId="0" applyFont="1" applyFill="1" applyAlignment="1" applyProtection="1">
      <alignment horizontal="center" vertical="center" wrapText="1"/>
      <protection locked="0"/>
    </xf>
    <xf numFmtId="0" fontId="0" fillId="43" borderId="0" xfId="0" applyFill="1">
      <alignment vertical="center"/>
    </xf>
    <xf numFmtId="0" fontId="0" fillId="43" borderId="12" xfId="0" applyFill="1" applyBorder="1" applyAlignment="1">
      <alignment horizontal="center" vertical="center"/>
    </xf>
    <xf numFmtId="20" fontId="21" fillId="43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43" borderId="12" xfId="0" applyFont="1" applyFill="1" applyBorder="1" applyAlignment="1" applyProtection="1">
      <alignment horizontal="center" vertical="center" wrapText="1"/>
      <protection locked="0"/>
    </xf>
    <xf numFmtId="0" fontId="0" fillId="43" borderId="12" xfId="0" applyFill="1" applyBorder="1">
      <alignment vertical="center"/>
    </xf>
    <xf numFmtId="0" fontId="21" fillId="43" borderId="0" xfId="0" applyFont="1" applyFill="1" applyAlignment="1" applyProtection="1">
      <alignment horizontal="center" vertical="center" wrapText="1"/>
      <protection locked="0" hidden="1"/>
    </xf>
    <xf numFmtId="0" fontId="21" fillId="43" borderId="12" xfId="0" applyFont="1" applyFill="1" applyBorder="1" applyAlignment="1" applyProtection="1">
      <alignment horizontal="center" vertical="center" wrapText="1"/>
      <protection locked="0" hidden="1"/>
    </xf>
    <xf numFmtId="0" fontId="0" fillId="43" borderId="27" xfId="0" applyFill="1" applyBorder="1" applyAlignment="1">
      <alignment horizontal="center" vertical="center"/>
    </xf>
    <xf numFmtId="20" fontId="21" fillId="43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43" borderId="27" xfId="0" applyFont="1" applyFill="1" applyBorder="1" applyAlignment="1" applyProtection="1">
      <alignment horizontal="center" vertical="center" wrapText="1"/>
      <protection locked="0" hidden="1"/>
    </xf>
    <xf numFmtId="0" fontId="0" fillId="43" borderId="27" xfId="0" applyFill="1" applyBorder="1">
      <alignment vertical="center"/>
    </xf>
    <xf numFmtId="20" fontId="21" fillId="43" borderId="0" xfId="0" applyNumberFormat="1" applyFont="1" applyFill="1" applyAlignment="1">
      <alignment horizontal="center" vertical="center"/>
    </xf>
    <xf numFmtId="0" fontId="21" fillId="43" borderId="0" xfId="0" applyFont="1" applyFill="1" applyAlignment="1">
      <alignment horizontal="center" vertical="center"/>
    </xf>
    <xf numFmtId="20" fontId="21" fillId="43" borderId="12" xfId="0" applyNumberFormat="1" applyFont="1" applyFill="1" applyBorder="1" applyAlignment="1">
      <alignment horizontal="center" vertical="center"/>
    </xf>
    <xf numFmtId="0" fontId="21" fillId="43" borderId="12" xfId="0" applyFont="1" applyFill="1" applyBorder="1" applyAlignment="1">
      <alignment horizontal="center" vertical="center"/>
    </xf>
    <xf numFmtId="20" fontId="21" fillId="43" borderId="27" xfId="0" applyNumberFormat="1" applyFont="1" applyFill="1" applyBorder="1" applyAlignment="1">
      <alignment horizontal="center" vertical="center"/>
    </xf>
    <xf numFmtId="0" fontId="21" fillId="43" borderId="27" xfId="0" applyFont="1" applyFill="1" applyBorder="1" applyAlignment="1">
      <alignment horizontal="center" vertical="center"/>
    </xf>
    <xf numFmtId="0" fontId="21" fillId="43" borderId="21" xfId="0" applyFont="1" applyFill="1" applyBorder="1" applyAlignment="1">
      <alignment horizontal="center" vertical="center"/>
    </xf>
    <xf numFmtId="180" fontId="34" fillId="45" borderId="34" xfId="58" applyNumberFormat="1" applyFont="1" applyFill="1" applyBorder="1" applyAlignment="1">
      <alignment horizontal="center" vertical="center" wrapText="1"/>
    </xf>
    <xf numFmtId="180" fontId="34" fillId="45" borderId="28" xfId="58" applyNumberFormat="1" applyFont="1" applyFill="1" applyBorder="1" applyAlignment="1">
      <alignment horizontal="center" vertical="center" wrapText="1"/>
    </xf>
    <xf numFmtId="180" fontId="34" fillId="45" borderId="33" xfId="58" applyNumberFormat="1" applyFont="1" applyFill="1" applyBorder="1" applyAlignment="1">
      <alignment horizontal="center" vertical="center" wrapText="1"/>
    </xf>
    <xf numFmtId="180" fontId="34" fillId="45" borderId="36" xfId="58" applyNumberFormat="1" applyFont="1" applyFill="1" applyBorder="1" applyAlignment="1">
      <alignment horizontal="center" vertical="center" wrapText="1"/>
    </xf>
    <xf numFmtId="180" fontId="34" fillId="45" borderId="32" xfId="58" applyNumberFormat="1" applyFont="1" applyFill="1" applyBorder="1" applyAlignment="1">
      <alignment horizontal="center" vertical="center" wrapText="1"/>
    </xf>
    <xf numFmtId="0" fontId="25" fillId="25" borderId="16" xfId="0" applyFont="1" applyFill="1" applyBorder="1" applyAlignment="1" applyProtection="1">
      <alignment horizontal="center" vertical="center"/>
      <protection locked="0" hidden="1"/>
    </xf>
    <xf numFmtId="0" fontId="25" fillId="25" borderId="17" xfId="0" applyFont="1" applyFill="1" applyBorder="1" applyAlignment="1" applyProtection="1">
      <alignment horizontal="center" vertical="center"/>
      <protection locked="0" hidden="1"/>
    </xf>
    <xf numFmtId="0" fontId="25" fillId="25" borderId="18" xfId="0" applyFont="1" applyFill="1" applyBorder="1" applyAlignment="1" applyProtection="1">
      <alignment horizontal="center" vertical="center"/>
      <protection locked="0" hidden="1"/>
    </xf>
    <xf numFmtId="0" fontId="25" fillId="26" borderId="22" xfId="0" applyFont="1" applyFill="1" applyBorder="1" applyAlignment="1">
      <alignment horizontal="center" vertical="center"/>
    </xf>
    <xf numFmtId="0" fontId="25" fillId="26" borderId="21" xfId="0" applyFont="1" applyFill="1" applyBorder="1" applyAlignment="1">
      <alignment horizontal="center" vertical="center"/>
    </xf>
    <xf numFmtId="0" fontId="25" fillId="26" borderId="23" xfId="0" applyFont="1" applyFill="1" applyBorder="1" applyAlignment="1">
      <alignment horizontal="center" vertical="center"/>
    </xf>
    <xf numFmtId="0" fontId="25" fillId="27" borderId="24" xfId="0" applyFont="1" applyFill="1" applyBorder="1" applyAlignment="1">
      <alignment horizontal="center" vertical="center"/>
    </xf>
    <xf numFmtId="0" fontId="25" fillId="27" borderId="25" xfId="0" applyFont="1" applyFill="1" applyBorder="1" applyAlignment="1">
      <alignment horizontal="center" vertical="center"/>
    </xf>
    <xf numFmtId="0" fontId="25" fillId="27" borderId="26" xfId="0" applyFont="1" applyFill="1" applyBorder="1" applyAlignment="1">
      <alignment horizontal="center" vertical="center"/>
    </xf>
    <xf numFmtId="0" fontId="25" fillId="25" borderId="16" xfId="0" applyFont="1" applyFill="1" applyBorder="1" applyAlignment="1">
      <alignment horizontal="center" vertical="center"/>
    </xf>
    <xf numFmtId="0" fontId="25" fillId="25" borderId="17" xfId="0" applyFont="1" applyFill="1" applyBorder="1" applyAlignment="1">
      <alignment horizontal="center" vertical="center"/>
    </xf>
    <xf numFmtId="0" fontId="25" fillId="25" borderId="18" xfId="0" applyFont="1" applyFill="1" applyBorder="1" applyAlignment="1">
      <alignment horizontal="center" vertical="center"/>
    </xf>
    <xf numFmtId="0" fontId="21" fillId="44" borderId="28" xfId="0" applyFont="1" applyFill="1" applyBorder="1" applyAlignment="1">
      <alignment horizontal="center" vertical="center"/>
    </xf>
    <xf numFmtId="0" fontId="21" fillId="26" borderId="28" xfId="0" applyFont="1" applyFill="1" applyBorder="1" applyAlignment="1">
      <alignment horizontal="center" vertical="center"/>
    </xf>
    <xf numFmtId="0" fontId="21" fillId="37" borderId="28" xfId="0" applyFont="1" applyFill="1" applyBorder="1" applyAlignment="1">
      <alignment horizontal="center" vertical="center"/>
    </xf>
    <xf numFmtId="0" fontId="21" fillId="26" borderId="35" xfId="0" applyFont="1" applyFill="1" applyBorder="1" applyAlignment="1">
      <alignment horizontal="center" vertical="center"/>
    </xf>
    <xf numFmtId="0" fontId="21" fillId="26" borderId="37" xfId="0" applyFont="1" applyFill="1" applyBorder="1" applyAlignment="1">
      <alignment horizontal="center" vertical="center"/>
    </xf>
    <xf numFmtId="0" fontId="21" fillId="26" borderId="36" xfId="0" applyFont="1" applyFill="1" applyBorder="1" applyAlignment="1">
      <alignment horizontal="center" vertical="center"/>
    </xf>
    <xf numFmtId="0" fontId="21" fillId="41" borderId="29" xfId="0" applyFont="1" applyFill="1" applyBorder="1" applyAlignment="1">
      <alignment horizontal="center" vertical="center"/>
    </xf>
    <xf numFmtId="0" fontId="21" fillId="41" borderId="30" xfId="0" applyFont="1" applyFill="1" applyBorder="1" applyAlignment="1">
      <alignment horizontal="center" vertical="center"/>
    </xf>
    <xf numFmtId="0" fontId="21" fillId="41" borderId="31" xfId="0" applyFont="1" applyFill="1" applyBorder="1" applyAlignment="1">
      <alignment horizontal="center" vertical="center"/>
    </xf>
    <xf numFmtId="0" fontId="21" fillId="41" borderId="32" xfId="0" applyFont="1" applyFill="1" applyBorder="1" applyAlignment="1">
      <alignment horizontal="center" vertical="center"/>
    </xf>
    <xf numFmtId="0" fontId="21" fillId="41" borderId="28" xfId="0" applyFont="1" applyFill="1" applyBorder="1" applyAlignment="1">
      <alignment horizontal="center" vertical="center" wrapText="1"/>
    </xf>
    <xf numFmtId="0" fontId="21" fillId="41" borderId="35" xfId="0" applyFont="1" applyFill="1" applyBorder="1" applyAlignment="1">
      <alignment horizontal="center" vertical="center" wrapText="1"/>
    </xf>
    <xf numFmtId="0" fontId="21" fillId="41" borderId="37" xfId="0" applyFont="1" applyFill="1" applyBorder="1" applyAlignment="1">
      <alignment horizontal="center" vertical="center" wrapText="1"/>
    </xf>
    <xf numFmtId="0" fontId="21" fillId="41" borderId="36" xfId="0" applyFont="1" applyFill="1" applyBorder="1" applyAlignment="1">
      <alignment horizontal="center" vertical="center" wrapText="1"/>
    </xf>
    <xf numFmtId="0" fontId="21" fillId="45" borderId="28" xfId="0" applyFont="1" applyFill="1" applyBorder="1" applyAlignment="1">
      <alignment horizontal="center" vertical="center" wrapText="1"/>
    </xf>
  </cellXfs>
  <cellStyles count="59">
    <cellStyle name="20% - 輔色1" xfId="1" builtinId="30" customBuiltin="1"/>
    <cellStyle name="20% - 輔色1 2" xfId="2"/>
    <cellStyle name="20% - 輔色2" xfId="3" builtinId="34" customBuiltin="1"/>
    <cellStyle name="20% - 輔色2 2" xfId="4"/>
    <cellStyle name="20% - 輔色3" xfId="5" builtinId="38" customBuiltin="1"/>
    <cellStyle name="20% - 輔色3 2" xfId="6"/>
    <cellStyle name="20% - 輔色4" xfId="7" builtinId="42" customBuiltin="1"/>
    <cellStyle name="20% - 輔色4 2" xfId="8"/>
    <cellStyle name="20% - 輔色5" xfId="9" builtinId="46" customBuiltin="1"/>
    <cellStyle name="20% - 輔色5 2" xfId="10"/>
    <cellStyle name="20% - 輔色6" xfId="11" builtinId="50" customBuiltin="1"/>
    <cellStyle name="20% - 輔色6 2" xfId="12"/>
    <cellStyle name="40% - 輔色1" xfId="13" builtinId="31" customBuiltin="1"/>
    <cellStyle name="40% - 輔色1 2" xfId="14"/>
    <cellStyle name="40% - 輔色2" xfId="15" builtinId="35" customBuiltin="1"/>
    <cellStyle name="40% - 輔色2 2" xfId="16"/>
    <cellStyle name="40% - 輔色3" xfId="17" builtinId="39" customBuiltin="1"/>
    <cellStyle name="40% - 輔色3 2" xfId="18"/>
    <cellStyle name="40% - 輔色4" xfId="19" builtinId="43" customBuiltin="1"/>
    <cellStyle name="40% - 輔色4 2" xfId="20"/>
    <cellStyle name="40% - 輔色5" xfId="21" builtinId="47" customBuiltin="1"/>
    <cellStyle name="40% - 輔色5 2" xfId="22"/>
    <cellStyle name="40% - 輔色6" xfId="23" builtinId="51" customBuiltin="1"/>
    <cellStyle name="40% - 輔色6 2" xfId="24"/>
    <cellStyle name="60% - 輔色1" xfId="25" builtinId="32" customBuiltin="1"/>
    <cellStyle name="60% - 輔色2" xfId="26" builtinId="36" customBuiltin="1"/>
    <cellStyle name="60% - 輔色3" xfId="27" builtinId="40" customBuiltin="1"/>
    <cellStyle name="60% - 輔色4" xfId="28" builtinId="44" customBuiltin="1"/>
    <cellStyle name="60% - 輔色5" xfId="29" builtinId="48" customBuiltin="1"/>
    <cellStyle name="60% - 輔色6" xfId="30" builtinId="52" customBuiltin="1"/>
    <cellStyle name="一般" xfId="0" builtinId="0"/>
    <cellStyle name="一般_96桃園E化調查路口方位配置圖" xfId="57"/>
    <cellStyle name="一般_中興路" xfId="56"/>
    <cellStyle name="千分位" xfId="58" builtinId="3"/>
    <cellStyle name="千分位 2" xfId="31"/>
    <cellStyle name="千分位 3" xfId="32"/>
    <cellStyle name="中等" xfId="33" builtinId="28" customBuiltin="1"/>
    <cellStyle name="合計" xfId="34" builtinId="25" customBuiltin="1"/>
    <cellStyle name="好" xfId="35" builtinId="26" customBuiltin="1"/>
    <cellStyle name="計算方式" xfId="36" builtinId="22" customBuiltin="1"/>
    <cellStyle name="連結的儲存格" xfId="37" builtinId="24" customBuiltin="1"/>
    <cellStyle name="備註" xfId="38" builtinId="10" customBuiltin="1"/>
    <cellStyle name="說明文字" xfId="39" builtinId="53" customBuiltin="1"/>
    <cellStyle name="輔色1" xfId="40" builtinId="29" customBuiltin="1"/>
    <cellStyle name="輔色2" xfId="41" builtinId="33" customBuiltin="1"/>
    <cellStyle name="輔色3" xfId="42" builtinId="37" customBuiltin="1"/>
    <cellStyle name="輔色4" xfId="43" builtinId="41" customBuiltin="1"/>
    <cellStyle name="輔色5" xfId="44" builtinId="45" customBuiltin="1"/>
    <cellStyle name="輔色6" xfId="45" builtinId="49" customBuiltin="1"/>
    <cellStyle name="標題" xfId="46" builtinId="15" customBuiltin="1"/>
    <cellStyle name="標題 1" xfId="47" builtinId="16" customBuiltin="1"/>
    <cellStyle name="標題 2" xfId="48" builtinId="17" customBuiltin="1"/>
    <cellStyle name="標題 3" xfId="49" builtinId="18" customBuiltin="1"/>
    <cellStyle name="標題 4" xfId="50" builtinId="19" customBuiltin="1"/>
    <cellStyle name="輸入" xfId="51" builtinId="20" customBuiltin="1"/>
    <cellStyle name="輸出" xfId="52" builtinId="21" customBuiltin="1"/>
    <cellStyle name="檢查儲存格" xfId="53" builtinId="23" customBuiltin="1"/>
    <cellStyle name="壞" xfId="54" builtinId="27" customBuiltin="1"/>
    <cellStyle name="警告文字" xfId="55" builtinId="11" customBuiltin="1"/>
  </cellStyles>
  <dxfs count="2">
    <dxf>
      <font>
        <condense val="0"/>
        <extend val="0"/>
      </font>
      <fill>
        <patternFill>
          <bgColor indexed="44"/>
        </patternFill>
      </fill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condense val="0"/>
        <extend val="0"/>
      </font>
      <fill>
        <patternFill>
          <bgColor indexed="44"/>
        </patternFill>
      </fill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61"/>
  <sheetViews>
    <sheetView tabSelected="1" zoomScale="80" zoomScaleNormal="8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7"/>
  <cols>
    <col min="1" max="1" width="21.453125" style="30" bestFit="1" customWidth="1"/>
    <col min="2" max="2" width="10.453125" style="30" bestFit="1" customWidth="1"/>
    <col min="3" max="3" width="10.453125" bestFit="1" customWidth="1"/>
    <col min="4" max="4" width="38" bestFit="1" customWidth="1"/>
    <col min="5" max="7" width="39.453125" bestFit="1" customWidth="1"/>
    <col min="8" max="8" width="26.453125" bestFit="1" customWidth="1"/>
    <col min="9" max="9" width="29" bestFit="1" customWidth="1"/>
    <col min="10" max="10" width="26.453125" bestFit="1" customWidth="1"/>
  </cols>
  <sheetData>
    <row r="1" spans="1:10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</row>
    <row r="2" spans="1:10" s="225" customFormat="1">
      <c r="A2" s="222" t="s">
        <v>178</v>
      </c>
      <c r="B2" s="222" t="s">
        <v>11</v>
      </c>
      <c r="C2" s="223">
        <v>0.27083333333333331</v>
      </c>
      <c r="D2" s="224">
        <v>0</v>
      </c>
      <c r="E2" s="224">
        <v>0</v>
      </c>
      <c r="F2" s="224">
        <v>0</v>
      </c>
      <c r="G2" s="224">
        <v>0</v>
      </c>
      <c r="H2" s="224">
        <v>0</v>
      </c>
      <c r="I2" s="224">
        <v>0</v>
      </c>
      <c r="J2" s="224">
        <v>0</v>
      </c>
    </row>
    <row r="3" spans="1:10" s="225" customFormat="1">
      <c r="A3" s="222" t="s">
        <v>178</v>
      </c>
      <c r="B3" s="222" t="s">
        <v>11</v>
      </c>
      <c r="C3" s="223">
        <v>0.27152777777777776</v>
      </c>
      <c r="D3" s="224">
        <v>0</v>
      </c>
      <c r="E3" s="224">
        <v>0</v>
      </c>
      <c r="F3" s="224">
        <v>0</v>
      </c>
      <c r="G3" s="224">
        <v>0</v>
      </c>
      <c r="H3" s="224">
        <v>0</v>
      </c>
      <c r="I3" s="224">
        <v>0</v>
      </c>
      <c r="J3" s="224">
        <v>0</v>
      </c>
    </row>
    <row r="4" spans="1:10" s="225" customFormat="1">
      <c r="A4" s="222" t="s">
        <v>178</v>
      </c>
      <c r="B4" s="222" t="s">
        <v>11</v>
      </c>
      <c r="C4" s="223">
        <v>0.27222222222222198</v>
      </c>
      <c r="D4" s="224">
        <v>0</v>
      </c>
      <c r="E4" s="224">
        <v>0</v>
      </c>
      <c r="F4" s="224">
        <v>0</v>
      </c>
      <c r="G4" s="224">
        <v>0</v>
      </c>
      <c r="H4" s="224">
        <v>0</v>
      </c>
      <c r="I4" s="224">
        <v>0</v>
      </c>
      <c r="J4" s="224">
        <v>0</v>
      </c>
    </row>
    <row r="5" spans="1:10" s="225" customFormat="1">
      <c r="A5" s="222" t="s">
        <v>178</v>
      </c>
      <c r="B5" s="222" t="s">
        <v>11</v>
      </c>
      <c r="C5" s="223">
        <v>0.27291666666666697</v>
      </c>
      <c r="D5" s="224">
        <v>0</v>
      </c>
      <c r="E5" s="224">
        <v>0</v>
      </c>
      <c r="F5" s="224">
        <v>0</v>
      </c>
      <c r="G5" s="224">
        <v>0</v>
      </c>
      <c r="H5" s="224">
        <v>0</v>
      </c>
      <c r="I5" s="224">
        <v>0</v>
      </c>
      <c r="J5" s="224">
        <v>0</v>
      </c>
    </row>
    <row r="6" spans="1:10" s="225" customFormat="1">
      <c r="A6" s="222" t="s">
        <v>178</v>
      </c>
      <c r="B6" s="222" t="s">
        <v>11</v>
      </c>
      <c r="C6" s="223">
        <v>0.27361111111111103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</row>
    <row r="7" spans="1:10" s="225" customFormat="1">
      <c r="A7" s="222" t="s">
        <v>178</v>
      </c>
      <c r="B7" s="222" t="s">
        <v>11</v>
      </c>
      <c r="C7" s="223">
        <v>0.27430555555555602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</row>
    <row r="8" spans="1:10" s="225" customFormat="1">
      <c r="A8" s="222" t="s">
        <v>178</v>
      </c>
      <c r="B8" s="222" t="s">
        <v>11</v>
      </c>
      <c r="C8" s="223">
        <v>0.27500000000000002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</row>
    <row r="9" spans="1:10" s="225" customFormat="1">
      <c r="A9" s="222" t="s">
        <v>178</v>
      </c>
      <c r="B9" s="222" t="s">
        <v>11</v>
      </c>
      <c r="C9" s="223">
        <v>0.27569444444444402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</row>
    <row r="10" spans="1:10" s="225" customFormat="1">
      <c r="A10" s="222" t="s">
        <v>178</v>
      </c>
      <c r="B10" s="222" t="s">
        <v>11</v>
      </c>
      <c r="C10" s="223">
        <v>0.27638888888888902</v>
      </c>
      <c r="D10" s="224">
        <v>0</v>
      </c>
      <c r="E10" s="224">
        <v>0</v>
      </c>
      <c r="F10" s="224">
        <v>0</v>
      </c>
      <c r="G10" s="224">
        <v>0</v>
      </c>
      <c r="H10" s="224">
        <v>0</v>
      </c>
      <c r="I10" s="224">
        <v>0</v>
      </c>
      <c r="J10" s="224">
        <v>0</v>
      </c>
    </row>
    <row r="11" spans="1:10" s="225" customFormat="1">
      <c r="A11" s="222" t="s">
        <v>178</v>
      </c>
      <c r="B11" s="222" t="s">
        <v>11</v>
      </c>
      <c r="C11" s="223">
        <v>0.27708333333333302</v>
      </c>
      <c r="D11" s="224">
        <v>0</v>
      </c>
      <c r="E11" s="224">
        <v>0</v>
      </c>
      <c r="F11" s="224">
        <v>0</v>
      </c>
      <c r="G11" s="224">
        <v>0</v>
      </c>
      <c r="H11" s="224">
        <v>0</v>
      </c>
      <c r="I11" s="224">
        <v>0</v>
      </c>
      <c r="J11" s="224">
        <v>0</v>
      </c>
    </row>
    <row r="12" spans="1:10" s="225" customFormat="1">
      <c r="A12" s="222" t="s">
        <v>178</v>
      </c>
      <c r="B12" s="222" t="s">
        <v>11</v>
      </c>
      <c r="C12" s="223">
        <v>0.27777777777777801</v>
      </c>
      <c r="D12" s="224">
        <v>0</v>
      </c>
      <c r="E12" s="224">
        <v>0</v>
      </c>
      <c r="F12" s="224">
        <v>0</v>
      </c>
      <c r="G12" s="224">
        <v>0</v>
      </c>
      <c r="H12" s="224">
        <v>0</v>
      </c>
      <c r="I12" s="224">
        <v>0</v>
      </c>
      <c r="J12" s="224">
        <v>0</v>
      </c>
    </row>
    <row r="13" spans="1:10" s="225" customFormat="1">
      <c r="A13" s="222" t="s">
        <v>178</v>
      </c>
      <c r="B13" s="222" t="s">
        <v>11</v>
      </c>
      <c r="C13" s="223">
        <v>0.27847222222222201</v>
      </c>
      <c r="D13" s="224">
        <v>0</v>
      </c>
      <c r="E13" s="224">
        <v>0</v>
      </c>
      <c r="F13" s="224">
        <v>0</v>
      </c>
      <c r="G13" s="224">
        <v>0</v>
      </c>
      <c r="H13" s="224">
        <v>0</v>
      </c>
      <c r="I13" s="224">
        <v>0</v>
      </c>
      <c r="J13" s="224">
        <v>0</v>
      </c>
    </row>
    <row r="14" spans="1:10" s="225" customFormat="1">
      <c r="A14" s="222" t="s">
        <v>178</v>
      </c>
      <c r="B14" s="222" t="s">
        <v>11</v>
      </c>
      <c r="C14" s="223">
        <v>0.27916666666666701</v>
      </c>
      <c r="D14" s="224">
        <v>0</v>
      </c>
      <c r="E14" s="224">
        <v>0</v>
      </c>
      <c r="F14" s="224">
        <v>0</v>
      </c>
      <c r="G14" s="224">
        <v>0</v>
      </c>
      <c r="H14" s="224">
        <v>0</v>
      </c>
      <c r="I14" s="224">
        <v>0</v>
      </c>
      <c r="J14" s="224">
        <v>0</v>
      </c>
    </row>
    <row r="15" spans="1:10" s="225" customFormat="1">
      <c r="A15" s="222" t="s">
        <v>178</v>
      </c>
      <c r="B15" s="222" t="s">
        <v>11</v>
      </c>
      <c r="C15" s="223">
        <v>0.27986111111111101</v>
      </c>
      <c r="D15" s="224">
        <v>0</v>
      </c>
      <c r="E15" s="224">
        <v>0</v>
      </c>
      <c r="F15" s="224">
        <v>0</v>
      </c>
      <c r="G15" s="224">
        <v>0</v>
      </c>
      <c r="H15" s="224">
        <v>0</v>
      </c>
      <c r="I15" s="224">
        <v>0</v>
      </c>
      <c r="J15" s="224">
        <v>0</v>
      </c>
    </row>
    <row r="16" spans="1:10" s="229" customFormat="1">
      <c r="A16" s="226" t="s">
        <v>178</v>
      </c>
      <c r="B16" s="226" t="s">
        <v>11</v>
      </c>
      <c r="C16" s="227">
        <v>0.280555555555556</v>
      </c>
      <c r="D16" s="228">
        <v>0</v>
      </c>
      <c r="E16" s="228">
        <v>0</v>
      </c>
      <c r="F16" s="228">
        <v>0</v>
      </c>
      <c r="G16" s="228">
        <v>0</v>
      </c>
      <c r="H16" s="228">
        <v>0</v>
      </c>
      <c r="I16" s="228">
        <v>0</v>
      </c>
      <c r="J16" s="228">
        <v>0</v>
      </c>
    </row>
    <row r="17" spans="1:10" s="225" customFormat="1">
      <c r="A17" s="222" t="s">
        <v>178</v>
      </c>
      <c r="B17" s="222" t="s">
        <v>11</v>
      </c>
      <c r="C17" s="223">
        <v>0.28125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</row>
    <row r="18" spans="1:10" s="225" customFormat="1">
      <c r="A18" s="222" t="s">
        <v>178</v>
      </c>
      <c r="B18" s="222" t="s">
        <v>11</v>
      </c>
      <c r="C18" s="223">
        <v>0.281944444444444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</row>
    <row r="19" spans="1:10" s="225" customFormat="1">
      <c r="A19" s="222" t="s">
        <v>178</v>
      </c>
      <c r="B19" s="222" t="s">
        <v>11</v>
      </c>
      <c r="C19" s="223">
        <v>0.28263888888888899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</row>
    <row r="20" spans="1:10" s="225" customFormat="1">
      <c r="A20" s="222" t="s">
        <v>178</v>
      </c>
      <c r="B20" s="222" t="s">
        <v>11</v>
      </c>
      <c r="C20" s="223">
        <v>0.28333333333333299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</row>
    <row r="21" spans="1:10" s="225" customFormat="1">
      <c r="A21" s="222" t="s">
        <v>178</v>
      </c>
      <c r="B21" s="222" t="s">
        <v>11</v>
      </c>
      <c r="C21" s="223">
        <v>0.28402777777777799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</row>
    <row r="22" spans="1:10" s="225" customFormat="1">
      <c r="A22" s="222" t="s">
        <v>178</v>
      </c>
      <c r="B22" s="222" t="s">
        <v>11</v>
      </c>
      <c r="C22" s="223">
        <v>0.28472222222222199</v>
      </c>
      <c r="D22" s="230">
        <v>0</v>
      </c>
      <c r="E22" s="230">
        <v>0</v>
      </c>
      <c r="F22" s="230">
        <v>0</v>
      </c>
      <c r="G22" s="230">
        <v>0</v>
      </c>
      <c r="H22" s="230">
        <v>0</v>
      </c>
      <c r="I22" s="230">
        <v>0</v>
      </c>
      <c r="J22" s="230">
        <v>0</v>
      </c>
    </row>
    <row r="23" spans="1:10" s="225" customFormat="1">
      <c r="A23" s="222" t="s">
        <v>178</v>
      </c>
      <c r="B23" s="222" t="s">
        <v>11</v>
      </c>
      <c r="C23" s="223">
        <v>0.28541666666666698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</row>
    <row r="24" spans="1:10" s="225" customFormat="1">
      <c r="A24" s="222" t="s">
        <v>178</v>
      </c>
      <c r="B24" s="222" t="s">
        <v>11</v>
      </c>
      <c r="C24" s="223">
        <v>0.28611111111111098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</row>
    <row r="25" spans="1:10" s="225" customFormat="1">
      <c r="A25" s="222" t="s">
        <v>178</v>
      </c>
      <c r="B25" s="222" t="s">
        <v>11</v>
      </c>
      <c r="C25" s="223">
        <v>0.28680555555555598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</row>
    <row r="26" spans="1:10" s="225" customFormat="1">
      <c r="A26" s="222" t="s">
        <v>178</v>
      </c>
      <c r="B26" s="222" t="s">
        <v>11</v>
      </c>
      <c r="C26" s="223">
        <v>0.28749999999999998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</row>
    <row r="27" spans="1:10" s="225" customFormat="1">
      <c r="A27" s="222" t="s">
        <v>178</v>
      </c>
      <c r="B27" s="222" t="s">
        <v>11</v>
      </c>
      <c r="C27" s="223">
        <v>0.28819444444444398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</row>
    <row r="28" spans="1:10" s="225" customFormat="1">
      <c r="A28" s="222" t="s">
        <v>178</v>
      </c>
      <c r="B28" s="222" t="s">
        <v>11</v>
      </c>
      <c r="C28" s="223">
        <v>0.28888888888888897</v>
      </c>
      <c r="D28" s="230">
        <v>0</v>
      </c>
      <c r="E28" s="230">
        <v>0</v>
      </c>
      <c r="F28" s="230">
        <v>0</v>
      </c>
      <c r="G28" s="230">
        <v>0</v>
      </c>
      <c r="H28" s="230">
        <v>0</v>
      </c>
      <c r="I28" s="230">
        <v>0</v>
      </c>
      <c r="J28" s="230">
        <v>0</v>
      </c>
    </row>
    <row r="29" spans="1:10" s="225" customFormat="1">
      <c r="A29" s="222" t="s">
        <v>178</v>
      </c>
      <c r="B29" s="222" t="s">
        <v>11</v>
      </c>
      <c r="C29" s="223">
        <v>0.28958333333333303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</row>
    <row r="30" spans="1:10" s="225" customFormat="1">
      <c r="A30" s="222" t="s">
        <v>178</v>
      </c>
      <c r="B30" s="222" t="s">
        <v>11</v>
      </c>
      <c r="C30" s="223">
        <v>0.29027777777777802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</row>
    <row r="31" spans="1:10" s="229" customFormat="1">
      <c r="A31" s="226" t="s">
        <v>178</v>
      </c>
      <c r="B31" s="226" t="s">
        <v>11</v>
      </c>
      <c r="C31" s="227">
        <v>0.29097222222222202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</row>
    <row r="32" spans="1:10" s="225" customFormat="1">
      <c r="A32" s="222" t="s">
        <v>178</v>
      </c>
      <c r="B32" s="222" t="s">
        <v>11</v>
      </c>
      <c r="C32" s="223">
        <v>0.29166666666666702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</row>
    <row r="33" spans="1:10" s="225" customFormat="1">
      <c r="A33" s="222" t="s">
        <v>178</v>
      </c>
      <c r="B33" s="222" t="s">
        <v>11</v>
      </c>
      <c r="C33" s="223">
        <v>0.29236111111111102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</row>
    <row r="34" spans="1:10" s="225" customFormat="1">
      <c r="A34" s="222" t="s">
        <v>178</v>
      </c>
      <c r="B34" s="222" t="s">
        <v>11</v>
      </c>
      <c r="C34" s="223">
        <v>0.29305555555555501</v>
      </c>
      <c r="D34" s="230">
        <v>0</v>
      </c>
      <c r="E34" s="230">
        <v>0</v>
      </c>
      <c r="F34" s="230">
        <v>0</v>
      </c>
      <c r="G34" s="230">
        <v>0</v>
      </c>
      <c r="H34" s="230">
        <v>0</v>
      </c>
      <c r="I34" s="230">
        <v>0</v>
      </c>
      <c r="J34" s="230">
        <v>0</v>
      </c>
    </row>
    <row r="35" spans="1:10" s="225" customFormat="1">
      <c r="A35" s="222" t="s">
        <v>178</v>
      </c>
      <c r="B35" s="222" t="s">
        <v>11</v>
      </c>
      <c r="C35" s="223">
        <v>0.29375000000000001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</row>
    <row r="36" spans="1:10" s="225" customFormat="1">
      <c r="A36" s="222" t="s">
        <v>178</v>
      </c>
      <c r="B36" s="222" t="s">
        <v>11</v>
      </c>
      <c r="C36" s="223">
        <v>0.29444444444444401</v>
      </c>
      <c r="D36" s="230">
        <v>0</v>
      </c>
      <c r="E36" s="230">
        <v>0</v>
      </c>
      <c r="F36" s="230">
        <v>0</v>
      </c>
      <c r="G36" s="230">
        <v>0</v>
      </c>
      <c r="H36" s="230">
        <v>0</v>
      </c>
      <c r="I36" s="230">
        <v>0</v>
      </c>
      <c r="J36" s="230">
        <v>0</v>
      </c>
    </row>
    <row r="37" spans="1:10" s="225" customFormat="1">
      <c r="A37" s="222" t="s">
        <v>178</v>
      </c>
      <c r="B37" s="222" t="s">
        <v>11</v>
      </c>
      <c r="C37" s="223">
        <v>0.29513888888888901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</row>
    <row r="38" spans="1:10" s="225" customFormat="1">
      <c r="A38" s="222" t="s">
        <v>178</v>
      </c>
      <c r="B38" s="222" t="s">
        <v>11</v>
      </c>
      <c r="C38" s="223">
        <v>0.295833333333333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</row>
    <row r="39" spans="1:10" s="225" customFormat="1">
      <c r="A39" s="222" t="s">
        <v>178</v>
      </c>
      <c r="B39" s="222" t="s">
        <v>11</v>
      </c>
      <c r="C39" s="223">
        <v>0.296527777777778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</row>
    <row r="40" spans="1:10" s="225" customFormat="1">
      <c r="A40" s="222" t="s">
        <v>178</v>
      </c>
      <c r="B40" s="222" t="s">
        <v>11</v>
      </c>
      <c r="C40" s="223">
        <v>0.297222222222222</v>
      </c>
      <c r="D40" s="230">
        <v>0</v>
      </c>
      <c r="E40" s="230">
        <v>0</v>
      </c>
      <c r="F40" s="230">
        <v>0</v>
      </c>
      <c r="G40" s="230">
        <v>0</v>
      </c>
      <c r="H40" s="230">
        <v>0</v>
      </c>
      <c r="I40" s="230">
        <v>0</v>
      </c>
      <c r="J40" s="230">
        <v>0</v>
      </c>
    </row>
    <row r="41" spans="1:10" s="225" customFormat="1">
      <c r="A41" s="222" t="s">
        <v>178</v>
      </c>
      <c r="B41" s="222" t="s">
        <v>11</v>
      </c>
      <c r="C41" s="223">
        <v>0.297916666666666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</row>
    <row r="42" spans="1:10" s="225" customFormat="1">
      <c r="A42" s="222" t="s">
        <v>178</v>
      </c>
      <c r="B42" s="222" t="s">
        <v>11</v>
      </c>
      <c r="C42" s="223">
        <v>0.29861111111111099</v>
      </c>
      <c r="D42" s="230">
        <v>0</v>
      </c>
      <c r="E42" s="230">
        <v>0</v>
      </c>
      <c r="F42" s="230">
        <v>0</v>
      </c>
      <c r="G42" s="230">
        <v>0</v>
      </c>
      <c r="H42" s="230">
        <v>0</v>
      </c>
      <c r="I42" s="230">
        <v>0</v>
      </c>
      <c r="J42" s="230">
        <v>0</v>
      </c>
    </row>
    <row r="43" spans="1:10" s="225" customFormat="1">
      <c r="A43" s="222" t="s">
        <v>178</v>
      </c>
      <c r="B43" s="222" t="s">
        <v>11</v>
      </c>
      <c r="C43" s="223">
        <v>0.29930555555555499</v>
      </c>
      <c r="D43" s="230">
        <v>0</v>
      </c>
      <c r="E43" s="230">
        <v>0</v>
      </c>
      <c r="F43" s="230">
        <v>0</v>
      </c>
      <c r="G43" s="230">
        <v>0</v>
      </c>
      <c r="H43" s="230">
        <v>0</v>
      </c>
      <c r="I43" s="230">
        <v>0</v>
      </c>
      <c r="J43" s="230">
        <v>0</v>
      </c>
    </row>
    <row r="44" spans="1:10" s="225" customFormat="1">
      <c r="A44" s="222" t="s">
        <v>178</v>
      </c>
      <c r="B44" s="222" t="s">
        <v>11</v>
      </c>
      <c r="C44" s="223">
        <v>0.3</v>
      </c>
      <c r="D44" s="230">
        <v>0</v>
      </c>
      <c r="E44" s="230">
        <v>0</v>
      </c>
      <c r="F44" s="230">
        <v>0</v>
      </c>
      <c r="G44" s="230">
        <v>0</v>
      </c>
      <c r="H44" s="230">
        <v>0</v>
      </c>
      <c r="I44" s="230">
        <v>0</v>
      </c>
      <c r="J44" s="230">
        <v>0</v>
      </c>
    </row>
    <row r="45" spans="1:10" s="225" customFormat="1">
      <c r="A45" s="222" t="s">
        <v>178</v>
      </c>
      <c r="B45" s="222" t="s">
        <v>11</v>
      </c>
      <c r="C45" s="223">
        <v>0.30069444444444399</v>
      </c>
      <c r="D45" s="230">
        <v>0</v>
      </c>
      <c r="E45" s="230">
        <v>0</v>
      </c>
      <c r="F45" s="230">
        <v>0</v>
      </c>
      <c r="G45" s="230">
        <v>0</v>
      </c>
      <c r="H45" s="230">
        <v>0</v>
      </c>
      <c r="I45" s="230">
        <v>0</v>
      </c>
      <c r="J45" s="230">
        <v>0</v>
      </c>
    </row>
    <row r="46" spans="1:10" s="229" customFormat="1">
      <c r="A46" s="226" t="s">
        <v>178</v>
      </c>
      <c r="B46" s="226" t="s">
        <v>11</v>
      </c>
      <c r="C46" s="227">
        <v>0.30138888888888898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</row>
    <row r="47" spans="1:10" s="225" customFormat="1">
      <c r="A47" s="222" t="s">
        <v>178</v>
      </c>
      <c r="B47" s="222" t="s">
        <v>11</v>
      </c>
      <c r="C47" s="223">
        <v>0.30208333333333298</v>
      </c>
      <c r="D47" s="230">
        <v>0</v>
      </c>
      <c r="E47" s="230">
        <v>0</v>
      </c>
      <c r="F47" s="230">
        <v>0</v>
      </c>
      <c r="G47" s="230">
        <v>0</v>
      </c>
      <c r="H47" s="230">
        <v>0</v>
      </c>
      <c r="I47" s="230">
        <v>0</v>
      </c>
      <c r="J47" s="230">
        <v>0</v>
      </c>
    </row>
    <row r="48" spans="1:10" s="225" customFormat="1">
      <c r="A48" s="222" t="s">
        <v>178</v>
      </c>
      <c r="B48" s="222" t="s">
        <v>11</v>
      </c>
      <c r="C48" s="223">
        <v>0.30277777777777798</v>
      </c>
      <c r="D48" s="230">
        <v>0</v>
      </c>
      <c r="E48" s="230">
        <v>0</v>
      </c>
      <c r="F48" s="230">
        <v>0</v>
      </c>
      <c r="G48" s="230">
        <v>0</v>
      </c>
      <c r="H48" s="230">
        <v>0</v>
      </c>
      <c r="I48" s="230">
        <v>0</v>
      </c>
      <c r="J48" s="230">
        <v>0</v>
      </c>
    </row>
    <row r="49" spans="1:10" s="225" customFormat="1">
      <c r="A49" s="222" t="s">
        <v>178</v>
      </c>
      <c r="B49" s="222" t="s">
        <v>11</v>
      </c>
      <c r="C49" s="223">
        <v>0.30347222222222198</v>
      </c>
      <c r="D49" s="230">
        <v>0</v>
      </c>
      <c r="E49" s="230">
        <v>0</v>
      </c>
      <c r="F49" s="230">
        <v>0</v>
      </c>
      <c r="G49" s="230">
        <v>0</v>
      </c>
      <c r="H49" s="230">
        <v>0</v>
      </c>
      <c r="I49" s="230">
        <v>0</v>
      </c>
      <c r="J49" s="230">
        <v>0</v>
      </c>
    </row>
    <row r="50" spans="1:10" s="225" customFormat="1">
      <c r="A50" s="222" t="s">
        <v>178</v>
      </c>
      <c r="B50" s="222" t="s">
        <v>11</v>
      </c>
      <c r="C50" s="223">
        <v>0.30416666666666697</v>
      </c>
      <c r="D50" s="230">
        <v>0</v>
      </c>
      <c r="E50" s="230">
        <v>0</v>
      </c>
      <c r="F50" s="230">
        <v>0</v>
      </c>
      <c r="G50" s="230">
        <v>0</v>
      </c>
      <c r="H50" s="230">
        <v>0</v>
      </c>
      <c r="I50" s="230">
        <v>0</v>
      </c>
      <c r="J50" s="230">
        <v>0</v>
      </c>
    </row>
    <row r="51" spans="1:10" s="225" customFormat="1">
      <c r="A51" s="222" t="s">
        <v>178</v>
      </c>
      <c r="B51" s="222" t="s">
        <v>11</v>
      </c>
      <c r="C51" s="223">
        <v>0.30486111111111103</v>
      </c>
      <c r="D51" s="230">
        <v>0</v>
      </c>
      <c r="E51" s="230">
        <v>0</v>
      </c>
      <c r="F51" s="230">
        <v>0</v>
      </c>
      <c r="G51" s="230">
        <v>0</v>
      </c>
      <c r="H51" s="230">
        <v>0</v>
      </c>
      <c r="I51" s="230">
        <v>0</v>
      </c>
      <c r="J51" s="230">
        <v>0</v>
      </c>
    </row>
    <row r="52" spans="1:10" s="225" customFormat="1">
      <c r="A52" s="222" t="s">
        <v>178</v>
      </c>
      <c r="B52" s="222" t="s">
        <v>11</v>
      </c>
      <c r="C52" s="223">
        <v>0.30555555555555503</v>
      </c>
      <c r="D52" s="230">
        <v>0</v>
      </c>
      <c r="E52" s="230">
        <v>0</v>
      </c>
      <c r="F52" s="230">
        <v>0</v>
      </c>
      <c r="G52" s="230">
        <v>0</v>
      </c>
      <c r="H52" s="230">
        <v>0</v>
      </c>
      <c r="I52" s="230">
        <v>0</v>
      </c>
      <c r="J52" s="230">
        <v>0</v>
      </c>
    </row>
    <row r="53" spans="1:10" s="225" customFormat="1">
      <c r="A53" s="222" t="s">
        <v>178</v>
      </c>
      <c r="B53" s="222" t="s">
        <v>11</v>
      </c>
      <c r="C53" s="223">
        <v>0.30625000000000002</v>
      </c>
      <c r="D53" s="230">
        <v>0</v>
      </c>
      <c r="E53" s="230">
        <v>0</v>
      </c>
      <c r="F53" s="230">
        <v>0</v>
      </c>
      <c r="G53" s="230">
        <v>0</v>
      </c>
      <c r="H53" s="230">
        <v>0</v>
      </c>
      <c r="I53" s="230">
        <v>0</v>
      </c>
      <c r="J53" s="230">
        <v>0</v>
      </c>
    </row>
    <row r="54" spans="1:10" s="225" customFormat="1">
      <c r="A54" s="222" t="s">
        <v>178</v>
      </c>
      <c r="B54" s="222" t="s">
        <v>11</v>
      </c>
      <c r="C54" s="223">
        <v>0.30694444444444402</v>
      </c>
      <c r="D54" s="230">
        <v>0</v>
      </c>
      <c r="E54" s="230">
        <v>0</v>
      </c>
      <c r="F54" s="230">
        <v>0</v>
      </c>
      <c r="G54" s="230">
        <v>0</v>
      </c>
      <c r="H54" s="230">
        <v>0</v>
      </c>
      <c r="I54" s="230">
        <v>0</v>
      </c>
      <c r="J54" s="230">
        <v>0</v>
      </c>
    </row>
    <row r="55" spans="1:10" s="225" customFormat="1">
      <c r="A55" s="222" t="s">
        <v>178</v>
      </c>
      <c r="B55" s="222" t="s">
        <v>11</v>
      </c>
      <c r="C55" s="223">
        <v>0.30763888888888902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</row>
    <row r="56" spans="1:10" s="225" customFormat="1">
      <c r="A56" s="222" t="s">
        <v>178</v>
      </c>
      <c r="B56" s="222" t="s">
        <v>11</v>
      </c>
      <c r="C56" s="223">
        <v>0.30833333333333302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</row>
    <row r="57" spans="1:10" s="225" customFormat="1">
      <c r="A57" s="222" t="s">
        <v>178</v>
      </c>
      <c r="B57" s="222" t="s">
        <v>11</v>
      </c>
      <c r="C57" s="223">
        <v>0.30902777777777801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</row>
    <row r="58" spans="1:10" s="225" customFormat="1">
      <c r="A58" s="222" t="s">
        <v>178</v>
      </c>
      <c r="B58" s="222" t="s">
        <v>11</v>
      </c>
      <c r="C58" s="223">
        <v>0.30972222222222201</v>
      </c>
      <c r="D58" s="230">
        <v>0</v>
      </c>
      <c r="E58" s="230">
        <v>0</v>
      </c>
      <c r="F58" s="230">
        <v>0</v>
      </c>
      <c r="G58" s="230">
        <v>0</v>
      </c>
      <c r="H58" s="230">
        <v>0</v>
      </c>
      <c r="I58" s="230">
        <v>0</v>
      </c>
      <c r="J58" s="230">
        <v>0</v>
      </c>
    </row>
    <row r="59" spans="1:10" s="225" customFormat="1">
      <c r="A59" s="222" t="s">
        <v>178</v>
      </c>
      <c r="B59" s="222" t="s">
        <v>11</v>
      </c>
      <c r="C59" s="223">
        <v>0.31041666666666701</v>
      </c>
      <c r="D59" s="230">
        <v>0</v>
      </c>
      <c r="E59" s="230">
        <v>0</v>
      </c>
      <c r="F59" s="230">
        <v>0</v>
      </c>
      <c r="G59" s="230">
        <v>0</v>
      </c>
      <c r="H59" s="230">
        <v>0</v>
      </c>
      <c r="I59" s="230">
        <v>0</v>
      </c>
      <c r="J59" s="230">
        <v>0</v>
      </c>
    </row>
    <row r="60" spans="1:10" s="225" customFormat="1">
      <c r="A60" s="222" t="s">
        <v>178</v>
      </c>
      <c r="B60" s="222" t="s">
        <v>11</v>
      </c>
      <c r="C60" s="223">
        <v>0.31111111111111101</v>
      </c>
      <c r="D60" s="230">
        <v>0</v>
      </c>
      <c r="E60" s="230">
        <v>0</v>
      </c>
      <c r="F60" s="230">
        <v>0</v>
      </c>
      <c r="G60" s="230">
        <v>0</v>
      </c>
      <c r="H60" s="230">
        <v>0</v>
      </c>
      <c r="I60" s="230">
        <v>0</v>
      </c>
      <c r="J60" s="230">
        <v>0</v>
      </c>
    </row>
    <row r="61" spans="1:10" s="229" customFormat="1">
      <c r="A61" s="226" t="s">
        <v>178</v>
      </c>
      <c r="B61" s="226" t="s">
        <v>11</v>
      </c>
      <c r="C61" s="227">
        <v>0.311805555555555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</row>
    <row r="62" spans="1:10" s="225" customFormat="1">
      <c r="A62" s="222" t="s">
        <v>178</v>
      </c>
      <c r="B62" s="222" t="s">
        <v>11</v>
      </c>
      <c r="C62" s="223">
        <v>0.3125</v>
      </c>
      <c r="D62" s="230">
        <v>0</v>
      </c>
      <c r="E62" s="230">
        <v>0</v>
      </c>
      <c r="F62" s="230">
        <v>0</v>
      </c>
      <c r="G62" s="230">
        <v>0</v>
      </c>
      <c r="H62" s="230">
        <v>0</v>
      </c>
      <c r="I62" s="230">
        <v>0</v>
      </c>
      <c r="J62" s="230">
        <v>0</v>
      </c>
    </row>
    <row r="63" spans="1:10" s="225" customFormat="1">
      <c r="A63" s="222" t="s">
        <v>178</v>
      </c>
      <c r="B63" s="222" t="s">
        <v>11</v>
      </c>
      <c r="C63" s="223">
        <v>0.313194444444444</v>
      </c>
      <c r="D63" s="230">
        <v>0</v>
      </c>
      <c r="E63" s="230">
        <v>0</v>
      </c>
      <c r="F63" s="230">
        <v>0</v>
      </c>
      <c r="G63" s="230">
        <v>0</v>
      </c>
      <c r="H63" s="230">
        <v>0</v>
      </c>
      <c r="I63" s="230">
        <v>0</v>
      </c>
      <c r="J63" s="230">
        <v>0</v>
      </c>
    </row>
    <row r="64" spans="1:10" s="225" customFormat="1">
      <c r="A64" s="222" t="s">
        <v>178</v>
      </c>
      <c r="B64" s="222" t="s">
        <v>11</v>
      </c>
      <c r="C64" s="223">
        <v>0.31388888888888899</v>
      </c>
      <c r="D64" s="230">
        <v>0</v>
      </c>
      <c r="E64" s="230">
        <v>0</v>
      </c>
      <c r="F64" s="230">
        <v>0</v>
      </c>
      <c r="G64" s="230">
        <v>0</v>
      </c>
      <c r="H64" s="230">
        <v>0</v>
      </c>
      <c r="I64" s="230">
        <v>0</v>
      </c>
      <c r="J64" s="230">
        <v>0</v>
      </c>
    </row>
    <row r="65" spans="1:10" s="225" customFormat="1">
      <c r="A65" s="222" t="s">
        <v>178</v>
      </c>
      <c r="B65" s="222" t="s">
        <v>11</v>
      </c>
      <c r="C65" s="223">
        <v>0.31458333333333299</v>
      </c>
      <c r="D65" s="230">
        <v>0</v>
      </c>
      <c r="E65" s="230">
        <v>0</v>
      </c>
      <c r="F65" s="230">
        <v>0</v>
      </c>
      <c r="G65" s="230">
        <v>0</v>
      </c>
      <c r="H65" s="230">
        <v>0</v>
      </c>
      <c r="I65" s="230">
        <v>0</v>
      </c>
      <c r="J65" s="230">
        <v>0</v>
      </c>
    </row>
    <row r="66" spans="1:10" s="225" customFormat="1">
      <c r="A66" s="222" t="s">
        <v>178</v>
      </c>
      <c r="B66" s="222" t="s">
        <v>11</v>
      </c>
      <c r="C66" s="223">
        <v>0.31527777777777799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</row>
    <row r="67" spans="1:10" s="225" customFormat="1">
      <c r="A67" s="222" t="s">
        <v>178</v>
      </c>
      <c r="B67" s="222" t="s">
        <v>11</v>
      </c>
      <c r="C67" s="223">
        <v>0.31597222222222199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</row>
    <row r="68" spans="1:10" s="225" customFormat="1">
      <c r="A68" s="222" t="s">
        <v>178</v>
      </c>
      <c r="B68" s="222" t="s">
        <v>11</v>
      </c>
      <c r="C68" s="223">
        <v>0.31666666666666698</v>
      </c>
      <c r="D68" s="230">
        <v>0</v>
      </c>
      <c r="E68" s="230">
        <v>0</v>
      </c>
      <c r="F68" s="230">
        <v>0</v>
      </c>
      <c r="G68" s="230">
        <v>0</v>
      </c>
      <c r="H68" s="230">
        <v>0</v>
      </c>
      <c r="I68" s="230">
        <v>0</v>
      </c>
      <c r="J68" s="230">
        <v>0</v>
      </c>
    </row>
    <row r="69" spans="1:10" s="225" customFormat="1">
      <c r="A69" s="222" t="s">
        <v>178</v>
      </c>
      <c r="B69" s="222" t="s">
        <v>11</v>
      </c>
      <c r="C69" s="223">
        <v>0.31736111111111098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</row>
    <row r="70" spans="1:10" s="225" customFormat="1">
      <c r="A70" s="222" t="s">
        <v>178</v>
      </c>
      <c r="B70" s="222" t="s">
        <v>11</v>
      </c>
      <c r="C70" s="223">
        <v>0.31805555555555498</v>
      </c>
      <c r="D70" s="230">
        <v>0</v>
      </c>
      <c r="E70" s="230">
        <v>0</v>
      </c>
      <c r="F70" s="230">
        <v>0</v>
      </c>
      <c r="G70" s="230">
        <v>0</v>
      </c>
      <c r="H70" s="230">
        <v>0</v>
      </c>
      <c r="I70" s="230">
        <v>0</v>
      </c>
      <c r="J70" s="230">
        <v>0</v>
      </c>
    </row>
    <row r="71" spans="1:10" s="225" customFormat="1">
      <c r="A71" s="222" t="s">
        <v>178</v>
      </c>
      <c r="B71" s="222" t="s">
        <v>11</v>
      </c>
      <c r="C71" s="223">
        <v>0.31874999999999998</v>
      </c>
      <c r="D71" s="230">
        <v>0</v>
      </c>
      <c r="E71" s="230">
        <v>0</v>
      </c>
      <c r="F71" s="230">
        <v>0</v>
      </c>
      <c r="G71" s="230">
        <v>0</v>
      </c>
      <c r="H71" s="230">
        <v>0</v>
      </c>
      <c r="I71" s="230">
        <v>0</v>
      </c>
      <c r="J71" s="230">
        <v>0</v>
      </c>
    </row>
    <row r="72" spans="1:10" s="225" customFormat="1">
      <c r="A72" s="222" t="s">
        <v>178</v>
      </c>
      <c r="B72" s="222" t="s">
        <v>11</v>
      </c>
      <c r="C72" s="223">
        <v>0.31944444444444398</v>
      </c>
      <c r="D72" s="230">
        <v>0</v>
      </c>
      <c r="E72" s="230">
        <v>0</v>
      </c>
      <c r="F72" s="230">
        <v>0</v>
      </c>
      <c r="G72" s="230">
        <v>0</v>
      </c>
      <c r="H72" s="230">
        <v>0</v>
      </c>
      <c r="I72" s="230">
        <v>0</v>
      </c>
      <c r="J72" s="230">
        <v>0</v>
      </c>
    </row>
    <row r="73" spans="1:10" s="225" customFormat="1">
      <c r="A73" s="222" t="s">
        <v>178</v>
      </c>
      <c r="B73" s="222" t="s">
        <v>11</v>
      </c>
      <c r="C73" s="223">
        <v>0.32013888888888897</v>
      </c>
      <c r="D73" s="230">
        <v>0</v>
      </c>
      <c r="E73" s="230">
        <v>0</v>
      </c>
      <c r="F73" s="230">
        <v>0</v>
      </c>
      <c r="G73" s="230">
        <v>0</v>
      </c>
      <c r="H73" s="230">
        <v>0</v>
      </c>
      <c r="I73" s="230">
        <v>0</v>
      </c>
      <c r="J73" s="230">
        <v>0</v>
      </c>
    </row>
    <row r="74" spans="1:10" s="225" customFormat="1">
      <c r="A74" s="222" t="s">
        <v>178</v>
      </c>
      <c r="B74" s="222" t="s">
        <v>11</v>
      </c>
      <c r="C74" s="223">
        <v>0.32083333333333303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</row>
    <row r="75" spans="1:10" s="225" customFormat="1">
      <c r="A75" s="222" t="s">
        <v>178</v>
      </c>
      <c r="B75" s="222" t="s">
        <v>11</v>
      </c>
      <c r="C75" s="223">
        <v>0.32152777777777802</v>
      </c>
      <c r="D75" s="230">
        <v>0</v>
      </c>
      <c r="E75" s="230">
        <v>0</v>
      </c>
      <c r="F75" s="230">
        <v>0</v>
      </c>
      <c r="G75" s="230">
        <v>0</v>
      </c>
      <c r="H75" s="230">
        <v>0</v>
      </c>
      <c r="I75" s="230">
        <v>0</v>
      </c>
      <c r="J75" s="230">
        <v>0</v>
      </c>
    </row>
    <row r="76" spans="1:10" s="229" customFormat="1">
      <c r="A76" s="226" t="s">
        <v>178</v>
      </c>
      <c r="B76" s="226" t="s">
        <v>11</v>
      </c>
      <c r="C76" s="227">
        <v>0.32222222222222202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</row>
    <row r="77" spans="1:10" s="225" customFormat="1">
      <c r="A77" s="222" t="s">
        <v>178</v>
      </c>
      <c r="B77" s="222" t="s">
        <v>11</v>
      </c>
      <c r="C77" s="223">
        <v>0.32291666666666602</v>
      </c>
      <c r="D77" s="230">
        <v>0</v>
      </c>
      <c r="E77" s="230">
        <v>0</v>
      </c>
      <c r="F77" s="230">
        <v>0</v>
      </c>
      <c r="G77" s="230">
        <v>0</v>
      </c>
      <c r="H77" s="230">
        <v>0</v>
      </c>
      <c r="I77" s="230">
        <v>0</v>
      </c>
      <c r="J77" s="230">
        <v>0</v>
      </c>
    </row>
    <row r="78" spans="1:10" s="225" customFormat="1">
      <c r="A78" s="222" t="s">
        <v>178</v>
      </c>
      <c r="B78" s="222" t="s">
        <v>11</v>
      </c>
      <c r="C78" s="223">
        <v>0.32361111111111102</v>
      </c>
      <c r="D78" s="230">
        <v>0</v>
      </c>
      <c r="E78" s="230">
        <v>0</v>
      </c>
      <c r="F78" s="230">
        <v>0</v>
      </c>
      <c r="G78" s="230">
        <v>0</v>
      </c>
      <c r="H78" s="230">
        <v>0</v>
      </c>
      <c r="I78" s="230">
        <v>0</v>
      </c>
      <c r="J78" s="230">
        <v>0</v>
      </c>
    </row>
    <row r="79" spans="1:10" s="225" customFormat="1">
      <c r="A79" s="222" t="s">
        <v>178</v>
      </c>
      <c r="B79" s="222" t="s">
        <v>11</v>
      </c>
      <c r="C79" s="223">
        <v>0.32430555555555501</v>
      </c>
      <c r="D79" s="230">
        <v>0</v>
      </c>
      <c r="E79" s="230">
        <v>0</v>
      </c>
      <c r="F79" s="230">
        <v>0</v>
      </c>
      <c r="G79" s="230">
        <v>0</v>
      </c>
      <c r="H79" s="230">
        <v>0</v>
      </c>
      <c r="I79" s="230">
        <v>0</v>
      </c>
      <c r="J79" s="230">
        <v>0</v>
      </c>
    </row>
    <row r="80" spans="1:10" s="225" customFormat="1">
      <c r="A80" s="222" t="s">
        <v>178</v>
      </c>
      <c r="B80" s="222" t="s">
        <v>11</v>
      </c>
      <c r="C80" s="223">
        <v>0.32500000000000001</v>
      </c>
      <c r="D80" s="230">
        <v>0</v>
      </c>
      <c r="E80" s="230">
        <v>0</v>
      </c>
      <c r="F80" s="230">
        <v>0</v>
      </c>
      <c r="G80" s="230">
        <v>0</v>
      </c>
      <c r="H80" s="230">
        <v>0</v>
      </c>
      <c r="I80" s="230">
        <v>0</v>
      </c>
      <c r="J80" s="230">
        <v>0</v>
      </c>
    </row>
    <row r="81" spans="1:10" s="225" customFormat="1">
      <c r="A81" s="222" t="s">
        <v>178</v>
      </c>
      <c r="B81" s="222" t="s">
        <v>11</v>
      </c>
      <c r="C81" s="223">
        <v>0.32569444444444401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</row>
    <row r="82" spans="1:10" s="225" customFormat="1">
      <c r="A82" s="222" t="s">
        <v>178</v>
      </c>
      <c r="B82" s="222" t="s">
        <v>11</v>
      </c>
      <c r="C82" s="223">
        <v>0.32638888888888901</v>
      </c>
      <c r="D82" s="230">
        <v>0</v>
      </c>
      <c r="E82" s="230">
        <v>0</v>
      </c>
      <c r="F82" s="230">
        <v>0</v>
      </c>
      <c r="G82" s="230">
        <v>0</v>
      </c>
      <c r="H82" s="230">
        <v>0</v>
      </c>
      <c r="I82" s="230">
        <v>0</v>
      </c>
      <c r="J82" s="230">
        <v>0</v>
      </c>
    </row>
    <row r="83" spans="1:10" s="225" customFormat="1">
      <c r="A83" s="222" t="s">
        <v>178</v>
      </c>
      <c r="B83" s="222" t="s">
        <v>11</v>
      </c>
      <c r="C83" s="223">
        <v>0.327083333333333</v>
      </c>
      <c r="D83" s="230">
        <v>0</v>
      </c>
      <c r="E83" s="230">
        <v>0</v>
      </c>
      <c r="F83" s="230">
        <v>0</v>
      </c>
      <c r="G83" s="230">
        <v>0</v>
      </c>
      <c r="H83" s="230">
        <v>0</v>
      </c>
      <c r="I83" s="230">
        <v>0</v>
      </c>
      <c r="J83" s="230">
        <v>0</v>
      </c>
    </row>
    <row r="84" spans="1:10" s="225" customFormat="1">
      <c r="A84" s="222" t="s">
        <v>178</v>
      </c>
      <c r="B84" s="222" t="s">
        <v>11</v>
      </c>
      <c r="C84" s="223">
        <v>0.327777777777778</v>
      </c>
      <c r="D84" s="230">
        <v>0</v>
      </c>
      <c r="E84" s="230">
        <v>0</v>
      </c>
      <c r="F84" s="230">
        <v>0</v>
      </c>
      <c r="G84" s="230">
        <v>0</v>
      </c>
      <c r="H84" s="230">
        <v>0</v>
      </c>
      <c r="I84" s="230">
        <v>0</v>
      </c>
      <c r="J84" s="230">
        <v>0</v>
      </c>
    </row>
    <row r="85" spans="1:10" s="225" customFormat="1">
      <c r="A85" s="222" t="s">
        <v>178</v>
      </c>
      <c r="B85" s="222" t="s">
        <v>11</v>
      </c>
      <c r="C85" s="223">
        <v>0.328472222222222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</row>
    <row r="86" spans="1:10" s="225" customFormat="1">
      <c r="A86" s="222" t="s">
        <v>178</v>
      </c>
      <c r="B86" s="222" t="s">
        <v>11</v>
      </c>
      <c r="C86" s="223">
        <v>0.329166666666666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</row>
    <row r="87" spans="1:10" s="225" customFormat="1">
      <c r="A87" s="222" t="s">
        <v>178</v>
      </c>
      <c r="B87" s="222" t="s">
        <v>11</v>
      </c>
      <c r="C87" s="223">
        <v>0.32986111111111099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</row>
    <row r="88" spans="1:10" s="225" customFormat="1">
      <c r="A88" s="222" t="s">
        <v>178</v>
      </c>
      <c r="B88" s="222" t="s">
        <v>11</v>
      </c>
      <c r="C88" s="223">
        <v>0.33055555555555499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</row>
    <row r="89" spans="1:10" s="225" customFormat="1">
      <c r="A89" s="222" t="s">
        <v>178</v>
      </c>
      <c r="B89" s="222" t="s">
        <v>11</v>
      </c>
      <c r="C89" s="223">
        <v>0.33124999999999999</v>
      </c>
      <c r="D89" s="230">
        <v>0</v>
      </c>
      <c r="E89" s="230">
        <v>0</v>
      </c>
      <c r="F89" s="230">
        <v>0</v>
      </c>
      <c r="G89" s="230">
        <v>0</v>
      </c>
      <c r="H89" s="230">
        <v>0</v>
      </c>
      <c r="I89" s="230">
        <v>0</v>
      </c>
      <c r="J89" s="230">
        <v>0</v>
      </c>
    </row>
    <row r="90" spans="1:10" s="225" customFormat="1">
      <c r="A90" s="222" t="s">
        <v>178</v>
      </c>
      <c r="B90" s="222" t="s">
        <v>11</v>
      </c>
      <c r="C90" s="223">
        <v>0.33194444444444399</v>
      </c>
      <c r="D90" s="230">
        <v>0</v>
      </c>
      <c r="E90" s="230">
        <v>0</v>
      </c>
      <c r="F90" s="230">
        <v>0</v>
      </c>
      <c r="G90" s="230">
        <v>0</v>
      </c>
      <c r="H90" s="230">
        <v>0</v>
      </c>
      <c r="I90" s="230">
        <v>0</v>
      </c>
      <c r="J90" s="230">
        <v>0</v>
      </c>
    </row>
    <row r="91" spans="1:10" s="229" customFormat="1">
      <c r="A91" s="226" t="s">
        <v>178</v>
      </c>
      <c r="B91" s="226" t="s">
        <v>11</v>
      </c>
      <c r="C91" s="227">
        <v>0.33263888888888898</v>
      </c>
      <c r="D91" s="231">
        <v>0</v>
      </c>
      <c r="E91" s="231">
        <v>0</v>
      </c>
      <c r="F91" s="231">
        <v>0</v>
      </c>
      <c r="G91" s="231">
        <v>0</v>
      </c>
      <c r="H91" s="231">
        <v>0</v>
      </c>
      <c r="I91" s="231">
        <v>0</v>
      </c>
      <c r="J91" s="231">
        <v>0</v>
      </c>
    </row>
    <row r="92" spans="1:10" s="225" customFormat="1">
      <c r="A92" s="222" t="s">
        <v>178</v>
      </c>
      <c r="B92" s="222" t="s">
        <v>11</v>
      </c>
      <c r="C92" s="223">
        <v>0.33333333333333298</v>
      </c>
      <c r="D92" s="230">
        <v>0</v>
      </c>
      <c r="E92" s="230">
        <v>0</v>
      </c>
      <c r="F92" s="230">
        <v>0</v>
      </c>
      <c r="G92" s="230">
        <v>0</v>
      </c>
      <c r="H92" s="230">
        <v>0</v>
      </c>
      <c r="I92" s="230">
        <v>0</v>
      </c>
      <c r="J92" s="230">
        <v>0</v>
      </c>
    </row>
    <row r="93" spans="1:10" s="225" customFormat="1">
      <c r="A93" s="222" t="s">
        <v>178</v>
      </c>
      <c r="B93" s="222" t="s">
        <v>11</v>
      </c>
      <c r="C93" s="223">
        <v>0.33402777777777798</v>
      </c>
      <c r="D93" s="230">
        <v>0</v>
      </c>
      <c r="E93" s="230">
        <v>0</v>
      </c>
      <c r="F93" s="230">
        <v>0</v>
      </c>
      <c r="G93" s="230">
        <v>0</v>
      </c>
      <c r="H93" s="230">
        <v>0</v>
      </c>
      <c r="I93" s="230">
        <v>0</v>
      </c>
      <c r="J93" s="230">
        <v>0</v>
      </c>
    </row>
    <row r="94" spans="1:10" s="225" customFormat="1">
      <c r="A94" s="222" t="s">
        <v>178</v>
      </c>
      <c r="B94" s="222" t="s">
        <v>11</v>
      </c>
      <c r="C94" s="223">
        <v>0.33472222222222198</v>
      </c>
      <c r="D94" s="230">
        <v>0</v>
      </c>
      <c r="E94" s="230">
        <v>0</v>
      </c>
      <c r="F94" s="230">
        <v>0</v>
      </c>
      <c r="G94" s="230">
        <v>0</v>
      </c>
      <c r="H94" s="230">
        <v>0</v>
      </c>
      <c r="I94" s="230">
        <v>0</v>
      </c>
      <c r="J94" s="230">
        <v>0</v>
      </c>
    </row>
    <row r="95" spans="1:10" s="225" customFormat="1">
      <c r="A95" s="222" t="s">
        <v>178</v>
      </c>
      <c r="B95" s="222" t="s">
        <v>11</v>
      </c>
      <c r="C95" s="223">
        <v>0.33541666666666597</v>
      </c>
      <c r="D95" s="230">
        <v>0</v>
      </c>
      <c r="E95" s="230">
        <v>0</v>
      </c>
      <c r="F95" s="230">
        <v>0</v>
      </c>
      <c r="G95" s="230">
        <v>0</v>
      </c>
      <c r="H95" s="230">
        <v>0</v>
      </c>
      <c r="I95" s="230">
        <v>0</v>
      </c>
      <c r="J95" s="230">
        <v>0</v>
      </c>
    </row>
    <row r="96" spans="1:10" s="225" customFormat="1">
      <c r="A96" s="222" t="s">
        <v>178</v>
      </c>
      <c r="B96" s="222" t="s">
        <v>11</v>
      </c>
      <c r="C96" s="223">
        <v>0.33611111111111103</v>
      </c>
      <c r="D96" s="230">
        <v>0</v>
      </c>
      <c r="E96" s="230">
        <v>0</v>
      </c>
      <c r="F96" s="230">
        <v>0</v>
      </c>
      <c r="G96" s="230">
        <v>0</v>
      </c>
      <c r="H96" s="230">
        <v>0</v>
      </c>
      <c r="I96" s="230">
        <v>0</v>
      </c>
      <c r="J96" s="230">
        <v>0</v>
      </c>
    </row>
    <row r="97" spans="1:10" s="225" customFormat="1">
      <c r="A97" s="222" t="s">
        <v>178</v>
      </c>
      <c r="B97" s="222" t="s">
        <v>11</v>
      </c>
      <c r="C97" s="223">
        <v>0.33680555555555503</v>
      </c>
      <c r="D97" s="230">
        <v>0</v>
      </c>
      <c r="E97" s="230">
        <v>0</v>
      </c>
      <c r="F97" s="230">
        <v>0</v>
      </c>
      <c r="G97" s="230">
        <v>0</v>
      </c>
      <c r="H97" s="230">
        <v>0</v>
      </c>
      <c r="I97" s="230">
        <v>0</v>
      </c>
      <c r="J97" s="230">
        <v>0</v>
      </c>
    </row>
    <row r="98" spans="1:10" s="225" customFormat="1">
      <c r="A98" s="222" t="s">
        <v>178</v>
      </c>
      <c r="B98" s="222" t="s">
        <v>11</v>
      </c>
      <c r="C98" s="223">
        <v>0.33750000000000002</v>
      </c>
      <c r="D98" s="230">
        <v>0</v>
      </c>
      <c r="E98" s="230">
        <v>0</v>
      </c>
      <c r="F98" s="230">
        <v>0</v>
      </c>
      <c r="G98" s="230">
        <v>0</v>
      </c>
      <c r="H98" s="230">
        <v>0</v>
      </c>
      <c r="I98" s="230">
        <v>0</v>
      </c>
      <c r="J98" s="230">
        <v>0</v>
      </c>
    </row>
    <row r="99" spans="1:10" s="225" customFormat="1">
      <c r="A99" s="222" t="s">
        <v>178</v>
      </c>
      <c r="B99" s="222" t="s">
        <v>11</v>
      </c>
      <c r="C99" s="223">
        <v>0.33819444444444402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</row>
    <row r="100" spans="1:10" s="225" customFormat="1">
      <c r="A100" s="222" t="s">
        <v>178</v>
      </c>
      <c r="B100" s="222" t="s">
        <v>11</v>
      </c>
      <c r="C100" s="223">
        <v>0.33888888888888902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</row>
    <row r="101" spans="1:10" s="225" customFormat="1">
      <c r="A101" s="222" t="s">
        <v>178</v>
      </c>
      <c r="B101" s="222" t="s">
        <v>11</v>
      </c>
      <c r="C101" s="223">
        <v>0.33958333333333302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</row>
    <row r="102" spans="1:10" s="225" customFormat="1">
      <c r="A102" s="222" t="s">
        <v>178</v>
      </c>
      <c r="B102" s="222" t="s">
        <v>11</v>
      </c>
      <c r="C102" s="223">
        <v>0.34027777777777801</v>
      </c>
      <c r="D102" s="230">
        <v>0</v>
      </c>
      <c r="E102" s="230">
        <v>0</v>
      </c>
      <c r="F102" s="230">
        <v>0</v>
      </c>
      <c r="G102" s="230">
        <v>0</v>
      </c>
      <c r="H102" s="230">
        <v>0</v>
      </c>
      <c r="I102" s="230">
        <v>0</v>
      </c>
      <c r="J102" s="230">
        <v>0</v>
      </c>
    </row>
    <row r="103" spans="1:10" s="225" customFormat="1">
      <c r="A103" s="222" t="s">
        <v>178</v>
      </c>
      <c r="B103" s="222" t="s">
        <v>11</v>
      </c>
      <c r="C103" s="223">
        <v>0.34097222222222201</v>
      </c>
      <c r="D103" s="230">
        <v>0</v>
      </c>
      <c r="E103" s="230">
        <v>0</v>
      </c>
      <c r="F103" s="230">
        <v>0</v>
      </c>
      <c r="G103" s="230">
        <v>0</v>
      </c>
      <c r="H103" s="230">
        <v>0</v>
      </c>
      <c r="I103" s="230">
        <v>0</v>
      </c>
      <c r="J103" s="230">
        <v>0</v>
      </c>
    </row>
    <row r="104" spans="1:10" s="225" customFormat="1">
      <c r="A104" s="222" t="s">
        <v>178</v>
      </c>
      <c r="B104" s="222" t="s">
        <v>11</v>
      </c>
      <c r="C104" s="223">
        <v>0.34166666666666601</v>
      </c>
      <c r="D104" s="230">
        <v>0</v>
      </c>
      <c r="E104" s="230">
        <v>0</v>
      </c>
      <c r="F104" s="230">
        <v>0</v>
      </c>
      <c r="G104" s="230">
        <v>0</v>
      </c>
      <c r="H104" s="230">
        <v>0</v>
      </c>
      <c r="I104" s="230">
        <v>0</v>
      </c>
      <c r="J104" s="230">
        <v>0</v>
      </c>
    </row>
    <row r="105" spans="1:10" s="225" customFormat="1">
      <c r="A105" s="222" t="s">
        <v>178</v>
      </c>
      <c r="B105" s="222" t="s">
        <v>11</v>
      </c>
      <c r="C105" s="223">
        <v>0.34236111111111101</v>
      </c>
      <c r="D105" s="230">
        <v>0</v>
      </c>
      <c r="E105" s="230">
        <v>0</v>
      </c>
      <c r="F105" s="230">
        <v>0</v>
      </c>
      <c r="G105" s="230">
        <v>0</v>
      </c>
      <c r="H105" s="230">
        <v>0</v>
      </c>
      <c r="I105" s="230">
        <v>0</v>
      </c>
      <c r="J105" s="230">
        <v>0</v>
      </c>
    </row>
    <row r="106" spans="1:10" s="229" customFormat="1">
      <c r="A106" s="226" t="s">
        <v>178</v>
      </c>
      <c r="B106" s="226" t="s">
        <v>11</v>
      </c>
      <c r="C106" s="227">
        <v>0.343055555555555</v>
      </c>
      <c r="D106" s="231">
        <v>0</v>
      </c>
      <c r="E106" s="231">
        <v>0</v>
      </c>
      <c r="F106" s="231">
        <v>0</v>
      </c>
      <c r="G106" s="231">
        <v>0</v>
      </c>
      <c r="H106" s="231">
        <v>0</v>
      </c>
      <c r="I106" s="231">
        <v>0</v>
      </c>
      <c r="J106" s="231">
        <v>0</v>
      </c>
    </row>
    <row r="107" spans="1:10" s="225" customFormat="1">
      <c r="A107" s="222" t="s">
        <v>178</v>
      </c>
      <c r="B107" s="222" t="s">
        <v>11</v>
      </c>
      <c r="C107" s="223">
        <v>0.34375</v>
      </c>
      <c r="D107" s="230">
        <v>0</v>
      </c>
      <c r="E107" s="230">
        <v>0</v>
      </c>
      <c r="F107" s="230">
        <v>0</v>
      </c>
      <c r="G107" s="230">
        <v>0</v>
      </c>
      <c r="H107" s="230">
        <v>0</v>
      </c>
      <c r="I107" s="230">
        <v>0</v>
      </c>
      <c r="J107" s="230">
        <v>0</v>
      </c>
    </row>
    <row r="108" spans="1:10" s="225" customFormat="1">
      <c r="A108" s="222" t="s">
        <v>178</v>
      </c>
      <c r="B108" s="222" t="s">
        <v>11</v>
      </c>
      <c r="C108" s="223">
        <v>0.344444444444444</v>
      </c>
      <c r="D108" s="230">
        <v>0</v>
      </c>
      <c r="E108" s="230">
        <v>0</v>
      </c>
      <c r="F108" s="230">
        <v>0</v>
      </c>
      <c r="G108" s="230">
        <v>0</v>
      </c>
      <c r="H108" s="230">
        <v>0</v>
      </c>
      <c r="I108" s="230">
        <v>0</v>
      </c>
      <c r="J108" s="230">
        <v>0</v>
      </c>
    </row>
    <row r="109" spans="1:10" s="225" customFormat="1">
      <c r="A109" s="222" t="s">
        <v>178</v>
      </c>
      <c r="B109" s="222" t="s">
        <v>11</v>
      </c>
      <c r="C109" s="223">
        <v>0.34513888888888899</v>
      </c>
      <c r="D109" s="230">
        <v>0</v>
      </c>
      <c r="E109" s="230">
        <v>0</v>
      </c>
      <c r="F109" s="230">
        <v>0</v>
      </c>
      <c r="G109" s="230">
        <v>0</v>
      </c>
      <c r="H109" s="230">
        <v>0</v>
      </c>
      <c r="I109" s="230">
        <v>0</v>
      </c>
      <c r="J109" s="230">
        <v>0</v>
      </c>
    </row>
    <row r="110" spans="1:10" s="225" customFormat="1">
      <c r="A110" s="222" t="s">
        <v>178</v>
      </c>
      <c r="B110" s="222" t="s">
        <v>11</v>
      </c>
      <c r="C110" s="223">
        <v>0.34583333333333299</v>
      </c>
      <c r="D110" s="230">
        <v>0</v>
      </c>
      <c r="E110" s="230">
        <v>0</v>
      </c>
      <c r="F110" s="230">
        <v>0</v>
      </c>
      <c r="G110" s="230">
        <v>0</v>
      </c>
      <c r="H110" s="230">
        <v>0</v>
      </c>
      <c r="I110" s="230">
        <v>0</v>
      </c>
      <c r="J110" s="230">
        <v>0</v>
      </c>
    </row>
    <row r="111" spans="1:10" s="225" customFormat="1">
      <c r="A111" s="222" t="s">
        <v>178</v>
      </c>
      <c r="B111" s="222" t="s">
        <v>11</v>
      </c>
      <c r="C111" s="223">
        <v>0.34652777777777799</v>
      </c>
      <c r="D111" s="230">
        <v>0</v>
      </c>
      <c r="E111" s="230">
        <v>0</v>
      </c>
      <c r="F111" s="230">
        <v>0</v>
      </c>
      <c r="G111" s="230">
        <v>0</v>
      </c>
      <c r="H111" s="230">
        <v>0</v>
      </c>
      <c r="I111" s="230">
        <v>0</v>
      </c>
      <c r="J111" s="230">
        <v>0</v>
      </c>
    </row>
    <row r="112" spans="1:10" s="225" customFormat="1">
      <c r="A112" s="222" t="s">
        <v>178</v>
      </c>
      <c r="B112" s="222" t="s">
        <v>11</v>
      </c>
      <c r="C112" s="223">
        <v>0.34722222222222199</v>
      </c>
      <c r="D112" s="230">
        <v>0</v>
      </c>
      <c r="E112" s="230">
        <v>0</v>
      </c>
      <c r="F112" s="230">
        <v>0</v>
      </c>
      <c r="G112" s="230">
        <v>0</v>
      </c>
      <c r="H112" s="230">
        <v>0</v>
      </c>
      <c r="I112" s="230">
        <v>0</v>
      </c>
      <c r="J112" s="230">
        <v>0</v>
      </c>
    </row>
    <row r="113" spans="1:10" s="225" customFormat="1">
      <c r="A113" s="222" t="s">
        <v>178</v>
      </c>
      <c r="B113" s="222" t="s">
        <v>11</v>
      </c>
      <c r="C113" s="223">
        <v>0.34791666666666599</v>
      </c>
      <c r="D113" s="230">
        <v>0</v>
      </c>
      <c r="E113" s="230">
        <v>0</v>
      </c>
      <c r="F113" s="230">
        <v>0</v>
      </c>
      <c r="G113" s="230">
        <v>0</v>
      </c>
      <c r="H113" s="230">
        <v>0</v>
      </c>
      <c r="I113" s="230">
        <v>0</v>
      </c>
      <c r="J113" s="230">
        <v>0</v>
      </c>
    </row>
    <row r="114" spans="1:10" s="225" customFormat="1">
      <c r="A114" s="222" t="s">
        <v>178</v>
      </c>
      <c r="B114" s="222" t="s">
        <v>11</v>
      </c>
      <c r="C114" s="223">
        <v>0.34861111111111098</v>
      </c>
      <c r="D114" s="230">
        <v>0</v>
      </c>
      <c r="E114" s="230">
        <v>0</v>
      </c>
      <c r="F114" s="230">
        <v>0</v>
      </c>
      <c r="G114" s="230">
        <v>0</v>
      </c>
      <c r="H114" s="230">
        <v>0</v>
      </c>
      <c r="I114" s="230">
        <v>0</v>
      </c>
      <c r="J114" s="230">
        <v>0</v>
      </c>
    </row>
    <row r="115" spans="1:10" s="225" customFormat="1">
      <c r="A115" s="222" t="s">
        <v>178</v>
      </c>
      <c r="B115" s="222" t="s">
        <v>11</v>
      </c>
      <c r="C115" s="223">
        <v>0.34930555555555498</v>
      </c>
      <c r="D115" s="230">
        <v>0</v>
      </c>
      <c r="E115" s="230">
        <v>0</v>
      </c>
      <c r="F115" s="230">
        <v>0</v>
      </c>
      <c r="G115" s="230">
        <v>0</v>
      </c>
      <c r="H115" s="230">
        <v>0</v>
      </c>
      <c r="I115" s="230">
        <v>0</v>
      </c>
      <c r="J115" s="230">
        <v>0</v>
      </c>
    </row>
    <row r="116" spans="1:10" s="225" customFormat="1">
      <c r="A116" s="222" t="s">
        <v>178</v>
      </c>
      <c r="B116" s="222" t="s">
        <v>11</v>
      </c>
      <c r="C116" s="223">
        <v>0.35</v>
      </c>
      <c r="D116" s="230">
        <v>0</v>
      </c>
      <c r="E116" s="230">
        <v>0</v>
      </c>
      <c r="F116" s="230">
        <v>0</v>
      </c>
      <c r="G116" s="230">
        <v>0</v>
      </c>
      <c r="H116" s="230">
        <v>0</v>
      </c>
      <c r="I116" s="230">
        <v>0</v>
      </c>
      <c r="J116" s="230">
        <v>0</v>
      </c>
    </row>
    <row r="117" spans="1:10" s="225" customFormat="1">
      <c r="A117" s="222" t="s">
        <v>178</v>
      </c>
      <c r="B117" s="222" t="s">
        <v>11</v>
      </c>
      <c r="C117" s="223">
        <v>0.35069444444444398</v>
      </c>
      <c r="D117" s="230">
        <v>0</v>
      </c>
      <c r="E117" s="230">
        <v>0</v>
      </c>
      <c r="F117" s="230">
        <v>0</v>
      </c>
      <c r="G117" s="230">
        <v>0</v>
      </c>
      <c r="H117" s="230">
        <v>0</v>
      </c>
      <c r="I117" s="230">
        <v>0</v>
      </c>
      <c r="J117" s="230">
        <v>0</v>
      </c>
    </row>
    <row r="118" spans="1:10" s="225" customFormat="1">
      <c r="A118" s="222" t="s">
        <v>178</v>
      </c>
      <c r="B118" s="222" t="s">
        <v>11</v>
      </c>
      <c r="C118" s="223">
        <v>0.35138888888888897</v>
      </c>
      <c r="D118" s="230">
        <v>0</v>
      </c>
      <c r="E118" s="230">
        <v>0</v>
      </c>
      <c r="F118" s="230">
        <v>0</v>
      </c>
      <c r="G118" s="230">
        <v>0</v>
      </c>
      <c r="H118" s="230">
        <v>0</v>
      </c>
      <c r="I118" s="230">
        <v>0</v>
      </c>
      <c r="J118" s="230">
        <v>0</v>
      </c>
    </row>
    <row r="119" spans="1:10" s="225" customFormat="1">
      <c r="A119" s="222" t="s">
        <v>178</v>
      </c>
      <c r="B119" s="222" t="s">
        <v>11</v>
      </c>
      <c r="C119" s="223">
        <v>0.35208333333333303</v>
      </c>
      <c r="D119" s="230">
        <v>0</v>
      </c>
      <c r="E119" s="230">
        <v>0</v>
      </c>
      <c r="F119" s="230">
        <v>0</v>
      </c>
      <c r="G119" s="230">
        <v>0</v>
      </c>
      <c r="H119" s="230">
        <v>0</v>
      </c>
      <c r="I119" s="230">
        <v>0</v>
      </c>
      <c r="J119" s="230">
        <v>0</v>
      </c>
    </row>
    <row r="120" spans="1:10" s="225" customFormat="1">
      <c r="A120" s="222" t="s">
        <v>178</v>
      </c>
      <c r="B120" s="222" t="s">
        <v>11</v>
      </c>
      <c r="C120" s="223">
        <v>0.35277777777777802</v>
      </c>
      <c r="D120" s="230">
        <v>0</v>
      </c>
      <c r="E120" s="230">
        <v>0</v>
      </c>
      <c r="F120" s="230">
        <v>0</v>
      </c>
      <c r="G120" s="230">
        <v>0</v>
      </c>
      <c r="H120" s="230">
        <v>0</v>
      </c>
      <c r="I120" s="230">
        <v>0</v>
      </c>
      <c r="J120" s="230">
        <v>0</v>
      </c>
    </row>
    <row r="121" spans="1:10" s="235" customFormat="1" ht="17.5" thickBot="1">
      <c r="A121" s="232" t="s">
        <v>178</v>
      </c>
      <c r="B121" s="232" t="s">
        <v>11</v>
      </c>
      <c r="C121" s="233">
        <v>0.35347222222222202</v>
      </c>
      <c r="D121" s="234">
        <v>0</v>
      </c>
      <c r="E121" s="234">
        <v>0</v>
      </c>
      <c r="F121" s="234">
        <v>0</v>
      </c>
      <c r="G121" s="234">
        <v>0</v>
      </c>
      <c r="H121" s="234">
        <v>0</v>
      </c>
      <c r="I121" s="234">
        <v>0</v>
      </c>
      <c r="J121" s="234">
        <v>0</v>
      </c>
    </row>
    <row r="122" spans="1:10" s="225" customFormat="1">
      <c r="A122" s="222" t="s">
        <v>178</v>
      </c>
      <c r="B122" s="222" t="s">
        <v>12</v>
      </c>
      <c r="C122" s="223">
        <v>0.27083333333333331</v>
      </c>
      <c r="D122" s="230">
        <v>0</v>
      </c>
      <c r="E122" s="230">
        <v>0</v>
      </c>
      <c r="F122" s="230">
        <v>0</v>
      </c>
      <c r="G122" s="230">
        <v>0</v>
      </c>
      <c r="H122" s="230">
        <v>0</v>
      </c>
      <c r="I122" s="230">
        <v>0</v>
      </c>
      <c r="J122" s="230">
        <v>0</v>
      </c>
    </row>
    <row r="123" spans="1:10" s="225" customFormat="1">
      <c r="A123" s="222" t="s">
        <v>178</v>
      </c>
      <c r="B123" s="222" t="s">
        <v>12</v>
      </c>
      <c r="C123" s="223">
        <v>0.27152777777777776</v>
      </c>
      <c r="D123" s="230">
        <v>0</v>
      </c>
      <c r="E123" s="230">
        <v>0</v>
      </c>
      <c r="F123" s="230">
        <v>0</v>
      </c>
      <c r="G123" s="230">
        <v>0</v>
      </c>
      <c r="H123" s="230">
        <v>0</v>
      </c>
      <c r="I123" s="230">
        <v>0</v>
      </c>
      <c r="J123" s="230">
        <v>0</v>
      </c>
    </row>
    <row r="124" spans="1:10" s="225" customFormat="1">
      <c r="A124" s="222" t="s">
        <v>178</v>
      </c>
      <c r="B124" s="222" t="s">
        <v>12</v>
      </c>
      <c r="C124" s="223">
        <v>0.27222222222222198</v>
      </c>
      <c r="D124" s="230">
        <v>0</v>
      </c>
      <c r="E124" s="230">
        <v>0</v>
      </c>
      <c r="F124" s="230">
        <v>0</v>
      </c>
      <c r="G124" s="230">
        <v>0</v>
      </c>
      <c r="H124" s="230">
        <v>0</v>
      </c>
      <c r="I124" s="230">
        <v>0</v>
      </c>
      <c r="J124" s="230">
        <v>0</v>
      </c>
    </row>
    <row r="125" spans="1:10" s="225" customFormat="1">
      <c r="A125" s="222" t="s">
        <v>178</v>
      </c>
      <c r="B125" s="222" t="s">
        <v>12</v>
      </c>
      <c r="C125" s="223">
        <v>0.27291666666666697</v>
      </c>
      <c r="D125" s="230">
        <v>0</v>
      </c>
      <c r="E125" s="230">
        <v>0</v>
      </c>
      <c r="F125" s="230">
        <v>0</v>
      </c>
      <c r="G125" s="230">
        <v>0</v>
      </c>
      <c r="H125" s="230">
        <v>0</v>
      </c>
      <c r="I125" s="230">
        <v>0</v>
      </c>
      <c r="J125" s="230">
        <v>0</v>
      </c>
    </row>
    <row r="126" spans="1:10" s="225" customFormat="1">
      <c r="A126" s="222" t="s">
        <v>178</v>
      </c>
      <c r="B126" s="222" t="s">
        <v>12</v>
      </c>
      <c r="C126" s="223">
        <v>0.27361111111111103</v>
      </c>
      <c r="D126" s="230">
        <v>0</v>
      </c>
      <c r="E126" s="230">
        <v>0</v>
      </c>
      <c r="F126" s="230">
        <v>0</v>
      </c>
      <c r="G126" s="230">
        <v>0</v>
      </c>
      <c r="H126" s="230">
        <v>0</v>
      </c>
      <c r="I126" s="230">
        <v>0</v>
      </c>
      <c r="J126" s="230">
        <v>0</v>
      </c>
    </row>
    <row r="127" spans="1:10" s="225" customFormat="1">
      <c r="A127" s="222" t="s">
        <v>178</v>
      </c>
      <c r="B127" s="222" t="s">
        <v>12</v>
      </c>
      <c r="C127" s="223">
        <v>0.27430555555555602</v>
      </c>
      <c r="D127" s="230">
        <v>0</v>
      </c>
      <c r="E127" s="230">
        <v>0</v>
      </c>
      <c r="F127" s="230">
        <v>0</v>
      </c>
      <c r="G127" s="230">
        <v>0</v>
      </c>
      <c r="H127" s="230">
        <v>0</v>
      </c>
      <c r="I127" s="230">
        <v>0</v>
      </c>
      <c r="J127" s="230">
        <v>0</v>
      </c>
    </row>
    <row r="128" spans="1:10" s="225" customFormat="1">
      <c r="A128" s="222" t="s">
        <v>178</v>
      </c>
      <c r="B128" s="222" t="s">
        <v>12</v>
      </c>
      <c r="C128" s="223">
        <v>0.27500000000000002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</v>
      </c>
    </row>
    <row r="129" spans="1:10" s="225" customFormat="1">
      <c r="A129" s="222" t="s">
        <v>178</v>
      </c>
      <c r="B129" s="222" t="s">
        <v>12</v>
      </c>
      <c r="C129" s="223">
        <v>0.27569444444444402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</row>
    <row r="130" spans="1:10" s="225" customFormat="1">
      <c r="A130" s="222" t="s">
        <v>178</v>
      </c>
      <c r="B130" s="222" t="s">
        <v>12</v>
      </c>
      <c r="C130" s="223">
        <v>0.27638888888888902</v>
      </c>
      <c r="D130" s="230">
        <v>0</v>
      </c>
      <c r="E130" s="230">
        <v>0</v>
      </c>
      <c r="F130" s="230">
        <v>0</v>
      </c>
      <c r="G130" s="230">
        <v>0</v>
      </c>
      <c r="H130" s="230">
        <v>0</v>
      </c>
      <c r="I130" s="230">
        <v>0</v>
      </c>
      <c r="J130" s="230">
        <v>0</v>
      </c>
    </row>
    <row r="131" spans="1:10" s="225" customFormat="1">
      <c r="A131" s="222" t="s">
        <v>178</v>
      </c>
      <c r="B131" s="222" t="s">
        <v>12</v>
      </c>
      <c r="C131" s="223">
        <v>0.27708333333333302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</row>
    <row r="132" spans="1:10" s="225" customFormat="1">
      <c r="A132" s="222" t="s">
        <v>178</v>
      </c>
      <c r="B132" s="222" t="s">
        <v>12</v>
      </c>
      <c r="C132" s="223">
        <v>0.27777777777777801</v>
      </c>
      <c r="D132" s="230">
        <v>0</v>
      </c>
      <c r="E132" s="230">
        <v>0</v>
      </c>
      <c r="F132" s="230">
        <v>0</v>
      </c>
      <c r="G132" s="230">
        <v>0</v>
      </c>
      <c r="H132" s="230">
        <v>0</v>
      </c>
      <c r="I132" s="230">
        <v>0</v>
      </c>
      <c r="J132" s="230">
        <v>0</v>
      </c>
    </row>
    <row r="133" spans="1:10" s="225" customFormat="1">
      <c r="A133" s="222" t="s">
        <v>178</v>
      </c>
      <c r="B133" s="222" t="s">
        <v>12</v>
      </c>
      <c r="C133" s="223">
        <v>0.27847222222222201</v>
      </c>
      <c r="D133" s="230">
        <v>0</v>
      </c>
      <c r="E133" s="230">
        <v>0</v>
      </c>
      <c r="F133" s="230">
        <v>0</v>
      </c>
      <c r="G133" s="230">
        <v>0</v>
      </c>
      <c r="H133" s="230">
        <v>0</v>
      </c>
      <c r="I133" s="230">
        <v>0</v>
      </c>
      <c r="J133" s="230">
        <v>0</v>
      </c>
    </row>
    <row r="134" spans="1:10" s="225" customFormat="1">
      <c r="A134" s="222" t="s">
        <v>178</v>
      </c>
      <c r="B134" s="222" t="s">
        <v>12</v>
      </c>
      <c r="C134" s="223">
        <v>0.27916666666666701</v>
      </c>
      <c r="D134" s="230">
        <v>0</v>
      </c>
      <c r="E134" s="230">
        <v>0</v>
      </c>
      <c r="F134" s="230">
        <v>0</v>
      </c>
      <c r="G134" s="230">
        <v>0</v>
      </c>
      <c r="H134" s="230">
        <v>0</v>
      </c>
      <c r="I134" s="230">
        <v>0</v>
      </c>
      <c r="J134" s="230">
        <v>0</v>
      </c>
    </row>
    <row r="135" spans="1:10" s="225" customFormat="1">
      <c r="A135" s="222" t="s">
        <v>178</v>
      </c>
      <c r="B135" s="222" t="s">
        <v>12</v>
      </c>
      <c r="C135" s="223">
        <v>0.27986111111111101</v>
      </c>
      <c r="D135" s="230">
        <v>0</v>
      </c>
      <c r="E135" s="230">
        <v>0</v>
      </c>
      <c r="F135" s="230">
        <v>0</v>
      </c>
      <c r="G135" s="230">
        <v>0</v>
      </c>
      <c r="H135" s="230">
        <v>0</v>
      </c>
      <c r="I135" s="230">
        <v>0</v>
      </c>
      <c r="J135" s="230">
        <v>0</v>
      </c>
    </row>
    <row r="136" spans="1:10" s="229" customFormat="1">
      <c r="A136" s="226" t="s">
        <v>178</v>
      </c>
      <c r="B136" s="226" t="s">
        <v>12</v>
      </c>
      <c r="C136" s="227">
        <v>0.280555555555556</v>
      </c>
      <c r="D136" s="231">
        <v>0</v>
      </c>
      <c r="E136" s="231">
        <v>0</v>
      </c>
      <c r="F136" s="231">
        <v>0</v>
      </c>
      <c r="G136" s="231">
        <v>0</v>
      </c>
      <c r="H136" s="231">
        <v>0</v>
      </c>
      <c r="I136" s="231">
        <v>0</v>
      </c>
      <c r="J136" s="231">
        <v>0</v>
      </c>
    </row>
    <row r="137" spans="1:10" s="225" customFormat="1">
      <c r="A137" s="222" t="s">
        <v>178</v>
      </c>
      <c r="B137" s="222" t="s">
        <v>12</v>
      </c>
      <c r="C137" s="223">
        <v>0.28125</v>
      </c>
      <c r="D137" s="230">
        <v>0</v>
      </c>
      <c r="E137" s="230">
        <v>0</v>
      </c>
      <c r="F137" s="230">
        <v>0</v>
      </c>
      <c r="G137" s="230">
        <v>0</v>
      </c>
      <c r="H137" s="230">
        <v>0</v>
      </c>
      <c r="I137" s="230">
        <v>0</v>
      </c>
      <c r="J137" s="230">
        <v>0</v>
      </c>
    </row>
    <row r="138" spans="1:10" s="225" customFormat="1">
      <c r="A138" s="222" t="s">
        <v>178</v>
      </c>
      <c r="B138" s="222" t="s">
        <v>12</v>
      </c>
      <c r="C138" s="223">
        <v>0.281944444444444</v>
      </c>
      <c r="D138" s="230">
        <v>0</v>
      </c>
      <c r="E138" s="230">
        <v>0</v>
      </c>
      <c r="F138" s="230">
        <v>0</v>
      </c>
      <c r="G138" s="230">
        <v>0</v>
      </c>
      <c r="H138" s="230">
        <v>0</v>
      </c>
      <c r="I138" s="230">
        <v>0</v>
      </c>
      <c r="J138" s="230">
        <v>0</v>
      </c>
    </row>
    <row r="139" spans="1:10" s="225" customFormat="1">
      <c r="A139" s="222" t="s">
        <v>178</v>
      </c>
      <c r="B139" s="222" t="s">
        <v>12</v>
      </c>
      <c r="C139" s="223">
        <v>0.28263888888888899</v>
      </c>
      <c r="D139" s="230">
        <v>0</v>
      </c>
      <c r="E139" s="230">
        <v>0</v>
      </c>
      <c r="F139" s="230">
        <v>0</v>
      </c>
      <c r="G139" s="230">
        <v>0</v>
      </c>
      <c r="H139" s="230">
        <v>0</v>
      </c>
      <c r="I139" s="230">
        <v>0</v>
      </c>
      <c r="J139" s="230">
        <v>0</v>
      </c>
    </row>
    <row r="140" spans="1:10" s="225" customFormat="1">
      <c r="A140" s="222" t="s">
        <v>178</v>
      </c>
      <c r="B140" s="222" t="s">
        <v>12</v>
      </c>
      <c r="C140" s="223">
        <v>0.28333333333333299</v>
      </c>
      <c r="D140" s="230">
        <v>0</v>
      </c>
      <c r="E140" s="230">
        <v>0</v>
      </c>
      <c r="F140" s="230">
        <v>0</v>
      </c>
      <c r="G140" s="230">
        <v>0</v>
      </c>
      <c r="H140" s="230">
        <v>0</v>
      </c>
      <c r="I140" s="230">
        <v>0</v>
      </c>
      <c r="J140" s="230">
        <v>0</v>
      </c>
    </row>
    <row r="141" spans="1:10" s="225" customFormat="1">
      <c r="A141" s="222" t="s">
        <v>178</v>
      </c>
      <c r="B141" s="222" t="s">
        <v>12</v>
      </c>
      <c r="C141" s="223">
        <v>0.28402777777777799</v>
      </c>
      <c r="D141" s="230">
        <v>0</v>
      </c>
      <c r="E141" s="230">
        <v>0</v>
      </c>
      <c r="F141" s="230">
        <v>0</v>
      </c>
      <c r="G141" s="230">
        <v>0</v>
      </c>
      <c r="H141" s="230">
        <v>0</v>
      </c>
      <c r="I141" s="230">
        <v>0</v>
      </c>
      <c r="J141" s="230">
        <v>0</v>
      </c>
    </row>
    <row r="142" spans="1:10" s="225" customFormat="1">
      <c r="A142" s="222" t="s">
        <v>178</v>
      </c>
      <c r="B142" s="222" t="s">
        <v>12</v>
      </c>
      <c r="C142" s="223">
        <v>0.28472222222222199</v>
      </c>
      <c r="D142" s="230">
        <v>0</v>
      </c>
      <c r="E142" s="230">
        <v>0</v>
      </c>
      <c r="F142" s="230">
        <v>0</v>
      </c>
      <c r="G142" s="230">
        <v>0</v>
      </c>
      <c r="H142" s="230">
        <v>0</v>
      </c>
      <c r="I142" s="230">
        <v>0</v>
      </c>
      <c r="J142" s="230">
        <v>0</v>
      </c>
    </row>
    <row r="143" spans="1:10" s="225" customFormat="1">
      <c r="A143" s="222" t="s">
        <v>178</v>
      </c>
      <c r="B143" s="222" t="s">
        <v>12</v>
      </c>
      <c r="C143" s="223">
        <v>0.28541666666666698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</row>
    <row r="144" spans="1:10" s="225" customFormat="1">
      <c r="A144" s="222" t="s">
        <v>178</v>
      </c>
      <c r="B144" s="222" t="s">
        <v>12</v>
      </c>
      <c r="C144" s="223">
        <v>0.28611111111111098</v>
      </c>
      <c r="D144" s="230">
        <v>0</v>
      </c>
      <c r="E144" s="230">
        <v>0</v>
      </c>
      <c r="F144" s="230">
        <v>0</v>
      </c>
      <c r="G144" s="230">
        <v>0</v>
      </c>
      <c r="H144" s="230">
        <v>0</v>
      </c>
      <c r="I144" s="230">
        <v>0</v>
      </c>
      <c r="J144" s="230">
        <v>0</v>
      </c>
    </row>
    <row r="145" spans="1:10" s="225" customFormat="1">
      <c r="A145" s="222" t="s">
        <v>178</v>
      </c>
      <c r="B145" s="222" t="s">
        <v>12</v>
      </c>
      <c r="C145" s="223">
        <v>0.28680555555555598</v>
      </c>
      <c r="D145" s="230">
        <v>0</v>
      </c>
      <c r="E145" s="230">
        <v>0</v>
      </c>
      <c r="F145" s="230">
        <v>0</v>
      </c>
      <c r="G145" s="230">
        <v>0</v>
      </c>
      <c r="H145" s="230">
        <v>0</v>
      </c>
      <c r="I145" s="230">
        <v>0</v>
      </c>
      <c r="J145" s="230">
        <v>0</v>
      </c>
    </row>
    <row r="146" spans="1:10" s="225" customFormat="1">
      <c r="A146" s="222" t="s">
        <v>178</v>
      </c>
      <c r="B146" s="222" t="s">
        <v>12</v>
      </c>
      <c r="C146" s="223">
        <v>0.28749999999999998</v>
      </c>
      <c r="D146" s="230">
        <v>0</v>
      </c>
      <c r="E146" s="230">
        <v>0</v>
      </c>
      <c r="F146" s="230">
        <v>0</v>
      </c>
      <c r="G146" s="230">
        <v>0</v>
      </c>
      <c r="H146" s="230">
        <v>0</v>
      </c>
      <c r="I146" s="230">
        <v>0</v>
      </c>
      <c r="J146" s="230">
        <v>0</v>
      </c>
    </row>
    <row r="147" spans="1:10" s="225" customFormat="1">
      <c r="A147" s="222" t="s">
        <v>178</v>
      </c>
      <c r="B147" s="222" t="s">
        <v>12</v>
      </c>
      <c r="C147" s="223">
        <v>0.28819444444444398</v>
      </c>
      <c r="D147" s="230">
        <v>0</v>
      </c>
      <c r="E147" s="230">
        <v>0</v>
      </c>
      <c r="F147" s="230">
        <v>0</v>
      </c>
      <c r="G147" s="230">
        <v>0</v>
      </c>
      <c r="H147" s="230">
        <v>0</v>
      </c>
      <c r="I147" s="230">
        <v>0</v>
      </c>
      <c r="J147" s="230">
        <v>0</v>
      </c>
    </row>
    <row r="148" spans="1:10" s="225" customFormat="1">
      <c r="A148" s="222" t="s">
        <v>178</v>
      </c>
      <c r="B148" s="222" t="s">
        <v>12</v>
      </c>
      <c r="C148" s="223">
        <v>0.28888888888888897</v>
      </c>
      <c r="D148" s="230">
        <v>0</v>
      </c>
      <c r="E148" s="230">
        <v>0</v>
      </c>
      <c r="F148" s="230">
        <v>0</v>
      </c>
      <c r="G148" s="230">
        <v>0</v>
      </c>
      <c r="H148" s="230">
        <v>0</v>
      </c>
      <c r="I148" s="230">
        <v>0</v>
      </c>
      <c r="J148" s="230">
        <v>0</v>
      </c>
    </row>
    <row r="149" spans="1:10" s="225" customFormat="1">
      <c r="A149" s="222" t="s">
        <v>178</v>
      </c>
      <c r="B149" s="222" t="s">
        <v>12</v>
      </c>
      <c r="C149" s="223">
        <v>0.28958333333333303</v>
      </c>
      <c r="D149" s="230">
        <v>0</v>
      </c>
      <c r="E149" s="230">
        <v>0</v>
      </c>
      <c r="F149" s="230">
        <v>0</v>
      </c>
      <c r="G149" s="230">
        <v>0</v>
      </c>
      <c r="H149" s="230">
        <v>0</v>
      </c>
      <c r="I149" s="230">
        <v>0</v>
      </c>
      <c r="J149" s="230">
        <v>0</v>
      </c>
    </row>
    <row r="150" spans="1:10" s="225" customFormat="1">
      <c r="A150" s="222" t="s">
        <v>178</v>
      </c>
      <c r="B150" s="222" t="s">
        <v>12</v>
      </c>
      <c r="C150" s="223">
        <v>0.29027777777777802</v>
      </c>
      <c r="D150" s="230">
        <v>0</v>
      </c>
      <c r="E150" s="230">
        <v>0</v>
      </c>
      <c r="F150" s="230">
        <v>0</v>
      </c>
      <c r="G150" s="230">
        <v>0</v>
      </c>
      <c r="H150" s="230">
        <v>0</v>
      </c>
      <c r="I150" s="230">
        <v>0</v>
      </c>
      <c r="J150" s="230">
        <v>0</v>
      </c>
    </row>
    <row r="151" spans="1:10" s="229" customFormat="1">
      <c r="A151" s="226" t="s">
        <v>178</v>
      </c>
      <c r="B151" s="226" t="s">
        <v>12</v>
      </c>
      <c r="C151" s="227">
        <v>0.29097222222222202</v>
      </c>
      <c r="D151" s="231">
        <v>0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0</v>
      </c>
    </row>
    <row r="152" spans="1:10" s="225" customFormat="1">
      <c r="A152" s="222" t="s">
        <v>178</v>
      </c>
      <c r="B152" s="222" t="s">
        <v>12</v>
      </c>
      <c r="C152" s="223">
        <v>0.29166666666666702</v>
      </c>
      <c r="D152" s="230">
        <v>0</v>
      </c>
      <c r="E152" s="230">
        <v>0</v>
      </c>
      <c r="F152" s="230">
        <v>0</v>
      </c>
      <c r="G152" s="230">
        <v>0</v>
      </c>
      <c r="H152" s="230">
        <v>0</v>
      </c>
      <c r="I152" s="230">
        <v>0</v>
      </c>
      <c r="J152" s="230">
        <v>0</v>
      </c>
    </row>
    <row r="153" spans="1:10" s="225" customFormat="1">
      <c r="A153" s="222" t="s">
        <v>178</v>
      </c>
      <c r="B153" s="222" t="s">
        <v>12</v>
      </c>
      <c r="C153" s="223">
        <v>0.29236111111111102</v>
      </c>
      <c r="D153" s="230">
        <v>0</v>
      </c>
      <c r="E153" s="230">
        <v>0</v>
      </c>
      <c r="F153" s="230">
        <v>0</v>
      </c>
      <c r="G153" s="230">
        <v>0</v>
      </c>
      <c r="H153" s="230">
        <v>0</v>
      </c>
      <c r="I153" s="230">
        <v>0</v>
      </c>
      <c r="J153" s="230">
        <v>0</v>
      </c>
    </row>
    <row r="154" spans="1:10" s="225" customFormat="1">
      <c r="A154" s="222" t="s">
        <v>178</v>
      </c>
      <c r="B154" s="222" t="s">
        <v>12</v>
      </c>
      <c r="C154" s="223">
        <v>0.29305555555555501</v>
      </c>
      <c r="D154" s="230">
        <v>0</v>
      </c>
      <c r="E154" s="230">
        <v>0</v>
      </c>
      <c r="F154" s="230">
        <v>0</v>
      </c>
      <c r="G154" s="230">
        <v>0</v>
      </c>
      <c r="H154" s="230">
        <v>0</v>
      </c>
      <c r="I154" s="230">
        <v>0</v>
      </c>
      <c r="J154" s="230">
        <v>0</v>
      </c>
    </row>
    <row r="155" spans="1:10" s="225" customFormat="1">
      <c r="A155" s="222" t="s">
        <v>178</v>
      </c>
      <c r="B155" s="222" t="s">
        <v>12</v>
      </c>
      <c r="C155" s="223">
        <v>0.29375000000000001</v>
      </c>
      <c r="D155" s="230">
        <v>0</v>
      </c>
      <c r="E155" s="230">
        <v>0</v>
      </c>
      <c r="F155" s="230">
        <v>0</v>
      </c>
      <c r="G155" s="230">
        <v>0</v>
      </c>
      <c r="H155" s="230">
        <v>0</v>
      </c>
      <c r="I155" s="230">
        <v>0</v>
      </c>
      <c r="J155" s="230">
        <v>0</v>
      </c>
    </row>
    <row r="156" spans="1:10" s="225" customFormat="1">
      <c r="A156" s="222" t="s">
        <v>178</v>
      </c>
      <c r="B156" s="222" t="s">
        <v>12</v>
      </c>
      <c r="C156" s="223">
        <v>0.29444444444444401</v>
      </c>
      <c r="D156" s="230">
        <v>0</v>
      </c>
      <c r="E156" s="230">
        <v>0</v>
      </c>
      <c r="F156" s="230">
        <v>0</v>
      </c>
      <c r="G156" s="230">
        <v>0</v>
      </c>
      <c r="H156" s="230">
        <v>0</v>
      </c>
      <c r="I156" s="230">
        <v>0</v>
      </c>
      <c r="J156" s="230">
        <v>0</v>
      </c>
    </row>
    <row r="157" spans="1:10" s="225" customFormat="1">
      <c r="A157" s="222" t="s">
        <v>178</v>
      </c>
      <c r="B157" s="222" t="s">
        <v>12</v>
      </c>
      <c r="C157" s="223">
        <v>0.29513888888888901</v>
      </c>
      <c r="D157" s="230">
        <v>0</v>
      </c>
      <c r="E157" s="230">
        <v>0</v>
      </c>
      <c r="F157" s="230">
        <v>0</v>
      </c>
      <c r="G157" s="230">
        <v>0</v>
      </c>
      <c r="H157" s="230">
        <v>0</v>
      </c>
      <c r="I157" s="230">
        <v>0</v>
      </c>
      <c r="J157" s="230">
        <v>0</v>
      </c>
    </row>
    <row r="158" spans="1:10" s="225" customFormat="1">
      <c r="A158" s="222" t="s">
        <v>178</v>
      </c>
      <c r="B158" s="222" t="s">
        <v>12</v>
      </c>
      <c r="C158" s="223">
        <v>0.295833333333333</v>
      </c>
      <c r="D158" s="230">
        <v>0</v>
      </c>
      <c r="E158" s="230">
        <v>0</v>
      </c>
      <c r="F158" s="230">
        <v>0</v>
      </c>
      <c r="G158" s="230">
        <v>0</v>
      </c>
      <c r="H158" s="230">
        <v>0</v>
      </c>
      <c r="I158" s="230">
        <v>0</v>
      </c>
      <c r="J158" s="230">
        <v>0</v>
      </c>
    </row>
    <row r="159" spans="1:10" s="225" customFormat="1">
      <c r="A159" s="222" t="s">
        <v>178</v>
      </c>
      <c r="B159" s="222" t="s">
        <v>12</v>
      </c>
      <c r="C159" s="223">
        <v>0.296527777777778</v>
      </c>
      <c r="D159" s="230">
        <v>0</v>
      </c>
      <c r="E159" s="230">
        <v>0</v>
      </c>
      <c r="F159" s="230">
        <v>0</v>
      </c>
      <c r="G159" s="230">
        <v>0</v>
      </c>
      <c r="H159" s="230">
        <v>0</v>
      </c>
      <c r="I159" s="230">
        <v>0</v>
      </c>
      <c r="J159" s="230">
        <v>0</v>
      </c>
    </row>
    <row r="160" spans="1:10" s="225" customFormat="1">
      <c r="A160" s="222" t="s">
        <v>178</v>
      </c>
      <c r="B160" s="222" t="s">
        <v>12</v>
      </c>
      <c r="C160" s="223">
        <v>0.297222222222222</v>
      </c>
      <c r="D160" s="230">
        <v>0</v>
      </c>
      <c r="E160" s="230">
        <v>0</v>
      </c>
      <c r="F160" s="230">
        <v>0</v>
      </c>
      <c r="G160" s="230">
        <v>0</v>
      </c>
      <c r="H160" s="230">
        <v>0</v>
      </c>
      <c r="I160" s="230">
        <v>0</v>
      </c>
      <c r="J160" s="230">
        <v>0</v>
      </c>
    </row>
    <row r="161" spans="1:10" s="225" customFormat="1">
      <c r="A161" s="222" t="s">
        <v>178</v>
      </c>
      <c r="B161" s="222" t="s">
        <v>12</v>
      </c>
      <c r="C161" s="223">
        <v>0.297916666666666</v>
      </c>
      <c r="D161" s="230">
        <v>0</v>
      </c>
      <c r="E161" s="230">
        <v>0</v>
      </c>
      <c r="F161" s="230">
        <v>0</v>
      </c>
      <c r="G161" s="230">
        <v>0</v>
      </c>
      <c r="H161" s="230">
        <v>0</v>
      </c>
      <c r="I161" s="230">
        <v>0</v>
      </c>
      <c r="J161" s="230">
        <v>0</v>
      </c>
    </row>
    <row r="162" spans="1:10" s="225" customFormat="1">
      <c r="A162" s="222" t="s">
        <v>178</v>
      </c>
      <c r="B162" s="222" t="s">
        <v>12</v>
      </c>
      <c r="C162" s="223">
        <v>0.29861111111111099</v>
      </c>
      <c r="D162" s="230">
        <v>0</v>
      </c>
      <c r="E162" s="230">
        <v>0</v>
      </c>
      <c r="F162" s="230">
        <v>0</v>
      </c>
      <c r="G162" s="230">
        <v>0</v>
      </c>
      <c r="H162" s="230">
        <v>0</v>
      </c>
      <c r="I162" s="230">
        <v>0</v>
      </c>
      <c r="J162" s="230">
        <v>0</v>
      </c>
    </row>
    <row r="163" spans="1:10" s="225" customFormat="1">
      <c r="A163" s="222" t="s">
        <v>178</v>
      </c>
      <c r="B163" s="222" t="s">
        <v>12</v>
      </c>
      <c r="C163" s="223">
        <v>0.29930555555555499</v>
      </c>
      <c r="D163" s="230">
        <v>0</v>
      </c>
      <c r="E163" s="230">
        <v>0</v>
      </c>
      <c r="F163" s="230">
        <v>0</v>
      </c>
      <c r="G163" s="230">
        <v>0</v>
      </c>
      <c r="H163" s="230">
        <v>0</v>
      </c>
      <c r="I163" s="230">
        <v>0</v>
      </c>
      <c r="J163" s="230">
        <v>0</v>
      </c>
    </row>
    <row r="164" spans="1:10" s="225" customFormat="1">
      <c r="A164" s="222" t="s">
        <v>178</v>
      </c>
      <c r="B164" s="222" t="s">
        <v>12</v>
      </c>
      <c r="C164" s="223">
        <v>0.3</v>
      </c>
      <c r="D164" s="230">
        <v>0</v>
      </c>
      <c r="E164" s="230">
        <v>0</v>
      </c>
      <c r="F164" s="230">
        <v>0</v>
      </c>
      <c r="G164" s="230">
        <v>0</v>
      </c>
      <c r="H164" s="230">
        <v>0</v>
      </c>
      <c r="I164" s="230">
        <v>0</v>
      </c>
      <c r="J164" s="230">
        <v>0</v>
      </c>
    </row>
    <row r="165" spans="1:10" s="225" customFormat="1">
      <c r="A165" s="222" t="s">
        <v>178</v>
      </c>
      <c r="B165" s="222" t="s">
        <v>12</v>
      </c>
      <c r="C165" s="223">
        <v>0.30069444444444399</v>
      </c>
      <c r="D165" s="230">
        <v>0</v>
      </c>
      <c r="E165" s="230">
        <v>0</v>
      </c>
      <c r="F165" s="230">
        <v>0</v>
      </c>
      <c r="G165" s="230">
        <v>0</v>
      </c>
      <c r="H165" s="230">
        <v>0</v>
      </c>
      <c r="I165" s="230">
        <v>0</v>
      </c>
      <c r="J165" s="230">
        <v>0</v>
      </c>
    </row>
    <row r="166" spans="1:10" s="229" customFormat="1">
      <c r="A166" s="226" t="s">
        <v>178</v>
      </c>
      <c r="B166" s="226" t="s">
        <v>12</v>
      </c>
      <c r="C166" s="227">
        <v>0.30138888888888898</v>
      </c>
      <c r="D166" s="231">
        <v>0</v>
      </c>
      <c r="E166" s="231">
        <v>0</v>
      </c>
      <c r="F166" s="231">
        <v>0</v>
      </c>
      <c r="G166" s="231">
        <v>0</v>
      </c>
      <c r="H166" s="231">
        <v>0</v>
      </c>
      <c r="I166" s="231">
        <v>0</v>
      </c>
      <c r="J166" s="231">
        <v>0</v>
      </c>
    </row>
    <row r="167" spans="1:10" s="225" customFormat="1">
      <c r="A167" s="222" t="s">
        <v>178</v>
      </c>
      <c r="B167" s="222" t="s">
        <v>12</v>
      </c>
      <c r="C167" s="223">
        <v>0.30208333333333298</v>
      </c>
      <c r="D167" s="230">
        <v>0</v>
      </c>
      <c r="E167" s="230">
        <v>0</v>
      </c>
      <c r="F167" s="230">
        <v>0</v>
      </c>
      <c r="G167" s="230">
        <v>0</v>
      </c>
      <c r="H167" s="230">
        <v>0</v>
      </c>
      <c r="I167" s="230">
        <v>0</v>
      </c>
      <c r="J167" s="230">
        <v>0</v>
      </c>
    </row>
    <row r="168" spans="1:10" s="225" customFormat="1">
      <c r="A168" s="222" t="s">
        <v>178</v>
      </c>
      <c r="B168" s="222" t="s">
        <v>12</v>
      </c>
      <c r="C168" s="223">
        <v>0.30277777777777798</v>
      </c>
      <c r="D168" s="230">
        <v>0</v>
      </c>
      <c r="E168" s="230">
        <v>0</v>
      </c>
      <c r="F168" s="230">
        <v>0</v>
      </c>
      <c r="G168" s="230">
        <v>0</v>
      </c>
      <c r="H168" s="230">
        <v>0</v>
      </c>
      <c r="I168" s="230">
        <v>0</v>
      </c>
      <c r="J168" s="230">
        <v>0</v>
      </c>
    </row>
    <row r="169" spans="1:10" s="225" customFormat="1">
      <c r="A169" s="222" t="s">
        <v>178</v>
      </c>
      <c r="B169" s="222" t="s">
        <v>12</v>
      </c>
      <c r="C169" s="223">
        <v>0.30347222222222198</v>
      </c>
      <c r="D169" s="230">
        <v>0</v>
      </c>
      <c r="E169" s="230">
        <v>0</v>
      </c>
      <c r="F169" s="230">
        <v>0</v>
      </c>
      <c r="G169" s="230">
        <v>0</v>
      </c>
      <c r="H169" s="230">
        <v>0</v>
      </c>
      <c r="I169" s="230">
        <v>0</v>
      </c>
      <c r="J169" s="230">
        <v>0</v>
      </c>
    </row>
    <row r="170" spans="1:10" s="225" customFormat="1">
      <c r="A170" s="222" t="s">
        <v>178</v>
      </c>
      <c r="B170" s="222" t="s">
        <v>12</v>
      </c>
      <c r="C170" s="223">
        <v>0.30416666666666697</v>
      </c>
      <c r="D170" s="230">
        <v>0</v>
      </c>
      <c r="E170" s="230">
        <v>0</v>
      </c>
      <c r="F170" s="230">
        <v>0</v>
      </c>
      <c r="G170" s="230">
        <v>0</v>
      </c>
      <c r="H170" s="230">
        <v>0</v>
      </c>
      <c r="I170" s="230">
        <v>0</v>
      </c>
      <c r="J170" s="230">
        <v>0</v>
      </c>
    </row>
    <row r="171" spans="1:10" s="225" customFormat="1">
      <c r="A171" s="222" t="s">
        <v>178</v>
      </c>
      <c r="B171" s="222" t="s">
        <v>12</v>
      </c>
      <c r="C171" s="223">
        <v>0.30486111111111103</v>
      </c>
      <c r="D171" s="230">
        <v>0</v>
      </c>
      <c r="E171" s="230">
        <v>0</v>
      </c>
      <c r="F171" s="230">
        <v>0</v>
      </c>
      <c r="G171" s="230">
        <v>0</v>
      </c>
      <c r="H171" s="230">
        <v>0</v>
      </c>
      <c r="I171" s="230">
        <v>0</v>
      </c>
      <c r="J171" s="230">
        <v>0</v>
      </c>
    </row>
    <row r="172" spans="1:10" s="225" customFormat="1">
      <c r="A172" s="222" t="s">
        <v>178</v>
      </c>
      <c r="B172" s="222" t="s">
        <v>12</v>
      </c>
      <c r="C172" s="223">
        <v>0.30555555555555503</v>
      </c>
      <c r="D172" s="230">
        <v>0</v>
      </c>
      <c r="E172" s="230">
        <v>0</v>
      </c>
      <c r="F172" s="230">
        <v>0</v>
      </c>
      <c r="G172" s="230">
        <v>0</v>
      </c>
      <c r="H172" s="230">
        <v>0</v>
      </c>
      <c r="I172" s="230">
        <v>0</v>
      </c>
      <c r="J172" s="230">
        <v>0</v>
      </c>
    </row>
    <row r="173" spans="1:10" s="225" customFormat="1">
      <c r="A173" s="222" t="s">
        <v>178</v>
      </c>
      <c r="B173" s="222" t="s">
        <v>12</v>
      </c>
      <c r="C173" s="223">
        <v>0.30625000000000002</v>
      </c>
      <c r="D173" s="230">
        <v>0</v>
      </c>
      <c r="E173" s="230">
        <v>0</v>
      </c>
      <c r="F173" s="230">
        <v>0</v>
      </c>
      <c r="G173" s="230">
        <v>0</v>
      </c>
      <c r="H173" s="230">
        <v>0</v>
      </c>
      <c r="I173" s="230">
        <v>0</v>
      </c>
      <c r="J173" s="230">
        <v>0</v>
      </c>
    </row>
    <row r="174" spans="1:10" s="225" customFormat="1">
      <c r="A174" s="222" t="s">
        <v>178</v>
      </c>
      <c r="B174" s="222" t="s">
        <v>12</v>
      </c>
      <c r="C174" s="223">
        <v>0.30694444444444402</v>
      </c>
      <c r="D174" s="230">
        <v>0</v>
      </c>
      <c r="E174" s="230">
        <v>0</v>
      </c>
      <c r="F174" s="230">
        <v>0</v>
      </c>
      <c r="G174" s="230">
        <v>0</v>
      </c>
      <c r="H174" s="230">
        <v>0</v>
      </c>
      <c r="I174" s="230">
        <v>0</v>
      </c>
      <c r="J174" s="230">
        <v>0</v>
      </c>
    </row>
    <row r="175" spans="1:10" s="225" customFormat="1">
      <c r="A175" s="222" t="s">
        <v>178</v>
      </c>
      <c r="B175" s="222" t="s">
        <v>12</v>
      </c>
      <c r="C175" s="223">
        <v>0.30763888888888902</v>
      </c>
      <c r="D175" s="230">
        <v>0</v>
      </c>
      <c r="E175" s="230">
        <v>0</v>
      </c>
      <c r="F175" s="230">
        <v>0</v>
      </c>
      <c r="G175" s="230">
        <v>0</v>
      </c>
      <c r="H175" s="230">
        <v>0</v>
      </c>
      <c r="I175" s="230">
        <v>0</v>
      </c>
      <c r="J175" s="230">
        <v>0</v>
      </c>
    </row>
    <row r="176" spans="1:10" s="225" customFormat="1">
      <c r="A176" s="222" t="s">
        <v>178</v>
      </c>
      <c r="B176" s="222" t="s">
        <v>12</v>
      </c>
      <c r="C176" s="223">
        <v>0.30833333333333302</v>
      </c>
      <c r="D176" s="230">
        <v>0</v>
      </c>
      <c r="E176" s="230">
        <v>0</v>
      </c>
      <c r="F176" s="230">
        <v>0</v>
      </c>
      <c r="G176" s="230">
        <v>0</v>
      </c>
      <c r="H176" s="230">
        <v>0</v>
      </c>
      <c r="I176" s="230">
        <v>0</v>
      </c>
      <c r="J176" s="230">
        <v>0</v>
      </c>
    </row>
    <row r="177" spans="1:10" s="225" customFormat="1">
      <c r="A177" s="222" t="s">
        <v>178</v>
      </c>
      <c r="B177" s="222" t="s">
        <v>12</v>
      </c>
      <c r="C177" s="223">
        <v>0.30902777777777801</v>
      </c>
      <c r="D177" s="230">
        <v>0</v>
      </c>
      <c r="E177" s="230">
        <v>0</v>
      </c>
      <c r="F177" s="230">
        <v>0</v>
      </c>
      <c r="G177" s="230">
        <v>0</v>
      </c>
      <c r="H177" s="230">
        <v>0</v>
      </c>
      <c r="I177" s="230">
        <v>0</v>
      </c>
      <c r="J177" s="230">
        <v>0</v>
      </c>
    </row>
    <row r="178" spans="1:10" s="225" customFormat="1">
      <c r="A178" s="222" t="s">
        <v>178</v>
      </c>
      <c r="B178" s="222" t="s">
        <v>12</v>
      </c>
      <c r="C178" s="223">
        <v>0.30972222222222201</v>
      </c>
      <c r="D178" s="230">
        <v>0</v>
      </c>
      <c r="E178" s="230">
        <v>0</v>
      </c>
      <c r="F178" s="230">
        <v>0</v>
      </c>
      <c r="G178" s="230">
        <v>0</v>
      </c>
      <c r="H178" s="230">
        <v>0</v>
      </c>
      <c r="I178" s="230">
        <v>0</v>
      </c>
      <c r="J178" s="230">
        <v>0</v>
      </c>
    </row>
    <row r="179" spans="1:10" s="225" customFormat="1">
      <c r="A179" s="222" t="s">
        <v>178</v>
      </c>
      <c r="B179" s="222" t="s">
        <v>12</v>
      </c>
      <c r="C179" s="223">
        <v>0.31041666666666701</v>
      </c>
      <c r="D179" s="230">
        <v>0</v>
      </c>
      <c r="E179" s="230">
        <v>0</v>
      </c>
      <c r="F179" s="230">
        <v>0</v>
      </c>
      <c r="G179" s="230">
        <v>0</v>
      </c>
      <c r="H179" s="230">
        <v>0</v>
      </c>
      <c r="I179" s="230">
        <v>0</v>
      </c>
      <c r="J179" s="230">
        <v>0</v>
      </c>
    </row>
    <row r="180" spans="1:10" s="225" customFormat="1">
      <c r="A180" s="222" t="s">
        <v>178</v>
      </c>
      <c r="B180" s="222" t="s">
        <v>12</v>
      </c>
      <c r="C180" s="223">
        <v>0.31111111111111101</v>
      </c>
      <c r="D180" s="230">
        <v>0</v>
      </c>
      <c r="E180" s="230">
        <v>0</v>
      </c>
      <c r="F180" s="230">
        <v>0</v>
      </c>
      <c r="G180" s="230">
        <v>0</v>
      </c>
      <c r="H180" s="230">
        <v>0</v>
      </c>
      <c r="I180" s="230">
        <v>0</v>
      </c>
      <c r="J180" s="230">
        <v>0</v>
      </c>
    </row>
    <row r="181" spans="1:10" s="229" customFormat="1">
      <c r="A181" s="226" t="s">
        <v>178</v>
      </c>
      <c r="B181" s="226" t="s">
        <v>12</v>
      </c>
      <c r="C181" s="227">
        <v>0.311805555555555</v>
      </c>
      <c r="D181" s="231">
        <v>0</v>
      </c>
      <c r="E181" s="231">
        <v>0</v>
      </c>
      <c r="F181" s="231">
        <v>0</v>
      </c>
      <c r="G181" s="231">
        <v>0</v>
      </c>
      <c r="H181" s="231">
        <v>0</v>
      </c>
      <c r="I181" s="231">
        <v>0</v>
      </c>
      <c r="J181" s="231">
        <v>0</v>
      </c>
    </row>
    <row r="182" spans="1:10" s="225" customFormat="1">
      <c r="A182" s="222" t="s">
        <v>178</v>
      </c>
      <c r="B182" s="222" t="s">
        <v>12</v>
      </c>
      <c r="C182" s="223">
        <v>0.3125</v>
      </c>
      <c r="D182" s="230">
        <v>0</v>
      </c>
      <c r="E182" s="230">
        <v>0</v>
      </c>
      <c r="F182" s="230">
        <v>0</v>
      </c>
      <c r="G182" s="230">
        <v>0</v>
      </c>
      <c r="H182" s="230">
        <v>0</v>
      </c>
      <c r="I182" s="230">
        <v>0</v>
      </c>
      <c r="J182" s="230">
        <v>0</v>
      </c>
    </row>
    <row r="183" spans="1:10" s="225" customFormat="1">
      <c r="A183" s="222" t="s">
        <v>178</v>
      </c>
      <c r="B183" s="222" t="s">
        <v>12</v>
      </c>
      <c r="C183" s="223">
        <v>0.313194444444444</v>
      </c>
      <c r="D183" s="230">
        <v>0</v>
      </c>
      <c r="E183" s="230">
        <v>0</v>
      </c>
      <c r="F183" s="230">
        <v>0</v>
      </c>
      <c r="G183" s="230">
        <v>0</v>
      </c>
      <c r="H183" s="230">
        <v>0</v>
      </c>
      <c r="I183" s="230">
        <v>0</v>
      </c>
      <c r="J183" s="230">
        <v>0</v>
      </c>
    </row>
    <row r="184" spans="1:10" s="225" customFormat="1">
      <c r="A184" s="222" t="s">
        <v>178</v>
      </c>
      <c r="B184" s="222" t="s">
        <v>12</v>
      </c>
      <c r="C184" s="223">
        <v>0.31388888888888899</v>
      </c>
      <c r="D184" s="230">
        <v>0</v>
      </c>
      <c r="E184" s="230">
        <v>0</v>
      </c>
      <c r="F184" s="230">
        <v>0</v>
      </c>
      <c r="G184" s="230">
        <v>0</v>
      </c>
      <c r="H184" s="230">
        <v>0</v>
      </c>
      <c r="I184" s="230">
        <v>0</v>
      </c>
      <c r="J184" s="230">
        <v>0</v>
      </c>
    </row>
    <row r="185" spans="1:10" s="225" customFormat="1">
      <c r="A185" s="222" t="s">
        <v>178</v>
      </c>
      <c r="B185" s="222" t="s">
        <v>12</v>
      </c>
      <c r="C185" s="223">
        <v>0.31458333333333299</v>
      </c>
      <c r="D185" s="230">
        <v>0</v>
      </c>
      <c r="E185" s="230">
        <v>0</v>
      </c>
      <c r="F185" s="230">
        <v>0</v>
      </c>
      <c r="G185" s="230">
        <v>0</v>
      </c>
      <c r="H185" s="230">
        <v>0</v>
      </c>
      <c r="I185" s="230">
        <v>0</v>
      </c>
      <c r="J185" s="230">
        <v>0</v>
      </c>
    </row>
    <row r="186" spans="1:10" s="225" customFormat="1">
      <c r="A186" s="222" t="s">
        <v>178</v>
      </c>
      <c r="B186" s="222" t="s">
        <v>12</v>
      </c>
      <c r="C186" s="223">
        <v>0.31527777777777799</v>
      </c>
      <c r="D186" s="230">
        <v>0</v>
      </c>
      <c r="E186" s="230">
        <v>0</v>
      </c>
      <c r="F186" s="230">
        <v>0</v>
      </c>
      <c r="G186" s="230">
        <v>0</v>
      </c>
      <c r="H186" s="230">
        <v>0</v>
      </c>
      <c r="I186" s="230">
        <v>0</v>
      </c>
      <c r="J186" s="230">
        <v>0</v>
      </c>
    </row>
    <row r="187" spans="1:10" s="225" customFormat="1">
      <c r="A187" s="222" t="s">
        <v>178</v>
      </c>
      <c r="B187" s="222" t="s">
        <v>12</v>
      </c>
      <c r="C187" s="223">
        <v>0.31597222222222199</v>
      </c>
      <c r="D187" s="230">
        <v>0</v>
      </c>
      <c r="E187" s="230">
        <v>0</v>
      </c>
      <c r="F187" s="230">
        <v>0</v>
      </c>
      <c r="G187" s="230">
        <v>0</v>
      </c>
      <c r="H187" s="230">
        <v>0</v>
      </c>
      <c r="I187" s="230">
        <v>0</v>
      </c>
      <c r="J187" s="230">
        <v>0</v>
      </c>
    </row>
    <row r="188" spans="1:10" s="225" customFormat="1">
      <c r="A188" s="222" t="s">
        <v>178</v>
      </c>
      <c r="B188" s="222" t="s">
        <v>12</v>
      </c>
      <c r="C188" s="223">
        <v>0.31666666666666698</v>
      </c>
      <c r="D188" s="230">
        <v>0</v>
      </c>
      <c r="E188" s="230">
        <v>0</v>
      </c>
      <c r="F188" s="230">
        <v>0</v>
      </c>
      <c r="G188" s="230">
        <v>0</v>
      </c>
      <c r="H188" s="230">
        <v>0</v>
      </c>
      <c r="I188" s="230">
        <v>0</v>
      </c>
      <c r="J188" s="230">
        <v>0</v>
      </c>
    </row>
    <row r="189" spans="1:10" s="225" customFormat="1">
      <c r="A189" s="222" t="s">
        <v>178</v>
      </c>
      <c r="B189" s="222" t="s">
        <v>12</v>
      </c>
      <c r="C189" s="223">
        <v>0.31736111111111098</v>
      </c>
      <c r="D189" s="230">
        <v>0</v>
      </c>
      <c r="E189" s="230">
        <v>0</v>
      </c>
      <c r="F189" s="230">
        <v>0</v>
      </c>
      <c r="G189" s="230">
        <v>0</v>
      </c>
      <c r="H189" s="230">
        <v>0</v>
      </c>
      <c r="I189" s="230">
        <v>0</v>
      </c>
      <c r="J189" s="230">
        <v>0</v>
      </c>
    </row>
    <row r="190" spans="1:10" s="225" customFormat="1">
      <c r="A190" s="222" t="s">
        <v>178</v>
      </c>
      <c r="B190" s="222" t="s">
        <v>12</v>
      </c>
      <c r="C190" s="223">
        <v>0.31805555555555498</v>
      </c>
      <c r="D190" s="230">
        <v>0</v>
      </c>
      <c r="E190" s="230">
        <v>0</v>
      </c>
      <c r="F190" s="230">
        <v>0</v>
      </c>
      <c r="G190" s="230">
        <v>0</v>
      </c>
      <c r="H190" s="230">
        <v>0</v>
      </c>
      <c r="I190" s="230">
        <v>0</v>
      </c>
      <c r="J190" s="230">
        <v>0</v>
      </c>
    </row>
    <row r="191" spans="1:10" s="225" customFormat="1">
      <c r="A191" s="222" t="s">
        <v>178</v>
      </c>
      <c r="B191" s="222" t="s">
        <v>12</v>
      </c>
      <c r="C191" s="223">
        <v>0.31874999999999998</v>
      </c>
      <c r="D191" s="230">
        <v>0</v>
      </c>
      <c r="E191" s="230">
        <v>0</v>
      </c>
      <c r="F191" s="230">
        <v>0</v>
      </c>
      <c r="G191" s="230">
        <v>0</v>
      </c>
      <c r="H191" s="230">
        <v>0</v>
      </c>
      <c r="I191" s="230">
        <v>0</v>
      </c>
      <c r="J191" s="230">
        <v>0</v>
      </c>
    </row>
    <row r="192" spans="1:10" s="225" customFormat="1">
      <c r="A192" s="222" t="s">
        <v>178</v>
      </c>
      <c r="B192" s="222" t="s">
        <v>12</v>
      </c>
      <c r="C192" s="223">
        <v>0.31944444444444398</v>
      </c>
      <c r="D192" s="230">
        <v>0</v>
      </c>
      <c r="E192" s="230">
        <v>0</v>
      </c>
      <c r="F192" s="230">
        <v>0</v>
      </c>
      <c r="G192" s="230">
        <v>0</v>
      </c>
      <c r="H192" s="230">
        <v>0</v>
      </c>
      <c r="I192" s="230">
        <v>0</v>
      </c>
      <c r="J192" s="230">
        <v>0</v>
      </c>
    </row>
    <row r="193" spans="1:10" s="225" customFormat="1">
      <c r="A193" s="222" t="s">
        <v>178</v>
      </c>
      <c r="B193" s="222" t="s">
        <v>12</v>
      </c>
      <c r="C193" s="223">
        <v>0.32013888888888897</v>
      </c>
      <c r="D193" s="230">
        <v>0</v>
      </c>
      <c r="E193" s="230">
        <v>0</v>
      </c>
      <c r="F193" s="230">
        <v>0</v>
      </c>
      <c r="G193" s="230">
        <v>0</v>
      </c>
      <c r="H193" s="230">
        <v>0</v>
      </c>
      <c r="I193" s="230">
        <v>0</v>
      </c>
      <c r="J193" s="230">
        <v>0</v>
      </c>
    </row>
    <row r="194" spans="1:10" s="225" customFormat="1">
      <c r="A194" s="222" t="s">
        <v>178</v>
      </c>
      <c r="B194" s="222" t="s">
        <v>12</v>
      </c>
      <c r="C194" s="223">
        <v>0.32083333333333303</v>
      </c>
      <c r="D194" s="230">
        <v>0</v>
      </c>
      <c r="E194" s="230">
        <v>0</v>
      </c>
      <c r="F194" s="230">
        <v>0</v>
      </c>
      <c r="G194" s="230">
        <v>0</v>
      </c>
      <c r="H194" s="230">
        <v>0</v>
      </c>
      <c r="I194" s="230">
        <v>0</v>
      </c>
      <c r="J194" s="230">
        <v>0</v>
      </c>
    </row>
    <row r="195" spans="1:10" s="225" customFormat="1">
      <c r="A195" s="222" t="s">
        <v>178</v>
      </c>
      <c r="B195" s="222" t="s">
        <v>12</v>
      </c>
      <c r="C195" s="223">
        <v>0.32152777777777802</v>
      </c>
      <c r="D195" s="230">
        <v>0</v>
      </c>
      <c r="E195" s="230">
        <v>0</v>
      </c>
      <c r="F195" s="230">
        <v>0</v>
      </c>
      <c r="G195" s="230">
        <v>0</v>
      </c>
      <c r="H195" s="230">
        <v>0</v>
      </c>
      <c r="I195" s="230">
        <v>0</v>
      </c>
      <c r="J195" s="230">
        <v>0</v>
      </c>
    </row>
    <row r="196" spans="1:10" s="229" customFormat="1">
      <c r="A196" s="226" t="s">
        <v>178</v>
      </c>
      <c r="B196" s="226" t="s">
        <v>12</v>
      </c>
      <c r="C196" s="227">
        <v>0.32222222222222202</v>
      </c>
      <c r="D196" s="231">
        <v>0</v>
      </c>
      <c r="E196" s="231">
        <v>0</v>
      </c>
      <c r="F196" s="231">
        <v>0</v>
      </c>
      <c r="G196" s="231">
        <v>0</v>
      </c>
      <c r="H196" s="231">
        <v>0</v>
      </c>
      <c r="I196" s="231">
        <v>0</v>
      </c>
      <c r="J196" s="231">
        <v>0</v>
      </c>
    </row>
    <row r="197" spans="1:10" s="225" customFormat="1">
      <c r="A197" s="222" t="s">
        <v>178</v>
      </c>
      <c r="B197" s="222" t="s">
        <v>12</v>
      </c>
      <c r="C197" s="223">
        <v>0.32291666666666602</v>
      </c>
      <c r="D197" s="230">
        <v>0</v>
      </c>
      <c r="E197" s="230">
        <v>0</v>
      </c>
      <c r="F197" s="230">
        <v>0</v>
      </c>
      <c r="G197" s="230">
        <v>0</v>
      </c>
      <c r="H197" s="230">
        <v>0</v>
      </c>
      <c r="I197" s="230">
        <v>0</v>
      </c>
      <c r="J197" s="230">
        <v>0</v>
      </c>
    </row>
    <row r="198" spans="1:10" s="225" customFormat="1">
      <c r="A198" s="222" t="s">
        <v>178</v>
      </c>
      <c r="B198" s="222" t="s">
        <v>12</v>
      </c>
      <c r="C198" s="223">
        <v>0.32361111111111102</v>
      </c>
      <c r="D198" s="230">
        <v>0</v>
      </c>
      <c r="E198" s="230">
        <v>0</v>
      </c>
      <c r="F198" s="230">
        <v>0</v>
      </c>
      <c r="G198" s="230">
        <v>0</v>
      </c>
      <c r="H198" s="230">
        <v>0</v>
      </c>
      <c r="I198" s="230">
        <v>0</v>
      </c>
      <c r="J198" s="230">
        <v>0</v>
      </c>
    </row>
    <row r="199" spans="1:10" s="225" customFormat="1">
      <c r="A199" s="222" t="s">
        <v>178</v>
      </c>
      <c r="B199" s="222" t="s">
        <v>12</v>
      </c>
      <c r="C199" s="223">
        <v>0.32430555555555501</v>
      </c>
      <c r="D199" s="230">
        <v>0</v>
      </c>
      <c r="E199" s="230">
        <v>0</v>
      </c>
      <c r="F199" s="230">
        <v>0</v>
      </c>
      <c r="G199" s="230">
        <v>0</v>
      </c>
      <c r="H199" s="230">
        <v>0</v>
      </c>
      <c r="I199" s="230">
        <v>0</v>
      </c>
      <c r="J199" s="230">
        <v>0</v>
      </c>
    </row>
    <row r="200" spans="1:10" s="225" customFormat="1">
      <c r="A200" s="222" t="s">
        <v>178</v>
      </c>
      <c r="B200" s="222" t="s">
        <v>12</v>
      </c>
      <c r="C200" s="223">
        <v>0.32500000000000001</v>
      </c>
      <c r="D200" s="230">
        <v>0</v>
      </c>
      <c r="E200" s="230">
        <v>0</v>
      </c>
      <c r="F200" s="230">
        <v>0</v>
      </c>
      <c r="G200" s="230">
        <v>0</v>
      </c>
      <c r="H200" s="230">
        <v>0</v>
      </c>
      <c r="I200" s="230">
        <v>0</v>
      </c>
      <c r="J200" s="230">
        <v>0</v>
      </c>
    </row>
    <row r="201" spans="1:10" s="225" customFormat="1">
      <c r="A201" s="222" t="s">
        <v>178</v>
      </c>
      <c r="B201" s="222" t="s">
        <v>12</v>
      </c>
      <c r="C201" s="223">
        <v>0.32569444444444401</v>
      </c>
      <c r="D201" s="230">
        <v>0</v>
      </c>
      <c r="E201" s="230">
        <v>0</v>
      </c>
      <c r="F201" s="230">
        <v>0</v>
      </c>
      <c r="G201" s="230">
        <v>0</v>
      </c>
      <c r="H201" s="230">
        <v>0</v>
      </c>
      <c r="I201" s="230">
        <v>0</v>
      </c>
      <c r="J201" s="230">
        <v>0</v>
      </c>
    </row>
    <row r="202" spans="1:10" s="225" customFormat="1">
      <c r="A202" s="222" t="s">
        <v>178</v>
      </c>
      <c r="B202" s="222" t="s">
        <v>12</v>
      </c>
      <c r="C202" s="223">
        <v>0.32638888888888901</v>
      </c>
      <c r="D202" s="230">
        <v>0</v>
      </c>
      <c r="E202" s="230">
        <v>0</v>
      </c>
      <c r="F202" s="230">
        <v>0</v>
      </c>
      <c r="G202" s="230">
        <v>0</v>
      </c>
      <c r="H202" s="230">
        <v>0</v>
      </c>
      <c r="I202" s="230">
        <v>0</v>
      </c>
      <c r="J202" s="230">
        <v>0</v>
      </c>
    </row>
    <row r="203" spans="1:10" s="225" customFormat="1">
      <c r="A203" s="222" t="s">
        <v>178</v>
      </c>
      <c r="B203" s="222" t="s">
        <v>12</v>
      </c>
      <c r="C203" s="223">
        <v>0.327083333333333</v>
      </c>
      <c r="D203" s="230">
        <v>0</v>
      </c>
      <c r="E203" s="230">
        <v>0</v>
      </c>
      <c r="F203" s="230">
        <v>0</v>
      </c>
      <c r="G203" s="230">
        <v>0</v>
      </c>
      <c r="H203" s="230">
        <v>0</v>
      </c>
      <c r="I203" s="230">
        <v>0</v>
      </c>
      <c r="J203" s="230">
        <v>0</v>
      </c>
    </row>
    <row r="204" spans="1:10" s="225" customFormat="1">
      <c r="A204" s="222" t="s">
        <v>178</v>
      </c>
      <c r="B204" s="222" t="s">
        <v>12</v>
      </c>
      <c r="C204" s="223">
        <v>0.327777777777778</v>
      </c>
      <c r="D204" s="230">
        <v>0</v>
      </c>
      <c r="E204" s="230">
        <v>0</v>
      </c>
      <c r="F204" s="230">
        <v>0</v>
      </c>
      <c r="G204" s="230">
        <v>0</v>
      </c>
      <c r="H204" s="230">
        <v>0</v>
      </c>
      <c r="I204" s="230">
        <v>0</v>
      </c>
      <c r="J204" s="230">
        <v>0</v>
      </c>
    </row>
    <row r="205" spans="1:10" s="225" customFormat="1">
      <c r="A205" s="222" t="s">
        <v>178</v>
      </c>
      <c r="B205" s="222" t="s">
        <v>12</v>
      </c>
      <c r="C205" s="223">
        <v>0.328472222222222</v>
      </c>
      <c r="D205" s="230">
        <v>0</v>
      </c>
      <c r="E205" s="230">
        <v>0</v>
      </c>
      <c r="F205" s="230">
        <v>0</v>
      </c>
      <c r="G205" s="230">
        <v>0</v>
      </c>
      <c r="H205" s="230">
        <v>0</v>
      </c>
      <c r="I205" s="230">
        <v>0</v>
      </c>
      <c r="J205" s="230">
        <v>0</v>
      </c>
    </row>
    <row r="206" spans="1:10" s="225" customFormat="1">
      <c r="A206" s="222" t="s">
        <v>178</v>
      </c>
      <c r="B206" s="222" t="s">
        <v>12</v>
      </c>
      <c r="C206" s="223">
        <v>0.329166666666666</v>
      </c>
      <c r="D206" s="230">
        <v>0</v>
      </c>
      <c r="E206" s="230">
        <v>0</v>
      </c>
      <c r="F206" s="230">
        <v>0</v>
      </c>
      <c r="G206" s="230">
        <v>0</v>
      </c>
      <c r="H206" s="230">
        <v>0</v>
      </c>
      <c r="I206" s="230">
        <v>0</v>
      </c>
      <c r="J206" s="230">
        <v>0</v>
      </c>
    </row>
    <row r="207" spans="1:10" s="225" customFormat="1">
      <c r="A207" s="222" t="s">
        <v>178</v>
      </c>
      <c r="B207" s="222" t="s">
        <v>12</v>
      </c>
      <c r="C207" s="223">
        <v>0.32986111111111099</v>
      </c>
      <c r="D207" s="230">
        <v>0</v>
      </c>
      <c r="E207" s="230">
        <v>0</v>
      </c>
      <c r="F207" s="230">
        <v>0</v>
      </c>
      <c r="G207" s="230">
        <v>0</v>
      </c>
      <c r="H207" s="230">
        <v>0</v>
      </c>
      <c r="I207" s="230">
        <v>0</v>
      </c>
      <c r="J207" s="230">
        <v>0</v>
      </c>
    </row>
    <row r="208" spans="1:10" s="225" customFormat="1">
      <c r="A208" s="222" t="s">
        <v>178</v>
      </c>
      <c r="B208" s="222" t="s">
        <v>12</v>
      </c>
      <c r="C208" s="223">
        <v>0.33055555555555499</v>
      </c>
      <c r="D208" s="230">
        <v>0</v>
      </c>
      <c r="E208" s="230">
        <v>0</v>
      </c>
      <c r="F208" s="230">
        <v>0</v>
      </c>
      <c r="G208" s="230">
        <v>0</v>
      </c>
      <c r="H208" s="230">
        <v>0</v>
      </c>
      <c r="I208" s="230">
        <v>0</v>
      </c>
      <c r="J208" s="230">
        <v>0</v>
      </c>
    </row>
    <row r="209" spans="1:10" s="225" customFormat="1">
      <c r="A209" s="222" t="s">
        <v>178</v>
      </c>
      <c r="B209" s="222" t="s">
        <v>12</v>
      </c>
      <c r="C209" s="223">
        <v>0.33124999999999999</v>
      </c>
      <c r="D209" s="230">
        <v>0</v>
      </c>
      <c r="E209" s="230">
        <v>0</v>
      </c>
      <c r="F209" s="230">
        <v>0</v>
      </c>
      <c r="G209" s="230">
        <v>0</v>
      </c>
      <c r="H209" s="230">
        <v>0</v>
      </c>
      <c r="I209" s="230">
        <v>0</v>
      </c>
      <c r="J209" s="230">
        <v>0</v>
      </c>
    </row>
    <row r="210" spans="1:10" s="225" customFormat="1">
      <c r="A210" s="222" t="s">
        <v>178</v>
      </c>
      <c r="B210" s="222" t="s">
        <v>12</v>
      </c>
      <c r="C210" s="223">
        <v>0.33194444444444399</v>
      </c>
      <c r="D210" s="230">
        <v>0</v>
      </c>
      <c r="E210" s="230">
        <v>0</v>
      </c>
      <c r="F210" s="230">
        <v>0</v>
      </c>
      <c r="G210" s="230">
        <v>0</v>
      </c>
      <c r="H210" s="230">
        <v>0</v>
      </c>
      <c r="I210" s="230">
        <v>0</v>
      </c>
      <c r="J210" s="230">
        <v>0</v>
      </c>
    </row>
    <row r="211" spans="1:10" s="229" customFormat="1">
      <c r="A211" s="226" t="s">
        <v>178</v>
      </c>
      <c r="B211" s="226" t="s">
        <v>12</v>
      </c>
      <c r="C211" s="227">
        <v>0.33263888888888898</v>
      </c>
      <c r="D211" s="231">
        <v>0</v>
      </c>
      <c r="E211" s="231">
        <v>0</v>
      </c>
      <c r="F211" s="231">
        <v>0</v>
      </c>
      <c r="G211" s="231">
        <v>0</v>
      </c>
      <c r="H211" s="231">
        <v>0</v>
      </c>
      <c r="I211" s="231">
        <v>0</v>
      </c>
      <c r="J211" s="231">
        <v>0</v>
      </c>
    </row>
    <row r="212" spans="1:10" s="225" customFormat="1">
      <c r="A212" s="222" t="s">
        <v>178</v>
      </c>
      <c r="B212" s="222" t="s">
        <v>12</v>
      </c>
      <c r="C212" s="223">
        <v>0.33333333333333298</v>
      </c>
      <c r="D212" s="230">
        <v>0</v>
      </c>
      <c r="E212" s="230">
        <v>0</v>
      </c>
      <c r="F212" s="230">
        <v>0</v>
      </c>
      <c r="G212" s="230">
        <v>0</v>
      </c>
      <c r="H212" s="230">
        <v>0</v>
      </c>
      <c r="I212" s="230">
        <v>0</v>
      </c>
      <c r="J212" s="230">
        <v>0</v>
      </c>
    </row>
    <row r="213" spans="1:10" s="225" customFormat="1">
      <c r="A213" s="222" t="s">
        <v>178</v>
      </c>
      <c r="B213" s="222" t="s">
        <v>12</v>
      </c>
      <c r="C213" s="223">
        <v>0.33402777777777798</v>
      </c>
      <c r="D213" s="230">
        <v>0</v>
      </c>
      <c r="E213" s="230">
        <v>0</v>
      </c>
      <c r="F213" s="230">
        <v>0</v>
      </c>
      <c r="G213" s="230">
        <v>0</v>
      </c>
      <c r="H213" s="230">
        <v>0</v>
      </c>
      <c r="I213" s="230">
        <v>0</v>
      </c>
      <c r="J213" s="230">
        <v>0</v>
      </c>
    </row>
    <row r="214" spans="1:10" s="225" customFormat="1">
      <c r="A214" s="222" t="s">
        <v>178</v>
      </c>
      <c r="B214" s="222" t="s">
        <v>12</v>
      </c>
      <c r="C214" s="223">
        <v>0.33472222222222198</v>
      </c>
      <c r="D214" s="230">
        <v>0</v>
      </c>
      <c r="E214" s="230">
        <v>0</v>
      </c>
      <c r="F214" s="230">
        <v>0</v>
      </c>
      <c r="G214" s="230">
        <v>0</v>
      </c>
      <c r="H214" s="230">
        <v>0</v>
      </c>
      <c r="I214" s="230">
        <v>0</v>
      </c>
      <c r="J214" s="230">
        <v>0</v>
      </c>
    </row>
    <row r="215" spans="1:10" s="225" customFormat="1">
      <c r="A215" s="222" t="s">
        <v>178</v>
      </c>
      <c r="B215" s="222" t="s">
        <v>12</v>
      </c>
      <c r="C215" s="223">
        <v>0.33541666666666597</v>
      </c>
      <c r="D215" s="230">
        <v>0</v>
      </c>
      <c r="E215" s="230">
        <v>0</v>
      </c>
      <c r="F215" s="230">
        <v>0</v>
      </c>
      <c r="G215" s="230">
        <v>0</v>
      </c>
      <c r="H215" s="230">
        <v>0</v>
      </c>
      <c r="I215" s="230">
        <v>0</v>
      </c>
      <c r="J215" s="230">
        <v>0</v>
      </c>
    </row>
    <row r="216" spans="1:10" s="225" customFormat="1">
      <c r="A216" s="222" t="s">
        <v>178</v>
      </c>
      <c r="B216" s="222" t="s">
        <v>12</v>
      </c>
      <c r="C216" s="223">
        <v>0.33611111111111103</v>
      </c>
      <c r="D216" s="230">
        <v>0</v>
      </c>
      <c r="E216" s="230">
        <v>0</v>
      </c>
      <c r="F216" s="230">
        <v>0</v>
      </c>
      <c r="G216" s="230">
        <v>0</v>
      </c>
      <c r="H216" s="230">
        <v>0</v>
      </c>
      <c r="I216" s="230">
        <v>0</v>
      </c>
      <c r="J216" s="230">
        <v>0</v>
      </c>
    </row>
    <row r="217" spans="1:10" s="225" customFormat="1">
      <c r="A217" s="222" t="s">
        <v>178</v>
      </c>
      <c r="B217" s="222" t="s">
        <v>12</v>
      </c>
      <c r="C217" s="223">
        <v>0.33680555555555503</v>
      </c>
      <c r="D217" s="230">
        <v>0</v>
      </c>
      <c r="E217" s="230">
        <v>0</v>
      </c>
      <c r="F217" s="230">
        <v>0</v>
      </c>
      <c r="G217" s="230">
        <v>0</v>
      </c>
      <c r="H217" s="230">
        <v>0</v>
      </c>
      <c r="I217" s="230">
        <v>0</v>
      </c>
      <c r="J217" s="230">
        <v>0</v>
      </c>
    </row>
    <row r="218" spans="1:10" s="225" customFormat="1">
      <c r="A218" s="222" t="s">
        <v>178</v>
      </c>
      <c r="B218" s="222" t="s">
        <v>12</v>
      </c>
      <c r="C218" s="223">
        <v>0.33750000000000002</v>
      </c>
      <c r="D218" s="230">
        <v>0</v>
      </c>
      <c r="E218" s="230">
        <v>0</v>
      </c>
      <c r="F218" s="230">
        <v>0</v>
      </c>
      <c r="G218" s="230">
        <v>0</v>
      </c>
      <c r="H218" s="230">
        <v>0</v>
      </c>
      <c r="I218" s="230">
        <v>0</v>
      </c>
      <c r="J218" s="230">
        <v>0</v>
      </c>
    </row>
    <row r="219" spans="1:10" s="225" customFormat="1">
      <c r="A219" s="222" t="s">
        <v>178</v>
      </c>
      <c r="B219" s="222" t="s">
        <v>12</v>
      </c>
      <c r="C219" s="223">
        <v>0.33819444444444402</v>
      </c>
      <c r="D219" s="230">
        <v>0</v>
      </c>
      <c r="E219" s="230">
        <v>0</v>
      </c>
      <c r="F219" s="230">
        <v>0</v>
      </c>
      <c r="G219" s="230">
        <v>0</v>
      </c>
      <c r="H219" s="230">
        <v>0</v>
      </c>
      <c r="I219" s="230">
        <v>0</v>
      </c>
      <c r="J219" s="230">
        <v>0</v>
      </c>
    </row>
    <row r="220" spans="1:10" s="225" customFormat="1">
      <c r="A220" s="222" t="s">
        <v>178</v>
      </c>
      <c r="B220" s="222" t="s">
        <v>12</v>
      </c>
      <c r="C220" s="223">
        <v>0.33888888888888902</v>
      </c>
      <c r="D220" s="230">
        <v>0</v>
      </c>
      <c r="E220" s="230">
        <v>0</v>
      </c>
      <c r="F220" s="230">
        <v>0</v>
      </c>
      <c r="G220" s="230">
        <v>0</v>
      </c>
      <c r="H220" s="230">
        <v>0</v>
      </c>
      <c r="I220" s="230">
        <v>0</v>
      </c>
      <c r="J220" s="230">
        <v>0</v>
      </c>
    </row>
    <row r="221" spans="1:10" s="225" customFormat="1">
      <c r="A221" s="222" t="s">
        <v>178</v>
      </c>
      <c r="B221" s="222" t="s">
        <v>12</v>
      </c>
      <c r="C221" s="223">
        <v>0.33958333333333302</v>
      </c>
      <c r="D221" s="230">
        <v>0</v>
      </c>
      <c r="E221" s="230">
        <v>0</v>
      </c>
      <c r="F221" s="230">
        <v>0</v>
      </c>
      <c r="G221" s="230">
        <v>0</v>
      </c>
      <c r="H221" s="230">
        <v>0</v>
      </c>
      <c r="I221" s="230">
        <v>0</v>
      </c>
      <c r="J221" s="230">
        <v>0</v>
      </c>
    </row>
    <row r="222" spans="1:10" s="225" customFormat="1">
      <c r="A222" s="222" t="s">
        <v>178</v>
      </c>
      <c r="B222" s="222" t="s">
        <v>12</v>
      </c>
      <c r="C222" s="223">
        <v>0.34027777777777801</v>
      </c>
      <c r="D222" s="230">
        <v>0</v>
      </c>
      <c r="E222" s="230">
        <v>0</v>
      </c>
      <c r="F222" s="230">
        <v>0</v>
      </c>
      <c r="G222" s="230">
        <v>0</v>
      </c>
      <c r="H222" s="230">
        <v>0</v>
      </c>
      <c r="I222" s="230">
        <v>0</v>
      </c>
      <c r="J222" s="230">
        <v>0</v>
      </c>
    </row>
    <row r="223" spans="1:10" s="225" customFormat="1">
      <c r="A223" s="222" t="s">
        <v>178</v>
      </c>
      <c r="B223" s="222" t="s">
        <v>12</v>
      </c>
      <c r="C223" s="223">
        <v>0.34097222222222201</v>
      </c>
      <c r="D223" s="230">
        <v>0</v>
      </c>
      <c r="E223" s="230">
        <v>0</v>
      </c>
      <c r="F223" s="230">
        <v>0</v>
      </c>
      <c r="G223" s="230">
        <v>0</v>
      </c>
      <c r="H223" s="230">
        <v>0</v>
      </c>
      <c r="I223" s="230">
        <v>0</v>
      </c>
      <c r="J223" s="230">
        <v>0</v>
      </c>
    </row>
    <row r="224" spans="1:10" s="225" customFormat="1">
      <c r="A224" s="222" t="s">
        <v>178</v>
      </c>
      <c r="B224" s="222" t="s">
        <v>12</v>
      </c>
      <c r="C224" s="223">
        <v>0.34166666666666601</v>
      </c>
      <c r="D224" s="230">
        <v>0</v>
      </c>
      <c r="E224" s="230">
        <v>0</v>
      </c>
      <c r="F224" s="230">
        <v>0</v>
      </c>
      <c r="G224" s="230">
        <v>0</v>
      </c>
      <c r="H224" s="230">
        <v>0</v>
      </c>
      <c r="I224" s="230">
        <v>0</v>
      </c>
      <c r="J224" s="230">
        <v>0</v>
      </c>
    </row>
    <row r="225" spans="1:10" s="225" customFormat="1">
      <c r="A225" s="222" t="s">
        <v>178</v>
      </c>
      <c r="B225" s="222" t="s">
        <v>12</v>
      </c>
      <c r="C225" s="223">
        <v>0.34236111111111101</v>
      </c>
      <c r="D225" s="230">
        <v>0</v>
      </c>
      <c r="E225" s="230">
        <v>0</v>
      </c>
      <c r="F225" s="230">
        <v>0</v>
      </c>
      <c r="G225" s="230">
        <v>0</v>
      </c>
      <c r="H225" s="230">
        <v>0</v>
      </c>
      <c r="I225" s="230">
        <v>0</v>
      </c>
      <c r="J225" s="230">
        <v>0</v>
      </c>
    </row>
    <row r="226" spans="1:10" s="229" customFormat="1">
      <c r="A226" s="226" t="s">
        <v>178</v>
      </c>
      <c r="B226" s="226" t="s">
        <v>12</v>
      </c>
      <c r="C226" s="227">
        <v>0.343055555555555</v>
      </c>
      <c r="D226" s="231">
        <v>0</v>
      </c>
      <c r="E226" s="231">
        <v>0</v>
      </c>
      <c r="F226" s="231">
        <v>0</v>
      </c>
      <c r="G226" s="231">
        <v>0</v>
      </c>
      <c r="H226" s="231">
        <v>0</v>
      </c>
      <c r="I226" s="231">
        <v>0</v>
      </c>
      <c r="J226" s="231">
        <v>0</v>
      </c>
    </row>
    <row r="227" spans="1:10" s="225" customFormat="1">
      <c r="A227" s="222" t="s">
        <v>178</v>
      </c>
      <c r="B227" s="222" t="s">
        <v>12</v>
      </c>
      <c r="C227" s="223">
        <v>0.34375</v>
      </c>
      <c r="D227" s="230">
        <v>0</v>
      </c>
      <c r="E227" s="230">
        <v>0</v>
      </c>
      <c r="F227" s="230">
        <v>0</v>
      </c>
      <c r="G227" s="230">
        <v>0</v>
      </c>
      <c r="H227" s="230">
        <v>0</v>
      </c>
      <c r="I227" s="230">
        <v>0</v>
      </c>
      <c r="J227" s="230">
        <v>0</v>
      </c>
    </row>
    <row r="228" spans="1:10" s="225" customFormat="1">
      <c r="A228" s="222" t="s">
        <v>178</v>
      </c>
      <c r="B228" s="222" t="s">
        <v>12</v>
      </c>
      <c r="C228" s="223">
        <v>0.344444444444444</v>
      </c>
      <c r="D228" s="230">
        <v>0</v>
      </c>
      <c r="E228" s="230">
        <v>0</v>
      </c>
      <c r="F228" s="230">
        <v>0</v>
      </c>
      <c r="G228" s="230">
        <v>0</v>
      </c>
      <c r="H228" s="230">
        <v>0</v>
      </c>
      <c r="I228" s="230">
        <v>0</v>
      </c>
      <c r="J228" s="230">
        <v>0</v>
      </c>
    </row>
    <row r="229" spans="1:10" s="225" customFormat="1">
      <c r="A229" s="222" t="s">
        <v>178</v>
      </c>
      <c r="B229" s="222" t="s">
        <v>12</v>
      </c>
      <c r="C229" s="223">
        <v>0.34513888888888899</v>
      </c>
      <c r="D229" s="230">
        <v>0</v>
      </c>
      <c r="E229" s="230">
        <v>0</v>
      </c>
      <c r="F229" s="230">
        <v>0</v>
      </c>
      <c r="G229" s="230">
        <v>0</v>
      </c>
      <c r="H229" s="230">
        <v>0</v>
      </c>
      <c r="I229" s="230">
        <v>0</v>
      </c>
      <c r="J229" s="230">
        <v>0</v>
      </c>
    </row>
    <row r="230" spans="1:10" s="225" customFormat="1">
      <c r="A230" s="222" t="s">
        <v>178</v>
      </c>
      <c r="B230" s="222" t="s">
        <v>12</v>
      </c>
      <c r="C230" s="223">
        <v>0.34583333333333299</v>
      </c>
      <c r="D230" s="230">
        <v>0</v>
      </c>
      <c r="E230" s="230">
        <v>0</v>
      </c>
      <c r="F230" s="230">
        <v>0</v>
      </c>
      <c r="G230" s="230">
        <v>0</v>
      </c>
      <c r="H230" s="230">
        <v>0</v>
      </c>
      <c r="I230" s="230">
        <v>0</v>
      </c>
      <c r="J230" s="230">
        <v>0</v>
      </c>
    </row>
    <row r="231" spans="1:10" s="225" customFormat="1">
      <c r="A231" s="222" t="s">
        <v>178</v>
      </c>
      <c r="B231" s="222" t="s">
        <v>12</v>
      </c>
      <c r="C231" s="223">
        <v>0.34652777777777799</v>
      </c>
      <c r="D231" s="230">
        <v>0</v>
      </c>
      <c r="E231" s="230">
        <v>0</v>
      </c>
      <c r="F231" s="230">
        <v>0</v>
      </c>
      <c r="G231" s="230">
        <v>0</v>
      </c>
      <c r="H231" s="230">
        <v>0</v>
      </c>
      <c r="I231" s="230">
        <v>0</v>
      </c>
      <c r="J231" s="230">
        <v>0</v>
      </c>
    </row>
    <row r="232" spans="1:10" s="225" customFormat="1">
      <c r="A232" s="222" t="s">
        <v>178</v>
      </c>
      <c r="B232" s="222" t="s">
        <v>12</v>
      </c>
      <c r="C232" s="223">
        <v>0.34722222222222199</v>
      </c>
      <c r="D232" s="230">
        <v>0</v>
      </c>
      <c r="E232" s="230">
        <v>0</v>
      </c>
      <c r="F232" s="230">
        <v>0</v>
      </c>
      <c r="G232" s="230">
        <v>0</v>
      </c>
      <c r="H232" s="230">
        <v>0</v>
      </c>
      <c r="I232" s="230">
        <v>0</v>
      </c>
      <c r="J232" s="230">
        <v>0</v>
      </c>
    </row>
    <row r="233" spans="1:10" s="225" customFormat="1">
      <c r="A233" s="222" t="s">
        <v>178</v>
      </c>
      <c r="B233" s="222" t="s">
        <v>12</v>
      </c>
      <c r="C233" s="223">
        <v>0.34791666666666599</v>
      </c>
      <c r="D233" s="230">
        <v>0</v>
      </c>
      <c r="E233" s="230">
        <v>0</v>
      </c>
      <c r="F233" s="230">
        <v>0</v>
      </c>
      <c r="G233" s="230">
        <v>0</v>
      </c>
      <c r="H233" s="230">
        <v>0</v>
      </c>
      <c r="I233" s="230">
        <v>0</v>
      </c>
      <c r="J233" s="230">
        <v>0</v>
      </c>
    </row>
    <row r="234" spans="1:10" s="225" customFormat="1">
      <c r="A234" s="222" t="s">
        <v>178</v>
      </c>
      <c r="B234" s="222" t="s">
        <v>12</v>
      </c>
      <c r="C234" s="223">
        <v>0.34861111111111098</v>
      </c>
      <c r="D234" s="230">
        <v>0</v>
      </c>
      <c r="E234" s="230">
        <v>0</v>
      </c>
      <c r="F234" s="230">
        <v>0</v>
      </c>
      <c r="G234" s="230">
        <v>0</v>
      </c>
      <c r="H234" s="230">
        <v>0</v>
      </c>
      <c r="I234" s="230">
        <v>0</v>
      </c>
      <c r="J234" s="230">
        <v>0</v>
      </c>
    </row>
    <row r="235" spans="1:10" s="225" customFormat="1">
      <c r="A235" s="222" t="s">
        <v>178</v>
      </c>
      <c r="B235" s="222" t="s">
        <v>12</v>
      </c>
      <c r="C235" s="223">
        <v>0.34930555555555498</v>
      </c>
      <c r="D235" s="230">
        <v>0</v>
      </c>
      <c r="E235" s="230">
        <v>0</v>
      </c>
      <c r="F235" s="230">
        <v>0</v>
      </c>
      <c r="G235" s="230">
        <v>0</v>
      </c>
      <c r="H235" s="230">
        <v>0</v>
      </c>
      <c r="I235" s="230">
        <v>0</v>
      </c>
      <c r="J235" s="230">
        <v>0</v>
      </c>
    </row>
    <row r="236" spans="1:10" s="225" customFormat="1">
      <c r="A236" s="222" t="s">
        <v>178</v>
      </c>
      <c r="B236" s="222" t="s">
        <v>12</v>
      </c>
      <c r="C236" s="223">
        <v>0.35</v>
      </c>
      <c r="D236" s="230">
        <v>0</v>
      </c>
      <c r="E236" s="230">
        <v>0</v>
      </c>
      <c r="F236" s="230">
        <v>0</v>
      </c>
      <c r="G236" s="230">
        <v>0</v>
      </c>
      <c r="H236" s="230">
        <v>0</v>
      </c>
      <c r="I236" s="230">
        <v>0</v>
      </c>
      <c r="J236" s="230">
        <v>0</v>
      </c>
    </row>
    <row r="237" spans="1:10" s="225" customFormat="1">
      <c r="A237" s="222" t="s">
        <v>178</v>
      </c>
      <c r="B237" s="222" t="s">
        <v>12</v>
      </c>
      <c r="C237" s="223">
        <v>0.35069444444444398</v>
      </c>
      <c r="D237" s="230">
        <v>0</v>
      </c>
      <c r="E237" s="230">
        <v>0</v>
      </c>
      <c r="F237" s="230">
        <v>0</v>
      </c>
      <c r="G237" s="230">
        <v>0</v>
      </c>
      <c r="H237" s="230">
        <v>0</v>
      </c>
      <c r="I237" s="230">
        <v>0</v>
      </c>
      <c r="J237" s="230">
        <v>0</v>
      </c>
    </row>
    <row r="238" spans="1:10" s="225" customFormat="1">
      <c r="A238" s="222" t="s">
        <v>178</v>
      </c>
      <c r="B238" s="222" t="s">
        <v>12</v>
      </c>
      <c r="C238" s="223">
        <v>0.35138888888888897</v>
      </c>
      <c r="D238" s="230">
        <v>0</v>
      </c>
      <c r="E238" s="230">
        <v>0</v>
      </c>
      <c r="F238" s="230">
        <v>0</v>
      </c>
      <c r="G238" s="230">
        <v>0</v>
      </c>
      <c r="H238" s="230">
        <v>0</v>
      </c>
      <c r="I238" s="230">
        <v>0</v>
      </c>
      <c r="J238" s="230">
        <v>0</v>
      </c>
    </row>
    <row r="239" spans="1:10" s="225" customFormat="1">
      <c r="A239" s="222" t="s">
        <v>178</v>
      </c>
      <c r="B239" s="222" t="s">
        <v>12</v>
      </c>
      <c r="C239" s="223">
        <v>0.35208333333333303</v>
      </c>
      <c r="D239" s="230">
        <v>0</v>
      </c>
      <c r="E239" s="230">
        <v>0</v>
      </c>
      <c r="F239" s="230">
        <v>0</v>
      </c>
      <c r="G239" s="230">
        <v>0</v>
      </c>
      <c r="H239" s="230">
        <v>0</v>
      </c>
      <c r="I239" s="230">
        <v>0</v>
      </c>
      <c r="J239" s="230">
        <v>0</v>
      </c>
    </row>
    <row r="240" spans="1:10" s="225" customFormat="1">
      <c r="A240" s="222" t="s">
        <v>178</v>
      </c>
      <c r="B240" s="222" t="s">
        <v>12</v>
      </c>
      <c r="C240" s="223">
        <v>0.35277777777777802</v>
      </c>
      <c r="D240" s="230">
        <v>0</v>
      </c>
      <c r="E240" s="230">
        <v>0</v>
      </c>
      <c r="F240" s="230">
        <v>0</v>
      </c>
      <c r="G240" s="230">
        <v>0</v>
      </c>
      <c r="H240" s="230">
        <v>0</v>
      </c>
      <c r="I240" s="230">
        <v>0</v>
      </c>
      <c r="J240" s="230">
        <v>0</v>
      </c>
    </row>
    <row r="241" spans="1:10" s="235" customFormat="1" ht="17.5" thickBot="1">
      <c r="A241" s="232" t="s">
        <v>178</v>
      </c>
      <c r="B241" s="232" t="s">
        <v>12</v>
      </c>
      <c r="C241" s="233">
        <v>0.35347222222222202</v>
      </c>
      <c r="D241" s="234">
        <v>0</v>
      </c>
      <c r="E241" s="234">
        <v>0</v>
      </c>
      <c r="F241" s="234">
        <v>0</v>
      </c>
      <c r="G241" s="234">
        <v>0</v>
      </c>
      <c r="H241" s="234">
        <v>0</v>
      </c>
      <c r="I241" s="234">
        <v>0</v>
      </c>
      <c r="J241" s="234">
        <v>0</v>
      </c>
    </row>
    <row r="242" spans="1:10" s="225" customFormat="1">
      <c r="A242" s="222" t="s">
        <v>178</v>
      </c>
      <c r="B242" s="222" t="s">
        <v>13</v>
      </c>
      <c r="C242" s="223">
        <v>0.27083333333333331</v>
      </c>
      <c r="D242" s="230">
        <v>0</v>
      </c>
      <c r="E242" s="230">
        <v>0</v>
      </c>
      <c r="F242" s="230">
        <v>0</v>
      </c>
      <c r="G242" s="230">
        <v>0</v>
      </c>
      <c r="H242" s="230">
        <v>0</v>
      </c>
      <c r="I242" s="230">
        <v>0</v>
      </c>
      <c r="J242" s="230">
        <v>0</v>
      </c>
    </row>
    <row r="243" spans="1:10" s="225" customFormat="1">
      <c r="A243" s="222" t="s">
        <v>178</v>
      </c>
      <c r="B243" s="222" t="s">
        <v>13</v>
      </c>
      <c r="C243" s="223">
        <v>0.27152777777777776</v>
      </c>
      <c r="D243" s="230">
        <v>0</v>
      </c>
      <c r="E243" s="230">
        <v>0</v>
      </c>
      <c r="F243" s="230">
        <v>0</v>
      </c>
      <c r="G243" s="230">
        <v>0</v>
      </c>
      <c r="H243" s="230">
        <v>0</v>
      </c>
      <c r="I243" s="230">
        <v>0</v>
      </c>
      <c r="J243" s="230">
        <v>0</v>
      </c>
    </row>
    <row r="244" spans="1:10" s="225" customFormat="1">
      <c r="A244" s="222" t="s">
        <v>178</v>
      </c>
      <c r="B244" s="222" t="s">
        <v>13</v>
      </c>
      <c r="C244" s="223">
        <v>0.27222222222222198</v>
      </c>
      <c r="D244" s="230">
        <v>0</v>
      </c>
      <c r="E244" s="230">
        <v>0</v>
      </c>
      <c r="F244" s="230">
        <v>0</v>
      </c>
      <c r="G244" s="230">
        <v>0</v>
      </c>
      <c r="H244" s="230">
        <v>0</v>
      </c>
      <c r="I244" s="230">
        <v>0</v>
      </c>
      <c r="J244" s="230">
        <v>0</v>
      </c>
    </row>
    <row r="245" spans="1:10" s="225" customFormat="1">
      <c r="A245" s="222" t="s">
        <v>178</v>
      </c>
      <c r="B245" s="222" t="s">
        <v>13</v>
      </c>
      <c r="C245" s="223">
        <v>0.27291666666666697</v>
      </c>
      <c r="D245" s="230">
        <v>0</v>
      </c>
      <c r="E245" s="230">
        <v>0</v>
      </c>
      <c r="F245" s="230">
        <v>0</v>
      </c>
      <c r="G245" s="230">
        <v>0</v>
      </c>
      <c r="H245" s="230">
        <v>0</v>
      </c>
      <c r="I245" s="230">
        <v>0</v>
      </c>
      <c r="J245" s="230">
        <v>0</v>
      </c>
    </row>
    <row r="246" spans="1:10" s="225" customFormat="1">
      <c r="A246" s="222" t="s">
        <v>178</v>
      </c>
      <c r="B246" s="222" t="s">
        <v>13</v>
      </c>
      <c r="C246" s="223">
        <v>0.27361111111111103</v>
      </c>
      <c r="D246" s="230">
        <v>0</v>
      </c>
      <c r="E246" s="230">
        <v>0</v>
      </c>
      <c r="F246" s="230">
        <v>0</v>
      </c>
      <c r="G246" s="230">
        <v>0</v>
      </c>
      <c r="H246" s="230">
        <v>0</v>
      </c>
      <c r="I246" s="230">
        <v>0</v>
      </c>
      <c r="J246" s="230">
        <v>0</v>
      </c>
    </row>
    <row r="247" spans="1:10" s="225" customFormat="1">
      <c r="A247" s="222" t="s">
        <v>178</v>
      </c>
      <c r="B247" s="222" t="s">
        <v>13</v>
      </c>
      <c r="C247" s="223">
        <v>0.27430555555555602</v>
      </c>
      <c r="D247" s="230">
        <v>0</v>
      </c>
      <c r="E247" s="230">
        <v>0</v>
      </c>
      <c r="F247" s="230">
        <v>0</v>
      </c>
      <c r="G247" s="230">
        <v>0</v>
      </c>
      <c r="H247" s="230">
        <v>0</v>
      </c>
      <c r="I247" s="230">
        <v>0</v>
      </c>
      <c r="J247" s="230">
        <v>0</v>
      </c>
    </row>
    <row r="248" spans="1:10" s="225" customFormat="1">
      <c r="A248" s="222" t="s">
        <v>178</v>
      </c>
      <c r="B248" s="222" t="s">
        <v>13</v>
      </c>
      <c r="C248" s="223">
        <v>0.27500000000000002</v>
      </c>
      <c r="D248" s="230">
        <v>0</v>
      </c>
      <c r="E248" s="230">
        <v>0</v>
      </c>
      <c r="F248" s="230">
        <v>0</v>
      </c>
      <c r="G248" s="230">
        <v>0</v>
      </c>
      <c r="H248" s="230">
        <v>0</v>
      </c>
      <c r="I248" s="230">
        <v>0</v>
      </c>
      <c r="J248" s="230">
        <v>0</v>
      </c>
    </row>
    <row r="249" spans="1:10" s="225" customFormat="1">
      <c r="A249" s="222" t="s">
        <v>178</v>
      </c>
      <c r="B249" s="222" t="s">
        <v>13</v>
      </c>
      <c r="C249" s="223">
        <v>0.27569444444444402</v>
      </c>
      <c r="D249" s="230">
        <v>0</v>
      </c>
      <c r="E249" s="230">
        <v>0</v>
      </c>
      <c r="F249" s="230">
        <v>0</v>
      </c>
      <c r="G249" s="230">
        <v>0</v>
      </c>
      <c r="H249" s="230">
        <v>0</v>
      </c>
      <c r="I249" s="230">
        <v>0</v>
      </c>
      <c r="J249" s="230">
        <v>0</v>
      </c>
    </row>
    <row r="250" spans="1:10" s="225" customFormat="1">
      <c r="A250" s="222" t="s">
        <v>178</v>
      </c>
      <c r="B250" s="222" t="s">
        <v>13</v>
      </c>
      <c r="C250" s="223">
        <v>0.27638888888888902</v>
      </c>
      <c r="D250" s="230">
        <v>0</v>
      </c>
      <c r="E250" s="230">
        <v>0</v>
      </c>
      <c r="F250" s="230">
        <v>0</v>
      </c>
      <c r="G250" s="230">
        <v>0</v>
      </c>
      <c r="H250" s="230">
        <v>0</v>
      </c>
      <c r="I250" s="230">
        <v>0</v>
      </c>
      <c r="J250" s="230">
        <v>0</v>
      </c>
    </row>
    <row r="251" spans="1:10" s="225" customFormat="1">
      <c r="A251" s="222" t="s">
        <v>178</v>
      </c>
      <c r="B251" s="222" t="s">
        <v>13</v>
      </c>
      <c r="C251" s="223">
        <v>0.27708333333333302</v>
      </c>
      <c r="D251" s="230">
        <v>0</v>
      </c>
      <c r="E251" s="230">
        <v>0</v>
      </c>
      <c r="F251" s="230">
        <v>0</v>
      </c>
      <c r="G251" s="230">
        <v>0</v>
      </c>
      <c r="H251" s="230">
        <v>0</v>
      </c>
      <c r="I251" s="230">
        <v>0</v>
      </c>
      <c r="J251" s="230">
        <v>0</v>
      </c>
    </row>
    <row r="252" spans="1:10" s="225" customFormat="1">
      <c r="A252" s="222" t="s">
        <v>178</v>
      </c>
      <c r="B252" s="222" t="s">
        <v>13</v>
      </c>
      <c r="C252" s="223">
        <v>0.27777777777777801</v>
      </c>
      <c r="D252" s="230">
        <v>0</v>
      </c>
      <c r="E252" s="230">
        <v>0</v>
      </c>
      <c r="F252" s="230">
        <v>0</v>
      </c>
      <c r="G252" s="230">
        <v>0</v>
      </c>
      <c r="H252" s="230">
        <v>0</v>
      </c>
      <c r="I252" s="230">
        <v>0</v>
      </c>
      <c r="J252" s="230">
        <v>0</v>
      </c>
    </row>
    <row r="253" spans="1:10" s="225" customFormat="1">
      <c r="A253" s="222" t="s">
        <v>178</v>
      </c>
      <c r="B253" s="222" t="s">
        <v>13</v>
      </c>
      <c r="C253" s="223">
        <v>0.27847222222222201</v>
      </c>
      <c r="D253" s="230">
        <v>0</v>
      </c>
      <c r="E253" s="230">
        <v>0</v>
      </c>
      <c r="F253" s="230">
        <v>0</v>
      </c>
      <c r="G253" s="230">
        <v>0</v>
      </c>
      <c r="H253" s="230">
        <v>0</v>
      </c>
      <c r="I253" s="230">
        <v>0</v>
      </c>
      <c r="J253" s="230">
        <v>0</v>
      </c>
    </row>
    <row r="254" spans="1:10" s="225" customFormat="1">
      <c r="A254" s="222" t="s">
        <v>178</v>
      </c>
      <c r="B254" s="222" t="s">
        <v>13</v>
      </c>
      <c r="C254" s="223">
        <v>0.27916666666666701</v>
      </c>
      <c r="D254" s="230">
        <v>0</v>
      </c>
      <c r="E254" s="230">
        <v>0</v>
      </c>
      <c r="F254" s="230">
        <v>0</v>
      </c>
      <c r="G254" s="230">
        <v>0</v>
      </c>
      <c r="H254" s="230">
        <v>0</v>
      </c>
      <c r="I254" s="230">
        <v>0</v>
      </c>
      <c r="J254" s="230">
        <v>0</v>
      </c>
    </row>
    <row r="255" spans="1:10" s="225" customFormat="1">
      <c r="A255" s="222" t="s">
        <v>178</v>
      </c>
      <c r="B255" s="222" t="s">
        <v>13</v>
      </c>
      <c r="C255" s="223">
        <v>0.27986111111111101</v>
      </c>
      <c r="D255" s="230">
        <v>0</v>
      </c>
      <c r="E255" s="230">
        <v>0</v>
      </c>
      <c r="F255" s="230">
        <v>0</v>
      </c>
      <c r="G255" s="230">
        <v>0</v>
      </c>
      <c r="H255" s="230">
        <v>0</v>
      </c>
      <c r="I255" s="230">
        <v>0</v>
      </c>
      <c r="J255" s="230">
        <v>0</v>
      </c>
    </row>
    <row r="256" spans="1:10" s="229" customFormat="1">
      <c r="A256" s="226" t="s">
        <v>178</v>
      </c>
      <c r="B256" s="226" t="s">
        <v>13</v>
      </c>
      <c r="C256" s="227">
        <v>0.280555555555556</v>
      </c>
      <c r="D256" s="231">
        <v>0</v>
      </c>
      <c r="E256" s="231">
        <v>0</v>
      </c>
      <c r="F256" s="231">
        <v>0</v>
      </c>
      <c r="G256" s="231">
        <v>0</v>
      </c>
      <c r="H256" s="231">
        <v>0</v>
      </c>
      <c r="I256" s="231">
        <v>0</v>
      </c>
      <c r="J256" s="231">
        <v>0</v>
      </c>
    </row>
    <row r="257" spans="1:10" s="225" customFormat="1">
      <c r="A257" s="222" t="s">
        <v>178</v>
      </c>
      <c r="B257" s="222" t="s">
        <v>13</v>
      </c>
      <c r="C257" s="223">
        <v>0.28125</v>
      </c>
      <c r="D257" s="230">
        <v>0</v>
      </c>
      <c r="E257" s="230">
        <v>0</v>
      </c>
      <c r="F257" s="230">
        <v>0</v>
      </c>
      <c r="G257" s="230">
        <v>0</v>
      </c>
      <c r="H257" s="230">
        <v>0</v>
      </c>
      <c r="I257" s="230">
        <v>0</v>
      </c>
      <c r="J257" s="230">
        <v>0</v>
      </c>
    </row>
    <row r="258" spans="1:10" s="225" customFormat="1">
      <c r="A258" s="222" t="s">
        <v>178</v>
      </c>
      <c r="B258" s="222" t="s">
        <v>13</v>
      </c>
      <c r="C258" s="223">
        <v>0.281944444444444</v>
      </c>
      <c r="D258" s="230">
        <v>0</v>
      </c>
      <c r="E258" s="230">
        <v>0</v>
      </c>
      <c r="F258" s="230">
        <v>0</v>
      </c>
      <c r="G258" s="230">
        <v>0</v>
      </c>
      <c r="H258" s="230">
        <v>0</v>
      </c>
      <c r="I258" s="230">
        <v>0</v>
      </c>
      <c r="J258" s="230">
        <v>0</v>
      </c>
    </row>
    <row r="259" spans="1:10" s="225" customFormat="1">
      <c r="A259" s="222" t="s">
        <v>178</v>
      </c>
      <c r="B259" s="222" t="s">
        <v>13</v>
      </c>
      <c r="C259" s="223">
        <v>0.28263888888888899</v>
      </c>
      <c r="D259" s="230">
        <v>0</v>
      </c>
      <c r="E259" s="230">
        <v>0</v>
      </c>
      <c r="F259" s="230">
        <v>0</v>
      </c>
      <c r="G259" s="230">
        <v>0</v>
      </c>
      <c r="H259" s="230">
        <v>0</v>
      </c>
      <c r="I259" s="230">
        <v>0</v>
      </c>
      <c r="J259" s="230">
        <v>0</v>
      </c>
    </row>
    <row r="260" spans="1:10" s="225" customFormat="1">
      <c r="A260" s="222" t="s">
        <v>178</v>
      </c>
      <c r="B260" s="222" t="s">
        <v>13</v>
      </c>
      <c r="C260" s="223">
        <v>0.28333333333333299</v>
      </c>
      <c r="D260" s="230">
        <v>0</v>
      </c>
      <c r="E260" s="230">
        <v>0</v>
      </c>
      <c r="F260" s="230">
        <v>0</v>
      </c>
      <c r="G260" s="230">
        <v>0</v>
      </c>
      <c r="H260" s="230">
        <v>0</v>
      </c>
      <c r="I260" s="230">
        <v>0</v>
      </c>
      <c r="J260" s="230">
        <v>0</v>
      </c>
    </row>
    <row r="261" spans="1:10" s="225" customFormat="1">
      <c r="A261" s="222" t="s">
        <v>178</v>
      </c>
      <c r="B261" s="222" t="s">
        <v>13</v>
      </c>
      <c r="C261" s="223">
        <v>0.28402777777777799</v>
      </c>
      <c r="D261" s="230">
        <v>0</v>
      </c>
      <c r="E261" s="230">
        <v>0</v>
      </c>
      <c r="F261" s="230">
        <v>0</v>
      </c>
      <c r="G261" s="230">
        <v>0</v>
      </c>
      <c r="H261" s="230">
        <v>0</v>
      </c>
      <c r="I261" s="230">
        <v>0</v>
      </c>
      <c r="J261" s="230">
        <v>0</v>
      </c>
    </row>
    <row r="262" spans="1:10" s="225" customFormat="1">
      <c r="A262" s="222" t="s">
        <v>178</v>
      </c>
      <c r="B262" s="222" t="s">
        <v>13</v>
      </c>
      <c r="C262" s="223">
        <v>0.28472222222222199</v>
      </c>
      <c r="D262" s="230">
        <v>0</v>
      </c>
      <c r="E262" s="230">
        <v>0</v>
      </c>
      <c r="F262" s="230">
        <v>0</v>
      </c>
      <c r="G262" s="230">
        <v>0</v>
      </c>
      <c r="H262" s="230">
        <v>0</v>
      </c>
      <c r="I262" s="230">
        <v>0</v>
      </c>
      <c r="J262" s="230">
        <v>0</v>
      </c>
    </row>
    <row r="263" spans="1:10" s="225" customFormat="1">
      <c r="A263" s="222" t="s">
        <v>178</v>
      </c>
      <c r="B263" s="222" t="s">
        <v>13</v>
      </c>
      <c r="C263" s="223">
        <v>0.28541666666666698</v>
      </c>
      <c r="D263" s="230">
        <v>0</v>
      </c>
      <c r="E263" s="230">
        <v>0</v>
      </c>
      <c r="F263" s="230">
        <v>0</v>
      </c>
      <c r="G263" s="230">
        <v>0</v>
      </c>
      <c r="H263" s="230">
        <v>0</v>
      </c>
      <c r="I263" s="230">
        <v>0</v>
      </c>
      <c r="J263" s="230">
        <v>0</v>
      </c>
    </row>
    <row r="264" spans="1:10" s="225" customFormat="1">
      <c r="A264" s="222" t="s">
        <v>178</v>
      </c>
      <c r="B264" s="222" t="s">
        <v>13</v>
      </c>
      <c r="C264" s="223">
        <v>0.28611111111111098</v>
      </c>
      <c r="D264" s="230">
        <v>0</v>
      </c>
      <c r="E264" s="230">
        <v>0</v>
      </c>
      <c r="F264" s="230">
        <v>0</v>
      </c>
      <c r="G264" s="230">
        <v>0</v>
      </c>
      <c r="H264" s="230">
        <v>0</v>
      </c>
      <c r="I264" s="230">
        <v>0</v>
      </c>
      <c r="J264" s="230">
        <v>0</v>
      </c>
    </row>
    <row r="265" spans="1:10" s="225" customFormat="1">
      <c r="A265" s="222" t="s">
        <v>178</v>
      </c>
      <c r="B265" s="222" t="s">
        <v>13</v>
      </c>
      <c r="C265" s="223">
        <v>0.28680555555555598</v>
      </c>
      <c r="D265" s="230">
        <v>0</v>
      </c>
      <c r="E265" s="230">
        <v>0</v>
      </c>
      <c r="F265" s="230">
        <v>0</v>
      </c>
      <c r="G265" s="230">
        <v>0</v>
      </c>
      <c r="H265" s="230">
        <v>0</v>
      </c>
      <c r="I265" s="230">
        <v>0</v>
      </c>
      <c r="J265" s="230">
        <v>0</v>
      </c>
    </row>
    <row r="266" spans="1:10" s="225" customFormat="1">
      <c r="A266" s="222" t="s">
        <v>178</v>
      </c>
      <c r="B266" s="222" t="s">
        <v>13</v>
      </c>
      <c r="C266" s="223">
        <v>0.28749999999999998</v>
      </c>
      <c r="D266" s="230">
        <v>0</v>
      </c>
      <c r="E266" s="230">
        <v>0</v>
      </c>
      <c r="F266" s="230">
        <v>0</v>
      </c>
      <c r="G266" s="230">
        <v>0</v>
      </c>
      <c r="H266" s="230">
        <v>0</v>
      </c>
      <c r="I266" s="230">
        <v>0</v>
      </c>
      <c r="J266" s="230">
        <v>0</v>
      </c>
    </row>
    <row r="267" spans="1:10" s="225" customFormat="1">
      <c r="A267" s="222" t="s">
        <v>178</v>
      </c>
      <c r="B267" s="222" t="s">
        <v>13</v>
      </c>
      <c r="C267" s="223">
        <v>0.28819444444444398</v>
      </c>
      <c r="D267" s="230">
        <v>0</v>
      </c>
      <c r="E267" s="230">
        <v>0</v>
      </c>
      <c r="F267" s="230">
        <v>0</v>
      </c>
      <c r="G267" s="230">
        <v>0</v>
      </c>
      <c r="H267" s="230">
        <v>0</v>
      </c>
      <c r="I267" s="230">
        <v>0</v>
      </c>
      <c r="J267" s="230">
        <v>0</v>
      </c>
    </row>
    <row r="268" spans="1:10" s="225" customFormat="1">
      <c r="A268" s="222" t="s">
        <v>178</v>
      </c>
      <c r="B268" s="222" t="s">
        <v>13</v>
      </c>
      <c r="C268" s="223">
        <v>0.28888888888888897</v>
      </c>
      <c r="D268" s="230">
        <v>0</v>
      </c>
      <c r="E268" s="230">
        <v>0</v>
      </c>
      <c r="F268" s="230">
        <v>0</v>
      </c>
      <c r="G268" s="230">
        <v>0</v>
      </c>
      <c r="H268" s="230">
        <v>0</v>
      </c>
      <c r="I268" s="230">
        <v>0</v>
      </c>
      <c r="J268" s="230">
        <v>0</v>
      </c>
    </row>
    <row r="269" spans="1:10" s="225" customFormat="1">
      <c r="A269" s="222" t="s">
        <v>178</v>
      </c>
      <c r="B269" s="222" t="s">
        <v>13</v>
      </c>
      <c r="C269" s="223">
        <v>0.28958333333333303</v>
      </c>
      <c r="D269" s="230">
        <v>0</v>
      </c>
      <c r="E269" s="230">
        <v>0</v>
      </c>
      <c r="F269" s="230">
        <v>0</v>
      </c>
      <c r="G269" s="230">
        <v>0</v>
      </c>
      <c r="H269" s="230">
        <v>0</v>
      </c>
      <c r="I269" s="230">
        <v>0</v>
      </c>
      <c r="J269" s="230">
        <v>0</v>
      </c>
    </row>
    <row r="270" spans="1:10" s="225" customFormat="1">
      <c r="A270" s="222" t="s">
        <v>178</v>
      </c>
      <c r="B270" s="222" t="s">
        <v>13</v>
      </c>
      <c r="C270" s="223">
        <v>0.29027777777777802</v>
      </c>
      <c r="D270" s="230">
        <v>0</v>
      </c>
      <c r="E270" s="230">
        <v>0</v>
      </c>
      <c r="F270" s="230">
        <v>0</v>
      </c>
      <c r="G270" s="230">
        <v>0</v>
      </c>
      <c r="H270" s="230">
        <v>0</v>
      </c>
      <c r="I270" s="230">
        <v>0</v>
      </c>
      <c r="J270" s="230">
        <v>0</v>
      </c>
    </row>
    <row r="271" spans="1:10" s="229" customFormat="1">
      <c r="A271" s="226" t="s">
        <v>178</v>
      </c>
      <c r="B271" s="226" t="s">
        <v>13</v>
      </c>
      <c r="C271" s="227">
        <v>0.29097222222222202</v>
      </c>
      <c r="D271" s="231">
        <v>0</v>
      </c>
      <c r="E271" s="231">
        <v>0</v>
      </c>
      <c r="F271" s="231">
        <v>0</v>
      </c>
      <c r="G271" s="231">
        <v>0</v>
      </c>
      <c r="H271" s="231">
        <v>0</v>
      </c>
      <c r="I271" s="231">
        <v>0</v>
      </c>
      <c r="J271" s="231">
        <v>0</v>
      </c>
    </row>
    <row r="272" spans="1:10" s="225" customFormat="1">
      <c r="A272" s="222" t="s">
        <v>178</v>
      </c>
      <c r="B272" s="222" t="s">
        <v>13</v>
      </c>
      <c r="C272" s="223">
        <v>0.29166666666666702</v>
      </c>
      <c r="D272" s="230">
        <v>0</v>
      </c>
      <c r="E272" s="230">
        <v>0</v>
      </c>
      <c r="F272" s="230">
        <v>0</v>
      </c>
      <c r="G272" s="230">
        <v>0</v>
      </c>
      <c r="H272" s="230">
        <v>0</v>
      </c>
      <c r="I272" s="230">
        <v>0</v>
      </c>
      <c r="J272" s="230">
        <v>0</v>
      </c>
    </row>
    <row r="273" spans="1:10" s="225" customFormat="1">
      <c r="A273" s="222" t="s">
        <v>178</v>
      </c>
      <c r="B273" s="222" t="s">
        <v>13</v>
      </c>
      <c r="C273" s="223">
        <v>0.29236111111111102</v>
      </c>
      <c r="D273" s="230">
        <v>0</v>
      </c>
      <c r="E273" s="230">
        <v>0</v>
      </c>
      <c r="F273" s="230">
        <v>0</v>
      </c>
      <c r="G273" s="230">
        <v>0</v>
      </c>
      <c r="H273" s="230">
        <v>0</v>
      </c>
      <c r="I273" s="230">
        <v>0</v>
      </c>
      <c r="J273" s="230">
        <v>0</v>
      </c>
    </row>
    <row r="274" spans="1:10" s="225" customFormat="1">
      <c r="A274" s="222" t="s">
        <v>178</v>
      </c>
      <c r="B274" s="222" t="s">
        <v>13</v>
      </c>
      <c r="C274" s="223">
        <v>0.29305555555555501</v>
      </c>
      <c r="D274" s="230">
        <v>0</v>
      </c>
      <c r="E274" s="230">
        <v>0</v>
      </c>
      <c r="F274" s="230">
        <v>0</v>
      </c>
      <c r="G274" s="230">
        <v>0</v>
      </c>
      <c r="H274" s="230">
        <v>0</v>
      </c>
      <c r="I274" s="230">
        <v>0</v>
      </c>
      <c r="J274" s="230">
        <v>0</v>
      </c>
    </row>
    <row r="275" spans="1:10" s="225" customFormat="1">
      <c r="A275" s="222" t="s">
        <v>178</v>
      </c>
      <c r="B275" s="222" t="s">
        <v>13</v>
      </c>
      <c r="C275" s="223">
        <v>0.29375000000000001</v>
      </c>
      <c r="D275" s="230">
        <v>0</v>
      </c>
      <c r="E275" s="230">
        <v>0</v>
      </c>
      <c r="F275" s="230">
        <v>0</v>
      </c>
      <c r="G275" s="230">
        <v>0</v>
      </c>
      <c r="H275" s="230">
        <v>0</v>
      </c>
      <c r="I275" s="230">
        <v>0</v>
      </c>
      <c r="J275" s="230">
        <v>0</v>
      </c>
    </row>
    <row r="276" spans="1:10" s="225" customFormat="1">
      <c r="A276" s="222" t="s">
        <v>178</v>
      </c>
      <c r="B276" s="222" t="s">
        <v>13</v>
      </c>
      <c r="C276" s="223">
        <v>0.29444444444444401</v>
      </c>
      <c r="D276" s="230">
        <v>0</v>
      </c>
      <c r="E276" s="230">
        <v>0</v>
      </c>
      <c r="F276" s="230">
        <v>0</v>
      </c>
      <c r="G276" s="230">
        <v>0</v>
      </c>
      <c r="H276" s="230">
        <v>0</v>
      </c>
      <c r="I276" s="230">
        <v>0</v>
      </c>
      <c r="J276" s="230">
        <v>0</v>
      </c>
    </row>
    <row r="277" spans="1:10" s="225" customFormat="1">
      <c r="A277" s="222" t="s">
        <v>178</v>
      </c>
      <c r="B277" s="222" t="s">
        <v>13</v>
      </c>
      <c r="C277" s="223">
        <v>0.29513888888888901</v>
      </c>
      <c r="D277" s="230">
        <v>0</v>
      </c>
      <c r="E277" s="230">
        <v>0</v>
      </c>
      <c r="F277" s="230">
        <v>0</v>
      </c>
      <c r="G277" s="230">
        <v>0</v>
      </c>
      <c r="H277" s="230">
        <v>0</v>
      </c>
      <c r="I277" s="230">
        <v>0</v>
      </c>
      <c r="J277" s="230">
        <v>0</v>
      </c>
    </row>
    <row r="278" spans="1:10" s="225" customFormat="1">
      <c r="A278" s="222" t="s">
        <v>178</v>
      </c>
      <c r="B278" s="222" t="s">
        <v>13</v>
      </c>
      <c r="C278" s="223">
        <v>0.295833333333333</v>
      </c>
      <c r="D278" s="230">
        <v>0</v>
      </c>
      <c r="E278" s="230">
        <v>0</v>
      </c>
      <c r="F278" s="230">
        <v>0</v>
      </c>
      <c r="G278" s="230">
        <v>0</v>
      </c>
      <c r="H278" s="230">
        <v>0</v>
      </c>
      <c r="I278" s="230">
        <v>0</v>
      </c>
      <c r="J278" s="230">
        <v>0</v>
      </c>
    </row>
    <row r="279" spans="1:10" s="225" customFormat="1">
      <c r="A279" s="222" t="s">
        <v>178</v>
      </c>
      <c r="B279" s="222" t="s">
        <v>13</v>
      </c>
      <c r="C279" s="223">
        <v>0.296527777777778</v>
      </c>
      <c r="D279" s="230">
        <v>0</v>
      </c>
      <c r="E279" s="230">
        <v>0</v>
      </c>
      <c r="F279" s="230">
        <v>0</v>
      </c>
      <c r="G279" s="230">
        <v>0</v>
      </c>
      <c r="H279" s="230">
        <v>0</v>
      </c>
      <c r="I279" s="230">
        <v>0</v>
      </c>
      <c r="J279" s="230">
        <v>0</v>
      </c>
    </row>
    <row r="280" spans="1:10" s="225" customFormat="1">
      <c r="A280" s="222" t="s">
        <v>178</v>
      </c>
      <c r="B280" s="222" t="s">
        <v>13</v>
      </c>
      <c r="C280" s="223">
        <v>0.297222222222222</v>
      </c>
      <c r="D280" s="230">
        <v>0</v>
      </c>
      <c r="E280" s="230">
        <v>0</v>
      </c>
      <c r="F280" s="230">
        <v>0</v>
      </c>
      <c r="G280" s="230">
        <v>0</v>
      </c>
      <c r="H280" s="230">
        <v>0</v>
      </c>
      <c r="I280" s="230">
        <v>0</v>
      </c>
      <c r="J280" s="230">
        <v>0</v>
      </c>
    </row>
    <row r="281" spans="1:10" s="225" customFormat="1">
      <c r="A281" s="222" t="s">
        <v>178</v>
      </c>
      <c r="B281" s="222" t="s">
        <v>13</v>
      </c>
      <c r="C281" s="223">
        <v>0.297916666666666</v>
      </c>
      <c r="D281" s="230">
        <v>0</v>
      </c>
      <c r="E281" s="230">
        <v>0</v>
      </c>
      <c r="F281" s="230">
        <v>0</v>
      </c>
      <c r="G281" s="230">
        <v>0</v>
      </c>
      <c r="H281" s="230">
        <v>0</v>
      </c>
      <c r="I281" s="230">
        <v>0</v>
      </c>
      <c r="J281" s="230">
        <v>0</v>
      </c>
    </row>
    <row r="282" spans="1:10" s="225" customFormat="1">
      <c r="A282" s="222" t="s">
        <v>178</v>
      </c>
      <c r="B282" s="222" t="s">
        <v>13</v>
      </c>
      <c r="C282" s="223">
        <v>0.29861111111111099</v>
      </c>
      <c r="D282" s="230">
        <v>0</v>
      </c>
      <c r="E282" s="230">
        <v>0</v>
      </c>
      <c r="F282" s="230">
        <v>0</v>
      </c>
      <c r="G282" s="230">
        <v>0</v>
      </c>
      <c r="H282" s="230">
        <v>0</v>
      </c>
      <c r="I282" s="230">
        <v>0</v>
      </c>
      <c r="J282" s="230">
        <v>0</v>
      </c>
    </row>
    <row r="283" spans="1:10" s="225" customFormat="1">
      <c r="A283" s="222" t="s">
        <v>178</v>
      </c>
      <c r="B283" s="222" t="s">
        <v>13</v>
      </c>
      <c r="C283" s="223">
        <v>0.29930555555555499</v>
      </c>
      <c r="D283" s="230">
        <v>0</v>
      </c>
      <c r="E283" s="230">
        <v>0</v>
      </c>
      <c r="F283" s="230">
        <v>0</v>
      </c>
      <c r="G283" s="230">
        <v>0</v>
      </c>
      <c r="H283" s="230">
        <v>0</v>
      </c>
      <c r="I283" s="230">
        <v>0</v>
      </c>
      <c r="J283" s="230">
        <v>0</v>
      </c>
    </row>
    <row r="284" spans="1:10" s="225" customFormat="1">
      <c r="A284" s="222" t="s">
        <v>178</v>
      </c>
      <c r="B284" s="222" t="s">
        <v>13</v>
      </c>
      <c r="C284" s="223">
        <v>0.3</v>
      </c>
      <c r="D284" s="230">
        <v>0</v>
      </c>
      <c r="E284" s="230">
        <v>0</v>
      </c>
      <c r="F284" s="230">
        <v>0</v>
      </c>
      <c r="G284" s="230">
        <v>0</v>
      </c>
      <c r="H284" s="230">
        <v>0</v>
      </c>
      <c r="I284" s="230">
        <v>0</v>
      </c>
      <c r="J284" s="230">
        <v>0</v>
      </c>
    </row>
    <row r="285" spans="1:10" s="225" customFormat="1">
      <c r="A285" s="222" t="s">
        <v>178</v>
      </c>
      <c r="B285" s="222" t="s">
        <v>13</v>
      </c>
      <c r="C285" s="223">
        <v>0.30069444444444399</v>
      </c>
      <c r="D285" s="230">
        <v>0</v>
      </c>
      <c r="E285" s="230">
        <v>0</v>
      </c>
      <c r="F285" s="230">
        <v>0</v>
      </c>
      <c r="G285" s="230">
        <v>0</v>
      </c>
      <c r="H285" s="230">
        <v>0</v>
      </c>
      <c r="I285" s="230">
        <v>0</v>
      </c>
      <c r="J285" s="230">
        <v>0</v>
      </c>
    </row>
    <row r="286" spans="1:10" s="229" customFormat="1">
      <c r="A286" s="226" t="s">
        <v>178</v>
      </c>
      <c r="B286" s="226" t="s">
        <v>13</v>
      </c>
      <c r="C286" s="227">
        <v>0.30138888888888898</v>
      </c>
      <c r="D286" s="231">
        <v>0</v>
      </c>
      <c r="E286" s="231">
        <v>0</v>
      </c>
      <c r="F286" s="231">
        <v>0</v>
      </c>
      <c r="G286" s="231">
        <v>0</v>
      </c>
      <c r="H286" s="231">
        <v>0</v>
      </c>
      <c r="I286" s="231">
        <v>0</v>
      </c>
      <c r="J286" s="231">
        <v>0</v>
      </c>
    </row>
    <row r="287" spans="1:10" s="225" customFormat="1">
      <c r="A287" s="222" t="s">
        <v>178</v>
      </c>
      <c r="B287" s="222" t="s">
        <v>13</v>
      </c>
      <c r="C287" s="223">
        <v>0.30208333333333298</v>
      </c>
      <c r="D287" s="230">
        <v>0</v>
      </c>
      <c r="E287" s="230">
        <v>0</v>
      </c>
      <c r="F287" s="230">
        <v>0</v>
      </c>
      <c r="G287" s="230">
        <v>0</v>
      </c>
      <c r="H287" s="230">
        <v>0</v>
      </c>
      <c r="I287" s="230">
        <v>0</v>
      </c>
      <c r="J287" s="230">
        <v>0</v>
      </c>
    </row>
    <row r="288" spans="1:10" s="225" customFormat="1">
      <c r="A288" s="222" t="s">
        <v>178</v>
      </c>
      <c r="B288" s="222" t="s">
        <v>13</v>
      </c>
      <c r="C288" s="223">
        <v>0.30277777777777798</v>
      </c>
      <c r="D288" s="230">
        <v>0</v>
      </c>
      <c r="E288" s="230">
        <v>0</v>
      </c>
      <c r="F288" s="230">
        <v>0</v>
      </c>
      <c r="G288" s="230">
        <v>0</v>
      </c>
      <c r="H288" s="230">
        <v>0</v>
      </c>
      <c r="I288" s="230">
        <v>0</v>
      </c>
      <c r="J288" s="230">
        <v>0</v>
      </c>
    </row>
    <row r="289" spans="1:10" s="225" customFormat="1">
      <c r="A289" s="222" t="s">
        <v>178</v>
      </c>
      <c r="B289" s="222" t="s">
        <v>13</v>
      </c>
      <c r="C289" s="223">
        <v>0.30347222222222198</v>
      </c>
      <c r="D289" s="230">
        <v>0</v>
      </c>
      <c r="E289" s="230">
        <v>0</v>
      </c>
      <c r="F289" s="230">
        <v>0</v>
      </c>
      <c r="G289" s="230">
        <v>0</v>
      </c>
      <c r="H289" s="230">
        <v>0</v>
      </c>
      <c r="I289" s="230">
        <v>0</v>
      </c>
      <c r="J289" s="230">
        <v>0</v>
      </c>
    </row>
    <row r="290" spans="1:10" s="225" customFormat="1">
      <c r="A290" s="222" t="s">
        <v>178</v>
      </c>
      <c r="B290" s="222" t="s">
        <v>13</v>
      </c>
      <c r="C290" s="223">
        <v>0.30416666666666697</v>
      </c>
      <c r="D290" s="230">
        <v>0</v>
      </c>
      <c r="E290" s="230">
        <v>0</v>
      </c>
      <c r="F290" s="230">
        <v>0</v>
      </c>
      <c r="G290" s="230">
        <v>0</v>
      </c>
      <c r="H290" s="230">
        <v>0</v>
      </c>
      <c r="I290" s="230">
        <v>0</v>
      </c>
      <c r="J290" s="230">
        <v>0</v>
      </c>
    </row>
    <row r="291" spans="1:10" s="225" customFormat="1">
      <c r="A291" s="222" t="s">
        <v>178</v>
      </c>
      <c r="B291" s="222" t="s">
        <v>13</v>
      </c>
      <c r="C291" s="223">
        <v>0.30486111111111103</v>
      </c>
      <c r="D291" s="230">
        <v>0</v>
      </c>
      <c r="E291" s="230">
        <v>0</v>
      </c>
      <c r="F291" s="230">
        <v>0</v>
      </c>
      <c r="G291" s="230">
        <v>0</v>
      </c>
      <c r="H291" s="230">
        <v>0</v>
      </c>
      <c r="I291" s="230">
        <v>0</v>
      </c>
      <c r="J291" s="230">
        <v>0</v>
      </c>
    </row>
    <row r="292" spans="1:10" s="225" customFormat="1">
      <c r="A292" s="222" t="s">
        <v>178</v>
      </c>
      <c r="B292" s="222" t="s">
        <v>13</v>
      </c>
      <c r="C292" s="223">
        <v>0.30555555555555503</v>
      </c>
      <c r="D292" s="230">
        <v>0</v>
      </c>
      <c r="E292" s="230">
        <v>0</v>
      </c>
      <c r="F292" s="230">
        <v>0</v>
      </c>
      <c r="G292" s="230">
        <v>0</v>
      </c>
      <c r="H292" s="230">
        <v>0</v>
      </c>
      <c r="I292" s="230">
        <v>0</v>
      </c>
      <c r="J292" s="230">
        <v>0</v>
      </c>
    </row>
    <row r="293" spans="1:10" s="225" customFormat="1">
      <c r="A293" s="222" t="s">
        <v>178</v>
      </c>
      <c r="B293" s="222" t="s">
        <v>13</v>
      </c>
      <c r="C293" s="223">
        <v>0.30625000000000002</v>
      </c>
      <c r="D293" s="230">
        <v>0</v>
      </c>
      <c r="E293" s="230">
        <v>0</v>
      </c>
      <c r="F293" s="230">
        <v>0</v>
      </c>
      <c r="G293" s="230">
        <v>0</v>
      </c>
      <c r="H293" s="230">
        <v>0</v>
      </c>
      <c r="I293" s="230">
        <v>0</v>
      </c>
      <c r="J293" s="230">
        <v>0</v>
      </c>
    </row>
    <row r="294" spans="1:10" s="225" customFormat="1">
      <c r="A294" s="222" t="s">
        <v>178</v>
      </c>
      <c r="B294" s="222" t="s">
        <v>13</v>
      </c>
      <c r="C294" s="223">
        <v>0.30694444444444402</v>
      </c>
      <c r="D294" s="230">
        <v>0</v>
      </c>
      <c r="E294" s="230">
        <v>0</v>
      </c>
      <c r="F294" s="230">
        <v>0</v>
      </c>
      <c r="G294" s="230">
        <v>0</v>
      </c>
      <c r="H294" s="230">
        <v>0</v>
      </c>
      <c r="I294" s="230">
        <v>0</v>
      </c>
      <c r="J294" s="230">
        <v>0</v>
      </c>
    </row>
    <row r="295" spans="1:10" s="225" customFormat="1">
      <c r="A295" s="222" t="s">
        <v>178</v>
      </c>
      <c r="B295" s="222" t="s">
        <v>13</v>
      </c>
      <c r="C295" s="223">
        <v>0.30763888888888902</v>
      </c>
      <c r="D295" s="230">
        <v>0</v>
      </c>
      <c r="E295" s="230">
        <v>0</v>
      </c>
      <c r="F295" s="230">
        <v>0</v>
      </c>
      <c r="G295" s="230">
        <v>0</v>
      </c>
      <c r="H295" s="230">
        <v>0</v>
      </c>
      <c r="I295" s="230">
        <v>0</v>
      </c>
      <c r="J295" s="230">
        <v>0</v>
      </c>
    </row>
    <row r="296" spans="1:10" s="225" customFormat="1">
      <c r="A296" s="222" t="s">
        <v>178</v>
      </c>
      <c r="B296" s="222" t="s">
        <v>13</v>
      </c>
      <c r="C296" s="223">
        <v>0.30833333333333302</v>
      </c>
      <c r="D296" s="230">
        <v>0</v>
      </c>
      <c r="E296" s="230">
        <v>0</v>
      </c>
      <c r="F296" s="230">
        <v>0</v>
      </c>
      <c r="G296" s="230">
        <v>0</v>
      </c>
      <c r="H296" s="230">
        <v>0</v>
      </c>
      <c r="I296" s="230">
        <v>0</v>
      </c>
      <c r="J296" s="230">
        <v>0</v>
      </c>
    </row>
    <row r="297" spans="1:10" s="225" customFormat="1">
      <c r="A297" s="222" t="s">
        <v>178</v>
      </c>
      <c r="B297" s="222" t="s">
        <v>13</v>
      </c>
      <c r="C297" s="223">
        <v>0.30902777777777801</v>
      </c>
      <c r="D297" s="230">
        <v>0</v>
      </c>
      <c r="E297" s="230">
        <v>0</v>
      </c>
      <c r="F297" s="230">
        <v>0</v>
      </c>
      <c r="G297" s="230">
        <v>0</v>
      </c>
      <c r="H297" s="230">
        <v>0</v>
      </c>
      <c r="I297" s="230">
        <v>0</v>
      </c>
      <c r="J297" s="230">
        <v>0</v>
      </c>
    </row>
    <row r="298" spans="1:10" s="225" customFormat="1">
      <c r="A298" s="222" t="s">
        <v>178</v>
      </c>
      <c r="B298" s="222" t="s">
        <v>13</v>
      </c>
      <c r="C298" s="223">
        <v>0.30972222222222201</v>
      </c>
      <c r="D298" s="230">
        <v>0</v>
      </c>
      <c r="E298" s="230">
        <v>0</v>
      </c>
      <c r="F298" s="230">
        <v>0</v>
      </c>
      <c r="G298" s="230">
        <v>0</v>
      </c>
      <c r="H298" s="230">
        <v>0</v>
      </c>
      <c r="I298" s="230">
        <v>0</v>
      </c>
      <c r="J298" s="230">
        <v>0</v>
      </c>
    </row>
    <row r="299" spans="1:10" s="225" customFormat="1">
      <c r="A299" s="222" t="s">
        <v>178</v>
      </c>
      <c r="B299" s="222" t="s">
        <v>13</v>
      </c>
      <c r="C299" s="223">
        <v>0.31041666666666701</v>
      </c>
      <c r="D299" s="230">
        <v>0</v>
      </c>
      <c r="E299" s="230">
        <v>0</v>
      </c>
      <c r="F299" s="230">
        <v>0</v>
      </c>
      <c r="G299" s="230">
        <v>0</v>
      </c>
      <c r="H299" s="230">
        <v>0</v>
      </c>
      <c r="I299" s="230">
        <v>0</v>
      </c>
      <c r="J299" s="230">
        <v>0</v>
      </c>
    </row>
    <row r="300" spans="1:10" s="225" customFormat="1">
      <c r="A300" s="222" t="s">
        <v>178</v>
      </c>
      <c r="B300" s="222" t="s">
        <v>13</v>
      </c>
      <c r="C300" s="223">
        <v>0.31111111111111101</v>
      </c>
      <c r="D300" s="230">
        <v>0</v>
      </c>
      <c r="E300" s="230">
        <v>0</v>
      </c>
      <c r="F300" s="230">
        <v>0</v>
      </c>
      <c r="G300" s="230">
        <v>0</v>
      </c>
      <c r="H300" s="230">
        <v>0</v>
      </c>
      <c r="I300" s="230">
        <v>0</v>
      </c>
      <c r="J300" s="230">
        <v>0</v>
      </c>
    </row>
    <row r="301" spans="1:10" s="229" customFormat="1">
      <c r="A301" s="226" t="s">
        <v>178</v>
      </c>
      <c r="B301" s="226" t="s">
        <v>13</v>
      </c>
      <c r="C301" s="227">
        <v>0.311805555555555</v>
      </c>
      <c r="D301" s="231">
        <v>0</v>
      </c>
      <c r="E301" s="231">
        <v>0</v>
      </c>
      <c r="F301" s="231">
        <v>0</v>
      </c>
      <c r="G301" s="231">
        <v>0</v>
      </c>
      <c r="H301" s="231">
        <v>0</v>
      </c>
      <c r="I301" s="231">
        <v>0</v>
      </c>
      <c r="J301" s="231">
        <v>0</v>
      </c>
    </row>
    <row r="302" spans="1:10" s="225" customFormat="1">
      <c r="A302" s="222" t="s">
        <v>178</v>
      </c>
      <c r="B302" s="222" t="s">
        <v>13</v>
      </c>
      <c r="C302" s="223">
        <v>0.3125</v>
      </c>
      <c r="D302" s="230">
        <v>0</v>
      </c>
      <c r="E302" s="230">
        <v>0</v>
      </c>
      <c r="F302" s="230">
        <v>0</v>
      </c>
      <c r="G302" s="230">
        <v>0</v>
      </c>
      <c r="H302" s="230">
        <v>0</v>
      </c>
      <c r="I302" s="230">
        <v>0</v>
      </c>
      <c r="J302" s="230">
        <v>0</v>
      </c>
    </row>
    <row r="303" spans="1:10" s="225" customFormat="1">
      <c r="A303" s="222" t="s">
        <v>178</v>
      </c>
      <c r="B303" s="222" t="s">
        <v>13</v>
      </c>
      <c r="C303" s="223">
        <v>0.313194444444444</v>
      </c>
      <c r="D303" s="230">
        <v>0</v>
      </c>
      <c r="E303" s="230">
        <v>0</v>
      </c>
      <c r="F303" s="230">
        <v>0</v>
      </c>
      <c r="G303" s="230">
        <v>0</v>
      </c>
      <c r="H303" s="230">
        <v>0</v>
      </c>
      <c r="I303" s="230">
        <v>0</v>
      </c>
      <c r="J303" s="230">
        <v>0</v>
      </c>
    </row>
    <row r="304" spans="1:10" s="225" customFormat="1">
      <c r="A304" s="222" t="s">
        <v>178</v>
      </c>
      <c r="B304" s="222" t="s">
        <v>13</v>
      </c>
      <c r="C304" s="223">
        <v>0.31388888888888899</v>
      </c>
      <c r="D304" s="230">
        <v>0</v>
      </c>
      <c r="E304" s="230">
        <v>0</v>
      </c>
      <c r="F304" s="230">
        <v>0</v>
      </c>
      <c r="G304" s="230">
        <v>0</v>
      </c>
      <c r="H304" s="230">
        <v>0</v>
      </c>
      <c r="I304" s="230">
        <v>0</v>
      </c>
      <c r="J304" s="230">
        <v>0</v>
      </c>
    </row>
    <row r="305" spans="1:10" s="225" customFormat="1">
      <c r="A305" s="222" t="s">
        <v>178</v>
      </c>
      <c r="B305" s="222" t="s">
        <v>13</v>
      </c>
      <c r="C305" s="223">
        <v>0.31458333333333299</v>
      </c>
      <c r="D305" s="230">
        <v>0</v>
      </c>
      <c r="E305" s="230">
        <v>0</v>
      </c>
      <c r="F305" s="230">
        <v>0</v>
      </c>
      <c r="G305" s="230">
        <v>0</v>
      </c>
      <c r="H305" s="230">
        <v>0</v>
      </c>
      <c r="I305" s="230">
        <v>0</v>
      </c>
      <c r="J305" s="230">
        <v>0</v>
      </c>
    </row>
    <row r="306" spans="1:10" s="225" customFormat="1">
      <c r="A306" s="222" t="s">
        <v>178</v>
      </c>
      <c r="B306" s="222" t="s">
        <v>13</v>
      </c>
      <c r="C306" s="223">
        <v>0.31527777777777799</v>
      </c>
      <c r="D306" s="230">
        <v>0</v>
      </c>
      <c r="E306" s="230">
        <v>0</v>
      </c>
      <c r="F306" s="230">
        <v>0</v>
      </c>
      <c r="G306" s="230">
        <v>0</v>
      </c>
      <c r="H306" s="230">
        <v>0</v>
      </c>
      <c r="I306" s="230">
        <v>0</v>
      </c>
      <c r="J306" s="230">
        <v>0</v>
      </c>
    </row>
    <row r="307" spans="1:10" s="225" customFormat="1">
      <c r="A307" s="222" t="s">
        <v>178</v>
      </c>
      <c r="B307" s="222" t="s">
        <v>13</v>
      </c>
      <c r="C307" s="223">
        <v>0.31597222222222199</v>
      </c>
      <c r="D307" s="230">
        <v>0</v>
      </c>
      <c r="E307" s="230">
        <v>0</v>
      </c>
      <c r="F307" s="230">
        <v>0</v>
      </c>
      <c r="G307" s="230">
        <v>0</v>
      </c>
      <c r="H307" s="230">
        <v>0</v>
      </c>
      <c r="I307" s="230">
        <v>0</v>
      </c>
      <c r="J307" s="230">
        <v>0</v>
      </c>
    </row>
    <row r="308" spans="1:10" s="225" customFormat="1">
      <c r="A308" s="222" t="s">
        <v>178</v>
      </c>
      <c r="B308" s="222" t="s">
        <v>13</v>
      </c>
      <c r="C308" s="223">
        <v>0.31666666666666698</v>
      </c>
      <c r="D308" s="230">
        <v>0</v>
      </c>
      <c r="E308" s="230">
        <v>0</v>
      </c>
      <c r="F308" s="230">
        <v>0</v>
      </c>
      <c r="G308" s="230">
        <v>0</v>
      </c>
      <c r="H308" s="230">
        <v>0</v>
      </c>
      <c r="I308" s="230">
        <v>0</v>
      </c>
      <c r="J308" s="230">
        <v>0</v>
      </c>
    </row>
    <row r="309" spans="1:10" s="225" customFormat="1">
      <c r="A309" s="222" t="s">
        <v>178</v>
      </c>
      <c r="B309" s="222" t="s">
        <v>13</v>
      </c>
      <c r="C309" s="223">
        <v>0.31736111111111098</v>
      </c>
      <c r="D309" s="230">
        <v>0</v>
      </c>
      <c r="E309" s="230">
        <v>0</v>
      </c>
      <c r="F309" s="230">
        <v>0</v>
      </c>
      <c r="G309" s="230">
        <v>0</v>
      </c>
      <c r="H309" s="230">
        <v>0</v>
      </c>
      <c r="I309" s="230">
        <v>0</v>
      </c>
      <c r="J309" s="230">
        <v>0</v>
      </c>
    </row>
    <row r="310" spans="1:10" s="225" customFormat="1">
      <c r="A310" s="222" t="s">
        <v>178</v>
      </c>
      <c r="B310" s="222" t="s">
        <v>13</v>
      </c>
      <c r="C310" s="223">
        <v>0.31805555555555498</v>
      </c>
      <c r="D310" s="230">
        <v>0</v>
      </c>
      <c r="E310" s="230">
        <v>0</v>
      </c>
      <c r="F310" s="230">
        <v>0</v>
      </c>
      <c r="G310" s="230">
        <v>0</v>
      </c>
      <c r="H310" s="230">
        <v>0</v>
      </c>
      <c r="I310" s="230">
        <v>0</v>
      </c>
      <c r="J310" s="230">
        <v>0</v>
      </c>
    </row>
    <row r="311" spans="1:10" s="225" customFormat="1">
      <c r="A311" s="222" t="s">
        <v>178</v>
      </c>
      <c r="B311" s="222" t="s">
        <v>13</v>
      </c>
      <c r="C311" s="223">
        <v>0.31874999999999998</v>
      </c>
      <c r="D311" s="230">
        <v>0</v>
      </c>
      <c r="E311" s="230">
        <v>0</v>
      </c>
      <c r="F311" s="230">
        <v>0</v>
      </c>
      <c r="G311" s="230">
        <v>0</v>
      </c>
      <c r="H311" s="230">
        <v>0</v>
      </c>
      <c r="I311" s="230">
        <v>0</v>
      </c>
      <c r="J311" s="230">
        <v>0</v>
      </c>
    </row>
    <row r="312" spans="1:10" s="225" customFormat="1">
      <c r="A312" s="222" t="s">
        <v>178</v>
      </c>
      <c r="B312" s="222" t="s">
        <v>13</v>
      </c>
      <c r="C312" s="223">
        <v>0.31944444444444398</v>
      </c>
      <c r="D312" s="230">
        <v>0</v>
      </c>
      <c r="E312" s="230">
        <v>0</v>
      </c>
      <c r="F312" s="230">
        <v>0</v>
      </c>
      <c r="G312" s="230">
        <v>0</v>
      </c>
      <c r="H312" s="230">
        <v>0</v>
      </c>
      <c r="I312" s="230">
        <v>0</v>
      </c>
      <c r="J312" s="230">
        <v>0</v>
      </c>
    </row>
    <row r="313" spans="1:10" s="225" customFormat="1">
      <c r="A313" s="222" t="s">
        <v>178</v>
      </c>
      <c r="B313" s="222" t="s">
        <v>13</v>
      </c>
      <c r="C313" s="223">
        <v>0.32013888888888897</v>
      </c>
      <c r="D313" s="230">
        <v>0</v>
      </c>
      <c r="E313" s="230">
        <v>0</v>
      </c>
      <c r="F313" s="230">
        <v>0</v>
      </c>
      <c r="G313" s="230">
        <v>0</v>
      </c>
      <c r="H313" s="230">
        <v>0</v>
      </c>
      <c r="I313" s="230">
        <v>0</v>
      </c>
      <c r="J313" s="230">
        <v>0</v>
      </c>
    </row>
    <row r="314" spans="1:10" s="225" customFormat="1">
      <c r="A314" s="222" t="s">
        <v>178</v>
      </c>
      <c r="B314" s="222" t="s">
        <v>13</v>
      </c>
      <c r="C314" s="223">
        <v>0.32083333333333303</v>
      </c>
      <c r="D314" s="230">
        <v>0</v>
      </c>
      <c r="E314" s="230">
        <v>0</v>
      </c>
      <c r="F314" s="230">
        <v>0</v>
      </c>
      <c r="G314" s="230">
        <v>0</v>
      </c>
      <c r="H314" s="230">
        <v>0</v>
      </c>
      <c r="I314" s="230">
        <v>0</v>
      </c>
      <c r="J314" s="230">
        <v>0</v>
      </c>
    </row>
    <row r="315" spans="1:10" s="225" customFormat="1">
      <c r="A315" s="222" t="s">
        <v>178</v>
      </c>
      <c r="B315" s="222" t="s">
        <v>13</v>
      </c>
      <c r="C315" s="223">
        <v>0.32152777777777802</v>
      </c>
      <c r="D315" s="230">
        <v>0</v>
      </c>
      <c r="E315" s="230">
        <v>0</v>
      </c>
      <c r="F315" s="230">
        <v>0</v>
      </c>
      <c r="G315" s="230">
        <v>0</v>
      </c>
      <c r="H315" s="230">
        <v>0</v>
      </c>
      <c r="I315" s="230">
        <v>0</v>
      </c>
      <c r="J315" s="230">
        <v>0</v>
      </c>
    </row>
    <row r="316" spans="1:10" s="229" customFormat="1">
      <c r="A316" s="226" t="s">
        <v>178</v>
      </c>
      <c r="B316" s="226" t="s">
        <v>13</v>
      </c>
      <c r="C316" s="227">
        <v>0.32222222222222202</v>
      </c>
      <c r="D316" s="231">
        <v>0</v>
      </c>
      <c r="E316" s="231">
        <v>0</v>
      </c>
      <c r="F316" s="231">
        <v>0</v>
      </c>
      <c r="G316" s="231">
        <v>0</v>
      </c>
      <c r="H316" s="231">
        <v>0</v>
      </c>
      <c r="I316" s="231">
        <v>0</v>
      </c>
      <c r="J316" s="231">
        <v>0</v>
      </c>
    </row>
    <row r="317" spans="1:10" s="225" customFormat="1">
      <c r="A317" s="222" t="s">
        <v>178</v>
      </c>
      <c r="B317" s="222" t="s">
        <v>13</v>
      </c>
      <c r="C317" s="223">
        <v>0.32291666666666602</v>
      </c>
      <c r="D317" s="230">
        <v>0</v>
      </c>
      <c r="E317" s="230">
        <v>0</v>
      </c>
      <c r="F317" s="230">
        <v>0</v>
      </c>
      <c r="G317" s="230">
        <v>0</v>
      </c>
      <c r="H317" s="230">
        <v>0</v>
      </c>
      <c r="I317" s="230">
        <v>0</v>
      </c>
      <c r="J317" s="230">
        <v>0</v>
      </c>
    </row>
    <row r="318" spans="1:10" s="225" customFormat="1">
      <c r="A318" s="222" t="s">
        <v>178</v>
      </c>
      <c r="B318" s="222" t="s">
        <v>13</v>
      </c>
      <c r="C318" s="223">
        <v>0.32361111111111102</v>
      </c>
      <c r="D318" s="230">
        <v>0</v>
      </c>
      <c r="E318" s="230">
        <v>0</v>
      </c>
      <c r="F318" s="230">
        <v>0</v>
      </c>
      <c r="G318" s="230">
        <v>0</v>
      </c>
      <c r="H318" s="230">
        <v>0</v>
      </c>
      <c r="I318" s="230">
        <v>0</v>
      </c>
      <c r="J318" s="230">
        <v>0</v>
      </c>
    </row>
    <row r="319" spans="1:10" s="225" customFormat="1">
      <c r="A319" s="222" t="s">
        <v>178</v>
      </c>
      <c r="B319" s="222" t="s">
        <v>13</v>
      </c>
      <c r="C319" s="223">
        <v>0.32430555555555501</v>
      </c>
      <c r="D319" s="230">
        <v>0</v>
      </c>
      <c r="E319" s="230">
        <v>0</v>
      </c>
      <c r="F319" s="230">
        <v>0</v>
      </c>
      <c r="G319" s="230">
        <v>0</v>
      </c>
      <c r="H319" s="230">
        <v>0</v>
      </c>
      <c r="I319" s="230">
        <v>0</v>
      </c>
      <c r="J319" s="230">
        <v>0</v>
      </c>
    </row>
    <row r="320" spans="1:10" s="225" customFormat="1">
      <c r="A320" s="222" t="s">
        <v>178</v>
      </c>
      <c r="B320" s="222" t="s">
        <v>13</v>
      </c>
      <c r="C320" s="223">
        <v>0.32500000000000001</v>
      </c>
      <c r="D320" s="230">
        <v>0</v>
      </c>
      <c r="E320" s="230">
        <v>0</v>
      </c>
      <c r="F320" s="230">
        <v>0</v>
      </c>
      <c r="G320" s="230">
        <v>0</v>
      </c>
      <c r="H320" s="230">
        <v>0</v>
      </c>
      <c r="I320" s="230">
        <v>0</v>
      </c>
      <c r="J320" s="230">
        <v>0</v>
      </c>
    </row>
    <row r="321" spans="1:10" s="225" customFormat="1">
      <c r="A321" s="222" t="s">
        <v>178</v>
      </c>
      <c r="B321" s="222" t="s">
        <v>13</v>
      </c>
      <c r="C321" s="223">
        <v>0.32569444444444401</v>
      </c>
      <c r="D321" s="230">
        <v>0</v>
      </c>
      <c r="E321" s="230">
        <v>0</v>
      </c>
      <c r="F321" s="230">
        <v>0</v>
      </c>
      <c r="G321" s="230">
        <v>0</v>
      </c>
      <c r="H321" s="230">
        <v>0</v>
      </c>
      <c r="I321" s="230">
        <v>0</v>
      </c>
      <c r="J321" s="230">
        <v>0</v>
      </c>
    </row>
    <row r="322" spans="1:10" s="225" customFormat="1">
      <c r="A322" s="222" t="s">
        <v>178</v>
      </c>
      <c r="B322" s="222" t="s">
        <v>13</v>
      </c>
      <c r="C322" s="223">
        <v>0.32638888888888901</v>
      </c>
      <c r="D322" s="230">
        <v>0</v>
      </c>
      <c r="E322" s="230">
        <v>0</v>
      </c>
      <c r="F322" s="230">
        <v>0</v>
      </c>
      <c r="G322" s="230">
        <v>0</v>
      </c>
      <c r="H322" s="230">
        <v>0</v>
      </c>
      <c r="I322" s="230">
        <v>0</v>
      </c>
      <c r="J322" s="230">
        <v>0</v>
      </c>
    </row>
    <row r="323" spans="1:10" s="225" customFormat="1">
      <c r="A323" s="222" t="s">
        <v>178</v>
      </c>
      <c r="B323" s="222" t="s">
        <v>13</v>
      </c>
      <c r="C323" s="223">
        <v>0.327083333333333</v>
      </c>
      <c r="D323" s="230">
        <v>0</v>
      </c>
      <c r="E323" s="230">
        <v>0</v>
      </c>
      <c r="F323" s="230">
        <v>0</v>
      </c>
      <c r="G323" s="230">
        <v>0</v>
      </c>
      <c r="H323" s="230">
        <v>0</v>
      </c>
      <c r="I323" s="230">
        <v>0</v>
      </c>
      <c r="J323" s="230">
        <v>0</v>
      </c>
    </row>
    <row r="324" spans="1:10" s="225" customFormat="1">
      <c r="A324" s="222" t="s">
        <v>178</v>
      </c>
      <c r="B324" s="222" t="s">
        <v>13</v>
      </c>
      <c r="C324" s="223">
        <v>0.327777777777778</v>
      </c>
      <c r="D324" s="230">
        <v>0</v>
      </c>
      <c r="E324" s="230">
        <v>0</v>
      </c>
      <c r="F324" s="230">
        <v>0</v>
      </c>
      <c r="G324" s="230">
        <v>0</v>
      </c>
      <c r="H324" s="230">
        <v>0</v>
      </c>
      <c r="I324" s="230">
        <v>0</v>
      </c>
      <c r="J324" s="230">
        <v>0</v>
      </c>
    </row>
    <row r="325" spans="1:10" s="225" customFormat="1">
      <c r="A325" s="222" t="s">
        <v>178</v>
      </c>
      <c r="B325" s="222" t="s">
        <v>13</v>
      </c>
      <c r="C325" s="223">
        <v>0.328472222222222</v>
      </c>
      <c r="D325" s="230">
        <v>0</v>
      </c>
      <c r="E325" s="230">
        <v>0</v>
      </c>
      <c r="F325" s="230">
        <v>0</v>
      </c>
      <c r="G325" s="230">
        <v>0</v>
      </c>
      <c r="H325" s="230">
        <v>0</v>
      </c>
      <c r="I325" s="230">
        <v>0</v>
      </c>
      <c r="J325" s="230">
        <v>0</v>
      </c>
    </row>
    <row r="326" spans="1:10" s="225" customFormat="1">
      <c r="A326" s="222" t="s">
        <v>178</v>
      </c>
      <c r="B326" s="222" t="s">
        <v>13</v>
      </c>
      <c r="C326" s="223">
        <v>0.329166666666666</v>
      </c>
      <c r="D326" s="230">
        <v>0</v>
      </c>
      <c r="E326" s="230">
        <v>0</v>
      </c>
      <c r="F326" s="230">
        <v>0</v>
      </c>
      <c r="G326" s="230">
        <v>0</v>
      </c>
      <c r="H326" s="230">
        <v>0</v>
      </c>
      <c r="I326" s="230">
        <v>0</v>
      </c>
      <c r="J326" s="230">
        <v>0</v>
      </c>
    </row>
    <row r="327" spans="1:10" s="225" customFormat="1">
      <c r="A327" s="222" t="s">
        <v>178</v>
      </c>
      <c r="B327" s="222" t="s">
        <v>13</v>
      </c>
      <c r="C327" s="223">
        <v>0.32986111111111099</v>
      </c>
      <c r="D327" s="230">
        <v>0</v>
      </c>
      <c r="E327" s="230">
        <v>0</v>
      </c>
      <c r="F327" s="230">
        <v>0</v>
      </c>
      <c r="G327" s="230">
        <v>0</v>
      </c>
      <c r="H327" s="230">
        <v>0</v>
      </c>
      <c r="I327" s="230">
        <v>0</v>
      </c>
      <c r="J327" s="230">
        <v>0</v>
      </c>
    </row>
    <row r="328" spans="1:10" s="225" customFormat="1">
      <c r="A328" s="222" t="s">
        <v>178</v>
      </c>
      <c r="B328" s="222" t="s">
        <v>13</v>
      </c>
      <c r="C328" s="223">
        <v>0.33055555555555499</v>
      </c>
      <c r="D328" s="230">
        <v>0</v>
      </c>
      <c r="E328" s="230">
        <v>0</v>
      </c>
      <c r="F328" s="230">
        <v>0</v>
      </c>
      <c r="G328" s="230">
        <v>0</v>
      </c>
      <c r="H328" s="230">
        <v>0</v>
      </c>
      <c r="I328" s="230">
        <v>0</v>
      </c>
      <c r="J328" s="230">
        <v>0</v>
      </c>
    </row>
    <row r="329" spans="1:10" s="225" customFormat="1">
      <c r="A329" s="222" t="s">
        <v>178</v>
      </c>
      <c r="B329" s="222" t="s">
        <v>13</v>
      </c>
      <c r="C329" s="223">
        <v>0.33124999999999999</v>
      </c>
      <c r="D329" s="230">
        <v>0</v>
      </c>
      <c r="E329" s="230">
        <v>0</v>
      </c>
      <c r="F329" s="230">
        <v>0</v>
      </c>
      <c r="G329" s="230">
        <v>0</v>
      </c>
      <c r="H329" s="230">
        <v>0</v>
      </c>
      <c r="I329" s="230">
        <v>0</v>
      </c>
      <c r="J329" s="230">
        <v>0</v>
      </c>
    </row>
    <row r="330" spans="1:10" s="225" customFormat="1">
      <c r="A330" s="222" t="s">
        <v>178</v>
      </c>
      <c r="B330" s="222" t="s">
        <v>13</v>
      </c>
      <c r="C330" s="223">
        <v>0.33194444444444399</v>
      </c>
      <c r="D330" s="230">
        <v>0</v>
      </c>
      <c r="E330" s="230">
        <v>0</v>
      </c>
      <c r="F330" s="230">
        <v>0</v>
      </c>
      <c r="G330" s="230">
        <v>0</v>
      </c>
      <c r="H330" s="230">
        <v>0</v>
      </c>
      <c r="I330" s="230">
        <v>0</v>
      </c>
      <c r="J330" s="230">
        <v>0</v>
      </c>
    </row>
    <row r="331" spans="1:10" s="229" customFormat="1">
      <c r="A331" s="226" t="s">
        <v>178</v>
      </c>
      <c r="B331" s="226" t="s">
        <v>13</v>
      </c>
      <c r="C331" s="227">
        <v>0.33263888888888898</v>
      </c>
      <c r="D331" s="231">
        <v>0</v>
      </c>
      <c r="E331" s="231">
        <v>0</v>
      </c>
      <c r="F331" s="231">
        <v>0</v>
      </c>
      <c r="G331" s="231">
        <v>0</v>
      </c>
      <c r="H331" s="231">
        <v>0</v>
      </c>
      <c r="I331" s="231">
        <v>0</v>
      </c>
      <c r="J331" s="231">
        <v>0</v>
      </c>
    </row>
    <row r="332" spans="1:10" s="225" customFormat="1">
      <c r="A332" s="222" t="s">
        <v>178</v>
      </c>
      <c r="B332" s="222" t="s">
        <v>13</v>
      </c>
      <c r="C332" s="223">
        <v>0.33333333333333298</v>
      </c>
      <c r="D332" s="230">
        <v>0</v>
      </c>
      <c r="E332" s="230">
        <v>0</v>
      </c>
      <c r="F332" s="230">
        <v>0</v>
      </c>
      <c r="G332" s="230">
        <v>0</v>
      </c>
      <c r="H332" s="230">
        <v>0</v>
      </c>
      <c r="I332" s="230">
        <v>0</v>
      </c>
      <c r="J332" s="230">
        <v>0</v>
      </c>
    </row>
    <row r="333" spans="1:10" s="225" customFormat="1">
      <c r="A333" s="222" t="s">
        <v>178</v>
      </c>
      <c r="B333" s="222" t="s">
        <v>13</v>
      </c>
      <c r="C333" s="223">
        <v>0.33402777777777798</v>
      </c>
      <c r="D333" s="230">
        <v>0</v>
      </c>
      <c r="E333" s="230">
        <v>0</v>
      </c>
      <c r="F333" s="230">
        <v>0</v>
      </c>
      <c r="G333" s="230">
        <v>0</v>
      </c>
      <c r="H333" s="230">
        <v>0</v>
      </c>
      <c r="I333" s="230">
        <v>0</v>
      </c>
      <c r="J333" s="230">
        <v>0</v>
      </c>
    </row>
    <row r="334" spans="1:10" s="225" customFormat="1">
      <c r="A334" s="222" t="s">
        <v>178</v>
      </c>
      <c r="B334" s="222" t="s">
        <v>13</v>
      </c>
      <c r="C334" s="223">
        <v>0.33472222222222198</v>
      </c>
      <c r="D334" s="230">
        <v>0</v>
      </c>
      <c r="E334" s="230">
        <v>0</v>
      </c>
      <c r="F334" s="230">
        <v>0</v>
      </c>
      <c r="G334" s="230">
        <v>0</v>
      </c>
      <c r="H334" s="230">
        <v>0</v>
      </c>
      <c r="I334" s="230">
        <v>0</v>
      </c>
      <c r="J334" s="230">
        <v>0</v>
      </c>
    </row>
    <row r="335" spans="1:10" s="225" customFormat="1">
      <c r="A335" s="222" t="s">
        <v>178</v>
      </c>
      <c r="B335" s="222" t="s">
        <v>13</v>
      </c>
      <c r="C335" s="223">
        <v>0.33541666666666597</v>
      </c>
      <c r="D335" s="230">
        <v>0</v>
      </c>
      <c r="E335" s="230">
        <v>0</v>
      </c>
      <c r="F335" s="230">
        <v>0</v>
      </c>
      <c r="G335" s="230">
        <v>0</v>
      </c>
      <c r="H335" s="230">
        <v>0</v>
      </c>
      <c r="I335" s="230">
        <v>0</v>
      </c>
      <c r="J335" s="230">
        <v>0</v>
      </c>
    </row>
    <row r="336" spans="1:10" s="225" customFormat="1">
      <c r="A336" s="222" t="s">
        <v>178</v>
      </c>
      <c r="B336" s="222" t="s">
        <v>13</v>
      </c>
      <c r="C336" s="223">
        <v>0.33611111111111103</v>
      </c>
      <c r="D336" s="230">
        <v>0</v>
      </c>
      <c r="E336" s="230">
        <v>0</v>
      </c>
      <c r="F336" s="230">
        <v>0</v>
      </c>
      <c r="G336" s="230">
        <v>0</v>
      </c>
      <c r="H336" s="230">
        <v>0</v>
      </c>
      <c r="I336" s="230">
        <v>0</v>
      </c>
      <c r="J336" s="230">
        <v>0</v>
      </c>
    </row>
    <row r="337" spans="1:10" s="225" customFormat="1">
      <c r="A337" s="222" t="s">
        <v>178</v>
      </c>
      <c r="B337" s="222" t="s">
        <v>13</v>
      </c>
      <c r="C337" s="223">
        <v>0.33680555555555503</v>
      </c>
      <c r="D337" s="230">
        <v>0</v>
      </c>
      <c r="E337" s="230">
        <v>0</v>
      </c>
      <c r="F337" s="230">
        <v>0</v>
      </c>
      <c r="G337" s="230">
        <v>0</v>
      </c>
      <c r="H337" s="230">
        <v>0</v>
      </c>
      <c r="I337" s="230">
        <v>0</v>
      </c>
      <c r="J337" s="230">
        <v>0</v>
      </c>
    </row>
    <row r="338" spans="1:10" s="225" customFormat="1">
      <c r="A338" s="222" t="s">
        <v>178</v>
      </c>
      <c r="B338" s="222" t="s">
        <v>13</v>
      </c>
      <c r="C338" s="223">
        <v>0.33750000000000002</v>
      </c>
      <c r="D338" s="230">
        <v>0</v>
      </c>
      <c r="E338" s="230">
        <v>0</v>
      </c>
      <c r="F338" s="230">
        <v>0</v>
      </c>
      <c r="G338" s="230">
        <v>0</v>
      </c>
      <c r="H338" s="230">
        <v>0</v>
      </c>
      <c r="I338" s="230">
        <v>0</v>
      </c>
      <c r="J338" s="230">
        <v>0</v>
      </c>
    </row>
    <row r="339" spans="1:10" s="225" customFormat="1">
      <c r="A339" s="222" t="s">
        <v>178</v>
      </c>
      <c r="B339" s="222" t="s">
        <v>13</v>
      </c>
      <c r="C339" s="223">
        <v>0.33819444444444402</v>
      </c>
      <c r="D339" s="230">
        <v>0</v>
      </c>
      <c r="E339" s="230">
        <v>0</v>
      </c>
      <c r="F339" s="230">
        <v>0</v>
      </c>
      <c r="G339" s="230">
        <v>0</v>
      </c>
      <c r="H339" s="230">
        <v>0</v>
      </c>
      <c r="I339" s="230">
        <v>0</v>
      </c>
      <c r="J339" s="230">
        <v>0</v>
      </c>
    </row>
    <row r="340" spans="1:10" s="225" customFormat="1">
      <c r="A340" s="222" t="s">
        <v>178</v>
      </c>
      <c r="B340" s="222" t="s">
        <v>13</v>
      </c>
      <c r="C340" s="223">
        <v>0.33888888888888902</v>
      </c>
      <c r="D340" s="230">
        <v>0</v>
      </c>
      <c r="E340" s="230">
        <v>0</v>
      </c>
      <c r="F340" s="230">
        <v>0</v>
      </c>
      <c r="G340" s="230">
        <v>0</v>
      </c>
      <c r="H340" s="230">
        <v>0</v>
      </c>
      <c r="I340" s="230">
        <v>0</v>
      </c>
      <c r="J340" s="230">
        <v>0</v>
      </c>
    </row>
    <row r="341" spans="1:10" s="225" customFormat="1">
      <c r="A341" s="222" t="s">
        <v>178</v>
      </c>
      <c r="B341" s="222" t="s">
        <v>13</v>
      </c>
      <c r="C341" s="223">
        <v>0.33958333333333302</v>
      </c>
      <c r="D341" s="230">
        <v>0</v>
      </c>
      <c r="E341" s="230">
        <v>0</v>
      </c>
      <c r="F341" s="230">
        <v>0</v>
      </c>
      <c r="G341" s="230">
        <v>0</v>
      </c>
      <c r="H341" s="230">
        <v>0</v>
      </c>
      <c r="I341" s="230">
        <v>0</v>
      </c>
      <c r="J341" s="230">
        <v>0</v>
      </c>
    </row>
    <row r="342" spans="1:10" s="225" customFormat="1">
      <c r="A342" s="222" t="s">
        <v>178</v>
      </c>
      <c r="B342" s="222" t="s">
        <v>13</v>
      </c>
      <c r="C342" s="223">
        <v>0.34027777777777801</v>
      </c>
      <c r="D342" s="230">
        <v>0</v>
      </c>
      <c r="E342" s="230">
        <v>0</v>
      </c>
      <c r="F342" s="230">
        <v>0</v>
      </c>
      <c r="G342" s="230">
        <v>0</v>
      </c>
      <c r="H342" s="230">
        <v>0</v>
      </c>
      <c r="I342" s="230">
        <v>0</v>
      </c>
      <c r="J342" s="230">
        <v>0</v>
      </c>
    </row>
    <row r="343" spans="1:10" s="225" customFormat="1">
      <c r="A343" s="222" t="s">
        <v>178</v>
      </c>
      <c r="B343" s="222" t="s">
        <v>13</v>
      </c>
      <c r="C343" s="223">
        <v>0.34097222222222201</v>
      </c>
      <c r="D343" s="230">
        <v>0</v>
      </c>
      <c r="E343" s="230">
        <v>0</v>
      </c>
      <c r="F343" s="230">
        <v>0</v>
      </c>
      <c r="G343" s="230">
        <v>0</v>
      </c>
      <c r="H343" s="230">
        <v>0</v>
      </c>
      <c r="I343" s="230">
        <v>0</v>
      </c>
      <c r="J343" s="230">
        <v>0</v>
      </c>
    </row>
    <row r="344" spans="1:10" s="225" customFormat="1">
      <c r="A344" s="222" t="s">
        <v>178</v>
      </c>
      <c r="B344" s="222" t="s">
        <v>13</v>
      </c>
      <c r="C344" s="223">
        <v>0.34166666666666601</v>
      </c>
      <c r="D344" s="230">
        <v>0</v>
      </c>
      <c r="E344" s="230">
        <v>0</v>
      </c>
      <c r="F344" s="230">
        <v>0</v>
      </c>
      <c r="G344" s="230">
        <v>0</v>
      </c>
      <c r="H344" s="230">
        <v>0</v>
      </c>
      <c r="I344" s="230">
        <v>0</v>
      </c>
      <c r="J344" s="230">
        <v>0</v>
      </c>
    </row>
    <row r="345" spans="1:10" s="225" customFormat="1">
      <c r="A345" s="222" t="s">
        <v>178</v>
      </c>
      <c r="B345" s="222" t="s">
        <v>13</v>
      </c>
      <c r="C345" s="223">
        <v>0.34236111111111101</v>
      </c>
      <c r="D345" s="230">
        <v>0</v>
      </c>
      <c r="E345" s="230">
        <v>0</v>
      </c>
      <c r="F345" s="230">
        <v>0</v>
      </c>
      <c r="G345" s="230">
        <v>0</v>
      </c>
      <c r="H345" s="230">
        <v>0</v>
      </c>
      <c r="I345" s="230">
        <v>0</v>
      </c>
      <c r="J345" s="230">
        <v>0</v>
      </c>
    </row>
    <row r="346" spans="1:10" s="229" customFormat="1">
      <c r="A346" s="226" t="s">
        <v>178</v>
      </c>
      <c r="B346" s="226" t="s">
        <v>13</v>
      </c>
      <c r="C346" s="227">
        <v>0.343055555555555</v>
      </c>
      <c r="D346" s="231">
        <v>0</v>
      </c>
      <c r="E346" s="231">
        <v>0</v>
      </c>
      <c r="F346" s="231">
        <v>0</v>
      </c>
      <c r="G346" s="231">
        <v>0</v>
      </c>
      <c r="H346" s="231">
        <v>0</v>
      </c>
      <c r="I346" s="231">
        <v>0</v>
      </c>
      <c r="J346" s="231">
        <v>0</v>
      </c>
    </row>
    <row r="347" spans="1:10" s="225" customFormat="1">
      <c r="A347" s="222" t="s">
        <v>178</v>
      </c>
      <c r="B347" s="222" t="s">
        <v>13</v>
      </c>
      <c r="C347" s="223">
        <v>0.34375</v>
      </c>
      <c r="D347" s="230">
        <v>0</v>
      </c>
      <c r="E347" s="230">
        <v>0</v>
      </c>
      <c r="F347" s="230">
        <v>0</v>
      </c>
      <c r="G347" s="230">
        <v>0</v>
      </c>
      <c r="H347" s="230">
        <v>0</v>
      </c>
      <c r="I347" s="230">
        <v>0</v>
      </c>
      <c r="J347" s="230">
        <v>0</v>
      </c>
    </row>
    <row r="348" spans="1:10" s="225" customFormat="1">
      <c r="A348" s="222" t="s">
        <v>178</v>
      </c>
      <c r="B348" s="222" t="s">
        <v>13</v>
      </c>
      <c r="C348" s="223">
        <v>0.344444444444444</v>
      </c>
      <c r="D348" s="230">
        <v>0</v>
      </c>
      <c r="E348" s="230">
        <v>0</v>
      </c>
      <c r="F348" s="230">
        <v>0</v>
      </c>
      <c r="G348" s="230">
        <v>0</v>
      </c>
      <c r="H348" s="230">
        <v>0</v>
      </c>
      <c r="I348" s="230">
        <v>0</v>
      </c>
      <c r="J348" s="230">
        <v>0</v>
      </c>
    </row>
    <row r="349" spans="1:10" s="225" customFormat="1">
      <c r="A349" s="222" t="s">
        <v>178</v>
      </c>
      <c r="B349" s="222" t="s">
        <v>13</v>
      </c>
      <c r="C349" s="223">
        <v>0.34513888888888899</v>
      </c>
      <c r="D349" s="230">
        <v>0</v>
      </c>
      <c r="E349" s="230">
        <v>0</v>
      </c>
      <c r="F349" s="230">
        <v>0</v>
      </c>
      <c r="G349" s="230">
        <v>0</v>
      </c>
      <c r="H349" s="230">
        <v>0</v>
      </c>
      <c r="I349" s="230">
        <v>0</v>
      </c>
      <c r="J349" s="230">
        <v>0</v>
      </c>
    </row>
    <row r="350" spans="1:10" s="225" customFormat="1">
      <c r="A350" s="222" t="s">
        <v>178</v>
      </c>
      <c r="B350" s="222" t="s">
        <v>13</v>
      </c>
      <c r="C350" s="223">
        <v>0.34583333333333299</v>
      </c>
      <c r="D350" s="230">
        <v>0</v>
      </c>
      <c r="E350" s="230">
        <v>0</v>
      </c>
      <c r="F350" s="230">
        <v>0</v>
      </c>
      <c r="G350" s="230">
        <v>0</v>
      </c>
      <c r="H350" s="230">
        <v>0</v>
      </c>
      <c r="I350" s="230">
        <v>0</v>
      </c>
      <c r="J350" s="230">
        <v>0</v>
      </c>
    </row>
    <row r="351" spans="1:10" s="225" customFormat="1">
      <c r="A351" s="222" t="s">
        <v>178</v>
      </c>
      <c r="B351" s="222" t="s">
        <v>13</v>
      </c>
      <c r="C351" s="223">
        <v>0.34652777777777799</v>
      </c>
      <c r="D351" s="230">
        <v>0</v>
      </c>
      <c r="E351" s="230">
        <v>0</v>
      </c>
      <c r="F351" s="230">
        <v>0</v>
      </c>
      <c r="G351" s="230">
        <v>0</v>
      </c>
      <c r="H351" s="230">
        <v>0</v>
      </c>
      <c r="I351" s="230">
        <v>0</v>
      </c>
      <c r="J351" s="230">
        <v>0</v>
      </c>
    </row>
    <row r="352" spans="1:10" s="225" customFormat="1">
      <c r="A352" s="222" t="s">
        <v>178</v>
      </c>
      <c r="B352" s="222" t="s">
        <v>13</v>
      </c>
      <c r="C352" s="223">
        <v>0.34722222222222199</v>
      </c>
      <c r="D352" s="230">
        <v>0</v>
      </c>
      <c r="E352" s="230">
        <v>0</v>
      </c>
      <c r="F352" s="230">
        <v>0</v>
      </c>
      <c r="G352" s="230">
        <v>0</v>
      </c>
      <c r="H352" s="230">
        <v>0</v>
      </c>
      <c r="I352" s="230">
        <v>0</v>
      </c>
      <c r="J352" s="230">
        <v>0</v>
      </c>
    </row>
    <row r="353" spans="1:10" s="225" customFormat="1">
      <c r="A353" s="222" t="s">
        <v>178</v>
      </c>
      <c r="B353" s="222" t="s">
        <v>13</v>
      </c>
      <c r="C353" s="223">
        <v>0.34791666666666599</v>
      </c>
      <c r="D353" s="230">
        <v>0</v>
      </c>
      <c r="E353" s="230">
        <v>0</v>
      </c>
      <c r="F353" s="230">
        <v>0</v>
      </c>
      <c r="G353" s="230">
        <v>0</v>
      </c>
      <c r="H353" s="230">
        <v>0</v>
      </c>
      <c r="I353" s="230">
        <v>0</v>
      </c>
      <c r="J353" s="230">
        <v>0</v>
      </c>
    </row>
    <row r="354" spans="1:10" s="225" customFormat="1">
      <c r="A354" s="222" t="s">
        <v>178</v>
      </c>
      <c r="B354" s="222" t="s">
        <v>13</v>
      </c>
      <c r="C354" s="223">
        <v>0.34861111111111098</v>
      </c>
      <c r="D354" s="230">
        <v>0</v>
      </c>
      <c r="E354" s="230">
        <v>0</v>
      </c>
      <c r="F354" s="230">
        <v>0</v>
      </c>
      <c r="G354" s="230">
        <v>0</v>
      </c>
      <c r="H354" s="230">
        <v>0</v>
      </c>
      <c r="I354" s="230">
        <v>0</v>
      </c>
      <c r="J354" s="230">
        <v>0</v>
      </c>
    </row>
    <row r="355" spans="1:10" s="225" customFormat="1">
      <c r="A355" s="222" t="s">
        <v>178</v>
      </c>
      <c r="B355" s="222" t="s">
        <v>13</v>
      </c>
      <c r="C355" s="223">
        <v>0.34930555555555498</v>
      </c>
      <c r="D355" s="230">
        <v>0</v>
      </c>
      <c r="E355" s="230">
        <v>0</v>
      </c>
      <c r="F355" s="230">
        <v>0</v>
      </c>
      <c r="G355" s="230">
        <v>0</v>
      </c>
      <c r="H355" s="230">
        <v>0</v>
      </c>
      <c r="I355" s="230">
        <v>0</v>
      </c>
      <c r="J355" s="230">
        <v>0</v>
      </c>
    </row>
    <row r="356" spans="1:10" s="225" customFormat="1">
      <c r="A356" s="222" t="s">
        <v>178</v>
      </c>
      <c r="B356" s="222" t="s">
        <v>13</v>
      </c>
      <c r="C356" s="223">
        <v>0.35</v>
      </c>
      <c r="D356" s="230">
        <v>0</v>
      </c>
      <c r="E356" s="230">
        <v>0</v>
      </c>
      <c r="F356" s="230">
        <v>0</v>
      </c>
      <c r="G356" s="230">
        <v>0</v>
      </c>
      <c r="H356" s="230">
        <v>0</v>
      </c>
      <c r="I356" s="230">
        <v>0</v>
      </c>
      <c r="J356" s="230">
        <v>0</v>
      </c>
    </row>
    <row r="357" spans="1:10" s="225" customFormat="1">
      <c r="A357" s="222" t="s">
        <v>178</v>
      </c>
      <c r="B357" s="222" t="s">
        <v>13</v>
      </c>
      <c r="C357" s="223">
        <v>0.35069444444444398</v>
      </c>
      <c r="D357" s="230">
        <v>0</v>
      </c>
      <c r="E357" s="230">
        <v>0</v>
      </c>
      <c r="F357" s="230">
        <v>0</v>
      </c>
      <c r="G357" s="230">
        <v>0</v>
      </c>
      <c r="H357" s="230">
        <v>0</v>
      </c>
      <c r="I357" s="230">
        <v>0</v>
      </c>
      <c r="J357" s="230">
        <v>0</v>
      </c>
    </row>
    <row r="358" spans="1:10" s="225" customFormat="1">
      <c r="A358" s="222" t="s">
        <v>178</v>
      </c>
      <c r="B358" s="222" t="s">
        <v>13</v>
      </c>
      <c r="C358" s="223">
        <v>0.35138888888888897</v>
      </c>
      <c r="D358" s="230">
        <v>0</v>
      </c>
      <c r="E358" s="230">
        <v>0</v>
      </c>
      <c r="F358" s="230">
        <v>0</v>
      </c>
      <c r="G358" s="230">
        <v>0</v>
      </c>
      <c r="H358" s="230">
        <v>0</v>
      </c>
      <c r="I358" s="230">
        <v>0</v>
      </c>
      <c r="J358" s="230">
        <v>0</v>
      </c>
    </row>
    <row r="359" spans="1:10" s="225" customFormat="1">
      <c r="A359" s="222" t="s">
        <v>178</v>
      </c>
      <c r="B359" s="222" t="s">
        <v>13</v>
      </c>
      <c r="C359" s="223">
        <v>0.35208333333333303</v>
      </c>
      <c r="D359" s="230">
        <v>0</v>
      </c>
      <c r="E359" s="230">
        <v>0</v>
      </c>
      <c r="F359" s="230">
        <v>0</v>
      </c>
      <c r="G359" s="230">
        <v>0</v>
      </c>
      <c r="H359" s="230">
        <v>0</v>
      </c>
      <c r="I359" s="230">
        <v>0</v>
      </c>
      <c r="J359" s="230">
        <v>0</v>
      </c>
    </row>
    <row r="360" spans="1:10" s="225" customFormat="1">
      <c r="A360" s="222" t="s">
        <v>178</v>
      </c>
      <c r="B360" s="222" t="s">
        <v>13</v>
      </c>
      <c r="C360" s="223">
        <v>0.35277777777777802</v>
      </c>
      <c r="D360" s="230">
        <v>0</v>
      </c>
      <c r="E360" s="230">
        <v>0</v>
      </c>
      <c r="F360" s="230">
        <v>0</v>
      </c>
      <c r="G360" s="230">
        <v>0</v>
      </c>
      <c r="H360" s="230">
        <v>0</v>
      </c>
      <c r="I360" s="230">
        <v>0</v>
      </c>
      <c r="J360" s="230">
        <v>0</v>
      </c>
    </row>
    <row r="361" spans="1:10" s="235" customFormat="1" ht="17.5" thickBot="1">
      <c r="A361" s="232" t="s">
        <v>178</v>
      </c>
      <c r="B361" s="232" t="s">
        <v>13</v>
      </c>
      <c r="C361" s="233">
        <v>0.35347222222222202</v>
      </c>
      <c r="D361" s="234">
        <v>0</v>
      </c>
      <c r="E361" s="234">
        <v>0</v>
      </c>
      <c r="F361" s="234">
        <v>0</v>
      </c>
      <c r="G361" s="234">
        <v>0</v>
      </c>
      <c r="H361" s="234">
        <v>0</v>
      </c>
      <c r="I361" s="234">
        <v>0</v>
      </c>
      <c r="J361" s="234">
        <v>0</v>
      </c>
    </row>
    <row r="362" spans="1:10" s="225" customFormat="1">
      <c r="A362" s="222" t="s">
        <v>178</v>
      </c>
      <c r="B362" s="222" t="s">
        <v>14</v>
      </c>
      <c r="C362" s="223">
        <v>0.27083333333333331</v>
      </c>
      <c r="D362" s="230">
        <v>0</v>
      </c>
      <c r="E362" s="230">
        <v>0</v>
      </c>
      <c r="F362" s="230">
        <v>0</v>
      </c>
      <c r="G362" s="230">
        <v>0</v>
      </c>
      <c r="H362" s="230">
        <v>0</v>
      </c>
      <c r="I362" s="230">
        <v>0</v>
      </c>
      <c r="J362" s="230">
        <v>0</v>
      </c>
    </row>
    <row r="363" spans="1:10" s="225" customFormat="1">
      <c r="A363" s="222" t="s">
        <v>178</v>
      </c>
      <c r="B363" s="222" t="s">
        <v>14</v>
      </c>
      <c r="C363" s="223">
        <v>0.27152777777777776</v>
      </c>
      <c r="D363" s="230">
        <v>0</v>
      </c>
      <c r="E363" s="230">
        <v>0</v>
      </c>
      <c r="F363" s="230">
        <v>0</v>
      </c>
      <c r="G363" s="230">
        <v>0</v>
      </c>
      <c r="H363" s="230">
        <v>0</v>
      </c>
      <c r="I363" s="230">
        <v>0</v>
      </c>
      <c r="J363" s="230">
        <v>0</v>
      </c>
    </row>
    <row r="364" spans="1:10" s="225" customFormat="1">
      <c r="A364" s="222" t="s">
        <v>178</v>
      </c>
      <c r="B364" s="222" t="s">
        <v>14</v>
      </c>
      <c r="C364" s="223">
        <v>0.27222222222222198</v>
      </c>
      <c r="D364" s="230">
        <v>0</v>
      </c>
      <c r="E364" s="230">
        <v>0</v>
      </c>
      <c r="F364" s="230">
        <v>0</v>
      </c>
      <c r="G364" s="230">
        <v>0</v>
      </c>
      <c r="H364" s="230">
        <v>0</v>
      </c>
      <c r="I364" s="230">
        <v>0</v>
      </c>
      <c r="J364" s="230">
        <v>0</v>
      </c>
    </row>
    <row r="365" spans="1:10" s="225" customFormat="1">
      <c r="A365" s="222" t="s">
        <v>178</v>
      </c>
      <c r="B365" s="222" t="s">
        <v>14</v>
      </c>
      <c r="C365" s="223">
        <v>0.27291666666666697</v>
      </c>
      <c r="D365" s="230">
        <v>0</v>
      </c>
      <c r="E365" s="230">
        <v>0</v>
      </c>
      <c r="F365" s="230">
        <v>0</v>
      </c>
      <c r="G365" s="230">
        <v>0</v>
      </c>
      <c r="H365" s="230">
        <v>0</v>
      </c>
      <c r="I365" s="230">
        <v>0</v>
      </c>
      <c r="J365" s="230">
        <v>0</v>
      </c>
    </row>
    <row r="366" spans="1:10" s="225" customFormat="1">
      <c r="A366" s="222" t="s">
        <v>178</v>
      </c>
      <c r="B366" s="222" t="s">
        <v>14</v>
      </c>
      <c r="C366" s="223">
        <v>0.27361111111111103</v>
      </c>
      <c r="D366" s="230">
        <v>0</v>
      </c>
      <c r="E366" s="230">
        <v>0</v>
      </c>
      <c r="F366" s="230">
        <v>0</v>
      </c>
      <c r="G366" s="230">
        <v>0</v>
      </c>
      <c r="H366" s="230">
        <v>0</v>
      </c>
      <c r="I366" s="230">
        <v>0</v>
      </c>
      <c r="J366" s="230">
        <v>0</v>
      </c>
    </row>
    <row r="367" spans="1:10" s="225" customFormat="1">
      <c r="A367" s="222" t="s">
        <v>178</v>
      </c>
      <c r="B367" s="222" t="s">
        <v>14</v>
      </c>
      <c r="C367" s="223">
        <v>0.27430555555555602</v>
      </c>
      <c r="D367" s="230">
        <v>0</v>
      </c>
      <c r="E367" s="230">
        <v>0</v>
      </c>
      <c r="F367" s="230">
        <v>0</v>
      </c>
      <c r="G367" s="230">
        <v>0</v>
      </c>
      <c r="H367" s="230">
        <v>0</v>
      </c>
      <c r="I367" s="230">
        <v>0</v>
      </c>
      <c r="J367" s="230">
        <v>0</v>
      </c>
    </row>
    <row r="368" spans="1:10" s="225" customFormat="1">
      <c r="A368" s="222" t="s">
        <v>178</v>
      </c>
      <c r="B368" s="222" t="s">
        <v>14</v>
      </c>
      <c r="C368" s="223">
        <v>0.27500000000000002</v>
      </c>
      <c r="D368" s="230">
        <v>0</v>
      </c>
      <c r="E368" s="230">
        <v>0</v>
      </c>
      <c r="F368" s="230">
        <v>0</v>
      </c>
      <c r="G368" s="230">
        <v>0</v>
      </c>
      <c r="H368" s="230">
        <v>0</v>
      </c>
      <c r="I368" s="230">
        <v>0</v>
      </c>
      <c r="J368" s="230">
        <v>0</v>
      </c>
    </row>
    <row r="369" spans="1:10" s="225" customFormat="1">
      <c r="A369" s="222" t="s">
        <v>178</v>
      </c>
      <c r="B369" s="222" t="s">
        <v>14</v>
      </c>
      <c r="C369" s="223">
        <v>0.27569444444444402</v>
      </c>
      <c r="D369" s="230">
        <v>0</v>
      </c>
      <c r="E369" s="230">
        <v>0</v>
      </c>
      <c r="F369" s="230">
        <v>0</v>
      </c>
      <c r="G369" s="230">
        <v>0</v>
      </c>
      <c r="H369" s="230">
        <v>0</v>
      </c>
      <c r="I369" s="230">
        <v>0</v>
      </c>
      <c r="J369" s="230">
        <v>0</v>
      </c>
    </row>
    <row r="370" spans="1:10" s="225" customFormat="1">
      <c r="A370" s="222" t="s">
        <v>178</v>
      </c>
      <c r="B370" s="222" t="s">
        <v>14</v>
      </c>
      <c r="C370" s="223">
        <v>0.27638888888888902</v>
      </c>
      <c r="D370" s="230">
        <v>0</v>
      </c>
      <c r="E370" s="230">
        <v>0</v>
      </c>
      <c r="F370" s="230">
        <v>0</v>
      </c>
      <c r="G370" s="230">
        <v>0</v>
      </c>
      <c r="H370" s="230">
        <v>0</v>
      </c>
      <c r="I370" s="230">
        <v>0</v>
      </c>
      <c r="J370" s="230">
        <v>0</v>
      </c>
    </row>
    <row r="371" spans="1:10" s="225" customFormat="1">
      <c r="A371" s="222" t="s">
        <v>178</v>
      </c>
      <c r="B371" s="222" t="s">
        <v>14</v>
      </c>
      <c r="C371" s="223">
        <v>0.27708333333333302</v>
      </c>
      <c r="D371" s="230">
        <v>0</v>
      </c>
      <c r="E371" s="230">
        <v>0</v>
      </c>
      <c r="F371" s="230">
        <v>0</v>
      </c>
      <c r="G371" s="230">
        <v>0</v>
      </c>
      <c r="H371" s="230">
        <v>0</v>
      </c>
      <c r="I371" s="230">
        <v>0</v>
      </c>
      <c r="J371" s="230">
        <v>0</v>
      </c>
    </row>
    <row r="372" spans="1:10" s="225" customFormat="1">
      <c r="A372" s="222" t="s">
        <v>178</v>
      </c>
      <c r="B372" s="222" t="s">
        <v>14</v>
      </c>
      <c r="C372" s="223">
        <v>0.27777777777777801</v>
      </c>
      <c r="D372" s="230">
        <v>0</v>
      </c>
      <c r="E372" s="230">
        <v>0</v>
      </c>
      <c r="F372" s="230">
        <v>0</v>
      </c>
      <c r="G372" s="230">
        <v>0</v>
      </c>
      <c r="H372" s="230">
        <v>0</v>
      </c>
      <c r="I372" s="230">
        <v>0</v>
      </c>
      <c r="J372" s="230">
        <v>0</v>
      </c>
    </row>
    <row r="373" spans="1:10" s="225" customFormat="1">
      <c r="A373" s="222" t="s">
        <v>178</v>
      </c>
      <c r="B373" s="222" t="s">
        <v>14</v>
      </c>
      <c r="C373" s="223">
        <v>0.27847222222222201</v>
      </c>
      <c r="D373" s="230">
        <v>0</v>
      </c>
      <c r="E373" s="230">
        <v>0</v>
      </c>
      <c r="F373" s="230">
        <v>0</v>
      </c>
      <c r="G373" s="230">
        <v>0</v>
      </c>
      <c r="H373" s="230">
        <v>0</v>
      </c>
      <c r="I373" s="230">
        <v>0</v>
      </c>
      <c r="J373" s="230">
        <v>0</v>
      </c>
    </row>
    <row r="374" spans="1:10" s="225" customFormat="1">
      <c r="A374" s="222" t="s">
        <v>178</v>
      </c>
      <c r="B374" s="222" t="s">
        <v>14</v>
      </c>
      <c r="C374" s="223">
        <v>0.27916666666666701</v>
      </c>
      <c r="D374" s="230">
        <v>0</v>
      </c>
      <c r="E374" s="230">
        <v>0</v>
      </c>
      <c r="F374" s="230">
        <v>0</v>
      </c>
      <c r="G374" s="230">
        <v>0</v>
      </c>
      <c r="H374" s="230">
        <v>0</v>
      </c>
      <c r="I374" s="230">
        <v>0</v>
      </c>
      <c r="J374" s="230">
        <v>0</v>
      </c>
    </row>
    <row r="375" spans="1:10" s="225" customFormat="1">
      <c r="A375" s="222" t="s">
        <v>178</v>
      </c>
      <c r="B375" s="222" t="s">
        <v>14</v>
      </c>
      <c r="C375" s="223">
        <v>0.27986111111111101</v>
      </c>
      <c r="D375" s="230">
        <v>0</v>
      </c>
      <c r="E375" s="230">
        <v>0</v>
      </c>
      <c r="F375" s="230">
        <v>0</v>
      </c>
      <c r="G375" s="230">
        <v>0</v>
      </c>
      <c r="H375" s="230">
        <v>0</v>
      </c>
      <c r="I375" s="230">
        <v>0</v>
      </c>
      <c r="J375" s="230">
        <v>0</v>
      </c>
    </row>
    <row r="376" spans="1:10" s="229" customFormat="1">
      <c r="A376" s="226" t="s">
        <v>178</v>
      </c>
      <c r="B376" s="226" t="s">
        <v>14</v>
      </c>
      <c r="C376" s="227">
        <v>0.280555555555556</v>
      </c>
      <c r="D376" s="231">
        <v>0</v>
      </c>
      <c r="E376" s="231">
        <v>0</v>
      </c>
      <c r="F376" s="231">
        <v>0</v>
      </c>
      <c r="G376" s="231">
        <v>0</v>
      </c>
      <c r="H376" s="231">
        <v>0</v>
      </c>
      <c r="I376" s="231">
        <v>0</v>
      </c>
      <c r="J376" s="231">
        <v>0</v>
      </c>
    </row>
    <row r="377" spans="1:10" s="225" customFormat="1">
      <c r="A377" s="222" t="s">
        <v>178</v>
      </c>
      <c r="B377" s="222" t="s">
        <v>14</v>
      </c>
      <c r="C377" s="223">
        <v>0.28125</v>
      </c>
      <c r="D377" s="230">
        <v>0</v>
      </c>
      <c r="E377" s="230">
        <v>0</v>
      </c>
      <c r="F377" s="230">
        <v>0</v>
      </c>
      <c r="G377" s="230">
        <v>0</v>
      </c>
      <c r="H377" s="230">
        <v>0</v>
      </c>
      <c r="I377" s="230">
        <v>0</v>
      </c>
      <c r="J377" s="230">
        <v>0</v>
      </c>
    </row>
    <row r="378" spans="1:10" s="225" customFormat="1">
      <c r="A378" s="222" t="s">
        <v>178</v>
      </c>
      <c r="B378" s="222" t="s">
        <v>14</v>
      </c>
      <c r="C378" s="223">
        <v>0.281944444444444</v>
      </c>
      <c r="D378" s="230">
        <v>0</v>
      </c>
      <c r="E378" s="230">
        <v>0</v>
      </c>
      <c r="F378" s="230">
        <v>0</v>
      </c>
      <c r="G378" s="230">
        <v>0</v>
      </c>
      <c r="H378" s="230">
        <v>0</v>
      </c>
      <c r="I378" s="230">
        <v>0</v>
      </c>
      <c r="J378" s="230">
        <v>0</v>
      </c>
    </row>
    <row r="379" spans="1:10" s="225" customFormat="1">
      <c r="A379" s="222" t="s">
        <v>178</v>
      </c>
      <c r="B379" s="222" t="s">
        <v>14</v>
      </c>
      <c r="C379" s="223">
        <v>0.28263888888888899</v>
      </c>
      <c r="D379" s="230">
        <v>0</v>
      </c>
      <c r="E379" s="230">
        <v>0</v>
      </c>
      <c r="F379" s="230">
        <v>0</v>
      </c>
      <c r="G379" s="230">
        <v>0</v>
      </c>
      <c r="H379" s="230">
        <v>0</v>
      </c>
      <c r="I379" s="230">
        <v>0</v>
      </c>
      <c r="J379" s="230">
        <v>0</v>
      </c>
    </row>
    <row r="380" spans="1:10" s="225" customFormat="1">
      <c r="A380" s="222" t="s">
        <v>178</v>
      </c>
      <c r="B380" s="222" t="s">
        <v>14</v>
      </c>
      <c r="C380" s="223">
        <v>0.28333333333333299</v>
      </c>
      <c r="D380" s="230">
        <v>0</v>
      </c>
      <c r="E380" s="230">
        <v>0</v>
      </c>
      <c r="F380" s="230">
        <v>0</v>
      </c>
      <c r="G380" s="230">
        <v>0</v>
      </c>
      <c r="H380" s="230">
        <v>0</v>
      </c>
      <c r="I380" s="230">
        <v>0</v>
      </c>
      <c r="J380" s="230">
        <v>0</v>
      </c>
    </row>
    <row r="381" spans="1:10" s="225" customFormat="1">
      <c r="A381" s="222" t="s">
        <v>178</v>
      </c>
      <c r="B381" s="222" t="s">
        <v>14</v>
      </c>
      <c r="C381" s="223">
        <v>0.28402777777777799</v>
      </c>
      <c r="D381" s="230">
        <v>0</v>
      </c>
      <c r="E381" s="230">
        <v>0</v>
      </c>
      <c r="F381" s="230">
        <v>0</v>
      </c>
      <c r="G381" s="230">
        <v>0</v>
      </c>
      <c r="H381" s="230">
        <v>0</v>
      </c>
      <c r="I381" s="230">
        <v>0</v>
      </c>
      <c r="J381" s="230">
        <v>0</v>
      </c>
    </row>
    <row r="382" spans="1:10" s="225" customFormat="1">
      <c r="A382" s="222" t="s">
        <v>178</v>
      </c>
      <c r="B382" s="222" t="s">
        <v>14</v>
      </c>
      <c r="C382" s="223">
        <v>0.28472222222222199</v>
      </c>
      <c r="D382" s="230">
        <v>0</v>
      </c>
      <c r="E382" s="230">
        <v>0</v>
      </c>
      <c r="F382" s="230">
        <v>0</v>
      </c>
      <c r="G382" s="230">
        <v>0</v>
      </c>
      <c r="H382" s="230">
        <v>0</v>
      </c>
      <c r="I382" s="230">
        <v>0</v>
      </c>
      <c r="J382" s="230">
        <v>0</v>
      </c>
    </row>
    <row r="383" spans="1:10" s="225" customFormat="1">
      <c r="A383" s="222" t="s">
        <v>178</v>
      </c>
      <c r="B383" s="222" t="s">
        <v>14</v>
      </c>
      <c r="C383" s="223">
        <v>0.28541666666666698</v>
      </c>
      <c r="D383" s="230">
        <v>0</v>
      </c>
      <c r="E383" s="230">
        <v>0</v>
      </c>
      <c r="F383" s="230">
        <v>0</v>
      </c>
      <c r="G383" s="230">
        <v>0</v>
      </c>
      <c r="H383" s="230">
        <v>0</v>
      </c>
      <c r="I383" s="230">
        <v>0</v>
      </c>
      <c r="J383" s="230">
        <v>0</v>
      </c>
    </row>
    <row r="384" spans="1:10" s="225" customFormat="1">
      <c r="A384" s="222" t="s">
        <v>178</v>
      </c>
      <c r="B384" s="222" t="s">
        <v>14</v>
      </c>
      <c r="C384" s="223">
        <v>0.28611111111111098</v>
      </c>
      <c r="D384" s="230">
        <v>0</v>
      </c>
      <c r="E384" s="230">
        <v>0</v>
      </c>
      <c r="F384" s="230">
        <v>0</v>
      </c>
      <c r="G384" s="230">
        <v>0</v>
      </c>
      <c r="H384" s="230">
        <v>0</v>
      </c>
      <c r="I384" s="230">
        <v>0</v>
      </c>
      <c r="J384" s="230">
        <v>0</v>
      </c>
    </row>
    <row r="385" spans="1:10" s="225" customFormat="1">
      <c r="A385" s="222" t="s">
        <v>178</v>
      </c>
      <c r="B385" s="222" t="s">
        <v>14</v>
      </c>
      <c r="C385" s="223">
        <v>0.28680555555555598</v>
      </c>
      <c r="D385" s="230">
        <v>0</v>
      </c>
      <c r="E385" s="230">
        <v>0</v>
      </c>
      <c r="F385" s="230">
        <v>0</v>
      </c>
      <c r="G385" s="230">
        <v>0</v>
      </c>
      <c r="H385" s="230">
        <v>0</v>
      </c>
      <c r="I385" s="230">
        <v>0</v>
      </c>
      <c r="J385" s="230">
        <v>0</v>
      </c>
    </row>
    <row r="386" spans="1:10" s="225" customFormat="1">
      <c r="A386" s="222" t="s">
        <v>178</v>
      </c>
      <c r="B386" s="222" t="s">
        <v>14</v>
      </c>
      <c r="C386" s="223">
        <v>0.28749999999999998</v>
      </c>
      <c r="D386" s="230">
        <v>0</v>
      </c>
      <c r="E386" s="230">
        <v>0</v>
      </c>
      <c r="F386" s="230">
        <v>0</v>
      </c>
      <c r="G386" s="230">
        <v>0</v>
      </c>
      <c r="H386" s="230">
        <v>0</v>
      </c>
      <c r="I386" s="230">
        <v>0</v>
      </c>
      <c r="J386" s="230">
        <v>0</v>
      </c>
    </row>
    <row r="387" spans="1:10" s="225" customFormat="1">
      <c r="A387" s="222" t="s">
        <v>178</v>
      </c>
      <c r="B387" s="222" t="s">
        <v>14</v>
      </c>
      <c r="C387" s="223">
        <v>0.28819444444444398</v>
      </c>
      <c r="D387" s="230">
        <v>0</v>
      </c>
      <c r="E387" s="230">
        <v>0</v>
      </c>
      <c r="F387" s="230">
        <v>0</v>
      </c>
      <c r="G387" s="230">
        <v>0</v>
      </c>
      <c r="H387" s="230">
        <v>0</v>
      </c>
      <c r="I387" s="230">
        <v>0</v>
      </c>
      <c r="J387" s="230">
        <v>0</v>
      </c>
    </row>
    <row r="388" spans="1:10" s="225" customFormat="1">
      <c r="A388" s="222" t="s">
        <v>178</v>
      </c>
      <c r="B388" s="222" t="s">
        <v>14</v>
      </c>
      <c r="C388" s="223">
        <v>0.28888888888888897</v>
      </c>
      <c r="D388" s="230">
        <v>0</v>
      </c>
      <c r="E388" s="230">
        <v>0</v>
      </c>
      <c r="F388" s="230">
        <v>0</v>
      </c>
      <c r="G388" s="230">
        <v>0</v>
      </c>
      <c r="H388" s="230">
        <v>0</v>
      </c>
      <c r="I388" s="230">
        <v>0</v>
      </c>
      <c r="J388" s="230">
        <v>0</v>
      </c>
    </row>
    <row r="389" spans="1:10" s="225" customFormat="1">
      <c r="A389" s="222" t="s">
        <v>178</v>
      </c>
      <c r="B389" s="222" t="s">
        <v>14</v>
      </c>
      <c r="C389" s="223">
        <v>0.28958333333333303</v>
      </c>
      <c r="D389" s="230">
        <v>0</v>
      </c>
      <c r="E389" s="230">
        <v>0</v>
      </c>
      <c r="F389" s="230">
        <v>0</v>
      </c>
      <c r="G389" s="230">
        <v>0</v>
      </c>
      <c r="H389" s="230">
        <v>0</v>
      </c>
      <c r="I389" s="230">
        <v>0</v>
      </c>
      <c r="J389" s="230">
        <v>0</v>
      </c>
    </row>
    <row r="390" spans="1:10" s="225" customFormat="1">
      <c r="A390" s="222" t="s">
        <v>178</v>
      </c>
      <c r="B390" s="222" t="s">
        <v>14</v>
      </c>
      <c r="C390" s="223">
        <v>0.29027777777777802</v>
      </c>
      <c r="D390" s="230">
        <v>0</v>
      </c>
      <c r="E390" s="230">
        <v>0</v>
      </c>
      <c r="F390" s="230">
        <v>0</v>
      </c>
      <c r="G390" s="230">
        <v>0</v>
      </c>
      <c r="H390" s="230">
        <v>0</v>
      </c>
      <c r="I390" s="230">
        <v>0</v>
      </c>
      <c r="J390" s="230">
        <v>0</v>
      </c>
    </row>
    <row r="391" spans="1:10" s="229" customFormat="1">
      <c r="A391" s="226" t="s">
        <v>178</v>
      </c>
      <c r="B391" s="226" t="s">
        <v>14</v>
      </c>
      <c r="C391" s="227">
        <v>0.29097222222222202</v>
      </c>
      <c r="D391" s="231">
        <v>0</v>
      </c>
      <c r="E391" s="231">
        <v>0</v>
      </c>
      <c r="F391" s="231">
        <v>0</v>
      </c>
      <c r="G391" s="231">
        <v>0</v>
      </c>
      <c r="H391" s="231">
        <v>0</v>
      </c>
      <c r="I391" s="231">
        <v>0</v>
      </c>
      <c r="J391" s="231">
        <v>0</v>
      </c>
    </row>
    <row r="392" spans="1:10" s="225" customFormat="1">
      <c r="A392" s="222" t="s">
        <v>178</v>
      </c>
      <c r="B392" s="222" t="s">
        <v>14</v>
      </c>
      <c r="C392" s="223">
        <v>0.29166666666666702</v>
      </c>
      <c r="D392" s="230">
        <v>0</v>
      </c>
      <c r="E392" s="230">
        <v>0</v>
      </c>
      <c r="F392" s="230">
        <v>0</v>
      </c>
      <c r="G392" s="230">
        <v>0</v>
      </c>
      <c r="H392" s="230">
        <v>0</v>
      </c>
      <c r="I392" s="230">
        <v>0</v>
      </c>
      <c r="J392" s="230">
        <v>0</v>
      </c>
    </row>
    <row r="393" spans="1:10" s="225" customFormat="1">
      <c r="A393" s="222" t="s">
        <v>178</v>
      </c>
      <c r="B393" s="222" t="s">
        <v>14</v>
      </c>
      <c r="C393" s="223">
        <v>0.29236111111111102</v>
      </c>
      <c r="D393" s="230">
        <v>0</v>
      </c>
      <c r="E393" s="230">
        <v>0</v>
      </c>
      <c r="F393" s="230">
        <v>0</v>
      </c>
      <c r="G393" s="230">
        <v>0</v>
      </c>
      <c r="H393" s="230">
        <v>0</v>
      </c>
      <c r="I393" s="230">
        <v>0</v>
      </c>
      <c r="J393" s="230">
        <v>0</v>
      </c>
    </row>
    <row r="394" spans="1:10" s="225" customFormat="1">
      <c r="A394" s="222" t="s">
        <v>178</v>
      </c>
      <c r="B394" s="222" t="s">
        <v>14</v>
      </c>
      <c r="C394" s="223">
        <v>0.29305555555555501</v>
      </c>
      <c r="D394" s="230">
        <v>0</v>
      </c>
      <c r="E394" s="230">
        <v>0</v>
      </c>
      <c r="F394" s="230">
        <v>0</v>
      </c>
      <c r="G394" s="230">
        <v>0</v>
      </c>
      <c r="H394" s="230">
        <v>0</v>
      </c>
      <c r="I394" s="230">
        <v>0</v>
      </c>
      <c r="J394" s="230">
        <v>0</v>
      </c>
    </row>
    <row r="395" spans="1:10" s="225" customFormat="1">
      <c r="A395" s="222" t="s">
        <v>178</v>
      </c>
      <c r="B395" s="222" t="s">
        <v>14</v>
      </c>
      <c r="C395" s="223">
        <v>0.29375000000000001</v>
      </c>
      <c r="D395" s="230">
        <v>0</v>
      </c>
      <c r="E395" s="230">
        <v>0</v>
      </c>
      <c r="F395" s="230">
        <v>0</v>
      </c>
      <c r="G395" s="230">
        <v>0</v>
      </c>
      <c r="H395" s="230">
        <v>0</v>
      </c>
      <c r="I395" s="230">
        <v>0</v>
      </c>
      <c r="J395" s="230">
        <v>0</v>
      </c>
    </row>
    <row r="396" spans="1:10" s="225" customFormat="1">
      <c r="A396" s="222" t="s">
        <v>178</v>
      </c>
      <c r="B396" s="222" t="s">
        <v>14</v>
      </c>
      <c r="C396" s="223">
        <v>0.29444444444444401</v>
      </c>
      <c r="D396" s="230">
        <v>0</v>
      </c>
      <c r="E396" s="230">
        <v>0</v>
      </c>
      <c r="F396" s="230">
        <v>0</v>
      </c>
      <c r="G396" s="230">
        <v>0</v>
      </c>
      <c r="H396" s="230">
        <v>0</v>
      </c>
      <c r="I396" s="230">
        <v>0</v>
      </c>
      <c r="J396" s="230">
        <v>0</v>
      </c>
    </row>
    <row r="397" spans="1:10" s="225" customFormat="1">
      <c r="A397" s="222" t="s">
        <v>178</v>
      </c>
      <c r="B397" s="222" t="s">
        <v>14</v>
      </c>
      <c r="C397" s="223">
        <v>0.29513888888888901</v>
      </c>
      <c r="D397" s="230">
        <v>0</v>
      </c>
      <c r="E397" s="230">
        <v>0</v>
      </c>
      <c r="F397" s="230">
        <v>0</v>
      </c>
      <c r="G397" s="230">
        <v>0</v>
      </c>
      <c r="H397" s="230">
        <v>0</v>
      </c>
      <c r="I397" s="230">
        <v>0</v>
      </c>
      <c r="J397" s="230">
        <v>0</v>
      </c>
    </row>
    <row r="398" spans="1:10" s="225" customFormat="1">
      <c r="A398" s="222" t="s">
        <v>178</v>
      </c>
      <c r="B398" s="222" t="s">
        <v>14</v>
      </c>
      <c r="C398" s="223">
        <v>0.295833333333333</v>
      </c>
      <c r="D398" s="230">
        <v>0</v>
      </c>
      <c r="E398" s="230">
        <v>0</v>
      </c>
      <c r="F398" s="230">
        <v>0</v>
      </c>
      <c r="G398" s="230">
        <v>0</v>
      </c>
      <c r="H398" s="230">
        <v>0</v>
      </c>
      <c r="I398" s="230">
        <v>0</v>
      </c>
      <c r="J398" s="230">
        <v>0</v>
      </c>
    </row>
    <row r="399" spans="1:10" s="225" customFormat="1">
      <c r="A399" s="222" t="s">
        <v>178</v>
      </c>
      <c r="B399" s="222" t="s">
        <v>14</v>
      </c>
      <c r="C399" s="223">
        <v>0.296527777777778</v>
      </c>
      <c r="D399" s="230">
        <v>0</v>
      </c>
      <c r="E399" s="230">
        <v>0</v>
      </c>
      <c r="F399" s="230">
        <v>0</v>
      </c>
      <c r="G399" s="230">
        <v>0</v>
      </c>
      <c r="H399" s="230">
        <v>0</v>
      </c>
      <c r="I399" s="230">
        <v>0</v>
      </c>
      <c r="J399" s="230">
        <v>0</v>
      </c>
    </row>
    <row r="400" spans="1:10" s="225" customFormat="1">
      <c r="A400" s="222" t="s">
        <v>178</v>
      </c>
      <c r="B400" s="222" t="s">
        <v>14</v>
      </c>
      <c r="C400" s="223">
        <v>0.297222222222222</v>
      </c>
      <c r="D400" s="230">
        <v>0</v>
      </c>
      <c r="E400" s="230">
        <v>0</v>
      </c>
      <c r="F400" s="230">
        <v>0</v>
      </c>
      <c r="G400" s="230">
        <v>0</v>
      </c>
      <c r="H400" s="230">
        <v>0</v>
      </c>
      <c r="I400" s="230">
        <v>0</v>
      </c>
      <c r="J400" s="230">
        <v>0</v>
      </c>
    </row>
    <row r="401" spans="1:10" s="225" customFormat="1">
      <c r="A401" s="222" t="s">
        <v>178</v>
      </c>
      <c r="B401" s="222" t="s">
        <v>14</v>
      </c>
      <c r="C401" s="223">
        <v>0.297916666666666</v>
      </c>
      <c r="D401" s="230">
        <v>0</v>
      </c>
      <c r="E401" s="230">
        <v>0</v>
      </c>
      <c r="F401" s="230">
        <v>0</v>
      </c>
      <c r="G401" s="230">
        <v>0</v>
      </c>
      <c r="H401" s="230">
        <v>0</v>
      </c>
      <c r="I401" s="230">
        <v>0</v>
      </c>
      <c r="J401" s="230">
        <v>0</v>
      </c>
    </row>
    <row r="402" spans="1:10" s="225" customFormat="1">
      <c r="A402" s="222" t="s">
        <v>178</v>
      </c>
      <c r="B402" s="222" t="s">
        <v>14</v>
      </c>
      <c r="C402" s="223">
        <v>0.29861111111111099</v>
      </c>
      <c r="D402" s="230">
        <v>0</v>
      </c>
      <c r="E402" s="230">
        <v>0</v>
      </c>
      <c r="F402" s="230">
        <v>0</v>
      </c>
      <c r="G402" s="230">
        <v>0</v>
      </c>
      <c r="H402" s="230">
        <v>0</v>
      </c>
      <c r="I402" s="230">
        <v>0</v>
      </c>
      <c r="J402" s="230">
        <v>0</v>
      </c>
    </row>
    <row r="403" spans="1:10" s="225" customFormat="1">
      <c r="A403" s="222" t="s">
        <v>178</v>
      </c>
      <c r="B403" s="222" t="s">
        <v>14</v>
      </c>
      <c r="C403" s="223">
        <v>0.29930555555555499</v>
      </c>
      <c r="D403" s="230">
        <v>0</v>
      </c>
      <c r="E403" s="230">
        <v>0</v>
      </c>
      <c r="F403" s="230">
        <v>0</v>
      </c>
      <c r="G403" s="230">
        <v>0</v>
      </c>
      <c r="H403" s="230">
        <v>0</v>
      </c>
      <c r="I403" s="230">
        <v>0</v>
      </c>
      <c r="J403" s="230">
        <v>0</v>
      </c>
    </row>
    <row r="404" spans="1:10" s="225" customFormat="1">
      <c r="A404" s="222" t="s">
        <v>178</v>
      </c>
      <c r="B404" s="222" t="s">
        <v>14</v>
      </c>
      <c r="C404" s="223">
        <v>0.3</v>
      </c>
      <c r="D404" s="230">
        <v>0</v>
      </c>
      <c r="E404" s="230">
        <v>0</v>
      </c>
      <c r="F404" s="230">
        <v>0</v>
      </c>
      <c r="G404" s="230">
        <v>0</v>
      </c>
      <c r="H404" s="230">
        <v>0</v>
      </c>
      <c r="I404" s="230">
        <v>0</v>
      </c>
      <c r="J404" s="230">
        <v>0</v>
      </c>
    </row>
    <row r="405" spans="1:10" s="225" customFormat="1">
      <c r="A405" s="222" t="s">
        <v>178</v>
      </c>
      <c r="B405" s="222" t="s">
        <v>14</v>
      </c>
      <c r="C405" s="223">
        <v>0.30069444444444399</v>
      </c>
      <c r="D405" s="230">
        <v>0</v>
      </c>
      <c r="E405" s="230">
        <v>0</v>
      </c>
      <c r="F405" s="230">
        <v>0</v>
      </c>
      <c r="G405" s="230">
        <v>0</v>
      </c>
      <c r="H405" s="230">
        <v>0</v>
      </c>
      <c r="I405" s="230">
        <v>0</v>
      </c>
      <c r="J405" s="230">
        <v>0</v>
      </c>
    </row>
    <row r="406" spans="1:10" s="229" customFormat="1">
      <c r="A406" s="226" t="s">
        <v>178</v>
      </c>
      <c r="B406" s="226" t="s">
        <v>14</v>
      </c>
      <c r="C406" s="227">
        <v>0.30138888888888898</v>
      </c>
      <c r="D406" s="231">
        <v>0</v>
      </c>
      <c r="E406" s="231">
        <v>0</v>
      </c>
      <c r="F406" s="231">
        <v>0</v>
      </c>
      <c r="G406" s="231">
        <v>0</v>
      </c>
      <c r="H406" s="231">
        <v>0</v>
      </c>
      <c r="I406" s="231">
        <v>0</v>
      </c>
      <c r="J406" s="231">
        <v>0</v>
      </c>
    </row>
    <row r="407" spans="1:10" s="225" customFormat="1">
      <c r="A407" s="222" t="s">
        <v>178</v>
      </c>
      <c r="B407" s="222" t="s">
        <v>14</v>
      </c>
      <c r="C407" s="223">
        <v>0.30208333333333298</v>
      </c>
      <c r="D407" s="230">
        <v>0</v>
      </c>
      <c r="E407" s="230">
        <v>0</v>
      </c>
      <c r="F407" s="230">
        <v>0</v>
      </c>
      <c r="G407" s="230">
        <v>0</v>
      </c>
      <c r="H407" s="230">
        <v>0</v>
      </c>
      <c r="I407" s="230">
        <v>0</v>
      </c>
      <c r="J407" s="230">
        <v>0</v>
      </c>
    </row>
    <row r="408" spans="1:10" s="225" customFormat="1">
      <c r="A408" s="222" t="s">
        <v>178</v>
      </c>
      <c r="B408" s="222" t="s">
        <v>14</v>
      </c>
      <c r="C408" s="223">
        <v>0.30277777777777798</v>
      </c>
      <c r="D408" s="230">
        <v>0</v>
      </c>
      <c r="E408" s="230">
        <v>0</v>
      </c>
      <c r="F408" s="230">
        <v>0</v>
      </c>
      <c r="G408" s="230">
        <v>0</v>
      </c>
      <c r="H408" s="230">
        <v>0</v>
      </c>
      <c r="I408" s="230">
        <v>0</v>
      </c>
      <c r="J408" s="230">
        <v>0</v>
      </c>
    </row>
    <row r="409" spans="1:10" s="225" customFormat="1">
      <c r="A409" s="222" t="s">
        <v>178</v>
      </c>
      <c r="B409" s="222" t="s">
        <v>14</v>
      </c>
      <c r="C409" s="223">
        <v>0.30347222222222198</v>
      </c>
      <c r="D409" s="230">
        <v>0</v>
      </c>
      <c r="E409" s="230">
        <v>0</v>
      </c>
      <c r="F409" s="230">
        <v>0</v>
      </c>
      <c r="G409" s="230">
        <v>0</v>
      </c>
      <c r="H409" s="230">
        <v>0</v>
      </c>
      <c r="I409" s="230">
        <v>0</v>
      </c>
      <c r="J409" s="230">
        <v>0</v>
      </c>
    </row>
    <row r="410" spans="1:10" s="225" customFormat="1">
      <c r="A410" s="222" t="s">
        <v>178</v>
      </c>
      <c r="B410" s="222" t="s">
        <v>14</v>
      </c>
      <c r="C410" s="223">
        <v>0.30416666666666697</v>
      </c>
      <c r="D410" s="230">
        <v>0</v>
      </c>
      <c r="E410" s="230">
        <v>0</v>
      </c>
      <c r="F410" s="230">
        <v>0</v>
      </c>
      <c r="G410" s="230">
        <v>0</v>
      </c>
      <c r="H410" s="230">
        <v>0</v>
      </c>
      <c r="I410" s="230">
        <v>0</v>
      </c>
      <c r="J410" s="230">
        <v>0</v>
      </c>
    </row>
    <row r="411" spans="1:10" s="225" customFormat="1">
      <c r="A411" s="222" t="s">
        <v>178</v>
      </c>
      <c r="B411" s="222" t="s">
        <v>14</v>
      </c>
      <c r="C411" s="223">
        <v>0.30486111111111103</v>
      </c>
      <c r="D411" s="230">
        <v>0</v>
      </c>
      <c r="E411" s="230">
        <v>0</v>
      </c>
      <c r="F411" s="230">
        <v>0</v>
      </c>
      <c r="G411" s="230">
        <v>0</v>
      </c>
      <c r="H411" s="230">
        <v>0</v>
      </c>
      <c r="I411" s="230">
        <v>0</v>
      </c>
      <c r="J411" s="230">
        <v>0</v>
      </c>
    </row>
    <row r="412" spans="1:10" s="225" customFormat="1">
      <c r="A412" s="222" t="s">
        <v>178</v>
      </c>
      <c r="B412" s="222" t="s">
        <v>14</v>
      </c>
      <c r="C412" s="223">
        <v>0.30555555555555503</v>
      </c>
      <c r="D412" s="230">
        <v>0</v>
      </c>
      <c r="E412" s="230">
        <v>0</v>
      </c>
      <c r="F412" s="230">
        <v>0</v>
      </c>
      <c r="G412" s="230">
        <v>0</v>
      </c>
      <c r="H412" s="230">
        <v>0</v>
      </c>
      <c r="I412" s="230">
        <v>0</v>
      </c>
      <c r="J412" s="230">
        <v>0</v>
      </c>
    </row>
    <row r="413" spans="1:10" s="225" customFormat="1">
      <c r="A413" s="222" t="s">
        <v>178</v>
      </c>
      <c r="B413" s="222" t="s">
        <v>14</v>
      </c>
      <c r="C413" s="223">
        <v>0.30625000000000002</v>
      </c>
      <c r="D413" s="230">
        <v>0</v>
      </c>
      <c r="E413" s="230">
        <v>0</v>
      </c>
      <c r="F413" s="230">
        <v>0</v>
      </c>
      <c r="G413" s="230">
        <v>0</v>
      </c>
      <c r="H413" s="230">
        <v>0</v>
      </c>
      <c r="I413" s="230">
        <v>0</v>
      </c>
      <c r="J413" s="230">
        <v>0</v>
      </c>
    </row>
    <row r="414" spans="1:10" s="225" customFormat="1">
      <c r="A414" s="222" t="s">
        <v>178</v>
      </c>
      <c r="B414" s="222" t="s">
        <v>14</v>
      </c>
      <c r="C414" s="223">
        <v>0.30694444444444402</v>
      </c>
      <c r="D414" s="230">
        <v>0</v>
      </c>
      <c r="E414" s="230">
        <v>0</v>
      </c>
      <c r="F414" s="230">
        <v>0</v>
      </c>
      <c r="G414" s="230">
        <v>0</v>
      </c>
      <c r="H414" s="230">
        <v>0</v>
      </c>
      <c r="I414" s="230">
        <v>0</v>
      </c>
      <c r="J414" s="230">
        <v>0</v>
      </c>
    </row>
    <row r="415" spans="1:10" s="225" customFormat="1">
      <c r="A415" s="222" t="s">
        <v>178</v>
      </c>
      <c r="B415" s="222" t="s">
        <v>14</v>
      </c>
      <c r="C415" s="223">
        <v>0.30763888888888902</v>
      </c>
      <c r="D415" s="230">
        <v>0</v>
      </c>
      <c r="E415" s="230">
        <v>0</v>
      </c>
      <c r="F415" s="230">
        <v>0</v>
      </c>
      <c r="G415" s="230">
        <v>0</v>
      </c>
      <c r="H415" s="230">
        <v>0</v>
      </c>
      <c r="I415" s="230">
        <v>0</v>
      </c>
      <c r="J415" s="230">
        <v>0</v>
      </c>
    </row>
    <row r="416" spans="1:10" s="225" customFormat="1">
      <c r="A416" s="222" t="s">
        <v>178</v>
      </c>
      <c r="B416" s="222" t="s">
        <v>14</v>
      </c>
      <c r="C416" s="223">
        <v>0.30833333333333302</v>
      </c>
      <c r="D416" s="230">
        <v>0</v>
      </c>
      <c r="E416" s="230">
        <v>0</v>
      </c>
      <c r="F416" s="230">
        <v>0</v>
      </c>
      <c r="G416" s="230">
        <v>0</v>
      </c>
      <c r="H416" s="230">
        <v>0</v>
      </c>
      <c r="I416" s="230">
        <v>0</v>
      </c>
      <c r="J416" s="230">
        <v>0</v>
      </c>
    </row>
    <row r="417" spans="1:10" s="225" customFormat="1">
      <c r="A417" s="222" t="s">
        <v>178</v>
      </c>
      <c r="B417" s="222" t="s">
        <v>14</v>
      </c>
      <c r="C417" s="223">
        <v>0.30902777777777801</v>
      </c>
      <c r="D417" s="230">
        <v>0</v>
      </c>
      <c r="E417" s="230">
        <v>0</v>
      </c>
      <c r="F417" s="230">
        <v>0</v>
      </c>
      <c r="G417" s="230">
        <v>0</v>
      </c>
      <c r="H417" s="230">
        <v>0</v>
      </c>
      <c r="I417" s="230">
        <v>0</v>
      </c>
      <c r="J417" s="230">
        <v>0</v>
      </c>
    </row>
    <row r="418" spans="1:10" s="225" customFormat="1">
      <c r="A418" s="222" t="s">
        <v>178</v>
      </c>
      <c r="B418" s="222" t="s">
        <v>14</v>
      </c>
      <c r="C418" s="223">
        <v>0.30972222222222201</v>
      </c>
      <c r="D418" s="230">
        <v>0</v>
      </c>
      <c r="E418" s="230">
        <v>0</v>
      </c>
      <c r="F418" s="230">
        <v>0</v>
      </c>
      <c r="G418" s="230">
        <v>0</v>
      </c>
      <c r="H418" s="230">
        <v>0</v>
      </c>
      <c r="I418" s="230">
        <v>0</v>
      </c>
      <c r="J418" s="230">
        <v>0</v>
      </c>
    </row>
    <row r="419" spans="1:10" s="225" customFormat="1">
      <c r="A419" s="222" t="s">
        <v>178</v>
      </c>
      <c r="B419" s="222" t="s">
        <v>14</v>
      </c>
      <c r="C419" s="223">
        <v>0.31041666666666701</v>
      </c>
      <c r="D419" s="230">
        <v>0</v>
      </c>
      <c r="E419" s="230">
        <v>0</v>
      </c>
      <c r="F419" s="230">
        <v>0</v>
      </c>
      <c r="G419" s="230">
        <v>0</v>
      </c>
      <c r="H419" s="230">
        <v>0</v>
      </c>
      <c r="I419" s="230">
        <v>0</v>
      </c>
      <c r="J419" s="230">
        <v>0</v>
      </c>
    </row>
    <row r="420" spans="1:10" s="225" customFormat="1">
      <c r="A420" s="222" t="s">
        <v>178</v>
      </c>
      <c r="B420" s="222" t="s">
        <v>14</v>
      </c>
      <c r="C420" s="223">
        <v>0.31111111111111101</v>
      </c>
      <c r="D420" s="230">
        <v>0</v>
      </c>
      <c r="E420" s="230">
        <v>0</v>
      </c>
      <c r="F420" s="230">
        <v>0</v>
      </c>
      <c r="G420" s="230">
        <v>0</v>
      </c>
      <c r="H420" s="230">
        <v>0</v>
      </c>
      <c r="I420" s="230">
        <v>0</v>
      </c>
      <c r="J420" s="230">
        <v>0</v>
      </c>
    </row>
    <row r="421" spans="1:10" s="229" customFormat="1">
      <c r="A421" s="226" t="s">
        <v>178</v>
      </c>
      <c r="B421" s="226" t="s">
        <v>14</v>
      </c>
      <c r="C421" s="227">
        <v>0.311805555555555</v>
      </c>
      <c r="D421" s="231">
        <v>0</v>
      </c>
      <c r="E421" s="231">
        <v>0</v>
      </c>
      <c r="F421" s="231">
        <v>0</v>
      </c>
      <c r="G421" s="231">
        <v>0</v>
      </c>
      <c r="H421" s="231">
        <v>0</v>
      </c>
      <c r="I421" s="231">
        <v>0</v>
      </c>
      <c r="J421" s="231">
        <v>0</v>
      </c>
    </row>
    <row r="422" spans="1:10" s="225" customFormat="1">
      <c r="A422" s="222" t="s">
        <v>178</v>
      </c>
      <c r="B422" s="222" t="s">
        <v>14</v>
      </c>
      <c r="C422" s="223">
        <v>0.3125</v>
      </c>
      <c r="D422" s="230">
        <v>0</v>
      </c>
      <c r="E422" s="230">
        <v>0</v>
      </c>
      <c r="F422" s="230">
        <v>0</v>
      </c>
      <c r="G422" s="230">
        <v>0</v>
      </c>
      <c r="H422" s="230">
        <v>0</v>
      </c>
      <c r="I422" s="230">
        <v>0</v>
      </c>
      <c r="J422" s="230">
        <v>0</v>
      </c>
    </row>
    <row r="423" spans="1:10" s="225" customFormat="1">
      <c r="A423" s="222" t="s">
        <v>178</v>
      </c>
      <c r="B423" s="222" t="s">
        <v>14</v>
      </c>
      <c r="C423" s="223">
        <v>0.313194444444444</v>
      </c>
      <c r="D423" s="230">
        <v>0</v>
      </c>
      <c r="E423" s="230">
        <v>0</v>
      </c>
      <c r="F423" s="230">
        <v>0</v>
      </c>
      <c r="G423" s="230">
        <v>0</v>
      </c>
      <c r="H423" s="230">
        <v>0</v>
      </c>
      <c r="I423" s="230">
        <v>0</v>
      </c>
      <c r="J423" s="230">
        <v>0</v>
      </c>
    </row>
    <row r="424" spans="1:10" s="225" customFormat="1">
      <c r="A424" s="222" t="s">
        <v>178</v>
      </c>
      <c r="B424" s="222" t="s">
        <v>14</v>
      </c>
      <c r="C424" s="223">
        <v>0.31388888888888899</v>
      </c>
      <c r="D424" s="230">
        <v>0</v>
      </c>
      <c r="E424" s="230">
        <v>0</v>
      </c>
      <c r="F424" s="230">
        <v>0</v>
      </c>
      <c r="G424" s="230">
        <v>0</v>
      </c>
      <c r="H424" s="230">
        <v>0</v>
      </c>
      <c r="I424" s="230">
        <v>0</v>
      </c>
      <c r="J424" s="230">
        <v>0</v>
      </c>
    </row>
    <row r="425" spans="1:10" s="225" customFormat="1">
      <c r="A425" s="222" t="s">
        <v>178</v>
      </c>
      <c r="B425" s="222" t="s">
        <v>14</v>
      </c>
      <c r="C425" s="223">
        <v>0.31458333333333299</v>
      </c>
      <c r="D425" s="230">
        <v>0</v>
      </c>
      <c r="E425" s="230">
        <v>0</v>
      </c>
      <c r="F425" s="230">
        <v>0</v>
      </c>
      <c r="G425" s="230">
        <v>0</v>
      </c>
      <c r="H425" s="230">
        <v>0</v>
      </c>
      <c r="I425" s="230">
        <v>0</v>
      </c>
      <c r="J425" s="230">
        <v>0</v>
      </c>
    </row>
    <row r="426" spans="1:10" s="225" customFormat="1">
      <c r="A426" s="222" t="s">
        <v>178</v>
      </c>
      <c r="B426" s="222" t="s">
        <v>14</v>
      </c>
      <c r="C426" s="223">
        <v>0.31527777777777799</v>
      </c>
      <c r="D426" s="230">
        <v>0</v>
      </c>
      <c r="E426" s="230">
        <v>0</v>
      </c>
      <c r="F426" s="230">
        <v>0</v>
      </c>
      <c r="G426" s="230">
        <v>0</v>
      </c>
      <c r="H426" s="230">
        <v>0</v>
      </c>
      <c r="I426" s="230">
        <v>0</v>
      </c>
      <c r="J426" s="230">
        <v>0</v>
      </c>
    </row>
    <row r="427" spans="1:10" s="225" customFormat="1">
      <c r="A427" s="222" t="s">
        <v>178</v>
      </c>
      <c r="B427" s="222" t="s">
        <v>14</v>
      </c>
      <c r="C427" s="223">
        <v>0.31597222222222199</v>
      </c>
      <c r="D427" s="230">
        <v>0</v>
      </c>
      <c r="E427" s="230">
        <v>0</v>
      </c>
      <c r="F427" s="230">
        <v>0</v>
      </c>
      <c r="G427" s="230">
        <v>0</v>
      </c>
      <c r="H427" s="230">
        <v>0</v>
      </c>
      <c r="I427" s="230">
        <v>0</v>
      </c>
      <c r="J427" s="230">
        <v>0</v>
      </c>
    </row>
    <row r="428" spans="1:10" s="225" customFormat="1">
      <c r="A428" s="222" t="s">
        <v>178</v>
      </c>
      <c r="B428" s="222" t="s">
        <v>14</v>
      </c>
      <c r="C428" s="223">
        <v>0.31666666666666698</v>
      </c>
      <c r="D428" s="230">
        <v>0</v>
      </c>
      <c r="E428" s="230">
        <v>0</v>
      </c>
      <c r="F428" s="230">
        <v>0</v>
      </c>
      <c r="G428" s="230">
        <v>0</v>
      </c>
      <c r="H428" s="230">
        <v>0</v>
      </c>
      <c r="I428" s="230">
        <v>0</v>
      </c>
      <c r="J428" s="230">
        <v>0</v>
      </c>
    </row>
    <row r="429" spans="1:10" s="225" customFormat="1">
      <c r="A429" s="222" t="s">
        <v>178</v>
      </c>
      <c r="B429" s="222" t="s">
        <v>14</v>
      </c>
      <c r="C429" s="223">
        <v>0.31736111111111098</v>
      </c>
      <c r="D429" s="230">
        <v>0</v>
      </c>
      <c r="E429" s="230">
        <v>0</v>
      </c>
      <c r="F429" s="230">
        <v>0</v>
      </c>
      <c r="G429" s="230">
        <v>0</v>
      </c>
      <c r="H429" s="230">
        <v>0</v>
      </c>
      <c r="I429" s="230">
        <v>0</v>
      </c>
      <c r="J429" s="230">
        <v>0</v>
      </c>
    </row>
    <row r="430" spans="1:10" s="225" customFormat="1">
      <c r="A430" s="222" t="s">
        <v>178</v>
      </c>
      <c r="B430" s="222" t="s">
        <v>14</v>
      </c>
      <c r="C430" s="223">
        <v>0.31805555555555498</v>
      </c>
      <c r="D430" s="230">
        <v>0</v>
      </c>
      <c r="E430" s="230">
        <v>0</v>
      </c>
      <c r="F430" s="230">
        <v>0</v>
      </c>
      <c r="G430" s="230">
        <v>0</v>
      </c>
      <c r="H430" s="230">
        <v>0</v>
      </c>
      <c r="I430" s="230">
        <v>0</v>
      </c>
      <c r="J430" s="230">
        <v>0</v>
      </c>
    </row>
    <row r="431" spans="1:10" s="225" customFormat="1">
      <c r="A431" s="222" t="s">
        <v>178</v>
      </c>
      <c r="B431" s="222" t="s">
        <v>14</v>
      </c>
      <c r="C431" s="223">
        <v>0.31874999999999998</v>
      </c>
      <c r="D431" s="230">
        <v>0</v>
      </c>
      <c r="E431" s="230">
        <v>0</v>
      </c>
      <c r="F431" s="230">
        <v>0</v>
      </c>
      <c r="G431" s="230">
        <v>0</v>
      </c>
      <c r="H431" s="230">
        <v>0</v>
      </c>
      <c r="I431" s="230">
        <v>0</v>
      </c>
      <c r="J431" s="230">
        <v>0</v>
      </c>
    </row>
    <row r="432" spans="1:10" s="225" customFormat="1">
      <c r="A432" s="222" t="s">
        <v>178</v>
      </c>
      <c r="B432" s="222" t="s">
        <v>14</v>
      </c>
      <c r="C432" s="223">
        <v>0.31944444444444398</v>
      </c>
      <c r="D432" s="230">
        <v>0</v>
      </c>
      <c r="E432" s="230">
        <v>0</v>
      </c>
      <c r="F432" s="230">
        <v>0</v>
      </c>
      <c r="G432" s="230">
        <v>0</v>
      </c>
      <c r="H432" s="230">
        <v>0</v>
      </c>
      <c r="I432" s="230">
        <v>0</v>
      </c>
      <c r="J432" s="230">
        <v>0</v>
      </c>
    </row>
    <row r="433" spans="1:10" s="225" customFormat="1">
      <c r="A433" s="222" t="s">
        <v>178</v>
      </c>
      <c r="B433" s="222" t="s">
        <v>14</v>
      </c>
      <c r="C433" s="223">
        <v>0.32013888888888897</v>
      </c>
      <c r="D433" s="230">
        <v>0</v>
      </c>
      <c r="E433" s="230">
        <v>0</v>
      </c>
      <c r="F433" s="230">
        <v>0</v>
      </c>
      <c r="G433" s="230">
        <v>0</v>
      </c>
      <c r="H433" s="230">
        <v>0</v>
      </c>
      <c r="I433" s="230">
        <v>0</v>
      </c>
      <c r="J433" s="230">
        <v>0</v>
      </c>
    </row>
    <row r="434" spans="1:10" s="225" customFormat="1">
      <c r="A434" s="222" t="s">
        <v>178</v>
      </c>
      <c r="B434" s="222" t="s">
        <v>14</v>
      </c>
      <c r="C434" s="223">
        <v>0.32083333333333303</v>
      </c>
      <c r="D434" s="230">
        <v>0</v>
      </c>
      <c r="E434" s="230">
        <v>0</v>
      </c>
      <c r="F434" s="230">
        <v>0</v>
      </c>
      <c r="G434" s="230">
        <v>0</v>
      </c>
      <c r="H434" s="230">
        <v>0</v>
      </c>
      <c r="I434" s="230">
        <v>0</v>
      </c>
      <c r="J434" s="230">
        <v>0</v>
      </c>
    </row>
    <row r="435" spans="1:10" s="225" customFormat="1">
      <c r="A435" s="222" t="s">
        <v>178</v>
      </c>
      <c r="B435" s="222" t="s">
        <v>14</v>
      </c>
      <c r="C435" s="223">
        <v>0.32152777777777802</v>
      </c>
      <c r="D435" s="230">
        <v>0</v>
      </c>
      <c r="E435" s="230">
        <v>0</v>
      </c>
      <c r="F435" s="230">
        <v>0</v>
      </c>
      <c r="G435" s="230">
        <v>0</v>
      </c>
      <c r="H435" s="230">
        <v>0</v>
      </c>
      <c r="I435" s="230">
        <v>0</v>
      </c>
      <c r="J435" s="230">
        <v>0</v>
      </c>
    </row>
    <row r="436" spans="1:10" s="229" customFormat="1">
      <c r="A436" s="226" t="s">
        <v>178</v>
      </c>
      <c r="B436" s="226" t="s">
        <v>14</v>
      </c>
      <c r="C436" s="227">
        <v>0.32222222222222202</v>
      </c>
      <c r="D436" s="231">
        <v>0</v>
      </c>
      <c r="E436" s="231">
        <v>0</v>
      </c>
      <c r="F436" s="231">
        <v>0</v>
      </c>
      <c r="G436" s="231">
        <v>0</v>
      </c>
      <c r="H436" s="231">
        <v>0</v>
      </c>
      <c r="I436" s="231">
        <v>0</v>
      </c>
      <c r="J436" s="231">
        <v>0</v>
      </c>
    </row>
    <row r="437" spans="1:10" s="225" customFormat="1">
      <c r="A437" s="222" t="s">
        <v>178</v>
      </c>
      <c r="B437" s="222" t="s">
        <v>14</v>
      </c>
      <c r="C437" s="223">
        <v>0.32291666666666602</v>
      </c>
      <c r="D437" s="230">
        <v>0</v>
      </c>
      <c r="E437" s="230">
        <v>0</v>
      </c>
      <c r="F437" s="230">
        <v>0</v>
      </c>
      <c r="G437" s="230">
        <v>0</v>
      </c>
      <c r="H437" s="230">
        <v>0</v>
      </c>
      <c r="I437" s="230">
        <v>0</v>
      </c>
      <c r="J437" s="230">
        <v>0</v>
      </c>
    </row>
    <row r="438" spans="1:10" s="225" customFormat="1">
      <c r="A438" s="222" t="s">
        <v>178</v>
      </c>
      <c r="B438" s="222" t="s">
        <v>14</v>
      </c>
      <c r="C438" s="223">
        <v>0.32361111111111102</v>
      </c>
      <c r="D438" s="230">
        <v>0</v>
      </c>
      <c r="E438" s="230">
        <v>0</v>
      </c>
      <c r="F438" s="230">
        <v>0</v>
      </c>
      <c r="G438" s="230">
        <v>0</v>
      </c>
      <c r="H438" s="230">
        <v>0</v>
      </c>
      <c r="I438" s="230">
        <v>0</v>
      </c>
      <c r="J438" s="230">
        <v>0</v>
      </c>
    </row>
    <row r="439" spans="1:10" s="225" customFormat="1">
      <c r="A439" s="222" t="s">
        <v>178</v>
      </c>
      <c r="B439" s="222" t="s">
        <v>14</v>
      </c>
      <c r="C439" s="223">
        <v>0.32430555555555501</v>
      </c>
      <c r="D439" s="230">
        <v>0</v>
      </c>
      <c r="E439" s="230">
        <v>0</v>
      </c>
      <c r="F439" s="230">
        <v>0</v>
      </c>
      <c r="G439" s="230">
        <v>0</v>
      </c>
      <c r="H439" s="230">
        <v>0</v>
      </c>
      <c r="I439" s="230">
        <v>0</v>
      </c>
      <c r="J439" s="230">
        <v>0</v>
      </c>
    </row>
    <row r="440" spans="1:10" s="225" customFormat="1">
      <c r="A440" s="222" t="s">
        <v>178</v>
      </c>
      <c r="B440" s="222" t="s">
        <v>14</v>
      </c>
      <c r="C440" s="223">
        <v>0.32500000000000001</v>
      </c>
      <c r="D440" s="230">
        <v>0</v>
      </c>
      <c r="E440" s="230">
        <v>0</v>
      </c>
      <c r="F440" s="230">
        <v>0</v>
      </c>
      <c r="G440" s="230">
        <v>0</v>
      </c>
      <c r="H440" s="230">
        <v>0</v>
      </c>
      <c r="I440" s="230">
        <v>0</v>
      </c>
      <c r="J440" s="230">
        <v>0</v>
      </c>
    </row>
    <row r="441" spans="1:10" s="225" customFormat="1">
      <c r="A441" s="222" t="s">
        <v>178</v>
      </c>
      <c r="B441" s="222" t="s">
        <v>14</v>
      </c>
      <c r="C441" s="223">
        <v>0.32569444444444401</v>
      </c>
      <c r="D441" s="230">
        <v>0</v>
      </c>
      <c r="E441" s="230">
        <v>0</v>
      </c>
      <c r="F441" s="230">
        <v>0</v>
      </c>
      <c r="G441" s="230">
        <v>0</v>
      </c>
      <c r="H441" s="230">
        <v>0</v>
      </c>
      <c r="I441" s="230">
        <v>0</v>
      </c>
      <c r="J441" s="230">
        <v>0</v>
      </c>
    </row>
    <row r="442" spans="1:10" s="225" customFormat="1">
      <c r="A442" s="222" t="s">
        <v>178</v>
      </c>
      <c r="B442" s="222" t="s">
        <v>14</v>
      </c>
      <c r="C442" s="223">
        <v>0.32638888888888901</v>
      </c>
      <c r="D442" s="230">
        <v>0</v>
      </c>
      <c r="E442" s="230">
        <v>0</v>
      </c>
      <c r="F442" s="230">
        <v>0</v>
      </c>
      <c r="G442" s="230">
        <v>0</v>
      </c>
      <c r="H442" s="230">
        <v>0</v>
      </c>
      <c r="I442" s="230">
        <v>0</v>
      </c>
      <c r="J442" s="230">
        <v>0</v>
      </c>
    </row>
    <row r="443" spans="1:10" s="225" customFormat="1">
      <c r="A443" s="222" t="s">
        <v>178</v>
      </c>
      <c r="B443" s="222" t="s">
        <v>14</v>
      </c>
      <c r="C443" s="223">
        <v>0.327083333333333</v>
      </c>
      <c r="D443" s="230">
        <v>0</v>
      </c>
      <c r="E443" s="230">
        <v>0</v>
      </c>
      <c r="F443" s="230">
        <v>0</v>
      </c>
      <c r="G443" s="230">
        <v>0</v>
      </c>
      <c r="H443" s="230">
        <v>0</v>
      </c>
      <c r="I443" s="230">
        <v>0</v>
      </c>
      <c r="J443" s="230">
        <v>0</v>
      </c>
    </row>
    <row r="444" spans="1:10" s="225" customFormat="1">
      <c r="A444" s="222" t="s">
        <v>178</v>
      </c>
      <c r="B444" s="222" t="s">
        <v>14</v>
      </c>
      <c r="C444" s="223">
        <v>0.327777777777778</v>
      </c>
      <c r="D444" s="230">
        <v>0</v>
      </c>
      <c r="E444" s="230">
        <v>0</v>
      </c>
      <c r="F444" s="230">
        <v>0</v>
      </c>
      <c r="G444" s="230">
        <v>0</v>
      </c>
      <c r="H444" s="230">
        <v>0</v>
      </c>
      <c r="I444" s="230">
        <v>0</v>
      </c>
      <c r="J444" s="230">
        <v>0</v>
      </c>
    </row>
    <row r="445" spans="1:10" s="225" customFormat="1">
      <c r="A445" s="222" t="s">
        <v>178</v>
      </c>
      <c r="B445" s="222" t="s">
        <v>14</v>
      </c>
      <c r="C445" s="223">
        <v>0.328472222222222</v>
      </c>
      <c r="D445" s="230">
        <v>0</v>
      </c>
      <c r="E445" s="230">
        <v>0</v>
      </c>
      <c r="F445" s="230">
        <v>0</v>
      </c>
      <c r="G445" s="230">
        <v>0</v>
      </c>
      <c r="H445" s="230">
        <v>0</v>
      </c>
      <c r="I445" s="230">
        <v>0</v>
      </c>
      <c r="J445" s="230">
        <v>0</v>
      </c>
    </row>
    <row r="446" spans="1:10" s="225" customFormat="1">
      <c r="A446" s="222" t="s">
        <v>178</v>
      </c>
      <c r="B446" s="222" t="s">
        <v>14</v>
      </c>
      <c r="C446" s="223">
        <v>0.329166666666666</v>
      </c>
      <c r="D446" s="230">
        <v>0</v>
      </c>
      <c r="E446" s="230">
        <v>0</v>
      </c>
      <c r="F446" s="230">
        <v>0</v>
      </c>
      <c r="G446" s="230">
        <v>0</v>
      </c>
      <c r="H446" s="230">
        <v>0</v>
      </c>
      <c r="I446" s="230">
        <v>0</v>
      </c>
      <c r="J446" s="230">
        <v>0</v>
      </c>
    </row>
    <row r="447" spans="1:10" s="225" customFormat="1">
      <c r="A447" s="222" t="s">
        <v>178</v>
      </c>
      <c r="B447" s="222" t="s">
        <v>14</v>
      </c>
      <c r="C447" s="223">
        <v>0.32986111111111099</v>
      </c>
      <c r="D447" s="230">
        <v>0</v>
      </c>
      <c r="E447" s="230">
        <v>0</v>
      </c>
      <c r="F447" s="230">
        <v>0</v>
      </c>
      <c r="G447" s="230">
        <v>0</v>
      </c>
      <c r="H447" s="230">
        <v>0</v>
      </c>
      <c r="I447" s="230">
        <v>0</v>
      </c>
      <c r="J447" s="230">
        <v>0</v>
      </c>
    </row>
    <row r="448" spans="1:10" s="225" customFormat="1">
      <c r="A448" s="222" t="s">
        <v>178</v>
      </c>
      <c r="B448" s="222" t="s">
        <v>14</v>
      </c>
      <c r="C448" s="223">
        <v>0.33055555555555499</v>
      </c>
      <c r="D448" s="230">
        <v>0</v>
      </c>
      <c r="E448" s="230">
        <v>0</v>
      </c>
      <c r="F448" s="230">
        <v>0</v>
      </c>
      <c r="G448" s="230">
        <v>0</v>
      </c>
      <c r="H448" s="230">
        <v>0</v>
      </c>
      <c r="I448" s="230">
        <v>0</v>
      </c>
      <c r="J448" s="230">
        <v>0</v>
      </c>
    </row>
    <row r="449" spans="1:10" s="225" customFormat="1">
      <c r="A449" s="222" t="s">
        <v>178</v>
      </c>
      <c r="B449" s="222" t="s">
        <v>14</v>
      </c>
      <c r="C449" s="223">
        <v>0.33124999999999999</v>
      </c>
      <c r="D449" s="230">
        <v>0</v>
      </c>
      <c r="E449" s="230">
        <v>0</v>
      </c>
      <c r="F449" s="230">
        <v>0</v>
      </c>
      <c r="G449" s="230">
        <v>0</v>
      </c>
      <c r="H449" s="230">
        <v>0</v>
      </c>
      <c r="I449" s="230">
        <v>0</v>
      </c>
      <c r="J449" s="230">
        <v>0</v>
      </c>
    </row>
    <row r="450" spans="1:10" s="225" customFormat="1">
      <c r="A450" s="222" t="s">
        <v>178</v>
      </c>
      <c r="B450" s="222" t="s">
        <v>14</v>
      </c>
      <c r="C450" s="223">
        <v>0.33194444444444399</v>
      </c>
      <c r="D450" s="230">
        <v>0</v>
      </c>
      <c r="E450" s="230">
        <v>0</v>
      </c>
      <c r="F450" s="230">
        <v>0</v>
      </c>
      <c r="G450" s="230">
        <v>0</v>
      </c>
      <c r="H450" s="230">
        <v>0</v>
      </c>
      <c r="I450" s="230">
        <v>0</v>
      </c>
      <c r="J450" s="230">
        <v>0</v>
      </c>
    </row>
    <row r="451" spans="1:10" s="229" customFormat="1">
      <c r="A451" s="226" t="s">
        <v>178</v>
      </c>
      <c r="B451" s="226" t="s">
        <v>14</v>
      </c>
      <c r="C451" s="227">
        <v>0.33263888888888898</v>
      </c>
      <c r="D451" s="231">
        <v>0</v>
      </c>
      <c r="E451" s="231">
        <v>0</v>
      </c>
      <c r="F451" s="231">
        <v>0</v>
      </c>
      <c r="G451" s="231">
        <v>0</v>
      </c>
      <c r="H451" s="231">
        <v>0</v>
      </c>
      <c r="I451" s="231">
        <v>0</v>
      </c>
      <c r="J451" s="231">
        <v>0</v>
      </c>
    </row>
    <row r="452" spans="1:10" s="225" customFormat="1">
      <c r="A452" s="222" t="s">
        <v>178</v>
      </c>
      <c r="B452" s="222" t="s">
        <v>14</v>
      </c>
      <c r="C452" s="223">
        <v>0.33333333333333298</v>
      </c>
      <c r="D452" s="230">
        <v>0</v>
      </c>
      <c r="E452" s="230">
        <v>0</v>
      </c>
      <c r="F452" s="230">
        <v>0</v>
      </c>
      <c r="G452" s="230">
        <v>0</v>
      </c>
      <c r="H452" s="230">
        <v>0</v>
      </c>
      <c r="I452" s="230">
        <v>0</v>
      </c>
      <c r="J452" s="230">
        <v>0</v>
      </c>
    </row>
    <row r="453" spans="1:10" s="225" customFormat="1">
      <c r="A453" s="222" t="s">
        <v>178</v>
      </c>
      <c r="B453" s="222" t="s">
        <v>14</v>
      </c>
      <c r="C453" s="223">
        <v>0.33402777777777798</v>
      </c>
      <c r="D453" s="230">
        <v>0</v>
      </c>
      <c r="E453" s="230">
        <v>0</v>
      </c>
      <c r="F453" s="230">
        <v>0</v>
      </c>
      <c r="G453" s="230">
        <v>0</v>
      </c>
      <c r="H453" s="230">
        <v>0</v>
      </c>
      <c r="I453" s="230">
        <v>0</v>
      </c>
      <c r="J453" s="230">
        <v>0</v>
      </c>
    </row>
    <row r="454" spans="1:10" s="225" customFormat="1">
      <c r="A454" s="222" t="s">
        <v>178</v>
      </c>
      <c r="B454" s="222" t="s">
        <v>14</v>
      </c>
      <c r="C454" s="223">
        <v>0.33472222222222198</v>
      </c>
      <c r="D454" s="230">
        <v>0</v>
      </c>
      <c r="E454" s="230">
        <v>0</v>
      </c>
      <c r="F454" s="230">
        <v>0</v>
      </c>
      <c r="G454" s="230">
        <v>0</v>
      </c>
      <c r="H454" s="230">
        <v>0</v>
      </c>
      <c r="I454" s="230">
        <v>0</v>
      </c>
      <c r="J454" s="230">
        <v>0</v>
      </c>
    </row>
    <row r="455" spans="1:10" s="225" customFormat="1">
      <c r="A455" s="222" t="s">
        <v>178</v>
      </c>
      <c r="B455" s="222" t="s">
        <v>14</v>
      </c>
      <c r="C455" s="223">
        <v>0.33541666666666597</v>
      </c>
      <c r="D455" s="230">
        <v>0</v>
      </c>
      <c r="E455" s="230">
        <v>0</v>
      </c>
      <c r="F455" s="230">
        <v>0</v>
      </c>
      <c r="G455" s="230">
        <v>0</v>
      </c>
      <c r="H455" s="230">
        <v>0</v>
      </c>
      <c r="I455" s="230">
        <v>0</v>
      </c>
      <c r="J455" s="230">
        <v>0</v>
      </c>
    </row>
    <row r="456" spans="1:10" s="225" customFormat="1">
      <c r="A456" s="222" t="s">
        <v>178</v>
      </c>
      <c r="B456" s="222" t="s">
        <v>14</v>
      </c>
      <c r="C456" s="223">
        <v>0.33611111111111103</v>
      </c>
      <c r="D456" s="230">
        <v>0</v>
      </c>
      <c r="E456" s="230">
        <v>0</v>
      </c>
      <c r="F456" s="230">
        <v>0</v>
      </c>
      <c r="G456" s="230">
        <v>0</v>
      </c>
      <c r="H456" s="230">
        <v>0</v>
      </c>
      <c r="I456" s="230">
        <v>0</v>
      </c>
      <c r="J456" s="230">
        <v>0</v>
      </c>
    </row>
    <row r="457" spans="1:10" s="225" customFormat="1">
      <c r="A457" s="222" t="s">
        <v>178</v>
      </c>
      <c r="B457" s="222" t="s">
        <v>14</v>
      </c>
      <c r="C457" s="223">
        <v>0.33680555555555503</v>
      </c>
      <c r="D457" s="230">
        <v>0</v>
      </c>
      <c r="E457" s="230">
        <v>0</v>
      </c>
      <c r="F457" s="230">
        <v>0</v>
      </c>
      <c r="G457" s="230">
        <v>0</v>
      </c>
      <c r="H457" s="230">
        <v>0</v>
      </c>
      <c r="I457" s="230">
        <v>0</v>
      </c>
      <c r="J457" s="230">
        <v>0</v>
      </c>
    </row>
    <row r="458" spans="1:10" s="225" customFormat="1">
      <c r="A458" s="222" t="s">
        <v>178</v>
      </c>
      <c r="B458" s="222" t="s">
        <v>14</v>
      </c>
      <c r="C458" s="223">
        <v>0.33750000000000002</v>
      </c>
      <c r="D458" s="230">
        <v>0</v>
      </c>
      <c r="E458" s="230">
        <v>0</v>
      </c>
      <c r="F458" s="230">
        <v>0</v>
      </c>
      <c r="G458" s="230">
        <v>0</v>
      </c>
      <c r="H458" s="230">
        <v>0</v>
      </c>
      <c r="I458" s="230">
        <v>0</v>
      </c>
      <c r="J458" s="230">
        <v>0</v>
      </c>
    </row>
    <row r="459" spans="1:10" s="225" customFormat="1">
      <c r="A459" s="222" t="s">
        <v>178</v>
      </c>
      <c r="B459" s="222" t="s">
        <v>14</v>
      </c>
      <c r="C459" s="223">
        <v>0.33819444444444402</v>
      </c>
      <c r="D459" s="230">
        <v>0</v>
      </c>
      <c r="E459" s="230">
        <v>0</v>
      </c>
      <c r="F459" s="230">
        <v>0</v>
      </c>
      <c r="G459" s="230">
        <v>0</v>
      </c>
      <c r="H459" s="230">
        <v>0</v>
      </c>
      <c r="I459" s="230">
        <v>0</v>
      </c>
      <c r="J459" s="230">
        <v>0</v>
      </c>
    </row>
    <row r="460" spans="1:10" s="225" customFormat="1">
      <c r="A460" s="222" t="s">
        <v>178</v>
      </c>
      <c r="B460" s="222" t="s">
        <v>14</v>
      </c>
      <c r="C460" s="223">
        <v>0.33888888888888902</v>
      </c>
      <c r="D460" s="230">
        <v>0</v>
      </c>
      <c r="E460" s="230">
        <v>0</v>
      </c>
      <c r="F460" s="230">
        <v>0</v>
      </c>
      <c r="G460" s="230">
        <v>0</v>
      </c>
      <c r="H460" s="230">
        <v>0</v>
      </c>
      <c r="I460" s="230">
        <v>0</v>
      </c>
      <c r="J460" s="230">
        <v>0</v>
      </c>
    </row>
    <row r="461" spans="1:10" s="225" customFormat="1">
      <c r="A461" s="222" t="s">
        <v>178</v>
      </c>
      <c r="B461" s="222" t="s">
        <v>14</v>
      </c>
      <c r="C461" s="223">
        <v>0.33958333333333302</v>
      </c>
      <c r="D461" s="230">
        <v>0</v>
      </c>
      <c r="E461" s="230">
        <v>0</v>
      </c>
      <c r="F461" s="230">
        <v>0</v>
      </c>
      <c r="G461" s="230">
        <v>0</v>
      </c>
      <c r="H461" s="230">
        <v>0</v>
      </c>
      <c r="I461" s="230">
        <v>0</v>
      </c>
      <c r="J461" s="230">
        <v>0</v>
      </c>
    </row>
    <row r="462" spans="1:10" s="225" customFormat="1">
      <c r="A462" s="222" t="s">
        <v>178</v>
      </c>
      <c r="B462" s="222" t="s">
        <v>14</v>
      </c>
      <c r="C462" s="223">
        <v>0.34027777777777801</v>
      </c>
      <c r="D462" s="230">
        <v>0</v>
      </c>
      <c r="E462" s="230">
        <v>0</v>
      </c>
      <c r="F462" s="230">
        <v>0</v>
      </c>
      <c r="G462" s="230">
        <v>0</v>
      </c>
      <c r="H462" s="230">
        <v>0</v>
      </c>
      <c r="I462" s="230">
        <v>0</v>
      </c>
      <c r="J462" s="230">
        <v>0</v>
      </c>
    </row>
    <row r="463" spans="1:10" s="225" customFormat="1">
      <c r="A463" s="222" t="s">
        <v>178</v>
      </c>
      <c r="B463" s="222" t="s">
        <v>14</v>
      </c>
      <c r="C463" s="223">
        <v>0.34097222222222201</v>
      </c>
      <c r="D463" s="230">
        <v>0</v>
      </c>
      <c r="E463" s="230">
        <v>0</v>
      </c>
      <c r="F463" s="230">
        <v>0</v>
      </c>
      <c r="G463" s="230">
        <v>0</v>
      </c>
      <c r="H463" s="230">
        <v>0</v>
      </c>
      <c r="I463" s="230">
        <v>0</v>
      </c>
      <c r="J463" s="230">
        <v>0</v>
      </c>
    </row>
    <row r="464" spans="1:10" s="225" customFormat="1">
      <c r="A464" s="222" t="s">
        <v>178</v>
      </c>
      <c r="B464" s="222" t="s">
        <v>14</v>
      </c>
      <c r="C464" s="223">
        <v>0.34166666666666601</v>
      </c>
      <c r="D464" s="230">
        <v>0</v>
      </c>
      <c r="E464" s="230">
        <v>0</v>
      </c>
      <c r="F464" s="230">
        <v>0</v>
      </c>
      <c r="G464" s="230">
        <v>0</v>
      </c>
      <c r="H464" s="230">
        <v>0</v>
      </c>
      <c r="I464" s="230">
        <v>0</v>
      </c>
      <c r="J464" s="230">
        <v>0</v>
      </c>
    </row>
    <row r="465" spans="1:10" s="225" customFormat="1">
      <c r="A465" s="222" t="s">
        <v>178</v>
      </c>
      <c r="B465" s="222" t="s">
        <v>14</v>
      </c>
      <c r="C465" s="223">
        <v>0.34236111111111101</v>
      </c>
      <c r="D465" s="230">
        <v>0</v>
      </c>
      <c r="E465" s="230">
        <v>0</v>
      </c>
      <c r="F465" s="230">
        <v>0</v>
      </c>
      <c r="G465" s="230">
        <v>0</v>
      </c>
      <c r="H465" s="230">
        <v>0</v>
      </c>
      <c r="I465" s="230">
        <v>0</v>
      </c>
      <c r="J465" s="230">
        <v>0</v>
      </c>
    </row>
    <row r="466" spans="1:10" s="229" customFormat="1">
      <c r="A466" s="226" t="s">
        <v>178</v>
      </c>
      <c r="B466" s="226" t="s">
        <v>14</v>
      </c>
      <c r="C466" s="227">
        <v>0.343055555555555</v>
      </c>
      <c r="D466" s="231">
        <v>0</v>
      </c>
      <c r="E466" s="231">
        <v>0</v>
      </c>
      <c r="F466" s="231">
        <v>0</v>
      </c>
      <c r="G466" s="231">
        <v>0</v>
      </c>
      <c r="H466" s="231">
        <v>0</v>
      </c>
      <c r="I466" s="231">
        <v>0</v>
      </c>
      <c r="J466" s="231">
        <v>0</v>
      </c>
    </row>
    <row r="467" spans="1:10" s="225" customFormat="1">
      <c r="A467" s="222" t="s">
        <v>178</v>
      </c>
      <c r="B467" s="222" t="s">
        <v>14</v>
      </c>
      <c r="C467" s="223">
        <v>0.34375</v>
      </c>
      <c r="D467" s="230">
        <v>0</v>
      </c>
      <c r="E467" s="230">
        <v>0</v>
      </c>
      <c r="F467" s="230">
        <v>0</v>
      </c>
      <c r="G467" s="230">
        <v>0</v>
      </c>
      <c r="H467" s="230">
        <v>0</v>
      </c>
      <c r="I467" s="230">
        <v>0</v>
      </c>
      <c r="J467" s="230">
        <v>0</v>
      </c>
    </row>
    <row r="468" spans="1:10" s="225" customFormat="1">
      <c r="A468" s="222" t="s">
        <v>178</v>
      </c>
      <c r="B468" s="222" t="s">
        <v>14</v>
      </c>
      <c r="C468" s="223">
        <v>0.344444444444444</v>
      </c>
      <c r="D468" s="230">
        <v>0</v>
      </c>
      <c r="E468" s="230">
        <v>0</v>
      </c>
      <c r="F468" s="230">
        <v>0</v>
      </c>
      <c r="G468" s="230">
        <v>0</v>
      </c>
      <c r="H468" s="230">
        <v>0</v>
      </c>
      <c r="I468" s="230">
        <v>0</v>
      </c>
      <c r="J468" s="230">
        <v>0</v>
      </c>
    </row>
    <row r="469" spans="1:10" s="225" customFormat="1">
      <c r="A469" s="222" t="s">
        <v>178</v>
      </c>
      <c r="B469" s="222" t="s">
        <v>14</v>
      </c>
      <c r="C469" s="223">
        <v>0.34513888888888899</v>
      </c>
      <c r="D469" s="230">
        <v>0</v>
      </c>
      <c r="E469" s="230">
        <v>0</v>
      </c>
      <c r="F469" s="230">
        <v>0</v>
      </c>
      <c r="G469" s="230">
        <v>0</v>
      </c>
      <c r="H469" s="230">
        <v>0</v>
      </c>
      <c r="I469" s="230">
        <v>0</v>
      </c>
      <c r="J469" s="230">
        <v>0</v>
      </c>
    </row>
    <row r="470" spans="1:10" s="225" customFormat="1">
      <c r="A470" s="222" t="s">
        <v>178</v>
      </c>
      <c r="B470" s="222" t="s">
        <v>14</v>
      </c>
      <c r="C470" s="223">
        <v>0.34583333333333299</v>
      </c>
      <c r="D470" s="230">
        <v>0</v>
      </c>
      <c r="E470" s="230">
        <v>0</v>
      </c>
      <c r="F470" s="230">
        <v>0</v>
      </c>
      <c r="G470" s="230">
        <v>0</v>
      </c>
      <c r="H470" s="230">
        <v>0</v>
      </c>
      <c r="I470" s="230">
        <v>0</v>
      </c>
      <c r="J470" s="230">
        <v>0</v>
      </c>
    </row>
    <row r="471" spans="1:10" s="225" customFormat="1">
      <c r="A471" s="222" t="s">
        <v>178</v>
      </c>
      <c r="B471" s="222" t="s">
        <v>14</v>
      </c>
      <c r="C471" s="223">
        <v>0.34652777777777799</v>
      </c>
      <c r="D471" s="230">
        <v>0</v>
      </c>
      <c r="E471" s="230">
        <v>0</v>
      </c>
      <c r="F471" s="230">
        <v>0</v>
      </c>
      <c r="G471" s="230">
        <v>0</v>
      </c>
      <c r="H471" s="230">
        <v>0</v>
      </c>
      <c r="I471" s="230">
        <v>0</v>
      </c>
      <c r="J471" s="230">
        <v>0</v>
      </c>
    </row>
    <row r="472" spans="1:10" s="225" customFormat="1">
      <c r="A472" s="222" t="s">
        <v>178</v>
      </c>
      <c r="B472" s="222" t="s">
        <v>14</v>
      </c>
      <c r="C472" s="223">
        <v>0.34722222222222199</v>
      </c>
      <c r="D472" s="230">
        <v>0</v>
      </c>
      <c r="E472" s="230">
        <v>0</v>
      </c>
      <c r="F472" s="230">
        <v>0</v>
      </c>
      <c r="G472" s="230">
        <v>0</v>
      </c>
      <c r="H472" s="230">
        <v>0</v>
      </c>
      <c r="I472" s="230">
        <v>0</v>
      </c>
      <c r="J472" s="230">
        <v>0</v>
      </c>
    </row>
    <row r="473" spans="1:10" s="225" customFormat="1">
      <c r="A473" s="222" t="s">
        <v>178</v>
      </c>
      <c r="B473" s="222" t="s">
        <v>14</v>
      </c>
      <c r="C473" s="223">
        <v>0.34791666666666599</v>
      </c>
      <c r="D473" s="230">
        <v>0</v>
      </c>
      <c r="E473" s="230">
        <v>0</v>
      </c>
      <c r="F473" s="230">
        <v>0</v>
      </c>
      <c r="G473" s="230">
        <v>0</v>
      </c>
      <c r="H473" s="230">
        <v>0</v>
      </c>
      <c r="I473" s="230">
        <v>0</v>
      </c>
      <c r="J473" s="230">
        <v>0</v>
      </c>
    </row>
    <row r="474" spans="1:10" s="225" customFormat="1">
      <c r="A474" s="222" t="s">
        <v>178</v>
      </c>
      <c r="B474" s="222" t="s">
        <v>14</v>
      </c>
      <c r="C474" s="223">
        <v>0.34861111111111098</v>
      </c>
      <c r="D474" s="230">
        <v>0</v>
      </c>
      <c r="E474" s="230">
        <v>0</v>
      </c>
      <c r="F474" s="230">
        <v>0</v>
      </c>
      <c r="G474" s="230">
        <v>0</v>
      </c>
      <c r="H474" s="230">
        <v>0</v>
      </c>
      <c r="I474" s="230">
        <v>0</v>
      </c>
      <c r="J474" s="230">
        <v>0</v>
      </c>
    </row>
    <row r="475" spans="1:10" s="225" customFormat="1">
      <c r="A475" s="222" t="s">
        <v>178</v>
      </c>
      <c r="B475" s="222" t="s">
        <v>14</v>
      </c>
      <c r="C475" s="223">
        <v>0.34930555555555498</v>
      </c>
      <c r="D475" s="230">
        <v>0</v>
      </c>
      <c r="E475" s="230">
        <v>0</v>
      </c>
      <c r="F475" s="230">
        <v>0</v>
      </c>
      <c r="G475" s="230">
        <v>0</v>
      </c>
      <c r="H475" s="230">
        <v>0</v>
      </c>
      <c r="I475" s="230">
        <v>0</v>
      </c>
      <c r="J475" s="230">
        <v>0</v>
      </c>
    </row>
    <row r="476" spans="1:10" s="225" customFormat="1">
      <c r="A476" s="222" t="s">
        <v>178</v>
      </c>
      <c r="B476" s="222" t="s">
        <v>14</v>
      </c>
      <c r="C476" s="223">
        <v>0.35</v>
      </c>
      <c r="D476" s="230">
        <v>0</v>
      </c>
      <c r="E476" s="230">
        <v>0</v>
      </c>
      <c r="F476" s="230">
        <v>0</v>
      </c>
      <c r="G476" s="230">
        <v>0</v>
      </c>
      <c r="H476" s="230">
        <v>0</v>
      </c>
      <c r="I476" s="230">
        <v>0</v>
      </c>
      <c r="J476" s="230">
        <v>0</v>
      </c>
    </row>
    <row r="477" spans="1:10" s="225" customFormat="1">
      <c r="A477" s="222" t="s">
        <v>178</v>
      </c>
      <c r="B477" s="222" t="s">
        <v>14</v>
      </c>
      <c r="C477" s="223">
        <v>0.35069444444444398</v>
      </c>
      <c r="D477" s="230">
        <v>0</v>
      </c>
      <c r="E477" s="230">
        <v>0</v>
      </c>
      <c r="F477" s="230">
        <v>0</v>
      </c>
      <c r="G477" s="230">
        <v>0</v>
      </c>
      <c r="H477" s="230">
        <v>0</v>
      </c>
      <c r="I477" s="230">
        <v>0</v>
      </c>
      <c r="J477" s="230">
        <v>0</v>
      </c>
    </row>
    <row r="478" spans="1:10" s="225" customFormat="1">
      <c r="A478" s="222" t="s">
        <v>178</v>
      </c>
      <c r="B478" s="222" t="s">
        <v>14</v>
      </c>
      <c r="C478" s="223">
        <v>0.35138888888888897</v>
      </c>
      <c r="D478" s="230">
        <v>0</v>
      </c>
      <c r="E478" s="230">
        <v>0</v>
      </c>
      <c r="F478" s="230">
        <v>0</v>
      </c>
      <c r="G478" s="230">
        <v>0</v>
      </c>
      <c r="H478" s="230">
        <v>0</v>
      </c>
      <c r="I478" s="230">
        <v>0</v>
      </c>
      <c r="J478" s="230">
        <v>0</v>
      </c>
    </row>
    <row r="479" spans="1:10" s="225" customFormat="1">
      <c r="A479" s="222" t="s">
        <v>178</v>
      </c>
      <c r="B479" s="222" t="s">
        <v>14</v>
      </c>
      <c r="C479" s="223">
        <v>0.35208333333333303</v>
      </c>
      <c r="D479" s="230">
        <v>0</v>
      </c>
      <c r="E479" s="230">
        <v>0</v>
      </c>
      <c r="F479" s="230">
        <v>0</v>
      </c>
      <c r="G479" s="230">
        <v>0</v>
      </c>
      <c r="H479" s="230">
        <v>0</v>
      </c>
      <c r="I479" s="230">
        <v>0</v>
      </c>
      <c r="J479" s="230">
        <v>0</v>
      </c>
    </row>
    <row r="480" spans="1:10" s="225" customFormat="1">
      <c r="A480" s="222" t="s">
        <v>178</v>
      </c>
      <c r="B480" s="222" t="s">
        <v>14</v>
      </c>
      <c r="C480" s="223">
        <v>0.35277777777777802</v>
      </c>
      <c r="D480" s="230">
        <v>0</v>
      </c>
      <c r="E480" s="230">
        <v>0</v>
      </c>
      <c r="F480" s="230">
        <v>0</v>
      </c>
      <c r="G480" s="230">
        <v>0</v>
      </c>
      <c r="H480" s="230">
        <v>0</v>
      </c>
      <c r="I480" s="230">
        <v>0</v>
      </c>
      <c r="J480" s="230">
        <v>0</v>
      </c>
    </row>
    <row r="481" spans="1:10" s="235" customFormat="1" ht="17.5" thickBot="1">
      <c r="A481" s="232" t="s">
        <v>178</v>
      </c>
      <c r="B481" s="232" t="s">
        <v>14</v>
      </c>
      <c r="C481" s="233">
        <v>0.35347222222222202</v>
      </c>
      <c r="D481" s="234">
        <v>0</v>
      </c>
      <c r="E481" s="234">
        <v>0</v>
      </c>
      <c r="F481" s="234">
        <v>0</v>
      </c>
      <c r="G481" s="234">
        <v>0</v>
      </c>
      <c r="H481" s="234">
        <v>0</v>
      </c>
      <c r="I481" s="234">
        <v>0</v>
      </c>
      <c r="J481" s="234">
        <v>0</v>
      </c>
    </row>
    <row r="482" spans="1:10" s="225" customFormat="1">
      <c r="A482" s="222" t="s">
        <v>178</v>
      </c>
      <c r="B482" s="222" t="s">
        <v>124</v>
      </c>
      <c r="C482" s="223">
        <v>0.27083333333333331</v>
      </c>
      <c r="D482" s="230">
        <v>0</v>
      </c>
      <c r="E482" s="230">
        <v>0</v>
      </c>
      <c r="F482" s="230">
        <v>0</v>
      </c>
      <c r="G482" s="230">
        <v>0</v>
      </c>
      <c r="H482" s="230">
        <v>0</v>
      </c>
      <c r="I482" s="230">
        <v>0</v>
      </c>
      <c r="J482" s="230">
        <v>0</v>
      </c>
    </row>
    <row r="483" spans="1:10" s="225" customFormat="1">
      <c r="A483" s="222" t="s">
        <v>178</v>
      </c>
      <c r="B483" s="222" t="s">
        <v>124</v>
      </c>
      <c r="C483" s="223">
        <v>0.27152777777777776</v>
      </c>
      <c r="D483" s="230">
        <v>0</v>
      </c>
      <c r="E483" s="230">
        <v>0</v>
      </c>
      <c r="F483" s="230">
        <v>0</v>
      </c>
      <c r="G483" s="230">
        <v>0</v>
      </c>
      <c r="H483" s="230">
        <v>0</v>
      </c>
      <c r="I483" s="230">
        <v>0</v>
      </c>
      <c r="J483" s="230">
        <v>0</v>
      </c>
    </row>
    <row r="484" spans="1:10" s="225" customFormat="1">
      <c r="A484" s="222" t="s">
        <v>178</v>
      </c>
      <c r="B484" s="222" t="s">
        <v>124</v>
      </c>
      <c r="C484" s="223">
        <v>0.27222222222222198</v>
      </c>
      <c r="D484" s="230">
        <v>0</v>
      </c>
      <c r="E484" s="230">
        <v>0</v>
      </c>
      <c r="F484" s="230">
        <v>0</v>
      </c>
      <c r="G484" s="230">
        <v>0</v>
      </c>
      <c r="H484" s="230">
        <v>0</v>
      </c>
      <c r="I484" s="230">
        <v>0</v>
      </c>
      <c r="J484" s="230">
        <v>0</v>
      </c>
    </row>
    <row r="485" spans="1:10" s="225" customFormat="1">
      <c r="A485" s="222" t="s">
        <v>178</v>
      </c>
      <c r="B485" s="222" t="s">
        <v>124</v>
      </c>
      <c r="C485" s="223">
        <v>0.27291666666666697</v>
      </c>
      <c r="D485" s="230">
        <v>0</v>
      </c>
      <c r="E485" s="230">
        <v>0</v>
      </c>
      <c r="F485" s="230">
        <v>0</v>
      </c>
      <c r="G485" s="230">
        <v>0</v>
      </c>
      <c r="H485" s="230">
        <v>0</v>
      </c>
      <c r="I485" s="230">
        <v>0</v>
      </c>
      <c r="J485" s="230">
        <v>0</v>
      </c>
    </row>
    <row r="486" spans="1:10" s="225" customFormat="1">
      <c r="A486" s="222" t="s">
        <v>178</v>
      </c>
      <c r="B486" s="222" t="s">
        <v>124</v>
      </c>
      <c r="C486" s="223">
        <v>0.27361111111111103</v>
      </c>
      <c r="D486" s="230">
        <v>0</v>
      </c>
      <c r="E486" s="230">
        <v>0</v>
      </c>
      <c r="F486" s="230">
        <v>0</v>
      </c>
      <c r="G486" s="230">
        <v>0</v>
      </c>
      <c r="H486" s="230">
        <v>0</v>
      </c>
      <c r="I486" s="230">
        <v>0</v>
      </c>
      <c r="J486" s="230">
        <v>0</v>
      </c>
    </row>
    <row r="487" spans="1:10" s="225" customFormat="1">
      <c r="A487" s="222" t="s">
        <v>178</v>
      </c>
      <c r="B487" s="222" t="s">
        <v>124</v>
      </c>
      <c r="C487" s="223">
        <v>0.27430555555555602</v>
      </c>
      <c r="D487" s="230">
        <v>0</v>
      </c>
      <c r="E487" s="230">
        <v>0</v>
      </c>
      <c r="F487" s="230">
        <v>0</v>
      </c>
      <c r="G487" s="230">
        <v>0</v>
      </c>
      <c r="H487" s="230">
        <v>0</v>
      </c>
      <c r="I487" s="230">
        <v>0</v>
      </c>
      <c r="J487" s="230">
        <v>0</v>
      </c>
    </row>
    <row r="488" spans="1:10" s="225" customFormat="1">
      <c r="A488" s="222" t="s">
        <v>178</v>
      </c>
      <c r="B488" s="222" t="s">
        <v>124</v>
      </c>
      <c r="C488" s="223">
        <v>0.27500000000000002</v>
      </c>
      <c r="D488" s="230">
        <v>0</v>
      </c>
      <c r="E488" s="230">
        <v>0</v>
      </c>
      <c r="F488" s="230">
        <v>0</v>
      </c>
      <c r="G488" s="230">
        <v>0</v>
      </c>
      <c r="H488" s="230">
        <v>0</v>
      </c>
      <c r="I488" s="230">
        <v>0</v>
      </c>
      <c r="J488" s="230">
        <v>0</v>
      </c>
    </row>
    <row r="489" spans="1:10" s="225" customFormat="1">
      <c r="A489" s="222" t="s">
        <v>178</v>
      </c>
      <c r="B489" s="222" t="s">
        <v>124</v>
      </c>
      <c r="C489" s="223">
        <v>0.27569444444444402</v>
      </c>
      <c r="D489" s="230">
        <v>0</v>
      </c>
      <c r="E489" s="230">
        <v>0</v>
      </c>
      <c r="F489" s="230">
        <v>0</v>
      </c>
      <c r="G489" s="230">
        <v>0</v>
      </c>
      <c r="H489" s="230">
        <v>0</v>
      </c>
      <c r="I489" s="230">
        <v>0</v>
      </c>
      <c r="J489" s="230">
        <v>0</v>
      </c>
    </row>
    <row r="490" spans="1:10" s="225" customFormat="1">
      <c r="A490" s="222" t="s">
        <v>178</v>
      </c>
      <c r="B490" s="222" t="s">
        <v>124</v>
      </c>
      <c r="C490" s="223">
        <v>0.27638888888888902</v>
      </c>
      <c r="D490" s="230">
        <v>0</v>
      </c>
      <c r="E490" s="230">
        <v>0</v>
      </c>
      <c r="F490" s="230">
        <v>0</v>
      </c>
      <c r="G490" s="230">
        <v>0</v>
      </c>
      <c r="H490" s="230">
        <v>0</v>
      </c>
      <c r="I490" s="230">
        <v>0</v>
      </c>
      <c r="J490" s="230">
        <v>0</v>
      </c>
    </row>
    <row r="491" spans="1:10" s="225" customFormat="1">
      <c r="A491" s="222" t="s">
        <v>178</v>
      </c>
      <c r="B491" s="222" t="s">
        <v>124</v>
      </c>
      <c r="C491" s="223">
        <v>0.27708333333333302</v>
      </c>
      <c r="D491" s="230">
        <v>0</v>
      </c>
      <c r="E491" s="230">
        <v>0</v>
      </c>
      <c r="F491" s="230">
        <v>0</v>
      </c>
      <c r="G491" s="230">
        <v>0</v>
      </c>
      <c r="H491" s="230">
        <v>0</v>
      </c>
      <c r="I491" s="230">
        <v>0</v>
      </c>
      <c r="J491" s="230">
        <v>0</v>
      </c>
    </row>
    <row r="492" spans="1:10" s="225" customFormat="1">
      <c r="A492" s="222" t="s">
        <v>178</v>
      </c>
      <c r="B492" s="222" t="s">
        <v>124</v>
      </c>
      <c r="C492" s="223">
        <v>0.27777777777777801</v>
      </c>
      <c r="D492" s="230">
        <v>0</v>
      </c>
      <c r="E492" s="230">
        <v>0</v>
      </c>
      <c r="F492" s="230">
        <v>0</v>
      </c>
      <c r="G492" s="230">
        <v>0</v>
      </c>
      <c r="H492" s="230">
        <v>0</v>
      </c>
      <c r="I492" s="230">
        <v>0</v>
      </c>
      <c r="J492" s="230">
        <v>0</v>
      </c>
    </row>
    <row r="493" spans="1:10" s="225" customFormat="1">
      <c r="A493" s="222" t="s">
        <v>178</v>
      </c>
      <c r="B493" s="222" t="s">
        <v>124</v>
      </c>
      <c r="C493" s="223">
        <v>0.27847222222222201</v>
      </c>
      <c r="D493" s="230">
        <v>0</v>
      </c>
      <c r="E493" s="230">
        <v>0</v>
      </c>
      <c r="F493" s="230">
        <v>0</v>
      </c>
      <c r="G493" s="230">
        <v>0</v>
      </c>
      <c r="H493" s="230">
        <v>0</v>
      </c>
      <c r="I493" s="230">
        <v>0</v>
      </c>
      <c r="J493" s="230">
        <v>0</v>
      </c>
    </row>
    <row r="494" spans="1:10" s="225" customFormat="1">
      <c r="A494" s="222" t="s">
        <v>178</v>
      </c>
      <c r="B494" s="222" t="s">
        <v>124</v>
      </c>
      <c r="C494" s="223">
        <v>0.27916666666666701</v>
      </c>
      <c r="D494" s="230">
        <v>0</v>
      </c>
      <c r="E494" s="230">
        <v>0</v>
      </c>
      <c r="F494" s="230">
        <v>0</v>
      </c>
      <c r="G494" s="230">
        <v>0</v>
      </c>
      <c r="H494" s="230">
        <v>0</v>
      </c>
      <c r="I494" s="230">
        <v>0</v>
      </c>
      <c r="J494" s="230">
        <v>0</v>
      </c>
    </row>
    <row r="495" spans="1:10" s="225" customFormat="1">
      <c r="A495" s="222" t="s">
        <v>178</v>
      </c>
      <c r="B495" s="222" t="s">
        <v>124</v>
      </c>
      <c r="C495" s="223">
        <v>0.27986111111111101</v>
      </c>
      <c r="D495" s="230">
        <v>0</v>
      </c>
      <c r="E495" s="230">
        <v>0</v>
      </c>
      <c r="F495" s="230">
        <v>0</v>
      </c>
      <c r="G495" s="230">
        <v>0</v>
      </c>
      <c r="H495" s="230">
        <v>0</v>
      </c>
      <c r="I495" s="230">
        <v>0</v>
      </c>
      <c r="J495" s="230">
        <v>0</v>
      </c>
    </row>
    <row r="496" spans="1:10" s="229" customFormat="1">
      <c r="A496" s="226" t="s">
        <v>178</v>
      </c>
      <c r="B496" s="226" t="s">
        <v>124</v>
      </c>
      <c r="C496" s="227">
        <v>0.280555555555556</v>
      </c>
      <c r="D496" s="231">
        <v>0</v>
      </c>
      <c r="E496" s="231">
        <v>0</v>
      </c>
      <c r="F496" s="231">
        <v>0</v>
      </c>
      <c r="G496" s="231">
        <v>0</v>
      </c>
      <c r="H496" s="231">
        <v>0</v>
      </c>
      <c r="I496" s="231">
        <v>0</v>
      </c>
      <c r="J496" s="231">
        <v>0</v>
      </c>
    </row>
    <row r="497" spans="1:10" s="225" customFormat="1">
      <c r="A497" s="222" t="s">
        <v>178</v>
      </c>
      <c r="B497" s="222" t="s">
        <v>124</v>
      </c>
      <c r="C497" s="223">
        <v>0.28125</v>
      </c>
      <c r="D497" s="230">
        <v>0</v>
      </c>
      <c r="E497" s="230">
        <v>0</v>
      </c>
      <c r="F497" s="230">
        <v>0</v>
      </c>
      <c r="G497" s="230">
        <v>0</v>
      </c>
      <c r="H497" s="230">
        <v>0</v>
      </c>
      <c r="I497" s="230">
        <v>0</v>
      </c>
      <c r="J497" s="230">
        <v>0</v>
      </c>
    </row>
    <row r="498" spans="1:10" s="225" customFormat="1">
      <c r="A498" s="222" t="s">
        <v>178</v>
      </c>
      <c r="B498" s="222" t="s">
        <v>124</v>
      </c>
      <c r="C498" s="223">
        <v>0.281944444444444</v>
      </c>
      <c r="D498" s="230">
        <v>0</v>
      </c>
      <c r="E498" s="230">
        <v>0</v>
      </c>
      <c r="F498" s="230">
        <v>0</v>
      </c>
      <c r="G498" s="230">
        <v>0</v>
      </c>
      <c r="H498" s="230">
        <v>0</v>
      </c>
      <c r="I498" s="230">
        <v>0</v>
      </c>
      <c r="J498" s="230">
        <v>0</v>
      </c>
    </row>
    <row r="499" spans="1:10" s="225" customFormat="1">
      <c r="A499" s="222" t="s">
        <v>178</v>
      </c>
      <c r="B499" s="222" t="s">
        <v>124</v>
      </c>
      <c r="C499" s="223">
        <v>0.28263888888888899</v>
      </c>
      <c r="D499" s="230">
        <v>0</v>
      </c>
      <c r="E499" s="230">
        <v>0</v>
      </c>
      <c r="F499" s="230">
        <v>0</v>
      </c>
      <c r="G499" s="230">
        <v>0</v>
      </c>
      <c r="H499" s="230">
        <v>0</v>
      </c>
      <c r="I499" s="230">
        <v>0</v>
      </c>
      <c r="J499" s="230">
        <v>0</v>
      </c>
    </row>
    <row r="500" spans="1:10" s="225" customFormat="1">
      <c r="A500" s="222" t="s">
        <v>178</v>
      </c>
      <c r="B500" s="222" t="s">
        <v>124</v>
      </c>
      <c r="C500" s="223">
        <v>0.28333333333333299</v>
      </c>
      <c r="D500" s="230">
        <v>0</v>
      </c>
      <c r="E500" s="230">
        <v>0</v>
      </c>
      <c r="F500" s="230">
        <v>0</v>
      </c>
      <c r="G500" s="230">
        <v>0</v>
      </c>
      <c r="H500" s="230">
        <v>0</v>
      </c>
      <c r="I500" s="230">
        <v>0</v>
      </c>
      <c r="J500" s="230">
        <v>0</v>
      </c>
    </row>
    <row r="501" spans="1:10" s="225" customFormat="1">
      <c r="A501" s="222" t="s">
        <v>178</v>
      </c>
      <c r="B501" s="222" t="s">
        <v>124</v>
      </c>
      <c r="C501" s="223">
        <v>0.28402777777777799</v>
      </c>
      <c r="D501" s="230">
        <v>0</v>
      </c>
      <c r="E501" s="230">
        <v>0</v>
      </c>
      <c r="F501" s="230">
        <v>0</v>
      </c>
      <c r="G501" s="230">
        <v>0</v>
      </c>
      <c r="H501" s="230">
        <v>0</v>
      </c>
      <c r="I501" s="230">
        <v>0</v>
      </c>
      <c r="J501" s="230">
        <v>0</v>
      </c>
    </row>
    <row r="502" spans="1:10" s="225" customFormat="1">
      <c r="A502" s="222" t="s">
        <v>178</v>
      </c>
      <c r="B502" s="222" t="s">
        <v>124</v>
      </c>
      <c r="C502" s="223">
        <v>0.28472222222222199</v>
      </c>
      <c r="D502" s="230">
        <v>0</v>
      </c>
      <c r="E502" s="230">
        <v>0</v>
      </c>
      <c r="F502" s="230">
        <v>0</v>
      </c>
      <c r="G502" s="230">
        <v>0</v>
      </c>
      <c r="H502" s="230">
        <v>0</v>
      </c>
      <c r="I502" s="230">
        <v>0</v>
      </c>
      <c r="J502" s="230">
        <v>0</v>
      </c>
    </row>
    <row r="503" spans="1:10" s="225" customFormat="1">
      <c r="A503" s="222" t="s">
        <v>178</v>
      </c>
      <c r="B503" s="222" t="s">
        <v>124</v>
      </c>
      <c r="C503" s="223">
        <v>0.28541666666666698</v>
      </c>
      <c r="D503" s="230">
        <v>0</v>
      </c>
      <c r="E503" s="230">
        <v>0</v>
      </c>
      <c r="F503" s="230">
        <v>0</v>
      </c>
      <c r="G503" s="230">
        <v>0</v>
      </c>
      <c r="H503" s="230">
        <v>0</v>
      </c>
      <c r="I503" s="230">
        <v>0</v>
      </c>
      <c r="J503" s="230">
        <v>0</v>
      </c>
    </row>
    <row r="504" spans="1:10" s="225" customFormat="1">
      <c r="A504" s="222" t="s">
        <v>178</v>
      </c>
      <c r="B504" s="222" t="s">
        <v>124</v>
      </c>
      <c r="C504" s="223">
        <v>0.28611111111111098</v>
      </c>
      <c r="D504" s="230">
        <v>0</v>
      </c>
      <c r="E504" s="230">
        <v>0</v>
      </c>
      <c r="F504" s="230">
        <v>0</v>
      </c>
      <c r="G504" s="230">
        <v>0</v>
      </c>
      <c r="H504" s="230">
        <v>0</v>
      </c>
      <c r="I504" s="230">
        <v>0</v>
      </c>
      <c r="J504" s="230">
        <v>0</v>
      </c>
    </row>
    <row r="505" spans="1:10" s="225" customFormat="1">
      <c r="A505" s="222" t="s">
        <v>178</v>
      </c>
      <c r="B505" s="222" t="s">
        <v>124</v>
      </c>
      <c r="C505" s="223">
        <v>0.28680555555555598</v>
      </c>
      <c r="D505" s="230">
        <v>0</v>
      </c>
      <c r="E505" s="230">
        <v>0</v>
      </c>
      <c r="F505" s="230">
        <v>0</v>
      </c>
      <c r="G505" s="230">
        <v>0</v>
      </c>
      <c r="H505" s="230">
        <v>0</v>
      </c>
      <c r="I505" s="230">
        <v>0</v>
      </c>
      <c r="J505" s="230">
        <v>0</v>
      </c>
    </row>
    <row r="506" spans="1:10" s="225" customFormat="1">
      <c r="A506" s="222" t="s">
        <v>178</v>
      </c>
      <c r="B506" s="222" t="s">
        <v>124</v>
      </c>
      <c r="C506" s="223">
        <v>0.28749999999999998</v>
      </c>
      <c r="D506" s="230">
        <v>0</v>
      </c>
      <c r="E506" s="230">
        <v>0</v>
      </c>
      <c r="F506" s="230">
        <v>0</v>
      </c>
      <c r="G506" s="230">
        <v>0</v>
      </c>
      <c r="H506" s="230">
        <v>0</v>
      </c>
      <c r="I506" s="230">
        <v>0</v>
      </c>
      <c r="J506" s="230">
        <v>0</v>
      </c>
    </row>
    <row r="507" spans="1:10" s="225" customFormat="1">
      <c r="A507" s="222" t="s">
        <v>178</v>
      </c>
      <c r="B507" s="222" t="s">
        <v>124</v>
      </c>
      <c r="C507" s="223">
        <v>0.28819444444444398</v>
      </c>
      <c r="D507" s="230">
        <v>0</v>
      </c>
      <c r="E507" s="230">
        <v>0</v>
      </c>
      <c r="F507" s="230">
        <v>0</v>
      </c>
      <c r="G507" s="230">
        <v>0</v>
      </c>
      <c r="H507" s="230">
        <v>0</v>
      </c>
      <c r="I507" s="230">
        <v>0</v>
      </c>
      <c r="J507" s="230">
        <v>0</v>
      </c>
    </row>
    <row r="508" spans="1:10" s="225" customFormat="1">
      <c r="A508" s="222" t="s">
        <v>178</v>
      </c>
      <c r="B508" s="222" t="s">
        <v>124</v>
      </c>
      <c r="C508" s="223">
        <v>0.28888888888888897</v>
      </c>
      <c r="D508" s="230">
        <v>0</v>
      </c>
      <c r="E508" s="230">
        <v>0</v>
      </c>
      <c r="F508" s="230">
        <v>0</v>
      </c>
      <c r="G508" s="230">
        <v>0</v>
      </c>
      <c r="H508" s="230">
        <v>0</v>
      </c>
      <c r="I508" s="230">
        <v>0</v>
      </c>
      <c r="J508" s="230">
        <v>0</v>
      </c>
    </row>
    <row r="509" spans="1:10" s="225" customFormat="1">
      <c r="A509" s="222" t="s">
        <v>178</v>
      </c>
      <c r="B509" s="222" t="s">
        <v>124</v>
      </c>
      <c r="C509" s="223">
        <v>0.28958333333333303</v>
      </c>
      <c r="D509" s="230">
        <v>0</v>
      </c>
      <c r="E509" s="230">
        <v>0</v>
      </c>
      <c r="F509" s="230">
        <v>0</v>
      </c>
      <c r="G509" s="230">
        <v>0</v>
      </c>
      <c r="H509" s="230">
        <v>0</v>
      </c>
      <c r="I509" s="230">
        <v>0</v>
      </c>
      <c r="J509" s="230">
        <v>0</v>
      </c>
    </row>
    <row r="510" spans="1:10" s="225" customFormat="1">
      <c r="A510" s="222" t="s">
        <v>178</v>
      </c>
      <c r="B510" s="222" t="s">
        <v>124</v>
      </c>
      <c r="C510" s="223">
        <v>0.29027777777777802</v>
      </c>
      <c r="D510" s="230">
        <v>0</v>
      </c>
      <c r="E510" s="230">
        <v>0</v>
      </c>
      <c r="F510" s="230">
        <v>0</v>
      </c>
      <c r="G510" s="230">
        <v>0</v>
      </c>
      <c r="H510" s="230">
        <v>0</v>
      </c>
      <c r="I510" s="230">
        <v>0</v>
      </c>
      <c r="J510" s="230">
        <v>0</v>
      </c>
    </row>
    <row r="511" spans="1:10" s="229" customFormat="1">
      <c r="A511" s="226" t="s">
        <v>178</v>
      </c>
      <c r="B511" s="226" t="s">
        <v>124</v>
      </c>
      <c r="C511" s="227">
        <v>0.29097222222222202</v>
      </c>
      <c r="D511" s="231">
        <v>0</v>
      </c>
      <c r="E511" s="231">
        <v>0</v>
      </c>
      <c r="F511" s="231">
        <v>0</v>
      </c>
      <c r="G511" s="231">
        <v>0</v>
      </c>
      <c r="H511" s="231">
        <v>0</v>
      </c>
      <c r="I511" s="231">
        <v>0</v>
      </c>
      <c r="J511" s="231">
        <v>0</v>
      </c>
    </row>
    <row r="512" spans="1:10" s="225" customFormat="1">
      <c r="A512" s="222" t="s">
        <v>178</v>
      </c>
      <c r="B512" s="222" t="s">
        <v>124</v>
      </c>
      <c r="C512" s="223">
        <v>0.29166666666666702</v>
      </c>
      <c r="D512" s="230">
        <v>0</v>
      </c>
      <c r="E512" s="230">
        <v>0</v>
      </c>
      <c r="F512" s="230">
        <v>0</v>
      </c>
      <c r="G512" s="230">
        <v>0</v>
      </c>
      <c r="H512" s="230">
        <v>0</v>
      </c>
      <c r="I512" s="230">
        <v>0</v>
      </c>
      <c r="J512" s="230">
        <v>0</v>
      </c>
    </row>
    <row r="513" spans="1:10" s="225" customFormat="1">
      <c r="A513" s="222" t="s">
        <v>178</v>
      </c>
      <c r="B513" s="222" t="s">
        <v>124</v>
      </c>
      <c r="C513" s="223">
        <v>0.29236111111111102</v>
      </c>
      <c r="D513" s="230">
        <v>0</v>
      </c>
      <c r="E513" s="230">
        <v>0</v>
      </c>
      <c r="F513" s="230">
        <v>0</v>
      </c>
      <c r="G513" s="230">
        <v>0</v>
      </c>
      <c r="H513" s="230">
        <v>0</v>
      </c>
      <c r="I513" s="230">
        <v>0</v>
      </c>
      <c r="J513" s="230">
        <v>0</v>
      </c>
    </row>
    <row r="514" spans="1:10" s="225" customFormat="1">
      <c r="A514" s="222" t="s">
        <v>178</v>
      </c>
      <c r="B514" s="222" t="s">
        <v>124</v>
      </c>
      <c r="C514" s="223">
        <v>0.29305555555555501</v>
      </c>
      <c r="D514" s="230">
        <v>0</v>
      </c>
      <c r="E514" s="230">
        <v>0</v>
      </c>
      <c r="F514" s="230">
        <v>0</v>
      </c>
      <c r="G514" s="230">
        <v>0</v>
      </c>
      <c r="H514" s="230">
        <v>0</v>
      </c>
      <c r="I514" s="230">
        <v>0</v>
      </c>
      <c r="J514" s="230">
        <v>0</v>
      </c>
    </row>
    <row r="515" spans="1:10" s="225" customFormat="1">
      <c r="A515" s="222" t="s">
        <v>178</v>
      </c>
      <c r="B515" s="222" t="s">
        <v>124</v>
      </c>
      <c r="C515" s="223">
        <v>0.29375000000000001</v>
      </c>
      <c r="D515" s="230">
        <v>0</v>
      </c>
      <c r="E515" s="230">
        <v>0</v>
      </c>
      <c r="F515" s="230">
        <v>0</v>
      </c>
      <c r="G515" s="230">
        <v>0</v>
      </c>
      <c r="H515" s="230">
        <v>0</v>
      </c>
      <c r="I515" s="230">
        <v>0</v>
      </c>
      <c r="J515" s="230">
        <v>0</v>
      </c>
    </row>
    <row r="516" spans="1:10" s="225" customFormat="1">
      <c r="A516" s="222" t="s">
        <v>178</v>
      </c>
      <c r="B516" s="222" t="s">
        <v>124</v>
      </c>
      <c r="C516" s="223">
        <v>0.29444444444444401</v>
      </c>
      <c r="D516" s="230">
        <v>0</v>
      </c>
      <c r="E516" s="230">
        <v>0</v>
      </c>
      <c r="F516" s="230">
        <v>0</v>
      </c>
      <c r="G516" s="230">
        <v>0</v>
      </c>
      <c r="H516" s="230">
        <v>0</v>
      </c>
      <c r="I516" s="230">
        <v>0</v>
      </c>
      <c r="J516" s="230">
        <v>0</v>
      </c>
    </row>
    <row r="517" spans="1:10" s="225" customFormat="1">
      <c r="A517" s="222" t="s">
        <v>178</v>
      </c>
      <c r="B517" s="222" t="s">
        <v>124</v>
      </c>
      <c r="C517" s="223">
        <v>0.29513888888888901</v>
      </c>
      <c r="D517" s="230">
        <v>0</v>
      </c>
      <c r="E517" s="230">
        <v>0</v>
      </c>
      <c r="F517" s="230">
        <v>0</v>
      </c>
      <c r="G517" s="230">
        <v>0</v>
      </c>
      <c r="H517" s="230">
        <v>0</v>
      </c>
      <c r="I517" s="230">
        <v>0</v>
      </c>
      <c r="J517" s="230">
        <v>0</v>
      </c>
    </row>
    <row r="518" spans="1:10" s="225" customFormat="1">
      <c r="A518" s="222" t="s">
        <v>178</v>
      </c>
      <c r="B518" s="222" t="s">
        <v>124</v>
      </c>
      <c r="C518" s="223">
        <v>0.295833333333333</v>
      </c>
      <c r="D518" s="230">
        <v>0</v>
      </c>
      <c r="E518" s="230">
        <v>0</v>
      </c>
      <c r="F518" s="230">
        <v>0</v>
      </c>
      <c r="G518" s="230">
        <v>0</v>
      </c>
      <c r="H518" s="230">
        <v>0</v>
      </c>
      <c r="I518" s="230">
        <v>0</v>
      </c>
      <c r="J518" s="230">
        <v>0</v>
      </c>
    </row>
    <row r="519" spans="1:10" s="225" customFormat="1">
      <c r="A519" s="222" t="s">
        <v>178</v>
      </c>
      <c r="B519" s="222" t="s">
        <v>124</v>
      </c>
      <c r="C519" s="223">
        <v>0.296527777777778</v>
      </c>
      <c r="D519" s="230">
        <v>0</v>
      </c>
      <c r="E519" s="230">
        <v>0</v>
      </c>
      <c r="F519" s="230">
        <v>0</v>
      </c>
      <c r="G519" s="230">
        <v>0</v>
      </c>
      <c r="H519" s="230">
        <v>0</v>
      </c>
      <c r="I519" s="230">
        <v>0</v>
      </c>
      <c r="J519" s="230">
        <v>0</v>
      </c>
    </row>
    <row r="520" spans="1:10" s="225" customFormat="1">
      <c r="A520" s="222" t="s">
        <v>178</v>
      </c>
      <c r="B520" s="222" t="s">
        <v>124</v>
      </c>
      <c r="C520" s="223">
        <v>0.297222222222222</v>
      </c>
      <c r="D520" s="230">
        <v>0</v>
      </c>
      <c r="E520" s="230">
        <v>0</v>
      </c>
      <c r="F520" s="230">
        <v>0</v>
      </c>
      <c r="G520" s="230">
        <v>0</v>
      </c>
      <c r="H520" s="230">
        <v>0</v>
      </c>
      <c r="I520" s="230">
        <v>0</v>
      </c>
      <c r="J520" s="230">
        <v>0</v>
      </c>
    </row>
    <row r="521" spans="1:10" s="225" customFormat="1">
      <c r="A521" s="222" t="s">
        <v>178</v>
      </c>
      <c r="B521" s="222" t="s">
        <v>124</v>
      </c>
      <c r="C521" s="223">
        <v>0.297916666666666</v>
      </c>
      <c r="D521" s="230">
        <v>0</v>
      </c>
      <c r="E521" s="230">
        <v>0</v>
      </c>
      <c r="F521" s="230">
        <v>0</v>
      </c>
      <c r="G521" s="230">
        <v>0</v>
      </c>
      <c r="H521" s="230">
        <v>0</v>
      </c>
      <c r="I521" s="230">
        <v>0</v>
      </c>
      <c r="J521" s="230">
        <v>0</v>
      </c>
    </row>
    <row r="522" spans="1:10" s="225" customFormat="1">
      <c r="A522" s="222" t="s">
        <v>178</v>
      </c>
      <c r="B522" s="222" t="s">
        <v>124</v>
      </c>
      <c r="C522" s="223">
        <v>0.29861111111111099</v>
      </c>
      <c r="D522" s="230">
        <v>0</v>
      </c>
      <c r="E522" s="230">
        <v>0</v>
      </c>
      <c r="F522" s="230">
        <v>0</v>
      </c>
      <c r="G522" s="230">
        <v>0</v>
      </c>
      <c r="H522" s="230">
        <v>0</v>
      </c>
      <c r="I522" s="230">
        <v>0</v>
      </c>
      <c r="J522" s="230">
        <v>0</v>
      </c>
    </row>
    <row r="523" spans="1:10" s="225" customFormat="1">
      <c r="A523" s="222" t="s">
        <v>178</v>
      </c>
      <c r="B523" s="222" t="s">
        <v>124</v>
      </c>
      <c r="C523" s="223">
        <v>0.29930555555555499</v>
      </c>
      <c r="D523" s="230">
        <v>0</v>
      </c>
      <c r="E523" s="230">
        <v>0</v>
      </c>
      <c r="F523" s="230">
        <v>0</v>
      </c>
      <c r="G523" s="230">
        <v>0</v>
      </c>
      <c r="H523" s="230">
        <v>0</v>
      </c>
      <c r="I523" s="230">
        <v>0</v>
      </c>
      <c r="J523" s="230">
        <v>0</v>
      </c>
    </row>
    <row r="524" spans="1:10" s="225" customFormat="1">
      <c r="A524" s="222" t="s">
        <v>178</v>
      </c>
      <c r="B524" s="222" t="s">
        <v>124</v>
      </c>
      <c r="C524" s="223">
        <v>0.3</v>
      </c>
      <c r="D524" s="230">
        <v>0</v>
      </c>
      <c r="E524" s="230">
        <v>0</v>
      </c>
      <c r="F524" s="230">
        <v>0</v>
      </c>
      <c r="G524" s="230">
        <v>0</v>
      </c>
      <c r="H524" s="230">
        <v>0</v>
      </c>
      <c r="I524" s="230">
        <v>0</v>
      </c>
      <c r="J524" s="230">
        <v>0</v>
      </c>
    </row>
    <row r="525" spans="1:10" s="225" customFormat="1">
      <c r="A525" s="222" t="s">
        <v>178</v>
      </c>
      <c r="B525" s="222" t="s">
        <v>124</v>
      </c>
      <c r="C525" s="223">
        <v>0.30069444444444399</v>
      </c>
      <c r="D525" s="230">
        <v>0</v>
      </c>
      <c r="E525" s="230">
        <v>0</v>
      </c>
      <c r="F525" s="230">
        <v>0</v>
      </c>
      <c r="G525" s="230">
        <v>0</v>
      </c>
      <c r="H525" s="230">
        <v>0</v>
      </c>
      <c r="I525" s="230">
        <v>0</v>
      </c>
      <c r="J525" s="230">
        <v>0</v>
      </c>
    </row>
    <row r="526" spans="1:10" s="229" customFormat="1">
      <c r="A526" s="226" t="s">
        <v>178</v>
      </c>
      <c r="B526" s="226" t="s">
        <v>124</v>
      </c>
      <c r="C526" s="227">
        <v>0.30138888888888898</v>
      </c>
      <c r="D526" s="231">
        <v>0</v>
      </c>
      <c r="E526" s="231">
        <v>0</v>
      </c>
      <c r="F526" s="231">
        <v>0</v>
      </c>
      <c r="G526" s="231">
        <v>0</v>
      </c>
      <c r="H526" s="231">
        <v>0</v>
      </c>
      <c r="I526" s="231">
        <v>0</v>
      </c>
      <c r="J526" s="231">
        <v>0</v>
      </c>
    </row>
    <row r="527" spans="1:10" s="225" customFormat="1">
      <c r="A527" s="222" t="s">
        <v>178</v>
      </c>
      <c r="B527" s="222" t="s">
        <v>124</v>
      </c>
      <c r="C527" s="223">
        <v>0.30208333333333298</v>
      </c>
      <c r="D527" s="230">
        <v>0</v>
      </c>
      <c r="E527" s="230">
        <v>0</v>
      </c>
      <c r="F527" s="230">
        <v>0</v>
      </c>
      <c r="G527" s="230">
        <v>0</v>
      </c>
      <c r="H527" s="230">
        <v>0</v>
      </c>
      <c r="I527" s="230">
        <v>0</v>
      </c>
      <c r="J527" s="230">
        <v>0</v>
      </c>
    </row>
    <row r="528" spans="1:10" s="225" customFormat="1">
      <c r="A528" s="222" t="s">
        <v>178</v>
      </c>
      <c r="B528" s="222" t="s">
        <v>124</v>
      </c>
      <c r="C528" s="223">
        <v>0.30277777777777798</v>
      </c>
      <c r="D528" s="230">
        <v>0</v>
      </c>
      <c r="E528" s="230">
        <v>0</v>
      </c>
      <c r="F528" s="230">
        <v>0</v>
      </c>
      <c r="G528" s="230">
        <v>0</v>
      </c>
      <c r="H528" s="230">
        <v>0</v>
      </c>
      <c r="I528" s="230">
        <v>0</v>
      </c>
      <c r="J528" s="230">
        <v>0</v>
      </c>
    </row>
    <row r="529" spans="1:10" s="225" customFormat="1">
      <c r="A529" s="222" t="s">
        <v>178</v>
      </c>
      <c r="B529" s="222" t="s">
        <v>124</v>
      </c>
      <c r="C529" s="223">
        <v>0.30347222222222198</v>
      </c>
      <c r="D529" s="230">
        <v>0</v>
      </c>
      <c r="E529" s="230">
        <v>0</v>
      </c>
      <c r="F529" s="230">
        <v>0</v>
      </c>
      <c r="G529" s="230">
        <v>0</v>
      </c>
      <c r="H529" s="230">
        <v>0</v>
      </c>
      <c r="I529" s="230">
        <v>0</v>
      </c>
      <c r="J529" s="230">
        <v>0</v>
      </c>
    </row>
    <row r="530" spans="1:10" s="225" customFormat="1">
      <c r="A530" s="222" t="s">
        <v>178</v>
      </c>
      <c r="B530" s="222" t="s">
        <v>124</v>
      </c>
      <c r="C530" s="223">
        <v>0.30416666666666697</v>
      </c>
      <c r="D530" s="230">
        <v>0</v>
      </c>
      <c r="E530" s="230">
        <v>0</v>
      </c>
      <c r="F530" s="230">
        <v>0</v>
      </c>
      <c r="G530" s="230">
        <v>0</v>
      </c>
      <c r="H530" s="230">
        <v>0</v>
      </c>
      <c r="I530" s="230">
        <v>0</v>
      </c>
      <c r="J530" s="230">
        <v>0</v>
      </c>
    </row>
    <row r="531" spans="1:10" s="225" customFormat="1">
      <c r="A531" s="222" t="s">
        <v>178</v>
      </c>
      <c r="B531" s="222" t="s">
        <v>124</v>
      </c>
      <c r="C531" s="223">
        <v>0.30486111111111103</v>
      </c>
      <c r="D531" s="230">
        <v>0</v>
      </c>
      <c r="E531" s="230">
        <v>0</v>
      </c>
      <c r="F531" s="230">
        <v>0</v>
      </c>
      <c r="G531" s="230">
        <v>0</v>
      </c>
      <c r="H531" s="230">
        <v>0</v>
      </c>
      <c r="I531" s="230">
        <v>0</v>
      </c>
      <c r="J531" s="230">
        <v>0</v>
      </c>
    </row>
    <row r="532" spans="1:10" s="225" customFormat="1">
      <c r="A532" s="222" t="s">
        <v>178</v>
      </c>
      <c r="B532" s="222" t="s">
        <v>124</v>
      </c>
      <c r="C532" s="223">
        <v>0.30555555555555503</v>
      </c>
      <c r="D532" s="230">
        <v>0</v>
      </c>
      <c r="E532" s="230">
        <v>0</v>
      </c>
      <c r="F532" s="230">
        <v>0</v>
      </c>
      <c r="G532" s="230">
        <v>0</v>
      </c>
      <c r="H532" s="230">
        <v>0</v>
      </c>
      <c r="I532" s="230">
        <v>0</v>
      </c>
      <c r="J532" s="230">
        <v>0</v>
      </c>
    </row>
    <row r="533" spans="1:10" s="225" customFormat="1">
      <c r="A533" s="222" t="s">
        <v>178</v>
      </c>
      <c r="B533" s="222" t="s">
        <v>124</v>
      </c>
      <c r="C533" s="223">
        <v>0.30625000000000002</v>
      </c>
      <c r="D533" s="230">
        <v>0</v>
      </c>
      <c r="E533" s="230">
        <v>0</v>
      </c>
      <c r="F533" s="230">
        <v>0</v>
      </c>
      <c r="G533" s="230">
        <v>0</v>
      </c>
      <c r="H533" s="230">
        <v>0</v>
      </c>
      <c r="I533" s="230">
        <v>0</v>
      </c>
      <c r="J533" s="230">
        <v>0</v>
      </c>
    </row>
    <row r="534" spans="1:10" s="225" customFormat="1">
      <c r="A534" s="222" t="s">
        <v>178</v>
      </c>
      <c r="B534" s="222" t="s">
        <v>124</v>
      </c>
      <c r="C534" s="223">
        <v>0.30694444444444402</v>
      </c>
      <c r="D534" s="230">
        <v>0</v>
      </c>
      <c r="E534" s="230">
        <v>0</v>
      </c>
      <c r="F534" s="230">
        <v>0</v>
      </c>
      <c r="G534" s="230">
        <v>0</v>
      </c>
      <c r="H534" s="230">
        <v>0</v>
      </c>
      <c r="I534" s="230">
        <v>0</v>
      </c>
      <c r="J534" s="230">
        <v>0</v>
      </c>
    </row>
    <row r="535" spans="1:10" s="225" customFormat="1">
      <c r="A535" s="222" t="s">
        <v>178</v>
      </c>
      <c r="B535" s="222" t="s">
        <v>124</v>
      </c>
      <c r="C535" s="223">
        <v>0.30763888888888902</v>
      </c>
      <c r="D535" s="230">
        <v>0</v>
      </c>
      <c r="E535" s="230">
        <v>0</v>
      </c>
      <c r="F535" s="230">
        <v>0</v>
      </c>
      <c r="G535" s="230">
        <v>0</v>
      </c>
      <c r="H535" s="230">
        <v>0</v>
      </c>
      <c r="I535" s="230">
        <v>0</v>
      </c>
      <c r="J535" s="230">
        <v>0</v>
      </c>
    </row>
    <row r="536" spans="1:10" s="225" customFormat="1">
      <c r="A536" s="222" t="s">
        <v>178</v>
      </c>
      <c r="B536" s="222" t="s">
        <v>124</v>
      </c>
      <c r="C536" s="223">
        <v>0.30833333333333302</v>
      </c>
      <c r="D536" s="230">
        <v>0</v>
      </c>
      <c r="E536" s="230">
        <v>0</v>
      </c>
      <c r="F536" s="230">
        <v>0</v>
      </c>
      <c r="G536" s="230">
        <v>0</v>
      </c>
      <c r="H536" s="230">
        <v>0</v>
      </c>
      <c r="I536" s="230">
        <v>0</v>
      </c>
      <c r="J536" s="230">
        <v>0</v>
      </c>
    </row>
    <row r="537" spans="1:10" s="225" customFormat="1">
      <c r="A537" s="222" t="s">
        <v>178</v>
      </c>
      <c r="B537" s="222" t="s">
        <v>124</v>
      </c>
      <c r="C537" s="223">
        <v>0.30902777777777801</v>
      </c>
      <c r="D537" s="230">
        <v>0</v>
      </c>
      <c r="E537" s="230">
        <v>0</v>
      </c>
      <c r="F537" s="230">
        <v>0</v>
      </c>
      <c r="G537" s="230">
        <v>0</v>
      </c>
      <c r="H537" s="230">
        <v>0</v>
      </c>
      <c r="I537" s="230">
        <v>0</v>
      </c>
      <c r="J537" s="230">
        <v>0</v>
      </c>
    </row>
    <row r="538" spans="1:10" s="225" customFormat="1">
      <c r="A538" s="222" t="s">
        <v>178</v>
      </c>
      <c r="B538" s="222" t="s">
        <v>124</v>
      </c>
      <c r="C538" s="223">
        <v>0.30972222222222201</v>
      </c>
      <c r="D538" s="230">
        <v>0</v>
      </c>
      <c r="E538" s="230">
        <v>0</v>
      </c>
      <c r="F538" s="230">
        <v>0</v>
      </c>
      <c r="G538" s="230">
        <v>0</v>
      </c>
      <c r="H538" s="230">
        <v>0</v>
      </c>
      <c r="I538" s="230">
        <v>0</v>
      </c>
      <c r="J538" s="230">
        <v>0</v>
      </c>
    </row>
    <row r="539" spans="1:10" s="225" customFormat="1">
      <c r="A539" s="222" t="s">
        <v>178</v>
      </c>
      <c r="B539" s="222" t="s">
        <v>124</v>
      </c>
      <c r="C539" s="223">
        <v>0.31041666666666701</v>
      </c>
      <c r="D539" s="230">
        <v>0</v>
      </c>
      <c r="E539" s="230">
        <v>0</v>
      </c>
      <c r="F539" s="230">
        <v>0</v>
      </c>
      <c r="G539" s="230">
        <v>0</v>
      </c>
      <c r="H539" s="230">
        <v>0</v>
      </c>
      <c r="I539" s="230">
        <v>0</v>
      </c>
      <c r="J539" s="230">
        <v>0</v>
      </c>
    </row>
    <row r="540" spans="1:10" s="225" customFormat="1">
      <c r="A540" s="222" t="s">
        <v>178</v>
      </c>
      <c r="B540" s="222" t="s">
        <v>124</v>
      </c>
      <c r="C540" s="223">
        <v>0.31111111111111101</v>
      </c>
      <c r="D540" s="230">
        <v>0</v>
      </c>
      <c r="E540" s="230">
        <v>0</v>
      </c>
      <c r="F540" s="230">
        <v>0</v>
      </c>
      <c r="G540" s="230">
        <v>0</v>
      </c>
      <c r="H540" s="230">
        <v>0</v>
      </c>
      <c r="I540" s="230">
        <v>0</v>
      </c>
      <c r="J540" s="230">
        <v>0</v>
      </c>
    </row>
    <row r="541" spans="1:10" s="229" customFormat="1">
      <c r="A541" s="226" t="s">
        <v>178</v>
      </c>
      <c r="B541" s="226" t="s">
        <v>124</v>
      </c>
      <c r="C541" s="227">
        <v>0.311805555555555</v>
      </c>
      <c r="D541" s="231">
        <v>0</v>
      </c>
      <c r="E541" s="231">
        <v>0</v>
      </c>
      <c r="F541" s="231">
        <v>0</v>
      </c>
      <c r="G541" s="231">
        <v>0</v>
      </c>
      <c r="H541" s="231">
        <v>0</v>
      </c>
      <c r="I541" s="231">
        <v>0</v>
      </c>
      <c r="J541" s="231">
        <v>0</v>
      </c>
    </row>
    <row r="542" spans="1:10" s="225" customFormat="1">
      <c r="A542" s="222" t="s">
        <v>178</v>
      </c>
      <c r="B542" s="222" t="s">
        <v>124</v>
      </c>
      <c r="C542" s="223">
        <v>0.3125</v>
      </c>
      <c r="D542" s="230">
        <v>0</v>
      </c>
      <c r="E542" s="230">
        <v>0</v>
      </c>
      <c r="F542" s="230">
        <v>0</v>
      </c>
      <c r="G542" s="230">
        <v>0</v>
      </c>
      <c r="H542" s="230">
        <v>0</v>
      </c>
      <c r="I542" s="230">
        <v>0</v>
      </c>
      <c r="J542" s="230">
        <v>0</v>
      </c>
    </row>
    <row r="543" spans="1:10" s="225" customFormat="1">
      <c r="A543" s="222" t="s">
        <v>178</v>
      </c>
      <c r="B543" s="222" t="s">
        <v>124</v>
      </c>
      <c r="C543" s="223">
        <v>0.313194444444444</v>
      </c>
      <c r="D543" s="230">
        <v>0</v>
      </c>
      <c r="E543" s="230">
        <v>0</v>
      </c>
      <c r="F543" s="230">
        <v>0</v>
      </c>
      <c r="G543" s="230">
        <v>0</v>
      </c>
      <c r="H543" s="230">
        <v>0</v>
      </c>
      <c r="I543" s="230">
        <v>0</v>
      </c>
      <c r="J543" s="230">
        <v>0</v>
      </c>
    </row>
    <row r="544" spans="1:10" s="225" customFormat="1">
      <c r="A544" s="222" t="s">
        <v>178</v>
      </c>
      <c r="B544" s="222" t="s">
        <v>124</v>
      </c>
      <c r="C544" s="223">
        <v>0.31388888888888899</v>
      </c>
      <c r="D544" s="230">
        <v>0</v>
      </c>
      <c r="E544" s="230">
        <v>0</v>
      </c>
      <c r="F544" s="230">
        <v>0</v>
      </c>
      <c r="G544" s="230">
        <v>0</v>
      </c>
      <c r="H544" s="230">
        <v>0</v>
      </c>
      <c r="I544" s="230">
        <v>0</v>
      </c>
      <c r="J544" s="230">
        <v>0</v>
      </c>
    </row>
    <row r="545" spans="1:10" s="225" customFormat="1">
      <c r="A545" s="222" t="s">
        <v>178</v>
      </c>
      <c r="B545" s="222" t="s">
        <v>124</v>
      </c>
      <c r="C545" s="223">
        <v>0.31458333333333299</v>
      </c>
      <c r="D545" s="230">
        <v>0</v>
      </c>
      <c r="E545" s="230">
        <v>0</v>
      </c>
      <c r="F545" s="230">
        <v>0</v>
      </c>
      <c r="G545" s="230">
        <v>0</v>
      </c>
      <c r="H545" s="230">
        <v>0</v>
      </c>
      <c r="I545" s="230">
        <v>0</v>
      </c>
      <c r="J545" s="230">
        <v>0</v>
      </c>
    </row>
    <row r="546" spans="1:10" s="225" customFormat="1">
      <c r="A546" s="222" t="s">
        <v>178</v>
      </c>
      <c r="B546" s="222" t="s">
        <v>124</v>
      </c>
      <c r="C546" s="223">
        <v>0.31527777777777799</v>
      </c>
      <c r="D546" s="230">
        <v>0</v>
      </c>
      <c r="E546" s="230">
        <v>0</v>
      </c>
      <c r="F546" s="230">
        <v>0</v>
      </c>
      <c r="G546" s="230">
        <v>0</v>
      </c>
      <c r="H546" s="230">
        <v>0</v>
      </c>
      <c r="I546" s="230">
        <v>0</v>
      </c>
      <c r="J546" s="230">
        <v>0</v>
      </c>
    </row>
    <row r="547" spans="1:10" s="225" customFormat="1">
      <c r="A547" s="222" t="s">
        <v>178</v>
      </c>
      <c r="B547" s="222" t="s">
        <v>124</v>
      </c>
      <c r="C547" s="223">
        <v>0.31597222222222199</v>
      </c>
      <c r="D547" s="230">
        <v>0</v>
      </c>
      <c r="E547" s="230">
        <v>0</v>
      </c>
      <c r="F547" s="230">
        <v>0</v>
      </c>
      <c r="G547" s="230">
        <v>0</v>
      </c>
      <c r="H547" s="230">
        <v>0</v>
      </c>
      <c r="I547" s="230">
        <v>0</v>
      </c>
      <c r="J547" s="230">
        <v>0</v>
      </c>
    </row>
    <row r="548" spans="1:10" s="225" customFormat="1">
      <c r="A548" s="222" t="s">
        <v>178</v>
      </c>
      <c r="B548" s="222" t="s">
        <v>124</v>
      </c>
      <c r="C548" s="223">
        <v>0.31666666666666698</v>
      </c>
      <c r="D548" s="230">
        <v>0</v>
      </c>
      <c r="E548" s="230">
        <v>0</v>
      </c>
      <c r="F548" s="230">
        <v>0</v>
      </c>
      <c r="G548" s="230">
        <v>0</v>
      </c>
      <c r="H548" s="230">
        <v>0</v>
      </c>
      <c r="I548" s="230">
        <v>0</v>
      </c>
      <c r="J548" s="230">
        <v>0</v>
      </c>
    </row>
    <row r="549" spans="1:10" s="225" customFormat="1">
      <c r="A549" s="222" t="s">
        <v>178</v>
      </c>
      <c r="B549" s="222" t="s">
        <v>124</v>
      </c>
      <c r="C549" s="223">
        <v>0.31736111111111098</v>
      </c>
      <c r="D549" s="230">
        <v>0</v>
      </c>
      <c r="E549" s="230">
        <v>0</v>
      </c>
      <c r="F549" s="230">
        <v>0</v>
      </c>
      <c r="G549" s="230">
        <v>0</v>
      </c>
      <c r="H549" s="230">
        <v>0</v>
      </c>
      <c r="I549" s="230">
        <v>0</v>
      </c>
      <c r="J549" s="230">
        <v>0</v>
      </c>
    </row>
    <row r="550" spans="1:10" s="225" customFormat="1">
      <c r="A550" s="222" t="s">
        <v>178</v>
      </c>
      <c r="B550" s="222" t="s">
        <v>124</v>
      </c>
      <c r="C550" s="223">
        <v>0.31805555555555498</v>
      </c>
      <c r="D550" s="230">
        <v>0</v>
      </c>
      <c r="E550" s="230">
        <v>0</v>
      </c>
      <c r="F550" s="230">
        <v>0</v>
      </c>
      <c r="G550" s="230">
        <v>0</v>
      </c>
      <c r="H550" s="230">
        <v>0</v>
      </c>
      <c r="I550" s="230">
        <v>0</v>
      </c>
      <c r="J550" s="230">
        <v>0</v>
      </c>
    </row>
    <row r="551" spans="1:10" s="225" customFormat="1">
      <c r="A551" s="222" t="s">
        <v>178</v>
      </c>
      <c r="B551" s="222" t="s">
        <v>124</v>
      </c>
      <c r="C551" s="223">
        <v>0.31874999999999998</v>
      </c>
      <c r="D551" s="230">
        <v>0</v>
      </c>
      <c r="E551" s="230">
        <v>0</v>
      </c>
      <c r="F551" s="230">
        <v>0</v>
      </c>
      <c r="G551" s="230">
        <v>0</v>
      </c>
      <c r="H551" s="230">
        <v>0</v>
      </c>
      <c r="I551" s="230">
        <v>0</v>
      </c>
      <c r="J551" s="230">
        <v>0</v>
      </c>
    </row>
    <row r="552" spans="1:10" s="225" customFormat="1">
      <c r="A552" s="222" t="s">
        <v>178</v>
      </c>
      <c r="B552" s="222" t="s">
        <v>124</v>
      </c>
      <c r="C552" s="223">
        <v>0.31944444444444398</v>
      </c>
      <c r="D552" s="230">
        <v>0</v>
      </c>
      <c r="E552" s="230">
        <v>0</v>
      </c>
      <c r="F552" s="230">
        <v>0</v>
      </c>
      <c r="G552" s="230">
        <v>0</v>
      </c>
      <c r="H552" s="230">
        <v>0</v>
      </c>
      <c r="I552" s="230">
        <v>0</v>
      </c>
      <c r="J552" s="230">
        <v>0</v>
      </c>
    </row>
    <row r="553" spans="1:10" s="225" customFormat="1">
      <c r="A553" s="222" t="s">
        <v>178</v>
      </c>
      <c r="B553" s="222" t="s">
        <v>124</v>
      </c>
      <c r="C553" s="223">
        <v>0.32013888888888897</v>
      </c>
      <c r="D553" s="230">
        <v>0</v>
      </c>
      <c r="E553" s="230">
        <v>0</v>
      </c>
      <c r="F553" s="230">
        <v>0</v>
      </c>
      <c r="G553" s="230">
        <v>0</v>
      </c>
      <c r="H553" s="230">
        <v>0</v>
      </c>
      <c r="I553" s="230">
        <v>0</v>
      </c>
      <c r="J553" s="230">
        <v>0</v>
      </c>
    </row>
    <row r="554" spans="1:10" s="225" customFormat="1">
      <c r="A554" s="222" t="s">
        <v>178</v>
      </c>
      <c r="B554" s="222" t="s">
        <v>124</v>
      </c>
      <c r="C554" s="223">
        <v>0.32083333333333303</v>
      </c>
      <c r="D554" s="230">
        <v>0</v>
      </c>
      <c r="E554" s="230">
        <v>0</v>
      </c>
      <c r="F554" s="230">
        <v>0</v>
      </c>
      <c r="G554" s="230">
        <v>0</v>
      </c>
      <c r="H554" s="230">
        <v>0</v>
      </c>
      <c r="I554" s="230">
        <v>0</v>
      </c>
      <c r="J554" s="230">
        <v>0</v>
      </c>
    </row>
    <row r="555" spans="1:10" s="225" customFormat="1">
      <c r="A555" s="222" t="s">
        <v>178</v>
      </c>
      <c r="B555" s="222" t="s">
        <v>124</v>
      </c>
      <c r="C555" s="223">
        <v>0.32152777777777802</v>
      </c>
      <c r="D555" s="230">
        <v>0</v>
      </c>
      <c r="E555" s="230">
        <v>0</v>
      </c>
      <c r="F555" s="230">
        <v>0</v>
      </c>
      <c r="G555" s="230">
        <v>0</v>
      </c>
      <c r="H555" s="230">
        <v>0</v>
      </c>
      <c r="I555" s="230">
        <v>0</v>
      </c>
      <c r="J555" s="230">
        <v>0</v>
      </c>
    </row>
    <row r="556" spans="1:10" s="229" customFormat="1">
      <c r="A556" s="226" t="s">
        <v>178</v>
      </c>
      <c r="B556" s="226" t="s">
        <v>124</v>
      </c>
      <c r="C556" s="227">
        <v>0.32222222222222202</v>
      </c>
      <c r="D556" s="231">
        <v>0</v>
      </c>
      <c r="E556" s="231">
        <v>0</v>
      </c>
      <c r="F556" s="231">
        <v>0</v>
      </c>
      <c r="G556" s="231">
        <v>0</v>
      </c>
      <c r="H556" s="231">
        <v>0</v>
      </c>
      <c r="I556" s="231">
        <v>0</v>
      </c>
      <c r="J556" s="231">
        <v>0</v>
      </c>
    </row>
    <row r="557" spans="1:10" s="225" customFormat="1">
      <c r="A557" s="222" t="s">
        <v>178</v>
      </c>
      <c r="B557" s="222" t="s">
        <v>124</v>
      </c>
      <c r="C557" s="223">
        <v>0.32291666666666602</v>
      </c>
      <c r="D557" s="230">
        <v>0</v>
      </c>
      <c r="E557" s="230">
        <v>0</v>
      </c>
      <c r="F557" s="230">
        <v>0</v>
      </c>
      <c r="G557" s="230">
        <v>0</v>
      </c>
      <c r="H557" s="230">
        <v>0</v>
      </c>
      <c r="I557" s="230">
        <v>0</v>
      </c>
      <c r="J557" s="230">
        <v>0</v>
      </c>
    </row>
    <row r="558" spans="1:10" s="225" customFormat="1">
      <c r="A558" s="222" t="s">
        <v>178</v>
      </c>
      <c r="B558" s="222" t="s">
        <v>124</v>
      </c>
      <c r="C558" s="223">
        <v>0.32361111111111102</v>
      </c>
      <c r="D558" s="230">
        <v>0</v>
      </c>
      <c r="E558" s="230">
        <v>0</v>
      </c>
      <c r="F558" s="230">
        <v>0</v>
      </c>
      <c r="G558" s="230">
        <v>0</v>
      </c>
      <c r="H558" s="230">
        <v>0</v>
      </c>
      <c r="I558" s="230">
        <v>0</v>
      </c>
      <c r="J558" s="230">
        <v>0</v>
      </c>
    </row>
    <row r="559" spans="1:10" s="225" customFormat="1">
      <c r="A559" s="222" t="s">
        <v>178</v>
      </c>
      <c r="B559" s="222" t="s">
        <v>124</v>
      </c>
      <c r="C559" s="223">
        <v>0.32430555555555501</v>
      </c>
      <c r="D559" s="230">
        <v>0</v>
      </c>
      <c r="E559" s="230">
        <v>0</v>
      </c>
      <c r="F559" s="230">
        <v>0</v>
      </c>
      <c r="G559" s="230">
        <v>0</v>
      </c>
      <c r="H559" s="230">
        <v>0</v>
      </c>
      <c r="I559" s="230">
        <v>0</v>
      </c>
      <c r="J559" s="230">
        <v>0</v>
      </c>
    </row>
    <row r="560" spans="1:10" s="225" customFormat="1">
      <c r="A560" s="222" t="s">
        <v>178</v>
      </c>
      <c r="B560" s="222" t="s">
        <v>124</v>
      </c>
      <c r="C560" s="223">
        <v>0.32500000000000001</v>
      </c>
      <c r="D560" s="230">
        <v>0</v>
      </c>
      <c r="E560" s="230">
        <v>0</v>
      </c>
      <c r="F560" s="230">
        <v>0</v>
      </c>
      <c r="G560" s="230">
        <v>0</v>
      </c>
      <c r="H560" s="230">
        <v>0</v>
      </c>
      <c r="I560" s="230">
        <v>0</v>
      </c>
      <c r="J560" s="230">
        <v>0</v>
      </c>
    </row>
    <row r="561" spans="1:10" s="225" customFormat="1">
      <c r="A561" s="222" t="s">
        <v>178</v>
      </c>
      <c r="B561" s="222" t="s">
        <v>124</v>
      </c>
      <c r="C561" s="223">
        <v>0.32569444444444401</v>
      </c>
      <c r="D561" s="230">
        <v>0</v>
      </c>
      <c r="E561" s="230">
        <v>0</v>
      </c>
      <c r="F561" s="230">
        <v>0</v>
      </c>
      <c r="G561" s="230">
        <v>0</v>
      </c>
      <c r="H561" s="230">
        <v>0</v>
      </c>
      <c r="I561" s="230">
        <v>0</v>
      </c>
      <c r="J561" s="230">
        <v>0</v>
      </c>
    </row>
    <row r="562" spans="1:10" s="225" customFormat="1">
      <c r="A562" s="222" t="s">
        <v>178</v>
      </c>
      <c r="B562" s="222" t="s">
        <v>124</v>
      </c>
      <c r="C562" s="223">
        <v>0.32638888888888901</v>
      </c>
      <c r="D562" s="230">
        <v>0</v>
      </c>
      <c r="E562" s="230">
        <v>0</v>
      </c>
      <c r="F562" s="230">
        <v>0</v>
      </c>
      <c r="G562" s="230">
        <v>0</v>
      </c>
      <c r="H562" s="230">
        <v>0</v>
      </c>
      <c r="I562" s="230">
        <v>0</v>
      </c>
      <c r="J562" s="230">
        <v>0</v>
      </c>
    </row>
    <row r="563" spans="1:10" s="225" customFormat="1">
      <c r="A563" s="222" t="s">
        <v>178</v>
      </c>
      <c r="B563" s="222" t="s">
        <v>124</v>
      </c>
      <c r="C563" s="223">
        <v>0.327083333333333</v>
      </c>
      <c r="D563" s="230">
        <v>0</v>
      </c>
      <c r="E563" s="230">
        <v>0</v>
      </c>
      <c r="F563" s="230">
        <v>0</v>
      </c>
      <c r="G563" s="230">
        <v>0</v>
      </c>
      <c r="H563" s="230">
        <v>0</v>
      </c>
      <c r="I563" s="230">
        <v>0</v>
      </c>
      <c r="J563" s="230">
        <v>0</v>
      </c>
    </row>
    <row r="564" spans="1:10" s="225" customFormat="1">
      <c r="A564" s="222" t="s">
        <v>178</v>
      </c>
      <c r="B564" s="222" t="s">
        <v>124</v>
      </c>
      <c r="C564" s="223">
        <v>0.327777777777778</v>
      </c>
      <c r="D564" s="230">
        <v>0</v>
      </c>
      <c r="E564" s="230">
        <v>0</v>
      </c>
      <c r="F564" s="230">
        <v>0</v>
      </c>
      <c r="G564" s="230">
        <v>0</v>
      </c>
      <c r="H564" s="230">
        <v>0</v>
      </c>
      <c r="I564" s="230">
        <v>0</v>
      </c>
      <c r="J564" s="230">
        <v>0</v>
      </c>
    </row>
    <row r="565" spans="1:10" s="225" customFormat="1">
      <c r="A565" s="222" t="s">
        <v>178</v>
      </c>
      <c r="B565" s="222" t="s">
        <v>124</v>
      </c>
      <c r="C565" s="223">
        <v>0.328472222222222</v>
      </c>
      <c r="D565" s="230">
        <v>0</v>
      </c>
      <c r="E565" s="230">
        <v>0</v>
      </c>
      <c r="F565" s="230">
        <v>0</v>
      </c>
      <c r="G565" s="230">
        <v>0</v>
      </c>
      <c r="H565" s="230">
        <v>0</v>
      </c>
      <c r="I565" s="230">
        <v>0</v>
      </c>
      <c r="J565" s="230">
        <v>0</v>
      </c>
    </row>
    <row r="566" spans="1:10" s="225" customFormat="1">
      <c r="A566" s="222" t="s">
        <v>178</v>
      </c>
      <c r="B566" s="222" t="s">
        <v>124</v>
      </c>
      <c r="C566" s="223">
        <v>0.329166666666666</v>
      </c>
      <c r="D566" s="230">
        <v>0</v>
      </c>
      <c r="E566" s="230">
        <v>0</v>
      </c>
      <c r="F566" s="230">
        <v>0</v>
      </c>
      <c r="G566" s="230">
        <v>0</v>
      </c>
      <c r="H566" s="230">
        <v>0</v>
      </c>
      <c r="I566" s="230">
        <v>0</v>
      </c>
      <c r="J566" s="230">
        <v>0</v>
      </c>
    </row>
    <row r="567" spans="1:10" s="225" customFormat="1">
      <c r="A567" s="222" t="s">
        <v>178</v>
      </c>
      <c r="B567" s="222" t="s">
        <v>124</v>
      </c>
      <c r="C567" s="223">
        <v>0.32986111111111099</v>
      </c>
      <c r="D567" s="230">
        <v>0</v>
      </c>
      <c r="E567" s="230">
        <v>0</v>
      </c>
      <c r="F567" s="230">
        <v>0</v>
      </c>
      <c r="G567" s="230">
        <v>0</v>
      </c>
      <c r="H567" s="230">
        <v>0</v>
      </c>
      <c r="I567" s="230">
        <v>0</v>
      </c>
      <c r="J567" s="230">
        <v>0</v>
      </c>
    </row>
    <row r="568" spans="1:10" s="225" customFormat="1">
      <c r="A568" s="222" t="s">
        <v>178</v>
      </c>
      <c r="B568" s="222" t="s">
        <v>124</v>
      </c>
      <c r="C568" s="223">
        <v>0.33055555555555499</v>
      </c>
      <c r="D568" s="230">
        <v>0</v>
      </c>
      <c r="E568" s="230">
        <v>0</v>
      </c>
      <c r="F568" s="230">
        <v>0</v>
      </c>
      <c r="G568" s="230">
        <v>0</v>
      </c>
      <c r="H568" s="230">
        <v>0</v>
      </c>
      <c r="I568" s="230">
        <v>0</v>
      </c>
      <c r="J568" s="230">
        <v>0</v>
      </c>
    </row>
    <row r="569" spans="1:10" s="225" customFormat="1">
      <c r="A569" s="222" t="s">
        <v>178</v>
      </c>
      <c r="B569" s="222" t="s">
        <v>124</v>
      </c>
      <c r="C569" s="223">
        <v>0.33124999999999999</v>
      </c>
      <c r="D569" s="230">
        <v>0</v>
      </c>
      <c r="E569" s="230">
        <v>0</v>
      </c>
      <c r="F569" s="230">
        <v>0</v>
      </c>
      <c r="G569" s="230">
        <v>0</v>
      </c>
      <c r="H569" s="230">
        <v>0</v>
      </c>
      <c r="I569" s="230">
        <v>0</v>
      </c>
      <c r="J569" s="230">
        <v>0</v>
      </c>
    </row>
    <row r="570" spans="1:10" s="225" customFormat="1">
      <c r="A570" s="222" t="s">
        <v>178</v>
      </c>
      <c r="B570" s="222" t="s">
        <v>124</v>
      </c>
      <c r="C570" s="223">
        <v>0.33194444444444399</v>
      </c>
      <c r="D570" s="230">
        <v>0</v>
      </c>
      <c r="E570" s="230">
        <v>0</v>
      </c>
      <c r="F570" s="230">
        <v>0</v>
      </c>
      <c r="G570" s="230">
        <v>0</v>
      </c>
      <c r="H570" s="230">
        <v>0</v>
      </c>
      <c r="I570" s="230">
        <v>0</v>
      </c>
      <c r="J570" s="230">
        <v>0</v>
      </c>
    </row>
    <row r="571" spans="1:10" s="229" customFormat="1">
      <c r="A571" s="226" t="s">
        <v>178</v>
      </c>
      <c r="B571" s="226" t="s">
        <v>124</v>
      </c>
      <c r="C571" s="227">
        <v>0.33263888888888898</v>
      </c>
      <c r="D571" s="231">
        <v>0</v>
      </c>
      <c r="E571" s="231">
        <v>0</v>
      </c>
      <c r="F571" s="231">
        <v>0</v>
      </c>
      <c r="G571" s="231">
        <v>0</v>
      </c>
      <c r="H571" s="231">
        <v>0</v>
      </c>
      <c r="I571" s="231">
        <v>0</v>
      </c>
      <c r="J571" s="231">
        <v>0</v>
      </c>
    </row>
    <row r="572" spans="1:10" s="225" customFormat="1">
      <c r="A572" s="222" t="s">
        <v>178</v>
      </c>
      <c r="B572" s="222" t="s">
        <v>124</v>
      </c>
      <c r="C572" s="223">
        <v>0.33333333333333298</v>
      </c>
      <c r="D572" s="230">
        <v>0</v>
      </c>
      <c r="E572" s="230">
        <v>0</v>
      </c>
      <c r="F572" s="230">
        <v>0</v>
      </c>
      <c r="G572" s="230">
        <v>0</v>
      </c>
      <c r="H572" s="230">
        <v>0</v>
      </c>
      <c r="I572" s="230">
        <v>0</v>
      </c>
      <c r="J572" s="230">
        <v>0</v>
      </c>
    </row>
    <row r="573" spans="1:10" s="225" customFormat="1">
      <c r="A573" s="222" t="s">
        <v>178</v>
      </c>
      <c r="B573" s="222" t="s">
        <v>124</v>
      </c>
      <c r="C573" s="223">
        <v>0.33402777777777798</v>
      </c>
      <c r="D573" s="230">
        <v>0</v>
      </c>
      <c r="E573" s="230">
        <v>0</v>
      </c>
      <c r="F573" s="230">
        <v>0</v>
      </c>
      <c r="G573" s="230">
        <v>0</v>
      </c>
      <c r="H573" s="230">
        <v>0</v>
      </c>
      <c r="I573" s="230">
        <v>0</v>
      </c>
      <c r="J573" s="230">
        <v>0</v>
      </c>
    </row>
    <row r="574" spans="1:10" s="225" customFormat="1">
      <c r="A574" s="222" t="s">
        <v>178</v>
      </c>
      <c r="B574" s="222" t="s">
        <v>124</v>
      </c>
      <c r="C574" s="223">
        <v>0.33472222222222198</v>
      </c>
      <c r="D574" s="230">
        <v>0</v>
      </c>
      <c r="E574" s="230">
        <v>0</v>
      </c>
      <c r="F574" s="230">
        <v>0</v>
      </c>
      <c r="G574" s="230">
        <v>0</v>
      </c>
      <c r="H574" s="230">
        <v>0</v>
      </c>
      <c r="I574" s="230">
        <v>0</v>
      </c>
      <c r="J574" s="230">
        <v>0</v>
      </c>
    </row>
    <row r="575" spans="1:10" s="225" customFormat="1">
      <c r="A575" s="222" t="s">
        <v>178</v>
      </c>
      <c r="B575" s="222" t="s">
        <v>124</v>
      </c>
      <c r="C575" s="223">
        <v>0.33541666666666597</v>
      </c>
      <c r="D575" s="230">
        <v>0</v>
      </c>
      <c r="E575" s="230">
        <v>0</v>
      </c>
      <c r="F575" s="230">
        <v>0</v>
      </c>
      <c r="G575" s="230">
        <v>0</v>
      </c>
      <c r="H575" s="230">
        <v>0</v>
      </c>
      <c r="I575" s="230">
        <v>0</v>
      </c>
      <c r="J575" s="230">
        <v>0</v>
      </c>
    </row>
    <row r="576" spans="1:10" s="225" customFormat="1">
      <c r="A576" s="222" t="s">
        <v>178</v>
      </c>
      <c r="B576" s="222" t="s">
        <v>124</v>
      </c>
      <c r="C576" s="223">
        <v>0.33611111111111103</v>
      </c>
      <c r="D576" s="230">
        <v>0</v>
      </c>
      <c r="E576" s="230">
        <v>0</v>
      </c>
      <c r="F576" s="230">
        <v>0</v>
      </c>
      <c r="G576" s="230">
        <v>0</v>
      </c>
      <c r="H576" s="230">
        <v>0</v>
      </c>
      <c r="I576" s="230">
        <v>0</v>
      </c>
      <c r="J576" s="230">
        <v>0</v>
      </c>
    </row>
    <row r="577" spans="1:10" s="225" customFormat="1">
      <c r="A577" s="222" t="s">
        <v>178</v>
      </c>
      <c r="B577" s="222" t="s">
        <v>124</v>
      </c>
      <c r="C577" s="223">
        <v>0.33680555555555503</v>
      </c>
      <c r="D577" s="230">
        <v>0</v>
      </c>
      <c r="E577" s="230">
        <v>0</v>
      </c>
      <c r="F577" s="230">
        <v>0</v>
      </c>
      <c r="G577" s="230">
        <v>0</v>
      </c>
      <c r="H577" s="230">
        <v>0</v>
      </c>
      <c r="I577" s="230">
        <v>0</v>
      </c>
      <c r="J577" s="230">
        <v>0</v>
      </c>
    </row>
    <row r="578" spans="1:10" s="225" customFormat="1">
      <c r="A578" s="222" t="s">
        <v>178</v>
      </c>
      <c r="B578" s="222" t="s">
        <v>124</v>
      </c>
      <c r="C578" s="223">
        <v>0.33750000000000002</v>
      </c>
      <c r="D578" s="230">
        <v>0</v>
      </c>
      <c r="E578" s="230">
        <v>0</v>
      </c>
      <c r="F578" s="230">
        <v>0</v>
      </c>
      <c r="G578" s="230">
        <v>0</v>
      </c>
      <c r="H578" s="230">
        <v>0</v>
      </c>
      <c r="I578" s="230">
        <v>0</v>
      </c>
      <c r="J578" s="230">
        <v>0</v>
      </c>
    </row>
    <row r="579" spans="1:10" s="225" customFormat="1">
      <c r="A579" s="222" t="s">
        <v>178</v>
      </c>
      <c r="B579" s="222" t="s">
        <v>124</v>
      </c>
      <c r="C579" s="223">
        <v>0.33819444444444402</v>
      </c>
      <c r="D579" s="230">
        <v>0</v>
      </c>
      <c r="E579" s="230">
        <v>0</v>
      </c>
      <c r="F579" s="230">
        <v>0</v>
      </c>
      <c r="G579" s="230">
        <v>0</v>
      </c>
      <c r="H579" s="230">
        <v>0</v>
      </c>
      <c r="I579" s="230">
        <v>0</v>
      </c>
      <c r="J579" s="230">
        <v>0</v>
      </c>
    </row>
    <row r="580" spans="1:10" s="225" customFormat="1">
      <c r="A580" s="222" t="s">
        <v>178</v>
      </c>
      <c r="B580" s="222" t="s">
        <v>124</v>
      </c>
      <c r="C580" s="223">
        <v>0.33888888888888902</v>
      </c>
      <c r="D580" s="230">
        <v>0</v>
      </c>
      <c r="E580" s="230">
        <v>0</v>
      </c>
      <c r="F580" s="230">
        <v>0</v>
      </c>
      <c r="G580" s="230">
        <v>0</v>
      </c>
      <c r="H580" s="230">
        <v>0</v>
      </c>
      <c r="I580" s="230">
        <v>0</v>
      </c>
      <c r="J580" s="230">
        <v>0</v>
      </c>
    </row>
    <row r="581" spans="1:10" s="225" customFormat="1">
      <c r="A581" s="222" t="s">
        <v>178</v>
      </c>
      <c r="B581" s="222" t="s">
        <v>124</v>
      </c>
      <c r="C581" s="223">
        <v>0.33958333333333302</v>
      </c>
      <c r="D581" s="230">
        <v>0</v>
      </c>
      <c r="E581" s="230">
        <v>0</v>
      </c>
      <c r="F581" s="230">
        <v>0</v>
      </c>
      <c r="G581" s="230">
        <v>0</v>
      </c>
      <c r="H581" s="230">
        <v>0</v>
      </c>
      <c r="I581" s="230">
        <v>0</v>
      </c>
      <c r="J581" s="230">
        <v>0</v>
      </c>
    </row>
    <row r="582" spans="1:10" s="225" customFormat="1">
      <c r="A582" s="222" t="s">
        <v>178</v>
      </c>
      <c r="B582" s="222" t="s">
        <v>124</v>
      </c>
      <c r="C582" s="223">
        <v>0.34027777777777801</v>
      </c>
      <c r="D582" s="230">
        <v>0</v>
      </c>
      <c r="E582" s="230">
        <v>0</v>
      </c>
      <c r="F582" s="230">
        <v>0</v>
      </c>
      <c r="G582" s="230">
        <v>0</v>
      </c>
      <c r="H582" s="230">
        <v>0</v>
      </c>
      <c r="I582" s="230">
        <v>0</v>
      </c>
      <c r="J582" s="230">
        <v>0</v>
      </c>
    </row>
    <row r="583" spans="1:10" s="225" customFormat="1">
      <c r="A583" s="222" t="s">
        <v>178</v>
      </c>
      <c r="B583" s="222" t="s">
        <v>124</v>
      </c>
      <c r="C583" s="223">
        <v>0.34097222222222201</v>
      </c>
      <c r="D583" s="230">
        <v>0</v>
      </c>
      <c r="E583" s="230">
        <v>0</v>
      </c>
      <c r="F583" s="230">
        <v>0</v>
      </c>
      <c r="G583" s="230">
        <v>0</v>
      </c>
      <c r="H583" s="230">
        <v>0</v>
      </c>
      <c r="I583" s="230">
        <v>0</v>
      </c>
      <c r="J583" s="230">
        <v>0</v>
      </c>
    </row>
    <row r="584" spans="1:10" s="225" customFormat="1">
      <c r="A584" s="222" t="s">
        <v>178</v>
      </c>
      <c r="B584" s="222" t="s">
        <v>124</v>
      </c>
      <c r="C584" s="223">
        <v>0.34166666666666601</v>
      </c>
      <c r="D584" s="230">
        <v>0</v>
      </c>
      <c r="E584" s="230">
        <v>0</v>
      </c>
      <c r="F584" s="230">
        <v>0</v>
      </c>
      <c r="G584" s="230">
        <v>0</v>
      </c>
      <c r="H584" s="230">
        <v>0</v>
      </c>
      <c r="I584" s="230">
        <v>0</v>
      </c>
      <c r="J584" s="230">
        <v>0</v>
      </c>
    </row>
    <row r="585" spans="1:10" s="225" customFormat="1">
      <c r="A585" s="222" t="s">
        <v>178</v>
      </c>
      <c r="B585" s="222" t="s">
        <v>124</v>
      </c>
      <c r="C585" s="223">
        <v>0.34236111111111101</v>
      </c>
      <c r="D585" s="230">
        <v>0</v>
      </c>
      <c r="E585" s="230">
        <v>0</v>
      </c>
      <c r="F585" s="230">
        <v>0</v>
      </c>
      <c r="G585" s="230">
        <v>0</v>
      </c>
      <c r="H585" s="230">
        <v>0</v>
      </c>
      <c r="I585" s="230">
        <v>0</v>
      </c>
      <c r="J585" s="230">
        <v>0</v>
      </c>
    </row>
    <row r="586" spans="1:10" s="229" customFormat="1">
      <c r="A586" s="226" t="s">
        <v>178</v>
      </c>
      <c r="B586" s="226" t="s">
        <v>124</v>
      </c>
      <c r="C586" s="227">
        <v>0.343055555555555</v>
      </c>
      <c r="D586" s="231">
        <v>0</v>
      </c>
      <c r="E586" s="231">
        <v>0</v>
      </c>
      <c r="F586" s="231">
        <v>0</v>
      </c>
      <c r="G586" s="231">
        <v>0</v>
      </c>
      <c r="H586" s="231">
        <v>0</v>
      </c>
      <c r="I586" s="231">
        <v>0</v>
      </c>
      <c r="J586" s="231">
        <v>0</v>
      </c>
    </row>
    <row r="587" spans="1:10" s="225" customFormat="1">
      <c r="A587" s="222" t="s">
        <v>178</v>
      </c>
      <c r="B587" s="222" t="s">
        <v>124</v>
      </c>
      <c r="C587" s="223">
        <v>0.34375</v>
      </c>
      <c r="D587" s="230">
        <v>0</v>
      </c>
      <c r="E587" s="230">
        <v>0</v>
      </c>
      <c r="F587" s="230">
        <v>0</v>
      </c>
      <c r="G587" s="230">
        <v>0</v>
      </c>
      <c r="H587" s="230">
        <v>0</v>
      </c>
      <c r="I587" s="230">
        <v>0</v>
      </c>
      <c r="J587" s="230">
        <v>0</v>
      </c>
    </row>
    <row r="588" spans="1:10" s="225" customFormat="1">
      <c r="A588" s="222" t="s">
        <v>178</v>
      </c>
      <c r="B588" s="222" t="s">
        <v>124</v>
      </c>
      <c r="C588" s="223">
        <v>0.344444444444444</v>
      </c>
      <c r="D588" s="230">
        <v>0</v>
      </c>
      <c r="E588" s="230">
        <v>0</v>
      </c>
      <c r="F588" s="230">
        <v>0</v>
      </c>
      <c r="G588" s="230">
        <v>0</v>
      </c>
      <c r="H588" s="230">
        <v>0</v>
      </c>
      <c r="I588" s="230">
        <v>0</v>
      </c>
      <c r="J588" s="230">
        <v>0</v>
      </c>
    </row>
    <row r="589" spans="1:10" s="225" customFormat="1">
      <c r="A589" s="222" t="s">
        <v>178</v>
      </c>
      <c r="B589" s="222" t="s">
        <v>124</v>
      </c>
      <c r="C589" s="223">
        <v>0.34513888888888899</v>
      </c>
      <c r="D589" s="230">
        <v>0</v>
      </c>
      <c r="E589" s="230">
        <v>0</v>
      </c>
      <c r="F589" s="230">
        <v>0</v>
      </c>
      <c r="G589" s="230">
        <v>0</v>
      </c>
      <c r="H589" s="230">
        <v>0</v>
      </c>
      <c r="I589" s="230">
        <v>0</v>
      </c>
      <c r="J589" s="230">
        <v>0</v>
      </c>
    </row>
    <row r="590" spans="1:10" s="225" customFormat="1">
      <c r="A590" s="222" t="s">
        <v>178</v>
      </c>
      <c r="B590" s="222" t="s">
        <v>124</v>
      </c>
      <c r="C590" s="223">
        <v>0.34583333333333299</v>
      </c>
      <c r="D590" s="230">
        <v>0</v>
      </c>
      <c r="E590" s="230">
        <v>0</v>
      </c>
      <c r="F590" s="230">
        <v>0</v>
      </c>
      <c r="G590" s="230">
        <v>0</v>
      </c>
      <c r="H590" s="230">
        <v>0</v>
      </c>
      <c r="I590" s="230">
        <v>0</v>
      </c>
      <c r="J590" s="230">
        <v>0</v>
      </c>
    </row>
    <row r="591" spans="1:10" s="225" customFormat="1">
      <c r="A591" s="222" t="s">
        <v>178</v>
      </c>
      <c r="B591" s="222" t="s">
        <v>124</v>
      </c>
      <c r="C591" s="223">
        <v>0.34652777777777799</v>
      </c>
      <c r="D591" s="230">
        <v>0</v>
      </c>
      <c r="E591" s="230">
        <v>0</v>
      </c>
      <c r="F591" s="230">
        <v>0</v>
      </c>
      <c r="G591" s="230">
        <v>0</v>
      </c>
      <c r="H591" s="230">
        <v>0</v>
      </c>
      <c r="I591" s="230">
        <v>0</v>
      </c>
      <c r="J591" s="230">
        <v>0</v>
      </c>
    </row>
    <row r="592" spans="1:10" s="225" customFormat="1">
      <c r="A592" s="222" t="s">
        <v>178</v>
      </c>
      <c r="B592" s="222" t="s">
        <v>124</v>
      </c>
      <c r="C592" s="223">
        <v>0.34722222222222199</v>
      </c>
      <c r="D592" s="230">
        <v>0</v>
      </c>
      <c r="E592" s="230">
        <v>0</v>
      </c>
      <c r="F592" s="230">
        <v>0</v>
      </c>
      <c r="G592" s="230">
        <v>0</v>
      </c>
      <c r="H592" s="230">
        <v>0</v>
      </c>
      <c r="I592" s="230">
        <v>0</v>
      </c>
      <c r="J592" s="230">
        <v>0</v>
      </c>
    </row>
    <row r="593" spans="1:10" s="225" customFormat="1">
      <c r="A593" s="222" t="s">
        <v>178</v>
      </c>
      <c r="B593" s="222" t="s">
        <v>124</v>
      </c>
      <c r="C593" s="223">
        <v>0.34791666666666599</v>
      </c>
      <c r="D593" s="230">
        <v>0</v>
      </c>
      <c r="E593" s="230">
        <v>0</v>
      </c>
      <c r="F593" s="230">
        <v>0</v>
      </c>
      <c r="G593" s="230">
        <v>0</v>
      </c>
      <c r="H593" s="230">
        <v>0</v>
      </c>
      <c r="I593" s="230">
        <v>0</v>
      </c>
      <c r="J593" s="230">
        <v>0</v>
      </c>
    </row>
    <row r="594" spans="1:10" s="225" customFormat="1">
      <c r="A594" s="222" t="s">
        <v>178</v>
      </c>
      <c r="B594" s="222" t="s">
        <v>124</v>
      </c>
      <c r="C594" s="223">
        <v>0.34861111111111098</v>
      </c>
      <c r="D594" s="230">
        <v>0</v>
      </c>
      <c r="E594" s="230">
        <v>0</v>
      </c>
      <c r="F594" s="230">
        <v>0</v>
      </c>
      <c r="G594" s="230">
        <v>0</v>
      </c>
      <c r="H594" s="230">
        <v>0</v>
      </c>
      <c r="I594" s="230">
        <v>0</v>
      </c>
      <c r="J594" s="230">
        <v>0</v>
      </c>
    </row>
    <row r="595" spans="1:10" s="225" customFormat="1">
      <c r="A595" s="222" t="s">
        <v>178</v>
      </c>
      <c r="B595" s="222" t="s">
        <v>124</v>
      </c>
      <c r="C595" s="223">
        <v>0.34930555555555498</v>
      </c>
      <c r="D595" s="230">
        <v>0</v>
      </c>
      <c r="E595" s="230">
        <v>0</v>
      </c>
      <c r="F595" s="230">
        <v>0</v>
      </c>
      <c r="G595" s="230">
        <v>0</v>
      </c>
      <c r="H595" s="230">
        <v>0</v>
      </c>
      <c r="I595" s="230">
        <v>0</v>
      </c>
      <c r="J595" s="230">
        <v>0</v>
      </c>
    </row>
    <row r="596" spans="1:10" s="225" customFormat="1">
      <c r="A596" s="222" t="s">
        <v>178</v>
      </c>
      <c r="B596" s="222" t="s">
        <v>124</v>
      </c>
      <c r="C596" s="223">
        <v>0.35</v>
      </c>
      <c r="D596" s="230">
        <v>0</v>
      </c>
      <c r="E596" s="230">
        <v>0</v>
      </c>
      <c r="F596" s="230">
        <v>0</v>
      </c>
      <c r="G596" s="230">
        <v>0</v>
      </c>
      <c r="H596" s="230">
        <v>0</v>
      </c>
      <c r="I596" s="230">
        <v>0</v>
      </c>
      <c r="J596" s="230">
        <v>0</v>
      </c>
    </row>
    <row r="597" spans="1:10" s="225" customFormat="1">
      <c r="A597" s="222" t="s">
        <v>178</v>
      </c>
      <c r="B597" s="222" t="s">
        <v>124</v>
      </c>
      <c r="C597" s="223">
        <v>0.35069444444444398</v>
      </c>
      <c r="D597" s="230">
        <v>0</v>
      </c>
      <c r="E597" s="230">
        <v>0</v>
      </c>
      <c r="F597" s="230">
        <v>0</v>
      </c>
      <c r="G597" s="230">
        <v>0</v>
      </c>
      <c r="H597" s="230">
        <v>0</v>
      </c>
      <c r="I597" s="230">
        <v>0</v>
      </c>
      <c r="J597" s="230">
        <v>0</v>
      </c>
    </row>
    <row r="598" spans="1:10" s="225" customFormat="1">
      <c r="A598" s="222" t="s">
        <v>178</v>
      </c>
      <c r="B598" s="222" t="s">
        <v>124</v>
      </c>
      <c r="C598" s="223">
        <v>0.35138888888888897</v>
      </c>
      <c r="D598" s="230">
        <v>0</v>
      </c>
      <c r="E598" s="230">
        <v>0</v>
      </c>
      <c r="F598" s="230">
        <v>0</v>
      </c>
      <c r="G598" s="230">
        <v>0</v>
      </c>
      <c r="H598" s="230">
        <v>0</v>
      </c>
      <c r="I598" s="230">
        <v>0</v>
      </c>
      <c r="J598" s="230">
        <v>0</v>
      </c>
    </row>
    <row r="599" spans="1:10" s="225" customFormat="1">
      <c r="A599" s="222" t="s">
        <v>178</v>
      </c>
      <c r="B599" s="222" t="s">
        <v>124</v>
      </c>
      <c r="C599" s="223">
        <v>0.35208333333333303</v>
      </c>
      <c r="D599" s="230">
        <v>0</v>
      </c>
      <c r="E599" s="230">
        <v>0</v>
      </c>
      <c r="F599" s="230">
        <v>0</v>
      </c>
      <c r="G599" s="230">
        <v>0</v>
      </c>
      <c r="H599" s="230">
        <v>0</v>
      </c>
      <c r="I599" s="230">
        <v>0</v>
      </c>
      <c r="J599" s="230">
        <v>0</v>
      </c>
    </row>
    <row r="600" spans="1:10" s="225" customFormat="1">
      <c r="A600" s="222" t="s">
        <v>178</v>
      </c>
      <c r="B600" s="222" t="s">
        <v>124</v>
      </c>
      <c r="C600" s="223">
        <v>0.35277777777777802</v>
      </c>
      <c r="D600" s="230">
        <v>0</v>
      </c>
      <c r="E600" s="230">
        <v>0</v>
      </c>
      <c r="F600" s="230">
        <v>0</v>
      </c>
      <c r="G600" s="230">
        <v>0</v>
      </c>
      <c r="H600" s="230">
        <v>0</v>
      </c>
      <c r="I600" s="230">
        <v>0</v>
      </c>
      <c r="J600" s="230">
        <v>0</v>
      </c>
    </row>
    <row r="601" spans="1:10" s="235" customFormat="1" ht="17.5" thickBot="1">
      <c r="A601" s="232" t="s">
        <v>178</v>
      </c>
      <c r="B601" s="232" t="s">
        <v>124</v>
      </c>
      <c r="C601" s="233">
        <v>0.35347222222222202</v>
      </c>
      <c r="D601" s="234">
        <v>0</v>
      </c>
      <c r="E601" s="234">
        <v>0</v>
      </c>
      <c r="F601" s="234">
        <v>0</v>
      </c>
      <c r="G601" s="234">
        <v>0</v>
      </c>
      <c r="H601" s="234">
        <v>0</v>
      </c>
      <c r="I601" s="234">
        <v>0</v>
      </c>
      <c r="J601" s="234">
        <v>0</v>
      </c>
    </row>
    <row r="602" spans="1:10" s="225" customFormat="1">
      <c r="A602" s="222" t="s">
        <v>178</v>
      </c>
      <c r="B602" s="222" t="s">
        <v>126</v>
      </c>
      <c r="C602" s="223">
        <v>0.27083333333333331</v>
      </c>
      <c r="D602" s="230">
        <v>0</v>
      </c>
      <c r="E602" s="230">
        <v>0</v>
      </c>
      <c r="F602" s="230">
        <v>0</v>
      </c>
      <c r="G602" s="230">
        <v>0</v>
      </c>
      <c r="H602" s="230">
        <v>0</v>
      </c>
      <c r="I602" s="230">
        <v>0</v>
      </c>
      <c r="J602" s="230">
        <v>0</v>
      </c>
    </row>
    <row r="603" spans="1:10" s="225" customFormat="1">
      <c r="A603" s="222" t="s">
        <v>178</v>
      </c>
      <c r="B603" s="222" t="s">
        <v>125</v>
      </c>
      <c r="C603" s="223">
        <v>0.27152777777777776</v>
      </c>
      <c r="D603" s="230">
        <v>0</v>
      </c>
      <c r="E603" s="230">
        <v>0</v>
      </c>
      <c r="F603" s="230">
        <v>0</v>
      </c>
      <c r="G603" s="230">
        <v>0</v>
      </c>
      <c r="H603" s="230">
        <v>0</v>
      </c>
      <c r="I603" s="230">
        <v>0</v>
      </c>
      <c r="J603" s="230">
        <v>0</v>
      </c>
    </row>
    <row r="604" spans="1:10" s="225" customFormat="1">
      <c r="A604" s="222" t="s">
        <v>178</v>
      </c>
      <c r="B604" s="222" t="s">
        <v>125</v>
      </c>
      <c r="C604" s="223">
        <v>0.27222222222222198</v>
      </c>
      <c r="D604" s="230">
        <v>0</v>
      </c>
      <c r="E604" s="230">
        <v>0</v>
      </c>
      <c r="F604" s="230">
        <v>0</v>
      </c>
      <c r="G604" s="230">
        <v>0</v>
      </c>
      <c r="H604" s="230">
        <v>0</v>
      </c>
      <c r="I604" s="230">
        <v>0</v>
      </c>
      <c r="J604" s="230">
        <v>0</v>
      </c>
    </row>
    <row r="605" spans="1:10" s="225" customFormat="1">
      <c r="A605" s="222" t="s">
        <v>178</v>
      </c>
      <c r="B605" s="222" t="s">
        <v>125</v>
      </c>
      <c r="C605" s="223">
        <v>0.27291666666666697</v>
      </c>
      <c r="D605" s="230">
        <v>0</v>
      </c>
      <c r="E605" s="230">
        <v>0</v>
      </c>
      <c r="F605" s="230">
        <v>0</v>
      </c>
      <c r="G605" s="230">
        <v>0</v>
      </c>
      <c r="H605" s="230">
        <v>0</v>
      </c>
      <c r="I605" s="230">
        <v>0</v>
      </c>
      <c r="J605" s="230">
        <v>0</v>
      </c>
    </row>
    <row r="606" spans="1:10" s="225" customFormat="1">
      <c r="A606" s="222" t="s">
        <v>178</v>
      </c>
      <c r="B606" s="222" t="s">
        <v>125</v>
      </c>
      <c r="C606" s="223">
        <v>0.27361111111111103</v>
      </c>
      <c r="D606" s="230">
        <v>0</v>
      </c>
      <c r="E606" s="230">
        <v>0</v>
      </c>
      <c r="F606" s="230">
        <v>0</v>
      </c>
      <c r="G606" s="230">
        <v>0</v>
      </c>
      <c r="H606" s="230">
        <v>0</v>
      </c>
      <c r="I606" s="230">
        <v>0</v>
      </c>
      <c r="J606" s="230">
        <v>0</v>
      </c>
    </row>
    <row r="607" spans="1:10" s="225" customFormat="1">
      <c r="A607" s="222" t="s">
        <v>178</v>
      </c>
      <c r="B607" s="222" t="s">
        <v>125</v>
      </c>
      <c r="C607" s="223">
        <v>0.27430555555555602</v>
      </c>
      <c r="D607" s="230">
        <v>0</v>
      </c>
      <c r="E607" s="230">
        <v>0</v>
      </c>
      <c r="F607" s="230">
        <v>0</v>
      </c>
      <c r="G607" s="230">
        <v>0</v>
      </c>
      <c r="H607" s="230">
        <v>0</v>
      </c>
      <c r="I607" s="230">
        <v>0</v>
      </c>
      <c r="J607" s="230">
        <v>0</v>
      </c>
    </row>
    <row r="608" spans="1:10" s="225" customFormat="1">
      <c r="A608" s="222" t="s">
        <v>178</v>
      </c>
      <c r="B608" s="222" t="s">
        <v>125</v>
      </c>
      <c r="C608" s="223">
        <v>0.27500000000000002</v>
      </c>
      <c r="D608" s="230">
        <v>0</v>
      </c>
      <c r="E608" s="230">
        <v>0</v>
      </c>
      <c r="F608" s="230">
        <v>0</v>
      </c>
      <c r="G608" s="230">
        <v>0</v>
      </c>
      <c r="H608" s="230">
        <v>0</v>
      </c>
      <c r="I608" s="230">
        <v>0</v>
      </c>
      <c r="J608" s="230">
        <v>0</v>
      </c>
    </row>
    <row r="609" spans="1:10" s="225" customFormat="1">
      <c r="A609" s="222" t="s">
        <v>178</v>
      </c>
      <c r="B609" s="222" t="s">
        <v>125</v>
      </c>
      <c r="C609" s="223">
        <v>0.27569444444444402</v>
      </c>
      <c r="D609" s="230">
        <v>0</v>
      </c>
      <c r="E609" s="230">
        <v>0</v>
      </c>
      <c r="F609" s="230">
        <v>0</v>
      </c>
      <c r="G609" s="230">
        <v>0</v>
      </c>
      <c r="H609" s="230">
        <v>0</v>
      </c>
      <c r="I609" s="230">
        <v>0</v>
      </c>
      <c r="J609" s="230">
        <v>0</v>
      </c>
    </row>
    <row r="610" spans="1:10" s="225" customFormat="1">
      <c r="A610" s="222" t="s">
        <v>178</v>
      </c>
      <c r="B610" s="222" t="s">
        <v>125</v>
      </c>
      <c r="C610" s="223">
        <v>0.27638888888888902</v>
      </c>
      <c r="D610" s="230">
        <v>0</v>
      </c>
      <c r="E610" s="230">
        <v>0</v>
      </c>
      <c r="F610" s="230">
        <v>0</v>
      </c>
      <c r="G610" s="230">
        <v>0</v>
      </c>
      <c r="H610" s="230">
        <v>0</v>
      </c>
      <c r="I610" s="230">
        <v>0</v>
      </c>
      <c r="J610" s="230">
        <v>0</v>
      </c>
    </row>
    <row r="611" spans="1:10" s="225" customFormat="1">
      <c r="A611" s="222" t="s">
        <v>178</v>
      </c>
      <c r="B611" s="222" t="s">
        <v>125</v>
      </c>
      <c r="C611" s="223">
        <v>0.27708333333333302</v>
      </c>
      <c r="D611" s="230">
        <v>0</v>
      </c>
      <c r="E611" s="230">
        <v>0</v>
      </c>
      <c r="F611" s="230">
        <v>0</v>
      </c>
      <c r="G611" s="230">
        <v>0</v>
      </c>
      <c r="H611" s="230">
        <v>0</v>
      </c>
      <c r="I611" s="230">
        <v>0</v>
      </c>
      <c r="J611" s="230">
        <v>0</v>
      </c>
    </row>
    <row r="612" spans="1:10" s="225" customFormat="1">
      <c r="A612" s="222" t="s">
        <v>178</v>
      </c>
      <c r="B612" s="222" t="s">
        <v>125</v>
      </c>
      <c r="C612" s="223">
        <v>0.27777777777777801</v>
      </c>
      <c r="D612" s="230">
        <v>0</v>
      </c>
      <c r="E612" s="230">
        <v>0</v>
      </c>
      <c r="F612" s="230">
        <v>0</v>
      </c>
      <c r="G612" s="230">
        <v>0</v>
      </c>
      <c r="H612" s="230">
        <v>0</v>
      </c>
      <c r="I612" s="230">
        <v>0</v>
      </c>
      <c r="J612" s="230">
        <v>0</v>
      </c>
    </row>
    <row r="613" spans="1:10" s="225" customFormat="1">
      <c r="A613" s="222" t="s">
        <v>178</v>
      </c>
      <c r="B613" s="222" t="s">
        <v>125</v>
      </c>
      <c r="C613" s="223">
        <v>0.27847222222222201</v>
      </c>
      <c r="D613" s="230">
        <v>0</v>
      </c>
      <c r="E613" s="230">
        <v>0</v>
      </c>
      <c r="F613" s="230">
        <v>0</v>
      </c>
      <c r="G613" s="230">
        <v>0</v>
      </c>
      <c r="H613" s="230">
        <v>0</v>
      </c>
      <c r="I613" s="230">
        <v>0</v>
      </c>
      <c r="J613" s="230">
        <v>0</v>
      </c>
    </row>
    <row r="614" spans="1:10" s="225" customFormat="1">
      <c r="A614" s="222" t="s">
        <v>178</v>
      </c>
      <c r="B614" s="222" t="s">
        <v>125</v>
      </c>
      <c r="C614" s="223">
        <v>0.27916666666666701</v>
      </c>
      <c r="D614" s="230">
        <v>0</v>
      </c>
      <c r="E614" s="230">
        <v>0</v>
      </c>
      <c r="F614" s="230">
        <v>0</v>
      </c>
      <c r="G614" s="230">
        <v>0</v>
      </c>
      <c r="H614" s="230">
        <v>0</v>
      </c>
      <c r="I614" s="230">
        <v>0</v>
      </c>
      <c r="J614" s="230">
        <v>0</v>
      </c>
    </row>
    <row r="615" spans="1:10" s="225" customFormat="1">
      <c r="A615" s="222" t="s">
        <v>178</v>
      </c>
      <c r="B615" s="222" t="s">
        <v>125</v>
      </c>
      <c r="C615" s="223">
        <v>0.27986111111111101</v>
      </c>
      <c r="D615" s="230">
        <v>0</v>
      </c>
      <c r="E615" s="230">
        <v>0</v>
      </c>
      <c r="F615" s="230">
        <v>0</v>
      </c>
      <c r="G615" s="230">
        <v>0</v>
      </c>
      <c r="H615" s="230">
        <v>0</v>
      </c>
      <c r="I615" s="230">
        <v>0</v>
      </c>
      <c r="J615" s="230">
        <v>0</v>
      </c>
    </row>
    <row r="616" spans="1:10" s="229" customFormat="1">
      <c r="A616" s="226" t="s">
        <v>178</v>
      </c>
      <c r="B616" s="226" t="s">
        <v>125</v>
      </c>
      <c r="C616" s="227">
        <v>0.280555555555556</v>
      </c>
      <c r="D616" s="231">
        <v>0</v>
      </c>
      <c r="E616" s="231">
        <v>0</v>
      </c>
      <c r="F616" s="231">
        <v>0</v>
      </c>
      <c r="G616" s="231">
        <v>0</v>
      </c>
      <c r="H616" s="231">
        <v>0</v>
      </c>
      <c r="I616" s="231">
        <v>0</v>
      </c>
      <c r="J616" s="231">
        <v>0</v>
      </c>
    </row>
    <row r="617" spans="1:10" s="225" customFormat="1">
      <c r="A617" s="222" t="s">
        <v>178</v>
      </c>
      <c r="B617" s="222" t="s">
        <v>125</v>
      </c>
      <c r="C617" s="223">
        <v>0.28125</v>
      </c>
      <c r="D617" s="230">
        <v>0</v>
      </c>
      <c r="E617" s="230">
        <v>0</v>
      </c>
      <c r="F617" s="230">
        <v>0</v>
      </c>
      <c r="G617" s="230">
        <v>0</v>
      </c>
      <c r="H617" s="230">
        <v>0</v>
      </c>
      <c r="I617" s="230">
        <v>0</v>
      </c>
      <c r="J617" s="230">
        <v>0</v>
      </c>
    </row>
    <row r="618" spans="1:10" s="225" customFormat="1">
      <c r="A618" s="222" t="s">
        <v>178</v>
      </c>
      <c r="B618" s="222" t="s">
        <v>125</v>
      </c>
      <c r="C618" s="223">
        <v>0.281944444444444</v>
      </c>
      <c r="D618" s="230">
        <v>0</v>
      </c>
      <c r="E618" s="230">
        <v>0</v>
      </c>
      <c r="F618" s="230">
        <v>0</v>
      </c>
      <c r="G618" s="230">
        <v>0</v>
      </c>
      <c r="H618" s="230">
        <v>0</v>
      </c>
      <c r="I618" s="230">
        <v>0</v>
      </c>
      <c r="J618" s="230">
        <v>0</v>
      </c>
    </row>
    <row r="619" spans="1:10" s="225" customFormat="1">
      <c r="A619" s="222" t="s">
        <v>178</v>
      </c>
      <c r="B619" s="222" t="s">
        <v>125</v>
      </c>
      <c r="C619" s="223">
        <v>0.28263888888888899</v>
      </c>
      <c r="D619" s="230">
        <v>0</v>
      </c>
      <c r="E619" s="230">
        <v>0</v>
      </c>
      <c r="F619" s="230">
        <v>0</v>
      </c>
      <c r="G619" s="230">
        <v>0</v>
      </c>
      <c r="H619" s="230">
        <v>0</v>
      </c>
      <c r="I619" s="230">
        <v>0</v>
      </c>
      <c r="J619" s="230">
        <v>0</v>
      </c>
    </row>
    <row r="620" spans="1:10" s="225" customFormat="1">
      <c r="A620" s="222" t="s">
        <v>178</v>
      </c>
      <c r="B620" s="222" t="s">
        <v>125</v>
      </c>
      <c r="C620" s="223">
        <v>0.28333333333333299</v>
      </c>
      <c r="D620" s="230">
        <v>0</v>
      </c>
      <c r="E620" s="230">
        <v>0</v>
      </c>
      <c r="F620" s="230">
        <v>0</v>
      </c>
      <c r="G620" s="230">
        <v>0</v>
      </c>
      <c r="H620" s="230">
        <v>0</v>
      </c>
      <c r="I620" s="230">
        <v>0</v>
      </c>
      <c r="J620" s="230">
        <v>0</v>
      </c>
    </row>
    <row r="621" spans="1:10" s="225" customFormat="1">
      <c r="A621" s="222" t="s">
        <v>178</v>
      </c>
      <c r="B621" s="222" t="s">
        <v>125</v>
      </c>
      <c r="C621" s="223">
        <v>0.28402777777777799</v>
      </c>
      <c r="D621" s="230">
        <v>0</v>
      </c>
      <c r="E621" s="230">
        <v>0</v>
      </c>
      <c r="F621" s="230">
        <v>0</v>
      </c>
      <c r="G621" s="230">
        <v>0</v>
      </c>
      <c r="H621" s="230">
        <v>0</v>
      </c>
      <c r="I621" s="230">
        <v>0</v>
      </c>
      <c r="J621" s="230">
        <v>0</v>
      </c>
    </row>
    <row r="622" spans="1:10" s="225" customFormat="1">
      <c r="A622" s="222" t="s">
        <v>178</v>
      </c>
      <c r="B622" s="222" t="s">
        <v>125</v>
      </c>
      <c r="C622" s="223">
        <v>0.28472222222222199</v>
      </c>
      <c r="D622" s="230">
        <v>0</v>
      </c>
      <c r="E622" s="230">
        <v>0</v>
      </c>
      <c r="F622" s="230">
        <v>0</v>
      </c>
      <c r="G622" s="230">
        <v>0</v>
      </c>
      <c r="H622" s="230">
        <v>0</v>
      </c>
      <c r="I622" s="230">
        <v>0</v>
      </c>
      <c r="J622" s="230">
        <v>0</v>
      </c>
    </row>
    <row r="623" spans="1:10" s="225" customFormat="1">
      <c r="A623" s="222" t="s">
        <v>178</v>
      </c>
      <c r="B623" s="222" t="s">
        <v>125</v>
      </c>
      <c r="C623" s="223">
        <v>0.28541666666666698</v>
      </c>
      <c r="D623" s="230">
        <v>0</v>
      </c>
      <c r="E623" s="230">
        <v>0</v>
      </c>
      <c r="F623" s="230">
        <v>0</v>
      </c>
      <c r="G623" s="230">
        <v>0</v>
      </c>
      <c r="H623" s="230">
        <v>0</v>
      </c>
      <c r="I623" s="230">
        <v>0</v>
      </c>
      <c r="J623" s="230">
        <v>0</v>
      </c>
    </row>
    <row r="624" spans="1:10" s="225" customFormat="1">
      <c r="A624" s="222" t="s">
        <v>178</v>
      </c>
      <c r="B624" s="222" t="s">
        <v>125</v>
      </c>
      <c r="C624" s="223">
        <v>0.28611111111111098</v>
      </c>
      <c r="D624" s="230">
        <v>0</v>
      </c>
      <c r="E624" s="230">
        <v>0</v>
      </c>
      <c r="F624" s="230">
        <v>0</v>
      </c>
      <c r="G624" s="230">
        <v>0</v>
      </c>
      <c r="H624" s="230">
        <v>0</v>
      </c>
      <c r="I624" s="230">
        <v>0</v>
      </c>
      <c r="J624" s="230">
        <v>0</v>
      </c>
    </row>
    <row r="625" spans="1:10" s="225" customFormat="1">
      <c r="A625" s="222" t="s">
        <v>178</v>
      </c>
      <c r="B625" s="222" t="s">
        <v>125</v>
      </c>
      <c r="C625" s="223">
        <v>0.28680555555555598</v>
      </c>
      <c r="D625" s="230">
        <v>0</v>
      </c>
      <c r="E625" s="230">
        <v>0</v>
      </c>
      <c r="F625" s="230">
        <v>0</v>
      </c>
      <c r="G625" s="230">
        <v>0</v>
      </c>
      <c r="H625" s="230">
        <v>0</v>
      </c>
      <c r="I625" s="230">
        <v>0</v>
      </c>
      <c r="J625" s="230">
        <v>0</v>
      </c>
    </row>
    <row r="626" spans="1:10" s="225" customFormat="1">
      <c r="A626" s="222" t="s">
        <v>178</v>
      </c>
      <c r="B626" s="222" t="s">
        <v>125</v>
      </c>
      <c r="C626" s="223">
        <v>0.28749999999999998</v>
      </c>
      <c r="D626" s="230">
        <v>0</v>
      </c>
      <c r="E626" s="230">
        <v>0</v>
      </c>
      <c r="F626" s="230">
        <v>0</v>
      </c>
      <c r="G626" s="230">
        <v>0</v>
      </c>
      <c r="H626" s="230">
        <v>0</v>
      </c>
      <c r="I626" s="230">
        <v>0</v>
      </c>
      <c r="J626" s="230">
        <v>0</v>
      </c>
    </row>
    <row r="627" spans="1:10" s="225" customFormat="1">
      <c r="A627" s="222" t="s">
        <v>178</v>
      </c>
      <c r="B627" s="222" t="s">
        <v>125</v>
      </c>
      <c r="C627" s="223">
        <v>0.28819444444444398</v>
      </c>
      <c r="D627" s="230">
        <v>0</v>
      </c>
      <c r="E627" s="230">
        <v>0</v>
      </c>
      <c r="F627" s="230">
        <v>0</v>
      </c>
      <c r="G627" s="230">
        <v>0</v>
      </c>
      <c r="H627" s="230">
        <v>0</v>
      </c>
      <c r="I627" s="230">
        <v>0</v>
      </c>
      <c r="J627" s="230">
        <v>0</v>
      </c>
    </row>
    <row r="628" spans="1:10" s="225" customFormat="1">
      <c r="A628" s="222" t="s">
        <v>178</v>
      </c>
      <c r="B628" s="222" t="s">
        <v>125</v>
      </c>
      <c r="C628" s="223">
        <v>0.28888888888888897</v>
      </c>
      <c r="D628" s="230">
        <v>0</v>
      </c>
      <c r="E628" s="230">
        <v>0</v>
      </c>
      <c r="F628" s="230">
        <v>0</v>
      </c>
      <c r="G628" s="230">
        <v>0</v>
      </c>
      <c r="H628" s="230">
        <v>0</v>
      </c>
      <c r="I628" s="230">
        <v>0</v>
      </c>
      <c r="J628" s="230">
        <v>0</v>
      </c>
    </row>
    <row r="629" spans="1:10" s="225" customFormat="1">
      <c r="A629" s="222" t="s">
        <v>178</v>
      </c>
      <c r="B629" s="222" t="s">
        <v>125</v>
      </c>
      <c r="C629" s="223">
        <v>0.28958333333333303</v>
      </c>
      <c r="D629" s="230">
        <v>0</v>
      </c>
      <c r="E629" s="230">
        <v>0</v>
      </c>
      <c r="F629" s="230">
        <v>0</v>
      </c>
      <c r="G629" s="230">
        <v>0</v>
      </c>
      <c r="H629" s="230">
        <v>0</v>
      </c>
      <c r="I629" s="230">
        <v>0</v>
      </c>
      <c r="J629" s="230">
        <v>0</v>
      </c>
    </row>
    <row r="630" spans="1:10" s="225" customFormat="1">
      <c r="A630" s="222" t="s">
        <v>178</v>
      </c>
      <c r="B630" s="222" t="s">
        <v>125</v>
      </c>
      <c r="C630" s="223">
        <v>0.29027777777777802</v>
      </c>
      <c r="D630" s="230">
        <v>0</v>
      </c>
      <c r="E630" s="230">
        <v>0</v>
      </c>
      <c r="F630" s="230">
        <v>0</v>
      </c>
      <c r="G630" s="230">
        <v>0</v>
      </c>
      <c r="H630" s="230">
        <v>0</v>
      </c>
      <c r="I630" s="230">
        <v>0</v>
      </c>
      <c r="J630" s="230">
        <v>0</v>
      </c>
    </row>
    <row r="631" spans="1:10" s="229" customFormat="1">
      <c r="A631" s="226" t="s">
        <v>178</v>
      </c>
      <c r="B631" s="226" t="s">
        <v>125</v>
      </c>
      <c r="C631" s="227">
        <v>0.29097222222222202</v>
      </c>
      <c r="D631" s="231">
        <v>0</v>
      </c>
      <c r="E631" s="231">
        <v>0</v>
      </c>
      <c r="F631" s="231">
        <v>0</v>
      </c>
      <c r="G631" s="231">
        <v>0</v>
      </c>
      <c r="H631" s="231">
        <v>0</v>
      </c>
      <c r="I631" s="231">
        <v>0</v>
      </c>
      <c r="J631" s="231">
        <v>0</v>
      </c>
    </row>
    <row r="632" spans="1:10" s="225" customFormat="1">
      <c r="A632" s="222" t="s">
        <v>178</v>
      </c>
      <c r="B632" s="222" t="s">
        <v>125</v>
      </c>
      <c r="C632" s="223">
        <v>0.29166666666666702</v>
      </c>
      <c r="D632" s="230">
        <v>0</v>
      </c>
      <c r="E632" s="230">
        <v>0</v>
      </c>
      <c r="F632" s="230">
        <v>0</v>
      </c>
      <c r="G632" s="230">
        <v>0</v>
      </c>
      <c r="H632" s="230">
        <v>0</v>
      </c>
      <c r="I632" s="230">
        <v>0</v>
      </c>
      <c r="J632" s="230">
        <v>0</v>
      </c>
    </row>
    <row r="633" spans="1:10" s="225" customFormat="1">
      <c r="A633" s="222" t="s">
        <v>178</v>
      </c>
      <c r="B633" s="222" t="s">
        <v>125</v>
      </c>
      <c r="C633" s="223">
        <v>0.29236111111111102</v>
      </c>
      <c r="D633" s="230">
        <v>0</v>
      </c>
      <c r="E633" s="230">
        <v>0</v>
      </c>
      <c r="F633" s="230">
        <v>0</v>
      </c>
      <c r="G633" s="230">
        <v>0</v>
      </c>
      <c r="H633" s="230">
        <v>0</v>
      </c>
      <c r="I633" s="230">
        <v>0</v>
      </c>
      <c r="J633" s="230">
        <v>0</v>
      </c>
    </row>
    <row r="634" spans="1:10" s="225" customFormat="1">
      <c r="A634" s="222" t="s">
        <v>178</v>
      </c>
      <c r="B634" s="222" t="s">
        <v>125</v>
      </c>
      <c r="C634" s="223">
        <v>0.29305555555555501</v>
      </c>
      <c r="D634" s="230">
        <v>0</v>
      </c>
      <c r="E634" s="230">
        <v>0</v>
      </c>
      <c r="F634" s="230">
        <v>0</v>
      </c>
      <c r="G634" s="230">
        <v>0</v>
      </c>
      <c r="H634" s="230">
        <v>0</v>
      </c>
      <c r="I634" s="230">
        <v>0</v>
      </c>
      <c r="J634" s="230">
        <v>0</v>
      </c>
    </row>
    <row r="635" spans="1:10" s="225" customFormat="1">
      <c r="A635" s="222" t="s">
        <v>178</v>
      </c>
      <c r="B635" s="222" t="s">
        <v>125</v>
      </c>
      <c r="C635" s="223">
        <v>0.29375000000000001</v>
      </c>
      <c r="D635" s="230">
        <v>0</v>
      </c>
      <c r="E635" s="230">
        <v>0</v>
      </c>
      <c r="F635" s="230">
        <v>0</v>
      </c>
      <c r="G635" s="230">
        <v>0</v>
      </c>
      <c r="H635" s="230">
        <v>0</v>
      </c>
      <c r="I635" s="230">
        <v>0</v>
      </c>
      <c r="J635" s="230">
        <v>0</v>
      </c>
    </row>
    <row r="636" spans="1:10" s="225" customFormat="1">
      <c r="A636" s="222" t="s">
        <v>178</v>
      </c>
      <c r="B636" s="222" t="s">
        <v>125</v>
      </c>
      <c r="C636" s="223">
        <v>0.29444444444444401</v>
      </c>
      <c r="D636" s="230">
        <v>0</v>
      </c>
      <c r="E636" s="230">
        <v>0</v>
      </c>
      <c r="F636" s="230">
        <v>0</v>
      </c>
      <c r="G636" s="230">
        <v>0</v>
      </c>
      <c r="H636" s="230">
        <v>0</v>
      </c>
      <c r="I636" s="230">
        <v>0</v>
      </c>
      <c r="J636" s="230">
        <v>0</v>
      </c>
    </row>
    <row r="637" spans="1:10" s="225" customFormat="1">
      <c r="A637" s="222" t="s">
        <v>178</v>
      </c>
      <c r="B637" s="222" t="s">
        <v>125</v>
      </c>
      <c r="C637" s="223">
        <v>0.29513888888888901</v>
      </c>
      <c r="D637" s="230">
        <v>0</v>
      </c>
      <c r="E637" s="230">
        <v>0</v>
      </c>
      <c r="F637" s="230">
        <v>0</v>
      </c>
      <c r="G637" s="230">
        <v>0</v>
      </c>
      <c r="H637" s="230">
        <v>0</v>
      </c>
      <c r="I637" s="230">
        <v>0</v>
      </c>
      <c r="J637" s="230">
        <v>0</v>
      </c>
    </row>
    <row r="638" spans="1:10" s="225" customFormat="1">
      <c r="A638" s="222" t="s">
        <v>178</v>
      </c>
      <c r="B638" s="222" t="s">
        <v>125</v>
      </c>
      <c r="C638" s="223">
        <v>0.295833333333333</v>
      </c>
      <c r="D638" s="230">
        <v>0</v>
      </c>
      <c r="E638" s="230">
        <v>0</v>
      </c>
      <c r="F638" s="230">
        <v>0</v>
      </c>
      <c r="G638" s="230">
        <v>0</v>
      </c>
      <c r="H638" s="230">
        <v>0</v>
      </c>
      <c r="I638" s="230">
        <v>0</v>
      </c>
      <c r="J638" s="230">
        <v>0</v>
      </c>
    </row>
    <row r="639" spans="1:10" s="225" customFormat="1">
      <c r="A639" s="222" t="s">
        <v>178</v>
      </c>
      <c r="B639" s="222" t="s">
        <v>125</v>
      </c>
      <c r="C639" s="223">
        <v>0.296527777777778</v>
      </c>
      <c r="D639" s="230">
        <v>0</v>
      </c>
      <c r="E639" s="230">
        <v>0</v>
      </c>
      <c r="F639" s="230">
        <v>0</v>
      </c>
      <c r="G639" s="230">
        <v>0</v>
      </c>
      <c r="H639" s="230">
        <v>0</v>
      </c>
      <c r="I639" s="230">
        <v>0</v>
      </c>
      <c r="J639" s="230">
        <v>0</v>
      </c>
    </row>
    <row r="640" spans="1:10" s="225" customFormat="1">
      <c r="A640" s="222" t="s">
        <v>178</v>
      </c>
      <c r="B640" s="222" t="s">
        <v>125</v>
      </c>
      <c r="C640" s="223">
        <v>0.297222222222222</v>
      </c>
      <c r="D640" s="230">
        <v>0</v>
      </c>
      <c r="E640" s="230">
        <v>0</v>
      </c>
      <c r="F640" s="230">
        <v>0</v>
      </c>
      <c r="G640" s="230">
        <v>0</v>
      </c>
      <c r="H640" s="230">
        <v>0</v>
      </c>
      <c r="I640" s="230">
        <v>0</v>
      </c>
      <c r="J640" s="230">
        <v>0</v>
      </c>
    </row>
    <row r="641" spans="1:10" s="225" customFormat="1">
      <c r="A641" s="222" t="s">
        <v>178</v>
      </c>
      <c r="B641" s="222" t="s">
        <v>125</v>
      </c>
      <c r="C641" s="223">
        <v>0.297916666666666</v>
      </c>
      <c r="D641" s="230">
        <v>0</v>
      </c>
      <c r="E641" s="230">
        <v>0</v>
      </c>
      <c r="F641" s="230">
        <v>0</v>
      </c>
      <c r="G641" s="230">
        <v>0</v>
      </c>
      <c r="H641" s="230">
        <v>0</v>
      </c>
      <c r="I641" s="230">
        <v>0</v>
      </c>
      <c r="J641" s="230">
        <v>0</v>
      </c>
    </row>
    <row r="642" spans="1:10" s="225" customFormat="1">
      <c r="A642" s="222" t="s">
        <v>178</v>
      </c>
      <c r="B642" s="222" t="s">
        <v>125</v>
      </c>
      <c r="C642" s="223">
        <v>0.29861111111111099</v>
      </c>
      <c r="D642" s="230">
        <v>0</v>
      </c>
      <c r="E642" s="230">
        <v>0</v>
      </c>
      <c r="F642" s="230">
        <v>0</v>
      </c>
      <c r="G642" s="230">
        <v>0</v>
      </c>
      <c r="H642" s="230">
        <v>0</v>
      </c>
      <c r="I642" s="230">
        <v>0</v>
      </c>
      <c r="J642" s="230">
        <v>0</v>
      </c>
    </row>
    <row r="643" spans="1:10" s="225" customFormat="1">
      <c r="A643" s="222" t="s">
        <v>178</v>
      </c>
      <c r="B643" s="222" t="s">
        <v>125</v>
      </c>
      <c r="C643" s="223">
        <v>0.29930555555555499</v>
      </c>
      <c r="D643" s="230">
        <v>0</v>
      </c>
      <c r="E643" s="230">
        <v>0</v>
      </c>
      <c r="F643" s="230">
        <v>0</v>
      </c>
      <c r="G643" s="230">
        <v>0</v>
      </c>
      <c r="H643" s="230">
        <v>0</v>
      </c>
      <c r="I643" s="230">
        <v>0</v>
      </c>
      <c r="J643" s="230">
        <v>0</v>
      </c>
    </row>
    <row r="644" spans="1:10" s="225" customFormat="1">
      <c r="A644" s="222" t="s">
        <v>178</v>
      </c>
      <c r="B644" s="222" t="s">
        <v>125</v>
      </c>
      <c r="C644" s="223">
        <v>0.3</v>
      </c>
      <c r="D644" s="230">
        <v>0</v>
      </c>
      <c r="E644" s="230">
        <v>0</v>
      </c>
      <c r="F644" s="230">
        <v>0</v>
      </c>
      <c r="G644" s="230">
        <v>0</v>
      </c>
      <c r="H644" s="230">
        <v>0</v>
      </c>
      <c r="I644" s="230">
        <v>0</v>
      </c>
      <c r="J644" s="230">
        <v>0</v>
      </c>
    </row>
    <row r="645" spans="1:10" s="225" customFormat="1">
      <c r="A645" s="222" t="s">
        <v>178</v>
      </c>
      <c r="B645" s="222" t="s">
        <v>125</v>
      </c>
      <c r="C645" s="223">
        <v>0.30069444444444399</v>
      </c>
      <c r="D645" s="230">
        <v>0</v>
      </c>
      <c r="E645" s="230">
        <v>0</v>
      </c>
      <c r="F645" s="230">
        <v>0</v>
      </c>
      <c r="G645" s="230">
        <v>0</v>
      </c>
      <c r="H645" s="230">
        <v>0</v>
      </c>
      <c r="I645" s="230">
        <v>0</v>
      </c>
      <c r="J645" s="230">
        <v>0</v>
      </c>
    </row>
    <row r="646" spans="1:10" s="229" customFormat="1">
      <c r="A646" s="226" t="s">
        <v>178</v>
      </c>
      <c r="B646" s="226" t="s">
        <v>125</v>
      </c>
      <c r="C646" s="227">
        <v>0.30138888888888898</v>
      </c>
      <c r="D646" s="231">
        <v>0</v>
      </c>
      <c r="E646" s="231">
        <v>0</v>
      </c>
      <c r="F646" s="231">
        <v>0</v>
      </c>
      <c r="G646" s="231">
        <v>0</v>
      </c>
      <c r="H646" s="231">
        <v>0</v>
      </c>
      <c r="I646" s="231">
        <v>0</v>
      </c>
      <c r="J646" s="231">
        <v>0</v>
      </c>
    </row>
    <row r="647" spans="1:10" s="225" customFormat="1">
      <c r="A647" s="222" t="s">
        <v>178</v>
      </c>
      <c r="B647" s="222" t="s">
        <v>125</v>
      </c>
      <c r="C647" s="223">
        <v>0.30208333333333298</v>
      </c>
      <c r="D647" s="230">
        <v>0</v>
      </c>
      <c r="E647" s="230">
        <v>0</v>
      </c>
      <c r="F647" s="230">
        <v>0</v>
      </c>
      <c r="G647" s="230">
        <v>0</v>
      </c>
      <c r="H647" s="230">
        <v>0</v>
      </c>
      <c r="I647" s="230">
        <v>0</v>
      </c>
      <c r="J647" s="230">
        <v>0</v>
      </c>
    </row>
    <row r="648" spans="1:10" s="225" customFormat="1">
      <c r="A648" s="222" t="s">
        <v>178</v>
      </c>
      <c r="B648" s="222" t="s">
        <v>125</v>
      </c>
      <c r="C648" s="223">
        <v>0.30277777777777798</v>
      </c>
      <c r="D648" s="230">
        <v>0</v>
      </c>
      <c r="E648" s="230">
        <v>0</v>
      </c>
      <c r="F648" s="230">
        <v>0</v>
      </c>
      <c r="G648" s="230">
        <v>0</v>
      </c>
      <c r="H648" s="230">
        <v>0</v>
      </c>
      <c r="I648" s="230">
        <v>0</v>
      </c>
      <c r="J648" s="230">
        <v>0</v>
      </c>
    </row>
    <row r="649" spans="1:10" s="225" customFormat="1">
      <c r="A649" s="222" t="s">
        <v>178</v>
      </c>
      <c r="B649" s="222" t="s">
        <v>125</v>
      </c>
      <c r="C649" s="223">
        <v>0.30347222222222198</v>
      </c>
      <c r="D649" s="230">
        <v>0</v>
      </c>
      <c r="E649" s="230">
        <v>0</v>
      </c>
      <c r="F649" s="230">
        <v>0</v>
      </c>
      <c r="G649" s="230">
        <v>0</v>
      </c>
      <c r="H649" s="230">
        <v>0</v>
      </c>
      <c r="I649" s="230">
        <v>0</v>
      </c>
      <c r="J649" s="230">
        <v>0</v>
      </c>
    </row>
    <row r="650" spans="1:10" s="225" customFormat="1">
      <c r="A650" s="222" t="s">
        <v>178</v>
      </c>
      <c r="B650" s="222" t="s">
        <v>125</v>
      </c>
      <c r="C650" s="223">
        <v>0.30416666666666697</v>
      </c>
      <c r="D650" s="230">
        <v>0</v>
      </c>
      <c r="E650" s="230">
        <v>0</v>
      </c>
      <c r="F650" s="230">
        <v>0</v>
      </c>
      <c r="G650" s="230">
        <v>0</v>
      </c>
      <c r="H650" s="230">
        <v>0</v>
      </c>
      <c r="I650" s="230">
        <v>0</v>
      </c>
      <c r="J650" s="230">
        <v>0</v>
      </c>
    </row>
    <row r="651" spans="1:10" s="225" customFormat="1">
      <c r="A651" s="222" t="s">
        <v>178</v>
      </c>
      <c r="B651" s="222" t="s">
        <v>125</v>
      </c>
      <c r="C651" s="223">
        <v>0.30486111111111103</v>
      </c>
      <c r="D651" s="230">
        <v>0</v>
      </c>
      <c r="E651" s="230">
        <v>0</v>
      </c>
      <c r="F651" s="230">
        <v>0</v>
      </c>
      <c r="G651" s="230">
        <v>0</v>
      </c>
      <c r="H651" s="230">
        <v>0</v>
      </c>
      <c r="I651" s="230">
        <v>0</v>
      </c>
      <c r="J651" s="230">
        <v>0</v>
      </c>
    </row>
    <row r="652" spans="1:10" s="225" customFormat="1">
      <c r="A652" s="222" t="s">
        <v>178</v>
      </c>
      <c r="B652" s="222" t="s">
        <v>125</v>
      </c>
      <c r="C652" s="223">
        <v>0.30555555555555503</v>
      </c>
      <c r="D652" s="230">
        <v>0</v>
      </c>
      <c r="E652" s="230">
        <v>0</v>
      </c>
      <c r="F652" s="230">
        <v>0</v>
      </c>
      <c r="G652" s="230">
        <v>0</v>
      </c>
      <c r="H652" s="230">
        <v>0</v>
      </c>
      <c r="I652" s="230">
        <v>0</v>
      </c>
      <c r="J652" s="230">
        <v>0</v>
      </c>
    </row>
    <row r="653" spans="1:10" s="225" customFormat="1">
      <c r="A653" s="222" t="s">
        <v>178</v>
      </c>
      <c r="B653" s="222" t="s">
        <v>125</v>
      </c>
      <c r="C653" s="223">
        <v>0.30625000000000002</v>
      </c>
      <c r="D653" s="230">
        <v>0</v>
      </c>
      <c r="E653" s="230">
        <v>0</v>
      </c>
      <c r="F653" s="230">
        <v>0</v>
      </c>
      <c r="G653" s="230">
        <v>0</v>
      </c>
      <c r="H653" s="230">
        <v>0</v>
      </c>
      <c r="I653" s="230">
        <v>0</v>
      </c>
      <c r="J653" s="230">
        <v>0</v>
      </c>
    </row>
    <row r="654" spans="1:10" s="225" customFormat="1">
      <c r="A654" s="222" t="s">
        <v>178</v>
      </c>
      <c r="B654" s="222" t="s">
        <v>125</v>
      </c>
      <c r="C654" s="223">
        <v>0.30694444444444402</v>
      </c>
      <c r="D654" s="230">
        <v>0</v>
      </c>
      <c r="E654" s="230">
        <v>0</v>
      </c>
      <c r="F654" s="230">
        <v>0</v>
      </c>
      <c r="G654" s="230">
        <v>0</v>
      </c>
      <c r="H654" s="230">
        <v>0</v>
      </c>
      <c r="I654" s="230">
        <v>0</v>
      </c>
      <c r="J654" s="230">
        <v>0</v>
      </c>
    </row>
    <row r="655" spans="1:10" s="225" customFormat="1">
      <c r="A655" s="222" t="s">
        <v>178</v>
      </c>
      <c r="B655" s="222" t="s">
        <v>125</v>
      </c>
      <c r="C655" s="223">
        <v>0.30763888888888902</v>
      </c>
      <c r="D655" s="230">
        <v>0</v>
      </c>
      <c r="E655" s="230">
        <v>0</v>
      </c>
      <c r="F655" s="230">
        <v>0</v>
      </c>
      <c r="G655" s="230">
        <v>0</v>
      </c>
      <c r="H655" s="230">
        <v>0</v>
      </c>
      <c r="I655" s="230">
        <v>0</v>
      </c>
      <c r="J655" s="230">
        <v>0</v>
      </c>
    </row>
    <row r="656" spans="1:10" s="225" customFormat="1">
      <c r="A656" s="222" t="s">
        <v>178</v>
      </c>
      <c r="B656" s="222" t="s">
        <v>125</v>
      </c>
      <c r="C656" s="223">
        <v>0.30833333333333302</v>
      </c>
      <c r="D656" s="230">
        <v>0</v>
      </c>
      <c r="E656" s="230">
        <v>0</v>
      </c>
      <c r="F656" s="230">
        <v>0</v>
      </c>
      <c r="G656" s="230">
        <v>0</v>
      </c>
      <c r="H656" s="230">
        <v>0</v>
      </c>
      <c r="I656" s="230">
        <v>0</v>
      </c>
      <c r="J656" s="230">
        <v>0</v>
      </c>
    </row>
    <row r="657" spans="1:10" s="225" customFormat="1">
      <c r="A657" s="222" t="s">
        <v>178</v>
      </c>
      <c r="B657" s="222" t="s">
        <v>125</v>
      </c>
      <c r="C657" s="223">
        <v>0.30902777777777801</v>
      </c>
      <c r="D657" s="230">
        <v>0</v>
      </c>
      <c r="E657" s="230">
        <v>0</v>
      </c>
      <c r="F657" s="230">
        <v>0</v>
      </c>
      <c r="G657" s="230">
        <v>0</v>
      </c>
      <c r="H657" s="230">
        <v>0</v>
      </c>
      <c r="I657" s="230">
        <v>0</v>
      </c>
      <c r="J657" s="230">
        <v>0</v>
      </c>
    </row>
    <row r="658" spans="1:10" s="225" customFormat="1">
      <c r="A658" s="222" t="s">
        <v>178</v>
      </c>
      <c r="B658" s="222" t="s">
        <v>125</v>
      </c>
      <c r="C658" s="223">
        <v>0.30972222222222201</v>
      </c>
      <c r="D658" s="230">
        <v>0</v>
      </c>
      <c r="E658" s="230">
        <v>0</v>
      </c>
      <c r="F658" s="230">
        <v>0</v>
      </c>
      <c r="G658" s="230">
        <v>0</v>
      </c>
      <c r="H658" s="230">
        <v>0</v>
      </c>
      <c r="I658" s="230">
        <v>0</v>
      </c>
      <c r="J658" s="230">
        <v>0</v>
      </c>
    </row>
    <row r="659" spans="1:10" s="225" customFormat="1">
      <c r="A659" s="222" t="s">
        <v>178</v>
      </c>
      <c r="B659" s="222" t="s">
        <v>125</v>
      </c>
      <c r="C659" s="223">
        <v>0.31041666666666701</v>
      </c>
      <c r="D659" s="230">
        <v>0</v>
      </c>
      <c r="E659" s="230">
        <v>0</v>
      </c>
      <c r="F659" s="230">
        <v>0</v>
      </c>
      <c r="G659" s="230">
        <v>0</v>
      </c>
      <c r="H659" s="230">
        <v>0</v>
      </c>
      <c r="I659" s="230">
        <v>0</v>
      </c>
      <c r="J659" s="230">
        <v>0</v>
      </c>
    </row>
    <row r="660" spans="1:10" s="225" customFormat="1">
      <c r="A660" s="222" t="s">
        <v>178</v>
      </c>
      <c r="B660" s="222" t="s">
        <v>125</v>
      </c>
      <c r="C660" s="223">
        <v>0.31111111111111101</v>
      </c>
      <c r="D660" s="230">
        <v>0</v>
      </c>
      <c r="E660" s="230">
        <v>0</v>
      </c>
      <c r="F660" s="230">
        <v>0</v>
      </c>
      <c r="G660" s="230">
        <v>0</v>
      </c>
      <c r="H660" s="230">
        <v>0</v>
      </c>
      <c r="I660" s="230">
        <v>0</v>
      </c>
      <c r="J660" s="230">
        <v>0</v>
      </c>
    </row>
    <row r="661" spans="1:10" s="229" customFormat="1">
      <c r="A661" s="226" t="s">
        <v>178</v>
      </c>
      <c r="B661" s="226" t="s">
        <v>125</v>
      </c>
      <c r="C661" s="227">
        <v>0.311805555555555</v>
      </c>
      <c r="D661" s="231">
        <v>0</v>
      </c>
      <c r="E661" s="231">
        <v>0</v>
      </c>
      <c r="F661" s="231">
        <v>0</v>
      </c>
      <c r="G661" s="231">
        <v>0</v>
      </c>
      <c r="H661" s="231">
        <v>0</v>
      </c>
      <c r="I661" s="231">
        <v>0</v>
      </c>
      <c r="J661" s="231">
        <v>0</v>
      </c>
    </row>
    <row r="662" spans="1:10" s="225" customFormat="1">
      <c r="A662" s="222" t="s">
        <v>178</v>
      </c>
      <c r="B662" s="222" t="s">
        <v>125</v>
      </c>
      <c r="C662" s="223">
        <v>0.3125</v>
      </c>
      <c r="D662" s="230">
        <v>0</v>
      </c>
      <c r="E662" s="230">
        <v>0</v>
      </c>
      <c r="F662" s="230">
        <v>0</v>
      </c>
      <c r="G662" s="230">
        <v>0</v>
      </c>
      <c r="H662" s="230">
        <v>0</v>
      </c>
      <c r="I662" s="230">
        <v>0</v>
      </c>
      <c r="J662" s="230">
        <v>0</v>
      </c>
    </row>
    <row r="663" spans="1:10" s="225" customFormat="1">
      <c r="A663" s="222" t="s">
        <v>178</v>
      </c>
      <c r="B663" s="222" t="s">
        <v>125</v>
      </c>
      <c r="C663" s="223">
        <v>0.313194444444444</v>
      </c>
      <c r="D663" s="230">
        <v>0</v>
      </c>
      <c r="E663" s="230">
        <v>0</v>
      </c>
      <c r="F663" s="230">
        <v>0</v>
      </c>
      <c r="G663" s="230">
        <v>0</v>
      </c>
      <c r="H663" s="230">
        <v>0</v>
      </c>
      <c r="I663" s="230">
        <v>0</v>
      </c>
      <c r="J663" s="230">
        <v>0</v>
      </c>
    </row>
    <row r="664" spans="1:10" s="225" customFormat="1">
      <c r="A664" s="222" t="s">
        <v>178</v>
      </c>
      <c r="B664" s="222" t="s">
        <v>125</v>
      </c>
      <c r="C664" s="223">
        <v>0.31388888888888899</v>
      </c>
      <c r="D664" s="230">
        <v>0</v>
      </c>
      <c r="E664" s="230">
        <v>0</v>
      </c>
      <c r="F664" s="230">
        <v>0</v>
      </c>
      <c r="G664" s="230">
        <v>0</v>
      </c>
      <c r="H664" s="230">
        <v>0</v>
      </c>
      <c r="I664" s="230">
        <v>0</v>
      </c>
      <c r="J664" s="230">
        <v>0</v>
      </c>
    </row>
    <row r="665" spans="1:10" s="225" customFormat="1">
      <c r="A665" s="222" t="s">
        <v>178</v>
      </c>
      <c r="B665" s="222" t="s">
        <v>125</v>
      </c>
      <c r="C665" s="223">
        <v>0.31458333333333299</v>
      </c>
      <c r="D665" s="230">
        <v>0</v>
      </c>
      <c r="E665" s="230">
        <v>0</v>
      </c>
      <c r="F665" s="230">
        <v>0</v>
      </c>
      <c r="G665" s="230">
        <v>0</v>
      </c>
      <c r="H665" s="230">
        <v>0</v>
      </c>
      <c r="I665" s="230">
        <v>0</v>
      </c>
      <c r="J665" s="230">
        <v>0</v>
      </c>
    </row>
    <row r="666" spans="1:10" s="225" customFormat="1">
      <c r="A666" s="222" t="s">
        <v>178</v>
      </c>
      <c r="B666" s="222" t="s">
        <v>125</v>
      </c>
      <c r="C666" s="223">
        <v>0.31527777777777799</v>
      </c>
      <c r="D666" s="230">
        <v>0</v>
      </c>
      <c r="E666" s="230">
        <v>0</v>
      </c>
      <c r="F666" s="230">
        <v>0</v>
      </c>
      <c r="G666" s="230">
        <v>0</v>
      </c>
      <c r="H666" s="230">
        <v>0</v>
      </c>
      <c r="I666" s="230">
        <v>0</v>
      </c>
      <c r="J666" s="230">
        <v>0</v>
      </c>
    </row>
    <row r="667" spans="1:10" s="225" customFormat="1">
      <c r="A667" s="222" t="s">
        <v>178</v>
      </c>
      <c r="B667" s="222" t="s">
        <v>125</v>
      </c>
      <c r="C667" s="223">
        <v>0.31597222222222199</v>
      </c>
      <c r="D667" s="230">
        <v>0</v>
      </c>
      <c r="E667" s="230">
        <v>0</v>
      </c>
      <c r="F667" s="230">
        <v>0</v>
      </c>
      <c r="G667" s="230">
        <v>0</v>
      </c>
      <c r="H667" s="230">
        <v>0</v>
      </c>
      <c r="I667" s="230">
        <v>0</v>
      </c>
      <c r="J667" s="230">
        <v>0</v>
      </c>
    </row>
    <row r="668" spans="1:10" s="225" customFormat="1">
      <c r="A668" s="222" t="s">
        <v>178</v>
      </c>
      <c r="B668" s="222" t="s">
        <v>125</v>
      </c>
      <c r="C668" s="223">
        <v>0.31666666666666698</v>
      </c>
      <c r="D668" s="230">
        <v>0</v>
      </c>
      <c r="E668" s="230">
        <v>0</v>
      </c>
      <c r="F668" s="230">
        <v>0</v>
      </c>
      <c r="G668" s="230">
        <v>0</v>
      </c>
      <c r="H668" s="230">
        <v>0</v>
      </c>
      <c r="I668" s="230">
        <v>0</v>
      </c>
      <c r="J668" s="230">
        <v>0</v>
      </c>
    </row>
    <row r="669" spans="1:10" s="225" customFormat="1">
      <c r="A669" s="222" t="s">
        <v>178</v>
      </c>
      <c r="B669" s="222" t="s">
        <v>125</v>
      </c>
      <c r="C669" s="223">
        <v>0.31736111111111098</v>
      </c>
      <c r="D669" s="230">
        <v>0</v>
      </c>
      <c r="E669" s="230">
        <v>0</v>
      </c>
      <c r="F669" s="230">
        <v>0</v>
      </c>
      <c r="G669" s="230">
        <v>0</v>
      </c>
      <c r="H669" s="230">
        <v>0</v>
      </c>
      <c r="I669" s="230">
        <v>0</v>
      </c>
      <c r="J669" s="230">
        <v>0</v>
      </c>
    </row>
    <row r="670" spans="1:10" s="225" customFormat="1">
      <c r="A670" s="222" t="s">
        <v>178</v>
      </c>
      <c r="B670" s="222" t="s">
        <v>125</v>
      </c>
      <c r="C670" s="223">
        <v>0.31805555555555498</v>
      </c>
      <c r="D670" s="230">
        <v>0</v>
      </c>
      <c r="E670" s="230">
        <v>0</v>
      </c>
      <c r="F670" s="230">
        <v>0</v>
      </c>
      <c r="G670" s="230">
        <v>0</v>
      </c>
      <c r="H670" s="230">
        <v>0</v>
      </c>
      <c r="I670" s="230">
        <v>0</v>
      </c>
      <c r="J670" s="230">
        <v>0</v>
      </c>
    </row>
    <row r="671" spans="1:10" s="225" customFormat="1">
      <c r="A671" s="222" t="s">
        <v>178</v>
      </c>
      <c r="B671" s="222" t="s">
        <v>125</v>
      </c>
      <c r="C671" s="223">
        <v>0.31874999999999998</v>
      </c>
      <c r="D671" s="230">
        <v>0</v>
      </c>
      <c r="E671" s="230">
        <v>0</v>
      </c>
      <c r="F671" s="230">
        <v>0</v>
      </c>
      <c r="G671" s="230">
        <v>0</v>
      </c>
      <c r="H671" s="230">
        <v>0</v>
      </c>
      <c r="I671" s="230">
        <v>0</v>
      </c>
      <c r="J671" s="230">
        <v>0</v>
      </c>
    </row>
    <row r="672" spans="1:10" s="225" customFormat="1">
      <c r="A672" s="222" t="s">
        <v>178</v>
      </c>
      <c r="B672" s="222" t="s">
        <v>125</v>
      </c>
      <c r="C672" s="223">
        <v>0.31944444444444398</v>
      </c>
      <c r="D672" s="230">
        <v>0</v>
      </c>
      <c r="E672" s="230">
        <v>0</v>
      </c>
      <c r="F672" s="230">
        <v>0</v>
      </c>
      <c r="G672" s="230">
        <v>0</v>
      </c>
      <c r="H672" s="230">
        <v>0</v>
      </c>
      <c r="I672" s="230">
        <v>0</v>
      </c>
      <c r="J672" s="230">
        <v>0</v>
      </c>
    </row>
    <row r="673" spans="1:10" s="225" customFormat="1">
      <c r="A673" s="222" t="s">
        <v>178</v>
      </c>
      <c r="B673" s="222" t="s">
        <v>125</v>
      </c>
      <c r="C673" s="223">
        <v>0.32013888888888897</v>
      </c>
      <c r="D673" s="230">
        <v>0</v>
      </c>
      <c r="E673" s="230">
        <v>0</v>
      </c>
      <c r="F673" s="230">
        <v>0</v>
      </c>
      <c r="G673" s="230">
        <v>0</v>
      </c>
      <c r="H673" s="230">
        <v>0</v>
      </c>
      <c r="I673" s="230">
        <v>0</v>
      </c>
      <c r="J673" s="230">
        <v>0</v>
      </c>
    </row>
    <row r="674" spans="1:10" s="225" customFormat="1">
      <c r="A674" s="222" t="s">
        <v>178</v>
      </c>
      <c r="B674" s="222" t="s">
        <v>125</v>
      </c>
      <c r="C674" s="223">
        <v>0.32083333333333303</v>
      </c>
      <c r="D674" s="230">
        <v>0</v>
      </c>
      <c r="E674" s="230">
        <v>0</v>
      </c>
      <c r="F674" s="230">
        <v>0</v>
      </c>
      <c r="G674" s="230">
        <v>0</v>
      </c>
      <c r="H674" s="230">
        <v>0</v>
      </c>
      <c r="I674" s="230">
        <v>0</v>
      </c>
      <c r="J674" s="230">
        <v>0</v>
      </c>
    </row>
    <row r="675" spans="1:10" s="225" customFormat="1">
      <c r="A675" s="222" t="s">
        <v>178</v>
      </c>
      <c r="B675" s="222" t="s">
        <v>125</v>
      </c>
      <c r="C675" s="223">
        <v>0.32152777777777802</v>
      </c>
      <c r="D675" s="230">
        <v>0</v>
      </c>
      <c r="E675" s="230">
        <v>0</v>
      </c>
      <c r="F675" s="230">
        <v>0</v>
      </c>
      <c r="G675" s="230">
        <v>0</v>
      </c>
      <c r="H675" s="230">
        <v>0</v>
      </c>
      <c r="I675" s="230">
        <v>0</v>
      </c>
      <c r="J675" s="230">
        <v>0</v>
      </c>
    </row>
    <row r="676" spans="1:10" s="229" customFormat="1">
      <c r="A676" s="226" t="s">
        <v>178</v>
      </c>
      <c r="B676" s="226" t="s">
        <v>125</v>
      </c>
      <c r="C676" s="227">
        <v>0.32222222222222202</v>
      </c>
      <c r="D676" s="231">
        <v>0</v>
      </c>
      <c r="E676" s="231">
        <v>0</v>
      </c>
      <c r="F676" s="231">
        <v>0</v>
      </c>
      <c r="G676" s="231">
        <v>0</v>
      </c>
      <c r="H676" s="231">
        <v>0</v>
      </c>
      <c r="I676" s="231">
        <v>0</v>
      </c>
      <c r="J676" s="231">
        <v>0</v>
      </c>
    </row>
    <row r="677" spans="1:10" s="225" customFormat="1">
      <c r="A677" s="222" t="s">
        <v>178</v>
      </c>
      <c r="B677" s="222" t="s">
        <v>125</v>
      </c>
      <c r="C677" s="223">
        <v>0.32291666666666602</v>
      </c>
      <c r="D677" s="230">
        <v>0</v>
      </c>
      <c r="E677" s="230">
        <v>0</v>
      </c>
      <c r="F677" s="230">
        <v>0</v>
      </c>
      <c r="G677" s="230">
        <v>0</v>
      </c>
      <c r="H677" s="230">
        <v>0</v>
      </c>
      <c r="I677" s="230">
        <v>0</v>
      </c>
      <c r="J677" s="230">
        <v>0</v>
      </c>
    </row>
    <row r="678" spans="1:10" s="225" customFormat="1">
      <c r="A678" s="222" t="s">
        <v>178</v>
      </c>
      <c r="B678" s="222" t="s">
        <v>125</v>
      </c>
      <c r="C678" s="223">
        <v>0.32361111111111102</v>
      </c>
      <c r="D678" s="230">
        <v>0</v>
      </c>
      <c r="E678" s="230">
        <v>0</v>
      </c>
      <c r="F678" s="230">
        <v>0</v>
      </c>
      <c r="G678" s="230">
        <v>0</v>
      </c>
      <c r="H678" s="230">
        <v>0</v>
      </c>
      <c r="I678" s="230">
        <v>0</v>
      </c>
      <c r="J678" s="230">
        <v>0</v>
      </c>
    </row>
    <row r="679" spans="1:10" s="225" customFormat="1">
      <c r="A679" s="222" t="s">
        <v>178</v>
      </c>
      <c r="B679" s="222" t="s">
        <v>125</v>
      </c>
      <c r="C679" s="223">
        <v>0.32430555555555501</v>
      </c>
      <c r="D679" s="230">
        <v>0</v>
      </c>
      <c r="E679" s="230">
        <v>0</v>
      </c>
      <c r="F679" s="230">
        <v>0</v>
      </c>
      <c r="G679" s="230">
        <v>0</v>
      </c>
      <c r="H679" s="230">
        <v>0</v>
      </c>
      <c r="I679" s="230">
        <v>0</v>
      </c>
      <c r="J679" s="230">
        <v>0</v>
      </c>
    </row>
    <row r="680" spans="1:10" s="225" customFormat="1">
      <c r="A680" s="222" t="s">
        <v>178</v>
      </c>
      <c r="B680" s="222" t="s">
        <v>125</v>
      </c>
      <c r="C680" s="223">
        <v>0.32500000000000001</v>
      </c>
      <c r="D680" s="230">
        <v>0</v>
      </c>
      <c r="E680" s="230">
        <v>0</v>
      </c>
      <c r="F680" s="230">
        <v>0</v>
      </c>
      <c r="G680" s="230">
        <v>0</v>
      </c>
      <c r="H680" s="230">
        <v>0</v>
      </c>
      <c r="I680" s="230">
        <v>0</v>
      </c>
      <c r="J680" s="230">
        <v>0</v>
      </c>
    </row>
    <row r="681" spans="1:10" s="225" customFormat="1">
      <c r="A681" s="222" t="s">
        <v>178</v>
      </c>
      <c r="B681" s="222" t="s">
        <v>125</v>
      </c>
      <c r="C681" s="223">
        <v>0.32569444444444401</v>
      </c>
      <c r="D681" s="230">
        <v>0</v>
      </c>
      <c r="E681" s="230">
        <v>0</v>
      </c>
      <c r="F681" s="230">
        <v>0</v>
      </c>
      <c r="G681" s="230">
        <v>0</v>
      </c>
      <c r="H681" s="230">
        <v>0</v>
      </c>
      <c r="I681" s="230">
        <v>0</v>
      </c>
      <c r="J681" s="230">
        <v>0</v>
      </c>
    </row>
    <row r="682" spans="1:10" s="225" customFormat="1">
      <c r="A682" s="222" t="s">
        <v>178</v>
      </c>
      <c r="B682" s="222" t="s">
        <v>125</v>
      </c>
      <c r="C682" s="223">
        <v>0.32638888888888901</v>
      </c>
      <c r="D682" s="230">
        <v>0</v>
      </c>
      <c r="E682" s="230">
        <v>0</v>
      </c>
      <c r="F682" s="230">
        <v>0</v>
      </c>
      <c r="G682" s="230">
        <v>0</v>
      </c>
      <c r="H682" s="230">
        <v>0</v>
      </c>
      <c r="I682" s="230">
        <v>0</v>
      </c>
      <c r="J682" s="230">
        <v>0</v>
      </c>
    </row>
    <row r="683" spans="1:10" s="225" customFormat="1">
      <c r="A683" s="222" t="s">
        <v>178</v>
      </c>
      <c r="B683" s="222" t="s">
        <v>125</v>
      </c>
      <c r="C683" s="223">
        <v>0.327083333333333</v>
      </c>
      <c r="D683" s="230">
        <v>0</v>
      </c>
      <c r="E683" s="230">
        <v>0</v>
      </c>
      <c r="F683" s="230">
        <v>0</v>
      </c>
      <c r="G683" s="230">
        <v>0</v>
      </c>
      <c r="H683" s="230">
        <v>0</v>
      </c>
      <c r="I683" s="230">
        <v>0</v>
      </c>
      <c r="J683" s="230">
        <v>0</v>
      </c>
    </row>
    <row r="684" spans="1:10" s="225" customFormat="1">
      <c r="A684" s="222" t="s">
        <v>178</v>
      </c>
      <c r="B684" s="222" t="s">
        <v>125</v>
      </c>
      <c r="C684" s="223">
        <v>0.327777777777778</v>
      </c>
      <c r="D684" s="230">
        <v>0</v>
      </c>
      <c r="E684" s="230">
        <v>0</v>
      </c>
      <c r="F684" s="230">
        <v>0</v>
      </c>
      <c r="G684" s="230">
        <v>0</v>
      </c>
      <c r="H684" s="230">
        <v>0</v>
      </c>
      <c r="I684" s="230">
        <v>0</v>
      </c>
      <c r="J684" s="230">
        <v>0</v>
      </c>
    </row>
    <row r="685" spans="1:10" s="225" customFormat="1">
      <c r="A685" s="222" t="s">
        <v>178</v>
      </c>
      <c r="B685" s="222" t="s">
        <v>125</v>
      </c>
      <c r="C685" s="223">
        <v>0.328472222222222</v>
      </c>
      <c r="D685" s="230">
        <v>0</v>
      </c>
      <c r="E685" s="230">
        <v>0</v>
      </c>
      <c r="F685" s="230">
        <v>0</v>
      </c>
      <c r="G685" s="230">
        <v>0</v>
      </c>
      <c r="H685" s="230">
        <v>0</v>
      </c>
      <c r="I685" s="230">
        <v>0</v>
      </c>
      <c r="J685" s="230">
        <v>0</v>
      </c>
    </row>
    <row r="686" spans="1:10" s="225" customFormat="1">
      <c r="A686" s="222" t="s">
        <v>178</v>
      </c>
      <c r="B686" s="222" t="s">
        <v>125</v>
      </c>
      <c r="C686" s="223">
        <v>0.329166666666666</v>
      </c>
      <c r="D686" s="230">
        <v>0</v>
      </c>
      <c r="E686" s="230">
        <v>0</v>
      </c>
      <c r="F686" s="230">
        <v>0</v>
      </c>
      <c r="G686" s="230">
        <v>0</v>
      </c>
      <c r="H686" s="230">
        <v>0</v>
      </c>
      <c r="I686" s="230">
        <v>0</v>
      </c>
      <c r="J686" s="230">
        <v>0</v>
      </c>
    </row>
    <row r="687" spans="1:10" s="225" customFormat="1">
      <c r="A687" s="222" t="s">
        <v>178</v>
      </c>
      <c r="B687" s="222" t="s">
        <v>125</v>
      </c>
      <c r="C687" s="223">
        <v>0.32986111111111099</v>
      </c>
      <c r="D687" s="230">
        <v>0</v>
      </c>
      <c r="E687" s="230">
        <v>0</v>
      </c>
      <c r="F687" s="230">
        <v>0</v>
      </c>
      <c r="G687" s="230">
        <v>0</v>
      </c>
      <c r="H687" s="230">
        <v>0</v>
      </c>
      <c r="I687" s="230">
        <v>0</v>
      </c>
      <c r="J687" s="230">
        <v>0</v>
      </c>
    </row>
    <row r="688" spans="1:10" s="225" customFormat="1">
      <c r="A688" s="222" t="s">
        <v>178</v>
      </c>
      <c r="B688" s="222" t="s">
        <v>125</v>
      </c>
      <c r="C688" s="223">
        <v>0.33055555555555499</v>
      </c>
      <c r="D688" s="230">
        <v>0</v>
      </c>
      <c r="E688" s="230">
        <v>0</v>
      </c>
      <c r="F688" s="230">
        <v>0</v>
      </c>
      <c r="G688" s="230">
        <v>0</v>
      </c>
      <c r="H688" s="230">
        <v>0</v>
      </c>
      <c r="I688" s="230">
        <v>0</v>
      </c>
      <c r="J688" s="230">
        <v>0</v>
      </c>
    </row>
    <row r="689" spans="1:10" s="225" customFormat="1">
      <c r="A689" s="222" t="s">
        <v>178</v>
      </c>
      <c r="B689" s="222" t="s">
        <v>125</v>
      </c>
      <c r="C689" s="223">
        <v>0.33124999999999999</v>
      </c>
      <c r="D689" s="230">
        <v>0</v>
      </c>
      <c r="E689" s="230">
        <v>0</v>
      </c>
      <c r="F689" s="230">
        <v>0</v>
      </c>
      <c r="G689" s="230">
        <v>0</v>
      </c>
      <c r="H689" s="230">
        <v>0</v>
      </c>
      <c r="I689" s="230">
        <v>0</v>
      </c>
      <c r="J689" s="230">
        <v>0</v>
      </c>
    </row>
    <row r="690" spans="1:10" s="225" customFormat="1">
      <c r="A690" s="222" t="s">
        <v>178</v>
      </c>
      <c r="B690" s="222" t="s">
        <v>125</v>
      </c>
      <c r="C690" s="223">
        <v>0.33194444444444399</v>
      </c>
      <c r="D690" s="230">
        <v>0</v>
      </c>
      <c r="E690" s="230">
        <v>0</v>
      </c>
      <c r="F690" s="230">
        <v>0</v>
      </c>
      <c r="G690" s="230">
        <v>0</v>
      </c>
      <c r="H690" s="230">
        <v>0</v>
      </c>
      <c r="I690" s="230">
        <v>0</v>
      </c>
      <c r="J690" s="230">
        <v>0</v>
      </c>
    </row>
    <row r="691" spans="1:10" s="229" customFormat="1">
      <c r="A691" s="226" t="s">
        <v>178</v>
      </c>
      <c r="B691" s="226" t="s">
        <v>125</v>
      </c>
      <c r="C691" s="227">
        <v>0.33263888888888898</v>
      </c>
      <c r="D691" s="231">
        <v>0</v>
      </c>
      <c r="E691" s="231">
        <v>0</v>
      </c>
      <c r="F691" s="231">
        <v>0</v>
      </c>
      <c r="G691" s="231">
        <v>0</v>
      </c>
      <c r="H691" s="231">
        <v>0</v>
      </c>
      <c r="I691" s="231">
        <v>0</v>
      </c>
      <c r="J691" s="231">
        <v>0</v>
      </c>
    </row>
    <row r="692" spans="1:10" s="225" customFormat="1">
      <c r="A692" s="222" t="s">
        <v>178</v>
      </c>
      <c r="B692" s="222" t="s">
        <v>125</v>
      </c>
      <c r="C692" s="223">
        <v>0.33333333333333298</v>
      </c>
      <c r="D692" s="230">
        <v>0</v>
      </c>
      <c r="E692" s="230">
        <v>0</v>
      </c>
      <c r="F692" s="230">
        <v>0</v>
      </c>
      <c r="G692" s="230">
        <v>0</v>
      </c>
      <c r="H692" s="230">
        <v>0</v>
      </c>
      <c r="I692" s="230">
        <v>0</v>
      </c>
      <c r="J692" s="230">
        <v>0</v>
      </c>
    </row>
    <row r="693" spans="1:10" s="225" customFormat="1">
      <c r="A693" s="222" t="s">
        <v>178</v>
      </c>
      <c r="B693" s="222" t="s">
        <v>125</v>
      </c>
      <c r="C693" s="223">
        <v>0.33402777777777798</v>
      </c>
      <c r="D693" s="230">
        <v>0</v>
      </c>
      <c r="E693" s="230">
        <v>0</v>
      </c>
      <c r="F693" s="230">
        <v>0</v>
      </c>
      <c r="G693" s="230">
        <v>0</v>
      </c>
      <c r="H693" s="230">
        <v>0</v>
      </c>
      <c r="I693" s="230">
        <v>0</v>
      </c>
      <c r="J693" s="230">
        <v>0</v>
      </c>
    </row>
    <row r="694" spans="1:10" s="225" customFormat="1">
      <c r="A694" s="222" t="s">
        <v>178</v>
      </c>
      <c r="B694" s="222" t="s">
        <v>125</v>
      </c>
      <c r="C694" s="223">
        <v>0.33472222222222198</v>
      </c>
      <c r="D694" s="230">
        <v>0</v>
      </c>
      <c r="E694" s="230">
        <v>0</v>
      </c>
      <c r="F694" s="230">
        <v>0</v>
      </c>
      <c r="G694" s="230">
        <v>0</v>
      </c>
      <c r="H694" s="230">
        <v>0</v>
      </c>
      <c r="I694" s="230">
        <v>0</v>
      </c>
      <c r="J694" s="230">
        <v>0</v>
      </c>
    </row>
    <row r="695" spans="1:10" s="225" customFormat="1">
      <c r="A695" s="222" t="s">
        <v>178</v>
      </c>
      <c r="B695" s="222" t="s">
        <v>125</v>
      </c>
      <c r="C695" s="223">
        <v>0.33541666666666597</v>
      </c>
      <c r="D695" s="230">
        <v>0</v>
      </c>
      <c r="E695" s="230">
        <v>0</v>
      </c>
      <c r="F695" s="230">
        <v>0</v>
      </c>
      <c r="G695" s="230">
        <v>0</v>
      </c>
      <c r="H695" s="230">
        <v>0</v>
      </c>
      <c r="I695" s="230">
        <v>0</v>
      </c>
      <c r="J695" s="230">
        <v>0</v>
      </c>
    </row>
    <row r="696" spans="1:10" s="225" customFormat="1">
      <c r="A696" s="222" t="s">
        <v>178</v>
      </c>
      <c r="B696" s="222" t="s">
        <v>125</v>
      </c>
      <c r="C696" s="223">
        <v>0.33611111111111103</v>
      </c>
      <c r="D696" s="230">
        <v>0</v>
      </c>
      <c r="E696" s="230">
        <v>0</v>
      </c>
      <c r="F696" s="230">
        <v>0</v>
      </c>
      <c r="G696" s="230">
        <v>0</v>
      </c>
      <c r="H696" s="230">
        <v>0</v>
      </c>
      <c r="I696" s="230">
        <v>0</v>
      </c>
      <c r="J696" s="230">
        <v>0</v>
      </c>
    </row>
    <row r="697" spans="1:10" s="225" customFormat="1">
      <c r="A697" s="222" t="s">
        <v>178</v>
      </c>
      <c r="B697" s="222" t="s">
        <v>125</v>
      </c>
      <c r="C697" s="223">
        <v>0.33680555555555503</v>
      </c>
      <c r="D697" s="230">
        <v>0</v>
      </c>
      <c r="E697" s="230">
        <v>0</v>
      </c>
      <c r="F697" s="230">
        <v>0</v>
      </c>
      <c r="G697" s="230">
        <v>0</v>
      </c>
      <c r="H697" s="230">
        <v>0</v>
      </c>
      <c r="I697" s="230">
        <v>0</v>
      </c>
      <c r="J697" s="230">
        <v>0</v>
      </c>
    </row>
    <row r="698" spans="1:10" s="225" customFormat="1">
      <c r="A698" s="222" t="s">
        <v>178</v>
      </c>
      <c r="B698" s="222" t="s">
        <v>125</v>
      </c>
      <c r="C698" s="223">
        <v>0.33750000000000002</v>
      </c>
      <c r="D698" s="230">
        <v>0</v>
      </c>
      <c r="E698" s="230">
        <v>0</v>
      </c>
      <c r="F698" s="230">
        <v>0</v>
      </c>
      <c r="G698" s="230">
        <v>0</v>
      </c>
      <c r="H698" s="230">
        <v>0</v>
      </c>
      <c r="I698" s="230">
        <v>0</v>
      </c>
      <c r="J698" s="230">
        <v>0</v>
      </c>
    </row>
    <row r="699" spans="1:10" s="225" customFormat="1">
      <c r="A699" s="222" t="s">
        <v>178</v>
      </c>
      <c r="B699" s="222" t="s">
        <v>125</v>
      </c>
      <c r="C699" s="223">
        <v>0.33819444444444402</v>
      </c>
      <c r="D699" s="230">
        <v>0</v>
      </c>
      <c r="E699" s="230">
        <v>0</v>
      </c>
      <c r="F699" s="230">
        <v>0</v>
      </c>
      <c r="G699" s="230">
        <v>0</v>
      </c>
      <c r="H699" s="230">
        <v>0</v>
      </c>
      <c r="I699" s="230">
        <v>0</v>
      </c>
      <c r="J699" s="230">
        <v>0</v>
      </c>
    </row>
    <row r="700" spans="1:10" s="225" customFormat="1">
      <c r="A700" s="222" t="s">
        <v>178</v>
      </c>
      <c r="B700" s="222" t="s">
        <v>125</v>
      </c>
      <c r="C700" s="223">
        <v>0.33888888888888902</v>
      </c>
      <c r="D700" s="230">
        <v>0</v>
      </c>
      <c r="E700" s="230">
        <v>0</v>
      </c>
      <c r="F700" s="230">
        <v>0</v>
      </c>
      <c r="G700" s="230">
        <v>0</v>
      </c>
      <c r="H700" s="230">
        <v>0</v>
      </c>
      <c r="I700" s="230">
        <v>0</v>
      </c>
      <c r="J700" s="230">
        <v>0</v>
      </c>
    </row>
    <row r="701" spans="1:10" s="225" customFormat="1">
      <c r="A701" s="222" t="s">
        <v>178</v>
      </c>
      <c r="B701" s="222" t="s">
        <v>125</v>
      </c>
      <c r="C701" s="223">
        <v>0.33958333333333302</v>
      </c>
      <c r="D701" s="230">
        <v>0</v>
      </c>
      <c r="E701" s="230">
        <v>0</v>
      </c>
      <c r="F701" s="230">
        <v>0</v>
      </c>
      <c r="G701" s="230">
        <v>0</v>
      </c>
      <c r="H701" s="230">
        <v>0</v>
      </c>
      <c r="I701" s="230">
        <v>0</v>
      </c>
      <c r="J701" s="230">
        <v>0</v>
      </c>
    </row>
    <row r="702" spans="1:10" s="225" customFormat="1">
      <c r="A702" s="222" t="s">
        <v>178</v>
      </c>
      <c r="B702" s="222" t="s">
        <v>125</v>
      </c>
      <c r="C702" s="223">
        <v>0.34027777777777801</v>
      </c>
      <c r="D702" s="230">
        <v>0</v>
      </c>
      <c r="E702" s="230">
        <v>0</v>
      </c>
      <c r="F702" s="230">
        <v>0</v>
      </c>
      <c r="G702" s="230">
        <v>0</v>
      </c>
      <c r="H702" s="230">
        <v>0</v>
      </c>
      <c r="I702" s="230">
        <v>0</v>
      </c>
      <c r="J702" s="230">
        <v>0</v>
      </c>
    </row>
    <row r="703" spans="1:10" s="225" customFormat="1">
      <c r="A703" s="222" t="s">
        <v>178</v>
      </c>
      <c r="B703" s="222" t="s">
        <v>125</v>
      </c>
      <c r="C703" s="223">
        <v>0.34097222222222201</v>
      </c>
      <c r="D703" s="230">
        <v>0</v>
      </c>
      <c r="E703" s="230">
        <v>0</v>
      </c>
      <c r="F703" s="230">
        <v>0</v>
      </c>
      <c r="G703" s="230">
        <v>0</v>
      </c>
      <c r="H703" s="230">
        <v>0</v>
      </c>
      <c r="I703" s="230">
        <v>0</v>
      </c>
      <c r="J703" s="230">
        <v>0</v>
      </c>
    </row>
    <row r="704" spans="1:10" s="225" customFormat="1">
      <c r="A704" s="222" t="s">
        <v>178</v>
      </c>
      <c r="B704" s="222" t="s">
        <v>125</v>
      </c>
      <c r="C704" s="223">
        <v>0.34166666666666601</v>
      </c>
      <c r="D704" s="230">
        <v>0</v>
      </c>
      <c r="E704" s="230">
        <v>0</v>
      </c>
      <c r="F704" s="230">
        <v>0</v>
      </c>
      <c r="G704" s="230">
        <v>0</v>
      </c>
      <c r="H704" s="230">
        <v>0</v>
      </c>
      <c r="I704" s="230">
        <v>0</v>
      </c>
      <c r="J704" s="230">
        <v>0</v>
      </c>
    </row>
    <row r="705" spans="1:10" s="225" customFormat="1">
      <c r="A705" s="222" t="s">
        <v>178</v>
      </c>
      <c r="B705" s="222" t="s">
        <v>125</v>
      </c>
      <c r="C705" s="223">
        <v>0.34236111111111101</v>
      </c>
      <c r="D705" s="230">
        <v>0</v>
      </c>
      <c r="E705" s="230">
        <v>0</v>
      </c>
      <c r="F705" s="230">
        <v>0</v>
      </c>
      <c r="G705" s="230">
        <v>0</v>
      </c>
      <c r="H705" s="230">
        <v>0</v>
      </c>
      <c r="I705" s="230">
        <v>0</v>
      </c>
      <c r="J705" s="230">
        <v>0</v>
      </c>
    </row>
    <row r="706" spans="1:10" s="229" customFormat="1">
      <c r="A706" s="226" t="s">
        <v>178</v>
      </c>
      <c r="B706" s="226" t="s">
        <v>125</v>
      </c>
      <c r="C706" s="227">
        <v>0.343055555555555</v>
      </c>
      <c r="D706" s="231">
        <v>0</v>
      </c>
      <c r="E706" s="231">
        <v>0</v>
      </c>
      <c r="F706" s="231">
        <v>0</v>
      </c>
      <c r="G706" s="231">
        <v>0</v>
      </c>
      <c r="H706" s="231">
        <v>0</v>
      </c>
      <c r="I706" s="231">
        <v>0</v>
      </c>
      <c r="J706" s="231">
        <v>0</v>
      </c>
    </row>
    <row r="707" spans="1:10" s="225" customFormat="1">
      <c r="A707" s="222" t="s">
        <v>178</v>
      </c>
      <c r="B707" s="222" t="s">
        <v>125</v>
      </c>
      <c r="C707" s="223">
        <v>0.34375</v>
      </c>
      <c r="D707" s="230">
        <v>0</v>
      </c>
      <c r="E707" s="230">
        <v>0</v>
      </c>
      <c r="F707" s="230">
        <v>0</v>
      </c>
      <c r="G707" s="230">
        <v>0</v>
      </c>
      <c r="H707" s="230">
        <v>0</v>
      </c>
      <c r="I707" s="230">
        <v>0</v>
      </c>
      <c r="J707" s="230">
        <v>0</v>
      </c>
    </row>
    <row r="708" spans="1:10" s="225" customFormat="1">
      <c r="A708" s="222" t="s">
        <v>178</v>
      </c>
      <c r="B708" s="222" t="s">
        <v>125</v>
      </c>
      <c r="C708" s="223">
        <v>0.344444444444444</v>
      </c>
      <c r="D708" s="230">
        <v>0</v>
      </c>
      <c r="E708" s="230">
        <v>0</v>
      </c>
      <c r="F708" s="230">
        <v>0</v>
      </c>
      <c r="G708" s="230">
        <v>0</v>
      </c>
      <c r="H708" s="230">
        <v>0</v>
      </c>
      <c r="I708" s="230">
        <v>0</v>
      </c>
      <c r="J708" s="230">
        <v>0</v>
      </c>
    </row>
    <row r="709" spans="1:10" s="225" customFormat="1">
      <c r="A709" s="222" t="s">
        <v>178</v>
      </c>
      <c r="B709" s="222" t="s">
        <v>125</v>
      </c>
      <c r="C709" s="223">
        <v>0.34513888888888899</v>
      </c>
      <c r="D709" s="230">
        <v>0</v>
      </c>
      <c r="E709" s="230">
        <v>0</v>
      </c>
      <c r="F709" s="230">
        <v>0</v>
      </c>
      <c r="G709" s="230">
        <v>0</v>
      </c>
      <c r="H709" s="230">
        <v>0</v>
      </c>
      <c r="I709" s="230">
        <v>0</v>
      </c>
      <c r="J709" s="230">
        <v>0</v>
      </c>
    </row>
    <row r="710" spans="1:10" s="225" customFormat="1">
      <c r="A710" s="222" t="s">
        <v>178</v>
      </c>
      <c r="B710" s="222" t="s">
        <v>125</v>
      </c>
      <c r="C710" s="223">
        <v>0.34583333333333299</v>
      </c>
      <c r="D710" s="230">
        <v>0</v>
      </c>
      <c r="E710" s="230">
        <v>0</v>
      </c>
      <c r="F710" s="230">
        <v>0</v>
      </c>
      <c r="G710" s="230">
        <v>0</v>
      </c>
      <c r="H710" s="230">
        <v>0</v>
      </c>
      <c r="I710" s="230">
        <v>0</v>
      </c>
      <c r="J710" s="230">
        <v>0</v>
      </c>
    </row>
    <row r="711" spans="1:10" s="225" customFormat="1">
      <c r="A711" s="222" t="s">
        <v>178</v>
      </c>
      <c r="B711" s="222" t="s">
        <v>125</v>
      </c>
      <c r="C711" s="223">
        <v>0.34652777777777799</v>
      </c>
      <c r="D711" s="230">
        <v>0</v>
      </c>
      <c r="E711" s="230">
        <v>0</v>
      </c>
      <c r="F711" s="230">
        <v>0</v>
      </c>
      <c r="G711" s="230">
        <v>0</v>
      </c>
      <c r="H711" s="230">
        <v>0</v>
      </c>
      <c r="I711" s="230">
        <v>0</v>
      </c>
      <c r="J711" s="230">
        <v>0</v>
      </c>
    </row>
    <row r="712" spans="1:10" s="225" customFormat="1">
      <c r="A712" s="222" t="s">
        <v>178</v>
      </c>
      <c r="B712" s="222" t="s">
        <v>125</v>
      </c>
      <c r="C712" s="223">
        <v>0.34722222222222199</v>
      </c>
      <c r="D712" s="230">
        <v>0</v>
      </c>
      <c r="E712" s="230">
        <v>0</v>
      </c>
      <c r="F712" s="230">
        <v>0</v>
      </c>
      <c r="G712" s="230">
        <v>0</v>
      </c>
      <c r="H712" s="230">
        <v>0</v>
      </c>
      <c r="I712" s="230">
        <v>0</v>
      </c>
      <c r="J712" s="230">
        <v>0</v>
      </c>
    </row>
    <row r="713" spans="1:10" s="225" customFormat="1">
      <c r="A713" s="222" t="s">
        <v>178</v>
      </c>
      <c r="B713" s="222" t="s">
        <v>125</v>
      </c>
      <c r="C713" s="223">
        <v>0.34791666666666599</v>
      </c>
      <c r="D713" s="230">
        <v>0</v>
      </c>
      <c r="E713" s="230">
        <v>0</v>
      </c>
      <c r="F713" s="230">
        <v>0</v>
      </c>
      <c r="G713" s="230">
        <v>0</v>
      </c>
      <c r="H713" s="230">
        <v>0</v>
      </c>
      <c r="I713" s="230">
        <v>0</v>
      </c>
      <c r="J713" s="230">
        <v>0</v>
      </c>
    </row>
    <row r="714" spans="1:10" s="225" customFormat="1">
      <c r="A714" s="222" t="s">
        <v>178</v>
      </c>
      <c r="B714" s="222" t="s">
        <v>125</v>
      </c>
      <c r="C714" s="223">
        <v>0.34861111111111098</v>
      </c>
      <c r="D714" s="230">
        <v>0</v>
      </c>
      <c r="E714" s="230">
        <v>0</v>
      </c>
      <c r="F714" s="230">
        <v>0</v>
      </c>
      <c r="G714" s="230">
        <v>0</v>
      </c>
      <c r="H714" s="230">
        <v>0</v>
      </c>
      <c r="I714" s="230">
        <v>0</v>
      </c>
      <c r="J714" s="230">
        <v>0</v>
      </c>
    </row>
    <row r="715" spans="1:10" s="225" customFormat="1">
      <c r="A715" s="222" t="s">
        <v>178</v>
      </c>
      <c r="B715" s="222" t="s">
        <v>125</v>
      </c>
      <c r="C715" s="223">
        <v>0.34930555555555498</v>
      </c>
      <c r="D715" s="230">
        <v>0</v>
      </c>
      <c r="E715" s="230">
        <v>0</v>
      </c>
      <c r="F715" s="230">
        <v>0</v>
      </c>
      <c r="G715" s="230">
        <v>0</v>
      </c>
      <c r="H715" s="230">
        <v>0</v>
      </c>
      <c r="I715" s="230">
        <v>0</v>
      </c>
      <c r="J715" s="230">
        <v>0</v>
      </c>
    </row>
    <row r="716" spans="1:10" s="225" customFormat="1">
      <c r="A716" s="222" t="s">
        <v>178</v>
      </c>
      <c r="B716" s="222" t="s">
        <v>125</v>
      </c>
      <c r="C716" s="223">
        <v>0.35</v>
      </c>
      <c r="D716" s="230">
        <v>0</v>
      </c>
      <c r="E716" s="230">
        <v>0</v>
      </c>
      <c r="F716" s="230">
        <v>0</v>
      </c>
      <c r="G716" s="230">
        <v>0</v>
      </c>
      <c r="H716" s="230">
        <v>0</v>
      </c>
      <c r="I716" s="230">
        <v>0</v>
      </c>
      <c r="J716" s="230">
        <v>0</v>
      </c>
    </row>
    <row r="717" spans="1:10" s="225" customFormat="1">
      <c r="A717" s="222" t="s">
        <v>178</v>
      </c>
      <c r="B717" s="222" t="s">
        <v>125</v>
      </c>
      <c r="C717" s="223">
        <v>0.35069444444444398</v>
      </c>
      <c r="D717" s="230">
        <v>0</v>
      </c>
      <c r="E717" s="230">
        <v>0</v>
      </c>
      <c r="F717" s="230">
        <v>0</v>
      </c>
      <c r="G717" s="230">
        <v>0</v>
      </c>
      <c r="H717" s="230">
        <v>0</v>
      </c>
      <c r="I717" s="230">
        <v>0</v>
      </c>
      <c r="J717" s="230">
        <v>0</v>
      </c>
    </row>
    <row r="718" spans="1:10" s="225" customFormat="1">
      <c r="A718" s="222" t="s">
        <v>178</v>
      </c>
      <c r="B718" s="222" t="s">
        <v>125</v>
      </c>
      <c r="C718" s="223">
        <v>0.35138888888888897</v>
      </c>
      <c r="D718" s="230">
        <v>0</v>
      </c>
      <c r="E718" s="230">
        <v>0</v>
      </c>
      <c r="F718" s="230">
        <v>0</v>
      </c>
      <c r="G718" s="230">
        <v>0</v>
      </c>
      <c r="H718" s="230">
        <v>0</v>
      </c>
      <c r="I718" s="230">
        <v>0</v>
      </c>
      <c r="J718" s="230">
        <v>0</v>
      </c>
    </row>
    <row r="719" spans="1:10" s="225" customFormat="1">
      <c r="A719" s="222" t="s">
        <v>178</v>
      </c>
      <c r="B719" s="222" t="s">
        <v>125</v>
      </c>
      <c r="C719" s="223">
        <v>0.35208333333333303</v>
      </c>
      <c r="D719" s="230">
        <v>0</v>
      </c>
      <c r="E719" s="230">
        <v>0</v>
      </c>
      <c r="F719" s="230">
        <v>0</v>
      </c>
      <c r="G719" s="230">
        <v>0</v>
      </c>
      <c r="H719" s="230">
        <v>0</v>
      </c>
      <c r="I719" s="230">
        <v>0</v>
      </c>
      <c r="J719" s="230">
        <v>0</v>
      </c>
    </row>
    <row r="720" spans="1:10" s="225" customFormat="1">
      <c r="A720" s="222" t="s">
        <v>178</v>
      </c>
      <c r="B720" s="222" t="s">
        <v>125</v>
      </c>
      <c r="C720" s="223">
        <v>0.35277777777777802</v>
      </c>
      <c r="D720" s="230">
        <v>0</v>
      </c>
      <c r="E720" s="230">
        <v>0</v>
      </c>
      <c r="F720" s="230">
        <v>0</v>
      </c>
      <c r="G720" s="230">
        <v>0</v>
      </c>
      <c r="H720" s="230">
        <v>0</v>
      </c>
      <c r="I720" s="230">
        <v>0</v>
      </c>
      <c r="J720" s="230">
        <v>0</v>
      </c>
    </row>
    <row r="721" spans="1:10" s="235" customFormat="1" ht="17.5" thickBot="1">
      <c r="A721" s="232" t="s">
        <v>178</v>
      </c>
      <c r="B721" s="232" t="s">
        <v>125</v>
      </c>
      <c r="C721" s="233">
        <v>0.35347222222222202</v>
      </c>
      <c r="D721" s="234">
        <v>0</v>
      </c>
      <c r="E721" s="234">
        <v>0</v>
      </c>
      <c r="F721" s="234">
        <v>0</v>
      </c>
      <c r="G721" s="234">
        <v>0</v>
      </c>
      <c r="H721" s="234">
        <v>0</v>
      </c>
      <c r="I721" s="234">
        <v>0</v>
      </c>
      <c r="J721" s="234">
        <v>0</v>
      </c>
    </row>
    <row r="722" spans="1:10">
      <c r="A722" s="81" t="s">
        <v>10</v>
      </c>
      <c r="B722" s="81" t="s">
        <v>11</v>
      </c>
      <c r="C722" s="82">
        <v>0.29166666666666669</v>
      </c>
      <c r="D722" s="166">
        <v>0</v>
      </c>
      <c r="E722" s="166">
        <v>0</v>
      </c>
      <c r="F722" s="166">
        <v>0</v>
      </c>
      <c r="G722" s="166">
        <v>0</v>
      </c>
      <c r="H722" s="166">
        <v>0</v>
      </c>
      <c r="I722" s="166">
        <v>0</v>
      </c>
      <c r="J722" s="166">
        <v>0</v>
      </c>
    </row>
    <row r="723" spans="1:10">
      <c r="A723" s="81" t="s">
        <v>10</v>
      </c>
      <c r="B723" s="81" t="s">
        <v>11</v>
      </c>
      <c r="C723" s="82">
        <v>0.29236111111111113</v>
      </c>
      <c r="D723" s="166">
        <v>0</v>
      </c>
      <c r="E723" s="166">
        <v>0</v>
      </c>
      <c r="F723" s="166">
        <v>0</v>
      </c>
      <c r="G723" s="166">
        <v>0</v>
      </c>
      <c r="H723" s="166">
        <v>0</v>
      </c>
      <c r="I723" s="166">
        <v>0</v>
      </c>
      <c r="J723" s="166">
        <v>0</v>
      </c>
    </row>
    <row r="724" spans="1:10">
      <c r="A724" s="81" t="s">
        <v>10</v>
      </c>
      <c r="B724" s="81" t="s">
        <v>11</v>
      </c>
      <c r="C724" s="82">
        <v>0.29305555555555601</v>
      </c>
      <c r="D724" s="166">
        <v>0</v>
      </c>
      <c r="E724" s="166">
        <v>0</v>
      </c>
      <c r="F724" s="166">
        <v>0</v>
      </c>
      <c r="G724" s="166">
        <v>0</v>
      </c>
      <c r="H724" s="166">
        <v>0</v>
      </c>
      <c r="I724" s="166">
        <v>0</v>
      </c>
      <c r="J724" s="166">
        <v>0</v>
      </c>
    </row>
    <row r="725" spans="1:10">
      <c r="A725" s="81" t="s">
        <v>10</v>
      </c>
      <c r="B725" s="81" t="s">
        <v>11</v>
      </c>
      <c r="C725" s="82">
        <v>0.29375000000000001</v>
      </c>
      <c r="D725" s="166">
        <v>0</v>
      </c>
      <c r="E725" s="166">
        <v>0</v>
      </c>
      <c r="F725" s="166">
        <v>0</v>
      </c>
      <c r="G725" s="166">
        <v>0</v>
      </c>
      <c r="H725" s="166">
        <v>0</v>
      </c>
      <c r="I725" s="166">
        <v>0</v>
      </c>
      <c r="J725" s="166">
        <v>0</v>
      </c>
    </row>
    <row r="726" spans="1:10">
      <c r="A726" s="81" t="s">
        <v>10</v>
      </c>
      <c r="B726" s="81" t="s">
        <v>11</v>
      </c>
      <c r="C726" s="82">
        <v>0.29444444444444401</v>
      </c>
      <c r="D726" s="166">
        <v>0</v>
      </c>
      <c r="E726" s="166">
        <v>0</v>
      </c>
      <c r="F726" s="166">
        <v>0</v>
      </c>
      <c r="G726" s="166">
        <v>0</v>
      </c>
      <c r="H726" s="166">
        <v>0</v>
      </c>
      <c r="I726" s="166">
        <v>0</v>
      </c>
      <c r="J726" s="166">
        <v>0</v>
      </c>
    </row>
    <row r="727" spans="1:10">
      <c r="A727" s="81" t="s">
        <v>10</v>
      </c>
      <c r="B727" s="81" t="s">
        <v>11</v>
      </c>
      <c r="C727" s="82">
        <v>0.29513888888888901</v>
      </c>
      <c r="D727" s="166">
        <v>0</v>
      </c>
      <c r="E727" s="166">
        <v>0</v>
      </c>
      <c r="F727" s="166">
        <v>0</v>
      </c>
      <c r="G727" s="166">
        <v>0</v>
      </c>
      <c r="H727" s="166">
        <v>0</v>
      </c>
      <c r="I727" s="166">
        <v>0</v>
      </c>
      <c r="J727" s="166">
        <v>0</v>
      </c>
    </row>
    <row r="728" spans="1:10">
      <c r="A728" s="81" t="s">
        <v>10</v>
      </c>
      <c r="B728" s="81" t="s">
        <v>11</v>
      </c>
      <c r="C728" s="82">
        <v>0.295833333333333</v>
      </c>
      <c r="D728" s="166">
        <v>0</v>
      </c>
      <c r="E728" s="166">
        <v>0</v>
      </c>
      <c r="F728" s="166">
        <v>0</v>
      </c>
      <c r="G728" s="166">
        <v>0</v>
      </c>
      <c r="H728" s="166">
        <v>0</v>
      </c>
      <c r="I728" s="166">
        <v>0</v>
      </c>
      <c r="J728" s="166">
        <v>0</v>
      </c>
    </row>
    <row r="729" spans="1:10">
      <c r="A729" s="81" t="s">
        <v>10</v>
      </c>
      <c r="B729" s="81" t="s">
        <v>11</v>
      </c>
      <c r="C729" s="82">
        <v>0.296527777777778</v>
      </c>
      <c r="D729" s="166">
        <v>0</v>
      </c>
      <c r="E729" s="166">
        <v>0</v>
      </c>
      <c r="F729" s="166">
        <v>0</v>
      </c>
      <c r="G729" s="166">
        <v>0</v>
      </c>
      <c r="H729" s="166">
        <v>0</v>
      </c>
      <c r="I729" s="166">
        <v>0</v>
      </c>
      <c r="J729" s="166">
        <v>0</v>
      </c>
    </row>
    <row r="730" spans="1:10">
      <c r="A730" s="81" t="s">
        <v>10</v>
      </c>
      <c r="B730" s="81" t="s">
        <v>11</v>
      </c>
      <c r="C730" s="82">
        <v>0.297222222222222</v>
      </c>
      <c r="D730" s="166">
        <v>0</v>
      </c>
      <c r="E730" s="166">
        <v>0</v>
      </c>
      <c r="F730" s="166">
        <v>0</v>
      </c>
      <c r="G730" s="166">
        <v>0</v>
      </c>
      <c r="H730" s="166">
        <v>0</v>
      </c>
      <c r="I730" s="166">
        <v>0</v>
      </c>
      <c r="J730" s="166">
        <v>0</v>
      </c>
    </row>
    <row r="731" spans="1:10">
      <c r="A731" s="81" t="s">
        <v>10</v>
      </c>
      <c r="B731" s="81" t="s">
        <v>11</v>
      </c>
      <c r="C731" s="82">
        <v>0.297916666666667</v>
      </c>
      <c r="D731" s="166">
        <v>0</v>
      </c>
      <c r="E731" s="166">
        <v>0</v>
      </c>
      <c r="F731" s="166">
        <v>0</v>
      </c>
      <c r="G731" s="166">
        <v>0</v>
      </c>
      <c r="H731" s="166">
        <v>0</v>
      </c>
      <c r="I731" s="166">
        <v>0</v>
      </c>
      <c r="J731" s="166">
        <v>0</v>
      </c>
    </row>
    <row r="732" spans="1:10">
      <c r="A732" s="81" t="s">
        <v>10</v>
      </c>
      <c r="B732" s="81" t="s">
        <v>11</v>
      </c>
      <c r="C732" s="82">
        <v>0.29861111111111099</v>
      </c>
      <c r="D732" s="166">
        <v>0</v>
      </c>
      <c r="E732" s="166">
        <v>0</v>
      </c>
      <c r="F732" s="166">
        <v>0</v>
      </c>
      <c r="G732" s="166">
        <v>0</v>
      </c>
      <c r="H732" s="166">
        <v>0</v>
      </c>
      <c r="I732" s="166">
        <v>0</v>
      </c>
      <c r="J732" s="166">
        <v>0</v>
      </c>
    </row>
    <row r="733" spans="1:10">
      <c r="A733" s="81" t="s">
        <v>10</v>
      </c>
      <c r="B733" s="81" t="s">
        <v>11</v>
      </c>
      <c r="C733" s="82">
        <v>0.29930555555555599</v>
      </c>
      <c r="D733" s="166">
        <v>0</v>
      </c>
      <c r="E733" s="166">
        <v>0</v>
      </c>
      <c r="F733" s="166">
        <v>0</v>
      </c>
      <c r="G733" s="166">
        <v>0</v>
      </c>
      <c r="H733" s="166">
        <v>0</v>
      </c>
      <c r="I733" s="166">
        <v>0</v>
      </c>
      <c r="J733" s="166">
        <v>0</v>
      </c>
    </row>
    <row r="734" spans="1:10">
      <c r="A734" s="81" t="s">
        <v>10</v>
      </c>
      <c r="B734" s="81" t="s">
        <v>11</v>
      </c>
      <c r="C734" s="82">
        <v>0.3</v>
      </c>
      <c r="D734" s="166">
        <v>0</v>
      </c>
      <c r="E734" s="166">
        <v>0</v>
      </c>
      <c r="F734" s="166">
        <v>0</v>
      </c>
      <c r="G734" s="166">
        <v>0</v>
      </c>
      <c r="H734" s="166">
        <v>0</v>
      </c>
      <c r="I734" s="166">
        <v>0</v>
      </c>
      <c r="J734" s="166">
        <v>0</v>
      </c>
    </row>
    <row r="735" spans="1:10">
      <c r="A735" s="81" t="s">
        <v>10</v>
      </c>
      <c r="B735" s="81" t="s">
        <v>11</v>
      </c>
      <c r="C735" s="82">
        <v>0.30069444444444399</v>
      </c>
      <c r="D735" s="166">
        <v>0</v>
      </c>
      <c r="E735" s="166">
        <v>0</v>
      </c>
      <c r="F735" s="166">
        <v>0</v>
      </c>
      <c r="G735" s="166">
        <v>0</v>
      </c>
      <c r="H735" s="166">
        <v>0</v>
      </c>
      <c r="I735" s="166">
        <v>0</v>
      </c>
      <c r="J735" s="166">
        <v>0</v>
      </c>
    </row>
    <row r="736" spans="1:10" s="80" customFormat="1">
      <c r="A736" s="84" t="s">
        <v>10</v>
      </c>
      <c r="B736" s="84" t="s">
        <v>11</v>
      </c>
      <c r="C736" s="85">
        <v>0.30138888888888898</v>
      </c>
      <c r="D736" s="167">
        <v>0</v>
      </c>
      <c r="E736" s="167">
        <v>0</v>
      </c>
      <c r="F736" s="167">
        <v>0</v>
      </c>
      <c r="G736" s="167">
        <v>0</v>
      </c>
      <c r="H736" s="167">
        <v>0</v>
      </c>
      <c r="I736" s="167">
        <v>0</v>
      </c>
      <c r="J736" s="167">
        <v>0</v>
      </c>
    </row>
    <row r="737" spans="1:10">
      <c r="A737" s="81" t="s">
        <v>10</v>
      </c>
      <c r="B737" s="81" t="s">
        <v>11</v>
      </c>
      <c r="C737" s="82">
        <v>0.30208333333333298</v>
      </c>
      <c r="D737" s="83">
        <v>0</v>
      </c>
      <c r="E737" s="83">
        <v>0</v>
      </c>
      <c r="F737" s="83">
        <v>0</v>
      </c>
      <c r="G737" s="83">
        <v>0</v>
      </c>
      <c r="H737" s="83">
        <v>0</v>
      </c>
      <c r="I737" s="83">
        <v>0</v>
      </c>
      <c r="J737" s="83">
        <v>0</v>
      </c>
    </row>
    <row r="738" spans="1:10">
      <c r="A738" s="81" t="s">
        <v>10</v>
      </c>
      <c r="B738" s="81" t="s">
        <v>11</v>
      </c>
      <c r="C738" s="82">
        <v>0.30277777777777798</v>
      </c>
      <c r="D738" s="83">
        <v>0</v>
      </c>
      <c r="E738" s="83">
        <v>0</v>
      </c>
      <c r="F738" s="83">
        <v>0</v>
      </c>
      <c r="G738" s="83">
        <v>0</v>
      </c>
      <c r="H738" s="83">
        <v>0</v>
      </c>
      <c r="I738" s="83">
        <v>0</v>
      </c>
      <c r="J738" s="83">
        <v>0</v>
      </c>
    </row>
    <row r="739" spans="1:10">
      <c r="A739" s="81" t="s">
        <v>10</v>
      </c>
      <c r="B739" s="81" t="s">
        <v>11</v>
      </c>
      <c r="C739" s="82">
        <v>0.30347222222222198</v>
      </c>
      <c r="D739" s="83">
        <v>0</v>
      </c>
      <c r="E739" s="83">
        <v>0</v>
      </c>
      <c r="F739" s="83">
        <v>0</v>
      </c>
      <c r="G739" s="83">
        <v>0</v>
      </c>
      <c r="H739" s="83">
        <v>0</v>
      </c>
      <c r="I739" s="83">
        <v>0</v>
      </c>
      <c r="J739" s="83">
        <v>0</v>
      </c>
    </row>
    <row r="740" spans="1:10">
      <c r="A740" s="81" t="s">
        <v>10</v>
      </c>
      <c r="B740" s="81" t="s">
        <v>11</v>
      </c>
      <c r="C740" s="82">
        <v>0.30416666666666697</v>
      </c>
      <c r="D740" s="83">
        <v>0</v>
      </c>
      <c r="E740" s="83">
        <v>0</v>
      </c>
      <c r="F740" s="83">
        <v>0</v>
      </c>
      <c r="G740" s="83">
        <v>0</v>
      </c>
      <c r="H740" s="83">
        <v>0</v>
      </c>
      <c r="I740" s="83">
        <v>0</v>
      </c>
      <c r="J740" s="83">
        <v>0</v>
      </c>
    </row>
    <row r="741" spans="1:10">
      <c r="A741" s="81" t="s">
        <v>10</v>
      </c>
      <c r="B741" s="81" t="s">
        <v>11</v>
      </c>
      <c r="C741" s="82">
        <v>0.30486111111111103</v>
      </c>
      <c r="D741" s="83">
        <v>0</v>
      </c>
      <c r="E741" s="83">
        <v>0</v>
      </c>
      <c r="F741" s="83">
        <v>0</v>
      </c>
      <c r="G741" s="83">
        <v>0</v>
      </c>
      <c r="H741" s="83">
        <v>0</v>
      </c>
      <c r="I741" s="83">
        <v>0</v>
      </c>
      <c r="J741" s="83">
        <v>0</v>
      </c>
    </row>
    <row r="742" spans="1:10">
      <c r="A742" s="81" t="s">
        <v>10</v>
      </c>
      <c r="B742" s="81" t="s">
        <v>11</v>
      </c>
      <c r="C742" s="82">
        <v>0.30555555555555503</v>
      </c>
      <c r="D742" s="83">
        <v>0</v>
      </c>
      <c r="E742" s="83">
        <v>0</v>
      </c>
      <c r="F742" s="83">
        <v>0</v>
      </c>
      <c r="G742" s="83">
        <v>0</v>
      </c>
      <c r="H742" s="83">
        <v>0</v>
      </c>
      <c r="I742" s="83">
        <v>0</v>
      </c>
      <c r="J742" s="83">
        <v>0</v>
      </c>
    </row>
    <row r="743" spans="1:10">
      <c r="A743" s="81" t="s">
        <v>10</v>
      </c>
      <c r="B743" s="81" t="s">
        <v>11</v>
      </c>
      <c r="C743" s="82">
        <v>0.30625000000000002</v>
      </c>
      <c r="D743" s="83">
        <v>0</v>
      </c>
      <c r="E743" s="83">
        <v>0</v>
      </c>
      <c r="F743" s="83">
        <v>0</v>
      </c>
      <c r="G743" s="83">
        <v>0</v>
      </c>
      <c r="H743" s="83">
        <v>0</v>
      </c>
      <c r="I743" s="83">
        <v>0</v>
      </c>
      <c r="J743" s="83">
        <v>0</v>
      </c>
    </row>
    <row r="744" spans="1:10">
      <c r="A744" s="81" t="s">
        <v>10</v>
      </c>
      <c r="B744" s="81" t="s">
        <v>11</v>
      </c>
      <c r="C744" s="82">
        <v>0.30694444444444402</v>
      </c>
      <c r="D744" s="83">
        <v>0</v>
      </c>
      <c r="E744" s="83">
        <v>0</v>
      </c>
      <c r="F744" s="83">
        <v>0</v>
      </c>
      <c r="G744" s="83">
        <v>0</v>
      </c>
      <c r="H744" s="83">
        <v>0</v>
      </c>
      <c r="I744" s="83">
        <v>0</v>
      </c>
      <c r="J744" s="83">
        <v>0</v>
      </c>
    </row>
    <row r="745" spans="1:10">
      <c r="A745" s="81" t="s">
        <v>10</v>
      </c>
      <c r="B745" s="81" t="s">
        <v>11</v>
      </c>
      <c r="C745" s="82">
        <v>0.30763888888888902</v>
      </c>
      <c r="D745" s="83">
        <v>0</v>
      </c>
      <c r="E745" s="83">
        <v>0</v>
      </c>
      <c r="F745" s="83">
        <v>0</v>
      </c>
      <c r="G745" s="83">
        <v>0</v>
      </c>
      <c r="H745" s="83">
        <v>0</v>
      </c>
      <c r="I745" s="83">
        <v>0</v>
      </c>
      <c r="J745" s="83">
        <v>0</v>
      </c>
    </row>
    <row r="746" spans="1:10">
      <c r="A746" s="81" t="s">
        <v>10</v>
      </c>
      <c r="B746" s="81" t="s">
        <v>11</v>
      </c>
      <c r="C746" s="82">
        <v>0.30833333333333302</v>
      </c>
      <c r="D746" s="83">
        <v>0</v>
      </c>
      <c r="E746" s="83">
        <v>0</v>
      </c>
      <c r="F746" s="83">
        <v>0</v>
      </c>
      <c r="G746" s="83">
        <v>0</v>
      </c>
      <c r="H746" s="83">
        <v>0</v>
      </c>
      <c r="I746" s="83">
        <v>0</v>
      </c>
      <c r="J746" s="83">
        <v>0</v>
      </c>
    </row>
    <row r="747" spans="1:10">
      <c r="A747" s="81" t="s">
        <v>10</v>
      </c>
      <c r="B747" s="81" t="s">
        <v>11</v>
      </c>
      <c r="C747" s="82">
        <v>0.30902777777777801</v>
      </c>
      <c r="D747" s="83">
        <v>0</v>
      </c>
      <c r="E747" s="83">
        <v>0</v>
      </c>
      <c r="F747" s="83">
        <v>0</v>
      </c>
      <c r="G747" s="83">
        <v>0</v>
      </c>
      <c r="H747" s="83">
        <v>0</v>
      </c>
      <c r="I747" s="83">
        <v>0</v>
      </c>
      <c r="J747" s="83">
        <v>0</v>
      </c>
    </row>
    <row r="748" spans="1:10">
      <c r="A748" s="81" t="s">
        <v>10</v>
      </c>
      <c r="B748" s="81" t="s">
        <v>11</v>
      </c>
      <c r="C748" s="82">
        <v>0.30972222222222201</v>
      </c>
      <c r="D748" s="83">
        <v>0</v>
      </c>
      <c r="E748" s="83">
        <v>0</v>
      </c>
      <c r="F748" s="83">
        <v>0</v>
      </c>
      <c r="G748" s="83">
        <v>0</v>
      </c>
      <c r="H748" s="83">
        <v>0</v>
      </c>
      <c r="I748" s="83">
        <v>0</v>
      </c>
      <c r="J748" s="83">
        <v>0</v>
      </c>
    </row>
    <row r="749" spans="1:10">
      <c r="A749" s="81" t="s">
        <v>10</v>
      </c>
      <c r="B749" s="81" t="s">
        <v>11</v>
      </c>
      <c r="C749" s="82">
        <v>0.31041666666666701</v>
      </c>
      <c r="D749" s="83">
        <v>0</v>
      </c>
      <c r="E749" s="83">
        <v>0</v>
      </c>
      <c r="F749" s="83">
        <v>0</v>
      </c>
      <c r="G749" s="83">
        <v>0</v>
      </c>
      <c r="H749" s="83">
        <v>0</v>
      </c>
      <c r="I749" s="83">
        <v>0</v>
      </c>
      <c r="J749" s="83">
        <v>0</v>
      </c>
    </row>
    <row r="750" spans="1:10">
      <c r="A750" s="81" t="s">
        <v>10</v>
      </c>
      <c r="B750" s="81" t="s">
        <v>11</v>
      </c>
      <c r="C750" s="82">
        <v>0.31111111111111101</v>
      </c>
      <c r="D750" s="83">
        <v>0</v>
      </c>
      <c r="E750" s="83">
        <v>0</v>
      </c>
      <c r="F750" s="83">
        <v>0</v>
      </c>
      <c r="G750" s="83">
        <v>0</v>
      </c>
      <c r="H750" s="83">
        <v>0</v>
      </c>
      <c r="I750" s="83">
        <v>0</v>
      </c>
      <c r="J750" s="83">
        <v>0</v>
      </c>
    </row>
    <row r="751" spans="1:10" s="80" customFormat="1">
      <c r="A751" s="84" t="s">
        <v>10</v>
      </c>
      <c r="B751" s="84" t="s">
        <v>11</v>
      </c>
      <c r="C751" s="85">
        <v>0.311805555555556</v>
      </c>
      <c r="D751" s="86">
        <v>0</v>
      </c>
      <c r="E751" s="86">
        <v>0</v>
      </c>
      <c r="F751" s="86">
        <v>0</v>
      </c>
      <c r="G751" s="86">
        <v>0</v>
      </c>
      <c r="H751" s="86">
        <v>0</v>
      </c>
      <c r="I751" s="86">
        <v>0</v>
      </c>
      <c r="J751" s="86">
        <v>0</v>
      </c>
    </row>
    <row r="752" spans="1:10">
      <c r="A752" s="81" t="s">
        <v>10</v>
      </c>
      <c r="B752" s="81" t="s">
        <v>11</v>
      </c>
      <c r="C752" s="82">
        <v>0.3125</v>
      </c>
      <c r="D752" s="83">
        <v>0</v>
      </c>
      <c r="E752" s="83">
        <v>0</v>
      </c>
      <c r="F752" s="83">
        <v>0</v>
      </c>
      <c r="G752" s="83">
        <v>0</v>
      </c>
      <c r="H752" s="83">
        <v>0</v>
      </c>
      <c r="I752" s="83">
        <v>0</v>
      </c>
      <c r="J752" s="83">
        <v>0</v>
      </c>
    </row>
    <row r="753" spans="1:10">
      <c r="A753" s="81" t="s">
        <v>10</v>
      </c>
      <c r="B753" s="81" t="s">
        <v>11</v>
      </c>
      <c r="C753" s="82">
        <v>0.313194444444444</v>
      </c>
      <c r="D753" s="83">
        <v>0</v>
      </c>
      <c r="E753" s="83">
        <v>0</v>
      </c>
      <c r="F753" s="83">
        <v>0</v>
      </c>
      <c r="G753" s="83">
        <v>0</v>
      </c>
      <c r="H753" s="83">
        <v>0</v>
      </c>
      <c r="I753" s="83">
        <v>0</v>
      </c>
      <c r="J753" s="83">
        <v>0</v>
      </c>
    </row>
    <row r="754" spans="1:10">
      <c r="A754" s="81" t="s">
        <v>10</v>
      </c>
      <c r="B754" s="81" t="s">
        <v>11</v>
      </c>
      <c r="C754" s="82">
        <v>0.31388888888888899</v>
      </c>
      <c r="D754" s="83">
        <v>0</v>
      </c>
      <c r="E754" s="83">
        <v>0</v>
      </c>
      <c r="F754" s="83">
        <v>0</v>
      </c>
      <c r="G754" s="83">
        <v>0</v>
      </c>
      <c r="H754" s="83">
        <v>0</v>
      </c>
      <c r="I754" s="83">
        <v>0</v>
      </c>
      <c r="J754" s="83">
        <v>0</v>
      </c>
    </row>
    <row r="755" spans="1:10">
      <c r="A755" s="81" t="s">
        <v>10</v>
      </c>
      <c r="B755" s="81" t="s">
        <v>11</v>
      </c>
      <c r="C755" s="82">
        <v>0.31458333333333299</v>
      </c>
      <c r="D755" s="83">
        <v>0</v>
      </c>
      <c r="E755" s="83">
        <v>0</v>
      </c>
      <c r="F755" s="83">
        <v>0</v>
      </c>
      <c r="G755" s="83">
        <v>0</v>
      </c>
      <c r="H755" s="83">
        <v>0</v>
      </c>
      <c r="I755" s="83">
        <v>0</v>
      </c>
      <c r="J755" s="83">
        <v>0</v>
      </c>
    </row>
    <row r="756" spans="1:10">
      <c r="A756" s="81" t="s">
        <v>10</v>
      </c>
      <c r="B756" s="81" t="s">
        <v>11</v>
      </c>
      <c r="C756" s="82">
        <v>0.31527777777777799</v>
      </c>
      <c r="D756" s="83">
        <v>0</v>
      </c>
      <c r="E756" s="83">
        <v>0</v>
      </c>
      <c r="F756" s="83">
        <v>0</v>
      </c>
      <c r="G756" s="83">
        <v>0</v>
      </c>
      <c r="H756" s="83">
        <v>0</v>
      </c>
      <c r="I756" s="83">
        <v>0</v>
      </c>
      <c r="J756" s="83">
        <v>0</v>
      </c>
    </row>
    <row r="757" spans="1:10">
      <c r="A757" s="81" t="s">
        <v>10</v>
      </c>
      <c r="B757" s="81" t="s">
        <v>11</v>
      </c>
      <c r="C757" s="82">
        <v>0.31597222222222199</v>
      </c>
      <c r="D757" s="83">
        <v>0</v>
      </c>
      <c r="E757" s="83">
        <v>0</v>
      </c>
      <c r="F757" s="83">
        <v>0</v>
      </c>
      <c r="G757" s="83">
        <v>0</v>
      </c>
      <c r="H757" s="83">
        <v>0</v>
      </c>
      <c r="I757" s="83">
        <v>0</v>
      </c>
      <c r="J757" s="83">
        <v>0</v>
      </c>
    </row>
    <row r="758" spans="1:10">
      <c r="A758" s="81" t="s">
        <v>10</v>
      </c>
      <c r="B758" s="81" t="s">
        <v>11</v>
      </c>
      <c r="C758" s="82">
        <v>0.31666666666666698</v>
      </c>
      <c r="D758" s="83">
        <v>0</v>
      </c>
      <c r="E758" s="83">
        <v>0</v>
      </c>
      <c r="F758" s="83">
        <v>0</v>
      </c>
      <c r="G758" s="83">
        <v>0</v>
      </c>
      <c r="H758" s="83">
        <v>0</v>
      </c>
      <c r="I758" s="83">
        <v>0</v>
      </c>
      <c r="J758" s="83">
        <v>0</v>
      </c>
    </row>
    <row r="759" spans="1:10">
      <c r="A759" s="81" t="s">
        <v>10</v>
      </c>
      <c r="B759" s="81" t="s">
        <v>11</v>
      </c>
      <c r="C759" s="82">
        <v>0.31736111111111098</v>
      </c>
      <c r="D759" s="83">
        <v>0</v>
      </c>
      <c r="E759" s="83">
        <v>0</v>
      </c>
      <c r="F759" s="83">
        <v>0</v>
      </c>
      <c r="G759" s="83">
        <v>0</v>
      </c>
      <c r="H759" s="83">
        <v>0</v>
      </c>
      <c r="I759" s="83">
        <v>0</v>
      </c>
      <c r="J759" s="83">
        <v>0</v>
      </c>
    </row>
    <row r="760" spans="1:10">
      <c r="A760" s="81" t="s">
        <v>10</v>
      </c>
      <c r="B760" s="81" t="s">
        <v>11</v>
      </c>
      <c r="C760" s="82">
        <v>0.31805555555555498</v>
      </c>
      <c r="D760" s="83">
        <v>0</v>
      </c>
      <c r="E760" s="83">
        <v>0</v>
      </c>
      <c r="F760" s="83">
        <v>0</v>
      </c>
      <c r="G760" s="83">
        <v>0</v>
      </c>
      <c r="H760" s="83">
        <v>0</v>
      </c>
      <c r="I760" s="83">
        <v>0</v>
      </c>
      <c r="J760" s="83">
        <v>0</v>
      </c>
    </row>
    <row r="761" spans="1:10">
      <c r="A761" s="81" t="s">
        <v>10</v>
      </c>
      <c r="B761" s="81" t="s">
        <v>11</v>
      </c>
      <c r="C761" s="82">
        <v>0.31874999999999998</v>
      </c>
      <c r="D761" s="83">
        <v>0</v>
      </c>
      <c r="E761" s="83">
        <v>0</v>
      </c>
      <c r="F761" s="83">
        <v>0</v>
      </c>
      <c r="G761" s="83">
        <v>0</v>
      </c>
      <c r="H761" s="83">
        <v>0</v>
      </c>
      <c r="I761" s="83">
        <v>0</v>
      </c>
      <c r="J761" s="83">
        <v>0</v>
      </c>
    </row>
    <row r="762" spans="1:10">
      <c r="A762" s="81" t="s">
        <v>10</v>
      </c>
      <c r="B762" s="81" t="s">
        <v>11</v>
      </c>
      <c r="C762" s="82">
        <v>0.31944444444444398</v>
      </c>
      <c r="D762" s="83">
        <v>0</v>
      </c>
      <c r="E762" s="83">
        <v>0</v>
      </c>
      <c r="F762" s="83">
        <v>0</v>
      </c>
      <c r="G762" s="83">
        <v>0</v>
      </c>
      <c r="H762" s="83">
        <v>0</v>
      </c>
      <c r="I762" s="83">
        <v>0</v>
      </c>
      <c r="J762" s="83">
        <v>0</v>
      </c>
    </row>
    <row r="763" spans="1:10">
      <c r="A763" s="81" t="s">
        <v>10</v>
      </c>
      <c r="B763" s="81" t="s">
        <v>11</v>
      </c>
      <c r="C763" s="82">
        <v>0.32013888888888897</v>
      </c>
      <c r="D763" s="83">
        <v>0</v>
      </c>
      <c r="E763" s="83">
        <v>0</v>
      </c>
      <c r="F763" s="83">
        <v>0</v>
      </c>
      <c r="G763" s="83">
        <v>0</v>
      </c>
      <c r="H763" s="83">
        <v>0</v>
      </c>
      <c r="I763" s="83">
        <v>0</v>
      </c>
      <c r="J763" s="83">
        <v>0</v>
      </c>
    </row>
    <row r="764" spans="1:10">
      <c r="A764" s="81" t="s">
        <v>10</v>
      </c>
      <c r="B764" s="81" t="s">
        <v>11</v>
      </c>
      <c r="C764" s="82">
        <v>0.32083333333333303</v>
      </c>
      <c r="D764" s="83">
        <v>0</v>
      </c>
      <c r="E764" s="83">
        <v>0</v>
      </c>
      <c r="F764" s="83">
        <v>0</v>
      </c>
      <c r="G764" s="83">
        <v>0</v>
      </c>
      <c r="H764" s="83">
        <v>0</v>
      </c>
      <c r="I764" s="83">
        <v>0</v>
      </c>
      <c r="J764" s="83">
        <v>0</v>
      </c>
    </row>
    <row r="765" spans="1:10">
      <c r="A765" s="81" t="s">
        <v>10</v>
      </c>
      <c r="B765" s="81" t="s">
        <v>11</v>
      </c>
      <c r="C765" s="82">
        <v>0.32152777777777802</v>
      </c>
      <c r="D765" s="83">
        <v>0</v>
      </c>
      <c r="E765" s="83">
        <v>0</v>
      </c>
      <c r="F765" s="83">
        <v>0</v>
      </c>
      <c r="G765" s="83">
        <v>0</v>
      </c>
      <c r="H765" s="83">
        <v>0</v>
      </c>
      <c r="I765" s="83">
        <v>0</v>
      </c>
      <c r="J765" s="83">
        <v>0</v>
      </c>
    </row>
    <row r="766" spans="1:10" s="80" customFormat="1">
      <c r="A766" s="84" t="s">
        <v>10</v>
      </c>
      <c r="B766" s="84" t="s">
        <v>11</v>
      </c>
      <c r="C766" s="85">
        <v>0.32222222222222202</v>
      </c>
      <c r="D766" s="86">
        <v>0</v>
      </c>
      <c r="E766" s="86">
        <v>0</v>
      </c>
      <c r="F766" s="86">
        <v>0</v>
      </c>
      <c r="G766" s="86">
        <v>0</v>
      </c>
      <c r="H766" s="86">
        <v>0</v>
      </c>
      <c r="I766" s="86">
        <v>0</v>
      </c>
      <c r="J766" s="86">
        <v>0</v>
      </c>
    </row>
    <row r="767" spans="1:10">
      <c r="A767" s="81" t="s">
        <v>10</v>
      </c>
      <c r="B767" s="81" t="s">
        <v>11</v>
      </c>
      <c r="C767" s="82">
        <v>0.32291666666666702</v>
      </c>
      <c r="D767" s="83">
        <v>0</v>
      </c>
      <c r="E767" s="83">
        <v>0</v>
      </c>
      <c r="F767" s="83">
        <v>0</v>
      </c>
      <c r="G767" s="83">
        <v>0</v>
      </c>
      <c r="H767" s="83">
        <v>0</v>
      </c>
      <c r="I767" s="83">
        <v>0</v>
      </c>
      <c r="J767" s="83">
        <v>0</v>
      </c>
    </row>
    <row r="768" spans="1:10">
      <c r="A768" s="81" t="s">
        <v>10</v>
      </c>
      <c r="B768" s="81" t="s">
        <v>11</v>
      </c>
      <c r="C768" s="82">
        <v>0.32361111111111102</v>
      </c>
      <c r="D768" s="83">
        <v>0</v>
      </c>
      <c r="E768" s="83">
        <v>0</v>
      </c>
      <c r="F768" s="83">
        <v>0</v>
      </c>
      <c r="G768" s="83">
        <v>0</v>
      </c>
      <c r="H768" s="83">
        <v>0</v>
      </c>
      <c r="I768" s="83">
        <v>0</v>
      </c>
      <c r="J768" s="83">
        <v>0</v>
      </c>
    </row>
    <row r="769" spans="1:10">
      <c r="A769" s="81" t="s">
        <v>10</v>
      </c>
      <c r="B769" s="81" t="s">
        <v>11</v>
      </c>
      <c r="C769" s="82">
        <v>0.32430555555555601</v>
      </c>
      <c r="D769" s="83">
        <v>0</v>
      </c>
      <c r="E769" s="83">
        <v>0</v>
      </c>
      <c r="F769" s="83">
        <v>0</v>
      </c>
      <c r="G769" s="83">
        <v>0</v>
      </c>
      <c r="H769" s="83">
        <v>0</v>
      </c>
      <c r="I769" s="83">
        <v>0</v>
      </c>
      <c r="J769" s="83">
        <v>0</v>
      </c>
    </row>
    <row r="770" spans="1:10">
      <c r="A770" s="81" t="s">
        <v>10</v>
      </c>
      <c r="B770" s="81" t="s">
        <v>11</v>
      </c>
      <c r="C770" s="82">
        <v>0.32500000000000001</v>
      </c>
      <c r="D770" s="83">
        <v>0</v>
      </c>
      <c r="E770" s="83">
        <v>0</v>
      </c>
      <c r="F770" s="83">
        <v>0</v>
      </c>
      <c r="G770" s="83">
        <v>0</v>
      </c>
      <c r="H770" s="83">
        <v>0</v>
      </c>
      <c r="I770" s="83">
        <v>0</v>
      </c>
      <c r="J770" s="83">
        <v>0</v>
      </c>
    </row>
    <row r="771" spans="1:10">
      <c r="A771" s="81" t="s">
        <v>10</v>
      </c>
      <c r="B771" s="81" t="s">
        <v>11</v>
      </c>
      <c r="C771" s="82">
        <v>0.32569444444444401</v>
      </c>
      <c r="D771" s="83">
        <v>0</v>
      </c>
      <c r="E771" s="83">
        <v>0</v>
      </c>
      <c r="F771" s="83">
        <v>0</v>
      </c>
      <c r="G771" s="83">
        <v>0</v>
      </c>
      <c r="H771" s="83">
        <v>0</v>
      </c>
      <c r="I771" s="83">
        <v>0</v>
      </c>
      <c r="J771" s="83">
        <v>0</v>
      </c>
    </row>
    <row r="772" spans="1:10">
      <c r="A772" s="81" t="s">
        <v>10</v>
      </c>
      <c r="B772" s="81" t="s">
        <v>11</v>
      </c>
      <c r="C772" s="82">
        <v>0.32638888888888901</v>
      </c>
      <c r="D772" s="83">
        <v>0</v>
      </c>
      <c r="E772" s="83">
        <v>0</v>
      </c>
      <c r="F772" s="83">
        <v>0</v>
      </c>
      <c r="G772" s="83">
        <v>0</v>
      </c>
      <c r="H772" s="83">
        <v>0</v>
      </c>
      <c r="I772" s="83">
        <v>0</v>
      </c>
      <c r="J772" s="83">
        <v>0</v>
      </c>
    </row>
    <row r="773" spans="1:10">
      <c r="A773" s="81" t="s">
        <v>10</v>
      </c>
      <c r="B773" s="81" t="s">
        <v>11</v>
      </c>
      <c r="C773" s="82">
        <v>0.327083333333333</v>
      </c>
      <c r="D773" s="83">
        <v>0</v>
      </c>
      <c r="E773" s="83">
        <v>0</v>
      </c>
      <c r="F773" s="83">
        <v>0</v>
      </c>
      <c r="G773" s="83">
        <v>0</v>
      </c>
      <c r="H773" s="83">
        <v>0</v>
      </c>
      <c r="I773" s="83">
        <v>0</v>
      </c>
      <c r="J773" s="83">
        <v>0</v>
      </c>
    </row>
    <row r="774" spans="1:10">
      <c r="A774" s="81" t="s">
        <v>10</v>
      </c>
      <c r="B774" s="81" t="s">
        <v>11</v>
      </c>
      <c r="C774" s="82">
        <v>0.327777777777778</v>
      </c>
      <c r="D774" s="83">
        <v>0</v>
      </c>
      <c r="E774" s="83">
        <v>0</v>
      </c>
      <c r="F774" s="83">
        <v>0</v>
      </c>
      <c r="G774" s="83">
        <v>0</v>
      </c>
      <c r="H774" s="83">
        <v>0</v>
      </c>
      <c r="I774" s="83">
        <v>0</v>
      </c>
      <c r="J774" s="83">
        <v>0</v>
      </c>
    </row>
    <row r="775" spans="1:10">
      <c r="A775" s="81" t="s">
        <v>10</v>
      </c>
      <c r="B775" s="81" t="s">
        <v>11</v>
      </c>
      <c r="C775" s="82">
        <v>0.328472222222222</v>
      </c>
      <c r="D775" s="83">
        <v>0</v>
      </c>
      <c r="E775" s="83">
        <v>0</v>
      </c>
      <c r="F775" s="83">
        <v>0</v>
      </c>
      <c r="G775" s="83">
        <v>0</v>
      </c>
      <c r="H775" s="83">
        <v>0</v>
      </c>
      <c r="I775" s="83">
        <v>0</v>
      </c>
      <c r="J775" s="83">
        <v>0</v>
      </c>
    </row>
    <row r="776" spans="1:10">
      <c r="A776" s="81" t="s">
        <v>10</v>
      </c>
      <c r="B776" s="81" t="s">
        <v>11</v>
      </c>
      <c r="C776" s="82">
        <v>0.329166666666667</v>
      </c>
      <c r="D776" s="83">
        <v>0</v>
      </c>
      <c r="E776" s="83">
        <v>0</v>
      </c>
      <c r="F776" s="83">
        <v>0</v>
      </c>
      <c r="G776" s="83">
        <v>0</v>
      </c>
      <c r="H776" s="83">
        <v>0</v>
      </c>
      <c r="I776" s="83">
        <v>0</v>
      </c>
      <c r="J776" s="83">
        <v>0</v>
      </c>
    </row>
    <row r="777" spans="1:10">
      <c r="A777" s="81" t="s">
        <v>10</v>
      </c>
      <c r="B777" s="81" t="s">
        <v>11</v>
      </c>
      <c r="C777" s="82">
        <v>0.32986111111111099</v>
      </c>
      <c r="D777" s="83">
        <v>0</v>
      </c>
      <c r="E777" s="83">
        <v>0</v>
      </c>
      <c r="F777" s="83">
        <v>0</v>
      </c>
      <c r="G777" s="83">
        <v>0</v>
      </c>
      <c r="H777" s="83">
        <v>0</v>
      </c>
      <c r="I777" s="83">
        <v>0</v>
      </c>
      <c r="J777" s="83">
        <v>0</v>
      </c>
    </row>
    <row r="778" spans="1:10">
      <c r="A778" s="81" t="s">
        <v>10</v>
      </c>
      <c r="B778" s="81" t="s">
        <v>11</v>
      </c>
      <c r="C778" s="82">
        <v>0.33055555555555499</v>
      </c>
      <c r="D778" s="83">
        <v>0</v>
      </c>
      <c r="E778" s="83">
        <v>0</v>
      </c>
      <c r="F778" s="83">
        <v>0</v>
      </c>
      <c r="G778" s="83">
        <v>0</v>
      </c>
      <c r="H778" s="83">
        <v>0</v>
      </c>
      <c r="I778" s="83">
        <v>0</v>
      </c>
      <c r="J778" s="83">
        <v>0</v>
      </c>
    </row>
    <row r="779" spans="1:10">
      <c r="A779" s="81" t="s">
        <v>10</v>
      </c>
      <c r="B779" s="81" t="s">
        <v>11</v>
      </c>
      <c r="C779" s="82">
        <v>0.33124999999999999</v>
      </c>
      <c r="D779" s="83">
        <v>0</v>
      </c>
      <c r="E779" s="83">
        <v>0</v>
      </c>
      <c r="F779" s="83">
        <v>0</v>
      </c>
      <c r="G779" s="83">
        <v>0</v>
      </c>
      <c r="H779" s="83">
        <v>0</v>
      </c>
      <c r="I779" s="83">
        <v>0</v>
      </c>
      <c r="J779" s="83">
        <v>0</v>
      </c>
    </row>
    <row r="780" spans="1:10">
      <c r="A780" s="81" t="s">
        <v>10</v>
      </c>
      <c r="B780" s="81" t="s">
        <v>11</v>
      </c>
      <c r="C780" s="82">
        <v>0.33194444444444399</v>
      </c>
      <c r="D780" s="83">
        <v>0</v>
      </c>
      <c r="E780" s="83">
        <v>0</v>
      </c>
      <c r="F780" s="83">
        <v>0</v>
      </c>
      <c r="G780" s="83">
        <v>0</v>
      </c>
      <c r="H780" s="83">
        <v>0</v>
      </c>
      <c r="I780" s="83">
        <v>0</v>
      </c>
      <c r="J780" s="83">
        <v>0</v>
      </c>
    </row>
    <row r="781" spans="1:10" s="80" customFormat="1">
      <c r="A781" s="84" t="s">
        <v>10</v>
      </c>
      <c r="B781" s="84" t="s">
        <v>11</v>
      </c>
      <c r="C781" s="85">
        <v>0.33263888888888898</v>
      </c>
      <c r="D781" s="86">
        <v>0</v>
      </c>
      <c r="E781" s="86">
        <v>0</v>
      </c>
      <c r="F781" s="86">
        <v>0</v>
      </c>
      <c r="G781" s="86">
        <v>0</v>
      </c>
      <c r="H781" s="86">
        <v>0</v>
      </c>
      <c r="I781" s="86">
        <v>0</v>
      </c>
      <c r="J781" s="86">
        <v>0</v>
      </c>
    </row>
    <row r="782" spans="1:10">
      <c r="A782" s="81" t="s">
        <v>10</v>
      </c>
      <c r="B782" s="81" t="s">
        <v>11</v>
      </c>
      <c r="C782" s="82">
        <v>0.33333333333333298</v>
      </c>
      <c r="D782" s="83">
        <v>0</v>
      </c>
      <c r="E782" s="83">
        <v>0</v>
      </c>
      <c r="F782" s="83">
        <v>0</v>
      </c>
      <c r="G782" s="83">
        <v>0</v>
      </c>
      <c r="H782" s="83">
        <v>0</v>
      </c>
      <c r="I782" s="83">
        <v>0</v>
      </c>
      <c r="J782" s="83">
        <v>0</v>
      </c>
    </row>
    <row r="783" spans="1:10">
      <c r="A783" s="81" t="s">
        <v>10</v>
      </c>
      <c r="B783" s="81" t="s">
        <v>11</v>
      </c>
      <c r="C783" s="82">
        <v>0.33402777777777798</v>
      </c>
      <c r="D783" s="83">
        <v>0</v>
      </c>
      <c r="E783" s="83">
        <v>0</v>
      </c>
      <c r="F783" s="83">
        <v>0</v>
      </c>
      <c r="G783" s="83">
        <v>0</v>
      </c>
      <c r="H783" s="83">
        <v>0</v>
      </c>
      <c r="I783" s="83">
        <v>0</v>
      </c>
      <c r="J783" s="83">
        <v>0</v>
      </c>
    </row>
    <row r="784" spans="1:10">
      <c r="A784" s="81" t="s">
        <v>10</v>
      </c>
      <c r="B784" s="81" t="s">
        <v>11</v>
      </c>
      <c r="C784" s="82">
        <v>0.33472222222222198</v>
      </c>
      <c r="D784" s="83">
        <v>0</v>
      </c>
      <c r="E784" s="83">
        <v>0</v>
      </c>
      <c r="F784" s="83">
        <v>0</v>
      </c>
      <c r="G784" s="83">
        <v>0</v>
      </c>
      <c r="H784" s="83">
        <v>0</v>
      </c>
      <c r="I784" s="83">
        <v>0</v>
      </c>
      <c r="J784" s="83">
        <v>0</v>
      </c>
    </row>
    <row r="785" spans="1:10">
      <c r="A785" s="81" t="s">
        <v>10</v>
      </c>
      <c r="B785" s="81" t="s">
        <v>11</v>
      </c>
      <c r="C785" s="82">
        <v>0.33541666666666597</v>
      </c>
      <c r="D785" s="83">
        <v>0</v>
      </c>
      <c r="E785" s="83">
        <v>0</v>
      </c>
      <c r="F785" s="83">
        <v>0</v>
      </c>
      <c r="G785" s="83">
        <v>0</v>
      </c>
      <c r="H785" s="83">
        <v>0</v>
      </c>
      <c r="I785" s="83">
        <v>0</v>
      </c>
      <c r="J785" s="83">
        <v>0</v>
      </c>
    </row>
    <row r="786" spans="1:10">
      <c r="A786" s="81" t="s">
        <v>10</v>
      </c>
      <c r="B786" s="81" t="s">
        <v>11</v>
      </c>
      <c r="C786" s="82">
        <v>0.33611111111111103</v>
      </c>
      <c r="D786" s="83">
        <v>0</v>
      </c>
      <c r="E786" s="83">
        <v>0</v>
      </c>
      <c r="F786" s="83">
        <v>0</v>
      </c>
      <c r="G786" s="83">
        <v>0</v>
      </c>
      <c r="H786" s="83">
        <v>0</v>
      </c>
      <c r="I786" s="83">
        <v>0</v>
      </c>
      <c r="J786" s="83">
        <v>0</v>
      </c>
    </row>
    <row r="787" spans="1:10">
      <c r="A787" s="81" t="s">
        <v>10</v>
      </c>
      <c r="B787" s="81" t="s">
        <v>11</v>
      </c>
      <c r="C787" s="82">
        <v>0.33680555555555503</v>
      </c>
      <c r="D787" s="83">
        <v>0</v>
      </c>
      <c r="E787" s="83">
        <v>0</v>
      </c>
      <c r="F787" s="83">
        <v>0</v>
      </c>
      <c r="G787" s="83">
        <v>0</v>
      </c>
      <c r="H787" s="83">
        <v>0</v>
      </c>
      <c r="I787" s="83">
        <v>0</v>
      </c>
      <c r="J787" s="83">
        <v>0</v>
      </c>
    </row>
    <row r="788" spans="1:10">
      <c r="A788" s="81" t="s">
        <v>10</v>
      </c>
      <c r="B788" s="81" t="s">
        <v>11</v>
      </c>
      <c r="C788" s="82">
        <v>0.33750000000000002</v>
      </c>
      <c r="D788" s="83">
        <v>0</v>
      </c>
      <c r="E788" s="83">
        <v>0</v>
      </c>
      <c r="F788" s="83">
        <v>0</v>
      </c>
      <c r="G788" s="83">
        <v>0</v>
      </c>
      <c r="H788" s="83">
        <v>0</v>
      </c>
      <c r="I788" s="83">
        <v>0</v>
      </c>
      <c r="J788" s="83">
        <v>0</v>
      </c>
    </row>
    <row r="789" spans="1:10">
      <c r="A789" s="81" t="s">
        <v>10</v>
      </c>
      <c r="B789" s="81" t="s">
        <v>11</v>
      </c>
      <c r="C789" s="82">
        <v>0.33819444444444402</v>
      </c>
      <c r="D789" s="83">
        <v>0</v>
      </c>
      <c r="E789" s="83">
        <v>0</v>
      </c>
      <c r="F789" s="83">
        <v>0</v>
      </c>
      <c r="G789" s="83">
        <v>0</v>
      </c>
      <c r="H789" s="83">
        <v>0</v>
      </c>
      <c r="I789" s="83">
        <v>0</v>
      </c>
      <c r="J789" s="83">
        <v>0</v>
      </c>
    </row>
    <row r="790" spans="1:10">
      <c r="A790" s="81" t="s">
        <v>10</v>
      </c>
      <c r="B790" s="81" t="s">
        <v>11</v>
      </c>
      <c r="C790" s="82">
        <v>0.33888888888888902</v>
      </c>
      <c r="D790" s="83">
        <v>0</v>
      </c>
      <c r="E790" s="83">
        <v>0</v>
      </c>
      <c r="F790" s="83">
        <v>0</v>
      </c>
      <c r="G790" s="83">
        <v>0</v>
      </c>
      <c r="H790" s="83">
        <v>0</v>
      </c>
      <c r="I790" s="83">
        <v>0</v>
      </c>
      <c r="J790" s="83">
        <v>0</v>
      </c>
    </row>
    <row r="791" spans="1:10">
      <c r="A791" s="81" t="s">
        <v>10</v>
      </c>
      <c r="B791" s="81" t="s">
        <v>11</v>
      </c>
      <c r="C791" s="82">
        <v>0.33958333333333302</v>
      </c>
      <c r="D791" s="83">
        <v>0</v>
      </c>
      <c r="E791" s="83">
        <v>0</v>
      </c>
      <c r="F791" s="83">
        <v>0</v>
      </c>
      <c r="G791" s="83">
        <v>0</v>
      </c>
      <c r="H791" s="83">
        <v>0</v>
      </c>
      <c r="I791" s="83">
        <v>0</v>
      </c>
      <c r="J791" s="83">
        <v>0</v>
      </c>
    </row>
    <row r="792" spans="1:10">
      <c r="A792" s="81" t="s">
        <v>10</v>
      </c>
      <c r="B792" s="81" t="s">
        <v>11</v>
      </c>
      <c r="C792" s="82">
        <v>0.34027777777777801</v>
      </c>
      <c r="D792" s="83">
        <v>0</v>
      </c>
      <c r="E792" s="83">
        <v>0</v>
      </c>
      <c r="F792" s="83">
        <v>0</v>
      </c>
      <c r="G792" s="83">
        <v>0</v>
      </c>
      <c r="H792" s="83">
        <v>0</v>
      </c>
      <c r="I792" s="83">
        <v>0</v>
      </c>
      <c r="J792" s="83">
        <v>0</v>
      </c>
    </row>
    <row r="793" spans="1:10">
      <c r="A793" s="81" t="s">
        <v>10</v>
      </c>
      <c r="B793" s="81" t="s">
        <v>11</v>
      </c>
      <c r="C793" s="82">
        <v>0.34097222222222201</v>
      </c>
      <c r="D793" s="83">
        <v>0</v>
      </c>
      <c r="E793" s="83">
        <v>0</v>
      </c>
      <c r="F793" s="83">
        <v>0</v>
      </c>
      <c r="G793" s="83">
        <v>0</v>
      </c>
      <c r="H793" s="83">
        <v>0</v>
      </c>
      <c r="I793" s="83">
        <v>0</v>
      </c>
      <c r="J793" s="83">
        <v>0</v>
      </c>
    </row>
    <row r="794" spans="1:10">
      <c r="A794" s="81" t="s">
        <v>10</v>
      </c>
      <c r="B794" s="81" t="s">
        <v>11</v>
      </c>
      <c r="C794" s="82">
        <v>0.34166666666666701</v>
      </c>
      <c r="D794" s="83">
        <v>0</v>
      </c>
      <c r="E794" s="83">
        <v>0</v>
      </c>
      <c r="F794" s="83">
        <v>0</v>
      </c>
      <c r="G794" s="83">
        <v>0</v>
      </c>
      <c r="H794" s="83">
        <v>0</v>
      </c>
      <c r="I794" s="83">
        <v>0</v>
      </c>
      <c r="J794" s="83">
        <v>0</v>
      </c>
    </row>
    <row r="795" spans="1:10">
      <c r="A795" s="81" t="s">
        <v>10</v>
      </c>
      <c r="B795" s="81" t="s">
        <v>11</v>
      </c>
      <c r="C795" s="82">
        <v>0.34236111111111101</v>
      </c>
      <c r="D795" s="83">
        <v>0</v>
      </c>
      <c r="E795" s="83">
        <v>0</v>
      </c>
      <c r="F795" s="83">
        <v>0</v>
      </c>
      <c r="G795" s="83">
        <v>0</v>
      </c>
      <c r="H795" s="83">
        <v>0</v>
      </c>
      <c r="I795" s="83">
        <v>0</v>
      </c>
      <c r="J795" s="83">
        <v>0</v>
      </c>
    </row>
    <row r="796" spans="1:10" s="80" customFormat="1">
      <c r="A796" s="84" t="s">
        <v>10</v>
      </c>
      <c r="B796" s="84" t="s">
        <v>11</v>
      </c>
      <c r="C796" s="85">
        <v>0.343055555555555</v>
      </c>
      <c r="D796" s="86">
        <v>0</v>
      </c>
      <c r="E796" s="86">
        <v>0</v>
      </c>
      <c r="F796" s="86">
        <v>0</v>
      </c>
      <c r="G796" s="86">
        <v>0</v>
      </c>
      <c r="H796" s="86">
        <v>0</v>
      </c>
      <c r="I796" s="86">
        <v>0</v>
      </c>
      <c r="J796" s="86">
        <v>0</v>
      </c>
    </row>
    <row r="797" spans="1:10">
      <c r="A797" s="81" t="s">
        <v>10</v>
      </c>
      <c r="B797" s="81" t="s">
        <v>11</v>
      </c>
      <c r="C797" s="82">
        <v>0.34375</v>
      </c>
      <c r="D797" s="83">
        <v>0</v>
      </c>
      <c r="E797" s="83">
        <v>0</v>
      </c>
      <c r="F797" s="83">
        <v>0</v>
      </c>
      <c r="G797" s="83">
        <v>0</v>
      </c>
      <c r="H797" s="83">
        <v>0</v>
      </c>
      <c r="I797" s="83">
        <v>0</v>
      </c>
      <c r="J797" s="83">
        <v>0</v>
      </c>
    </row>
    <row r="798" spans="1:10">
      <c r="A798" s="81" t="s">
        <v>10</v>
      </c>
      <c r="B798" s="81" t="s">
        <v>11</v>
      </c>
      <c r="C798" s="82">
        <v>0.344444444444444</v>
      </c>
      <c r="D798" s="83">
        <v>0</v>
      </c>
      <c r="E798" s="83">
        <v>0</v>
      </c>
      <c r="F798" s="83">
        <v>0</v>
      </c>
      <c r="G798" s="83">
        <v>0</v>
      </c>
      <c r="H798" s="83">
        <v>0</v>
      </c>
      <c r="I798" s="83">
        <v>0</v>
      </c>
      <c r="J798" s="83">
        <v>0</v>
      </c>
    </row>
    <row r="799" spans="1:10">
      <c r="A799" s="81" t="s">
        <v>10</v>
      </c>
      <c r="B799" s="81" t="s">
        <v>11</v>
      </c>
      <c r="C799" s="82">
        <v>0.34513888888888899</v>
      </c>
      <c r="D799" s="83">
        <v>0</v>
      </c>
      <c r="E799" s="83">
        <v>0</v>
      </c>
      <c r="F799" s="83">
        <v>0</v>
      </c>
      <c r="G799" s="83">
        <v>0</v>
      </c>
      <c r="H799" s="83">
        <v>0</v>
      </c>
      <c r="I799" s="83">
        <v>0</v>
      </c>
      <c r="J799" s="83">
        <v>0</v>
      </c>
    </row>
    <row r="800" spans="1:10">
      <c r="A800" s="81" t="s">
        <v>10</v>
      </c>
      <c r="B800" s="81" t="s">
        <v>11</v>
      </c>
      <c r="C800" s="82">
        <v>0.34583333333333299</v>
      </c>
      <c r="D800" s="83">
        <v>0</v>
      </c>
      <c r="E800" s="83">
        <v>0</v>
      </c>
      <c r="F800" s="83">
        <v>0</v>
      </c>
      <c r="G800" s="83">
        <v>0</v>
      </c>
      <c r="H800" s="83">
        <v>0</v>
      </c>
      <c r="I800" s="83">
        <v>0</v>
      </c>
      <c r="J800" s="83">
        <v>0</v>
      </c>
    </row>
    <row r="801" spans="1:10">
      <c r="A801" s="81" t="s">
        <v>10</v>
      </c>
      <c r="B801" s="81" t="s">
        <v>11</v>
      </c>
      <c r="C801" s="82">
        <v>0.34652777777777799</v>
      </c>
      <c r="D801" s="83">
        <v>0</v>
      </c>
      <c r="E801" s="83">
        <v>0</v>
      </c>
      <c r="F801" s="83">
        <v>0</v>
      </c>
      <c r="G801" s="83">
        <v>0</v>
      </c>
      <c r="H801" s="83">
        <v>0</v>
      </c>
      <c r="I801" s="83">
        <v>0</v>
      </c>
      <c r="J801" s="83">
        <v>0</v>
      </c>
    </row>
    <row r="802" spans="1:10">
      <c r="A802" s="81" t="s">
        <v>10</v>
      </c>
      <c r="B802" s="81" t="s">
        <v>11</v>
      </c>
      <c r="C802" s="82">
        <v>0.34722222222222199</v>
      </c>
      <c r="D802" s="83">
        <v>0</v>
      </c>
      <c r="E802" s="83">
        <v>0</v>
      </c>
      <c r="F802" s="83">
        <v>0</v>
      </c>
      <c r="G802" s="83">
        <v>0</v>
      </c>
      <c r="H802" s="83">
        <v>0</v>
      </c>
      <c r="I802" s="83">
        <v>0</v>
      </c>
      <c r="J802" s="83">
        <v>0</v>
      </c>
    </row>
    <row r="803" spans="1:10">
      <c r="A803" s="81" t="s">
        <v>10</v>
      </c>
      <c r="B803" s="81" t="s">
        <v>11</v>
      </c>
      <c r="C803" s="82">
        <v>0.34791666666666599</v>
      </c>
      <c r="D803" s="83">
        <v>0</v>
      </c>
      <c r="E803" s="83">
        <v>0</v>
      </c>
      <c r="F803" s="83">
        <v>0</v>
      </c>
      <c r="G803" s="83">
        <v>0</v>
      </c>
      <c r="H803" s="83">
        <v>0</v>
      </c>
      <c r="I803" s="83">
        <v>0</v>
      </c>
      <c r="J803" s="83">
        <v>0</v>
      </c>
    </row>
    <row r="804" spans="1:10">
      <c r="A804" s="81" t="s">
        <v>10</v>
      </c>
      <c r="B804" s="81" t="s">
        <v>11</v>
      </c>
      <c r="C804" s="82">
        <v>0.34861111111111098</v>
      </c>
      <c r="D804" s="83">
        <v>0</v>
      </c>
      <c r="E804" s="83">
        <v>0</v>
      </c>
      <c r="F804" s="83">
        <v>0</v>
      </c>
      <c r="G804" s="83">
        <v>0</v>
      </c>
      <c r="H804" s="83">
        <v>0</v>
      </c>
      <c r="I804" s="83">
        <v>0</v>
      </c>
      <c r="J804" s="83">
        <v>0</v>
      </c>
    </row>
    <row r="805" spans="1:10">
      <c r="A805" s="81" t="s">
        <v>10</v>
      </c>
      <c r="B805" s="81" t="s">
        <v>11</v>
      </c>
      <c r="C805" s="82">
        <v>0.34930555555555498</v>
      </c>
      <c r="D805" s="83">
        <v>0</v>
      </c>
      <c r="E805" s="83">
        <v>0</v>
      </c>
      <c r="F805" s="83">
        <v>0</v>
      </c>
      <c r="G805" s="83">
        <v>0</v>
      </c>
      <c r="H805" s="83">
        <v>0</v>
      </c>
      <c r="I805" s="83">
        <v>0</v>
      </c>
      <c r="J805" s="83">
        <v>0</v>
      </c>
    </row>
    <row r="806" spans="1:10">
      <c r="A806" s="81" t="s">
        <v>10</v>
      </c>
      <c r="B806" s="81" t="s">
        <v>11</v>
      </c>
      <c r="C806" s="82">
        <v>0.35</v>
      </c>
      <c r="D806" s="83">
        <v>0</v>
      </c>
      <c r="E806" s="83">
        <v>0</v>
      </c>
      <c r="F806" s="83">
        <v>0</v>
      </c>
      <c r="G806" s="83">
        <v>0</v>
      </c>
      <c r="H806" s="83">
        <v>0</v>
      </c>
      <c r="I806" s="83">
        <v>0</v>
      </c>
      <c r="J806" s="83">
        <v>0</v>
      </c>
    </row>
    <row r="807" spans="1:10">
      <c r="A807" s="81" t="s">
        <v>10</v>
      </c>
      <c r="B807" s="81" t="s">
        <v>11</v>
      </c>
      <c r="C807" s="82">
        <v>0.35069444444444398</v>
      </c>
      <c r="D807" s="83">
        <v>0</v>
      </c>
      <c r="E807" s="83">
        <v>0</v>
      </c>
      <c r="F807" s="83">
        <v>0</v>
      </c>
      <c r="G807" s="83">
        <v>0</v>
      </c>
      <c r="H807" s="83">
        <v>0</v>
      </c>
      <c r="I807" s="83">
        <v>0</v>
      </c>
      <c r="J807" s="83">
        <v>0</v>
      </c>
    </row>
    <row r="808" spans="1:10">
      <c r="A808" s="81" t="s">
        <v>10</v>
      </c>
      <c r="B808" s="81" t="s">
        <v>11</v>
      </c>
      <c r="C808" s="82">
        <v>0.35138888888888897</v>
      </c>
      <c r="D808" s="83">
        <v>0</v>
      </c>
      <c r="E808" s="83">
        <v>0</v>
      </c>
      <c r="F808" s="83">
        <v>0</v>
      </c>
      <c r="G808" s="83">
        <v>0</v>
      </c>
      <c r="H808" s="83">
        <v>0</v>
      </c>
      <c r="I808" s="83">
        <v>0</v>
      </c>
      <c r="J808" s="83">
        <v>0</v>
      </c>
    </row>
    <row r="809" spans="1:10">
      <c r="A809" s="81" t="s">
        <v>10</v>
      </c>
      <c r="B809" s="81" t="s">
        <v>11</v>
      </c>
      <c r="C809" s="82">
        <v>0.35208333333333303</v>
      </c>
      <c r="D809" s="83">
        <v>0</v>
      </c>
      <c r="E809" s="83">
        <v>0</v>
      </c>
      <c r="F809" s="83">
        <v>0</v>
      </c>
      <c r="G809" s="83">
        <v>0</v>
      </c>
      <c r="H809" s="83">
        <v>0</v>
      </c>
      <c r="I809" s="83">
        <v>0</v>
      </c>
      <c r="J809" s="83">
        <v>0</v>
      </c>
    </row>
    <row r="810" spans="1:10">
      <c r="A810" s="81" t="s">
        <v>10</v>
      </c>
      <c r="B810" s="81" t="s">
        <v>11</v>
      </c>
      <c r="C810" s="82">
        <v>0.35277777777777802</v>
      </c>
      <c r="D810" s="83">
        <v>0</v>
      </c>
      <c r="E810" s="83">
        <v>0</v>
      </c>
      <c r="F810" s="83">
        <v>0</v>
      </c>
      <c r="G810" s="83">
        <v>0</v>
      </c>
      <c r="H810" s="83">
        <v>0</v>
      </c>
      <c r="I810" s="83">
        <v>0</v>
      </c>
      <c r="J810" s="83">
        <v>0</v>
      </c>
    </row>
    <row r="811" spans="1:10" s="80" customFormat="1">
      <c r="A811" s="84" t="s">
        <v>10</v>
      </c>
      <c r="B811" s="84" t="s">
        <v>11</v>
      </c>
      <c r="C811" s="85">
        <v>0.35347222222222202</v>
      </c>
      <c r="D811" s="86">
        <v>0</v>
      </c>
      <c r="E811" s="86">
        <v>0</v>
      </c>
      <c r="F811" s="86">
        <v>0</v>
      </c>
      <c r="G811" s="86">
        <v>0</v>
      </c>
      <c r="H811" s="86">
        <v>0</v>
      </c>
      <c r="I811" s="86">
        <v>0</v>
      </c>
      <c r="J811" s="86">
        <v>0</v>
      </c>
    </row>
    <row r="812" spans="1:10">
      <c r="A812" s="81" t="s">
        <v>10</v>
      </c>
      <c r="B812" s="81" t="s">
        <v>11</v>
      </c>
      <c r="C812" s="82">
        <v>0.35416666666666602</v>
      </c>
      <c r="D812" s="83">
        <v>0</v>
      </c>
      <c r="E812" s="83">
        <v>0</v>
      </c>
      <c r="F812" s="83">
        <v>0</v>
      </c>
      <c r="G812" s="83">
        <v>0</v>
      </c>
      <c r="H812" s="83">
        <v>0</v>
      </c>
      <c r="I812" s="83">
        <v>0</v>
      </c>
      <c r="J812" s="83">
        <v>0</v>
      </c>
    </row>
    <row r="813" spans="1:10">
      <c r="A813" s="81" t="s">
        <v>10</v>
      </c>
      <c r="B813" s="81" t="s">
        <v>11</v>
      </c>
      <c r="C813" s="82">
        <v>0.35486111111111102</v>
      </c>
      <c r="D813" s="83">
        <v>0</v>
      </c>
      <c r="E813" s="83">
        <v>0</v>
      </c>
      <c r="F813" s="83">
        <v>0</v>
      </c>
      <c r="G813" s="83">
        <v>0</v>
      </c>
      <c r="H813" s="83">
        <v>0</v>
      </c>
      <c r="I813" s="83">
        <v>0</v>
      </c>
      <c r="J813" s="83">
        <v>0</v>
      </c>
    </row>
    <row r="814" spans="1:10">
      <c r="A814" s="81" t="s">
        <v>10</v>
      </c>
      <c r="B814" s="81" t="s">
        <v>11</v>
      </c>
      <c r="C814" s="82">
        <v>0.35555555555555501</v>
      </c>
      <c r="D814" s="83">
        <v>0</v>
      </c>
      <c r="E814" s="83">
        <v>0</v>
      </c>
      <c r="F814" s="83">
        <v>0</v>
      </c>
      <c r="G814" s="83">
        <v>0</v>
      </c>
      <c r="H814" s="83">
        <v>0</v>
      </c>
      <c r="I814" s="83">
        <v>0</v>
      </c>
      <c r="J814" s="83">
        <v>0</v>
      </c>
    </row>
    <row r="815" spans="1:10">
      <c r="A815" s="81" t="s">
        <v>10</v>
      </c>
      <c r="B815" s="81" t="s">
        <v>11</v>
      </c>
      <c r="C815" s="82">
        <v>0.35625000000000001</v>
      </c>
      <c r="D815" s="83">
        <v>0</v>
      </c>
      <c r="E815" s="83">
        <v>0</v>
      </c>
      <c r="F815" s="83">
        <v>0</v>
      </c>
      <c r="G815" s="83">
        <v>0</v>
      </c>
      <c r="H815" s="83">
        <v>0</v>
      </c>
      <c r="I815" s="83">
        <v>0</v>
      </c>
      <c r="J815" s="83">
        <v>0</v>
      </c>
    </row>
    <row r="816" spans="1:10">
      <c r="A816" s="81" t="s">
        <v>10</v>
      </c>
      <c r="B816" s="81" t="s">
        <v>11</v>
      </c>
      <c r="C816" s="82">
        <v>0.35694444444444401</v>
      </c>
      <c r="D816" s="83">
        <v>0</v>
      </c>
      <c r="E816" s="83">
        <v>0</v>
      </c>
      <c r="F816" s="83">
        <v>0</v>
      </c>
      <c r="G816" s="83">
        <v>0</v>
      </c>
      <c r="H816" s="83">
        <v>0</v>
      </c>
      <c r="I816" s="83">
        <v>0</v>
      </c>
      <c r="J816" s="83">
        <v>0</v>
      </c>
    </row>
    <row r="817" spans="1:10">
      <c r="A817" s="81" t="s">
        <v>10</v>
      </c>
      <c r="B817" s="81" t="s">
        <v>11</v>
      </c>
      <c r="C817" s="82">
        <v>0.35763888888888901</v>
      </c>
      <c r="D817" s="83">
        <v>0</v>
      </c>
      <c r="E817" s="83">
        <v>0</v>
      </c>
      <c r="F817" s="83">
        <v>0</v>
      </c>
      <c r="G817" s="83">
        <v>0</v>
      </c>
      <c r="H817" s="83">
        <v>0</v>
      </c>
      <c r="I817" s="83">
        <v>0</v>
      </c>
      <c r="J817" s="83">
        <v>0</v>
      </c>
    </row>
    <row r="818" spans="1:10">
      <c r="A818" s="81" t="s">
        <v>10</v>
      </c>
      <c r="B818" s="81" t="s">
        <v>11</v>
      </c>
      <c r="C818" s="82">
        <v>0.358333333333333</v>
      </c>
      <c r="D818" s="83">
        <v>0</v>
      </c>
      <c r="E818" s="83">
        <v>0</v>
      </c>
      <c r="F818" s="83">
        <v>0</v>
      </c>
      <c r="G818" s="83">
        <v>0</v>
      </c>
      <c r="H818" s="83">
        <v>0</v>
      </c>
      <c r="I818" s="83">
        <v>0</v>
      </c>
      <c r="J818" s="83">
        <v>0</v>
      </c>
    </row>
    <row r="819" spans="1:10">
      <c r="A819" s="81" t="s">
        <v>10</v>
      </c>
      <c r="B819" s="81" t="s">
        <v>11</v>
      </c>
      <c r="C819" s="82">
        <v>0.359027777777778</v>
      </c>
      <c r="D819" s="83">
        <v>0</v>
      </c>
      <c r="E819" s="83">
        <v>0</v>
      </c>
      <c r="F819" s="83">
        <v>0</v>
      </c>
      <c r="G819" s="83">
        <v>0</v>
      </c>
      <c r="H819" s="83">
        <v>0</v>
      </c>
      <c r="I819" s="83">
        <v>0</v>
      </c>
      <c r="J819" s="83">
        <v>0</v>
      </c>
    </row>
    <row r="820" spans="1:10">
      <c r="A820" s="81" t="s">
        <v>10</v>
      </c>
      <c r="B820" s="81" t="s">
        <v>11</v>
      </c>
      <c r="C820" s="82">
        <v>0.359722222222222</v>
      </c>
      <c r="D820" s="83">
        <v>0</v>
      </c>
      <c r="E820" s="83">
        <v>0</v>
      </c>
      <c r="F820" s="83">
        <v>0</v>
      </c>
      <c r="G820" s="83">
        <v>0</v>
      </c>
      <c r="H820" s="83">
        <v>0</v>
      </c>
      <c r="I820" s="83">
        <v>0</v>
      </c>
      <c r="J820" s="83">
        <v>0</v>
      </c>
    </row>
    <row r="821" spans="1:10">
      <c r="A821" s="81" t="s">
        <v>10</v>
      </c>
      <c r="B821" s="81" t="s">
        <v>11</v>
      </c>
      <c r="C821" s="82">
        <v>0.360416666666666</v>
      </c>
      <c r="D821" s="83">
        <v>0</v>
      </c>
      <c r="E821" s="83">
        <v>0</v>
      </c>
      <c r="F821" s="83">
        <v>0</v>
      </c>
      <c r="G821" s="83">
        <v>0</v>
      </c>
      <c r="H821" s="83">
        <v>0</v>
      </c>
      <c r="I821" s="83">
        <v>0</v>
      </c>
      <c r="J821" s="83">
        <v>0</v>
      </c>
    </row>
    <row r="822" spans="1:10">
      <c r="A822" s="81" t="s">
        <v>10</v>
      </c>
      <c r="B822" s="81" t="s">
        <v>11</v>
      </c>
      <c r="C822" s="82">
        <v>0.36111111111111099</v>
      </c>
      <c r="D822" s="83">
        <v>0</v>
      </c>
      <c r="E822" s="83">
        <v>0</v>
      </c>
      <c r="F822" s="83">
        <v>0</v>
      </c>
      <c r="G822" s="83">
        <v>0</v>
      </c>
      <c r="H822" s="83">
        <v>0</v>
      </c>
      <c r="I822" s="83">
        <v>0</v>
      </c>
      <c r="J822" s="83">
        <v>0</v>
      </c>
    </row>
    <row r="823" spans="1:10">
      <c r="A823" s="81" t="s">
        <v>10</v>
      </c>
      <c r="B823" s="81" t="s">
        <v>11</v>
      </c>
      <c r="C823" s="82">
        <v>0.36180555555555499</v>
      </c>
      <c r="D823" s="83">
        <v>0</v>
      </c>
      <c r="E823" s="83">
        <v>0</v>
      </c>
      <c r="F823" s="83">
        <v>0</v>
      </c>
      <c r="G823" s="83">
        <v>0</v>
      </c>
      <c r="H823" s="83">
        <v>0</v>
      </c>
      <c r="I823" s="83">
        <v>0</v>
      </c>
      <c r="J823" s="83">
        <v>0</v>
      </c>
    </row>
    <row r="824" spans="1:10">
      <c r="A824" s="81" t="s">
        <v>10</v>
      </c>
      <c r="B824" s="81" t="s">
        <v>11</v>
      </c>
      <c r="C824" s="82">
        <v>0.36249999999999999</v>
      </c>
      <c r="D824" s="83">
        <v>0</v>
      </c>
      <c r="E824" s="83">
        <v>0</v>
      </c>
      <c r="F824" s="83">
        <v>0</v>
      </c>
      <c r="G824" s="83">
        <v>0</v>
      </c>
      <c r="H824" s="83">
        <v>0</v>
      </c>
      <c r="I824" s="83">
        <v>0</v>
      </c>
      <c r="J824" s="83">
        <v>0</v>
      </c>
    </row>
    <row r="825" spans="1:10">
      <c r="A825" s="81" t="s">
        <v>10</v>
      </c>
      <c r="B825" s="81" t="s">
        <v>11</v>
      </c>
      <c r="C825" s="82">
        <v>0.36319444444444399</v>
      </c>
      <c r="D825" s="83">
        <v>0</v>
      </c>
      <c r="E825" s="83">
        <v>0</v>
      </c>
      <c r="F825" s="83">
        <v>0</v>
      </c>
      <c r="G825" s="83">
        <v>0</v>
      </c>
      <c r="H825" s="83">
        <v>0</v>
      </c>
      <c r="I825" s="83">
        <v>0</v>
      </c>
      <c r="J825" s="83">
        <v>0</v>
      </c>
    </row>
    <row r="826" spans="1:10" s="80" customFormat="1">
      <c r="A826" s="84" t="s">
        <v>10</v>
      </c>
      <c r="B826" s="84" t="s">
        <v>11</v>
      </c>
      <c r="C826" s="85">
        <v>0.36388888888888898</v>
      </c>
      <c r="D826" s="86">
        <v>0</v>
      </c>
      <c r="E826" s="86">
        <v>0</v>
      </c>
      <c r="F826" s="86">
        <v>0</v>
      </c>
      <c r="G826" s="86">
        <v>0</v>
      </c>
      <c r="H826" s="86">
        <v>0</v>
      </c>
      <c r="I826" s="86">
        <v>0</v>
      </c>
      <c r="J826" s="86">
        <v>0</v>
      </c>
    </row>
    <row r="827" spans="1:10">
      <c r="A827" s="81" t="s">
        <v>10</v>
      </c>
      <c r="B827" s="81" t="s">
        <v>11</v>
      </c>
      <c r="C827" s="82">
        <v>0.36458333333333298</v>
      </c>
      <c r="D827" s="83">
        <v>0</v>
      </c>
      <c r="E827" s="83">
        <v>0</v>
      </c>
      <c r="F827" s="83">
        <v>0</v>
      </c>
      <c r="G827" s="83">
        <v>0</v>
      </c>
      <c r="H827" s="83">
        <v>0</v>
      </c>
      <c r="I827" s="83">
        <v>0</v>
      </c>
      <c r="J827" s="83">
        <v>0</v>
      </c>
    </row>
    <row r="828" spans="1:10">
      <c r="A828" s="81" t="s">
        <v>10</v>
      </c>
      <c r="B828" s="81" t="s">
        <v>11</v>
      </c>
      <c r="C828" s="82">
        <v>0.36527777777777698</v>
      </c>
      <c r="D828" s="83">
        <v>0</v>
      </c>
      <c r="E828" s="83">
        <v>0</v>
      </c>
      <c r="F828" s="83">
        <v>0</v>
      </c>
      <c r="G828" s="83">
        <v>0</v>
      </c>
      <c r="H828" s="83">
        <v>0</v>
      </c>
      <c r="I828" s="83">
        <v>0</v>
      </c>
      <c r="J828" s="83">
        <v>0</v>
      </c>
    </row>
    <row r="829" spans="1:10">
      <c r="A829" s="81" t="s">
        <v>10</v>
      </c>
      <c r="B829" s="81" t="s">
        <v>11</v>
      </c>
      <c r="C829" s="82">
        <v>0.36597222222222198</v>
      </c>
      <c r="D829" s="83">
        <v>0</v>
      </c>
      <c r="E829" s="83">
        <v>0</v>
      </c>
      <c r="F829" s="83">
        <v>0</v>
      </c>
      <c r="G829" s="83">
        <v>0</v>
      </c>
      <c r="H829" s="83">
        <v>0</v>
      </c>
      <c r="I829" s="83">
        <v>0</v>
      </c>
      <c r="J829" s="83">
        <v>0</v>
      </c>
    </row>
    <row r="830" spans="1:10">
      <c r="A830" s="81" t="s">
        <v>10</v>
      </c>
      <c r="B830" s="81" t="s">
        <v>11</v>
      </c>
      <c r="C830" s="82">
        <v>0.36666666666666597</v>
      </c>
      <c r="D830" s="83">
        <v>0</v>
      </c>
      <c r="E830" s="83">
        <v>0</v>
      </c>
      <c r="F830" s="83">
        <v>0</v>
      </c>
      <c r="G830" s="83">
        <v>0</v>
      </c>
      <c r="H830" s="83">
        <v>0</v>
      </c>
      <c r="I830" s="83">
        <v>0</v>
      </c>
      <c r="J830" s="83">
        <v>0</v>
      </c>
    </row>
    <row r="831" spans="1:10">
      <c r="A831" s="81" t="s">
        <v>10</v>
      </c>
      <c r="B831" s="81" t="s">
        <v>11</v>
      </c>
      <c r="C831" s="82">
        <v>0.36736111111111103</v>
      </c>
      <c r="D831" s="83">
        <v>0</v>
      </c>
      <c r="E831" s="83">
        <v>0</v>
      </c>
      <c r="F831" s="83">
        <v>0</v>
      </c>
      <c r="G831" s="83">
        <v>0</v>
      </c>
      <c r="H831" s="83">
        <v>0</v>
      </c>
      <c r="I831" s="83">
        <v>0</v>
      </c>
      <c r="J831" s="83">
        <v>0</v>
      </c>
    </row>
    <row r="832" spans="1:10">
      <c r="A832" s="81" t="s">
        <v>10</v>
      </c>
      <c r="B832" s="81" t="s">
        <v>11</v>
      </c>
      <c r="C832" s="82">
        <v>0.36805555555555503</v>
      </c>
      <c r="D832" s="83">
        <v>0</v>
      </c>
      <c r="E832" s="83">
        <v>0</v>
      </c>
      <c r="F832" s="83">
        <v>0</v>
      </c>
      <c r="G832" s="83">
        <v>0</v>
      </c>
      <c r="H832" s="83">
        <v>0</v>
      </c>
      <c r="I832" s="83">
        <v>0</v>
      </c>
      <c r="J832" s="83">
        <v>0</v>
      </c>
    </row>
    <row r="833" spans="1:10">
      <c r="A833" s="81" t="s">
        <v>10</v>
      </c>
      <c r="B833" s="81" t="s">
        <v>11</v>
      </c>
      <c r="C833" s="82">
        <v>0.36875000000000002</v>
      </c>
      <c r="D833" s="83">
        <v>0</v>
      </c>
      <c r="E833" s="83">
        <v>0</v>
      </c>
      <c r="F833" s="83">
        <v>0</v>
      </c>
      <c r="G833" s="83">
        <v>0</v>
      </c>
      <c r="H833" s="83">
        <v>0</v>
      </c>
      <c r="I833" s="83">
        <v>0</v>
      </c>
      <c r="J833" s="83">
        <v>0</v>
      </c>
    </row>
    <row r="834" spans="1:10">
      <c r="A834" s="81" t="s">
        <v>10</v>
      </c>
      <c r="B834" s="81" t="s">
        <v>11</v>
      </c>
      <c r="C834" s="82">
        <v>0.36944444444444402</v>
      </c>
      <c r="D834" s="83">
        <v>0</v>
      </c>
      <c r="E834" s="83">
        <v>0</v>
      </c>
      <c r="F834" s="83">
        <v>0</v>
      </c>
      <c r="G834" s="83">
        <v>0</v>
      </c>
      <c r="H834" s="83">
        <v>0</v>
      </c>
      <c r="I834" s="83">
        <v>0</v>
      </c>
      <c r="J834" s="83">
        <v>0</v>
      </c>
    </row>
    <row r="835" spans="1:10">
      <c r="A835" s="81" t="s">
        <v>10</v>
      </c>
      <c r="B835" s="81" t="s">
        <v>11</v>
      </c>
      <c r="C835" s="82">
        <v>0.37013888888888902</v>
      </c>
      <c r="D835" s="83">
        <v>0</v>
      </c>
      <c r="E835" s="83">
        <v>0</v>
      </c>
      <c r="F835" s="83">
        <v>0</v>
      </c>
      <c r="G835" s="83">
        <v>0</v>
      </c>
      <c r="H835" s="83">
        <v>0</v>
      </c>
      <c r="I835" s="83">
        <v>0</v>
      </c>
      <c r="J835" s="83">
        <v>0</v>
      </c>
    </row>
    <row r="836" spans="1:10">
      <c r="A836" s="81" t="s">
        <v>10</v>
      </c>
      <c r="B836" s="81" t="s">
        <v>11</v>
      </c>
      <c r="C836" s="82">
        <v>0.37083333333333302</v>
      </c>
      <c r="D836" s="83">
        <v>0</v>
      </c>
      <c r="E836" s="83">
        <v>0</v>
      </c>
      <c r="F836" s="83">
        <v>0</v>
      </c>
      <c r="G836" s="83">
        <v>0</v>
      </c>
      <c r="H836" s="83">
        <v>0</v>
      </c>
      <c r="I836" s="83">
        <v>0</v>
      </c>
      <c r="J836" s="83">
        <v>0</v>
      </c>
    </row>
    <row r="837" spans="1:10">
      <c r="A837" s="81" t="s">
        <v>10</v>
      </c>
      <c r="B837" s="81" t="s">
        <v>11</v>
      </c>
      <c r="C837" s="82">
        <v>0.37152777777777701</v>
      </c>
      <c r="D837" s="83">
        <v>0</v>
      </c>
      <c r="E837" s="83">
        <v>0</v>
      </c>
      <c r="F837" s="83">
        <v>0</v>
      </c>
      <c r="G837" s="83">
        <v>0</v>
      </c>
      <c r="H837" s="83">
        <v>0</v>
      </c>
      <c r="I837" s="83">
        <v>0</v>
      </c>
      <c r="J837" s="83">
        <v>0</v>
      </c>
    </row>
    <row r="838" spans="1:10">
      <c r="A838" s="81" t="s">
        <v>10</v>
      </c>
      <c r="B838" s="81" t="s">
        <v>11</v>
      </c>
      <c r="C838" s="82">
        <v>0.37222222222222201</v>
      </c>
      <c r="D838" s="83">
        <v>0</v>
      </c>
      <c r="E838" s="83">
        <v>0</v>
      </c>
      <c r="F838" s="83">
        <v>0</v>
      </c>
      <c r="G838" s="83">
        <v>0</v>
      </c>
      <c r="H838" s="83">
        <v>0</v>
      </c>
      <c r="I838" s="83">
        <v>0</v>
      </c>
      <c r="J838" s="83">
        <v>0</v>
      </c>
    </row>
    <row r="839" spans="1:10">
      <c r="A839" s="81" t="s">
        <v>10</v>
      </c>
      <c r="B839" s="81" t="s">
        <v>11</v>
      </c>
      <c r="C839" s="82">
        <v>0.37291666666666601</v>
      </c>
      <c r="D839" s="83">
        <v>0</v>
      </c>
      <c r="E839" s="83">
        <v>0</v>
      </c>
      <c r="F839" s="83">
        <v>0</v>
      </c>
      <c r="G839" s="83">
        <v>0</v>
      </c>
      <c r="H839" s="83">
        <v>0</v>
      </c>
      <c r="I839" s="83">
        <v>0</v>
      </c>
      <c r="J839" s="83">
        <v>0</v>
      </c>
    </row>
    <row r="840" spans="1:10">
      <c r="A840" s="81" t="s">
        <v>10</v>
      </c>
      <c r="B840" s="81" t="s">
        <v>11</v>
      </c>
      <c r="C840" s="82">
        <v>0.37361111111111101</v>
      </c>
      <c r="D840" s="83">
        <v>0</v>
      </c>
      <c r="E840" s="83">
        <v>0</v>
      </c>
      <c r="F840" s="83">
        <v>0</v>
      </c>
      <c r="G840" s="83">
        <v>0</v>
      </c>
      <c r="H840" s="83">
        <v>0</v>
      </c>
      <c r="I840" s="83">
        <v>0</v>
      </c>
      <c r="J840" s="83">
        <v>0</v>
      </c>
    </row>
    <row r="841" spans="1:10" s="28" customFormat="1" ht="17.5" thickBot="1">
      <c r="A841" s="100" t="s">
        <v>10</v>
      </c>
      <c r="B841" s="100" t="s">
        <v>11</v>
      </c>
      <c r="C841" s="101">
        <v>0.374305555555555</v>
      </c>
      <c r="D841" s="102">
        <v>0</v>
      </c>
      <c r="E841" s="102">
        <v>0</v>
      </c>
      <c r="F841" s="102">
        <v>0</v>
      </c>
      <c r="G841" s="102">
        <v>0</v>
      </c>
      <c r="H841" s="102">
        <v>0</v>
      </c>
      <c r="I841" s="102">
        <v>0</v>
      </c>
      <c r="J841" s="102">
        <v>0</v>
      </c>
    </row>
    <row r="842" spans="1:10">
      <c r="A842" s="81" t="s">
        <v>10</v>
      </c>
      <c r="B842" s="81" t="s">
        <v>12</v>
      </c>
      <c r="C842" s="82">
        <v>0.29166666666666669</v>
      </c>
      <c r="D842" s="83">
        <v>0</v>
      </c>
      <c r="E842" s="83">
        <v>0</v>
      </c>
      <c r="F842" s="83">
        <v>0</v>
      </c>
      <c r="G842" s="83">
        <v>0</v>
      </c>
      <c r="H842" s="83">
        <v>0</v>
      </c>
      <c r="I842" s="83">
        <v>0</v>
      </c>
      <c r="J842" s="83">
        <v>0</v>
      </c>
    </row>
    <row r="843" spans="1:10">
      <c r="A843" s="81" t="s">
        <v>10</v>
      </c>
      <c r="B843" s="81" t="s">
        <v>12</v>
      </c>
      <c r="C843" s="82">
        <v>0.29236111111111113</v>
      </c>
      <c r="D843" s="83">
        <v>0</v>
      </c>
      <c r="E843" s="83">
        <v>0</v>
      </c>
      <c r="F843" s="83">
        <v>0</v>
      </c>
      <c r="G843" s="83">
        <v>0</v>
      </c>
      <c r="H843" s="83">
        <v>0</v>
      </c>
      <c r="I843" s="83">
        <v>0</v>
      </c>
      <c r="J843" s="83">
        <v>0</v>
      </c>
    </row>
    <row r="844" spans="1:10">
      <c r="A844" s="81" t="s">
        <v>10</v>
      </c>
      <c r="B844" s="81" t="s">
        <v>12</v>
      </c>
      <c r="C844" s="82">
        <v>0.29305555555555601</v>
      </c>
      <c r="D844" s="83">
        <v>0</v>
      </c>
      <c r="E844" s="83">
        <v>0</v>
      </c>
      <c r="F844" s="83">
        <v>0</v>
      </c>
      <c r="G844" s="83">
        <v>0</v>
      </c>
      <c r="H844" s="83">
        <v>0</v>
      </c>
      <c r="I844" s="83">
        <v>0</v>
      </c>
      <c r="J844" s="83">
        <v>0</v>
      </c>
    </row>
    <row r="845" spans="1:10">
      <c r="A845" s="81" t="s">
        <v>10</v>
      </c>
      <c r="B845" s="81" t="s">
        <v>12</v>
      </c>
      <c r="C845" s="82">
        <v>0.29375000000000001</v>
      </c>
      <c r="D845" s="83">
        <v>0</v>
      </c>
      <c r="E845" s="83">
        <v>0</v>
      </c>
      <c r="F845" s="83">
        <v>0</v>
      </c>
      <c r="G845" s="83">
        <v>0</v>
      </c>
      <c r="H845" s="83">
        <v>0</v>
      </c>
      <c r="I845" s="83">
        <v>0</v>
      </c>
      <c r="J845" s="83">
        <v>0</v>
      </c>
    </row>
    <row r="846" spans="1:10">
      <c r="A846" s="81" t="s">
        <v>10</v>
      </c>
      <c r="B846" s="81" t="s">
        <v>12</v>
      </c>
      <c r="C846" s="82">
        <v>0.29444444444444401</v>
      </c>
      <c r="D846" s="83">
        <v>0</v>
      </c>
      <c r="E846" s="83">
        <v>0</v>
      </c>
      <c r="F846" s="83">
        <v>0</v>
      </c>
      <c r="G846" s="83">
        <v>0</v>
      </c>
      <c r="H846" s="83">
        <v>0</v>
      </c>
      <c r="I846" s="83">
        <v>0</v>
      </c>
      <c r="J846" s="83">
        <v>0</v>
      </c>
    </row>
    <row r="847" spans="1:10">
      <c r="A847" s="81" t="s">
        <v>10</v>
      </c>
      <c r="B847" s="81" t="s">
        <v>12</v>
      </c>
      <c r="C847" s="82">
        <v>0.29513888888888901</v>
      </c>
      <c r="D847" s="83">
        <v>0</v>
      </c>
      <c r="E847" s="83">
        <v>0</v>
      </c>
      <c r="F847" s="83">
        <v>0</v>
      </c>
      <c r="G847" s="83">
        <v>0</v>
      </c>
      <c r="H847" s="83">
        <v>0</v>
      </c>
      <c r="I847" s="83">
        <v>0</v>
      </c>
      <c r="J847" s="83">
        <v>0</v>
      </c>
    </row>
    <row r="848" spans="1:10">
      <c r="A848" s="81" t="s">
        <v>10</v>
      </c>
      <c r="B848" s="81" t="s">
        <v>12</v>
      </c>
      <c r="C848" s="82">
        <v>0.295833333333333</v>
      </c>
      <c r="D848" s="83">
        <v>0</v>
      </c>
      <c r="E848" s="83">
        <v>0</v>
      </c>
      <c r="F848" s="83">
        <v>0</v>
      </c>
      <c r="G848" s="83">
        <v>0</v>
      </c>
      <c r="H848" s="83">
        <v>0</v>
      </c>
      <c r="I848" s="83">
        <v>0</v>
      </c>
      <c r="J848" s="83">
        <v>0</v>
      </c>
    </row>
    <row r="849" spans="1:10">
      <c r="A849" s="81" t="s">
        <v>10</v>
      </c>
      <c r="B849" s="81" t="s">
        <v>12</v>
      </c>
      <c r="C849" s="82">
        <v>0.296527777777778</v>
      </c>
      <c r="D849" s="83">
        <v>0</v>
      </c>
      <c r="E849" s="83">
        <v>0</v>
      </c>
      <c r="F849" s="83">
        <v>0</v>
      </c>
      <c r="G849" s="83">
        <v>0</v>
      </c>
      <c r="H849" s="83">
        <v>0</v>
      </c>
      <c r="I849" s="83">
        <v>0</v>
      </c>
      <c r="J849" s="83">
        <v>0</v>
      </c>
    </row>
    <row r="850" spans="1:10">
      <c r="A850" s="81" t="s">
        <v>10</v>
      </c>
      <c r="B850" s="81" t="s">
        <v>12</v>
      </c>
      <c r="C850" s="82">
        <v>0.297222222222222</v>
      </c>
      <c r="D850" s="83">
        <v>0</v>
      </c>
      <c r="E850" s="83">
        <v>0</v>
      </c>
      <c r="F850" s="83">
        <v>0</v>
      </c>
      <c r="G850" s="83">
        <v>0</v>
      </c>
      <c r="H850" s="83">
        <v>0</v>
      </c>
      <c r="I850" s="83">
        <v>0</v>
      </c>
      <c r="J850" s="83">
        <v>0</v>
      </c>
    </row>
    <row r="851" spans="1:10">
      <c r="A851" s="81" t="s">
        <v>10</v>
      </c>
      <c r="B851" s="81" t="s">
        <v>12</v>
      </c>
      <c r="C851" s="82">
        <v>0.297916666666667</v>
      </c>
      <c r="D851" s="83">
        <v>0</v>
      </c>
      <c r="E851" s="83">
        <v>0</v>
      </c>
      <c r="F851" s="83">
        <v>0</v>
      </c>
      <c r="G851" s="83">
        <v>0</v>
      </c>
      <c r="H851" s="83">
        <v>0</v>
      </c>
      <c r="I851" s="83">
        <v>0</v>
      </c>
      <c r="J851" s="83">
        <v>0</v>
      </c>
    </row>
    <row r="852" spans="1:10">
      <c r="A852" s="81" t="s">
        <v>10</v>
      </c>
      <c r="B852" s="81" t="s">
        <v>12</v>
      </c>
      <c r="C852" s="82">
        <v>0.29861111111111099</v>
      </c>
      <c r="D852" s="83">
        <v>0</v>
      </c>
      <c r="E852" s="83">
        <v>0</v>
      </c>
      <c r="F852" s="83">
        <v>0</v>
      </c>
      <c r="G852" s="83">
        <v>0</v>
      </c>
      <c r="H852" s="83">
        <v>0</v>
      </c>
      <c r="I852" s="83">
        <v>0</v>
      </c>
      <c r="J852" s="83">
        <v>0</v>
      </c>
    </row>
    <row r="853" spans="1:10">
      <c r="A853" s="81" t="s">
        <v>10</v>
      </c>
      <c r="B853" s="81" t="s">
        <v>12</v>
      </c>
      <c r="C853" s="82">
        <v>0.29930555555555599</v>
      </c>
      <c r="D853" s="83">
        <v>0</v>
      </c>
      <c r="E853" s="83">
        <v>0</v>
      </c>
      <c r="F853" s="83">
        <v>0</v>
      </c>
      <c r="G853" s="83">
        <v>0</v>
      </c>
      <c r="H853" s="83">
        <v>0</v>
      </c>
      <c r="I853" s="83">
        <v>0</v>
      </c>
      <c r="J853" s="83">
        <v>0</v>
      </c>
    </row>
    <row r="854" spans="1:10">
      <c r="A854" s="81" t="s">
        <v>10</v>
      </c>
      <c r="B854" s="81" t="s">
        <v>12</v>
      </c>
      <c r="C854" s="82">
        <v>0.3</v>
      </c>
      <c r="D854" s="83">
        <v>0</v>
      </c>
      <c r="E854" s="83">
        <v>0</v>
      </c>
      <c r="F854" s="83">
        <v>0</v>
      </c>
      <c r="G854" s="83">
        <v>0</v>
      </c>
      <c r="H854" s="83">
        <v>0</v>
      </c>
      <c r="I854" s="83">
        <v>0</v>
      </c>
      <c r="J854" s="83">
        <v>0</v>
      </c>
    </row>
    <row r="855" spans="1:10">
      <c r="A855" s="81" t="s">
        <v>10</v>
      </c>
      <c r="B855" s="81" t="s">
        <v>12</v>
      </c>
      <c r="C855" s="82">
        <v>0.30069444444444399</v>
      </c>
      <c r="D855" s="83">
        <v>0</v>
      </c>
      <c r="E855" s="83">
        <v>0</v>
      </c>
      <c r="F855" s="83">
        <v>0</v>
      </c>
      <c r="G855" s="83">
        <v>0</v>
      </c>
      <c r="H855" s="83">
        <v>0</v>
      </c>
      <c r="I855" s="83">
        <v>0</v>
      </c>
      <c r="J855" s="83">
        <v>0</v>
      </c>
    </row>
    <row r="856" spans="1:10" s="80" customFormat="1">
      <c r="A856" s="84" t="s">
        <v>10</v>
      </c>
      <c r="B856" s="84" t="s">
        <v>12</v>
      </c>
      <c r="C856" s="85">
        <v>0.30138888888888898</v>
      </c>
      <c r="D856" s="86">
        <v>0</v>
      </c>
      <c r="E856" s="86">
        <v>0</v>
      </c>
      <c r="F856" s="86">
        <v>0</v>
      </c>
      <c r="G856" s="86">
        <v>0</v>
      </c>
      <c r="H856" s="86">
        <v>0</v>
      </c>
      <c r="I856" s="86">
        <v>0</v>
      </c>
      <c r="J856" s="86">
        <v>0</v>
      </c>
    </row>
    <row r="857" spans="1:10">
      <c r="A857" s="81" t="s">
        <v>10</v>
      </c>
      <c r="B857" s="81" t="s">
        <v>12</v>
      </c>
      <c r="C857" s="82">
        <v>0.30208333333333298</v>
      </c>
      <c r="D857" s="83">
        <v>0</v>
      </c>
      <c r="E857" s="83">
        <v>0</v>
      </c>
      <c r="F857" s="83">
        <v>0</v>
      </c>
      <c r="G857" s="83">
        <v>0</v>
      </c>
      <c r="H857" s="83">
        <v>0</v>
      </c>
      <c r="I857" s="83">
        <v>0</v>
      </c>
      <c r="J857" s="83">
        <v>0</v>
      </c>
    </row>
    <row r="858" spans="1:10">
      <c r="A858" s="81" t="s">
        <v>10</v>
      </c>
      <c r="B858" s="81" t="s">
        <v>12</v>
      </c>
      <c r="C858" s="82">
        <v>0.30277777777777798</v>
      </c>
      <c r="D858" s="83">
        <v>0</v>
      </c>
      <c r="E858" s="83">
        <v>0</v>
      </c>
      <c r="F858" s="83">
        <v>0</v>
      </c>
      <c r="G858" s="83">
        <v>0</v>
      </c>
      <c r="H858" s="83">
        <v>0</v>
      </c>
      <c r="I858" s="83">
        <v>0</v>
      </c>
      <c r="J858" s="83">
        <v>0</v>
      </c>
    </row>
    <row r="859" spans="1:10">
      <c r="A859" s="81" t="s">
        <v>10</v>
      </c>
      <c r="B859" s="81" t="s">
        <v>12</v>
      </c>
      <c r="C859" s="82">
        <v>0.30347222222222198</v>
      </c>
      <c r="D859" s="83">
        <v>0</v>
      </c>
      <c r="E859" s="83">
        <v>0</v>
      </c>
      <c r="F859" s="83">
        <v>0</v>
      </c>
      <c r="G859" s="83">
        <v>0</v>
      </c>
      <c r="H859" s="83">
        <v>0</v>
      </c>
      <c r="I859" s="83">
        <v>0</v>
      </c>
      <c r="J859" s="83">
        <v>0</v>
      </c>
    </row>
    <row r="860" spans="1:10">
      <c r="A860" s="81" t="s">
        <v>10</v>
      </c>
      <c r="B860" s="81" t="s">
        <v>12</v>
      </c>
      <c r="C860" s="82">
        <v>0.30416666666666697</v>
      </c>
      <c r="D860" s="83">
        <v>0</v>
      </c>
      <c r="E860" s="83">
        <v>0</v>
      </c>
      <c r="F860" s="83">
        <v>0</v>
      </c>
      <c r="G860" s="83">
        <v>0</v>
      </c>
      <c r="H860" s="83">
        <v>0</v>
      </c>
      <c r="I860" s="83">
        <v>0</v>
      </c>
      <c r="J860" s="83">
        <v>0</v>
      </c>
    </row>
    <row r="861" spans="1:10">
      <c r="A861" s="81" t="s">
        <v>10</v>
      </c>
      <c r="B861" s="81" t="s">
        <v>12</v>
      </c>
      <c r="C861" s="82">
        <v>0.30486111111111103</v>
      </c>
      <c r="D861" s="83">
        <v>0</v>
      </c>
      <c r="E861" s="83">
        <v>0</v>
      </c>
      <c r="F861" s="83">
        <v>0</v>
      </c>
      <c r="G861" s="83">
        <v>0</v>
      </c>
      <c r="H861" s="83">
        <v>0</v>
      </c>
      <c r="I861" s="83">
        <v>0</v>
      </c>
      <c r="J861" s="83">
        <v>0</v>
      </c>
    </row>
    <row r="862" spans="1:10">
      <c r="A862" s="81" t="s">
        <v>10</v>
      </c>
      <c r="B862" s="81" t="s">
        <v>12</v>
      </c>
      <c r="C862" s="82">
        <v>0.30555555555555503</v>
      </c>
      <c r="D862" s="83">
        <v>0</v>
      </c>
      <c r="E862" s="83">
        <v>0</v>
      </c>
      <c r="F862" s="83">
        <v>0</v>
      </c>
      <c r="G862" s="83">
        <v>0</v>
      </c>
      <c r="H862" s="83">
        <v>0</v>
      </c>
      <c r="I862" s="83">
        <v>0</v>
      </c>
      <c r="J862" s="83">
        <v>0</v>
      </c>
    </row>
    <row r="863" spans="1:10">
      <c r="A863" s="81" t="s">
        <v>10</v>
      </c>
      <c r="B863" s="81" t="s">
        <v>12</v>
      </c>
      <c r="C863" s="82">
        <v>0.30625000000000002</v>
      </c>
      <c r="D863" s="83">
        <v>0</v>
      </c>
      <c r="E863" s="83">
        <v>0</v>
      </c>
      <c r="F863" s="83">
        <v>0</v>
      </c>
      <c r="G863" s="83">
        <v>0</v>
      </c>
      <c r="H863" s="83">
        <v>0</v>
      </c>
      <c r="I863" s="83">
        <v>0</v>
      </c>
      <c r="J863" s="83">
        <v>0</v>
      </c>
    </row>
    <row r="864" spans="1:10">
      <c r="A864" s="81" t="s">
        <v>10</v>
      </c>
      <c r="B864" s="81" t="s">
        <v>12</v>
      </c>
      <c r="C864" s="82">
        <v>0.30694444444444402</v>
      </c>
      <c r="D864" s="83">
        <v>0</v>
      </c>
      <c r="E864" s="83">
        <v>0</v>
      </c>
      <c r="F864" s="83">
        <v>0</v>
      </c>
      <c r="G864" s="83">
        <v>0</v>
      </c>
      <c r="H864" s="83">
        <v>0</v>
      </c>
      <c r="I864" s="83">
        <v>0</v>
      </c>
      <c r="J864" s="83">
        <v>0</v>
      </c>
    </row>
    <row r="865" spans="1:10">
      <c r="A865" s="81" t="s">
        <v>10</v>
      </c>
      <c r="B865" s="81" t="s">
        <v>12</v>
      </c>
      <c r="C865" s="82">
        <v>0.30763888888888902</v>
      </c>
      <c r="D865" s="83">
        <v>0</v>
      </c>
      <c r="E865" s="83">
        <v>0</v>
      </c>
      <c r="F865" s="83">
        <v>0</v>
      </c>
      <c r="G865" s="83">
        <v>0</v>
      </c>
      <c r="H865" s="83">
        <v>0</v>
      </c>
      <c r="I865" s="83">
        <v>0</v>
      </c>
      <c r="J865" s="83">
        <v>0</v>
      </c>
    </row>
    <row r="866" spans="1:10">
      <c r="A866" s="81" t="s">
        <v>10</v>
      </c>
      <c r="B866" s="81" t="s">
        <v>12</v>
      </c>
      <c r="C866" s="82">
        <v>0.30833333333333302</v>
      </c>
      <c r="D866" s="83">
        <v>0</v>
      </c>
      <c r="E866" s="83">
        <v>0</v>
      </c>
      <c r="F866" s="83">
        <v>0</v>
      </c>
      <c r="G866" s="83">
        <v>0</v>
      </c>
      <c r="H866" s="83">
        <v>0</v>
      </c>
      <c r="I866" s="83">
        <v>0</v>
      </c>
      <c r="J866" s="83">
        <v>0</v>
      </c>
    </row>
    <row r="867" spans="1:10">
      <c r="A867" s="81" t="s">
        <v>10</v>
      </c>
      <c r="B867" s="81" t="s">
        <v>12</v>
      </c>
      <c r="C867" s="82">
        <v>0.30902777777777801</v>
      </c>
      <c r="D867" s="83">
        <v>0</v>
      </c>
      <c r="E867" s="83">
        <v>0</v>
      </c>
      <c r="F867" s="83">
        <v>0</v>
      </c>
      <c r="G867" s="83">
        <v>0</v>
      </c>
      <c r="H867" s="83">
        <v>0</v>
      </c>
      <c r="I867" s="83">
        <v>0</v>
      </c>
      <c r="J867" s="83">
        <v>0</v>
      </c>
    </row>
    <row r="868" spans="1:10">
      <c r="A868" s="81" t="s">
        <v>10</v>
      </c>
      <c r="B868" s="81" t="s">
        <v>12</v>
      </c>
      <c r="C868" s="82">
        <v>0.30972222222222201</v>
      </c>
      <c r="D868" s="83">
        <v>0</v>
      </c>
      <c r="E868" s="83">
        <v>0</v>
      </c>
      <c r="F868" s="83">
        <v>0</v>
      </c>
      <c r="G868" s="83">
        <v>0</v>
      </c>
      <c r="H868" s="83">
        <v>0</v>
      </c>
      <c r="I868" s="83">
        <v>0</v>
      </c>
      <c r="J868" s="83">
        <v>0</v>
      </c>
    </row>
    <row r="869" spans="1:10">
      <c r="A869" s="81" t="s">
        <v>10</v>
      </c>
      <c r="B869" s="81" t="s">
        <v>12</v>
      </c>
      <c r="C869" s="82">
        <v>0.31041666666666701</v>
      </c>
      <c r="D869" s="83">
        <v>0</v>
      </c>
      <c r="E869" s="83">
        <v>0</v>
      </c>
      <c r="F869" s="83">
        <v>0</v>
      </c>
      <c r="G869" s="83">
        <v>0</v>
      </c>
      <c r="H869" s="83">
        <v>0</v>
      </c>
      <c r="I869" s="83">
        <v>0</v>
      </c>
      <c r="J869" s="83">
        <v>0</v>
      </c>
    </row>
    <row r="870" spans="1:10">
      <c r="A870" s="81" t="s">
        <v>10</v>
      </c>
      <c r="B870" s="81" t="s">
        <v>12</v>
      </c>
      <c r="C870" s="82">
        <v>0.31111111111111101</v>
      </c>
      <c r="D870" s="83">
        <v>0</v>
      </c>
      <c r="E870" s="83">
        <v>0</v>
      </c>
      <c r="F870" s="83">
        <v>0</v>
      </c>
      <c r="G870" s="83">
        <v>0</v>
      </c>
      <c r="H870" s="83">
        <v>0</v>
      </c>
      <c r="I870" s="83">
        <v>0</v>
      </c>
      <c r="J870" s="83">
        <v>0</v>
      </c>
    </row>
    <row r="871" spans="1:10" s="80" customFormat="1">
      <c r="A871" s="84" t="s">
        <v>10</v>
      </c>
      <c r="B871" s="84" t="s">
        <v>12</v>
      </c>
      <c r="C871" s="85">
        <v>0.311805555555556</v>
      </c>
      <c r="D871" s="86">
        <v>0</v>
      </c>
      <c r="E871" s="86">
        <v>0</v>
      </c>
      <c r="F871" s="86">
        <v>0</v>
      </c>
      <c r="G871" s="86">
        <v>0</v>
      </c>
      <c r="H871" s="86">
        <v>0</v>
      </c>
      <c r="I871" s="86">
        <v>0</v>
      </c>
      <c r="J871" s="86">
        <v>0</v>
      </c>
    </row>
    <row r="872" spans="1:10">
      <c r="A872" s="81" t="s">
        <v>10</v>
      </c>
      <c r="B872" s="81" t="s">
        <v>12</v>
      </c>
      <c r="C872" s="82">
        <v>0.3125</v>
      </c>
      <c r="D872" s="83">
        <v>0</v>
      </c>
      <c r="E872" s="83">
        <v>0</v>
      </c>
      <c r="F872" s="83">
        <v>0</v>
      </c>
      <c r="G872" s="83">
        <v>0</v>
      </c>
      <c r="H872" s="83">
        <v>0</v>
      </c>
      <c r="I872" s="83">
        <v>0</v>
      </c>
      <c r="J872" s="83">
        <v>0</v>
      </c>
    </row>
    <row r="873" spans="1:10">
      <c r="A873" s="81" t="s">
        <v>10</v>
      </c>
      <c r="B873" s="81" t="s">
        <v>12</v>
      </c>
      <c r="C873" s="82">
        <v>0.313194444444444</v>
      </c>
      <c r="D873" s="83">
        <v>0</v>
      </c>
      <c r="E873" s="83">
        <v>0</v>
      </c>
      <c r="F873" s="83">
        <v>0</v>
      </c>
      <c r="G873" s="83">
        <v>0</v>
      </c>
      <c r="H873" s="83">
        <v>0</v>
      </c>
      <c r="I873" s="83">
        <v>0</v>
      </c>
      <c r="J873" s="83">
        <v>0</v>
      </c>
    </row>
    <row r="874" spans="1:10">
      <c r="A874" s="81" t="s">
        <v>10</v>
      </c>
      <c r="B874" s="81" t="s">
        <v>12</v>
      </c>
      <c r="C874" s="82">
        <v>0.31388888888888899</v>
      </c>
      <c r="D874" s="83">
        <v>0</v>
      </c>
      <c r="E874" s="83">
        <v>0</v>
      </c>
      <c r="F874" s="83">
        <v>0</v>
      </c>
      <c r="G874" s="83">
        <v>0</v>
      </c>
      <c r="H874" s="83">
        <v>0</v>
      </c>
      <c r="I874" s="83">
        <v>0</v>
      </c>
      <c r="J874" s="83">
        <v>0</v>
      </c>
    </row>
    <row r="875" spans="1:10">
      <c r="A875" s="81" t="s">
        <v>10</v>
      </c>
      <c r="B875" s="81" t="s">
        <v>12</v>
      </c>
      <c r="C875" s="82">
        <v>0.31458333333333299</v>
      </c>
      <c r="D875" s="83">
        <v>0</v>
      </c>
      <c r="E875" s="83">
        <v>0</v>
      </c>
      <c r="F875" s="83">
        <v>0</v>
      </c>
      <c r="G875" s="83">
        <v>0</v>
      </c>
      <c r="H875" s="83">
        <v>0</v>
      </c>
      <c r="I875" s="83">
        <v>0</v>
      </c>
      <c r="J875" s="83">
        <v>0</v>
      </c>
    </row>
    <row r="876" spans="1:10">
      <c r="A876" s="81" t="s">
        <v>10</v>
      </c>
      <c r="B876" s="81" t="s">
        <v>12</v>
      </c>
      <c r="C876" s="82">
        <v>0.31527777777777799</v>
      </c>
      <c r="D876" s="83">
        <v>0</v>
      </c>
      <c r="E876" s="83">
        <v>0</v>
      </c>
      <c r="F876" s="83">
        <v>0</v>
      </c>
      <c r="G876" s="83">
        <v>0</v>
      </c>
      <c r="H876" s="83">
        <v>0</v>
      </c>
      <c r="I876" s="83">
        <v>0</v>
      </c>
      <c r="J876" s="83">
        <v>0</v>
      </c>
    </row>
    <row r="877" spans="1:10">
      <c r="A877" s="81" t="s">
        <v>10</v>
      </c>
      <c r="B877" s="81" t="s">
        <v>12</v>
      </c>
      <c r="C877" s="82">
        <v>0.31597222222222199</v>
      </c>
      <c r="D877" s="83">
        <v>0</v>
      </c>
      <c r="E877" s="83">
        <v>0</v>
      </c>
      <c r="F877" s="83">
        <v>0</v>
      </c>
      <c r="G877" s="83">
        <v>0</v>
      </c>
      <c r="H877" s="83">
        <v>0</v>
      </c>
      <c r="I877" s="83">
        <v>0</v>
      </c>
      <c r="J877" s="83">
        <v>0</v>
      </c>
    </row>
    <row r="878" spans="1:10">
      <c r="A878" s="81" t="s">
        <v>10</v>
      </c>
      <c r="B878" s="81" t="s">
        <v>12</v>
      </c>
      <c r="C878" s="82">
        <v>0.31666666666666698</v>
      </c>
      <c r="D878" s="83">
        <v>0</v>
      </c>
      <c r="E878" s="83">
        <v>0</v>
      </c>
      <c r="F878" s="83">
        <v>0</v>
      </c>
      <c r="G878" s="83">
        <v>0</v>
      </c>
      <c r="H878" s="83">
        <v>0</v>
      </c>
      <c r="I878" s="83">
        <v>0</v>
      </c>
      <c r="J878" s="83">
        <v>0</v>
      </c>
    </row>
    <row r="879" spans="1:10">
      <c r="A879" s="81" t="s">
        <v>10</v>
      </c>
      <c r="B879" s="81" t="s">
        <v>12</v>
      </c>
      <c r="C879" s="82">
        <v>0.31736111111111098</v>
      </c>
      <c r="D879" s="83">
        <v>0</v>
      </c>
      <c r="E879" s="83">
        <v>0</v>
      </c>
      <c r="F879" s="83">
        <v>0</v>
      </c>
      <c r="G879" s="83">
        <v>0</v>
      </c>
      <c r="H879" s="83">
        <v>0</v>
      </c>
      <c r="I879" s="83">
        <v>0</v>
      </c>
      <c r="J879" s="83">
        <v>0</v>
      </c>
    </row>
    <row r="880" spans="1:10">
      <c r="A880" s="81" t="s">
        <v>10</v>
      </c>
      <c r="B880" s="81" t="s">
        <v>12</v>
      </c>
      <c r="C880" s="82">
        <v>0.31805555555555498</v>
      </c>
      <c r="D880" s="83">
        <v>0</v>
      </c>
      <c r="E880" s="83">
        <v>0</v>
      </c>
      <c r="F880" s="83">
        <v>0</v>
      </c>
      <c r="G880" s="83">
        <v>0</v>
      </c>
      <c r="H880" s="83">
        <v>0</v>
      </c>
      <c r="I880" s="83">
        <v>0</v>
      </c>
      <c r="J880" s="83">
        <v>0</v>
      </c>
    </row>
    <row r="881" spans="1:10">
      <c r="A881" s="81" t="s">
        <v>10</v>
      </c>
      <c r="B881" s="81" t="s">
        <v>12</v>
      </c>
      <c r="C881" s="82">
        <v>0.31874999999999998</v>
      </c>
      <c r="D881" s="83">
        <v>0</v>
      </c>
      <c r="E881" s="83">
        <v>0</v>
      </c>
      <c r="F881" s="83">
        <v>0</v>
      </c>
      <c r="G881" s="83">
        <v>0</v>
      </c>
      <c r="H881" s="83">
        <v>0</v>
      </c>
      <c r="I881" s="83">
        <v>0</v>
      </c>
      <c r="J881" s="83">
        <v>0</v>
      </c>
    </row>
    <row r="882" spans="1:10">
      <c r="A882" s="81" t="s">
        <v>10</v>
      </c>
      <c r="B882" s="81" t="s">
        <v>12</v>
      </c>
      <c r="C882" s="82">
        <v>0.31944444444444398</v>
      </c>
      <c r="D882" s="83">
        <v>0</v>
      </c>
      <c r="E882" s="83">
        <v>0</v>
      </c>
      <c r="F882" s="83">
        <v>0</v>
      </c>
      <c r="G882" s="83">
        <v>0</v>
      </c>
      <c r="H882" s="83">
        <v>0</v>
      </c>
      <c r="I882" s="83">
        <v>0</v>
      </c>
      <c r="J882" s="83">
        <v>0</v>
      </c>
    </row>
    <row r="883" spans="1:10">
      <c r="A883" s="81" t="s">
        <v>10</v>
      </c>
      <c r="B883" s="81" t="s">
        <v>12</v>
      </c>
      <c r="C883" s="82">
        <v>0.32013888888888897</v>
      </c>
      <c r="D883" s="83">
        <v>0</v>
      </c>
      <c r="E883" s="83">
        <v>0</v>
      </c>
      <c r="F883" s="83">
        <v>0</v>
      </c>
      <c r="G883" s="83">
        <v>0</v>
      </c>
      <c r="H883" s="83">
        <v>0</v>
      </c>
      <c r="I883" s="83">
        <v>0</v>
      </c>
      <c r="J883" s="83">
        <v>0</v>
      </c>
    </row>
    <row r="884" spans="1:10">
      <c r="A884" s="81" t="s">
        <v>10</v>
      </c>
      <c r="B884" s="81" t="s">
        <v>12</v>
      </c>
      <c r="C884" s="82">
        <v>0.32083333333333303</v>
      </c>
      <c r="D884" s="83">
        <v>0</v>
      </c>
      <c r="E884" s="83">
        <v>0</v>
      </c>
      <c r="F884" s="83">
        <v>0</v>
      </c>
      <c r="G884" s="83">
        <v>0</v>
      </c>
      <c r="H884" s="83">
        <v>0</v>
      </c>
      <c r="I884" s="83">
        <v>0</v>
      </c>
      <c r="J884" s="83">
        <v>0</v>
      </c>
    </row>
    <row r="885" spans="1:10">
      <c r="A885" s="81" t="s">
        <v>10</v>
      </c>
      <c r="B885" s="81" t="s">
        <v>12</v>
      </c>
      <c r="C885" s="82">
        <v>0.32152777777777802</v>
      </c>
      <c r="D885" s="83">
        <v>0</v>
      </c>
      <c r="E885" s="83">
        <v>0</v>
      </c>
      <c r="F885" s="83">
        <v>0</v>
      </c>
      <c r="G885" s="83">
        <v>0</v>
      </c>
      <c r="H885" s="83">
        <v>0</v>
      </c>
      <c r="I885" s="83">
        <v>0</v>
      </c>
      <c r="J885" s="83">
        <v>0</v>
      </c>
    </row>
    <row r="886" spans="1:10" s="80" customFormat="1">
      <c r="A886" s="84" t="s">
        <v>10</v>
      </c>
      <c r="B886" s="84" t="s">
        <v>12</v>
      </c>
      <c r="C886" s="85">
        <v>0.32222222222222202</v>
      </c>
      <c r="D886" s="86">
        <v>0</v>
      </c>
      <c r="E886" s="86">
        <v>0</v>
      </c>
      <c r="F886" s="86">
        <v>0</v>
      </c>
      <c r="G886" s="86">
        <v>0</v>
      </c>
      <c r="H886" s="86">
        <v>0</v>
      </c>
      <c r="I886" s="86">
        <v>0</v>
      </c>
      <c r="J886" s="86">
        <v>0</v>
      </c>
    </row>
    <row r="887" spans="1:10">
      <c r="A887" s="81" t="s">
        <v>10</v>
      </c>
      <c r="B887" s="81" t="s">
        <v>12</v>
      </c>
      <c r="C887" s="82">
        <v>0.32291666666666702</v>
      </c>
      <c r="D887" s="83">
        <v>0</v>
      </c>
      <c r="E887" s="83">
        <v>0</v>
      </c>
      <c r="F887" s="83">
        <v>0</v>
      </c>
      <c r="G887" s="83">
        <v>0</v>
      </c>
      <c r="H887" s="83">
        <v>0</v>
      </c>
      <c r="I887" s="83">
        <v>0</v>
      </c>
      <c r="J887" s="83">
        <v>0</v>
      </c>
    </row>
    <row r="888" spans="1:10">
      <c r="A888" s="81" t="s">
        <v>10</v>
      </c>
      <c r="B888" s="81" t="s">
        <v>12</v>
      </c>
      <c r="C888" s="82">
        <v>0.32361111111111102</v>
      </c>
      <c r="D888" s="83">
        <v>0</v>
      </c>
      <c r="E888" s="83">
        <v>0</v>
      </c>
      <c r="F888" s="83">
        <v>0</v>
      </c>
      <c r="G888" s="83">
        <v>0</v>
      </c>
      <c r="H888" s="83">
        <v>0</v>
      </c>
      <c r="I888" s="83">
        <v>0</v>
      </c>
      <c r="J888" s="83">
        <v>0</v>
      </c>
    </row>
    <row r="889" spans="1:10">
      <c r="A889" s="81" t="s">
        <v>10</v>
      </c>
      <c r="B889" s="81" t="s">
        <v>12</v>
      </c>
      <c r="C889" s="82">
        <v>0.32430555555555601</v>
      </c>
      <c r="D889" s="83">
        <v>0</v>
      </c>
      <c r="E889" s="83">
        <v>0</v>
      </c>
      <c r="F889" s="83">
        <v>0</v>
      </c>
      <c r="G889" s="83">
        <v>0</v>
      </c>
      <c r="H889" s="83">
        <v>0</v>
      </c>
      <c r="I889" s="83">
        <v>0</v>
      </c>
      <c r="J889" s="83">
        <v>0</v>
      </c>
    </row>
    <row r="890" spans="1:10">
      <c r="A890" s="81" t="s">
        <v>10</v>
      </c>
      <c r="B890" s="81" t="s">
        <v>12</v>
      </c>
      <c r="C890" s="82">
        <v>0.32500000000000001</v>
      </c>
      <c r="D890" s="83">
        <v>0</v>
      </c>
      <c r="E890" s="83">
        <v>0</v>
      </c>
      <c r="F890" s="83">
        <v>0</v>
      </c>
      <c r="G890" s="83">
        <v>0</v>
      </c>
      <c r="H890" s="83">
        <v>0</v>
      </c>
      <c r="I890" s="83">
        <v>0</v>
      </c>
      <c r="J890" s="83">
        <v>0</v>
      </c>
    </row>
    <row r="891" spans="1:10">
      <c r="A891" s="81" t="s">
        <v>10</v>
      </c>
      <c r="B891" s="81" t="s">
        <v>12</v>
      </c>
      <c r="C891" s="82">
        <v>0.32569444444444401</v>
      </c>
      <c r="D891" s="83">
        <v>0</v>
      </c>
      <c r="E891" s="83">
        <v>0</v>
      </c>
      <c r="F891" s="83">
        <v>0</v>
      </c>
      <c r="G891" s="83">
        <v>0</v>
      </c>
      <c r="H891" s="83">
        <v>0</v>
      </c>
      <c r="I891" s="83">
        <v>0</v>
      </c>
      <c r="J891" s="83">
        <v>0</v>
      </c>
    </row>
    <row r="892" spans="1:10">
      <c r="A892" s="81" t="s">
        <v>10</v>
      </c>
      <c r="B892" s="81" t="s">
        <v>12</v>
      </c>
      <c r="C892" s="82">
        <v>0.32638888888888901</v>
      </c>
      <c r="D892" s="83">
        <v>0</v>
      </c>
      <c r="E892" s="83">
        <v>0</v>
      </c>
      <c r="F892" s="83">
        <v>0</v>
      </c>
      <c r="G892" s="83">
        <v>0</v>
      </c>
      <c r="H892" s="83">
        <v>0</v>
      </c>
      <c r="I892" s="83">
        <v>0</v>
      </c>
      <c r="J892" s="83">
        <v>0</v>
      </c>
    </row>
    <row r="893" spans="1:10">
      <c r="A893" s="81" t="s">
        <v>10</v>
      </c>
      <c r="B893" s="81" t="s">
        <v>12</v>
      </c>
      <c r="C893" s="82">
        <v>0.327083333333333</v>
      </c>
      <c r="D893" s="83">
        <v>0</v>
      </c>
      <c r="E893" s="83">
        <v>0</v>
      </c>
      <c r="F893" s="83">
        <v>0</v>
      </c>
      <c r="G893" s="83">
        <v>0</v>
      </c>
      <c r="H893" s="83">
        <v>0</v>
      </c>
      <c r="I893" s="83">
        <v>0</v>
      </c>
      <c r="J893" s="83">
        <v>0</v>
      </c>
    </row>
    <row r="894" spans="1:10">
      <c r="A894" s="81" t="s">
        <v>10</v>
      </c>
      <c r="B894" s="81" t="s">
        <v>12</v>
      </c>
      <c r="C894" s="82">
        <v>0.327777777777778</v>
      </c>
      <c r="D894" s="83">
        <v>0</v>
      </c>
      <c r="E894" s="83">
        <v>0</v>
      </c>
      <c r="F894" s="83">
        <v>0</v>
      </c>
      <c r="G894" s="83">
        <v>0</v>
      </c>
      <c r="H894" s="83">
        <v>0</v>
      </c>
      <c r="I894" s="83">
        <v>0</v>
      </c>
      <c r="J894" s="83">
        <v>0</v>
      </c>
    </row>
    <row r="895" spans="1:10">
      <c r="A895" s="81" t="s">
        <v>10</v>
      </c>
      <c r="B895" s="81" t="s">
        <v>12</v>
      </c>
      <c r="C895" s="82">
        <v>0.328472222222222</v>
      </c>
      <c r="D895" s="83">
        <v>0</v>
      </c>
      <c r="E895" s="83">
        <v>0</v>
      </c>
      <c r="F895" s="83">
        <v>0</v>
      </c>
      <c r="G895" s="83">
        <v>0</v>
      </c>
      <c r="H895" s="83">
        <v>0</v>
      </c>
      <c r="I895" s="83">
        <v>0</v>
      </c>
      <c r="J895" s="83">
        <v>0</v>
      </c>
    </row>
    <row r="896" spans="1:10">
      <c r="A896" s="81" t="s">
        <v>10</v>
      </c>
      <c r="B896" s="81" t="s">
        <v>12</v>
      </c>
      <c r="C896" s="82">
        <v>0.329166666666667</v>
      </c>
      <c r="D896" s="83">
        <v>0</v>
      </c>
      <c r="E896" s="83">
        <v>0</v>
      </c>
      <c r="F896" s="83">
        <v>0</v>
      </c>
      <c r="G896" s="83">
        <v>0</v>
      </c>
      <c r="H896" s="83">
        <v>0</v>
      </c>
      <c r="I896" s="83">
        <v>0</v>
      </c>
      <c r="J896" s="83">
        <v>0</v>
      </c>
    </row>
    <row r="897" spans="1:10">
      <c r="A897" s="81" t="s">
        <v>10</v>
      </c>
      <c r="B897" s="81" t="s">
        <v>12</v>
      </c>
      <c r="C897" s="82">
        <v>0.32986111111111099</v>
      </c>
      <c r="D897" s="83">
        <v>0</v>
      </c>
      <c r="E897" s="83">
        <v>0</v>
      </c>
      <c r="F897" s="83">
        <v>0</v>
      </c>
      <c r="G897" s="83">
        <v>0</v>
      </c>
      <c r="H897" s="83">
        <v>0</v>
      </c>
      <c r="I897" s="83">
        <v>0</v>
      </c>
      <c r="J897" s="83">
        <v>0</v>
      </c>
    </row>
    <row r="898" spans="1:10">
      <c r="A898" s="81" t="s">
        <v>10</v>
      </c>
      <c r="B898" s="81" t="s">
        <v>12</v>
      </c>
      <c r="C898" s="82">
        <v>0.33055555555555499</v>
      </c>
      <c r="D898" s="83">
        <v>0</v>
      </c>
      <c r="E898" s="83">
        <v>0</v>
      </c>
      <c r="F898" s="83">
        <v>0</v>
      </c>
      <c r="G898" s="83">
        <v>0</v>
      </c>
      <c r="H898" s="83">
        <v>0</v>
      </c>
      <c r="I898" s="83">
        <v>0</v>
      </c>
      <c r="J898" s="83">
        <v>0</v>
      </c>
    </row>
    <row r="899" spans="1:10">
      <c r="A899" s="81" t="s">
        <v>10</v>
      </c>
      <c r="B899" s="81" t="s">
        <v>12</v>
      </c>
      <c r="C899" s="82">
        <v>0.33124999999999999</v>
      </c>
      <c r="D899" s="83">
        <v>0</v>
      </c>
      <c r="E899" s="83">
        <v>0</v>
      </c>
      <c r="F899" s="83">
        <v>0</v>
      </c>
      <c r="G899" s="83">
        <v>0</v>
      </c>
      <c r="H899" s="83">
        <v>0</v>
      </c>
      <c r="I899" s="83">
        <v>0</v>
      </c>
      <c r="J899" s="83">
        <v>0</v>
      </c>
    </row>
    <row r="900" spans="1:10">
      <c r="A900" s="81" t="s">
        <v>10</v>
      </c>
      <c r="B900" s="81" t="s">
        <v>12</v>
      </c>
      <c r="C900" s="82">
        <v>0.33194444444444399</v>
      </c>
      <c r="D900" s="83">
        <v>0</v>
      </c>
      <c r="E900" s="83">
        <v>0</v>
      </c>
      <c r="F900" s="83">
        <v>0</v>
      </c>
      <c r="G900" s="83">
        <v>0</v>
      </c>
      <c r="H900" s="83">
        <v>0</v>
      </c>
      <c r="I900" s="83">
        <v>0</v>
      </c>
      <c r="J900" s="83">
        <v>0</v>
      </c>
    </row>
    <row r="901" spans="1:10" s="80" customFormat="1">
      <c r="A901" s="84" t="s">
        <v>10</v>
      </c>
      <c r="B901" s="84" t="s">
        <v>12</v>
      </c>
      <c r="C901" s="85">
        <v>0.33263888888888898</v>
      </c>
      <c r="D901" s="86">
        <v>0</v>
      </c>
      <c r="E901" s="86">
        <v>0</v>
      </c>
      <c r="F901" s="86">
        <v>0</v>
      </c>
      <c r="G901" s="86">
        <v>0</v>
      </c>
      <c r="H901" s="86">
        <v>0</v>
      </c>
      <c r="I901" s="86">
        <v>0</v>
      </c>
      <c r="J901" s="86">
        <v>0</v>
      </c>
    </row>
    <row r="902" spans="1:10">
      <c r="A902" s="81" t="s">
        <v>10</v>
      </c>
      <c r="B902" s="81" t="s">
        <v>12</v>
      </c>
      <c r="C902" s="82">
        <v>0.33333333333333298</v>
      </c>
      <c r="D902" s="83">
        <v>0</v>
      </c>
      <c r="E902" s="83">
        <v>0</v>
      </c>
      <c r="F902" s="83">
        <v>0</v>
      </c>
      <c r="G902" s="83">
        <v>0</v>
      </c>
      <c r="H902" s="83">
        <v>0</v>
      </c>
      <c r="I902" s="83">
        <v>0</v>
      </c>
      <c r="J902" s="83">
        <v>0</v>
      </c>
    </row>
    <row r="903" spans="1:10">
      <c r="A903" s="81" t="s">
        <v>10</v>
      </c>
      <c r="B903" s="81" t="s">
        <v>12</v>
      </c>
      <c r="C903" s="82">
        <v>0.33402777777777798</v>
      </c>
      <c r="D903" s="83">
        <v>0</v>
      </c>
      <c r="E903" s="83">
        <v>0</v>
      </c>
      <c r="F903" s="83">
        <v>0</v>
      </c>
      <c r="G903" s="83">
        <v>0</v>
      </c>
      <c r="H903" s="83">
        <v>0</v>
      </c>
      <c r="I903" s="83">
        <v>0</v>
      </c>
      <c r="J903" s="83">
        <v>0</v>
      </c>
    </row>
    <row r="904" spans="1:10">
      <c r="A904" s="81" t="s">
        <v>10</v>
      </c>
      <c r="B904" s="81" t="s">
        <v>12</v>
      </c>
      <c r="C904" s="82">
        <v>0.33472222222222198</v>
      </c>
      <c r="D904" s="83">
        <v>0</v>
      </c>
      <c r="E904" s="83">
        <v>0</v>
      </c>
      <c r="F904" s="83">
        <v>0</v>
      </c>
      <c r="G904" s="83">
        <v>0</v>
      </c>
      <c r="H904" s="83">
        <v>0</v>
      </c>
      <c r="I904" s="83">
        <v>0</v>
      </c>
      <c r="J904" s="83">
        <v>0</v>
      </c>
    </row>
    <row r="905" spans="1:10">
      <c r="A905" s="81" t="s">
        <v>10</v>
      </c>
      <c r="B905" s="81" t="s">
        <v>12</v>
      </c>
      <c r="C905" s="82">
        <v>0.33541666666666597</v>
      </c>
      <c r="D905" s="83">
        <v>0</v>
      </c>
      <c r="E905" s="83">
        <v>0</v>
      </c>
      <c r="F905" s="83">
        <v>0</v>
      </c>
      <c r="G905" s="83">
        <v>0</v>
      </c>
      <c r="H905" s="83">
        <v>0</v>
      </c>
      <c r="I905" s="83">
        <v>0</v>
      </c>
      <c r="J905" s="83">
        <v>0</v>
      </c>
    </row>
    <row r="906" spans="1:10">
      <c r="A906" s="81" t="s">
        <v>10</v>
      </c>
      <c r="B906" s="81" t="s">
        <v>12</v>
      </c>
      <c r="C906" s="82">
        <v>0.33611111111111103</v>
      </c>
      <c r="D906" s="83">
        <v>0</v>
      </c>
      <c r="E906" s="83">
        <v>0</v>
      </c>
      <c r="F906" s="83">
        <v>0</v>
      </c>
      <c r="G906" s="83">
        <v>0</v>
      </c>
      <c r="H906" s="83">
        <v>0</v>
      </c>
      <c r="I906" s="83">
        <v>0</v>
      </c>
      <c r="J906" s="83">
        <v>0</v>
      </c>
    </row>
    <row r="907" spans="1:10">
      <c r="A907" s="81" t="s">
        <v>10</v>
      </c>
      <c r="B907" s="81" t="s">
        <v>12</v>
      </c>
      <c r="C907" s="82">
        <v>0.33680555555555503</v>
      </c>
      <c r="D907" s="83">
        <v>0</v>
      </c>
      <c r="E907" s="83">
        <v>0</v>
      </c>
      <c r="F907" s="83">
        <v>0</v>
      </c>
      <c r="G907" s="83">
        <v>0</v>
      </c>
      <c r="H907" s="83">
        <v>0</v>
      </c>
      <c r="I907" s="83">
        <v>0</v>
      </c>
      <c r="J907" s="83">
        <v>0</v>
      </c>
    </row>
    <row r="908" spans="1:10">
      <c r="A908" s="81" t="s">
        <v>10</v>
      </c>
      <c r="B908" s="81" t="s">
        <v>12</v>
      </c>
      <c r="C908" s="82">
        <v>0.33750000000000002</v>
      </c>
      <c r="D908" s="83">
        <v>0</v>
      </c>
      <c r="E908" s="83">
        <v>0</v>
      </c>
      <c r="F908" s="83">
        <v>0</v>
      </c>
      <c r="G908" s="83">
        <v>0</v>
      </c>
      <c r="H908" s="83">
        <v>0</v>
      </c>
      <c r="I908" s="83">
        <v>0</v>
      </c>
      <c r="J908" s="83">
        <v>0</v>
      </c>
    </row>
    <row r="909" spans="1:10">
      <c r="A909" s="81" t="s">
        <v>10</v>
      </c>
      <c r="B909" s="81" t="s">
        <v>12</v>
      </c>
      <c r="C909" s="82">
        <v>0.33819444444444402</v>
      </c>
      <c r="D909" s="83">
        <v>0</v>
      </c>
      <c r="E909" s="83">
        <v>0</v>
      </c>
      <c r="F909" s="83">
        <v>0</v>
      </c>
      <c r="G909" s="83">
        <v>0</v>
      </c>
      <c r="H909" s="83">
        <v>0</v>
      </c>
      <c r="I909" s="83">
        <v>0</v>
      </c>
      <c r="J909" s="83">
        <v>0</v>
      </c>
    </row>
    <row r="910" spans="1:10">
      <c r="A910" s="81" t="s">
        <v>10</v>
      </c>
      <c r="B910" s="81" t="s">
        <v>12</v>
      </c>
      <c r="C910" s="82">
        <v>0.33888888888888902</v>
      </c>
      <c r="D910" s="83">
        <v>0</v>
      </c>
      <c r="E910" s="83">
        <v>0</v>
      </c>
      <c r="F910" s="83">
        <v>0</v>
      </c>
      <c r="G910" s="83">
        <v>0</v>
      </c>
      <c r="H910" s="83">
        <v>0</v>
      </c>
      <c r="I910" s="83">
        <v>0</v>
      </c>
      <c r="J910" s="83">
        <v>0</v>
      </c>
    </row>
    <row r="911" spans="1:10">
      <c r="A911" s="81" t="s">
        <v>10</v>
      </c>
      <c r="B911" s="81" t="s">
        <v>12</v>
      </c>
      <c r="C911" s="82">
        <v>0.33958333333333302</v>
      </c>
      <c r="D911" s="83">
        <v>0</v>
      </c>
      <c r="E911" s="83">
        <v>0</v>
      </c>
      <c r="F911" s="83">
        <v>0</v>
      </c>
      <c r="G911" s="83">
        <v>0</v>
      </c>
      <c r="H911" s="83">
        <v>0</v>
      </c>
      <c r="I911" s="83">
        <v>0</v>
      </c>
      <c r="J911" s="83">
        <v>0</v>
      </c>
    </row>
    <row r="912" spans="1:10">
      <c r="A912" s="81" t="s">
        <v>10</v>
      </c>
      <c r="B912" s="81" t="s">
        <v>12</v>
      </c>
      <c r="C912" s="82">
        <v>0.34027777777777801</v>
      </c>
      <c r="D912" s="83">
        <v>0</v>
      </c>
      <c r="E912" s="83">
        <v>0</v>
      </c>
      <c r="F912" s="83">
        <v>0</v>
      </c>
      <c r="G912" s="83">
        <v>0</v>
      </c>
      <c r="H912" s="83">
        <v>0</v>
      </c>
      <c r="I912" s="83">
        <v>0</v>
      </c>
      <c r="J912" s="83">
        <v>0</v>
      </c>
    </row>
    <row r="913" spans="1:10">
      <c r="A913" s="81" t="s">
        <v>10</v>
      </c>
      <c r="B913" s="81" t="s">
        <v>12</v>
      </c>
      <c r="C913" s="82">
        <v>0.34097222222222201</v>
      </c>
      <c r="D913" s="83">
        <v>0</v>
      </c>
      <c r="E913" s="83">
        <v>0</v>
      </c>
      <c r="F913" s="83">
        <v>0</v>
      </c>
      <c r="G913" s="83">
        <v>0</v>
      </c>
      <c r="H913" s="83">
        <v>0</v>
      </c>
      <c r="I913" s="83">
        <v>0</v>
      </c>
      <c r="J913" s="83">
        <v>0</v>
      </c>
    </row>
    <row r="914" spans="1:10">
      <c r="A914" s="81" t="s">
        <v>10</v>
      </c>
      <c r="B914" s="81" t="s">
        <v>12</v>
      </c>
      <c r="C914" s="82">
        <v>0.34166666666666701</v>
      </c>
      <c r="D914" s="83">
        <v>0</v>
      </c>
      <c r="E914" s="83">
        <v>0</v>
      </c>
      <c r="F914" s="83">
        <v>0</v>
      </c>
      <c r="G914" s="83">
        <v>0</v>
      </c>
      <c r="H914" s="83">
        <v>0</v>
      </c>
      <c r="I914" s="83">
        <v>0</v>
      </c>
      <c r="J914" s="83">
        <v>0</v>
      </c>
    </row>
    <row r="915" spans="1:10">
      <c r="A915" s="81" t="s">
        <v>10</v>
      </c>
      <c r="B915" s="81" t="s">
        <v>12</v>
      </c>
      <c r="C915" s="82">
        <v>0.34236111111111101</v>
      </c>
      <c r="D915" s="83">
        <v>0</v>
      </c>
      <c r="E915" s="83">
        <v>0</v>
      </c>
      <c r="F915" s="83">
        <v>0</v>
      </c>
      <c r="G915" s="83">
        <v>0</v>
      </c>
      <c r="H915" s="83">
        <v>0</v>
      </c>
      <c r="I915" s="83">
        <v>0</v>
      </c>
      <c r="J915" s="83">
        <v>0</v>
      </c>
    </row>
    <row r="916" spans="1:10" s="80" customFormat="1">
      <c r="A916" s="84" t="s">
        <v>10</v>
      </c>
      <c r="B916" s="84" t="s">
        <v>12</v>
      </c>
      <c r="C916" s="85">
        <v>0.343055555555555</v>
      </c>
      <c r="D916" s="86">
        <v>0</v>
      </c>
      <c r="E916" s="86">
        <v>0</v>
      </c>
      <c r="F916" s="86">
        <v>0</v>
      </c>
      <c r="G916" s="86">
        <v>0</v>
      </c>
      <c r="H916" s="86">
        <v>0</v>
      </c>
      <c r="I916" s="86">
        <v>0</v>
      </c>
      <c r="J916" s="86">
        <v>0</v>
      </c>
    </row>
    <row r="917" spans="1:10">
      <c r="A917" s="81" t="s">
        <v>10</v>
      </c>
      <c r="B917" s="81" t="s">
        <v>12</v>
      </c>
      <c r="C917" s="82">
        <v>0.34375</v>
      </c>
      <c r="D917" s="83">
        <v>0</v>
      </c>
      <c r="E917" s="83">
        <v>0</v>
      </c>
      <c r="F917" s="83">
        <v>0</v>
      </c>
      <c r="G917" s="83">
        <v>0</v>
      </c>
      <c r="H917" s="83">
        <v>0</v>
      </c>
      <c r="I917" s="83">
        <v>0</v>
      </c>
      <c r="J917" s="83">
        <v>0</v>
      </c>
    </row>
    <row r="918" spans="1:10">
      <c r="A918" s="81" t="s">
        <v>10</v>
      </c>
      <c r="B918" s="81" t="s">
        <v>12</v>
      </c>
      <c r="C918" s="82">
        <v>0.344444444444444</v>
      </c>
      <c r="D918" s="83">
        <v>0</v>
      </c>
      <c r="E918" s="83">
        <v>0</v>
      </c>
      <c r="F918" s="83">
        <v>0</v>
      </c>
      <c r="G918" s="83">
        <v>0</v>
      </c>
      <c r="H918" s="83">
        <v>0</v>
      </c>
      <c r="I918" s="83">
        <v>0</v>
      </c>
      <c r="J918" s="83">
        <v>0</v>
      </c>
    </row>
    <row r="919" spans="1:10">
      <c r="A919" s="81" t="s">
        <v>10</v>
      </c>
      <c r="B919" s="81" t="s">
        <v>12</v>
      </c>
      <c r="C919" s="82">
        <v>0.34513888888888899</v>
      </c>
      <c r="D919" s="83">
        <v>0</v>
      </c>
      <c r="E919" s="83">
        <v>0</v>
      </c>
      <c r="F919" s="83">
        <v>0</v>
      </c>
      <c r="G919" s="83">
        <v>0</v>
      </c>
      <c r="H919" s="83">
        <v>0</v>
      </c>
      <c r="I919" s="83">
        <v>0</v>
      </c>
      <c r="J919" s="83">
        <v>0</v>
      </c>
    </row>
    <row r="920" spans="1:10">
      <c r="A920" s="81" t="s">
        <v>10</v>
      </c>
      <c r="B920" s="81" t="s">
        <v>12</v>
      </c>
      <c r="C920" s="82">
        <v>0.34583333333333299</v>
      </c>
      <c r="D920" s="83">
        <v>0</v>
      </c>
      <c r="E920" s="83">
        <v>0</v>
      </c>
      <c r="F920" s="83">
        <v>0</v>
      </c>
      <c r="G920" s="83">
        <v>0</v>
      </c>
      <c r="H920" s="83">
        <v>0</v>
      </c>
      <c r="I920" s="83">
        <v>0</v>
      </c>
      <c r="J920" s="83">
        <v>0</v>
      </c>
    </row>
    <row r="921" spans="1:10">
      <c r="A921" s="81" t="s">
        <v>10</v>
      </c>
      <c r="B921" s="81" t="s">
        <v>12</v>
      </c>
      <c r="C921" s="82">
        <v>0.34652777777777799</v>
      </c>
      <c r="D921" s="83">
        <v>0</v>
      </c>
      <c r="E921" s="83">
        <v>0</v>
      </c>
      <c r="F921" s="83">
        <v>0</v>
      </c>
      <c r="G921" s="83">
        <v>0</v>
      </c>
      <c r="H921" s="83">
        <v>0</v>
      </c>
      <c r="I921" s="83">
        <v>0</v>
      </c>
      <c r="J921" s="83">
        <v>0</v>
      </c>
    </row>
    <row r="922" spans="1:10">
      <c r="A922" s="81" t="s">
        <v>10</v>
      </c>
      <c r="B922" s="81" t="s">
        <v>12</v>
      </c>
      <c r="C922" s="82">
        <v>0.34722222222222199</v>
      </c>
      <c r="D922" s="83">
        <v>0</v>
      </c>
      <c r="E922" s="83">
        <v>0</v>
      </c>
      <c r="F922" s="83">
        <v>0</v>
      </c>
      <c r="G922" s="83">
        <v>0</v>
      </c>
      <c r="H922" s="83">
        <v>0</v>
      </c>
      <c r="I922" s="83">
        <v>0</v>
      </c>
      <c r="J922" s="83">
        <v>0</v>
      </c>
    </row>
    <row r="923" spans="1:10">
      <c r="A923" s="81" t="s">
        <v>10</v>
      </c>
      <c r="B923" s="81" t="s">
        <v>12</v>
      </c>
      <c r="C923" s="82">
        <v>0.34791666666666599</v>
      </c>
      <c r="D923" s="83">
        <v>0</v>
      </c>
      <c r="E923" s="83">
        <v>0</v>
      </c>
      <c r="F923" s="83">
        <v>0</v>
      </c>
      <c r="G923" s="83">
        <v>0</v>
      </c>
      <c r="H923" s="83">
        <v>0</v>
      </c>
      <c r="I923" s="83">
        <v>0</v>
      </c>
      <c r="J923" s="83">
        <v>0</v>
      </c>
    </row>
    <row r="924" spans="1:10">
      <c r="A924" s="81" t="s">
        <v>10</v>
      </c>
      <c r="B924" s="81" t="s">
        <v>12</v>
      </c>
      <c r="C924" s="82">
        <v>0.34861111111111098</v>
      </c>
      <c r="D924" s="83">
        <v>0</v>
      </c>
      <c r="E924" s="83">
        <v>0</v>
      </c>
      <c r="F924" s="83">
        <v>0</v>
      </c>
      <c r="G924" s="83">
        <v>0</v>
      </c>
      <c r="H924" s="83">
        <v>0</v>
      </c>
      <c r="I924" s="83">
        <v>0</v>
      </c>
      <c r="J924" s="83">
        <v>0</v>
      </c>
    </row>
    <row r="925" spans="1:10">
      <c r="A925" s="81" t="s">
        <v>10</v>
      </c>
      <c r="B925" s="81" t="s">
        <v>12</v>
      </c>
      <c r="C925" s="82">
        <v>0.34930555555555498</v>
      </c>
      <c r="D925" s="83">
        <v>0</v>
      </c>
      <c r="E925" s="83">
        <v>0</v>
      </c>
      <c r="F925" s="83">
        <v>0</v>
      </c>
      <c r="G925" s="83">
        <v>0</v>
      </c>
      <c r="H925" s="83">
        <v>0</v>
      </c>
      <c r="I925" s="83">
        <v>0</v>
      </c>
      <c r="J925" s="83">
        <v>0</v>
      </c>
    </row>
    <row r="926" spans="1:10">
      <c r="A926" s="81" t="s">
        <v>10</v>
      </c>
      <c r="B926" s="81" t="s">
        <v>12</v>
      </c>
      <c r="C926" s="82">
        <v>0.35</v>
      </c>
      <c r="D926" s="83">
        <v>0</v>
      </c>
      <c r="E926" s="83">
        <v>0</v>
      </c>
      <c r="F926" s="83">
        <v>0</v>
      </c>
      <c r="G926" s="83">
        <v>0</v>
      </c>
      <c r="H926" s="83">
        <v>0</v>
      </c>
      <c r="I926" s="83">
        <v>0</v>
      </c>
      <c r="J926" s="83">
        <v>0</v>
      </c>
    </row>
    <row r="927" spans="1:10">
      <c r="A927" s="81" t="s">
        <v>10</v>
      </c>
      <c r="B927" s="81" t="s">
        <v>12</v>
      </c>
      <c r="C927" s="82">
        <v>0.35069444444444398</v>
      </c>
      <c r="D927" s="83">
        <v>0</v>
      </c>
      <c r="E927" s="83">
        <v>0</v>
      </c>
      <c r="F927" s="83">
        <v>0</v>
      </c>
      <c r="G927" s="83">
        <v>0</v>
      </c>
      <c r="H927" s="83">
        <v>0</v>
      </c>
      <c r="I927" s="83">
        <v>0</v>
      </c>
      <c r="J927" s="83">
        <v>0</v>
      </c>
    </row>
    <row r="928" spans="1:10">
      <c r="A928" s="81" t="s">
        <v>10</v>
      </c>
      <c r="B928" s="81" t="s">
        <v>12</v>
      </c>
      <c r="C928" s="82">
        <v>0.35138888888888897</v>
      </c>
      <c r="D928" s="83">
        <v>0</v>
      </c>
      <c r="E928" s="83">
        <v>0</v>
      </c>
      <c r="F928" s="83">
        <v>0</v>
      </c>
      <c r="G928" s="83">
        <v>0</v>
      </c>
      <c r="H928" s="83">
        <v>0</v>
      </c>
      <c r="I928" s="83">
        <v>0</v>
      </c>
      <c r="J928" s="83">
        <v>0</v>
      </c>
    </row>
    <row r="929" spans="1:10">
      <c r="A929" s="81" t="s">
        <v>10</v>
      </c>
      <c r="B929" s="81" t="s">
        <v>12</v>
      </c>
      <c r="C929" s="82">
        <v>0.35208333333333303</v>
      </c>
      <c r="D929" s="83">
        <v>0</v>
      </c>
      <c r="E929" s="83">
        <v>0</v>
      </c>
      <c r="F929" s="83">
        <v>0</v>
      </c>
      <c r="G929" s="83">
        <v>0</v>
      </c>
      <c r="H929" s="83">
        <v>0</v>
      </c>
      <c r="I929" s="83">
        <v>0</v>
      </c>
      <c r="J929" s="83">
        <v>0</v>
      </c>
    </row>
    <row r="930" spans="1:10">
      <c r="A930" s="81" t="s">
        <v>10</v>
      </c>
      <c r="B930" s="81" t="s">
        <v>12</v>
      </c>
      <c r="C930" s="82">
        <v>0.35277777777777802</v>
      </c>
      <c r="D930" s="83">
        <v>0</v>
      </c>
      <c r="E930" s="83">
        <v>0</v>
      </c>
      <c r="F930" s="83">
        <v>0</v>
      </c>
      <c r="G930" s="83">
        <v>0</v>
      </c>
      <c r="H930" s="83">
        <v>0</v>
      </c>
      <c r="I930" s="83">
        <v>0</v>
      </c>
      <c r="J930" s="83">
        <v>0</v>
      </c>
    </row>
    <row r="931" spans="1:10" s="80" customFormat="1">
      <c r="A931" s="84" t="s">
        <v>10</v>
      </c>
      <c r="B931" s="84" t="s">
        <v>12</v>
      </c>
      <c r="C931" s="85">
        <v>0.35347222222222202</v>
      </c>
      <c r="D931" s="86">
        <v>0</v>
      </c>
      <c r="E931" s="86">
        <v>0</v>
      </c>
      <c r="F931" s="86">
        <v>0</v>
      </c>
      <c r="G931" s="86">
        <v>0</v>
      </c>
      <c r="H931" s="86">
        <v>0</v>
      </c>
      <c r="I931" s="86">
        <v>0</v>
      </c>
      <c r="J931" s="86">
        <v>0</v>
      </c>
    </row>
    <row r="932" spans="1:10">
      <c r="A932" s="81" t="s">
        <v>10</v>
      </c>
      <c r="B932" s="81" t="s">
        <v>12</v>
      </c>
      <c r="C932" s="82">
        <v>0.35416666666666602</v>
      </c>
      <c r="D932" s="83">
        <v>0</v>
      </c>
      <c r="E932" s="83">
        <v>0</v>
      </c>
      <c r="F932" s="83">
        <v>0</v>
      </c>
      <c r="G932" s="83">
        <v>0</v>
      </c>
      <c r="H932" s="83">
        <v>0</v>
      </c>
      <c r="I932" s="83">
        <v>0</v>
      </c>
      <c r="J932" s="83">
        <v>0</v>
      </c>
    </row>
    <row r="933" spans="1:10">
      <c r="A933" s="81" t="s">
        <v>10</v>
      </c>
      <c r="B933" s="81" t="s">
        <v>12</v>
      </c>
      <c r="C933" s="82">
        <v>0.35486111111111102</v>
      </c>
      <c r="D933" s="83">
        <v>0</v>
      </c>
      <c r="E933" s="83">
        <v>0</v>
      </c>
      <c r="F933" s="83">
        <v>0</v>
      </c>
      <c r="G933" s="83">
        <v>0</v>
      </c>
      <c r="H933" s="83">
        <v>0</v>
      </c>
      <c r="I933" s="83">
        <v>0</v>
      </c>
      <c r="J933" s="83">
        <v>0</v>
      </c>
    </row>
    <row r="934" spans="1:10">
      <c r="A934" s="81" t="s">
        <v>10</v>
      </c>
      <c r="B934" s="81" t="s">
        <v>12</v>
      </c>
      <c r="C934" s="82">
        <v>0.35555555555555501</v>
      </c>
      <c r="D934" s="83">
        <v>0</v>
      </c>
      <c r="E934" s="83">
        <v>0</v>
      </c>
      <c r="F934" s="83">
        <v>0</v>
      </c>
      <c r="G934" s="83">
        <v>0</v>
      </c>
      <c r="H934" s="83">
        <v>0</v>
      </c>
      <c r="I934" s="83">
        <v>0</v>
      </c>
      <c r="J934" s="83">
        <v>0</v>
      </c>
    </row>
    <row r="935" spans="1:10">
      <c r="A935" s="81" t="s">
        <v>10</v>
      </c>
      <c r="B935" s="81" t="s">
        <v>12</v>
      </c>
      <c r="C935" s="82">
        <v>0.35625000000000001</v>
      </c>
      <c r="D935" s="83">
        <v>0</v>
      </c>
      <c r="E935" s="83">
        <v>0</v>
      </c>
      <c r="F935" s="83">
        <v>0</v>
      </c>
      <c r="G935" s="83">
        <v>0</v>
      </c>
      <c r="H935" s="83">
        <v>0</v>
      </c>
      <c r="I935" s="83">
        <v>0</v>
      </c>
      <c r="J935" s="83">
        <v>0</v>
      </c>
    </row>
    <row r="936" spans="1:10">
      <c r="A936" s="81" t="s">
        <v>10</v>
      </c>
      <c r="B936" s="81" t="s">
        <v>12</v>
      </c>
      <c r="C936" s="82">
        <v>0.35694444444444401</v>
      </c>
      <c r="D936" s="83">
        <v>0</v>
      </c>
      <c r="E936" s="83">
        <v>0</v>
      </c>
      <c r="F936" s="83">
        <v>0</v>
      </c>
      <c r="G936" s="83">
        <v>0</v>
      </c>
      <c r="H936" s="83">
        <v>0</v>
      </c>
      <c r="I936" s="83">
        <v>0</v>
      </c>
      <c r="J936" s="83">
        <v>0</v>
      </c>
    </row>
    <row r="937" spans="1:10">
      <c r="A937" s="81" t="s">
        <v>10</v>
      </c>
      <c r="B937" s="81" t="s">
        <v>12</v>
      </c>
      <c r="C937" s="82">
        <v>0.35763888888888901</v>
      </c>
      <c r="D937" s="83">
        <v>0</v>
      </c>
      <c r="E937" s="83">
        <v>0</v>
      </c>
      <c r="F937" s="83">
        <v>0</v>
      </c>
      <c r="G937" s="83">
        <v>0</v>
      </c>
      <c r="H937" s="83">
        <v>0</v>
      </c>
      <c r="I937" s="83">
        <v>0</v>
      </c>
      <c r="J937" s="83">
        <v>0</v>
      </c>
    </row>
    <row r="938" spans="1:10">
      <c r="A938" s="81" t="s">
        <v>10</v>
      </c>
      <c r="B938" s="81" t="s">
        <v>12</v>
      </c>
      <c r="C938" s="82">
        <v>0.358333333333333</v>
      </c>
      <c r="D938" s="83">
        <v>0</v>
      </c>
      <c r="E938" s="83">
        <v>0</v>
      </c>
      <c r="F938" s="83">
        <v>0</v>
      </c>
      <c r="G938" s="83">
        <v>0</v>
      </c>
      <c r="H938" s="83">
        <v>0</v>
      </c>
      <c r="I938" s="83">
        <v>0</v>
      </c>
      <c r="J938" s="83">
        <v>0</v>
      </c>
    </row>
    <row r="939" spans="1:10">
      <c r="A939" s="81" t="s">
        <v>10</v>
      </c>
      <c r="B939" s="81" t="s">
        <v>12</v>
      </c>
      <c r="C939" s="82">
        <v>0.359027777777778</v>
      </c>
      <c r="D939" s="83">
        <v>0</v>
      </c>
      <c r="E939" s="83">
        <v>0</v>
      </c>
      <c r="F939" s="83">
        <v>0</v>
      </c>
      <c r="G939" s="83">
        <v>0</v>
      </c>
      <c r="H939" s="83">
        <v>0</v>
      </c>
      <c r="I939" s="83">
        <v>0</v>
      </c>
      <c r="J939" s="83">
        <v>0</v>
      </c>
    </row>
    <row r="940" spans="1:10">
      <c r="A940" s="81" t="s">
        <v>10</v>
      </c>
      <c r="B940" s="81" t="s">
        <v>12</v>
      </c>
      <c r="C940" s="82">
        <v>0.359722222222222</v>
      </c>
      <c r="D940" s="83">
        <v>0</v>
      </c>
      <c r="E940" s="83">
        <v>0</v>
      </c>
      <c r="F940" s="83">
        <v>0</v>
      </c>
      <c r="G940" s="83">
        <v>0</v>
      </c>
      <c r="H940" s="83">
        <v>0</v>
      </c>
      <c r="I940" s="83">
        <v>0</v>
      </c>
      <c r="J940" s="83">
        <v>0</v>
      </c>
    </row>
    <row r="941" spans="1:10">
      <c r="A941" s="81" t="s">
        <v>10</v>
      </c>
      <c r="B941" s="81" t="s">
        <v>12</v>
      </c>
      <c r="C941" s="82">
        <v>0.360416666666666</v>
      </c>
      <c r="D941" s="83">
        <v>0</v>
      </c>
      <c r="E941" s="83">
        <v>0</v>
      </c>
      <c r="F941" s="83">
        <v>0</v>
      </c>
      <c r="G941" s="83">
        <v>0</v>
      </c>
      <c r="H941" s="83">
        <v>0</v>
      </c>
      <c r="I941" s="83">
        <v>0</v>
      </c>
      <c r="J941" s="83">
        <v>0</v>
      </c>
    </row>
    <row r="942" spans="1:10">
      <c r="A942" s="81" t="s">
        <v>10</v>
      </c>
      <c r="B942" s="81" t="s">
        <v>12</v>
      </c>
      <c r="C942" s="82">
        <v>0.36111111111111099</v>
      </c>
      <c r="D942" s="83">
        <v>0</v>
      </c>
      <c r="E942" s="83">
        <v>0</v>
      </c>
      <c r="F942" s="83">
        <v>0</v>
      </c>
      <c r="G942" s="83">
        <v>0</v>
      </c>
      <c r="H942" s="83">
        <v>0</v>
      </c>
      <c r="I942" s="83">
        <v>0</v>
      </c>
      <c r="J942" s="83">
        <v>0</v>
      </c>
    </row>
    <row r="943" spans="1:10">
      <c r="A943" s="81" t="s">
        <v>10</v>
      </c>
      <c r="B943" s="81" t="s">
        <v>12</v>
      </c>
      <c r="C943" s="82">
        <v>0.36180555555555499</v>
      </c>
      <c r="D943" s="83">
        <v>0</v>
      </c>
      <c r="E943" s="83">
        <v>0</v>
      </c>
      <c r="F943" s="83">
        <v>0</v>
      </c>
      <c r="G943" s="83">
        <v>0</v>
      </c>
      <c r="H943" s="83">
        <v>0</v>
      </c>
      <c r="I943" s="83">
        <v>0</v>
      </c>
      <c r="J943" s="83">
        <v>0</v>
      </c>
    </row>
    <row r="944" spans="1:10">
      <c r="A944" s="81" t="s">
        <v>10</v>
      </c>
      <c r="B944" s="81" t="s">
        <v>12</v>
      </c>
      <c r="C944" s="82">
        <v>0.36249999999999999</v>
      </c>
      <c r="D944" s="83">
        <v>0</v>
      </c>
      <c r="E944" s="83">
        <v>0</v>
      </c>
      <c r="F944" s="83">
        <v>0</v>
      </c>
      <c r="G944" s="83">
        <v>0</v>
      </c>
      <c r="H944" s="83">
        <v>0</v>
      </c>
      <c r="I944" s="83">
        <v>0</v>
      </c>
      <c r="J944" s="83">
        <v>0</v>
      </c>
    </row>
    <row r="945" spans="1:10">
      <c r="A945" s="81" t="s">
        <v>10</v>
      </c>
      <c r="B945" s="81" t="s">
        <v>12</v>
      </c>
      <c r="C945" s="82">
        <v>0.36319444444444399</v>
      </c>
      <c r="D945" s="83">
        <v>0</v>
      </c>
      <c r="E945" s="83">
        <v>0</v>
      </c>
      <c r="F945" s="83">
        <v>0</v>
      </c>
      <c r="G945" s="83">
        <v>0</v>
      </c>
      <c r="H945" s="83">
        <v>0</v>
      </c>
      <c r="I945" s="83">
        <v>0</v>
      </c>
      <c r="J945" s="83">
        <v>0</v>
      </c>
    </row>
    <row r="946" spans="1:10" s="80" customFormat="1">
      <c r="A946" s="84" t="s">
        <v>10</v>
      </c>
      <c r="B946" s="84" t="s">
        <v>12</v>
      </c>
      <c r="C946" s="85">
        <v>0.36388888888888898</v>
      </c>
      <c r="D946" s="86">
        <v>0</v>
      </c>
      <c r="E946" s="86">
        <v>0</v>
      </c>
      <c r="F946" s="86">
        <v>0</v>
      </c>
      <c r="G946" s="86">
        <v>0</v>
      </c>
      <c r="H946" s="86">
        <v>0</v>
      </c>
      <c r="I946" s="86">
        <v>0</v>
      </c>
      <c r="J946" s="86">
        <v>0</v>
      </c>
    </row>
    <row r="947" spans="1:10">
      <c r="A947" s="81" t="s">
        <v>10</v>
      </c>
      <c r="B947" s="81" t="s">
        <v>12</v>
      </c>
      <c r="C947" s="82">
        <v>0.36458333333333298</v>
      </c>
      <c r="D947" s="83">
        <v>0</v>
      </c>
      <c r="E947" s="83">
        <v>0</v>
      </c>
      <c r="F947" s="83">
        <v>0</v>
      </c>
      <c r="G947" s="83">
        <v>0</v>
      </c>
      <c r="H947" s="83">
        <v>0</v>
      </c>
      <c r="I947" s="83">
        <v>0</v>
      </c>
      <c r="J947" s="83">
        <v>0</v>
      </c>
    </row>
    <row r="948" spans="1:10">
      <c r="A948" s="81" t="s">
        <v>10</v>
      </c>
      <c r="B948" s="81" t="s">
        <v>12</v>
      </c>
      <c r="C948" s="82">
        <v>0.36527777777777698</v>
      </c>
      <c r="D948" s="83">
        <v>0</v>
      </c>
      <c r="E948" s="83">
        <v>0</v>
      </c>
      <c r="F948" s="83">
        <v>0</v>
      </c>
      <c r="G948" s="83">
        <v>0</v>
      </c>
      <c r="H948" s="83">
        <v>0</v>
      </c>
      <c r="I948" s="83">
        <v>0</v>
      </c>
      <c r="J948" s="83">
        <v>0</v>
      </c>
    </row>
    <row r="949" spans="1:10">
      <c r="A949" s="81" t="s">
        <v>10</v>
      </c>
      <c r="B949" s="81" t="s">
        <v>12</v>
      </c>
      <c r="C949" s="82">
        <v>0.36597222222222198</v>
      </c>
      <c r="D949" s="83">
        <v>0</v>
      </c>
      <c r="E949" s="83">
        <v>0</v>
      </c>
      <c r="F949" s="83">
        <v>0</v>
      </c>
      <c r="G949" s="83">
        <v>0</v>
      </c>
      <c r="H949" s="83">
        <v>0</v>
      </c>
      <c r="I949" s="83">
        <v>0</v>
      </c>
      <c r="J949" s="83">
        <v>0</v>
      </c>
    </row>
    <row r="950" spans="1:10">
      <c r="A950" s="81" t="s">
        <v>10</v>
      </c>
      <c r="B950" s="81" t="s">
        <v>12</v>
      </c>
      <c r="C950" s="82">
        <v>0.36666666666666597</v>
      </c>
      <c r="D950" s="83">
        <v>0</v>
      </c>
      <c r="E950" s="83">
        <v>0</v>
      </c>
      <c r="F950" s="83">
        <v>0</v>
      </c>
      <c r="G950" s="83">
        <v>0</v>
      </c>
      <c r="H950" s="83">
        <v>0</v>
      </c>
      <c r="I950" s="83">
        <v>0</v>
      </c>
      <c r="J950" s="83">
        <v>0</v>
      </c>
    </row>
    <row r="951" spans="1:10">
      <c r="A951" s="81" t="s">
        <v>10</v>
      </c>
      <c r="B951" s="81" t="s">
        <v>12</v>
      </c>
      <c r="C951" s="82">
        <v>0.36736111111111103</v>
      </c>
      <c r="D951" s="83">
        <v>0</v>
      </c>
      <c r="E951" s="83">
        <v>0</v>
      </c>
      <c r="F951" s="83">
        <v>0</v>
      </c>
      <c r="G951" s="83">
        <v>0</v>
      </c>
      <c r="H951" s="83">
        <v>0</v>
      </c>
      <c r="I951" s="83">
        <v>0</v>
      </c>
      <c r="J951" s="83">
        <v>0</v>
      </c>
    </row>
    <row r="952" spans="1:10">
      <c r="A952" s="81" t="s">
        <v>10</v>
      </c>
      <c r="B952" s="81" t="s">
        <v>12</v>
      </c>
      <c r="C952" s="82">
        <v>0.36805555555555503</v>
      </c>
      <c r="D952" s="83">
        <v>0</v>
      </c>
      <c r="E952" s="83">
        <v>0</v>
      </c>
      <c r="F952" s="83">
        <v>0</v>
      </c>
      <c r="G952" s="83">
        <v>0</v>
      </c>
      <c r="H952" s="83">
        <v>0</v>
      </c>
      <c r="I952" s="83">
        <v>0</v>
      </c>
      <c r="J952" s="83">
        <v>0</v>
      </c>
    </row>
    <row r="953" spans="1:10">
      <c r="A953" s="81" t="s">
        <v>10</v>
      </c>
      <c r="B953" s="81" t="s">
        <v>12</v>
      </c>
      <c r="C953" s="82">
        <v>0.36875000000000002</v>
      </c>
      <c r="D953" s="83">
        <v>0</v>
      </c>
      <c r="E953" s="83">
        <v>0</v>
      </c>
      <c r="F953" s="83">
        <v>0</v>
      </c>
      <c r="G953" s="83">
        <v>0</v>
      </c>
      <c r="H953" s="83">
        <v>0</v>
      </c>
      <c r="I953" s="83">
        <v>0</v>
      </c>
      <c r="J953" s="83">
        <v>0</v>
      </c>
    </row>
    <row r="954" spans="1:10">
      <c r="A954" s="81" t="s">
        <v>10</v>
      </c>
      <c r="B954" s="81" t="s">
        <v>12</v>
      </c>
      <c r="C954" s="82">
        <v>0.36944444444444402</v>
      </c>
      <c r="D954" s="83">
        <v>0</v>
      </c>
      <c r="E954" s="83">
        <v>0</v>
      </c>
      <c r="F954" s="83">
        <v>0</v>
      </c>
      <c r="G954" s="83">
        <v>0</v>
      </c>
      <c r="H954" s="83">
        <v>0</v>
      </c>
      <c r="I954" s="83">
        <v>0</v>
      </c>
      <c r="J954" s="83">
        <v>0</v>
      </c>
    </row>
    <row r="955" spans="1:10">
      <c r="A955" s="81" t="s">
        <v>10</v>
      </c>
      <c r="B955" s="81" t="s">
        <v>12</v>
      </c>
      <c r="C955" s="82">
        <v>0.37013888888888902</v>
      </c>
      <c r="D955" s="83">
        <v>0</v>
      </c>
      <c r="E955" s="83">
        <v>0</v>
      </c>
      <c r="F955" s="83">
        <v>0</v>
      </c>
      <c r="G955" s="83">
        <v>0</v>
      </c>
      <c r="H955" s="83">
        <v>0</v>
      </c>
      <c r="I955" s="83">
        <v>0</v>
      </c>
      <c r="J955" s="83">
        <v>0</v>
      </c>
    </row>
    <row r="956" spans="1:10">
      <c r="A956" s="81" t="s">
        <v>10</v>
      </c>
      <c r="B956" s="81" t="s">
        <v>12</v>
      </c>
      <c r="C956" s="82">
        <v>0.37083333333333302</v>
      </c>
      <c r="D956" s="83">
        <v>0</v>
      </c>
      <c r="E956" s="83">
        <v>0</v>
      </c>
      <c r="F956" s="83">
        <v>0</v>
      </c>
      <c r="G956" s="83">
        <v>0</v>
      </c>
      <c r="H956" s="83">
        <v>0</v>
      </c>
      <c r="I956" s="83">
        <v>0</v>
      </c>
      <c r="J956" s="83">
        <v>0</v>
      </c>
    </row>
    <row r="957" spans="1:10">
      <c r="A957" s="81" t="s">
        <v>10</v>
      </c>
      <c r="B957" s="81" t="s">
        <v>12</v>
      </c>
      <c r="C957" s="82">
        <v>0.37152777777777701</v>
      </c>
      <c r="D957" s="83">
        <v>0</v>
      </c>
      <c r="E957" s="83">
        <v>0</v>
      </c>
      <c r="F957" s="83">
        <v>0</v>
      </c>
      <c r="G957" s="83">
        <v>0</v>
      </c>
      <c r="H957" s="83">
        <v>0</v>
      </c>
      <c r="I957" s="83">
        <v>0</v>
      </c>
      <c r="J957" s="83">
        <v>0</v>
      </c>
    </row>
    <row r="958" spans="1:10">
      <c r="A958" s="81" t="s">
        <v>10</v>
      </c>
      <c r="B958" s="81" t="s">
        <v>12</v>
      </c>
      <c r="C958" s="82">
        <v>0.37222222222222201</v>
      </c>
      <c r="D958" s="83">
        <v>0</v>
      </c>
      <c r="E958" s="83">
        <v>0</v>
      </c>
      <c r="F958" s="83">
        <v>0</v>
      </c>
      <c r="G958" s="83">
        <v>0</v>
      </c>
      <c r="H958" s="83">
        <v>0</v>
      </c>
      <c r="I958" s="83">
        <v>0</v>
      </c>
      <c r="J958" s="83">
        <v>0</v>
      </c>
    </row>
    <row r="959" spans="1:10">
      <c r="A959" s="81" t="s">
        <v>10</v>
      </c>
      <c r="B959" s="81" t="s">
        <v>12</v>
      </c>
      <c r="C959" s="82">
        <v>0.37291666666666601</v>
      </c>
      <c r="D959" s="83">
        <v>0</v>
      </c>
      <c r="E959" s="83">
        <v>0</v>
      </c>
      <c r="F959" s="83">
        <v>0</v>
      </c>
      <c r="G959" s="83">
        <v>0</v>
      </c>
      <c r="H959" s="83">
        <v>0</v>
      </c>
      <c r="I959" s="83">
        <v>0</v>
      </c>
      <c r="J959" s="83">
        <v>0</v>
      </c>
    </row>
    <row r="960" spans="1:10">
      <c r="A960" s="81" t="s">
        <v>10</v>
      </c>
      <c r="B960" s="81" t="s">
        <v>12</v>
      </c>
      <c r="C960" s="82">
        <v>0.37361111111111101</v>
      </c>
      <c r="D960" s="83">
        <v>0</v>
      </c>
      <c r="E960" s="83">
        <v>0</v>
      </c>
      <c r="F960" s="83">
        <v>0</v>
      </c>
      <c r="G960" s="83">
        <v>0</v>
      </c>
      <c r="H960" s="83">
        <v>0</v>
      </c>
      <c r="I960" s="83">
        <v>0</v>
      </c>
      <c r="J960" s="83">
        <v>0</v>
      </c>
    </row>
    <row r="961" spans="1:10" s="28" customFormat="1" ht="17.5" thickBot="1">
      <c r="A961" s="100" t="s">
        <v>10</v>
      </c>
      <c r="B961" s="100" t="s">
        <v>12</v>
      </c>
      <c r="C961" s="101">
        <v>0.374305555555555</v>
      </c>
      <c r="D961" s="102">
        <v>0</v>
      </c>
      <c r="E961" s="102">
        <v>0</v>
      </c>
      <c r="F961" s="102">
        <v>0</v>
      </c>
      <c r="G961" s="102">
        <v>0</v>
      </c>
      <c r="H961" s="102">
        <v>0</v>
      </c>
      <c r="I961" s="102">
        <v>0</v>
      </c>
      <c r="J961" s="102">
        <v>0</v>
      </c>
    </row>
    <row r="962" spans="1:10">
      <c r="A962" s="81" t="s">
        <v>10</v>
      </c>
      <c r="B962" s="81" t="s">
        <v>13</v>
      </c>
      <c r="C962" s="82">
        <v>0.29166666666666669</v>
      </c>
      <c r="D962" s="83">
        <v>0</v>
      </c>
      <c r="E962" s="83">
        <v>0</v>
      </c>
      <c r="F962" s="83">
        <v>0</v>
      </c>
      <c r="G962" s="83">
        <v>0</v>
      </c>
      <c r="H962" s="83">
        <v>0</v>
      </c>
      <c r="I962" s="83">
        <v>0</v>
      </c>
      <c r="J962" s="83">
        <v>0</v>
      </c>
    </row>
    <row r="963" spans="1:10">
      <c r="A963" s="81" t="s">
        <v>10</v>
      </c>
      <c r="B963" s="81" t="s">
        <v>13</v>
      </c>
      <c r="C963" s="82">
        <v>0.29236111111111113</v>
      </c>
      <c r="D963" s="83">
        <v>0</v>
      </c>
      <c r="E963" s="83">
        <v>0</v>
      </c>
      <c r="F963" s="83">
        <v>0</v>
      </c>
      <c r="G963" s="83">
        <v>0</v>
      </c>
      <c r="H963" s="83">
        <v>0</v>
      </c>
      <c r="I963" s="83">
        <v>0</v>
      </c>
      <c r="J963" s="83">
        <v>0</v>
      </c>
    </row>
    <row r="964" spans="1:10">
      <c r="A964" s="81" t="s">
        <v>10</v>
      </c>
      <c r="B964" s="81" t="s">
        <v>13</v>
      </c>
      <c r="C964" s="82">
        <v>0.29305555555555601</v>
      </c>
      <c r="D964" s="83">
        <v>0</v>
      </c>
      <c r="E964" s="83">
        <v>0</v>
      </c>
      <c r="F964" s="83">
        <v>0</v>
      </c>
      <c r="G964" s="83">
        <v>0</v>
      </c>
      <c r="H964" s="83">
        <v>0</v>
      </c>
      <c r="I964" s="83">
        <v>0</v>
      </c>
      <c r="J964" s="83">
        <v>0</v>
      </c>
    </row>
    <row r="965" spans="1:10">
      <c r="A965" s="81" t="s">
        <v>10</v>
      </c>
      <c r="B965" s="81" t="s">
        <v>13</v>
      </c>
      <c r="C965" s="82">
        <v>0.29375000000000001</v>
      </c>
      <c r="D965" s="83">
        <v>0</v>
      </c>
      <c r="E965" s="83">
        <v>0</v>
      </c>
      <c r="F965" s="83">
        <v>0</v>
      </c>
      <c r="G965" s="83">
        <v>0</v>
      </c>
      <c r="H965" s="83">
        <v>0</v>
      </c>
      <c r="I965" s="83">
        <v>0</v>
      </c>
      <c r="J965" s="83">
        <v>0</v>
      </c>
    </row>
    <row r="966" spans="1:10">
      <c r="A966" s="81" t="s">
        <v>10</v>
      </c>
      <c r="B966" s="81" t="s">
        <v>13</v>
      </c>
      <c r="C966" s="82">
        <v>0.29444444444444401</v>
      </c>
      <c r="D966" s="83">
        <v>0</v>
      </c>
      <c r="E966" s="83">
        <v>0</v>
      </c>
      <c r="F966" s="83">
        <v>0</v>
      </c>
      <c r="G966" s="83">
        <v>0</v>
      </c>
      <c r="H966" s="83">
        <v>0</v>
      </c>
      <c r="I966" s="83">
        <v>0</v>
      </c>
      <c r="J966" s="83">
        <v>0</v>
      </c>
    </row>
    <row r="967" spans="1:10">
      <c r="A967" s="81" t="s">
        <v>10</v>
      </c>
      <c r="B967" s="81" t="s">
        <v>13</v>
      </c>
      <c r="C967" s="82">
        <v>0.29513888888888901</v>
      </c>
      <c r="D967" s="83">
        <v>0</v>
      </c>
      <c r="E967" s="83">
        <v>0</v>
      </c>
      <c r="F967" s="83">
        <v>0</v>
      </c>
      <c r="G967" s="83">
        <v>0</v>
      </c>
      <c r="H967" s="83">
        <v>0</v>
      </c>
      <c r="I967" s="83">
        <v>0</v>
      </c>
      <c r="J967" s="83">
        <v>0</v>
      </c>
    </row>
    <row r="968" spans="1:10">
      <c r="A968" s="81" t="s">
        <v>10</v>
      </c>
      <c r="B968" s="81" t="s">
        <v>13</v>
      </c>
      <c r="C968" s="82">
        <v>0.295833333333333</v>
      </c>
      <c r="D968" s="83">
        <v>0</v>
      </c>
      <c r="E968" s="83">
        <v>0</v>
      </c>
      <c r="F968" s="83">
        <v>0</v>
      </c>
      <c r="G968" s="83">
        <v>0</v>
      </c>
      <c r="H968" s="83">
        <v>0</v>
      </c>
      <c r="I968" s="83">
        <v>0</v>
      </c>
      <c r="J968" s="83">
        <v>0</v>
      </c>
    </row>
    <row r="969" spans="1:10">
      <c r="A969" s="81" t="s">
        <v>10</v>
      </c>
      <c r="B969" s="81" t="s">
        <v>13</v>
      </c>
      <c r="C969" s="82">
        <v>0.296527777777778</v>
      </c>
      <c r="D969" s="83">
        <v>0</v>
      </c>
      <c r="E969" s="83">
        <v>0</v>
      </c>
      <c r="F969" s="83">
        <v>0</v>
      </c>
      <c r="G969" s="83">
        <v>0</v>
      </c>
      <c r="H969" s="83">
        <v>0</v>
      </c>
      <c r="I969" s="83">
        <v>0</v>
      </c>
      <c r="J969" s="83">
        <v>0</v>
      </c>
    </row>
    <row r="970" spans="1:10">
      <c r="A970" s="81" t="s">
        <v>10</v>
      </c>
      <c r="B970" s="81" t="s">
        <v>13</v>
      </c>
      <c r="C970" s="82">
        <v>0.297222222222222</v>
      </c>
      <c r="D970" s="83">
        <v>0</v>
      </c>
      <c r="E970" s="83">
        <v>0</v>
      </c>
      <c r="F970" s="83">
        <v>0</v>
      </c>
      <c r="G970" s="83">
        <v>0</v>
      </c>
      <c r="H970" s="83">
        <v>0</v>
      </c>
      <c r="I970" s="83">
        <v>0</v>
      </c>
      <c r="J970" s="83">
        <v>0</v>
      </c>
    </row>
    <row r="971" spans="1:10">
      <c r="A971" s="81" t="s">
        <v>10</v>
      </c>
      <c r="B971" s="81" t="s">
        <v>13</v>
      </c>
      <c r="C971" s="82">
        <v>0.297916666666667</v>
      </c>
      <c r="D971" s="83">
        <v>0</v>
      </c>
      <c r="E971" s="83">
        <v>0</v>
      </c>
      <c r="F971" s="83">
        <v>0</v>
      </c>
      <c r="G971" s="83">
        <v>0</v>
      </c>
      <c r="H971" s="83">
        <v>0</v>
      </c>
      <c r="I971" s="83">
        <v>0</v>
      </c>
      <c r="J971" s="83">
        <v>0</v>
      </c>
    </row>
    <row r="972" spans="1:10">
      <c r="A972" s="81" t="s">
        <v>10</v>
      </c>
      <c r="B972" s="81" t="s">
        <v>13</v>
      </c>
      <c r="C972" s="82">
        <v>0.29861111111111099</v>
      </c>
      <c r="D972" s="83">
        <v>0</v>
      </c>
      <c r="E972" s="83">
        <v>0</v>
      </c>
      <c r="F972" s="83">
        <v>0</v>
      </c>
      <c r="G972" s="83">
        <v>0</v>
      </c>
      <c r="H972" s="83">
        <v>0</v>
      </c>
      <c r="I972" s="83">
        <v>0</v>
      </c>
      <c r="J972" s="83">
        <v>0</v>
      </c>
    </row>
    <row r="973" spans="1:10">
      <c r="A973" s="81" t="s">
        <v>10</v>
      </c>
      <c r="B973" s="81" t="s">
        <v>13</v>
      </c>
      <c r="C973" s="82">
        <v>0.29930555555555599</v>
      </c>
      <c r="D973" s="83">
        <v>0</v>
      </c>
      <c r="E973" s="83">
        <v>0</v>
      </c>
      <c r="F973" s="83">
        <v>0</v>
      </c>
      <c r="G973" s="83">
        <v>0</v>
      </c>
      <c r="H973" s="83">
        <v>0</v>
      </c>
      <c r="I973" s="83">
        <v>0</v>
      </c>
      <c r="J973" s="83">
        <v>0</v>
      </c>
    </row>
    <row r="974" spans="1:10">
      <c r="A974" s="81" t="s">
        <v>10</v>
      </c>
      <c r="B974" s="81" t="s">
        <v>13</v>
      </c>
      <c r="C974" s="82">
        <v>0.3</v>
      </c>
      <c r="D974" s="83">
        <v>0</v>
      </c>
      <c r="E974" s="83">
        <v>0</v>
      </c>
      <c r="F974" s="83">
        <v>0</v>
      </c>
      <c r="G974" s="83">
        <v>0</v>
      </c>
      <c r="H974" s="83">
        <v>0</v>
      </c>
      <c r="I974" s="83">
        <v>0</v>
      </c>
      <c r="J974" s="83">
        <v>0</v>
      </c>
    </row>
    <row r="975" spans="1:10">
      <c r="A975" s="81" t="s">
        <v>10</v>
      </c>
      <c r="B975" s="81" t="s">
        <v>13</v>
      </c>
      <c r="C975" s="82">
        <v>0.30069444444444399</v>
      </c>
      <c r="D975" s="83">
        <v>0</v>
      </c>
      <c r="E975" s="83">
        <v>0</v>
      </c>
      <c r="F975" s="83">
        <v>0</v>
      </c>
      <c r="G975" s="83">
        <v>0</v>
      </c>
      <c r="H975" s="83">
        <v>0</v>
      </c>
      <c r="I975" s="83">
        <v>0</v>
      </c>
      <c r="J975" s="83">
        <v>0</v>
      </c>
    </row>
    <row r="976" spans="1:10" s="80" customFormat="1">
      <c r="A976" s="84" t="s">
        <v>10</v>
      </c>
      <c r="B976" s="84" t="s">
        <v>13</v>
      </c>
      <c r="C976" s="85">
        <v>0.30138888888888898</v>
      </c>
      <c r="D976" s="86">
        <v>0</v>
      </c>
      <c r="E976" s="86">
        <v>0</v>
      </c>
      <c r="F976" s="86">
        <v>0</v>
      </c>
      <c r="G976" s="86">
        <v>0</v>
      </c>
      <c r="H976" s="86">
        <v>0</v>
      </c>
      <c r="I976" s="86">
        <v>0</v>
      </c>
      <c r="J976" s="86">
        <v>0</v>
      </c>
    </row>
    <row r="977" spans="1:10">
      <c r="A977" s="81" t="s">
        <v>10</v>
      </c>
      <c r="B977" s="81" t="s">
        <v>13</v>
      </c>
      <c r="C977" s="82">
        <v>0.30208333333333298</v>
      </c>
      <c r="D977" s="83">
        <v>0</v>
      </c>
      <c r="E977" s="83">
        <v>0</v>
      </c>
      <c r="F977" s="83">
        <v>0</v>
      </c>
      <c r="G977" s="83">
        <v>0</v>
      </c>
      <c r="H977" s="83">
        <v>0</v>
      </c>
      <c r="I977" s="83">
        <v>0</v>
      </c>
      <c r="J977" s="83">
        <v>0</v>
      </c>
    </row>
    <row r="978" spans="1:10">
      <c r="A978" s="81" t="s">
        <v>10</v>
      </c>
      <c r="B978" s="81" t="s">
        <v>13</v>
      </c>
      <c r="C978" s="82">
        <v>0.30277777777777798</v>
      </c>
      <c r="D978" s="83">
        <v>0</v>
      </c>
      <c r="E978" s="83">
        <v>0</v>
      </c>
      <c r="F978" s="83">
        <v>0</v>
      </c>
      <c r="G978" s="83">
        <v>0</v>
      </c>
      <c r="H978" s="83">
        <v>0</v>
      </c>
      <c r="I978" s="83">
        <v>0</v>
      </c>
      <c r="J978" s="83">
        <v>0</v>
      </c>
    </row>
    <row r="979" spans="1:10">
      <c r="A979" s="81" t="s">
        <v>10</v>
      </c>
      <c r="B979" s="81" t="s">
        <v>13</v>
      </c>
      <c r="C979" s="82">
        <v>0.30347222222222198</v>
      </c>
      <c r="D979" s="83">
        <v>0</v>
      </c>
      <c r="E979" s="83">
        <v>0</v>
      </c>
      <c r="F979" s="83">
        <v>0</v>
      </c>
      <c r="G979" s="83">
        <v>0</v>
      </c>
      <c r="H979" s="83">
        <v>0</v>
      </c>
      <c r="I979" s="83">
        <v>0</v>
      </c>
      <c r="J979" s="83">
        <v>0</v>
      </c>
    </row>
    <row r="980" spans="1:10">
      <c r="A980" s="81" t="s">
        <v>10</v>
      </c>
      <c r="B980" s="81" t="s">
        <v>13</v>
      </c>
      <c r="C980" s="82">
        <v>0.30416666666666697</v>
      </c>
      <c r="D980" s="83">
        <v>0</v>
      </c>
      <c r="E980" s="83">
        <v>0</v>
      </c>
      <c r="F980" s="83">
        <v>0</v>
      </c>
      <c r="G980" s="83">
        <v>0</v>
      </c>
      <c r="H980" s="83">
        <v>0</v>
      </c>
      <c r="I980" s="83">
        <v>0</v>
      </c>
      <c r="J980" s="83">
        <v>0</v>
      </c>
    </row>
    <row r="981" spans="1:10">
      <c r="A981" s="81" t="s">
        <v>10</v>
      </c>
      <c r="B981" s="81" t="s">
        <v>13</v>
      </c>
      <c r="C981" s="82">
        <v>0.30486111111111103</v>
      </c>
      <c r="D981" s="83">
        <v>0</v>
      </c>
      <c r="E981" s="83">
        <v>0</v>
      </c>
      <c r="F981" s="83">
        <v>0</v>
      </c>
      <c r="G981" s="83">
        <v>0</v>
      </c>
      <c r="H981" s="83">
        <v>0</v>
      </c>
      <c r="I981" s="83">
        <v>0</v>
      </c>
      <c r="J981" s="83">
        <v>0</v>
      </c>
    </row>
    <row r="982" spans="1:10">
      <c r="A982" s="81" t="s">
        <v>10</v>
      </c>
      <c r="B982" s="81" t="s">
        <v>13</v>
      </c>
      <c r="C982" s="82">
        <v>0.30555555555555503</v>
      </c>
      <c r="D982" s="83">
        <v>0</v>
      </c>
      <c r="E982" s="83">
        <v>0</v>
      </c>
      <c r="F982" s="83">
        <v>0</v>
      </c>
      <c r="G982" s="83">
        <v>0</v>
      </c>
      <c r="H982" s="83">
        <v>0</v>
      </c>
      <c r="I982" s="83">
        <v>0</v>
      </c>
      <c r="J982" s="83">
        <v>0</v>
      </c>
    </row>
    <row r="983" spans="1:10">
      <c r="A983" s="81" t="s">
        <v>10</v>
      </c>
      <c r="B983" s="81" t="s">
        <v>13</v>
      </c>
      <c r="C983" s="82">
        <v>0.30625000000000002</v>
      </c>
      <c r="D983" s="83">
        <v>0</v>
      </c>
      <c r="E983" s="83">
        <v>0</v>
      </c>
      <c r="F983" s="83">
        <v>0</v>
      </c>
      <c r="G983" s="83">
        <v>0</v>
      </c>
      <c r="H983" s="83">
        <v>0</v>
      </c>
      <c r="I983" s="83">
        <v>0</v>
      </c>
      <c r="J983" s="83">
        <v>0</v>
      </c>
    </row>
    <row r="984" spans="1:10">
      <c r="A984" s="81" t="s">
        <v>10</v>
      </c>
      <c r="B984" s="81" t="s">
        <v>13</v>
      </c>
      <c r="C984" s="82">
        <v>0.30694444444444402</v>
      </c>
      <c r="D984" s="83">
        <v>0</v>
      </c>
      <c r="E984" s="83">
        <v>0</v>
      </c>
      <c r="F984" s="83">
        <v>0</v>
      </c>
      <c r="G984" s="83">
        <v>0</v>
      </c>
      <c r="H984" s="83">
        <v>0</v>
      </c>
      <c r="I984" s="83">
        <v>0</v>
      </c>
      <c r="J984" s="83">
        <v>0</v>
      </c>
    </row>
    <row r="985" spans="1:10">
      <c r="A985" s="81" t="s">
        <v>10</v>
      </c>
      <c r="B985" s="81" t="s">
        <v>13</v>
      </c>
      <c r="C985" s="82">
        <v>0.30763888888888902</v>
      </c>
      <c r="D985" s="83">
        <v>0</v>
      </c>
      <c r="E985" s="83">
        <v>0</v>
      </c>
      <c r="F985" s="83">
        <v>0</v>
      </c>
      <c r="G985" s="83">
        <v>0</v>
      </c>
      <c r="H985" s="83">
        <v>0</v>
      </c>
      <c r="I985" s="83">
        <v>0</v>
      </c>
      <c r="J985" s="83">
        <v>0</v>
      </c>
    </row>
    <row r="986" spans="1:10">
      <c r="A986" s="81" t="s">
        <v>10</v>
      </c>
      <c r="B986" s="81" t="s">
        <v>13</v>
      </c>
      <c r="C986" s="82">
        <v>0.30833333333333302</v>
      </c>
      <c r="D986" s="83">
        <v>0</v>
      </c>
      <c r="E986" s="83">
        <v>0</v>
      </c>
      <c r="F986" s="83">
        <v>0</v>
      </c>
      <c r="G986" s="83">
        <v>0</v>
      </c>
      <c r="H986" s="83">
        <v>0</v>
      </c>
      <c r="I986" s="83">
        <v>0</v>
      </c>
      <c r="J986" s="83">
        <v>0</v>
      </c>
    </row>
    <row r="987" spans="1:10">
      <c r="A987" s="81" t="s">
        <v>10</v>
      </c>
      <c r="B987" s="81" t="s">
        <v>13</v>
      </c>
      <c r="C987" s="82">
        <v>0.30902777777777801</v>
      </c>
      <c r="D987" s="83">
        <v>0</v>
      </c>
      <c r="E987" s="83">
        <v>0</v>
      </c>
      <c r="F987" s="83">
        <v>0</v>
      </c>
      <c r="G987" s="83">
        <v>0</v>
      </c>
      <c r="H987" s="83">
        <v>0</v>
      </c>
      <c r="I987" s="83">
        <v>0</v>
      </c>
      <c r="J987" s="83">
        <v>0</v>
      </c>
    </row>
    <row r="988" spans="1:10">
      <c r="A988" s="81" t="s">
        <v>10</v>
      </c>
      <c r="B988" s="81" t="s">
        <v>13</v>
      </c>
      <c r="C988" s="82">
        <v>0.30972222222222201</v>
      </c>
      <c r="D988" s="83">
        <v>0</v>
      </c>
      <c r="E988" s="83">
        <v>0</v>
      </c>
      <c r="F988" s="83">
        <v>0</v>
      </c>
      <c r="G988" s="83">
        <v>0</v>
      </c>
      <c r="H988" s="83">
        <v>0</v>
      </c>
      <c r="I988" s="83">
        <v>0</v>
      </c>
      <c r="J988" s="83">
        <v>0</v>
      </c>
    </row>
    <row r="989" spans="1:10">
      <c r="A989" s="81" t="s">
        <v>10</v>
      </c>
      <c r="B989" s="81" t="s">
        <v>13</v>
      </c>
      <c r="C989" s="82">
        <v>0.31041666666666701</v>
      </c>
      <c r="D989" s="83">
        <v>0</v>
      </c>
      <c r="E989" s="83">
        <v>0</v>
      </c>
      <c r="F989" s="83">
        <v>0</v>
      </c>
      <c r="G989" s="83">
        <v>0</v>
      </c>
      <c r="H989" s="83">
        <v>0</v>
      </c>
      <c r="I989" s="83">
        <v>0</v>
      </c>
      <c r="J989" s="83">
        <v>0</v>
      </c>
    </row>
    <row r="990" spans="1:10">
      <c r="A990" s="81" t="s">
        <v>10</v>
      </c>
      <c r="B990" s="81" t="s">
        <v>13</v>
      </c>
      <c r="C990" s="82">
        <v>0.31111111111111101</v>
      </c>
      <c r="D990" s="83">
        <v>0</v>
      </c>
      <c r="E990" s="83">
        <v>0</v>
      </c>
      <c r="F990" s="83">
        <v>0</v>
      </c>
      <c r="G990" s="83">
        <v>0</v>
      </c>
      <c r="H990" s="83">
        <v>0</v>
      </c>
      <c r="I990" s="83">
        <v>0</v>
      </c>
      <c r="J990" s="83">
        <v>0</v>
      </c>
    </row>
    <row r="991" spans="1:10" s="80" customFormat="1">
      <c r="A991" s="84" t="s">
        <v>10</v>
      </c>
      <c r="B991" s="84" t="s">
        <v>13</v>
      </c>
      <c r="C991" s="85">
        <v>0.311805555555556</v>
      </c>
      <c r="D991" s="86">
        <v>0</v>
      </c>
      <c r="E991" s="86">
        <v>0</v>
      </c>
      <c r="F991" s="86">
        <v>0</v>
      </c>
      <c r="G991" s="86">
        <v>0</v>
      </c>
      <c r="H991" s="86">
        <v>0</v>
      </c>
      <c r="I991" s="86">
        <v>0</v>
      </c>
      <c r="J991" s="86">
        <v>0</v>
      </c>
    </row>
    <row r="992" spans="1:10">
      <c r="A992" s="81" t="s">
        <v>10</v>
      </c>
      <c r="B992" s="81" t="s">
        <v>13</v>
      </c>
      <c r="C992" s="82">
        <v>0.3125</v>
      </c>
      <c r="D992" s="83">
        <v>0</v>
      </c>
      <c r="E992" s="83">
        <v>0</v>
      </c>
      <c r="F992" s="83">
        <v>0</v>
      </c>
      <c r="G992" s="83">
        <v>0</v>
      </c>
      <c r="H992" s="83">
        <v>0</v>
      </c>
      <c r="I992" s="83">
        <v>0</v>
      </c>
      <c r="J992" s="83">
        <v>0</v>
      </c>
    </row>
    <row r="993" spans="1:10">
      <c r="A993" s="81" t="s">
        <v>10</v>
      </c>
      <c r="B993" s="81" t="s">
        <v>13</v>
      </c>
      <c r="C993" s="82">
        <v>0.313194444444444</v>
      </c>
      <c r="D993" s="83">
        <v>0</v>
      </c>
      <c r="E993" s="83">
        <v>0</v>
      </c>
      <c r="F993" s="83">
        <v>0</v>
      </c>
      <c r="G993" s="83">
        <v>0</v>
      </c>
      <c r="H993" s="83">
        <v>0</v>
      </c>
      <c r="I993" s="83">
        <v>0</v>
      </c>
      <c r="J993" s="83">
        <v>0</v>
      </c>
    </row>
    <row r="994" spans="1:10">
      <c r="A994" s="81" t="s">
        <v>10</v>
      </c>
      <c r="B994" s="81" t="s">
        <v>13</v>
      </c>
      <c r="C994" s="82">
        <v>0.31388888888888899</v>
      </c>
      <c r="D994" s="83">
        <v>0</v>
      </c>
      <c r="E994" s="83">
        <v>0</v>
      </c>
      <c r="F994" s="83">
        <v>0</v>
      </c>
      <c r="G994" s="83">
        <v>0</v>
      </c>
      <c r="H994" s="83">
        <v>0</v>
      </c>
      <c r="I994" s="83">
        <v>0</v>
      </c>
      <c r="J994" s="83">
        <v>0</v>
      </c>
    </row>
    <row r="995" spans="1:10">
      <c r="A995" s="81" t="s">
        <v>10</v>
      </c>
      <c r="B995" s="81" t="s">
        <v>13</v>
      </c>
      <c r="C995" s="82">
        <v>0.31458333333333299</v>
      </c>
      <c r="D995" s="83">
        <v>0</v>
      </c>
      <c r="E995" s="83">
        <v>0</v>
      </c>
      <c r="F995" s="83">
        <v>0</v>
      </c>
      <c r="G995" s="83">
        <v>0</v>
      </c>
      <c r="H995" s="83">
        <v>0</v>
      </c>
      <c r="I995" s="83">
        <v>0</v>
      </c>
      <c r="J995" s="83">
        <v>0</v>
      </c>
    </row>
    <row r="996" spans="1:10">
      <c r="A996" s="81" t="s">
        <v>10</v>
      </c>
      <c r="B996" s="81" t="s">
        <v>13</v>
      </c>
      <c r="C996" s="82">
        <v>0.31527777777777799</v>
      </c>
      <c r="D996" s="83">
        <v>0</v>
      </c>
      <c r="E996" s="83">
        <v>0</v>
      </c>
      <c r="F996" s="83">
        <v>0</v>
      </c>
      <c r="G996" s="83">
        <v>0</v>
      </c>
      <c r="H996" s="83">
        <v>0</v>
      </c>
      <c r="I996" s="83">
        <v>0</v>
      </c>
      <c r="J996" s="83">
        <v>0</v>
      </c>
    </row>
    <row r="997" spans="1:10">
      <c r="A997" s="81" t="s">
        <v>10</v>
      </c>
      <c r="B997" s="81" t="s">
        <v>13</v>
      </c>
      <c r="C997" s="82">
        <v>0.31597222222222199</v>
      </c>
      <c r="D997" s="83">
        <v>0</v>
      </c>
      <c r="E997" s="83">
        <v>0</v>
      </c>
      <c r="F997" s="83">
        <v>0</v>
      </c>
      <c r="G997" s="83">
        <v>0</v>
      </c>
      <c r="H997" s="83">
        <v>0</v>
      </c>
      <c r="I997" s="83">
        <v>0</v>
      </c>
      <c r="J997" s="83">
        <v>0</v>
      </c>
    </row>
    <row r="998" spans="1:10">
      <c r="A998" s="81" t="s">
        <v>10</v>
      </c>
      <c r="B998" s="81" t="s">
        <v>13</v>
      </c>
      <c r="C998" s="82">
        <v>0.31666666666666698</v>
      </c>
      <c r="D998" s="83">
        <v>0</v>
      </c>
      <c r="E998" s="83">
        <v>0</v>
      </c>
      <c r="F998" s="83">
        <v>0</v>
      </c>
      <c r="G998" s="83">
        <v>0</v>
      </c>
      <c r="H998" s="83">
        <v>0</v>
      </c>
      <c r="I998" s="83">
        <v>0</v>
      </c>
      <c r="J998" s="83">
        <v>0</v>
      </c>
    </row>
    <row r="999" spans="1:10">
      <c r="A999" s="81" t="s">
        <v>10</v>
      </c>
      <c r="B999" s="81" t="s">
        <v>13</v>
      </c>
      <c r="C999" s="82">
        <v>0.31736111111111098</v>
      </c>
      <c r="D999" s="83">
        <v>0</v>
      </c>
      <c r="E999" s="83">
        <v>0</v>
      </c>
      <c r="F999" s="83">
        <v>0</v>
      </c>
      <c r="G999" s="83">
        <v>0</v>
      </c>
      <c r="H999" s="83">
        <v>0</v>
      </c>
      <c r="I999" s="83">
        <v>0</v>
      </c>
      <c r="J999" s="83">
        <v>0</v>
      </c>
    </row>
    <row r="1000" spans="1:10">
      <c r="A1000" s="81" t="s">
        <v>10</v>
      </c>
      <c r="B1000" s="81" t="s">
        <v>13</v>
      </c>
      <c r="C1000" s="82">
        <v>0.31805555555555498</v>
      </c>
      <c r="D1000" s="83">
        <v>0</v>
      </c>
      <c r="E1000" s="83">
        <v>0</v>
      </c>
      <c r="F1000" s="83">
        <v>0</v>
      </c>
      <c r="G1000" s="83">
        <v>0</v>
      </c>
      <c r="H1000" s="83">
        <v>0</v>
      </c>
      <c r="I1000" s="83">
        <v>0</v>
      </c>
      <c r="J1000" s="83">
        <v>0</v>
      </c>
    </row>
    <row r="1001" spans="1:10">
      <c r="A1001" s="81" t="s">
        <v>10</v>
      </c>
      <c r="B1001" s="81" t="s">
        <v>13</v>
      </c>
      <c r="C1001" s="82">
        <v>0.31874999999999998</v>
      </c>
      <c r="D1001" s="83">
        <v>0</v>
      </c>
      <c r="E1001" s="83">
        <v>0</v>
      </c>
      <c r="F1001" s="83">
        <v>0</v>
      </c>
      <c r="G1001" s="83">
        <v>0</v>
      </c>
      <c r="H1001" s="83">
        <v>0</v>
      </c>
      <c r="I1001" s="83">
        <v>0</v>
      </c>
      <c r="J1001" s="83">
        <v>0</v>
      </c>
    </row>
    <row r="1002" spans="1:10">
      <c r="A1002" s="81" t="s">
        <v>10</v>
      </c>
      <c r="B1002" s="81" t="s">
        <v>13</v>
      </c>
      <c r="C1002" s="82">
        <v>0.31944444444444398</v>
      </c>
      <c r="D1002" s="83">
        <v>0</v>
      </c>
      <c r="E1002" s="83">
        <v>0</v>
      </c>
      <c r="F1002" s="83">
        <v>0</v>
      </c>
      <c r="G1002" s="83">
        <v>0</v>
      </c>
      <c r="H1002" s="83">
        <v>0</v>
      </c>
      <c r="I1002" s="83">
        <v>0</v>
      </c>
      <c r="J1002" s="83">
        <v>0</v>
      </c>
    </row>
    <row r="1003" spans="1:10">
      <c r="A1003" s="81" t="s">
        <v>10</v>
      </c>
      <c r="B1003" s="81" t="s">
        <v>13</v>
      </c>
      <c r="C1003" s="82">
        <v>0.32013888888888897</v>
      </c>
      <c r="D1003" s="83">
        <v>0</v>
      </c>
      <c r="E1003" s="83">
        <v>0</v>
      </c>
      <c r="F1003" s="83">
        <v>0</v>
      </c>
      <c r="G1003" s="83">
        <v>0</v>
      </c>
      <c r="H1003" s="83">
        <v>0</v>
      </c>
      <c r="I1003" s="83">
        <v>0</v>
      </c>
      <c r="J1003" s="83">
        <v>0</v>
      </c>
    </row>
    <row r="1004" spans="1:10">
      <c r="A1004" s="81" t="s">
        <v>10</v>
      </c>
      <c r="B1004" s="81" t="s">
        <v>13</v>
      </c>
      <c r="C1004" s="82">
        <v>0.32083333333333303</v>
      </c>
      <c r="D1004" s="83">
        <v>0</v>
      </c>
      <c r="E1004" s="83">
        <v>0</v>
      </c>
      <c r="F1004" s="83">
        <v>0</v>
      </c>
      <c r="G1004" s="83">
        <v>0</v>
      </c>
      <c r="H1004" s="83">
        <v>0</v>
      </c>
      <c r="I1004" s="83">
        <v>0</v>
      </c>
      <c r="J1004" s="83">
        <v>0</v>
      </c>
    </row>
    <row r="1005" spans="1:10">
      <c r="A1005" s="81" t="s">
        <v>10</v>
      </c>
      <c r="B1005" s="81" t="s">
        <v>13</v>
      </c>
      <c r="C1005" s="82">
        <v>0.32152777777777802</v>
      </c>
      <c r="D1005" s="83">
        <v>0</v>
      </c>
      <c r="E1005" s="83">
        <v>0</v>
      </c>
      <c r="F1005" s="83">
        <v>0</v>
      </c>
      <c r="G1005" s="83">
        <v>0</v>
      </c>
      <c r="H1005" s="83">
        <v>0</v>
      </c>
      <c r="I1005" s="83">
        <v>0</v>
      </c>
      <c r="J1005" s="83">
        <v>0</v>
      </c>
    </row>
    <row r="1006" spans="1:10" s="80" customFormat="1">
      <c r="A1006" s="84" t="s">
        <v>10</v>
      </c>
      <c r="B1006" s="84" t="s">
        <v>13</v>
      </c>
      <c r="C1006" s="85">
        <v>0.32222222222222202</v>
      </c>
      <c r="D1006" s="86">
        <v>0</v>
      </c>
      <c r="E1006" s="86">
        <v>0</v>
      </c>
      <c r="F1006" s="86">
        <v>0</v>
      </c>
      <c r="G1006" s="86">
        <v>0</v>
      </c>
      <c r="H1006" s="86">
        <v>0</v>
      </c>
      <c r="I1006" s="86">
        <v>0</v>
      </c>
      <c r="J1006" s="86">
        <v>0</v>
      </c>
    </row>
    <row r="1007" spans="1:10">
      <c r="A1007" s="81" t="s">
        <v>10</v>
      </c>
      <c r="B1007" s="81" t="s">
        <v>13</v>
      </c>
      <c r="C1007" s="82">
        <v>0.32291666666666702</v>
      </c>
      <c r="D1007" s="83">
        <v>0</v>
      </c>
      <c r="E1007" s="83">
        <v>0</v>
      </c>
      <c r="F1007" s="83">
        <v>0</v>
      </c>
      <c r="G1007" s="83">
        <v>0</v>
      </c>
      <c r="H1007" s="83">
        <v>0</v>
      </c>
      <c r="I1007" s="83">
        <v>0</v>
      </c>
      <c r="J1007" s="83">
        <v>0</v>
      </c>
    </row>
    <row r="1008" spans="1:10">
      <c r="A1008" s="81" t="s">
        <v>10</v>
      </c>
      <c r="B1008" s="81" t="s">
        <v>13</v>
      </c>
      <c r="C1008" s="82">
        <v>0.32361111111111102</v>
      </c>
      <c r="D1008" s="83">
        <v>0</v>
      </c>
      <c r="E1008" s="83">
        <v>0</v>
      </c>
      <c r="F1008" s="83">
        <v>0</v>
      </c>
      <c r="G1008" s="83">
        <v>0</v>
      </c>
      <c r="H1008" s="83">
        <v>0</v>
      </c>
      <c r="I1008" s="83">
        <v>0</v>
      </c>
      <c r="J1008" s="83">
        <v>0</v>
      </c>
    </row>
    <row r="1009" spans="1:10">
      <c r="A1009" s="81" t="s">
        <v>10</v>
      </c>
      <c r="B1009" s="81" t="s">
        <v>13</v>
      </c>
      <c r="C1009" s="82">
        <v>0.32430555555555601</v>
      </c>
      <c r="D1009" s="83">
        <v>0</v>
      </c>
      <c r="E1009" s="83">
        <v>0</v>
      </c>
      <c r="F1009" s="83">
        <v>0</v>
      </c>
      <c r="G1009" s="83">
        <v>0</v>
      </c>
      <c r="H1009" s="83">
        <v>0</v>
      </c>
      <c r="I1009" s="83">
        <v>0</v>
      </c>
      <c r="J1009" s="83">
        <v>0</v>
      </c>
    </row>
    <row r="1010" spans="1:10">
      <c r="A1010" s="81" t="s">
        <v>10</v>
      </c>
      <c r="B1010" s="81" t="s">
        <v>13</v>
      </c>
      <c r="C1010" s="82">
        <v>0.32500000000000001</v>
      </c>
      <c r="D1010" s="83">
        <v>0</v>
      </c>
      <c r="E1010" s="83">
        <v>0</v>
      </c>
      <c r="F1010" s="83">
        <v>0</v>
      </c>
      <c r="G1010" s="83">
        <v>0</v>
      </c>
      <c r="H1010" s="83">
        <v>0</v>
      </c>
      <c r="I1010" s="83">
        <v>0</v>
      </c>
      <c r="J1010" s="83">
        <v>0</v>
      </c>
    </row>
    <row r="1011" spans="1:10">
      <c r="A1011" s="81" t="s">
        <v>10</v>
      </c>
      <c r="B1011" s="81" t="s">
        <v>13</v>
      </c>
      <c r="C1011" s="82">
        <v>0.32569444444444401</v>
      </c>
      <c r="D1011" s="83">
        <v>0</v>
      </c>
      <c r="E1011" s="83">
        <v>0</v>
      </c>
      <c r="F1011" s="83">
        <v>0</v>
      </c>
      <c r="G1011" s="83">
        <v>0</v>
      </c>
      <c r="H1011" s="83">
        <v>0</v>
      </c>
      <c r="I1011" s="83">
        <v>0</v>
      </c>
      <c r="J1011" s="83">
        <v>0</v>
      </c>
    </row>
    <row r="1012" spans="1:10">
      <c r="A1012" s="81" t="s">
        <v>10</v>
      </c>
      <c r="B1012" s="81" t="s">
        <v>13</v>
      </c>
      <c r="C1012" s="82">
        <v>0.32638888888888901</v>
      </c>
      <c r="D1012" s="83">
        <v>0</v>
      </c>
      <c r="E1012" s="83">
        <v>0</v>
      </c>
      <c r="F1012" s="83">
        <v>0</v>
      </c>
      <c r="G1012" s="83">
        <v>0</v>
      </c>
      <c r="H1012" s="83">
        <v>0</v>
      </c>
      <c r="I1012" s="83">
        <v>0</v>
      </c>
      <c r="J1012" s="83">
        <v>0</v>
      </c>
    </row>
    <row r="1013" spans="1:10">
      <c r="A1013" s="81" t="s">
        <v>10</v>
      </c>
      <c r="B1013" s="81" t="s">
        <v>13</v>
      </c>
      <c r="C1013" s="82">
        <v>0.327083333333333</v>
      </c>
      <c r="D1013" s="83">
        <v>0</v>
      </c>
      <c r="E1013" s="83">
        <v>0</v>
      </c>
      <c r="F1013" s="83">
        <v>0</v>
      </c>
      <c r="G1013" s="83">
        <v>0</v>
      </c>
      <c r="H1013" s="83">
        <v>0</v>
      </c>
      <c r="I1013" s="83">
        <v>0</v>
      </c>
      <c r="J1013" s="83">
        <v>0</v>
      </c>
    </row>
    <row r="1014" spans="1:10">
      <c r="A1014" s="81" t="s">
        <v>10</v>
      </c>
      <c r="B1014" s="81" t="s">
        <v>13</v>
      </c>
      <c r="C1014" s="82">
        <v>0.327777777777778</v>
      </c>
      <c r="D1014" s="83">
        <v>0</v>
      </c>
      <c r="E1014" s="83">
        <v>0</v>
      </c>
      <c r="F1014" s="83">
        <v>0</v>
      </c>
      <c r="G1014" s="83">
        <v>0</v>
      </c>
      <c r="H1014" s="83">
        <v>0</v>
      </c>
      <c r="I1014" s="83">
        <v>0</v>
      </c>
      <c r="J1014" s="83">
        <v>0</v>
      </c>
    </row>
    <row r="1015" spans="1:10">
      <c r="A1015" s="81" t="s">
        <v>10</v>
      </c>
      <c r="B1015" s="81" t="s">
        <v>13</v>
      </c>
      <c r="C1015" s="82">
        <v>0.328472222222222</v>
      </c>
      <c r="D1015" s="83">
        <v>0</v>
      </c>
      <c r="E1015" s="83">
        <v>0</v>
      </c>
      <c r="F1015" s="83">
        <v>0</v>
      </c>
      <c r="G1015" s="83">
        <v>0</v>
      </c>
      <c r="H1015" s="83">
        <v>0</v>
      </c>
      <c r="I1015" s="83">
        <v>0</v>
      </c>
      <c r="J1015" s="83">
        <v>0</v>
      </c>
    </row>
    <row r="1016" spans="1:10">
      <c r="A1016" s="81" t="s">
        <v>10</v>
      </c>
      <c r="B1016" s="81" t="s">
        <v>13</v>
      </c>
      <c r="C1016" s="82">
        <v>0.329166666666667</v>
      </c>
      <c r="D1016" s="83">
        <v>0</v>
      </c>
      <c r="E1016" s="83">
        <v>0</v>
      </c>
      <c r="F1016" s="83">
        <v>0</v>
      </c>
      <c r="G1016" s="83">
        <v>0</v>
      </c>
      <c r="H1016" s="83">
        <v>0</v>
      </c>
      <c r="I1016" s="83">
        <v>0</v>
      </c>
      <c r="J1016" s="83">
        <v>0</v>
      </c>
    </row>
    <row r="1017" spans="1:10">
      <c r="A1017" s="81" t="s">
        <v>10</v>
      </c>
      <c r="B1017" s="81" t="s">
        <v>13</v>
      </c>
      <c r="C1017" s="82">
        <v>0.32986111111111099</v>
      </c>
      <c r="D1017" s="83">
        <v>0</v>
      </c>
      <c r="E1017" s="83">
        <v>0</v>
      </c>
      <c r="F1017" s="83">
        <v>0</v>
      </c>
      <c r="G1017" s="83">
        <v>0</v>
      </c>
      <c r="H1017" s="83">
        <v>0</v>
      </c>
      <c r="I1017" s="83">
        <v>0</v>
      </c>
      <c r="J1017" s="83">
        <v>0</v>
      </c>
    </row>
    <row r="1018" spans="1:10">
      <c r="A1018" s="81" t="s">
        <v>10</v>
      </c>
      <c r="B1018" s="81" t="s">
        <v>13</v>
      </c>
      <c r="C1018" s="82">
        <v>0.33055555555555499</v>
      </c>
      <c r="D1018" s="83">
        <v>0</v>
      </c>
      <c r="E1018" s="83">
        <v>0</v>
      </c>
      <c r="F1018" s="83">
        <v>0</v>
      </c>
      <c r="G1018" s="83">
        <v>0</v>
      </c>
      <c r="H1018" s="83">
        <v>0</v>
      </c>
      <c r="I1018" s="83">
        <v>0</v>
      </c>
      <c r="J1018" s="83">
        <v>0</v>
      </c>
    </row>
    <row r="1019" spans="1:10">
      <c r="A1019" s="81" t="s">
        <v>10</v>
      </c>
      <c r="B1019" s="81" t="s">
        <v>13</v>
      </c>
      <c r="C1019" s="82">
        <v>0.33124999999999999</v>
      </c>
      <c r="D1019" s="83">
        <v>0</v>
      </c>
      <c r="E1019" s="83">
        <v>0</v>
      </c>
      <c r="F1019" s="83">
        <v>0</v>
      </c>
      <c r="G1019" s="83">
        <v>0</v>
      </c>
      <c r="H1019" s="83">
        <v>0</v>
      </c>
      <c r="I1019" s="83">
        <v>0</v>
      </c>
      <c r="J1019" s="83">
        <v>0</v>
      </c>
    </row>
    <row r="1020" spans="1:10">
      <c r="A1020" s="81" t="s">
        <v>10</v>
      </c>
      <c r="B1020" s="81" t="s">
        <v>13</v>
      </c>
      <c r="C1020" s="82">
        <v>0.33194444444444399</v>
      </c>
      <c r="D1020" s="83">
        <v>0</v>
      </c>
      <c r="E1020" s="83">
        <v>0</v>
      </c>
      <c r="F1020" s="83">
        <v>0</v>
      </c>
      <c r="G1020" s="83">
        <v>0</v>
      </c>
      <c r="H1020" s="83">
        <v>0</v>
      </c>
      <c r="I1020" s="83">
        <v>0</v>
      </c>
      <c r="J1020" s="83">
        <v>0</v>
      </c>
    </row>
    <row r="1021" spans="1:10" s="80" customFormat="1">
      <c r="A1021" s="84" t="s">
        <v>10</v>
      </c>
      <c r="B1021" s="84" t="s">
        <v>13</v>
      </c>
      <c r="C1021" s="85">
        <v>0.33263888888888898</v>
      </c>
      <c r="D1021" s="86">
        <v>0</v>
      </c>
      <c r="E1021" s="86">
        <v>0</v>
      </c>
      <c r="F1021" s="86">
        <v>0</v>
      </c>
      <c r="G1021" s="86">
        <v>0</v>
      </c>
      <c r="H1021" s="86">
        <v>0</v>
      </c>
      <c r="I1021" s="86">
        <v>0</v>
      </c>
      <c r="J1021" s="86">
        <v>0</v>
      </c>
    </row>
    <row r="1022" spans="1:10">
      <c r="A1022" s="81" t="s">
        <v>10</v>
      </c>
      <c r="B1022" s="81" t="s">
        <v>13</v>
      </c>
      <c r="C1022" s="82">
        <v>0.33333333333333298</v>
      </c>
      <c r="D1022" s="83">
        <v>0</v>
      </c>
      <c r="E1022" s="83">
        <v>0</v>
      </c>
      <c r="F1022" s="83">
        <v>0</v>
      </c>
      <c r="G1022" s="83">
        <v>0</v>
      </c>
      <c r="H1022" s="83">
        <v>0</v>
      </c>
      <c r="I1022" s="83">
        <v>0</v>
      </c>
      <c r="J1022" s="83">
        <v>0</v>
      </c>
    </row>
    <row r="1023" spans="1:10">
      <c r="A1023" s="81" t="s">
        <v>10</v>
      </c>
      <c r="B1023" s="81" t="s">
        <v>13</v>
      </c>
      <c r="C1023" s="82">
        <v>0.33402777777777798</v>
      </c>
      <c r="D1023" s="83">
        <v>0</v>
      </c>
      <c r="E1023" s="83">
        <v>0</v>
      </c>
      <c r="F1023" s="83">
        <v>0</v>
      </c>
      <c r="G1023" s="83">
        <v>0</v>
      </c>
      <c r="H1023" s="83">
        <v>0</v>
      </c>
      <c r="I1023" s="83">
        <v>0</v>
      </c>
      <c r="J1023" s="83">
        <v>0</v>
      </c>
    </row>
    <row r="1024" spans="1:10">
      <c r="A1024" s="81" t="s">
        <v>10</v>
      </c>
      <c r="B1024" s="81" t="s">
        <v>13</v>
      </c>
      <c r="C1024" s="82">
        <v>0.33472222222222198</v>
      </c>
      <c r="D1024" s="83">
        <v>0</v>
      </c>
      <c r="E1024" s="83">
        <v>0</v>
      </c>
      <c r="F1024" s="83">
        <v>0</v>
      </c>
      <c r="G1024" s="83">
        <v>0</v>
      </c>
      <c r="H1024" s="83">
        <v>0</v>
      </c>
      <c r="I1024" s="83">
        <v>0</v>
      </c>
      <c r="J1024" s="83">
        <v>0</v>
      </c>
    </row>
    <row r="1025" spans="1:10">
      <c r="A1025" s="81" t="s">
        <v>10</v>
      </c>
      <c r="B1025" s="81" t="s">
        <v>13</v>
      </c>
      <c r="C1025" s="82">
        <v>0.33541666666666597</v>
      </c>
      <c r="D1025" s="83">
        <v>0</v>
      </c>
      <c r="E1025" s="83">
        <v>0</v>
      </c>
      <c r="F1025" s="83">
        <v>0</v>
      </c>
      <c r="G1025" s="83">
        <v>0</v>
      </c>
      <c r="H1025" s="83">
        <v>0</v>
      </c>
      <c r="I1025" s="83">
        <v>0</v>
      </c>
      <c r="J1025" s="83">
        <v>0</v>
      </c>
    </row>
    <row r="1026" spans="1:10">
      <c r="A1026" s="81" t="s">
        <v>10</v>
      </c>
      <c r="B1026" s="81" t="s">
        <v>13</v>
      </c>
      <c r="C1026" s="82">
        <v>0.33611111111111103</v>
      </c>
      <c r="D1026" s="83">
        <v>0</v>
      </c>
      <c r="E1026" s="83">
        <v>0</v>
      </c>
      <c r="F1026" s="83">
        <v>0</v>
      </c>
      <c r="G1026" s="83">
        <v>0</v>
      </c>
      <c r="H1026" s="83">
        <v>0</v>
      </c>
      <c r="I1026" s="83">
        <v>0</v>
      </c>
      <c r="J1026" s="83">
        <v>0</v>
      </c>
    </row>
    <row r="1027" spans="1:10">
      <c r="A1027" s="81" t="s">
        <v>10</v>
      </c>
      <c r="B1027" s="81" t="s">
        <v>13</v>
      </c>
      <c r="C1027" s="82">
        <v>0.33680555555555503</v>
      </c>
      <c r="D1027" s="83">
        <v>0</v>
      </c>
      <c r="E1027" s="83">
        <v>0</v>
      </c>
      <c r="F1027" s="83">
        <v>0</v>
      </c>
      <c r="G1027" s="83">
        <v>0</v>
      </c>
      <c r="H1027" s="83">
        <v>0</v>
      </c>
      <c r="I1027" s="83">
        <v>0</v>
      </c>
      <c r="J1027" s="83">
        <v>0</v>
      </c>
    </row>
    <row r="1028" spans="1:10">
      <c r="A1028" s="81" t="s">
        <v>10</v>
      </c>
      <c r="B1028" s="81" t="s">
        <v>13</v>
      </c>
      <c r="C1028" s="82">
        <v>0.33750000000000002</v>
      </c>
      <c r="D1028" s="83">
        <v>0</v>
      </c>
      <c r="E1028" s="83">
        <v>0</v>
      </c>
      <c r="F1028" s="83">
        <v>0</v>
      </c>
      <c r="G1028" s="83">
        <v>0</v>
      </c>
      <c r="H1028" s="83">
        <v>0</v>
      </c>
      <c r="I1028" s="83">
        <v>0</v>
      </c>
      <c r="J1028" s="83">
        <v>0</v>
      </c>
    </row>
    <row r="1029" spans="1:10">
      <c r="A1029" s="81" t="s">
        <v>10</v>
      </c>
      <c r="B1029" s="81" t="s">
        <v>13</v>
      </c>
      <c r="C1029" s="82">
        <v>0.33819444444444402</v>
      </c>
      <c r="D1029" s="83">
        <v>0</v>
      </c>
      <c r="E1029" s="83">
        <v>0</v>
      </c>
      <c r="F1029" s="83">
        <v>0</v>
      </c>
      <c r="G1029" s="83">
        <v>0</v>
      </c>
      <c r="H1029" s="83">
        <v>0</v>
      </c>
      <c r="I1029" s="83">
        <v>0</v>
      </c>
      <c r="J1029" s="83">
        <v>0</v>
      </c>
    </row>
    <row r="1030" spans="1:10">
      <c r="A1030" s="81" t="s">
        <v>10</v>
      </c>
      <c r="B1030" s="81" t="s">
        <v>13</v>
      </c>
      <c r="C1030" s="82">
        <v>0.33888888888888902</v>
      </c>
      <c r="D1030" s="83">
        <v>0</v>
      </c>
      <c r="E1030" s="83">
        <v>0</v>
      </c>
      <c r="F1030" s="83">
        <v>0</v>
      </c>
      <c r="G1030" s="83">
        <v>0</v>
      </c>
      <c r="H1030" s="83">
        <v>0</v>
      </c>
      <c r="I1030" s="83">
        <v>0</v>
      </c>
      <c r="J1030" s="83">
        <v>0</v>
      </c>
    </row>
    <row r="1031" spans="1:10">
      <c r="A1031" s="81" t="s">
        <v>10</v>
      </c>
      <c r="B1031" s="81" t="s">
        <v>13</v>
      </c>
      <c r="C1031" s="82">
        <v>0.33958333333333302</v>
      </c>
      <c r="D1031" s="83">
        <v>0</v>
      </c>
      <c r="E1031" s="83">
        <v>0</v>
      </c>
      <c r="F1031" s="83">
        <v>0</v>
      </c>
      <c r="G1031" s="83">
        <v>0</v>
      </c>
      <c r="H1031" s="83">
        <v>0</v>
      </c>
      <c r="I1031" s="83">
        <v>0</v>
      </c>
      <c r="J1031" s="83">
        <v>0</v>
      </c>
    </row>
    <row r="1032" spans="1:10">
      <c r="A1032" s="81" t="s">
        <v>10</v>
      </c>
      <c r="B1032" s="81" t="s">
        <v>13</v>
      </c>
      <c r="C1032" s="82">
        <v>0.34027777777777801</v>
      </c>
      <c r="D1032" s="83">
        <v>0</v>
      </c>
      <c r="E1032" s="83">
        <v>0</v>
      </c>
      <c r="F1032" s="83">
        <v>0</v>
      </c>
      <c r="G1032" s="83">
        <v>0</v>
      </c>
      <c r="H1032" s="83">
        <v>0</v>
      </c>
      <c r="I1032" s="83">
        <v>0</v>
      </c>
      <c r="J1032" s="83">
        <v>0</v>
      </c>
    </row>
    <row r="1033" spans="1:10">
      <c r="A1033" s="81" t="s">
        <v>10</v>
      </c>
      <c r="B1033" s="81" t="s">
        <v>13</v>
      </c>
      <c r="C1033" s="82">
        <v>0.34097222222222201</v>
      </c>
      <c r="D1033" s="83">
        <v>0</v>
      </c>
      <c r="E1033" s="83">
        <v>0</v>
      </c>
      <c r="F1033" s="83">
        <v>0</v>
      </c>
      <c r="G1033" s="83">
        <v>0</v>
      </c>
      <c r="H1033" s="83">
        <v>0</v>
      </c>
      <c r="I1033" s="83">
        <v>0</v>
      </c>
      <c r="J1033" s="83">
        <v>0</v>
      </c>
    </row>
    <row r="1034" spans="1:10">
      <c r="A1034" s="81" t="s">
        <v>10</v>
      </c>
      <c r="B1034" s="81" t="s">
        <v>13</v>
      </c>
      <c r="C1034" s="82">
        <v>0.34166666666666701</v>
      </c>
      <c r="D1034" s="83">
        <v>0</v>
      </c>
      <c r="E1034" s="83">
        <v>0</v>
      </c>
      <c r="F1034" s="83">
        <v>0</v>
      </c>
      <c r="G1034" s="83">
        <v>0</v>
      </c>
      <c r="H1034" s="83">
        <v>0</v>
      </c>
      <c r="I1034" s="83">
        <v>0</v>
      </c>
      <c r="J1034" s="83">
        <v>0</v>
      </c>
    </row>
    <row r="1035" spans="1:10">
      <c r="A1035" s="81" t="s">
        <v>10</v>
      </c>
      <c r="B1035" s="81" t="s">
        <v>13</v>
      </c>
      <c r="C1035" s="82">
        <v>0.34236111111111101</v>
      </c>
      <c r="D1035" s="83">
        <v>0</v>
      </c>
      <c r="E1035" s="83">
        <v>0</v>
      </c>
      <c r="F1035" s="83">
        <v>0</v>
      </c>
      <c r="G1035" s="83">
        <v>0</v>
      </c>
      <c r="H1035" s="83">
        <v>0</v>
      </c>
      <c r="I1035" s="83">
        <v>0</v>
      </c>
      <c r="J1035" s="83">
        <v>0</v>
      </c>
    </row>
    <row r="1036" spans="1:10" s="80" customFormat="1">
      <c r="A1036" s="84" t="s">
        <v>10</v>
      </c>
      <c r="B1036" s="84" t="s">
        <v>13</v>
      </c>
      <c r="C1036" s="85">
        <v>0.343055555555555</v>
      </c>
      <c r="D1036" s="86">
        <v>0</v>
      </c>
      <c r="E1036" s="86">
        <v>0</v>
      </c>
      <c r="F1036" s="86">
        <v>0</v>
      </c>
      <c r="G1036" s="86">
        <v>0</v>
      </c>
      <c r="H1036" s="86">
        <v>0</v>
      </c>
      <c r="I1036" s="86">
        <v>0</v>
      </c>
      <c r="J1036" s="86">
        <v>0</v>
      </c>
    </row>
    <row r="1037" spans="1:10">
      <c r="A1037" s="81" t="s">
        <v>10</v>
      </c>
      <c r="B1037" s="81" t="s">
        <v>13</v>
      </c>
      <c r="C1037" s="82">
        <v>0.34375</v>
      </c>
      <c r="D1037" s="83">
        <v>0</v>
      </c>
      <c r="E1037" s="83">
        <v>0</v>
      </c>
      <c r="F1037" s="83">
        <v>0</v>
      </c>
      <c r="G1037" s="83">
        <v>0</v>
      </c>
      <c r="H1037" s="83">
        <v>0</v>
      </c>
      <c r="I1037" s="83">
        <v>0</v>
      </c>
      <c r="J1037" s="83">
        <v>0</v>
      </c>
    </row>
    <row r="1038" spans="1:10">
      <c r="A1038" s="81" t="s">
        <v>10</v>
      </c>
      <c r="B1038" s="81" t="s">
        <v>13</v>
      </c>
      <c r="C1038" s="82">
        <v>0.344444444444444</v>
      </c>
      <c r="D1038" s="83">
        <v>0</v>
      </c>
      <c r="E1038" s="83">
        <v>0</v>
      </c>
      <c r="F1038" s="83">
        <v>0</v>
      </c>
      <c r="G1038" s="83">
        <v>0</v>
      </c>
      <c r="H1038" s="83">
        <v>0</v>
      </c>
      <c r="I1038" s="83">
        <v>0</v>
      </c>
      <c r="J1038" s="83">
        <v>0</v>
      </c>
    </row>
    <row r="1039" spans="1:10">
      <c r="A1039" s="81" t="s">
        <v>10</v>
      </c>
      <c r="B1039" s="81" t="s">
        <v>13</v>
      </c>
      <c r="C1039" s="82">
        <v>0.34513888888888899</v>
      </c>
      <c r="D1039" s="83">
        <v>0</v>
      </c>
      <c r="E1039" s="83">
        <v>0</v>
      </c>
      <c r="F1039" s="83">
        <v>0</v>
      </c>
      <c r="G1039" s="83">
        <v>0</v>
      </c>
      <c r="H1039" s="83">
        <v>0</v>
      </c>
      <c r="I1039" s="83">
        <v>0</v>
      </c>
      <c r="J1039" s="83">
        <v>0</v>
      </c>
    </row>
    <row r="1040" spans="1:10">
      <c r="A1040" s="81" t="s">
        <v>10</v>
      </c>
      <c r="B1040" s="81" t="s">
        <v>13</v>
      </c>
      <c r="C1040" s="82">
        <v>0.34583333333333299</v>
      </c>
      <c r="D1040" s="83">
        <v>0</v>
      </c>
      <c r="E1040" s="83">
        <v>0</v>
      </c>
      <c r="F1040" s="83">
        <v>0</v>
      </c>
      <c r="G1040" s="83">
        <v>0</v>
      </c>
      <c r="H1040" s="83">
        <v>0</v>
      </c>
      <c r="I1040" s="83">
        <v>0</v>
      </c>
      <c r="J1040" s="83">
        <v>0</v>
      </c>
    </row>
    <row r="1041" spans="1:10">
      <c r="A1041" s="81" t="s">
        <v>10</v>
      </c>
      <c r="B1041" s="81" t="s">
        <v>13</v>
      </c>
      <c r="C1041" s="82">
        <v>0.34652777777777799</v>
      </c>
      <c r="D1041" s="83">
        <v>0</v>
      </c>
      <c r="E1041" s="83">
        <v>0</v>
      </c>
      <c r="F1041" s="83">
        <v>0</v>
      </c>
      <c r="G1041" s="83">
        <v>0</v>
      </c>
      <c r="H1041" s="83">
        <v>0</v>
      </c>
      <c r="I1041" s="83">
        <v>0</v>
      </c>
      <c r="J1041" s="83">
        <v>0</v>
      </c>
    </row>
    <row r="1042" spans="1:10">
      <c r="A1042" s="81" t="s">
        <v>10</v>
      </c>
      <c r="B1042" s="81" t="s">
        <v>13</v>
      </c>
      <c r="C1042" s="82">
        <v>0.34722222222222199</v>
      </c>
      <c r="D1042" s="83">
        <v>0</v>
      </c>
      <c r="E1042" s="83">
        <v>0</v>
      </c>
      <c r="F1042" s="83">
        <v>0</v>
      </c>
      <c r="G1042" s="83">
        <v>0</v>
      </c>
      <c r="H1042" s="83">
        <v>0</v>
      </c>
      <c r="I1042" s="83">
        <v>0</v>
      </c>
      <c r="J1042" s="83">
        <v>0</v>
      </c>
    </row>
    <row r="1043" spans="1:10">
      <c r="A1043" s="81" t="s">
        <v>10</v>
      </c>
      <c r="B1043" s="81" t="s">
        <v>13</v>
      </c>
      <c r="C1043" s="82">
        <v>0.34791666666666599</v>
      </c>
      <c r="D1043" s="83">
        <v>0</v>
      </c>
      <c r="E1043" s="83">
        <v>0</v>
      </c>
      <c r="F1043" s="83">
        <v>0</v>
      </c>
      <c r="G1043" s="83">
        <v>0</v>
      </c>
      <c r="H1043" s="83">
        <v>0</v>
      </c>
      <c r="I1043" s="83">
        <v>0</v>
      </c>
      <c r="J1043" s="83">
        <v>0</v>
      </c>
    </row>
    <row r="1044" spans="1:10">
      <c r="A1044" s="81" t="s">
        <v>10</v>
      </c>
      <c r="B1044" s="81" t="s">
        <v>13</v>
      </c>
      <c r="C1044" s="82">
        <v>0.34861111111111098</v>
      </c>
      <c r="D1044" s="83">
        <v>0</v>
      </c>
      <c r="E1044" s="83">
        <v>0</v>
      </c>
      <c r="F1044" s="83">
        <v>0</v>
      </c>
      <c r="G1044" s="83">
        <v>0</v>
      </c>
      <c r="H1044" s="83">
        <v>0</v>
      </c>
      <c r="I1044" s="83">
        <v>0</v>
      </c>
      <c r="J1044" s="83">
        <v>0</v>
      </c>
    </row>
    <row r="1045" spans="1:10">
      <c r="A1045" s="81" t="s">
        <v>10</v>
      </c>
      <c r="B1045" s="81" t="s">
        <v>13</v>
      </c>
      <c r="C1045" s="82">
        <v>0.34930555555555498</v>
      </c>
      <c r="D1045" s="83">
        <v>0</v>
      </c>
      <c r="E1045" s="83">
        <v>0</v>
      </c>
      <c r="F1045" s="83">
        <v>0</v>
      </c>
      <c r="G1045" s="83">
        <v>0</v>
      </c>
      <c r="H1045" s="83">
        <v>0</v>
      </c>
      <c r="I1045" s="83">
        <v>0</v>
      </c>
      <c r="J1045" s="83">
        <v>0</v>
      </c>
    </row>
    <row r="1046" spans="1:10">
      <c r="A1046" s="81" t="s">
        <v>10</v>
      </c>
      <c r="B1046" s="81" t="s">
        <v>13</v>
      </c>
      <c r="C1046" s="82">
        <v>0.35</v>
      </c>
      <c r="D1046" s="83">
        <v>0</v>
      </c>
      <c r="E1046" s="83">
        <v>0</v>
      </c>
      <c r="F1046" s="83">
        <v>0</v>
      </c>
      <c r="G1046" s="83">
        <v>0</v>
      </c>
      <c r="H1046" s="83">
        <v>0</v>
      </c>
      <c r="I1046" s="83">
        <v>0</v>
      </c>
      <c r="J1046" s="83">
        <v>0</v>
      </c>
    </row>
    <row r="1047" spans="1:10">
      <c r="A1047" s="81" t="s">
        <v>10</v>
      </c>
      <c r="B1047" s="81" t="s">
        <v>13</v>
      </c>
      <c r="C1047" s="82">
        <v>0.35069444444444398</v>
      </c>
      <c r="D1047" s="83">
        <v>0</v>
      </c>
      <c r="E1047" s="83">
        <v>0</v>
      </c>
      <c r="F1047" s="83">
        <v>0</v>
      </c>
      <c r="G1047" s="83">
        <v>0</v>
      </c>
      <c r="H1047" s="83">
        <v>0</v>
      </c>
      <c r="I1047" s="83">
        <v>0</v>
      </c>
      <c r="J1047" s="83">
        <v>0</v>
      </c>
    </row>
    <row r="1048" spans="1:10">
      <c r="A1048" s="81" t="s">
        <v>10</v>
      </c>
      <c r="B1048" s="81" t="s">
        <v>13</v>
      </c>
      <c r="C1048" s="82">
        <v>0.35138888888888897</v>
      </c>
      <c r="D1048" s="83">
        <v>0</v>
      </c>
      <c r="E1048" s="83">
        <v>0</v>
      </c>
      <c r="F1048" s="83">
        <v>0</v>
      </c>
      <c r="G1048" s="83">
        <v>0</v>
      </c>
      <c r="H1048" s="83">
        <v>0</v>
      </c>
      <c r="I1048" s="83">
        <v>0</v>
      </c>
      <c r="J1048" s="83">
        <v>0</v>
      </c>
    </row>
    <row r="1049" spans="1:10">
      <c r="A1049" s="81" t="s">
        <v>10</v>
      </c>
      <c r="B1049" s="81" t="s">
        <v>13</v>
      </c>
      <c r="C1049" s="82">
        <v>0.35208333333333303</v>
      </c>
      <c r="D1049" s="83">
        <v>0</v>
      </c>
      <c r="E1049" s="83">
        <v>0</v>
      </c>
      <c r="F1049" s="83">
        <v>0</v>
      </c>
      <c r="G1049" s="83">
        <v>0</v>
      </c>
      <c r="H1049" s="83">
        <v>0</v>
      </c>
      <c r="I1049" s="83">
        <v>0</v>
      </c>
      <c r="J1049" s="83">
        <v>0</v>
      </c>
    </row>
    <row r="1050" spans="1:10">
      <c r="A1050" s="81" t="s">
        <v>10</v>
      </c>
      <c r="B1050" s="81" t="s">
        <v>13</v>
      </c>
      <c r="C1050" s="82">
        <v>0.35277777777777802</v>
      </c>
      <c r="D1050" s="83">
        <v>0</v>
      </c>
      <c r="E1050" s="83">
        <v>0</v>
      </c>
      <c r="F1050" s="83">
        <v>0</v>
      </c>
      <c r="G1050" s="83">
        <v>0</v>
      </c>
      <c r="H1050" s="83">
        <v>0</v>
      </c>
      <c r="I1050" s="83">
        <v>0</v>
      </c>
      <c r="J1050" s="83">
        <v>0</v>
      </c>
    </row>
    <row r="1051" spans="1:10" s="80" customFormat="1">
      <c r="A1051" s="84" t="s">
        <v>10</v>
      </c>
      <c r="B1051" s="84" t="s">
        <v>13</v>
      </c>
      <c r="C1051" s="85">
        <v>0.35347222222222202</v>
      </c>
      <c r="D1051" s="86">
        <v>0</v>
      </c>
      <c r="E1051" s="86">
        <v>0</v>
      </c>
      <c r="F1051" s="86">
        <v>0</v>
      </c>
      <c r="G1051" s="86">
        <v>0</v>
      </c>
      <c r="H1051" s="86">
        <v>0</v>
      </c>
      <c r="I1051" s="86">
        <v>0</v>
      </c>
      <c r="J1051" s="86">
        <v>0</v>
      </c>
    </row>
    <row r="1052" spans="1:10">
      <c r="A1052" s="81" t="s">
        <v>10</v>
      </c>
      <c r="B1052" s="81" t="s">
        <v>13</v>
      </c>
      <c r="C1052" s="82">
        <v>0.35416666666666602</v>
      </c>
      <c r="D1052" s="83">
        <v>0</v>
      </c>
      <c r="E1052" s="83">
        <v>0</v>
      </c>
      <c r="F1052" s="83">
        <v>0</v>
      </c>
      <c r="G1052" s="83">
        <v>0</v>
      </c>
      <c r="H1052" s="83">
        <v>0</v>
      </c>
      <c r="I1052" s="83">
        <v>0</v>
      </c>
      <c r="J1052" s="83">
        <v>0</v>
      </c>
    </row>
    <row r="1053" spans="1:10">
      <c r="A1053" s="81" t="s">
        <v>10</v>
      </c>
      <c r="B1053" s="81" t="s">
        <v>13</v>
      </c>
      <c r="C1053" s="82">
        <v>0.35486111111111102</v>
      </c>
      <c r="D1053" s="83">
        <v>0</v>
      </c>
      <c r="E1053" s="83">
        <v>0</v>
      </c>
      <c r="F1053" s="83">
        <v>0</v>
      </c>
      <c r="G1053" s="83">
        <v>0</v>
      </c>
      <c r="H1053" s="83">
        <v>0</v>
      </c>
      <c r="I1053" s="83">
        <v>0</v>
      </c>
      <c r="J1053" s="83">
        <v>0</v>
      </c>
    </row>
    <row r="1054" spans="1:10">
      <c r="A1054" s="81" t="s">
        <v>10</v>
      </c>
      <c r="B1054" s="81" t="s">
        <v>13</v>
      </c>
      <c r="C1054" s="82">
        <v>0.35555555555555501</v>
      </c>
      <c r="D1054" s="83">
        <v>0</v>
      </c>
      <c r="E1054" s="83">
        <v>0</v>
      </c>
      <c r="F1054" s="83">
        <v>0</v>
      </c>
      <c r="G1054" s="83">
        <v>0</v>
      </c>
      <c r="H1054" s="83">
        <v>0</v>
      </c>
      <c r="I1054" s="83">
        <v>0</v>
      </c>
      <c r="J1054" s="83">
        <v>0</v>
      </c>
    </row>
    <row r="1055" spans="1:10">
      <c r="A1055" s="81" t="s">
        <v>10</v>
      </c>
      <c r="B1055" s="81" t="s">
        <v>13</v>
      </c>
      <c r="C1055" s="82">
        <v>0.35625000000000001</v>
      </c>
      <c r="D1055" s="83">
        <v>0</v>
      </c>
      <c r="E1055" s="83">
        <v>0</v>
      </c>
      <c r="F1055" s="83">
        <v>0</v>
      </c>
      <c r="G1055" s="83">
        <v>0</v>
      </c>
      <c r="H1055" s="83">
        <v>0</v>
      </c>
      <c r="I1055" s="83">
        <v>0</v>
      </c>
      <c r="J1055" s="83">
        <v>0</v>
      </c>
    </row>
    <row r="1056" spans="1:10">
      <c r="A1056" s="81" t="s">
        <v>10</v>
      </c>
      <c r="B1056" s="81" t="s">
        <v>13</v>
      </c>
      <c r="C1056" s="82">
        <v>0.35694444444444401</v>
      </c>
      <c r="D1056" s="83">
        <v>0</v>
      </c>
      <c r="E1056" s="83">
        <v>0</v>
      </c>
      <c r="F1056" s="83">
        <v>0</v>
      </c>
      <c r="G1056" s="83">
        <v>0</v>
      </c>
      <c r="H1056" s="83">
        <v>0</v>
      </c>
      <c r="I1056" s="83">
        <v>0</v>
      </c>
      <c r="J1056" s="83">
        <v>0</v>
      </c>
    </row>
    <row r="1057" spans="1:10">
      <c r="A1057" s="81" t="s">
        <v>10</v>
      </c>
      <c r="B1057" s="81" t="s">
        <v>13</v>
      </c>
      <c r="C1057" s="82">
        <v>0.35763888888888901</v>
      </c>
      <c r="D1057" s="83">
        <v>0</v>
      </c>
      <c r="E1057" s="83">
        <v>0</v>
      </c>
      <c r="F1057" s="83">
        <v>0</v>
      </c>
      <c r="G1057" s="83">
        <v>0</v>
      </c>
      <c r="H1057" s="83">
        <v>0</v>
      </c>
      <c r="I1057" s="83">
        <v>0</v>
      </c>
      <c r="J1057" s="83">
        <v>0</v>
      </c>
    </row>
    <row r="1058" spans="1:10">
      <c r="A1058" s="81" t="s">
        <v>10</v>
      </c>
      <c r="B1058" s="81" t="s">
        <v>13</v>
      </c>
      <c r="C1058" s="82">
        <v>0.358333333333333</v>
      </c>
      <c r="D1058" s="83">
        <v>0</v>
      </c>
      <c r="E1058" s="83">
        <v>0</v>
      </c>
      <c r="F1058" s="83">
        <v>0</v>
      </c>
      <c r="G1058" s="83">
        <v>0</v>
      </c>
      <c r="H1058" s="83">
        <v>0</v>
      </c>
      <c r="I1058" s="83">
        <v>0</v>
      </c>
      <c r="J1058" s="83">
        <v>0</v>
      </c>
    </row>
    <row r="1059" spans="1:10">
      <c r="A1059" s="81" t="s">
        <v>10</v>
      </c>
      <c r="B1059" s="81" t="s">
        <v>13</v>
      </c>
      <c r="C1059" s="82">
        <v>0.359027777777778</v>
      </c>
      <c r="D1059" s="83">
        <v>0</v>
      </c>
      <c r="E1059" s="83">
        <v>0</v>
      </c>
      <c r="F1059" s="83">
        <v>0</v>
      </c>
      <c r="G1059" s="83">
        <v>0</v>
      </c>
      <c r="H1059" s="83">
        <v>0</v>
      </c>
      <c r="I1059" s="83">
        <v>0</v>
      </c>
      <c r="J1059" s="83">
        <v>0</v>
      </c>
    </row>
    <row r="1060" spans="1:10">
      <c r="A1060" s="81" t="s">
        <v>10</v>
      </c>
      <c r="B1060" s="81" t="s">
        <v>13</v>
      </c>
      <c r="C1060" s="82">
        <v>0.359722222222222</v>
      </c>
      <c r="D1060" s="83">
        <v>0</v>
      </c>
      <c r="E1060" s="83">
        <v>0</v>
      </c>
      <c r="F1060" s="83">
        <v>0</v>
      </c>
      <c r="G1060" s="83">
        <v>0</v>
      </c>
      <c r="H1060" s="83">
        <v>0</v>
      </c>
      <c r="I1060" s="83">
        <v>0</v>
      </c>
      <c r="J1060" s="83">
        <v>0</v>
      </c>
    </row>
    <row r="1061" spans="1:10">
      <c r="A1061" s="81" t="s">
        <v>10</v>
      </c>
      <c r="B1061" s="81" t="s">
        <v>13</v>
      </c>
      <c r="C1061" s="82">
        <v>0.360416666666666</v>
      </c>
      <c r="D1061" s="83">
        <v>0</v>
      </c>
      <c r="E1061" s="83">
        <v>0</v>
      </c>
      <c r="F1061" s="83">
        <v>0</v>
      </c>
      <c r="G1061" s="83">
        <v>0</v>
      </c>
      <c r="H1061" s="83">
        <v>0</v>
      </c>
      <c r="I1061" s="83">
        <v>0</v>
      </c>
      <c r="J1061" s="83">
        <v>0</v>
      </c>
    </row>
    <row r="1062" spans="1:10">
      <c r="A1062" s="81" t="s">
        <v>10</v>
      </c>
      <c r="B1062" s="81" t="s">
        <v>13</v>
      </c>
      <c r="C1062" s="82">
        <v>0.36111111111111099</v>
      </c>
      <c r="D1062" s="83">
        <v>0</v>
      </c>
      <c r="E1062" s="83">
        <v>0</v>
      </c>
      <c r="F1062" s="83">
        <v>0</v>
      </c>
      <c r="G1062" s="83">
        <v>0</v>
      </c>
      <c r="H1062" s="83">
        <v>0</v>
      </c>
      <c r="I1062" s="83">
        <v>0</v>
      </c>
      <c r="J1062" s="83">
        <v>0</v>
      </c>
    </row>
    <row r="1063" spans="1:10">
      <c r="A1063" s="81" t="s">
        <v>10</v>
      </c>
      <c r="B1063" s="81" t="s">
        <v>13</v>
      </c>
      <c r="C1063" s="82">
        <v>0.36180555555555499</v>
      </c>
      <c r="D1063" s="83">
        <v>0</v>
      </c>
      <c r="E1063" s="83">
        <v>0</v>
      </c>
      <c r="F1063" s="83">
        <v>0</v>
      </c>
      <c r="G1063" s="83">
        <v>0</v>
      </c>
      <c r="H1063" s="83">
        <v>0</v>
      </c>
      <c r="I1063" s="83">
        <v>0</v>
      </c>
      <c r="J1063" s="83">
        <v>0</v>
      </c>
    </row>
    <row r="1064" spans="1:10">
      <c r="A1064" s="81" t="s">
        <v>10</v>
      </c>
      <c r="B1064" s="81" t="s">
        <v>13</v>
      </c>
      <c r="C1064" s="82">
        <v>0.36249999999999999</v>
      </c>
      <c r="D1064" s="83">
        <v>0</v>
      </c>
      <c r="E1064" s="83">
        <v>0</v>
      </c>
      <c r="F1064" s="83">
        <v>0</v>
      </c>
      <c r="G1064" s="83">
        <v>0</v>
      </c>
      <c r="H1064" s="83">
        <v>0</v>
      </c>
      <c r="I1064" s="83">
        <v>0</v>
      </c>
      <c r="J1064" s="83">
        <v>0</v>
      </c>
    </row>
    <row r="1065" spans="1:10">
      <c r="A1065" s="81" t="s">
        <v>10</v>
      </c>
      <c r="B1065" s="81" t="s">
        <v>13</v>
      </c>
      <c r="C1065" s="82">
        <v>0.36319444444444399</v>
      </c>
      <c r="D1065" s="83">
        <v>0</v>
      </c>
      <c r="E1065" s="83">
        <v>0</v>
      </c>
      <c r="F1065" s="83">
        <v>0</v>
      </c>
      <c r="G1065" s="83">
        <v>0</v>
      </c>
      <c r="H1065" s="83">
        <v>0</v>
      </c>
      <c r="I1065" s="83">
        <v>0</v>
      </c>
      <c r="J1065" s="83">
        <v>0</v>
      </c>
    </row>
    <row r="1066" spans="1:10" s="80" customFormat="1">
      <c r="A1066" s="84" t="s">
        <v>10</v>
      </c>
      <c r="B1066" s="84" t="s">
        <v>13</v>
      </c>
      <c r="C1066" s="85">
        <v>0.36388888888888898</v>
      </c>
      <c r="D1066" s="86">
        <v>0</v>
      </c>
      <c r="E1066" s="86">
        <v>0</v>
      </c>
      <c r="F1066" s="86">
        <v>0</v>
      </c>
      <c r="G1066" s="86">
        <v>0</v>
      </c>
      <c r="H1066" s="86">
        <v>0</v>
      </c>
      <c r="I1066" s="86">
        <v>0</v>
      </c>
      <c r="J1066" s="86">
        <v>0</v>
      </c>
    </row>
    <row r="1067" spans="1:10">
      <c r="A1067" s="81" t="s">
        <v>10</v>
      </c>
      <c r="B1067" s="81" t="s">
        <v>13</v>
      </c>
      <c r="C1067" s="82">
        <v>0.36458333333333298</v>
      </c>
      <c r="D1067" s="83">
        <v>0</v>
      </c>
      <c r="E1067" s="83">
        <v>0</v>
      </c>
      <c r="F1067" s="83">
        <v>0</v>
      </c>
      <c r="G1067" s="83">
        <v>0</v>
      </c>
      <c r="H1067" s="83">
        <v>0</v>
      </c>
      <c r="I1067" s="83">
        <v>0</v>
      </c>
      <c r="J1067" s="83">
        <v>0</v>
      </c>
    </row>
    <row r="1068" spans="1:10">
      <c r="A1068" s="81" t="s">
        <v>10</v>
      </c>
      <c r="B1068" s="81" t="s">
        <v>13</v>
      </c>
      <c r="C1068" s="82">
        <v>0.36527777777777698</v>
      </c>
      <c r="D1068" s="83">
        <v>0</v>
      </c>
      <c r="E1068" s="83">
        <v>0</v>
      </c>
      <c r="F1068" s="83">
        <v>0</v>
      </c>
      <c r="G1068" s="83">
        <v>0</v>
      </c>
      <c r="H1068" s="83">
        <v>0</v>
      </c>
      <c r="I1068" s="83">
        <v>0</v>
      </c>
      <c r="J1068" s="83">
        <v>0</v>
      </c>
    </row>
    <row r="1069" spans="1:10">
      <c r="A1069" s="81" t="s">
        <v>10</v>
      </c>
      <c r="B1069" s="81" t="s">
        <v>13</v>
      </c>
      <c r="C1069" s="82">
        <v>0.36597222222222198</v>
      </c>
      <c r="D1069" s="83">
        <v>0</v>
      </c>
      <c r="E1069" s="83">
        <v>0</v>
      </c>
      <c r="F1069" s="83">
        <v>0</v>
      </c>
      <c r="G1069" s="83">
        <v>0</v>
      </c>
      <c r="H1069" s="83">
        <v>0</v>
      </c>
      <c r="I1069" s="83">
        <v>0</v>
      </c>
      <c r="J1069" s="83">
        <v>0</v>
      </c>
    </row>
    <row r="1070" spans="1:10">
      <c r="A1070" s="81" t="s">
        <v>10</v>
      </c>
      <c r="B1070" s="81" t="s">
        <v>13</v>
      </c>
      <c r="C1070" s="82">
        <v>0.36666666666666597</v>
      </c>
      <c r="D1070" s="83">
        <v>0</v>
      </c>
      <c r="E1070" s="83">
        <v>0</v>
      </c>
      <c r="F1070" s="83">
        <v>0</v>
      </c>
      <c r="G1070" s="83">
        <v>0</v>
      </c>
      <c r="H1070" s="83">
        <v>0</v>
      </c>
      <c r="I1070" s="83">
        <v>0</v>
      </c>
      <c r="J1070" s="83">
        <v>0</v>
      </c>
    </row>
    <row r="1071" spans="1:10">
      <c r="A1071" s="81" t="s">
        <v>10</v>
      </c>
      <c r="B1071" s="81" t="s">
        <v>13</v>
      </c>
      <c r="C1071" s="82">
        <v>0.36736111111111103</v>
      </c>
      <c r="D1071" s="83">
        <v>0</v>
      </c>
      <c r="E1071" s="83">
        <v>0</v>
      </c>
      <c r="F1071" s="83">
        <v>0</v>
      </c>
      <c r="G1071" s="83">
        <v>0</v>
      </c>
      <c r="H1071" s="83">
        <v>0</v>
      </c>
      <c r="I1071" s="83">
        <v>0</v>
      </c>
      <c r="J1071" s="83">
        <v>0</v>
      </c>
    </row>
    <row r="1072" spans="1:10">
      <c r="A1072" s="81" t="s">
        <v>10</v>
      </c>
      <c r="B1072" s="81" t="s">
        <v>13</v>
      </c>
      <c r="C1072" s="82">
        <v>0.36805555555555503</v>
      </c>
      <c r="D1072" s="83">
        <v>0</v>
      </c>
      <c r="E1072" s="83">
        <v>0</v>
      </c>
      <c r="F1072" s="83">
        <v>0</v>
      </c>
      <c r="G1072" s="83">
        <v>0</v>
      </c>
      <c r="H1072" s="83">
        <v>0</v>
      </c>
      <c r="I1072" s="83">
        <v>0</v>
      </c>
      <c r="J1072" s="83">
        <v>0</v>
      </c>
    </row>
    <row r="1073" spans="1:10">
      <c r="A1073" s="81" t="s">
        <v>10</v>
      </c>
      <c r="B1073" s="81" t="s">
        <v>13</v>
      </c>
      <c r="C1073" s="82">
        <v>0.36875000000000002</v>
      </c>
      <c r="D1073" s="83">
        <v>0</v>
      </c>
      <c r="E1073" s="83">
        <v>0</v>
      </c>
      <c r="F1073" s="83">
        <v>0</v>
      </c>
      <c r="G1073" s="83">
        <v>0</v>
      </c>
      <c r="H1073" s="83">
        <v>0</v>
      </c>
      <c r="I1073" s="83">
        <v>0</v>
      </c>
      <c r="J1073" s="83">
        <v>0</v>
      </c>
    </row>
    <row r="1074" spans="1:10">
      <c r="A1074" s="81" t="s">
        <v>10</v>
      </c>
      <c r="B1074" s="81" t="s">
        <v>13</v>
      </c>
      <c r="C1074" s="82">
        <v>0.36944444444444402</v>
      </c>
      <c r="D1074" s="83">
        <v>0</v>
      </c>
      <c r="E1074" s="83">
        <v>0</v>
      </c>
      <c r="F1074" s="83">
        <v>0</v>
      </c>
      <c r="G1074" s="83">
        <v>0</v>
      </c>
      <c r="H1074" s="83">
        <v>0</v>
      </c>
      <c r="I1074" s="83">
        <v>0</v>
      </c>
      <c r="J1074" s="83">
        <v>0</v>
      </c>
    </row>
    <row r="1075" spans="1:10">
      <c r="A1075" s="81" t="s">
        <v>10</v>
      </c>
      <c r="B1075" s="81" t="s">
        <v>13</v>
      </c>
      <c r="C1075" s="82">
        <v>0.37013888888888902</v>
      </c>
      <c r="D1075" s="83">
        <v>0</v>
      </c>
      <c r="E1075" s="83">
        <v>0</v>
      </c>
      <c r="F1075" s="83">
        <v>0</v>
      </c>
      <c r="G1075" s="83">
        <v>0</v>
      </c>
      <c r="H1075" s="83">
        <v>0</v>
      </c>
      <c r="I1075" s="83">
        <v>0</v>
      </c>
      <c r="J1075" s="83">
        <v>0</v>
      </c>
    </row>
    <row r="1076" spans="1:10">
      <c r="A1076" s="81" t="s">
        <v>10</v>
      </c>
      <c r="B1076" s="81" t="s">
        <v>13</v>
      </c>
      <c r="C1076" s="82">
        <v>0.37083333333333302</v>
      </c>
      <c r="D1076" s="83">
        <v>0</v>
      </c>
      <c r="E1076" s="83">
        <v>0</v>
      </c>
      <c r="F1076" s="83">
        <v>0</v>
      </c>
      <c r="G1076" s="83">
        <v>0</v>
      </c>
      <c r="H1076" s="83">
        <v>0</v>
      </c>
      <c r="I1076" s="83">
        <v>0</v>
      </c>
      <c r="J1076" s="83">
        <v>0</v>
      </c>
    </row>
    <row r="1077" spans="1:10">
      <c r="A1077" s="81" t="s">
        <v>10</v>
      </c>
      <c r="B1077" s="81" t="s">
        <v>13</v>
      </c>
      <c r="C1077" s="82">
        <v>0.37152777777777701</v>
      </c>
      <c r="D1077" s="83">
        <v>0</v>
      </c>
      <c r="E1077" s="83">
        <v>0</v>
      </c>
      <c r="F1077" s="83">
        <v>0</v>
      </c>
      <c r="G1077" s="83">
        <v>0</v>
      </c>
      <c r="H1077" s="83">
        <v>0</v>
      </c>
      <c r="I1077" s="83">
        <v>0</v>
      </c>
      <c r="J1077" s="83">
        <v>0</v>
      </c>
    </row>
    <row r="1078" spans="1:10">
      <c r="A1078" s="81" t="s">
        <v>10</v>
      </c>
      <c r="B1078" s="81" t="s">
        <v>13</v>
      </c>
      <c r="C1078" s="82">
        <v>0.37222222222222201</v>
      </c>
      <c r="D1078" s="83">
        <v>0</v>
      </c>
      <c r="E1078" s="83">
        <v>0</v>
      </c>
      <c r="F1078" s="83">
        <v>0</v>
      </c>
      <c r="G1078" s="83">
        <v>0</v>
      </c>
      <c r="H1078" s="83">
        <v>0</v>
      </c>
      <c r="I1078" s="83">
        <v>0</v>
      </c>
      <c r="J1078" s="83">
        <v>0</v>
      </c>
    </row>
    <row r="1079" spans="1:10">
      <c r="A1079" s="81" t="s">
        <v>10</v>
      </c>
      <c r="B1079" s="81" t="s">
        <v>13</v>
      </c>
      <c r="C1079" s="82">
        <v>0.37291666666666601</v>
      </c>
      <c r="D1079" s="83">
        <v>0</v>
      </c>
      <c r="E1079" s="83">
        <v>0</v>
      </c>
      <c r="F1079" s="83">
        <v>0</v>
      </c>
      <c r="G1079" s="83">
        <v>0</v>
      </c>
      <c r="H1079" s="83">
        <v>0</v>
      </c>
      <c r="I1079" s="83">
        <v>0</v>
      </c>
      <c r="J1079" s="83">
        <v>0</v>
      </c>
    </row>
    <row r="1080" spans="1:10">
      <c r="A1080" s="81" t="s">
        <v>10</v>
      </c>
      <c r="B1080" s="81" t="s">
        <v>13</v>
      </c>
      <c r="C1080" s="82">
        <v>0.37361111111111101</v>
      </c>
      <c r="D1080" s="83">
        <v>0</v>
      </c>
      <c r="E1080" s="83">
        <v>0</v>
      </c>
      <c r="F1080" s="83">
        <v>0</v>
      </c>
      <c r="G1080" s="83">
        <v>0</v>
      </c>
      <c r="H1080" s="83">
        <v>0</v>
      </c>
      <c r="I1080" s="83">
        <v>0</v>
      </c>
      <c r="J1080" s="83">
        <v>0</v>
      </c>
    </row>
    <row r="1081" spans="1:10" s="28" customFormat="1" ht="17.5" thickBot="1">
      <c r="A1081" s="100" t="s">
        <v>10</v>
      </c>
      <c r="B1081" s="100" t="s">
        <v>13</v>
      </c>
      <c r="C1081" s="101">
        <v>0.374305555555555</v>
      </c>
      <c r="D1081" s="102">
        <v>0</v>
      </c>
      <c r="E1081" s="102">
        <v>0</v>
      </c>
      <c r="F1081" s="102">
        <v>0</v>
      </c>
      <c r="G1081" s="102">
        <v>0</v>
      </c>
      <c r="H1081" s="102">
        <v>0</v>
      </c>
      <c r="I1081" s="102">
        <v>0</v>
      </c>
      <c r="J1081" s="102">
        <v>0</v>
      </c>
    </row>
    <row r="1082" spans="1:10">
      <c r="A1082" s="81" t="s">
        <v>10</v>
      </c>
      <c r="B1082" s="81" t="s">
        <v>14</v>
      </c>
      <c r="C1082" s="82">
        <v>0.29166666666666669</v>
      </c>
      <c r="D1082" s="83">
        <v>0</v>
      </c>
      <c r="E1082" s="83">
        <v>0</v>
      </c>
      <c r="F1082" s="83">
        <v>0</v>
      </c>
      <c r="G1082" s="83">
        <v>0</v>
      </c>
      <c r="H1082" s="83">
        <v>0</v>
      </c>
      <c r="I1082" s="83">
        <v>0</v>
      </c>
      <c r="J1082" s="83">
        <v>0</v>
      </c>
    </row>
    <row r="1083" spans="1:10">
      <c r="A1083" s="81" t="s">
        <v>10</v>
      </c>
      <c r="B1083" s="81" t="s">
        <v>14</v>
      </c>
      <c r="C1083" s="82">
        <v>0.29236111111111113</v>
      </c>
      <c r="D1083" s="83">
        <v>0</v>
      </c>
      <c r="E1083" s="83">
        <v>0</v>
      </c>
      <c r="F1083" s="83">
        <v>0</v>
      </c>
      <c r="G1083" s="83">
        <v>0</v>
      </c>
      <c r="H1083" s="83">
        <v>0</v>
      </c>
      <c r="I1083" s="83">
        <v>0</v>
      </c>
      <c r="J1083" s="83">
        <v>0</v>
      </c>
    </row>
    <row r="1084" spans="1:10">
      <c r="A1084" s="81" t="s">
        <v>10</v>
      </c>
      <c r="B1084" s="81" t="s">
        <v>14</v>
      </c>
      <c r="C1084" s="82">
        <v>0.29305555555555601</v>
      </c>
      <c r="D1084" s="83">
        <v>0</v>
      </c>
      <c r="E1084" s="83">
        <v>0</v>
      </c>
      <c r="F1084" s="83">
        <v>0</v>
      </c>
      <c r="G1084" s="83">
        <v>0</v>
      </c>
      <c r="H1084" s="83">
        <v>0</v>
      </c>
      <c r="I1084" s="83">
        <v>0</v>
      </c>
      <c r="J1084" s="83">
        <v>0</v>
      </c>
    </row>
    <row r="1085" spans="1:10">
      <c r="A1085" s="81" t="s">
        <v>10</v>
      </c>
      <c r="B1085" s="81" t="s">
        <v>14</v>
      </c>
      <c r="C1085" s="82">
        <v>0.29375000000000001</v>
      </c>
      <c r="D1085" s="83">
        <v>0</v>
      </c>
      <c r="E1085" s="83">
        <v>0</v>
      </c>
      <c r="F1085" s="83">
        <v>0</v>
      </c>
      <c r="G1085" s="83">
        <v>0</v>
      </c>
      <c r="H1085" s="83">
        <v>0</v>
      </c>
      <c r="I1085" s="83">
        <v>0</v>
      </c>
      <c r="J1085" s="83">
        <v>0</v>
      </c>
    </row>
    <row r="1086" spans="1:10">
      <c r="A1086" s="81" t="s">
        <v>10</v>
      </c>
      <c r="B1086" s="81" t="s">
        <v>14</v>
      </c>
      <c r="C1086" s="82">
        <v>0.29444444444444401</v>
      </c>
      <c r="D1086" s="83">
        <v>0</v>
      </c>
      <c r="E1086" s="83">
        <v>0</v>
      </c>
      <c r="F1086" s="83">
        <v>0</v>
      </c>
      <c r="G1086" s="83">
        <v>0</v>
      </c>
      <c r="H1086" s="83">
        <v>0</v>
      </c>
      <c r="I1086" s="83">
        <v>0</v>
      </c>
      <c r="J1086" s="83">
        <v>0</v>
      </c>
    </row>
    <row r="1087" spans="1:10">
      <c r="A1087" s="81" t="s">
        <v>10</v>
      </c>
      <c r="B1087" s="81" t="s">
        <v>14</v>
      </c>
      <c r="C1087" s="82">
        <v>0.29513888888888901</v>
      </c>
      <c r="D1087" s="83">
        <v>0</v>
      </c>
      <c r="E1087" s="83">
        <v>0</v>
      </c>
      <c r="F1087" s="83">
        <v>0</v>
      </c>
      <c r="G1087" s="83">
        <v>0</v>
      </c>
      <c r="H1087" s="83">
        <v>0</v>
      </c>
      <c r="I1087" s="83">
        <v>0</v>
      </c>
      <c r="J1087" s="83">
        <v>0</v>
      </c>
    </row>
    <row r="1088" spans="1:10">
      <c r="A1088" s="81" t="s">
        <v>10</v>
      </c>
      <c r="B1088" s="81" t="s">
        <v>14</v>
      </c>
      <c r="C1088" s="82">
        <v>0.295833333333333</v>
      </c>
      <c r="D1088" s="83">
        <v>0</v>
      </c>
      <c r="E1088" s="83">
        <v>0</v>
      </c>
      <c r="F1088" s="83">
        <v>0</v>
      </c>
      <c r="G1088" s="83">
        <v>0</v>
      </c>
      <c r="H1088" s="83">
        <v>0</v>
      </c>
      <c r="I1088" s="83">
        <v>0</v>
      </c>
      <c r="J1088" s="83">
        <v>0</v>
      </c>
    </row>
    <row r="1089" spans="1:10">
      <c r="A1089" s="81" t="s">
        <v>10</v>
      </c>
      <c r="B1089" s="81" t="s">
        <v>14</v>
      </c>
      <c r="C1089" s="82">
        <v>0.296527777777778</v>
      </c>
      <c r="D1089" s="83">
        <v>0</v>
      </c>
      <c r="E1089" s="83">
        <v>0</v>
      </c>
      <c r="F1089" s="83">
        <v>0</v>
      </c>
      <c r="G1089" s="83">
        <v>0</v>
      </c>
      <c r="H1089" s="83">
        <v>0</v>
      </c>
      <c r="I1089" s="83">
        <v>0</v>
      </c>
      <c r="J1089" s="83">
        <v>0</v>
      </c>
    </row>
    <row r="1090" spans="1:10">
      <c r="A1090" s="81" t="s">
        <v>10</v>
      </c>
      <c r="B1090" s="81" t="s">
        <v>14</v>
      </c>
      <c r="C1090" s="82">
        <v>0.297222222222222</v>
      </c>
      <c r="D1090" s="83">
        <v>0</v>
      </c>
      <c r="E1090" s="83">
        <v>0</v>
      </c>
      <c r="F1090" s="83">
        <v>0</v>
      </c>
      <c r="G1090" s="83">
        <v>0</v>
      </c>
      <c r="H1090" s="83">
        <v>0</v>
      </c>
      <c r="I1090" s="83">
        <v>0</v>
      </c>
      <c r="J1090" s="83">
        <v>0</v>
      </c>
    </row>
    <row r="1091" spans="1:10">
      <c r="A1091" s="81" t="s">
        <v>10</v>
      </c>
      <c r="B1091" s="81" t="s">
        <v>14</v>
      </c>
      <c r="C1091" s="82">
        <v>0.297916666666667</v>
      </c>
      <c r="D1091" s="83">
        <v>0</v>
      </c>
      <c r="E1091" s="83">
        <v>0</v>
      </c>
      <c r="F1091" s="83">
        <v>0</v>
      </c>
      <c r="G1091" s="83">
        <v>0</v>
      </c>
      <c r="H1091" s="83">
        <v>0</v>
      </c>
      <c r="I1091" s="83">
        <v>0</v>
      </c>
      <c r="J1091" s="83">
        <v>0</v>
      </c>
    </row>
    <row r="1092" spans="1:10">
      <c r="A1092" s="81" t="s">
        <v>10</v>
      </c>
      <c r="B1092" s="81" t="s">
        <v>14</v>
      </c>
      <c r="C1092" s="82">
        <v>0.29861111111111099</v>
      </c>
      <c r="D1092" s="83">
        <v>0</v>
      </c>
      <c r="E1092" s="83">
        <v>0</v>
      </c>
      <c r="F1092" s="83">
        <v>0</v>
      </c>
      <c r="G1092" s="83">
        <v>0</v>
      </c>
      <c r="H1092" s="83">
        <v>0</v>
      </c>
      <c r="I1092" s="83">
        <v>0</v>
      </c>
      <c r="J1092" s="83">
        <v>0</v>
      </c>
    </row>
    <row r="1093" spans="1:10">
      <c r="A1093" s="81" t="s">
        <v>10</v>
      </c>
      <c r="B1093" s="81" t="s">
        <v>14</v>
      </c>
      <c r="C1093" s="82">
        <v>0.29930555555555599</v>
      </c>
      <c r="D1093" s="83">
        <v>0</v>
      </c>
      <c r="E1093" s="83">
        <v>0</v>
      </c>
      <c r="F1093" s="83">
        <v>0</v>
      </c>
      <c r="G1093" s="83">
        <v>0</v>
      </c>
      <c r="H1093" s="83">
        <v>0</v>
      </c>
      <c r="I1093" s="83">
        <v>0</v>
      </c>
      <c r="J1093" s="83">
        <v>0</v>
      </c>
    </row>
    <row r="1094" spans="1:10">
      <c r="A1094" s="81" t="s">
        <v>10</v>
      </c>
      <c r="B1094" s="81" t="s">
        <v>14</v>
      </c>
      <c r="C1094" s="82">
        <v>0.3</v>
      </c>
      <c r="D1094" s="83">
        <v>0</v>
      </c>
      <c r="E1094" s="83">
        <v>0</v>
      </c>
      <c r="F1094" s="83">
        <v>0</v>
      </c>
      <c r="G1094" s="83">
        <v>0</v>
      </c>
      <c r="H1094" s="83">
        <v>0</v>
      </c>
      <c r="I1094" s="83">
        <v>0</v>
      </c>
      <c r="J1094" s="83">
        <v>0</v>
      </c>
    </row>
    <row r="1095" spans="1:10">
      <c r="A1095" s="81" t="s">
        <v>10</v>
      </c>
      <c r="B1095" s="81" t="s">
        <v>14</v>
      </c>
      <c r="C1095" s="82">
        <v>0.30069444444444399</v>
      </c>
      <c r="D1095" s="83">
        <v>0</v>
      </c>
      <c r="E1095" s="83">
        <v>0</v>
      </c>
      <c r="F1095" s="83">
        <v>0</v>
      </c>
      <c r="G1095" s="83">
        <v>0</v>
      </c>
      <c r="H1095" s="83">
        <v>0</v>
      </c>
      <c r="I1095" s="83">
        <v>0</v>
      </c>
      <c r="J1095" s="83">
        <v>0</v>
      </c>
    </row>
    <row r="1096" spans="1:10" s="80" customFormat="1">
      <c r="A1096" s="84" t="s">
        <v>10</v>
      </c>
      <c r="B1096" s="84" t="s">
        <v>14</v>
      </c>
      <c r="C1096" s="85">
        <v>0.30138888888888898</v>
      </c>
      <c r="D1096" s="86">
        <v>0</v>
      </c>
      <c r="E1096" s="86">
        <v>0</v>
      </c>
      <c r="F1096" s="86">
        <v>0</v>
      </c>
      <c r="G1096" s="86">
        <v>0</v>
      </c>
      <c r="H1096" s="86">
        <v>0</v>
      </c>
      <c r="I1096" s="86">
        <v>0</v>
      </c>
      <c r="J1096" s="86">
        <v>0</v>
      </c>
    </row>
    <row r="1097" spans="1:10">
      <c r="A1097" s="81" t="s">
        <v>10</v>
      </c>
      <c r="B1097" s="81" t="s">
        <v>14</v>
      </c>
      <c r="C1097" s="82">
        <v>0.30208333333333298</v>
      </c>
      <c r="D1097" s="83">
        <v>0</v>
      </c>
      <c r="E1097" s="83">
        <v>0</v>
      </c>
      <c r="F1097" s="83">
        <v>0</v>
      </c>
      <c r="G1097" s="83">
        <v>0</v>
      </c>
      <c r="H1097" s="83">
        <v>0</v>
      </c>
      <c r="I1097" s="83">
        <v>0</v>
      </c>
      <c r="J1097" s="83">
        <v>0</v>
      </c>
    </row>
    <row r="1098" spans="1:10">
      <c r="A1098" s="81" t="s">
        <v>10</v>
      </c>
      <c r="B1098" s="81" t="s">
        <v>14</v>
      </c>
      <c r="C1098" s="82">
        <v>0.30277777777777798</v>
      </c>
      <c r="D1098" s="83">
        <v>0</v>
      </c>
      <c r="E1098" s="83">
        <v>0</v>
      </c>
      <c r="F1098" s="83">
        <v>0</v>
      </c>
      <c r="G1098" s="83">
        <v>0</v>
      </c>
      <c r="H1098" s="83">
        <v>0</v>
      </c>
      <c r="I1098" s="83">
        <v>0</v>
      </c>
      <c r="J1098" s="83">
        <v>0</v>
      </c>
    </row>
    <row r="1099" spans="1:10">
      <c r="A1099" s="81" t="s">
        <v>10</v>
      </c>
      <c r="B1099" s="81" t="s">
        <v>14</v>
      </c>
      <c r="C1099" s="82">
        <v>0.30347222222222198</v>
      </c>
      <c r="D1099" s="83">
        <v>0</v>
      </c>
      <c r="E1099" s="83">
        <v>0</v>
      </c>
      <c r="F1099" s="83">
        <v>0</v>
      </c>
      <c r="G1099" s="83">
        <v>0</v>
      </c>
      <c r="H1099" s="83">
        <v>0</v>
      </c>
      <c r="I1099" s="83">
        <v>0</v>
      </c>
      <c r="J1099" s="83">
        <v>0</v>
      </c>
    </row>
    <row r="1100" spans="1:10">
      <c r="A1100" s="81" t="s">
        <v>10</v>
      </c>
      <c r="B1100" s="81" t="s">
        <v>14</v>
      </c>
      <c r="C1100" s="82">
        <v>0.30416666666666697</v>
      </c>
      <c r="D1100" s="83">
        <v>0</v>
      </c>
      <c r="E1100" s="83">
        <v>0</v>
      </c>
      <c r="F1100" s="83">
        <v>0</v>
      </c>
      <c r="G1100" s="83">
        <v>0</v>
      </c>
      <c r="H1100" s="83">
        <v>0</v>
      </c>
      <c r="I1100" s="83">
        <v>0</v>
      </c>
      <c r="J1100" s="83">
        <v>0</v>
      </c>
    </row>
    <row r="1101" spans="1:10">
      <c r="A1101" s="81" t="s">
        <v>10</v>
      </c>
      <c r="B1101" s="81" t="s">
        <v>14</v>
      </c>
      <c r="C1101" s="82">
        <v>0.30486111111111103</v>
      </c>
      <c r="D1101" s="83">
        <v>0</v>
      </c>
      <c r="E1101" s="83">
        <v>0</v>
      </c>
      <c r="F1101" s="83">
        <v>0</v>
      </c>
      <c r="G1101" s="83">
        <v>0</v>
      </c>
      <c r="H1101" s="83">
        <v>0</v>
      </c>
      <c r="I1101" s="83">
        <v>0</v>
      </c>
      <c r="J1101" s="83">
        <v>0</v>
      </c>
    </row>
    <row r="1102" spans="1:10">
      <c r="A1102" s="81" t="s">
        <v>10</v>
      </c>
      <c r="B1102" s="81" t="s">
        <v>14</v>
      </c>
      <c r="C1102" s="82">
        <v>0.30555555555555503</v>
      </c>
      <c r="D1102" s="83">
        <v>0</v>
      </c>
      <c r="E1102" s="83">
        <v>0</v>
      </c>
      <c r="F1102" s="83">
        <v>0</v>
      </c>
      <c r="G1102" s="83">
        <v>0</v>
      </c>
      <c r="H1102" s="83">
        <v>0</v>
      </c>
      <c r="I1102" s="83">
        <v>0</v>
      </c>
      <c r="J1102" s="83">
        <v>0</v>
      </c>
    </row>
    <row r="1103" spans="1:10">
      <c r="A1103" s="81" t="s">
        <v>10</v>
      </c>
      <c r="B1103" s="81" t="s">
        <v>14</v>
      </c>
      <c r="C1103" s="82">
        <v>0.30625000000000002</v>
      </c>
      <c r="D1103" s="83">
        <v>0</v>
      </c>
      <c r="E1103" s="83">
        <v>0</v>
      </c>
      <c r="F1103" s="83">
        <v>0</v>
      </c>
      <c r="G1103" s="83">
        <v>0</v>
      </c>
      <c r="H1103" s="83">
        <v>0</v>
      </c>
      <c r="I1103" s="83">
        <v>0</v>
      </c>
      <c r="J1103" s="83">
        <v>0</v>
      </c>
    </row>
    <row r="1104" spans="1:10">
      <c r="A1104" s="81" t="s">
        <v>10</v>
      </c>
      <c r="B1104" s="81" t="s">
        <v>14</v>
      </c>
      <c r="C1104" s="82">
        <v>0.30694444444444402</v>
      </c>
      <c r="D1104" s="83">
        <v>0</v>
      </c>
      <c r="E1104" s="83">
        <v>0</v>
      </c>
      <c r="F1104" s="83">
        <v>0</v>
      </c>
      <c r="G1104" s="83">
        <v>0</v>
      </c>
      <c r="H1104" s="83">
        <v>0</v>
      </c>
      <c r="I1104" s="83">
        <v>0</v>
      </c>
      <c r="J1104" s="83">
        <v>0</v>
      </c>
    </row>
    <row r="1105" spans="1:10">
      <c r="A1105" s="81" t="s">
        <v>10</v>
      </c>
      <c r="B1105" s="81" t="s">
        <v>14</v>
      </c>
      <c r="C1105" s="82">
        <v>0.30763888888888902</v>
      </c>
      <c r="D1105" s="83">
        <v>0</v>
      </c>
      <c r="E1105" s="83">
        <v>0</v>
      </c>
      <c r="F1105" s="83">
        <v>0</v>
      </c>
      <c r="G1105" s="83">
        <v>0</v>
      </c>
      <c r="H1105" s="83">
        <v>0</v>
      </c>
      <c r="I1105" s="83">
        <v>0</v>
      </c>
      <c r="J1105" s="83">
        <v>0</v>
      </c>
    </row>
    <row r="1106" spans="1:10">
      <c r="A1106" s="81" t="s">
        <v>10</v>
      </c>
      <c r="B1106" s="81" t="s">
        <v>14</v>
      </c>
      <c r="C1106" s="82">
        <v>0.30833333333333302</v>
      </c>
      <c r="D1106" s="83">
        <v>0</v>
      </c>
      <c r="E1106" s="83">
        <v>0</v>
      </c>
      <c r="F1106" s="83">
        <v>0</v>
      </c>
      <c r="G1106" s="83">
        <v>0</v>
      </c>
      <c r="H1106" s="83">
        <v>0</v>
      </c>
      <c r="I1106" s="83">
        <v>0</v>
      </c>
      <c r="J1106" s="83">
        <v>0</v>
      </c>
    </row>
    <row r="1107" spans="1:10">
      <c r="A1107" s="81" t="s">
        <v>10</v>
      </c>
      <c r="B1107" s="81" t="s">
        <v>14</v>
      </c>
      <c r="C1107" s="82">
        <v>0.30902777777777801</v>
      </c>
      <c r="D1107" s="83">
        <v>0</v>
      </c>
      <c r="E1107" s="83">
        <v>0</v>
      </c>
      <c r="F1107" s="83">
        <v>0</v>
      </c>
      <c r="G1107" s="83">
        <v>0</v>
      </c>
      <c r="H1107" s="83">
        <v>0</v>
      </c>
      <c r="I1107" s="83">
        <v>0</v>
      </c>
      <c r="J1107" s="83">
        <v>0</v>
      </c>
    </row>
    <row r="1108" spans="1:10">
      <c r="A1108" s="81" t="s">
        <v>10</v>
      </c>
      <c r="B1108" s="81" t="s">
        <v>14</v>
      </c>
      <c r="C1108" s="82">
        <v>0.30972222222222201</v>
      </c>
      <c r="D1108" s="83">
        <v>0</v>
      </c>
      <c r="E1108" s="83">
        <v>0</v>
      </c>
      <c r="F1108" s="83">
        <v>0</v>
      </c>
      <c r="G1108" s="83">
        <v>0</v>
      </c>
      <c r="H1108" s="83">
        <v>0</v>
      </c>
      <c r="I1108" s="83">
        <v>0</v>
      </c>
      <c r="J1108" s="83">
        <v>0</v>
      </c>
    </row>
    <row r="1109" spans="1:10">
      <c r="A1109" s="81" t="s">
        <v>10</v>
      </c>
      <c r="B1109" s="81" t="s">
        <v>14</v>
      </c>
      <c r="C1109" s="82">
        <v>0.31041666666666701</v>
      </c>
      <c r="D1109" s="83">
        <v>0</v>
      </c>
      <c r="E1109" s="83">
        <v>0</v>
      </c>
      <c r="F1109" s="83">
        <v>0</v>
      </c>
      <c r="G1109" s="83">
        <v>0</v>
      </c>
      <c r="H1109" s="83">
        <v>0</v>
      </c>
      <c r="I1109" s="83">
        <v>0</v>
      </c>
      <c r="J1109" s="83">
        <v>0</v>
      </c>
    </row>
    <row r="1110" spans="1:10">
      <c r="A1110" s="81" t="s">
        <v>10</v>
      </c>
      <c r="B1110" s="81" t="s">
        <v>14</v>
      </c>
      <c r="C1110" s="82">
        <v>0.31111111111111101</v>
      </c>
      <c r="D1110" s="83">
        <v>0</v>
      </c>
      <c r="E1110" s="83">
        <v>0</v>
      </c>
      <c r="F1110" s="83">
        <v>0</v>
      </c>
      <c r="G1110" s="83">
        <v>0</v>
      </c>
      <c r="H1110" s="83">
        <v>0</v>
      </c>
      <c r="I1110" s="83">
        <v>0</v>
      </c>
      <c r="J1110" s="83">
        <v>0</v>
      </c>
    </row>
    <row r="1111" spans="1:10" s="80" customFormat="1">
      <c r="A1111" s="84" t="s">
        <v>10</v>
      </c>
      <c r="B1111" s="84" t="s">
        <v>14</v>
      </c>
      <c r="C1111" s="85">
        <v>0.311805555555556</v>
      </c>
      <c r="D1111" s="86">
        <v>0</v>
      </c>
      <c r="E1111" s="86">
        <v>0</v>
      </c>
      <c r="F1111" s="86">
        <v>0</v>
      </c>
      <c r="G1111" s="86">
        <v>0</v>
      </c>
      <c r="H1111" s="86">
        <v>0</v>
      </c>
      <c r="I1111" s="86">
        <v>0</v>
      </c>
      <c r="J1111" s="86">
        <v>0</v>
      </c>
    </row>
    <row r="1112" spans="1:10">
      <c r="A1112" s="81" t="s">
        <v>10</v>
      </c>
      <c r="B1112" s="81" t="s">
        <v>14</v>
      </c>
      <c r="C1112" s="82">
        <v>0.3125</v>
      </c>
      <c r="D1112" s="83">
        <v>0</v>
      </c>
      <c r="E1112" s="83">
        <v>0</v>
      </c>
      <c r="F1112" s="83">
        <v>0</v>
      </c>
      <c r="G1112" s="83">
        <v>0</v>
      </c>
      <c r="H1112" s="83">
        <v>0</v>
      </c>
      <c r="I1112" s="83">
        <v>0</v>
      </c>
      <c r="J1112" s="83">
        <v>0</v>
      </c>
    </row>
    <row r="1113" spans="1:10">
      <c r="A1113" s="81" t="s">
        <v>10</v>
      </c>
      <c r="B1113" s="81" t="s">
        <v>14</v>
      </c>
      <c r="C1113" s="82">
        <v>0.313194444444444</v>
      </c>
      <c r="D1113" s="83">
        <v>0</v>
      </c>
      <c r="E1113" s="83">
        <v>0</v>
      </c>
      <c r="F1113" s="83">
        <v>0</v>
      </c>
      <c r="G1113" s="83">
        <v>0</v>
      </c>
      <c r="H1113" s="83">
        <v>0</v>
      </c>
      <c r="I1113" s="83">
        <v>0</v>
      </c>
      <c r="J1113" s="83">
        <v>0</v>
      </c>
    </row>
    <row r="1114" spans="1:10">
      <c r="A1114" s="81" t="s">
        <v>10</v>
      </c>
      <c r="B1114" s="81" t="s">
        <v>14</v>
      </c>
      <c r="C1114" s="82">
        <v>0.31388888888888899</v>
      </c>
      <c r="D1114" s="83">
        <v>0</v>
      </c>
      <c r="E1114" s="83">
        <v>0</v>
      </c>
      <c r="F1114" s="83">
        <v>0</v>
      </c>
      <c r="G1114" s="83">
        <v>0</v>
      </c>
      <c r="H1114" s="83">
        <v>0</v>
      </c>
      <c r="I1114" s="83">
        <v>0</v>
      </c>
      <c r="J1114" s="83">
        <v>0</v>
      </c>
    </row>
    <row r="1115" spans="1:10">
      <c r="A1115" s="81" t="s">
        <v>10</v>
      </c>
      <c r="B1115" s="81" t="s">
        <v>14</v>
      </c>
      <c r="C1115" s="82">
        <v>0.31458333333333299</v>
      </c>
      <c r="D1115" s="83">
        <v>0</v>
      </c>
      <c r="E1115" s="83">
        <v>0</v>
      </c>
      <c r="F1115" s="83">
        <v>0</v>
      </c>
      <c r="G1115" s="83">
        <v>0</v>
      </c>
      <c r="H1115" s="83">
        <v>0</v>
      </c>
      <c r="I1115" s="83">
        <v>0</v>
      </c>
      <c r="J1115" s="83">
        <v>0</v>
      </c>
    </row>
    <row r="1116" spans="1:10">
      <c r="A1116" s="81" t="s">
        <v>10</v>
      </c>
      <c r="B1116" s="81" t="s">
        <v>14</v>
      </c>
      <c r="C1116" s="82">
        <v>0.31527777777777799</v>
      </c>
      <c r="D1116" s="83">
        <v>0</v>
      </c>
      <c r="E1116" s="83">
        <v>0</v>
      </c>
      <c r="F1116" s="83">
        <v>0</v>
      </c>
      <c r="G1116" s="83">
        <v>0</v>
      </c>
      <c r="H1116" s="83">
        <v>0</v>
      </c>
      <c r="I1116" s="83">
        <v>0</v>
      </c>
      <c r="J1116" s="83">
        <v>0</v>
      </c>
    </row>
    <row r="1117" spans="1:10">
      <c r="A1117" s="81" t="s">
        <v>10</v>
      </c>
      <c r="B1117" s="81" t="s">
        <v>14</v>
      </c>
      <c r="C1117" s="82">
        <v>0.31597222222222199</v>
      </c>
      <c r="D1117" s="83">
        <v>0</v>
      </c>
      <c r="E1117" s="83">
        <v>0</v>
      </c>
      <c r="F1117" s="83">
        <v>0</v>
      </c>
      <c r="G1117" s="83">
        <v>0</v>
      </c>
      <c r="H1117" s="83">
        <v>0</v>
      </c>
      <c r="I1117" s="83">
        <v>0</v>
      </c>
      <c r="J1117" s="83">
        <v>0</v>
      </c>
    </row>
    <row r="1118" spans="1:10">
      <c r="A1118" s="81" t="s">
        <v>10</v>
      </c>
      <c r="B1118" s="81" t="s">
        <v>14</v>
      </c>
      <c r="C1118" s="82">
        <v>0.31666666666666698</v>
      </c>
      <c r="D1118" s="83">
        <v>0</v>
      </c>
      <c r="E1118" s="83">
        <v>0</v>
      </c>
      <c r="F1118" s="83">
        <v>0</v>
      </c>
      <c r="G1118" s="83">
        <v>0</v>
      </c>
      <c r="H1118" s="83">
        <v>0</v>
      </c>
      <c r="I1118" s="83">
        <v>0</v>
      </c>
      <c r="J1118" s="83">
        <v>0</v>
      </c>
    </row>
    <row r="1119" spans="1:10">
      <c r="A1119" s="81" t="s">
        <v>10</v>
      </c>
      <c r="B1119" s="81" t="s">
        <v>14</v>
      </c>
      <c r="C1119" s="82">
        <v>0.31736111111111098</v>
      </c>
      <c r="D1119" s="83">
        <v>0</v>
      </c>
      <c r="E1119" s="83">
        <v>0</v>
      </c>
      <c r="F1119" s="83">
        <v>0</v>
      </c>
      <c r="G1119" s="83">
        <v>0</v>
      </c>
      <c r="H1119" s="83">
        <v>0</v>
      </c>
      <c r="I1119" s="83">
        <v>0</v>
      </c>
      <c r="J1119" s="83">
        <v>0</v>
      </c>
    </row>
    <row r="1120" spans="1:10">
      <c r="A1120" s="81" t="s">
        <v>10</v>
      </c>
      <c r="B1120" s="81" t="s">
        <v>14</v>
      </c>
      <c r="C1120" s="82">
        <v>0.31805555555555498</v>
      </c>
      <c r="D1120" s="83">
        <v>0</v>
      </c>
      <c r="E1120" s="83">
        <v>0</v>
      </c>
      <c r="F1120" s="83">
        <v>0</v>
      </c>
      <c r="G1120" s="83">
        <v>0</v>
      </c>
      <c r="H1120" s="83">
        <v>0</v>
      </c>
      <c r="I1120" s="83">
        <v>0</v>
      </c>
      <c r="J1120" s="83">
        <v>0</v>
      </c>
    </row>
    <row r="1121" spans="1:10">
      <c r="A1121" s="81" t="s">
        <v>10</v>
      </c>
      <c r="B1121" s="81" t="s">
        <v>14</v>
      </c>
      <c r="C1121" s="82">
        <v>0.31874999999999998</v>
      </c>
      <c r="D1121" s="83">
        <v>0</v>
      </c>
      <c r="E1121" s="83">
        <v>0</v>
      </c>
      <c r="F1121" s="83">
        <v>0</v>
      </c>
      <c r="G1121" s="83">
        <v>0</v>
      </c>
      <c r="H1121" s="83">
        <v>0</v>
      </c>
      <c r="I1121" s="83">
        <v>0</v>
      </c>
      <c r="J1121" s="83">
        <v>0</v>
      </c>
    </row>
    <row r="1122" spans="1:10">
      <c r="A1122" s="81" t="s">
        <v>10</v>
      </c>
      <c r="B1122" s="81" t="s">
        <v>14</v>
      </c>
      <c r="C1122" s="82">
        <v>0.31944444444444398</v>
      </c>
      <c r="D1122" s="83">
        <v>0</v>
      </c>
      <c r="E1122" s="83">
        <v>0</v>
      </c>
      <c r="F1122" s="83">
        <v>0</v>
      </c>
      <c r="G1122" s="83">
        <v>0</v>
      </c>
      <c r="H1122" s="83">
        <v>0</v>
      </c>
      <c r="I1122" s="83">
        <v>0</v>
      </c>
      <c r="J1122" s="83">
        <v>0</v>
      </c>
    </row>
    <row r="1123" spans="1:10">
      <c r="A1123" s="81" t="s">
        <v>10</v>
      </c>
      <c r="B1123" s="81" t="s">
        <v>14</v>
      </c>
      <c r="C1123" s="82">
        <v>0.32013888888888897</v>
      </c>
      <c r="D1123" s="83">
        <v>0</v>
      </c>
      <c r="E1123" s="83">
        <v>0</v>
      </c>
      <c r="F1123" s="83">
        <v>0</v>
      </c>
      <c r="G1123" s="83">
        <v>0</v>
      </c>
      <c r="H1123" s="83">
        <v>0</v>
      </c>
      <c r="I1123" s="83">
        <v>0</v>
      </c>
      <c r="J1123" s="83">
        <v>0</v>
      </c>
    </row>
    <row r="1124" spans="1:10">
      <c r="A1124" s="81" t="s">
        <v>10</v>
      </c>
      <c r="B1124" s="81" t="s">
        <v>14</v>
      </c>
      <c r="C1124" s="82">
        <v>0.32083333333333303</v>
      </c>
      <c r="D1124" s="83">
        <v>0</v>
      </c>
      <c r="E1124" s="83">
        <v>0</v>
      </c>
      <c r="F1124" s="83">
        <v>0</v>
      </c>
      <c r="G1124" s="83">
        <v>0</v>
      </c>
      <c r="H1124" s="83">
        <v>0</v>
      </c>
      <c r="I1124" s="83">
        <v>0</v>
      </c>
      <c r="J1124" s="83">
        <v>0</v>
      </c>
    </row>
    <row r="1125" spans="1:10">
      <c r="A1125" s="81" t="s">
        <v>10</v>
      </c>
      <c r="B1125" s="81" t="s">
        <v>14</v>
      </c>
      <c r="C1125" s="82">
        <v>0.32152777777777802</v>
      </c>
      <c r="D1125" s="83">
        <v>0</v>
      </c>
      <c r="E1125" s="83">
        <v>0</v>
      </c>
      <c r="F1125" s="83">
        <v>0</v>
      </c>
      <c r="G1125" s="83">
        <v>0</v>
      </c>
      <c r="H1125" s="83">
        <v>0</v>
      </c>
      <c r="I1125" s="83">
        <v>0</v>
      </c>
      <c r="J1125" s="83">
        <v>0</v>
      </c>
    </row>
    <row r="1126" spans="1:10" s="80" customFormat="1">
      <c r="A1126" s="84" t="s">
        <v>10</v>
      </c>
      <c r="B1126" s="84" t="s">
        <v>14</v>
      </c>
      <c r="C1126" s="85">
        <v>0.32222222222222202</v>
      </c>
      <c r="D1126" s="86">
        <v>0</v>
      </c>
      <c r="E1126" s="86">
        <v>0</v>
      </c>
      <c r="F1126" s="86">
        <v>0</v>
      </c>
      <c r="G1126" s="86">
        <v>0</v>
      </c>
      <c r="H1126" s="86">
        <v>0</v>
      </c>
      <c r="I1126" s="86">
        <v>0</v>
      </c>
      <c r="J1126" s="86">
        <v>0</v>
      </c>
    </row>
    <row r="1127" spans="1:10">
      <c r="A1127" s="81" t="s">
        <v>10</v>
      </c>
      <c r="B1127" s="81" t="s">
        <v>14</v>
      </c>
      <c r="C1127" s="82">
        <v>0.32291666666666702</v>
      </c>
      <c r="D1127" s="83">
        <v>0</v>
      </c>
      <c r="E1127" s="83">
        <v>0</v>
      </c>
      <c r="F1127" s="83">
        <v>0</v>
      </c>
      <c r="G1127" s="83">
        <v>0</v>
      </c>
      <c r="H1127" s="83">
        <v>0</v>
      </c>
      <c r="I1127" s="83">
        <v>0</v>
      </c>
      <c r="J1127" s="83">
        <v>0</v>
      </c>
    </row>
    <row r="1128" spans="1:10">
      <c r="A1128" s="81" t="s">
        <v>10</v>
      </c>
      <c r="B1128" s="81" t="s">
        <v>14</v>
      </c>
      <c r="C1128" s="82">
        <v>0.32361111111111102</v>
      </c>
      <c r="D1128" s="83">
        <v>0</v>
      </c>
      <c r="E1128" s="83">
        <v>0</v>
      </c>
      <c r="F1128" s="83">
        <v>0</v>
      </c>
      <c r="G1128" s="83">
        <v>0</v>
      </c>
      <c r="H1128" s="83">
        <v>0</v>
      </c>
      <c r="I1128" s="83">
        <v>0</v>
      </c>
      <c r="J1128" s="83">
        <v>0</v>
      </c>
    </row>
    <row r="1129" spans="1:10">
      <c r="A1129" s="81" t="s">
        <v>10</v>
      </c>
      <c r="B1129" s="81" t="s">
        <v>14</v>
      </c>
      <c r="C1129" s="82">
        <v>0.32430555555555601</v>
      </c>
      <c r="D1129" s="83">
        <v>0</v>
      </c>
      <c r="E1129" s="83">
        <v>0</v>
      </c>
      <c r="F1129" s="83">
        <v>0</v>
      </c>
      <c r="G1129" s="83">
        <v>0</v>
      </c>
      <c r="H1129" s="83">
        <v>0</v>
      </c>
      <c r="I1129" s="83">
        <v>0</v>
      </c>
      <c r="J1129" s="83">
        <v>0</v>
      </c>
    </row>
    <row r="1130" spans="1:10">
      <c r="A1130" s="81" t="s">
        <v>10</v>
      </c>
      <c r="B1130" s="81" t="s">
        <v>14</v>
      </c>
      <c r="C1130" s="82">
        <v>0.32500000000000001</v>
      </c>
      <c r="D1130" s="83">
        <v>0</v>
      </c>
      <c r="E1130" s="83">
        <v>0</v>
      </c>
      <c r="F1130" s="83">
        <v>0</v>
      </c>
      <c r="G1130" s="83">
        <v>0</v>
      </c>
      <c r="H1130" s="83">
        <v>0</v>
      </c>
      <c r="I1130" s="83">
        <v>0</v>
      </c>
      <c r="J1130" s="83">
        <v>0</v>
      </c>
    </row>
    <row r="1131" spans="1:10">
      <c r="A1131" s="81" t="s">
        <v>10</v>
      </c>
      <c r="B1131" s="81" t="s">
        <v>14</v>
      </c>
      <c r="C1131" s="82">
        <v>0.32569444444444401</v>
      </c>
      <c r="D1131" s="83">
        <v>0</v>
      </c>
      <c r="E1131" s="83">
        <v>0</v>
      </c>
      <c r="F1131" s="83">
        <v>0</v>
      </c>
      <c r="G1131" s="83">
        <v>0</v>
      </c>
      <c r="H1131" s="83">
        <v>0</v>
      </c>
      <c r="I1131" s="83">
        <v>0</v>
      </c>
      <c r="J1131" s="83">
        <v>0</v>
      </c>
    </row>
    <row r="1132" spans="1:10">
      <c r="A1132" s="81" t="s">
        <v>10</v>
      </c>
      <c r="B1132" s="81" t="s">
        <v>14</v>
      </c>
      <c r="C1132" s="82">
        <v>0.32638888888888901</v>
      </c>
      <c r="D1132" s="83">
        <v>0</v>
      </c>
      <c r="E1132" s="83">
        <v>0</v>
      </c>
      <c r="F1132" s="83">
        <v>0</v>
      </c>
      <c r="G1132" s="83">
        <v>0</v>
      </c>
      <c r="H1132" s="83">
        <v>0</v>
      </c>
      <c r="I1132" s="83">
        <v>0</v>
      </c>
      <c r="J1132" s="83">
        <v>0</v>
      </c>
    </row>
    <row r="1133" spans="1:10">
      <c r="A1133" s="81" t="s">
        <v>10</v>
      </c>
      <c r="B1133" s="81" t="s">
        <v>14</v>
      </c>
      <c r="C1133" s="82">
        <v>0.327083333333333</v>
      </c>
      <c r="D1133" s="83">
        <v>0</v>
      </c>
      <c r="E1133" s="83">
        <v>0</v>
      </c>
      <c r="F1133" s="83">
        <v>0</v>
      </c>
      <c r="G1133" s="83">
        <v>0</v>
      </c>
      <c r="H1133" s="83">
        <v>0</v>
      </c>
      <c r="I1133" s="83">
        <v>0</v>
      </c>
      <c r="J1133" s="83">
        <v>0</v>
      </c>
    </row>
    <row r="1134" spans="1:10">
      <c r="A1134" s="81" t="s">
        <v>10</v>
      </c>
      <c r="B1134" s="81" t="s">
        <v>14</v>
      </c>
      <c r="C1134" s="82">
        <v>0.327777777777778</v>
      </c>
      <c r="D1134" s="83">
        <v>0</v>
      </c>
      <c r="E1134" s="83">
        <v>0</v>
      </c>
      <c r="F1134" s="83">
        <v>0</v>
      </c>
      <c r="G1134" s="83">
        <v>0</v>
      </c>
      <c r="H1134" s="83">
        <v>0</v>
      </c>
      <c r="I1134" s="83">
        <v>0</v>
      </c>
      <c r="J1134" s="83">
        <v>0</v>
      </c>
    </row>
    <row r="1135" spans="1:10">
      <c r="A1135" s="81" t="s">
        <v>10</v>
      </c>
      <c r="B1135" s="81" t="s">
        <v>14</v>
      </c>
      <c r="C1135" s="82">
        <v>0.328472222222222</v>
      </c>
      <c r="D1135" s="83">
        <v>0</v>
      </c>
      <c r="E1135" s="83">
        <v>0</v>
      </c>
      <c r="F1135" s="83">
        <v>0</v>
      </c>
      <c r="G1135" s="83">
        <v>0</v>
      </c>
      <c r="H1135" s="83">
        <v>0</v>
      </c>
      <c r="I1135" s="83">
        <v>0</v>
      </c>
      <c r="J1135" s="83">
        <v>0</v>
      </c>
    </row>
    <row r="1136" spans="1:10">
      <c r="A1136" s="81" t="s">
        <v>10</v>
      </c>
      <c r="B1136" s="81" t="s">
        <v>14</v>
      </c>
      <c r="C1136" s="82">
        <v>0.329166666666667</v>
      </c>
      <c r="D1136" s="83">
        <v>0</v>
      </c>
      <c r="E1136" s="83">
        <v>0</v>
      </c>
      <c r="F1136" s="83">
        <v>0</v>
      </c>
      <c r="G1136" s="83">
        <v>0</v>
      </c>
      <c r="H1136" s="83">
        <v>0</v>
      </c>
      <c r="I1136" s="83">
        <v>0</v>
      </c>
      <c r="J1136" s="83">
        <v>0</v>
      </c>
    </row>
    <row r="1137" spans="1:10">
      <c r="A1137" s="81" t="s">
        <v>10</v>
      </c>
      <c r="B1137" s="81" t="s">
        <v>14</v>
      </c>
      <c r="C1137" s="82">
        <v>0.32986111111111099</v>
      </c>
      <c r="D1137" s="83">
        <v>0</v>
      </c>
      <c r="E1137" s="83">
        <v>0</v>
      </c>
      <c r="F1137" s="83">
        <v>0</v>
      </c>
      <c r="G1137" s="83">
        <v>0</v>
      </c>
      <c r="H1137" s="83">
        <v>0</v>
      </c>
      <c r="I1137" s="83">
        <v>0</v>
      </c>
      <c r="J1137" s="83">
        <v>0</v>
      </c>
    </row>
    <row r="1138" spans="1:10">
      <c r="A1138" s="81" t="s">
        <v>10</v>
      </c>
      <c r="B1138" s="81" t="s">
        <v>14</v>
      </c>
      <c r="C1138" s="82">
        <v>0.33055555555555499</v>
      </c>
      <c r="D1138" s="83">
        <v>0</v>
      </c>
      <c r="E1138" s="83">
        <v>0</v>
      </c>
      <c r="F1138" s="83">
        <v>0</v>
      </c>
      <c r="G1138" s="83">
        <v>0</v>
      </c>
      <c r="H1138" s="83">
        <v>0</v>
      </c>
      <c r="I1138" s="83">
        <v>0</v>
      </c>
      <c r="J1138" s="83">
        <v>0</v>
      </c>
    </row>
    <row r="1139" spans="1:10">
      <c r="A1139" s="81" t="s">
        <v>10</v>
      </c>
      <c r="B1139" s="81" t="s">
        <v>14</v>
      </c>
      <c r="C1139" s="82">
        <v>0.33124999999999999</v>
      </c>
      <c r="D1139" s="83">
        <v>0</v>
      </c>
      <c r="E1139" s="83">
        <v>0</v>
      </c>
      <c r="F1139" s="83">
        <v>0</v>
      </c>
      <c r="G1139" s="83">
        <v>0</v>
      </c>
      <c r="H1139" s="83">
        <v>0</v>
      </c>
      <c r="I1139" s="83">
        <v>0</v>
      </c>
      <c r="J1139" s="83">
        <v>0</v>
      </c>
    </row>
    <row r="1140" spans="1:10">
      <c r="A1140" s="81" t="s">
        <v>10</v>
      </c>
      <c r="B1140" s="81" t="s">
        <v>14</v>
      </c>
      <c r="C1140" s="82">
        <v>0.33194444444444399</v>
      </c>
      <c r="D1140" s="83">
        <v>0</v>
      </c>
      <c r="E1140" s="83">
        <v>0</v>
      </c>
      <c r="F1140" s="83">
        <v>0</v>
      </c>
      <c r="G1140" s="83">
        <v>0</v>
      </c>
      <c r="H1140" s="83">
        <v>0</v>
      </c>
      <c r="I1140" s="83">
        <v>0</v>
      </c>
      <c r="J1140" s="83">
        <v>0</v>
      </c>
    </row>
    <row r="1141" spans="1:10" s="80" customFormat="1">
      <c r="A1141" s="84" t="s">
        <v>10</v>
      </c>
      <c r="B1141" s="84" t="s">
        <v>14</v>
      </c>
      <c r="C1141" s="85">
        <v>0.33263888888888898</v>
      </c>
      <c r="D1141" s="86">
        <v>0</v>
      </c>
      <c r="E1141" s="86">
        <v>0</v>
      </c>
      <c r="F1141" s="86">
        <v>0</v>
      </c>
      <c r="G1141" s="86">
        <v>0</v>
      </c>
      <c r="H1141" s="86">
        <v>0</v>
      </c>
      <c r="I1141" s="86">
        <v>0</v>
      </c>
      <c r="J1141" s="86">
        <v>0</v>
      </c>
    </row>
    <row r="1142" spans="1:10">
      <c r="A1142" s="81" t="s">
        <v>10</v>
      </c>
      <c r="B1142" s="81" t="s">
        <v>14</v>
      </c>
      <c r="C1142" s="82">
        <v>0.33333333333333298</v>
      </c>
      <c r="D1142" s="83">
        <v>0</v>
      </c>
      <c r="E1142" s="83">
        <v>0</v>
      </c>
      <c r="F1142" s="83">
        <v>0</v>
      </c>
      <c r="G1142" s="83">
        <v>0</v>
      </c>
      <c r="H1142" s="83">
        <v>0</v>
      </c>
      <c r="I1142" s="83">
        <v>0</v>
      </c>
      <c r="J1142" s="83">
        <v>0</v>
      </c>
    </row>
    <row r="1143" spans="1:10">
      <c r="A1143" s="81" t="s">
        <v>10</v>
      </c>
      <c r="B1143" s="81" t="s">
        <v>14</v>
      </c>
      <c r="C1143" s="82">
        <v>0.33402777777777798</v>
      </c>
      <c r="D1143" s="83">
        <v>0</v>
      </c>
      <c r="E1143" s="83">
        <v>0</v>
      </c>
      <c r="F1143" s="83">
        <v>0</v>
      </c>
      <c r="G1143" s="83">
        <v>0</v>
      </c>
      <c r="H1143" s="83">
        <v>0</v>
      </c>
      <c r="I1143" s="83">
        <v>0</v>
      </c>
      <c r="J1143" s="83">
        <v>0</v>
      </c>
    </row>
    <row r="1144" spans="1:10">
      <c r="A1144" s="81" t="s">
        <v>10</v>
      </c>
      <c r="B1144" s="81" t="s">
        <v>14</v>
      </c>
      <c r="C1144" s="82">
        <v>0.33472222222222198</v>
      </c>
      <c r="D1144" s="83">
        <v>0</v>
      </c>
      <c r="E1144" s="83">
        <v>0</v>
      </c>
      <c r="F1144" s="83">
        <v>0</v>
      </c>
      <c r="G1144" s="83">
        <v>0</v>
      </c>
      <c r="H1144" s="83">
        <v>0</v>
      </c>
      <c r="I1144" s="83">
        <v>0</v>
      </c>
      <c r="J1144" s="83">
        <v>0</v>
      </c>
    </row>
    <row r="1145" spans="1:10">
      <c r="A1145" s="81" t="s">
        <v>10</v>
      </c>
      <c r="B1145" s="81" t="s">
        <v>14</v>
      </c>
      <c r="C1145" s="82">
        <v>0.33541666666666597</v>
      </c>
      <c r="D1145" s="83">
        <v>0</v>
      </c>
      <c r="E1145" s="83">
        <v>0</v>
      </c>
      <c r="F1145" s="83">
        <v>0</v>
      </c>
      <c r="G1145" s="83">
        <v>0</v>
      </c>
      <c r="H1145" s="83">
        <v>0</v>
      </c>
      <c r="I1145" s="83">
        <v>0</v>
      </c>
      <c r="J1145" s="83">
        <v>0</v>
      </c>
    </row>
    <row r="1146" spans="1:10">
      <c r="A1146" s="81" t="s">
        <v>10</v>
      </c>
      <c r="B1146" s="81" t="s">
        <v>14</v>
      </c>
      <c r="C1146" s="82">
        <v>0.33611111111111103</v>
      </c>
      <c r="D1146" s="83">
        <v>0</v>
      </c>
      <c r="E1146" s="83">
        <v>0</v>
      </c>
      <c r="F1146" s="83">
        <v>0</v>
      </c>
      <c r="G1146" s="83">
        <v>0</v>
      </c>
      <c r="H1146" s="83">
        <v>0</v>
      </c>
      <c r="I1146" s="83">
        <v>0</v>
      </c>
      <c r="J1146" s="83">
        <v>0</v>
      </c>
    </row>
    <row r="1147" spans="1:10">
      <c r="A1147" s="81" t="s">
        <v>10</v>
      </c>
      <c r="B1147" s="81" t="s">
        <v>14</v>
      </c>
      <c r="C1147" s="82">
        <v>0.33680555555555503</v>
      </c>
      <c r="D1147" s="83">
        <v>0</v>
      </c>
      <c r="E1147" s="83">
        <v>0</v>
      </c>
      <c r="F1147" s="83">
        <v>0</v>
      </c>
      <c r="G1147" s="83">
        <v>0</v>
      </c>
      <c r="H1147" s="83">
        <v>0</v>
      </c>
      <c r="I1147" s="83">
        <v>0</v>
      </c>
      <c r="J1147" s="83">
        <v>0</v>
      </c>
    </row>
    <row r="1148" spans="1:10">
      <c r="A1148" s="81" t="s">
        <v>10</v>
      </c>
      <c r="B1148" s="81" t="s">
        <v>14</v>
      </c>
      <c r="C1148" s="82">
        <v>0.33750000000000002</v>
      </c>
      <c r="D1148" s="83">
        <v>0</v>
      </c>
      <c r="E1148" s="83">
        <v>0</v>
      </c>
      <c r="F1148" s="83">
        <v>0</v>
      </c>
      <c r="G1148" s="83">
        <v>0</v>
      </c>
      <c r="H1148" s="83">
        <v>0</v>
      </c>
      <c r="I1148" s="83">
        <v>0</v>
      </c>
      <c r="J1148" s="83">
        <v>0</v>
      </c>
    </row>
    <row r="1149" spans="1:10">
      <c r="A1149" s="81" t="s">
        <v>10</v>
      </c>
      <c r="B1149" s="81" t="s">
        <v>14</v>
      </c>
      <c r="C1149" s="82">
        <v>0.33819444444444402</v>
      </c>
      <c r="D1149" s="83">
        <v>0</v>
      </c>
      <c r="E1149" s="83">
        <v>0</v>
      </c>
      <c r="F1149" s="83">
        <v>0</v>
      </c>
      <c r="G1149" s="83">
        <v>0</v>
      </c>
      <c r="H1149" s="83">
        <v>0</v>
      </c>
      <c r="I1149" s="83">
        <v>0</v>
      </c>
      <c r="J1149" s="83">
        <v>0</v>
      </c>
    </row>
    <row r="1150" spans="1:10">
      <c r="A1150" s="81" t="s">
        <v>10</v>
      </c>
      <c r="B1150" s="81" t="s">
        <v>14</v>
      </c>
      <c r="C1150" s="82">
        <v>0.33888888888888902</v>
      </c>
      <c r="D1150" s="83">
        <v>0</v>
      </c>
      <c r="E1150" s="83">
        <v>0</v>
      </c>
      <c r="F1150" s="83">
        <v>0</v>
      </c>
      <c r="G1150" s="83">
        <v>0</v>
      </c>
      <c r="H1150" s="83">
        <v>0</v>
      </c>
      <c r="I1150" s="83">
        <v>0</v>
      </c>
      <c r="J1150" s="83">
        <v>0</v>
      </c>
    </row>
    <row r="1151" spans="1:10">
      <c r="A1151" s="81" t="s">
        <v>10</v>
      </c>
      <c r="B1151" s="81" t="s">
        <v>14</v>
      </c>
      <c r="C1151" s="82">
        <v>0.33958333333333302</v>
      </c>
      <c r="D1151" s="83">
        <v>0</v>
      </c>
      <c r="E1151" s="83">
        <v>0</v>
      </c>
      <c r="F1151" s="83">
        <v>0</v>
      </c>
      <c r="G1151" s="83">
        <v>0</v>
      </c>
      <c r="H1151" s="83">
        <v>0</v>
      </c>
      <c r="I1151" s="83">
        <v>0</v>
      </c>
      <c r="J1151" s="83">
        <v>0</v>
      </c>
    </row>
    <row r="1152" spans="1:10">
      <c r="A1152" s="81" t="s">
        <v>10</v>
      </c>
      <c r="B1152" s="81" t="s">
        <v>14</v>
      </c>
      <c r="C1152" s="82">
        <v>0.34027777777777801</v>
      </c>
      <c r="D1152" s="83">
        <v>0</v>
      </c>
      <c r="E1152" s="83">
        <v>0</v>
      </c>
      <c r="F1152" s="83">
        <v>0</v>
      </c>
      <c r="G1152" s="83">
        <v>0</v>
      </c>
      <c r="H1152" s="83">
        <v>0</v>
      </c>
      <c r="I1152" s="83">
        <v>0</v>
      </c>
      <c r="J1152" s="83">
        <v>0</v>
      </c>
    </row>
    <row r="1153" spans="1:10">
      <c r="A1153" s="81" t="s">
        <v>10</v>
      </c>
      <c r="B1153" s="81" t="s">
        <v>14</v>
      </c>
      <c r="C1153" s="82">
        <v>0.34097222222222201</v>
      </c>
      <c r="D1153" s="83">
        <v>0</v>
      </c>
      <c r="E1153" s="83">
        <v>0</v>
      </c>
      <c r="F1153" s="83">
        <v>0</v>
      </c>
      <c r="G1153" s="83">
        <v>0</v>
      </c>
      <c r="H1153" s="83">
        <v>0</v>
      </c>
      <c r="I1153" s="83">
        <v>0</v>
      </c>
      <c r="J1153" s="83">
        <v>0</v>
      </c>
    </row>
    <row r="1154" spans="1:10">
      <c r="A1154" s="81" t="s">
        <v>10</v>
      </c>
      <c r="B1154" s="81" t="s">
        <v>14</v>
      </c>
      <c r="C1154" s="82">
        <v>0.34166666666666701</v>
      </c>
      <c r="D1154" s="83">
        <v>0</v>
      </c>
      <c r="E1154" s="83">
        <v>0</v>
      </c>
      <c r="F1154" s="83">
        <v>0</v>
      </c>
      <c r="G1154" s="83">
        <v>0</v>
      </c>
      <c r="H1154" s="83">
        <v>0</v>
      </c>
      <c r="I1154" s="83">
        <v>0</v>
      </c>
      <c r="J1154" s="83">
        <v>0</v>
      </c>
    </row>
    <row r="1155" spans="1:10">
      <c r="A1155" s="81" t="s">
        <v>10</v>
      </c>
      <c r="B1155" s="81" t="s">
        <v>14</v>
      </c>
      <c r="C1155" s="82">
        <v>0.34236111111111101</v>
      </c>
      <c r="D1155" s="83">
        <v>0</v>
      </c>
      <c r="E1155" s="83">
        <v>0</v>
      </c>
      <c r="F1155" s="83">
        <v>0</v>
      </c>
      <c r="G1155" s="83">
        <v>0</v>
      </c>
      <c r="H1155" s="83">
        <v>0</v>
      </c>
      <c r="I1155" s="83">
        <v>0</v>
      </c>
      <c r="J1155" s="83">
        <v>0</v>
      </c>
    </row>
    <row r="1156" spans="1:10" s="80" customFormat="1">
      <c r="A1156" s="84" t="s">
        <v>10</v>
      </c>
      <c r="B1156" s="84" t="s">
        <v>14</v>
      </c>
      <c r="C1156" s="85">
        <v>0.343055555555555</v>
      </c>
      <c r="D1156" s="86">
        <v>0</v>
      </c>
      <c r="E1156" s="86">
        <v>0</v>
      </c>
      <c r="F1156" s="86">
        <v>0</v>
      </c>
      <c r="G1156" s="86">
        <v>0</v>
      </c>
      <c r="H1156" s="86">
        <v>0</v>
      </c>
      <c r="I1156" s="86">
        <v>0</v>
      </c>
      <c r="J1156" s="86">
        <v>0</v>
      </c>
    </row>
    <row r="1157" spans="1:10">
      <c r="A1157" s="81" t="s">
        <v>10</v>
      </c>
      <c r="B1157" s="81" t="s">
        <v>14</v>
      </c>
      <c r="C1157" s="82">
        <v>0.34375</v>
      </c>
      <c r="D1157" s="83">
        <v>0</v>
      </c>
      <c r="E1157" s="83">
        <v>0</v>
      </c>
      <c r="F1157" s="83">
        <v>0</v>
      </c>
      <c r="G1157" s="83">
        <v>0</v>
      </c>
      <c r="H1157" s="83">
        <v>0</v>
      </c>
      <c r="I1157" s="83">
        <v>0</v>
      </c>
      <c r="J1157" s="83">
        <v>0</v>
      </c>
    </row>
    <row r="1158" spans="1:10">
      <c r="A1158" s="81" t="s">
        <v>10</v>
      </c>
      <c r="B1158" s="81" t="s">
        <v>14</v>
      </c>
      <c r="C1158" s="82">
        <v>0.344444444444444</v>
      </c>
      <c r="D1158" s="83">
        <v>0</v>
      </c>
      <c r="E1158" s="83">
        <v>0</v>
      </c>
      <c r="F1158" s="83">
        <v>0</v>
      </c>
      <c r="G1158" s="83">
        <v>0</v>
      </c>
      <c r="H1158" s="83">
        <v>0</v>
      </c>
      <c r="I1158" s="83">
        <v>0</v>
      </c>
      <c r="J1158" s="83">
        <v>0</v>
      </c>
    </row>
    <row r="1159" spans="1:10">
      <c r="A1159" s="81" t="s">
        <v>10</v>
      </c>
      <c r="B1159" s="81" t="s">
        <v>14</v>
      </c>
      <c r="C1159" s="82">
        <v>0.34513888888888899</v>
      </c>
      <c r="D1159" s="83">
        <v>0</v>
      </c>
      <c r="E1159" s="83">
        <v>0</v>
      </c>
      <c r="F1159" s="83">
        <v>0</v>
      </c>
      <c r="G1159" s="83">
        <v>0</v>
      </c>
      <c r="H1159" s="83">
        <v>0</v>
      </c>
      <c r="I1159" s="83">
        <v>0</v>
      </c>
      <c r="J1159" s="83">
        <v>0</v>
      </c>
    </row>
    <row r="1160" spans="1:10">
      <c r="A1160" s="81" t="s">
        <v>10</v>
      </c>
      <c r="B1160" s="81" t="s">
        <v>14</v>
      </c>
      <c r="C1160" s="82">
        <v>0.34583333333333299</v>
      </c>
      <c r="D1160" s="83">
        <v>0</v>
      </c>
      <c r="E1160" s="83">
        <v>0</v>
      </c>
      <c r="F1160" s="83">
        <v>0</v>
      </c>
      <c r="G1160" s="83">
        <v>0</v>
      </c>
      <c r="H1160" s="83">
        <v>0</v>
      </c>
      <c r="I1160" s="83">
        <v>0</v>
      </c>
      <c r="J1160" s="83">
        <v>0</v>
      </c>
    </row>
    <row r="1161" spans="1:10">
      <c r="A1161" s="81" t="s">
        <v>10</v>
      </c>
      <c r="B1161" s="81" t="s">
        <v>14</v>
      </c>
      <c r="C1161" s="82">
        <v>0.34652777777777799</v>
      </c>
      <c r="D1161" s="83">
        <v>0</v>
      </c>
      <c r="E1161" s="83">
        <v>0</v>
      </c>
      <c r="F1161" s="83">
        <v>0</v>
      </c>
      <c r="G1161" s="83">
        <v>0</v>
      </c>
      <c r="H1161" s="83">
        <v>0</v>
      </c>
      <c r="I1161" s="83">
        <v>0</v>
      </c>
      <c r="J1161" s="83">
        <v>0</v>
      </c>
    </row>
    <row r="1162" spans="1:10">
      <c r="A1162" s="81" t="s">
        <v>10</v>
      </c>
      <c r="B1162" s="81" t="s">
        <v>14</v>
      </c>
      <c r="C1162" s="82">
        <v>0.34722222222222199</v>
      </c>
      <c r="D1162" s="83">
        <v>0</v>
      </c>
      <c r="E1162" s="83">
        <v>0</v>
      </c>
      <c r="F1162" s="83">
        <v>0</v>
      </c>
      <c r="G1162" s="83">
        <v>0</v>
      </c>
      <c r="H1162" s="83">
        <v>0</v>
      </c>
      <c r="I1162" s="83">
        <v>0</v>
      </c>
      <c r="J1162" s="83">
        <v>0</v>
      </c>
    </row>
    <row r="1163" spans="1:10">
      <c r="A1163" s="81" t="s">
        <v>10</v>
      </c>
      <c r="B1163" s="81" t="s">
        <v>14</v>
      </c>
      <c r="C1163" s="82">
        <v>0.34791666666666599</v>
      </c>
      <c r="D1163" s="83">
        <v>0</v>
      </c>
      <c r="E1163" s="83">
        <v>0</v>
      </c>
      <c r="F1163" s="83">
        <v>0</v>
      </c>
      <c r="G1163" s="83">
        <v>0</v>
      </c>
      <c r="H1163" s="83">
        <v>0</v>
      </c>
      <c r="I1163" s="83">
        <v>0</v>
      </c>
      <c r="J1163" s="83">
        <v>0</v>
      </c>
    </row>
    <row r="1164" spans="1:10">
      <c r="A1164" s="81" t="s">
        <v>10</v>
      </c>
      <c r="B1164" s="81" t="s">
        <v>14</v>
      </c>
      <c r="C1164" s="82">
        <v>0.34861111111111098</v>
      </c>
      <c r="D1164" s="83">
        <v>0</v>
      </c>
      <c r="E1164" s="83">
        <v>0</v>
      </c>
      <c r="F1164" s="83">
        <v>0</v>
      </c>
      <c r="G1164" s="83">
        <v>0</v>
      </c>
      <c r="H1164" s="83">
        <v>0</v>
      </c>
      <c r="I1164" s="83">
        <v>0</v>
      </c>
      <c r="J1164" s="83">
        <v>0</v>
      </c>
    </row>
    <row r="1165" spans="1:10">
      <c r="A1165" s="81" t="s">
        <v>10</v>
      </c>
      <c r="B1165" s="81" t="s">
        <v>14</v>
      </c>
      <c r="C1165" s="82">
        <v>0.34930555555555498</v>
      </c>
      <c r="D1165" s="83">
        <v>0</v>
      </c>
      <c r="E1165" s="83">
        <v>0</v>
      </c>
      <c r="F1165" s="83">
        <v>0</v>
      </c>
      <c r="G1165" s="83">
        <v>0</v>
      </c>
      <c r="H1165" s="83">
        <v>0</v>
      </c>
      <c r="I1165" s="83">
        <v>0</v>
      </c>
      <c r="J1165" s="83">
        <v>0</v>
      </c>
    </row>
    <row r="1166" spans="1:10">
      <c r="A1166" s="81" t="s">
        <v>10</v>
      </c>
      <c r="B1166" s="81" t="s">
        <v>14</v>
      </c>
      <c r="C1166" s="82">
        <v>0.35</v>
      </c>
      <c r="D1166" s="83">
        <v>0</v>
      </c>
      <c r="E1166" s="83">
        <v>0</v>
      </c>
      <c r="F1166" s="83">
        <v>0</v>
      </c>
      <c r="G1166" s="83">
        <v>0</v>
      </c>
      <c r="H1166" s="83">
        <v>0</v>
      </c>
      <c r="I1166" s="83">
        <v>0</v>
      </c>
      <c r="J1166" s="83">
        <v>0</v>
      </c>
    </row>
    <row r="1167" spans="1:10">
      <c r="A1167" s="81" t="s">
        <v>10</v>
      </c>
      <c r="B1167" s="81" t="s">
        <v>14</v>
      </c>
      <c r="C1167" s="82">
        <v>0.35069444444444398</v>
      </c>
      <c r="D1167" s="83">
        <v>0</v>
      </c>
      <c r="E1167" s="83">
        <v>0</v>
      </c>
      <c r="F1167" s="83">
        <v>0</v>
      </c>
      <c r="G1167" s="83">
        <v>0</v>
      </c>
      <c r="H1167" s="83">
        <v>0</v>
      </c>
      <c r="I1167" s="83">
        <v>0</v>
      </c>
      <c r="J1167" s="83">
        <v>0</v>
      </c>
    </row>
    <row r="1168" spans="1:10">
      <c r="A1168" s="81" t="s">
        <v>10</v>
      </c>
      <c r="B1168" s="81" t="s">
        <v>14</v>
      </c>
      <c r="C1168" s="82">
        <v>0.35138888888888897</v>
      </c>
      <c r="D1168" s="83">
        <v>0</v>
      </c>
      <c r="E1168" s="83">
        <v>0</v>
      </c>
      <c r="F1168" s="83">
        <v>0</v>
      </c>
      <c r="G1168" s="83">
        <v>0</v>
      </c>
      <c r="H1168" s="83">
        <v>0</v>
      </c>
      <c r="I1168" s="83">
        <v>0</v>
      </c>
      <c r="J1168" s="83">
        <v>0</v>
      </c>
    </row>
    <row r="1169" spans="1:10">
      <c r="A1169" s="81" t="s">
        <v>10</v>
      </c>
      <c r="B1169" s="81" t="s">
        <v>14</v>
      </c>
      <c r="C1169" s="82">
        <v>0.35208333333333303</v>
      </c>
      <c r="D1169" s="83">
        <v>0</v>
      </c>
      <c r="E1169" s="83">
        <v>0</v>
      </c>
      <c r="F1169" s="83">
        <v>0</v>
      </c>
      <c r="G1169" s="83">
        <v>0</v>
      </c>
      <c r="H1169" s="83">
        <v>0</v>
      </c>
      <c r="I1169" s="83">
        <v>0</v>
      </c>
      <c r="J1169" s="83">
        <v>0</v>
      </c>
    </row>
    <row r="1170" spans="1:10">
      <c r="A1170" s="81" t="s">
        <v>10</v>
      </c>
      <c r="B1170" s="81" t="s">
        <v>14</v>
      </c>
      <c r="C1170" s="82">
        <v>0.35277777777777802</v>
      </c>
      <c r="D1170" s="83">
        <v>0</v>
      </c>
      <c r="E1170" s="83">
        <v>0</v>
      </c>
      <c r="F1170" s="83">
        <v>0</v>
      </c>
      <c r="G1170" s="83">
        <v>0</v>
      </c>
      <c r="H1170" s="83">
        <v>0</v>
      </c>
      <c r="I1170" s="83">
        <v>0</v>
      </c>
      <c r="J1170" s="83">
        <v>0</v>
      </c>
    </row>
    <row r="1171" spans="1:10" s="80" customFormat="1">
      <c r="A1171" s="84" t="s">
        <v>10</v>
      </c>
      <c r="B1171" s="84" t="s">
        <v>14</v>
      </c>
      <c r="C1171" s="85">
        <v>0.35347222222222202</v>
      </c>
      <c r="D1171" s="86">
        <v>0</v>
      </c>
      <c r="E1171" s="86">
        <v>0</v>
      </c>
      <c r="F1171" s="86">
        <v>0</v>
      </c>
      <c r="G1171" s="86">
        <v>0</v>
      </c>
      <c r="H1171" s="86">
        <v>0</v>
      </c>
      <c r="I1171" s="86">
        <v>0</v>
      </c>
      <c r="J1171" s="86">
        <v>0</v>
      </c>
    </row>
    <row r="1172" spans="1:10">
      <c r="A1172" s="81" t="s">
        <v>10</v>
      </c>
      <c r="B1172" s="81" t="s">
        <v>14</v>
      </c>
      <c r="C1172" s="82">
        <v>0.35416666666666602</v>
      </c>
      <c r="D1172" s="83">
        <v>0</v>
      </c>
      <c r="E1172" s="83">
        <v>0</v>
      </c>
      <c r="F1172" s="83">
        <v>0</v>
      </c>
      <c r="G1172" s="83">
        <v>0</v>
      </c>
      <c r="H1172" s="83">
        <v>0</v>
      </c>
      <c r="I1172" s="83">
        <v>0</v>
      </c>
      <c r="J1172" s="83">
        <v>0</v>
      </c>
    </row>
    <row r="1173" spans="1:10">
      <c r="A1173" s="81" t="s">
        <v>10</v>
      </c>
      <c r="B1173" s="81" t="s">
        <v>14</v>
      </c>
      <c r="C1173" s="82">
        <v>0.35486111111111102</v>
      </c>
      <c r="D1173" s="83">
        <v>0</v>
      </c>
      <c r="E1173" s="83">
        <v>0</v>
      </c>
      <c r="F1173" s="83">
        <v>0</v>
      </c>
      <c r="G1173" s="83">
        <v>0</v>
      </c>
      <c r="H1173" s="83">
        <v>0</v>
      </c>
      <c r="I1173" s="83">
        <v>0</v>
      </c>
      <c r="J1173" s="83">
        <v>0</v>
      </c>
    </row>
    <row r="1174" spans="1:10">
      <c r="A1174" s="81" t="s">
        <v>10</v>
      </c>
      <c r="B1174" s="81" t="s">
        <v>14</v>
      </c>
      <c r="C1174" s="82">
        <v>0.35555555555555501</v>
      </c>
      <c r="D1174" s="83">
        <v>0</v>
      </c>
      <c r="E1174" s="83">
        <v>0</v>
      </c>
      <c r="F1174" s="83">
        <v>0</v>
      </c>
      <c r="G1174" s="83">
        <v>0</v>
      </c>
      <c r="H1174" s="83">
        <v>0</v>
      </c>
      <c r="I1174" s="83">
        <v>0</v>
      </c>
      <c r="J1174" s="83">
        <v>0</v>
      </c>
    </row>
    <row r="1175" spans="1:10">
      <c r="A1175" s="81" t="s">
        <v>10</v>
      </c>
      <c r="B1175" s="81" t="s">
        <v>14</v>
      </c>
      <c r="C1175" s="82">
        <v>0.35625000000000001</v>
      </c>
      <c r="D1175" s="83">
        <v>0</v>
      </c>
      <c r="E1175" s="83">
        <v>0</v>
      </c>
      <c r="F1175" s="83">
        <v>0</v>
      </c>
      <c r="G1175" s="83">
        <v>0</v>
      </c>
      <c r="H1175" s="83">
        <v>0</v>
      </c>
      <c r="I1175" s="83">
        <v>0</v>
      </c>
      <c r="J1175" s="83">
        <v>0</v>
      </c>
    </row>
    <row r="1176" spans="1:10">
      <c r="A1176" s="81" t="s">
        <v>10</v>
      </c>
      <c r="B1176" s="81" t="s">
        <v>14</v>
      </c>
      <c r="C1176" s="82">
        <v>0.35694444444444401</v>
      </c>
      <c r="D1176" s="83">
        <v>0</v>
      </c>
      <c r="E1176" s="83">
        <v>0</v>
      </c>
      <c r="F1176" s="83">
        <v>0</v>
      </c>
      <c r="G1176" s="83">
        <v>0</v>
      </c>
      <c r="H1176" s="83">
        <v>0</v>
      </c>
      <c r="I1176" s="83">
        <v>0</v>
      </c>
      <c r="J1176" s="83">
        <v>0</v>
      </c>
    </row>
    <row r="1177" spans="1:10">
      <c r="A1177" s="81" t="s">
        <v>10</v>
      </c>
      <c r="B1177" s="81" t="s">
        <v>14</v>
      </c>
      <c r="C1177" s="82">
        <v>0.35763888888888901</v>
      </c>
      <c r="D1177" s="83">
        <v>0</v>
      </c>
      <c r="E1177" s="83">
        <v>0</v>
      </c>
      <c r="F1177" s="83">
        <v>0</v>
      </c>
      <c r="G1177" s="83">
        <v>0</v>
      </c>
      <c r="H1177" s="83">
        <v>0</v>
      </c>
      <c r="I1177" s="83">
        <v>0</v>
      </c>
      <c r="J1177" s="83">
        <v>0</v>
      </c>
    </row>
    <row r="1178" spans="1:10">
      <c r="A1178" s="81" t="s">
        <v>10</v>
      </c>
      <c r="B1178" s="81" t="s">
        <v>14</v>
      </c>
      <c r="C1178" s="82">
        <v>0.358333333333333</v>
      </c>
      <c r="D1178" s="83">
        <v>0</v>
      </c>
      <c r="E1178" s="83">
        <v>0</v>
      </c>
      <c r="F1178" s="83">
        <v>0</v>
      </c>
      <c r="G1178" s="83">
        <v>0</v>
      </c>
      <c r="H1178" s="83">
        <v>0</v>
      </c>
      <c r="I1178" s="83">
        <v>0</v>
      </c>
      <c r="J1178" s="83">
        <v>0</v>
      </c>
    </row>
    <row r="1179" spans="1:10">
      <c r="A1179" s="81" t="s">
        <v>10</v>
      </c>
      <c r="B1179" s="81" t="s">
        <v>14</v>
      </c>
      <c r="C1179" s="82">
        <v>0.359027777777778</v>
      </c>
      <c r="D1179" s="83">
        <v>0</v>
      </c>
      <c r="E1179" s="83">
        <v>0</v>
      </c>
      <c r="F1179" s="83">
        <v>0</v>
      </c>
      <c r="G1179" s="83">
        <v>0</v>
      </c>
      <c r="H1179" s="83">
        <v>0</v>
      </c>
      <c r="I1179" s="83">
        <v>0</v>
      </c>
      <c r="J1179" s="83">
        <v>0</v>
      </c>
    </row>
    <row r="1180" spans="1:10">
      <c r="A1180" s="81" t="s">
        <v>10</v>
      </c>
      <c r="B1180" s="81" t="s">
        <v>14</v>
      </c>
      <c r="C1180" s="82">
        <v>0.359722222222222</v>
      </c>
      <c r="D1180" s="83">
        <v>0</v>
      </c>
      <c r="E1180" s="83">
        <v>0</v>
      </c>
      <c r="F1180" s="83">
        <v>0</v>
      </c>
      <c r="G1180" s="83">
        <v>0</v>
      </c>
      <c r="H1180" s="83">
        <v>0</v>
      </c>
      <c r="I1180" s="83">
        <v>0</v>
      </c>
      <c r="J1180" s="83">
        <v>0</v>
      </c>
    </row>
    <row r="1181" spans="1:10">
      <c r="A1181" s="81" t="s">
        <v>10</v>
      </c>
      <c r="B1181" s="81" t="s">
        <v>14</v>
      </c>
      <c r="C1181" s="82">
        <v>0.360416666666666</v>
      </c>
      <c r="D1181" s="83">
        <v>0</v>
      </c>
      <c r="E1181" s="83">
        <v>0</v>
      </c>
      <c r="F1181" s="83">
        <v>0</v>
      </c>
      <c r="G1181" s="83">
        <v>0</v>
      </c>
      <c r="H1181" s="83">
        <v>0</v>
      </c>
      <c r="I1181" s="83">
        <v>0</v>
      </c>
      <c r="J1181" s="83">
        <v>0</v>
      </c>
    </row>
    <row r="1182" spans="1:10">
      <c r="A1182" s="81" t="s">
        <v>10</v>
      </c>
      <c r="B1182" s="81" t="s">
        <v>14</v>
      </c>
      <c r="C1182" s="82">
        <v>0.36111111111111099</v>
      </c>
      <c r="D1182" s="83">
        <v>0</v>
      </c>
      <c r="E1182" s="83">
        <v>0</v>
      </c>
      <c r="F1182" s="83">
        <v>0</v>
      </c>
      <c r="G1182" s="83">
        <v>0</v>
      </c>
      <c r="H1182" s="83">
        <v>0</v>
      </c>
      <c r="I1182" s="83">
        <v>0</v>
      </c>
      <c r="J1182" s="83">
        <v>0</v>
      </c>
    </row>
    <row r="1183" spans="1:10">
      <c r="A1183" s="81" t="s">
        <v>10</v>
      </c>
      <c r="B1183" s="81" t="s">
        <v>14</v>
      </c>
      <c r="C1183" s="82">
        <v>0.36180555555555499</v>
      </c>
      <c r="D1183" s="83">
        <v>0</v>
      </c>
      <c r="E1183" s="83">
        <v>0</v>
      </c>
      <c r="F1183" s="83">
        <v>0</v>
      </c>
      <c r="G1183" s="83">
        <v>0</v>
      </c>
      <c r="H1183" s="83">
        <v>0</v>
      </c>
      <c r="I1183" s="83">
        <v>0</v>
      </c>
      <c r="J1183" s="83">
        <v>0</v>
      </c>
    </row>
    <row r="1184" spans="1:10">
      <c r="A1184" s="81" t="s">
        <v>10</v>
      </c>
      <c r="B1184" s="81" t="s">
        <v>14</v>
      </c>
      <c r="C1184" s="82">
        <v>0.36249999999999999</v>
      </c>
      <c r="D1184" s="83">
        <v>0</v>
      </c>
      <c r="E1184" s="83">
        <v>0</v>
      </c>
      <c r="F1184" s="83">
        <v>0</v>
      </c>
      <c r="G1184" s="83">
        <v>0</v>
      </c>
      <c r="H1184" s="83">
        <v>0</v>
      </c>
      <c r="I1184" s="83">
        <v>0</v>
      </c>
      <c r="J1184" s="83">
        <v>0</v>
      </c>
    </row>
    <row r="1185" spans="1:10">
      <c r="A1185" s="81" t="s">
        <v>10</v>
      </c>
      <c r="B1185" s="81" t="s">
        <v>14</v>
      </c>
      <c r="C1185" s="82">
        <v>0.36319444444444399</v>
      </c>
      <c r="D1185" s="83">
        <v>0</v>
      </c>
      <c r="E1185" s="83">
        <v>0</v>
      </c>
      <c r="F1185" s="83">
        <v>0</v>
      </c>
      <c r="G1185" s="83">
        <v>0</v>
      </c>
      <c r="H1185" s="83">
        <v>0</v>
      </c>
      <c r="I1185" s="83">
        <v>0</v>
      </c>
      <c r="J1185" s="83">
        <v>0</v>
      </c>
    </row>
    <row r="1186" spans="1:10" s="80" customFormat="1">
      <c r="A1186" s="84" t="s">
        <v>10</v>
      </c>
      <c r="B1186" s="84" t="s">
        <v>14</v>
      </c>
      <c r="C1186" s="85">
        <v>0.36388888888888898</v>
      </c>
      <c r="D1186" s="86">
        <v>0</v>
      </c>
      <c r="E1186" s="86">
        <v>0</v>
      </c>
      <c r="F1186" s="86">
        <v>0</v>
      </c>
      <c r="G1186" s="86">
        <v>0</v>
      </c>
      <c r="H1186" s="86">
        <v>0</v>
      </c>
      <c r="I1186" s="86">
        <v>0</v>
      </c>
      <c r="J1186" s="86">
        <v>0</v>
      </c>
    </row>
    <row r="1187" spans="1:10">
      <c r="A1187" s="81" t="s">
        <v>10</v>
      </c>
      <c r="B1187" s="81" t="s">
        <v>14</v>
      </c>
      <c r="C1187" s="82">
        <v>0.36458333333333298</v>
      </c>
      <c r="D1187" s="83">
        <v>0</v>
      </c>
      <c r="E1187" s="83">
        <v>0</v>
      </c>
      <c r="F1187" s="83">
        <v>0</v>
      </c>
      <c r="G1187" s="83">
        <v>0</v>
      </c>
      <c r="H1187" s="83">
        <v>0</v>
      </c>
      <c r="I1187" s="83">
        <v>0</v>
      </c>
      <c r="J1187" s="83">
        <v>0</v>
      </c>
    </row>
    <row r="1188" spans="1:10">
      <c r="A1188" s="81" t="s">
        <v>10</v>
      </c>
      <c r="B1188" s="81" t="s">
        <v>14</v>
      </c>
      <c r="C1188" s="82">
        <v>0.36527777777777698</v>
      </c>
      <c r="D1188" s="83">
        <v>0</v>
      </c>
      <c r="E1188" s="83">
        <v>0</v>
      </c>
      <c r="F1188" s="83">
        <v>0</v>
      </c>
      <c r="G1188" s="83">
        <v>0</v>
      </c>
      <c r="H1188" s="83">
        <v>0</v>
      </c>
      <c r="I1188" s="83">
        <v>0</v>
      </c>
      <c r="J1188" s="83">
        <v>0</v>
      </c>
    </row>
    <row r="1189" spans="1:10">
      <c r="A1189" s="81" t="s">
        <v>10</v>
      </c>
      <c r="B1189" s="81" t="s">
        <v>14</v>
      </c>
      <c r="C1189" s="82">
        <v>0.36597222222222198</v>
      </c>
      <c r="D1189" s="83">
        <v>0</v>
      </c>
      <c r="E1189" s="83">
        <v>0</v>
      </c>
      <c r="F1189" s="83">
        <v>0</v>
      </c>
      <c r="G1189" s="83">
        <v>0</v>
      </c>
      <c r="H1189" s="83">
        <v>0</v>
      </c>
      <c r="I1189" s="83">
        <v>0</v>
      </c>
      <c r="J1189" s="83">
        <v>0</v>
      </c>
    </row>
    <row r="1190" spans="1:10">
      <c r="A1190" s="81" t="s">
        <v>10</v>
      </c>
      <c r="B1190" s="81" t="s">
        <v>14</v>
      </c>
      <c r="C1190" s="82">
        <v>0.36666666666666597</v>
      </c>
      <c r="D1190" s="83">
        <v>0</v>
      </c>
      <c r="E1190" s="83">
        <v>0</v>
      </c>
      <c r="F1190" s="83">
        <v>0</v>
      </c>
      <c r="G1190" s="83">
        <v>0</v>
      </c>
      <c r="H1190" s="83">
        <v>0</v>
      </c>
      <c r="I1190" s="83">
        <v>0</v>
      </c>
      <c r="J1190" s="83">
        <v>0</v>
      </c>
    </row>
    <row r="1191" spans="1:10">
      <c r="A1191" s="81" t="s">
        <v>10</v>
      </c>
      <c r="B1191" s="81" t="s">
        <v>14</v>
      </c>
      <c r="C1191" s="82">
        <v>0.36736111111111103</v>
      </c>
      <c r="D1191" s="83">
        <v>0</v>
      </c>
      <c r="E1191" s="83">
        <v>0</v>
      </c>
      <c r="F1191" s="83">
        <v>0</v>
      </c>
      <c r="G1191" s="83">
        <v>0</v>
      </c>
      <c r="H1191" s="83">
        <v>0</v>
      </c>
      <c r="I1191" s="83">
        <v>0</v>
      </c>
      <c r="J1191" s="83">
        <v>0</v>
      </c>
    </row>
    <row r="1192" spans="1:10">
      <c r="A1192" s="81" t="s">
        <v>10</v>
      </c>
      <c r="B1192" s="81" t="s">
        <v>14</v>
      </c>
      <c r="C1192" s="82">
        <v>0.36805555555555503</v>
      </c>
      <c r="D1192" s="83">
        <v>0</v>
      </c>
      <c r="E1192" s="83">
        <v>0</v>
      </c>
      <c r="F1192" s="83">
        <v>0</v>
      </c>
      <c r="G1192" s="83">
        <v>0</v>
      </c>
      <c r="H1192" s="83">
        <v>0</v>
      </c>
      <c r="I1192" s="83">
        <v>0</v>
      </c>
      <c r="J1192" s="83">
        <v>0</v>
      </c>
    </row>
    <row r="1193" spans="1:10">
      <c r="A1193" s="81" t="s">
        <v>10</v>
      </c>
      <c r="B1193" s="81" t="s">
        <v>14</v>
      </c>
      <c r="C1193" s="82">
        <v>0.36875000000000002</v>
      </c>
      <c r="D1193" s="83">
        <v>0</v>
      </c>
      <c r="E1193" s="83">
        <v>0</v>
      </c>
      <c r="F1193" s="83">
        <v>0</v>
      </c>
      <c r="G1193" s="83">
        <v>0</v>
      </c>
      <c r="H1193" s="83">
        <v>0</v>
      </c>
      <c r="I1193" s="83">
        <v>0</v>
      </c>
      <c r="J1193" s="83">
        <v>0</v>
      </c>
    </row>
    <row r="1194" spans="1:10">
      <c r="A1194" s="81" t="s">
        <v>10</v>
      </c>
      <c r="B1194" s="81" t="s">
        <v>14</v>
      </c>
      <c r="C1194" s="82">
        <v>0.36944444444444402</v>
      </c>
      <c r="D1194" s="83">
        <v>0</v>
      </c>
      <c r="E1194" s="83">
        <v>0</v>
      </c>
      <c r="F1194" s="83">
        <v>0</v>
      </c>
      <c r="G1194" s="83">
        <v>0</v>
      </c>
      <c r="H1194" s="83">
        <v>0</v>
      </c>
      <c r="I1194" s="83">
        <v>0</v>
      </c>
      <c r="J1194" s="83">
        <v>0</v>
      </c>
    </row>
    <row r="1195" spans="1:10">
      <c r="A1195" s="81" t="s">
        <v>10</v>
      </c>
      <c r="B1195" s="81" t="s">
        <v>14</v>
      </c>
      <c r="C1195" s="82">
        <v>0.37013888888888902</v>
      </c>
      <c r="D1195" s="83">
        <v>0</v>
      </c>
      <c r="E1195" s="83">
        <v>0</v>
      </c>
      <c r="F1195" s="83">
        <v>0</v>
      </c>
      <c r="G1195" s="83">
        <v>0</v>
      </c>
      <c r="H1195" s="83">
        <v>0</v>
      </c>
      <c r="I1195" s="83">
        <v>0</v>
      </c>
      <c r="J1195" s="83">
        <v>0</v>
      </c>
    </row>
    <row r="1196" spans="1:10">
      <c r="A1196" s="81" t="s">
        <v>10</v>
      </c>
      <c r="B1196" s="81" t="s">
        <v>14</v>
      </c>
      <c r="C1196" s="82">
        <v>0.37083333333333302</v>
      </c>
      <c r="D1196" s="83">
        <v>0</v>
      </c>
      <c r="E1196" s="83">
        <v>0</v>
      </c>
      <c r="F1196" s="83">
        <v>0</v>
      </c>
      <c r="G1196" s="83">
        <v>0</v>
      </c>
      <c r="H1196" s="83">
        <v>0</v>
      </c>
      <c r="I1196" s="83">
        <v>0</v>
      </c>
      <c r="J1196" s="83">
        <v>0</v>
      </c>
    </row>
    <row r="1197" spans="1:10">
      <c r="A1197" s="81" t="s">
        <v>10</v>
      </c>
      <c r="B1197" s="81" t="s">
        <v>14</v>
      </c>
      <c r="C1197" s="82">
        <v>0.37152777777777701</v>
      </c>
      <c r="D1197" s="83">
        <v>0</v>
      </c>
      <c r="E1197" s="83">
        <v>0</v>
      </c>
      <c r="F1197" s="83">
        <v>0</v>
      </c>
      <c r="G1197" s="83">
        <v>0</v>
      </c>
      <c r="H1197" s="83">
        <v>0</v>
      </c>
      <c r="I1197" s="83">
        <v>0</v>
      </c>
      <c r="J1197" s="83">
        <v>0</v>
      </c>
    </row>
    <row r="1198" spans="1:10">
      <c r="A1198" s="81" t="s">
        <v>10</v>
      </c>
      <c r="B1198" s="81" t="s">
        <v>14</v>
      </c>
      <c r="C1198" s="82">
        <v>0.37222222222222201</v>
      </c>
      <c r="D1198" s="83">
        <v>0</v>
      </c>
      <c r="E1198" s="83">
        <v>0</v>
      </c>
      <c r="F1198" s="83">
        <v>0</v>
      </c>
      <c r="G1198" s="83">
        <v>0</v>
      </c>
      <c r="H1198" s="83">
        <v>0</v>
      </c>
      <c r="I1198" s="83">
        <v>0</v>
      </c>
      <c r="J1198" s="83">
        <v>0</v>
      </c>
    </row>
    <row r="1199" spans="1:10">
      <c r="A1199" s="81" t="s">
        <v>10</v>
      </c>
      <c r="B1199" s="81" t="s">
        <v>14</v>
      </c>
      <c r="C1199" s="82">
        <v>0.37291666666666601</v>
      </c>
      <c r="D1199" s="83">
        <v>0</v>
      </c>
      <c r="E1199" s="83">
        <v>0</v>
      </c>
      <c r="F1199" s="83">
        <v>0</v>
      </c>
      <c r="G1199" s="83">
        <v>0</v>
      </c>
      <c r="H1199" s="83">
        <v>0</v>
      </c>
      <c r="I1199" s="83">
        <v>0</v>
      </c>
      <c r="J1199" s="83">
        <v>0</v>
      </c>
    </row>
    <row r="1200" spans="1:10">
      <c r="A1200" s="81" t="s">
        <v>10</v>
      </c>
      <c r="B1200" s="81" t="s">
        <v>14</v>
      </c>
      <c r="C1200" s="82">
        <v>0.37361111111111101</v>
      </c>
      <c r="D1200" s="83">
        <v>0</v>
      </c>
      <c r="E1200" s="83">
        <v>0</v>
      </c>
      <c r="F1200" s="83">
        <v>0</v>
      </c>
      <c r="G1200" s="83">
        <v>0</v>
      </c>
      <c r="H1200" s="83">
        <v>0</v>
      </c>
      <c r="I1200" s="83">
        <v>0</v>
      </c>
      <c r="J1200" s="83">
        <v>0</v>
      </c>
    </row>
    <row r="1201" spans="1:10" s="28" customFormat="1" ht="17.5" thickBot="1">
      <c r="A1201" s="100" t="s">
        <v>10</v>
      </c>
      <c r="B1201" s="100" t="s">
        <v>14</v>
      </c>
      <c r="C1201" s="101">
        <v>0.374305555555555</v>
      </c>
      <c r="D1201" s="102">
        <v>0</v>
      </c>
      <c r="E1201" s="102">
        <v>0</v>
      </c>
      <c r="F1201" s="102">
        <v>0</v>
      </c>
      <c r="G1201" s="102">
        <v>0</v>
      </c>
      <c r="H1201" s="102">
        <v>0</v>
      </c>
      <c r="I1201" s="102">
        <v>0</v>
      </c>
      <c r="J1201" s="102">
        <v>0</v>
      </c>
    </row>
    <row r="1202" spans="1:10">
      <c r="A1202" s="81" t="s">
        <v>10</v>
      </c>
      <c r="B1202" s="81" t="s">
        <v>124</v>
      </c>
      <c r="C1202" s="82">
        <v>0.29166666666666669</v>
      </c>
      <c r="D1202" s="83">
        <v>0</v>
      </c>
      <c r="E1202" s="83">
        <v>0</v>
      </c>
      <c r="F1202" s="83">
        <v>0</v>
      </c>
      <c r="G1202" s="83">
        <v>0</v>
      </c>
      <c r="H1202" s="83">
        <v>0</v>
      </c>
      <c r="I1202" s="83">
        <v>0</v>
      </c>
      <c r="J1202" s="83">
        <v>0</v>
      </c>
    </row>
    <row r="1203" spans="1:10">
      <c r="A1203" s="81" t="s">
        <v>10</v>
      </c>
      <c r="B1203" s="81" t="s">
        <v>124</v>
      </c>
      <c r="C1203" s="82">
        <v>0.29236111111111113</v>
      </c>
      <c r="D1203" s="83">
        <v>0</v>
      </c>
      <c r="E1203" s="83">
        <v>0</v>
      </c>
      <c r="F1203" s="83">
        <v>0</v>
      </c>
      <c r="G1203" s="83">
        <v>0</v>
      </c>
      <c r="H1203" s="83">
        <v>0</v>
      </c>
      <c r="I1203" s="83">
        <v>0</v>
      </c>
      <c r="J1203" s="83">
        <v>0</v>
      </c>
    </row>
    <row r="1204" spans="1:10">
      <c r="A1204" s="81" t="s">
        <v>10</v>
      </c>
      <c r="B1204" s="81" t="s">
        <v>124</v>
      </c>
      <c r="C1204" s="82">
        <v>0.29305555555555601</v>
      </c>
      <c r="D1204" s="83">
        <v>0</v>
      </c>
      <c r="E1204" s="83">
        <v>0</v>
      </c>
      <c r="F1204" s="83">
        <v>0</v>
      </c>
      <c r="G1204" s="83">
        <v>0</v>
      </c>
      <c r="H1204" s="83">
        <v>0</v>
      </c>
      <c r="I1204" s="83">
        <v>0</v>
      </c>
      <c r="J1204" s="83">
        <v>0</v>
      </c>
    </row>
    <row r="1205" spans="1:10">
      <c r="A1205" s="81" t="s">
        <v>10</v>
      </c>
      <c r="B1205" s="81" t="s">
        <v>124</v>
      </c>
      <c r="C1205" s="82">
        <v>0.29375000000000001</v>
      </c>
      <c r="D1205" s="83">
        <v>0</v>
      </c>
      <c r="E1205" s="83">
        <v>0</v>
      </c>
      <c r="F1205" s="83">
        <v>0</v>
      </c>
      <c r="G1205" s="83">
        <v>0</v>
      </c>
      <c r="H1205" s="83">
        <v>0</v>
      </c>
      <c r="I1205" s="83">
        <v>0</v>
      </c>
      <c r="J1205" s="83">
        <v>0</v>
      </c>
    </row>
    <row r="1206" spans="1:10">
      <c r="A1206" s="81" t="s">
        <v>10</v>
      </c>
      <c r="B1206" s="81" t="s">
        <v>124</v>
      </c>
      <c r="C1206" s="82">
        <v>0.29444444444444401</v>
      </c>
      <c r="D1206" s="83">
        <v>0</v>
      </c>
      <c r="E1206" s="83">
        <v>0</v>
      </c>
      <c r="F1206" s="83">
        <v>0</v>
      </c>
      <c r="G1206" s="83">
        <v>0</v>
      </c>
      <c r="H1206" s="83">
        <v>0</v>
      </c>
      <c r="I1206" s="83">
        <v>0</v>
      </c>
      <c r="J1206" s="83">
        <v>0</v>
      </c>
    </row>
    <row r="1207" spans="1:10">
      <c r="A1207" s="81" t="s">
        <v>10</v>
      </c>
      <c r="B1207" s="81" t="s">
        <v>124</v>
      </c>
      <c r="C1207" s="82">
        <v>0.29513888888888901</v>
      </c>
      <c r="D1207" s="83">
        <v>0</v>
      </c>
      <c r="E1207" s="83">
        <v>0</v>
      </c>
      <c r="F1207" s="83">
        <v>0</v>
      </c>
      <c r="G1207" s="83">
        <v>0</v>
      </c>
      <c r="H1207" s="83">
        <v>0</v>
      </c>
      <c r="I1207" s="83">
        <v>0</v>
      </c>
      <c r="J1207" s="83">
        <v>0</v>
      </c>
    </row>
    <row r="1208" spans="1:10">
      <c r="A1208" s="81" t="s">
        <v>10</v>
      </c>
      <c r="B1208" s="81" t="s">
        <v>124</v>
      </c>
      <c r="C1208" s="82">
        <v>0.295833333333333</v>
      </c>
      <c r="D1208" s="83">
        <v>0</v>
      </c>
      <c r="E1208" s="83">
        <v>0</v>
      </c>
      <c r="F1208" s="83">
        <v>0</v>
      </c>
      <c r="G1208" s="83">
        <v>0</v>
      </c>
      <c r="H1208" s="83">
        <v>0</v>
      </c>
      <c r="I1208" s="83">
        <v>0</v>
      </c>
      <c r="J1208" s="83">
        <v>0</v>
      </c>
    </row>
    <row r="1209" spans="1:10">
      <c r="A1209" s="81" t="s">
        <v>10</v>
      </c>
      <c r="B1209" s="81" t="s">
        <v>124</v>
      </c>
      <c r="C1209" s="82">
        <v>0.296527777777778</v>
      </c>
      <c r="D1209" s="83">
        <v>0</v>
      </c>
      <c r="E1209" s="83">
        <v>0</v>
      </c>
      <c r="F1209" s="83">
        <v>0</v>
      </c>
      <c r="G1209" s="83">
        <v>0</v>
      </c>
      <c r="H1209" s="83">
        <v>0</v>
      </c>
      <c r="I1209" s="83">
        <v>0</v>
      </c>
      <c r="J1209" s="83">
        <v>0</v>
      </c>
    </row>
    <row r="1210" spans="1:10">
      <c r="A1210" s="81" t="s">
        <v>10</v>
      </c>
      <c r="B1210" s="81" t="s">
        <v>124</v>
      </c>
      <c r="C1210" s="82">
        <v>0.297222222222222</v>
      </c>
      <c r="D1210" s="83">
        <v>0</v>
      </c>
      <c r="E1210" s="83">
        <v>0</v>
      </c>
      <c r="F1210" s="83">
        <v>0</v>
      </c>
      <c r="G1210" s="83">
        <v>0</v>
      </c>
      <c r="H1210" s="83">
        <v>0</v>
      </c>
      <c r="I1210" s="83">
        <v>0</v>
      </c>
      <c r="J1210" s="83">
        <v>0</v>
      </c>
    </row>
    <row r="1211" spans="1:10">
      <c r="A1211" s="81" t="s">
        <v>10</v>
      </c>
      <c r="B1211" s="81" t="s">
        <v>124</v>
      </c>
      <c r="C1211" s="82">
        <v>0.297916666666667</v>
      </c>
      <c r="D1211" s="83">
        <v>0</v>
      </c>
      <c r="E1211" s="83">
        <v>0</v>
      </c>
      <c r="F1211" s="83">
        <v>0</v>
      </c>
      <c r="G1211" s="83">
        <v>0</v>
      </c>
      <c r="H1211" s="83">
        <v>0</v>
      </c>
      <c r="I1211" s="83">
        <v>0</v>
      </c>
      <c r="J1211" s="83">
        <v>0</v>
      </c>
    </row>
    <row r="1212" spans="1:10">
      <c r="A1212" s="81" t="s">
        <v>10</v>
      </c>
      <c r="B1212" s="81" t="s">
        <v>124</v>
      </c>
      <c r="C1212" s="82">
        <v>0.29861111111111099</v>
      </c>
      <c r="D1212" s="83">
        <v>0</v>
      </c>
      <c r="E1212" s="83">
        <v>0</v>
      </c>
      <c r="F1212" s="83">
        <v>0</v>
      </c>
      <c r="G1212" s="83">
        <v>0</v>
      </c>
      <c r="H1212" s="83">
        <v>0</v>
      </c>
      <c r="I1212" s="83">
        <v>0</v>
      </c>
      <c r="J1212" s="83">
        <v>0</v>
      </c>
    </row>
    <row r="1213" spans="1:10">
      <c r="A1213" s="81" t="s">
        <v>10</v>
      </c>
      <c r="B1213" s="81" t="s">
        <v>124</v>
      </c>
      <c r="C1213" s="82">
        <v>0.29930555555555599</v>
      </c>
      <c r="D1213" s="83">
        <v>0</v>
      </c>
      <c r="E1213" s="83">
        <v>0</v>
      </c>
      <c r="F1213" s="83">
        <v>0</v>
      </c>
      <c r="G1213" s="83">
        <v>0</v>
      </c>
      <c r="H1213" s="83">
        <v>0</v>
      </c>
      <c r="I1213" s="83">
        <v>0</v>
      </c>
      <c r="J1213" s="83">
        <v>0</v>
      </c>
    </row>
    <row r="1214" spans="1:10">
      <c r="A1214" s="81" t="s">
        <v>10</v>
      </c>
      <c r="B1214" s="81" t="s">
        <v>124</v>
      </c>
      <c r="C1214" s="82">
        <v>0.3</v>
      </c>
      <c r="D1214" s="83">
        <v>0</v>
      </c>
      <c r="E1214" s="83">
        <v>0</v>
      </c>
      <c r="F1214" s="83">
        <v>0</v>
      </c>
      <c r="G1214" s="83">
        <v>0</v>
      </c>
      <c r="H1214" s="83">
        <v>0</v>
      </c>
      <c r="I1214" s="83">
        <v>0</v>
      </c>
      <c r="J1214" s="83">
        <v>0</v>
      </c>
    </row>
    <row r="1215" spans="1:10">
      <c r="A1215" s="81" t="s">
        <v>10</v>
      </c>
      <c r="B1215" s="81" t="s">
        <v>124</v>
      </c>
      <c r="C1215" s="82">
        <v>0.30069444444444399</v>
      </c>
      <c r="D1215" s="83">
        <v>0</v>
      </c>
      <c r="E1215" s="83">
        <v>0</v>
      </c>
      <c r="F1215" s="83">
        <v>0</v>
      </c>
      <c r="G1215" s="83">
        <v>0</v>
      </c>
      <c r="H1215" s="83">
        <v>0</v>
      </c>
      <c r="I1215" s="83">
        <v>0</v>
      </c>
      <c r="J1215" s="83">
        <v>0</v>
      </c>
    </row>
    <row r="1216" spans="1:10" s="80" customFormat="1">
      <c r="A1216" s="84" t="s">
        <v>10</v>
      </c>
      <c r="B1216" s="84" t="s">
        <v>124</v>
      </c>
      <c r="C1216" s="85">
        <v>0.30138888888888898</v>
      </c>
      <c r="D1216" s="86">
        <v>0</v>
      </c>
      <c r="E1216" s="86">
        <v>0</v>
      </c>
      <c r="F1216" s="86">
        <v>0</v>
      </c>
      <c r="G1216" s="86">
        <v>0</v>
      </c>
      <c r="H1216" s="86">
        <v>0</v>
      </c>
      <c r="I1216" s="86">
        <v>0</v>
      </c>
      <c r="J1216" s="86">
        <v>0</v>
      </c>
    </row>
    <row r="1217" spans="1:10">
      <c r="A1217" s="81" t="s">
        <v>10</v>
      </c>
      <c r="B1217" s="81" t="s">
        <v>124</v>
      </c>
      <c r="C1217" s="82">
        <v>0.30208333333333298</v>
      </c>
      <c r="D1217" s="87">
        <v>0</v>
      </c>
      <c r="E1217" s="87">
        <v>0</v>
      </c>
      <c r="F1217" s="87">
        <v>0</v>
      </c>
      <c r="G1217" s="87">
        <v>0</v>
      </c>
      <c r="H1217" s="87">
        <v>0</v>
      </c>
      <c r="I1217" s="87">
        <v>0</v>
      </c>
      <c r="J1217" s="87">
        <v>0</v>
      </c>
    </row>
    <row r="1218" spans="1:10">
      <c r="A1218" s="81" t="s">
        <v>10</v>
      </c>
      <c r="B1218" s="81" t="s">
        <v>124</v>
      </c>
      <c r="C1218" s="82">
        <v>0.30277777777777798</v>
      </c>
      <c r="D1218" s="83">
        <v>0</v>
      </c>
      <c r="E1218" s="83">
        <v>0</v>
      </c>
      <c r="F1218" s="83">
        <v>0</v>
      </c>
      <c r="G1218" s="83">
        <v>0</v>
      </c>
      <c r="H1218" s="83">
        <v>0</v>
      </c>
      <c r="I1218" s="83">
        <v>0</v>
      </c>
      <c r="J1218" s="83">
        <v>0</v>
      </c>
    </row>
    <row r="1219" spans="1:10">
      <c r="A1219" s="81" t="s">
        <v>10</v>
      </c>
      <c r="B1219" s="81" t="s">
        <v>124</v>
      </c>
      <c r="C1219" s="82">
        <v>0.30347222222222198</v>
      </c>
      <c r="D1219" s="83">
        <v>0</v>
      </c>
      <c r="E1219" s="83">
        <v>0</v>
      </c>
      <c r="F1219" s="83">
        <v>0</v>
      </c>
      <c r="G1219" s="83">
        <v>0</v>
      </c>
      <c r="H1219" s="83">
        <v>0</v>
      </c>
      <c r="I1219" s="83">
        <v>0</v>
      </c>
      <c r="J1219" s="83">
        <v>0</v>
      </c>
    </row>
    <row r="1220" spans="1:10">
      <c r="A1220" s="81" t="s">
        <v>10</v>
      </c>
      <c r="B1220" s="81" t="s">
        <v>124</v>
      </c>
      <c r="C1220" s="82">
        <v>0.30416666666666697</v>
      </c>
      <c r="D1220" s="83">
        <v>0</v>
      </c>
      <c r="E1220" s="83">
        <v>0</v>
      </c>
      <c r="F1220" s="83">
        <v>0</v>
      </c>
      <c r="G1220" s="83">
        <v>0</v>
      </c>
      <c r="H1220" s="83">
        <v>0</v>
      </c>
      <c r="I1220" s="83">
        <v>0</v>
      </c>
      <c r="J1220" s="83">
        <v>0</v>
      </c>
    </row>
    <row r="1221" spans="1:10">
      <c r="A1221" s="81" t="s">
        <v>10</v>
      </c>
      <c r="B1221" s="81" t="s">
        <v>124</v>
      </c>
      <c r="C1221" s="82">
        <v>0.30486111111111103</v>
      </c>
      <c r="D1221" s="83">
        <v>0</v>
      </c>
      <c r="E1221" s="83">
        <v>0</v>
      </c>
      <c r="F1221" s="83">
        <v>0</v>
      </c>
      <c r="G1221" s="83">
        <v>0</v>
      </c>
      <c r="H1221" s="83">
        <v>0</v>
      </c>
      <c r="I1221" s="83">
        <v>0</v>
      </c>
      <c r="J1221" s="83">
        <v>0</v>
      </c>
    </row>
    <row r="1222" spans="1:10">
      <c r="A1222" s="81" t="s">
        <v>10</v>
      </c>
      <c r="B1222" s="81" t="s">
        <v>124</v>
      </c>
      <c r="C1222" s="82">
        <v>0.30555555555555503</v>
      </c>
      <c r="D1222" s="83">
        <v>0</v>
      </c>
      <c r="E1222" s="83">
        <v>0</v>
      </c>
      <c r="F1222" s="83">
        <v>0</v>
      </c>
      <c r="G1222" s="83">
        <v>0</v>
      </c>
      <c r="H1222" s="83">
        <v>0</v>
      </c>
      <c r="I1222" s="83">
        <v>0</v>
      </c>
      <c r="J1222" s="83">
        <v>0</v>
      </c>
    </row>
    <row r="1223" spans="1:10">
      <c r="A1223" s="81" t="s">
        <v>10</v>
      </c>
      <c r="B1223" s="81" t="s">
        <v>124</v>
      </c>
      <c r="C1223" s="82">
        <v>0.30625000000000002</v>
      </c>
      <c r="D1223" s="83">
        <v>0</v>
      </c>
      <c r="E1223" s="83">
        <v>0</v>
      </c>
      <c r="F1223" s="83">
        <v>0</v>
      </c>
      <c r="G1223" s="83">
        <v>0</v>
      </c>
      <c r="H1223" s="83">
        <v>0</v>
      </c>
      <c r="I1223" s="83">
        <v>0</v>
      </c>
      <c r="J1223" s="83">
        <v>0</v>
      </c>
    </row>
    <row r="1224" spans="1:10">
      <c r="A1224" s="81" t="s">
        <v>10</v>
      </c>
      <c r="B1224" s="81" t="s">
        <v>124</v>
      </c>
      <c r="C1224" s="82">
        <v>0.30694444444444402</v>
      </c>
      <c r="D1224" s="83">
        <v>0</v>
      </c>
      <c r="E1224" s="83">
        <v>0</v>
      </c>
      <c r="F1224" s="83">
        <v>0</v>
      </c>
      <c r="G1224" s="83">
        <v>0</v>
      </c>
      <c r="H1224" s="83">
        <v>0</v>
      </c>
      <c r="I1224" s="83">
        <v>0</v>
      </c>
      <c r="J1224" s="83">
        <v>0</v>
      </c>
    </row>
    <row r="1225" spans="1:10">
      <c r="A1225" s="81" t="s">
        <v>10</v>
      </c>
      <c r="B1225" s="81" t="s">
        <v>124</v>
      </c>
      <c r="C1225" s="82">
        <v>0.30763888888888902</v>
      </c>
      <c r="D1225" s="83">
        <v>0</v>
      </c>
      <c r="E1225" s="83">
        <v>0</v>
      </c>
      <c r="F1225" s="83">
        <v>0</v>
      </c>
      <c r="G1225" s="83">
        <v>0</v>
      </c>
      <c r="H1225" s="83">
        <v>0</v>
      </c>
      <c r="I1225" s="83">
        <v>0</v>
      </c>
      <c r="J1225" s="83">
        <v>0</v>
      </c>
    </row>
    <row r="1226" spans="1:10">
      <c r="A1226" s="81" t="s">
        <v>10</v>
      </c>
      <c r="B1226" s="81" t="s">
        <v>124</v>
      </c>
      <c r="C1226" s="82">
        <v>0.30833333333333302</v>
      </c>
      <c r="D1226" s="83">
        <v>0</v>
      </c>
      <c r="E1226" s="83">
        <v>0</v>
      </c>
      <c r="F1226" s="83">
        <v>0</v>
      </c>
      <c r="G1226" s="83">
        <v>0</v>
      </c>
      <c r="H1226" s="83">
        <v>0</v>
      </c>
      <c r="I1226" s="83">
        <v>0</v>
      </c>
      <c r="J1226" s="83">
        <v>0</v>
      </c>
    </row>
    <row r="1227" spans="1:10">
      <c r="A1227" s="81" t="s">
        <v>10</v>
      </c>
      <c r="B1227" s="81" t="s">
        <v>124</v>
      </c>
      <c r="C1227" s="82">
        <v>0.30902777777777801</v>
      </c>
      <c r="D1227" s="83">
        <v>0</v>
      </c>
      <c r="E1227" s="83">
        <v>0</v>
      </c>
      <c r="F1227" s="83">
        <v>0</v>
      </c>
      <c r="G1227" s="83">
        <v>0</v>
      </c>
      <c r="H1227" s="83">
        <v>0</v>
      </c>
      <c r="I1227" s="83">
        <v>0</v>
      </c>
      <c r="J1227" s="83">
        <v>0</v>
      </c>
    </row>
    <row r="1228" spans="1:10">
      <c r="A1228" s="81" t="s">
        <v>10</v>
      </c>
      <c r="B1228" s="81" t="s">
        <v>124</v>
      </c>
      <c r="C1228" s="82">
        <v>0.30972222222222201</v>
      </c>
      <c r="D1228" s="83">
        <v>0</v>
      </c>
      <c r="E1228" s="83">
        <v>0</v>
      </c>
      <c r="F1228" s="83">
        <v>0</v>
      </c>
      <c r="G1228" s="83">
        <v>0</v>
      </c>
      <c r="H1228" s="83">
        <v>0</v>
      </c>
      <c r="I1228" s="83">
        <v>0</v>
      </c>
      <c r="J1228" s="83">
        <v>0</v>
      </c>
    </row>
    <row r="1229" spans="1:10">
      <c r="A1229" s="81" t="s">
        <v>10</v>
      </c>
      <c r="B1229" s="81" t="s">
        <v>124</v>
      </c>
      <c r="C1229" s="82">
        <v>0.31041666666666701</v>
      </c>
      <c r="D1229" s="83">
        <v>0</v>
      </c>
      <c r="E1229" s="83">
        <v>0</v>
      </c>
      <c r="F1229" s="83">
        <v>0</v>
      </c>
      <c r="G1229" s="83">
        <v>0</v>
      </c>
      <c r="H1229" s="83">
        <v>0</v>
      </c>
      <c r="I1229" s="83">
        <v>0</v>
      </c>
      <c r="J1229" s="83">
        <v>0</v>
      </c>
    </row>
    <row r="1230" spans="1:10">
      <c r="A1230" s="81" t="s">
        <v>10</v>
      </c>
      <c r="B1230" s="81" t="s">
        <v>124</v>
      </c>
      <c r="C1230" s="82">
        <v>0.31111111111111101</v>
      </c>
      <c r="D1230" s="83">
        <v>0</v>
      </c>
      <c r="E1230" s="83">
        <v>0</v>
      </c>
      <c r="F1230" s="83">
        <v>0</v>
      </c>
      <c r="G1230" s="83">
        <v>0</v>
      </c>
      <c r="H1230" s="83">
        <v>0</v>
      </c>
      <c r="I1230" s="83">
        <v>0</v>
      </c>
      <c r="J1230" s="83">
        <v>0</v>
      </c>
    </row>
    <row r="1231" spans="1:10" s="80" customFormat="1">
      <c r="A1231" s="84" t="s">
        <v>10</v>
      </c>
      <c r="B1231" s="84" t="s">
        <v>124</v>
      </c>
      <c r="C1231" s="85">
        <v>0.311805555555556</v>
      </c>
      <c r="D1231" s="86">
        <v>0</v>
      </c>
      <c r="E1231" s="86">
        <v>0</v>
      </c>
      <c r="F1231" s="86">
        <v>0</v>
      </c>
      <c r="G1231" s="86">
        <v>0</v>
      </c>
      <c r="H1231" s="86">
        <v>0</v>
      </c>
      <c r="I1231" s="86">
        <v>0</v>
      </c>
      <c r="J1231" s="86">
        <v>0</v>
      </c>
    </row>
    <row r="1232" spans="1:10">
      <c r="A1232" s="81" t="s">
        <v>10</v>
      </c>
      <c r="B1232" s="81" t="s">
        <v>124</v>
      </c>
      <c r="C1232" s="82">
        <v>0.3125</v>
      </c>
      <c r="D1232" s="87">
        <v>0</v>
      </c>
      <c r="E1232" s="87">
        <v>0</v>
      </c>
      <c r="F1232" s="87">
        <v>0</v>
      </c>
      <c r="G1232" s="87">
        <v>0</v>
      </c>
      <c r="H1232" s="87">
        <v>0</v>
      </c>
      <c r="I1232" s="87">
        <v>0</v>
      </c>
      <c r="J1232" s="87">
        <v>0</v>
      </c>
    </row>
    <row r="1233" spans="1:10">
      <c r="A1233" s="81" t="s">
        <v>10</v>
      </c>
      <c r="B1233" s="81" t="s">
        <v>124</v>
      </c>
      <c r="C1233" s="82">
        <v>0.313194444444444</v>
      </c>
      <c r="D1233" s="83">
        <v>0</v>
      </c>
      <c r="E1233" s="83">
        <v>0</v>
      </c>
      <c r="F1233" s="83">
        <v>0</v>
      </c>
      <c r="G1233" s="83">
        <v>0</v>
      </c>
      <c r="H1233" s="83">
        <v>0</v>
      </c>
      <c r="I1233" s="83">
        <v>0</v>
      </c>
      <c r="J1233" s="83">
        <v>0</v>
      </c>
    </row>
    <row r="1234" spans="1:10">
      <c r="A1234" s="81" t="s">
        <v>10</v>
      </c>
      <c r="B1234" s="81" t="s">
        <v>124</v>
      </c>
      <c r="C1234" s="82">
        <v>0.31388888888888899</v>
      </c>
      <c r="D1234" s="83">
        <v>0</v>
      </c>
      <c r="E1234" s="83">
        <v>0</v>
      </c>
      <c r="F1234" s="83">
        <v>0</v>
      </c>
      <c r="G1234" s="83">
        <v>0</v>
      </c>
      <c r="H1234" s="83">
        <v>0</v>
      </c>
      <c r="I1234" s="83">
        <v>0</v>
      </c>
      <c r="J1234" s="83">
        <v>0</v>
      </c>
    </row>
    <row r="1235" spans="1:10">
      <c r="A1235" s="81" t="s">
        <v>10</v>
      </c>
      <c r="B1235" s="81" t="s">
        <v>124</v>
      </c>
      <c r="C1235" s="82">
        <v>0.31458333333333299</v>
      </c>
      <c r="D1235" s="83">
        <v>0</v>
      </c>
      <c r="E1235" s="83">
        <v>0</v>
      </c>
      <c r="F1235" s="83">
        <v>0</v>
      </c>
      <c r="G1235" s="83">
        <v>0</v>
      </c>
      <c r="H1235" s="83">
        <v>0</v>
      </c>
      <c r="I1235" s="83">
        <v>0</v>
      </c>
      <c r="J1235" s="83">
        <v>0</v>
      </c>
    </row>
    <row r="1236" spans="1:10">
      <c r="A1236" s="81" t="s">
        <v>10</v>
      </c>
      <c r="B1236" s="81" t="s">
        <v>124</v>
      </c>
      <c r="C1236" s="82">
        <v>0.31527777777777799</v>
      </c>
      <c r="D1236" s="83">
        <v>0</v>
      </c>
      <c r="E1236" s="83">
        <v>0</v>
      </c>
      <c r="F1236" s="83">
        <v>0</v>
      </c>
      <c r="G1236" s="83">
        <v>0</v>
      </c>
      <c r="H1236" s="83">
        <v>0</v>
      </c>
      <c r="I1236" s="83">
        <v>0</v>
      </c>
      <c r="J1236" s="83">
        <v>0</v>
      </c>
    </row>
    <row r="1237" spans="1:10">
      <c r="A1237" s="81" t="s">
        <v>10</v>
      </c>
      <c r="B1237" s="81" t="s">
        <v>124</v>
      </c>
      <c r="C1237" s="82">
        <v>0.31597222222222199</v>
      </c>
      <c r="D1237" s="83">
        <v>0</v>
      </c>
      <c r="E1237" s="83">
        <v>0</v>
      </c>
      <c r="F1237" s="83">
        <v>0</v>
      </c>
      <c r="G1237" s="83">
        <v>0</v>
      </c>
      <c r="H1237" s="83">
        <v>0</v>
      </c>
      <c r="I1237" s="83">
        <v>0</v>
      </c>
      <c r="J1237" s="83">
        <v>0</v>
      </c>
    </row>
    <row r="1238" spans="1:10">
      <c r="A1238" s="81" t="s">
        <v>10</v>
      </c>
      <c r="B1238" s="81" t="s">
        <v>124</v>
      </c>
      <c r="C1238" s="82">
        <v>0.31666666666666698</v>
      </c>
      <c r="D1238" s="83">
        <v>0</v>
      </c>
      <c r="E1238" s="83">
        <v>0</v>
      </c>
      <c r="F1238" s="83">
        <v>0</v>
      </c>
      <c r="G1238" s="83">
        <v>0</v>
      </c>
      <c r="H1238" s="83">
        <v>0</v>
      </c>
      <c r="I1238" s="83">
        <v>0</v>
      </c>
      <c r="J1238" s="83">
        <v>0</v>
      </c>
    </row>
    <row r="1239" spans="1:10">
      <c r="A1239" s="81" t="s">
        <v>10</v>
      </c>
      <c r="B1239" s="81" t="s">
        <v>124</v>
      </c>
      <c r="C1239" s="82">
        <v>0.31736111111111098</v>
      </c>
      <c r="D1239" s="83">
        <v>0</v>
      </c>
      <c r="E1239" s="83">
        <v>0</v>
      </c>
      <c r="F1239" s="83">
        <v>0</v>
      </c>
      <c r="G1239" s="83">
        <v>0</v>
      </c>
      <c r="H1239" s="83">
        <v>0</v>
      </c>
      <c r="I1239" s="83">
        <v>0</v>
      </c>
      <c r="J1239" s="83">
        <v>0</v>
      </c>
    </row>
    <row r="1240" spans="1:10">
      <c r="A1240" s="81" t="s">
        <v>10</v>
      </c>
      <c r="B1240" s="81" t="s">
        <v>124</v>
      </c>
      <c r="C1240" s="82">
        <v>0.31805555555555498</v>
      </c>
      <c r="D1240" s="83">
        <v>0</v>
      </c>
      <c r="E1240" s="83">
        <v>0</v>
      </c>
      <c r="F1240" s="83">
        <v>0</v>
      </c>
      <c r="G1240" s="83">
        <v>0</v>
      </c>
      <c r="H1240" s="83">
        <v>0</v>
      </c>
      <c r="I1240" s="83">
        <v>0</v>
      </c>
      <c r="J1240" s="83">
        <v>0</v>
      </c>
    </row>
    <row r="1241" spans="1:10">
      <c r="A1241" s="81" t="s">
        <v>10</v>
      </c>
      <c r="B1241" s="81" t="s">
        <v>124</v>
      </c>
      <c r="C1241" s="82">
        <v>0.31874999999999998</v>
      </c>
      <c r="D1241" s="83">
        <v>0</v>
      </c>
      <c r="E1241" s="83">
        <v>0</v>
      </c>
      <c r="F1241" s="83">
        <v>0</v>
      </c>
      <c r="G1241" s="83">
        <v>0</v>
      </c>
      <c r="H1241" s="83">
        <v>0</v>
      </c>
      <c r="I1241" s="83">
        <v>0</v>
      </c>
      <c r="J1241" s="83">
        <v>0</v>
      </c>
    </row>
    <row r="1242" spans="1:10">
      <c r="A1242" s="81" t="s">
        <v>10</v>
      </c>
      <c r="B1242" s="81" t="s">
        <v>124</v>
      </c>
      <c r="C1242" s="82">
        <v>0.31944444444444398</v>
      </c>
      <c r="D1242" s="83">
        <v>0</v>
      </c>
      <c r="E1242" s="83">
        <v>0</v>
      </c>
      <c r="F1242" s="83">
        <v>0</v>
      </c>
      <c r="G1242" s="83">
        <v>0</v>
      </c>
      <c r="H1242" s="83">
        <v>0</v>
      </c>
      <c r="I1242" s="83">
        <v>0</v>
      </c>
      <c r="J1242" s="83">
        <v>0</v>
      </c>
    </row>
    <row r="1243" spans="1:10">
      <c r="A1243" s="81" t="s">
        <v>10</v>
      </c>
      <c r="B1243" s="81" t="s">
        <v>124</v>
      </c>
      <c r="C1243" s="82">
        <v>0.32013888888888897</v>
      </c>
      <c r="D1243" s="83">
        <v>0</v>
      </c>
      <c r="E1243" s="83">
        <v>0</v>
      </c>
      <c r="F1243" s="83">
        <v>0</v>
      </c>
      <c r="G1243" s="83">
        <v>0</v>
      </c>
      <c r="H1243" s="83">
        <v>0</v>
      </c>
      <c r="I1243" s="83">
        <v>0</v>
      </c>
      <c r="J1243" s="83">
        <v>0</v>
      </c>
    </row>
    <row r="1244" spans="1:10">
      <c r="A1244" s="81" t="s">
        <v>10</v>
      </c>
      <c r="B1244" s="81" t="s">
        <v>124</v>
      </c>
      <c r="C1244" s="82">
        <v>0.32083333333333303</v>
      </c>
      <c r="D1244" s="83">
        <v>0</v>
      </c>
      <c r="E1244" s="83">
        <v>0</v>
      </c>
      <c r="F1244" s="83">
        <v>0</v>
      </c>
      <c r="G1244" s="83">
        <v>0</v>
      </c>
      <c r="H1244" s="83">
        <v>0</v>
      </c>
      <c r="I1244" s="83">
        <v>0</v>
      </c>
      <c r="J1244" s="83">
        <v>0</v>
      </c>
    </row>
    <row r="1245" spans="1:10">
      <c r="A1245" s="81" t="s">
        <v>10</v>
      </c>
      <c r="B1245" s="81" t="s">
        <v>124</v>
      </c>
      <c r="C1245" s="82">
        <v>0.32152777777777802</v>
      </c>
      <c r="D1245" s="83">
        <v>0</v>
      </c>
      <c r="E1245" s="83">
        <v>0</v>
      </c>
      <c r="F1245" s="83">
        <v>0</v>
      </c>
      <c r="G1245" s="83">
        <v>0</v>
      </c>
      <c r="H1245" s="83">
        <v>0</v>
      </c>
      <c r="I1245" s="83">
        <v>0</v>
      </c>
      <c r="J1245" s="83">
        <v>0</v>
      </c>
    </row>
    <row r="1246" spans="1:10" s="80" customFormat="1">
      <c r="A1246" s="84" t="s">
        <v>10</v>
      </c>
      <c r="B1246" s="84" t="s">
        <v>124</v>
      </c>
      <c r="C1246" s="85">
        <v>0.32222222222222202</v>
      </c>
      <c r="D1246" s="86">
        <v>0</v>
      </c>
      <c r="E1246" s="86">
        <v>0</v>
      </c>
      <c r="F1246" s="86">
        <v>0</v>
      </c>
      <c r="G1246" s="86">
        <v>0</v>
      </c>
      <c r="H1246" s="86">
        <v>0</v>
      </c>
      <c r="I1246" s="86">
        <v>0</v>
      </c>
      <c r="J1246" s="86">
        <v>0</v>
      </c>
    </row>
    <row r="1247" spans="1:10">
      <c r="A1247" s="81" t="s">
        <v>10</v>
      </c>
      <c r="B1247" s="81" t="s">
        <v>124</v>
      </c>
      <c r="C1247" s="82">
        <v>0.32291666666666702</v>
      </c>
      <c r="D1247" s="87">
        <v>0</v>
      </c>
      <c r="E1247" s="87">
        <v>0</v>
      </c>
      <c r="F1247" s="87">
        <v>0</v>
      </c>
      <c r="G1247" s="87">
        <v>0</v>
      </c>
      <c r="H1247" s="87">
        <v>0</v>
      </c>
      <c r="I1247" s="87">
        <v>0</v>
      </c>
      <c r="J1247" s="87">
        <v>0</v>
      </c>
    </row>
    <row r="1248" spans="1:10">
      <c r="A1248" s="81" t="s">
        <v>10</v>
      </c>
      <c r="B1248" s="81" t="s">
        <v>124</v>
      </c>
      <c r="C1248" s="82">
        <v>0.32361111111111102</v>
      </c>
      <c r="D1248" s="83">
        <v>0</v>
      </c>
      <c r="E1248" s="83">
        <v>0</v>
      </c>
      <c r="F1248" s="83">
        <v>0</v>
      </c>
      <c r="G1248" s="83">
        <v>0</v>
      </c>
      <c r="H1248" s="83">
        <v>0</v>
      </c>
      <c r="I1248" s="83">
        <v>0</v>
      </c>
      <c r="J1248" s="83">
        <v>0</v>
      </c>
    </row>
    <row r="1249" spans="1:10">
      <c r="A1249" s="81" t="s">
        <v>10</v>
      </c>
      <c r="B1249" s="81" t="s">
        <v>124</v>
      </c>
      <c r="C1249" s="82">
        <v>0.32430555555555601</v>
      </c>
      <c r="D1249" s="83">
        <v>0</v>
      </c>
      <c r="E1249" s="83">
        <v>0</v>
      </c>
      <c r="F1249" s="83">
        <v>0</v>
      </c>
      <c r="G1249" s="83">
        <v>0</v>
      </c>
      <c r="H1249" s="83">
        <v>0</v>
      </c>
      <c r="I1249" s="83">
        <v>0</v>
      </c>
      <c r="J1249" s="83">
        <v>0</v>
      </c>
    </row>
    <row r="1250" spans="1:10">
      <c r="A1250" s="81" t="s">
        <v>10</v>
      </c>
      <c r="B1250" s="81" t="s">
        <v>124</v>
      </c>
      <c r="C1250" s="82">
        <v>0.32500000000000001</v>
      </c>
      <c r="D1250" s="83">
        <v>0</v>
      </c>
      <c r="E1250" s="83">
        <v>0</v>
      </c>
      <c r="F1250" s="83">
        <v>0</v>
      </c>
      <c r="G1250" s="83">
        <v>0</v>
      </c>
      <c r="H1250" s="83">
        <v>0</v>
      </c>
      <c r="I1250" s="83">
        <v>0</v>
      </c>
      <c r="J1250" s="83">
        <v>0</v>
      </c>
    </row>
    <row r="1251" spans="1:10">
      <c r="A1251" s="81" t="s">
        <v>10</v>
      </c>
      <c r="B1251" s="81" t="s">
        <v>124</v>
      </c>
      <c r="C1251" s="82">
        <v>0.32569444444444401</v>
      </c>
      <c r="D1251" s="83">
        <v>0</v>
      </c>
      <c r="E1251" s="83">
        <v>0</v>
      </c>
      <c r="F1251" s="83">
        <v>0</v>
      </c>
      <c r="G1251" s="83">
        <v>0</v>
      </c>
      <c r="H1251" s="83">
        <v>0</v>
      </c>
      <c r="I1251" s="83">
        <v>0</v>
      </c>
      <c r="J1251" s="83">
        <v>0</v>
      </c>
    </row>
    <row r="1252" spans="1:10">
      <c r="A1252" s="81" t="s">
        <v>10</v>
      </c>
      <c r="B1252" s="81" t="s">
        <v>124</v>
      </c>
      <c r="C1252" s="82">
        <v>0.32638888888888901</v>
      </c>
      <c r="D1252" s="83">
        <v>0</v>
      </c>
      <c r="E1252" s="83">
        <v>0</v>
      </c>
      <c r="F1252" s="83">
        <v>0</v>
      </c>
      <c r="G1252" s="83">
        <v>0</v>
      </c>
      <c r="H1252" s="83">
        <v>0</v>
      </c>
      <c r="I1252" s="83">
        <v>0</v>
      </c>
      <c r="J1252" s="83">
        <v>0</v>
      </c>
    </row>
    <row r="1253" spans="1:10">
      <c r="A1253" s="81" t="s">
        <v>10</v>
      </c>
      <c r="B1253" s="81" t="s">
        <v>124</v>
      </c>
      <c r="C1253" s="82">
        <v>0.327083333333333</v>
      </c>
      <c r="D1253" s="83">
        <v>0</v>
      </c>
      <c r="E1253" s="83">
        <v>0</v>
      </c>
      <c r="F1253" s="83">
        <v>0</v>
      </c>
      <c r="G1253" s="83">
        <v>0</v>
      </c>
      <c r="H1253" s="83">
        <v>0</v>
      </c>
      <c r="I1253" s="83">
        <v>0</v>
      </c>
      <c r="J1253" s="83">
        <v>0</v>
      </c>
    </row>
    <row r="1254" spans="1:10">
      <c r="A1254" s="81" t="s">
        <v>10</v>
      </c>
      <c r="B1254" s="81" t="s">
        <v>124</v>
      </c>
      <c r="C1254" s="82">
        <v>0.327777777777778</v>
      </c>
      <c r="D1254" s="83">
        <v>0</v>
      </c>
      <c r="E1254" s="83">
        <v>0</v>
      </c>
      <c r="F1254" s="83">
        <v>0</v>
      </c>
      <c r="G1254" s="83">
        <v>0</v>
      </c>
      <c r="H1254" s="83">
        <v>0</v>
      </c>
      <c r="I1254" s="83">
        <v>0</v>
      </c>
      <c r="J1254" s="83">
        <v>0</v>
      </c>
    </row>
    <row r="1255" spans="1:10">
      <c r="A1255" s="81" t="s">
        <v>10</v>
      </c>
      <c r="B1255" s="81" t="s">
        <v>124</v>
      </c>
      <c r="C1255" s="82">
        <v>0.328472222222222</v>
      </c>
      <c r="D1255" s="83">
        <v>0</v>
      </c>
      <c r="E1255" s="83">
        <v>0</v>
      </c>
      <c r="F1255" s="83">
        <v>0</v>
      </c>
      <c r="G1255" s="83">
        <v>0</v>
      </c>
      <c r="H1255" s="83">
        <v>0</v>
      </c>
      <c r="I1255" s="83">
        <v>0</v>
      </c>
      <c r="J1255" s="83">
        <v>0</v>
      </c>
    </row>
    <row r="1256" spans="1:10">
      <c r="A1256" s="81" t="s">
        <v>10</v>
      </c>
      <c r="B1256" s="81" t="s">
        <v>124</v>
      </c>
      <c r="C1256" s="82">
        <v>0.329166666666667</v>
      </c>
      <c r="D1256" s="83">
        <v>0</v>
      </c>
      <c r="E1256" s="83">
        <v>0</v>
      </c>
      <c r="F1256" s="83">
        <v>0</v>
      </c>
      <c r="G1256" s="83">
        <v>0</v>
      </c>
      <c r="H1256" s="83">
        <v>0</v>
      </c>
      <c r="I1256" s="83">
        <v>0</v>
      </c>
      <c r="J1256" s="83">
        <v>0</v>
      </c>
    </row>
    <row r="1257" spans="1:10">
      <c r="A1257" s="81" t="s">
        <v>10</v>
      </c>
      <c r="B1257" s="81" t="s">
        <v>124</v>
      </c>
      <c r="C1257" s="82">
        <v>0.32986111111111099</v>
      </c>
      <c r="D1257" s="83">
        <v>0</v>
      </c>
      <c r="E1257" s="83">
        <v>0</v>
      </c>
      <c r="F1257" s="83">
        <v>0</v>
      </c>
      <c r="G1257" s="83">
        <v>0</v>
      </c>
      <c r="H1257" s="83">
        <v>0</v>
      </c>
      <c r="I1257" s="83">
        <v>0</v>
      </c>
      <c r="J1257" s="83">
        <v>0</v>
      </c>
    </row>
    <row r="1258" spans="1:10">
      <c r="A1258" s="81" t="s">
        <v>10</v>
      </c>
      <c r="B1258" s="81" t="s">
        <v>124</v>
      </c>
      <c r="C1258" s="82">
        <v>0.33055555555555499</v>
      </c>
      <c r="D1258" s="83">
        <v>0</v>
      </c>
      <c r="E1258" s="83">
        <v>0</v>
      </c>
      <c r="F1258" s="83">
        <v>0</v>
      </c>
      <c r="G1258" s="83">
        <v>0</v>
      </c>
      <c r="H1258" s="83">
        <v>0</v>
      </c>
      <c r="I1258" s="83">
        <v>0</v>
      </c>
      <c r="J1258" s="83">
        <v>0</v>
      </c>
    </row>
    <row r="1259" spans="1:10">
      <c r="A1259" s="81" t="s">
        <v>10</v>
      </c>
      <c r="B1259" s="81" t="s">
        <v>124</v>
      </c>
      <c r="C1259" s="82">
        <v>0.33124999999999999</v>
      </c>
      <c r="D1259" s="83">
        <v>0</v>
      </c>
      <c r="E1259" s="83">
        <v>0</v>
      </c>
      <c r="F1259" s="83">
        <v>0</v>
      </c>
      <c r="G1259" s="83">
        <v>0</v>
      </c>
      <c r="H1259" s="83">
        <v>0</v>
      </c>
      <c r="I1259" s="83">
        <v>0</v>
      </c>
      <c r="J1259" s="83">
        <v>0</v>
      </c>
    </row>
    <row r="1260" spans="1:10">
      <c r="A1260" s="81" t="s">
        <v>10</v>
      </c>
      <c r="B1260" s="81" t="s">
        <v>124</v>
      </c>
      <c r="C1260" s="82">
        <v>0.33194444444444399</v>
      </c>
      <c r="D1260" s="83">
        <v>0</v>
      </c>
      <c r="E1260" s="83">
        <v>0</v>
      </c>
      <c r="F1260" s="83">
        <v>0</v>
      </c>
      <c r="G1260" s="83">
        <v>0</v>
      </c>
      <c r="H1260" s="83">
        <v>0</v>
      </c>
      <c r="I1260" s="83">
        <v>0</v>
      </c>
      <c r="J1260" s="83">
        <v>0</v>
      </c>
    </row>
    <row r="1261" spans="1:10" s="80" customFormat="1">
      <c r="A1261" s="84" t="s">
        <v>10</v>
      </c>
      <c r="B1261" s="84" t="s">
        <v>124</v>
      </c>
      <c r="C1261" s="85">
        <v>0.33263888888888898</v>
      </c>
      <c r="D1261" s="86">
        <v>0</v>
      </c>
      <c r="E1261" s="86">
        <v>0</v>
      </c>
      <c r="F1261" s="86">
        <v>0</v>
      </c>
      <c r="G1261" s="86">
        <v>0</v>
      </c>
      <c r="H1261" s="86">
        <v>0</v>
      </c>
      <c r="I1261" s="86">
        <v>0</v>
      </c>
      <c r="J1261" s="86">
        <v>0</v>
      </c>
    </row>
    <row r="1262" spans="1:10">
      <c r="A1262" s="81" t="s">
        <v>10</v>
      </c>
      <c r="B1262" s="81" t="s">
        <v>124</v>
      </c>
      <c r="C1262" s="82">
        <v>0.33333333333333298</v>
      </c>
      <c r="D1262" s="87">
        <v>0</v>
      </c>
      <c r="E1262" s="87">
        <v>0</v>
      </c>
      <c r="F1262" s="87">
        <v>0</v>
      </c>
      <c r="G1262" s="87">
        <v>0</v>
      </c>
      <c r="H1262" s="87">
        <v>0</v>
      </c>
      <c r="I1262" s="87">
        <v>0</v>
      </c>
      <c r="J1262" s="87">
        <v>0</v>
      </c>
    </row>
    <row r="1263" spans="1:10">
      <c r="A1263" s="81" t="s">
        <v>10</v>
      </c>
      <c r="B1263" s="81" t="s">
        <v>124</v>
      </c>
      <c r="C1263" s="82">
        <v>0.33402777777777798</v>
      </c>
      <c r="D1263" s="83">
        <v>0</v>
      </c>
      <c r="E1263" s="83">
        <v>0</v>
      </c>
      <c r="F1263" s="83">
        <v>0</v>
      </c>
      <c r="G1263" s="83">
        <v>0</v>
      </c>
      <c r="H1263" s="83">
        <v>0</v>
      </c>
      <c r="I1263" s="83">
        <v>0</v>
      </c>
      <c r="J1263" s="83">
        <v>0</v>
      </c>
    </row>
    <row r="1264" spans="1:10">
      <c r="A1264" s="81" t="s">
        <v>10</v>
      </c>
      <c r="B1264" s="81" t="s">
        <v>124</v>
      </c>
      <c r="C1264" s="82">
        <v>0.33472222222222198</v>
      </c>
      <c r="D1264" s="83">
        <v>0</v>
      </c>
      <c r="E1264" s="83">
        <v>0</v>
      </c>
      <c r="F1264" s="83">
        <v>0</v>
      </c>
      <c r="G1264" s="83">
        <v>0</v>
      </c>
      <c r="H1264" s="83">
        <v>0</v>
      </c>
      <c r="I1264" s="83">
        <v>0</v>
      </c>
      <c r="J1264" s="83">
        <v>0</v>
      </c>
    </row>
    <row r="1265" spans="1:10">
      <c r="A1265" s="81" t="s">
        <v>10</v>
      </c>
      <c r="B1265" s="81" t="s">
        <v>124</v>
      </c>
      <c r="C1265" s="82">
        <v>0.33541666666666597</v>
      </c>
      <c r="D1265" s="83">
        <v>0</v>
      </c>
      <c r="E1265" s="83">
        <v>0</v>
      </c>
      <c r="F1265" s="83">
        <v>0</v>
      </c>
      <c r="G1265" s="83">
        <v>0</v>
      </c>
      <c r="H1265" s="83">
        <v>0</v>
      </c>
      <c r="I1265" s="83">
        <v>0</v>
      </c>
      <c r="J1265" s="83">
        <v>0</v>
      </c>
    </row>
    <row r="1266" spans="1:10">
      <c r="A1266" s="81" t="s">
        <v>10</v>
      </c>
      <c r="B1266" s="81" t="s">
        <v>124</v>
      </c>
      <c r="C1266" s="82">
        <v>0.33611111111111103</v>
      </c>
      <c r="D1266" s="83">
        <v>0</v>
      </c>
      <c r="E1266" s="83">
        <v>0</v>
      </c>
      <c r="F1266" s="83">
        <v>0</v>
      </c>
      <c r="G1266" s="83">
        <v>0</v>
      </c>
      <c r="H1266" s="83">
        <v>0</v>
      </c>
      <c r="I1266" s="83">
        <v>0</v>
      </c>
      <c r="J1266" s="83">
        <v>0</v>
      </c>
    </row>
    <row r="1267" spans="1:10">
      <c r="A1267" s="81" t="s">
        <v>10</v>
      </c>
      <c r="B1267" s="81" t="s">
        <v>124</v>
      </c>
      <c r="C1267" s="82">
        <v>0.33680555555555503</v>
      </c>
      <c r="D1267" s="83">
        <v>0</v>
      </c>
      <c r="E1267" s="83">
        <v>0</v>
      </c>
      <c r="F1267" s="83">
        <v>0</v>
      </c>
      <c r="G1267" s="83">
        <v>0</v>
      </c>
      <c r="H1267" s="83">
        <v>0</v>
      </c>
      <c r="I1267" s="83">
        <v>0</v>
      </c>
      <c r="J1267" s="83">
        <v>0</v>
      </c>
    </row>
    <row r="1268" spans="1:10">
      <c r="A1268" s="81" t="s">
        <v>10</v>
      </c>
      <c r="B1268" s="81" t="s">
        <v>124</v>
      </c>
      <c r="C1268" s="82">
        <v>0.33750000000000002</v>
      </c>
      <c r="D1268" s="83">
        <v>0</v>
      </c>
      <c r="E1268" s="83">
        <v>0</v>
      </c>
      <c r="F1268" s="83">
        <v>0</v>
      </c>
      <c r="G1268" s="83">
        <v>0</v>
      </c>
      <c r="H1268" s="83">
        <v>0</v>
      </c>
      <c r="I1268" s="83">
        <v>0</v>
      </c>
      <c r="J1268" s="83">
        <v>0</v>
      </c>
    </row>
    <row r="1269" spans="1:10">
      <c r="A1269" s="81" t="s">
        <v>10</v>
      </c>
      <c r="B1269" s="81" t="s">
        <v>124</v>
      </c>
      <c r="C1269" s="82">
        <v>0.33819444444444402</v>
      </c>
      <c r="D1269" s="83">
        <v>0</v>
      </c>
      <c r="E1269" s="83">
        <v>0</v>
      </c>
      <c r="F1269" s="83">
        <v>0</v>
      </c>
      <c r="G1269" s="83">
        <v>0</v>
      </c>
      <c r="H1269" s="83">
        <v>0</v>
      </c>
      <c r="I1269" s="83">
        <v>0</v>
      </c>
      <c r="J1269" s="83">
        <v>0</v>
      </c>
    </row>
    <row r="1270" spans="1:10">
      <c r="A1270" s="81" t="s">
        <v>10</v>
      </c>
      <c r="B1270" s="81" t="s">
        <v>124</v>
      </c>
      <c r="C1270" s="82">
        <v>0.33888888888888902</v>
      </c>
      <c r="D1270" s="83">
        <v>0</v>
      </c>
      <c r="E1270" s="83">
        <v>0</v>
      </c>
      <c r="F1270" s="83">
        <v>0</v>
      </c>
      <c r="G1270" s="83">
        <v>0</v>
      </c>
      <c r="H1270" s="83">
        <v>0</v>
      </c>
      <c r="I1270" s="83">
        <v>0</v>
      </c>
      <c r="J1270" s="83">
        <v>0</v>
      </c>
    </row>
    <row r="1271" spans="1:10">
      <c r="A1271" s="81" t="s">
        <v>10</v>
      </c>
      <c r="B1271" s="81" t="s">
        <v>124</v>
      </c>
      <c r="C1271" s="82">
        <v>0.33958333333333302</v>
      </c>
      <c r="D1271" s="83">
        <v>0</v>
      </c>
      <c r="E1271" s="83">
        <v>0</v>
      </c>
      <c r="F1271" s="83">
        <v>0</v>
      </c>
      <c r="G1271" s="83">
        <v>0</v>
      </c>
      <c r="H1271" s="83">
        <v>0</v>
      </c>
      <c r="I1271" s="83">
        <v>0</v>
      </c>
      <c r="J1271" s="83">
        <v>0</v>
      </c>
    </row>
    <row r="1272" spans="1:10">
      <c r="A1272" s="81" t="s">
        <v>10</v>
      </c>
      <c r="B1272" s="81" t="s">
        <v>124</v>
      </c>
      <c r="C1272" s="82">
        <v>0.34027777777777801</v>
      </c>
      <c r="D1272" s="83">
        <v>0</v>
      </c>
      <c r="E1272" s="83">
        <v>0</v>
      </c>
      <c r="F1272" s="83">
        <v>0</v>
      </c>
      <c r="G1272" s="83">
        <v>0</v>
      </c>
      <c r="H1272" s="83">
        <v>0</v>
      </c>
      <c r="I1272" s="83">
        <v>0</v>
      </c>
      <c r="J1272" s="83">
        <v>0</v>
      </c>
    </row>
    <row r="1273" spans="1:10">
      <c r="A1273" s="81" t="s">
        <v>10</v>
      </c>
      <c r="B1273" s="81" t="s">
        <v>124</v>
      </c>
      <c r="C1273" s="82">
        <v>0.34097222222222201</v>
      </c>
      <c r="D1273" s="83">
        <v>0</v>
      </c>
      <c r="E1273" s="83">
        <v>0</v>
      </c>
      <c r="F1273" s="83">
        <v>0</v>
      </c>
      <c r="G1273" s="83">
        <v>0</v>
      </c>
      <c r="H1273" s="83">
        <v>0</v>
      </c>
      <c r="I1273" s="83">
        <v>0</v>
      </c>
      <c r="J1273" s="83">
        <v>0</v>
      </c>
    </row>
    <row r="1274" spans="1:10">
      <c r="A1274" s="81" t="s">
        <v>10</v>
      </c>
      <c r="B1274" s="81" t="s">
        <v>124</v>
      </c>
      <c r="C1274" s="82">
        <v>0.34166666666666701</v>
      </c>
      <c r="D1274" s="83">
        <v>0</v>
      </c>
      <c r="E1274" s="83">
        <v>0</v>
      </c>
      <c r="F1274" s="83">
        <v>0</v>
      </c>
      <c r="G1274" s="83">
        <v>0</v>
      </c>
      <c r="H1274" s="83">
        <v>0</v>
      </c>
      <c r="I1274" s="83">
        <v>0</v>
      </c>
      <c r="J1274" s="83">
        <v>0</v>
      </c>
    </row>
    <row r="1275" spans="1:10">
      <c r="A1275" s="81" t="s">
        <v>10</v>
      </c>
      <c r="B1275" s="81" t="s">
        <v>124</v>
      </c>
      <c r="C1275" s="82">
        <v>0.34236111111111101</v>
      </c>
      <c r="D1275" s="83">
        <v>0</v>
      </c>
      <c r="E1275" s="83">
        <v>0</v>
      </c>
      <c r="F1275" s="83">
        <v>0</v>
      </c>
      <c r="G1275" s="83">
        <v>0</v>
      </c>
      <c r="H1275" s="83">
        <v>0</v>
      </c>
      <c r="I1275" s="83">
        <v>0</v>
      </c>
      <c r="J1275" s="83">
        <v>0</v>
      </c>
    </row>
    <row r="1276" spans="1:10" s="80" customFormat="1">
      <c r="A1276" s="84" t="s">
        <v>10</v>
      </c>
      <c r="B1276" s="84" t="s">
        <v>124</v>
      </c>
      <c r="C1276" s="85">
        <v>0.343055555555555</v>
      </c>
      <c r="D1276" s="86">
        <v>0</v>
      </c>
      <c r="E1276" s="86">
        <v>0</v>
      </c>
      <c r="F1276" s="86">
        <v>0</v>
      </c>
      <c r="G1276" s="86">
        <v>0</v>
      </c>
      <c r="H1276" s="86">
        <v>0</v>
      </c>
      <c r="I1276" s="86">
        <v>0</v>
      </c>
      <c r="J1276" s="86">
        <v>0</v>
      </c>
    </row>
    <row r="1277" spans="1:10">
      <c r="A1277" s="81" t="s">
        <v>10</v>
      </c>
      <c r="B1277" s="81" t="s">
        <v>124</v>
      </c>
      <c r="C1277" s="82">
        <v>0.34375</v>
      </c>
      <c r="D1277" s="87">
        <v>0</v>
      </c>
      <c r="E1277" s="87">
        <v>0</v>
      </c>
      <c r="F1277" s="87">
        <v>0</v>
      </c>
      <c r="G1277" s="87">
        <v>0</v>
      </c>
      <c r="H1277" s="87">
        <v>0</v>
      </c>
      <c r="I1277" s="87">
        <v>0</v>
      </c>
      <c r="J1277" s="87">
        <v>0</v>
      </c>
    </row>
    <row r="1278" spans="1:10">
      <c r="A1278" s="81" t="s">
        <v>10</v>
      </c>
      <c r="B1278" s="81" t="s">
        <v>124</v>
      </c>
      <c r="C1278" s="82">
        <v>0.344444444444444</v>
      </c>
      <c r="D1278" s="83">
        <v>0</v>
      </c>
      <c r="E1278" s="83">
        <v>0</v>
      </c>
      <c r="F1278" s="83">
        <v>0</v>
      </c>
      <c r="G1278" s="83">
        <v>0</v>
      </c>
      <c r="H1278" s="83">
        <v>0</v>
      </c>
      <c r="I1278" s="83">
        <v>0</v>
      </c>
      <c r="J1278" s="83">
        <v>0</v>
      </c>
    </row>
    <row r="1279" spans="1:10">
      <c r="A1279" s="81" t="s">
        <v>10</v>
      </c>
      <c r="B1279" s="81" t="s">
        <v>124</v>
      </c>
      <c r="C1279" s="82">
        <v>0.34513888888888899</v>
      </c>
      <c r="D1279" s="83">
        <v>0</v>
      </c>
      <c r="E1279" s="83">
        <v>0</v>
      </c>
      <c r="F1279" s="83">
        <v>0</v>
      </c>
      <c r="G1279" s="83">
        <v>0</v>
      </c>
      <c r="H1279" s="83">
        <v>0</v>
      </c>
      <c r="I1279" s="83">
        <v>0</v>
      </c>
      <c r="J1279" s="83">
        <v>0</v>
      </c>
    </row>
    <row r="1280" spans="1:10">
      <c r="A1280" s="81" t="s">
        <v>10</v>
      </c>
      <c r="B1280" s="81" t="s">
        <v>124</v>
      </c>
      <c r="C1280" s="82">
        <v>0.34583333333333299</v>
      </c>
      <c r="D1280" s="83">
        <v>0</v>
      </c>
      <c r="E1280" s="83">
        <v>0</v>
      </c>
      <c r="F1280" s="83">
        <v>0</v>
      </c>
      <c r="G1280" s="83">
        <v>0</v>
      </c>
      <c r="H1280" s="83">
        <v>0</v>
      </c>
      <c r="I1280" s="83">
        <v>0</v>
      </c>
      <c r="J1280" s="83">
        <v>0</v>
      </c>
    </row>
    <row r="1281" spans="1:10">
      <c r="A1281" s="81" t="s">
        <v>10</v>
      </c>
      <c r="B1281" s="81" t="s">
        <v>124</v>
      </c>
      <c r="C1281" s="82">
        <v>0.34652777777777799</v>
      </c>
      <c r="D1281" s="83">
        <v>0</v>
      </c>
      <c r="E1281" s="83">
        <v>0</v>
      </c>
      <c r="F1281" s="83">
        <v>0</v>
      </c>
      <c r="G1281" s="83">
        <v>0</v>
      </c>
      <c r="H1281" s="83">
        <v>0</v>
      </c>
      <c r="I1281" s="83">
        <v>0</v>
      </c>
      <c r="J1281" s="83">
        <v>0</v>
      </c>
    </row>
    <row r="1282" spans="1:10">
      <c r="A1282" s="81" t="s">
        <v>10</v>
      </c>
      <c r="B1282" s="81" t="s">
        <v>124</v>
      </c>
      <c r="C1282" s="82">
        <v>0.34722222222222199</v>
      </c>
      <c r="D1282" s="83">
        <v>0</v>
      </c>
      <c r="E1282" s="83">
        <v>0</v>
      </c>
      <c r="F1282" s="83">
        <v>0</v>
      </c>
      <c r="G1282" s="83">
        <v>0</v>
      </c>
      <c r="H1282" s="83">
        <v>0</v>
      </c>
      <c r="I1282" s="83">
        <v>0</v>
      </c>
      <c r="J1282" s="83">
        <v>0</v>
      </c>
    </row>
    <row r="1283" spans="1:10">
      <c r="A1283" s="81" t="s">
        <v>10</v>
      </c>
      <c r="B1283" s="81" t="s">
        <v>124</v>
      </c>
      <c r="C1283" s="82">
        <v>0.34791666666666599</v>
      </c>
      <c r="D1283" s="83">
        <v>0</v>
      </c>
      <c r="E1283" s="83">
        <v>0</v>
      </c>
      <c r="F1283" s="83">
        <v>0</v>
      </c>
      <c r="G1283" s="83">
        <v>0</v>
      </c>
      <c r="H1283" s="83">
        <v>0</v>
      </c>
      <c r="I1283" s="83">
        <v>0</v>
      </c>
      <c r="J1283" s="83">
        <v>0</v>
      </c>
    </row>
    <row r="1284" spans="1:10">
      <c r="A1284" s="81" t="s">
        <v>10</v>
      </c>
      <c r="B1284" s="81" t="s">
        <v>124</v>
      </c>
      <c r="C1284" s="82">
        <v>0.34861111111111098</v>
      </c>
      <c r="D1284" s="83">
        <v>0</v>
      </c>
      <c r="E1284" s="83">
        <v>0</v>
      </c>
      <c r="F1284" s="83">
        <v>0</v>
      </c>
      <c r="G1284" s="83">
        <v>0</v>
      </c>
      <c r="H1284" s="83">
        <v>0</v>
      </c>
      <c r="I1284" s="83">
        <v>0</v>
      </c>
      <c r="J1284" s="83">
        <v>0</v>
      </c>
    </row>
    <row r="1285" spans="1:10">
      <c r="A1285" s="81" t="s">
        <v>10</v>
      </c>
      <c r="B1285" s="81" t="s">
        <v>124</v>
      </c>
      <c r="C1285" s="82">
        <v>0.34930555555555498</v>
      </c>
      <c r="D1285" s="83">
        <v>0</v>
      </c>
      <c r="E1285" s="83">
        <v>0</v>
      </c>
      <c r="F1285" s="83">
        <v>0</v>
      </c>
      <c r="G1285" s="83">
        <v>0</v>
      </c>
      <c r="H1285" s="83">
        <v>0</v>
      </c>
      <c r="I1285" s="83">
        <v>0</v>
      </c>
      <c r="J1285" s="83">
        <v>0</v>
      </c>
    </row>
    <row r="1286" spans="1:10">
      <c r="A1286" s="81" t="s">
        <v>10</v>
      </c>
      <c r="B1286" s="81" t="s">
        <v>124</v>
      </c>
      <c r="C1286" s="82">
        <v>0.35</v>
      </c>
      <c r="D1286" s="83">
        <v>0</v>
      </c>
      <c r="E1286" s="83">
        <v>0</v>
      </c>
      <c r="F1286" s="83">
        <v>0</v>
      </c>
      <c r="G1286" s="83">
        <v>0</v>
      </c>
      <c r="H1286" s="83">
        <v>0</v>
      </c>
      <c r="I1286" s="83">
        <v>0</v>
      </c>
      <c r="J1286" s="83">
        <v>0</v>
      </c>
    </row>
    <row r="1287" spans="1:10">
      <c r="A1287" s="81" t="s">
        <v>10</v>
      </c>
      <c r="B1287" s="81" t="s">
        <v>124</v>
      </c>
      <c r="C1287" s="82">
        <v>0.35069444444444398</v>
      </c>
      <c r="D1287" s="83">
        <v>0</v>
      </c>
      <c r="E1287" s="83">
        <v>0</v>
      </c>
      <c r="F1287" s="83">
        <v>0</v>
      </c>
      <c r="G1287" s="83">
        <v>0</v>
      </c>
      <c r="H1287" s="83">
        <v>0</v>
      </c>
      <c r="I1287" s="83">
        <v>0</v>
      </c>
      <c r="J1287" s="83">
        <v>0</v>
      </c>
    </row>
    <row r="1288" spans="1:10">
      <c r="A1288" s="81" t="s">
        <v>10</v>
      </c>
      <c r="B1288" s="81" t="s">
        <v>124</v>
      </c>
      <c r="C1288" s="82">
        <v>0.35138888888888897</v>
      </c>
      <c r="D1288" s="83">
        <v>0</v>
      </c>
      <c r="E1288" s="83">
        <v>0</v>
      </c>
      <c r="F1288" s="83">
        <v>0</v>
      </c>
      <c r="G1288" s="83">
        <v>0</v>
      </c>
      <c r="H1288" s="83">
        <v>0</v>
      </c>
      <c r="I1288" s="83">
        <v>0</v>
      </c>
      <c r="J1288" s="83">
        <v>0</v>
      </c>
    </row>
    <row r="1289" spans="1:10">
      <c r="A1289" s="81" t="s">
        <v>10</v>
      </c>
      <c r="B1289" s="81" t="s">
        <v>124</v>
      </c>
      <c r="C1289" s="82">
        <v>0.35208333333333303</v>
      </c>
      <c r="D1289" s="83">
        <v>0</v>
      </c>
      <c r="E1289" s="83">
        <v>0</v>
      </c>
      <c r="F1289" s="83">
        <v>0</v>
      </c>
      <c r="G1289" s="83">
        <v>0</v>
      </c>
      <c r="H1289" s="83">
        <v>0</v>
      </c>
      <c r="I1289" s="83">
        <v>0</v>
      </c>
      <c r="J1289" s="83">
        <v>0</v>
      </c>
    </row>
    <row r="1290" spans="1:10">
      <c r="A1290" s="81" t="s">
        <v>10</v>
      </c>
      <c r="B1290" s="81" t="s">
        <v>124</v>
      </c>
      <c r="C1290" s="82">
        <v>0.35277777777777802</v>
      </c>
      <c r="D1290" s="83">
        <v>0</v>
      </c>
      <c r="E1290" s="83">
        <v>0</v>
      </c>
      <c r="F1290" s="83">
        <v>0</v>
      </c>
      <c r="G1290" s="83">
        <v>0</v>
      </c>
      <c r="H1290" s="83">
        <v>0</v>
      </c>
      <c r="I1290" s="83">
        <v>0</v>
      </c>
      <c r="J1290" s="83">
        <v>0</v>
      </c>
    </row>
    <row r="1291" spans="1:10" s="80" customFormat="1">
      <c r="A1291" s="84" t="s">
        <v>10</v>
      </c>
      <c r="B1291" s="84" t="s">
        <v>124</v>
      </c>
      <c r="C1291" s="85">
        <v>0.35347222222222202</v>
      </c>
      <c r="D1291" s="86">
        <v>0</v>
      </c>
      <c r="E1291" s="86">
        <v>0</v>
      </c>
      <c r="F1291" s="86">
        <v>0</v>
      </c>
      <c r="G1291" s="86">
        <v>0</v>
      </c>
      <c r="H1291" s="86">
        <v>0</v>
      </c>
      <c r="I1291" s="86">
        <v>0</v>
      </c>
      <c r="J1291" s="86">
        <v>0</v>
      </c>
    </row>
    <row r="1292" spans="1:10">
      <c r="A1292" s="81" t="s">
        <v>10</v>
      </c>
      <c r="B1292" s="81" t="s">
        <v>124</v>
      </c>
      <c r="C1292" s="82">
        <v>0.35416666666666602</v>
      </c>
      <c r="D1292" s="87">
        <v>0</v>
      </c>
      <c r="E1292" s="87">
        <v>0</v>
      </c>
      <c r="F1292" s="87">
        <v>0</v>
      </c>
      <c r="G1292" s="87">
        <v>0</v>
      </c>
      <c r="H1292" s="87">
        <v>0</v>
      </c>
      <c r="I1292" s="87">
        <v>0</v>
      </c>
      <c r="J1292" s="87">
        <v>0</v>
      </c>
    </row>
    <row r="1293" spans="1:10">
      <c r="A1293" s="81" t="s">
        <v>10</v>
      </c>
      <c r="B1293" s="81" t="s">
        <v>124</v>
      </c>
      <c r="C1293" s="82">
        <v>0.35486111111111102</v>
      </c>
      <c r="D1293" s="83">
        <v>0</v>
      </c>
      <c r="E1293" s="83">
        <v>0</v>
      </c>
      <c r="F1293" s="83">
        <v>0</v>
      </c>
      <c r="G1293" s="83">
        <v>0</v>
      </c>
      <c r="H1293" s="83">
        <v>0</v>
      </c>
      <c r="I1293" s="83">
        <v>0</v>
      </c>
      <c r="J1293" s="83">
        <v>0</v>
      </c>
    </row>
    <row r="1294" spans="1:10">
      <c r="A1294" s="81" t="s">
        <v>10</v>
      </c>
      <c r="B1294" s="81" t="s">
        <v>124</v>
      </c>
      <c r="C1294" s="82">
        <v>0.35555555555555501</v>
      </c>
      <c r="D1294" s="83">
        <v>0</v>
      </c>
      <c r="E1294" s="83">
        <v>0</v>
      </c>
      <c r="F1294" s="83">
        <v>0</v>
      </c>
      <c r="G1294" s="83">
        <v>0</v>
      </c>
      <c r="H1294" s="83">
        <v>0</v>
      </c>
      <c r="I1294" s="83">
        <v>0</v>
      </c>
      <c r="J1294" s="83">
        <v>0</v>
      </c>
    </row>
    <row r="1295" spans="1:10">
      <c r="A1295" s="81" t="s">
        <v>10</v>
      </c>
      <c r="B1295" s="81" t="s">
        <v>124</v>
      </c>
      <c r="C1295" s="82">
        <v>0.35625000000000001</v>
      </c>
      <c r="D1295" s="83">
        <v>0</v>
      </c>
      <c r="E1295" s="83">
        <v>0</v>
      </c>
      <c r="F1295" s="83">
        <v>0</v>
      </c>
      <c r="G1295" s="83">
        <v>0</v>
      </c>
      <c r="H1295" s="83">
        <v>0</v>
      </c>
      <c r="I1295" s="83">
        <v>0</v>
      </c>
      <c r="J1295" s="83">
        <v>0</v>
      </c>
    </row>
    <row r="1296" spans="1:10">
      <c r="A1296" s="81" t="s">
        <v>10</v>
      </c>
      <c r="B1296" s="81" t="s">
        <v>124</v>
      </c>
      <c r="C1296" s="82">
        <v>0.35694444444444401</v>
      </c>
      <c r="D1296" s="83">
        <v>0</v>
      </c>
      <c r="E1296" s="83">
        <v>0</v>
      </c>
      <c r="F1296" s="83">
        <v>0</v>
      </c>
      <c r="G1296" s="83">
        <v>0</v>
      </c>
      <c r="H1296" s="83">
        <v>0</v>
      </c>
      <c r="I1296" s="83">
        <v>0</v>
      </c>
      <c r="J1296" s="83">
        <v>0</v>
      </c>
    </row>
    <row r="1297" spans="1:10">
      <c r="A1297" s="81" t="s">
        <v>10</v>
      </c>
      <c r="B1297" s="81" t="s">
        <v>124</v>
      </c>
      <c r="C1297" s="82">
        <v>0.35763888888888901</v>
      </c>
      <c r="D1297" s="83">
        <v>0</v>
      </c>
      <c r="E1297" s="83">
        <v>0</v>
      </c>
      <c r="F1297" s="83">
        <v>0</v>
      </c>
      <c r="G1297" s="83">
        <v>0</v>
      </c>
      <c r="H1297" s="83">
        <v>0</v>
      </c>
      <c r="I1297" s="83">
        <v>0</v>
      </c>
      <c r="J1297" s="83">
        <v>0</v>
      </c>
    </row>
    <row r="1298" spans="1:10">
      <c r="A1298" s="81" t="s">
        <v>10</v>
      </c>
      <c r="B1298" s="81" t="s">
        <v>124</v>
      </c>
      <c r="C1298" s="82">
        <v>0.358333333333333</v>
      </c>
      <c r="D1298" s="83">
        <v>0</v>
      </c>
      <c r="E1298" s="83">
        <v>0</v>
      </c>
      <c r="F1298" s="83">
        <v>0</v>
      </c>
      <c r="G1298" s="83">
        <v>0</v>
      </c>
      <c r="H1298" s="83">
        <v>0</v>
      </c>
      <c r="I1298" s="83">
        <v>0</v>
      </c>
      <c r="J1298" s="83">
        <v>0</v>
      </c>
    </row>
    <row r="1299" spans="1:10">
      <c r="A1299" s="81" t="s">
        <v>10</v>
      </c>
      <c r="B1299" s="81" t="s">
        <v>124</v>
      </c>
      <c r="C1299" s="82">
        <v>0.359027777777778</v>
      </c>
      <c r="D1299" s="83">
        <v>0</v>
      </c>
      <c r="E1299" s="83">
        <v>0</v>
      </c>
      <c r="F1299" s="83">
        <v>0</v>
      </c>
      <c r="G1299" s="83">
        <v>0</v>
      </c>
      <c r="H1299" s="83">
        <v>0</v>
      </c>
      <c r="I1299" s="83">
        <v>0</v>
      </c>
      <c r="J1299" s="83">
        <v>0</v>
      </c>
    </row>
    <row r="1300" spans="1:10">
      <c r="A1300" s="81" t="s">
        <v>10</v>
      </c>
      <c r="B1300" s="81" t="s">
        <v>124</v>
      </c>
      <c r="C1300" s="82">
        <v>0.359722222222222</v>
      </c>
      <c r="D1300" s="83">
        <v>0</v>
      </c>
      <c r="E1300" s="83">
        <v>0</v>
      </c>
      <c r="F1300" s="83">
        <v>0</v>
      </c>
      <c r="G1300" s="83">
        <v>0</v>
      </c>
      <c r="H1300" s="83">
        <v>0</v>
      </c>
      <c r="I1300" s="83">
        <v>0</v>
      </c>
      <c r="J1300" s="83">
        <v>0</v>
      </c>
    </row>
    <row r="1301" spans="1:10">
      <c r="A1301" s="81" t="s">
        <v>10</v>
      </c>
      <c r="B1301" s="81" t="s">
        <v>124</v>
      </c>
      <c r="C1301" s="82">
        <v>0.360416666666666</v>
      </c>
      <c r="D1301" s="83">
        <v>0</v>
      </c>
      <c r="E1301" s="83">
        <v>0</v>
      </c>
      <c r="F1301" s="83">
        <v>0</v>
      </c>
      <c r="G1301" s="83">
        <v>0</v>
      </c>
      <c r="H1301" s="83">
        <v>0</v>
      </c>
      <c r="I1301" s="83">
        <v>0</v>
      </c>
      <c r="J1301" s="83">
        <v>0</v>
      </c>
    </row>
    <row r="1302" spans="1:10">
      <c r="A1302" s="81" t="s">
        <v>10</v>
      </c>
      <c r="B1302" s="81" t="s">
        <v>124</v>
      </c>
      <c r="C1302" s="82">
        <v>0.36111111111111099</v>
      </c>
      <c r="D1302" s="83">
        <v>0</v>
      </c>
      <c r="E1302" s="83">
        <v>0</v>
      </c>
      <c r="F1302" s="83">
        <v>0</v>
      </c>
      <c r="G1302" s="83">
        <v>0</v>
      </c>
      <c r="H1302" s="83">
        <v>0</v>
      </c>
      <c r="I1302" s="83">
        <v>0</v>
      </c>
      <c r="J1302" s="83">
        <v>0</v>
      </c>
    </row>
    <row r="1303" spans="1:10">
      <c r="A1303" s="81" t="s">
        <v>10</v>
      </c>
      <c r="B1303" s="81" t="s">
        <v>124</v>
      </c>
      <c r="C1303" s="82">
        <v>0.36180555555555499</v>
      </c>
      <c r="D1303" s="83">
        <v>0</v>
      </c>
      <c r="E1303" s="83">
        <v>0</v>
      </c>
      <c r="F1303" s="83">
        <v>0</v>
      </c>
      <c r="G1303" s="83">
        <v>0</v>
      </c>
      <c r="H1303" s="83">
        <v>0</v>
      </c>
      <c r="I1303" s="83">
        <v>0</v>
      </c>
      <c r="J1303" s="83">
        <v>0</v>
      </c>
    </row>
    <row r="1304" spans="1:10">
      <c r="A1304" s="81" t="s">
        <v>10</v>
      </c>
      <c r="B1304" s="81" t="s">
        <v>124</v>
      </c>
      <c r="C1304" s="82">
        <v>0.36249999999999999</v>
      </c>
      <c r="D1304" s="83">
        <v>0</v>
      </c>
      <c r="E1304" s="83">
        <v>0</v>
      </c>
      <c r="F1304" s="83">
        <v>0</v>
      </c>
      <c r="G1304" s="83">
        <v>0</v>
      </c>
      <c r="H1304" s="83">
        <v>0</v>
      </c>
      <c r="I1304" s="83">
        <v>0</v>
      </c>
      <c r="J1304" s="83">
        <v>0</v>
      </c>
    </row>
    <row r="1305" spans="1:10">
      <c r="A1305" s="81" t="s">
        <v>10</v>
      </c>
      <c r="B1305" s="81" t="s">
        <v>124</v>
      </c>
      <c r="C1305" s="82">
        <v>0.36319444444444399</v>
      </c>
      <c r="D1305" s="83">
        <v>0</v>
      </c>
      <c r="E1305" s="83">
        <v>0</v>
      </c>
      <c r="F1305" s="83">
        <v>0</v>
      </c>
      <c r="G1305" s="83">
        <v>0</v>
      </c>
      <c r="H1305" s="83">
        <v>0</v>
      </c>
      <c r="I1305" s="83">
        <v>0</v>
      </c>
      <c r="J1305" s="83">
        <v>0</v>
      </c>
    </row>
    <row r="1306" spans="1:10" s="80" customFormat="1">
      <c r="A1306" s="84" t="s">
        <v>10</v>
      </c>
      <c r="B1306" s="84" t="s">
        <v>124</v>
      </c>
      <c r="C1306" s="85">
        <v>0.36388888888888898</v>
      </c>
      <c r="D1306" s="86">
        <v>0</v>
      </c>
      <c r="E1306" s="86">
        <v>0</v>
      </c>
      <c r="F1306" s="86">
        <v>0</v>
      </c>
      <c r="G1306" s="86">
        <v>0</v>
      </c>
      <c r="H1306" s="86">
        <v>0</v>
      </c>
      <c r="I1306" s="86">
        <v>0</v>
      </c>
      <c r="J1306" s="86">
        <v>0</v>
      </c>
    </row>
    <row r="1307" spans="1:10">
      <c r="A1307" s="81" t="s">
        <v>10</v>
      </c>
      <c r="B1307" s="81" t="s">
        <v>124</v>
      </c>
      <c r="C1307" s="82">
        <v>0.36458333333333298</v>
      </c>
      <c r="D1307" s="87">
        <v>0</v>
      </c>
      <c r="E1307" s="87">
        <v>0</v>
      </c>
      <c r="F1307" s="87">
        <v>0</v>
      </c>
      <c r="G1307" s="87">
        <v>0</v>
      </c>
      <c r="H1307" s="87">
        <v>0</v>
      </c>
      <c r="I1307" s="87">
        <v>0</v>
      </c>
      <c r="J1307" s="87">
        <v>0</v>
      </c>
    </row>
    <row r="1308" spans="1:10">
      <c r="A1308" s="81" t="s">
        <v>10</v>
      </c>
      <c r="B1308" s="81" t="s">
        <v>124</v>
      </c>
      <c r="C1308" s="82">
        <v>0.36527777777777698</v>
      </c>
      <c r="D1308" s="83">
        <v>0</v>
      </c>
      <c r="E1308" s="83">
        <v>0</v>
      </c>
      <c r="F1308" s="83">
        <v>0</v>
      </c>
      <c r="G1308" s="83">
        <v>0</v>
      </c>
      <c r="H1308" s="83">
        <v>0</v>
      </c>
      <c r="I1308" s="83">
        <v>0</v>
      </c>
      <c r="J1308" s="83">
        <v>0</v>
      </c>
    </row>
    <row r="1309" spans="1:10">
      <c r="A1309" s="81" t="s">
        <v>10</v>
      </c>
      <c r="B1309" s="81" t="s">
        <v>124</v>
      </c>
      <c r="C1309" s="82">
        <v>0.36597222222222198</v>
      </c>
      <c r="D1309" s="83">
        <v>0</v>
      </c>
      <c r="E1309" s="83">
        <v>0</v>
      </c>
      <c r="F1309" s="83">
        <v>0</v>
      </c>
      <c r="G1309" s="83">
        <v>0</v>
      </c>
      <c r="H1309" s="83">
        <v>0</v>
      </c>
      <c r="I1309" s="83">
        <v>0</v>
      </c>
      <c r="J1309" s="83">
        <v>0</v>
      </c>
    </row>
    <row r="1310" spans="1:10">
      <c r="A1310" s="81" t="s">
        <v>10</v>
      </c>
      <c r="B1310" s="81" t="s">
        <v>124</v>
      </c>
      <c r="C1310" s="82">
        <v>0.36666666666666597</v>
      </c>
      <c r="D1310" s="83">
        <v>0</v>
      </c>
      <c r="E1310" s="83">
        <v>0</v>
      </c>
      <c r="F1310" s="83">
        <v>0</v>
      </c>
      <c r="G1310" s="83">
        <v>0</v>
      </c>
      <c r="H1310" s="83">
        <v>0</v>
      </c>
      <c r="I1310" s="83">
        <v>0</v>
      </c>
      <c r="J1310" s="83">
        <v>0</v>
      </c>
    </row>
    <row r="1311" spans="1:10">
      <c r="A1311" s="81" t="s">
        <v>10</v>
      </c>
      <c r="B1311" s="81" t="s">
        <v>124</v>
      </c>
      <c r="C1311" s="82">
        <v>0.36736111111111103</v>
      </c>
      <c r="D1311" s="83">
        <v>0</v>
      </c>
      <c r="E1311" s="83">
        <v>0</v>
      </c>
      <c r="F1311" s="83">
        <v>0</v>
      </c>
      <c r="G1311" s="83">
        <v>0</v>
      </c>
      <c r="H1311" s="83">
        <v>0</v>
      </c>
      <c r="I1311" s="83">
        <v>0</v>
      </c>
      <c r="J1311" s="83">
        <v>0</v>
      </c>
    </row>
    <row r="1312" spans="1:10">
      <c r="A1312" s="81" t="s">
        <v>10</v>
      </c>
      <c r="B1312" s="81" t="s">
        <v>124</v>
      </c>
      <c r="C1312" s="82">
        <v>0.36805555555555503</v>
      </c>
      <c r="D1312" s="83">
        <v>0</v>
      </c>
      <c r="E1312" s="83">
        <v>0</v>
      </c>
      <c r="F1312" s="83">
        <v>0</v>
      </c>
      <c r="G1312" s="83">
        <v>0</v>
      </c>
      <c r="H1312" s="83">
        <v>0</v>
      </c>
      <c r="I1312" s="83">
        <v>0</v>
      </c>
      <c r="J1312" s="83">
        <v>0</v>
      </c>
    </row>
    <row r="1313" spans="1:10">
      <c r="A1313" s="81" t="s">
        <v>10</v>
      </c>
      <c r="B1313" s="81" t="s">
        <v>124</v>
      </c>
      <c r="C1313" s="82">
        <v>0.36875000000000002</v>
      </c>
      <c r="D1313" s="83">
        <v>0</v>
      </c>
      <c r="E1313" s="83">
        <v>0</v>
      </c>
      <c r="F1313" s="83">
        <v>0</v>
      </c>
      <c r="G1313" s="83">
        <v>0</v>
      </c>
      <c r="H1313" s="83">
        <v>0</v>
      </c>
      <c r="I1313" s="83">
        <v>0</v>
      </c>
      <c r="J1313" s="83">
        <v>0</v>
      </c>
    </row>
    <row r="1314" spans="1:10">
      <c r="A1314" s="81" t="s">
        <v>10</v>
      </c>
      <c r="B1314" s="81" t="s">
        <v>124</v>
      </c>
      <c r="C1314" s="82">
        <v>0.36944444444444402</v>
      </c>
      <c r="D1314" s="83">
        <v>0</v>
      </c>
      <c r="E1314" s="83">
        <v>0</v>
      </c>
      <c r="F1314" s="83">
        <v>0</v>
      </c>
      <c r="G1314" s="83">
        <v>0</v>
      </c>
      <c r="H1314" s="83">
        <v>0</v>
      </c>
      <c r="I1314" s="83">
        <v>0</v>
      </c>
      <c r="J1314" s="83">
        <v>0</v>
      </c>
    </row>
    <row r="1315" spans="1:10">
      <c r="A1315" s="81" t="s">
        <v>10</v>
      </c>
      <c r="B1315" s="81" t="s">
        <v>124</v>
      </c>
      <c r="C1315" s="82">
        <v>0.37013888888888902</v>
      </c>
      <c r="D1315" s="83">
        <v>0</v>
      </c>
      <c r="E1315" s="83">
        <v>0</v>
      </c>
      <c r="F1315" s="83">
        <v>0</v>
      </c>
      <c r="G1315" s="83">
        <v>0</v>
      </c>
      <c r="H1315" s="83">
        <v>0</v>
      </c>
      <c r="I1315" s="83">
        <v>0</v>
      </c>
      <c r="J1315" s="83">
        <v>0</v>
      </c>
    </row>
    <row r="1316" spans="1:10">
      <c r="A1316" s="81" t="s">
        <v>10</v>
      </c>
      <c r="B1316" s="81" t="s">
        <v>124</v>
      </c>
      <c r="C1316" s="82">
        <v>0.37083333333333302</v>
      </c>
      <c r="D1316" s="83">
        <v>0</v>
      </c>
      <c r="E1316" s="83">
        <v>0</v>
      </c>
      <c r="F1316" s="83">
        <v>0</v>
      </c>
      <c r="G1316" s="83">
        <v>0</v>
      </c>
      <c r="H1316" s="83">
        <v>0</v>
      </c>
      <c r="I1316" s="83">
        <v>0</v>
      </c>
      <c r="J1316" s="83">
        <v>0</v>
      </c>
    </row>
    <row r="1317" spans="1:10">
      <c r="A1317" s="81" t="s">
        <v>10</v>
      </c>
      <c r="B1317" s="81" t="s">
        <v>124</v>
      </c>
      <c r="C1317" s="82">
        <v>0.37152777777777701</v>
      </c>
      <c r="D1317" s="83">
        <v>0</v>
      </c>
      <c r="E1317" s="83">
        <v>0</v>
      </c>
      <c r="F1317" s="83">
        <v>0</v>
      </c>
      <c r="G1317" s="83">
        <v>0</v>
      </c>
      <c r="H1317" s="83">
        <v>0</v>
      </c>
      <c r="I1317" s="83">
        <v>0</v>
      </c>
      <c r="J1317" s="83">
        <v>0</v>
      </c>
    </row>
    <row r="1318" spans="1:10">
      <c r="A1318" s="81" t="s">
        <v>10</v>
      </c>
      <c r="B1318" s="81" t="s">
        <v>124</v>
      </c>
      <c r="C1318" s="82">
        <v>0.37222222222222201</v>
      </c>
      <c r="D1318" s="83">
        <v>0</v>
      </c>
      <c r="E1318" s="83">
        <v>0</v>
      </c>
      <c r="F1318" s="83">
        <v>0</v>
      </c>
      <c r="G1318" s="83">
        <v>0</v>
      </c>
      <c r="H1318" s="83">
        <v>0</v>
      </c>
      <c r="I1318" s="83">
        <v>0</v>
      </c>
      <c r="J1318" s="83">
        <v>0</v>
      </c>
    </row>
    <row r="1319" spans="1:10">
      <c r="A1319" s="81" t="s">
        <v>10</v>
      </c>
      <c r="B1319" s="81" t="s">
        <v>124</v>
      </c>
      <c r="C1319" s="82">
        <v>0.37291666666666601</v>
      </c>
      <c r="D1319" s="83">
        <v>0</v>
      </c>
      <c r="E1319" s="83">
        <v>0</v>
      </c>
      <c r="F1319" s="83">
        <v>0</v>
      </c>
      <c r="G1319" s="83">
        <v>0</v>
      </c>
      <c r="H1319" s="83">
        <v>0</v>
      </c>
      <c r="I1319" s="83">
        <v>0</v>
      </c>
      <c r="J1319" s="83">
        <v>0</v>
      </c>
    </row>
    <row r="1320" spans="1:10">
      <c r="A1320" s="81" t="s">
        <v>10</v>
      </c>
      <c r="B1320" s="81" t="s">
        <v>124</v>
      </c>
      <c r="C1320" s="82">
        <v>0.37361111111111101</v>
      </c>
      <c r="D1320" s="83">
        <v>0</v>
      </c>
      <c r="E1320" s="83">
        <v>0</v>
      </c>
      <c r="F1320" s="83">
        <v>0</v>
      </c>
      <c r="G1320" s="83">
        <v>0</v>
      </c>
      <c r="H1320" s="83">
        <v>0</v>
      </c>
      <c r="I1320" s="83">
        <v>0</v>
      </c>
      <c r="J1320" s="83">
        <v>0</v>
      </c>
    </row>
    <row r="1321" spans="1:10" s="28" customFormat="1" ht="17.5" thickBot="1">
      <c r="A1321" s="100" t="s">
        <v>10</v>
      </c>
      <c r="B1321" s="100" t="s">
        <v>124</v>
      </c>
      <c r="C1321" s="101">
        <v>0.374305555555555</v>
      </c>
      <c r="D1321" s="102">
        <v>0</v>
      </c>
      <c r="E1321" s="102">
        <v>0</v>
      </c>
      <c r="F1321" s="102">
        <v>0</v>
      </c>
      <c r="G1321" s="102">
        <v>0</v>
      </c>
      <c r="H1321" s="102">
        <v>0</v>
      </c>
      <c r="I1321" s="102">
        <v>0</v>
      </c>
      <c r="J1321" s="102">
        <v>0</v>
      </c>
    </row>
    <row r="1322" spans="1:10">
      <c r="A1322" s="81" t="s">
        <v>10</v>
      </c>
      <c r="B1322" s="81" t="s">
        <v>126</v>
      </c>
      <c r="C1322" s="82">
        <v>0.29166666666666669</v>
      </c>
      <c r="D1322" s="170">
        <v>0</v>
      </c>
      <c r="E1322" s="170">
        <v>0</v>
      </c>
      <c r="F1322" s="170">
        <v>0</v>
      </c>
      <c r="G1322" s="170">
        <v>0</v>
      </c>
      <c r="H1322" s="170">
        <v>0</v>
      </c>
      <c r="I1322" s="170">
        <v>0</v>
      </c>
      <c r="J1322" s="170">
        <v>0</v>
      </c>
    </row>
    <row r="1323" spans="1:10">
      <c r="A1323" s="81" t="s">
        <v>10</v>
      </c>
      <c r="B1323" s="81" t="s">
        <v>125</v>
      </c>
      <c r="C1323" s="82">
        <v>0.29236111111111113</v>
      </c>
      <c r="D1323" s="83">
        <v>0</v>
      </c>
      <c r="E1323" s="83">
        <v>0</v>
      </c>
      <c r="F1323" s="83">
        <v>0</v>
      </c>
      <c r="G1323" s="83">
        <v>0</v>
      </c>
      <c r="H1323" s="83">
        <v>0</v>
      </c>
      <c r="I1323" s="83">
        <v>0</v>
      </c>
      <c r="J1323" s="83">
        <v>0</v>
      </c>
    </row>
    <row r="1324" spans="1:10">
      <c r="A1324" s="81" t="s">
        <v>10</v>
      </c>
      <c r="B1324" s="81" t="s">
        <v>125</v>
      </c>
      <c r="C1324" s="82">
        <v>0.29305555555555601</v>
      </c>
      <c r="D1324" s="83">
        <v>0</v>
      </c>
      <c r="E1324" s="83">
        <v>0</v>
      </c>
      <c r="F1324" s="83">
        <v>0</v>
      </c>
      <c r="G1324" s="83">
        <v>0</v>
      </c>
      <c r="H1324" s="83">
        <v>0</v>
      </c>
      <c r="I1324" s="83">
        <v>0</v>
      </c>
      <c r="J1324" s="83">
        <v>0</v>
      </c>
    </row>
    <row r="1325" spans="1:10">
      <c r="A1325" s="81" t="s">
        <v>10</v>
      </c>
      <c r="B1325" s="81" t="s">
        <v>125</v>
      </c>
      <c r="C1325" s="82">
        <v>0.29375000000000001</v>
      </c>
      <c r="D1325" s="83">
        <v>0</v>
      </c>
      <c r="E1325" s="83">
        <v>0</v>
      </c>
      <c r="F1325" s="83">
        <v>0</v>
      </c>
      <c r="G1325" s="83">
        <v>0</v>
      </c>
      <c r="H1325" s="83">
        <v>0</v>
      </c>
      <c r="I1325" s="83">
        <v>0</v>
      </c>
      <c r="J1325" s="83">
        <v>0</v>
      </c>
    </row>
    <row r="1326" spans="1:10">
      <c r="A1326" s="81" t="s">
        <v>10</v>
      </c>
      <c r="B1326" s="81" t="s">
        <v>125</v>
      </c>
      <c r="C1326" s="82">
        <v>0.29444444444444401</v>
      </c>
      <c r="D1326" s="83">
        <v>0</v>
      </c>
      <c r="E1326" s="83">
        <v>0</v>
      </c>
      <c r="F1326" s="83">
        <v>0</v>
      </c>
      <c r="G1326" s="83">
        <v>0</v>
      </c>
      <c r="H1326" s="83">
        <v>0</v>
      </c>
      <c r="I1326" s="83">
        <v>0</v>
      </c>
      <c r="J1326" s="83">
        <v>0</v>
      </c>
    </row>
    <row r="1327" spans="1:10">
      <c r="A1327" s="81" t="s">
        <v>10</v>
      </c>
      <c r="B1327" s="81" t="s">
        <v>125</v>
      </c>
      <c r="C1327" s="82">
        <v>0.29513888888888901</v>
      </c>
      <c r="D1327" s="83">
        <v>0</v>
      </c>
      <c r="E1327" s="83">
        <v>0</v>
      </c>
      <c r="F1327" s="83">
        <v>0</v>
      </c>
      <c r="G1327" s="83">
        <v>0</v>
      </c>
      <c r="H1327" s="83">
        <v>0</v>
      </c>
      <c r="I1327" s="83">
        <v>0</v>
      </c>
      <c r="J1327" s="83">
        <v>0</v>
      </c>
    </row>
    <row r="1328" spans="1:10">
      <c r="A1328" s="81" t="s">
        <v>10</v>
      </c>
      <c r="B1328" s="81" t="s">
        <v>125</v>
      </c>
      <c r="C1328" s="82">
        <v>0.295833333333333</v>
      </c>
      <c r="D1328" s="83">
        <v>0</v>
      </c>
      <c r="E1328" s="83">
        <v>0</v>
      </c>
      <c r="F1328" s="83">
        <v>0</v>
      </c>
      <c r="G1328" s="83">
        <v>0</v>
      </c>
      <c r="H1328" s="83">
        <v>0</v>
      </c>
      <c r="I1328" s="83">
        <v>0</v>
      </c>
      <c r="J1328" s="83">
        <v>0</v>
      </c>
    </row>
    <row r="1329" spans="1:10">
      <c r="A1329" s="81" t="s">
        <v>10</v>
      </c>
      <c r="B1329" s="81" t="s">
        <v>125</v>
      </c>
      <c r="C1329" s="82">
        <v>0.296527777777778</v>
      </c>
      <c r="D1329" s="83">
        <v>0</v>
      </c>
      <c r="E1329" s="83">
        <v>0</v>
      </c>
      <c r="F1329" s="83">
        <v>0</v>
      </c>
      <c r="G1329" s="83">
        <v>0</v>
      </c>
      <c r="H1329" s="83">
        <v>0</v>
      </c>
      <c r="I1329" s="83">
        <v>0</v>
      </c>
      <c r="J1329" s="83">
        <v>0</v>
      </c>
    </row>
    <row r="1330" spans="1:10">
      <c r="A1330" s="81" t="s">
        <v>10</v>
      </c>
      <c r="B1330" s="81" t="s">
        <v>125</v>
      </c>
      <c r="C1330" s="82">
        <v>0.297222222222222</v>
      </c>
      <c r="D1330" s="83">
        <v>0</v>
      </c>
      <c r="E1330" s="83">
        <v>0</v>
      </c>
      <c r="F1330" s="83">
        <v>0</v>
      </c>
      <c r="G1330" s="83">
        <v>0</v>
      </c>
      <c r="H1330" s="83">
        <v>0</v>
      </c>
      <c r="I1330" s="83">
        <v>0</v>
      </c>
      <c r="J1330" s="83">
        <v>0</v>
      </c>
    </row>
    <row r="1331" spans="1:10">
      <c r="A1331" s="81" t="s">
        <v>10</v>
      </c>
      <c r="B1331" s="81" t="s">
        <v>125</v>
      </c>
      <c r="C1331" s="82">
        <v>0.297916666666667</v>
      </c>
      <c r="D1331" s="83">
        <v>0</v>
      </c>
      <c r="E1331" s="83">
        <v>0</v>
      </c>
      <c r="F1331" s="83">
        <v>0</v>
      </c>
      <c r="G1331" s="83">
        <v>0</v>
      </c>
      <c r="H1331" s="83">
        <v>0</v>
      </c>
      <c r="I1331" s="83">
        <v>0</v>
      </c>
      <c r="J1331" s="83">
        <v>0</v>
      </c>
    </row>
    <row r="1332" spans="1:10">
      <c r="A1332" s="81" t="s">
        <v>10</v>
      </c>
      <c r="B1332" s="81" t="s">
        <v>125</v>
      </c>
      <c r="C1332" s="82">
        <v>0.29861111111111099</v>
      </c>
      <c r="D1332" s="83">
        <v>0</v>
      </c>
      <c r="E1332" s="83">
        <v>0</v>
      </c>
      <c r="F1332" s="83">
        <v>0</v>
      </c>
      <c r="G1332" s="83">
        <v>0</v>
      </c>
      <c r="H1332" s="83">
        <v>0</v>
      </c>
      <c r="I1332" s="83">
        <v>0</v>
      </c>
      <c r="J1332" s="83">
        <v>0</v>
      </c>
    </row>
    <row r="1333" spans="1:10">
      <c r="A1333" s="81" t="s">
        <v>10</v>
      </c>
      <c r="B1333" s="81" t="s">
        <v>125</v>
      </c>
      <c r="C1333" s="82">
        <v>0.29930555555555599</v>
      </c>
      <c r="D1333" s="83">
        <v>0</v>
      </c>
      <c r="E1333" s="83">
        <v>0</v>
      </c>
      <c r="F1333" s="83">
        <v>0</v>
      </c>
      <c r="G1333" s="83">
        <v>0</v>
      </c>
      <c r="H1333" s="83">
        <v>0</v>
      </c>
      <c r="I1333" s="83">
        <v>0</v>
      </c>
      <c r="J1333" s="83">
        <v>0</v>
      </c>
    </row>
    <row r="1334" spans="1:10">
      <c r="A1334" s="81" t="s">
        <v>10</v>
      </c>
      <c r="B1334" s="81" t="s">
        <v>125</v>
      </c>
      <c r="C1334" s="82">
        <v>0.3</v>
      </c>
      <c r="D1334" s="83">
        <v>0</v>
      </c>
      <c r="E1334" s="83">
        <v>0</v>
      </c>
      <c r="F1334" s="83">
        <v>0</v>
      </c>
      <c r="G1334" s="83">
        <v>0</v>
      </c>
      <c r="H1334" s="83">
        <v>0</v>
      </c>
      <c r="I1334" s="83">
        <v>0</v>
      </c>
      <c r="J1334" s="83">
        <v>0</v>
      </c>
    </row>
    <row r="1335" spans="1:10">
      <c r="A1335" s="81" t="s">
        <v>10</v>
      </c>
      <c r="B1335" s="81" t="s">
        <v>125</v>
      </c>
      <c r="C1335" s="82">
        <v>0.30069444444444399</v>
      </c>
      <c r="D1335" s="83">
        <v>0</v>
      </c>
      <c r="E1335" s="83">
        <v>0</v>
      </c>
      <c r="F1335" s="83">
        <v>0</v>
      </c>
      <c r="G1335" s="83">
        <v>0</v>
      </c>
      <c r="H1335" s="83">
        <v>0</v>
      </c>
      <c r="I1335" s="83">
        <v>0</v>
      </c>
      <c r="J1335" s="83">
        <v>0</v>
      </c>
    </row>
    <row r="1336" spans="1:10" s="80" customFormat="1">
      <c r="A1336" s="84" t="s">
        <v>10</v>
      </c>
      <c r="B1336" s="84" t="s">
        <v>125</v>
      </c>
      <c r="C1336" s="85">
        <v>0.30138888888888898</v>
      </c>
      <c r="D1336" s="83">
        <v>0</v>
      </c>
      <c r="E1336" s="83">
        <v>0</v>
      </c>
      <c r="F1336" s="83">
        <v>0</v>
      </c>
      <c r="G1336" s="83">
        <v>0</v>
      </c>
      <c r="H1336" s="83">
        <v>0</v>
      </c>
      <c r="I1336" s="83">
        <v>0</v>
      </c>
      <c r="J1336" s="83">
        <v>0</v>
      </c>
    </row>
    <row r="1337" spans="1:10">
      <c r="A1337" s="81" t="s">
        <v>10</v>
      </c>
      <c r="B1337" s="81" t="s">
        <v>125</v>
      </c>
      <c r="C1337" s="82">
        <v>0.30208333333333298</v>
      </c>
      <c r="D1337" s="87">
        <v>0</v>
      </c>
      <c r="E1337" s="87">
        <v>0</v>
      </c>
      <c r="F1337" s="87">
        <v>0</v>
      </c>
      <c r="G1337" s="87">
        <v>0</v>
      </c>
      <c r="H1337" s="87">
        <v>0</v>
      </c>
      <c r="I1337" s="87">
        <v>0</v>
      </c>
      <c r="J1337" s="87">
        <v>0</v>
      </c>
    </row>
    <row r="1338" spans="1:10">
      <c r="A1338" s="81" t="s">
        <v>10</v>
      </c>
      <c r="B1338" s="81" t="s">
        <v>125</v>
      </c>
      <c r="C1338" s="82">
        <v>0.30277777777777798</v>
      </c>
      <c r="D1338" s="83">
        <v>0</v>
      </c>
      <c r="E1338" s="83">
        <v>0</v>
      </c>
      <c r="F1338" s="83">
        <v>0</v>
      </c>
      <c r="G1338" s="83">
        <v>0</v>
      </c>
      <c r="H1338" s="83">
        <v>0</v>
      </c>
      <c r="I1338" s="83">
        <v>0</v>
      </c>
      <c r="J1338" s="83">
        <v>0</v>
      </c>
    </row>
    <row r="1339" spans="1:10">
      <c r="A1339" s="81" t="s">
        <v>10</v>
      </c>
      <c r="B1339" s="81" t="s">
        <v>125</v>
      </c>
      <c r="C1339" s="82">
        <v>0.30347222222222198</v>
      </c>
      <c r="D1339" s="83">
        <v>0</v>
      </c>
      <c r="E1339" s="83">
        <v>0</v>
      </c>
      <c r="F1339" s="83">
        <v>0</v>
      </c>
      <c r="G1339" s="83">
        <v>0</v>
      </c>
      <c r="H1339" s="83">
        <v>0</v>
      </c>
      <c r="I1339" s="83">
        <v>0</v>
      </c>
      <c r="J1339" s="83">
        <v>0</v>
      </c>
    </row>
    <row r="1340" spans="1:10">
      <c r="A1340" s="81" t="s">
        <v>10</v>
      </c>
      <c r="B1340" s="81" t="s">
        <v>125</v>
      </c>
      <c r="C1340" s="82">
        <v>0.30416666666666697</v>
      </c>
      <c r="D1340" s="83">
        <v>0</v>
      </c>
      <c r="E1340" s="83">
        <v>0</v>
      </c>
      <c r="F1340" s="83">
        <v>0</v>
      </c>
      <c r="G1340" s="83">
        <v>0</v>
      </c>
      <c r="H1340" s="83">
        <v>0</v>
      </c>
      <c r="I1340" s="83">
        <v>0</v>
      </c>
      <c r="J1340" s="83">
        <v>0</v>
      </c>
    </row>
    <row r="1341" spans="1:10">
      <c r="A1341" s="81" t="s">
        <v>10</v>
      </c>
      <c r="B1341" s="81" t="s">
        <v>125</v>
      </c>
      <c r="C1341" s="82">
        <v>0.30486111111111103</v>
      </c>
      <c r="D1341" s="83">
        <v>0</v>
      </c>
      <c r="E1341" s="83">
        <v>0</v>
      </c>
      <c r="F1341" s="83">
        <v>0</v>
      </c>
      <c r="G1341" s="83">
        <v>0</v>
      </c>
      <c r="H1341" s="83">
        <v>0</v>
      </c>
      <c r="I1341" s="83">
        <v>0</v>
      </c>
      <c r="J1341" s="83">
        <v>0</v>
      </c>
    </row>
    <row r="1342" spans="1:10">
      <c r="A1342" s="81" t="s">
        <v>10</v>
      </c>
      <c r="B1342" s="81" t="s">
        <v>125</v>
      </c>
      <c r="C1342" s="82">
        <v>0.30555555555555503</v>
      </c>
      <c r="D1342" s="83">
        <v>0</v>
      </c>
      <c r="E1342" s="83">
        <v>0</v>
      </c>
      <c r="F1342" s="83">
        <v>0</v>
      </c>
      <c r="G1342" s="83">
        <v>0</v>
      </c>
      <c r="H1342" s="83">
        <v>0</v>
      </c>
      <c r="I1342" s="83">
        <v>0</v>
      </c>
      <c r="J1342" s="83">
        <v>0</v>
      </c>
    </row>
    <row r="1343" spans="1:10">
      <c r="A1343" s="81" t="s">
        <v>10</v>
      </c>
      <c r="B1343" s="81" t="s">
        <v>125</v>
      </c>
      <c r="C1343" s="82">
        <v>0.30625000000000002</v>
      </c>
      <c r="D1343" s="83">
        <v>0</v>
      </c>
      <c r="E1343" s="83">
        <v>0</v>
      </c>
      <c r="F1343" s="83">
        <v>0</v>
      </c>
      <c r="G1343" s="83">
        <v>0</v>
      </c>
      <c r="H1343" s="83">
        <v>0</v>
      </c>
      <c r="I1343" s="83">
        <v>0</v>
      </c>
      <c r="J1343" s="83">
        <v>0</v>
      </c>
    </row>
    <row r="1344" spans="1:10">
      <c r="A1344" s="81" t="s">
        <v>10</v>
      </c>
      <c r="B1344" s="81" t="s">
        <v>125</v>
      </c>
      <c r="C1344" s="82">
        <v>0.30694444444444402</v>
      </c>
      <c r="D1344" s="83">
        <v>0</v>
      </c>
      <c r="E1344" s="83">
        <v>0</v>
      </c>
      <c r="F1344" s="83">
        <v>0</v>
      </c>
      <c r="G1344" s="83">
        <v>0</v>
      </c>
      <c r="H1344" s="83">
        <v>0</v>
      </c>
      <c r="I1344" s="83">
        <v>0</v>
      </c>
      <c r="J1344" s="83">
        <v>0</v>
      </c>
    </row>
    <row r="1345" spans="1:10">
      <c r="A1345" s="81" t="s">
        <v>10</v>
      </c>
      <c r="B1345" s="81" t="s">
        <v>125</v>
      </c>
      <c r="C1345" s="82">
        <v>0.30763888888888902</v>
      </c>
      <c r="D1345" s="83">
        <v>0</v>
      </c>
      <c r="E1345" s="83">
        <v>0</v>
      </c>
      <c r="F1345" s="83">
        <v>0</v>
      </c>
      <c r="G1345" s="83">
        <v>0</v>
      </c>
      <c r="H1345" s="83">
        <v>0</v>
      </c>
      <c r="I1345" s="83">
        <v>0</v>
      </c>
      <c r="J1345" s="83">
        <v>0</v>
      </c>
    </row>
    <row r="1346" spans="1:10">
      <c r="A1346" s="81" t="s">
        <v>10</v>
      </c>
      <c r="B1346" s="81" t="s">
        <v>125</v>
      </c>
      <c r="C1346" s="82">
        <v>0.30833333333333302</v>
      </c>
      <c r="D1346" s="83">
        <v>0</v>
      </c>
      <c r="E1346" s="83">
        <v>0</v>
      </c>
      <c r="F1346" s="83">
        <v>0</v>
      </c>
      <c r="G1346" s="83">
        <v>0</v>
      </c>
      <c r="H1346" s="83">
        <v>0</v>
      </c>
      <c r="I1346" s="83">
        <v>0</v>
      </c>
      <c r="J1346" s="83">
        <v>0</v>
      </c>
    </row>
    <row r="1347" spans="1:10">
      <c r="A1347" s="81" t="s">
        <v>10</v>
      </c>
      <c r="B1347" s="81" t="s">
        <v>125</v>
      </c>
      <c r="C1347" s="82">
        <v>0.30902777777777801</v>
      </c>
      <c r="D1347" s="83">
        <v>0</v>
      </c>
      <c r="E1347" s="83">
        <v>0</v>
      </c>
      <c r="F1347" s="83">
        <v>0</v>
      </c>
      <c r="G1347" s="83">
        <v>0</v>
      </c>
      <c r="H1347" s="83">
        <v>0</v>
      </c>
      <c r="I1347" s="83">
        <v>0</v>
      </c>
      <c r="J1347" s="83">
        <v>0</v>
      </c>
    </row>
    <row r="1348" spans="1:10">
      <c r="A1348" s="81" t="s">
        <v>10</v>
      </c>
      <c r="B1348" s="81" t="s">
        <v>125</v>
      </c>
      <c r="C1348" s="82">
        <v>0.30972222222222201</v>
      </c>
      <c r="D1348" s="83">
        <v>0</v>
      </c>
      <c r="E1348" s="83">
        <v>0</v>
      </c>
      <c r="F1348" s="83">
        <v>0</v>
      </c>
      <c r="G1348" s="83">
        <v>0</v>
      </c>
      <c r="H1348" s="83">
        <v>0</v>
      </c>
      <c r="I1348" s="83">
        <v>0</v>
      </c>
      <c r="J1348" s="83">
        <v>0</v>
      </c>
    </row>
    <row r="1349" spans="1:10">
      <c r="A1349" s="81" t="s">
        <v>10</v>
      </c>
      <c r="B1349" s="81" t="s">
        <v>125</v>
      </c>
      <c r="C1349" s="82">
        <v>0.31041666666666701</v>
      </c>
      <c r="D1349" s="83">
        <v>0</v>
      </c>
      <c r="E1349" s="83">
        <v>0</v>
      </c>
      <c r="F1349" s="83">
        <v>0</v>
      </c>
      <c r="G1349" s="83">
        <v>0</v>
      </c>
      <c r="H1349" s="83">
        <v>0</v>
      </c>
      <c r="I1349" s="83">
        <v>0</v>
      </c>
      <c r="J1349" s="83">
        <v>0</v>
      </c>
    </row>
    <row r="1350" spans="1:10">
      <c r="A1350" s="81" t="s">
        <v>10</v>
      </c>
      <c r="B1350" s="81" t="s">
        <v>125</v>
      </c>
      <c r="C1350" s="82">
        <v>0.31111111111111101</v>
      </c>
      <c r="D1350" s="83">
        <v>0</v>
      </c>
      <c r="E1350" s="83">
        <v>0</v>
      </c>
      <c r="F1350" s="83">
        <v>0</v>
      </c>
      <c r="G1350" s="83">
        <v>0</v>
      </c>
      <c r="H1350" s="83">
        <v>0</v>
      </c>
      <c r="I1350" s="83">
        <v>0</v>
      </c>
      <c r="J1350" s="83">
        <v>0</v>
      </c>
    </row>
    <row r="1351" spans="1:10" s="80" customFormat="1">
      <c r="A1351" s="84" t="s">
        <v>10</v>
      </c>
      <c r="B1351" s="84" t="s">
        <v>125</v>
      </c>
      <c r="C1351" s="85">
        <v>0.311805555555556</v>
      </c>
      <c r="D1351" s="86">
        <v>0</v>
      </c>
      <c r="E1351" s="86">
        <v>0</v>
      </c>
      <c r="F1351" s="86">
        <v>0</v>
      </c>
      <c r="G1351" s="86">
        <v>0</v>
      </c>
      <c r="H1351" s="86">
        <v>0</v>
      </c>
      <c r="I1351" s="86">
        <v>0</v>
      </c>
      <c r="J1351" s="86">
        <v>0</v>
      </c>
    </row>
    <row r="1352" spans="1:10">
      <c r="A1352" s="81" t="s">
        <v>10</v>
      </c>
      <c r="B1352" s="81" t="s">
        <v>125</v>
      </c>
      <c r="C1352" s="82">
        <v>0.3125</v>
      </c>
      <c r="D1352" s="87">
        <v>0</v>
      </c>
      <c r="E1352" s="87">
        <v>0</v>
      </c>
      <c r="F1352" s="87">
        <v>0</v>
      </c>
      <c r="G1352" s="87">
        <v>0</v>
      </c>
      <c r="H1352" s="87">
        <v>0</v>
      </c>
      <c r="I1352" s="87">
        <v>0</v>
      </c>
      <c r="J1352" s="87">
        <v>0</v>
      </c>
    </row>
    <row r="1353" spans="1:10">
      <c r="A1353" s="81" t="s">
        <v>10</v>
      </c>
      <c r="B1353" s="81" t="s">
        <v>125</v>
      </c>
      <c r="C1353" s="82">
        <v>0.313194444444444</v>
      </c>
      <c r="D1353" s="83">
        <v>0</v>
      </c>
      <c r="E1353" s="83">
        <v>0</v>
      </c>
      <c r="F1353" s="83">
        <v>0</v>
      </c>
      <c r="G1353" s="83">
        <v>0</v>
      </c>
      <c r="H1353" s="83">
        <v>0</v>
      </c>
      <c r="I1353" s="83">
        <v>0</v>
      </c>
      <c r="J1353" s="83">
        <v>0</v>
      </c>
    </row>
    <row r="1354" spans="1:10">
      <c r="A1354" s="81" t="s">
        <v>10</v>
      </c>
      <c r="B1354" s="81" t="s">
        <v>125</v>
      </c>
      <c r="C1354" s="82">
        <v>0.31388888888888899</v>
      </c>
      <c r="D1354" s="83">
        <v>0</v>
      </c>
      <c r="E1354" s="83">
        <v>0</v>
      </c>
      <c r="F1354" s="83">
        <v>0</v>
      </c>
      <c r="G1354" s="83">
        <v>0</v>
      </c>
      <c r="H1354" s="83">
        <v>0</v>
      </c>
      <c r="I1354" s="83">
        <v>0</v>
      </c>
      <c r="J1354" s="83">
        <v>0</v>
      </c>
    </row>
    <row r="1355" spans="1:10">
      <c r="A1355" s="81" t="s">
        <v>10</v>
      </c>
      <c r="B1355" s="81" t="s">
        <v>125</v>
      </c>
      <c r="C1355" s="82">
        <v>0.31458333333333299</v>
      </c>
      <c r="D1355" s="83">
        <v>0</v>
      </c>
      <c r="E1355" s="83">
        <v>0</v>
      </c>
      <c r="F1355" s="83">
        <v>0</v>
      </c>
      <c r="G1355" s="83">
        <v>0</v>
      </c>
      <c r="H1355" s="83">
        <v>0</v>
      </c>
      <c r="I1355" s="83">
        <v>0</v>
      </c>
      <c r="J1355" s="83">
        <v>0</v>
      </c>
    </row>
    <row r="1356" spans="1:10">
      <c r="A1356" s="81" t="s">
        <v>10</v>
      </c>
      <c r="B1356" s="81" t="s">
        <v>125</v>
      </c>
      <c r="C1356" s="82">
        <v>0.31527777777777799</v>
      </c>
      <c r="D1356" s="83">
        <v>0</v>
      </c>
      <c r="E1356" s="83">
        <v>0</v>
      </c>
      <c r="F1356" s="83">
        <v>0</v>
      </c>
      <c r="G1356" s="83">
        <v>0</v>
      </c>
      <c r="H1356" s="83">
        <v>0</v>
      </c>
      <c r="I1356" s="83">
        <v>0</v>
      </c>
      <c r="J1356" s="83">
        <v>0</v>
      </c>
    </row>
    <row r="1357" spans="1:10">
      <c r="A1357" s="81" t="s">
        <v>10</v>
      </c>
      <c r="B1357" s="81" t="s">
        <v>125</v>
      </c>
      <c r="C1357" s="82">
        <v>0.31597222222222199</v>
      </c>
      <c r="D1357" s="83">
        <v>0</v>
      </c>
      <c r="E1357" s="83">
        <v>0</v>
      </c>
      <c r="F1357" s="83">
        <v>0</v>
      </c>
      <c r="G1357" s="83">
        <v>0</v>
      </c>
      <c r="H1357" s="83">
        <v>0</v>
      </c>
      <c r="I1357" s="83">
        <v>0</v>
      </c>
      <c r="J1357" s="83">
        <v>0</v>
      </c>
    </row>
    <row r="1358" spans="1:10">
      <c r="A1358" s="81" t="s">
        <v>10</v>
      </c>
      <c r="B1358" s="81" t="s">
        <v>125</v>
      </c>
      <c r="C1358" s="82">
        <v>0.31666666666666698</v>
      </c>
      <c r="D1358" s="83">
        <v>0</v>
      </c>
      <c r="E1358" s="83">
        <v>0</v>
      </c>
      <c r="F1358" s="83">
        <v>0</v>
      </c>
      <c r="G1358" s="83">
        <v>0</v>
      </c>
      <c r="H1358" s="83">
        <v>0</v>
      </c>
      <c r="I1358" s="83">
        <v>0</v>
      </c>
      <c r="J1358" s="83">
        <v>0</v>
      </c>
    </row>
    <row r="1359" spans="1:10">
      <c r="A1359" s="81" t="s">
        <v>10</v>
      </c>
      <c r="B1359" s="81" t="s">
        <v>125</v>
      </c>
      <c r="C1359" s="82">
        <v>0.31736111111111098</v>
      </c>
      <c r="D1359" s="83">
        <v>0</v>
      </c>
      <c r="E1359" s="83">
        <v>0</v>
      </c>
      <c r="F1359" s="83">
        <v>0</v>
      </c>
      <c r="G1359" s="83">
        <v>0</v>
      </c>
      <c r="H1359" s="83">
        <v>0</v>
      </c>
      <c r="I1359" s="83">
        <v>0</v>
      </c>
      <c r="J1359" s="83">
        <v>0</v>
      </c>
    </row>
    <row r="1360" spans="1:10">
      <c r="A1360" s="81" t="s">
        <v>10</v>
      </c>
      <c r="B1360" s="81" t="s">
        <v>125</v>
      </c>
      <c r="C1360" s="82">
        <v>0.31805555555555498</v>
      </c>
      <c r="D1360" s="83">
        <v>0</v>
      </c>
      <c r="E1360" s="83">
        <v>0</v>
      </c>
      <c r="F1360" s="83">
        <v>0</v>
      </c>
      <c r="G1360" s="83">
        <v>0</v>
      </c>
      <c r="H1360" s="83">
        <v>0</v>
      </c>
      <c r="I1360" s="83">
        <v>0</v>
      </c>
      <c r="J1360" s="83">
        <v>0</v>
      </c>
    </row>
    <row r="1361" spans="1:10">
      <c r="A1361" s="81" t="s">
        <v>10</v>
      </c>
      <c r="B1361" s="81" t="s">
        <v>125</v>
      </c>
      <c r="C1361" s="82">
        <v>0.31874999999999998</v>
      </c>
      <c r="D1361" s="83">
        <v>0</v>
      </c>
      <c r="E1361" s="83">
        <v>0</v>
      </c>
      <c r="F1361" s="83">
        <v>0</v>
      </c>
      <c r="G1361" s="83">
        <v>0</v>
      </c>
      <c r="H1361" s="83">
        <v>0</v>
      </c>
      <c r="I1361" s="83">
        <v>0</v>
      </c>
      <c r="J1361" s="83">
        <v>0</v>
      </c>
    </row>
    <row r="1362" spans="1:10">
      <c r="A1362" s="81" t="s">
        <v>10</v>
      </c>
      <c r="B1362" s="81" t="s">
        <v>125</v>
      </c>
      <c r="C1362" s="82">
        <v>0.31944444444444398</v>
      </c>
      <c r="D1362" s="83">
        <v>0</v>
      </c>
      <c r="E1362" s="83">
        <v>0</v>
      </c>
      <c r="F1362" s="83">
        <v>0</v>
      </c>
      <c r="G1362" s="83">
        <v>0</v>
      </c>
      <c r="H1362" s="83">
        <v>0</v>
      </c>
      <c r="I1362" s="83">
        <v>0</v>
      </c>
      <c r="J1362" s="83">
        <v>0</v>
      </c>
    </row>
    <row r="1363" spans="1:10">
      <c r="A1363" s="81" t="s">
        <v>10</v>
      </c>
      <c r="B1363" s="81" t="s">
        <v>125</v>
      </c>
      <c r="C1363" s="82">
        <v>0.32013888888888897</v>
      </c>
      <c r="D1363" s="83">
        <v>0</v>
      </c>
      <c r="E1363" s="83">
        <v>0</v>
      </c>
      <c r="F1363" s="83">
        <v>0</v>
      </c>
      <c r="G1363" s="83">
        <v>0</v>
      </c>
      <c r="H1363" s="83">
        <v>0</v>
      </c>
      <c r="I1363" s="83">
        <v>0</v>
      </c>
      <c r="J1363" s="83">
        <v>0</v>
      </c>
    </row>
    <row r="1364" spans="1:10">
      <c r="A1364" s="81" t="s">
        <v>10</v>
      </c>
      <c r="B1364" s="81" t="s">
        <v>125</v>
      </c>
      <c r="C1364" s="82">
        <v>0.32083333333333303</v>
      </c>
      <c r="D1364" s="83">
        <v>0</v>
      </c>
      <c r="E1364" s="83">
        <v>0</v>
      </c>
      <c r="F1364" s="83">
        <v>0</v>
      </c>
      <c r="G1364" s="83">
        <v>0</v>
      </c>
      <c r="H1364" s="83">
        <v>0</v>
      </c>
      <c r="I1364" s="83">
        <v>0</v>
      </c>
      <c r="J1364" s="83">
        <v>0</v>
      </c>
    </row>
    <row r="1365" spans="1:10">
      <c r="A1365" s="81" t="s">
        <v>10</v>
      </c>
      <c r="B1365" s="81" t="s">
        <v>125</v>
      </c>
      <c r="C1365" s="82">
        <v>0.32152777777777802</v>
      </c>
      <c r="D1365" s="83">
        <v>0</v>
      </c>
      <c r="E1365" s="83">
        <v>0</v>
      </c>
      <c r="F1365" s="83">
        <v>0</v>
      </c>
      <c r="G1365" s="83">
        <v>0</v>
      </c>
      <c r="H1365" s="83">
        <v>0</v>
      </c>
      <c r="I1365" s="83">
        <v>0</v>
      </c>
      <c r="J1365" s="83">
        <v>0</v>
      </c>
    </row>
    <row r="1366" spans="1:10" s="80" customFormat="1">
      <c r="A1366" s="84" t="s">
        <v>10</v>
      </c>
      <c r="B1366" s="84" t="s">
        <v>125</v>
      </c>
      <c r="C1366" s="85">
        <v>0.32222222222222202</v>
      </c>
      <c r="D1366" s="83">
        <v>0</v>
      </c>
      <c r="E1366" s="83">
        <v>0</v>
      </c>
      <c r="F1366" s="83">
        <v>0</v>
      </c>
      <c r="G1366" s="83">
        <v>0</v>
      </c>
      <c r="H1366" s="83">
        <v>0</v>
      </c>
      <c r="I1366" s="83">
        <v>0</v>
      </c>
      <c r="J1366" s="83">
        <v>0</v>
      </c>
    </row>
    <row r="1367" spans="1:10">
      <c r="A1367" s="81" t="s">
        <v>10</v>
      </c>
      <c r="B1367" s="81" t="s">
        <v>125</v>
      </c>
      <c r="C1367" s="82">
        <v>0.32291666666666702</v>
      </c>
      <c r="D1367" s="87">
        <v>0</v>
      </c>
      <c r="E1367" s="87">
        <v>0</v>
      </c>
      <c r="F1367" s="87">
        <v>0</v>
      </c>
      <c r="G1367" s="87">
        <v>0</v>
      </c>
      <c r="H1367" s="87">
        <v>0</v>
      </c>
      <c r="I1367" s="87">
        <v>0</v>
      </c>
      <c r="J1367" s="87">
        <v>0</v>
      </c>
    </row>
    <row r="1368" spans="1:10">
      <c r="A1368" s="81" t="s">
        <v>10</v>
      </c>
      <c r="B1368" s="81" t="s">
        <v>125</v>
      </c>
      <c r="C1368" s="82">
        <v>0.32361111111111102</v>
      </c>
      <c r="D1368" s="83">
        <v>0</v>
      </c>
      <c r="E1368" s="83">
        <v>0</v>
      </c>
      <c r="F1368" s="83">
        <v>0</v>
      </c>
      <c r="G1368" s="83">
        <v>0</v>
      </c>
      <c r="H1368" s="83">
        <v>0</v>
      </c>
      <c r="I1368" s="83">
        <v>0</v>
      </c>
      <c r="J1368" s="83">
        <v>0</v>
      </c>
    </row>
    <row r="1369" spans="1:10">
      <c r="A1369" s="81" t="s">
        <v>10</v>
      </c>
      <c r="B1369" s="81" t="s">
        <v>125</v>
      </c>
      <c r="C1369" s="82">
        <v>0.32430555555555601</v>
      </c>
      <c r="D1369" s="83">
        <v>0</v>
      </c>
      <c r="E1369" s="83">
        <v>0</v>
      </c>
      <c r="F1369" s="83">
        <v>0</v>
      </c>
      <c r="G1369" s="83">
        <v>0</v>
      </c>
      <c r="H1369" s="83">
        <v>0</v>
      </c>
      <c r="I1369" s="83">
        <v>0</v>
      </c>
      <c r="J1369" s="83">
        <v>0</v>
      </c>
    </row>
    <row r="1370" spans="1:10">
      <c r="A1370" s="81" t="s">
        <v>10</v>
      </c>
      <c r="B1370" s="81" t="s">
        <v>125</v>
      </c>
      <c r="C1370" s="82">
        <v>0.32500000000000001</v>
      </c>
      <c r="D1370" s="83">
        <v>0</v>
      </c>
      <c r="E1370" s="83">
        <v>0</v>
      </c>
      <c r="F1370" s="83">
        <v>0</v>
      </c>
      <c r="G1370" s="83">
        <v>0</v>
      </c>
      <c r="H1370" s="83">
        <v>0</v>
      </c>
      <c r="I1370" s="83">
        <v>0</v>
      </c>
      <c r="J1370" s="83">
        <v>0</v>
      </c>
    </row>
    <row r="1371" spans="1:10">
      <c r="A1371" s="81" t="s">
        <v>10</v>
      </c>
      <c r="B1371" s="81" t="s">
        <v>125</v>
      </c>
      <c r="C1371" s="82">
        <v>0.32569444444444401</v>
      </c>
      <c r="D1371" s="83">
        <v>0</v>
      </c>
      <c r="E1371" s="83">
        <v>0</v>
      </c>
      <c r="F1371" s="83">
        <v>0</v>
      </c>
      <c r="G1371" s="83">
        <v>0</v>
      </c>
      <c r="H1371" s="83">
        <v>0</v>
      </c>
      <c r="I1371" s="83">
        <v>0</v>
      </c>
      <c r="J1371" s="83">
        <v>0</v>
      </c>
    </row>
    <row r="1372" spans="1:10">
      <c r="A1372" s="81" t="s">
        <v>10</v>
      </c>
      <c r="B1372" s="81" t="s">
        <v>125</v>
      </c>
      <c r="C1372" s="82">
        <v>0.32638888888888901</v>
      </c>
      <c r="D1372" s="83">
        <v>0</v>
      </c>
      <c r="E1372" s="83">
        <v>0</v>
      </c>
      <c r="F1372" s="83">
        <v>0</v>
      </c>
      <c r="G1372" s="83">
        <v>0</v>
      </c>
      <c r="H1372" s="83">
        <v>0</v>
      </c>
      <c r="I1372" s="83">
        <v>0</v>
      </c>
      <c r="J1372" s="83">
        <v>0</v>
      </c>
    </row>
    <row r="1373" spans="1:10">
      <c r="A1373" s="81" t="s">
        <v>10</v>
      </c>
      <c r="B1373" s="81" t="s">
        <v>125</v>
      </c>
      <c r="C1373" s="82">
        <v>0.327083333333333</v>
      </c>
      <c r="D1373" s="83">
        <v>0</v>
      </c>
      <c r="E1373" s="83">
        <v>0</v>
      </c>
      <c r="F1373" s="83">
        <v>0</v>
      </c>
      <c r="G1373" s="83">
        <v>0</v>
      </c>
      <c r="H1373" s="83">
        <v>0</v>
      </c>
      <c r="I1373" s="83">
        <v>0</v>
      </c>
      <c r="J1373" s="83">
        <v>0</v>
      </c>
    </row>
    <row r="1374" spans="1:10">
      <c r="A1374" s="81" t="s">
        <v>10</v>
      </c>
      <c r="B1374" s="81" t="s">
        <v>125</v>
      </c>
      <c r="C1374" s="82">
        <v>0.327777777777778</v>
      </c>
      <c r="D1374" s="83">
        <v>0</v>
      </c>
      <c r="E1374" s="83">
        <v>0</v>
      </c>
      <c r="F1374" s="83">
        <v>0</v>
      </c>
      <c r="G1374" s="83">
        <v>0</v>
      </c>
      <c r="H1374" s="83">
        <v>0</v>
      </c>
      <c r="I1374" s="83">
        <v>0</v>
      </c>
      <c r="J1374" s="83">
        <v>0</v>
      </c>
    </row>
    <row r="1375" spans="1:10">
      <c r="A1375" s="81" t="s">
        <v>10</v>
      </c>
      <c r="B1375" s="81" t="s">
        <v>125</v>
      </c>
      <c r="C1375" s="82">
        <v>0.328472222222222</v>
      </c>
      <c r="D1375" s="83">
        <v>0</v>
      </c>
      <c r="E1375" s="83">
        <v>0</v>
      </c>
      <c r="F1375" s="83">
        <v>0</v>
      </c>
      <c r="G1375" s="83">
        <v>0</v>
      </c>
      <c r="H1375" s="83">
        <v>0</v>
      </c>
      <c r="I1375" s="83">
        <v>0</v>
      </c>
      <c r="J1375" s="83">
        <v>0</v>
      </c>
    </row>
    <row r="1376" spans="1:10">
      <c r="A1376" s="81" t="s">
        <v>10</v>
      </c>
      <c r="B1376" s="81" t="s">
        <v>125</v>
      </c>
      <c r="C1376" s="82">
        <v>0.329166666666667</v>
      </c>
      <c r="D1376" s="83">
        <v>0</v>
      </c>
      <c r="E1376" s="83">
        <v>0</v>
      </c>
      <c r="F1376" s="83">
        <v>0</v>
      </c>
      <c r="G1376" s="83">
        <v>0</v>
      </c>
      <c r="H1376" s="83">
        <v>0</v>
      </c>
      <c r="I1376" s="83">
        <v>0</v>
      </c>
      <c r="J1376" s="83">
        <v>0</v>
      </c>
    </row>
    <row r="1377" spans="1:10">
      <c r="A1377" s="81" t="s">
        <v>10</v>
      </c>
      <c r="B1377" s="81" t="s">
        <v>125</v>
      </c>
      <c r="C1377" s="82">
        <v>0.32986111111111099</v>
      </c>
      <c r="D1377" s="83">
        <v>0</v>
      </c>
      <c r="E1377" s="83">
        <v>0</v>
      </c>
      <c r="F1377" s="83">
        <v>0</v>
      </c>
      <c r="G1377" s="83">
        <v>0</v>
      </c>
      <c r="H1377" s="83">
        <v>0</v>
      </c>
      <c r="I1377" s="83">
        <v>0</v>
      </c>
      <c r="J1377" s="83">
        <v>0</v>
      </c>
    </row>
    <row r="1378" spans="1:10">
      <c r="A1378" s="81" t="s">
        <v>10</v>
      </c>
      <c r="B1378" s="81" t="s">
        <v>125</v>
      </c>
      <c r="C1378" s="82">
        <v>0.33055555555555499</v>
      </c>
      <c r="D1378" s="83">
        <v>0</v>
      </c>
      <c r="E1378" s="83">
        <v>0</v>
      </c>
      <c r="F1378" s="83">
        <v>0</v>
      </c>
      <c r="G1378" s="83">
        <v>0</v>
      </c>
      <c r="H1378" s="83">
        <v>0</v>
      </c>
      <c r="I1378" s="83">
        <v>0</v>
      </c>
      <c r="J1378" s="83">
        <v>0</v>
      </c>
    </row>
    <row r="1379" spans="1:10">
      <c r="A1379" s="81" t="s">
        <v>10</v>
      </c>
      <c r="B1379" s="81" t="s">
        <v>125</v>
      </c>
      <c r="C1379" s="82">
        <v>0.33124999999999999</v>
      </c>
      <c r="D1379" s="83">
        <v>0</v>
      </c>
      <c r="E1379" s="83">
        <v>0</v>
      </c>
      <c r="F1379" s="83">
        <v>0</v>
      </c>
      <c r="G1379" s="83">
        <v>0</v>
      </c>
      <c r="H1379" s="83">
        <v>0</v>
      </c>
      <c r="I1379" s="83">
        <v>0</v>
      </c>
      <c r="J1379" s="83">
        <v>0</v>
      </c>
    </row>
    <row r="1380" spans="1:10">
      <c r="A1380" s="81" t="s">
        <v>10</v>
      </c>
      <c r="B1380" s="81" t="s">
        <v>125</v>
      </c>
      <c r="C1380" s="82">
        <v>0.33194444444444399</v>
      </c>
      <c r="D1380" s="83">
        <v>0</v>
      </c>
      <c r="E1380" s="83">
        <v>0</v>
      </c>
      <c r="F1380" s="83">
        <v>0</v>
      </c>
      <c r="G1380" s="83">
        <v>0</v>
      </c>
      <c r="H1380" s="83">
        <v>0</v>
      </c>
      <c r="I1380" s="83">
        <v>0</v>
      </c>
      <c r="J1380" s="83">
        <v>0</v>
      </c>
    </row>
    <row r="1381" spans="1:10" s="80" customFormat="1">
      <c r="A1381" s="84" t="s">
        <v>10</v>
      </c>
      <c r="B1381" s="84" t="s">
        <v>125</v>
      </c>
      <c r="C1381" s="85">
        <v>0.33263888888888898</v>
      </c>
      <c r="D1381" s="86">
        <v>0</v>
      </c>
      <c r="E1381" s="86">
        <v>0</v>
      </c>
      <c r="F1381" s="86">
        <v>0</v>
      </c>
      <c r="G1381" s="86">
        <v>0</v>
      </c>
      <c r="H1381" s="86">
        <v>0</v>
      </c>
      <c r="I1381" s="86">
        <v>0</v>
      </c>
      <c r="J1381" s="86">
        <v>0</v>
      </c>
    </row>
    <row r="1382" spans="1:10">
      <c r="A1382" s="81" t="s">
        <v>10</v>
      </c>
      <c r="B1382" s="81" t="s">
        <v>125</v>
      </c>
      <c r="C1382" s="82">
        <v>0.33333333333333298</v>
      </c>
      <c r="D1382" s="87">
        <v>0</v>
      </c>
      <c r="E1382" s="87">
        <v>0</v>
      </c>
      <c r="F1382" s="87">
        <v>0</v>
      </c>
      <c r="G1382" s="87">
        <v>0</v>
      </c>
      <c r="H1382" s="87">
        <v>0</v>
      </c>
      <c r="I1382" s="87">
        <v>0</v>
      </c>
      <c r="J1382" s="87">
        <v>0</v>
      </c>
    </row>
    <row r="1383" spans="1:10">
      <c r="A1383" s="81" t="s">
        <v>10</v>
      </c>
      <c r="B1383" s="81" t="s">
        <v>125</v>
      </c>
      <c r="C1383" s="82">
        <v>0.33402777777777798</v>
      </c>
      <c r="D1383" s="83">
        <v>0</v>
      </c>
      <c r="E1383" s="83">
        <v>0</v>
      </c>
      <c r="F1383" s="83">
        <v>0</v>
      </c>
      <c r="G1383" s="83">
        <v>0</v>
      </c>
      <c r="H1383" s="83">
        <v>0</v>
      </c>
      <c r="I1383" s="83">
        <v>0</v>
      </c>
      <c r="J1383" s="83">
        <v>0</v>
      </c>
    </row>
    <row r="1384" spans="1:10">
      <c r="A1384" s="81" t="s">
        <v>10</v>
      </c>
      <c r="B1384" s="81" t="s">
        <v>125</v>
      </c>
      <c r="C1384" s="82">
        <v>0.33472222222222198</v>
      </c>
      <c r="D1384" s="83">
        <v>0</v>
      </c>
      <c r="E1384" s="83">
        <v>0</v>
      </c>
      <c r="F1384" s="83">
        <v>0</v>
      </c>
      <c r="G1384" s="83">
        <v>0</v>
      </c>
      <c r="H1384" s="83">
        <v>0</v>
      </c>
      <c r="I1384" s="83">
        <v>0</v>
      </c>
      <c r="J1384" s="83">
        <v>0</v>
      </c>
    </row>
    <row r="1385" spans="1:10">
      <c r="A1385" s="81" t="s">
        <v>10</v>
      </c>
      <c r="B1385" s="81" t="s">
        <v>125</v>
      </c>
      <c r="C1385" s="82">
        <v>0.33541666666666597</v>
      </c>
      <c r="D1385" s="83">
        <v>0</v>
      </c>
      <c r="E1385" s="83">
        <v>0</v>
      </c>
      <c r="F1385" s="83">
        <v>0</v>
      </c>
      <c r="G1385" s="83">
        <v>0</v>
      </c>
      <c r="H1385" s="83">
        <v>0</v>
      </c>
      <c r="I1385" s="83">
        <v>0</v>
      </c>
      <c r="J1385" s="83">
        <v>0</v>
      </c>
    </row>
    <row r="1386" spans="1:10">
      <c r="A1386" s="81" t="s">
        <v>10</v>
      </c>
      <c r="B1386" s="81" t="s">
        <v>125</v>
      </c>
      <c r="C1386" s="82">
        <v>0.33611111111111103</v>
      </c>
      <c r="D1386" s="83">
        <v>0</v>
      </c>
      <c r="E1386" s="83">
        <v>0</v>
      </c>
      <c r="F1386" s="83">
        <v>0</v>
      </c>
      <c r="G1386" s="83">
        <v>0</v>
      </c>
      <c r="H1386" s="83">
        <v>0</v>
      </c>
      <c r="I1386" s="83">
        <v>0</v>
      </c>
      <c r="J1386" s="83">
        <v>0</v>
      </c>
    </row>
    <row r="1387" spans="1:10">
      <c r="A1387" s="81" t="s">
        <v>10</v>
      </c>
      <c r="B1387" s="81" t="s">
        <v>125</v>
      </c>
      <c r="C1387" s="82">
        <v>0.33680555555555503</v>
      </c>
      <c r="D1387" s="83">
        <v>0</v>
      </c>
      <c r="E1387" s="83">
        <v>0</v>
      </c>
      <c r="F1387" s="83">
        <v>0</v>
      </c>
      <c r="G1387" s="83">
        <v>0</v>
      </c>
      <c r="H1387" s="83">
        <v>0</v>
      </c>
      <c r="I1387" s="83">
        <v>0</v>
      </c>
      <c r="J1387" s="83">
        <v>0</v>
      </c>
    </row>
    <row r="1388" spans="1:10">
      <c r="A1388" s="81" t="s">
        <v>10</v>
      </c>
      <c r="B1388" s="81" t="s">
        <v>125</v>
      </c>
      <c r="C1388" s="82">
        <v>0.33750000000000002</v>
      </c>
      <c r="D1388" s="83">
        <v>0</v>
      </c>
      <c r="E1388" s="83">
        <v>0</v>
      </c>
      <c r="F1388" s="83">
        <v>0</v>
      </c>
      <c r="G1388" s="83">
        <v>0</v>
      </c>
      <c r="H1388" s="83">
        <v>0</v>
      </c>
      <c r="I1388" s="83">
        <v>0</v>
      </c>
      <c r="J1388" s="83">
        <v>0</v>
      </c>
    </row>
    <row r="1389" spans="1:10">
      <c r="A1389" s="81" t="s">
        <v>10</v>
      </c>
      <c r="B1389" s="81" t="s">
        <v>125</v>
      </c>
      <c r="C1389" s="82">
        <v>0.33819444444444402</v>
      </c>
      <c r="D1389" s="83">
        <v>0</v>
      </c>
      <c r="E1389" s="83">
        <v>0</v>
      </c>
      <c r="F1389" s="83">
        <v>0</v>
      </c>
      <c r="G1389" s="83">
        <v>0</v>
      </c>
      <c r="H1389" s="83">
        <v>0</v>
      </c>
      <c r="I1389" s="83">
        <v>0</v>
      </c>
      <c r="J1389" s="83">
        <v>0</v>
      </c>
    </row>
    <row r="1390" spans="1:10">
      <c r="A1390" s="81" t="s">
        <v>10</v>
      </c>
      <c r="B1390" s="81" t="s">
        <v>125</v>
      </c>
      <c r="C1390" s="82">
        <v>0.33888888888888902</v>
      </c>
      <c r="D1390" s="83">
        <v>0</v>
      </c>
      <c r="E1390" s="83">
        <v>0</v>
      </c>
      <c r="F1390" s="83">
        <v>0</v>
      </c>
      <c r="G1390" s="83">
        <v>0</v>
      </c>
      <c r="H1390" s="83">
        <v>0</v>
      </c>
      <c r="I1390" s="83">
        <v>0</v>
      </c>
      <c r="J1390" s="83">
        <v>0</v>
      </c>
    </row>
    <row r="1391" spans="1:10">
      <c r="A1391" s="81" t="s">
        <v>10</v>
      </c>
      <c r="B1391" s="81" t="s">
        <v>125</v>
      </c>
      <c r="C1391" s="82">
        <v>0.33958333333333302</v>
      </c>
      <c r="D1391" s="83">
        <v>0</v>
      </c>
      <c r="E1391" s="83">
        <v>0</v>
      </c>
      <c r="F1391" s="83">
        <v>0</v>
      </c>
      <c r="G1391" s="83">
        <v>0</v>
      </c>
      <c r="H1391" s="83">
        <v>0</v>
      </c>
      <c r="I1391" s="83">
        <v>0</v>
      </c>
      <c r="J1391" s="83">
        <v>0</v>
      </c>
    </row>
    <row r="1392" spans="1:10">
      <c r="A1392" s="81" t="s">
        <v>10</v>
      </c>
      <c r="B1392" s="81" t="s">
        <v>125</v>
      </c>
      <c r="C1392" s="82">
        <v>0.34027777777777801</v>
      </c>
      <c r="D1392" s="83">
        <v>0</v>
      </c>
      <c r="E1392" s="83">
        <v>0</v>
      </c>
      <c r="F1392" s="83">
        <v>0</v>
      </c>
      <c r="G1392" s="83">
        <v>0</v>
      </c>
      <c r="H1392" s="83">
        <v>0</v>
      </c>
      <c r="I1392" s="83">
        <v>0</v>
      </c>
      <c r="J1392" s="83">
        <v>0</v>
      </c>
    </row>
    <row r="1393" spans="1:10">
      <c r="A1393" s="81" t="s">
        <v>10</v>
      </c>
      <c r="B1393" s="81" t="s">
        <v>125</v>
      </c>
      <c r="C1393" s="82">
        <v>0.34097222222222201</v>
      </c>
      <c r="D1393" s="83">
        <v>0</v>
      </c>
      <c r="E1393" s="83">
        <v>0</v>
      </c>
      <c r="F1393" s="83">
        <v>0</v>
      </c>
      <c r="G1393" s="83">
        <v>0</v>
      </c>
      <c r="H1393" s="83">
        <v>0</v>
      </c>
      <c r="I1393" s="83">
        <v>0</v>
      </c>
      <c r="J1393" s="83">
        <v>0</v>
      </c>
    </row>
    <row r="1394" spans="1:10">
      <c r="A1394" s="81" t="s">
        <v>10</v>
      </c>
      <c r="B1394" s="81" t="s">
        <v>125</v>
      </c>
      <c r="C1394" s="82">
        <v>0.34166666666666701</v>
      </c>
      <c r="D1394" s="83">
        <v>0</v>
      </c>
      <c r="E1394" s="83">
        <v>0</v>
      </c>
      <c r="F1394" s="83">
        <v>0</v>
      </c>
      <c r="G1394" s="83">
        <v>0</v>
      </c>
      <c r="H1394" s="83">
        <v>0</v>
      </c>
      <c r="I1394" s="83">
        <v>0</v>
      </c>
      <c r="J1394" s="83">
        <v>0</v>
      </c>
    </row>
    <row r="1395" spans="1:10">
      <c r="A1395" s="81" t="s">
        <v>10</v>
      </c>
      <c r="B1395" s="81" t="s">
        <v>125</v>
      </c>
      <c r="C1395" s="82">
        <v>0.34236111111111101</v>
      </c>
      <c r="D1395" s="83">
        <v>0</v>
      </c>
      <c r="E1395" s="83">
        <v>0</v>
      </c>
      <c r="F1395" s="83">
        <v>0</v>
      </c>
      <c r="G1395" s="83">
        <v>0</v>
      </c>
      <c r="H1395" s="83">
        <v>0</v>
      </c>
      <c r="I1395" s="83">
        <v>0</v>
      </c>
      <c r="J1395" s="83">
        <v>0</v>
      </c>
    </row>
    <row r="1396" spans="1:10" s="80" customFormat="1">
      <c r="A1396" s="84" t="s">
        <v>10</v>
      </c>
      <c r="B1396" s="84" t="s">
        <v>125</v>
      </c>
      <c r="C1396" s="85">
        <v>0.343055555555555</v>
      </c>
      <c r="D1396" s="83">
        <v>0</v>
      </c>
      <c r="E1396" s="83">
        <v>0</v>
      </c>
      <c r="F1396" s="83">
        <v>0</v>
      </c>
      <c r="G1396" s="83">
        <v>0</v>
      </c>
      <c r="H1396" s="83">
        <v>0</v>
      </c>
      <c r="I1396" s="83">
        <v>0</v>
      </c>
      <c r="J1396" s="83">
        <v>0</v>
      </c>
    </row>
    <row r="1397" spans="1:10">
      <c r="A1397" s="81" t="s">
        <v>10</v>
      </c>
      <c r="B1397" s="81" t="s">
        <v>125</v>
      </c>
      <c r="C1397" s="82">
        <v>0.34375</v>
      </c>
      <c r="D1397" s="87">
        <v>0</v>
      </c>
      <c r="E1397" s="87">
        <v>0</v>
      </c>
      <c r="F1397" s="87">
        <v>0</v>
      </c>
      <c r="G1397" s="87">
        <v>0</v>
      </c>
      <c r="H1397" s="87">
        <v>0</v>
      </c>
      <c r="I1397" s="87">
        <v>0</v>
      </c>
      <c r="J1397" s="87">
        <v>0</v>
      </c>
    </row>
    <row r="1398" spans="1:10">
      <c r="A1398" s="81" t="s">
        <v>10</v>
      </c>
      <c r="B1398" s="81" t="s">
        <v>125</v>
      </c>
      <c r="C1398" s="82">
        <v>0.344444444444444</v>
      </c>
      <c r="D1398" s="83">
        <v>0</v>
      </c>
      <c r="E1398" s="83">
        <v>0</v>
      </c>
      <c r="F1398" s="83">
        <v>0</v>
      </c>
      <c r="G1398" s="83">
        <v>0</v>
      </c>
      <c r="H1398" s="83">
        <v>0</v>
      </c>
      <c r="I1398" s="83">
        <v>0</v>
      </c>
      <c r="J1398" s="83">
        <v>0</v>
      </c>
    </row>
    <row r="1399" spans="1:10">
      <c r="A1399" s="81" t="s">
        <v>10</v>
      </c>
      <c r="B1399" s="81" t="s">
        <v>125</v>
      </c>
      <c r="C1399" s="82">
        <v>0.34513888888888899</v>
      </c>
      <c r="D1399" s="83">
        <v>0</v>
      </c>
      <c r="E1399" s="83">
        <v>0</v>
      </c>
      <c r="F1399" s="83">
        <v>0</v>
      </c>
      <c r="G1399" s="83">
        <v>0</v>
      </c>
      <c r="H1399" s="83">
        <v>0</v>
      </c>
      <c r="I1399" s="83">
        <v>0</v>
      </c>
      <c r="J1399" s="83">
        <v>0</v>
      </c>
    </row>
    <row r="1400" spans="1:10">
      <c r="A1400" s="81" t="s">
        <v>10</v>
      </c>
      <c r="B1400" s="81" t="s">
        <v>125</v>
      </c>
      <c r="C1400" s="82">
        <v>0.34583333333333299</v>
      </c>
      <c r="D1400" s="83">
        <v>0</v>
      </c>
      <c r="E1400" s="83">
        <v>0</v>
      </c>
      <c r="F1400" s="83">
        <v>0</v>
      </c>
      <c r="G1400" s="83">
        <v>0</v>
      </c>
      <c r="H1400" s="83">
        <v>0</v>
      </c>
      <c r="I1400" s="83">
        <v>0</v>
      </c>
      <c r="J1400" s="83">
        <v>0</v>
      </c>
    </row>
    <row r="1401" spans="1:10">
      <c r="A1401" s="81" t="s">
        <v>10</v>
      </c>
      <c r="B1401" s="81" t="s">
        <v>125</v>
      </c>
      <c r="C1401" s="82">
        <v>0.34652777777777799</v>
      </c>
      <c r="D1401" s="83">
        <v>0</v>
      </c>
      <c r="E1401" s="83">
        <v>0</v>
      </c>
      <c r="F1401" s="83">
        <v>0</v>
      </c>
      <c r="G1401" s="83">
        <v>0</v>
      </c>
      <c r="H1401" s="83">
        <v>0</v>
      </c>
      <c r="I1401" s="83">
        <v>0</v>
      </c>
      <c r="J1401" s="83">
        <v>0</v>
      </c>
    </row>
    <row r="1402" spans="1:10">
      <c r="A1402" s="81" t="s">
        <v>10</v>
      </c>
      <c r="B1402" s="81" t="s">
        <v>125</v>
      </c>
      <c r="C1402" s="82">
        <v>0.34722222222222199</v>
      </c>
      <c r="D1402" s="83">
        <v>0</v>
      </c>
      <c r="E1402" s="83">
        <v>0</v>
      </c>
      <c r="F1402" s="83">
        <v>0</v>
      </c>
      <c r="G1402" s="83">
        <v>0</v>
      </c>
      <c r="H1402" s="83">
        <v>0</v>
      </c>
      <c r="I1402" s="83">
        <v>0</v>
      </c>
      <c r="J1402" s="83">
        <v>0</v>
      </c>
    </row>
    <row r="1403" spans="1:10">
      <c r="A1403" s="81" t="s">
        <v>10</v>
      </c>
      <c r="B1403" s="81" t="s">
        <v>125</v>
      </c>
      <c r="C1403" s="82">
        <v>0.34791666666666599</v>
      </c>
      <c r="D1403" s="83">
        <v>0</v>
      </c>
      <c r="E1403" s="83">
        <v>0</v>
      </c>
      <c r="F1403" s="83">
        <v>0</v>
      </c>
      <c r="G1403" s="83">
        <v>0</v>
      </c>
      <c r="H1403" s="83">
        <v>0</v>
      </c>
      <c r="I1403" s="83">
        <v>0</v>
      </c>
      <c r="J1403" s="83">
        <v>0</v>
      </c>
    </row>
    <row r="1404" spans="1:10">
      <c r="A1404" s="81" t="s">
        <v>10</v>
      </c>
      <c r="B1404" s="81" t="s">
        <v>125</v>
      </c>
      <c r="C1404" s="82">
        <v>0.34861111111111098</v>
      </c>
      <c r="D1404" s="83">
        <v>0</v>
      </c>
      <c r="E1404" s="83">
        <v>0</v>
      </c>
      <c r="F1404" s="83">
        <v>0</v>
      </c>
      <c r="G1404" s="83">
        <v>0</v>
      </c>
      <c r="H1404" s="83">
        <v>0</v>
      </c>
      <c r="I1404" s="83">
        <v>0</v>
      </c>
      <c r="J1404" s="83">
        <v>0</v>
      </c>
    </row>
    <row r="1405" spans="1:10">
      <c r="A1405" s="81" t="s">
        <v>10</v>
      </c>
      <c r="B1405" s="81" t="s">
        <v>125</v>
      </c>
      <c r="C1405" s="82">
        <v>0.34930555555555498</v>
      </c>
      <c r="D1405" s="83">
        <v>0</v>
      </c>
      <c r="E1405" s="83">
        <v>0</v>
      </c>
      <c r="F1405" s="83">
        <v>0</v>
      </c>
      <c r="G1405" s="83">
        <v>0</v>
      </c>
      <c r="H1405" s="83">
        <v>0</v>
      </c>
      <c r="I1405" s="83">
        <v>0</v>
      </c>
      <c r="J1405" s="83">
        <v>0</v>
      </c>
    </row>
    <row r="1406" spans="1:10">
      <c r="A1406" s="81" t="s">
        <v>10</v>
      </c>
      <c r="B1406" s="81" t="s">
        <v>125</v>
      </c>
      <c r="C1406" s="82">
        <v>0.35</v>
      </c>
      <c r="D1406" s="83">
        <v>0</v>
      </c>
      <c r="E1406" s="83">
        <v>0</v>
      </c>
      <c r="F1406" s="83">
        <v>0</v>
      </c>
      <c r="G1406" s="83">
        <v>0</v>
      </c>
      <c r="H1406" s="83">
        <v>0</v>
      </c>
      <c r="I1406" s="83">
        <v>0</v>
      </c>
      <c r="J1406" s="83">
        <v>0</v>
      </c>
    </row>
    <row r="1407" spans="1:10">
      <c r="A1407" s="81" t="s">
        <v>10</v>
      </c>
      <c r="B1407" s="81" t="s">
        <v>125</v>
      </c>
      <c r="C1407" s="82">
        <v>0.35069444444444398</v>
      </c>
      <c r="D1407" s="83">
        <v>0</v>
      </c>
      <c r="E1407" s="83">
        <v>0</v>
      </c>
      <c r="F1407" s="83">
        <v>0</v>
      </c>
      <c r="G1407" s="83">
        <v>0</v>
      </c>
      <c r="H1407" s="83">
        <v>0</v>
      </c>
      <c r="I1407" s="83">
        <v>0</v>
      </c>
      <c r="J1407" s="83">
        <v>0</v>
      </c>
    </row>
    <row r="1408" spans="1:10">
      <c r="A1408" s="81" t="s">
        <v>10</v>
      </c>
      <c r="B1408" s="81" t="s">
        <v>125</v>
      </c>
      <c r="C1408" s="82">
        <v>0.35138888888888897</v>
      </c>
      <c r="D1408" s="83">
        <v>0</v>
      </c>
      <c r="E1408" s="83">
        <v>0</v>
      </c>
      <c r="F1408" s="83">
        <v>0</v>
      </c>
      <c r="G1408" s="83">
        <v>0</v>
      </c>
      <c r="H1408" s="83">
        <v>0</v>
      </c>
      <c r="I1408" s="83">
        <v>0</v>
      </c>
      <c r="J1408" s="83">
        <v>0</v>
      </c>
    </row>
    <row r="1409" spans="1:10">
      <c r="A1409" s="81" t="s">
        <v>10</v>
      </c>
      <c r="B1409" s="81" t="s">
        <v>125</v>
      </c>
      <c r="C1409" s="82">
        <v>0.35208333333333303</v>
      </c>
      <c r="D1409" s="83">
        <v>0</v>
      </c>
      <c r="E1409" s="83">
        <v>0</v>
      </c>
      <c r="F1409" s="83">
        <v>0</v>
      </c>
      <c r="G1409" s="83">
        <v>0</v>
      </c>
      <c r="H1409" s="83">
        <v>0</v>
      </c>
      <c r="I1409" s="83">
        <v>0</v>
      </c>
      <c r="J1409" s="83">
        <v>0</v>
      </c>
    </row>
    <row r="1410" spans="1:10">
      <c r="A1410" s="81" t="s">
        <v>10</v>
      </c>
      <c r="B1410" s="81" t="s">
        <v>125</v>
      </c>
      <c r="C1410" s="82">
        <v>0.35277777777777802</v>
      </c>
      <c r="D1410" s="83">
        <v>0</v>
      </c>
      <c r="E1410" s="83">
        <v>0</v>
      </c>
      <c r="F1410" s="83">
        <v>0</v>
      </c>
      <c r="G1410" s="83">
        <v>0</v>
      </c>
      <c r="H1410" s="83">
        <v>0</v>
      </c>
      <c r="I1410" s="83">
        <v>0</v>
      </c>
      <c r="J1410" s="83">
        <v>0</v>
      </c>
    </row>
    <row r="1411" spans="1:10" s="80" customFormat="1">
      <c r="A1411" s="84" t="s">
        <v>10</v>
      </c>
      <c r="B1411" s="84" t="s">
        <v>125</v>
      </c>
      <c r="C1411" s="85">
        <v>0.35347222222222202</v>
      </c>
      <c r="D1411" s="86">
        <v>0</v>
      </c>
      <c r="E1411" s="86">
        <v>0</v>
      </c>
      <c r="F1411" s="86">
        <v>0</v>
      </c>
      <c r="G1411" s="86">
        <v>0</v>
      </c>
      <c r="H1411" s="86">
        <v>0</v>
      </c>
      <c r="I1411" s="86">
        <v>0</v>
      </c>
      <c r="J1411" s="86">
        <v>0</v>
      </c>
    </row>
    <row r="1412" spans="1:10">
      <c r="A1412" s="81" t="s">
        <v>10</v>
      </c>
      <c r="B1412" s="81" t="s">
        <v>125</v>
      </c>
      <c r="C1412" s="82">
        <v>0.35416666666666602</v>
      </c>
      <c r="D1412" s="87">
        <v>0</v>
      </c>
      <c r="E1412" s="87">
        <v>0</v>
      </c>
      <c r="F1412" s="87">
        <v>0</v>
      </c>
      <c r="G1412" s="87">
        <v>0</v>
      </c>
      <c r="H1412" s="87">
        <v>0</v>
      </c>
      <c r="I1412" s="87">
        <v>0</v>
      </c>
      <c r="J1412" s="87">
        <v>0</v>
      </c>
    </row>
    <row r="1413" spans="1:10">
      <c r="A1413" s="81" t="s">
        <v>10</v>
      </c>
      <c r="B1413" s="81" t="s">
        <v>125</v>
      </c>
      <c r="C1413" s="82">
        <v>0.35486111111111102</v>
      </c>
      <c r="D1413" s="83">
        <v>0</v>
      </c>
      <c r="E1413" s="83">
        <v>0</v>
      </c>
      <c r="F1413" s="83">
        <v>0</v>
      </c>
      <c r="G1413" s="83">
        <v>0</v>
      </c>
      <c r="H1413" s="83">
        <v>0</v>
      </c>
      <c r="I1413" s="83">
        <v>0</v>
      </c>
      <c r="J1413" s="83">
        <v>0</v>
      </c>
    </row>
    <row r="1414" spans="1:10">
      <c r="A1414" s="81" t="s">
        <v>10</v>
      </c>
      <c r="B1414" s="81" t="s">
        <v>125</v>
      </c>
      <c r="C1414" s="82">
        <v>0.35555555555555501</v>
      </c>
      <c r="D1414" s="83">
        <v>0</v>
      </c>
      <c r="E1414" s="83">
        <v>0</v>
      </c>
      <c r="F1414" s="83">
        <v>0</v>
      </c>
      <c r="G1414" s="83">
        <v>0</v>
      </c>
      <c r="H1414" s="83">
        <v>0</v>
      </c>
      <c r="I1414" s="83">
        <v>0</v>
      </c>
      <c r="J1414" s="83">
        <v>0</v>
      </c>
    </row>
    <row r="1415" spans="1:10">
      <c r="A1415" s="81" t="s">
        <v>10</v>
      </c>
      <c r="B1415" s="81" t="s">
        <v>125</v>
      </c>
      <c r="C1415" s="82">
        <v>0.35625000000000001</v>
      </c>
      <c r="D1415" s="83">
        <v>0</v>
      </c>
      <c r="E1415" s="83">
        <v>0</v>
      </c>
      <c r="F1415" s="83">
        <v>0</v>
      </c>
      <c r="G1415" s="83">
        <v>0</v>
      </c>
      <c r="H1415" s="83">
        <v>0</v>
      </c>
      <c r="I1415" s="83">
        <v>0</v>
      </c>
      <c r="J1415" s="83">
        <v>0</v>
      </c>
    </row>
    <row r="1416" spans="1:10">
      <c r="A1416" s="81" t="s">
        <v>10</v>
      </c>
      <c r="B1416" s="81" t="s">
        <v>125</v>
      </c>
      <c r="C1416" s="82">
        <v>0.35694444444444401</v>
      </c>
      <c r="D1416" s="83">
        <v>0</v>
      </c>
      <c r="E1416" s="83">
        <v>0</v>
      </c>
      <c r="F1416" s="83">
        <v>0</v>
      </c>
      <c r="G1416" s="83">
        <v>0</v>
      </c>
      <c r="H1416" s="83">
        <v>0</v>
      </c>
      <c r="I1416" s="83">
        <v>0</v>
      </c>
      <c r="J1416" s="83">
        <v>0</v>
      </c>
    </row>
    <row r="1417" spans="1:10">
      <c r="A1417" s="81" t="s">
        <v>10</v>
      </c>
      <c r="B1417" s="81" t="s">
        <v>125</v>
      </c>
      <c r="C1417" s="82">
        <v>0.35763888888888901</v>
      </c>
      <c r="D1417" s="83">
        <v>0</v>
      </c>
      <c r="E1417" s="83">
        <v>0</v>
      </c>
      <c r="F1417" s="83">
        <v>0</v>
      </c>
      <c r="G1417" s="83">
        <v>0</v>
      </c>
      <c r="H1417" s="83">
        <v>0</v>
      </c>
      <c r="I1417" s="83">
        <v>0</v>
      </c>
      <c r="J1417" s="83">
        <v>0</v>
      </c>
    </row>
    <row r="1418" spans="1:10">
      <c r="A1418" s="81" t="s">
        <v>10</v>
      </c>
      <c r="B1418" s="81" t="s">
        <v>125</v>
      </c>
      <c r="C1418" s="82">
        <v>0.358333333333333</v>
      </c>
      <c r="D1418" s="83">
        <v>0</v>
      </c>
      <c r="E1418" s="83">
        <v>0</v>
      </c>
      <c r="F1418" s="83">
        <v>0</v>
      </c>
      <c r="G1418" s="83">
        <v>0</v>
      </c>
      <c r="H1418" s="83">
        <v>0</v>
      </c>
      <c r="I1418" s="83">
        <v>0</v>
      </c>
      <c r="J1418" s="83">
        <v>0</v>
      </c>
    </row>
    <row r="1419" spans="1:10">
      <c r="A1419" s="81" t="s">
        <v>10</v>
      </c>
      <c r="B1419" s="81" t="s">
        <v>125</v>
      </c>
      <c r="C1419" s="82">
        <v>0.359027777777778</v>
      </c>
      <c r="D1419" s="83">
        <v>0</v>
      </c>
      <c r="E1419" s="83">
        <v>0</v>
      </c>
      <c r="F1419" s="83">
        <v>0</v>
      </c>
      <c r="G1419" s="83">
        <v>0</v>
      </c>
      <c r="H1419" s="83">
        <v>0</v>
      </c>
      <c r="I1419" s="83">
        <v>0</v>
      </c>
      <c r="J1419" s="83">
        <v>0</v>
      </c>
    </row>
    <row r="1420" spans="1:10">
      <c r="A1420" s="81" t="s">
        <v>10</v>
      </c>
      <c r="B1420" s="81" t="s">
        <v>125</v>
      </c>
      <c r="C1420" s="82">
        <v>0.359722222222222</v>
      </c>
      <c r="D1420" s="83">
        <v>0</v>
      </c>
      <c r="E1420" s="83">
        <v>0</v>
      </c>
      <c r="F1420" s="83">
        <v>0</v>
      </c>
      <c r="G1420" s="83">
        <v>0</v>
      </c>
      <c r="H1420" s="83">
        <v>0</v>
      </c>
      <c r="I1420" s="83">
        <v>0</v>
      </c>
      <c r="J1420" s="83">
        <v>0</v>
      </c>
    </row>
    <row r="1421" spans="1:10">
      <c r="A1421" s="81" t="s">
        <v>10</v>
      </c>
      <c r="B1421" s="81" t="s">
        <v>125</v>
      </c>
      <c r="C1421" s="82">
        <v>0.360416666666666</v>
      </c>
      <c r="D1421" s="83">
        <v>0</v>
      </c>
      <c r="E1421" s="83">
        <v>0</v>
      </c>
      <c r="F1421" s="83">
        <v>0</v>
      </c>
      <c r="G1421" s="83">
        <v>0</v>
      </c>
      <c r="H1421" s="83">
        <v>0</v>
      </c>
      <c r="I1421" s="83">
        <v>0</v>
      </c>
      <c r="J1421" s="83">
        <v>0</v>
      </c>
    </row>
    <row r="1422" spans="1:10">
      <c r="A1422" s="81" t="s">
        <v>10</v>
      </c>
      <c r="B1422" s="81" t="s">
        <v>125</v>
      </c>
      <c r="C1422" s="82">
        <v>0.36111111111111099</v>
      </c>
      <c r="D1422" s="83">
        <v>0</v>
      </c>
      <c r="E1422" s="83">
        <v>0</v>
      </c>
      <c r="F1422" s="83">
        <v>0</v>
      </c>
      <c r="G1422" s="83">
        <v>0</v>
      </c>
      <c r="H1422" s="83">
        <v>0</v>
      </c>
      <c r="I1422" s="83">
        <v>0</v>
      </c>
      <c r="J1422" s="83">
        <v>0</v>
      </c>
    </row>
    <row r="1423" spans="1:10">
      <c r="A1423" s="81" t="s">
        <v>10</v>
      </c>
      <c r="B1423" s="81" t="s">
        <v>125</v>
      </c>
      <c r="C1423" s="82">
        <v>0.36180555555555499</v>
      </c>
      <c r="D1423" s="83">
        <v>0</v>
      </c>
      <c r="E1423" s="83">
        <v>0</v>
      </c>
      <c r="F1423" s="83">
        <v>0</v>
      </c>
      <c r="G1423" s="83">
        <v>0</v>
      </c>
      <c r="H1423" s="83">
        <v>0</v>
      </c>
      <c r="I1423" s="83">
        <v>0</v>
      </c>
      <c r="J1423" s="83">
        <v>0</v>
      </c>
    </row>
    <row r="1424" spans="1:10">
      <c r="A1424" s="81" t="s">
        <v>10</v>
      </c>
      <c r="B1424" s="81" t="s">
        <v>125</v>
      </c>
      <c r="C1424" s="82">
        <v>0.36249999999999999</v>
      </c>
      <c r="D1424" s="83">
        <v>0</v>
      </c>
      <c r="E1424" s="83">
        <v>0</v>
      </c>
      <c r="F1424" s="83">
        <v>0</v>
      </c>
      <c r="G1424" s="83">
        <v>0</v>
      </c>
      <c r="H1424" s="83">
        <v>0</v>
      </c>
      <c r="I1424" s="83">
        <v>0</v>
      </c>
      <c r="J1424" s="83">
        <v>0</v>
      </c>
    </row>
    <row r="1425" spans="1:10">
      <c r="A1425" s="81" t="s">
        <v>10</v>
      </c>
      <c r="B1425" s="81" t="s">
        <v>125</v>
      </c>
      <c r="C1425" s="82">
        <v>0.36319444444444399</v>
      </c>
      <c r="D1425" s="83">
        <v>0</v>
      </c>
      <c r="E1425" s="83">
        <v>0</v>
      </c>
      <c r="F1425" s="83">
        <v>0</v>
      </c>
      <c r="G1425" s="83">
        <v>0</v>
      </c>
      <c r="H1425" s="83">
        <v>0</v>
      </c>
      <c r="I1425" s="83">
        <v>0</v>
      </c>
      <c r="J1425" s="83">
        <v>0</v>
      </c>
    </row>
    <row r="1426" spans="1:10" s="80" customFormat="1">
      <c r="A1426" s="84" t="s">
        <v>10</v>
      </c>
      <c r="B1426" s="84" t="s">
        <v>125</v>
      </c>
      <c r="C1426" s="85">
        <v>0.36388888888888898</v>
      </c>
      <c r="D1426" s="83">
        <v>0</v>
      </c>
      <c r="E1426" s="83">
        <v>0</v>
      </c>
      <c r="F1426" s="83">
        <v>0</v>
      </c>
      <c r="G1426" s="83">
        <v>0</v>
      </c>
      <c r="H1426" s="83">
        <v>0</v>
      </c>
      <c r="I1426" s="83">
        <v>0</v>
      </c>
      <c r="J1426" s="83">
        <v>0</v>
      </c>
    </row>
    <row r="1427" spans="1:10">
      <c r="A1427" s="81" t="s">
        <v>10</v>
      </c>
      <c r="B1427" s="81" t="s">
        <v>125</v>
      </c>
      <c r="C1427" s="82">
        <v>0.36458333333333298</v>
      </c>
      <c r="D1427" s="87">
        <v>0</v>
      </c>
      <c r="E1427" s="87">
        <v>0</v>
      </c>
      <c r="F1427" s="87">
        <v>0</v>
      </c>
      <c r="G1427" s="87">
        <v>0</v>
      </c>
      <c r="H1427" s="87">
        <v>0</v>
      </c>
      <c r="I1427" s="87">
        <v>0</v>
      </c>
      <c r="J1427" s="87">
        <v>0</v>
      </c>
    </row>
    <row r="1428" spans="1:10">
      <c r="A1428" s="81" t="s">
        <v>10</v>
      </c>
      <c r="B1428" s="81" t="s">
        <v>125</v>
      </c>
      <c r="C1428" s="82">
        <v>0.36527777777777698</v>
      </c>
      <c r="D1428" s="83">
        <v>0</v>
      </c>
      <c r="E1428" s="83">
        <v>0</v>
      </c>
      <c r="F1428" s="83">
        <v>0</v>
      </c>
      <c r="G1428" s="83">
        <v>0</v>
      </c>
      <c r="H1428" s="83">
        <v>0</v>
      </c>
      <c r="I1428" s="83">
        <v>0</v>
      </c>
      <c r="J1428" s="83">
        <v>0</v>
      </c>
    </row>
    <row r="1429" spans="1:10">
      <c r="A1429" s="81" t="s">
        <v>10</v>
      </c>
      <c r="B1429" s="81" t="s">
        <v>125</v>
      </c>
      <c r="C1429" s="82">
        <v>0.36597222222222198</v>
      </c>
      <c r="D1429" s="83">
        <v>0</v>
      </c>
      <c r="E1429" s="83">
        <v>0</v>
      </c>
      <c r="F1429" s="83">
        <v>0</v>
      </c>
      <c r="G1429" s="83">
        <v>0</v>
      </c>
      <c r="H1429" s="83">
        <v>0</v>
      </c>
      <c r="I1429" s="83">
        <v>0</v>
      </c>
      <c r="J1429" s="83">
        <v>0</v>
      </c>
    </row>
    <row r="1430" spans="1:10">
      <c r="A1430" s="81" t="s">
        <v>10</v>
      </c>
      <c r="B1430" s="81" t="s">
        <v>125</v>
      </c>
      <c r="C1430" s="82">
        <v>0.36666666666666597</v>
      </c>
      <c r="D1430" s="83">
        <v>0</v>
      </c>
      <c r="E1430" s="83">
        <v>0</v>
      </c>
      <c r="F1430" s="83">
        <v>0</v>
      </c>
      <c r="G1430" s="83">
        <v>0</v>
      </c>
      <c r="H1430" s="83">
        <v>0</v>
      </c>
      <c r="I1430" s="83">
        <v>0</v>
      </c>
      <c r="J1430" s="83">
        <v>0</v>
      </c>
    </row>
    <row r="1431" spans="1:10">
      <c r="A1431" s="81" t="s">
        <v>10</v>
      </c>
      <c r="B1431" s="81" t="s">
        <v>125</v>
      </c>
      <c r="C1431" s="82">
        <v>0.36736111111111103</v>
      </c>
      <c r="D1431" s="83">
        <v>0</v>
      </c>
      <c r="E1431" s="83">
        <v>0</v>
      </c>
      <c r="F1431" s="83">
        <v>0</v>
      </c>
      <c r="G1431" s="83">
        <v>0</v>
      </c>
      <c r="H1431" s="83">
        <v>0</v>
      </c>
      <c r="I1431" s="83">
        <v>0</v>
      </c>
      <c r="J1431" s="83">
        <v>0</v>
      </c>
    </row>
    <row r="1432" spans="1:10">
      <c r="A1432" s="81" t="s">
        <v>10</v>
      </c>
      <c r="B1432" s="81" t="s">
        <v>125</v>
      </c>
      <c r="C1432" s="82">
        <v>0.36805555555555503</v>
      </c>
      <c r="D1432" s="83">
        <v>0</v>
      </c>
      <c r="E1432" s="83">
        <v>0</v>
      </c>
      <c r="F1432" s="83">
        <v>0</v>
      </c>
      <c r="G1432" s="83">
        <v>0</v>
      </c>
      <c r="H1432" s="83">
        <v>0</v>
      </c>
      <c r="I1432" s="83">
        <v>0</v>
      </c>
      <c r="J1432" s="83">
        <v>0</v>
      </c>
    </row>
    <row r="1433" spans="1:10">
      <c r="A1433" s="81" t="s">
        <v>10</v>
      </c>
      <c r="B1433" s="81" t="s">
        <v>125</v>
      </c>
      <c r="C1433" s="82">
        <v>0.36875000000000002</v>
      </c>
      <c r="D1433" s="83">
        <v>0</v>
      </c>
      <c r="E1433" s="83">
        <v>0</v>
      </c>
      <c r="F1433" s="83">
        <v>0</v>
      </c>
      <c r="G1433" s="83">
        <v>0</v>
      </c>
      <c r="H1433" s="83">
        <v>0</v>
      </c>
      <c r="I1433" s="83">
        <v>0</v>
      </c>
      <c r="J1433" s="83">
        <v>0</v>
      </c>
    </row>
    <row r="1434" spans="1:10">
      <c r="A1434" s="81" t="s">
        <v>10</v>
      </c>
      <c r="B1434" s="81" t="s">
        <v>125</v>
      </c>
      <c r="C1434" s="82">
        <v>0.36944444444444402</v>
      </c>
      <c r="D1434" s="83">
        <v>0</v>
      </c>
      <c r="E1434" s="83">
        <v>0</v>
      </c>
      <c r="F1434" s="83">
        <v>0</v>
      </c>
      <c r="G1434" s="83">
        <v>0</v>
      </c>
      <c r="H1434" s="83">
        <v>0</v>
      </c>
      <c r="I1434" s="83">
        <v>0</v>
      </c>
      <c r="J1434" s="83">
        <v>0</v>
      </c>
    </row>
    <row r="1435" spans="1:10">
      <c r="A1435" s="81" t="s">
        <v>10</v>
      </c>
      <c r="B1435" s="81" t="s">
        <v>125</v>
      </c>
      <c r="C1435" s="82">
        <v>0.37013888888888902</v>
      </c>
      <c r="D1435" s="83">
        <v>0</v>
      </c>
      <c r="E1435" s="83">
        <v>0</v>
      </c>
      <c r="F1435" s="83">
        <v>0</v>
      </c>
      <c r="G1435" s="83">
        <v>0</v>
      </c>
      <c r="H1435" s="83">
        <v>0</v>
      </c>
      <c r="I1435" s="83">
        <v>0</v>
      </c>
      <c r="J1435" s="83">
        <v>0</v>
      </c>
    </row>
    <row r="1436" spans="1:10">
      <c r="A1436" s="81" t="s">
        <v>10</v>
      </c>
      <c r="B1436" s="81" t="s">
        <v>125</v>
      </c>
      <c r="C1436" s="82">
        <v>0.37083333333333302</v>
      </c>
      <c r="D1436" s="83">
        <v>0</v>
      </c>
      <c r="E1436" s="83">
        <v>0</v>
      </c>
      <c r="F1436" s="83">
        <v>0</v>
      </c>
      <c r="G1436" s="83">
        <v>0</v>
      </c>
      <c r="H1436" s="83">
        <v>0</v>
      </c>
      <c r="I1436" s="83">
        <v>0</v>
      </c>
      <c r="J1436" s="83">
        <v>0</v>
      </c>
    </row>
    <row r="1437" spans="1:10">
      <c r="A1437" s="81" t="s">
        <v>10</v>
      </c>
      <c r="B1437" s="81" t="s">
        <v>125</v>
      </c>
      <c r="C1437" s="82">
        <v>0.37152777777777701</v>
      </c>
      <c r="D1437" s="83">
        <v>0</v>
      </c>
      <c r="E1437" s="83">
        <v>0</v>
      </c>
      <c r="F1437" s="83">
        <v>0</v>
      </c>
      <c r="G1437" s="83">
        <v>0</v>
      </c>
      <c r="H1437" s="83">
        <v>0</v>
      </c>
      <c r="I1437" s="83">
        <v>0</v>
      </c>
      <c r="J1437" s="83">
        <v>0</v>
      </c>
    </row>
    <row r="1438" spans="1:10">
      <c r="A1438" s="81" t="s">
        <v>10</v>
      </c>
      <c r="B1438" s="81" t="s">
        <v>125</v>
      </c>
      <c r="C1438" s="82">
        <v>0.37222222222222201</v>
      </c>
      <c r="D1438" s="83">
        <v>0</v>
      </c>
      <c r="E1438" s="83">
        <v>0</v>
      </c>
      <c r="F1438" s="83">
        <v>0</v>
      </c>
      <c r="G1438" s="83">
        <v>0</v>
      </c>
      <c r="H1438" s="83">
        <v>0</v>
      </c>
      <c r="I1438" s="83">
        <v>0</v>
      </c>
      <c r="J1438" s="83">
        <v>0</v>
      </c>
    </row>
    <row r="1439" spans="1:10">
      <c r="A1439" s="81" t="s">
        <v>10</v>
      </c>
      <c r="B1439" s="81" t="s">
        <v>125</v>
      </c>
      <c r="C1439" s="82">
        <v>0.37291666666666601</v>
      </c>
      <c r="D1439" s="83">
        <v>0</v>
      </c>
      <c r="E1439" s="83">
        <v>0</v>
      </c>
      <c r="F1439" s="83">
        <v>0</v>
      </c>
      <c r="G1439" s="83">
        <v>0</v>
      </c>
      <c r="H1439" s="83">
        <v>0</v>
      </c>
      <c r="I1439" s="83">
        <v>0</v>
      </c>
      <c r="J1439" s="83">
        <v>0</v>
      </c>
    </row>
    <row r="1440" spans="1:10">
      <c r="A1440" s="81" t="s">
        <v>10</v>
      </c>
      <c r="B1440" s="81" t="s">
        <v>125</v>
      </c>
      <c r="C1440" s="82">
        <v>0.37361111111111101</v>
      </c>
      <c r="D1440" s="83">
        <v>0</v>
      </c>
      <c r="E1440" s="83">
        <v>0</v>
      </c>
      <c r="F1440" s="83">
        <v>0</v>
      </c>
      <c r="G1440" s="83">
        <v>0</v>
      </c>
      <c r="H1440" s="83">
        <v>0</v>
      </c>
      <c r="I1440" s="83">
        <v>0</v>
      </c>
      <c r="J1440" s="83">
        <v>0</v>
      </c>
    </row>
    <row r="1441" spans="1:10" s="28" customFormat="1" ht="17.5" thickBot="1">
      <c r="A1441" s="100" t="s">
        <v>10</v>
      </c>
      <c r="B1441" s="100" t="s">
        <v>125</v>
      </c>
      <c r="C1441" s="101">
        <v>0.374305555555555</v>
      </c>
      <c r="D1441" s="102">
        <v>0</v>
      </c>
      <c r="E1441" s="102">
        <v>0</v>
      </c>
      <c r="F1441" s="102">
        <v>0</v>
      </c>
      <c r="G1441" s="102">
        <v>0</v>
      </c>
      <c r="H1441" s="102">
        <v>0</v>
      </c>
      <c r="I1441" s="102">
        <v>0</v>
      </c>
      <c r="J1441" s="102">
        <v>0</v>
      </c>
    </row>
    <row r="1442" spans="1:10">
      <c r="A1442" s="88" t="s">
        <v>100</v>
      </c>
      <c r="B1442" s="88" t="s">
        <v>11</v>
      </c>
      <c r="C1442" s="89">
        <v>0.45833333333333331</v>
      </c>
      <c r="D1442" s="90">
        <v>0</v>
      </c>
      <c r="E1442" s="90">
        <v>0</v>
      </c>
      <c r="F1442" s="90">
        <v>0</v>
      </c>
      <c r="G1442" s="90">
        <v>0</v>
      </c>
      <c r="H1442" s="90">
        <v>0</v>
      </c>
      <c r="I1442" s="90">
        <v>0</v>
      </c>
      <c r="J1442" s="90">
        <v>0</v>
      </c>
    </row>
    <row r="1443" spans="1:10">
      <c r="A1443" s="88" t="s">
        <v>100</v>
      </c>
      <c r="B1443" s="88" t="s">
        <v>11</v>
      </c>
      <c r="C1443" s="89">
        <v>0.45902777777777776</v>
      </c>
      <c r="D1443" s="90">
        <v>0</v>
      </c>
      <c r="E1443" s="90">
        <v>0</v>
      </c>
      <c r="F1443" s="90">
        <v>0</v>
      </c>
      <c r="G1443" s="90">
        <v>0</v>
      </c>
      <c r="H1443" s="90">
        <v>0</v>
      </c>
      <c r="I1443" s="90">
        <v>0</v>
      </c>
      <c r="J1443" s="90">
        <v>0</v>
      </c>
    </row>
    <row r="1444" spans="1:10">
      <c r="A1444" s="88" t="s">
        <v>100</v>
      </c>
      <c r="B1444" s="88" t="s">
        <v>11</v>
      </c>
      <c r="C1444" s="89">
        <v>0.45972222222222198</v>
      </c>
      <c r="D1444" s="90">
        <v>0</v>
      </c>
      <c r="E1444" s="90">
        <v>0</v>
      </c>
      <c r="F1444" s="90">
        <v>0</v>
      </c>
      <c r="G1444" s="90">
        <v>0</v>
      </c>
      <c r="H1444" s="90">
        <v>0</v>
      </c>
      <c r="I1444" s="90">
        <v>0</v>
      </c>
      <c r="J1444" s="90">
        <v>0</v>
      </c>
    </row>
    <row r="1445" spans="1:10">
      <c r="A1445" s="88" t="s">
        <v>100</v>
      </c>
      <c r="B1445" s="88" t="s">
        <v>11</v>
      </c>
      <c r="C1445" s="89">
        <v>0.46041666666666697</v>
      </c>
      <c r="D1445" s="90">
        <v>0</v>
      </c>
      <c r="E1445" s="90">
        <v>0</v>
      </c>
      <c r="F1445" s="90">
        <v>0</v>
      </c>
      <c r="G1445" s="90">
        <v>0</v>
      </c>
      <c r="H1445" s="90">
        <v>0</v>
      </c>
      <c r="I1445" s="90">
        <v>0</v>
      </c>
      <c r="J1445" s="90">
        <v>0</v>
      </c>
    </row>
    <row r="1446" spans="1:10">
      <c r="A1446" s="88" t="s">
        <v>100</v>
      </c>
      <c r="B1446" s="88" t="s">
        <v>11</v>
      </c>
      <c r="C1446" s="89">
        <v>0.46111111111111103</v>
      </c>
      <c r="D1446" s="90">
        <v>0</v>
      </c>
      <c r="E1446" s="90">
        <v>0</v>
      </c>
      <c r="F1446" s="90">
        <v>0</v>
      </c>
      <c r="G1446" s="90">
        <v>0</v>
      </c>
      <c r="H1446" s="90">
        <v>0</v>
      </c>
      <c r="I1446" s="90">
        <v>0</v>
      </c>
      <c r="J1446" s="90">
        <v>0</v>
      </c>
    </row>
    <row r="1447" spans="1:10">
      <c r="A1447" s="88" t="s">
        <v>100</v>
      </c>
      <c r="B1447" s="88" t="s">
        <v>11</v>
      </c>
      <c r="C1447" s="89">
        <v>0.46180555555555602</v>
      </c>
      <c r="D1447" s="90">
        <v>0</v>
      </c>
      <c r="E1447" s="90">
        <v>0</v>
      </c>
      <c r="F1447" s="90">
        <v>0</v>
      </c>
      <c r="G1447" s="90">
        <v>0</v>
      </c>
      <c r="H1447" s="90">
        <v>0</v>
      </c>
      <c r="I1447" s="90">
        <v>0</v>
      </c>
      <c r="J1447" s="90">
        <v>0</v>
      </c>
    </row>
    <row r="1448" spans="1:10">
      <c r="A1448" s="88" t="s">
        <v>100</v>
      </c>
      <c r="B1448" s="88" t="s">
        <v>11</v>
      </c>
      <c r="C1448" s="89">
        <v>0.46250000000000002</v>
      </c>
      <c r="D1448" s="90">
        <v>0</v>
      </c>
      <c r="E1448" s="90">
        <v>0</v>
      </c>
      <c r="F1448" s="90">
        <v>0</v>
      </c>
      <c r="G1448" s="90">
        <v>0</v>
      </c>
      <c r="H1448" s="90">
        <v>0</v>
      </c>
      <c r="I1448" s="90">
        <v>0</v>
      </c>
      <c r="J1448" s="90">
        <v>0</v>
      </c>
    </row>
    <row r="1449" spans="1:10">
      <c r="A1449" s="88" t="s">
        <v>100</v>
      </c>
      <c r="B1449" s="88" t="s">
        <v>11</v>
      </c>
      <c r="C1449" s="89">
        <v>0.46319444444444402</v>
      </c>
      <c r="D1449" s="90">
        <v>0</v>
      </c>
      <c r="E1449" s="90">
        <v>0</v>
      </c>
      <c r="F1449" s="90">
        <v>0</v>
      </c>
      <c r="G1449" s="90">
        <v>0</v>
      </c>
      <c r="H1449" s="90">
        <v>0</v>
      </c>
      <c r="I1449" s="90">
        <v>0</v>
      </c>
      <c r="J1449" s="90">
        <v>0</v>
      </c>
    </row>
    <row r="1450" spans="1:10">
      <c r="A1450" s="88" t="s">
        <v>100</v>
      </c>
      <c r="B1450" s="88" t="s">
        <v>11</v>
      </c>
      <c r="C1450" s="89">
        <v>0.46388888888888902</v>
      </c>
      <c r="D1450" s="90">
        <v>0</v>
      </c>
      <c r="E1450" s="90">
        <v>0</v>
      </c>
      <c r="F1450" s="90">
        <v>0</v>
      </c>
      <c r="G1450" s="90">
        <v>0</v>
      </c>
      <c r="H1450" s="90">
        <v>0</v>
      </c>
      <c r="I1450" s="90">
        <v>0</v>
      </c>
      <c r="J1450" s="90">
        <v>0</v>
      </c>
    </row>
    <row r="1451" spans="1:10">
      <c r="A1451" s="88" t="s">
        <v>100</v>
      </c>
      <c r="B1451" s="88" t="s">
        <v>11</v>
      </c>
      <c r="C1451" s="89">
        <v>0.46458333333333302</v>
      </c>
      <c r="D1451" s="90">
        <v>0</v>
      </c>
      <c r="E1451" s="90">
        <v>0</v>
      </c>
      <c r="F1451" s="90">
        <v>0</v>
      </c>
      <c r="G1451" s="90">
        <v>0</v>
      </c>
      <c r="H1451" s="90">
        <v>0</v>
      </c>
      <c r="I1451" s="90">
        <v>0</v>
      </c>
      <c r="J1451" s="90">
        <v>0</v>
      </c>
    </row>
    <row r="1452" spans="1:10">
      <c r="A1452" s="88" t="s">
        <v>100</v>
      </c>
      <c r="B1452" s="88" t="s">
        <v>11</v>
      </c>
      <c r="C1452" s="89">
        <v>0.46527777777777801</v>
      </c>
      <c r="D1452" s="90">
        <v>0</v>
      </c>
      <c r="E1452" s="90">
        <v>0</v>
      </c>
      <c r="F1452" s="90">
        <v>0</v>
      </c>
      <c r="G1452" s="90">
        <v>0</v>
      </c>
      <c r="H1452" s="90">
        <v>0</v>
      </c>
      <c r="I1452" s="90">
        <v>0</v>
      </c>
      <c r="J1452" s="90">
        <v>0</v>
      </c>
    </row>
    <row r="1453" spans="1:10">
      <c r="A1453" s="88" t="s">
        <v>100</v>
      </c>
      <c r="B1453" s="88" t="s">
        <v>11</v>
      </c>
      <c r="C1453" s="89">
        <v>0.46597222222222201</v>
      </c>
      <c r="D1453" s="90">
        <v>0</v>
      </c>
      <c r="E1453" s="90">
        <v>0</v>
      </c>
      <c r="F1453" s="90">
        <v>0</v>
      </c>
      <c r="G1453" s="90">
        <v>0</v>
      </c>
      <c r="H1453" s="90">
        <v>0</v>
      </c>
      <c r="I1453" s="90">
        <v>0</v>
      </c>
      <c r="J1453" s="90">
        <v>0</v>
      </c>
    </row>
    <row r="1454" spans="1:10">
      <c r="A1454" s="88" t="s">
        <v>100</v>
      </c>
      <c r="B1454" s="88" t="s">
        <v>11</v>
      </c>
      <c r="C1454" s="89">
        <v>0.46666666666666701</v>
      </c>
      <c r="D1454" s="90">
        <v>0</v>
      </c>
      <c r="E1454" s="90">
        <v>0</v>
      </c>
      <c r="F1454" s="90">
        <v>0</v>
      </c>
      <c r="G1454" s="90">
        <v>0</v>
      </c>
      <c r="H1454" s="90">
        <v>0</v>
      </c>
      <c r="I1454" s="90">
        <v>0</v>
      </c>
      <c r="J1454" s="90">
        <v>0</v>
      </c>
    </row>
    <row r="1455" spans="1:10">
      <c r="A1455" s="88" t="s">
        <v>100</v>
      </c>
      <c r="B1455" s="88" t="s">
        <v>11</v>
      </c>
      <c r="C1455" s="89">
        <v>0.46736111111111101</v>
      </c>
      <c r="D1455" s="90">
        <v>0</v>
      </c>
      <c r="E1455" s="90">
        <v>0</v>
      </c>
      <c r="F1455" s="90">
        <v>0</v>
      </c>
      <c r="G1455" s="90">
        <v>0</v>
      </c>
      <c r="H1455" s="90">
        <v>0</v>
      </c>
      <c r="I1455" s="90">
        <v>0</v>
      </c>
      <c r="J1455" s="90">
        <v>0</v>
      </c>
    </row>
    <row r="1456" spans="1:10" s="80" customFormat="1">
      <c r="A1456" s="91" t="s">
        <v>100</v>
      </c>
      <c r="B1456" s="91" t="s">
        <v>11</v>
      </c>
      <c r="C1456" s="92">
        <v>0.468055555555556</v>
      </c>
      <c r="D1456" s="93">
        <v>0</v>
      </c>
      <c r="E1456" s="93">
        <v>0</v>
      </c>
      <c r="F1456" s="93">
        <v>0</v>
      </c>
      <c r="G1456" s="93">
        <v>0</v>
      </c>
      <c r="H1456" s="93">
        <v>0</v>
      </c>
      <c r="I1456" s="93">
        <v>0</v>
      </c>
      <c r="J1456" s="93">
        <v>0</v>
      </c>
    </row>
    <row r="1457" spans="1:10">
      <c r="A1457" s="88" t="s">
        <v>100</v>
      </c>
      <c r="B1457" s="88" t="s">
        <v>11</v>
      </c>
      <c r="C1457" s="89">
        <v>0.46875</v>
      </c>
      <c r="D1457" s="94">
        <v>0</v>
      </c>
      <c r="E1457" s="94">
        <v>0</v>
      </c>
      <c r="F1457" s="94">
        <v>0</v>
      </c>
      <c r="G1457" s="94">
        <v>0</v>
      </c>
      <c r="H1457" s="94">
        <v>0</v>
      </c>
      <c r="I1457" s="94">
        <v>0</v>
      </c>
      <c r="J1457" s="94">
        <v>0</v>
      </c>
    </row>
    <row r="1458" spans="1:10">
      <c r="A1458" s="88" t="s">
        <v>100</v>
      </c>
      <c r="B1458" s="88" t="s">
        <v>11</v>
      </c>
      <c r="C1458" s="89">
        <v>0.469444444444444</v>
      </c>
      <c r="D1458" s="90">
        <v>0</v>
      </c>
      <c r="E1458" s="90">
        <v>0</v>
      </c>
      <c r="F1458" s="90">
        <v>0</v>
      </c>
      <c r="G1458" s="90">
        <v>0</v>
      </c>
      <c r="H1458" s="90">
        <v>0</v>
      </c>
      <c r="I1458" s="90">
        <v>0</v>
      </c>
      <c r="J1458" s="90">
        <v>0</v>
      </c>
    </row>
    <row r="1459" spans="1:10">
      <c r="A1459" s="88" t="s">
        <v>100</v>
      </c>
      <c r="B1459" s="88" t="s">
        <v>11</v>
      </c>
      <c r="C1459" s="89">
        <v>0.47013888888888899</v>
      </c>
      <c r="D1459" s="90">
        <v>0</v>
      </c>
      <c r="E1459" s="90">
        <v>0</v>
      </c>
      <c r="F1459" s="90">
        <v>0</v>
      </c>
      <c r="G1459" s="90">
        <v>0</v>
      </c>
      <c r="H1459" s="90">
        <v>0</v>
      </c>
      <c r="I1459" s="90">
        <v>0</v>
      </c>
      <c r="J1459" s="90">
        <v>0</v>
      </c>
    </row>
    <row r="1460" spans="1:10">
      <c r="A1460" s="88" t="s">
        <v>100</v>
      </c>
      <c r="B1460" s="88" t="s">
        <v>11</v>
      </c>
      <c r="C1460" s="89">
        <v>0.47083333333333299</v>
      </c>
      <c r="D1460" s="90">
        <v>0</v>
      </c>
      <c r="E1460" s="90">
        <v>0</v>
      </c>
      <c r="F1460" s="90">
        <v>0</v>
      </c>
      <c r="G1460" s="90">
        <v>0</v>
      </c>
      <c r="H1460" s="90">
        <v>0</v>
      </c>
      <c r="I1460" s="90">
        <v>0</v>
      </c>
      <c r="J1460" s="90">
        <v>0</v>
      </c>
    </row>
    <row r="1461" spans="1:10">
      <c r="A1461" s="88" t="s">
        <v>100</v>
      </c>
      <c r="B1461" s="88" t="s">
        <v>11</v>
      </c>
      <c r="C1461" s="89">
        <v>0.47152777777777799</v>
      </c>
      <c r="D1461" s="90">
        <v>0</v>
      </c>
      <c r="E1461" s="90">
        <v>0</v>
      </c>
      <c r="F1461" s="90">
        <v>0</v>
      </c>
      <c r="G1461" s="90">
        <v>0</v>
      </c>
      <c r="H1461" s="90">
        <v>0</v>
      </c>
      <c r="I1461" s="90">
        <v>0</v>
      </c>
      <c r="J1461" s="90">
        <v>0</v>
      </c>
    </row>
    <row r="1462" spans="1:10">
      <c r="A1462" s="88" t="s">
        <v>100</v>
      </c>
      <c r="B1462" s="88" t="s">
        <v>11</v>
      </c>
      <c r="C1462" s="89">
        <v>0.47222222222222199</v>
      </c>
      <c r="D1462" s="90">
        <v>0</v>
      </c>
      <c r="E1462" s="90">
        <v>0</v>
      </c>
      <c r="F1462" s="90">
        <v>0</v>
      </c>
      <c r="G1462" s="90">
        <v>0</v>
      </c>
      <c r="H1462" s="90">
        <v>0</v>
      </c>
      <c r="I1462" s="90">
        <v>0</v>
      </c>
      <c r="J1462" s="90">
        <v>0</v>
      </c>
    </row>
    <row r="1463" spans="1:10">
      <c r="A1463" s="88" t="s">
        <v>100</v>
      </c>
      <c r="B1463" s="88" t="s">
        <v>11</v>
      </c>
      <c r="C1463" s="89">
        <v>0.47291666666666698</v>
      </c>
      <c r="D1463" s="90">
        <v>0</v>
      </c>
      <c r="E1463" s="90">
        <v>0</v>
      </c>
      <c r="F1463" s="90">
        <v>0</v>
      </c>
      <c r="G1463" s="90">
        <v>0</v>
      </c>
      <c r="H1463" s="90">
        <v>0</v>
      </c>
      <c r="I1463" s="90">
        <v>0</v>
      </c>
      <c r="J1463" s="90">
        <v>0</v>
      </c>
    </row>
    <row r="1464" spans="1:10">
      <c r="A1464" s="88" t="s">
        <v>100</v>
      </c>
      <c r="B1464" s="88" t="s">
        <v>11</v>
      </c>
      <c r="C1464" s="89">
        <v>0.47361111111111098</v>
      </c>
      <c r="D1464" s="90">
        <v>0</v>
      </c>
      <c r="E1464" s="90">
        <v>0</v>
      </c>
      <c r="F1464" s="90">
        <v>0</v>
      </c>
      <c r="G1464" s="90">
        <v>0</v>
      </c>
      <c r="H1464" s="90">
        <v>0</v>
      </c>
      <c r="I1464" s="90">
        <v>0</v>
      </c>
      <c r="J1464" s="90">
        <v>0</v>
      </c>
    </row>
    <row r="1465" spans="1:10">
      <c r="A1465" s="88" t="s">
        <v>100</v>
      </c>
      <c r="B1465" s="88" t="s">
        <v>11</v>
      </c>
      <c r="C1465" s="89">
        <v>0.47430555555555598</v>
      </c>
      <c r="D1465" s="90">
        <v>0</v>
      </c>
      <c r="E1465" s="90">
        <v>0</v>
      </c>
      <c r="F1465" s="90">
        <v>0</v>
      </c>
      <c r="G1465" s="90">
        <v>0</v>
      </c>
      <c r="H1465" s="90">
        <v>0</v>
      </c>
      <c r="I1465" s="90">
        <v>0</v>
      </c>
      <c r="J1465" s="90">
        <v>0</v>
      </c>
    </row>
    <row r="1466" spans="1:10">
      <c r="A1466" s="88" t="s">
        <v>100</v>
      </c>
      <c r="B1466" s="88" t="s">
        <v>11</v>
      </c>
      <c r="C1466" s="89">
        <v>0.47499999999999998</v>
      </c>
      <c r="D1466" s="90">
        <v>0</v>
      </c>
      <c r="E1466" s="90">
        <v>0</v>
      </c>
      <c r="F1466" s="90">
        <v>0</v>
      </c>
      <c r="G1466" s="90">
        <v>0</v>
      </c>
      <c r="H1466" s="90">
        <v>0</v>
      </c>
      <c r="I1466" s="90">
        <v>0</v>
      </c>
      <c r="J1466" s="90">
        <v>0</v>
      </c>
    </row>
    <row r="1467" spans="1:10">
      <c r="A1467" s="88" t="s">
        <v>100</v>
      </c>
      <c r="B1467" s="88" t="s">
        <v>11</v>
      </c>
      <c r="C1467" s="89">
        <v>0.47569444444444398</v>
      </c>
      <c r="D1467" s="90">
        <v>0</v>
      </c>
      <c r="E1467" s="90">
        <v>0</v>
      </c>
      <c r="F1467" s="90">
        <v>0</v>
      </c>
      <c r="G1467" s="90">
        <v>0</v>
      </c>
      <c r="H1467" s="90">
        <v>0</v>
      </c>
      <c r="I1467" s="90">
        <v>0</v>
      </c>
      <c r="J1467" s="90">
        <v>0</v>
      </c>
    </row>
    <row r="1468" spans="1:10">
      <c r="A1468" s="88" t="s">
        <v>100</v>
      </c>
      <c r="B1468" s="88" t="s">
        <v>11</v>
      </c>
      <c r="C1468" s="89">
        <v>0.47638888888888897</v>
      </c>
      <c r="D1468" s="90">
        <v>0</v>
      </c>
      <c r="E1468" s="90">
        <v>0</v>
      </c>
      <c r="F1468" s="90">
        <v>0</v>
      </c>
      <c r="G1468" s="90">
        <v>0</v>
      </c>
      <c r="H1468" s="90">
        <v>0</v>
      </c>
      <c r="I1468" s="90">
        <v>0</v>
      </c>
      <c r="J1468" s="90">
        <v>0</v>
      </c>
    </row>
    <row r="1469" spans="1:10">
      <c r="A1469" s="88" t="s">
        <v>100</v>
      </c>
      <c r="B1469" s="88" t="s">
        <v>11</v>
      </c>
      <c r="C1469" s="89">
        <v>0.47708333333333303</v>
      </c>
      <c r="D1469" s="90">
        <v>0</v>
      </c>
      <c r="E1469" s="90">
        <v>0</v>
      </c>
      <c r="F1469" s="90">
        <v>0</v>
      </c>
      <c r="G1469" s="90">
        <v>0</v>
      </c>
      <c r="H1469" s="90">
        <v>0</v>
      </c>
      <c r="I1469" s="90">
        <v>0</v>
      </c>
      <c r="J1469" s="90">
        <v>0</v>
      </c>
    </row>
    <row r="1470" spans="1:10">
      <c r="A1470" s="88" t="s">
        <v>100</v>
      </c>
      <c r="B1470" s="88" t="s">
        <v>11</v>
      </c>
      <c r="C1470" s="89">
        <v>0.47777777777777802</v>
      </c>
      <c r="D1470" s="90">
        <v>0</v>
      </c>
      <c r="E1470" s="90">
        <v>0</v>
      </c>
      <c r="F1470" s="90">
        <v>0</v>
      </c>
      <c r="G1470" s="90">
        <v>0</v>
      </c>
      <c r="H1470" s="90">
        <v>0</v>
      </c>
      <c r="I1470" s="90">
        <v>0</v>
      </c>
      <c r="J1470" s="90">
        <v>0</v>
      </c>
    </row>
    <row r="1471" spans="1:10" s="80" customFormat="1">
      <c r="A1471" s="91" t="s">
        <v>100</v>
      </c>
      <c r="B1471" s="91" t="s">
        <v>11</v>
      </c>
      <c r="C1471" s="92">
        <v>0.47847222222222202</v>
      </c>
      <c r="D1471" s="93">
        <v>0</v>
      </c>
      <c r="E1471" s="93">
        <v>0</v>
      </c>
      <c r="F1471" s="93">
        <v>0</v>
      </c>
      <c r="G1471" s="93">
        <v>0</v>
      </c>
      <c r="H1471" s="93">
        <v>0</v>
      </c>
      <c r="I1471" s="93">
        <v>0</v>
      </c>
      <c r="J1471" s="93">
        <v>0</v>
      </c>
    </row>
    <row r="1472" spans="1:10">
      <c r="A1472" s="88" t="s">
        <v>100</v>
      </c>
      <c r="B1472" s="88" t="s">
        <v>11</v>
      </c>
      <c r="C1472" s="89">
        <v>0.47916666666666702</v>
      </c>
      <c r="D1472" s="94">
        <v>0</v>
      </c>
      <c r="E1472" s="94">
        <v>0</v>
      </c>
      <c r="F1472" s="94">
        <v>0</v>
      </c>
      <c r="G1472" s="94">
        <v>0</v>
      </c>
      <c r="H1472" s="94">
        <v>0</v>
      </c>
      <c r="I1472" s="94">
        <v>0</v>
      </c>
      <c r="J1472" s="94">
        <v>0</v>
      </c>
    </row>
    <row r="1473" spans="1:10">
      <c r="A1473" s="88" t="s">
        <v>100</v>
      </c>
      <c r="B1473" s="88" t="s">
        <v>11</v>
      </c>
      <c r="C1473" s="89">
        <v>0.47986111111111102</v>
      </c>
      <c r="D1473" s="90">
        <v>0</v>
      </c>
      <c r="E1473" s="90">
        <v>0</v>
      </c>
      <c r="F1473" s="90">
        <v>0</v>
      </c>
      <c r="G1473" s="90">
        <v>0</v>
      </c>
      <c r="H1473" s="90">
        <v>0</v>
      </c>
      <c r="I1473" s="90">
        <v>0</v>
      </c>
      <c r="J1473" s="90">
        <v>0</v>
      </c>
    </row>
    <row r="1474" spans="1:10">
      <c r="A1474" s="88" t="s">
        <v>100</v>
      </c>
      <c r="B1474" s="88" t="s">
        <v>11</v>
      </c>
      <c r="C1474" s="89">
        <v>0.48055555555555501</v>
      </c>
      <c r="D1474" s="90">
        <v>0</v>
      </c>
      <c r="E1474" s="90">
        <v>0</v>
      </c>
      <c r="F1474" s="90">
        <v>0</v>
      </c>
      <c r="G1474" s="90">
        <v>0</v>
      </c>
      <c r="H1474" s="90">
        <v>0</v>
      </c>
      <c r="I1474" s="90">
        <v>0</v>
      </c>
      <c r="J1474" s="90">
        <v>0</v>
      </c>
    </row>
    <row r="1475" spans="1:10">
      <c r="A1475" s="88" t="s">
        <v>100</v>
      </c>
      <c r="B1475" s="88" t="s">
        <v>11</v>
      </c>
      <c r="C1475" s="89">
        <v>0.48125000000000001</v>
      </c>
      <c r="D1475" s="90">
        <v>0</v>
      </c>
      <c r="E1475" s="90">
        <v>0</v>
      </c>
      <c r="F1475" s="90">
        <v>0</v>
      </c>
      <c r="G1475" s="90">
        <v>0</v>
      </c>
      <c r="H1475" s="90">
        <v>0</v>
      </c>
      <c r="I1475" s="90">
        <v>0</v>
      </c>
      <c r="J1475" s="90">
        <v>0</v>
      </c>
    </row>
    <row r="1476" spans="1:10">
      <c r="A1476" s="88" t="s">
        <v>100</v>
      </c>
      <c r="B1476" s="88" t="s">
        <v>11</v>
      </c>
      <c r="C1476" s="89">
        <v>0.48194444444444401</v>
      </c>
      <c r="D1476" s="90">
        <v>0</v>
      </c>
      <c r="E1476" s="90">
        <v>0</v>
      </c>
      <c r="F1476" s="90">
        <v>0</v>
      </c>
      <c r="G1476" s="90">
        <v>0</v>
      </c>
      <c r="H1476" s="90">
        <v>0</v>
      </c>
      <c r="I1476" s="90">
        <v>0</v>
      </c>
      <c r="J1476" s="90">
        <v>0</v>
      </c>
    </row>
    <row r="1477" spans="1:10">
      <c r="A1477" s="88" t="s">
        <v>100</v>
      </c>
      <c r="B1477" s="88" t="s">
        <v>11</v>
      </c>
      <c r="C1477" s="89">
        <v>0.48263888888888901</v>
      </c>
      <c r="D1477" s="90">
        <v>0</v>
      </c>
      <c r="E1477" s="90">
        <v>0</v>
      </c>
      <c r="F1477" s="90">
        <v>0</v>
      </c>
      <c r="G1477" s="90">
        <v>0</v>
      </c>
      <c r="H1477" s="90">
        <v>0</v>
      </c>
      <c r="I1477" s="90">
        <v>0</v>
      </c>
      <c r="J1477" s="90">
        <v>0</v>
      </c>
    </row>
    <row r="1478" spans="1:10">
      <c r="A1478" s="88" t="s">
        <v>100</v>
      </c>
      <c r="B1478" s="88" t="s">
        <v>11</v>
      </c>
      <c r="C1478" s="89">
        <v>0.483333333333333</v>
      </c>
      <c r="D1478" s="90">
        <v>0</v>
      </c>
      <c r="E1478" s="90">
        <v>0</v>
      </c>
      <c r="F1478" s="90">
        <v>0</v>
      </c>
      <c r="G1478" s="90">
        <v>0</v>
      </c>
      <c r="H1478" s="90">
        <v>0</v>
      </c>
      <c r="I1478" s="90">
        <v>0</v>
      </c>
      <c r="J1478" s="90">
        <v>0</v>
      </c>
    </row>
    <row r="1479" spans="1:10">
      <c r="A1479" s="88" t="s">
        <v>100</v>
      </c>
      <c r="B1479" s="88" t="s">
        <v>11</v>
      </c>
      <c r="C1479" s="89">
        <v>0.484027777777778</v>
      </c>
      <c r="D1479" s="90">
        <v>0</v>
      </c>
      <c r="E1479" s="90">
        <v>0</v>
      </c>
      <c r="F1479" s="90">
        <v>0</v>
      </c>
      <c r="G1479" s="90">
        <v>0</v>
      </c>
      <c r="H1479" s="90">
        <v>0</v>
      </c>
      <c r="I1479" s="90">
        <v>0</v>
      </c>
      <c r="J1479" s="90">
        <v>0</v>
      </c>
    </row>
    <row r="1480" spans="1:10">
      <c r="A1480" s="88" t="s">
        <v>100</v>
      </c>
      <c r="B1480" s="88" t="s">
        <v>11</v>
      </c>
      <c r="C1480" s="89">
        <v>0.484722222222222</v>
      </c>
      <c r="D1480" s="90">
        <v>0</v>
      </c>
      <c r="E1480" s="90">
        <v>0</v>
      </c>
      <c r="F1480" s="90">
        <v>0</v>
      </c>
      <c r="G1480" s="90">
        <v>0</v>
      </c>
      <c r="H1480" s="90">
        <v>0</v>
      </c>
      <c r="I1480" s="90">
        <v>0</v>
      </c>
      <c r="J1480" s="90">
        <v>0</v>
      </c>
    </row>
    <row r="1481" spans="1:10">
      <c r="A1481" s="88" t="s">
        <v>100</v>
      </c>
      <c r="B1481" s="88" t="s">
        <v>11</v>
      </c>
      <c r="C1481" s="89">
        <v>0.485416666666666</v>
      </c>
      <c r="D1481" s="90">
        <v>0</v>
      </c>
      <c r="E1481" s="90">
        <v>0</v>
      </c>
      <c r="F1481" s="90">
        <v>0</v>
      </c>
      <c r="G1481" s="90">
        <v>0</v>
      </c>
      <c r="H1481" s="90">
        <v>0</v>
      </c>
      <c r="I1481" s="90">
        <v>0</v>
      </c>
      <c r="J1481" s="90">
        <v>0</v>
      </c>
    </row>
    <row r="1482" spans="1:10">
      <c r="A1482" s="88" t="s">
        <v>100</v>
      </c>
      <c r="B1482" s="88" t="s">
        <v>11</v>
      </c>
      <c r="C1482" s="89">
        <v>0.48611111111111099</v>
      </c>
      <c r="D1482" s="90">
        <v>0</v>
      </c>
      <c r="E1482" s="90">
        <v>0</v>
      </c>
      <c r="F1482" s="90">
        <v>0</v>
      </c>
      <c r="G1482" s="90">
        <v>0</v>
      </c>
      <c r="H1482" s="90">
        <v>0</v>
      </c>
      <c r="I1482" s="90">
        <v>0</v>
      </c>
      <c r="J1482" s="90">
        <v>0</v>
      </c>
    </row>
    <row r="1483" spans="1:10">
      <c r="A1483" s="88" t="s">
        <v>100</v>
      </c>
      <c r="B1483" s="88" t="s">
        <v>11</v>
      </c>
      <c r="C1483" s="89">
        <v>0.48680555555555499</v>
      </c>
      <c r="D1483" s="90">
        <v>0</v>
      </c>
      <c r="E1483" s="90">
        <v>0</v>
      </c>
      <c r="F1483" s="90">
        <v>0</v>
      </c>
      <c r="G1483" s="90">
        <v>0</v>
      </c>
      <c r="H1483" s="90">
        <v>0</v>
      </c>
      <c r="I1483" s="90">
        <v>0</v>
      </c>
      <c r="J1483" s="90">
        <v>0</v>
      </c>
    </row>
    <row r="1484" spans="1:10">
      <c r="A1484" s="88" t="s">
        <v>100</v>
      </c>
      <c r="B1484" s="88" t="s">
        <v>11</v>
      </c>
      <c r="C1484" s="89">
        <v>0.48749999999999999</v>
      </c>
      <c r="D1484" s="90">
        <v>0</v>
      </c>
      <c r="E1484" s="90">
        <v>0</v>
      </c>
      <c r="F1484" s="90">
        <v>0</v>
      </c>
      <c r="G1484" s="90">
        <v>0</v>
      </c>
      <c r="H1484" s="90">
        <v>0</v>
      </c>
      <c r="I1484" s="90">
        <v>0</v>
      </c>
      <c r="J1484" s="90">
        <v>0</v>
      </c>
    </row>
    <row r="1485" spans="1:10">
      <c r="A1485" s="88" t="s">
        <v>100</v>
      </c>
      <c r="B1485" s="88" t="s">
        <v>11</v>
      </c>
      <c r="C1485" s="89">
        <v>0.48819444444444399</v>
      </c>
      <c r="D1485" s="90">
        <v>0</v>
      </c>
      <c r="E1485" s="90">
        <v>0</v>
      </c>
      <c r="F1485" s="90">
        <v>0</v>
      </c>
      <c r="G1485" s="90">
        <v>0</v>
      </c>
      <c r="H1485" s="90">
        <v>0</v>
      </c>
      <c r="I1485" s="90">
        <v>0</v>
      </c>
      <c r="J1485" s="90">
        <v>0</v>
      </c>
    </row>
    <row r="1486" spans="1:10" s="80" customFormat="1">
      <c r="A1486" s="91" t="s">
        <v>100</v>
      </c>
      <c r="B1486" s="91" t="s">
        <v>11</v>
      </c>
      <c r="C1486" s="92">
        <v>0.48888888888888898</v>
      </c>
      <c r="D1486" s="93">
        <v>0</v>
      </c>
      <c r="E1486" s="93">
        <v>0</v>
      </c>
      <c r="F1486" s="93">
        <v>0</v>
      </c>
      <c r="G1486" s="93">
        <v>0</v>
      </c>
      <c r="H1486" s="93">
        <v>0</v>
      </c>
      <c r="I1486" s="93">
        <v>0</v>
      </c>
      <c r="J1486" s="93">
        <v>0</v>
      </c>
    </row>
    <row r="1487" spans="1:10">
      <c r="A1487" s="88" t="s">
        <v>100</v>
      </c>
      <c r="B1487" s="88" t="s">
        <v>11</v>
      </c>
      <c r="C1487" s="89">
        <v>0.48958333333333298</v>
      </c>
      <c r="D1487" s="94">
        <v>0</v>
      </c>
      <c r="E1487" s="94">
        <v>0</v>
      </c>
      <c r="F1487" s="94">
        <v>0</v>
      </c>
      <c r="G1487" s="94">
        <v>0</v>
      </c>
      <c r="H1487" s="94">
        <v>0</v>
      </c>
      <c r="I1487" s="94">
        <v>0</v>
      </c>
      <c r="J1487" s="94">
        <v>0</v>
      </c>
    </row>
    <row r="1488" spans="1:10">
      <c r="A1488" s="88" t="s">
        <v>100</v>
      </c>
      <c r="B1488" s="88" t="s">
        <v>11</v>
      </c>
      <c r="C1488" s="89">
        <v>0.49027777777777798</v>
      </c>
      <c r="D1488" s="90">
        <v>0</v>
      </c>
      <c r="E1488" s="90">
        <v>0</v>
      </c>
      <c r="F1488" s="90">
        <v>0</v>
      </c>
      <c r="G1488" s="90">
        <v>0</v>
      </c>
      <c r="H1488" s="90">
        <v>0</v>
      </c>
      <c r="I1488" s="90">
        <v>0</v>
      </c>
      <c r="J1488" s="90">
        <v>0</v>
      </c>
    </row>
    <row r="1489" spans="1:10">
      <c r="A1489" s="88" t="s">
        <v>100</v>
      </c>
      <c r="B1489" s="88" t="s">
        <v>11</v>
      </c>
      <c r="C1489" s="89">
        <v>0.49097222222222198</v>
      </c>
      <c r="D1489" s="90">
        <v>0</v>
      </c>
      <c r="E1489" s="90">
        <v>0</v>
      </c>
      <c r="F1489" s="90">
        <v>0</v>
      </c>
      <c r="G1489" s="90">
        <v>0</v>
      </c>
      <c r="H1489" s="90">
        <v>0</v>
      </c>
      <c r="I1489" s="90">
        <v>0</v>
      </c>
      <c r="J1489" s="90">
        <v>0</v>
      </c>
    </row>
    <row r="1490" spans="1:10">
      <c r="A1490" s="88" t="s">
        <v>100</v>
      </c>
      <c r="B1490" s="88" t="s">
        <v>11</v>
      </c>
      <c r="C1490" s="89">
        <v>0.49166666666666697</v>
      </c>
      <c r="D1490" s="90">
        <v>0</v>
      </c>
      <c r="E1490" s="90">
        <v>0</v>
      </c>
      <c r="F1490" s="90">
        <v>0</v>
      </c>
      <c r="G1490" s="90">
        <v>0</v>
      </c>
      <c r="H1490" s="90">
        <v>0</v>
      </c>
      <c r="I1490" s="90">
        <v>0</v>
      </c>
      <c r="J1490" s="90">
        <v>0</v>
      </c>
    </row>
    <row r="1491" spans="1:10">
      <c r="A1491" s="88" t="s">
        <v>100</v>
      </c>
      <c r="B1491" s="88" t="s">
        <v>11</v>
      </c>
      <c r="C1491" s="89">
        <v>0.49236111111111103</v>
      </c>
      <c r="D1491" s="90">
        <v>0</v>
      </c>
      <c r="E1491" s="90">
        <v>0</v>
      </c>
      <c r="F1491" s="90">
        <v>0</v>
      </c>
      <c r="G1491" s="90">
        <v>0</v>
      </c>
      <c r="H1491" s="90">
        <v>0</v>
      </c>
      <c r="I1491" s="90">
        <v>0</v>
      </c>
      <c r="J1491" s="90">
        <v>0</v>
      </c>
    </row>
    <row r="1492" spans="1:10">
      <c r="A1492" s="88" t="s">
        <v>100</v>
      </c>
      <c r="B1492" s="88" t="s">
        <v>11</v>
      </c>
      <c r="C1492" s="89">
        <v>0.49305555555555503</v>
      </c>
      <c r="D1492" s="90">
        <v>0</v>
      </c>
      <c r="E1492" s="90">
        <v>0</v>
      </c>
      <c r="F1492" s="90">
        <v>0</v>
      </c>
      <c r="G1492" s="90">
        <v>0</v>
      </c>
      <c r="H1492" s="90">
        <v>0</v>
      </c>
      <c r="I1492" s="90">
        <v>0</v>
      </c>
      <c r="J1492" s="90">
        <v>0</v>
      </c>
    </row>
    <row r="1493" spans="1:10">
      <c r="A1493" s="88" t="s">
        <v>100</v>
      </c>
      <c r="B1493" s="88" t="s">
        <v>11</v>
      </c>
      <c r="C1493" s="89">
        <v>0.49375000000000002</v>
      </c>
      <c r="D1493" s="90">
        <v>0</v>
      </c>
      <c r="E1493" s="90">
        <v>0</v>
      </c>
      <c r="F1493" s="90">
        <v>0</v>
      </c>
      <c r="G1493" s="90">
        <v>0</v>
      </c>
      <c r="H1493" s="90">
        <v>0</v>
      </c>
      <c r="I1493" s="90">
        <v>0</v>
      </c>
      <c r="J1493" s="90">
        <v>0</v>
      </c>
    </row>
    <row r="1494" spans="1:10">
      <c r="A1494" s="88" t="s">
        <v>100</v>
      </c>
      <c r="B1494" s="88" t="s">
        <v>11</v>
      </c>
      <c r="C1494" s="89">
        <v>0.49444444444444402</v>
      </c>
      <c r="D1494" s="90">
        <v>0</v>
      </c>
      <c r="E1494" s="90">
        <v>0</v>
      </c>
      <c r="F1494" s="90">
        <v>0</v>
      </c>
      <c r="G1494" s="90">
        <v>0</v>
      </c>
      <c r="H1494" s="90">
        <v>0</v>
      </c>
      <c r="I1494" s="90">
        <v>0</v>
      </c>
      <c r="J1494" s="90">
        <v>0</v>
      </c>
    </row>
    <row r="1495" spans="1:10">
      <c r="A1495" s="88" t="s">
        <v>100</v>
      </c>
      <c r="B1495" s="88" t="s">
        <v>11</v>
      </c>
      <c r="C1495" s="89">
        <v>0.49513888888888902</v>
      </c>
      <c r="D1495" s="90">
        <v>0</v>
      </c>
      <c r="E1495" s="90">
        <v>0</v>
      </c>
      <c r="F1495" s="90">
        <v>0</v>
      </c>
      <c r="G1495" s="90">
        <v>0</v>
      </c>
      <c r="H1495" s="90">
        <v>0</v>
      </c>
      <c r="I1495" s="90">
        <v>0</v>
      </c>
      <c r="J1495" s="90">
        <v>0</v>
      </c>
    </row>
    <row r="1496" spans="1:10">
      <c r="A1496" s="88" t="s">
        <v>100</v>
      </c>
      <c r="B1496" s="88" t="s">
        <v>11</v>
      </c>
      <c r="C1496" s="89">
        <v>0.49583333333333302</v>
      </c>
      <c r="D1496" s="90">
        <v>0</v>
      </c>
      <c r="E1496" s="90">
        <v>0</v>
      </c>
      <c r="F1496" s="90">
        <v>0</v>
      </c>
      <c r="G1496" s="90">
        <v>0</v>
      </c>
      <c r="H1496" s="90">
        <v>0</v>
      </c>
      <c r="I1496" s="90">
        <v>0</v>
      </c>
      <c r="J1496" s="90">
        <v>0</v>
      </c>
    </row>
    <row r="1497" spans="1:10">
      <c r="A1497" s="88" t="s">
        <v>100</v>
      </c>
      <c r="B1497" s="88" t="s">
        <v>11</v>
      </c>
      <c r="C1497" s="89">
        <v>0.49652777777777801</v>
      </c>
      <c r="D1497" s="90">
        <v>0</v>
      </c>
      <c r="E1497" s="90">
        <v>0</v>
      </c>
      <c r="F1497" s="90">
        <v>0</v>
      </c>
      <c r="G1497" s="90">
        <v>0</v>
      </c>
      <c r="H1497" s="90">
        <v>0</v>
      </c>
      <c r="I1497" s="90">
        <v>0</v>
      </c>
      <c r="J1497" s="90">
        <v>0</v>
      </c>
    </row>
    <row r="1498" spans="1:10">
      <c r="A1498" s="88" t="s">
        <v>100</v>
      </c>
      <c r="B1498" s="88" t="s">
        <v>11</v>
      </c>
      <c r="C1498" s="89">
        <v>0.49722222222222201</v>
      </c>
      <c r="D1498" s="90">
        <v>0</v>
      </c>
      <c r="E1498" s="90">
        <v>0</v>
      </c>
      <c r="F1498" s="90">
        <v>0</v>
      </c>
      <c r="G1498" s="90">
        <v>0</v>
      </c>
      <c r="H1498" s="90">
        <v>0</v>
      </c>
      <c r="I1498" s="90">
        <v>0</v>
      </c>
      <c r="J1498" s="90">
        <v>0</v>
      </c>
    </row>
    <row r="1499" spans="1:10">
      <c r="A1499" s="88" t="s">
        <v>100</v>
      </c>
      <c r="B1499" s="88" t="s">
        <v>11</v>
      </c>
      <c r="C1499" s="89">
        <v>0.49791666666666701</v>
      </c>
      <c r="D1499" s="90">
        <v>0</v>
      </c>
      <c r="E1499" s="90">
        <v>0</v>
      </c>
      <c r="F1499" s="90">
        <v>0</v>
      </c>
      <c r="G1499" s="90">
        <v>0</v>
      </c>
      <c r="H1499" s="90">
        <v>0</v>
      </c>
      <c r="I1499" s="90">
        <v>0</v>
      </c>
      <c r="J1499" s="90">
        <v>0</v>
      </c>
    </row>
    <row r="1500" spans="1:10">
      <c r="A1500" s="88" t="s">
        <v>100</v>
      </c>
      <c r="B1500" s="88" t="s">
        <v>11</v>
      </c>
      <c r="C1500" s="89">
        <v>0.49861111111111101</v>
      </c>
      <c r="D1500" s="90">
        <v>0</v>
      </c>
      <c r="E1500" s="90">
        <v>0</v>
      </c>
      <c r="F1500" s="90">
        <v>0</v>
      </c>
      <c r="G1500" s="90">
        <v>0</v>
      </c>
      <c r="H1500" s="90">
        <v>0</v>
      </c>
      <c r="I1500" s="90">
        <v>0</v>
      </c>
      <c r="J1500" s="90">
        <v>0</v>
      </c>
    </row>
    <row r="1501" spans="1:10" s="80" customFormat="1">
      <c r="A1501" s="91" t="s">
        <v>100</v>
      </c>
      <c r="B1501" s="91" t="s">
        <v>11</v>
      </c>
      <c r="C1501" s="92">
        <v>0.499305555555555</v>
      </c>
      <c r="D1501" s="93">
        <v>0</v>
      </c>
      <c r="E1501" s="93">
        <v>0</v>
      </c>
      <c r="F1501" s="93">
        <v>0</v>
      </c>
      <c r="G1501" s="93">
        <v>0</v>
      </c>
      <c r="H1501" s="93">
        <v>0</v>
      </c>
      <c r="I1501" s="93">
        <v>0</v>
      </c>
      <c r="J1501" s="93">
        <v>0</v>
      </c>
    </row>
    <row r="1502" spans="1:10">
      <c r="A1502" s="88" t="s">
        <v>100</v>
      </c>
      <c r="B1502" s="88" t="s">
        <v>11</v>
      </c>
      <c r="C1502" s="89">
        <v>0.5</v>
      </c>
      <c r="D1502" s="94">
        <v>0</v>
      </c>
      <c r="E1502" s="94">
        <v>0</v>
      </c>
      <c r="F1502" s="94">
        <v>0</v>
      </c>
      <c r="G1502" s="94">
        <v>0</v>
      </c>
      <c r="H1502" s="94">
        <v>0</v>
      </c>
      <c r="I1502" s="94">
        <v>0</v>
      </c>
      <c r="J1502" s="94">
        <v>0</v>
      </c>
    </row>
    <row r="1503" spans="1:10">
      <c r="A1503" s="88" t="s">
        <v>100</v>
      </c>
      <c r="B1503" s="88" t="s">
        <v>11</v>
      </c>
      <c r="C1503" s="89">
        <v>0.500694444444444</v>
      </c>
      <c r="D1503" s="90">
        <v>0</v>
      </c>
      <c r="E1503" s="90">
        <v>0</v>
      </c>
      <c r="F1503" s="90">
        <v>0</v>
      </c>
      <c r="G1503" s="90">
        <v>0</v>
      </c>
      <c r="H1503" s="90">
        <v>0</v>
      </c>
      <c r="I1503" s="90">
        <v>0</v>
      </c>
      <c r="J1503" s="90">
        <v>0</v>
      </c>
    </row>
    <row r="1504" spans="1:10">
      <c r="A1504" s="88" t="s">
        <v>100</v>
      </c>
      <c r="B1504" s="88" t="s">
        <v>11</v>
      </c>
      <c r="C1504" s="89">
        <v>0.50138888888888899</v>
      </c>
      <c r="D1504" s="90">
        <v>0</v>
      </c>
      <c r="E1504" s="90">
        <v>0</v>
      </c>
      <c r="F1504" s="90">
        <v>0</v>
      </c>
      <c r="G1504" s="90">
        <v>0</v>
      </c>
      <c r="H1504" s="90">
        <v>0</v>
      </c>
      <c r="I1504" s="90">
        <v>0</v>
      </c>
      <c r="J1504" s="90">
        <v>0</v>
      </c>
    </row>
    <row r="1505" spans="1:10">
      <c r="A1505" s="88" t="s">
        <v>100</v>
      </c>
      <c r="B1505" s="88" t="s">
        <v>11</v>
      </c>
      <c r="C1505" s="89">
        <v>0.50208333333333299</v>
      </c>
      <c r="D1505" s="90">
        <v>0</v>
      </c>
      <c r="E1505" s="90">
        <v>0</v>
      </c>
      <c r="F1505" s="90">
        <v>0</v>
      </c>
      <c r="G1505" s="90">
        <v>0</v>
      </c>
      <c r="H1505" s="90">
        <v>0</v>
      </c>
      <c r="I1505" s="90">
        <v>0</v>
      </c>
      <c r="J1505" s="90">
        <v>0</v>
      </c>
    </row>
    <row r="1506" spans="1:10">
      <c r="A1506" s="88" t="s">
        <v>100</v>
      </c>
      <c r="B1506" s="88" t="s">
        <v>11</v>
      </c>
      <c r="C1506" s="89">
        <v>0.50277777777777799</v>
      </c>
      <c r="D1506" s="90">
        <v>0</v>
      </c>
      <c r="E1506" s="90">
        <v>0</v>
      </c>
      <c r="F1506" s="90">
        <v>0</v>
      </c>
      <c r="G1506" s="90">
        <v>0</v>
      </c>
      <c r="H1506" s="90">
        <v>0</v>
      </c>
      <c r="I1506" s="90">
        <v>0</v>
      </c>
      <c r="J1506" s="90">
        <v>0</v>
      </c>
    </row>
    <row r="1507" spans="1:10">
      <c r="A1507" s="88" t="s">
        <v>100</v>
      </c>
      <c r="B1507" s="88" t="s">
        <v>11</v>
      </c>
      <c r="C1507" s="89">
        <v>0.50347222222222199</v>
      </c>
      <c r="D1507" s="90">
        <v>0</v>
      </c>
      <c r="E1507" s="90">
        <v>0</v>
      </c>
      <c r="F1507" s="90">
        <v>0</v>
      </c>
      <c r="G1507" s="90">
        <v>0</v>
      </c>
      <c r="H1507" s="90">
        <v>0</v>
      </c>
      <c r="I1507" s="90">
        <v>0</v>
      </c>
      <c r="J1507" s="90">
        <v>0</v>
      </c>
    </row>
    <row r="1508" spans="1:10">
      <c r="A1508" s="88" t="s">
        <v>100</v>
      </c>
      <c r="B1508" s="88" t="s">
        <v>11</v>
      </c>
      <c r="C1508" s="89">
        <v>0.50416666666666698</v>
      </c>
      <c r="D1508" s="90">
        <v>0</v>
      </c>
      <c r="E1508" s="90">
        <v>0</v>
      </c>
      <c r="F1508" s="90">
        <v>0</v>
      </c>
      <c r="G1508" s="90">
        <v>0</v>
      </c>
      <c r="H1508" s="90">
        <v>0</v>
      </c>
      <c r="I1508" s="90">
        <v>0</v>
      </c>
      <c r="J1508" s="90">
        <v>0</v>
      </c>
    </row>
    <row r="1509" spans="1:10">
      <c r="A1509" s="88" t="s">
        <v>100</v>
      </c>
      <c r="B1509" s="88" t="s">
        <v>11</v>
      </c>
      <c r="C1509" s="89">
        <v>0.50486111111111098</v>
      </c>
      <c r="D1509" s="90">
        <v>0</v>
      </c>
      <c r="E1509" s="90">
        <v>0</v>
      </c>
      <c r="F1509" s="90">
        <v>0</v>
      </c>
      <c r="G1509" s="90">
        <v>0</v>
      </c>
      <c r="H1509" s="90">
        <v>0</v>
      </c>
      <c r="I1509" s="90">
        <v>0</v>
      </c>
      <c r="J1509" s="90">
        <v>0</v>
      </c>
    </row>
    <row r="1510" spans="1:10">
      <c r="A1510" s="88" t="s">
        <v>100</v>
      </c>
      <c r="B1510" s="88" t="s">
        <v>11</v>
      </c>
      <c r="C1510" s="89">
        <v>0.50555555555555498</v>
      </c>
      <c r="D1510" s="90">
        <v>0</v>
      </c>
      <c r="E1510" s="90">
        <v>0</v>
      </c>
      <c r="F1510" s="90">
        <v>0</v>
      </c>
      <c r="G1510" s="90">
        <v>0</v>
      </c>
      <c r="H1510" s="90">
        <v>0</v>
      </c>
      <c r="I1510" s="90">
        <v>0</v>
      </c>
      <c r="J1510" s="90">
        <v>0</v>
      </c>
    </row>
    <row r="1511" spans="1:10">
      <c r="A1511" s="88" t="s">
        <v>100</v>
      </c>
      <c r="B1511" s="88" t="s">
        <v>11</v>
      </c>
      <c r="C1511" s="89">
        <v>0.50624999999999998</v>
      </c>
      <c r="D1511" s="90">
        <v>0</v>
      </c>
      <c r="E1511" s="90">
        <v>0</v>
      </c>
      <c r="F1511" s="90">
        <v>0</v>
      </c>
      <c r="G1511" s="90">
        <v>0</v>
      </c>
      <c r="H1511" s="90">
        <v>0</v>
      </c>
      <c r="I1511" s="90">
        <v>0</v>
      </c>
      <c r="J1511" s="90">
        <v>0</v>
      </c>
    </row>
    <row r="1512" spans="1:10">
      <c r="A1512" s="88" t="s">
        <v>100</v>
      </c>
      <c r="B1512" s="88" t="s">
        <v>11</v>
      </c>
      <c r="C1512" s="89">
        <v>0.50694444444444398</v>
      </c>
      <c r="D1512" s="90">
        <v>0</v>
      </c>
      <c r="E1512" s="90">
        <v>0</v>
      </c>
      <c r="F1512" s="90">
        <v>0</v>
      </c>
      <c r="G1512" s="90">
        <v>0</v>
      </c>
      <c r="H1512" s="90">
        <v>0</v>
      </c>
      <c r="I1512" s="90">
        <v>0</v>
      </c>
      <c r="J1512" s="90">
        <v>0</v>
      </c>
    </row>
    <row r="1513" spans="1:10">
      <c r="A1513" s="88" t="s">
        <v>100</v>
      </c>
      <c r="B1513" s="88" t="s">
        <v>11</v>
      </c>
      <c r="C1513" s="89">
        <v>0.50763888888888897</v>
      </c>
      <c r="D1513" s="90">
        <v>0</v>
      </c>
      <c r="E1513" s="90">
        <v>0</v>
      </c>
      <c r="F1513" s="90">
        <v>0</v>
      </c>
      <c r="G1513" s="90">
        <v>0</v>
      </c>
      <c r="H1513" s="90">
        <v>0</v>
      </c>
      <c r="I1513" s="90">
        <v>0</v>
      </c>
      <c r="J1513" s="90">
        <v>0</v>
      </c>
    </row>
    <row r="1514" spans="1:10">
      <c r="A1514" s="88" t="s">
        <v>100</v>
      </c>
      <c r="B1514" s="88" t="s">
        <v>11</v>
      </c>
      <c r="C1514" s="89">
        <v>0.50833333333333297</v>
      </c>
      <c r="D1514" s="90">
        <v>0</v>
      </c>
      <c r="E1514" s="90">
        <v>0</v>
      </c>
      <c r="F1514" s="90">
        <v>0</v>
      </c>
      <c r="G1514" s="90">
        <v>0</v>
      </c>
      <c r="H1514" s="90">
        <v>0</v>
      </c>
      <c r="I1514" s="90">
        <v>0</v>
      </c>
      <c r="J1514" s="90">
        <v>0</v>
      </c>
    </row>
    <row r="1515" spans="1:10">
      <c r="A1515" s="88" t="s">
        <v>100</v>
      </c>
      <c r="B1515" s="88" t="s">
        <v>11</v>
      </c>
      <c r="C1515" s="89">
        <v>0.50902777777777797</v>
      </c>
      <c r="D1515" s="90">
        <v>0</v>
      </c>
      <c r="E1515" s="90">
        <v>0</v>
      </c>
      <c r="F1515" s="90">
        <v>0</v>
      </c>
      <c r="G1515" s="90">
        <v>0</v>
      </c>
      <c r="H1515" s="90">
        <v>0</v>
      </c>
      <c r="I1515" s="90">
        <v>0</v>
      </c>
      <c r="J1515" s="90">
        <v>0</v>
      </c>
    </row>
    <row r="1516" spans="1:10" s="80" customFormat="1">
      <c r="A1516" s="91" t="s">
        <v>100</v>
      </c>
      <c r="B1516" s="91" t="s">
        <v>11</v>
      </c>
      <c r="C1516" s="92">
        <v>0.50972222222222197</v>
      </c>
      <c r="D1516" s="93">
        <v>0</v>
      </c>
      <c r="E1516" s="93">
        <v>0</v>
      </c>
      <c r="F1516" s="93">
        <v>0</v>
      </c>
      <c r="G1516" s="93">
        <v>0</v>
      </c>
      <c r="H1516" s="93">
        <v>0</v>
      </c>
      <c r="I1516" s="93">
        <v>0</v>
      </c>
      <c r="J1516" s="93">
        <v>0</v>
      </c>
    </row>
    <row r="1517" spans="1:10">
      <c r="A1517" s="88" t="s">
        <v>100</v>
      </c>
      <c r="B1517" s="88" t="s">
        <v>11</v>
      </c>
      <c r="C1517" s="89">
        <v>0.51041666666666596</v>
      </c>
      <c r="D1517" s="94">
        <v>0</v>
      </c>
      <c r="E1517" s="94">
        <v>0</v>
      </c>
      <c r="F1517" s="94">
        <v>0</v>
      </c>
      <c r="G1517" s="94">
        <v>0</v>
      </c>
      <c r="H1517" s="94">
        <v>0</v>
      </c>
      <c r="I1517" s="94">
        <v>0</v>
      </c>
      <c r="J1517" s="94">
        <v>0</v>
      </c>
    </row>
    <row r="1518" spans="1:10">
      <c r="A1518" s="88" t="s">
        <v>100</v>
      </c>
      <c r="B1518" s="88" t="s">
        <v>11</v>
      </c>
      <c r="C1518" s="89">
        <v>0.51111111111111096</v>
      </c>
      <c r="D1518" s="90">
        <v>0</v>
      </c>
      <c r="E1518" s="90">
        <v>0</v>
      </c>
      <c r="F1518" s="90">
        <v>0</v>
      </c>
      <c r="G1518" s="90">
        <v>0</v>
      </c>
      <c r="H1518" s="90">
        <v>0</v>
      </c>
      <c r="I1518" s="90">
        <v>0</v>
      </c>
      <c r="J1518" s="90">
        <v>0</v>
      </c>
    </row>
    <row r="1519" spans="1:10">
      <c r="A1519" s="88" t="s">
        <v>100</v>
      </c>
      <c r="B1519" s="88" t="s">
        <v>11</v>
      </c>
      <c r="C1519" s="89">
        <v>0.51180555555555496</v>
      </c>
      <c r="D1519" s="90">
        <v>0</v>
      </c>
      <c r="E1519" s="90">
        <v>0</v>
      </c>
      <c r="F1519" s="90">
        <v>0</v>
      </c>
      <c r="G1519" s="90">
        <v>0</v>
      </c>
      <c r="H1519" s="90">
        <v>0</v>
      </c>
      <c r="I1519" s="90">
        <v>0</v>
      </c>
      <c r="J1519" s="90">
        <v>0</v>
      </c>
    </row>
    <row r="1520" spans="1:10">
      <c r="A1520" s="88" t="s">
        <v>100</v>
      </c>
      <c r="B1520" s="88" t="s">
        <v>11</v>
      </c>
      <c r="C1520" s="89">
        <v>0.51249999999999996</v>
      </c>
      <c r="D1520" s="90">
        <v>0</v>
      </c>
      <c r="E1520" s="90">
        <v>0</v>
      </c>
      <c r="F1520" s="90">
        <v>0</v>
      </c>
      <c r="G1520" s="90">
        <v>0</v>
      </c>
      <c r="H1520" s="90">
        <v>0</v>
      </c>
      <c r="I1520" s="90">
        <v>0</v>
      </c>
      <c r="J1520" s="90">
        <v>0</v>
      </c>
    </row>
    <row r="1521" spans="1:10">
      <c r="A1521" s="88" t="s">
        <v>100</v>
      </c>
      <c r="B1521" s="88" t="s">
        <v>11</v>
      </c>
      <c r="C1521" s="89">
        <v>0.51319444444444395</v>
      </c>
      <c r="D1521" s="90">
        <v>0</v>
      </c>
      <c r="E1521" s="90">
        <v>0</v>
      </c>
      <c r="F1521" s="90">
        <v>0</v>
      </c>
      <c r="G1521" s="90">
        <v>0</v>
      </c>
      <c r="H1521" s="90">
        <v>0</v>
      </c>
      <c r="I1521" s="90">
        <v>0</v>
      </c>
      <c r="J1521" s="90">
        <v>0</v>
      </c>
    </row>
    <row r="1522" spans="1:10">
      <c r="A1522" s="88" t="s">
        <v>100</v>
      </c>
      <c r="B1522" s="88" t="s">
        <v>11</v>
      </c>
      <c r="C1522" s="89">
        <v>0.51388888888888895</v>
      </c>
      <c r="D1522" s="90">
        <v>0</v>
      </c>
      <c r="E1522" s="90">
        <v>0</v>
      </c>
      <c r="F1522" s="90">
        <v>0</v>
      </c>
      <c r="G1522" s="90">
        <v>0</v>
      </c>
      <c r="H1522" s="90">
        <v>0</v>
      </c>
      <c r="I1522" s="90">
        <v>0</v>
      </c>
      <c r="J1522" s="90">
        <v>0</v>
      </c>
    </row>
    <row r="1523" spans="1:10">
      <c r="A1523" s="88" t="s">
        <v>100</v>
      </c>
      <c r="B1523" s="88" t="s">
        <v>11</v>
      </c>
      <c r="C1523" s="89">
        <v>0.51458333333333295</v>
      </c>
      <c r="D1523" s="90">
        <v>0</v>
      </c>
      <c r="E1523" s="90">
        <v>0</v>
      </c>
      <c r="F1523" s="90">
        <v>0</v>
      </c>
      <c r="G1523" s="90">
        <v>0</v>
      </c>
      <c r="H1523" s="90">
        <v>0</v>
      </c>
      <c r="I1523" s="90">
        <v>0</v>
      </c>
      <c r="J1523" s="90">
        <v>0</v>
      </c>
    </row>
    <row r="1524" spans="1:10">
      <c r="A1524" s="88" t="s">
        <v>100</v>
      </c>
      <c r="B1524" s="88" t="s">
        <v>11</v>
      </c>
      <c r="C1524" s="89">
        <v>0.51527777777777795</v>
      </c>
      <c r="D1524" s="90">
        <v>0</v>
      </c>
      <c r="E1524" s="90">
        <v>0</v>
      </c>
      <c r="F1524" s="90">
        <v>0</v>
      </c>
      <c r="G1524" s="90">
        <v>0</v>
      </c>
      <c r="H1524" s="90">
        <v>0</v>
      </c>
      <c r="I1524" s="90">
        <v>0</v>
      </c>
      <c r="J1524" s="90">
        <v>0</v>
      </c>
    </row>
    <row r="1525" spans="1:10">
      <c r="A1525" s="88" t="s">
        <v>100</v>
      </c>
      <c r="B1525" s="88" t="s">
        <v>11</v>
      </c>
      <c r="C1525" s="89">
        <v>0.51597222222222205</v>
      </c>
      <c r="D1525" s="90">
        <v>0</v>
      </c>
      <c r="E1525" s="90">
        <v>0</v>
      </c>
      <c r="F1525" s="90">
        <v>0</v>
      </c>
      <c r="G1525" s="90">
        <v>0</v>
      </c>
      <c r="H1525" s="90">
        <v>0</v>
      </c>
      <c r="I1525" s="90">
        <v>0</v>
      </c>
      <c r="J1525" s="90">
        <v>0</v>
      </c>
    </row>
    <row r="1526" spans="1:10">
      <c r="A1526" s="88" t="s">
        <v>100</v>
      </c>
      <c r="B1526" s="88" t="s">
        <v>11</v>
      </c>
      <c r="C1526" s="89">
        <v>0.51666666666666605</v>
      </c>
      <c r="D1526" s="90">
        <v>0</v>
      </c>
      <c r="E1526" s="90">
        <v>0</v>
      </c>
      <c r="F1526" s="90">
        <v>0</v>
      </c>
      <c r="G1526" s="90">
        <v>0</v>
      </c>
      <c r="H1526" s="90">
        <v>0</v>
      </c>
      <c r="I1526" s="90">
        <v>0</v>
      </c>
      <c r="J1526" s="90">
        <v>0</v>
      </c>
    </row>
    <row r="1527" spans="1:10">
      <c r="A1527" s="88" t="s">
        <v>100</v>
      </c>
      <c r="B1527" s="88" t="s">
        <v>11</v>
      </c>
      <c r="C1527" s="89">
        <v>0.51736111111111105</v>
      </c>
      <c r="D1527" s="90">
        <v>0</v>
      </c>
      <c r="E1527" s="90">
        <v>0</v>
      </c>
      <c r="F1527" s="90">
        <v>0</v>
      </c>
      <c r="G1527" s="90">
        <v>0</v>
      </c>
      <c r="H1527" s="90">
        <v>0</v>
      </c>
      <c r="I1527" s="90">
        <v>0</v>
      </c>
      <c r="J1527" s="90">
        <v>0</v>
      </c>
    </row>
    <row r="1528" spans="1:10">
      <c r="A1528" s="88" t="s">
        <v>100</v>
      </c>
      <c r="B1528" s="88" t="s">
        <v>11</v>
      </c>
      <c r="C1528" s="89">
        <v>0.51805555555555505</v>
      </c>
      <c r="D1528" s="90">
        <v>0</v>
      </c>
      <c r="E1528" s="90">
        <v>0</v>
      </c>
      <c r="F1528" s="90">
        <v>0</v>
      </c>
      <c r="G1528" s="90">
        <v>0</v>
      </c>
      <c r="H1528" s="90">
        <v>0</v>
      </c>
      <c r="I1528" s="90">
        <v>0</v>
      </c>
      <c r="J1528" s="90">
        <v>0</v>
      </c>
    </row>
    <row r="1529" spans="1:10">
      <c r="A1529" s="88" t="s">
        <v>100</v>
      </c>
      <c r="B1529" s="88" t="s">
        <v>11</v>
      </c>
      <c r="C1529" s="89">
        <v>0.51875000000000004</v>
      </c>
      <c r="D1529" s="90">
        <v>0</v>
      </c>
      <c r="E1529" s="90">
        <v>0</v>
      </c>
      <c r="F1529" s="90">
        <v>0</v>
      </c>
      <c r="G1529" s="90">
        <v>0</v>
      </c>
      <c r="H1529" s="90">
        <v>0</v>
      </c>
      <c r="I1529" s="90">
        <v>0</v>
      </c>
      <c r="J1529" s="90">
        <v>0</v>
      </c>
    </row>
    <row r="1530" spans="1:10">
      <c r="A1530" s="88" t="s">
        <v>100</v>
      </c>
      <c r="B1530" s="88" t="s">
        <v>11</v>
      </c>
      <c r="C1530" s="89">
        <v>0.51944444444444404</v>
      </c>
      <c r="D1530" s="90">
        <v>0</v>
      </c>
      <c r="E1530" s="90">
        <v>0</v>
      </c>
      <c r="F1530" s="90">
        <v>0</v>
      </c>
      <c r="G1530" s="90">
        <v>0</v>
      </c>
      <c r="H1530" s="90">
        <v>0</v>
      </c>
      <c r="I1530" s="90">
        <v>0</v>
      </c>
      <c r="J1530" s="90">
        <v>0</v>
      </c>
    </row>
    <row r="1531" spans="1:10" s="80" customFormat="1">
      <c r="A1531" s="91" t="s">
        <v>100</v>
      </c>
      <c r="B1531" s="91" t="s">
        <v>11</v>
      </c>
      <c r="C1531" s="92">
        <v>0.52013888888888904</v>
      </c>
      <c r="D1531" s="93">
        <v>0</v>
      </c>
      <c r="E1531" s="93">
        <v>0</v>
      </c>
      <c r="F1531" s="93">
        <v>0</v>
      </c>
      <c r="G1531" s="93">
        <v>0</v>
      </c>
      <c r="H1531" s="93">
        <v>0</v>
      </c>
      <c r="I1531" s="93">
        <v>0</v>
      </c>
      <c r="J1531" s="93">
        <v>0</v>
      </c>
    </row>
    <row r="1532" spans="1:10">
      <c r="A1532" s="88" t="s">
        <v>100</v>
      </c>
      <c r="B1532" s="88" t="s">
        <v>11</v>
      </c>
      <c r="C1532" s="89">
        <v>0.52083333333333304</v>
      </c>
      <c r="D1532" s="90">
        <v>0</v>
      </c>
      <c r="E1532" s="90">
        <v>0</v>
      </c>
      <c r="F1532" s="90">
        <v>0</v>
      </c>
      <c r="G1532" s="90">
        <v>0</v>
      </c>
      <c r="H1532" s="90">
        <v>0</v>
      </c>
      <c r="I1532" s="90">
        <v>0</v>
      </c>
      <c r="J1532" s="90">
        <v>0</v>
      </c>
    </row>
    <row r="1533" spans="1:10">
      <c r="A1533" s="88" t="s">
        <v>100</v>
      </c>
      <c r="B1533" s="88" t="s">
        <v>11</v>
      </c>
      <c r="C1533" s="89">
        <v>0.52152777777777704</v>
      </c>
      <c r="D1533" s="90">
        <v>0</v>
      </c>
      <c r="E1533" s="90">
        <v>0</v>
      </c>
      <c r="F1533" s="90">
        <v>0</v>
      </c>
      <c r="G1533" s="90">
        <v>0</v>
      </c>
      <c r="H1533" s="90">
        <v>0</v>
      </c>
      <c r="I1533" s="90">
        <v>0</v>
      </c>
      <c r="J1533" s="90">
        <v>0</v>
      </c>
    </row>
    <row r="1534" spans="1:10">
      <c r="A1534" s="88" t="s">
        <v>100</v>
      </c>
      <c r="B1534" s="88" t="s">
        <v>11</v>
      </c>
      <c r="C1534" s="89">
        <v>0.52222222222222203</v>
      </c>
      <c r="D1534" s="90">
        <v>0</v>
      </c>
      <c r="E1534" s="90">
        <v>0</v>
      </c>
      <c r="F1534" s="90">
        <v>0</v>
      </c>
      <c r="G1534" s="90">
        <v>0</v>
      </c>
      <c r="H1534" s="90">
        <v>0</v>
      </c>
      <c r="I1534" s="90">
        <v>0</v>
      </c>
      <c r="J1534" s="90">
        <v>0</v>
      </c>
    </row>
    <row r="1535" spans="1:10">
      <c r="A1535" s="88" t="s">
        <v>100</v>
      </c>
      <c r="B1535" s="88" t="s">
        <v>11</v>
      </c>
      <c r="C1535" s="89">
        <v>0.52291666666666603</v>
      </c>
      <c r="D1535" s="90">
        <v>0</v>
      </c>
      <c r="E1535" s="90">
        <v>0</v>
      </c>
      <c r="F1535" s="90">
        <v>0</v>
      </c>
      <c r="G1535" s="90">
        <v>0</v>
      </c>
      <c r="H1535" s="90">
        <v>0</v>
      </c>
      <c r="I1535" s="90">
        <v>0</v>
      </c>
      <c r="J1535" s="90">
        <v>0</v>
      </c>
    </row>
    <row r="1536" spans="1:10">
      <c r="A1536" s="88" t="s">
        <v>100</v>
      </c>
      <c r="B1536" s="88" t="s">
        <v>11</v>
      </c>
      <c r="C1536" s="89">
        <v>0.52361111111111103</v>
      </c>
      <c r="D1536" s="90">
        <v>0</v>
      </c>
      <c r="E1536" s="90">
        <v>0</v>
      </c>
      <c r="F1536" s="90">
        <v>0</v>
      </c>
      <c r="G1536" s="90">
        <v>0</v>
      </c>
      <c r="H1536" s="90">
        <v>0</v>
      </c>
      <c r="I1536" s="90">
        <v>0</v>
      </c>
      <c r="J1536" s="90">
        <v>0</v>
      </c>
    </row>
    <row r="1537" spans="1:10">
      <c r="A1537" s="88" t="s">
        <v>100</v>
      </c>
      <c r="B1537" s="88" t="s">
        <v>11</v>
      </c>
      <c r="C1537" s="89">
        <v>0.52430555555555503</v>
      </c>
      <c r="D1537" s="90">
        <v>0</v>
      </c>
      <c r="E1537" s="90">
        <v>0</v>
      </c>
      <c r="F1537" s="90">
        <v>0</v>
      </c>
      <c r="G1537" s="90">
        <v>0</v>
      </c>
      <c r="H1537" s="90">
        <v>0</v>
      </c>
      <c r="I1537" s="90">
        <v>0</v>
      </c>
      <c r="J1537" s="90">
        <v>0</v>
      </c>
    </row>
    <row r="1538" spans="1:10">
      <c r="A1538" s="88" t="s">
        <v>100</v>
      </c>
      <c r="B1538" s="88" t="s">
        <v>11</v>
      </c>
      <c r="C1538" s="89">
        <v>0.52500000000000002</v>
      </c>
      <c r="D1538" s="90">
        <v>0</v>
      </c>
      <c r="E1538" s="90">
        <v>0</v>
      </c>
      <c r="F1538" s="90">
        <v>0</v>
      </c>
      <c r="G1538" s="90">
        <v>0</v>
      </c>
      <c r="H1538" s="90">
        <v>0</v>
      </c>
      <c r="I1538" s="90">
        <v>0</v>
      </c>
      <c r="J1538" s="90">
        <v>0</v>
      </c>
    </row>
    <row r="1539" spans="1:10">
      <c r="A1539" s="88" t="s">
        <v>100</v>
      </c>
      <c r="B1539" s="88" t="s">
        <v>11</v>
      </c>
      <c r="C1539" s="89">
        <v>0.52569444444444402</v>
      </c>
      <c r="D1539" s="90">
        <v>0</v>
      </c>
      <c r="E1539" s="90">
        <v>0</v>
      </c>
      <c r="F1539" s="90">
        <v>0</v>
      </c>
      <c r="G1539" s="90">
        <v>0</v>
      </c>
      <c r="H1539" s="90">
        <v>0</v>
      </c>
      <c r="I1539" s="90">
        <v>0</v>
      </c>
      <c r="J1539" s="90">
        <v>0</v>
      </c>
    </row>
    <row r="1540" spans="1:10">
      <c r="A1540" s="88" t="s">
        <v>100</v>
      </c>
      <c r="B1540" s="88" t="s">
        <v>11</v>
      </c>
      <c r="C1540" s="89">
        <v>0.52638888888888902</v>
      </c>
      <c r="D1540" s="90">
        <v>0</v>
      </c>
      <c r="E1540" s="90">
        <v>0</v>
      </c>
      <c r="F1540" s="90">
        <v>0</v>
      </c>
      <c r="G1540" s="90">
        <v>0</v>
      </c>
      <c r="H1540" s="90">
        <v>0</v>
      </c>
      <c r="I1540" s="90">
        <v>0</v>
      </c>
      <c r="J1540" s="90">
        <v>0</v>
      </c>
    </row>
    <row r="1541" spans="1:10">
      <c r="A1541" s="88" t="s">
        <v>100</v>
      </c>
      <c r="B1541" s="88" t="s">
        <v>11</v>
      </c>
      <c r="C1541" s="89">
        <v>0.52708333333333302</v>
      </c>
      <c r="D1541" s="90">
        <v>0</v>
      </c>
      <c r="E1541" s="90">
        <v>0</v>
      </c>
      <c r="F1541" s="90">
        <v>0</v>
      </c>
      <c r="G1541" s="90">
        <v>0</v>
      </c>
      <c r="H1541" s="90">
        <v>0</v>
      </c>
      <c r="I1541" s="90">
        <v>0</v>
      </c>
      <c r="J1541" s="90">
        <v>0</v>
      </c>
    </row>
    <row r="1542" spans="1:10">
      <c r="A1542" s="88" t="s">
        <v>100</v>
      </c>
      <c r="B1542" s="88" t="s">
        <v>11</v>
      </c>
      <c r="C1542" s="89">
        <v>0.52777777777777701</v>
      </c>
      <c r="D1542" s="90">
        <v>0</v>
      </c>
      <c r="E1542" s="90">
        <v>0</v>
      </c>
      <c r="F1542" s="90">
        <v>0</v>
      </c>
      <c r="G1542" s="90">
        <v>0</v>
      </c>
      <c r="H1542" s="90">
        <v>0</v>
      </c>
      <c r="I1542" s="90">
        <v>0</v>
      </c>
      <c r="J1542" s="90">
        <v>0</v>
      </c>
    </row>
    <row r="1543" spans="1:10">
      <c r="A1543" s="88" t="s">
        <v>100</v>
      </c>
      <c r="B1543" s="88" t="s">
        <v>11</v>
      </c>
      <c r="C1543" s="89">
        <v>0.52847222222222201</v>
      </c>
      <c r="D1543" s="90">
        <v>0</v>
      </c>
      <c r="E1543" s="90">
        <v>0</v>
      </c>
      <c r="F1543" s="90">
        <v>0</v>
      </c>
      <c r="G1543" s="90">
        <v>0</v>
      </c>
      <c r="H1543" s="90">
        <v>0</v>
      </c>
      <c r="I1543" s="90">
        <v>0</v>
      </c>
      <c r="J1543" s="90">
        <v>0</v>
      </c>
    </row>
    <row r="1544" spans="1:10">
      <c r="A1544" s="88" t="s">
        <v>100</v>
      </c>
      <c r="B1544" s="88" t="s">
        <v>11</v>
      </c>
      <c r="C1544" s="89">
        <v>0.52916666666666601</v>
      </c>
      <c r="D1544" s="90">
        <v>0</v>
      </c>
      <c r="E1544" s="90">
        <v>0</v>
      </c>
      <c r="F1544" s="90">
        <v>0</v>
      </c>
      <c r="G1544" s="90">
        <v>0</v>
      </c>
      <c r="H1544" s="90">
        <v>0</v>
      </c>
      <c r="I1544" s="90">
        <v>0</v>
      </c>
      <c r="J1544" s="90">
        <v>0</v>
      </c>
    </row>
    <row r="1545" spans="1:10">
      <c r="A1545" s="88" t="s">
        <v>100</v>
      </c>
      <c r="B1545" s="88" t="s">
        <v>11</v>
      </c>
      <c r="C1545" s="89">
        <v>0.52986111111111101</v>
      </c>
      <c r="D1545" s="90">
        <v>0</v>
      </c>
      <c r="E1545" s="90">
        <v>0</v>
      </c>
      <c r="F1545" s="90">
        <v>0</v>
      </c>
      <c r="G1545" s="90">
        <v>0</v>
      </c>
      <c r="H1545" s="90">
        <v>0</v>
      </c>
      <c r="I1545" s="90">
        <v>0</v>
      </c>
      <c r="J1545" s="90">
        <v>0</v>
      </c>
    </row>
    <row r="1546" spans="1:10" s="80" customFormat="1">
      <c r="A1546" s="91" t="s">
        <v>100</v>
      </c>
      <c r="B1546" s="91" t="s">
        <v>11</v>
      </c>
      <c r="C1546" s="92">
        <v>0.530555555555555</v>
      </c>
      <c r="D1546" s="93">
        <v>0</v>
      </c>
      <c r="E1546" s="93">
        <v>0</v>
      </c>
      <c r="F1546" s="93">
        <v>0</v>
      </c>
      <c r="G1546" s="93">
        <v>0</v>
      </c>
      <c r="H1546" s="93">
        <v>0</v>
      </c>
      <c r="I1546" s="93">
        <v>0</v>
      </c>
      <c r="J1546" s="93">
        <v>0</v>
      </c>
    </row>
    <row r="1547" spans="1:10">
      <c r="A1547" s="88" t="s">
        <v>100</v>
      </c>
      <c r="B1547" s="88" t="s">
        <v>11</v>
      </c>
      <c r="C1547" s="89">
        <v>0.53125</v>
      </c>
      <c r="D1547" s="94">
        <v>0</v>
      </c>
      <c r="E1547" s="94">
        <v>0</v>
      </c>
      <c r="F1547" s="94">
        <v>0</v>
      </c>
      <c r="G1547" s="94">
        <v>0</v>
      </c>
      <c r="H1547" s="94">
        <v>0</v>
      </c>
      <c r="I1547" s="94">
        <v>0</v>
      </c>
      <c r="J1547" s="94">
        <v>0</v>
      </c>
    </row>
    <row r="1548" spans="1:10">
      <c r="A1548" s="88" t="s">
        <v>100</v>
      </c>
      <c r="B1548" s="88" t="s">
        <v>11</v>
      </c>
      <c r="C1548" s="89">
        <v>0.531944444444444</v>
      </c>
      <c r="D1548" s="90">
        <v>0</v>
      </c>
      <c r="E1548" s="90">
        <v>0</v>
      </c>
      <c r="F1548" s="90">
        <v>0</v>
      </c>
      <c r="G1548" s="90">
        <v>0</v>
      </c>
      <c r="H1548" s="90">
        <v>0</v>
      </c>
      <c r="I1548" s="90">
        <v>0</v>
      </c>
      <c r="J1548" s="90">
        <v>0</v>
      </c>
    </row>
    <row r="1549" spans="1:10">
      <c r="A1549" s="88" t="s">
        <v>100</v>
      </c>
      <c r="B1549" s="88" t="s">
        <v>11</v>
      </c>
      <c r="C1549" s="89">
        <v>0.53263888888888899</v>
      </c>
      <c r="D1549" s="90">
        <v>0</v>
      </c>
      <c r="E1549" s="90">
        <v>0</v>
      </c>
      <c r="F1549" s="90">
        <v>0</v>
      </c>
      <c r="G1549" s="90">
        <v>0</v>
      </c>
      <c r="H1549" s="90">
        <v>0</v>
      </c>
      <c r="I1549" s="90">
        <v>0</v>
      </c>
      <c r="J1549" s="90">
        <v>0</v>
      </c>
    </row>
    <row r="1550" spans="1:10">
      <c r="A1550" s="88" t="s">
        <v>100</v>
      </c>
      <c r="B1550" s="88" t="s">
        <v>11</v>
      </c>
      <c r="C1550" s="89">
        <v>0.53333333333333299</v>
      </c>
      <c r="D1550" s="90">
        <v>0</v>
      </c>
      <c r="E1550" s="90">
        <v>0</v>
      </c>
      <c r="F1550" s="90">
        <v>0</v>
      </c>
      <c r="G1550" s="90">
        <v>0</v>
      </c>
      <c r="H1550" s="90">
        <v>0</v>
      </c>
      <c r="I1550" s="90">
        <v>0</v>
      </c>
      <c r="J1550" s="90">
        <v>0</v>
      </c>
    </row>
    <row r="1551" spans="1:10">
      <c r="A1551" s="88" t="s">
        <v>100</v>
      </c>
      <c r="B1551" s="88" t="s">
        <v>11</v>
      </c>
      <c r="C1551" s="89">
        <v>0.53402777777777799</v>
      </c>
      <c r="D1551" s="90">
        <v>0</v>
      </c>
      <c r="E1551" s="90">
        <v>0</v>
      </c>
      <c r="F1551" s="90">
        <v>0</v>
      </c>
      <c r="G1551" s="90">
        <v>0</v>
      </c>
      <c r="H1551" s="90">
        <v>0</v>
      </c>
      <c r="I1551" s="90">
        <v>0</v>
      </c>
      <c r="J1551" s="90">
        <v>0</v>
      </c>
    </row>
    <row r="1552" spans="1:10">
      <c r="A1552" s="88" t="s">
        <v>100</v>
      </c>
      <c r="B1552" s="88" t="s">
        <v>11</v>
      </c>
      <c r="C1552" s="89">
        <v>0.53472222222222199</v>
      </c>
      <c r="D1552" s="90">
        <v>0</v>
      </c>
      <c r="E1552" s="90">
        <v>0</v>
      </c>
      <c r="F1552" s="90">
        <v>0</v>
      </c>
      <c r="G1552" s="90">
        <v>0</v>
      </c>
      <c r="H1552" s="90">
        <v>0</v>
      </c>
      <c r="I1552" s="90">
        <v>0</v>
      </c>
      <c r="J1552" s="90">
        <v>0</v>
      </c>
    </row>
    <row r="1553" spans="1:10">
      <c r="A1553" s="88" t="s">
        <v>100</v>
      </c>
      <c r="B1553" s="88" t="s">
        <v>11</v>
      </c>
      <c r="C1553" s="89">
        <v>0.53541666666666599</v>
      </c>
      <c r="D1553" s="90">
        <v>0</v>
      </c>
      <c r="E1553" s="90">
        <v>0</v>
      </c>
      <c r="F1553" s="90">
        <v>0</v>
      </c>
      <c r="G1553" s="90">
        <v>0</v>
      </c>
      <c r="H1553" s="90">
        <v>0</v>
      </c>
      <c r="I1553" s="90">
        <v>0</v>
      </c>
      <c r="J1553" s="90">
        <v>0</v>
      </c>
    </row>
    <row r="1554" spans="1:10">
      <c r="A1554" s="88" t="s">
        <v>100</v>
      </c>
      <c r="B1554" s="88" t="s">
        <v>11</v>
      </c>
      <c r="C1554" s="89">
        <v>0.53611111111111098</v>
      </c>
      <c r="D1554" s="90">
        <v>0</v>
      </c>
      <c r="E1554" s="90">
        <v>0</v>
      </c>
      <c r="F1554" s="90">
        <v>0</v>
      </c>
      <c r="G1554" s="90">
        <v>0</v>
      </c>
      <c r="H1554" s="90">
        <v>0</v>
      </c>
      <c r="I1554" s="90">
        <v>0</v>
      </c>
      <c r="J1554" s="90">
        <v>0</v>
      </c>
    </row>
    <row r="1555" spans="1:10">
      <c r="A1555" s="88" t="s">
        <v>100</v>
      </c>
      <c r="B1555" s="88" t="s">
        <v>11</v>
      </c>
      <c r="C1555" s="89">
        <v>0.53680555555555498</v>
      </c>
      <c r="D1555" s="90">
        <v>0</v>
      </c>
      <c r="E1555" s="90">
        <v>0</v>
      </c>
      <c r="F1555" s="90">
        <v>0</v>
      </c>
      <c r="G1555" s="90">
        <v>0</v>
      </c>
      <c r="H1555" s="90">
        <v>0</v>
      </c>
      <c r="I1555" s="90">
        <v>0</v>
      </c>
      <c r="J1555" s="90">
        <v>0</v>
      </c>
    </row>
    <row r="1556" spans="1:10">
      <c r="A1556" s="88" t="s">
        <v>100</v>
      </c>
      <c r="B1556" s="88" t="s">
        <v>11</v>
      </c>
      <c r="C1556" s="89">
        <v>0.53749999999999998</v>
      </c>
      <c r="D1556" s="90">
        <v>0</v>
      </c>
      <c r="E1556" s="90">
        <v>0</v>
      </c>
      <c r="F1556" s="90">
        <v>0</v>
      </c>
      <c r="G1556" s="90">
        <v>0</v>
      </c>
      <c r="H1556" s="90">
        <v>0</v>
      </c>
      <c r="I1556" s="90">
        <v>0</v>
      </c>
      <c r="J1556" s="90">
        <v>0</v>
      </c>
    </row>
    <row r="1557" spans="1:10">
      <c r="A1557" s="88" t="s">
        <v>100</v>
      </c>
      <c r="B1557" s="88" t="s">
        <v>11</v>
      </c>
      <c r="C1557" s="89">
        <v>0.53819444444444398</v>
      </c>
      <c r="D1557" s="90">
        <v>0</v>
      </c>
      <c r="E1557" s="90">
        <v>0</v>
      </c>
      <c r="F1557" s="90">
        <v>0</v>
      </c>
      <c r="G1557" s="90">
        <v>0</v>
      </c>
      <c r="H1557" s="90">
        <v>0</v>
      </c>
      <c r="I1557" s="90">
        <v>0</v>
      </c>
      <c r="J1557" s="90">
        <v>0</v>
      </c>
    </row>
    <row r="1558" spans="1:10">
      <c r="A1558" s="88" t="s">
        <v>100</v>
      </c>
      <c r="B1558" s="88" t="s">
        <v>11</v>
      </c>
      <c r="C1558" s="89">
        <v>0.53888888888888897</v>
      </c>
      <c r="D1558" s="90">
        <v>0</v>
      </c>
      <c r="E1558" s="90">
        <v>0</v>
      </c>
      <c r="F1558" s="90">
        <v>0</v>
      </c>
      <c r="G1558" s="90">
        <v>0</v>
      </c>
      <c r="H1558" s="90">
        <v>0</v>
      </c>
      <c r="I1558" s="90">
        <v>0</v>
      </c>
      <c r="J1558" s="90">
        <v>0</v>
      </c>
    </row>
    <row r="1559" spans="1:10">
      <c r="A1559" s="88" t="s">
        <v>100</v>
      </c>
      <c r="B1559" s="88" t="s">
        <v>11</v>
      </c>
      <c r="C1559" s="89">
        <v>0.53958333333333297</v>
      </c>
      <c r="D1559" s="90">
        <v>0</v>
      </c>
      <c r="E1559" s="90">
        <v>0</v>
      </c>
      <c r="F1559" s="90">
        <v>0</v>
      </c>
      <c r="G1559" s="90">
        <v>0</v>
      </c>
      <c r="H1559" s="90">
        <v>0</v>
      </c>
      <c r="I1559" s="90">
        <v>0</v>
      </c>
      <c r="J1559" s="90">
        <v>0</v>
      </c>
    </row>
    <row r="1560" spans="1:10">
      <c r="A1560" s="88" t="s">
        <v>100</v>
      </c>
      <c r="B1560" s="88" t="s">
        <v>11</v>
      </c>
      <c r="C1560" s="89">
        <v>0.54027777777777797</v>
      </c>
      <c r="D1560" s="90">
        <v>0</v>
      </c>
      <c r="E1560" s="90">
        <v>0</v>
      </c>
      <c r="F1560" s="90">
        <v>0</v>
      </c>
      <c r="G1560" s="90">
        <v>0</v>
      </c>
      <c r="H1560" s="90">
        <v>0</v>
      </c>
      <c r="I1560" s="90">
        <v>0</v>
      </c>
      <c r="J1560" s="90">
        <v>0</v>
      </c>
    </row>
    <row r="1561" spans="1:10" s="28" customFormat="1" ht="17.5" thickBot="1">
      <c r="A1561" s="103" t="s">
        <v>100</v>
      </c>
      <c r="B1561" s="103" t="s">
        <v>11</v>
      </c>
      <c r="C1561" s="104">
        <v>0.54097222222222197</v>
      </c>
      <c r="D1561" s="105">
        <v>0</v>
      </c>
      <c r="E1561" s="105">
        <v>0</v>
      </c>
      <c r="F1561" s="105">
        <v>0</v>
      </c>
      <c r="G1561" s="105">
        <v>0</v>
      </c>
      <c r="H1561" s="105">
        <v>0</v>
      </c>
      <c r="I1561" s="105">
        <v>0</v>
      </c>
      <c r="J1561" s="105">
        <v>0</v>
      </c>
    </row>
    <row r="1562" spans="1:10">
      <c r="A1562" s="88" t="s">
        <v>100</v>
      </c>
      <c r="B1562" s="88" t="s">
        <v>12</v>
      </c>
      <c r="C1562" s="89">
        <v>0.45833333333333331</v>
      </c>
      <c r="D1562" s="106">
        <v>0</v>
      </c>
      <c r="E1562" s="106">
        <v>0</v>
      </c>
      <c r="F1562" s="106">
        <v>0</v>
      </c>
      <c r="G1562" s="106">
        <v>0</v>
      </c>
      <c r="H1562" s="106">
        <v>0</v>
      </c>
      <c r="I1562" s="106">
        <v>0</v>
      </c>
      <c r="J1562" s="106">
        <v>0</v>
      </c>
    </row>
    <row r="1563" spans="1:10">
      <c r="A1563" s="88" t="s">
        <v>100</v>
      </c>
      <c r="B1563" s="88" t="s">
        <v>12</v>
      </c>
      <c r="C1563" s="89">
        <v>0.45902777777777776</v>
      </c>
      <c r="D1563" s="90">
        <v>0</v>
      </c>
      <c r="E1563" s="90">
        <v>0</v>
      </c>
      <c r="F1563" s="90">
        <v>0</v>
      </c>
      <c r="G1563" s="90">
        <v>0</v>
      </c>
      <c r="H1563" s="90">
        <v>0</v>
      </c>
      <c r="I1563" s="90">
        <v>0</v>
      </c>
      <c r="J1563" s="90">
        <v>0</v>
      </c>
    </row>
    <row r="1564" spans="1:10">
      <c r="A1564" s="88" t="s">
        <v>100</v>
      </c>
      <c r="B1564" s="88" t="s">
        <v>12</v>
      </c>
      <c r="C1564" s="89">
        <v>0.45972222222222198</v>
      </c>
      <c r="D1564" s="90">
        <v>0</v>
      </c>
      <c r="E1564" s="90">
        <v>0</v>
      </c>
      <c r="F1564" s="90">
        <v>0</v>
      </c>
      <c r="G1564" s="90">
        <v>0</v>
      </c>
      <c r="H1564" s="90">
        <v>0</v>
      </c>
      <c r="I1564" s="90">
        <v>0</v>
      </c>
      <c r="J1564" s="90">
        <v>0</v>
      </c>
    </row>
    <row r="1565" spans="1:10">
      <c r="A1565" s="88" t="s">
        <v>100</v>
      </c>
      <c r="B1565" s="88" t="s">
        <v>12</v>
      </c>
      <c r="C1565" s="89">
        <v>0.46041666666666697</v>
      </c>
      <c r="D1565" s="90">
        <v>0</v>
      </c>
      <c r="E1565" s="90">
        <v>0</v>
      </c>
      <c r="F1565" s="90">
        <v>0</v>
      </c>
      <c r="G1565" s="90">
        <v>0</v>
      </c>
      <c r="H1565" s="90">
        <v>0</v>
      </c>
      <c r="I1565" s="90">
        <v>0</v>
      </c>
      <c r="J1565" s="90">
        <v>0</v>
      </c>
    </row>
    <row r="1566" spans="1:10">
      <c r="A1566" s="88" t="s">
        <v>100</v>
      </c>
      <c r="B1566" s="88" t="s">
        <v>12</v>
      </c>
      <c r="C1566" s="89">
        <v>0.46111111111111103</v>
      </c>
      <c r="D1566" s="90">
        <v>0</v>
      </c>
      <c r="E1566" s="90">
        <v>0</v>
      </c>
      <c r="F1566" s="90">
        <v>0</v>
      </c>
      <c r="G1566" s="90">
        <v>0</v>
      </c>
      <c r="H1566" s="90">
        <v>0</v>
      </c>
      <c r="I1566" s="90">
        <v>0</v>
      </c>
      <c r="J1566" s="90">
        <v>0</v>
      </c>
    </row>
    <row r="1567" spans="1:10">
      <c r="A1567" s="88" t="s">
        <v>100</v>
      </c>
      <c r="B1567" s="88" t="s">
        <v>12</v>
      </c>
      <c r="C1567" s="89">
        <v>0.46180555555555602</v>
      </c>
      <c r="D1567" s="90">
        <v>0</v>
      </c>
      <c r="E1567" s="90">
        <v>0</v>
      </c>
      <c r="F1567" s="90">
        <v>0</v>
      </c>
      <c r="G1567" s="90">
        <v>0</v>
      </c>
      <c r="H1567" s="90">
        <v>0</v>
      </c>
      <c r="I1567" s="90">
        <v>0</v>
      </c>
      <c r="J1567" s="90">
        <v>0</v>
      </c>
    </row>
    <row r="1568" spans="1:10">
      <c r="A1568" s="88" t="s">
        <v>100</v>
      </c>
      <c r="B1568" s="88" t="s">
        <v>12</v>
      </c>
      <c r="C1568" s="89">
        <v>0.46250000000000002</v>
      </c>
      <c r="D1568" s="90">
        <v>0</v>
      </c>
      <c r="E1568" s="90">
        <v>0</v>
      </c>
      <c r="F1568" s="90">
        <v>0</v>
      </c>
      <c r="G1568" s="90">
        <v>0</v>
      </c>
      <c r="H1568" s="90">
        <v>0</v>
      </c>
      <c r="I1568" s="90">
        <v>0</v>
      </c>
      <c r="J1568" s="90">
        <v>0</v>
      </c>
    </row>
    <row r="1569" spans="1:10">
      <c r="A1569" s="88" t="s">
        <v>100</v>
      </c>
      <c r="B1569" s="88" t="s">
        <v>12</v>
      </c>
      <c r="C1569" s="89">
        <v>0.46319444444444402</v>
      </c>
      <c r="D1569" s="90">
        <v>0</v>
      </c>
      <c r="E1569" s="90">
        <v>0</v>
      </c>
      <c r="F1569" s="90">
        <v>0</v>
      </c>
      <c r="G1569" s="90">
        <v>0</v>
      </c>
      <c r="H1569" s="90">
        <v>0</v>
      </c>
      <c r="I1569" s="90">
        <v>0</v>
      </c>
      <c r="J1569" s="90">
        <v>0</v>
      </c>
    </row>
    <row r="1570" spans="1:10">
      <c r="A1570" s="88" t="s">
        <v>100</v>
      </c>
      <c r="B1570" s="88" t="s">
        <v>12</v>
      </c>
      <c r="C1570" s="89">
        <v>0.46388888888888902</v>
      </c>
      <c r="D1570" s="90">
        <v>0</v>
      </c>
      <c r="E1570" s="90">
        <v>0</v>
      </c>
      <c r="F1570" s="90">
        <v>0</v>
      </c>
      <c r="G1570" s="90">
        <v>0</v>
      </c>
      <c r="H1570" s="90">
        <v>0</v>
      </c>
      <c r="I1570" s="90">
        <v>0</v>
      </c>
      <c r="J1570" s="90">
        <v>0</v>
      </c>
    </row>
    <row r="1571" spans="1:10">
      <c r="A1571" s="88" t="s">
        <v>100</v>
      </c>
      <c r="B1571" s="88" t="s">
        <v>12</v>
      </c>
      <c r="C1571" s="89">
        <v>0.46458333333333302</v>
      </c>
      <c r="D1571" s="90">
        <v>0</v>
      </c>
      <c r="E1571" s="90">
        <v>0</v>
      </c>
      <c r="F1571" s="90">
        <v>0</v>
      </c>
      <c r="G1571" s="90">
        <v>0</v>
      </c>
      <c r="H1571" s="90">
        <v>0</v>
      </c>
      <c r="I1571" s="90">
        <v>0</v>
      </c>
      <c r="J1571" s="90">
        <v>0</v>
      </c>
    </row>
    <row r="1572" spans="1:10">
      <c r="A1572" s="88" t="s">
        <v>100</v>
      </c>
      <c r="B1572" s="88" t="s">
        <v>12</v>
      </c>
      <c r="C1572" s="89">
        <v>0.46527777777777801</v>
      </c>
      <c r="D1572" s="90">
        <v>0</v>
      </c>
      <c r="E1572" s="90">
        <v>0</v>
      </c>
      <c r="F1572" s="90">
        <v>0</v>
      </c>
      <c r="G1572" s="90">
        <v>0</v>
      </c>
      <c r="H1572" s="90">
        <v>0</v>
      </c>
      <c r="I1572" s="90">
        <v>0</v>
      </c>
      <c r="J1572" s="90">
        <v>0</v>
      </c>
    </row>
    <row r="1573" spans="1:10">
      <c r="A1573" s="88" t="s">
        <v>100</v>
      </c>
      <c r="B1573" s="88" t="s">
        <v>12</v>
      </c>
      <c r="C1573" s="89">
        <v>0.46597222222222201</v>
      </c>
      <c r="D1573" s="90">
        <v>0</v>
      </c>
      <c r="E1573" s="90">
        <v>0</v>
      </c>
      <c r="F1573" s="90">
        <v>0</v>
      </c>
      <c r="G1573" s="90">
        <v>0</v>
      </c>
      <c r="H1573" s="90">
        <v>0</v>
      </c>
      <c r="I1573" s="90">
        <v>0</v>
      </c>
      <c r="J1573" s="90">
        <v>0</v>
      </c>
    </row>
    <row r="1574" spans="1:10">
      <c r="A1574" s="88" t="s">
        <v>100</v>
      </c>
      <c r="B1574" s="88" t="s">
        <v>12</v>
      </c>
      <c r="C1574" s="89">
        <v>0.46666666666666701</v>
      </c>
      <c r="D1574" s="90">
        <v>0</v>
      </c>
      <c r="E1574" s="90">
        <v>0</v>
      </c>
      <c r="F1574" s="90">
        <v>0</v>
      </c>
      <c r="G1574" s="90">
        <v>0</v>
      </c>
      <c r="H1574" s="90">
        <v>0</v>
      </c>
      <c r="I1574" s="90">
        <v>0</v>
      </c>
      <c r="J1574" s="90">
        <v>0</v>
      </c>
    </row>
    <row r="1575" spans="1:10">
      <c r="A1575" s="88" t="s">
        <v>100</v>
      </c>
      <c r="B1575" s="88" t="s">
        <v>12</v>
      </c>
      <c r="C1575" s="89">
        <v>0.46736111111111101</v>
      </c>
      <c r="D1575" s="90">
        <v>0</v>
      </c>
      <c r="E1575" s="90">
        <v>0</v>
      </c>
      <c r="F1575" s="90">
        <v>0</v>
      </c>
      <c r="G1575" s="90">
        <v>0</v>
      </c>
      <c r="H1575" s="90">
        <v>0</v>
      </c>
      <c r="I1575" s="90">
        <v>0</v>
      </c>
      <c r="J1575" s="90">
        <v>0</v>
      </c>
    </row>
    <row r="1576" spans="1:10">
      <c r="A1576" s="91" t="s">
        <v>100</v>
      </c>
      <c r="B1576" s="91" t="s">
        <v>12</v>
      </c>
      <c r="C1576" s="92">
        <v>0.468055555555556</v>
      </c>
      <c r="D1576" s="93">
        <v>0</v>
      </c>
      <c r="E1576" s="93">
        <v>0</v>
      </c>
      <c r="F1576" s="93">
        <v>0</v>
      </c>
      <c r="G1576" s="93">
        <v>0</v>
      </c>
      <c r="H1576" s="93">
        <v>0</v>
      </c>
      <c r="I1576" s="93">
        <v>0</v>
      </c>
      <c r="J1576" s="93">
        <v>0</v>
      </c>
    </row>
    <row r="1577" spans="1:10">
      <c r="A1577" s="88" t="s">
        <v>100</v>
      </c>
      <c r="B1577" s="88" t="s">
        <v>12</v>
      </c>
      <c r="C1577" s="89">
        <v>0.46875</v>
      </c>
      <c r="D1577" s="94">
        <v>0</v>
      </c>
      <c r="E1577" s="94">
        <v>0</v>
      </c>
      <c r="F1577" s="94">
        <v>0</v>
      </c>
      <c r="G1577" s="94">
        <v>0</v>
      </c>
      <c r="H1577" s="94">
        <v>0</v>
      </c>
      <c r="I1577" s="94">
        <v>0</v>
      </c>
      <c r="J1577" s="94">
        <v>0</v>
      </c>
    </row>
    <row r="1578" spans="1:10">
      <c r="A1578" s="88" t="s">
        <v>100</v>
      </c>
      <c r="B1578" s="88" t="s">
        <v>12</v>
      </c>
      <c r="C1578" s="89">
        <v>0.469444444444444</v>
      </c>
      <c r="D1578" s="90">
        <v>0</v>
      </c>
      <c r="E1578" s="90">
        <v>0</v>
      </c>
      <c r="F1578" s="90">
        <v>0</v>
      </c>
      <c r="G1578" s="90">
        <v>0</v>
      </c>
      <c r="H1578" s="90">
        <v>0</v>
      </c>
      <c r="I1578" s="90">
        <v>0</v>
      </c>
      <c r="J1578" s="90">
        <v>0</v>
      </c>
    </row>
    <row r="1579" spans="1:10">
      <c r="A1579" s="88" t="s">
        <v>100</v>
      </c>
      <c r="B1579" s="88" t="s">
        <v>12</v>
      </c>
      <c r="C1579" s="89">
        <v>0.47013888888888899</v>
      </c>
      <c r="D1579" s="90">
        <v>0</v>
      </c>
      <c r="E1579" s="90">
        <v>0</v>
      </c>
      <c r="F1579" s="90">
        <v>0</v>
      </c>
      <c r="G1579" s="90">
        <v>0</v>
      </c>
      <c r="H1579" s="90">
        <v>0</v>
      </c>
      <c r="I1579" s="90">
        <v>0</v>
      </c>
      <c r="J1579" s="90">
        <v>0</v>
      </c>
    </row>
    <row r="1580" spans="1:10">
      <c r="A1580" s="88" t="s">
        <v>100</v>
      </c>
      <c r="B1580" s="88" t="s">
        <v>12</v>
      </c>
      <c r="C1580" s="89">
        <v>0.47083333333333299</v>
      </c>
      <c r="D1580" s="90">
        <v>0</v>
      </c>
      <c r="E1580" s="90">
        <v>0</v>
      </c>
      <c r="F1580" s="90">
        <v>0</v>
      </c>
      <c r="G1580" s="90">
        <v>0</v>
      </c>
      <c r="H1580" s="90">
        <v>0</v>
      </c>
      <c r="I1580" s="90">
        <v>0</v>
      </c>
      <c r="J1580" s="90">
        <v>0</v>
      </c>
    </row>
    <row r="1581" spans="1:10">
      <c r="A1581" s="88" t="s">
        <v>100</v>
      </c>
      <c r="B1581" s="88" t="s">
        <v>12</v>
      </c>
      <c r="C1581" s="89">
        <v>0.47152777777777799</v>
      </c>
      <c r="D1581" s="90">
        <v>0</v>
      </c>
      <c r="E1581" s="90">
        <v>0</v>
      </c>
      <c r="F1581" s="90">
        <v>0</v>
      </c>
      <c r="G1581" s="90">
        <v>0</v>
      </c>
      <c r="H1581" s="90">
        <v>0</v>
      </c>
      <c r="I1581" s="90">
        <v>0</v>
      </c>
      <c r="J1581" s="90">
        <v>0</v>
      </c>
    </row>
    <row r="1582" spans="1:10">
      <c r="A1582" s="88" t="s">
        <v>100</v>
      </c>
      <c r="B1582" s="88" t="s">
        <v>12</v>
      </c>
      <c r="C1582" s="89">
        <v>0.47222222222222199</v>
      </c>
      <c r="D1582" s="90">
        <v>0</v>
      </c>
      <c r="E1582" s="90">
        <v>0</v>
      </c>
      <c r="F1582" s="90">
        <v>0</v>
      </c>
      <c r="G1582" s="90">
        <v>0</v>
      </c>
      <c r="H1582" s="90">
        <v>0</v>
      </c>
      <c r="I1582" s="90">
        <v>0</v>
      </c>
      <c r="J1582" s="90">
        <v>0</v>
      </c>
    </row>
    <row r="1583" spans="1:10">
      <c r="A1583" s="88" t="s">
        <v>100</v>
      </c>
      <c r="B1583" s="88" t="s">
        <v>12</v>
      </c>
      <c r="C1583" s="89">
        <v>0.47291666666666698</v>
      </c>
      <c r="D1583" s="90">
        <v>0</v>
      </c>
      <c r="E1583" s="90">
        <v>0</v>
      </c>
      <c r="F1583" s="90">
        <v>0</v>
      </c>
      <c r="G1583" s="90">
        <v>0</v>
      </c>
      <c r="H1583" s="90">
        <v>0</v>
      </c>
      <c r="I1583" s="90">
        <v>0</v>
      </c>
      <c r="J1583" s="90">
        <v>0</v>
      </c>
    </row>
    <row r="1584" spans="1:10">
      <c r="A1584" s="88" t="s">
        <v>100</v>
      </c>
      <c r="B1584" s="88" t="s">
        <v>12</v>
      </c>
      <c r="C1584" s="89">
        <v>0.47361111111111098</v>
      </c>
      <c r="D1584" s="90">
        <v>0</v>
      </c>
      <c r="E1584" s="90">
        <v>0</v>
      </c>
      <c r="F1584" s="90">
        <v>0</v>
      </c>
      <c r="G1584" s="90">
        <v>0</v>
      </c>
      <c r="H1584" s="90">
        <v>0</v>
      </c>
      <c r="I1584" s="90">
        <v>0</v>
      </c>
      <c r="J1584" s="90">
        <v>0</v>
      </c>
    </row>
    <row r="1585" spans="1:10">
      <c r="A1585" s="88" t="s">
        <v>100</v>
      </c>
      <c r="B1585" s="88" t="s">
        <v>12</v>
      </c>
      <c r="C1585" s="89">
        <v>0.47430555555555598</v>
      </c>
      <c r="D1585" s="90">
        <v>0</v>
      </c>
      <c r="E1585" s="90">
        <v>0</v>
      </c>
      <c r="F1585" s="90">
        <v>0</v>
      </c>
      <c r="G1585" s="90">
        <v>0</v>
      </c>
      <c r="H1585" s="90">
        <v>0</v>
      </c>
      <c r="I1585" s="90">
        <v>0</v>
      </c>
      <c r="J1585" s="90">
        <v>0</v>
      </c>
    </row>
    <row r="1586" spans="1:10">
      <c r="A1586" s="88" t="s">
        <v>100</v>
      </c>
      <c r="B1586" s="88" t="s">
        <v>12</v>
      </c>
      <c r="C1586" s="89">
        <v>0.47499999999999998</v>
      </c>
      <c r="D1586" s="90">
        <v>0</v>
      </c>
      <c r="E1586" s="90">
        <v>0</v>
      </c>
      <c r="F1586" s="90">
        <v>0</v>
      </c>
      <c r="G1586" s="90">
        <v>0</v>
      </c>
      <c r="H1586" s="90">
        <v>0</v>
      </c>
      <c r="I1586" s="90">
        <v>0</v>
      </c>
      <c r="J1586" s="90">
        <v>0</v>
      </c>
    </row>
    <row r="1587" spans="1:10">
      <c r="A1587" s="88" t="s">
        <v>100</v>
      </c>
      <c r="B1587" s="88" t="s">
        <v>12</v>
      </c>
      <c r="C1587" s="89">
        <v>0.47569444444444398</v>
      </c>
      <c r="D1587" s="90">
        <v>0</v>
      </c>
      <c r="E1587" s="90">
        <v>0</v>
      </c>
      <c r="F1587" s="90">
        <v>0</v>
      </c>
      <c r="G1587" s="90">
        <v>0</v>
      </c>
      <c r="H1587" s="90">
        <v>0</v>
      </c>
      <c r="I1587" s="90">
        <v>0</v>
      </c>
      <c r="J1587" s="90">
        <v>0</v>
      </c>
    </row>
    <row r="1588" spans="1:10">
      <c r="A1588" s="88" t="s">
        <v>100</v>
      </c>
      <c r="B1588" s="88" t="s">
        <v>12</v>
      </c>
      <c r="C1588" s="89">
        <v>0.47638888888888897</v>
      </c>
      <c r="D1588" s="90">
        <v>0</v>
      </c>
      <c r="E1588" s="90">
        <v>0</v>
      </c>
      <c r="F1588" s="90">
        <v>0</v>
      </c>
      <c r="G1588" s="90">
        <v>0</v>
      </c>
      <c r="H1588" s="90">
        <v>0</v>
      </c>
      <c r="I1588" s="90">
        <v>0</v>
      </c>
      <c r="J1588" s="90">
        <v>0</v>
      </c>
    </row>
    <row r="1589" spans="1:10">
      <c r="A1589" s="88" t="s">
        <v>100</v>
      </c>
      <c r="B1589" s="88" t="s">
        <v>12</v>
      </c>
      <c r="C1589" s="89">
        <v>0.47708333333333303</v>
      </c>
      <c r="D1589" s="90">
        <v>0</v>
      </c>
      <c r="E1589" s="90">
        <v>0</v>
      </c>
      <c r="F1589" s="90">
        <v>0</v>
      </c>
      <c r="G1589" s="90">
        <v>0</v>
      </c>
      <c r="H1589" s="90">
        <v>0</v>
      </c>
      <c r="I1589" s="90">
        <v>0</v>
      </c>
      <c r="J1589" s="90">
        <v>0</v>
      </c>
    </row>
    <row r="1590" spans="1:10">
      <c r="A1590" s="88" t="s">
        <v>100</v>
      </c>
      <c r="B1590" s="88" t="s">
        <v>12</v>
      </c>
      <c r="C1590" s="89">
        <v>0.47777777777777802</v>
      </c>
      <c r="D1590" s="90">
        <v>0</v>
      </c>
      <c r="E1590" s="90">
        <v>0</v>
      </c>
      <c r="F1590" s="90">
        <v>0</v>
      </c>
      <c r="G1590" s="90">
        <v>0</v>
      </c>
      <c r="H1590" s="90">
        <v>0</v>
      </c>
      <c r="I1590" s="90">
        <v>0</v>
      </c>
      <c r="J1590" s="90">
        <v>0</v>
      </c>
    </row>
    <row r="1591" spans="1:10" s="80" customFormat="1">
      <c r="A1591" s="91" t="s">
        <v>100</v>
      </c>
      <c r="B1591" s="91" t="s">
        <v>12</v>
      </c>
      <c r="C1591" s="92">
        <v>0.47847222222222202</v>
      </c>
      <c r="D1591" s="93">
        <v>0</v>
      </c>
      <c r="E1591" s="93">
        <v>0</v>
      </c>
      <c r="F1591" s="93">
        <v>0</v>
      </c>
      <c r="G1591" s="93">
        <v>0</v>
      </c>
      <c r="H1591" s="93">
        <v>0</v>
      </c>
      <c r="I1591" s="93">
        <v>0</v>
      </c>
      <c r="J1591" s="93">
        <v>0</v>
      </c>
    </row>
    <row r="1592" spans="1:10">
      <c r="A1592" s="88" t="s">
        <v>100</v>
      </c>
      <c r="B1592" s="88" t="s">
        <v>12</v>
      </c>
      <c r="C1592" s="89">
        <v>0.47916666666666702</v>
      </c>
      <c r="D1592" s="94">
        <v>0</v>
      </c>
      <c r="E1592" s="94">
        <v>0</v>
      </c>
      <c r="F1592" s="94">
        <v>0</v>
      </c>
      <c r="G1592" s="94">
        <v>0</v>
      </c>
      <c r="H1592" s="94">
        <v>0</v>
      </c>
      <c r="I1592" s="94">
        <v>0</v>
      </c>
      <c r="J1592" s="94">
        <v>0</v>
      </c>
    </row>
    <row r="1593" spans="1:10">
      <c r="A1593" s="88" t="s">
        <v>100</v>
      </c>
      <c r="B1593" s="88" t="s">
        <v>12</v>
      </c>
      <c r="C1593" s="89">
        <v>0.47986111111111102</v>
      </c>
      <c r="D1593" s="90">
        <v>0</v>
      </c>
      <c r="E1593" s="90">
        <v>0</v>
      </c>
      <c r="F1593" s="90">
        <v>0</v>
      </c>
      <c r="G1593" s="90">
        <v>0</v>
      </c>
      <c r="H1593" s="90">
        <v>0</v>
      </c>
      <c r="I1593" s="90">
        <v>0</v>
      </c>
      <c r="J1593" s="90">
        <v>0</v>
      </c>
    </row>
    <row r="1594" spans="1:10">
      <c r="A1594" s="88" t="s">
        <v>100</v>
      </c>
      <c r="B1594" s="88" t="s">
        <v>12</v>
      </c>
      <c r="C1594" s="89">
        <v>0.48055555555555501</v>
      </c>
      <c r="D1594" s="90">
        <v>0</v>
      </c>
      <c r="E1594" s="90">
        <v>0</v>
      </c>
      <c r="F1594" s="90">
        <v>0</v>
      </c>
      <c r="G1594" s="90">
        <v>0</v>
      </c>
      <c r="H1594" s="90">
        <v>0</v>
      </c>
      <c r="I1594" s="90">
        <v>0</v>
      </c>
      <c r="J1594" s="90">
        <v>0</v>
      </c>
    </row>
    <row r="1595" spans="1:10">
      <c r="A1595" s="88" t="s">
        <v>100</v>
      </c>
      <c r="B1595" s="88" t="s">
        <v>12</v>
      </c>
      <c r="C1595" s="89">
        <v>0.48125000000000001</v>
      </c>
      <c r="D1595" s="90">
        <v>0</v>
      </c>
      <c r="E1595" s="90">
        <v>0</v>
      </c>
      <c r="F1595" s="90">
        <v>0</v>
      </c>
      <c r="G1595" s="90">
        <v>0</v>
      </c>
      <c r="H1595" s="90">
        <v>0</v>
      </c>
      <c r="I1595" s="90">
        <v>0</v>
      </c>
      <c r="J1595" s="90">
        <v>0</v>
      </c>
    </row>
    <row r="1596" spans="1:10">
      <c r="A1596" s="88" t="s">
        <v>100</v>
      </c>
      <c r="B1596" s="88" t="s">
        <v>12</v>
      </c>
      <c r="C1596" s="89">
        <v>0.48194444444444401</v>
      </c>
      <c r="D1596" s="90">
        <v>0</v>
      </c>
      <c r="E1596" s="90">
        <v>0</v>
      </c>
      <c r="F1596" s="90">
        <v>0</v>
      </c>
      <c r="G1596" s="90">
        <v>0</v>
      </c>
      <c r="H1596" s="90">
        <v>0</v>
      </c>
      <c r="I1596" s="90">
        <v>0</v>
      </c>
      <c r="J1596" s="90">
        <v>0</v>
      </c>
    </row>
    <row r="1597" spans="1:10">
      <c r="A1597" s="88" t="s">
        <v>100</v>
      </c>
      <c r="B1597" s="88" t="s">
        <v>12</v>
      </c>
      <c r="C1597" s="89">
        <v>0.48263888888888901</v>
      </c>
      <c r="D1597" s="90">
        <v>0</v>
      </c>
      <c r="E1597" s="90">
        <v>0</v>
      </c>
      <c r="F1597" s="90">
        <v>0</v>
      </c>
      <c r="G1597" s="90">
        <v>0</v>
      </c>
      <c r="H1597" s="90">
        <v>0</v>
      </c>
      <c r="I1597" s="90">
        <v>0</v>
      </c>
      <c r="J1597" s="90">
        <v>0</v>
      </c>
    </row>
    <row r="1598" spans="1:10">
      <c r="A1598" s="88" t="s">
        <v>100</v>
      </c>
      <c r="B1598" s="88" t="s">
        <v>12</v>
      </c>
      <c r="C1598" s="89">
        <v>0.483333333333333</v>
      </c>
      <c r="D1598" s="90">
        <v>0</v>
      </c>
      <c r="E1598" s="90">
        <v>0</v>
      </c>
      <c r="F1598" s="90">
        <v>0</v>
      </c>
      <c r="G1598" s="90">
        <v>0</v>
      </c>
      <c r="H1598" s="90">
        <v>0</v>
      </c>
      <c r="I1598" s="90">
        <v>0</v>
      </c>
      <c r="J1598" s="90">
        <v>0</v>
      </c>
    </row>
    <row r="1599" spans="1:10">
      <c r="A1599" s="88" t="s">
        <v>100</v>
      </c>
      <c r="B1599" s="88" t="s">
        <v>12</v>
      </c>
      <c r="C1599" s="89">
        <v>0.484027777777778</v>
      </c>
      <c r="D1599" s="90">
        <v>0</v>
      </c>
      <c r="E1599" s="90">
        <v>0</v>
      </c>
      <c r="F1599" s="90">
        <v>0</v>
      </c>
      <c r="G1599" s="90">
        <v>0</v>
      </c>
      <c r="H1599" s="90">
        <v>0</v>
      </c>
      <c r="I1599" s="90">
        <v>0</v>
      </c>
      <c r="J1599" s="90">
        <v>0</v>
      </c>
    </row>
    <row r="1600" spans="1:10">
      <c r="A1600" s="88" t="s">
        <v>100</v>
      </c>
      <c r="B1600" s="88" t="s">
        <v>12</v>
      </c>
      <c r="C1600" s="89">
        <v>0.484722222222222</v>
      </c>
      <c r="D1600" s="90">
        <v>0</v>
      </c>
      <c r="E1600" s="90">
        <v>0</v>
      </c>
      <c r="F1600" s="90">
        <v>0</v>
      </c>
      <c r="G1600" s="90">
        <v>0</v>
      </c>
      <c r="H1600" s="90">
        <v>0</v>
      </c>
      <c r="I1600" s="90">
        <v>0</v>
      </c>
      <c r="J1600" s="90">
        <v>0</v>
      </c>
    </row>
    <row r="1601" spans="1:10">
      <c r="A1601" s="88" t="s">
        <v>100</v>
      </c>
      <c r="B1601" s="88" t="s">
        <v>12</v>
      </c>
      <c r="C1601" s="89">
        <v>0.485416666666666</v>
      </c>
      <c r="D1601" s="90">
        <v>0</v>
      </c>
      <c r="E1601" s="90">
        <v>0</v>
      </c>
      <c r="F1601" s="90">
        <v>0</v>
      </c>
      <c r="G1601" s="90">
        <v>0</v>
      </c>
      <c r="H1601" s="90">
        <v>0</v>
      </c>
      <c r="I1601" s="90">
        <v>0</v>
      </c>
      <c r="J1601" s="90">
        <v>0</v>
      </c>
    </row>
    <row r="1602" spans="1:10">
      <c r="A1602" s="88" t="s">
        <v>100</v>
      </c>
      <c r="B1602" s="88" t="s">
        <v>12</v>
      </c>
      <c r="C1602" s="89">
        <v>0.48611111111111099</v>
      </c>
      <c r="D1602" s="90">
        <v>0</v>
      </c>
      <c r="E1602" s="90">
        <v>0</v>
      </c>
      <c r="F1602" s="90">
        <v>0</v>
      </c>
      <c r="G1602" s="90">
        <v>0</v>
      </c>
      <c r="H1602" s="90">
        <v>0</v>
      </c>
      <c r="I1602" s="90">
        <v>0</v>
      </c>
      <c r="J1602" s="90">
        <v>0</v>
      </c>
    </row>
    <row r="1603" spans="1:10">
      <c r="A1603" s="88" t="s">
        <v>100</v>
      </c>
      <c r="B1603" s="88" t="s">
        <v>12</v>
      </c>
      <c r="C1603" s="89">
        <v>0.48680555555555499</v>
      </c>
      <c r="D1603" s="90">
        <v>0</v>
      </c>
      <c r="E1603" s="90">
        <v>0</v>
      </c>
      <c r="F1603" s="90">
        <v>0</v>
      </c>
      <c r="G1603" s="90">
        <v>0</v>
      </c>
      <c r="H1603" s="90">
        <v>0</v>
      </c>
      <c r="I1603" s="90">
        <v>0</v>
      </c>
      <c r="J1603" s="90">
        <v>0</v>
      </c>
    </row>
    <row r="1604" spans="1:10">
      <c r="A1604" s="88" t="s">
        <v>100</v>
      </c>
      <c r="B1604" s="88" t="s">
        <v>12</v>
      </c>
      <c r="C1604" s="89">
        <v>0.48749999999999999</v>
      </c>
      <c r="D1604" s="90">
        <v>0</v>
      </c>
      <c r="E1604" s="90">
        <v>0</v>
      </c>
      <c r="F1604" s="90">
        <v>0</v>
      </c>
      <c r="G1604" s="90">
        <v>0</v>
      </c>
      <c r="H1604" s="90">
        <v>0</v>
      </c>
      <c r="I1604" s="90">
        <v>0</v>
      </c>
      <c r="J1604" s="90">
        <v>0</v>
      </c>
    </row>
    <row r="1605" spans="1:10">
      <c r="A1605" s="88" t="s">
        <v>100</v>
      </c>
      <c r="B1605" s="88" t="s">
        <v>12</v>
      </c>
      <c r="C1605" s="89">
        <v>0.48819444444444399</v>
      </c>
      <c r="D1605" s="90">
        <v>0</v>
      </c>
      <c r="E1605" s="90">
        <v>0</v>
      </c>
      <c r="F1605" s="90">
        <v>0</v>
      </c>
      <c r="G1605" s="90">
        <v>0</v>
      </c>
      <c r="H1605" s="90">
        <v>0</v>
      </c>
      <c r="I1605" s="90">
        <v>0</v>
      </c>
      <c r="J1605" s="90">
        <v>0</v>
      </c>
    </row>
    <row r="1606" spans="1:10" s="80" customFormat="1">
      <c r="A1606" s="91" t="s">
        <v>100</v>
      </c>
      <c r="B1606" s="91" t="s">
        <v>12</v>
      </c>
      <c r="C1606" s="92">
        <v>0.48888888888888898</v>
      </c>
      <c r="D1606" s="93">
        <v>0</v>
      </c>
      <c r="E1606" s="93">
        <v>0</v>
      </c>
      <c r="F1606" s="93">
        <v>0</v>
      </c>
      <c r="G1606" s="93">
        <v>0</v>
      </c>
      <c r="H1606" s="93">
        <v>0</v>
      </c>
      <c r="I1606" s="93">
        <v>0</v>
      </c>
      <c r="J1606" s="93">
        <v>0</v>
      </c>
    </row>
    <row r="1607" spans="1:10">
      <c r="A1607" s="88" t="s">
        <v>100</v>
      </c>
      <c r="B1607" s="88" t="s">
        <v>12</v>
      </c>
      <c r="C1607" s="89">
        <v>0.48958333333333298</v>
      </c>
      <c r="D1607" s="94">
        <v>0</v>
      </c>
      <c r="E1607" s="94">
        <v>0</v>
      </c>
      <c r="F1607" s="94">
        <v>0</v>
      </c>
      <c r="G1607" s="94">
        <v>0</v>
      </c>
      <c r="H1607" s="94">
        <v>0</v>
      </c>
      <c r="I1607" s="94">
        <v>0</v>
      </c>
      <c r="J1607" s="94">
        <v>0</v>
      </c>
    </row>
    <row r="1608" spans="1:10">
      <c r="A1608" s="88" t="s">
        <v>100</v>
      </c>
      <c r="B1608" s="88" t="s">
        <v>12</v>
      </c>
      <c r="C1608" s="89">
        <v>0.49027777777777798</v>
      </c>
      <c r="D1608" s="90">
        <v>0</v>
      </c>
      <c r="E1608" s="90">
        <v>0</v>
      </c>
      <c r="F1608" s="90">
        <v>0</v>
      </c>
      <c r="G1608" s="90">
        <v>0</v>
      </c>
      <c r="H1608" s="90">
        <v>0</v>
      </c>
      <c r="I1608" s="90">
        <v>0</v>
      </c>
      <c r="J1608" s="90">
        <v>0</v>
      </c>
    </row>
    <row r="1609" spans="1:10">
      <c r="A1609" s="88" t="s">
        <v>100</v>
      </c>
      <c r="B1609" s="88" t="s">
        <v>12</v>
      </c>
      <c r="C1609" s="89">
        <v>0.49097222222222198</v>
      </c>
      <c r="D1609" s="90">
        <v>0</v>
      </c>
      <c r="E1609" s="90">
        <v>0</v>
      </c>
      <c r="F1609" s="90">
        <v>0</v>
      </c>
      <c r="G1609" s="90">
        <v>0</v>
      </c>
      <c r="H1609" s="90">
        <v>0</v>
      </c>
      <c r="I1609" s="90">
        <v>0</v>
      </c>
      <c r="J1609" s="90">
        <v>0</v>
      </c>
    </row>
    <row r="1610" spans="1:10">
      <c r="A1610" s="88" t="s">
        <v>100</v>
      </c>
      <c r="B1610" s="88" t="s">
        <v>12</v>
      </c>
      <c r="C1610" s="89">
        <v>0.49166666666666697</v>
      </c>
      <c r="D1610" s="90">
        <v>0</v>
      </c>
      <c r="E1610" s="90">
        <v>0</v>
      </c>
      <c r="F1610" s="90">
        <v>0</v>
      </c>
      <c r="G1610" s="90">
        <v>0</v>
      </c>
      <c r="H1610" s="90">
        <v>0</v>
      </c>
      <c r="I1610" s="90">
        <v>0</v>
      </c>
      <c r="J1610" s="90">
        <v>0</v>
      </c>
    </row>
    <row r="1611" spans="1:10">
      <c r="A1611" s="88" t="s">
        <v>100</v>
      </c>
      <c r="B1611" s="88" t="s">
        <v>12</v>
      </c>
      <c r="C1611" s="89">
        <v>0.49236111111111103</v>
      </c>
      <c r="D1611" s="90">
        <v>0</v>
      </c>
      <c r="E1611" s="90">
        <v>0</v>
      </c>
      <c r="F1611" s="90">
        <v>0</v>
      </c>
      <c r="G1611" s="90">
        <v>0</v>
      </c>
      <c r="H1611" s="90">
        <v>0</v>
      </c>
      <c r="I1611" s="90">
        <v>0</v>
      </c>
      <c r="J1611" s="90">
        <v>0</v>
      </c>
    </row>
    <row r="1612" spans="1:10">
      <c r="A1612" s="88" t="s">
        <v>100</v>
      </c>
      <c r="B1612" s="88" t="s">
        <v>12</v>
      </c>
      <c r="C1612" s="89">
        <v>0.49305555555555503</v>
      </c>
      <c r="D1612" s="90">
        <v>0</v>
      </c>
      <c r="E1612" s="90">
        <v>0</v>
      </c>
      <c r="F1612" s="90">
        <v>0</v>
      </c>
      <c r="G1612" s="90">
        <v>0</v>
      </c>
      <c r="H1612" s="90">
        <v>0</v>
      </c>
      <c r="I1612" s="90">
        <v>0</v>
      </c>
      <c r="J1612" s="90">
        <v>0</v>
      </c>
    </row>
    <row r="1613" spans="1:10">
      <c r="A1613" s="88" t="s">
        <v>100</v>
      </c>
      <c r="B1613" s="88" t="s">
        <v>12</v>
      </c>
      <c r="C1613" s="89">
        <v>0.49375000000000002</v>
      </c>
      <c r="D1613" s="90">
        <v>0</v>
      </c>
      <c r="E1613" s="90">
        <v>0</v>
      </c>
      <c r="F1613" s="90">
        <v>0</v>
      </c>
      <c r="G1613" s="90">
        <v>0</v>
      </c>
      <c r="H1613" s="90">
        <v>0</v>
      </c>
      <c r="I1613" s="90">
        <v>0</v>
      </c>
      <c r="J1613" s="90">
        <v>0</v>
      </c>
    </row>
    <row r="1614" spans="1:10">
      <c r="A1614" s="88" t="s">
        <v>100</v>
      </c>
      <c r="B1614" s="88" t="s">
        <v>12</v>
      </c>
      <c r="C1614" s="89">
        <v>0.49444444444444402</v>
      </c>
      <c r="D1614" s="90">
        <v>0</v>
      </c>
      <c r="E1614" s="90">
        <v>0</v>
      </c>
      <c r="F1614" s="90">
        <v>0</v>
      </c>
      <c r="G1614" s="90">
        <v>0</v>
      </c>
      <c r="H1614" s="90">
        <v>0</v>
      </c>
      <c r="I1614" s="90">
        <v>0</v>
      </c>
      <c r="J1614" s="90">
        <v>0</v>
      </c>
    </row>
    <row r="1615" spans="1:10">
      <c r="A1615" s="88" t="s">
        <v>100</v>
      </c>
      <c r="B1615" s="88" t="s">
        <v>12</v>
      </c>
      <c r="C1615" s="89">
        <v>0.49513888888888902</v>
      </c>
      <c r="D1615" s="90">
        <v>0</v>
      </c>
      <c r="E1615" s="90">
        <v>0</v>
      </c>
      <c r="F1615" s="90">
        <v>0</v>
      </c>
      <c r="G1615" s="90">
        <v>0</v>
      </c>
      <c r="H1615" s="90">
        <v>0</v>
      </c>
      <c r="I1615" s="90">
        <v>0</v>
      </c>
      <c r="J1615" s="90">
        <v>0</v>
      </c>
    </row>
    <row r="1616" spans="1:10">
      <c r="A1616" s="88" t="s">
        <v>100</v>
      </c>
      <c r="B1616" s="88" t="s">
        <v>12</v>
      </c>
      <c r="C1616" s="89">
        <v>0.49583333333333302</v>
      </c>
      <c r="D1616" s="90">
        <v>0</v>
      </c>
      <c r="E1616" s="90">
        <v>0</v>
      </c>
      <c r="F1616" s="90">
        <v>0</v>
      </c>
      <c r="G1616" s="90">
        <v>0</v>
      </c>
      <c r="H1616" s="90">
        <v>0</v>
      </c>
      <c r="I1616" s="90">
        <v>0</v>
      </c>
      <c r="J1616" s="90">
        <v>0</v>
      </c>
    </row>
    <row r="1617" spans="1:10">
      <c r="A1617" s="88" t="s">
        <v>100</v>
      </c>
      <c r="B1617" s="88" t="s">
        <v>12</v>
      </c>
      <c r="C1617" s="89">
        <v>0.49652777777777801</v>
      </c>
      <c r="D1617" s="90">
        <v>0</v>
      </c>
      <c r="E1617" s="90">
        <v>0</v>
      </c>
      <c r="F1617" s="90">
        <v>0</v>
      </c>
      <c r="G1617" s="90">
        <v>0</v>
      </c>
      <c r="H1617" s="90">
        <v>0</v>
      </c>
      <c r="I1617" s="90">
        <v>0</v>
      </c>
      <c r="J1617" s="90">
        <v>0</v>
      </c>
    </row>
    <row r="1618" spans="1:10">
      <c r="A1618" s="88" t="s">
        <v>100</v>
      </c>
      <c r="B1618" s="88" t="s">
        <v>12</v>
      </c>
      <c r="C1618" s="89">
        <v>0.49722222222222201</v>
      </c>
      <c r="D1618" s="90">
        <v>0</v>
      </c>
      <c r="E1618" s="90">
        <v>0</v>
      </c>
      <c r="F1618" s="90">
        <v>0</v>
      </c>
      <c r="G1618" s="90">
        <v>0</v>
      </c>
      <c r="H1618" s="90">
        <v>0</v>
      </c>
      <c r="I1618" s="90">
        <v>0</v>
      </c>
      <c r="J1618" s="90">
        <v>0</v>
      </c>
    </row>
    <row r="1619" spans="1:10">
      <c r="A1619" s="88" t="s">
        <v>100</v>
      </c>
      <c r="B1619" s="88" t="s">
        <v>12</v>
      </c>
      <c r="C1619" s="89">
        <v>0.49791666666666701</v>
      </c>
      <c r="D1619" s="90">
        <v>0</v>
      </c>
      <c r="E1619" s="90">
        <v>0</v>
      </c>
      <c r="F1619" s="90">
        <v>0</v>
      </c>
      <c r="G1619" s="90">
        <v>0</v>
      </c>
      <c r="H1619" s="90">
        <v>0</v>
      </c>
      <c r="I1619" s="90">
        <v>0</v>
      </c>
      <c r="J1619" s="90">
        <v>0</v>
      </c>
    </row>
    <row r="1620" spans="1:10">
      <c r="A1620" s="88" t="s">
        <v>100</v>
      </c>
      <c r="B1620" s="88" t="s">
        <v>12</v>
      </c>
      <c r="C1620" s="89">
        <v>0.49861111111111101</v>
      </c>
      <c r="D1620" s="90">
        <v>0</v>
      </c>
      <c r="E1620" s="90">
        <v>0</v>
      </c>
      <c r="F1620" s="90">
        <v>0</v>
      </c>
      <c r="G1620" s="90">
        <v>0</v>
      </c>
      <c r="H1620" s="90">
        <v>0</v>
      </c>
      <c r="I1620" s="90">
        <v>0</v>
      </c>
      <c r="J1620" s="90">
        <v>0</v>
      </c>
    </row>
    <row r="1621" spans="1:10" s="80" customFormat="1">
      <c r="A1621" s="91" t="s">
        <v>100</v>
      </c>
      <c r="B1621" s="91" t="s">
        <v>12</v>
      </c>
      <c r="C1621" s="92">
        <v>0.499305555555555</v>
      </c>
      <c r="D1621" s="93">
        <v>0</v>
      </c>
      <c r="E1621" s="93">
        <v>0</v>
      </c>
      <c r="F1621" s="93">
        <v>0</v>
      </c>
      <c r="G1621" s="93">
        <v>0</v>
      </c>
      <c r="H1621" s="93">
        <v>0</v>
      </c>
      <c r="I1621" s="93">
        <v>0</v>
      </c>
      <c r="J1621" s="93">
        <v>0</v>
      </c>
    </row>
    <row r="1622" spans="1:10">
      <c r="A1622" s="88" t="s">
        <v>100</v>
      </c>
      <c r="B1622" s="88" t="s">
        <v>12</v>
      </c>
      <c r="C1622" s="89">
        <v>0.5</v>
      </c>
      <c r="D1622" s="90">
        <v>0</v>
      </c>
      <c r="E1622" s="90">
        <v>0</v>
      </c>
      <c r="F1622" s="90">
        <v>0</v>
      </c>
      <c r="G1622" s="90">
        <v>0</v>
      </c>
      <c r="H1622" s="90">
        <v>0</v>
      </c>
      <c r="I1622" s="90">
        <v>0</v>
      </c>
      <c r="J1622" s="90">
        <v>0</v>
      </c>
    </row>
    <row r="1623" spans="1:10">
      <c r="A1623" s="88" t="s">
        <v>100</v>
      </c>
      <c r="B1623" s="88" t="s">
        <v>12</v>
      </c>
      <c r="C1623" s="89">
        <v>0.500694444444444</v>
      </c>
      <c r="D1623" s="90">
        <v>0</v>
      </c>
      <c r="E1623" s="90">
        <v>0</v>
      </c>
      <c r="F1623" s="90">
        <v>0</v>
      </c>
      <c r="G1623" s="90">
        <v>0</v>
      </c>
      <c r="H1623" s="90">
        <v>0</v>
      </c>
      <c r="I1623" s="90">
        <v>0</v>
      </c>
      <c r="J1623" s="90">
        <v>0</v>
      </c>
    </row>
    <row r="1624" spans="1:10">
      <c r="A1624" s="88" t="s">
        <v>100</v>
      </c>
      <c r="B1624" s="88" t="s">
        <v>12</v>
      </c>
      <c r="C1624" s="89">
        <v>0.50138888888888899</v>
      </c>
      <c r="D1624" s="90">
        <v>0</v>
      </c>
      <c r="E1624" s="90">
        <v>0</v>
      </c>
      <c r="F1624" s="90">
        <v>0</v>
      </c>
      <c r="G1624" s="90">
        <v>0</v>
      </c>
      <c r="H1624" s="90">
        <v>0</v>
      </c>
      <c r="I1624" s="90">
        <v>0</v>
      </c>
      <c r="J1624" s="90">
        <v>0</v>
      </c>
    </row>
    <row r="1625" spans="1:10">
      <c r="A1625" s="88" t="s">
        <v>100</v>
      </c>
      <c r="B1625" s="88" t="s">
        <v>12</v>
      </c>
      <c r="C1625" s="89">
        <v>0.50208333333333299</v>
      </c>
      <c r="D1625" s="90">
        <v>0</v>
      </c>
      <c r="E1625" s="90">
        <v>0</v>
      </c>
      <c r="F1625" s="90">
        <v>0</v>
      </c>
      <c r="G1625" s="90">
        <v>0</v>
      </c>
      <c r="H1625" s="90">
        <v>0</v>
      </c>
      <c r="I1625" s="90">
        <v>0</v>
      </c>
      <c r="J1625" s="90">
        <v>0</v>
      </c>
    </row>
    <row r="1626" spans="1:10">
      <c r="A1626" s="88" t="s">
        <v>100</v>
      </c>
      <c r="B1626" s="88" t="s">
        <v>12</v>
      </c>
      <c r="C1626" s="89">
        <v>0.50277777777777799</v>
      </c>
      <c r="D1626" s="90">
        <v>0</v>
      </c>
      <c r="E1626" s="90">
        <v>0</v>
      </c>
      <c r="F1626" s="90">
        <v>0</v>
      </c>
      <c r="G1626" s="90">
        <v>0</v>
      </c>
      <c r="H1626" s="90">
        <v>0</v>
      </c>
      <c r="I1626" s="90">
        <v>0</v>
      </c>
      <c r="J1626" s="90">
        <v>0</v>
      </c>
    </row>
    <row r="1627" spans="1:10">
      <c r="A1627" s="88" t="s">
        <v>100</v>
      </c>
      <c r="B1627" s="88" t="s">
        <v>12</v>
      </c>
      <c r="C1627" s="89">
        <v>0.50347222222222199</v>
      </c>
      <c r="D1627" s="90">
        <v>0</v>
      </c>
      <c r="E1627" s="90">
        <v>0</v>
      </c>
      <c r="F1627" s="90">
        <v>0</v>
      </c>
      <c r="G1627" s="90">
        <v>0</v>
      </c>
      <c r="H1627" s="90">
        <v>0</v>
      </c>
      <c r="I1627" s="90">
        <v>0</v>
      </c>
      <c r="J1627" s="90">
        <v>0</v>
      </c>
    </row>
    <row r="1628" spans="1:10">
      <c r="A1628" s="88" t="s">
        <v>100</v>
      </c>
      <c r="B1628" s="88" t="s">
        <v>12</v>
      </c>
      <c r="C1628" s="89">
        <v>0.50416666666666698</v>
      </c>
      <c r="D1628" s="90">
        <v>0</v>
      </c>
      <c r="E1628" s="90">
        <v>0</v>
      </c>
      <c r="F1628" s="90">
        <v>0</v>
      </c>
      <c r="G1628" s="90">
        <v>0</v>
      </c>
      <c r="H1628" s="90">
        <v>0</v>
      </c>
      <c r="I1628" s="90">
        <v>0</v>
      </c>
      <c r="J1628" s="90">
        <v>0</v>
      </c>
    </row>
    <row r="1629" spans="1:10">
      <c r="A1629" s="88" t="s">
        <v>100</v>
      </c>
      <c r="B1629" s="88" t="s">
        <v>12</v>
      </c>
      <c r="C1629" s="89">
        <v>0.50486111111111098</v>
      </c>
      <c r="D1629" s="90">
        <v>0</v>
      </c>
      <c r="E1629" s="90">
        <v>0</v>
      </c>
      <c r="F1629" s="90">
        <v>0</v>
      </c>
      <c r="G1629" s="90">
        <v>0</v>
      </c>
      <c r="H1629" s="90">
        <v>0</v>
      </c>
      <c r="I1629" s="90">
        <v>0</v>
      </c>
      <c r="J1629" s="90">
        <v>0</v>
      </c>
    </row>
    <row r="1630" spans="1:10">
      <c r="A1630" s="88" t="s">
        <v>100</v>
      </c>
      <c r="B1630" s="88" t="s">
        <v>12</v>
      </c>
      <c r="C1630" s="89">
        <v>0.50555555555555498</v>
      </c>
      <c r="D1630" s="90">
        <v>0</v>
      </c>
      <c r="E1630" s="90">
        <v>0</v>
      </c>
      <c r="F1630" s="90">
        <v>0</v>
      </c>
      <c r="G1630" s="90">
        <v>0</v>
      </c>
      <c r="H1630" s="90">
        <v>0</v>
      </c>
      <c r="I1630" s="90">
        <v>0</v>
      </c>
      <c r="J1630" s="90">
        <v>0</v>
      </c>
    </row>
    <row r="1631" spans="1:10">
      <c r="A1631" s="88" t="s">
        <v>100</v>
      </c>
      <c r="B1631" s="88" t="s">
        <v>12</v>
      </c>
      <c r="C1631" s="89">
        <v>0.50624999999999998</v>
      </c>
      <c r="D1631" s="90">
        <v>0</v>
      </c>
      <c r="E1631" s="90">
        <v>0</v>
      </c>
      <c r="F1631" s="90">
        <v>0</v>
      </c>
      <c r="G1631" s="90">
        <v>0</v>
      </c>
      <c r="H1631" s="90">
        <v>0</v>
      </c>
      <c r="I1631" s="90">
        <v>0</v>
      </c>
      <c r="J1631" s="90">
        <v>0</v>
      </c>
    </row>
    <row r="1632" spans="1:10">
      <c r="A1632" s="88" t="s">
        <v>100</v>
      </c>
      <c r="B1632" s="88" t="s">
        <v>12</v>
      </c>
      <c r="C1632" s="89">
        <v>0.50694444444444398</v>
      </c>
      <c r="D1632" s="90">
        <v>0</v>
      </c>
      <c r="E1632" s="90">
        <v>0</v>
      </c>
      <c r="F1632" s="90">
        <v>0</v>
      </c>
      <c r="G1632" s="90">
        <v>0</v>
      </c>
      <c r="H1632" s="90">
        <v>0</v>
      </c>
      <c r="I1632" s="90">
        <v>0</v>
      </c>
      <c r="J1632" s="90">
        <v>0</v>
      </c>
    </row>
    <row r="1633" spans="1:10">
      <c r="A1633" s="88" t="s">
        <v>100</v>
      </c>
      <c r="B1633" s="88" t="s">
        <v>12</v>
      </c>
      <c r="C1633" s="89">
        <v>0.50763888888888897</v>
      </c>
      <c r="D1633" s="90">
        <v>0</v>
      </c>
      <c r="E1633" s="90">
        <v>0</v>
      </c>
      <c r="F1633" s="90">
        <v>0</v>
      </c>
      <c r="G1633" s="90">
        <v>0</v>
      </c>
      <c r="H1633" s="90">
        <v>0</v>
      </c>
      <c r="I1633" s="90">
        <v>0</v>
      </c>
      <c r="J1633" s="90">
        <v>0</v>
      </c>
    </row>
    <row r="1634" spans="1:10">
      <c r="A1634" s="88" t="s">
        <v>100</v>
      </c>
      <c r="B1634" s="88" t="s">
        <v>12</v>
      </c>
      <c r="C1634" s="89">
        <v>0.50833333333333297</v>
      </c>
      <c r="D1634" s="90">
        <v>0</v>
      </c>
      <c r="E1634" s="90">
        <v>0</v>
      </c>
      <c r="F1634" s="90">
        <v>0</v>
      </c>
      <c r="G1634" s="90">
        <v>0</v>
      </c>
      <c r="H1634" s="90">
        <v>0</v>
      </c>
      <c r="I1634" s="90">
        <v>0</v>
      </c>
      <c r="J1634" s="90">
        <v>0</v>
      </c>
    </row>
    <row r="1635" spans="1:10">
      <c r="A1635" s="88" t="s">
        <v>100</v>
      </c>
      <c r="B1635" s="88" t="s">
        <v>12</v>
      </c>
      <c r="C1635" s="89">
        <v>0.50902777777777797</v>
      </c>
      <c r="D1635" s="90">
        <v>0</v>
      </c>
      <c r="E1635" s="90">
        <v>0</v>
      </c>
      <c r="F1635" s="90">
        <v>0</v>
      </c>
      <c r="G1635" s="90">
        <v>0</v>
      </c>
      <c r="H1635" s="90">
        <v>0</v>
      </c>
      <c r="I1635" s="90">
        <v>0</v>
      </c>
      <c r="J1635" s="90">
        <v>0</v>
      </c>
    </row>
    <row r="1636" spans="1:10" s="80" customFormat="1">
      <c r="A1636" s="91" t="s">
        <v>100</v>
      </c>
      <c r="B1636" s="91" t="s">
        <v>12</v>
      </c>
      <c r="C1636" s="92">
        <v>0.50972222222222197</v>
      </c>
      <c r="D1636" s="93">
        <v>0</v>
      </c>
      <c r="E1636" s="93">
        <v>0</v>
      </c>
      <c r="F1636" s="93">
        <v>0</v>
      </c>
      <c r="G1636" s="93">
        <v>0</v>
      </c>
      <c r="H1636" s="93">
        <v>0</v>
      </c>
      <c r="I1636" s="93">
        <v>0</v>
      </c>
      <c r="J1636" s="93">
        <v>0</v>
      </c>
    </row>
    <row r="1637" spans="1:10">
      <c r="A1637" s="88" t="s">
        <v>100</v>
      </c>
      <c r="B1637" s="88" t="s">
        <v>12</v>
      </c>
      <c r="C1637" s="89">
        <v>0.51041666666666596</v>
      </c>
      <c r="D1637" s="90">
        <v>0</v>
      </c>
      <c r="E1637" s="90">
        <v>0</v>
      </c>
      <c r="F1637" s="90">
        <v>0</v>
      </c>
      <c r="G1637" s="90">
        <v>0</v>
      </c>
      <c r="H1637" s="90">
        <v>0</v>
      </c>
      <c r="I1637" s="90">
        <v>0</v>
      </c>
      <c r="J1637" s="90">
        <v>0</v>
      </c>
    </row>
    <row r="1638" spans="1:10">
      <c r="A1638" s="88" t="s">
        <v>100</v>
      </c>
      <c r="B1638" s="88" t="s">
        <v>12</v>
      </c>
      <c r="C1638" s="89">
        <v>0.51111111111111096</v>
      </c>
      <c r="D1638" s="90">
        <v>0</v>
      </c>
      <c r="E1638" s="90">
        <v>0</v>
      </c>
      <c r="F1638" s="90">
        <v>0</v>
      </c>
      <c r="G1638" s="90">
        <v>0</v>
      </c>
      <c r="H1638" s="90">
        <v>0</v>
      </c>
      <c r="I1638" s="90">
        <v>0</v>
      </c>
      <c r="J1638" s="90">
        <v>0</v>
      </c>
    </row>
    <row r="1639" spans="1:10">
      <c r="A1639" s="88" t="s">
        <v>100</v>
      </c>
      <c r="B1639" s="88" t="s">
        <v>12</v>
      </c>
      <c r="C1639" s="89">
        <v>0.51180555555555496</v>
      </c>
      <c r="D1639" s="90">
        <v>0</v>
      </c>
      <c r="E1639" s="90">
        <v>0</v>
      </c>
      <c r="F1639" s="90">
        <v>0</v>
      </c>
      <c r="G1639" s="90">
        <v>0</v>
      </c>
      <c r="H1639" s="90">
        <v>0</v>
      </c>
      <c r="I1639" s="90">
        <v>0</v>
      </c>
      <c r="J1639" s="90">
        <v>0</v>
      </c>
    </row>
    <row r="1640" spans="1:10">
      <c r="A1640" s="88" t="s">
        <v>100</v>
      </c>
      <c r="B1640" s="88" t="s">
        <v>12</v>
      </c>
      <c r="C1640" s="89">
        <v>0.51249999999999996</v>
      </c>
      <c r="D1640" s="90">
        <v>0</v>
      </c>
      <c r="E1640" s="90">
        <v>0</v>
      </c>
      <c r="F1640" s="90">
        <v>0</v>
      </c>
      <c r="G1640" s="90">
        <v>0</v>
      </c>
      <c r="H1640" s="90">
        <v>0</v>
      </c>
      <c r="I1640" s="90">
        <v>0</v>
      </c>
      <c r="J1640" s="90">
        <v>0</v>
      </c>
    </row>
    <row r="1641" spans="1:10">
      <c r="A1641" s="88" t="s">
        <v>100</v>
      </c>
      <c r="B1641" s="88" t="s">
        <v>12</v>
      </c>
      <c r="C1641" s="89">
        <v>0.51319444444444395</v>
      </c>
      <c r="D1641" s="90">
        <v>0</v>
      </c>
      <c r="E1641" s="90">
        <v>0</v>
      </c>
      <c r="F1641" s="90">
        <v>0</v>
      </c>
      <c r="G1641" s="90">
        <v>0</v>
      </c>
      <c r="H1641" s="90">
        <v>0</v>
      </c>
      <c r="I1641" s="90">
        <v>0</v>
      </c>
      <c r="J1641" s="90">
        <v>0</v>
      </c>
    </row>
    <row r="1642" spans="1:10">
      <c r="A1642" s="88" t="s">
        <v>100</v>
      </c>
      <c r="B1642" s="88" t="s">
        <v>12</v>
      </c>
      <c r="C1642" s="89">
        <v>0.51388888888888895</v>
      </c>
      <c r="D1642" s="90">
        <v>0</v>
      </c>
      <c r="E1642" s="90">
        <v>0</v>
      </c>
      <c r="F1642" s="90">
        <v>0</v>
      </c>
      <c r="G1642" s="90">
        <v>0</v>
      </c>
      <c r="H1642" s="90">
        <v>0</v>
      </c>
      <c r="I1642" s="90">
        <v>0</v>
      </c>
      <c r="J1642" s="90">
        <v>0</v>
      </c>
    </row>
    <row r="1643" spans="1:10">
      <c r="A1643" s="88" t="s">
        <v>100</v>
      </c>
      <c r="B1643" s="88" t="s">
        <v>12</v>
      </c>
      <c r="C1643" s="89">
        <v>0.51458333333333295</v>
      </c>
      <c r="D1643" s="90">
        <v>0</v>
      </c>
      <c r="E1643" s="90">
        <v>0</v>
      </c>
      <c r="F1643" s="90">
        <v>0</v>
      </c>
      <c r="G1643" s="90">
        <v>0</v>
      </c>
      <c r="H1643" s="90">
        <v>0</v>
      </c>
      <c r="I1643" s="90">
        <v>0</v>
      </c>
      <c r="J1643" s="90">
        <v>0</v>
      </c>
    </row>
    <row r="1644" spans="1:10">
      <c r="A1644" s="88" t="s">
        <v>100</v>
      </c>
      <c r="B1644" s="88" t="s">
        <v>12</v>
      </c>
      <c r="C1644" s="89">
        <v>0.51527777777777795</v>
      </c>
      <c r="D1644" s="90">
        <v>0</v>
      </c>
      <c r="E1644" s="90">
        <v>0</v>
      </c>
      <c r="F1644" s="90">
        <v>0</v>
      </c>
      <c r="G1644" s="90">
        <v>0</v>
      </c>
      <c r="H1644" s="90">
        <v>0</v>
      </c>
      <c r="I1644" s="90">
        <v>0</v>
      </c>
      <c r="J1644" s="90">
        <v>0</v>
      </c>
    </row>
    <row r="1645" spans="1:10">
      <c r="A1645" s="88" t="s">
        <v>100</v>
      </c>
      <c r="B1645" s="88" t="s">
        <v>12</v>
      </c>
      <c r="C1645" s="89">
        <v>0.51597222222222205</v>
      </c>
      <c r="D1645" s="90">
        <v>0</v>
      </c>
      <c r="E1645" s="90">
        <v>0</v>
      </c>
      <c r="F1645" s="90">
        <v>0</v>
      </c>
      <c r="G1645" s="90">
        <v>0</v>
      </c>
      <c r="H1645" s="90">
        <v>0</v>
      </c>
      <c r="I1645" s="90">
        <v>0</v>
      </c>
      <c r="J1645" s="90">
        <v>0</v>
      </c>
    </row>
    <row r="1646" spans="1:10">
      <c r="A1646" s="88" t="s">
        <v>100</v>
      </c>
      <c r="B1646" s="88" t="s">
        <v>12</v>
      </c>
      <c r="C1646" s="89">
        <v>0.51666666666666605</v>
      </c>
      <c r="D1646" s="90">
        <v>0</v>
      </c>
      <c r="E1646" s="90">
        <v>0</v>
      </c>
      <c r="F1646" s="90">
        <v>0</v>
      </c>
      <c r="G1646" s="90">
        <v>0</v>
      </c>
      <c r="H1646" s="90">
        <v>0</v>
      </c>
      <c r="I1646" s="90">
        <v>0</v>
      </c>
      <c r="J1646" s="90">
        <v>0</v>
      </c>
    </row>
    <row r="1647" spans="1:10">
      <c r="A1647" s="88" t="s">
        <v>100</v>
      </c>
      <c r="B1647" s="88" t="s">
        <v>12</v>
      </c>
      <c r="C1647" s="89">
        <v>0.51736111111111105</v>
      </c>
      <c r="D1647" s="90">
        <v>0</v>
      </c>
      <c r="E1647" s="90">
        <v>0</v>
      </c>
      <c r="F1647" s="90">
        <v>0</v>
      </c>
      <c r="G1647" s="90">
        <v>0</v>
      </c>
      <c r="H1647" s="90">
        <v>0</v>
      </c>
      <c r="I1647" s="90">
        <v>0</v>
      </c>
      <c r="J1647" s="90">
        <v>0</v>
      </c>
    </row>
    <row r="1648" spans="1:10">
      <c r="A1648" s="88" t="s">
        <v>100</v>
      </c>
      <c r="B1648" s="88" t="s">
        <v>12</v>
      </c>
      <c r="C1648" s="89">
        <v>0.51805555555555505</v>
      </c>
      <c r="D1648" s="90">
        <v>0</v>
      </c>
      <c r="E1648" s="90">
        <v>0</v>
      </c>
      <c r="F1648" s="90">
        <v>0</v>
      </c>
      <c r="G1648" s="90">
        <v>0</v>
      </c>
      <c r="H1648" s="90">
        <v>0</v>
      </c>
      <c r="I1648" s="90">
        <v>0</v>
      </c>
      <c r="J1648" s="90">
        <v>0</v>
      </c>
    </row>
    <row r="1649" spans="1:10">
      <c r="A1649" s="88" t="s">
        <v>100</v>
      </c>
      <c r="B1649" s="88" t="s">
        <v>12</v>
      </c>
      <c r="C1649" s="89">
        <v>0.51875000000000004</v>
      </c>
      <c r="D1649" s="90">
        <v>0</v>
      </c>
      <c r="E1649" s="90">
        <v>0</v>
      </c>
      <c r="F1649" s="90">
        <v>0</v>
      </c>
      <c r="G1649" s="90">
        <v>0</v>
      </c>
      <c r="H1649" s="90">
        <v>0</v>
      </c>
      <c r="I1649" s="90">
        <v>0</v>
      </c>
      <c r="J1649" s="90">
        <v>0</v>
      </c>
    </row>
    <row r="1650" spans="1:10">
      <c r="A1650" s="88" t="s">
        <v>100</v>
      </c>
      <c r="B1650" s="88" t="s">
        <v>12</v>
      </c>
      <c r="C1650" s="89">
        <v>0.51944444444444404</v>
      </c>
      <c r="D1650" s="90">
        <v>0</v>
      </c>
      <c r="E1650" s="90">
        <v>0</v>
      </c>
      <c r="F1650" s="90">
        <v>0</v>
      </c>
      <c r="G1650" s="90">
        <v>0</v>
      </c>
      <c r="H1650" s="90">
        <v>0</v>
      </c>
      <c r="I1650" s="90">
        <v>0</v>
      </c>
      <c r="J1650" s="90">
        <v>0</v>
      </c>
    </row>
    <row r="1651" spans="1:10" s="80" customFormat="1">
      <c r="A1651" s="91" t="s">
        <v>100</v>
      </c>
      <c r="B1651" s="91" t="s">
        <v>12</v>
      </c>
      <c r="C1651" s="92">
        <v>0.52013888888888904</v>
      </c>
      <c r="D1651" s="93">
        <v>0</v>
      </c>
      <c r="E1651" s="93">
        <v>0</v>
      </c>
      <c r="F1651" s="93">
        <v>0</v>
      </c>
      <c r="G1651" s="93">
        <v>0</v>
      </c>
      <c r="H1651" s="93">
        <v>0</v>
      </c>
      <c r="I1651" s="93">
        <v>0</v>
      </c>
      <c r="J1651" s="93">
        <v>0</v>
      </c>
    </row>
    <row r="1652" spans="1:10">
      <c r="A1652" s="88" t="s">
        <v>100</v>
      </c>
      <c r="B1652" s="88" t="s">
        <v>12</v>
      </c>
      <c r="C1652" s="89">
        <v>0.52083333333333304</v>
      </c>
      <c r="D1652" s="94">
        <v>0</v>
      </c>
      <c r="E1652" s="94">
        <v>0</v>
      </c>
      <c r="F1652" s="94">
        <v>0</v>
      </c>
      <c r="G1652" s="94">
        <v>0</v>
      </c>
      <c r="H1652" s="94">
        <v>0</v>
      </c>
      <c r="I1652" s="94">
        <v>0</v>
      </c>
      <c r="J1652" s="94">
        <v>0</v>
      </c>
    </row>
    <row r="1653" spans="1:10">
      <c r="A1653" s="88" t="s">
        <v>100</v>
      </c>
      <c r="B1653" s="88" t="s">
        <v>12</v>
      </c>
      <c r="C1653" s="89">
        <v>0.52152777777777704</v>
      </c>
      <c r="D1653" s="90">
        <v>0</v>
      </c>
      <c r="E1653" s="90">
        <v>0</v>
      </c>
      <c r="F1653" s="90">
        <v>0</v>
      </c>
      <c r="G1653" s="90">
        <v>0</v>
      </c>
      <c r="H1653" s="90">
        <v>0</v>
      </c>
      <c r="I1653" s="90">
        <v>0</v>
      </c>
      <c r="J1653" s="90">
        <v>0</v>
      </c>
    </row>
    <row r="1654" spans="1:10">
      <c r="A1654" s="88" t="s">
        <v>100</v>
      </c>
      <c r="B1654" s="88" t="s">
        <v>12</v>
      </c>
      <c r="C1654" s="89">
        <v>0.52222222222222203</v>
      </c>
      <c r="D1654" s="90">
        <v>0</v>
      </c>
      <c r="E1654" s="90">
        <v>0</v>
      </c>
      <c r="F1654" s="90">
        <v>0</v>
      </c>
      <c r="G1654" s="90">
        <v>0</v>
      </c>
      <c r="H1654" s="90">
        <v>0</v>
      </c>
      <c r="I1654" s="90">
        <v>0</v>
      </c>
      <c r="J1654" s="90">
        <v>0</v>
      </c>
    </row>
    <row r="1655" spans="1:10">
      <c r="A1655" s="88" t="s">
        <v>100</v>
      </c>
      <c r="B1655" s="88" t="s">
        <v>12</v>
      </c>
      <c r="C1655" s="89">
        <v>0.52291666666666603</v>
      </c>
      <c r="D1655" s="90">
        <v>0</v>
      </c>
      <c r="E1655" s="90">
        <v>0</v>
      </c>
      <c r="F1655" s="90">
        <v>0</v>
      </c>
      <c r="G1655" s="90">
        <v>0</v>
      </c>
      <c r="H1655" s="90">
        <v>0</v>
      </c>
      <c r="I1655" s="90">
        <v>0</v>
      </c>
      <c r="J1655" s="90">
        <v>0</v>
      </c>
    </row>
    <row r="1656" spans="1:10">
      <c r="A1656" s="88" t="s">
        <v>100</v>
      </c>
      <c r="B1656" s="88" t="s">
        <v>12</v>
      </c>
      <c r="C1656" s="89">
        <v>0.52361111111111103</v>
      </c>
      <c r="D1656" s="90">
        <v>0</v>
      </c>
      <c r="E1656" s="90">
        <v>0</v>
      </c>
      <c r="F1656" s="90">
        <v>0</v>
      </c>
      <c r="G1656" s="90">
        <v>0</v>
      </c>
      <c r="H1656" s="90">
        <v>0</v>
      </c>
      <c r="I1656" s="90">
        <v>0</v>
      </c>
      <c r="J1656" s="90">
        <v>0</v>
      </c>
    </row>
    <row r="1657" spans="1:10">
      <c r="A1657" s="88" t="s">
        <v>100</v>
      </c>
      <c r="B1657" s="88" t="s">
        <v>12</v>
      </c>
      <c r="C1657" s="89">
        <v>0.52430555555555503</v>
      </c>
      <c r="D1657" s="90">
        <v>0</v>
      </c>
      <c r="E1657" s="90">
        <v>0</v>
      </c>
      <c r="F1657" s="90">
        <v>0</v>
      </c>
      <c r="G1657" s="90">
        <v>0</v>
      </c>
      <c r="H1657" s="90">
        <v>0</v>
      </c>
      <c r="I1657" s="90">
        <v>0</v>
      </c>
      <c r="J1657" s="90">
        <v>0</v>
      </c>
    </row>
    <row r="1658" spans="1:10">
      <c r="A1658" s="88" t="s">
        <v>100</v>
      </c>
      <c r="B1658" s="88" t="s">
        <v>12</v>
      </c>
      <c r="C1658" s="89">
        <v>0.52500000000000002</v>
      </c>
      <c r="D1658" s="90">
        <v>0</v>
      </c>
      <c r="E1658" s="90">
        <v>0</v>
      </c>
      <c r="F1658" s="90">
        <v>0</v>
      </c>
      <c r="G1658" s="90">
        <v>0</v>
      </c>
      <c r="H1658" s="90">
        <v>0</v>
      </c>
      <c r="I1658" s="90">
        <v>0</v>
      </c>
      <c r="J1658" s="90">
        <v>0</v>
      </c>
    </row>
    <row r="1659" spans="1:10">
      <c r="A1659" s="88" t="s">
        <v>100</v>
      </c>
      <c r="B1659" s="88" t="s">
        <v>12</v>
      </c>
      <c r="C1659" s="89">
        <v>0.52569444444444402</v>
      </c>
      <c r="D1659" s="90">
        <v>0</v>
      </c>
      <c r="E1659" s="90">
        <v>0</v>
      </c>
      <c r="F1659" s="90">
        <v>0</v>
      </c>
      <c r="G1659" s="90">
        <v>0</v>
      </c>
      <c r="H1659" s="90">
        <v>0</v>
      </c>
      <c r="I1659" s="90">
        <v>0</v>
      </c>
      <c r="J1659" s="90">
        <v>0</v>
      </c>
    </row>
    <row r="1660" spans="1:10">
      <c r="A1660" s="88" t="s">
        <v>100</v>
      </c>
      <c r="B1660" s="88" t="s">
        <v>12</v>
      </c>
      <c r="C1660" s="89">
        <v>0.52638888888888902</v>
      </c>
      <c r="D1660" s="90">
        <v>0</v>
      </c>
      <c r="E1660" s="90">
        <v>0</v>
      </c>
      <c r="F1660" s="90">
        <v>0</v>
      </c>
      <c r="G1660" s="90">
        <v>0</v>
      </c>
      <c r="H1660" s="90">
        <v>0</v>
      </c>
      <c r="I1660" s="90">
        <v>0</v>
      </c>
      <c r="J1660" s="90">
        <v>0</v>
      </c>
    </row>
    <row r="1661" spans="1:10">
      <c r="A1661" s="88" t="s">
        <v>100</v>
      </c>
      <c r="B1661" s="88" t="s">
        <v>12</v>
      </c>
      <c r="C1661" s="89">
        <v>0.52708333333333302</v>
      </c>
      <c r="D1661" s="90">
        <v>0</v>
      </c>
      <c r="E1661" s="90">
        <v>0</v>
      </c>
      <c r="F1661" s="90">
        <v>0</v>
      </c>
      <c r="G1661" s="90">
        <v>0</v>
      </c>
      <c r="H1661" s="90">
        <v>0</v>
      </c>
      <c r="I1661" s="90">
        <v>0</v>
      </c>
      <c r="J1661" s="90">
        <v>0</v>
      </c>
    </row>
    <row r="1662" spans="1:10">
      <c r="A1662" s="88" t="s">
        <v>100</v>
      </c>
      <c r="B1662" s="88" t="s">
        <v>12</v>
      </c>
      <c r="C1662" s="89">
        <v>0.52777777777777701</v>
      </c>
      <c r="D1662" s="90">
        <v>0</v>
      </c>
      <c r="E1662" s="90">
        <v>0</v>
      </c>
      <c r="F1662" s="90">
        <v>0</v>
      </c>
      <c r="G1662" s="90">
        <v>0</v>
      </c>
      <c r="H1662" s="90">
        <v>0</v>
      </c>
      <c r="I1662" s="90">
        <v>0</v>
      </c>
      <c r="J1662" s="90">
        <v>0</v>
      </c>
    </row>
    <row r="1663" spans="1:10">
      <c r="A1663" s="88" t="s">
        <v>100</v>
      </c>
      <c r="B1663" s="88" t="s">
        <v>12</v>
      </c>
      <c r="C1663" s="89">
        <v>0.52847222222222201</v>
      </c>
      <c r="D1663" s="90">
        <v>0</v>
      </c>
      <c r="E1663" s="90">
        <v>0</v>
      </c>
      <c r="F1663" s="90">
        <v>0</v>
      </c>
      <c r="G1663" s="90">
        <v>0</v>
      </c>
      <c r="H1663" s="90">
        <v>0</v>
      </c>
      <c r="I1663" s="90">
        <v>0</v>
      </c>
      <c r="J1663" s="90">
        <v>0</v>
      </c>
    </row>
    <row r="1664" spans="1:10">
      <c r="A1664" s="88" t="s">
        <v>100</v>
      </c>
      <c r="B1664" s="88" t="s">
        <v>12</v>
      </c>
      <c r="C1664" s="89">
        <v>0.52916666666666601</v>
      </c>
      <c r="D1664" s="90">
        <v>0</v>
      </c>
      <c r="E1664" s="90">
        <v>0</v>
      </c>
      <c r="F1664" s="90">
        <v>0</v>
      </c>
      <c r="G1664" s="90">
        <v>0</v>
      </c>
      <c r="H1664" s="90">
        <v>0</v>
      </c>
      <c r="I1664" s="90">
        <v>0</v>
      </c>
      <c r="J1664" s="90">
        <v>0</v>
      </c>
    </row>
    <row r="1665" spans="1:10">
      <c r="A1665" s="88" t="s">
        <v>100</v>
      </c>
      <c r="B1665" s="88" t="s">
        <v>12</v>
      </c>
      <c r="C1665" s="89">
        <v>0.52986111111111101</v>
      </c>
      <c r="D1665" s="90">
        <v>0</v>
      </c>
      <c r="E1665" s="90">
        <v>0</v>
      </c>
      <c r="F1665" s="90">
        <v>0</v>
      </c>
      <c r="G1665" s="90">
        <v>0</v>
      </c>
      <c r="H1665" s="90">
        <v>0</v>
      </c>
      <c r="I1665" s="90">
        <v>0</v>
      </c>
      <c r="J1665" s="90">
        <v>0</v>
      </c>
    </row>
    <row r="1666" spans="1:10" s="80" customFormat="1">
      <c r="A1666" s="91" t="s">
        <v>100</v>
      </c>
      <c r="B1666" s="91" t="s">
        <v>12</v>
      </c>
      <c r="C1666" s="92">
        <v>0.530555555555555</v>
      </c>
      <c r="D1666" s="93">
        <v>0</v>
      </c>
      <c r="E1666" s="93">
        <v>0</v>
      </c>
      <c r="F1666" s="93">
        <v>0</v>
      </c>
      <c r="G1666" s="93">
        <v>0</v>
      </c>
      <c r="H1666" s="93">
        <v>0</v>
      </c>
      <c r="I1666" s="93">
        <v>0</v>
      </c>
      <c r="J1666" s="93">
        <v>0</v>
      </c>
    </row>
    <row r="1667" spans="1:10">
      <c r="A1667" s="88" t="s">
        <v>100</v>
      </c>
      <c r="B1667" s="88" t="s">
        <v>12</v>
      </c>
      <c r="C1667" s="89">
        <v>0.53125</v>
      </c>
      <c r="D1667" s="94">
        <v>0</v>
      </c>
      <c r="E1667" s="94">
        <v>0</v>
      </c>
      <c r="F1667" s="94">
        <v>0</v>
      </c>
      <c r="G1667" s="94">
        <v>0</v>
      </c>
      <c r="H1667" s="94">
        <v>0</v>
      </c>
      <c r="I1667" s="94">
        <v>0</v>
      </c>
      <c r="J1667" s="94">
        <v>0</v>
      </c>
    </row>
    <row r="1668" spans="1:10">
      <c r="A1668" s="88" t="s">
        <v>100</v>
      </c>
      <c r="B1668" s="88" t="s">
        <v>12</v>
      </c>
      <c r="C1668" s="89">
        <v>0.531944444444444</v>
      </c>
      <c r="D1668" s="90">
        <v>0</v>
      </c>
      <c r="E1668" s="90">
        <v>0</v>
      </c>
      <c r="F1668" s="90">
        <v>0</v>
      </c>
      <c r="G1668" s="90">
        <v>0</v>
      </c>
      <c r="H1668" s="90">
        <v>0</v>
      </c>
      <c r="I1668" s="90">
        <v>0</v>
      </c>
      <c r="J1668" s="90">
        <v>0</v>
      </c>
    </row>
    <row r="1669" spans="1:10">
      <c r="A1669" s="88" t="s">
        <v>100</v>
      </c>
      <c r="B1669" s="88" t="s">
        <v>12</v>
      </c>
      <c r="C1669" s="89">
        <v>0.53263888888888899</v>
      </c>
      <c r="D1669" s="90">
        <v>0</v>
      </c>
      <c r="E1669" s="90">
        <v>0</v>
      </c>
      <c r="F1669" s="90">
        <v>0</v>
      </c>
      <c r="G1669" s="90">
        <v>0</v>
      </c>
      <c r="H1669" s="90">
        <v>0</v>
      </c>
      <c r="I1669" s="90">
        <v>0</v>
      </c>
      <c r="J1669" s="90">
        <v>0</v>
      </c>
    </row>
    <row r="1670" spans="1:10">
      <c r="A1670" s="88" t="s">
        <v>100</v>
      </c>
      <c r="B1670" s="88" t="s">
        <v>12</v>
      </c>
      <c r="C1670" s="89">
        <v>0.53333333333333299</v>
      </c>
      <c r="D1670" s="90">
        <v>0</v>
      </c>
      <c r="E1670" s="90">
        <v>0</v>
      </c>
      <c r="F1670" s="90">
        <v>0</v>
      </c>
      <c r="G1670" s="90">
        <v>0</v>
      </c>
      <c r="H1670" s="90">
        <v>0</v>
      </c>
      <c r="I1670" s="90">
        <v>0</v>
      </c>
      <c r="J1670" s="90">
        <v>0</v>
      </c>
    </row>
    <row r="1671" spans="1:10">
      <c r="A1671" s="88" t="s">
        <v>100</v>
      </c>
      <c r="B1671" s="88" t="s">
        <v>12</v>
      </c>
      <c r="C1671" s="89">
        <v>0.53402777777777799</v>
      </c>
      <c r="D1671" s="90">
        <v>0</v>
      </c>
      <c r="E1671" s="90">
        <v>0</v>
      </c>
      <c r="F1671" s="90">
        <v>0</v>
      </c>
      <c r="G1671" s="90">
        <v>0</v>
      </c>
      <c r="H1671" s="90">
        <v>0</v>
      </c>
      <c r="I1671" s="90">
        <v>0</v>
      </c>
      <c r="J1671" s="90">
        <v>0</v>
      </c>
    </row>
    <row r="1672" spans="1:10">
      <c r="A1672" s="88" t="s">
        <v>100</v>
      </c>
      <c r="B1672" s="88" t="s">
        <v>12</v>
      </c>
      <c r="C1672" s="89">
        <v>0.53472222222222199</v>
      </c>
      <c r="D1672" s="90">
        <v>0</v>
      </c>
      <c r="E1672" s="90">
        <v>0</v>
      </c>
      <c r="F1672" s="90">
        <v>0</v>
      </c>
      <c r="G1672" s="90">
        <v>0</v>
      </c>
      <c r="H1672" s="90">
        <v>0</v>
      </c>
      <c r="I1672" s="90">
        <v>0</v>
      </c>
      <c r="J1672" s="90">
        <v>0</v>
      </c>
    </row>
    <row r="1673" spans="1:10">
      <c r="A1673" s="88" t="s">
        <v>100</v>
      </c>
      <c r="B1673" s="88" t="s">
        <v>12</v>
      </c>
      <c r="C1673" s="89">
        <v>0.53541666666666599</v>
      </c>
      <c r="D1673" s="90">
        <v>0</v>
      </c>
      <c r="E1673" s="90">
        <v>0</v>
      </c>
      <c r="F1673" s="90">
        <v>0</v>
      </c>
      <c r="G1673" s="90">
        <v>0</v>
      </c>
      <c r="H1673" s="90">
        <v>0</v>
      </c>
      <c r="I1673" s="90">
        <v>0</v>
      </c>
      <c r="J1673" s="90">
        <v>0</v>
      </c>
    </row>
    <row r="1674" spans="1:10">
      <c r="A1674" s="88" t="s">
        <v>100</v>
      </c>
      <c r="B1674" s="88" t="s">
        <v>12</v>
      </c>
      <c r="C1674" s="89">
        <v>0.53611111111111098</v>
      </c>
      <c r="D1674" s="90">
        <v>0</v>
      </c>
      <c r="E1674" s="90">
        <v>0</v>
      </c>
      <c r="F1674" s="90">
        <v>0</v>
      </c>
      <c r="G1674" s="90">
        <v>0</v>
      </c>
      <c r="H1674" s="90">
        <v>0</v>
      </c>
      <c r="I1674" s="90">
        <v>0</v>
      </c>
      <c r="J1674" s="90">
        <v>0</v>
      </c>
    </row>
    <row r="1675" spans="1:10">
      <c r="A1675" s="88" t="s">
        <v>100</v>
      </c>
      <c r="B1675" s="88" t="s">
        <v>12</v>
      </c>
      <c r="C1675" s="89">
        <v>0.53680555555555498</v>
      </c>
      <c r="D1675" s="90">
        <v>0</v>
      </c>
      <c r="E1675" s="90">
        <v>0</v>
      </c>
      <c r="F1675" s="90">
        <v>0</v>
      </c>
      <c r="G1675" s="90">
        <v>0</v>
      </c>
      <c r="H1675" s="90">
        <v>0</v>
      </c>
      <c r="I1675" s="90">
        <v>0</v>
      </c>
      <c r="J1675" s="90">
        <v>0</v>
      </c>
    </row>
    <row r="1676" spans="1:10">
      <c r="A1676" s="88" t="s">
        <v>100</v>
      </c>
      <c r="B1676" s="88" t="s">
        <v>12</v>
      </c>
      <c r="C1676" s="89">
        <v>0.53749999999999998</v>
      </c>
      <c r="D1676" s="90">
        <v>0</v>
      </c>
      <c r="E1676" s="90">
        <v>0</v>
      </c>
      <c r="F1676" s="90">
        <v>0</v>
      </c>
      <c r="G1676" s="90">
        <v>0</v>
      </c>
      <c r="H1676" s="90">
        <v>0</v>
      </c>
      <c r="I1676" s="90">
        <v>0</v>
      </c>
      <c r="J1676" s="90">
        <v>0</v>
      </c>
    </row>
    <row r="1677" spans="1:10">
      <c r="A1677" s="88" t="s">
        <v>100</v>
      </c>
      <c r="B1677" s="88" t="s">
        <v>12</v>
      </c>
      <c r="C1677" s="89">
        <v>0.53819444444444398</v>
      </c>
      <c r="D1677" s="90">
        <v>0</v>
      </c>
      <c r="E1677" s="90">
        <v>0</v>
      </c>
      <c r="F1677" s="90">
        <v>0</v>
      </c>
      <c r="G1677" s="90">
        <v>0</v>
      </c>
      <c r="H1677" s="90">
        <v>0</v>
      </c>
      <c r="I1677" s="90">
        <v>0</v>
      </c>
      <c r="J1677" s="90">
        <v>0</v>
      </c>
    </row>
    <row r="1678" spans="1:10">
      <c r="A1678" s="88" t="s">
        <v>100</v>
      </c>
      <c r="B1678" s="88" t="s">
        <v>12</v>
      </c>
      <c r="C1678" s="89">
        <v>0.53888888888888897</v>
      </c>
      <c r="D1678" s="90">
        <v>0</v>
      </c>
      <c r="E1678" s="90">
        <v>0</v>
      </c>
      <c r="F1678" s="90">
        <v>0</v>
      </c>
      <c r="G1678" s="90">
        <v>0</v>
      </c>
      <c r="H1678" s="90">
        <v>0</v>
      </c>
      <c r="I1678" s="90">
        <v>0</v>
      </c>
      <c r="J1678" s="90">
        <v>0</v>
      </c>
    </row>
    <row r="1679" spans="1:10">
      <c r="A1679" s="88" t="s">
        <v>100</v>
      </c>
      <c r="B1679" s="88" t="s">
        <v>12</v>
      </c>
      <c r="C1679" s="89">
        <v>0.53958333333333297</v>
      </c>
      <c r="D1679" s="90">
        <v>0</v>
      </c>
      <c r="E1679" s="90">
        <v>0</v>
      </c>
      <c r="F1679" s="90">
        <v>0</v>
      </c>
      <c r="G1679" s="90">
        <v>0</v>
      </c>
      <c r="H1679" s="90">
        <v>0</v>
      </c>
      <c r="I1679" s="90">
        <v>0</v>
      </c>
      <c r="J1679" s="90">
        <v>0</v>
      </c>
    </row>
    <row r="1680" spans="1:10">
      <c r="A1680" s="88" t="s">
        <v>100</v>
      </c>
      <c r="B1680" s="88" t="s">
        <v>12</v>
      </c>
      <c r="C1680" s="89">
        <v>0.54027777777777797</v>
      </c>
      <c r="D1680" s="90">
        <v>0</v>
      </c>
      <c r="E1680" s="90">
        <v>0</v>
      </c>
      <c r="F1680" s="90">
        <v>0</v>
      </c>
      <c r="G1680" s="90">
        <v>0</v>
      </c>
      <c r="H1680" s="90">
        <v>0</v>
      </c>
      <c r="I1680" s="90">
        <v>0</v>
      </c>
      <c r="J1680" s="90">
        <v>0</v>
      </c>
    </row>
    <row r="1681" spans="1:10" s="28" customFormat="1" ht="17.5" thickBot="1">
      <c r="A1681" s="103" t="s">
        <v>100</v>
      </c>
      <c r="B1681" s="103" t="s">
        <v>12</v>
      </c>
      <c r="C1681" s="104">
        <v>0.54097222222222197</v>
      </c>
      <c r="D1681" s="105">
        <v>0</v>
      </c>
      <c r="E1681" s="105">
        <v>0</v>
      </c>
      <c r="F1681" s="105">
        <v>0</v>
      </c>
      <c r="G1681" s="105">
        <v>0</v>
      </c>
      <c r="H1681" s="105">
        <v>0</v>
      </c>
      <c r="I1681" s="105">
        <v>0</v>
      </c>
      <c r="J1681" s="105">
        <v>0</v>
      </c>
    </row>
    <row r="1682" spans="1:10">
      <c r="A1682" s="88" t="s">
        <v>100</v>
      </c>
      <c r="B1682" s="88" t="s">
        <v>13</v>
      </c>
      <c r="C1682" s="89">
        <v>0.45833333333333331</v>
      </c>
      <c r="D1682" s="90">
        <v>0</v>
      </c>
      <c r="E1682" s="90">
        <v>0</v>
      </c>
      <c r="F1682" s="90">
        <v>0</v>
      </c>
      <c r="G1682" s="90">
        <v>0</v>
      </c>
      <c r="H1682" s="90">
        <v>0</v>
      </c>
      <c r="I1682" s="90">
        <v>0</v>
      </c>
      <c r="J1682" s="90">
        <v>0</v>
      </c>
    </row>
    <row r="1683" spans="1:10">
      <c r="A1683" s="88" t="s">
        <v>100</v>
      </c>
      <c r="B1683" s="88" t="s">
        <v>13</v>
      </c>
      <c r="C1683" s="89">
        <v>0.45902777777777776</v>
      </c>
      <c r="D1683" s="90">
        <v>0</v>
      </c>
      <c r="E1683" s="90">
        <v>0</v>
      </c>
      <c r="F1683" s="90">
        <v>0</v>
      </c>
      <c r="G1683" s="90">
        <v>0</v>
      </c>
      <c r="H1683" s="90">
        <v>0</v>
      </c>
      <c r="I1683" s="90">
        <v>0</v>
      </c>
      <c r="J1683" s="90">
        <v>0</v>
      </c>
    </row>
    <row r="1684" spans="1:10">
      <c r="A1684" s="88" t="s">
        <v>100</v>
      </c>
      <c r="B1684" s="88" t="s">
        <v>13</v>
      </c>
      <c r="C1684" s="89">
        <v>0.45972222222222198</v>
      </c>
      <c r="D1684" s="90">
        <v>0</v>
      </c>
      <c r="E1684" s="90">
        <v>0</v>
      </c>
      <c r="F1684" s="90">
        <v>0</v>
      </c>
      <c r="G1684" s="90">
        <v>0</v>
      </c>
      <c r="H1684" s="90">
        <v>0</v>
      </c>
      <c r="I1684" s="90">
        <v>0</v>
      </c>
      <c r="J1684" s="90">
        <v>0</v>
      </c>
    </row>
    <row r="1685" spans="1:10">
      <c r="A1685" s="88" t="s">
        <v>100</v>
      </c>
      <c r="B1685" s="88" t="s">
        <v>13</v>
      </c>
      <c r="C1685" s="89">
        <v>0.46041666666666697</v>
      </c>
      <c r="D1685" s="90">
        <v>0</v>
      </c>
      <c r="E1685" s="90">
        <v>0</v>
      </c>
      <c r="F1685" s="90">
        <v>0</v>
      </c>
      <c r="G1685" s="90">
        <v>0</v>
      </c>
      <c r="H1685" s="90">
        <v>0</v>
      </c>
      <c r="I1685" s="90">
        <v>0</v>
      </c>
      <c r="J1685" s="90">
        <v>0</v>
      </c>
    </row>
    <row r="1686" spans="1:10">
      <c r="A1686" s="88" t="s">
        <v>100</v>
      </c>
      <c r="B1686" s="88" t="s">
        <v>13</v>
      </c>
      <c r="C1686" s="89">
        <v>0.46111111111111103</v>
      </c>
      <c r="D1686" s="90">
        <v>0</v>
      </c>
      <c r="E1686" s="90">
        <v>0</v>
      </c>
      <c r="F1686" s="90">
        <v>0</v>
      </c>
      <c r="G1686" s="90">
        <v>0</v>
      </c>
      <c r="H1686" s="90">
        <v>0</v>
      </c>
      <c r="I1686" s="90">
        <v>0</v>
      </c>
      <c r="J1686" s="90">
        <v>0</v>
      </c>
    </row>
    <row r="1687" spans="1:10">
      <c r="A1687" s="88" t="s">
        <v>100</v>
      </c>
      <c r="B1687" s="88" t="s">
        <v>13</v>
      </c>
      <c r="C1687" s="89">
        <v>0.46180555555555602</v>
      </c>
      <c r="D1687" s="90">
        <v>0</v>
      </c>
      <c r="E1687" s="90">
        <v>0</v>
      </c>
      <c r="F1687" s="90">
        <v>0</v>
      </c>
      <c r="G1687" s="90">
        <v>0</v>
      </c>
      <c r="H1687" s="90">
        <v>0</v>
      </c>
      <c r="I1687" s="90">
        <v>0</v>
      </c>
      <c r="J1687" s="90">
        <v>0</v>
      </c>
    </row>
    <row r="1688" spans="1:10">
      <c r="A1688" s="88" t="s">
        <v>100</v>
      </c>
      <c r="B1688" s="88" t="s">
        <v>13</v>
      </c>
      <c r="C1688" s="89">
        <v>0.46250000000000002</v>
      </c>
      <c r="D1688" s="90">
        <v>0</v>
      </c>
      <c r="E1688" s="90">
        <v>0</v>
      </c>
      <c r="F1688" s="90">
        <v>0</v>
      </c>
      <c r="G1688" s="90">
        <v>0</v>
      </c>
      <c r="H1688" s="90">
        <v>0</v>
      </c>
      <c r="I1688" s="90">
        <v>0</v>
      </c>
      <c r="J1688" s="90">
        <v>0</v>
      </c>
    </row>
    <row r="1689" spans="1:10">
      <c r="A1689" s="88" t="s">
        <v>100</v>
      </c>
      <c r="B1689" s="88" t="s">
        <v>13</v>
      </c>
      <c r="C1689" s="89">
        <v>0.46319444444444402</v>
      </c>
      <c r="D1689" s="90">
        <v>0</v>
      </c>
      <c r="E1689" s="90">
        <v>0</v>
      </c>
      <c r="F1689" s="90">
        <v>0</v>
      </c>
      <c r="G1689" s="90">
        <v>0</v>
      </c>
      <c r="H1689" s="90">
        <v>0</v>
      </c>
      <c r="I1689" s="90">
        <v>0</v>
      </c>
      <c r="J1689" s="90">
        <v>0</v>
      </c>
    </row>
    <row r="1690" spans="1:10">
      <c r="A1690" s="88" t="s">
        <v>100</v>
      </c>
      <c r="B1690" s="88" t="s">
        <v>13</v>
      </c>
      <c r="C1690" s="89">
        <v>0.46388888888888902</v>
      </c>
      <c r="D1690" s="90">
        <v>0</v>
      </c>
      <c r="E1690" s="90">
        <v>0</v>
      </c>
      <c r="F1690" s="90">
        <v>0</v>
      </c>
      <c r="G1690" s="90">
        <v>0</v>
      </c>
      <c r="H1690" s="90">
        <v>0</v>
      </c>
      <c r="I1690" s="90">
        <v>0</v>
      </c>
      <c r="J1690" s="90">
        <v>0</v>
      </c>
    </row>
    <row r="1691" spans="1:10">
      <c r="A1691" s="88" t="s">
        <v>100</v>
      </c>
      <c r="B1691" s="88" t="s">
        <v>13</v>
      </c>
      <c r="C1691" s="89">
        <v>0.46458333333333302</v>
      </c>
      <c r="D1691" s="90">
        <v>0</v>
      </c>
      <c r="E1691" s="90">
        <v>0</v>
      </c>
      <c r="F1691" s="90">
        <v>0</v>
      </c>
      <c r="G1691" s="90">
        <v>0</v>
      </c>
      <c r="H1691" s="90">
        <v>0</v>
      </c>
      <c r="I1691" s="90">
        <v>0</v>
      </c>
      <c r="J1691" s="90">
        <v>0</v>
      </c>
    </row>
    <row r="1692" spans="1:10">
      <c r="A1692" s="88" t="s">
        <v>100</v>
      </c>
      <c r="B1692" s="88" t="s">
        <v>13</v>
      </c>
      <c r="C1692" s="89">
        <v>0.46527777777777801</v>
      </c>
      <c r="D1692" s="90">
        <v>0</v>
      </c>
      <c r="E1692" s="90">
        <v>0</v>
      </c>
      <c r="F1692" s="90">
        <v>0</v>
      </c>
      <c r="G1692" s="90">
        <v>0</v>
      </c>
      <c r="H1692" s="90">
        <v>0</v>
      </c>
      <c r="I1692" s="90">
        <v>0</v>
      </c>
      <c r="J1692" s="90">
        <v>0</v>
      </c>
    </row>
    <row r="1693" spans="1:10">
      <c r="A1693" s="88" t="s">
        <v>100</v>
      </c>
      <c r="B1693" s="88" t="s">
        <v>13</v>
      </c>
      <c r="C1693" s="89">
        <v>0.46597222222222201</v>
      </c>
      <c r="D1693" s="90">
        <v>0</v>
      </c>
      <c r="E1693" s="90">
        <v>0</v>
      </c>
      <c r="F1693" s="90">
        <v>0</v>
      </c>
      <c r="G1693" s="90">
        <v>0</v>
      </c>
      <c r="H1693" s="90">
        <v>0</v>
      </c>
      <c r="I1693" s="90">
        <v>0</v>
      </c>
      <c r="J1693" s="90">
        <v>0</v>
      </c>
    </row>
    <row r="1694" spans="1:10">
      <c r="A1694" s="88" t="s">
        <v>100</v>
      </c>
      <c r="B1694" s="88" t="s">
        <v>13</v>
      </c>
      <c r="C1694" s="89">
        <v>0.46666666666666701</v>
      </c>
      <c r="D1694" s="90">
        <v>0</v>
      </c>
      <c r="E1694" s="90">
        <v>0</v>
      </c>
      <c r="F1694" s="90">
        <v>0</v>
      </c>
      <c r="G1694" s="90">
        <v>0</v>
      </c>
      <c r="H1694" s="90">
        <v>0</v>
      </c>
      <c r="I1694" s="90">
        <v>0</v>
      </c>
      <c r="J1694" s="90">
        <v>0</v>
      </c>
    </row>
    <row r="1695" spans="1:10">
      <c r="A1695" s="88" t="s">
        <v>100</v>
      </c>
      <c r="B1695" s="88" t="s">
        <v>13</v>
      </c>
      <c r="C1695" s="89">
        <v>0.46736111111111101</v>
      </c>
      <c r="D1695" s="90">
        <v>0</v>
      </c>
      <c r="E1695" s="90">
        <v>0</v>
      </c>
      <c r="F1695" s="90">
        <v>0</v>
      </c>
      <c r="G1695" s="90">
        <v>0</v>
      </c>
      <c r="H1695" s="90">
        <v>0</v>
      </c>
      <c r="I1695" s="90">
        <v>0</v>
      </c>
      <c r="J1695" s="90">
        <v>0</v>
      </c>
    </row>
    <row r="1696" spans="1:10" s="80" customFormat="1">
      <c r="A1696" s="91" t="s">
        <v>100</v>
      </c>
      <c r="B1696" s="91" t="s">
        <v>13</v>
      </c>
      <c r="C1696" s="92">
        <v>0.468055555555556</v>
      </c>
      <c r="D1696" s="93">
        <v>0</v>
      </c>
      <c r="E1696" s="93">
        <v>0</v>
      </c>
      <c r="F1696" s="93">
        <v>0</v>
      </c>
      <c r="G1696" s="93">
        <v>0</v>
      </c>
      <c r="H1696" s="93">
        <v>0</v>
      </c>
      <c r="I1696" s="93">
        <v>0</v>
      </c>
      <c r="J1696" s="93">
        <v>0</v>
      </c>
    </row>
    <row r="1697" spans="1:10">
      <c r="A1697" s="88" t="s">
        <v>100</v>
      </c>
      <c r="B1697" s="88" t="s">
        <v>13</v>
      </c>
      <c r="C1697" s="89">
        <v>0.46875</v>
      </c>
      <c r="D1697" s="94">
        <v>0</v>
      </c>
      <c r="E1697" s="94">
        <v>0</v>
      </c>
      <c r="F1697" s="94">
        <v>0</v>
      </c>
      <c r="G1697" s="94">
        <v>0</v>
      </c>
      <c r="H1697" s="94">
        <v>0</v>
      </c>
      <c r="I1697" s="94">
        <v>0</v>
      </c>
      <c r="J1697" s="94">
        <v>0</v>
      </c>
    </row>
    <row r="1698" spans="1:10">
      <c r="A1698" s="88" t="s">
        <v>100</v>
      </c>
      <c r="B1698" s="88" t="s">
        <v>13</v>
      </c>
      <c r="C1698" s="89">
        <v>0.469444444444444</v>
      </c>
      <c r="D1698" s="90">
        <v>0</v>
      </c>
      <c r="E1698" s="90">
        <v>0</v>
      </c>
      <c r="F1698" s="90">
        <v>0</v>
      </c>
      <c r="G1698" s="90">
        <v>0</v>
      </c>
      <c r="H1698" s="90">
        <v>0</v>
      </c>
      <c r="I1698" s="90">
        <v>0</v>
      </c>
      <c r="J1698" s="90">
        <v>0</v>
      </c>
    </row>
    <row r="1699" spans="1:10">
      <c r="A1699" s="88" t="s">
        <v>100</v>
      </c>
      <c r="B1699" s="88" t="s">
        <v>13</v>
      </c>
      <c r="C1699" s="89">
        <v>0.47013888888888899</v>
      </c>
      <c r="D1699" s="90">
        <v>0</v>
      </c>
      <c r="E1699" s="90">
        <v>0</v>
      </c>
      <c r="F1699" s="90">
        <v>0</v>
      </c>
      <c r="G1699" s="90">
        <v>0</v>
      </c>
      <c r="H1699" s="90">
        <v>0</v>
      </c>
      <c r="I1699" s="90">
        <v>0</v>
      </c>
      <c r="J1699" s="90">
        <v>0</v>
      </c>
    </row>
    <row r="1700" spans="1:10">
      <c r="A1700" s="88" t="s">
        <v>100</v>
      </c>
      <c r="B1700" s="88" t="s">
        <v>13</v>
      </c>
      <c r="C1700" s="89">
        <v>0.47083333333333299</v>
      </c>
      <c r="D1700" s="90">
        <v>0</v>
      </c>
      <c r="E1700" s="90">
        <v>0</v>
      </c>
      <c r="F1700" s="90">
        <v>0</v>
      </c>
      <c r="G1700" s="90">
        <v>0</v>
      </c>
      <c r="H1700" s="90">
        <v>0</v>
      </c>
      <c r="I1700" s="90">
        <v>0</v>
      </c>
      <c r="J1700" s="90">
        <v>0</v>
      </c>
    </row>
    <row r="1701" spans="1:10">
      <c r="A1701" s="88" t="s">
        <v>100</v>
      </c>
      <c r="B1701" s="88" t="s">
        <v>13</v>
      </c>
      <c r="C1701" s="89">
        <v>0.47152777777777799</v>
      </c>
      <c r="D1701" s="90">
        <v>0</v>
      </c>
      <c r="E1701" s="90">
        <v>0</v>
      </c>
      <c r="F1701" s="90">
        <v>0</v>
      </c>
      <c r="G1701" s="90">
        <v>0</v>
      </c>
      <c r="H1701" s="90">
        <v>0</v>
      </c>
      <c r="I1701" s="90">
        <v>0</v>
      </c>
      <c r="J1701" s="90">
        <v>0</v>
      </c>
    </row>
    <row r="1702" spans="1:10">
      <c r="A1702" s="88" t="s">
        <v>100</v>
      </c>
      <c r="B1702" s="88" t="s">
        <v>13</v>
      </c>
      <c r="C1702" s="89">
        <v>0.47222222222222199</v>
      </c>
      <c r="D1702" s="90">
        <v>0</v>
      </c>
      <c r="E1702" s="90">
        <v>0</v>
      </c>
      <c r="F1702" s="90">
        <v>0</v>
      </c>
      <c r="G1702" s="90">
        <v>0</v>
      </c>
      <c r="H1702" s="90">
        <v>0</v>
      </c>
      <c r="I1702" s="90">
        <v>0</v>
      </c>
      <c r="J1702" s="90">
        <v>0</v>
      </c>
    </row>
    <row r="1703" spans="1:10">
      <c r="A1703" s="88" t="s">
        <v>100</v>
      </c>
      <c r="B1703" s="88" t="s">
        <v>13</v>
      </c>
      <c r="C1703" s="89">
        <v>0.47291666666666698</v>
      </c>
      <c r="D1703" s="90">
        <v>0</v>
      </c>
      <c r="E1703" s="90">
        <v>0</v>
      </c>
      <c r="F1703" s="90">
        <v>0</v>
      </c>
      <c r="G1703" s="90">
        <v>0</v>
      </c>
      <c r="H1703" s="90">
        <v>0</v>
      </c>
      <c r="I1703" s="90">
        <v>0</v>
      </c>
      <c r="J1703" s="90">
        <v>0</v>
      </c>
    </row>
    <row r="1704" spans="1:10">
      <c r="A1704" s="88" t="s">
        <v>100</v>
      </c>
      <c r="B1704" s="88" t="s">
        <v>13</v>
      </c>
      <c r="C1704" s="89">
        <v>0.47361111111111098</v>
      </c>
      <c r="D1704" s="90">
        <v>0</v>
      </c>
      <c r="E1704" s="90">
        <v>0</v>
      </c>
      <c r="F1704" s="90">
        <v>0</v>
      </c>
      <c r="G1704" s="90">
        <v>0</v>
      </c>
      <c r="H1704" s="90">
        <v>0</v>
      </c>
      <c r="I1704" s="90">
        <v>0</v>
      </c>
      <c r="J1704" s="90">
        <v>0</v>
      </c>
    </row>
    <row r="1705" spans="1:10">
      <c r="A1705" s="88" t="s">
        <v>100</v>
      </c>
      <c r="B1705" s="88" t="s">
        <v>13</v>
      </c>
      <c r="C1705" s="89">
        <v>0.47430555555555598</v>
      </c>
      <c r="D1705" s="90">
        <v>0</v>
      </c>
      <c r="E1705" s="90">
        <v>0</v>
      </c>
      <c r="F1705" s="90">
        <v>0</v>
      </c>
      <c r="G1705" s="90">
        <v>0</v>
      </c>
      <c r="H1705" s="90">
        <v>0</v>
      </c>
      <c r="I1705" s="90">
        <v>0</v>
      </c>
      <c r="J1705" s="90">
        <v>0</v>
      </c>
    </row>
    <row r="1706" spans="1:10">
      <c r="A1706" s="88" t="s">
        <v>100</v>
      </c>
      <c r="B1706" s="88" t="s">
        <v>13</v>
      </c>
      <c r="C1706" s="89">
        <v>0.47499999999999998</v>
      </c>
      <c r="D1706" s="90">
        <v>0</v>
      </c>
      <c r="E1706" s="90">
        <v>0</v>
      </c>
      <c r="F1706" s="90">
        <v>0</v>
      </c>
      <c r="G1706" s="90">
        <v>0</v>
      </c>
      <c r="H1706" s="90">
        <v>0</v>
      </c>
      <c r="I1706" s="90">
        <v>0</v>
      </c>
      <c r="J1706" s="90">
        <v>0</v>
      </c>
    </row>
    <row r="1707" spans="1:10">
      <c r="A1707" s="88" t="s">
        <v>100</v>
      </c>
      <c r="B1707" s="88" t="s">
        <v>13</v>
      </c>
      <c r="C1707" s="89">
        <v>0.47569444444444398</v>
      </c>
      <c r="D1707" s="90">
        <v>0</v>
      </c>
      <c r="E1707" s="90">
        <v>0</v>
      </c>
      <c r="F1707" s="90">
        <v>0</v>
      </c>
      <c r="G1707" s="90">
        <v>0</v>
      </c>
      <c r="H1707" s="90">
        <v>0</v>
      </c>
      <c r="I1707" s="90">
        <v>0</v>
      </c>
      <c r="J1707" s="90">
        <v>0</v>
      </c>
    </row>
    <row r="1708" spans="1:10">
      <c r="A1708" s="88" t="s">
        <v>100</v>
      </c>
      <c r="B1708" s="88" t="s">
        <v>13</v>
      </c>
      <c r="C1708" s="89">
        <v>0.47638888888888897</v>
      </c>
      <c r="D1708" s="90">
        <v>0</v>
      </c>
      <c r="E1708" s="90">
        <v>0</v>
      </c>
      <c r="F1708" s="90">
        <v>0</v>
      </c>
      <c r="G1708" s="90">
        <v>0</v>
      </c>
      <c r="H1708" s="90">
        <v>0</v>
      </c>
      <c r="I1708" s="90">
        <v>0</v>
      </c>
      <c r="J1708" s="90">
        <v>0</v>
      </c>
    </row>
    <row r="1709" spans="1:10">
      <c r="A1709" s="88" t="s">
        <v>100</v>
      </c>
      <c r="B1709" s="88" t="s">
        <v>13</v>
      </c>
      <c r="C1709" s="89">
        <v>0.47708333333333303</v>
      </c>
      <c r="D1709" s="90">
        <v>0</v>
      </c>
      <c r="E1709" s="90">
        <v>0</v>
      </c>
      <c r="F1709" s="90">
        <v>0</v>
      </c>
      <c r="G1709" s="90">
        <v>0</v>
      </c>
      <c r="H1709" s="90">
        <v>0</v>
      </c>
      <c r="I1709" s="90">
        <v>0</v>
      </c>
      <c r="J1709" s="90">
        <v>0</v>
      </c>
    </row>
    <row r="1710" spans="1:10">
      <c r="A1710" s="88" t="s">
        <v>100</v>
      </c>
      <c r="B1710" s="88" t="s">
        <v>13</v>
      </c>
      <c r="C1710" s="89">
        <v>0.47777777777777802</v>
      </c>
      <c r="D1710" s="90">
        <v>0</v>
      </c>
      <c r="E1710" s="90">
        <v>0</v>
      </c>
      <c r="F1710" s="90">
        <v>0</v>
      </c>
      <c r="G1710" s="90">
        <v>0</v>
      </c>
      <c r="H1710" s="90">
        <v>0</v>
      </c>
      <c r="I1710" s="90">
        <v>0</v>
      </c>
      <c r="J1710" s="90">
        <v>0</v>
      </c>
    </row>
    <row r="1711" spans="1:10" s="80" customFormat="1">
      <c r="A1711" s="91" t="s">
        <v>100</v>
      </c>
      <c r="B1711" s="91" t="s">
        <v>13</v>
      </c>
      <c r="C1711" s="92">
        <v>0.47847222222222202</v>
      </c>
      <c r="D1711" s="93">
        <v>0</v>
      </c>
      <c r="E1711" s="93">
        <v>0</v>
      </c>
      <c r="F1711" s="93">
        <v>0</v>
      </c>
      <c r="G1711" s="93">
        <v>0</v>
      </c>
      <c r="H1711" s="93">
        <v>0</v>
      </c>
      <c r="I1711" s="93">
        <v>0</v>
      </c>
      <c r="J1711" s="93">
        <v>0</v>
      </c>
    </row>
    <row r="1712" spans="1:10">
      <c r="A1712" s="88" t="s">
        <v>100</v>
      </c>
      <c r="B1712" s="88" t="s">
        <v>13</v>
      </c>
      <c r="C1712" s="89">
        <v>0.47916666666666702</v>
      </c>
      <c r="D1712" s="94">
        <v>0</v>
      </c>
      <c r="E1712" s="94">
        <v>0</v>
      </c>
      <c r="F1712" s="94">
        <v>0</v>
      </c>
      <c r="G1712" s="94">
        <v>0</v>
      </c>
      <c r="H1712" s="94">
        <v>0</v>
      </c>
      <c r="I1712" s="94">
        <v>0</v>
      </c>
      <c r="J1712" s="94">
        <v>0</v>
      </c>
    </row>
    <row r="1713" spans="1:10">
      <c r="A1713" s="88" t="s">
        <v>100</v>
      </c>
      <c r="B1713" s="88" t="s">
        <v>13</v>
      </c>
      <c r="C1713" s="89">
        <v>0.47986111111111102</v>
      </c>
      <c r="D1713" s="90">
        <v>0</v>
      </c>
      <c r="E1713" s="90">
        <v>0</v>
      </c>
      <c r="F1713" s="90">
        <v>0</v>
      </c>
      <c r="G1713" s="90">
        <v>0</v>
      </c>
      <c r="H1713" s="90">
        <v>0</v>
      </c>
      <c r="I1713" s="90">
        <v>0</v>
      </c>
      <c r="J1713" s="90">
        <v>0</v>
      </c>
    </row>
    <row r="1714" spans="1:10">
      <c r="A1714" s="88" t="s">
        <v>100</v>
      </c>
      <c r="B1714" s="88" t="s">
        <v>13</v>
      </c>
      <c r="C1714" s="89">
        <v>0.48055555555555501</v>
      </c>
      <c r="D1714" s="90">
        <v>0</v>
      </c>
      <c r="E1714" s="90">
        <v>0</v>
      </c>
      <c r="F1714" s="90">
        <v>0</v>
      </c>
      <c r="G1714" s="90">
        <v>0</v>
      </c>
      <c r="H1714" s="90">
        <v>0</v>
      </c>
      <c r="I1714" s="90">
        <v>0</v>
      </c>
      <c r="J1714" s="90">
        <v>0</v>
      </c>
    </row>
    <row r="1715" spans="1:10">
      <c r="A1715" s="88" t="s">
        <v>100</v>
      </c>
      <c r="B1715" s="88" t="s">
        <v>13</v>
      </c>
      <c r="C1715" s="89">
        <v>0.48125000000000001</v>
      </c>
      <c r="D1715" s="90">
        <v>0</v>
      </c>
      <c r="E1715" s="90">
        <v>0</v>
      </c>
      <c r="F1715" s="90">
        <v>0</v>
      </c>
      <c r="G1715" s="90">
        <v>0</v>
      </c>
      <c r="H1715" s="90">
        <v>0</v>
      </c>
      <c r="I1715" s="90">
        <v>0</v>
      </c>
      <c r="J1715" s="90">
        <v>0</v>
      </c>
    </row>
    <row r="1716" spans="1:10">
      <c r="A1716" s="88" t="s">
        <v>100</v>
      </c>
      <c r="B1716" s="88" t="s">
        <v>13</v>
      </c>
      <c r="C1716" s="89">
        <v>0.48194444444444401</v>
      </c>
      <c r="D1716" s="90">
        <v>0</v>
      </c>
      <c r="E1716" s="90">
        <v>0</v>
      </c>
      <c r="F1716" s="90">
        <v>0</v>
      </c>
      <c r="G1716" s="90">
        <v>0</v>
      </c>
      <c r="H1716" s="90">
        <v>0</v>
      </c>
      <c r="I1716" s="90">
        <v>0</v>
      </c>
      <c r="J1716" s="90">
        <v>0</v>
      </c>
    </row>
    <row r="1717" spans="1:10">
      <c r="A1717" s="88" t="s">
        <v>100</v>
      </c>
      <c r="B1717" s="88" t="s">
        <v>13</v>
      </c>
      <c r="C1717" s="89">
        <v>0.48263888888888901</v>
      </c>
      <c r="D1717" s="90">
        <v>0</v>
      </c>
      <c r="E1717" s="90">
        <v>0</v>
      </c>
      <c r="F1717" s="90">
        <v>0</v>
      </c>
      <c r="G1717" s="90">
        <v>0</v>
      </c>
      <c r="H1717" s="90">
        <v>0</v>
      </c>
      <c r="I1717" s="90">
        <v>0</v>
      </c>
      <c r="J1717" s="90">
        <v>0</v>
      </c>
    </row>
    <row r="1718" spans="1:10">
      <c r="A1718" s="88" t="s">
        <v>100</v>
      </c>
      <c r="B1718" s="88" t="s">
        <v>13</v>
      </c>
      <c r="C1718" s="89">
        <v>0.483333333333333</v>
      </c>
      <c r="D1718" s="90">
        <v>0</v>
      </c>
      <c r="E1718" s="90">
        <v>0</v>
      </c>
      <c r="F1718" s="90">
        <v>0</v>
      </c>
      <c r="G1718" s="90">
        <v>0</v>
      </c>
      <c r="H1718" s="90">
        <v>0</v>
      </c>
      <c r="I1718" s="90">
        <v>0</v>
      </c>
      <c r="J1718" s="90">
        <v>0</v>
      </c>
    </row>
    <row r="1719" spans="1:10">
      <c r="A1719" s="88" t="s">
        <v>100</v>
      </c>
      <c r="B1719" s="88" t="s">
        <v>13</v>
      </c>
      <c r="C1719" s="89">
        <v>0.484027777777778</v>
      </c>
      <c r="D1719" s="90">
        <v>0</v>
      </c>
      <c r="E1719" s="90">
        <v>0</v>
      </c>
      <c r="F1719" s="90">
        <v>0</v>
      </c>
      <c r="G1719" s="90">
        <v>0</v>
      </c>
      <c r="H1719" s="90">
        <v>0</v>
      </c>
      <c r="I1719" s="90">
        <v>0</v>
      </c>
      <c r="J1719" s="90">
        <v>0</v>
      </c>
    </row>
    <row r="1720" spans="1:10">
      <c r="A1720" s="88" t="s">
        <v>100</v>
      </c>
      <c r="B1720" s="88" t="s">
        <v>13</v>
      </c>
      <c r="C1720" s="89">
        <v>0.484722222222222</v>
      </c>
      <c r="D1720" s="90">
        <v>0</v>
      </c>
      <c r="E1720" s="90">
        <v>0</v>
      </c>
      <c r="F1720" s="90">
        <v>0</v>
      </c>
      <c r="G1720" s="90">
        <v>0</v>
      </c>
      <c r="H1720" s="90">
        <v>0</v>
      </c>
      <c r="I1720" s="90">
        <v>0</v>
      </c>
      <c r="J1720" s="90">
        <v>0</v>
      </c>
    </row>
    <row r="1721" spans="1:10">
      <c r="A1721" s="88" t="s">
        <v>100</v>
      </c>
      <c r="B1721" s="88" t="s">
        <v>13</v>
      </c>
      <c r="C1721" s="89">
        <v>0.485416666666666</v>
      </c>
      <c r="D1721" s="90">
        <v>0</v>
      </c>
      <c r="E1721" s="90">
        <v>0</v>
      </c>
      <c r="F1721" s="90">
        <v>0</v>
      </c>
      <c r="G1721" s="90">
        <v>0</v>
      </c>
      <c r="H1721" s="90">
        <v>0</v>
      </c>
      <c r="I1721" s="90">
        <v>0</v>
      </c>
      <c r="J1721" s="90">
        <v>0</v>
      </c>
    </row>
    <row r="1722" spans="1:10">
      <c r="A1722" s="88" t="s">
        <v>100</v>
      </c>
      <c r="B1722" s="88" t="s">
        <v>13</v>
      </c>
      <c r="C1722" s="89">
        <v>0.48611111111111099</v>
      </c>
      <c r="D1722" s="90">
        <v>0</v>
      </c>
      <c r="E1722" s="90">
        <v>0</v>
      </c>
      <c r="F1722" s="90">
        <v>0</v>
      </c>
      <c r="G1722" s="90">
        <v>0</v>
      </c>
      <c r="H1722" s="90">
        <v>0</v>
      </c>
      <c r="I1722" s="90">
        <v>0</v>
      </c>
      <c r="J1722" s="90">
        <v>0</v>
      </c>
    </row>
    <row r="1723" spans="1:10">
      <c r="A1723" s="88" t="s">
        <v>100</v>
      </c>
      <c r="B1723" s="88" t="s">
        <v>13</v>
      </c>
      <c r="C1723" s="89">
        <v>0.48680555555555499</v>
      </c>
      <c r="D1723" s="90">
        <v>0</v>
      </c>
      <c r="E1723" s="90">
        <v>0</v>
      </c>
      <c r="F1723" s="90">
        <v>0</v>
      </c>
      <c r="G1723" s="90">
        <v>0</v>
      </c>
      <c r="H1723" s="90">
        <v>0</v>
      </c>
      <c r="I1723" s="90">
        <v>0</v>
      </c>
      <c r="J1723" s="90">
        <v>0</v>
      </c>
    </row>
    <row r="1724" spans="1:10">
      <c r="A1724" s="88" t="s">
        <v>100</v>
      </c>
      <c r="B1724" s="88" t="s">
        <v>13</v>
      </c>
      <c r="C1724" s="89">
        <v>0.48749999999999999</v>
      </c>
      <c r="D1724" s="90">
        <v>0</v>
      </c>
      <c r="E1724" s="90">
        <v>0</v>
      </c>
      <c r="F1724" s="90">
        <v>0</v>
      </c>
      <c r="G1724" s="90">
        <v>0</v>
      </c>
      <c r="H1724" s="90">
        <v>0</v>
      </c>
      <c r="I1724" s="90">
        <v>0</v>
      </c>
      <c r="J1724" s="90">
        <v>0</v>
      </c>
    </row>
    <row r="1725" spans="1:10">
      <c r="A1725" s="88" t="s">
        <v>100</v>
      </c>
      <c r="B1725" s="88" t="s">
        <v>13</v>
      </c>
      <c r="C1725" s="89">
        <v>0.48819444444444399</v>
      </c>
      <c r="D1725" s="90">
        <v>0</v>
      </c>
      <c r="E1725" s="90">
        <v>0</v>
      </c>
      <c r="F1725" s="90">
        <v>0</v>
      </c>
      <c r="G1725" s="90">
        <v>0</v>
      </c>
      <c r="H1725" s="90">
        <v>0</v>
      </c>
      <c r="I1725" s="90">
        <v>0</v>
      </c>
      <c r="J1725" s="90">
        <v>0</v>
      </c>
    </row>
    <row r="1726" spans="1:10" s="80" customFormat="1">
      <c r="A1726" s="91" t="s">
        <v>100</v>
      </c>
      <c r="B1726" s="91" t="s">
        <v>13</v>
      </c>
      <c r="C1726" s="92">
        <v>0.48888888888888898</v>
      </c>
      <c r="D1726" s="93">
        <v>0</v>
      </c>
      <c r="E1726" s="93">
        <v>0</v>
      </c>
      <c r="F1726" s="93">
        <v>0</v>
      </c>
      <c r="G1726" s="93">
        <v>0</v>
      </c>
      <c r="H1726" s="93">
        <v>0</v>
      </c>
      <c r="I1726" s="93">
        <v>0</v>
      </c>
      <c r="J1726" s="93">
        <v>0</v>
      </c>
    </row>
    <row r="1727" spans="1:10">
      <c r="A1727" s="88" t="s">
        <v>100</v>
      </c>
      <c r="B1727" s="88" t="s">
        <v>13</v>
      </c>
      <c r="C1727" s="89">
        <v>0.48958333333333298</v>
      </c>
      <c r="D1727" s="94">
        <v>0</v>
      </c>
      <c r="E1727" s="94">
        <v>0</v>
      </c>
      <c r="F1727" s="94">
        <v>0</v>
      </c>
      <c r="G1727" s="94">
        <v>0</v>
      </c>
      <c r="H1727" s="94">
        <v>0</v>
      </c>
      <c r="I1727" s="94">
        <v>0</v>
      </c>
      <c r="J1727" s="94">
        <v>0</v>
      </c>
    </row>
    <row r="1728" spans="1:10">
      <c r="A1728" s="88" t="s">
        <v>100</v>
      </c>
      <c r="B1728" s="88" t="s">
        <v>13</v>
      </c>
      <c r="C1728" s="89">
        <v>0.49027777777777798</v>
      </c>
      <c r="D1728" s="90">
        <v>0</v>
      </c>
      <c r="E1728" s="90">
        <v>0</v>
      </c>
      <c r="F1728" s="90">
        <v>0</v>
      </c>
      <c r="G1728" s="90">
        <v>0</v>
      </c>
      <c r="H1728" s="90">
        <v>0</v>
      </c>
      <c r="I1728" s="90">
        <v>0</v>
      </c>
      <c r="J1728" s="90">
        <v>0</v>
      </c>
    </row>
    <row r="1729" spans="1:10">
      <c r="A1729" s="88" t="s">
        <v>100</v>
      </c>
      <c r="B1729" s="88" t="s">
        <v>13</v>
      </c>
      <c r="C1729" s="89">
        <v>0.49097222222222198</v>
      </c>
      <c r="D1729" s="90">
        <v>0</v>
      </c>
      <c r="E1729" s="90">
        <v>0</v>
      </c>
      <c r="F1729" s="90">
        <v>0</v>
      </c>
      <c r="G1729" s="90">
        <v>0</v>
      </c>
      <c r="H1729" s="90">
        <v>0</v>
      </c>
      <c r="I1729" s="90">
        <v>0</v>
      </c>
      <c r="J1729" s="90">
        <v>0</v>
      </c>
    </row>
    <row r="1730" spans="1:10">
      <c r="A1730" s="88" t="s">
        <v>100</v>
      </c>
      <c r="B1730" s="88" t="s">
        <v>13</v>
      </c>
      <c r="C1730" s="89">
        <v>0.49166666666666697</v>
      </c>
      <c r="D1730" s="90">
        <v>0</v>
      </c>
      <c r="E1730" s="90">
        <v>0</v>
      </c>
      <c r="F1730" s="90">
        <v>0</v>
      </c>
      <c r="G1730" s="90">
        <v>0</v>
      </c>
      <c r="H1730" s="90">
        <v>0</v>
      </c>
      <c r="I1730" s="90">
        <v>0</v>
      </c>
      <c r="J1730" s="90">
        <v>0</v>
      </c>
    </row>
    <row r="1731" spans="1:10">
      <c r="A1731" s="88" t="s">
        <v>100</v>
      </c>
      <c r="B1731" s="88" t="s">
        <v>13</v>
      </c>
      <c r="C1731" s="89">
        <v>0.49236111111111103</v>
      </c>
      <c r="D1731" s="90">
        <v>0</v>
      </c>
      <c r="E1731" s="90">
        <v>0</v>
      </c>
      <c r="F1731" s="90">
        <v>0</v>
      </c>
      <c r="G1731" s="90">
        <v>0</v>
      </c>
      <c r="H1731" s="90">
        <v>0</v>
      </c>
      <c r="I1731" s="90">
        <v>0</v>
      </c>
      <c r="J1731" s="90">
        <v>0</v>
      </c>
    </row>
    <row r="1732" spans="1:10">
      <c r="A1732" s="88" t="s">
        <v>100</v>
      </c>
      <c r="B1732" s="88" t="s">
        <v>13</v>
      </c>
      <c r="C1732" s="89">
        <v>0.49305555555555503</v>
      </c>
      <c r="D1732" s="90">
        <v>0</v>
      </c>
      <c r="E1732" s="90">
        <v>0</v>
      </c>
      <c r="F1732" s="90">
        <v>0</v>
      </c>
      <c r="G1732" s="90">
        <v>0</v>
      </c>
      <c r="H1732" s="90">
        <v>0</v>
      </c>
      <c r="I1732" s="90">
        <v>0</v>
      </c>
      <c r="J1732" s="90">
        <v>0</v>
      </c>
    </row>
    <row r="1733" spans="1:10">
      <c r="A1733" s="88" t="s">
        <v>100</v>
      </c>
      <c r="B1733" s="88" t="s">
        <v>13</v>
      </c>
      <c r="C1733" s="89">
        <v>0.49375000000000002</v>
      </c>
      <c r="D1733" s="90">
        <v>0</v>
      </c>
      <c r="E1733" s="90">
        <v>0</v>
      </c>
      <c r="F1733" s="90">
        <v>0</v>
      </c>
      <c r="G1733" s="90">
        <v>0</v>
      </c>
      <c r="H1733" s="90">
        <v>0</v>
      </c>
      <c r="I1733" s="90">
        <v>0</v>
      </c>
      <c r="J1733" s="90">
        <v>0</v>
      </c>
    </row>
    <row r="1734" spans="1:10">
      <c r="A1734" s="88" t="s">
        <v>100</v>
      </c>
      <c r="B1734" s="88" t="s">
        <v>13</v>
      </c>
      <c r="C1734" s="89">
        <v>0.49444444444444402</v>
      </c>
      <c r="D1734" s="90">
        <v>0</v>
      </c>
      <c r="E1734" s="90">
        <v>0</v>
      </c>
      <c r="F1734" s="90">
        <v>0</v>
      </c>
      <c r="G1734" s="90">
        <v>0</v>
      </c>
      <c r="H1734" s="90">
        <v>0</v>
      </c>
      <c r="I1734" s="90">
        <v>0</v>
      </c>
      <c r="J1734" s="90">
        <v>0</v>
      </c>
    </row>
    <row r="1735" spans="1:10">
      <c r="A1735" s="88" t="s">
        <v>100</v>
      </c>
      <c r="B1735" s="88" t="s">
        <v>13</v>
      </c>
      <c r="C1735" s="89">
        <v>0.49513888888888902</v>
      </c>
      <c r="D1735" s="90">
        <v>0</v>
      </c>
      <c r="E1735" s="90">
        <v>0</v>
      </c>
      <c r="F1735" s="90">
        <v>0</v>
      </c>
      <c r="G1735" s="90">
        <v>0</v>
      </c>
      <c r="H1735" s="90">
        <v>0</v>
      </c>
      <c r="I1735" s="90">
        <v>0</v>
      </c>
      <c r="J1735" s="90">
        <v>0</v>
      </c>
    </row>
    <row r="1736" spans="1:10">
      <c r="A1736" s="88" t="s">
        <v>100</v>
      </c>
      <c r="B1736" s="88" t="s">
        <v>13</v>
      </c>
      <c r="C1736" s="89">
        <v>0.49583333333333302</v>
      </c>
      <c r="D1736" s="90">
        <v>0</v>
      </c>
      <c r="E1736" s="90">
        <v>0</v>
      </c>
      <c r="F1736" s="90">
        <v>0</v>
      </c>
      <c r="G1736" s="90">
        <v>0</v>
      </c>
      <c r="H1736" s="90">
        <v>0</v>
      </c>
      <c r="I1736" s="90">
        <v>0</v>
      </c>
      <c r="J1736" s="90">
        <v>0</v>
      </c>
    </row>
    <row r="1737" spans="1:10">
      <c r="A1737" s="88" t="s">
        <v>100</v>
      </c>
      <c r="B1737" s="88" t="s">
        <v>13</v>
      </c>
      <c r="C1737" s="89">
        <v>0.49652777777777801</v>
      </c>
      <c r="D1737" s="90">
        <v>0</v>
      </c>
      <c r="E1737" s="90">
        <v>0</v>
      </c>
      <c r="F1737" s="90">
        <v>0</v>
      </c>
      <c r="G1737" s="90">
        <v>0</v>
      </c>
      <c r="H1737" s="90">
        <v>0</v>
      </c>
      <c r="I1737" s="90">
        <v>0</v>
      </c>
      <c r="J1737" s="90">
        <v>0</v>
      </c>
    </row>
    <row r="1738" spans="1:10">
      <c r="A1738" s="88" t="s">
        <v>100</v>
      </c>
      <c r="B1738" s="88" t="s">
        <v>13</v>
      </c>
      <c r="C1738" s="89">
        <v>0.49722222222222201</v>
      </c>
      <c r="D1738" s="90">
        <v>0</v>
      </c>
      <c r="E1738" s="90">
        <v>0</v>
      </c>
      <c r="F1738" s="90">
        <v>0</v>
      </c>
      <c r="G1738" s="90">
        <v>0</v>
      </c>
      <c r="H1738" s="90">
        <v>0</v>
      </c>
      <c r="I1738" s="90">
        <v>0</v>
      </c>
      <c r="J1738" s="90">
        <v>0</v>
      </c>
    </row>
    <row r="1739" spans="1:10">
      <c r="A1739" s="88" t="s">
        <v>100</v>
      </c>
      <c r="B1739" s="88" t="s">
        <v>13</v>
      </c>
      <c r="C1739" s="89">
        <v>0.49791666666666701</v>
      </c>
      <c r="D1739" s="90">
        <v>0</v>
      </c>
      <c r="E1739" s="90">
        <v>0</v>
      </c>
      <c r="F1739" s="90">
        <v>0</v>
      </c>
      <c r="G1739" s="90">
        <v>0</v>
      </c>
      <c r="H1739" s="90">
        <v>0</v>
      </c>
      <c r="I1739" s="90">
        <v>0</v>
      </c>
      <c r="J1739" s="90">
        <v>0</v>
      </c>
    </row>
    <row r="1740" spans="1:10">
      <c r="A1740" s="88" t="s">
        <v>100</v>
      </c>
      <c r="B1740" s="88" t="s">
        <v>13</v>
      </c>
      <c r="C1740" s="89">
        <v>0.49861111111111101</v>
      </c>
      <c r="D1740" s="90">
        <v>0</v>
      </c>
      <c r="E1740" s="90">
        <v>0</v>
      </c>
      <c r="F1740" s="90">
        <v>0</v>
      </c>
      <c r="G1740" s="90">
        <v>0</v>
      </c>
      <c r="H1740" s="90">
        <v>0</v>
      </c>
      <c r="I1740" s="90">
        <v>0</v>
      </c>
      <c r="J1740" s="90">
        <v>0</v>
      </c>
    </row>
    <row r="1741" spans="1:10" s="80" customFormat="1">
      <c r="A1741" s="91" t="s">
        <v>100</v>
      </c>
      <c r="B1741" s="91" t="s">
        <v>13</v>
      </c>
      <c r="C1741" s="92">
        <v>0.499305555555555</v>
      </c>
      <c r="D1741" s="93">
        <v>0</v>
      </c>
      <c r="E1741" s="93">
        <v>0</v>
      </c>
      <c r="F1741" s="93">
        <v>0</v>
      </c>
      <c r="G1741" s="93">
        <v>0</v>
      </c>
      <c r="H1741" s="93">
        <v>0</v>
      </c>
      <c r="I1741" s="93">
        <v>0</v>
      </c>
      <c r="J1741" s="93">
        <v>0</v>
      </c>
    </row>
    <row r="1742" spans="1:10">
      <c r="A1742" s="88" t="s">
        <v>100</v>
      </c>
      <c r="B1742" s="88" t="s">
        <v>13</v>
      </c>
      <c r="C1742" s="89">
        <v>0.5</v>
      </c>
      <c r="D1742" s="90">
        <v>0</v>
      </c>
      <c r="E1742" s="90">
        <v>0</v>
      </c>
      <c r="F1742" s="90">
        <v>0</v>
      </c>
      <c r="G1742" s="90">
        <v>0</v>
      </c>
      <c r="H1742" s="90">
        <v>0</v>
      </c>
      <c r="I1742" s="90">
        <v>0</v>
      </c>
      <c r="J1742" s="90">
        <v>0</v>
      </c>
    </row>
    <row r="1743" spans="1:10">
      <c r="A1743" s="88" t="s">
        <v>100</v>
      </c>
      <c r="B1743" s="88" t="s">
        <v>13</v>
      </c>
      <c r="C1743" s="89">
        <v>0.500694444444444</v>
      </c>
      <c r="D1743" s="90">
        <v>0</v>
      </c>
      <c r="E1743" s="90">
        <v>0</v>
      </c>
      <c r="F1743" s="90">
        <v>0</v>
      </c>
      <c r="G1743" s="90">
        <v>0</v>
      </c>
      <c r="H1743" s="90">
        <v>0</v>
      </c>
      <c r="I1743" s="90">
        <v>0</v>
      </c>
      <c r="J1743" s="90">
        <v>0</v>
      </c>
    </row>
    <row r="1744" spans="1:10">
      <c r="A1744" s="88" t="s">
        <v>100</v>
      </c>
      <c r="B1744" s="88" t="s">
        <v>13</v>
      </c>
      <c r="C1744" s="89">
        <v>0.50138888888888899</v>
      </c>
      <c r="D1744" s="90">
        <v>0</v>
      </c>
      <c r="E1744" s="90">
        <v>0</v>
      </c>
      <c r="F1744" s="90">
        <v>0</v>
      </c>
      <c r="G1744" s="90">
        <v>0</v>
      </c>
      <c r="H1744" s="90">
        <v>0</v>
      </c>
      <c r="I1744" s="90">
        <v>0</v>
      </c>
      <c r="J1744" s="90">
        <v>0</v>
      </c>
    </row>
    <row r="1745" spans="1:10">
      <c r="A1745" s="88" t="s">
        <v>100</v>
      </c>
      <c r="B1745" s="88" t="s">
        <v>13</v>
      </c>
      <c r="C1745" s="89">
        <v>0.50208333333333299</v>
      </c>
      <c r="D1745" s="90">
        <v>0</v>
      </c>
      <c r="E1745" s="90">
        <v>0</v>
      </c>
      <c r="F1745" s="90">
        <v>0</v>
      </c>
      <c r="G1745" s="90">
        <v>0</v>
      </c>
      <c r="H1745" s="90">
        <v>0</v>
      </c>
      <c r="I1745" s="90">
        <v>0</v>
      </c>
      <c r="J1745" s="90">
        <v>0</v>
      </c>
    </row>
    <row r="1746" spans="1:10">
      <c r="A1746" s="88" t="s">
        <v>100</v>
      </c>
      <c r="B1746" s="88" t="s">
        <v>13</v>
      </c>
      <c r="C1746" s="89">
        <v>0.50277777777777799</v>
      </c>
      <c r="D1746" s="90">
        <v>0</v>
      </c>
      <c r="E1746" s="90">
        <v>0</v>
      </c>
      <c r="F1746" s="90">
        <v>0</v>
      </c>
      <c r="G1746" s="90">
        <v>0</v>
      </c>
      <c r="H1746" s="90">
        <v>0</v>
      </c>
      <c r="I1746" s="90">
        <v>0</v>
      </c>
      <c r="J1746" s="90">
        <v>0</v>
      </c>
    </row>
    <row r="1747" spans="1:10">
      <c r="A1747" s="88" t="s">
        <v>100</v>
      </c>
      <c r="B1747" s="88" t="s">
        <v>13</v>
      </c>
      <c r="C1747" s="89">
        <v>0.50347222222222199</v>
      </c>
      <c r="D1747" s="90">
        <v>0</v>
      </c>
      <c r="E1747" s="90">
        <v>0</v>
      </c>
      <c r="F1747" s="90">
        <v>0</v>
      </c>
      <c r="G1747" s="90">
        <v>0</v>
      </c>
      <c r="H1747" s="90">
        <v>0</v>
      </c>
      <c r="I1747" s="90">
        <v>0</v>
      </c>
      <c r="J1747" s="90">
        <v>0</v>
      </c>
    </row>
    <row r="1748" spans="1:10">
      <c r="A1748" s="88" t="s">
        <v>100</v>
      </c>
      <c r="B1748" s="88" t="s">
        <v>13</v>
      </c>
      <c r="C1748" s="89">
        <v>0.50416666666666698</v>
      </c>
      <c r="D1748" s="90">
        <v>0</v>
      </c>
      <c r="E1748" s="90">
        <v>0</v>
      </c>
      <c r="F1748" s="90">
        <v>0</v>
      </c>
      <c r="G1748" s="90">
        <v>0</v>
      </c>
      <c r="H1748" s="90">
        <v>0</v>
      </c>
      <c r="I1748" s="90">
        <v>0</v>
      </c>
      <c r="J1748" s="90">
        <v>0</v>
      </c>
    </row>
    <row r="1749" spans="1:10">
      <c r="A1749" s="88" t="s">
        <v>100</v>
      </c>
      <c r="B1749" s="88" t="s">
        <v>13</v>
      </c>
      <c r="C1749" s="89">
        <v>0.50486111111111098</v>
      </c>
      <c r="D1749" s="90">
        <v>0</v>
      </c>
      <c r="E1749" s="90">
        <v>0</v>
      </c>
      <c r="F1749" s="90">
        <v>0</v>
      </c>
      <c r="G1749" s="90">
        <v>0</v>
      </c>
      <c r="H1749" s="90">
        <v>0</v>
      </c>
      <c r="I1749" s="90">
        <v>0</v>
      </c>
      <c r="J1749" s="90">
        <v>0</v>
      </c>
    </row>
    <row r="1750" spans="1:10">
      <c r="A1750" s="88" t="s">
        <v>100</v>
      </c>
      <c r="B1750" s="88" t="s">
        <v>13</v>
      </c>
      <c r="C1750" s="89">
        <v>0.50555555555555498</v>
      </c>
      <c r="D1750" s="90">
        <v>0</v>
      </c>
      <c r="E1750" s="90">
        <v>0</v>
      </c>
      <c r="F1750" s="90">
        <v>0</v>
      </c>
      <c r="G1750" s="90">
        <v>0</v>
      </c>
      <c r="H1750" s="90">
        <v>0</v>
      </c>
      <c r="I1750" s="90">
        <v>0</v>
      </c>
      <c r="J1750" s="90">
        <v>0</v>
      </c>
    </row>
    <row r="1751" spans="1:10">
      <c r="A1751" s="88" t="s">
        <v>100</v>
      </c>
      <c r="B1751" s="88" t="s">
        <v>13</v>
      </c>
      <c r="C1751" s="89">
        <v>0.50624999999999998</v>
      </c>
      <c r="D1751" s="90">
        <v>0</v>
      </c>
      <c r="E1751" s="90">
        <v>0</v>
      </c>
      <c r="F1751" s="90">
        <v>0</v>
      </c>
      <c r="G1751" s="90">
        <v>0</v>
      </c>
      <c r="H1751" s="90">
        <v>0</v>
      </c>
      <c r="I1751" s="90">
        <v>0</v>
      </c>
      <c r="J1751" s="90">
        <v>0</v>
      </c>
    </row>
    <row r="1752" spans="1:10">
      <c r="A1752" s="88" t="s">
        <v>100</v>
      </c>
      <c r="B1752" s="88" t="s">
        <v>13</v>
      </c>
      <c r="C1752" s="89">
        <v>0.50694444444444398</v>
      </c>
      <c r="D1752" s="90">
        <v>0</v>
      </c>
      <c r="E1752" s="90">
        <v>0</v>
      </c>
      <c r="F1752" s="90">
        <v>0</v>
      </c>
      <c r="G1752" s="90">
        <v>0</v>
      </c>
      <c r="H1752" s="90">
        <v>0</v>
      </c>
      <c r="I1752" s="90">
        <v>0</v>
      </c>
      <c r="J1752" s="90">
        <v>0</v>
      </c>
    </row>
    <row r="1753" spans="1:10">
      <c r="A1753" s="88" t="s">
        <v>100</v>
      </c>
      <c r="B1753" s="88" t="s">
        <v>13</v>
      </c>
      <c r="C1753" s="89">
        <v>0.50763888888888897</v>
      </c>
      <c r="D1753" s="90">
        <v>0</v>
      </c>
      <c r="E1753" s="90">
        <v>0</v>
      </c>
      <c r="F1753" s="90">
        <v>0</v>
      </c>
      <c r="G1753" s="90">
        <v>0</v>
      </c>
      <c r="H1753" s="90">
        <v>0</v>
      </c>
      <c r="I1753" s="90">
        <v>0</v>
      </c>
      <c r="J1753" s="90">
        <v>0</v>
      </c>
    </row>
    <row r="1754" spans="1:10">
      <c r="A1754" s="88" t="s">
        <v>100</v>
      </c>
      <c r="B1754" s="88" t="s">
        <v>13</v>
      </c>
      <c r="C1754" s="89">
        <v>0.50833333333333297</v>
      </c>
      <c r="D1754" s="90">
        <v>0</v>
      </c>
      <c r="E1754" s="90">
        <v>0</v>
      </c>
      <c r="F1754" s="90">
        <v>0</v>
      </c>
      <c r="G1754" s="90">
        <v>0</v>
      </c>
      <c r="H1754" s="90">
        <v>0</v>
      </c>
      <c r="I1754" s="90">
        <v>0</v>
      </c>
      <c r="J1754" s="90">
        <v>0</v>
      </c>
    </row>
    <row r="1755" spans="1:10">
      <c r="A1755" s="88" t="s">
        <v>100</v>
      </c>
      <c r="B1755" s="88" t="s">
        <v>13</v>
      </c>
      <c r="C1755" s="89">
        <v>0.50902777777777797</v>
      </c>
      <c r="D1755" s="90">
        <v>0</v>
      </c>
      <c r="E1755" s="90">
        <v>0</v>
      </c>
      <c r="F1755" s="90">
        <v>0</v>
      </c>
      <c r="G1755" s="90">
        <v>0</v>
      </c>
      <c r="H1755" s="90">
        <v>0</v>
      </c>
      <c r="I1755" s="90">
        <v>0</v>
      </c>
      <c r="J1755" s="90">
        <v>0</v>
      </c>
    </row>
    <row r="1756" spans="1:10" s="80" customFormat="1">
      <c r="A1756" s="91" t="s">
        <v>100</v>
      </c>
      <c r="B1756" s="91" t="s">
        <v>13</v>
      </c>
      <c r="C1756" s="92">
        <v>0.50972222222222197</v>
      </c>
      <c r="D1756" s="93">
        <v>0</v>
      </c>
      <c r="E1756" s="93">
        <v>0</v>
      </c>
      <c r="F1756" s="93">
        <v>0</v>
      </c>
      <c r="G1756" s="93">
        <v>0</v>
      </c>
      <c r="H1756" s="93">
        <v>0</v>
      </c>
      <c r="I1756" s="93">
        <v>0</v>
      </c>
      <c r="J1756" s="93">
        <v>0</v>
      </c>
    </row>
    <row r="1757" spans="1:10">
      <c r="A1757" s="88" t="s">
        <v>100</v>
      </c>
      <c r="B1757" s="88" t="s">
        <v>13</v>
      </c>
      <c r="C1757" s="89">
        <v>0.51041666666666596</v>
      </c>
      <c r="D1757" s="94">
        <v>0</v>
      </c>
      <c r="E1757" s="94">
        <v>0</v>
      </c>
      <c r="F1757" s="94">
        <v>0</v>
      </c>
      <c r="G1757" s="94">
        <v>0</v>
      </c>
      <c r="H1757" s="94">
        <v>0</v>
      </c>
      <c r="I1757" s="94">
        <v>0</v>
      </c>
      <c r="J1757" s="94">
        <v>0</v>
      </c>
    </row>
    <row r="1758" spans="1:10">
      <c r="A1758" s="88" t="s">
        <v>100</v>
      </c>
      <c r="B1758" s="88" t="s">
        <v>13</v>
      </c>
      <c r="C1758" s="89">
        <v>0.51111111111111096</v>
      </c>
      <c r="D1758" s="90">
        <v>0</v>
      </c>
      <c r="E1758" s="90">
        <v>0</v>
      </c>
      <c r="F1758" s="90">
        <v>0</v>
      </c>
      <c r="G1758" s="90">
        <v>0</v>
      </c>
      <c r="H1758" s="90">
        <v>0</v>
      </c>
      <c r="I1758" s="90">
        <v>0</v>
      </c>
      <c r="J1758" s="90">
        <v>0</v>
      </c>
    </row>
    <row r="1759" spans="1:10">
      <c r="A1759" s="88" t="s">
        <v>100</v>
      </c>
      <c r="B1759" s="88" t="s">
        <v>13</v>
      </c>
      <c r="C1759" s="89">
        <v>0.51180555555555496</v>
      </c>
      <c r="D1759" s="90">
        <v>0</v>
      </c>
      <c r="E1759" s="90">
        <v>0</v>
      </c>
      <c r="F1759" s="90">
        <v>0</v>
      </c>
      <c r="G1759" s="90">
        <v>0</v>
      </c>
      <c r="H1759" s="90">
        <v>0</v>
      </c>
      <c r="I1759" s="90">
        <v>0</v>
      </c>
      <c r="J1759" s="90">
        <v>0</v>
      </c>
    </row>
    <row r="1760" spans="1:10">
      <c r="A1760" s="88" t="s">
        <v>100</v>
      </c>
      <c r="B1760" s="88" t="s">
        <v>13</v>
      </c>
      <c r="C1760" s="89">
        <v>0.51249999999999996</v>
      </c>
      <c r="D1760" s="90">
        <v>0</v>
      </c>
      <c r="E1760" s="90">
        <v>0</v>
      </c>
      <c r="F1760" s="90">
        <v>0</v>
      </c>
      <c r="G1760" s="90">
        <v>0</v>
      </c>
      <c r="H1760" s="90">
        <v>0</v>
      </c>
      <c r="I1760" s="90">
        <v>0</v>
      </c>
      <c r="J1760" s="90">
        <v>0</v>
      </c>
    </row>
    <row r="1761" spans="1:10">
      <c r="A1761" s="88" t="s">
        <v>100</v>
      </c>
      <c r="B1761" s="88" t="s">
        <v>13</v>
      </c>
      <c r="C1761" s="89">
        <v>0.51319444444444395</v>
      </c>
      <c r="D1761" s="90">
        <v>0</v>
      </c>
      <c r="E1761" s="90">
        <v>0</v>
      </c>
      <c r="F1761" s="90">
        <v>0</v>
      </c>
      <c r="G1761" s="90">
        <v>0</v>
      </c>
      <c r="H1761" s="90">
        <v>0</v>
      </c>
      <c r="I1761" s="90">
        <v>0</v>
      </c>
      <c r="J1761" s="90">
        <v>0</v>
      </c>
    </row>
    <row r="1762" spans="1:10">
      <c r="A1762" s="88" t="s">
        <v>100</v>
      </c>
      <c r="B1762" s="88" t="s">
        <v>13</v>
      </c>
      <c r="C1762" s="89">
        <v>0.51388888888888895</v>
      </c>
      <c r="D1762" s="90">
        <v>0</v>
      </c>
      <c r="E1762" s="90">
        <v>0</v>
      </c>
      <c r="F1762" s="90">
        <v>0</v>
      </c>
      <c r="G1762" s="90">
        <v>0</v>
      </c>
      <c r="H1762" s="90">
        <v>0</v>
      </c>
      <c r="I1762" s="90">
        <v>0</v>
      </c>
      <c r="J1762" s="90">
        <v>0</v>
      </c>
    </row>
    <row r="1763" spans="1:10">
      <c r="A1763" s="88" t="s">
        <v>100</v>
      </c>
      <c r="B1763" s="88" t="s">
        <v>13</v>
      </c>
      <c r="C1763" s="89">
        <v>0.51458333333333295</v>
      </c>
      <c r="D1763" s="90">
        <v>0</v>
      </c>
      <c r="E1763" s="90">
        <v>0</v>
      </c>
      <c r="F1763" s="90">
        <v>0</v>
      </c>
      <c r="G1763" s="90">
        <v>0</v>
      </c>
      <c r="H1763" s="90">
        <v>0</v>
      </c>
      <c r="I1763" s="90">
        <v>0</v>
      </c>
      <c r="J1763" s="90">
        <v>0</v>
      </c>
    </row>
    <row r="1764" spans="1:10">
      <c r="A1764" s="88" t="s">
        <v>100</v>
      </c>
      <c r="B1764" s="88" t="s">
        <v>13</v>
      </c>
      <c r="C1764" s="89">
        <v>0.51527777777777795</v>
      </c>
      <c r="D1764" s="90">
        <v>0</v>
      </c>
      <c r="E1764" s="90">
        <v>0</v>
      </c>
      <c r="F1764" s="90">
        <v>0</v>
      </c>
      <c r="G1764" s="90">
        <v>0</v>
      </c>
      <c r="H1764" s="90">
        <v>0</v>
      </c>
      <c r="I1764" s="90">
        <v>0</v>
      </c>
      <c r="J1764" s="90">
        <v>0</v>
      </c>
    </row>
    <row r="1765" spans="1:10">
      <c r="A1765" s="88" t="s">
        <v>100</v>
      </c>
      <c r="B1765" s="88" t="s">
        <v>13</v>
      </c>
      <c r="C1765" s="89">
        <v>0.51597222222222205</v>
      </c>
      <c r="D1765" s="90">
        <v>0</v>
      </c>
      <c r="E1765" s="90">
        <v>0</v>
      </c>
      <c r="F1765" s="90">
        <v>0</v>
      </c>
      <c r="G1765" s="90">
        <v>0</v>
      </c>
      <c r="H1765" s="90">
        <v>0</v>
      </c>
      <c r="I1765" s="90">
        <v>0</v>
      </c>
      <c r="J1765" s="90">
        <v>0</v>
      </c>
    </row>
    <row r="1766" spans="1:10">
      <c r="A1766" s="88" t="s">
        <v>100</v>
      </c>
      <c r="B1766" s="88" t="s">
        <v>13</v>
      </c>
      <c r="C1766" s="89">
        <v>0.51666666666666605</v>
      </c>
      <c r="D1766" s="90">
        <v>0</v>
      </c>
      <c r="E1766" s="90">
        <v>0</v>
      </c>
      <c r="F1766" s="90">
        <v>0</v>
      </c>
      <c r="G1766" s="90">
        <v>0</v>
      </c>
      <c r="H1766" s="90">
        <v>0</v>
      </c>
      <c r="I1766" s="90">
        <v>0</v>
      </c>
      <c r="J1766" s="90">
        <v>0</v>
      </c>
    </row>
    <row r="1767" spans="1:10">
      <c r="A1767" s="88" t="s">
        <v>100</v>
      </c>
      <c r="B1767" s="88" t="s">
        <v>13</v>
      </c>
      <c r="C1767" s="89">
        <v>0.51736111111111105</v>
      </c>
      <c r="D1767" s="90">
        <v>0</v>
      </c>
      <c r="E1767" s="90">
        <v>0</v>
      </c>
      <c r="F1767" s="90">
        <v>0</v>
      </c>
      <c r="G1767" s="90">
        <v>0</v>
      </c>
      <c r="H1767" s="90">
        <v>0</v>
      </c>
      <c r="I1767" s="90">
        <v>0</v>
      </c>
      <c r="J1767" s="90">
        <v>0</v>
      </c>
    </row>
    <row r="1768" spans="1:10">
      <c r="A1768" s="88" t="s">
        <v>100</v>
      </c>
      <c r="B1768" s="88" t="s">
        <v>13</v>
      </c>
      <c r="C1768" s="89">
        <v>0.51805555555555505</v>
      </c>
      <c r="D1768" s="90">
        <v>0</v>
      </c>
      <c r="E1768" s="90">
        <v>0</v>
      </c>
      <c r="F1768" s="90">
        <v>0</v>
      </c>
      <c r="G1768" s="90">
        <v>0</v>
      </c>
      <c r="H1768" s="90">
        <v>0</v>
      </c>
      <c r="I1768" s="90">
        <v>0</v>
      </c>
      <c r="J1768" s="90">
        <v>0</v>
      </c>
    </row>
    <row r="1769" spans="1:10">
      <c r="A1769" s="88" t="s">
        <v>100</v>
      </c>
      <c r="B1769" s="88" t="s">
        <v>13</v>
      </c>
      <c r="C1769" s="89">
        <v>0.51875000000000004</v>
      </c>
      <c r="D1769" s="90">
        <v>0</v>
      </c>
      <c r="E1769" s="90">
        <v>0</v>
      </c>
      <c r="F1769" s="90">
        <v>0</v>
      </c>
      <c r="G1769" s="90">
        <v>0</v>
      </c>
      <c r="H1769" s="90">
        <v>0</v>
      </c>
      <c r="I1769" s="90">
        <v>0</v>
      </c>
      <c r="J1769" s="90">
        <v>0</v>
      </c>
    </row>
    <row r="1770" spans="1:10">
      <c r="A1770" s="88" t="s">
        <v>100</v>
      </c>
      <c r="B1770" s="88" t="s">
        <v>13</v>
      </c>
      <c r="C1770" s="89">
        <v>0.51944444444444404</v>
      </c>
      <c r="D1770" s="90">
        <v>0</v>
      </c>
      <c r="E1770" s="90">
        <v>0</v>
      </c>
      <c r="F1770" s="90">
        <v>0</v>
      </c>
      <c r="G1770" s="90">
        <v>0</v>
      </c>
      <c r="H1770" s="90">
        <v>0</v>
      </c>
      <c r="I1770" s="90">
        <v>0</v>
      </c>
      <c r="J1770" s="90">
        <v>0</v>
      </c>
    </row>
    <row r="1771" spans="1:10" s="80" customFormat="1">
      <c r="A1771" s="91" t="s">
        <v>100</v>
      </c>
      <c r="B1771" s="91" t="s">
        <v>13</v>
      </c>
      <c r="C1771" s="92">
        <v>0.52013888888888904</v>
      </c>
      <c r="D1771" s="93">
        <v>0</v>
      </c>
      <c r="E1771" s="93">
        <v>0</v>
      </c>
      <c r="F1771" s="93">
        <v>0</v>
      </c>
      <c r="G1771" s="93">
        <v>0</v>
      </c>
      <c r="H1771" s="93">
        <v>0</v>
      </c>
      <c r="I1771" s="93">
        <v>0</v>
      </c>
      <c r="J1771" s="93">
        <v>0</v>
      </c>
    </row>
    <row r="1772" spans="1:10">
      <c r="A1772" s="88" t="s">
        <v>100</v>
      </c>
      <c r="B1772" s="88" t="s">
        <v>13</v>
      </c>
      <c r="C1772" s="89">
        <v>0.52083333333333304</v>
      </c>
      <c r="D1772" s="94">
        <v>0</v>
      </c>
      <c r="E1772" s="94">
        <v>0</v>
      </c>
      <c r="F1772" s="94">
        <v>0</v>
      </c>
      <c r="G1772" s="94">
        <v>0</v>
      </c>
      <c r="H1772" s="94">
        <v>0</v>
      </c>
      <c r="I1772" s="94">
        <v>0</v>
      </c>
      <c r="J1772" s="94">
        <v>0</v>
      </c>
    </row>
    <row r="1773" spans="1:10">
      <c r="A1773" s="88" t="s">
        <v>100</v>
      </c>
      <c r="B1773" s="88" t="s">
        <v>13</v>
      </c>
      <c r="C1773" s="89">
        <v>0.52152777777777704</v>
      </c>
      <c r="D1773" s="90">
        <v>0</v>
      </c>
      <c r="E1773" s="90">
        <v>0</v>
      </c>
      <c r="F1773" s="90">
        <v>0</v>
      </c>
      <c r="G1773" s="90">
        <v>0</v>
      </c>
      <c r="H1773" s="90">
        <v>0</v>
      </c>
      <c r="I1773" s="90">
        <v>0</v>
      </c>
      <c r="J1773" s="90">
        <v>0</v>
      </c>
    </row>
    <row r="1774" spans="1:10">
      <c r="A1774" s="88" t="s">
        <v>100</v>
      </c>
      <c r="B1774" s="88" t="s">
        <v>13</v>
      </c>
      <c r="C1774" s="89">
        <v>0.52222222222222203</v>
      </c>
      <c r="D1774" s="90">
        <v>0</v>
      </c>
      <c r="E1774" s="90">
        <v>0</v>
      </c>
      <c r="F1774" s="90">
        <v>0</v>
      </c>
      <c r="G1774" s="90">
        <v>0</v>
      </c>
      <c r="H1774" s="90">
        <v>0</v>
      </c>
      <c r="I1774" s="90">
        <v>0</v>
      </c>
      <c r="J1774" s="90">
        <v>0</v>
      </c>
    </row>
    <row r="1775" spans="1:10">
      <c r="A1775" s="88" t="s">
        <v>100</v>
      </c>
      <c r="B1775" s="88" t="s">
        <v>13</v>
      </c>
      <c r="C1775" s="89">
        <v>0.52291666666666603</v>
      </c>
      <c r="D1775" s="90">
        <v>0</v>
      </c>
      <c r="E1775" s="90">
        <v>0</v>
      </c>
      <c r="F1775" s="90">
        <v>0</v>
      </c>
      <c r="G1775" s="90">
        <v>0</v>
      </c>
      <c r="H1775" s="90">
        <v>0</v>
      </c>
      <c r="I1775" s="90">
        <v>0</v>
      </c>
      <c r="J1775" s="90">
        <v>0</v>
      </c>
    </row>
    <row r="1776" spans="1:10">
      <c r="A1776" s="88" t="s">
        <v>100</v>
      </c>
      <c r="B1776" s="88" t="s">
        <v>13</v>
      </c>
      <c r="C1776" s="89">
        <v>0.52361111111111103</v>
      </c>
      <c r="D1776" s="90">
        <v>0</v>
      </c>
      <c r="E1776" s="90">
        <v>0</v>
      </c>
      <c r="F1776" s="90">
        <v>0</v>
      </c>
      <c r="G1776" s="90">
        <v>0</v>
      </c>
      <c r="H1776" s="90">
        <v>0</v>
      </c>
      <c r="I1776" s="90">
        <v>0</v>
      </c>
      <c r="J1776" s="90">
        <v>0</v>
      </c>
    </row>
    <row r="1777" spans="1:10">
      <c r="A1777" s="88" t="s">
        <v>100</v>
      </c>
      <c r="B1777" s="88" t="s">
        <v>13</v>
      </c>
      <c r="C1777" s="89">
        <v>0.52430555555555503</v>
      </c>
      <c r="D1777" s="90">
        <v>0</v>
      </c>
      <c r="E1777" s="90">
        <v>0</v>
      </c>
      <c r="F1777" s="90">
        <v>0</v>
      </c>
      <c r="G1777" s="90">
        <v>0</v>
      </c>
      <c r="H1777" s="90">
        <v>0</v>
      </c>
      <c r="I1777" s="90">
        <v>0</v>
      </c>
      <c r="J1777" s="90">
        <v>0</v>
      </c>
    </row>
    <row r="1778" spans="1:10">
      <c r="A1778" s="88" t="s">
        <v>100</v>
      </c>
      <c r="B1778" s="88" t="s">
        <v>13</v>
      </c>
      <c r="C1778" s="89">
        <v>0.52500000000000002</v>
      </c>
      <c r="D1778" s="90">
        <v>0</v>
      </c>
      <c r="E1778" s="90">
        <v>0</v>
      </c>
      <c r="F1778" s="90">
        <v>0</v>
      </c>
      <c r="G1778" s="90">
        <v>0</v>
      </c>
      <c r="H1778" s="90">
        <v>0</v>
      </c>
      <c r="I1778" s="90">
        <v>0</v>
      </c>
      <c r="J1778" s="90">
        <v>0</v>
      </c>
    </row>
    <row r="1779" spans="1:10">
      <c r="A1779" s="88" t="s">
        <v>100</v>
      </c>
      <c r="B1779" s="88" t="s">
        <v>13</v>
      </c>
      <c r="C1779" s="89">
        <v>0.52569444444444402</v>
      </c>
      <c r="D1779" s="90">
        <v>0</v>
      </c>
      <c r="E1779" s="90">
        <v>0</v>
      </c>
      <c r="F1779" s="90">
        <v>0</v>
      </c>
      <c r="G1779" s="90">
        <v>0</v>
      </c>
      <c r="H1779" s="90">
        <v>0</v>
      </c>
      <c r="I1779" s="90">
        <v>0</v>
      </c>
      <c r="J1779" s="90">
        <v>0</v>
      </c>
    </row>
    <row r="1780" spans="1:10">
      <c r="A1780" s="88" t="s">
        <v>100</v>
      </c>
      <c r="B1780" s="88" t="s">
        <v>13</v>
      </c>
      <c r="C1780" s="89">
        <v>0.52638888888888902</v>
      </c>
      <c r="D1780" s="90">
        <v>0</v>
      </c>
      <c r="E1780" s="90">
        <v>0</v>
      </c>
      <c r="F1780" s="90">
        <v>0</v>
      </c>
      <c r="G1780" s="90">
        <v>0</v>
      </c>
      <c r="H1780" s="90">
        <v>0</v>
      </c>
      <c r="I1780" s="90">
        <v>0</v>
      </c>
      <c r="J1780" s="90">
        <v>0</v>
      </c>
    </row>
    <row r="1781" spans="1:10">
      <c r="A1781" s="88" t="s">
        <v>100</v>
      </c>
      <c r="B1781" s="88" t="s">
        <v>13</v>
      </c>
      <c r="C1781" s="89">
        <v>0.52708333333333302</v>
      </c>
      <c r="D1781" s="90">
        <v>0</v>
      </c>
      <c r="E1781" s="90">
        <v>0</v>
      </c>
      <c r="F1781" s="90">
        <v>0</v>
      </c>
      <c r="G1781" s="90">
        <v>0</v>
      </c>
      <c r="H1781" s="90">
        <v>0</v>
      </c>
      <c r="I1781" s="90">
        <v>0</v>
      </c>
      <c r="J1781" s="90">
        <v>0</v>
      </c>
    </row>
    <row r="1782" spans="1:10">
      <c r="A1782" s="88" t="s">
        <v>100</v>
      </c>
      <c r="B1782" s="88" t="s">
        <v>13</v>
      </c>
      <c r="C1782" s="89">
        <v>0.52777777777777701</v>
      </c>
      <c r="D1782" s="90">
        <v>0</v>
      </c>
      <c r="E1782" s="90">
        <v>0</v>
      </c>
      <c r="F1782" s="90">
        <v>0</v>
      </c>
      <c r="G1782" s="90">
        <v>0</v>
      </c>
      <c r="H1782" s="90">
        <v>0</v>
      </c>
      <c r="I1782" s="90">
        <v>0</v>
      </c>
      <c r="J1782" s="90">
        <v>0</v>
      </c>
    </row>
    <row r="1783" spans="1:10">
      <c r="A1783" s="88" t="s">
        <v>100</v>
      </c>
      <c r="B1783" s="88" t="s">
        <v>13</v>
      </c>
      <c r="C1783" s="89">
        <v>0.52847222222222201</v>
      </c>
      <c r="D1783" s="90">
        <v>0</v>
      </c>
      <c r="E1783" s="90">
        <v>0</v>
      </c>
      <c r="F1783" s="90">
        <v>0</v>
      </c>
      <c r="G1783" s="90">
        <v>0</v>
      </c>
      <c r="H1783" s="90">
        <v>0</v>
      </c>
      <c r="I1783" s="90">
        <v>0</v>
      </c>
      <c r="J1783" s="90">
        <v>0</v>
      </c>
    </row>
    <row r="1784" spans="1:10">
      <c r="A1784" s="88" t="s">
        <v>100</v>
      </c>
      <c r="B1784" s="88" t="s">
        <v>13</v>
      </c>
      <c r="C1784" s="89">
        <v>0.52916666666666601</v>
      </c>
      <c r="D1784" s="90">
        <v>0</v>
      </c>
      <c r="E1784" s="90">
        <v>0</v>
      </c>
      <c r="F1784" s="90">
        <v>0</v>
      </c>
      <c r="G1784" s="90">
        <v>0</v>
      </c>
      <c r="H1784" s="90">
        <v>0</v>
      </c>
      <c r="I1784" s="90">
        <v>0</v>
      </c>
      <c r="J1784" s="90">
        <v>0</v>
      </c>
    </row>
    <row r="1785" spans="1:10">
      <c r="A1785" s="88" t="s">
        <v>100</v>
      </c>
      <c r="B1785" s="88" t="s">
        <v>13</v>
      </c>
      <c r="C1785" s="89">
        <v>0.52986111111111101</v>
      </c>
      <c r="D1785" s="90">
        <v>0</v>
      </c>
      <c r="E1785" s="90">
        <v>0</v>
      </c>
      <c r="F1785" s="90">
        <v>0</v>
      </c>
      <c r="G1785" s="90">
        <v>0</v>
      </c>
      <c r="H1785" s="90">
        <v>0</v>
      </c>
      <c r="I1785" s="90">
        <v>0</v>
      </c>
      <c r="J1785" s="90">
        <v>0</v>
      </c>
    </row>
    <row r="1786" spans="1:10" s="80" customFormat="1">
      <c r="A1786" s="91" t="s">
        <v>100</v>
      </c>
      <c r="B1786" s="91" t="s">
        <v>13</v>
      </c>
      <c r="C1786" s="92">
        <v>0.530555555555555</v>
      </c>
      <c r="D1786" s="93">
        <v>0</v>
      </c>
      <c r="E1786" s="93">
        <v>0</v>
      </c>
      <c r="F1786" s="93">
        <v>0</v>
      </c>
      <c r="G1786" s="93">
        <v>0</v>
      </c>
      <c r="H1786" s="93">
        <v>0</v>
      </c>
      <c r="I1786" s="93">
        <v>0</v>
      </c>
      <c r="J1786" s="93">
        <v>0</v>
      </c>
    </row>
    <row r="1787" spans="1:10">
      <c r="A1787" s="88" t="s">
        <v>100</v>
      </c>
      <c r="B1787" s="88" t="s">
        <v>13</v>
      </c>
      <c r="C1787" s="89">
        <v>0.53125</v>
      </c>
      <c r="D1787" s="94">
        <v>0</v>
      </c>
      <c r="E1787" s="94">
        <v>0</v>
      </c>
      <c r="F1787" s="94">
        <v>0</v>
      </c>
      <c r="G1787" s="94">
        <v>0</v>
      </c>
      <c r="H1787" s="94">
        <v>0</v>
      </c>
      <c r="I1787" s="94">
        <v>0</v>
      </c>
      <c r="J1787" s="94">
        <v>0</v>
      </c>
    </row>
    <row r="1788" spans="1:10">
      <c r="A1788" s="88" t="s">
        <v>100</v>
      </c>
      <c r="B1788" s="88" t="s">
        <v>13</v>
      </c>
      <c r="C1788" s="89">
        <v>0.531944444444444</v>
      </c>
      <c r="D1788" s="90">
        <v>0</v>
      </c>
      <c r="E1788" s="90">
        <v>0</v>
      </c>
      <c r="F1788" s="90">
        <v>0</v>
      </c>
      <c r="G1788" s="90">
        <v>0</v>
      </c>
      <c r="H1788" s="90">
        <v>0</v>
      </c>
      <c r="I1788" s="90">
        <v>0</v>
      </c>
      <c r="J1788" s="90">
        <v>0</v>
      </c>
    </row>
    <row r="1789" spans="1:10">
      <c r="A1789" s="88" t="s">
        <v>100</v>
      </c>
      <c r="B1789" s="88" t="s">
        <v>13</v>
      </c>
      <c r="C1789" s="89">
        <v>0.53263888888888899</v>
      </c>
      <c r="D1789" s="90">
        <v>0</v>
      </c>
      <c r="E1789" s="90">
        <v>0</v>
      </c>
      <c r="F1789" s="90">
        <v>0</v>
      </c>
      <c r="G1789" s="90">
        <v>0</v>
      </c>
      <c r="H1789" s="90">
        <v>0</v>
      </c>
      <c r="I1789" s="90">
        <v>0</v>
      </c>
      <c r="J1789" s="90">
        <v>0</v>
      </c>
    </row>
    <row r="1790" spans="1:10">
      <c r="A1790" s="88" t="s">
        <v>100</v>
      </c>
      <c r="B1790" s="88" t="s">
        <v>13</v>
      </c>
      <c r="C1790" s="89">
        <v>0.53333333333333299</v>
      </c>
      <c r="D1790" s="90">
        <v>0</v>
      </c>
      <c r="E1790" s="90">
        <v>0</v>
      </c>
      <c r="F1790" s="90">
        <v>0</v>
      </c>
      <c r="G1790" s="90">
        <v>0</v>
      </c>
      <c r="H1790" s="90">
        <v>0</v>
      </c>
      <c r="I1790" s="90">
        <v>0</v>
      </c>
      <c r="J1790" s="90">
        <v>0</v>
      </c>
    </row>
    <row r="1791" spans="1:10">
      <c r="A1791" s="88" t="s">
        <v>100</v>
      </c>
      <c r="B1791" s="88" t="s">
        <v>13</v>
      </c>
      <c r="C1791" s="89">
        <v>0.53402777777777799</v>
      </c>
      <c r="D1791" s="90">
        <v>0</v>
      </c>
      <c r="E1791" s="90">
        <v>0</v>
      </c>
      <c r="F1791" s="90">
        <v>0</v>
      </c>
      <c r="G1791" s="90">
        <v>0</v>
      </c>
      <c r="H1791" s="90">
        <v>0</v>
      </c>
      <c r="I1791" s="90">
        <v>0</v>
      </c>
      <c r="J1791" s="90">
        <v>0</v>
      </c>
    </row>
    <row r="1792" spans="1:10">
      <c r="A1792" s="88" t="s">
        <v>100</v>
      </c>
      <c r="B1792" s="88" t="s">
        <v>13</v>
      </c>
      <c r="C1792" s="89">
        <v>0.53472222222222199</v>
      </c>
      <c r="D1792" s="90">
        <v>0</v>
      </c>
      <c r="E1792" s="90">
        <v>0</v>
      </c>
      <c r="F1792" s="90">
        <v>0</v>
      </c>
      <c r="G1792" s="90">
        <v>0</v>
      </c>
      <c r="H1792" s="90">
        <v>0</v>
      </c>
      <c r="I1792" s="90">
        <v>0</v>
      </c>
      <c r="J1792" s="90">
        <v>0</v>
      </c>
    </row>
    <row r="1793" spans="1:10">
      <c r="A1793" s="88" t="s">
        <v>100</v>
      </c>
      <c r="B1793" s="88" t="s">
        <v>13</v>
      </c>
      <c r="C1793" s="89">
        <v>0.53541666666666599</v>
      </c>
      <c r="D1793" s="90">
        <v>0</v>
      </c>
      <c r="E1793" s="90">
        <v>0</v>
      </c>
      <c r="F1793" s="90">
        <v>0</v>
      </c>
      <c r="G1793" s="90">
        <v>0</v>
      </c>
      <c r="H1793" s="90">
        <v>0</v>
      </c>
      <c r="I1793" s="90">
        <v>0</v>
      </c>
      <c r="J1793" s="90">
        <v>0</v>
      </c>
    </row>
    <row r="1794" spans="1:10">
      <c r="A1794" s="88" t="s">
        <v>100</v>
      </c>
      <c r="B1794" s="88" t="s">
        <v>13</v>
      </c>
      <c r="C1794" s="89">
        <v>0.53611111111111098</v>
      </c>
      <c r="D1794" s="90">
        <v>0</v>
      </c>
      <c r="E1794" s="90">
        <v>0</v>
      </c>
      <c r="F1794" s="90">
        <v>0</v>
      </c>
      <c r="G1794" s="90">
        <v>0</v>
      </c>
      <c r="H1794" s="90">
        <v>0</v>
      </c>
      <c r="I1794" s="90">
        <v>0</v>
      </c>
      <c r="J1794" s="90">
        <v>0</v>
      </c>
    </row>
    <row r="1795" spans="1:10">
      <c r="A1795" s="88" t="s">
        <v>100</v>
      </c>
      <c r="B1795" s="88" t="s">
        <v>13</v>
      </c>
      <c r="C1795" s="89">
        <v>0.53680555555555498</v>
      </c>
      <c r="D1795" s="90">
        <v>0</v>
      </c>
      <c r="E1795" s="90">
        <v>0</v>
      </c>
      <c r="F1795" s="90">
        <v>0</v>
      </c>
      <c r="G1795" s="90">
        <v>0</v>
      </c>
      <c r="H1795" s="90">
        <v>0</v>
      </c>
      <c r="I1795" s="90">
        <v>0</v>
      </c>
      <c r="J1795" s="90">
        <v>0</v>
      </c>
    </row>
    <row r="1796" spans="1:10">
      <c r="A1796" s="88" t="s">
        <v>100</v>
      </c>
      <c r="B1796" s="88" t="s">
        <v>13</v>
      </c>
      <c r="C1796" s="89">
        <v>0.53749999999999998</v>
      </c>
      <c r="D1796" s="90">
        <v>0</v>
      </c>
      <c r="E1796" s="90">
        <v>0</v>
      </c>
      <c r="F1796" s="90">
        <v>0</v>
      </c>
      <c r="G1796" s="90">
        <v>0</v>
      </c>
      <c r="H1796" s="90">
        <v>0</v>
      </c>
      <c r="I1796" s="90">
        <v>0</v>
      </c>
      <c r="J1796" s="90">
        <v>0</v>
      </c>
    </row>
    <row r="1797" spans="1:10">
      <c r="A1797" s="88" t="s">
        <v>100</v>
      </c>
      <c r="B1797" s="88" t="s">
        <v>13</v>
      </c>
      <c r="C1797" s="89">
        <v>0.53819444444444398</v>
      </c>
      <c r="D1797" s="90">
        <v>0</v>
      </c>
      <c r="E1797" s="90">
        <v>0</v>
      </c>
      <c r="F1797" s="90">
        <v>0</v>
      </c>
      <c r="G1797" s="90">
        <v>0</v>
      </c>
      <c r="H1797" s="90">
        <v>0</v>
      </c>
      <c r="I1797" s="90">
        <v>0</v>
      </c>
      <c r="J1797" s="90">
        <v>0</v>
      </c>
    </row>
    <row r="1798" spans="1:10">
      <c r="A1798" s="88" t="s">
        <v>100</v>
      </c>
      <c r="B1798" s="88" t="s">
        <v>13</v>
      </c>
      <c r="C1798" s="89">
        <v>0.53888888888888897</v>
      </c>
      <c r="D1798" s="90">
        <v>0</v>
      </c>
      <c r="E1798" s="90">
        <v>0</v>
      </c>
      <c r="F1798" s="90">
        <v>0</v>
      </c>
      <c r="G1798" s="90">
        <v>0</v>
      </c>
      <c r="H1798" s="90">
        <v>0</v>
      </c>
      <c r="I1798" s="90">
        <v>0</v>
      </c>
      <c r="J1798" s="90">
        <v>0</v>
      </c>
    </row>
    <row r="1799" spans="1:10">
      <c r="A1799" s="88" t="s">
        <v>100</v>
      </c>
      <c r="B1799" s="88" t="s">
        <v>13</v>
      </c>
      <c r="C1799" s="89">
        <v>0.53958333333333297</v>
      </c>
      <c r="D1799" s="90">
        <v>0</v>
      </c>
      <c r="E1799" s="90">
        <v>0</v>
      </c>
      <c r="F1799" s="90">
        <v>0</v>
      </c>
      <c r="G1799" s="90">
        <v>0</v>
      </c>
      <c r="H1799" s="90">
        <v>0</v>
      </c>
      <c r="I1799" s="90">
        <v>0</v>
      </c>
      <c r="J1799" s="90">
        <v>0</v>
      </c>
    </row>
    <row r="1800" spans="1:10">
      <c r="A1800" s="88" t="s">
        <v>100</v>
      </c>
      <c r="B1800" s="88" t="s">
        <v>13</v>
      </c>
      <c r="C1800" s="89">
        <v>0.54027777777777797</v>
      </c>
      <c r="D1800" s="90">
        <v>0</v>
      </c>
      <c r="E1800" s="90">
        <v>0</v>
      </c>
      <c r="F1800" s="90">
        <v>0</v>
      </c>
      <c r="G1800" s="90">
        <v>0</v>
      </c>
      <c r="H1800" s="90">
        <v>0</v>
      </c>
      <c r="I1800" s="90">
        <v>0</v>
      </c>
      <c r="J1800" s="90">
        <v>0</v>
      </c>
    </row>
    <row r="1801" spans="1:10" s="28" customFormat="1" ht="17.5" thickBot="1">
      <c r="A1801" s="103" t="s">
        <v>100</v>
      </c>
      <c r="B1801" s="103" t="s">
        <v>13</v>
      </c>
      <c r="C1801" s="104">
        <v>0.54097222222222197</v>
      </c>
      <c r="D1801" s="105">
        <v>0</v>
      </c>
      <c r="E1801" s="105">
        <v>0</v>
      </c>
      <c r="F1801" s="105">
        <v>0</v>
      </c>
      <c r="G1801" s="105">
        <v>0</v>
      </c>
      <c r="H1801" s="105">
        <v>0</v>
      </c>
      <c r="I1801" s="105">
        <v>0</v>
      </c>
      <c r="J1801" s="105">
        <v>0</v>
      </c>
    </row>
    <row r="1802" spans="1:10">
      <c r="A1802" s="88" t="s">
        <v>100</v>
      </c>
      <c r="B1802" s="88" t="s">
        <v>14</v>
      </c>
      <c r="C1802" s="89">
        <v>0.45833333333333331</v>
      </c>
      <c r="D1802" s="106">
        <v>0</v>
      </c>
      <c r="E1802" s="106">
        <v>0</v>
      </c>
      <c r="F1802" s="106">
        <v>0</v>
      </c>
      <c r="G1802" s="106">
        <v>0</v>
      </c>
      <c r="H1802" s="106">
        <v>0</v>
      </c>
      <c r="I1802" s="106">
        <v>0</v>
      </c>
      <c r="J1802" s="106">
        <v>0</v>
      </c>
    </row>
    <row r="1803" spans="1:10">
      <c r="A1803" s="88" t="s">
        <v>100</v>
      </c>
      <c r="B1803" s="88" t="s">
        <v>14</v>
      </c>
      <c r="C1803" s="89">
        <v>0.45902777777777776</v>
      </c>
      <c r="D1803" s="90">
        <v>0</v>
      </c>
      <c r="E1803" s="90">
        <v>0</v>
      </c>
      <c r="F1803" s="90">
        <v>0</v>
      </c>
      <c r="G1803" s="90">
        <v>0</v>
      </c>
      <c r="H1803" s="90">
        <v>0</v>
      </c>
      <c r="I1803" s="90">
        <v>0</v>
      </c>
      <c r="J1803" s="90">
        <v>0</v>
      </c>
    </row>
    <row r="1804" spans="1:10">
      <c r="A1804" s="88" t="s">
        <v>100</v>
      </c>
      <c r="B1804" s="88" t="s">
        <v>14</v>
      </c>
      <c r="C1804" s="89">
        <v>0.45972222222222198</v>
      </c>
      <c r="D1804" s="90">
        <v>0</v>
      </c>
      <c r="E1804" s="90">
        <v>0</v>
      </c>
      <c r="F1804" s="90">
        <v>0</v>
      </c>
      <c r="G1804" s="90">
        <v>0</v>
      </c>
      <c r="H1804" s="90">
        <v>0</v>
      </c>
      <c r="I1804" s="90">
        <v>0</v>
      </c>
      <c r="J1804" s="90">
        <v>0</v>
      </c>
    </row>
    <row r="1805" spans="1:10">
      <c r="A1805" s="88" t="s">
        <v>100</v>
      </c>
      <c r="B1805" s="88" t="s">
        <v>14</v>
      </c>
      <c r="C1805" s="89">
        <v>0.46041666666666697</v>
      </c>
      <c r="D1805" s="90">
        <v>0</v>
      </c>
      <c r="E1805" s="90">
        <v>0</v>
      </c>
      <c r="F1805" s="90">
        <v>0</v>
      </c>
      <c r="G1805" s="90">
        <v>0</v>
      </c>
      <c r="H1805" s="90">
        <v>0</v>
      </c>
      <c r="I1805" s="90">
        <v>0</v>
      </c>
      <c r="J1805" s="90">
        <v>0</v>
      </c>
    </row>
    <row r="1806" spans="1:10">
      <c r="A1806" s="88" t="s">
        <v>100</v>
      </c>
      <c r="B1806" s="88" t="s">
        <v>14</v>
      </c>
      <c r="C1806" s="89">
        <v>0.46111111111111103</v>
      </c>
      <c r="D1806" s="90">
        <v>0</v>
      </c>
      <c r="E1806" s="90">
        <v>0</v>
      </c>
      <c r="F1806" s="90">
        <v>0</v>
      </c>
      <c r="G1806" s="90">
        <v>0</v>
      </c>
      <c r="H1806" s="90">
        <v>0</v>
      </c>
      <c r="I1806" s="90">
        <v>0</v>
      </c>
      <c r="J1806" s="90">
        <v>0</v>
      </c>
    </row>
    <row r="1807" spans="1:10">
      <c r="A1807" s="88" t="s">
        <v>100</v>
      </c>
      <c r="B1807" s="88" t="s">
        <v>14</v>
      </c>
      <c r="C1807" s="89">
        <v>0.46180555555555602</v>
      </c>
      <c r="D1807" s="90">
        <v>0</v>
      </c>
      <c r="E1807" s="90">
        <v>0</v>
      </c>
      <c r="F1807" s="90">
        <v>0</v>
      </c>
      <c r="G1807" s="90">
        <v>0</v>
      </c>
      <c r="H1807" s="90">
        <v>0</v>
      </c>
      <c r="I1807" s="90">
        <v>0</v>
      </c>
      <c r="J1807" s="90">
        <v>0</v>
      </c>
    </row>
    <row r="1808" spans="1:10">
      <c r="A1808" s="88" t="s">
        <v>100</v>
      </c>
      <c r="B1808" s="88" t="s">
        <v>14</v>
      </c>
      <c r="C1808" s="89">
        <v>0.46250000000000002</v>
      </c>
      <c r="D1808" s="90">
        <v>0</v>
      </c>
      <c r="E1808" s="90">
        <v>0</v>
      </c>
      <c r="F1808" s="90">
        <v>0</v>
      </c>
      <c r="G1808" s="90">
        <v>0</v>
      </c>
      <c r="H1808" s="90">
        <v>0</v>
      </c>
      <c r="I1808" s="90">
        <v>0</v>
      </c>
      <c r="J1808" s="90">
        <v>0</v>
      </c>
    </row>
    <row r="1809" spans="1:10">
      <c r="A1809" s="88" t="s">
        <v>100</v>
      </c>
      <c r="B1809" s="88" t="s">
        <v>14</v>
      </c>
      <c r="C1809" s="89">
        <v>0.46319444444444402</v>
      </c>
      <c r="D1809" s="90">
        <v>0</v>
      </c>
      <c r="E1809" s="90">
        <v>0</v>
      </c>
      <c r="F1809" s="90">
        <v>0</v>
      </c>
      <c r="G1809" s="90">
        <v>0</v>
      </c>
      <c r="H1809" s="90">
        <v>0</v>
      </c>
      <c r="I1809" s="90">
        <v>0</v>
      </c>
      <c r="J1809" s="90">
        <v>0</v>
      </c>
    </row>
    <row r="1810" spans="1:10">
      <c r="A1810" s="88" t="s">
        <v>100</v>
      </c>
      <c r="B1810" s="88" t="s">
        <v>14</v>
      </c>
      <c r="C1810" s="89">
        <v>0.46388888888888902</v>
      </c>
      <c r="D1810" s="90">
        <v>0</v>
      </c>
      <c r="E1810" s="90">
        <v>0</v>
      </c>
      <c r="F1810" s="90">
        <v>0</v>
      </c>
      <c r="G1810" s="90">
        <v>0</v>
      </c>
      <c r="H1810" s="90">
        <v>0</v>
      </c>
      <c r="I1810" s="90">
        <v>0</v>
      </c>
      <c r="J1810" s="90">
        <v>0</v>
      </c>
    </row>
    <row r="1811" spans="1:10">
      <c r="A1811" s="88" t="s">
        <v>100</v>
      </c>
      <c r="B1811" s="88" t="s">
        <v>14</v>
      </c>
      <c r="C1811" s="89">
        <v>0.46458333333333302</v>
      </c>
      <c r="D1811" s="90">
        <v>0</v>
      </c>
      <c r="E1811" s="90">
        <v>0</v>
      </c>
      <c r="F1811" s="90">
        <v>0</v>
      </c>
      <c r="G1811" s="90">
        <v>0</v>
      </c>
      <c r="H1811" s="90">
        <v>0</v>
      </c>
      <c r="I1811" s="90">
        <v>0</v>
      </c>
      <c r="J1811" s="90">
        <v>0</v>
      </c>
    </row>
    <row r="1812" spans="1:10">
      <c r="A1812" s="88" t="s">
        <v>100</v>
      </c>
      <c r="B1812" s="88" t="s">
        <v>14</v>
      </c>
      <c r="C1812" s="89">
        <v>0.46527777777777801</v>
      </c>
      <c r="D1812" s="90">
        <v>0</v>
      </c>
      <c r="E1812" s="90">
        <v>0</v>
      </c>
      <c r="F1812" s="90">
        <v>0</v>
      </c>
      <c r="G1812" s="90">
        <v>0</v>
      </c>
      <c r="H1812" s="90">
        <v>0</v>
      </c>
      <c r="I1812" s="90">
        <v>0</v>
      </c>
      <c r="J1812" s="90">
        <v>0</v>
      </c>
    </row>
    <row r="1813" spans="1:10">
      <c r="A1813" s="88" t="s">
        <v>100</v>
      </c>
      <c r="B1813" s="88" t="s">
        <v>14</v>
      </c>
      <c r="C1813" s="89">
        <v>0.46597222222222201</v>
      </c>
      <c r="D1813" s="90">
        <v>0</v>
      </c>
      <c r="E1813" s="90">
        <v>0</v>
      </c>
      <c r="F1813" s="90">
        <v>0</v>
      </c>
      <c r="G1813" s="90">
        <v>0</v>
      </c>
      <c r="H1813" s="90">
        <v>0</v>
      </c>
      <c r="I1813" s="90">
        <v>0</v>
      </c>
      <c r="J1813" s="90">
        <v>0</v>
      </c>
    </row>
    <row r="1814" spans="1:10">
      <c r="A1814" s="88" t="s">
        <v>100</v>
      </c>
      <c r="B1814" s="88" t="s">
        <v>14</v>
      </c>
      <c r="C1814" s="89">
        <v>0.46666666666666701</v>
      </c>
      <c r="D1814" s="90">
        <v>0</v>
      </c>
      <c r="E1814" s="90">
        <v>0</v>
      </c>
      <c r="F1814" s="90">
        <v>0</v>
      </c>
      <c r="G1814" s="90">
        <v>0</v>
      </c>
      <c r="H1814" s="90">
        <v>0</v>
      </c>
      <c r="I1814" s="90">
        <v>0</v>
      </c>
      <c r="J1814" s="90">
        <v>0</v>
      </c>
    </row>
    <row r="1815" spans="1:10">
      <c r="A1815" s="88" t="s">
        <v>100</v>
      </c>
      <c r="B1815" s="88" t="s">
        <v>14</v>
      </c>
      <c r="C1815" s="89">
        <v>0.46736111111111101</v>
      </c>
      <c r="D1815" s="90">
        <v>0</v>
      </c>
      <c r="E1815" s="90">
        <v>0</v>
      </c>
      <c r="F1815" s="90">
        <v>0</v>
      </c>
      <c r="G1815" s="90">
        <v>0</v>
      </c>
      <c r="H1815" s="90">
        <v>0</v>
      </c>
      <c r="I1815" s="90">
        <v>0</v>
      </c>
      <c r="J1815" s="90">
        <v>0</v>
      </c>
    </row>
    <row r="1816" spans="1:10" s="80" customFormat="1">
      <c r="A1816" s="91" t="s">
        <v>100</v>
      </c>
      <c r="B1816" s="91" t="s">
        <v>14</v>
      </c>
      <c r="C1816" s="92">
        <v>0.468055555555556</v>
      </c>
      <c r="D1816" s="93">
        <v>0</v>
      </c>
      <c r="E1816" s="93">
        <v>0</v>
      </c>
      <c r="F1816" s="93">
        <v>0</v>
      </c>
      <c r="G1816" s="93">
        <v>0</v>
      </c>
      <c r="H1816" s="93">
        <v>0</v>
      </c>
      <c r="I1816" s="93">
        <v>0</v>
      </c>
      <c r="J1816" s="93">
        <v>0</v>
      </c>
    </row>
    <row r="1817" spans="1:10">
      <c r="A1817" s="88" t="s">
        <v>100</v>
      </c>
      <c r="B1817" s="88" t="s">
        <v>14</v>
      </c>
      <c r="C1817" s="89">
        <v>0.46875</v>
      </c>
      <c r="D1817" s="94">
        <v>0</v>
      </c>
      <c r="E1817" s="94">
        <v>0</v>
      </c>
      <c r="F1817" s="94">
        <v>0</v>
      </c>
      <c r="G1817" s="94">
        <v>0</v>
      </c>
      <c r="H1817" s="94">
        <v>0</v>
      </c>
      <c r="I1817" s="94">
        <v>0</v>
      </c>
      <c r="J1817" s="94">
        <v>0</v>
      </c>
    </row>
    <row r="1818" spans="1:10">
      <c r="A1818" s="88" t="s">
        <v>100</v>
      </c>
      <c r="B1818" s="88" t="s">
        <v>14</v>
      </c>
      <c r="C1818" s="89">
        <v>0.469444444444444</v>
      </c>
      <c r="D1818" s="90">
        <v>0</v>
      </c>
      <c r="E1818" s="90">
        <v>0</v>
      </c>
      <c r="F1818" s="90">
        <v>0</v>
      </c>
      <c r="G1818" s="90">
        <v>0</v>
      </c>
      <c r="H1818" s="90">
        <v>0</v>
      </c>
      <c r="I1818" s="90">
        <v>0</v>
      </c>
      <c r="J1818" s="90">
        <v>0</v>
      </c>
    </row>
    <row r="1819" spans="1:10">
      <c r="A1819" s="88" t="s">
        <v>100</v>
      </c>
      <c r="B1819" s="88" t="s">
        <v>14</v>
      </c>
      <c r="C1819" s="89">
        <v>0.47013888888888899</v>
      </c>
      <c r="D1819" s="90">
        <v>0</v>
      </c>
      <c r="E1819" s="90">
        <v>0</v>
      </c>
      <c r="F1819" s="90">
        <v>0</v>
      </c>
      <c r="G1819" s="90">
        <v>0</v>
      </c>
      <c r="H1819" s="90">
        <v>0</v>
      </c>
      <c r="I1819" s="90">
        <v>0</v>
      </c>
      <c r="J1819" s="90">
        <v>0</v>
      </c>
    </row>
    <row r="1820" spans="1:10">
      <c r="A1820" s="88" t="s">
        <v>100</v>
      </c>
      <c r="B1820" s="88" t="s">
        <v>14</v>
      </c>
      <c r="C1820" s="89">
        <v>0.47083333333333299</v>
      </c>
      <c r="D1820" s="90">
        <v>0</v>
      </c>
      <c r="E1820" s="90">
        <v>0</v>
      </c>
      <c r="F1820" s="90">
        <v>0</v>
      </c>
      <c r="G1820" s="90">
        <v>0</v>
      </c>
      <c r="H1820" s="90">
        <v>0</v>
      </c>
      <c r="I1820" s="90">
        <v>0</v>
      </c>
      <c r="J1820" s="90">
        <v>0</v>
      </c>
    </row>
    <row r="1821" spans="1:10">
      <c r="A1821" s="88" t="s">
        <v>100</v>
      </c>
      <c r="B1821" s="88" t="s">
        <v>14</v>
      </c>
      <c r="C1821" s="89">
        <v>0.47152777777777799</v>
      </c>
      <c r="D1821" s="90">
        <v>0</v>
      </c>
      <c r="E1821" s="90">
        <v>0</v>
      </c>
      <c r="F1821" s="90">
        <v>0</v>
      </c>
      <c r="G1821" s="90">
        <v>0</v>
      </c>
      <c r="H1821" s="90">
        <v>0</v>
      </c>
      <c r="I1821" s="90">
        <v>0</v>
      </c>
      <c r="J1821" s="90">
        <v>0</v>
      </c>
    </row>
    <row r="1822" spans="1:10">
      <c r="A1822" s="88" t="s">
        <v>100</v>
      </c>
      <c r="B1822" s="88" t="s">
        <v>14</v>
      </c>
      <c r="C1822" s="89">
        <v>0.47222222222222199</v>
      </c>
      <c r="D1822" s="90">
        <v>0</v>
      </c>
      <c r="E1822" s="90">
        <v>0</v>
      </c>
      <c r="F1822" s="90">
        <v>0</v>
      </c>
      <c r="G1822" s="90">
        <v>0</v>
      </c>
      <c r="H1822" s="90">
        <v>0</v>
      </c>
      <c r="I1822" s="90">
        <v>0</v>
      </c>
      <c r="J1822" s="90">
        <v>0</v>
      </c>
    </row>
    <row r="1823" spans="1:10">
      <c r="A1823" s="88" t="s">
        <v>100</v>
      </c>
      <c r="B1823" s="88" t="s">
        <v>14</v>
      </c>
      <c r="C1823" s="89">
        <v>0.47291666666666698</v>
      </c>
      <c r="D1823" s="90">
        <v>0</v>
      </c>
      <c r="E1823" s="90">
        <v>0</v>
      </c>
      <c r="F1823" s="90">
        <v>0</v>
      </c>
      <c r="G1823" s="90">
        <v>0</v>
      </c>
      <c r="H1823" s="90">
        <v>0</v>
      </c>
      <c r="I1823" s="90">
        <v>0</v>
      </c>
      <c r="J1823" s="90">
        <v>0</v>
      </c>
    </row>
    <row r="1824" spans="1:10">
      <c r="A1824" s="88" t="s">
        <v>100</v>
      </c>
      <c r="B1824" s="88" t="s">
        <v>14</v>
      </c>
      <c r="C1824" s="89">
        <v>0.47361111111111098</v>
      </c>
      <c r="D1824" s="90">
        <v>0</v>
      </c>
      <c r="E1824" s="90">
        <v>0</v>
      </c>
      <c r="F1824" s="90">
        <v>0</v>
      </c>
      <c r="G1824" s="90">
        <v>0</v>
      </c>
      <c r="H1824" s="90">
        <v>0</v>
      </c>
      <c r="I1824" s="90">
        <v>0</v>
      </c>
      <c r="J1824" s="90">
        <v>0</v>
      </c>
    </row>
    <row r="1825" spans="1:10">
      <c r="A1825" s="88" t="s">
        <v>100</v>
      </c>
      <c r="B1825" s="88" t="s">
        <v>14</v>
      </c>
      <c r="C1825" s="89">
        <v>0.47430555555555598</v>
      </c>
      <c r="D1825" s="90">
        <v>0</v>
      </c>
      <c r="E1825" s="90">
        <v>0</v>
      </c>
      <c r="F1825" s="90">
        <v>0</v>
      </c>
      <c r="G1825" s="90">
        <v>0</v>
      </c>
      <c r="H1825" s="90">
        <v>0</v>
      </c>
      <c r="I1825" s="90">
        <v>0</v>
      </c>
      <c r="J1825" s="90">
        <v>0</v>
      </c>
    </row>
    <row r="1826" spans="1:10">
      <c r="A1826" s="88" t="s">
        <v>100</v>
      </c>
      <c r="B1826" s="88" t="s">
        <v>14</v>
      </c>
      <c r="C1826" s="89">
        <v>0.47499999999999998</v>
      </c>
      <c r="D1826" s="90">
        <v>0</v>
      </c>
      <c r="E1826" s="90">
        <v>0</v>
      </c>
      <c r="F1826" s="90">
        <v>0</v>
      </c>
      <c r="G1826" s="90">
        <v>0</v>
      </c>
      <c r="H1826" s="90">
        <v>0</v>
      </c>
      <c r="I1826" s="90">
        <v>0</v>
      </c>
      <c r="J1826" s="90">
        <v>0</v>
      </c>
    </row>
    <row r="1827" spans="1:10">
      <c r="A1827" s="88" t="s">
        <v>100</v>
      </c>
      <c r="B1827" s="88" t="s">
        <v>14</v>
      </c>
      <c r="C1827" s="89">
        <v>0.47569444444444398</v>
      </c>
      <c r="D1827" s="90">
        <v>0</v>
      </c>
      <c r="E1827" s="90">
        <v>0</v>
      </c>
      <c r="F1827" s="90">
        <v>0</v>
      </c>
      <c r="G1827" s="90">
        <v>0</v>
      </c>
      <c r="H1827" s="90">
        <v>0</v>
      </c>
      <c r="I1827" s="90">
        <v>0</v>
      </c>
      <c r="J1827" s="90">
        <v>0</v>
      </c>
    </row>
    <row r="1828" spans="1:10">
      <c r="A1828" s="88" t="s">
        <v>100</v>
      </c>
      <c r="B1828" s="88" t="s">
        <v>14</v>
      </c>
      <c r="C1828" s="89">
        <v>0.47638888888888897</v>
      </c>
      <c r="D1828" s="90">
        <v>0</v>
      </c>
      <c r="E1828" s="90">
        <v>0</v>
      </c>
      <c r="F1828" s="90">
        <v>0</v>
      </c>
      <c r="G1828" s="90">
        <v>0</v>
      </c>
      <c r="H1828" s="90">
        <v>0</v>
      </c>
      <c r="I1828" s="90">
        <v>0</v>
      </c>
      <c r="J1828" s="90">
        <v>0</v>
      </c>
    </row>
    <row r="1829" spans="1:10">
      <c r="A1829" s="88" t="s">
        <v>100</v>
      </c>
      <c r="B1829" s="88" t="s">
        <v>14</v>
      </c>
      <c r="C1829" s="89">
        <v>0.47708333333333303</v>
      </c>
      <c r="D1829" s="90">
        <v>0</v>
      </c>
      <c r="E1829" s="90">
        <v>0</v>
      </c>
      <c r="F1829" s="90">
        <v>0</v>
      </c>
      <c r="G1829" s="90">
        <v>0</v>
      </c>
      <c r="H1829" s="90">
        <v>0</v>
      </c>
      <c r="I1829" s="90">
        <v>0</v>
      </c>
      <c r="J1829" s="90">
        <v>0</v>
      </c>
    </row>
    <row r="1830" spans="1:10">
      <c r="A1830" s="88" t="s">
        <v>100</v>
      </c>
      <c r="B1830" s="88" t="s">
        <v>14</v>
      </c>
      <c r="C1830" s="89">
        <v>0.47777777777777802</v>
      </c>
      <c r="D1830" s="90">
        <v>0</v>
      </c>
      <c r="E1830" s="90">
        <v>0</v>
      </c>
      <c r="F1830" s="90">
        <v>0</v>
      </c>
      <c r="G1830" s="90">
        <v>0</v>
      </c>
      <c r="H1830" s="90">
        <v>0</v>
      </c>
      <c r="I1830" s="90">
        <v>0</v>
      </c>
      <c r="J1830" s="90">
        <v>0</v>
      </c>
    </row>
    <row r="1831" spans="1:10" s="80" customFormat="1">
      <c r="A1831" s="91" t="s">
        <v>100</v>
      </c>
      <c r="B1831" s="91" t="s">
        <v>14</v>
      </c>
      <c r="C1831" s="92">
        <v>0.47847222222222202</v>
      </c>
      <c r="D1831" s="93">
        <v>0</v>
      </c>
      <c r="E1831" s="93">
        <v>0</v>
      </c>
      <c r="F1831" s="93">
        <v>0</v>
      </c>
      <c r="G1831" s="93">
        <v>0</v>
      </c>
      <c r="H1831" s="93">
        <v>0</v>
      </c>
      <c r="I1831" s="93">
        <v>0</v>
      </c>
      <c r="J1831" s="93">
        <v>0</v>
      </c>
    </row>
    <row r="1832" spans="1:10">
      <c r="A1832" s="88" t="s">
        <v>100</v>
      </c>
      <c r="B1832" s="88" t="s">
        <v>14</v>
      </c>
      <c r="C1832" s="89">
        <v>0.47916666666666702</v>
      </c>
      <c r="D1832" s="94">
        <v>0</v>
      </c>
      <c r="E1832" s="94">
        <v>0</v>
      </c>
      <c r="F1832" s="94">
        <v>0</v>
      </c>
      <c r="G1832" s="94">
        <v>0</v>
      </c>
      <c r="H1832" s="94">
        <v>0</v>
      </c>
      <c r="I1832" s="94">
        <v>0</v>
      </c>
      <c r="J1832" s="94">
        <v>0</v>
      </c>
    </row>
    <row r="1833" spans="1:10">
      <c r="A1833" s="88" t="s">
        <v>100</v>
      </c>
      <c r="B1833" s="88" t="s">
        <v>14</v>
      </c>
      <c r="C1833" s="89">
        <v>0.47986111111111102</v>
      </c>
      <c r="D1833" s="90">
        <v>0</v>
      </c>
      <c r="E1833" s="90">
        <v>0</v>
      </c>
      <c r="F1833" s="90">
        <v>0</v>
      </c>
      <c r="G1833" s="90">
        <v>0</v>
      </c>
      <c r="H1833" s="90">
        <v>0</v>
      </c>
      <c r="I1833" s="90">
        <v>0</v>
      </c>
      <c r="J1833" s="90">
        <v>0</v>
      </c>
    </row>
    <row r="1834" spans="1:10">
      <c r="A1834" s="88" t="s">
        <v>100</v>
      </c>
      <c r="B1834" s="88" t="s">
        <v>14</v>
      </c>
      <c r="C1834" s="89">
        <v>0.48055555555555501</v>
      </c>
      <c r="D1834" s="90">
        <v>0</v>
      </c>
      <c r="E1834" s="90">
        <v>0</v>
      </c>
      <c r="F1834" s="90">
        <v>0</v>
      </c>
      <c r="G1834" s="90">
        <v>0</v>
      </c>
      <c r="H1834" s="90">
        <v>0</v>
      </c>
      <c r="I1834" s="90">
        <v>0</v>
      </c>
      <c r="J1834" s="90">
        <v>0</v>
      </c>
    </row>
    <row r="1835" spans="1:10">
      <c r="A1835" s="88" t="s">
        <v>100</v>
      </c>
      <c r="B1835" s="88" t="s">
        <v>14</v>
      </c>
      <c r="C1835" s="89">
        <v>0.48125000000000001</v>
      </c>
      <c r="D1835" s="90">
        <v>0</v>
      </c>
      <c r="E1835" s="90">
        <v>0</v>
      </c>
      <c r="F1835" s="90">
        <v>0</v>
      </c>
      <c r="G1835" s="90">
        <v>0</v>
      </c>
      <c r="H1835" s="90">
        <v>0</v>
      </c>
      <c r="I1835" s="90">
        <v>0</v>
      </c>
      <c r="J1835" s="90">
        <v>0</v>
      </c>
    </row>
    <row r="1836" spans="1:10">
      <c r="A1836" s="88" t="s">
        <v>100</v>
      </c>
      <c r="B1836" s="88" t="s">
        <v>14</v>
      </c>
      <c r="C1836" s="89">
        <v>0.48194444444444401</v>
      </c>
      <c r="D1836" s="90">
        <v>0</v>
      </c>
      <c r="E1836" s="90">
        <v>0</v>
      </c>
      <c r="F1836" s="90">
        <v>0</v>
      </c>
      <c r="G1836" s="90">
        <v>0</v>
      </c>
      <c r="H1836" s="90">
        <v>0</v>
      </c>
      <c r="I1836" s="90">
        <v>0</v>
      </c>
      <c r="J1836" s="90">
        <v>0</v>
      </c>
    </row>
    <row r="1837" spans="1:10">
      <c r="A1837" s="88" t="s">
        <v>100</v>
      </c>
      <c r="B1837" s="88" t="s">
        <v>14</v>
      </c>
      <c r="C1837" s="89">
        <v>0.48263888888888901</v>
      </c>
      <c r="D1837" s="90">
        <v>0</v>
      </c>
      <c r="E1837" s="90">
        <v>0</v>
      </c>
      <c r="F1837" s="90">
        <v>0</v>
      </c>
      <c r="G1837" s="90">
        <v>0</v>
      </c>
      <c r="H1837" s="90">
        <v>0</v>
      </c>
      <c r="I1837" s="90">
        <v>0</v>
      </c>
      <c r="J1837" s="90">
        <v>0</v>
      </c>
    </row>
    <row r="1838" spans="1:10">
      <c r="A1838" s="88" t="s">
        <v>100</v>
      </c>
      <c r="B1838" s="88" t="s">
        <v>14</v>
      </c>
      <c r="C1838" s="89">
        <v>0.483333333333333</v>
      </c>
      <c r="D1838" s="90">
        <v>0</v>
      </c>
      <c r="E1838" s="90">
        <v>0</v>
      </c>
      <c r="F1838" s="90">
        <v>0</v>
      </c>
      <c r="G1838" s="90">
        <v>0</v>
      </c>
      <c r="H1838" s="90">
        <v>0</v>
      </c>
      <c r="I1838" s="90">
        <v>0</v>
      </c>
      <c r="J1838" s="90">
        <v>0</v>
      </c>
    </row>
    <row r="1839" spans="1:10">
      <c r="A1839" s="88" t="s">
        <v>100</v>
      </c>
      <c r="B1839" s="88" t="s">
        <v>14</v>
      </c>
      <c r="C1839" s="89">
        <v>0.484027777777778</v>
      </c>
      <c r="D1839" s="90">
        <v>0</v>
      </c>
      <c r="E1839" s="90">
        <v>0</v>
      </c>
      <c r="F1839" s="90">
        <v>0</v>
      </c>
      <c r="G1839" s="90">
        <v>0</v>
      </c>
      <c r="H1839" s="90">
        <v>0</v>
      </c>
      <c r="I1839" s="90">
        <v>0</v>
      </c>
      <c r="J1839" s="90">
        <v>0</v>
      </c>
    </row>
    <row r="1840" spans="1:10">
      <c r="A1840" s="88" t="s">
        <v>100</v>
      </c>
      <c r="B1840" s="88" t="s">
        <v>14</v>
      </c>
      <c r="C1840" s="89">
        <v>0.484722222222222</v>
      </c>
      <c r="D1840" s="90">
        <v>0</v>
      </c>
      <c r="E1840" s="90">
        <v>0</v>
      </c>
      <c r="F1840" s="90">
        <v>0</v>
      </c>
      <c r="G1840" s="90">
        <v>0</v>
      </c>
      <c r="H1840" s="90">
        <v>0</v>
      </c>
      <c r="I1840" s="90">
        <v>0</v>
      </c>
      <c r="J1840" s="90">
        <v>0</v>
      </c>
    </row>
    <row r="1841" spans="1:10">
      <c r="A1841" s="88" t="s">
        <v>100</v>
      </c>
      <c r="B1841" s="88" t="s">
        <v>14</v>
      </c>
      <c r="C1841" s="89">
        <v>0.485416666666666</v>
      </c>
      <c r="D1841" s="90">
        <v>0</v>
      </c>
      <c r="E1841" s="90">
        <v>0</v>
      </c>
      <c r="F1841" s="90">
        <v>0</v>
      </c>
      <c r="G1841" s="90">
        <v>0</v>
      </c>
      <c r="H1841" s="90">
        <v>0</v>
      </c>
      <c r="I1841" s="90">
        <v>0</v>
      </c>
      <c r="J1841" s="90">
        <v>0</v>
      </c>
    </row>
    <row r="1842" spans="1:10">
      <c r="A1842" s="88" t="s">
        <v>100</v>
      </c>
      <c r="B1842" s="88" t="s">
        <v>14</v>
      </c>
      <c r="C1842" s="89">
        <v>0.48611111111111099</v>
      </c>
      <c r="D1842" s="90">
        <v>0</v>
      </c>
      <c r="E1842" s="90">
        <v>0</v>
      </c>
      <c r="F1842" s="90">
        <v>0</v>
      </c>
      <c r="G1842" s="90">
        <v>0</v>
      </c>
      <c r="H1842" s="90">
        <v>0</v>
      </c>
      <c r="I1842" s="90">
        <v>0</v>
      </c>
      <c r="J1842" s="90">
        <v>0</v>
      </c>
    </row>
    <row r="1843" spans="1:10">
      <c r="A1843" s="88" t="s">
        <v>100</v>
      </c>
      <c r="B1843" s="88" t="s">
        <v>14</v>
      </c>
      <c r="C1843" s="89">
        <v>0.48680555555555499</v>
      </c>
      <c r="D1843" s="90">
        <v>0</v>
      </c>
      <c r="E1843" s="90">
        <v>0</v>
      </c>
      <c r="F1843" s="90">
        <v>0</v>
      </c>
      <c r="G1843" s="90">
        <v>0</v>
      </c>
      <c r="H1843" s="90">
        <v>0</v>
      </c>
      <c r="I1843" s="90">
        <v>0</v>
      </c>
      <c r="J1843" s="90">
        <v>0</v>
      </c>
    </row>
    <row r="1844" spans="1:10">
      <c r="A1844" s="88" t="s">
        <v>100</v>
      </c>
      <c r="B1844" s="88" t="s">
        <v>14</v>
      </c>
      <c r="C1844" s="89">
        <v>0.48749999999999999</v>
      </c>
      <c r="D1844" s="90">
        <v>0</v>
      </c>
      <c r="E1844" s="90">
        <v>0</v>
      </c>
      <c r="F1844" s="90">
        <v>0</v>
      </c>
      <c r="G1844" s="90">
        <v>0</v>
      </c>
      <c r="H1844" s="90">
        <v>0</v>
      </c>
      <c r="I1844" s="90">
        <v>0</v>
      </c>
      <c r="J1844" s="90">
        <v>0</v>
      </c>
    </row>
    <row r="1845" spans="1:10">
      <c r="A1845" s="88" t="s">
        <v>100</v>
      </c>
      <c r="B1845" s="88" t="s">
        <v>14</v>
      </c>
      <c r="C1845" s="89">
        <v>0.48819444444444399</v>
      </c>
      <c r="D1845" s="90">
        <v>0</v>
      </c>
      <c r="E1845" s="90">
        <v>0</v>
      </c>
      <c r="F1845" s="90">
        <v>0</v>
      </c>
      <c r="G1845" s="90">
        <v>0</v>
      </c>
      <c r="H1845" s="90">
        <v>0</v>
      </c>
      <c r="I1845" s="90">
        <v>0</v>
      </c>
      <c r="J1845" s="90">
        <v>0</v>
      </c>
    </row>
    <row r="1846" spans="1:10" s="80" customFormat="1">
      <c r="A1846" s="91" t="s">
        <v>100</v>
      </c>
      <c r="B1846" s="91" t="s">
        <v>14</v>
      </c>
      <c r="C1846" s="92">
        <v>0.48888888888888898</v>
      </c>
      <c r="D1846" s="93">
        <v>0</v>
      </c>
      <c r="E1846" s="93">
        <v>0</v>
      </c>
      <c r="F1846" s="93">
        <v>0</v>
      </c>
      <c r="G1846" s="93">
        <v>0</v>
      </c>
      <c r="H1846" s="93">
        <v>0</v>
      </c>
      <c r="I1846" s="93">
        <v>0</v>
      </c>
      <c r="J1846" s="93">
        <v>0</v>
      </c>
    </row>
    <row r="1847" spans="1:10">
      <c r="A1847" s="88" t="s">
        <v>100</v>
      </c>
      <c r="B1847" s="88" t="s">
        <v>14</v>
      </c>
      <c r="C1847" s="89">
        <v>0.48958333333333298</v>
      </c>
      <c r="D1847" s="94">
        <v>0</v>
      </c>
      <c r="E1847" s="94">
        <v>0</v>
      </c>
      <c r="F1847" s="94">
        <v>0</v>
      </c>
      <c r="G1847" s="94">
        <v>0</v>
      </c>
      <c r="H1847" s="94">
        <v>0</v>
      </c>
      <c r="I1847" s="94">
        <v>0</v>
      </c>
      <c r="J1847" s="94">
        <v>0</v>
      </c>
    </row>
    <row r="1848" spans="1:10">
      <c r="A1848" s="88" t="s">
        <v>100</v>
      </c>
      <c r="B1848" s="88" t="s">
        <v>14</v>
      </c>
      <c r="C1848" s="89">
        <v>0.49027777777777798</v>
      </c>
      <c r="D1848" s="90">
        <v>0</v>
      </c>
      <c r="E1848" s="90">
        <v>0</v>
      </c>
      <c r="F1848" s="90">
        <v>0</v>
      </c>
      <c r="G1848" s="90">
        <v>0</v>
      </c>
      <c r="H1848" s="90">
        <v>0</v>
      </c>
      <c r="I1848" s="90">
        <v>0</v>
      </c>
      <c r="J1848" s="90">
        <v>0</v>
      </c>
    </row>
    <row r="1849" spans="1:10">
      <c r="A1849" s="88" t="s">
        <v>100</v>
      </c>
      <c r="B1849" s="88" t="s">
        <v>14</v>
      </c>
      <c r="C1849" s="89">
        <v>0.49097222222222198</v>
      </c>
      <c r="D1849" s="90">
        <v>0</v>
      </c>
      <c r="E1849" s="90">
        <v>0</v>
      </c>
      <c r="F1849" s="90">
        <v>0</v>
      </c>
      <c r="G1849" s="90">
        <v>0</v>
      </c>
      <c r="H1849" s="90">
        <v>0</v>
      </c>
      <c r="I1849" s="90">
        <v>0</v>
      </c>
      <c r="J1849" s="90">
        <v>0</v>
      </c>
    </row>
    <row r="1850" spans="1:10">
      <c r="A1850" s="88" t="s">
        <v>100</v>
      </c>
      <c r="B1850" s="88" t="s">
        <v>14</v>
      </c>
      <c r="C1850" s="89">
        <v>0.49166666666666697</v>
      </c>
      <c r="D1850" s="90">
        <v>0</v>
      </c>
      <c r="E1850" s="90">
        <v>0</v>
      </c>
      <c r="F1850" s="90">
        <v>0</v>
      </c>
      <c r="G1850" s="90">
        <v>0</v>
      </c>
      <c r="H1850" s="90">
        <v>0</v>
      </c>
      <c r="I1850" s="90">
        <v>0</v>
      </c>
      <c r="J1850" s="90">
        <v>0</v>
      </c>
    </row>
    <row r="1851" spans="1:10">
      <c r="A1851" s="88" t="s">
        <v>100</v>
      </c>
      <c r="B1851" s="88" t="s">
        <v>14</v>
      </c>
      <c r="C1851" s="89">
        <v>0.49236111111111103</v>
      </c>
      <c r="D1851" s="90">
        <v>0</v>
      </c>
      <c r="E1851" s="90">
        <v>0</v>
      </c>
      <c r="F1851" s="90">
        <v>0</v>
      </c>
      <c r="G1851" s="90">
        <v>0</v>
      </c>
      <c r="H1851" s="90">
        <v>0</v>
      </c>
      <c r="I1851" s="90">
        <v>0</v>
      </c>
      <c r="J1851" s="90">
        <v>0</v>
      </c>
    </row>
    <row r="1852" spans="1:10">
      <c r="A1852" s="88" t="s">
        <v>100</v>
      </c>
      <c r="B1852" s="88" t="s">
        <v>14</v>
      </c>
      <c r="C1852" s="89">
        <v>0.49305555555555503</v>
      </c>
      <c r="D1852" s="90">
        <v>0</v>
      </c>
      <c r="E1852" s="90">
        <v>0</v>
      </c>
      <c r="F1852" s="90">
        <v>0</v>
      </c>
      <c r="G1852" s="90">
        <v>0</v>
      </c>
      <c r="H1852" s="90">
        <v>0</v>
      </c>
      <c r="I1852" s="90">
        <v>0</v>
      </c>
      <c r="J1852" s="90">
        <v>0</v>
      </c>
    </row>
    <row r="1853" spans="1:10">
      <c r="A1853" s="88" t="s">
        <v>100</v>
      </c>
      <c r="B1853" s="88" t="s">
        <v>14</v>
      </c>
      <c r="C1853" s="89">
        <v>0.49375000000000002</v>
      </c>
      <c r="D1853" s="90">
        <v>0</v>
      </c>
      <c r="E1853" s="90">
        <v>0</v>
      </c>
      <c r="F1853" s="90">
        <v>0</v>
      </c>
      <c r="G1853" s="90">
        <v>0</v>
      </c>
      <c r="H1853" s="90">
        <v>0</v>
      </c>
      <c r="I1853" s="90">
        <v>0</v>
      </c>
      <c r="J1853" s="90">
        <v>0</v>
      </c>
    </row>
    <row r="1854" spans="1:10">
      <c r="A1854" s="88" t="s">
        <v>100</v>
      </c>
      <c r="B1854" s="88" t="s">
        <v>14</v>
      </c>
      <c r="C1854" s="89">
        <v>0.49444444444444402</v>
      </c>
      <c r="D1854" s="90">
        <v>0</v>
      </c>
      <c r="E1854" s="90">
        <v>0</v>
      </c>
      <c r="F1854" s="90">
        <v>0</v>
      </c>
      <c r="G1854" s="90">
        <v>0</v>
      </c>
      <c r="H1854" s="90">
        <v>0</v>
      </c>
      <c r="I1854" s="90">
        <v>0</v>
      </c>
      <c r="J1854" s="90">
        <v>0</v>
      </c>
    </row>
    <row r="1855" spans="1:10">
      <c r="A1855" s="88" t="s">
        <v>100</v>
      </c>
      <c r="B1855" s="88" t="s">
        <v>14</v>
      </c>
      <c r="C1855" s="89">
        <v>0.49513888888888902</v>
      </c>
      <c r="D1855" s="90">
        <v>0</v>
      </c>
      <c r="E1855" s="90">
        <v>0</v>
      </c>
      <c r="F1855" s="90">
        <v>0</v>
      </c>
      <c r="G1855" s="90">
        <v>0</v>
      </c>
      <c r="H1855" s="90">
        <v>0</v>
      </c>
      <c r="I1855" s="90">
        <v>0</v>
      </c>
      <c r="J1855" s="90">
        <v>0</v>
      </c>
    </row>
    <row r="1856" spans="1:10">
      <c r="A1856" s="88" t="s">
        <v>100</v>
      </c>
      <c r="B1856" s="88" t="s">
        <v>14</v>
      </c>
      <c r="C1856" s="89">
        <v>0.49583333333333302</v>
      </c>
      <c r="D1856" s="90">
        <v>0</v>
      </c>
      <c r="E1856" s="90">
        <v>0</v>
      </c>
      <c r="F1856" s="90">
        <v>0</v>
      </c>
      <c r="G1856" s="90">
        <v>0</v>
      </c>
      <c r="H1856" s="90">
        <v>0</v>
      </c>
      <c r="I1856" s="90">
        <v>0</v>
      </c>
      <c r="J1856" s="90">
        <v>0</v>
      </c>
    </row>
    <row r="1857" spans="1:10">
      <c r="A1857" s="88" t="s">
        <v>100</v>
      </c>
      <c r="B1857" s="88" t="s">
        <v>14</v>
      </c>
      <c r="C1857" s="89">
        <v>0.49652777777777801</v>
      </c>
      <c r="D1857" s="90">
        <v>0</v>
      </c>
      <c r="E1857" s="90">
        <v>0</v>
      </c>
      <c r="F1857" s="90">
        <v>0</v>
      </c>
      <c r="G1857" s="90">
        <v>0</v>
      </c>
      <c r="H1857" s="90">
        <v>0</v>
      </c>
      <c r="I1857" s="90">
        <v>0</v>
      </c>
      <c r="J1857" s="90">
        <v>0</v>
      </c>
    </row>
    <row r="1858" spans="1:10">
      <c r="A1858" s="88" t="s">
        <v>100</v>
      </c>
      <c r="B1858" s="88" t="s">
        <v>14</v>
      </c>
      <c r="C1858" s="89">
        <v>0.49722222222222201</v>
      </c>
      <c r="D1858" s="90">
        <v>0</v>
      </c>
      <c r="E1858" s="90">
        <v>0</v>
      </c>
      <c r="F1858" s="90">
        <v>0</v>
      </c>
      <c r="G1858" s="90">
        <v>0</v>
      </c>
      <c r="H1858" s="90">
        <v>0</v>
      </c>
      <c r="I1858" s="90">
        <v>0</v>
      </c>
      <c r="J1858" s="90">
        <v>0</v>
      </c>
    </row>
    <row r="1859" spans="1:10">
      <c r="A1859" s="88" t="s">
        <v>100</v>
      </c>
      <c r="B1859" s="88" t="s">
        <v>14</v>
      </c>
      <c r="C1859" s="89">
        <v>0.49791666666666701</v>
      </c>
      <c r="D1859" s="90">
        <v>0</v>
      </c>
      <c r="E1859" s="90">
        <v>0</v>
      </c>
      <c r="F1859" s="90">
        <v>0</v>
      </c>
      <c r="G1859" s="90">
        <v>0</v>
      </c>
      <c r="H1859" s="90">
        <v>0</v>
      </c>
      <c r="I1859" s="90">
        <v>0</v>
      </c>
      <c r="J1859" s="90">
        <v>0</v>
      </c>
    </row>
    <row r="1860" spans="1:10">
      <c r="A1860" s="88" t="s">
        <v>100</v>
      </c>
      <c r="B1860" s="88" t="s">
        <v>14</v>
      </c>
      <c r="C1860" s="89">
        <v>0.49861111111111101</v>
      </c>
      <c r="D1860" s="90">
        <v>0</v>
      </c>
      <c r="E1860" s="90">
        <v>0</v>
      </c>
      <c r="F1860" s="90">
        <v>0</v>
      </c>
      <c r="G1860" s="90">
        <v>0</v>
      </c>
      <c r="H1860" s="90">
        <v>0</v>
      </c>
      <c r="I1860" s="90">
        <v>0</v>
      </c>
      <c r="J1860" s="90">
        <v>0</v>
      </c>
    </row>
    <row r="1861" spans="1:10" s="80" customFormat="1">
      <c r="A1861" s="91" t="s">
        <v>100</v>
      </c>
      <c r="B1861" s="91" t="s">
        <v>14</v>
      </c>
      <c r="C1861" s="92">
        <v>0.499305555555555</v>
      </c>
      <c r="D1861" s="93">
        <v>0</v>
      </c>
      <c r="E1861" s="93">
        <v>0</v>
      </c>
      <c r="F1861" s="93">
        <v>0</v>
      </c>
      <c r="G1861" s="93">
        <v>0</v>
      </c>
      <c r="H1861" s="93">
        <v>0</v>
      </c>
      <c r="I1861" s="93">
        <v>0</v>
      </c>
      <c r="J1861" s="93">
        <v>0</v>
      </c>
    </row>
    <row r="1862" spans="1:10">
      <c r="A1862" s="88" t="s">
        <v>100</v>
      </c>
      <c r="B1862" s="88" t="s">
        <v>14</v>
      </c>
      <c r="C1862" s="89">
        <v>0.5</v>
      </c>
      <c r="D1862" s="94">
        <v>0</v>
      </c>
      <c r="E1862" s="94">
        <v>0</v>
      </c>
      <c r="F1862" s="94">
        <v>0</v>
      </c>
      <c r="G1862" s="94">
        <v>0</v>
      </c>
      <c r="H1862" s="94">
        <v>0</v>
      </c>
      <c r="I1862" s="94">
        <v>0</v>
      </c>
      <c r="J1862" s="94">
        <v>0</v>
      </c>
    </row>
    <row r="1863" spans="1:10">
      <c r="A1863" s="88" t="s">
        <v>100</v>
      </c>
      <c r="B1863" s="88" t="s">
        <v>14</v>
      </c>
      <c r="C1863" s="89">
        <v>0.500694444444444</v>
      </c>
      <c r="D1863" s="90">
        <v>0</v>
      </c>
      <c r="E1863" s="90">
        <v>0</v>
      </c>
      <c r="F1863" s="90">
        <v>0</v>
      </c>
      <c r="G1863" s="90">
        <v>0</v>
      </c>
      <c r="H1863" s="90">
        <v>0</v>
      </c>
      <c r="I1863" s="90">
        <v>0</v>
      </c>
      <c r="J1863" s="90">
        <v>0</v>
      </c>
    </row>
    <row r="1864" spans="1:10">
      <c r="A1864" s="88" t="s">
        <v>100</v>
      </c>
      <c r="B1864" s="88" t="s">
        <v>14</v>
      </c>
      <c r="C1864" s="89">
        <v>0.50138888888888899</v>
      </c>
      <c r="D1864" s="90">
        <v>0</v>
      </c>
      <c r="E1864" s="90">
        <v>0</v>
      </c>
      <c r="F1864" s="90">
        <v>0</v>
      </c>
      <c r="G1864" s="90">
        <v>0</v>
      </c>
      <c r="H1864" s="90">
        <v>0</v>
      </c>
      <c r="I1864" s="90">
        <v>0</v>
      </c>
      <c r="J1864" s="90">
        <v>0</v>
      </c>
    </row>
    <row r="1865" spans="1:10">
      <c r="A1865" s="88" t="s">
        <v>100</v>
      </c>
      <c r="B1865" s="88" t="s">
        <v>14</v>
      </c>
      <c r="C1865" s="89">
        <v>0.50208333333333299</v>
      </c>
      <c r="D1865" s="90">
        <v>0</v>
      </c>
      <c r="E1865" s="90">
        <v>0</v>
      </c>
      <c r="F1865" s="90">
        <v>0</v>
      </c>
      <c r="G1865" s="90">
        <v>0</v>
      </c>
      <c r="H1865" s="90">
        <v>0</v>
      </c>
      <c r="I1865" s="90">
        <v>0</v>
      </c>
      <c r="J1865" s="90">
        <v>0</v>
      </c>
    </row>
    <row r="1866" spans="1:10">
      <c r="A1866" s="88" t="s">
        <v>100</v>
      </c>
      <c r="B1866" s="88" t="s">
        <v>14</v>
      </c>
      <c r="C1866" s="89">
        <v>0.50277777777777799</v>
      </c>
      <c r="D1866" s="90">
        <v>0</v>
      </c>
      <c r="E1866" s="90">
        <v>0</v>
      </c>
      <c r="F1866" s="90">
        <v>0</v>
      </c>
      <c r="G1866" s="90">
        <v>0</v>
      </c>
      <c r="H1866" s="90">
        <v>0</v>
      </c>
      <c r="I1866" s="90">
        <v>0</v>
      </c>
      <c r="J1866" s="90">
        <v>0</v>
      </c>
    </row>
    <row r="1867" spans="1:10">
      <c r="A1867" s="88" t="s">
        <v>100</v>
      </c>
      <c r="B1867" s="88" t="s">
        <v>14</v>
      </c>
      <c r="C1867" s="89">
        <v>0.50347222222222199</v>
      </c>
      <c r="D1867" s="90">
        <v>0</v>
      </c>
      <c r="E1867" s="90">
        <v>0</v>
      </c>
      <c r="F1867" s="90">
        <v>0</v>
      </c>
      <c r="G1867" s="90">
        <v>0</v>
      </c>
      <c r="H1867" s="90">
        <v>0</v>
      </c>
      <c r="I1867" s="90">
        <v>0</v>
      </c>
      <c r="J1867" s="90">
        <v>0</v>
      </c>
    </row>
    <row r="1868" spans="1:10">
      <c r="A1868" s="88" t="s">
        <v>100</v>
      </c>
      <c r="B1868" s="88" t="s">
        <v>14</v>
      </c>
      <c r="C1868" s="89">
        <v>0.50416666666666698</v>
      </c>
      <c r="D1868" s="90">
        <v>0</v>
      </c>
      <c r="E1868" s="90">
        <v>0</v>
      </c>
      <c r="F1868" s="90">
        <v>0</v>
      </c>
      <c r="G1868" s="90">
        <v>0</v>
      </c>
      <c r="H1868" s="90">
        <v>0</v>
      </c>
      <c r="I1868" s="90">
        <v>0</v>
      </c>
      <c r="J1868" s="90">
        <v>0</v>
      </c>
    </row>
    <row r="1869" spans="1:10">
      <c r="A1869" s="88" t="s">
        <v>100</v>
      </c>
      <c r="B1869" s="88" t="s">
        <v>14</v>
      </c>
      <c r="C1869" s="89">
        <v>0.50486111111111098</v>
      </c>
      <c r="D1869" s="90">
        <v>0</v>
      </c>
      <c r="E1869" s="90">
        <v>0</v>
      </c>
      <c r="F1869" s="90">
        <v>0</v>
      </c>
      <c r="G1869" s="90">
        <v>0</v>
      </c>
      <c r="H1869" s="90">
        <v>0</v>
      </c>
      <c r="I1869" s="90">
        <v>0</v>
      </c>
      <c r="J1869" s="90">
        <v>0</v>
      </c>
    </row>
    <row r="1870" spans="1:10">
      <c r="A1870" s="88" t="s">
        <v>100</v>
      </c>
      <c r="B1870" s="88" t="s">
        <v>14</v>
      </c>
      <c r="C1870" s="89">
        <v>0.50555555555555498</v>
      </c>
      <c r="D1870" s="90">
        <v>0</v>
      </c>
      <c r="E1870" s="90">
        <v>0</v>
      </c>
      <c r="F1870" s="90">
        <v>0</v>
      </c>
      <c r="G1870" s="90">
        <v>0</v>
      </c>
      <c r="H1870" s="90">
        <v>0</v>
      </c>
      <c r="I1870" s="90">
        <v>0</v>
      </c>
      <c r="J1870" s="90">
        <v>0</v>
      </c>
    </row>
    <row r="1871" spans="1:10">
      <c r="A1871" s="88" t="s">
        <v>100</v>
      </c>
      <c r="B1871" s="88" t="s">
        <v>14</v>
      </c>
      <c r="C1871" s="89">
        <v>0.50624999999999998</v>
      </c>
      <c r="D1871" s="90">
        <v>0</v>
      </c>
      <c r="E1871" s="90">
        <v>0</v>
      </c>
      <c r="F1871" s="90">
        <v>0</v>
      </c>
      <c r="G1871" s="90">
        <v>0</v>
      </c>
      <c r="H1871" s="90">
        <v>0</v>
      </c>
      <c r="I1871" s="90">
        <v>0</v>
      </c>
      <c r="J1871" s="90">
        <v>0</v>
      </c>
    </row>
    <row r="1872" spans="1:10">
      <c r="A1872" s="88" t="s">
        <v>100</v>
      </c>
      <c r="B1872" s="88" t="s">
        <v>14</v>
      </c>
      <c r="C1872" s="89">
        <v>0.50694444444444398</v>
      </c>
      <c r="D1872" s="90">
        <v>0</v>
      </c>
      <c r="E1872" s="90">
        <v>0</v>
      </c>
      <c r="F1872" s="90">
        <v>0</v>
      </c>
      <c r="G1872" s="90">
        <v>0</v>
      </c>
      <c r="H1872" s="90">
        <v>0</v>
      </c>
      <c r="I1872" s="90">
        <v>0</v>
      </c>
      <c r="J1872" s="90">
        <v>0</v>
      </c>
    </row>
    <row r="1873" spans="1:10">
      <c r="A1873" s="88" t="s">
        <v>100</v>
      </c>
      <c r="B1873" s="88" t="s">
        <v>14</v>
      </c>
      <c r="C1873" s="89">
        <v>0.50763888888888897</v>
      </c>
      <c r="D1873" s="90">
        <v>0</v>
      </c>
      <c r="E1873" s="90">
        <v>0</v>
      </c>
      <c r="F1873" s="90">
        <v>0</v>
      </c>
      <c r="G1873" s="90">
        <v>0</v>
      </c>
      <c r="H1873" s="90">
        <v>0</v>
      </c>
      <c r="I1873" s="90">
        <v>0</v>
      </c>
      <c r="J1873" s="90">
        <v>0</v>
      </c>
    </row>
    <row r="1874" spans="1:10">
      <c r="A1874" s="88" t="s">
        <v>100</v>
      </c>
      <c r="B1874" s="88" t="s">
        <v>14</v>
      </c>
      <c r="C1874" s="89">
        <v>0.50833333333333297</v>
      </c>
      <c r="D1874" s="90">
        <v>0</v>
      </c>
      <c r="E1874" s="90">
        <v>0</v>
      </c>
      <c r="F1874" s="90">
        <v>0</v>
      </c>
      <c r="G1874" s="90">
        <v>0</v>
      </c>
      <c r="H1874" s="90">
        <v>0</v>
      </c>
      <c r="I1874" s="90">
        <v>0</v>
      </c>
      <c r="J1874" s="90">
        <v>0</v>
      </c>
    </row>
    <row r="1875" spans="1:10">
      <c r="A1875" s="88" t="s">
        <v>100</v>
      </c>
      <c r="B1875" s="88" t="s">
        <v>14</v>
      </c>
      <c r="C1875" s="89">
        <v>0.50902777777777797</v>
      </c>
      <c r="D1875" s="90">
        <v>0</v>
      </c>
      <c r="E1875" s="90">
        <v>0</v>
      </c>
      <c r="F1875" s="90">
        <v>0</v>
      </c>
      <c r="G1875" s="90">
        <v>0</v>
      </c>
      <c r="H1875" s="90">
        <v>0</v>
      </c>
      <c r="I1875" s="90">
        <v>0</v>
      </c>
      <c r="J1875" s="90">
        <v>0</v>
      </c>
    </row>
    <row r="1876" spans="1:10" s="80" customFormat="1">
      <c r="A1876" s="91" t="s">
        <v>100</v>
      </c>
      <c r="B1876" s="91" t="s">
        <v>14</v>
      </c>
      <c r="C1876" s="92">
        <v>0.50972222222222197</v>
      </c>
      <c r="D1876" s="93">
        <v>0</v>
      </c>
      <c r="E1876" s="93">
        <v>0</v>
      </c>
      <c r="F1876" s="93">
        <v>0</v>
      </c>
      <c r="G1876" s="93">
        <v>0</v>
      </c>
      <c r="H1876" s="93">
        <v>0</v>
      </c>
      <c r="I1876" s="93">
        <v>0</v>
      </c>
      <c r="J1876" s="93">
        <v>0</v>
      </c>
    </row>
    <row r="1877" spans="1:10">
      <c r="A1877" s="88" t="s">
        <v>100</v>
      </c>
      <c r="B1877" s="88" t="s">
        <v>14</v>
      </c>
      <c r="C1877" s="89">
        <v>0.51041666666666596</v>
      </c>
      <c r="D1877" s="94">
        <v>0</v>
      </c>
      <c r="E1877" s="94">
        <v>0</v>
      </c>
      <c r="F1877" s="94">
        <v>0</v>
      </c>
      <c r="G1877" s="94">
        <v>0</v>
      </c>
      <c r="H1877" s="94">
        <v>0</v>
      </c>
      <c r="I1877" s="94">
        <v>0</v>
      </c>
      <c r="J1877" s="94">
        <v>0</v>
      </c>
    </row>
    <row r="1878" spans="1:10">
      <c r="A1878" s="88" t="s">
        <v>100</v>
      </c>
      <c r="B1878" s="88" t="s">
        <v>14</v>
      </c>
      <c r="C1878" s="89">
        <v>0.51111111111111096</v>
      </c>
      <c r="D1878" s="90">
        <v>0</v>
      </c>
      <c r="E1878" s="90">
        <v>0</v>
      </c>
      <c r="F1878" s="90">
        <v>0</v>
      </c>
      <c r="G1878" s="90">
        <v>0</v>
      </c>
      <c r="H1878" s="90">
        <v>0</v>
      </c>
      <c r="I1878" s="90">
        <v>0</v>
      </c>
      <c r="J1878" s="90">
        <v>0</v>
      </c>
    </row>
    <row r="1879" spans="1:10">
      <c r="A1879" s="88" t="s">
        <v>100</v>
      </c>
      <c r="B1879" s="88" t="s">
        <v>14</v>
      </c>
      <c r="C1879" s="89">
        <v>0.51180555555555496</v>
      </c>
      <c r="D1879" s="90">
        <v>0</v>
      </c>
      <c r="E1879" s="90">
        <v>0</v>
      </c>
      <c r="F1879" s="90">
        <v>0</v>
      </c>
      <c r="G1879" s="90">
        <v>0</v>
      </c>
      <c r="H1879" s="90">
        <v>0</v>
      </c>
      <c r="I1879" s="90">
        <v>0</v>
      </c>
      <c r="J1879" s="90">
        <v>0</v>
      </c>
    </row>
    <row r="1880" spans="1:10">
      <c r="A1880" s="88" t="s">
        <v>100</v>
      </c>
      <c r="B1880" s="88" t="s">
        <v>14</v>
      </c>
      <c r="C1880" s="89">
        <v>0.51249999999999996</v>
      </c>
      <c r="D1880" s="90">
        <v>0</v>
      </c>
      <c r="E1880" s="90">
        <v>0</v>
      </c>
      <c r="F1880" s="90">
        <v>0</v>
      </c>
      <c r="G1880" s="90">
        <v>0</v>
      </c>
      <c r="H1880" s="90">
        <v>0</v>
      </c>
      <c r="I1880" s="90">
        <v>0</v>
      </c>
      <c r="J1880" s="90">
        <v>0</v>
      </c>
    </row>
    <row r="1881" spans="1:10">
      <c r="A1881" s="88" t="s">
        <v>100</v>
      </c>
      <c r="B1881" s="88" t="s">
        <v>14</v>
      </c>
      <c r="C1881" s="89">
        <v>0.51319444444444395</v>
      </c>
      <c r="D1881" s="90">
        <v>0</v>
      </c>
      <c r="E1881" s="90">
        <v>0</v>
      </c>
      <c r="F1881" s="90">
        <v>0</v>
      </c>
      <c r="G1881" s="90">
        <v>0</v>
      </c>
      <c r="H1881" s="90">
        <v>0</v>
      </c>
      <c r="I1881" s="90">
        <v>0</v>
      </c>
      <c r="J1881" s="90">
        <v>0</v>
      </c>
    </row>
    <row r="1882" spans="1:10">
      <c r="A1882" s="88" t="s">
        <v>100</v>
      </c>
      <c r="B1882" s="88" t="s">
        <v>14</v>
      </c>
      <c r="C1882" s="89">
        <v>0.51388888888888895</v>
      </c>
      <c r="D1882" s="90">
        <v>0</v>
      </c>
      <c r="E1882" s="90">
        <v>0</v>
      </c>
      <c r="F1882" s="90">
        <v>0</v>
      </c>
      <c r="G1882" s="90">
        <v>0</v>
      </c>
      <c r="H1882" s="90">
        <v>0</v>
      </c>
      <c r="I1882" s="90">
        <v>0</v>
      </c>
      <c r="J1882" s="90">
        <v>0</v>
      </c>
    </row>
    <row r="1883" spans="1:10">
      <c r="A1883" s="88" t="s">
        <v>100</v>
      </c>
      <c r="B1883" s="88" t="s">
        <v>14</v>
      </c>
      <c r="C1883" s="89">
        <v>0.51458333333333295</v>
      </c>
      <c r="D1883" s="90">
        <v>0</v>
      </c>
      <c r="E1883" s="90">
        <v>0</v>
      </c>
      <c r="F1883" s="90">
        <v>0</v>
      </c>
      <c r="G1883" s="90">
        <v>0</v>
      </c>
      <c r="H1883" s="90">
        <v>0</v>
      </c>
      <c r="I1883" s="90">
        <v>0</v>
      </c>
      <c r="J1883" s="90">
        <v>0</v>
      </c>
    </row>
    <row r="1884" spans="1:10">
      <c r="A1884" s="88" t="s">
        <v>100</v>
      </c>
      <c r="B1884" s="88" t="s">
        <v>14</v>
      </c>
      <c r="C1884" s="89">
        <v>0.51527777777777795</v>
      </c>
      <c r="D1884" s="90">
        <v>0</v>
      </c>
      <c r="E1884" s="90">
        <v>0</v>
      </c>
      <c r="F1884" s="90">
        <v>0</v>
      </c>
      <c r="G1884" s="90">
        <v>0</v>
      </c>
      <c r="H1884" s="90">
        <v>0</v>
      </c>
      <c r="I1884" s="90">
        <v>0</v>
      </c>
      <c r="J1884" s="90">
        <v>0</v>
      </c>
    </row>
    <row r="1885" spans="1:10">
      <c r="A1885" s="88" t="s">
        <v>100</v>
      </c>
      <c r="B1885" s="88" t="s">
        <v>14</v>
      </c>
      <c r="C1885" s="89">
        <v>0.51597222222222205</v>
      </c>
      <c r="D1885" s="90">
        <v>0</v>
      </c>
      <c r="E1885" s="90">
        <v>0</v>
      </c>
      <c r="F1885" s="90">
        <v>0</v>
      </c>
      <c r="G1885" s="90">
        <v>0</v>
      </c>
      <c r="H1885" s="90">
        <v>0</v>
      </c>
      <c r="I1885" s="90">
        <v>0</v>
      </c>
      <c r="J1885" s="90">
        <v>0</v>
      </c>
    </row>
    <row r="1886" spans="1:10">
      <c r="A1886" s="88" t="s">
        <v>100</v>
      </c>
      <c r="B1886" s="88" t="s">
        <v>14</v>
      </c>
      <c r="C1886" s="89">
        <v>0.51666666666666605</v>
      </c>
      <c r="D1886" s="90">
        <v>0</v>
      </c>
      <c r="E1886" s="90">
        <v>0</v>
      </c>
      <c r="F1886" s="90">
        <v>0</v>
      </c>
      <c r="G1886" s="90">
        <v>0</v>
      </c>
      <c r="H1886" s="90">
        <v>0</v>
      </c>
      <c r="I1886" s="90">
        <v>0</v>
      </c>
      <c r="J1886" s="90">
        <v>0</v>
      </c>
    </row>
    <row r="1887" spans="1:10">
      <c r="A1887" s="88" t="s">
        <v>100</v>
      </c>
      <c r="B1887" s="88" t="s">
        <v>14</v>
      </c>
      <c r="C1887" s="89">
        <v>0.51736111111111105</v>
      </c>
      <c r="D1887" s="90">
        <v>0</v>
      </c>
      <c r="E1887" s="90">
        <v>0</v>
      </c>
      <c r="F1887" s="90">
        <v>0</v>
      </c>
      <c r="G1887" s="90">
        <v>0</v>
      </c>
      <c r="H1887" s="90">
        <v>0</v>
      </c>
      <c r="I1887" s="90">
        <v>0</v>
      </c>
      <c r="J1887" s="90">
        <v>0</v>
      </c>
    </row>
    <row r="1888" spans="1:10">
      <c r="A1888" s="88" t="s">
        <v>100</v>
      </c>
      <c r="B1888" s="88" t="s">
        <v>14</v>
      </c>
      <c r="C1888" s="89">
        <v>0.51805555555555505</v>
      </c>
      <c r="D1888" s="90">
        <v>0</v>
      </c>
      <c r="E1888" s="90">
        <v>0</v>
      </c>
      <c r="F1888" s="90">
        <v>0</v>
      </c>
      <c r="G1888" s="90">
        <v>0</v>
      </c>
      <c r="H1888" s="90">
        <v>0</v>
      </c>
      <c r="I1888" s="90">
        <v>0</v>
      </c>
      <c r="J1888" s="90">
        <v>0</v>
      </c>
    </row>
    <row r="1889" spans="1:10">
      <c r="A1889" s="88" t="s">
        <v>100</v>
      </c>
      <c r="B1889" s="88" t="s">
        <v>14</v>
      </c>
      <c r="C1889" s="89">
        <v>0.51875000000000004</v>
      </c>
      <c r="D1889" s="90">
        <v>0</v>
      </c>
      <c r="E1889" s="90">
        <v>0</v>
      </c>
      <c r="F1889" s="90">
        <v>0</v>
      </c>
      <c r="G1889" s="90">
        <v>0</v>
      </c>
      <c r="H1889" s="90">
        <v>0</v>
      </c>
      <c r="I1889" s="90">
        <v>0</v>
      </c>
      <c r="J1889" s="90">
        <v>0</v>
      </c>
    </row>
    <row r="1890" spans="1:10">
      <c r="A1890" s="88" t="s">
        <v>100</v>
      </c>
      <c r="B1890" s="88" t="s">
        <v>14</v>
      </c>
      <c r="C1890" s="89">
        <v>0.51944444444444404</v>
      </c>
      <c r="D1890" s="90">
        <v>0</v>
      </c>
      <c r="E1890" s="90">
        <v>0</v>
      </c>
      <c r="F1890" s="90">
        <v>0</v>
      </c>
      <c r="G1890" s="90">
        <v>0</v>
      </c>
      <c r="H1890" s="90">
        <v>0</v>
      </c>
      <c r="I1890" s="90">
        <v>0</v>
      </c>
      <c r="J1890" s="90">
        <v>0</v>
      </c>
    </row>
    <row r="1891" spans="1:10" s="80" customFormat="1">
      <c r="A1891" s="91" t="s">
        <v>100</v>
      </c>
      <c r="B1891" s="91" t="s">
        <v>14</v>
      </c>
      <c r="C1891" s="92">
        <v>0.52013888888888904</v>
      </c>
      <c r="D1891" s="93">
        <v>0</v>
      </c>
      <c r="E1891" s="93">
        <v>0</v>
      </c>
      <c r="F1891" s="93">
        <v>0</v>
      </c>
      <c r="G1891" s="93">
        <v>0</v>
      </c>
      <c r="H1891" s="93">
        <v>0</v>
      </c>
      <c r="I1891" s="93">
        <v>0</v>
      </c>
      <c r="J1891" s="93">
        <v>0</v>
      </c>
    </row>
    <row r="1892" spans="1:10">
      <c r="A1892" s="88" t="s">
        <v>100</v>
      </c>
      <c r="B1892" s="88" t="s">
        <v>14</v>
      </c>
      <c r="C1892" s="89">
        <v>0.52083333333333304</v>
      </c>
      <c r="D1892" s="94">
        <v>0</v>
      </c>
      <c r="E1892" s="94">
        <v>0</v>
      </c>
      <c r="F1892" s="94">
        <v>0</v>
      </c>
      <c r="G1892" s="94">
        <v>0</v>
      </c>
      <c r="H1892" s="94">
        <v>0</v>
      </c>
      <c r="I1892" s="94">
        <v>0</v>
      </c>
      <c r="J1892" s="94">
        <v>0</v>
      </c>
    </row>
    <row r="1893" spans="1:10">
      <c r="A1893" s="88" t="s">
        <v>100</v>
      </c>
      <c r="B1893" s="88" t="s">
        <v>14</v>
      </c>
      <c r="C1893" s="89">
        <v>0.52152777777777704</v>
      </c>
      <c r="D1893" s="90">
        <v>0</v>
      </c>
      <c r="E1893" s="90">
        <v>0</v>
      </c>
      <c r="F1893" s="90">
        <v>0</v>
      </c>
      <c r="G1893" s="90">
        <v>0</v>
      </c>
      <c r="H1893" s="90">
        <v>0</v>
      </c>
      <c r="I1893" s="90">
        <v>0</v>
      </c>
      <c r="J1893" s="90">
        <v>0</v>
      </c>
    </row>
    <row r="1894" spans="1:10">
      <c r="A1894" s="88" t="s">
        <v>100</v>
      </c>
      <c r="B1894" s="88" t="s">
        <v>14</v>
      </c>
      <c r="C1894" s="89">
        <v>0.52222222222222203</v>
      </c>
      <c r="D1894" s="90">
        <v>0</v>
      </c>
      <c r="E1894" s="90">
        <v>0</v>
      </c>
      <c r="F1894" s="90">
        <v>0</v>
      </c>
      <c r="G1894" s="90">
        <v>0</v>
      </c>
      <c r="H1894" s="90">
        <v>0</v>
      </c>
      <c r="I1894" s="90">
        <v>0</v>
      </c>
      <c r="J1894" s="90">
        <v>0</v>
      </c>
    </row>
    <row r="1895" spans="1:10">
      <c r="A1895" s="88" t="s">
        <v>100</v>
      </c>
      <c r="B1895" s="88" t="s">
        <v>14</v>
      </c>
      <c r="C1895" s="89">
        <v>0.52291666666666603</v>
      </c>
      <c r="D1895" s="90">
        <v>0</v>
      </c>
      <c r="E1895" s="90">
        <v>0</v>
      </c>
      <c r="F1895" s="90">
        <v>0</v>
      </c>
      <c r="G1895" s="90">
        <v>0</v>
      </c>
      <c r="H1895" s="90">
        <v>0</v>
      </c>
      <c r="I1895" s="90">
        <v>0</v>
      </c>
      <c r="J1895" s="90">
        <v>0</v>
      </c>
    </row>
    <row r="1896" spans="1:10">
      <c r="A1896" s="88" t="s">
        <v>100</v>
      </c>
      <c r="B1896" s="88" t="s">
        <v>14</v>
      </c>
      <c r="C1896" s="89">
        <v>0.52361111111111103</v>
      </c>
      <c r="D1896" s="90">
        <v>0</v>
      </c>
      <c r="E1896" s="90">
        <v>0</v>
      </c>
      <c r="F1896" s="90">
        <v>0</v>
      </c>
      <c r="G1896" s="90">
        <v>0</v>
      </c>
      <c r="H1896" s="90">
        <v>0</v>
      </c>
      <c r="I1896" s="90">
        <v>0</v>
      </c>
      <c r="J1896" s="90">
        <v>0</v>
      </c>
    </row>
    <row r="1897" spans="1:10">
      <c r="A1897" s="88" t="s">
        <v>100</v>
      </c>
      <c r="B1897" s="88" t="s">
        <v>14</v>
      </c>
      <c r="C1897" s="89">
        <v>0.52430555555555503</v>
      </c>
      <c r="D1897" s="90">
        <v>0</v>
      </c>
      <c r="E1897" s="90">
        <v>0</v>
      </c>
      <c r="F1897" s="90">
        <v>0</v>
      </c>
      <c r="G1897" s="90">
        <v>0</v>
      </c>
      <c r="H1897" s="90">
        <v>0</v>
      </c>
      <c r="I1897" s="90">
        <v>0</v>
      </c>
      <c r="J1897" s="90">
        <v>0</v>
      </c>
    </row>
    <row r="1898" spans="1:10">
      <c r="A1898" s="88" t="s">
        <v>100</v>
      </c>
      <c r="B1898" s="88" t="s">
        <v>14</v>
      </c>
      <c r="C1898" s="89">
        <v>0.52500000000000002</v>
      </c>
      <c r="D1898" s="90">
        <v>0</v>
      </c>
      <c r="E1898" s="90">
        <v>0</v>
      </c>
      <c r="F1898" s="90">
        <v>0</v>
      </c>
      <c r="G1898" s="90">
        <v>0</v>
      </c>
      <c r="H1898" s="90">
        <v>0</v>
      </c>
      <c r="I1898" s="90">
        <v>0</v>
      </c>
      <c r="J1898" s="90">
        <v>0</v>
      </c>
    </row>
    <row r="1899" spans="1:10">
      <c r="A1899" s="88" t="s">
        <v>100</v>
      </c>
      <c r="B1899" s="88" t="s">
        <v>14</v>
      </c>
      <c r="C1899" s="89">
        <v>0.52569444444444402</v>
      </c>
      <c r="D1899" s="90">
        <v>0</v>
      </c>
      <c r="E1899" s="90">
        <v>0</v>
      </c>
      <c r="F1899" s="90">
        <v>0</v>
      </c>
      <c r="G1899" s="90">
        <v>0</v>
      </c>
      <c r="H1899" s="90">
        <v>0</v>
      </c>
      <c r="I1899" s="90">
        <v>0</v>
      </c>
      <c r="J1899" s="90">
        <v>0</v>
      </c>
    </row>
    <row r="1900" spans="1:10">
      <c r="A1900" s="88" t="s">
        <v>100</v>
      </c>
      <c r="B1900" s="88" t="s">
        <v>14</v>
      </c>
      <c r="C1900" s="89">
        <v>0.52638888888888902</v>
      </c>
      <c r="D1900" s="90">
        <v>0</v>
      </c>
      <c r="E1900" s="90">
        <v>0</v>
      </c>
      <c r="F1900" s="90">
        <v>0</v>
      </c>
      <c r="G1900" s="90">
        <v>0</v>
      </c>
      <c r="H1900" s="90">
        <v>0</v>
      </c>
      <c r="I1900" s="90">
        <v>0</v>
      </c>
      <c r="J1900" s="90">
        <v>0</v>
      </c>
    </row>
    <row r="1901" spans="1:10">
      <c r="A1901" s="88" t="s">
        <v>100</v>
      </c>
      <c r="B1901" s="88" t="s">
        <v>14</v>
      </c>
      <c r="C1901" s="89">
        <v>0.52708333333333302</v>
      </c>
      <c r="D1901" s="90">
        <v>0</v>
      </c>
      <c r="E1901" s="90">
        <v>0</v>
      </c>
      <c r="F1901" s="90">
        <v>0</v>
      </c>
      <c r="G1901" s="90">
        <v>0</v>
      </c>
      <c r="H1901" s="90">
        <v>0</v>
      </c>
      <c r="I1901" s="90">
        <v>0</v>
      </c>
      <c r="J1901" s="90">
        <v>0</v>
      </c>
    </row>
    <row r="1902" spans="1:10">
      <c r="A1902" s="88" t="s">
        <v>100</v>
      </c>
      <c r="B1902" s="88" t="s">
        <v>14</v>
      </c>
      <c r="C1902" s="89">
        <v>0.52777777777777701</v>
      </c>
      <c r="D1902" s="90">
        <v>0</v>
      </c>
      <c r="E1902" s="90">
        <v>0</v>
      </c>
      <c r="F1902" s="90">
        <v>0</v>
      </c>
      <c r="G1902" s="90">
        <v>0</v>
      </c>
      <c r="H1902" s="90">
        <v>0</v>
      </c>
      <c r="I1902" s="90">
        <v>0</v>
      </c>
      <c r="J1902" s="90">
        <v>0</v>
      </c>
    </row>
    <row r="1903" spans="1:10">
      <c r="A1903" s="88" t="s">
        <v>100</v>
      </c>
      <c r="B1903" s="88" t="s">
        <v>14</v>
      </c>
      <c r="C1903" s="89">
        <v>0.52847222222222201</v>
      </c>
      <c r="D1903" s="90">
        <v>0</v>
      </c>
      <c r="E1903" s="90">
        <v>0</v>
      </c>
      <c r="F1903" s="90">
        <v>0</v>
      </c>
      <c r="G1903" s="90">
        <v>0</v>
      </c>
      <c r="H1903" s="90">
        <v>0</v>
      </c>
      <c r="I1903" s="90">
        <v>0</v>
      </c>
      <c r="J1903" s="90">
        <v>0</v>
      </c>
    </row>
    <row r="1904" spans="1:10">
      <c r="A1904" s="88" t="s">
        <v>100</v>
      </c>
      <c r="B1904" s="88" t="s">
        <v>14</v>
      </c>
      <c r="C1904" s="89">
        <v>0.52916666666666601</v>
      </c>
      <c r="D1904" s="90">
        <v>0</v>
      </c>
      <c r="E1904" s="90">
        <v>0</v>
      </c>
      <c r="F1904" s="90">
        <v>0</v>
      </c>
      <c r="G1904" s="90">
        <v>0</v>
      </c>
      <c r="H1904" s="90">
        <v>0</v>
      </c>
      <c r="I1904" s="90">
        <v>0</v>
      </c>
      <c r="J1904" s="90">
        <v>0</v>
      </c>
    </row>
    <row r="1905" spans="1:10">
      <c r="A1905" s="88" t="s">
        <v>100</v>
      </c>
      <c r="B1905" s="88" t="s">
        <v>14</v>
      </c>
      <c r="C1905" s="89">
        <v>0.52986111111111101</v>
      </c>
      <c r="D1905" s="90">
        <v>0</v>
      </c>
      <c r="E1905" s="90">
        <v>0</v>
      </c>
      <c r="F1905" s="90">
        <v>0</v>
      </c>
      <c r="G1905" s="90">
        <v>0</v>
      </c>
      <c r="H1905" s="90">
        <v>0</v>
      </c>
      <c r="I1905" s="90">
        <v>0</v>
      </c>
      <c r="J1905" s="90">
        <v>0</v>
      </c>
    </row>
    <row r="1906" spans="1:10" s="80" customFormat="1">
      <c r="A1906" s="91" t="s">
        <v>100</v>
      </c>
      <c r="B1906" s="91" t="s">
        <v>14</v>
      </c>
      <c r="C1906" s="92">
        <v>0.530555555555555</v>
      </c>
      <c r="D1906" s="93">
        <v>0</v>
      </c>
      <c r="E1906" s="93">
        <v>0</v>
      </c>
      <c r="F1906" s="93">
        <v>0</v>
      </c>
      <c r="G1906" s="93">
        <v>0</v>
      </c>
      <c r="H1906" s="93">
        <v>0</v>
      </c>
      <c r="I1906" s="93">
        <v>0</v>
      </c>
      <c r="J1906" s="93">
        <v>0</v>
      </c>
    </row>
    <row r="1907" spans="1:10">
      <c r="A1907" s="88" t="s">
        <v>100</v>
      </c>
      <c r="B1907" s="88" t="s">
        <v>14</v>
      </c>
      <c r="C1907" s="89">
        <v>0.53125</v>
      </c>
      <c r="D1907" s="94">
        <v>0</v>
      </c>
      <c r="E1907" s="94">
        <v>0</v>
      </c>
      <c r="F1907" s="94">
        <v>0</v>
      </c>
      <c r="G1907" s="94">
        <v>0</v>
      </c>
      <c r="H1907" s="94">
        <v>0</v>
      </c>
      <c r="I1907" s="94">
        <v>0</v>
      </c>
      <c r="J1907" s="94">
        <v>0</v>
      </c>
    </row>
    <row r="1908" spans="1:10">
      <c r="A1908" s="88" t="s">
        <v>100</v>
      </c>
      <c r="B1908" s="88" t="s">
        <v>14</v>
      </c>
      <c r="C1908" s="89">
        <v>0.531944444444444</v>
      </c>
      <c r="D1908" s="90">
        <v>0</v>
      </c>
      <c r="E1908" s="90">
        <v>0</v>
      </c>
      <c r="F1908" s="90">
        <v>0</v>
      </c>
      <c r="G1908" s="90">
        <v>0</v>
      </c>
      <c r="H1908" s="90">
        <v>0</v>
      </c>
      <c r="I1908" s="90">
        <v>0</v>
      </c>
      <c r="J1908" s="90">
        <v>0</v>
      </c>
    </row>
    <row r="1909" spans="1:10">
      <c r="A1909" s="88" t="s">
        <v>100</v>
      </c>
      <c r="B1909" s="88" t="s">
        <v>14</v>
      </c>
      <c r="C1909" s="89">
        <v>0.53263888888888899</v>
      </c>
      <c r="D1909" s="90">
        <v>0</v>
      </c>
      <c r="E1909" s="90">
        <v>0</v>
      </c>
      <c r="F1909" s="90">
        <v>0</v>
      </c>
      <c r="G1909" s="90">
        <v>0</v>
      </c>
      <c r="H1909" s="90">
        <v>0</v>
      </c>
      <c r="I1909" s="90">
        <v>0</v>
      </c>
      <c r="J1909" s="90">
        <v>0</v>
      </c>
    </row>
    <row r="1910" spans="1:10">
      <c r="A1910" s="88" t="s">
        <v>100</v>
      </c>
      <c r="B1910" s="88" t="s">
        <v>14</v>
      </c>
      <c r="C1910" s="89">
        <v>0.53333333333333299</v>
      </c>
      <c r="D1910" s="90">
        <v>0</v>
      </c>
      <c r="E1910" s="90">
        <v>0</v>
      </c>
      <c r="F1910" s="90">
        <v>0</v>
      </c>
      <c r="G1910" s="90">
        <v>0</v>
      </c>
      <c r="H1910" s="90">
        <v>0</v>
      </c>
      <c r="I1910" s="90">
        <v>0</v>
      </c>
      <c r="J1910" s="90">
        <v>0</v>
      </c>
    </row>
    <row r="1911" spans="1:10">
      <c r="A1911" s="88" t="s">
        <v>100</v>
      </c>
      <c r="B1911" s="88" t="s">
        <v>14</v>
      </c>
      <c r="C1911" s="89">
        <v>0.53402777777777799</v>
      </c>
      <c r="D1911" s="90">
        <v>0</v>
      </c>
      <c r="E1911" s="90">
        <v>0</v>
      </c>
      <c r="F1911" s="90">
        <v>0</v>
      </c>
      <c r="G1911" s="90">
        <v>0</v>
      </c>
      <c r="H1911" s="90">
        <v>0</v>
      </c>
      <c r="I1911" s="90">
        <v>0</v>
      </c>
      <c r="J1911" s="90">
        <v>0</v>
      </c>
    </row>
    <row r="1912" spans="1:10">
      <c r="A1912" s="88" t="s">
        <v>100</v>
      </c>
      <c r="B1912" s="88" t="s">
        <v>14</v>
      </c>
      <c r="C1912" s="89">
        <v>0.53472222222222199</v>
      </c>
      <c r="D1912" s="90">
        <v>0</v>
      </c>
      <c r="E1912" s="90">
        <v>0</v>
      </c>
      <c r="F1912" s="90">
        <v>0</v>
      </c>
      <c r="G1912" s="90">
        <v>0</v>
      </c>
      <c r="H1912" s="90">
        <v>0</v>
      </c>
      <c r="I1912" s="90">
        <v>0</v>
      </c>
      <c r="J1912" s="90">
        <v>0</v>
      </c>
    </row>
    <row r="1913" spans="1:10">
      <c r="A1913" s="88" t="s">
        <v>100</v>
      </c>
      <c r="B1913" s="88" t="s">
        <v>14</v>
      </c>
      <c r="C1913" s="89">
        <v>0.53541666666666599</v>
      </c>
      <c r="D1913" s="90">
        <v>0</v>
      </c>
      <c r="E1913" s="90">
        <v>0</v>
      </c>
      <c r="F1913" s="90">
        <v>0</v>
      </c>
      <c r="G1913" s="90">
        <v>0</v>
      </c>
      <c r="H1913" s="90">
        <v>0</v>
      </c>
      <c r="I1913" s="90">
        <v>0</v>
      </c>
      <c r="J1913" s="90">
        <v>0</v>
      </c>
    </row>
    <row r="1914" spans="1:10">
      <c r="A1914" s="88" t="s">
        <v>100</v>
      </c>
      <c r="B1914" s="88" t="s">
        <v>14</v>
      </c>
      <c r="C1914" s="89">
        <v>0.53611111111111098</v>
      </c>
      <c r="D1914" s="90">
        <v>0</v>
      </c>
      <c r="E1914" s="90">
        <v>0</v>
      </c>
      <c r="F1914" s="90">
        <v>0</v>
      </c>
      <c r="G1914" s="90">
        <v>0</v>
      </c>
      <c r="H1914" s="90">
        <v>0</v>
      </c>
      <c r="I1914" s="90">
        <v>0</v>
      </c>
      <c r="J1914" s="90">
        <v>0</v>
      </c>
    </row>
    <row r="1915" spans="1:10">
      <c r="A1915" s="88" t="s">
        <v>100</v>
      </c>
      <c r="B1915" s="88" t="s">
        <v>14</v>
      </c>
      <c r="C1915" s="89">
        <v>0.53680555555555498</v>
      </c>
      <c r="D1915" s="90">
        <v>0</v>
      </c>
      <c r="E1915" s="90">
        <v>0</v>
      </c>
      <c r="F1915" s="90">
        <v>0</v>
      </c>
      <c r="G1915" s="90">
        <v>0</v>
      </c>
      <c r="H1915" s="90">
        <v>0</v>
      </c>
      <c r="I1915" s="90">
        <v>0</v>
      </c>
      <c r="J1915" s="90">
        <v>0</v>
      </c>
    </row>
    <row r="1916" spans="1:10">
      <c r="A1916" s="88" t="s">
        <v>100</v>
      </c>
      <c r="B1916" s="88" t="s">
        <v>14</v>
      </c>
      <c r="C1916" s="89">
        <v>0.53749999999999998</v>
      </c>
      <c r="D1916" s="90">
        <v>0</v>
      </c>
      <c r="E1916" s="90">
        <v>0</v>
      </c>
      <c r="F1916" s="90">
        <v>0</v>
      </c>
      <c r="G1916" s="90">
        <v>0</v>
      </c>
      <c r="H1916" s="90">
        <v>0</v>
      </c>
      <c r="I1916" s="90">
        <v>0</v>
      </c>
      <c r="J1916" s="90">
        <v>0</v>
      </c>
    </row>
    <row r="1917" spans="1:10">
      <c r="A1917" s="88" t="s">
        <v>100</v>
      </c>
      <c r="B1917" s="88" t="s">
        <v>14</v>
      </c>
      <c r="C1917" s="89">
        <v>0.53819444444444398</v>
      </c>
      <c r="D1917" s="90">
        <v>0</v>
      </c>
      <c r="E1917" s="90">
        <v>0</v>
      </c>
      <c r="F1917" s="90">
        <v>0</v>
      </c>
      <c r="G1917" s="90">
        <v>0</v>
      </c>
      <c r="H1917" s="90">
        <v>0</v>
      </c>
      <c r="I1917" s="90">
        <v>0</v>
      </c>
      <c r="J1917" s="90">
        <v>0</v>
      </c>
    </row>
    <row r="1918" spans="1:10">
      <c r="A1918" s="88" t="s">
        <v>100</v>
      </c>
      <c r="B1918" s="88" t="s">
        <v>14</v>
      </c>
      <c r="C1918" s="89">
        <v>0.53888888888888897</v>
      </c>
      <c r="D1918" s="90">
        <v>0</v>
      </c>
      <c r="E1918" s="90">
        <v>0</v>
      </c>
      <c r="F1918" s="90">
        <v>0</v>
      </c>
      <c r="G1918" s="90">
        <v>0</v>
      </c>
      <c r="H1918" s="90">
        <v>0</v>
      </c>
      <c r="I1918" s="90">
        <v>0</v>
      </c>
      <c r="J1918" s="90">
        <v>0</v>
      </c>
    </row>
    <row r="1919" spans="1:10">
      <c r="A1919" s="88" t="s">
        <v>100</v>
      </c>
      <c r="B1919" s="88" t="s">
        <v>14</v>
      </c>
      <c r="C1919" s="89">
        <v>0.53958333333333297</v>
      </c>
      <c r="D1919" s="90">
        <v>0</v>
      </c>
      <c r="E1919" s="90">
        <v>0</v>
      </c>
      <c r="F1919" s="90">
        <v>0</v>
      </c>
      <c r="G1919" s="90">
        <v>0</v>
      </c>
      <c r="H1919" s="90">
        <v>0</v>
      </c>
      <c r="I1919" s="90">
        <v>0</v>
      </c>
      <c r="J1919" s="90">
        <v>0</v>
      </c>
    </row>
    <row r="1920" spans="1:10">
      <c r="A1920" s="88" t="s">
        <v>100</v>
      </c>
      <c r="B1920" s="88" t="s">
        <v>14</v>
      </c>
      <c r="C1920" s="89">
        <v>0.54027777777777797</v>
      </c>
      <c r="D1920" s="90">
        <v>0</v>
      </c>
      <c r="E1920" s="90">
        <v>0</v>
      </c>
      <c r="F1920" s="90">
        <v>0</v>
      </c>
      <c r="G1920" s="90">
        <v>0</v>
      </c>
      <c r="H1920" s="90">
        <v>0</v>
      </c>
      <c r="I1920" s="90">
        <v>0</v>
      </c>
      <c r="J1920" s="90">
        <v>0</v>
      </c>
    </row>
    <row r="1921" spans="1:10" s="28" customFormat="1" ht="17.5" thickBot="1">
      <c r="A1921" s="103" t="s">
        <v>100</v>
      </c>
      <c r="B1921" s="103" t="s">
        <v>14</v>
      </c>
      <c r="C1921" s="104">
        <v>0.54097222222222197</v>
      </c>
      <c r="D1921" s="105">
        <v>0</v>
      </c>
      <c r="E1921" s="105">
        <v>0</v>
      </c>
      <c r="F1921" s="105">
        <v>0</v>
      </c>
      <c r="G1921" s="105">
        <v>0</v>
      </c>
      <c r="H1921" s="105">
        <v>0</v>
      </c>
      <c r="I1921" s="105">
        <v>0</v>
      </c>
      <c r="J1921" s="105">
        <v>0</v>
      </c>
    </row>
    <row r="1922" spans="1:10">
      <c r="A1922" s="88" t="s">
        <v>100</v>
      </c>
      <c r="B1922" s="88" t="s">
        <v>124</v>
      </c>
      <c r="C1922" s="89">
        <v>0.45833333333333331</v>
      </c>
      <c r="D1922" s="90">
        <v>0</v>
      </c>
      <c r="E1922" s="90">
        <v>0</v>
      </c>
      <c r="F1922" s="90">
        <v>0</v>
      </c>
      <c r="G1922" s="90">
        <v>0</v>
      </c>
      <c r="H1922" s="90">
        <v>0</v>
      </c>
      <c r="I1922" s="90">
        <v>0</v>
      </c>
      <c r="J1922" s="90">
        <v>0</v>
      </c>
    </row>
    <row r="1923" spans="1:10">
      <c r="A1923" s="88" t="s">
        <v>100</v>
      </c>
      <c r="B1923" s="88" t="s">
        <v>124</v>
      </c>
      <c r="C1923" s="89">
        <v>0.45902777777777776</v>
      </c>
      <c r="D1923" s="90">
        <v>0</v>
      </c>
      <c r="E1923" s="90">
        <v>0</v>
      </c>
      <c r="F1923" s="90">
        <v>0</v>
      </c>
      <c r="G1923" s="90">
        <v>0</v>
      </c>
      <c r="H1923" s="90">
        <v>0</v>
      </c>
      <c r="I1923" s="90">
        <v>0</v>
      </c>
      <c r="J1923" s="90">
        <v>0</v>
      </c>
    </row>
    <row r="1924" spans="1:10">
      <c r="A1924" s="88" t="s">
        <v>100</v>
      </c>
      <c r="B1924" s="88" t="s">
        <v>123</v>
      </c>
      <c r="C1924" s="89">
        <v>0.45972222222222198</v>
      </c>
      <c r="D1924" s="90">
        <v>0</v>
      </c>
      <c r="E1924" s="90">
        <v>0</v>
      </c>
      <c r="F1924" s="90">
        <v>0</v>
      </c>
      <c r="G1924" s="90">
        <v>0</v>
      </c>
      <c r="H1924" s="90">
        <v>0</v>
      </c>
      <c r="I1924" s="90">
        <v>0</v>
      </c>
      <c r="J1924" s="90">
        <v>0</v>
      </c>
    </row>
    <row r="1925" spans="1:10">
      <c r="A1925" s="88" t="s">
        <v>100</v>
      </c>
      <c r="B1925" s="88" t="s">
        <v>123</v>
      </c>
      <c r="C1925" s="89">
        <v>0.46041666666666697</v>
      </c>
      <c r="D1925" s="90">
        <v>0</v>
      </c>
      <c r="E1925" s="90">
        <v>0</v>
      </c>
      <c r="F1925" s="90">
        <v>0</v>
      </c>
      <c r="G1925" s="90">
        <v>0</v>
      </c>
      <c r="H1925" s="90">
        <v>0</v>
      </c>
      <c r="I1925" s="90">
        <v>0</v>
      </c>
      <c r="J1925" s="90">
        <v>0</v>
      </c>
    </row>
    <row r="1926" spans="1:10">
      <c r="A1926" s="88" t="s">
        <v>100</v>
      </c>
      <c r="B1926" s="88" t="s">
        <v>123</v>
      </c>
      <c r="C1926" s="89">
        <v>0.46111111111111103</v>
      </c>
      <c r="D1926" s="90">
        <v>0</v>
      </c>
      <c r="E1926" s="90">
        <v>0</v>
      </c>
      <c r="F1926" s="90">
        <v>0</v>
      </c>
      <c r="G1926" s="90">
        <v>0</v>
      </c>
      <c r="H1926" s="90">
        <v>0</v>
      </c>
      <c r="I1926" s="90">
        <v>0</v>
      </c>
      <c r="J1926" s="90">
        <v>0</v>
      </c>
    </row>
    <row r="1927" spans="1:10">
      <c r="A1927" s="88" t="s">
        <v>100</v>
      </c>
      <c r="B1927" s="88" t="s">
        <v>123</v>
      </c>
      <c r="C1927" s="89">
        <v>0.46180555555555602</v>
      </c>
      <c r="D1927" s="90">
        <v>0</v>
      </c>
      <c r="E1927" s="90">
        <v>0</v>
      </c>
      <c r="F1927" s="90">
        <v>0</v>
      </c>
      <c r="G1927" s="90">
        <v>0</v>
      </c>
      <c r="H1927" s="90">
        <v>0</v>
      </c>
      <c r="I1927" s="90">
        <v>0</v>
      </c>
      <c r="J1927" s="90">
        <v>0</v>
      </c>
    </row>
    <row r="1928" spans="1:10">
      <c r="A1928" s="88" t="s">
        <v>100</v>
      </c>
      <c r="B1928" s="88" t="s">
        <v>123</v>
      </c>
      <c r="C1928" s="89">
        <v>0.46250000000000002</v>
      </c>
      <c r="D1928" s="90">
        <v>0</v>
      </c>
      <c r="E1928" s="90">
        <v>0</v>
      </c>
      <c r="F1928" s="90">
        <v>0</v>
      </c>
      <c r="G1928" s="90">
        <v>0</v>
      </c>
      <c r="H1928" s="90">
        <v>0</v>
      </c>
      <c r="I1928" s="90">
        <v>0</v>
      </c>
      <c r="J1928" s="90">
        <v>0</v>
      </c>
    </row>
    <row r="1929" spans="1:10">
      <c r="A1929" s="88" t="s">
        <v>100</v>
      </c>
      <c r="B1929" s="88" t="s">
        <v>123</v>
      </c>
      <c r="C1929" s="89">
        <v>0.46319444444444402</v>
      </c>
      <c r="D1929" s="90">
        <v>0</v>
      </c>
      <c r="E1929" s="90">
        <v>0</v>
      </c>
      <c r="F1929" s="90">
        <v>0</v>
      </c>
      <c r="G1929" s="90">
        <v>0</v>
      </c>
      <c r="H1929" s="90">
        <v>0</v>
      </c>
      <c r="I1929" s="90">
        <v>0</v>
      </c>
      <c r="J1929" s="90">
        <v>0</v>
      </c>
    </row>
    <row r="1930" spans="1:10">
      <c r="A1930" s="88" t="s">
        <v>100</v>
      </c>
      <c r="B1930" s="88" t="s">
        <v>123</v>
      </c>
      <c r="C1930" s="89">
        <v>0.46388888888888902</v>
      </c>
      <c r="D1930" s="90">
        <v>0</v>
      </c>
      <c r="E1930" s="90">
        <v>0</v>
      </c>
      <c r="F1930" s="90">
        <v>0</v>
      </c>
      <c r="G1930" s="90">
        <v>0</v>
      </c>
      <c r="H1930" s="90">
        <v>0</v>
      </c>
      <c r="I1930" s="90">
        <v>0</v>
      </c>
      <c r="J1930" s="90">
        <v>0</v>
      </c>
    </row>
    <row r="1931" spans="1:10">
      <c r="A1931" s="88" t="s">
        <v>100</v>
      </c>
      <c r="B1931" s="88" t="s">
        <v>123</v>
      </c>
      <c r="C1931" s="89">
        <v>0.46458333333333302</v>
      </c>
      <c r="D1931" s="90">
        <v>0</v>
      </c>
      <c r="E1931" s="90">
        <v>0</v>
      </c>
      <c r="F1931" s="90">
        <v>0</v>
      </c>
      <c r="G1931" s="90">
        <v>0</v>
      </c>
      <c r="H1931" s="90">
        <v>0</v>
      </c>
      <c r="I1931" s="90">
        <v>0</v>
      </c>
      <c r="J1931" s="90">
        <v>0</v>
      </c>
    </row>
    <row r="1932" spans="1:10">
      <c r="A1932" s="88" t="s">
        <v>100</v>
      </c>
      <c r="B1932" s="88" t="s">
        <v>123</v>
      </c>
      <c r="C1932" s="89">
        <v>0.46527777777777801</v>
      </c>
      <c r="D1932" s="90">
        <v>0</v>
      </c>
      <c r="E1932" s="90">
        <v>0</v>
      </c>
      <c r="F1932" s="90">
        <v>0</v>
      </c>
      <c r="G1932" s="90">
        <v>0</v>
      </c>
      <c r="H1932" s="90">
        <v>0</v>
      </c>
      <c r="I1932" s="90">
        <v>0</v>
      </c>
      <c r="J1932" s="90">
        <v>0</v>
      </c>
    </row>
    <row r="1933" spans="1:10">
      <c r="A1933" s="88" t="s">
        <v>100</v>
      </c>
      <c r="B1933" s="88" t="s">
        <v>123</v>
      </c>
      <c r="C1933" s="89">
        <v>0.46597222222222201</v>
      </c>
      <c r="D1933" s="90">
        <v>0</v>
      </c>
      <c r="E1933" s="90">
        <v>0</v>
      </c>
      <c r="F1933" s="90">
        <v>0</v>
      </c>
      <c r="G1933" s="90">
        <v>0</v>
      </c>
      <c r="H1933" s="90">
        <v>0</v>
      </c>
      <c r="I1933" s="90">
        <v>0</v>
      </c>
      <c r="J1933" s="90">
        <v>0</v>
      </c>
    </row>
    <row r="1934" spans="1:10">
      <c r="A1934" s="88" t="s">
        <v>100</v>
      </c>
      <c r="B1934" s="88" t="s">
        <v>123</v>
      </c>
      <c r="C1934" s="89">
        <v>0.46666666666666701</v>
      </c>
      <c r="D1934" s="90">
        <v>0</v>
      </c>
      <c r="E1934" s="90">
        <v>0</v>
      </c>
      <c r="F1934" s="90">
        <v>0</v>
      </c>
      <c r="G1934" s="90">
        <v>0</v>
      </c>
      <c r="H1934" s="90">
        <v>0</v>
      </c>
      <c r="I1934" s="90">
        <v>0</v>
      </c>
      <c r="J1934" s="90">
        <v>0</v>
      </c>
    </row>
    <row r="1935" spans="1:10">
      <c r="A1935" s="88" t="s">
        <v>100</v>
      </c>
      <c r="B1935" s="88" t="s">
        <v>123</v>
      </c>
      <c r="C1935" s="89">
        <v>0.46736111111111101</v>
      </c>
      <c r="D1935" s="90">
        <v>0</v>
      </c>
      <c r="E1935" s="90">
        <v>0</v>
      </c>
      <c r="F1935" s="90">
        <v>0</v>
      </c>
      <c r="G1935" s="90">
        <v>0</v>
      </c>
      <c r="H1935" s="90">
        <v>0</v>
      </c>
      <c r="I1935" s="90">
        <v>0</v>
      </c>
      <c r="J1935" s="90">
        <v>0</v>
      </c>
    </row>
    <row r="1936" spans="1:10" s="80" customFormat="1">
      <c r="A1936" s="91" t="s">
        <v>100</v>
      </c>
      <c r="B1936" s="91" t="s">
        <v>123</v>
      </c>
      <c r="C1936" s="92">
        <v>0.468055555555556</v>
      </c>
      <c r="D1936" s="93">
        <v>0</v>
      </c>
      <c r="E1936" s="93">
        <v>0</v>
      </c>
      <c r="F1936" s="93">
        <v>0</v>
      </c>
      <c r="G1936" s="93">
        <v>0</v>
      </c>
      <c r="H1936" s="93">
        <v>0</v>
      </c>
      <c r="I1936" s="93">
        <v>0</v>
      </c>
      <c r="J1936" s="93">
        <v>0</v>
      </c>
    </row>
    <row r="1937" spans="1:10">
      <c r="A1937" s="88" t="s">
        <v>100</v>
      </c>
      <c r="B1937" s="88" t="s">
        <v>123</v>
      </c>
      <c r="C1937" s="89">
        <v>0.46875</v>
      </c>
      <c r="D1937" s="94">
        <v>0</v>
      </c>
      <c r="E1937" s="94">
        <v>0</v>
      </c>
      <c r="F1937" s="94">
        <v>0</v>
      </c>
      <c r="G1937" s="94">
        <v>0</v>
      </c>
      <c r="H1937" s="94">
        <v>0</v>
      </c>
      <c r="I1937" s="94">
        <v>0</v>
      </c>
      <c r="J1937" s="94">
        <v>0</v>
      </c>
    </row>
    <row r="1938" spans="1:10">
      <c r="A1938" s="88" t="s">
        <v>100</v>
      </c>
      <c r="B1938" s="88" t="s">
        <v>123</v>
      </c>
      <c r="C1938" s="89">
        <v>0.469444444444444</v>
      </c>
      <c r="D1938" s="90">
        <v>0</v>
      </c>
      <c r="E1938" s="90">
        <v>0</v>
      </c>
      <c r="F1938" s="90">
        <v>0</v>
      </c>
      <c r="G1938" s="90">
        <v>0</v>
      </c>
      <c r="H1938" s="90">
        <v>0</v>
      </c>
      <c r="I1938" s="90">
        <v>0</v>
      </c>
      <c r="J1938" s="90">
        <v>0</v>
      </c>
    </row>
    <row r="1939" spans="1:10">
      <c r="A1939" s="88" t="s">
        <v>100</v>
      </c>
      <c r="B1939" s="88" t="s">
        <v>123</v>
      </c>
      <c r="C1939" s="89">
        <v>0.47013888888888899</v>
      </c>
      <c r="D1939" s="90">
        <v>0</v>
      </c>
      <c r="E1939" s="90">
        <v>0</v>
      </c>
      <c r="F1939" s="90">
        <v>0</v>
      </c>
      <c r="G1939" s="90">
        <v>0</v>
      </c>
      <c r="H1939" s="90">
        <v>0</v>
      </c>
      <c r="I1939" s="90">
        <v>0</v>
      </c>
      <c r="J1939" s="90">
        <v>0</v>
      </c>
    </row>
    <row r="1940" spans="1:10">
      <c r="A1940" s="88" t="s">
        <v>100</v>
      </c>
      <c r="B1940" s="88" t="s">
        <v>123</v>
      </c>
      <c r="C1940" s="89">
        <v>0.47083333333333299</v>
      </c>
      <c r="D1940" s="90">
        <v>0</v>
      </c>
      <c r="E1940" s="90">
        <v>0</v>
      </c>
      <c r="F1940" s="90">
        <v>0</v>
      </c>
      <c r="G1940" s="90">
        <v>0</v>
      </c>
      <c r="H1940" s="90">
        <v>0</v>
      </c>
      <c r="I1940" s="90">
        <v>0</v>
      </c>
      <c r="J1940" s="90">
        <v>0</v>
      </c>
    </row>
    <row r="1941" spans="1:10">
      <c r="A1941" s="88" t="s">
        <v>100</v>
      </c>
      <c r="B1941" s="88" t="s">
        <v>123</v>
      </c>
      <c r="C1941" s="89">
        <v>0.47152777777777799</v>
      </c>
      <c r="D1941" s="90">
        <v>0</v>
      </c>
      <c r="E1941" s="90">
        <v>0</v>
      </c>
      <c r="F1941" s="90">
        <v>0</v>
      </c>
      <c r="G1941" s="90">
        <v>0</v>
      </c>
      <c r="H1941" s="90">
        <v>0</v>
      </c>
      <c r="I1941" s="90">
        <v>0</v>
      </c>
      <c r="J1941" s="90">
        <v>0</v>
      </c>
    </row>
    <row r="1942" spans="1:10">
      <c r="A1942" s="88" t="s">
        <v>100</v>
      </c>
      <c r="B1942" s="88" t="s">
        <v>123</v>
      </c>
      <c r="C1942" s="89">
        <v>0.47222222222222199</v>
      </c>
      <c r="D1942" s="90">
        <v>0</v>
      </c>
      <c r="E1942" s="90">
        <v>0</v>
      </c>
      <c r="F1942" s="90">
        <v>0</v>
      </c>
      <c r="G1942" s="90">
        <v>0</v>
      </c>
      <c r="H1942" s="90">
        <v>0</v>
      </c>
      <c r="I1942" s="90">
        <v>0</v>
      </c>
      <c r="J1942" s="90">
        <v>0</v>
      </c>
    </row>
    <row r="1943" spans="1:10">
      <c r="A1943" s="88" t="s">
        <v>100</v>
      </c>
      <c r="B1943" s="88" t="s">
        <v>123</v>
      </c>
      <c r="C1943" s="89">
        <v>0.47291666666666698</v>
      </c>
      <c r="D1943" s="90">
        <v>0</v>
      </c>
      <c r="E1943" s="90">
        <v>0</v>
      </c>
      <c r="F1943" s="90">
        <v>0</v>
      </c>
      <c r="G1943" s="90">
        <v>0</v>
      </c>
      <c r="H1943" s="90">
        <v>0</v>
      </c>
      <c r="I1943" s="90">
        <v>0</v>
      </c>
      <c r="J1943" s="90">
        <v>0</v>
      </c>
    </row>
    <row r="1944" spans="1:10">
      <c r="A1944" s="88" t="s">
        <v>100</v>
      </c>
      <c r="B1944" s="88" t="s">
        <v>123</v>
      </c>
      <c r="C1944" s="89">
        <v>0.47361111111111098</v>
      </c>
      <c r="D1944" s="90">
        <v>0</v>
      </c>
      <c r="E1944" s="90">
        <v>0</v>
      </c>
      <c r="F1944" s="90">
        <v>0</v>
      </c>
      <c r="G1944" s="90">
        <v>0</v>
      </c>
      <c r="H1944" s="90">
        <v>0</v>
      </c>
      <c r="I1944" s="90">
        <v>0</v>
      </c>
      <c r="J1944" s="90">
        <v>0</v>
      </c>
    </row>
    <row r="1945" spans="1:10">
      <c r="A1945" s="88" t="s">
        <v>100</v>
      </c>
      <c r="B1945" s="88" t="s">
        <v>123</v>
      </c>
      <c r="C1945" s="89">
        <v>0.47430555555555598</v>
      </c>
      <c r="D1945" s="90">
        <v>0</v>
      </c>
      <c r="E1945" s="90">
        <v>0</v>
      </c>
      <c r="F1945" s="90">
        <v>0</v>
      </c>
      <c r="G1945" s="90">
        <v>0</v>
      </c>
      <c r="H1945" s="90">
        <v>0</v>
      </c>
      <c r="I1945" s="90">
        <v>0</v>
      </c>
      <c r="J1945" s="90">
        <v>0</v>
      </c>
    </row>
    <row r="1946" spans="1:10">
      <c r="A1946" s="88" t="s">
        <v>100</v>
      </c>
      <c r="B1946" s="88" t="s">
        <v>123</v>
      </c>
      <c r="C1946" s="89">
        <v>0.47499999999999998</v>
      </c>
      <c r="D1946" s="90">
        <v>0</v>
      </c>
      <c r="E1946" s="90">
        <v>0</v>
      </c>
      <c r="F1946" s="90">
        <v>0</v>
      </c>
      <c r="G1946" s="90">
        <v>0</v>
      </c>
      <c r="H1946" s="90">
        <v>0</v>
      </c>
      <c r="I1946" s="90">
        <v>0</v>
      </c>
      <c r="J1946" s="90">
        <v>0</v>
      </c>
    </row>
    <row r="1947" spans="1:10">
      <c r="A1947" s="88" t="s">
        <v>100</v>
      </c>
      <c r="B1947" s="88" t="s">
        <v>123</v>
      </c>
      <c r="C1947" s="89">
        <v>0.47569444444444398</v>
      </c>
      <c r="D1947" s="90">
        <v>0</v>
      </c>
      <c r="E1947" s="90">
        <v>0</v>
      </c>
      <c r="F1947" s="90">
        <v>0</v>
      </c>
      <c r="G1947" s="90">
        <v>0</v>
      </c>
      <c r="H1947" s="90">
        <v>0</v>
      </c>
      <c r="I1947" s="90">
        <v>0</v>
      </c>
      <c r="J1947" s="90">
        <v>0</v>
      </c>
    </row>
    <row r="1948" spans="1:10">
      <c r="A1948" s="88" t="s">
        <v>100</v>
      </c>
      <c r="B1948" s="88" t="s">
        <v>123</v>
      </c>
      <c r="C1948" s="89">
        <v>0.47638888888888897</v>
      </c>
      <c r="D1948" s="90">
        <v>0</v>
      </c>
      <c r="E1948" s="90">
        <v>0</v>
      </c>
      <c r="F1948" s="90">
        <v>0</v>
      </c>
      <c r="G1948" s="90">
        <v>0</v>
      </c>
      <c r="H1948" s="90">
        <v>0</v>
      </c>
      <c r="I1948" s="90">
        <v>0</v>
      </c>
      <c r="J1948" s="90">
        <v>0</v>
      </c>
    </row>
    <row r="1949" spans="1:10">
      <c r="A1949" s="88" t="s">
        <v>100</v>
      </c>
      <c r="B1949" s="88" t="s">
        <v>123</v>
      </c>
      <c r="C1949" s="89">
        <v>0.47708333333333303</v>
      </c>
      <c r="D1949" s="90">
        <v>0</v>
      </c>
      <c r="E1949" s="90">
        <v>0</v>
      </c>
      <c r="F1949" s="90">
        <v>0</v>
      </c>
      <c r="G1949" s="90">
        <v>0</v>
      </c>
      <c r="H1949" s="90">
        <v>0</v>
      </c>
      <c r="I1949" s="90">
        <v>0</v>
      </c>
      <c r="J1949" s="90">
        <v>0</v>
      </c>
    </row>
    <row r="1950" spans="1:10">
      <c r="A1950" s="88" t="s">
        <v>100</v>
      </c>
      <c r="B1950" s="88" t="s">
        <v>123</v>
      </c>
      <c r="C1950" s="89">
        <v>0.47777777777777802</v>
      </c>
      <c r="D1950" s="90">
        <v>0</v>
      </c>
      <c r="E1950" s="90">
        <v>0</v>
      </c>
      <c r="F1950" s="90">
        <v>0</v>
      </c>
      <c r="G1950" s="90">
        <v>0</v>
      </c>
      <c r="H1950" s="90">
        <v>0</v>
      </c>
      <c r="I1950" s="90">
        <v>0</v>
      </c>
      <c r="J1950" s="90">
        <v>0</v>
      </c>
    </row>
    <row r="1951" spans="1:10" s="80" customFormat="1">
      <c r="A1951" s="91" t="s">
        <v>100</v>
      </c>
      <c r="B1951" s="91" t="s">
        <v>123</v>
      </c>
      <c r="C1951" s="92">
        <v>0.47847222222222202</v>
      </c>
      <c r="D1951" s="90">
        <v>0</v>
      </c>
      <c r="E1951" s="90">
        <v>0</v>
      </c>
      <c r="F1951" s="90">
        <v>0</v>
      </c>
      <c r="G1951" s="90">
        <v>0</v>
      </c>
      <c r="H1951" s="90">
        <v>0</v>
      </c>
      <c r="I1951" s="90">
        <v>0</v>
      </c>
      <c r="J1951" s="90">
        <v>0</v>
      </c>
    </row>
    <row r="1952" spans="1:10">
      <c r="A1952" s="88" t="s">
        <v>100</v>
      </c>
      <c r="B1952" s="88" t="s">
        <v>123</v>
      </c>
      <c r="C1952" s="89">
        <v>0.47916666666666702</v>
      </c>
      <c r="D1952" s="94">
        <v>0</v>
      </c>
      <c r="E1952" s="94">
        <v>0</v>
      </c>
      <c r="F1952" s="94">
        <v>0</v>
      </c>
      <c r="G1952" s="94">
        <v>0</v>
      </c>
      <c r="H1952" s="94">
        <v>0</v>
      </c>
      <c r="I1952" s="94">
        <v>0</v>
      </c>
      <c r="J1952" s="94">
        <v>0</v>
      </c>
    </row>
    <row r="1953" spans="1:10">
      <c r="A1953" s="88" t="s">
        <v>100</v>
      </c>
      <c r="B1953" s="88" t="s">
        <v>123</v>
      </c>
      <c r="C1953" s="89">
        <v>0.47986111111111102</v>
      </c>
      <c r="D1953" s="90">
        <v>0</v>
      </c>
      <c r="E1953" s="90">
        <v>0</v>
      </c>
      <c r="F1953" s="90">
        <v>0</v>
      </c>
      <c r="G1953" s="90">
        <v>0</v>
      </c>
      <c r="H1953" s="90">
        <v>0</v>
      </c>
      <c r="I1953" s="90">
        <v>0</v>
      </c>
      <c r="J1953" s="90">
        <v>0</v>
      </c>
    </row>
    <row r="1954" spans="1:10">
      <c r="A1954" s="88" t="s">
        <v>100</v>
      </c>
      <c r="B1954" s="88" t="s">
        <v>123</v>
      </c>
      <c r="C1954" s="89">
        <v>0.48055555555555501</v>
      </c>
      <c r="D1954" s="90">
        <v>0</v>
      </c>
      <c r="E1954" s="90">
        <v>0</v>
      </c>
      <c r="F1954" s="90">
        <v>0</v>
      </c>
      <c r="G1954" s="90">
        <v>0</v>
      </c>
      <c r="H1954" s="90">
        <v>0</v>
      </c>
      <c r="I1954" s="90">
        <v>0</v>
      </c>
      <c r="J1954" s="90">
        <v>0</v>
      </c>
    </row>
    <row r="1955" spans="1:10">
      <c r="A1955" s="88" t="s">
        <v>100</v>
      </c>
      <c r="B1955" s="88" t="s">
        <v>123</v>
      </c>
      <c r="C1955" s="89">
        <v>0.48125000000000001</v>
      </c>
      <c r="D1955" s="90">
        <v>0</v>
      </c>
      <c r="E1955" s="90">
        <v>0</v>
      </c>
      <c r="F1955" s="90">
        <v>0</v>
      </c>
      <c r="G1955" s="90">
        <v>0</v>
      </c>
      <c r="H1955" s="90">
        <v>0</v>
      </c>
      <c r="I1955" s="90">
        <v>0</v>
      </c>
      <c r="J1955" s="90">
        <v>0</v>
      </c>
    </row>
    <row r="1956" spans="1:10">
      <c r="A1956" s="88" t="s">
        <v>100</v>
      </c>
      <c r="B1956" s="88" t="s">
        <v>123</v>
      </c>
      <c r="C1956" s="89">
        <v>0.48194444444444401</v>
      </c>
      <c r="D1956" s="90">
        <v>0</v>
      </c>
      <c r="E1956" s="90">
        <v>0</v>
      </c>
      <c r="F1956" s="90">
        <v>0</v>
      </c>
      <c r="G1956" s="90">
        <v>0</v>
      </c>
      <c r="H1956" s="90">
        <v>0</v>
      </c>
      <c r="I1956" s="90">
        <v>0</v>
      </c>
      <c r="J1956" s="90">
        <v>0</v>
      </c>
    </row>
    <row r="1957" spans="1:10">
      <c r="A1957" s="88" t="s">
        <v>100</v>
      </c>
      <c r="B1957" s="88" t="s">
        <v>123</v>
      </c>
      <c r="C1957" s="89">
        <v>0.48263888888888901</v>
      </c>
      <c r="D1957" s="90">
        <v>0</v>
      </c>
      <c r="E1957" s="90">
        <v>0</v>
      </c>
      <c r="F1957" s="90">
        <v>0</v>
      </c>
      <c r="G1957" s="90">
        <v>0</v>
      </c>
      <c r="H1957" s="90">
        <v>0</v>
      </c>
      <c r="I1957" s="90">
        <v>0</v>
      </c>
      <c r="J1957" s="90">
        <v>0</v>
      </c>
    </row>
    <row r="1958" spans="1:10">
      <c r="A1958" s="88" t="s">
        <v>100</v>
      </c>
      <c r="B1958" s="88" t="s">
        <v>123</v>
      </c>
      <c r="C1958" s="89">
        <v>0.483333333333333</v>
      </c>
      <c r="D1958" s="90">
        <v>0</v>
      </c>
      <c r="E1958" s="90">
        <v>0</v>
      </c>
      <c r="F1958" s="90">
        <v>0</v>
      </c>
      <c r="G1958" s="90">
        <v>0</v>
      </c>
      <c r="H1958" s="90">
        <v>0</v>
      </c>
      <c r="I1958" s="90">
        <v>0</v>
      </c>
      <c r="J1958" s="90">
        <v>0</v>
      </c>
    </row>
    <row r="1959" spans="1:10">
      <c r="A1959" s="88" t="s">
        <v>100</v>
      </c>
      <c r="B1959" s="88" t="s">
        <v>123</v>
      </c>
      <c r="C1959" s="89">
        <v>0.484027777777778</v>
      </c>
      <c r="D1959" s="90">
        <v>0</v>
      </c>
      <c r="E1959" s="90">
        <v>0</v>
      </c>
      <c r="F1959" s="90">
        <v>0</v>
      </c>
      <c r="G1959" s="90">
        <v>0</v>
      </c>
      <c r="H1959" s="90">
        <v>0</v>
      </c>
      <c r="I1959" s="90">
        <v>0</v>
      </c>
      <c r="J1959" s="90">
        <v>0</v>
      </c>
    </row>
    <row r="1960" spans="1:10">
      <c r="A1960" s="88" t="s">
        <v>100</v>
      </c>
      <c r="B1960" s="88" t="s">
        <v>123</v>
      </c>
      <c r="C1960" s="89">
        <v>0.484722222222222</v>
      </c>
      <c r="D1960" s="90">
        <v>0</v>
      </c>
      <c r="E1960" s="90">
        <v>0</v>
      </c>
      <c r="F1960" s="90">
        <v>0</v>
      </c>
      <c r="G1960" s="90">
        <v>0</v>
      </c>
      <c r="H1960" s="90">
        <v>0</v>
      </c>
      <c r="I1960" s="90">
        <v>0</v>
      </c>
      <c r="J1960" s="90">
        <v>0</v>
      </c>
    </row>
    <row r="1961" spans="1:10">
      <c r="A1961" s="88" t="s">
        <v>100</v>
      </c>
      <c r="B1961" s="88" t="s">
        <v>123</v>
      </c>
      <c r="C1961" s="89">
        <v>0.485416666666666</v>
      </c>
      <c r="D1961" s="90">
        <v>0</v>
      </c>
      <c r="E1961" s="90">
        <v>0</v>
      </c>
      <c r="F1961" s="90">
        <v>0</v>
      </c>
      <c r="G1961" s="90">
        <v>0</v>
      </c>
      <c r="H1961" s="90">
        <v>0</v>
      </c>
      <c r="I1961" s="90">
        <v>0</v>
      </c>
      <c r="J1961" s="90">
        <v>0</v>
      </c>
    </row>
    <row r="1962" spans="1:10">
      <c r="A1962" s="88" t="s">
        <v>100</v>
      </c>
      <c r="B1962" s="88" t="s">
        <v>123</v>
      </c>
      <c r="C1962" s="89">
        <v>0.48611111111111099</v>
      </c>
      <c r="D1962" s="90">
        <v>0</v>
      </c>
      <c r="E1962" s="90">
        <v>0</v>
      </c>
      <c r="F1962" s="90">
        <v>0</v>
      </c>
      <c r="G1962" s="90">
        <v>0</v>
      </c>
      <c r="H1962" s="90">
        <v>0</v>
      </c>
      <c r="I1962" s="90">
        <v>0</v>
      </c>
      <c r="J1962" s="90">
        <v>0</v>
      </c>
    </row>
    <row r="1963" spans="1:10">
      <c r="A1963" s="88" t="s">
        <v>100</v>
      </c>
      <c r="B1963" s="88" t="s">
        <v>123</v>
      </c>
      <c r="C1963" s="89">
        <v>0.48680555555555499</v>
      </c>
      <c r="D1963" s="90">
        <v>0</v>
      </c>
      <c r="E1963" s="90">
        <v>0</v>
      </c>
      <c r="F1963" s="90">
        <v>0</v>
      </c>
      <c r="G1963" s="90">
        <v>0</v>
      </c>
      <c r="H1963" s="90">
        <v>0</v>
      </c>
      <c r="I1963" s="90">
        <v>0</v>
      </c>
      <c r="J1963" s="90">
        <v>0</v>
      </c>
    </row>
    <row r="1964" spans="1:10">
      <c r="A1964" s="88" t="s">
        <v>100</v>
      </c>
      <c r="B1964" s="88" t="s">
        <v>123</v>
      </c>
      <c r="C1964" s="89">
        <v>0.48749999999999999</v>
      </c>
      <c r="D1964" s="90">
        <v>0</v>
      </c>
      <c r="E1964" s="90">
        <v>0</v>
      </c>
      <c r="F1964" s="90">
        <v>0</v>
      </c>
      <c r="G1964" s="90">
        <v>0</v>
      </c>
      <c r="H1964" s="90">
        <v>0</v>
      </c>
      <c r="I1964" s="90">
        <v>0</v>
      </c>
      <c r="J1964" s="90">
        <v>0</v>
      </c>
    </row>
    <row r="1965" spans="1:10">
      <c r="A1965" s="88" t="s">
        <v>100</v>
      </c>
      <c r="B1965" s="88" t="s">
        <v>123</v>
      </c>
      <c r="C1965" s="89">
        <v>0.48819444444444399</v>
      </c>
      <c r="D1965" s="90">
        <v>0</v>
      </c>
      <c r="E1965" s="90">
        <v>0</v>
      </c>
      <c r="F1965" s="90">
        <v>0</v>
      </c>
      <c r="G1965" s="90">
        <v>0</v>
      </c>
      <c r="H1965" s="90">
        <v>0</v>
      </c>
      <c r="I1965" s="90">
        <v>0</v>
      </c>
      <c r="J1965" s="90">
        <v>0</v>
      </c>
    </row>
    <row r="1966" spans="1:10" s="80" customFormat="1">
      <c r="A1966" s="91" t="s">
        <v>100</v>
      </c>
      <c r="B1966" s="91" t="s">
        <v>123</v>
      </c>
      <c r="C1966" s="92">
        <v>0.48888888888888898</v>
      </c>
      <c r="D1966" s="93">
        <v>0</v>
      </c>
      <c r="E1966" s="93">
        <v>0</v>
      </c>
      <c r="F1966" s="93">
        <v>0</v>
      </c>
      <c r="G1966" s="93">
        <v>0</v>
      </c>
      <c r="H1966" s="93">
        <v>0</v>
      </c>
      <c r="I1966" s="93">
        <v>0</v>
      </c>
      <c r="J1966" s="93">
        <v>0</v>
      </c>
    </row>
    <row r="1967" spans="1:10">
      <c r="A1967" s="88" t="s">
        <v>100</v>
      </c>
      <c r="B1967" s="88" t="s">
        <v>123</v>
      </c>
      <c r="C1967" s="89">
        <v>0.48958333333333298</v>
      </c>
      <c r="D1967" s="94">
        <v>0</v>
      </c>
      <c r="E1967" s="94">
        <v>0</v>
      </c>
      <c r="F1967" s="94">
        <v>0</v>
      </c>
      <c r="G1967" s="94">
        <v>0</v>
      </c>
      <c r="H1967" s="94">
        <v>0</v>
      </c>
      <c r="I1967" s="94">
        <v>0</v>
      </c>
      <c r="J1967" s="94">
        <v>0</v>
      </c>
    </row>
    <row r="1968" spans="1:10">
      <c r="A1968" s="88" t="s">
        <v>100</v>
      </c>
      <c r="B1968" s="88" t="s">
        <v>123</v>
      </c>
      <c r="C1968" s="89">
        <v>0.49027777777777798</v>
      </c>
      <c r="D1968" s="90">
        <v>0</v>
      </c>
      <c r="E1968" s="90">
        <v>0</v>
      </c>
      <c r="F1968" s="90">
        <v>0</v>
      </c>
      <c r="G1968" s="90">
        <v>0</v>
      </c>
      <c r="H1968" s="90">
        <v>0</v>
      </c>
      <c r="I1968" s="90">
        <v>0</v>
      </c>
      <c r="J1968" s="90">
        <v>0</v>
      </c>
    </row>
    <row r="1969" spans="1:10">
      <c r="A1969" s="88" t="s">
        <v>100</v>
      </c>
      <c r="B1969" s="88" t="s">
        <v>123</v>
      </c>
      <c r="C1969" s="89">
        <v>0.49097222222222198</v>
      </c>
      <c r="D1969" s="90">
        <v>0</v>
      </c>
      <c r="E1969" s="90">
        <v>0</v>
      </c>
      <c r="F1969" s="90">
        <v>0</v>
      </c>
      <c r="G1969" s="90">
        <v>0</v>
      </c>
      <c r="H1969" s="90">
        <v>0</v>
      </c>
      <c r="I1969" s="90">
        <v>0</v>
      </c>
      <c r="J1969" s="90">
        <v>0</v>
      </c>
    </row>
    <row r="1970" spans="1:10">
      <c r="A1970" s="88" t="s">
        <v>100</v>
      </c>
      <c r="B1970" s="88" t="s">
        <v>123</v>
      </c>
      <c r="C1970" s="89">
        <v>0.49166666666666697</v>
      </c>
      <c r="D1970" s="90">
        <v>0</v>
      </c>
      <c r="E1970" s="90">
        <v>0</v>
      </c>
      <c r="F1970" s="90">
        <v>0</v>
      </c>
      <c r="G1970" s="90">
        <v>0</v>
      </c>
      <c r="H1970" s="90">
        <v>0</v>
      </c>
      <c r="I1970" s="90">
        <v>0</v>
      </c>
      <c r="J1970" s="90">
        <v>0</v>
      </c>
    </row>
    <row r="1971" spans="1:10">
      <c r="A1971" s="88" t="s">
        <v>100</v>
      </c>
      <c r="B1971" s="88" t="s">
        <v>123</v>
      </c>
      <c r="C1971" s="89">
        <v>0.49236111111111103</v>
      </c>
      <c r="D1971" s="90">
        <v>0</v>
      </c>
      <c r="E1971" s="90">
        <v>0</v>
      </c>
      <c r="F1971" s="90">
        <v>0</v>
      </c>
      <c r="G1971" s="90">
        <v>0</v>
      </c>
      <c r="H1971" s="90">
        <v>0</v>
      </c>
      <c r="I1971" s="90">
        <v>0</v>
      </c>
      <c r="J1971" s="90">
        <v>0</v>
      </c>
    </row>
    <row r="1972" spans="1:10">
      <c r="A1972" s="88" t="s">
        <v>100</v>
      </c>
      <c r="B1972" s="88" t="s">
        <v>123</v>
      </c>
      <c r="C1972" s="89">
        <v>0.49305555555555503</v>
      </c>
      <c r="D1972" s="90">
        <v>0</v>
      </c>
      <c r="E1972" s="90">
        <v>0</v>
      </c>
      <c r="F1972" s="90">
        <v>0</v>
      </c>
      <c r="G1972" s="90">
        <v>0</v>
      </c>
      <c r="H1972" s="90">
        <v>0</v>
      </c>
      <c r="I1972" s="90">
        <v>0</v>
      </c>
      <c r="J1972" s="90">
        <v>0</v>
      </c>
    </row>
    <row r="1973" spans="1:10">
      <c r="A1973" s="88" t="s">
        <v>100</v>
      </c>
      <c r="B1973" s="88" t="s">
        <v>123</v>
      </c>
      <c r="C1973" s="89">
        <v>0.49375000000000002</v>
      </c>
      <c r="D1973" s="90">
        <v>0</v>
      </c>
      <c r="E1973" s="90">
        <v>0</v>
      </c>
      <c r="F1973" s="90">
        <v>0</v>
      </c>
      <c r="G1973" s="90">
        <v>0</v>
      </c>
      <c r="H1973" s="90">
        <v>0</v>
      </c>
      <c r="I1973" s="90">
        <v>0</v>
      </c>
      <c r="J1973" s="90">
        <v>0</v>
      </c>
    </row>
    <row r="1974" spans="1:10">
      <c r="A1974" s="88" t="s">
        <v>100</v>
      </c>
      <c r="B1974" s="88" t="s">
        <v>123</v>
      </c>
      <c r="C1974" s="89">
        <v>0.49444444444444402</v>
      </c>
      <c r="D1974" s="90">
        <v>0</v>
      </c>
      <c r="E1974" s="90">
        <v>0</v>
      </c>
      <c r="F1974" s="90">
        <v>0</v>
      </c>
      <c r="G1974" s="90">
        <v>0</v>
      </c>
      <c r="H1974" s="90">
        <v>0</v>
      </c>
      <c r="I1974" s="90">
        <v>0</v>
      </c>
      <c r="J1974" s="90">
        <v>0</v>
      </c>
    </row>
    <row r="1975" spans="1:10">
      <c r="A1975" s="88" t="s">
        <v>100</v>
      </c>
      <c r="B1975" s="88" t="s">
        <v>123</v>
      </c>
      <c r="C1975" s="89">
        <v>0.49513888888888902</v>
      </c>
      <c r="D1975" s="90">
        <v>0</v>
      </c>
      <c r="E1975" s="90">
        <v>0</v>
      </c>
      <c r="F1975" s="90">
        <v>0</v>
      </c>
      <c r="G1975" s="90">
        <v>0</v>
      </c>
      <c r="H1975" s="90">
        <v>0</v>
      </c>
      <c r="I1975" s="90">
        <v>0</v>
      </c>
      <c r="J1975" s="90">
        <v>0</v>
      </c>
    </row>
    <row r="1976" spans="1:10">
      <c r="A1976" s="88" t="s">
        <v>100</v>
      </c>
      <c r="B1976" s="88" t="s">
        <v>123</v>
      </c>
      <c r="C1976" s="89">
        <v>0.49583333333333302</v>
      </c>
      <c r="D1976" s="90">
        <v>0</v>
      </c>
      <c r="E1976" s="90">
        <v>0</v>
      </c>
      <c r="F1976" s="90">
        <v>0</v>
      </c>
      <c r="G1976" s="90">
        <v>0</v>
      </c>
      <c r="H1976" s="90">
        <v>0</v>
      </c>
      <c r="I1976" s="90">
        <v>0</v>
      </c>
      <c r="J1976" s="90">
        <v>0</v>
      </c>
    </row>
    <row r="1977" spans="1:10">
      <c r="A1977" s="88" t="s">
        <v>100</v>
      </c>
      <c r="B1977" s="88" t="s">
        <v>123</v>
      </c>
      <c r="C1977" s="89">
        <v>0.49652777777777801</v>
      </c>
      <c r="D1977" s="90">
        <v>0</v>
      </c>
      <c r="E1977" s="90">
        <v>0</v>
      </c>
      <c r="F1977" s="90">
        <v>0</v>
      </c>
      <c r="G1977" s="90">
        <v>0</v>
      </c>
      <c r="H1977" s="90">
        <v>0</v>
      </c>
      <c r="I1977" s="90">
        <v>0</v>
      </c>
      <c r="J1977" s="90">
        <v>0</v>
      </c>
    </row>
    <row r="1978" spans="1:10">
      <c r="A1978" s="88" t="s">
        <v>100</v>
      </c>
      <c r="B1978" s="88" t="s">
        <v>123</v>
      </c>
      <c r="C1978" s="89">
        <v>0.49722222222222201</v>
      </c>
      <c r="D1978" s="90">
        <v>0</v>
      </c>
      <c r="E1978" s="90">
        <v>0</v>
      </c>
      <c r="F1978" s="90">
        <v>0</v>
      </c>
      <c r="G1978" s="90">
        <v>0</v>
      </c>
      <c r="H1978" s="90">
        <v>0</v>
      </c>
      <c r="I1978" s="90">
        <v>0</v>
      </c>
      <c r="J1978" s="90">
        <v>0</v>
      </c>
    </row>
    <row r="1979" spans="1:10">
      <c r="A1979" s="88" t="s">
        <v>100</v>
      </c>
      <c r="B1979" s="88" t="s">
        <v>123</v>
      </c>
      <c r="C1979" s="89">
        <v>0.49791666666666701</v>
      </c>
      <c r="D1979" s="90">
        <v>0</v>
      </c>
      <c r="E1979" s="90">
        <v>0</v>
      </c>
      <c r="F1979" s="90">
        <v>0</v>
      </c>
      <c r="G1979" s="90">
        <v>0</v>
      </c>
      <c r="H1979" s="90">
        <v>0</v>
      </c>
      <c r="I1979" s="90">
        <v>0</v>
      </c>
      <c r="J1979" s="90">
        <v>0</v>
      </c>
    </row>
    <row r="1980" spans="1:10">
      <c r="A1980" s="88" t="s">
        <v>100</v>
      </c>
      <c r="B1980" s="88" t="s">
        <v>123</v>
      </c>
      <c r="C1980" s="89">
        <v>0.49861111111111101</v>
      </c>
      <c r="D1980" s="90">
        <v>0</v>
      </c>
      <c r="E1980" s="90">
        <v>0</v>
      </c>
      <c r="F1980" s="90">
        <v>0</v>
      </c>
      <c r="G1980" s="90">
        <v>0</v>
      </c>
      <c r="H1980" s="90">
        <v>0</v>
      </c>
      <c r="I1980" s="90">
        <v>0</v>
      </c>
      <c r="J1980" s="90">
        <v>0</v>
      </c>
    </row>
    <row r="1981" spans="1:10" s="80" customFormat="1">
      <c r="A1981" s="91" t="s">
        <v>100</v>
      </c>
      <c r="B1981" s="91" t="s">
        <v>123</v>
      </c>
      <c r="C1981" s="92">
        <v>0.499305555555555</v>
      </c>
      <c r="D1981" s="90">
        <v>0</v>
      </c>
      <c r="E1981" s="90">
        <v>0</v>
      </c>
      <c r="F1981" s="90">
        <v>0</v>
      </c>
      <c r="G1981" s="90">
        <v>0</v>
      </c>
      <c r="H1981" s="90">
        <v>0</v>
      </c>
      <c r="I1981" s="90">
        <v>0</v>
      </c>
      <c r="J1981" s="90">
        <v>0</v>
      </c>
    </row>
    <row r="1982" spans="1:10">
      <c r="A1982" s="88" t="s">
        <v>100</v>
      </c>
      <c r="B1982" s="88" t="s">
        <v>123</v>
      </c>
      <c r="C1982" s="89">
        <v>0.5</v>
      </c>
      <c r="D1982" s="94">
        <v>0</v>
      </c>
      <c r="E1982" s="94">
        <v>0</v>
      </c>
      <c r="F1982" s="94">
        <v>0</v>
      </c>
      <c r="G1982" s="94">
        <v>0</v>
      </c>
      <c r="H1982" s="94">
        <v>0</v>
      </c>
      <c r="I1982" s="94">
        <v>0</v>
      </c>
      <c r="J1982" s="94">
        <v>0</v>
      </c>
    </row>
    <row r="1983" spans="1:10">
      <c r="A1983" s="88" t="s">
        <v>100</v>
      </c>
      <c r="B1983" s="88" t="s">
        <v>123</v>
      </c>
      <c r="C1983" s="89">
        <v>0.500694444444444</v>
      </c>
      <c r="D1983" s="90">
        <v>0</v>
      </c>
      <c r="E1983" s="90">
        <v>0</v>
      </c>
      <c r="F1983" s="90">
        <v>0</v>
      </c>
      <c r="G1983" s="90">
        <v>0</v>
      </c>
      <c r="H1983" s="90">
        <v>0</v>
      </c>
      <c r="I1983" s="90">
        <v>0</v>
      </c>
      <c r="J1983" s="90">
        <v>0</v>
      </c>
    </row>
    <row r="1984" spans="1:10">
      <c r="A1984" s="88" t="s">
        <v>100</v>
      </c>
      <c r="B1984" s="88" t="s">
        <v>123</v>
      </c>
      <c r="C1984" s="89">
        <v>0.50138888888888899</v>
      </c>
      <c r="D1984" s="90">
        <v>0</v>
      </c>
      <c r="E1984" s="90">
        <v>0</v>
      </c>
      <c r="F1984" s="90">
        <v>0</v>
      </c>
      <c r="G1984" s="90">
        <v>0</v>
      </c>
      <c r="H1984" s="90">
        <v>0</v>
      </c>
      <c r="I1984" s="90">
        <v>0</v>
      </c>
      <c r="J1984" s="90">
        <v>0</v>
      </c>
    </row>
    <row r="1985" spans="1:10">
      <c r="A1985" s="88" t="s">
        <v>100</v>
      </c>
      <c r="B1985" s="88" t="s">
        <v>123</v>
      </c>
      <c r="C1985" s="89">
        <v>0.50208333333333299</v>
      </c>
      <c r="D1985" s="90">
        <v>0</v>
      </c>
      <c r="E1985" s="90">
        <v>0</v>
      </c>
      <c r="F1985" s="90">
        <v>0</v>
      </c>
      <c r="G1985" s="90">
        <v>0</v>
      </c>
      <c r="H1985" s="90">
        <v>0</v>
      </c>
      <c r="I1985" s="90">
        <v>0</v>
      </c>
      <c r="J1985" s="90">
        <v>0</v>
      </c>
    </row>
    <row r="1986" spans="1:10">
      <c r="A1986" s="88" t="s">
        <v>100</v>
      </c>
      <c r="B1986" s="88" t="s">
        <v>123</v>
      </c>
      <c r="C1986" s="89">
        <v>0.50277777777777799</v>
      </c>
      <c r="D1986" s="90">
        <v>0</v>
      </c>
      <c r="E1986" s="90">
        <v>0</v>
      </c>
      <c r="F1986" s="90">
        <v>0</v>
      </c>
      <c r="G1986" s="90">
        <v>0</v>
      </c>
      <c r="H1986" s="90">
        <v>0</v>
      </c>
      <c r="I1986" s="90">
        <v>0</v>
      </c>
      <c r="J1986" s="90">
        <v>0</v>
      </c>
    </row>
    <row r="1987" spans="1:10">
      <c r="A1987" s="88" t="s">
        <v>100</v>
      </c>
      <c r="B1987" s="88" t="s">
        <v>123</v>
      </c>
      <c r="C1987" s="89">
        <v>0.50347222222222199</v>
      </c>
      <c r="D1987" s="90">
        <v>0</v>
      </c>
      <c r="E1987" s="90">
        <v>0</v>
      </c>
      <c r="F1987" s="90">
        <v>0</v>
      </c>
      <c r="G1987" s="90">
        <v>0</v>
      </c>
      <c r="H1987" s="90">
        <v>0</v>
      </c>
      <c r="I1987" s="90">
        <v>0</v>
      </c>
      <c r="J1987" s="90">
        <v>0</v>
      </c>
    </row>
    <row r="1988" spans="1:10">
      <c r="A1988" s="88" t="s">
        <v>100</v>
      </c>
      <c r="B1988" s="88" t="s">
        <v>123</v>
      </c>
      <c r="C1988" s="89">
        <v>0.50416666666666698</v>
      </c>
      <c r="D1988" s="90">
        <v>0</v>
      </c>
      <c r="E1988" s="90">
        <v>0</v>
      </c>
      <c r="F1988" s="90">
        <v>0</v>
      </c>
      <c r="G1988" s="90">
        <v>0</v>
      </c>
      <c r="H1988" s="90">
        <v>0</v>
      </c>
      <c r="I1988" s="90">
        <v>0</v>
      </c>
      <c r="J1988" s="90">
        <v>0</v>
      </c>
    </row>
    <row r="1989" spans="1:10">
      <c r="A1989" s="88" t="s">
        <v>100</v>
      </c>
      <c r="B1989" s="88" t="s">
        <v>123</v>
      </c>
      <c r="C1989" s="89">
        <v>0.50486111111111098</v>
      </c>
      <c r="D1989" s="90">
        <v>0</v>
      </c>
      <c r="E1989" s="90">
        <v>0</v>
      </c>
      <c r="F1989" s="90">
        <v>0</v>
      </c>
      <c r="G1989" s="90">
        <v>0</v>
      </c>
      <c r="H1989" s="90">
        <v>0</v>
      </c>
      <c r="I1989" s="90">
        <v>0</v>
      </c>
      <c r="J1989" s="90">
        <v>0</v>
      </c>
    </row>
    <row r="1990" spans="1:10">
      <c r="A1990" s="88" t="s">
        <v>100</v>
      </c>
      <c r="B1990" s="88" t="s">
        <v>123</v>
      </c>
      <c r="C1990" s="89">
        <v>0.50555555555555498</v>
      </c>
      <c r="D1990" s="90">
        <v>0</v>
      </c>
      <c r="E1990" s="90">
        <v>0</v>
      </c>
      <c r="F1990" s="90">
        <v>0</v>
      </c>
      <c r="G1990" s="90">
        <v>0</v>
      </c>
      <c r="H1990" s="90">
        <v>0</v>
      </c>
      <c r="I1990" s="90">
        <v>0</v>
      </c>
      <c r="J1990" s="90">
        <v>0</v>
      </c>
    </row>
    <row r="1991" spans="1:10">
      <c r="A1991" s="88" t="s">
        <v>100</v>
      </c>
      <c r="B1991" s="88" t="s">
        <v>123</v>
      </c>
      <c r="C1991" s="89">
        <v>0.50624999999999998</v>
      </c>
      <c r="D1991" s="90">
        <v>0</v>
      </c>
      <c r="E1991" s="90">
        <v>0</v>
      </c>
      <c r="F1991" s="90">
        <v>0</v>
      </c>
      <c r="G1991" s="90">
        <v>0</v>
      </c>
      <c r="H1991" s="90">
        <v>0</v>
      </c>
      <c r="I1991" s="90">
        <v>0</v>
      </c>
      <c r="J1991" s="90">
        <v>0</v>
      </c>
    </row>
    <row r="1992" spans="1:10">
      <c r="A1992" s="88" t="s">
        <v>100</v>
      </c>
      <c r="B1992" s="88" t="s">
        <v>123</v>
      </c>
      <c r="C1992" s="89">
        <v>0.50694444444444398</v>
      </c>
      <c r="D1992" s="90">
        <v>0</v>
      </c>
      <c r="E1992" s="90">
        <v>0</v>
      </c>
      <c r="F1992" s="90">
        <v>0</v>
      </c>
      <c r="G1992" s="90">
        <v>0</v>
      </c>
      <c r="H1992" s="90">
        <v>0</v>
      </c>
      <c r="I1992" s="90">
        <v>0</v>
      </c>
      <c r="J1992" s="90">
        <v>0</v>
      </c>
    </row>
    <row r="1993" spans="1:10">
      <c r="A1993" s="88" t="s">
        <v>100</v>
      </c>
      <c r="B1993" s="88" t="s">
        <v>123</v>
      </c>
      <c r="C1993" s="89">
        <v>0.50763888888888897</v>
      </c>
      <c r="D1993" s="90">
        <v>0</v>
      </c>
      <c r="E1993" s="90">
        <v>0</v>
      </c>
      <c r="F1993" s="90">
        <v>0</v>
      </c>
      <c r="G1993" s="90">
        <v>0</v>
      </c>
      <c r="H1993" s="90">
        <v>0</v>
      </c>
      <c r="I1993" s="90">
        <v>0</v>
      </c>
      <c r="J1993" s="90">
        <v>0</v>
      </c>
    </row>
    <row r="1994" spans="1:10">
      <c r="A1994" s="88" t="s">
        <v>100</v>
      </c>
      <c r="B1994" s="88" t="s">
        <v>123</v>
      </c>
      <c r="C1994" s="89">
        <v>0.50833333333333297</v>
      </c>
      <c r="D1994" s="90">
        <v>0</v>
      </c>
      <c r="E1994" s="90">
        <v>0</v>
      </c>
      <c r="F1994" s="90">
        <v>0</v>
      </c>
      <c r="G1994" s="90">
        <v>0</v>
      </c>
      <c r="H1994" s="90">
        <v>0</v>
      </c>
      <c r="I1994" s="90">
        <v>0</v>
      </c>
      <c r="J1994" s="90">
        <v>0</v>
      </c>
    </row>
    <row r="1995" spans="1:10">
      <c r="A1995" s="88" t="s">
        <v>100</v>
      </c>
      <c r="B1995" s="88" t="s">
        <v>123</v>
      </c>
      <c r="C1995" s="89">
        <v>0.50902777777777797</v>
      </c>
      <c r="D1995" s="90">
        <v>0</v>
      </c>
      <c r="E1995" s="90">
        <v>0</v>
      </c>
      <c r="F1995" s="90">
        <v>0</v>
      </c>
      <c r="G1995" s="90">
        <v>0</v>
      </c>
      <c r="H1995" s="90">
        <v>0</v>
      </c>
      <c r="I1995" s="90">
        <v>0</v>
      </c>
      <c r="J1995" s="90">
        <v>0</v>
      </c>
    </row>
    <row r="1996" spans="1:10" s="80" customFormat="1">
      <c r="A1996" s="91" t="s">
        <v>100</v>
      </c>
      <c r="B1996" s="91" t="s">
        <v>123</v>
      </c>
      <c r="C1996" s="92">
        <v>0.50972222222222197</v>
      </c>
      <c r="D1996" s="93">
        <v>0</v>
      </c>
      <c r="E1996" s="93">
        <v>0</v>
      </c>
      <c r="F1996" s="93">
        <v>0</v>
      </c>
      <c r="G1996" s="93">
        <v>0</v>
      </c>
      <c r="H1996" s="93">
        <v>0</v>
      </c>
      <c r="I1996" s="93">
        <v>0</v>
      </c>
      <c r="J1996" s="93">
        <v>0</v>
      </c>
    </row>
    <row r="1997" spans="1:10">
      <c r="A1997" s="88" t="s">
        <v>100</v>
      </c>
      <c r="B1997" s="88" t="s">
        <v>123</v>
      </c>
      <c r="C1997" s="89">
        <v>0.51041666666666596</v>
      </c>
      <c r="D1997" s="94">
        <v>0</v>
      </c>
      <c r="E1997" s="94">
        <v>0</v>
      </c>
      <c r="F1997" s="94">
        <v>0</v>
      </c>
      <c r="G1997" s="94">
        <v>0</v>
      </c>
      <c r="H1997" s="94">
        <v>0</v>
      </c>
      <c r="I1997" s="94">
        <v>0</v>
      </c>
      <c r="J1997" s="94">
        <v>0</v>
      </c>
    </row>
    <row r="1998" spans="1:10">
      <c r="A1998" s="88" t="s">
        <v>100</v>
      </c>
      <c r="B1998" s="88" t="s">
        <v>123</v>
      </c>
      <c r="C1998" s="89">
        <v>0.51111111111111096</v>
      </c>
      <c r="D1998" s="90">
        <v>0</v>
      </c>
      <c r="E1998" s="90">
        <v>0</v>
      </c>
      <c r="F1998" s="90">
        <v>0</v>
      </c>
      <c r="G1998" s="90">
        <v>0</v>
      </c>
      <c r="H1998" s="90">
        <v>0</v>
      </c>
      <c r="I1998" s="90">
        <v>0</v>
      </c>
      <c r="J1998" s="90">
        <v>0</v>
      </c>
    </row>
    <row r="1999" spans="1:10">
      <c r="A1999" s="88" t="s">
        <v>100</v>
      </c>
      <c r="B1999" s="88" t="s">
        <v>123</v>
      </c>
      <c r="C1999" s="89">
        <v>0.51180555555555496</v>
      </c>
      <c r="D1999" s="90">
        <v>0</v>
      </c>
      <c r="E1999" s="90">
        <v>0</v>
      </c>
      <c r="F1999" s="90">
        <v>0</v>
      </c>
      <c r="G1999" s="90">
        <v>0</v>
      </c>
      <c r="H1999" s="90">
        <v>0</v>
      </c>
      <c r="I1999" s="90">
        <v>0</v>
      </c>
      <c r="J1999" s="90">
        <v>0</v>
      </c>
    </row>
    <row r="2000" spans="1:10">
      <c r="A2000" s="88" t="s">
        <v>100</v>
      </c>
      <c r="B2000" s="88" t="s">
        <v>123</v>
      </c>
      <c r="C2000" s="89">
        <v>0.51249999999999996</v>
      </c>
      <c r="D2000" s="90">
        <v>0</v>
      </c>
      <c r="E2000" s="90">
        <v>0</v>
      </c>
      <c r="F2000" s="90">
        <v>0</v>
      </c>
      <c r="G2000" s="90">
        <v>0</v>
      </c>
      <c r="H2000" s="90">
        <v>0</v>
      </c>
      <c r="I2000" s="90">
        <v>0</v>
      </c>
      <c r="J2000" s="90">
        <v>0</v>
      </c>
    </row>
    <row r="2001" spans="1:10">
      <c r="A2001" s="88" t="s">
        <v>100</v>
      </c>
      <c r="B2001" s="88" t="s">
        <v>123</v>
      </c>
      <c r="C2001" s="89">
        <v>0.51319444444444395</v>
      </c>
      <c r="D2001" s="90">
        <v>0</v>
      </c>
      <c r="E2001" s="90">
        <v>0</v>
      </c>
      <c r="F2001" s="90">
        <v>0</v>
      </c>
      <c r="G2001" s="90">
        <v>0</v>
      </c>
      <c r="H2001" s="90">
        <v>0</v>
      </c>
      <c r="I2001" s="90">
        <v>0</v>
      </c>
      <c r="J2001" s="90">
        <v>0</v>
      </c>
    </row>
    <row r="2002" spans="1:10">
      <c r="A2002" s="88" t="s">
        <v>100</v>
      </c>
      <c r="B2002" s="88" t="s">
        <v>123</v>
      </c>
      <c r="C2002" s="89">
        <v>0.51388888888888895</v>
      </c>
      <c r="D2002" s="90">
        <v>0</v>
      </c>
      <c r="E2002" s="90">
        <v>0</v>
      </c>
      <c r="F2002" s="90">
        <v>0</v>
      </c>
      <c r="G2002" s="90">
        <v>0</v>
      </c>
      <c r="H2002" s="90">
        <v>0</v>
      </c>
      <c r="I2002" s="90">
        <v>0</v>
      </c>
      <c r="J2002" s="90">
        <v>0</v>
      </c>
    </row>
    <row r="2003" spans="1:10">
      <c r="A2003" s="88" t="s">
        <v>100</v>
      </c>
      <c r="B2003" s="88" t="s">
        <v>123</v>
      </c>
      <c r="C2003" s="89">
        <v>0.51458333333333295</v>
      </c>
      <c r="D2003" s="90">
        <v>0</v>
      </c>
      <c r="E2003" s="90">
        <v>0</v>
      </c>
      <c r="F2003" s="90">
        <v>0</v>
      </c>
      <c r="G2003" s="90">
        <v>0</v>
      </c>
      <c r="H2003" s="90">
        <v>0</v>
      </c>
      <c r="I2003" s="90">
        <v>0</v>
      </c>
      <c r="J2003" s="90">
        <v>0</v>
      </c>
    </row>
    <row r="2004" spans="1:10">
      <c r="A2004" s="88" t="s">
        <v>100</v>
      </c>
      <c r="B2004" s="88" t="s">
        <v>123</v>
      </c>
      <c r="C2004" s="89">
        <v>0.51527777777777795</v>
      </c>
      <c r="D2004" s="90">
        <v>0</v>
      </c>
      <c r="E2004" s="90">
        <v>0</v>
      </c>
      <c r="F2004" s="90">
        <v>0</v>
      </c>
      <c r="G2004" s="90">
        <v>0</v>
      </c>
      <c r="H2004" s="90">
        <v>0</v>
      </c>
      <c r="I2004" s="90">
        <v>0</v>
      </c>
      <c r="J2004" s="90">
        <v>0</v>
      </c>
    </row>
    <row r="2005" spans="1:10">
      <c r="A2005" s="88" t="s">
        <v>100</v>
      </c>
      <c r="B2005" s="88" t="s">
        <v>123</v>
      </c>
      <c r="C2005" s="89">
        <v>0.51597222222222205</v>
      </c>
      <c r="D2005" s="90">
        <v>0</v>
      </c>
      <c r="E2005" s="90">
        <v>0</v>
      </c>
      <c r="F2005" s="90">
        <v>0</v>
      </c>
      <c r="G2005" s="90">
        <v>0</v>
      </c>
      <c r="H2005" s="90">
        <v>0</v>
      </c>
      <c r="I2005" s="90">
        <v>0</v>
      </c>
      <c r="J2005" s="90">
        <v>0</v>
      </c>
    </row>
    <row r="2006" spans="1:10">
      <c r="A2006" s="88" t="s">
        <v>100</v>
      </c>
      <c r="B2006" s="88" t="s">
        <v>123</v>
      </c>
      <c r="C2006" s="89">
        <v>0.51666666666666605</v>
      </c>
      <c r="D2006" s="90">
        <v>0</v>
      </c>
      <c r="E2006" s="90">
        <v>0</v>
      </c>
      <c r="F2006" s="90">
        <v>0</v>
      </c>
      <c r="G2006" s="90">
        <v>0</v>
      </c>
      <c r="H2006" s="90">
        <v>0</v>
      </c>
      <c r="I2006" s="90">
        <v>0</v>
      </c>
      <c r="J2006" s="90">
        <v>0</v>
      </c>
    </row>
    <row r="2007" spans="1:10">
      <c r="A2007" s="88" t="s">
        <v>100</v>
      </c>
      <c r="B2007" s="88" t="s">
        <v>123</v>
      </c>
      <c r="C2007" s="89">
        <v>0.51736111111111105</v>
      </c>
      <c r="D2007" s="90">
        <v>0</v>
      </c>
      <c r="E2007" s="90">
        <v>0</v>
      </c>
      <c r="F2007" s="90">
        <v>0</v>
      </c>
      <c r="G2007" s="90">
        <v>0</v>
      </c>
      <c r="H2007" s="90">
        <v>0</v>
      </c>
      <c r="I2007" s="90">
        <v>0</v>
      </c>
      <c r="J2007" s="90">
        <v>0</v>
      </c>
    </row>
    <row r="2008" spans="1:10">
      <c r="A2008" s="88" t="s">
        <v>100</v>
      </c>
      <c r="B2008" s="88" t="s">
        <v>123</v>
      </c>
      <c r="C2008" s="89">
        <v>0.51805555555555505</v>
      </c>
      <c r="D2008" s="90">
        <v>0</v>
      </c>
      <c r="E2008" s="90">
        <v>0</v>
      </c>
      <c r="F2008" s="90">
        <v>0</v>
      </c>
      <c r="G2008" s="90">
        <v>0</v>
      </c>
      <c r="H2008" s="90">
        <v>0</v>
      </c>
      <c r="I2008" s="90">
        <v>0</v>
      </c>
      <c r="J2008" s="90">
        <v>0</v>
      </c>
    </row>
    <row r="2009" spans="1:10">
      <c r="A2009" s="88" t="s">
        <v>100</v>
      </c>
      <c r="B2009" s="88" t="s">
        <v>123</v>
      </c>
      <c r="C2009" s="89">
        <v>0.51875000000000004</v>
      </c>
      <c r="D2009" s="90">
        <v>0</v>
      </c>
      <c r="E2009" s="90">
        <v>0</v>
      </c>
      <c r="F2009" s="90">
        <v>0</v>
      </c>
      <c r="G2009" s="90">
        <v>0</v>
      </c>
      <c r="H2009" s="90">
        <v>0</v>
      </c>
      <c r="I2009" s="90">
        <v>0</v>
      </c>
      <c r="J2009" s="90">
        <v>0</v>
      </c>
    </row>
    <row r="2010" spans="1:10">
      <c r="A2010" s="88" t="s">
        <v>100</v>
      </c>
      <c r="B2010" s="88" t="s">
        <v>123</v>
      </c>
      <c r="C2010" s="89">
        <v>0.51944444444444404</v>
      </c>
      <c r="D2010" s="90">
        <v>0</v>
      </c>
      <c r="E2010" s="90">
        <v>0</v>
      </c>
      <c r="F2010" s="90">
        <v>0</v>
      </c>
      <c r="G2010" s="90">
        <v>0</v>
      </c>
      <c r="H2010" s="90">
        <v>0</v>
      </c>
      <c r="I2010" s="90">
        <v>0</v>
      </c>
      <c r="J2010" s="90">
        <v>0</v>
      </c>
    </row>
    <row r="2011" spans="1:10" s="80" customFormat="1">
      <c r="A2011" s="91" t="s">
        <v>100</v>
      </c>
      <c r="B2011" s="91" t="s">
        <v>123</v>
      </c>
      <c r="C2011" s="92">
        <v>0.52013888888888904</v>
      </c>
      <c r="D2011" s="90">
        <v>0</v>
      </c>
      <c r="E2011" s="90">
        <v>0</v>
      </c>
      <c r="F2011" s="90">
        <v>0</v>
      </c>
      <c r="G2011" s="90">
        <v>0</v>
      </c>
      <c r="H2011" s="90">
        <v>0</v>
      </c>
      <c r="I2011" s="90">
        <v>0</v>
      </c>
      <c r="J2011" s="90">
        <v>0</v>
      </c>
    </row>
    <row r="2012" spans="1:10">
      <c r="A2012" s="88" t="s">
        <v>100</v>
      </c>
      <c r="B2012" s="88" t="s">
        <v>123</v>
      </c>
      <c r="C2012" s="89">
        <v>0.52083333333333304</v>
      </c>
      <c r="D2012" s="94">
        <v>0</v>
      </c>
      <c r="E2012" s="94">
        <v>0</v>
      </c>
      <c r="F2012" s="94">
        <v>0</v>
      </c>
      <c r="G2012" s="94">
        <v>0</v>
      </c>
      <c r="H2012" s="94">
        <v>0</v>
      </c>
      <c r="I2012" s="94">
        <v>0</v>
      </c>
      <c r="J2012" s="94">
        <v>0</v>
      </c>
    </row>
    <row r="2013" spans="1:10">
      <c r="A2013" s="88" t="s">
        <v>100</v>
      </c>
      <c r="B2013" s="88" t="s">
        <v>123</v>
      </c>
      <c r="C2013" s="89">
        <v>0.52152777777777704</v>
      </c>
      <c r="D2013" s="90">
        <v>0</v>
      </c>
      <c r="E2013" s="90">
        <v>0</v>
      </c>
      <c r="F2013" s="90">
        <v>0</v>
      </c>
      <c r="G2013" s="90">
        <v>0</v>
      </c>
      <c r="H2013" s="90">
        <v>0</v>
      </c>
      <c r="I2013" s="90">
        <v>0</v>
      </c>
      <c r="J2013" s="90">
        <v>0</v>
      </c>
    </row>
    <row r="2014" spans="1:10">
      <c r="A2014" s="88" t="s">
        <v>100</v>
      </c>
      <c r="B2014" s="88" t="s">
        <v>123</v>
      </c>
      <c r="C2014" s="89">
        <v>0.52222222222222203</v>
      </c>
      <c r="D2014" s="90">
        <v>0</v>
      </c>
      <c r="E2014" s="90">
        <v>0</v>
      </c>
      <c r="F2014" s="90">
        <v>0</v>
      </c>
      <c r="G2014" s="90">
        <v>0</v>
      </c>
      <c r="H2014" s="90">
        <v>0</v>
      </c>
      <c r="I2014" s="90">
        <v>0</v>
      </c>
      <c r="J2014" s="90">
        <v>0</v>
      </c>
    </row>
    <row r="2015" spans="1:10">
      <c r="A2015" s="88" t="s">
        <v>100</v>
      </c>
      <c r="B2015" s="88" t="s">
        <v>123</v>
      </c>
      <c r="C2015" s="89">
        <v>0.52291666666666603</v>
      </c>
      <c r="D2015" s="90">
        <v>0</v>
      </c>
      <c r="E2015" s="90">
        <v>0</v>
      </c>
      <c r="F2015" s="90">
        <v>0</v>
      </c>
      <c r="G2015" s="90">
        <v>0</v>
      </c>
      <c r="H2015" s="90">
        <v>0</v>
      </c>
      <c r="I2015" s="90">
        <v>0</v>
      </c>
      <c r="J2015" s="90">
        <v>0</v>
      </c>
    </row>
    <row r="2016" spans="1:10">
      <c r="A2016" s="88" t="s">
        <v>100</v>
      </c>
      <c r="B2016" s="88" t="s">
        <v>123</v>
      </c>
      <c r="C2016" s="89">
        <v>0.52361111111111103</v>
      </c>
      <c r="D2016" s="90">
        <v>0</v>
      </c>
      <c r="E2016" s="90">
        <v>0</v>
      </c>
      <c r="F2016" s="90">
        <v>0</v>
      </c>
      <c r="G2016" s="90">
        <v>0</v>
      </c>
      <c r="H2016" s="90">
        <v>0</v>
      </c>
      <c r="I2016" s="90">
        <v>0</v>
      </c>
      <c r="J2016" s="90">
        <v>0</v>
      </c>
    </row>
    <row r="2017" spans="1:10">
      <c r="A2017" s="88" t="s">
        <v>100</v>
      </c>
      <c r="B2017" s="88" t="s">
        <v>123</v>
      </c>
      <c r="C2017" s="89">
        <v>0.52430555555555503</v>
      </c>
      <c r="D2017" s="90">
        <v>0</v>
      </c>
      <c r="E2017" s="90">
        <v>0</v>
      </c>
      <c r="F2017" s="90">
        <v>0</v>
      </c>
      <c r="G2017" s="90">
        <v>0</v>
      </c>
      <c r="H2017" s="90">
        <v>0</v>
      </c>
      <c r="I2017" s="90">
        <v>0</v>
      </c>
      <c r="J2017" s="90">
        <v>0</v>
      </c>
    </row>
    <row r="2018" spans="1:10">
      <c r="A2018" s="88" t="s">
        <v>100</v>
      </c>
      <c r="B2018" s="88" t="s">
        <v>123</v>
      </c>
      <c r="C2018" s="89">
        <v>0.52500000000000002</v>
      </c>
      <c r="D2018" s="90">
        <v>0</v>
      </c>
      <c r="E2018" s="90">
        <v>0</v>
      </c>
      <c r="F2018" s="90">
        <v>0</v>
      </c>
      <c r="G2018" s="90">
        <v>0</v>
      </c>
      <c r="H2018" s="90">
        <v>0</v>
      </c>
      <c r="I2018" s="90">
        <v>0</v>
      </c>
      <c r="J2018" s="90">
        <v>0</v>
      </c>
    </row>
    <row r="2019" spans="1:10">
      <c r="A2019" s="88" t="s">
        <v>100</v>
      </c>
      <c r="B2019" s="88" t="s">
        <v>123</v>
      </c>
      <c r="C2019" s="89">
        <v>0.52569444444444402</v>
      </c>
      <c r="D2019" s="90">
        <v>0</v>
      </c>
      <c r="E2019" s="90">
        <v>0</v>
      </c>
      <c r="F2019" s="90">
        <v>0</v>
      </c>
      <c r="G2019" s="90">
        <v>0</v>
      </c>
      <c r="H2019" s="90">
        <v>0</v>
      </c>
      <c r="I2019" s="90">
        <v>0</v>
      </c>
      <c r="J2019" s="90">
        <v>0</v>
      </c>
    </row>
    <row r="2020" spans="1:10">
      <c r="A2020" s="88" t="s">
        <v>100</v>
      </c>
      <c r="B2020" s="88" t="s">
        <v>123</v>
      </c>
      <c r="C2020" s="89">
        <v>0.52638888888888902</v>
      </c>
      <c r="D2020" s="90">
        <v>0</v>
      </c>
      <c r="E2020" s="90">
        <v>0</v>
      </c>
      <c r="F2020" s="90">
        <v>0</v>
      </c>
      <c r="G2020" s="90">
        <v>0</v>
      </c>
      <c r="H2020" s="90">
        <v>0</v>
      </c>
      <c r="I2020" s="90">
        <v>0</v>
      </c>
      <c r="J2020" s="90">
        <v>0</v>
      </c>
    </row>
    <row r="2021" spans="1:10">
      <c r="A2021" s="88" t="s">
        <v>100</v>
      </c>
      <c r="B2021" s="88" t="s">
        <v>123</v>
      </c>
      <c r="C2021" s="89">
        <v>0.52708333333333302</v>
      </c>
      <c r="D2021" s="90">
        <v>0</v>
      </c>
      <c r="E2021" s="90">
        <v>0</v>
      </c>
      <c r="F2021" s="90">
        <v>0</v>
      </c>
      <c r="G2021" s="90">
        <v>0</v>
      </c>
      <c r="H2021" s="90">
        <v>0</v>
      </c>
      <c r="I2021" s="90">
        <v>0</v>
      </c>
      <c r="J2021" s="90">
        <v>0</v>
      </c>
    </row>
    <row r="2022" spans="1:10">
      <c r="A2022" s="88" t="s">
        <v>100</v>
      </c>
      <c r="B2022" s="88" t="s">
        <v>123</v>
      </c>
      <c r="C2022" s="89">
        <v>0.52777777777777701</v>
      </c>
      <c r="D2022" s="90">
        <v>0</v>
      </c>
      <c r="E2022" s="90">
        <v>0</v>
      </c>
      <c r="F2022" s="90">
        <v>0</v>
      </c>
      <c r="G2022" s="90">
        <v>0</v>
      </c>
      <c r="H2022" s="90">
        <v>0</v>
      </c>
      <c r="I2022" s="90">
        <v>0</v>
      </c>
      <c r="J2022" s="90">
        <v>0</v>
      </c>
    </row>
    <row r="2023" spans="1:10">
      <c r="A2023" s="88" t="s">
        <v>100</v>
      </c>
      <c r="B2023" s="88" t="s">
        <v>123</v>
      </c>
      <c r="C2023" s="89">
        <v>0.52847222222222201</v>
      </c>
      <c r="D2023" s="90">
        <v>0</v>
      </c>
      <c r="E2023" s="90">
        <v>0</v>
      </c>
      <c r="F2023" s="90">
        <v>0</v>
      </c>
      <c r="G2023" s="90">
        <v>0</v>
      </c>
      <c r="H2023" s="90">
        <v>0</v>
      </c>
      <c r="I2023" s="90">
        <v>0</v>
      </c>
      <c r="J2023" s="90">
        <v>0</v>
      </c>
    </row>
    <row r="2024" spans="1:10">
      <c r="A2024" s="88" t="s">
        <v>100</v>
      </c>
      <c r="B2024" s="88" t="s">
        <v>123</v>
      </c>
      <c r="C2024" s="89">
        <v>0.52916666666666601</v>
      </c>
      <c r="D2024" s="90">
        <v>0</v>
      </c>
      <c r="E2024" s="90">
        <v>0</v>
      </c>
      <c r="F2024" s="90">
        <v>0</v>
      </c>
      <c r="G2024" s="90">
        <v>0</v>
      </c>
      <c r="H2024" s="90">
        <v>0</v>
      </c>
      <c r="I2024" s="90">
        <v>0</v>
      </c>
      <c r="J2024" s="90">
        <v>0</v>
      </c>
    </row>
    <row r="2025" spans="1:10">
      <c r="A2025" s="88" t="s">
        <v>100</v>
      </c>
      <c r="B2025" s="88" t="s">
        <v>123</v>
      </c>
      <c r="C2025" s="89">
        <v>0.52986111111111101</v>
      </c>
      <c r="D2025" s="90">
        <v>0</v>
      </c>
      <c r="E2025" s="90">
        <v>0</v>
      </c>
      <c r="F2025" s="90">
        <v>0</v>
      </c>
      <c r="G2025" s="90">
        <v>0</v>
      </c>
      <c r="H2025" s="90">
        <v>0</v>
      </c>
      <c r="I2025" s="90">
        <v>0</v>
      </c>
      <c r="J2025" s="90">
        <v>0</v>
      </c>
    </row>
    <row r="2026" spans="1:10" s="80" customFormat="1">
      <c r="A2026" s="91" t="s">
        <v>100</v>
      </c>
      <c r="B2026" s="91" t="s">
        <v>123</v>
      </c>
      <c r="C2026" s="92">
        <v>0.530555555555555</v>
      </c>
      <c r="D2026" s="93">
        <v>0</v>
      </c>
      <c r="E2026" s="93">
        <v>0</v>
      </c>
      <c r="F2026" s="93">
        <v>0</v>
      </c>
      <c r="G2026" s="93">
        <v>0</v>
      </c>
      <c r="H2026" s="93">
        <v>0</v>
      </c>
      <c r="I2026" s="93">
        <v>0</v>
      </c>
      <c r="J2026" s="93">
        <v>0</v>
      </c>
    </row>
    <row r="2027" spans="1:10">
      <c r="A2027" s="88" t="s">
        <v>100</v>
      </c>
      <c r="B2027" s="88" t="s">
        <v>123</v>
      </c>
      <c r="C2027" s="89">
        <v>0.53125</v>
      </c>
      <c r="D2027" s="94">
        <v>0</v>
      </c>
      <c r="E2027" s="94">
        <v>0</v>
      </c>
      <c r="F2027" s="94">
        <v>0</v>
      </c>
      <c r="G2027" s="94">
        <v>0</v>
      </c>
      <c r="H2027" s="94">
        <v>0</v>
      </c>
      <c r="I2027" s="94">
        <v>0</v>
      </c>
      <c r="J2027" s="94">
        <v>0</v>
      </c>
    </row>
    <row r="2028" spans="1:10">
      <c r="A2028" s="88" t="s">
        <v>100</v>
      </c>
      <c r="B2028" s="88" t="s">
        <v>123</v>
      </c>
      <c r="C2028" s="89">
        <v>0.531944444444444</v>
      </c>
      <c r="D2028" s="90">
        <v>0</v>
      </c>
      <c r="E2028" s="90">
        <v>0</v>
      </c>
      <c r="F2028" s="90">
        <v>0</v>
      </c>
      <c r="G2028" s="90">
        <v>0</v>
      </c>
      <c r="H2028" s="90">
        <v>0</v>
      </c>
      <c r="I2028" s="90">
        <v>0</v>
      </c>
      <c r="J2028" s="90">
        <v>0</v>
      </c>
    </row>
    <row r="2029" spans="1:10">
      <c r="A2029" s="88" t="s">
        <v>100</v>
      </c>
      <c r="B2029" s="88" t="s">
        <v>123</v>
      </c>
      <c r="C2029" s="89">
        <v>0.53263888888888899</v>
      </c>
      <c r="D2029" s="90">
        <v>0</v>
      </c>
      <c r="E2029" s="90">
        <v>0</v>
      </c>
      <c r="F2029" s="90">
        <v>0</v>
      </c>
      <c r="G2029" s="90">
        <v>0</v>
      </c>
      <c r="H2029" s="90">
        <v>0</v>
      </c>
      <c r="I2029" s="90">
        <v>0</v>
      </c>
      <c r="J2029" s="90">
        <v>0</v>
      </c>
    </row>
    <row r="2030" spans="1:10">
      <c r="A2030" s="88" t="s">
        <v>100</v>
      </c>
      <c r="B2030" s="88" t="s">
        <v>123</v>
      </c>
      <c r="C2030" s="89">
        <v>0.53333333333333299</v>
      </c>
      <c r="D2030" s="90">
        <v>0</v>
      </c>
      <c r="E2030" s="90">
        <v>0</v>
      </c>
      <c r="F2030" s="90">
        <v>0</v>
      </c>
      <c r="G2030" s="90">
        <v>0</v>
      </c>
      <c r="H2030" s="90">
        <v>0</v>
      </c>
      <c r="I2030" s="90">
        <v>0</v>
      </c>
      <c r="J2030" s="90">
        <v>0</v>
      </c>
    </row>
    <row r="2031" spans="1:10">
      <c r="A2031" s="88" t="s">
        <v>100</v>
      </c>
      <c r="B2031" s="88" t="s">
        <v>123</v>
      </c>
      <c r="C2031" s="89">
        <v>0.53402777777777799</v>
      </c>
      <c r="D2031" s="90">
        <v>0</v>
      </c>
      <c r="E2031" s="90">
        <v>0</v>
      </c>
      <c r="F2031" s="90">
        <v>0</v>
      </c>
      <c r="G2031" s="90">
        <v>0</v>
      </c>
      <c r="H2031" s="90">
        <v>0</v>
      </c>
      <c r="I2031" s="90">
        <v>0</v>
      </c>
      <c r="J2031" s="90">
        <v>0</v>
      </c>
    </row>
    <row r="2032" spans="1:10">
      <c r="A2032" s="88" t="s">
        <v>100</v>
      </c>
      <c r="B2032" s="88" t="s">
        <v>123</v>
      </c>
      <c r="C2032" s="89">
        <v>0.53472222222222199</v>
      </c>
      <c r="D2032" s="90">
        <v>0</v>
      </c>
      <c r="E2032" s="90">
        <v>0</v>
      </c>
      <c r="F2032" s="90">
        <v>0</v>
      </c>
      <c r="G2032" s="90">
        <v>0</v>
      </c>
      <c r="H2032" s="90">
        <v>0</v>
      </c>
      <c r="I2032" s="90">
        <v>0</v>
      </c>
      <c r="J2032" s="90">
        <v>0</v>
      </c>
    </row>
    <row r="2033" spans="1:10">
      <c r="A2033" s="88" t="s">
        <v>100</v>
      </c>
      <c r="B2033" s="88" t="s">
        <v>123</v>
      </c>
      <c r="C2033" s="89">
        <v>0.53541666666666599</v>
      </c>
      <c r="D2033" s="90">
        <v>0</v>
      </c>
      <c r="E2033" s="90">
        <v>0</v>
      </c>
      <c r="F2033" s="90">
        <v>0</v>
      </c>
      <c r="G2033" s="90">
        <v>0</v>
      </c>
      <c r="H2033" s="90">
        <v>0</v>
      </c>
      <c r="I2033" s="90">
        <v>0</v>
      </c>
      <c r="J2033" s="90">
        <v>0</v>
      </c>
    </row>
    <row r="2034" spans="1:10">
      <c r="A2034" s="88" t="s">
        <v>100</v>
      </c>
      <c r="B2034" s="88" t="s">
        <v>123</v>
      </c>
      <c r="C2034" s="89">
        <v>0.53611111111111098</v>
      </c>
      <c r="D2034" s="90">
        <v>0</v>
      </c>
      <c r="E2034" s="90">
        <v>0</v>
      </c>
      <c r="F2034" s="90">
        <v>0</v>
      </c>
      <c r="G2034" s="90">
        <v>0</v>
      </c>
      <c r="H2034" s="90">
        <v>0</v>
      </c>
      <c r="I2034" s="90">
        <v>0</v>
      </c>
      <c r="J2034" s="90">
        <v>0</v>
      </c>
    </row>
    <row r="2035" spans="1:10">
      <c r="A2035" s="88" t="s">
        <v>100</v>
      </c>
      <c r="B2035" s="88" t="s">
        <v>123</v>
      </c>
      <c r="C2035" s="89">
        <v>0.53680555555555498</v>
      </c>
      <c r="D2035" s="90">
        <v>0</v>
      </c>
      <c r="E2035" s="90">
        <v>0</v>
      </c>
      <c r="F2035" s="90">
        <v>0</v>
      </c>
      <c r="G2035" s="90">
        <v>0</v>
      </c>
      <c r="H2035" s="90">
        <v>0</v>
      </c>
      <c r="I2035" s="90">
        <v>0</v>
      </c>
      <c r="J2035" s="90">
        <v>0</v>
      </c>
    </row>
    <row r="2036" spans="1:10">
      <c r="A2036" s="88" t="s">
        <v>100</v>
      </c>
      <c r="B2036" s="88" t="s">
        <v>123</v>
      </c>
      <c r="C2036" s="89">
        <v>0.53749999999999998</v>
      </c>
      <c r="D2036" s="90">
        <v>0</v>
      </c>
      <c r="E2036" s="90">
        <v>0</v>
      </c>
      <c r="F2036" s="90">
        <v>0</v>
      </c>
      <c r="G2036" s="90">
        <v>0</v>
      </c>
      <c r="H2036" s="90">
        <v>0</v>
      </c>
      <c r="I2036" s="90">
        <v>0</v>
      </c>
      <c r="J2036" s="90">
        <v>0</v>
      </c>
    </row>
    <row r="2037" spans="1:10">
      <c r="A2037" s="88" t="s">
        <v>100</v>
      </c>
      <c r="B2037" s="88" t="s">
        <v>123</v>
      </c>
      <c r="C2037" s="89">
        <v>0.53819444444444398</v>
      </c>
      <c r="D2037" s="90">
        <v>0</v>
      </c>
      <c r="E2037" s="90">
        <v>0</v>
      </c>
      <c r="F2037" s="90">
        <v>0</v>
      </c>
      <c r="G2037" s="90">
        <v>0</v>
      </c>
      <c r="H2037" s="90">
        <v>0</v>
      </c>
      <c r="I2037" s="90">
        <v>0</v>
      </c>
      <c r="J2037" s="90">
        <v>0</v>
      </c>
    </row>
    <row r="2038" spans="1:10">
      <c r="A2038" s="88" t="s">
        <v>100</v>
      </c>
      <c r="B2038" s="88" t="s">
        <v>123</v>
      </c>
      <c r="C2038" s="89">
        <v>0.53888888888888897</v>
      </c>
      <c r="D2038" s="90">
        <v>0</v>
      </c>
      <c r="E2038" s="90">
        <v>0</v>
      </c>
      <c r="F2038" s="90">
        <v>0</v>
      </c>
      <c r="G2038" s="90">
        <v>0</v>
      </c>
      <c r="H2038" s="90">
        <v>0</v>
      </c>
      <c r="I2038" s="90">
        <v>0</v>
      </c>
      <c r="J2038" s="90">
        <v>0</v>
      </c>
    </row>
    <row r="2039" spans="1:10">
      <c r="A2039" s="88" t="s">
        <v>100</v>
      </c>
      <c r="B2039" s="88" t="s">
        <v>123</v>
      </c>
      <c r="C2039" s="89">
        <v>0.53958333333333297</v>
      </c>
      <c r="D2039" s="90">
        <v>0</v>
      </c>
      <c r="E2039" s="90">
        <v>0</v>
      </c>
      <c r="F2039" s="90">
        <v>0</v>
      </c>
      <c r="G2039" s="90">
        <v>0</v>
      </c>
      <c r="H2039" s="90">
        <v>0</v>
      </c>
      <c r="I2039" s="90">
        <v>0</v>
      </c>
      <c r="J2039" s="90">
        <v>0</v>
      </c>
    </row>
    <row r="2040" spans="1:10">
      <c r="A2040" s="88" t="s">
        <v>100</v>
      </c>
      <c r="B2040" s="88" t="s">
        <v>123</v>
      </c>
      <c r="C2040" s="89">
        <v>0.54027777777777797</v>
      </c>
      <c r="D2040" s="90">
        <v>0</v>
      </c>
      <c r="E2040" s="90">
        <v>0</v>
      </c>
      <c r="F2040" s="90">
        <v>0</v>
      </c>
      <c r="G2040" s="90">
        <v>0</v>
      </c>
      <c r="H2040" s="90">
        <v>0</v>
      </c>
      <c r="I2040" s="90">
        <v>0</v>
      </c>
      <c r="J2040" s="90">
        <v>0</v>
      </c>
    </row>
    <row r="2041" spans="1:10" s="28" customFormat="1" ht="17.5" thickBot="1">
      <c r="A2041" s="103" t="s">
        <v>100</v>
      </c>
      <c r="B2041" s="103" t="s">
        <v>123</v>
      </c>
      <c r="C2041" s="104">
        <v>0.54097222222222197</v>
      </c>
      <c r="D2041" s="105">
        <v>0</v>
      </c>
      <c r="E2041" s="105">
        <v>0</v>
      </c>
      <c r="F2041" s="105">
        <v>0</v>
      </c>
      <c r="G2041" s="105">
        <v>0</v>
      </c>
      <c r="H2041" s="105">
        <v>0</v>
      </c>
      <c r="I2041" s="105">
        <v>0</v>
      </c>
      <c r="J2041" s="105">
        <v>0</v>
      </c>
    </row>
    <row r="2042" spans="1:10">
      <c r="A2042" s="88" t="s">
        <v>100</v>
      </c>
      <c r="B2042" s="88" t="s">
        <v>126</v>
      </c>
      <c r="C2042" s="89">
        <v>0.45833333333333331</v>
      </c>
      <c r="D2042" s="106">
        <v>0</v>
      </c>
      <c r="E2042" s="106">
        <v>0</v>
      </c>
      <c r="F2042" s="106">
        <v>0</v>
      </c>
      <c r="G2042" s="106">
        <v>0</v>
      </c>
      <c r="H2042" s="106">
        <v>0</v>
      </c>
      <c r="I2042" s="106">
        <v>0</v>
      </c>
      <c r="J2042" s="106">
        <v>0</v>
      </c>
    </row>
    <row r="2043" spans="1:10">
      <c r="A2043" s="88" t="s">
        <v>100</v>
      </c>
      <c r="B2043" s="88" t="s">
        <v>125</v>
      </c>
      <c r="C2043" s="89">
        <v>0.45902777777777776</v>
      </c>
      <c r="D2043" s="90">
        <v>0</v>
      </c>
      <c r="E2043" s="90">
        <v>0</v>
      </c>
      <c r="F2043" s="90">
        <v>0</v>
      </c>
      <c r="G2043" s="90">
        <v>0</v>
      </c>
      <c r="H2043" s="90">
        <v>0</v>
      </c>
      <c r="I2043" s="90">
        <v>0</v>
      </c>
      <c r="J2043" s="90">
        <v>0</v>
      </c>
    </row>
    <row r="2044" spans="1:10">
      <c r="A2044" s="88" t="s">
        <v>100</v>
      </c>
      <c r="B2044" s="88" t="s">
        <v>125</v>
      </c>
      <c r="C2044" s="89">
        <v>0.45972222222222198</v>
      </c>
      <c r="D2044" s="90">
        <v>0</v>
      </c>
      <c r="E2044" s="90">
        <v>0</v>
      </c>
      <c r="F2044" s="90">
        <v>0</v>
      </c>
      <c r="G2044" s="90">
        <v>0</v>
      </c>
      <c r="H2044" s="90">
        <v>0</v>
      </c>
      <c r="I2044" s="90">
        <v>0</v>
      </c>
      <c r="J2044" s="90">
        <v>0</v>
      </c>
    </row>
    <row r="2045" spans="1:10">
      <c r="A2045" s="88" t="s">
        <v>100</v>
      </c>
      <c r="B2045" s="88" t="s">
        <v>125</v>
      </c>
      <c r="C2045" s="89">
        <v>0.46041666666666697</v>
      </c>
      <c r="D2045" s="90">
        <v>0</v>
      </c>
      <c r="E2045" s="90">
        <v>0</v>
      </c>
      <c r="F2045" s="90">
        <v>0</v>
      </c>
      <c r="G2045" s="90">
        <v>0</v>
      </c>
      <c r="H2045" s="90">
        <v>0</v>
      </c>
      <c r="I2045" s="90">
        <v>0</v>
      </c>
      <c r="J2045" s="90">
        <v>0</v>
      </c>
    </row>
    <row r="2046" spans="1:10">
      <c r="A2046" s="88" t="s">
        <v>100</v>
      </c>
      <c r="B2046" s="88" t="s">
        <v>125</v>
      </c>
      <c r="C2046" s="89">
        <v>0.46111111111111103</v>
      </c>
      <c r="D2046" s="90">
        <v>0</v>
      </c>
      <c r="E2046" s="90">
        <v>0</v>
      </c>
      <c r="F2046" s="90">
        <v>0</v>
      </c>
      <c r="G2046" s="90">
        <v>0</v>
      </c>
      <c r="H2046" s="90">
        <v>0</v>
      </c>
      <c r="I2046" s="90">
        <v>0</v>
      </c>
      <c r="J2046" s="90">
        <v>0</v>
      </c>
    </row>
    <row r="2047" spans="1:10">
      <c r="A2047" s="88" t="s">
        <v>100</v>
      </c>
      <c r="B2047" s="88" t="s">
        <v>125</v>
      </c>
      <c r="C2047" s="89">
        <v>0.46180555555555602</v>
      </c>
      <c r="D2047" s="90">
        <v>0</v>
      </c>
      <c r="E2047" s="90">
        <v>0</v>
      </c>
      <c r="F2047" s="90">
        <v>0</v>
      </c>
      <c r="G2047" s="90">
        <v>0</v>
      </c>
      <c r="H2047" s="90">
        <v>0</v>
      </c>
      <c r="I2047" s="90">
        <v>0</v>
      </c>
      <c r="J2047" s="90">
        <v>0</v>
      </c>
    </row>
    <row r="2048" spans="1:10">
      <c r="A2048" s="88" t="s">
        <v>100</v>
      </c>
      <c r="B2048" s="88" t="s">
        <v>125</v>
      </c>
      <c r="C2048" s="89">
        <v>0.46250000000000002</v>
      </c>
      <c r="D2048" s="90">
        <v>0</v>
      </c>
      <c r="E2048" s="90">
        <v>0</v>
      </c>
      <c r="F2048" s="90">
        <v>0</v>
      </c>
      <c r="G2048" s="90">
        <v>0</v>
      </c>
      <c r="H2048" s="90">
        <v>0</v>
      </c>
      <c r="I2048" s="90">
        <v>0</v>
      </c>
      <c r="J2048" s="90">
        <v>0</v>
      </c>
    </row>
    <row r="2049" spans="1:10">
      <c r="A2049" s="88" t="s">
        <v>100</v>
      </c>
      <c r="B2049" s="88" t="s">
        <v>125</v>
      </c>
      <c r="C2049" s="89">
        <v>0.46319444444444402</v>
      </c>
      <c r="D2049" s="90">
        <v>0</v>
      </c>
      <c r="E2049" s="90">
        <v>0</v>
      </c>
      <c r="F2049" s="90">
        <v>0</v>
      </c>
      <c r="G2049" s="90">
        <v>0</v>
      </c>
      <c r="H2049" s="90">
        <v>0</v>
      </c>
      <c r="I2049" s="90">
        <v>0</v>
      </c>
      <c r="J2049" s="90">
        <v>0</v>
      </c>
    </row>
    <row r="2050" spans="1:10">
      <c r="A2050" s="88" t="s">
        <v>100</v>
      </c>
      <c r="B2050" s="88" t="s">
        <v>125</v>
      </c>
      <c r="C2050" s="89">
        <v>0.46388888888888902</v>
      </c>
      <c r="D2050" s="90">
        <v>0</v>
      </c>
      <c r="E2050" s="90">
        <v>0</v>
      </c>
      <c r="F2050" s="90">
        <v>0</v>
      </c>
      <c r="G2050" s="90">
        <v>0</v>
      </c>
      <c r="H2050" s="90">
        <v>0</v>
      </c>
      <c r="I2050" s="90">
        <v>0</v>
      </c>
      <c r="J2050" s="90">
        <v>0</v>
      </c>
    </row>
    <row r="2051" spans="1:10">
      <c r="A2051" s="88" t="s">
        <v>100</v>
      </c>
      <c r="B2051" s="88" t="s">
        <v>125</v>
      </c>
      <c r="C2051" s="89">
        <v>0.46458333333333302</v>
      </c>
      <c r="D2051" s="90">
        <v>0</v>
      </c>
      <c r="E2051" s="90">
        <v>0</v>
      </c>
      <c r="F2051" s="90">
        <v>0</v>
      </c>
      <c r="G2051" s="90">
        <v>0</v>
      </c>
      <c r="H2051" s="90">
        <v>0</v>
      </c>
      <c r="I2051" s="90">
        <v>0</v>
      </c>
      <c r="J2051" s="90">
        <v>0</v>
      </c>
    </row>
    <row r="2052" spans="1:10">
      <c r="A2052" s="88" t="s">
        <v>100</v>
      </c>
      <c r="B2052" s="88" t="s">
        <v>125</v>
      </c>
      <c r="C2052" s="89">
        <v>0.46527777777777801</v>
      </c>
      <c r="D2052" s="90">
        <v>0</v>
      </c>
      <c r="E2052" s="90">
        <v>0</v>
      </c>
      <c r="F2052" s="90">
        <v>0</v>
      </c>
      <c r="G2052" s="90">
        <v>0</v>
      </c>
      <c r="H2052" s="90">
        <v>0</v>
      </c>
      <c r="I2052" s="90">
        <v>0</v>
      </c>
      <c r="J2052" s="90">
        <v>0</v>
      </c>
    </row>
    <row r="2053" spans="1:10">
      <c r="A2053" s="88" t="s">
        <v>100</v>
      </c>
      <c r="B2053" s="88" t="s">
        <v>125</v>
      </c>
      <c r="C2053" s="89">
        <v>0.46597222222222201</v>
      </c>
      <c r="D2053" s="90">
        <v>0</v>
      </c>
      <c r="E2053" s="90">
        <v>0</v>
      </c>
      <c r="F2053" s="90">
        <v>0</v>
      </c>
      <c r="G2053" s="90">
        <v>0</v>
      </c>
      <c r="H2053" s="90">
        <v>0</v>
      </c>
      <c r="I2053" s="90">
        <v>0</v>
      </c>
      <c r="J2053" s="90">
        <v>0</v>
      </c>
    </row>
    <row r="2054" spans="1:10">
      <c r="A2054" s="88" t="s">
        <v>100</v>
      </c>
      <c r="B2054" s="88" t="s">
        <v>125</v>
      </c>
      <c r="C2054" s="89">
        <v>0.46666666666666701</v>
      </c>
      <c r="D2054" s="90">
        <v>0</v>
      </c>
      <c r="E2054" s="90">
        <v>0</v>
      </c>
      <c r="F2054" s="90">
        <v>0</v>
      </c>
      <c r="G2054" s="90">
        <v>0</v>
      </c>
      <c r="H2054" s="90">
        <v>0</v>
      </c>
      <c r="I2054" s="90">
        <v>0</v>
      </c>
      <c r="J2054" s="90">
        <v>0</v>
      </c>
    </row>
    <row r="2055" spans="1:10">
      <c r="A2055" s="88" t="s">
        <v>100</v>
      </c>
      <c r="B2055" s="88" t="s">
        <v>125</v>
      </c>
      <c r="C2055" s="89">
        <v>0.46736111111111101</v>
      </c>
      <c r="D2055" s="90">
        <v>0</v>
      </c>
      <c r="E2055" s="90">
        <v>0</v>
      </c>
      <c r="F2055" s="90">
        <v>0</v>
      </c>
      <c r="G2055" s="90">
        <v>0</v>
      </c>
      <c r="H2055" s="90">
        <v>0</v>
      </c>
      <c r="I2055" s="90">
        <v>0</v>
      </c>
      <c r="J2055" s="90">
        <v>0</v>
      </c>
    </row>
    <row r="2056" spans="1:10" s="80" customFormat="1">
      <c r="A2056" s="91" t="s">
        <v>100</v>
      </c>
      <c r="B2056" s="91" t="s">
        <v>125</v>
      </c>
      <c r="C2056" s="92">
        <v>0.468055555555556</v>
      </c>
      <c r="D2056" s="90">
        <v>0</v>
      </c>
      <c r="E2056" s="90">
        <v>0</v>
      </c>
      <c r="F2056" s="90">
        <v>0</v>
      </c>
      <c r="G2056" s="90">
        <v>0</v>
      </c>
      <c r="H2056" s="90">
        <v>0</v>
      </c>
      <c r="I2056" s="90">
        <v>0</v>
      </c>
      <c r="J2056" s="90">
        <v>0</v>
      </c>
    </row>
    <row r="2057" spans="1:10">
      <c r="A2057" s="88" t="s">
        <v>100</v>
      </c>
      <c r="B2057" s="88" t="s">
        <v>125</v>
      </c>
      <c r="C2057" s="89">
        <v>0.46875</v>
      </c>
      <c r="D2057" s="94">
        <v>0</v>
      </c>
      <c r="E2057" s="94">
        <v>0</v>
      </c>
      <c r="F2057" s="94">
        <v>0</v>
      </c>
      <c r="G2057" s="94">
        <v>0</v>
      </c>
      <c r="H2057" s="94">
        <v>0</v>
      </c>
      <c r="I2057" s="94">
        <v>0</v>
      </c>
      <c r="J2057" s="94">
        <v>0</v>
      </c>
    </row>
    <row r="2058" spans="1:10">
      <c r="A2058" s="88" t="s">
        <v>100</v>
      </c>
      <c r="B2058" s="88" t="s">
        <v>125</v>
      </c>
      <c r="C2058" s="89">
        <v>0.469444444444444</v>
      </c>
      <c r="D2058" s="90">
        <v>0</v>
      </c>
      <c r="E2058" s="90">
        <v>0</v>
      </c>
      <c r="F2058" s="90">
        <v>0</v>
      </c>
      <c r="G2058" s="90">
        <v>0</v>
      </c>
      <c r="H2058" s="90">
        <v>0</v>
      </c>
      <c r="I2058" s="90">
        <v>0</v>
      </c>
      <c r="J2058" s="90">
        <v>0</v>
      </c>
    </row>
    <row r="2059" spans="1:10">
      <c r="A2059" s="88" t="s">
        <v>100</v>
      </c>
      <c r="B2059" s="88" t="s">
        <v>125</v>
      </c>
      <c r="C2059" s="89">
        <v>0.47013888888888899</v>
      </c>
      <c r="D2059" s="90">
        <v>0</v>
      </c>
      <c r="E2059" s="90">
        <v>0</v>
      </c>
      <c r="F2059" s="90">
        <v>0</v>
      </c>
      <c r="G2059" s="90">
        <v>0</v>
      </c>
      <c r="H2059" s="90">
        <v>0</v>
      </c>
      <c r="I2059" s="90">
        <v>0</v>
      </c>
      <c r="J2059" s="90">
        <v>0</v>
      </c>
    </row>
    <row r="2060" spans="1:10">
      <c r="A2060" s="88" t="s">
        <v>100</v>
      </c>
      <c r="B2060" s="88" t="s">
        <v>125</v>
      </c>
      <c r="C2060" s="89">
        <v>0.47083333333333299</v>
      </c>
      <c r="D2060" s="90">
        <v>0</v>
      </c>
      <c r="E2060" s="90">
        <v>0</v>
      </c>
      <c r="F2060" s="90">
        <v>0</v>
      </c>
      <c r="G2060" s="90">
        <v>0</v>
      </c>
      <c r="H2060" s="90">
        <v>0</v>
      </c>
      <c r="I2060" s="90">
        <v>0</v>
      </c>
      <c r="J2060" s="90">
        <v>0</v>
      </c>
    </row>
    <row r="2061" spans="1:10">
      <c r="A2061" s="88" t="s">
        <v>100</v>
      </c>
      <c r="B2061" s="88" t="s">
        <v>125</v>
      </c>
      <c r="C2061" s="89">
        <v>0.47152777777777799</v>
      </c>
      <c r="D2061" s="90">
        <v>0</v>
      </c>
      <c r="E2061" s="90">
        <v>0</v>
      </c>
      <c r="F2061" s="90">
        <v>0</v>
      </c>
      <c r="G2061" s="90">
        <v>0</v>
      </c>
      <c r="H2061" s="90">
        <v>0</v>
      </c>
      <c r="I2061" s="90">
        <v>0</v>
      </c>
      <c r="J2061" s="90">
        <v>0</v>
      </c>
    </row>
    <row r="2062" spans="1:10">
      <c r="A2062" s="88" t="s">
        <v>100</v>
      </c>
      <c r="B2062" s="88" t="s">
        <v>125</v>
      </c>
      <c r="C2062" s="89">
        <v>0.47222222222222199</v>
      </c>
      <c r="D2062" s="90">
        <v>0</v>
      </c>
      <c r="E2062" s="90">
        <v>0</v>
      </c>
      <c r="F2062" s="90">
        <v>0</v>
      </c>
      <c r="G2062" s="90">
        <v>0</v>
      </c>
      <c r="H2062" s="90">
        <v>0</v>
      </c>
      <c r="I2062" s="90">
        <v>0</v>
      </c>
      <c r="J2062" s="90">
        <v>0</v>
      </c>
    </row>
    <row r="2063" spans="1:10">
      <c r="A2063" s="88" t="s">
        <v>100</v>
      </c>
      <c r="B2063" s="88" t="s">
        <v>125</v>
      </c>
      <c r="C2063" s="89">
        <v>0.47291666666666698</v>
      </c>
      <c r="D2063" s="90">
        <v>0</v>
      </c>
      <c r="E2063" s="90">
        <v>0</v>
      </c>
      <c r="F2063" s="90">
        <v>0</v>
      </c>
      <c r="G2063" s="90">
        <v>0</v>
      </c>
      <c r="H2063" s="90">
        <v>0</v>
      </c>
      <c r="I2063" s="90">
        <v>0</v>
      </c>
      <c r="J2063" s="90">
        <v>0</v>
      </c>
    </row>
    <row r="2064" spans="1:10">
      <c r="A2064" s="88" t="s">
        <v>100</v>
      </c>
      <c r="B2064" s="88" t="s">
        <v>125</v>
      </c>
      <c r="C2064" s="89">
        <v>0.47361111111111098</v>
      </c>
      <c r="D2064" s="90">
        <v>0</v>
      </c>
      <c r="E2064" s="90">
        <v>0</v>
      </c>
      <c r="F2064" s="90">
        <v>0</v>
      </c>
      <c r="G2064" s="90">
        <v>0</v>
      </c>
      <c r="H2064" s="90">
        <v>0</v>
      </c>
      <c r="I2064" s="90">
        <v>0</v>
      </c>
      <c r="J2064" s="90">
        <v>0</v>
      </c>
    </row>
    <row r="2065" spans="1:10">
      <c r="A2065" s="88" t="s">
        <v>100</v>
      </c>
      <c r="B2065" s="88" t="s">
        <v>125</v>
      </c>
      <c r="C2065" s="89">
        <v>0.47430555555555598</v>
      </c>
      <c r="D2065" s="90">
        <v>0</v>
      </c>
      <c r="E2065" s="90">
        <v>0</v>
      </c>
      <c r="F2065" s="90">
        <v>0</v>
      </c>
      <c r="G2065" s="90">
        <v>0</v>
      </c>
      <c r="H2065" s="90">
        <v>0</v>
      </c>
      <c r="I2065" s="90">
        <v>0</v>
      </c>
      <c r="J2065" s="90">
        <v>0</v>
      </c>
    </row>
    <row r="2066" spans="1:10">
      <c r="A2066" s="88" t="s">
        <v>100</v>
      </c>
      <c r="B2066" s="88" t="s">
        <v>125</v>
      </c>
      <c r="C2066" s="89">
        <v>0.47499999999999998</v>
      </c>
      <c r="D2066" s="90">
        <v>0</v>
      </c>
      <c r="E2066" s="90">
        <v>0</v>
      </c>
      <c r="F2066" s="90">
        <v>0</v>
      </c>
      <c r="G2066" s="90">
        <v>0</v>
      </c>
      <c r="H2066" s="90">
        <v>0</v>
      </c>
      <c r="I2066" s="90">
        <v>0</v>
      </c>
      <c r="J2066" s="90">
        <v>0</v>
      </c>
    </row>
    <row r="2067" spans="1:10">
      <c r="A2067" s="88" t="s">
        <v>100</v>
      </c>
      <c r="B2067" s="88" t="s">
        <v>125</v>
      </c>
      <c r="C2067" s="89">
        <v>0.47569444444444398</v>
      </c>
      <c r="D2067" s="90">
        <v>0</v>
      </c>
      <c r="E2067" s="90">
        <v>0</v>
      </c>
      <c r="F2067" s="90">
        <v>0</v>
      </c>
      <c r="G2067" s="90">
        <v>0</v>
      </c>
      <c r="H2067" s="90">
        <v>0</v>
      </c>
      <c r="I2067" s="90">
        <v>0</v>
      </c>
      <c r="J2067" s="90">
        <v>0</v>
      </c>
    </row>
    <row r="2068" spans="1:10">
      <c r="A2068" s="88" t="s">
        <v>100</v>
      </c>
      <c r="B2068" s="88" t="s">
        <v>125</v>
      </c>
      <c r="C2068" s="89">
        <v>0.47638888888888897</v>
      </c>
      <c r="D2068" s="90">
        <v>0</v>
      </c>
      <c r="E2068" s="90">
        <v>0</v>
      </c>
      <c r="F2068" s="90">
        <v>0</v>
      </c>
      <c r="G2068" s="90">
        <v>0</v>
      </c>
      <c r="H2068" s="90">
        <v>0</v>
      </c>
      <c r="I2068" s="90">
        <v>0</v>
      </c>
      <c r="J2068" s="90">
        <v>0</v>
      </c>
    </row>
    <row r="2069" spans="1:10">
      <c r="A2069" s="88" t="s">
        <v>100</v>
      </c>
      <c r="B2069" s="88" t="s">
        <v>125</v>
      </c>
      <c r="C2069" s="89">
        <v>0.47708333333333303</v>
      </c>
      <c r="D2069" s="90">
        <v>0</v>
      </c>
      <c r="E2069" s="90">
        <v>0</v>
      </c>
      <c r="F2069" s="90">
        <v>0</v>
      </c>
      <c r="G2069" s="90">
        <v>0</v>
      </c>
      <c r="H2069" s="90">
        <v>0</v>
      </c>
      <c r="I2069" s="90">
        <v>0</v>
      </c>
      <c r="J2069" s="90">
        <v>0</v>
      </c>
    </row>
    <row r="2070" spans="1:10">
      <c r="A2070" s="88" t="s">
        <v>100</v>
      </c>
      <c r="B2070" s="88" t="s">
        <v>125</v>
      </c>
      <c r="C2070" s="89">
        <v>0.47777777777777802</v>
      </c>
      <c r="D2070" s="90">
        <v>0</v>
      </c>
      <c r="E2070" s="90">
        <v>0</v>
      </c>
      <c r="F2070" s="90">
        <v>0</v>
      </c>
      <c r="G2070" s="90">
        <v>0</v>
      </c>
      <c r="H2070" s="90">
        <v>0</v>
      </c>
      <c r="I2070" s="90">
        <v>0</v>
      </c>
      <c r="J2070" s="90">
        <v>0</v>
      </c>
    </row>
    <row r="2071" spans="1:10" s="80" customFormat="1">
      <c r="A2071" s="91" t="s">
        <v>100</v>
      </c>
      <c r="B2071" s="91" t="s">
        <v>125</v>
      </c>
      <c r="C2071" s="92">
        <v>0.47847222222222202</v>
      </c>
      <c r="D2071" s="93">
        <v>0</v>
      </c>
      <c r="E2071" s="93">
        <v>0</v>
      </c>
      <c r="F2071" s="93">
        <v>0</v>
      </c>
      <c r="G2071" s="93">
        <v>0</v>
      </c>
      <c r="H2071" s="93">
        <v>0</v>
      </c>
      <c r="I2071" s="93">
        <v>0</v>
      </c>
      <c r="J2071" s="93">
        <v>0</v>
      </c>
    </row>
    <row r="2072" spans="1:10">
      <c r="A2072" s="88" t="s">
        <v>100</v>
      </c>
      <c r="B2072" s="88" t="s">
        <v>125</v>
      </c>
      <c r="C2072" s="89">
        <v>0.47916666666666702</v>
      </c>
      <c r="D2072" s="94">
        <v>0</v>
      </c>
      <c r="E2072" s="94">
        <v>0</v>
      </c>
      <c r="F2072" s="94">
        <v>0</v>
      </c>
      <c r="G2072" s="94">
        <v>0</v>
      </c>
      <c r="H2072" s="94">
        <v>0</v>
      </c>
      <c r="I2072" s="94">
        <v>0</v>
      </c>
      <c r="J2072" s="94">
        <v>0</v>
      </c>
    </row>
    <row r="2073" spans="1:10">
      <c r="A2073" s="88" t="s">
        <v>100</v>
      </c>
      <c r="B2073" s="88" t="s">
        <v>125</v>
      </c>
      <c r="C2073" s="89">
        <v>0.47986111111111102</v>
      </c>
      <c r="D2073" s="90">
        <v>0</v>
      </c>
      <c r="E2073" s="90">
        <v>0</v>
      </c>
      <c r="F2073" s="90">
        <v>0</v>
      </c>
      <c r="G2073" s="90">
        <v>0</v>
      </c>
      <c r="H2073" s="90">
        <v>0</v>
      </c>
      <c r="I2073" s="90">
        <v>0</v>
      </c>
      <c r="J2073" s="90">
        <v>0</v>
      </c>
    </row>
    <row r="2074" spans="1:10">
      <c r="A2074" s="88" t="s">
        <v>100</v>
      </c>
      <c r="B2074" s="88" t="s">
        <v>125</v>
      </c>
      <c r="C2074" s="89">
        <v>0.48055555555555501</v>
      </c>
      <c r="D2074" s="90">
        <v>0</v>
      </c>
      <c r="E2074" s="90">
        <v>0</v>
      </c>
      <c r="F2074" s="90">
        <v>0</v>
      </c>
      <c r="G2074" s="90">
        <v>0</v>
      </c>
      <c r="H2074" s="90">
        <v>0</v>
      </c>
      <c r="I2074" s="90">
        <v>0</v>
      </c>
      <c r="J2074" s="90">
        <v>0</v>
      </c>
    </row>
    <row r="2075" spans="1:10">
      <c r="A2075" s="88" t="s">
        <v>100</v>
      </c>
      <c r="B2075" s="88" t="s">
        <v>125</v>
      </c>
      <c r="C2075" s="89">
        <v>0.48125000000000001</v>
      </c>
      <c r="D2075" s="90">
        <v>0</v>
      </c>
      <c r="E2075" s="90">
        <v>0</v>
      </c>
      <c r="F2075" s="90">
        <v>0</v>
      </c>
      <c r="G2075" s="90">
        <v>0</v>
      </c>
      <c r="H2075" s="90">
        <v>0</v>
      </c>
      <c r="I2075" s="90">
        <v>0</v>
      </c>
      <c r="J2075" s="90">
        <v>0</v>
      </c>
    </row>
    <row r="2076" spans="1:10">
      <c r="A2076" s="88" t="s">
        <v>100</v>
      </c>
      <c r="B2076" s="88" t="s">
        <v>125</v>
      </c>
      <c r="C2076" s="89">
        <v>0.48194444444444401</v>
      </c>
      <c r="D2076" s="90">
        <v>0</v>
      </c>
      <c r="E2076" s="90">
        <v>0</v>
      </c>
      <c r="F2076" s="90">
        <v>0</v>
      </c>
      <c r="G2076" s="90">
        <v>0</v>
      </c>
      <c r="H2076" s="90">
        <v>0</v>
      </c>
      <c r="I2076" s="90">
        <v>0</v>
      </c>
      <c r="J2076" s="90">
        <v>0</v>
      </c>
    </row>
    <row r="2077" spans="1:10">
      <c r="A2077" s="88" t="s">
        <v>100</v>
      </c>
      <c r="B2077" s="88" t="s">
        <v>125</v>
      </c>
      <c r="C2077" s="89">
        <v>0.48263888888888901</v>
      </c>
      <c r="D2077" s="90">
        <v>0</v>
      </c>
      <c r="E2077" s="90">
        <v>0</v>
      </c>
      <c r="F2077" s="90">
        <v>0</v>
      </c>
      <c r="G2077" s="90">
        <v>0</v>
      </c>
      <c r="H2077" s="90">
        <v>0</v>
      </c>
      <c r="I2077" s="90">
        <v>0</v>
      </c>
      <c r="J2077" s="90">
        <v>0</v>
      </c>
    </row>
    <row r="2078" spans="1:10">
      <c r="A2078" s="88" t="s">
        <v>100</v>
      </c>
      <c r="B2078" s="88" t="s">
        <v>125</v>
      </c>
      <c r="C2078" s="89">
        <v>0.483333333333333</v>
      </c>
      <c r="D2078" s="90">
        <v>0</v>
      </c>
      <c r="E2078" s="90">
        <v>0</v>
      </c>
      <c r="F2078" s="90">
        <v>0</v>
      </c>
      <c r="G2078" s="90">
        <v>0</v>
      </c>
      <c r="H2078" s="90">
        <v>0</v>
      </c>
      <c r="I2078" s="90">
        <v>0</v>
      </c>
      <c r="J2078" s="90">
        <v>0</v>
      </c>
    </row>
    <row r="2079" spans="1:10">
      <c r="A2079" s="88" t="s">
        <v>100</v>
      </c>
      <c r="B2079" s="88" t="s">
        <v>125</v>
      </c>
      <c r="C2079" s="89">
        <v>0.484027777777778</v>
      </c>
      <c r="D2079" s="90">
        <v>0</v>
      </c>
      <c r="E2079" s="90">
        <v>0</v>
      </c>
      <c r="F2079" s="90">
        <v>0</v>
      </c>
      <c r="G2079" s="90">
        <v>0</v>
      </c>
      <c r="H2079" s="90">
        <v>0</v>
      </c>
      <c r="I2079" s="90">
        <v>0</v>
      </c>
      <c r="J2079" s="90">
        <v>0</v>
      </c>
    </row>
    <row r="2080" spans="1:10">
      <c r="A2080" s="88" t="s">
        <v>100</v>
      </c>
      <c r="B2080" s="88" t="s">
        <v>125</v>
      </c>
      <c r="C2080" s="89">
        <v>0.484722222222222</v>
      </c>
      <c r="D2080" s="90">
        <v>0</v>
      </c>
      <c r="E2080" s="90">
        <v>0</v>
      </c>
      <c r="F2080" s="90">
        <v>0</v>
      </c>
      <c r="G2080" s="90">
        <v>0</v>
      </c>
      <c r="H2080" s="90">
        <v>0</v>
      </c>
      <c r="I2080" s="90">
        <v>0</v>
      </c>
      <c r="J2080" s="90">
        <v>0</v>
      </c>
    </row>
    <row r="2081" spans="1:10">
      <c r="A2081" s="88" t="s">
        <v>100</v>
      </c>
      <c r="B2081" s="88" t="s">
        <v>125</v>
      </c>
      <c r="C2081" s="89">
        <v>0.485416666666666</v>
      </c>
      <c r="D2081" s="90">
        <v>0</v>
      </c>
      <c r="E2081" s="90">
        <v>0</v>
      </c>
      <c r="F2081" s="90">
        <v>0</v>
      </c>
      <c r="G2081" s="90">
        <v>0</v>
      </c>
      <c r="H2081" s="90">
        <v>0</v>
      </c>
      <c r="I2081" s="90">
        <v>0</v>
      </c>
      <c r="J2081" s="90">
        <v>0</v>
      </c>
    </row>
    <row r="2082" spans="1:10">
      <c r="A2082" s="88" t="s">
        <v>100</v>
      </c>
      <c r="B2082" s="88" t="s">
        <v>125</v>
      </c>
      <c r="C2082" s="89">
        <v>0.48611111111111099</v>
      </c>
      <c r="D2082" s="90">
        <v>0</v>
      </c>
      <c r="E2082" s="90">
        <v>0</v>
      </c>
      <c r="F2082" s="90">
        <v>0</v>
      </c>
      <c r="G2082" s="90">
        <v>0</v>
      </c>
      <c r="H2082" s="90">
        <v>0</v>
      </c>
      <c r="I2082" s="90">
        <v>0</v>
      </c>
      <c r="J2082" s="90">
        <v>0</v>
      </c>
    </row>
    <row r="2083" spans="1:10">
      <c r="A2083" s="88" t="s">
        <v>100</v>
      </c>
      <c r="B2083" s="88" t="s">
        <v>125</v>
      </c>
      <c r="C2083" s="89">
        <v>0.48680555555555499</v>
      </c>
      <c r="D2083" s="90">
        <v>0</v>
      </c>
      <c r="E2083" s="90">
        <v>0</v>
      </c>
      <c r="F2083" s="90">
        <v>0</v>
      </c>
      <c r="G2083" s="90">
        <v>0</v>
      </c>
      <c r="H2083" s="90">
        <v>0</v>
      </c>
      <c r="I2083" s="90">
        <v>0</v>
      </c>
      <c r="J2083" s="90">
        <v>0</v>
      </c>
    </row>
    <row r="2084" spans="1:10">
      <c r="A2084" s="88" t="s">
        <v>100</v>
      </c>
      <c r="B2084" s="88" t="s">
        <v>125</v>
      </c>
      <c r="C2084" s="89">
        <v>0.48749999999999999</v>
      </c>
      <c r="D2084" s="90">
        <v>0</v>
      </c>
      <c r="E2084" s="90">
        <v>0</v>
      </c>
      <c r="F2084" s="90">
        <v>0</v>
      </c>
      <c r="G2084" s="90">
        <v>0</v>
      </c>
      <c r="H2084" s="90">
        <v>0</v>
      </c>
      <c r="I2084" s="90">
        <v>0</v>
      </c>
      <c r="J2084" s="90">
        <v>0</v>
      </c>
    </row>
    <row r="2085" spans="1:10">
      <c r="A2085" s="88" t="s">
        <v>100</v>
      </c>
      <c r="B2085" s="88" t="s">
        <v>125</v>
      </c>
      <c r="C2085" s="89">
        <v>0.48819444444444399</v>
      </c>
      <c r="D2085" s="90">
        <v>0</v>
      </c>
      <c r="E2085" s="90">
        <v>0</v>
      </c>
      <c r="F2085" s="90">
        <v>0</v>
      </c>
      <c r="G2085" s="90">
        <v>0</v>
      </c>
      <c r="H2085" s="90">
        <v>0</v>
      </c>
      <c r="I2085" s="90">
        <v>0</v>
      </c>
      <c r="J2085" s="90">
        <v>0</v>
      </c>
    </row>
    <row r="2086" spans="1:10" s="80" customFormat="1">
      <c r="A2086" s="91" t="s">
        <v>100</v>
      </c>
      <c r="B2086" s="91" t="s">
        <v>125</v>
      </c>
      <c r="C2086" s="92">
        <v>0.48888888888888898</v>
      </c>
      <c r="D2086" s="90">
        <v>0</v>
      </c>
      <c r="E2086" s="90">
        <v>0</v>
      </c>
      <c r="F2086" s="90">
        <v>0</v>
      </c>
      <c r="G2086" s="90">
        <v>0</v>
      </c>
      <c r="H2086" s="90">
        <v>0</v>
      </c>
      <c r="I2086" s="90">
        <v>0</v>
      </c>
      <c r="J2086" s="90">
        <v>0</v>
      </c>
    </row>
    <row r="2087" spans="1:10">
      <c r="A2087" s="88" t="s">
        <v>100</v>
      </c>
      <c r="B2087" s="88" t="s">
        <v>125</v>
      </c>
      <c r="C2087" s="89">
        <v>0.48958333333333298</v>
      </c>
      <c r="D2087" s="94">
        <v>0</v>
      </c>
      <c r="E2087" s="94">
        <v>0</v>
      </c>
      <c r="F2087" s="94">
        <v>0</v>
      </c>
      <c r="G2087" s="94">
        <v>0</v>
      </c>
      <c r="H2087" s="94">
        <v>0</v>
      </c>
      <c r="I2087" s="94">
        <v>0</v>
      </c>
      <c r="J2087" s="94">
        <v>0</v>
      </c>
    </row>
    <row r="2088" spans="1:10">
      <c r="A2088" s="88" t="s">
        <v>100</v>
      </c>
      <c r="B2088" s="88" t="s">
        <v>125</v>
      </c>
      <c r="C2088" s="89">
        <v>0.49027777777777798</v>
      </c>
      <c r="D2088" s="90">
        <v>0</v>
      </c>
      <c r="E2088" s="90">
        <v>0</v>
      </c>
      <c r="F2088" s="90">
        <v>0</v>
      </c>
      <c r="G2088" s="90">
        <v>0</v>
      </c>
      <c r="H2088" s="90">
        <v>0</v>
      </c>
      <c r="I2088" s="90">
        <v>0</v>
      </c>
      <c r="J2088" s="90">
        <v>0</v>
      </c>
    </row>
    <row r="2089" spans="1:10">
      <c r="A2089" s="88" t="s">
        <v>100</v>
      </c>
      <c r="B2089" s="88" t="s">
        <v>125</v>
      </c>
      <c r="C2089" s="89">
        <v>0.49097222222222198</v>
      </c>
      <c r="D2089" s="90">
        <v>0</v>
      </c>
      <c r="E2089" s="90">
        <v>0</v>
      </c>
      <c r="F2089" s="90">
        <v>0</v>
      </c>
      <c r="G2089" s="90">
        <v>0</v>
      </c>
      <c r="H2089" s="90">
        <v>0</v>
      </c>
      <c r="I2089" s="90">
        <v>0</v>
      </c>
      <c r="J2089" s="90">
        <v>0</v>
      </c>
    </row>
    <row r="2090" spans="1:10">
      <c r="A2090" s="88" t="s">
        <v>100</v>
      </c>
      <c r="B2090" s="88" t="s">
        <v>125</v>
      </c>
      <c r="C2090" s="89">
        <v>0.49166666666666697</v>
      </c>
      <c r="D2090" s="90">
        <v>0</v>
      </c>
      <c r="E2090" s="90">
        <v>0</v>
      </c>
      <c r="F2090" s="90">
        <v>0</v>
      </c>
      <c r="G2090" s="90">
        <v>0</v>
      </c>
      <c r="H2090" s="90">
        <v>0</v>
      </c>
      <c r="I2090" s="90">
        <v>0</v>
      </c>
      <c r="J2090" s="90">
        <v>0</v>
      </c>
    </row>
    <row r="2091" spans="1:10">
      <c r="A2091" s="88" t="s">
        <v>100</v>
      </c>
      <c r="B2091" s="88" t="s">
        <v>125</v>
      </c>
      <c r="C2091" s="89">
        <v>0.49236111111111103</v>
      </c>
      <c r="D2091" s="90">
        <v>0</v>
      </c>
      <c r="E2091" s="90">
        <v>0</v>
      </c>
      <c r="F2091" s="90">
        <v>0</v>
      </c>
      <c r="G2091" s="90">
        <v>0</v>
      </c>
      <c r="H2091" s="90">
        <v>0</v>
      </c>
      <c r="I2091" s="90">
        <v>0</v>
      </c>
      <c r="J2091" s="90">
        <v>0</v>
      </c>
    </row>
    <row r="2092" spans="1:10">
      <c r="A2092" s="88" t="s">
        <v>100</v>
      </c>
      <c r="B2092" s="88" t="s">
        <v>125</v>
      </c>
      <c r="C2092" s="89">
        <v>0.49305555555555503</v>
      </c>
      <c r="D2092" s="90">
        <v>0</v>
      </c>
      <c r="E2092" s="90">
        <v>0</v>
      </c>
      <c r="F2092" s="90">
        <v>0</v>
      </c>
      <c r="G2092" s="90">
        <v>0</v>
      </c>
      <c r="H2092" s="90">
        <v>0</v>
      </c>
      <c r="I2092" s="90">
        <v>0</v>
      </c>
      <c r="J2092" s="90">
        <v>0</v>
      </c>
    </row>
    <row r="2093" spans="1:10">
      <c r="A2093" s="88" t="s">
        <v>100</v>
      </c>
      <c r="B2093" s="88" t="s">
        <v>125</v>
      </c>
      <c r="C2093" s="89">
        <v>0.49375000000000002</v>
      </c>
      <c r="D2093" s="90">
        <v>0</v>
      </c>
      <c r="E2093" s="90">
        <v>0</v>
      </c>
      <c r="F2093" s="90">
        <v>0</v>
      </c>
      <c r="G2093" s="90">
        <v>0</v>
      </c>
      <c r="H2093" s="90">
        <v>0</v>
      </c>
      <c r="I2093" s="90">
        <v>0</v>
      </c>
      <c r="J2093" s="90">
        <v>0</v>
      </c>
    </row>
    <row r="2094" spans="1:10">
      <c r="A2094" s="88" t="s">
        <v>100</v>
      </c>
      <c r="B2094" s="88" t="s">
        <v>125</v>
      </c>
      <c r="C2094" s="89">
        <v>0.49444444444444402</v>
      </c>
      <c r="D2094" s="90">
        <v>0</v>
      </c>
      <c r="E2094" s="90">
        <v>0</v>
      </c>
      <c r="F2094" s="90">
        <v>0</v>
      </c>
      <c r="G2094" s="90">
        <v>0</v>
      </c>
      <c r="H2094" s="90">
        <v>0</v>
      </c>
      <c r="I2094" s="90">
        <v>0</v>
      </c>
      <c r="J2094" s="90">
        <v>0</v>
      </c>
    </row>
    <row r="2095" spans="1:10">
      <c r="A2095" s="88" t="s">
        <v>100</v>
      </c>
      <c r="B2095" s="88" t="s">
        <v>125</v>
      </c>
      <c r="C2095" s="89">
        <v>0.49513888888888902</v>
      </c>
      <c r="D2095" s="90">
        <v>0</v>
      </c>
      <c r="E2095" s="90">
        <v>0</v>
      </c>
      <c r="F2095" s="90">
        <v>0</v>
      </c>
      <c r="G2095" s="90">
        <v>0</v>
      </c>
      <c r="H2095" s="90">
        <v>0</v>
      </c>
      <c r="I2095" s="90">
        <v>0</v>
      </c>
      <c r="J2095" s="90">
        <v>0</v>
      </c>
    </row>
    <row r="2096" spans="1:10">
      <c r="A2096" s="88" t="s">
        <v>100</v>
      </c>
      <c r="B2096" s="88" t="s">
        <v>125</v>
      </c>
      <c r="C2096" s="89">
        <v>0.49583333333333302</v>
      </c>
      <c r="D2096" s="90">
        <v>0</v>
      </c>
      <c r="E2096" s="90">
        <v>0</v>
      </c>
      <c r="F2096" s="90">
        <v>0</v>
      </c>
      <c r="G2096" s="90">
        <v>0</v>
      </c>
      <c r="H2096" s="90">
        <v>0</v>
      </c>
      <c r="I2096" s="90">
        <v>0</v>
      </c>
      <c r="J2096" s="90">
        <v>0</v>
      </c>
    </row>
    <row r="2097" spans="1:10">
      <c r="A2097" s="88" t="s">
        <v>100</v>
      </c>
      <c r="B2097" s="88" t="s">
        <v>125</v>
      </c>
      <c r="C2097" s="89">
        <v>0.49652777777777801</v>
      </c>
      <c r="D2097" s="90">
        <v>0</v>
      </c>
      <c r="E2097" s="90">
        <v>0</v>
      </c>
      <c r="F2097" s="90">
        <v>0</v>
      </c>
      <c r="G2097" s="90">
        <v>0</v>
      </c>
      <c r="H2097" s="90">
        <v>0</v>
      </c>
      <c r="I2097" s="90">
        <v>0</v>
      </c>
      <c r="J2097" s="90">
        <v>0</v>
      </c>
    </row>
    <row r="2098" spans="1:10">
      <c r="A2098" s="88" t="s">
        <v>100</v>
      </c>
      <c r="B2098" s="88" t="s">
        <v>125</v>
      </c>
      <c r="C2098" s="89">
        <v>0.49722222222222201</v>
      </c>
      <c r="D2098" s="90">
        <v>0</v>
      </c>
      <c r="E2098" s="90">
        <v>0</v>
      </c>
      <c r="F2098" s="90">
        <v>0</v>
      </c>
      <c r="G2098" s="90">
        <v>0</v>
      </c>
      <c r="H2098" s="90">
        <v>0</v>
      </c>
      <c r="I2098" s="90">
        <v>0</v>
      </c>
      <c r="J2098" s="90">
        <v>0</v>
      </c>
    </row>
    <row r="2099" spans="1:10">
      <c r="A2099" s="88" t="s">
        <v>100</v>
      </c>
      <c r="B2099" s="88" t="s">
        <v>125</v>
      </c>
      <c r="C2099" s="89">
        <v>0.49791666666666701</v>
      </c>
      <c r="D2099" s="90">
        <v>0</v>
      </c>
      <c r="E2099" s="90">
        <v>0</v>
      </c>
      <c r="F2099" s="90">
        <v>0</v>
      </c>
      <c r="G2099" s="90">
        <v>0</v>
      </c>
      <c r="H2099" s="90">
        <v>0</v>
      </c>
      <c r="I2099" s="90">
        <v>0</v>
      </c>
      <c r="J2099" s="90">
        <v>0</v>
      </c>
    </row>
    <row r="2100" spans="1:10">
      <c r="A2100" s="88" t="s">
        <v>100</v>
      </c>
      <c r="B2100" s="88" t="s">
        <v>125</v>
      </c>
      <c r="C2100" s="89">
        <v>0.49861111111111101</v>
      </c>
      <c r="D2100" s="90">
        <v>0</v>
      </c>
      <c r="E2100" s="90">
        <v>0</v>
      </c>
      <c r="F2100" s="90">
        <v>0</v>
      </c>
      <c r="G2100" s="90">
        <v>0</v>
      </c>
      <c r="H2100" s="90">
        <v>0</v>
      </c>
      <c r="I2100" s="90">
        <v>0</v>
      </c>
      <c r="J2100" s="90">
        <v>0</v>
      </c>
    </row>
    <row r="2101" spans="1:10" s="80" customFormat="1">
      <c r="A2101" s="91" t="s">
        <v>100</v>
      </c>
      <c r="B2101" s="91" t="s">
        <v>125</v>
      </c>
      <c r="C2101" s="92">
        <v>0.499305555555555</v>
      </c>
      <c r="D2101" s="93">
        <v>0</v>
      </c>
      <c r="E2101" s="93">
        <v>0</v>
      </c>
      <c r="F2101" s="93">
        <v>0</v>
      </c>
      <c r="G2101" s="93">
        <v>0</v>
      </c>
      <c r="H2101" s="93">
        <v>0</v>
      </c>
      <c r="I2101" s="93">
        <v>0</v>
      </c>
      <c r="J2101" s="93">
        <v>0</v>
      </c>
    </row>
    <row r="2102" spans="1:10">
      <c r="A2102" s="88" t="s">
        <v>100</v>
      </c>
      <c r="B2102" s="88" t="s">
        <v>125</v>
      </c>
      <c r="C2102" s="89">
        <v>0.5</v>
      </c>
      <c r="D2102" s="94">
        <v>0</v>
      </c>
      <c r="E2102" s="94">
        <v>0</v>
      </c>
      <c r="F2102" s="94">
        <v>0</v>
      </c>
      <c r="G2102" s="94">
        <v>0</v>
      </c>
      <c r="H2102" s="94">
        <v>0</v>
      </c>
      <c r="I2102" s="94">
        <v>0</v>
      </c>
      <c r="J2102" s="94">
        <v>0</v>
      </c>
    </row>
    <row r="2103" spans="1:10">
      <c r="A2103" s="88" t="s">
        <v>100</v>
      </c>
      <c r="B2103" s="88" t="s">
        <v>125</v>
      </c>
      <c r="C2103" s="89">
        <v>0.500694444444444</v>
      </c>
      <c r="D2103" s="90">
        <v>0</v>
      </c>
      <c r="E2103" s="90">
        <v>0</v>
      </c>
      <c r="F2103" s="90">
        <v>0</v>
      </c>
      <c r="G2103" s="90">
        <v>0</v>
      </c>
      <c r="H2103" s="90">
        <v>0</v>
      </c>
      <c r="I2103" s="90">
        <v>0</v>
      </c>
      <c r="J2103" s="90">
        <v>0</v>
      </c>
    </row>
    <row r="2104" spans="1:10">
      <c r="A2104" s="88" t="s">
        <v>100</v>
      </c>
      <c r="B2104" s="88" t="s">
        <v>125</v>
      </c>
      <c r="C2104" s="89">
        <v>0.50138888888888899</v>
      </c>
      <c r="D2104" s="90">
        <v>0</v>
      </c>
      <c r="E2104" s="90">
        <v>0</v>
      </c>
      <c r="F2104" s="90">
        <v>0</v>
      </c>
      <c r="G2104" s="90">
        <v>0</v>
      </c>
      <c r="H2104" s="90">
        <v>0</v>
      </c>
      <c r="I2104" s="90">
        <v>0</v>
      </c>
      <c r="J2104" s="90">
        <v>0</v>
      </c>
    </row>
    <row r="2105" spans="1:10">
      <c r="A2105" s="88" t="s">
        <v>100</v>
      </c>
      <c r="B2105" s="88" t="s">
        <v>125</v>
      </c>
      <c r="C2105" s="89">
        <v>0.50208333333333299</v>
      </c>
      <c r="D2105" s="90">
        <v>0</v>
      </c>
      <c r="E2105" s="90">
        <v>0</v>
      </c>
      <c r="F2105" s="90">
        <v>0</v>
      </c>
      <c r="G2105" s="90">
        <v>0</v>
      </c>
      <c r="H2105" s="90">
        <v>0</v>
      </c>
      <c r="I2105" s="90">
        <v>0</v>
      </c>
      <c r="J2105" s="90">
        <v>0</v>
      </c>
    </row>
    <row r="2106" spans="1:10">
      <c r="A2106" s="88" t="s">
        <v>100</v>
      </c>
      <c r="B2106" s="88" t="s">
        <v>125</v>
      </c>
      <c r="C2106" s="89">
        <v>0.50277777777777799</v>
      </c>
      <c r="D2106" s="90">
        <v>0</v>
      </c>
      <c r="E2106" s="90">
        <v>0</v>
      </c>
      <c r="F2106" s="90">
        <v>0</v>
      </c>
      <c r="G2106" s="90">
        <v>0</v>
      </c>
      <c r="H2106" s="90">
        <v>0</v>
      </c>
      <c r="I2106" s="90">
        <v>0</v>
      </c>
      <c r="J2106" s="90">
        <v>0</v>
      </c>
    </row>
    <row r="2107" spans="1:10">
      <c r="A2107" s="88" t="s">
        <v>100</v>
      </c>
      <c r="B2107" s="88" t="s">
        <v>125</v>
      </c>
      <c r="C2107" s="89">
        <v>0.50347222222222199</v>
      </c>
      <c r="D2107" s="90">
        <v>0</v>
      </c>
      <c r="E2107" s="90">
        <v>0</v>
      </c>
      <c r="F2107" s="90">
        <v>0</v>
      </c>
      <c r="G2107" s="90">
        <v>0</v>
      </c>
      <c r="H2107" s="90">
        <v>0</v>
      </c>
      <c r="I2107" s="90">
        <v>0</v>
      </c>
      <c r="J2107" s="90">
        <v>0</v>
      </c>
    </row>
    <row r="2108" spans="1:10">
      <c r="A2108" s="88" t="s">
        <v>100</v>
      </c>
      <c r="B2108" s="88" t="s">
        <v>125</v>
      </c>
      <c r="C2108" s="89">
        <v>0.50416666666666698</v>
      </c>
      <c r="D2108" s="90">
        <v>0</v>
      </c>
      <c r="E2108" s="90">
        <v>0</v>
      </c>
      <c r="F2108" s="90">
        <v>0</v>
      </c>
      <c r="G2108" s="90">
        <v>0</v>
      </c>
      <c r="H2108" s="90">
        <v>0</v>
      </c>
      <c r="I2108" s="90">
        <v>0</v>
      </c>
      <c r="J2108" s="90">
        <v>0</v>
      </c>
    </row>
    <row r="2109" spans="1:10">
      <c r="A2109" s="88" t="s">
        <v>100</v>
      </c>
      <c r="B2109" s="88" t="s">
        <v>125</v>
      </c>
      <c r="C2109" s="89">
        <v>0.50486111111111098</v>
      </c>
      <c r="D2109" s="90">
        <v>0</v>
      </c>
      <c r="E2109" s="90">
        <v>0</v>
      </c>
      <c r="F2109" s="90">
        <v>0</v>
      </c>
      <c r="G2109" s="90">
        <v>0</v>
      </c>
      <c r="H2109" s="90">
        <v>0</v>
      </c>
      <c r="I2109" s="90">
        <v>0</v>
      </c>
      <c r="J2109" s="90">
        <v>0</v>
      </c>
    </row>
    <row r="2110" spans="1:10">
      <c r="A2110" s="88" t="s">
        <v>100</v>
      </c>
      <c r="B2110" s="88" t="s">
        <v>125</v>
      </c>
      <c r="C2110" s="89">
        <v>0.50555555555555498</v>
      </c>
      <c r="D2110" s="90">
        <v>0</v>
      </c>
      <c r="E2110" s="90">
        <v>0</v>
      </c>
      <c r="F2110" s="90">
        <v>0</v>
      </c>
      <c r="G2110" s="90">
        <v>0</v>
      </c>
      <c r="H2110" s="90">
        <v>0</v>
      </c>
      <c r="I2110" s="90">
        <v>0</v>
      </c>
      <c r="J2110" s="90">
        <v>0</v>
      </c>
    </row>
    <row r="2111" spans="1:10">
      <c r="A2111" s="88" t="s">
        <v>100</v>
      </c>
      <c r="B2111" s="88" t="s">
        <v>125</v>
      </c>
      <c r="C2111" s="89">
        <v>0.50624999999999998</v>
      </c>
      <c r="D2111" s="90">
        <v>0</v>
      </c>
      <c r="E2111" s="90">
        <v>0</v>
      </c>
      <c r="F2111" s="90">
        <v>0</v>
      </c>
      <c r="G2111" s="90">
        <v>0</v>
      </c>
      <c r="H2111" s="90">
        <v>0</v>
      </c>
      <c r="I2111" s="90">
        <v>0</v>
      </c>
      <c r="J2111" s="90">
        <v>0</v>
      </c>
    </row>
    <row r="2112" spans="1:10">
      <c r="A2112" s="88" t="s">
        <v>100</v>
      </c>
      <c r="B2112" s="88" t="s">
        <v>125</v>
      </c>
      <c r="C2112" s="89">
        <v>0.50694444444444398</v>
      </c>
      <c r="D2112" s="90">
        <v>0</v>
      </c>
      <c r="E2112" s="90">
        <v>0</v>
      </c>
      <c r="F2112" s="90">
        <v>0</v>
      </c>
      <c r="G2112" s="90">
        <v>0</v>
      </c>
      <c r="H2112" s="90">
        <v>0</v>
      </c>
      <c r="I2112" s="90">
        <v>0</v>
      </c>
      <c r="J2112" s="90">
        <v>0</v>
      </c>
    </row>
    <row r="2113" spans="1:10">
      <c r="A2113" s="88" t="s">
        <v>100</v>
      </c>
      <c r="B2113" s="88" t="s">
        <v>125</v>
      </c>
      <c r="C2113" s="89">
        <v>0.50763888888888897</v>
      </c>
      <c r="D2113" s="90">
        <v>0</v>
      </c>
      <c r="E2113" s="90">
        <v>0</v>
      </c>
      <c r="F2113" s="90">
        <v>0</v>
      </c>
      <c r="G2113" s="90">
        <v>0</v>
      </c>
      <c r="H2113" s="90">
        <v>0</v>
      </c>
      <c r="I2113" s="90">
        <v>0</v>
      </c>
      <c r="J2113" s="90">
        <v>0</v>
      </c>
    </row>
    <row r="2114" spans="1:10">
      <c r="A2114" s="88" t="s">
        <v>100</v>
      </c>
      <c r="B2114" s="88" t="s">
        <v>125</v>
      </c>
      <c r="C2114" s="89">
        <v>0.50833333333333297</v>
      </c>
      <c r="D2114" s="90">
        <v>0</v>
      </c>
      <c r="E2114" s="90">
        <v>0</v>
      </c>
      <c r="F2114" s="90">
        <v>0</v>
      </c>
      <c r="G2114" s="90">
        <v>0</v>
      </c>
      <c r="H2114" s="90">
        <v>0</v>
      </c>
      <c r="I2114" s="90">
        <v>0</v>
      </c>
      <c r="J2114" s="90">
        <v>0</v>
      </c>
    </row>
    <row r="2115" spans="1:10">
      <c r="A2115" s="88" t="s">
        <v>100</v>
      </c>
      <c r="B2115" s="88" t="s">
        <v>125</v>
      </c>
      <c r="C2115" s="89">
        <v>0.50902777777777797</v>
      </c>
      <c r="D2115" s="90">
        <v>0</v>
      </c>
      <c r="E2115" s="90">
        <v>0</v>
      </c>
      <c r="F2115" s="90">
        <v>0</v>
      </c>
      <c r="G2115" s="90">
        <v>0</v>
      </c>
      <c r="H2115" s="90">
        <v>0</v>
      </c>
      <c r="I2115" s="90">
        <v>0</v>
      </c>
      <c r="J2115" s="90">
        <v>0</v>
      </c>
    </row>
    <row r="2116" spans="1:10" s="80" customFormat="1">
      <c r="A2116" s="91" t="s">
        <v>100</v>
      </c>
      <c r="B2116" s="91" t="s">
        <v>125</v>
      </c>
      <c r="C2116" s="92">
        <v>0.50972222222222197</v>
      </c>
      <c r="D2116" s="90">
        <v>0</v>
      </c>
      <c r="E2116" s="90">
        <v>0</v>
      </c>
      <c r="F2116" s="90">
        <v>0</v>
      </c>
      <c r="G2116" s="90">
        <v>0</v>
      </c>
      <c r="H2116" s="90">
        <v>0</v>
      </c>
      <c r="I2116" s="90">
        <v>0</v>
      </c>
      <c r="J2116" s="90">
        <v>0</v>
      </c>
    </row>
    <row r="2117" spans="1:10">
      <c r="A2117" s="88" t="s">
        <v>100</v>
      </c>
      <c r="B2117" s="88" t="s">
        <v>125</v>
      </c>
      <c r="C2117" s="89">
        <v>0.51041666666666596</v>
      </c>
      <c r="D2117" s="94">
        <v>0</v>
      </c>
      <c r="E2117" s="94">
        <v>0</v>
      </c>
      <c r="F2117" s="94">
        <v>0</v>
      </c>
      <c r="G2117" s="94">
        <v>0</v>
      </c>
      <c r="H2117" s="94">
        <v>0</v>
      </c>
      <c r="I2117" s="94">
        <v>0</v>
      </c>
      <c r="J2117" s="94">
        <v>0</v>
      </c>
    </row>
    <row r="2118" spans="1:10">
      <c r="A2118" s="88" t="s">
        <v>100</v>
      </c>
      <c r="B2118" s="88" t="s">
        <v>125</v>
      </c>
      <c r="C2118" s="89">
        <v>0.51111111111111096</v>
      </c>
      <c r="D2118" s="90">
        <v>0</v>
      </c>
      <c r="E2118" s="90">
        <v>0</v>
      </c>
      <c r="F2118" s="90">
        <v>0</v>
      </c>
      <c r="G2118" s="90">
        <v>0</v>
      </c>
      <c r="H2118" s="90">
        <v>0</v>
      </c>
      <c r="I2118" s="90">
        <v>0</v>
      </c>
      <c r="J2118" s="90">
        <v>0</v>
      </c>
    </row>
    <row r="2119" spans="1:10">
      <c r="A2119" s="88" t="s">
        <v>100</v>
      </c>
      <c r="B2119" s="88" t="s">
        <v>125</v>
      </c>
      <c r="C2119" s="89">
        <v>0.51180555555555496</v>
      </c>
      <c r="D2119" s="90">
        <v>0</v>
      </c>
      <c r="E2119" s="90">
        <v>0</v>
      </c>
      <c r="F2119" s="90">
        <v>0</v>
      </c>
      <c r="G2119" s="90">
        <v>0</v>
      </c>
      <c r="H2119" s="90">
        <v>0</v>
      </c>
      <c r="I2119" s="90">
        <v>0</v>
      </c>
      <c r="J2119" s="90">
        <v>0</v>
      </c>
    </row>
    <row r="2120" spans="1:10">
      <c r="A2120" s="88" t="s">
        <v>100</v>
      </c>
      <c r="B2120" s="88" t="s">
        <v>125</v>
      </c>
      <c r="C2120" s="89">
        <v>0.51249999999999996</v>
      </c>
      <c r="D2120" s="90">
        <v>0</v>
      </c>
      <c r="E2120" s="90">
        <v>0</v>
      </c>
      <c r="F2120" s="90">
        <v>0</v>
      </c>
      <c r="G2120" s="90">
        <v>0</v>
      </c>
      <c r="H2120" s="90">
        <v>0</v>
      </c>
      <c r="I2120" s="90">
        <v>0</v>
      </c>
      <c r="J2120" s="90">
        <v>0</v>
      </c>
    </row>
    <row r="2121" spans="1:10">
      <c r="A2121" s="88" t="s">
        <v>100</v>
      </c>
      <c r="B2121" s="88" t="s">
        <v>125</v>
      </c>
      <c r="C2121" s="89">
        <v>0.51319444444444395</v>
      </c>
      <c r="D2121" s="90">
        <v>0</v>
      </c>
      <c r="E2121" s="90">
        <v>0</v>
      </c>
      <c r="F2121" s="90">
        <v>0</v>
      </c>
      <c r="G2121" s="90">
        <v>0</v>
      </c>
      <c r="H2121" s="90">
        <v>0</v>
      </c>
      <c r="I2121" s="90">
        <v>0</v>
      </c>
      <c r="J2121" s="90">
        <v>0</v>
      </c>
    </row>
    <row r="2122" spans="1:10">
      <c r="A2122" s="88" t="s">
        <v>100</v>
      </c>
      <c r="B2122" s="88" t="s">
        <v>125</v>
      </c>
      <c r="C2122" s="89">
        <v>0.51388888888888895</v>
      </c>
      <c r="D2122" s="90">
        <v>0</v>
      </c>
      <c r="E2122" s="90">
        <v>0</v>
      </c>
      <c r="F2122" s="90">
        <v>0</v>
      </c>
      <c r="G2122" s="90">
        <v>0</v>
      </c>
      <c r="H2122" s="90">
        <v>0</v>
      </c>
      <c r="I2122" s="90">
        <v>0</v>
      </c>
      <c r="J2122" s="90">
        <v>0</v>
      </c>
    </row>
    <row r="2123" spans="1:10">
      <c r="A2123" s="88" t="s">
        <v>100</v>
      </c>
      <c r="B2123" s="88" t="s">
        <v>125</v>
      </c>
      <c r="C2123" s="89">
        <v>0.51458333333333295</v>
      </c>
      <c r="D2123" s="90">
        <v>0</v>
      </c>
      <c r="E2123" s="90">
        <v>0</v>
      </c>
      <c r="F2123" s="90">
        <v>0</v>
      </c>
      <c r="G2123" s="90">
        <v>0</v>
      </c>
      <c r="H2123" s="90">
        <v>0</v>
      </c>
      <c r="I2123" s="90">
        <v>0</v>
      </c>
      <c r="J2123" s="90">
        <v>0</v>
      </c>
    </row>
    <row r="2124" spans="1:10">
      <c r="A2124" s="88" t="s">
        <v>100</v>
      </c>
      <c r="B2124" s="88" t="s">
        <v>125</v>
      </c>
      <c r="C2124" s="89">
        <v>0.51527777777777795</v>
      </c>
      <c r="D2124" s="90">
        <v>0</v>
      </c>
      <c r="E2124" s="90">
        <v>0</v>
      </c>
      <c r="F2124" s="90">
        <v>0</v>
      </c>
      <c r="G2124" s="90">
        <v>0</v>
      </c>
      <c r="H2124" s="90">
        <v>0</v>
      </c>
      <c r="I2124" s="90">
        <v>0</v>
      </c>
      <c r="J2124" s="90">
        <v>0</v>
      </c>
    </row>
    <row r="2125" spans="1:10">
      <c r="A2125" s="88" t="s">
        <v>100</v>
      </c>
      <c r="B2125" s="88" t="s">
        <v>125</v>
      </c>
      <c r="C2125" s="89">
        <v>0.51597222222222205</v>
      </c>
      <c r="D2125" s="90">
        <v>0</v>
      </c>
      <c r="E2125" s="90">
        <v>0</v>
      </c>
      <c r="F2125" s="90">
        <v>0</v>
      </c>
      <c r="G2125" s="90">
        <v>0</v>
      </c>
      <c r="H2125" s="90">
        <v>0</v>
      </c>
      <c r="I2125" s="90">
        <v>0</v>
      </c>
      <c r="J2125" s="90">
        <v>0</v>
      </c>
    </row>
    <row r="2126" spans="1:10">
      <c r="A2126" s="88" t="s">
        <v>100</v>
      </c>
      <c r="B2126" s="88" t="s">
        <v>125</v>
      </c>
      <c r="C2126" s="89">
        <v>0.51666666666666605</v>
      </c>
      <c r="D2126" s="90">
        <v>0</v>
      </c>
      <c r="E2126" s="90">
        <v>0</v>
      </c>
      <c r="F2126" s="90">
        <v>0</v>
      </c>
      <c r="G2126" s="90">
        <v>0</v>
      </c>
      <c r="H2126" s="90">
        <v>0</v>
      </c>
      <c r="I2126" s="90">
        <v>0</v>
      </c>
      <c r="J2126" s="90">
        <v>0</v>
      </c>
    </row>
    <row r="2127" spans="1:10">
      <c r="A2127" s="88" t="s">
        <v>100</v>
      </c>
      <c r="B2127" s="88" t="s">
        <v>125</v>
      </c>
      <c r="C2127" s="89">
        <v>0.51736111111111105</v>
      </c>
      <c r="D2127" s="90">
        <v>0</v>
      </c>
      <c r="E2127" s="90">
        <v>0</v>
      </c>
      <c r="F2127" s="90">
        <v>0</v>
      </c>
      <c r="G2127" s="90">
        <v>0</v>
      </c>
      <c r="H2127" s="90">
        <v>0</v>
      </c>
      <c r="I2127" s="90">
        <v>0</v>
      </c>
      <c r="J2127" s="90">
        <v>0</v>
      </c>
    </row>
    <row r="2128" spans="1:10">
      <c r="A2128" s="88" t="s">
        <v>100</v>
      </c>
      <c r="B2128" s="88" t="s">
        <v>125</v>
      </c>
      <c r="C2128" s="89">
        <v>0.51805555555555505</v>
      </c>
      <c r="D2128" s="90">
        <v>0</v>
      </c>
      <c r="E2128" s="90">
        <v>0</v>
      </c>
      <c r="F2128" s="90">
        <v>0</v>
      </c>
      <c r="G2128" s="90">
        <v>0</v>
      </c>
      <c r="H2128" s="90">
        <v>0</v>
      </c>
      <c r="I2128" s="90">
        <v>0</v>
      </c>
      <c r="J2128" s="90">
        <v>0</v>
      </c>
    </row>
    <row r="2129" spans="1:10">
      <c r="A2129" s="88" t="s">
        <v>100</v>
      </c>
      <c r="B2129" s="88" t="s">
        <v>125</v>
      </c>
      <c r="C2129" s="89">
        <v>0.51875000000000004</v>
      </c>
      <c r="D2129" s="90">
        <v>0</v>
      </c>
      <c r="E2129" s="90">
        <v>0</v>
      </c>
      <c r="F2129" s="90">
        <v>0</v>
      </c>
      <c r="G2129" s="90">
        <v>0</v>
      </c>
      <c r="H2129" s="90">
        <v>0</v>
      </c>
      <c r="I2129" s="90">
        <v>0</v>
      </c>
      <c r="J2129" s="90">
        <v>0</v>
      </c>
    </row>
    <row r="2130" spans="1:10">
      <c r="A2130" s="88" t="s">
        <v>100</v>
      </c>
      <c r="B2130" s="88" t="s">
        <v>125</v>
      </c>
      <c r="C2130" s="89">
        <v>0.51944444444444404</v>
      </c>
      <c r="D2130" s="90">
        <v>0</v>
      </c>
      <c r="E2130" s="90">
        <v>0</v>
      </c>
      <c r="F2130" s="90">
        <v>0</v>
      </c>
      <c r="G2130" s="90">
        <v>0</v>
      </c>
      <c r="H2130" s="90">
        <v>0</v>
      </c>
      <c r="I2130" s="90">
        <v>0</v>
      </c>
      <c r="J2130" s="90">
        <v>0</v>
      </c>
    </row>
    <row r="2131" spans="1:10" s="80" customFormat="1">
      <c r="A2131" s="91" t="s">
        <v>100</v>
      </c>
      <c r="B2131" s="91" t="s">
        <v>125</v>
      </c>
      <c r="C2131" s="92">
        <v>0.52013888888888904</v>
      </c>
      <c r="D2131" s="93">
        <v>0</v>
      </c>
      <c r="E2131" s="93">
        <v>0</v>
      </c>
      <c r="F2131" s="93">
        <v>0</v>
      </c>
      <c r="G2131" s="93">
        <v>0</v>
      </c>
      <c r="H2131" s="93">
        <v>0</v>
      </c>
      <c r="I2131" s="93">
        <v>0</v>
      </c>
      <c r="J2131" s="93">
        <v>0</v>
      </c>
    </row>
    <row r="2132" spans="1:10">
      <c r="A2132" s="88" t="s">
        <v>100</v>
      </c>
      <c r="B2132" s="88" t="s">
        <v>125</v>
      </c>
      <c r="C2132" s="89">
        <v>0.52083333333333304</v>
      </c>
      <c r="D2132" s="94">
        <v>0</v>
      </c>
      <c r="E2132" s="94">
        <v>0</v>
      </c>
      <c r="F2132" s="94">
        <v>0</v>
      </c>
      <c r="G2132" s="94">
        <v>0</v>
      </c>
      <c r="H2132" s="94">
        <v>0</v>
      </c>
      <c r="I2132" s="94">
        <v>0</v>
      </c>
      <c r="J2132" s="94">
        <v>0</v>
      </c>
    </row>
    <row r="2133" spans="1:10">
      <c r="A2133" s="88" t="s">
        <v>100</v>
      </c>
      <c r="B2133" s="88" t="s">
        <v>125</v>
      </c>
      <c r="C2133" s="89">
        <v>0.52152777777777704</v>
      </c>
      <c r="D2133" s="90">
        <v>0</v>
      </c>
      <c r="E2133" s="90">
        <v>0</v>
      </c>
      <c r="F2133" s="90">
        <v>0</v>
      </c>
      <c r="G2133" s="90">
        <v>0</v>
      </c>
      <c r="H2133" s="90">
        <v>0</v>
      </c>
      <c r="I2133" s="90">
        <v>0</v>
      </c>
      <c r="J2133" s="90">
        <v>0</v>
      </c>
    </row>
    <row r="2134" spans="1:10">
      <c r="A2134" s="88" t="s">
        <v>100</v>
      </c>
      <c r="B2134" s="88" t="s">
        <v>125</v>
      </c>
      <c r="C2134" s="89">
        <v>0.52222222222222203</v>
      </c>
      <c r="D2134" s="90">
        <v>0</v>
      </c>
      <c r="E2134" s="90">
        <v>0</v>
      </c>
      <c r="F2134" s="90">
        <v>0</v>
      </c>
      <c r="G2134" s="90">
        <v>0</v>
      </c>
      <c r="H2134" s="90">
        <v>0</v>
      </c>
      <c r="I2134" s="90">
        <v>0</v>
      </c>
      <c r="J2134" s="90">
        <v>0</v>
      </c>
    </row>
    <row r="2135" spans="1:10">
      <c r="A2135" s="88" t="s">
        <v>100</v>
      </c>
      <c r="B2135" s="88" t="s">
        <v>125</v>
      </c>
      <c r="C2135" s="89">
        <v>0.52291666666666603</v>
      </c>
      <c r="D2135" s="90">
        <v>0</v>
      </c>
      <c r="E2135" s="90">
        <v>0</v>
      </c>
      <c r="F2135" s="90">
        <v>0</v>
      </c>
      <c r="G2135" s="90">
        <v>0</v>
      </c>
      <c r="H2135" s="90">
        <v>0</v>
      </c>
      <c r="I2135" s="90">
        <v>0</v>
      </c>
      <c r="J2135" s="90">
        <v>0</v>
      </c>
    </row>
    <row r="2136" spans="1:10">
      <c r="A2136" s="88" t="s">
        <v>100</v>
      </c>
      <c r="B2136" s="88" t="s">
        <v>125</v>
      </c>
      <c r="C2136" s="89">
        <v>0.52361111111111103</v>
      </c>
      <c r="D2136" s="90">
        <v>0</v>
      </c>
      <c r="E2136" s="90">
        <v>0</v>
      </c>
      <c r="F2136" s="90">
        <v>0</v>
      </c>
      <c r="G2136" s="90">
        <v>0</v>
      </c>
      <c r="H2136" s="90">
        <v>0</v>
      </c>
      <c r="I2136" s="90">
        <v>0</v>
      </c>
      <c r="J2136" s="90">
        <v>0</v>
      </c>
    </row>
    <row r="2137" spans="1:10">
      <c r="A2137" s="88" t="s">
        <v>100</v>
      </c>
      <c r="B2137" s="88" t="s">
        <v>125</v>
      </c>
      <c r="C2137" s="89">
        <v>0.52430555555555503</v>
      </c>
      <c r="D2137" s="90">
        <v>0</v>
      </c>
      <c r="E2137" s="90">
        <v>0</v>
      </c>
      <c r="F2137" s="90">
        <v>0</v>
      </c>
      <c r="G2137" s="90">
        <v>0</v>
      </c>
      <c r="H2137" s="90">
        <v>0</v>
      </c>
      <c r="I2137" s="90">
        <v>0</v>
      </c>
      <c r="J2137" s="90">
        <v>0</v>
      </c>
    </row>
    <row r="2138" spans="1:10">
      <c r="A2138" s="88" t="s">
        <v>100</v>
      </c>
      <c r="B2138" s="88" t="s">
        <v>125</v>
      </c>
      <c r="C2138" s="89">
        <v>0.52500000000000002</v>
      </c>
      <c r="D2138" s="90">
        <v>0</v>
      </c>
      <c r="E2138" s="90">
        <v>0</v>
      </c>
      <c r="F2138" s="90">
        <v>0</v>
      </c>
      <c r="G2138" s="90">
        <v>0</v>
      </c>
      <c r="H2138" s="90">
        <v>0</v>
      </c>
      <c r="I2138" s="90">
        <v>0</v>
      </c>
      <c r="J2138" s="90">
        <v>0</v>
      </c>
    </row>
    <row r="2139" spans="1:10">
      <c r="A2139" s="88" t="s">
        <v>100</v>
      </c>
      <c r="B2139" s="88" t="s">
        <v>125</v>
      </c>
      <c r="C2139" s="89">
        <v>0.52569444444444402</v>
      </c>
      <c r="D2139" s="90">
        <v>0</v>
      </c>
      <c r="E2139" s="90">
        <v>0</v>
      </c>
      <c r="F2139" s="90">
        <v>0</v>
      </c>
      <c r="G2139" s="90">
        <v>0</v>
      </c>
      <c r="H2139" s="90">
        <v>0</v>
      </c>
      <c r="I2139" s="90">
        <v>0</v>
      </c>
      <c r="J2139" s="90">
        <v>0</v>
      </c>
    </row>
    <row r="2140" spans="1:10">
      <c r="A2140" s="88" t="s">
        <v>100</v>
      </c>
      <c r="B2140" s="88" t="s">
        <v>125</v>
      </c>
      <c r="C2140" s="89">
        <v>0.52638888888888902</v>
      </c>
      <c r="D2140" s="90">
        <v>0</v>
      </c>
      <c r="E2140" s="90">
        <v>0</v>
      </c>
      <c r="F2140" s="90">
        <v>0</v>
      </c>
      <c r="G2140" s="90">
        <v>0</v>
      </c>
      <c r="H2140" s="90">
        <v>0</v>
      </c>
      <c r="I2140" s="90">
        <v>0</v>
      </c>
      <c r="J2140" s="90">
        <v>0</v>
      </c>
    </row>
    <row r="2141" spans="1:10">
      <c r="A2141" s="88" t="s">
        <v>100</v>
      </c>
      <c r="B2141" s="88" t="s">
        <v>125</v>
      </c>
      <c r="C2141" s="89">
        <v>0.52708333333333302</v>
      </c>
      <c r="D2141" s="90">
        <v>0</v>
      </c>
      <c r="E2141" s="90">
        <v>0</v>
      </c>
      <c r="F2141" s="90">
        <v>0</v>
      </c>
      <c r="G2141" s="90">
        <v>0</v>
      </c>
      <c r="H2141" s="90">
        <v>0</v>
      </c>
      <c r="I2141" s="90">
        <v>0</v>
      </c>
      <c r="J2141" s="90">
        <v>0</v>
      </c>
    </row>
    <row r="2142" spans="1:10">
      <c r="A2142" s="88" t="s">
        <v>100</v>
      </c>
      <c r="B2142" s="88" t="s">
        <v>125</v>
      </c>
      <c r="C2142" s="89">
        <v>0.52777777777777701</v>
      </c>
      <c r="D2142" s="90">
        <v>0</v>
      </c>
      <c r="E2142" s="90">
        <v>0</v>
      </c>
      <c r="F2142" s="90">
        <v>0</v>
      </c>
      <c r="G2142" s="90">
        <v>0</v>
      </c>
      <c r="H2142" s="90">
        <v>0</v>
      </c>
      <c r="I2142" s="90">
        <v>0</v>
      </c>
      <c r="J2142" s="90">
        <v>0</v>
      </c>
    </row>
    <row r="2143" spans="1:10">
      <c r="A2143" s="88" t="s">
        <v>100</v>
      </c>
      <c r="B2143" s="88" t="s">
        <v>125</v>
      </c>
      <c r="C2143" s="89">
        <v>0.52847222222222201</v>
      </c>
      <c r="D2143" s="90">
        <v>0</v>
      </c>
      <c r="E2143" s="90">
        <v>0</v>
      </c>
      <c r="F2143" s="90">
        <v>0</v>
      </c>
      <c r="G2143" s="90">
        <v>0</v>
      </c>
      <c r="H2143" s="90">
        <v>0</v>
      </c>
      <c r="I2143" s="90">
        <v>0</v>
      </c>
      <c r="J2143" s="90">
        <v>0</v>
      </c>
    </row>
    <row r="2144" spans="1:10">
      <c r="A2144" s="88" t="s">
        <v>100</v>
      </c>
      <c r="B2144" s="88" t="s">
        <v>125</v>
      </c>
      <c r="C2144" s="89">
        <v>0.52916666666666601</v>
      </c>
      <c r="D2144" s="90">
        <v>0</v>
      </c>
      <c r="E2144" s="90">
        <v>0</v>
      </c>
      <c r="F2144" s="90">
        <v>0</v>
      </c>
      <c r="G2144" s="90">
        <v>0</v>
      </c>
      <c r="H2144" s="90">
        <v>0</v>
      </c>
      <c r="I2144" s="90">
        <v>0</v>
      </c>
      <c r="J2144" s="90">
        <v>0</v>
      </c>
    </row>
    <row r="2145" spans="1:10">
      <c r="A2145" s="88" t="s">
        <v>100</v>
      </c>
      <c r="B2145" s="88" t="s">
        <v>125</v>
      </c>
      <c r="C2145" s="89">
        <v>0.52986111111111101</v>
      </c>
      <c r="D2145" s="90">
        <v>0</v>
      </c>
      <c r="E2145" s="90">
        <v>0</v>
      </c>
      <c r="F2145" s="90">
        <v>0</v>
      </c>
      <c r="G2145" s="90">
        <v>0</v>
      </c>
      <c r="H2145" s="90">
        <v>0</v>
      </c>
      <c r="I2145" s="90">
        <v>0</v>
      </c>
      <c r="J2145" s="90">
        <v>0</v>
      </c>
    </row>
    <row r="2146" spans="1:10" s="80" customFormat="1">
      <c r="A2146" s="91" t="s">
        <v>100</v>
      </c>
      <c r="B2146" s="91" t="s">
        <v>125</v>
      </c>
      <c r="C2146" s="92">
        <v>0.530555555555555</v>
      </c>
      <c r="D2146" s="90">
        <v>0</v>
      </c>
      <c r="E2146" s="90">
        <v>0</v>
      </c>
      <c r="F2146" s="90">
        <v>0</v>
      </c>
      <c r="G2146" s="90">
        <v>0</v>
      </c>
      <c r="H2146" s="90">
        <v>0</v>
      </c>
      <c r="I2146" s="90">
        <v>0</v>
      </c>
      <c r="J2146" s="90">
        <v>0</v>
      </c>
    </row>
    <row r="2147" spans="1:10">
      <c r="A2147" s="88" t="s">
        <v>100</v>
      </c>
      <c r="B2147" s="88" t="s">
        <v>125</v>
      </c>
      <c r="C2147" s="89">
        <v>0.53125</v>
      </c>
      <c r="D2147" s="94">
        <v>0</v>
      </c>
      <c r="E2147" s="94">
        <v>0</v>
      </c>
      <c r="F2147" s="94">
        <v>0</v>
      </c>
      <c r="G2147" s="94">
        <v>0</v>
      </c>
      <c r="H2147" s="94">
        <v>0</v>
      </c>
      <c r="I2147" s="94">
        <v>0</v>
      </c>
      <c r="J2147" s="94">
        <v>0</v>
      </c>
    </row>
    <row r="2148" spans="1:10">
      <c r="A2148" s="88" t="s">
        <v>100</v>
      </c>
      <c r="B2148" s="88" t="s">
        <v>125</v>
      </c>
      <c r="C2148" s="89">
        <v>0.531944444444444</v>
      </c>
      <c r="D2148" s="90">
        <v>0</v>
      </c>
      <c r="E2148" s="90">
        <v>0</v>
      </c>
      <c r="F2148" s="90">
        <v>0</v>
      </c>
      <c r="G2148" s="90">
        <v>0</v>
      </c>
      <c r="H2148" s="90">
        <v>0</v>
      </c>
      <c r="I2148" s="90">
        <v>0</v>
      </c>
      <c r="J2148" s="90">
        <v>0</v>
      </c>
    </row>
    <row r="2149" spans="1:10">
      <c r="A2149" s="88" t="s">
        <v>100</v>
      </c>
      <c r="B2149" s="88" t="s">
        <v>125</v>
      </c>
      <c r="C2149" s="89">
        <v>0.53263888888888899</v>
      </c>
      <c r="D2149" s="90">
        <v>0</v>
      </c>
      <c r="E2149" s="90">
        <v>0</v>
      </c>
      <c r="F2149" s="90">
        <v>0</v>
      </c>
      <c r="G2149" s="90">
        <v>0</v>
      </c>
      <c r="H2149" s="90">
        <v>0</v>
      </c>
      <c r="I2149" s="90">
        <v>0</v>
      </c>
      <c r="J2149" s="90">
        <v>0</v>
      </c>
    </row>
    <row r="2150" spans="1:10">
      <c r="A2150" s="88" t="s">
        <v>100</v>
      </c>
      <c r="B2150" s="88" t="s">
        <v>125</v>
      </c>
      <c r="C2150" s="89">
        <v>0.53333333333333299</v>
      </c>
      <c r="D2150" s="90">
        <v>0</v>
      </c>
      <c r="E2150" s="90">
        <v>0</v>
      </c>
      <c r="F2150" s="90">
        <v>0</v>
      </c>
      <c r="G2150" s="90">
        <v>0</v>
      </c>
      <c r="H2150" s="90">
        <v>0</v>
      </c>
      <c r="I2150" s="90">
        <v>0</v>
      </c>
      <c r="J2150" s="90">
        <v>0</v>
      </c>
    </row>
    <row r="2151" spans="1:10">
      <c r="A2151" s="88" t="s">
        <v>100</v>
      </c>
      <c r="B2151" s="88" t="s">
        <v>125</v>
      </c>
      <c r="C2151" s="89">
        <v>0.53402777777777799</v>
      </c>
      <c r="D2151" s="90">
        <v>0</v>
      </c>
      <c r="E2151" s="90">
        <v>0</v>
      </c>
      <c r="F2151" s="90">
        <v>0</v>
      </c>
      <c r="G2151" s="90">
        <v>0</v>
      </c>
      <c r="H2151" s="90">
        <v>0</v>
      </c>
      <c r="I2151" s="90">
        <v>0</v>
      </c>
      <c r="J2151" s="90">
        <v>0</v>
      </c>
    </row>
    <row r="2152" spans="1:10">
      <c r="A2152" s="88" t="s">
        <v>100</v>
      </c>
      <c r="B2152" s="88" t="s">
        <v>125</v>
      </c>
      <c r="C2152" s="89">
        <v>0.53472222222222199</v>
      </c>
      <c r="D2152" s="90">
        <v>0</v>
      </c>
      <c r="E2152" s="90">
        <v>0</v>
      </c>
      <c r="F2152" s="90">
        <v>0</v>
      </c>
      <c r="G2152" s="90">
        <v>0</v>
      </c>
      <c r="H2152" s="90">
        <v>0</v>
      </c>
      <c r="I2152" s="90">
        <v>0</v>
      </c>
      <c r="J2152" s="90">
        <v>0</v>
      </c>
    </row>
    <row r="2153" spans="1:10">
      <c r="A2153" s="88" t="s">
        <v>100</v>
      </c>
      <c r="B2153" s="88" t="s">
        <v>125</v>
      </c>
      <c r="C2153" s="89">
        <v>0.53541666666666599</v>
      </c>
      <c r="D2153" s="90">
        <v>0</v>
      </c>
      <c r="E2153" s="90">
        <v>0</v>
      </c>
      <c r="F2153" s="90">
        <v>0</v>
      </c>
      <c r="G2153" s="90">
        <v>0</v>
      </c>
      <c r="H2153" s="90">
        <v>0</v>
      </c>
      <c r="I2153" s="90">
        <v>0</v>
      </c>
      <c r="J2153" s="90">
        <v>0</v>
      </c>
    </row>
    <row r="2154" spans="1:10">
      <c r="A2154" s="88" t="s">
        <v>100</v>
      </c>
      <c r="B2154" s="88" t="s">
        <v>125</v>
      </c>
      <c r="C2154" s="89">
        <v>0.53611111111111098</v>
      </c>
      <c r="D2154" s="90">
        <v>0</v>
      </c>
      <c r="E2154" s="90">
        <v>0</v>
      </c>
      <c r="F2154" s="90">
        <v>0</v>
      </c>
      <c r="G2154" s="90">
        <v>0</v>
      </c>
      <c r="H2154" s="90">
        <v>0</v>
      </c>
      <c r="I2154" s="90">
        <v>0</v>
      </c>
      <c r="J2154" s="90">
        <v>0</v>
      </c>
    </row>
    <row r="2155" spans="1:10">
      <c r="A2155" s="88" t="s">
        <v>100</v>
      </c>
      <c r="B2155" s="88" t="s">
        <v>125</v>
      </c>
      <c r="C2155" s="89">
        <v>0.53680555555555498</v>
      </c>
      <c r="D2155" s="90">
        <v>0</v>
      </c>
      <c r="E2155" s="90">
        <v>0</v>
      </c>
      <c r="F2155" s="90">
        <v>0</v>
      </c>
      <c r="G2155" s="90">
        <v>0</v>
      </c>
      <c r="H2155" s="90">
        <v>0</v>
      </c>
      <c r="I2155" s="90">
        <v>0</v>
      </c>
      <c r="J2155" s="90">
        <v>0</v>
      </c>
    </row>
    <row r="2156" spans="1:10">
      <c r="A2156" s="88" t="s">
        <v>100</v>
      </c>
      <c r="B2156" s="88" t="s">
        <v>125</v>
      </c>
      <c r="C2156" s="89">
        <v>0.53749999999999998</v>
      </c>
      <c r="D2156" s="90">
        <v>0</v>
      </c>
      <c r="E2156" s="90">
        <v>0</v>
      </c>
      <c r="F2156" s="90">
        <v>0</v>
      </c>
      <c r="G2156" s="90">
        <v>0</v>
      </c>
      <c r="H2156" s="90">
        <v>0</v>
      </c>
      <c r="I2156" s="90">
        <v>0</v>
      </c>
      <c r="J2156" s="90">
        <v>0</v>
      </c>
    </row>
    <row r="2157" spans="1:10">
      <c r="A2157" s="88" t="s">
        <v>100</v>
      </c>
      <c r="B2157" s="88" t="s">
        <v>125</v>
      </c>
      <c r="C2157" s="89">
        <v>0.53819444444444398</v>
      </c>
      <c r="D2157" s="90">
        <v>0</v>
      </c>
      <c r="E2157" s="90">
        <v>0</v>
      </c>
      <c r="F2157" s="90">
        <v>0</v>
      </c>
      <c r="G2157" s="90">
        <v>0</v>
      </c>
      <c r="H2157" s="90">
        <v>0</v>
      </c>
      <c r="I2157" s="90">
        <v>0</v>
      </c>
      <c r="J2157" s="90">
        <v>0</v>
      </c>
    </row>
    <row r="2158" spans="1:10">
      <c r="A2158" s="88" t="s">
        <v>100</v>
      </c>
      <c r="B2158" s="88" t="s">
        <v>125</v>
      </c>
      <c r="C2158" s="89">
        <v>0.53888888888888897</v>
      </c>
      <c r="D2158" s="90">
        <v>0</v>
      </c>
      <c r="E2158" s="90">
        <v>0</v>
      </c>
      <c r="F2158" s="90">
        <v>0</v>
      </c>
      <c r="G2158" s="90">
        <v>0</v>
      </c>
      <c r="H2158" s="90">
        <v>0</v>
      </c>
      <c r="I2158" s="90">
        <v>0</v>
      </c>
      <c r="J2158" s="90">
        <v>0</v>
      </c>
    </row>
    <row r="2159" spans="1:10">
      <c r="A2159" s="88" t="s">
        <v>100</v>
      </c>
      <c r="B2159" s="88" t="s">
        <v>125</v>
      </c>
      <c r="C2159" s="89">
        <v>0.53958333333333297</v>
      </c>
      <c r="D2159" s="90">
        <v>0</v>
      </c>
      <c r="E2159" s="90">
        <v>0</v>
      </c>
      <c r="F2159" s="90">
        <v>0</v>
      </c>
      <c r="G2159" s="90">
        <v>0</v>
      </c>
      <c r="H2159" s="90">
        <v>0</v>
      </c>
      <c r="I2159" s="90">
        <v>0</v>
      </c>
      <c r="J2159" s="90">
        <v>0</v>
      </c>
    </row>
    <row r="2160" spans="1:10">
      <c r="A2160" s="88" t="s">
        <v>100</v>
      </c>
      <c r="B2160" s="88" t="s">
        <v>125</v>
      </c>
      <c r="C2160" s="89">
        <v>0.54027777777777797</v>
      </c>
      <c r="D2160" s="90">
        <v>0</v>
      </c>
      <c r="E2160" s="90">
        <v>0</v>
      </c>
      <c r="F2160" s="90">
        <v>0</v>
      </c>
      <c r="G2160" s="90">
        <v>0</v>
      </c>
      <c r="H2160" s="90">
        <v>0</v>
      </c>
      <c r="I2160" s="90">
        <v>0</v>
      </c>
      <c r="J2160" s="90">
        <v>0</v>
      </c>
    </row>
    <row r="2161" spans="1:10" s="28" customFormat="1" ht="17.5" thickBot="1">
      <c r="A2161" s="103" t="s">
        <v>100</v>
      </c>
      <c r="B2161" s="103" t="s">
        <v>125</v>
      </c>
      <c r="C2161" s="104">
        <v>0.54097222222222197</v>
      </c>
      <c r="D2161" s="105">
        <v>0</v>
      </c>
      <c r="E2161" s="105">
        <v>0</v>
      </c>
      <c r="F2161" s="105">
        <v>0</v>
      </c>
      <c r="G2161" s="105">
        <v>0</v>
      </c>
      <c r="H2161" s="105">
        <v>0</v>
      </c>
      <c r="I2161" s="105">
        <v>0</v>
      </c>
      <c r="J2161" s="105">
        <v>0</v>
      </c>
    </row>
    <row r="2162" spans="1:10">
      <c r="A2162" s="211" t="s">
        <v>165</v>
      </c>
      <c r="B2162" s="211" t="s">
        <v>11</v>
      </c>
      <c r="C2162" s="212">
        <v>0.5</v>
      </c>
      <c r="D2162" s="221">
        <v>0</v>
      </c>
      <c r="E2162" s="221">
        <v>0</v>
      </c>
      <c r="F2162" s="221">
        <v>0</v>
      </c>
      <c r="G2162" s="221">
        <v>0</v>
      </c>
      <c r="H2162" s="221">
        <v>0</v>
      </c>
      <c r="I2162" s="221">
        <v>0</v>
      </c>
      <c r="J2162" s="221">
        <v>0</v>
      </c>
    </row>
    <row r="2163" spans="1:10">
      <c r="A2163" s="211" t="s">
        <v>165</v>
      </c>
      <c r="B2163" s="211" t="s">
        <v>11</v>
      </c>
      <c r="C2163" s="212">
        <v>0.50069444444444444</v>
      </c>
      <c r="D2163" s="213">
        <v>0</v>
      </c>
      <c r="E2163" s="213">
        <v>0</v>
      </c>
      <c r="F2163" s="213">
        <v>0</v>
      </c>
      <c r="G2163" s="213">
        <v>0</v>
      </c>
      <c r="H2163" s="213">
        <v>0</v>
      </c>
      <c r="I2163" s="213">
        <v>0</v>
      </c>
      <c r="J2163" s="213">
        <v>0</v>
      </c>
    </row>
    <row r="2164" spans="1:10">
      <c r="A2164" s="211" t="s">
        <v>165</v>
      </c>
      <c r="B2164" s="211" t="s">
        <v>11</v>
      </c>
      <c r="C2164" s="212">
        <v>0.50138888888888899</v>
      </c>
      <c r="D2164" s="213">
        <v>0</v>
      </c>
      <c r="E2164" s="213">
        <v>0</v>
      </c>
      <c r="F2164" s="213">
        <v>0</v>
      </c>
      <c r="G2164" s="213">
        <v>0</v>
      </c>
      <c r="H2164" s="213">
        <v>0</v>
      </c>
      <c r="I2164" s="213">
        <v>0</v>
      </c>
      <c r="J2164" s="213">
        <v>0</v>
      </c>
    </row>
    <row r="2165" spans="1:10">
      <c r="A2165" s="211" t="s">
        <v>165</v>
      </c>
      <c r="B2165" s="211" t="s">
        <v>11</v>
      </c>
      <c r="C2165" s="212">
        <v>0.50208333333333299</v>
      </c>
      <c r="D2165" s="213">
        <v>0</v>
      </c>
      <c r="E2165" s="213">
        <v>0</v>
      </c>
      <c r="F2165" s="213">
        <v>0</v>
      </c>
      <c r="G2165" s="213">
        <v>0</v>
      </c>
      <c r="H2165" s="213">
        <v>0</v>
      </c>
      <c r="I2165" s="213">
        <v>0</v>
      </c>
      <c r="J2165" s="213">
        <v>0</v>
      </c>
    </row>
    <row r="2166" spans="1:10">
      <c r="A2166" s="211" t="s">
        <v>165</v>
      </c>
      <c r="B2166" s="211" t="s">
        <v>11</v>
      </c>
      <c r="C2166" s="212">
        <v>0.50277777777777799</v>
      </c>
      <c r="D2166" s="213">
        <v>0</v>
      </c>
      <c r="E2166" s="213">
        <v>0</v>
      </c>
      <c r="F2166" s="213">
        <v>0</v>
      </c>
      <c r="G2166" s="213">
        <v>0</v>
      </c>
      <c r="H2166" s="213">
        <v>0</v>
      </c>
      <c r="I2166" s="213">
        <v>0</v>
      </c>
      <c r="J2166" s="213">
        <v>0</v>
      </c>
    </row>
    <row r="2167" spans="1:10">
      <c r="A2167" s="211" t="s">
        <v>165</v>
      </c>
      <c r="B2167" s="211" t="s">
        <v>11</v>
      </c>
      <c r="C2167" s="212">
        <v>0.50347222222222199</v>
      </c>
      <c r="D2167" s="213">
        <v>0</v>
      </c>
      <c r="E2167" s="213">
        <v>0</v>
      </c>
      <c r="F2167" s="213">
        <v>0</v>
      </c>
      <c r="G2167" s="213">
        <v>0</v>
      </c>
      <c r="H2167" s="213">
        <v>0</v>
      </c>
      <c r="I2167" s="213">
        <v>0</v>
      </c>
      <c r="J2167" s="213">
        <v>0</v>
      </c>
    </row>
    <row r="2168" spans="1:10">
      <c r="A2168" s="211" t="s">
        <v>165</v>
      </c>
      <c r="B2168" s="211" t="s">
        <v>11</v>
      </c>
      <c r="C2168" s="212">
        <v>0.50416666666666698</v>
      </c>
      <c r="D2168" s="213">
        <v>0</v>
      </c>
      <c r="E2168" s="213">
        <v>0</v>
      </c>
      <c r="F2168" s="213">
        <v>0</v>
      </c>
      <c r="G2168" s="213">
        <v>0</v>
      </c>
      <c r="H2168" s="213">
        <v>0</v>
      </c>
      <c r="I2168" s="213">
        <v>0</v>
      </c>
      <c r="J2168" s="213">
        <v>0</v>
      </c>
    </row>
    <row r="2169" spans="1:10">
      <c r="A2169" s="211" t="s">
        <v>165</v>
      </c>
      <c r="B2169" s="211" t="s">
        <v>11</v>
      </c>
      <c r="C2169" s="212">
        <v>0.50486111111111098</v>
      </c>
      <c r="D2169" s="213">
        <v>0</v>
      </c>
      <c r="E2169" s="213">
        <v>0</v>
      </c>
      <c r="F2169" s="213">
        <v>0</v>
      </c>
      <c r="G2169" s="213">
        <v>0</v>
      </c>
      <c r="H2169" s="213">
        <v>0</v>
      </c>
      <c r="I2169" s="213">
        <v>0</v>
      </c>
      <c r="J2169" s="213">
        <v>0</v>
      </c>
    </row>
    <row r="2170" spans="1:10">
      <c r="A2170" s="211" t="s">
        <v>165</v>
      </c>
      <c r="B2170" s="211" t="s">
        <v>11</v>
      </c>
      <c r="C2170" s="212">
        <v>0.50555555555555598</v>
      </c>
      <c r="D2170" s="213">
        <v>0</v>
      </c>
      <c r="E2170" s="213">
        <v>0</v>
      </c>
      <c r="F2170" s="213">
        <v>0</v>
      </c>
      <c r="G2170" s="213">
        <v>0</v>
      </c>
      <c r="H2170" s="213">
        <v>0</v>
      </c>
      <c r="I2170" s="213">
        <v>0</v>
      </c>
      <c r="J2170" s="213">
        <v>0</v>
      </c>
    </row>
    <row r="2171" spans="1:10">
      <c r="A2171" s="211" t="s">
        <v>165</v>
      </c>
      <c r="B2171" s="211" t="s">
        <v>11</v>
      </c>
      <c r="C2171" s="212">
        <v>0.50624999999999998</v>
      </c>
      <c r="D2171" s="213">
        <v>0</v>
      </c>
      <c r="E2171" s="213">
        <v>0</v>
      </c>
      <c r="F2171" s="213">
        <v>0</v>
      </c>
      <c r="G2171" s="213">
        <v>0</v>
      </c>
      <c r="H2171" s="213">
        <v>0</v>
      </c>
      <c r="I2171" s="213">
        <v>0</v>
      </c>
      <c r="J2171" s="213">
        <v>0</v>
      </c>
    </row>
    <row r="2172" spans="1:10">
      <c r="A2172" s="211" t="s">
        <v>165</v>
      </c>
      <c r="B2172" s="211" t="s">
        <v>11</v>
      </c>
      <c r="C2172" s="212">
        <v>0.50694444444444398</v>
      </c>
      <c r="D2172" s="213">
        <v>0</v>
      </c>
      <c r="E2172" s="213">
        <v>0</v>
      </c>
      <c r="F2172" s="213">
        <v>0</v>
      </c>
      <c r="G2172" s="213">
        <v>0</v>
      </c>
      <c r="H2172" s="213">
        <v>0</v>
      </c>
      <c r="I2172" s="213">
        <v>0</v>
      </c>
      <c r="J2172" s="213">
        <v>0</v>
      </c>
    </row>
    <row r="2173" spans="1:10">
      <c r="A2173" s="211" t="s">
        <v>165</v>
      </c>
      <c r="B2173" s="211" t="s">
        <v>11</v>
      </c>
      <c r="C2173" s="212">
        <v>0.50763888888888897</v>
      </c>
      <c r="D2173" s="213">
        <v>0</v>
      </c>
      <c r="E2173" s="213">
        <v>0</v>
      </c>
      <c r="F2173" s="213">
        <v>0</v>
      </c>
      <c r="G2173" s="213">
        <v>0</v>
      </c>
      <c r="H2173" s="213">
        <v>0</v>
      </c>
      <c r="I2173" s="213">
        <v>0</v>
      </c>
      <c r="J2173" s="213">
        <v>0</v>
      </c>
    </row>
    <row r="2174" spans="1:10">
      <c r="A2174" s="211" t="s">
        <v>165</v>
      </c>
      <c r="B2174" s="211" t="s">
        <v>11</v>
      </c>
      <c r="C2174" s="212">
        <v>0.50833333333333297</v>
      </c>
      <c r="D2174" s="213">
        <v>0</v>
      </c>
      <c r="E2174" s="213">
        <v>0</v>
      </c>
      <c r="F2174" s="213">
        <v>0</v>
      </c>
      <c r="G2174" s="213">
        <v>0</v>
      </c>
      <c r="H2174" s="213">
        <v>0</v>
      </c>
      <c r="I2174" s="213">
        <v>0</v>
      </c>
      <c r="J2174" s="213">
        <v>0</v>
      </c>
    </row>
    <row r="2175" spans="1:10">
      <c r="A2175" s="211" t="s">
        <v>165</v>
      </c>
      <c r="B2175" s="211" t="s">
        <v>11</v>
      </c>
      <c r="C2175" s="212">
        <v>0.50902777777777797</v>
      </c>
      <c r="D2175" s="213">
        <v>0</v>
      </c>
      <c r="E2175" s="213">
        <v>0</v>
      </c>
      <c r="F2175" s="213">
        <v>0</v>
      </c>
      <c r="G2175" s="213">
        <v>0</v>
      </c>
      <c r="H2175" s="213">
        <v>0</v>
      </c>
      <c r="I2175" s="213">
        <v>0</v>
      </c>
      <c r="J2175" s="213">
        <v>0</v>
      </c>
    </row>
    <row r="2176" spans="1:10" s="80" customFormat="1">
      <c r="A2176" s="214" t="s">
        <v>165</v>
      </c>
      <c r="B2176" s="214" t="s">
        <v>11</v>
      </c>
      <c r="C2176" s="215">
        <v>0.50972222222222197</v>
      </c>
      <c r="D2176" s="213">
        <v>0</v>
      </c>
      <c r="E2176" s="213">
        <v>0</v>
      </c>
      <c r="F2176" s="213">
        <v>0</v>
      </c>
      <c r="G2176" s="213">
        <v>0</v>
      </c>
      <c r="H2176" s="213">
        <v>0</v>
      </c>
      <c r="I2176" s="213">
        <v>0</v>
      </c>
      <c r="J2176" s="213">
        <v>0</v>
      </c>
    </row>
    <row r="2177" spans="1:10">
      <c r="A2177" s="211" t="s">
        <v>165</v>
      </c>
      <c r="B2177" s="211" t="s">
        <v>11</v>
      </c>
      <c r="C2177" s="212">
        <v>0.51041666666666663</v>
      </c>
      <c r="D2177" s="217">
        <v>0</v>
      </c>
      <c r="E2177" s="217">
        <v>0</v>
      </c>
      <c r="F2177" s="217">
        <v>0</v>
      </c>
      <c r="G2177" s="217">
        <v>0</v>
      </c>
      <c r="H2177" s="217">
        <v>0</v>
      </c>
      <c r="I2177" s="217">
        <v>0</v>
      </c>
      <c r="J2177" s="217">
        <v>0</v>
      </c>
    </row>
    <row r="2178" spans="1:10">
      <c r="A2178" s="211" t="s">
        <v>165</v>
      </c>
      <c r="B2178" s="211" t="s">
        <v>11</v>
      </c>
      <c r="C2178" s="212">
        <v>0.51111111111111107</v>
      </c>
      <c r="D2178" s="213">
        <v>0</v>
      </c>
      <c r="E2178" s="213">
        <v>0</v>
      </c>
      <c r="F2178" s="213">
        <v>0</v>
      </c>
      <c r="G2178" s="213">
        <v>0</v>
      </c>
      <c r="H2178" s="213">
        <v>0</v>
      </c>
      <c r="I2178" s="213">
        <v>0</v>
      </c>
      <c r="J2178" s="213">
        <v>0</v>
      </c>
    </row>
    <row r="2179" spans="1:10">
      <c r="A2179" s="211" t="s">
        <v>165</v>
      </c>
      <c r="B2179" s="211" t="s">
        <v>11</v>
      </c>
      <c r="C2179" s="212">
        <v>0.51180555555555551</v>
      </c>
      <c r="D2179" s="213">
        <v>0</v>
      </c>
      <c r="E2179" s="213">
        <v>0</v>
      </c>
      <c r="F2179" s="213">
        <v>0</v>
      </c>
      <c r="G2179" s="213">
        <v>0</v>
      </c>
      <c r="H2179" s="213">
        <v>0</v>
      </c>
      <c r="I2179" s="213">
        <v>0</v>
      </c>
      <c r="J2179" s="213">
        <v>0</v>
      </c>
    </row>
    <row r="2180" spans="1:10">
      <c r="A2180" s="211" t="s">
        <v>165</v>
      </c>
      <c r="B2180" s="211" t="s">
        <v>11</v>
      </c>
      <c r="C2180" s="212">
        <v>0.51249999999999996</v>
      </c>
      <c r="D2180" s="213">
        <v>0</v>
      </c>
      <c r="E2180" s="213">
        <v>0</v>
      </c>
      <c r="F2180" s="213">
        <v>0</v>
      </c>
      <c r="G2180" s="213">
        <v>0</v>
      </c>
      <c r="H2180" s="213">
        <v>0</v>
      </c>
      <c r="I2180" s="213">
        <v>0</v>
      </c>
      <c r="J2180" s="213">
        <v>0</v>
      </c>
    </row>
    <row r="2181" spans="1:10">
      <c r="A2181" s="211" t="s">
        <v>165</v>
      </c>
      <c r="B2181" s="211" t="s">
        <v>11</v>
      </c>
      <c r="C2181" s="212">
        <v>0.5131944444444444</v>
      </c>
      <c r="D2181" s="213">
        <v>0</v>
      </c>
      <c r="E2181" s="213">
        <v>0</v>
      </c>
      <c r="F2181" s="213">
        <v>0</v>
      </c>
      <c r="G2181" s="213">
        <v>0</v>
      </c>
      <c r="H2181" s="213">
        <v>0</v>
      </c>
      <c r="I2181" s="213">
        <v>0</v>
      </c>
      <c r="J2181" s="213">
        <v>0</v>
      </c>
    </row>
    <row r="2182" spans="1:10">
      <c r="A2182" s="211" t="s">
        <v>165</v>
      </c>
      <c r="B2182" s="211" t="s">
        <v>11</v>
      </c>
      <c r="C2182" s="212">
        <v>0.51388888888888884</v>
      </c>
      <c r="D2182" s="213">
        <v>0</v>
      </c>
      <c r="E2182" s="213">
        <v>0</v>
      </c>
      <c r="F2182" s="213">
        <v>0</v>
      </c>
      <c r="G2182" s="213">
        <v>0</v>
      </c>
      <c r="H2182" s="213">
        <v>0</v>
      </c>
      <c r="I2182" s="213">
        <v>0</v>
      </c>
      <c r="J2182" s="213">
        <v>0</v>
      </c>
    </row>
    <row r="2183" spans="1:10">
      <c r="A2183" s="211" t="s">
        <v>165</v>
      </c>
      <c r="B2183" s="211" t="s">
        <v>11</v>
      </c>
      <c r="C2183" s="212">
        <v>0.51458333333333328</v>
      </c>
      <c r="D2183" s="213">
        <v>0</v>
      </c>
      <c r="E2183" s="213">
        <v>0</v>
      </c>
      <c r="F2183" s="213">
        <v>0</v>
      </c>
      <c r="G2183" s="213">
        <v>0</v>
      </c>
      <c r="H2183" s="213">
        <v>0</v>
      </c>
      <c r="I2183" s="213">
        <v>0</v>
      </c>
      <c r="J2183" s="213">
        <v>0</v>
      </c>
    </row>
    <row r="2184" spans="1:10">
      <c r="A2184" s="211" t="s">
        <v>165</v>
      </c>
      <c r="B2184" s="211" t="s">
        <v>11</v>
      </c>
      <c r="C2184" s="212">
        <v>0.51527777777777772</v>
      </c>
      <c r="D2184" s="213">
        <v>0</v>
      </c>
      <c r="E2184" s="213">
        <v>0</v>
      </c>
      <c r="F2184" s="213">
        <v>0</v>
      </c>
      <c r="G2184" s="213">
        <v>0</v>
      </c>
      <c r="H2184" s="213">
        <v>0</v>
      </c>
      <c r="I2184" s="213">
        <v>0</v>
      </c>
      <c r="J2184" s="213">
        <v>0</v>
      </c>
    </row>
    <row r="2185" spans="1:10">
      <c r="A2185" s="211" t="s">
        <v>165</v>
      </c>
      <c r="B2185" s="211" t="s">
        <v>11</v>
      </c>
      <c r="C2185" s="212">
        <v>0.51597222222222228</v>
      </c>
      <c r="D2185" s="213">
        <v>0</v>
      </c>
      <c r="E2185" s="213">
        <v>0</v>
      </c>
      <c r="F2185" s="213">
        <v>0</v>
      </c>
      <c r="G2185" s="213">
        <v>0</v>
      </c>
      <c r="H2185" s="213">
        <v>0</v>
      </c>
      <c r="I2185" s="213">
        <v>0</v>
      </c>
      <c r="J2185" s="213">
        <v>0</v>
      </c>
    </row>
    <row r="2186" spans="1:10">
      <c r="A2186" s="211" t="s">
        <v>165</v>
      </c>
      <c r="B2186" s="211" t="s">
        <v>11</v>
      </c>
      <c r="C2186" s="212">
        <v>0.51666666666666672</v>
      </c>
      <c r="D2186" s="213">
        <v>0</v>
      </c>
      <c r="E2186" s="213">
        <v>0</v>
      </c>
      <c r="F2186" s="213">
        <v>0</v>
      </c>
      <c r="G2186" s="213">
        <v>0</v>
      </c>
      <c r="H2186" s="213">
        <v>0</v>
      </c>
      <c r="I2186" s="213">
        <v>0</v>
      </c>
      <c r="J2186" s="213">
        <v>0</v>
      </c>
    </row>
    <row r="2187" spans="1:10">
      <c r="A2187" s="211" t="s">
        <v>165</v>
      </c>
      <c r="B2187" s="211" t="s">
        <v>11</v>
      </c>
      <c r="C2187" s="212">
        <v>0.51736111111111116</v>
      </c>
      <c r="D2187" s="213">
        <v>0</v>
      </c>
      <c r="E2187" s="213">
        <v>0</v>
      </c>
      <c r="F2187" s="213">
        <v>0</v>
      </c>
      <c r="G2187" s="213">
        <v>0</v>
      </c>
      <c r="H2187" s="213">
        <v>0</v>
      </c>
      <c r="I2187" s="213">
        <v>0</v>
      </c>
      <c r="J2187" s="213">
        <v>0</v>
      </c>
    </row>
    <row r="2188" spans="1:10">
      <c r="A2188" s="211" t="s">
        <v>165</v>
      </c>
      <c r="B2188" s="211" t="s">
        <v>11</v>
      </c>
      <c r="C2188" s="212">
        <v>0.5180555555555556</v>
      </c>
      <c r="D2188" s="213">
        <v>0</v>
      </c>
      <c r="E2188" s="213">
        <v>0</v>
      </c>
      <c r="F2188" s="213">
        <v>0</v>
      </c>
      <c r="G2188" s="213">
        <v>0</v>
      </c>
      <c r="H2188" s="213">
        <v>0</v>
      </c>
      <c r="I2188" s="213">
        <v>0</v>
      </c>
      <c r="J2188" s="213">
        <v>0</v>
      </c>
    </row>
    <row r="2189" spans="1:10">
      <c r="A2189" s="211" t="s">
        <v>165</v>
      </c>
      <c r="B2189" s="211" t="s">
        <v>11</v>
      </c>
      <c r="C2189" s="212">
        <v>0.51875000000000004</v>
      </c>
      <c r="D2189" s="213">
        <v>0</v>
      </c>
      <c r="E2189" s="213">
        <v>0</v>
      </c>
      <c r="F2189" s="213">
        <v>0</v>
      </c>
      <c r="G2189" s="213">
        <v>0</v>
      </c>
      <c r="H2189" s="213">
        <v>0</v>
      </c>
      <c r="I2189" s="213">
        <v>0</v>
      </c>
      <c r="J2189" s="213">
        <v>0</v>
      </c>
    </row>
    <row r="2190" spans="1:10">
      <c r="A2190" s="211" t="s">
        <v>165</v>
      </c>
      <c r="B2190" s="211" t="s">
        <v>11</v>
      </c>
      <c r="C2190" s="212">
        <v>0.51944444444444449</v>
      </c>
      <c r="D2190" s="213">
        <v>0</v>
      </c>
      <c r="E2190" s="213">
        <v>0</v>
      </c>
      <c r="F2190" s="213">
        <v>0</v>
      </c>
      <c r="G2190" s="213">
        <v>0</v>
      </c>
      <c r="H2190" s="213">
        <v>0</v>
      </c>
      <c r="I2190" s="213">
        <v>0</v>
      </c>
      <c r="J2190" s="213">
        <v>0</v>
      </c>
    </row>
    <row r="2191" spans="1:10" s="80" customFormat="1">
      <c r="A2191" s="214" t="s">
        <v>165</v>
      </c>
      <c r="B2191" s="214" t="s">
        <v>11</v>
      </c>
      <c r="C2191" s="215">
        <v>0.52013888888888893</v>
      </c>
      <c r="D2191" s="216">
        <v>0</v>
      </c>
      <c r="E2191" s="216">
        <v>0</v>
      </c>
      <c r="F2191" s="216">
        <v>0</v>
      </c>
      <c r="G2191" s="216">
        <v>0</v>
      </c>
      <c r="H2191" s="216">
        <v>0</v>
      </c>
      <c r="I2191" s="216">
        <v>0</v>
      </c>
      <c r="J2191" s="216">
        <v>0</v>
      </c>
    </row>
    <row r="2192" spans="1:10">
      <c r="A2192" s="211" t="s">
        <v>165</v>
      </c>
      <c r="B2192" s="211" t="s">
        <v>11</v>
      </c>
      <c r="C2192" s="212">
        <v>0.52083333333333337</v>
      </c>
      <c r="D2192" s="213">
        <v>0</v>
      </c>
      <c r="E2192" s="213">
        <v>0</v>
      </c>
      <c r="F2192" s="213">
        <v>0</v>
      </c>
      <c r="G2192" s="213">
        <v>0</v>
      </c>
      <c r="H2192" s="213">
        <v>0</v>
      </c>
      <c r="I2192" s="213">
        <v>0</v>
      </c>
      <c r="J2192" s="213">
        <v>0</v>
      </c>
    </row>
    <row r="2193" spans="1:10">
      <c r="A2193" s="211" t="s">
        <v>165</v>
      </c>
      <c r="B2193" s="211" t="s">
        <v>11</v>
      </c>
      <c r="C2193" s="212">
        <v>0.52152777777777781</v>
      </c>
      <c r="D2193" s="213">
        <v>0</v>
      </c>
      <c r="E2193" s="213">
        <v>0</v>
      </c>
      <c r="F2193" s="213">
        <v>0</v>
      </c>
      <c r="G2193" s="213">
        <v>0</v>
      </c>
      <c r="H2193" s="213">
        <v>0</v>
      </c>
      <c r="I2193" s="213">
        <v>0</v>
      </c>
      <c r="J2193" s="213">
        <v>0</v>
      </c>
    </row>
    <row r="2194" spans="1:10">
      <c r="A2194" s="211" t="s">
        <v>165</v>
      </c>
      <c r="B2194" s="211" t="s">
        <v>11</v>
      </c>
      <c r="C2194" s="212">
        <v>0.52222222222222225</v>
      </c>
      <c r="D2194" s="213">
        <v>0</v>
      </c>
      <c r="E2194" s="213">
        <v>0</v>
      </c>
      <c r="F2194" s="213">
        <v>0</v>
      </c>
      <c r="G2194" s="213">
        <v>0</v>
      </c>
      <c r="H2194" s="213">
        <v>0</v>
      </c>
      <c r="I2194" s="213">
        <v>0</v>
      </c>
      <c r="J2194" s="213">
        <v>0</v>
      </c>
    </row>
    <row r="2195" spans="1:10">
      <c r="A2195" s="211" t="s">
        <v>165</v>
      </c>
      <c r="B2195" s="211" t="s">
        <v>11</v>
      </c>
      <c r="C2195" s="212">
        <v>0.5229166666666667</v>
      </c>
      <c r="D2195" s="213">
        <v>0</v>
      </c>
      <c r="E2195" s="213">
        <v>0</v>
      </c>
      <c r="F2195" s="213">
        <v>0</v>
      </c>
      <c r="G2195" s="213">
        <v>0</v>
      </c>
      <c r="H2195" s="213">
        <v>0</v>
      </c>
      <c r="I2195" s="213">
        <v>0</v>
      </c>
      <c r="J2195" s="213">
        <v>0</v>
      </c>
    </row>
    <row r="2196" spans="1:10">
      <c r="A2196" s="211" t="s">
        <v>165</v>
      </c>
      <c r="B2196" s="211" t="s">
        <v>11</v>
      </c>
      <c r="C2196" s="212">
        <v>0.52361111111111114</v>
      </c>
      <c r="D2196" s="213">
        <v>0</v>
      </c>
      <c r="E2196" s="213">
        <v>0</v>
      </c>
      <c r="F2196" s="213">
        <v>0</v>
      </c>
      <c r="G2196" s="213">
        <v>0</v>
      </c>
      <c r="H2196" s="213">
        <v>0</v>
      </c>
      <c r="I2196" s="213">
        <v>0</v>
      </c>
      <c r="J2196" s="213">
        <v>0</v>
      </c>
    </row>
    <row r="2197" spans="1:10">
      <c r="A2197" s="211" t="s">
        <v>165</v>
      </c>
      <c r="B2197" s="211" t="s">
        <v>11</v>
      </c>
      <c r="C2197" s="212">
        <v>0.52430555555555558</v>
      </c>
      <c r="D2197" s="213">
        <v>0</v>
      </c>
      <c r="E2197" s="213">
        <v>0</v>
      </c>
      <c r="F2197" s="213">
        <v>0</v>
      </c>
      <c r="G2197" s="213">
        <v>0</v>
      </c>
      <c r="H2197" s="213">
        <v>0</v>
      </c>
      <c r="I2197" s="213">
        <v>0</v>
      </c>
      <c r="J2197" s="213">
        <v>0</v>
      </c>
    </row>
    <row r="2198" spans="1:10">
      <c r="A2198" s="211" t="s">
        <v>165</v>
      </c>
      <c r="B2198" s="211" t="s">
        <v>11</v>
      </c>
      <c r="C2198" s="212">
        <v>0.52500000000000002</v>
      </c>
      <c r="D2198" s="213">
        <v>0</v>
      </c>
      <c r="E2198" s="213">
        <v>0</v>
      </c>
      <c r="F2198" s="213">
        <v>0</v>
      </c>
      <c r="G2198" s="213">
        <v>0</v>
      </c>
      <c r="H2198" s="213">
        <v>0</v>
      </c>
      <c r="I2198" s="213">
        <v>0</v>
      </c>
      <c r="J2198" s="213">
        <v>0</v>
      </c>
    </row>
    <row r="2199" spans="1:10">
      <c r="A2199" s="211" t="s">
        <v>165</v>
      </c>
      <c r="B2199" s="211" t="s">
        <v>11</v>
      </c>
      <c r="C2199" s="212">
        <v>0.52569444444444446</v>
      </c>
      <c r="D2199" s="213">
        <v>0</v>
      </c>
      <c r="E2199" s="213">
        <v>0</v>
      </c>
      <c r="F2199" s="213">
        <v>0</v>
      </c>
      <c r="G2199" s="213">
        <v>0</v>
      </c>
      <c r="H2199" s="213">
        <v>0</v>
      </c>
      <c r="I2199" s="213">
        <v>0</v>
      </c>
      <c r="J2199" s="213">
        <v>0</v>
      </c>
    </row>
    <row r="2200" spans="1:10">
      <c r="A2200" s="211" t="s">
        <v>165</v>
      </c>
      <c r="B2200" s="211" t="s">
        <v>11</v>
      </c>
      <c r="C2200" s="212">
        <v>0.52638888888888891</v>
      </c>
      <c r="D2200" s="213">
        <v>0</v>
      </c>
      <c r="E2200" s="213">
        <v>0</v>
      </c>
      <c r="F2200" s="213">
        <v>0</v>
      </c>
      <c r="G2200" s="213">
        <v>0</v>
      </c>
      <c r="H2200" s="213">
        <v>0</v>
      </c>
      <c r="I2200" s="213">
        <v>0</v>
      </c>
      <c r="J2200" s="213">
        <v>0</v>
      </c>
    </row>
    <row r="2201" spans="1:10">
      <c r="A2201" s="211" t="s">
        <v>165</v>
      </c>
      <c r="B2201" s="211" t="s">
        <v>11</v>
      </c>
      <c r="C2201" s="212">
        <v>0.52708333333333335</v>
      </c>
      <c r="D2201" s="213">
        <v>0</v>
      </c>
      <c r="E2201" s="213">
        <v>0</v>
      </c>
      <c r="F2201" s="213">
        <v>0</v>
      </c>
      <c r="G2201" s="213">
        <v>0</v>
      </c>
      <c r="H2201" s="213">
        <v>0</v>
      </c>
      <c r="I2201" s="213">
        <v>0</v>
      </c>
      <c r="J2201" s="213">
        <v>0</v>
      </c>
    </row>
    <row r="2202" spans="1:10">
      <c r="A2202" s="211" t="s">
        <v>165</v>
      </c>
      <c r="B2202" s="211" t="s">
        <v>11</v>
      </c>
      <c r="C2202" s="212">
        <v>0.52777777777777779</v>
      </c>
      <c r="D2202" s="213">
        <v>0</v>
      </c>
      <c r="E2202" s="213">
        <v>0</v>
      </c>
      <c r="F2202" s="213">
        <v>0</v>
      </c>
      <c r="G2202" s="213">
        <v>0</v>
      </c>
      <c r="H2202" s="213">
        <v>0</v>
      </c>
      <c r="I2202" s="213">
        <v>0</v>
      </c>
      <c r="J2202" s="213">
        <v>0</v>
      </c>
    </row>
    <row r="2203" spans="1:10">
      <c r="A2203" s="211" t="s">
        <v>165</v>
      </c>
      <c r="B2203" s="211" t="s">
        <v>11</v>
      </c>
      <c r="C2203" s="212">
        <v>0.52847222222222223</v>
      </c>
      <c r="D2203" s="213">
        <v>0</v>
      </c>
      <c r="E2203" s="213">
        <v>0</v>
      </c>
      <c r="F2203" s="213">
        <v>0</v>
      </c>
      <c r="G2203" s="213">
        <v>0</v>
      </c>
      <c r="H2203" s="213">
        <v>0</v>
      </c>
      <c r="I2203" s="213">
        <v>0</v>
      </c>
      <c r="J2203" s="213">
        <v>0</v>
      </c>
    </row>
    <row r="2204" spans="1:10">
      <c r="A2204" s="211" t="s">
        <v>165</v>
      </c>
      <c r="B2204" s="211" t="s">
        <v>11</v>
      </c>
      <c r="C2204" s="212">
        <v>0.52916666666666667</v>
      </c>
      <c r="D2204" s="213">
        <v>0</v>
      </c>
      <c r="E2204" s="213">
        <v>0</v>
      </c>
      <c r="F2204" s="213">
        <v>0</v>
      </c>
      <c r="G2204" s="213">
        <v>0</v>
      </c>
      <c r="H2204" s="213">
        <v>0</v>
      </c>
      <c r="I2204" s="213">
        <v>0</v>
      </c>
      <c r="J2204" s="213">
        <v>0</v>
      </c>
    </row>
    <row r="2205" spans="1:10">
      <c r="A2205" s="211" t="s">
        <v>165</v>
      </c>
      <c r="B2205" s="211" t="s">
        <v>11</v>
      </c>
      <c r="C2205" s="212">
        <v>0.52986111111111112</v>
      </c>
      <c r="D2205" s="213">
        <v>0</v>
      </c>
      <c r="E2205" s="213">
        <v>0</v>
      </c>
      <c r="F2205" s="213">
        <v>0</v>
      </c>
      <c r="G2205" s="213">
        <v>0</v>
      </c>
      <c r="H2205" s="213">
        <v>0</v>
      </c>
      <c r="I2205" s="213">
        <v>0</v>
      </c>
      <c r="J2205" s="213">
        <v>0</v>
      </c>
    </row>
    <row r="2206" spans="1:10" s="80" customFormat="1">
      <c r="A2206" s="214" t="s">
        <v>165</v>
      </c>
      <c r="B2206" s="214" t="s">
        <v>11</v>
      </c>
      <c r="C2206" s="215">
        <v>0.53055555555555556</v>
      </c>
      <c r="D2206" s="213">
        <v>0</v>
      </c>
      <c r="E2206" s="213">
        <v>0</v>
      </c>
      <c r="F2206" s="213">
        <v>0</v>
      </c>
      <c r="G2206" s="213">
        <v>0</v>
      </c>
      <c r="H2206" s="213">
        <v>0</v>
      </c>
      <c r="I2206" s="213">
        <v>0</v>
      </c>
      <c r="J2206" s="213">
        <v>0</v>
      </c>
    </row>
    <row r="2207" spans="1:10">
      <c r="A2207" s="211" t="s">
        <v>165</v>
      </c>
      <c r="B2207" s="211" t="s">
        <v>11</v>
      </c>
      <c r="C2207" s="212">
        <v>0.53125</v>
      </c>
      <c r="D2207" s="217">
        <v>0</v>
      </c>
      <c r="E2207" s="217">
        <v>0</v>
      </c>
      <c r="F2207" s="217">
        <v>0</v>
      </c>
      <c r="G2207" s="217">
        <v>0</v>
      </c>
      <c r="H2207" s="217">
        <v>0</v>
      </c>
      <c r="I2207" s="217">
        <v>0</v>
      </c>
      <c r="J2207" s="217">
        <v>0</v>
      </c>
    </row>
    <row r="2208" spans="1:10">
      <c r="A2208" s="211" t="s">
        <v>165</v>
      </c>
      <c r="B2208" s="211" t="s">
        <v>11</v>
      </c>
      <c r="C2208" s="212">
        <v>0.53194444444444444</v>
      </c>
      <c r="D2208" s="213">
        <v>0</v>
      </c>
      <c r="E2208" s="213">
        <v>0</v>
      </c>
      <c r="F2208" s="213">
        <v>0</v>
      </c>
      <c r="G2208" s="213">
        <v>0</v>
      </c>
      <c r="H2208" s="213">
        <v>0</v>
      </c>
      <c r="I2208" s="213">
        <v>0</v>
      </c>
      <c r="J2208" s="213">
        <v>0</v>
      </c>
    </row>
    <row r="2209" spans="1:10">
      <c r="A2209" s="211" t="s">
        <v>165</v>
      </c>
      <c r="B2209" s="211" t="s">
        <v>11</v>
      </c>
      <c r="C2209" s="212">
        <v>0.53263888888888888</v>
      </c>
      <c r="D2209" s="213">
        <v>0</v>
      </c>
      <c r="E2209" s="213">
        <v>0</v>
      </c>
      <c r="F2209" s="213">
        <v>0</v>
      </c>
      <c r="G2209" s="213">
        <v>0</v>
      </c>
      <c r="H2209" s="213">
        <v>0</v>
      </c>
      <c r="I2209" s="213">
        <v>0</v>
      </c>
      <c r="J2209" s="213">
        <v>0</v>
      </c>
    </row>
    <row r="2210" spans="1:10">
      <c r="A2210" s="211" t="s">
        <v>165</v>
      </c>
      <c r="B2210" s="211" t="s">
        <v>11</v>
      </c>
      <c r="C2210" s="212">
        <v>0.53333333333333333</v>
      </c>
      <c r="D2210" s="213">
        <v>0</v>
      </c>
      <c r="E2210" s="213">
        <v>0</v>
      </c>
      <c r="F2210" s="213">
        <v>0</v>
      </c>
      <c r="G2210" s="213">
        <v>0</v>
      </c>
      <c r="H2210" s="213">
        <v>0</v>
      </c>
      <c r="I2210" s="213">
        <v>0</v>
      </c>
      <c r="J2210" s="213">
        <v>0</v>
      </c>
    </row>
    <row r="2211" spans="1:10">
      <c r="A2211" s="211" t="s">
        <v>165</v>
      </c>
      <c r="B2211" s="211" t="s">
        <v>11</v>
      </c>
      <c r="C2211" s="212">
        <v>0.53402777777777777</v>
      </c>
      <c r="D2211" s="213">
        <v>0</v>
      </c>
      <c r="E2211" s="213">
        <v>0</v>
      </c>
      <c r="F2211" s="213">
        <v>0</v>
      </c>
      <c r="G2211" s="213">
        <v>0</v>
      </c>
      <c r="H2211" s="213">
        <v>0</v>
      </c>
      <c r="I2211" s="213">
        <v>0</v>
      </c>
      <c r="J2211" s="213">
        <v>0</v>
      </c>
    </row>
    <row r="2212" spans="1:10">
      <c r="A2212" s="211" t="s">
        <v>165</v>
      </c>
      <c r="B2212" s="211" t="s">
        <v>11</v>
      </c>
      <c r="C2212" s="212">
        <v>0.53472222222222221</v>
      </c>
      <c r="D2212" s="213">
        <v>0</v>
      </c>
      <c r="E2212" s="213">
        <v>0</v>
      </c>
      <c r="F2212" s="213">
        <v>0</v>
      </c>
      <c r="G2212" s="213">
        <v>0</v>
      </c>
      <c r="H2212" s="213">
        <v>0</v>
      </c>
      <c r="I2212" s="213">
        <v>0</v>
      </c>
      <c r="J2212" s="213">
        <v>0</v>
      </c>
    </row>
    <row r="2213" spans="1:10">
      <c r="A2213" s="211" t="s">
        <v>165</v>
      </c>
      <c r="B2213" s="211" t="s">
        <v>11</v>
      </c>
      <c r="C2213" s="212">
        <v>0.53541666666666665</v>
      </c>
      <c r="D2213" s="213">
        <v>0</v>
      </c>
      <c r="E2213" s="213">
        <v>0</v>
      </c>
      <c r="F2213" s="213">
        <v>0</v>
      </c>
      <c r="G2213" s="213">
        <v>0</v>
      </c>
      <c r="H2213" s="213">
        <v>0</v>
      </c>
      <c r="I2213" s="213">
        <v>0</v>
      </c>
      <c r="J2213" s="213">
        <v>0</v>
      </c>
    </row>
    <row r="2214" spans="1:10">
      <c r="A2214" s="211" t="s">
        <v>165</v>
      </c>
      <c r="B2214" s="211" t="s">
        <v>11</v>
      </c>
      <c r="C2214" s="212">
        <v>0.53611111111111109</v>
      </c>
      <c r="D2214" s="213">
        <v>0</v>
      </c>
      <c r="E2214" s="213">
        <v>0</v>
      </c>
      <c r="F2214" s="213">
        <v>0</v>
      </c>
      <c r="G2214" s="213">
        <v>0</v>
      </c>
      <c r="H2214" s="213">
        <v>0</v>
      </c>
      <c r="I2214" s="213">
        <v>0</v>
      </c>
      <c r="J2214" s="213">
        <v>0</v>
      </c>
    </row>
    <row r="2215" spans="1:10">
      <c r="A2215" s="211" t="s">
        <v>165</v>
      </c>
      <c r="B2215" s="211" t="s">
        <v>11</v>
      </c>
      <c r="C2215" s="212">
        <v>0.53680555555555554</v>
      </c>
      <c r="D2215" s="213">
        <v>0</v>
      </c>
      <c r="E2215" s="213">
        <v>0</v>
      </c>
      <c r="F2215" s="213">
        <v>0</v>
      </c>
      <c r="G2215" s="213">
        <v>0</v>
      </c>
      <c r="H2215" s="213">
        <v>0</v>
      </c>
      <c r="I2215" s="213">
        <v>0</v>
      </c>
      <c r="J2215" s="213">
        <v>0</v>
      </c>
    </row>
    <row r="2216" spans="1:10">
      <c r="A2216" s="211" t="s">
        <v>165</v>
      </c>
      <c r="B2216" s="211" t="s">
        <v>11</v>
      </c>
      <c r="C2216" s="212">
        <v>0.53749999999999998</v>
      </c>
      <c r="D2216" s="213">
        <v>0</v>
      </c>
      <c r="E2216" s="213">
        <v>0</v>
      </c>
      <c r="F2216" s="213">
        <v>0</v>
      </c>
      <c r="G2216" s="213">
        <v>0</v>
      </c>
      <c r="H2216" s="213">
        <v>0</v>
      </c>
      <c r="I2216" s="213">
        <v>0</v>
      </c>
      <c r="J2216" s="213">
        <v>0</v>
      </c>
    </row>
    <row r="2217" spans="1:10">
      <c r="A2217" s="211" t="s">
        <v>165</v>
      </c>
      <c r="B2217" s="211" t="s">
        <v>11</v>
      </c>
      <c r="C2217" s="212">
        <v>0.53819444444444442</v>
      </c>
      <c r="D2217" s="213">
        <v>0</v>
      </c>
      <c r="E2217" s="213">
        <v>0</v>
      </c>
      <c r="F2217" s="213">
        <v>0</v>
      </c>
      <c r="G2217" s="213">
        <v>0</v>
      </c>
      <c r="H2217" s="213">
        <v>0</v>
      </c>
      <c r="I2217" s="213">
        <v>0</v>
      </c>
      <c r="J2217" s="213">
        <v>0</v>
      </c>
    </row>
    <row r="2218" spans="1:10">
      <c r="A2218" s="211" t="s">
        <v>165</v>
      </c>
      <c r="B2218" s="211" t="s">
        <v>11</v>
      </c>
      <c r="C2218" s="212">
        <v>0.53888888888888886</v>
      </c>
      <c r="D2218" s="213">
        <v>0</v>
      </c>
      <c r="E2218" s="213">
        <v>0</v>
      </c>
      <c r="F2218" s="213">
        <v>0</v>
      </c>
      <c r="G2218" s="213">
        <v>0</v>
      </c>
      <c r="H2218" s="213">
        <v>0</v>
      </c>
      <c r="I2218" s="213">
        <v>0</v>
      </c>
      <c r="J2218" s="213">
        <v>0</v>
      </c>
    </row>
    <row r="2219" spans="1:10">
      <c r="A2219" s="211" t="s">
        <v>165</v>
      </c>
      <c r="B2219" s="211" t="s">
        <v>11</v>
      </c>
      <c r="C2219" s="212">
        <v>0.5395833333333333</v>
      </c>
      <c r="D2219" s="213">
        <v>0</v>
      </c>
      <c r="E2219" s="213">
        <v>0</v>
      </c>
      <c r="F2219" s="213">
        <v>0</v>
      </c>
      <c r="G2219" s="213">
        <v>0</v>
      </c>
      <c r="H2219" s="213">
        <v>0</v>
      </c>
      <c r="I2219" s="213">
        <v>0</v>
      </c>
      <c r="J2219" s="213">
        <v>0</v>
      </c>
    </row>
    <row r="2220" spans="1:10">
      <c r="A2220" s="211" t="s">
        <v>165</v>
      </c>
      <c r="B2220" s="211" t="s">
        <v>11</v>
      </c>
      <c r="C2220" s="212">
        <v>0.54027777777777775</v>
      </c>
      <c r="D2220" s="213">
        <v>0</v>
      </c>
      <c r="E2220" s="213">
        <v>0</v>
      </c>
      <c r="F2220" s="213">
        <v>0</v>
      </c>
      <c r="G2220" s="213">
        <v>0</v>
      </c>
      <c r="H2220" s="213">
        <v>0</v>
      </c>
      <c r="I2220" s="213">
        <v>0</v>
      </c>
      <c r="J2220" s="213">
        <v>0</v>
      </c>
    </row>
    <row r="2221" spans="1:10" s="80" customFormat="1">
      <c r="A2221" s="214" t="s">
        <v>165</v>
      </c>
      <c r="B2221" s="214" t="s">
        <v>11</v>
      </c>
      <c r="C2221" s="215">
        <v>0.54097222222222219</v>
      </c>
      <c r="D2221" s="216">
        <v>0</v>
      </c>
      <c r="E2221" s="216">
        <v>0</v>
      </c>
      <c r="F2221" s="216">
        <v>0</v>
      </c>
      <c r="G2221" s="216">
        <v>0</v>
      </c>
      <c r="H2221" s="216">
        <v>0</v>
      </c>
      <c r="I2221" s="216">
        <v>0</v>
      </c>
      <c r="J2221" s="216">
        <v>0</v>
      </c>
    </row>
    <row r="2222" spans="1:10">
      <c r="A2222" s="211" t="s">
        <v>165</v>
      </c>
      <c r="B2222" s="211" t="s">
        <v>11</v>
      </c>
      <c r="C2222" s="212">
        <v>0.54166666666666663</v>
      </c>
      <c r="D2222" s="213">
        <v>0</v>
      </c>
      <c r="E2222" s="213">
        <v>0</v>
      </c>
      <c r="F2222" s="213">
        <v>0</v>
      </c>
      <c r="G2222" s="213">
        <v>0</v>
      </c>
      <c r="H2222" s="213">
        <v>0</v>
      </c>
      <c r="I2222" s="213">
        <v>0</v>
      </c>
      <c r="J2222" s="213">
        <v>0</v>
      </c>
    </row>
    <row r="2223" spans="1:10">
      <c r="A2223" s="211" t="s">
        <v>165</v>
      </c>
      <c r="B2223" s="211" t="s">
        <v>11</v>
      </c>
      <c r="C2223" s="212">
        <v>0.54236111111111107</v>
      </c>
      <c r="D2223" s="213">
        <v>0</v>
      </c>
      <c r="E2223" s="213">
        <v>0</v>
      </c>
      <c r="F2223" s="213">
        <v>0</v>
      </c>
      <c r="G2223" s="213">
        <v>0</v>
      </c>
      <c r="H2223" s="213">
        <v>0</v>
      </c>
      <c r="I2223" s="213">
        <v>0</v>
      </c>
      <c r="J2223" s="213">
        <v>0</v>
      </c>
    </row>
    <row r="2224" spans="1:10">
      <c r="A2224" s="211" t="s">
        <v>165</v>
      </c>
      <c r="B2224" s="211" t="s">
        <v>11</v>
      </c>
      <c r="C2224" s="212">
        <v>0.54305555555555551</v>
      </c>
      <c r="D2224" s="213">
        <v>0</v>
      </c>
      <c r="E2224" s="213">
        <v>0</v>
      </c>
      <c r="F2224" s="213">
        <v>0</v>
      </c>
      <c r="G2224" s="213">
        <v>0</v>
      </c>
      <c r="H2224" s="213">
        <v>0</v>
      </c>
      <c r="I2224" s="213">
        <v>0</v>
      </c>
      <c r="J2224" s="213">
        <v>0</v>
      </c>
    </row>
    <row r="2225" spans="1:10">
      <c r="A2225" s="211" t="s">
        <v>165</v>
      </c>
      <c r="B2225" s="211" t="s">
        <v>11</v>
      </c>
      <c r="C2225" s="212">
        <v>0.54374999999999996</v>
      </c>
      <c r="D2225" s="213">
        <v>0</v>
      </c>
      <c r="E2225" s="213">
        <v>0</v>
      </c>
      <c r="F2225" s="213">
        <v>0</v>
      </c>
      <c r="G2225" s="213">
        <v>0</v>
      </c>
      <c r="H2225" s="213">
        <v>0</v>
      </c>
      <c r="I2225" s="213">
        <v>0</v>
      </c>
      <c r="J2225" s="213">
        <v>0</v>
      </c>
    </row>
    <row r="2226" spans="1:10">
      <c r="A2226" s="211" t="s">
        <v>165</v>
      </c>
      <c r="B2226" s="211" t="s">
        <v>11</v>
      </c>
      <c r="C2226" s="212">
        <v>0.5444444444444444</v>
      </c>
      <c r="D2226" s="213">
        <v>0</v>
      </c>
      <c r="E2226" s="213">
        <v>0</v>
      </c>
      <c r="F2226" s="213">
        <v>0</v>
      </c>
      <c r="G2226" s="213">
        <v>0</v>
      </c>
      <c r="H2226" s="213">
        <v>0</v>
      </c>
      <c r="I2226" s="213">
        <v>0</v>
      </c>
      <c r="J2226" s="213">
        <v>0</v>
      </c>
    </row>
    <row r="2227" spans="1:10">
      <c r="A2227" s="211" t="s">
        <v>165</v>
      </c>
      <c r="B2227" s="211" t="s">
        <v>11</v>
      </c>
      <c r="C2227" s="212">
        <v>0.54513888888888884</v>
      </c>
      <c r="D2227" s="213">
        <v>0</v>
      </c>
      <c r="E2227" s="213">
        <v>0</v>
      </c>
      <c r="F2227" s="213">
        <v>0</v>
      </c>
      <c r="G2227" s="213">
        <v>0</v>
      </c>
      <c r="H2227" s="213">
        <v>0</v>
      </c>
      <c r="I2227" s="213">
        <v>0</v>
      </c>
      <c r="J2227" s="213">
        <v>0</v>
      </c>
    </row>
    <row r="2228" spans="1:10">
      <c r="A2228" s="211" t="s">
        <v>165</v>
      </c>
      <c r="B2228" s="211" t="s">
        <v>11</v>
      </c>
      <c r="C2228" s="212">
        <v>0.54583333333333328</v>
      </c>
      <c r="D2228" s="213">
        <v>0</v>
      </c>
      <c r="E2228" s="213">
        <v>0</v>
      </c>
      <c r="F2228" s="213">
        <v>0</v>
      </c>
      <c r="G2228" s="213">
        <v>0</v>
      </c>
      <c r="H2228" s="213">
        <v>0</v>
      </c>
      <c r="I2228" s="213">
        <v>0</v>
      </c>
      <c r="J2228" s="213">
        <v>0</v>
      </c>
    </row>
    <row r="2229" spans="1:10">
      <c r="A2229" s="211" t="s">
        <v>165</v>
      </c>
      <c r="B2229" s="211" t="s">
        <v>11</v>
      </c>
      <c r="C2229" s="212">
        <v>0.54652777777777772</v>
      </c>
      <c r="D2229" s="213">
        <v>0</v>
      </c>
      <c r="E2229" s="213">
        <v>0</v>
      </c>
      <c r="F2229" s="213">
        <v>0</v>
      </c>
      <c r="G2229" s="213">
        <v>0</v>
      </c>
      <c r="H2229" s="213">
        <v>0</v>
      </c>
      <c r="I2229" s="213">
        <v>0</v>
      </c>
      <c r="J2229" s="213">
        <v>0</v>
      </c>
    </row>
    <row r="2230" spans="1:10">
      <c r="A2230" s="211" t="s">
        <v>165</v>
      </c>
      <c r="B2230" s="211" t="s">
        <v>11</v>
      </c>
      <c r="C2230" s="212">
        <v>0.54722222222222228</v>
      </c>
      <c r="D2230" s="213">
        <v>0</v>
      </c>
      <c r="E2230" s="213">
        <v>0</v>
      </c>
      <c r="F2230" s="213">
        <v>0</v>
      </c>
      <c r="G2230" s="213">
        <v>0</v>
      </c>
      <c r="H2230" s="213">
        <v>0</v>
      </c>
      <c r="I2230" s="213">
        <v>0</v>
      </c>
      <c r="J2230" s="213">
        <v>0</v>
      </c>
    </row>
    <row r="2231" spans="1:10">
      <c r="A2231" s="211" t="s">
        <v>165</v>
      </c>
      <c r="B2231" s="211" t="s">
        <v>11</v>
      </c>
      <c r="C2231" s="212">
        <v>0.54791666666666672</v>
      </c>
      <c r="D2231" s="213">
        <v>0</v>
      </c>
      <c r="E2231" s="213">
        <v>0</v>
      </c>
      <c r="F2231" s="213">
        <v>0</v>
      </c>
      <c r="G2231" s="213">
        <v>0</v>
      </c>
      <c r="H2231" s="213">
        <v>0</v>
      </c>
      <c r="I2231" s="213">
        <v>0</v>
      </c>
      <c r="J2231" s="213">
        <v>0</v>
      </c>
    </row>
    <row r="2232" spans="1:10">
      <c r="A2232" s="211" t="s">
        <v>165</v>
      </c>
      <c r="B2232" s="211" t="s">
        <v>11</v>
      </c>
      <c r="C2232" s="212">
        <v>0.54861111111111116</v>
      </c>
      <c r="D2232" s="213">
        <v>0</v>
      </c>
      <c r="E2232" s="213">
        <v>0</v>
      </c>
      <c r="F2232" s="213">
        <v>0</v>
      </c>
      <c r="G2232" s="213">
        <v>0</v>
      </c>
      <c r="H2232" s="213">
        <v>0</v>
      </c>
      <c r="I2232" s="213">
        <v>0</v>
      </c>
      <c r="J2232" s="213">
        <v>0</v>
      </c>
    </row>
    <row r="2233" spans="1:10">
      <c r="A2233" s="211" t="s">
        <v>165</v>
      </c>
      <c r="B2233" s="211" t="s">
        <v>11</v>
      </c>
      <c r="C2233" s="212">
        <v>0.5493055555555556</v>
      </c>
      <c r="D2233" s="213">
        <v>0</v>
      </c>
      <c r="E2233" s="213">
        <v>0</v>
      </c>
      <c r="F2233" s="213">
        <v>0</v>
      </c>
      <c r="G2233" s="213">
        <v>0</v>
      </c>
      <c r="H2233" s="213">
        <v>0</v>
      </c>
      <c r="I2233" s="213">
        <v>0</v>
      </c>
      <c r="J2233" s="213">
        <v>0</v>
      </c>
    </row>
    <row r="2234" spans="1:10">
      <c r="A2234" s="211" t="s">
        <v>165</v>
      </c>
      <c r="B2234" s="211" t="s">
        <v>11</v>
      </c>
      <c r="C2234" s="212">
        <v>0.54236111111111107</v>
      </c>
      <c r="D2234" s="213">
        <v>0</v>
      </c>
      <c r="E2234" s="213">
        <v>0</v>
      </c>
      <c r="F2234" s="213">
        <v>0</v>
      </c>
      <c r="G2234" s="213">
        <v>0</v>
      </c>
      <c r="H2234" s="213">
        <v>0</v>
      </c>
      <c r="I2234" s="213">
        <v>0</v>
      </c>
      <c r="J2234" s="213">
        <v>0</v>
      </c>
    </row>
    <row r="2235" spans="1:10">
      <c r="A2235" s="211" t="s">
        <v>165</v>
      </c>
      <c r="B2235" s="211" t="s">
        <v>11</v>
      </c>
      <c r="C2235" s="212">
        <v>0.55069444444444449</v>
      </c>
      <c r="D2235" s="213">
        <v>0</v>
      </c>
      <c r="E2235" s="213">
        <v>0</v>
      </c>
      <c r="F2235" s="213">
        <v>0</v>
      </c>
      <c r="G2235" s="213">
        <v>0</v>
      </c>
      <c r="H2235" s="213">
        <v>0</v>
      </c>
      <c r="I2235" s="213">
        <v>0</v>
      </c>
      <c r="J2235" s="213">
        <v>0</v>
      </c>
    </row>
    <row r="2236" spans="1:10" s="80" customFormat="1">
      <c r="A2236" s="214" t="s">
        <v>165</v>
      </c>
      <c r="B2236" s="214" t="s">
        <v>11</v>
      </c>
      <c r="C2236" s="215">
        <v>0.55138888888888893</v>
      </c>
      <c r="D2236" s="213">
        <v>0</v>
      </c>
      <c r="E2236" s="213">
        <v>0</v>
      </c>
      <c r="F2236" s="213">
        <v>0</v>
      </c>
      <c r="G2236" s="213">
        <v>0</v>
      </c>
      <c r="H2236" s="213">
        <v>0</v>
      </c>
      <c r="I2236" s="213">
        <v>0</v>
      </c>
      <c r="J2236" s="213">
        <v>0</v>
      </c>
    </row>
    <row r="2237" spans="1:10">
      <c r="A2237" s="211" t="s">
        <v>165</v>
      </c>
      <c r="B2237" s="211" t="s">
        <v>11</v>
      </c>
      <c r="C2237" s="212">
        <v>0.55208333333333337</v>
      </c>
      <c r="D2237" s="217">
        <v>0</v>
      </c>
      <c r="E2237" s="217">
        <v>0</v>
      </c>
      <c r="F2237" s="217">
        <v>0</v>
      </c>
      <c r="G2237" s="217">
        <v>0</v>
      </c>
      <c r="H2237" s="217">
        <v>0</v>
      </c>
      <c r="I2237" s="217">
        <v>0</v>
      </c>
      <c r="J2237" s="217">
        <v>0</v>
      </c>
    </row>
    <row r="2238" spans="1:10">
      <c r="A2238" s="211" t="s">
        <v>165</v>
      </c>
      <c r="B2238" s="211" t="s">
        <v>11</v>
      </c>
      <c r="C2238" s="212">
        <v>0.55277777777777781</v>
      </c>
      <c r="D2238" s="213">
        <v>0</v>
      </c>
      <c r="E2238" s="213">
        <v>0</v>
      </c>
      <c r="F2238" s="213">
        <v>0</v>
      </c>
      <c r="G2238" s="213">
        <v>0</v>
      </c>
      <c r="H2238" s="213">
        <v>0</v>
      </c>
      <c r="I2238" s="213">
        <v>0</v>
      </c>
      <c r="J2238" s="213">
        <v>0</v>
      </c>
    </row>
    <row r="2239" spans="1:10">
      <c r="A2239" s="211" t="s">
        <v>165</v>
      </c>
      <c r="B2239" s="211" t="s">
        <v>11</v>
      </c>
      <c r="C2239" s="212">
        <v>0.55347222222222225</v>
      </c>
      <c r="D2239" s="213">
        <v>0</v>
      </c>
      <c r="E2239" s="213">
        <v>0</v>
      </c>
      <c r="F2239" s="213">
        <v>0</v>
      </c>
      <c r="G2239" s="213">
        <v>0</v>
      </c>
      <c r="H2239" s="213">
        <v>0</v>
      </c>
      <c r="I2239" s="213">
        <v>0</v>
      </c>
      <c r="J2239" s="213">
        <v>0</v>
      </c>
    </row>
    <row r="2240" spans="1:10">
      <c r="A2240" s="211" t="s">
        <v>165</v>
      </c>
      <c r="B2240" s="211" t="s">
        <v>11</v>
      </c>
      <c r="C2240" s="212">
        <v>0.5541666666666667</v>
      </c>
      <c r="D2240" s="213">
        <v>0</v>
      </c>
      <c r="E2240" s="213">
        <v>0</v>
      </c>
      <c r="F2240" s="213">
        <v>0</v>
      </c>
      <c r="G2240" s="213">
        <v>0</v>
      </c>
      <c r="H2240" s="213">
        <v>0</v>
      </c>
      <c r="I2240" s="213">
        <v>0</v>
      </c>
      <c r="J2240" s="213">
        <v>0</v>
      </c>
    </row>
    <row r="2241" spans="1:10">
      <c r="A2241" s="211" t="s">
        <v>165</v>
      </c>
      <c r="B2241" s="211" t="s">
        <v>11</v>
      </c>
      <c r="C2241" s="212">
        <v>0.55486111111111114</v>
      </c>
      <c r="D2241" s="213">
        <v>0</v>
      </c>
      <c r="E2241" s="213">
        <v>0</v>
      </c>
      <c r="F2241" s="213">
        <v>0</v>
      </c>
      <c r="G2241" s="213">
        <v>0</v>
      </c>
      <c r="H2241" s="213">
        <v>0</v>
      </c>
      <c r="I2241" s="213">
        <v>0</v>
      </c>
      <c r="J2241" s="213">
        <v>0</v>
      </c>
    </row>
    <row r="2242" spans="1:10">
      <c r="A2242" s="211" t="s">
        <v>165</v>
      </c>
      <c r="B2242" s="211" t="s">
        <v>11</v>
      </c>
      <c r="C2242" s="212">
        <v>0.55555555555555558</v>
      </c>
      <c r="D2242" s="213">
        <v>0</v>
      </c>
      <c r="E2242" s="213">
        <v>0</v>
      </c>
      <c r="F2242" s="213">
        <v>0</v>
      </c>
      <c r="G2242" s="213">
        <v>0</v>
      </c>
      <c r="H2242" s="213">
        <v>0</v>
      </c>
      <c r="I2242" s="213">
        <v>0</v>
      </c>
      <c r="J2242" s="213">
        <v>0</v>
      </c>
    </row>
    <row r="2243" spans="1:10">
      <c r="A2243" s="211" t="s">
        <v>165</v>
      </c>
      <c r="B2243" s="211" t="s">
        <v>11</v>
      </c>
      <c r="C2243" s="212">
        <v>0.55625000000000002</v>
      </c>
      <c r="D2243" s="213">
        <v>0</v>
      </c>
      <c r="E2243" s="213">
        <v>0</v>
      </c>
      <c r="F2243" s="213">
        <v>0</v>
      </c>
      <c r="G2243" s="213">
        <v>0</v>
      </c>
      <c r="H2243" s="213">
        <v>0</v>
      </c>
      <c r="I2243" s="213">
        <v>0</v>
      </c>
      <c r="J2243" s="213">
        <v>0</v>
      </c>
    </row>
    <row r="2244" spans="1:10">
      <c r="A2244" s="211" t="s">
        <v>165</v>
      </c>
      <c r="B2244" s="211" t="s">
        <v>11</v>
      </c>
      <c r="C2244" s="212">
        <v>0.55694444444444446</v>
      </c>
      <c r="D2244" s="213">
        <v>0</v>
      </c>
      <c r="E2244" s="213">
        <v>0</v>
      </c>
      <c r="F2244" s="213">
        <v>0</v>
      </c>
      <c r="G2244" s="213">
        <v>0</v>
      </c>
      <c r="H2244" s="213">
        <v>0</v>
      </c>
      <c r="I2244" s="213">
        <v>0</v>
      </c>
      <c r="J2244" s="213">
        <v>0</v>
      </c>
    </row>
    <row r="2245" spans="1:10">
      <c r="A2245" s="211" t="s">
        <v>165</v>
      </c>
      <c r="B2245" s="211" t="s">
        <v>11</v>
      </c>
      <c r="C2245" s="212">
        <v>0.55763888888888891</v>
      </c>
      <c r="D2245" s="213">
        <v>0</v>
      </c>
      <c r="E2245" s="213">
        <v>0</v>
      </c>
      <c r="F2245" s="213">
        <v>0</v>
      </c>
      <c r="G2245" s="213">
        <v>0</v>
      </c>
      <c r="H2245" s="213">
        <v>0</v>
      </c>
      <c r="I2245" s="213">
        <v>0</v>
      </c>
      <c r="J2245" s="213">
        <v>0</v>
      </c>
    </row>
    <row r="2246" spans="1:10">
      <c r="A2246" s="211" t="s">
        <v>165</v>
      </c>
      <c r="B2246" s="211" t="s">
        <v>11</v>
      </c>
      <c r="C2246" s="212">
        <v>0.55833333333333335</v>
      </c>
      <c r="D2246" s="213">
        <v>0</v>
      </c>
      <c r="E2246" s="213">
        <v>0</v>
      </c>
      <c r="F2246" s="213">
        <v>0</v>
      </c>
      <c r="G2246" s="213">
        <v>0</v>
      </c>
      <c r="H2246" s="213">
        <v>0</v>
      </c>
      <c r="I2246" s="213">
        <v>0</v>
      </c>
      <c r="J2246" s="213">
        <v>0</v>
      </c>
    </row>
    <row r="2247" spans="1:10">
      <c r="A2247" s="211" t="s">
        <v>165</v>
      </c>
      <c r="B2247" s="211" t="s">
        <v>11</v>
      </c>
      <c r="C2247" s="212">
        <v>0.55902777777777779</v>
      </c>
      <c r="D2247" s="213">
        <v>0</v>
      </c>
      <c r="E2247" s="213">
        <v>0</v>
      </c>
      <c r="F2247" s="213">
        <v>0</v>
      </c>
      <c r="G2247" s="213">
        <v>0</v>
      </c>
      <c r="H2247" s="213">
        <v>0</v>
      </c>
      <c r="I2247" s="213">
        <v>0</v>
      </c>
      <c r="J2247" s="213">
        <v>0</v>
      </c>
    </row>
    <row r="2248" spans="1:10">
      <c r="A2248" s="211" t="s">
        <v>165</v>
      </c>
      <c r="B2248" s="211" t="s">
        <v>11</v>
      </c>
      <c r="C2248" s="212">
        <v>0.55972222222222223</v>
      </c>
      <c r="D2248" s="213">
        <v>0</v>
      </c>
      <c r="E2248" s="213">
        <v>0</v>
      </c>
      <c r="F2248" s="213">
        <v>0</v>
      </c>
      <c r="G2248" s="213">
        <v>0</v>
      </c>
      <c r="H2248" s="213">
        <v>0</v>
      </c>
      <c r="I2248" s="213">
        <v>0</v>
      </c>
      <c r="J2248" s="213">
        <v>0</v>
      </c>
    </row>
    <row r="2249" spans="1:10">
      <c r="A2249" s="211" t="s">
        <v>165</v>
      </c>
      <c r="B2249" s="211" t="s">
        <v>11</v>
      </c>
      <c r="C2249" s="212">
        <v>0.56041666666666667</v>
      </c>
      <c r="D2249" s="213">
        <v>0</v>
      </c>
      <c r="E2249" s="213">
        <v>0</v>
      </c>
      <c r="F2249" s="213">
        <v>0</v>
      </c>
      <c r="G2249" s="213">
        <v>0</v>
      </c>
      <c r="H2249" s="213">
        <v>0</v>
      </c>
      <c r="I2249" s="213">
        <v>0</v>
      </c>
      <c r="J2249" s="213">
        <v>0</v>
      </c>
    </row>
    <row r="2250" spans="1:10">
      <c r="A2250" s="211" t="s">
        <v>165</v>
      </c>
      <c r="B2250" s="211" t="s">
        <v>11</v>
      </c>
      <c r="C2250" s="212">
        <v>0.56111111111111112</v>
      </c>
      <c r="D2250" s="213">
        <v>0</v>
      </c>
      <c r="E2250" s="213">
        <v>0</v>
      </c>
      <c r="F2250" s="213">
        <v>0</v>
      </c>
      <c r="G2250" s="213">
        <v>0</v>
      </c>
      <c r="H2250" s="213">
        <v>0</v>
      </c>
      <c r="I2250" s="213">
        <v>0</v>
      </c>
      <c r="J2250" s="213">
        <v>0</v>
      </c>
    </row>
    <row r="2251" spans="1:10" s="80" customFormat="1">
      <c r="A2251" s="214" t="s">
        <v>165</v>
      </c>
      <c r="B2251" s="214" t="s">
        <v>11</v>
      </c>
      <c r="C2251" s="215">
        <v>0.56180555555555556</v>
      </c>
      <c r="D2251" s="216">
        <v>0</v>
      </c>
      <c r="E2251" s="216">
        <v>0</v>
      </c>
      <c r="F2251" s="216">
        <v>0</v>
      </c>
      <c r="G2251" s="216">
        <v>0</v>
      </c>
      <c r="H2251" s="216">
        <v>0</v>
      </c>
      <c r="I2251" s="216">
        <v>0</v>
      </c>
      <c r="J2251" s="216">
        <v>0</v>
      </c>
    </row>
    <row r="2252" spans="1:10">
      <c r="A2252" s="211" t="s">
        <v>165</v>
      </c>
      <c r="B2252" s="211" t="s">
        <v>11</v>
      </c>
      <c r="C2252" s="212">
        <v>0.5625</v>
      </c>
      <c r="D2252" s="213">
        <v>0</v>
      </c>
      <c r="E2252" s="213">
        <v>0</v>
      </c>
      <c r="F2252" s="213">
        <v>0</v>
      </c>
      <c r="G2252" s="213">
        <v>0</v>
      </c>
      <c r="H2252" s="213">
        <v>0</v>
      </c>
      <c r="I2252" s="213">
        <v>0</v>
      </c>
      <c r="J2252" s="213">
        <v>0</v>
      </c>
    </row>
    <row r="2253" spans="1:10">
      <c r="A2253" s="211" t="s">
        <v>165</v>
      </c>
      <c r="B2253" s="211" t="s">
        <v>11</v>
      </c>
      <c r="C2253" s="212">
        <v>0.56319444444444444</v>
      </c>
      <c r="D2253" s="213">
        <v>0</v>
      </c>
      <c r="E2253" s="213">
        <v>0</v>
      </c>
      <c r="F2253" s="213">
        <v>0</v>
      </c>
      <c r="G2253" s="213">
        <v>0</v>
      </c>
      <c r="H2253" s="213">
        <v>0</v>
      </c>
      <c r="I2253" s="213">
        <v>0</v>
      </c>
      <c r="J2253" s="213">
        <v>0</v>
      </c>
    </row>
    <row r="2254" spans="1:10">
      <c r="A2254" s="211" t="s">
        <v>165</v>
      </c>
      <c r="B2254" s="211" t="s">
        <v>11</v>
      </c>
      <c r="C2254" s="212">
        <v>0.56388888888888888</v>
      </c>
      <c r="D2254" s="213">
        <v>0</v>
      </c>
      <c r="E2254" s="213">
        <v>0</v>
      </c>
      <c r="F2254" s="213">
        <v>0</v>
      </c>
      <c r="G2254" s="213">
        <v>0</v>
      </c>
      <c r="H2254" s="213">
        <v>0</v>
      </c>
      <c r="I2254" s="213">
        <v>0</v>
      </c>
      <c r="J2254" s="213">
        <v>0</v>
      </c>
    </row>
    <row r="2255" spans="1:10">
      <c r="A2255" s="211" t="s">
        <v>165</v>
      </c>
      <c r="B2255" s="211" t="s">
        <v>11</v>
      </c>
      <c r="C2255" s="212">
        <v>0.56458333333333333</v>
      </c>
      <c r="D2255" s="213">
        <v>0</v>
      </c>
      <c r="E2255" s="213">
        <v>0</v>
      </c>
      <c r="F2255" s="213">
        <v>0</v>
      </c>
      <c r="G2255" s="213">
        <v>0</v>
      </c>
      <c r="H2255" s="213">
        <v>0</v>
      </c>
      <c r="I2255" s="213">
        <v>0</v>
      </c>
      <c r="J2255" s="213">
        <v>0</v>
      </c>
    </row>
    <row r="2256" spans="1:10">
      <c r="A2256" s="211" t="s">
        <v>165</v>
      </c>
      <c r="B2256" s="211" t="s">
        <v>11</v>
      </c>
      <c r="C2256" s="212">
        <v>0.56527777777777777</v>
      </c>
      <c r="D2256" s="213">
        <v>0</v>
      </c>
      <c r="E2256" s="213">
        <v>0</v>
      </c>
      <c r="F2256" s="213">
        <v>0</v>
      </c>
      <c r="G2256" s="213">
        <v>0</v>
      </c>
      <c r="H2256" s="213">
        <v>0</v>
      </c>
      <c r="I2256" s="213">
        <v>0</v>
      </c>
      <c r="J2256" s="213">
        <v>0</v>
      </c>
    </row>
    <row r="2257" spans="1:10">
      <c r="A2257" s="211" t="s">
        <v>165</v>
      </c>
      <c r="B2257" s="211" t="s">
        <v>11</v>
      </c>
      <c r="C2257" s="212">
        <v>0.56597222222222221</v>
      </c>
      <c r="D2257" s="213">
        <v>0</v>
      </c>
      <c r="E2257" s="213">
        <v>0</v>
      </c>
      <c r="F2257" s="213">
        <v>0</v>
      </c>
      <c r="G2257" s="213">
        <v>0</v>
      </c>
      <c r="H2257" s="213">
        <v>0</v>
      </c>
      <c r="I2257" s="213">
        <v>0</v>
      </c>
      <c r="J2257" s="213">
        <v>0</v>
      </c>
    </row>
    <row r="2258" spans="1:10">
      <c r="A2258" s="211" t="s">
        <v>165</v>
      </c>
      <c r="B2258" s="211" t="s">
        <v>11</v>
      </c>
      <c r="C2258" s="212">
        <v>0.56666666666666665</v>
      </c>
      <c r="D2258" s="213">
        <v>0</v>
      </c>
      <c r="E2258" s="213">
        <v>0</v>
      </c>
      <c r="F2258" s="213">
        <v>0</v>
      </c>
      <c r="G2258" s="213">
        <v>0</v>
      </c>
      <c r="H2258" s="213">
        <v>0</v>
      </c>
      <c r="I2258" s="213">
        <v>0</v>
      </c>
      <c r="J2258" s="213">
        <v>0</v>
      </c>
    </row>
    <row r="2259" spans="1:10">
      <c r="A2259" s="211" t="s">
        <v>165</v>
      </c>
      <c r="B2259" s="211" t="s">
        <v>11</v>
      </c>
      <c r="C2259" s="212">
        <v>0.56736111111111109</v>
      </c>
      <c r="D2259" s="213">
        <v>0</v>
      </c>
      <c r="E2259" s="213">
        <v>0</v>
      </c>
      <c r="F2259" s="213">
        <v>0</v>
      </c>
      <c r="G2259" s="213">
        <v>0</v>
      </c>
      <c r="H2259" s="213">
        <v>0</v>
      </c>
      <c r="I2259" s="213">
        <v>0</v>
      </c>
      <c r="J2259" s="213">
        <v>0</v>
      </c>
    </row>
    <row r="2260" spans="1:10">
      <c r="A2260" s="211" t="s">
        <v>165</v>
      </c>
      <c r="B2260" s="211" t="s">
        <v>11</v>
      </c>
      <c r="C2260" s="212">
        <v>0.56805555555555554</v>
      </c>
      <c r="D2260" s="213">
        <v>0</v>
      </c>
      <c r="E2260" s="213">
        <v>0</v>
      </c>
      <c r="F2260" s="213">
        <v>0</v>
      </c>
      <c r="G2260" s="213">
        <v>0</v>
      </c>
      <c r="H2260" s="213">
        <v>0</v>
      </c>
      <c r="I2260" s="213">
        <v>0</v>
      </c>
      <c r="J2260" s="213">
        <v>0</v>
      </c>
    </row>
    <row r="2261" spans="1:10">
      <c r="A2261" s="211" t="s">
        <v>165</v>
      </c>
      <c r="B2261" s="211" t="s">
        <v>11</v>
      </c>
      <c r="C2261" s="212">
        <v>0.56874999999999998</v>
      </c>
      <c r="D2261" s="213">
        <v>0</v>
      </c>
      <c r="E2261" s="213">
        <v>0</v>
      </c>
      <c r="F2261" s="213">
        <v>0</v>
      </c>
      <c r="G2261" s="213">
        <v>0</v>
      </c>
      <c r="H2261" s="213">
        <v>0</v>
      </c>
      <c r="I2261" s="213">
        <v>0</v>
      </c>
      <c r="J2261" s="213">
        <v>0</v>
      </c>
    </row>
    <row r="2262" spans="1:10">
      <c r="A2262" s="211" t="s">
        <v>165</v>
      </c>
      <c r="B2262" s="211" t="s">
        <v>11</v>
      </c>
      <c r="C2262" s="212">
        <v>0.56944444444444442</v>
      </c>
      <c r="D2262" s="213">
        <v>0</v>
      </c>
      <c r="E2262" s="213">
        <v>0</v>
      </c>
      <c r="F2262" s="213">
        <v>0</v>
      </c>
      <c r="G2262" s="213">
        <v>0</v>
      </c>
      <c r="H2262" s="213">
        <v>0</v>
      </c>
      <c r="I2262" s="213">
        <v>0</v>
      </c>
      <c r="J2262" s="213">
        <v>0</v>
      </c>
    </row>
    <row r="2263" spans="1:10">
      <c r="A2263" s="211" t="s">
        <v>165</v>
      </c>
      <c r="B2263" s="211" t="s">
        <v>11</v>
      </c>
      <c r="C2263" s="212">
        <v>0.57013888888888886</v>
      </c>
      <c r="D2263" s="213">
        <v>0</v>
      </c>
      <c r="E2263" s="213">
        <v>0</v>
      </c>
      <c r="F2263" s="213">
        <v>0</v>
      </c>
      <c r="G2263" s="213">
        <v>0</v>
      </c>
      <c r="H2263" s="213">
        <v>0</v>
      </c>
      <c r="I2263" s="213">
        <v>0</v>
      </c>
      <c r="J2263" s="213">
        <v>0</v>
      </c>
    </row>
    <row r="2264" spans="1:10">
      <c r="A2264" s="211" t="s">
        <v>165</v>
      </c>
      <c r="B2264" s="211" t="s">
        <v>11</v>
      </c>
      <c r="C2264" s="212">
        <v>0.5708333333333333</v>
      </c>
      <c r="D2264" s="213">
        <v>0</v>
      </c>
      <c r="E2264" s="213">
        <v>0</v>
      </c>
      <c r="F2264" s="213">
        <v>0</v>
      </c>
      <c r="G2264" s="213">
        <v>0</v>
      </c>
      <c r="H2264" s="213">
        <v>0</v>
      </c>
      <c r="I2264" s="213">
        <v>0</v>
      </c>
      <c r="J2264" s="213">
        <v>0</v>
      </c>
    </row>
    <row r="2265" spans="1:10">
      <c r="A2265" s="211" t="s">
        <v>165</v>
      </c>
      <c r="B2265" s="211" t="s">
        <v>11</v>
      </c>
      <c r="C2265" s="212">
        <v>0.57152777777777775</v>
      </c>
      <c r="D2265" s="213">
        <v>0</v>
      </c>
      <c r="E2265" s="213">
        <v>0</v>
      </c>
      <c r="F2265" s="213">
        <v>0</v>
      </c>
      <c r="G2265" s="213">
        <v>0</v>
      </c>
      <c r="H2265" s="213">
        <v>0</v>
      </c>
      <c r="I2265" s="213">
        <v>0</v>
      </c>
      <c r="J2265" s="213">
        <v>0</v>
      </c>
    </row>
    <row r="2266" spans="1:10" s="80" customFormat="1">
      <c r="A2266" s="214" t="s">
        <v>165</v>
      </c>
      <c r="B2266" s="214" t="s">
        <v>11</v>
      </c>
      <c r="C2266" s="215">
        <v>0.57222222222222219</v>
      </c>
      <c r="D2266" s="213">
        <v>0</v>
      </c>
      <c r="E2266" s="213">
        <v>0</v>
      </c>
      <c r="F2266" s="213">
        <v>0</v>
      </c>
      <c r="G2266" s="213">
        <v>0</v>
      </c>
      <c r="H2266" s="213">
        <v>0</v>
      </c>
      <c r="I2266" s="213">
        <v>0</v>
      </c>
      <c r="J2266" s="213">
        <v>0</v>
      </c>
    </row>
    <row r="2267" spans="1:10">
      <c r="A2267" s="211" t="s">
        <v>165</v>
      </c>
      <c r="B2267" s="211" t="s">
        <v>11</v>
      </c>
      <c r="C2267" s="212">
        <v>0.57291666666666663</v>
      </c>
      <c r="D2267" s="217">
        <v>0</v>
      </c>
      <c r="E2267" s="217">
        <v>0</v>
      </c>
      <c r="F2267" s="217">
        <v>0</v>
      </c>
      <c r="G2267" s="217">
        <v>0</v>
      </c>
      <c r="H2267" s="217">
        <v>0</v>
      </c>
      <c r="I2267" s="217">
        <v>0</v>
      </c>
      <c r="J2267" s="217">
        <v>0</v>
      </c>
    </row>
    <row r="2268" spans="1:10">
      <c r="A2268" s="211" t="s">
        <v>165</v>
      </c>
      <c r="B2268" s="211" t="s">
        <v>11</v>
      </c>
      <c r="C2268" s="212">
        <v>0.57361111111111107</v>
      </c>
      <c r="D2268" s="213">
        <v>0</v>
      </c>
      <c r="E2268" s="213">
        <v>0</v>
      </c>
      <c r="F2268" s="213">
        <v>0</v>
      </c>
      <c r="G2268" s="213">
        <v>0</v>
      </c>
      <c r="H2268" s="213">
        <v>0</v>
      </c>
      <c r="I2268" s="213">
        <v>0</v>
      </c>
      <c r="J2268" s="213">
        <v>0</v>
      </c>
    </row>
    <row r="2269" spans="1:10">
      <c r="A2269" s="211" t="s">
        <v>165</v>
      </c>
      <c r="B2269" s="211" t="s">
        <v>11</v>
      </c>
      <c r="C2269" s="212">
        <v>0.57430555555555551</v>
      </c>
      <c r="D2269" s="213">
        <v>0</v>
      </c>
      <c r="E2269" s="213">
        <v>0</v>
      </c>
      <c r="F2269" s="213">
        <v>0</v>
      </c>
      <c r="G2269" s="213">
        <v>0</v>
      </c>
      <c r="H2269" s="213">
        <v>0</v>
      </c>
      <c r="I2269" s="213">
        <v>0</v>
      </c>
      <c r="J2269" s="213">
        <v>0</v>
      </c>
    </row>
    <row r="2270" spans="1:10">
      <c r="A2270" s="211" t="s">
        <v>165</v>
      </c>
      <c r="B2270" s="211" t="s">
        <v>11</v>
      </c>
      <c r="C2270" s="212">
        <v>0.57499999999999996</v>
      </c>
      <c r="D2270" s="213">
        <v>0</v>
      </c>
      <c r="E2270" s="213">
        <v>0</v>
      </c>
      <c r="F2270" s="213">
        <v>0</v>
      </c>
      <c r="G2270" s="213">
        <v>0</v>
      </c>
      <c r="H2270" s="213">
        <v>0</v>
      </c>
      <c r="I2270" s="213">
        <v>0</v>
      </c>
      <c r="J2270" s="213">
        <v>0</v>
      </c>
    </row>
    <row r="2271" spans="1:10">
      <c r="A2271" s="211" t="s">
        <v>165</v>
      </c>
      <c r="B2271" s="211" t="s">
        <v>11</v>
      </c>
      <c r="C2271" s="212">
        <v>0.5756944444444444</v>
      </c>
      <c r="D2271" s="213">
        <v>0</v>
      </c>
      <c r="E2271" s="213">
        <v>0</v>
      </c>
      <c r="F2271" s="213">
        <v>0</v>
      </c>
      <c r="G2271" s="213">
        <v>0</v>
      </c>
      <c r="H2271" s="213">
        <v>0</v>
      </c>
      <c r="I2271" s="213">
        <v>0</v>
      </c>
      <c r="J2271" s="213">
        <v>0</v>
      </c>
    </row>
    <row r="2272" spans="1:10">
      <c r="A2272" s="211" t="s">
        <v>165</v>
      </c>
      <c r="B2272" s="211" t="s">
        <v>11</v>
      </c>
      <c r="C2272" s="212">
        <v>0.57638888888888884</v>
      </c>
      <c r="D2272" s="213">
        <v>0</v>
      </c>
      <c r="E2272" s="213">
        <v>0</v>
      </c>
      <c r="F2272" s="213">
        <v>0</v>
      </c>
      <c r="G2272" s="213">
        <v>0</v>
      </c>
      <c r="H2272" s="213">
        <v>0</v>
      </c>
      <c r="I2272" s="213">
        <v>0</v>
      </c>
      <c r="J2272" s="213">
        <v>0</v>
      </c>
    </row>
    <row r="2273" spans="1:10">
      <c r="A2273" s="211" t="s">
        <v>165</v>
      </c>
      <c r="B2273" s="211" t="s">
        <v>11</v>
      </c>
      <c r="C2273" s="212">
        <v>0.57708333333333328</v>
      </c>
      <c r="D2273" s="213">
        <v>0</v>
      </c>
      <c r="E2273" s="213">
        <v>0</v>
      </c>
      <c r="F2273" s="213">
        <v>0</v>
      </c>
      <c r="G2273" s="213">
        <v>0</v>
      </c>
      <c r="H2273" s="213">
        <v>0</v>
      </c>
      <c r="I2273" s="213">
        <v>0</v>
      </c>
      <c r="J2273" s="213">
        <v>0</v>
      </c>
    </row>
    <row r="2274" spans="1:10">
      <c r="A2274" s="211" t="s">
        <v>165</v>
      </c>
      <c r="B2274" s="211" t="s">
        <v>11</v>
      </c>
      <c r="C2274" s="212">
        <v>0.57777777777777772</v>
      </c>
      <c r="D2274" s="213">
        <v>0</v>
      </c>
      <c r="E2274" s="213">
        <v>0</v>
      </c>
      <c r="F2274" s="213">
        <v>0</v>
      </c>
      <c r="G2274" s="213">
        <v>0</v>
      </c>
      <c r="H2274" s="213">
        <v>0</v>
      </c>
      <c r="I2274" s="213">
        <v>0</v>
      </c>
      <c r="J2274" s="213">
        <v>0</v>
      </c>
    </row>
    <row r="2275" spans="1:10">
      <c r="A2275" s="211" t="s">
        <v>165</v>
      </c>
      <c r="B2275" s="211" t="s">
        <v>11</v>
      </c>
      <c r="C2275" s="212">
        <v>0.57847222222222228</v>
      </c>
      <c r="D2275" s="213">
        <v>0</v>
      </c>
      <c r="E2275" s="213">
        <v>0</v>
      </c>
      <c r="F2275" s="213">
        <v>0</v>
      </c>
      <c r="G2275" s="213">
        <v>0</v>
      </c>
      <c r="H2275" s="213">
        <v>0</v>
      </c>
      <c r="I2275" s="213">
        <v>0</v>
      </c>
      <c r="J2275" s="213">
        <v>0</v>
      </c>
    </row>
    <row r="2276" spans="1:10">
      <c r="A2276" s="211" t="s">
        <v>165</v>
      </c>
      <c r="B2276" s="211" t="s">
        <v>11</v>
      </c>
      <c r="C2276" s="212">
        <v>0.57916666666666672</v>
      </c>
      <c r="D2276" s="213">
        <v>0</v>
      </c>
      <c r="E2276" s="213">
        <v>0</v>
      </c>
      <c r="F2276" s="213">
        <v>0</v>
      </c>
      <c r="G2276" s="213">
        <v>0</v>
      </c>
      <c r="H2276" s="213">
        <v>0</v>
      </c>
      <c r="I2276" s="213">
        <v>0</v>
      </c>
      <c r="J2276" s="213">
        <v>0</v>
      </c>
    </row>
    <row r="2277" spans="1:10">
      <c r="A2277" s="211" t="s">
        <v>165</v>
      </c>
      <c r="B2277" s="211" t="s">
        <v>11</v>
      </c>
      <c r="C2277" s="212">
        <v>0.57986111111111116</v>
      </c>
      <c r="D2277" s="213">
        <v>0</v>
      </c>
      <c r="E2277" s="213">
        <v>0</v>
      </c>
      <c r="F2277" s="213">
        <v>0</v>
      </c>
      <c r="G2277" s="213">
        <v>0</v>
      </c>
      <c r="H2277" s="213">
        <v>0</v>
      </c>
      <c r="I2277" s="213">
        <v>0</v>
      </c>
      <c r="J2277" s="213">
        <v>0</v>
      </c>
    </row>
    <row r="2278" spans="1:10">
      <c r="A2278" s="211" t="s">
        <v>165</v>
      </c>
      <c r="B2278" s="211" t="s">
        <v>11</v>
      </c>
      <c r="C2278" s="212">
        <v>0.5805555555555556</v>
      </c>
      <c r="D2278" s="213">
        <v>0</v>
      </c>
      <c r="E2278" s="213">
        <v>0</v>
      </c>
      <c r="F2278" s="213">
        <v>0</v>
      </c>
      <c r="G2278" s="213">
        <v>0</v>
      </c>
      <c r="H2278" s="213">
        <v>0</v>
      </c>
      <c r="I2278" s="213">
        <v>0</v>
      </c>
      <c r="J2278" s="213">
        <v>0</v>
      </c>
    </row>
    <row r="2279" spans="1:10">
      <c r="A2279" s="211" t="s">
        <v>165</v>
      </c>
      <c r="B2279" s="211" t="s">
        <v>11</v>
      </c>
      <c r="C2279" s="212">
        <v>0.58125000000000004</v>
      </c>
      <c r="D2279" s="213">
        <v>0</v>
      </c>
      <c r="E2279" s="213">
        <v>0</v>
      </c>
      <c r="F2279" s="213">
        <v>0</v>
      </c>
      <c r="G2279" s="213">
        <v>0</v>
      </c>
      <c r="H2279" s="213">
        <v>0</v>
      </c>
      <c r="I2279" s="213">
        <v>0</v>
      </c>
      <c r="J2279" s="213">
        <v>0</v>
      </c>
    </row>
    <row r="2280" spans="1:10">
      <c r="A2280" s="211" t="s">
        <v>165</v>
      </c>
      <c r="B2280" s="211" t="s">
        <v>11</v>
      </c>
      <c r="C2280" s="212">
        <v>0.58194444444444449</v>
      </c>
      <c r="D2280" s="213">
        <v>0</v>
      </c>
      <c r="E2280" s="213">
        <v>0</v>
      </c>
      <c r="F2280" s="213">
        <v>0</v>
      </c>
      <c r="G2280" s="213">
        <v>0</v>
      </c>
      <c r="H2280" s="213">
        <v>0</v>
      </c>
      <c r="I2280" s="213">
        <v>0</v>
      </c>
      <c r="J2280" s="213">
        <v>0</v>
      </c>
    </row>
    <row r="2281" spans="1:10" s="28" customFormat="1" ht="17.5" thickBot="1">
      <c r="A2281" s="218" t="s">
        <v>165</v>
      </c>
      <c r="B2281" s="218" t="s">
        <v>11</v>
      </c>
      <c r="C2281" s="219">
        <v>0.58263888888888893</v>
      </c>
      <c r="D2281" s="220">
        <v>0</v>
      </c>
      <c r="E2281" s="220">
        <v>0</v>
      </c>
      <c r="F2281" s="220">
        <v>0</v>
      </c>
      <c r="G2281" s="220">
        <v>0</v>
      </c>
      <c r="H2281" s="220">
        <v>0</v>
      </c>
      <c r="I2281" s="220">
        <v>0</v>
      </c>
      <c r="J2281" s="220">
        <v>0</v>
      </c>
    </row>
    <row r="2282" spans="1:10">
      <c r="A2282" s="211" t="s">
        <v>165</v>
      </c>
      <c r="B2282" s="211" t="s">
        <v>12</v>
      </c>
      <c r="C2282" s="212">
        <v>0.5</v>
      </c>
      <c r="D2282" s="213">
        <v>0</v>
      </c>
      <c r="E2282" s="213">
        <v>0</v>
      </c>
      <c r="F2282" s="213">
        <v>0</v>
      </c>
      <c r="G2282" s="213">
        <v>0</v>
      </c>
      <c r="H2282" s="213">
        <v>0</v>
      </c>
      <c r="I2282" s="213">
        <v>0</v>
      </c>
      <c r="J2282" s="213">
        <v>0</v>
      </c>
    </row>
    <row r="2283" spans="1:10">
      <c r="A2283" s="211" t="s">
        <v>165</v>
      </c>
      <c r="B2283" s="211" t="s">
        <v>12</v>
      </c>
      <c r="C2283" s="212">
        <v>0.50069444444444444</v>
      </c>
      <c r="D2283" s="213">
        <v>0</v>
      </c>
      <c r="E2283" s="213">
        <v>0</v>
      </c>
      <c r="F2283" s="213">
        <v>0</v>
      </c>
      <c r="G2283" s="213">
        <v>0</v>
      </c>
      <c r="H2283" s="213">
        <v>0</v>
      </c>
      <c r="I2283" s="213">
        <v>0</v>
      </c>
      <c r="J2283" s="213">
        <v>0</v>
      </c>
    </row>
    <row r="2284" spans="1:10">
      <c r="A2284" s="211" t="s">
        <v>165</v>
      </c>
      <c r="B2284" s="211" t="s">
        <v>12</v>
      </c>
      <c r="C2284" s="212">
        <v>0.50138888888888899</v>
      </c>
      <c r="D2284" s="213">
        <v>0</v>
      </c>
      <c r="E2284" s="213">
        <v>0</v>
      </c>
      <c r="F2284" s="213">
        <v>0</v>
      </c>
      <c r="G2284" s="213">
        <v>0</v>
      </c>
      <c r="H2284" s="213">
        <v>0</v>
      </c>
      <c r="I2284" s="213">
        <v>0</v>
      </c>
      <c r="J2284" s="213">
        <v>0</v>
      </c>
    </row>
    <row r="2285" spans="1:10">
      <c r="A2285" s="211" t="s">
        <v>165</v>
      </c>
      <c r="B2285" s="211" t="s">
        <v>12</v>
      </c>
      <c r="C2285" s="212">
        <v>0.50208333333333299</v>
      </c>
      <c r="D2285" s="213">
        <v>0</v>
      </c>
      <c r="E2285" s="213">
        <v>0</v>
      </c>
      <c r="F2285" s="213">
        <v>0</v>
      </c>
      <c r="G2285" s="213">
        <v>0</v>
      </c>
      <c r="H2285" s="213">
        <v>0</v>
      </c>
      <c r="I2285" s="213">
        <v>0</v>
      </c>
      <c r="J2285" s="213">
        <v>0</v>
      </c>
    </row>
    <row r="2286" spans="1:10">
      <c r="A2286" s="211" t="s">
        <v>165</v>
      </c>
      <c r="B2286" s="211" t="s">
        <v>12</v>
      </c>
      <c r="C2286" s="212">
        <v>0.50277777777777799</v>
      </c>
      <c r="D2286" s="213">
        <v>0</v>
      </c>
      <c r="E2286" s="213">
        <v>0</v>
      </c>
      <c r="F2286" s="213">
        <v>0</v>
      </c>
      <c r="G2286" s="213">
        <v>0</v>
      </c>
      <c r="H2286" s="213">
        <v>0</v>
      </c>
      <c r="I2286" s="213">
        <v>0</v>
      </c>
      <c r="J2286" s="213">
        <v>0</v>
      </c>
    </row>
    <row r="2287" spans="1:10">
      <c r="A2287" s="211" t="s">
        <v>165</v>
      </c>
      <c r="B2287" s="211" t="s">
        <v>12</v>
      </c>
      <c r="C2287" s="212">
        <v>0.50347222222222199</v>
      </c>
      <c r="D2287" s="213">
        <v>0</v>
      </c>
      <c r="E2287" s="213">
        <v>0</v>
      </c>
      <c r="F2287" s="213">
        <v>0</v>
      </c>
      <c r="G2287" s="213">
        <v>0</v>
      </c>
      <c r="H2287" s="213">
        <v>0</v>
      </c>
      <c r="I2287" s="213">
        <v>0</v>
      </c>
      <c r="J2287" s="213">
        <v>0</v>
      </c>
    </row>
    <row r="2288" spans="1:10">
      <c r="A2288" s="211" t="s">
        <v>165</v>
      </c>
      <c r="B2288" s="211" t="s">
        <v>12</v>
      </c>
      <c r="C2288" s="212">
        <v>0.50416666666666698</v>
      </c>
      <c r="D2288" s="213">
        <v>0</v>
      </c>
      <c r="E2288" s="213">
        <v>0</v>
      </c>
      <c r="F2288" s="213">
        <v>0</v>
      </c>
      <c r="G2288" s="213">
        <v>0</v>
      </c>
      <c r="H2288" s="213">
        <v>0</v>
      </c>
      <c r="I2288" s="213">
        <v>0</v>
      </c>
      <c r="J2288" s="213">
        <v>0</v>
      </c>
    </row>
    <row r="2289" spans="1:10">
      <c r="A2289" s="211" t="s">
        <v>165</v>
      </c>
      <c r="B2289" s="211" t="s">
        <v>12</v>
      </c>
      <c r="C2289" s="212">
        <v>0.50486111111111098</v>
      </c>
      <c r="D2289" s="213">
        <v>0</v>
      </c>
      <c r="E2289" s="213">
        <v>0</v>
      </c>
      <c r="F2289" s="213">
        <v>0</v>
      </c>
      <c r="G2289" s="213">
        <v>0</v>
      </c>
      <c r="H2289" s="213">
        <v>0</v>
      </c>
      <c r="I2289" s="213">
        <v>0</v>
      </c>
      <c r="J2289" s="213">
        <v>0</v>
      </c>
    </row>
    <row r="2290" spans="1:10">
      <c r="A2290" s="211" t="s">
        <v>165</v>
      </c>
      <c r="B2290" s="211" t="s">
        <v>12</v>
      </c>
      <c r="C2290" s="212">
        <v>0.50555555555555598</v>
      </c>
      <c r="D2290" s="213">
        <v>0</v>
      </c>
      <c r="E2290" s="213">
        <v>0</v>
      </c>
      <c r="F2290" s="213">
        <v>0</v>
      </c>
      <c r="G2290" s="213">
        <v>0</v>
      </c>
      <c r="H2290" s="213">
        <v>0</v>
      </c>
      <c r="I2290" s="213">
        <v>0</v>
      </c>
      <c r="J2290" s="213">
        <v>0</v>
      </c>
    </row>
    <row r="2291" spans="1:10">
      <c r="A2291" s="211" t="s">
        <v>165</v>
      </c>
      <c r="B2291" s="211" t="s">
        <v>12</v>
      </c>
      <c r="C2291" s="212">
        <v>0.50624999999999998</v>
      </c>
      <c r="D2291" s="213">
        <v>0</v>
      </c>
      <c r="E2291" s="213">
        <v>0</v>
      </c>
      <c r="F2291" s="213">
        <v>0</v>
      </c>
      <c r="G2291" s="213">
        <v>0</v>
      </c>
      <c r="H2291" s="213">
        <v>0</v>
      </c>
      <c r="I2291" s="213">
        <v>0</v>
      </c>
      <c r="J2291" s="213">
        <v>0</v>
      </c>
    </row>
    <row r="2292" spans="1:10">
      <c r="A2292" s="211" t="s">
        <v>165</v>
      </c>
      <c r="B2292" s="211" t="s">
        <v>12</v>
      </c>
      <c r="C2292" s="212">
        <v>0.50694444444444398</v>
      </c>
      <c r="D2292" s="213">
        <v>0</v>
      </c>
      <c r="E2292" s="213">
        <v>0</v>
      </c>
      <c r="F2292" s="213">
        <v>0</v>
      </c>
      <c r="G2292" s="213">
        <v>0</v>
      </c>
      <c r="H2292" s="213">
        <v>0</v>
      </c>
      <c r="I2292" s="213">
        <v>0</v>
      </c>
      <c r="J2292" s="213">
        <v>0</v>
      </c>
    </row>
    <row r="2293" spans="1:10">
      <c r="A2293" s="211" t="s">
        <v>165</v>
      </c>
      <c r="B2293" s="211" t="s">
        <v>12</v>
      </c>
      <c r="C2293" s="212">
        <v>0.50763888888888897</v>
      </c>
      <c r="D2293" s="213">
        <v>0</v>
      </c>
      <c r="E2293" s="213">
        <v>0</v>
      </c>
      <c r="F2293" s="213">
        <v>0</v>
      </c>
      <c r="G2293" s="213">
        <v>0</v>
      </c>
      <c r="H2293" s="213">
        <v>0</v>
      </c>
      <c r="I2293" s="213">
        <v>0</v>
      </c>
      <c r="J2293" s="213">
        <v>0</v>
      </c>
    </row>
    <row r="2294" spans="1:10">
      <c r="A2294" s="211" t="s">
        <v>165</v>
      </c>
      <c r="B2294" s="211" t="s">
        <v>12</v>
      </c>
      <c r="C2294" s="212">
        <v>0.50833333333333297</v>
      </c>
      <c r="D2294" s="213">
        <v>0</v>
      </c>
      <c r="E2294" s="213">
        <v>0</v>
      </c>
      <c r="F2294" s="213">
        <v>0</v>
      </c>
      <c r="G2294" s="213">
        <v>0</v>
      </c>
      <c r="H2294" s="213">
        <v>0</v>
      </c>
      <c r="I2294" s="213">
        <v>0</v>
      </c>
      <c r="J2294" s="213">
        <v>0</v>
      </c>
    </row>
    <row r="2295" spans="1:10">
      <c r="A2295" s="211" t="s">
        <v>165</v>
      </c>
      <c r="B2295" s="211" t="s">
        <v>12</v>
      </c>
      <c r="C2295" s="212">
        <v>0.50902777777777797</v>
      </c>
      <c r="D2295" s="213">
        <v>0</v>
      </c>
      <c r="E2295" s="213">
        <v>0</v>
      </c>
      <c r="F2295" s="213">
        <v>0</v>
      </c>
      <c r="G2295" s="213">
        <v>0</v>
      </c>
      <c r="H2295" s="213">
        <v>0</v>
      </c>
      <c r="I2295" s="213">
        <v>0</v>
      </c>
      <c r="J2295" s="213">
        <v>0</v>
      </c>
    </row>
    <row r="2296" spans="1:10">
      <c r="A2296" s="214" t="s">
        <v>165</v>
      </c>
      <c r="B2296" s="214" t="s">
        <v>12</v>
      </c>
      <c r="C2296" s="215">
        <v>0.50972222222222197</v>
      </c>
      <c r="D2296" s="213">
        <v>0</v>
      </c>
      <c r="E2296" s="213">
        <v>0</v>
      </c>
      <c r="F2296" s="213">
        <v>0</v>
      </c>
      <c r="G2296" s="213">
        <v>0</v>
      </c>
      <c r="H2296" s="213">
        <v>0</v>
      </c>
      <c r="I2296" s="213">
        <v>0</v>
      </c>
      <c r="J2296" s="213">
        <v>0</v>
      </c>
    </row>
    <row r="2297" spans="1:10">
      <c r="A2297" s="211" t="s">
        <v>165</v>
      </c>
      <c r="B2297" s="211" t="s">
        <v>12</v>
      </c>
      <c r="C2297" s="212">
        <v>0.51041666666666663</v>
      </c>
      <c r="D2297" s="217">
        <v>0</v>
      </c>
      <c r="E2297" s="217">
        <v>0</v>
      </c>
      <c r="F2297" s="217">
        <v>0</v>
      </c>
      <c r="G2297" s="217">
        <v>0</v>
      </c>
      <c r="H2297" s="217">
        <v>0</v>
      </c>
      <c r="I2297" s="217">
        <v>0</v>
      </c>
      <c r="J2297" s="217">
        <v>0</v>
      </c>
    </row>
    <row r="2298" spans="1:10">
      <c r="A2298" s="211" t="s">
        <v>165</v>
      </c>
      <c r="B2298" s="211" t="s">
        <v>12</v>
      </c>
      <c r="C2298" s="212">
        <v>0.51111111111111107</v>
      </c>
      <c r="D2298" s="213">
        <v>0</v>
      </c>
      <c r="E2298" s="213">
        <v>0</v>
      </c>
      <c r="F2298" s="213">
        <v>0</v>
      </c>
      <c r="G2298" s="213">
        <v>0</v>
      </c>
      <c r="H2298" s="213">
        <v>0</v>
      </c>
      <c r="I2298" s="213">
        <v>0</v>
      </c>
      <c r="J2298" s="213">
        <v>0</v>
      </c>
    </row>
    <row r="2299" spans="1:10">
      <c r="A2299" s="211" t="s">
        <v>165</v>
      </c>
      <c r="B2299" s="211" t="s">
        <v>12</v>
      </c>
      <c r="C2299" s="212">
        <v>0.51180555555555551</v>
      </c>
      <c r="D2299" s="213">
        <v>0</v>
      </c>
      <c r="E2299" s="213">
        <v>0</v>
      </c>
      <c r="F2299" s="213">
        <v>0</v>
      </c>
      <c r="G2299" s="213">
        <v>0</v>
      </c>
      <c r="H2299" s="213">
        <v>0</v>
      </c>
      <c r="I2299" s="213">
        <v>0</v>
      </c>
      <c r="J2299" s="213">
        <v>0</v>
      </c>
    </row>
    <row r="2300" spans="1:10">
      <c r="A2300" s="211" t="s">
        <v>165</v>
      </c>
      <c r="B2300" s="211" t="s">
        <v>12</v>
      </c>
      <c r="C2300" s="212">
        <v>0.51249999999999996</v>
      </c>
      <c r="D2300" s="213">
        <v>0</v>
      </c>
      <c r="E2300" s="213">
        <v>0</v>
      </c>
      <c r="F2300" s="213">
        <v>0</v>
      </c>
      <c r="G2300" s="213">
        <v>0</v>
      </c>
      <c r="H2300" s="213">
        <v>0</v>
      </c>
      <c r="I2300" s="213">
        <v>0</v>
      </c>
      <c r="J2300" s="213">
        <v>0</v>
      </c>
    </row>
    <row r="2301" spans="1:10">
      <c r="A2301" s="211" t="s">
        <v>165</v>
      </c>
      <c r="B2301" s="211" t="s">
        <v>12</v>
      </c>
      <c r="C2301" s="212">
        <v>0.5131944444444444</v>
      </c>
      <c r="D2301" s="213">
        <v>0</v>
      </c>
      <c r="E2301" s="213">
        <v>0</v>
      </c>
      <c r="F2301" s="213">
        <v>0</v>
      </c>
      <c r="G2301" s="213">
        <v>0</v>
      </c>
      <c r="H2301" s="213">
        <v>0</v>
      </c>
      <c r="I2301" s="213">
        <v>0</v>
      </c>
      <c r="J2301" s="213">
        <v>0</v>
      </c>
    </row>
    <row r="2302" spans="1:10">
      <c r="A2302" s="211" t="s">
        <v>165</v>
      </c>
      <c r="B2302" s="211" t="s">
        <v>12</v>
      </c>
      <c r="C2302" s="212">
        <v>0.51388888888888884</v>
      </c>
      <c r="D2302" s="213">
        <v>0</v>
      </c>
      <c r="E2302" s="213">
        <v>0</v>
      </c>
      <c r="F2302" s="213">
        <v>0</v>
      </c>
      <c r="G2302" s="213">
        <v>0</v>
      </c>
      <c r="H2302" s="213">
        <v>0</v>
      </c>
      <c r="I2302" s="213">
        <v>0</v>
      </c>
      <c r="J2302" s="213">
        <v>0</v>
      </c>
    </row>
    <row r="2303" spans="1:10">
      <c r="A2303" s="211" t="s">
        <v>165</v>
      </c>
      <c r="B2303" s="211" t="s">
        <v>12</v>
      </c>
      <c r="C2303" s="212">
        <v>0.51458333333333328</v>
      </c>
      <c r="D2303" s="213">
        <v>0</v>
      </c>
      <c r="E2303" s="213">
        <v>0</v>
      </c>
      <c r="F2303" s="213">
        <v>0</v>
      </c>
      <c r="G2303" s="213">
        <v>0</v>
      </c>
      <c r="H2303" s="213">
        <v>0</v>
      </c>
      <c r="I2303" s="213">
        <v>0</v>
      </c>
      <c r="J2303" s="213">
        <v>0</v>
      </c>
    </row>
    <row r="2304" spans="1:10">
      <c r="A2304" s="211" t="s">
        <v>165</v>
      </c>
      <c r="B2304" s="211" t="s">
        <v>12</v>
      </c>
      <c r="C2304" s="212">
        <v>0.51527777777777772</v>
      </c>
      <c r="D2304" s="213">
        <v>0</v>
      </c>
      <c r="E2304" s="213">
        <v>0</v>
      </c>
      <c r="F2304" s="213">
        <v>0</v>
      </c>
      <c r="G2304" s="213">
        <v>0</v>
      </c>
      <c r="H2304" s="213">
        <v>0</v>
      </c>
      <c r="I2304" s="213">
        <v>0</v>
      </c>
      <c r="J2304" s="213">
        <v>0</v>
      </c>
    </row>
    <row r="2305" spans="1:10">
      <c r="A2305" s="211" t="s">
        <v>165</v>
      </c>
      <c r="B2305" s="211" t="s">
        <v>12</v>
      </c>
      <c r="C2305" s="212">
        <v>0.51597222222222228</v>
      </c>
      <c r="D2305" s="213">
        <v>0</v>
      </c>
      <c r="E2305" s="213">
        <v>0</v>
      </c>
      <c r="F2305" s="213">
        <v>0</v>
      </c>
      <c r="G2305" s="213">
        <v>0</v>
      </c>
      <c r="H2305" s="213">
        <v>0</v>
      </c>
      <c r="I2305" s="213">
        <v>0</v>
      </c>
      <c r="J2305" s="213">
        <v>0</v>
      </c>
    </row>
    <row r="2306" spans="1:10">
      <c r="A2306" s="211" t="s">
        <v>165</v>
      </c>
      <c r="B2306" s="211" t="s">
        <v>12</v>
      </c>
      <c r="C2306" s="212">
        <v>0.51666666666666672</v>
      </c>
      <c r="D2306" s="213">
        <v>0</v>
      </c>
      <c r="E2306" s="213">
        <v>0</v>
      </c>
      <c r="F2306" s="213">
        <v>0</v>
      </c>
      <c r="G2306" s="213">
        <v>0</v>
      </c>
      <c r="H2306" s="213">
        <v>0</v>
      </c>
      <c r="I2306" s="213">
        <v>0</v>
      </c>
      <c r="J2306" s="213">
        <v>0</v>
      </c>
    </row>
    <row r="2307" spans="1:10">
      <c r="A2307" s="211" t="s">
        <v>165</v>
      </c>
      <c r="B2307" s="211" t="s">
        <v>12</v>
      </c>
      <c r="C2307" s="212">
        <v>0.51736111111111116</v>
      </c>
      <c r="D2307" s="213">
        <v>0</v>
      </c>
      <c r="E2307" s="213">
        <v>0</v>
      </c>
      <c r="F2307" s="213">
        <v>0</v>
      </c>
      <c r="G2307" s="213">
        <v>0</v>
      </c>
      <c r="H2307" s="213">
        <v>0</v>
      </c>
      <c r="I2307" s="213">
        <v>0</v>
      </c>
      <c r="J2307" s="213">
        <v>0</v>
      </c>
    </row>
    <row r="2308" spans="1:10">
      <c r="A2308" s="211" t="s">
        <v>165</v>
      </c>
      <c r="B2308" s="211" t="s">
        <v>12</v>
      </c>
      <c r="C2308" s="212">
        <v>0.5180555555555556</v>
      </c>
      <c r="D2308" s="213">
        <v>0</v>
      </c>
      <c r="E2308" s="213">
        <v>0</v>
      </c>
      <c r="F2308" s="213">
        <v>0</v>
      </c>
      <c r="G2308" s="213">
        <v>0</v>
      </c>
      <c r="H2308" s="213">
        <v>0</v>
      </c>
      <c r="I2308" s="213">
        <v>0</v>
      </c>
      <c r="J2308" s="213">
        <v>0</v>
      </c>
    </row>
    <row r="2309" spans="1:10">
      <c r="A2309" s="211" t="s">
        <v>165</v>
      </c>
      <c r="B2309" s="211" t="s">
        <v>12</v>
      </c>
      <c r="C2309" s="212">
        <v>0.51875000000000004</v>
      </c>
      <c r="D2309" s="213">
        <v>0</v>
      </c>
      <c r="E2309" s="213">
        <v>0</v>
      </c>
      <c r="F2309" s="213">
        <v>0</v>
      </c>
      <c r="G2309" s="213">
        <v>0</v>
      </c>
      <c r="H2309" s="213">
        <v>0</v>
      </c>
      <c r="I2309" s="213">
        <v>0</v>
      </c>
      <c r="J2309" s="213">
        <v>0</v>
      </c>
    </row>
    <row r="2310" spans="1:10">
      <c r="A2310" s="211" t="s">
        <v>165</v>
      </c>
      <c r="B2310" s="211" t="s">
        <v>12</v>
      </c>
      <c r="C2310" s="212">
        <v>0.51944444444444449</v>
      </c>
      <c r="D2310" s="213">
        <v>0</v>
      </c>
      <c r="E2310" s="213">
        <v>0</v>
      </c>
      <c r="F2310" s="213">
        <v>0</v>
      </c>
      <c r="G2310" s="213">
        <v>0</v>
      </c>
      <c r="H2310" s="213">
        <v>0</v>
      </c>
      <c r="I2310" s="213">
        <v>0</v>
      </c>
      <c r="J2310" s="213">
        <v>0</v>
      </c>
    </row>
    <row r="2311" spans="1:10" s="80" customFormat="1">
      <c r="A2311" s="214" t="s">
        <v>165</v>
      </c>
      <c r="B2311" s="214" t="s">
        <v>12</v>
      </c>
      <c r="C2311" s="215">
        <v>0.52013888888888893</v>
      </c>
      <c r="D2311" s="216">
        <v>0</v>
      </c>
      <c r="E2311" s="216">
        <v>0</v>
      </c>
      <c r="F2311" s="216">
        <v>0</v>
      </c>
      <c r="G2311" s="216">
        <v>0</v>
      </c>
      <c r="H2311" s="216">
        <v>0</v>
      </c>
      <c r="I2311" s="216">
        <v>0</v>
      </c>
      <c r="J2311" s="216">
        <v>0</v>
      </c>
    </row>
    <row r="2312" spans="1:10">
      <c r="A2312" s="211" t="s">
        <v>165</v>
      </c>
      <c r="B2312" s="211" t="s">
        <v>12</v>
      </c>
      <c r="C2312" s="212">
        <v>0.52083333333333337</v>
      </c>
      <c r="D2312" s="213">
        <v>0</v>
      </c>
      <c r="E2312" s="213">
        <v>0</v>
      </c>
      <c r="F2312" s="213">
        <v>0</v>
      </c>
      <c r="G2312" s="213">
        <v>0</v>
      </c>
      <c r="H2312" s="213">
        <v>0</v>
      </c>
      <c r="I2312" s="213">
        <v>0</v>
      </c>
      <c r="J2312" s="213">
        <v>0</v>
      </c>
    </row>
    <row r="2313" spans="1:10">
      <c r="A2313" s="211" t="s">
        <v>165</v>
      </c>
      <c r="B2313" s="211" t="s">
        <v>12</v>
      </c>
      <c r="C2313" s="212">
        <v>0.52152777777777781</v>
      </c>
      <c r="D2313" s="213">
        <v>0</v>
      </c>
      <c r="E2313" s="213">
        <v>0</v>
      </c>
      <c r="F2313" s="213">
        <v>0</v>
      </c>
      <c r="G2313" s="213">
        <v>0</v>
      </c>
      <c r="H2313" s="213">
        <v>0</v>
      </c>
      <c r="I2313" s="213">
        <v>0</v>
      </c>
      <c r="J2313" s="213">
        <v>0</v>
      </c>
    </row>
    <row r="2314" spans="1:10">
      <c r="A2314" s="211" t="s">
        <v>165</v>
      </c>
      <c r="B2314" s="211" t="s">
        <v>12</v>
      </c>
      <c r="C2314" s="212">
        <v>0.52222222222222225</v>
      </c>
      <c r="D2314" s="213">
        <v>0</v>
      </c>
      <c r="E2314" s="213">
        <v>0</v>
      </c>
      <c r="F2314" s="213">
        <v>0</v>
      </c>
      <c r="G2314" s="213">
        <v>0</v>
      </c>
      <c r="H2314" s="213">
        <v>0</v>
      </c>
      <c r="I2314" s="213">
        <v>0</v>
      </c>
      <c r="J2314" s="213">
        <v>0</v>
      </c>
    </row>
    <row r="2315" spans="1:10">
      <c r="A2315" s="211" t="s">
        <v>165</v>
      </c>
      <c r="B2315" s="211" t="s">
        <v>12</v>
      </c>
      <c r="C2315" s="212">
        <v>0.5229166666666667</v>
      </c>
      <c r="D2315" s="213">
        <v>0</v>
      </c>
      <c r="E2315" s="213">
        <v>0</v>
      </c>
      <c r="F2315" s="213">
        <v>0</v>
      </c>
      <c r="G2315" s="213">
        <v>0</v>
      </c>
      <c r="H2315" s="213">
        <v>0</v>
      </c>
      <c r="I2315" s="213">
        <v>0</v>
      </c>
      <c r="J2315" s="213">
        <v>0</v>
      </c>
    </row>
    <row r="2316" spans="1:10">
      <c r="A2316" s="211" t="s">
        <v>165</v>
      </c>
      <c r="B2316" s="211" t="s">
        <v>12</v>
      </c>
      <c r="C2316" s="212">
        <v>0.52361111111111114</v>
      </c>
      <c r="D2316" s="213">
        <v>0</v>
      </c>
      <c r="E2316" s="213">
        <v>0</v>
      </c>
      <c r="F2316" s="213">
        <v>0</v>
      </c>
      <c r="G2316" s="213">
        <v>0</v>
      </c>
      <c r="H2316" s="213">
        <v>0</v>
      </c>
      <c r="I2316" s="213">
        <v>0</v>
      </c>
      <c r="J2316" s="213">
        <v>0</v>
      </c>
    </row>
    <row r="2317" spans="1:10">
      <c r="A2317" s="211" t="s">
        <v>165</v>
      </c>
      <c r="B2317" s="211" t="s">
        <v>12</v>
      </c>
      <c r="C2317" s="212">
        <v>0.52430555555555558</v>
      </c>
      <c r="D2317" s="213">
        <v>0</v>
      </c>
      <c r="E2317" s="213">
        <v>0</v>
      </c>
      <c r="F2317" s="213">
        <v>0</v>
      </c>
      <c r="G2317" s="213">
        <v>0</v>
      </c>
      <c r="H2317" s="213">
        <v>0</v>
      </c>
      <c r="I2317" s="213">
        <v>0</v>
      </c>
      <c r="J2317" s="213">
        <v>0</v>
      </c>
    </row>
    <row r="2318" spans="1:10">
      <c r="A2318" s="211" t="s">
        <v>165</v>
      </c>
      <c r="B2318" s="211" t="s">
        <v>12</v>
      </c>
      <c r="C2318" s="212">
        <v>0.52500000000000002</v>
      </c>
      <c r="D2318" s="213">
        <v>0</v>
      </c>
      <c r="E2318" s="213">
        <v>0</v>
      </c>
      <c r="F2318" s="213">
        <v>0</v>
      </c>
      <c r="G2318" s="213">
        <v>0</v>
      </c>
      <c r="H2318" s="213">
        <v>0</v>
      </c>
      <c r="I2318" s="213">
        <v>0</v>
      </c>
      <c r="J2318" s="213">
        <v>0</v>
      </c>
    </row>
    <row r="2319" spans="1:10">
      <c r="A2319" s="211" t="s">
        <v>165</v>
      </c>
      <c r="B2319" s="211" t="s">
        <v>12</v>
      </c>
      <c r="C2319" s="212">
        <v>0.52569444444444446</v>
      </c>
      <c r="D2319" s="213">
        <v>0</v>
      </c>
      <c r="E2319" s="213">
        <v>0</v>
      </c>
      <c r="F2319" s="213">
        <v>0</v>
      </c>
      <c r="G2319" s="213">
        <v>0</v>
      </c>
      <c r="H2319" s="213">
        <v>0</v>
      </c>
      <c r="I2319" s="213">
        <v>0</v>
      </c>
      <c r="J2319" s="213">
        <v>0</v>
      </c>
    </row>
    <row r="2320" spans="1:10">
      <c r="A2320" s="211" t="s">
        <v>165</v>
      </c>
      <c r="B2320" s="211" t="s">
        <v>12</v>
      </c>
      <c r="C2320" s="212">
        <v>0.52638888888888891</v>
      </c>
      <c r="D2320" s="213">
        <v>0</v>
      </c>
      <c r="E2320" s="213">
        <v>0</v>
      </c>
      <c r="F2320" s="213">
        <v>0</v>
      </c>
      <c r="G2320" s="213">
        <v>0</v>
      </c>
      <c r="H2320" s="213">
        <v>0</v>
      </c>
      <c r="I2320" s="213">
        <v>0</v>
      </c>
      <c r="J2320" s="213">
        <v>0</v>
      </c>
    </row>
    <row r="2321" spans="1:10">
      <c r="A2321" s="211" t="s">
        <v>165</v>
      </c>
      <c r="B2321" s="211" t="s">
        <v>12</v>
      </c>
      <c r="C2321" s="212">
        <v>0.52708333333333335</v>
      </c>
      <c r="D2321" s="213">
        <v>0</v>
      </c>
      <c r="E2321" s="213">
        <v>0</v>
      </c>
      <c r="F2321" s="213">
        <v>0</v>
      </c>
      <c r="G2321" s="213">
        <v>0</v>
      </c>
      <c r="H2321" s="213">
        <v>0</v>
      </c>
      <c r="I2321" s="213">
        <v>0</v>
      </c>
      <c r="J2321" s="213">
        <v>0</v>
      </c>
    </row>
    <row r="2322" spans="1:10">
      <c r="A2322" s="211" t="s">
        <v>165</v>
      </c>
      <c r="B2322" s="211" t="s">
        <v>12</v>
      </c>
      <c r="C2322" s="212">
        <v>0.52777777777777779</v>
      </c>
      <c r="D2322" s="213">
        <v>0</v>
      </c>
      <c r="E2322" s="213">
        <v>0</v>
      </c>
      <c r="F2322" s="213">
        <v>0</v>
      </c>
      <c r="G2322" s="213">
        <v>0</v>
      </c>
      <c r="H2322" s="213">
        <v>0</v>
      </c>
      <c r="I2322" s="213">
        <v>0</v>
      </c>
      <c r="J2322" s="213">
        <v>0</v>
      </c>
    </row>
    <row r="2323" spans="1:10">
      <c r="A2323" s="211" t="s">
        <v>165</v>
      </c>
      <c r="B2323" s="211" t="s">
        <v>12</v>
      </c>
      <c r="C2323" s="212">
        <v>0.52847222222222223</v>
      </c>
      <c r="D2323" s="213">
        <v>0</v>
      </c>
      <c r="E2323" s="213">
        <v>0</v>
      </c>
      <c r="F2323" s="213">
        <v>0</v>
      </c>
      <c r="G2323" s="213">
        <v>0</v>
      </c>
      <c r="H2323" s="213">
        <v>0</v>
      </c>
      <c r="I2323" s="213">
        <v>0</v>
      </c>
      <c r="J2323" s="213">
        <v>0</v>
      </c>
    </row>
    <row r="2324" spans="1:10">
      <c r="A2324" s="211" t="s">
        <v>165</v>
      </c>
      <c r="B2324" s="211" t="s">
        <v>12</v>
      </c>
      <c r="C2324" s="212">
        <v>0.52916666666666667</v>
      </c>
      <c r="D2324" s="213">
        <v>0</v>
      </c>
      <c r="E2324" s="213">
        <v>0</v>
      </c>
      <c r="F2324" s="213">
        <v>0</v>
      </c>
      <c r="G2324" s="213">
        <v>0</v>
      </c>
      <c r="H2324" s="213">
        <v>0</v>
      </c>
      <c r="I2324" s="213">
        <v>0</v>
      </c>
      <c r="J2324" s="213">
        <v>0</v>
      </c>
    </row>
    <row r="2325" spans="1:10">
      <c r="A2325" s="211" t="s">
        <v>165</v>
      </c>
      <c r="B2325" s="211" t="s">
        <v>12</v>
      </c>
      <c r="C2325" s="212">
        <v>0.52986111111111112</v>
      </c>
      <c r="D2325" s="213">
        <v>0</v>
      </c>
      <c r="E2325" s="213">
        <v>0</v>
      </c>
      <c r="F2325" s="213">
        <v>0</v>
      </c>
      <c r="G2325" s="213">
        <v>0</v>
      </c>
      <c r="H2325" s="213">
        <v>0</v>
      </c>
      <c r="I2325" s="213">
        <v>0</v>
      </c>
      <c r="J2325" s="213">
        <v>0</v>
      </c>
    </row>
    <row r="2326" spans="1:10" s="80" customFormat="1">
      <c r="A2326" s="214" t="s">
        <v>165</v>
      </c>
      <c r="B2326" s="214" t="s">
        <v>12</v>
      </c>
      <c r="C2326" s="215">
        <v>0.53055555555555556</v>
      </c>
      <c r="D2326" s="213">
        <v>0</v>
      </c>
      <c r="E2326" s="213">
        <v>0</v>
      </c>
      <c r="F2326" s="213">
        <v>0</v>
      </c>
      <c r="G2326" s="213">
        <v>0</v>
      </c>
      <c r="H2326" s="213">
        <v>0</v>
      </c>
      <c r="I2326" s="213">
        <v>0</v>
      </c>
      <c r="J2326" s="213">
        <v>0</v>
      </c>
    </row>
    <row r="2327" spans="1:10">
      <c r="A2327" s="211" t="s">
        <v>165</v>
      </c>
      <c r="B2327" s="211" t="s">
        <v>12</v>
      </c>
      <c r="C2327" s="212">
        <v>0.53125</v>
      </c>
      <c r="D2327" s="217">
        <v>0</v>
      </c>
      <c r="E2327" s="217">
        <v>0</v>
      </c>
      <c r="F2327" s="217">
        <v>0</v>
      </c>
      <c r="G2327" s="217">
        <v>0</v>
      </c>
      <c r="H2327" s="217">
        <v>0</v>
      </c>
      <c r="I2327" s="217">
        <v>0</v>
      </c>
      <c r="J2327" s="217">
        <v>0</v>
      </c>
    </row>
    <row r="2328" spans="1:10">
      <c r="A2328" s="211" t="s">
        <v>165</v>
      </c>
      <c r="B2328" s="211" t="s">
        <v>12</v>
      </c>
      <c r="C2328" s="212">
        <v>0.53194444444444444</v>
      </c>
      <c r="D2328" s="213">
        <v>0</v>
      </c>
      <c r="E2328" s="213">
        <v>0</v>
      </c>
      <c r="F2328" s="213">
        <v>0</v>
      </c>
      <c r="G2328" s="213">
        <v>0</v>
      </c>
      <c r="H2328" s="213">
        <v>0</v>
      </c>
      <c r="I2328" s="213">
        <v>0</v>
      </c>
      <c r="J2328" s="213">
        <v>0</v>
      </c>
    </row>
    <row r="2329" spans="1:10">
      <c r="A2329" s="211" t="s">
        <v>165</v>
      </c>
      <c r="B2329" s="211" t="s">
        <v>12</v>
      </c>
      <c r="C2329" s="212">
        <v>0.53263888888888888</v>
      </c>
      <c r="D2329" s="213">
        <v>0</v>
      </c>
      <c r="E2329" s="213">
        <v>0</v>
      </c>
      <c r="F2329" s="213">
        <v>0</v>
      </c>
      <c r="G2329" s="213">
        <v>0</v>
      </c>
      <c r="H2329" s="213">
        <v>0</v>
      </c>
      <c r="I2329" s="213">
        <v>0</v>
      </c>
      <c r="J2329" s="213">
        <v>0</v>
      </c>
    </row>
    <row r="2330" spans="1:10">
      <c r="A2330" s="211" t="s">
        <v>165</v>
      </c>
      <c r="B2330" s="211" t="s">
        <v>12</v>
      </c>
      <c r="C2330" s="212">
        <v>0.53333333333333333</v>
      </c>
      <c r="D2330" s="213">
        <v>0</v>
      </c>
      <c r="E2330" s="213">
        <v>0</v>
      </c>
      <c r="F2330" s="213">
        <v>0</v>
      </c>
      <c r="G2330" s="213">
        <v>0</v>
      </c>
      <c r="H2330" s="213">
        <v>0</v>
      </c>
      <c r="I2330" s="213">
        <v>0</v>
      </c>
      <c r="J2330" s="213">
        <v>0</v>
      </c>
    </row>
    <row r="2331" spans="1:10">
      <c r="A2331" s="211" t="s">
        <v>165</v>
      </c>
      <c r="B2331" s="211" t="s">
        <v>12</v>
      </c>
      <c r="C2331" s="212">
        <v>0.53402777777777777</v>
      </c>
      <c r="D2331" s="213">
        <v>0</v>
      </c>
      <c r="E2331" s="213">
        <v>0</v>
      </c>
      <c r="F2331" s="213">
        <v>0</v>
      </c>
      <c r="G2331" s="213">
        <v>0</v>
      </c>
      <c r="H2331" s="213">
        <v>0</v>
      </c>
      <c r="I2331" s="213">
        <v>0</v>
      </c>
      <c r="J2331" s="213">
        <v>0</v>
      </c>
    </row>
    <row r="2332" spans="1:10">
      <c r="A2332" s="211" t="s">
        <v>165</v>
      </c>
      <c r="B2332" s="211" t="s">
        <v>12</v>
      </c>
      <c r="C2332" s="212">
        <v>0.53472222222222221</v>
      </c>
      <c r="D2332" s="213">
        <v>0</v>
      </c>
      <c r="E2332" s="213">
        <v>0</v>
      </c>
      <c r="F2332" s="213">
        <v>0</v>
      </c>
      <c r="G2332" s="213">
        <v>0</v>
      </c>
      <c r="H2332" s="213">
        <v>0</v>
      </c>
      <c r="I2332" s="213">
        <v>0</v>
      </c>
      <c r="J2332" s="213">
        <v>0</v>
      </c>
    </row>
    <row r="2333" spans="1:10">
      <c r="A2333" s="211" t="s">
        <v>165</v>
      </c>
      <c r="B2333" s="211" t="s">
        <v>12</v>
      </c>
      <c r="C2333" s="212">
        <v>0.53541666666666665</v>
      </c>
      <c r="D2333" s="213">
        <v>0</v>
      </c>
      <c r="E2333" s="213">
        <v>0</v>
      </c>
      <c r="F2333" s="213">
        <v>0</v>
      </c>
      <c r="G2333" s="213">
        <v>0</v>
      </c>
      <c r="H2333" s="213">
        <v>0</v>
      </c>
      <c r="I2333" s="213">
        <v>0</v>
      </c>
      <c r="J2333" s="213">
        <v>0</v>
      </c>
    </row>
    <row r="2334" spans="1:10">
      <c r="A2334" s="211" t="s">
        <v>165</v>
      </c>
      <c r="B2334" s="211" t="s">
        <v>12</v>
      </c>
      <c r="C2334" s="212">
        <v>0.53611111111111109</v>
      </c>
      <c r="D2334" s="213">
        <v>0</v>
      </c>
      <c r="E2334" s="213">
        <v>0</v>
      </c>
      <c r="F2334" s="213">
        <v>0</v>
      </c>
      <c r="G2334" s="213">
        <v>0</v>
      </c>
      <c r="H2334" s="213">
        <v>0</v>
      </c>
      <c r="I2334" s="213">
        <v>0</v>
      </c>
      <c r="J2334" s="213">
        <v>0</v>
      </c>
    </row>
    <row r="2335" spans="1:10">
      <c r="A2335" s="211" t="s">
        <v>165</v>
      </c>
      <c r="B2335" s="211" t="s">
        <v>12</v>
      </c>
      <c r="C2335" s="212">
        <v>0.53680555555555554</v>
      </c>
      <c r="D2335" s="213">
        <v>0</v>
      </c>
      <c r="E2335" s="213">
        <v>0</v>
      </c>
      <c r="F2335" s="213">
        <v>0</v>
      </c>
      <c r="G2335" s="213">
        <v>0</v>
      </c>
      <c r="H2335" s="213">
        <v>0</v>
      </c>
      <c r="I2335" s="213">
        <v>0</v>
      </c>
      <c r="J2335" s="213">
        <v>0</v>
      </c>
    </row>
    <row r="2336" spans="1:10">
      <c r="A2336" s="211" t="s">
        <v>165</v>
      </c>
      <c r="B2336" s="211" t="s">
        <v>12</v>
      </c>
      <c r="C2336" s="212">
        <v>0.53749999999999998</v>
      </c>
      <c r="D2336" s="213">
        <v>0</v>
      </c>
      <c r="E2336" s="213">
        <v>0</v>
      </c>
      <c r="F2336" s="213">
        <v>0</v>
      </c>
      <c r="G2336" s="213">
        <v>0</v>
      </c>
      <c r="H2336" s="213">
        <v>0</v>
      </c>
      <c r="I2336" s="213">
        <v>0</v>
      </c>
      <c r="J2336" s="213">
        <v>0</v>
      </c>
    </row>
    <row r="2337" spans="1:10">
      <c r="A2337" s="211" t="s">
        <v>165</v>
      </c>
      <c r="B2337" s="211" t="s">
        <v>12</v>
      </c>
      <c r="C2337" s="212">
        <v>0.53819444444444442</v>
      </c>
      <c r="D2337" s="213">
        <v>0</v>
      </c>
      <c r="E2337" s="213">
        <v>0</v>
      </c>
      <c r="F2337" s="213">
        <v>0</v>
      </c>
      <c r="G2337" s="213">
        <v>0</v>
      </c>
      <c r="H2337" s="213">
        <v>0</v>
      </c>
      <c r="I2337" s="213">
        <v>0</v>
      </c>
      <c r="J2337" s="213">
        <v>0</v>
      </c>
    </row>
    <row r="2338" spans="1:10">
      <c r="A2338" s="211" t="s">
        <v>165</v>
      </c>
      <c r="B2338" s="211" t="s">
        <v>12</v>
      </c>
      <c r="C2338" s="212">
        <v>0.53888888888888886</v>
      </c>
      <c r="D2338" s="213">
        <v>0</v>
      </c>
      <c r="E2338" s="213">
        <v>0</v>
      </c>
      <c r="F2338" s="213">
        <v>0</v>
      </c>
      <c r="G2338" s="213">
        <v>0</v>
      </c>
      <c r="H2338" s="213">
        <v>0</v>
      </c>
      <c r="I2338" s="213">
        <v>0</v>
      </c>
      <c r="J2338" s="213">
        <v>0</v>
      </c>
    </row>
    <row r="2339" spans="1:10">
      <c r="A2339" s="211" t="s">
        <v>165</v>
      </c>
      <c r="B2339" s="211" t="s">
        <v>12</v>
      </c>
      <c r="C2339" s="212">
        <v>0.5395833333333333</v>
      </c>
      <c r="D2339" s="213">
        <v>0</v>
      </c>
      <c r="E2339" s="213">
        <v>0</v>
      </c>
      <c r="F2339" s="213">
        <v>0</v>
      </c>
      <c r="G2339" s="213">
        <v>0</v>
      </c>
      <c r="H2339" s="213">
        <v>0</v>
      </c>
      <c r="I2339" s="213">
        <v>0</v>
      </c>
      <c r="J2339" s="213">
        <v>0</v>
      </c>
    </row>
    <row r="2340" spans="1:10">
      <c r="A2340" s="211" t="s">
        <v>165</v>
      </c>
      <c r="B2340" s="211" t="s">
        <v>12</v>
      </c>
      <c r="C2340" s="212">
        <v>0.54027777777777775</v>
      </c>
      <c r="D2340" s="213">
        <v>0</v>
      </c>
      <c r="E2340" s="213">
        <v>0</v>
      </c>
      <c r="F2340" s="213">
        <v>0</v>
      </c>
      <c r="G2340" s="213">
        <v>0</v>
      </c>
      <c r="H2340" s="213">
        <v>0</v>
      </c>
      <c r="I2340" s="213">
        <v>0</v>
      </c>
      <c r="J2340" s="213">
        <v>0</v>
      </c>
    </row>
    <row r="2341" spans="1:10" s="80" customFormat="1">
      <c r="A2341" s="214" t="s">
        <v>165</v>
      </c>
      <c r="B2341" s="214" t="s">
        <v>12</v>
      </c>
      <c r="C2341" s="215">
        <v>0.54097222222222219</v>
      </c>
      <c r="D2341" s="216">
        <v>0</v>
      </c>
      <c r="E2341" s="216">
        <v>0</v>
      </c>
      <c r="F2341" s="216">
        <v>0</v>
      </c>
      <c r="G2341" s="216">
        <v>0</v>
      </c>
      <c r="H2341" s="216">
        <v>0</v>
      </c>
      <c r="I2341" s="216">
        <v>0</v>
      </c>
      <c r="J2341" s="216">
        <v>0</v>
      </c>
    </row>
    <row r="2342" spans="1:10">
      <c r="A2342" s="211" t="s">
        <v>165</v>
      </c>
      <c r="B2342" s="211" t="s">
        <v>12</v>
      </c>
      <c r="C2342" s="212">
        <v>0.54166666666666663</v>
      </c>
      <c r="D2342" s="213">
        <v>0</v>
      </c>
      <c r="E2342" s="213">
        <v>0</v>
      </c>
      <c r="F2342" s="213">
        <v>0</v>
      </c>
      <c r="G2342" s="213">
        <v>0</v>
      </c>
      <c r="H2342" s="213">
        <v>0</v>
      </c>
      <c r="I2342" s="213">
        <v>0</v>
      </c>
      <c r="J2342" s="213">
        <v>0</v>
      </c>
    </row>
    <row r="2343" spans="1:10">
      <c r="A2343" s="211" t="s">
        <v>165</v>
      </c>
      <c r="B2343" s="211" t="s">
        <v>12</v>
      </c>
      <c r="C2343" s="212">
        <v>0.54236111111111107</v>
      </c>
      <c r="D2343" s="213">
        <v>0</v>
      </c>
      <c r="E2343" s="213">
        <v>0</v>
      </c>
      <c r="F2343" s="213">
        <v>0</v>
      </c>
      <c r="G2343" s="213">
        <v>0</v>
      </c>
      <c r="H2343" s="213">
        <v>0</v>
      </c>
      <c r="I2343" s="213">
        <v>0</v>
      </c>
      <c r="J2343" s="213">
        <v>0</v>
      </c>
    </row>
    <row r="2344" spans="1:10">
      <c r="A2344" s="211" t="s">
        <v>165</v>
      </c>
      <c r="B2344" s="211" t="s">
        <v>12</v>
      </c>
      <c r="C2344" s="212">
        <v>0.54305555555555551</v>
      </c>
      <c r="D2344" s="213">
        <v>0</v>
      </c>
      <c r="E2344" s="213">
        <v>0</v>
      </c>
      <c r="F2344" s="213">
        <v>0</v>
      </c>
      <c r="G2344" s="213">
        <v>0</v>
      </c>
      <c r="H2344" s="213">
        <v>0</v>
      </c>
      <c r="I2344" s="213">
        <v>0</v>
      </c>
      <c r="J2344" s="213">
        <v>0</v>
      </c>
    </row>
    <row r="2345" spans="1:10">
      <c r="A2345" s="211" t="s">
        <v>165</v>
      </c>
      <c r="B2345" s="211" t="s">
        <v>12</v>
      </c>
      <c r="C2345" s="212">
        <v>0.54374999999999996</v>
      </c>
      <c r="D2345" s="213">
        <v>0</v>
      </c>
      <c r="E2345" s="213">
        <v>0</v>
      </c>
      <c r="F2345" s="213">
        <v>0</v>
      </c>
      <c r="G2345" s="213">
        <v>0</v>
      </c>
      <c r="H2345" s="213">
        <v>0</v>
      </c>
      <c r="I2345" s="213">
        <v>0</v>
      </c>
      <c r="J2345" s="213">
        <v>0</v>
      </c>
    </row>
    <row r="2346" spans="1:10">
      <c r="A2346" s="211" t="s">
        <v>165</v>
      </c>
      <c r="B2346" s="211" t="s">
        <v>12</v>
      </c>
      <c r="C2346" s="212">
        <v>0.5444444444444444</v>
      </c>
      <c r="D2346" s="213">
        <v>0</v>
      </c>
      <c r="E2346" s="213">
        <v>0</v>
      </c>
      <c r="F2346" s="213">
        <v>0</v>
      </c>
      <c r="G2346" s="213">
        <v>0</v>
      </c>
      <c r="H2346" s="213">
        <v>0</v>
      </c>
      <c r="I2346" s="213">
        <v>0</v>
      </c>
      <c r="J2346" s="213">
        <v>0</v>
      </c>
    </row>
    <row r="2347" spans="1:10">
      <c r="A2347" s="211" t="s">
        <v>165</v>
      </c>
      <c r="B2347" s="211" t="s">
        <v>12</v>
      </c>
      <c r="C2347" s="212">
        <v>0.54513888888888884</v>
      </c>
      <c r="D2347" s="213">
        <v>0</v>
      </c>
      <c r="E2347" s="213">
        <v>0</v>
      </c>
      <c r="F2347" s="213">
        <v>0</v>
      </c>
      <c r="G2347" s="213">
        <v>0</v>
      </c>
      <c r="H2347" s="213">
        <v>0</v>
      </c>
      <c r="I2347" s="213">
        <v>0</v>
      </c>
      <c r="J2347" s="213">
        <v>0</v>
      </c>
    </row>
    <row r="2348" spans="1:10">
      <c r="A2348" s="211" t="s">
        <v>165</v>
      </c>
      <c r="B2348" s="211" t="s">
        <v>12</v>
      </c>
      <c r="C2348" s="212">
        <v>0.54583333333333328</v>
      </c>
      <c r="D2348" s="213">
        <v>0</v>
      </c>
      <c r="E2348" s="213">
        <v>0</v>
      </c>
      <c r="F2348" s="213">
        <v>0</v>
      </c>
      <c r="G2348" s="213">
        <v>0</v>
      </c>
      <c r="H2348" s="213">
        <v>0</v>
      </c>
      <c r="I2348" s="213">
        <v>0</v>
      </c>
      <c r="J2348" s="213">
        <v>0</v>
      </c>
    </row>
    <row r="2349" spans="1:10">
      <c r="A2349" s="211" t="s">
        <v>165</v>
      </c>
      <c r="B2349" s="211" t="s">
        <v>12</v>
      </c>
      <c r="C2349" s="212">
        <v>0.54652777777777772</v>
      </c>
      <c r="D2349" s="213">
        <v>0</v>
      </c>
      <c r="E2349" s="213">
        <v>0</v>
      </c>
      <c r="F2349" s="213">
        <v>0</v>
      </c>
      <c r="G2349" s="213">
        <v>0</v>
      </c>
      <c r="H2349" s="213">
        <v>0</v>
      </c>
      <c r="I2349" s="213">
        <v>0</v>
      </c>
      <c r="J2349" s="213">
        <v>0</v>
      </c>
    </row>
    <row r="2350" spans="1:10">
      <c r="A2350" s="211" t="s">
        <v>165</v>
      </c>
      <c r="B2350" s="211" t="s">
        <v>12</v>
      </c>
      <c r="C2350" s="212">
        <v>0.54722222222222228</v>
      </c>
      <c r="D2350" s="213">
        <v>0</v>
      </c>
      <c r="E2350" s="213">
        <v>0</v>
      </c>
      <c r="F2350" s="213">
        <v>0</v>
      </c>
      <c r="G2350" s="213">
        <v>0</v>
      </c>
      <c r="H2350" s="213">
        <v>0</v>
      </c>
      <c r="I2350" s="213">
        <v>0</v>
      </c>
      <c r="J2350" s="213">
        <v>0</v>
      </c>
    </row>
    <row r="2351" spans="1:10">
      <c r="A2351" s="211" t="s">
        <v>165</v>
      </c>
      <c r="B2351" s="211" t="s">
        <v>12</v>
      </c>
      <c r="C2351" s="212">
        <v>0.54791666666666672</v>
      </c>
      <c r="D2351" s="213">
        <v>0</v>
      </c>
      <c r="E2351" s="213">
        <v>0</v>
      </c>
      <c r="F2351" s="213">
        <v>0</v>
      </c>
      <c r="G2351" s="213">
        <v>0</v>
      </c>
      <c r="H2351" s="213">
        <v>0</v>
      </c>
      <c r="I2351" s="213">
        <v>0</v>
      </c>
      <c r="J2351" s="213">
        <v>0</v>
      </c>
    </row>
    <row r="2352" spans="1:10">
      <c r="A2352" s="211" t="s">
        <v>165</v>
      </c>
      <c r="B2352" s="211" t="s">
        <v>12</v>
      </c>
      <c r="C2352" s="212">
        <v>0.54861111111111116</v>
      </c>
      <c r="D2352" s="213">
        <v>0</v>
      </c>
      <c r="E2352" s="213">
        <v>0</v>
      </c>
      <c r="F2352" s="213">
        <v>0</v>
      </c>
      <c r="G2352" s="213">
        <v>0</v>
      </c>
      <c r="H2352" s="213">
        <v>0</v>
      </c>
      <c r="I2352" s="213">
        <v>0</v>
      </c>
      <c r="J2352" s="213">
        <v>0</v>
      </c>
    </row>
    <row r="2353" spans="1:10">
      <c r="A2353" s="211" t="s">
        <v>165</v>
      </c>
      <c r="B2353" s="211" t="s">
        <v>12</v>
      </c>
      <c r="C2353" s="212">
        <v>0.5493055555555556</v>
      </c>
      <c r="D2353" s="213">
        <v>0</v>
      </c>
      <c r="E2353" s="213">
        <v>0</v>
      </c>
      <c r="F2353" s="213">
        <v>0</v>
      </c>
      <c r="G2353" s="213">
        <v>0</v>
      </c>
      <c r="H2353" s="213">
        <v>0</v>
      </c>
      <c r="I2353" s="213">
        <v>0</v>
      </c>
      <c r="J2353" s="213">
        <v>0</v>
      </c>
    </row>
    <row r="2354" spans="1:10">
      <c r="A2354" s="211" t="s">
        <v>165</v>
      </c>
      <c r="B2354" s="211" t="s">
        <v>12</v>
      </c>
      <c r="C2354" s="212">
        <v>0.54236111111111107</v>
      </c>
      <c r="D2354" s="213">
        <v>0</v>
      </c>
      <c r="E2354" s="213">
        <v>0</v>
      </c>
      <c r="F2354" s="213">
        <v>0</v>
      </c>
      <c r="G2354" s="213">
        <v>0</v>
      </c>
      <c r="H2354" s="213">
        <v>0</v>
      </c>
      <c r="I2354" s="213">
        <v>0</v>
      </c>
      <c r="J2354" s="213">
        <v>0</v>
      </c>
    </row>
    <row r="2355" spans="1:10">
      <c r="A2355" s="211" t="s">
        <v>165</v>
      </c>
      <c r="B2355" s="211" t="s">
        <v>12</v>
      </c>
      <c r="C2355" s="212">
        <v>0.55069444444444449</v>
      </c>
      <c r="D2355" s="213">
        <v>0</v>
      </c>
      <c r="E2355" s="213">
        <v>0</v>
      </c>
      <c r="F2355" s="213">
        <v>0</v>
      </c>
      <c r="G2355" s="213">
        <v>0</v>
      </c>
      <c r="H2355" s="213">
        <v>0</v>
      </c>
      <c r="I2355" s="213">
        <v>0</v>
      </c>
      <c r="J2355" s="213">
        <v>0</v>
      </c>
    </row>
    <row r="2356" spans="1:10" s="80" customFormat="1">
      <c r="A2356" s="214" t="s">
        <v>165</v>
      </c>
      <c r="B2356" s="214" t="s">
        <v>12</v>
      </c>
      <c r="C2356" s="215">
        <v>0.55138888888888893</v>
      </c>
      <c r="D2356" s="213">
        <v>0</v>
      </c>
      <c r="E2356" s="213">
        <v>0</v>
      </c>
      <c r="F2356" s="213">
        <v>0</v>
      </c>
      <c r="G2356" s="213">
        <v>0</v>
      </c>
      <c r="H2356" s="213">
        <v>0</v>
      </c>
      <c r="I2356" s="213">
        <v>0</v>
      </c>
      <c r="J2356" s="213">
        <v>0</v>
      </c>
    </row>
    <row r="2357" spans="1:10">
      <c r="A2357" s="211" t="s">
        <v>165</v>
      </c>
      <c r="B2357" s="211" t="s">
        <v>12</v>
      </c>
      <c r="C2357" s="212">
        <v>0.55208333333333337</v>
      </c>
      <c r="D2357" s="217">
        <v>0</v>
      </c>
      <c r="E2357" s="217">
        <v>0</v>
      </c>
      <c r="F2357" s="217">
        <v>0</v>
      </c>
      <c r="G2357" s="217">
        <v>0</v>
      </c>
      <c r="H2357" s="217">
        <v>0</v>
      </c>
      <c r="I2357" s="217">
        <v>0</v>
      </c>
      <c r="J2357" s="217">
        <v>0</v>
      </c>
    </row>
    <row r="2358" spans="1:10">
      <c r="A2358" s="211" t="s">
        <v>165</v>
      </c>
      <c r="B2358" s="211" t="s">
        <v>12</v>
      </c>
      <c r="C2358" s="212">
        <v>0.55277777777777781</v>
      </c>
      <c r="D2358" s="213">
        <v>0</v>
      </c>
      <c r="E2358" s="213">
        <v>0</v>
      </c>
      <c r="F2358" s="213">
        <v>0</v>
      </c>
      <c r="G2358" s="213">
        <v>0</v>
      </c>
      <c r="H2358" s="213">
        <v>0</v>
      </c>
      <c r="I2358" s="213">
        <v>0</v>
      </c>
      <c r="J2358" s="213">
        <v>0</v>
      </c>
    </row>
    <row r="2359" spans="1:10">
      <c r="A2359" s="211" t="s">
        <v>165</v>
      </c>
      <c r="B2359" s="211" t="s">
        <v>12</v>
      </c>
      <c r="C2359" s="212">
        <v>0.55347222222222225</v>
      </c>
      <c r="D2359" s="213">
        <v>0</v>
      </c>
      <c r="E2359" s="213">
        <v>0</v>
      </c>
      <c r="F2359" s="213">
        <v>0</v>
      </c>
      <c r="G2359" s="213">
        <v>0</v>
      </c>
      <c r="H2359" s="213">
        <v>0</v>
      </c>
      <c r="I2359" s="213">
        <v>0</v>
      </c>
      <c r="J2359" s="213">
        <v>0</v>
      </c>
    </row>
    <row r="2360" spans="1:10">
      <c r="A2360" s="211" t="s">
        <v>165</v>
      </c>
      <c r="B2360" s="211" t="s">
        <v>12</v>
      </c>
      <c r="C2360" s="212">
        <v>0.5541666666666667</v>
      </c>
      <c r="D2360" s="213">
        <v>0</v>
      </c>
      <c r="E2360" s="213">
        <v>0</v>
      </c>
      <c r="F2360" s="213">
        <v>0</v>
      </c>
      <c r="G2360" s="213">
        <v>0</v>
      </c>
      <c r="H2360" s="213">
        <v>0</v>
      </c>
      <c r="I2360" s="213">
        <v>0</v>
      </c>
      <c r="J2360" s="213">
        <v>0</v>
      </c>
    </row>
    <row r="2361" spans="1:10">
      <c r="A2361" s="211" t="s">
        <v>165</v>
      </c>
      <c r="B2361" s="211" t="s">
        <v>12</v>
      </c>
      <c r="C2361" s="212">
        <v>0.55486111111111114</v>
      </c>
      <c r="D2361" s="213">
        <v>0</v>
      </c>
      <c r="E2361" s="213">
        <v>0</v>
      </c>
      <c r="F2361" s="213">
        <v>0</v>
      </c>
      <c r="G2361" s="213">
        <v>0</v>
      </c>
      <c r="H2361" s="213">
        <v>0</v>
      </c>
      <c r="I2361" s="213">
        <v>0</v>
      </c>
      <c r="J2361" s="213">
        <v>0</v>
      </c>
    </row>
    <row r="2362" spans="1:10">
      <c r="A2362" s="211" t="s">
        <v>165</v>
      </c>
      <c r="B2362" s="211" t="s">
        <v>12</v>
      </c>
      <c r="C2362" s="212">
        <v>0.55555555555555558</v>
      </c>
      <c r="D2362" s="213">
        <v>0</v>
      </c>
      <c r="E2362" s="213">
        <v>0</v>
      </c>
      <c r="F2362" s="213">
        <v>0</v>
      </c>
      <c r="G2362" s="213">
        <v>0</v>
      </c>
      <c r="H2362" s="213">
        <v>0</v>
      </c>
      <c r="I2362" s="213">
        <v>0</v>
      </c>
      <c r="J2362" s="213">
        <v>0</v>
      </c>
    </row>
    <row r="2363" spans="1:10">
      <c r="A2363" s="211" t="s">
        <v>165</v>
      </c>
      <c r="B2363" s="211" t="s">
        <v>12</v>
      </c>
      <c r="C2363" s="212">
        <v>0.55625000000000002</v>
      </c>
      <c r="D2363" s="213">
        <v>0</v>
      </c>
      <c r="E2363" s="213">
        <v>0</v>
      </c>
      <c r="F2363" s="213">
        <v>0</v>
      </c>
      <c r="G2363" s="213">
        <v>0</v>
      </c>
      <c r="H2363" s="213">
        <v>0</v>
      </c>
      <c r="I2363" s="213">
        <v>0</v>
      </c>
      <c r="J2363" s="213">
        <v>0</v>
      </c>
    </row>
    <row r="2364" spans="1:10">
      <c r="A2364" s="211" t="s">
        <v>165</v>
      </c>
      <c r="B2364" s="211" t="s">
        <v>12</v>
      </c>
      <c r="C2364" s="212">
        <v>0.55694444444444446</v>
      </c>
      <c r="D2364" s="213">
        <v>0</v>
      </c>
      <c r="E2364" s="213">
        <v>0</v>
      </c>
      <c r="F2364" s="213">
        <v>0</v>
      </c>
      <c r="G2364" s="213">
        <v>0</v>
      </c>
      <c r="H2364" s="213">
        <v>0</v>
      </c>
      <c r="I2364" s="213">
        <v>0</v>
      </c>
      <c r="J2364" s="213">
        <v>0</v>
      </c>
    </row>
    <row r="2365" spans="1:10">
      <c r="A2365" s="211" t="s">
        <v>165</v>
      </c>
      <c r="B2365" s="211" t="s">
        <v>12</v>
      </c>
      <c r="C2365" s="212">
        <v>0.55763888888888891</v>
      </c>
      <c r="D2365" s="213">
        <v>0</v>
      </c>
      <c r="E2365" s="213">
        <v>0</v>
      </c>
      <c r="F2365" s="213">
        <v>0</v>
      </c>
      <c r="G2365" s="213">
        <v>0</v>
      </c>
      <c r="H2365" s="213">
        <v>0</v>
      </c>
      <c r="I2365" s="213">
        <v>0</v>
      </c>
      <c r="J2365" s="213">
        <v>0</v>
      </c>
    </row>
    <row r="2366" spans="1:10">
      <c r="A2366" s="211" t="s">
        <v>165</v>
      </c>
      <c r="B2366" s="211" t="s">
        <v>12</v>
      </c>
      <c r="C2366" s="212">
        <v>0.55833333333333335</v>
      </c>
      <c r="D2366" s="213">
        <v>0</v>
      </c>
      <c r="E2366" s="213">
        <v>0</v>
      </c>
      <c r="F2366" s="213">
        <v>0</v>
      </c>
      <c r="G2366" s="213">
        <v>0</v>
      </c>
      <c r="H2366" s="213">
        <v>0</v>
      </c>
      <c r="I2366" s="213">
        <v>0</v>
      </c>
      <c r="J2366" s="213">
        <v>0</v>
      </c>
    </row>
    <row r="2367" spans="1:10">
      <c r="A2367" s="211" t="s">
        <v>165</v>
      </c>
      <c r="B2367" s="211" t="s">
        <v>12</v>
      </c>
      <c r="C2367" s="212">
        <v>0.55902777777777779</v>
      </c>
      <c r="D2367" s="213">
        <v>0</v>
      </c>
      <c r="E2367" s="213">
        <v>0</v>
      </c>
      <c r="F2367" s="213">
        <v>0</v>
      </c>
      <c r="G2367" s="213">
        <v>0</v>
      </c>
      <c r="H2367" s="213">
        <v>0</v>
      </c>
      <c r="I2367" s="213">
        <v>0</v>
      </c>
      <c r="J2367" s="213">
        <v>0</v>
      </c>
    </row>
    <row r="2368" spans="1:10">
      <c r="A2368" s="211" t="s">
        <v>165</v>
      </c>
      <c r="B2368" s="211" t="s">
        <v>12</v>
      </c>
      <c r="C2368" s="212">
        <v>0.55972222222222223</v>
      </c>
      <c r="D2368" s="213">
        <v>0</v>
      </c>
      <c r="E2368" s="213">
        <v>0</v>
      </c>
      <c r="F2368" s="213">
        <v>0</v>
      </c>
      <c r="G2368" s="213">
        <v>0</v>
      </c>
      <c r="H2368" s="213">
        <v>0</v>
      </c>
      <c r="I2368" s="213">
        <v>0</v>
      </c>
      <c r="J2368" s="213">
        <v>0</v>
      </c>
    </row>
    <row r="2369" spans="1:10">
      <c r="A2369" s="211" t="s">
        <v>165</v>
      </c>
      <c r="B2369" s="211" t="s">
        <v>12</v>
      </c>
      <c r="C2369" s="212">
        <v>0.56041666666666667</v>
      </c>
      <c r="D2369" s="213">
        <v>0</v>
      </c>
      <c r="E2369" s="213">
        <v>0</v>
      </c>
      <c r="F2369" s="213">
        <v>0</v>
      </c>
      <c r="G2369" s="213">
        <v>0</v>
      </c>
      <c r="H2369" s="213">
        <v>0</v>
      </c>
      <c r="I2369" s="213">
        <v>0</v>
      </c>
      <c r="J2369" s="213">
        <v>0</v>
      </c>
    </row>
    <row r="2370" spans="1:10">
      <c r="A2370" s="211" t="s">
        <v>165</v>
      </c>
      <c r="B2370" s="211" t="s">
        <v>12</v>
      </c>
      <c r="C2370" s="212">
        <v>0.56111111111111112</v>
      </c>
      <c r="D2370" s="213">
        <v>0</v>
      </c>
      <c r="E2370" s="213">
        <v>0</v>
      </c>
      <c r="F2370" s="213">
        <v>0</v>
      </c>
      <c r="G2370" s="213">
        <v>0</v>
      </c>
      <c r="H2370" s="213">
        <v>0</v>
      </c>
      <c r="I2370" s="213">
        <v>0</v>
      </c>
      <c r="J2370" s="213">
        <v>0</v>
      </c>
    </row>
    <row r="2371" spans="1:10" s="80" customFormat="1">
      <c r="A2371" s="214" t="s">
        <v>165</v>
      </c>
      <c r="B2371" s="214" t="s">
        <v>12</v>
      </c>
      <c r="C2371" s="215">
        <v>0.56180555555555556</v>
      </c>
      <c r="D2371" s="213">
        <v>0</v>
      </c>
      <c r="E2371" s="213">
        <v>0</v>
      </c>
      <c r="F2371" s="213">
        <v>0</v>
      </c>
      <c r="G2371" s="213">
        <v>0</v>
      </c>
      <c r="H2371" s="213">
        <v>0</v>
      </c>
      <c r="I2371" s="213">
        <v>0</v>
      </c>
      <c r="J2371" s="213">
        <v>0</v>
      </c>
    </row>
    <row r="2372" spans="1:10">
      <c r="A2372" s="211" t="s">
        <v>165</v>
      </c>
      <c r="B2372" s="211" t="s">
        <v>12</v>
      </c>
      <c r="C2372" s="212">
        <v>0.5625</v>
      </c>
      <c r="D2372" s="217">
        <v>0</v>
      </c>
      <c r="E2372" s="217">
        <v>0</v>
      </c>
      <c r="F2372" s="217">
        <v>0</v>
      </c>
      <c r="G2372" s="217">
        <v>0</v>
      </c>
      <c r="H2372" s="217">
        <v>0</v>
      </c>
      <c r="I2372" s="217">
        <v>0</v>
      </c>
      <c r="J2372" s="217">
        <v>0</v>
      </c>
    </row>
    <row r="2373" spans="1:10">
      <c r="A2373" s="211" t="s">
        <v>165</v>
      </c>
      <c r="B2373" s="211" t="s">
        <v>12</v>
      </c>
      <c r="C2373" s="212">
        <v>0.56319444444444444</v>
      </c>
      <c r="D2373" s="213">
        <v>0</v>
      </c>
      <c r="E2373" s="213">
        <v>0</v>
      </c>
      <c r="F2373" s="213">
        <v>0</v>
      </c>
      <c r="G2373" s="213">
        <v>0</v>
      </c>
      <c r="H2373" s="213">
        <v>0</v>
      </c>
      <c r="I2373" s="213">
        <v>0</v>
      </c>
      <c r="J2373" s="213">
        <v>0</v>
      </c>
    </row>
    <row r="2374" spans="1:10">
      <c r="A2374" s="211" t="s">
        <v>165</v>
      </c>
      <c r="B2374" s="211" t="s">
        <v>12</v>
      </c>
      <c r="C2374" s="212">
        <v>0.56388888888888888</v>
      </c>
      <c r="D2374" s="213">
        <v>0</v>
      </c>
      <c r="E2374" s="213">
        <v>0</v>
      </c>
      <c r="F2374" s="213">
        <v>0</v>
      </c>
      <c r="G2374" s="213">
        <v>0</v>
      </c>
      <c r="H2374" s="213">
        <v>0</v>
      </c>
      <c r="I2374" s="213">
        <v>0</v>
      </c>
      <c r="J2374" s="213">
        <v>0</v>
      </c>
    </row>
    <row r="2375" spans="1:10">
      <c r="A2375" s="211" t="s">
        <v>165</v>
      </c>
      <c r="B2375" s="211" t="s">
        <v>12</v>
      </c>
      <c r="C2375" s="212">
        <v>0.56458333333333333</v>
      </c>
      <c r="D2375" s="213">
        <v>0</v>
      </c>
      <c r="E2375" s="213">
        <v>0</v>
      </c>
      <c r="F2375" s="213">
        <v>0</v>
      </c>
      <c r="G2375" s="213">
        <v>0</v>
      </c>
      <c r="H2375" s="213">
        <v>0</v>
      </c>
      <c r="I2375" s="213">
        <v>0</v>
      </c>
      <c r="J2375" s="213">
        <v>0</v>
      </c>
    </row>
    <row r="2376" spans="1:10">
      <c r="A2376" s="211" t="s">
        <v>165</v>
      </c>
      <c r="B2376" s="211" t="s">
        <v>12</v>
      </c>
      <c r="C2376" s="212">
        <v>0.56527777777777777</v>
      </c>
      <c r="D2376" s="213">
        <v>0</v>
      </c>
      <c r="E2376" s="213">
        <v>0</v>
      </c>
      <c r="F2376" s="213">
        <v>0</v>
      </c>
      <c r="G2376" s="213">
        <v>0</v>
      </c>
      <c r="H2376" s="213">
        <v>0</v>
      </c>
      <c r="I2376" s="213">
        <v>0</v>
      </c>
      <c r="J2376" s="213">
        <v>0</v>
      </c>
    </row>
    <row r="2377" spans="1:10">
      <c r="A2377" s="211" t="s">
        <v>165</v>
      </c>
      <c r="B2377" s="211" t="s">
        <v>12</v>
      </c>
      <c r="C2377" s="212">
        <v>0.56597222222222221</v>
      </c>
      <c r="D2377" s="213">
        <v>0</v>
      </c>
      <c r="E2377" s="213">
        <v>0</v>
      </c>
      <c r="F2377" s="213">
        <v>0</v>
      </c>
      <c r="G2377" s="213">
        <v>0</v>
      </c>
      <c r="H2377" s="213">
        <v>0</v>
      </c>
      <c r="I2377" s="213">
        <v>0</v>
      </c>
      <c r="J2377" s="213">
        <v>0</v>
      </c>
    </row>
    <row r="2378" spans="1:10">
      <c r="A2378" s="211" t="s">
        <v>165</v>
      </c>
      <c r="B2378" s="211" t="s">
        <v>12</v>
      </c>
      <c r="C2378" s="212">
        <v>0.56666666666666665</v>
      </c>
      <c r="D2378" s="213">
        <v>0</v>
      </c>
      <c r="E2378" s="213">
        <v>0</v>
      </c>
      <c r="F2378" s="213">
        <v>0</v>
      </c>
      <c r="G2378" s="213">
        <v>0</v>
      </c>
      <c r="H2378" s="213">
        <v>0</v>
      </c>
      <c r="I2378" s="213">
        <v>0</v>
      </c>
      <c r="J2378" s="213">
        <v>0</v>
      </c>
    </row>
    <row r="2379" spans="1:10">
      <c r="A2379" s="211" t="s">
        <v>165</v>
      </c>
      <c r="B2379" s="211" t="s">
        <v>12</v>
      </c>
      <c r="C2379" s="212">
        <v>0.56736111111111109</v>
      </c>
      <c r="D2379" s="213">
        <v>0</v>
      </c>
      <c r="E2379" s="213">
        <v>0</v>
      </c>
      <c r="F2379" s="213">
        <v>0</v>
      </c>
      <c r="G2379" s="213">
        <v>0</v>
      </c>
      <c r="H2379" s="213">
        <v>0</v>
      </c>
      <c r="I2379" s="213">
        <v>0</v>
      </c>
      <c r="J2379" s="213">
        <v>0</v>
      </c>
    </row>
    <row r="2380" spans="1:10">
      <c r="A2380" s="211" t="s">
        <v>165</v>
      </c>
      <c r="B2380" s="211" t="s">
        <v>12</v>
      </c>
      <c r="C2380" s="212">
        <v>0.56805555555555554</v>
      </c>
      <c r="D2380" s="213">
        <v>0</v>
      </c>
      <c r="E2380" s="213">
        <v>0</v>
      </c>
      <c r="F2380" s="213">
        <v>0</v>
      </c>
      <c r="G2380" s="213">
        <v>0</v>
      </c>
      <c r="H2380" s="213">
        <v>0</v>
      </c>
      <c r="I2380" s="213">
        <v>0</v>
      </c>
      <c r="J2380" s="213">
        <v>0</v>
      </c>
    </row>
    <row r="2381" spans="1:10">
      <c r="A2381" s="211" t="s">
        <v>165</v>
      </c>
      <c r="B2381" s="211" t="s">
        <v>12</v>
      </c>
      <c r="C2381" s="212">
        <v>0.56874999999999998</v>
      </c>
      <c r="D2381" s="213">
        <v>0</v>
      </c>
      <c r="E2381" s="213">
        <v>0</v>
      </c>
      <c r="F2381" s="213">
        <v>0</v>
      </c>
      <c r="G2381" s="213">
        <v>0</v>
      </c>
      <c r="H2381" s="213">
        <v>0</v>
      </c>
      <c r="I2381" s="213">
        <v>0</v>
      </c>
      <c r="J2381" s="213">
        <v>0</v>
      </c>
    </row>
    <row r="2382" spans="1:10">
      <c r="A2382" s="211" t="s">
        <v>165</v>
      </c>
      <c r="B2382" s="211" t="s">
        <v>12</v>
      </c>
      <c r="C2382" s="212">
        <v>0.56944444444444442</v>
      </c>
      <c r="D2382" s="213">
        <v>0</v>
      </c>
      <c r="E2382" s="213">
        <v>0</v>
      </c>
      <c r="F2382" s="213">
        <v>0</v>
      </c>
      <c r="G2382" s="213">
        <v>0</v>
      </c>
      <c r="H2382" s="213">
        <v>0</v>
      </c>
      <c r="I2382" s="213">
        <v>0</v>
      </c>
      <c r="J2382" s="213">
        <v>0</v>
      </c>
    </row>
    <row r="2383" spans="1:10">
      <c r="A2383" s="211" t="s">
        <v>165</v>
      </c>
      <c r="B2383" s="211" t="s">
        <v>12</v>
      </c>
      <c r="C2383" s="212">
        <v>0.57013888888888886</v>
      </c>
      <c r="D2383" s="213">
        <v>0</v>
      </c>
      <c r="E2383" s="213">
        <v>0</v>
      </c>
      <c r="F2383" s="213">
        <v>0</v>
      </c>
      <c r="G2383" s="213">
        <v>0</v>
      </c>
      <c r="H2383" s="213">
        <v>0</v>
      </c>
      <c r="I2383" s="213">
        <v>0</v>
      </c>
      <c r="J2383" s="213">
        <v>0</v>
      </c>
    </row>
    <row r="2384" spans="1:10">
      <c r="A2384" s="211" t="s">
        <v>165</v>
      </c>
      <c r="B2384" s="211" t="s">
        <v>12</v>
      </c>
      <c r="C2384" s="212">
        <v>0.5708333333333333</v>
      </c>
      <c r="D2384" s="213">
        <v>0</v>
      </c>
      <c r="E2384" s="213">
        <v>0</v>
      </c>
      <c r="F2384" s="213">
        <v>0</v>
      </c>
      <c r="G2384" s="213">
        <v>0</v>
      </c>
      <c r="H2384" s="213">
        <v>0</v>
      </c>
      <c r="I2384" s="213">
        <v>0</v>
      </c>
      <c r="J2384" s="213">
        <v>0</v>
      </c>
    </row>
    <row r="2385" spans="1:10">
      <c r="A2385" s="211" t="s">
        <v>165</v>
      </c>
      <c r="B2385" s="211" t="s">
        <v>12</v>
      </c>
      <c r="C2385" s="212">
        <v>0.57152777777777775</v>
      </c>
      <c r="D2385" s="213">
        <v>0</v>
      </c>
      <c r="E2385" s="213">
        <v>0</v>
      </c>
      <c r="F2385" s="213">
        <v>0</v>
      </c>
      <c r="G2385" s="213">
        <v>0</v>
      </c>
      <c r="H2385" s="213">
        <v>0</v>
      </c>
      <c r="I2385" s="213">
        <v>0</v>
      </c>
      <c r="J2385" s="213">
        <v>0</v>
      </c>
    </row>
    <row r="2386" spans="1:10" s="80" customFormat="1">
      <c r="A2386" s="214" t="s">
        <v>165</v>
      </c>
      <c r="B2386" s="214" t="s">
        <v>12</v>
      </c>
      <c r="C2386" s="215">
        <v>0.57222222222222219</v>
      </c>
      <c r="D2386" s="216">
        <v>0</v>
      </c>
      <c r="E2386" s="216">
        <v>0</v>
      </c>
      <c r="F2386" s="216">
        <v>0</v>
      </c>
      <c r="G2386" s="216">
        <v>0</v>
      </c>
      <c r="H2386" s="216">
        <v>0</v>
      </c>
      <c r="I2386" s="216">
        <v>0</v>
      </c>
      <c r="J2386" s="216">
        <v>0</v>
      </c>
    </row>
    <row r="2387" spans="1:10">
      <c r="A2387" s="211" t="s">
        <v>165</v>
      </c>
      <c r="B2387" s="211" t="s">
        <v>12</v>
      </c>
      <c r="C2387" s="212">
        <v>0.57291666666666663</v>
      </c>
      <c r="D2387" s="213">
        <v>0</v>
      </c>
      <c r="E2387" s="213">
        <v>0</v>
      </c>
      <c r="F2387" s="213">
        <v>0</v>
      </c>
      <c r="G2387" s="213">
        <v>0</v>
      </c>
      <c r="H2387" s="213">
        <v>0</v>
      </c>
      <c r="I2387" s="213">
        <v>0</v>
      </c>
      <c r="J2387" s="213">
        <v>0</v>
      </c>
    </row>
    <row r="2388" spans="1:10">
      <c r="A2388" s="211" t="s">
        <v>165</v>
      </c>
      <c r="B2388" s="211" t="s">
        <v>12</v>
      </c>
      <c r="C2388" s="212">
        <v>0.57361111111111107</v>
      </c>
      <c r="D2388" s="213">
        <v>0</v>
      </c>
      <c r="E2388" s="213">
        <v>0</v>
      </c>
      <c r="F2388" s="213">
        <v>0</v>
      </c>
      <c r="G2388" s="213">
        <v>0</v>
      </c>
      <c r="H2388" s="213">
        <v>0</v>
      </c>
      <c r="I2388" s="213">
        <v>0</v>
      </c>
      <c r="J2388" s="213">
        <v>0</v>
      </c>
    </row>
    <row r="2389" spans="1:10">
      <c r="A2389" s="211" t="s">
        <v>165</v>
      </c>
      <c r="B2389" s="211" t="s">
        <v>12</v>
      </c>
      <c r="C2389" s="212">
        <v>0.57430555555555551</v>
      </c>
      <c r="D2389" s="213">
        <v>0</v>
      </c>
      <c r="E2389" s="213">
        <v>0</v>
      </c>
      <c r="F2389" s="213">
        <v>0</v>
      </c>
      <c r="G2389" s="213">
        <v>0</v>
      </c>
      <c r="H2389" s="213">
        <v>0</v>
      </c>
      <c r="I2389" s="213">
        <v>0</v>
      </c>
      <c r="J2389" s="213">
        <v>0</v>
      </c>
    </row>
    <row r="2390" spans="1:10">
      <c r="A2390" s="211" t="s">
        <v>165</v>
      </c>
      <c r="B2390" s="211" t="s">
        <v>12</v>
      </c>
      <c r="C2390" s="212">
        <v>0.57499999999999996</v>
      </c>
      <c r="D2390" s="213">
        <v>0</v>
      </c>
      <c r="E2390" s="213">
        <v>0</v>
      </c>
      <c r="F2390" s="213">
        <v>0</v>
      </c>
      <c r="G2390" s="213">
        <v>0</v>
      </c>
      <c r="H2390" s="213">
        <v>0</v>
      </c>
      <c r="I2390" s="213">
        <v>0</v>
      </c>
      <c r="J2390" s="213">
        <v>0</v>
      </c>
    </row>
    <row r="2391" spans="1:10">
      <c r="A2391" s="211" t="s">
        <v>165</v>
      </c>
      <c r="B2391" s="211" t="s">
        <v>12</v>
      </c>
      <c r="C2391" s="212">
        <v>0.5756944444444444</v>
      </c>
      <c r="D2391" s="213">
        <v>0</v>
      </c>
      <c r="E2391" s="213">
        <v>0</v>
      </c>
      <c r="F2391" s="213">
        <v>0</v>
      </c>
      <c r="G2391" s="213">
        <v>0</v>
      </c>
      <c r="H2391" s="213">
        <v>0</v>
      </c>
      <c r="I2391" s="213">
        <v>0</v>
      </c>
      <c r="J2391" s="213">
        <v>0</v>
      </c>
    </row>
    <row r="2392" spans="1:10">
      <c r="A2392" s="211" t="s">
        <v>165</v>
      </c>
      <c r="B2392" s="211" t="s">
        <v>12</v>
      </c>
      <c r="C2392" s="212">
        <v>0.57638888888888884</v>
      </c>
      <c r="D2392" s="213">
        <v>0</v>
      </c>
      <c r="E2392" s="213">
        <v>0</v>
      </c>
      <c r="F2392" s="213">
        <v>0</v>
      </c>
      <c r="G2392" s="213">
        <v>0</v>
      </c>
      <c r="H2392" s="213">
        <v>0</v>
      </c>
      <c r="I2392" s="213">
        <v>0</v>
      </c>
      <c r="J2392" s="213">
        <v>0</v>
      </c>
    </row>
    <row r="2393" spans="1:10">
      <c r="A2393" s="211" t="s">
        <v>165</v>
      </c>
      <c r="B2393" s="211" t="s">
        <v>12</v>
      </c>
      <c r="C2393" s="212">
        <v>0.57708333333333328</v>
      </c>
      <c r="D2393" s="213">
        <v>0</v>
      </c>
      <c r="E2393" s="213">
        <v>0</v>
      </c>
      <c r="F2393" s="213">
        <v>0</v>
      </c>
      <c r="G2393" s="213">
        <v>0</v>
      </c>
      <c r="H2393" s="213">
        <v>0</v>
      </c>
      <c r="I2393" s="213">
        <v>0</v>
      </c>
      <c r="J2393" s="213">
        <v>0</v>
      </c>
    </row>
    <row r="2394" spans="1:10">
      <c r="A2394" s="211" t="s">
        <v>165</v>
      </c>
      <c r="B2394" s="211" t="s">
        <v>12</v>
      </c>
      <c r="C2394" s="212">
        <v>0.57777777777777772</v>
      </c>
      <c r="D2394" s="213">
        <v>0</v>
      </c>
      <c r="E2394" s="213">
        <v>0</v>
      </c>
      <c r="F2394" s="213">
        <v>0</v>
      </c>
      <c r="G2394" s="213">
        <v>0</v>
      </c>
      <c r="H2394" s="213">
        <v>0</v>
      </c>
      <c r="I2394" s="213">
        <v>0</v>
      </c>
      <c r="J2394" s="213">
        <v>0</v>
      </c>
    </row>
    <row r="2395" spans="1:10">
      <c r="A2395" s="211" t="s">
        <v>165</v>
      </c>
      <c r="B2395" s="211" t="s">
        <v>12</v>
      </c>
      <c r="C2395" s="212">
        <v>0.57847222222222228</v>
      </c>
      <c r="D2395" s="213">
        <v>0</v>
      </c>
      <c r="E2395" s="213">
        <v>0</v>
      </c>
      <c r="F2395" s="213">
        <v>0</v>
      </c>
      <c r="G2395" s="213">
        <v>0</v>
      </c>
      <c r="H2395" s="213">
        <v>0</v>
      </c>
      <c r="I2395" s="213">
        <v>0</v>
      </c>
      <c r="J2395" s="213">
        <v>0</v>
      </c>
    </row>
    <row r="2396" spans="1:10">
      <c r="A2396" s="211" t="s">
        <v>165</v>
      </c>
      <c r="B2396" s="211" t="s">
        <v>12</v>
      </c>
      <c r="C2396" s="212">
        <v>0.57916666666666672</v>
      </c>
      <c r="D2396" s="213">
        <v>0</v>
      </c>
      <c r="E2396" s="213">
        <v>0</v>
      </c>
      <c r="F2396" s="213">
        <v>0</v>
      </c>
      <c r="G2396" s="213">
        <v>0</v>
      </c>
      <c r="H2396" s="213">
        <v>0</v>
      </c>
      <c r="I2396" s="213">
        <v>0</v>
      </c>
      <c r="J2396" s="213">
        <v>0</v>
      </c>
    </row>
    <row r="2397" spans="1:10">
      <c r="A2397" s="211" t="s">
        <v>165</v>
      </c>
      <c r="B2397" s="211" t="s">
        <v>12</v>
      </c>
      <c r="C2397" s="212">
        <v>0.57986111111111116</v>
      </c>
      <c r="D2397" s="213">
        <v>0</v>
      </c>
      <c r="E2397" s="213">
        <v>0</v>
      </c>
      <c r="F2397" s="213">
        <v>0</v>
      </c>
      <c r="G2397" s="213">
        <v>0</v>
      </c>
      <c r="H2397" s="213">
        <v>0</v>
      </c>
      <c r="I2397" s="213">
        <v>0</v>
      </c>
      <c r="J2397" s="213">
        <v>0</v>
      </c>
    </row>
    <row r="2398" spans="1:10">
      <c r="A2398" s="211" t="s">
        <v>165</v>
      </c>
      <c r="B2398" s="211" t="s">
        <v>12</v>
      </c>
      <c r="C2398" s="212">
        <v>0.5805555555555556</v>
      </c>
      <c r="D2398" s="213">
        <v>0</v>
      </c>
      <c r="E2398" s="213">
        <v>0</v>
      </c>
      <c r="F2398" s="213">
        <v>0</v>
      </c>
      <c r="G2398" s="213">
        <v>0</v>
      </c>
      <c r="H2398" s="213">
        <v>0</v>
      </c>
      <c r="I2398" s="213">
        <v>0</v>
      </c>
      <c r="J2398" s="213">
        <v>0</v>
      </c>
    </row>
    <row r="2399" spans="1:10">
      <c r="A2399" s="211" t="s">
        <v>165</v>
      </c>
      <c r="B2399" s="211" t="s">
        <v>12</v>
      </c>
      <c r="C2399" s="212">
        <v>0.58125000000000004</v>
      </c>
      <c r="D2399" s="213">
        <v>0</v>
      </c>
      <c r="E2399" s="213">
        <v>0</v>
      </c>
      <c r="F2399" s="213">
        <v>0</v>
      </c>
      <c r="G2399" s="213">
        <v>0</v>
      </c>
      <c r="H2399" s="213">
        <v>0</v>
      </c>
      <c r="I2399" s="213">
        <v>0</v>
      </c>
      <c r="J2399" s="213">
        <v>0</v>
      </c>
    </row>
    <row r="2400" spans="1:10">
      <c r="A2400" s="211" t="s">
        <v>165</v>
      </c>
      <c r="B2400" s="211" t="s">
        <v>12</v>
      </c>
      <c r="C2400" s="212">
        <v>0.58194444444444449</v>
      </c>
      <c r="D2400" s="213">
        <v>0</v>
      </c>
      <c r="E2400" s="213">
        <v>0</v>
      </c>
      <c r="F2400" s="213">
        <v>0</v>
      </c>
      <c r="G2400" s="213">
        <v>0</v>
      </c>
      <c r="H2400" s="213">
        <v>0</v>
      </c>
      <c r="I2400" s="213">
        <v>0</v>
      </c>
      <c r="J2400" s="213">
        <v>0</v>
      </c>
    </row>
    <row r="2401" spans="1:10">
      <c r="A2401" s="214" t="s">
        <v>165</v>
      </c>
      <c r="B2401" s="214" t="s">
        <v>12</v>
      </c>
      <c r="C2401" s="215">
        <v>0.58263888888888893</v>
      </c>
      <c r="D2401" s="213">
        <v>0</v>
      </c>
      <c r="E2401" s="213">
        <v>0</v>
      </c>
      <c r="F2401" s="213">
        <v>0</v>
      </c>
      <c r="G2401" s="213">
        <v>0</v>
      </c>
      <c r="H2401" s="213">
        <v>0</v>
      </c>
      <c r="I2401" s="213">
        <v>0</v>
      </c>
      <c r="J2401" s="213">
        <v>0</v>
      </c>
    </row>
    <row r="2402" spans="1:10">
      <c r="A2402" s="211" t="s">
        <v>165</v>
      </c>
      <c r="B2402" s="211" t="s">
        <v>13</v>
      </c>
      <c r="C2402" s="212">
        <v>0.5</v>
      </c>
      <c r="D2402" s="217">
        <v>0</v>
      </c>
      <c r="E2402" s="217">
        <v>0</v>
      </c>
      <c r="F2402" s="217">
        <v>0</v>
      </c>
      <c r="G2402" s="217">
        <v>0</v>
      </c>
      <c r="H2402" s="217">
        <v>0</v>
      </c>
      <c r="I2402" s="217">
        <v>0</v>
      </c>
      <c r="J2402" s="217">
        <v>0</v>
      </c>
    </row>
    <row r="2403" spans="1:10">
      <c r="A2403" s="211" t="s">
        <v>165</v>
      </c>
      <c r="B2403" s="211" t="s">
        <v>13</v>
      </c>
      <c r="C2403" s="212">
        <v>0.50069444444444444</v>
      </c>
      <c r="D2403" s="213">
        <v>0</v>
      </c>
      <c r="E2403" s="213">
        <v>0</v>
      </c>
      <c r="F2403" s="213">
        <v>0</v>
      </c>
      <c r="G2403" s="213">
        <v>0</v>
      </c>
      <c r="H2403" s="213">
        <v>0</v>
      </c>
      <c r="I2403" s="213">
        <v>0</v>
      </c>
      <c r="J2403" s="213">
        <v>0</v>
      </c>
    </row>
    <row r="2404" spans="1:10">
      <c r="A2404" s="211" t="s">
        <v>165</v>
      </c>
      <c r="B2404" s="211" t="s">
        <v>13</v>
      </c>
      <c r="C2404" s="212">
        <v>0.50138888888888899</v>
      </c>
      <c r="D2404" s="213">
        <v>0</v>
      </c>
      <c r="E2404" s="213">
        <v>0</v>
      </c>
      <c r="F2404" s="213">
        <v>0</v>
      </c>
      <c r="G2404" s="213">
        <v>0</v>
      </c>
      <c r="H2404" s="213">
        <v>0</v>
      </c>
      <c r="I2404" s="213">
        <v>0</v>
      </c>
      <c r="J2404" s="213">
        <v>0</v>
      </c>
    </row>
    <row r="2405" spans="1:10">
      <c r="A2405" s="211" t="s">
        <v>165</v>
      </c>
      <c r="B2405" s="211" t="s">
        <v>13</v>
      </c>
      <c r="C2405" s="212">
        <v>0.50208333333333299</v>
      </c>
      <c r="D2405" s="213">
        <v>0</v>
      </c>
      <c r="E2405" s="213">
        <v>0</v>
      </c>
      <c r="F2405" s="213">
        <v>0</v>
      </c>
      <c r="G2405" s="213">
        <v>0</v>
      </c>
      <c r="H2405" s="213">
        <v>0</v>
      </c>
      <c r="I2405" s="213">
        <v>0</v>
      </c>
      <c r="J2405" s="213">
        <v>0</v>
      </c>
    </row>
    <row r="2406" spans="1:10">
      <c r="A2406" s="211" t="s">
        <v>165</v>
      </c>
      <c r="B2406" s="211" t="s">
        <v>13</v>
      </c>
      <c r="C2406" s="212">
        <v>0.50277777777777799</v>
      </c>
      <c r="D2406" s="213">
        <v>0</v>
      </c>
      <c r="E2406" s="213">
        <v>0</v>
      </c>
      <c r="F2406" s="213">
        <v>0</v>
      </c>
      <c r="G2406" s="213">
        <v>0</v>
      </c>
      <c r="H2406" s="213">
        <v>0</v>
      </c>
      <c r="I2406" s="213">
        <v>0</v>
      </c>
      <c r="J2406" s="213">
        <v>0</v>
      </c>
    </row>
    <row r="2407" spans="1:10">
      <c r="A2407" s="211" t="s">
        <v>165</v>
      </c>
      <c r="B2407" s="211" t="s">
        <v>13</v>
      </c>
      <c r="C2407" s="212">
        <v>0.50347222222222199</v>
      </c>
      <c r="D2407" s="213">
        <v>0</v>
      </c>
      <c r="E2407" s="213">
        <v>0</v>
      </c>
      <c r="F2407" s="213">
        <v>0</v>
      </c>
      <c r="G2407" s="213">
        <v>0</v>
      </c>
      <c r="H2407" s="213">
        <v>0</v>
      </c>
      <c r="I2407" s="213">
        <v>0</v>
      </c>
      <c r="J2407" s="213">
        <v>0</v>
      </c>
    </row>
    <row r="2408" spans="1:10">
      <c r="A2408" s="211" t="s">
        <v>165</v>
      </c>
      <c r="B2408" s="211" t="s">
        <v>13</v>
      </c>
      <c r="C2408" s="212">
        <v>0.50416666666666698</v>
      </c>
      <c r="D2408" s="213">
        <v>0</v>
      </c>
      <c r="E2408" s="213">
        <v>0</v>
      </c>
      <c r="F2408" s="213">
        <v>0</v>
      </c>
      <c r="G2408" s="213">
        <v>0</v>
      </c>
      <c r="H2408" s="213">
        <v>0</v>
      </c>
      <c r="I2408" s="213">
        <v>0</v>
      </c>
      <c r="J2408" s="213">
        <v>0</v>
      </c>
    </row>
    <row r="2409" spans="1:10">
      <c r="A2409" s="211" t="s">
        <v>165</v>
      </c>
      <c r="B2409" s="211" t="s">
        <v>13</v>
      </c>
      <c r="C2409" s="212">
        <v>0.50486111111111098</v>
      </c>
      <c r="D2409" s="213">
        <v>0</v>
      </c>
      <c r="E2409" s="213">
        <v>0</v>
      </c>
      <c r="F2409" s="213">
        <v>0</v>
      </c>
      <c r="G2409" s="213">
        <v>0</v>
      </c>
      <c r="H2409" s="213">
        <v>0</v>
      </c>
      <c r="I2409" s="213">
        <v>0</v>
      </c>
      <c r="J2409" s="213">
        <v>0</v>
      </c>
    </row>
    <row r="2410" spans="1:10">
      <c r="A2410" s="211" t="s">
        <v>165</v>
      </c>
      <c r="B2410" s="211" t="s">
        <v>13</v>
      </c>
      <c r="C2410" s="212">
        <v>0.50555555555555598</v>
      </c>
      <c r="D2410" s="213">
        <v>0</v>
      </c>
      <c r="E2410" s="213">
        <v>0</v>
      </c>
      <c r="F2410" s="213">
        <v>0</v>
      </c>
      <c r="G2410" s="213">
        <v>0</v>
      </c>
      <c r="H2410" s="213">
        <v>0</v>
      </c>
      <c r="I2410" s="213">
        <v>0</v>
      </c>
      <c r="J2410" s="213">
        <v>0</v>
      </c>
    </row>
    <row r="2411" spans="1:10">
      <c r="A2411" s="211" t="s">
        <v>165</v>
      </c>
      <c r="B2411" s="211" t="s">
        <v>13</v>
      </c>
      <c r="C2411" s="212">
        <v>0.50624999999999998</v>
      </c>
      <c r="D2411" s="213">
        <v>0</v>
      </c>
      <c r="E2411" s="213">
        <v>0</v>
      </c>
      <c r="F2411" s="213">
        <v>0</v>
      </c>
      <c r="G2411" s="213">
        <v>0</v>
      </c>
      <c r="H2411" s="213">
        <v>0</v>
      </c>
      <c r="I2411" s="213">
        <v>0</v>
      </c>
      <c r="J2411" s="213">
        <v>0</v>
      </c>
    </row>
    <row r="2412" spans="1:10">
      <c r="A2412" s="211" t="s">
        <v>165</v>
      </c>
      <c r="B2412" s="211" t="s">
        <v>13</v>
      </c>
      <c r="C2412" s="212">
        <v>0.50694444444444398</v>
      </c>
      <c r="D2412" s="213">
        <v>0</v>
      </c>
      <c r="E2412" s="213">
        <v>0</v>
      </c>
      <c r="F2412" s="213">
        <v>0</v>
      </c>
      <c r="G2412" s="213">
        <v>0</v>
      </c>
      <c r="H2412" s="213">
        <v>0</v>
      </c>
      <c r="I2412" s="213">
        <v>0</v>
      </c>
      <c r="J2412" s="213">
        <v>0</v>
      </c>
    </row>
    <row r="2413" spans="1:10">
      <c r="A2413" s="211" t="s">
        <v>165</v>
      </c>
      <c r="B2413" s="211" t="s">
        <v>13</v>
      </c>
      <c r="C2413" s="212">
        <v>0.50763888888888897</v>
      </c>
      <c r="D2413" s="213">
        <v>0</v>
      </c>
      <c r="E2413" s="213">
        <v>0</v>
      </c>
      <c r="F2413" s="213">
        <v>0</v>
      </c>
      <c r="G2413" s="213">
        <v>0</v>
      </c>
      <c r="H2413" s="213">
        <v>0</v>
      </c>
      <c r="I2413" s="213">
        <v>0</v>
      </c>
      <c r="J2413" s="213">
        <v>0</v>
      </c>
    </row>
    <row r="2414" spans="1:10">
      <c r="A2414" s="211" t="s">
        <v>165</v>
      </c>
      <c r="B2414" s="211" t="s">
        <v>13</v>
      </c>
      <c r="C2414" s="212">
        <v>0.50833333333333297</v>
      </c>
      <c r="D2414" s="213">
        <v>0</v>
      </c>
      <c r="E2414" s="213">
        <v>0</v>
      </c>
      <c r="F2414" s="213">
        <v>0</v>
      </c>
      <c r="G2414" s="213">
        <v>0</v>
      </c>
      <c r="H2414" s="213">
        <v>0</v>
      </c>
      <c r="I2414" s="213">
        <v>0</v>
      </c>
      <c r="J2414" s="213">
        <v>0</v>
      </c>
    </row>
    <row r="2415" spans="1:10">
      <c r="A2415" s="211" t="s">
        <v>165</v>
      </c>
      <c r="B2415" s="211" t="s">
        <v>13</v>
      </c>
      <c r="C2415" s="212">
        <v>0.50902777777777797</v>
      </c>
      <c r="D2415" s="213">
        <v>0</v>
      </c>
      <c r="E2415" s="213">
        <v>0</v>
      </c>
      <c r="F2415" s="213">
        <v>0</v>
      </c>
      <c r="G2415" s="213">
        <v>0</v>
      </c>
      <c r="H2415" s="213">
        <v>0</v>
      </c>
      <c r="I2415" s="213">
        <v>0</v>
      </c>
      <c r="J2415" s="213">
        <v>0</v>
      </c>
    </row>
    <row r="2416" spans="1:10" s="80" customFormat="1">
      <c r="A2416" s="214" t="s">
        <v>165</v>
      </c>
      <c r="B2416" s="214" t="s">
        <v>13</v>
      </c>
      <c r="C2416" s="215">
        <v>0.50972222222222197</v>
      </c>
      <c r="D2416" s="216">
        <v>0</v>
      </c>
      <c r="E2416" s="216">
        <v>0</v>
      </c>
      <c r="F2416" s="216">
        <v>0</v>
      </c>
      <c r="G2416" s="216">
        <v>0</v>
      </c>
      <c r="H2416" s="216">
        <v>0</v>
      </c>
      <c r="I2416" s="216">
        <v>0</v>
      </c>
      <c r="J2416" s="216">
        <v>0</v>
      </c>
    </row>
    <row r="2417" spans="1:10">
      <c r="A2417" s="211" t="s">
        <v>165</v>
      </c>
      <c r="B2417" s="211" t="s">
        <v>13</v>
      </c>
      <c r="C2417" s="212">
        <v>0.51041666666666663</v>
      </c>
      <c r="D2417" s="213">
        <v>0</v>
      </c>
      <c r="E2417" s="213">
        <v>0</v>
      </c>
      <c r="F2417" s="213">
        <v>0</v>
      </c>
      <c r="G2417" s="213">
        <v>0</v>
      </c>
      <c r="H2417" s="213">
        <v>0</v>
      </c>
      <c r="I2417" s="213">
        <v>0</v>
      </c>
      <c r="J2417" s="213">
        <v>0</v>
      </c>
    </row>
    <row r="2418" spans="1:10">
      <c r="A2418" s="211" t="s">
        <v>165</v>
      </c>
      <c r="B2418" s="211" t="s">
        <v>13</v>
      </c>
      <c r="C2418" s="212">
        <v>0.51111111111111107</v>
      </c>
      <c r="D2418" s="213">
        <v>0</v>
      </c>
      <c r="E2418" s="213">
        <v>0</v>
      </c>
      <c r="F2418" s="213">
        <v>0</v>
      </c>
      <c r="G2418" s="213">
        <v>0</v>
      </c>
      <c r="H2418" s="213">
        <v>0</v>
      </c>
      <c r="I2418" s="213">
        <v>0</v>
      </c>
      <c r="J2418" s="213">
        <v>0</v>
      </c>
    </row>
    <row r="2419" spans="1:10">
      <c r="A2419" s="211" t="s">
        <v>165</v>
      </c>
      <c r="B2419" s="211" t="s">
        <v>13</v>
      </c>
      <c r="C2419" s="212">
        <v>0.51180555555555551</v>
      </c>
      <c r="D2419" s="213">
        <v>0</v>
      </c>
      <c r="E2419" s="213">
        <v>0</v>
      </c>
      <c r="F2419" s="213">
        <v>0</v>
      </c>
      <c r="G2419" s="213">
        <v>0</v>
      </c>
      <c r="H2419" s="213">
        <v>0</v>
      </c>
      <c r="I2419" s="213">
        <v>0</v>
      </c>
      <c r="J2419" s="213">
        <v>0</v>
      </c>
    </row>
    <row r="2420" spans="1:10">
      <c r="A2420" s="211" t="s">
        <v>165</v>
      </c>
      <c r="B2420" s="211" t="s">
        <v>13</v>
      </c>
      <c r="C2420" s="212">
        <v>0.51249999999999996</v>
      </c>
      <c r="D2420" s="213">
        <v>0</v>
      </c>
      <c r="E2420" s="213">
        <v>0</v>
      </c>
      <c r="F2420" s="213">
        <v>0</v>
      </c>
      <c r="G2420" s="213">
        <v>0</v>
      </c>
      <c r="H2420" s="213">
        <v>0</v>
      </c>
      <c r="I2420" s="213">
        <v>0</v>
      </c>
      <c r="J2420" s="213">
        <v>0</v>
      </c>
    </row>
    <row r="2421" spans="1:10">
      <c r="A2421" s="211" t="s">
        <v>165</v>
      </c>
      <c r="B2421" s="211" t="s">
        <v>13</v>
      </c>
      <c r="C2421" s="212">
        <v>0.5131944444444444</v>
      </c>
      <c r="D2421" s="213">
        <v>0</v>
      </c>
      <c r="E2421" s="213">
        <v>0</v>
      </c>
      <c r="F2421" s="213">
        <v>0</v>
      </c>
      <c r="G2421" s="213">
        <v>0</v>
      </c>
      <c r="H2421" s="213">
        <v>0</v>
      </c>
      <c r="I2421" s="213">
        <v>0</v>
      </c>
      <c r="J2421" s="213">
        <v>0</v>
      </c>
    </row>
    <row r="2422" spans="1:10">
      <c r="A2422" s="211" t="s">
        <v>165</v>
      </c>
      <c r="B2422" s="211" t="s">
        <v>13</v>
      </c>
      <c r="C2422" s="212">
        <v>0.51388888888888884</v>
      </c>
      <c r="D2422" s="213">
        <v>0</v>
      </c>
      <c r="E2422" s="213">
        <v>0</v>
      </c>
      <c r="F2422" s="213">
        <v>0</v>
      </c>
      <c r="G2422" s="213">
        <v>0</v>
      </c>
      <c r="H2422" s="213">
        <v>0</v>
      </c>
      <c r="I2422" s="213">
        <v>0</v>
      </c>
      <c r="J2422" s="213">
        <v>0</v>
      </c>
    </row>
    <row r="2423" spans="1:10">
      <c r="A2423" s="211" t="s">
        <v>165</v>
      </c>
      <c r="B2423" s="211" t="s">
        <v>13</v>
      </c>
      <c r="C2423" s="212">
        <v>0.51458333333333328</v>
      </c>
      <c r="D2423" s="213">
        <v>0</v>
      </c>
      <c r="E2423" s="213">
        <v>0</v>
      </c>
      <c r="F2423" s="213">
        <v>0</v>
      </c>
      <c r="G2423" s="213">
        <v>0</v>
      </c>
      <c r="H2423" s="213">
        <v>0</v>
      </c>
      <c r="I2423" s="213">
        <v>0</v>
      </c>
      <c r="J2423" s="213">
        <v>0</v>
      </c>
    </row>
    <row r="2424" spans="1:10">
      <c r="A2424" s="211" t="s">
        <v>165</v>
      </c>
      <c r="B2424" s="211" t="s">
        <v>13</v>
      </c>
      <c r="C2424" s="212">
        <v>0.51527777777777772</v>
      </c>
      <c r="D2424" s="213">
        <v>0</v>
      </c>
      <c r="E2424" s="213">
        <v>0</v>
      </c>
      <c r="F2424" s="213">
        <v>0</v>
      </c>
      <c r="G2424" s="213">
        <v>0</v>
      </c>
      <c r="H2424" s="213">
        <v>0</v>
      </c>
      <c r="I2424" s="213">
        <v>0</v>
      </c>
      <c r="J2424" s="213">
        <v>0</v>
      </c>
    </row>
    <row r="2425" spans="1:10">
      <c r="A2425" s="211" t="s">
        <v>165</v>
      </c>
      <c r="B2425" s="211" t="s">
        <v>13</v>
      </c>
      <c r="C2425" s="212">
        <v>0.51597222222222228</v>
      </c>
      <c r="D2425" s="213">
        <v>0</v>
      </c>
      <c r="E2425" s="213">
        <v>0</v>
      </c>
      <c r="F2425" s="213">
        <v>0</v>
      </c>
      <c r="G2425" s="213">
        <v>0</v>
      </c>
      <c r="H2425" s="213">
        <v>0</v>
      </c>
      <c r="I2425" s="213">
        <v>0</v>
      </c>
      <c r="J2425" s="213">
        <v>0</v>
      </c>
    </row>
    <row r="2426" spans="1:10">
      <c r="A2426" s="211" t="s">
        <v>165</v>
      </c>
      <c r="B2426" s="211" t="s">
        <v>13</v>
      </c>
      <c r="C2426" s="212">
        <v>0.51666666666666672</v>
      </c>
      <c r="D2426" s="213">
        <v>0</v>
      </c>
      <c r="E2426" s="213">
        <v>0</v>
      </c>
      <c r="F2426" s="213">
        <v>0</v>
      </c>
      <c r="G2426" s="213">
        <v>0</v>
      </c>
      <c r="H2426" s="213">
        <v>0</v>
      </c>
      <c r="I2426" s="213">
        <v>0</v>
      </c>
      <c r="J2426" s="213">
        <v>0</v>
      </c>
    </row>
    <row r="2427" spans="1:10">
      <c r="A2427" s="211" t="s">
        <v>165</v>
      </c>
      <c r="B2427" s="211" t="s">
        <v>13</v>
      </c>
      <c r="C2427" s="212">
        <v>0.51736111111111116</v>
      </c>
      <c r="D2427" s="213">
        <v>0</v>
      </c>
      <c r="E2427" s="213">
        <v>0</v>
      </c>
      <c r="F2427" s="213">
        <v>0</v>
      </c>
      <c r="G2427" s="213">
        <v>0</v>
      </c>
      <c r="H2427" s="213">
        <v>0</v>
      </c>
      <c r="I2427" s="213">
        <v>0</v>
      </c>
      <c r="J2427" s="213">
        <v>0</v>
      </c>
    </row>
    <row r="2428" spans="1:10">
      <c r="A2428" s="211" t="s">
        <v>165</v>
      </c>
      <c r="B2428" s="211" t="s">
        <v>13</v>
      </c>
      <c r="C2428" s="212">
        <v>0.5180555555555556</v>
      </c>
      <c r="D2428" s="213">
        <v>0</v>
      </c>
      <c r="E2428" s="213">
        <v>0</v>
      </c>
      <c r="F2428" s="213">
        <v>0</v>
      </c>
      <c r="G2428" s="213">
        <v>0</v>
      </c>
      <c r="H2428" s="213">
        <v>0</v>
      </c>
      <c r="I2428" s="213">
        <v>0</v>
      </c>
      <c r="J2428" s="213">
        <v>0</v>
      </c>
    </row>
    <row r="2429" spans="1:10">
      <c r="A2429" s="211" t="s">
        <v>165</v>
      </c>
      <c r="B2429" s="211" t="s">
        <v>13</v>
      </c>
      <c r="C2429" s="212">
        <v>0.51875000000000004</v>
      </c>
      <c r="D2429" s="213">
        <v>0</v>
      </c>
      <c r="E2429" s="213">
        <v>0</v>
      </c>
      <c r="F2429" s="213">
        <v>0</v>
      </c>
      <c r="G2429" s="213">
        <v>0</v>
      </c>
      <c r="H2429" s="213">
        <v>0</v>
      </c>
      <c r="I2429" s="213">
        <v>0</v>
      </c>
      <c r="J2429" s="213">
        <v>0</v>
      </c>
    </row>
    <row r="2430" spans="1:10">
      <c r="A2430" s="211" t="s">
        <v>165</v>
      </c>
      <c r="B2430" s="211" t="s">
        <v>13</v>
      </c>
      <c r="C2430" s="212">
        <v>0.51944444444444449</v>
      </c>
      <c r="D2430" s="213">
        <v>0</v>
      </c>
      <c r="E2430" s="213">
        <v>0</v>
      </c>
      <c r="F2430" s="213">
        <v>0</v>
      </c>
      <c r="G2430" s="213">
        <v>0</v>
      </c>
      <c r="H2430" s="213">
        <v>0</v>
      </c>
      <c r="I2430" s="213">
        <v>0</v>
      </c>
      <c r="J2430" s="213">
        <v>0</v>
      </c>
    </row>
    <row r="2431" spans="1:10" s="80" customFormat="1">
      <c r="A2431" s="214" t="s">
        <v>165</v>
      </c>
      <c r="B2431" s="214" t="s">
        <v>13</v>
      </c>
      <c r="C2431" s="215">
        <v>0.52013888888888893</v>
      </c>
      <c r="D2431" s="213">
        <v>0</v>
      </c>
      <c r="E2431" s="213">
        <v>0</v>
      </c>
      <c r="F2431" s="213">
        <v>0</v>
      </c>
      <c r="G2431" s="213">
        <v>0</v>
      </c>
      <c r="H2431" s="213">
        <v>0</v>
      </c>
      <c r="I2431" s="213">
        <v>0</v>
      </c>
      <c r="J2431" s="213">
        <v>0</v>
      </c>
    </row>
    <row r="2432" spans="1:10">
      <c r="A2432" s="211" t="s">
        <v>165</v>
      </c>
      <c r="B2432" s="211" t="s">
        <v>13</v>
      </c>
      <c r="C2432" s="212">
        <v>0.52083333333333337</v>
      </c>
      <c r="D2432" s="217">
        <v>0</v>
      </c>
      <c r="E2432" s="217">
        <v>0</v>
      </c>
      <c r="F2432" s="217">
        <v>0</v>
      </c>
      <c r="G2432" s="217">
        <v>0</v>
      </c>
      <c r="H2432" s="217">
        <v>0</v>
      </c>
      <c r="I2432" s="217">
        <v>0</v>
      </c>
      <c r="J2432" s="217">
        <v>0</v>
      </c>
    </row>
    <row r="2433" spans="1:10">
      <c r="A2433" s="211" t="s">
        <v>165</v>
      </c>
      <c r="B2433" s="211" t="s">
        <v>13</v>
      </c>
      <c r="C2433" s="212">
        <v>0.52152777777777781</v>
      </c>
      <c r="D2433" s="213">
        <v>0</v>
      </c>
      <c r="E2433" s="213">
        <v>0</v>
      </c>
      <c r="F2433" s="213">
        <v>0</v>
      </c>
      <c r="G2433" s="213">
        <v>0</v>
      </c>
      <c r="H2433" s="213">
        <v>0</v>
      </c>
      <c r="I2433" s="213">
        <v>0</v>
      </c>
      <c r="J2433" s="213">
        <v>0</v>
      </c>
    </row>
    <row r="2434" spans="1:10">
      <c r="A2434" s="211" t="s">
        <v>165</v>
      </c>
      <c r="B2434" s="211" t="s">
        <v>13</v>
      </c>
      <c r="C2434" s="212">
        <v>0.52222222222222225</v>
      </c>
      <c r="D2434" s="213">
        <v>0</v>
      </c>
      <c r="E2434" s="213">
        <v>0</v>
      </c>
      <c r="F2434" s="213">
        <v>0</v>
      </c>
      <c r="G2434" s="213">
        <v>0</v>
      </c>
      <c r="H2434" s="213">
        <v>0</v>
      </c>
      <c r="I2434" s="213">
        <v>0</v>
      </c>
      <c r="J2434" s="213">
        <v>0</v>
      </c>
    </row>
    <row r="2435" spans="1:10">
      <c r="A2435" s="211" t="s">
        <v>165</v>
      </c>
      <c r="B2435" s="211" t="s">
        <v>13</v>
      </c>
      <c r="C2435" s="212">
        <v>0.5229166666666667</v>
      </c>
      <c r="D2435" s="213">
        <v>0</v>
      </c>
      <c r="E2435" s="213">
        <v>0</v>
      </c>
      <c r="F2435" s="213">
        <v>0</v>
      </c>
      <c r="G2435" s="213">
        <v>0</v>
      </c>
      <c r="H2435" s="213">
        <v>0</v>
      </c>
      <c r="I2435" s="213">
        <v>0</v>
      </c>
      <c r="J2435" s="213">
        <v>0</v>
      </c>
    </row>
    <row r="2436" spans="1:10">
      <c r="A2436" s="211" t="s">
        <v>165</v>
      </c>
      <c r="B2436" s="211" t="s">
        <v>13</v>
      </c>
      <c r="C2436" s="212">
        <v>0.52361111111111114</v>
      </c>
      <c r="D2436" s="213">
        <v>0</v>
      </c>
      <c r="E2436" s="213">
        <v>0</v>
      </c>
      <c r="F2436" s="213">
        <v>0</v>
      </c>
      <c r="G2436" s="213">
        <v>0</v>
      </c>
      <c r="H2436" s="213">
        <v>0</v>
      </c>
      <c r="I2436" s="213">
        <v>0</v>
      </c>
      <c r="J2436" s="213">
        <v>0</v>
      </c>
    </row>
    <row r="2437" spans="1:10">
      <c r="A2437" s="211" t="s">
        <v>165</v>
      </c>
      <c r="B2437" s="211" t="s">
        <v>13</v>
      </c>
      <c r="C2437" s="212">
        <v>0.52430555555555558</v>
      </c>
      <c r="D2437" s="213">
        <v>0</v>
      </c>
      <c r="E2437" s="213">
        <v>0</v>
      </c>
      <c r="F2437" s="213">
        <v>0</v>
      </c>
      <c r="G2437" s="213">
        <v>0</v>
      </c>
      <c r="H2437" s="213">
        <v>0</v>
      </c>
      <c r="I2437" s="213">
        <v>0</v>
      </c>
      <c r="J2437" s="213">
        <v>0</v>
      </c>
    </row>
    <row r="2438" spans="1:10">
      <c r="A2438" s="211" t="s">
        <v>165</v>
      </c>
      <c r="B2438" s="211" t="s">
        <v>13</v>
      </c>
      <c r="C2438" s="212">
        <v>0.52500000000000002</v>
      </c>
      <c r="D2438" s="213">
        <v>0</v>
      </c>
      <c r="E2438" s="213">
        <v>0</v>
      </c>
      <c r="F2438" s="213">
        <v>0</v>
      </c>
      <c r="G2438" s="213">
        <v>0</v>
      </c>
      <c r="H2438" s="213">
        <v>0</v>
      </c>
      <c r="I2438" s="213">
        <v>0</v>
      </c>
      <c r="J2438" s="213">
        <v>0</v>
      </c>
    </row>
    <row r="2439" spans="1:10">
      <c r="A2439" s="211" t="s">
        <v>165</v>
      </c>
      <c r="B2439" s="211" t="s">
        <v>13</v>
      </c>
      <c r="C2439" s="212">
        <v>0.52569444444444446</v>
      </c>
      <c r="D2439" s="213">
        <v>0</v>
      </c>
      <c r="E2439" s="213">
        <v>0</v>
      </c>
      <c r="F2439" s="213">
        <v>0</v>
      </c>
      <c r="G2439" s="213">
        <v>0</v>
      </c>
      <c r="H2439" s="213">
        <v>0</v>
      </c>
      <c r="I2439" s="213">
        <v>0</v>
      </c>
      <c r="J2439" s="213">
        <v>0</v>
      </c>
    </row>
    <row r="2440" spans="1:10">
      <c r="A2440" s="211" t="s">
        <v>165</v>
      </c>
      <c r="B2440" s="211" t="s">
        <v>13</v>
      </c>
      <c r="C2440" s="212">
        <v>0.52638888888888891</v>
      </c>
      <c r="D2440" s="213">
        <v>0</v>
      </c>
      <c r="E2440" s="213">
        <v>0</v>
      </c>
      <c r="F2440" s="213">
        <v>0</v>
      </c>
      <c r="G2440" s="213">
        <v>0</v>
      </c>
      <c r="H2440" s="213">
        <v>0</v>
      </c>
      <c r="I2440" s="213">
        <v>0</v>
      </c>
      <c r="J2440" s="213">
        <v>0</v>
      </c>
    </row>
    <row r="2441" spans="1:10">
      <c r="A2441" s="211" t="s">
        <v>165</v>
      </c>
      <c r="B2441" s="211" t="s">
        <v>13</v>
      </c>
      <c r="C2441" s="212">
        <v>0.52708333333333335</v>
      </c>
      <c r="D2441" s="213">
        <v>0</v>
      </c>
      <c r="E2441" s="213">
        <v>0</v>
      </c>
      <c r="F2441" s="213">
        <v>0</v>
      </c>
      <c r="G2441" s="213">
        <v>0</v>
      </c>
      <c r="H2441" s="213">
        <v>0</v>
      </c>
      <c r="I2441" s="213">
        <v>0</v>
      </c>
      <c r="J2441" s="213">
        <v>0</v>
      </c>
    </row>
    <row r="2442" spans="1:10">
      <c r="A2442" s="211" t="s">
        <v>165</v>
      </c>
      <c r="B2442" s="211" t="s">
        <v>13</v>
      </c>
      <c r="C2442" s="212">
        <v>0.52777777777777779</v>
      </c>
      <c r="D2442" s="213">
        <v>0</v>
      </c>
      <c r="E2442" s="213">
        <v>0</v>
      </c>
      <c r="F2442" s="213">
        <v>0</v>
      </c>
      <c r="G2442" s="213">
        <v>0</v>
      </c>
      <c r="H2442" s="213">
        <v>0</v>
      </c>
      <c r="I2442" s="213">
        <v>0</v>
      </c>
      <c r="J2442" s="213">
        <v>0</v>
      </c>
    </row>
    <row r="2443" spans="1:10">
      <c r="A2443" s="211" t="s">
        <v>165</v>
      </c>
      <c r="B2443" s="211" t="s">
        <v>13</v>
      </c>
      <c r="C2443" s="212">
        <v>0.52847222222222223</v>
      </c>
      <c r="D2443" s="213">
        <v>0</v>
      </c>
      <c r="E2443" s="213">
        <v>0</v>
      </c>
      <c r="F2443" s="213">
        <v>0</v>
      </c>
      <c r="G2443" s="213">
        <v>0</v>
      </c>
      <c r="H2443" s="213">
        <v>0</v>
      </c>
      <c r="I2443" s="213">
        <v>0</v>
      </c>
      <c r="J2443" s="213">
        <v>0</v>
      </c>
    </row>
    <row r="2444" spans="1:10">
      <c r="A2444" s="211" t="s">
        <v>165</v>
      </c>
      <c r="B2444" s="211" t="s">
        <v>13</v>
      </c>
      <c r="C2444" s="212">
        <v>0.52916666666666667</v>
      </c>
      <c r="D2444" s="213">
        <v>0</v>
      </c>
      <c r="E2444" s="213">
        <v>0</v>
      </c>
      <c r="F2444" s="213">
        <v>0</v>
      </c>
      <c r="G2444" s="213">
        <v>0</v>
      </c>
      <c r="H2444" s="213">
        <v>0</v>
      </c>
      <c r="I2444" s="213">
        <v>0</v>
      </c>
      <c r="J2444" s="213">
        <v>0</v>
      </c>
    </row>
    <row r="2445" spans="1:10">
      <c r="A2445" s="211" t="s">
        <v>165</v>
      </c>
      <c r="B2445" s="211" t="s">
        <v>13</v>
      </c>
      <c r="C2445" s="212">
        <v>0.52986111111111112</v>
      </c>
      <c r="D2445" s="213">
        <v>0</v>
      </c>
      <c r="E2445" s="213">
        <v>0</v>
      </c>
      <c r="F2445" s="213">
        <v>0</v>
      </c>
      <c r="G2445" s="213">
        <v>0</v>
      </c>
      <c r="H2445" s="213">
        <v>0</v>
      </c>
      <c r="I2445" s="213">
        <v>0</v>
      </c>
      <c r="J2445" s="213">
        <v>0</v>
      </c>
    </row>
    <row r="2446" spans="1:10" s="80" customFormat="1">
      <c r="A2446" s="214" t="s">
        <v>165</v>
      </c>
      <c r="B2446" s="214" t="s">
        <v>13</v>
      </c>
      <c r="C2446" s="215">
        <v>0.53055555555555556</v>
      </c>
      <c r="D2446" s="216">
        <v>0</v>
      </c>
      <c r="E2446" s="216">
        <v>0</v>
      </c>
      <c r="F2446" s="216">
        <v>0</v>
      </c>
      <c r="G2446" s="216">
        <v>0</v>
      </c>
      <c r="H2446" s="216">
        <v>0</v>
      </c>
      <c r="I2446" s="216">
        <v>0</v>
      </c>
      <c r="J2446" s="216">
        <v>0</v>
      </c>
    </row>
    <row r="2447" spans="1:10">
      <c r="A2447" s="211" t="s">
        <v>165</v>
      </c>
      <c r="B2447" s="211" t="s">
        <v>13</v>
      </c>
      <c r="C2447" s="212">
        <v>0.53125</v>
      </c>
      <c r="D2447" s="217">
        <v>0</v>
      </c>
      <c r="E2447" s="217">
        <v>0</v>
      </c>
      <c r="F2447" s="217">
        <v>0</v>
      </c>
      <c r="G2447" s="217">
        <v>0</v>
      </c>
      <c r="H2447" s="217">
        <v>0</v>
      </c>
      <c r="I2447" s="217">
        <v>0</v>
      </c>
      <c r="J2447" s="217">
        <v>0</v>
      </c>
    </row>
    <row r="2448" spans="1:10">
      <c r="A2448" s="211" t="s">
        <v>165</v>
      </c>
      <c r="B2448" s="211" t="s">
        <v>13</v>
      </c>
      <c r="C2448" s="212">
        <v>0.53194444444444444</v>
      </c>
      <c r="D2448" s="213">
        <v>0</v>
      </c>
      <c r="E2448" s="213">
        <v>0</v>
      </c>
      <c r="F2448" s="213">
        <v>0</v>
      </c>
      <c r="G2448" s="213">
        <v>0</v>
      </c>
      <c r="H2448" s="213">
        <v>0</v>
      </c>
      <c r="I2448" s="213">
        <v>0</v>
      </c>
      <c r="J2448" s="213">
        <v>0</v>
      </c>
    </row>
    <row r="2449" spans="1:10">
      <c r="A2449" s="211" t="s">
        <v>165</v>
      </c>
      <c r="B2449" s="211" t="s">
        <v>13</v>
      </c>
      <c r="C2449" s="212">
        <v>0.53263888888888888</v>
      </c>
      <c r="D2449" s="213">
        <v>0</v>
      </c>
      <c r="E2449" s="213">
        <v>0</v>
      </c>
      <c r="F2449" s="213">
        <v>0</v>
      </c>
      <c r="G2449" s="213">
        <v>0</v>
      </c>
      <c r="H2449" s="213">
        <v>0</v>
      </c>
      <c r="I2449" s="213">
        <v>0</v>
      </c>
      <c r="J2449" s="213">
        <v>0</v>
      </c>
    </row>
    <row r="2450" spans="1:10">
      <c r="A2450" s="211" t="s">
        <v>165</v>
      </c>
      <c r="B2450" s="211" t="s">
        <v>13</v>
      </c>
      <c r="C2450" s="212">
        <v>0.53333333333333333</v>
      </c>
      <c r="D2450" s="213">
        <v>0</v>
      </c>
      <c r="E2450" s="213">
        <v>0</v>
      </c>
      <c r="F2450" s="213">
        <v>0</v>
      </c>
      <c r="G2450" s="213">
        <v>0</v>
      </c>
      <c r="H2450" s="213">
        <v>0</v>
      </c>
      <c r="I2450" s="213">
        <v>0</v>
      </c>
      <c r="J2450" s="213">
        <v>0</v>
      </c>
    </row>
    <row r="2451" spans="1:10">
      <c r="A2451" s="211" t="s">
        <v>165</v>
      </c>
      <c r="B2451" s="211" t="s">
        <v>13</v>
      </c>
      <c r="C2451" s="212">
        <v>0.53402777777777777</v>
      </c>
      <c r="D2451" s="213">
        <v>0</v>
      </c>
      <c r="E2451" s="213">
        <v>0</v>
      </c>
      <c r="F2451" s="213">
        <v>0</v>
      </c>
      <c r="G2451" s="213">
        <v>0</v>
      </c>
      <c r="H2451" s="213">
        <v>0</v>
      </c>
      <c r="I2451" s="213">
        <v>0</v>
      </c>
      <c r="J2451" s="213">
        <v>0</v>
      </c>
    </row>
    <row r="2452" spans="1:10">
      <c r="A2452" s="211" t="s">
        <v>165</v>
      </c>
      <c r="B2452" s="211" t="s">
        <v>13</v>
      </c>
      <c r="C2452" s="212">
        <v>0.53472222222222221</v>
      </c>
      <c r="D2452" s="213">
        <v>0</v>
      </c>
      <c r="E2452" s="213">
        <v>0</v>
      </c>
      <c r="F2452" s="213">
        <v>0</v>
      </c>
      <c r="G2452" s="213">
        <v>0</v>
      </c>
      <c r="H2452" s="213">
        <v>0</v>
      </c>
      <c r="I2452" s="213">
        <v>0</v>
      </c>
      <c r="J2452" s="213">
        <v>0</v>
      </c>
    </row>
    <row r="2453" spans="1:10">
      <c r="A2453" s="211" t="s">
        <v>165</v>
      </c>
      <c r="B2453" s="211" t="s">
        <v>13</v>
      </c>
      <c r="C2453" s="212">
        <v>0.53541666666666665</v>
      </c>
      <c r="D2453" s="213">
        <v>0</v>
      </c>
      <c r="E2453" s="213">
        <v>0</v>
      </c>
      <c r="F2453" s="213">
        <v>0</v>
      </c>
      <c r="G2453" s="213">
        <v>0</v>
      </c>
      <c r="H2453" s="213">
        <v>0</v>
      </c>
      <c r="I2453" s="213">
        <v>0</v>
      </c>
      <c r="J2453" s="213">
        <v>0</v>
      </c>
    </row>
    <row r="2454" spans="1:10">
      <c r="A2454" s="211" t="s">
        <v>165</v>
      </c>
      <c r="B2454" s="211" t="s">
        <v>13</v>
      </c>
      <c r="C2454" s="212">
        <v>0.53611111111111109</v>
      </c>
      <c r="D2454" s="213">
        <v>0</v>
      </c>
      <c r="E2454" s="213">
        <v>0</v>
      </c>
      <c r="F2454" s="213">
        <v>0</v>
      </c>
      <c r="G2454" s="213">
        <v>0</v>
      </c>
      <c r="H2454" s="213">
        <v>0</v>
      </c>
      <c r="I2454" s="213">
        <v>0</v>
      </c>
      <c r="J2454" s="213">
        <v>0</v>
      </c>
    </row>
    <row r="2455" spans="1:10">
      <c r="A2455" s="211" t="s">
        <v>165</v>
      </c>
      <c r="B2455" s="211" t="s">
        <v>13</v>
      </c>
      <c r="C2455" s="212">
        <v>0.53680555555555554</v>
      </c>
      <c r="D2455" s="213">
        <v>0</v>
      </c>
      <c r="E2455" s="213">
        <v>0</v>
      </c>
      <c r="F2455" s="213">
        <v>0</v>
      </c>
      <c r="G2455" s="213">
        <v>0</v>
      </c>
      <c r="H2455" s="213">
        <v>0</v>
      </c>
      <c r="I2455" s="213">
        <v>0</v>
      </c>
      <c r="J2455" s="213">
        <v>0</v>
      </c>
    </row>
    <row r="2456" spans="1:10">
      <c r="A2456" s="211" t="s">
        <v>165</v>
      </c>
      <c r="B2456" s="211" t="s">
        <v>13</v>
      </c>
      <c r="C2456" s="212">
        <v>0.53749999999999998</v>
      </c>
      <c r="D2456" s="213">
        <v>0</v>
      </c>
      <c r="E2456" s="213">
        <v>0</v>
      </c>
      <c r="F2456" s="213">
        <v>0</v>
      </c>
      <c r="G2456" s="213">
        <v>0</v>
      </c>
      <c r="H2456" s="213">
        <v>0</v>
      </c>
      <c r="I2456" s="213">
        <v>0</v>
      </c>
      <c r="J2456" s="213">
        <v>0</v>
      </c>
    </row>
    <row r="2457" spans="1:10">
      <c r="A2457" s="211" t="s">
        <v>165</v>
      </c>
      <c r="B2457" s="211" t="s">
        <v>13</v>
      </c>
      <c r="C2457" s="212">
        <v>0.53819444444444442</v>
      </c>
      <c r="D2457" s="213">
        <v>0</v>
      </c>
      <c r="E2457" s="213">
        <v>0</v>
      </c>
      <c r="F2457" s="213">
        <v>0</v>
      </c>
      <c r="G2457" s="213">
        <v>0</v>
      </c>
      <c r="H2457" s="213">
        <v>0</v>
      </c>
      <c r="I2457" s="213">
        <v>0</v>
      </c>
      <c r="J2457" s="213">
        <v>0</v>
      </c>
    </row>
    <row r="2458" spans="1:10">
      <c r="A2458" s="211" t="s">
        <v>165</v>
      </c>
      <c r="B2458" s="211" t="s">
        <v>13</v>
      </c>
      <c r="C2458" s="212">
        <v>0.53888888888888886</v>
      </c>
      <c r="D2458" s="213">
        <v>0</v>
      </c>
      <c r="E2458" s="213">
        <v>0</v>
      </c>
      <c r="F2458" s="213">
        <v>0</v>
      </c>
      <c r="G2458" s="213">
        <v>0</v>
      </c>
      <c r="H2458" s="213">
        <v>0</v>
      </c>
      <c r="I2458" s="213">
        <v>0</v>
      </c>
      <c r="J2458" s="213">
        <v>0</v>
      </c>
    </row>
    <row r="2459" spans="1:10">
      <c r="A2459" s="211" t="s">
        <v>165</v>
      </c>
      <c r="B2459" s="211" t="s">
        <v>13</v>
      </c>
      <c r="C2459" s="212">
        <v>0.5395833333333333</v>
      </c>
      <c r="D2459" s="213">
        <v>0</v>
      </c>
      <c r="E2459" s="213">
        <v>0</v>
      </c>
      <c r="F2459" s="213">
        <v>0</v>
      </c>
      <c r="G2459" s="213">
        <v>0</v>
      </c>
      <c r="H2459" s="213">
        <v>0</v>
      </c>
      <c r="I2459" s="213">
        <v>0</v>
      </c>
      <c r="J2459" s="213">
        <v>0</v>
      </c>
    </row>
    <row r="2460" spans="1:10">
      <c r="A2460" s="211" t="s">
        <v>165</v>
      </c>
      <c r="B2460" s="211" t="s">
        <v>13</v>
      </c>
      <c r="C2460" s="212">
        <v>0.54027777777777775</v>
      </c>
      <c r="D2460" s="213">
        <v>0</v>
      </c>
      <c r="E2460" s="213">
        <v>0</v>
      </c>
      <c r="F2460" s="213">
        <v>0</v>
      </c>
      <c r="G2460" s="213">
        <v>0</v>
      </c>
      <c r="H2460" s="213">
        <v>0</v>
      </c>
      <c r="I2460" s="213">
        <v>0</v>
      </c>
      <c r="J2460" s="213">
        <v>0</v>
      </c>
    </row>
    <row r="2461" spans="1:10" s="80" customFormat="1">
      <c r="A2461" s="214" t="s">
        <v>165</v>
      </c>
      <c r="B2461" s="214" t="s">
        <v>13</v>
      </c>
      <c r="C2461" s="215">
        <v>0.54097222222222219</v>
      </c>
      <c r="D2461" s="216">
        <v>0</v>
      </c>
      <c r="E2461" s="216">
        <v>0</v>
      </c>
      <c r="F2461" s="216">
        <v>0</v>
      </c>
      <c r="G2461" s="216">
        <v>0</v>
      </c>
      <c r="H2461" s="216">
        <v>0</v>
      </c>
      <c r="I2461" s="216">
        <v>0</v>
      </c>
      <c r="J2461" s="216">
        <v>0</v>
      </c>
    </row>
    <row r="2462" spans="1:10">
      <c r="A2462" s="211" t="s">
        <v>165</v>
      </c>
      <c r="B2462" s="211" t="s">
        <v>13</v>
      </c>
      <c r="C2462" s="212">
        <v>0.54166666666666663</v>
      </c>
      <c r="D2462" s="213">
        <v>0</v>
      </c>
      <c r="E2462" s="213">
        <v>0</v>
      </c>
      <c r="F2462" s="213">
        <v>0</v>
      </c>
      <c r="G2462" s="213">
        <v>0</v>
      </c>
      <c r="H2462" s="213">
        <v>0</v>
      </c>
      <c r="I2462" s="213">
        <v>0</v>
      </c>
      <c r="J2462" s="213">
        <v>0</v>
      </c>
    </row>
    <row r="2463" spans="1:10">
      <c r="A2463" s="211" t="s">
        <v>165</v>
      </c>
      <c r="B2463" s="211" t="s">
        <v>13</v>
      </c>
      <c r="C2463" s="212">
        <v>0.54236111111111107</v>
      </c>
      <c r="D2463" s="213">
        <v>0</v>
      </c>
      <c r="E2463" s="213">
        <v>0</v>
      </c>
      <c r="F2463" s="213">
        <v>0</v>
      </c>
      <c r="G2463" s="213">
        <v>0</v>
      </c>
      <c r="H2463" s="213">
        <v>0</v>
      </c>
      <c r="I2463" s="213">
        <v>0</v>
      </c>
      <c r="J2463" s="213">
        <v>0</v>
      </c>
    </row>
    <row r="2464" spans="1:10">
      <c r="A2464" s="211" t="s">
        <v>165</v>
      </c>
      <c r="B2464" s="211" t="s">
        <v>13</v>
      </c>
      <c r="C2464" s="212">
        <v>0.54305555555555551</v>
      </c>
      <c r="D2464" s="213">
        <v>0</v>
      </c>
      <c r="E2464" s="213">
        <v>0</v>
      </c>
      <c r="F2464" s="213">
        <v>0</v>
      </c>
      <c r="G2464" s="213">
        <v>0</v>
      </c>
      <c r="H2464" s="213">
        <v>0</v>
      </c>
      <c r="I2464" s="213">
        <v>0</v>
      </c>
      <c r="J2464" s="213">
        <v>0</v>
      </c>
    </row>
    <row r="2465" spans="1:10">
      <c r="A2465" s="211" t="s">
        <v>165</v>
      </c>
      <c r="B2465" s="211" t="s">
        <v>13</v>
      </c>
      <c r="C2465" s="212">
        <v>0.54374999999999996</v>
      </c>
      <c r="D2465" s="213">
        <v>0</v>
      </c>
      <c r="E2465" s="213">
        <v>0</v>
      </c>
      <c r="F2465" s="213">
        <v>0</v>
      </c>
      <c r="G2465" s="213">
        <v>0</v>
      </c>
      <c r="H2465" s="213">
        <v>0</v>
      </c>
      <c r="I2465" s="213">
        <v>0</v>
      </c>
      <c r="J2465" s="213">
        <v>0</v>
      </c>
    </row>
    <row r="2466" spans="1:10">
      <c r="A2466" s="211" t="s">
        <v>165</v>
      </c>
      <c r="B2466" s="211" t="s">
        <v>13</v>
      </c>
      <c r="C2466" s="212">
        <v>0.5444444444444444</v>
      </c>
      <c r="D2466" s="213">
        <v>0</v>
      </c>
      <c r="E2466" s="213">
        <v>0</v>
      </c>
      <c r="F2466" s="213">
        <v>0</v>
      </c>
      <c r="G2466" s="213">
        <v>0</v>
      </c>
      <c r="H2466" s="213">
        <v>0</v>
      </c>
      <c r="I2466" s="213">
        <v>0</v>
      </c>
      <c r="J2466" s="213">
        <v>0</v>
      </c>
    </row>
    <row r="2467" spans="1:10">
      <c r="A2467" s="211" t="s">
        <v>165</v>
      </c>
      <c r="B2467" s="211" t="s">
        <v>13</v>
      </c>
      <c r="C2467" s="212">
        <v>0.54513888888888884</v>
      </c>
      <c r="D2467" s="213">
        <v>0</v>
      </c>
      <c r="E2467" s="213">
        <v>0</v>
      </c>
      <c r="F2467" s="213">
        <v>0</v>
      </c>
      <c r="G2467" s="213">
        <v>0</v>
      </c>
      <c r="H2467" s="213">
        <v>0</v>
      </c>
      <c r="I2467" s="213">
        <v>0</v>
      </c>
      <c r="J2467" s="213">
        <v>0</v>
      </c>
    </row>
    <row r="2468" spans="1:10">
      <c r="A2468" s="211" t="s">
        <v>165</v>
      </c>
      <c r="B2468" s="211" t="s">
        <v>13</v>
      </c>
      <c r="C2468" s="212">
        <v>0.54583333333333328</v>
      </c>
      <c r="D2468" s="213">
        <v>0</v>
      </c>
      <c r="E2468" s="213">
        <v>0</v>
      </c>
      <c r="F2468" s="213">
        <v>0</v>
      </c>
      <c r="G2468" s="213">
        <v>0</v>
      </c>
      <c r="H2468" s="213">
        <v>0</v>
      </c>
      <c r="I2468" s="213">
        <v>0</v>
      </c>
      <c r="J2468" s="213">
        <v>0</v>
      </c>
    </row>
    <row r="2469" spans="1:10">
      <c r="A2469" s="211" t="s">
        <v>165</v>
      </c>
      <c r="B2469" s="211" t="s">
        <v>13</v>
      </c>
      <c r="C2469" s="212">
        <v>0.54652777777777772</v>
      </c>
      <c r="D2469" s="213">
        <v>0</v>
      </c>
      <c r="E2469" s="213">
        <v>0</v>
      </c>
      <c r="F2469" s="213">
        <v>0</v>
      </c>
      <c r="G2469" s="213">
        <v>0</v>
      </c>
      <c r="H2469" s="213">
        <v>0</v>
      </c>
      <c r="I2469" s="213">
        <v>0</v>
      </c>
      <c r="J2469" s="213">
        <v>0</v>
      </c>
    </row>
    <row r="2470" spans="1:10">
      <c r="A2470" s="211" t="s">
        <v>165</v>
      </c>
      <c r="B2470" s="211" t="s">
        <v>13</v>
      </c>
      <c r="C2470" s="212">
        <v>0.54722222222222228</v>
      </c>
      <c r="D2470" s="213">
        <v>0</v>
      </c>
      <c r="E2470" s="213">
        <v>0</v>
      </c>
      <c r="F2470" s="213">
        <v>0</v>
      </c>
      <c r="G2470" s="213">
        <v>0</v>
      </c>
      <c r="H2470" s="213">
        <v>0</v>
      </c>
      <c r="I2470" s="213">
        <v>0</v>
      </c>
      <c r="J2470" s="213">
        <v>0</v>
      </c>
    </row>
    <row r="2471" spans="1:10">
      <c r="A2471" s="211" t="s">
        <v>165</v>
      </c>
      <c r="B2471" s="211" t="s">
        <v>13</v>
      </c>
      <c r="C2471" s="212">
        <v>0.54791666666666672</v>
      </c>
      <c r="D2471" s="213">
        <v>0</v>
      </c>
      <c r="E2471" s="213">
        <v>0</v>
      </c>
      <c r="F2471" s="213">
        <v>0</v>
      </c>
      <c r="G2471" s="213">
        <v>0</v>
      </c>
      <c r="H2471" s="213">
        <v>0</v>
      </c>
      <c r="I2471" s="213">
        <v>0</v>
      </c>
      <c r="J2471" s="213">
        <v>0</v>
      </c>
    </row>
    <row r="2472" spans="1:10">
      <c r="A2472" s="211" t="s">
        <v>165</v>
      </c>
      <c r="B2472" s="211" t="s">
        <v>13</v>
      </c>
      <c r="C2472" s="212">
        <v>0.54861111111111116</v>
      </c>
      <c r="D2472" s="213">
        <v>0</v>
      </c>
      <c r="E2472" s="213">
        <v>0</v>
      </c>
      <c r="F2472" s="213">
        <v>0</v>
      </c>
      <c r="G2472" s="213">
        <v>0</v>
      </c>
      <c r="H2472" s="213">
        <v>0</v>
      </c>
      <c r="I2472" s="213">
        <v>0</v>
      </c>
      <c r="J2472" s="213">
        <v>0</v>
      </c>
    </row>
    <row r="2473" spans="1:10">
      <c r="A2473" s="211" t="s">
        <v>165</v>
      </c>
      <c r="B2473" s="211" t="s">
        <v>13</v>
      </c>
      <c r="C2473" s="212">
        <v>0.5493055555555556</v>
      </c>
      <c r="D2473" s="213">
        <v>0</v>
      </c>
      <c r="E2473" s="213">
        <v>0</v>
      </c>
      <c r="F2473" s="213">
        <v>0</v>
      </c>
      <c r="G2473" s="213">
        <v>0</v>
      </c>
      <c r="H2473" s="213">
        <v>0</v>
      </c>
      <c r="I2473" s="213">
        <v>0</v>
      </c>
      <c r="J2473" s="213">
        <v>0</v>
      </c>
    </row>
    <row r="2474" spans="1:10">
      <c r="A2474" s="211" t="s">
        <v>165</v>
      </c>
      <c r="B2474" s="211" t="s">
        <v>13</v>
      </c>
      <c r="C2474" s="212">
        <v>0.54236111111111107</v>
      </c>
      <c r="D2474" s="213">
        <v>0</v>
      </c>
      <c r="E2474" s="213">
        <v>0</v>
      </c>
      <c r="F2474" s="213">
        <v>0</v>
      </c>
      <c r="G2474" s="213">
        <v>0</v>
      </c>
      <c r="H2474" s="213">
        <v>0</v>
      </c>
      <c r="I2474" s="213">
        <v>0</v>
      </c>
      <c r="J2474" s="213">
        <v>0</v>
      </c>
    </row>
    <row r="2475" spans="1:10">
      <c r="A2475" s="211" t="s">
        <v>165</v>
      </c>
      <c r="B2475" s="211" t="s">
        <v>13</v>
      </c>
      <c r="C2475" s="212">
        <v>0.55069444444444449</v>
      </c>
      <c r="D2475" s="213">
        <v>0</v>
      </c>
      <c r="E2475" s="213">
        <v>0</v>
      </c>
      <c r="F2475" s="213">
        <v>0</v>
      </c>
      <c r="G2475" s="213">
        <v>0</v>
      </c>
      <c r="H2475" s="213">
        <v>0</v>
      </c>
      <c r="I2475" s="213">
        <v>0</v>
      </c>
      <c r="J2475" s="213">
        <v>0</v>
      </c>
    </row>
    <row r="2476" spans="1:10" s="80" customFormat="1">
      <c r="A2476" s="214" t="s">
        <v>165</v>
      </c>
      <c r="B2476" s="214" t="s">
        <v>13</v>
      </c>
      <c r="C2476" s="215">
        <v>0.55138888888888893</v>
      </c>
      <c r="D2476" s="213">
        <v>0</v>
      </c>
      <c r="E2476" s="213">
        <v>0</v>
      </c>
      <c r="F2476" s="213">
        <v>0</v>
      </c>
      <c r="G2476" s="213">
        <v>0</v>
      </c>
      <c r="H2476" s="213">
        <v>0</v>
      </c>
      <c r="I2476" s="213">
        <v>0</v>
      </c>
      <c r="J2476" s="213">
        <v>0</v>
      </c>
    </row>
    <row r="2477" spans="1:10">
      <c r="A2477" s="211" t="s">
        <v>165</v>
      </c>
      <c r="B2477" s="211" t="s">
        <v>13</v>
      </c>
      <c r="C2477" s="212">
        <v>0.55208333333333337</v>
      </c>
      <c r="D2477" s="217">
        <v>0</v>
      </c>
      <c r="E2477" s="217">
        <v>0</v>
      </c>
      <c r="F2477" s="217">
        <v>0</v>
      </c>
      <c r="G2477" s="217">
        <v>0</v>
      </c>
      <c r="H2477" s="217">
        <v>0</v>
      </c>
      <c r="I2477" s="217">
        <v>0</v>
      </c>
      <c r="J2477" s="217">
        <v>0</v>
      </c>
    </row>
    <row r="2478" spans="1:10">
      <c r="A2478" s="211" t="s">
        <v>165</v>
      </c>
      <c r="B2478" s="211" t="s">
        <v>13</v>
      </c>
      <c r="C2478" s="212">
        <v>0.55277777777777781</v>
      </c>
      <c r="D2478" s="213">
        <v>0</v>
      </c>
      <c r="E2478" s="213">
        <v>0</v>
      </c>
      <c r="F2478" s="213">
        <v>0</v>
      </c>
      <c r="G2478" s="213">
        <v>0</v>
      </c>
      <c r="H2478" s="213">
        <v>0</v>
      </c>
      <c r="I2478" s="213">
        <v>0</v>
      </c>
      <c r="J2478" s="213">
        <v>0</v>
      </c>
    </row>
    <row r="2479" spans="1:10">
      <c r="A2479" s="211" t="s">
        <v>165</v>
      </c>
      <c r="B2479" s="211" t="s">
        <v>13</v>
      </c>
      <c r="C2479" s="212">
        <v>0.55347222222222225</v>
      </c>
      <c r="D2479" s="213">
        <v>0</v>
      </c>
      <c r="E2479" s="213">
        <v>0</v>
      </c>
      <c r="F2479" s="213">
        <v>0</v>
      </c>
      <c r="G2479" s="213">
        <v>0</v>
      </c>
      <c r="H2479" s="213">
        <v>0</v>
      </c>
      <c r="I2479" s="213">
        <v>0</v>
      </c>
      <c r="J2479" s="213">
        <v>0</v>
      </c>
    </row>
    <row r="2480" spans="1:10">
      <c r="A2480" s="211" t="s">
        <v>165</v>
      </c>
      <c r="B2480" s="211" t="s">
        <v>13</v>
      </c>
      <c r="C2480" s="212">
        <v>0.5541666666666667</v>
      </c>
      <c r="D2480" s="213">
        <v>0</v>
      </c>
      <c r="E2480" s="213">
        <v>0</v>
      </c>
      <c r="F2480" s="213">
        <v>0</v>
      </c>
      <c r="G2480" s="213">
        <v>0</v>
      </c>
      <c r="H2480" s="213">
        <v>0</v>
      </c>
      <c r="I2480" s="213">
        <v>0</v>
      </c>
      <c r="J2480" s="213">
        <v>0</v>
      </c>
    </row>
    <row r="2481" spans="1:10">
      <c r="A2481" s="211" t="s">
        <v>165</v>
      </c>
      <c r="B2481" s="211" t="s">
        <v>13</v>
      </c>
      <c r="C2481" s="212">
        <v>0.55486111111111114</v>
      </c>
      <c r="D2481" s="213">
        <v>0</v>
      </c>
      <c r="E2481" s="213">
        <v>0</v>
      </c>
      <c r="F2481" s="213">
        <v>0</v>
      </c>
      <c r="G2481" s="213">
        <v>0</v>
      </c>
      <c r="H2481" s="213">
        <v>0</v>
      </c>
      <c r="I2481" s="213">
        <v>0</v>
      </c>
      <c r="J2481" s="213">
        <v>0</v>
      </c>
    </row>
    <row r="2482" spans="1:10">
      <c r="A2482" s="211" t="s">
        <v>165</v>
      </c>
      <c r="B2482" s="211" t="s">
        <v>13</v>
      </c>
      <c r="C2482" s="212">
        <v>0.55555555555555558</v>
      </c>
      <c r="D2482" s="213">
        <v>0</v>
      </c>
      <c r="E2482" s="213">
        <v>0</v>
      </c>
      <c r="F2482" s="213">
        <v>0</v>
      </c>
      <c r="G2482" s="213">
        <v>0</v>
      </c>
      <c r="H2482" s="213">
        <v>0</v>
      </c>
      <c r="I2482" s="213">
        <v>0</v>
      </c>
      <c r="J2482" s="213">
        <v>0</v>
      </c>
    </row>
    <row r="2483" spans="1:10">
      <c r="A2483" s="211" t="s">
        <v>165</v>
      </c>
      <c r="B2483" s="211" t="s">
        <v>13</v>
      </c>
      <c r="C2483" s="212">
        <v>0.55625000000000002</v>
      </c>
      <c r="D2483" s="213">
        <v>0</v>
      </c>
      <c r="E2483" s="213">
        <v>0</v>
      </c>
      <c r="F2483" s="213">
        <v>0</v>
      </c>
      <c r="G2483" s="213">
        <v>0</v>
      </c>
      <c r="H2483" s="213">
        <v>0</v>
      </c>
      <c r="I2483" s="213">
        <v>0</v>
      </c>
      <c r="J2483" s="213">
        <v>0</v>
      </c>
    </row>
    <row r="2484" spans="1:10">
      <c r="A2484" s="211" t="s">
        <v>165</v>
      </c>
      <c r="B2484" s="211" t="s">
        <v>13</v>
      </c>
      <c r="C2484" s="212">
        <v>0.55694444444444446</v>
      </c>
      <c r="D2484" s="213">
        <v>0</v>
      </c>
      <c r="E2484" s="213">
        <v>0</v>
      </c>
      <c r="F2484" s="213">
        <v>0</v>
      </c>
      <c r="G2484" s="213">
        <v>0</v>
      </c>
      <c r="H2484" s="213">
        <v>0</v>
      </c>
      <c r="I2484" s="213">
        <v>0</v>
      </c>
      <c r="J2484" s="213">
        <v>0</v>
      </c>
    </row>
    <row r="2485" spans="1:10">
      <c r="A2485" s="211" t="s">
        <v>165</v>
      </c>
      <c r="B2485" s="211" t="s">
        <v>13</v>
      </c>
      <c r="C2485" s="212">
        <v>0.55763888888888891</v>
      </c>
      <c r="D2485" s="213">
        <v>0</v>
      </c>
      <c r="E2485" s="213">
        <v>0</v>
      </c>
      <c r="F2485" s="213">
        <v>0</v>
      </c>
      <c r="G2485" s="213">
        <v>0</v>
      </c>
      <c r="H2485" s="213">
        <v>0</v>
      </c>
      <c r="I2485" s="213">
        <v>0</v>
      </c>
      <c r="J2485" s="213">
        <v>0</v>
      </c>
    </row>
    <row r="2486" spans="1:10">
      <c r="A2486" s="211" t="s">
        <v>165</v>
      </c>
      <c r="B2486" s="211" t="s">
        <v>13</v>
      </c>
      <c r="C2486" s="212">
        <v>0.55833333333333335</v>
      </c>
      <c r="D2486" s="213">
        <v>0</v>
      </c>
      <c r="E2486" s="213">
        <v>0</v>
      </c>
      <c r="F2486" s="213">
        <v>0</v>
      </c>
      <c r="G2486" s="213">
        <v>0</v>
      </c>
      <c r="H2486" s="213">
        <v>0</v>
      </c>
      <c r="I2486" s="213">
        <v>0</v>
      </c>
      <c r="J2486" s="213">
        <v>0</v>
      </c>
    </row>
    <row r="2487" spans="1:10">
      <c r="A2487" s="211" t="s">
        <v>165</v>
      </c>
      <c r="B2487" s="211" t="s">
        <v>13</v>
      </c>
      <c r="C2487" s="212">
        <v>0.55902777777777779</v>
      </c>
      <c r="D2487" s="213">
        <v>0</v>
      </c>
      <c r="E2487" s="213">
        <v>0</v>
      </c>
      <c r="F2487" s="213">
        <v>0</v>
      </c>
      <c r="G2487" s="213">
        <v>0</v>
      </c>
      <c r="H2487" s="213">
        <v>0</v>
      </c>
      <c r="I2487" s="213">
        <v>0</v>
      </c>
      <c r="J2487" s="213">
        <v>0</v>
      </c>
    </row>
    <row r="2488" spans="1:10">
      <c r="A2488" s="211" t="s">
        <v>165</v>
      </c>
      <c r="B2488" s="211" t="s">
        <v>13</v>
      </c>
      <c r="C2488" s="212">
        <v>0.55972222222222223</v>
      </c>
      <c r="D2488" s="213">
        <v>0</v>
      </c>
      <c r="E2488" s="213">
        <v>0</v>
      </c>
      <c r="F2488" s="213">
        <v>0</v>
      </c>
      <c r="G2488" s="213">
        <v>0</v>
      </c>
      <c r="H2488" s="213">
        <v>0</v>
      </c>
      <c r="I2488" s="213">
        <v>0</v>
      </c>
      <c r="J2488" s="213">
        <v>0</v>
      </c>
    </row>
    <row r="2489" spans="1:10">
      <c r="A2489" s="211" t="s">
        <v>165</v>
      </c>
      <c r="B2489" s="211" t="s">
        <v>13</v>
      </c>
      <c r="C2489" s="212">
        <v>0.56041666666666667</v>
      </c>
      <c r="D2489" s="213">
        <v>0</v>
      </c>
      <c r="E2489" s="213">
        <v>0</v>
      </c>
      <c r="F2489" s="213">
        <v>0</v>
      </c>
      <c r="G2489" s="213">
        <v>0</v>
      </c>
      <c r="H2489" s="213">
        <v>0</v>
      </c>
      <c r="I2489" s="213">
        <v>0</v>
      </c>
      <c r="J2489" s="213">
        <v>0</v>
      </c>
    </row>
    <row r="2490" spans="1:10">
      <c r="A2490" s="211" t="s">
        <v>165</v>
      </c>
      <c r="B2490" s="211" t="s">
        <v>13</v>
      </c>
      <c r="C2490" s="212">
        <v>0.56111111111111112</v>
      </c>
      <c r="D2490" s="213">
        <v>0</v>
      </c>
      <c r="E2490" s="213">
        <v>0</v>
      </c>
      <c r="F2490" s="213">
        <v>0</v>
      </c>
      <c r="G2490" s="213">
        <v>0</v>
      </c>
      <c r="H2490" s="213">
        <v>0</v>
      </c>
      <c r="I2490" s="213">
        <v>0</v>
      </c>
      <c r="J2490" s="213">
        <v>0</v>
      </c>
    </row>
    <row r="2491" spans="1:10" s="80" customFormat="1">
      <c r="A2491" s="214" t="s">
        <v>165</v>
      </c>
      <c r="B2491" s="214" t="s">
        <v>13</v>
      </c>
      <c r="C2491" s="215">
        <v>0.56180555555555556</v>
      </c>
      <c r="D2491" s="216">
        <v>0</v>
      </c>
      <c r="E2491" s="216">
        <v>0</v>
      </c>
      <c r="F2491" s="216">
        <v>0</v>
      </c>
      <c r="G2491" s="216">
        <v>0</v>
      </c>
      <c r="H2491" s="216">
        <v>0</v>
      </c>
      <c r="I2491" s="216">
        <v>0</v>
      </c>
      <c r="J2491" s="216">
        <v>0</v>
      </c>
    </row>
    <row r="2492" spans="1:10">
      <c r="A2492" s="211" t="s">
        <v>165</v>
      </c>
      <c r="B2492" s="211" t="s">
        <v>13</v>
      </c>
      <c r="C2492" s="212">
        <v>0.5625</v>
      </c>
      <c r="D2492" s="213">
        <v>0</v>
      </c>
      <c r="E2492" s="213">
        <v>0</v>
      </c>
      <c r="F2492" s="213">
        <v>0</v>
      </c>
      <c r="G2492" s="213">
        <v>0</v>
      </c>
      <c r="H2492" s="213">
        <v>0</v>
      </c>
      <c r="I2492" s="213">
        <v>0</v>
      </c>
      <c r="J2492" s="213">
        <v>0</v>
      </c>
    </row>
    <row r="2493" spans="1:10">
      <c r="A2493" s="211" t="s">
        <v>165</v>
      </c>
      <c r="B2493" s="211" t="s">
        <v>13</v>
      </c>
      <c r="C2493" s="212">
        <v>0.56319444444444444</v>
      </c>
      <c r="D2493" s="213">
        <v>0</v>
      </c>
      <c r="E2493" s="213">
        <v>0</v>
      </c>
      <c r="F2493" s="213">
        <v>0</v>
      </c>
      <c r="G2493" s="213">
        <v>0</v>
      </c>
      <c r="H2493" s="213">
        <v>0</v>
      </c>
      <c r="I2493" s="213">
        <v>0</v>
      </c>
      <c r="J2493" s="213">
        <v>0</v>
      </c>
    </row>
    <row r="2494" spans="1:10">
      <c r="A2494" s="211" t="s">
        <v>165</v>
      </c>
      <c r="B2494" s="211" t="s">
        <v>13</v>
      </c>
      <c r="C2494" s="212">
        <v>0.56388888888888888</v>
      </c>
      <c r="D2494" s="213">
        <v>0</v>
      </c>
      <c r="E2494" s="213">
        <v>0</v>
      </c>
      <c r="F2494" s="213">
        <v>0</v>
      </c>
      <c r="G2494" s="213">
        <v>0</v>
      </c>
      <c r="H2494" s="213">
        <v>0</v>
      </c>
      <c r="I2494" s="213">
        <v>0</v>
      </c>
      <c r="J2494" s="213">
        <v>0</v>
      </c>
    </row>
    <row r="2495" spans="1:10">
      <c r="A2495" s="211" t="s">
        <v>165</v>
      </c>
      <c r="B2495" s="211" t="s">
        <v>13</v>
      </c>
      <c r="C2495" s="212">
        <v>0.56458333333333333</v>
      </c>
      <c r="D2495" s="213">
        <v>0</v>
      </c>
      <c r="E2495" s="213">
        <v>0</v>
      </c>
      <c r="F2495" s="213">
        <v>0</v>
      </c>
      <c r="G2495" s="213">
        <v>0</v>
      </c>
      <c r="H2495" s="213">
        <v>0</v>
      </c>
      <c r="I2495" s="213">
        <v>0</v>
      </c>
      <c r="J2495" s="213">
        <v>0</v>
      </c>
    </row>
    <row r="2496" spans="1:10">
      <c r="A2496" s="211" t="s">
        <v>165</v>
      </c>
      <c r="B2496" s="211" t="s">
        <v>13</v>
      </c>
      <c r="C2496" s="212">
        <v>0.56527777777777777</v>
      </c>
      <c r="D2496" s="213">
        <v>0</v>
      </c>
      <c r="E2496" s="213">
        <v>0</v>
      </c>
      <c r="F2496" s="213">
        <v>0</v>
      </c>
      <c r="G2496" s="213">
        <v>0</v>
      </c>
      <c r="H2496" s="213">
        <v>0</v>
      </c>
      <c r="I2496" s="213">
        <v>0</v>
      </c>
      <c r="J2496" s="213">
        <v>0</v>
      </c>
    </row>
    <row r="2497" spans="1:10">
      <c r="A2497" s="211" t="s">
        <v>165</v>
      </c>
      <c r="B2497" s="211" t="s">
        <v>13</v>
      </c>
      <c r="C2497" s="212">
        <v>0.56597222222222221</v>
      </c>
      <c r="D2497" s="213">
        <v>0</v>
      </c>
      <c r="E2497" s="213">
        <v>0</v>
      </c>
      <c r="F2497" s="213">
        <v>0</v>
      </c>
      <c r="G2497" s="213">
        <v>0</v>
      </c>
      <c r="H2497" s="213">
        <v>0</v>
      </c>
      <c r="I2497" s="213">
        <v>0</v>
      </c>
      <c r="J2497" s="213">
        <v>0</v>
      </c>
    </row>
    <row r="2498" spans="1:10">
      <c r="A2498" s="211" t="s">
        <v>165</v>
      </c>
      <c r="B2498" s="211" t="s">
        <v>13</v>
      </c>
      <c r="C2498" s="212">
        <v>0.56666666666666665</v>
      </c>
      <c r="D2498" s="213">
        <v>0</v>
      </c>
      <c r="E2498" s="213">
        <v>0</v>
      </c>
      <c r="F2498" s="213">
        <v>0</v>
      </c>
      <c r="G2498" s="213">
        <v>0</v>
      </c>
      <c r="H2498" s="213">
        <v>0</v>
      </c>
      <c r="I2498" s="213">
        <v>0</v>
      </c>
      <c r="J2498" s="213">
        <v>0</v>
      </c>
    </row>
    <row r="2499" spans="1:10">
      <c r="A2499" s="211" t="s">
        <v>165</v>
      </c>
      <c r="B2499" s="211" t="s">
        <v>13</v>
      </c>
      <c r="C2499" s="212">
        <v>0.56736111111111109</v>
      </c>
      <c r="D2499" s="213">
        <v>0</v>
      </c>
      <c r="E2499" s="213">
        <v>0</v>
      </c>
      <c r="F2499" s="213">
        <v>0</v>
      </c>
      <c r="G2499" s="213">
        <v>0</v>
      </c>
      <c r="H2499" s="213">
        <v>0</v>
      </c>
      <c r="I2499" s="213">
        <v>0</v>
      </c>
      <c r="J2499" s="213">
        <v>0</v>
      </c>
    </row>
    <row r="2500" spans="1:10">
      <c r="A2500" s="211" t="s">
        <v>165</v>
      </c>
      <c r="B2500" s="211" t="s">
        <v>13</v>
      </c>
      <c r="C2500" s="212">
        <v>0.56805555555555554</v>
      </c>
      <c r="D2500" s="213">
        <v>0</v>
      </c>
      <c r="E2500" s="213">
        <v>0</v>
      </c>
      <c r="F2500" s="213">
        <v>0</v>
      </c>
      <c r="G2500" s="213">
        <v>0</v>
      </c>
      <c r="H2500" s="213">
        <v>0</v>
      </c>
      <c r="I2500" s="213">
        <v>0</v>
      </c>
      <c r="J2500" s="213">
        <v>0</v>
      </c>
    </row>
    <row r="2501" spans="1:10">
      <c r="A2501" s="211" t="s">
        <v>165</v>
      </c>
      <c r="B2501" s="211" t="s">
        <v>13</v>
      </c>
      <c r="C2501" s="212">
        <v>0.56874999999999998</v>
      </c>
      <c r="D2501" s="213">
        <v>0</v>
      </c>
      <c r="E2501" s="213">
        <v>0</v>
      </c>
      <c r="F2501" s="213">
        <v>0</v>
      </c>
      <c r="G2501" s="213">
        <v>0</v>
      </c>
      <c r="H2501" s="213">
        <v>0</v>
      </c>
      <c r="I2501" s="213">
        <v>0</v>
      </c>
      <c r="J2501" s="213">
        <v>0</v>
      </c>
    </row>
    <row r="2502" spans="1:10">
      <c r="A2502" s="211" t="s">
        <v>165</v>
      </c>
      <c r="B2502" s="211" t="s">
        <v>13</v>
      </c>
      <c r="C2502" s="212">
        <v>0.56944444444444442</v>
      </c>
      <c r="D2502" s="213">
        <v>0</v>
      </c>
      <c r="E2502" s="213">
        <v>0</v>
      </c>
      <c r="F2502" s="213">
        <v>0</v>
      </c>
      <c r="G2502" s="213">
        <v>0</v>
      </c>
      <c r="H2502" s="213">
        <v>0</v>
      </c>
      <c r="I2502" s="213">
        <v>0</v>
      </c>
      <c r="J2502" s="213">
        <v>0</v>
      </c>
    </row>
    <row r="2503" spans="1:10">
      <c r="A2503" s="211" t="s">
        <v>165</v>
      </c>
      <c r="B2503" s="211" t="s">
        <v>13</v>
      </c>
      <c r="C2503" s="212">
        <v>0.57013888888888886</v>
      </c>
      <c r="D2503" s="213">
        <v>0</v>
      </c>
      <c r="E2503" s="213">
        <v>0</v>
      </c>
      <c r="F2503" s="213">
        <v>0</v>
      </c>
      <c r="G2503" s="213">
        <v>0</v>
      </c>
      <c r="H2503" s="213">
        <v>0</v>
      </c>
      <c r="I2503" s="213">
        <v>0</v>
      </c>
      <c r="J2503" s="213">
        <v>0</v>
      </c>
    </row>
    <row r="2504" spans="1:10">
      <c r="A2504" s="211" t="s">
        <v>165</v>
      </c>
      <c r="B2504" s="211" t="s">
        <v>13</v>
      </c>
      <c r="C2504" s="212">
        <v>0.5708333333333333</v>
      </c>
      <c r="D2504" s="213">
        <v>0</v>
      </c>
      <c r="E2504" s="213">
        <v>0</v>
      </c>
      <c r="F2504" s="213">
        <v>0</v>
      </c>
      <c r="G2504" s="213">
        <v>0</v>
      </c>
      <c r="H2504" s="213">
        <v>0</v>
      </c>
      <c r="I2504" s="213">
        <v>0</v>
      </c>
      <c r="J2504" s="213">
        <v>0</v>
      </c>
    </row>
    <row r="2505" spans="1:10">
      <c r="A2505" s="211" t="s">
        <v>165</v>
      </c>
      <c r="B2505" s="211" t="s">
        <v>13</v>
      </c>
      <c r="C2505" s="212">
        <v>0.57152777777777775</v>
      </c>
      <c r="D2505" s="213">
        <v>0</v>
      </c>
      <c r="E2505" s="213">
        <v>0</v>
      </c>
      <c r="F2505" s="213">
        <v>0</v>
      </c>
      <c r="G2505" s="213">
        <v>0</v>
      </c>
      <c r="H2505" s="213">
        <v>0</v>
      </c>
      <c r="I2505" s="213">
        <v>0</v>
      </c>
      <c r="J2505" s="213">
        <v>0</v>
      </c>
    </row>
    <row r="2506" spans="1:10" s="80" customFormat="1">
      <c r="A2506" s="214" t="s">
        <v>165</v>
      </c>
      <c r="B2506" s="214" t="s">
        <v>13</v>
      </c>
      <c r="C2506" s="215">
        <v>0.57222222222222219</v>
      </c>
      <c r="D2506" s="213">
        <v>0</v>
      </c>
      <c r="E2506" s="213">
        <v>0</v>
      </c>
      <c r="F2506" s="213">
        <v>0</v>
      </c>
      <c r="G2506" s="213">
        <v>0</v>
      </c>
      <c r="H2506" s="213">
        <v>0</v>
      </c>
      <c r="I2506" s="213">
        <v>0</v>
      </c>
      <c r="J2506" s="213">
        <v>0</v>
      </c>
    </row>
    <row r="2507" spans="1:10">
      <c r="A2507" s="211" t="s">
        <v>165</v>
      </c>
      <c r="B2507" s="211" t="s">
        <v>13</v>
      </c>
      <c r="C2507" s="212">
        <v>0.57291666666666663</v>
      </c>
      <c r="D2507" s="217">
        <v>0</v>
      </c>
      <c r="E2507" s="217">
        <v>0</v>
      </c>
      <c r="F2507" s="217">
        <v>0</v>
      </c>
      <c r="G2507" s="217">
        <v>0</v>
      </c>
      <c r="H2507" s="217">
        <v>0</v>
      </c>
      <c r="I2507" s="217">
        <v>0</v>
      </c>
      <c r="J2507" s="217">
        <v>0</v>
      </c>
    </row>
    <row r="2508" spans="1:10">
      <c r="A2508" s="211" t="s">
        <v>165</v>
      </c>
      <c r="B2508" s="211" t="s">
        <v>13</v>
      </c>
      <c r="C2508" s="212">
        <v>0.57361111111111107</v>
      </c>
      <c r="D2508" s="213">
        <v>0</v>
      </c>
      <c r="E2508" s="213">
        <v>0</v>
      </c>
      <c r="F2508" s="213">
        <v>0</v>
      </c>
      <c r="G2508" s="213">
        <v>0</v>
      </c>
      <c r="H2508" s="213">
        <v>0</v>
      </c>
      <c r="I2508" s="213">
        <v>0</v>
      </c>
      <c r="J2508" s="213">
        <v>0</v>
      </c>
    </row>
    <row r="2509" spans="1:10">
      <c r="A2509" s="211" t="s">
        <v>165</v>
      </c>
      <c r="B2509" s="211" t="s">
        <v>13</v>
      </c>
      <c r="C2509" s="212">
        <v>0.57430555555555551</v>
      </c>
      <c r="D2509" s="213">
        <v>0</v>
      </c>
      <c r="E2509" s="213">
        <v>0</v>
      </c>
      <c r="F2509" s="213">
        <v>0</v>
      </c>
      <c r="G2509" s="213">
        <v>0</v>
      </c>
      <c r="H2509" s="213">
        <v>0</v>
      </c>
      <c r="I2509" s="213">
        <v>0</v>
      </c>
      <c r="J2509" s="213">
        <v>0</v>
      </c>
    </row>
    <row r="2510" spans="1:10">
      <c r="A2510" s="211" t="s">
        <v>165</v>
      </c>
      <c r="B2510" s="211" t="s">
        <v>13</v>
      </c>
      <c r="C2510" s="212">
        <v>0.57499999999999996</v>
      </c>
      <c r="D2510" s="213">
        <v>0</v>
      </c>
      <c r="E2510" s="213">
        <v>0</v>
      </c>
      <c r="F2510" s="213">
        <v>0</v>
      </c>
      <c r="G2510" s="213">
        <v>0</v>
      </c>
      <c r="H2510" s="213">
        <v>0</v>
      </c>
      <c r="I2510" s="213">
        <v>0</v>
      </c>
      <c r="J2510" s="213">
        <v>0</v>
      </c>
    </row>
    <row r="2511" spans="1:10">
      <c r="A2511" s="211" t="s">
        <v>165</v>
      </c>
      <c r="B2511" s="211" t="s">
        <v>13</v>
      </c>
      <c r="C2511" s="212">
        <v>0.5756944444444444</v>
      </c>
      <c r="D2511" s="213">
        <v>0</v>
      </c>
      <c r="E2511" s="213">
        <v>0</v>
      </c>
      <c r="F2511" s="213">
        <v>0</v>
      </c>
      <c r="G2511" s="213">
        <v>0</v>
      </c>
      <c r="H2511" s="213">
        <v>0</v>
      </c>
      <c r="I2511" s="213">
        <v>0</v>
      </c>
      <c r="J2511" s="213">
        <v>0</v>
      </c>
    </row>
    <row r="2512" spans="1:10">
      <c r="A2512" s="211" t="s">
        <v>165</v>
      </c>
      <c r="B2512" s="211" t="s">
        <v>13</v>
      </c>
      <c r="C2512" s="212">
        <v>0.57638888888888884</v>
      </c>
      <c r="D2512" s="213">
        <v>0</v>
      </c>
      <c r="E2512" s="213">
        <v>0</v>
      </c>
      <c r="F2512" s="213">
        <v>0</v>
      </c>
      <c r="G2512" s="213">
        <v>0</v>
      </c>
      <c r="H2512" s="213">
        <v>0</v>
      </c>
      <c r="I2512" s="213">
        <v>0</v>
      </c>
      <c r="J2512" s="213">
        <v>0</v>
      </c>
    </row>
    <row r="2513" spans="1:10">
      <c r="A2513" s="211" t="s">
        <v>165</v>
      </c>
      <c r="B2513" s="211" t="s">
        <v>13</v>
      </c>
      <c r="C2513" s="212">
        <v>0.57708333333333328</v>
      </c>
      <c r="D2513" s="213">
        <v>0</v>
      </c>
      <c r="E2513" s="213">
        <v>0</v>
      </c>
      <c r="F2513" s="213">
        <v>0</v>
      </c>
      <c r="G2513" s="213">
        <v>0</v>
      </c>
      <c r="H2513" s="213">
        <v>0</v>
      </c>
      <c r="I2513" s="213">
        <v>0</v>
      </c>
      <c r="J2513" s="213">
        <v>0</v>
      </c>
    </row>
    <row r="2514" spans="1:10">
      <c r="A2514" s="211" t="s">
        <v>165</v>
      </c>
      <c r="B2514" s="211" t="s">
        <v>13</v>
      </c>
      <c r="C2514" s="212">
        <v>0.57777777777777772</v>
      </c>
      <c r="D2514" s="213">
        <v>0</v>
      </c>
      <c r="E2514" s="213">
        <v>0</v>
      </c>
      <c r="F2514" s="213">
        <v>0</v>
      </c>
      <c r="G2514" s="213">
        <v>0</v>
      </c>
      <c r="H2514" s="213">
        <v>0</v>
      </c>
      <c r="I2514" s="213">
        <v>0</v>
      </c>
      <c r="J2514" s="213">
        <v>0</v>
      </c>
    </row>
    <row r="2515" spans="1:10">
      <c r="A2515" s="211" t="s">
        <v>165</v>
      </c>
      <c r="B2515" s="211" t="s">
        <v>13</v>
      </c>
      <c r="C2515" s="212">
        <v>0.57847222222222228</v>
      </c>
      <c r="D2515" s="213">
        <v>0</v>
      </c>
      <c r="E2515" s="213">
        <v>0</v>
      </c>
      <c r="F2515" s="213">
        <v>0</v>
      </c>
      <c r="G2515" s="213">
        <v>0</v>
      </c>
      <c r="H2515" s="213">
        <v>0</v>
      </c>
      <c r="I2515" s="213">
        <v>0</v>
      </c>
      <c r="J2515" s="213">
        <v>0</v>
      </c>
    </row>
    <row r="2516" spans="1:10">
      <c r="A2516" s="211" t="s">
        <v>165</v>
      </c>
      <c r="B2516" s="211" t="s">
        <v>13</v>
      </c>
      <c r="C2516" s="212">
        <v>0.57916666666666672</v>
      </c>
      <c r="D2516" s="213">
        <v>0</v>
      </c>
      <c r="E2516" s="213">
        <v>0</v>
      </c>
      <c r="F2516" s="213">
        <v>0</v>
      </c>
      <c r="G2516" s="213">
        <v>0</v>
      </c>
      <c r="H2516" s="213">
        <v>0</v>
      </c>
      <c r="I2516" s="213">
        <v>0</v>
      </c>
      <c r="J2516" s="213">
        <v>0</v>
      </c>
    </row>
    <row r="2517" spans="1:10">
      <c r="A2517" s="211" t="s">
        <v>165</v>
      </c>
      <c r="B2517" s="211" t="s">
        <v>13</v>
      </c>
      <c r="C2517" s="212">
        <v>0.57986111111111116</v>
      </c>
      <c r="D2517" s="213">
        <v>0</v>
      </c>
      <c r="E2517" s="213">
        <v>0</v>
      </c>
      <c r="F2517" s="213">
        <v>0</v>
      </c>
      <c r="G2517" s="213">
        <v>0</v>
      </c>
      <c r="H2517" s="213">
        <v>0</v>
      </c>
      <c r="I2517" s="213">
        <v>0</v>
      </c>
      <c r="J2517" s="213">
        <v>0</v>
      </c>
    </row>
    <row r="2518" spans="1:10">
      <c r="A2518" s="211" t="s">
        <v>165</v>
      </c>
      <c r="B2518" s="211" t="s">
        <v>13</v>
      </c>
      <c r="C2518" s="212">
        <v>0.5805555555555556</v>
      </c>
      <c r="D2518" s="213">
        <v>0</v>
      </c>
      <c r="E2518" s="213">
        <v>0</v>
      </c>
      <c r="F2518" s="213">
        <v>0</v>
      </c>
      <c r="G2518" s="213">
        <v>0</v>
      </c>
      <c r="H2518" s="213">
        <v>0</v>
      </c>
      <c r="I2518" s="213">
        <v>0</v>
      </c>
      <c r="J2518" s="213">
        <v>0</v>
      </c>
    </row>
    <row r="2519" spans="1:10">
      <c r="A2519" s="211" t="s">
        <v>165</v>
      </c>
      <c r="B2519" s="211" t="s">
        <v>13</v>
      </c>
      <c r="C2519" s="212">
        <v>0.58125000000000004</v>
      </c>
      <c r="D2519" s="213">
        <v>0</v>
      </c>
      <c r="E2519" s="213">
        <v>0</v>
      </c>
      <c r="F2519" s="213">
        <v>0</v>
      </c>
      <c r="G2519" s="213">
        <v>0</v>
      </c>
      <c r="H2519" s="213">
        <v>0</v>
      </c>
      <c r="I2519" s="213">
        <v>0</v>
      </c>
      <c r="J2519" s="213">
        <v>0</v>
      </c>
    </row>
    <row r="2520" spans="1:10">
      <c r="A2520" s="211" t="s">
        <v>165</v>
      </c>
      <c r="B2520" s="211" t="s">
        <v>13</v>
      </c>
      <c r="C2520" s="212">
        <v>0.58194444444444449</v>
      </c>
      <c r="D2520" s="213">
        <v>0</v>
      </c>
      <c r="E2520" s="213">
        <v>0</v>
      </c>
      <c r="F2520" s="213">
        <v>0</v>
      </c>
      <c r="G2520" s="213">
        <v>0</v>
      </c>
      <c r="H2520" s="213">
        <v>0</v>
      </c>
      <c r="I2520" s="213">
        <v>0</v>
      </c>
      <c r="J2520" s="213">
        <v>0</v>
      </c>
    </row>
    <row r="2521" spans="1:10" s="28" customFormat="1" ht="17.5" thickBot="1">
      <c r="A2521" s="218" t="s">
        <v>165</v>
      </c>
      <c r="B2521" s="218" t="s">
        <v>13</v>
      </c>
      <c r="C2521" s="219">
        <v>0.58263888888888893</v>
      </c>
      <c r="D2521" s="220">
        <v>0</v>
      </c>
      <c r="E2521" s="220">
        <v>0</v>
      </c>
      <c r="F2521" s="220">
        <v>0</v>
      </c>
      <c r="G2521" s="220">
        <v>0</v>
      </c>
      <c r="H2521" s="220">
        <v>0</v>
      </c>
      <c r="I2521" s="220">
        <v>0</v>
      </c>
      <c r="J2521" s="220">
        <v>0</v>
      </c>
    </row>
    <row r="2522" spans="1:10">
      <c r="A2522" s="211" t="s">
        <v>165</v>
      </c>
      <c r="B2522" s="211" t="s">
        <v>14</v>
      </c>
      <c r="C2522" s="212">
        <v>0.5</v>
      </c>
      <c r="D2522" s="213">
        <v>0</v>
      </c>
      <c r="E2522" s="213">
        <v>0</v>
      </c>
      <c r="F2522" s="213">
        <v>0</v>
      </c>
      <c r="G2522" s="213">
        <v>0</v>
      </c>
      <c r="H2522" s="213">
        <v>0</v>
      </c>
      <c r="I2522" s="213">
        <v>0</v>
      </c>
      <c r="J2522" s="213">
        <v>0</v>
      </c>
    </row>
    <row r="2523" spans="1:10">
      <c r="A2523" s="211" t="s">
        <v>165</v>
      </c>
      <c r="B2523" s="211" t="s">
        <v>14</v>
      </c>
      <c r="C2523" s="212">
        <v>0.50069444444444444</v>
      </c>
      <c r="D2523" s="213">
        <v>0</v>
      </c>
      <c r="E2523" s="213">
        <v>0</v>
      </c>
      <c r="F2523" s="213">
        <v>0</v>
      </c>
      <c r="G2523" s="213">
        <v>0</v>
      </c>
      <c r="H2523" s="213">
        <v>0</v>
      </c>
      <c r="I2523" s="213">
        <v>0</v>
      </c>
      <c r="J2523" s="213">
        <v>0</v>
      </c>
    </row>
    <row r="2524" spans="1:10">
      <c r="A2524" s="211" t="s">
        <v>165</v>
      </c>
      <c r="B2524" s="211" t="s">
        <v>14</v>
      </c>
      <c r="C2524" s="212">
        <v>0.50138888888888899</v>
      </c>
      <c r="D2524" s="213">
        <v>0</v>
      </c>
      <c r="E2524" s="213">
        <v>0</v>
      </c>
      <c r="F2524" s="213">
        <v>0</v>
      </c>
      <c r="G2524" s="213">
        <v>0</v>
      </c>
      <c r="H2524" s="213">
        <v>0</v>
      </c>
      <c r="I2524" s="213">
        <v>0</v>
      </c>
      <c r="J2524" s="213">
        <v>0</v>
      </c>
    </row>
    <row r="2525" spans="1:10">
      <c r="A2525" s="211" t="s">
        <v>165</v>
      </c>
      <c r="B2525" s="211" t="s">
        <v>14</v>
      </c>
      <c r="C2525" s="212">
        <v>0.50208333333333299</v>
      </c>
      <c r="D2525" s="213">
        <v>0</v>
      </c>
      <c r="E2525" s="213">
        <v>0</v>
      </c>
      <c r="F2525" s="213">
        <v>0</v>
      </c>
      <c r="G2525" s="213">
        <v>0</v>
      </c>
      <c r="H2525" s="213">
        <v>0</v>
      </c>
      <c r="I2525" s="213">
        <v>0</v>
      </c>
      <c r="J2525" s="213">
        <v>0</v>
      </c>
    </row>
    <row r="2526" spans="1:10">
      <c r="A2526" s="211" t="s">
        <v>165</v>
      </c>
      <c r="B2526" s="211" t="s">
        <v>14</v>
      </c>
      <c r="C2526" s="212">
        <v>0.50277777777777799</v>
      </c>
      <c r="D2526" s="213">
        <v>0</v>
      </c>
      <c r="E2526" s="213">
        <v>0</v>
      </c>
      <c r="F2526" s="213">
        <v>0</v>
      </c>
      <c r="G2526" s="213">
        <v>0</v>
      </c>
      <c r="H2526" s="213">
        <v>0</v>
      </c>
      <c r="I2526" s="213">
        <v>0</v>
      </c>
      <c r="J2526" s="213">
        <v>0</v>
      </c>
    </row>
    <row r="2527" spans="1:10">
      <c r="A2527" s="211" t="s">
        <v>165</v>
      </c>
      <c r="B2527" s="211" t="s">
        <v>14</v>
      </c>
      <c r="C2527" s="212">
        <v>0.50347222222222199</v>
      </c>
      <c r="D2527" s="213">
        <v>0</v>
      </c>
      <c r="E2527" s="213">
        <v>0</v>
      </c>
      <c r="F2527" s="213">
        <v>0</v>
      </c>
      <c r="G2527" s="213">
        <v>0</v>
      </c>
      <c r="H2527" s="213">
        <v>0</v>
      </c>
      <c r="I2527" s="213">
        <v>0</v>
      </c>
      <c r="J2527" s="213">
        <v>0</v>
      </c>
    </row>
    <row r="2528" spans="1:10">
      <c r="A2528" s="211" t="s">
        <v>165</v>
      </c>
      <c r="B2528" s="211" t="s">
        <v>14</v>
      </c>
      <c r="C2528" s="212">
        <v>0.50416666666666698</v>
      </c>
      <c r="D2528" s="213">
        <v>0</v>
      </c>
      <c r="E2528" s="213">
        <v>0</v>
      </c>
      <c r="F2528" s="213">
        <v>0</v>
      </c>
      <c r="G2528" s="213">
        <v>0</v>
      </c>
      <c r="H2528" s="213">
        <v>0</v>
      </c>
      <c r="I2528" s="213">
        <v>0</v>
      </c>
      <c r="J2528" s="213">
        <v>0</v>
      </c>
    </row>
    <row r="2529" spans="1:10">
      <c r="A2529" s="211" t="s">
        <v>165</v>
      </c>
      <c r="B2529" s="211" t="s">
        <v>14</v>
      </c>
      <c r="C2529" s="212">
        <v>0.50486111111111098</v>
      </c>
      <c r="D2529" s="213">
        <v>0</v>
      </c>
      <c r="E2529" s="213">
        <v>0</v>
      </c>
      <c r="F2529" s="213">
        <v>0</v>
      </c>
      <c r="G2529" s="213">
        <v>0</v>
      </c>
      <c r="H2529" s="213">
        <v>0</v>
      </c>
      <c r="I2529" s="213">
        <v>0</v>
      </c>
      <c r="J2529" s="213">
        <v>0</v>
      </c>
    </row>
    <row r="2530" spans="1:10">
      <c r="A2530" s="211" t="s">
        <v>165</v>
      </c>
      <c r="B2530" s="211" t="s">
        <v>14</v>
      </c>
      <c r="C2530" s="212">
        <v>0.50555555555555598</v>
      </c>
      <c r="D2530" s="213">
        <v>0</v>
      </c>
      <c r="E2530" s="213">
        <v>0</v>
      </c>
      <c r="F2530" s="213">
        <v>0</v>
      </c>
      <c r="G2530" s="213">
        <v>0</v>
      </c>
      <c r="H2530" s="213">
        <v>0</v>
      </c>
      <c r="I2530" s="213">
        <v>0</v>
      </c>
      <c r="J2530" s="213">
        <v>0</v>
      </c>
    </row>
    <row r="2531" spans="1:10">
      <c r="A2531" s="211" t="s">
        <v>165</v>
      </c>
      <c r="B2531" s="211" t="s">
        <v>14</v>
      </c>
      <c r="C2531" s="212">
        <v>0.50624999999999998</v>
      </c>
      <c r="D2531" s="213">
        <v>0</v>
      </c>
      <c r="E2531" s="213">
        <v>0</v>
      </c>
      <c r="F2531" s="213">
        <v>0</v>
      </c>
      <c r="G2531" s="213">
        <v>0</v>
      </c>
      <c r="H2531" s="213">
        <v>0</v>
      </c>
      <c r="I2531" s="213">
        <v>0</v>
      </c>
      <c r="J2531" s="213">
        <v>0</v>
      </c>
    </row>
    <row r="2532" spans="1:10">
      <c r="A2532" s="211" t="s">
        <v>165</v>
      </c>
      <c r="B2532" s="211" t="s">
        <v>14</v>
      </c>
      <c r="C2532" s="212">
        <v>0.50694444444444398</v>
      </c>
      <c r="D2532" s="213">
        <v>0</v>
      </c>
      <c r="E2532" s="213">
        <v>0</v>
      </c>
      <c r="F2532" s="213">
        <v>0</v>
      </c>
      <c r="G2532" s="213">
        <v>0</v>
      </c>
      <c r="H2532" s="213">
        <v>0</v>
      </c>
      <c r="I2532" s="213">
        <v>0</v>
      </c>
      <c r="J2532" s="213">
        <v>0</v>
      </c>
    </row>
    <row r="2533" spans="1:10">
      <c r="A2533" s="211" t="s">
        <v>165</v>
      </c>
      <c r="B2533" s="211" t="s">
        <v>14</v>
      </c>
      <c r="C2533" s="212">
        <v>0.50763888888888897</v>
      </c>
      <c r="D2533" s="213">
        <v>0</v>
      </c>
      <c r="E2533" s="213">
        <v>0</v>
      </c>
      <c r="F2533" s="213">
        <v>0</v>
      </c>
      <c r="G2533" s="213">
        <v>0</v>
      </c>
      <c r="H2533" s="213">
        <v>0</v>
      </c>
      <c r="I2533" s="213">
        <v>0</v>
      </c>
      <c r="J2533" s="213">
        <v>0</v>
      </c>
    </row>
    <row r="2534" spans="1:10">
      <c r="A2534" s="211" t="s">
        <v>165</v>
      </c>
      <c r="B2534" s="211" t="s">
        <v>14</v>
      </c>
      <c r="C2534" s="212">
        <v>0.50833333333333297</v>
      </c>
      <c r="D2534" s="213">
        <v>0</v>
      </c>
      <c r="E2534" s="213">
        <v>0</v>
      </c>
      <c r="F2534" s="213">
        <v>0</v>
      </c>
      <c r="G2534" s="213">
        <v>0</v>
      </c>
      <c r="H2534" s="213">
        <v>0</v>
      </c>
      <c r="I2534" s="213">
        <v>0</v>
      </c>
      <c r="J2534" s="213">
        <v>0</v>
      </c>
    </row>
    <row r="2535" spans="1:10">
      <c r="A2535" s="211" t="s">
        <v>165</v>
      </c>
      <c r="B2535" s="211" t="s">
        <v>14</v>
      </c>
      <c r="C2535" s="212">
        <v>0.50902777777777797</v>
      </c>
      <c r="D2535" s="213">
        <v>0</v>
      </c>
      <c r="E2535" s="213">
        <v>0</v>
      </c>
      <c r="F2535" s="213">
        <v>0</v>
      </c>
      <c r="G2535" s="213">
        <v>0</v>
      </c>
      <c r="H2535" s="213">
        <v>0</v>
      </c>
      <c r="I2535" s="213">
        <v>0</v>
      </c>
      <c r="J2535" s="213">
        <v>0</v>
      </c>
    </row>
    <row r="2536" spans="1:10" s="80" customFormat="1">
      <c r="A2536" s="214" t="s">
        <v>165</v>
      </c>
      <c r="B2536" s="214" t="s">
        <v>14</v>
      </c>
      <c r="C2536" s="215">
        <v>0.50972222222222197</v>
      </c>
      <c r="D2536" s="213">
        <v>0</v>
      </c>
      <c r="E2536" s="213">
        <v>0</v>
      </c>
      <c r="F2536" s="213">
        <v>0</v>
      </c>
      <c r="G2536" s="213">
        <v>0</v>
      </c>
      <c r="H2536" s="213">
        <v>0</v>
      </c>
      <c r="I2536" s="213">
        <v>0</v>
      </c>
      <c r="J2536" s="213">
        <v>0</v>
      </c>
    </row>
    <row r="2537" spans="1:10">
      <c r="A2537" s="211" t="s">
        <v>165</v>
      </c>
      <c r="B2537" s="211" t="s">
        <v>14</v>
      </c>
      <c r="C2537" s="212">
        <v>0.51041666666666663</v>
      </c>
      <c r="D2537" s="217">
        <v>0</v>
      </c>
      <c r="E2537" s="217">
        <v>0</v>
      </c>
      <c r="F2537" s="217">
        <v>0</v>
      </c>
      <c r="G2537" s="217">
        <v>0</v>
      </c>
      <c r="H2537" s="217">
        <v>0</v>
      </c>
      <c r="I2537" s="217">
        <v>0</v>
      </c>
      <c r="J2537" s="217">
        <v>0</v>
      </c>
    </row>
    <row r="2538" spans="1:10">
      <c r="A2538" s="211" t="s">
        <v>165</v>
      </c>
      <c r="B2538" s="211" t="s">
        <v>14</v>
      </c>
      <c r="C2538" s="212">
        <v>0.51111111111111107</v>
      </c>
      <c r="D2538" s="213">
        <v>0</v>
      </c>
      <c r="E2538" s="213">
        <v>0</v>
      </c>
      <c r="F2538" s="213">
        <v>0</v>
      </c>
      <c r="G2538" s="213">
        <v>0</v>
      </c>
      <c r="H2538" s="213">
        <v>0</v>
      </c>
      <c r="I2538" s="213">
        <v>0</v>
      </c>
      <c r="J2538" s="213">
        <v>0</v>
      </c>
    </row>
    <row r="2539" spans="1:10">
      <c r="A2539" s="211" t="s">
        <v>165</v>
      </c>
      <c r="B2539" s="211" t="s">
        <v>14</v>
      </c>
      <c r="C2539" s="212">
        <v>0.51180555555555551</v>
      </c>
      <c r="D2539" s="213">
        <v>0</v>
      </c>
      <c r="E2539" s="213">
        <v>0</v>
      </c>
      <c r="F2539" s="213">
        <v>0</v>
      </c>
      <c r="G2539" s="213">
        <v>0</v>
      </c>
      <c r="H2539" s="213">
        <v>0</v>
      </c>
      <c r="I2539" s="213">
        <v>0</v>
      </c>
      <c r="J2539" s="213">
        <v>0</v>
      </c>
    </row>
    <row r="2540" spans="1:10">
      <c r="A2540" s="211" t="s">
        <v>165</v>
      </c>
      <c r="B2540" s="211" t="s">
        <v>14</v>
      </c>
      <c r="C2540" s="212">
        <v>0.51249999999999996</v>
      </c>
      <c r="D2540" s="213">
        <v>0</v>
      </c>
      <c r="E2540" s="213">
        <v>0</v>
      </c>
      <c r="F2540" s="213">
        <v>0</v>
      </c>
      <c r="G2540" s="213">
        <v>0</v>
      </c>
      <c r="H2540" s="213">
        <v>0</v>
      </c>
      <c r="I2540" s="213">
        <v>0</v>
      </c>
      <c r="J2540" s="213">
        <v>0</v>
      </c>
    </row>
    <row r="2541" spans="1:10">
      <c r="A2541" s="211" t="s">
        <v>165</v>
      </c>
      <c r="B2541" s="211" t="s">
        <v>14</v>
      </c>
      <c r="C2541" s="212">
        <v>0.5131944444444444</v>
      </c>
      <c r="D2541" s="213">
        <v>0</v>
      </c>
      <c r="E2541" s="213">
        <v>0</v>
      </c>
      <c r="F2541" s="213">
        <v>0</v>
      </c>
      <c r="G2541" s="213">
        <v>0</v>
      </c>
      <c r="H2541" s="213">
        <v>0</v>
      </c>
      <c r="I2541" s="213">
        <v>0</v>
      </c>
      <c r="J2541" s="213">
        <v>0</v>
      </c>
    </row>
    <row r="2542" spans="1:10">
      <c r="A2542" s="211" t="s">
        <v>165</v>
      </c>
      <c r="B2542" s="211" t="s">
        <v>14</v>
      </c>
      <c r="C2542" s="212">
        <v>0.51388888888888884</v>
      </c>
      <c r="D2542" s="213">
        <v>0</v>
      </c>
      <c r="E2542" s="213">
        <v>0</v>
      </c>
      <c r="F2542" s="213">
        <v>0</v>
      </c>
      <c r="G2542" s="213">
        <v>0</v>
      </c>
      <c r="H2542" s="213">
        <v>0</v>
      </c>
      <c r="I2542" s="213">
        <v>0</v>
      </c>
      <c r="J2542" s="213">
        <v>0</v>
      </c>
    </row>
    <row r="2543" spans="1:10">
      <c r="A2543" s="211" t="s">
        <v>165</v>
      </c>
      <c r="B2543" s="211" t="s">
        <v>14</v>
      </c>
      <c r="C2543" s="212">
        <v>0.51458333333333328</v>
      </c>
      <c r="D2543" s="213">
        <v>0</v>
      </c>
      <c r="E2543" s="213">
        <v>0</v>
      </c>
      <c r="F2543" s="213">
        <v>0</v>
      </c>
      <c r="G2543" s="213">
        <v>0</v>
      </c>
      <c r="H2543" s="213">
        <v>0</v>
      </c>
      <c r="I2543" s="213">
        <v>0</v>
      </c>
      <c r="J2543" s="213">
        <v>0</v>
      </c>
    </row>
    <row r="2544" spans="1:10">
      <c r="A2544" s="211" t="s">
        <v>165</v>
      </c>
      <c r="B2544" s="211" t="s">
        <v>14</v>
      </c>
      <c r="C2544" s="212">
        <v>0.51527777777777772</v>
      </c>
      <c r="D2544" s="213">
        <v>0</v>
      </c>
      <c r="E2544" s="213">
        <v>0</v>
      </c>
      <c r="F2544" s="213">
        <v>0</v>
      </c>
      <c r="G2544" s="213">
        <v>0</v>
      </c>
      <c r="H2544" s="213">
        <v>0</v>
      </c>
      <c r="I2544" s="213">
        <v>0</v>
      </c>
      <c r="J2544" s="213">
        <v>0</v>
      </c>
    </row>
    <row r="2545" spans="1:10">
      <c r="A2545" s="211" t="s">
        <v>165</v>
      </c>
      <c r="B2545" s="211" t="s">
        <v>14</v>
      </c>
      <c r="C2545" s="212">
        <v>0.51597222222222228</v>
      </c>
      <c r="D2545" s="213">
        <v>0</v>
      </c>
      <c r="E2545" s="213">
        <v>0</v>
      </c>
      <c r="F2545" s="213">
        <v>0</v>
      </c>
      <c r="G2545" s="213">
        <v>0</v>
      </c>
      <c r="H2545" s="213">
        <v>0</v>
      </c>
      <c r="I2545" s="213">
        <v>0</v>
      </c>
      <c r="J2545" s="213">
        <v>0</v>
      </c>
    </row>
    <row r="2546" spans="1:10">
      <c r="A2546" s="211" t="s">
        <v>165</v>
      </c>
      <c r="B2546" s="211" t="s">
        <v>14</v>
      </c>
      <c r="C2546" s="212">
        <v>0.51666666666666672</v>
      </c>
      <c r="D2546" s="213">
        <v>0</v>
      </c>
      <c r="E2546" s="213">
        <v>0</v>
      </c>
      <c r="F2546" s="213">
        <v>0</v>
      </c>
      <c r="G2546" s="213">
        <v>0</v>
      </c>
      <c r="H2546" s="213">
        <v>0</v>
      </c>
      <c r="I2546" s="213">
        <v>0</v>
      </c>
      <c r="J2546" s="213">
        <v>0</v>
      </c>
    </row>
    <row r="2547" spans="1:10">
      <c r="A2547" s="211" t="s">
        <v>165</v>
      </c>
      <c r="B2547" s="211" t="s">
        <v>14</v>
      </c>
      <c r="C2547" s="212">
        <v>0.51736111111111116</v>
      </c>
      <c r="D2547" s="213">
        <v>0</v>
      </c>
      <c r="E2547" s="213">
        <v>0</v>
      </c>
      <c r="F2547" s="213">
        <v>0</v>
      </c>
      <c r="G2547" s="213">
        <v>0</v>
      </c>
      <c r="H2547" s="213">
        <v>0</v>
      </c>
      <c r="I2547" s="213">
        <v>0</v>
      </c>
      <c r="J2547" s="213">
        <v>0</v>
      </c>
    </row>
    <row r="2548" spans="1:10">
      <c r="A2548" s="211" t="s">
        <v>165</v>
      </c>
      <c r="B2548" s="211" t="s">
        <v>14</v>
      </c>
      <c r="C2548" s="212">
        <v>0.5180555555555556</v>
      </c>
      <c r="D2548" s="213">
        <v>0</v>
      </c>
      <c r="E2548" s="213">
        <v>0</v>
      </c>
      <c r="F2548" s="213">
        <v>0</v>
      </c>
      <c r="G2548" s="213">
        <v>0</v>
      </c>
      <c r="H2548" s="213">
        <v>0</v>
      </c>
      <c r="I2548" s="213">
        <v>0</v>
      </c>
      <c r="J2548" s="213">
        <v>0</v>
      </c>
    </row>
    <row r="2549" spans="1:10">
      <c r="A2549" s="211" t="s">
        <v>165</v>
      </c>
      <c r="B2549" s="211" t="s">
        <v>14</v>
      </c>
      <c r="C2549" s="212">
        <v>0.51875000000000004</v>
      </c>
      <c r="D2549" s="213">
        <v>0</v>
      </c>
      <c r="E2549" s="213">
        <v>0</v>
      </c>
      <c r="F2549" s="213">
        <v>0</v>
      </c>
      <c r="G2549" s="213">
        <v>0</v>
      </c>
      <c r="H2549" s="213">
        <v>0</v>
      </c>
      <c r="I2549" s="213">
        <v>0</v>
      </c>
      <c r="J2549" s="213">
        <v>0</v>
      </c>
    </row>
    <row r="2550" spans="1:10">
      <c r="A2550" s="211" t="s">
        <v>165</v>
      </c>
      <c r="B2550" s="211" t="s">
        <v>14</v>
      </c>
      <c r="C2550" s="212">
        <v>0.51944444444444449</v>
      </c>
      <c r="D2550" s="213">
        <v>0</v>
      </c>
      <c r="E2550" s="213">
        <v>0</v>
      </c>
      <c r="F2550" s="213">
        <v>0</v>
      </c>
      <c r="G2550" s="213">
        <v>0</v>
      </c>
      <c r="H2550" s="213">
        <v>0</v>
      </c>
      <c r="I2550" s="213">
        <v>0</v>
      </c>
      <c r="J2550" s="213">
        <v>0</v>
      </c>
    </row>
    <row r="2551" spans="1:10" s="80" customFormat="1">
      <c r="A2551" s="214" t="s">
        <v>165</v>
      </c>
      <c r="B2551" s="214" t="s">
        <v>14</v>
      </c>
      <c r="C2551" s="215">
        <v>0.52013888888888893</v>
      </c>
      <c r="D2551" s="216">
        <v>0</v>
      </c>
      <c r="E2551" s="216">
        <v>0</v>
      </c>
      <c r="F2551" s="216">
        <v>0</v>
      </c>
      <c r="G2551" s="216">
        <v>0</v>
      </c>
      <c r="H2551" s="216">
        <v>0</v>
      </c>
      <c r="I2551" s="216">
        <v>0</v>
      </c>
      <c r="J2551" s="216">
        <v>0</v>
      </c>
    </row>
    <row r="2552" spans="1:10">
      <c r="A2552" s="211" t="s">
        <v>165</v>
      </c>
      <c r="B2552" s="211" t="s">
        <v>14</v>
      </c>
      <c r="C2552" s="212">
        <v>0.52083333333333337</v>
      </c>
      <c r="D2552" s="213">
        <v>0</v>
      </c>
      <c r="E2552" s="213">
        <v>0</v>
      </c>
      <c r="F2552" s="213">
        <v>0</v>
      </c>
      <c r="G2552" s="213">
        <v>0</v>
      </c>
      <c r="H2552" s="213">
        <v>0</v>
      </c>
      <c r="I2552" s="213">
        <v>0</v>
      </c>
      <c r="J2552" s="213">
        <v>0</v>
      </c>
    </row>
    <row r="2553" spans="1:10">
      <c r="A2553" s="211" t="s">
        <v>165</v>
      </c>
      <c r="B2553" s="211" t="s">
        <v>14</v>
      </c>
      <c r="C2553" s="212">
        <v>0.52152777777777781</v>
      </c>
      <c r="D2553" s="213">
        <v>0</v>
      </c>
      <c r="E2553" s="213">
        <v>0</v>
      </c>
      <c r="F2553" s="213">
        <v>0</v>
      </c>
      <c r="G2553" s="213">
        <v>0</v>
      </c>
      <c r="H2553" s="213">
        <v>0</v>
      </c>
      <c r="I2553" s="213">
        <v>0</v>
      </c>
      <c r="J2553" s="213">
        <v>0</v>
      </c>
    </row>
    <row r="2554" spans="1:10">
      <c r="A2554" s="211" t="s">
        <v>165</v>
      </c>
      <c r="B2554" s="211" t="s">
        <v>14</v>
      </c>
      <c r="C2554" s="212">
        <v>0.52222222222222225</v>
      </c>
      <c r="D2554" s="213">
        <v>0</v>
      </c>
      <c r="E2554" s="213">
        <v>0</v>
      </c>
      <c r="F2554" s="213">
        <v>0</v>
      </c>
      <c r="G2554" s="213">
        <v>0</v>
      </c>
      <c r="H2554" s="213">
        <v>0</v>
      </c>
      <c r="I2554" s="213">
        <v>0</v>
      </c>
      <c r="J2554" s="213">
        <v>0</v>
      </c>
    </row>
    <row r="2555" spans="1:10">
      <c r="A2555" s="211" t="s">
        <v>165</v>
      </c>
      <c r="B2555" s="211" t="s">
        <v>14</v>
      </c>
      <c r="C2555" s="212">
        <v>0.5229166666666667</v>
      </c>
      <c r="D2555" s="213">
        <v>0</v>
      </c>
      <c r="E2555" s="213">
        <v>0</v>
      </c>
      <c r="F2555" s="213">
        <v>0</v>
      </c>
      <c r="G2555" s="213">
        <v>0</v>
      </c>
      <c r="H2555" s="213">
        <v>0</v>
      </c>
      <c r="I2555" s="213">
        <v>0</v>
      </c>
      <c r="J2555" s="213">
        <v>0</v>
      </c>
    </row>
    <row r="2556" spans="1:10">
      <c r="A2556" s="211" t="s">
        <v>165</v>
      </c>
      <c r="B2556" s="211" t="s">
        <v>14</v>
      </c>
      <c r="C2556" s="212">
        <v>0.52361111111111114</v>
      </c>
      <c r="D2556" s="213">
        <v>0</v>
      </c>
      <c r="E2556" s="213">
        <v>0</v>
      </c>
      <c r="F2556" s="213">
        <v>0</v>
      </c>
      <c r="G2556" s="213">
        <v>0</v>
      </c>
      <c r="H2556" s="213">
        <v>0</v>
      </c>
      <c r="I2556" s="213">
        <v>0</v>
      </c>
      <c r="J2556" s="213">
        <v>0</v>
      </c>
    </row>
    <row r="2557" spans="1:10">
      <c r="A2557" s="211" t="s">
        <v>165</v>
      </c>
      <c r="B2557" s="211" t="s">
        <v>14</v>
      </c>
      <c r="C2557" s="212">
        <v>0.52430555555555558</v>
      </c>
      <c r="D2557" s="213">
        <v>0</v>
      </c>
      <c r="E2557" s="213">
        <v>0</v>
      </c>
      <c r="F2557" s="213">
        <v>0</v>
      </c>
      <c r="G2557" s="213">
        <v>0</v>
      </c>
      <c r="H2557" s="213">
        <v>0</v>
      </c>
      <c r="I2557" s="213">
        <v>0</v>
      </c>
      <c r="J2557" s="213">
        <v>0</v>
      </c>
    </row>
    <row r="2558" spans="1:10">
      <c r="A2558" s="211" t="s">
        <v>165</v>
      </c>
      <c r="B2558" s="211" t="s">
        <v>14</v>
      </c>
      <c r="C2558" s="212">
        <v>0.52500000000000002</v>
      </c>
      <c r="D2558" s="213">
        <v>0</v>
      </c>
      <c r="E2558" s="213">
        <v>0</v>
      </c>
      <c r="F2558" s="213">
        <v>0</v>
      </c>
      <c r="G2558" s="213">
        <v>0</v>
      </c>
      <c r="H2558" s="213">
        <v>0</v>
      </c>
      <c r="I2558" s="213">
        <v>0</v>
      </c>
      <c r="J2558" s="213">
        <v>0</v>
      </c>
    </row>
    <row r="2559" spans="1:10">
      <c r="A2559" s="211" t="s">
        <v>165</v>
      </c>
      <c r="B2559" s="211" t="s">
        <v>14</v>
      </c>
      <c r="C2559" s="212">
        <v>0.52569444444444446</v>
      </c>
      <c r="D2559" s="213">
        <v>0</v>
      </c>
      <c r="E2559" s="213">
        <v>0</v>
      </c>
      <c r="F2559" s="213">
        <v>0</v>
      </c>
      <c r="G2559" s="213">
        <v>0</v>
      </c>
      <c r="H2559" s="213">
        <v>0</v>
      </c>
      <c r="I2559" s="213">
        <v>0</v>
      </c>
      <c r="J2559" s="213">
        <v>0</v>
      </c>
    </row>
    <row r="2560" spans="1:10">
      <c r="A2560" s="211" t="s">
        <v>165</v>
      </c>
      <c r="B2560" s="211" t="s">
        <v>14</v>
      </c>
      <c r="C2560" s="212">
        <v>0.52638888888888891</v>
      </c>
      <c r="D2560" s="213">
        <v>0</v>
      </c>
      <c r="E2560" s="213">
        <v>0</v>
      </c>
      <c r="F2560" s="213">
        <v>0</v>
      </c>
      <c r="G2560" s="213">
        <v>0</v>
      </c>
      <c r="H2560" s="213">
        <v>0</v>
      </c>
      <c r="I2560" s="213">
        <v>0</v>
      </c>
      <c r="J2560" s="213">
        <v>0</v>
      </c>
    </row>
    <row r="2561" spans="1:10">
      <c r="A2561" s="211" t="s">
        <v>165</v>
      </c>
      <c r="B2561" s="211" t="s">
        <v>14</v>
      </c>
      <c r="C2561" s="212">
        <v>0.52708333333333335</v>
      </c>
      <c r="D2561" s="213">
        <v>0</v>
      </c>
      <c r="E2561" s="213">
        <v>0</v>
      </c>
      <c r="F2561" s="213">
        <v>0</v>
      </c>
      <c r="G2561" s="213">
        <v>0</v>
      </c>
      <c r="H2561" s="213">
        <v>0</v>
      </c>
      <c r="I2561" s="213">
        <v>0</v>
      </c>
      <c r="J2561" s="213">
        <v>0</v>
      </c>
    </row>
    <row r="2562" spans="1:10">
      <c r="A2562" s="211" t="s">
        <v>165</v>
      </c>
      <c r="B2562" s="211" t="s">
        <v>14</v>
      </c>
      <c r="C2562" s="212">
        <v>0.52777777777777779</v>
      </c>
      <c r="D2562" s="213">
        <v>0</v>
      </c>
      <c r="E2562" s="213">
        <v>0</v>
      </c>
      <c r="F2562" s="213">
        <v>0</v>
      </c>
      <c r="G2562" s="213">
        <v>0</v>
      </c>
      <c r="H2562" s="213">
        <v>0</v>
      </c>
      <c r="I2562" s="213">
        <v>0</v>
      </c>
      <c r="J2562" s="213">
        <v>0</v>
      </c>
    </row>
    <row r="2563" spans="1:10">
      <c r="A2563" s="211" t="s">
        <v>165</v>
      </c>
      <c r="B2563" s="211" t="s">
        <v>14</v>
      </c>
      <c r="C2563" s="212">
        <v>0.52847222222222223</v>
      </c>
      <c r="D2563" s="213">
        <v>0</v>
      </c>
      <c r="E2563" s="213">
        <v>0</v>
      </c>
      <c r="F2563" s="213">
        <v>0</v>
      </c>
      <c r="G2563" s="213">
        <v>0</v>
      </c>
      <c r="H2563" s="213">
        <v>0</v>
      </c>
      <c r="I2563" s="213">
        <v>0</v>
      </c>
      <c r="J2563" s="213">
        <v>0</v>
      </c>
    </row>
    <row r="2564" spans="1:10">
      <c r="A2564" s="211" t="s">
        <v>165</v>
      </c>
      <c r="B2564" s="211" t="s">
        <v>14</v>
      </c>
      <c r="C2564" s="212">
        <v>0.52916666666666667</v>
      </c>
      <c r="D2564" s="213">
        <v>0</v>
      </c>
      <c r="E2564" s="213">
        <v>0</v>
      </c>
      <c r="F2564" s="213">
        <v>0</v>
      </c>
      <c r="G2564" s="213">
        <v>0</v>
      </c>
      <c r="H2564" s="213">
        <v>0</v>
      </c>
      <c r="I2564" s="213">
        <v>0</v>
      </c>
      <c r="J2564" s="213">
        <v>0</v>
      </c>
    </row>
    <row r="2565" spans="1:10">
      <c r="A2565" s="211" t="s">
        <v>165</v>
      </c>
      <c r="B2565" s="211" t="s">
        <v>14</v>
      </c>
      <c r="C2565" s="212">
        <v>0.52986111111111112</v>
      </c>
      <c r="D2565" s="213">
        <v>0</v>
      </c>
      <c r="E2565" s="213">
        <v>0</v>
      </c>
      <c r="F2565" s="213">
        <v>0</v>
      </c>
      <c r="G2565" s="213">
        <v>0</v>
      </c>
      <c r="H2565" s="213">
        <v>0</v>
      </c>
      <c r="I2565" s="213">
        <v>0</v>
      </c>
      <c r="J2565" s="213">
        <v>0</v>
      </c>
    </row>
    <row r="2566" spans="1:10" s="80" customFormat="1">
      <c r="A2566" s="214" t="s">
        <v>165</v>
      </c>
      <c r="B2566" s="214" t="s">
        <v>14</v>
      </c>
      <c r="C2566" s="215">
        <v>0.53055555555555556</v>
      </c>
      <c r="D2566" s="213">
        <v>0</v>
      </c>
      <c r="E2566" s="213">
        <v>0</v>
      </c>
      <c r="F2566" s="213">
        <v>0</v>
      </c>
      <c r="G2566" s="213">
        <v>0</v>
      </c>
      <c r="H2566" s="213">
        <v>0</v>
      </c>
      <c r="I2566" s="213">
        <v>0</v>
      </c>
      <c r="J2566" s="213">
        <v>0</v>
      </c>
    </row>
    <row r="2567" spans="1:10">
      <c r="A2567" s="211" t="s">
        <v>165</v>
      </c>
      <c r="B2567" s="211" t="s">
        <v>14</v>
      </c>
      <c r="C2567" s="212">
        <v>0.53125</v>
      </c>
      <c r="D2567" s="217">
        <v>0</v>
      </c>
      <c r="E2567" s="217">
        <v>0</v>
      </c>
      <c r="F2567" s="217">
        <v>0</v>
      </c>
      <c r="G2567" s="217">
        <v>0</v>
      </c>
      <c r="H2567" s="217">
        <v>0</v>
      </c>
      <c r="I2567" s="217">
        <v>0</v>
      </c>
      <c r="J2567" s="217">
        <v>0</v>
      </c>
    </row>
    <row r="2568" spans="1:10">
      <c r="A2568" s="211" t="s">
        <v>165</v>
      </c>
      <c r="B2568" s="211" t="s">
        <v>14</v>
      </c>
      <c r="C2568" s="212">
        <v>0.53194444444444444</v>
      </c>
      <c r="D2568" s="213">
        <v>0</v>
      </c>
      <c r="E2568" s="213">
        <v>0</v>
      </c>
      <c r="F2568" s="213">
        <v>0</v>
      </c>
      <c r="G2568" s="213">
        <v>0</v>
      </c>
      <c r="H2568" s="213">
        <v>0</v>
      </c>
      <c r="I2568" s="213">
        <v>0</v>
      </c>
      <c r="J2568" s="213">
        <v>0</v>
      </c>
    </row>
    <row r="2569" spans="1:10">
      <c r="A2569" s="211" t="s">
        <v>165</v>
      </c>
      <c r="B2569" s="211" t="s">
        <v>14</v>
      </c>
      <c r="C2569" s="212">
        <v>0.53263888888888888</v>
      </c>
      <c r="D2569" s="213">
        <v>0</v>
      </c>
      <c r="E2569" s="213">
        <v>0</v>
      </c>
      <c r="F2569" s="213">
        <v>0</v>
      </c>
      <c r="G2569" s="213">
        <v>0</v>
      </c>
      <c r="H2569" s="213">
        <v>0</v>
      </c>
      <c r="I2569" s="213">
        <v>0</v>
      </c>
      <c r="J2569" s="213">
        <v>0</v>
      </c>
    </row>
    <row r="2570" spans="1:10">
      <c r="A2570" s="211" t="s">
        <v>165</v>
      </c>
      <c r="B2570" s="211" t="s">
        <v>14</v>
      </c>
      <c r="C2570" s="212">
        <v>0.53333333333333333</v>
      </c>
      <c r="D2570" s="213">
        <v>0</v>
      </c>
      <c r="E2570" s="213">
        <v>0</v>
      </c>
      <c r="F2570" s="213">
        <v>0</v>
      </c>
      <c r="G2570" s="213">
        <v>0</v>
      </c>
      <c r="H2570" s="213">
        <v>0</v>
      </c>
      <c r="I2570" s="213">
        <v>0</v>
      </c>
      <c r="J2570" s="213">
        <v>0</v>
      </c>
    </row>
    <row r="2571" spans="1:10">
      <c r="A2571" s="211" t="s">
        <v>165</v>
      </c>
      <c r="B2571" s="211" t="s">
        <v>14</v>
      </c>
      <c r="C2571" s="212">
        <v>0.53402777777777777</v>
      </c>
      <c r="D2571" s="213">
        <v>0</v>
      </c>
      <c r="E2571" s="213">
        <v>0</v>
      </c>
      <c r="F2571" s="213">
        <v>0</v>
      </c>
      <c r="G2571" s="213">
        <v>0</v>
      </c>
      <c r="H2571" s="213">
        <v>0</v>
      </c>
      <c r="I2571" s="213">
        <v>0</v>
      </c>
      <c r="J2571" s="213">
        <v>0</v>
      </c>
    </row>
    <row r="2572" spans="1:10">
      <c r="A2572" s="211" t="s">
        <v>165</v>
      </c>
      <c r="B2572" s="211" t="s">
        <v>14</v>
      </c>
      <c r="C2572" s="212">
        <v>0.53472222222222221</v>
      </c>
      <c r="D2572" s="213">
        <v>0</v>
      </c>
      <c r="E2572" s="213">
        <v>0</v>
      </c>
      <c r="F2572" s="213">
        <v>0</v>
      </c>
      <c r="G2572" s="213">
        <v>0</v>
      </c>
      <c r="H2572" s="213">
        <v>0</v>
      </c>
      <c r="I2572" s="213">
        <v>0</v>
      </c>
      <c r="J2572" s="213">
        <v>0</v>
      </c>
    </row>
    <row r="2573" spans="1:10">
      <c r="A2573" s="211" t="s">
        <v>165</v>
      </c>
      <c r="B2573" s="211" t="s">
        <v>14</v>
      </c>
      <c r="C2573" s="212">
        <v>0.53541666666666665</v>
      </c>
      <c r="D2573" s="213">
        <v>0</v>
      </c>
      <c r="E2573" s="213">
        <v>0</v>
      </c>
      <c r="F2573" s="213">
        <v>0</v>
      </c>
      <c r="G2573" s="213">
        <v>0</v>
      </c>
      <c r="H2573" s="213">
        <v>0</v>
      </c>
      <c r="I2573" s="213">
        <v>0</v>
      </c>
      <c r="J2573" s="213">
        <v>0</v>
      </c>
    </row>
    <row r="2574" spans="1:10">
      <c r="A2574" s="211" t="s">
        <v>165</v>
      </c>
      <c r="B2574" s="211" t="s">
        <v>14</v>
      </c>
      <c r="C2574" s="212">
        <v>0.53611111111111109</v>
      </c>
      <c r="D2574" s="213">
        <v>0</v>
      </c>
      <c r="E2574" s="213">
        <v>0</v>
      </c>
      <c r="F2574" s="213">
        <v>0</v>
      </c>
      <c r="G2574" s="213">
        <v>0</v>
      </c>
      <c r="H2574" s="213">
        <v>0</v>
      </c>
      <c r="I2574" s="213">
        <v>0</v>
      </c>
      <c r="J2574" s="213">
        <v>0</v>
      </c>
    </row>
    <row r="2575" spans="1:10">
      <c r="A2575" s="211" t="s">
        <v>165</v>
      </c>
      <c r="B2575" s="211" t="s">
        <v>14</v>
      </c>
      <c r="C2575" s="212">
        <v>0.53680555555555554</v>
      </c>
      <c r="D2575" s="213">
        <v>0</v>
      </c>
      <c r="E2575" s="213">
        <v>0</v>
      </c>
      <c r="F2575" s="213">
        <v>0</v>
      </c>
      <c r="G2575" s="213">
        <v>0</v>
      </c>
      <c r="H2575" s="213">
        <v>0</v>
      </c>
      <c r="I2575" s="213">
        <v>0</v>
      </c>
      <c r="J2575" s="213">
        <v>0</v>
      </c>
    </row>
    <row r="2576" spans="1:10">
      <c r="A2576" s="211" t="s">
        <v>165</v>
      </c>
      <c r="B2576" s="211" t="s">
        <v>14</v>
      </c>
      <c r="C2576" s="212">
        <v>0.53749999999999998</v>
      </c>
      <c r="D2576" s="213">
        <v>0</v>
      </c>
      <c r="E2576" s="213">
        <v>0</v>
      </c>
      <c r="F2576" s="213">
        <v>0</v>
      </c>
      <c r="G2576" s="213">
        <v>0</v>
      </c>
      <c r="H2576" s="213">
        <v>0</v>
      </c>
      <c r="I2576" s="213">
        <v>0</v>
      </c>
      <c r="J2576" s="213">
        <v>0</v>
      </c>
    </row>
    <row r="2577" spans="1:10">
      <c r="A2577" s="211" t="s">
        <v>165</v>
      </c>
      <c r="B2577" s="211" t="s">
        <v>14</v>
      </c>
      <c r="C2577" s="212">
        <v>0.53819444444444442</v>
      </c>
      <c r="D2577" s="213">
        <v>0</v>
      </c>
      <c r="E2577" s="213">
        <v>0</v>
      </c>
      <c r="F2577" s="213">
        <v>0</v>
      </c>
      <c r="G2577" s="213">
        <v>0</v>
      </c>
      <c r="H2577" s="213">
        <v>0</v>
      </c>
      <c r="I2577" s="213">
        <v>0</v>
      </c>
      <c r="J2577" s="213">
        <v>0</v>
      </c>
    </row>
    <row r="2578" spans="1:10">
      <c r="A2578" s="211" t="s">
        <v>165</v>
      </c>
      <c r="B2578" s="211" t="s">
        <v>14</v>
      </c>
      <c r="C2578" s="212">
        <v>0.53888888888888886</v>
      </c>
      <c r="D2578" s="213">
        <v>0</v>
      </c>
      <c r="E2578" s="213">
        <v>0</v>
      </c>
      <c r="F2578" s="213">
        <v>0</v>
      </c>
      <c r="G2578" s="213">
        <v>0</v>
      </c>
      <c r="H2578" s="213">
        <v>0</v>
      </c>
      <c r="I2578" s="213">
        <v>0</v>
      </c>
      <c r="J2578" s="213">
        <v>0</v>
      </c>
    </row>
    <row r="2579" spans="1:10">
      <c r="A2579" s="211" t="s">
        <v>165</v>
      </c>
      <c r="B2579" s="211" t="s">
        <v>14</v>
      </c>
      <c r="C2579" s="212">
        <v>0.5395833333333333</v>
      </c>
      <c r="D2579" s="213">
        <v>0</v>
      </c>
      <c r="E2579" s="213">
        <v>0</v>
      </c>
      <c r="F2579" s="213">
        <v>0</v>
      </c>
      <c r="G2579" s="213">
        <v>0</v>
      </c>
      <c r="H2579" s="213">
        <v>0</v>
      </c>
      <c r="I2579" s="213">
        <v>0</v>
      </c>
      <c r="J2579" s="213">
        <v>0</v>
      </c>
    </row>
    <row r="2580" spans="1:10">
      <c r="A2580" s="211" t="s">
        <v>165</v>
      </c>
      <c r="B2580" s="211" t="s">
        <v>14</v>
      </c>
      <c r="C2580" s="212">
        <v>0.54027777777777775</v>
      </c>
      <c r="D2580" s="213">
        <v>0</v>
      </c>
      <c r="E2580" s="213">
        <v>0</v>
      </c>
      <c r="F2580" s="213">
        <v>0</v>
      </c>
      <c r="G2580" s="213">
        <v>0</v>
      </c>
      <c r="H2580" s="213">
        <v>0</v>
      </c>
      <c r="I2580" s="213">
        <v>0</v>
      </c>
      <c r="J2580" s="213">
        <v>0</v>
      </c>
    </row>
    <row r="2581" spans="1:10" s="80" customFormat="1">
      <c r="A2581" s="214" t="s">
        <v>165</v>
      </c>
      <c r="B2581" s="214" t="s">
        <v>14</v>
      </c>
      <c r="C2581" s="215">
        <v>0.54097222222222219</v>
      </c>
      <c r="D2581" s="216">
        <v>0</v>
      </c>
      <c r="E2581" s="216">
        <v>0</v>
      </c>
      <c r="F2581" s="216">
        <v>0</v>
      </c>
      <c r="G2581" s="216">
        <v>0</v>
      </c>
      <c r="H2581" s="216">
        <v>0</v>
      </c>
      <c r="I2581" s="216">
        <v>0</v>
      </c>
      <c r="J2581" s="216">
        <v>0</v>
      </c>
    </row>
    <row r="2582" spans="1:10">
      <c r="A2582" s="211" t="s">
        <v>165</v>
      </c>
      <c r="B2582" s="211" t="s">
        <v>14</v>
      </c>
      <c r="C2582" s="212">
        <v>0.54166666666666663</v>
      </c>
      <c r="D2582" s="213">
        <v>0</v>
      </c>
      <c r="E2582" s="213">
        <v>0</v>
      </c>
      <c r="F2582" s="213">
        <v>0</v>
      </c>
      <c r="G2582" s="213">
        <v>0</v>
      </c>
      <c r="H2582" s="213">
        <v>0</v>
      </c>
      <c r="I2582" s="213">
        <v>0</v>
      </c>
      <c r="J2582" s="213">
        <v>0</v>
      </c>
    </row>
    <row r="2583" spans="1:10">
      <c r="A2583" s="211" t="s">
        <v>165</v>
      </c>
      <c r="B2583" s="211" t="s">
        <v>14</v>
      </c>
      <c r="C2583" s="212">
        <v>0.54236111111111107</v>
      </c>
      <c r="D2583" s="213">
        <v>0</v>
      </c>
      <c r="E2583" s="213">
        <v>0</v>
      </c>
      <c r="F2583" s="213">
        <v>0</v>
      </c>
      <c r="G2583" s="213">
        <v>0</v>
      </c>
      <c r="H2583" s="213">
        <v>0</v>
      </c>
      <c r="I2583" s="213">
        <v>0</v>
      </c>
      <c r="J2583" s="213">
        <v>0</v>
      </c>
    </row>
    <row r="2584" spans="1:10">
      <c r="A2584" s="211" t="s">
        <v>165</v>
      </c>
      <c r="B2584" s="211" t="s">
        <v>14</v>
      </c>
      <c r="C2584" s="212">
        <v>0.54305555555555551</v>
      </c>
      <c r="D2584" s="213">
        <v>0</v>
      </c>
      <c r="E2584" s="213">
        <v>0</v>
      </c>
      <c r="F2584" s="213">
        <v>0</v>
      </c>
      <c r="G2584" s="213">
        <v>0</v>
      </c>
      <c r="H2584" s="213">
        <v>0</v>
      </c>
      <c r="I2584" s="213">
        <v>0</v>
      </c>
      <c r="J2584" s="213">
        <v>0</v>
      </c>
    </row>
    <row r="2585" spans="1:10">
      <c r="A2585" s="211" t="s">
        <v>165</v>
      </c>
      <c r="B2585" s="211" t="s">
        <v>14</v>
      </c>
      <c r="C2585" s="212">
        <v>0.54374999999999996</v>
      </c>
      <c r="D2585" s="213">
        <v>0</v>
      </c>
      <c r="E2585" s="213">
        <v>0</v>
      </c>
      <c r="F2585" s="213">
        <v>0</v>
      </c>
      <c r="G2585" s="213">
        <v>0</v>
      </c>
      <c r="H2585" s="213">
        <v>0</v>
      </c>
      <c r="I2585" s="213">
        <v>0</v>
      </c>
      <c r="J2585" s="213">
        <v>0</v>
      </c>
    </row>
    <row r="2586" spans="1:10">
      <c r="A2586" s="211" t="s">
        <v>165</v>
      </c>
      <c r="B2586" s="211" t="s">
        <v>14</v>
      </c>
      <c r="C2586" s="212">
        <v>0.5444444444444444</v>
      </c>
      <c r="D2586" s="213">
        <v>0</v>
      </c>
      <c r="E2586" s="213">
        <v>0</v>
      </c>
      <c r="F2586" s="213">
        <v>0</v>
      </c>
      <c r="G2586" s="213">
        <v>0</v>
      </c>
      <c r="H2586" s="213">
        <v>0</v>
      </c>
      <c r="I2586" s="213">
        <v>0</v>
      </c>
      <c r="J2586" s="213">
        <v>0</v>
      </c>
    </row>
    <row r="2587" spans="1:10">
      <c r="A2587" s="211" t="s">
        <v>165</v>
      </c>
      <c r="B2587" s="211" t="s">
        <v>14</v>
      </c>
      <c r="C2587" s="212">
        <v>0.54513888888888884</v>
      </c>
      <c r="D2587" s="213">
        <v>0</v>
      </c>
      <c r="E2587" s="213">
        <v>0</v>
      </c>
      <c r="F2587" s="213">
        <v>0</v>
      </c>
      <c r="G2587" s="213">
        <v>0</v>
      </c>
      <c r="H2587" s="213">
        <v>0</v>
      </c>
      <c r="I2587" s="213">
        <v>0</v>
      </c>
      <c r="J2587" s="213">
        <v>0</v>
      </c>
    </row>
    <row r="2588" spans="1:10">
      <c r="A2588" s="211" t="s">
        <v>165</v>
      </c>
      <c r="B2588" s="211" t="s">
        <v>14</v>
      </c>
      <c r="C2588" s="212">
        <v>0.54583333333333328</v>
      </c>
      <c r="D2588" s="213">
        <v>0</v>
      </c>
      <c r="E2588" s="213">
        <v>0</v>
      </c>
      <c r="F2588" s="213">
        <v>0</v>
      </c>
      <c r="G2588" s="213">
        <v>0</v>
      </c>
      <c r="H2588" s="213">
        <v>0</v>
      </c>
      <c r="I2588" s="213">
        <v>0</v>
      </c>
      <c r="J2588" s="213">
        <v>0</v>
      </c>
    </row>
    <row r="2589" spans="1:10">
      <c r="A2589" s="211" t="s">
        <v>165</v>
      </c>
      <c r="B2589" s="211" t="s">
        <v>14</v>
      </c>
      <c r="C2589" s="212">
        <v>0.54652777777777772</v>
      </c>
      <c r="D2589" s="213">
        <v>0</v>
      </c>
      <c r="E2589" s="213">
        <v>0</v>
      </c>
      <c r="F2589" s="213">
        <v>0</v>
      </c>
      <c r="G2589" s="213">
        <v>0</v>
      </c>
      <c r="H2589" s="213">
        <v>0</v>
      </c>
      <c r="I2589" s="213">
        <v>0</v>
      </c>
      <c r="J2589" s="213">
        <v>0</v>
      </c>
    </row>
    <row r="2590" spans="1:10">
      <c r="A2590" s="211" t="s">
        <v>165</v>
      </c>
      <c r="B2590" s="211" t="s">
        <v>14</v>
      </c>
      <c r="C2590" s="212">
        <v>0.54722222222222228</v>
      </c>
      <c r="D2590" s="213">
        <v>0</v>
      </c>
      <c r="E2590" s="213">
        <v>0</v>
      </c>
      <c r="F2590" s="213">
        <v>0</v>
      </c>
      <c r="G2590" s="213">
        <v>0</v>
      </c>
      <c r="H2590" s="213">
        <v>0</v>
      </c>
      <c r="I2590" s="213">
        <v>0</v>
      </c>
      <c r="J2590" s="213">
        <v>0</v>
      </c>
    </row>
    <row r="2591" spans="1:10">
      <c r="A2591" s="211" t="s">
        <v>165</v>
      </c>
      <c r="B2591" s="211" t="s">
        <v>14</v>
      </c>
      <c r="C2591" s="212">
        <v>0.54791666666666672</v>
      </c>
      <c r="D2591" s="213">
        <v>0</v>
      </c>
      <c r="E2591" s="213">
        <v>0</v>
      </c>
      <c r="F2591" s="213">
        <v>0</v>
      </c>
      <c r="G2591" s="213">
        <v>0</v>
      </c>
      <c r="H2591" s="213">
        <v>0</v>
      </c>
      <c r="I2591" s="213">
        <v>0</v>
      </c>
      <c r="J2591" s="213">
        <v>0</v>
      </c>
    </row>
    <row r="2592" spans="1:10">
      <c r="A2592" s="211" t="s">
        <v>165</v>
      </c>
      <c r="B2592" s="211" t="s">
        <v>14</v>
      </c>
      <c r="C2592" s="212">
        <v>0.54861111111111116</v>
      </c>
      <c r="D2592" s="213">
        <v>0</v>
      </c>
      <c r="E2592" s="213">
        <v>0</v>
      </c>
      <c r="F2592" s="213">
        <v>0</v>
      </c>
      <c r="G2592" s="213">
        <v>0</v>
      </c>
      <c r="H2592" s="213">
        <v>0</v>
      </c>
      <c r="I2592" s="213">
        <v>0</v>
      </c>
      <c r="J2592" s="213">
        <v>0</v>
      </c>
    </row>
    <row r="2593" spans="1:10">
      <c r="A2593" s="211" t="s">
        <v>165</v>
      </c>
      <c r="B2593" s="211" t="s">
        <v>14</v>
      </c>
      <c r="C2593" s="212">
        <v>0.5493055555555556</v>
      </c>
      <c r="D2593" s="213">
        <v>0</v>
      </c>
      <c r="E2593" s="213">
        <v>0</v>
      </c>
      <c r="F2593" s="213">
        <v>0</v>
      </c>
      <c r="G2593" s="213">
        <v>0</v>
      </c>
      <c r="H2593" s="213">
        <v>0</v>
      </c>
      <c r="I2593" s="213">
        <v>0</v>
      </c>
      <c r="J2593" s="213">
        <v>0</v>
      </c>
    </row>
    <row r="2594" spans="1:10">
      <c r="A2594" s="211" t="s">
        <v>165</v>
      </c>
      <c r="B2594" s="211" t="s">
        <v>14</v>
      </c>
      <c r="C2594" s="212">
        <v>0.54236111111111107</v>
      </c>
      <c r="D2594" s="213">
        <v>0</v>
      </c>
      <c r="E2594" s="213">
        <v>0</v>
      </c>
      <c r="F2594" s="213">
        <v>0</v>
      </c>
      <c r="G2594" s="213">
        <v>0</v>
      </c>
      <c r="H2594" s="213">
        <v>0</v>
      </c>
      <c r="I2594" s="213">
        <v>0</v>
      </c>
      <c r="J2594" s="213">
        <v>0</v>
      </c>
    </row>
    <row r="2595" spans="1:10">
      <c r="A2595" s="211" t="s">
        <v>165</v>
      </c>
      <c r="B2595" s="211" t="s">
        <v>14</v>
      </c>
      <c r="C2595" s="212">
        <v>0.55069444444444449</v>
      </c>
      <c r="D2595" s="213">
        <v>0</v>
      </c>
      <c r="E2595" s="213">
        <v>0</v>
      </c>
      <c r="F2595" s="213">
        <v>0</v>
      </c>
      <c r="G2595" s="213">
        <v>0</v>
      </c>
      <c r="H2595" s="213">
        <v>0</v>
      </c>
      <c r="I2595" s="213">
        <v>0</v>
      </c>
      <c r="J2595" s="213">
        <v>0</v>
      </c>
    </row>
    <row r="2596" spans="1:10" s="80" customFormat="1">
      <c r="A2596" s="214" t="s">
        <v>165</v>
      </c>
      <c r="B2596" s="214" t="s">
        <v>14</v>
      </c>
      <c r="C2596" s="215">
        <v>0.55138888888888893</v>
      </c>
      <c r="D2596" s="213">
        <v>0</v>
      </c>
      <c r="E2596" s="213">
        <v>0</v>
      </c>
      <c r="F2596" s="213">
        <v>0</v>
      </c>
      <c r="G2596" s="213">
        <v>0</v>
      </c>
      <c r="H2596" s="213">
        <v>0</v>
      </c>
      <c r="I2596" s="213">
        <v>0</v>
      </c>
      <c r="J2596" s="213">
        <v>0</v>
      </c>
    </row>
    <row r="2597" spans="1:10">
      <c r="A2597" s="211" t="s">
        <v>165</v>
      </c>
      <c r="B2597" s="211" t="s">
        <v>14</v>
      </c>
      <c r="C2597" s="212">
        <v>0.55208333333333337</v>
      </c>
      <c r="D2597" s="217">
        <v>0</v>
      </c>
      <c r="E2597" s="217">
        <v>0</v>
      </c>
      <c r="F2597" s="217">
        <v>0</v>
      </c>
      <c r="G2597" s="217">
        <v>0</v>
      </c>
      <c r="H2597" s="217">
        <v>0</v>
      </c>
      <c r="I2597" s="217">
        <v>0</v>
      </c>
      <c r="J2597" s="217">
        <v>0</v>
      </c>
    </row>
    <row r="2598" spans="1:10">
      <c r="A2598" s="211" t="s">
        <v>165</v>
      </c>
      <c r="B2598" s="211" t="s">
        <v>14</v>
      </c>
      <c r="C2598" s="212">
        <v>0.55277777777777781</v>
      </c>
      <c r="D2598" s="213">
        <v>0</v>
      </c>
      <c r="E2598" s="213">
        <v>0</v>
      </c>
      <c r="F2598" s="213">
        <v>0</v>
      </c>
      <c r="G2598" s="213">
        <v>0</v>
      </c>
      <c r="H2598" s="213">
        <v>0</v>
      </c>
      <c r="I2598" s="213">
        <v>0</v>
      </c>
      <c r="J2598" s="213">
        <v>0</v>
      </c>
    </row>
    <row r="2599" spans="1:10">
      <c r="A2599" s="211" t="s">
        <v>165</v>
      </c>
      <c r="B2599" s="211" t="s">
        <v>14</v>
      </c>
      <c r="C2599" s="212">
        <v>0.55347222222222225</v>
      </c>
      <c r="D2599" s="213">
        <v>0</v>
      </c>
      <c r="E2599" s="213">
        <v>0</v>
      </c>
      <c r="F2599" s="213">
        <v>0</v>
      </c>
      <c r="G2599" s="213">
        <v>0</v>
      </c>
      <c r="H2599" s="213">
        <v>0</v>
      </c>
      <c r="I2599" s="213">
        <v>0</v>
      </c>
      <c r="J2599" s="213">
        <v>0</v>
      </c>
    </row>
    <row r="2600" spans="1:10">
      <c r="A2600" s="211" t="s">
        <v>165</v>
      </c>
      <c r="B2600" s="211" t="s">
        <v>14</v>
      </c>
      <c r="C2600" s="212">
        <v>0.5541666666666667</v>
      </c>
      <c r="D2600" s="213">
        <v>0</v>
      </c>
      <c r="E2600" s="213">
        <v>0</v>
      </c>
      <c r="F2600" s="213">
        <v>0</v>
      </c>
      <c r="G2600" s="213">
        <v>0</v>
      </c>
      <c r="H2600" s="213">
        <v>0</v>
      </c>
      <c r="I2600" s="213">
        <v>0</v>
      </c>
      <c r="J2600" s="213">
        <v>0</v>
      </c>
    </row>
    <row r="2601" spans="1:10">
      <c r="A2601" s="211" t="s">
        <v>165</v>
      </c>
      <c r="B2601" s="211" t="s">
        <v>14</v>
      </c>
      <c r="C2601" s="212">
        <v>0.55486111111111114</v>
      </c>
      <c r="D2601" s="213">
        <v>0</v>
      </c>
      <c r="E2601" s="213">
        <v>0</v>
      </c>
      <c r="F2601" s="213">
        <v>0</v>
      </c>
      <c r="G2601" s="213">
        <v>0</v>
      </c>
      <c r="H2601" s="213">
        <v>0</v>
      </c>
      <c r="I2601" s="213">
        <v>0</v>
      </c>
      <c r="J2601" s="213">
        <v>0</v>
      </c>
    </row>
    <row r="2602" spans="1:10">
      <c r="A2602" s="211" t="s">
        <v>165</v>
      </c>
      <c r="B2602" s="211" t="s">
        <v>14</v>
      </c>
      <c r="C2602" s="212">
        <v>0.55555555555555558</v>
      </c>
      <c r="D2602" s="213">
        <v>0</v>
      </c>
      <c r="E2602" s="213">
        <v>0</v>
      </c>
      <c r="F2602" s="213">
        <v>0</v>
      </c>
      <c r="G2602" s="213">
        <v>0</v>
      </c>
      <c r="H2602" s="213">
        <v>0</v>
      </c>
      <c r="I2602" s="213">
        <v>0</v>
      </c>
      <c r="J2602" s="213">
        <v>0</v>
      </c>
    </row>
    <row r="2603" spans="1:10">
      <c r="A2603" s="211" t="s">
        <v>165</v>
      </c>
      <c r="B2603" s="211" t="s">
        <v>14</v>
      </c>
      <c r="C2603" s="212">
        <v>0.55625000000000002</v>
      </c>
      <c r="D2603" s="213">
        <v>0</v>
      </c>
      <c r="E2603" s="213">
        <v>0</v>
      </c>
      <c r="F2603" s="213">
        <v>0</v>
      </c>
      <c r="G2603" s="213">
        <v>0</v>
      </c>
      <c r="H2603" s="213">
        <v>0</v>
      </c>
      <c r="I2603" s="213">
        <v>0</v>
      </c>
      <c r="J2603" s="213">
        <v>0</v>
      </c>
    </row>
    <row r="2604" spans="1:10">
      <c r="A2604" s="211" t="s">
        <v>165</v>
      </c>
      <c r="B2604" s="211" t="s">
        <v>14</v>
      </c>
      <c r="C2604" s="212">
        <v>0.55694444444444446</v>
      </c>
      <c r="D2604" s="213">
        <v>0</v>
      </c>
      <c r="E2604" s="213">
        <v>0</v>
      </c>
      <c r="F2604" s="213">
        <v>0</v>
      </c>
      <c r="G2604" s="213">
        <v>0</v>
      </c>
      <c r="H2604" s="213">
        <v>0</v>
      </c>
      <c r="I2604" s="213">
        <v>0</v>
      </c>
      <c r="J2604" s="213">
        <v>0</v>
      </c>
    </row>
    <row r="2605" spans="1:10">
      <c r="A2605" s="211" t="s">
        <v>165</v>
      </c>
      <c r="B2605" s="211" t="s">
        <v>14</v>
      </c>
      <c r="C2605" s="212">
        <v>0.55763888888888891</v>
      </c>
      <c r="D2605" s="213">
        <v>0</v>
      </c>
      <c r="E2605" s="213">
        <v>0</v>
      </c>
      <c r="F2605" s="213">
        <v>0</v>
      </c>
      <c r="G2605" s="213">
        <v>0</v>
      </c>
      <c r="H2605" s="213">
        <v>0</v>
      </c>
      <c r="I2605" s="213">
        <v>0</v>
      </c>
      <c r="J2605" s="213">
        <v>0</v>
      </c>
    </row>
    <row r="2606" spans="1:10">
      <c r="A2606" s="211" t="s">
        <v>165</v>
      </c>
      <c r="B2606" s="211" t="s">
        <v>14</v>
      </c>
      <c r="C2606" s="212">
        <v>0.55833333333333335</v>
      </c>
      <c r="D2606" s="213">
        <v>0</v>
      </c>
      <c r="E2606" s="213">
        <v>0</v>
      </c>
      <c r="F2606" s="213">
        <v>0</v>
      </c>
      <c r="G2606" s="213">
        <v>0</v>
      </c>
      <c r="H2606" s="213">
        <v>0</v>
      </c>
      <c r="I2606" s="213">
        <v>0</v>
      </c>
      <c r="J2606" s="213">
        <v>0</v>
      </c>
    </row>
    <row r="2607" spans="1:10">
      <c r="A2607" s="211" t="s">
        <v>165</v>
      </c>
      <c r="B2607" s="211" t="s">
        <v>14</v>
      </c>
      <c r="C2607" s="212">
        <v>0.55902777777777779</v>
      </c>
      <c r="D2607" s="213">
        <v>0</v>
      </c>
      <c r="E2607" s="213">
        <v>0</v>
      </c>
      <c r="F2607" s="213">
        <v>0</v>
      </c>
      <c r="G2607" s="213">
        <v>0</v>
      </c>
      <c r="H2607" s="213">
        <v>0</v>
      </c>
      <c r="I2607" s="213">
        <v>0</v>
      </c>
      <c r="J2607" s="213">
        <v>0</v>
      </c>
    </row>
    <row r="2608" spans="1:10">
      <c r="A2608" s="211" t="s">
        <v>165</v>
      </c>
      <c r="B2608" s="211" t="s">
        <v>14</v>
      </c>
      <c r="C2608" s="212">
        <v>0.55972222222222223</v>
      </c>
      <c r="D2608" s="213">
        <v>0</v>
      </c>
      <c r="E2608" s="213">
        <v>0</v>
      </c>
      <c r="F2608" s="213">
        <v>0</v>
      </c>
      <c r="G2608" s="213">
        <v>0</v>
      </c>
      <c r="H2608" s="213">
        <v>0</v>
      </c>
      <c r="I2608" s="213">
        <v>0</v>
      </c>
      <c r="J2608" s="213">
        <v>0</v>
      </c>
    </row>
    <row r="2609" spans="1:10">
      <c r="A2609" s="211" t="s">
        <v>165</v>
      </c>
      <c r="B2609" s="211" t="s">
        <v>14</v>
      </c>
      <c r="C2609" s="212">
        <v>0.56041666666666667</v>
      </c>
      <c r="D2609" s="213">
        <v>0</v>
      </c>
      <c r="E2609" s="213">
        <v>0</v>
      </c>
      <c r="F2609" s="213">
        <v>0</v>
      </c>
      <c r="G2609" s="213">
        <v>0</v>
      </c>
      <c r="H2609" s="213">
        <v>0</v>
      </c>
      <c r="I2609" s="213">
        <v>0</v>
      </c>
      <c r="J2609" s="213">
        <v>0</v>
      </c>
    </row>
    <row r="2610" spans="1:10">
      <c r="A2610" s="211" t="s">
        <v>165</v>
      </c>
      <c r="B2610" s="211" t="s">
        <v>14</v>
      </c>
      <c r="C2610" s="212">
        <v>0.56111111111111112</v>
      </c>
      <c r="D2610" s="213">
        <v>0</v>
      </c>
      <c r="E2610" s="213">
        <v>0</v>
      </c>
      <c r="F2610" s="213">
        <v>0</v>
      </c>
      <c r="G2610" s="213">
        <v>0</v>
      </c>
      <c r="H2610" s="213">
        <v>0</v>
      </c>
      <c r="I2610" s="213">
        <v>0</v>
      </c>
      <c r="J2610" s="213">
        <v>0</v>
      </c>
    </row>
    <row r="2611" spans="1:10" s="80" customFormat="1">
      <c r="A2611" s="214" t="s">
        <v>165</v>
      </c>
      <c r="B2611" s="214" t="s">
        <v>14</v>
      </c>
      <c r="C2611" s="215">
        <v>0.56180555555555556</v>
      </c>
      <c r="D2611" s="216">
        <v>0</v>
      </c>
      <c r="E2611" s="216">
        <v>0</v>
      </c>
      <c r="F2611" s="216">
        <v>0</v>
      </c>
      <c r="G2611" s="216">
        <v>0</v>
      </c>
      <c r="H2611" s="216">
        <v>0</v>
      </c>
      <c r="I2611" s="216">
        <v>0</v>
      </c>
      <c r="J2611" s="216">
        <v>0</v>
      </c>
    </row>
    <row r="2612" spans="1:10">
      <c r="A2612" s="211" t="s">
        <v>165</v>
      </c>
      <c r="B2612" s="211" t="s">
        <v>14</v>
      </c>
      <c r="C2612" s="212">
        <v>0.5625</v>
      </c>
      <c r="D2612" s="213">
        <v>0</v>
      </c>
      <c r="E2612" s="213">
        <v>0</v>
      </c>
      <c r="F2612" s="213">
        <v>0</v>
      </c>
      <c r="G2612" s="213">
        <v>0</v>
      </c>
      <c r="H2612" s="213">
        <v>0</v>
      </c>
      <c r="I2612" s="213">
        <v>0</v>
      </c>
      <c r="J2612" s="213">
        <v>0</v>
      </c>
    </row>
    <row r="2613" spans="1:10">
      <c r="A2613" s="211" t="s">
        <v>165</v>
      </c>
      <c r="B2613" s="211" t="s">
        <v>14</v>
      </c>
      <c r="C2613" s="212">
        <v>0.56319444444444444</v>
      </c>
      <c r="D2613" s="213">
        <v>0</v>
      </c>
      <c r="E2613" s="213">
        <v>0</v>
      </c>
      <c r="F2613" s="213">
        <v>0</v>
      </c>
      <c r="G2613" s="213">
        <v>0</v>
      </c>
      <c r="H2613" s="213">
        <v>0</v>
      </c>
      <c r="I2613" s="213">
        <v>0</v>
      </c>
      <c r="J2613" s="213">
        <v>0</v>
      </c>
    </row>
    <row r="2614" spans="1:10">
      <c r="A2614" s="211" t="s">
        <v>165</v>
      </c>
      <c r="B2614" s="211" t="s">
        <v>14</v>
      </c>
      <c r="C2614" s="212">
        <v>0.56388888888888888</v>
      </c>
      <c r="D2614" s="213">
        <v>0</v>
      </c>
      <c r="E2614" s="213">
        <v>0</v>
      </c>
      <c r="F2614" s="213">
        <v>0</v>
      </c>
      <c r="G2614" s="213">
        <v>0</v>
      </c>
      <c r="H2614" s="213">
        <v>0</v>
      </c>
      <c r="I2614" s="213">
        <v>0</v>
      </c>
      <c r="J2614" s="213">
        <v>0</v>
      </c>
    </row>
    <row r="2615" spans="1:10">
      <c r="A2615" s="211" t="s">
        <v>165</v>
      </c>
      <c r="B2615" s="211" t="s">
        <v>14</v>
      </c>
      <c r="C2615" s="212">
        <v>0.56458333333333333</v>
      </c>
      <c r="D2615" s="213">
        <v>0</v>
      </c>
      <c r="E2615" s="213">
        <v>0</v>
      </c>
      <c r="F2615" s="213">
        <v>0</v>
      </c>
      <c r="G2615" s="213">
        <v>0</v>
      </c>
      <c r="H2615" s="213">
        <v>0</v>
      </c>
      <c r="I2615" s="213">
        <v>0</v>
      </c>
      <c r="J2615" s="213">
        <v>0</v>
      </c>
    </row>
    <row r="2616" spans="1:10">
      <c r="A2616" s="211" t="s">
        <v>165</v>
      </c>
      <c r="B2616" s="211" t="s">
        <v>14</v>
      </c>
      <c r="C2616" s="212">
        <v>0.56527777777777777</v>
      </c>
      <c r="D2616" s="213">
        <v>0</v>
      </c>
      <c r="E2616" s="213">
        <v>0</v>
      </c>
      <c r="F2616" s="213">
        <v>0</v>
      </c>
      <c r="G2616" s="213">
        <v>0</v>
      </c>
      <c r="H2616" s="213">
        <v>0</v>
      </c>
      <c r="I2616" s="213">
        <v>0</v>
      </c>
      <c r="J2616" s="213">
        <v>0</v>
      </c>
    </row>
    <row r="2617" spans="1:10">
      <c r="A2617" s="211" t="s">
        <v>165</v>
      </c>
      <c r="B2617" s="211" t="s">
        <v>14</v>
      </c>
      <c r="C2617" s="212">
        <v>0.56597222222222221</v>
      </c>
      <c r="D2617" s="213">
        <v>0</v>
      </c>
      <c r="E2617" s="213">
        <v>0</v>
      </c>
      <c r="F2617" s="213">
        <v>0</v>
      </c>
      <c r="G2617" s="213">
        <v>0</v>
      </c>
      <c r="H2617" s="213">
        <v>0</v>
      </c>
      <c r="I2617" s="213">
        <v>0</v>
      </c>
      <c r="J2617" s="213">
        <v>0</v>
      </c>
    </row>
    <row r="2618" spans="1:10">
      <c r="A2618" s="211" t="s">
        <v>165</v>
      </c>
      <c r="B2618" s="211" t="s">
        <v>14</v>
      </c>
      <c r="C2618" s="212">
        <v>0.56666666666666665</v>
      </c>
      <c r="D2618" s="213">
        <v>0</v>
      </c>
      <c r="E2618" s="213">
        <v>0</v>
      </c>
      <c r="F2618" s="213">
        <v>0</v>
      </c>
      <c r="G2618" s="213">
        <v>0</v>
      </c>
      <c r="H2618" s="213">
        <v>0</v>
      </c>
      <c r="I2618" s="213">
        <v>0</v>
      </c>
      <c r="J2618" s="213">
        <v>0</v>
      </c>
    </row>
    <row r="2619" spans="1:10">
      <c r="A2619" s="211" t="s">
        <v>165</v>
      </c>
      <c r="B2619" s="211" t="s">
        <v>14</v>
      </c>
      <c r="C2619" s="212">
        <v>0.56736111111111109</v>
      </c>
      <c r="D2619" s="213">
        <v>0</v>
      </c>
      <c r="E2619" s="213">
        <v>0</v>
      </c>
      <c r="F2619" s="213">
        <v>0</v>
      </c>
      <c r="G2619" s="213">
        <v>0</v>
      </c>
      <c r="H2619" s="213">
        <v>0</v>
      </c>
      <c r="I2619" s="213">
        <v>0</v>
      </c>
      <c r="J2619" s="213">
        <v>0</v>
      </c>
    </row>
    <row r="2620" spans="1:10">
      <c r="A2620" s="211" t="s">
        <v>165</v>
      </c>
      <c r="B2620" s="211" t="s">
        <v>14</v>
      </c>
      <c r="C2620" s="212">
        <v>0.56805555555555554</v>
      </c>
      <c r="D2620" s="213">
        <v>0</v>
      </c>
      <c r="E2620" s="213">
        <v>0</v>
      </c>
      <c r="F2620" s="213">
        <v>0</v>
      </c>
      <c r="G2620" s="213">
        <v>0</v>
      </c>
      <c r="H2620" s="213">
        <v>0</v>
      </c>
      <c r="I2620" s="213">
        <v>0</v>
      </c>
      <c r="J2620" s="213">
        <v>0</v>
      </c>
    </row>
    <row r="2621" spans="1:10">
      <c r="A2621" s="211" t="s">
        <v>165</v>
      </c>
      <c r="B2621" s="211" t="s">
        <v>14</v>
      </c>
      <c r="C2621" s="212">
        <v>0.56874999999999998</v>
      </c>
      <c r="D2621" s="213">
        <v>0</v>
      </c>
      <c r="E2621" s="213">
        <v>0</v>
      </c>
      <c r="F2621" s="213">
        <v>0</v>
      </c>
      <c r="G2621" s="213">
        <v>0</v>
      </c>
      <c r="H2621" s="213">
        <v>0</v>
      </c>
      <c r="I2621" s="213">
        <v>0</v>
      </c>
      <c r="J2621" s="213">
        <v>0</v>
      </c>
    </row>
    <row r="2622" spans="1:10">
      <c r="A2622" s="211" t="s">
        <v>165</v>
      </c>
      <c r="B2622" s="211" t="s">
        <v>14</v>
      </c>
      <c r="C2622" s="212">
        <v>0.56944444444444442</v>
      </c>
      <c r="D2622" s="213">
        <v>0</v>
      </c>
      <c r="E2622" s="213">
        <v>0</v>
      </c>
      <c r="F2622" s="213">
        <v>0</v>
      </c>
      <c r="G2622" s="213">
        <v>0</v>
      </c>
      <c r="H2622" s="213">
        <v>0</v>
      </c>
      <c r="I2622" s="213">
        <v>0</v>
      </c>
      <c r="J2622" s="213">
        <v>0</v>
      </c>
    </row>
    <row r="2623" spans="1:10">
      <c r="A2623" s="211" t="s">
        <v>165</v>
      </c>
      <c r="B2623" s="211" t="s">
        <v>14</v>
      </c>
      <c r="C2623" s="212">
        <v>0.57013888888888886</v>
      </c>
      <c r="D2623" s="213">
        <v>0</v>
      </c>
      <c r="E2623" s="213">
        <v>0</v>
      </c>
      <c r="F2623" s="213">
        <v>0</v>
      </c>
      <c r="G2623" s="213">
        <v>0</v>
      </c>
      <c r="H2623" s="213">
        <v>0</v>
      </c>
      <c r="I2623" s="213">
        <v>0</v>
      </c>
      <c r="J2623" s="213">
        <v>0</v>
      </c>
    </row>
    <row r="2624" spans="1:10">
      <c r="A2624" s="211" t="s">
        <v>165</v>
      </c>
      <c r="B2624" s="211" t="s">
        <v>14</v>
      </c>
      <c r="C2624" s="212">
        <v>0.5708333333333333</v>
      </c>
      <c r="D2624" s="213">
        <v>0</v>
      </c>
      <c r="E2624" s="213">
        <v>0</v>
      </c>
      <c r="F2624" s="213">
        <v>0</v>
      </c>
      <c r="G2624" s="213">
        <v>0</v>
      </c>
      <c r="H2624" s="213">
        <v>0</v>
      </c>
      <c r="I2624" s="213">
        <v>0</v>
      </c>
      <c r="J2624" s="213">
        <v>0</v>
      </c>
    </row>
    <row r="2625" spans="1:10">
      <c r="A2625" s="211" t="s">
        <v>165</v>
      </c>
      <c r="B2625" s="211" t="s">
        <v>14</v>
      </c>
      <c r="C2625" s="212">
        <v>0.57152777777777775</v>
      </c>
      <c r="D2625" s="213">
        <v>0</v>
      </c>
      <c r="E2625" s="213">
        <v>0</v>
      </c>
      <c r="F2625" s="213">
        <v>0</v>
      </c>
      <c r="G2625" s="213">
        <v>0</v>
      </c>
      <c r="H2625" s="213">
        <v>0</v>
      </c>
      <c r="I2625" s="213">
        <v>0</v>
      </c>
      <c r="J2625" s="213">
        <v>0</v>
      </c>
    </row>
    <row r="2626" spans="1:10" s="80" customFormat="1">
      <c r="A2626" s="214" t="s">
        <v>165</v>
      </c>
      <c r="B2626" s="214" t="s">
        <v>14</v>
      </c>
      <c r="C2626" s="215">
        <v>0.57222222222222219</v>
      </c>
      <c r="D2626" s="213">
        <v>0</v>
      </c>
      <c r="E2626" s="213">
        <v>0</v>
      </c>
      <c r="F2626" s="213">
        <v>0</v>
      </c>
      <c r="G2626" s="213">
        <v>0</v>
      </c>
      <c r="H2626" s="213">
        <v>0</v>
      </c>
      <c r="I2626" s="213">
        <v>0</v>
      </c>
      <c r="J2626" s="213">
        <v>0</v>
      </c>
    </row>
    <row r="2627" spans="1:10">
      <c r="A2627" s="211" t="s">
        <v>165</v>
      </c>
      <c r="B2627" s="211" t="s">
        <v>14</v>
      </c>
      <c r="C2627" s="212">
        <v>0.57291666666666663</v>
      </c>
      <c r="D2627" s="217">
        <v>0</v>
      </c>
      <c r="E2627" s="217">
        <v>0</v>
      </c>
      <c r="F2627" s="217">
        <v>0</v>
      </c>
      <c r="G2627" s="217">
        <v>0</v>
      </c>
      <c r="H2627" s="217">
        <v>0</v>
      </c>
      <c r="I2627" s="217">
        <v>0</v>
      </c>
      <c r="J2627" s="217">
        <v>0</v>
      </c>
    </row>
    <row r="2628" spans="1:10">
      <c r="A2628" s="211" t="s">
        <v>165</v>
      </c>
      <c r="B2628" s="211" t="s">
        <v>14</v>
      </c>
      <c r="C2628" s="212">
        <v>0.57361111111111107</v>
      </c>
      <c r="D2628" s="213">
        <v>0</v>
      </c>
      <c r="E2628" s="213">
        <v>0</v>
      </c>
      <c r="F2628" s="213">
        <v>0</v>
      </c>
      <c r="G2628" s="213">
        <v>0</v>
      </c>
      <c r="H2628" s="213">
        <v>0</v>
      </c>
      <c r="I2628" s="213">
        <v>0</v>
      </c>
      <c r="J2628" s="213">
        <v>0</v>
      </c>
    </row>
    <row r="2629" spans="1:10">
      <c r="A2629" s="211" t="s">
        <v>165</v>
      </c>
      <c r="B2629" s="211" t="s">
        <v>14</v>
      </c>
      <c r="C2629" s="212">
        <v>0.57430555555555551</v>
      </c>
      <c r="D2629" s="213">
        <v>0</v>
      </c>
      <c r="E2629" s="213">
        <v>0</v>
      </c>
      <c r="F2629" s="213">
        <v>0</v>
      </c>
      <c r="G2629" s="213">
        <v>0</v>
      </c>
      <c r="H2629" s="213">
        <v>0</v>
      </c>
      <c r="I2629" s="213">
        <v>0</v>
      </c>
      <c r="J2629" s="213">
        <v>0</v>
      </c>
    </row>
    <row r="2630" spans="1:10">
      <c r="A2630" s="211" t="s">
        <v>165</v>
      </c>
      <c r="B2630" s="211" t="s">
        <v>14</v>
      </c>
      <c r="C2630" s="212">
        <v>0.57499999999999996</v>
      </c>
      <c r="D2630" s="213">
        <v>0</v>
      </c>
      <c r="E2630" s="213">
        <v>0</v>
      </c>
      <c r="F2630" s="213">
        <v>0</v>
      </c>
      <c r="G2630" s="213">
        <v>0</v>
      </c>
      <c r="H2630" s="213">
        <v>0</v>
      </c>
      <c r="I2630" s="213">
        <v>0</v>
      </c>
      <c r="J2630" s="213">
        <v>0</v>
      </c>
    </row>
    <row r="2631" spans="1:10">
      <c r="A2631" s="211" t="s">
        <v>165</v>
      </c>
      <c r="B2631" s="211" t="s">
        <v>14</v>
      </c>
      <c r="C2631" s="212">
        <v>0.5756944444444444</v>
      </c>
      <c r="D2631" s="213">
        <v>0</v>
      </c>
      <c r="E2631" s="213">
        <v>0</v>
      </c>
      <c r="F2631" s="213">
        <v>0</v>
      </c>
      <c r="G2631" s="213">
        <v>0</v>
      </c>
      <c r="H2631" s="213">
        <v>0</v>
      </c>
      <c r="I2631" s="213">
        <v>0</v>
      </c>
      <c r="J2631" s="213">
        <v>0</v>
      </c>
    </row>
    <row r="2632" spans="1:10">
      <c r="A2632" s="211" t="s">
        <v>165</v>
      </c>
      <c r="B2632" s="211" t="s">
        <v>14</v>
      </c>
      <c r="C2632" s="212">
        <v>0.57638888888888884</v>
      </c>
      <c r="D2632" s="213">
        <v>0</v>
      </c>
      <c r="E2632" s="213">
        <v>0</v>
      </c>
      <c r="F2632" s="213">
        <v>0</v>
      </c>
      <c r="G2632" s="213">
        <v>0</v>
      </c>
      <c r="H2632" s="213">
        <v>0</v>
      </c>
      <c r="I2632" s="213">
        <v>0</v>
      </c>
      <c r="J2632" s="213">
        <v>0</v>
      </c>
    </row>
    <row r="2633" spans="1:10">
      <c r="A2633" s="211" t="s">
        <v>165</v>
      </c>
      <c r="B2633" s="211" t="s">
        <v>14</v>
      </c>
      <c r="C2633" s="212">
        <v>0.57708333333333328</v>
      </c>
      <c r="D2633" s="213">
        <v>0</v>
      </c>
      <c r="E2633" s="213">
        <v>0</v>
      </c>
      <c r="F2633" s="213">
        <v>0</v>
      </c>
      <c r="G2633" s="213">
        <v>0</v>
      </c>
      <c r="H2633" s="213">
        <v>0</v>
      </c>
      <c r="I2633" s="213">
        <v>0</v>
      </c>
      <c r="J2633" s="213">
        <v>0</v>
      </c>
    </row>
    <row r="2634" spans="1:10">
      <c r="A2634" s="211" t="s">
        <v>165</v>
      </c>
      <c r="B2634" s="211" t="s">
        <v>14</v>
      </c>
      <c r="C2634" s="212">
        <v>0.57777777777777772</v>
      </c>
      <c r="D2634" s="213">
        <v>0</v>
      </c>
      <c r="E2634" s="213">
        <v>0</v>
      </c>
      <c r="F2634" s="213">
        <v>0</v>
      </c>
      <c r="G2634" s="213">
        <v>0</v>
      </c>
      <c r="H2634" s="213">
        <v>0</v>
      </c>
      <c r="I2634" s="213">
        <v>0</v>
      </c>
      <c r="J2634" s="213">
        <v>0</v>
      </c>
    </row>
    <row r="2635" spans="1:10">
      <c r="A2635" s="211" t="s">
        <v>165</v>
      </c>
      <c r="B2635" s="211" t="s">
        <v>14</v>
      </c>
      <c r="C2635" s="212">
        <v>0.57847222222222228</v>
      </c>
      <c r="D2635" s="213">
        <v>0</v>
      </c>
      <c r="E2635" s="213">
        <v>0</v>
      </c>
      <c r="F2635" s="213">
        <v>0</v>
      </c>
      <c r="G2635" s="213">
        <v>0</v>
      </c>
      <c r="H2635" s="213">
        <v>0</v>
      </c>
      <c r="I2635" s="213">
        <v>0</v>
      </c>
      <c r="J2635" s="213">
        <v>0</v>
      </c>
    </row>
    <row r="2636" spans="1:10">
      <c r="A2636" s="211" t="s">
        <v>165</v>
      </c>
      <c r="B2636" s="211" t="s">
        <v>14</v>
      </c>
      <c r="C2636" s="212">
        <v>0.57916666666666672</v>
      </c>
      <c r="D2636" s="213">
        <v>0</v>
      </c>
      <c r="E2636" s="213">
        <v>0</v>
      </c>
      <c r="F2636" s="213">
        <v>0</v>
      </c>
      <c r="G2636" s="213">
        <v>0</v>
      </c>
      <c r="H2636" s="213">
        <v>0</v>
      </c>
      <c r="I2636" s="213">
        <v>0</v>
      </c>
      <c r="J2636" s="213">
        <v>0</v>
      </c>
    </row>
    <row r="2637" spans="1:10">
      <c r="A2637" s="211" t="s">
        <v>165</v>
      </c>
      <c r="B2637" s="211" t="s">
        <v>14</v>
      </c>
      <c r="C2637" s="212">
        <v>0.57986111111111116</v>
      </c>
      <c r="D2637" s="213">
        <v>0</v>
      </c>
      <c r="E2637" s="213">
        <v>0</v>
      </c>
      <c r="F2637" s="213">
        <v>0</v>
      </c>
      <c r="G2637" s="213">
        <v>0</v>
      </c>
      <c r="H2637" s="213">
        <v>0</v>
      </c>
      <c r="I2637" s="213">
        <v>0</v>
      </c>
      <c r="J2637" s="213">
        <v>0</v>
      </c>
    </row>
    <row r="2638" spans="1:10">
      <c r="A2638" s="211" t="s">
        <v>165</v>
      </c>
      <c r="B2638" s="211" t="s">
        <v>14</v>
      </c>
      <c r="C2638" s="212">
        <v>0.5805555555555556</v>
      </c>
      <c r="D2638" s="213">
        <v>0</v>
      </c>
      <c r="E2638" s="213">
        <v>0</v>
      </c>
      <c r="F2638" s="213">
        <v>0</v>
      </c>
      <c r="G2638" s="213">
        <v>0</v>
      </c>
      <c r="H2638" s="213">
        <v>0</v>
      </c>
      <c r="I2638" s="213">
        <v>0</v>
      </c>
      <c r="J2638" s="213">
        <v>0</v>
      </c>
    </row>
    <row r="2639" spans="1:10">
      <c r="A2639" s="211" t="s">
        <v>165</v>
      </c>
      <c r="B2639" s="211" t="s">
        <v>14</v>
      </c>
      <c r="C2639" s="212">
        <v>0.58125000000000004</v>
      </c>
      <c r="D2639" s="213">
        <v>0</v>
      </c>
      <c r="E2639" s="213">
        <v>0</v>
      </c>
      <c r="F2639" s="213">
        <v>0</v>
      </c>
      <c r="G2639" s="213">
        <v>0</v>
      </c>
      <c r="H2639" s="213">
        <v>0</v>
      </c>
      <c r="I2639" s="213">
        <v>0</v>
      </c>
      <c r="J2639" s="213">
        <v>0</v>
      </c>
    </row>
    <row r="2640" spans="1:10">
      <c r="A2640" s="211" t="s">
        <v>165</v>
      </c>
      <c r="B2640" s="211" t="s">
        <v>14</v>
      </c>
      <c r="C2640" s="212">
        <v>0.58194444444444449</v>
      </c>
      <c r="D2640" s="213">
        <v>0</v>
      </c>
      <c r="E2640" s="213">
        <v>0</v>
      </c>
      <c r="F2640" s="213">
        <v>0</v>
      </c>
      <c r="G2640" s="213">
        <v>0</v>
      </c>
      <c r="H2640" s="213">
        <v>0</v>
      </c>
      <c r="I2640" s="213">
        <v>0</v>
      </c>
      <c r="J2640" s="213">
        <v>0</v>
      </c>
    </row>
    <row r="2641" spans="1:10" s="28" customFormat="1" ht="17.5" thickBot="1">
      <c r="A2641" s="218" t="s">
        <v>165</v>
      </c>
      <c r="B2641" s="218" t="s">
        <v>14</v>
      </c>
      <c r="C2641" s="219">
        <v>0.58263888888888893</v>
      </c>
      <c r="D2641" s="220">
        <v>0</v>
      </c>
      <c r="E2641" s="220">
        <v>0</v>
      </c>
      <c r="F2641" s="220">
        <v>0</v>
      </c>
      <c r="G2641" s="220">
        <v>0</v>
      </c>
      <c r="H2641" s="220">
        <v>0</v>
      </c>
      <c r="I2641" s="220">
        <v>0</v>
      </c>
      <c r="J2641" s="220">
        <v>0</v>
      </c>
    </row>
    <row r="2642" spans="1:10">
      <c r="A2642" s="211" t="s">
        <v>165</v>
      </c>
      <c r="B2642" s="211" t="s">
        <v>124</v>
      </c>
      <c r="C2642" s="212">
        <v>0.5</v>
      </c>
      <c r="D2642" s="213">
        <v>0</v>
      </c>
      <c r="E2642" s="213">
        <v>0</v>
      </c>
      <c r="F2642" s="213">
        <v>0</v>
      </c>
      <c r="G2642" s="213">
        <v>0</v>
      </c>
      <c r="H2642" s="213">
        <v>0</v>
      </c>
      <c r="I2642" s="213">
        <v>0</v>
      </c>
      <c r="J2642" s="213">
        <v>0</v>
      </c>
    </row>
    <row r="2643" spans="1:10">
      <c r="A2643" s="211" t="s">
        <v>165</v>
      </c>
      <c r="B2643" s="211" t="s">
        <v>124</v>
      </c>
      <c r="C2643" s="212">
        <v>0.50069444444444444</v>
      </c>
      <c r="D2643" s="213">
        <v>0</v>
      </c>
      <c r="E2643" s="213">
        <v>0</v>
      </c>
      <c r="F2643" s="213">
        <v>0</v>
      </c>
      <c r="G2643" s="213">
        <v>0</v>
      </c>
      <c r="H2643" s="213">
        <v>0</v>
      </c>
      <c r="I2643" s="213">
        <v>0</v>
      </c>
      <c r="J2643" s="213">
        <v>0</v>
      </c>
    </row>
    <row r="2644" spans="1:10">
      <c r="A2644" s="211" t="s">
        <v>165</v>
      </c>
      <c r="B2644" s="211" t="s">
        <v>123</v>
      </c>
      <c r="C2644" s="212">
        <v>0.50138888888888899</v>
      </c>
      <c r="D2644" s="213">
        <v>0</v>
      </c>
      <c r="E2644" s="213">
        <v>0</v>
      </c>
      <c r="F2644" s="213">
        <v>0</v>
      </c>
      <c r="G2644" s="213">
        <v>0</v>
      </c>
      <c r="H2644" s="213">
        <v>0</v>
      </c>
      <c r="I2644" s="213">
        <v>0</v>
      </c>
      <c r="J2644" s="213">
        <v>0</v>
      </c>
    </row>
    <row r="2645" spans="1:10">
      <c r="A2645" s="211" t="s">
        <v>165</v>
      </c>
      <c r="B2645" s="211" t="s">
        <v>123</v>
      </c>
      <c r="C2645" s="212">
        <v>0.50208333333333299</v>
      </c>
      <c r="D2645" s="213">
        <v>0</v>
      </c>
      <c r="E2645" s="213">
        <v>0</v>
      </c>
      <c r="F2645" s="213">
        <v>0</v>
      </c>
      <c r="G2645" s="213">
        <v>0</v>
      </c>
      <c r="H2645" s="213">
        <v>0</v>
      </c>
      <c r="I2645" s="213">
        <v>0</v>
      </c>
      <c r="J2645" s="213">
        <v>0</v>
      </c>
    </row>
    <row r="2646" spans="1:10">
      <c r="A2646" s="211" t="s">
        <v>165</v>
      </c>
      <c r="B2646" s="211" t="s">
        <v>123</v>
      </c>
      <c r="C2646" s="212">
        <v>0.50277777777777799</v>
      </c>
      <c r="D2646" s="213">
        <v>0</v>
      </c>
      <c r="E2646" s="213">
        <v>0</v>
      </c>
      <c r="F2646" s="213">
        <v>0</v>
      </c>
      <c r="G2646" s="213">
        <v>0</v>
      </c>
      <c r="H2646" s="213">
        <v>0</v>
      </c>
      <c r="I2646" s="213">
        <v>0</v>
      </c>
      <c r="J2646" s="213">
        <v>0</v>
      </c>
    </row>
    <row r="2647" spans="1:10">
      <c r="A2647" s="211" t="s">
        <v>165</v>
      </c>
      <c r="B2647" s="211" t="s">
        <v>123</v>
      </c>
      <c r="C2647" s="212">
        <v>0.50347222222222199</v>
      </c>
      <c r="D2647" s="213">
        <v>0</v>
      </c>
      <c r="E2647" s="213">
        <v>0</v>
      </c>
      <c r="F2647" s="213">
        <v>0</v>
      </c>
      <c r="G2647" s="213">
        <v>0</v>
      </c>
      <c r="H2647" s="213">
        <v>0</v>
      </c>
      <c r="I2647" s="213">
        <v>0</v>
      </c>
      <c r="J2647" s="213">
        <v>0</v>
      </c>
    </row>
    <row r="2648" spans="1:10">
      <c r="A2648" s="211" t="s">
        <v>165</v>
      </c>
      <c r="B2648" s="211" t="s">
        <v>123</v>
      </c>
      <c r="C2648" s="212">
        <v>0.50416666666666698</v>
      </c>
      <c r="D2648" s="213">
        <v>0</v>
      </c>
      <c r="E2648" s="213">
        <v>0</v>
      </c>
      <c r="F2648" s="213">
        <v>0</v>
      </c>
      <c r="G2648" s="213">
        <v>0</v>
      </c>
      <c r="H2648" s="213">
        <v>0</v>
      </c>
      <c r="I2648" s="213">
        <v>0</v>
      </c>
      <c r="J2648" s="213">
        <v>0</v>
      </c>
    </row>
    <row r="2649" spans="1:10">
      <c r="A2649" s="211" t="s">
        <v>165</v>
      </c>
      <c r="B2649" s="211" t="s">
        <v>123</v>
      </c>
      <c r="C2649" s="212">
        <v>0.50486111111111098</v>
      </c>
      <c r="D2649" s="213">
        <v>0</v>
      </c>
      <c r="E2649" s="213">
        <v>0</v>
      </c>
      <c r="F2649" s="213">
        <v>0</v>
      </c>
      <c r="G2649" s="213">
        <v>0</v>
      </c>
      <c r="H2649" s="213">
        <v>0</v>
      </c>
      <c r="I2649" s="213">
        <v>0</v>
      </c>
      <c r="J2649" s="213">
        <v>0</v>
      </c>
    </row>
    <row r="2650" spans="1:10">
      <c r="A2650" s="211" t="s">
        <v>165</v>
      </c>
      <c r="B2650" s="211" t="s">
        <v>123</v>
      </c>
      <c r="C2650" s="212">
        <v>0.50555555555555598</v>
      </c>
      <c r="D2650" s="213">
        <v>0</v>
      </c>
      <c r="E2650" s="213">
        <v>0</v>
      </c>
      <c r="F2650" s="213">
        <v>0</v>
      </c>
      <c r="G2650" s="213">
        <v>0</v>
      </c>
      <c r="H2650" s="213">
        <v>0</v>
      </c>
      <c r="I2650" s="213">
        <v>0</v>
      </c>
      <c r="J2650" s="213">
        <v>0</v>
      </c>
    </row>
    <row r="2651" spans="1:10">
      <c r="A2651" s="211" t="s">
        <v>165</v>
      </c>
      <c r="B2651" s="211" t="s">
        <v>123</v>
      </c>
      <c r="C2651" s="212">
        <v>0.50624999999999998</v>
      </c>
      <c r="D2651" s="213">
        <v>0</v>
      </c>
      <c r="E2651" s="213">
        <v>0</v>
      </c>
      <c r="F2651" s="213">
        <v>0</v>
      </c>
      <c r="G2651" s="213">
        <v>0</v>
      </c>
      <c r="H2651" s="213">
        <v>0</v>
      </c>
      <c r="I2651" s="213">
        <v>0</v>
      </c>
      <c r="J2651" s="213">
        <v>0</v>
      </c>
    </row>
    <row r="2652" spans="1:10">
      <c r="A2652" s="211" t="s">
        <v>165</v>
      </c>
      <c r="B2652" s="211" t="s">
        <v>123</v>
      </c>
      <c r="C2652" s="212">
        <v>0.50694444444444398</v>
      </c>
      <c r="D2652" s="213">
        <v>0</v>
      </c>
      <c r="E2652" s="213">
        <v>0</v>
      </c>
      <c r="F2652" s="213">
        <v>0</v>
      </c>
      <c r="G2652" s="213">
        <v>0</v>
      </c>
      <c r="H2652" s="213">
        <v>0</v>
      </c>
      <c r="I2652" s="213">
        <v>0</v>
      </c>
      <c r="J2652" s="213">
        <v>0</v>
      </c>
    </row>
    <row r="2653" spans="1:10">
      <c r="A2653" s="211" t="s">
        <v>165</v>
      </c>
      <c r="B2653" s="211" t="s">
        <v>123</v>
      </c>
      <c r="C2653" s="212">
        <v>0.50763888888888897</v>
      </c>
      <c r="D2653" s="213">
        <v>0</v>
      </c>
      <c r="E2653" s="213">
        <v>0</v>
      </c>
      <c r="F2653" s="213">
        <v>0</v>
      </c>
      <c r="G2653" s="213">
        <v>0</v>
      </c>
      <c r="H2653" s="213">
        <v>0</v>
      </c>
      <c r="I2653" s="213">
        <v>0</v>
      </c>
      <c r="J2653" s="213">
        <v>0</v>
      </c>
    </row>
    <row r="2654" spans="1:10">
      <c r="A2654" s="211" t="s">
        <v>165</v>
      </c>
      <c r="B2654" s="211" t="s">
        <v>123</v>
      </c>
      <c r="C2654" s="212">
        <v>0.50833333333333297</v>
      </c>
      <c r="D2654" s="213">
        <v>0</v>
      </c>
      <c r="E2654" s="213">
        <v>0</v>
      </c>
      <c r="F2654" s="213">
        <v>0</v>
      </c>
      <c r="G2654" s="213">
        <v>0</v>
      </c>
      <c r="H2654" s="213">
        <v>0</v>
      </c>
      <c r="I2654" s="213">
        <v>0</v>
      </c>
      <c r="J2654" s="213">
        <v>0</v>
      </c>
    </row>
    <row r="2655" spans="1:10">
      <c r="A2655" s="211" t="s">
        <v>165</v>
      </c>
      <c r="B2655" s="211" t="s">
        <v>123</v>
      </c>
      <c r="C2655" s="212">
        <v>0.50902777777777797</v>
      </c>
      <c r="D2655" s="213">
        <v>0</v>
      </c>
      <c r="E2655" s="213">
        <v>0</v>
      </c>
      <c r="F2655" s="213">
        <v>0</v>
      </c>
      <c r="G2655" s="213">
        <v>0</v>
      </c>
      <c r="H2655" s="213">
        <v>0</v>
      </c>
      <c r="I2655" s="213">
        <v>0</v>
      </c>
      <c r="J2655" s="213">
        <v>0</v>
      </c>
    </row>
    <row r="2656" spans="1:10" s="80" customFormat="1">
      <c r="A2656" s="214" t="s">
        <v>165</v>
      </c>
      <c r="B2656" s="214" t="s">
        <v>123</v>
      </c>
      <c r="C2656" s="215">
        <v>0.50972222222222197</v>
      </c>
      <c r="D2656" s="213">
        <v>0</v>
      </c>
      <c r="E2656" s="213">
        <v>0</v>
      </c>
      <c r="F2656" s="213">
        <v>0</v>
      </c>
      <c r="G2656" s="213">
        <v>0</v>
      </c>
      <c r="H2656" s="213">
        <v>0</v>
      </c>
      <c r="I2656" s="213">
        <v>0</v>
      </c>
      <c r="J2656" s="213">
        <v>0</v>
      </c>
    </row>
    <row r="2657" spans="1:10">
      <c r="A2657" s="211" t="s">
        <v>165</v>
      </c>
      <c r="B2657" s="211" t="s">
        <v>123</v>
      </c>
      <c r="C2657" s="212">
        <v>0.51041666666666663</v>
      </c>
      <c r="D2657" s="217">
        <v>0</v>
      </c>
      <c r="E2657" s="217">
        <v>0</v>
      </c>
      <c r="F2657" s="217">
        <v>0</v>
      </c>
      <c r="G2657" s="217">
        <v>0</v>
      </c>
      <c r="H2657" s="217">
        <v>0</v>
      </c>
      <c r="I2657" s="217">
        <v>0</v>
      </c>
      <c r="J2657" s="217">
        <v>0</v>
      </c>
    </row>
    <row r="2658" spans="1:10">
      <c r="A2658" s="211" t="s">
        <v>165</v>
      </c>
      <c r="B2658" s="211" t="s">
        <v>123</v>
      </c>
      <c r="C2658" s="212">
        <v>0.51111111111111107</v>
      </c>
      <c r="D2658" s="213">
        <v>0</v>
      </c>
      <c r="E2658" s="213">
        <v>0</v>
      </c>
      <c r="F2658" s="213">
        <v>0</v>
      </c>
      <c r="G2658" s="213">
        <v>0</v>
      </c>
      <c r="H2658" s="213">
        <v>0</v>
      </c>
      <c r="I2658" s="213">
        <v>0</v>
      </c>
      <c r="J2658" s="213">
        <v>0</v>
      </c>
    </row>
    <row r="2659" spans="1:10">
      <c r="A2659" s="211" t="s">
        <v>165</v>
      </c>
      <c r="B2659" s="211" t="s">
        <v>123</v>
      </c>
      <c r="C2659" s="212">
        <v>0.51180555555555551</v>
      </c>
      <c r="D2659" s="213">
        <v>0</v>
      </c>
      <c r="E2659" s="213">
        <v>0</v>
      </c>
      <c r="F2659" s="213">
        <v>0</v>
      </c>
      <c r="G2659" s="213">
        <v>0</v>
      </c>
      <c r="H2659" s="213">
        <v>0</v>
      </c>
      <c r="I2659" s="213">
        <v>0</v>
      </c>
      <c r="J2659" s="213">
        <v>0</v>
      </c>
    </row>
    <row r="2660" spans="1:10">
      <c r="A2660" s="211" t="s">
        <v>165</v>
      </c>
      <c r="B2660" s="211" t="s">
        <v>123</v>
      </c>
      <c r="C2660" s="212">
        <v>0.51249999999999996</v>
      </c>
      <c r="D2660" s="213">
        <v>0</v>
      </c>
      <c r="E2660" s="213">
        <v>0</v>
      </c>
      <c r="F2660" s="213">
        <v>0</v>
      </c>
      <c r="G2660" s="213">
        <v>0</v>
      </c>
      <c r="H2660" s="213">
        <v>0</v>
      </c>
      <c r="I2660" s="213">
        <v>0</v>
      </c>
      <c r="J2660" s="213">
        <v>0</v>
      </c>
    </row>
    <row r="2661" spans="1:10">
      <c r="A2661" s="211" t="s">
        <v>165</v>
      </c>
      <c r="B2661" s="211" t="s">
        <v>123</v>
      </c>
      <c r="C2661" s="212">
        <v>0.5131944444444444</v>
      </c>
      <c r="D2661" s="213">
        <v>0</v>
      </c>
      <c r="E2661" s="213">
        <v>0</v>
      </c>
      <c r="F2661" s="213">
        <v>0</v>
      </c>
      <c r="G2661" s="213">
        <v>0</v>
      </c>
      <c r="H2661" s="213">
        <v>0</v>
      </c>
      <c r="I2661" s="213">
        <v>0</v>
      </c>
      <c r="J2661" s="213">
        <v>0</v>
      </c>
    </row>
    <row r="2662" spans="1:10">
      <c r="A2662" s="211" t="s">
        <v>165</v>
      </c>
      <c r="B2662" s="211" t="s">
        <v>123</v>
      </c>
      <c r="C2662" s="212">
        <v>0.51388888888888884</v>
      </c>
      <c r="D2662" s="213">
        <v>0</v>
      </c>
      <c r="E2662" s="213">
        <v>0</v>
      </c>
      <c r="F2662" s="213">
        <v>0</v>
      </c>
      <c r="G2662" s="213">
        <v>0</v>
      </c>
      <c r="H2662" s="213">
        <v>0</v>
      </c>
      <c r="I2662" s="213">
        <v>0</v>
      </c>
      <c r="J2662" s="213">
        <v>0</v>
      </c>
    </row>
    <row r="2663" spans="1:10">
      <c r="A2663" s="211" t="s">
        <v>165</v>
      </c>
      <c r="B2663" s="211" t="s">
        <v>123</v>
      </c>
      <c r="C2663" s="212">
        <v>0.51458333333333328</v>
      </c>
      <c r="D2663" s="213">
        <v>0</v>
      </c>
      <c r="E2663" s="213">
        <v>0</v>
      </c>
      <c r="F2663" s="213">
        <v>0</v>
      </c>
      <c r="G2663" s="213">
        <v>0</v>
      </c>
      <c r="H2663" s="213">
        <v>0</v>
      </c>
      <c r="I2663" s="213">
        <v>0</v>
      </c>
      <c r="J2663" s="213">
        <v>0</v>
      </c>
    </row>
    <row r="2664" spans="1:10">
      <c r="A2664" s="211" t="s">
        <v>165</v>
      </c>
      <c r="B2664" s="211" t="s">
        <v>123</v>
      </c>
      <c r="C2664" s="212">
        <v>0.51527777777777772</v>
      </c>
      <c r="D2664" s="213">
        <v>0</v>
      </c>
      <c r="E2664" s="213">
        <v>0</v>
      </c>
      <c r="F2664" s="213">
        <v>0</v>
      </c>
      <c r="G2664" s="213">
        <v>0</v>
      </c>
      <c r="H2664" s="213">
        <v>0</v>
      </c>
      <c r="I2664" s="213">
        <v>0</v>
      </c>
      <c r="J2664" s="213">
        <v>0</v>
      </c>
    </row>
    <row r="2665" spans="1:10">
      <c r="A2665" s="211" t="s">
        <v>165</v>
      </c>
      <c r="B2665" s="211" t="s">
        <v>123</v>
      </c>
      <c r="C2665" s="212">
        <v>0.51597222222222228</v>
      </c>
      <c r="D2665" s="213">
        <v>0</v>
      </c>
      <c r="E2665" s="213">
        <v>0</v>
      </c>
      <c r="F2665" s="213">
        <v>0</v>
      </c>
      <c r="G2665" s="213">
        <v>0</v>
      </c>
      <c r="H2665" s="213">
        <v>0</v>
      </c>
      <c r="I2665" s="213">
        <v>0</v>
      </c>
      <c r="J2665" s="213">
        <v>0</v>
      </c>
    </row>
    <row r="2666" spans="1:10">
      <c r="A2666" s="211" t="s">
        <v>165</v>
      </c>
      <c r="B2666" s="211" t="s">
        <v>123</v>
      </c>
      <c r="C2666" s="212">
        <v>0.51666666666666672</v>
      </c>
      <c r="D2666" s="213">
        <v>0</v>
      </c>
      <c r="E2666" s="213">
        <v>0</v>
      </c>
      <c r="F2666" s="213">
        <v>0</v>
      </c>
      <c r="G2666" s="213">
        <v>0</v>
      </c>
      <c r="H2666" s="213">
        <v>0</v>
      </c>
      <c r="I2666" s="213">
        <v>0</v>
      </c>
      <c r="J2666" s="213">
        <v>0</v>
      </c>
    </row>
    <row r="2667" spans="1:10">
      <c r="A2667" s="211" t="s">
        <v>165</v>
      </c>
      <c r="B2667" s="211" t="s">
        <v>123</v>
      </c>
      <c r="C2667" s="212">
        <v>0.51736111111111116</v>
      </c>
      <c r="D2667" s="213">
        <v>0</v>
      </c>
      <c r="E2667" s="213">
        <v>0</v>
      </c>
      <c r="F2667" s="213">
        <v>0</v>
      </c>
      <c r="G2667" s="213">
        <v>0</v>
      </c>
      <c r="H2667" s="213">
        <v>0</v>
      </c>
      <c r="I2667" s="213">
        <v>0</v>
      </c>
      <c r="J2667" s="213">
        <v>0</v>
      </c>
    </row>
    <row r="2668" spans="1:10">
      <c r="A2668" s="211" t="s">
        <v>165</v>
      </c>
      <c r="B2668" s="211" t="s">
        <v>123</v>
      </c>
      <c r="C2668" s="212">
        <v>0.5180555555555556</v>
      </c>
      <c r="D2668" s="213">
        <v>0</v>
      </c>
      <c r="E2668" s="213">
        <v>0</v>
      </c>
      <c r="F2668" s="213">
        <v>0</v>
      </c>
      <c r="G2668" s="213">
        <v>0</v>
      </c>
      <c r="H2668" s="213">
        <v>0</v>
      </c>
      <c r="I2668" s="213">
        <v>0</v>
      </c>
      <c r="J2668" s="213">
        <v>0</v>
      </c>
    </row>
    <row r="2669" spans="1:10">
      <c r="A2669" s="211" t="s">
        <v>165</v>
      </c>
      <c r="B2669" s="211" t="s">
        <v>123</v>
      </c>
      <c r="C2669" s="212">
        <v>0.51875000000000004</v>
      </c>
      <c r="D2669" s="213">
        <v>0</v>
      </c>
      <c r="E2669" s="213">
        <v>0</v>
      </c>
      <c r="F2669" s="213">
        <v>0</v>
      </c>
      <c r="G2669" s="213">
        <v>0</v>
      </c>
      <c r="H2669" s="213">
        <v>0</v>
      </c>
      <c r="I2669" s="213">
        <v>0</v>
      </c>
      <c r="J2669" s="213">
        <v>0</v>
      </c>
    </row>
    <row r="2670" spans="1:10">
      <c r="A2670" s="211" t="s">
        <v>165</v>
      </c>
      <c r="B2670" s="211" t="s">
        <v>123</v>
      </c>
      <c r="C2670" s="212">
        <v>0.51944444444444449</v>
      </c>
      <c r="D2670" s="213">
        <v>0</v>
      </c>
      <c r="E2670" s="213">
        <v>0</v>
      </c>
      <c r="F2670" s="213">
        <v>0</v>
      </c>
      <c r="G2670" s="213">
        <v>0</v>
      </c>
      <c r="H2670" s="213">
        <v>0</v>
      </c>
      <c r="I2670" s="213">
        <v>0</v>
      </c>
      <c r="J2670" s="213">
        <v>0</v>
      </c>
    </row>
    <row r="2671" spans="1:10" s="80" customFormat="1">
      <c r="A2671" s="214" t="s">
        <v>165</v>
      </c>
      <c r="B2671" s="214" t="s">
        <v>123</v>
      </c>
      <c r="C2671" s="215">
        <v>0.52013888888888893</v>
      </c>
      <c r="D2671" s="216">
        <v>0</v>
      </c>
      <c r="E2671" s="216">
        <v>0</v>
      </c>
      <c r="F2671" s="216">
        <v>0</v>
      </c>
      <c r="G2671" s="216">
        <v>0</v>
      </c>
      <c r="H2671" s="216">
        <v>0</v>
      </c>
      <c r="I2671" s="216">
        <v>0</v>
      </c>
      <c r="J2671" s="216">
        <v>0</v>
      </c>
    </row>
    <row r="2672" spans="1:10">
      <c r="A2672" s="211" t="s">
        <v>165</v>
      </c>
      <c r="B2672" s="211" t="s">
        <v>123</v>
      </c>
      <c r="C2672" s="212">
        <v>0.52083333333333337</v>
      </c>
      <c r="D2672" s="213">
        <v>0</v>
      </c>
      <c r="E2672" s="213">
        <v>0</v>
      </c>
      <c r="F2672" s="213">
        <v>0</v>
      </c>
      <c r="G2672" s="213">
        <v>0</v>
      </c>
      <c r="H2672" s="213">
        <v>0</v>
      </c>
      <c r="I2672" s="213">
        <v>0</v>
      </c>
      <c r="J2672" s="213">
        <v>0</v>
      </c>
    </row>
    <row r="2673" spans="1:10">
      <c r="A2673" s="211" t="s">
        <v>165</v>
      </c>
      <c r="B2673" s="211" t="s">
        <v>123</v>
      </c>
      <c r="C2673" s="212">
        <v>0.52152777777777781</v>
      </c>
      <c r="D2673" s="213">
        <v>0</v>
      </c>
      <c r="E2673" s="213">
        <v>0</v>
      </c>
      <c r="F2673" s="213">
        <v>0</v>
      </c>
      <c r="G2673" s="213">
        <v>0</v>
      </c>
      <c r="H2673" s="213">
        <v>0</v>
      </c>
      <c r="I2673" s="213">
        <v>0</v>
      </c>
      <c r="J2673" s="213">
        <v>0</v>
      </c>
    </row>
    <row r="2674" spans="1:10">
      <c r="A2674" s="211" t="s">
        <v>165</v>
      </c>
      <c r="B2674" s="211" t="s">
        <v>123</v>
      </c>
      <c r="C2674" s="212">
        <v>0.52222222222222225</v>
      </c>
      <c r="D2674" s="213">
        <v>0</v>
      </c>
      <c r="E2674" s="213">
        <v>0</v>
      </c>
      <c r="F2674" s="213">
        <v>0</v>
      </c>
      <c r="G2674" s="213">
        <v>0</v>
      </c>
      <c r="H2674" s="213">
        <v>0</v>
      </c>
      <c r="I2674" s="213">
        <v>0</v>
      </c>
      <c r="J2674" s="213">
        <v>0</v>
      </c>
    </row>
    <row r="2675" spans="1:10">
      <c r="A2675" s="211" t="s">
        <v>165</v>
      </c>
      <c r="B2675" s="211" t="s">
        <v>123</v>
      </c>
      <c r="C2675" s="212">
        <v>0.5229166666666667</v>
      </c>
      <c r="D2675" s="213">
        <v>0</v>
      </c>
      <c r="E2675" s="213">
        <v>0</v>
      </c>
      <c r="F2675" s="213">
        <v>0</v>
      </c>
      <c r="G2675" s="213">
        <v>0</v>
      </c>
      <c r="H2675" s="213">
        <v>0</v>
      </c>
      <c r="I2675" s="213">
        <v>0</v>
      </c>
      <c r="J2675" s="213">
        <v>0</v>
      </c>
    </row>
    <row r="2676" spans="1:10">
      <c r="A2676" s="211" t="s">
        <v>165</v>
      </c>
      <c r="B2676" s="211" t="s">
        <v>123</v>
      </c>
      <c r="C2676" s="212">
        <v>0.52361111111111114</v>
      </c>
      <c r="D2676" s="213">
        <v>0</v>
      </c>
      <c r="E2676" s="213">
        <v>0</v>
      </c>
      <c r="F2676" s="213">
        <v>0</v>
      </c>
      <c r="G2676" s="213">
        <v>0</v>
      </c>
      <c r="H2676" s="213">
        <v>0</v>
      </c>
      <c r="I2676" s="213">
        <v>0</v>
      </c>
      <c r="J2676" s="213">
        <v>0</v>
      </c>
    </row>
    <row r="2677" spans="1:10">
      <c r="A2677" s="211" t="s">
        <v>165</v>
      </c>
      <c r="B2677" s="211" t="s">
        <v>123</v>
      </c>
      <c r="C2677" s="212">
        <v>0.52430555555555558</v>
      </c>
      <c r="D2677" s="213">
        <v>0</v>
      </c>
      <c r="E2677" s="213">
        <v>0</v>
      </c>
      <c r="F2677" s="213">
        <v>0</v>
      </c>
      <c r="G2677" s="213">
        <v>0</v>
      </c>
      <c r="H2677" s="213">
        <v>0</v>
      </c>
      <c r="I2677" s="213">
        <v>0</v>
      </c>
      <c r="J2677" s="213">
        <v>0</v>
      </c>
    </row>
    <row r="2678" spans="1:10">
      <c r="A2678" s="211" t="s">
        <v>165</v>
      </c>
      <c r="B2678" s="211" t="s">
        <v>123</v>
      </c>
      <c r="C2678" s="212">
        <v>0.52500000000000002</v>
      </c>
      <c r="D2678" s="213">
        <v>0</v>
      </c>
      <c r="E2678" s="213">
        <v>0</v>
      </c>
      <c r="F2678" s="213">
        <v>0</v>
      </c>
      <c r="G2678" s="213">
        <v>0</v>
      </c>
      <c r="H2678" s="213">
        <v>0</v>
      </c>
      <c r="I2678" s="213">
        <v>0</v>
      </c>
      <c r="J2678" s="213">
        <v>0</v>
      </c>
    </row>
    <row r="2679" spans="1:10">
      <c r="A2679" s="211" t="s">
        <v>165</v>
      </c>
      <c r="B2679" s="211" t="s">
        <v>123</v>
      </c>
      <c r="C2679" s="212">
        <v>0.52569444444444446</v>
      </c>
      <c r="D2679" s="213">
        <v>0</v>
      </c>
      <c r="E2679" s="213">
        <v>0</v>
      </c>
      <c r="F2679" s="213">
        <v>0</v>
      </c>
      <c r="G2679" s="213">
        <v>0</v>
      </c>
      <c r="H2679" s="213">
        <v>0</v>
      </c>
      <c r="I2679" s="213">
        <v>0</v>
      </c>
      <c r="J2679" s="213">
        <v>0</v>
      </c>
    </row>
    <row r="2680" spans="1:10">
      <c r="A2680" s="211" t="s">
        <v>165</v>
      </c>
      <c r="B2680" s="211" t="s">
        <v>123</v>
      </c>
      <c r="C2680" s="212">
        <v>0.52638888888888891</v>
      </c>
      <c r="D2680" s="213">
        <v>0</v>
      </c>
      <c r="E2680" s="213">
        <v>0</v>
      </c>
      <c r="F2680" s="213">
        <v>0</v>
      </c>
      <c r="G2680" s="213">
        <v>0</v>
      </c>
      <c r="H2680" s="213">
        <v>0</v>
      </c>
      <c r="I2680" s="213">
        <v>0</v>
      </c>
      <c r="J2680" s="213">
        <v>0</v>
      </c>
    </row>
    <row r="2681" spans="1:10">
      <c r="A2681" s="211" t="s">
        <v>165</v>
      </c>
      <c r="B2681" s="211" t="s">
        <v>123</v>
      </c>
      <c r="C2681" s="212">
        <v>0.52708333333333335</v>
      </c>
      <c r="D2681" s="213">
        <v>0</v>
      </c>
      <c r="E2681" s="213">
        <v>0</v>
      </c>
      <c r="F2681" s="213">
        <v>0</v>
      </c>
      <c r="G2681" s="213">
        <v>0</v>
      </c>
      <c r="H2681" s="213">
        <v>0</v>
      </c>
      <c r="I2681" s="213">
        <v>0</v>
      </c>
      <c r="J2681" s="213">
        <v>0</v>
      </c>
    </row>
    <row r="2682" spans="1:10">
      <c r="A2682" s="211" t="s">
        <v>165</v>
      </c>
      <c r="B2682" s="211" t="s">
        <v>123</v>
      </c>
      <c r="C2682" s="212">
        <v>0.52777777777777779</v>
      </c>
      <c r="D2682" s="213">
        <v>0</v>
      </c>
      <c r="E2682" s="213">
        <v>0</v>
      </c>
      <c r="F2682" s="213">
        <v>0</v>
      </c>
      <c r="G2682" s="213">
        <v>0</v>
      </c>
      <c r="H2682" s="213">
        <v>0</v>
      </c>
      <c r="I2682" s="213">
        <v>0</v>
      </c>
      <c r="J2682" s="213">
        <v>0</v>
      </c>
    </row>
    <row r="2683" spans="1:10">
      <c r="A2683" s="211" t="s">
        <v>165</v>
      </c>
      <c r="B2683" s="211" t="s">
        <v>123</v>
      </c>
      <c r="C2683" s="212">
        <v>0.52847222222222223</v>
      </c>
      <c r="D2683" s="213">
        <v>0</v>
      </c>
      <c r="E2683" s="213">
        <v>0</v>
      </c>
      <c r="F2683" s="213">
        <v>0</v>
      </c>
      <c r="G2683" s="213">
        <v>0</v>
      </c>
      <c r="H2683" s="213">
        <v>0</v>
      </c>
      <c r="I2683" s="213">
        <v>0</v>
      </c>
      <c r="J2683" s="213">
        <v>0</v>
      </c>
    </row>
    <row r="2684" spans="1:10">
      <c r="A2684" s="211" t="s">
        <v>165</v>
      </c>
      <c r="B2684" s="211" t="s">
        <v>123</v>
      </c>
      <c r="C2684" s="212">
        <v>0.52916666666666667</v>
      </c>
      <c r="D2684" s="213">
        <v>0</v>
      </c>
      <c r="E2684" s="213">
        <v>0</v>
      </c>
      <c r="F2684" s="213">
        <v>0</v>
      </c>
      <c r="G2684" s="213">
        <v>0</v>
      </c>
      <c r="H2684" s="213">
        <v>0</v>
      </c>
      <c r="I2684" s="213">
        <v>0</v>
      </c>
      <c r="J2684" s="213">
        <v>0</v>
      </c>
    </row>
    <row r="2685" spans="1:10">
      <c r="A2685" s="211" t="s">
        <v>165</v>
      </c>
      <c r="B2685" s="211" t="s">
        <v>123</v>
      </c>
      <c r="C2685" s="212">
        <v>0.52986111111111112</v>
      </c>
      <c r="D2685" s="213">
        <v>0</v>
      </c>
      <c r="E2685" s="213">
        <v>0</v>
      </c>
      <c r="F2685" s="213">
        <v>0</v>
      </c>
      <c r="G2685" s="213">
        <v>0</v>
      </c>
      <c r="H2685" s="213">
        <v>0</v>
      </c>
      <c r="I2685" s="213">
        <v>0</v>
      </c>
      <c r="J2685" s="213">
        <v>0</v>
      </c>
    </row>
    <row r="2686" spans="1:10" s="80" customFormat="1">
      <c r="A2686" s="214" t="s">
        <v>165</v>
      </c>
      <c r="B2686" s="214" t="s">
        <v>123</v>
      </c>
      <c r="C2686" s="215">
        <v>0.53055555555555556</v>
      </c>
      <c r="D2686" s="213">
        <v>0</v>
      </c>
      <c r="E2686" s="213">
        <v>0</v>
      </c>
      <c r="F2686" s="213">
        <v>0</v>
      </c>
      <c r="G2686" s="213">
        <v>0</v>
      </c>
      <c r="H2686" s="213">
        <v>0</v>
      </c>
      <c r="I2686" s="213">
        <v>0</v>
      </c>
      <c r="J2686" s="213">
        <v>0</v>
      </c>
    </row>
    <row r="2687" spans="1:10">
      <c r="A2687" s="211" t="s">
        <v>165</v>
      </c>
      <c r="B2687" s="211" t="s">
        <v>123</v>
      </c>
      <c r="C2687" s="212">
        <v>0.53125</v>
      </c>
      <c r="D2687" s="217">
        <v>0</v>
      </c>
      <c r="E2687" s="217">
        <v>0</v>
      </c>
      <c r="F2687" s="217">
        <v>0</v>
      </c>
      <c r="G2687" s="217">
        <v>0</v>
      </c>
      <c r="H2687" s="217">
        <v>0</v>
      </c>
      <c r="I2687" s="217">
        <v>0</v>
      </c>
      <c r="J2687" s="217">
        <v>0</v>
      </c>
    </row>
    <row r="2688" spans="1:10">
      <c r="A2688" s="211" t="s">
        <v>165</v>
      </c>
      <c r="B2688" s="211" t="s">
        <v>123</v>
      </c>
      <c r="C2688" s="212">
        <v>0.53194444444444444</v>
      </c>
      <c r="D2688" s="213">
        <v>0</v>
      </c>
      <c r="E2688" s="213">
        <v>0</v>
      </c>
      <c r="F2688" s="213">
        <v>0</v>
      </c>
      <c r="G2688" s="213">
        <v>0</v>
      </c>
      <c r="H2688" s="213">
        <v>0</v>
      </c>
      <c r="I2688" s="213">
        <v>0</v>
      </c>
      <c r="J2688" s="213">
        <v>0</v>
      </c>
    </row>
    <row r="2689" spans="1:10">
      <c r="A2689" s="211" t="s">
        <v>165</v>
      </c>
      <c r="B2689" s="211" t="s">
        <v>123</v>
      </c>
      <c r="C2689" s="212">
        <v>0.53263888888888888</v>
      </c>
      <c r="D2689" s="213">
        <v>0</v>
      </c>
      <c r="E2689" s="213">
        <v>0</v>
      </c>
      <c r="F2689" s="213">
        <v>0</v>
      </c>
      <c r="G2689" s="213">
        <v>0</v>
      </c>
      <c r="H2689" s="213">
        <v>0</v>
      </c>
      <c r="I2689" s="213">
        <v>0</v>
      </c>
      <c r="J2689" s="213">
        <v>0</v>
      </c>
    </row>
    <row r="2690" spans="1:10">
      <c r="A2690" s="211" t="s">
        <v>165</v>
      </c>
      <c r="B2690" s="211" t="s">
        <v>123</v>
      </c>
      <c r="C2690" s="212">
        <v>0.53333333333333333</v>
      </c>
      <c r="D2690" s="213">
        <v>0</v>
      </c>
      <c r="E2690" s="213">
        <v>0</v>
      </c>
      <c r="F2690" s="213">
        <v>0</v>
      </c>
      <c r="G2690" s="213">
        <v>0</v>
      </c>
      <c r="H2690" s="213">
        <v>0</v>
      </c>
      <c r="I2690" s="213">
        <v>0</v>
      </c>
      <c r="J2690" s="213">
        <v>0</v>
      </c>
    </row>
    <row r="2691" spans="1:10">
      <c r="A2691" s="211" t="s">
        <v>165</v>
      </c>
      <c r="B2691" s="211" t="s">
        <v>123</v>
      </c>
      <c r="C2691" s="212">
        <v>0.53402777777777777</v>
      </c>
      <c r="D2691" s="213">
        <v>0</v>
      </c>
      <c r="E2691" s="213">
        <v>0</v>
      </c>
      <c r="F2691" s="213">
        <v>0</v>
      </c>
      <c r="G2691" s="213">
        <v>0</v>
      </c>
      <c r="H2691" s="213">
        <v>0</v>
      </c>
      <c r="I2691" s="213">
        <v>0</v>
      </c>
      <c r="J2691" s="213">
        <v>0</v>
      </c>
    </row>
    <row r="2692" spans="1:10">
      <c r="A2692" s="211" t="s">
        <v>165</v>
      </c>
      <c r="B2692" s="211" t="s">
        <v>123</v>
      </c>
      <c r="C2692" s="212">
        <v>0.53472222222222221</v>
      </c>
      <c r="D2692" s="213">
        <v>0</v>
      </c>
      <c r="E2692" s="213">
        <v>0</v>
      </c>
      <c r="F2692" s="213">
        <v>0</v>
      </c>
      <c r="G2692" s="213">
        <v>0</v>
      </c>
      <c r="H2692" s="213">
        <v>0</v>
      </c>
      <c r="I2692" s="213">
        <v>0</v>
      </c>
      <c r="J2692" s="213">
        <v>0</v>
      </c>
    </row>
    <row r="2693" spans="1:10">
      <c r="A2693" s="211" t="s">
        <v>165</v>
      </c>
      <c r="B2693" s="211" t="s">
        <v>123</v>
      </c>
      <c r="C2693" s="212">
        <v>0.53541666666666665</v>
      </c>
      <c r="D2693" s="213">
        <v>0</v>
      </c>
      <c r="E2693" s="213">
        <v>0</v>
      </c>
      <c r="F2693" s="213">
        <v>0</v>
      </c>
      <c r="G2693" s="213">
        <v>0</v>
      </c>
      <c r="H2693" s="213">
        <v>0</v>
      </c>
      <c r="I2693" s="213">
        <v>0</v>
      </c>
      <c r="J2693" s="213">
        <v>0</v>
      </c>
    </row>
    <row r="2694" spans="1:10">
      <c r="A2694" s="211" t="s">
        <v>165</v>
      </c>
      <c r="B2694" s="211" t="s">
        <v>123</v>
      </c>
      <c r="C2694" s="212">
        <v>0.53611111111111109</v>
      </c>
      <c r="D2694" s="213">
        <v>0</v>
      </c>
      <c r="E2694" s="213">
        <v>0</v>
      </c>
      <c r="F2694" s="213">
        <v>0</v>
      </c>
      <c r="G2694" s="213">
        <v>0</v>
      </c>
      <c r="H2694" s="213">
        <v>0</v>
      </c>
      <c r="I2694" s="213">
        <v>0</v>
      </c>
      <c r="J2694" s="213">
        <v>0</v>
      </c>
    </row>
    <row r="2695" spans="1:10">
      <c r="A2695" s="211" t="s">
        <v>165</v>
      </c>
      <c r="B2695" s="211" t="s">
        <v>123</v>
      </c>
      <c r="C2695" s="212">
        <v>0.53680555555555554</v>
      </c>
      <c r="D2695" s="213">
        <v>0</v>
      </c>
      <c r="E2695" s="213">
        <v>0</v>
      </c>
      <c r="F2695" s="213">
        <v>0</v>
      </c>
      <c r="G2695" s="213">
        <v>0</v>
      </c>
      <c r="H2695" s="213">
        <v>0</v>
      </c>
      <c r="I2695" s="213">
        <v>0</v>
      </c>
      <c r="J2695" s="213">
        <v>0</v>
      </c>
    </row>
    <row r="2696" spans="1:10">
      <c r="A2696" s="211" t="s">
        <v>165</v>
      </c>
      <c r="B2696" s="211" t="s">
        <v>123</v>
      </c>
      <c r="C2696" s="212">
        <v>0.53749999999999998</v>
      </c>
      <c r="D2696" s="213">
        <v>0</v>
      </c>
      <c r="E2696" s="213">
        <v>0</v>
      </c>
      <c r="F2696" s="213">
        <v>0</v>
      </c>
      <c r="G2696" s="213">
        <v>0</v>
      </c>
      <c r="H2696" s="213">
        <v>0</v>
      </c>
      <c r="I2696" s="213">
        <v>0</v>
      </c>
      <c r="J2696" s="213">
        <v>0</v>
      </c>
    </row>
    <row r="2697" spans="1:10">
      <c r="A2697" s="211" t="s">
        <v>165</v>
      </c>
      <c r="B2697" s="211" t="s">
        <v>123</v>
      </c>
      <c r="C2697" s="212">
        <v>0.53819444444444442</v>
      </c>
      <c r="D2697" s="213">
        <v>0</v>
      </c>
      <c r="E2697" s="213">
        <v>0</v>
      </c>
      <c r="F2697" s="213">
        <v>0</v>
      </c>
      <c r="G2697" s="213">
        <v>0</v>
      </c>
      <c r="H2697" s="213">
        <v>0</v>
      </c>
      <c r="I2697" s="213">
        <v>0</v>
      </c>
      <c r="J2697" s="213">
        <v>0</v>
      </c>
    </row>
    <row r="2698" spans="1:10">
      <c r="A2698" s="211" t="s">
        <v>165</v>
      </c>
      <c r="B2698" s="211" t="s">
        <v>123</v>
      </c>
      <c r="C2698" s="212">
        <v>0.53888888888888886</v>
      </c>
      <c r="D2698" s="213">
        <v>0</v>
      </c>
      <c r="E2698" s="213">
        <v>0</v>
      </c>
      <c r="F2698" s="213">
        <v>0</v>
      </c>
      <c r="G2698" s="213">
        <v>0</v>
      </c>
      <c r="H2698" s="213">
        <v>0</v>
      </c>
      <c r="I2698" s="213">
        <v>0</v>
      </c>
      <c r="J2698" s="213">
        <v>0</v>
      </c>
    </row>
    <row r="2699" spans="1:10">
      <c r="A2699" s="211" t="s">
        <v>165</v>
      </c>
      <c r="B2699" s="211" t="s">
        <v>123</v>
      </c>
      <c r="C2699" s="212">
        <v>0.5395833333333333</v>
      </c>
      <c r="D2699" s="213">
        <v>0</v>
      </c>
      <c r="E2699" s="213">
        <v>0</v>
      </c>
      <c r="F2699" s="213">
        <v>0</v>
      </c>
      <c r="G2699" s="213">
        <v>0</v>
      </c>
      <c r="H2699" s="213">
        <v>0</v>
      </c>
      <c r="I2699" s="213">
        <v>0</v>
      </c>
      <c r="J2699" s="213">
        <v>0</v>
      </c>
    </row>
    <row r="2700" spans="1:10">
      <c r="A2700" s="211" t="s">
        <v>165</v>
      </c>
      <c r="B2700" s="211" t="s">
        <v>123</v>
      </c>
      <c r="C2700" s="212">
        <v>0.54027777777777775</v>
      </c>
      <c r="D2700" s="213">
        <v>0</v>
      </c>
      <c r="E2700" s="213">
        <v>0</v>
      </c>
      <c r="F2700" s="213">
        <v>0</v>
      </c>
      <c r="G2700" s="213">
        <v>0</v>
      </c>
      <c r="H2700" s="213">
        <v>0</v>
      </c>
      <c r="I2700" s="213">
        <v>0</v>
      </c>
      <c r="J2700" s="213">
        <v>0</v>
      </c>
    </row>
    <row r="2701" spans="1:10" s="80" customFormat="1">
      <c r="A2701" s="214" t="s">
        <v>165</v>
      </c>
      <c r="B2701" s="214" t="s">
        <v>123</v>
      </c>
      <c r="C2701" s="215">
        <v>0.54097222222222219</v>
      </c>
      <c r="D2701" s="216">
        <v>0</v>
      </c>
      <c r="E2701" s="216">
        <v>0</v>
      </c>
      <c r="F2701" s="216">
        <v>0</v>
      </c>
      <c r="G2701" s="216">
        <v>0</v>
      </c>
      <c r="H2701" s="216">
        <v>0</v>
      </c>
      <c r="I2701" s="216">
        <v>0</v>
      </c>
      <c r="J2701" s="216">
        <v>0</v>
      </c>
    </row>
    <row r="2702" spans="1:10">
      <c r="A2702" s="211" t="s">
        <v>165</v>
      </c>
      <c r="B2702" s="211" t="s">
        <v>123</v>
      </c>
      <c r="C2702" s="212">
        <v>0.54166666666666663</v>
      </c>
      <c r="D2702" s="213">
        <v>0</v>
      </c>
      <c r="E2702" s="213">
        <v>0</v>
      </c>
      <c r="F2702" s="213">
        <v>0</v>
      </c>
      <c r="G2702" s="213">
        <v>0</v>
      </c>
      <c r="H2702" s="213">
        <v>0</v>
      </c>
      <c r="I2702" s="213">
        <v>0</v>
      </c>
      <c r="J2702" s="213">
        <v>0</v>
      </c>
    </row>
    <row r="2703" spans="1:10">
      <c r="A2703" s="211" t="s">
        <v>165</v>
      </c>
      <c r="B2703" s="211" t="s">
        <v>123</v>
      </c>
      <c r="C2703" s="212">
        <v>0.54236111111111107</v>
      </c>
      <c r="D2703" s="213">
        <v>0</v>
      </c>
      <c r="E2703" s="213">
        <v>0</v>
      </c>
      <c r="F2703" s="213">
        <v>0</v>
      </c>
      <c r="G2703" s="213">
        <v>0</v>
      </c>
      <c r="H2703" s="213">
        <v>0</v>
      </c>
      <c r="I2703" s="213">
        <v>0</v>
      </c>
      <c r="J2703" s="213">
        <v>0</v>
      </c>
    </row>
    <row r="2704" spans="1:10">
      <c r="A2704" s="211" t="s">
        <v>165</v>
      </c>
      <c r="B2704" s="211" t="s">
        <v>123</v>
      </c>
      <c r="C2704" s="212">
        <v>0.54305555555555551</v>
      </c>
      <c r="D2704" s="213">
        <v>0</v>
      </c>
      <c r="E2704" s="213">
        <v>0</v>
      </c>
      <c r="F2704" s="213">
        <v>0</v>
      </c>
      <c r="G2704" s="213">
        <v>0</v>
      </c>
      <c r="H2704" s="213">
        <v>0</v>
      </c>
      <c r="I2704" s="213">
        <v>0</v>
      </c>
      <c r="J2704" s="213">
        <v>0</v>
      </c>
    </row>
    <row r="2705" spans="1:10">
      <c r="A2705" s="211" t="s">
        <v>165</v>
      </c>
      <c r="B2705" s="211" t="s">
        <v>123</v>
      </c>
      <c r="C2705" s="212">
        <v>0.54374999999999996</v>
      </c>
      <c r="D2705" s="213">
        <v>0</v>
      </c>
      <c r="E2705" s="213">
        <v>0</v>
      </c>
      <c r="F2705" s="213">
        <v>0</v>
      </c>
      <c r="G2705" s="213">
        <v>0</v>
      </c>
      <c r="H2705" s="213">
        <v>0</v>
      </c>
      <c r="I2705" s="213">
        <v>0</v>
      </c>
      <c r="J2705" s="213">
        <v>0</v>
      </c>
    </row>
    <row r="2706" spans="1:10">
      <c r="A2706" s="211" t="s">
        <v>165</v>
      </c>
      <c r="B2706" s="211" t="s">
        <v>123</v>
      </c>
      <c r="C2706" s="212">
        <v>0.5444444444444444</v>
      </c>
      <c r="D2706" s="213">
        <v>0</v>
      </c>
      <c r="E2706" s="213">
        <v>0</v>
      </c>
      <c r="F2706" s="213">
        <v>0</v>
      </c>
      <c r="G2706" s="213">
        <v>0</v>
      </c>
      <c r="H2706" s="213">
        <v>0</v>
      </c>
      <c r="I2706" s="213">
        <v>0</v>
      </c>
      <c r="J2706" s="213">
        <v>0</v>
      </c>
    </row>
    <row r="2707" spans="1:10">
      <c r="A2707" s="211" t="s">
        <v>165</v>
      </c>
      <c r="B2707" s="211" t="s">
        <v>123</v>
      </c>
      <c r="C2707" s="212">
        <v>0.54513888888888884</v>
      </c>
      <c r="D2707" s="213">
        <v>0</v>
      </c>
      <c r="E2707" s="213">
        <v>0</v>
      </c>
      <c r="F2707" s="213">
        <v>0</v>
      </c>
      <c r="G2707" s="213">
        <v>0</v>
      </c>
      <c r="H2707" s="213">
        <v>0</v>
      </c>
      <c r="I2707" s="213">
        <v>0</v>
      </c>
      <c r="J2707" s="213">
        <v>0</v>
      </c>
    </row>
    <row r="2708" spans="1:10">
      <c r="A2708" s="211" t="s">
        <v>165</v>
      </c>
      <c r="B2708" s="211" t="s">
        <v>123</v>
      </c>
      <c r="C2708" s="212">
        <v>0.54583333333333328</v>
      </c>
      <c r="D2708" s="213">
        <v>0</v>
      </c>
      <c r="E2708" s="213">
        <v>0</v>
      </c>
      <c r="F2708" s="213">
        <v>0</v>
      </c>
      <c r="G2708" s="213">
        <v>0</v>
      </c>
      <c r="H2708" s="213">
        <v>0</v>
      </c>
      <c r="I2708" s="213">
        <v>0</v>
      </c>
      <c r="J2708" s="213">
        <v>0</v>
      </c>
    </row>
    <row r="2709" spans="1:10">
      <c r="A2709" s="211" t="s">
        <v>165</v>
      </c>
      <c r="B2709" s="211" t="s">
        <v>123</v>
      </c>
      <c r="C2709" s="212">
        <v>0.54652777777777772</v>
      </c>
      <c r="D2709" s="213">
        <v>0</v>
      </c>
      <c r="E2709" s="213">
        <v>0</v>
      </c>
      <c r="F2709" s="213">
        <v>0</v>
      </c>
      <c r="G2709" s="213">
        <v>0</v>
      </c>
      <c r="H2709" s="213">
        <v>0</v>
      </c>
      <c r="I2709" s="213">
        <v>0</v>
      </c>
      <c r="J2709" s="213">
        <v>0</v>
      </c>
    </row>
    <row r="2710" spans="1:10">
      <c r="A2710" s="211" t="s">
        <v>165</v>
      </c>
      <c r="B2710" s="211" t="s">
        <v>123</v>
      </c>
      <c r="C2710" s="212">
        <v>0.54722222222222228</v>
      </c>
      <c r="D2710" s="213">
        <v>0</v>
      </c>
      <c r="E2710" s="213">
        <v>0</v>
      </c>
      <c r="F2710" s="213">
        <v>0</v>
      </c>
      <c r="G2710" s="213">
        <v>0</v>
      </c>
      <c r="H2710" s="213">
        <v>0</v>
      </c>
      <c r="I2710" s="213">
        <v>0</v>
      </c>
      <c r="J2710" s="213">
        <v>0</v>
      </c>
    </row>
    <row r="2711" spans="1:10">
      <c r="A2711" s="211" t="s">
        <v>165</v>
      </c>
      <c r="B2711" s="211" t="s">
        <v>123</v>
      </c>
      <c r="C2711" s="212">
        <v>0.54791666666666672</v>
      </c>
      <c r="D2711" s="213">
        <v>0</v>
      </c>
      <c r="E2711" s="213">
        <v>0</v>
      </c>
      <c r="F2711" s="213">
        <v>0</v>
      </c>
      <c r="G2711" s="213">
        <v>0</v>
      </c>
      <c r="H2711" s="213">
        <v>0</v>
      </c>
      <c r="I2711" s="213">
        <v>0</v>
      </c>
      <c r="J2711" s="213">
        <v>0</v>
      </c>
    </row>
    <row r="2712" spans="1:10">
      <c r="A2712" s="211" t="s">
        <v>165</v>
      </c>
      <c r="B2712" s="211" t="s">
        <v>123</v>
      </c>
      <c r="C2712" s="212">
        <v>0.54861111111111116</v>
      </c>
      <c r="D2712" s="213">
        <v>0</v>
      </c>
      <c r="E2712" s="213">
        <v>0</v>
      </c>
      <c r="F2712" s="213">
        <v>0</v>
      </c>
      <c r="G2712" s="213">
        <v>0</v>
      </c>
      <c r="H2712" s="213">
        <v>0</v>
      </c>
      <c r="I2712" s="213">
        <v>0</v>
      </c>
      <c r="J2712" s="213">
        <v>0</v>
      </c>
    </row>
    <row r="2713" spans="1:10">
      <c r="A2713" s="211" t="s">
        <v>165</v>
      </c>
      <c r="B2713" s="211" t="s">
        <v>123</v>
      </c>
      <c r="C2713" s="212">
        <v>0.5493055555555556</v>
      </c>
      <c r="D2713" s="213">
        <v>0</v>
      </c>
      <c r="E2713" s="213">
        <v>0</v>
      </c>
      <c r="F2713" s="213">
        <v>0</v>
      </c>
      <c r="G2713" s="213">
        <v>0</v>
      </c>
      <c r="H2713" s="213">
        <v>0</v>
      </c>
      <c r="I2713" s="213">
        <v>0</v>
      </c>
      <c r="J2713" s="213">
        <v>0</v>
      </c>
    </row>
    <row r="2714" spans="1:10">
      <c r="A2714" s="211" t="s">
        <v>165</v>
      </c>
      <c r="B2714" s="211" t="s">
        <v>123</v>
      </c>
      <c r="C2714" s="212">
        <v>0.54236111111111107</v>
      </c>
      <c r="D2714" s="213">
        <v>0</v>
      </c>
      <c r="E2714" s="213">
        <v>0</v>
      </c>
      <c r="F2714" s="213">
        <v>0</v>
      </c>
      <c r="G2714" s="213">
        <v>0</v>
      </c>
      <c r="H2714" s="213">
        <v>0</v>
      </c>
      <c r="I2714" s="213">
        <v>0</v>
      </c>
      <c r="J2714" s="213">
        <v>0</v>
      </c>
    </row>
    <row r="2715" spans="1:10">
      <c r="A2715" s="211" t="s">
        <v>165</v>
      </c>
      <c r="B2715" s="211" t="s">
        <v>123</v>
      </c>
      <c r="C2715" s="212">
        <v>0.55069444444444449</v>
      </c>
      <c r="D2715" s="213">
        <v>0</v>
      </c>
      <c r="E2715" s="213">
        <v>0</v>
      </c>
      <c r="F2715" s="213">
        <v>0</v>
      </c>
      <c r="G2715" s="213">
        <v>0</v>
      </c>
      <c r="H2715" s="213">
        <v>0</v>
      </c>
      <c r="I2715" s="213">
        <v>0</v>
      </c>
      <c r="J2715" s="213">
        <v>0</v>
      </c>
    </row>
    <row r="2716" spans="1:10" s="80" customFormat="1">
      <c r="A2716" s="214" t="s">
        <v>165</v>
      </c>
      <c r="B2716" s="214" t="s">
        <v>123</v>
      </c>
      <c r="C2716" s="215">
        <v>0.55138888888888893</v>
      </c>
      <c r="D2716" s="213">
        <v>0</v>
      </c>
      <c r="E2716" s="213">
        <v>0</v>
      </c>
      <c r="F2716" s="213">
        <v>0</v>
      </c>
      <c r="G2716" s="213">
        <v>0</v>
      </c>
      <c r="H2716" s="213">
        <v>0</v>
      </c>
      <c r="I2716" s="213">
        <v>0</v>
      </c>
      <c r="J2716" s="213">
        <v>0</v>
      </c>
    </row>
    <row r="2717" spans="1:10">
      <c r="A2717" s="211" t="s">
        <v>165</v>
      </c>
      <c r="B2717" s="211" t="s">
        <v>123</v>
      </c>
      <c r="C2717" s="212">
        <v>0.55208333333333337</v>
      </c>
      <c r="D2717" s="217">
        <v>0</v>
      </c>
      <c r="E2717" s="217">
        <v>0</v>
      </c>
      <c r="F2717" s="217">
        <v>0</v>
      </c>
      <c r="G2717" s="217">
        <v>0</v>
      </c>
      <c r="H2717" s="217">
        <v>0</v>
      </c>
      <c r="I2717" s="217">
        <v>0</v>
      </c>
      <c r="J2717" s="217">
        <v>0</v>
      </c>
    </row>
    <row r="2718" spans="1:10">
      <c r="A2718" s="211" t="s">
        <v>165</v>
      </c>
      <c r="B2718" s="211" t="s">
        <v>123</v>
      </c>
      <c r="C2718" s="212">
        <v>0.55277777777777781</v>
      </c>
      <c r="D2718" s="213">
        <v>0</v>
      </c>
      <c r="E2718" s="213">
        <v>0</v>
      </c>
      <c r="F2718" s="213">
        <v>0</v>
      </c>
      <c r="G2718" s="213">
        <v>0</v>
      </c>
      <c r="H2718" s="213">
        <v>0</v>
      </c>
      <c r="I2718" s="213">
        <v>0</v>
      </c>
      <c r="J2718" s="213">
        <v>0</v>
      </c>
    </row>
    <row r="2719" spans="1:10">
      <c r="A2719" s="211" t="s">
        <v>165</v>
      </c>
      <c r="B2719" s="211" t="s">
        <v>123</v>
      </c>
      <c r="C2719" s="212">
        <v>0.55347222222222225</v>
      </c>
      <c r="D2719" s="213">
        <v>0</v>
      </c>
      <c r="E2719" s="213">
        <v>0</v>
      </c>
      <c r="F2719" s="213">
        <v>0</v>
      </c>
      <c r="G2719" s="213">
        <v>0</v>
      </c>
      <c r="H2719" s="213">
        <v>0</v>
      </c>
      <c r="I2719" s="213">
        <v>0</v>
      </c>
      <c r="J2719" s="213">
        <v>0</v>
      </c>
    </row>
    <row r="2720" spans="1:10">
      <c r="A2720" s="211" t="s">
        <v>165</v>
      </c>
      <c r="B2720" s="211" t="s">
        <v>123</v>
      </c>
      <c r="C2720" s="212">
        <v>0.5541666666666667</v>
      </c>
      <c r="D2720" s="213">
        <v>0</v>
      </c>
      <c r="E2720" s="213">
        <v>0</v>
      </c>
      <c r="F2720" s="213">
        <v>0</v>
      </c>
      <c r="G2720" s="213">
        <v>0</v>
      </c>
      <c r="H2720" s="213">
        <v>0</v>
      </c>
      <c r="I2720" s="213">
        <v>0</v>
      </c>
      <c r="J2720" s="213">
        <v>0</v>
      </c>
    </row>
    <row r="2721" spans="1:10">
      <c r="A2721" s="211" t="s">
        <v>165</v>
      </c>
      <c r="B2721" s="211" t="s">
        <v>123</v>
      </c>
      <c r="C2721" s="212">
        <v>0.55486111111111114</v>
      </c>
      <c r="D2721" s="213">
        <v>0</v>
      </c>
      <c r="E2721" s="213">
        <v>0</v>
      </c>
      <c r="F2721" s="213">
        <v>0</v>
      </c>
      <c r="G2721" s="213">
        <v>0</v>
      </c>
      <c r="H2721" s="213">
        <v>0</v>
      </c>
      <c r="I2721" s="213">
        <v>0</v>
      </c>
      <c r="J2721" s="213">
        <v>0</v>
      </c>
    </row>
    <row r="2722" spans="1:10">
      <c r="A2722" s="211" t="s">
        <v>165</v>
      </c>
      <c r="B2722" s="211" t="s">
        <v>123</v>
      </c>
      <c r="C2722" s="212">
        <v>0.55555555555555558</v>
      </c>
      <c r="D2722" s="213">
        <v>0</v>
      </c>
      <c r="E2722" s="213">
        <v>0</v>
      </c>
      <c r="F2722" s="213">
        <v>0</v>
      </c>
      <c r="G2722" s="213">
        <v>0</v>
      </c>
      <c r="H2722" s="213">
        <v>0</v>
      </c>
      <c r="I2722" s="213">
        <v>0</v>
      </c>
      <c r="J2722" s="213">
        <v>0</v>
      </c>
    </row>
    <row r="2723" spans="1:10">
      <c r="A2723" s="211" t="s">
        <v>165</v>
      </c>
      <c r="B2723" s="211" t="s">
        <v>123</v>
      </c>
      <c r="C2723" s="212">
        <v>0.55625000000000002</v>
      </c>
      <c r="D2723" s="213">
        <v>0</v>
      </c>
      <c r="E2723" s="213">
        <v>0</v>
      </c>
      <c r="F2723" s="213">
        <v>0</v>
      </c>
      <c r="G2723" s="213">
        <v>0</v>
      </c>
      <c r="H2723" s="213">
        <v>0</v>
      </c>
      <c r="I2723" s="213">
        <v>0</v>
      </c>
      <c r="J2723" s="213">
        <v>0</v>
      </c>
    </row>
    <row r="2724" spans="1:10">
      <c r="A2724" s="211" t="s">
        <v>165</v>
      </c>
      <c r="B2724" s="211" t="s">
        <v>123</v>
      </c>
      <c r="C2724" s="212">
        <v>0.55694444444444446</v>
      </c>
      <c r="D2724" s="213">
        <v>0</v>
      </c>
      <c r="E2724" s="213">
        <v>0</v>
      </c>
      <c r="F2724" s="213">
        <v>0</v>
      </c>
      <c r="G2724" s="213">
        <v>0</v>
      </c>
      <c r="H2724" s="213">
        <v>0</v>
      </c>
      <c r="I2724" s="213">
        <v>0</v>
      </c>
      <c r="J2724" s="213">
        <v>0</v>
      </c>
    </row>
    <row r="2725" spans="1:10">
      <c r="A2725" s="211" t="s">
        <v>165</v>
      </c>
      <c r="B2725" s="211" t="s">
        <v>123</v>
      </c>
      <c r="C2725" s="212">
        <v>0.55763888888888891</v>
      </c>
      <c r="D2725" s="213">
        <v>0</v>
      </c>
      <c r="E2725" s="213">
        <v>0</v>
      </c>
      <c r="F2725" s="213">
        <v>0</v>
      </c>
      <c r="G2725" s="213">
        <v>0</v>
      </c>
      <c r="H2725" s="213">
        <v>0</v>
      </c>
      <c r="I2725" s="213">
        <v>0</v>
      </c>
      <c r="J2725" s="213">
        <v>0</v>
      </c>
    </row>
    <row r="2726" spans="1:10">
      <c r="A2726" s="211" t="s">
        <v>165</v>
      </c>
      <c r="B2726" s="211" t="s">
        <v>123</v>
      </c>
      <c r="C2726" s="212">
        <v>0.55833333333333335</v>
      </c>
      <c r="D2726" s="213">
        <v>0</v>
      </c>
      <c r="E2726" s="213">
        <v>0</v>
      </c>
      <c r="F2726" s="213">
        <v>0</v>
      </c>
      <c r="G2726" s="213">
        <v>0</v>
      </c>
      <c r="H2726" s="213">
        <v>0</v>
      </c>
      <c r="I2726" s="213">
        <v>0</v>
      </c>
      <c r="J2726" s="213">
        <v>0</v>
      </c>
    </row>
    <row r="2727" spans="1:10">
      <c r="A2727" s="211" t="s">
        <v>165</v>
      </c>
      <c r="B2727" s="211" t="s">
        <v>123</v>
      </c>
      <c r="C2727" s="212">
        <v>0.55902777777777779</v>
      </c>
      <c r="D2727" s="213">
        <v>0</v>
      </c>
      <c r="E2727" s="213">
        <v>0</v>
      </c>
      <c r="F2727" s="213">
        <v>0</v>
      </c>
      <c r="G2727" s="213">
        <v>0</v>
      </c>
      <c r="H2727" s="213">
        <v>0</v>
      </c>
      <c r="I2727" s="213">
        <v>0</v>
      </c>
      <c r="J2727" s="213">
        <v>0</v>
      </c>
    </row>
    <row r="2728" spans="1:10">
      <c r="A2728" s="211" t="s">
        <v>165</v>
      </c>
      <c r="B2728" s="211" t="s">
        <v>123</v>
      </c>
      <c r="C2728" s="212">
        <v>0.55972222222222223</v>
      </c>
      <c r="D2728" s="213">
        <v>0</v>
      </c>
      <c r="E2728" s="213">
        <v>0</v>
      </c>
      <c r="F2728" s="213">
        <v>0</v>
      </c>
      <c r="G2728" s="213">
        <v>0</v>
      </c>
      <c r="H2728" s="213">
        <v>0</v>
      </c>
      <c r="I2728" s="213">
        <v>0</v>
      </c>
      <c r="J2728" s="213">
        <v>0</v>
      </c>
    </row>
    <row r="2729" spans="1:10">
      <c r="A2729" s="211" t="s">
        <v>165</v>
      </c>
      <c r="B2729" s="211" t="s">
        <v>123</v>
      </c>
      <c r="C2729" s="212">
        <v>0.56041666666666667</v>
      </c>
      <c r="D2729" s="213">
        <v>0</v>
      </c>
      <c r="E2729" s="213">
        <v>0</v>
      </c>
      <c r="F2729" s="213">
        <v>0</v>
      </c>
      <c r="G2729" s="213">
        <v>0</v>
      </c>
      <c r="H2729" s="213">
        <v>0</v>
      </c>
      <c r="I2729" s="213">
        <v>0</v>
      </c>
      <c r="J2729" s="213">
        <v>0</v>
      </c>
    </row>
    <row r="2730" spans="1:10">
      <c r="A2730" s="211" t="s">
        <v>165</v>
      </c>
      <c r="B2730" s="211" t="s">
        <v>123</v>
      </c>
      <c r="C2730" s="212">
        <v>0.56111111111111112</v>
      </c>
      <c r="D2730" s="213">
        <v>0</v>
      </c>
      <c r="E2730" s="213">
        <v>0</v>
      </c>
      <c r="F2730" s="213">
        <v>0</v>
      </c>
      <c r="G2730" s="213">
        <v>0</v>
      </c>
      <c r="H2730" s="213">
        <v>0</v>
      </c>
      <c r="I2730" s="213">
        <v>0</v>
      </c>
      <c r="J2730" s="213">
        <v>0</v>
      </c>
    </row>
    <row r="2731" spans="1:10" s="80" customFormat="1">
      <c r="A2731" s="214" t="s">
        <v>165</v>
      </c>
      <c r="B2731" s="214" t="s">
        <v>123</v>
      </c>
      <c r="C2731" s="215">
        <v>0.56180555555555556</v>
      </c>
      <c r="D2731" s="216">
        <v>0</v>
      </c>
      <c r="E2731" s="216">
        <v>0</v>
      </c>
      <c r="F2731" s="216">
        <v>0</v>
      </c>
      <c r="G2731" s="216">
        <v>0</v>
      </c>
      <c r="H2731" s="216">
        <v>0</v>
      </c>
      <c r="I2731" s="216">
        <v>0</v>
      </c>
      <c r="J2731" s="216">
        <v>0</v>
      </c>
    </row>
    <row r="2732" spans="1:10">
      <c r="A2732" s="211" t="s">
        <v>165</v>
      </c>
      <c r="B2732" s="211" t="s">
        <v>123</v>
      </c>
      <c r="C2732" s="212">
        <v>0.5625</v>
      </c>
      <c r="D2732" s="213">
        <v>0</v>
      </c>
      <c r="E2732" s="213">
        <v>0</v>
      </c>
      <c r="F2732" s="213">
        <v>0</v>
      </c>
      <c r="G2732" s="213">
        <v>0</v>
      </c>
      <c r="H2732" s="213">
        <v>0</v>
      </c>
      <c r="I2732" s="213">
        <v>0</v>
      </c>
      <c r="J2732" s="213">
        <v>0</v>
      </c>
    </row>
    <row r="2733" spans="1:10">
      <c r="A2733" s="211" t="s">
        <v>165</v>
      </c>
      <c r="B2733" s="211" t="s">
        <v>123</v>
      </c>
      <c r="C2733" s="212">
        <v>0.56319444444444444</v>
      </c>
      <c r="D2733" s="213">
        <v>0</v>
      </c>
      <c r="E2733" s="213">
        <v>0</v>
      </c>
      <c r="F2733" s="213">
        <v>0</v>
      </c>
      <c r="G2733" s="213">
        <v>0</v>
      </c>
      <c r="H2733" s="213">
        <v>0</v>
      </c>
      <c r="I2733" s="213">
        <v>0</v>
      </c>
      <c r="J2733" s="213">
        <v>0</v>
      </c>
    </row>
    <row r="2734" spans="1:10">
      <c r="A2734" s="211" t="s">
        <v>165</v>
      </c>
      <c r="B2734" s="211" t="s">
        <v>123</v>
      </c>
      <c r="C2734" s="212">
        <v>0.56388888888888888</v>
      </c>
      <c r="D2734" s="213">
        <v>0</v>
      </c>
      <c r="E2734" s="213">
        <v>0</v>
      </c>
      <c r="F2734" s="213">
        <v>0</v>
      </c>
      <c r="G2734" s="213">
        <v>0</v>
      </c>
      <c r="H2734" s="213">
        <v>0</v>
      </c>
      <c r="I2734" s="213">
        <v>0</v>
      </c>
      <c r="J2734" s="213">
        <v>0</v>
      </c>
    </row>
    <row r="2735" spans="1:10">
      <c r="A2735" s="211" t="s">
        <v>165</v>
      </c>
      <c r="B2735" s="211" t="s">
        <v>123</v>
      </c>
      <c r="C2735" s="212">
        <v>0.56458333333333333</v>
      </c>
      <c r="D2735" s="213">
        <v>0</v>
      </c>
      <c r="E2735" s="213">
        <v>0</v>
      </c>
      <c r="F2735" s="213">
        <v>0</v>
      </c>
      <c r="G2735" s="213">
        <v>0</v>
      </c>
      <c r="H2735" s="213">
        <v>0</v>
      </c>
      <c r="I2735" s="213">
        <v>0</v>
      </c>
      <c r="J2735" s="213">
        <v>0</v>
      </c>
    </row>
    <row r="2736" spans="1:10">
      <c r="A2736" s="211" t="s">
        <v>165</v>
      </c>
      <c r="B2736" s="211" t="s">
        <v>123</v>
      </c>
      <c r="C2736" s="212">
        <v>0.56527777777777777</v>
      </c>
      <c r="D2736" s="213">
        <v>0</v>
      </c>
      <c r="E2736" s="213">
        <v>0</v>
      </c>
      <c r="F2736" s="213">
        <v>0</v>
      </c>
      <c r="G2736" s="213">
        <v>0</v>
      </c>
      <c r="H2736" s="213">
        <v>0</v>
      </c>
      <c r="I2736" s="213">
        <v>0</v>
      </c>
      <c r="J2736" s="213">
        <v>0</v>
      </c>
    </row>
    <row r="2737" spans="1:10">
      <c r="A2737" s="211" t="s">
        <v>165</v>
      </c>
      <c r="B2737" s="211" t="s">
        <v>123</v>
      </c>
      <c r="C2737" s="212">
        <v>0.56597222222222221</v>
      </c>
      <c r="D2737" s="213">
        <v>0</v>
      </c>
      <c r="E2737" s="213">
        <v>0</v>
      </c>
      <c r="F2737" s="213">
        <v>0</v>
      </c>
      <c r="G2737" s="213">
        <v>0</v>
      </c>
      <c r="H2737" s="213">
        <v>0</v>
      </c>
      <c r="I2737" s="213">
        <v>0</v>
      </c>
      <c r="J2737" s="213">
        <v>0</v>
      </c>
    </row>
    <row r="2738" spans="1:10">
      <c r="A2738" s="211" t="s">
        <v>165</v>
      </c>
      <c r="B2738" s="211" t="s">
        <v>123</v>
      </c>
      <c r="C2738" s="212">
        <v>0.56666666666666665</v>
      </c>
      <c r="D2738" s="213">
        <v>0</v>
      </c>
      <c r="E2738" s="213">
        <v>0</v>
      </c>
      <c r="F2738" s="213">
        <v>0</v>
      </c>
      <c r="G2738" s="213">
        <v>0</v>
      </c>
      <c r="H2738" s="213">
        <v>0</v>
      </c>
      <c r="I2738" s="213">
        <v>0</v>
      </c>
      <c r="J2738" s="213">
        <v>0</v>
      </c>
    </row>
    <row r="2739" spans="1:10">
      <c r="A2739" s="211" t="s">
        <v>165</v>
      </c>
      <c r="B2739" s="211" t="s">
        <v>123</v>
      </c>
      <c r="C2739" s="212">
        <v>0.56736111111111109</v>
      </c>
      <c r="D2739" s="213">
        <v>0</v>
      </c>
      <c r="E2739" s="213">
        <v>0</v>
      </c>
      <c r="F2739" s="213">
        <v>0</v>
      </c>
      <c r="G2739" s="213">
        <v>0</v>
      </c>
      <c r="H2739" s="213">
        <v>0</v>
      </c>
      <c r="I2739" s="213">
        <v>0</v>
      </c>
      <c r="J2739" s="213">
        <v>0</v>
      </c>
    </row>
    <row r="2740" spans="1:10">
      <c r="A2740" s="211" t="s">
        <v>165</v>
      </c>
      <c r="B2740" s="211" t="s">
        <v>123</v>
      </c>
      <c r="C2740" s="212">
        <v>0.56805555555555554</v>
      </c>
      <c r="D2740" s="213">
        <v>0</v>
      </c>
      <c r="E2740" s="213">
        <v>0</v>
      </c>
      <c r="F2740" s="213">
        <v>0</v>
      </c>
      <c r="G2740" s="213">
        <v>0</v>
      </c>
      <c r="H2740" s="213">
        <v>0</v>
      </c>
      <c r="I2740" s="213">
        <v>0</v>
      </c>
      <c r="J2740" s="213">
        <v>0</v>
      </c>
    </row>
    <row r="2741" spans="1:10">
      <c r="A2741" s="211" t="s">
        <v>165</v>
      </c>
      <c r="B2741" s="211" t="s">
        <v>123</v>
      </c>
      <c r="C2741" s="212">
        <v>0.56874999999999998</v>
      </c>
      <c r="D2741" s="213">
        <v>0</v>
      </c>
      <c r="E2741" s="213">
        <v>0</v>
      </c>
      <c r="F2741" s="213">
        <v>0</v>
      </c>
      <c r="G2741" s="213">
        <v>0</v>
      </c>
      <c r="H2741" s="213">
        <v>0</v>
      </c>
      <c r="I2741" s="213">
        <v>0</v>
      </c>
      <c r="J2741" s="213">
        <v>0</v>
      </c>
    </row>
    <row r="2742" spans="1:10">
      <c r="A2742" s="211" t="s">
        <v>165</v>
      </c>
      <c r="B2742" s="211" t="s">
        <v>123</v>
      </c>
      <c r="C2742" s="212">
        <v>0.56944444444444442</v>
      </c>
      <c r="D2742" s="213">
        <v>0</v>
      </c>
      <c r="E2742" s="213">
        <v>0</v>
      </c>
      <c r="F2742" s="213">
        <v>0</v>
      </c>
      <c r="G2742" s="213">
        <v>0</v>
      </c>
      <c r="H2742" s="213">
        <v>0</v>
      </c>
      <c r="I2742" s="213">
        <v>0</v>
      </c>
      <c r="J2742" s="213">
        <v>0</v>
      </c>
    </row>
    <row r="2743" spans="1:10">
      <c r="A2743" s="211" t="s">
        <v>165</v>
      </c>
      <c r="B2743" s="211" t="s">
        <v>123</v>
      </c>
      <c r="C2743" s="212">
        <v>0.57013888888888886</v>
      </c>
      <c r="D2743" s="213">
        <v>0</v>
      </c>
      <c r="E2743" s="213">
        <v>0</v>
      </c>
      <c r="F2743" s="213">
        <v>0</v>
      </c>
      <c r="G2743" s="213">
        <v>0</v>
      </c>
      <c r="H2743" s="213">
        <v>0</v>
      </c>
      <c r="I2743" s="213">
        <v>0</v>
      </c>
      <c r="J2743" s="213">
        <v>0</v>
      </c>
    </row>
    <row r="2744" spans="1:10">
      <c r="A2744" s="211" t="s">
        <v>165</v>
      </c>
      <c r="B2744" s="211" t="s">
        <v>123</v>
      </c>
      <c r="C2744" s="212">
        <v>0.5708333333333333</v>
      </c>
      <c r="D2744" s="213">
        <v>0</v>
      </c>
      <c r="E2744" s="213">
        <v>0</v>
      </c>
      <c r="F2744" s="213">
        <v>0</v>
      </c>
      <c r="G2744" s="213">
        <v>0</v>
      </c>
      <c r="H2744" s="213">
        <v>0</v>
      </c>
      <c r="I2744" s="213">
        <v>0</v>
      </c>
      <c r="J2744" s="213">
        <v>0</v>
      </c>
    </row>
    <row r="2745" spans="1:10">
      <c r="A2745" s="211" t="s">
        <v>165</v>
      </c>
      <c r="B2745" s="211" t="s">
        <v>123</v>
      </c>
      <c r="C2745" s="212">
        <v>0.57152777777777775</v>
      </c>
      <c r="D2745" s="213">
        <v>0</v>
      </c>
      <c r="E2745" s="213">
        <v>0</v>
      </c>
      <c r="F2745" s="213">
        <v>0</v>
      </c>
      <c r="G2745" s="213">
        <v>0</v>
      </c>
      <c r="H2745" s="213">
        <v>0</v>
      </c>
      <c r="I2745" s="213">
        <v>0</v>
      </c>
      <c r="J2745" s="213">
        <v>0</v>
      </c>
    </row>
    <row r="2746" spans="1:10" s="80" customFormat="1">
      <c r="A2746" s="214" t="s">
        <v>165</v>
      </c>
      <c r="B2746" s="214" t="s">
        <v>123</v>
      </c>
      <c r="C2746" s="215">
        <v>0.57222222222222219</v>
      </c>
      <c r="D2746" s="213">
        <v>0</v>
      </c>
      <c r="E2746" s="213">
        <v>0</v>
      </c>
      <c r="F2746" s="213">
        <v>0</v>
      </c>
      <c r="G2746" s="213">
        <v>0</v>
      </c>
      <c r="H2746" s="213">
        <v>0</v>
      </c>
      <c r="I2746" s="213">
        <v>0</v>
      </c>
      <c r="J2746" s="213">
        <v>0</v>
      </c>
    </row>
    <row r="2747" spans="1:10">
      <c r="A2747" s="211" t="s">
        <v>165</v>
      </c>
      <c r="B2747" s="211" t="s">
        <v>123</v>
      </c>
      <c r="C2747" s="212">
        <v>0.57291666666666663</v>
      </c>
      <c r="D2747" s="217">
        <v>0</v>
      </c>
      <c r="E2747" s="217">
        <v>0</v>
      </c>
      <c r="F2747" s="217">
        <v>0</v>
      </c>
      <c r="G2747" s="217">
        <v>0</v>
      </c>
      <c r="H2747" s="217">
        <v>0</v>
      </c>
      <c r="I2747" s="217">
        <v>0</v>
      </c>
      <c r="J2747" s="217">
        <v>0</v>
      </c>
    </row>
    <row r="2748" spans="1:10">
      <c r="A2748" s="211" t="s">
        <v>165</v>
      </c>
      <c r="B2748" s="211" t="s">
        <v>123</v>
      </c>
      <c r="C2748" s="212">
        <v>0.57361111111111107</v>
      </c>
      <c r="D2748" s="213">
        <v>0</v>
      </c>
      <c r="E2748" s="213">
        <v>0</v>
      </c>
      <c r="F2748" s="213">
        <v>0</v>
      </c>
      <c r="G2748" s="213">
        <v>0</v>
      </c>
      <c r="H2748" s="213">
        <v>0</v>
      </c>
      <c r="I2748" s="213">
        <v>0</v>
      </c>
      <c r="J2748" s="213">
        <v>0</v>
      </c>
    </row>
    <row r="2749" spans="1:10">
      <c r="A2749" s="211" t="s">
        <v>165</v>
      </c>
      <c r="B2749" s="211" t="s">
        <v>123</v>
      </c>
      <c r="C2749" s="212">
        <v>0.57430555555555551</v>
      </c>
      <c r="D2749" s="213">
        <v>0</v>
      </c>
      <c r="E2749" s="213">
        <v>0</v>
      </c>
      <c r="F2749" s="213">
        <v>0</v>
      </c>
      <c r="G2749" s="213">
        <v>0</v>
      </c>
      <c r="H2749" s="213">
        <v>0</v>
      </c>
      <c r="I2749" s="213">
        <v>0</v>
      </c>
      <c r="J2749" s="213">
        <v>0</v>
      </c>
    </row>
    <row r="2750" spans="1:10">
      <c r="A2750" s="211" t="s">
        <v>165</v>
      </c>
      <c r="B2750" s="211" t="s">
        <v>123</v>
      </c>
      <c r="C2750" s="212">
        <v>0.57499999999999996</v>
      </c>
      <c r="D2750" s="213">
        <v>0</v>
      </c>
      <c r="E2750" s="213">
        <v>0</v>
      </c>
      <c r="F2750" s="213">
        <v>0</v>
      </c>
      <c r="G2750" s="213">
        <v>0</v>
      </c>
      <c r="H2750" s="213">
        <v>0</v>
      </c>
      <c r="I2750" s="213">
        <v>0</v>
      </c>
      <c r="J2750" s="213">
        <v>0</v>
      </c>
    </row>
    <row r="2751" spans="1:10">
      <c r="A2751" s="211" t="s">
        <v>165</v>
      </c>
      <c r="B2751" s="211" t="s">
        <v>123</v>
      </c>
      <c r="C2751" s="212">
        <v>0.5756944444444444</v>
      </c>
      <c r="D2751" s="213">
        <v>0</v>
      </c>
      <c r="E2751" s="213">
        <v>0</v>
      </c>
      <c r="F2751" s="213">
        <v>0</v>
      </c>
      <c r="G2751" s="213">
        <v>0</v>
      </c>
      <c r="H2751" s="213">
        <v>0</v>
      </c>
      <c r="I2751" s="213">
        <v>0</v>
      </c>
      <c r="J2751" s="213">
        <v>0</v>
      </c>
    </row>
    <row r="2752" spans="1:10">
      <c r="A2752" s="211" t="s">
        <v>165</v>
      </c>
      <c r="B2752" s="211" t="s">
        <v>123</v>
      </c>
      <c r="C2752" s="212">
        <v>0.57638888888888884</v>
      </c>
      <c r="D2752" s="213">
        <v>0</v>
      </c>
      <c r="E2752" s="213">
        <v>0</v>
      </c>
      <c r="F2752" s="213">
        <v>0</v>
      </c>
      <c r="G2752" s="213">
        <v>0</v>
      </c>
      <c r="H2752" s="213">
        <v>0</v>
      </c>
      <c r="I2752" s="213">
        <v>0</v>
      </c>
      <c r="J2752" s="213">
        <v>0</v>
      </c>
    </row>
    <row r="2753" spans="1:10">
      <c r="A2753" s="211" t="s">
        <v>165</v>
      </c>
      <c r="B2753" s="211" t="s">
        <v>123</v>
      </c>
      <c r="C2753" s="212">
        <v>0.57708333333333328</v>
      </c>
      <c r="D2753" s="213">
        <v>0</v>
      </c>
      <c r="E2753" s="213">
        <v>0</v>
      </c>
      <c r="F2753" s="213">
        <v>0</v>
      </c>
      <c r="G2753" s="213">
        <v>0</v>
      </c>
      <c r="H2753" s="213">
        <v>0</v>
      </c>
      <c r="I2753" s="213">
        <v>0</v>
      </c>
      <c r="J2753" s="213">
        <v>0</v>
      </c>
    </row>
    <row r="2754" spans="1:10">
      <c r="A2754" s="211" t="s">
        <v>165</v>
      </c>
      <c r="B2754" s="211" t="s">
        <v>123</v>
      </c>
      <c r="C2754" s="212">
        <v>0.57777777777777772</v>
      </c>
      <c r="D2754" s="213">
        <v>0</v>
      </c>
      <c r="E2754" s="213">
        <v>0</v>
      </c>
      <c r="F2754" s="213">
        <v>0</v>
      </c>
      <c r="G2754" s="213">
        <v>0</v>
      </c>
      <c r="H2754" s="213">
        <v>0</v>
      </c>
      <c r="I2754" s="213">
        <v>0</v>
      </c>
      <c r="J2754" s="213">
        <v>0</v>
      </c>
    </row>
    <row r="2755" spans="1:10">
      <c r="A2755" s="211" t="s">
        <v>165</v>
      </c>
      <c r="B2755" s="211" t="s">
        <v>123</v>
      </c>
      <c r="C2755" s="212">
        <v>0.57847222222222228</v>
      </c>
      <c r="D2755" s="213">
        <v>0</v>
      </c>
      <c r="E2755" s="213">
        <v>0</v>
      </c>
      <c r="F2755" s="213">
        <v>0</v>
      </c>
      <c r="G2755" s="213">
        <v>0</v>
      </c>
      <c r="H2755" s="213">
        <v>0</v>
      </c>
      <c r="I2755" s="213">
        <v>0</v>
      </c>
      <c r="J2755" s="213">
        <v>0</v>
      </c>
    </row>
    <row r="2756" spans="1:10">
      <c r="A2756" s="211" t="s">
        <v>165</v>
      </c>
      <c r="B2756" s="211" t="s">
        <v>123</v>
      </c>
      <c r="C2756" s="212">
        <v>0.57916666666666672</v>
      </c>
      <c r="D2756" s="213">
        <v>0</v>
      </c>
      <c r="E2756" s="213">
        <v>0</v>
      </c>
      <c r="F2756" s="213">
        <v>0</v>
      </c>
      <c r="G2756" s="213">
        <v>0</v>
      </c>
      <c r="H2756" s="213">
        <v>0</v>
      </c>
      <c r="I2756" s="213">
        <v>0</v>
      </c>
      <c r="J2756" s="213">
        <v>0</v>
      </c>
    </row>
    <row r="2757" spans="1:10">
      <c r="A2757" s="211" t="s">
        <v>165</v>
      </c>
      <c r="B2757" s="211" t="s">
        <v>123</v>
      </c>
      <c r="C2757" s="212">
        <v>0.57986111111111116</v>
      </c>
      <c r="D2757" s="213">
        <v>0</v>
      </c>
      <c r="E2757" s="213">
        <v>0</v>
      </c>
      <c r="F2757" s="213">
        <v>0</v>
      </c>
      <c r="G2757" s="213">
        <v>0</v>
      </c>
      <c r="H2757" s="213">
        <v>0</v>
      </c>
      <c r="I2757" s="213">
        <v>0</v>
      </c>
      <c r="J2757" s="213">
        <v>0</v>
      </c>
    </row>
    <row r="2758" spans="1:10">
      <c r="A2758" s="211" t="s">
        <v>165</v>
      </c>
      <c r="B2758" s="211" t="s">
        <v>123</v>
      </c>
      <c r="C2758" s="212">
        <v>0.5805555555555556</v>
      </c>
      <c r="D2758" s="213">
        <v>0</v>
      </c>
      <c r="E2758" s="213">
        <v>0</v>
      </c>
      <c r="F2758" s="213">
        <v>0</v>
      </c>
      <c r="G2758" s="213">
        <v>0</v>
      </c>
      <c r="H2758" s="213">
        <v>0</v>
      </c>
      <c r="I2758" s="213">
        <v>0</v>
      </c>
      <c r="J2758" s="213">
        <v>0</v>
      </c>
    </row>
    <row r="2759" spans="1:10">
      <c r="A2759" s="211" t="s">
        <v>165</v>
      </c>
      <c r="B2759" s="211" t="s">
        <v>123</v>
      </c>
      <c r="C2759" s="212">
        <v>0.58125000000000004</v>
      </c>
      <c r="D2759" s="213">
        <v>0</v>
      </c>
      <c r="E2759" s="213">
        <v>0</v>
      </c>
      <c r="F2759" s="213">
        <v>0</v>
      </c>
      <c r="G2759" s="213">
        <v>0</v>
      </c>
      <c r="H2759" s="213">
        <v>0</v>
      </c>
      <c r="I2759" s="213">
        <v>0</v>
      </c>
      <c r="J2759" s="213">
        <v>0</v>
      </c>
    </row>
    <row r="2760" spans="1:10">
      <c r="A2760" s="211" t="s">
        <v>165</v>
      </c>
      <c r="B2760" s="211" t="s">
        <v>123</v>
      </c>
      <c r="C2760" s="212">
        <v>0.58194444444444449</v>
      </c>
      <c r="D2760" s="213">
        <v>0</v>
      </c>
      <c r="E2760" s="213">
        <v>0</v>
      </c>
      <c r="F2760" s="213">
        <v>0</v>
      </c>
      <c r="G2760" s="213">
        <v>0</v>
      </c>
      <c r="H2760" s="213">
        <v>0</v>
      </c>
      <c r="I2760" s="213">
        <v>0</v>
      </c>
      <c r="J2760" s="213">
        <v>0</v>
      </c>
    </row>
    <row r="2761" spans="1:10" s="28" customFormat="1" ht="17.5" thickBot="1">
      <c r="A2761" s="218" t="s">
        <v>165</v>
      </c>
      <c r="B2761" s="218" t="s">
        <v>123</v>
      </c>
      <c r="C2761" s="219">
        <v>0.58263888888888893</v>
      </c>
      <c r="D2761" s="220">
        <v>0</v>
      </c>
      <c r="E2761" s="220">
        <v>0</v>
      </c>
      <c r="F2761" s="220">
        <v>0</v>
      </c>
      <c r="G2761" s="220">
        <v>0</v>
      </c>
      <c r="H2761" s="220">
        <v>0</v>
      </c>
      <c r="I2761" s="220">
        <v>0</v>
      </c>
      <c r="J2761" s="220">
        <v>0</v>
      </c>
    </row>
    <row r="2762" spans="1:10">
      <c r="A2762" s="211" t="s">
        <v>165</v>
      </c>
      <c r="B2762" s="211" t="s">
        <v>126</v>
      </c>
      <c r="C2762" s="212">
        <v>0.5</v>
      </c>
      <c r="D2762" s="213">
        <v>0</v>
      </c>
      <c r="E2762" s="213">
        <v>0</v>
      </c>
      <c r="F2762" s="213">
        <v>0</v>
      </c>
      <c r="G2762" s="213">
        <v>0</v>
      </c>
      <c r="H2762" s="213">
        <v>0</v>
      </c>
      <c r="I2762" s="213">
        <v>0</v>
      </c>
      <c r="J2762" s="213">
        <v>0</v>
      </c>
    </row>
    <row r="2763" spans="1:10">
      <c r="A2763" s="211" t="s">
        <v>165</v>
      </c>
      <c r="B2763" s="211" t="s">
        <v>125</v>
      </c>
      <c r="C2763" s="212">
        <v>0.50069444444444444</v>
      </c>
      <c r="D2763" s="213">
        <v>0</v>
      </c>
      <c r="E2763" s="213">
        <v>0</v>
      </c>
      <c r="F2763" s="213">
        <v>0</v>
      </c>
      <c r="G2763" s="213">
        <v>0</v>
      </c>
      <c r="H2763" s="213">
        <v>0</v>
      </c>
      <c r="I2763" s="213">
        <v>0</v>
      </c>
      <c r="J2763" s="213">
        <v>0</v>
      </c>
    </row>
    <row r="2764" spans="1:10">
      <c r="A2764" s="211" t="s">
        <v>165</v>
      </c>
      <c r="B2764" s="211" t="s">
        <v>125</v>
      </c>
      <c r="C2764" s="212">
        <v>0.50138888888888899</v>
      </c>
      <c r="D2764" s="213">
        <v>0</v>
      </c>
      <c r="E2764" s="213">
        <v>0</v>
      </c>
      <c r="F2764" s="213">
        <v>0</v>
      </c>
      <c r="G2764" s="213">
        <v>0</v>
      </c>
      <c r="H2764" s="213">
        <v>0</v>
      </c>
      <c r="I2764" s="213">
        <v>0</v>
      </c>
      <c r="J2764" s="213">
        <v>0</v>
      </c>
    </row>
    <row r="2765" spans="1:10">
      <c r="A2765" s="211" t="s">
        <v>165</v>
      </c>
      <c r="B2765" s="211" t="s">
        <v>125</v>
      </c>
      <c r="C2765" s="212">
        <v>0.50208333333333299</v>
      </c>
      <c r="D2765" s="213">
        <v>0</v>
      </c>
      <c r="E2765" s="213">
        <v>0</v>
      </c>
      <c r="F2765" s="213">
        <v>0</v>
      </c>
      <c r="G2765" s="213">
        <v>0</v>
      </c>
      <c r="H2765" s="213">
        <v>0</v>
      </c>
      <c r="I2765" s="213">
        <v>0</v>
      </c>
      <c r="J2765" s="213">
        <v>0</v>
      </c>
    </row>
    <row r="2766" spans="1:10">
      <c r="A2766" s="211" t="s">
        <v>165</v>
      </c>
      <c r="B2766" s="211" t="s">
        <v>125</v>
      </c>
      <c r="C2766" s="212">
        <v>0.50277777777777799</v>
      </c>
      <c r="D2766" s="213">
        <v>0</v>
      </c>
      <c r="E2766" s="213">
        <v>0</v>
      </c>
      <c r="F2766" s="213">
        <v>0</v>
      </c>
      <c r="G2766" s="213">
        <v>0</v>
      </c>
      <c r="H2766" s="213">
        <v>0</v>
      </c>
      <c r="I2766" s="213">
        <v>0</v>
      </c>
      <c r="J2766" s="213">
        <v>0</v>
      </c>
    </row>
    <row r="2767" spans="1:10">
      <c r="A2767" s="211" t="s">
        <v>165</v>
      </c>
      <c r="B2767" s="211" t="s">
        <v>125</v>
      </c>
      <c r="C2767" s="212">
        <v>0.50347222222222199</v>
      </c>
      <c r="D2767" s="213">
        <v>0</v>
      </c>
      <c r="E2767" s="213">
        <v>0</v>
      </c>
      <c r="F2767" s="213">
        <v>0</v>
      </c>
      <c r="G2767" s="213">
        <v>0</v>
      </c>
      <c r="H2767" s="213">
        <v>0</v>
      </c>
      <c r="I2767" s="213">
        <v>0</v>
      </c>
      <c r="J2767" s="213">
        <v>0</v>
      </c>
    </row>
    <row r="2768" spans="1:10">
      <c r="A2768" s="211" t="s">
        <v>165</v>
      </c>
      <c r="B2768" s="211" t="s">
        <v>125</v>
      </c>
      <c r="C2768" s="212">
        <v>0.50416666666666698</v>
      </c>
      <c r="D2768" s="213">
        <v>0</v>
      </c>
      <c r="E2768" s="213">
        <v>0</v>
      </c>
      <c r="F2768" s="213">
        <v>0</v>
      </c>
      <c r="G2768" s="213">
        <v>0</v>
      </c>
      <c r="H2768" s="213">
        <v>0</v>
      </c>
      <c r="I2768" s="213">
        <v>0</v>
      </c>
      <c r="J2768" s="213">
        <v>0</v>
      </c>
    </row>
    <row r="2769" spans="1:10">
      <c r="A2769" s="211" t="s">
        <v>165</v>
      </c>
      <c r="B2769" s="211" t="s">
        <v>125</v>
      </c>
      <c r="C2769" s="212">
        <v>0.50486111111111098</v>
      </c>
      <c r="D2769" s="213">
        <v>0</v>
      </c>
      <c r="E2769" s="213">
        <v>0</v>
      </c>
      <c r="F2769" s="213">
        <v>0</v>
      </c>
      <c r="G2769" s="213">
        <v>0</v>
      </c>
      <c r="H2769" s="213">
        <v>0</v>
      </c>
      <c r="I2769" s="213">
        <v>0</v>
      </c>
      <c r="J2769" s="213">
        <v>0</v>
      </c>
    </row>
    <row r="2770" spans="1:10">
      <c r="A2770" s="211" t="s">
        <v>165</v>
      </c>
      <c r="B2770" s="211" t="s">
        <v>125</v>
      </c>
      <c r="C2770" s="212">
        <v>0.50555555555555598</v>
      </c>
      <c r="D2770" s="213">
        <v>0</v>
      </c>
      <c r="E2770" s="213">
        <v>0</v>
      </c>
      <c r="F2770" s="213">
        <v>0</v>
      </c>
      <c r="G2770" s="213">
        <v>0</v>
      </c>
      <c r="H2770" s="213">
        <v>0</v>
      </c>
      <c r="I2770" s="213">
        <v>0</v>
      </c>
      <c r="J2770" s="213">
        <v>0</v>
      </c>
    </row>
    <row r="2771" spans="1:10">
      <c r="A2771" s="211" t="s">
        <v>165</v>
      </c>
      <c r="B2771" s="211" t="s">
        <v>125</v>
      </c>
      <c r="C2771" s="212">
        <v>0.50624999999999998</v>
      </c>
      <c r="D2771" s="213">
        <v>0</v>
      </c>
      <c r="E2771" s="213">
        <v>0</v>
      </c>
      <c r="F2771" s="213">
        <v>0</v>
      </c>
      <c r="G2771" s="213">
        <v>0</v>
      </c>
      <c r="H2771" s="213">
        <v>0</v>
      </c>
      <c r="I2771" s="213">
        <v>0</v>
      </c>
      <c r="J2771" s="213">
        <v>0</v>
      </c>
    </row>
    <row r="2772" spans="1:10">
      <c r="A2772" s="211" t="s">
        <v>165</v>
      </c>
      <c r="B2772" s="211" t="s">
        <v>125</v>
      </c>
      <c r="C2772" s="212">
        <v>0.50694444444444398</v>
      </c>
      <c r="D2772" s="213">
        <v>0</v>
      </c>
      <c r="E2772" s="213">
        <v>0</v>
      </c>
      <c r="F2772" s="213">
        <v>0</v>
      </c>
      <c r="G2772" s="213">
        <v>0</v>
      </c>
      <c r="H2772" s="213">
        <v>0</v>
      </c>
      <c r="I2772" s="213">
        <v>0</v>
      </c>
      <c r="J2772" s="213">
        <v>0</v>
      </c>
    </row>
    <row r="2773" spans="1:10">
      <c r="A2773" s="211" t="s">
        <v>165</v>
      </c>
      <c r="B2773" s="211" t="s">
        <v>125</v>
      </c>
      <c r="C2773" s="212">
        <v>0.50763888888888897</v>
      </c>
      <c r="D2773" s="213">
        <v>0</v>
      </c>
      <c r="E2773" s="213">
        <v>0</v>
      </c>
      <c r="F2773" s="213">
        <v>0</v>
      </c>
      <c r="G2773" s="213">
        <v>0</v>
      </c>
      <c r="H2773" s="213">
        <v>0</v>
      </c>
      <c r="I2773" s="213">
        <v>0</v>
      </c>
      <c r="J2773" s="213">
        <v>0</v>
      </c>
    </row>
    <row r="2774" spans="1:10">
      <c r="A2774" s="211" t="s">
        <v>165</v>
      </c>
      <c r="B2774" s="211" t="s">
        <v>125</v>
      </c>
      <c r="C2774" s="212">
        <v>0.50833333333333297</v>
      </c>
      <c r="D2774" s="213">
        <v>0</v>
      </c>
      <c r="E2774" s="213">
        <v>0</v>
      </c>
      <c r="F2774" s="213">
        <v>0</v>
      </c>
      <c r="G2774" s="213">
        <v>0</v>
      </c>
      <c r="H2774" s="213">
        <v>0</v>
      </c>
      <c r="I2774" s="213">
        <v>0</v>
      </c>
      <c r="J2774" s="213">
        <v>0</v>
      </c>
    </row>
    <row r="2775" spans="1:10">
      <c r="A2775" s="211" t="s">
        <v>165</v>
      </c>
      <c r="B2775" s="211" t="s">
        <v>125</v>
      </c>
      <c r="C2775" s="212">
        <v>0.50902777777777797</v>
      </c>
      <c r="D2775" s="213">
        <v>0</v>
      </c>
      <c r="E2775" s="213">
        <v>0</v>
      </c>
      <c r="F2775" s="213">
        <v>0</v>
      </c>
      <c r="G2775" s="213">
        <v>0</v>
      </c>
      <c r="H2775" s="213">
        <v>0</v>
      </c>
      <c r="I2775" s="213">
        <v>0</v>
      </c>
      <c r="J2775" s="213">
        <v>0</v>
      </c>
    </row>
    <row r="2776" spans="1:10" s="80" customFormat="1">
      <c r="A2776" s="214" t="s">
        <v>165</v>
      </c>
      <c r="B2776" s="214" t="s">
        <v>125</v>
      </c>
      <c r="C2776" s="215">
        <v>0.50972222222222197</v>
      </c>
      <c r="D2776" s="213">
        <v>0</v>
      </c>
      <c r="E2776" s="213">
        <v>0</v>
      </c>
      <c r="F2776" s="213">
        <v>0</v>
      </c>
      <c r="G2776" s="213">
        <v>0</v>
      </c>
      <c r="H2776" s="213">
        <v>0</v>
      </c>
      <c r="I2776" s="213">
        <v>0</v>
      </c>
      <c r="J2776" s="213">
        <v>0</v>
      </c>
    </row>
    <row r="2777" spans="1:10">
      <c r="A2777" s="211" t="s">
        <v>165</v>
      </c>
      <c r="B2777" s="211" t="s">
        <v>125</v>
      </c>
      <c r="C2777" s="212">
        <v>0.51041666666666663</v>
      </c>
      <c r="D2777" s="217">
        <v>0</v>
      </c>
      <c r="E2777" s="217">
        <v>0</v>
      </c>
      <c r="F2777" s="217">
        <v>0</v>
      </c>
      <c r="G2777" s="217">
        <v>0</v>
      </c>
      <c r="H2777" s="217">
        <v>0</v>
      </c>
      <c r="I2777" s="217">
        <v>0</v>
      </c>
      <c r="J2777" s="217">
        <v>0</v>
      </c>
    </row>
    <row r="2778" spans="1:10">
      <c r="A2778" s="211" t="s">
        <v>165</v>
      </c>
      <c r="B2778" s="211" t="s">
        <v>125</v>
      </c>
      <c r="C2778" s="212">
        <v>0.51111111111111107</v>
      </c>
      <c r="D2778" s="213">
        <v>0</v>
      </c>
      <c r="E2778" s="213">
        <v>0</v>
      </c>
      <c r="F2778" s="213">
        <v>0</v>
      </c>
      <c r="G2778" s="213">
        <v>0</v>
      </c>
      <c r="H2778" s="213">
        <v>0</v>
      </c>
      <c r="I2778" s="213">
        <v>0</v>
      </c>
      <c r="J2778" s="213">
        <v>0</v>
      </c>
    </row>
    <row r="2779" spans="1:10">
      <c r="A2779" s="211" t="s">
        <v>165</v>
      </c>
      <c r="B2779" s="211" t="s">
        <v>125</v>
      </c>
      <c r="C2779" s="212">
        <v>0.51180555555555551</v>
      </c>
      <c r="D2779" s="213">
        <v>0</v>
      </c>
      <c r="E2779" s="213">
        <v>0</v>
      </c>
      <c r="F2779" s="213">
        <v>0</v>
      </c>
      <c r="G2779" s="213">
        <v>0</v>
      </c>
      <c r="H2779" s="213">
        <v>0</v>
      </c>
      <c r="I2779" s="213">
        <v>0</v>
      </c>
      <c r="J2779" s="213">
        <v>0</v>
      </c>
    </row>
    <row r="2780" spans="1:10">
      <c r="A2780" s="211" t="s">
        <v>165</v>
      </c>
      <c r="B2780" s="211" t="s">
        <v>125</v>
      </c>
      <c r="C2780" s="212">
        <v>0.51249999999999996</v>
      </c>
      <c r="D2780" s="213">
        <v>0</v>
      </c>
      <c r="E2780" s="213">
        <v>0</v>
      </c>
      <c r="F2780" s="213">
        <v>0</v>
      </c>
      <c r="G2780" s="213">
        <v>0</v>
      </c>
      <c r="H2780" s="213">
        <v>0</v>
      </c>
      <c r="I2780" s="213">
        <v>0</v>
      </c>
      <c r="J2780" s="213">
        <v>0</v>
      </c>
    </row>
    <row r="2781" spans="1:10">
      <c r="A2781" s="211" t="s">
        <v>165</v>
      </c>
      <c r="B2781" s="211" t="s">
        <v>125</v>
      </c>
      <c r="C2781" s="212">
        <v>0.5131944444444444</v>
      </c>
      <c r="D2781" s="213">
        <v>0</v>
      </c>
      <c r="E2781" s="213">
        <v>0</v>
      </c>
      <c r="F2781" s="213">
        <v>0</v>
      </c>
      <c r="G2781" s="213">
        <v>0</v>
      </c>
      <c r="H2781" s="213">
        <v>0</v>
      </c>
      <c r="I2781" s="213">
        <v>0</v>
      </c>
      <c r="J2781" s="213">
        <v>0</v>
      </c>
    </row>
    <row r="2782" spans="1:10">
      <c r="A2782" s="211" t="s">
        <v>165</v>
      </c>
      <c r="B2782" s="211" t="s">
        <v>125</v>
      </c>
      <c r="C2782" s="212">
        <v>0.51388888888888884</v>
      </c>
      <c r="D2782" s="213">
        <v>0</v>
      </c>
      <c r="E2782" s="213">
        <v>0</v>
      </c>
      <c r="F2782" s="213">
        <v>0</v>
      </c>
      <c r="G2782" s="213">
        <v>0</v>
      </c>
      <c r="H2782" s="213">
        <v>0</v>
      </c>
      <c r="I2782" s="213">
        <v>0</v>
      </c>
      <c r="J2782" s="213">
        <v>0</v>
      </c>
    </row>
    <row r="2783" spans="1:10">
      <c r="A2783" s="211" t="s">
        <v>165</v>
      </c>
      <c r="B2783" s="211" t="s">
        <v>125</v>
      </c>
      <c r="C2783" s="212">
        <v>0.51458333333333328</v>
      </c>
      <c r="D2783" s="213">
        <v>0</v>
      </c>
      <c r="E2783" s="213">
        <v>0</v>
      </c>
      <c r="F2783" s="213">
        <v>0</v>
      </c>
      <c r="G2783" s="213">
        <v>0</v>
      </c>
      <c r="H2783" s="213">
        <v>0</v>
      </c>
      <c r="I2783" s="213">
        <v>0</v>
      </c>
      <c r="J2783" s="213">
        <v>0</v>
      </c>
    </row>
    <row r="2784" spans="1:10">
      <c r="A2784" s="211" t="s">
        <v>165</v>
      </c>
      <c r="B2784" s="211" t="s">
        <v>125</v>
      </c>
      <c r="C2784" s="212">
        <v>0.51527777777777772</v>
      </c>
      <c r="D2784" s="213">
        <v>0</v>
      </c>
      <c r="E2784" s="213">
        <v>0</v>
      </c>
      <c r="F2784" s="213">
        <v>0</v>
      </c>
      <c r="G2784" s="213">
        <v>0</v>
      </c>
      <c r="H2784" s="213">
        <v>0</v>
      </c>
      <c r="I2784" s="213">
        <v>0</v>
      </c>
      <c r="J2784" s="213">
        <v>0</v>
      </c>
    </row>
    <row r="2785" spans="1:10">
      <c r="A2785" s="211" t="s">
        <v>165</v>
      </c>
      <c r="B2785" s="211" t="s">
        <v>125</v>
      </c>
      <c r="C2785" s="212">
        <v>0.51597222222222228</v>
      </c>
      <c r="D2785" s="213">
        <v>0</v>
      </c>
      <c r="E2785" s="213">
        <v>0</v>
      </c>
      <c r="F2785" s="213">
        <v>0</v>
      </c>
      <c r="G2785" s="213">
        <v>0</v>
      </c>
      <c r="H2785" s="213">
        <v>0</v>
      </c>
      <c r="I2785" s="213">
        <v>0</v>
      </c>
      <c r="J2785" s="213">
        <v>0</v>
      </c>
    </row>
    <row r="2786" spans="1:10">
      <c r="A2786" s="211" t="s">
        <v>165</v>
      </c>
      <c r="B2786" s="211" t="s">
        <v>125</v>
      </c>
      <c r="C2786" s="212">
        <v>0.51666666666666672</v>
      </c>
      <c r="D2786" s="213">
        <v>0</v>
      </c>
      <c r="E2786" s="213">
        <v>0</v>
      </c>
      <c r="F2786" s="213">
        <v>0</v>
      </c>
      <c r="G2786" s="213">
        <v>0</v>
      </c>
      <c r="H2786" s="213">
        <v>0</v>
      </c>
      <c r="I2786" s="213">
        <v>0</v>
      </c>
      <c r="J2786" s="213">
        <v>0</v>
      </c>
    </row>
    <row r="2787" spans="1:10">
      <c r="A2787" s="211" t="s">
        <v>165</v>
      </c>
      <c r="B2787" s="211" t="s">
        <v>125</v>
      </c>
      <c r="C2787" s="212">
        <v>0.51736111111111116</v>
      </c>
      <c r="D2787" s="213">
        <v>0</v>
      </c>
      <c r="E2787" s="213">
        <v>0</v>
      </c>
      <c r="F2787" s="213">
        <v>0</v>
      </c>
      <c r="G2787" s="213">
        <v>0</v>
      </c>
      <c r="H2787" s="213">
        <v>0</v>
      </c>
      <c r="I2787" s="213">
        <v>0</v>
      </c>
      <c r="J2787" s="213">
        <v>0</v>
      </c>
    </row>
    <row r="2788" spans="1:10">
      <c r="A2788" s="211" t="s">
        <v>165</v>
      </c>
      <c r="B2788" s="211" t="s">
        <v>125</v>
      </c>
      <c r="C2788" s="212">
        <v>0.5180555555555556</v>
      </c>
      <c r="D2788" s="213">
        <v>0</v>
      </c>
      <c r="E2788" s="213">
        <v>0</v>
      </c>
      <c r="F2788" s="213">
        <v>0</v>
      </c>
      <c r="G2788" s="213">
        <v>0</v>
      </c>
      <c r="H2788" s="213">
        <v>0</v>
      </c>
      <c r="I2788" s="213">
        <v>0</v>
      </c>
      <c r="J2788" s="213">
        <v>0</v>
      </c>
    </row>
    <row r="2789" spans="1:10">
      <c r="A2789" s="211" t="s">
        <v>165</v>
      </c>
      <c r="B2789" s="211" t="s">
        <v>125</v>
      </c>
      <c r="C2789" s="212">
        <v>0.51875000000000004</v>
      </c>
      <c r="D2789" s="213">
        <v>0</v>
      </c>
      <c r="E2789" s="213">
        <v>0</v>
      </c>
      <c r="F2789" s="213">
        <v>0</v>
      </c>
      <c r="G2789" s="213">
        <v>0</v>
      </c>
      <c r="H2789" s="213">
        <v>0</v>
      </c>
      <c r="I2789" s="213">
        <v>0</v>
      </c>
      <c r="J2789" s="213">
        <v>0</v>
      </c>
    </row>
    <row r="2790" spans="1:10">
      <c r="A2790" s="211" t="s">
        <v>165</v>
      </c>
      <c r="B2790" s="211" t="s">
        <v>125</v>
      </c>
      <c r="C2790" s="212">
        <v>0.51944444444444449</v>
      </c>
      <c r="D2790" s="213">
        <v>0</v>
      </c>
      <c r="E2790" s="213">
        <v>0</v>
      </c>
      <c r="F2790" s="213">
        <v>0</v>
      </c>
      <c r="G2790" s="213">
        <v>0</v>
      </c>
      <c r="H2790" s="213">
        <v>0</v>
      </c>
      <c r="I2790" s="213">
        <v>0</v>
      </c>
      <c r="J2790" s="213">
        <v>0</v>
      </c>
    </row>
    <row r="2791" spans="1:10" s="80" customFormat="1">
      <c r="A2791" s="214" t="s">
        <v>165</v>
      </c>
      <c r="B2791" s="214" t="s">
        <v>125</v>
      </c>
      <c r="C2791" s="215">
        <v>0.52013888888888893</v>
      </c>
      <c r="D2791" s="216">
        <v>0</v>
      </c>
      <c r="E2791" s="216">
        <v>0</v>
      </c>
      <c r="F2791" s="216">
        <v>0</v>
      </c>
      <c r="G2791" s="216">
        <v>0</v>
      </c>
      <c r="H2791" s="216">
        <v>0</v>
      </c>
      <c r="I2791" s="216">
        <v>0</v>
      </c>
      <c r="J2791" s="216">
        <v>0</v>
      </c>
    </row>
    <row r="2792" spans="1:10">
      <c r="A2792" s="211" t="s">
        <v>165</v>
      </c>
      <c r="B2792" s="211" t="s">
        <v>125</v>
      </c>
      <c r="C2792" s="212">
        <v>0.52083333333333337</v>
      </c>
      <c r="D2792" s="213">
        <v>0</v>
      </c>
      <c r="E2792" s="213">
        <v>0</v>
      </c>
      <c r="F2792" s="213">
        <v>0</v>
      </c>
      <c r="G2792" s="213">
        <v>0</v>
      </c>
      <c r="H2792" s="213">
        <v>0</v>
      </c>
      <c r="I2792" s="213">
        <v>0</v>
      </c>
      <c r="J2792" s="213">
        <v>0</v>
      </c>
    </row>
    <row r="2793" spans="1:10">
      <c r="A2793" s="211" t="s">
        <v>165</v>
      </c>
      <c r="B2793" s="211" t="s">
        <v>125</v>
      </c>
      <c r="C2793" s="212">
        <v>0.52152777777777781</v>
      </c>
      <c r="D2793" s="213">
        <v>0</v>
      </c>
      <c r="E2793" s="213">
        <v>0</v>
      </c>
      <c r="F2793" s="213">
        <v>0</v>
      </c>
      <c r="G2793" s="213">
        <v>0</v>
      </c>
      <c r="H2793" s="213">
        <v>0</v>
      </c>
      <c r="I2793" s="213">
        <v>0</v>
      </c>
      <c r="J2793" s="213">
        <v>0</v>
      </c>
    </row>
    <row r="2794" spans="1:10">
      <c r="A2794" s="211" t="s">
        <v>165</v>
      </c>
      <c r="B2794" s="211" t="s">
        <v>125</v>
      </c>
      <c r="C2794" s="212">
        <v>0.52222222222222225</v>
      </c>
      <c r="D2794" s="213">
        <v>0</v>
      </c>
      <c r="E2794" s="213">
        <v>0</v>
      </c>
      <c r="F2794" s="213">
        <v>0</v>
      </c>
      <c r="G2794" s="213">
        <v>0</v>
      </c>
      <c r="H2794" s="213">
        <v>0</v>
      </c>
      <c r="I2794" s="213">
        <v>0</v>
      </c>
      <c r="J2794" s="213">
        <v>0</v>
      </c>
    </row>
    <row r="2795" spans="1:10">
      <c r="A2795" s="211" t="s">
        <v>165</v>
      </c>
      <c r="B2795" s="211" t="s">
        <v>125</v>
      </c>
      <c r="C2795" s="212">
        <v>0.5229166666666667</v>
      </c>
      <c r="D2795" s="213">
        <v>0</v>
      </c>
      <c r="E2795" s="213">
        <v>0</v>
      </c>
      <c r="F2795" s="213">
        <v>0</v>
      </c>
      <c r="G2795" s="213">
        <v>0</v>
      </c>
      <c r="H2795" s="213">
        <v>0</v>
      </c>
      <c r="I2795" s="213">
        <v>0</v>
      </c>
      <c r="J2795" s="213">
        <v>0</v>
      </c>
    </row>
    <row r="2796" spans="1:10">
      <c r="A2796" s="211" t="s">
        <v>165</v>
      </c>
      <c r="B2796" s="211" t="s">
        <v>125</v>
      </c>
      <c r="C2796" s="212">
        <v>0.52361111111111114</v>
      </c>
      <c r="D2796" s="213">
        <v>0</v>
      </c>
      <c r="E2796" s="213">
        <v>0</v>
      </c>
      <c r="F2796" s="213">
        <v>0</v>
      </c>
      <c r="G2796" s="213">
        <v>0</v>
      </c>
      <c r="H2796" s="213">
        <v>0</v>
      </c>
      <c r="I2796" s="213">
        <v>0</v>
      </c>
      <c r="J2796" s="213">
        <v>0</v>
      </c>
    </row>
    <row r="2797" spans="1:10">
      <c r="A2797" s="211" t="s">
        <v>165</v>
      </c>
      <c r="B2797" s="211" t="s">
        <v>125</v>
      </c>
      <c r="C2797" s="212">
        <v>0.52430555555555558</v>
      </c>
      <c r="D2797" s="213">
        <v>0</v>
      </c>
      <c r="E2797" s="213">
        <v>0</v>
      </c>
      <c r="F2797" s="213">
        <v>0</v>
      </c>
      <c r="G2797" s="213">
        <v>0</v>
      </c>
      <c r="H2797" s="213">
        <v>0</v>
      </c>
      <c r="I2797" s="213">
        <v>0</v>
      </c>
      <c r="J2797" s="213">
        <v>0</v>
      </c>
    </row>
    <row r="2798" spans="1:10">
      <c r="A2798" s="211" t="s">
        <v>165</v>
      </c>
      <c r="B2798" s="211" t="s">
        <v>125</v>
      </c>
      <c r="C2798" s="212">
        <v>0.52500000000000002</v>
      </c>
      <c r="D2798" s="213">
        <v>0</v>
      </c>
      <c r="E2798" s="213">
        <v>0</v>
      </c>
      <c r="F2798" s="213">
        <v>0</v>
      </c>
      <c r="G2798" s="213">
        <v>0</v>
      </c>
      <c r="H2798" s="213">
        <v>0</v>
      </c>
      <c r="I2798" s="213">
        <v>0</v>
      </c>
      <c r="J2798" s="213">
        <v>0</v>
      </c>
    </row>
    <row r="2799" spans="1:10">
      <c r="A2799" s="211" t="s">
        <v>165</v>
      </c>
      <c r="B2799" s="211" t="s">
        <v>125</v>
      </c>
      <c r="C2799" s="212">
        <v>0.52569444444444446</v>
      </c>
      <c r="D2799" s="213">
        <v>0</v>
      </c>
      <c r="E2799" s="213">
        <v>0</v>
      </c>
      <c r="F2799" s="213">
        <v>0</v>
      </c>
      <c r="G2799" s="213">
        <v>0</v>
      </c>
      <c r="H2799" s="213">
        <v>0</v>
      </c>
      <c r="I2799" s="213">
        <v>0</v>
      </c>
      <c r="J2799" s="213">
        <v>0</v>
      </c>
    </row>
    <row r="2800" spans="1:10">
      <c r="A2800" s="211" t="s">
        <v>165</v>
      </c>
      <c r="B2800" s="211" t="s">
        <v>125</v>
      </c>
      <c r="C2800" s="212">
        <v>0.52638888888888891</v>
      </c>
      <c r="D2800" s="213">
        <v>0</v>
      </c>
      <c r="E2800" s="213">
        <v>0</v>
      </c>
      <c r="F2800" s="213">
        <v>0</v>
      </c>
      <c r="G2800" s="213">
        <v>0</v>
      </c>
      <c r="H2800" s="213">
        <v>0</v>
      </c>
      <c r="I2800" s="213">
        <v>0</v>
      </c>
      <c r="J2800" s="213">
        <v>0</v>
      </c>
    </row>
    <row r="2801" spans="1:10">
      <c r="A2801" s="211" t="s">
        <v>165</v>
      </c>
      <c r="B2801" s="211" t="s">
        <v>125</v>
      </c>
      <c r="C2801" s="212">
        <v>0.52708333333333335</v>
      </c>
      <c r="D2801" s="213">
        <v>0</v>
      </c>
      <c r="E2801" s="213">
        <v>0</v>
      </c>
      <c r="F2801" s="213">
        <v>0</v>
      </c>
      <c r="G2801" s="213">
        <v>0</v>
      </c>
      <c r="H2801" s="213">
        <v>0</v>
      </c>
      <c r="I2801" s="213">
        <v>0</v>
      </c>
      <c r="J2801" s="213">
        <v>0</v>
      </c>
    </row>
    <row r="2802" spans="1:10">
      <c r="A2802" s="211" t="s">
        <v>165</v>
      </c>
      <c r="B2802" s="211" t="s">
        <v>125</v>
      </c>
      <c r="C2802" s="212">
        <v>0.52777777777777779</v>
      </c>
      <c r="D2802" s="213">
        <v>0</v>
      </c>
      <c r="E2802" s="213">
        <v>0</v>
      </c>
      <c r="F2802" s="213">
        <v>0</v>
      </c>
      <c r="G2802" s="213">
        <v>0</v>
      </c>
      <c r="H2802" s="213">
        <v>0</v>
      </c>
      <c r="I2802" s="213">
        <v>0</v>
      </c>
      <c r="J2802" s="213">
        <v>0</v>
      </c>
    </row>
    <row r="2803" spans="1:10">
      <c r="A2803" s="211" t="s">
        <v>165</v>
      </c>
      <c r="B2803" s="211" t="s">
        <v>125</v>
      </c>
      <c r="C2803" s="212">
        <v>0.52847222222222223</v>
      </c>
      <c r="D2803" s="213">
        <v>0</v>
      </c>
      <c r="E2803" s="213">
        <v>0</v>
      </c>
      <c r="F2803" s="213">
        <v>0</v>
      </c>
      <c r="G2803" s="213">
        <v>0</v>
      </c>
      <c r="H2803" s="213">
        <v>0</v>
      </c>
      <c r="I2803" s="213">
        <v>0</v>
      </c>
      <c r="J2803" s="213">
        <v>0</v>
      </c>
    </row>
    <row r="2804" spans="1:10">
      <c r="A2804" s="211" t="s">
        <v>165</v>
      </c>
      <c r="B2804" s="211" t="s">
        <v>125</v>
      </c>
      <c r="C2804" s="212">
        <v>0.52916666666666667</v>
      </c>
      <c r="D2804" s="213">
        <v>0</v>
      </c>
      <c r="E2804" s="213">
        <v>0</v>
      </c>
      <c r="F2804" s="213">
        <v>0</v>
      </c>
      <c r="G2804" s="213">
        <v>0</v>
      </c>
      <c r="H2804" s="213">
        <v>0</v>
      </c>
      <c r="I2804" s="213">
        <v>0</v>
      </c>
      <c r="J2804" s="213">
        <v>0</v>
      </c>
    </row>
    <row r="2805" spans="1:10">
      <c r="A2805" s="211" t="s">
        <v>165</v>
      </c>
      <c r="B2805" s="211" t="s">
        <v>125</v>
      </c>
      <c r="C2805" s="212">
        <v>0.52986111111111112</v>
      </c>
      <c r="D2805" s="213">
        <v>0</v>
      </c>
      <c r="E2805" s="213">
        <v>0</v>
      </c>
      <c r="F2805" s="213">
        <v>0</v>
      </c>
      <c r="G2805" s="213">
        <v>0</v>
      </c>
      <c r="H2805" s="213">
        <v>0</v>
      </c>
      <c r="I2805" s="213">
        <v>0</v>
      </c>
      <c r="J2805" s="213">
        <v>0</v>
      </c>
    </row>
    <row r="2806" spans="1:10" s="80" customFormat="1">
      <c r="A2806" s="214" t="s">
        <v>165</v>
      </c>
      <c r="B2806" s="214" t="s">
        <v>125</v>
      </c>
      <c r="C2806" s="215">
        <v>0.53055555555555556</v>
      </c>
      <c r="D2806" s="213">
        <v>0</v>
      </c>
      <c r="E2806" s="213">
        <v>0</v>
      </c>
      <c r="F2806" s="213">
        <v>0</v>
      </c>
      <c r="G2806" s="213">
        <v>0</v>
      </c>
      <c r="H2806" s="213">
        <v>0</v>
      </c>
      <c r="I2806" s="213">
        <v>0</v>
      </c>
      <c r="J2806" s="213">
        <v>0</v>
      </c>
    </row>
    <row r="2807" spans="1:10">
      <c r="A2807" s="211" t="s">
        <v>165</v>
      </c>
      <c r="B2807" s="211" t="s">
        <v>125</v>
      </c>
      <c r="C2807" s="212">
        <v>0.53125</v>
      </c>
      <c r="D2807" s="217">
        <v>0</v>
      </c>
      <c r="E2807" s="217">
        <v>0</v>
      </c>
      <c r="F2807" s="217">
        <v>0</v>
      </c>
      <c r="G2807" s="217">
        <v>0</v>
      </c>
      <c r="H2807" s="217">
        <v>0</v>
      </c>
      <c r="I2807" s="217">
        <v>0</v>
      </c>
      <c r="J2807" s="217">
        <v>0</v>
      </c>
    </row>
    <row r="2808" spans="1:10">
      <c r="A2808" s="211" t="s">
        <v>165</v>
      </c>
      <c r="B2808" s="211" t="s">
        <v>125</v>
      </c>
      <c r="C2808" s="212">
        <v>0.53194444444444444</v>
      </c>
      <c r="D2808" s="213">
        <v>0</v>
      </c>
      <c r="E2808" s="213">
        <v>0</v>
      </c>
      <c r="F2808" s="213">
        <v>0</v>
      </c>
      <c r="G2808" s="213">
        <v>0</v>
      </c>
      <c r="H2808" s="213">
        <v>0</v>
      </c>
      <c r="I2808" s="213">
        <v>0</v>
      </c>
      <c r="J2808" s="213">
        <v>0</v>
      </c>
    </row>
    <row r="2809" spans="1:10">
      <c r="A2809" s="211" t="s">
        <v>165</v>
      </c>
      <c r="B2809" s="211" t="s">
        <v>125</v>
      </c>
      <c r="C2809" s="212">
        <v>0.53263888888888888</v>
      </c>
      <c r="D2809" s="213">
        <v>0</v>
      </c>
      <c r="E2809" s="213">
        <v>0</v>
      </c>
      <c r="F2809" s="213">
        <v>0</v>
      </c>
      <c r="G2809" s="213">
        <v>0</v>
      </c>
      <c r="H2809" s="213">
        <v>0</v>
      </c>
      <c r="I2809" s="213">
        <v>0</v>
      </c>
      <c r="J2809" s="213">
        <v>0</v>
      </c>
    </row>
    <row r="2810" spans="1:10">
      <c r="A2810" s="211" t="s">
        <v>165</v>
      </c>
      <c r="B2810" s="211" t="s">
        <v>125</v>
      </c>
      <c r="C2810" s="212">
        <v>0.53333333333333333</v>
      </c>
      <c r="D2810" s="213">
        <v>0</v>
      </c>
      <c r="E2810" s="213">
        <v>0</v>
      </c>
      <c r="F2810" s="213">
        <v>0</v>
      </c>
      <c r="G2810" s="213">
        <v>0</v>
      </c>
      <c r="H2810" s="213">
        <v>0</v>
      </c>
      <c r="I2810" s="213">
        <v>0</v>
      </c>
      <c r="J2810" s="213">
        <v>0</v>
      </c>
    </row>
    <row r="2811" spans="1:10">
      <c r="A2811" s="211" t="s">
        <v>165</v>
      </c>
      <c r="B2811" s="211" t="s">
        <v>125</v>
      </c>
      <c r="C2811" s="212">
        <v>0.53402777777777777</v>
      </c>
      <c r="D2811" s="213">
        <v>0</v>
      </c>
      <c r="E2811" s="213">
        <v>0</v>
      </c>
      <c r="F2811" s="213">
        <v>0</v>
      </c>
      <c r="G2811" s="213">
        <v>0</v>
      </c>
      <c r="H2811" s="213">
        <v>0</v>
      </c>
      <c r="I2811" s="213">
        <v>0</v>
      </c>
      <c r="J2811" s="213">
        <v>0</v>
      </c>
    </row>
    <row r="2812" spans="1:10">
      <c r="A2812" s="211" t="s">
        <v>165</v>
      </c>
      <c r="B2812" s="211" t="s">
        <v>125</v>
      </c>
      <c r="C2812" s="212">
        <v>0.53472222222222221</v>
      </c>
      <c r="D2812" s="213">
        <v>0</v>
      </c>
      <c r="E2812" s="213">
        <v>0</v>
      </c>
      <c r="F2812" s="213">
        <v>0</v>
      </c>
      <c r="G2812" s="213">
        <v>0</v>
      </c>
      <c r="H2812" s="213">
        <v>0</v>
      </c>
      <c r="I2812" s="213">
        <v>0</v>
      </c>
      <c r="J2812" s="213">
        <v>0</v>
      </c>
    </row>
    <row r="2813" spans="1:10">
      <c r="A2813" s="211" t="s">
        <v>165</v>
      </c>
      <c r="B2813" s="211" t="s">
        <v>125</v>
      </c>
      <c r="C2813" s="212">
        <v>0.53541666666666665</v>
      </c>
      <c r="D2813" s="213">
        <v>0</v>
      </c>
      <c r="E2813" s="213">
        <v>0</v>
      </c>
      <c r="F2813" s="213">
        <v>0</v>
      </c>
      <c r="G2813" s="213">
        <v>0</v>
      </c>
      <c r="H2813" s="213">
        <v>0</v>
      </c>
      <c r="I2813" s="213">
        <v>0</v>
      </c>
      <c r="J2813" s="213">
        <v>0</v>
      </c>
    </row>
    <row r="2814" spans="1:10">
      <c r="A2814" s="211" t="s">
        <v>165</v>
      </c>
      <c r="B2814" s="211" t="s">
        <v>125</v>
      </c>
      <c r="C2814" s="212">
        <v>0.53611111111111109</v>
      </c>
      <c r="D2814" s="213">
        <v>0</v>
      </c>
      <c r="E2814" s="213">
        <v>0</v>
      </c>
      <c r="F2814" s="213">
        <v>0</v>
      </c>
      <c r="G2814" s="213">
        <v>0</v>
      </c>
      <c r="H2814" s="213">
        <v>0</v>
      </c>
      <c r="I2814" s="213">
        <v>0</v>
      </c>
      <c r="J2814" s="213">
        <v>0</v>
      </c>
    </row>
    <row r="2815" spans="1:10">
      <c r="A2815" s="211" t="s">
        <v>165</v>
      </c>
      <c r="B2815" s="211" t="s">
        <v>125</v>
      </c>
      <c r="C2815" s="212">
        <v>0.53680555555555554</v>
      </c>
      <c r="D2815" s="213">
        <v>0</v>
      </c>
      <c r="E2815" s="213">
        <v>0</v>
      </c>
      <c r="F2815" s="213">
        <v>0</v>
      </c>
      <c r="G2815" s="213">
        <v>0</v>
      </c>
      <c r="H2815" s="213">
        <v>0</v>
      </c>
      <c r="I2815" s="213">
        <v>0</v>
      </c>
      <c r="J2815" s="213">
        <v>0</v>
      </c>
    </row>
    <row r="2816" spans="1:10">
      <c r="A2816" s="211" t="s">
        <v>165</v>
      </c>
      <c r="B2816" s="211" t="s">
        <v>125</v>
      </c>
      <c r="C2816" s="212">
        <v>0.53749999999999998</v>
      </c>
      <c r="D2816" s="213">
        <v>0</v>
      </c>
      <c r="E2816" s="213">
        <v>0</v>
      </c>
      <c r="F2816" s="213">
        <v>0</v>
      </c>
      <c r="G2816" s="213">
        <v>0</v>
      </c>
      <c r="H2816" s="213">
        <v>0</v>
      </c>
      <c r="I2816" s="213">
        <v>0</v>
      </c>
      <c r="J2816" s="213">
        <v>0</v>
      </c>
    </row>
    <row r="2817" spans="1:10">
      <c r="A2817" s="211" t="s">
        <v>165</v>
      </c>
      <c r="B2817" s="211" t="s">
        <v>125</v>
      </c>
      <c r="C2817" s="212">
        <v>0.53819444444444442</v>
      </c>
      <c r="D2817" s="213">
        <v>0</v>
      </c>
      <c r="E2817" s="213">
        <v>0</v>
      </c>
      <c r="F2817" s="213">
        <v>0</v>
      </c>
      <c r="G2817" s="213">
        <v>0</v>
      </c>
      <c r="H2817" s="213">
        <v>0</v>
      </c>
      <c r="I2817" s="213">
        <v>0</v>
      </c>
      <c r="J2817" s="213">
        <v>0</v>
      </c>
    </row>
    <row r="2818" spans="1:10">
      <c r="A2818" s="211" t="s">
        <v>165</v>
      </c>
      <c r="B2818" s="211" t="s">
        <v>125</v>
      </c>
      <c r="C2818" s="212">
        <v>0.53888888888888886</v>
      </c>
      <c r="D2818" s="213">
        <v>0</v>
      </c>
      <c r="E2818" s="213">
        <v>0</v>
      </c>
      <c r="F2818" s="213">
        <v>0</v>
      </c>
      <c r="G2818" s="213">
        <v>0</v>
      </c>
      <c r="H2818" s="213">
        <v>0</v>
      </c>
      <c r="I2818" s="213">
        <v>0</v>
      </c>
      <c r="J2818" s="213">
        <v>0</v>
      </c>
    </row>
    <row r="2819" spans="1:10">
      <c r="A2819" s="211" t="s">
        <v>165</v>
      </c>
      <c r="B2819" s="211" t="s">
        <v>125</v>
      </c>
      <c r="C2819" s="212">
        <v>0.5395833333333333</v>
      </c>
      <c r="D2819" s="213">
        <v>0</v>
      </c>
      <c r="E2819" s="213">
        <v>0</v>
      </c>
      <c r="F2819" s="213">
        <v>0</v>
      </c>
      <c r="G2819" s="213">
        <v>0</v>
      </c>
      <c r="H2819" s="213">
        <v>0</v>
      </c>
      <c r="I2819" s="213">
        <v>0</v>
      </c>
      <c r="J2819" s="213">
        <v>0</v>
      </c>
    </row>
    <row r="2820" spans="1:10">
      <c r="A2820" s="211" t="s">
        <v>165</v>
      </c>
      <c r="B2820" s="211" t="s">
        <v>125</v>
      </c>
      <c r="C2820" s="212">
        <v>0.54027777777777775</v>
      </c>
      <c r="D2820" s="213">
        <v>0</v>
      </c>
      <c r="E2820" s="213">
        <v>0</v>
      </c>
      <c r="F2820" s="213">
        <v>0</v>
      </c>
      <c r="G2820" s="213">
        <v>0</v>
      </c>
      <c r="H2820" s="213">
        <v>0</v>
      </c>
      <c r="I2820" s="213">
        <v>0</v>
      </c>
      <c r="J2820" s="213">
        <v>0</v>
      </c>
    </row>
    <row r="2821" spans="1:10" s="80" customFormat="1">
      <c r="A2821" s="214" t="s">
        <v>165</v>
      </c>
      <c r="B2821" s="214" t="s">
        <v>125</v>
      </c>
      <c r="C2821" s="215">
        <v>0.54097222222222219</v>
      </c>
      <c r="D2821" s="216">
        <v>0</v>
      </c>
      <c r="E2821" s="216">
        <v>0</v>
      </c>
      <c r="F2821" s="216">
        <v>0</v>
      </c>
      <c r="G2821" s="216">
        <v>0</v>
      </c>
      <c r="H2821" s="216">
        <v>0</v>
      </c>
      <c r="I2821" s="216">
        <v>0</v>
      </c>
      <c r="J2821" s="216">
        <v>0</v>
      </c>
    </row>
    <row r="2822" spans="1:10">
      <c r="A2822" s="211" t="s">
        <v>165</v>
      </c>
      <c r="B2822" s="211" t="s">
        <v>125</v>
      </c>
      <c r="C2822" s="212">
        <v>0.54166666666666663</v>
      </c>
      <c r="D2822" s="213">
        <v>0</v>
      </c>
      <c r="E2822" s="213">
        <v>0</v>
      </c>
      <c r="F2822" s="213">
        <v>0</v>
      </c>
      <c r="G2822" s="213">
        <v>0</v>
      </c>
      <c r="H2822" s="213">
        <v>0</v>
      </c>
      <c r="I2822" s="213">
        <v>0</v>
      </c>
      <c r="J2822" s="213">
        <v>0</v>
      </c>
    </row>
    <row r="2823" spans="1:10">
      <c r="A2823" s="211" t="s">
        <v>165</v>
      </c>
      <c r="B2823" s="211" t="s">
        <v>125</v>
      </c>
      <c r="C2823" s="212">
        <v>0.54236111111111107</v>
      </c>
      <c r="D2823" s="213">
        <v>0</v>
      </c>
      <c r="E2823" s="213">
        <v>0</v>
      </c>
      <c r="F2823" s="213">
        <v>0</v>
      </c>
      <c r="G2823" s="213">
        <v>0</v>
      </c>
      <c r="H2823" s="213">
        <v>0</v>
      </c>
      <c r="I2823" s="213">
        <v>0</v>
      </c>
      <c r="J2823" s="213">
        <v>0</v>
      </c>
    </row>
    <row r="2824" spans="1:10">
      <c r="A2824" s="211" t="s">
        <v>165</v>
      </c>
      <c r="B2824" s="211" t="s">
        <v>125</v>
      </c>
      <c r="C2824" s="212">
        <v>0.54305555555555551</v>
      </c>
      <c r="D2824" s="213">
        <v>0</v>
      </c>
      <c r="E2824" s="213">
        <v>0</v>
      </c>
      <c r="F2824" s="213">
        <v>0</v>
      </c>
      <c r="G2824" s="213">
        <v>0</v>
      </c>
      <c r="H2824" s="213">
        <v>0</v>
      </c>
      <c r="I2824" s="213">
        <v>0</v>
      </c>
      <c r="J2824" s="213">
        <v>0</v>
      </c>
    </row>
    <row r="2825" spans="1:10">
      <c r="A2825" s="211" t="s">
        <v>165</v>
      </c>
      <c r="B2825" s="211" t="s">
        <v>125</v>
      </c>
      <c r="C2825" s="212">
        <v>0.54374999999999996</v>
      </c>
      <c r="D2825" s="213">
        <v>0</v>
      </c>
      <c r="E2825" s="213">
        <v>0</v>
      </c>
      <c r="F2825" s="213">
        <v>0</v>
      </c>
      <c r="G2825" s="213">
        <v>0</v>
      </c>
      <c r="H2825" s="213">
        <v>0</v>
      </c>
      <c r="I2825" s="213">
        <v>0</v>
      </c>
      <c r="J2825" s="213">
        <v>0</v>
      </c>
    </row>
    <row r="2826" spans="1:10">
      <c r="A2826" s="211" t="s">
        <v>165</v>
      </c>
      <c r="B2826" s="211" t="s">
        <v>125</v>
      </c>
      <c r="C2826" s="212">
        <v>0.5444444444444444</v>
      </c>
      <c r="D2826" s="213">
        <v>0</v>
      </c>
      <c r="E2826" s="213">
        <v>0</v>
      </c>
      <c r="F2826" s="213">
        <v>0</v>
      </c>
      <c r="G2826" s="213">
        <v>0</v>
      </c>
      <c r="H2826" s="213">
        <v>0</v>
      </c>
      <c r="I2826" s="213">
        <v>0</v>
      </c>
      <c r="J2826" s="213">
        <v>0</v>
      </c>
    </row>
    <row r="2827" spans="1:10">
      <c r="A2827" s="211" t="s">
        <v>165</v>
      </c>
      <c r="B2827" s="211" t="s">
        <v>125</v>
      </c>
      <c r="C2827" s="212">
        <v>0.54513888888888884</v>
      </c>
      <c r="D2827" s="213">
        <v>0</v>
      </c>
      <c r="E2827" s="213">
        <v>0</v>
      </c>
      <c r="F2827" s="213">
        <v>0</v>
      </c>
      <c r="G2827" s="213">
        <v>0</v>
      </c>
      <c r="H2827" s="213">
        <v>0</v>
      </c>
      <c r="I2827" s="213">
        <v>0</v>
      </c>
      <c r="J2827" s="213">
        <v>0</v>
      </c>
    </row>
    <row r="2828" spans="1:10">
      <c r="A2828" s="211" t="s">
        <v>165</v>
      </c>
      <c r="B2828" s="211" t="s">
        <v>125</v>
      </c>
      <c r="C2828" s="212">
        <v>0.54583333333333328</v>
      </c>
      <c r="D2828" s="213">
        <v>0</v>
      </c>
      <c r="E2828" s="213">
        <v>0</v>
      </c>
      <c r="F2828" s="213">
        <v>0</v>
      </c>
      <c r="G2828" s="213">
        <v>0</v>
      </c>
      <c r="H2828" s="213">
        <v>0</v>
      </c>
      <c r="I2828" s="213">
        <v>0</v>
      </c>
      <c r="J2828" s="213">
        <v>0</v>
      </c>
    </row>
    <row r="2829" spans="1:10">
      <c r="A2829" s="211" t="s">
        <v>165</v>
      </c>
      <c r="B2829" s="211" t="s">
        <v>125</v>
      </c>
      <c r="C2829" s="212">
        <v>0.54652777777777772</v>
      </c>
      <c r="D2829" s="213">
        <v>0</v>
      </c>
      <c r="E2829" s="213">
        <v>0</v>
      </c>
      <c r="F2829" s="213">
        <v>0</v>
      </c>
      <c r="G2829" s="213">
        <v>0</v>
      </c>
      <c r="H2829" s="213">
        <v>0</v>
      </c>
      <c r="I2829" s="213">
        <v>0</v>
      </c>
      <c r="J2829" s="213">
        <v>0</v>
      </c>
    </row>
    <row r="2830" spans="1:10">
      <c r="A2830" s="211" t="s">
        <v>165</v>
      </c>
      <c r="B2830" s="211" t="s">
        <v>125</v>
      </c>
      <c r="C2830" s="212">
        <v>0.54722222222222228</v>
      </c>
      <c r="D2830" s="213">
        <v>0</v>
      </c>
      <c r="E2830" s="213">
        <v>0</v>
      </c>
      <c r="F2830" s="213">
        <v>0</v>
      </c>
      <c r="G2830" s="213">
        <v>0</v>
      </c>
      <c r="H2830" s="213">
        <v>0</v>
      </c>
      <c r="I2830" s="213">
        <v>0</v>
      </c>
      <c r="J2830" s="213">
        <v>0</v>
      </c>
    </row>
    <row r="2831" spans="1:10">
      <c r="A2831" s="211" t="s">
        <v>165</v>
      </c>
      <c r="B2831" s="211" t="s">
        <v>125</v>
      </c>
      <c r="C2831" s="212">
        <v>0.54791666666666672</v>
      </c>
      <c r="D2831" s="213">
        <v>0</v>
      </c>
      <c r="E2831" s="213">
        <v>0</v>
      </c>
      <c r="F2831" s="213">
        <v>0</v>
      </c>
      <c r="G2831" s="213">
        <v>0</v>
      </c>
      <c r="H2831" s="213">
        <v>0</v>
      </c>
      <c r="I2831" s="213">
        <v>0</v>
      </c>
      <c r="J2831" s="213">
        <v>0</v>
      </c>
    </row>
    <row r="2832" spans="1:10">
      <c r="A2832" s="211" t="s">
        <v>165</v>
      </c>
      <c r="B2832" s="211" t="s">
        <v>125</v>
      </c>
      <c r="C2832" s="212">
        <v>0.54861111111111116</v>
      </c>
      <c r="D2832" s="213">
        <v>0</v>
      </c>
      <c r="E2832" s="213">
        <v>0</v>
      </c>
      <c r="F2832" s="213">
        <v>0</v>
      </c>
      <c r="G2832" s="213">
        <v>0</v>
      </c>
      <c r="H2832" s="213">
        <v>0</v>
      </c>
      <c r="I2832" s="213">
        <v>0</v>
      </c>
      <c r="J2832" s="213">
        <v>0</v>
      </c>
    </row>
    <row r="2833" spans="1:10">
      <c r="A2833" s="211" t="s">
        <v>165</v>
      </c>
      <c r="B2833" s="211" t="s">
        <v>125</v>
      </c>
      <c r="C2833" s="212">
        <v>0.5493055555555556</v>
      </c>
      <c r="D2833" s="213">
        <v>0</v>
      </c>
      <c r="E2833" s="213">
        <v>0</v>
      </c>
      <c r="F2833" s="213">
        <v>0</v>
      </c>
      <c r="G2833" s="213">
        <v>0</v>
      </c>
      <c r="H2833" s="213">
        <v>0</v>
      </c>
      <c r="I2833" s="213">
        <v>0</v>
      </c>
      <c r="J2833" s="213">
        <v>0</v>
      </c>
    </row>
    <row r="2834" spans="1:10">
      <c r="A2834" s="211" t="s">
        <v>165</v>
      </c>
      <c r="B2834" s="211" t="s">
        <v>125</v>
      </c>
      <c r="C2834" s="212">
        <v>0.54236111111111107</v>
      </c>
      <c r="D2834" s="213">
        <v>0</v>
      </c>
      <c r="E2834" s="213">
        <v>0</v>
      </c>
      <c r="F2834" s="213">
        <v>0</v>
      </c>
      <c r="G2834" s="213">
        <v>0</v>
      </c>
      <c r="H2834" s="213">
        <v>0</v>
      </c>
      <c r="I2834" s="213">
        <v>0</v>
      </c>
      <c r="J2834" s="213">
        <v>0</v>
      </c>
    </row>
    <row r="2835" spans="1:10">
      <c r="A2835" s="211" t="s">
        <v>165</v>
      </c>
      <c r="B2835" s="211" t="s">
        <v>125</v>
      </c>
      <c r="C2835" s="212">
        <v>0.55069444444444449</v>
      </c>
      <c r="D2835" s="213">
        <v>0</v>
      </c>
      <c r="E2835" s="213">
        <v>0</v>
      </c>
      <c r="F2835" s="213">
        <v>0</v>
      </c>
      <c r="G2835" s="213">
        <v>0</v>
      </c>
      <c r="H2835" s="213">
        <v>0</v>
      </c>
      <c r="I2835" s="213">
        <v>0</v>
      </c>
      <c r="J2835" s="213">
        <v>0</v>
      </c>
    </row>
    <row r="2836" spans="1:10" s="80" customFormat="1">
      <c r="A2836" s="214" t="s">
        <v>165</v>
      </c>
      <c r="B2836" s="214" t="s">
        <v>125</v>
      </c>
      <c r="C2836" s="215">
        <v>0.55138888888888893</v>
      </c>
      <c r="D2836" s="213">
        <v>0</v>
      </c>
      <c r="E2836" s="213">
        <v>0</v>
      </c>
      <c r="F2836" s="213">
        <v>0</v>
      </c>
      <c r="G2836" s="213">
        <v>0</v>
      </c>
      <c r="H2836" s="213">
        <v>0</v>
      </c>
      <c r="I2836" s="213">
        <v>0</v>
      </c>
      <c r="J2836" s="213">
        <v>0</v>
      </c>
    </row>
    <row r="2837" spans="1:10">
      <c r="A2837" s="211" t="s">
        <v>165</v>
      </c>
      <c r="B2837" s="211" t="s">
        <v>125</v>
      </c>
      <c r="C2837" s="212">
        <v>0.55208333333333337</v>
      </c>
      <c r="D2837" s="217">
        <v>0</v>
      </c>
      <c r="E2837" s="217">
        <v>0</v>
      </c>
      <c r="F2837" s="217">
        <v>0</v>
      </c>
      <c r="G2837" s="217">
        <v>0</v>
      </c>
      <c r="H2837" s="217">
        <v>0</v>
      </c>
      <c r="I2837" s="217">
        <v>0</v>
      </c>
      <c r="J2837" s="217">
        <v>0</v>
      </c>
    </row>
    <row r="2838" spans="1:10">
      <c r="A2838" s="211" t="s">
        <v>165</v>
      </c>
      <c r="B2838" s="211" t="s">
        <v>125</v>
      </c>
      <c r="C2838" s="212">
        <v>0.55277777777777781</v>
      </c>
      <c r="D2838" s="213">
        <v>0</v>
      </c>
      <c r="E2838" s="213">
        <v>0</v>
      </c>
      <c r="F2838" s="213">
        <v>0</v>
      </c>
      <c r="G2838" s="213">
        <v>0</v>
      </c>
      <c r="H2838" s="213">
        <v>0</v>
      </c>
      <c r="I2838" s="213">
        <v>0</v>
      </c>
      <c r="J2838" s="213">
        <v>0</v>
      </c>
    </row>
    <row r="2839" spans="1:10">
      <c r="A2839" s="211" t="s">
        <v>165</v>
      </c>
      <c r="B2839" s="211" t="s">
        <v>125</v>
      </c>
      <c r="C2839" s="212">
        <v>0.55347222222222225</v>
      </c>
      <c r="D2839" s="213">
        <v>0</v>
      </c>
      <c r="E2839" s="213">
        <v>0</v>
      </c>
      <c r="F2839" s="213">
        <v>0</v>
      </c>
      <c r="G2839" s="213">
        <v>0</v>
      </c>
      <c r="H2839" s="213">
        <v>0</v>
      </c>
      <c r="I2839" s="213">
        <v>0</v>
      </c>
      <c r="J2839" s="213">
        <v>0</v>
      </c>
    </row>
    <row r="2840" spans="1:10">
      <c r="A2840" s="211" t="s">
        <v>165</v>
      </c>
      <c r="B2840" s="211" t="s">
        <v>125</v>
      </c>
      <c r="C2840" s="212">
        <v>0.5541666666666667</v>
      </c>
      <c r="D2840" s="213">
        <v>0</v>
      </c>
      <c r="E2840" s="213">
        <v>0</v>
      </c>
      <c r="F2840" s="213">
        <v>0</v>
      </c>
      <c r="G2840" s="213">
        <v>0</v>
      </c>
      <c r="H2840" s="213">
        <v>0</v>
      </c>
      <c r="I2840" s="213">
        <v>0</v>
      </c>
      <c r="J2840" s="213">
        <v>0</v>
      </c>
    </row>
    <row r="2841" spans="1:10">
      <c r="A2841" s="211" t="s">
        <v>165</v>
      </c>
      <c r="B2841" s="211" t="s">
        <v>125</v>
      </c>
      <c r="C2841" s="212">
        <v>0.55486111111111114</v>
      </c>
      <c r="D2841" s="213">
        <v>0</v>
      </c>
      <c r="E2841" s="213">
        <v>0</v>
      </c>
      <c r="F2841" s="213">
        <v>0</v>
      </c>
      <c r="G2841" s="213">
        <v>0</v>
      </c>
      <c r="H2841" s="213">
        <v>0</v>
      </c>
      <c r="I2841" s="213">
        <v>0</v>
      </c>
      <c r="J2841" s="213">
        <v>0</v>
      </c>
    </row>
    <row r="2842" spans="1:10">
      <c r="A2842" s="211" t="s">
        <v>165</v>
      </c>
      <c r="B2842" s="211" t="s">
        <v>125</v>
      </c>
      <c r="C2842" s="212">
        <v>0.55555555555555558</v>
      </c>
      <c r="D2842" s="213">
        <v>0</v>
      </c>
      <c r="E2842" s="213">
        <v>0</v>
      </c>
      <c r="F2842" s="213">
        <v>0</v>
      </c>
      <c r="G2842" s="213">
        <v>0</v>
      </c>
      <c r="H2842" s="213">
        <v>0</v>
      </c>
      <c r="I2842" s="213">
        <v>0</v>
      </c>
      <c r="J2842" s="213">
        <v>0</v>
      </c>
    </row>
    <row r="2843" spans="1:10">
      <c r="A2843" s="211" t="s">
        <v>165</v>
      </c>
      <c r="B2843" s="211" t="s">
        <v>125</v>
      </c>
      <c r="C2843" s="212">
        <v>0.55625000000000002</v>
      </c>
      <c r="D2843" s="213">
        <v>0</v>
      </c>
      <c r="E2843" s="213">
        <v>0</v>
      </c>
      <c r="F2843" s="213">
        <v>0</v>
      </c>
      <c r="G2843" s="213">
        <v>0</v>
      </c>
      <c r="H2843" s="213">
        <v>0</v>
      </c>
      <c r="I2843" s="213">
        <v>0</v>
      </c>
      <c r="J2843" s="213">
        <v>0</v>
      </c>
    </row>
    <row r="2844" spans="1:10">
      <c r="A2844" s="211" t="s">
        <v>165</v>
      </c>
      <c r="B2844" s="211" t="s">
        <v>125</v>
      </c>
      <c r="C2844" s="212">
        <v>0.55694444444444446</v>
      </c>
      <c r="D2844" s="213">
        <v>0</v>
      </c>
      <c r="E2844" s="213">
        <v>0</v>
      </c>
      <c r="F2844" s="213">
        <v>0</v>
      </c>
      <c r="G2844" s="213">
        <v>0</v>
      </c>
      <c r="H2844" s="213">
        <v>0</v>
      </c>
      <c r="I2844" s="213">
        <v>0</v>
      </c>
      <c r="J2844" s="213">
        <v>0</v>
      </c>
    </row>
    <row r="2845" spans="1:10">
      <c r="A2845" s="211" t="s">
        <v>165</v>
      </c>
      <c r="B2845" s="211" t="s">
        <v>125</v>
      </c>
      <c r="C2845" s="212">
        <v>0.55763888888888891</v>
      </c>
      <c r="D2845" s="213">
        <v>0</v>
      </c>
      <c r="E2845" s="213">
        <v>0</v>
      </c>
      <c r="F2845" s="213">
        <v>0</v>
      </c>
      <c r="G2845" s="213">
        <v>0</v>
      </c>
      <c r="H2845" s="213">
        <v>0</v>
      </c>
      <c r="I2845" s="213">
        <v>0</v>
      </c>
      <c r="J2845" s="213">
        <v>0</v>
      </c>
    </row>
    <row r="2846" spans="1:10">
      <c r="A2846" s="211" t="s">
        <v>165</v>
      </c>
      <c r="B2846" s="211" t="s">
        <v>125</v>
      </c>
      <c r="C2846" s="212">
        <v>0.55833333333333335</v>
      </c>
      <c r="D2846" s="213">
        <v>0</v>
      </c>
      <c r="E2846" s="213">
        <v>0</v>
      </c>
      <c r="F2846" s="213">
        <v>0</v>
      </c>
      <c r="G2846" s="213">
        <v>0</v>
      </c>
      <c r="H2846" s="213">
        <v>0</v>
      </c>
      <c r="I2846" s="213">
        <v>0</v>
      </c>
      <c r="J2846" s="213">
        <v>0</v>
      </c>
    </row>
    <row r="2847" spans="1:10">
      <c r="A2847" s="211" t="s">
        <v>165</v>
      </c>
      <c r="B2847" s="211" t="s">
        <v>125</v>
      </c>
      <c r="C2847" s="212">
        <v>0.55902777777777779</v>
      </c>
      <c r="D2847" s="213">
        <v>0</v>
      </c>
      <c r="E2847" s="213">
        <v>0</v>
      </c>
      <c r="F2847" s="213">
        <v>0</v>
      </c>
      <c r="G2847" s="213">
        <v>0</v>
      </c>
      <c r="H2847" s="213">
        <v>0</v>
      </c>
      <c r="I2847" s="213">
        <v>0</v>
      </c>
      <c r="J2847" s="213">
        <v>0</v>
      </c>
    </row>
    <row r="2848" spans="1:10">
      <c r="A2848" s="211" t="s">
        <v>165</v>
      </c>
      <c r="B2848" s="211" t="s">
        <v>125</v>
      </c>
      <c r="C2848" s="212">
        <v>0.55972222222222223</v>
      </c>
      <c r="D2848" s="213">
        <v>0</v>
      </c>
      <c r="E2848" s="213">
        <v>0</v>
      </c>
      <c r="F2848" s="213">
        <v>0</v>
      </c>
      <c r="G2848" s="213">
        <v>0</v>
      </c>
      <c r="H2848" s="213">
        <v>0</v>
      </c>
      <c r="I2848" s="213">
        <v>0</v>
      </c>
      <c r="J2848" s="213">
        <v>0</v>
      </c>
    </row>
    <row r="2849" spans="1:10">
      <c r="A2849" s="211" t="s">
        <v>165</v>
      </c>
      <c r="B2849" s="211" t="s">
        <v>125</v>
      </c>
      <c r="C2849" s="212">
        <v>0.56041666666666667</v>
      </c>
      <c r="D2849" s="213">
        <v>0</v>
      </c>
      <c r="E2849" s="213">
        <v>0</v>
      </c>
      <c r="F2849" s="213">
        <v>0</v>
      </c>
      <c r="G2849" s="213">
        <v>0</v>
      </c>
      <c r="H2849" s="213">
        <v>0</v>
      </c>
      <c r="I2849" s="213">
        <v>0</v>
      </c>
      <c r="J2849" s="213">
        <v>0</v>
      </c>
    </row>
    <row r="2850" spans="1:10">
      <c r="A2850" s="211" t="s">
        <v>165</v>
      </c>
      <c r="B2850" s="211" t="s">
        <v>125</v>
      </c>
      <c r="C2850" s="212">
        <v>0.56111111111111112</v>
      </c>
      <c r="D2850" s="213">
        <v>0</v>
      </c>
      <c r="E2850" s="213">
        <v>0</v>
      </c>
      <c r="F2850" s="213">
        <v>0</v>
      </c>
      <c r="G2850" s="213">
        <v>0</v>
      </c>
      <c r="H2850" s="213">
        <v>0</v>
      </c>
      <c r="I2850" s="213">
        <v>0</v>
      </c>
      <c r="J2850" s="213">
        <v>0</v>
      </c>
    </row>
    <row r="2851" spans="1:10" s="80" customFormat="1">
      <c r="A2851" s="214" t="s">
        <v>165</v>
      </c>
      <c r="B2851" s="214" t="s">
        <v>125</v>
      </c>
      <c r="C2851" s="215">
        <v>0.56180555555555556</v>
      </c>
      <c r="D2851" s="216">
        <v>0</v>
      </c>
      <c r="E2851" s="216">
        <v>0</v>
      </c>
      <c r="F2851" s="216">
        <v>0</v>
      </c>
      <c r="G2851" s="216">
        <v>0</v>
      </c>
      <c r="H2851" s="216">
        <v>0</v>
      </c>
      <c r="I2851" s="216">
        <v>0</v>
      </c>
      <c r="J2851" s="216">
        <v>0</v>
      </c>
    </row>
    <row r="2852" spans="1:10">
      <c r="A2852" s="211" t="s">
        <v>165</v>
      </c>
      <c r="B2852" s="211" t="s">
        <v>125</v>
      </c>
      <c r="C2852" s="212">
        <v>0.5625</v>
      </c>
      <c r="D2852" s="213">
        <v>0</v>
      </c>
      <c r="E2852" s="213">
        <v>0</v>
      </c>
      <c r="F2852" s="213">
        <v>0</v>
      </c>
      <c r="G2852" s="213">
        <v>0</v>
      </c>
      <c r="H2852" s="213">
        <v>0</v>
      </c>
      <c r="I2852" s="213">
        <v>0</v>
      </c>
      <c r="J2852" s="213">
        <v>0</v>
      </c>
    </row>
    <row r="2853" spans="1:10">
      <c r="A2853" s="211" t="s">
        <v>165</v>
      </c>
      <c r="B2853" s="211" t="s">
        <v>125</v>
      </c>
      <c r="C2853" s="212">
        <v>0.56319444444444444</v>
      </c>
      <c r="D2853" s="213">
        <v>0</v>
      </c>
      <c r="E2853" s="213">
        <v>0</v>
      </c>
      <c r="F2853" s="213">
        <v>0</v>
      </c>
      <c r="G2853" s="213">
        <v>0</v>
      </c>
      <c r="H2853" s="213">
        <v>0</v>
      </c>
      <c r="I2853" s="213">
        <v>0</v>
      </c>
      <c r="J2853" s="213">
        <v>0</v>
      </c>
    </row>
    <row r="2854" spans="1:10">
      <c r="A2854" s="211" t="s">
        <v>165</v>
      </c>
      <c r="B2854" s="211" t="s">
        <v>125</v>
      </c>
      <c r="C2854" s="212">
        <v>0.56388888888888888</v>
      </c>
      <c r="D2854" s="213">
        <v>0</v>
      </c>
      <c r="E2854" s="213">
        <v>0</v>
      </c>
      <c r="F2854" s="213">
        <v>0</v>
      </c>
      <c r="G2854" s="213">
        <v>0</v>
      </c>
      <c r="H2854" s="213">
        <v>0</v>
      </c>
      <c r="I2854" s="213">
        <v>0</v>
      </c>
      <c r="J2854" s="213">
        <v>0</v>
      </c>
    </row>
    <row r="2855" spans="1:10">
      <c r="A2855" s="211" t="s">
        <v>165</v>
      </c>
      <c r="B2855" s="211" t="s">
        <v>125</v>
      </c>
      <c r="C2855" s="212">
        <v>0.56458333333333333</v>
      </c>
      <c r="D2855" s="213">
        <v>0</v>
      </c>
      <c r="E2855" s="213">
        <v>0</v>
      </c>
      <c r="F2855" s="213">
        <v>0</v>
      </c>
      <c r="G2855" s="213">
        <v>0</v>
      </c>
      <c r="H2855" s="213">
        <v>0</v>
      </c>
      <c r="I2855" s="213">
        <v>0</v>
      </c>
      <c r="J2855" s="213">
        <v>0</v>
      </c>
    </row>
    <row r="2856" spans="1:10">
      <c r="A2856" s="211" t="s">
        <v>165</v>
      </c>
      <c r="B2856" s="211" t="s">
        <v>125</v>
      </c>
      <c r="C2856" s="212">
        <v>0.56527777777777777</v>
      </c>
      <c r="D2856" s="213">
        <v>0</v>
      </c>
      <c r="E2856" s="213">
        <v>0</v>
      </c>
      <c r="F2856" s="213">
        <v>0</v>
      </c>
      <c r="G2856" s="213">
        <v>0</v>
      </c>
      <c r="H2856" s="213">
        <v>0</v>
      </c>
      <c r="I2856" s="213">
        <v>0</v>
      </c>
      <c r="J2856" s="213">
        <v>0</v>
      </c>
    </row>
    <row r="2857" spans="1:10">
      <c r="A2857" s="211" t="s">
        <v>165</v>
      </c>
      <c r="B2857" s="211" t="s">
        <v>125</v>
      </c>
      <c r="C2857" s="212">
        <v>0.56597222222222221</v>
      </c>
      <c r="D2857" s="213">
        <v>0</v>
      </c>
      <c r="E2857" s="213">
        <v>0</v>
      </c>
      <c r="F2857" s="213">
        <v>0</v>
      </c>
      <c r="G2857" s="213">
        <v>0</v>
      </c>
      <c r="H2857" s="213">
        <v>0</v>
      </c>
      <c r="I2857" s="213">
        <v>0</v>
      </c>
      <c r="J2857" s="213">
        <v>0</v>
      </c>
    </row>
    <row r="2858" spans="1:10">
      <c r="A2858" s="211" t="s">
        <v>165</v>
      </c>
      <c r="B2858" s="211" t="s">
        <v>125</v>
      </c>
      <c r="C2858" s="212">
        <v>0.56666666666666665</v>
      </c>
      <c r="D2858" s="213">
        <v>0</v>
      </c>
      <c r="E2858" s="213">
        <v>0</v>
      </c>
      <c r="F2858" s="213">
        <v>0</v>
      </c>
      <c r="G2858" s="213">
        <v>0</v>
      </c>
      <c r="H2858" s="213">
        <v>0</v>
      </c>
      <c r="I2858" s="213">
        <v>0</v>
      </c>
      <c r="J2858" s="213">
        <v>0</v>
      </c>
    </row>
    <row r="2859" spans="1:10">
      <c r="A2859" s="211" t="s">
        <v>165</v>
      </c>
      <c r="B2859" s="211" t="s">
        <v>125</v>
      </c>
      <c r="C2859" s="212">
        <v>0.56736111111111109</v>
      </c>
      <c r="D2859" s="213">
        <v>0</v>
      </c>
      <c r="E2859" s="213">
        <v>0</v>
      </c>
      <c r="F2859" s="213">
        <v>0</v>
      </c>
      <c r="G2859" s="213">
        <v>0</v>
      </c>
      <c r="H2859" s="213">
        <v>0</v>
      </c>
      <c r="I2859" s="213">
        <v>0</v>
      </c>
      <c r="J2859" s="213">
        <v>0</v>
      </c>
    </row>
    <row r="2860" spans="1:10">
      <c r="A2860" s="211" t="s">
        <v>165</v>
      </c>
      <c r="B2860" s="211" t="s">
        <v>125</v>
      </c>
      <c r="C2860" s="212">
        <v>0.56805555555555554</v>
      </c>
      <c r="D2860" s="213">
        <v>0</v>
      </c>
      <c r="E2860" s="213">
        <v>0</v>
      </c>
      <c r="F2860" s="213">
        <v>0</v>
      </c>
      <c r="G2860" s="213">
        <v>0</v>
      </c>
      <c r="H2860" s="213">
        <v>0</v>
      </c>
      <c r="I2860" s="213">
        <v>0</v>
      </c>
      <c r="J2860" s="213">
        <v>0</v>
      </c>
    </row>
    <row r="2861" spans="1:10">
      <c r="A2861" s="211" t="s">
        <v>165</v>
      </c>
      <c r="B2861" s="211" t="s">
        <v>125</v>
      </c>
      <c r="C2861" s="212">
        <v>0.56874999999999998</v>
      </c>
      <c r="D2861" s="213">
        <v>0</v>
      </c>
      <c r="E2861" s="213">
        <v>0</v>
      </c>
      <c r="F2861" s="213">
        <v>0</v>
      </c>
      <c r="G2861" s="213">
        <v>0</v>
      </c>
      <c r="H2861" s="213">
        <v>0</v>
      </c>
      <c r="I2861" s="213">
        <v>0</v>
      </c>
      <c r="J2861" s="213">
        <v>0</v>
      </c>
    </row>
    <row r="2862" spans="1:10">
      <c r="A2862" s="211" t="s">
        <v>165</v>
      </c>
      <c r="B2862" s="211" t="s">
        <v>125</v>
      </c>
      <c r="C2862" s="212">
        <v>0.56944444444444442</v>
      </c>
      <c r="D2862" s="213">
        <v>0</v>
      </c>
      <c r="E2862" s="213">
        <v>0</v>
      </c>
      <c r="F2862" s="213">
        <v>0</v>
      </c>
      <c r="G2862" s="213">
        <v>0</v>
      </c>
      <c r="H2862" s="213">
        <v>0</v>
      </c>
      <c r="I2862" s="213">
        <v>0</v>
      </c>
      <c r="J2862" s="213">
        <v>0</v>
      </c>
    </row>
    <row r="2863" spans="1:10">
      <c r="A2863" s="211" t="s">
        <v>165</v>
      </c>
      <c r="B2863" s="211" t="s">
        <v>125</v>
      </c>
      <c r="C2863" s="212">
        <v>0.57013888888888886</v>
      </c>
      <c r="D2863" s="213">
        <v>0</v>
      </c>
      <c r="E2863" s="213">
        <v>0</v>
      </c>
      <c r="F2863" s="213">
        <v>0</v>
      </c>
      <c r="G2863" s="213">
        <v>0</v>
      </c>
      <c r="H2863" s="213">
        <v>0</v>
      </c>
      <c r="I2863" s="213">
        <v>0</v>
      </c>
      <c r="J2863" s="213">
        <v>0</v>
      </c>
    </row>
    <row r="2864" spans="1:10">
      <c r="A2864" s="211" t="s">
        <v>165</v>
      </c>
      <c r="B2864" s="211" t="s">
        <v>125</v>
      </c>
      <c r="C2864" s="212">
        <v>0.5708333333333333</v>
      </c>
      <c r="D2864" s="213">
        <v>0</v>
      </c>
      <c r="E2864" s="213">
        <v>0</v>
      </c>
      <c r="F2864" s="213">
        <v>0</v>
      </c>
      <c r="G2864" s="213">
        <v>0</v>
      </c>
      <c r="H2864" s="213">
        <v>0</v>
      </c>
      <c r="I2864" s="213">
        <v>0</v>
      </c>
      <c r="J2864" s="213">
        <v>0</v>
      </c>
    </row>
    <row r="2865" spans="1:10">
      <c r="A2865" s="211" t="s">
        <v>165</v>
      </c>
      <c r="B2865" s="211" t="s">
        <v>125</v>
      </c>
      <c r="C2865" s="212">
        <v>0.57152777777777775</v>
      </c>
      <c r="D2865" s="213">
        <v>0</v>
      </c>
      <c r="E2865" s="213">
        <v>0</v>
      </c>
      <c r="F2865" s="213">
        <v>0</v>
      </c>
      <c r="G2865" s="213">
        <v>0</v>
      </c>
      <c r="H2865" s="213">
        <v>0</v>
      </c>
      <c r="I2865" s="213">
        <v>0</v>
      </c>
      <c r="J2865" s="213">
        <v>0</v>
      </c>
    </row>
    <row r="2866" spans="1:10" s="80" customFormat="1">
      <c r="A2866" s="214" t="s">
        <v>165</v>
      </c>
      <c r="B2866" s="214" t="s">
        <v>125</v>
      </c>
      <c r="C2866" s="215">
        <v>0.57222222222222219</v>
      </c>
      <c r="D2866" s="213">
        <v>0</v>
      </c>
      <c r="E2866" s="213">
        <v>0</v>
      </c>
      <c r="F2866" s="213">
        <v>0</v>
      </c>
      <c r="G2866" s="213">
        <v>0</v>
      </c>
      <c r="H2866" s="213">
        <v>0</v>
      </c>
      <c r="I2866" s="213">
        <v>0</v>
      </c>
      <c r="J2866" s="213">
        <v>0</v>
      </c>
    </row>
    <row r="2867" spans="1:10">
      <c r="A2867" s="211" t="s">
        <v>165</v>
      </c>
      <c r="B2867" s="211" t="s">
        <v>125</v>
      </c>
      <c r="C2867" s="212">
        <v>0.57291666666666663</v>
      </c>
      <c r="D2867" s="217">
        <v>0</v>
      </c>
      <c r="E2867" s="217">
        <v>0</v>
      </c>
      <c r="F2867" s="217">
        <v>0</v>
      </c>
      <c r="G2867" s="217">
        <v>0</v>
      </c>
      <c r="H2867" s="217">
        <v>0</v>
      </c>
      <c r="I2867" s="217">
        <v>0</v>
      </c>
      <c r="J2867" s="217">
        <v>0</v>
      </c>
    </row>
    <row r="2868" spans="1:10">
      <c r="A2868" s="211" t="s">
        <v>165</v>
      </c>
      <c r="B2868" s="211" t="s">
        <v>125</v>
      </c>
      <c r="C2868" s="212">
        <v>0.57361111111111107</v>
      </c>
      <c r="D2868" s="213">
        <v>0</v>
      </c>
      <c r="E2868" s="213">
        <v>0</v>
      </c>
      <c r="F2868" s="213">
        <v>0</v>
      </c>
      <c r="G2868" s="213">
        <v>0</v>
      </c>
      <c r="H2868" s="213">
        <v>0</v>
      </c>
      <c r="I2868" s="213">
        <v>0</v>
      </c>
      <c r="J2868" s="213">
        <v>0</v>
      </c>
    </row>
    <row r="2869" spans="1:10">
      <c r="A2869" s="211" t="s">
        <v>165</v>
      </c>
      <c r="B2869" s="211" t="s">
        <v>125</v>
      </c>
      <c r="C2869" s="212">
        <v>0.57430555555555551</v>
      </c>
      <c r="D2869" s="213">
        <v>0</v>
      </c>
      <c r="E2869" s="213">
        <v>0</v>
      </c>
      <c r="F2869" s="213">
        <v>0</v>
      </c>
      <c r="G2869" s="213">
        <v>0</v>
      </c>
      <c r="H2869" s="213">
        <v>0</v>
      </c>
      <c r="I2869" s="213">
        <v>0</v>
      </c>
      <c r="J2869" s="213">
        <v>0</v>
      </c>
    </row>
    <row r="2870" spans="1:10">
      <c r="A2870" s="211" t="s">
        <v>165</v>
      </c>
      <c r="B2870" s="211" t="s">
        <v>125</v>
      </c>
      <c r="C2870" s="212">
        <v>0.57499999999999996</v>
      </c>
      <c r="D2870" s="213">
        <v>0</v>
      </c>
      <c r="E2870" s="213">
        <v>0</v>
      </c>
      <c r="F2870" s="213">
        <v>0</v>
      </c>
      <c r="G2870" s="213">
        <v>0</v>
      </c>
      <c r="H2870" s="213">
        <v>0</v>
      </c>
      <c r="I2870" s="213">
        <v>0</v>
      </c>
      <c r="J2870" s="213">
        <v>0</v>
      </c>
    </row>
    <row r="2871" spans="1:10">
      <c r="A2871" s="211" t="s">
        <v>165</v>
      </c>
      <c r="B2871" s="211" t="s">
        <v>125</v>
      </c>
      <c r="C2871" s="212">
        <v>0.5756944444444444</v>
      </c>
      <c r="D2871" s="213">
        <v>0</v>
      </c>
      <c r="E2871" s="213">
        <v>0</v>
      </c>
      <c r="F2871" s="213">
        <v>0</v>
      </c>
      <c r="G2871" s="213">
        <v>0</v>
      </c>
      <c r="H2871" s="213">
        <v>0</v>
      </c>
      <c r="I2871" s="213">
        <v>0</v>
      </c>
      <c r="J2871" s="213">
        <v>0</v>
      </c>
    </row>
    <row r="2872" spans="1:10">
      <c r="A2872" s="211" t="s">
        <v>165</v>
      </c>
      <c r="B2872" s="211" t="s">
        <v>125</v>
      </c>
      <c r="C2872" s="212">
        <v>0.57638888888888884</v>
      </c>
      <c r="D2872" s="213">
        <v>0</v>
      </c>
      <c r="E2872" s="213">
        <v>0</v>
      </c>
      <c r="F2872" s="213">
        <v>0</v>
      </c>
      <c r="G2872" s="213">
        <v>0</v>
      </c>
      <c r="H2872" s="213">
        <v>0</v>
      </c>
      <c r="I2872" s="213">
        <v>0</v>
      </c>
      <c r="J2872" s="213">
        <v>0</v>
      </c>
    </row>
    <row r="2873" spans="1:10">
      <c r="A2873" s="211" t="s">
        <v>165</v>
      </c>
      <c r="B2873" s="211" t="s">
        <v>125</v>
      </c>
      <c r="C2873" s="212">
        <v>0.57708333333333328</v>
      </c>
      <c r="D2873" s="213">
        <v>0</v>
      </c>
      <c r="E2873" s="213">
        <v>0</v>
      </c>
      <c r="F2873" s="213">
        <v>0</v>
      </c>
      <c r="G2873" s="213">
        <v>0</v>
      </c>
      <c r="H2873" s="213">
        <v>0</v>
      </c>
      <c r="I2873" s="213">
        <v>0</v>
      </c>
      <c r="J2873" s="213">
        <v>0</v>
      </c>
    </row>
    <row r="2874" spans="1:10">
      <c r="A2874" s="211" t="s">
        <v>165</v>
      </c>
      <c r="B2874" s="211" t="s">
        <v>125</v>
      </c>
      <c r="C2874" s="212">
        <v>0.57777777777777772</v>
      </c>
      <c r="D2874" s="213">
        <v>0</v>
      </c>
      <c r="E2874" s="213">
        <v>0</v>
      </c>
      <c r="F2874" s="213">
        <v>0</v>
      </c>
      <c r="G2874" s="213">
        <v>0</v>
      </c>
      <c r="H2874" s="213">
        <v>0</v>
      </c>
      <c r="I2874" s="213">
        <v>0</v>
      </c>
      <c r="J2874" s="213">
        <v>0</v>
      </c>
    </row>
    <row r="2875" spans="1:10">
      <c r="A2875" s="211" t="s">
        <v>165</v>
      </c>
      <c r="B2875" s="211" t="s">
        <v>125</v>
      </c>
      <c r="C2875" s="212">
        <v>0.57847222222222228</v>
      </c>
      <c r="D2875" s="213">
        <v>0</v>
      </c>
      <c r="E2875" s="213">
        <v>0</v>
      </c>
      <c r="F2875" s="213">
        <v>0</v>
      </c>
      <c r="G2875" s="213">
        <v>0</v>
      </c>
      <c r="H2875" s="213">
        <v>0</v>
      </c>
      <c r="I2875" s="213">
        <v>0</v>
      </c>
      <c r="J2875" s="213">
        <v>0</v>
      </c>
    </row>
    <row r="2876" spans="1:10">
      <c r="A2876" s="211" t="s">
        <v>165</v>
      </c>
      <c r="B2876" s="211" t="s">
        <v>125</v>
      </c>
      <c r="C2876" s="212">
        <v>0.57916666666666672</v>
      </c>
      <c r="D2876" s="213">
        <v>0</v>
      </c>
      <c r="E2876" s="213">
        <v>0</v>
      </c>
      <c r="F2876" s="213">
        <v>0</v>
      </c>
      <c r="G2876" s="213">
        <v>0</v>
      </c>
      <c r="H2876" s="213">
        <v>0</v>
      </c>
      <c r="I2876" s="213">
        <v>0</v>
      </c>
      <c r="J2876" s="213">
        <v>0</v>
      </c>
    </row>
    <row r="2877" spans="1:10">
      <c r="A2877" s="211" t="s">
        <v>165</v>
      </c>
      <c r="B2877" s="211" t="s">
        <v>125</v>
      </c>
      <c r="C2877" s="212">
        <v>0.57986111111111116</v>
      </c>
      <c r="D2877" s="213">
        <v>0</v>
      </c>
      <c r="E2877" s="213">
        <v>0</v>
      </c>
      <c r="F2877" s="213">
        <v>0</v>
      </c>
      <c r="G2877" s="213">
        <v>0</v>
      </c>
      <c r="H2877" s="213">
        <v>0</v>
      </c>
      <c r="I2877" s="213">
        <v>0</v>
      </c>
      <c r="J2877" s="213">
        <v>0</v>
      </c>
    </row>
    <row r="2878" spans="1:10">
      <c r="A2878" s="211" t="s">
        <v>165</v>
      </c>
      <c r="B2878" s="211" t="s">
        <v>125</v>
      </c>
      <c r="C2878" s="212">
        <v>0.5805555555555556</v>
      </c>
      <c r="D2878" s="213">
        <v>0</v>
      </c>
      <c r="E2878" s="213">
        <v>0</v>
      </c>
      <c r="F2878" s="213">
        <v>0</v>
      </c>
      <c r="G2878" s="213">
        <v>0</v>
      </c>
      <c r="H2878" s="213">
        <v>0</v>
      </c>
      <c r="I2878" s="213">
        <v>0</v>
      </c>
      <c r="J2878" s="213">
        <v>0</v>
      </c>
    </row>
    <row r="2879" spans="1:10">
      <c r="A2879" s="211" t="s">
        <v>165</v>
      </c>
      <c r="B2879" s="211" t="s">
        <v>125</v>
      </c>
      <c r="C2879" s="212">
        <v>0.58125000000000004</v>
      </c>
      <c r="D2879" s="213">
        <v>0</v>
      </c>
      <c r="E2879" s="213">
        <v>0</v>
      </c>
      <c r="F2879" s="213">
        <v>0</v>
      </c>
      <c r="G2879" s="213">
        <v>0</v>
      </c>
      <c r="H2879" s="213">
        <v>0</v>
      </c>
      <c r="I2879" s="213">
        <v>0</v>
      </c>
      <c r="J2879" s="213">
        <v>0</v>
      </c>
    </row>
    <row r="2880" spans="1:10">
      <c r="A2880" s="211" t="s">
        <v>165</v>
      </c>
      <c r="B2880" s="211" t="s">
        <v>125</v>
      </c>
      <c r="C2880" s="212">
        <v>0.58194444444444449</v>
      </c>
      <c r="D2880" s="213">
        <v>0</v>
      </c>
      <c r="E2880" s="213">
        <v>0</v>
      </c>
      <c r="F2880" s="213">
        <v>0</v>
      </c>
      <c r="G2880" s="213">
        <v>0</v>
      </c>
      <c r="H2880" s="213">
        <v>0</v>
      </c>
      <c r="I2880" s="213">
        <v>0</v>
      </c>
      <c r="J2880" s="213">
        <v>0</v>
      </c>
    </row>
    <row r="2881" spans="1:10" s="28" customFormat="1" ht="17.5" thickBot="1">
      <c r="A2881" s="218" t="s">
        <v>165</v>
      </c>
      <c r="B2881" s="218" t="s">
        <v>125</v>
      </c>
      <c r="C2881" s="219">
        <v>0.58263888888888893</v>
      </c>
      <c r="D2881" s="220">
        <v>0</v>
      </c>
      <c r="E2881" s="220">
        <v>0</v>
      </c>
      <c r="F2881" s="220">
        <v>0</v>
      </c>
      <c r="G2881" s="220">
        <v>0</v>
      </c>
      <c r="H2881" s="220">
        <v>0</v>
      </c>
      <c r="I2881" s="220">
        <v>0</v>
      </c>
      <c r="J2881" s="220">
        <v>0</v>
      </c>
    </row>
    <row r="2882" spans="1:10">
      <c r="A2882" s="95" t="s">
        <v>15</v>
      </c>
      <c r="B2882" s="95" t="s">
        <v>11</v>
      </c>
      <c r="C2882" s="51">
        <v>0.70833333333333337</v>
      </c>
      <c r="D2882" s="96">
        <v>0</v>
      </c>
      <c r="E2882" s="96">
        <v>0</v>
      </c>
      <c r="F2882" s="96">
        <v>0</v>
      </c>
      <c r="G2882" s="96">
        <v>0</v>
      </c>
      <c r="H2882" s="96">
        <v>0</v>
      </c>
      <c r="I2882" s="96">
        <v>0</v>
      </c>
      <c r="J2882" s="96">
        <v>0</v>
      </c>
    </row>
    <row r="2883" spans="1:10">
      <c r="A2883" s="95" t="s">
        <v>15</v>
      </c>
      <c r="B2883" s="95" t="s">
        <v>11</v>
      </c>
      <c r="C2883" s="51">
        <v>0.70902777777777781</v>
      </c>
      <c r="D2883" s="96">
        <v>0</v>
      </c>
      <c r="E2883" s="96">
        <v>0</v>
      </c>
      <c r="F2883" s="96">
        <v>0</v>
      </c>
      <c r="G2883" s="96">
        <v>0</v>
      </c>
      <c r="H2883" s="96">
        <v>0</v>
      </c>
      <c r="I2883" s="96">
        <v>0</v>
      </c>
      <c r="J2883" s="96">
        <v>0</v>
      </c>
    </row>
    <row r="2884" spans="1:10">
      <c r="A2884" s="95" t="s">
        <v>15</v>
      </c>
      <c r="B2884" s="95" t="s">
        <v>11</v>
      </c>
      <c r="C2884" s="51">
        <v>0.70972222222222203</v>
      </c>
      <c r="D2884" s="96">
        <v>0</v>
      </c>
      <c r="E2884" s="96">
        <v>0</v>
      </c>
      <c r="F2884" s="96">
        <v>0</v>
      </c>
      <c r="G2884" s="96">
        <v>0</v>
      </c>
      <c r="H2884" s="96">
        <v>0</v>
      </c>
      <c r="I2884" s="96">
        <v>0</v>
      </c>
      <c r="J2884" s="96">
        <v>0</v>
      </c>
    </row>
    <row r="2885" spans="1:10">
      <c r="A2885" s="95" t="s">
        <v>15</v>
      </c>
      <c r="B2885" s="95" t="s">
        <v>11</v>
      </c>
      <c r="C2885" s="51">
        <v>0.71041666666666703</v>
      </c>
      <c r="D2885" s="96">
        <v>0</v>
      </c>
      <c r="E2885" s="96">
        <v>0</v>
      </c>
      <c r="F2885" s="96">
        <v>0</v>
      </c>
      <c r="G2885" s="96">
        <v>0</v>
      </c>
      <c r="H2885" s="96">
        <v>0</v>
      </c>
      <c r="I2885" s="96">
        <v>0</v>
      </c>
      <c r="J2885" s="96">
        <v>0</v>
      </c>
    </row>
    <row r="2886" spans="1:10">
      <c r="A2886" s="95" t="s">
        <v>15</v>
      </c>
      <c r="B2886" s="95" t="s">
        <v>11</v>
      </c>
      <c r="C2886" s="51">
        <v>0.71111111111111103</v>
      </c>
      <c r="D2886" s="96">
        <v>0</v>
      </c>
      <c r="E2886" s="96">
        <v>0</v>
      </c>
      <c r="F2886" s="96">
        <v>0</v>
      </c>
      <c r="G2886" s="96">
        <v>0</v>
      </c>
      <c r="H2886" s="96">
        <v>0</v>
      </c>
      <c r="I2886" s="96">
        <v>0</v>
      </c>
      <c r="J2886" s="96">
        <v>0</v>
      </c>
    </row>
    <row r="2887" spans="1:10">
      <c r="A2887" s="95" t="s">
        <v>15</v>
      </c>
      <c r="B2887" s="95" t="s">
        <v>11</v>
      </c>
      <c r="C2887" s="51">
        <v>0.71180555555555602</v>
      </c>
      <c r="D2887" s="96">
        <v>0</v>
      </c>
      <c r="E2887" s="96">
        <v>0</v>
      </c>
      <c r="F2887" s="96">
        <v>0</v>
      </c>
      <c r="G2887" s="96">
        <v>0</v>
      </c>
      <c r="H2887" s="96">
        <v>0</v>
      </c>
      <c r="I2887" s="96">
        <v>0</v>
      </c>
      <c r="J2887" s="96">
        <v>0</v>
      </c>
    </row>
    <row r="2888" spans="1:10">
      <c r="A2888" s="95" t="s">
        <v>15</v>
      </c>
      <c r="B2888" s="95" t="s">
        <v>11</v>
      </c>
      <c r="C2888" s="51">
        <v>0.71250000000000002</v>
      </c>
      <c r="D2888" s="96">
        <v>0</v>
      </c>
      <c r="E2888" s="96">
        <v>0</v>
      </c>
      <c r="F2888" s="96">
        <v>0</v>
      </c>
      <c r="G2888" s="96">
        <v>0</v>
      </c>
      <c r="H2888" s="96">
        <v>0</v>
      </c>
      <c r="I2888" s="96">
        <v>0</v>
      </c>
      <c r="J2888" s="96">
        <v>0</v>
      </c>
    </row>
    <row r="2889" spans="1:10">
      <c r="A2889" s="95" t="s">
        <v>15</v>
      </c>
      <c r="B2889" s="95" t="s">
        <v>11</v>
      </c>
      <c r="C2889" s="51">
        <v>0.71319444444444402</v>
      </c>
      <c r="D2889" s="96">
        <v>0</v>
      </c>
      <c r="E2889" s="96">
        <v>0</v>
      </c>
      <c r="F2889" s="96">
        <v>0</v>
      </c>
      <c r="G2889" s="96">
        <v>0</v>
      </c>
      <c r="H2889" s="96">
        <v>0</v>
      </c>
      <c r="I2889" s="96">
        <v>0</v>
      </c>
      <c r="J2889" s="96">
        <v>0</v>
      </c>
    </row>
    <row r="2890" spans="1:10">
      <c r="A2890" s="95" t="s">
        <v>15</v>
      </c>
      <c r="B2890" s="95" t="s">
        <v>11</v>
      </c>
      <c r="C2890" s="51">
        <v>0.71388888888888902</v>
      </c>
      <c r="D2890" s="96">
        <v>0</v>
      </c>
      <c r="E2890" s="96">
        <v>0</v>
      </c>
      <c r="F2890" s="96">
        <v>0</v>
      </c>
      <c r="G2890" s="96">
        <v>0</v>
      </c>
      <c r="H2890" s="96">
        <v>0</v>
      </c>
      <c r="I2890" s="96">
        <v>0</v>
      </c>
      <c r="J2890" s="96">
        <v>0</v>
      </c>
    </row>
    <row r="2891" spans="1:10">
      <c r="A2891" s="95" t="s">
        <v>15</v>
      </c>
      <c r="B2891" s="95" t="s">
        <v>11</v>
      </c>
      <c r="C2891" s="51">
        <v>0.71458333333333302</v>
      </c>
      <c r="D2891" s="96">
        <v>0</v>
      </c>
      <c r="E2891" s="96">
        <v>0</v>
      </c>
      <c r="F2891" s="96">
        <v>0</v>
      </c>
      <c r="G2891" s="96">
        <v>0</v>
      </c>
      <c r="H2891" s="96">
        <v>0</v>
      </c>
      <c r="I2891" s="96">
        <v>0</v>
      </c>
      <c r="J2891" s="96">
        <v>0</v>
      </c>
    </row>
    <row r="2892" spans="1:10">
      <c r="A2892" s="95" t="s">
        <v>15</v>
      </c>
      <c r="B2892" s="95" t="s">
        <v>11</v>
      </c>
      <c r="C2892" s="51">
        <v>0.71527777777777801</v>
      </c>
      <c r="D2892" s="96">
        <v>0</v>
      </c>
      <c r="E2892" s="96">
        <v>0</v>
      </c>
      <c r="F2892" s="96">
        <v>0</v>
      </c>
      <c r="G2892" s="96">
        <v>0</v>
      </c>
      <c r="H2892" s="96">
        <v>0</v>
      </c>
      <c r="I2892" s="96">
        <v>0</v>
      </c>
      <c r="J2892" s="96">
        <v>0</v>
      </c>
    </row>
    <row r="2893" spans="1:10">
      <c r="A2893" s="95" t="s">
        <v>15</v>
      </c>
      <c r="B2893" s="95" t="s">
        <v>11</v>
      </c>
      <c r="C2893" s="51">
        <v>0.71597222222222201</v>
      </c>
      <c r="D2893" s="96">
        <v>0</v>
      </c>
      <c r="E2893" s="96">
        <v>0</v>
      </c>
      <c r="F2893" s="96">
        <v>0</v>
      </c>
      <c r="G2893" s="96">
        <v>0</v>
      </c>
      <c r="H2893" s="96">
        <v>0</v>
      </c>
      <c r="I2893" s="96">
        <v>0</v>
      </c>
      <c r="J2893" s="96">
        <v>0</v>
      </c>
    </row>
    <row r="2894" spans="1:10">
      <c r="A2894" s="95" t="s">
        <v>15</v>
      </c>
      <c r="B2894" s="95" t="s">
        <v>11</v>
      </c>
      <c r="C2894" s="51">
        <v>0.71666666666666701</v>
      </c>
      <c r="D2894" s="96">
        <v>0</v>
      </c>
      <c r="E2894" s="96">
        <v>0</v>
      </c>
      <c r="F2894" s="96">
        <v>0</v>
      </c>
      <c r="G2894" s="96">
        <v>0</v>
      </c>
      <c r="H2894" s="96">
        <v>0</v>
      </c>
      <c r="I2894" s="96">
        <v>0</v>
      </c>
      <c r="J2894" s="96">
        <v>0</v>
      </c>
    </row>
    <row r="2895" spans="1:10">
      <c r="A2895" s="95" t="s">
        <v>15</v>
      </c>
      <c r="B2895" s="95" t="s">
        <v>11</v>
      </c>
      <c r="C2895" s="51">
        <v>0.71736111111111101</v>
      </c>
      <c r="D2895" s="96">
        <v>0</v>
      </c>
      <c r="E2895" s="96">
        <v>0</v>
      </c>
      <c r="F2895" s="96">
        <v>0</v>
      </c>
      <c r="G2895" s="96">
        <v>0</v>
      </c>
      <c r="H2895" s="96">
        <v>0</v>
      </c>
      <c r="I2895" s="96">
        <v>0</v>
      </c>
      <c r="J2895" s="96">
        <v>0</v>
      </c>
    </row>
    <row r="2896" spans="1:10" s="80" customFormat="1">
      <c r="A2896" s="97" t="s">
        <v>15</v>
      </c>
      <c r="B2896" s="97" t="s">
        <v>11</v>
      </c>
      <c r="C2896" s="98">
        <v>0.718055555555556</v>
      </c>
      <c r="D2896" s="99">
        <v>0</v>
      </c>
      <c r="E2896" s="99">
        <v>0</v>
      </c>
      <c r="F2896" s="99">
        <v>0</v>
      </c>
      <c r="G2896" s="99">
        <v>0</v>
      </c>
      <c r="H2896" s="99">
        <v>0</v>
      </c>
      <c r="I2896" s="99">
        <v>0</v>
      </c>
      <c r="J2896" s="99">
        <v>0</v>
      </c>
    </row>
    <row r="2897" spans="1:10">
      <c r="A2897" s="95" t="s">
        <v>15</v>
      </c>
      <c r="B2897" s="95" t="s">
        <v>11</v>
      </c>
      <c r="C2897" s="51">
        <v>0.71875</v>
      </c>
      <c r="D2897" s="96">
        <v>0</v>
      </c>
      <c r="E2897" s="96">
        <v>0</v>
      </c>
      <c r="F2897" s="96">
        <v>0</v>
      </c>
      <c r="G2897" s="96">
        <v>0</v>
      </c>
      <c r="H2897" s="96">
        <v>0</v>
      </c>
      <c r="I2897" s="96">
        <v>0</v>
      </c>
      <c r="J2897" s="96">
        <v>0</v>
      </c>
    </row>
    <row r="2898" spans="1:10">
      <c r="A2898" s="95" t="s">
        <v>15</v>
      </c>
      <c r="B2898" s="95" t="s">
        <v>11</v>
      </c>
      <c r="C2898" s="51">
        <v>0.719444444444444</v>
      </c>
      <c r="D2898" s="96">
        <v>0</v>
      </c>
      <c r="E2898" s="96">
        <v>0</v>
      </c>
      <c r="F2898" s="96">
        <v>0</v>
      </c>
      <c r="G2898" s="96">
        <v>0</v>
      </c>
      <c r="H2898" s="96">
        <v>0</v>
      </c>
      <c r="I2898" s="96">
        <v>0</v>
      </c>
      <c r="J2898" s="96">
        <v>0</v>
      </c>
    </row>
    <row r="2899" spans="1:10">
      <c r="A2899" s="95" t="s">
        <v>15</v>
      </c>
      <c r="B2899" s="95" t="s">
        <v>11</v>
      </c>
      <c r="C2899" s="51">
        <v>0.72013888888888899</v>
      </c>
      <c r="D2899" s="96">
        <v>0</v>
      </c>
      <c r="E2899" s="96">
        <v>0</v>
      </c>
      <c r="F2899" s="96">
        <v>0</v>
      </c>
      <c r="G2899" s="96">
        <v>0</v>
      </c>
      <c r="H2899" s="96">
        <v>0</v>
      </c>
      <c r="I2899" s="96">
        <v>0</v>
      </c>
      <c r="J2899" s="96">
        <v>0</v>
      </c>
    </row>
    <row r="2900" spans="1:10">
      <c r="A2900" s="95" t="s">
        <v>15</v>
      </c>
      <c r="B2900" s="95" t="s">
        <v>11</v>
      </c>
      <c r="C2900" s="51">
        <v>0.72083333333333299</v>
      </c>
      <c r="D2900" s="96">
        <v>0</v>
      </c>
      <c r="E2900" s="96">
        <v>0</v>
      </c>
      <c r="F2900" s="96">
        <v>0</v>
      </c>
      <c r="G2900" s="96">
        <v>0</v>
      </c>
      <c r="H2900" s="96">
        <v>0</v>
      </c>
      <c r="I2900" s="96">
        <v>0</v>
      </c>
      <c r="J2900" s="96">
        <v>0</v>
      </c>
    </row>
    <row r="2901" spans="1:10">
      <c r="A2901" s="95" t="s">
        <v>15</v>
      </c>
      <c r="B2901" s="95" t="s">
        <v>11</v>
      </c>
      <c r="C2901" s="51">
        <v>0.72152777777777799</v>
      </c>
      <c r="D2901" s="96">
        <v>0</v>
      </c>
      <c r="E2901" s="96">
        <v>0</v>
      </c>
      <c r="F2901" s="96">
        <v>0</v>
      </c>
      <c r="G2901" s="96">
        <v>0</v>
      </c>
      <c r="H2901" s="96">
        <v>0</v>
      </c>
      <c r="I2901" s="96">
        <v>0</v>
      </c>
      <c r="J2901" s="96">
        <v>0</v>
      </c>
    </row>
    <row r="2902" spans="1:10">
      <c r="A2902" s="95" t="s">
        <v>15</v>
      </c>
      <c r="B2902" s="95" t="s">
        <v>11</v>
      </c>
      <c r="C2902" s="51">
        <v>0.72222222222222199</v>
      </c>
      <c r="D2902" s="96">
        <v>0</v>
      </c>
      <c r="E2902" s="96">
        <v>0</v>
      </c>
      <c r="F2902" s="96">
        <v>0</v>
      </c>
      <c r="G2902" s="96">
        <v>0</v>
      </c>
      <c r="H2902" s="96">
        <v>0</v>
      </c>
      <c r="I2902" s="96">
        <v>0</v>
      </c>
      <c r="J2902" s="96">
        <v>0</v>
      </c>
    </row>
    <row r="2903" spans="1:10">
      <c r="A2903" s="95" t="s">
        <v>15</v>
      </c>
      <c r="B2903" s="95" t="s">
        <v>11</v>
      </c>
      <c r="C2903" s="51">
        <v>0.72291666666666698</v>
      </c>
      <c r="D2903" s="96">
        <v>0</v>
      </c>
      <c r="E2903" s="96">
        <v>0</v>
      </c>
      <c r="F2903" s="96">
        <v>0</v>
      </c>
      <c r="G2903" s="96">
        <v>0</v>
      </c>
      <c r="H2903" s="96">
        <v>0</v>
      </c>
      <c r="I2903" s="96">
        <v>0</v>
      </c>
      <c r="J2903" s="96">
        <v>0</v>
      </c>
    </row>
    <row r="2904" spans="1:10">
      <c r="A2904" s="95" t="s">
        <v>15</v>
      </c>
      <c r="B2904" s="95" t="s">
        <v>11</v>
      </c>
      <c r="C2904" s="51">
        <v>0.72361111111111098</v>
      </c>
      <c r="D2904" s="96">
        <v>0</v>
      </c>
      <c r="E2904" s="96">
        <v>0</v>
      </c>
      <c r="F2904" s="96">
        <v>0</v>
      </c>
      <c r="G2904" s="96">
        <v>0</v>
      </c>
      <c r="H2904" s="96">
        <v>0</v>
      </c>
      <c r="I2904" s="96">
        <v>0</v>
      </c>
      <c r="J2904" s="96">
        <v>0</v>
      </c>
    </row>
    <row r="2905" spans="1:10">
      <c r="A2905" s="95" t="s">
        <v>15</v>
      </c>
      <c r="B2905" s="95" t="s">
        <v>11</v>
      </c>
      <c r="C2905" s="51">
        <v>0.72430555555555598</v>
      </c>
      <c r="D2905" s="96">
        <v>0</v>
      </c>
      <c r="E2905" s="96">
        <v>0</v>
      </c>
      <c r="F2905" s="96">
        <v>0</v>
      </c>
      <c r="G2905" s="96">
        <v>0</v>
      </c>
      <c r="H2905" s="96">
        <v>0</v>
      </c>
      <c r="I2905" s="96">
        <v>0</v>
      </c>
      <c r="J2905" s="96">
        <v>0</v>
      </c>
    </row>
    <row r="2906" spans="1:10">
      <c r="A2906" s="95" t="s">
        <v>15</v>
      </c>
      <c r="B2906" s="95" t="s">
        <v>11</v>
      </c>
      <c r="C2906" s="51">
        <v>0.72499999999999998</v>
      </c>
      <c r="D2906" s="96">
        <v>0</v>
      </c>
      <c r="E2906" s="96">
        <v>0</v>
      </c>
      <c r="F2906" s="96">
        <v>0</v>
      </c>
      <c r="G2906" s="96">
        <v>0</v>
      </c>
      <c r="H2906" s="96">
        <v>0</v>
      </c>
      <c r="I2906" s="96">
        <v>0</v>
      </c>
      <c r="J2906" s="96">
        <v>0</v>
      </c>
    </row>
    <row r="2907" spans="1:10">
      <c r="A2907" s="95" t="s">
        <v>15</v>
      </c>
      <c r="B2907" s="95" t="s">
        <v>11</v>
      </c>
      <c r="C2907" s="51">
        <v>0.72569444444444398</v>
      </c>
      <c r="D2907" s="96">
        <v>0</v>
      </c>
      <c r="E2907" s="96">
        <v>0</v>
      </c>
      <c r="F2907" s="96">
        <v>0</v>
      </c>
      <c r="G2907" s="96">
        <v>0</v>
      </c>
      <c r="H2907" s="96">
        <v>0</v>
      </c>
      <c r="I2907" s="96">
        <v>0</v>
      </c>
      <c r="J2907" s="96">
        <v>0</v>
      </c>
    </row>
    <row r="2908" spans="1:10">
      <c r="A2908" s="95" t="s">
        <v>15</v>
      </c>
      <c r="B2908" s="95" t="s">
        <v>11</v>
      </c>
      <c r="C2908" s="51">
        <v>0.72638888888888897</v>
      </c>
      <c r="D2908" s="96">
        <v>0</v>
      </c>
      <c r="E2908" s="96">
        <v>0</v>
      </c>
      <c r="F2908" s="96">
        <v>0</v>
      </c>
      <c r="G2908" s="96">
        <v>0</v>
      </c>
      <c r="H2908" s="96">
        <v>0</v>
      </c>
      <c r="I2908" s="96">
        <v>0</v>
      </c>
      <c r="J2908" s="96">
        <v>0</v>
      </c>
    </row>
    <row r="2909" spans="1:10">
      <c r="A2909" s="95" t="s">
        <v>15</v>
      </c>
      <c r="B2909" s="95" t="s">
        <v>11</v>
      </c>
      <c r="C2909" s="51">
        <v>0.72708333333333297</v>
      </c>
      <c r="D2909" s="96">
        <v>0</v>
      </c>
      <c r="E2909" s="96">
        <v>0</v>
      </c>
      <c r="F2909" s="96">
        <v>0</v>
      </c>
      <c r="G2909" s="96">
        <v>0</v>
      </c>
      <c r="H2909" s="96">
        <v>0</v>
      </c>
      <c r="I2909" s="96">
        <v>0</v>
      </c>
      <c r="J2909" s="96">
        <v>0</v>
      </c>
    </row>
    <row r="2910" spans="1:10">
      <c r="A2910" s="95" t="s">
        <v>15</v>
      </c>
      <c r="B2910" s="95" t="s">
        <v>11</v>
      </c>
      <c r="C2910" s="51">
        <v>0.72777777777777797</v>
      </c>
      <c r="D2910" s="96">
        <v>0</v>
      </c>
      <c r="E2910" s="96">
        <v>0</v>
      </c>
      <c r="F2910" s="96">
        <v>0</v>
      </c>
      <c r="G2910" s="96">
        <v>0</v>
      </c>
      <c r="H2910" s="96">
        <v>0</v>
      </c>
      <c r="I2910" s="96">
        <v>0</v>
      </c>
      <c r="J2910" s="96">
        <v>0</v>
      </c>
    </row>
    <row r="2911" spans="1:10" s="80" customFormat="1">
      <c r="A2911" s="97" t="s">
        <v>15</v>
      </c>
      <c r="B2911" s="97" t="s">
        <v>11</v>
      </c>
      <c r="C2911" s="98">
        <v>0.72847222222222197</v>
      </c>
      <c r="D2911" s="99">
        <v>0</v>
      </c>
      <c r="E2911" s="99">
        <v>0</v>
      </c>
      <c r="F2911" s="99">
        <v>0</v>
      </c>
      <c r="G2911" s="99">
        <v>0</v>
      </c>
      <c r="H2911" s="99">
        <v>0</v>
      </c>
      <c r="I2911" s="99">
        <v>0</v>
      </c>
      <c r="J2911" s="99">
        <v>0</v>
      </c>
    </row>
    <row r="2912" spans="1:10">
      <c r="A2912" s="95" t="s">
        <v>15</v>
      </c>
      <c r="B2912" s="95" t="s">
        <v>11</v>
      </c>
      <c r="C2912" s="51">
        <v>0.72916666666666696</v>
      </c>
      <c r="D2912" s="96">
        <v>0</v>
      </c>
      <c r="E2912" s="96">
        <v>0</v>
      </c>
      <c r="F2912" s="96">
        <v>0</v>
      </c>
      <c r="G2912" s="96">
        <v>0</v>
      </c>
      <c r="H2912" s="96">
        <v>0</v>
      </c>
      <c r="I2912" s="96">
        <v>0</v>
      </c>
      <c r="J2912" s="96">
        <v>0</v>
      </c>
    </row>
    <row r="2913" spans="1:10">
      <c r="A2913" s="95" t="s">
        <v>15</v>
      </c>
      <c r="B2913" s="95" t="s">
        <v>11</v>
      </c>
      <c r="C2913" s="51">
        <v>0.72986111111111096</v>
      </c>
      <c r="D2913" s="96">
        <v>0</v>
      </c>
      <c r="E2913" s="96">
        <v>0</v>
      </c>
      <c r="F2913" s="96">
        <v>0</v>
      </c>
      <c r="G2913" s="96">
        <v>0</v>
      </c>
      <c r="H2913" s="96">
        <v>0</v>
      </c>
      <c r="I2913" s="96">
        <v>0</v>
      </c>
      <c r="J2913" s="96">
        <v>0</v>
      </c>
    </row>
    <row r="2914" spans="1:10">
      <c r="A2914" s="95" t="s">
        <v>15</v>
      </c>
      <c r="B2914" s="95" t="s">
        <v>11</v>
      </c>
      <c r="C2914" s="51">
        <v>0.73055555555555596</v>
      </c>
      <c r="D2914" s="96">
        <v>0</v>
      </c>
      <c r="E2914" s="96">
        <v>0</v>
      </c>
      <c r="F2914" s="96">
        <v>0</v>
      </c>
      <c r="G2914" s="96">
        <v>0</v>
      </c>
      <c r="H2914" s="96">
        <v>0</v>
      </c>
      <c r="I2914" s="96">
        <v>0</v>
      </c>
      <c r="J2914" s="96">
        <v>0</v>
      </c>
    </row>
    <row r="2915" spans="1:10">
      <c r="A2915" s="95" t="s">
        <v>15</v>
      </c>
      <c r="B2915" s="95" t="s">
        <v>11</v>
      </c>
      <c r="C2915" s="51">
        <v>0.73124999999999996</v>
      </c>
      <c r="D2915" s="96">
        <v>0</v>
      </c>
      <c r="E2915" s="96">
        <v>0</v>
      </c>
      <c r="F2915" s="96">
        <v>0</v>
      </c>
      <c r="G2915" s="96">
        <v>0</v>
      </c>
      <c r="H2915" s="96">
        <v>0</v>
      </c>
      <c r="I2915" s="96">
        <v>0</v>
      </c>
      <c r="J2915" s="96">
        <v>0</v>
      </c>
    </row>
    <row r="2916" spans="1:10">
      <c r="A2916" s="95" t="s">
        <v>15</v>
      </c>
      <c r="B2916" s="95" t="s">
        <v>11</v>
      </c>
      <c r="C2916" s="51">
        <v>0.73194444444444395</v>
      </c>
      <c r="D2916" s="96">
        <v>0</v>
      </c>
      <c r="E2916" s="96">
        <v>0</v>
      </c>
      <c r="F2916" s="96">
        <v>0</v>
      </c>
      <c r="G2916" s="96">
        <v>0</v>
      </c>
      <c r="H2916" s="96">
        <v>0</v>
      </c>
      <c r="I2916" s="96">
        <v>0</v>
      </c>
      <c r="J2916" s="96">
        <v>0</v>
      </c>
    </row>
    <row r="2917" spans="1:10">
      <c r="A2917" s="95" t="s">
        <v>15</v>
      </c>
      <c r="B2917" s="95" t="s">
        <v>11</v>
      </c>
      <c r="C2917" s="51">
        <v>0.73263888888888895</v>
      </c>
      <c r="D2917" s="96">
        <v>0</v>
      </c>
      <c r="E2917" s="96">
        <v>0</v>
      </c>
      <c r="F2917" s="96">
        <v>0</v>
      </c>
      <c r="G2917" s="96">
        <v>0</v>
      </c>
      <c r="H2917" s="96">
        <v>0</v>
      </c>
      <c r="I2917" s="96">
        <v>0</v>
      </c>
      <c r="J2917" s="96">
        <v>0</v>
      </c>
    </row>
    <row r="2918" spans="1:10">
      <c r="A2918" s="95" t="s">
        <v>15</v>
      </c>
      <c r="B2918" s="95" t="s">
        <v>11</v>
      </c>
      <c r="C2918" s="51">
        <v>0.73333333333333295</v>
      </c>
      <c r="D2918" s="96">
        <v>0</v>
      </c>
      <c r="E2918" s="96">
        <v>0</v>
      </c>
      <c r="F2918" s="96">
        <v>0</v>
      </c>
      <c r="G2918" s="96">
        <v>0</v>
      </c>
      <c r="H2918" s="96">
        <v>0</v>
      </c>
      <c r="I2918" s="96">
        <v>0</v>
      </c>
      <c r="J2918" s="96">
        <v>0</v>
      </c>
    </row>
    <row r="2919" spans="1:10">
      <c r="A2919" s="95" t="s">
        <v>15</v>
      </c>
      <c r="B2919" s="95" t="s">
        <v>11</v>
      </c>
      <c r="C2919" s="51">
        <v>0.73402777777777795</v>
      </c>
      <c r="D2919" s="96">
        <v>0</v>
      </c>
      <c r="E2919" s="96">
        <v>0</v>
      </c>
      <c r="F2919" s="96">
        <v>0</v>
      </c>
      <c r="G2919" s="96">
        <v>0</v>
      </c>
      <c r="H2919" s="96">
        <v>0</v>
      </c>
      <c r="I2919" s="96">
        <v>0</v>
      </c>
      <c r="J2919" s="96">
        <v>0</v>
      </c>
    </row>
    <row r="2920" spans="1:10">
      <c r="A2920" s="95" t="s">
        <v>15</v>
      </c>
      <c r="B2920" s="95" t="s">
        <v>11</v>
      </c>
      <c r="C2920" s="51">
        <v>0.73472222222222205</v>
      </c>
      <c r="D2920" s="96">
        <v>0</v>
      </c>
      <c r="E2920" s="96">
        <v>0</v>
      </c>
      <c r="F2920" s="96">
        <v>0</v>
      </c>
      <c r="G2920" s="96">
        <v>0</v>
      </c>
      <c r="H2920" s="96">
        <v>0</v>
      </c>
      <c r="I2920" s="96">
        <v>0</v>
      </c>
      <c r="J2920" s="96">
        <v>0</v>
      </c>
    </row>
    <row r="2921" spans="1:10">
      <c r="A2921" s="95" t="s">
        <v>15</v>
      </c>
      <c r="B2921" s="95" t="s">
        <v>11</v>
      </c>
      <c r="C2921" s="51">
        <v>0.73541666666666705</v>
      </c>
      <c r="D2921" s="96">
        <v>0</v>
      </c>
      <c r="E2921" s="96">
        <v>0</v>
      </c>
      <c r="F2921" s="96">
        <v>0</v>
      </c>
      <c r="G2921" s="96">
        <v>0</v>
      </c>
      <c r="H2921" s="96">
        <v>0</v>
      </c>
      <c r="I2921" s="96">
        <v>0</v>
      </c>
      <c r="J2921" s="96">
        <v>0</v>
      </c>
    </row>
    <row r="2922" spans="1:10">
      <c r="A2922" s="95" t="s">
        <v>15</v>
      </c>
      <c r="B2922" s="95" t="s">
        <v>11</v>
      </c>
      <c r="C2922" s="51">
        <v>0.73611111111111105</v>
      </c>
      <c r="D2922" s="96">
        <v>0</v>
      </c>
      <c r="E2922" s="96">
        <v>0</v>
      </c>
      <c r="F2922" s="96">
        <v>0</v>
      </c>
      <c r="G2922" s="96">
        <v>0</v>
      </c>
      <c r="H2922" s="96">
        <v>0</v>
      </c>
      <c r="I2922" s="96">
        <v>0</v>
      </c>
      <c r="J2922" s="96">
        <v>0</v>
      </c>
    </row>
    <row r="2923" spans="1:10">
      <c r="A2923" s="95" t="s">
        <v>15</v>
      </c>
      <c r="B2923" s="95" t="s">
        <v>11</v>
      </c>
      <c r="C2923" s="51">
        <v>0.73680555555555505</v>
      </c>
      <c r="D2923" s="96">
        <v>0</v>
      </c>
      <c r="E2923" s="96">
        <v>0</v>
      </c>
      <c r="F2923" s="96">
        <v>0</v>
      </c>
      <c r="G2923" s="96">
        <v>0</v>
      </c>
      <c r="H2923" s="96">
        <v>0</v>
      </c>
      <c r="I2923" s="96">
        <v>0</v>
      </c>
      <c r="J2923" s="96">
        <v>0</v>
      </c>
    </row>
    <row r="2924" spans="1:10">
      <c r="A2924" s="95" t="s">
        <v>15</v>
      </c>
      <c r="B2924" s="95" t="s">
        <v>11</v>
      </c>
      <c r="C2924" s="51">
        <v>0.73750000000000004</v>
      </c>
      <c r="D2924" s="96">
        <v>0</v>
      </c>
      <c r="E2924" s="96">
        <v>0</v>
      </c>
      <c r="F2924" s="96">
        <v>0</v>
      </c>
      <c r="G2924" s="96">
        <v>0</v>
      </c>
      <c r="H2924" s="96">
        <v>0</v>
      </c>
      <c r="I2924" s="96">
        <v>0</v>
      </c>
      <c r="J2924" s="96">
        <v>0</v>
      </c>
    </row>
    <row r="2925" spans="1:10">
      <c r="A2925" s="95" t="s">
        <v>15</v>
      </c>
      <c r="B2925" s="95" t="s">
        <v>11</v>
      </c>
      <c r="C2925" s="51">
        <v>0.73819444444444404</v>
      </c>
      <c r="D2925" s="96">
        <v>0</v>
      </c>
      <c r="E2925" s="96">
        <v>0</v>
      </c>
      <c r="F2925" s="96">
        <v>0</v>
      </c>
      <c r="G2925" s="96">
        <v>0</v>
      </c>
      <c r="H2925" s="96">
        <v>0</v>
      </c>
      <c r="I2925" s="96">
        <v>0</v>
      </c>
      <c r="J2925" s="96">
        <v>0</v>
      </c>
    </row>
    <row r="2926" spans="1:10" s="80" customFormat="1">
      <c r="A2926" s="97" t="s">
        <v>15</v>
      </c>
      <c r="B2926" s="97" t="s">
        <v>11</v>
      </c>
      <c r="C2926" s="98">
        <v>0.73888888888888904</v>
      </c>
      <c r="D2926" s="99">
        <v>0</v>
      </c>
      <c r="E2926" s="99">
        <v>0</v>
      </c>
      <c r="F2926" s="99">
        <v>0</v>
      </c>
      <c r="G2926" s="99">
        <v>0</v>
      </c>
      <c r="H2926" s="99">
        <v>0</v>
      </c>
      <c r="I2926" s="99">
        <v>0</v>
      </c>
      <c r="J2926" s="99">
        <v>0</v>
      </c>
    </row>
    <row r="2927" spans="1:10">
      <c r="A2927" s="95" t="s">
        <v>15</v>
      </c>
      <c r="B2927" s="95" t="s">
        <v>11</v>
      </c>
      <c r="C2927" s="51">
        <v>0.73958333333333304</v>
      </c>
      <c r="D2927" s="96">
        <v>0</v>
      </c>
      <c r="E2927" s="96">
        <v>0</v>
      </c>
      <c r="F2927" s="96">
        <v>0</v>
      </c>
      <c r="G2927" s="96">
        <v>0</v>
      </c>
      <c r="H2927" s="96">
        <v>0</v>
      </c>
      <c r="I2927" s="96">
        <v>0</v>
      </c>
      <c r="J2927" s="96">
        <v>0</v>
      </c>
    </row>
    <row r="2928" spans="1:10">
      <c r="A2928" s="95" t="s">
        <v>15</v>
      </c>
      <c r="B2928" s="95" t="s">
        <v>11</v>
      </c>
      <c r="C2928" s="51">
        <v>0.74027777777777803</v>
      </c>
      <c r="D2928" s="96">
        <v>0</v>
      </c>
      <c r="E2928" s="96">
        <v>0</v>
      </c>
      <c r="F2928" s="96">
        <v>0</v>
      </c>
      <c r="G2928" s="96">
        <v>0</v>
      </c>
      <c r="H2928" s="96">
        <v>0</v>
      </c>
      <c r="I2928" s="96">
        <v>0</v>
      </c>
      <c r="J2928" s="96">
        <v>0</v>
      </c>
    </row>
    <row r="2929" spans="1:10">
      <c r="A2929" s="95" t="s">
        <v>15</v>
      </c>
      <c r="B2929" s="95" t="s">
        <v>11</v>
      </c>
      <c r="C2929" s="51">
        <v>0.74097222222222203</v>
      </c>
      <c r="D2929" s="96">
        <v>0</v>
      </c>
      <c r="E2929" s="96">
        <v>0</v>
      </c>
      <c r="F2929" s="96">
        <v>0</v>
      </c>
      <c r="G2929" s="96">
        <v>0</v>
      </c>
      <c r="H2929" s="96">
        <v>0</v>
      </c>
      <c r="I2929" s="96">
        <v>0</v>
      </c>
      <c r="J2929" s="96">
        <v>0</v>
      </c>
    </row>
    <row r="2930" spans="1:10">
      <c r="A2930" s="95" t="s">
        <v>15</v>
      </c>
      <c r="B2930" s="95" t="s">
        <v>11</v>
      </c>
      <c r="C2930" s="51">
        <v>0.74166666666666703</v>
      </c>
      <c r="D2930" s="96">
        <v>0</v>
      </c>
      <c r="E2930" s="96">
        <v>0</v>
      </c>
      <c r="F2930" s="96">
        <v>0</v>
      </c>
      <c r="G2930" s="96">
        <v>0</v>
      </c>
      <c r="H2930" s="96">
        <v>0</v>
      </c>
      <c r="I2930" s="96">
        <v>0</v>
      </c>
      <c r="J2930" s="96">
        <v>0</v>
      </c>
    </row>
    <row r="2931" spans="1:10">
      <c r="A2931" s="95" t="s">
        <v>15</v>
      </c>
      <c r="B2931" s="95" t="s">
        <v>11</v>
      </c>
      <c r="C2931" s="51">
        <v>0.74236111111111103</v>
      </c>
      <c r="D2931" s="96">
        <v>0</v>
      </c>
      <c r="E2931" s="96">
        <v>0</v>
      </c>
      <c r="F2931" s="96">
        <v>0</v>
      </c>
      <c r="G2931" s="96">
        <v>0</v>
      </c>
      <c r="H2931" s="96">
        <v>0</v>
      </c>
      <c r="I2931" s="96">
        <v>0</v>
      </c>
      <c r="J2931" s="96">
        <v>0</v>
      </c>
    </row>
    <row r="2932" spans="1:10">
      <c r="A2932" s="95" t="s">
        <v>15</v>
      </c>
      <c r="B2932" s="95" t="s">
        <v>11</v>
      </c>
      <c r="C2932" s="51">
        <v>0.74305555555555503</v>
      </c>
      <c r="D2932" s="96">
        <v>0</v>
      </c>
      <c r="E2932" s="96">
        <v>0</v>
      </c>
      <c r="F2932" s="96">
        <v>0</v>
      </c>
      <c r="G2932" s="96">
        <v>0</v>
      </c>
      <c r="H2932" s="96">
        <v>0</v>
      </c>
      <c r="I2932" s="96">
        <v>0</v>
      </c>
      <c r="J2932" s="96">
        <v>0</v>
      </c>
    </row>
    <row r="2933" spans="1:10">
      <c r="A2933" s="95" t="s">
        <v>15</v>
      </c>
      <c r="B2933" s="95" t="s">
        <v>11</v>
      </c>
      <c r="C2933" s="51">
        <v>0.74375000000000002</v>
      </c>
      <c r="D2933" s="96">
        <v>0</v>
      </c>
      <c r="E2933" s="96">
        <v>0</v>
      </c>
      <c r="F2933" s="96">
        <v>0</v>
      </c>
      <c r="G2933" s="96">
        <v>0</v>
      </c>
      <c r="H2933" s="96">
        <v>0</v>
      </c>
      <c r="I2933" s="96">
        <v>0</v>
      </c>
      <c r="J2933" s="96">
        <v>0</v>
      </c>
    </row>
    <row r="2934" spans="1:10">
      <c r="A2934" s="95" t="s">
        <v>15</v>
      </c>
      <c r="B2934" s="95" t="s">
        <v>11</v>
      </c>
      <c r="C2934" s="51">
        <v>0.74444444444444402</v>
      </c>
      <c r="D2934" s="96">
        <v>0</v>
      </c>
      <c r="E2934" s="96">
        <v>0</v>
      </c>
      <c r="F2934" s="96">
        <v>0</v>
      </c>
      <c r="G2934" s="96">
        <v>0</v>
      </c>
      <c r="H2934" s="96">
        <v>0</v>
      </c>
      <c r="I2934" s="96">
        <v>0</v>
      </c>
      <c r="J2934" s="96">
        <v>0</v>
      </c>
    </row>
    <row r="2935" spans="1:10">
      <c r="A2935" s="95" t="s">
        <v>15</v>
      </c>
      <c r="B2935" s="95" t="s">
        <v>11</v>
      </c>
      <c r="C2935" s="51">
        <v>0.74513888888888902</v>
      </c>
      <c r="D2935" s="96">
        <v>0</v>
      </c>
      <c r="E2935" s="96">
        <v>0</v>
      </c>
      <c r="F2935" s="96">
        <v>0</v>
      </c>
      <c r="G2935" s="96">
        <v>0</v>
      </c>
      <c r="H2935" s="96">
        <v>0</v>
      </c>
      <c r="I2935" s="96">
        <v>0</v>
      </c>
      <c r="J2935" s="96">
        <v>0</v>
      </c>
    </row>
    <row r="2936" spans="1:10">
      <c r="A2936" s="95" t="s">
        <v>15</v>
      </c>
      <c r="B2936" s="95" t="s">
        <v>11</v>
      </c>
      <c r="C2936" s="51">
        <v>0.74583333333333302</v>
      </c>
      <c r="D2936" s="96">
        <v>0</v>
      </c>
      <c r="E2936" s="96">
        <v>0</v>
      </c>
      <c r="F2936" s="96">
        <v>0</v>
      </c>
      <c r="G2936" s="96">
        <v>0</v>
      </c>
      <c r="H2936" s="96">
        <v>0</v>
      </c>
      <c r="I2936" s="96">
        <v>0</v>
      </c>
      <c r="J2936" s="96">
        <v>0</v>
      </c>
    </row>
    <row r="2937" spans="1:10">
      <c r="A2937" s="95" t="s">
        <v>15</v>
      </c>
      <c r="B2937" s="95" t="s">
        <v>11</v>
      </c>
      <c r="C2937" s="51">
        <v>0.74652777777777801</v>
      </c>
      <c r="D2937" s="96">
        <v>0</v>
      </c>
      <c r="E2937" s="96">
        <v>0</v>
      </c>
      <c r="F2937" s="96">
        <v>0</v>
      </c>
      <c r="G2937" s="96">
        <v>0</v>
      </c>
      <c r="H2937" s="96">
        <v>0</v>
      </c>
      <c r="I2937" s="96">
        <v>0</v>
      </c>
      <c r="J2937" s="96">
        <v>0</v>
      </c>
    </row>
    <row r="2938" spans="1:10">
      <c r="A2938" s="95" t="s">
        <v>15</v>
      </c>
      <c r="B2938" s="95" t="s">
        <v>11</v>
      </c>
      <c r="C2938" s="51">
        <v>0.74722222222222201</v>
      </c>
      <c r="D2938" s="96">
        <v>0</v>
      </c>
      <c r="E2938" s="96">
        <v>0</v>
      </c>
      <c r="F2938" s="96">
        <v>0</v>
      </c>
      <c r="G2938" s="96">
        <v>0</v>
      </c>
      <c r="H2938" s="96">
        <v>0</v>
      </c>
      <c r="I2938" s="96">
        <v>0</v>
      </c>
      <c r="J2938" s="96">
        <v>0</v>
      </c>
    </row>
    <row r="2939" spans="1:10">
      <c r="A2939" s="95" t="s">
        <v>15</v>
      </c>
      <c r="B2939" s="95" t="s">
        <v>11</v>
      </c>
      <c r="C2939" s="51">
        <v>0.74791666666666701</v>
      </c>
      <c r="D2939" s="96">
        <v>0</v>
      </c>
      <c r="E2939" s="96">
        <v>0</v>
      </c>
      <c r="F2939" s="96">
        <v>0</v>
      </c>
      <c r="G2939" s="96">
        <v>0</v>
      </c>
      <c r="H2939" s="96">
        <v>0</v>
      </c>
      <c r="I2939" s="96">
        <v>0</v>
      </c>
      <c r="J2939" s="96">
        <v>0</v>
      </c>
    </row>
    <row r="2940" spans="1:10">
      <c r="A2940" s="95" t="s">
        <v>15</v>
      </c>
      <c r="B2940" s="95" t="s">
        <v>11</v>
      </c>
      <c r="C2940" s="51">
        <v>0.74861111111111101</v>
      </c>
      <c r="D2940" s="96">
        <v>0</v>
      </c>
      <c r="E2940" s="96">
        <v>0</v>
      </c>
      <c r="F2940" s="96">
        <v>0</v>
      </c>
      <c r="G2940" s="96">
        <v>0</v>
      </c>
      <c r="H2940" s="96">
        <v>0</v>
      </c>
      <c r="I2940" s="96">
        <v>0</v>
      </c>
      <c r="J2940" s="96">
        <v>0</v>
      </c>
    </row>
    <row r="2941" spans="1:10" s="80" customFormat="1">
      <c r="A2941" s="97" t="s">
        <v>15</v>
      </c>
      <c r="B2941" s="97" t="s">
        <v>11</v>
      </c>
      <c r="C2941" s="98">
        <v>0.749305555555555</v>
      </c>
      <c r="D2941" s="99">
        <v>0</v>
      </c>
      <c r="E2941" s="99">
        <v>0</v>
      </c>
      <c r="F2941" s="99">
        <v>0</v>
      </c>
      <c r="G2941" s="99">
        <v>0</v>
      </c>
      <c r="H2941" s="99">
        <v>0</v>
      </c>
      <c r="I2941" s="99">
        <v>0</v>
      </c>
      <c r="J2941" s="99">
        <v>0</v>
      </c>
    </row>
    <row r="2942" spans="1:10">
      <c r="A2942" s="95" t="s">
        <v>15</v>
      </c>
      <c r="B2942" s="95" t="s">
        <v>11</v>
      </c>
      <c r="C2942" s="51">
        <v>0.75</v>
      </c>
      <c r="D2942" s="96">
        <v>0</v>
      </c>
      <c r="E2942" s="96">
        <v>0</v>
      </c>
      <c r="F2942" s="96">
        <v>0</v>
      </c>
      <c r="G2942" s="96">
        <v>0</v>
      </c>
      <c r="H2942" s="96">
        <v>0</v>
      </c>
      <c r="I2942" s="96">
        <v>0</v>
      </c>
      <c r="J2942" s="96">
        <v>0</v>
      </c>
    </row>
    <row r="2943" spans="1:10">
      <c r="A2943" s="95" t="s">
        <v>15</v>
      </c>
      <c r="B2943" s="95" t="s">
        <v>11</v>
      </c>
      <c r="C2943" s="51">
        <v>0.750694444444444</v>
      </c>
      <c r="D2943" s="96">
        <v>0</v>
      </c>
      <c r="E2943" s="96">
        <v>0</v>
      </c>
      <c r="F2943" s="96">
        <v>0</v>
      </c>
      <c r="G2943" s="96">
        <v>0</v>
      </c>
      <c r="H2943" s="96">
        <v>0</v>
      </c>
      <c r="I2943" s="96">
        <v>0</v>
      </c>
      <c r="J2943" s="96">
        <v>0</v>
      </c>
    </row>
    <row r="2944" spans="1:10">
      <c r="A2944" s="95" t="s">
        <v>15</v>
      </c>
      <c r="B2944" s="95" t="s">
        <v>11</v>
      </c>
      <c r="C2944" s="51">
        <v>0.75138888888888899</v>
      </c>
      <c r="D2944" s="96">
        <v>0</v>
      </c>
      <c r="E2944" s="96">
        <v>0</v>
      </c>
      <c r="F2944" s="96">
        <v>0</v>
      </c>
      <c r="G2944" s="96">
        <v>0</v>
      </c>
      <c r="H2944" s="96">
        <v>0</v>
      </c>
      <c r="I2944" s="96">
        <v>0</v>
      </c>
      <c r="J2944" s="96">
        <v>0</v>
      </c>
    </row>
    <row r="2945" spans="1:10">
      <c r="A2945" s="95" t="s">
        <v>15</v>
      </c>
      <c r="B2945" s="95" t="s">
        <v>11</v>
      </c>
      <c r="C2945" s="51">
        <v>0.75208333333333299</v>
      </c>
      <c r="D2945" s="96">
        <v>0</v>
      </c>
      <c r="E2945" s="96">
        <v>0</v>
      </c>
      <c r="F2945" s="96">
        <v>0</v>
      </c>
      <c r="G2945" s="96">
        <v>0</v>
      </c>
      <c r="H2945" s="96">
        <v>0</v>
      </c>
      <c r="I2945" s="96">
        <v>0</v>
      </c>
      <c r="J2945" s="96">
        <v>0</v>
      </c>
    </row>
    <row r="2946" spans="1:10">
      <c r="A2946" s="95" t="s">
        <v>15</v>
      </c>
      <c r="B2946" s="95" t="s">
        <v>11</v>
      </c>
      <c r="C2946" s="51">
        <v>0.75277777777777799</v>
      </c>
      <c r="D2946" s="96">
        <v>0</v>
      </c>
      <c r="E2946" s="96">
        <v>0</v>
      </c>
      <c r="F2946" s="96">
        <v>0</v>
      </c>
      <c r="G2946" s="96">
        <v>0</v>
      </c>
      <c r="H2946" s="96">
        <v>0</v>
      </c>
      <c r="I2946" s="96">
        <v>0</v>
      </c>
      <c r="J2946" s="96">
        <v>0</v>
      </c>
    </row>
    <row r="2947" spans="1:10">
      <c r="A2947" s="95" t="s">
        <v>15</v>
      </c>
      <c r="B2947" s="95" t="s">
        <v>11</v>
      </c>
      <c r="C2947" s="51">
        <v>0.75347222222222199</v>
      </c>
      <c r="D2947" s="96">
        <v>0</v>
      </c>
      <c r="E2947" s="96">
        <v>0</v>
      </c>
      <c r="F2947" s="96">
        <v>0</v>
      </c>
      <c r="G2947" s="96">
        <v>0</v>
      </c>
      <c r="H2947" s="96">
        <v>0</v>
      </c>
      <c r="I2947" s="96">
        <v>0</v>
      </c>
      <c r="J2947" s="96">
        <v>0</v>
      </c>
    </row>
    <row r="2948" spans="1:10">
      <c r="A2948" s="95" t="s">
        <v>15</v>
      </c>
      <c r="B2948" s="95" t="s">
        <v>11</v>
      </c>
      <c r="C2948" s="51">
        <v>0.75416666666666698</v>
      </c>
      <c r="D2948" s="96">
        <v>0</v>
      </c>
      <c r="E2948" s="96">
        <v>0</v>
      </c>
      <c r="F2948" s="96">
        <v>0</v>
      </c>
      <c r="G2948" s="96">
        <v>0</v>
      </c>
      <c r="H2948" s="96">
        <v>0</v>
      </c>
      <c r="I2948" s="96">
        <v>0</v>
      </c>
      <c r="J2948" s="96">
        <v>0</v>
      </c>
    </row>
    <row r="2949" spans="1:10">
      <c r="A2949" s="95" t="s">
        <v>15</v>
      </c>
      <c r="B2949" s="95" t="s">
        <v>11</v>
      </c>
      <c r="C2949" s="51">
        <v>0.75486111111111098</v>
      </c>
      <c r="D2949" s="96">
        <v>0</v>
      </c>
      <c r="E2949" s="96">
        <v>0</v>
      </c>
      <c r="F2949" s="96">
        <v>0</v>
      </c>
      <c r="G2949" s="96">
        <v>0</v>
      </c>
      <c r="H2949" s="96">
        <v>0</v>
      </c>
      <c r="I2949" s="96">
        <v>0</v>
      </c>
      <c r="J2949" s="96">
        <v>0</v>
      </c>
    </row>
    <row r="2950" spans="1:10">
      <c r="A2950" s="95" t="s">
        <v>15</v>
      </c>
      <c r="B2950" s="95" t="s">
        <v>11</v>
      </c>
      <c r="C2950" s="51">
        <v>0.75555555555555498</v>
      </c>
      <c r="D2950" s="96">
        <v>0</v>
      </c>
      <c r="E2950" s="96">
        <v>0</v>
      </c>
      <c r="F2950" s="96">
        <v>0</v>
      </c>
      <c r="G2950" s="96">
        <v>0</v>
      </c>
      <c r="H2950" s="96">
        <v>0</v>
      </c>
      <c r="I2950" s="96">
        <v>0</v>
      </c>
      <c r="J2950" s="96">
        <v>0</v>
      </c>
    </row>
    <row r="2951" spans="1:10">
      <c r="A2951" s="95" t="s">
        <v>15</v>
      </c>
      <c r="B2951" s="95" t="s">
        <v>11</v>
      </c>
      <c r="C2951" s="51">
        <v>0.75624999999999998</v>
      </c>
      <c r="D2951" s="96">
        <v>0</v>
      </c>
      <c r="E2951" s="96">
        <v>0</v>
      </c>
      <c r="F2951" s="96">
        <v>0</v>
      </c>
      <c r="G2951" s="96">
        <v>0</v>
      </c>
      <c r="H2951" s="96">
        <v>0</v>
      </c>
      <c r="I2951" s="96">
        <v>0</v>
      </c>
      <c r="J2951" s="96">
        <v>0</v>
      </c>
    </row>
    <row r="2952" spans="1:10">
      <c r="A2952" s="95" t="s">
        <v>15</v>
      </c>
      <c r="B2952" s="95" t="s">
        <v>11</v>
      </c>
      <c r="C2952" s="51">
        <v>0.75694444444444398</v>
      </c>
      <c r="D2952" s="96">
        <v>0</v>
      </c>
      <c r="E2952" s="96">
        <v>0</v>
      </c>
      <c r="F2952" s="96">
        <v>0</v>
      </c>
      <c r="G2952" s="96">
        <v>0</v>
      </c>
      <c r="H2952" s="96">
        <v>0</v>
      </c>
      <c r="I2952" s="96">
        <v>0</v>
      </c>
      <c r="J2952" s="96">
        <v>0</v>
      </c>
    </row>
    <row r="2953" spans="1:10">
      <c r="A2953" s="95" t="s">
        <v>15</v>
      </c>
      <c r="B2953" s="95" t="s">
        <v>11</v>
      </c>
      <c r="C2953" s="51">
        <v>0.75763888888888897</v>
      </c>
      <c r="D2953" s="96">
        <v>0</v>
      </c>
      <c r="E2953" s="96">
        <v>0</v>
      </c>
      <c r="F2953" s="96">
        <v>0</v>
      </c>
      <c r="G2953" s="96">
        <v>0</v>
      </c>
      <c r="H2953" s="96">
        <v>0</v>
      </c>
      <c r="I2953" s="96">
        <v>0</v>
      </c>
      <c r="J2953" s="96">
        <v>0</v>
      </c>
    </row>
    <row r="2954" spans="1:10">
      <c r="A2954" s="95" t="s">
        <v>15</v>
      </c>
      <c r="B2954" s="95" t="s">
        <v>11</v>
      </c>
      <c r="C2954" s="51">
        <v>0.75833333333333297</v>
      </c>
      <c r="D2954" s="96">
        <v>0</v>
      </c>
      <c r="E2954" s="96">
        <v>0</v>
      </c>
      <c r="F2954" s="96">
        <v>0</v>
      </c>
      <c r="G2954" s="96">
        <v>0</v>
      </c>
      <c r="H2954" s="96">
        <v>0</v>
      </c>
      <c r="I2954" s="96">
        <v>0</v>
      </c>
      <c r="J2954" s="96">
        <v>0</v>
      </c>
    </row>
    <row r="2955" spans="1:10">
      <c r="A2955" s="95" t="s">
        <v>15</v>
      </c>
      <c r="B2955" s="95" t="s">
        <v>11</v>
      </c>
      <c r="C2955" s="51">
        <v>0.75902777777777797</v>
      </c>
      <c r="D2955" s="96">
        <v>0</v>
      </c>
      <c r="E2955" s="96">
        <v>0</v>
      </c>
      <c r="F2955" s="96">
        <v>0</v>
      </c>
      <c r="G2955" s="96">
        <v>0</v>
      </c>
      <c r="H2955" s="96">
        <v>0</v>
      </c>
      <c r="I2955" s="96">
        <v>0</v>
      </c>
      <c r="J2955" s="96">
        <v>0</v>
      </c>
    </row>
    <row r="2956" spans="1:10" s="80" customFormat="1">
      <c r="A2956" s="97" t="s">
        <v>15</v>
      </c>
      <c r="B2956" s="97" t="s">
        <v>11</v>
      </c>
      <c r="C2956" s="98">
        <v>0.75972222222222197</v>
      </c>
      <c r="D2956" s="99">
        <v>0</v>
      </c>
      <c r="E2956" s="99">
        <v>0</v>
      </c>
      <c r="F2956" s="99">
        <v>0</v>
      </c>
      <c r="G2956" s="99">
        <v>0</v>
      </c>
      <c r="H2956" s="99">
        <v>0</v>
      </c>
      <c r="I2956" s="99">
        <v>0</v>
      </c>
      <c r="J2956" s="99">
        <v>0</v>
      </c>
    </row>
    <row r="2957" spans="1:10">
      <c r="A2957" s="95" t="s">
        <v>15</v>
      </c>
      <c r="B2957" s="95" t="s">
        <v>11</v>
      </c>
      <c r="C2957" s="51">
        <v>0.76041666666666696</v>
      </c>
      <c r="D2957" s="96">
        <v>0</v>
      </c>
      <c r="E2957" s="96">
        <v>0</v>
      </c>
      <c r="F2957" s="96">
        <v>0</v>
      </c>
      <c r="G2957" s="96">
        <v>0</v>
      </c>
      <c r="H2957" s="96">
        <v>0</v>
      </c>
      <c r="I2957" s="96">
        <v>0</v>
      </c>
      <c r="J2957" s="96">
        <v>0</v>
      </c>
    </row>
    <row r="2958" spans="1:10">
      <c r="A2958" s="95" t="s">
        <v>15</v>
      </c>
      <c r="B2958" s="95" t="s">
        <v>11</v>
      </c>
      <c r="C2958" s="51">
        <v>0.76111111111111096</v>
      </c>
      <c r="D2958" s="96">
        <v>0</v>
      </c>
      <c r="E2958" s="96">
        <v>0</v>
      </c>
      <c r="F2958" s="96">
        <v>0</v>
      </c>
      <c r="G2958" s="96">
        <v>0</v>
      </c>
      <c r="H2958" s="96">
        <v>0</v>
      </c>
      <c r="I2958" s="96">
        <v>0</v>
      </c>
      <c r="J2958" s="96">
        <v>0</v>
      </c>
    </row>
    <row r="2959" spans="1:10">
      <c r="A2959" s="95" t="s">
        <v>15</v>
      </c>
      <c r="B2959" s="95" t="s">
        <v>11</v>
      </c>
      <c r="C2959" s="51">
        <v>0.76180555555555496</v>
      </c>
      <c r="D2959" s="96">
        <v>0</v>
      </c>
      <c r="E2959" s="96">
        <v>0</v>
      </c>
      <c r="F2959" s="96">
        <v>0</v>
      </c>
      <c r="G2959" s="96">
        <v>0</v>
      </c>
      <c r="H2959" s="96">
        <v>0</v>
      </c>
      <c r="I2959" s="96">
        <v>0</v>
      </c>
      <c r="J2959" s="96">
        <v>0</v>
      </c>
    </row>
    <row r="2960" spans="1:10">
      <c r="A2960" s="95" t="s">
        <v>15</v>
      </c>
      <c r="B2960" s="95" t="s">
        <v>11</v>
      </c>
      <c r="C2960" s="51">
        <v>0.76249999999999996</v>
      </c>
      <c r="D2960" s="96">
        <v>0</v>
      </c>
      <c r="E2960" s="96">
        <v>0</v>
      </c>
      <c r="F2960" s="96">
        <v>0</v>
      </c>
      <c r="G2960" s="96">
        <v>0</v>
      </c>
      <c r="H2960" s="96">
        <v>0</v>
      </c>
      <c r="I2960" s="96">
        <v>0</v>
      </c>
      <c r="J2960" s="96">
        <v>0</v>
      </c>
    </row>
    <row r="2961" spans="1:10">
      <c r="A2961" s="95" t="s">
        <v>15</v>
      </c>
      <c r="B2961" s="95" t="s">
        <v>11</v>
      </c>
      <c r="C2961" s="51">
        <v>0.76319444444444395</v>
      </c>
      <c r="D2961" s="96">
        <v>0</v>
      </c>
      <c r="E2961" s="96">
        <v>0</v>
      </c>
      <c r="F2961" s="96">
        <v>0</v>
      </c>
      <c r="G2961" s="96">
        <v>0</v>
      </c>
      <c r="H2961" s="96">
        <v>0</v>
      </c>
      <c r="I2961" s="96">
        <v>0</v>
      </c>
      <c r="J2961" s="96">
        <v>0</v>
      </c>
    </row>
    <row r="2962" spans="1:10">
      <c r="A2962" s="95" t="s">
        <v>15</v>
      </c>
      <c r="B2962" s="95" t="s">
        <v>11</v>
      </c>
      <c r="C2962" s="51">
        <v>0.76388888888888895</v>
      </c>
      <c r="D2962" s="96">
        <v>0</v>
      </c>
      <c r="E2962" s="96">
        <v>0</v>
      </c>
      <c r="F2962" s="96">
        <v>0</v>
      </c>
      <c r="G2962" s="96">
        <v>0</v>
      </c>
      <c r="H2962" s="96">
        <v>0</v>
      </c>
      <c r="I2962" s="96">
        <v>0</v>
      </c>
      <c r="J2962" s="96">
        <v>0</v>
      </c>
    </row>
    <row r="2963" spans="1:10">
      <c r="A2963" s="95" t="s">
        <v>15</v>
      </c>
      <c r="B2963" s="95" t="s">
        <v>11</v>
      </c>
      <c r="C2963" s="51">
        <v>0.76458333333333295</v>
      </c>
      <c r="D2963" s="96">
        <v>0</v>
      </c>
      <c r="E2963" s="96">
        <v>0</v>
      </c>
      <c r="F2963" s="96">
        <v>0</v>
      </c>
      <c r="G2963" s="96">
        <v>0</v>
      </c>
      <c r="H2963" s="96">
        <v>0</v>
      </c>
      <c r="I2963" s="96">
        <v>0</v>
      </c>
      <c r="J2963" s="96">
        <v>0</v>
      </c>
    </row>
    <row r="2964" spans="1:10">
      <c r="A2964" s="95" t="s">
        <v>15</v>
      </c>
      <c r="B2964" s="95" t="s">
        <v>11</v>
      </c>
      <c r="C2964" s="51">
        <v>0.76527777777777795</v>
      </c>
      <c r="D2964" s="96">
        <v>0</v>
      </c>
      <c r="E2964" s="96">
        <v>0</v>
      </c>
      <c r="F2964" s="96">
        <v>0</v>
      </c>
      <c r="G2964" s="96">
        <v>0</v>
      </c>
      <c r="H2964" s="96">
        <v>0</v>
      </c>
      <c r="I2964" s="96">
        <v>0</v>
      </c>
      <c r="J2964" s="96">
        <v>0</v>
      </c>
    </row>
    <row r="2965" spans="1:10">
      <c r="A2965" s="95" t="s">
        <v>15</v>
      </c>
      <c r="B2965" s="95" t="s">
        <v>11</v>
      </c>
      <c r="C2965" s="51">
        <v>0.76597222222222205</v>
      </c>
      <c r="D2965" s="96">
        <v>0</v>
      </c>
      <c r="E2965" s="96">
        <v>0</v>
      </c>
      <c r="F2965" s="96">
        <v>0</v>
      </c>
      <c r="G2965" s="96">
        <v>0</v>
      </c>
      <c r="H2965" s="96">
        <v>0</v>
      </c>
      <c r="I2965" s="96">
        <v>0</v>
      </c>
      <c r="J2965" s="96">
        <v>0</v>
      </c>
    </row>
    <row r="2966" spans="1:10">
      <c r="A2966" s="95" t="s">
        <v>15</v>
      </c>
      <c r="B2966" s="95" t="s">
        <v>11</v>
      </c>
      <c r="C2966" s="51">
        <v>0.76666666666666605</v>
      </c>
      <c r="D2966" s="96">
        <v>0</v>
      </c>
      <c r="E2966" s="96">
        <v>0</v>
      </c>
      <c r="F2966" s="96">
        <v>0</v>
      </c>
      <c r="G2966" s="96">
        <v>0</v>
      </c>
      <c r="H2966" s="96">
        <v>0</v>
      </c>
      <c r="I2966" s="96">
        <v>0</v>
      </c>
      <c r="J2966" s="96">
        <v>0</v>
      </c>
    </row>
    <row r="2967" spans="1:10">
      <c r="A2967" s="95" t="s">
        <v>15</v>
      </c>
      <c r="B2967" s="95" t="s">
        <v>11</v>
      </c>
      <c r="C2967" s="51">
        <v>0.76736111111111105</v>
      </c>
      <c r="D2967" s="96">
        <v>0</v>
      </c>
      <c r="E2967" s="96">
        <v>0</v>
      </c>
      <c r="F2967" s="96">
        <v>0</v>
      </c>
      <c r="G2967" s="96">
        <v>0</v>
      </c>
      <c r="H2967" s="96">
        <v>0</v>
      </c>
      <c r="I2967" s="96">
        <v>0</v>
      </c>
      <c r="J2967" s="96">
        <v>0</v>
      </c>
    </row>
    <row r="2968" spans="1:10">
      <c r="A2968" s="95" t="s">
        <v>15</v>
      </c>
      <c r="B2968" s="95" t="s">
        <v>11</v>
      </c>
      <c r="C2968" s="51">
        <v>0.76805555555555505</v>
      </c>
      <c r="D2968" s="96">
        <v>0</v>
      </c>
      <c r="E2968" s="96">
        <v>0</v>
      </c>
      <c r="F2968" s="96">
        <v>0</v>
      </c>
      <c r="G2968" s="96">
        <v>0</v>
      </c>
      <c r="H2968" s="96">
        <v>0</v>
      </c>
      <c r="I2968" s="96">
        <v>0</v>
      </c>
      <c r="J2968" s="96">
        <v>0</v>
      </c>
    </row>
    <row r="2969" spans="1:10">
      <c r="A2969" s="95" t="s">
        <v>15</v>
      </c>
      <c r="B2969" s="95" t="s">
        <v>11</v>
      </c>
      <c r="C2969" s="51">
        <v>0.76875000000000004</v>
      </c>
      <c r="D2969" s="96">
        <v>0</v>
      </c>
      <c r="E2969" s="96">
        <v>0</v>
      </c>
      <c r="F2969" s="96">
        <v>0</v>
      </c>
      <c r="G2969" s="96">
        <v>0</v>
      </c>
      <c r="H2969" s="96">
        <v>0</v>
      </c>
      <c r="I2969" s="96">
        <v>0</v>
      </c>
      <c r="J2969" s="96">
        <v>0</v>
      </c>
    </row>
    <row r="2970" spans="1:10">
      <c r="A2970" s="95" t="s">
        <v>15</v>
      </c>
      <c r="B2970" s="95" t="s">
        <v>11</v>
      </c>
      <c r="C2970" s="51">
        <v>0.76944444444444404</v>
      </c>
      <c r="D2970" s="96">
        <v>0</v>
      </c>
      <c r="E2970" s="96">
        <v>0</v>
      </c>
      <c r="F2970" s="96">
        <v>0</v>
      </c>
      <c r="G2970" s="96">
        <v>0</v>
      </c>
      <c r="H2970" s="96">
        <v>0</v>
      </c>
      <c r="I2970" s="96">
        <v>0</v>
      </c>
      <c r="J2970" s="96">
        <v>0</v>
      </c>
    </row>
    <row r="2971" spans="1:10" s="80" customFormat="1">
      <c r="A2971" s="97" t="s">
        <v>15</v>
      </c>
      <c r="B2971" s="97" t="s">
        <v>11</v>
      </c>
      <c r="C2971" s="98">
        <v>0.77013888888888904</v>
      </c>
      <c r="D2971" s="99">
        <v>0</v>
      </c>
      <c r="E2971" s="99">
        <v>0</v>
      </c>
      <c r="F2971" s="99">
        <v>0</v>
      </c>
      <c r="G2971" s="99">
        <v>0</v>
      </c>
      <c r="H2971" s="99">
        <v>0</v>
      </c>
      <c r="I2971" s="99">
        <v>0</v>
      </c>
      <c r="J2971" s="99">
        <v>0</v>
      </c>
    </row>
    <row r="2972" spans="1:10">
      <c r="A2972" s="95" t="s">
        <v>15</v>
      </c>
      <c r="B2972" s="95" t="s">
        <v>11</v>
      </c>
      <c r="C2972" s="51">
        <v>0.77083333333333304</v>
      </c>
      <c r="D2972" s="96">
        <v>0</v>
      </c>
      <c r="E2972" s="96">
        <v>0</v>
      </c>
      <c r="F2972" s="96">
        <v>0</v>
      </c>
      <c r="G2972" s="96">
        <v>0</v>
      </c>
      <c r="H2972" s="96">
        <v>0</v>
      </c>
      <c r="I2972" s="96">
        <v>0</v>
      </c>
      <c r="J2972" s="96">
        <v>0</v>
      </c>
    </row>
    <row r="2973" spans="1:10">
      <c r="A2973" s="95" t="s">
        <v>15</v>
      </c>
      <c r="B2973" s="95" t="s">
        <v>11</v>
      </c>
      <c r="C2973" s="51">
        <v>0.77152777777777803</v>
      </c>
      <c r="D2973" s="96">
        <v>0</v>
      </c>
      <c r="E2973" s="96">
        <v>0</v>
      </c>
      <c r="F2973" s="96">
        <v>0</v>
      </c>
      <c r="G2973" s="96">
        <v>0</v>
      </c>
      <c r="H2973" s="96">
        <v>0</v>
      </c>
      <c r="I2973" s="96">
        <v>0</v>
      </c>
      <c r="J2973" s="96">
        <v>0</v>
      </c>
    </row>
    <row r="2974" spans="1:10">
      <c r="A2974" s="95" t="s">
        <v>15</v>
      </c>
      <c r="B2974" s="95" t="s">
        <v>11</v>
      </c>
      <c r="C2974" s="51">
        <v>0.77222222222222203</v>
      </c>
      <c r="D2974" s="96">
        <v>0</v>
      </c>
      <c r="E2974" s="96">
        <v>0</v>
      </c>
      <c r="F2974" s="96">
        <v>0</v>
      </c>
      <c r="G2974" s="96">
        <v>0</v>
      </c>
      <c r="H2974" s="96">
        <v>0</v>
      </c>
      <c r="I2974" s="96">
        <v>0</v>
      </c>
      <c r="J2974" s="96">
        <v>0</v>
      </c>
    </row>
    <row r="2975" spans="1:10">
      <c r="A2975" s="95" t="s">
        <v>15</v>
      </c>
      <c r="B2975" s="95" t="s">
        <v>11</v>
      </c>
      <c r="C2975" s="51">
        <v>0.77291666666666603</v>
      </c>
      <c r="D2975" s="96">
        <v>0</v>
      </c>
      <c r="E2975" s="96">
        <v>0</v>
      </c>
      <c r="F2975" s="96">
        <v>0</v>
      </c>
      <c r="G2975" s="96">
        <v>0</v>
      </c>
      <c r="H2975" s="96">
        <v>0</v>
      </c>
      <c r="I2975" s="96">
        <v>0</v>
      </c>
      <c r="J2975" s="96">
        <v>0</v>
      </c>
    </row>
    <row r="2976" spans="1:10">
      <c r="A2976" s="95" t="s">
        <v>15</v>
      </c>
      <c r="B2976" s="95" t="s">
        <v>11</v>
      </c>
      <c r="C2976" s="51">
        <v>0.77361111111111103</v>
      </c>
      <c r="D2976" s="96">
        <v>0</v>
      </c>
      <c r="E2976" s="96">
        <v>0</v>
      </c>
      <c r="F2976" s="96">
        <v>0</v>
      </c>
      <c r="G2976" s="96">
        <v>0</v>
      </c>
      <c r="H2976" s="96">
        <v>0</v>
      </c>
      <c r="I2976" s="96">
        <v>0</v>
      </c>
      <c r="J2976" s="96">
        <v>0</v>
      </c>
    </row>
    <row r="2977" spans="1:10">
      <c r="A2977" s="95" t="s">
        <v>15</v>
      </c>
      <c r="B2977" s="95" t="s">
        <v>11</v>
      </c>
      <c r="C2977" s="51">
        <v>0.77430555555555503</v>
      </c>
      <c r="D2977" s="96">
        <v>0</v>
      </c>
      <c r="E2977" s="96">
        <v>0</v>
      </c>
      <c r="F2977" s="96">
        <v>0</v>
      </c>
      <c r="G2977" s="96">
        <v>0</v>
      </c>
      <c r="H2977" s="96">
        <v>0</v>
      </c>
      <c r="I2977" s="96">
        <v>0</v>
      </c>
      <c r="J2977" s="96">
        <v>0</v>
      </c>
    </row>
    <row r="2978" spans="1:10">
      <c r="A2978" s="95" t="s">
        <v>15</v>
      </c>
      <c r="B2978" s="95" t="s">
        <v>11</v>
      </c>
      <c r="C2978" s="51">
        <v>0.77500000000000002</v>
      </c>
      <c r="D2978" s="96">
        <v>0</v>
      </c>
      <c r="E2978" s="96">
        <v>0</v>
      </c>
      <c r="F2978" s="96">
        <v>0</v>
      </c>
      <c r="G2978" s="96">
        <v>0</v>
      </c>
      <c r="H2978" s="96">
        <v>0</v>
      </c>
      <c r="I2978" s="96">
        <v>0</v>
      </c>
      <c r="J2978" s="96">
        <v>0</v>
      </c>
    </row>
    <row r="2979" spans="1:10">
      <c r="A2979" s="95" t="s">
        <v>15</v>
      </c>
      <c r="B2979" s="95" t="s">
        <v>11</v>
      </c>
      <c r="C2979" s="51">
        <v>0.77569444444444402</v>
      </c>
      <c r="D2979" s="96">
        <v>0</v>
      </c>
      <c r="E2979" s="96">
        <v>0</v>
      </c>
      <c r="F2979" s="96">
        <v>0</v>
      </c>
      <c r="G2979" s="96">
        <v>0</v>
      </c>
      <c r="H2979" s="96">
        <v>0</v>
      </c>
      <c r="I2979" s="96">
        <v>0</v>
      </c>
      <c r="J2979" s="96">
        <v>0</v>
      </c>
    </row>
    <row r="2980" spans="1:10">
      <c r="A2980" s="95" t="s">
        <v>15</v>
      </c>
      <c r="B2980" s="95" t="s">
        <v>11</v>
      </c>
      <c r="C2980" s="51">
        <v>0.77638888888888902</v>
      </c>
      <c r="D2980" s="96">
        <v>0</v>
      </c>
      <c r="E2980" s="96">
        <v>0</v>
      </c>
      <c r="F2980" s="96">
        <v>0</v>
      </c>
      <c r="G2980" s="96">
        <v>0</v>
      </c>
      <c r="H2980" s="96">
        <v>0</v>
      </c>
      <c r="I2980" s="96">
        <v>0</v>
      </c>
      <c r="J2980" s="96">
        <v>0</v>
      </c>
    </row>
    <row r="2981" spans="1:10">
      <c r="A2981" s="95" t="s">
        <v>15</v>
      </c>
      <c r="B2981" s="95" t="s">
        <v>11</v>
      </c>
      <c r="C2981" s="51">
        <v>0.77708333333333302</v>
      </c>
      <c r="D2981" s="96">
        <v>0</v>
      </c>
      <c r="E2981" s="96">
        <v>0</v>
      </c>
      <c r="F2981" s="96">
        <v>0</v>
      </c>
      <c r="G2981" s="96">
        <v>0</v>
      </c>
      <c r="H2981" s="96">
        <v>0</v>
      </c>
      <c r="I2981" s="96">
        <v>0</v>
      </c>
      <c r="J2981" s="96">
        <v>0</v>
      </c>
    </row>
    <row r="2982" spans="1:10">
      <c r="A2982" s="95" t="s">
        <v>15</v>
      </c>
      <c r="B2982" s="95" t="s">
        <v>11</v>
      </c>
      <c r="C2982" s="51">
        <v>0.77777777777777801</v>
      </c>
      <c r="D2982" s="96">
        <v>0</v>
      </c>
      <c r="E2982" s="96">
        <v>0</v>
      </c>
      <c r="F2982" s="96">
        <v>0</v>
      </c>
      <c r="G2982" s="96">
        <v>0</v>
      </c>
      <c r="H2982" s="96">
        <v>0</v>
      </c>
      <c r="I2982" s="96">
        <v>0</v>
      </c>
      <c r="J2982" s="96">
        <v>0</v>
      </c>
    </row>
    <row r="2983" spans="1:10">
      <c r="A2983" s="95" t="s">
        <v>15</v>
      </c>
      <c r="B2983" s="95" t="s">
        <v>11</v>
      </c>
      <c r="C2983" s="51">
        <v>0.77847222222222201</v>
      </c>
      <c r="D2983" s="96">
        <v>0</v>
      </c>
      <c r="E2983" s="96">
        <v>0</v>
      </c>
      <c r="F2983" s="96">
        <v>0</v>
      </c>
      <c r="G2983" s="96">
        <v>0</v>
      </c>
      <c r="H2983" s="96">
        <v>0</v>
      </c>
      <c r="I2983" s="96">
        <v>0</v>
      </c>
      <c r="J2983" s="96">
        <v>0</v>
      </c>
    </row>
    <row r="2984" spans="1:10">
      <c r="A2984" s="95" t="s">
        <v>15</v>
      </c>
      <c r="B2984" s="95" t="s">
        <v>11</v>
      </c>
      <c r="C2984" s="51">
        <v>0.77916666666666601</v>
      </c>
      <c r="D2984" s="96">
        <v>0</v>
      </c>
      <c r="E2984" s="96">
        <v>0</v>
      </c>
      <c r="F2984" s="96">
        <v>0</v>
      </c>
      <c r="G2984" s="96">
        <v>0</v>
      </c>
      <c r="H2984" s="96">
        <v>0</v>
      </c>
      <c r="I2984" s="96">
        <v>0</v>
      </c>
      <c r="J2984" s="96">
        <v>0</v>
      </c>
    </row>
    <row r="2985" spans="1:10">
      <c r="A2985" s="95" t="s">
        <v>15</v>
      </c>
      <c r="B2985" s="95" t="s">
        <v>11</v>
      </c>
      <c r="C2985" s="51">
        <v>0.77986111111111101</v>
      </c>
      <c r="D2985" s="96">
        <v>0</v>
      </c>
      <c r="E2985" s="96">
        <v>0</v>
      </c>
      <c r="F2985" s="96">
        <v>0</v>
      </c>
      <c r="G2985" s="96">
        <v>0</v>
      </c>
      <c r="H2985" s="96">
        <v>0</v>
      </c>
      <c r="I2985" s="96">
        <v>0</v>
      </c>
      <c r="J2985" s="96">
        <v>0</v>
      </c>
    </row>
    <row r="2986" spans="1:10" s="80" customFormat="1">
      <c r="A2986" s="97" t="s">
        <v>15</v>
      </c>
      <c r="B2986" s="97" t="s">
        <v>11</v>
      </c>
      <c r="C2986" s="98">
        <v>0.780555555555555</v>
      </c>
      <c r="D2986" s="99">
        <v>0</v>
      </c>
      <c r="E2986" s="99">
        <v>0</v>
      </c>
      <c r="F2986" s="99">
        <v>0</v>
      </c>
      <c r="G2986" s="99">
        <v>0</v>
      </c>
      <c r="H2986" s="99">
        <v>0</v>
      </c>
      <c r="I2986" s="99">
        <v>0</v>
      </c>
      <c r="J2986" s="99">
        <v>0</v>
      </c>
    </row>
    <row r="2987" spans="1:10">
      <c r="A2987" s="95" t="s">
        <v>15</v>
      </c>
      <c r="B2987" s="95" t="s">
        <v>11</v>
      </c>
      <c r="C2987" s="51">
        <v>0.78125</v>
      </c>
      <c r="D2987" s="96">
        <v>0</v>
      </c>
      <c r="E2987" s="96">
        <v>0</v>
      </c>
      <c r="F2987" s="96">
        <v>0</v>
      </c>
      <c r="G2987" s="96">
        <v>0</v>
      </c>
      <c r="H2987" s="96">
        <v>0</v>
      </c>
      <c r="I2987" s="96">
        <v>0</v>
      </c>
      <c r="J2987" s="96">
        <v>0</v>
      </c>
    </row>
    <row r="2988" spans="1:10">
      <c r="A2988" s="95" t="s">
        <v>15</v>
      </c>
      <c r="B2988" s="95" t="s">
        <v>11</v>
      </c>
      <c r="C2988" s="51">
        <v>0.781944444444444</v>
      </c>
      <c r="D2988" s="96">
        <v>0</v>
      </c>
      <c r="E2988" s="96">
        <v>0</v>
      </c>
      <c r="F2988" s="96">
        <v>0</v>
      </c>
      <c r="G2988" s="96">
        <v>0</v>
      </c>
      <c r="H2988" s="96">
        <v>0</v>
      </c>
      <c r="I2988" s="96">
        <v>0</v>
      </c>
      <c r="J2988" s="96">
        <v>0</v>
      </c>
    </row>
    <row r="2989" spans="1:10">
      <c r="A2989" s="95" t="s">
        <v>15</v>
      </c>
      <c r="B2989" s="95" t="s">
        <v>11</v>
      </c>
      <c r="C2989" s="51">
        <v>0.78263888888888899</v>
      </c>
      <c r="D2989" s="96">
        <v>0</v>
      </c>
      <c r="E2989" s="96">
        <v>0</v>
      </c>
      <c r="F2989" s="96">
        <v>0</v>
      </c>
      <c r="G2989" s="96">
        <v>0</v>
      </c>
      <c r="H2989" s="96">
        <v>0</v>
      </c>
      <c r="I2989" s="96">
        <v>0</v>
      </c>
      <c r="J2989" s="96">
        <v>0</v>
      </c>
    </row>
    <row r="2990" spans="1:10">
      <c r="A2990" s="95" t="s">
        <v>15</v>
      </c>
      <c r="B2990" s="95" t="s">
        <v>11</v>
      </c>
      <c r="C2990" s="51">
        <v>0.78333333333333299</v>
      </c>
      <c r="D2990" s="96">
        <v>0</v>
      </c>
      <c r="E2990" s="96">
        <v>0</v>
      </c>
      <c r="F2990" s="96">
        <v>0</v>
      </c>
      <c r="G2990" s="96">
        <v>0</v>
      </c>
      <c r="H2990" s="96">
        <v>0</v>
      </c>
      <c r="I2990" s="96">
        <v>0</v>
      </c>
      <c r="J2990" s="96">
        <v>0</v>
      </c>
    </row>
    <row r="2991" spans="1:10">
      <c r="A2991" s="95" t="s">
        <v>15</v>
      </c>
      <c r="B2991" s="95" t="s">
        <v>11</v>
      </c>
      <c r="C2991" s="51">
        <v>0.78402777777777799</v>
      </c>
      <c r="D2991" s="96">
        <v>0</v>
      </c>
      <c r="E2991" s="96">
        <v>0</v>
      </c>
      <c r="F2991" s="96">
        <v>0</v>
      </c>
      <c r="G2991" s="96">
        <v>0</v>
      </c>
      <c r="H2991" s="96">
        <v>0</v>
      </c>
      <c r="I2991" s="96">
        <v>0</v>
      </c>
      <c r="J2991" s="96">
        <v>0</v>
      </c>
    </row>
    <row r="2992" spans="1:10">
      <c r="A2992" s="95" t="s">
        <v>15</v>
      </c>
      <c r="B2992" s="95" t="s">
        <v>11</v>
      </c>
      <c r="C2992" s="51">
        <v>0.78472222222222199</v>
      </c>
      <c r="D2992" s="96">
        <v>0</v>
      </c>
      <c r="E2992" s="96">
        <v>0</v>
      </c>
      <c r="F2992" s="96">
        <v>0</v>
      </c>
      <c r="G2992" s="96">
        <v>0</v>
      </c>
      <c r="H2992" s="96">
        <v>0</v>
      </c>
      <c r="I2992" s="96">
        <v>0</v>
      </c>
      <c r="J2992" s="96">
        <v>0</v>
      </c>
    </row>
    <row r="2993" spans="1:10">
      <c r="A2993" s="95" t="s">
        <v>15</v>
      </c>
      <c r="B2993" s="95" t="s">
        <v>11</v>
      </c>
      <c r="C2993" s="51">
        <v>0.78541666666666599</v>
      </c>
      <c r="D2993" s="96">
        <v>0</v>
      </c>
      <c r="E2993" s="96">
        <v>0</v>
      </c>
      <c r="F2993" s="96">
        <v>0</v>
      </c>
      <c r="G2993" s="96">
        <v>0</v>
      </c>
      <c r="H2993" s="96">
        <v>0</v>
      </c>
      <c r="I2993" s="96">
        <v>0</v>
      </c>
      <c r="J2993" s="96">
        <v>0</v>
      </c>
    </row>
    <row r="2994" spans="1:10">
      <c r="A2994" s="95" t="s">
        <v>15</v>
      </c>
      <c r="B2994" s="95" t="s">
        <v>11</v>
      </c>
      <c r="C2994" s="51">
        <v>0.78611111111111098</v>
      </c>
      <c r="D2994" s="96">
        <v>0</v>
      </c>
      <c r="E2994" s="96">
        <v>0</v>
      </c>
      <c r="F2994" s="96">
        <v>0</v>
      </c>
      <c r="G2994" s="96">
        <v>0</v>
      </c>
      <c r="H2994" s="96">
        <v>0</v>
      </c>
      <c r="I2994" s="96">
        <v>0</v>
      </c>
      <c r="J2994" s="96">
        <v>0</v>
      </c>
    </row>
    <row r="2995" spans="1:10">
      <c r="A2995" s="95" t="s">
        <v>15</v>
      </c>
      <c r="B2995" s="95" t="s">
        <v>11</v>
      </c>
      <c r="C2995" s="51">
        <v>0.78680555555555498</v>
      </c>
      <c r="D2995" s="96">
        <v>0</v>
      </c>
      <c r="E2995" s="96">
        <v>0</v>
      </c>
      <c r="F2995" s="96">
        <v>0</v>
      </c>
      <c r="G2995" s="96">
        <v>0</v>
      </c>
      <c r="H2995" s="96">
        <v>0</v>
      </c>
      <c r="I2995" s="96">
        <v>0</v>
      </c>
      <c r="J2995" s="96">
        <v>0</v>
      </c>
    </row>
    <row r="2996" spans="1:10">
      <c r="A2996" s="95" t="s">
        <v>15</v>
      </c>
      <c r="B2996" s="95" t="s">
        <v>11</v>
      </c>
      <c r="C2996" s="51">
        <v>0.78749999999999998</v>
      </c>
      <c r="D2996" s="96">
        <v>0</v>
      </c>
      <c r="E2996" s="96">
        <v>0</v>
      </c>
      <c r="F2996" s="96">
        <v>0</v>
      </c>
      <c r="G2996" s="96">
        <v>0</v>
      </c>
      <c r="H2996" s="96">
        <v>0</v>
      </c>
      <c r="I2996" s="96">
        <v>0</v>
      </c>
      <c r="J2996" s="96">
        <v>0</v>
      </c>
    </row>
    <row r="2997" spans="1:10">
      <c r="A2997" s="95" t="s">
        <v>15</v>
      </c>
      <c r="B2997" s="95" t="s">
        <v>11</v>
      </c>
      <c r="C2997" s="51">
        <v>0.78819444444444398</v>
      </c>
      <c r="D2997" s="96">
        <v>0</v>
      </c>
      <c r="E2997" s="96">
        <v>0</v>
      </c>
      <c r="F2997" s="96">
        <v>0</v>
      </c>
      <c r="G2997" s="96">
        <v>0</v>
      </c>
      <c r="H2997" s="96">
        <v>0</v>
      </c>
      <c r="I2997" s="96">
        <v>0</v>
      </c>
      <c r="J2997" s="96">
        <v>0</v>
      </c>
    </row>
    <row r="2998" spans="1:10">
      <c r="A2998" s="95" t="s">
        <v>15</v>
      </c>
      <c r="B2998" s="95" t="s">
        <v>11</v>
      </c>
      <c r="C2998" s="51">
        <v>0.78888888888888897</v>
      </c>
      <c r="D2998" s="96">
        <v>0</v>
      </c>
      <c r="E2998" s="96">
        <v>0</v>
      </c>
      <c r="F2998" s="96">
        <v>0</v>
      </c>
      <c r="G2998" s="96">
        <v>0</v>
      </c>
      <c r="H2998" s="96">
        <v>0</v>
      </c>
      <c r="I2998" s="96">
        <v>0</v>
      </c>
      <c r="J2998" s="96">
        <v>0</v>
      </c>
    </row>
    <row r="2999" spans="1:10">
      <c r="A2999" s="95" t="s">
        <v>15</v>
      </c>
      <c r="B2999" s="95" t="s">
        <v>11</v>
      </c>
      <c r="C2999" s="51">
        <v>0.78958333333333297</v>
      </c>
      <c r="D2999" s="96">
        <v>0</v>
      </c>
      <c r="E2999" s="96">
        <v>0</v>
      </c>
      <c r="F2999" s="96">
        <v>0</v>
      </c>
      <c r="G2999" s="96">
        <v>0</v>
      </c>
      <c r="H2999" s="96">
        <v>0</v>
      </c>
      <c r="I2999" s="96">
        <v>0</v>
      </c>
      <c r="J2999" s="96">
        <v>0</v>
      </c>
    </row>
    <row r="3000" spans="1:10">
      <c r="A3000" s="95" t="s">
        <v>15</v>
      </c>
      <c r="B3000" s="95" t="s">
        <v>11</v>
      </c>
      <c r="C3000" s="51">
        <v>0.79027777777777797</v>
      </c>
      <c r="D3000" s="96">
        <v>0</v>
      </c>
      <c r="E3000" s="96">
        <v>0</v>
      </c>
      <c r="F3000" s="96">
        <v>0</v>
      </c>
      <c r="G3000" s="96">
        <v>0</v>
      </c>
      <c r="H3000" s="96">
        <v>0</v>
      </c>
      <c r="I3000" s="96">
        <v>0</v>
      </c>
      <c r="J3000" s="96">
        <v>0</v>
      </c>
    </row>
    <row r="3001" spans="1:10" s="28" customFormat="1" ht="17.5" thickBot="1">
      <c r="A3001" s="107" t="s">
        <v>15</v>
      </c>
      <c r="B3001" s="107" t="s">
        <v>11</v>
      </c>
      <c r="C3001" s="108">
        <v>0.79097222222222197</v>
      </c>
      <c r="D3001" s="109">
        <v>0</v>
      </c>
      <c r="E3001" s="109">
        <v>0</v>
      </c>
      <c r="F3001" s="109">
        <v>0</v>
      </c>
      <c r="G3001" s="109">
        <v>0</v>
      </c>
      <c r="H3001" s="109">
        <v>0</v>
      </c>
      <c r="I3001" s="109">
        <v>0</v>
      </c>
      <c r="J3001" s="109">
        <v>0</v>
      </c>
    </row>
    <row r="3002" spans="1:10">
      <c r="A3002" s="95" t="s">
        <v>15</v>
      </c>
      <c r="B3002" s="95" t="s">
        <v>12</v>
      </c>
      <c r="C3002" s="51">
        <v>0.70833333333333337</v>
      </c>
      <c r="D3002" s="96">
        <v>0</v>
      </c>
      <c r="E3002" s="96">
        <v>0</v>
      </c>
      <c r="F3002" s="96">
        <v>0</v>
      </c>
      <c r="G3002" s="96">
        <v>0</v>
      </c>
      <c r="H3002" s="96">
        <v>0</v>
      </c>
      <c r="I3002" s="96">
        <v>0</v>
      </c>
      <c r="J3002" s="96">
        <v>0</v>
      </c>
    </row>
    <row r="3003" spans="1:10">
      <c r="A3003" s="95" t="s">
        <v>15</v>
      </c>
      <c r="B3003" s="95" t="s">
        <v>12</v>
      </c>
      <c r="C3003" s="51">
        <v>0.70902777777777781</v>
      </c>
      <c r="D3003" s="96">
        <v>0</v>
      </c>
      <c r="E3003" s="96">
        <v>0</v>
      </c>
      <c r="F3003" s="96">
        <v>0</v>
      </c>
      <c r="G3003" s="96">
        <v>0</v>
      </c>
      <c r="H3003" s="96">
        <v>0</v>
      </c>
      <c r="I3003" s="96">
        <v>0</v>
      </c>
      <c r="J3003" s="96">
        <v>0</v>
      </c>
    </row>
    <row r="3004" spans="1:10">
      <c r="A3004" s="95" t="s">
        <v>15</v>
      </c>
      <c r="B3004" s="95" t="s">
        <v>12</v>
      </c>
      <c r="C3004" s="51">
        <v>0.70972222222222203</v>
      </c>
      <c r="D3004" s="96">
        <v>0</v>
      </c>
      <c r="E3004" s="96">
        <v>0</v>
      </c>
      <c r="F3004" s="96">
        <v>0</v>
      </c>
      <c r="G3004" s="96">
        <v>0</v>
      </c>
      <c r="H3004" s="96">
        <v>0</v>
      </c>
      <c r="I3004" s="96">
        <v>0</v>
      </c>
      <c r="J3004" s="96">
        <v>0</v>
      </c>
    </row>
    <row r="3005" spans="1:10">
      <c r="A3005" s="95" t="s">
        <v>15</v>
      </c>
      <c r="B3005" s="95" t="s">
        <v>12</v>
      </c>
      <c r="C3005" s="51">
        <v>0.71041666666666703</v>
      </c>
      <c r="D3005" s="96">
        <v>0</v>
      </c>
      <c r="E3005" s="96">
        <v>0</v>
      </c>
      <c r="F3005" s="96">
        <v>0</v>
      </c>
      <c r="G3005" s="96">
        <v>0</v>
      </c>
      <c r="H3005" s="96">
        <v>0</v>
      </c>
      <c r="I3005" s="96">
        <v>0</v>
      </c>
      <c r="J3005" s="96">
        <v>0</v>
      </c>
    </row>
    <row r="3006" spans="1:10">
      <c r="A3006" s="95" t="s">
        <v>15</v>
      </c>
      <c r="B3006" s="95" t="s">
        <v>12</v>
      </c>
      <c r="C3006" s="51">
        <v>0.71111111111111103</v>
      </c>
      <c r="D3006" s="96">
        <v>0</v>
      </c>
      <c r="E3006" s="96">
        <v>0</v>
      </c>
      <c r="F3006" s="96">
        <v>0</v>
      </c>
      <c r="G3006" s="96">
        <v>0</v>
      </c>
      <c r="H3006" s="96">
        <v>0</v>
      </c>
      <c r="I3006" s="96">
        <v>0</v>
      </c>
      <c r="J3006" s="96">
        <v>0</v>
      </c>
    </row>
    <row r="3007" spans="1:10">
      <c r="A3007" s="95" t="s">
        <v>15</v>
      </c>
      <c r="B3007" s="95" t="s">
        <v>12</v>
      </c>
      <c r="C3007" s="51">
        <v>0.71180555555555602</v>
      </c>
      <c r="D3007" s="96">
        <v>0</v>
      </c>
      <c r="E3007" s="96">
        <v>0</v>
      </c>
      <c r="F3007" s="96">
        <v>0</v>
      </c>
      <c r="G3007" s="96">
        <v>0</v>
      </c>
      <c r="H3007" s="96">
        <v>0</v>
      </c>
      <c r="I3007" s="96">
        <v>0</v>
      </c>
      <c r="J3007" s="96">
        <v>0</v>
      </c>
    </row>
    <row r="3008" spans="1:10">
      <c r="A3008" s="95" t="s">
        <v>15</v>
      </c>
      <c r="B3008" s="95" t="s">
        <v>12</v>
      </c>
      <c r="C3008" s="51">
        <v>0.71250000000000002</v>
      </c>
      <c r="D3008" s="96">
        <v>0</v>
      </c>
      <c r="E3008" s="96">
        <v>0</v>
      </c>
      <c r="F3008" s="96">
        <v>0</v>
      </c>
      <c r="G3008" s="96">
        <v>0</v>
      </c>
      <c r="H3008" s="96">
        <v>0</v>
      </c>
      <c r="I3008" s="96">
        <v>0</v>
      </c>
      <c r="J3008" s="96">
        <v>0</v>
      </c>
    </row>
    <row r="3009" spans="1:10">
      <c r="A3009" s="95" t="s">
        <v>15</v>
      </c>
      <c r="B3009" s="95" t="s">
        <v>12</v>
      </c>
      <c r="C3009" s="51">
        <v>0.71319444444444402</v>
      </c>
      <c r="D3009" s="96">
        <v>0</v>
      </c>
      <c r="E3009" s="96">
        <v>0</v>
      </c>
      <c r="F3009" s="96">
        <v>0</v>
      </c>
      <c r="G3009" s="96">
        <v>0</v>
      </c>
      <c r="H3009" s="96">
        <v>0</v>
      </c>
      <c r="I3009" s="96">
        <v>0</v>
      </c>
      <c r="J3009" s="96">
        <v>0</v>
      </c>
    </row>
    <row r="3010" spans="1:10">
      <c r="A3010" s="95" t="s">
        <v>15</v>
      </c>
      <c r="B3010" s="95" t="s">
        <v>12</v>
      </c>
      <c r="C3010" s="51">
        <v>0.71388888888888902</v>
      </c>
      <c r="D3010" s="96">
        <v>0</v>
      </c>
      <c r="E3010" s="96">
        <v>0</v>
      </c>
      <c r="F3010" s="96">
        <v>0</v>
      </c>
      <c r="G3010" s="96">
        <v>0</v>
      </c>
      <c r="H3010" s="96">
        <v>0</v>
      </c>
      <c r="I3010" s="96">
        <v>0</v>
      </c>
      <c r="J3010" s="96">
        <v>0</v>
      </c>
    </row>
    <row r="3011" spans="1:10">
      <c r="A3011" s="95" t="s">
        <v>15</v>
      </c>
      <c r="B3011" s="95" t="s">
        <v>12</v>
      </c>
      <c r="C3011" s="51">
        <v>0.71458333333333302</v>
      </c>
      <c r="D3011" s="96">
        <v>0</v>
      </c>
      <c r="E3011" s="96">
        <v>0</v>
      </c>
      <c r="F3011" s="96">
        <v>0</v>
      </c>
      <c r="G3011" s="96">
        <v>0</v>
      </c>
      <c r="H3011" s="96">
        <v>0</v>
      </c>
      <c r="I3011" s="96">
        <v>0</v>
      </c>
      <c r="J3011" s="96">
        <v>0</v>
      </c>
    </row>
    <row r="3012" spans="1:10">
      <c r="A3012" s="95" t="s">
        <v>15</v>
      </c>
      <c r="B3012" s="95" t="s">
        <v>12</v>
      </c>
      <c r="C3012" s="51">
        <v>0.71527777777777801</v>
      </c>
      <c r="D3012" s="96">
        <v>0</v>
      </c>
      <c r="E3012" s="96">
        <v>0</v>
      </c>
      <c r="F3012" s="96">
        <v>0</v>
      </c>
      <c r="G3012" s="96">
        <v>0</v>
      </c>
      <c r="H3012" s="96">
        <v>0</v>
      </c>
      <c r="I3012" s="96">
        <v>0</v>
      </c>
      <c r="J3012" s="96">
        <v>0</v>
      </c>
    </row>
    <row r="3013" spans="1:10">
      <c r="A3013" s="95" t="s">
        <v>15</v>
      </c>
      <c r="B3013" s="95" t="s">
        <v>12</v>
      </c>
      <c r="C3013" s="51">
        <v>0.71597222222222201</v>
      </c>
      <c r="D3013" s="96">
        <v>0</v>
      </c>
      <c r="E3013" s="96">
        <v>0</v>
      </c>
      <c r="F3013" s="96">
        <v>0</v>
      </c>
      <c r="G3013" s="96">
        <v>0</v>
      </c>
      <c r="H3013" s="96">
        <v>0</v>
      </c>
      <c r="I3013" s="96">
        <v>0</v>
      </c>
      <c r="J3013" s="96">
        <v>0</v>
      </c>
    </row>
    <row r="3014" spans="1:10">
      <c r="A3014" s="95" t="s">
        <v>15</v>
      </c>
      <c r="B3014" s="95" t="s">
        <v>12</v>
      </c>
      <c r="C3014" s="51">
        <v>0.71666666666666701</v>
      </c>
      <c r="D3014" s="96">
        <v>0</v>
      </c>
      <c r="E3014" s="96">
        <v>0</v>
      </c>
      <c r="F3014" s="96">
        <v>0</v>
      </c>
      <c r="G3014" s="96">
        <v>0</v>
      </c>
      <c r="H3014" s="96">
        <v>0</v>
      </c>
      <c r="I3014" s="96">
        <v>0</v>
      </c>
      <c r="J3014" s="96">
        <v>0</v>
      </c>
    </row>
    <row r="3015" spans="1:10">
      <c r="A3015" s="95" t="s">
        <v>15</v>
      </c>
      <c r="B3015" s="95" t="s">
        <v>12</v>
      </c>
      <c r="C3015" s="51">
        <v>0.71736111111111101</v>
      </c>
      <c r="D3015" s="96">
        <v>0</v>
      </c>
      <c r="E3015" s="96">
        <v>0</v>
      </c>
      <c r="F3015" s="96">
        <v>0</v>
      </c>
      <c r="G3015" s="96">
        <v>0</v>
      </c>
      <c r="H3015" s="96">
        <v>0</v>
      </c>
      <c r="I3015" s="96">
        <v>0</v>
      </c>
      <c r="J3015" s="96">
        <v>0</v>
      </c>
    </row>
    <row r="3016" spans="1:10" s="80" customFormat="1">
      <c r="A3016" s="97" t="s">
        <v>15</v>
      </c>
      <c r="B3016" s="97" t="s">
        <v>12</v>
      </c>
      <c r="C3016" s="98">
        <v>0.718055555555556</v>
      </c>
      <c r="D3016" s="99">
        <v>0</v>
      </c>
      <c r="E3016" s="99">
        <v>0</v>
      </c>
      <c r="F3016" s="99">
        <v>0</v>
      </c>
      <c r="G3016" s="99">
        <v>0</v>
      </c>
      <c r="H3016" s="99">
        <v>0</v>
      </c>
      <c r="I3016" s="99">
        <v>0</v>
      </c>
      <c r="J3016" s="99">
        <v>0</v>
      </c>
    </row>
    <row r="3017" spans="1:10">
      <c r="A3017" s="95" t="s">
        <v>15</v>
      </c>
      <c r="B3017" s="95" t="s">
        <v>12</v>
      </c>
      <c r="C3017" s="51">
        <v>0.71875</v>
      </c>
      <c r="D3017" s="96">
        <v>0</v>
      </c>
      <c r="E3017" s="96">
        <v>0</v>
      </c>
      <c r="F3017" s="96">
        <v>0</v>
      </c>
      <c r="G3017" s="96">
        <v>0</v>
      </c>
      <c r="H3017" s="96">
        <v>0</v>
      </c>
      <c r="I3017" s="96">
        <v>0</v>
      </c>
      <c r="J3017" s="96">
        <v>0</v>
      </c>
    </row>
    <row r="3018" spans="1:10">
      <c r="A3018" s="95" t="s">
        <v>15</v>
      </c>
      <c r="B3018" s="95" t="s">
        <v>12</v>
      </c>
      <c r="C3018" s="51">
        <v>0.719444444444444</v>
      </c>
      <c r="D3018" s="96">
        <v>0</v>
      </c>
      <c r="E3018" s="96">
        <v>0</v>
      </c>
      <c r="F3018" s="96">
        <v>0</v>
      </c>
      <c r="G3018" s="96">
        <v>0</v>
      </c>
      <c r="H3018" s="96">
        <v>0</v>
      </c>
      <c r="I3018" s="96">
        <v>0</v>
      </c>
      <c r="J3018" s="96">
        <v>0</v>
      </c>
    </row>
    <row r="3019" spans="1:10">
      <c r="A3019" s="95" t="s">
        <v>15</v>
      </c>
      <c r="B3019" s="95" t="s">
        <v>12</v>
      </c>
      <c r="C3019" s="51">
        <v>0.72013888888888899</v>
      </c>
      <c r="D3019" s="96">
        <v>0</v>
      </c>
      <c r="E3019" s="96">
        <v>0</v>
      </c>
      <c r="F3019" s="96">
        <v>0</v>
      </c>
      <c r="G3019" s="96">
        <v>0</v>
      </c>
      <c r="H3019" s="96">
        <v>0</v>
      </c>
      <c r="I3019" s="96">
        <v>0</v>
      </c>
      <c r="J3019" s="96">
        <v>0</v>
      </c>
    </row>
    <row r="3020" spans="1:10">
      <c r="A3020" s="95" t="s">
        <v>15</v>
      </c>
      <c r="B3020" s="95" t="s">
        <v>12</v>
      </c>
      <c r="C3020" s="51">
        <v>0.72083333333333299</v>
      </c>
      <c r="D3020" s="96">
        <v>0</v>
      </c>
      <c r="E3020" s="96">
        <v>0</v>
      </c>
      <c r="F3020" s="96">
        <v>0</v>
      </c>
      <c r="G3020" s="96">
        <v>0</v>
      </c>
      <c r="H3020" s="96">
        <v>0</v>
      </c>
      <c r="I3020" s="96">
        <v>0</v>
      </c>
      <c r="J3020" s="96">
        <v>0</v>
      </c>
    </row>
    <row r="3021" spans="1:10">
      <c r="A3021" s="95" t="s">
        <v>15</v>
      </c>
      <c r="B3021" s="95" t="s">
        <v>12</v>
      </c>
      <c r="C3021" s="51">
        <v>0.72152777777777799</v>
      </c>
      <c r="D3021" s="96">
        <v>0</v>
      </c>
      <c r="E3021" s="96">
        <v>0</v>
      </c>
      <c r="F3021" s="96">
        <v>0</v>
      </c>
      <c r="G3021" s="96">
        <v>0</v>
      </c>
      <c r="H3021" s="96">
        <v>0</v>
      </c>
      <c r="I3021" s="96">
        <v>0</v>
      </c>
      <c r="J3021" s="96">
        <v>0</v>
      </c>
    </row>
    <row r="3022" spans="1:10">
      <c r="A3022" s="95" t="s">
        <v>15</v>
      </c>
      <c r="B3022" s="95" t="s">
        <v>12</v>
      </c>
      <c r="C3022" s="51">
        <v>0.72222222222222199</v>
      </c>
      <c r="D3022" s="96">
        <v>0</v>
      </c>
      <c r="E3022" s="96">
        <v>0</v>
      </c>
      <c r="F3022" s="96">
        <v>0</v>
      </c>
      <c r="G3022" s="96">
        <v>0</v>
      </c>
      <c r="H3022" s="96">
        <v>0</v>
      </c>
      <c r="I3022" s="96">
        <v>0</v>
      </c>
      <c r="J3022" s="96">
        <v>0</v>
      </c>
    </row>
    <row r="3023" spans="1:10">
      <c r="A3023" s="95" t="s">
        <v>15</v>
      </c>
      <c r="B3023" s="95" t="s">
        <v>12</v>
      </c>
      <c r="C3023" s="51">
        <v>0.72291666666666698</v>
      </c>
      <c r="D3023" s="96">
        <v>0</v>
      </c>
      <c r="E3023" s="96">
        <v>0</v>
      </c>
      <c r="F3023" s="96">
        <v>0</v>
      </c>
      <c r="G3023" s="96">
        <v>0</v>
      </c>
      <c r="H3023" s="96">
        <v>0</v>
      </c>
      <c r="I3023" s="96">
        <v>0</v>
      </c>
      <c r="J3023" s="96">
        <v>0</v>
      </c>
    </row>
    <row r="3024" spans="1:10">
      <c r="A3024" s="95" t="s">
        <v>15</v>
      </c>
      <c r="B3024" s="95" t="s">
        <v>12</v>
      </c>
      <c r="C3024" s="51">
        <v>0.72361111111111098</v>
      </c>
      <c r="D3024" s="96">
        <v>0</v>
      </c>
      <c r="E3024" s="96">
        <v>0</v>
      </c>
      <c r="F3024" s="96">
        <v>0</v>
      </c>
      <c r="G3024" s="96">
        <v>0</v>
      </c>
      <c r="H3024" s="96">
        <v>0</v>
      </c>
      <c r="I3024" s="96">
        <v>0</v>
      </c>
      <c r="J3024" s="96">
        <v>0</v>
      </c>
    </row>
    <row r="3025" spans="1:10">
      <c r="A3025" s="95" t="s">
        <v>15</v>
      </c>
      <c r="B3025" s="95" t="s">
        <v>12</v>
      </c>
      <c r="C3025" s="51">
        <v>0.72430555555555598</v>
      </c>
      <c r="D3025" s="96">
        <v>0</v>
      </c>
      <c r="E3025" s="96">
        <v>0</v>
      </c>
      <c r="F3025" s="96">
        <v>0</v>
      </c>
      <c r="G3025" s="96">
        <v>0</v>
      </c>
      <c r="H3025" s="96">
        <v>0</v>
      </c>
      <c r="I3025" s="96">
        <v>0</v>
      </c>
      <c r="J3025" s="96">
        <v>0</v>
      </c>
    </row>
    <row r="3026" spans="1:10">
      <c r="A3026" s="95" t="s">
        <v>15</v>
      </c>
      <c r="B3026" s="95" t="s">
        <v>12</v>
      </c>
      <c r="C3026" s="51">
        <v>0.72499999999999998</v>
      </c>
      <c r="D3026" s="96">
        <v>0</v>
      </c>
      <c r="E3026" s="96">
        <v>0</v>
      </c>
      <c r="F3026" s="96">
        <v>0</v>
      </c>
      <c r="G3026" s="96">
        <v>0</v>
      </c>
      <c r="H3026" s="96">
        <v>0</v>
      </c>
      <c r="I3026" s="96">
        <v>0</v>
      </c>
      <c r="J3026" s="96">
        <v>0</v>
      </c>
    </row>
    <row r="3027" spans="1:10">
      <c r="A3027" s="95" t="s">
        <v>15</v>
      </c>
      <c r="B3027" s="95" t="s">
        <v>12</v>
      </c>
      <c r="C3027" s="51">
        <v>0.72569444444444398</v>
      </c>
      <c r="D3027" s="96">
        <v>0</v>
      </c>
      <c r="E3027" s="96">
        <v>0</v>
      </c>
      <c r="F3027" s="96">
        <v>0</v>
      </c>
      <c r="G3027" s="96">
        <v>0</v>
      </c>
      <c r="H3027" s="96">
        <v>0</v>
      </c>
      <c r="I3027" s="96">
        <v>0</v>
      </c>
      <c r="J3027" s="96">
        <v>0</v>
      </c>
    </row>
    <row r="3028" spans="1:10">
      <c r="A3028" s="95" t="s">
        <v>15</v>
      </c>
      <c r="B3028" s="95" t="s">
        <v>12</v>
      </c>
      <c r="C3028" s="51">
        <v>0.72638888888888897</v>
      </c>
      <c r="D3028" s="96">
        <v>0</v>
      </c>
      <c r="E3028" s="96">
        <v>0</v>
      </c>
      <c r="F3028" s="96">
        <v>0</v>
      </c>
      <c r="G3028" s="96">
        <v>0</v>
      </c>
      <c r="H3028" s="96">
        <v>0</v>
      </c>
      <c r="I3028" s="96">
        <v>0</v>
      </c>
      <c r="J3028" s="96">
        <v>0</v>
      </c>
    </row>
    <row r="3029" spans="1:10">
      <c r="A3029" s="95" t="s">
        <v>15</v>
      </c>
      <c r="B3029" s="95" t="s">
        <v>12</v>
      </c>
      <c r="C3029" s="51">
        <v>0.72708333333333297</v>
      </c>
      <c r="D3029" s="96">
        <v>0</v>
      </c>
      <c r="E3029" s="96">
        <v>0</v>
      </c>
      <c r="F3029" s="96">
        <v>0</v>
      </c>
      <c r="G3029" s="96">
        <v>0</v>
      </c>
      <c r="H3029" s="96">
        <v>0</v>
      </c>
      <c r="I3029" s="96">
        <v>0</v>
      </c>
      <c r="J3029" s="96">
        <v>0</v>
      </c>
    </row>
    <row r="3030" spans="1:10">
      <c r="A3030" s="95" t="s">
        <v>15</v>
      </c>
      <c r="B3030" s="95" t="s">
        <v>12</v>
      </c>
      <c r="C3030" s="51">
        <v>0.72777777777777797</v>
      </c>
      <c r="D3030" s="96">
        <v>0</v>
      </c>
      <c r="E3030" s="96">
        <v>0</v>
      </c>
      <c r="F3030" s="96">
        <v>0</v>
      </c>
      <c r="G3030" s="96">
        <v>0</v>
      </c>
      <c r="H3030" s="96">
        <v>0</v>
      </c>
      <c r="I3030" s="96">
        <v>0</v>
      </c>
      <c r="J3030" s="96">
        <v>0</v>
      </c>
    </row>
    <row r="3031" spans="1:10" s="80" customFormat="1">
      <c r="A3031" s="97" t="s">
        <v>15</v>
      </c>
      <c r="B3031" s="97" t="s">
        <v>12</v>
      </c>
      <c r="C3031" s="98">
        <v>0.72847222222222197</v>
      </c>
      <c r="D3031" s="99">
        <v>0</v>
      </c>
      <c r="E3031" s="99">
        <v>0</v>
      </c>
      <c r="F3031" s="99">
        <v>0</v>
      </c>
      <c r="G3031" s="99">
        <v>0</v>
      </c>
      <c r="H3031" s="99">
        <v>0</v>
      </c>
      <c r="I3031" s="99">
        <v>0</v>
      </c>
      <c r="J3031" s="99">
        <v>0</v>
      </c>
    </row>
    <row r="3032" spans="1:10">
      <c r="A3032" s="95" t="s">
        <v>15</v>
      </c>
      <c r="B3032" s="95" t="s">
        <v>12</v>
      </c>
      <c r="C3032" s="51">
        <v>0.72916666666666696</v>
      </c>
      <c r="D3032" s="96">
        <v>0</v>
      </c>
      <c r="E3032" s="96">
        <v>0</v>
      </c>
      <c r="F3032" s="96">
        <v>0</v>
      </c>
      <c r="G3032" s="96">
        <v>0</v>
      </c>
      <c r="H3032" s="96">
        <v>0</v>
      </c>
      <c r="I3032" s="96">
        <v>0</v>
      </c>
      <c r="J3032" s="96">
        <v>0</v>
      </c>
    </row>
    <row r="3033" spans="1:10">
      <c r="A3033" s="95" t="s">
        <v>15</v>
      </c>
      <c r="B3033" s="95" t="s">
        <v>12</v>
      </c>
      <c r="C3033" s="51">
        <v>0.72986111111111096</v>
      </c>
      <c r="D3033" s="96">
        <v>0</v>
      </c>
      <c r="E3033" s="96">
        <v>0</v>
      </c>
      <c r="F3033" s="96">
        <v>0</v>
      </c>
      <c r="G3033" s="96">
        <v>0</v>
      </c>
      <c r="H3033" s="96">
        <v>0</v>
      </c>
      <c r="I3033" s="96">
        <v>0</v>
      </c>
      <c r="J3033" s="96">
        <v>0</v>
      </c>
    </row>
    <row r="3034" spans="1:10">
      <c r="A3034" s="95" t="s">
        <v>15</v>
      </c>
      <c r="B3034" s="95" t="s">
        <v>12</v>
      </c>
      <c r="C3034" s="51">
        <v>0.73055555555555596</v>
      </c>
      <c r="D3034" s="96">
        <v>0</v>
      </c>
      <c r="E3034" s="96">
        <v>0</v>
      </c>
      <c r="F3034" s="96">
        <v>0</v>
      </c>
      <c r="G3034" s="96">
        <v>0</v>
      </c>
      <c r="H3034" s="96">
        <v>0</v>
      </c>
      <c r="I3034" s="96">
        <v>0</v>
      </c>
      <c r="J3034" s="96">
        <v>0</v>
      </c>
    </row>
    <row r="3035" spans="1:10">
      <c r="A3035" s="95" t="s">
        <v>15</v>
      </c>
      <c r="B3035" s="95" t="s">
        <v>12</v>
      </c>
      <c r="C3035" s="51">
        <v>0.73124999999999996</v>
      </c>
      <c r="D3035" s="96">
        <v>0</v>
      </c>
      <c r="E3035" s="96">
        <v>0</v>
      </c>
      <c r="F3035" s="96">
        <v>0</v>
      </c>
      <c r="G3035" s="96">
        <v>0</v>
      </c>
      <c r="H3035" s="96">
        <v>0</v>
      </c>
      <c r="I3035" s="96">
        <v>0</v>
      </c>
      <c r="J3035" s="96">
        <v>0</v>
      </c>
    </row>
    <row r="3036" spans="1:10">
      <c r="A3036" s="95" t="s">
        <v>15</v>
      </c>
      <c r="B3036" s="95" t="s">
        <v>12</v>
      </c>
      <c r="C3036" s="51">
        <v>0.73194444444444395</v>
      </c>
      <c r="D3036" s="96">
        <v>0</v>
      </c>
      <c r="E3036" s="96">
        <v>0</v>
      </c>
      <c r="F3036" s="96">
        <v>0</v>
      </c>
      <c r="G3036" s="96">
        <v>0</v>
      </c>
      <c r="H3036" s="96">
        <v>0</v>
      </c>
      <c r="I3036" s="96">
        <v>0</v>
      </c>
      <c r="J3036" s="96">
        <v>0</v>
      </c>
    </row>
    <row r="3037" spans="1:10">
      <c r="A3037" s="95" t="s">
        <v>15</v>
      </c>
      <c r="B3037" s="95" t="s">
        <v>12</v>
      </c>
      <c r="C3037" s="51">
        <v>0.73263888888888895</v>
      </c>
      <c r="D3037" s="96">
        <v>0</v>
      </c>
      <c r="E3037" s="96">
        <v>0</v>
      </c>
      <c r="F3037" s="96">
        <v>0</v>
      </c>
      <c r="G3037" s="96">
        <v>0</v>
      </c>
      <c r="H3037" s="96">
        <v>0</v>
      </c>
      <c r="I3037" s="96">
        <v>0</v>
      </c>
      <c r="J3037" s="96">
        <v>0</v>
      </c>
    </row>
    <row r="3038" spans="1:10">
      <c r="A3038" s="95" t="s">
        <v>15</v>
      </c>
      <c r="B3038" s="95" t="s">
        <v>12</v>
      </c>
      <c r="C3038" s="51">
        <v>0.73333333333333295</v>
      </c>
      <c r="D3038" s="96">
        <v>0</v>
      </c>
      <c r="E3038" s="96">
        <v>0</v>
      </c>
      <c r="F3038" s="96">
        <v>0</v>
      </c>
      <c r="G3038" s="96">
        <v>0</v>
      </c>
      <c r="H3038" s="96">
        <v>0</v>
      </c>
      <c r="I3038" s="96">
        <v>0</v>
      </c>
      <c r="J3038" s="96">
        <v>0</v>
      </c>
    </row>
    <row r="3039" spans="1:10">
      <c r="A3039" s="95" t="s">
        <v>15</v>
      </c>
      <c r="B3039" s="95" t="s">
        <v>12</v>
      </c>
      <c r="C3039" s="51">
        <v>0.73402777777777795</v>
      </c>
      <c r="D3039" s="96">
        <v>0</v>
      </c>
      <c r="E3039" s="96">
        <v>0</v>
      </c>
      <c r="F3039" s="96">
        <v>0</v>
      </c>
      <c r="G3039" s="96">
        <v>0</v>
      </c>
      <c r="H3039" s="96">
        <v>0</v>
      </c>
      <c r="I3039" s="96">
        <v>0</v>
      </c>
      <c r="J3039" s="96">
        <v>0</v>
      </c>
    </row>
    <row r="3040" spans="1:10">
      <c r="A3040" s="95" t="s">
        <v>15</v>
      </c>
      <c r="B3040" s="95" t="s">
        <v>12</v>
      </c>
      <c r="C3040" s="51">
        <v>0.73472222222222205</v>
      </c>
      <c r="D3040" s="96">
        <v>0</v>
      </c>
      <c r="E3040" s="96">
        <v>0</v>
      </c>
      <c r="F3040" s="96">
        <v>0</v>
      </c>
      <c r="G3040" s="96">
        <v>0</v>
      </c>
      <c r="H3040" s="96">
        <v>0</v>
      </c>
      <c r="I3040" s="96">
        <v>0</v>
      </c>
      <c r="J3040" s="96">
        <v>0</v>
      </c>
    </row>
    <row r="3041" spans="1:10">
      <c r="A3041" s="95" t="s">
        <v>15</v>
      </c>
      <c r="B3041" s="95" t="s">
        <v>12</v>
      </c>
      <c r="C3041" s="51">
        <v>0.73541666666666705</v>
      </c>
      <c r="D3041" s="96">
        <v>0</v>
      </c>
      <c r="E3041" s="96">
        <v>0</v>
      </c>
      <c r="F3041" s="96">
        <v>0</v>
      </c>
      <c r="G3041" s="96">
        <v>0</v>
      </c>
      <c r="H3041" s="96">
        <v>0</v>
      </c>
      <c r="I3041" s="96">
        <v>0</v>
      </c>
      <c r="J3041" s="96">
        <v>0</v>
      </c>
    </row>
    <row r="3042" spans="1:10">
      <c r="A3042" s="95" t="s">
        <v>15</v>
      </c>
      <c r="B3042" s="95" t="s">
        <v>12</v>
      </c>
      <c r="C3042" s="51">
        <v>0.73611111111111105</v>
      </c>
      <c r="D3042" s="96">
        <v>0</v>
      </c>
      <c r="E3042" s="96">
        <v>0</v>
      </c>
      <c r="F3042" s="96">
        <v>0</v>
      </c>
      <c r="G3042" s="96">
        <v>0</v>
      </c>
      <c r="H3042" s="96">
        <v>0</v>
      </c>
      <c r="I3042" s="96">
        <v>0</v>
      </c>
      <c r="J3042" s="96">
        <v>0</v>
      </c>
    </row>
    <row r="3043" spans="1:10">
      <c r="A3043" s="95" t="s">
        <v>15</v>
      </c>
      <c r="B3043" s="95" t="s">
        <v>12</v>
      </c>
      <c r="C3043" s="51">
        <v>0.73680555555555505</v>
      </c>
      <c r="D3043" s="96">
        <v>0</v>
      </c>
      <c r="E3043" s="96">
        <v>0</v>
      </c>
      <c r="F3043" s="96">
        <v>0</v>
      </c>
      <c r="G3043" s="96">
        <v>0</v>
      </c>
      <c r="H3043" s="96">
        <v>0</v>
      </c>
      <c r="I3043" s="96">
        <v>0</v>
      </c>
      <c r="J3043" s="96">
        <v>0</v>
      </c>
    </row>
    <row r="3044" spans="1:10">
      <c r="A3044" s="95" t="s">
        <v>15</v>
      </c>
      <c r="B3044" s="95" t="s">
        <v>12</v>
      </c>
      <c r="C3044" s="51">
        <v>0.73750000000000004</v>
      </c>
      <c r="D3044" s="96">
        <v>0</v>
      </c>
      <c r="E3044" s="96">
        <v>0</v>
      </c>
      <c r="F3044" s="96">
        <v>0</v>
      </c>
      <c r="G3044" s="96">
        <v>0</v>
      </c>
      <c r="H3044" s="96">
        <v>0</v>
      </c>
      <c r="I3044" s="96">
        <v>0</v>
      </c>
      <c r="J3044" s="96">
        <v>0</v>
      </c>
    </row>
    <row r="3045" spans="1:10">
      <c r="A3045" s="95" t="s">
        <v>15</v>
      </c>
      <c r="B3045" s="95" t="s">
        <v>12</v>
      </c>
      <c r="C3045" s="51">
        <v>0.73819444444444404</v>
      </c>
      <c r="D3045" s="96">
        <v>0</v>
      </c>
      <c r="E3045" s="96">
        <v>0</v>
      </c>
      <c r="F3045" s="96">
        <v>0</v>
      </c>
      <c r="G3045" s="96">
        <v>0</v>
      </c>
      <c r="H3045" s="96">
        <v>0</v>
      </c>
      <c r="I3045" s="96">
        <v>0</v>
      </c>
      <c r="J3045" s="96">
        <v>0</v>
      </c>
    </row>
    <row r="3046" spans="1:10" s="80" customFormat="1">
      <c r="A3046" s="97" t="s">
        <v>15</v>
      </c>
      <c r="B3046" s="97" t="s">
        <v>12</v>
      </c>
      <c r="C3046" s="98">
        <v>0.73888888888888904</v>
      </c>
      <c r="D3046" s="99">
        <v>0</v>
      </c>
      <c r="E3046" s="99">
        <v>0</v>
      </c>
      <c r="F3046" s="99">
        <v>0</v>
      </c>
      <c r="G3046" s="99">
        <v>0</v>
      </c>
      <c r="H3046" s="99">
        <v>0</v>
      </c>
      <c r="I3046" s="99">
        <v>0</v>
      </c>
      <c r="J3046" s="99">
        <v>0</v>
      </c>
    </row>
    <row r="3047" spans="1:10">
      <c r="A3047" s="95" t="s">
        <v>15</v>
      </c>
      <c r="B3047" s="95" t="s">
        <v>12</v>
      </c>
      <c r="C3047" s="51">
        <v>0.73958333333333304</v>
      </c>
      <c r="D3047" s="96">
        <v>0</v>
      </c>
      <c r="E3047" s="96">
        <v>0</v>
      </c>
      <c r="F3047" s="96">
        <v>0</v>
      </c>
      <c r="G3047" s="96">
        <v>0</v>
      </c>
      <c r="H3047" s="96">
        <v>0</v>
      </c>
      <c r="I3047" s="96">
        <v>0</v>
      </c>
      <c r="J3047" s="96">
        <v>0</v>
      </c>
    </row>
    <row r="3048" spans="1:10">
      <c r="A3048" s="95" t="s">
        <v>15</v>
      </c>
      <c r="B3048" s="95" t="s">
        <v>12</v>
      </c>
      <c r="C3048" s="51">
        <v>0.74027777777777803</v>
      </c>
      <c r="D3048" s="96">
        <v>0</v>
      </c>
      <c r="E3048" s="96">
        <v>0</v>
      </c>
      <c r="F3048" s="96">
        <v>0</v>
      </c>
      <c r="G3048" s="96">
        <v>0</v>
      </c>
      <c r="H3048" s="96">
        <v>0</v>
      </c>
      <c r="I3048" s="96">
        <v>0</v>
      </c>
      <c r="J3048" s="96">
        <v>0</v>
      </c>
    </row>
    <row r="3049" spans="1:10">
      <c r="A3049" s="95" t="s">
        <v>15</v>
      </c>
      <c r="B3049" s="95" t="s">
        <v>12</v>
      </c>
      <c r="C3049" s="51">
        <v>0.74097222222222203</v>
      </c>
      <c r="D3049" s="96">
        <v>0</v>
      </c>
      <c r="E3049" s="96">
        <v>0</v>
      </c>
      <c r="F3049" s="96">
        <v>0</v>
      </c>
      <c r="G3049" s="96">
        <v>0</v>
      </c>
      <c r="H3049" s="96">
        <v>0</v>
      </c>
      <c r="I3049" s="96">
        <v>0</v>
      </c>
      <c r="J3049" s="96">
        <v>0</v>
      </c>
    </row>
    <row r="3050" spans="1:10">
      <c r="A3050" s="95" t="s">
        <v>15</v>
      </c>
      <c r="B3050" s="95" t="s">
        <v>12</v>
      </c>
      <c r="C3050" s="51">
        <v>0.74166666666666703</v>
      </c>
      <c r="D3050" s="96">
        <v>0</v>
      </c>
      <c r="E3050" s="96">
        <v>0</v>
      </c>
      <c r="F3050" s="96">
        <v>0</v>
      </c>
      <c r="G3050" s="96">
        <v>0</v>
      </c>
      <c r="H3050" s="96">
        <v>0</v>
      </c>
      <c r="I3050" s="96">
        <v>0</v>
      </c>
      <c r="J3050" s="96">
        <v>0</v>
      </c>
    </row>
    <row r="3051" spans="1:10">
      <c r="A3051" s="95" t="s">
        <v>15</v>
      </c>
      <c r="B3051" s="95" t="s">
        <v>12</v>
      </c>
      <c r="C3051" s="51">
        <v>0.74236111111111103</v>
      </c>
      <c r="D3051" s="96">
        <v>0</v>
      </c>
      <c r="E3051" s="96">
        <v>0</v>
      </c>
      <c r="F3051" s="96">
        <v>0</v>
      </c>
      <c r="G3051" s="96">
        <v>0</v>
      </c>
      <c r="H3051" s="96">
        <v>0</v>
      </c>
      <c r="I3051" s="96">
        <v>0</v>
      </c>
      <c r="J3051" s="96">
        <v>0</v>
      </c>
    </row>
    <row r="3052" spans="1:10">
      <c r="A3052" s="95" t="s">
        <v>15</v>
      </c>
      <c r="B3052" s="95" t="s">
        <v>12</v>
      </c>
      <c r="C3052" s="51">
        <v>0.74305555555555503</v>
      </c>
      <c r="D3052" s="96">
        <v>0</v>
      </c>
      <c r="E3052" s="96">
        <v>0</v>
      </c>
      <c r="F3052" s="96">
        <v>0</v>
      </c>
      <c r="G3052" s="96">
        <v>0</v>
      </c>
      <c r="H3052" s="96">
        <v>0</v>
      </c>
      <c r="I3052" s="96">
        <v>0</v>
      </c>
      <c r="J3052" s="96">
        <v>0</v>
      </c>
    </row>
    <row r="3053" spans="1:10">
      <c r="A3053" s="95" t="s">
        <v>15</v>
      </c>
      <c r="B3053" s="95" t="s">
        <v>12</v>
      </c>
      <c r="C3053" s="51">
        <v>0.74375000000000002</v>
      </c>
      <c r="D3053" s="96">
        <v>0</v>
      </c>
      <c r="E3053" s="96">
        <v>0</v>
      </c>
      <c r="F3053" s="96">
        <v>0</v>
      </c>
      <c r="G3053" s="96">
        <v>0</v>
      </c>
      <c r="H3053" s="96">
        <v>0</v>
      </c>
      <c r="I3053" s="96">
        <v>0</v>
      </c>
      <c r="J3053" s="96">
        <v>0</v>
      </c>
    </row>
    <row r="3054" spans="1:10">
      <c r="A3054" s="95" t="s">
        <v>15</v>
      </c>
      <c r="B3054" s="95" t="s">
        <v>12</v>
      </c>
      <c r="C3054" s="51">
        <v>0.74444444444444402</v>
      </c>
      <c r="D3054" s="96">
        <v>0</v>
      </c>
      <c r="E3054" s="96">
        <v>0</v>
      </c>
      <c r="F3054" s="96">
        <v>0</v>
      </c>
      <c r="G3054" s="96">
        <v>0</v>
      </c>
      <c r="H3054" s="96">
        <v>0</v>
      </c>
      <c r="I3054" s="96">
        <v>0</v>
      </c>
      <c r="J3054" s="96">
        <v>0</v>
      </c>
    </row>
    <row r="3055" spans="1:10">
      <c r="A3055" s="95" t="s">
        <v>15</v>
      </c>
      <c r="B3055" s="95" t="s">
        <v>12</v>
      </c>
      <c r="C3055" s="51">
        <v>0.74513888888888902</v>
      </c>
      <c r="D3055" s="96">
        <v>0</v>
      </c>
      <c r="E3055" s="96">
        <v>0</v>
      </c>
      <c r="F3055" s="96">
        <v>0</v>
      </c>
      <c r="G3055" s="96">
        <v>0</v>
      </c>
      <c r="H3055" s="96">
        <v>0</v>
      </c>
      <c r="I3055" s="96">
        <v>0</v>
      </c>
      <c r="J3055" s="96">
        <v>0</v>
      </c>
    </row>
    <row r="3056" spans="1:10">
      <c r="A3056" s="95" t="s">
        <v>15</v>
      </c>
      <c r="B3056" s="95" t="s">
        <v>12</v>
      </c>
      <c r="C3056" s="51">
        <v>0.74583333333333302</v>
      </c>
      <c r="D3056" s="96">
        <v>0</v>
      </c>
      <c r="E3056" s="96">
        <v>0</v>
      </c>
      <c r="F3056" s="96">
        <v>0</v>
      </c>
      <c r="G3056" s="96">
        <v>0</v>
      </c>
      <c r="H3056" s="96">
        <v>0</v>
      </c>
      <c r="I3056" s="96">
        <v>0</v>
      </c>
      <c r="J3056" s="96">
        <v>0</v>
      </c>
    </row>
    <row r="3057" spans="1:10">
      <c r="A3057" s="95" t="s">
        <v>15</v>
      </c>
      <c r="B3057" s="95" t="s">
        <v>12</v>
      </c>
      <c r="C3057" s="51">
        <v>0.74652777777777801</v>
      </c>
      <c r="D3057" s="96">
        <v>0</v>
      </c>
      <c r="E3057" s="96">
        <v>0</v>
      </c>
      <c r="F3057" s="96">
        <v>0</v>
      </c>
      <c r="G3057" s="96">
        <v>0</v>
      </c>
      <c r="H3057" s="96">
        <v>0</v>
      </c>
      <c r="I3057" s="96">
        <v>0</v>
      </c>
      <c r="J3057" s="96">
        <v>0</v>
      </c>
    </row>
    <row r="3058" spans="1:10">
      <c r="A3058" s="95" t="s">
        <v>15</v>
      </c>
      <c r="B3058" s="95" t="s">
        <v>12</v>
      </c>
      <c r="C3058" s="51">
        <v>0.74722222222222201</v>
      </c>
      <c r="D3058" s="96">
        <v>0</v>
      </c>
      <c r="E3058" s="96">
        <v>0</v>
      </c>
      <c r="F3058" s="96">
        <v>0</v>
      </c>
      <c r="G3058" s="96">
        <v>0</v>
      </c>
      <c r="H3058" s="96">
        <v>0</v>
      </c>
      <c r="I3058" s="96">
        <v>0</v>
      </c>
      <c r="J3058" s="96">
        <v>0</v>
      </c>
    </row>
    <row r="3059" spans="1:10">
      <c r="A3059" s="95" t="s">
        <v>15</v>
      </c>
      <c r="B3059" s="95" t="s">
        <v>12</v>
      </c>
      <c r="C3059" s="51">
        <v>0.74791666666666701</v>
      </c>
      <c r="D3059" s="96">
        <v>0</v>
      </c>
      <c r="E3059" s="96">
        <v>0</v>
      </c>
      <c r="F3059" s="96">
        <v>0</v>
      </c>
      <c r="G3059" s="96">
        <v>0</v>
      </c>
      <c r="H3059" s="96">
        <v>0</v>
      </c>
      <c r="I3059" s="96">
        <v>0</v>
      </c>
      <c r="J3059" s="96">
        <v>0</v>
      </c>
    </row>
    <row r="3060" spans="1:10">
      <c r="A3060" s="95" t="s">
        <v>15</v>
      </c>
      <c r="B3060" s="95" t="s">
        <v>12</v>
      </c>
      <c r="C3060" s="51">
        <v>0.74861111111111101</v>
      </c>
      <c r="D3060" s="96">
        <v>0</v>
      </c>
      <c r="E3060" s="96">
        <v>0</v>
      </c>
      <c r="F3060" s="96">
        <v>0</v>
      </c>
      <c r="G3060" s="96">
        <v>0</v>
      </c>
      <c r="H3060" s="96">
        <v>0</v>
      </c>
      <c r="I3060" s="96">
        <v>0</v>
      </c>
      <c r="J3060" s="96">
        <v>0</v>
      </c>
    </row>
    <row r="3061" spans="1:10" s="80" customFormat="1">
      <c r="A3061" s="97" t="s">
        <v>15</v>
      </c>
      <c r="B3061" s="97" t="s">
        <v>12</v>
      </c>
      <c r="C3061" s="98">
        <v>0.749305555555555</v>
      </c>
      <c r="D3061" s="99">
        <v>0</v>
      </c>
      <c r="E3061" s="99">
        <v>0</v>
      </c>
      <c r="F3061" s="99">
        <v>0</v>
      </c>
      <c r="G3061" s="99">
        <v>0</v>
      </c>
      <c r="H3061" s="99">
        <v>0</v>
      </c>
      <c r="I3061" s="99">
        <v>0</v>
      </c>
      <c r="J3061" s="99">
        <v>0</v>
      </c>
    </row>
    <row r="3062" spans="1:10">
      <c r="A3062" s="95" t="s">
        <v>15</v>
      </c>
      <c r="B3062" s="95" t="s">
        <v>12</v>
      </c>
      <c r="C3062" s="51">
        <v>0.75</v>
      </c>
      <c r="D3062" s="96">
        <v>0</v>
      </c>
      <c r="E3062" s="96">
        <v>0</v>
      </c>
      <c r="F3062" s="96">
        <v>0</v>
      </c>
      <c r="G3062" s="96">
        <v>0</v>
      </c>
      <c r="H3062" s="96">
        <v>0</v>
      </c>
      <c r="I3062" s="96">
        <v>0</v>
      </c>
      <c r="J3062" s="96">
        <v>0</v>
      </c>
    </row>
    <row r="3063" spans="1:10">
      <c r="A3063" s="95" t="s">
        <v>15</v>
      </c>
      <c r="B3063" s="95" t="s">
        <v>12</v>
      </c>
      <c r="C3063" s="51">
        <v>0.750694444444444</v>
      </c>
      <c r="D3063" s="96">
        <v>0</v>
      </c>
      <c r="E3063" s="96">
        <v>0</v>
      </c>
      <c r="F3063" s="96">
        <v>0</v>
      </c>
      <c r="G3063" s="96">
        <v>0</v>
      </c>
      <c r="H3063" s="96">
        <v>0</v>
      </c>
      <c r="I3063" s="96">
        <v>0</v>
      </c>
      <c r="J3063" s="96">
        <v>0</v>
      </c>
    </row>
    <row r="3064" spans="1:10">
      <c r="A3064" s="95" t="s">
        <v>15</v>
      </c>
      <c r="B3064" s="95" t="s">
        <v>12</v>
      </c>
      <c r="C3064" s="51">
        <v>0.75138888888888899</v>
      </c>
      <c r="D3064" s="96">
        <v>0</v>
      </c>
      <c r="E3064" s="96">
        <v>0</v>
      </c>
      <c r="F3064" s="96">
        <v>0</v>
      </c>
      <c r="G3064" s="96">
        <v>0</v>
      </c>
      <c r="H3064" s="96">
        <v>0</v>
      </c>
      <c r="I3064" s="96">
        <v>0</v>
      </c>
      <c r="J3064" s="96">
        <v>0</v>
      </c>
    </row>
    <row r="3065" spans="1:10">
      <c r="A3065" s="95" t="s">
        <v>15</v>
      </c>
      <c r="B3065" s="95" t="s">
        <v>12</v>
      </c>
      <c r="C3065" s="51">
        <v>0.75208333333333299</v>
      </c>
      <c r="D3065" s="96">
        <v>0</v>
      </c>
      <c r="E3065" s="96">
        <v>0</v>
      </c>
      <c r="F3065" s="96">
        <v>0</v>
      </c>
      <c r="G3065" s="96">
        <v>0</v>
      </c>
      <c r="H3065" s="96">
        <v>0</v>
      </c>
      <c r="I3065" s="96">
        <v>0</v>
      </c>
      <c r="J3065" s="96">
        <v>0</v>
      </c>
    </row>
    <row r="3066" spans="1:10">
      <c r="A3066" s="95" t="s">
        <v>15</v>
      </c>
      <c r="B3066" s="95" t="s">
        <v>12</v>
      </c>
      <c r="C3066" s="51">
        <v>0.75277777777777799</v>
      </c>
      <c r="D3066" s="96">
        <v>0</v>
      </c>
      <c r="E3066" s="96">
        <v>0</v>
      </c>
      <c r="F3066" s="96">
        <v>0</v>
      </c>
      <c r="G3066" s="96">
        <v>0</v>
      </c>
      <c r="H3066" s="96">
        <v>0</v>
      </c>
      <c r="I3066" s="96">
        <v>0</v>
      </c>
      <c r="J3066" s="96">
        <v>0</v>
      </c>
    </row>
    <row r="3067" spans="1:10">
      <c r="A3067" s="95" t="s">
        <v>15</v>
      </c>
      <c r="B3067" s="95" t="s">
        <v>12</v>
      </c>
      <c r="C3067" s="51">
        <v>0.75347222222222199</v>
      </c>
      <c r="D3067" s="96">
        <v>0</v>
      </c>
      <c r="E3067" s="96">
        <v>0</v>
      </c>
      <c r="F3067" s="96">
        <v>0</v>
      </c>
      <c r="G3067" s="96">
        <v>0</v>
      </c>
      <c r="H3067" s="96">
        <v>0</v>
      </c>
      <c r="I3067" s="96">
        <v>0</v>
      </c>
      <c r="J3067" s="96">
        <v>0</v>
      </c>
    </row>
    <row r="3068" spans="1:10">
      <c r="A3068" s="95" t="s">
        <v>15</v>
      </c>
      <c r="B3068" s="95" t="s">
        <v>12</v>
      </c>
      <c r="C3068" s="51">
        <v>0.75416666666666698</v>
      </c>
      <c r="D3068" s="96">
        <v>0</v>
      </c>
      <c r="E3068" s="96">
        <v>0</v>
      </c>
      <c r="F3068" s="96">
        <v>0</v>
      </c>
      <c r="G3068" s="96">
        <v>0</v>
      </c>
      <c r="H3068" s="96">
        <v>0</v>
      </c>
      <c r="I3068" s="96">
        <v>0</v>
      </c>
      <c r="J3068" s="96">
        <v>0</v>
      </c>
    </row>
    <row r="3069" spans="1:10">
      <c r="A3069" s="95" t="s">
        <v>15</v>
      </c>
      <c r="B3069" s="95" t="s">
        <v>12</v>
      </c>
      <c r="C3069" s="51">
        <v>0.75486111111111098</v>
      </c>
      <c r="D3069" s="96">
        <v>0</v>
      </c>
      <c r="E3069" s="96">
        <v>0</v>
      </c>
      <c r="F3069" s="96">
        <v>0</v>
      </c>
      <c r="G3069" s="96">
        <v>0</v>
      </c>
      <c r="H3069" s="96">
        <v>0</v>
      </c>
      <c r="I3069" s="96">
        <v>0</v>
      </c>
      <c r="J3069" s="96">
        <v>0</v>
      </c>
    </row>
    <row r="3070" spans="1:10">
      <c r="A3070" s="95" t="s">
        <v>15</v>
      </c>
      <c r="B3070" s="95" t="s">
        <v>12</v>
      </c>
      <c r="C3070" s="51">
        <v>0.75555555555555498</v>
      </c>
      <c r="D3070" s="96">
        <v>0</v>
      </c>
      <c r="E3070" s="96">
        <v>0</v>
      </c>
      <c r="F3070" s="96">
        <v>0</v>
      </c>
      <c r="G3070" s="96">
        <v>0</v>
      </c>
      <c r="H3070" s="96">
        <v>0</v>
      </c>
      <c r="I3070" s="96">
        <v>0</v>
      </c>
      <c r="J3070" s="96">
        <v>0</v>
      </c>
    </row>
    <row r="3071" spans="1:10">
      <c r="A3071" s="95" t="s">
        <v>15</v>
      </c>
      <c r="B3071" s="95" t="s">
        <v>12</v>
      </c>
      <c r="C3071" s="51">
        <v>0.75624999999999998</v>
      </c>
      <c r="D3071" s="96">
        <v>0</v>
      </c>
      <c r="E3071" s="96">
        <v>0</v>
      </c>
      <c r="F3071" s="96">
        <v>0</v>
      </c>
      <c r="G3071" s="96">
        <v>0</v>
      </c>
      <c r="H3071" s="96">
        <v>0</v>
      </c>
      <c r="I3071" s="96">
        <v>0</v>
      </c>
      <c r="J3071" s="96">
        <v>0</v>
      </c>
    </row>
    <row r="3072" spans="1:10">
      <c r="A3072" s="95" t="s">
        <v>15</v>
      </c>
      <c r="B3072" s="95" t="s">
        <v>12</v>
      </c>
      <c r="C3072" s="51">
        <v>0.75694444444444398</v>
      </c>
      <c r="D3072" s="96">
        <v>0</v>
      </c>
      <c r="E3072" s="96">
        <v>0</v>
      </c>
      <c r="F3072" s="96">
        <v>0</v>
      </c>
      <c r="G3072" s="96">
        <v>0</v>
      </c>
      <c r="H3072" s="96">
        <v>0</v>
      </c>
      <c r="I3072" s="96">
        <v>0</v>
      </c>
      <c r="J3072" s="96">
        <v>0</v>
      </c>
    </row>
    <row r="3073" spans="1:10">
      <c r="A3073" s="95" t="s">
        <v>15</v>
      </c>
      <c r="B3073" s="95" t="s">
        <v>12</v>
      </c>
      <c r="C3073" s="51">
        <v>0.75763888888888897</v>
      </c>
      <c r="D3073" s="96">
        <v>0</v>
      </c>
      <c r="E3073" s="96">
        <v>0</v>
      </c>
      <c r="F3073" s="96">
        <v>0</v>
      </c>
      <c r="G3073" s="96">
        <v>0</v>
      </c>
      <c r="H3073" s="96">
        <v>0</v>
      </c>
      <c r="I3073" s="96">
        <v>0</v>
      </c>
      <c r="J3073" s="96">
        <v>0</v>
      </c>
    </row>
    <row r="3074" spans="1:10">
      <c r="A3074" s="95" t="s">
        <v>15</v>
      </c>
      <c r="B3074" s="95" t="s">
        <v>12</v>
      </c>
      <c r="C3074" s="51">
        <v>0.75833333333333297</v>
      </c>
      <c r="D3074" s="96">
        <v>0</v>
      </c>
      <c r="E3074" s="96">
        <v>0</v>
      </c>
      <c r="F3074" s="96">
        <v>0</v>
      </c>
      <c r="G3074" s="96">
        <v>0</v>
      </c>
      <c r="H3074" s="96">
        <v>0</v>
      </c>
      <c r="I3074" s="96">
        <v>0</v>
      </c>
      <c r="J3074" s="96">
        <v>0</v>
      </c>
    </row>
    <row r="3075" spans="1:10">
      <c r="A3075" s="95" t="s">
        <v>15</v>
      </c>
      <c r="B3075" s="95" t="s">
        <v>12</v>
      </c>
      <c r="C3075" s="51">
        <v>0.75902777777777797</v>
      </c>
      <c r="D3075" s="96">
        <v>0</v>
      </c>
      <c r="E3075" s="96">
        <v>0</v>
      </c>
      <c r="F3075" s="96">
        <v>0</v>
      </c>
      <c r="G3075" s="96">
        <v>0</v>
      </c>
      <c r="H3075" s="96">
        <v>0</v>
      </c>
      <c r="I3075" s="96">
        <v>0</v>
      </c>
      <c r="J3075" s="96">
        <v>0</v>
      </c>
    </row>
    <row r="3076" spans="1:10" s="80" customFormat="1">
      <c r="A3076" s="97" t="s">
        <v>15</v>
      </c>
      <c r="B3076" s="97" t="s">
        <v>12</v>
      </c>
      <c r="C3076" s="98">
        <v>0.75972222222222197</v>
      </c>
      <c r="D3076" s="99">
        <v>0</v>
      </c>
      <c r="E3076" s="99">
        <v>0</v>
      </c>
      <c r="F3076" s="99">
        <v>0</v>
      </c>
      <c r="G3076" s="99">
        <v>0</v>
      </c>
      <c r="H3076" s="99">
        <v>0</v>
      </c>
      <c r="I3076" s="99">
        <v>0</v>
      </c>
      <c r="J3076" s="99">
        <v>0</v>
      </c>
    </row>
    <row r="3077" spans="1:10">
      <c r="A3077" s="95" t="s">
        <v>15</v>
      </c>
      <c r="B3077" s="95" t="s">
        <v>12</v>
      </c>
      <c r="C3077" s="51">
        <v>0.76041666666666696</v>
      </c>
      <c r="D3077" s="96">
        <v>0</v>
      </c>
      <c r="E3077" s="96">
        <v>0</v>
      </c>
      <c r="F3077" s="96">
        <v>0</v>
      </c>
      <c r="G3077" s="96">
        <v>0</v>
      </c>
      <c r="H3077" s="96">
        <v>0</v>
      </c>
      <c r="I3077" s="96">
        <v>0</v>
      </c>
      <c r="J3077" s="96">
        <v>0</v>
      </c>
    </row>
    <row r="3078" spans="1:10">
      <c r="A3078" s="95" t="s">
        <v>15</v>
      </c>
      <c r="B3078" s="95" t="s">
        <v>12</v>
      </c>
      <c r="C3078" s="51">
        <v>0.76111111111111096</v>
      </c>
      <c r="D3078" s="96">
        <v>0</v>
      </c>
      <c r="E3078" s="96">
        <v>0</v>
      </c>
      <c r="F3078" s="96">
        <v>0</v>
      </c>
      <c r="G3078" s="96">
        <v>0</v>
      </c>
      <c r="H3078" s="96">
        <v>0</v>
      </c>
      <c r="I3078" s="96">
        <v>0</v>
      </c>
      <c r="J3078" s="96">
        <v>0</v>
      </c>
    </row>
    <row r="3079" spans="1:10">
      <c r="A3079" s="95" t="s">
        <v>15</v>
      </c>
      <c r="B3079" s="95" t="s">
        <v>12</v>
      </c>
      <c r="C3079" s="51">
        <v>0.76180555555555496</v>
      </c>
      <c r="D3079" s="96">
        <v>0</v>
      </c>
      <c r="E3079" s="96">
        <v>0</v>
      </c>
      <c r="F3079" s="96">
        <v>0</v>
      </c>
      <c r="G3079" s="96">
        <v>0</v>
      </c>
      <c r="H3079" s="96">
        <v>0</v>
      </c>
      <c r="I3079" s="96">
        <v>0</v>
      </c>
      <c r="J3079" s="96">
        <v>0</v>
      </c>
    </row>
    <row r="3080" spans="1:10">
      <c r="A3080" s="95" t="s">
        <v>15</v>
      </c>
      <c r="B3080" s="95" t="s">
        <v>12</v>
      </c>
      <c r="C3080" s="51">
        <v>0.76249999999999996</v>
      </c>
      <c r="D3080" s="96">
        <v>0</v>
      </c>
      <c r="E3080" s="96">
        <v>0</v>
      </c>
      <c r="F3080" s="96">
        <v>0</v>
      </c>
      <c r="G3080" s="96">
        <v>0</v>
      </c>
      <c r="H3080" s="96">
        <v>0</v>
      </c>
      <c r="I3080" s="96">
        <v>0</v>
      </c>
      <c r="J3080" s="96">
        <v>0</v>
      </c>
    </row>
    <row r="3081" spans="1:10">
      <c r="A3081" s="95" t="s">
        <v>15</v>
      </c>
      <c r="B3081" s="95" t="s">
        <v>12</v>
      </c>
      <c r="C3081" s="51">
        <v>0.76319444444444395</v>
      </c>
      <c r="D3081" s="96">
        <v>0</v>
      </c>
      <c r="E3081" s="96">
        <v>0</v>
      </c>
      <c r="F3081" s="96">
        <v>0</v>
      </c>
      <c r="G3081" s="96">
        <v>0</v>
      </c>
      <c r="H3081" s="96">
        <v>0</v>
      </c>
      <c r="I3081" s="96">
        <v>0</v>
      </c>
      <c r="J3081" s="96">
        <v>0</v>
      </c>
    </row>
    <row r="3082" spans="1:10">
      <c r="A3082" s="95" t="s">
        <v>15</v>
      </c>
      <c r="B3082" s="95" t="s">
        <v>12</v>
      </c>
      <c r="C3082" s="51">
        <v>0.76388888888888895</v>
      </c>
      <c r="D3082" s="96">
        <v>0</v>
      </c>
      <c r="E3082" s="96">
        <v>0</v>
      </c>
      <c r="F3082" s="96">
        <v>0</v>
      </c>
      <c r="G3082" s="96">
        <v>0</v>
      </c>
      <c r="H3082" s="96">
        <v>0</v>
      </c>
      <c r="I3082" s="96">
        <v>0</v>
      </c>
      <c r="J3082" s="96">
        <v>0</v>
      </c>
    </row>
    <row r="3083" spans="1:10">
      <c r="A3083" s="95" t="s">
        <v>15</v>
      </c>
      <c r="B3083" s="95" t="s">
        <v>12</v>
      </c>
      <c r="C3083" s="51">
        <v>0.76458333333333295</v>
      </c>
      <c r="D3083" s="96">
        <v>0</v>
      </c>
      <c r="E3083" s="96">
        <v>0</v>
      </c>
      <c r="F3083" s="96">
        <v>0</v>
      </c>
      <c r="G3083" s="96">
        <v>0</v>
      </c>
      <c r="H3083" s="96">
        <v>0</v>
      </c>
      <c r="I3083" s="96">
        <v>0</v>
      </c>
      <c r="J3083" s="96">
        <v>0</v>
      </c>
    </row>
    <row r="3084" spans="1:10">
      <c r="A3084" s="95" t="s">
        <v>15</v>
      </c>
      <c r="B3084" s="95" t="s">
        <v>12</v>
      </c>
      <c r="C3084" s="51">
        <v>0.76527777777777795</v>
      </c>
      <c r="D3084" s="96">
        <v>0</v>
      </c>
      <c r="E3084" s="96">
        <v>0</v>
      </c>
      <c r="F3084" s="96">
        <v>0</v>
      </c>
      <c r="G3084" s="96">
        <v>0</v>
      </c>
      <c r="H3084" s="96">
        <v>0</v>
      </c>
      <c r="I3084" s="96">
        <v>0</v>
      </c>
      <c r="J3084" s="96">
        <v>0</v>
      </c>
    </row>
    <row r="3085" spans="1:10">
      <c r="A3085" s="95" t="s">
        <v>15</v>
      </c>
      <c r="B3085" s="95" t="s">
        <v>12</v>
      </c>
      <c r="C3085" s="51">
        <v>0.76597222222222205</v>
      </c>
      <c r="D3085" s="96">
        <v>0</v>
      </c>
      <c r="E3085" s="96">
        <v>0</v>
      </c>
      <c r="F3085" s="96">
        <v>0</v>
      </c>
      <c r="G3085" s="96">
        <v>0</v>
      </c>
      <c r="H3085" s="96">
        <v>0</v>
      </c>
      <c r="I3085" s="96">
        <v>0</v>
      </c>
      <c r="J3085" s="96">
        <v>0</v>
      </c>
    </row>
    <row r="3086" spans="1:10">
      <c r="A3086" s="95" t="s">
        <v>15</v>
      </c>
      <c r="B3086" s="95" t="s">
        <v>12</v>
      </c>
      <c r="C3086" s="51">
        <v>0.76666666666666605</v>
      </c>
      <c r="D3086" s="96">
        <v>0</v>
      </c>
      <c r="E3086" s="96">
        <v>0</v>
      </c>
      <c r="F3086" s="96">
        <v>0</v>
      </c>
      <c r="G3086" s="96">
        <v>0</v>
      </c>
      <c r="H3086" s="96">
        <v>0</v>
      </c>
      <c r="I3086" s="96">
        <v>0</v>
      </c>
      <c r="J3086" s="96">
        <v>0</v>
      </c>
    </row>
    <row r="3087" spans="1:10">
      <c r="A3087" s="95" t="s">
        <v>15</v>
      </c>
      <c r="B3087" s="95" t="s">
        <v>12</v>
      </c>
      <c r="C3087" s="51">
        <v>0.76736111111111105</v>
      </c>
      <c r="D3087" s="96">
        <v>0</v>
      </c>
      <c r="E3087" s="96">
        <v>0</v>
      </c>
      <c r="F3087" s="96">
        <v>0</v>
      </c>
      <c r="G3087" s="96">
        <v>0</v>
      </c>
      <c r="H3087" s="96">
        <v>0</v>
      </c>
      <c r="I3087" s="96">
        <v>0</v>
      </c>
      <c r="J3087" s="96">
        <v>0</v>
      </c>
    </row>
    <row r="3088" spans="1:10">
      <c r="A3088" s="95" t="s">
        <v>15</v>
      </c>
      <c r="B3088" s="95" t="s">
        <v>12</v>
      </c>
      <c r="C3088" s="51">
        <v>0.76805555555555505</v>
      </c>
      <c r="D3088" s="96">
        <v>0</v>
      </c>
      <c r="E3088" s="96">
        <v>0</v>
      </c>
      <c r="F3088" s="96">
        <v>0</v>
      </c>
      <c r="G3088" s="96">
        <v>0</v>
      </c>
      <c r="H3088" s="96">
        <v>0</v>
      </c>
      <c r="I3088" s="96">
        <v>0</v>
      </c>
      <c r="J3088" s="96">
        <v>0</v>
      </c>
    </row>
    <row r="3089" spans="1:10">
      <c r="A3089" s="95" t="s">
        <v>15</v>
      </c>
      <c r="B3089" s="95" t="s">
        <v>12</v>
      </c>
      <c r="C3089" s="51">
        <v>0.76875000000000004</v>
      </c>
      <c r="D3089" s="96">
        <v>0</v>
      </c>
      <c r="E3089" s="96">
        <v>0</v>
      </c>
      <c r="F3089" s="96">
        <v>0</v>
      </c>
      <c r="G3089" s="96">
        <v>0</v>
      </c>
      <c r="H3089" s="96">
        <v>0</v>
      </c>
      <c r="I3089" s="96">
        <v>0</v>
      </c>
      <c r="J3089" s="96">
        <v>0</v>
      </c>
    </row>
    <row r="3090" spans="1:10">
      <c r="A3090" s="95" t="s">
        <v>15</v>
      </c>
      <c r="B3090" s="95" t="s">
        <v>12</v>
      </c>
      <c r="C3090" s="51">
        <v>0.76944444444444404</v>
      </c>
      <c r="D3090" s="96">
        <v>0</v>
      </c>
      <c r="E3090" s="96">
        <v>0</v>
      </c>
      <c r="F3090" s="96">
        <v>0</v>
      </c>
      <c r="G3090" s="96">
        <v>0</v>
      </c>
      <c r="H3090" s="96">
        <v>0</v>
      </c>
      <c r="I3090" s="96">
        <v>0</v>
      </c>
      <c r="J3090" s="96">
        <v>0</v>
      </c>
    </row>
    <row r="3091" spans="1:10" s="80" customFormat="1">
      <c r="A3091" s="97" t="s">
        <v>15</v>
      </c>
      <c r="B3091" s="97" t="s">
        <v>12</v>
      </c>
      <c r="C3091" s="98">
        <v>0.77013888888888904</v>
      </c>
      <c r="D3091" s="99">
        <v>0</v>
      </c>
      <c r="E3091" s="99">
        <v>0</v>
      </c>
      <c r="F3091" s="99">
        <v>0</v>
      </c>
      <c r="G3091" s="99">
        <v>0</v>
      </c>
      <c r="H3091" s="99">
        <v>0</v>
      </c>
      <c r="I3091" s="99">
        <v>0</v>
      </c>
      <c r="J3091" s="99">
        <v>0</v>
      </c>
    </row>
    <row r="3092" spans="1:10">
      <c r="A3092" s="95" t="s">
        <v>15</v>
      </c>
      <c r="B3092" s="95" t="s">
        <v>12</v>
      </c>
      <c r="C3092" s="51">
        <v>0.77083333333333304</v>
      </c>
      <c r="D3092" s="96">
        <v>0</v>
      </c>
      <c r="E3092" s="96">
        <v>0</v>
      </c>
      <c r="F3092" s="96">
        <v>0</v>
      </c>
      <c r="G3092" s="96">
        <v>0</v>
      </c>
      <c r="H3092" s="96">
        <v>0</v>
      </c>
      <c r="I3092" s="96">
        <v>0</v>
      </c>
      <c r="J3092" s="96">
        <v>0</v>
      </c>
    </row>
    <row r="3093" spans="1:10">
      <c r="A3093" s="95" t="s">
        <v>15</v>
      </c>
      <c r="B3093" s="95" t="s">
        <v>12</v>
      </c>
      <c r="C3093" s="51">
        <v>0.77152777777777803</v>
      </c>
      <c r="D3093" s="96">
        <v>0</v>
      </c>
      <c r="E3093" s="96">
        <v>0</v>
      </c>
      <c r="F3093" s="96">
        <v>0</v>
      </c>
      <c r="G3093" s="96">
        <v>0</v>
      </c>
      <c r="H3093" s="96">
        <v>0</v>
      </c>
      <c r="I3093" s="96">
        <v>0</v>
      </c>
      <c r="J3093" s="96">
        <v>0</v>
      </c>
    </row>
    <row r="3094" spans="1:10">
      <c r="A3094" s="95" t="s">
        <v>15</v>
      </c>
      <c r="B3094" s="95" t="s">
        <v>12</v>
      </c>
      <c r="C3094" s="51">
        <v>0.77222222222222203</v>
      </c>
      <c r="D3094" s="96">
        <v>0</v>
      </c>
      <c r="E3094" s="96">
        <v>0</v>
      </c>
      <c r="F3094" s="96">
        <v>0</v>
      </c>
      <c r="G3094" s="96">
        <v>0</v>
      </c>
      <c r="H3094" s="96">
        <v>0</v>
      </c>
      <c r="I3094" s="96">
        <v>0</v>
      </c>
      <c r="J3094" s="96">
        <v>0</v>
      </c>
    </row>
    <row r="3095" spans="1:10">
      <c r="A3095" s="95" t="s">
        <v>15</v>
      </c>
      <c r="B3095" s="95" t="s">
        <v>12</v>
      </c>
      <c r="C3095" s="51">
        <v>0.77291666666666603</v>
      </c>
      <c r="D3095" s="96">
        <v>0</v>
      </c>
      <c r="E3095" s="96">
        <v>0</v>
      </c>
      <c r="F3095" s="96">
        <v>0</v>
      </c>
      <c r="G3095" s="96">
        <v>0</v>
      </c>
      <c r="H3095" s="96">
        <v>0</v>
      </c>
      <c r="I3095" s="96">
        <v>0</v>
      </c>
      <c r="J3095" s="96">
        <v>0</v>
      </c>
    </row>
    <row r="3096" spans="1:10">
      <c r="A3096" s="95" t="s">
        <v>15</v>
      </c>
      <c r="B3096" s="95" t="s">
        <v>12</v>
      </c>
      <c r="C3096" s="51">
        <v>0.77361111111111103</v>
      </c>
      <c r="D3096" s="96">
        <v>0</v>
      </c>
      <c r="E3096" s="96">
        <v>0</v>
      </c>
      <c r="F3096" s="96">
        <v>0</v>
      </c>
      <c r="G3096" s="96">
        <v>0</v>
      </c>
      <c r="H3096" s="96">
        <v>0</v>
      </c>
      <c r="I3096" s="96">
        <v>0</v>
      </c>
      <c r="J3096" s="96">
        <v>0</v>
      </c>
    </row>
    <row r="3097" spans="1:10">
      <c r="A3097" s="95" t="s">
        <v>15</v>
      </c>
      <c r="B3097" s="95" t="s">
        <v>12</v>
      </c>
      <c r="C3097" s="51">
        <v>0.77430555555555503</v>
      </c>
      <c r="D3097" s="96">
        <v>0</v>
      </c>
      <c r="E3097" s="96">
        <v>0</v>
      </c>
      <c r="F3097" s="96">
        <v>0</v>
      </c>
      <c r="G3097" s="96">
        <v>0</v>
      </c>
      <c r="H3097" s="96">
        <v>0</v>
      </c>
      <c r="I3097" s="96">
        <v>0</v>
      </c>
      <c r="J3097" s="96">
        <v>0</v>
      </c>
    </row>
    <row r="3098" spans="1:10">
      <c r="A3098" s="95" t="s">
        <v>15</v>
      </c>
      <c r="B3098" s="95" t="s">
        <v>12</v>
      </c>
      <c r="C3098" s="51">
        <v>0.77500000000000002</v>
      </c>
      <c r="D3098" s="96">
        <v>0</v>
      </c>
      <c r="E3098" s="96">
        <v>0</v>
      </c>
      <c r="F3098" s="96">
        <v>0</v>
      </c>
      <c r="G3098" s="96">
        <v>0</v>
      </c>
      <c r="H3098" s="96">
        <v>0</v>
      </c>
      <c r="I3098" s="96">
        <v>0</v>
      </c>
      <c r="J3098" s="96">
        <v>0</v>
      </c>
    </row>
    <row r="3099" spans="1:10">
      <c r="A3099" s="95" t="s">
        <v>15</v>
      </c>
      <c r="B3099" s="95" t="s">
        <v>12</v>
      </c>
      <c r="C3099" s="51">
        <v>0.77569444444444402</v>
      </c>
      <c r="D3099" s="96">
        <v>0</v>
      </c>
      <c r="E3099" s="96">
        <v>0</v>
      </c>
      <c r="F3099" s="96">
        <v>0</v>
      </c>
      <c r="G3099" s="96">
        <v>0</v>
      </c>
      <c r="H3099" s="96">
        <v>0</v>
      </c>
      <c r="I3099" s="96">
        <v>0</v>
      </c>
      <c r="J3099" s="96">
        <v>0</v>
      </c>
    </row>
    <row r="3100" spans="1:10">
      <c r="A3100" s="95" t="s">
        <v>15</v>
      </c>
      <c r="B3100" s="95" t="s">
        <v>12</v>
      </c>
      <c r="C3100" s="51">
        <v>0.77638888888888902</v>
      </c>
      <c r="D3100" s="96">
        <v>0</v>
      </c>
      <c r="E3100" s="96">
        <v>0</v>
      </c>
      <c r="F3100" s="96">
        <v>0</v>
      </c>
      <c r="G3100" s="96">
        <v>0</v>
      </c>
      <c r="H3100" s="96">
        <v>0</v>
      </c>
      <c r="I3100" s="96">
        <v>0</v>
      </c>
      <c r="J3100" s="96">
        <v>0</v>
      </c>
    </row>
    <row r="3101" spans="1:10">
      <c r="A3101" s="95" t="s">
        <v>15</v>
      </c>
      <c r="B3101" s="95" t="s">
        <v>12</v>
      </c>
      <c r="C3101" s="51">
        <v>0.77708333333333302</v>
      </c>
      <c r="D3101" s="96">
        <v>0</v>
      </c>
      <c r="E3101" s="96">
        <v>0</v>
      </c>
      <c r="F3101" s="96">
        <v>0</v>
      </c>
      <c r="G3101" s="96">
        <v>0</v>
      </c>
      <c r="H3101" s="96">
        <v>0</v>
      </c>
      <c r="I3101" s="96">
        <v>0</v>
      </c>
      <c r="J3101" s="96">
        <v>0</v>
      </c>
    </row>
    <row r="3102" spans="1:10">
      <c r="A3102" s="95" t="s">
        <v>15</v>
      </c>
      <c r="B3102" s="95" t="s">
        <v>12</v>
      </c>
      <c r="C3102" s="51">
        <v>0.77777777777777801</v>
      </c>
      <c r="D3102" s="96">
        <v>0</v>
      </c>
      <c r="E3102" s="96">
        <v>0</v>
      </c>
      <c r="F3102" s="96">
        <v>0</v>
      </c>
      <c r="G3102" s="96">
        <v>0</v>
      </c>
      <c r="H3102" s="96">
        <v>0</v>
      </c>
      <c r="I3102" s="96">
        <v>0</v>
      </c>
      <c r="J3102" s="96">
        <v>0</v>
      </c>
    </row>
    <row r="3103" spans="1:10">
      <c r="A3103" s="95" t="s">
        <v>15</v>
      </c>
      <c r="B3103" s="95" t="s">
        <v>12</v>
      </c>
      <c r="C3103" s="51">
        <v>0.77847222222222201</v>
      </c>
      <c r="D3103" s="96">
        <v>0</v>
      </c>
      <c r="E3103" s="96">
        <v>0</v>
      </c>
      <c r="F3103" s="96">
        <v>0</v>
      </c>
      <c r="G3103" s="96">
        <v>0</v>
      </c>
      <c r="H3103" s="96">
        <v>0</v>
      </c>
      <c r="I3103" s="96">
        <v>0</v>
      </c>
      <c r="J3103" s="96">
        <v>0</v>
      </c>
    </row>
    <row r="3104" spans="1:10">
      <c r="A3104" s="95" t="s">
        <v>15</v>
      </c>
      <c r="B3104" s="95" t="s">
        <v>12</v>
      </c>
      <c r="C3104" s="51">
        <v>0.77916666666666601</v>
      </c>
      <c r="D3104" s="96">
        <v>0</v>
      </c>
      <c r="E3104" s="96">
        <v>0</v>
      </c>
      <c r="F3104" s="96">
        <v>0</v>
      </c>
      <c r="G3104" s="96">
        <v>0</v>
      </c>
      <c r="H3104" s="96">
        <v>0</v>
      </c>
      <c r="I3104" s="96">
        <v>0</v>
      </c>
      <c r="J3104" s="96">
        <v>0</v>
      </c>
    </row>
    <row r="3105" spans="1:10">
      <c r="A3105" s="95" t="s">
        <v>15</v>
      </c>
      <c r="B3105" s="95" t="s">
        <v>12</v>
      </c>
      <c r="C3105" s="51">
        <v>0.77986111111111101</v>
      </c>
      <c r="D3105" s="96">
        <v>0</v>
      </c>
      <c r="E3105" s="96">
        <v>0</v>
      </c>
      <c r="F3105" s="96">
        <v>0</v>
      </c>
      <c r="G3105" s="96">
        <v>0</v>
      </c>
      <c r="H3105" s="96">
        <v>0</v>
      </c>
      <c r="I3105" s="96">
        <v>0</v>
      </c>
      <c r="J3105" s="96">
        <v>0</v>
      </c>
    </row>
    <row r="3106" spans="1:10" s="80" customFormat="1">
      <c r="A3106" s="97" t="s">
        <v>15</v>
      </c>
      <c r="B3106" s="97" t="s">
        <v>12</v>
      </c>
      <c r="C3106" s="98">
        <v>0.780555555555555</v>
      </c>
      <c r="D3106" s="99">
        <v>0</v>
      </c>
      <c r="E3106" s="99">
        <v>0</v>
      </c>
      <c r="F3106" s="99">
        <v>0</v>
      </c>
      <c r="G3106" s="99">
        <v>0</v>
      </c>
      <c r="H3106" s="99">
        <v>0</v>
      </c>
      <c r="I3106" s="99">
        <v>0</v>
      </c>
      <c r="J3106" s="99">
        <v>0</v>
      </c>
    </row>
    <row r="3107" spans="1:10">
      <c r="A3107" s="95" t="s">
        <v>15</v>
      </c>
      <c r="B3107" s="95" t="s">
        <v>12</v>
      </c>
      <c r="C3107" s="51">
        <v>0.78125</v>
      </c>
      <c r="D3107" s="96">
        <v>0</v>
      </c>
      <c r="E3107" s="96">
        <v>0</v>
      </c>
      <c r="F3107" s="96">
        <v>0</v>
      </c>
      <c r="G3107" s="96">
        <v>0</v>
      </c>
      <c r="H3107" s="96">
        <v>0</v>
      </c>
      <c r="I3107" s="96">
        <v>0</v>
      </c>
      <c r="J3107" s="96">
        <v>0</v>
      </c>
    </row>
    <row r="3108" spans="1:10">
      <c r="A3108" s="95" t="s">
        <v>15</v>
      </c>
      <c r="B3108" s="95" t="s">
        <v>12</v>
      </c>
      <c r="C3108" s="51">
        <v>0.781944444444444</v>
      </c>
      <c r="D3108" s="96">
        <v>0</v>
      </c>
      <c r="E3108" s="96">
        <v>0</v>
      </c>
      <c r="F3108" s="96">
        <v>0</v>
      </c>
      <c r="G3108" s="96">
        <v>0</v>
      </c>
      <c r="H3108" s="96">
        <v>0</v>
      </c>
      <c r="I3108" s="96">
        <v>0</v>
      </c>
      <c r="J3108" s="96">
        <v>0</v>
      </c>
    </row>
    <row r="3109" spans="1:10">
      <c r="A3109" s="95" t="s">
        <v>15</v>
      </c>
      <c r="B3109" s="95" t="s">
        <v>12</v>
      </c>
      <c r="C3109" s="51">
        <v>0.78263888888888899</v>
      </c>
      <c r="D3109" s="96">
        <v>0</v>
      </c>
      <c r="E3109" s="96">
        <v>0</v>
      </c>
      <c r="F3109" s="96">
        <v>0</v>
      </c>
      <c r="G3109" s="96">
        <v>0</v>
      </c>
      <c r="H3109" s="96">
        <v>0</v>
      </c>
      <c r="I3109" s="96">
        <v>0</v>
      </c>
      <c r="J3109" s="96">
        <v>0</v>
      </c>
    </row>
    <row r="3110" spans="1:10">
      <c r="A3110" s="95" t="s">
        <v>15</v>
      </c>
      <c r="B3110" s="95" t="s">
        <v>12</v>
      </c>
      <c r="C3110" s="51">
        <v>0.78333333333333299</v>
      </c>
      <c r="D3110" s="96">
        <v>0</v>
      </c>
      <c r="E3110" s="96">
        <v>0</v>
      </c>
      <c r="F3110" s="96">
        <v>0</v>
      </c>
      <c r="G3110" s="96">
        <v>0</v>
      </c>
      <c r="H3110" s="96">
        <v>0</v>
      </c>
      <c r="I3110" s="96">
        <v>0</v>
      </c>
      <c r="J3110" s="96">
        <v>0</v>
      </c>
    </row>
    <row r="3111" spans="1:10">
      <c r="A3111" s="95" t="s">
        <v>15</v>
      </c>
      <c r="B3111" s="95" t="s">
        <v>12</v>
      </c>
      <c r="C3111" s="51">
        <v>0.78402777777777799</v>
      </c>
      <c r="D3111" s="96">
        <v>0</v>
      </c>
      <c r="E3111" s="96">
        <v>0</v>
      </c>
      <c r="F3111" s="96">
        <v>0</v>
      </c>
      <c r="G3111" s="96">
        <v>0</v>
      </c>
      <c r="H3111" s="96">
        <v>0</v>
      </c>
      <c r="I3111" s="96">
        <v>0</v>
      </c>
      <c r="J3111" s="96">
        <v>0</v>
      </c>
    </row>
    <row r="3112" spans="1:10">
      <c r="A3112" s="95" t="s">
        <v>15</v>
      </c>
      <c r="B3112" s="95" t="s">
        <v>12</v>
      </c>
      <c r="C3112" s="51">
        <v>0.78472222222222199</v>
      </c>
      <c r="D3112" s="96">
        <v>0</v>
      </c>
      <c r="E3112" s="96">
        <v>0</v>
      </c>
      <c r="F3112" s="96">
        <v>0</v>
      </c>
      <c r="G3112" s="96">
        <v>0</v>
      </c>
      <c r="H3112" s="96">
        <v>0</v>
      </c>
      <c r="I3112" s="96">
        <v>0</v>
      </c>
      <c r="J3112" s="96">
        <v>0</v>
      </c>
    </row>
    <row r="3113" spans="1:10">
      <c r="A3113" s="95" t="s">
        <v>15</v>
      </c>
      <c r="B3113" s="95" t="s">
        <v>12</v>
      </c>
      <c r="C3113" s="51">
        <v>0.78541666666666599</v>
      </c>
      <c r="D3113" s="96">
        <v>0</v>
      </c>
      <c r="E3113" s="96">
        <v>0</v>
      </c>
      <c r="F3113" s="96">
        <v>0</v>
      </c>
      <c r="G3113" s="96">
        <v>0</v>
      </c>
      <c r="H3113" s="96">
        <v>0</v>
      </c>
      <c r="I3113" s="96">
        <v>0</v>
      </c>
      <c r="J3113" s="96">
        <v>0</v>
      </c>
    </row>
    <row r="3114" spans="1:10">
      <c r="A3114" s="95" t="s">
        <v>15</v>
      </c>
      <c r="B3114" s="95" t="s">
        <v>12</v>
      </c>
      <c r="C3114" s="51">
        <v>0.78611111111111098</v>
      </c>
      <c r="D3114" s="96">
        <v>0</v>
      </c>
      <c r="E3114" s="96">
        <v>0</v>
      </c>
      <c r="F3114" s="96">
        <v>0</v>
      </c>
      <c r="G3114" s="96">
        <v>0</v>
      </c>
      <c r="H3114" s="96">
        <v>0</v>
      </c>
      <c r="I3114" s="96">
        <v>0</v>
      </c>
      <c r="J3114" s="96">
        <v>0</v>
      </c>
    </row>
    <row r="3115" spans="1:10">
      <c r="A3115" s="95" t="s">
        <v>15</v>
      </c>
      <c r="B3115" s="95" t="s">
        <v>12</v>
      </c>
      <c r="C3115" s="51">
        <v>0.78680555555555498</v>
      </c>
      <c r="D3115" s="96">
        <v>0</v>
      </c>
      <c r="E3115" s="96">
        <v>0</v>
      </c>
      <c r="F3115" s="96">
        <v>0</v>
      </c>
      <c r="G3115" s="96">
        <v>0</v>
      </c>
      <c r="H3115" s="96">
        <v>0</v>
      </c>
      <c r="I3115" s="96">
        <v>0</v>
      </c>
      <c r="J3115" s="96">
        <v>0</v>
      </c>
    </row>
    <row r="3116" spans="1:10">
      <c r="A3116" s="95" t="s">
        <v>15</v>
      </c>
      <c r="B3116" s="95" t="s">
        <v>12</v>
      </c>
      <c r="C3116" s="51">
        <v>0.78749999999999998</v>
      </c>
      <c r="D3116" s="96">
        <v>0</v>
      </c>
      <c r="E3116" s="96">
        <v>0</v>
      </c>
      <c r="F3116" s="96">
        <v>0</v>
      </c>
      <c r="G3116" s="96">
        <v>0</v>
      </c>
      <c r="H3116" s="96">
        <v>0</v>
      </c>
      <c r="I3116" s="96">
        <v>0</v>
      </c>
      <c r="J3116" s="96">
        <v>0</v>
      </c>
    </row>
    <row r="3117" spans="1:10">
      <c r="A3117" s="95" t="s">
        <v>15</v>
      </c>
      <c r="B3117" s="95" t="s">
        <v>12</v>
      </c>
      <c r="C3117" s="51">
        <v>0.78819444444444398</v>
      </c>
      <c r="D3117" s="96">
        <v>0</v>
      </c>
      <c r="E3117" s="96">
        <v>0</v>
      </c>
      <c r="F3117" s="96">
        <v>0</v>
      </c>
      <c r="G3117" s="96">
        <v>0</v>
      </c>
      <c r="H3117" s="96">
        <v>0</v>
      </c>
      <c r="I3117" s="96">
        <v>0</v>
      </c>
      <c r="J3117" s="96">
        <v>0</v>
      </c>
    </row>
    <row r="3118" spans="1:10">
      <c r="A3118" s="95" t="s">
        <v>15</v>
      </c>
      <c r="B3118" s="95" t="s">
        <v>12</v>
      </c>
      <c r="C3118" s="51">
        <v>0.78888888888888897</v>
      </c>
      <c r="D3118" s="96">
        <v>0</v>
      </c>
      <c r="E3118" s="96">
        <v>0</v>
      </c>
      <c r="F3118" s="96">
        <v>0</v>
      </c>
      <c r="G3118" s="96">
        <v>0</v>
      </c>
      <c r="H3118" s="96">
        <v>0</v>
      </c>
      <c r="I3118" s="96">
        <v>0</v>
      </c>
      <c r="J3118" s="96">
        <v>0</v>
      </c>
    </row>
    <row r="3119" spans="1:10">
      <c r="A3119" s="95" t="s">
        <v>15</v>
      </c>
      <c r="B3119" s="95" t="s">
        <v>12</v>
      </c>
      <c r="C3119" s="51">
        <v>0.78958333333333297</v>
      </c>
      <c r="D3119" s="96">
        <v>0</v>
      </c>
      <c r="E3119" s="96">
        <v>0</v>
      </c>
      <c r="F3119" s="96">
        <v>0</v>
      </c>
      <c r="G3119" s="96">
        <v>0</v>
      </c>
      <c r="H3119" s="96">
        <v>0</v>
      </c>
      <c r="I3119" s="96">
        <v>0</v>
      </c>
      <c r="J3119" s="96">
        <v>0</v>
      </c>
    </row>
    <row r="3120" spans="1:10">
      <c r="A3120" s="95" t="s">
        <v>15</v>
      </c>
      <c r="B3120" s="95" t="s">
        <v>12</v>
      </c>
      <c r="C3120" s="51">
        <v>0.79027777777777797</v>
      </c>
      <c r="D3120" s="96">
        <v>0</v>
      </c>
      <c r="E3120" s="96">
        <v>0</v>
      </c>
      <c r="F3120" s="96">
        <v>0</v>
      </c>
      <c r="G3120" s="96">
        <v>0</v>
      </c>
      <c r="H3120" s="96">
        <v>0</v>
      </c>
      <c r="I3120" s="96">
        <v>0</v>
      </c>
      <c r="J3120" s="96">
        <v>0</v>
      </c>
    </row>
    <row r="3121" spans="1:10" s="28" customFormat="1" ht="17.5" thickBot="1">
      <c r="A3121" s="107" t="s">
        <v>15</v>
      </c>
      <c r="B3121" s="107" t="s">
        <v>12</v>
      </c>
      <c r="C3121" s="108">
        <v>0.79097222222222197</v>
      </c>
      <c r="D3121" s="109">
        <v>0</v>
      </c>
      <c r="E3121" s="109">
        <v>0</v>
      </c>
      <c r="F3121" s="109">
        <v>0</v>
      </c>
      <c r="G3121" s="109">
        <v>0</v>
      </c>
      <c r="H3121" s="109">
        <v>0</v>
      </c>
      <c r="I3121" s="109">
        <v>0</v>
      </c>
      <c r="J3121" s="109">
        <v>0</v>
      </c>
    </row>
    <row r="3122" spans="1:10">
      <c r="A3122" s="95" t="s">
        <v>15</v>
      </c>
      <c r="B3122" s="95" t="s">
        <v>13</v>
      </c>
      <c r="C3122" s="51">
        <v>0.70833333333333337</v>
      </c>
      <c r="D3122" s="96">
        <v>0</v>
      </c>
      <c r="E3122" s="96">
        <v>0</v>
      </c>
      <c r="F3122" s="96">
        <v>0</v>
      </c>
      <c r="G3122" s="96">
        <v>0</v>
      </c>
      <c r="H3122" s="96">
        <v>0</v>
      </c>
      <c r="I3122" s="96">
        <v>0</v>
      </c>
      <c r="J3122" s="96">
        <v>0</v>
      </c>
    </row>
    <row r="3123" spans="1:10">
      <c r="A3123" s="95" t="s">
        <v>15</v>
      </c>
      <c r="B3123" s="95" t="s">
        <v>13</v>
      </c>
      <c r="C3123" s="51">
        <v>0.70902777777777781</v>
      </c>
      <c r="D3123" s="96">
        <v>0</v>
      </c>
      <c r="E3123" s="96">
        <v>0</v>
      </c>
      <c r="F3123" s="96">
        <v>0</v>
      </c>
      <c r="G3123" s="96">
        <v>0</v>
      </c>
      <c r="H3123" s="96">
        <v>0</v>
      </c>
      <c r="I3123" s="96">
        <v>0</v>
      </c>
      <c r="J3123" s="96">
        <v>0</v>
      </c>
    </row>
    <row r="3124" spans="1:10">
      <c r="A3124" s="95" t="s">
        <v>15</v>
      </c>
      <c r="B3124" s="95" t="s">
        <v>13</v>
      </c>
      <c r="C3124" s="51">
        <v>0.70972222222222203</v>
      </c>
      <c r="D3124" s="96">
        <v>0</v>
      </c>
      <c r="E3124" s="96">
        <v>0</v>
      </c>
      <c r="F3124" s="96">
        <v>0</v>
      </c>
      <c r="G3124" s="96">
        <v>0</v>
      </c>
      <c r="H3124" s="96">
        <v>0</v>
      </c>
      <c r="I3124" s="96">
        <v>0</v>
      </c>
      <c r="J3124" s="96">
        <v>0</v>
      </c>
    </row>
    <row r="3125" spans="1:10">
      <c r="A3125" s="95" t="s">
        <v>15</v>
      </c>
      <c r="B3125" s="95" t="s">
        <v>13</v>
      </c>
      <c r="C3125" s="51">
        <v>0.71041666666666703</v>
      </c>
      <c r="D3125" s="96">
        <v>0</v>
      </c>
      <c r="E3125" s="96">
        <v>0</v>
      </c>
      <c r="F3125" s="96">
        <v>0</v>
      </c>
      <c r="G3125" s="96">
        <v>0</v>
      </c>
      <c r="H3125" s="96">
        <v>0</v>
      </c>
      <c r="I3125" s="96">
        <v>0</v>
      </c>
      <c r="J3125" s="96">
        <v>0</v>
      </c>
    </row>
    <row r="3126" spans="1:10">
      <c r="A3126" s="95" t="s">
        <v>15</v>
      </c>
      <c r="B3126" s="95" t="s">
        <v>13</v>
      </c>
      <c r="C3126" s="51">
        <v>0.71111111111111103</v>
      </c>
      <c r="D3126" s="96">
        <v>0</v>
      </c>
      <c r="E3126" s="96">
        <v>0</v>
      </c>
      <c r="F3126" s="96">
        <v>0</v>
      </c>
      <c r="G3126" s="96">
        <v>0</v>
      </c>
      <c r="H3126" s="96">
        <v>0</v>
      </c>
      <c r="I3126" s="96">
        <v>0</v>
      </c>
      <c r="J3126" s="96">
        <v>0</v>
      </c>
    </row>
    <row r="3127" spans="1:10">
      <c r="A3127" s="95" t="s">
        <v>15</v>
      </c>
      <c r="B3127" s="95" t="s">
        <v>13</v>
      </c>
      <c r="C3127" s="51">
        <v>0.71180555555555602</v>
      </c>
      <c r="D3127" s="96">
        <v>0</v>
      </c>
      <c r="E3127" s="96">
        <v>0</v>
      </c>
      <c r="F3127" s="96">
        <v>0</v>
      </c>
      <c r="G3127" s="96">
        <v>0</v>
      </c>
      <c r="H3127" s="96">
        <v>0</v>
      </c>
      <c r="I3127" s="96">
        <v>0</v>
      </c>
      <c r="J3127" s="96">
        <v>0</v>
      </c>
    </row>
    <row r="3128" spans="1:10">
      <c r="A3128" s="95" t="s">
        <v>15</v>
      </c>
      <c r="B3128" s="95" t="s">
        <v>13</v>
      </c>
      <c r="C3128" s="51">
        <v>0.71250000000000002</v>
      </c>
      <c r="D3128" s="96">
        <v>0</v>
      </c>
      <c r="E3128" s="96">
        <v>0</v>
      </c>
      <c r="F3128" s="96">
        <v>0</v>
      </c>
      <c r="G3128" s="96">
        <v>0</v>
      </c>
      <c r="H3128" s="96">
        <v>0</v>
      </c>
      <c r="I3128" s="96">
        <v>0</v>
      </c>
      <c r="J3128" s="96">
        <v>0</v>
      </c>
    </row>
    <row r="3129" spans="1:10">
      <c r="A3129" s="95" t="s">
        <v>15</v>
      </c>
      <c r="B3129" s="95" t="s">
        <v>13</v>
      </c>
      <c r="C3129" s="51">
        <v>0.71319444444444402</v>
      </c>
      <c r="D3129" s="96">
        <v>0</v>
      </c>
      <c r="E3129" s="96">
        <v>0</v>
      </c>
      <c r="F3129" s="96">
        <v>0</v>
      </c>
      <c r="G3129" s="96">
        <v>0</v>
      </c>
      <c r="H3129" s="96">
        <v>0</v>
      </c>
      <c r="I3129" s="96">
        <v>0</v>
      </c>
      <c r="J3129" s="96">
        <v>0</v>
      </c>
    </row>
    <row r="3130" spans="1:10">
      <c r="A3130" s="95" t="s">
        <v>15</v>
      </c>
      <c r="B3130" s="95" t="s">
        <v>13</v>
      </c>
      <c r="C3130" s="51">
        <v>0.71388888888888902</v>
      </c>
      <c r="D3130" s="96">
        <v>0</v>
      </c>
      <c r="E3130" s="96">
        <v>0</v>
      </c>
      <c r="F3130" s="96">
        <v>0</v>
      </c>
      <c r="G3130" s="96">
        <v>0</v>
      </c>
      <c r="H3130" s="96">
        <v>0</v>
      </c>
      <c r="I3130" s="96">
        <v>0</v>
      </c>
      <c r="J3130" s="96">
        <v>0</v>
      </c>
    </row>
    <row r="3131" spans="1:10">
      <c r="A3131" s="95" t="s">
        <v>15</v>
      </c>
      <c r="B3131" s="95" t="s">
        <v>13</v>
      </c>
      <c r="C3131" s="51">
        <v>0.71458333333333302</v>
      </c>
      <c r="D3131" s="96">
        <v>0</v>
      </c>
      <c r="E3131" s="96">
        <v>0</v>
      </c>
      <c r="F3131" s="96">
        <v>0</v>
      </c>
      <c r="G3131" s="96">
        <v>0</v>
      </c>
      <c r="H3131" s="96">
        <v>0</v>
      </c>
      <c r="I3131" s="96">
        <v>0</v>
      </c>
      <c r="J3131" s="96">
        <v>0</v>
      </c>
    </row>
    <row r="3132" spans="1:10">
      <c r="A3132" s="95" t="s">
        <v>15</v>
      </c>
      <c r="B3132" s="95" t="s">
        <v>13</v>
      </c>
      <c r="C3132" s="51">
        <v>0.71527777777777801</v>
      </c>
      <c r="D3132" s="96">
        <v>0</v>
      </c>
      <c r="E3132" s="96">
        <v>0</v>
      </c>
      <c r="F3132" s="96">
        <v>0</v>
      </c>
      <c r="G3132" s="96">
        <v>0</v>
      </c>
      <c r="H3132" s="96">
        <v>0</v>
      </c>
      <c r="I3132" s="96">
        <v>0</v>
      </c>
      <c r="J3132" s="96">
        <v>0</v>
      </c>
    </row>
    <row r="3133" spans="1:10">
      <c r="A3133" s="95" t="s">
        <v>15</v>
      </c>
      <c r="B3133" s="95" t="s">
        <v>13</v>
      </c>
      <c r="C3133" s="51">
        <v>0.71597222222222201</v>
      </c>
      <c r="D3133" s="96">
        <v>0</v>
      </c>
      <c r="E3133" s="96">
        <v>0</v>
      </c>
      <c r="F3133" s="96">
        <v>0</v>
      </c>
      <c r="G3133" s="96">
        <v>0</v>
      </c>
      <c r="H3133" s="96">
        <v>0</v>
      </c>
      <c r="I3133" s="96">
        <v>0</v>
      </c>
      <c r="J3133" s="96">
        <v>0</v>
      </c>
    </row>
    <row r="3134" spans="1:10">
      <c r="A3134" s="95" t="s">
        <v>15</v>
      </c>
      <c r="B3134" s="95" t="s">
        <v>13</v>
      </c>
      <c r="C3134" s="51">
        <v>0.71666666666666701</v>
      </c>
      <c r="D3134" s="96">
        <v>0</v>
      </c>
      <c r="E3134" s="96">
        <v>0</v>
      </c>
      <c r="F3134" s="96">
        <v>0</v>
      </c>
      <c r="G3134" s="96">
        <v>0</v>
      </c>
      <c r="H3134" s="96">
        <v>0</v>
      </c>
      <c r="I3134" s="96">
        <v>0</v>
      </c>
      <c r="J3134" s="96">
        <v>0</v>
      </c>
    </row>
    <row r="3135" spans="1:10">
      <c r="A3135" s="95" t="s">
        <v>15</v>
      </c>
      <c r="B3135" s="95" t="s">
        <v>13</v>
      </c>
      <c r="C3135" s="51">
        <v>0.71736111111111101</v>
      </c>
      <c r="D3135" s="96">
        <v>0</v>
      </c>
      <c r="E3135" s="96">
        <v>0</v>
      </c>
      <c r="F3135" s="96">
        <v>0</v>
      </c>
      <c r="G3135" s="96">
        <v>0</v>
      </c>
      <c r="H3135" s="96">
        <v>0</v>
      </c>
      <c r="I3135" s="96">
        <v>0</v>
      </c>
      <c r="J3135" s="96">
        <v>0</v>
      </c>
    </row>
    <row r="3136" spans="1:10" s="80" customFormat="1">
      <c r="A3136" s="97" t="s">
        <v>15</v>
      </c>
      <c r="B3136" s="97" t="s">
        <v>13</v>
      </c>
      <c r="C3136" s="98">
        <v>0.718055555555556</v>
      </c>
      <c r="D3136" s="99">
        <v>0</v>
      </c>
      <c r="E3136" s="99">
        <v>0</v>
      </c>
      <c r="F3136" s="99">
        <v>0</v>
      </c>
      <c r="G3136" s="99">
        <v>0</v>
      </c>
      <c r="H3136" s="99">
        <v>0</v>
      </c>
      <c r="I3136" s="99">
        <v>0</v>
      </c>
      <c r="J3136" s="99">
        <v>0</v>
      </c>
    </row>
    <row r="3137" spans="1:10">
      <c r="A3137" s="95" t="s">
        <v>15</v>
      </c>
      <c r="B3137" s="95" t="s">
        <v>13</v>
      </c>
      <c r="C3137" s="51">
        <v>0.71875</v>
      </c>
      <c r="D3137" s="96">
        <v>0</v>
      </c>
      <c r="E3137" s="96">
        <v>0</v>
      </c>
      <c r="F3137" s="96">
        <v>0</v>
      </c>
      <c r="G3137" s="96">
        <v>0</v>
      </c>
      <c r="H3137" s="96">
        <v>0</v>
      </c>
      <c r="I3137" s="96">
        <v>0</v>
      </c>
      <c r="J3137" s="96">
        <v>0</v>
      </c>
    </row>
    <row r="3138" spans="1:10">
      <c r="A3138" s="95" t="s">
        <v>15</v>
      </c>
      <c r="B3138" s="95" t="s">
        <v>13</v>
      </c>
      <c r="C3138" s="51">
        <v>0.719444444444444</v>
      </c>
      <c r="D3138" s="96">
        <v>0</v>
      </c>
      <c r="E3138" s="96">
        <v>0</v>
      </c>
      <c r="F3138" s="96">
        <v>0</v>
      </c>
      <c r="G3138" s="96">
        <v>0</v>
      </c>
      <c r="H3138" s="96">
        <v>0</v>
      </c>
      <c r="I3138" s="96">
        <v>0</v>
      </c>
      <c r="J3138" s="96">
        <v>0</v>
      </c>
    </row>
    <row r="3139" spans="1:10">
      <c r="A3139" s="95" t="s">
        <v>15</v>
      </c>
      <c r="B3139" s="95" t="s">
        <v>13</v>
      </c>
      <c r="C3139" s="51">
        <v>0.72013888888888899</v>
      </c>
      <c r="D3139" s="96">
        <v>0</v>
      </c>
      <c r="E3139" s="96">
        <v>0</v>
      </c>
      <c r="F3139" s="96">
        <v>0</v>
      </c>
      <c r="G3139" s="96">
        <v>0</v>
      </c>
      <c r="H3139" s="96">
        <v>0</v>
      </c>
      <c r="I3139" s="96">
        <v>0</v>
      </c>
      <c r="J3139" s="96">
        <v>0</v>
      </c>
    </row>
    <row r="3140" spans="1:10">
      <c r="A3140" s="95" t="s">
        <v>15</v>
      </c>
      <c r="B3140" s="95" t="s">
        <v>13</v>
      </c>
      <c r="C3140" s="51">
        <v>0.72083333333333299</v>
      </c>
      <c r="D3140" s="96">
        <v>0</v>
      </c>
      <c r="E3140" s="96">
        <v>0</v>
      </c>
      <c r="F3140" s="96">
        <v>0</v>
      </c>
      <c r="G3140" s="96">
        <v>0</v>
      </c>
      <c r="H3140" s="96">
        <v>0</v>
      </c>
      <c r="I3140" s="96">
        <v>0</v>
      </c>
      <c r="J3140" s="96">
        <v>0</v>
      </c>
    </row>
    <row r="3141" spans="1:10">
      <c r="A3141" s="95" t="s">
        <v>15</v>
      </c>
      <c r="B3141" s="95" t="s">
        <v>13</v>
      </c>
      <c r="C3141" s="51">
        <v>0.72152777777777799</v>
      </c>
      <c r="D3141" s="96">
        <v>0</v>
      </c>
      <c r="E3141" s="96">
        <v>0</v>
      </c>
      <c r="F3141" s="96">
        <v>0</v>
      </c>
      <c r="G3141" s="96">
        <v>0</v>
      </c>
      <c r="H3141" s="96">
        <v>0</v>
      </c>
      <c r="I3141" s="96">
        <v>0</v>
      </c>
      <c r="J3141" s="96">
        <v>0</v>
      </c>
    </row>
    <row r="3142" spans="1:10">
      <c r="A3142" s="95" t="s">
        <v>15</v>
      </c>
      <c r="B3142" s="95" t="s">
        <v>13</v>
      </c>
      <c r="C3142" s="51">
        <v>0.72222222222222199</v>
      </c>
      <c r="D3142" s="96">
        <v>0</v>
      </c>
      <c r="E3142" s="96">
        <v>0</v>
      </c>
      <c r="F3142" s="96">
        <v>0</v>
      </c>
      <c r="G3142" s="96">
        <v>0</v>
      </c>
      <c r="H3142" s="96">
        <v>0</v>
      </c>
      <c r="I3142" s="96">
        <v>0</v>
      </c>
      <c r="J3142" s="96">
        <v>0</v>
      </c>
    </row>
    <row r="3143" spans="1:10">
      <c r="A3143" s="95" t="s">
        <v>15</v>
      </c>
      <c r="B3143" s="95" t="s">
        <v>13</v>
      </c>
      <c r="C3143" s="51">
        <v>0.72291666666666698</v>
      </c>
      <c r="D3143" s="96">
        <v>0</v>
      </c>
      <c r="E3143" s="96">
        <v>0</v>
      </c>
      <c r="F3143" s="96">
        <v>0</v>
      </c>
      <c r="G3143" s="96">
        <v>0</v>
      </c>
      <c r="H3143" s="96">
        <v>0</v>
      </c>
      <c r="I3143" s="96">
        <v>0</v>
      </c>
      <c r="J3143" s="96">
        <v>0</v>
      </c>
    </row>
    <row r="3144" spans="1:10">
      <c r="A3144" s="95" t="s">
        <v>15</v>
      </c>
      <c r="B3144" s="95" t="s">
        <v>13</v>
      </c>
      <c r="C3144" s="51">
        <v>0.72361111111111098</v>
      </c>
      <c r="D3144" s="96">
        <v>0</v>
      </c>
      <c r="E3144" s="96">
        <v>0</v>
      </c>
      <c r="F3144" s="96">
        <v>0</v>
      </c>
      <c r="G3144" s="96">
        <v>0</v>
      </c>
      <c r="H3144" s="96">
        <v>0</v>
      </c>
      <c r="I3144" s="96">
        <v>0</v>
      </c>
      <c r="J3144" s="96">
        <v>0</v>
      </c>
    </row>
    <row r="3145" spans="1:10">
      <c r="A3145" s="95" t="s">
        <v>15</v>
      </c>
      <c r="B3145" s="95" t="s">
        <v>13</v>
      </c>
      <c r="C3145" s="51">
        <v>0.72430555555555598</v>
      </c>
      <c r="D3145" s="96">
        <v>0</v>
      </c>
      <c r="E3145" s="96">
        <v>0</v>
      </c>
      <c r="F3145" s="96">
        <v>0</v>
      </c>
      <c r="G3145" s="96">
        <v>0</v>
      </c>
      <c r="H3145" s="96">
        <v>0</v>
      </c>
      <c r="I3145" s="96">
        <v>0</v>
      </c>
      <c r="J3145" s="96">
        <v>0</v>
      </c>
    </row>
    <row r="3146" spans="1:10">
      <c r="A3146" s="95" t="s">
        <v>15</v>
      </c>
      <c r="B3146" s="95" t="s">
        <v>13</v>
      </c>
      <c r="C3146" s="51">
        <v>0.72499999999999998</v>
      </c>
      <c r="D3146" s="96">
        <v>0</v>
      </c>
      <c r="E3146" s="96">
        <v>0</v>
      </c>
      <c r="F3146" s="96">
        <v>0</v>
      </c>
      <c r="G3146" s="96">
        <v>0</v>
      </c>
      <c r="H3146" s="96">
        <v>0</v>
      </c>
      <c r="I3146" s="96">
        <v>0</v>
      </c>
      <c r="J3146" s="96">
        <v>0</v>
      </c>
    </row>
    <row r="3147" spans="1:10">
      <c r="A3147" s="95" t="s">
        <v>15</v>
      </c>
      <c r="B3147" s="95" t="s">
        <v>13</v>
      </c>
      <c r="C3147" s="51">
        <v>0.72569444444444398</v>
      </c>
      <c r="D3147" s="96">
        <v>0</v>
      </c>
      <c r="E3147" s="96">
        <v>0</v>
      </c>
      <c r="F3147" s="96">
        <v>0</v>
      </c>
      <c r="G3147" s="96">
        <v>0</v>
      </c>
      <c r="H3147" s="96">
        <v>0</v>
      </c>
      <c r="I3147" s="96">
        <v>0</v>
      </c>
      <c r="J3147" s="96">
        <v>0</v>
      </c>
    </row>
    <row r="3148" spans="1:10">
      <c r="A3148" s="95" t="s">
        <v>15</v>
      </c>
      <c r="B3148" s="95" t="s">
        <v>13</v>
      </c>
      <c r="C3148" s="51">
        <v>0.72638888888888897</v>
      </c>
      <c r="D3148" s="96">
        <v>0</v>
      </c>
      <c r="E3148" s="96">
        <v>0</v>
      </c>
      <c r="F3148" s="96">
        <v>0</v>
      </c>
      <c r="G3148" s="96">
        <v>0</v>
      </c>
      <c r="H3148" s="96">
        <v>0</v>
      </c>
      <c r="I3148" s="96">
        <v>0</v>
      </c>
      <c r="J3148" s="96">
        <v>0</v>
      </c>
    </row>
    <row r="3149" spans="1:10">
      <c r="A3149" s="95" t="s">
        <v>15</v>
      </c>
      <c r="B3149" s="95" t="s">
        <v>13</v>
      </c>
      <c r="C3149" s="51">
        <v>0.72708333333333297</v>
      </c>
      <c r="D3149" s="96">
        <v>0</v>
      </c>
      <c r="E3149" s="96">
        <v>0</v>
      </c>
      <c r="F3149" s="96">
        <v>0</v>
      </c>
      <c r="G3149" s="96">
        <v>0</v>
      </c>
      <c r="H3149" s="96">
        <v>0</v>
      </c>
      <c r="I3149" s="96">
        <v>0</v>
      </c>
      <c r="J3149" s="96">
        <v>0</v>
      </c>
    </row>
    <row r="3150" spans="1:10">
      <c r="A3150" s="95" t="s">
        <v>15</v>
      </c>
      <c r="B3150" s="95" t="s">
        <v>13</v>
      </c>
      <c r="C3150" s="51">
        <v>0.72777777777777797</v>
      </c>
      <c r="D3150" s="96">
        <v>0</v>
      </c>
      <c r="E3150" s="96">
        <v>0</v>
      </c>
      <c r="F3150" s="96">
        <v>0</v>
      </c>
      <c r="G3150" s="96">
        <v>0</v>
      </c>
      <c r="H3150" s="96">
        <v>0</v>
      </c>
      <c r="I3150" s="96">
        <v>0</v>
      </c>
      <c r="J3150" s="96">
        <v>0</v>
      </c>
    </row>
    <row r="3151" spans="1:10" s="80" customFormat="1">
      <c r="A3151" s="97" t="s">
        <v>15</v>
      </c>
      <c r="B3151" s="97" t="s">
        <v>13</v>
      </c>
      <c r="C3151" s="98">
        <v>0.72847222222222197</v>
      </c>
      <c r="D3151" s="99">
        <v>0</v>
      </c>
      <c r="E3151" s="99">
        <v>0</v>
      </c>
      <c r="F3151" s="99">
        <v>0</v>
      </c>
      <c r="G3151" s="99">
        <v>0</v>
      </c>
      <c r="H3151" s="99">
        <v>0</v>
      </c>
      <c r="I3151" s="99">
        <v>0</v>
      </c>
      <c r="J3151" s="99">
        <v>0</v>
      </c>
    </row>
    <row r="3152" spans="1:10">
      <c r="A3152" s="95" t="s">
        <v>15</v>
      </c>
      <c r="B3152" s="95" t="s">
        <v>13</v>
      </c>
      <c r="C3152" s="51">
        <v>0.72916666666666696</v>
      </c>
      <c r="D3152" s="96">
        <v>0</v>
      </c>
      <c r="E3152" s="96">
        <v>0</v>
      </c>
      <c r="F3152" s="96">
        <v>0</v>
      </c>
      <c r="G3152" s="96">
        <v>0</v>
      </c>
      <c r="H3152" s="96">
        <v>0</v>
      </c>
      <c r="I3152" s="96">
        <v>0</v>
      </c>
      <c r="J3152" s="96">
        <v>0</v>
      </c>
    </row>
    <row r="3153" spans="1:10">
      <c r="A3153" s="95" t="s">
        <v>15</v>
      </c>
      <c r="B3153" s="95" t="s">
        <v>13</v>
      </c>
      <c r="C3153" s="51">
        <v>0.72986111111111096</v>
      </c>
      <c r="D3153" s="96">
        <v>0</v>
      </c>
      <c r="E3153" s="96">
        <v>0</v>
      </c>
      <c r="F3153" s="96">
        <v>0</v>
      </c>
      <c r="G3153" s="96">
        <v>0</v>
      </c>
      <c r="H3153" s="96">
        <v>0</v>
      </c>
      <c r="I3153" s="96">
        <v>0</v>
      </c>
      <c r="J3153" s="96">
        <v>0</v>
      </c>
    </row>
    <row r="3154" spans="1:10">
      <c r="A3154" s="95" t="s">
        <v>15</v>
      </c>
      <c r="B3154" s="95" t="s">
        <v>13</v>
      </c>
      <c r="C3154" s="51">
        <v>0.73055555555555596</v>
      </c>
      <c r="D3154" s="96">
        <v>0</v>
      </c>
      <c r="E3154" s="96">
        <v>0</v>
      </c>
      <c r="F3154" s="96">
        <v>0</v>
      </c>
      <c r="G3154" s="96">
        <v>0</v>
      </c>
      <c r="H3154" s="96">
        <v>0</v>
      </c>
      <c r="I3154" s="96">
        <v>0</v>
      </c>
      <c r="J3154" s="96">
        <v>0</v>
      </c>
    </row>
    <row r="3155" spans="1:10">
      <c r="A3155" s="95" t="s">
        <v>15</v>
      </c>
      <c r="B3155" s="95" t="s">
        <v>13</v>
      </c>
      <c r="C3155" s="51">
        <v>0.73124999999999996</v>
      </c>
      <c r="D3155" s="96">
        <v>0</v>
      </c>
      <c r="E3155" s="96">
        <v>0</v>
      </c>
      <c r="F3155" s="96">
        <v>0</v>
      </c>
      <c r="G3155" s="96">
        <v>0</v>
      </c>
      <c r="H3155" s="96">
        <v>0</v>
      </c>
      <c r="I3155" s="96">
        <v>0</v>
      </c>
      <c r="J3155" s="96">
        <v>0</v>
      </c>
    </row>
    <row r="3156" spans="1:10">
      <c r="A3156" s="95" t="s">
        <v>15</v>
      </c>
      <c r="B3156" s="95" t="s">
        <v>13</v>
      </c>
      <c r="C3156" s="51">
        <v>0.73194444444444395</v>
      </c>
      <c r="D3156" s="96">
        <v>0</v>
      </c>
      <c r="E3156" s="96">
        <v>0</v>
      </c>
      <c r="F3156" s="96">
        <v>0</v>
      </c>
      <c r="G3156" s="96">
        <v>0</v>
      </c>
      <c r="H3156" s="96">
        <v>0</v>
      </c>
      <c r="I3156" s="96">
        <v>0</v>
      </c>
      <c r="J3156" s="96">
        <v>0</v>
      </c>
    </row>
    <row r="3157" spans="1:10">
      <c r="A3157" s="95" t="s">
        <v>15</v>
      </c>
      <c r="B3157" s="95" t="s">
        <v>13</v>
      </c>
      <c r="C3157" s="51">
        <v>0.73263888888888895</v>
      </c>
      <c r="D3157" s="96">
        <v>0</v>
      </c>
      <c r="E3157" s="96">
        <v>0</v>
      </c>
      <c r="F3157" s="96">
        <v>0</v>
      </c>
      <c r="G3157" s="96">
        <v>0</v>
      </c>
      <c r="H3157" s="96">
        <v>0</v>
      </c>
      <c r="I3157" s="96">
        <v>0</v>
      </c>
      <c r="J3157" s="96">
        <v>0</v>
      </c>
    </row>
    <row r="3158" spans="1:10">
      <c r="A3158" s="95" t="s">
        <v>15</v>
      </c>
      <c r="B3158" s="95" t="s">
        <v>13</v>
      </c>
      <c r="C3158" s="51">
        <v>0.73333333333333295</v>
      </c>
      <c r="D3158" s="96">
        <v>0</v>
      </c>
      <c r="E3158" s="96">
        <v>0</v>
      </c>
      <c r="F3158" s="96">
        <v>0</v>
      </c>
      <c r="G3158" s="96">
        <v>0</v>
      </c>
      <c r="H3158" s="96">
        <v>0</v>
      </c>
      <c r="I3158" s="96">
        <v>0</v>
      </c>
      <c r="J3158" s="96">
        <v>0</v>
      </c>
    </row>
    <row r="3159" spans="1:10">
      <c r="A3159" s="95" t="s">
        <v>15</v>
      </c>
      <c r="B3159" s="95" t="s">
        <v>13</v>
      </c>
      <c r="C3159" s="51">
        <v>0.73402777777777795</v>
      </c>
      <c r="D3159" s="96">
        <v>0</v>
      </c>
      <c r="E3159" s="96">
        <v>0</v>
      </c>
      <c r="F3159" s="96">
        <v>0</v>
      </c>
      <c r="G3159" s="96">
        <v>0</v>
      </c>
      <c r="H3159" s="96">
        <v>0</v>
      </c>
      <c r="I3159" s="96">
        <v>0</v>
      </c>
      <c r="J3159" s="96">
        <v>0</v>
      </c>
    </row>
    <row r="3160" spans="1:10">
      <c r="A3160" s="95" t="s">
        <v>15</v>
      </c>
      <c r="B3160" s="95" t="s">
        <v>13</v>
      </c>
      <c r="C3160" s="51">
        <v>0.73472222222222205</v>
      </c>
      <c r="D3160" s="96">
        <v>0</v>
      </c>
      <c r="E3160" s="96">
        <v>0</v>
      </c>
      <c r="F3160" s="96">
        <v>0</v>
      </c>
      <c r="G3160" s="96">
        <v>0</v>
      </c>
      <c r="H3160" s="96">
        <v>0</v>
      </c>
      <c r="I3160" s="96">
        <v>0</v>
      </c>
      <c r="J3160" s="96">
        <v>0</v>
      </c>
    </row>
    <row r="3161" spans="1:10">
      <c r="A3161" s="95" t="s">
        <v>15</v>
      </c>
      <c r="B3161" s="95" t="s">
        <v>13</v>
      </c>
      <c r="C3161" s="51">
        <v>0.73541666666666705</v>
      </c>
      <c r="D3161" s="96">
        <v>0</v>
      </c>
      <c r="E3161" s="96">
        <v>0</v>
      </c>
      <c r="F3161" s="96">
        <v>0</v>
      </c>
      <c r="G3161" s="96">
        <v>0</v>
      </c>
      <c r="H3161" s="96">
        <v>0</v>
      </c>
      <c r="I3161" s="96">
        <v>0</v>
      </c>
      <c r="J3161" s="96">
        <v>0</v>
      </c>
    </row>
    <row r="3162" spans="1:10">
      <c r="A3162" s="95" t="s">
        <v>15</v>
      </c>
      <c r="B3162" s="95" t="s">
        <v>13</v>
      </c>
      <c r="C3162" s="51">
        <v>0.73611111111111105</v>
      </c>
      <c r="D3162" s="96">
        <v>0</v>
      </c>
      <c r="E3162" s="96">
        <v>0</v>
      </c>
      <c r="F3162" s="96">
        <v>0</v>
      </c>
      <c r="G3162" s="96">
        <v>0</v>
      </c>
      <c r="H3162" s="96">
        <v>0</v>
      </c>
      <c r="I3162" s="96">
        <v>0</v>
      </c>
      <c r="J3162" s="96">
        <v>0</v>
      </c>
    </row>
    <row r="3163" spans="1:10">
      <c r="A3163" s="95" t="s">
        <v>15</v>
      </c>
      <c r="B3163" s="95" t="s">
        <v>13</v>
      </c>
      <c r="C3163" s="51">
        <v>0.73680555555555505</v>
      </c>
      <c r="D3163" s="96">
        <v>0</v>
      </c>
      <c r="E3163" s="96">
        <v>0</v>
      </c>
      <c r="F3163" s="96">
        <v>0</v>
      </c>
      <c r="G3163" s="96">
        <v>0</v>
      </c>
      <c r="H3163" s="96">
        <v>0</v>
      </c>
      <c r="I3163" s="96">
        <v>0</v>
      </c>
      <c r="J3163" s="96">
        <v>0</v>
      </c>
    </row>
    <row r="3164" spans="1:10">
      <c r="A3164" s="95" t="s">
        <v>15</v>
      </c>
      <c r="B3164" s="95" t="s">
        <v>13</v>
      </c>
      <c r="C3164" s="51">
        <v>0.73750000000000004</v>
      </c>
      <c r="D3164" s="96">
        <v>0</v>
      </c>
      <c r="E3164" s="96">
        <v>0</v>
      </c>
      <c r="F3164" s="96">
        <v>0</v>
      </c>
      <c r="G3164" s="96">
        <v>0</v>
      </c>
      <c r="H3164" s="96">
        <v>0</v>
      </c>
      <c r="I3164" s="96">
        <v>0</v>
      </c>
      <c r="J3164" s="96">
        <v>0</v>
      </c>
    </row>
    <row r="3165" spans="1:10">
      <c r="A3165" s="95" t="s">
        <v>15</v>
      </c>
      <c r="B3165" s="95" t="s">
        <v>13</v>
      </c>
      <c r="C3165" s="51">
        <v>0.73819444444444404</v>
      </c>
      <c r="D3165" s="96">
        <v>0</v>
      </c>
      <c r="E3165" s="96">
        <v>0</v>
      </c>
      <c r="F3165" s="96">
        <v>0</v>
      </c>
      <c r="G3165" s="96">
        <v>0</v>
      </c>
      <c r="H3165" s="96">
        <v>0</v>
      </c>
      <c r="I3165" s="96">
        <v>0</v>
      </c>
      <c r="J3165" s="96">
        <v>0</v>
      </c>
    </row>
    <row r="3166" spans="1:10" s="80" customFormat="1">
      <c r="A3166" s="97" t="s">
        <v>15</v>
      </c>
      <c r="B3166" s="97" t="s">
        <v>13</v>
      </c>
      <c r="C3166" s="98">
        <v>0.73888888888888904</v>
      </c>
      <c r="D3166" s="99">
        <v>0</v>
      </c>
      <c r="E3166" s="99">
        <v>0</v>
      </c>
      <c r="F3166" s="99">
        <v>0</v>
      </c>
      <c r="G3166" s="99">
        <v>0</v>
      </c>
      <c r="H3166" s="99">
        <v>0</v>
      </c>
      <c r="I3166" s="99">
        <v>0</v>
      </c>
      <c r="J3166" s="99">
        <v>0</v>
      </c>
    </row>
    <row r="3167" spans="1:10">
      <c r="A3167" s="95" t="s">
        <v>15</v>
      </c>
      <c r="B3167" s="95" t="s">
        <v>13</v>
      </c>
      <c r="C3167" s="51">
        <v>0.73958333333333304</v>
      </c>
      <c r="D3167" s="96">
        <v>0</v>
      </c>
      <c r="E3167" s="96">
        <v>0</v>
      </c>
      <c r="F3167" s="96">
        <v>0</v>
      </c>
      <c r="G3167" s="96">
        <v>0</v>
      </c>
      <c r="H3167" s="96">
        <v>0</v>
      </c>
      <c r="I3167" s="96">
        <v>0</v>
      </c>
      <c r="J3167" s="96">
        <v>0</v>
      </c>
    </row>
    <row r="3168" spans="1:10">
      <c r="A3168" s="95" t="s">
        <v>15</v>
      </c>
      <c r="B3168" s="95" t="s">
        <v>13</v>
      </c>
      <c r="C3168" s="51">
        <v>0.74027777777777803</v>
      </c>
      <c r="D3168" s="96">
        <v>0</v>
      </c>
      <c r="E3168" s="96">
        <v>0</v>
      </c>
      <c r="F3168" s="96">
        <v>0</v>
      </c>
      <c r="G3168" s="96">
        <v>0</v>
      </c>
      <c r="H3168" s="96">
        <v>0</v>
      </c>
      <c r="I3168" s="96">
        <v>0</v>
      </c>
      <c r="J3168" s="96">
        <v>0</v>
      </c>
    </row>
    <row r="3169" spans="1:10">
      <c r="A3169" s="95" t="s">
        <v>15</v>
      </c>
      <c r="B3169" s="95" t="s">
        <v>13</v>
      </c>
      <c r="C3169" s="51">
        <v>0.74097222222222203</v>
      </c>
      <c r="D3169" s="96">
        <v>0</v>
      </c>
      <c r="E3169" s="96">
        <v>0</v>
      </c>
      <c r="F3169" s="96">
        <v>0</v>
      </c>
      <c r="G3169" s="96">
        <v>0</v>
      </c>
      <c r="H3169" s="96">
        <v>0</v>
      </c>
      <c r="I3169" s="96">
        <v>0</v>
      </c>
      <c r="J3169" s="96">
        <v>0</v>
      </c>
    </row>
    <row r="3170" spans="1:10">
      <c r="A3170" s="95" t="s">
        <v>15</v>
      </c>
      <c r="B3170" s="95" t="s">
        <v>13</v>
      </c>
      <c r="C3170" s="51">
        <v>0.74166666666666703</v>
      </c>
      <c r="D3170" s="96">
        <v>0</v>
      </c>
      <c r="E3170" s="96">
        <v>0</v>
      </c>
      <c r="F3170" s="96">
        <v>0</v>
      </c>
      <c r="G3170" s="96">
        <v>0</v>
      </c>
      <c r="H3170" s="96">
        <v>0</v>
      </c>
      <c r="I3170" s="96">
        <v>0</v>
      </c>
      <c r="J3170" s="96">
        <v>0</v>
      </c>
    </row>
    <row r="3171" spans="1:10">
      <c r="A3171" s="95" t="s">
        <v>15</v>
      </c>
      <c r="B3171" s="95" t="s">
        <v>13</v>
      </c>
      <c r="C3171" s="51">
        <v>0.74236111111111103</v>
      </c>
      <c r="D3171" s="96">
        <v>0</v>
      </c>
      <c r="E3171" s="96">
        <v>0</v>
      </c>
      <c r="F3171" s="96">
        <v>0</v>
      </c>
      <c r="G3171" s="96">
        <v>0</v>
      </c>
      <c r="H3171" s="96">
        <v>0</v>
      </c>
      <c r="I3171" s="96">
        <v>0</v>
      </c>
      <c r="J3171" s="96">
        <v>0</v>
      </c>
    </row>
    <row r="3172" spans="1:10">
      <c r="A3172" s="95" t="s">
        <v>15</v>
      </c>
      <c r="B3172" s="95" t="s">
        <v>13</v>
      </c>
      <c r="C3172" s="51">
        <v>0.74305555555555503</v>
      </c>
      <c r="D3172" s="96">
        <v>0</v>
      </c>
      <c r="E3172" s="96">
        <v>0</v>
      </c>
      <c r="F3172" s="96">
        <v>0</v>
      </c>
      <c r="G3172" s="96">
        <v>0</v>
      </c>
      <c r="H3172" s="96">
        <v>0</v>
      </c>
      <c r="I3172" s="96">
        <v>0</v>
      </c>
      <c r="J3172" s="96">
        <v>0</v>
      </c>
    </row>
    <row r="3173" spans="1:10">
      <c r="A3173" s="95" t="s">
        <v>15</v>
      </c>
      <c r="B3173" s="95" t="s">
        <v>13</v>
      </c>
      <c r="C3173" s="51">
        <v>0.74375000000000002</v>
      </c>
      <c r="D3173" s="96">
        <v>0</v>
      </c>
      <c r="E3173" s="96">
        <v>0</v>
      </c>
      <c r="F3173" s="96">
        <v>0</v>
      </c>
      <c r="G3173" s="96">
        <v>0</v>
      </c>
      <c r="H3173" s="96">
        <v>0</v>
      </c>
      <c r="I3173" s="96">
        <v>0</v>
      </c>
      <c r="J3173" s="96">
        <v>0</v>
      </c>
    </row>
    <row r="3174" spans="1:10">
      <c r="A3174" s="95" t="s">
        <v>15</v>
      </c>
      <c r="B3174" s="95" t="s">
        <v>13</v>
      </c>
      <c r="C3174" s="51">
        <v>0.74444444444444402</v>
      </c>
      <c r="D3174" s="96">
        <v>0</v>
      </c>
      <c r="E3174" s="96">
        <v>0</v>
      </c>
      <c r="F3174" s="96">
        <v>0</v>
      </c>
      <c r="G3174" s="96">
        <v>0</v>
      </c>
      <c r="H3174" s="96">
        <v>0</v>
      </c>
      <c r="I3174" s="96">
        <v>0</v>
      </c>
      <c r="J3174" s="96">
        <v>0</v>
      </c>
    </row>
    <row r="3175" spans="1:10">
      <c r="A3175" s="95" t="s">
        <v>15</v>
      </c>
      <c r="B3175" s="95" t="s">
        <v>13</v>
      </c>
      <c r="C3175" s="51">
        <v>0.74513888888888902</v>
      </c>
      <c r="D3175" s="96">
        <v>0</v>
      </c>
      <c r="E3175" s="96">
        <v>0</v>
      </c>
      <c r="F3175" s="96">
        <v>0</v>
      </c>
      <c r="G3175" s="96">
        <v>0</v>
      </c>
      <c r="H3175" s="96">
        <v>0</v>
      </c>
      <c r="I3175" s="96">
        <v>0</v>
      </c>
      <c r="J3175" s="96">
        <v>0</v>
      </c>
    </row>
    <row r="3176" spans="1:10">
      <c r="A3176" s="95" t="s">
        <v>15</v>
      </c>
      <c r="B3176" s="95" t="s">
        <v>13</v>
      </c>
      <c r="C3176" s="51">
        <v>0.74583333333333302</v>
      </c>
      <c r="D3176" s="96">
        <v>0</v>
      </c>
      <c r="E3176" s="96">
        <v>0</v>
      </c>
      <c r="F3176" s="96">
        <v>0</v>
      </c>
      <c r="G3176" s="96">
        <v>0</v>
      </c>
      <c r="H3176" s="96">
        <v>0</v>
      </c>
      <c r="I3176" s="96">
        <v>0</v>
      </c>
      <c r="J3176" s="96">
        <v>0</v>
      </c>
    </row>
    <row r="3177" spans="1:10">
      <c r="A3177" s="95" t="s">
        <v>15</v>
      </c>
      <c r="B3177" s="95" t="s">
        <v>13</v>
      </c>
      <c r="C3177" s="51">
        <v>0.74652777777777801</v>
      </c>
      <c r="D3177" s="96">
        <v>0</v>
      </c>
      <c r="E3177" s="96">
        <v>0</v>
      </c>
      <c r="F3177" s="96">
        <v>0</v>
      </c>
      <c r="G3177" s="96">
        <v>0</v>
      </c>
      <c r="H3177" s="96">
        <v>0</v>
      </c>
      <c r="I3177" s="96">
        <v>0</v>
      </c>
      <c r="J3177" s="96">
        <v>0</v>
      </c>
    </row>
    <row r="3178" spans="1:10">
      <c r="A3178" s="95" t="s">
        <v>15</v>
      </c>
      <c r="B3178" s="95" t="s">
        <v>13</v>
      </c>
      <c r="C3178" s="51">
        <v>0.74722222222222201</v>
      </c>
      <c r="D3178" s="96">
        <v>0</v>
      </c>
      <c r="E3178" s="96">
        <v>0</v>
      </c>
      <c r="F3178" s="96">
        <v>0</v>
      </c>
      <c r="G3178" s="96">
        <v>0</v>
      </c>
      <c r="H3178" s="96">
        <v>0</v>
      </c>
      <c r="I3178" s="96">
        <v>0</v>
      </c>
      <c r="J3178" s="96">
        <v>0</v>
      </c>
    </row>
    <row r="3179" spans="1:10">
      <c r="A3179" s="95" t="s">
        <v>15</v>
      </c>
      <c r="B3179" s="95" t="s">
        <v>13</v>
      </c>
      <c r="C3179" s="51">
        <v>0.74791666666666701</v>
      </c>
      <c r="D3179" s="96">
        <v>0</v>
      </c>
      <c r="E3179" s="96">
        <v>0</v>
      </c>
      <c r="F3179" s="96">
        <v>0</v>
      </c>
      <c r="G3179" s="96">
        <v>0</v>
      </c>
      <c r="H3179" s="96">
        <v>0</v>
      </c>
      <c r="I3179" s="96">
        <v>0</v>
      </c>
      <c r="J3179" s="96">
        <v>0</v>
      </c>
    </row>
    <row r="3180" spans="1:10">
      <c r="A3180" s="95" t="s">
        <v>15</v>
      </c>
      <c r="B3180" s="95" t="s">
        <v>13</v>
      </c>
      <c r="C3180" s="51">
        <v>0.74861111111111101</v>
      </c>
      <c r="D3180" s="96">
        <v>0</v>
      </c>
      <c r="E3180" s="96">
        <v>0</v>
      </c>
      <c r="F3180" s="96">
        <v>0</v>
      </c>
      <c r="G3180" s="96">
        <v>0</v>
      </c>
      <c r="H3180" s="96">
        <v>0</v>
      </c>
      <c r="I3180" s="96">
        <v>0</v>
      </c>
      <c r="J3180" s="96">
        <v>0</v>
      </c>
    </row>
    <row r="3181" spans="1:10" s="80" customFormat="1">
      <c r="A3181" s="97" t="s">
        <v>15</v>
      </c>
      <c r="B3181" s="97" t="s">
        <v>13</v>
      </c>
      <c r="C3181" s="98">
        <v>0.749305555555555</v>
      </c>
      <c r="D3181" s="99">
        <v>0</v>
      </c>
      <c r="E3181" s="99">
        <v>0</v>
      </c>
      <c r="F3181" s="99">
        <v>0</v>
      </c>
      <c r="G3181" s="99">
        <v>0</v>
      </c>
      <c r="H3181" s="99">
        <v>0</v>
      </c>
      <c r="I3181" s="99">
        <v>0</v>
      </c>
      <c r="J3181" s="99">
        <v>0</v>
      </c>
    </row>
    <row r="3182" spans="1:10">
      <c r="A3182" s="95" t="s">
        <v>15</v>
      </c>
      <c r="B3182" s="95" t="s">
        <v>13</v>
      </c>
      <c r="C3182" s="51">
        <v>0.75</v>
      </c>
      <c r="D3182" s="96">
        <v>0</v>
      </c>
      <c r="E3182" s="96">
        <v>0</v>
      </c>
      <c r="F3182" s="96">
        <v>0</v>
      </c>
      <c r="G3182" s="96">
        <v>0</v>
      </c>
      <c r="H3182" s="96">
        <v>0</v>
      </c>
      <c r="I3182" s="96">
        <v>0</v>
      </c>
      <c r="J3182" s="96">
        <v>0</v>
      </c>
    </row>
    <row r="3183" spans="1:10">
      <c r="A3183" s="95" t="s">
        <v>15</v>
      </c>
      <c r="B3183" s="95" t="s">
        <v>13</v>
      </c>
      <c r="C3183" s="51">
        <v>0.750694444444444</v>
      </c>
      <c r="D3183" s="96">
        <v>0</v>
      </c>
      <c r="E3183" s="96">
        <v>0</v>
      </c>
      <c r="F3183" s="96">
        <v>0</v>
      </c>
      <c r="G3183" s="96">
        <v>0</v>
      </c>
      <c r="H3183" s="96">
        <v>0</v>
      </c>
      <c r="I3183" s="96">
        <v>0</v>
      </c>
      <c r="J3183" s="96">
        <v>0</v>
      </c>
    </row>
    <row r="3184" spans="1:10">
      <c r="A3184" s="95" t="s">
        <v>15</v>
      </c>
      <c r="B3184" s="95" t="s">
        <v>13</v>
      </c>
      <c r="C3184" s="51">
        <v>0.75138888888888899</v>
      </c>
      <c r="D3184" s="96">
        <v>0</v>
      </c>
      <c r="E3184" s="96">
        <v>0</v>
      </c>
      <c r="F3184" s="96">
        <v>0</v>
      </c>
      <c r="G3184" s="96">
        <v>0</v>
      </c>
      <c r="H3184" s="96">
        <v>0</v>
      </c>
      <c r="I3184" s="96">
        <v>0</v>
      </c>
      <c r="J3184" s="96">
        <v>0</v>
      </c>
    </row>
    <row r="3185" spans="1:10">
      <c r="A3185" s="95" t="s">
        <v>15</v>
      </c>
      <c r="B3185" s="95" t="s">
        <v>13</v>
      </c>
      <c r="C3185" s="51">
        <v>0.75208333333333299</v>
      </c>
      <c r="D3185" s="96">
        <v>0</v>
      </c>
      <c r="E3185" s="96">
        <v>0</v>
      </c>
      <c r="F3185" s="96">
        <v>0</v>
      </c>
      <c r="G3185" s="96">
        <v>0</v>
      </c>
      <c r="H3185" s="96">
        <v>0</v>
      </c>
      <c r="I3185" s="96">
        <v>0</v>
      </c>
      <c r="J3185" s="96">
        <v>0</v>
      </c>
    </row>
    <row r="3186" spans="1:10">
      <c r="A3186" s="95" t="s">
        <v>15</v>
      </c>
      <c r="B3186" s="95" t="s">
        <v>13</v>
      </c>
      <c r="C3186" s="51">
        <v>0.75277777777777799</v>
      </c>
      <c r="D3186" s="96">
        <v>0</v>
      </c>
      <c r="E3186" s="96">
        <v>0</v>
      </c>
      <c r="F3186" s="96">
        <v>0</v>
      </c>
      <c r="G3186" s="96">
        <v>0</v>
      </c>
      <c r="H3186" s="96">
        <v>0</v>
      </c>
      <c r="I3186" s="96">
        <v>0</v>
      </c>
      <c r="J3186" s="96">
        <v>0</v>
      </c>
    </row>
    <row r="3187" spans="1:10">
      <c r="A3187" s="95" t="s">
        <v>15</v>
      </c>
      <c r="B3187" s="95" t="s">
        <v>13</v>
      </c>
      <c r="C3187" s="51">
        <v>0.75347222222222199</v>
      </c>
      <c r="D3187" s="96">
        <v>0</v>
      </c>
      <c r="E3187" s="96">
        <v>0</v>
      </c>
      <c r="F3187" s="96">
        <v>0</v>
      </c>
      <c r="G3187" s="96">
        <v>0</v>
      </c>
      <c r="H3187" s="96">
        <v>0</v>
      </c>
      <c r="I3187" s="96">
        <v>0</v>
      </c>
      <c r="J3187" s="96">
        <v>0</v>
      </c>
    </row>
    <row r="3188" spans="1:10">
      <c r="A3188" s="95" t="s">
        <v>15</v>
      </c>
      <c r="B3188" s="95" t="s">
        <v>13</v>
      </c>
      <c r="C3188" s="51">
        <v>0.75416666666666698</v>
      </c>
      <c r="D3188" s="96">
        <v>0</v>
      </c>
      <c r="E3188" s="96">
        <v>0</v>
      </c>
      <c r="F3188" s="96">
        <v>0</v>
      </c>
      <c r="G3188" s="96">
        <v>0</v>
      </c>
      <c r="H3188" s="96">
        <v>0</v>
      </c>
      <c r="I3188" s="96">
        <v>0</v>
      </c>
      <c r="J3188" s="96">
        <v>0</v>
      </c>
    </row>
    <row r="3189" spans="1:10">
      <c r="A3189" s="95" t="s">
        <v>15</v>
      </c>
      <c r="B3189" s="95" t="s">
        <v>13</v>
      </c>
      <c r="C3189" s="51">
        <v>0.75486111111111098</v>
      </c>
      <c r="D3189" s="96">
        <v>0</v>
      </c>
      <c r="E3189" s="96">
        <v>0</v>
      </c>
      <c r="F3189" s="96">
        <v>0</v>
      </c>
      <c r="G3189" s="96">
        <v>0</v>
      </c>
      <c r="H3189" s="96">
        <v>0</v>
      </c>
      <c r="I3189" s="96">
        <v>0</v>
      </c>
      <c r="J3189" s="96">
        <v>0</v>
      </c>
    </row>
    <row r="3190" spans="1:10">
      <c r="A3190" s="95" t="s">
        <v>15</v>
      </c>
      <c r="B3190" s="95" t="s">
        <v>13</v>
      </c>
      <c r="C3190" s="51">
        <v>0.75555555555555498</v>
      </c>
      <c r="D3190" s="96">
        <v>0</v>
      </c>
      <c r="E3190" s="96">
        <v>0</v>
      </c>
      <c r="F3190" s="96">
        <v>0</v>
      </c>
      <c r="G3190" s="96">
        <v>0</v>
      </c>
      <c r="H3190" s="96">
        <v>0</v>
      </c>
      <c r="I3190" s="96">
        <v>0</v>
      </c>
      <c r="J3190" s="96">
        <v>0</v>
      </c>
    </row>
    <row r="3191" spans="1:10">
      <c r="A3191" s="95" t="s">
        <v>15</v>
      </c>
      <c r="B3191" s="95" t="s">
        <v>13</v>
      </c>
      <c r="C3191" s="51">
        <v>0.75624999999999998</v>
      </c>
      <c r="D3191" s="96">
        <v>0</v>
      </c>
      <c r="E3191" s="96">
        <v>0</v>
      </c>
      <c r="F3191" s="96">
        <v>0</v>
      </c>
      <c r="G3191" s="96">
        <v>0</v>
      </c>
      <c r="H3191" s="96">
        <v>0</v>
      </c>
      <c r="I3191" s="96">
        <v>0</v>
      </c>
      <c r="J3191" s="96">
        <v>0</v>
      </c>
    </row>
    <row r="3192" spans="1:10">
      <c r="A3192" s="95" t="s">
        <v>15</v>
      </c>
      <c r="B3192" s="95" t="s">
        <v>13</v>
      </c>
      <c r="C3192" s="51">
        <v>0.75694444444444398</v>
      </c>
      <c r="D3192" s="96">
        <v>0</v>
      </c>
      <c r="E3192" s="96">
        <v>0</v>
      </c>
      <c r="F3192" s="96">
        <v>0</v>
      </c>
      <c r="G3192" s="96">
        <v>0</v>
      </c>
      <c r="H3192" s="96">
        <v>0</v>
      </c>
      <c r="I3192" s="96">
        <v>0</v>
      </c>
      <c r="J3192" s="96">
        <v>0</v>
      </c>
    </row>
    <row r="3193" spans="1:10">
      <c r="A3193" s="95" t="s">
        <v>15</v>
      </c>
      <c r="B3193" s="95" t="s">
        <v>13</v>
      </c>
      <c r="C3193" s="51">
        <v>0.75763888888888897</v>
      </c>
      <c r="D3193" s="96">
        <v>0</v>
      </c>
      <c r="E3193" s="96">
        <v>0</v>
      </c>
      <c r="F3193" s="96">
        <v>0</v>
      </c>
      <c r="G3193" s="96">
        <v>0</v>
      </c>
      <c r="H3193" s="96">
        <v>0</v>
      </c>
      <c r="I3193" s="96">
        <v>0</v>
      </c>
      <c r="J3193" s="96">
        <v>0</v>
      </c>
    </row>
    <row r="3194" spans="1:10">
      <c r="A3194" s="95" t="s">
        <v>15</v>
      </c>
      <c r="B3194" s="95" t="s">
        <v>13</v>
      </c>
      <c r="C3194" s="51">
        <v>0.75833333333333297</v>
      </c>
      <c r="D3194" s="96">
        <v>0</v>
      </c>
      <c r="E3194" s="96">
        <v>0</v>
      </c>
      <c r="F3194" s="96">
        <v>0</v>
      </c>
      <c r="G3194" s="96">
        <v>0</v>
      </c>
      <c r="H3194" s="96">
        <v>0</v>
      </c>
      <c r="I3194" s="96">
        <v>0</v>
      </c>
      <c r="J3194" s="96">
        <v>0</v>
      </c>
    </row>
    <row r="3195" spans="1:10">
      <c r="A3195" s="95" t="s">
        <v>15</v>
      </c>
      <c r="B3195" s="95" t="s">
        <v>13</v>
      </c>
      <c r="C3195" s="51">
        <v>0.75902777777777797</v>
      </c>
      <c r="D3195" s="96">
        <v>0</v>
      </c>
      <c r="E3195" s="96">
        <v>0</v>
      </c>
      <c r="F3195" s="96">
        <v>0</v>
      </c>
      <c r="G3195" s="96">
        <v>0</v>
      </c>
      <c r="H3195" s="96">
        <v>0</v>
      </c>
      <c r="I3195" s="96">
        <v>0</v>
      </c>
      <c r="J3195" s="96">
        <v>0</v>
      </c>
    </row>
    <row r="3196" spans="1:10" s="80" customFormat="1">
      <c r="A3196" s="97" t="s">
        <v>15</v>
      </c>
      <c r="B3196" s="97" t="s">
        <v>13</v>
      </c>
      <c r="C3196" s="98">
        <v>0.75972222222222197</v>
      </c>
      <c r="D3196" s="99">
        <v>0</v>
      </c>
      <c r="E3196" s="99">
        <v>0</v>
      </c>
      <c r="F3196" s="99">
        <v>0</v>
      </c>
      <c r="G3196" s="99">
        <v>0</v>
      </c>
      <c r="H3196" s="99">
        <v>0</v>
      </c>
      <c r="I3196" s="99">
        <v>0</v>
      </c>
      <c r="J3196" s="99">
        <v>0</v>
      </c>
    </row>
    <row r="3197" spans="1:10">
      <c r="A3197" s="95" t="s">
        <v>15</v>
      </c>
      <c r="B3197" s="95" t="s">
        <v>13</v>
      </c>
      <c r="C3197" s="51">
        <v>0.76041666666666696</v>
      </c>
      <c r="D3197" s="96">
        <v>0</v>
      </c>
      <c r="E3197" s="96">
        <v>0</v>
      </c>
      <c r="F3197" s="96">
        <v>0</v>
      </c>
      <c r="G3197" s="96">
        <v>0</v>
      </c>
      <c r="H3197" s="96">
        <v>0</v>
      </c>
      <c r="I3197" s="96">
        <v>0</v>
      </c>
      <c r="J3197" s="96">
        <v>0</v>
      </c>
    </row>
    <row r="3198" spans="1:10">
      <c r="A3198" s="95" t="s">
        <v>15</v>
      </c>
      <c r="B3198" s="95" t="s">
        <v>13</v>
      </c>
      <c r="C3198" s="51">
        <v>0.76111111111111096</v>
      </c>
      <c r="D3198" s="96">
        <v>0</v>
      </c>
      <c r="E3198" s="96">
        <v>0</v>
      </c>
      <c r="F3198" s="96">
        <v>0</v>
      </c>
      <c r="G3198" s="96">
        <v>0</v>
      </c>
      <c r="H3198" s="96">
        <v>0</v>
      </c>
      <c r="I3198" s="96">
        <v>0</v>
      </c>
      <c r="J3198" s="96">
        <v>0</v>
      </c>
    </row>
    <row r="3199" spans="1:10">
      <c r="A3199" s="95" t="s">
        <v>15</v>
      </c>
      <c r="B3199" s="95" t="s">
        <v>13</v>
      </c>
      <c r="C3199" s="51">
        <v>0.76180555555555496</v>
      </c>
      <c r="D3199" s="96">
        <v>0</v>
      </c>
      <c r="E3199" s="96">
        <v>0</v>
      </c>
      <c r="F3199" s="96">
        <v>0</v>
      </c>
      <c r="G3199" s="96">
        <v>0</v>
      </c>
      <c r="H3199" s="96">
        <v>0</v>
      </c>
      <c r="I3199" s="96">
        <v>0</v>
      </c>
      <c r="J3199" s="96">
        <v>0</v>
      </c>
    </row>
    <row r="3200" spans="1:10">
      <c r="A3200" s="95" t="s">
        <v>15</v>
      </c>
      <c r="B3200" s="95" t="s">
        <v>13</v>
      </c>
      <c r="C3200" s="51">
        <v>0.76249999999999996</v>
      </c>
      <c r="D3200" s="96">
        <v>0</v>
      </c>
      <c r="E3200" s="96">
        <v>0</v>
      </c>
      <c r="F3200" s="96">
        <v>0</v>
      </c>
      <c r="G3200" s="96">
        <v>0</v>
      </c>
      <c r="H3200" s="96">
        <v>0</v>
      </c>
      <c r="I3200" s="96">
        <v>0</v>
      </c>
      <c r="J3200" s="96">
        <v>0</v>
      </c>
    </row>
    <row r="3201" spans="1:10">
      <c r="A3201" s="95" t="s">
        <v>15</v>
      </c>
      <c r="B3201" s="95" t="s">
        <v>13</v>
      </c>
      <c r="C3201" s="51">
        <v>0.76319444444444395</v>
      </c>
      <c r="D3201" s="96">
        <v>0</v>
      </c>
      <c r="E3201" s="96">
        <v>0</v>
      </c>
      <c r="F3201" s="96">
        <v>0</v>
      </c>
      <c r="G3201" s="96">
        <v>0</v>
      </c>
      <c r="H3201" s="96">
        <v>0</v>
      </c>
      <c r="I3201" s="96">
        <v>0</v>
      </c>
      <c r="J3201" s="96">
        <v>0</v>
      </c>
    </row>
    <row r="3202" spans="1:10">
      <c r="A3202" s="95" t="s">
        <v>15</v>
      </c>
      <c r="B3202" s="95" t="s">
        <v>13</v>
      </c>
      <c r="C3202" s="51">
        <v>0.76388888888888895</v>
      </c>
      <c r="D3202" s="96">
        <v>0</v>
      </c>
      <c r="E3202" s="96">
        <v>0</v>
      </c>
      <c r="F3202" s="96">
        <v>0</v>
      </c>
      <c r="G3202" s="96">
        <v>0</v>
      </c>
      <c r="H3202" s="96">
        <v>0</v>
      </c>
      <c r="I3202" s="96">
        <v>0</v>
      </c>
      <c r="J3202" s="96">
        <v>0</v>
      </c>
    </row>
    <row r="3203" spans="1:10">
      <c r="A3203" s="95" t="s">
        <v>15</v>
      </c>
      <c r="B3203" s="95" t="s">
        <v>13</v>
      </c>
      <c r="C3203" s="51">
        <v>0.76458333333333295</v>
      </c>
      <c r="D3203" s="96">
        <v>0</v>
      </c>
      <c r="E3203" s="96">
        <v>0</v>
      </c>
      <c r="F3203" s="96">
        <v>0</v>
      </c>
      <c r="G3203" s="96">
        <v>0</v>
      </c>
      <c r="H3203" s="96">
        <v>0</v>
      </c>
      <c r="I3203" s="96">
        <v>0</v>
      </c>
      <c r="J3203" s="96">
        <v>0</v>
      </c>
    </row>
    <row r="3204" spans="1:10">
      <c r="A3204" s="95" t="s">
        <v>15</v>
      </c>
      <c r="B3204" s="95" t="s">
        <v>13</v>
      </c>
      <c r="C3204" s="51">
        <v>0.76527777777777795</v>
      </c>
      <c r="D3204" s="96">
        <v>0</v>
      </c>
      <c r="E3204" s="96">
        <v>0</v>
      </c>
      <c r="F3204" s="96">
        <v>0</v>
      </c>
      <c r="G3204" s="96">
        <v>0</v>
      </c>
      <c r="H3204" s="96">
        <v>0</v>
      </c>
      <c r="I3204" s="96">
        <v>0</v>
      </c>
      <c r="J3204" s="96">
        <v>0</v>
      </c>
    </row>
    <row r="3205" spans="1:10">
      <c r="A3205" s="95" t="s">
        <v>15</v>
      </c>
      <c r="B3205" s="95" t="s">
        <v>13</v>
      </c>
      <c r="C3205" s="51">
        <v>0.76597222222222205</v>
      </c>
      <c r="D3205" s="96">
        <v>0</v>
      </c>
      <c r="E3205" s="96">
        <v>0</v>
      </c>
      <c r="F3205" s="96">
        <v>0</v>
      </c>
      <c r="G3205" s="96">
        <v>0</v>
      </c>
      <c r="H3205" s="96">
        <v>0</v>
      </c>
      <c r="I3205" s="96">
        <v>0</v>
      </c>
      <c r="J3205" s="96">
        <v>0</v>
      </c>
    </row>
    <row r="3206" spans="1:10">
      <c r="A3206" s="95" t="s">
        <v>15</v>
      </c>
      <c r="B3206" s="95" t="s">
        <v>13</v>
      </c>
      <c r="C3206" s="51">
        <v>0.76666666666666605</v>
      </c>
      <c r="D3206" s="96">
        <v>0</v>
      </c>
      <c r="E3206" s="96">
        <v>0</v>
      </c>
      <c r="F3206" s="96">
        <v>0</v>
      </c>
      <c r="G3206" s="96">
        <v>0</v>
      </c>
      <c r="H3206" s="96">
        <v>0</v>
      </c>
      <c r="I3206" s="96">
        <v>0</v>
      </c>
      <c r="J3206" s="96">
        <v>0</v>
      </c>
    </row>
    <row r="3207" spans="1:10">
      <c r="A3207" s="95" t="s">
        <v>15</v>
      </c>
      <c r="B3207" s="95" t="s">
        <v>13</v>
      </c>
      <c r="C3207" s="51">
        <v>0.76736111111111105</v>
      </c>
      <c r="D3207" s="96">
        <v>0</v>
      </c>
      <c r="E3207" s="96">
        <v>0</v>
      </c>
      <c r="F3207" s="96">
        <v>0</v>
      </c>
      <c r="G3207" s="96">
        <v>0</v>
      </c>
      <c r="H3207" s="96">
        <v>0</v>
      </c>
      <c r="I3207" s="96">
        <v>0</v>
      </c>
      <c r="J3207" s="96">
        <v>0</v>
      </c>
    </row>
    <row r="3208" spans="1:10">
      <c r="A3208" s="95" t="s">
        <v>15</v>
      </c>
      <c r="B3208" s="95" t="s">
        <v>13</v>
      </c>
      <c r="C3208" s="51">
        <v>0.76805555555555505</v>
      </c>
      <c r="D3208" s="96">
        <v>0</v>
      </c>
      <c r="E3208" s="96">
        <v>0</v>
      </c>
      <c r="F3208" s="96">
        <v>0</v>
      </c>
      <c r="G3208" s="96">
        <v>0</v>
      </c>
      <c r="H3208" s="96">
        <v>0</v>
      </c>
      <c r="I3208" s="96">
        <v>0</v>
      </c>
      <c r="J3208" s="96">
        <v>0</v>
      </c>
    </row>
    <row r="3209" spans="1:10">
      <c r="A3209" s="95" t="s">
        <v>15</v>
      </c>
      <c r="B3209" s="95" t="s">
        <v>13</v>
      </c>
      <c r="C3209" s="51">
        <v>0.76875000000000004</v>
      </c>
      <c r="D3209" s="96">
        <v>0</v>
      </c>
      <c r="E3209" s="96">
        <v>0</v>
      </c>
      <c r="F3209" s="96">
        <v>0</v>
      </c>
      <c r="G3209" s="96">
        <v>0</v>
      </c>
      <c r="H3209" s="96">
        <v>0</v>
      </c>
      <c r="I3209" s="96">
        <v>0</v>
      </c>
      <c r="J3209" s="96">
        <v>0</v>
      </c>
    </row>
    <row r="3210" spans="1:10">
      <c r="A3210" s="95" t="s">
        <v>15</v>
      </c>
      <c r="B3210" s="95" t="s">
        <v>13</v>
      </c>
      <c r="C3210" s="51">
        <v>0.76944444444444404</v>
      </c>
      <c r="D3210" s="96">
        <v>0</v>
      </c>
      <c r="E3210" s="96">
        <v>0</v>
      </c>
      <c r="F3210" s="96">
        <v>0</v>
      </c>
      <c r="G3210" s="96">
        <v>0</v>
      </c>
      <c r="H3210" s="96">
        <v>0</v>
      </c>
      <c r="I3210" s="96">
        <v>0</v>
      </c>
      <c r="J3210" s="96">
        <v>0</v>
      </c>
    </row>
    <row r="3211" spans="1:10" s="80" customFormat="1">
      <c r="A3211" s="97" t="s">
        <v>15</v>
      </c>
      <c r="B3211" s="97" t="s">
        <v>13</v>
      </c>
      <c r="C3211" s="98">
        <v>0.77013888888888904</v>
      </c>
      <c r="D3211" s="99">
        <v>0</v>
      </c>
      <c r="E3211" s="99">
        <v>0</v>
      </c>
      <c r="F3211" s="99">
        <v>0</v>
      </c>
      <c r="G3211" s="99">
        <v>0</v>
      </c>
      <c r="H3211" s="99">
        <v>0</v>
      </c>
      <c r="I3211" s="99">
        <v>0</v>
      </c>
      <c r="J3211" s="99">
        <v>0</v>
      </c>
    </row>
    <row r="3212" spans="1:10">
      <c r="A3212" s="95" t="s">
        <v>15</v>
      </c>
      <c r="B3212" s="95" t="s">
        <v>13</v>
      </c>
      <c r="C3212" s="51">
        <v>0.77083333333333304</v>
      </c>
      <c r="D3212" s="96">
        <v>0</v>
      </c>
      <c r="E3212" s="96">
        <v>0</v>
      </c>
      <c r="F3212" s="96">
        <v>0</v>
      </c>
      <c r="G3212" s="96">
        <v>0</v>
      </c>
      <c r="H3212" s="96">
        <v>0</v>
      </c>
      <c r="I3212" s="96">
        <v>0</v>
      </c>
      <c r="J3212" s="96">
        <v>0</v>
      </c>
    </row>
    <row r="3213" spans="1:10">
      <c r="A3213" s="95" t="s">
        <v>15</v>
      </c>
      <c r="B3213" s="95" t="s">
        <v>13</v>
      </c>
      <c r="C3213" s="51">
        <v>0.77152777777777803</v>
      </c>
      <c r="D3213" s="96">
        <v>0</v>
      </c>
      <c r="E3213" s="96">
        <v>0</v>
      </c>
      <c r="F3213" s="96">
        <v>0</v>
      </c>
      <c r="G3213" s="96">
        <v>0</v>
      </c>
      <c r="H3213" s="96">
        <v>0</v>
      </c>
      <c r="I3213" s="96">
        <v>0</v>
      </c>
      <c r="J3213" s="96">
        <v>0</v>
      </c>
    </row>
    <row r="3214" spans="1:10">
      <c r="A3214" s="95" t="s">
        <v>15</v>
      </c>
      <c r="B3214" s="95" t="s">
        <v>13</v>
      </c>
      <c r="C3214" s="51">
        <v>0.77222222222222203</v>
      </c>
      <c r="D3214" s="96">
        <v>0</v>
      </c>
      <c r="E3214" s="96">
        <v>0</v>
      </c>
      <c r="F3214" s="96">
        <v>0</v>
      </c>
      <c r="G3214" s="96">
        <v>0</v>
      </c>
      <c r="H3214" s="96">
        <v>0</v>
      </c>
      <c r="I3214" s="96">
        <v>0</v>
      </c>
      <c r="J3214" s="96">
        <v>0</v>
      </c>
    </row>
    <row r="3215" spans="1:10">
      <c r="A3215" s="95" t="s">
        <v>15</v>
      </c>
      <c r="B3215" s="95" t="s">
        <v>13</v>
      </c>
      <c r="C3215" s="51">
        <v>0.77291666666666603</v>
      </c>
      <c r="D3215" s="96">
        <v>0</v>
      </c>
      <c r="E3215" s="96">
        <v>0</v>
      </c>
      <c r="F3215" s="96">
        <v>0</v>
      </c>
      <c r="G3215" s="96">
        <v>0</v>
      </c>
      <c r="H3215" s="96">
        <v>0</v>
      </c>
      <c r="I3215" s="96">
        <v>0</v>
      </c>
      <c r="J3215" s="96">
        <v>0</v>
      </c>
    </row>
    <row r="3216" spans="1:10">
      <c r="A3216" s="95" t="s">
        <v>15</v>
      </c>
      <c r="B3216" s="95" t="s">
        <v>13</v>
      </c>
      <c r="C3216" s="51">
        <v>0.77361111111111103</v>
      </c>
      <c r="D3216" s="96">
        <v>0</v>
      </c>
      <c r="E3216" s="96">
        <v>0</v>
      </c>
      <c r="F3216" s="96">
        <v>0</v>
      </c>
      <c r="G3216" s="96">
        <v>0</v>
      </c>
      <c r="H3216" s="96">
        <v>0</v>
      </c>
      <c r="I3216" s="96">
        <v>0</v>
      </c>
      <c r="J3216" s="96">
        <v>0</v>
      </c>
    </row>
    <row r="3217" spans="1:10">
      <c r="A3217" s="95" t="s">
        <v>15</v>
      </c>
      <c r="B3217" s="95" t="s">
        <v>13</v>
      </c>
      <c r="C3217" s="51">
        <v>0.77430555555555503</v>
      </c>
      <c r="D3217" s="96">
        <v>0</v>
      </c>
      <c r="E3217" s="96">
        <v>0</v>
      </c>
      <c r="F3217" s="96">
        <v>0</v>
      </c>
      <c r="G3217" s="96">
        <v>0</v>
      </c>
      <c r="H3217" s="96">
        <v>0</v>
      </c>
      <c r="I3217" s="96">
        <v>0</v>
      </c>
      <c r="J3217" s="96">
        <v>0</v>
      </c>
    </row>
    <row r="3218" spans="1:10">
      <c r="A3218" s="95" t="s">
        <v>15</v>
      </c>
      <c r="B3218" s="95" t="s">
        <v>13</v>
      </c>
      <c r="C3218" s="51">
        <v>0.77500000000000002</v>
      </c>
      <c r="D3218" s="96">
        <v>0</v>
      </c>
      <c r="E3218" s="96">
        <v>0</v>
      </c>
      <c r="F3218" s="96">
        <v>0</v>
      </c>
      <c r="G3218" s="96">
        <v>0</v>
      </c>
      <c r="H3218" s="96">
        <v>0</v>
      </c>
      <c r="I3218" s="96">
        <v>0</v>
      </c>
      <c r="J3218" s="96">
        <v>0</v>
      </c>
    </row>
    <row r="3219" spans="1:10">
      <c r="A3219" s="95" t="s">
        <v>15</v>
      </c>
      <c r="B3219" s="95" t="s">
        <v>13</v>
      </c>
      <c r="C3219" s="51">
        <v>0.77569444444444402</v>
      </c>
      <c r="D3219" s="96">
        <v>0</v>
      </c>
      <c r="E3219" s="96">
        <v>0</v>
      </c>
      <c r="F3219" s="96">
        <v>0</v>
      </c>
      <c r="G3219" s="96">
        <v>0</v>
      </c>
      <c r="H3219" s="96">
        <v>0</v>
      </c>
      <c r="I3219" s="96">
        <v>0</v>
      </c>
      <c r="J3219" s="96">
        <v>0</v>
      </c>
    </row>
    <row r="3220" spans="1:10">
      <c r="A3220" s="95" t="s">
        <v>15</v>
      </c>
      <c r="B3220" s="95" t="s">
        <v>13</v>
      </c>
      <c r="C3220" s="51">
        <v>0.77638888888888902</v>
      </c>
      <c r="D3220" s="96">
        <v>0</v>
      </c>
      <c r="E3220" s="96">
        <v>0</v>
      </c>
      <c r="F3220" s="96">
        <v>0</v>
      </c>
      <c r="G3220" s="96">
        <v>0</v>
      </c>
      <c r="H3220" s="96">
        <v>0</v>
      </c>
      <c r="I3220" s="96">
        <v>0</v>
      </c>
      <c r="J3220" s="96">
        <v>0</v>
      </c>
    </row>
    <row r="3221" spans="1:10">
      <c r="A3221" s="95" t="s">
        <v>15</v>
      </c>
      <c r="B3221" s="95" t="s">
        <v>13</v>
      </c>
      <c r="C3221" s="51">
        <v>0.77708333333333302</v>
      </c>
      <c r="D3221" s="96">
        <v>0</v>
      </c>
      <c r="E3221" s="96">
        <v>0</v>
      </c>
      <c r="F3221" s="96">
        <v>0</v>
      </c>
      <c r="G3221" s="96">
        <v>0</v>
      </c>
      <c r="H3221" s="96">
        <v>0</v>
      </c>
      <c r="I3221" s="96">
        <v>0</v>
      </c>
      <c r="J3221" s="96">
        <v>0</v>
      </c>
    </row>
    <row r="3222" spans="1:10">
      <c r="A3222" s="95" t="s">
        <v>15</v>
      </c>
      <c r="B3222" s="95" t="s">
        <v>13</v>
      </c>
      <c r="C3222" s="51">
        <v>0.77777777777777801</v>
      </c>
      <c r="D3222" s="96">
        <v>0</v>
      </c>
      <c r="E3222" s="96">
        <v>0</v>
      </c>
      <c r="F3222" s="96">
        <v>0</v>
      </c>
      <c r="G3222" s="96">
        <v>0</v>
      </c>
      <c r="H3222" s="96">
        <v>0</v>
      </c>
      <c r="I3222" s="96">
        <v>0</v>
      </c>
      <c r="J3222" s="96">
        <v>0</v>
      </c>
    </row>
    <row r="3223" spans="1:10">
      <c r="A3223" s="95" t="s">
        <v>15</v>
      </c>
      <c r="B3223" s="95" t="s">
        <v>13</v>
      </c>
      <c r="C3223" s="51">
        <v>0.77847222222222201</v>
      </c>
      <c r="D3223" s="96">
        <v>0</v>
      </c>
      <c r="E3223" s="96">
        <v>0</v>
      </c>
      <c r="F3223" s="96">
        <v>0</v>
      </c>
      <c r="G3223" s="96">
        <v>0</v>
      </c>
      <c r="H3223" s="96">
        <v>0</v>
      </c>
      <c r="I3223" s="96">
        <v>0</v>
      </c>
      <c r="J3223" s="96">
        <v>0</v>
      </c>
    </row>
    <row r="3224" spans="1:10">
      <c r="A3224" s="95" t="s">
        <v>15</v>
      </c>
      <c r="B3224" s="95" t="s">
        <v>13</v>
      </c>
      <c r="C3224" s="51">
        <v>0.77916666666666601</v>
      </c>
      <c r="D3224" s="96">
        <v>0</v>
      </c>
      <c r="E3224" s="96">
        <v>0</v>
      </c>
      <c r="F3224" s="96">
        <v>0</v>
      </c>
      <c r="G3224" s="96">
        <v>0</v>
      </c>
      <c r="H3224" s="96">
        <v>0</v>
      </c>
      <c r="I3224" s="96">
        <v>0</v>
      </c>
      <c r="J3224" s="96">
        <v>0</v>
      </c>
    </row>
    <row r="3225" spans="1:10">
      <c r="A3225" s="95" t="s">
        <v>15</v>
      </c>
      <c r="B3225" s="95" t="s">
        <v>13</v>
      </c>
      <c r="C3225" s="51">
        <v>0.77986111111111101</v>
      </c>
      <c r="D3225" s="96">
        <v>0</v>
      </c>
      <c r="E3225" s="96">
        <v>0</v>
      </c>
      <c r="F3225" s="96">
        <v>0</v>
      </c>
      <c r="G3225" s="96">
        <v>0</v>
      </c>
      <c r="H3225" s="96">
        <v>0</v>
      </c>
      <c r="I3225" s="96">
        <v>0</v>
      </c>
      <c r="J3225" s="96">
        <v>0</v>
      </c>
    </row>
    <row r="3226" spans="1:10" s="80" customFormat="1">
      <c r="A3226" s="97" t="s">
        <v>15</v>
      </c>
      <c r="B3226" s="97" t="s">
        <v>13</v>
      </c>
      <c r="C3226" s="98">
        <v>0.780555555555555</v>
      </c>
      <c r="D3226" s="99">
        <v>0</v>
      </c>
      <c r="E3226" s="99">
        <v>0</v>
      </c>
      <c r="F3226" s="99">
        <v>0</v>
      </c>
      <c r="G3226" s="99">
        <v>0</v>
      </c>
      <c r="H3226" s="99">
        <v>0</v>
      </c>
      <c r="I3226" s="99">
        <v>0</v>
      </c>
      <c r="J3226" s="99">
        <v>0</v>
      </c>
    </row>
    <row r="3227" spans="1:10">
      <c r="A3227" s="95" t="s">
        <v>15</v>
      </c>
      <c r="B3227" s="95" t="s">
        <v>13</v>
      </c>
      <c r="C3227" s="51">
        <v>0.78125</v>
      </c>
      <c r="D3227" s="96">
        <v>0</v>
      </c>
      <c r="E3227" s="96">
        <v>0</v>
      </c>
      <c r="F3227" s="96">
        <v>0</v>
      </c>
      <c r="G3227" s="96">
        <v>0</v>
      </c>
      <c r="H3227" s="96">
        <v>0</v>
      </c>
      <c r="I3227" s="96">
        <v>0</v>
      </c>
      <c r="J3227" s="96">
        <v>0</v>
      </c>
    </row>
    <row r="3228" spans="1:10">
      <c r="A3228" s="95" t="s">
        <v>15</v>
      </c>
      <c r="B3228" s="95" t="s">
        <v>13</v>
      </c>
      <c r="C3228" s="51">
        <v>0.781944444444444</v>
      </c>
      <c r="D3228" s="96">
        <v>0</v>
      </c>
      <c r="E3228" s="96">
        <v>0</v>
      </c>
      <c r="F3228" s="96">
        <v>0</v>
      </c>
      <c r="G3228" s="96">
        <v>0</v>
      </c>
      <c r="H3228" s="96">
        <v>0</v>
      </c>
      <c r="I3228" s="96">
        <v>0</v>
      </c>
      <c r="J3228" s="96">
        <v>0</v>
      </c>
    </row>
    <row r="3229" spans="1:10">
      <c r="A3229" s="95" t="s">
        <v>15</v>
      </c>
      <c r="B3229" s="95" t="s">
        <v>13</v>
      </c>
      <c r="C3229" s="51">
        <v>0.78263888888888899</v>
      </c>
      <c r="D3229" s="96">
        <v>0</v>
      </c>
      <c r="E3229" s="96">
        <v>0</v>
      </c>
      <c r="F3229" s="96">
        <v>0</v>
      </c>
      <c r="G3229" s="96">
        <v>0</v>
      </c>
      <c r="H3229" s="96">
        <v>0</v>
      </c>
      <c r="I3229" s="96">
        <v>0</v>
      </c>
      <c r="J3229" s="96">
        <v>0</v>
      </c>
    </row>
    <row r="3230" spans="1:10">
      <c r="A3230" s="95" t="s">
        <v>15</v>
      </c>
      <c r="B3230" s="95" t="s">
        <v>13</v>
      </c>
      <c r="C3230" s="51">
        <v>0.78333333333333299</v>
      </c>
      <c r="D3230" s="96">
        <v>0</v>
      </c>
      <c r="E3230" s="96">
        <v>0</v>
      </c>
      <c r="F3230" s="96">
        <v>0</v>
      </c>
      <c r="G3230" s="96">
        <v>0</v>
      </c>
      <c r="H3230" s="96">
        <v>0</v>
      </c>
      <c r="I3230" s="96">
        <v>0</v>
      </c>
      <c r="J3230" s="96">
        <v>0</v>
      </c>
    </row>
    <row r="3231" spans="1:10">
      <c r="A3231" s="95" t="s">
        <v>15</v>
      </c>
      <c r="B3231" s="95" t="s">
        <v>13</v>
      </c>
      <c r="C3231" s="51">
        <v>0.78402777777777799</v>
      </c>
      <c r="D3231" s="96">
        <v>0</v>
      </c>
      <c r="E3231" s="96">
        <v>0</v>
      </c>
      <c r="F3231" s="96">
        <v>0</v>
      </c>
      <c r="G3231" s="96">
        <v>0</v>
      </c>
      <c r="H3231" s="96">
        <v>0</v>
      </c>
      <c r="I3231" s="96">
        <v>0</v>
      </c>
      <c r="J3231" s="96">
        <v>0</v>
      </c>
    </row>
    <row r="3232" spans="1:10">
      <c r="A3232" s="95" t="s">
        <v>15</v>
      </c>
      <c r="B3232" s="95" t="s">
        <v>13</v>
      </c>
      <c r="C3232" s="51">
        <v>0.78472222222222199</v>
      </c>
      <c r="D3232" s="96">
        <v>0</v>
      </c>
      <c r="E3232" s="96">
        <v>0</v>
      </c>
      <c r="F3232" s="96">
        <v>0</v>
      </c>
      <c r="G3232" s="96">
        <v>0</v>
      </c>
      <c r="H3232" s="96">
        <v>0</v>
      </c>
      <c r="I3232" s="96">
        <v>0</v>
      </c>
      <c r="J3232" s="96">
        <v>0</v>
      </c>
    </row>
    <row r="3233" spans="1:10">
      <c r="A3233" s="95" t="s">
        <v>15</v>
      </c>
      <c r="B3233" s="95" t="s">
        <v>13</v>
      </c>
      <c r="C3233" s="51">
        <v>0.78541666666666599</v>
      </c>
      <c r="D3233" s="96">
        <v>0</v>
      </c>
      <c r="E3233" s="96">
        <v>0</v>
      </c>
      <c r="F3233" s="96">
        <v>0</v>
      </c>
      <c r="G3233" s="96">
        <v>0</v>
      </c>
      <c r="H3233" s="96">
        <v>0</v>
      </c>
      <c r="I3233" s="96">
        <v>0</v>
      </c>
      <c r="J3233" s="96">
        <v>0</v>
      </c>
    </row>
    <row r="3234" spans="1:10">
      <c r="A3234" s="95" t="s">
        <v>15</v>
      </c>
      <c r="B3234" s="95" t="s">
        <v>13</v>
      </c>
      <c r="C3234" s="51">
        <v>0.78611111111111098</v>
      </c>
      <c r="D3234" s="96">
        <v>0</v>
      </c>
      <c r="E3234" s="96">
        <v>0</v>
      </c>
      <c r="F3234" s="96">
        <v>0</v>
      </c>
      <c r="G3234" s="96">
        <v>0</v>
      </c>
      <c r="H3234" s="96">
        <v>0</v>
      </c>
      <c r="I3234" s="96">
        <v>0</v>
      </c>
      <c r="J3234" s="96">
        <v>0</v>
      </c>
    </row>
    <row r="3235" spans="1:10">
      <c r="A3235" s="95" t="s">
        <v>15</v>
      </c>
      <c r="B3235" s="95" t="s">
        <v>13</v>
      </c>
      <c r="C3235" s="51">
        <v>0.78680555555555498</v>
      </c>
      <c r="D3235" s="96">
        <v>0</v>
      </c>
      <c r="E3235" s="96">
        <v>0</v>
      </c>
      <c r="F3235" s="96">
        <v>0</v>
      </c>
      <c r="G3235" s="96">
        <v>0</v>
      </c>
      <c r="H3235" s="96">
        <v>0</v>
      </c>
      <c r="I3235" s="96">
        <v>0</v>
      </c>
      <c r="J3235" s="96">
        <v>0</v>
      </c>
    </row>
    <row r="3236" spans="1:10">
      <c r="A3236" s="95" t="s">
        <v>15</v>
      </c>
      <c r="B3236" s="95" t="s">
        <v>13</v>
      </c>
      <c r="C3236" s="51">
        <v>0.78749999999999998</v>
      </c>
      <c r="D3236" s="96">
        <v>0</v>
      </c>
      <c r="E3236" s="96">
        <v>0</v>
      </c>
      <c r="F3236" s="96">
        <v>0</v>
      </c>
      <c r="G3236" s="96">
        <v>0</v>
      </c>
      <c r="H3236" s="96">
        <v>0</v>
      </c>
      <c r="I3236" s="96">
        <v>0</v>
      </c>
      <c r="J3236" s="96">
        <v>0</v>
      </c>
    </row>
    <row r="3237" spans="1:10">
      <c r="A3237" s="95" t="s">
        <v>15</v>
      </c>
      <c r="B3237" s="95" t="s">
        <v>13</v>
      </c>
      <c r="C3237" s="51">
        <v>0.78819444444444398</v>
      </c>
      <c r="D3237" s="96">
        <v>0</v>
      </c>
      <c r="E3237" s="96">
        <v>0</v>
      </c>
      <c r="F3237" s="96">
        <v>0</v>
      </c>
      <c r="G3237" s="96">
        <v>0</v>
      </c>
      <c r="H3237" s="96">
        <v>0</v>
      </c>
      <c r="I3237" s="96">
        <v>0</v>
      </c>
      <c r="J3237" s="96">
        <v>0</v>
      </c>
    </row>
    <row r="3238" spans="1:10">
      <c r="A3238" s="95" t="s">
        <v>15</v>
      </c>
      <c r="B3238" s="95" t="s">
        <v>13</v>
      </c>
      <c r="C3238" s="51">
        <v>0.78888888888888897</v>
      </c>
      <c r="D3238" s="96">
        <v>0</v>
      </c>
      <c r="E3238" s="96">
        <v>0</v>
      </c>
      <c r="F3238" s="96">
        <v>0</v>
      </c>
      <c r="G3238" s="96">
        <v>0</v>
      </c>
      <c r="H3238" s="96">
        <v>0</v>
      </c>
      <c r="I3238" s="96">
        <v>0</v>
      </c>
      <c r="J3238" s="96">
        <v>0</v>
      </c>
    </row>
    <row r="3239" spans="1:10">
      <c r="A3239" s="95" t="s">
        <v>15</v>
      </c>
      <c r="B3239" s="95" t="s">
        <v>13</v>
      </c>
      <c r="C3239" s="51">
        <v>0.78958333333333297</v>
      </c>
      <c r="D3239" s="96">
        <v>0</v>
      </c>
      <c r="E3239" s="96">
        <v>0</v>
      </c>
      <c r="F3239" s="96">
        <v>0</v>
      </c>
      <c r="G3239" s="96">
        <v>0</v>
      </c>
      <c r="H3239" s="96">
        <v>0</v>
      </c>
      <c r="I3239" s="96">
        <v>0</v>
      </c>
      <c r="J3239" s="96">
        <v>0</v>
      </c>
    </row>
    <row r="3240" spans="1:10">
      <c r="A3240" s="95" t="s">
        <v>15</v>
      </c>
      <c r="B3240" s="95" t="s">
        <v>13</v>
      </c>
      <c r="C3240" s="51">
        <v>0.79027777777777797</v>
      </c>
      <c r="D3240" s="96">
        <v>0</v>
      </c>
      <c r="E3240" s="96">
        <v>0</v>
      </c>
      <c r="F3240" s="96">
        <v>0</v>
      </c>
      <c r="G3240" s="96">
        <v>0</v>
      </c>
      <c r="H3240" s="96">
        <v>0</v>
      </c>
      <c r="I3240" s="96">
        <v>0</v>
      </c>
      <c r="J3240" s="96">
        <v>0</v>
      </c>
    </row>
    <row r="3241" spans="1:10" s="28" customFormat="1" ht="17.5" thickBot="1">
      <c r="A3241" s="107" t="s">
        <v>15</v>
      </c>
      <c r="B3241" s="107" t="s">
        <v>13</v>
      </c>
      <c r="C3241" s="108">
        <v>0.79097222222222197</v>
      </c>
      <c r="D3241" s="109">
        <v>0</v>
      </c>
      <c r="E3241" s="109">
        <v>0</v>
      </c>
      <c r="F3241" s="109">
        <v>0</v>
      </c>
      <c r="G3241" s="109">
        <v>0</v>
      </c>
      <c r="H3241" s="109">
        <v>0</v>
      </c>
      <c r="I3241" s="109">
        <v>0</v>
      </c>
      <c r="J3241" s="109">
        <v>0</v>
      </c>
    </row>
    <row r="3242" spans="1:10">
      <c r="A3242" s="95" t="s">
        <v>15</v>
      </c>
      <c r="B3242" s="95" t="s">
        <v>14</v>
      </c>
      <c r="C3242" s="51">
        <v>0.70833333333333337</v>
      </c>
      <c r="D3242" s="96">
        <v>0</v>
      </c>
      <c r="E3242" s="96">
        <v>0</v>
      </c>
      <c r="F3242" s="96">
        <v>0</v>
      </c>
      <c r="G3242" s="96">
        <v>0</v>
      </c>
      <c r="H3242" s="96">
        <v>0</v>
      </c>
      <c r="I3242" s="96">
        <v>0</v>
      </c>
      <c r="J3242" s="96">
        <v>0</v>
      </c>
    </row>
    <row r="3243" spans="1:10">
      <c r="A3243" s="95" t="s">
        <v>15</v>
      </c>
      <c r="B3243" s="95" t="s">
        <v>14</v>
      </c>
      <c r="C3243" s="51">
        <v>0.70902777777777781</v>
      </c>
      <c r="D3243" s="96">
        <v>0</v>
      </c>
      <c r="E3243" s="96">
        <v>0</v>
      </c>
      <c r="F3243" s="96">
        <v>0</v>
      </c>
      <c r="G3243" s="96">
        <v>0</v>
      </c>
      <c r="H3243" s="96">
        <v>0</v>
      </c>
      <c r="I3243" s="96">
        <v>0</v>
      </c>
      <c r="J3243" s="96">
        <v>0</v>
      </c>
    </row>
    <row r="3244" spans="1:10">
      <c r="A3244" s="95" t="s">
        <v>15</v>
      </c>
      <c r="B3244" s="95" t="s">
        <v>14</v>
      </c>
      <c r="C3244" s="51">
        <v>0.70972222222222203</v>
      </c>
      <c r="D3244" s="96">
        <v>0</v>
      </c>
      <c r="E3244" s="96">
        <v>0</v>
      </c>
      <c r="F3244" s="96">
        <v>0</v>
      </c>
      <c r="G3244" s="96">
        <v>0</v>
      </c>
      <c r="H3244" s="96">
        <v>0</v>
      </c>
      <c r="I3244" s="96">
        <v>0</v>
      </c>
      <c r="J3244" s="96">
        <v>0</v>
      </c>
    </row>
    <row r="3245" spans="1:10">
      <c r="A3245" s="95" t="s">
        <v>15</v>
      </c>
      <c r="B3245" s="95" t="s">
        <v>14</v>
      </c>
      <c r="C3245" s="51">
        <v>0.71041666666666703</v>
      </c>
      <c r="D3245" s="96">
        <v>0</v>
      </c>
      <c r="E3245" s="96">
        <v>0</v>
      </c>
      <c r="F3245" s="96">
        <v>0</v>
      </c>
      <c r="G3245" s="96">
        <v>0</v>
      </c>
      <c r="H3245" s="96">
        <v>0</v>
      </c>
      <c r="I3245" s="96">
        <v>0</v>
      </c>
      <c r="J3245" s="96">
        <v>0</v>
      </c>
    </row>
    <row r="3246" spans="1:10">
      <c r="A3246" s="95" t="s">
        <v>15</v>
      </c>
      <c r="B3246" s="95" t="s">
        <v>14</v>
      </c>
      <c r="C3246" s="51">
        <v>0.71111111111111103</v>
      </c>
      <c r="D3246" s="96">
        <v>0</v>
      </c>
      <c r="E3246" s="96">
        <v>0</v>
      </c>
      <c r="F3246" s="96">
        <v>0</v>
      </c>
      <c r="G3246" s="96">
        <v>0</v>
      </c>
      <c r="H3246" s="96">
        <v>0</v>
      </c>
      <c r="I3246" s="96">
        <v>0</v>
      </c>
      <c r="J3246" s="96">
        <v>0</v>
      </c>
    </row>
    <row r="3247" spans="1:10">
      <c r="A3247" s="95" t="s">
        <v>15</v>
      </c>
      <c r="B3247" s="95" t="s">
        <v>14</v>
      </c>
      <c r="C3247" s="51">
        <v>0.71180555555555602</v>
      </c>
      <c r="D3247" s="96">
        <v>0</v>
      </c>
      <c r="E3247" s="96">
        <v>0</v>
      </c>
      <c r="F3247" s="96">
        <v>0</v>
      </c>
      <c r="G3247" s="96">
        <v>0</v>
      </c>
      <c r="H3247" s="96">
        <v>0</v>
      </c>
      <c r="I3247" s="96">
        <v>0</v>
      </c>
      <c r="J3247" s="96">
        <v>0</v>
      </c>
    </row>
    <row r="3248" spans="1:10">
      <c r="A3248" s="95" t="s">
        <v>15</v>
      </c>
      <c r="B3248" s="95" t="s">
        <v>14</v>
      </c>
      <c r="C3248" s="51">
        <v>0.71250000000000002</v>
      </c>
      <c r="D3248" s="96">
        <v>0</v>
      </c>
      <c r="E3248" s="96">
        <v>0</v>
      </c>
      <c r="F3248" s="96">
        <v>0</v>
      </c>
      <c r="G3248" s="96">
        <v>0</v>
      </c>
      <c r="H3248" s="96">
        <v>0</v>
      </c>
      <c r="I3248" s="96">
        <v>0</v>
      </c>
      <c r="J3248" s="96">
        <v>0</v>
      </c>
    </row>
    <row r="3249" spans="1:10">
      <c r="A3249" s="95" t="s">
        <v>15</v>
      </c>
      <c r="B3249" s="95" t="s">
        <v>14</v>
      </c>
      <c r="C3249" s="51">
        <v>0.71319444444444402</v>
      </c>
      <c r="D3249" s="96">
        <v>0</v>
      </c>
      <c r="E3249" s="96">
        <v>0</v>
      </c>
      <c r="F3249" s="96">
        <v>0</v>
      </c>
      <c r="G3249" s="96">
        <v>0</v>
      </c>
      <c r="H3249" s="96">
        <v>0</v>
      </c>
      <c r="I3249" s="96">
        <v>0</v>
      </c>
      <c r="J3249" s="96">
        <v>0</v>
      </c>
    </row>
    <row r="3250" spans="1:10">
      <c r="A3250" s="95" t="s">
        <v>15</v>
      </c>
      <c r="B3250" s="95" t="s">
        <v>14</v>
      </c>
      <c r="C3250" s="51">
        <v>0.71388888888888902</v>
      </c>
      <c r="D3250" s="96">
        <v>0</v>
      </c>
      <c r="E3250" s="96">
        <v>0</v>
      </c>
      <c r="F3250" s="96">
        <v>0</v>
      </c>
      <c r="G3250" s="96">
        <v>0</v>
      </c>
      <c r="H3250" s="96">
        <v>0</v>
      </c>
      <c r="I3250" s="96">
        <v>0</v>
      </c>
      <c r="J3250" s="96">
        <v>0</v>
      </c>
    </row>
    <row r="3251" spans="1:10">
      <c r="A3251" s="95" t="s">
        <v>15</v>
      </c>
      <c r="B3251" s="95" t="s">
        <v>14</v>
      </c>
      <c r="C3251" s="51">
        <v>0.71458333333333302</v>
      </c>
      <c r="D3251" s="96">
        <v>0</v>
      </c>
      <c r="E3251" s="96">
        <v>0</v>
      </c>
      <c r="F3251" s="96">
        <v>0</v>
      </c>
      <c r="G3251" s="96">
        <v>0</v>
      </c>
      <c r="H3251" s="96">
        <v>0</v>
      </c>
      <c r="I3251" s="96">
        <v>0</v>
      </c>
      <c r="J3251" s="96">
        <v>0</v>
      </c>
    </row>
    <row r="3252" spans="1:10">
      <c r="A3252" s="95" t="s">
        <v>15</v>
      </c>
      <c r="B3252" s="95" t="s">
        <v>14</v>
      </c>
      <c r="C3252" s="51">
        <v>0.71527777777777801</v>
      </c>
      <c r="D3252" s="96">
        <v>0</v>
      </c>
      <c r="E3252" s="96">
        <v>0</v>
      </c>
      <c r="F3252" s="96">
        <v>0</v>
      </c>
      <c r="G3252" s="96">
        <v>0</v>
      </c>
      <c r="H3252" s="96">
        <v>0</v>
      </c>
      <c r="I3252" s="96">
        <v>0</v>
      </c>
      <c r="J3252" s="96">
        <v>0</v>
      </c>
    </row>
    <row r="3253" spans="1:10">
      <c r="A3253" s="95" t="s">
        <v>15</v>
      </c>
      <c r="B3253" s="95" t="s">
        <v>14</v>
      </c>
      <c r="C3253" s="51">
        <v>0.71597222222222201</v>
      </c>
      <c r="D3253" s="96">
        <v>0</v>
      </c>
      <c r="E3253" s="96">
        <v>0</v>
      </c>
      <c r="F3253" s="96">
        <v>0</v>
      </c>
      <c r="G3253" s="96">
        <v>0</v>
      </c>
      <c r="H3253" s="96">
        <v>0</v>
      </c>
      <c r="I3253" s="96">
        <v>0</v>
      </c>
      <c r="J3253" s="96">
        <v>0</v>
      </c>
    </row>
    <row r="3254" spans="1:10">
      <c r="A3254" s="95" t="s">
        <v>15</v>
      </c>
      <c r="B3254" s="95" t="s">
        <v>14</v>
      </c>
      <c r="C3254" s="51">
        <v>0.71666666666666701</v>
      </c>
      <c r="D3254" s="96">
        <v>0</v>
      </c>
      <c r="E3254" s="96">
        <v>0</v>
      </c>
      <c r="F3254" s="96">
        <v>0</v>
      </c>
      <c r="G3254" s="96">
        <v>0</v>
      </c>
      <c r="H3254" s="96">
        <v>0</v>
      </c>
      <c r="I3254" s="96">
        <v>0</v>
      </c>
      <c r="J3254" s="96">
        <v>0</v>
      </c>
    </row>
    <row r="3255" spans="1:10">
      <c r="A3255" s="95" t="s">
        <v>15</v>
      </c>
      <c r="B3255" s="95" t="s">
        <v>14</v>
      </c>
      <c r="C3255" s="51">
        <v>0.71736111111111101</v>
      </c>
      <c r="D3255" s="96">
        <v>0</v>
      </c>
      <c r="E3255" s="96">
        <v>0</v>
      </c>
      <c r="F3255" s="96">
        <v>0</v>
      </c>
      <c r="G3255" s="96">
        <v>0</v>
      </c>
      <c r="H3255" s="96">
        <v>0</v>
      </c>
      <c r="I3255" s="96">
        <v>0</v>
      </c>
      <c r="J3255" s="96">
        <v>0</v>
      </c>
    </row>
    <row r="3256" spans="1:10" s="80" customFormat="1">
      <c r="A3256" s="97" t="s">
        <v>15</v>
      </c>
      <c r="B3256" s="97" t="s">
        <v>14</v>
      </c>
      <c r="C3256" s="98">
        <v>0.718055555555556</v>
      </c>
      <c r="D3256" s="99">
        <v>0</v>
      </c>
      <c r="E3256" s="99">
        <v>0</v>
      </c>
      <c r="F3256" s="99">
        <v>0</v>
      </c>
      <c r="G3256" s="99">
        <v>0</v>
      </c>
      <c r="H3256" s="99">
        <v>0</v>
      </c>
      <c r="I3256" s="99">
        <v>0</v>
      </c>
      <c r="J3256" s="99">
        <v>0</v>
      </c>
    </row>
    <row r="3257" spans="1:10">
      <c r="A3257" s="95" t="s">
        <v>15</v>
      </c>
      <c r="B3257" s="95" t="s">
        <v>14</v>
      </c>
      <c r="C3257" s="51">
        <v>0.71875</v>
      </c>
      <c r="D3257" s="96">
        <v>0</v>
      </c>
      <c r="E3257" s="96">
        <v>0</v>
      </c>
      <c r="F3257" s="96">
        <v>0</v>
      </c>
      <c r="G3257" s="96">
        <v>0</v>
      </c>
      <c r="H3257" s="96">
        <v>0</v>
      </c>
      <c r="I3257" s="96">
        <v>0</v>
      </c>
      <c r="J3257" s="96">
        <v>0</v>
      </c>
    </row>
    <row r="3258" spans="1:10">
      <c r="A3258" s="95" t="s">
        <v>15</v>
      </c>
      <c r="B3258" s="95" t="s">
        <v>14</v>
      </c>
      <c r="C3258" s="51">
        <v>0.719444444444444</v>
      </c>
      <c r="D3258" s="96">
        <v>0</v>
      </c>
      <c r="E3258" s="96">
        <v>0</v>
      </c>
      <c r="F3258" s="96">
        <v>0</v>
      </c>
      <c r="G3258" s="96">
        <v>0</v>
      </c>
      <c r="H3258" s="96">
        <v>0</v>
      </c>
      <c r="I3258" s="96">
        <v>0</v>
      </c>
      <c r="J3258" s="96">
        <v>0</v>
      </c>
    </row>
    <row r="3259" spans="1:10">
      <c r="A3259" s="95" t="s">
        <v>15</v>
      </c>
      <c r="B3259" s="95" t="s">
        <v>14</v>
      </c>
      <c r="C3259" s="51">
        <v>0.72013888888888899</v>
      </c>
      <c r="D3259" s="96">
        <v>0</v>
      </c>
      <c r="E3259" s="96">
        <v>0</v>
      </c>
      <c r="F3259" s="96">
        <v>0</v>
      </c>
      <c r="G3259" s="96">
        <v>0</v>
      </c>
      <c r="H3259" s="96">
        <v>0</v>
      </c>
      <c r="I3259" s="96">
        <v>0</v>
      </c>
      <c r="J3259" s="96">
        <v>0</v>
      </c>
    </row>
    <row r="3260" spans="1:10">
      <c r="A3260" s="95" t="s">
        <v>15</v>
      </c>
      <c r="B3260" s="95" t="s">
        <v>14</v>
      </c>
      <c r="C3260" s="51">
        <v>0.72083333333333299</v>
      </c>
      <c r="D3260" s="96">
        <v>0</v>
      </c>
      <c r="E3260" s="96">
        <v>0</v>
      </c>
      <c r="F3260" s="96">
        <v>0</v>
      </c>
      <c r="G3260" s="96">
        <v>0</v>
      </c>
      <c r="H3260" s="96">
        <v>0</v>
      </c>
      <c r="I3260" s="96">
        <v>0</v>
      </c>
      <c r="J3260" s="96">
        <v>0</v>
      </c>
    </row>
    <row r="3261" spans="1:10">
      <c r="A3261" s="95" t="s">
        <v>15</v>
      </c>
      <c r="B3261" s="95" t="s">
        <v>14</v>
      </c>
      <c r="C3261" s="51">
        <v>0.72152777777777799</v>
      </c>
      <c r="D3261" s="96">
        <v>0</v>
      </c>
      <c r="E3261" s="96">
        <v>0</v>
      </c>
      <c r="F3261" s="96">
        <v>0</v>
      </c>
      <c r="G3261" s="96">
        <v>0</v>
      </c>
      <c r="H3261" s="96">
        <v>0</v>
      </c>
      <c r="I3261" s="96">
        <v>0</v>
      </c>
      <c r="J3261" s="96">
        <v>0</v>
      </c>
    </row>
    <row r="3262" spans="1:10">
      <c r="A3262" s="95" t="s">
        <v>15</v>
      </c>
      <c r="B3262" s="95" t="s">
        <v>14</v>
      </c>
      <c r="C3262" s="51">
        <v>0.72222222222222199</v>
      </c>
      <c r="D3262" s="96">
        <v>0</v>
      </c>
      <c r="E3262" s="96">
        <v>0</v>
      </c>
      <c r="F3262" s="96">
        <v>0</v>
      </c>
      <c r="G3262" s="96">
        <v>0</v>
      </c>
      <c r="H3262" s="96">
        <v>0</v>
      </c>
      <c r="I3262" s="96">
        <v>0</v>
      </c>
      <c r="J3262" s="96">
        <v>0</v>
      </c>
    </row>
    <row r="3263" spans="1:10">
      <c r="A3263" s="95" t="s">
        <v>15</v>
      </c>
      <c r="B3263" s="95" t="s">
        <v>14</v>
      </c>
      <c r="C3263" s="51">
        <v>0.72291666666666698</v>
      </c>
      <c r="D3263" s="96">
        <v>0</v>
      </c>
      <c r="E3263" s="96">
        <v>0</v>
      </c>
      <c r="F3263" s="96">
        <v>0</v>
      </c>
      <c r="G3263" s="96">
        <v>0</v>
      </c>
      <c r="H3263" s="96">
        <v>0</v>
      </c>
      <c r="I3263" s="96">
        <v>0</v>
      </c>
      <c r="J3263" s="96">
        <v>0</v>
      </c>
    </row>
    <row r="3264" spans="1:10">
      <c r="A3264" s="95" t="s">
        <v>15</v>
      </c>
      <c r="B3264" s="95" t="s">
        <v>14</v>
      </c>
      <c r="C3264" s="51">
        <v>0.72361111111111098</v>
      </c>
      <c r="D3264" s="96">
        <v>0</v>
      </c>
      <c r="E3264" s="96">
        <v>0</v>
      </c>
      <c r="F3264" s="96">
        <v>0</v>
      </c>
      <c r="G3264" s="96">
        <v>0</v>
      </c>
      <c r="H3264" s="96">
        <v>0</v>
      </c>
      <c r="I3264" s="96">
        <v>0</v>
      </c>
      <c r="J3264" s="96">
        <v>0</v>
      </c>
    </row>
    <row r="3265" spans="1:10">
      <c r="A3265" s="95" t="s">
        <v>15</v>
      </c>
      <c r="B3265" s="95" t="s">
        <v>14</v>
      </c>
      <c r="C3265" s="51">
        <v>0.72430555555555598</v>
      </c>
      <c r="D3265" s="96">
        <v>0</v>
      </c>
      <c r="E3265" s="96">
        <v>0</v>
      </c>
      <c r="F3265" s="96">
        <v>0</v>
      </c>
      <c r="G3265" s="96">
        <v>0</v>
      </c>
      <c r="H3265" s="96">
        <v>0</v>
      </c>
      <c r="I3265" s="96">
        <v>0</v>
      </c>
      <c r="J3265" s="96">
        <v>0</v>
      </c>
    </row>
    <row r="3266" spans="1:10">
      <c r="A3266" s="95" t="s">
        <v>15</v>
      </c>
      <c r="B3266" s="95" t="s">
        <v>14</v>
      </c>
      <c r="C3266" s="51">
        <v>0.72499999999999998</v>
      </c>
      <c r="D3266" s="96">
        <v>0</v>
      </c>
      <c r="E3266" s="96">
        <v>0</v>
      </c>
      <c r="F3266" s="96">
        <v>0</v>
      </c>
      <c r="G3266" s="96">
        <v>0</v>
      </c>
      <c r="H3266" s="96">
        <v>0</v>
      </c>
      <c r="I3266" s="96">
        <v>0</v>
      </c>
      <c r="J3266" s="96">
        <v>0</v>
      </c>
    </row>
    <row r="3267" spans="1:10">
      <c r="A3267" s="95" t="s">
        <v>15</v>
      </c>
      <c r="B3267" s="95" t="s">
        <v>14</v>
      </c>
      <c r="C3267" s="51">
        <v>0.72569444444444398</v>
      </c>
      <c r="D3267" s="96">
        <v>0</v>
      </c>
      <c r="E3267" s="96">
        <v>0</v>
      </c>
      <c r="F3267" s="96">
        <v>0</v>
      </c>
      <c r="G3267" s="96">
        <v>0</v>
      </c>
      <c r="H3267" s="96">
        <v>0</v>
      </c>
      <c r="I3267" s="96">
        <v>0</v>
      </c>
      <c r="J3267" s="96">
        <v>0</v>
      </c>
    </row>
    <row r="3268" spans="1:10">
      <c r="A3268" s="95" t="s">
        <v>15</v>
      </c>
      <c r="B3268" s="95" t="s">
        <v>14</v>
      </c>
      <c r="C3268" s="51">
        <v>0.72638888888888897</v>
      </c>
      <c r="D3268" s="96">
        <v>0</v>
      </c>
      <c r="E3268" s="96">
        <v>0</v>
      </c>
      <c r="F3268" s="96">
        <v>0</v>
      </c>
      <c r="G3268" s="96">
        <v>0</v>
      </c>
      <c r="H3268" s="96">
        <v>0</v>
      </c>
      <c r="I3268" s="96">
        <v>0</v>
      </c>
      <c r="J3268" s="96">
        <v>0</v>
      </c>
    </row>
    <row r="3269" spans="1:10">
      <c r="A3269" s="95" t="s">
        <v>15</v>
      </c>
      <c r="B3269" s="95" t="s">
        <v>14</v>
      </c>
      <c r="C3269" s="51">
        <v>0.72708333333333297</v>
      </c>
      <c r="D3269" s="96">
        <v>0</v>
      </c>
      <c r="E3269" s="96">
        <v>0</v>
      </c>
      <c r="F3269" s="96">
        <v>0</v>
      </c>
      <c r="G3269" s="96">
        <v>0</v>
      </c>
      <c r="H3269" s="96">
        <v>0</v>
      </c>
      <c r="I3269" s="96">
        <v>0</v>
      </c>
      <c r="J3269" s="96">
        <v>0</v>
      </c>
    </row>
    <row r="3270" spans="1:10">
      <c r="A3270" s="95" t="s">
        <v>15</v>
      </c>
      <c r="B3270" s="95" t="s">
        <v>14</v>
      </c>
      <c r="C3270" s="51">
        <v>0.72777777777777797</v>
      </c>
      <c r="D3270" s="96">
        <v>0</v>
      </c>
      <c r="E3270" s="96">
        <v>0</v>
      </c>
      <c r="F3270" s="96">
        <v>0</v>
      </c>
      <c r="G3270" s="96">
        <v>0</v>
      </c>
      <c r="H3270" s="96">
        <v>0</v>
      </c>
      <c r="I3270" s="96">
        <v>0</v>
      </c>
      <c r="J3270" s="96">
        <v>0</v>
      </c>
    </row>
    <row r="3271" spans="1:10" s="80" customFormat="1">
      <c r="A3271" s="97" t="s">
        <v>15</v>
      </c>
      <c r="B3271" s="97" t="s">
        <v>14</v>
      </c>
      <c r="C3271" s="98">
        <v>0.72847222222222197</v>
      </c>
      <c r="D3271" s="99">
        <v>0</v>
      </c>
      <c r="E3271" s="99">
        <v>0</v>
      </c>
      <c r="F3271" s="99">
        <v>0</v>
      </c>
      <c r="G3271" s="99">
        <v>0</v>
      </c>
      <c r="H3271" s="99">
        <v>0</v>
      </c>
      <c r="I3271" s="99">
        <v>0</v>
      </c>
      <c r="J3271" s="99">
        <v>0</v>
      </c>
    </row>
    <row r="3272" spans="1:10">
      <c r="A3272" s="95" t="s">
        <v>15</v>
      </c>
      <c r="B3272" s="95" t="s">
        <v>14</v>
      </c>
      <c r="C3272" s="51">
        <v>0.72916666666666696</v>
      </c>
      <c r="D3272" s="96">
        <v>0</v>
      </c>
      <c r="E3272" s="96">
        <v>0</v>
      </c>
      <c r="F3272" s="96">
        <v>0</v>
      </c>
      <c r="G3272" s="96">
        <v>0</v>
      </c>
      <c r="H3272" s="96">
        <v>0</v>
      </c>
      <c r="I3272" s="96">
        <v>0</v>
      </c>
      <c r="J3272" s="96">
        <v>0</v>
      </c>
    </row>
    <row r="3273" spans="1:10">
      <c r="A3273" s="95" t="s">
        <v>15</v>
      </c>
      <c r="B3273" s="95" t="s">
        <v>14</v>
      </c>
      <c r="C3273" s="51">
        <v>0.72986111111111096</v>
      </c>
      <c r="D3273" s="96">
        <v>0</v>
      </c>
      <c r="E3273" s="96">
        <v>0</v>
      </c>
      <c r="F3273" s="96">
        <v>0</v>
      </c>
      <c r="G3273" s="96">
        <v>0</v>
      </c>
      <c r="H3273" s="96">
        <v>0</v>
      </c>
      <c r="I3273" s="96">
        <v>0</v>
      </c>
      <c r="J3273" s="96">
        <v>0</v>
      </c>
    </row>
    <row r="3274" spans="1:10">
      <c r="A3274" s="95" t="s">
        <v>15</v>
      </c>
      <c r="B3274" s="95" t="s">
        <v>14</v>
      </c>
      <c r="C3274" s="51">
        <v>0.73055555555555596</v>
      </c>
      <c r="D3274" s="96">
        <v>0</v>
      </c>
      <c r="E3274" s="96">
        <v>0</v>
      </c>
      <c r="F3274" s="96">
        <v>0</v>
      </c>
      <c r="G3274" s="96">
        <v>0</v>
      </c>
      <c r="H3274" s="96">
        <v>0</v>
      </c>
      <c r="I3274" s="96">
        <v>0</v>
      </c>
      <c r="J3274" s="96">
        <v>0</v>
      </c>
    </row>
    <row r="3275" spans="1:10">
      <c r="A3275" s="95" t="s">
        <v>15</v>
      </c>
      <c r="B3275" s="95" t="s">
        <v>14</v>
      </c>
      <c r="C3275" s="51">
        <v>0.73124999999999996</v>
      </c>
      <c r="D3275" s="96">
        <v>0</v>
      </c>
      <c r="E3275" s="96">
        <v>0</v>
      </c>
      <c r="F3275" s="96">
        <v>0</v>
      </c>
      <c r="G3275" s="96">
        <v>0</v>
      </c>
      <c r="H3275" s="96">
        <v>0</v>
      </c>
      <c r="I3275" s="96">
        <v>0</v>
      </c>
      <c r="J3275" s="96">
        <v>0</v>
      </c>
    </row>
    <row r="3276" spans="1:10">
      <c r="A3276" s="95" t="s">
        <v>15</v>
      </c>
      <c r="B3276" s="95" t="s">
        <v>14</v>
      </c>
      <c r="C3276" s="51">
        <v>0.73194444444444395</v>
      </c>
      <c r="D3276" s="96">
        <v>0</v>
      </c>
      <c r="E3276" s="96">
        <v>0</v>
      </c>
      <c r="F3276" s="96">
        <v>0</v>
      </c>
      <c r="G3276" s="96">
        <v>0</v>
      </c>
      <c r="H3276" s="96">
        <v>0</v>
      </c>
      <c r="I3276" s="96">
        <v>0</v>
      </c>
      <c r="J3276" s="96">
        <v>0</v>
      </c>
    </row>
    <row r="3277" spans="1:10">
      <c r="A3277" s="95" t="s">
        <v>15</v>
      </c>
      <c r="B3277" s="95" t="s">
        <v>14</v>
      </c>
      <c r="C3277" s="51">
        <v>0.73263888888888895</v>
      </c>
      <c r="D3277" s="96">
        <v>0</v>
      </c>
      <c r="E3277" s="96">
        <v>0</v>
      </c>
      <c r="F3277" s="96">
        <v>0</v>
      </c>
      <c r="G3277" s="96">
        <v>0</v>
      </c>
      <c r="H3277" s="96">
        <v>0</v>
      </c>
      <c r="I3277" s="96">
        <v>0</v>
      </c>
      <c r="J3277" s="96">
        <v>0</v>
      </c>
    </row>
    <row r="3278" spans="1:10">
      <c r="A3278" s="95" t="s">
        <v>15</v>
      </c>
      <c r="B3278" s="95" t="s">
        <v>14</v>
      </c>
      <c r="C3278" s="51">
        <v>0.73333333333333295</v>
      </c>
      <c r="D3278" s="96">
        <v>0</v>
      </c>
      <c r="E3278" s="96">
        <v>0</v>
      </c>
      <c r="F3278" s="96">
        <v>0</v>
      </c>
      <c r="G3278" s="96">
        <v>0</v>
      </c>
      <c r="H3278" s="96">
        <v>0</v>
      </c>
      <c r="I3278" s="96">
        <v>0</v>
      </c>
      <c r="J3278" s="96">
        <v>0</v>
      </c>
    </row>
    <row r="3279" spans="1:10">
      <c r="A3279" s="95" t="s">
        <v>15</v>
      </c>
      <c r="B3279" s="95" t="s">
        <v>14</v>
      </c>
      <c r="C3279" s="51">
        <v>0.73402777777777795</v>
      </c>
      <c r="D3279" s="96">
        <v>0</v>
      </c>
      <c r="E3279" s="96">
        <v>0</v>
      </c>
      <c r="F3279" s="96">
        <v>0</v>
      </c>
      <c r="G3279" s="96">
        <v>0</v>
      </c>
      <c r="H3279" s="96">
        <v>0</v>
      </c>
      <c r="I3279" s="96">
        <v>0</v>
      </c>
      <c r="J3279" s="96">
        <v>0</v>
      </c>
    </row>
    <row r="3280" spans="1:10">
      <c r="A3280" s="95" t="s">
        <v>15</v>
      </c>
      <c r="B3280" s="95" t="s">
        <v>14</v>
      </c>
      <c r="C3280" s="51">
        <v>0.73472222222222205</v>
      </c>
      <c r="D3280" s="96">
        <v>0</v>
      </c>
      <c r="E3280" s="96">
        <v>0</v>
      </c>
      <c r="F3280" s="96">
        <v>0</v>
      </c>
      <c r="G3280" s="96">
        <v>0</v>
      </c>
      <c r="H3280" s="96">
        <v>0</v>
      </c>
      <c r="I3280" s="96">
        <v>0</v>
      </c>
      <c r="J3280" s="96">
        <v>0</v>
      </c>
    </row>
    <row r="3281" spans="1:10">
      <c r="A3281" s="95" t="s">
        <v>15</v>
      </c>
      <c r="B3281" s="95" t="s">
        <v>14</v>
      </c>
      <c r="C3281" s="51">
        <v>0.73541666666666705</v>
      </c>
      <c r="D3281" s="96">
        <v>0</v>
      </c>
      <c r="E3281" s="96">
        <v>0</v>
      </c>
      <c r="F3281" s="96">
        <v>0</v>
      </c>
      <c r="G3281" s="96">
        <v>0</v>
      </c>
      <c r="H3281" s="96">
        <v>0</v>
      </c>
      <c r="I3281" s="96">
        <v>0</v>
      </c>
      <c r="J3281" s="96">
        <v>0</v>
      </c>
    </row>
    <row r="3282" spans="1:10">
      <c r="A3282" s="95" t="s">
        <v>15</v>
      </c>
      <c r="B3282" s="95" t="s">
        <v>14</v>
      </c>
      <c r="C3282" s="51">
        <v>0.73611111111111105</v>
      </c>
      <c r="D3282" s="96">
        <v>0</v>
      </c>
      <c r="E3282" s="96">
        <v>0</v>
      </c>
      <c r="F3282" s="96">
        <v>0</v>
      </c>
      <c r="G3282" s="96">
        <v>0</v>
      </c>
      <c r="H3282" s="96">
        <v>0</v>
      </c>
      <c r="I3282" s="96">
        <v>0</v>
      </c>
      <c r="J3282" s="96">
        <v>0</v>
      </c>
    </row>
    <row r="3283" spans="1:10">
      <c r="A3283" s="95" t="s">
        <v>15</v>
      </c>
      <c r="B3283" s="95" t="s">
        <v>14</v>
      </c>
      <c r="C3283" s="51">
        <v>0.73680555555555505</v>
      </c>
      <c r="D3283" s="96">
        <v>0</v>
      </c>
      <c r="E3283" s="96">
        <v>0</v>
      </c>
      <c r="F3283" s="96">
        <v>0</v>
      </c>
      <c r="G3283" s="96">
        <v>0</v>
      </c>
      <c r="H3283" s="96">
        <v>0</v>
      </c>
      <c r="I3283" s="96">
        <v>0</v>
      </c>
      <c r="J3283" s="96">
        <v>0</v>
      </c>
    </row>
    <row r="3284" spans="1:10">
      <c r="A3284" s="95" t="s">
        <v>15</v>
      </c>
      <c r="B3284" s="95" t="s">
        <v>14</v>
      </c>
      <c r="C3284" s="51">
        <v>0.73750000000000004</v>
      </c>
      <c r="D3284" s="96">
        <v>0</v>
      </c>
      <c r="E3284" s="96">
        <v>0</v>
      </c>
      <c r="F3284" s="96">
        <v>0</v>
      </c>
      <c r="G3284" s="96">
        <v>0</v>
      </c>
      <c r="H3284" s="96">
        <v>0</v>
      </c>
      <c r="I3284" s="96">
        <v>0</v>
      </c>
      <c r="J3284" s="96">
        <v>0</v>
      </c>
    </row>
    <row r="3285" spans="1:10">
      <c r="A3285" s="95" t="s">
        <v>15</v>
      </c>
      <c r="B3285" s="95" t="s">
        <v>14</v>
      </c>
      <c r="C3285" s="51">
        <v>0.73819444444444404</v>
      </c>
      <c r="D3285" s="96">
        <v>0</v>
      </c>
      <c r="E3285" s="96">
        <v>0</v>
      </c>
      <c r="F3285" s="96">
        <v>0</v>
      </c>
      <c r="G3285" s="96">
        <v>0</v>
      </c>
      <c r="H3285" s="96">
        <v>0</v>
      </c>
      <c r="I3285" s="96">
        <v>0</v>
      </c>
      <c r="J3285" s="96">
        <v>0</v>
      </c>
    </row>
    <row r="3286" spans="1:10" s="80" customFormat="1">
      <c r="A3286" s="97" t="s">
        <v>15</v>
      </c>
      <c r="B3286" s="97" t="s">
        <v>14</v>
      </c>
      <c r="C3286" s="98">
        <v>0.73888888888888904</v>
      </c>
      <c r="D3286" s="99">
        <v>0</v>
      </c>
      <c r="E3286" s="99">
        <v>0</v>
      </c>
      <c r="F3286" s="99">
        <v>0</v>
      </c>
      <c r="G3286" s="99">
        <v>0</v>
      </c>
      <c r="H3286" s="99">
        <v>0</v>
      </c>
      <c r="I3286" s="99">
        <v>0</v>
      </c>
      <c r="J3286" s="99">
        <v>0</v>
      </c>
    </row>
    <row r="3287" spans="1:10">
      <c r="A3287" s="95" t="s">
        <v>15</v>
      </c>
      <c r="B3287" s="95" t="s">
        <v>14</v>
      </c>
      <c r="C3287" s="51">
        <v>0.73958333333333304</v>
      </c>
      <c r="D3287" s="96">
        <v>0</v>
      </c>
      <c r="E3287" s="96">
        <v>0</v>
      </c>
      <c r="F3287" s="96">
        <v>0</v>
      </c>
      <c r="G3287" s="96">
        <v>0</v>
      </c>
      <c r="H3287" s="96">
        <v>0</v>
      </c>
      <c r="I3287" s="96">
        <v>0</v>
      </c>
      <c r="J3287" s="96">
        <v>0</v>
      </c>
    </row>
    <row r="3288" spans="1:10">
      <c r="A3288" s="95" t="s">
        <v>15</v>
      </c>
      <c r="B3288" s="95" t="s">
        <v>14</v>
      </c>
      <c r="C3288" s="51">
        <v>0.74027777777777803</v>
      </c>
      <c r="D3288" s="96">
        <v>0</v>
      </c>
      <c r="E3288" s="96">
        <v>0</v>
      </c>
      <c r="F3288" s="96">
        <v>0</v>
      </c>
      <c r="G3288" s="96">
        <v>0</v>
      </c>
      <c r="H3288" s="96">
        <v>0</v>
      </c>
      <c r="I3288" s="96">
        <v>0</v>
      </c>
      <c r="J3288" s="96">
        <v>0</v>
      </c>
    </row>
    <row r="3289" spans="1:10">
      <c r="A3289" s="95" t="s">
        <v>15</v>
      </c>
      <c r="B3289" s="95" t="s">
        <v>14</v>
      </c>
      <c r="C3289" s="51">
        <v>0.74097222222222203</v>
      </c>
      <c r="D3289" s="96">
        <v>0</v>
      </c>
      <c r="E3289" s="96">
        <v>0</v>
      </c>
      <c r="F3289" s="96">
        <v>0</v>
      </c>
      <c r="G3289" s="96">
        <v>0</v>
      </c>
      <c r="H3289" s="96">
        <v>0</v>
      </c>
      <c r="I3289" s="96">
        <v>0</v>
      </c>
      <c r="J3289" s="96">
        <v>0</v>
      </c>
    </row>
    <row r="3290" spans="1:10">
      <c r="A3290" s="95" t="s">
        <v>15</v>
      </c>
      <c r="B3290" s="95" t="s">
        <v>14</v>
      </c>
      <c r="C3290" s="51">
        <v>0.74166666666666703</v>
      </c>
      <c r="D3290" s="96">
        <v>0</v>
      </c>
      <c r="E3290" s="96">
        <v>0</v>
      </c>
      <c r="F3290" s="96">
        <v>0</v>
      </c>
      <c r="G3290" s="96">
        <v>0</v>
      </c>
      <c r="H3290" s="96">
        <v>0</v>
      </c>
      <c r="I3290" s="96">
        <v>0</v>
      </c>
      <c r="J3290" s="96">
        <v>0</v>
      </c>
    </row>
    <row r="3291" spans="1:10">
      <c r="A3291" s="95" t="s">
        <v>15</v>
      </c>
      <c r="B3291" s="95" t="s">
        <v>14</v>
      </c>
      <c r="C3291" s="51">
        <v>0.74236111111111103</v>
      </c>
      <c r="D3291" s="96">
        <v>0</v>
      </c>
      <c r="E3291" s="96">
        <v>0</v>
      </c>
      <c r="F3291" s="96">
        <v>0</v>
      </c>
      <c r="G3291" s="96">
        <v>0</v>
      </c>
      <c r="H3291" s="96">
        <v>0</v>
      </c>
      <c r="I3291" s="96">
        <v>0</v>
      </c>
      <c r="J3291" s="96">
        <v>0</v>
      </c>
    </row>
    <row r="3292" spans="1:10">
      <c r="A3292" s="95" t="s">
        <v>15</v>
      </c>
      <c r="B3292" s="95" t="s">
        <v>14</v>
      </c>
      <c r="C3292" s="51">
        <v>0.74305555555555503</v>
      </c>
      <c r="D3292" s="96">
        <v>0</v>
      </c>
      <c r="E3292" s="96">
        <v>0</v>
      </c>
      <c r="F3292" s="96">
        <v>0</v>
      </c>
      <c r="G3292" s="96">
        <v>0</v>
      </c>
      <c r="H3292" s="96">
        <v>0</v>
      </c>
      <c r="I3292" s="96">
        <v>0</v>
      </c>
      <c r="J3292" s="96">
        <v>0</v>
      </c>
    </row>
    <row r="3293" spans="1:10">
      <c r="A3293" s="95" t="s">
        <v>15</v>
      </c>
      <c r="B3293" s="95" t="s">
        <v>14</v>
      </c>
      <c r="C3293" s="51">
        <v>0.74375000000000002</v>
      </c>
      <c r="D3293" s="96">
        <v>0</v>
      </c>
      <c r="E3293" s="96">
        <v>0</v>
      </c>
      <c r="F3293" s="96">
        <v>0</v>
      </c>
      <c r="G3293" s="96">
        <v>0</v>
      </c>
      <c r="H3293" s="96">
        <v>0</v>
      </c>
      <c r="I3293" s="96">
        <v>0</v>
      </c>
      <c r="J3293" s="96">
        <v>0</v>
      </c>
    </row>
    <row r="3294" spans="1:10">
      <c r="A3294" s="95" t="s">
        <v>15</v>
      </c>
      <c r="B3294" s="95" t="s">
        <v>14</v>
      </c>
      <c r="C3294" s="51">
        <v>0.74444444444444402</v>
      </c>
      <c r="D3294" s="96">
        <v>0</v>
      </c>
      <c r="E3294" s="96">
        <v>0</v>
      </c>
      <c r="F3294" s="96">
        <v>0</v>
      </c>
      <c r="G3294" s="96">
        <v>0</v>
      </c>
      <c r="H3294" s="96">
        <v>0</v>
      </c>
      <c r="I3294" s="96">
        <v>0</v>
      </c>
      <c r="J3294" s="96">
        <v>0</v>
      </c>
    </row>
    <row r="3295" spans="1:10">
      <c r="A3295" s="95" t="s">
        <v>15</v>
      </c>
      <c r="B3295" s="95" t="s">
        <v>14</v>
      </c>
      <c r="C3295" s="51">
        <v>0.74513888888888902</v>
      </c>
      <c r="D3295" s="96">
        <v>0</v>
      </c>
      <c r="E3295" s="96">
        <v>0</v>
      </c>
      <c r="F3295" s="96">
        <v>0</v>
      </c>
      <c r="G3295" s="96">
        <v>0</v>
      </c>
      <c r="H3295" s="96">
        <v>0</v>
      </c>
      <c r="I3295" s="96">
        <v>0</v>
      </c>
      <c r="J3295" s="96">
        <v>0</v>
      </c>
    </row>
    <row r="3296" spans="1:10">
      <c r="A3296" s="95" t="s">
        <v>15</v>
      </c>
      <c r="B3296" s="95" t="s">
        <v>14</v>
      </c>
      <c r="C3296" s="51">
        <v>0.74583333333333302</v>
      </c>
      <c r="D3296" s="96">
        <v>0</v>
      </c>
      <c r="E3296" s="96">
        <v>0</v>
      </c>
      <c r="F3296" s="96">
        <v>0</v>
      </c>
      <c r="G3296" s="96">
        <v>0</v>
      </c>
      <c r="H3296" s="96">
        <v>0</v>
      </c>
      <c r="I3296" s="96">
        <v>0</v>
      </c>
      <c r="J3296" s="96">
        <v>0</v>
      </c>
    </row>
    <row r="3297" spans="1:10">
      <c r="A3297" s="95" t="s">
        <v>15</v>
      </c>
      <c r="B3297" s="95" t="s">
        <v>14</v>
      </c>
      <c r="C3297" s="51">
        <v>0.74652777777777801</v>
      </c>
      <c r="D3297" s="96">
        <v>0</v>
      </c>
      <c r="E3297" s="96">
        <v>0</v>
      </c>
      <c r="F3297" s="96">
        <v>0</v>
      </c>
      <c r="G3297" s="96">
        <v>0</v>
      </c>
      <c r="H3297" s="96">
        <v>0</v>
      </c>
      <c r="I3297" s="96">
        <v>0</v>
      </c>
      <c r="J3297" s="96">
        <v>0</v>
      </c>
    </row>
    <row r="3298" spans="1:10">
      <c r="A3298" s="95" t="s">
        <v>15</v>
      </c>
      <c r="B3298" s="95" t="s">
        <v>14</v>
      </c>
      <c r="C3298" s="51">
        <v>0.74722222222222201</v>
      </c>
      <c r="D3298" s="96">
        <v>0</v>
      </c>
      <c r="E3298" s="96">
        <v>0</v>
      </c>
      <c r="F3298" s="96">
        <v>0</v>
      </c>
      <c r="G3298" s="96">
        <v>0</v>
      </c>
      <c r="H3298" s="96">
        <v>0</v>
      </c>
      <c r="I3298" s="96">
        <v>0</v>
      </c>
      <c r="J3298" s="96">
        <v>0</v>
      </c>
    </row>
    <row r="3299" spans="1:10">
      <c r="A3299" s="95" t="s">
        <v>15</v>
      </c>
      <c r="B3299" s="95" t="s">
        <v>14</v>
      </c>
      <c r="C3299" s="51">
        <v>0.74791666666666701</v>
      </c>
      <c r="D3299" s="96">
        <v>0</v>
      </c>
      <c r="E3299" s="96">
        <v>0</v>
      </c>
      <c r="F3299" s="96">
        <v>0</v>
      </c>
      <c r="G3299" s="96">
        <v>0</v>
      </c>
      <c r="H3299" s="96">
        <v>0</v>
      </c>
      <c r="I3299" s="96">
        <v>0</v>
      </c>
      <c r="J3299" s="96">
        <v>0</v>
      </c>
    </row>
    <row r="3300" spans="1:10">
      <c r="A3300" s="95" t="s">
        <v>15</v>
      </c>
      <c r="B3300" s="95" t="s">
        <v>14</v>
      </c>
      <c r="C3300" s="51">
        <v>0.74861111111111101</v>
      </c>
      <c r="D3300" s="96">
        <v>0</v>
      </c>
      <c r="E3300" s="96">
        <v>0</v>
      </c>
      <c r="F3300" s="96">
        <v>0</v>
      </c>
      <c r="G3300" s="96">
        <v>0</v>
      </c>
      <c r="H3300" s="96">
        <v>0</v>
      </c>
      <c r="I3300" s="96">
        <v>0</v>
      </c>
      <c r="J3300" s="96">
        <v>0</v>
      </c>
    </row>
    <row r="3301" spans="1:10" s="80" customFormat="1">
      <c r="A3301" s="97" t="s">
        <v>15</v>
      </c>
      <c r="B3301" s="97" t="s">
        <v>14</v>
      </c>
      <c r="C3301" s="98">
        <v>0.749305555555555</v>
      </c>
      <c r="D3301" s="99">
        <v>0</v>
      </c>
      <c r="E3301" s="99">
        <v>0</v>
      </c>
      <c r="F3301" s="99">
        <v>0</v>
      </c>
      <c r="G3301" s="99">
        <v>0</v>
      </c>
      <c r="H3301" s="99">
        <v>0</v>
      </c>
      <c r="I3301" s="99">
        <v>0</v>
      </c>
      <c r="J3301" s="99">
        <v>0</v>
      </c>
    </row>
    <row r="3302" spans="1:10">
      <c r="A3302" s="95" t="s">
        <v>15</v>
      </c>
      <c r="B3302" s="95" t="s">
        <v>14</v>
      </c>
      <c r="C3302" s="51">
        <v>0.75</v>
      </c>
      <c r="D3302" s="96">
        <v>0</v>
      </c>
      <c r="E3302" s="96">
        <v>0</v>
      </c>
      <c r="F3302" s="96">
        <v>0</v>
      </c>
      <c r="G3302" s="96">
        <v>0</v>
      </c>
      <c r="H3302" s="96">
        <v>0</v>
      </c>
      <c r="I3302" s="96">
        <v>0</v>
      </c>
      <c r="J3302" s="96">
        <v>0</v>
      </c>
    </row>
    <row r="3303" spans="1:10">
      <c r="A3303" s="95" t="s">
        <v>15</v>
      </c>
      <c r="B3303" s="95" t="s">
        <v>14</v>
      </c>
      <c r="C3303" s="51">
        <v>0.750694444444444</v>
      </c>
      <c r="D3303" s="96">
        <v>0</v>
      </c>
      <c r="E3303" s="96">
        <v>0</v>
      </c>
      <c r="F3303" s="96">
        <v>0</v>
      </c>
      <c r="G3303" s="96">
        <v>0</v>
      </c>
      <c r="H3303" s="96">
        <v>0</v>
      </c>
      <c r="I3303" s="96">
        <v>0</v>
      </c>
      <c r="J3303" s="96">
        <v>0</v>
      </c>
    </row>
    <row r="3304" spans="1:10">
      <c r="A3304" s="95" t="s">
        <v>15</v>
      </c>
      <c r="B3304" s="95" t="s">
        <v>14</v>
      </c>
      <c r="C3304" s="51">
        <v>0.75138888888888899</v>
      </c>
      <c r="D3304" s="96">
        <v>0</v>
      </c>
      <c r="E3304" s="96">
        <v>0</v>
      </c>
      <c r="F3304" s="96">
        <v>0</v>
      </c>
      <c r="G3304" s="96">
        <v>0</v>
      </c>
      <c r="H3304" s="96">
        <v>0</v>
      </c>
      <c r="I3304" s="96">
        <v>0</v>
      </c>
      <c r="J3304" s="96">
        <v>0</v>
      </c>
    </row>
    <row r="3305" spans="1:10">
      <c r="A3305" s="95" t="s">
        <v>15</v>
      </c>
      <c r="B3305" s="95" t="s">
        <v>14</v>
      </c>
      <c r="C3305" s="51">
        <v>0.75208333333333299</v>
      </c>
      <c r="D3305" s="96">
        <v>0</v>
      </c>
      <c r="E3305" s="96">
        <v>0</v>
      </c>
      <c r="F3305" s="96">
        <v>0</v>
      </c>
      <c r="G3305" s="96">
        <v>0</v>
      </c>
      <c r="H3305" s="96">
        <v>0</v>
      </c>
      <c r="I3305" s="96">
        <v>0</v>
      </c>
      <c r="J3305" s="96">
        <v>0</v>
      </c>
    </row>
    <row r="3306" spans="1:10">
      <c r="A3306" s="95" t="s">
        <v>15</v>
      </c>
      <c r="B3306" s="95" t="s">
        <v>14</v>
      </c>
      <c r="C3306" s="51">
        <v>0.75277777777777799</v>
      </c>
      <c r="D3306" s="96">
        <v>0</v>
      </c>
      <c r="E3306" s="96">
        <v>0</v>
      </c>
      <c r="F3306" s="96">
        <v>0</v>
      </c>
      <c r="G3306" s="96">
        <v>0</v>
      </c>
      <c r="H3306" s="96">
        <v>0</v>
      </c>
      <c r="I3306" s="96">
        <v>0</v>
      </c>
      <c r="J3306" s="96">
        <v>0</v>
      </c>
    </row>
    <row r="3307" spans="1:10">
      <c r="A3307" s="95" t="s">
        <v>15</v>
      </c>
      <c r="B3307" s="95" t="s">
        <v>14</v>
      </c>
      <c r="C3307" s="51">
        <v>0.75347222222222199</v>
      </c>
      <c r="D3307" s="96">
        <v>0</v>
      </c>
      <c r="E3307" s="96">
        <v>0</v>
      </c>
      <c r="F3307" s="96">
        <v>0</v>
      </c>
      <c r="G3307" s="96">
        <v>0</v>
      </c>
      <c r="H3307" s="96">
        <v>0</v>
      </c>
      <c r="I3307" s="96">
        <v>0</v>
      </c>
      <c r="J3307" s="96">
        <v>0</v>
      </c>
    </row>
    <row r="3308" spans="1:10">
      <c r="A3308" s="95" t="s">
        <v>15</v>
      </c>
      <c r="B3308" s="95" t="s">
        <v>14</v>
      </c>
      <c r="C3308" s="51">
        <v>0.75416666666666698</v>
      </c>
      <c r="D3308" s="96">
        <v>0</v>
      </c>
      <c r="E3308" s="96">
        <v>0</v>
      </c>
      <c r="F3308" s="96">
        <v>0</v>
      </c>
      <c r="G3308" s="96">
        <v>0</v>
      </c>
      <c r="H3308" s="96">
        <v>0</v>
      </c>
      <c r="I3308" s="96">
        <v>0</v>
      </c>
      <c r="J3308" s="96">
        <v>0</v>
      </c>
    </row>
    <row r="3309" spans="1:10">
      <c r="A3309" s="95" t="s">
        <v>15</v>
      </c>
      <c r="B3309" s="95" t="s">
        <v>14</v>
      </c>
      <c r="C3309" s="51">
        <v>0.75486111111111098</v>
      </c>
      <c r="D3309" s="96">
        <v>0</v>
      </c>
      <c r="E3309" s="96">
        <v>0</v>
      </c>
      <c r="F3309" s="96">
        <v>0</v>
      </c>
      <c r="G3309" s="96">
        <v>0</v>
      </c>
      <c r="H3309" s="96">
        <v>0</v>
      </c>
      <c r="I3309" s="96">
        <v>0</v>
      </c>
      <c r="J3309" s="96">
        <v>0</v>
      </c>
    </row>
    <row r="3310" spans="1:10">
      <c r="A3310" s="95" t="s">
        <v>15</v>
      </c>
      <c r="B3310" s="95" t="s">
        <v>14</v>
      </c>
      <c r="C3310" s="51">
        <v>0.75555555555555498</v>
      </c>
      <c r="D3310" s="96">
        <v>0</v>
      </c>
      <c r="E3310" s="96">
        <v>0</v>
      </c>
      <c r="F3310" s="96">
        <v>0</v>
      </c>
      <c r="G3310" s="96">
        <v>0</v>
      </c>
      <c r="H3310" s="96">
        <v>0</v>
      </c>
      <c r="I3310" s="96">
        <v>0</v>
      </c>
      <c r="J3310" s="96">
        <v>0</v>
      </c>
    </row>
    <row r="3311" spans="1:10">
      <c r="A3311" s="95" t="s">
        <v>15</v>
      </c>
      <c r="B3311" s="95" t="s">
        <v>14</v>
      </c>
      <c r="C3311" s="51">
        <v>0.75624999999999998</v>
      </c>
      <c r="D3311" s="96">
        <v>0</v>
      </c>
      <c r="E3311" s="96">
        <v>0</v>
      </c>
      <c r="F3311" s="96">
        <v>0</v>
      </c>
      <c r="G3311" s="96">
        <v>0</v>
      </c>
      <c r="H3311" s="96">
        <v>0</v>
      </c>
      <c r="I3311" s="96">
        <v>0</v>
      </c>
      <c r="J3311" s="96">
        <v>0</v>
      </c>
    </row>
    <row r="3312" spans="1:10">
      <c r="A3312" s="95" t="s">
        <v>15</v>
      </c>
      <c r="B3312" s="95" t="s">
        <v>14</v>
      </c>
      <c r="C3312" s="51">
        <v>0.75694444444444398</v>
      </c>
      <c r="D3312" s="96">
        <v>0</v>
      </c>
      <c r="E3312" s="96">
        <v>0</v>
      </c>
      <c r="F3312" s="96">
        <v>0</v>
      </c>
      <c r="G3312" s="96">
        <v>0</v>
      </c>
      <c r="H3312" s="96">
        <v>0</v>
      </c>
      <c r="I3312" s="96">
        <v>0</v>
      </c>
      <c r="J3312" s="96">
        <v>0</v>
      </c>
    </row>
    <row r="3313" spans="1:10">
      <c r="A3313" s="95" t="s">
        <v>15</v>
      </c>
      <c r="B3313" s="95" t="s">
        <v>14</v>
      </c>
      <c r="C3313" s="51">
        <v>0.75763888888888897</v>
      </c>
      <c r="D3313" s="96">
        <v>0</v>
      </c>
      <c r="E3313" s="96">
        <v>0</v>
      </c>
      <c r="F3313" s="96">
        <v>0</v>
      </c>
      <c r="G3313" s="96">
        <v>0</v>
      </c>
      <c r="H3313" s="96">
        <v>0</v>
      </c>
      <c r="I3313" s="96">
        <v>0</v>
      </c>
      <c r="J3313" s="96">
        <v>0</v>
      </c>
    </row>
    <row r="3314" spans="1:10">
      <c r="A3314" s="95" t="s">
        <v>15</v>
      </c>
      <c r="B3314" s="95" t="s">
        <v>14</v>
      </c>
      <c r="C3314" s="51">
        <v>0.75833333333333297</v>
      </c>
      <c r="D3314" s="96">
        <v>0</v>
      </c>
      <c r="E3314" s="96">
        <v>0</v>
      </c>
      <c r="F3314" s="96">
        <v>0</v>
      </c>
      <c r="G3314" s="96">
        <v>0</v>
      </c>
      <c r="H3314" s="96">
        <v>0</v>
      </c>
      <c r="I3314" s="96">
        <v>0</v>
      </c>
      <c r="J3314" s="96">
        <v>0</v>
      </c>
    </row>
    <row r="3315" spans="1:10">
      <c r="A3315" s="95" t="s">
        <v>15</v>
      </c>
      <c r="B3315" s="95" t="s">
        <v>14</v>
      </c>
      <c r="C3315" s="51">
        <v>0.75902777777777797</v>
      </c>
      <c r="D3315" s="96">
        <v>0</v>
      </c>
      <c r="E3315" s="96">
        <v>0</v>
      </c>
      <c r="F3315" s="96">
        <v>0</v>
      </c>
      <c r="G3315" s="96">
        <v>0</v>
      </c>
      <c r="H3315" s="96">
        <v>0</v>
      </c>
      <c r="I3315" s="96">
        <v>0</v>
      </c>
      <c r="J3315" s="96">
        <v>0</v>
      </c>
    </row>
    <row r="3316" spans="1:10" s="80" customFormat="1">
      <c r="A3316" s="97" t="s">
        <v>15</v>
      </c>
      <c r="B3316" s="97" t="s">
        <v>14</v>
      </c>
      <c r="C3316" s="98">
        <v>0.75972222222222197</v>
      </c>
      <c r="D3316" s="99">
        <v>0</v>
      </c>
      <c r="E3316" s="99">
        <v>0</v>
      </c>
      <c r="F3316" s="99">
        <v>0</v>
      </c>
      <c r="G3316" s="99">
        <v>0</v>
      </c>
      <c r="H3316" s="99">
        <v>0</v>
      </c>
      <c r="I3316" s="99">
        <v>0</v>
      </c>
      <c r="J3316" s="99">
        <v>0</v>
      </c>
    </row>
    <row r="3317" spans="1:10">
      <c r="A3317" s="95" t="s">
        <v>15</v>
      </c>
      <c r="B3317" s="95" t="s">
        <v>14</v>
      </c>
      <c r="C3317" s="51">
        <v>0.76041666666666696</v>
      </c>
      <c r="D3317" s="96">
        <v>0</v>
      </c>
      <c r="E3317" s="96">
        <v>0</v>
      </c>
      <c r="F3317" s="96">
        <v>0</v>
      </c>
      <c r="G3317" s="96">
        <v>0</v>
      </c>
      <c r="H3317" s="96">
        <v>0</v>
      </c>
      <c r="I3317" s="96">
        <v>0</v>
      </c>
      <c r="J3317" s="96">
        <v>0</v>
      </c>
    </row>
    <row r="3318" spans="1:10">
      <c r="A3318" s="95" t="s">
        <v>15</v>
      </c>
      <c r="B3318" s="95" t="s">
        <v>14</v>
      </c>
      <c r="C3318" s="51">
        <v>0.76111111111111096</v>
      </c>
      <c r="D3318" s="96">
        <v>0</v>
      </c>
      <c r="E3318" s="96">
        <v>0</v>
      </c>
      <c r="F3318" s="96">
        <v>0</v>
      </c>
      <c r="G3318" s="96">
        <v>0</v>
      </c>
      <c r="H3318" s="96">
        <v>0</v>
      </c>
      <c r="I3318" s="96">
        <v>0</v>
      </c>
      <c r="J3318" s="96">
        <v>0</v>
      </c>
    </row>
    <row r="3319" spans="1:10">
      <c r="A3319" s="95" t="s">
        <v>15</v>
      </c>
      <c r="B3319" s="95" t="s">
        <v>14</v>
      </c>
      <c r="C3319" s="51">
        <v>0.76180555555555496</v>
      </c>
      <c r="D3319" s="96">
        <v>0</v>
      </c>
      <c r="E3319" s="96">
        <v>0</v>
      </c>
      <c r="F3319" s="96">
        <v>0</v>
      </c>
      <c r="G3319" s="96">
        <v>0</v>
      </c>
      <c r="H3319" s="96">
        <v>0</v>
      </c>
      <c r="I3319" s="96">
        <v>0</v>
      </c>
      <c r="J3319" s="96">
        <v>0</v>
      </c>
    </row>
    <row r="3320" spans="1:10">
      <c r="A3320" s="95" t="s">
        <v>15</v>
      </c>
      <c r="B3320" s="95" t="s">
        <v>14</v>
      </c>
      <c r="C3320" s="51">
        <v>0.76249999999999996</v>
      </c>
      <c r="D3320" s="96">
        <v>0</v>
      </c>
      <c r="E3320" s="96">
        <v>0</v>
      </c>
      <c r="F3320" s="96">
        <v>0</v>
      </c>
      <c r="G3320" s="96">
        <v>0</v>
      </c>
      <c r="H3320" s="96">
        <v>0</v>
      </c>
      <c r="I3320" s="96">
        <v>0</v>
      </c>
      <c r="J3320" s="96">
        <v>0</v>
      </c>
    </row>
    <row r="3321" spans="1:10">
      <c r="A3321" s="95" t="s">
        <v>15</v>
      </c>
      <c r="B3321" s="95" t="s">
        <v>14</v>
      </c>
      <c r="C3321" s="51">
        <v>0.76319444444444395</v>
      </c>
      <c r="D3321" s="96">
        <v>0</v>
      </c>
      <c r="E3321" s="96">
        <v>0</v>
      </c>
      <c r="F3321" s="96">
        <v>0</v>
      </c>
      <c r="G3321" s="96">
        <v>0</v>
      </c>
      <c r="H3321" s="96">
        <v>0</v>
      </c>
      <c r="I3321" s="96">
        <v>0</v>
      </c>
      <c r="J3321" s="96">
        <v>0</v>
      </c>
    </row>
    <row r="3322" spans="1:10">
      <c r="A3322" s="95" t="s">
        <v>15</v>
      </c>
      <c r="B3322" s="95" t="s">
        <v>14</v>
      </c>
      <c r="C3322" s="51">
        <v>0.76388888888888895</v>
      </c>
      <c r="D3322" s="96">
        <v>0</v>
      </c>
      <c r="E3322" s="96">
        <v>0</v>
      </c>
      <c r="F3322" s="96">
        <v>0</v>
      </c>
      <c r="G3322" s="96">
        <v>0</v>
      </c>
      <c r="H3322" s="96">
        <v>0</v>
      </c>
      <c r="I3322" s="96">
        <v>0</v>
      </c>
      <c r="J3322" s="96">
        <v>0</v>
      </c>
    </row>
    <row r="3323" spans="1:10">
      <c r="A3323" s="95" t="s">
        <v>15</v>
      </c>
      <c r="B3323" s="95" t="s">
        <v>14</v>
      </c>
      <c r="C3323" s="51">
        <v>0.76458333333333295</v>
      </c>
      <c r="D3323" s="96">
        <v>0</v>
      </c>
      <c r="E3323" s="96">
        <v>0</v>
      </c>
      <c r="F3323" s="96">
        <v>0</v>
      </c>
      <c r="G3323" s="96">
        <v>0</v>
      </c>
      <c r="H3323" s="96">
        <v>0</v>
      </c>
      <c r="I3323" s="96">
        <v>0</v>
      </c>
      <c r="J3323" s="96">
        <v>0</v>
      </c>
    </row>
    <row r="3324" spans="1:10">
      <c r="A3324" s="95" t="s">
        <v>15</v>
      </c>
      <c r="B3324" s="95" t="s">
        <v>14</v>
      </c>
      <c r="C3324" s="51">
        <v>0.76527777777777795</v>
      </c>
      <c r="D3324" s="96">
        <v>0</v>
      </c>
      <c r="E3324" s="96">
        <v>0</v>
      </c>
      <c r="F3324" s="96">
        <v>0</v>
      </c>
      <c r="G3324" s="96">
        <v>0</v>
      </c>
      <c r="H3324" s="96">
        <v>0</v>
      </c>
      <c r="I3324" s="96">
        <v>0</v>
      </c>
      <c r="J3324" s="96">
        <v>0</v>
      </c>
    </row>
    <row r="3325" spans="1:10">
      <c r="A3325" s="95" t="s">
        <v>15</v>
      </c>
      <c r="B3325" s="95" t="s">
        <v>14</v>
      </c>
      <c r="C3325" s="51">
        <v>0.76597222222222205</v>
      </c>
      <c r="D3325" s="96">
        <v>0</v>
      </c>
      <c r="E3325" s="96">
        <v>0</v>
      </c>
      <c r="F3325" s="96">
        <v>0</v>
      </c>
      <c r="G3325" s="96">
        <v>0</v>
      </c>
      <c r="H3325" s="96">
        <v>0</v>
      </c>
      <c r="I3325" s="96">
        <v>0</v>
      </c>
      <c r="J3325" s="96">
        <v>0</v>
      </c>
    </row>
    <row r="3326" spans="1:10">
      <c r="A3326" s="95" t="s">
        <v>15</v>
      </c>
      <c r="B3326" s="95" t="s">
        <v>14</v>
      </c>
      <c r="C3326" s="51">
        <v>0.76666666666666605</v>
      </c>
      <c r="D3326" s="96">
        <v>0</v>
      </c>
      <c r="E3326" s="96">
        <v>0</v>
      </c>
      <c r="F3326" s="96">
        <v>0</v>
      </c>
      <c r="G3326" s="96">
        <v>0</v>
      </c>
      <c r="H3326" s="96">
        <v>0</v>
      </c>
      <c r="I3326" s="96">
        <v>0</v>
      </c>
      <c r="J3326" s="96">
        <v>0</v>
      </c>
    </row>
    <row r="3327" spans="1:10">
      <c r="A3327" s="95" t="s">
        <v>15</v>
      </c>
      <c r="B3327" s="95" t="s">
        <v>14</v>
      </c>
      <c r="C3327" s="51">
        <v>0.76736111111111105</v>
      </c>
      <c r="D3327" s="96">
        <v>0</v>
      </c>
      <c r="E3327" s="96">
        <v>0</v>
      </c>
      <c r="F3327" s="96">
        <v>0</v>
      </c>
      <c r="G3327" s="96">
        <v>0</v>
      </c>
      <c r="H3327" s="96">
        <v>0</v>
      </c>
      <c r="I3327" s="96">
        <v>0</v>
      </c>
      <c r="J3327" s="96">
        <v>0</v>
      </c>
    </row>
    <row r="3328" spans="1:10">
      <c r="A3328" s="95" t="s">
        <v>15</v>
      </c>
      <c r="B3328" s="95" t="s">
        <v>14</v>
      </c>
      <c r="C3328" s="51">
        <v>0.76805555555555505</v>
      </c>
      <c r="D3328" s="96">
        <v>0</v>
      </c>
      <c r="E3328" s="96">
        <v>0</v>
      </c>
      <c r="F3328" s="96">
        <v>0</v>
      </c>
      <c r="G3328" s="96">
        <v>0</v>
      </c>
      <c r="H3328" s="96">
        <v>0</v>
      </c>
      <c r="I3328" s="96">
        <v>0</v>
      </c>
      <c r="J3328" s="96">
        <v>0</v>
      </c>
    </row>
    <row r="3329" spans="1:10">
      <c r="A3329" s="95" t="s">
        <v>15</v>
      </c>
      <c r="B3329" s="95" t="s">
        <v>14</v>
      </c>
      <c r="C3329" s="51">
        <v>0.76875000000000004</v>
      </c>
      <c r="D3329" s="96">
        <v>0</v>
      </c>
      <c r="E3329" s="96">
        <v>0</v>
      </c>
      <c r="F3329" s="96">
        <v>0</v>
      </c>
      <c r="G3329" s="96">
        <v>0</v>
      </c>
      <c r="H3329" s="96">
        <v>0</v>
      </c>
      <c r="I3329" s="96">
        <v>0</v>
      </c>
      <c r="J3329" s="96">
        <v>0</v>
      </c>
    </row>
    <row r="3330" spans="1:10">
      <c r="A3330" s="95" t="s">
        <v>15</v>
      </c>
      <c r="B3330" s="95" t="s">
        <v>14</v>
      </c>
      <c r="C3330" s="51">
        <v>0.76944444444444404</v>
      </c>
      <c r="D3330" s="96">
        <v>0</v>
      </c>
      <c r="E3330" s="96">
        <v>0</v>
      </c>
      <c r="F3330" s="96">
        <v>0</v>
      </c>
      <c r="G3330" s="96">
        <v>0</v>
      </c>
      <c r="H3330" s="96">
        <v>0</v>
      </c>
      <c r="I3330" s="96">
        <v>0</v>
      </c>
      <c r="J3330" s="96">
        <v>0</v>
      </c>
    </row>
    <row r="3331" spans="1:10" s="80" customFormat="1">
      <c r="A3331" s="97" t="s">
        <v>15</v>
      </c>
      <c r="B3331" s="97" t="s">
        <v>14</v>
      </c>
      <c r="C3331" s="98">
        <v>0.77013888888888904</v>
      </c>
      <c r="D3331" s="99">
        <v>0</v>
      </c>
      <c r="E3331" s="99">
        <v>0</v>
      </c>
      <c r="F3331" s="99">
        <v>0</v>
      </c>
      <c r="G3331" s="99">
        <v>0</v>
      </c>
      <c r="H3331" s="99">
        <v>0</v>
      </c>
      <c r="I3331" s="99">
        <v>0</v>
      </c>
      <c r="J3331" s="99">
        <v>0</v>
      </c>
    </row>
    <row r="3332" spans="1:10">
      <c r="A3332" s="95" t="s">
        <v>15</v>
      </c>
      <c r="B3332" s="95" t="s">
        <v>14</v>
      </c>
      <c r="C3332" s="51">
        <v>0.77083333333333304</v>
      </c>
      <c r="D3332" s="96">
        <v>0</v>
      </c>
      <c r="E3332" s="96">
        <v>0</v>
      </c>
      <c r="F3332" s="96">
        <v>0</v>
      </c>
      <c r="G3332" s="96">
        <v>0</v>
      </c>
      <c r="H3332" s="96">
        <v>0</v>
      </c>
      <c r="I3332" s="96">
        <v>0</v>
      </c>
      <c r="J3332" s="96">
        <v>0</v>
      </c>
    </row>
    <row r="3333" spans="1:10">
      <c r="A3333" s="95" t="s">
        <v>15</v>
      </c>
      <c r="B3333" s="95" t="s">
        <v>14</v>
      </c>
      <c r="C3333" s="51">
        <v>0.77152777777777803</v>
      </c>
      <c r="D3333" s="96">
        <v>0</v>
      </c>
      <c r="E3333" s="96">
        <v>0</v>
      </c>
      <c r="F3333" s="96">
        <v>0</v>
      </c>
      <c r="G3333" s="96">
        <v>0</v>
      </c>
      <c r="H3333" s="96">
        <v>0</v>
      </c>
      <c r="I3333" s="96">
        <v>0</v>
      </c>
      <c r="J3333" s="96">
        <v>0</v>
      </c>
    </row>
    <row r="3334" spans="1:10">
      <c r="A3334" s="95" t="s">
        <v>15</v>
      </c>
      <c r="B3334" s="95" t="s">
        <v>14</v>
      </c>
      <c r="C3334" s="51">
        <v>0.77222222222222203</v>
      </c>
      <c r="D3334" s="96">
        <v>0</v>
      </c>
      <c r="E3334" s="96">
        <v>0</v>
      </c>
      <c r="F3334" s="96">
        <v>0</v>
      </c>
      <c r="G3334" s="96">
        <v>0</v>
      </c>
      <c r="H3334" s="96">
        <v>0</v>
      </c>
      <c r="I3334" s="96">
        <v>0</v>
      </c>
      <c r="J3334" s="96">
        <v>0</v>
      </c>
    </row>
    <row r="3335" spans="1:10">
      <c r="A3335" s="95" t="s">
        <v>15</v>
      </c>
      <c r="B3335" s="95" t="s">
        <v>14</v>
      </c>
      <c r="C3335" s="51">
        <v>0.77291666666666603</v>
      </c>
      <c r="D3335" s="96">
        <v>0</v>
      </c>
      <c r="E3335" s="96">
        <v>0</v>
      </c>
      <c r="F3335" s="96">
        <v>0</v>
      </c>
      <c r="G3335" s="96">
        <v>0</v>
      </c>
      <c r="H3335" s="96">
        <v>0</v>
      </c>
      <c r="I3335" s="96">
        <v>0</v>
      </c>
      <c r="J3335" s="96">
        <v>0</v>
      </c>
    </row>
    <row r="3336" spans="1:10">
      <c r="A3336" s="95" t="s">
        <v>15</v>
      </c>
      <c r="B3336" s="95" t="s">
        <v>14</v>
      </c>
      <c r="C3336" s="51">
        <v>0.77361111111111103</v>
      </c>
      <c r="D3336" s="96">
        <v>0</v>
      </c>
      <c r="E3336" s="96">
        <v>0</v>
      </c>
      <c r="F3336" s="96">
        <v>0</v>
      </c>
      <c r="G3336" s="96">
        <v>0</v>
      </c>
      <c r="H3336" s="96">
        <v>0</v>
      </c>
      <c r="I3336" s="96">
        <v>0</v>
      </c>
      <c r="J3336" s="96">
        <v>0</v>
      </c>
    </row>
    <row r="3337" spans="1:10">
      <c r="A3337" s="95" t="s">
        <v>15</v>
      </c>
      <c r="B3337" s="95" t="s">
        <v>14</v>
      </c>
      <c r="C3337" s="51">
        <v>0.77430555555555503</v>
      </c>
      <c r="D3337" s="96">
        <v>0</v>
      </c>
      <c r="E3337" s="96">
        <v>0</v>
      </c>
      <c r="F3337" s="96">
        <v>0</v>
      </c>
      <c r="G3337" s="96">
        <v>0</v>
      </c>
      <c r="H3337" s="96">
        <v>0</v>
      </c>
      <c r="I3337" s="96">
        <v>0</v>
      </c>
      <c r="J3337" s="96">
        <v>0</v>
      </c>
    </row>
    <row r="3338" spans="1:10">
      <c r="A3338" s="95" t="s">
        <v>15</v>
      </c>
      <c r="B3338" s="95" t="s">
        <v>14</v>
      </c>
      <c r="C3338" s="51">
        <v>0.77500000000000002</v>
      </c>
      <c r="D3338" s="96">
        <v>0</v>
      </c>
      <c r="E3338" s="96">
        <v>0</v>
      </c>
      <c r="F3338" s="96">
        <v>0</v>
      </c>
      <c r="G3338" s="96">
        <v>0</v>
      </c>
      <c r="H3338" s="96">
        <v>0</v>
      </c>
      <c r="I3338" s="96">
        <v>0</v>
      </c>
      <c r="J3338" s="96">
        <v>0</v>
      </c>
    </row>
    <row r="3339" spans="1:10">
      <c r="A3339" s="95" t="s">
        <v>15</v>
      </c>
      <c r="B3339" s="95" t="s">
        <v>14</v>
      </c>
      <c r="C3339" s="51">
        <v>0.77569444444444402</v>
      </c>
      <c r="D3339" s="96">
        <v>0</v>
      </c>
      <c r="E3339" s="96">
        <v>0</v>
      </c>
      <c r="F3339" s="96">
        <v>0</v>
      </c>
      <c r="G3339" s="96">
        <v>0</v>
      </c>
      <c r="H3339" s="96">
        <v>0</v>
      </c>
      <c r="I3339" s="96">
        <v>0</v>
      </c>
      <c r="J3339" s="96">
        <v>0</v>
      </c>
    </row>
    <row r="3340" spans="1:10">
      <c r="A3340" s="95" t="s">
        <v>15</v>
      </c>
      <c r="B3340" s="95" t="s">
        <v>14</v>
      </c>
      <c r="C3340" s="51">
        <v>0.77638888888888902</v>
      </c>
      <c r="D3340" s="96">
        <v>0</v>
      </c>
      <c r="E3340" s="96">
        <v>0</v>
      </c>
      <c r="F3340" s="96">
        <v>0</v>
      </c>
      <c r="G3340" s="96">
        <v>0</v>
      </c>
      <c r="H3340" s="96">
        <v>0</v>
      </c>
      <c r="I3340" s="96">
        <v>0</v>
      </c>
      <c r="J3340" s="96">
        <v>0</v>
      </c>
    </row>
    <row r="3341" spans="1:10">
      <c r="A3341" s="95" t="s">
        <v>15</v>
      </c>
      <c r="B3341" s="95" t="s">
        <v>14</v>
      </c>
      <c r="C3341" s="51">
        <v>0.77708333333333302</v>
      </c>
      <c r="D3341" s="96">
        <v>0</v>
      </c>
      <c r="E3341" s="96">
        <v>0</v>
      </c>
      <c r="F3341" s="96">
        <v>0</v>
      </c>
      <c r="G3341" s="96">
        <v>0</v>
      </c>
      <c r="H3341" s="96">
        <v>0</v>
      </c>
      <c r="I3341" s="96">
        <v>0</v>
      </c>
      <c r="J3341" s="96">
        <v>0</v>
      </c>
    </row>
    <row r="3342" spans="1:10">
      <c r="A3342" s="95" t="s">
        <v>15</v>
      </c>
      <c r="B3342" s="95" t="s">
        <v>14</v>
      </c>
      <c r="C3342" s="51">
        <v>0.77777777777777801</v>
      </c>
      <c r="D3342" s="96">
        <v>0</v>
      </c>
      <c r="E3342" s="96">
        <v>0</v>
      </c>
      <c r="F3342" s="96">
        <v>0</v>
      </c>
      <c r="G3342" s="96">
        <v>0</v>
      </c>
      <c r="H3342" s="96">
        <v>0</v>
      </c>
      <c r="I3342" s="96">
        <v>0</v>
      </c>
      <c r="J3342" s="96">
        <v>0</v>
      </c>
    </row>
    <row r="3343" spans="1:10">
      <c r="A3343" s="95" t="s">
        <v>15</v>
      </c>
      <c r="B3343" s="95" t="s">
        <v>14</v>
      </c>
      <c r="C3343" s="51">
        <v>0.77847222222222201</v>
      </c>
      <c r="D3343" s="96">
        <v>0</v>
      </c>
      <c r="E3343" s="96">
        <v>0</v>
      </c>
      <c r="F3343" s="96">
        <v>0</v>
      </c>
      <c r="G3343" s="96">
        <v>0</v>
      </c>
      <c r="H3343" s="96">
        <v>0</v>
      </c>
      <c r="I3343" s="96">
        <v>0</v>
      </c>
      <c r="J3343" s="96">
        <v>0</v>
      </c>
    </row>
    <row r="3344" spans="1:10">
      <c r="A3344" s="95" t="s">
        <v>15</v>
      </c>
      <c r="B3344" s="95" t="s">
        <v>14</v>
      </c>
      <c r="C3344" s="51">
        <v>0.77916666666666601</v>
      </c>
      <c r="D3344" s="96">
        <v>0</v>
      </c>
      <c r="E3344" s="96">
        <v>0</v>
      </c>
      <c r="F3344" s="96">
        <v>0</v>
      </c>
      <c r="G3344" s="96">
        <v>0</v>
      </c>
      <c r="H3344" s="96">
        <v>0</v>
      </c>
      <c r="I3344" s="96">
        <v>0</v>
      </c>
      <c r="J3344" s="96">
        <v>0</v>
      </c>
    </row>
    <row r="3345" spans="1:10">
      <c r="A3345" s="95" t="s">
        <v>15</v>
      </c>
      <c r="B3345" s="95" t="s">
        <v>14</v>
      </c>
      <c r="C3345" s="51">
        <v>0.77986111111111101</v>
      </c>
      <c r="D3345" s="96">
        <v>0</v>
      </c>
      <c r="E3345" s="96">
        <v>0</v>
      </c>
      <c r="F3345" s="96">
        <v>0</v>
      </c>
      <c r="G3345" s="96">
        <v>0</v>
      </c>
      <c r="H3345" s="96">
        <v>0</v>
      </c>
      <c r="I3345" s="96">
        <v>0</v>
      </c>
      <c r="J3345" s="96">
        <v>0</v>
      </c>
    </row>
    <row r="3346" spans="1:10" s="80" customFormat="1">
      <c r="A3346" s="97" t="s">
        <v>15</v>
      </c>
      <c r="B3346" s="97" t="s">
        <v>14</v>
      </c>
      <c r="C3346" s="98">
        <v>0.780555555555555</v>
      </c>
      <c r="D3346" s="99">
        <v>0</v>
      </c>
      <c r="E3346" s="99">
        <v>0</v>
      </c>
      <c r="F3346" s="99">
        <v>0</v>
      </c>
      <c r="G3346" s="99">
        <v>0</v>
      </c>
      <c r="H3346" s="99">
        <v>0</v>
      </c>
      <c r="I3346" s="99">
        <v>0</v>
      </c>
      <c r="J3346" s="99">
        <v>0</v>
      </c>
    </row>
    <row r="3347" spans="1:10">
      <c r="A3347" s="95" t="s">
        <v>15</v>
      </c>
      <c r="B3347" s="95" t="s">
        <v>14</v>
      </c>
      <c r="C3347" s="51">
        <v>0.78125</v>
      </c>
      <c r="D3347" s="96">
        <v>0</v>
      </c>
      <c r="E3347" s="96">
        <v>0</v>
      </c>
      <c r="F3347" s="96">
        <v>0</v>
      </c>
      <c r="G3347" s="96">
        <v>0</v>
      </c>
      <c r="H3347" s="96">
        <v>0</v>
      </c>
      <c r="I3347" s="96">
        <v>0</v>
      </c>
      <c r="J3347" s="96">
        <v>0</v>
      </c>
    </row>
    <row r="3348" spans="1:10">
      <c r="A3348" s="95" t="s">
        <v>15</v>
      </c>
      <c r="B3348" s="95" t="s">
        <v>14</v>
      </c>
      <c r="C3348" s="51">
        <v>0.781944444444444</v>
      </c>
      <c r="D3348" s="96">
        <v>0</v>
      </c>
      <c r="E3348" s="96">
        <v>0</v>
      </c>
      <c r="F3348" s="96">
        <v>0</v>
      </c>
      <c r="G3348" s="96">
        <v>0</v>
      </c>
      <c r="H3348" s="96">
        <v>0</v>
      </c>
      <c r="I3348" s="96">
        <v>0</v>
      </c>
      <c r="J3348" s="96">
        <v>0</v>
      </c>
    </row>
    <row r="3349" spans="1:10">
      <c r="A3349" s="95" t="s">
        <v>15</v>
      </c>
      <c r="B3349" s="95" t="s">
        <v>14</v>
      </c>
      <c r="C3349" s="51">
        <v>0.78263888888888899</v>
      </c>
      <c r="D3349" s="96">
        <v>0</v>
      </c>
      <c r="E3349" s="96">
        <v>0</v>
      </c>
      <c r="F3349" s="96">
        <v>0</v>
      </c>
      <c r="G3349" s="96">
        <v>0</v>
      </c>
      <c r="H3349" s="96">
        <v>0</v>
      </c>
      <c r="I3349" s="96">
        <v>0</v>
      </c>
      <c r="J3349" s="96">
        <v>0</v>
      </c>
    </row>
    <row r="3350" spans="1:10">
      <c r="A3350" s="95" t="s">
        <v>15</v>
      </c>
      <c r="B3350" s="95" t="s">
        <v>14</v>
      </c>
      <c r="C3350" s="51">
        <v>0.78333333333333299</v>
      </c>
      <c r="D3350" s="96">
        <v>0</v>
      </c>
      <c r="E3350" s="96">
        <v>0</v>
      </c>
      <c r="F3350" s="96">
        <v>0</v>
      </c>
      <c r="G3350" s="96">
        <v>0</v>
      </c>
      <c r="H3350" s="96">
        <v>0</v>
      </c>
      <c r="I3350" s="96">
        <v>0</v>
      </c>
      <c r="J3350" s="96">
        <v>0</v>
      </c>
    </row>
    <row r="3351" spans="1:10">
      <c r="A3351" s="95" t="s">
        <v>15</v>
      </c>
      <c r="B3351" s="95" t="s">
        <v>14</v>
      </c>
      <c r="C3351" s="51">
        <v>0.78402777777777799</v>
      </c>
      <c r="D3351" s="96">
        <v>0</v>
      </c>
      <c r="E3351" s="96">
        <v>0</v>
      </c>
      <c r="F3351" s="96">
        <v>0</v>
      </c>
      <c r="G3351" s="96">
        <v>0</v>
      </c>
      <c r="H3351" s="96">
        <v>0</v>
      </c>
      <c r="I3351" s="96">
        <v>0</v>
      </c>
      <c r="J3351" s="96">
        <v>0</v>
      </c>
    </row>
    <row r="3352" spans="1:10">
      <c r="A3352" s="95" t="s">
        <v>15</v>
      </c>
      <c r="B3352" s="95" t="s">
        <v>14</v>
      </c>
      <c r="C3352" s="51">
        <v>0.78472222222222199</v>
      </c>
      <c r="D3352" s="96">
        <v>0</v>
      </c>
      <c r="E3352" s="96">
        <v>0</v>
      </c>
      <c r="F3352" s="96">
        <v>0</v>
      </c>
      <c r="G3352" s="96">
        <v>0</v>
      </c>
      <c r="H3352" s="96">
        <v>0</v>
      </c>
      <c r="I3352" s="96">
        <v>0</v>
      </c>
      <c r="J3352" s="96">
        <v>0</v>
      </c>
    </row>
    <row r="3353" spans="1:10">
      <c r="A3353" s="95" t="s">
        <v>15</v>
      </c>
      <c r="B3353" s="95" t="s">
        <v>14</v>
      </c>
      <c r="C3353" s="51">
        <v>0.78541666666666599</v>
      </c>
      <c r="D3353" s="96">
        <v>0</v>
      </c>
      <c r="E3353" s="96">
        <v>0</v>
      </c>
      <c r="F3353" s="96">
        <v>0</v>
      </c>
      <c r="G3353" s="96">
        <v>0</v>
      </c>
      <c r="H3353" s="96">
        <v>0</v>
      </c>
      <c r="I3353" s="96">
        <v>0</v>
      </c>
      <c r="J3353" s="96">
        <v>0</v>
      </c>
    </row>
    <row r="3354" spans="1:10">
      <c r="A3354" s="95" t="s">
        <v>15</v>
      </c>
      <c r="B3354" s="95" t="s">
        <v>14</v>
      </c>
      <c r="C3354" s="51">
        <v>0.78611111111111098</v>
      </c>
      <c r="D3354" s="96">
        <v>0</v>
      </c>
      <c r="E3354" s="96">
        <v>0</v>
      </c>
      <c r="F3354" s="96">
        <v>0</v>
      </c>
      <c r="G3354" s="96">
        <v>0</v>
      </c>
      <c r="H3354" s="96">
        <v>0</v>
      </c>
      <c r="I3354" s="96">
        <v>0</v>
      </c>
      <c r="J3354" s="96">
        <v>0</v>
      </c>
    </row>
    <row r="3355" spans="1:10">
      <c r="A3355" s="95" t="s">
        <v>15</v>
      </c>
      <c r="B3355" s="95" t="s">
        <v>14</v>
      </c>
      <c r="C3355" s="51">
        <v>0.78680555555555498</v>
      </c>
      <c r="D3355" s="96">
        <v>0</v>
      </c>
      <c r="E3355" s="96">
        <v>0</v>
      </c>
      <c r="F3355" s="96">
        <v>0</v>
      </c>
      <c r="G3355" s="96">
        <v>0</v>
      </c>
      <c r="H3355" s="96">
        <v>0</v>
      </c>
      <c r="I3355" s="96">
        <v>0</v>
      </c>
      <c r="J3355" s="96">
        <v>0</v>
      </c>
    </row>
    <row r="3356" spans="1:10">
      <c r="A3356" s="95" t="s">
        <v>15</v>
      </c>
      <c r="B3356" s="95" t="s">
        <v>14</v>
      </c>
      <c r="C3356" s="51">
        <v>0.78749999999999998</v>
      </c>
      <c r="D3356" s="96">
        <v>0</v>
      </c>
      <c r="E3356" s="96">
        <v>0</v>
      </c>
      <c r="F3356" s="96">
        <v>0</v>
      </c>
      <c r="G3356" s="96">
        <v>0</v>
      </c>
      <c r="H3356" s="96">
        <v>0</v>
      </c>
      <c r="I3356" s="96">
        <v>0</v>
      </c>
      <c r="J3356" s="96">
        <v>0</v>
      </c>
    </row>
    <row r="3357" spans="1:10">
      <c r="A3357" s="95" t="s">
        <v>15</v>
      </c>
      <c r="B3357" s="95" t="s">
        <v>14</v>
      </c>
      <c r="C3357" s="51">
        <v>0.78819444444444398</v>
      </c>
      <c r="D3357" s="96">
        <v>0</v>
      </c>
      <c r="E3357" s="96">
        <v>0</v>
      </c>
      <c r="F3357" s="96">
        <v>0</v>
      </c>
      <c r="G3357" s="96">
        <v>0</v>
      </c>
      <c r="H3357" s="96">
        <v>0</v>
      </c>
      <c r="I3357" s="96">
        <v>0</v>
      </c>
      <c r="J3357" s="96">
        <v>0</v>
      </c>
    </row>
    <row r="3358" spans="1:10">
      <c r="A3358" s="95" t="s">
        <v>15</v>
      </c>
      <c r="B3358" s="95" t="s">
        <v>14</v>
      </c>
      <c r="C3358" s="51">
        <v>0.78888888888888897</v>
      </c>
      <c r="D3358" s="96">
        <v>0</v>
      </c>
      <c r="E3358" s="96">
        <v>0</v>
      </c>
      <c r="F3358" s="96">
        <v>0</v>
      </c>
      <c r="G3358" s="96">
        <v>0</v>
      </c>
      <c r="H3358" s="96">
        <v>0</v>
      </c>
      <c r="I3358" s="96">
        <v>0</v>
      </c>
      <c r="J3358" s="96">
        <v>0</v>
      </c>
    </row>
    <row r="3359" spans="1:10">
      <c r="A3359" s="95" t="s">
        <v>15</v>
      </c>
      <c r="B3359" s="95" t="s">
        <v>14</v>
      </c>
      <c r="C3359" s="51">
        <v>0.78958333333333297</v>
      </c>
      <c r="D3359" s="96">
        <v>0</v>
      </c>
      <c r="E3359" s="96">
        <v>0</v>
      </c>
      <c r="F3359" s="96">
        <v>0</v>
      </c>
      <c r="G3359" s="96">
        <v>0</v>
      </c>
      <c r="H3359" s="96">
        <v>0</v>
      </c>
      <c r="I3359" s="96">
        <v>0</v>
      </c>
      <c r="J3359" s="96">
        <v>0</v>
      </c>
    </row>
    <row r="3360" spans="1:10">
      <c r="A3360" s="95" t="s">
        <v>15</v>
      </c>
      <c r="B3360" s="95" t="s">
        <v>14</v>
      </c>
      <c r="C3360" s="51">
        <v>0.79027777777777797</v>
      </c>
      <c r="D3360" s="96">
        <v>0</v>
      </c>
      <c r="E3360" s="96">
        <v>0</v>
      </c>
      <c r="F3360" s="96">
        <v>0</v>
      </c>
      <c r="G3360" s="96">
        <v>0</v>
      </c>
      <c r="H3360" s="96">
        <v>0</v>
      </c>
      <c r="I3360" s="96">
        <v>0</v>
      </c>
      <c r="J3360" s="96">
        <v>0</v>
      </c>
    </row>
    <row r="3361" spans="1:10" s="28" customFormat="1" ht="17.5" thickBot="1">
      <c r="A3361" s="107" t="s">
        <v>15</v>
      </c>
      <c r="B3361" s="107" t="s">
        <v>14</v>
      </c>
      <c r="C3361" s="108">
        <v>0.79097222222222197</v>
      </c>
      <c r="D3361" s="109">
        <v>0</v>
      </c>
      <c r="E3361" s="109">
        <v>0</v>
      </c>
      <c r="F3361" s="109">
        <v>0</v>
      </c>
      <c r="G3361" s="109">
        <v>0</v>
      </c>
      <c r="H3361" s="109">
        <v>0</v>
      </c>
      <c r="I3361" s="109">
        <v>0</v>
      </c>
      <c r="J3361" s="109">
        <v>0</v>
      </c>
    </row>
    <row r="3362" spans="1:10">
      <c r="A3362" s="95" t="s">
        <v>15</v>
      </c>
      <c r="B3362" s="95" t="s">
        <v>124</v>
      </c>
      <c r="C3362" s="51">
        <v>0.70833333333333337</v>
      </c>
      <c r="D3362" s="96">
        <v>0</v>
      </c>
      <c r="E3362" s="96">
        <v>0</v>
      </c>
      <c r="F3362" s="96">
        <v>0</v>
      </c>
      <c r="G3362" s="96">
        <v>0</v>
      </c>
      <c r="H3362" s="96">
        <v>0</v>
      </c>
      <c r="I3362" s="96">
        <v>0</v>
      </c>
      <c r="J3362" s="96">
        <v>0</v>
      </c>
    </row>
    <row r="3363" spans="1:10">
      <c r="A3363" s="95" t="s">
        <v>15</v>
      </c>
      <c r="B3363" s="95" t="s">
        <v>123</v>
      </c>
      <c r="C3363" s="51">
        <v>0.70902777777777781</v>
      </c>
      <c r="D3363" s="96">
        <v>0</v>
      </c>
      <c r="E3363" s="96">
        <v>0</v>
      </c>
      <c r="F3363" s="96">
        <v>0</v>
      </c>
      <c r="G3363" s="96">
        <v>0</v>
      </c>
      <c r="H3363" s="96">
        <v>0</v>
      </c>
      <c r="I3363" s="96">
        <v>0</v>
      </c>
      <c r="J3363" s="96">
        <v>0</v>
      </c>
    </row>
    <row r="3364" spans="1:10">
      <c r="A3364" s="95" t="s">
        <v>15</v>
      </c>
      <c r="B3364" s="95" t="s">
        <v>123</v>
      </c>
      <c r="C3364" s="51">
        <v>0.70972222222222203</v>
      </c>
      <c r="D3364" s="96">
        <v>0</v>
      </c>
      <c r="E3364" s="96">
        <v>0</v>
      </c>
      <c r="F3364" s="96">
        <v>0</v>
      </c>
      <c r="G3364" s="96">
        <v>0</v>
      </c>
      <c r="H3364" s="96">
        <v>0</v>
      </c>
      <c r="I3364" s="96">
        <v>0</v>
      </c>
      <c r="J3364" s="96">
        <v>0</v>
      </c>
    </row>
    <row r="3365" spans="1:10">
      <c r="A3365" s="95" t="s">
        <v>15</v>
      </c>
      <c r="B3365" s="95" t="s">
        <v>123</v>
      </c>
      <c r="C3365" s="51">
        <v>0.71041666666666703</v>
      </c>
      <c r="D3365" s="96">
        <v>0</v>
      </c>
      <c r="E3365" s="96">
        <v>0</v>
      </c>
      <c r="F3365" s="96">
        <v>0</v>
      </c>
      <c r="G3365" s="96">
        <v>0</v>
      </c>
      <c r="H3365" s="96">
        <v>0</v>
      </c>
      <c r="I3365" s="96">
        <v>0</v>
      </c>
      <c r="J3365" s="96">
        <v>0</v>
      </c>
    </row>
    <row r="3366" spans="1:10">
      <c r="A3366" s="95" t="s">
        <v>15</v>
      </c>
      <c r="B3366" s="95" t="s">
        <v>123</v>
      </c>
      <c r="C3366" s="51">
        <v>0.71111111111111103</v>
      </c>
      <c r="D3366" s="96">
        <v>0</v>
      </c>
      <c r="E3366" s="96">
        <v>0</v>
      </c>
      <c r="F3366" s="96">
        <v>0</v>
      </c>
      <c r="G3366" s="96">
        <v>0</v>
      </c>
      <c r="H3366" s="96">
        <v>0</v>
      </c>
      <c r="I3366" s="96">
        <v>0</v>
      </c>
      <c r="J3366" s="96">
        <v>0</v>
      </c>
    </row>
    <row r="3367" spans="1:10">
      <c r="A3367" s="95" t="s">
        <v>15</v>
      </c>
      <c r="B3367" s="95" t="s">
        <v>123</v>
      </c>
      <c r="C3367" s="51">
        <v>0.71180555555555602</v>
      </c>
      <c r="D3367" s="96">
        <v>0</v>
      </c>
      <c r="E3367" s="96">
        <v>0</v>
      </c>
      <c r="F3367" s="96">
        <v>0</v>
      </c>
      <c r="G3367" s="96">
        <v>0</v>
      </c>
      <c r="H3367" s="96">
        <v>0</v>
      </c>
      <c r="I3367" s="96">
        <v>0</v>
      </c>
      <c r="J3367" s="96">
        <v>0</v>
      </c>
    </row>
    <row r="3368" spans="1:10">
      <c r="A3368" s="95" t="s">
        <v>15</v>
      </c>
      <c r="B3368" s="95" t="s">
        <v>123</v>
      </c>
      <c r="C3368" s="51">
        <v>0.71250000000000002</v>
      </c>
      <c r="D3368" s="96">
        <v>0</v>
      </c>
      <c r="E3368" s="96">
        <v>0</v>
      </c>
      <c r="F3368" s="96">
        <v>0</v>
      </c>
      <c r="G3368" s="96">
        <v>0</v>
      </c>
      <c r="H3368" s="96">
        <v>0</v>
      </c>
      <c r="I3368" s="96">
        <v>0</v>
      </c>
      <c r="J3368" s="96">
        <v>0</v>
      </c>
    </row>
    <row r="3369" spans="1:10">
      <c r="A3369" s="95" t="s">
        <v>15</v>
      </c>
      <c r="B3369" s="95" t="s">
        <v>123</v>
      </c>
      <c r="C3369" s="51">
        <v>0.71319444444444402</v>
      </c>
      <c r="D3369" s="96">
        <v>0</v>
      </c>
      <c r="E3369" s="96">
        <v>0</v>
      </c>
      <c r="F3369" s="96">
        <v>0</v>
      </c>
      <c r="G3369" s="96">
        <v>0</v>
      </c>
      <c r="H3369" s="96">
        <v>0</v>
      </c>
      <c r="I3369" s="96">
        <v>0</v>
      </c>
      <c r="J3369" s="96">
        <v>0</v>
      </c>
    </row>
    <row r="3370" spans="1:10">
      <c r="A3370" s="95" t="s">
        <v>15</v>
      </c>
      <c r="B3370" s="95" t="s">
        <v>123</v>
      </c>
      <c r="C3370" s="51">
        <v>0.71388888888888902</v>
      </c>
      <c r="D3370" s="96">
        <v>0</v>
      </c>
      <c r="E3370" s="96">
        <v>0</v>
      </c>
      <c r="F3370" s="96">
        <v>0</v>
      </c>
      <c r="G3370" s="96">
        <v>0</v>
      </c>
      <c r="H3370" s="96">
        <v>0</v>
      </c>
      <c r="I3370" s="96">
        <v>0</v>
      </c>
      <c r="J3370" s="96">
        <v>0</v>
      </c>
    </row>
    <row r="3371" spans="1:10">
      <c r="A3371" s="95" t="s">
        <v>15</v>
      </c>
      <c r="B3371" s="95" t="s">
        <v>123</v>
      </c>
      <c r="C3371" s="51">
        <v>0.71458333333333302</v>
      </c>
      <c r="D3371" s="96">
        <v>0</v>
      </c>
      <c r="E3371" s="96">
        <v>0</v>
      </c>
      <c r="F3371" s="96">
        <v>0</v>
      </c>
      <c r="G3371" s="96">
        <v>0</v>
      </c>
      <c r="H3371" s="96">
        <v>0</v>
      </c>
      <c r="I3371" s="96">
        <v>0</v>
      </c>
      <c r="J3371" s="96">
        <v>0</v>
      </c>
    </row>
    <row r="3372" spans="1:10">
      <c r="A3372" s="95" t="s">
        <v>15</v>
      </c>
      <c r="B3372" s="95" t="s">
        <v>123</v>
      </c>
      <c r="C3372" s="51">
        <v>0.71527777777777801</v>
      </c>
      <c r="D3372" s="96">
        <v>0</v>
      </c>
      <c r="E3372" s="96">
        <v>0</v>
      </c>
      <c r="F3372" s="96">
        <v>0</v>
      </c>
      <c r="G3372" s="96">
        <v>0</v>
      </c>
      <c r="H3372" s="96">
        <v>0</v>
      </c>
      <c r="I3372" s="96">
        <v>0</v>
      </c>
      <c r="J3372" s="96">
        <v>0</v>
      </c>
    </row>
    <row r="3373" spans="1:10">
      <c r="A3373" s="95" t="s">
        <v>15</v>
      </c>
      <c r="B3373" s="95" t="s">
        <v>123</v>
      </c>
      <c r="C3373" s="51">
        <v>0.71597222222222201</v>
      </c>
      <c r="D3373" s="96">
        <v>0</v>
      </c>
      <c r="E3373" s="96">
        <v>0</v>
      </c>
      <c r="F3373" s="96">
        <v>0</v>
      </c>
      <c r="G3373" s="96">
        <v>0</v>
      </c>
      <c r="H3373" s="96">
        <v>0</v>
      </c>
      <c r="I3373" s="96">
        <v>0</v>
      </c>
      <c r="J3373" s="96">
        <v>0</v>
      </c>
    </row>
    <row r="3374" spans="1:10">
      <c r="A3374" s="95" t="s">
        <v>15</v>
      </c>
      <c r="B3374" s="95" t="s">
        <v>123</v>
      </c>
      <c r="C3374" s="51">
        <v>0.71666666666666701</v>
      </c>
      <c r="D3374" s="96">
        <v>0</v>
      </c>
      <c r="E3374" s="96">
        <v>0</v>
      </c>
      <c r="F3374" s="96">
        <v>0</v>
      </c>
      <c r="G3374" s="96">
        <v>0</v>
      </c>
      <c r="H3374" s="96">
        <v>0</v>
      </c>
      <c r="I3374" s="96">
        <v>0</v>
      </c>
      <c r="J3374" s="96">
        <v>0</v>
      </c>
    </row>
    <row r="3375" spans="1:10">
      <c r="A3375" s="95" t="s">
        <v>15</v>
      </c>
      <c r="B3375" s="95" t="s">
        <v>123</v>
      </c>
      <c r="C3375" s="51">
        <v>0.71736111111111101</v>
      </c>
      <c r="D3375" s="96">
        <v>0</v>
      </c>
      <c r="E3375" s="96">
        <v>0</v>
      </c>
      <c r="F3375" s="96">
        <v>0</v>
      </c>
      <c r="G3375" s="96">
        <v>0</v>
      </c>
      <c r="H3375" s="96">
        <v>0</v>
      </c>
      <c r="I3375" s="96">
        <v>0</v>
      </c>
      <c r="J3375" s="96">
        <v>0</v>
      </c>
    </row>
    <row r="3376" spans="1:10" s="80" customFormat="1">
      <c r="A3376" s="97" t="s">
        <v>15</v>
      </c>
      <c r="B3376" s="97" t="s">
        <v>123</v>
      </c>
      <c r="C3376" s="98">
        <v>0.718055555555556</v>
      </c>
      <c r="D3376" s="99">
        <v>0</v>
      </c>
      <c r="E3376" s="99">
        <v>0</v>
      </c>
      <c r="F3376" s="99">
        <v>0</v>
      </c>
      <c r="G3376" s="99">
        <v>0</v>
      </c>
      <c r="H3376" s="99">
        <v>0</v>
      </c>
      <c r="I3376" s="99">
        <v>0</v>
      </c>
      <c r="J3376" s="99">
        <v>0</v>
      </c>
    </row>
    <row r="3377" spans="1:10">
      <c r="A3377" s="95" t="s">
        <v>15</v>
      </c>
      <c r="B3377" s="95" t="s">
        <v>123</v>
      </c>
      <c r="C3377" s="51">
        <v>0.71875</v>
      </c>
      <c r="D3377" s="169">
        <v>0</v>
      </c>
      <c r="E3377" s="169">
        <v>0</v>
      </c>
      <c r="F3377" s="169">
        <v>0</v>
      </c>
      <c r="G3377" s="169">
        <v>0</v>
      </c>
      <c r="H3377" s="169">
        <v>0</v>
      </c>
      <c r="I3377" s="169">
        <v>0</v>
      </c>
      <c r="J3377" s="169">
        <v>0</v>
      </c>
    </row>
    <row r="3378" spans="1:10">
      <c r="A3378" s="95" t="s">
        <v>15</v>
      </c>
      <c r="B3378" s="95" t="s">
        <v>123</v>
      </c>
      <c r="C3378" s="51">
        <v>0.719444444444444</v>
      </c>
      <c r="D3378" s="96">
        <v>0</v>
      </c>
      <c r="E3378" s="96">
        <v>0</v>
      </c>
      <c r="F3378" s="96">
        <v>0</v>
      </c>
      <c r="G3378" s="96">
        <v>0</v>
      </c>
      <c r="H3378" s="96">
        <v>0</v>
      </c>
      <c r="I3378" s="96">
        <v>0</v>
      </c>
      <c r="J3378" s="96">
        <v>0</v>
      </c>
    </row>
    <row r="3379" spans="1:10">
      <c r="A3379" s="95" t="s">
        <v>15</v>
      </c>
      <c r="B3379" s="95" t="s">
        <v>123</v>
      </c>
      <c r="C3379" s="51">
        <v>0.72013888888888899</v>
      </c>
      <c r="D3379" s="96">
        <v>0</v>
      </c>
      <c r="E3379" s="96">
        <v>0</v>
      </c>
      <c r="F3379" s="96">
        <v>0</v>
      </c>
      <c r="G3379" s="96">
        <v>0</v>
      </c>
      <c r="H3379" s="96">
        <v>0</v>
      </c>
      <c r="I3379" s="96">
        <v>0</v>
      </c>
      <c r="J3379" s="96">
        <v>0</v>
      </c>
    </row>
    <row r="3380" spans="1:10">
      <c r="A3380" s="95" t="s">
        <v>15</v>
      </c>
      <c r="B3380" s="95" t="s">
        <v>123</v>
      </c>
      <c r="C3380" s="51">
        <v>0.72083333333333299</v>
      </c>
      <c r="D3380" s="96">
        <v>0</v>
      </c>
      <c r="E3380" s="96">
        <v>0</v>
      </c>
      <c r="F3380" s="96">
        <v>0</v>
      </c>
      <c r="G3380" s="96">
        <v>0</v>
      </c>
      <c r="H3380" s="96">
        <v>0</v>
      </c>
      <c r="I3380" s="96">
        <v>0</v>
      </c>
      <c r="J3380" s="96">
        <v>0</v>
      </c>
    </row>
    <row r="3381" spans="1:10">
      <c r="A3381" s="95" t="s">
        <v>15</v>
      </c>
      <c r="B3381" s="95" t="s">
        <v>123</v>
      </c>
      <c r="C3381" s="51">
        <v>0.72152777777777799</v>
      </c>
      <c r="D3381" s="96">
        <v>0</v>
      </c>
      <c r="E3381" s="96">
        <v>0</v>
      </c>
      <c r="F3381" s="96">
        <v>0</v>
      </c>
      <c r="G3381" s="96">
        <v>0</v>
      </c>
      <c r="H3381" s="96">
        <v>0</v>
      </c>
      <c r="I3381" s="96">
        <v>0</v>
      </c>
      <c r="J3381" s="96">
        <v>0</v>
      </c>
    </row>
    <row r="3382" spans="1:10">
      <c r="A3382" s="95" t="s">
        <v>15</v>
      </c>
      <c r="B3382" s="95" t="s">
        <v>123</v>
      </c>
      <c r="C3382" s="51">
        <v>0.72222222222222199</v>
      </c>
      <c r="D3382" s="96">
        <v>0</v>
      </c>
      <c r="E3382" s="96">
        <v>0</v>
      </c>
      <c r="F3382" s="96">
        <v>0</v>
      </c>
      <c r="G3382" s="96">
        <v>0</v>
      </c>
      <c r="H3382" s="96">
        <v>0</v>
      </c>
      <c r="I3382" s="96">
        <v>0</v>
      </c>
      <c r="J3382" s="96">
        <v>0</v>
      </c>
    </row>
    <row r="3383" spans="1:10">
      <c r="A3383" s="95" t="s">
        <v>15</v>
      </c>
      <c r="B3383" s="95" t="s">
        <v>123</v>
      </c>
      <c r="C3383" s="51">
        <v>0.72291666666666698</v>
      </c>
      <c r="D3383" s="96">
        <v>0</v>
      </c>
      <c r="E3383" s="96">
        <v>0</v>
      </c>
      <c r="F3383" s="96">
        <v>0</v>
      </c>
      <c r="G3383" s="96">
        <v>0</v>
      </c>
      <c r="H3383" s="96">
        <v>0</v>
      </c>
      <c r="I3383" s="96">
        <v>0</v>
      </c>
      <c r="J3383" s="96">
        <v>0</v>
      </c>
    </row>
    <row r="3384" spans="1:10">
      <c r="A3384" s="95" t="s">
        <v>15</v>
      </c>
      <c r="B3384" s="95" t="s">
        <v>123</v>
      </c>
      <c r="C3384" s="51">
        <v>0.72361111111111098</v>
      </c>
      <c r="D3384" s="96">
        <v>0</v>
      </c>
      <c r="E3384" s="96">
        <v>0</v>
      </c>
      <c r="F3384" s="96">
        <v>0</v>
      </c>
      <c r="G3384" s="96">
        <v>0</v>
      </c>
      <c r="H3384" s="96">
        <v>0</v>
      </c>
      <c r="I3384" s="96">
        <v>0</v>
      </c>
      <c r="J3384" s="96">
        <v>0</v>
      </c>
    </row>
    <row r="3385" spans="1:10">
      <c r="A3385" s="95" t="s">
        <v>15</v>
      </c>
      <c r="B3385" s="95" t="s">
        <v>123</v>
      </c>
      <c r="C3385" s="51">
        <v>0.72430555555555598</v>
      </c>
      <c r="D3385" s="96">
        <v>0</v>
      </c>
      <c r="E3385" s="96">
        <v>0</v>
      </c>
      <c r="F3385" s="96">
        <v>0</v>
      </c>
      <c r="G3385" s="96">
        <v>0</v>
      </c>
      <c r="H3385" s="96">
        <v>0</v>
      </c>
      <c r="I3385" s="96">
        <v>0</v>
      </c>
      <c r="J3385" s="96">
        <v>0</v>
      </c>
    </row>
    <row r="3386" spans="1:10">
      <c r="A3386" s="95" t="s">
        <v>15</v>
      </c>
      <c r="B3386" s="95" t="s">
        <v>123</v>
      </c>
      <c r="C3386" s="51">
        <v>0.72499999999999998</v>
      </c>
      <c r="D3386" s="96">
        <v>0</v>
      </c>
      <c r="E3386" s="96">
        <v>0</v>
      </c>
      <c r="F3386" s="96">
        <v>0</v>
      </c>
      <c r="G3386" s="96">
        <v>0</v>
      </c>
      <c r="H3386" s="96">
        <v>0</v>
      </c>
      <c r="I3386" s="96">
        <v>0</v>
      </c>
      <c r="J3386" s="96">
        <v>0</v>
      </c>
    </row>
    <row r="3387" spans="1:10">
      <c r="A3387" s="95" t="s">
        <v>15</v>
      </c>
      <c r="B3387" s="95" t="s">
        <v>123</v>
      </c>
      <c r="C3387" s="51">
        <v>0.72569444444444398</v>
      </c>
      <c r="D3387" s="96">
        <v>0</v>
      </c>
      <c r="E3387" s="96">
        <v>0</v>
      </c>
      <c r="F3387" s="96">
        <v>0</v>
      </c>
      <c r="G3387" s="96">
        <v>0</v>
      </c>
      <c r="H3387" s="96">
        <v>0</v>
      </c>
      <c r="I3387" s="96">
        <v>0</v>
      </c>
      <c r="J3387" s="96">
        <v>0</v>
      </c>
    </row>
    <row r="3388" spans="1:10">
      <c r="A3388" s="95" t="s">
        <v>15</v>
      </c>
      <c r="B3388" s="95" t="s">
        <v>123</v>
      </c>
      <c r="C3388" s="51">
        <v>0.72638888888888897</v>
      </c>
      <c r="D3388" s="96">
        <v>0</v>
      </c>
      <c r="E3388" s="96">
        <v>0</v>
      </c>
      <c r="F3388" s="96">
        <v>0</v>
      </c>
      <c r="G3388" s="96">
        <v>0</v>
      </c>
      <c r="H3388" s="96">
        <v>0</v>
      </c>
      <c r="I3388" s="96">
        <v>0</v>
      </c>
      <c r="J3388" s="96">
        <v>0</v>
      </c>
    </row>
    <row r="3389" spans="1:10">
      <c r="A3389" s="95" t="s">
        <v>15</v>
      </c>
      <c r="B3389" s="95" t="s">
        <v>123</v>
      </c>
      <c r="C3389" s="51">
        <v>0.72708333333333297</v>
      </c>
      <c r="D3389" s="96">
        <v>0</v>
      </c>
      <c r="E3389" s="96">
        <v>0</v>
      </c>
      <c r="F3389" s="96">
        <v>0</v>
      </c>
      <c r="G3389" s="96">
        <v>0</v>
      </c>
      <c r="H3389" s="96">
        <v>0</v>
      </c>
      <c r="I3389" s="96">
        <v>0</v>
      </c>
      <c r="J3389" s="96">
        <v>0</v>
      </c>
    </row>
    <row r="3390" spans="1:10">
      <c r="A3390" s="95" t="s">
        <v>15</v>
      </c>
      <c r="B3390" s="95" t="s">
        <v>123</v>
      </c>
      <c r="C3390" s="51">
        <v>0.72777777777777797</v>
      </c>
      <c r="D3390" s="96">
        <v>0</v>
      </c>
      <c r="E3390" s="96">
        <v>0</v>
      </c>
      <c r="F3390" s="96">
        <v>0</v>
      </c>
      <c r="G3390" s="96">
        <v>0</v>
      </c>
      <c r="H3390" s="96">
        <v>0</v>
      </c>
      <c r="I3390" s="96">
        <v>0</v>
      </c>
      <c r="J3390" s="96">
        <v>0</v>
      </c>
    </row>
    <row r="3391" spans="1:10" s="80" customFormat="1">
      <c r="A3391" s="97" t="s">
        <v>15</v>
      </c>
      <c r="B3391" s="97" t="s">
        <v>123</v>
      </c>
      <c r="C3391" s="98">
        <v>0.72847222222222197</v>
      </c>
      <c r="D3391" s="99">
        <v>0</v>
      </c>
      <c r="E3391" s="99">
        <v>0</v>
      </c>
      <c r="F3391" s="99">
        <v>0</v>
      </c>
      <c r="G3391" s="99">
        <v>0</v>
      </c>
      <c r="H3391" s="99">
        <v>0</v>
      </c>
      <c r="I3391" s="99">
        <v>0</v>
      </c>
      <c r="J3391" s="99">
        <v>0</v>
      </c>
    </row>
    <row r="3392" spans="1:10">
      <c r="A3392" s="95" t="s">
        <v>15</v>
      </c>
      <c r="B3392" s="95" t="s">
        <v>123</v>
      </c>
      <c r="C3392" s="51">
        <v>0.72916666666666696</v>
      </c>
      <c r="D3392" s="169">
        <v>0</v>
      </c>
      <c r="E3392" s="169">
        <v>0</v>
      </c>
      <c r="F3392" s="169">
        <v>0</v>
      </c>
      <c r="G3392" s="169">
        <v>0</v>
      </c>
      <c r="H3392" s="169">
        <v>0</v>
      </c>
      <c r="I3392" s="169">
        <v>0</v>
      </c>
      <c r="J3392" s="169">
        <v>0</v>
      </c>
    </row>
    <row r="3393" spans="1:10">
      <c r="A3393" s="95" t="s">
        <v>15</v>
      </c>
      <c r="B3393" s="95" t="s">
        <v>123</v>
      </c>
      <c r="C3393" s="51">
        <v>0.72986111111111096</v>
      </c>
      <c r="D3393" s="96">
        <v>0</v>
      </c>
      <c r="E3393" s="96">
        <v>0</v>
      </c>
      <c r="F3393" s="96">
        <v>0</v>
      </c>
      <c r="G3393" s="96">
        <v>0</v>
      </c>
      <c r="H3393" s="96">
        <v>0</v>
      </c>
      <c r="I3393" s="96">
        <v>0</v>
      </c>
      <c r="J3393" s="96">
        <v>0</v>
      </c>
    </row>
    <row r="3394" spans="1:10">
      <c r="A3394" s="95" t="s">
        <v>15</v>
      </c>
      <c r="B3394" s="95" t="s">
        <v>123</v>
      </c>
      <c r="C3394" s="51">
        <v>0.73055555555555596</v>
      </c>
      <c r="D3394" s="96">
        <v>0</v>
      </c>
      <c r="E3394" s="96">
        <v>0</v>
      </c>
      <c r="F3394" s="96">
        <v>0</v>
      </c>
      <c r="G3394" s="96">
        <v>0</v>
      </c>
      <c r="H3394" s="96">
        <v>0</v>
      </c>
      <c r="I3394" s="96">
        <v>0</v>
      </c>
      <c r="J3394" s="96">
        <v>0</v>
      </c>
    </row>
    <row r="3395" spans="1:10">
      <c r="A3395" s="95" t="s">
        <v>15</v>
      </c>
      <c r="B3395" s="95" t="s">
        <v>123</v>
      </c>
      <c r="C3395" s="51">
        <v>0.73124999999999996</v>
      </c>
      <c r="D3395" s="96">
        <v>0</v>
      </c>
      <c r="E3395" s="96">
        <v>0</v>
      </c>
      <c r="F3395" s="96">
        <v>0</v>
      </c>
      <c r="G3395" s="96">
        <v>0</v>
      </c>
      <c r="H3395" s="96">
        <v>0</v>
      </c>
      <c r="I3395" s="96">
        <v>0</v>
      </c>
      <c r="J3395" s="96">
        <v>0</v>
      </c>
    </row>
    <row r="3396" spans="1:10">
      <c r="A3396" s="95" t="s">
        <v>15</v>
      </c>
      <c r="B3396" s="95" t="s">
        <v>123</v>
      </c>
      <c r="C3396" s="51">
        <v>0.73194444444444395</v>
      </c>
      <c r="D3396" s="96">
        <v>0</v>
      </c>
      <c r="E3396" s="96">
        <v>0</v>
      </c>
      <c r="F3396" s="96">
        <v>0</v>
      </c>
      <c r="G3396" s="96">
        <v>0</v>
      </c>
      <c r="H3396" s="96">
        <v>0</v>
      </c>
      <c r="I3396" s="96">
        <v>0</v>
      </c>
      <c r="J3396" s="96">
        <v>0</v>
      </c>
    </row>
    <row r="3397" spans="1:10">
      <c r="A3397" s="95" t="s">
        <v>15</v>
      </c>
      <c r="B3397" s="95" t="s">
        <v>123</v>
      </c>
      <c r="C3397" s="51">
        <v>0.73263888888888895</v>
      </c>
      <c r="D3397" s="96">
        <v>0</v>
      </c>
      <c r="E3397" s="96">
        <v>0</v>
      </c>
      <c r="F3397" s="96">
        <v>0</v>
      </c>
      <c r="G3397" s="96">
        <v>0</v>
      </c>
      <c r="H3397" s="96">
        <v>0</v>
      </c>
      <c r="I3397" s="96">
        <v>0</v>
      </c>
      <c r="J3397" s="96">
        <v>0</v>
      </c>
    </row>
    <row r="3398" spans="1:10">
      <c r="A3398" s="95" t="s">
        <v>15</v>
      </c>
      <c r="B3398" s="95" t="s">
        <v>123</v>
      </c>
      <c r="C3398" s="51">
        <v>0.73333333333333295</v>
      </c>
      <c r="D3398" s="96">
        <v>0</v>
      </c>
      <c r="E3398" s="96">
        <v>0</v>
      </c>
      <c r="F3398" s="96">
        <v>0</v>
      </c>
      <c r="G3398" s="96">
        <v>0</v>
      </c>
      <c r="H3398" s="96">
        <v>0</v>
      </c>
      <c r="I3398" s="96">
        <v>0</v>
      </c>
      <c r="J3398" s="96">
        <v>0</v>
      </c>
    </row>
    <row r="3399" spans="1:10">
      <c r="A3399" s="95" t="s">
        <v>15</v>
      </c>
      <c r="B3399" s="95" t="s">
        <v>123</v>
      </c>
      <c r="C3399" s="51">
        <v>0.73402777777777795</v>
      </c>
      <c r="D3399" s="96">
        <v>0</v>
      </c>
      <c r="E3399" s="96">
        <v>0</v>
      </c>
      <c r="F3399" s="96">
        <v>0</v>
      </c>
      <c r="G3399" s="96">
        <v>0</v>
      </c>
      <c r="H3399" s="96">
        <v>0</v>
      </c>
      <c r="I3399" s="96">
        <v>0</v>
      </c>
      <c r="J3399" s="96">
        <v>0</v>
      </c>
    </row>
    <row r="3400" spans="1:10">
      <c r="A3400" s="95" t="s">
        <v>15</v>
      </c>
      <c r="B3400" s="95" t="s">
        <v>123</v>
      </c>
      <c r="C3400" s="51">
        <v>0.73472222222222205</v>
      </c>
      <c r="D3400" s="96">
        <v>0</v>
      </c>
      <c r="E3400" s="96">
        <v>0</v>
      </c>
      <c r="F3400" s="96">
        <v>0</v>
      </c>
      <c r="G3400" s="96">
        <v>0</v>
      </c>
      <c r="H3400" s="96">
        <v>0</v>
      </c>
      <c r="I3400" s="96">
        <v>0</v>
      </c>
      <c r="J3400" s="96">
        <v>0</v>
      </c>
    </row>
    <row r="3401" spans="1:10">
      <c r="A3401" s="95" t="s">
        <v>15</v>
      </c>
      <c r="B3401" s="95" t="s">
        <v>123</v>
      </c>
      <c r="C3401" s="51">
        <v>0.73541666666666705</v>
      </c>
      <c r="D3401" s="96">
        <v>0</v>
      </c>
      <c r="E3401" s="96">
        <v>0</v>
      </c>
      <c r="F3401" s="96">
        <v>0</v>
      </c>
      <c r="G3401" s="96">
        <v>0</v>
      </c>
      <c r="H3401" s="96">
        <v>0</v>
      </c>
      <c r="I3401" s="96">
        <v>0</v>
      </c>
      <c r="J3401" s="96">
        <v>0</v>
      </c>
    </row>
    <row r="3402" spans="1:10">
      <c r="A3402" s="95" t="s">
        <v>15</v>
      </c>
      <c r="B3402" s="95" t="s">
        <v>123</v>
      </c>
      <c r="C3402" s="51">
        <v>0.73611111111111105</v>
      </c>
      <c r="D3402" s="96">
        <v>0</v>
      </c>
      <c r="E3402" s="96">
        <v>0</v>
      </c>
      <c r="F3402" s="96">
        <v>0</v>
      </c>
      <c r="G3402" s="96">
        <v>0</v>
      </c>
      <c r="H3402" s="96">
        <v>0</v>
      </c>
      <c r="I3402" s="96">
        <v>0</v>
      </c>
      <c r="J3402" s="96">
        <v>0</v>
      </c>
    </row>
    <row r="3403" spans="1:10">
      <c r="A3403" s="95" t="s">
        <v>15</v>
      </c>
      <c r="B3403" s="95" t="s">
        <v>123</v>
      </c>
      <c r="C3403" s="51">
        <v>0.73680555555555505</v>
      </c>
      <c r="D3403" s="96">
        <v>0</v>
      </c>
      <c r="E3403" s="96">
        <v>0</v>
      </c>
      <c r="F3403" s="96">
        <v>0</v>
      </c>
      <c r="G3403" s="96">
        <v>0</v>
      </c>
      <c r="H3403" s="96">
        <v>0</v>
      </c>
      <c r="I3403" s="96">
        <v>0</v>
      </c>
      <c r="J3403" s="96">
        <v>0</v>
      </c>
    </row>
    <row r="3404" spans="1:10">
      <c r="A3404" s="95" t="s">
        <v>15</v>
      </c>
      <c r="B3404" s="95" t="s">
        <v>123</v>
      </c>
      <c r="C3404" s="51">
        <v>0.73750000000000004</v>
      </c>
      <c r="D3404" s="96">
        <v>0</v>
      </c>
      <c r="E3404" s="96">
        <v>0</v>
      </c>
      <c r="F3404" s="96">
        <v>0</v>
      </c>
      <c r="G3404" s="96">
        <v>0</v>
      </c>
      <c r="H3404" s="96">
        <v>0</v>
      </c>
      <c r="I3404" s="96">
        <v>0</v>
      </c>
      <c r="J3404" s="96">
        <v>0</v>
      </c>
    </row>
    <row r="3405" spans="1:10">
      <c r="A3405" s="95" t="s">
        <v>15</v>
      </c>
      <c r="B3405" s="95" t="s">
        <v>123</v>
      </c>
      <c r="C3405" s="51">
        <v>0.73819444444444404</v>
      </c>
      <c r="D3405" s="96">
        <v>0</v>
      </c>
      <c r="E3405" s="96">
        <v>0</v>
      </c>
      <c r="F3405" s="96">
        <v>0</v>
      </c>
      <c r="G3405" s="96">
        <v>0</v>
      </c>
      <c r="H3405" s="96">
        <v>0</v>
      </c>
      <c r="I3405" s="96">
        <v>0</v>
      </c>
      <c r="J3405" s="96">
        <v>0</v>
      </c>
    </row>
    <row r="3406" spans="1:10" s="80" customFormat="1">
      <c r="A3406" s="97" t="s">
        <v>15</v>
      </c>
      <c r="B3406" s="97" t="s">
        <v>123</v>
      </c>
      <c r="C3406" s="98">
        <v>0.73888888888888904</v>
      </c>
      <c r="D3406" s="99">
        <v>0</v>
      </c>
      <c r="E3406" s="99">
        <v>0</v>
      </c>
      <c r="F3406" s="99">
        <v>0</v>
      </c>
      <c r="G3406" s="99">
        <v>0</v>
      </c>
      <c r="H3406" s="99">
        <v>0</v>
      </c>
      <c r="I3406" s="99">
        <v>0</v>
      </c>
      <c r="J3406" s="99">
        <v>0</v>
      </c>
    </row>
    <row r="3407" spans="1:10">
      <c r="A3407" s="95" t="s">
        <v>15</v>
      </c>
      <c r="B3407" s="95" t="s">
        <v>123</v>
      </c>
      <c r="C3407" s="51">
        <v>0.73958333333333304</v>
      </c>
      <c r="D3407" s="169">
        <v>0</v>
      </c>
      <c r="E3407" s="169">
        <v>0</v>
      </c>
      <c r="F3407" s="169">
        <v>0</v>
      </c>
      <c r="G3407" s="169">
        <v>0</v>
      </c>
      <c r="H3407" s="169">
        <v>0</v>
      </c>
      <c r="I3407" s="169">
        <v>0</v>
      </c>
      <c r="J3407" s="169">
        <v>0</v>
      </c>
    </row>
    <row r="3408" spans="1:10">
      <c r="A3408" s="95" t="s">
        <v>15</v>
      </c>
      <c r="B3408" s="95" t="s">
        <v>123</v>
      </c>
      <c r="C3408" s="51">
        <v>0.74027777777777803</v>
      </c>
      <c r="D3408" s="96">
        <v>0</v>
      </c>
      <c r="E3408" s="96">
        <v>0</v>
      </c>
      <c r="F3408" s="96">
        <v>0</v>
      </c>
      <c r="G3408" s="96">
        <v>0</v>
      </c>
      <c r="H3408" s="96">
        <v>0</v>
      </c>
      <c r="I3408" s="96">
        <v>0</v>
      </c>
      <c r="J3408" s="96">
        <v>0</v>
      </c>
    </row>
    <row r="3409" spans="1:10">
      <c r="A3409" s="95" t="s">
        <v>15</v>
      </c>
      <c r="B3409" s="95" t="s">
        <v>123</v>
      </c>
      <c r="C3409" s="51">
        <v>0.74097222222222203</v>
      </c>
      <c r="D3409" s="96">
        <v>0</v>
      </c>
      <c r="E3409" s="96">
        <v>0</v>
      </c>
      <c r="F3409" s="96">
        <v>0</v>
      </c>
      <c r="G3409" s="96">
        <v>0</v>
      </c>
      <c r="H3409" s="96">
        <v>0</v>
      </c>
      <c r="I3409" s="96">
        <v>0</v>
      </c>
      <c r="J3409" s="96">
        <v>0</v>
      </c>
    </row>
    <row r="3410" spans="1:10">
      <c r="A3410" s="95" t="s">
        <v>15</v>
      </c>
      <c r="B3410" s="95" t="s">
        <v>123</v>
      </c>
      <c r="C3410" s="51">
        <v>0.74166666666666703</v>
      </c>
      <c r="D3410" s="96">
        <v>0</v>
      </c>
      <c r="E3410" s="96">
        <v>0</v>
      </c>
      <c r="F3410" s="96">
        <v>0</v>
      </c>
      <c r="G3410" s="96">
        <v>0</v>
      </c>
      <c r="H3410" s="96">
        <v>0</v>
      </c>
      <c r="I3410" s="96">
        <v>0</v>
      </c>
      <c r="J3410" s="96">
        <v>0</v>
      </c>
    </row>
    <row r="3411" spans="1:10">
      <c r="A3411" s="95" t="s">
        <v>15</v>
      </c>
      <c r="B3411" s="95" t="s">
        <v>123</v>
      </c>
      <c r="C3411" s="51">
        <v>0.74236111111111103</v>
      </c>
      <c r="D3411" s="96">
        <v>0</v>
      </c>
      <c r="E3411" s="96">
        <v>0</v>
      </c>
      <c r="F3411" s="96">
        <v>0</v>
      </c>
      <c r="G3411" s="96">
        <v>0</v>
      </c>
      <c r="H3411" s="96">
        <v>0</v>
      </c>
      <c r="I3411" s="96">
        <v>0</v>
      </c>
      <c r="J3411" s="96">
        <v>0</v>
      </c>
    </row>
    <row r="3412" spans="1:10">
      <c r="A3412" s="95" t="s">
        <v>15</v>
      </c>
      <c r="B3412" s="95" t="s">
        <v>123</v>
      </c>
      <c r="C3412" s="51">
        <v>0.74305555555555503</v>
      </c>
      <c r="D3412" s="96">
        <v>0</v>
      </c>
      <c r="E3412" s="96">
        <v>0</v>
      </c>
      <c r="F3412" s="96">
        <v>0</v>
      </c>
      <c r="G3412" s="96">
        <v>0</v>
      </c>
      <c r="H3412" s="96">
        <v>0</v>
      </c>
      <c r="I3412" s="96">
        <v>0</v>
      </c>
      <c r="J3412" s="96">
        <v>0</v>
      </c>
    </row>
    <row r="3413" spans="1:10">
      <c r="A3413" s="95" t="s">
        <v>15</v>
      </c>
      <c r="B3413" s="95" t="s">
        <v>123</v>
      </c>
      <c r="C3413" s="51">
        <v>0.74375000000000002</v>
      </c>
      <c r="D3413" s="96">
        <v>0</v>
      </c>
      <c r="E3413" s="96">
        <v>0</v>
      </c>
      <c r="F3413" s="96">
        <v>0</v>
      </c>
      <c r="G3413" s="96">
        <v>0</v>
      </c>
      <c r="H3413" s="96">
        <v>0</v>
      </c>
      <c r="I3413" s="96">
        <v>0</v>
      </c>
      <c r="J3413" s="96">
        <v>0</v>
      </c>
    </row>
    <row r="3414" spans="1:10">
      <c r="A3414" s="95" t="s">
        <v>15</v>
      </c>
      <c r="B3414" s="95" t="s">
        <v>123</v>
      </c>
      <c r="C3414" s="51">
        <v>0.74444444444444402</v>
      </c>
      <c r="D3414" s="96">
        <v>0</v>
      </c>
      <c r="E3414" s="96">
        <v>0</v>
      </c>
      <c r="F3414" s="96">
        <v>0</v>
      </c>
      <c r="G3414" s="96">
        <v>0</v>
      </c>
      <c r="H3414" s="96">
        <v>0</v>
      </c>
      <c r="I3414" s="96">
        <v>0</v>
      </c>
      <c r="J3414" s="96">
        <v>0</v>
      </c>
    </row>
    <row r="3415" spans="1:10">
      <c r="A3415" s="95" t="s">
        <v>15</v>
      </c>
      <c r="B3415" s="95" t="s">
        <v>123</v>
      </c>
      <c r="C3415" s="51">
        <v>0.74513888888888902</v>
      </c>
      <c r="D3415" s="96">
        <v>0</v>
      </c>
      <c r="E3415" s="96">
        <v>0</v>
      </c>
      <c r="F3415" s="96">
        <v>0</v>
      </c>
      <c r="G3415" s="96">
        <v>0</v>
      </c>
      <c r="H3415" s="96">
        <v>0</v>
      </c>
      <c r="I3415" s="96">
        <v>0</v>
      </c>
      <c r="J3415" s="96">
        <v>0</v>
      </c>
    </row>
    <row r="3416" spans="1:10">
      <c r="A3416" s="95" t="s">
        <v>15</v>
      </c>
      <c r="B3416" s="95" t="s">
        <v>123</v>
      </c>
      <c r="C3416" s="51">
        <v>0.74583333333333302</v>
      </c>
      <c r="D3416" s="96">
        <v>0</v>
      </c>
      <c r="E3416" s="96">
        <v>0</v>
      </c>
      <c r="F3416" s="96">
        <v>0</v>
      </c>
      <c r="G3416" s="96">
        <v>0</v>
      </c>
      <c r="H3416" s="96">
        <v>0</v>
      </c>
      <c r="I3416" s="96">
        <v>0</v>
      </c>
      <c r="J3416" s="96">
        <v>0</v>
      </c>
    </row>
    <row r="3417" spans="1:10">
      <c r="A3417" s="95" t="s">
        <v>15</v>
      </c>
      <c r="B3417" s="95" t="s">
        <v>123</v>
      </c>
      <c r="C3417" s="51">
        <v>0.74652777777777801</v>
      </c>
      <c r="D3417" s="96">
        <v>0</v>
      </c>
      <c r="E3417" s="96">
        <v>0</v>
      </c>
      <c r="F3417" s="96">
        <v>0</v>
      </c>
      <c r="G3417" s="96">
        <v>0</v>
      </c>
      <c r="H3417" s="96">
        <v>0</v>
      </c>
      <c r="I3417" s="96">
        <v>0</v>
      </c>
      <c r="J3417" s="96">
        <v>0</v>
      </c>
    </row>
    <row r="3418" spans="1:10">
      <c r="A3418" s="95" t="s">
        <v>15</v>
      </c>
      <c r="B3418" s="95" t="s">
        <v>123</v>
      </c>
      <c r="C3418" s="51">
        <v>0.74722222222222201</v>
      </c>
      <c r="D3418" s="96">
        <v>0</v>
      </c>
      <c r="E3418" s="96">
        <v>0</v>
      </c>
      <c r="F3418" s="96">
        <v>0</v>
      </c>
      <c r="G3418" s="96">
        <v>0</v>
      </c>
      <c r="H3418" s="96">
        <v>0</v>
      </c>
      <c r="I3418" s="96">
        <v>0</v>
      </c>
      <c r="J3418" s="96">
        <v>0</v>
      </c>
    </row>
    <row r="3419" spans="1:10">
      <c r="A3419" s="95" t="s">
        <v>15</v>
      </c>
      <c r="B3419" s="95" t="s">
        <v>123</v>
      </c>
      <c r="C3419" s="51">
        <v>0.74791666666666701</v>
      </c>
      <c r="D3419" s="96">
        <v>0</v>
      </c>
      <c r="E3419" s="96">
        <v>0</v>
      </c>
      <c r="F3419" s="96">
        <v>0</v>
      </c>
      <c r="G3419" s="96">
        <v>0</v>
      </c>
      <c r="H3419" s="96">
        <v>0</v>
      </c>
      <c r="I3419" s="96">
        <v>0</v>
      </c>
      <c r="J3419" s="96">
        <v>0</v>
      </c>
    </row>
    <row r="3420" spans="1:10">
      <c r="A3420" s="95" t="s">
        <v>15</v>
      </c>
      <c r="B3420" s="95" t="s">
        <v>123</v>
      </c>
      <c r="C3420" s="51">
        <v>0.74861111111111101</v>
      </c>
      <c r="D3420" s="96">
        <v>0</v>
      </c>
      <c r="E3420" s="96">
        <v>0</v>
      </c>
      <c r="F3420" s="96">
        <v>0</v>
      </c>
      <c r="G3420" s="96">
        <v>0</v>
      </c>
      <c r="H3420" s="96">
        <v>0</v>
      </c>
      <c r="I3420" s="96">
        <v>0</v>
      </c>
      <c r="J3420" s="96">
        <v>0</v>
      </c>
    </row>
    <row r="3421" spans="1:10" s="80" customFormat="1">
      <c r="A3421" s="97" t="s">
        <v>15</v>
      </c>
      <c r="B3421" s="97" t="s">
        <v>123</v>
      </c>
      <c r="C3421" s="98">
        <v>0.749305555555555</v>
      </c>
      <c r="D3421" s="99">
        <v>0</v>
      </c>
      <c r="E3421" s="99">
        <v>0</v>
      </c>
      <c r="F3421" s="99">
        <v>0</v>
      </c>
      <c r="G3421" s="99">
        <v>0</v>
      </c>
      <c r="H3421" s="99">
        <v>0</v>
      </c>
      <c r="I3421" s="99">
        <v>0</v>
      </c>
      <c r="J3421" s="99">
        <v>0</v>
      </c>
    </row>
    <row r="3422" spans="1:10">
      <c r="A3422" s="95" t="s">
        <v>15</v>
      </c>
      <c r="B3422" s="95" t="s">
        <v>123</v>
      </c>
      <c r="C3422" s="51">
        <v>0.75</v>
      </c>
      <c r="D3422" s="169">
        <v>0</v>
      </c>
      <c r="E3422" s="169">
        <v>0</v>
      </c>
      <c r="F3422" s="169">
        <v>0</v>
      </c>
      <c r="G3422" s="169">
        <v>0</v>
      </c>
      <c r="H3422" s="169">
        <v>0</v>
      </c>
      <c r="I3422" s="169">
        <v>0</v>
      </c>
      <c r="J3422" s="169">
        <v>0</v>
      </c>
    </row>
    <row r="3423" spans="1:10">
      <c r="A3423" s="95" t="s">
        <v>15</v>
      </c>
      <c r="B3423" s="95" t="s">
        <v>123</v>
      </c>
      <c r="C3423" s="51">
        <v>0.750694444444444</v>
      </c>
      <c r="D3423" s="96">
        <v>0</v>
      </c>
      <c r="E3423" s="96">
        <v>0</v>
      </c>
      <c r="F3423" s="96">
        <v>0</v>
      </c>
      <c r="G3423" s="96">
        <v>0</v>
      </c>
      <c r="H3423" s="96">
        <v>0</v>
      </c>
      <c r="I3423" s="96">
        <v>0</v>
      </c>
      <c r="J3423" s="96">
        <v>0</v>
      </c>
    </row>
    <row r="3424" spans="1:10">
      <c r="A3424" s="95" t="s">
        <v>15</v>
      </c>
      <c r="B3424" s="95" t="s">
        <v>123</v>
      </c>
      <c r="C3424" s="51">
        <v>0.75138888888888899</v>
      </c>
      <c r="D3424" s="96">
        <v>0</v>
      </c>
      <c r="E3424" s="96">
        <v>0</v>
      </c>
      <c r="F3424" s="96">
        <v>0</v>
      </c>
      <c r="G3424" s="96">
        <v>0</v>
      </c>
      <c r="H3424" s="96">
        <v>0</v>
      </c>
      <c r="I3424" s="96">
        <v>0</v>
      </c>
      <c r="J3424" s="96">
        <v>0</v>
      </c>
    </row>
    <row r="3425" spans="1:10">
      <c r="A3425" s="95" t="s">
        <v>15</v>
      </c>
      <c r="B3425" s="95" t="s">
        <v>123</v>
      </c>
      <c r="C3425" s="51">
        <v>0.75208333333333299</v>
      </c>
      <c r="D3425" s="96">
        <v>0</v>
      </c>
      <c r="E3425" s="96">
        <v>0</v>
      </c>
      <c r="F3425" s="96">
        <v>0</v>
      </c>
      <c r="G3425" s="96">
        <v>0</v>
      </c>
      <c r="H3425" s="96">
        <v>0</v>
      </c>
      <c r="I3425" s="96">
        <v>0</v>
      </c>
      <c r="J3425" s="96">
        <v>0</v>
      </c>
    </row>
    <row r="3426" spans="1:10">
      <c r="A3426" s="95" t="s">
        <v>15</v>
      </c>
      <c r="B3426" s="95" t="s">
        <v>123</v>
      </c>
      <c r="C3426" s="51">
        <v>0.75277777777777799</v>
      </c>
      <c r="D3426" s="96">
        <v>0</v>
      </c>
      <c r="E3426" s="96">
        <v>0</v>
      </c>
      <c r="F3426" s="96">
        <v>0</v>
      </c>
      <c r="G3426" s="96">
        <v>0</v>
      </c>
      <c r="H3426" s="96">
        <v>0</v>
      </c>
      <c r="I3426" s="96">
        <v>0</v>
      </c>
      <c r="J3426" s="96">
        <v>0</v>
      </c>
    </row>
    <row r="3427" spans="1:10">
      <c r="A3427" s="95" t="s">
        <v>15</v>
      </c>
      <c r="B3427" s="95" t="s">
        <v>123</v>
      </c>
      <c r="C3427" s="51">
        <v>0.75347222222222199</v>
      </c>
      <c r="D3427" s="96">
        <v>0</v>
      </c>
      <c r="E3427" s="96">
        <v>0</v>
      </c>
      <c r="F3427" s="96">
        <v>0</v>
      </c>
      <c r="G3427" s="96">
        <v>0</v>
      </c>
      <c r="H3427" s="96">
        <v>0</v>
      </c>
      <c r="I3427" s="96">
        <v>0</v>
      </c>
      <c r="J3427" s="96">
        <v>0</v>
      </c>
    </row>
    <row r="3428" spans="1:10">
      <c r="A3428" s="95" t="s">
        <v>15</v>
      </c>
      <c r="B3428" s="95" t="s">
        <v>123</v>
      </c>
      <c r="C3428" s="51">
        <v>0.75416666666666698</v>
      </c>
      <c r="D3428" s="96">
        <v>0</v>
      </c>
      <c r="E3428" s="96">
        <v>0</v>
      </c>
      <c r="F3428" s="96">
        <v>0</v>
      </c>
      <c r="G3428" s="96">
        <v>0</v>
      </c>
      <c r="H3428" s="96">
        <v>0</v>
      </c>
      <c r="I3428" s="96">
        <v>0</v>
      </c>
      <c r="J3428" s="96">
        <v>0</v>
      </c>
    </row>
    <row r="3429" spans="1:10">
      <c r="A3429" s="95" t="s">
        <v>15</v>
      </c>
      <c r="B3429" s="95" t="s">
        <v>123</v>
      </c>
      <c r="C3429" s="51">
        <v>0.75486111111111098</v>
      </c>
      <c r="D3429" s="96">
        <v>0</v>
      </c>
      <c r="E3429" s="96">
        <v>0</v>
      </c>
      <c r="F3429" s="96">
        <v>0</v>
      </c>
      <c r="G3429" s="96">
        <v>0</v>
      </c>
      <c r="H3429" s="96">
        <v>0</v>
      </c>
      <c r="I3429" s="96">
        <v>0</v>
      </c>
      <c r="J3429" s="96">
        <v>0</v>
      </c>
    </row>
    <row r="3430" spans="1:10">
      <c r="A3430" s="95" t="s">
        <v>15</v>
      </c>
      <c r="B3430" s="95" t="s">
        <v>123</v>
      </c>
      <c r="C3430" s="51">
        <v>0.75555555555555498</v>
      </c>
      <c r="D3430" s="96">
        <v>0</v>
      </c>
      <c r="E3430" s="96">
        <v>0</v>
      </c>
      <c r="F3430" s="96">
        <v>0</v>
      </c>
      <c r="G3430" s="96">
        <v>0</v>
      </c>
      <c r="H3430" s="96">
        <v>0</v>
      </c>
      <c r="I3430" s="96">
        <v>0</v>
      </c>
      <c r="J3430" s="96">
        <v>0</v>
      </c>
    </row>
    <row r="3431" spans="1:10">
      <c r="A3431" s="95" t="s">
        <v>15</v>
      </c>
      <c r="B3431" s="95" t="s">
        <v>123</v>
      </c>
      <c r="C3431" s="51">
        <v>0.75624999999999998</v>
      </c>
      <c r="D3431" s="96">
        <v>0</v>
      </c>
      <c r="E3431" s="96">
        <v>0</v>
      </c>
      <c r="F3431" s="96">
        <v>0</v>
      </c>
      <c r="G3431" s="96">
        <v>0</v>
      </c>
      <c r="H3431" s="96">
        <v>0</v>
      </c>
      <c r="I3431" s="96">
        <v>0</v>
      </c>
      <c r="J3431" s="96">
        <v>0</v>
      </c>
    </row>
    <row r="3432" spans="1:10">
      <c r="A3432" s="95" t="s">
        <v>15</v>
      </c>
      <c r="B3432" s="95" t="s">
        <v>123</v>
      </c>
      <c r="C3432" s="51">
        <v>0.75694444444444398</v>
      </c>
      <c r="D3432" s="96">
        <v>0</v>
      </c>
      <c r="E3432" s="96">
        <v>0</v>
      </c>
      <c r="F3432" s="96">
        <v>0</v>
      </c>
      <c r="G3432" s="96">
        <v>0</v>
      </c>
      <c r="H3432" s="96">
        <v>0</v>
      </c>
      <c r="I3432" s="96">
        <v>0</v>
      </c>
      <c r="J3432" s="96">
        <v>0</v>
      </c>
    </row>
    <row r="3433" spans="1:10">
      <c r="A3433" s="95" t="s">
        <v>15</v>
      </c>
      <c r="B3433" s="95" t="s">
        <v>123</v>
      </c>
      <c r="C3433" s="51">
        <v>0.75763888888888897</v>
      </c>
      <c r="D3433" s="96">
        <v>0</v>
      </c>
      <c r="E3433" s="96">
        <v>0</v>
      </c>
      <c r="F3433" s="96">
        <v>0</v>
      </c>
      <c r="G3433" s="96">
        <v>0</v>
      </c>
      <c r="H3433" s="96">
        <v>0</v>
      </c>
      <c r="I3433" s="96">
        <v>0</v>
      </c>
      <c r="J3433" s="96">
        <v>0</v>
      </c>
    </row>
    <row r="3434" spans="1:10">
      <c r="A3434" s="95" t="s">
        <v>15</v>
      </c>
      <c r="B3434" s="95" t="s">
        <v>123</v>
      </c>
      <c r="C3434" s="51">
        <v>0.75833333333333297</v>
      </c>
      <c r="D3434" s="96">
        <v>0</v>
      </c>
      <c r="E3434" s="96">
        <v>0</v>
      </c>
      <c r="F3434" s="96">
        <v>0</v>
      </c>
      <c r="G3434" s="96">
        <v>0</v>
      </c>
      <c r="H3434" s="96">
        <v>0</v>
      </c>
      <c r="I3434" s="96">
        <v>0</v>
      </c>
      <c r="J3434" s="96">
        <v>0</v>
      </c>
    </row>
    <row r="3435" spans="1:10">
      <c r="A3435" s="95" t="s">
        <v>15</v>
      </c>
      <c r="B3435" s="95" t="s">
        <v>123</v>
      </c>
      <c r="C3435" s="51">
        <v>0.75902777777777797</v>
      </c>
      <c r="D3435" s="96">
        <v>0</v>
      </c>
      <c r="E3435" s="96">
        <v>0</v>
      </c>
      <c r="F3435" s="96">
        <v>0</v>
      </c>
      <c r="G3435" s="96">
        <v>0</v>
      </c>
      <c r="H3435" s="96">
        <v>0</v>
      </c>
      <c r="I3435" s="96">
        <v>0</v>
      </c>
      <c r="J3435" s="96">
        <v>0</v>
      </c>
    </row>
    <row r="3436" spans="1:10" s="80" customFormat="1">
      <c r="A3436" s="97" t="s">
        <v>15</v>
      </c>
      <c r="B3436" s="97" t="s">
        <v>123</v>
      </c>
      <c r="C3436" s="98">
        <v>0.75972222222222197</v>
      </c>
      <c r="D3436" s="99">
        <v>0</v>
      </c>
      <c r="E3436" s="99">
        <v>0</v>
      </c>
      <c r="F3436" s="99">
        <v>0</v>
      </c>
      <c r="G3436" s="99">
        <v>0</v>
      </c>
      <c r="H3436" s="99">
        <v>0</v>
      </c>
      <c r="I3436" s="99">
        <v>0</v>
      </c>
      <c r="J3436" s="99">
        <v>0</v>
      </c>
    </row>
    <row r="3437" spans="1:10">
      <c r="A3437" s="95" t="s">
        <v>15</v>
      </c>
      <c r="B3437" s="95" t="s">
        <v>123</v>
      </c>
      <c r="C3437" s="51">
        <v>0.76041666666666696</v>
      </c>
      <c r="D3437" s="169">
        <v>0</v>
      </c>
      <c r="E3437" s="169">
        <v>0</v>
      </c>
      <c r="F3437" s="169">
        <v>0</v>
      </c>
      <c r="G3437" s="169">
        <v>0</v>
      </c>
      <c r="H3437" s="169">
        <v>0</v>
      </c>
      <c r="I3437" s="169">
        <v>0</v>
      </c>
      <c r="J3437" s="169">
        <v>0</v>
      </c>
    </row>
    <row r="3438" spans="1:10">
      <c r="A3438" s="95" t="s">
        <v>15</v>
      </c>
      <c r="B3438" s="95" t="s">
        <v>123</v>
      </c>
      <c r="C3438" s="51">
        <v>0.76111111111111096</v>
      </c>
      <c r="D3438" s="96">
        <v>0</v>
      </c>
      <c r="E3438" s="96">
        <v>0</v>
      </c>
      <c r="F3438" s="96">
        <v>0</v>
      </c>
      <c r="G3438" s="96">
        <v>0</v>
      </c>
      <c r="H3438" s="96">
        <v>0</v>
      </c>
      <c r="I3438" s="96">
        <v>0</v>
      </c>
      <c r="J3438" s="96">
        <v>0</v>
      </c>
    </row>
    <row r="3439" spans="1:10">
      <c r="A3439" s="95" t="s">
        <v>15</v>
      </c>
      <c r="B3439" s="95" t="s">
        <v>123</v>
      </c>
      <c r="C3439" s="51">
        <v>0.76180555555555496</v>
      </c>
      <c r="D3439" s="96">
        <v>0</v>
      </c>
      <c r="E3439" s="96">
        <v>0</v>
      </c>
      <c r="F3439" s="96">
        <v>0</v>
      </c>
      <c r="G3439" s="96">
        <v>0</v>
      </c>
      <c r="H3439" s="96">
        <v>0</v>
      </c>
      <c r="I3439" s="96">
        <v>0</v>
      </c>
      <c r="J3439" s="96">
        <v>0</v>
      </c>
    </row>
    <row r="3440" spans="1:10">
      <c r="A3440" s="95" t="s">
        <v>15</v>
      </c>
      <c r="B3440" s="95" t="s">
        <v>123</v>
      </c>
      <c r="C3440" s="51">
        <v>0.76249999999999996</v>
      </c>
      <c r="D3440" s="96">
        <v>0</v>
      </c>
      <c r="E3440" s="96">
        <v>0</v>
      </c>
      <c r="F3440" s="96">
        <v>0</v>
      </c>
      <c r="G3440" s="96">
        <v>0</v>
      </c>
      <c r="H3440" s="96">
        <v>0</v>
      </c>
      <c r="I3440" s="96">
        <v>0</v>
      </c>
      <c r="J3440" s="96">
        <v>0</v>
      </c>
    </row>
    <row r="3441" spans="1:10">
      <c r="A3441" s="95" t="s">
        <v>15</v>
      </c>
      <c r="B3441" s="95" t="s">
        <v>123</v>
      </c>
      <c r="C3441" s="51">
        <v>0.76319444444444395</v>
      </c>
      <c r="D3441" s="96">
        <v>0</v>
      </c>
      <c r="E3441" s="96">
        <v>0</v>
      </c>
      <c r="F3441" s="96">
        <v>0</v>
      </c>
      <c r="G3441" s="96">
        <v>0</v>
      </c>
      <c r="H3441" s="96">
        <v>0</v>
      </c>
      <c r="I3441" s="96">
        <v>0</v>
      </c>
      <c r="J3441" s="96">
        <v>0</v>
      </c>
    </row>
    <row r="3442" spans="1:10">
      <c r="A3442" s="95" t="s">
        <v>15</v>
      </c>
      <c r="B3442" s="95" t="s">
        <v>123</v>
      </c>
      <c r="C3442" s="51">
        <v>0.76388888888888895</v>
      </c>
      <c r="D3442" s="96">
        <v>0</v>
      </c>
      <c r="E3442" s="96">
        <v>0</v>
      </c>
      <c r="F3442" s="96">
        <v>0</v>
      </c>
      <c r="G3442" s="96">
        <v>0</v>
      </c>
      <c r="H3442" s="96">
        <v>0</v>
      </c>
      <c r="I3442" s="96">
        <v>0</v>
      </c>
      <c r="J3442" s="96">
        <v>0</v>
      </c>
    </row>
    <row r="3443" spans="1:10">
      <c r="A3443" s="95" t="s">
        <v>15</v>
      </c>
      <c r="B3443" s="95" t="s">
        <v>123</v>
      </c>
      <c r="C3443" s="51">
        <v>0.76458333333333295</v>
      </c>
      <c r="D3443" s="96">
        <v>0</v>
      </c>
      <c r="E3443" s="96">
        <v>0</v>
      </c>
      <c r="F3443" s="96">
        <v>0</v>
      </c>
      <c r="G3443" s="96">
        <v>0</v>
      </c>
      <c r="H3443" s="96">
        <v>0</v>
      </c>
      <c r="I3443" s="96">
        <v>0</v>
      </c>
      <c r="J3443" s="96">
        <v>0</v>
      </c>
    </row>
    <row r="3444" spans="1:10">
      <c r="A3444" s="95" t="s">
        <v>15</v>
      </c>
      <c r="B3444" s="95" t="s">
        <v>123</v>
      </c>
      <c r="C3444" s="51">
        <v>0.76527777777777795</v>
      </c>
      <c r="D3444" s="96">
        <v>0</v>
      </c>
      <c r="E3444" s="96">
        <v>0</v>
      </c>
      <c r="F3444" s="96">
        <v>0</v>
      </c>
      <c r="G3444" s="96">
        <v>0</v>
      </c>
      <c r="H3444" s="96">
        <v>0</v>
      </c>
      <c r="I3444" s="96">
        <v>0</v>
      </c>
      <c r="J3444" s="96">
        <v>0</v>
      </c>
    </row>
    <row r="3445" spans="1:10">
      <c r="A3445" s="95" t="s">
        <v>15</v>
      </c>
      <c r="B3445" s="95" t="s">
        <v>123</v>
      </c>
      <c r="C3445" s="51">
        <v>0.76597222222222205</v>
      </c>
      <c r="D3445" s="96">
        <v>0</v>
      </c>
      <c r="E3445" s="96">
        <v>0</v>
      </c>
      <c r="F3445" s="96">
        <v>0</v>
      </c>
      <c r="G3445" s="96">
        <v>0</v>
      </c>
      <c r="H3445" s="96">
        <v>0</v>
      </c>
      <c r="I3445" s="96">
        <v>0</v>
      </c>
      <c r="J3445" s="96">
        <v>0</v>
      </c>
    </row>
    <row r="3446" spans="1:10">
      <c r="A3446" s="95" t="s">
        <v>15</v>
      </c>
      <c r="B3446" s="95" t="s">
        <v>123</v>
      </c>
      <c r="C3446" s="51">
        <v>0.76666666666666605</v>
      </c>
      <c r="D3446" s="96">
        <v>0</v>
      </c>
      <c r="E3446" s="96">
        <v>0</v>
      </c>
      <c r="F3446" s="96">
        <v>0</v>
      </c>
      <c r="G3446" s="96">
        <v>0</v>
      </c>
      <c r="H3446" s="96">
        <v>0</v>
      </c>
      <c r="I3446" s="96">
        <v>0</v>
      </c>
      <c r="J3446" s="96">
        <v>0</v>
      </c>
    </row>
    <row r="3447" spans="1:10">
      <c r="A3447" s="95" t="s">
        <v>15</v>
      </c>
      <c r="B3447" s="95" t="s">
        <v>123</v>
      </c>
      <c r="C3447" s="51">
        <v>0.76736111111111105</v>
      </c>
      <c r="D3447" s="96">
        <v>0</v>
      </c>
      <c r="E3447" s="96">
        <v>0</v>
      </c>
      <c r="F3447" s="96">
        <v>0</v>
      </c>
      <c r="G3447" s="96">
        <v>0</v>
      </c>
      <c r="H3447" s="96">
        <v>0</v>
      </c>
      <c r="I3447" s="96">
        <v>0</v>
      </c>
      <c r="J3447" s="96">
        <v>0</v>
      </c>
    </row>
    <row r="3448" spans="1:10">
      <c r="A3448" s="95" t="s">
        <v>15</v>
      </c>
      <c r="B3448" s="95" t="s">
        <v>123</v>
      </c>
      <c r="C3448" s="51">
        <v>0.76805555555555505</v>
      </c>
      <c r="D3448" s="96">
        <v>0</v>
      </c>
      <c r="E3448" s="96">
        <v>0</v>
      </c>
      <c r="F3448" s="96">
        <v>0</v>
      </c>
      <c r="G3448" s="96">
        <v>0</v>
      </c>
      <c r="H3448" s="96">
        <v>0</v>
      </c>
      <c r="I3448" s="96">
        <v>0</v>
      </c>
      <c r="J3448" s="96">
        <v>0</v>
      </c>
    </row>
    <row r="3449" spans="1:10">
      <c r="A3449" s="95" t="s">
        <v>15</v>
      </c>
      <c r="B3449" s="95" t="s">
        <v>123</v>
      </c>
      <c r="C3449" s="51">
        <v>0.76875000000000004</v>
      </c>
      <c r="D3449" s="96">
        <v>0</v>
      </c>
      <c r="E3449" s="96">
        <v>0</v>
      </c>
      <c r="F3449" s="96">
        <v>0</v>
      </c>
      <c r="G3449" s="96">
        <v>0</v>
      </c>
      <c r="H3449" s="96">
        <v>0</v>
      </c>
      <c r="I3449" s="96">
        <v>0</v>
      </c>
      <c r="J3449" s="96">
        <v>0</v>
      </c>
    </row>
    <row r="3450" spans="1:10">
      <c r="A3450" s="95" t="s">
        <v>15</v>
      </c>
      <c r="B3450" s="95" t="s">
        <v>123</v>
      </c>
      <c r="C3450" s="51">
        <v>0.76944444444444404</v>
      </c>
      <c r="D3450" s="96">
        <v>0</v>
      </c>
      <c r="E3450" s="96">
        <v>0</v>
      </c>
      <c r="F3450" s="96">
        <v>0</v>
      </c>
      <c r="G3450" s="96">
        <v>0</v>
      </c>
      <c r="H3450" s="96">
        <v>0</v>
      </c>
      <c r="I3450" s="96">
        <v>0</v>
      </c>
      <c r="J3450" s="96">
        <v>0</v>
      </c>
    </row>
    <row r="3451" spans="1:10" s="80" customFormat="1">
      <c r="A3451" s="97" t="s">
        <v>15</v>
      </c>
      <c r="B3451" s="97" t="s">
        <v>123</v>
      </c>
      <c r="C3451" s="98">
        <v>0.77013888888888904</v>
      </c>
      <c r="D3451" s="99">
        <v>0</v>
      </c>
      <c r="E3451" s="99">
        <v>0</v>
      </c>
      <c r="F3451" s="99">
        <v>0</v>
      </c>
      <c r="G3451" s="99">
        <v>0</v>
      </c>
      <c r="H3451" s="99">
        <v>0</v>
      </c>
      <c r="I3451" s="99">
        <v>0</v>
      </c>
      <c r="J3451" s="99">
        <v>0</v>
      </c>
    </row>
    <row r="3452" spans="1:10">
      <c r="A3452" s="95" t="s">
        <v>15</v>
      </c>
      <c r="B3452" s="95" t="s">
        <v>123</v>
      </c>
      <c r="C3452" s="51">
        <v>0.77083333333333304</v>
      </c>
      <c r="D3452" s="169">
        <v>0</v>
      </c>
      <c r="E3452" s="169">
        <v>0</v>
      </c>
      <c r="F3452" s="169">
        <v>0</v>
      </c>
      <c r="G3452" s="169">
        <v>0</v>
      </c>
      <c r="H3452" s="169">
        <v>0</v>
      </c>
      <c r="I3452" s="169">
        <v>0</v>
      </c>
      <c r="J3452" s="169">
        <v>0</v>
      </c>
    </row>
    <row r="3453" spans="1:10">
      <c r="A3453" s="95" t="s">
        <v>15</v>
      </c>
      <c r="B3453" s="95" t="s">
        <v>123</v>
      </c>
      <c r="C3453" s="51">
        <v>0.77152777777777803</v>
      </c>
      <c r="D3453" s="96">
        <v>0</v>
      </c>
      <c r="E3453" s="96">
        <v>0</v>
      </c>
      <c r="F3453" s="96">
        <v>0</v>
      </c>
      <c r="G3453" s="96">
        <v>0</v>
      </c>
      <c r="H3453" s="96">
        <v>0</v>
      </c>
      <c r="I3453" s="96">
        <v>0</v>
      </c>
      <c r="J3453" s="96">
        <v>0</v>
      </c>
    </row>
    <row r="3454" spans="1:10">
      <c r="A3454" s="95" t="s">
        <v>15</v>
      </c>
      <c r="B3454" s="95" t="s">
        <v>123</v>
      </c>
      <c r="C3454" s="51">
        <v>0.77222222222222203</v>
      </c>
      <c r="D3454" s="96">
        <v>0</v>
      </c>
      <c r="E3454" s="96">
        <v>0</v>
      </c>
      <c r="F3454" s="96">
        <v>0</v>
      </c>
      <c r="G3454" s="96">
        <v>0</v>
      </c>
      <c r="H3454" s="96">
        <v>0</v>
      </c>
      <c r="I3454" s="96">
        <v>0</v>
      </c>
      <c r="J3454" s="96">
        <v>0</v>
      </c>
    </row>
    <row r="3455" spans="1:10">
      <c r="A3455" s="95" t="s">
        <v>15</v>
      </c>
      <c r="B3455" s="95" t="s">
        <v>123</v>
      </c>
      <c r="C3455" s="51">
        <v>0.77291666666666603</v>
      </c>
      <c r="D3455" s="96">
        <v>0</v>
      </c>
      <c r="E3455" s="96">
        <v>0</v>
      </c>
      <c r="F3455" s="96">
        <v>0</v>
      </c>
      <c r="G3455" s="96">
        <v>0</v>
      </c>
      <c r="H3455" s="96">
        <v>0</v>
      </c>
      <c r="I3455" s="96">
        <v>0</v>
      </c>
      <c r="J3455" s="96">
        <v>0</v>
      </c>
    </row>
    <row r="3456" spans="1:10">
      <c r="A3456" s="95" t="s">
        <v>15</v>
      </c>
      <c r="B3456" s="95" t="s">
        <v>123</v>
      </c>
      <c r="C3456" s="51">
        <v>0.77361111111111103</v>
      </c>
      <c r="D3456" s="96">
        <v>0</v>
      </c>
      <c r="E3456" s="96">
        <v>0</v>
      </c>
      <c r="F3456" s="96">
        <v>0</v>
      </c>
      <c r="G3456" s="96">
        <v>0</v>
      </c>
      <c r="H3456" s="96">
        <v>0</v>
      </c>
      <c r="I3456" s="96">
        <v>0</v>
      </c>
      <c r="J3456" s="96">
        <v>0</v>
      </c>
    </row>
    <row r="3457" spans="1:10">
      <c r="A3457" s="95" t="s">
        <v>15</v>
      </c>
      <c r="B3457" s="95" t="s">
        <v>123</v>
      </c>
      <c r="C3457" s="51">
        <v>0.77430555555555503</v>
      </c>
      <c r="D3457" s="96">
        <v>0</v>
      </c>
      <c r="E3457" s="96">
        <v>0</v>
      </c>
      <c r="F3457" s="96">
        <v>0</v>
      </c>
      <c r="G3457" s="96">
        <v>0</v>
      </c>
      <c r="H3457" s="96">
        <v>0</v>
      </c>
      <c r="I3457" s="96">
        <v>0</v>
      </c>
      <c r="J3457" s="96">
        <v>0</v>
      </c>
    </row>
    <row r="3458" spans="1:10">
      <c r="A3458" s="95" t="s">
        <v>15</v>
      </c>
      <c r="B3458" s="95" t="s">
        <v>123</v>
      </c>
      <c r="C3458" s="51">
        <v>0.77500000000000002</v>
      </c>
      <c r="D3458" s="96">
        <v>0</v>
      </c>
      <c r="E3458" s="96">
        <v>0</v>
      </c>
      <c r="F3458" s="96">
        <v>0</v>
      </c>
      <c r="G3458" s="96">
        <v>0</v>
      </c>
      <c r="H3458" s="96">
        <v>0</v>
      </c>
      <c r="I3458" s="96">
        <v>0</v>
      </c>
      <c r="J3458" s="96">
        <v>0</v>
      </c>
    </row>
    <row r="3459" spans="1:10">
      <c r="A3459" s="95" t="s">
        <v>15</v>
      </c>
      <c r="B3459" s="95" t="s">
        <v>123</v>
      </c>
      <c r="C3459" s="51">
        <v>0.77569444444444402</v>
      </c>
      <c r="D3459" s="96">
        <v>0</v>
      </c>
      <c r="E3459" s="96">
        <v>0</v>
      </c>
      <c r="F3459" s="96">
        <v>0</v>
      </c>
      <c r="G3459" s="96">
        <v>0</v>
      </c>
      <c r="H3459" s="96">
        <v>0</v>
      </c>
      <c r="I3459" s="96">
        <v>0</v>
      </c>
      <c r="J3459" s="96">
        <v>0</v>
      </c>
    </row>
    <row r="3460" spans="1:10">
      <c r="A3460" s="95" t="s">
        <v>15</v>
      </c>
      <c r="B3460" s="95" t="s">
        <v>123</v>
      </c>
      <c r="C3460" s="51">
        <v>0.77638888888888902</v>
      </c>
      <c r="D3460" s="96">
        <v>0</v>
      </c>
      <c r="E3460" s="96">
        <v>0</v>
      </c>
      <c r="F3460" s="96">
        <v>0</v>
      </c>
      <c r="G3460" s="96">
        <v>0</v>
      </c>
      <c r="H3460" s="96">
        <v>0</v>
      </c>
      <c r="I3460" s="96">
        <v>0</v>
      </c>
      <c r="J3460" s="96">
        <v>0</v>
      </c>
    </row>
    <row r="3461" spans="1:10">
      <c r="A3461" s="95" t="s">
        <v>15</v>
      </c>
      <c r="B3461" s="95" t="s">
        <v>123</v>
      </c>
      <c r="C3461" s="51">
        <v>0.77708333333333302</v>
      </c>
      <c r="D3461" s="96">
        <v>0</v>
      </c>
      <c r="E3461" s="96">
        <v>0</v>
      </c>
      <c r="F3461" s="96">
        <v>0</v>
      </c>
      <c r="G3461" s="96">
        <v>0</v>
      </c>
      <c r="H3461" s="96">
        <v>0</v>
      </c>
      <c r="I3461" s="96">
        <v>0</v>
      </c>
      <c r="J3461" s="96">
        <v>0</v>
      </c>
    </row>
    <row r="3462" spans="1:10">
      <c r="A3462" s="95" t="s">
        <v>15</v>
      </c>
      <c r="B3462" s="95" t="s">
        <v>123</v>
      </c>
      <c r="C3462" s="51">
        <v>0.77777777777777801</v>
      </c>
      <c r="D3462" s="96">
        <v>0</v>
      </c>
      <c r="E3462" s="96">
        <v>0</v>
      </c>
      <c r="F3462" s="96">
        <v>0</v>
      </c>
      <c r="G3462" s="96">
        <v>0</v>
      </c>
      <c r="H3462" s="96">
        <v>0</v>
      </c>
      <c r="I3462" s="96">
        <v>0</v>
      </c>
      <c r="J3462" s="96">
        <v>0</v>
      </c>
    </row>
    <row r="3463" spans="1:10">
      <c r="A3463" s="95" t="s">
        <v>15</v>
      </c>
      <c r="B3463" s="95" t="s">
        <v>123</v>
      </c>
      <c r="C3463" s="51">
        <v>0.77847222222222201</v>
      </c>
      <c r="D3463" s="96">
        <v>0</v>
      </c>
      <c r="E3463" s="96">
        <v>0</v>
      </c>
      <c r="F3463" s="96">
        <v>0</v>
      </c>
      <c r="G3463" s="96">
        <v>0</v>
      </c>
      <c r="H3463" s="96">
        <v>0</v>
      </c>
      <c r="I3463" s="96">
        <v>0</v>
      </c>
      <c r="J3463" s="96">
        <v>0</v>
      </c>
    </row>
    <row r="3464" spans="1:10">
      <c r="A3464" s="95" t="s">
        <v>15</v>
      </c>
      <c r="B3464" s="95" t="s">
        <v>123</v>
      </c>
      <c r="C3464" s="51">
        <v>0.77916666666666601</v>
      </c>
      <c r="D3464" s="96">
        <v>0</v>
      </c>
      <c r="E3464" s="96">
        <v>0</v>
      </c>
      <c r="F3464" s="96">
        <v>0</v>
      </c>
      <c r="G3464" s="96">
        <v>0</v>
      </c>
      <c r="H3464" s="96">
        <v>0</v>
      </c>
      <c r="I3464" s="96">
        <v>0</v>
      </c>
      <c r="J3464" s="96">
        <v>0</v>
      </c>
    </row>
    <row r="3465" spans="1:10">
      <c r="A3465" s="95" t="s">
        <v>15</v>
      </c>
      <c r="B3465" s="95" t="s">
        <v>123</v>
      </c>
      <c r="C3465" s="51">
        <v>0.77986111111111101</v>
      </c>
      <c r="D3465" s="96">
        <v>0</v>
      </c>
      <c r="E3465" s="96">
        <v>0</v>
      </c>
      <c r="F3465" s="96">
        <v>0</v>
      </c>
      <c r="G3465" s="96">
        <v>0</v>
      </c>
      <c r="H3465" s="96">
        <v>0</v>
      </c>
      <c r="I3465" s="96">
        <v>0</v>
      </c>
      <c r="J3465" s="96">
        <v>0</v>
      </c>
    </row>
    <row r="3466" spans="1:10" s="80" customFormat="1">
      <c r="A3466" s="97" t="s">
        <v>15</v>
      </c>
      <c r="B3466" s="97" t="s">
        <v>123</v>
      </c>
      <c r="C3466" s="98">
        <v>0.780555555555555</v>
      </c>
      <c r="D3466" s="99">
        <v>0</v>
      </c>
      <c r="E3466" s="99">
        <v>0</v>
      </c>
      <c r="F3466" s="99">
        <v>0</v>
      </c>
      <c r="G3466" s="99">
        <v>0</v>
      </c>
      <c r="H3466" s="99">
        <v>0</v>
      </c>
      <c r="I3466" s="99">
        <v>0</v>
      </c>
      <c r="J3466" s="99">
        <v>0</v>
      </c>
    </row>
    <row r="3467" spans="1:10">
      <c r="A3467" s="95" t="s">
        <v>15</v>
      </c>
      <c r="B3467" s="95" t="s">
        <v>123</v>
      </c>
      <c r="C3467" s="51">
        <v>0.78125</v>
      </c>
      <c r="D3467" s="169">
        <v>0</v>
      </c>
      <c r="E3467" s="169">
        <v>0</v>
      </c>
      <c r="F3467" s="169">
        <v>0</v>
      </c>
      <c r="G3467" s="169">
        <v>0</v>
      </c>
      <c r="H3467" s="169">
        <v>0</v>
      </c>
      <c r="I3467" s="169">
        <v>0</v>
      </c>
      <c r="J3467" s="169">
        <v>0</v>
      </c>
    </row>
    <row r="3468" spans="1:10">
      <c r="A3468" s="95" t="s">
        <v>15</v>
      </c>
      <c r="B3468" s="95" t="s">
        <v>123</v>
      </c>
      <c r="C3468" s="51">
        <v>0.781944444444444</v>
      </c>
      <c r="D3468" s="96">
        <v>0</v>
      </c>
      <c r="E3468" s="96">
        <v>0</v>
      </c>
      <c r="F3468" s="96">
        <v>0</v>
      </c>
      <c r="G3468" s="96">
        <v>0</v>
      </c>
      <c r="H3468" s="96">
        <v>0</v>
      </c>
      <c r="I3468" s="96">
        <v>0</v>
      </c>
      <c r="J3468" s="96">
        <v>0</v>
      </c>
    </row>
    <row r="3469" spans="1:10">
      <c r="A3469" s="95" t="s">
        <v>15</v>
      </c>
      <c r="B3469" s="95" t="s">
        <v>123</v>
      </c>
      <c r="C3469" s="51">
        <v>0.78263888888888899</v>
      </c>
      <c r="D3469" s="96">
        <v>0</v>
      </c>
      <c r="E3469" s="96">
        <v>0</v>
      </c>
      <c r="F3469" s="96">
        <v>0</v>
      </c>
      <c r="G3469" s="96">
        <v>0</v>
      </c>
      <c r="H3469" s="96">
        <v>0</v>
      </c>
      <c r="I3469" s="96">
        <v>0</v>
      </c>
      <c r="J3469" s="96">
        <v>0</v>
      </c>
    </row>
    <row r="3470" spans="1:10">
      <c r="A3470" s="95" t="s">
        <v>15</v>
      </c>
      <c r="B3470" s="95" t="s">
        <v>123</v>
      </c>
      <c r="C3470" s="51">
        <v>0.78333333333333299</v>
      </c>
      <c r="D3470" s="96">
        <v>0</v>
      </c>
      <c r="E3470" s="96">
        <v>0</v>
      </c>
      <c r="F3470" s="96">
        <v>0</v>
      </c>
      <c r="G3470" s="96">
        <v>0</v>
      </c>
      <c r="H3470" s="96">
        <v>0</v>
      </c>
      <c r="I3470" s="96">
        <v>0</v>
      </c>
      <c r="J3470" s="96">
        <v>0</v>
      </c>
    </row>
    <row r="3471" spans="1:10">
      <c r="A3471" s="95" t="s">
        <v>15</v>
      </c>
      <c r="B3471" s="95" t="s">
        <v>123</v>
      </c>
      <c r="C3471" s="51">
        <v>0.78402777777777799</v>
      </c>
      <c r="D3471" s="96">
        <v>0</v>
      </c>
      <c r="E3471" s="96">
        <v>0</v>
      </c>
      <c r="F3471" s="96">
        <v>0</v>
      </c>
      <c r="G3471" s="96">
        <v>0</v>
      </c>
      <c r="H3471" s="96">
        <v>0</v>
      </c>
      <c r="I3471" s="96">
        <v>0</v>
      </c>
      <c r="J3471" s="96">
        <v>0</v>
      </c>
    </row>
    <row r="3472" spans="1:10">
      <c r="A3472" s="95" t="s">
        <v>15</v>
      </c>
      <c r="B3472" s="95" t="s">
        <v>123</v>
      </c>
      <c r="C3472" s="51">
        <v>0.78472222222222199</v>
      </c>
      <c r="D3472" s="96">
        <v>0</v>
      </c>
      <c r="E3472" s="96">
        <v>0</v>
      </c>
      <c r="F3472" s="96">
        <v>0</v>
      </c>
      <c r="G3472" s="96">
        <v>0</v>
      </c>
      <c r="H3472" s="96">
        <v>0</v>
      </c>
      <c r="I3472" s="96">
        <v>0</v>
      </c>
      <c r="J3472" s="96">
        <v>0</v>
      </c>
    </row>
    <row r="3473" spans="1:10">
      <c r="A3473" s="95" t="s">
        <v>15</v>
      </c>
      <c r="B3473" s="95" t="s">
        <v>123</v>
      </c>
      <c r="C3473" s="51">
        <v>0.78541666666666599</v>
      </c>
      <c r="D3473" s="96">
        <v>0</v>
      </c>
      <c r="E3473" s="96">
        <v>0</v>
      </c>
      <c r="F3473" s="96">
        <v>0</v>
      </c>
      <c r="G3473" s="96">
        <v>0</v>
      </c>
      <c r="H3473" s="96">
        <v>0</v>
      </c>
      <c r="I3473" s="96">
        <v>0</v>
      </c>
      <c r="J3473" s="96">
        <v>0</v>
      </c>
    </row>
    <row r="3474" spans="1:10">
      <c r="A3474" s="95" t="s">
        <v>15</v>
      </c>
      <c r="B3474" s="95" t="s">
        <v>123</v>
      </c>
      <c r="C3474" s="51">
        <v>0.78611111111111098</v>
      </c>
      <c r="D3474" s="96">
        <v>0</v>
      </c>
      <c r="E3474" s="96">
        <v>0</v>
      </c>
      <c r="F3474" s="96">
        <v>0</v>
      </c>
      <c r="G3474" s="96">
        <v>0</v>
      </c>
      <c r="H3474" s="96">
        <v>0</v>
      </c>
      <c r="I3474" s="96">
        <v>0</v>
      </c>
      <c r="J3474" s="96">
        <v>0</v>
      </c>
    </row>
    <row r="3475" spans="1:10">
      <c r="A3475" s="95" t="s">
        <v>15</v>
      </c>
      <c r="B3475" s="95" t="s">
        <v>123</v>
      </c>
      <c r="C3475" s="51">
        <v>0.78680555555555498</v>
      </c>
      <c r="D3475" s="96">
        <v>0</v>
      </c>
      <c r="E3475" s="96">
        <v>0</v>
      </c>
      <c r="F3475" s="96">
        <v>0</v>
      </c>
      <c r="G3475" s="96">
        <v>0</v>
      </c>
      <c r="H3475" s="96">
        <v>0</v>
      </c>
      <c r="I3475" s="96">
        <v>0</v>
      </c>
      <c r="J3475" s="96">
        <v>0</v>
      </c>
    </row>
    <row r="3476" spans="1:10">
      <c r="A3476" s="95" t="s">
        <v>15</v>
      </c>
      <c r="B3476" s="95" t="s">
        <v>123</v>
      </c>
      <c r="C3476" s="51">
        <v>0.78749999999999998</v>
      </c>
      <c r="D3476" s="96">
        <v>0</v>
      </c>
      <c r="E3476" s="96">
        <v>0</v>
      </c>
      <c r="F3476" s="96">
        <v>0</v>
      </c>
      <c r="G3476" s="96">
        <v>0</v>
      </c>
      <c r="H3476" s="96">
        <v>0</v>
      </c>
      <c r="I3476" s="96">
        <v>0</v>
      </c>
      <c r="J3476" s="96">
        <v>0</v>
      </c>
    </row>
    <row r="3477" spans="1:10">
      <c r="A3477" s="95" t="s">
        <v>15</v>
      </c>
      <c r="B3477" s="95" t="s">
        <v>123</v>
      </c>
      <c r="C3477" s="51">
        <v>0.78819444444444398</v>
      </c>
      <c r="D3477" s="96">
        <v>0</v>
      </c>
      <c r="E3477" s="96">
        <v>0</v>
      </c>
      <c r="F3477" s="96">
        <v>0</v>
      </c>
      <c r="G3477" s="96">
        <v>0</v>
      </c>
      <c r="H3477" s="96">
        <v>0</v>
      </c>
      <c r="I3477" s="96">
        <v>0</v>
      </c>
      <c r="J3477" s="96">
        <v>0</v>
      </c>
    </row>
    <row r="3478" spans="1:10">
      <c r="A3478" s="95" t="s">
        <v>15</v>
      </c>
      <c r="B3478" s="95" t="s">
        <v>123</v>
      </c>
      <c r="C3478" s="51">
        <v>0.78888888888888897</v>
      </c>
      <c r="D3478" s="96">
        <v>0</v>
      </c>
      <c r="E3478" s="96">
        <v>0</v>
      </c>
      <c r="F3478" s="96">
        <v>0</v>
      </c>
      <c r="G3478" s="96">
        <v>0</v>
      </c>
      <c r="H3478" s="96">
        <v>0</v>
      </c>
      <c r="I3478" s="96">
        <v>0</v>
      </c>
      <c r="J3478" s="96">
        <v>0</v>
      </c>
    </row>
    <row r="3479" spans="1:10">
      <c r="A3479" s="95" t="s">
        <v>15</v>
      </c>
      <c r="B3479" s="95" t="s">
        <v>123</v>
      </c>
      <c r="C3479" s="51">
        <v>0.78958333333333297</v>
      </c>
      <c r="D3479" s="96">
        <v>0</v>
      </c>
      <c r="E3479" s="96">
        <v>0</v>
      </c>
      <c r="F3479" s="96">
        <v>0</v>
      </c>
      <c r="G3479" s="96">
        <v>0</v>
      </c>
      <c r="H3479" s="96">
        <v>0</v>
      </c>
      <c r="I3479" s="96">
        <v>0</v>
      </c>
      <c r="J3479" s="96">
        <v>0</v>
      </c>
    </row>
    <row r="3480" spans="1:10">
      <c r="A3480" s="95" t="s">
        <v>15</v>
      </c>
      <c r="B3480" s="95" t="s">
        <v>123</v>
      </c>
      <c r="C3480" s="51">
        <v>0.79027777777777797</v>
      </c>
      <c r="D3480" s="96">
        <v>0</v>
      </c>
      <c r="E3480" s="96">
        <v>0</v>
      </c>
      <c r="F3480" s="96">
        <v>0</v>
      </c>
      <c r="G3480" s="96">
        <v>0</v>
      </c>
      <c r="H3480" s="96">
        <v>0</v>
      </c>
      <c r="I3480" s="96">
        <v>0</v>
      </c>
      <c r="J3480" s="96">
        <v>0</v>
      </c>
    </row>
    <row r="3481" spans="1:10" s="28" customFormat="1" ht="17.5" thickBot="1">
      <c r="A3481" s="107" t="s">
        <v>15</v>
      </c>
      <c r="B3481" s="107" t="s">
        <v>123</v>
      </c>
      <c r="C3481" s="108">
        <v>0.79097222222222197</v>
      </c>
      <c r="D3481" s="109">
        <v>0</v>
      </c>
      <c r="E3481" s="109">
        <v>0</v>
      </c>
      <c r="F3481" s="109">
        <v>0</v>
      </c>
      <c r="G3481" s="109">
        <v>0</v>
      </c>
      <c r="H3481" s="109">
        <v>0</v>
      </c>
      <c r="I3481" s="109">
        <v>0</v>
      </c>
      <c r="J3481" s="109">
        <v>0</v>
      </c>
    </row>
    <row r="3482" spans="1:10">
      <c r="A3482" s="95" t="s">
        <v>15</v>
      </c>
      <c r="B3482" s="95" t="s">
        <v>126</v>
      </c>
      <c r="C3482" s="51">
        <v>0.70833333333333337</v>
      </c>
      <c r="D3482" s="171">
        <v>0</v>
      </c>
      <c r="E3482" s="171">
        <v>0</v>
      </c>
      <c r="F3482" s="171">
        <v>0</v>
      </c>
      <c r="G3482" s="171">
        <v>0</v>
      </c>
      <c r="H3482" s="171">
        <v>0</v>
      </c>
      <c r="I3482" s="171">
        <v>0</v>
      </c>
      <c r="J3482" s="171">
        <v>0</v>
      </c>
    </row>
    <row r="3483" spans="1:10">
      <c r="A3483" s="95" t="s">
        <v>15</v>
      </c>
      <c r="B3483" s="95" t="s">
        <v>125</v>
      </c>
      <c r="C3483" s="51">
        <v>0.70902777777777781</v>
      </c>
      <c r="D3483" s="96">
        <v>0</v>
      </c>
      <c r="E3483" s="96">
        <v>0</v>
      </c>
      <c r="F3483" s="96">
        <v>0</v>
      </c>
      <c r="G3483" s="96">
        <v>0</v>
      </c>
      <c r="H3483" s="96">
        <v>0</v>
      </c>
      <c r="I3483" s="96">
        <v>0</v>
      </c>
      <c r="J3483" s="96">
        <v>0</v>
      </c>
    </row>
    <row r="3484" spans="1:10">
      <c r="A3484" s="95" t="s">
        <v>15</v>
      </c>
      <c r="B3484" s="95" t="s">
        <v>125</v>
      </c>
      <c r="C3484" s="51">
        <v>0.70972222222222203</v>
      </c>
      <c r="D3484" s="96">
        <v>0</v>
      </c>
      <c r="E3484" s="96">
        <v>0</v>
      </c>
      <c r="F3484" s="96">
        <v>0</v>
      </c>
      <c r="G3484" s="96">
        <v>0</v>
      </c>
      <c r="H3484" s="96">
        <v>0</v>
      </c>
      <c r="I3484" s="96">
        <v>0</v>
      </c>
      <c r="J3484" s="96">
        <v>0</v>
      </c>
    </row>
    <row r="3485" spans="1:10">
      <c r="A3485" s="95" t="s">
        <v>15</v>
      </c>
      <c r="B3485" s="95" t="s">
        <v>125</v>
      </c>
      <c r="C3485" s="51">
        <v>0.71041666666666703</v>
      </c>
      <c r="D3485" s="96">
        <v>0</v>
      </c>
      <c r="E3485" s="96">
        <v>0</v>
      </c>
      <c r="F3485" s="96">
        <v>0</v>
      </c>
      <c r="G3485" s="96">
        <v>0</v>
      </c>
      <c r="H3485" s="96">
        <v>0</v>
      </c>
      <c r="I3485" s="96">
        <v>0</v>
      </c>
      <c r="J3485" s="96">
        <v>0</v>
      </c>
    </row>
    <row r="3486" spans="1:10">
      <c r="A3486" s="95" t="s">
        <v>15</v>
      </c>
      <c r="B3486" s="95" t="s">
        <v>125</v>
      </c>
      <c r="C3486" s="51">
        <v>0.71111111111111103</v>
      </c>
      <c r="D3486" s="96">
        <v>0</v>
      </c>
      <c r="E3486" s="96">
        <v>0</v>
      </c>
      <c r="F3486" s="96">
        <v>0</v>
      </c>
      <c r="G3486" s="96">
        <v>0</v>
      </c>
      <c r="H3486" s="96">
        <v>0</v>
      </c>
      <c r="I3486" s="96">
        <v>0</v>
      </c>
      <c r="J3486" s="96">
        <v>0</v>
      </c>
    </row>
    <row r="3487" spans="1:10">
      <c r="A3487" s="95" t="s">
        <v>15</v>
      </c>
      <c r="B3487" s="95" t="s">
        <v>125</v>
      </c>
      <c r="C3487" s="51">
        <v>0.71180555555555602</v>
      </c>
      <c r="D3487" s="96">
        <v>0</v>
      </c>
      <c r="E3487" s="96">
        <v>0</v>
      </c>
      <c r="F3487" s="96">
        <v>0</v>
      </c>
      <c r="G3487" s="96">
        <v>0</v>
      </c>
      <c r="H3487" s="96">
        <v>0</v>
      </c>
      <c r="I3487" s="96">
        <v>0</v>
      </c>
      <c r="J3487" s="96">
        <v>0</v>
      </c>
    </row>
    <row r="3488" spans="1:10">
      <c r="A3488" s="95" t="s">
        <v>15</v>
      </c>
      <c r="B3488" s="95" t="s">
        <v>125</v>
      </c>
      <c r="C3488" s="51">
        <v>0.71250000000000002</v>
      </c>
      <c r="D3488" s="96">
        <v>0</v>
      </c>
      <c r="E3488" s="96">
        <v>0</v>
      </c>
      <c r="F3488" s="96">
        <v>0</v>
      </c>
      <c r="G3488" s="96">
        <v>0</v>
      </c>
      <c r="H3488" s="96">
        <v>0</v>
      </c>
      <c r="I3488" s="96">
        <v>0</v>
      </c>
      <c r="J3488" s="96">
        <v>0</v>
      </c>
    </row>
    <row r="3489" spans="1:10">
      <c r="A3489" s="95" t="s">
        <v>15</v>
      </c>
      <c r="B3489" s="95" t="s">
        <v>125</v>
      </c>
      <c r="C3489" s="51">
        <v>0.71319444444444402</v>
      </c>
      <c r="D3489" s="96">
        <v>0</v>
      </c>
      <c r="E3489" s="96">
        <v>0</v>
      </c>
      <c r="F3489" s="96">
        <v>0</v>
      </c>
      <c r="G3489" s="96">
        <v>0</v>
      </c>
      <c r="H3489" s="96">
        <v>0</v>
      </c>
      <c r="I3489" s="96">
        <v>0</v>
      </c>
      <c r="J3489" s="96">
        <v>0</v>
      </c>
    </row>
    <row r="3490" spans="1:10">
      <c r="A3490" s="95" t="s">
        <v>15</v>
      </c>
      <c r="B3490" s="95" t="s">
        <v>125</v>
      </c>
      <c r="C3490" s="51">
        <v>0.71388888888888902</v>
      </c>
      <c r="D3490" s="96">
        <v>0</v>
      </c>
      <c r="E3490" s="96">
        <v>0</v>
      </c>
      <c r="F3490" s="96">
        <v>0</v>
      </c>
      <c r="G3490" s="96">
        <v>0</v>
      </c>
      <c r="H3490" s="96">
        <v>0</v>
      </c>
      <c r="I3490" s="96">
        <v>0</v>
      </c>
      <c r="J3490" s="96">
        <v>0</v>
      </c>
    </row>
    <row r="3491" spans="1:10">
      <c r="A3491" s="95" t="s">
        <v>15</v>
      </c>
      <c r="B3491" s="95" t="s">
        <v>125</v>
      </c>
      <c r="C3491" s="51">
        <v>0.71458333333333302</v>
      </c>
      <c r="D3491" s="96">
        <v>0</v>
      </c>
      <c r="E3491" s="96">
        <v>0</v>
      </c>
      <c r="F3491" s="96">
        <v>0</v>
      </c>
      <c r="G3491" s="96">
        <v>0</v>
      </c>
      <c r="H3491" s="96">
        <v>0</v>
      </c>
      <c r="I3491" s="96">
        <v>0</v>
      </c>
      <c r="J3491" s="96">
        <v>0</v>
      </c>
    </row>
    <row r="3492" spans="1:10">
      <c r="A3492" s="95" t="s">
        <v>15</v>
      </c>
      <c r="B3492" s="95" t="s">
        <v>125</v>
      </c>
      <c r="C3492" s="51">
        <v>0.71527777777777801</v>
      </c>
      <c r="D3492" s="96">
        <v>0</v>
      </c>
      <c r="E3492" s="96">
        <v>0</v>
      </c>
      <c r="F3492" s="96">
        <v>0</v>
      </c>
      <c r="G3492" s="96">
        <v>0</v>
      </c>
      <c r="H3492" s="96">
        <v>0</v>
      </c>
      <c r="I3492" s="96">
        <v>0</v>
      </c>
      <c r="J3492" s="96">
        <v>0</v>
      </c>
    </row>
    <row r="3493" spans="1:10">
      <c r="A3493" s="95" t="s">
        <v>15</v>
      </c>
      <c r="B3493" s="95" t="s">
        <v>125</v>
      </c>
      <c r="C3493" s="51">
        <v>0.71597222222222201</v>
      </c>
      <c r="D3493" s="96">
        <v>0</v>
      </c>
      <c r="E3493" s="96">
        <v>0</v>
      </c>
      <c r="F3493" s="96">
        <v>0</v>
      </c>
      <c r="G3493" s="96">
        <v>0</v>
      </c>
      <c r="H3493" s="96">
        <v>0</v>
      </c>
      <c r="I3493" s="96">
        <v>0</v>
      </c>
      <c r="J3493" s="96">
        <v>0</v>
      </c>
    </row>
    <row r="3494" spans="1:10">
      <c r="A3494" s="95" t="s">
        <v>15</v>
      </c>
      <c r="B3494" s="95" t="s">
        <v>125</v>
      </c>
      <c r="C3494" s="51">
        <v>0.71666666666666701</v>
      </c>
      <c r="D3494" s="96">
        <v>0</v>
      </c>
      <c r="E3494" s="96">
        <v>0</v>
      </c>
      <c r="F3494" s="96">
        <v>0</v>
      </c>
      <c r="G3494" s="96">
        <v>0</v>
      </c>
      <c r="H3494" s="96">
        <v>0</v>
      </c>
      <c r="I3494" s="96">
        <v>0</v>
      </c>
      <c r="J3494" s="96">
        <v>0</v>
      </c>
    </row>
    <row r="3495" spans="1:10">
      <c r="A3495" s="95" t="s">
        <v>15</v>
      </c>
      <c r="B3495" s="95" t="s">
        <v>125</v>
      </c>
      <c r="C3495" s="51">
        <v>0.71736111111111101</v>
      </c>
      <c r="D3495" s="96">
        <v>0</v>
      </c>
      <c r="E3495" s="96">
        <v>0</v>
      </c>
      <c r="F3495" s="96">
        <v>0</v>
      </c>
      <c r="G3495" s="96">
        <v>0</v>
      </c>
      <c r="H3495" s="96">
        <v>0</v>
      </c>
      <c r="I3495" s="96">
        <v>0</v>
      </c>
      <c r="J3495" s="96">
        <v>0</v>
      </c>
    </row>
    <row r="3496" spans="1:10" s="80" customFormat="1">
      <c r="A3496" s="97" t="s">
        <v>15</v>
      </c>
      <c r="B3496" s="97" t="s">
        <v>125</v>
      </c>
      <c r="C3496" s="98">
        <v>0.718055555555556</v>
      </c>
      <c r="D3496" s="96">
        <v>0</v>
      </c>
      <c r="E3496" s="96">
        <v>0</v>
      </c>
      <c r="F3496" s="96">
        <v>0</v>
      </c>
      <c r="G3496" s="96">
        <v>0</v>
      </c>
      <c r="H3496" s="96">
        <v>0</v>
      </c>
      <c r="I3496" s="96">
        <v>0</v>
      </c>
      <c r="J3496" s="96">
        <v>0</v>
      </c>
    </row>
    <row r="3497" spans="1:10">
      <c r="A3497" s="95" t="s">
        <v>15</v>
      </c>
      <c r="B3497" s="95" t="s">
        <v>125</v>
      </c>
      <c r="C3497" s="51">
        <v>0.71875</v>
      </c>
      <c r="D3497" s="169">
        <v>0</v>
      </c>
      <c r="E3497" s="169">
        <v>0</v>
      </c>
      <c r="F3497" s="169">
        <v>0</v>
      </c>
      <c r="G3497" s="169">
        <v>0</v>
      </c>
      <c r="H3497" s="169">
        <v>0</v>
      </c>
      <c r="I3497" s="169">
        <v>0</v>
      </c>
      <c r="J3497" s="169">
        <v>0</v>
      </c>
    </row>
    <row r="3498" spans="1:10">
      <c r="A3498" s="95" t="s">
        <v>15</v>
      </c>
      <c r="B3498" s="95" t="s">
        <v>125</v>
      </c>
      <c r="C3498" s="51">
        <v>0.719444444444444</v>
      </c>
      <c r="D3498" s="96">
        <v>0</v>
      </c>
      <c r="E3498" s="96">
        <v>0</v>
      </c>
      <c r="F3498" s="96">
        <v>0</v>
      </c>
      <c r="G3498" s="96">
        <v>0</v>
      </c>
      <c r="H3498" s="96">
        <v>0</v>
      </c>
      <c r="I3498" s="96">
        <v>0</v>
      </c>
      <c r="J3498" s="96">
        <v>0</v>
      </c>
    </row>
    <row r="3499" spans="1:10">
      <c r="A3499" s="95" t="s">
        <v>15</v>
      </c>
      <c r="B3499" s="95" t="s">
        <v>125</v>
      </c>
      <c r="C3499" s="51">
        <v>0.72013888888888899</v>
      </c>
      <c r="D3499" s="96">
        <v>0</v>
      </c>
      <c r="E3499" s="96">
        <v>0</v>
      </c>
      <c r="F3499" s="96">
        <v>0</v>
      </c>
      <c r="G3499" s="96">
        <v>0</v>
      </c>
      <c r="H3499" s="96">
        <v>0</v>
      </c>
      <c r="I3499" s="96">
        <v>0</v>
      </c>
      <c r="J3499" s="96">
        <v>0</v>
      </c>
    </row>
    <row r="3500" spans="1:10">
      <c r="A3500" s="95" t="s">
        <v>15</v>
      </c>
      <c r="B3500" s="95" t="s">
        <v>125</v>
      </c>
      <c r="C3500" s="51">
        <v>0.72083333333333299</v>
      </c>
      <c r="D3500" s="96">
        <v>0</v>
      </c>
      <c r="E3500" s="96">
        <v>0</v>
      </c>
      <c r="F3500" s="96">
        <v>0</v>
      </c>
      <c r="G3500" s="96">
        <v>0</v>
      </c>
      <c r="H3500" s="96">
        <v>0</v>
      </c>
      <c r="I3500" s="96">
        <v>0</v>
      </c>
      <c r="J3500" s="96">
        <v>0</v>
      </c>
    </row>
    <row r="3501" spans="1:10">
      <c r="A3501" s="95" t="s">
        <v>15</v>
      </c>
      <c r="B3501" s="95" t="s">
        <v>125</v>
      </c>
      <c r="C3501" s="51">
        <v>0.72152777777777799</v>
      </c>
      <c r="D3501" s="96">
        <v>0</v>
      </c>
      <c r="E3501" s="96">
        <v>0</v>
      </c>
      <c r="F3501" s="96">
        <v>0</v>
      </c>
      <c r="G3501" s="96">
        <v>0</v>
      </c>
      <c r="H3501" s="96">
        <v>0</v>
      </c>
      <c r="I3501" s="96">
        <v>0</v>
      </c>
      <c r="J3501" s="96">
        <v>0</v>
      </c>
    </row>
    <row r="3502" spans="1:10">
      <c r="A3502" s="95" t="s">
        <v>15</v>
      </c>
      <c r="B3502" s="95" t="s">
        <v>125</v>
      </c>
      <c r="C3502" s="51">
        <v>0.72222222222222199</v>
      </c>
      <c r="D3502" s="96">
        <v>0</v>
      </c>
      <c r="E3502" s="96">
        <v>0</v>
      </c>
      <c r="F3502" s="96">
        <v>0</v>
      </c>
      <c r="G3502" s="96">
        <v>0</v>
      </c>
      <c r="H3502" s="96">
        <v>0</v>
      </c>
      <c r="I3502" s="96">
        <v>0</v>
      </c>
      <c r="J3502" s="96">
        <v>0</v>
      </c>
    </row>
    <row r="3503" spans="1:10">
      <c r="A3503" s="95" t="s">
        <v>15</v>
      </c>
      <c r="B3503" s="95" t="s">
        <v>125</v>
      </c>
      <c r="C3503" s="51">
        <v>0.72291666666666698</v>
      </c>
      <c r="D3503" s="96">
        <v>0</v>
      </c>
      <c r="E3503" s="96">
        <v>0</v>
      </c>
      <c r="F3503" s="96">
        <v>0</v>
      </c>
      <c r="G3503" s="96">
        <v>0</v>
      </c>
      <c r="H3503" s="96">
        <v>0</v>
      </c>
      <c r="I3503" s="96">
        <v>0</v>
      </c>
      <c r="J3503" s="96">
        <v>0</v>
      </c>
    </row>
    <row r="3504" spans="1:10">
      <c r="A3504" s="95" t="s">
        <v>15</v>
      </c>
      <c r="B3504" s="95" t="s">
        <v>125</v>
      </c>
      <c r="C3504" s="51">
        <v>0.72361111111111098</v>
      </c>
      <c r="D3504" s="96">
        <v>0</v>
      </c>
      <c r="E3504" s="96">
        <v>0</v>
      </c>
      <c r="F3504" s="96">
        <v>0</v>
      </c>
      <c r="G3504" s="96">
        <v>0</v>
      </c>
      <c r="H3504" s="96">
        <v>0</v>
      </c>
      <c r="I3504" s="96">
        <v>0</v>
      </c>
      <c r="J3504" s="96">
        <v>0</v>
      </c>
    </row>
    <row r="3505" spans="1:10">
      <c r="A3505" s="95" t="s">
        <v>15</v>
      </c>
      <c r="B3505" s="95" t="s">
        <v>125</v>
      </c>
      <c r="C3505" s="51">
        <v>0.72430555555555598</v>
      </c>
      <c r="D3505" s="96">
        <v>0</v>
      </c>
      <c r="E3505" s="96">
        <v>0</v>
      </c>
      <c r="F3505" s="96">
        <v>0</v>
      </c>
      <c r="G3505" s="96">
        <v>0</v>
      </c>
      <c r="H3505" s="96">
        <v>0</v>
      </c>
      <c r="I3505" s="96">
        <v>0</v>
      </c>
      <c r="J3505" s="96">
        <v>0</v>
      </c>
    </row>
    <row r="3506" spans="1:10">
      <c r="A3506" s="95" t="s">
        <v>15</v>
      </c>
      <c r="B3506" s="95" t="s">
        <v>125</v>
      </c>
      <c r="C3506" s="51">
        <v>0.72499999999999998</v>
      </c>
      <c r="D3506" s="96">
        <v>0</v>
      </c>
      <c r="E3506" s="96">
        <v>0</v>
      </c>
      <c r="F3506" s="96">
        <v>0</v>
      </c>
      <c r="G3506" s="96">
        <v>0</v>
      </c>
      <c r="H3506" s="96">
        <v>0</v>
      </c>
      <c r="I3506" s="96">
        <v>0</v>
      </c>
      <c r="J3506" s="96">
        <v>0</v>
      </c>
    </row>
    <row r="3507" spans="1:10">
      <c r="A3507" s="95" t="s">
        <v>15</v>
      </c>
      <c r="B3507" s="95" t="s">
        <v>125</v>
      </c>
      <c r="C3507" s="51">
        <v>0.72569444444444398</v>
      </c>
      <c r="D3507" s="96">
        <v>0</v>
      </c>
      <c r="E3507" s="96">
        <v>0</v>
      </c>
      <c r="F3507" s="96">
        <v>0</v>
      </c>
      <c r="G3507" s="96">
        <v>0</v>
      </c>
      <c r="H3507" s="96">
        <v>0</v>
      </c>
      <c r="I3507" s="96">
        <v>0</v>
      </c>
      <c r="J3507" s="96">
        <v>0</v>
      </c>
    </row>
    <row r="3508" spans="1:10">
      <c r="A3508" s="95" t="s">
        <v>15</v>
      </c>
      <c r="B3508" s="95" t="s">
        <v>125</v>
      </c>
      <c r="C3508" s="51">
        <v>0.72638888888888897</v>
      </c>
      <c r="D3508" s="96">
        <v>0</v>
      </c>
      <c r="E3508" s="96">
        <v>0</v>
      </c>
      <c r="F3508" s="96">
        <v>0</v>
      </c>
      <c r="G3508" s="96">
        <v>0</v>
      </c>
      <c r="H3508" s="96">
        <v>0</v>
      </c>
      <c r="I3508" s="96">
        <v>0</v>
      </c>
      <c r="J3508" s="96">
        <v>0</v>
      </c>
    </row>
    <row r="3509" spans="1:10">
      <c r="A3509" s="95" t="s">
        <v>15</v>
      </c>
      <c r="B3509" s="95" t="s">
        <v>125</v>
      </c>
      <c r="C3509" s="51">
        <v>0.72708333333333297</v>
      </c>
      <c r="D3509" s="96">
        <v>0</v>
      </c>
      <c r="E3509" s="96">
        <v>0</v>
      </c>
      <c r="F3509" s="96">
        <v>0</v>
      </c>
      <c r="G3509" s="96">
        <v>0</v>
      </c>
      <c r="H3509" s="96">
        <v>0</v>
      </c>
      <c r="I3509" s="96">
        <v>0</v>
      </c>
      <c r="J3509" s="96">
        <v>0</v>
      </c>
    </row>
    <row r="3510" spans="1:10">
      <c r="A3510" s="95" t="s">
        <v>15</v>
      </c>
      <c r="B3510" s="95" t="s">
        <v>125</v>
      </c>
      <c r="C3510" s="51">
        <v>0.72777777777777797</v>
      </c>
      <c r="D3510" s="96">
        <v>0</v>
      </c>
      <c r="E3510" s="96">
        <v>0</v>
      </c>
      <c r="F3510" s="96">
        <v>0</v>
      </c>
      <c r="G3510" s="96">
        <v>0</v>
      </c>
      <c r="H3510" s="96">
        <v>0</v>
      </c>
      <c r="I3510" s="96">
        <v>0</v>
      </c>
      <c r="J3510" s="96">
        <v>0</v>
      </c>
    </row>
    <row r="3511" spans="1:10" s="80" customFormat="1">
      <c r="A3511" s="97" t="s">
        <v>15</v>
      </c>
      <c r="B3511" s="97" t="s">
        <v>125</v>
      </c>
      <c r="C3511" s="98">
        <v>0.72847222222222197</v>
      </c>
      <c r="D3511" s="99">
        <v>0</v>
      </c>
      <c r="E3511" s="99">
        <v>0</v>
      </c>
      <c r="F3511" s="99">
        <v>0</v>
      </c>
      <c r="G3511" s="99">
        <v>0</v>
      </c>
      <c r="H3511" s="99">
        <v>0</v>
      </c>
      <c r="I3511" s="99">
        <v>0</v>
      </c>
      <c r="J3511" s="99">
        <v>0</v>
      </c>
    </row>
    <row r="3512" spans="1:10">
      <c r="A3512" s="95" t="s">
        <v>15</v>
      </c>
      <c r="B3512" s="95" t="s">
        <v>125</v>
      </c>
      <c r="C3512" s="51">
        <v>0.72916666666666696</v>
      </c>
      <c r="D3512" s="169">
        <v>0</v>
      </c>
      <c r="E3512" s="169">
        <v>0</v>
      </c>
      <c r="F3512" s="169">
        <v>0</v>
      </c>
      <c r="G3512" s="169">
        <v>0</v>
      </c>
      <c r="H3512" s="169">
        <v>0</v>
      </c>
      <c r="I3512" s="169">
        <v>0</v>
      </c>
      <c r="J3512" s="169">
        <v>0</v>
      </c>
    </row>
    <row r="3513" spans="1:10">
      <c r="A3513" s="95" t="s">
        <v>15</v>
      </c>
      <c r="B3513" s="95" t="s">
        <v>125</v>
      </c>
      <c r="C3513" s="51">
        <v>0.72986111111111096</v>
      </c>
      <c r="D3513" s="96">
        <v>0</v>
      </c>
      <c r="E3513" s="96">
        <v>0</v>
      </c>
      <c r="F3513" s="96">
        <v>0</v>
      </c>
      <c r="G3513" s="96">
        <v>0</v>
      </c>
      <c r="H3513" s="96">
        <v>0</v>
      </c>
      <c r="I3513" s="96">
        <v>0</v>
      </c>
      <c r="J3513" s="96">
        <v>0</v>
      </c>
    </row>
    <row r="3514" spans="1:10">
      <c r="A3514" s="95" t="s">
        <v>15</v>
      </c>
      <c r="B3514" s="95" t="s">
        <v>125</v>
      </c>
      <c r="C3514" s="51">
        <v>0.73055555555555596</v>
      </c>
      <c r="D3514" s="96">
        <v>0</v>
      </c>
      <c r="E3514" s="96">
        <v>0</v>
      </c>
      <c r="F3514" s="96">
        <v>0</v>
      </c>
      <c r="G3514" s="96">
        <v>0</v>
      </c>
      <c r="H3514" s="96">
        <v>0</v>
      </c>
      <c r="I3514" s="96">
        <v>0</v>
      </c>
      <c r="J3514" s="96">
        <v>0</v>
      </c>
    </row>
    <row r="3515" spans="1:10">
      <c r="A3515" s="95" t="s">
        <v>15</v>
      </c>
      <c r="B3515" s="95" t="s">
        <v>125</v>
      </c>
      <c r="C3515" s="51">
        <v>0.73124999999999996</v>
      </c>
      <c r="D3515" s="96">
        <v>0</v>
      </c>
      <c r="E3515" s="96">
        <v>0</v>
      </c>
      <c r="F3515" s="96">
        <v>0</v>
      </c>
      <c r="G3515" s="96">
        <v>0</v>
      </c>
      <c r="H3515" s="96">
        <v>0</v>
      </c>
      <c r="I3515" s="96">
        <v>0</v>
      </c>
      <c r="J3515" s="96">
        <v>0</v>
      </c>
    </row>
    <row r="3516" spans="1:10">
      <c r="A3516" s="95" t="s">
        <v>15</v>
      </c>
      <c r="B3516" s="95" t="s">
        <v>125</v>
      </c>
      <c r="C3516" s="51">
        <v>0.73194444444444395</v>
      </c>
      <c r="D3516" s="96">
        <v>0</v>
      </c>
      <c r="E3516" s="96">
        <v>0</v>
      </c>
      <c r="F3516" s="96">
        <v>0</v>
      </c>
      <c r="G3516" s="96">
        <v>0</v>
      </c>
      <c r="H3516" s="96">
        <v>0</v>
      </c>
      <c r="I3516" s="96">
        <v>0</v>
      </c>
      <c r="J3516" s="96">
        <v>0</v>
      </c>
    </row>
    <row r="3517" spans="1:10">
      <c r="A3517" s="95" t="s">
        <v>15</v>
      </c>
      <c r="B3517" s="95" t="s">
        <v>125</v>
      </c>
      <c r="C3517" s="51">
        <v>0.73263888888888895</v>
      </c>
      <c r="D3517" s="96">
        <v>0</v>
      </c>
      <c r="E3517" s="96">
        <v>0</v>
      </c>
      <c r="F3517" s="96">
        <v>0</v>
      </c>
      <c r="G3517" s="96">
        <v>0</v>
      </c>
      <c r="H3517" s="96">
        <v>0</v>
      </c>
      <c r="I3517" s="96">
        <v>0</v>
      </c>
      <c r="J3517" s="96">
        <v>0</v>
      </c>
    </row>
    <row r="3518" spans="1:10">
      <c r="A3518" s="95" t="s">
        <v>15</v>
      </c>
      <c r="B3518" s="95" t="s">
        <v>125</v>
      </c>
      <c r="C3518" s="51">
        <v>0.73333333333333295</v>
      </c>
      <c r="D3518" s="96">
        <v>0</v>
      </c>
      <c r="E3518" s="96">
        <v>0</v>
      </c>
      <c r="F3518" s="96">
        <v>0</v>
      </c>
      <c r="G3518" s="96">
        <v>0</v>
      </c>
      <c r="H3518" s="96">
        <v>0</v>
      </c>
      <c r="I3518" s="96">
        <v>0</v>
      </c>
      <c r="J3518" s="96">
        <v>0</v>
      </c>
    </row>
    <row r="3519" spans="1:10">
      <c r="A3519" s="95" t="s">
        <v>15</v>
      </c>
      <c r="B3519" s="95" t="s">
        <v>125</v>
      </c>
      <c r="C3519" s="51">
        <v>0.73402777777777795</v>
      </c>
      <c r="D3519" s="96">
        <v>0</v>
      </c>
      <c r="E3519" s="96">
        <v>0</v>
      </c>
      <c r="F3519" s="96">
        <v>0</v>
      </c>
      <c r="G3519" s="96">
        <v>0</v>
      </c>
      <c r="H3519" s="96">
        <v>0</v>
      </c>
      <c r="I3519" s="96">
        <v>0</v>
      </c>
      <c r="J3519" s="96">
        <v>0</v>
      </c>
    </row>
    <row r="3520" spans="1:10">
      <c r="A3520" s="95" t="s">
        <v>15</v>
      </c>
      <c r="B3520" s="95" t="s">
        <v>125</v>
      </c>
      <c r="C3520" s="51">
        <v>0.73472222222222205</v>
      </c>
      <c r="D3520" s="96">
        <v>0</v>
      </c>
      <c r="E3520" s="96">
        <v>0</v>
      </c>
      <c r="F3520" s="96">
        <v>0</v>
      </c>
      <c r="G3520" s="96">
        <v>0</v>
      </c>
      <c r="H3520" s="96">
        <v>0</v>
      </c>
      <c r="I3520" s="96">
        <v>0</v>
      </c>
      <c r="J3520" s="96">
        <v>0</v>
      </c>
    </row>
    <row r="3521" spans="1:10">
      <c r="A3521" s="95" t="s">
        <v>15</v>
      </c>
      <c r="B3521" s="95" t="s">
        <v>125</v>
      </c>
      <c r="C3521" s="51">
        <v>0.73541666666666705</v>
      </c>
      <c r="D3521" s="96">
        <v>0</v>
      </c>
      <c r="E3521" s="96">
        <v>0</v>
      </c>
      <c r="F3521" s="96">
        <v>0</v>
      </c>
      <c r="G3521" s="96">
        <v>0</v>
      </c>
      <c r="H3521" s="96">
        <v>0</v>
      </c>
      <c r="I3521" s="96">
        <v>0</v>
      </c>
      <c r="J3521" s="96">
        <v>0</v>
      </c>
    </row>
    <row r="3522" spans="1:10">
      <c r="A3522" s="95" t="s">
        <v>15</v>
      </c>
      <c r="B3522" s="95" t="s">
        <v>125</v>
      </c>
      <c r="C3522" s="51">
        <v>0.73611111111111105</v>
      </c>
      <c r="D3522" s="96">
        <v>0</v>
      </c>
      <c r="E3522" s="96">
        <v>0</v>
      </c>
      <c r="F3522" s="96">
        <v>0</v>
      </c>
      <c r="G3522" s="96">
        <v>0</v>
      </c>
      <c r="H3522" s="96">
        <v>0</v>
      </c>
      <c r="I3522" s="96">
        <v>0</v>
      </c>
      <c r="J3522" s="96">
        <v>0</v>
      </c>
    </row>
    <row r="3523" spans="1:10">
      <c r="A3523" s="95" t="s">
        <v>15</v>
      </c>
      <c r="B3523" s="95" t="s">
        <v>125</v>
      </c>
      <c r="C3523" s="51">
        <v>0.73680555555555505</v>
      </c>
      <c r="D3523" s="96">
        <v>0</v>
      </c>
      <c r="E3523" s="96">
        <v>0</v>
      </c>
      <c r="F3523" s="96">
        <v>0</v>
      </c>
      <c r="G3523" s="96">
        <v>0</v>
      </c>
      <c r="H3523" s="96">
        <v>0</v>
      </c>
      <c r="I3523" s="96">
        <v>0</v>
      </c>
      <c r="J3523" s="96">
        <v>0</v>
      </c>
    </row>
    <row r="3524" spans="1:10">
      <c r="A3524" s="95" t="s">
        <v>15</v>
      </c>
      <c r="B3524" s="95" t="s">
        <v>125</v>
      </c>
      <c r="C3524" s="51">
        <v>0.73750000000000004</v>
      </c>
      <c r="D3524" s="96">
        <v>0</v>
      </c>
      <c r="E3524" s="96">
        <v>0</v>
      </c>
      <c r="F3524" s="96">
        <v>0</v>
      </c>
      <c r="G3524" s="96">
        <v>0</v>
      </c>
      <c r="H3524" s="96">
        <v>0</v>
      </c>
      <c r="I3524" s="96">
        <v>0</v>
      </c>
      <c r="J3524" s="96">
        <v>0</v>
      </c>
    </row>
    <row r="3525" spans="1:10">
      <c r="A3525" s="95" t="s">
        <v>15</v>
      </c>
      <c r="B3525" s="95" t="s">
        <v>125</v>
      </c>
      <c r="C3525" s="51">
        <v>0.73819444444444404</v>
      </c>
      <c r="D3525" s="96">
        <v>0</v>
      </c>
      <c r="E3525" s="96">
        <v>0</v>
      </c>
      <c r="F3525" s="96">
        <v>0</v>
      </c>
      <c r="G3525" s="96">
        <v>0</v>
      </c>
      <c r="H3525" s="96">
        <v>0</v>
      </c>
      <c r="I3525" s="96">
        <v>0</v>
      </c>
      <c r="J3525" s="96">
        <v>0</v>
      </c>
    </row>
    <row r="3526" spans="1:10" s="80" customFormat="1">
      <c r="A3526" s="97" t="s">
        <v>15</v>
      </c>
      <c r="B3526" s="97" t="s">
        <v>125</v>
      </c>
      <c r="C3526" s="98">
        <v>0.73888888888888904</v>
      </c>
      <c r="D3526" s="96">
        <v>0</v>
      </c>
      <c r="E3526" s="96">
        <v>0</v>
      </c>
      <c r="F3526" s="96">
        <v>0</v>
      </c>
      <c r="G3526" s="96">
        <v>0</v>
      </c>
      <c r="H3526" s="96">
        <v>0</v>
      </c>
      <c r="I3526" s="96">
        <v>0</v>
      </c>
      <c r="J3526" s="96">
        <v>0</v>
      </c>
    </row>
    <row r="3527" spans="1:10">
      <c r="A3527" s="95" t="s">
        <v>15</v>
      </c>
      <c r="B3527" s="95" t="s">
        <v>125</v>
      </c>
      <c r="C3527" s="51">
        <v>0.73958333333333304</v>
      </c>
      <c r="D3527" s="169">
        <v>0</v>
      </c>
      <c r="E3527" s="169">
        <v>0</v>
      </c>
      <c r="F3527" s="169">
        <v>0</v>
      </c>
      <c r="G3527" s="169">
        <v>0</v>
      </c>
      <c r="H3527" s="169">
        <v>0</v>
      </c>
      <c r="I3527" s="169">
        <v>0</v>
      </c>
      <c r="J3527" s="169">
        <v>0</v>
      </c>
    </row>
    <row r="3528" spans="1:10">
      <c r="A3528" s="95" t="s">
        <v>15</v>
      </c>
      <c r="B3528" s="95" t="s">
        <v>125</v>
      </c>
      <c r="C3528" s="51">
        <v>0.74027777777777803</v>
      </c>
      <c r="D3528" s="96">
        <v>0</v>
      </c>
      <c r="E3528" s="96">
        <v>0</v>
      </c>
      <c r="F3528" s="96">
        <v>0</v>
      </c>
      <c r="G3528" s="96">
        <v>0</v>
      </c>
      <c r="H3528" s="96">
        <v>0</v>
      </c>
      <c r="I3528" s="96">
        <v>0</v>
      </c>
      <c r="J3528" s="96">
        <v>0</v>
      </c>
    </row>
    <row r="3529" spans="1:10">
      <c r="A3529" s="95" t="s">
        <v>15</v>
      </c>
      <c r="B3529" s="95" t="s">
        <v>125</v>
      </c>
      <c r="C3529" s="51">
        <v>0.74097222222222203</v>
      </c>
      <c r="D3529" s="96">
        <v>0</v>
      </c>
      <c r="E3529" s="96">
        <v>0</v>
      </c>
      <c r="F3529" s="96">
        <v>0</v>
      </c>
      <c r="G3529" s="96">
        <v>0</v>
      </c>
      <c r="H3529" s="96">
        <v>0</v>
      </c>
      <c r="I3529" s="96">
        <v>0</v>
      </c>
      <c r="J3529" s="96">
        <v>0</v>
      </c>
    </row>
    <row r="3530" spans="1:10">
      <c r="A3530" s="95" t="s">
        <v>15</v>
      </c>
      <c r="B3530" s="95" t="s">
        <v>125</v>
      </c>
      <c r="C3530" s="51">
        <v>0.74166666666666703</v>
      </c>
      <c r="D3530" s="96">
        <v>0</v>
      </c>
      <c r="E3530" s="96">
        <v>0</v>
      </c>
      <c r="F3530" s="96">
        <v>0</v>
      </c>
      <c r="G3530" s="96">
        <v>0</v>
      </c>
      <c r="H3530" s="96">
        <v>0</v>
      </c>
      <c r="I3530" s="96">
        <v>0</v>
      </c>
      <c r="J3530" s="96">
        <v>0</v>
      </c>
    </row>
    <row r="3531" spans="1:10">
      <c r="A3531" s="95" t="s">
        <v>15</v>
      </c>
      <c r="B3531" s="95" t="s">
        <v>125</v>
      </c>
      <c r="C3531" s="51">
        <v>0.74236111111111103</v>
      </c>
      <c r="D3531" s="96">
        <v>0</v>
      </c>
      <c r="E3531" s="96">
        <v>0</v>
      </c>
      <c r="F3531" s="96">
        <v>0</v>
      </c>
      <c r="G3531" s="96">
        <v>0</v>
      </c>
      <c r="H3531" s="96">
        <v>0</v>
      </c>
      <c r="I3531" s="96">
        <v>0</v>
      </c>
      <c r="J3531" s="96">
        <v>0</v>
      </c>
    </row>
    <row r="3532" spans="1:10">
      <c r="A3532" s="95" t="s">
        <v>15</v>
      </c>
      <c r="B3532" s="95" t="s">
        <v>125</v>
      </c>
      <c r="C3532" s="51">
        <v>0.74305555555555503</v>
      </c>
      <c r="D3532" s="96">
        <v>0</v>
      </c>
      <c r="E3532" s="96">
        <v>0</v>
      </c>
      <c r="F3532" s="96">
        <v>0</v>
      </c>
      <c r="G3532" s="96">
        <v>0</v>
      </c>
      <c r="H3532" s="96">
        <v>0</v>
      </c>
      <c r="I3532" s="96">
        <v>0</v>
      </c>
      <c r="J3532" s="96">
        <v>0</v>
      </c>
    </row>
    <row r="3533" spans="1:10">
      <c r="A3533" s="95" t="s">
        <v>15</v>
      </c>
      <c r="B3533" s="95" t="s">
        <v>125</v>
      </c>
      <c r="C3533" s="51">
        <v>0.74375000000000002</v>
      </c>
      <c r="D3533" s="96">
        <v>0</v>
      </c>
      <c r="E3533" s="96">
        <v>0</v>
      </c>
      <c r="F3533" s="96">
        <v>0</v>
      </c>
      <c r="G3533" s="96">
        <v>0</v>
      </c>
      <c r="H3533" s="96">
        <v>0</v>
      </c>
      <c r="I3533" s="96">
        <v>0</v>
      </c>
      <c r="J3533" s="96">
        <v>0</v>
      </c>
    </row>
    <row r="3534" spans="1:10">
      <c r="A3534" s="95" t="s">
        <v>15</v>
      </c>
      <c r="B3534" s="95" t="s">
        <v>125</v>
      </c>
      <c r="C3534" s="51">
        <v>0.74444444444444402</v>
      </c>
      <c r="D3534" s="96">
        <v>0</v>
      </c>
      <c r="E3534" s="96">
        <v>0</v>
      </c>
      <c r="F3534" s="96">
        <v>0</v>
      </c>
      <c r="G3534" s="96">
        <v>0</v>
      </c>
      <c r="H3534" s="96">
        <v>0</v>
      </c>
      <c r="I3534" s="96">
        <v>0</v>
      </c>
      <c r="J3534" s="96">
        <v>0</v>
      </c>
    </row>
    <row r="3535" spans="1:10">
      <c r="A3535" s="95" t="s">
        <v>15</v>
      </c>
      <c r="B3535" s="95" t="s">
        <v>125</v>
      </c>
      <c r="C3535" s="51">
        <v>0.74513888888888902</v>
      </c>
      <c r="D3535" s="96">
        <v>0</v>
      </c>
      <c r="E3535" s="96">
        <v>0</v>
      </c>
      <c r="F3535" s="96">
        <v>0</v>
      </c>
      <c r="G3535" s="96">
        <v>0</v>
      </c>
      <c r="H3535" s="96">
        <v>0</v>
      </c>
      <c r="I3535" s="96">
        <v>0</v>
      </c>
      <c r="J3535" s="96">
        <v>0</v>
      </c>
    </row>
    <row r="3536" spans="1:10">
      <c r="A3536" s="95" t="s">
        <v>15</v>
      </c>
      <c r="B3536" s="95" t="s">
        <v>125</v>
      </c>
      <c r="C3536" s="51">
        <v>0.74583333333333302</v>
      </c>
      <c r="D3536" s="96">
        <v>0</v>
      </c>
      <c r="E3536" s="96">
        <v>0</v>
      </c>
      <c r="F3536" s="96">
        <v>0</v>
      </c>
      <c r="G3536" s="96">
        <v>0</v>
      </c>
      <c r="H3536" s="96">
        <v>0</v>
      </c>
      <c r="I3536" s="96">
        <v>0</v>
      </c>
      <c r="J3536" s="96">
        <v>0</v>
      </c>
    </row>
    <row r="3537" spans="1:10">
      <c r="A3537" s="95" t="s">
        <v>15</v>
      </c>
      <c r="B3537" s="95" t="s">
        <v>125</v>
      </c>
      <c r="C3537" s="51">
        <v>0.74652777777777801</v>
      </c>
      <c r="D3537" s="96">
        <v>0</v>
      </c>
      <c r="E3537" s="96">
        <v>0</v>
      </c>
      <c r="F3537" s="96">
        <v>0</v>
      </c>
      <c r="G3537" s="96">
        <v>0</v>
      </c>
      <c r="H3537" s="96">
        <v>0</v>
      </c>
      <c r="I3537" s="96">
        <v>0</v>
      </c>
      <c r="J3537" s="96">
        <v>0</v>
      </c>
    </row>
    <row r="3538" spans="1:10">
      <c r="A3538" s="95" t="s">
        <v>15</v>
      </c>
      <c r="B3538" s="95" t="s">
        <v>125</v>
      </c>
      <c r="C3538" s="51">
        <v>0.74722222222222201</v>
      </c>
      <c r="D3538" s="96">
        <v>0</v>
      </c>
      <c r="E3538" s="96">
        <v>0</v>
      </c>
      <c r="F3538" s="96">
        <v>0</v>
      </c>
      <c r="G3538" s="96">
        <v>0</v>
      </c>
      <c r="H3538" s="96">
        <v>0</v>
      </c>
      <c r="I3538" s="96">
        <v>0</v>
      </c>
      <c r="J3538" s="96">
        <v>0</v>
      </c>
    </row>
    <row r="3539" spans="1:10">
      <c r="A3539" s="95" t="s">
        <v>15</v>
      </c>
      <c r="B3539" s="95" t="s">
        <v>125</v>
      </c>
      <c r="C3539" s="51">
        <v>0.74791666666666701</v>
      </c>
      <c r="D3539" s="96">
        <v>0</v>
      </c>
      <c r="E3539" s="96">
        <v>0</v>
      </c>
      <c r="F3539" s="96">
        <v>0</v>
      </c>
      <c r="G3539" s="96">
        <v>0</v>
      </c>
      <c r="H3539" s="96">
        <v>0</v>
      </c>
      <c r="I3539" s="96">
        <v>0</v>
      </c>
      <c r="J3539" s="96">
        <v>0</v>
      </c>
    </row>
    <row r="3540" spans="1:10">
      <c r="A3540" s="95" t="s">
        <v>15</v>
      </c>
      <c r="B3540" s="95" t="s">
        <v>125</v>
      </c>
      <c r="C3540" s="51">
        <v>0.74861111111111101</v>
      </c>
      <c r="D3540" s="96">
        <v>0</v>
      </c>
      <c r="E3540" s="96">
        <v>0</v>
      </c>
      <c r="F3540" s="96">
        <v>0</v>
      </c>
      <c r="G3540" s="96">
        <v>0</v>
      </c>
      <c r="H3540" s="96">
        <v>0</v>
      </c>
      <c r="I3540" s="96">
        <v>0</v>
      </c>
      <c r="J3540" s="96">
        <v>0</v>
      </c>
    </row>
    <row r="3541" spans="1:10" s="80" customFormat="1">
      <c r="A3541" s="97" t="s">
        <v>15</v>
      </c>
      <c r="B3541" s="97" t="s">
        <v>125</v>
      </c>
      <c r="C3541" s="98">
        <v>0.749305555555555</v>
      </c>
      <c r="D3541" s="99">
        <v>0</v>
      </c>
      <c r="E3541" s="99">
        <v>0</v>
      </c>
      <c r="F3541" s="99">
        <v>0</v>
      </c>
      <c r="G3541" s="99">
        <v>0</v>
      </c>
      <c r="H3541" s="99">
        <v>0</v>
      </c>
      <c r="I3541" s="99">
        <v>0</v>
      </c>
      <c r="J3541" s="99">
        <v>0</v>
      </c>
    </row>
    <row r="3542" spans="1:10">
      <c r="A3542" s="95" t="s">
        <v>15</v>
      </c>
      <c r="B3542" s="95" t="s">
        <v>125</v>
      </c>
      <c r="C3542" s="51">
        <v>0.75</v>
      </c>
      <c r="D3542" s="169">
        <v>0</v>
      </c>
      <c r="E3542" s="169">
        <v>0</v>
      </c>
      <c r="F3542" s="169">
        <v>0</v>
      </c>
      <c r="G3542" s="169">
        <v>0</v>
      </c>
      <c r="H3542" s="169">
        <v>0</v>
      </c>
      <c r="I3542" s="169">
        <v>0</v>
      </c>
      <c r="J3542" s="169">
        <v>0</v>
      </c>
    </row>
    <row r="3543" spans="1:10">
      <c r="A3543" s="95" t="s">
        <v>15</v>
      </c>
      <c r="B3543" s="95" t="s">
        <v>125</v>
      </c>
      <c r="C3543" s="51">
        <v>0.750694444444444</v>
      </c>
      <c r="D3543" s="96">
        <v>0</v>
      </c>
      <c r="E3543" s="96">
        <v>0</v>
      </c>
      <c r="F3543" s="96">
        <v>0</v>
      </c>
      <c r="G3543" s="96">
        <v>0</v>
      </c>
      <c r="H3543" s="96">
        <v>0</v>
      </c>
      <c r="I3543" s="96">
        <v>0</v>
      </c>
      <c r="J3543" s="96">
        <v>0</v>
      </c>
    </row>
    <row r="3544" spans="1:10">
      <c r="A3544" s="95" t="s">
        <v>15</v>
      </c>
      <c r="B3544" s="95" t="s">
        <v>125</v>
      </c>
      <c r="C3544" s="51">
        <v>0.75138888888888899</v>
      </c>
      <c r="D3544" s="96">
        <v>0</v>
      </c>
      <c r="E3544" s="96">
        <v>0</v>
      </c>
      <c r="F3544" s="96">
        <v>0</v>
      </c>
      <c r="G3544" s="96">
        <v>0</v>
      </c>
      <c r="H3544" s="96">
        <v>0</v>
      </c>
      <c r="I3544" s="96">
        <v>0</v>
      </c>
      <c r="J3544" s="96">
        <v>0</v>
      </c>
    </row>
    <row r="3545" spans="1:10">
      <c r="A3545" s="95" t="s">
        <v>15</v>
      </c>
      <c r="B3545" s="95" t="s">
        <v>125</v>
      </c>
      <c r="C3545" s="51">
        <v>0.75208333333333299</v>
      </c>
      <c r="D3545" s="96">
        <v>0</v>
      </c>
      <c r="E3545" s="96">
        <v>0</v>
      </c>
      <c r="F3545" s="96">
        <v>0</v>
      </c>
      <c r="G3545" s="96">
        <v>0</v>
      </c>
      <c r="H3545" s="96">
        <v>0</v>
      </c>
      <c r="I3545" s="96">
        <v>0</v>
      </c>
      <c r="J3545" s="96">
        <v>0</v>
      </c>
    </row>
    <row r="3546" spans="1:10">
      <c r="A3546" s="95" t="s">
        <v>15</v>
      </c>
      <c r="B3546" s="95" t="s">
        <v>125</v>
      </c>
      <c r="C3546" s="51">
        <v>0.75277777777777799</v>
      </c>
      <c r="D3546" s="96">
        <v>0</v>
      </c>
      <c r="E3546" s="96">
        <v>0</v>
      </c>
      <c r="F3546" s="96">
        <v>0</v>
      </c>
      <c r="G3546" s="96">
        <v>0</v>
      </c>
      <c r="H3546" s="96">
        <v>0</v>
      </c>
      <c r="I3546" s="96">
        <v>0</v>
      </c>
      <c r="J3546" s="96">
        <v>0</v>
      </c>
    </row>
    <row r="3547" spans="1:10">
      <c r="A3547" s="95" t="s">
        <v>15</v>
      </c>
      <c r="B3547" s="95" t="s">
        <v>125</v>
      </c>
      <c r="C3547" s="51">
        <v>0.75347222222222199</v>
      </c>
      <c r="D3547" s="96">
        <v>0</v>
      </c>
      <c r="E3547" s="96">
        <v>0</v>
      </c>
      <c r="F3547" s="96">
        <v>0</v>
      </c>
      <c r="G3547" s="96">
        <v>0</v>
      </c>
      <c r="H3547" s="96">
        <v>0</v>
      </c>
      <c r="I3547" s="96">
        <v>0</v>
      </c>
      <c r="J3547" s="96">
        <v>0</v>
      </c>
    </row>
    <row r="3548" spans="1:10">
      <c r="A3548" s="95" t="s">
        <v>15</v>
      </c>
      <c r="B3548" s="95" t="s">
        <v>125</v>
      </c>
      <c r="C3548" s="51">
        <v>0.75416666666666698</v>
      </c>
      <c r="D3548" s="96">
        <v>0</v>
      </c>
      <c r="E3548" s="96">
        <v>0</v>
      </c>
      <c r="F3548" s="96">
        <v>0</v>
      </c>
      <c r="G3548" s="96">
        <v>0</v>
      </c>
      <c r="H3548" s="96">
        <v>0</v>
      </c>
      <c r="I3548" s="96">
        <v>0</v>
      </c>
      <c r="J3548" s="96">
        <v>0</v>
      </c>
    </row>
    <row r="3549" spans="1:10">
      <c r="A3549" s="95" t="s">
        <v>15</v>
      </c>
      <c r="B3549" s="95" t="s">
        <v>125</v>
      </c>
      <c r="C3549" s="51">
        <v>0.75486111111111098</v>
      </c>
      <c r="D3549" s="96">
        <v>0</v>
      </c>
      <c r="E3549" s="96">
        <v>0</v>
      </c>
      <c r="F3549" s="96">
        <v>0</v>
      </c>
      <c r="G3549" s="96">
        <v>0</v>
      </c>
      <c r="H3549" s="96">
        <v>0</v>
      </c>
      <c r="I3549" s="96">
        <v>0</v>
      </c>
      <c r="J3549" s="96">
        <v>0</v>
      </c>
    </row>
    <row r="3550" spans="1:10">
      <c r="A3550" s="95" t="s">
        <v>15</v>
      </c>
      <c r="B3550" s="95" t="s">
        <v>125</v>
      </c>
      <c r="C3550" s="51">
        <v>0.75555555555555498</v>
      </c>
      <c r="D3550" s="96">
        <v>0</v>
      </c>
      <c r="E3550" s="96">
        <v>0</v>
      </c>
      <c r="F3550" s="96">
        <v>0</v>
      </c>
      <c r="G3550" s="96">
        <v>0</v>
      </c>
      <c r="H3550" s="96">
        <v>0</v>
      </c>
      <c r="I3550" s="96">
        <v>0</v>
      </c>
      <c r="J3550" s="96">
        <v>0</v>
      </c>
    </row>
    <row r="3551" spans="1:10">
      <c r="A3551" s="95" t="s">
        <v>15</v>
      </c>
      <c r="B3551" s="95" t="s">
        <v>125</v>
      </c>
      <c r="C3551" s="51">
        <v>0.75624999999999998</v>
      </c>
      <c r="D3551" s="96">
        <v>0</v>
      </c>
      <c r="E3551" s="96">
        <v>0</v>
      </c>
      <c r="F3551" s="96">
        <v>0</v>
      </c>
      <c r="G3551" s="96">
        <v>0</v>
      </c>
      <c r="H3551" s="96">
        <v>0</v>
      </c>
      <c r="I3551" s="96">
        <v>0</v>
      </c>
      <c r="J3551" s="96">
        <v>0</v>
      </c>
    </row>
    <row r="3552" spans="1:10">
      <c r="A3552" s="95" t="s">
        <v>15</v>
      </c>
      <c r="B3552" s="95" t="s">
        <v>125</v>
      </c>
      <c r="C3552" s="51">
        <v>0.75694444444444398</v>
      </c>
      <c r="D3552" s="96">
        <v>0</v>
      </c>
      <c r="E3552" s="96">
        <v>0</v>
      </c>
      <c r="F3552" s="96">
        <v>0</v>
      </c>
      <c r="G3552" s="96">
        <v>0</v>
      </c>
      <c r="H3552" s="96">
        <v>0</v>
      </c>
      <c r="I3552" s="96">
        <v>0</v>
      </c>
      <c r="J3552" s="96">
        <v>0</v>
      </c>
    </row>
    <row r="3553" spans="1:10">
      <c r="A3553" s="95" t="s">
        <v>15</v>
      </c>
      <c r="B3553" s="95" t="s">
        <v>125</v>
      </c>
      <c r="C3553" s="51">
        <v>0.75763888888888897</v>
      </c>
      <c r="D3553" s="96">
        <v>0</v>
      </c>
      <c r="E3553" s="96">
        <v>0</v>
      </c>
      <c r="F3553" s="96">
        <v>0</v>
      </c>
      <c r="G3553" s="96">
        <v>0</v>
      </c>
      <c r="H3553" s="96">
        <v>0</v>
      </c>
      <c r="I3553" s="96">
        <v>0</v>
      </c>
      <c r="J3553" s="96">
        <v>0</v>
      </c>
    </row>
    <row r="3554" spans="1:10">
      <c r="A3554" s="95" t="s">
        <v>15</v>
      </c>
      <c r="B3554" s="95" t="s">
        <v>125</v>
      </c>
      <c r="C3554" s="51">
        <v>0.75833333333333297</v>
      </c>
      <c r="D3554" s="96">
        <v>0</v>
      </c>
      <c r="E3554" s="96">
        <v>0</v>
      </c>
      <c r="F3554" s="96">
        <v>0</v>
      </c>
      <c r="G3554" s="96">
        <v>0</v>
      </c>
      <c r="H3554" s="96">
        <v>0</v>
      </c>
      <c r="I3554" s="96">
        <v>0</v>
      </c>
      <c r="J3554" s="96">
        <v>0</v>
      </c>
    </row>
    <row r="3555" spans="1:10">
      <c r="A3555" s="95" t="s">
        <v>15</v>
      </c>
      <c r="B3555" s="95" t="s">
        <v>125</v>
      </c>
      <c r="C3555" s="51">
        <v>0.75902777777777797</v>
      </c>
      <c r="D3555" s="96">
        <v>0</v>
      </c>
      <c r="E3555" s="96">
        <v>0</v>
      </c>
      <c r="F3555" s="96">
        <v>0</v>
      </c>
      <c r="G3555" s="96">
        <v>0</v>
      </c>
      <c r="H3555" s="96">
        <v>0</v>
      </c>
      <c r="I3555" s="96">
        <v>0</v>
      </c>
      <c r="J3555" s="96">
        <v>0</v>
      </c>
    </row>
    <row r="3556" spans="1:10" s="80" customFormat="1">
      <c r="A3556" s="97" t="s">
        <v>15</v>
      </c>
      <c r="B3556" s="97" t="s">
        <v>125</v>
      </c>
      <c r="C3556" s="98">
        <v>0.75972222222222197</v>
      </c>
      <c r="D3556" s="96">
        <v>0</v>
      </c>
      <c r="E3556" s="96">
        <v>0</v>
      </c>
      <c r="F3556" s="96">
        <v>0</v>
      </c>
      <c r="G3556" s="96">
        <v>0</v>
      </c>
      <c r="H3556" s="96">
        <v>0</v>
      </c>
      <c r="I3556" s="96">
        <v>0</v>
      </c>
      <c r="J3556" s="96">
        <v>0</v>
      </c>
    </row>
    <row r="3557" spans="1:10">
      <c r="A3557" s="95" t="s">
        <v>15</v>
      </c>
      <c r="B3557" s="95" t="s">
        <v>125</v>
      </c>
      <c r="C3557" s="51">
        <v>0.76041666666666696</v>
      </c>
      <c r="D3557" s="169">
        <v>0</v>
      </c>
      <c r="E3557" s="169">
        <v>0</v>
      </c>
      <c r="F3557" s="169">
        <v>0</v>
      </c>
      <c r="G3557" s="169">
        <v>0</v>
      </c>
      <c r="H3557" s="169">
        <v>0</v>
      </c>
      <c r="I3557" s="169">
        <v>0</v>
      </c>
      <c r="J3557" s="169">
        <v>0</v>
      </c>
    </row>
    <row r="3558" spans="1:10">
      <c r="A3558" s="95" t="s">
        <v>15</v>
      </c>
      <c r="B3558" s="95" t="s">
        <v>125</v>
      </c>
      <c r="C3558" s="51">
        <v>0.76111111111111096</v>
      </c>
      <c r="D3558" s="96">
        <v>0</v>
      </c>
      <c r="E3558" s="96">
        <v>0</v>
      </c>
      <c r="F3558" s="96">
        <v>0</v>
      </c>
      <c r="G3558" s="96">
        <v>0</v>
      </c>
      <c r="H3558" s="96">
        <v>0</v>
      </c>
      <c r="I3558" s="96">
        <v>0</v>
      </c>
      <c r="J3558" s="96">
        <v>0</v>
      </c>
    </row>
    <row r="3559" spans="1:10">
      <c r="A3559" s="95" t="s">
        <v>15</v>
      </c>
      <c r="B3559" s="95" t="s">
        <v>125</v>
      </c>
      <c r="C3559" s="51">
        <v>0.76180555555555496</v>
      </c>
      <c r="D3559" s="96">
        <v>0</v>
      </c>
      <c r="E3559" s="96">
        <v>0</v>
      </c>
      <c r="F3559" s="96">
        <v>0</v>
      </c>
      <c r="G3559" s="96">
        <v>0</v>
      </c>
      <c r="H3559" s="96">
        <v>0</v>
      </c>
      <c r="I3559" s="96">
        <v>0</v>
      </c>
      <c r="J3559" s="96">
        <v>0</v>
      </c>
    </row>
    <row r="3560" spans="1:10">
      <c r="A3560" s="95" t="s">
        <v>15</v>
      </c>
      <c r="B3560" s="95" t="s">
        <v>125</v>
      </c>
      <c r="C3560" s="51">
        <v>0.76249999999999996</v>
      </c>
      <c r="D3560" s="96">
        <v>0</v>
      </c>
      <c r="E3560" s="96">
        <v>0</v>
      </c>
      <c r="F3560" s="96">
        <v>0</v>
      </c>
      <c r="G3560" s="96">
        <v>0</v>
      </c>
      <c r="H3560" s="96">
        <v>0</v>
      </c>
      <c r="I3560" s="96">
        <v>0</v>
      </c>
      <c r="J3560" s="96">
        <v>0</v>
      </c>
    </row>
    <row r="3561" spans="1:10">
      <c r="A3561" s="95" t="s">
        <v>15</v>
      </c>
      <c r="B3561" s="95" t="s">
        <v>125</v>
      </c>
      <c r="C3561" s="51">
        <v>0.76319444444444395</v>
      </c>
      <c r="D3561" s="96">
        <v>0</v>
      </c>
      <c r="E3561" s="96">
        <v>0</v>
      </c>
      <c r="F3561" s="96">
        <v>0</v>
      </c>
      <c r="G3561" s="96">
        <v>0</v>
      </c>
      <c r="H3561" s="96">
        <v>0</v>
      </c>
      <c r="I3561" s="96">
        <v>0</v>
      </c>
      <c r="J3561" s="96">
        <v>0</v>
      </c>
    </row>
    <row r="3562" spans="1:10">
      <c r="A3562" s="95" t="s">
        <v>15</v>
      </c>
      <c r="B3562" s="95" t="s">
        <v>125</v>
      </c>
      <c r="C3562" s="51">
        <v>0.76388888888888895</v>
      </c>
      <c r="D3562" s="96">
        <v>0</v>
      </c>
      <c r="E3562" s="96">
        <v>0</v>
      </c>
      <c r="F3562" s="96">
        <v>0</v>
      </c>
      <c r="G3562" s="96">
        <v>0</v>
      </c>
      <c r="H3562" s="96">
        <v>0</v>
      </c>
      <c r="I3562" s="96">
        <v>0</v>
      </c>
      <c r="J3562" s="96">
        <v>0</v>
      </c>
    </row>
    <row r="3563" spans="1:10">
      <c r="A3563" s="95" t="s">
        <v>15</v>
      </c>
      <c r="B3563" s="95" t="s">
        <v>125</v>
      </c>
      <c r="C3563" s="51">
        <v>0.76458333333333295</v>
      </c>
      <c r="D3563" s="96">
        <v>0</v>
      </c>
      <c r="E3563" s="96">
        <v>0</v>
      </c>
      <c r="F3563" s="96">
        <v>0</v>
      </c>
      <c r="G3563" s="96">
        <v>0</v>
      </c>
      <c r="H3563" s="96">
        <v>0</v>
      </c>
      <c r="I3563" s="96">
        <v>0</v>
      </c>
      <c r="J3563" s="96">
        <v>0</v>
      </c>
    </row>
    <row r="3564" spans="1:10">
      <c r="A3564" s="95" t="s">
        <v>15</v>
      </c>
      <c r="B3564" s="95" t="s">
        <v>125</v>
      </c>
      <c r="C3564" s="51">
        <v>0.76527777777777795</v>
      </c>
      <c r="D3564" s="96">
        <v>0</v>
      </c>
      <c r="E3564" s="96">
        <v>0</v>
      </c>
      <c r="F3564" s="96">
        <v>0</v>
      </c>
      <c r="G3564" s="96">
        <v>0</v>
      </c>
      <c r="H3564" s="96">
        <v>0</v>
      </c>
      <c r="I3564" s="96">
        <v>0</v>
      </c>
      <c r="J3564" s="96">
        <v>0</v>
      </c>
    </row>
    <row r="3565" spans="1:10">
      <c r="A3565" s="95" t="s">
        <v>15</v>
      </c>
      <c r="B3565" s="95" t="s">
        <v>125</v>
      </c>
      <c r="C3565" s="51">
        <v>0.76597222222222205</v>
      </c>
      <c r="D3565" s="96">
        <v>0</v>
      </c>
      <c r="E3565" s="96">
        <v>0</v>
      </c>
      <c r="F3565" s="96">
        <v>0</v>
      </c>
      <c r="G3565" s="96">
        <v>0</v>
      </c>
      <c r="H3565" s="96">
        <v>0</v>
      </c>
      <c r="I3565" s="96">
        <v>0</v>
      </c>
      <c r="J3565" s="96">
        <v>0</v>
      </c>
    </row>
    <row r="3566" spans="1:10">
      <c r="A3566" s="95" t="s">
        <v>15</v>
      </c>
      <c r="B3566" s="95" t="s">
        <v>125</v>
      </c>
      <c r="C3566" s="51">
        <v>0.76666666666666605</v>
      </c>
      <c r="D3566" s="96">
        <v>0</v>
      </c>
      <c r="E3566" s="96">
        <v>0</v>
      </c>
      <c r="F3566" s="96">
        <v>0</v>
      </c>
      <c r="G3566" s="96">
        <v>0</v>
      </c>
      <c r="H3566" s="96">
        <v>0</v>
      </c>
      <c r="I3566" s="96">
        <v>0</v>
      </c>
      <c r="J3566" s="96">
        <v>0</v>
      </c>
    </row>
    <row r="3567" spans="1:10">
      <c r="A3567" s="95" t="s">
        <v>15</v>
      </c>
      <c r="B3567" s="95" t="s">
        <v>125</v>
      </c>
      <c r="C3567" s="51">
        <v>0.76736111111111105</v>
      </c>
      <c r="D3567" s="96">
        <v>0</v>
      </c>
      <c r="E3567" s="96">
        <v>0</v>
      </c>
      <c r="F3567" s="96">
        <v>0</v>
      </c>
      <c r="G3567" s="96">
        <v>0</v>
      </c>
      <c r="H3567" s="96">
        <v>0</v>
      </c>
      <c r="I3567" s="96">
        <v>0</v>
      </c>
      <c r="J3567" s="96">
        <v>0</v>
      </c>
    </row>
    <row r="3568" spans="1:10">
      <c r="A3568" s="95" t="s">
        <v>15</v>
      </c>
      <c r="B3568" s="95" t="s">
        <v>125</v>
      </c>
      <c r="C3568" s="51">
        <v>0.76805555555555505</v>
      </c>
      <c r="D3568" s="96">
        <v>0</v>
      </c>
      <c r="E3568" s="96">
        <v>0</v>
      </c>
      <c r="F3568" s="96">
        <v>0</v>
      </c>
      <c r="G3568" s="96">
        <v>0</v>
      </c>
      <c r="H3568" s="96">
        <v>0</v>
      </c>
      <c r="I3568" s="96">
        <v>0</v>
      </c>
      <c r="J3568" s="96">
        <v>0</v>
      </c>
    </row>
    <row r="3569" spans="1:10">
      <c r="A3569" s="95" t="s">
        <v>15</v>
      </c>
      <c r="B3569" s="95" t="s">
        <v>125</v>
      </c>
      <c r="C3569" s="51">
        <v>0.76875000000000004</v>
      </c>
      <c r="D3569" s="96">
        <v>0</v>
      </c>
      <c r="E3569" s="96">
        <v>0</v>
      </c>
      <c r="F3569" s="96">
        <v>0</v>
      </c>
      <c r="G3569" s="96">
        <v>0</v>
      </c>
      <c r="H3569" s="96">
        <v>0</v>
      </c>
      <c r="I3569" s="96">
        <v>0</v>
      </c>
      <c r="J3569" s="96">
        <v>0</v>
      </c>
    </row>
    <row r="3570" spans="1:10">
      <c r="A3570" s="95" t="s">
        <v>15</v>
      </c>
      <c r="B3570" s="95" t="s">
        <v>125</v>
      </c>
      <c r="C3570" s="51">
        <v>0.76944444444444404</v>
      </c>
      <c r="D3570" s="96">
        <v>0</v>
      </c>
      <c r="E3570" s="96">
        <v>0</v>
      </c>
      <c r="F3570" s="96">
        <v>0</v>
      </c>
      <c r="G3570" s="96">
        <v>0</v>
      </c>
      <c r="H3570" s="96">
        <v>0</v>
      </c>
      <c r="I3570" s="96">
        <v>0</v>
      </c>
      <c r="J3570" s="96">
        <v>0</v>
      </c>
    </row>
    <row r="3571" spans="1:10" s="80" customFormat="1">
      <c r="A3571" s="97" t="s">
        <v>15</v>
      </c>
      <c r="B3571" s="97" t="s">
        <v>125</v>
      </c>
      <c r="C3571" s="98">
        <v>0.77013888888888904</v>
      </c>
      <c r="D3571" s="99">
        <v>0</v>
      </c>
      <c r="E3571" s="99">
        <v>0</v>
      </c>
      <c r="F3571" s="99">
        <v>0</v>
      </c>
      <c r="G3571" s="99">
        <v>0</v>
      </c>
      <c r="H3571" s="99">
        <v>0</v>
      </c>
      <c r="I3571" s="99">
        <v>0</v>
      </c>
      <c r="J3571" s="99">
        <v>0</v>
      </c>
    </row>
    <row r="3572" spans="1:10">
      <c r="A3572" s="95" t="s">
        <v>15</v>
      </c>
      <c r="B3572" s="95" t="s">
        <v>125</v>
      </c>
      <c r="C3572" s="51">
        <v>0.77083333333333304</v>
      </c>
      <c r="D3572" s="169">
        <v>0</v>
      </c>
      <c r="E3572" s="169">
        <v>0</v>
      </c>
      <c r="F3572" s="169">
        <v>0</v>
      </c>
      <c r="G3572" s="169">
        <v>0</v>
      </c>
      <c r="H3572" s="169">
        <v>0</v>
      </c>
      <c r="I3572" s="169">
        <v>0</v>
      </c>
      <c r="J3572" s="169">
        <v>0</v>
      </c>
    </row>
    <row r="3573" spans="1:10">
      <c r="A3573" s="95" t="s">
        <v>15</v>
      </c>
      <c r="B3573" s="95" t="s">
        <v>125</v>
      </c>
      <c r="C3573" s="51">
        <v>0.77152777777777803</v>
      </c>
      <c r="D3573" s="96">
        <v>0</v>
      </c>
      <c r="E3573" s="96">
        <v>0</v>
      </c>
      <c r="F3573" s="96">
        <v>0</v>
      </c>
      <c r="G3573" s="96">
        <v>0</v>
      </c>
      <c r="H3573" s="96">
        <v>0</v>
      </c>
      <c r="I3573" s="96">
        <v>0</v>
      </c>
      <c r="J3573" s="96">
        <v>0</v>
      </c>
    </row>
    <row r="3574" spans="1:10">
      <c r="A3574" s="95" t="s">
        <v>15</v>
      </c>
      <c r="B3574" s="95" t="s">
        <v>125</v>
      </c>
      <c r="C3574" s="51">
        <v>0.77222222222222203</v>
      </c>
      <c r="D3574" s="96">
        <v>0</v>
      </c>
      <c r="E3574" s="96">
        <v>0</v>
      </c>
      <c r="F3574" s="96">
        <v>0</v>
      </c>
      <c r="G3574" s="96">
        <v>0</v>
      </c>
      <c r="H3574" s="96">
        <v>0</v>
      </c>
      <c r="I3574" s="96">
        <v>0</v>
      </c>
      <c r="J3574" s="96">
        <v>0</v>
      </c>
    </row>
    <row r="3575" spans="1:10">
      <c r="A3575" s="95" t="s">
        <v>15</v>
      </c>
      <c r="B3575" s="95" t="s">
        <v>125</v>
      </c>
      <c r="C3575" s="51">
        <v>0.77291666666666603</v>
      </c>
      <c r="D3575" s="96">
        <v>0</v>
      </c>
      <c r="E3575" s="96">
        <v>0</v>
      </c>
      <c r="F3575" s="96">
        <v>0</v>
      </c>
      <c r="G3575" s="96">
        <v>0</v>
      </c>
      <c r="H3575" s="96">
        <v>0</v>
      </c>
      <c r="I3575" s="96">
        <v>0</v>
      </c>
      <c r="J3575" s="96">
        <v>0</v>
      </c>
    </row>
    <row r="3576" spans="1:10">
      <c r="A3576" s="95" t="s">
        <v>15</v>
      </c>
      <c r="B3576" s="95" t="s">
        <v>125</v>
      </c>
      <c r="C3576" s="51">
        <v>0.77361111111111103</v>
      </c>
      <c r="D3576" s="96">
        <v>0</v>
      </c>
      <c r="E3576" s="96">
        <v>0</v>
      </c>
      <c r="F3576" s="96">
        <v>0</v>
      </c>
      <c r="G3576" s="96">
        <v>0</v>
      </c>
      <c r="H3576" s="96">
        <v>0</v>
      </c>
      <c r="I3576" s="96">
        <v>0</v>
      </c>
      <c r="J3576" s="96">
        <v>0</v>
      </c>
    </row>
    <row r="3577" spans="1:10">
      <c r="A3577" s="95" t="s">
        <v>15</v>
      </c>
      <c r="B3577" s="95" t="s">
        <v>125</v>
      </c>
      <c r="C3577" s="51">
        <v>0.77430555555555503</v>
      </c>
      <c r="D3577" s="96">
        <v>0</v>
      </c>
      <c r="E3577" s="96">
        <v>0</v>
      </c>
      <c r="F3577" s="96">
        <v>0</v>
      </c>
      <c r="G3577" s="96">
        <v>0</v>
      </c>
      <c r="H3577" s="96">
        <v>0</v>
      </c>
      <c r="I3577" s="96">
        <v>0</v>
      </c>
      <c r="J3577" s="96">
        <v>0</v>
      </c>
    </row>
    <row r="3578" spans="1:10">
      <c r="A3578" s="95" t="s">
        <v>15</v>
      </c>
      <c r="B3578" s="95" t="s">
        <v>125</v>
      </c>
      <c r="C3578" s="51">
        <v>0.77500000000000002</v>
      </c>
      <c r="D3578" s="96">
        <v>0</v>
      </c>
      <c r="E3578" s="96">
        <v>0</v>
      </c>
      <c r="F3578" s="96">
        <v>0</v>
      </c>
      <c r="G3578" s="96">
        <v>0</v>
      </c>
      <c r="H3578" s="96">
        <v>0</v>
      </c>
      <c r="I3578" s="96">
        <v>0</v>
      </c>
      <c r="J3578" s="96">
        <v>0</v>
      </c>
    </row>
    <row r="3579" spans="1:10">
      <c r="A3579" s="95" t="s">
        <v>15</v>
      </c>
      <c r="B3579" s="95" t="s">
        <v>125</v>
      </c>
      <c r="C3579" s="51">
        <v>0.77569444444444402</v>
      </c>
      <c r="D3579" s="96">
        <v>0</v>
      </c>
      <c r="E3579" s="96">
        <v>0</v>
      </c>
      <c r="F3579" s="96">
        <v>0</v>
      </c>
      <c r="G3579" s="96">
        <v>0</v>
      </c>
      <c r="H3579" s="96">
        <v>0</v>
      </c>
      <c r="I3579" s="96">
        <v>0</v>
      </c>
      <c r="J3579" s="96">
        <v>0</v>
      </c>
    </row>
    <row r="3580" spans="1:10">
      <c r="A3580" s="95" t="s">
        <v>15</v>
      </c>
      <c r="B3580" s="95" t="s">
        <v>125</v>
      </c>
      <c r="C3580" s="51">
        <v>0.77638888888888902</v>
      </c>
      <c r="D3580" s="96">
        <v>0</v>
      </c>
      <c r="E3580" s="96">
        <v>0</v>
      </c>
      <c r="F3580" s="96">
        <v>0</v>
      </c>
      <c r="G3580" s="96">
        <v>0</v>
      </c>
      <c r="H3580" s="96">
        <v>0</v>
      </c>
      <c r="I3580" s="96">
        <v>0</v>
      </c>
      <c r="J3580" s="96">
        <v>0</v>
      </c>
    </row>
    <row r="3581" spans="1:10">
      <c r="A3581" s="95" t="s">
        <v>15</v>
      </c>
      <c r="B3581" s="95" t="s">
        <v>125</v>
      </c>
      <c r="C3581" s="51">
        <v>0.77708333333333302</v>
      </c>
      <c r="D3581" s="96">
        <v>0</v>
      </c>
      <c r="E3581" s="96">
        <v>0</v>
      </c>
      <c r="F3581" s="96">
        <v>0</v>
      </c>
      <c r="G3581" s="96">
        <v>0</v>
      </c>
      <c r="H3581" s="96">
        <v>0</v>
      </c>
      <c r="I3581" s="96">
        <v>0</v>
      </c>
      <c r="J3581" s="96">
        <v>0</v>
      </c>
    </row>
    <row r="3582" spans="1:10">
      <c r="A3582" s="95" t="s">
        <v>15</v>
      </c>
      <c r="B3582" s="95" t="s">
        <v>125</v>
      </c>
      <c r="C3582" s="51">
        <v>0.77777777777777801</v>
      </c>
      <c r="D3582" s="96">
        <v>0</v>
      </c>
      <c r="E3582" s="96">
        <v>0</v>
      </c>
      <c r="F3582" s="96">
        <v>0</v>
      </c>
      <c r="G3582" s="96">
        <v>0</v>
      </c>
      <c r="H3582" s="96">
        <v>0</v>
      </c>
      <c r="I3582" s="96">
        <v>0</v>
      </c>
      <c r="J3582" s="96">
        <v>0</v>
      </c>
    </row>
    <row r="3583" spans="1:10">
      <c r="A3583" s="95" t="s">
        <v>15</v>
      </c>
      <c r="B3583" s="95" t="s">
        <v>125</v>
      </c>
      <c r="C3583" s="51">
        <v>0.77847222222222201</v>
      </c>
      <c r="D3583" s="96">
        <v>0</v>
      </c>
      <c r="E3583" s="96">
        <v>0</v>
      </c>
      <c r="F3583" s="96">
        <v>0</v>
      </c>
      <c r="G3583" s="96">
        <v>0</v>
      </c>
      <c r="H3583" s="96">
        <v>0</v>
      </c>
      <c r="I3583" s="96">
        <v>0</v>
      </c>
      <c r="J3583" s="96">
        <v>0</v>
      </c>
    </row>
    <row r="3584" spans="1:10">
      <c r="A3584" s="95" t="s">
        <v>15</v>
      </c>
      <c r="B3584" s="95" t="s">
        <v>125</v>
      </c>
      <c r="C3584" s="51">
        <v>0.77916666666666601</v>
      </c>
      <c r="D3584" s="96">
        <v>0</v>
      </c>
      <c r="E3584" s="96">
        <v>0</v>
      </c>
      <c r="F3584" s="96">
        <v>0</v>
      </c>
      <c r="G3584" s="96">
        <v>0</v>
      </c>
      <c r="H3584" s="96">
        <v>0</v>
      </c>
      <c r="I3584" s="96">
        <v>0</v>
      </c>
      <c r="J3584" s="96">
        <v>0</v>
      </c>
    </row>
    <row r="3585" spans="1:10">
      <c r="A3585" s="95" t="s">
        <v>15</v>
      </c>
      <c r="B3585" s="95" t="s">
        <v>125</v>
      </c>
      <c r="C3585" s="51">
        <v>0.77986111111111101</v>
      </c>
      <c r="D3585" s="96">
        <v>0</v>
      </c>
      <c r="E3585" s="96">
        <v>0</v>
      </c>
      <c r="F3585" s="96">
        <v>0</v>
      </c>
      <c r="G3585" s="96">
        <v>0</v>
      </c>
      <c r="H3585" s="96">
        <v>0</v>
      </c>
      <c r="I3585" s="96">
        <v>0</v>
      </c>
      <c r="J3585" s="96">
        <v>0</v>
      </c>
    </row>
    <row r="3586" spans="1:10" s="80" customFormat="1">
      <c r="A3586" s="97" t="s">
        <v>15</v>
      </c>
      <c r="B3586" s="97" t="s">
        <v>125</v>
      </c>
      <c r="C3586" s="98">
        <v>0.780555555555555</v>
      </c>
      <c r="D3586" s="96">
        <v>0</v>
      </c>
      <c r="E3586" s="96">
        <v>0</v>
      </c>
      <c r="F3586" s="96">
        <v>0</v>
      </c>
      <c r="G3586" s="96">
        <v>0</v>
      </c>
      <c r="H3586" s="96">
        <v>0</v>
      </c>
      <c r="I3586" s="96">
        <v>0</v>
      </c>
      <c r="J3586" s="96">
        <v>0</v>
      </c>
    </row>
    <row r="3587" spans="1:10">
      <c r="A3587" s="95" t="s">
        <v>15</v>
      </c>
      <c r="B3587" s="95" t="s">
        <v>125</v>
      </c>
      <c r="C3587" s="51">
        <v>0.78125</v>
      </c>
      <c r="D3587" s="169">
        <v>0</v>
      </c>
      <c r="E3587" s="169">
        <v>0</v>
      </c>
      <c r="F3587" s="169">
        <v>0</v>
      </c>
      <c r="G3587" s="169">
        <v>0</v>
      </c>
      <c r="H3587" s="169">
        <v>0</v>
      </c>
      <c r="I3587" s="169">
        <v>0</v>
      </c>
      <c r="J3587" s="169">
        <v>0</v>
      </c>
    </row>
    <row r="3588" spans="1:10">
      <c r="A3588" s="95" t="s">
        <v>15</v>
      </c>
      <c r="B3588" s="95" t="s">
        <v>125</v>
      </c>
      <c r="C3588" s="51">
        <v>0.781944444444444</v>
      </c>
      <c r="D3588" s="96">
        <v>0</v>
      </c>
      <c r="E3588" s="96">
        <v>0</v>
      </c>
      <c r="F3588" s="96">
        <v>0</v>
      </c>
      <c r="G3588" s="96">
        <v>0</v>
      </c>
      <c r="H3588" s="96">
        <v>0</v>
      </c>
      <c r="I3588" s="96">
        <v>0</v>
      </c>
      <c r="J3588" s="96">
        <v>0</v>
      </c>
    </row>
    <row r="3589" spans="1:10">
      <c r="A3589" s="95" t="s">
        <v>15</v>
      </c>
      <c r="B3589" s="95" t="s">
        <v>125</v>
      </c>
      <c r="C3589" s="51">
        <v>0.78263888888888899</v>
      </c>
      <c r="D3589" s="96">
        <v>0</v>
      </c>
      <c r="E3589" s="96">
        <v>0</v>
      </c>
      <c r="F3589" s="96">
        <v>0</v>
      </c>
      <c r="G3589" s="96">
        <v>0</v>
      </c>
      <c r="H3589" s="96">
        <v>0</v>
      </c>
      <c r="I3589" s="96">
        <v>0</v>
      </c>
      <c r="J3589" s="96">
        <v>0</v>
      </c>
    </row>
    <row r="3590" spans="1:10">
      <c r="A3590" s="95" t="s">
        <v>15</v>
      </c>
      <c r="B3590" s="95" t="s">
        <v>125</v>
      </c>
      <c r="C3590" s="51">
        <v>0.78333333333333299</v>
      </c>
      <c r="D3590" s="96">
        <v>0</v>
      </c>
      <c r="E3590" s="96">
        <v>0</v>
      </c>
      <c r="F3590" s="96">
        <v>0</v>
      </c>
      <c r="G3590" s="96">
        <v>0</v>
      </c>
      <c r="H3590" s="96">
        <v>0</v>
      </c>
      <c r="I3590" s="96">
        <v>0</v>
      </c>
      <c r="J3590" s="96">
        <v>0</v>
      </c>
    </row>
    <row r="3591" spans="1:10">
      <c r="A3591" s="95" t="s">
        <v>15</v>
      </c>
      <c r="B3591" s="95" t="s">
        <v>125</v>
      </c>
      <c r="C3591" s="51">
        <v>0.78402777777777799</v>
      </c>
      <c r="D3591" s="96">
        <v>0</v>
      </c>
      <c r="E3591" s="96">
        <v>0</v>
      </c>
      <c r="F3591" s="96">
        <v>0</v>
      </c>
      <c r="G3591" s="96">
        <v>0</v>
      </c>
      <c r="H3591" s="96">
        <v>0</v>
      </c>
      <c r="I3591" s="96">
        <v>0</v>
      </c>
      <c r="J3591" s="96">
        <v>0</v>
      </c>
    </row>
    <row r="3592" spans="1:10">
      <c r="A3592" s="95" t="s">
        <v>15</v>
      </c>
      <c r="B3592" s="95" t="s">
        <v>125</v>
      </c>
      <c r="C3592" s="51">
        <v>0.78472222222222199</v>
      </c>
      <c r="D3592" s="96">
        <v>0</v>
      </c>
      <c r="E3592" s="96">
        <v>0</v>
      </c>
      <c r="F3592" s="96">
        <v>0</v>
      </c>
      <c r="G3592" s="96">
        <v>0</v>
      </c>
      <c r="H3592" s="96">
        <v>0</v>
      </c>
      <c r="I3592" s="96">
        <v>0</v>
      </c>
      <c r="J3592" s="96">
        <v>0</v>
      </c>
    </row>
    <row r="3593" spans="1:10">
      <c r="A3593" s="95" t="s">
        <v>15</v>
      </c>
      <c r="B3593" s="95" t="s">
        <v>125</v>
      </c>
      <c r="C3593" s="51">
        <v>0.78541666666666599</v>
      </c>
      <c r="D3593" s="96">
        <v>0</v>
      </c>
      <c r="E3593" s="96">
        <v>0</v>
      </c>
      <c r="F3593" s="96">
        <v>0</v>
      </c>
      <c r="G3593" s="96">
        <v>0</v>
      </c>
      <c r="H3593" s="96">
        <v>0</v>
      </c>
      <c r="I3593" s="96">
        <v>0</v>
      </c>
      <c r="J3593" s="96">
        <v>0</v>
      </c>
    </row>
    <row r="3594" spans="1:10">
      <c r="A3594" s="95" t="s">
        <v>15</v>
      </c>
      <c r="B3594" s="95" t="s">
        <v>125</v>
      </c>
      <c r="C3594" s="51">
        <v>0.78611111111111098</v>
      </c>
      <c r="D3594" s="96">
        <v>0</v>
      </c>
      <c r="E3594" s="96">
        <v>0</v>
      </c>
      <c r="F3594" s="96">
        <v>0</v>
      </c>
      <c r="G3594" s="96">
        <v>0</v>
      </c>
      <c r="H3594" s="96">
        <v>0</v>
      </c>
      <c r="I3594" s="96">
        <v>0</v>
      </c>
      <c r="J3594" s="96">
        <v>0</v>
      </c>
    </row>
    <row r="3595" spans="1:10">
      <c r="A3595" s="95" t="s">
        <v>15</v>
      </c>
      <c r="B3595" s="95" t="s">
        <v>125</v>
      </c>
      <c r="C3595" s="51">
        <v>0.78680555555555498</v>
      </c>
      <c r="D3595" s="96">
        <v>0</v>
      </c>
      <c r="E3595" s="96">
        <v>0</v>
      </c>
      <c r="F3595" s="96">
        <v>0</v>
      </c>
      <c r="G3595" s="96">
        <v>0</v>
      </c>
      <c r="H3595" s="96">
        <v>0</v>
      </c>
      <c r="I3595" s="96">
        <v>0</v>
      </c>
      <c r="J3595" s="96">
        <v>0</v>
      </c>
    </row>
    <row r="3596" spans="1:10">
      <c r="A3596" s="95" t="s">
        <v>15</v>
      </c>
      <c r="B3596" s="95" t="s">
        <v>125</v>
      </c>
      <c r="C3596" s="51">
        <v>0.78749999999999998</v>
      </c>
      <c r="D3596" s="96">
        <v>0</v>
      </c>
      <c r="E3596" s="96">
        <v>0</v>
      </c>
      <c r="F3596" s="96">
        <v>0</v>
      </c>
      <c r="G3596" s="96">
        <v>0</v>
      </c>
      <c r="H3596" s="96">
        <v>0</v>
      </c>
      <c r="I3596" s="96">
        <v>0</v>
      </c>
      <c r="J3596" s="96">
        <v>0</v>
      </c>
    </row>
    <row r="3597" spans="1:10">
      <c r="A3597" s="95" t="s">
        <v>15</v>
      </c>
      <c r="B3597" s="95" t="s">
        <v>125</v>
      </c>
      <c r="C3597" s="51">
        <v>0.78819444444444398</v>
      </c>
      <c r="D3597" s="96">
        <v>0</v>
      </c>
      <c r="E3597" s="96">
        <v>0</v>
      </c>
      <c r="F3597" s="96">
        <v>0</v>
      </c>
      <c r="G3597" s="96">
        <v>0</v>
      </c>
      <c r="H3597" s="96">
        <v>0</v>
      </c>
      <c r="I3597" s="96">
        <v>0</v>
      </c>
      <c r="J3597" s="96">
        <v>0</v>
      </c>
    </row>
    <row r="3598" spans="1:10">
      <c r="A3598" s="95" t="s">
        <v>15</v>
      </c>
      <c r="B3598" s="95" t="s">
        <v>125</v>
      </c>
      <c r="C3598" s="51">
        <v>0.78888888888888897</v>
      </c>
      <c r="D3598" s="96">
        <v>0</v>
      </c>
      <c r="E3598" s="96">
        <v>0</v>
      </c>
      <c r="F3598" s="96">
        <v>0</v>
      </c>
      <c r="G3598" s="96">
        <v>0</v>
      </c>
      <c r="H3598" s="96">
        <v>0</v>
      </c>
      <c r="I3598" s="96">
        <v>0</v>
      </c>
      <c r="J3598" s="96">
        <v>0</v>
      </c>
    </row>
    <row r="3599" spans="1:10">
      <c r="A3599" s="95" t="s">
        <v>15</v>
      </c>
      <c r="B3599" s="95" t="s">
        <v>125</v>
      </c>
      <c r="C3599" s="51">
        <v>0.78958333333333297</v>
      </c>
      <c r="D3599" s="96">
        <v>0</v>
      </c>
      <c r="E3599" s="96">
        <v>0</v>
      </c>
      <c r="F3599" s="96">
        <v>0</v>
      </c>
      <c r="G3599" s="96">
        <v>0</v>
      </c>
      <c r="H3599" s="96">
        <v>0</v>
      </c>
      <c r="I3599" s="96">
        <v>0</v>
      </c>
      <c r="J3599" s="96">
        <v>0</v>
      </c>
    </row>
    <row r="3600" spans="1:10">
      <c r="A3600" s="95" t="s">
        <v>15</v>
      </c>
      <c r="B3600" s="95" t="s">
        <v>125</v>
      </c>
      <c r="C3600" s="51">
        <v>0.79027777777777797</v>
      </c>
      <c r="D3600" s="96">
        <v>0</v>
      </c>
      <c r="E3600" s="96">
        <v>0</v>
      </c>
      <c r="F3600" s="96">
        <v>0</v>
      </c>
      <c r="G3600" s="96">
        <v>0</v>
      </c>
      <c r="H3600" s="96">
        <v>0</v>
      </c>
      <c r="I3600" s="96">
        <v>0</v>
      </c>
      <c r="J3600" s="96">
        <v>0</v>
      </c>
    </row>
    <row r="3601" spans="1:10" s="28" customFormat="1" ht="17.5" thickBot="1">
      <c r="A3601" s="107" t="s">
        <v>15</v>
      </c>
      <c r="B3601" s="107" t="s">
        <v>125</v>
      </c>
      <c r="C3601" s="108">
        <v>0.79097222222222197</v>
      </c>
      <c r="D3601" s="109">
        <v>0</v>
      </c>
      <c r="E3601" s="109">
        <v>0</v>
      </c>
      <c r="F3601" s="109">
        <v>0</v>
      </c>
      <c r="G3601" s="109">
        <v>0</v>
      </c>
      <c r="H3601" s="109">
        <v>0</v>
      </c>
      <c r="I3601" s="109">
        <v>0</v>
      </c>
      <c r="J3601" s="109">
        <v>0</v>
      </c>
    </row>
    <row r="3602" spans="1:10">
      <c r="A3602" s="110" t="s">
        <v>102</v>
      </c>
      <c r="B3602" s="110" t="s">
        <v>11</v>
      </c>
      <c r="C3602" s="111">
        <v>0.45833333333333331</v>
      </c>
      <c r="D3602" s="115">
        <v>0</v>
      </c>
      <c r="E3602" s="115">
        <v>0</v>
      </c>
      <c r="F3602" s="115">
        <v>0</v>
      </c>
      <c r="G3602" s="115">
        <v>0</v>
      </c>
      <c r="H3602" s="115">
        <v>0</v>
      </c>
      <c r="I3602" s="115">
        <v>0</v>
      </c>
      <c r="J3602" s="115">
        <v>0</v>
      </c>
    </row>
    <row r="3603" spans="1:10">
      <c r="A3603" s="110" t="s">
        <v>102</v>
      </c>
      <c r="B3603" s="110" t="s">
        <v>11</v>
      </c>
      <c r="C3603" s="111">
        <v>0.45902777777777776</v>
      </c>
      <c r="D3603" s="115">
        <v>0</v>
      </c>
      <c r="E3603" s="115">
        <v>0</v>
      </c>
      <c r="F3603" s="115">
        <v>0</v>
      </c>
      <c r="G3603" s="115">
        <v>0</v>
      </c>
      <c r="H3603" s="115">
        <v>0</v>
      </c>
      <c r="I3603" s="115">
        <v>0</v>
      </c>
      <c r="J3603" s="115">
        <v>0</v>
      </c>
    </row>
    <row r="3604" spans="1:10">
      <c r="A3604" s="110" t="s">
        <v>102</v>
      </c>
      <c r="B3604" s="110" t="s">
        <v>11</v>
      </c>
      <c r="C3604" s="111">
        <v>0.45972222222222198</v>
      </c>
      <c r="D3604" s="115">
        <v>0</v>
      </c>
      <c r="E3604" s="115">
        <v>0</v>
      </c>
      <c r="F3604" s="115">
        <v>0</v>
      </c>
      <c r="G3604" s="115">
        <v>0</v>
      </c>
      <c r="H3604" s="115">
        <v>0</v>
      </c>
      <c r="I3604" s="115">
        <v>0</v>
      </c>
      <c r="J3604" s="115">
        <v>0</v>
      </c>
    </row>
    <row r="3605" spans="1:10">
      <c r="A3605" s="110" t="s">
        <v>102</v>
      </c>
      <c r="B3605" s="110" t="s">
        <v>11</v>
      </c>
      <c r="C3605" s="111">
        <v>0.46041666666666697</v>
      </c>
      <c r="D3605" s="115">
        <v>0</v>
      </c>
      <c r="E3605" s="115">
        <v>0</v>
      </c>
      <c r="F3605" s="115">
        <v>0</v>
      </c>
      <c r="G3605" s="115">
        <v>0</v>
      </c>
      <c r="H3605" s="115">
        <v>0</v>
      </c>
      <c r="I3605" s="115">
        <v>0</v>
      </c>
      <c r="J3605" s="115">
        <v>0</v>
      </c>
    </row>
    <row r="3606" spans="1:10">
      <c r="A3606" s="110" t="s">
        <v>102</v>
      </c>
      <c r="B3606" s="110" t="s">
        <v>11</v>
      </c>
      <c r="C3606" s="111">
        <v>0.46111111111111103</v>
      </c>
      <c r="D3606" s="115">
        <v>0</v>
      </c>
      <c r="E3606" s="115">
        <v>0</v>
      </c>
      <c r="F3606" s="115">
        <v>0</v>
      </c>
      <c r="G3606" s="115">
        <v>0</v>
      </c>
      <c r="H3606" s="115">
        <v>0</v>
      </c>
      <c r="I3606" s="115">
        <v>0</v>
      </c>
      <c r="J3606" s="115">
        <v>0</v>
      </c>
    </row>
    <row r="3607" spans="1:10">
      <c r="A3607" s="110" t="s">
        <v>102</v>
      </c>
      <c r="B3607" s="110" t="s">
        <v>11</v>
      </c>
      <c r="C3607" s="111">
        <v>0.46180555555555602</v>
      </c>
      <c r="D3607" s="115">
        <v>0</v>
      </c>
      <c r="E3607" s="115">
        <v>0</v>
      </c>
      <c r="F3607" s="115">
        <v>0</v>
      </c>
      <c r="G3607" s="115">
        <v>0</v>
      </c>
      <c r="H3607" s="115">
        <v>0</v>
      </c>
      <c r="I3607" s="115">
        <v>0</v>
      </c>
      <c r="J3607" s="115">
        <v>0</v>
      </c>
    </row>
    <row r="3608" spans="1:10">
      <c r="A3608" s="110" t="s">
        <v>102</v>
      </c>
      <c r="B3608" s="110" t="s">
        <v>11</v>
      </c>
      <c r="C3608" s="111">
        <v>0.46250000000000002</v>
      </c>
      <c r="D3608" s="115">
        <v>0</v>
      </c>
      <c r="E3608" s="115">
        <v>0</v>
      </c>
      <c r="F3608" s="115">
        <v>0</v>
      </c>
      <c r="G3608" s="115">
        <v>0</v>
      </c>
      <c r="H3608" s="115">
        <v>0</v>
      </c>
      <c r="I3608" s="115">
        <v>0</v>
      </c>
      <c r="J3608" s="115">
        <v>0</v>
      </c>
    </row>
    <row r="3609" spans="1:10">
      <c r="A3609" s="110" t="s">
        <v>102</v>
      </c>
      <c r="B3609" s="110" t="s">
        <v>11</v>
      </c>
      <c r="C3609" s="111">
        <v>0.46319444444444402</v>
      </c>
      <c r="D3609" s="115">
        <v>0</v>
      </c>
      <c r="E3609" s="115">
        <v>0</v>
      </c>
      <c r="F3609" s="115">
        <v>0</v>
      </c>
      <c r="G3609" s="115">
        <v>0</v>
      </c>
      <c r="H3609" s="115">
        <v>0</v>
      </c>
      <c r="I3609" s="115">
        <v>0</v>
      </c>
      <c r="J3609" s="115">
        <v>0</v>
      </c>
    </row>
    <row r="3610" spans="1:10">
      <c r="A3610" s="110" t="s">
        <v>102</v>
      </c>
      <c r="B3610" s="110" t="s">
        <v>11</v>
      </c>
      <c r="C3610" s="111">
        <v>0.46388888888888902</v>
      </c>
      <c r="D3610" s="115">
        <v>0</v>
      </c>
      <c r="E3610" s="115">
        <v>0</v>
      </c>
      <c r="F3610" s="115">
        <v>0</v>
      </c>
      <c r="G3610" s="115">
        <v>0</v>
      </c>
      <c r="H3610" s="115">
        <v>0</v>
      </c>
      <c r="I3610" s="115">
        <v>0</v>
      </c>
      <c r="J3610" s="115">
        <v>0</v>
      </c>
    </row>
    <row r="3611" spans="1:10">
      <c r="A3611" s="110" t="s">
        <v>102</v>
      </c>
      <c r="B3611" s="110" t="s">
        <v>11</v>
      </c>
      <c r="C3611" s="111">
        <v>0.46458333333333302</v>
      </c>
      <c r="D3611" s="115">
        <v>0</v>
      </c>
      <c r="E3611" s="115">
        <v>0</v>
      </c>
      <c r="F3611" s="115">
        <v>0</v>
      </c>
      <c r="G3611" s="115">
        <v>0</v>
      </c>
      <c r="H3611" s="115">
        <v>0</v>
      </c>
      <c r="I3611" s="115">
        <v>0</v>
      </c>
      <c r="J3611" s="115">
        <v>0</v>
      </c>
    </row>
    <row r="3612" spans="1:10">
      <c r="A3612" s="110" t="s">
        <v>102</v>
      </c>
      <c r="B3612" s="110" t="s">
        <v>11</v>
      </c>
      <c r="C3612" s="111">
        <v>0.46527777777777801</v>
      </c>
      <c r="D3612" s="115">
        <v>0</v>
      </c>
      <c r="E3612" s="115">
        <v>0</v>
      </c>
      <c r="F3612" s="115">
        <v>0</v>
      </c>
      <c r="G3612" s="115">
        <v>0</v>
      </c>
      <c r="H3612" s="115">
        <v>0</v>
      </c>
      <c r="I3612" s="115">
        <v>0</v>
      </c>
      <c r="J3612" s="115">
        <v>0</v>
      </c>
    </row>
    <row r="3613" spans="1:10">
      <c r="A3613" s="110" t="s">
        <v>102</v>
      </c>
      <c r="B3613" s="110" t="s">
        <v>11</v>
      </c>
      <c r="C3613" s="111">
        <v>0.46597222222222201</v>
      </c>
      <c r="D3613" s="115">
        <v>0</v>
      </c>
      <c r="E3613" s="115">
        <v>0</v>
      </c>
      <c r="F3613" s="115">
        <v>0</v>
      </c>
      <c r="G3613" s="115">
        <v>0</v>
      </c>
      <c r="H3613" s="115">
        <v>0</v>
      </c>
      <c r="I3613" s="115">
        <v>0</v>
      </c>
      <c r="J3613" s="115">
        <v>0</v>
      </c>
    </row>
    <row r="3614" spans="1:10">
      <c r="A3614" s="110" t="s">
        <v>102</v>
      </c>
      <c r="B3614" s="110" t="s">
        <v>11</v>
      </c>
      <c r="C3614" s="111">
        <v>0.46666666666666701</v>
      </c>
      <c r="D3614" s="115">
        <v>0</v>
      </c>
      <c r="E3614" s="115">
        <v>0</v>
      </c>
      <c r="F3614" s="115">
        <v>0</v>
      </c>
      <c r="G3614" s="115">
        <v>0</v>
      </c>
      <c r="H3614" s="115">
        <v>0</v>
      </c>
      <c r="I3614" s="115">
        <v>0</v>
      </c>
      <c r="J3614" s="115">
        <v>0</v>
      </c>
    </row>
    <row r="3615" spans="1:10">
      <c r="A3615" s="110" t="s">
        <v>102</v>
      </c>
      <c r="B3615" s="110" t="s">
        <v>11</v>
      </c>
      <c r="C3615" s="111">
        <v>0.46736111111111101</v>
      </c>
      <c r="D3615" s="115">
        <v>0</v>
      </c>
      <c r="E3615" s="115">
        <v>0</v>
      </c>
      <c r="F3615" s="115">
        <v>0</v>
      </c>
      <c r="G3615" s="115">
        <v>0</v>
      </c>
      <c r="H3615" s="115">
        <v>0</v>
      </c>
      <c r="I3615" s="115">
        <v>0</v>
      </c>
      <c r="J3615" s="115">
        <v>0</v>
      </c>
    </row>
    <row r="3616" spans="1:10" s="80" customFormat="1">
      <c r="A3616" s="112" t="s">
        <v>102</v>
      </c>
      <c r="B3616" s="112" t="s">
        <v>11</v>
      </c>
      <c r="C3616" s="113">
        <v>0.468055555555556</v>
      </c>
      <c r="D3616" s="114">
        <v>0</v>
      </c>
      <c r="E3616" s="114">
        <v>0</v>
      </c>
      <c r="F3616" s="114">
        <v>0</v>
      </c>
      <c r="G3616" s="114">
        <v>0</v>
      </c>
      <c r="H3616" s="114">
        <v>0</v>
      </c>
      <c r="I3616" s="114">
        <v>0</v>
      </c>
      <c r="J3616" s="114">
        <v>0</v>
      </c>
    </row>
    <row r="3617" spans="1:10">
      <c r="A3617" s="110" t="s">
        <v>102</v>
      </c>
      <c r="B3617" s="110" t="s">
        <v>11</v>
      </c>
      <c r="C3617" s="111">
        <v>0.46875</v>
      </c>
      <c r="D3617" s="119">
        <v>0</v>
      </c>
      <c r="E3617" s="119">
        <v>0</v>
      </c>
      <c r="F3617" s="119">
        <v>0</v>
      </c>
      <c r="G3617" s="119">
        <v>0</v>
      </c>
      <c r="H3617" s="119">
        <v>0</v>
      </c>
      <c r="I3617" s="119">
        <v>0</v>
      </c>
      <c r="J3617" s="119">
        <v>0</v>
      </c>
    </row>
    <row r="3618" spans="1:10">
      <c r="A3618" s="110" t="s">
        <v>102</v>
      </c>
      <c r="B3618" s="110" t="s">
        <v>11</v>
      </c>
      <c r="C3618" s="111">
        <v>0.469444444444444</v>
      </c>
      <c r="D3618" s="115">
        <v>0</v>
      </c>
      <c r="E3618" s="115">
        <v>0</v>
      </c>
      <c r="F3618" s="115">
        <v>0</v>
      </c>
      <c r="G3618" s="115">
        <v>0</v>
      </c>
      <c r="H3618" s="115">
        <v>0</v>
      </c>
      <c r="I3618" s="115">
        <v>0</v>
      </c>
      <c r="J3618" s="115">
        <v>0</v>
      </c>
    </row>
    <row r="3619" spans="1:10">
      <c r="A3619" s="110" t="s">
        <v>102</v>
      </c>
      <c r="B3619" s="110" t="s">
        <v>11</v>
      </c>
      <c r="C3619" s="111">
        <v>0.47013888888888899</v>
      </c>
      <c r="D3619" s="115">
        <v>0</v>
      </c>
      <c r="E3619" s="115">
        <v>0</v>
      </c>
      <c r="F3619" s="115">
        <v>0</v>
      </c>
      <c r="G3619" s="115">
        <v>0</v>
      </c>
      <c r="H3619" s="115">
        <v>0</v>
      </c>
      <c r="I3619" s="115">
        <v>0</v>
      </c>
      <c r="J3619" s="115">
        <v>0</v>
      </c>
    </row>
    <row r="3620" spans="1:10">
      <c r="A3620" s="110" t="s">
        <v>102</v>
      </c>
      <c r="B3620" s="110" t="s">
        <v>11</v>
      </c>
      <c r="C3620" s="111">
        <v>0.47083333333333299</v>
      </c>
      <c r="D3620" s="115">
        <v>0</v>
      </c>
      <c r="E3620" s="115">
        <v>0</v>
      </c>
      <c r="F3620" s="115">
        <v>0</v>
      </c>
      <c r="G3620" s="115">
        <v>0</v>
      </c>
      <c r="H3620" s="115">
        <v>0</v>
      </c>
      <c r="I3620" s="115">
        <v>0</v>
      </c>
      <c r="J3620" s="115">
        <v>0</v>
      </c>
    </row>
    <row r="3621" spans="1:10">
      <c r="A3621" s="110" t="s">
        <v>102</v>
      </c>
      <c r="B3621" s="110" t="s">
        <v>11</v>
      </c>
      <c r="C3621" s="111">
        <v>0.47152777777777799</v>
      </c>
      <c r="D3621" s="115">
        <v>0</v>
      </c>
      <c r="E3621" s="115">
        <v>0</v>
      </c>
      <c r="F3621" s="115">
        <v>0</v>
      </c>
      <c r="G3621" s="115">
        <v>0</v>
      </c>
      <c r="H3621" s="115">
        <v>0</v>
      </c>
      <c r="I3621" s="115">
        <v>0</v>
      </c>
      <c r="J3621" s="115">
        <v>0</v>
      </c>
    </row>
    <row r="3622" spans="1:10">
      <c r="A3622" s="110" t="s">
        <v>102</v>
      </c>
      <c r="B3622" s="110" t="s">
        <v>11</v>
      </c>
      <c r="C3622" s="111">
        <v>0.47222222222222199</v>
      </c>
      <c r="D3622" s="115">
        <v>0</v>
      </c>
      <c r="E3622" s="115">
        <v>0</v>
      </c>
      <c r="F3622" s="115">
        <v>0</v>
      </c>
      <c r="G3622" s="115">
        <v>0</v>
      </c>
      <c r="H3622" s="115">
        <v>0</v>
      </c>
      <c r="I3622" s="115">
        <v>0</v>
      </c>
      <c r="J3622" s="115">
        <v>0</v>
      </c>
    </row>
    <row r="3623" spans="1:10">
      <c r="A3623" s="110" t="s">
        <v>102</v>
      </c>
      <c r="B3623" s="110" t="s">
        <v>11</v>
      </c>
      <c r="C3623" s="111">
        <v>0.47291666666666698</v>
      </c>
      <c r="D3623" s="115">
        <v>0</v>
      </c>
      <c r="E3623" s="115">
        <v>0</v>
      </c>
      <c r="F3623" s="115">
        <v>0</v>
      </c>
      <c r="G3623" s="115">
        <v>0</v>
      </c>
      <c r="H3623" s="115">
        <v>0</v>
      </c>
      <c r="I3623" s="115">
        <v>0</v>
      </c>
      <c r="J3623" s="115">
        <v>0</v>
      </c>
    </row>
    <row r="3624" spans="1:10">
      <c r="A3624" s="110" t="s">
        <v>102</v>
      </c>
      <c r="B3624" s="110" t="s">
        <v>11</v>
      </c>
      <c r="C3624" s="111">
        <v>0.47361111111111098</v>
      </c>
      <c r="D3624" s="115">
        <v>0</v>
      </c>
      <c r="E3624" s="115">
        <v>0</v>
      </c>
      <c r="F3624" s="115">
        <v>0</v>
      </c>
      <c r="G3624" s="115">
        <v>0</v>
      </c>
      <c r="H3624" s="115">
        <v>0</v>
      </c>
      <c r="I3624" s="115">
        <v>0</v>
      </c>
      <c r="J3624" s="115">
        <v>0</v>
      </c>
    </row>
    <row r="3625" spans="1:10">
      <c r="A3625" s="110" t="s">
        <v>102</v>
      </c>
      <c r="B3625" s="110" t="s">
        <v>11</v>
      </c>
      <c r="C3625" s="111">
        <v>0.47430555555555598</v>
      </c>
      <c r="D3625" s="115">
        <v>0</v>
      </c>
      <c r="E3625" s="115">
        <v>0</v>
      </c>
      <c r="F3625" s="115">
        <v>0</v>
      </c>
      <c r="G3625" s="115">
        <v>0</v>
      </c>
      <c r="H3625" s="115">
        <v>0</v>
      </c>
      <c r="I3625" s="115">
        <v>0</v>
      </c>
      <c r="J3625" s="115">
        <v>0</v>
      </c>
    </row>
    <row r="3626" spans="1:10">
      <c r="A3626" s="110" t="s">
        <v>102</v>
      </c>
      <c r="B3626" s="110" t="s">
        <v>11</v>
      </c>
      <c r="C3626" s="111">
        <v>0.47499999999999998</v>
      </c>
      <c r="D3626" s="115">
        <v>0</v>
      </c>
      <c r="E3626" s="115">
        <v>0</v>
      </c>
      <c r="F3626" s="115">
        <v>0</v>
      </c>
      <c r="G3626" s="115">
        <v>0</v>
      </c>
      <c r="H3626" s="115">
        <v>0</v>
      </c>
      <c r="I3626" s="115">
        <v>0</v>
      </c>
      <c r="J3626" s="115">
        <v>0</v>
      </c>
    </row>
    <row r="3627" spans="1:10">
      <c r="A3627" s="110" t="s">
        <v>102</v>
      </c>
      <c r="B3627" s="110" t="s">
        <v>11</v>
      </c>
      <c r="C3627" s="111">
        <v>0.47569444444444398</v>
      </c>
      <c r="D3627" s="115">
        <v>0</v>
      </c>
      <c r="E3627" s="115">
        <v>0</v>
      </c>
      <c r="F3627" s="115">
        <v>0</v>
      </c>
      <c r="G3627" s="115">
        <v>0</v>
      </c>
      <c r="H3627" s="115">
        <v>0</v>
      </c>
      <c r="I3627" s="115">
        <v>0</v>
      </c>
      <c r="J3627" s="115">
        <v>0</v>
      </c>
    </row>
    <row r="3628" spans="1:10">
      <c r="A3628" s="110" t="s">
        <v>102</v>
      </c>
      <c r="B3628" s="110" t="s">
        <v>11</v>
      </c>
      <c r="C3628" s="111">
        <v>0.47638888888888897</v>
      </c>
      <c r="D3628" s="115">
        <v>0</v>
      </c>
      <c r="E3628" s="115">
        <v>0</v>
      </c>
      <c r="F3628" s="115">
        <v>0</v>
      </c>
      <c r="G3628" s="115">
        <v>0</v>
      </c>
      <c r="H3628" s="115">
        <v>0</v>
      </c>
      <c r="I3628" s="115">
        <v>0</v>
      </c>
      <c r="J3628" s="115">
        <v>0</v>
      </c>
    </row>
    <row r="3629" spans="1:10">
      <c r="A3629" s="110" t="s">
        <v>102</v>
      </c>
      <c r="B3629" s="110" t="s">
        <v>11</v>
      </c>
      <c r="C3629" s="111">
        <v>0.47708333333333303</v>
      </c>
      <c r="D3629" s="115">
        <v>0</v>
      </c>
      <c r="E3629" s="115">
        <v>0</v>
      </c>
      <c r="F3629" s="115">
        <v>0</v>
      </c>
      <c r="G3629" s="115">
        <v>0</v>
      </c>
      <c r="H3629" s="115">
        <v>0</v>
      </c>
      <c r="I3629" s="115">
        <v>0</v>
      </c>
      <c r="J3629" s="115">
        <v>0</v>
      </c>
    </row>
    <row r="3630" spans="1:10">
      <c r="A3630" s="110" t="s">
        <v>102</v>
      </c>
      <c r="B3630" s="110" t="s">
        <v>11</v>
      </c>
      <c r="C3630" s="111">
        <v>0.47777777777777802</v>
      </c>
      <c r="D3630" s="115">
        <v>0</v>
      </c>
      <c r="E3630" s="115">
        <v>0</v>
      </c>
      <c r="F3630" s="115">
        <v>0</v>
      </c>
      <c r="G3630" s="115">
        <v>0</v>
      </c>
      <c r="H3630" s="115">
        <v>0</v>
      </c>
      <c r="I3630" s="115">
        <v>0</v>
      </c>
      <c r="J3630" s="115">
        <v>0</v>
      </c>
    </row>
    <row r="3631" spans="1:10" s="80" customFormat="1">
      <c r="A3631" s="112" t="s">
        <v>102</v>
      </c>
      <c r="B3631" s="112" t="s">
        <v>11</v>
      </c>
      <c r="C3631" s="113">
        <v>0.47847222222222202</v>
      </c>
      <c r="D3631" s="114">
        <v>0</v>
      </c>
      <c r="E3631" s="114">
        <v>0</v>
      </c>
      <c r="F3631" s="114">
        <v>0</v>
      </c>
      <c r="G3631" s="114">
        <v>0</v>
      </c>
      <c r="H3631" s="114">
        <v>0</v>
      </c>
      <c r="I3631" s="114">
        <v>0</v>
      </c>
      <c r="J3631" s="114">
        <v>0</v>
      </c>
    </row>
    <row r="3632" spans="1:10">
      <c r="A3632" s="110" t="s">
        <v>102</v>
      </c>
      <c r="B3632" s="110" t="s">
        <v>11</v>
      </c>
      <c r="C3632" s="111">
        <v>0.47916666666666702</v>
      </c>
      <c r="D3632" s="119">
        <v>0</v>
      </c>
      <c r="E3632" s="119">
        <v>0</v>
      </c>
      <c r="F3632" s="119">
        <v>0</v>
      </c>
      <c r="G3632" s="119">
        <v>0</v>
      </c>
      <c r="H3632" s="119">
        <v>0</v>
      </c>
      <c r="I3632" s="119">
        <v>0</v>
      </c>
      <c r="J3632" s="119">
        <v>0</v>
      </c>
    </row>
    <row r="3633" spans="1:10">
      <c r="A3633" s="110" t="s">
        <v>102</v>
      </c>
      <c r="B3633" s="110" t="s">
        <v>11</v>
      </c>
      <c r="C3633" s="111">
        <v>0.47986111111111102</v>
      </c>
      <c r="D3633" s="115">
        <v>0</v>
      </c>
      <c r="E3633" s="115">
        <v>0</v>
      </c>
      <c r="F3633" s="115">
        <v>0</v>
      </c>
      <c r="G3633" s="115">
        <v>0</v>
      </c>
      <c r="H3633" s="115">
        <v>0</v>
      </c>
      <c r="I3633" s="115">
        <v>0</v>
      </c>
      <c r="J3633" s="115">
        <v>0</v>
      </c>
    </row>
    <row r="3634" spans="1:10">
      <c r="A3634" s="110" t="s">
        <v>102</v>
      </c>
      <c r="B3634" s="110" t="s">
        <v>11</v>
      </c>
      <c r="C3634" s="111">
        <v>0.48055555555555501</v>
      </c>
      <c r="D3634" s="115">
        <v>0</v>
      </c>
      <c r="E3634" s="115">
        <v>0</v>
      </c>
      <c r="F3634" s="115">
        <v>0</v>
      </c>
      <c r="G3634" s="115">
        <v>0</v>
      </c>
      <c r="H3634" s="115">
        <v>0</v>
      </c>
      <c r="I3634" s="115">
        <v>0</v>
      </c>
      <c r="J3634" s="115">
        <v>0</v>
      </c>
    </row>
    <row r="3635" spans="1:10">
      <c r="A3635" s="110" t="s">
        <v>102</v>
      </c>
      <c r="B3635" s="110" t="s">
        <v>11</v>
      </c>
      <c r="C3635" s="111">
        <v>0.48125000000000001</v>
      </c>
      <c r="D3635" s="115">
        <v>0</v>
      </c>
      <c r="E3635" s="115">
        <v>0</v>
      </c>
      <c r="F3635" s="115">
        <v>0</v>
      </c>
      <c r="G3635" s="115">
        <v>0</v>
      </c>
      <c r="H3635" s="115">
        <v>0</v>
      </c>
      <c r="I3635" s="115">
        <v>0</v>
      </c>
      <c r="J3635" s="115">
        <v>0</v>
      </c>
    </row>
    <row r="3636" spans="1:10">
      <c r="A3636" s="110" t="s">
        <v>102</v>
      </c>
      <c r="B3636" s="110" t="s">
        <v>11</v>
      </c>
      <c r="C3636" s="111">
        <v>0.48194444444444401</v>
      </c>
      <c r="D3636" s="115">
        <v>0</v>
      </c>
      <c r="E3636" s="115">
        <v>0</v>
      </c>
      <c r="F3636" s="115">
        <v>0</v>
      </c>
      <c r="G3636" s="115">
        <v>0</v>
      </c>
      <c r="H3636" s="115">
        <v>0</v>
      </c>
      <c r="I3636" s="115">
        <v>0</v>
      </c>
      <c r="J3636" s="115">
        <v>0</v>
      </c>
    </row>
    <row r="3637" spans="1:10">
      <c r="A3637" s="110" t="s">
        <v>102</v>
      </c>
      <c r="B3637" s="110" t="s">
        <v>11</v>
      </c>
      <c r="C3637" s="111">
        <v>0.48263888888888901</v>
      </c>
      <c r="D3637" s="115">
        <v>0</v>
      </c>
      <c r="E3637" s="115">
        <v>0</v>
      </c>
      <c r="F3637" s="115">
        <v>0</v>
      </c>
      <c r="G3637" s="115">
        <v>0</v>
      </c>
      <c r="H3637" s="115">
        <v>0</v>
      </c>
      <c r="I3637" s="115">
        <v>0</v>
      </c>
      <c r="J3637" s="115">
        <v>0</v>
      </c>
    </row>
    <row r="3638" spans="1:10">
      <c r="A3638" s="110" t="s">
        <v>102</v>
      </c>
      <c r="B3638" s="110" t="s">
        <v>11</v>
      </c>
      <c r="C3638" s="111">
        <v>0.483333333333333</v>
      </c>
      <c r="D3638" s="115">
        <v>0</v>
      </c>
      <c r="E3638" s="115">
        <v>0</v>
      </c>
      <c r="F3638" s="115">
        <v>0</v>
      </c>
      <c r="G3638" s="115">
        <v>0</v>
      </c>
      <c r="H3638" s="115">
        <v>0</v>
      </c>
      <c r="I3638" s="115">
        <v>0</v>
      </c>
      <c r="J3638" s="115">
        <v>0</v>
      </c>
    </row>
    <row r="3639" spans="1:10">
      <c r="A3639" s="110" t="s">
        <v>102</v>
      </c>
      <c r="B3639" s="110" t="s">
        <v>11</v>
      </c>
      <c r="C3639" s="111">
        <v>0.484027777777778</v>
      </c>
      <c r="D3639" s="115">
        <v>0</v>
      </c>
      <c r="E3639" s="115">
        <v>0</v>
      </c>
      <c r="F3639" s="115">
        <v>0</v>
      </c>
      <c r="G3639" s="115">
        <v>0</v>
      </c>
      <c r="H3639" s="115">
        <v>0</v>
      </c>
      <c r="I3639" s="115">
        <v>0</v>
      </c>
      <c r="J3639" s="115">
        <v>0</v>
      </c>
    </row>
    <row r="3640" spans="1:10">
      <c r="A3640" s="110" t="s">
        <v>102</v>
      </c>
      <c r="B3640" s="110" t="s">
        <v>11</v>
      </c>
      <c r="C3640" s="111">
        <v>0.484722222222222</v>
      </c>
      <c r="D3640" s="115">
        <v>0</v>
      </c>
      <c r="E3640" s="115">
        <v>0</v>
      </c>
      <c r="F3640" s="115">
        <v>0</v>
      </c>
      <c r="G3640" s="115">
        <v>0</v>
      </c>
      <c r="H3640" s="115">
        <v>0</v>
      </c>
      <c r="I3640" s="115">
        <v>0</v>
      </c>
      <c r="J3640" s="115">
        <v>0</v>
      </c>
    </row>
    <row r="3641" spans="1:10">
      <c r="A3641" s="110" t="s">
        <v>102</v>
      </c>
      <c r="B3641" s="110" t="s">
        <v>11</v>
      </c>
      <c r="C3641" s="111">
        <v>0.485416666666666</v>
      </c>
      <c r="D3641" s="115">
        <v>0</v>
      </c>
      <c r="E3641" s="115">
        <v>0</v>
      </c>
      <c r="F3641" s="115">
        <v>0</v>
      </c>
      <c r="G3641" s="115">
        <v>0</v>
      </c>
      <c r="H3641" s="115">
        <v>0</v>
      </c>
      <c r="I3641" s="115">
        <v>0</v>
      </c>
      <c r="J3641" s="115">
        <v>0</v>
      </c>
    </row>
    <row r="3642" spans="1:10">
      <c r="A3642" s="110" t="s">
        <v>102</v>
      </c>
      <c r="B3642" s="110" t="s">
        <v>11</v>
      </c>
      <c r="C3642" s="111">
        <v>0.48611111111111099</v>
      </c>
      <c r="D3642" s="115">
        <v>0</v>
      </c>
      <c r="E3642" s="115">
        <v>0</v>
      </c>
      <c r="F3642" s="115">
        <v>0</v>
      </c>
      <c r="G3642" s="115">
        <v>0</v>
      </c>
      <c r="H3642" s="115">
        <v>0</v>
      </c>
      <c r="I3642" s="115">
        <v>0</v>
      </c>
      <c r="J3642" s="115">
        <v>0</v>
      </c>
    </row>
    <row r="3643" spans="1:10">
      <c r="A3643" s="110" t="s">
        <v>102</v>
      </c>
      <c r="B3643" s="110" t="s">
        <v>11</v>
      </c>
      <c r="C3643" s="111">
        <v>0.48680555555555499</v>
      </c>
      <c r="D3643" s="115">
        <v>0</v>
      </c>
      <c r="E3643" s="115">
        <v>0</v>
      </c>
      <c r="F3643" s="115">
        <v>0</v>
      </c>
      <c r="G3643" s="115">
        <v>0</v>
      </c>
      <c r="H3643" s="115">
        <v>0</v>
      </c>
      <c r="I3643" s="115">
        <v>0</v>
      </c>
      <c r="J3643" s="115">
        <v>0</v>
      </c>
    </row>
    <row r="3644" spans="1:10">
      <c r="A3644" s="110" t="s">
        <v>102</v>
      </c>
      <c r="B3644" s="110" t="s">
        <v>11</v>
      </c>
      <c r="C3644" s="111">
        <v>0.48749999999999999</v>
      </c>
      <c r="D3644" s="115">
        <v>0</v>
      </c>
      <c r="E3644" s="115">
        <v>0</v>
      </c>
      <c r="F3644" s="115">
        <v>0</v>
      </c>
      <c r="G3644" s="115">
        <v>0</v>
      </c>
      <c r="H3644" s="115">
        <v>0</v>
      </c>
      <c r="I3644" s="115">
        <v>0</v>
      </c>
      <c r="J3644" s="115">
        <v>0</v>
      </c>
    </row>
    <row r="3645" spans="1:10">
      <c r="A3645" s="110" t="s">
        <v>102</v>
      </c>
      <c r="B3645" s="110" t="s">
        <v>11</v>
      </c>
      <c r="C3645" s="111">
        <v>0.48819444444444399</v>
      </c>
      <c r="D3645" s="115">
        <v>0</v>
      </c>
      <c r="E3645" s="115">
        <v>0</v>
      </c>
      <c r="F3645" s="115">
        <v>0</v>
      </c>
      <c r="G3645" s="115">
        <v>0</v>
      </c>
      <c r="H3645" s="115">
        <v>0</v>
      </c>
      <c r="I3645" s="115">
        <v>0</v>
      </c>
      <c r="J3645" s="115">
        <v>0</v>
      </c>
    </row>
    <row r="3646" spans="1:10" s="80" customFormat="1">
      <c r="A3646" s="112" t="s">
        <v>102</v>
      </c>
      <c r="B3646" s="112" t="s">
        <v>11</v>
      </c>
      <c r="C3646" s="113">
        <v>0.48888888888888898</v>
      </c>
      <c r="D3646" s="114">
        <v>0</v>
      </c>
      <c r="E3646" s="114">
        <v>0</v>
      </c>
      <c r="F3646" s="114">
        <v>0</v>
      </c>
      <c r="G3646" s="114">
        <v>0</v>
      </c>
      <c r="H3646" s="114">
        <v>0</v>
      </c>
      <c r="I3646" s="114">
        <v>0</v>
      </c>
      <c r="J3646" s="114">
        <v>0</v>
      </c>
    </row>
    <row r="3647" spans="1:10">
      <c r="A3647" s="110" t="s">
        <v>102</v>
      </c>
      <c r="B3647" s="110" t="s">
        <v>11</v>
      </c>
      <c r="C3647" s="111">
        <v>0.48958333333333298</v>
      </c>
      <c r="D3647" s="119">
        <v>0</v>
      </c>
      <c r="E3647" s="119">
        <v>0</v>
      </c>
      <c r="F3647" s="119">
        <v>0</v>
      </c>
      <c r="G3647" s="119">
        <v>0</v>
      </c>
      <c r="H3647" s="119">
        <v>0</v>
      </c>
      <c r="I3647" s="119">
        <v>0</v>
      </c>
      <c r="J3647" s="119">
        <v>0</v>
      </c>
    </row>
    <row r="3648" spans="1:10">
      <c r="A3648" s="110" t="s">
        <v>102</v>
      </c>
      <c r="B3648" s="110" t="s">
        <v>11</v>
      </c>
      <c r="C3648" s="111">
        <v>0.49027777777777798</v>
      </c>
      <c r="D3648" s="115">
        <v>0</v>
      </c>
      <c r="E3648" s="115">
        <v>0</v>
      </c>
      <c r="F3648" s="115">
        <v>0</v>
      </c>
      <c r="G3648" s="115">
        <v>0</v>
      </c>
      <c r="H3648" s="115">
        <v>0</v>
      </c>
      <c r="I3648" s="115">
        <v>0</v>
      </c>
      <c r="J3648" s="115">
        <v>0</v>
      </c>
    </row>
    <row r="3649" spans="1:10">
      <c r="A3649" s="110" t="s">
        <v>102</v>
      </c>
      <c r="B3649" s="110" t="s">
        <v>11</v>
      </c>
      <c r="C3649" s="111">
        <v>0.49097222222222198</v>
      </c>
      <c r="D3649" s="115">
        <v>0</v>
      </c>
      <c r="E3649" s="115">
        <v>0</v>
      </c>
      <c r="F3649" s="115">
        <v>0</v>
      </c>
      <c r="G3649" s="115">
        <v>0</v>
      </c>
      <c r="H3649" s="115">
        <v>0</v>
      </c>
      <c r="I3649" s="115">
        <v>0</v>
      </c>
      <c r="J3649" s="115">
        <v>0</v>
      </c>
    </row>
    <row r="3650" spans="1:10">
      <c r="A3650" s="110" t="s">
        <v>102</v>
      </c>
      <c r="B3650" s="110" t="s">
        <v>11</v>
      </c>
      <c r="C3650" s="111">
        <v>0.49166666666666697</v>
      </c>
      <c r="D3650" s="115">
        <v>0</v>
      </c>
      <c r="E3650" s="115">
        <v>0</v>
      </c>
      <c r="F3650" s="115">
        <v>0</v>
      </c>
      <c r="G3650" s="115">
        <v>0</v>
      </c>
      <c r="H3650" s="115">
        <v>0</v>
      </c>
      <c r="I3650" s="115">
        <v>0</v>
      </c>
      <c r="J3650" s="115">
        <v>0</v>
      </c>
    </row>
    <row r="3651" spans="1:10">
      <c r="A3651" s="110" t="s">
        <v>102</v>
      </c>
      <c r="B3651" s="110" t="s">
        <v>11</v>
      </c>
      <c r="C3651" s="111">
        <v>0.49236111111111103</v>
      </c>
      <c r="D3651" s="115">
        <v>0</v>
      </c>
      <c r="E3651" s="115">
        <v>0</v>
      </c>
      <c r="F3651" s="115">
        <v>0</v>
      </c>
      <c r="G3651" s="115">
        <v>0</v>
      </c>
      <c r="H3651" s="115">
        <v>0</v>
      </c>
      <c r="I3651" s="115">
        <v>0</v>
      </c>
      <c r="J3651" s="115">
        <v>0</v>
      </c>
    </row>
    <row r="3652" spans="1:10">
      <c r="A3652" s="110" t="s">
        <v>102</v>
      </c>
      <c r="B3652" s="110" t="s">
        <v>11</v>
      </c>
      <c r="C3652" s="111">
        <v>0.49305555555555503</v>
      </c>
      <c r="D3652" s="115">
        <v>0</v>
      </c>
      <c r="E3652" s="115">
        <v>0</v>
      </c>
      <c r="F3652" s="115">
        <v>0</v>
      </c>
      <c r="G3652" s="115">
        <v>0</v>
      </c>
      <c r="H3652" s="115">
        <v>0</v>
      </c>
      <c r="I3652" s="115">
        <v>0</v>
      </c>
      <c r="J3652" s="115">
        <v>0</v>
      </c>
    </row>
    <row r="3653" spans="1:10">
      <c r="A3653" s="110" t="s">
        <v>102</v>
      </c>
      <c r="B3653" s="110" t="s">
        <v>11</v>
      </c>
      <c r="C3653" s="111">
        <v>0.49375000000000002</v>
      </c>
      <c r="D3653" s="115">
        <v>0</v>
      </c>
      <c r="E3653" s="115">
        <v>0</v>
      </c>
      <c r="F3653" s="115">
        <v>0</v>
      </c>
      <c r="G3653" s="115">
        <v>0</v>
      </c>
      <c r="H3653" s="115">
        <v>0</v>
      </c>
      <c r="I3653" s="115">
        <v>0</v>
      </c>
      <c r="J3653" s="115">
        <v>0</v>
      </c>
    </row>
    <row r="3654" spans="1:10">
      <c r="A3654" s="110" t="s">
        <v>102</v>
      </c>
      <c r="B3654" s="110" t="s">
        <v>11</v>
      </c>
      <c r="C3654" s="111">
        <v>0.49444444444444402</v>
      </c>
      <c r="D3654" s="115">
        <v>0</v>
      </c>
      <c r="E3654" s="115">
        <v>0</v>
      </c>
      <c r="F3654" s="115">
        <v>0</v>
      </c>
      <c r="G3654" s="115">
        <v>0</v>
      </c>
      <c r="H3654" s="115">
        <v>0</v>
      </c>
      <c r="I3654" s="115">
        <v>0</v>
      </c>
      <c r="J3654" s="115">
        <v>0</v>
      </c>
    </row>
    <row r="3655" spans="1:10">
      <c r="A3655" s="110" t="s">
        <v>102</v>
      </c>
      <c r="B3655" s="110" t="s">
        <v>11</v>
      </c>
      <c r="C3655" s="111">
        <v>0.49513888888888902</v>
      </c>
      <c r="D3655" s="115">
        <v>0</v>
      </c>
      <c r="E3655" s="115">
        <v>0</v>
      </c>
      <c r="F3655" s="115">
        <v>0</v>
      </c>
      <c r="G3655" s="115">
        <v>0</v>
      </c>
      <c r="H3655" s="115">
        <v>0</v>
      </c>
      <c r="I3655" s="115">
        <v>0</v>
      </c>
      <c r="J3655" s="115">
        <v>0</v>
      </c>
    </row>
    <row r="3656" spans="1:10">
      <c r="A3656" s="110" t="s">
        <v>102</v>
      </c>
      <c r="B3656" s="110" t="s">
        <v>11</v>
      </c>
      <c r="C3656" s="111">
        <v>0.49583333333333302</v>
      </c>
      <c r="D3656" s="115">
        <v>0</v>
      </c>
      <c r="E3656" s="115">
        <v>0</v>
      </c>
      <c r="F3656" s="115">
        <v>0</v>
      </c>
      <c r="G3656" s="115">
        <v>0</v>
      </c>
      <c r="H3656" s="115">
        <v>0</v>
      </c>
      <c r="I3656" s="115">
        <v>0</v>
      </c>
      <c r="J3656" s="115">
        <v>0</v>
      </c>
    </row>
    <row r="3657" spans="1:10">
      <c r="A3657" s="110" t="s">
        <v>102</v>
      </c>
      <c r="B3657" s="110" t="s">
        <v>11</v>
      </c>
      <c r="C3657" s="111">
        <v>0.49652777777777801</v>
      </c>
      <c r="D3657" s="115">
        <v>0</v>
      </c>
      <c r="E3657" s="115">
        <v>0</v>
      </c>
      <c r="F3657" s="115">
        <v>0</v>
      </c>
      <c r="G3657" s="115">
        <v>0</v>
      </c>
      <c r="H3657" s="115">
        <v>0</v>
      </c>
      <c r="I3657" s="115">
        <v>0</v>
      </c>
      <c r="J3657" s="115">
        <v>0</v>
      </c>
    </row>
    <row r="3658" spans="1:10">
      <c r="A3658" s="110" t="s">
        <v>102</v>
      </c>
      <c r="B3658" s="110" t="s">
        <v>11</v>
      </c>
      <c r="C3658" s="111">
        <v>0.49722222222222201</v>
      </c>
      <c r="D3658" s="115">
        <v>0</v>
      </c>
      <c r="E3658" s="115">
        <v>0</v>
      </c>
      <c r="F3658" s="115">
        <v>0</v>
      </c>
      <c r="G3658" s="115">
        <v>0</v>
      </c>
      <c r="H3658" s="115">
        <v>0</v>
      </c>
      <c r="I3658" s="115">
        <v>0</v>
      </c>
      <c r="J3658" s="115">
        <v>0</v>
      </c>
    </row>
    <row r="3659" spans="1:10">
      <c r="A3659" s="110" t="s">
        <v>102</v>
      </c>
      <c r="B3659" s="110" t="s">
        <v>11</v>
      </c>
      <c r="C3659" s="111">
        <v>0.49791666666666701</v>
      </c>
      <c r="D3659" s="115">
        <v>0</v>
      </c>
      <c r="E3659" s="115">
        <v>0</v>
      </c>
      <c r="F3659" s="115">
        <v>0</v>
      </c>
      <c r="G3659" s="115">
        <v>0</v>
      </c>
      <c r="H3659" s="115">
        <v>0</v>
      </c>
      <c r="I3659" s="115">
        <v>0</v>
      </c>
      <c r="J3659" s="115">
        <v>0</v>
      </c>
    </row>
    <row r="3660" spans="1:10">
      <c r="A3660" s="110" t="s">
        <v>102</v>
      </c>
      <c r="B3660" s="110" t="s">
        <v>11</v>
      </c>
      <c r="C3660" s="111">
        <v>0.49861111111111101</v>
      </c>
      <c r="D3660" s="115">
        <v>0</v>
      </c>
      <c r="E3660" s="115">
        <v>0</v>
      </c>
      <c r="F3660" s="115">
        <v>0</v>
      </c>
      <c r="G3660" s="115">
        <v>0</v>
      </c>
      <c r="H3660" s="115">
        <v>0</v>
      </c>
      <c r="I3660" s="115">
        <v>0</v>
      </c>
      <c r="J3660" s="115">
        <v>0</v>
      </c>
    </row>
    <row r="3661" spans="1:10" s="28" customFormat="1" ht="17.5" thickBot="1">
      <c r="A3661" s="116" t="s">
        <v>102</v>
      </c>
      <c r="B3661" s="116" t="s">
        <v>11</v>
      </c>
      <c r="C3661" s="117">
        <v>0.499305555555555</v>
      </c>
      <c r="D3661" s="118">
        <v>0</v>
      </c>
      <c r="E3661" s="118">
        <v>0</v>
      </c>
      <c r="F3661" s="118">
        <v>0</v>
      </c>
      <c r="G3661" s="118">
        <v>0</v>
      </c>
      <c r="H3661" s="118">
        <v>0</v>
      </c>
      <c r="I3661" s="118">
        <v>0</v>
      </c>
      <c r="J3661" s="118">
        <v>0</v>
      </c>
    </row>
    <row r="3662" spans="1:10">
      <c r="A3662" s="110" t="s">
        <v>102</v>
      </c>
      <c r="B3662" s="110" t="s">
        <v>12</v>
      </c>
      <c r="C3662" s="111">
        <v>0.45833333333333331</v>
      </c>
      <c r="D3662" s="115">
        <v>0</v>
      </c>
      <c r="E3662" s="115">
        <v>0</v>
      </c>
      <c r="F3662" s="115">
        <v>0</v>
      </c>
      <c r="G3662" s="115">
        <v>0</v>
      </c>
      <c r="H3662" s="115">
        <v>0</v>
      </c>
      <c r="I3662" s="115">
        <v>0</v>
      </c>
      <c r="J3662" s="115">
        <v>0</v>
      </c>
    </row>
    <row r="3663" spans="1:10">
      <c r="A3663" s="110" t="s">
        <v>102</v>
      </c>
      <c r="B3663" s="110" t="s">
        <v>12</v>
      </c>
      <c r="C3663" s="111">
        <v>0.45902777777777776</v>
      </c>
      <c r="D3663" s="115">
        <v>0</v>
      </c>
      <c r="E3663" s="115">
        <v>0</v>
      </c>
      <c r="F3663" s="115">
        <v>0</v>
      </c>
      <c r="G3663" s="115">
        <v>0</v>
      </c>
      <c r="H3663" s="115">
        <v>0</v>
      </c>
      <c r="I3663" s="115">
        <v>0</v>
      </c>
      <c r="J3663" s="115">
        <v>0</v>
      </c>
    </row>
    <row r="3664" spans="1:10">
      <c r="A3664" s="110" t="s">
        <v>102</v>
      </c>
      <c r="B3664" s="110" t="s">
        <v>12</v>
      </c>
      <c r="C3664" s="111">
        <v>0.45972222222222198</v>
      </c>
      <c r="D3664" s="115">
        <v>0</v>
      </c>
      <c r="E3664" s="115">
        <v>0</v>
      </c>
      <c r="F3664" s="115">
        <v>0</v>
      </c>
      <c r="G3664" s="115">
        <v>0</v>
      </c>
      <c r="H3664" s="115">
        <v>0</v>
      </c>
      <c r="I3664" s="115">
        <v>0</v>
      </c>
      <c r="J3664" s="115">
        <v>0</v>
      </c>
    </row>
    <row r="3665" spans="1:10">
      <c r="A3665" s="110" t="s">
        <v>102</v>
      </c>
      <c r="B3665" s="110" t="s">
        <v>12</v>
      </c>
      <c r="C3665" s="111">
        <v>0.46041666666666697</v>
      </c>
      <c r="D3665" s="115">
        <v>0</v>
      </c>
      <c r="E3665" s="115">
        <v>0</v>
      </c>
      <c r="F3665" s="115">
        <v>0</v>
      </c>
      <c r="G3665" s="115">
        <v>0</v>
      </c>
      <c r="H3665" s="115">
        <v>0</v>
      </c>
      <c r="I3665" s="115">
        <v>0</v>
      </c>
      <c r="J3665" s="115">
        <v>0</v>
      </c>
    </row>
    <row r="3666" spans="1:10">
      <c r="A3666" s="110" t="s">
        <v>102</v>
      </c>
      <c r="B3666" s="110" t="s">
        <v>12</v>
      </c>
      <c r="C3666" s="111">
        <v>0.46111111111111103</v>
      </c>
      <c r="D3666" s="115">
        <v>0</v>
      </c>
      <c r="E3666" s="115">
        <v>0</v>
      </c>
      <c r="F3666" s="115">
        <v>0</v>
      </c>
      <c r="G3666" s="115">
        <v>0</v>
      </c>
      <c r="H3666" s="115">
        <v>0</v>
      </c>
      <c r="I3666" s="115">
        <v>0</v>
      </c>
      <c r="J3666" s="115">
        <v>0</v>
      </c>
    </row>
    <row r="3667" spans="1:10">
      <c r="A3667" s="110" t="s">
        <v>102</v>
      </c>
      <c r="B3667" s="110" t="s">
        <v>12</v>
      </c>
      <c r="C3667" s="111">
        <v>0.46180555555555602</v>
      </c>
      <c r="D3667" s="115">
        <v>0</v>
      </c>
      <c r="E3667" s="115">
        <v>0</v>
      </c>
      <c r="F3667" s="115">
        <v>0</v>
      </c>
      <c r="G3667" s="115">
        <v>0</v>
      </c>
      <c r="H3667" s="115">
        <v>0</v>
      </c>
      <c r="I3667" s="115">
        <v>0</v>
      </c>
      <c r="J3667" s="115">
        <v>0</v>
      </c>
    </row>
    <row r="3668" spans="1:10">
      <c r="A3668" s="110" t="s">
        <v>102</v>
      </c>
      <c r="B3668" s="110" t="s">
        <v>12</v>
      </c>
      <c r="C3668" s="111">
        <v>0.46250000000000002</v>
      </c>
      <c r="D3668" s="115">
        <v>0</v>
      </c>
      <c r="E3668" s="115">
        <v>0</v>
      </c>
      <c r="F3668" s="115">
        <v>0</v>
      </c>
      <c r="G3668" s="115">
        <v>0</v>
      </c>
      <c r="H3668" s="115">
        <v>0</v>
      </c>
      <c r="I3668" s="115">
        <v>0</v>
      </c>
      <c r="J3668" s="115">
        <v>0</v>
      </c>
    </row>
    <row r="3669" spans="1:10">
      <c r="A3669" s="110" t="s">
        <v>102</v>
      </c>
      <c r="B3669" s="110" t="s">
        <v>12</v>
      </c>
      <c r="C3669" s="111">
        <v>0.46319444444444402</v>
      </c>
      <c r="D3669" s="115">
        <v>0</v>
      </c>
      <c r="E3669" s="115">
        <v>0</v>
      </c>
      <c r="F3669" s="115">
        <v>0</v>
      </c>
      <c r="G3669" s="115">
        <v>0</v>
      </c>
      <c r="H3669" s="115">
        <v>0</v>
      </c>
      <c r="I3669" s="115">
        <v>0</v>
      </c>
      <c r="J3669" s="115">
        <v>0</v>
      </c>
    </row>
    <row r="3670" spans="1:10">
      <c r="A3670" s="110" t="s">
        <v>102</v>
      </c>
      <c r="B3670" s="110" t="s">
        <v>12</v>
      </c>
      <c r="C3670" s="111">
        <v>0.46388888888888902</v>
      </c>
      <c r="D3670" s="115">
        <v>0</v>
      </c>
      <c r="E3670" s="115">
        <v>0</v>
      </c>
      <c r="F3670" s="115">
        <v>0</v>
      </c>
      <c r="G3670" s="115">
        <v>0</v>
      </c>
      <c r="H3670" s="115">
        <v>0</v>
      </c>
      <c r="I3670" s="115">
        <v>0</v>
      </c>
      <c r="J3670" s="115">
        <v>0</v>
      </c>
    </row>
    <row r="3671" spans="1:10">
      <c r="A3671" s="110" t="s">
        <v>102</v>
      </c>
      <c r="B3671" s="110" t="s">
        <v>12</v>
      </c>
      <c r="C3671" s="111">
        <v>0.46458333333333302</v>
      </c>
      <c r="D3671" s="115">
        <v>0</v>
      </c>
      <c r="E3671" s="115">
        <v>0</v>
      </c>
      <c r="F3671" s="115">
        <v>0</v>
      </c>
      <c r="G3671" s="115">
        <v>0</v>
      </c>
      <c r="H3671" s="115">
        <v>0</v>
      </c>
      <c r="I3671" s="115">
        <v>0</v>
      </c>
      <c r="J3671" s="115">
        <v>0</v>
      </c>
    </row>
    <row r="3672" spans="1:10">
      <c r="A3672" s="110" t="s">
        <v>102</v>
      </c>
      <c r="B3672" s="110" t="s">
        <v>12</v>
      </c>
      <c r="C3672" s="111">
        <v>0.46527777777777801</v>
      </c>
      <c r="D3672" s="115">
        <v>0</v>
      </c>
      <c r="E3672" s="115">
        <v>0</v>
      </c>
      <c r="F3672" s="115">
        <v>0</v>
      </c>
      <c r="G3672" s="115">
        <v>0</v>
      </c>
      <c r="H3672" s="115">
        <v>0</v>
      </c>
      <c r="I3672" s="115">
        <v>0</v>
      </c>
      <c r="J3672" s="115">
        <v>0</v>
      </c>
    </row>
    <row r="3673" spans="1:10">
      <c r="A3673" s="110" t="s">
        <v>102</v>
      </c>
      <c r="B3673" s="110" t="s">
        <v>12</v>
      </c>
      <c r="C3673" s="111">
        <v>0.46597222222222201</v>
      </c>
      <c r="D3673" s="115">
        <v>0</v>
      </c>
      <c r="E3673" s="115">
        <v>0</v>
      </c>
      <c r="F3673" s="115">
        <v>0</v>
      </c>
      <c r="G3673" s="115">
        <v>0</v>
      </c>
      <c r="H3673" s="115">
        <v>0</v>
      </c>
      <c r="I3673" s="115">
        <v>0</v>
      </c>
      <c r="J3673" s="115">
        <v>0</v>
      </c>
    </row>
    <row r="3674" spans="1:10">
      <c r="A3674" s="110" t="s">
        <v>102</v>
      </c>
      <c r="B3674" s="110" t="s">
        <v>12</v>
      </c>
      <c r="C3674" s="111">
        <v>0.46666666666666701</v>
      </c>
      <c r="D3674" s="115">
        <v>0</v>
      </c>
      <c r="E3674" s="115">
        <v>0</v>
      </c>
      <c r="F3674" s="115">
        <v>0</v>
      </c>
      <c r="G3674" s="115">
        <v>0</v>
      </c>
      <c r="H3674" s="115">
        <v>0</v>
      </c>
      <c r="I3674" s="115">
        <v>0</v>
      </c>
      <c r="J3674" s="115">
        <v>0</v>
      </c>
    </row>
    <row r="3675" spans="1:10">
      <c r="A3675" s="110" t="s">
        <v>102</v>
      </c>
      <c r="B3675" s="110" t="s">
        <v>12</v>
      </c>
      <c r="C3675" s="111">
        <v>0.46736111111111101</v>
      </c>
      <c r="D3675" s="115">
        <v>0</v>
      </c>
      <c r="E3675" s="115">
        <v>0</v>
      </c>
      <c r="F3675" s="115">
        <v>0</v>
      </c>
      <c r="G3675" s="115">
        <v>0</v>
      </c>
      <c r="H3675" s="115">
        <v>0</v>
      </c>
      <c r="I3675" s="115">
        <v>0</v>
      </c>
      <c r="J3675" s="115">
        <v>0</v>
      </c>
    </row>
    <row r="3676" spans="1:10" s="80" customFormat="1">
      <c r="A3676" s="112" t="s">
        <v>102</v>
      </c>
      <c r="B3676" s="112" t="s">
        <v>12</v>
      </c>
      <c r="C3676" s="113">
        <v>0.468055555555556</v>
      </c>
      <c r="D3676" s="114">
        <v>0</v>
      </c>
      <c r="E3676" s="114">
        <v>0</v>
      </c>
      <c r="F3676" s="114">
        <v>0</v>
      </c>
      <c r="G3676" s="114">
        <v>0</v>
      </c>
      <c r="H3676" s="114">
        <v>0</v>
      </c>
      <c r="I3676" s="114">
        <v>0</v>
      </c>
      <c r="J3676" s="114">
        <v>0</v>
      </c>
    </row>
    <row r="3677" spans="1:10">
      <c r="A3677" s="110" t="s">
        <v>102</v>
      </c>
      <c r="B3677" s="110" t="s">
        <v>12</v>
      </c>
      <c r="C3677" s="111">
        <v>0.46875</v>
      </c>
      <c r="D3677" s="120">
        <v>0</v>
      </c>
      <c r="E3677" s="120">
        <v>0</v>
      </c>
      <c r="F3677" s="120">
        <v>0</v>
      </c>
      <c r="G3677" s="120">
        <v>0</v>
      </c>
      <c r="H3677" s="120">
        <v>0</v>
      </c>
      <c r="I3677" s="120">
        <v>0</v>
      </c>
      <c r="J3677" s="120">
        <v>0</v>
      </c>
    </row>
    <row r="3678" spans="1:10">
      <c r="A3678" s="110" t="s">
        <v>102</v>
      </c>
      <c r="B3678" s="110" t="s">
        <v>12</v>
      </c>
      <c r="C3678" s="111">
        <v>0.469444444444444</v>
      </c>
      <c r="D3678" s="121">
        <v>0</v>
      </c>
      <c r="E3678" s="121">
        <v>0</v>
      </c>
      <c r="F3678" s="121">
        <v>0</v>
      </c>
      <c r="G3678" s="121">
        <v>0</v>
      </c>
      <c r="H3678" s="121">
        <v>0</v>
      </c>
      <c r="I3678" s="121">
        <v>0</v>
      </c>
      <c r="J3678" s="121">
        <v>0</v>
      </c>
    </row>
    <row r="3679" spans="1:10">
      <c r="A3679" s="110" t="s">
        <v>102</v>
      </c>
      <c r="B3679" s="110" t="s">
        <v>12</v>
      </c>
      <c r="C3679" s="111">
        <v>0.47013888888888899</v>
      </c>
      <c r="D3679" s="121">
        <v>0</v>
      </c>
      <c r="E3679" s="121">
        <v>0</v>
      </c>
      <c r="F3679" s="121">
        <v>0</v>
      </c>
      <c r="G3679" s="121">
        <v>0</v>
      </c>
      <c r="H3679" s="121">
        <v>0</v>
      </c>
      <c r="I3679" s="121">
        <v>0</v>
      </c>
      <c r="J3679" s="121">
        <v>0</v>
      </c>
    </row>
    <row r="3680" spans="1:10">
      <c r="A3680" s="110" t="s">
        <v>102</v>
      </c>
      <c r="B3680" s="110" t="s">
        <v>12</v>
      </c>
      <c r="C3680" s="111">
        <v>0.47083333333333299</v>
      </c>
      <c r="D3680" s="121">
        <v>0</v>
      </c>
      <c r="E3680" s="121">
        <v>0</v>
      </c>
      <c r="F3680" s="121">
        <v>0</v>
      </c>
      <c r="G3680" s="121">
        <v>0</v>
      </c>
      <c r="H3680" s="121">
        <v>0</v>
      </c>
      <c r="I3680" s="121">
        <v>0</v>
      </c>
      <c r="J3680" s="121">
        <v>0</v>
      </c>
    </row>
    <row r="3681" spans="1:10">
      <c r="A3681" s="110" t="s">
        <v>102</v>
      </c>
      <c r="B3681" s="110" t="s">
        <v>12</v>
      </c>
      <c r="C3681" s="111">
        <v>0.47152777777777799</v>
      </c>
      <c r="D3681" s="121">
        <v>0</v>
      </c>
      <c r="E3681" s="121">
        <v>0</v>
      </c>
      <c r="F3681" s="121">
        <v>0</v>
      </c>
      <c r="G3681" s="121">
        <v>0</v>
      </c>
      <c r="H3681" s="121">
        <v>0</v>
      </c>
      <c r="I3681" s="121">
        <v>0</v>
      </c>
      <c r="J3681" s="121">
        <v>0</v>
      </c>
    </row>
    <row r="3682" spans="1:10">
      <c r="A3682" s="110" t="s">
        <v>102</v>
      </c>
      <c r="B3682" s="110" t="s">
        <v>12</v>
      </c>
      <c r="C3682" s="111">
        <v>0.47222222222222199</v>
      </c>
      <c r="D3682" s="121">
        <v>0</v>
      </c>
      <c r="E3682" s="121">
        <v>0</v>
      </c>
      <c r="F3682" s="121">
        <v>0</v>
      </c>
      <c r="G3682" s="121">
        <v>0</v>
      </c>
      <c r="H3682" s="121">
        <v>0</v>
      </c>
      <c r="I3682" s="121">
        <v>0</v>
      </c>
      <c r="J3682" s="121">
        <v>0</v>
      </c>
    </row>
    <row r="3683" spans="1:10">
      <c r="A3683" s="110" t="s">
        <v>102</v>
      </c>
      <c r="B3683" s="110" t="s">
        <v>12</v>
      </c>
      <c r="C3683" s="111">
        <v>0.47291666666666698</v>
      </c>
      <c r="D3683" s="121">
        <v>0</v>
      </c>
      <c r="E3683" s="121">
        <v>0</v>
      </c>
      <c r="F3683" s="121">
        <v>0</v>
      </c>
      <c r="G3683" s="121">
        <v>0</v>
      </c>
      <c r="H3683" s="121">
        <v>0</v>
      </c>
      <c r="I3683" s="121">
        <v>0</v>
      </c>
      <c r="J3683" s="121">
        <v>0</v>
      </c>
    </row>
    <row r="3684" spans="1:10">
      <c r="A3684" s="110" t="s">
        <v>102</v>
      </c>
      <c r="B3684" s="110" t="s">
        <v>12</v>
      </c>
      <c r="C3684" s="111">
        <v>0.47361111111111098</v>
      </c>
      <c r="D3684" s="121">
        <v>0</v>
      </c>
      <c r="E3684" s="121">
        <v>0</v>
      </c>
      <c r="F3684" s="121">
        <v>0</v>
      </c>
      <c r="G3684" s="121">
        <v>0</v>
      </c>
      <c r="H3684" s="121">
        <v>0</v>
      </c>
      <c r="I3684" s="121">
        <v>0</v>
      </c>
      <c r="J3684" s="121">
        <v>0</v>
      </c>
    </row>
    <row r="3685" spans="1:10">
      <c r="A3685" s="110" t="s">
        <v>102</v>
      </c>
      <c r="B3685" s="110" t="s">
        <v>12</v>
      </c>
      <c r="C3685" s="111">
        <v>0.47430555555555598</v>
      </c>
      <c r="D3685" s="121">
        <v>0</v>
      </c>
      <c r="E3685" s="121">
        <v>0</v>
      </c>
      <c r="F3685" s="121">
        <v>0</v>
      </c>
      <c r="G3685" s="121">
        <v>0</v>
      </c>
      <c r="H3685" s="121">
        <v>0</v>
      </c>
      <c r="I3685" s="121">
        <v>0</v>
      </c>
      <c r="J3685" s="121">
        <v>0</v>
      </c>
    </row>
    <row r="3686" spans="1:10">
      <c r="A3686" s="110" t="s">
        <v>102</v>
      </c>
      <c r="B3686" s="110" t="s">
        <v>12</v>
      </c>
      <c r="C3686" s="111">
        <v>0.47499999999999998</v>
      </c>
      <c r="D3686" s="121">
        <v>0</v>
      </c>
      <c r="E3686" s="121">
        <v>0</v>
      </c>
      <c r="F3686" s="121">
        <v>0</v>
      </c>
      <c r="G3686" s="121">
        <v>0</v>
      </c>
      <c r="H3686" s="121">
        <v>0</v>
      </c>
      <c r="I3686" s="121">
        <v>0</v>
      </c>
      <c r="J3686" s="121">
        <v>0</v>
      </c>
    </row>
    <row r="3687" spans="1:10">
      <c r="A3687" s="110" t="s">
        <v>102</v>
      </c>
      <c r="B3687" s="110" t="s">
        <v>12</v>
      </c>
      <c r="C3687" s="111">
        <v>0.47569444444444398</v>
      </c>
      <c r="D3687" s="121">
        <v>0</v>
      </c>
      <c r="E3687" s="121">
        <v>0</v>
      </c>
      <c r="F3687" s="121">
        <v>0</v>
      </c>
      <c r="G3687" s="121">
        <v>0</v>
      </c>
      <c r="H3687" s="121">
        <v>0</v>
      </c>
      <c r="I3687" s="121">
        <v>0</v>
      </c>
      <c r="J3687" s="121">
        <v>0</v>
      </c>
    </row>
    <row r="3688" spans="1:10">
      <c r="A3688" s="110" t="s">
        <v>102</v>
      </c>
      <c r="B3688" s="110" t="s">
        <v>12</v>
      </c>
      <c r="C3688" s="111">
        <v>0.47638888888888897</v>
      </c>
      <c r="D3688" s="121">
        <v>0</v>
      </c>
      <c r="E3688" s="121">
        <v>0</v>
      </c>
      <c r="F3688" s="121">
        <v>0</v>
      </c>
      <c r="G3688" s="121">
        <v>0</v>
      </c>
      <c r="H3688" s="121">
        <v>0</v>
      </c>
      <c r="I3688" s="121">
        <v>0</v>
      </c>
      <c r="J3688" s="121">
        <v>0</v>
      </c>
    </row>
    <row r="3689" spans="1:10">
      <c r="A3689" s="110" t="s">
        <v>102</v>
      </c>
      <c r="B3689" s="110" t="s">
        <v>12</v>
      </c>
      <c r="C3689" s="111">
        <v>0.47708333333333303</v>
      </c>
      <c r="D3689" s="121">
        <v>0</v>
      </c>
      <c r="E3689" s="121">
        <v>0</v>
      </c>
      <c r="F3689" s="121">
        <v>0</v>
      </c>
      <c r="G3689" s="121">
        <v>0</v>
      </c>
      <c r="H3689" s="121">
        <v>0</v>
      </c>
      <c r="I3689" s="121">
        <v>0</v>
      </c>
      <c r="J3689" s="121">
        <v>0</v>
      </c>
    </row>
    <row r="3690" spans="1:10">
      <c r="A3690" s="110" t="s">
        <v>102</v>
      </c>
      <c r="B3690" s="110" t="s">
        <v>12</v>
      </c>
      <c r="C3690" s="111">
        <v>0.47777777777777802</v>
      </c>
      <c r="D3690" s="121">
        <v>0</v>
      </c>
      <c r="E3690" s="121">
        <v>0</v>
      </c>
      <c r="F3690" s="121">
        <v>0</v>
      </c>
      <c r="G3690" s="121">
        <v>0</v>
      </c>
      <c r="H3690" s="121">
        <v>0</v>
      </c>
      <c r="I3690" s="121">
        <v>0</v>
      </c>
      <c r="J3690" s="121">
        <v>0</v>
      </c>
    </row>
    <row r="3691" spans="1:10" s="80" customFormat="1">
      <c r="A3691" s="112" t="s">
        <v>102</v>
      </c>
      <c r="B3691" s="112" t="s">
        <v>12</v>
      </c>
      <c r="C3691" s="113">
        <v>0.47847222222222202</v>
      </c>
      <c r="D3691" s="122">
        <v>0</v>
      </c>
      <c r="E3691" s="122">
        <v>0</v>
      </c>
      <c r="F3691" s="122">
        <v>0</v>
      </c>
      <c r="G3691" s="122">
        <v>0</v>
      </c>
      <c r="H3691" s="122">
        <v>0</v>
      </c>
      <c r="I3691" s="122">
        <v>0</v>
      </c>
      <c r="J3691" s="122">
        <v>0</v>
      </c>
    </row>
    <row r="3692" spans="1:10">
      <c r="A3692" s="110" t="s">
        <v>102</v>
      </c>
      <c r="B3692" s="110" t="s">
        <v>12</v>
      </c>
      <c r="C3692" s="111">
        <v>0.47916666666666702</v>
      </c>
      <c r="D3692" s="120">
        <v>0</v>
      </c>
      <c r="E3692" s="120">
        <v>0</v>
      </c>
      <c r="F3692" s="120">
        <v>0</v>
      </c>
      <c r="G3692" s="120">
        <v>0</v>
      </c>
      <c r="H3692" s="120">
        <v>0</v>
      </c>
      <c r="I3692" s="120">
        <v>0</v>
      </c>
      <c r="J3692" s="120">
        <v>0</v>
      </c>
    </row>
    <row r="3693" spans="1:10">
      <c r="A3693" s="110" t="s">
        <v>102</v>
      </c>
      <c r="B3693" s="110" t="s">
        <v>12</v>
      </c>
      <c r="C3693" s="111">
        <v>0.47986111111111102</v>
      </c>
      <c r="D3693" s="121">
        <v>0</v>
      </c>
      <c r="E3693" s="121">
        <v>0</v>
      </c>
      <c r="F3693" s="121">
        <v>0</v>
      </c>
      <c r="G3693" s="121">
        <v>0</v>
      </c>
      <c r="H3693" s="121">
        <v>0</v>
      </c>
      <c r="I3693" s="121">
        <v>0</v>
      </c>
      <c r="J3693" s="121">
        <v>0</v>
      </c>
    </row>
    <row r="3694" spans="1:10">
      <c r="A3694" s="110" t="s">
        <v>102</v>
      </c>
      <c r="B3694" s="110" t="s">
        <v>12</v>
      </c>
      <c r="C3694" s="111">
        <v>0.48055555555555501</v>
      </c>
      <c r="D3694" s="121">
        <v>0</v>
      </c>
      <c r="E3694" s="121">
        <v>0</v>
      </c>
      <c r="F3694" s="121">
        <v>0</v>
      </c>
      <c r="G3694" s="121">
        <v>0</v>
      </c>
      <c r="H3694" s="121">
        <v>0</v>
      </c>
      <c r="I3694" s="121">
        <v>0</v>
      </c>
      <c r="J3694" s="121">
        <v>0</v>
      </c>
    </row>
    <row r="3695" spans="1:10">
      <c r="A3695" s="110" t="s">
        <v>102</v>
      </c>
      <c r="B3695" s="110" t="s">
        <v>12</v>
      </c>
      <c r="C3695" s="111">
        <v>0.48125000000000001</v>
      </c>
      <c r="D3695" s="121">
        <v>0</v>
      </c>
      <c r="E3695" s="121">
        <v>0</v>
      </c>
      <c r="F3695" s="121">
        <v>0</v>
      </c>
      <c r="G3695" s="121">
        <v>0</v>
      </c>
      <c r="H3695" s="121">
        <v>0</v>
      </c>
      <c r="I3695" s="121">
        <v>0</v>
      </c>
      <c r="J3695" s="121">
        <v>0</v>
      </c>
    </row>
    <row r="3696" spans="1:10">
      <c r="A3696" s="110" t="s">
        <v>102</v>
      </c>
      <c r="B3696" s="110" t="s">
        <v>12</v>
      </c>
      <c r="C3696" s="111">
        <v>0.48194444444444401</v>
      </c>
      <c r="D3696" s="121">
        <v>0</v>
      </c>
      <c r="E3696" s="121">
        <v>0</v>
      </c>
      <c r="F3696" s="121">
        <v>0</v>
      </c>
      <c r="G3696" s="121">
        <v>0</v>
      </c>
      <c r="H3696" s="121">
        <v>0</v>
      </c>
      <c r="I3696" s="121">
        <v>0</v>
      </c>
      <c r="J3696" s="121">
        <v>0</v>
      </c>
    </row>
    <row r="3697" spans="1:10">
      <c r="A3697" s="110" t="s">
        <v>102</v>
      </c>
      <c r="B3697" s="110" t="s">
        <v>12</v>
      </c>
      <c r="C3697" s="111">
        <v>0.48263888888888901</v>
      </c>
      <c r="D3697" s="121">
        <v>0</v>
      </c>
      <c r="E3697" s="121">
        <v>0</v>
      </c>
      <c r="F3697" s="121">
        <v>0</v>
      </c>
      <c r="G3697" s="121">
        <v>0</v>
      </c>
      <c r="H3697" s="121">
        <v>0</v>
      </c>
      <c r="I3697" s="121">
        <v>0</v>
      </c>
      <c r="J3697" s="121">
        <v>0</v>
      </c>
    </row>
    <row r="3698" spans="1:10">
      <c r="A3698" s="110" t="s">
        <v>102</v>
      </c>
      <c r="B3698" s="110" t="s">
        <v>12</v>
      </c>
      <c r="C3698" s="111">
        <v>0.483333333333333</v>
      </c>
      <c r="D3698" s="121">
        <v>0</v>
      </c>
      <c r="E3698" s="121">
        <v>0</v>
      </c>
      <c r="F3698" s="121">
        <v>0</v>
      </c>
      <c r="G3698" s="121">
        <v>0</v>
      </c>
      <c r="H3698" s="121">
        <v>0</v>
      </c>
      <c r="I3698" s="121">
        <v>0</v>
      </c>
      <c r="J3698" s="121">
        <v>0</v>
      </c>
    </row>
    <row r="3699" spans="1:10">
      <c r="A3699" s="110" t="s">
        <v>102</v>
      </c>
      <c r="B3699" s="110" t="s">
        <v>12</v>
      </c>
      <c r="C3699" s="111">
        <v>0.484027777777778</v>
      </c>
      <c r="D3699" s="121">
        <v>0</v>
      </c>
      <c r="E3699" s="121">
        <v>0</v>
      </c>
      <c r="F3699" s="121">
        <v>0</v>
      </c>
      <c r="G3699" s="121">
        <v>0</v>
      </c>
      <c r="H3699" s="121">
        <v>0</v>
      </c>
      <c r="I3699" s="121">
        <v>0</v>
      </c>
      <c r="J3699" s="121">
        <v>0</v>
      </c>
    </row>
    <row r="3700" spans="1:10">
      <c r="A3700" s="110" t="s">
        <v>102</v>
      </c>
      <c r="B3700" s="110" t="s">
        <v>12</v>
      </c>
      <c r="C3700" s="111">
        <v>0.484722222222222</v>
      </c>
      <c r="D3700" s="121">
        <v>0</v>
      </c>
      <c r="E3700" s="121">
        <v>0</v>
      </c>
      <c r="F3700" s="121">
        <v>0</v>
      </c>
      <c r="G3700" s="121">
        <v>0</v>
      </c>
      <c r="H3700" s="121">
        <v>0</v>
      </c>
      <c r="I3700" s="121">
        <v>0</v>
      </c>
      <c r="J3700" s="121">
        <v>0</v>
      </c>
    </row>
    <row r="3701" spans="1:10">
      <c r="A3701" s="110" t="s">
        <v>102</v>
      </c>
      <c r="B3701" s="110" t="s">
        <v>12</v>
      </c>
      <c r="C3701" s="111">
        <v>0.485416666666666</v>
      </c>
      <c r="D3701" s="121">
        <v>0</v>
      </c>
      <c r="E3701" s="121">
        <v>0</v>
      </c>
      <c r="F3701" s="121">
        <v>0</v>
      </c>
      <c r="G3701" s="121">
        <v>0</v>
      </c>
      <c r="H3701" s="121">
        <v>0</v>
      </c>
      <c r="I3701" s="121">
        <v>0</v>
      </c>
      <c r="J3701" s="121">
        <v>0</v>
      </c>
    </row>
    <row r="3702" spans="1:10">
      <c r="A3702" s="110" t="s">
        <v>102</v>
      </c>
      <c r="B3702" s="110" t="s">
        <v>12</v>
      </c>
      <c r="C3702" s="111">
        <v>0.48611111111111099</v>
      </c>
      <c r="D3702" s="121">
        <v>0</v>
      </c>
      <c r="E3702" s="121">
        <v>0</v>
      </c>
      <c r="F3702" s="121">
        <v>0</v>
      </c>
      <c r="G3702" s="121">
        <v>0</v>
      </c>
      <c r="H3702" s="121">
        <v>0</v>
      </c>
      <c r="I3702" s="121">
        <v>0</v>
      </c>
      <c r="J3702" s="121">
        <v>0</v>
      </c>
    </row>
    <row r="3703" spans="1:10">
      <c r="A3703" s="110" t="s">
        <v>102</v>
      </c>
      <c r="B3703" s="110" t="s">
        <v>12</v>
      </c>
      <c r="C3703" s="111">
        <v>0.48680555555555499</v>
      </c>
      <c r="D3703" s="121">
        <v>0</v>
      </c>
      <c r="E3703" s="121">
        <v>0</v>
      </c>
      <c r="F3703" s="121">
        <v>0</v>
      </c>
      <c r="G3703" s="121">
        <v>0</v>
      </c>
      <c r="H3703" s="121">
        <v>0</v>
      </c>
      <c r="I3703" s="121">
        <v>0</v>
      </c>
      <c r="J3703" s="121">
        <v>0</v>
      </c>
    </row>
    <row r="3704" spans="1:10">
      <c r="A3704" s="110" t="s">
        <v>102</v>
      </c>
      <c r="B3704" s="110" t="s">
        <v>12</v>
      </c>
      <c r="C3704" s="111">
        <v>0.48749999999999999</v>
      </c>
      <c r="D3704" s="121">
        <v>0</v>
      </c>
      <c r="E3704" s="121">
        <v>0</v>
      </c>
      <c r="F3704" s="121">
        <v>0</v>
      </c>
      <c r="G3704" s="121">
        <v>0</v>
      </c>
      <c r="H3704" s="121">
        <v>0</v>
      </c>
      <c r="I3704" s="121">
        <v>0</v>
      </c>
      <c r="J3704" s="121">
        <v>0</v>
      </c>
    </row>
    <row r="3705" spans="1:10">
      <c r="A3705" s="110" t="s">
        <v>102</v>
      </c>
      <c r="B3705" s="110" t="s">
        <v>12</v>
      </c>
      <c r="C3705" s="111">
        <v>0.48819444444444399</v>
      </c>
      <c r="D3705" s="121">
        <v>0</v>
      </c>
      <c r="E3705" s="121">
        <v>0</v>
      </c>
      <c r="F3705" s="121">
        <v>0</v>
      </c>
      <c r="G3705" s="121">
        <v>0</v>
      </c>
      <c r="H3705" s="121">
        <v>0</v>
      </c>
      <c r="I3705" s="121">
        <v>0</v>
      </c>
      <c r="J3705" s="121">
        <v>0</v>
      </c>
    </row>
    <row r="3706" spans="1:10" s="80" customFormat="1">
      <c r="A3706" s="112" t="s">
        <v>102</v>
      </c>
      <c r="B3706" s="112" t="s">
        <v>12</v>
      </c>
      <c r="C3706" s="113">
        <v>0.48888888888888898</v>
      </c>
      <c r="D3706" s="122">
        <v>0</v>
      </c>
      <c r="E3706" s="122">
        <v>0</v>
      </c>
      <c r="F3706" s="122">
        <v>0</v>
      </c>
      <c r="G3706" s="122">
        <v>0</v>
      </c>
      <c r="H3706" s="122">
        <v>0</v>
      </c>
      <c r="I3706" s="122">
        <v>0</v>
      </c>
      <c r="J3706" s="122">
        <v>0</v>
      </c>
    </row>
    <row r="3707" spans="1:10">
      <c r="A3707" s="110" t="s">
        <v>102</v>
      </c>
      <c r="B3707" s="110" t="s">
        <v>12</v>
      </c>
      <c r="C3707" s="111">
        <v>0.48958333333333298</v>
      </c>
      <c r="D3707" s="120">
        <v>0</v>
      </c>
      <c r="E3707" s="120">
        <v>0</v>
      </c>
      <c r="F3707" s="120">
        <v>0</v>
      </c>
      <c r="G3707" s="120">
        <v>0</v>
      </c>
      <c r="H3707" s="120">
        <v>0</v>
      </c>
      <c r="I3707" s="120">
        <v>0</v>
      </c>
      <c r="J3707" s="120">
        <v>0</v>
      </c>
    </row>
    <row r="3708" spans="1:10">
      <c r="A3708" s="110" t="s">
        <v>102</v>
      </c>
      <c r="B3708" s="110" t="s">
        <v>12</v>
      </c>
      <c r="C3708" s="111">
        <v>0.49027777777777798</v>
      </c>
      <c r="D3708" s="121">
        <v>0</v>
      </c>
      <c r="E3708" s="121">
        <v>0</v>
      </c>
      <c r="F3708" s="121">
        <v>0</v>
      </c>
      <c r="G3708" s="121">
        <v>0</v>
      </c>
      <c r="H3708" s="121">
        <v>0</v>
      </c>
      <c r="I3708" s="121">
        <v>0</v>
      </c>
      <c r="J3708" s="121">
        <v>0</v>
      </c>
    </row>
    <row r="3709" spans="1:10">
      <c r="A3709" s="110" t="s">
        <v>102</v>
      </c>
      <c r="B3709" s="110" t="s">
        <v>12</v>
      </c>
      <c r="C3709" s="111">
        <v>0.49097222222222198</v>
      </c>
      <c r="D3709" s="121">
        <v>0</v>
      </c>
      <c r="E3709" s="121">
        <v>0</v>
      </c>
      <c r="F3709" s="121">
        <v>0</v>
      </c>
      <c r="G3709" s="121">
        <v>0</v>
      </c>
      <c r="H3709" s="121">
        <v>0</v>
      </c>
      <c r="I3709" s="121">
        <v>0</v>
      </c>
      <c r="J3709" s="121">
        <v>0</v>
      </c>
    </row>
    <row r="3710" spans="1:10">
      <c r="A3710" s="110" t="s">
        <v>102</v>
      </c>
      <c r="B3710" s="110" t="s">
        <v>12</v>
      </c>
      <c r="C3710" s="111">
        <v>0.49166666666666697</v>
      </c>
      <c r="D3710" s="121">
        <v>0</v>
      </c>
      <c r="E3710" s="121">
        <v>0</v>
      </c>
      <c r="F3710" s="121">
        <v>0</v>
      </c>
      <c r="G3710" s="121">
        <v>0</v>
      </c>
      <c r="H3710" s="121">
        <v>0</v>
      </c>
      <c r="I3710" s="121">
        <v>0</v>
      </c>
      <c r="J3710" s="121">
        <v>0</v>
      </c>
    </row>
    <row r="3711" spans="1:10">
      <c r="A3711" s="110" t="s">
        <v>102</v>
      </c>
      <c r="B3711" s="110" t="s">
        <v>12</v>
      </c>
      <c r="C3711" s="111">
        <v>0.49236111111111103</v>
      </c>
      <c r="D3711" s="121">
        <v>0</v>
      </c>
      <c r="E3711" s="121">
        <v>0</v>
      </c>
      <c r="F3711" s="121">
        <v>0</v>
      </c>
      <c r="G3711" s="121">
        <v>0</v>
      </c>
      <c r="H3711" s="121">
        <v>0</v>
      </c>
      <c r="I3711" s="121">
        <v>0</v>
      </c>
      <c r="J3711" s="121">
        <v>0</v>
      </c>
    </row>
    <row r="3712" spans="1:10">
      <c r="A3712" s="110" t="s">
        <v>102</v>
      </c>
      <c r="B3712" s="110" t="s">
        <v>12</v>
      </c>
      <c r="C3712" s="111">
        <v>0.49305555555555503</v>
      </c>
      <c r="D3712" s="121">
        <v>0</v>
      </c>
      <c r="E3712" s="121">
        <v>0</v>
      </c>
      <c r="F3712" s="121">
        <v>0</v>
      </c>
      <c r="G3712" s="121">
        <v>0</v>
      </c>
      <c r="H3712" s="121">
        <v>0</v>
      </c>
      <c r="I3712" s="121">
        <v>0</v>
      </c>
      <c r="J3712" s="121">
        <v>0</v>
      </c>
    </row>
    <row r="3713" spans="1:10">
      <c r="A3713" s="110" t="s">
        <v>102</v>
      </c>
      <c r="B3713" s="110" t="s">
        <v>12</v>
      </c>
      <c r="C3713" s="111">
        <v>0.49375000000000002</v>
      </c>
      <c r="D3713" s="121">
        <v>0</v>
      </c>
      <c r="E3713" s="121">
        <v>0</v>
      </c>
      <c r="F3713" s="121">
        <v>0</v>
      </c>
      <c r="G3713" s="121">
        <v>0</v>
      </c>
      <c r="H3713" s="121">
        <v>0</v>
      </c>
      <c r="I3713" s="121">
        <v>0</v>
      </c>
      <c r="J3713" s="121">
        <v>0</v>
      </c>
    </row>
    <row r="3714" spans="1:10">
      <c r="A3714" s="110" t="s">
        <v>102</v>
      </c>
      <c r="B3714" s="110" t="s">
        <v>12</v>
      </c>
      <c r="C3714" s="111">
        <v>0.49444444444444402</v>
      </c>
      <c r="D3714" s="121">
        <v>0</v>
      </c>
      <c r="E3714" s="121">
        <v>0</v>
      </c>
      <c r="F3714" s="121">
        <v>0</v>
      </c>
      <c r="G3714" s="121">
        <v>0</v>
      </c>
      <c r="H3714" s="121">
        <v>0</v>
      </c>
      <c r="I3714" s="121">
        <v>0</v>
      </c>
      <c r="J3714" s="121">
        <v>0</v>
      </c>
    </row>
    <row r="3715" spans="1:10">
      <c r="A3715" s="110" t="s">
        <v>102</v>
      </c>
      <c r="B3715" s="110" t="s">
        <v>12</v>
      </c>
      <c r="C3715" s="111">
        <v>0.49513888888888902</v>
      </c>
      <c r="D3715" s="121">
        <v>0</v>
      </c>
      <c r="E3715" s="121">
        <v>0</v>
      </c>
      <c r="F3715" s="121">
        <v>0</v>
      </c>
      <c r="G3715" s="121">
        <v>0</v>
      </c>
      <c r="H3715" s="121">
        <v>0</v>
      </c>
      <c r="I3715" s="121">
        <v>0</v>
      </c>
      <c r="J3715" s="121">
        <v>0</v>
      </c>
    </row>
    <row r="3716" spans="1:10">
      <c r="A3716" s="110" t="s">
        <v>102</v>
      </c>
      <c r="B3716" s="110" t="s">
        <v>12</v>
      </c>
      <c r="C3716" s="111">
        <v>0.49583333333333302</v>
      </c>
      <c r="D3716" s="121">
        <v>0</v>
      </c>
      <c r="E3716" s="121">
        <v>0</v>
      </c>
      <c r="F3716" s="121">
        <v>0</v>
      </c>
      <c r="G3716" s="121">
        <v>0</v>
      </c>
      <c r="H3716" s="121">
        <v>0</v>
      </c>
      <c r="I3716" s="121">
        <v>0</v>
      </c>
      <c r="J3716" s="121">
        <v>0</v>
      </c>
    </row>
    <row r="3717" spans="1:10">
      <c r="A3717" s="110" t="s">
        <v>102</v>
      </c>
      <c r="B3717" s="110" t="s">
        <v>12</v>
      </c>
      <c r="C3717" s="111">
        <v>0.49652777777777801</v>
      </c>
      <c r="D3717" s="121">
        <v>0</v>
      </c>
      <c r="E3717" s="121">
        <v>0</v>
      </c>
      <c r="F3717" s="121">
        <v>0</v>
      </c>
      <c r="G3717" s="121">
        <v>0</v>
      </c>
      <c r="H3717" s="121">
        <v>0</v>
      </c>
      <c r="I3717" s="121">
        <v>0</v>
      </c>
      <c r="J3717" s="121">
        <v>0</v>
      </c>
    </row>
    <row r="3718" spans="1:10">
      <c r="A3718" s="110" t="s">
        <v>102</v>
      </c>
      <c r="B3718" s="110" t="s">
        <v>12</v>
      </c>
      <c r="C3718" s="111">
        <v>0.49722222222222201</v>
      </c>
      <c r="D3718" s="121">
        <v>0</v>
      </c>
      <c r="E3718" s="121">
        <v>0</v>
      </c>
      <c r="F3718" s="121">
        <v>0</v>
      </c>
      <c r="G3718" s="121">
        <v>0</v>
      </c>
      <c r="H3718" s="121">
        <v>0</v>
      </c>
      <c r="I3718" s="121">
        <v>0</v>
      </c>
      <c r="J3718" s="121">
        <v>0</v>
      </c>
    </row>
    <row r="3719" spans="1:10">
      <c r="A3719" s="110" t="s">
        <v>102</v>
      </c>
      <c r="B3719" s="110" t="s">
        <v>12</v>
      </c>
      <c r="C3719" s="111">
        <v>0.49791666666666701</v>
      </c>
      <c r="D3719" s="121">
        <v>0</v>
      </c>
      <c r="E3719" s="121">
        <v>0</v>
      </c>
      <c r="F3719" s="121">
        <v>0</v>
      </c>
      <c r="G3719" s="121">
        <v>0</v>
      </c>
      <c r="H3719" s="121">
        <v>0</v>
      </c>
      <c r="I3719" s="121">
        <v>0</v>
      </c>
      <c r="J3719" s="121">
        <v>0</v>
      </c>
    </row>
    <row r="3720" spans="1:10">
      <c r="A3720" s="110" t="s">
        <v>102</v>
      </c>
      <c r="B3720" s="110" t="s">
        <v>12</v>
      </c>
      <c r="C3720" s="111">
        <v>0.49861111111111101</v>
      </c>
      <c r="D3720" s="121">
        <v>0</v>
      </c>
      <c r="E3720" s="121">
        <v>0</v>
      </c>
      <c r="F3720" s="121">
        <v>0</v>
      </c>
      <c r="G3720" s="121">
        <v>0</v>
      </c>
      <c r="H3720" s="121">
        <v>0</v>
      </c>
      <c r="I3720" s="121">
        <v>0</v>
      </c>
      <c r="J3720" s="121">
        <v>0</v>
      </c>
    </row>
    <row r="3721" spans="1:10" s="28" customFormat="1" ht="17.5" thickBot="1">
      <c r="A3721" s="116" t="s">
        <v>102</v>
      </c>
      <c r="B3721" s="116" t="s">
        <v>12</v>
      </c>
      <c r="C3721" s="117">
        <v>0.499305555555555</v>
      </c>
      <c r="D3721" s="123">
        <v>0</v>
      </c>
      <c r="E3721" s="123">
        <v>0</v>
      </c>
      <c r="F3721" s="123">
        <v>0</v>
      </c>
      <c r="G3721" s="123">
        <v>0</v>
      </c>
      <c r="H3721" s="123">
        <v>0</v>
      </c>
      <c r="I3721" s="123">
        <v>0</v>
      </c>
      <c r="J3721" s="123">
        <v>0</v>
      </c>
    </row>
    <row r="3722" spans="1:10">
      <c r="A3722" s="110" t="s">
        <v>102</v>
      </c>
      <c r="B3722" s="110" t="s">
        <v>13</v>
      </c>
      <c r="C3722" s="111">
        <v>0.45833333333333331</v>
      </c>
      <c r="D3722" s="124">
        <v>0</v>
      </c>
      <c r="E3722" s="124">
        <v>0</v>
      </c>
      <c r="F3722" s="124">
        <v>0</v>
      </c>
      <c r="G3722" s="124">
        <v>0</v>
      </c>
      <c r="H3722" s="124">
        <v>0</v>
      </c>
      <c r="I3722" s="124">
        <v>0</v>
      </c>
      <c r="J3722" s="124">
        <v>0</v>
      </c>
    </row>
    <row r="3723" spans="1:10">
      <c r="A3723" s="110" t="s">
        <v>102</v>
      </c>
      <c r="B3723" s="110" t="s">
        <v>13</v>
      </c>
      <c r="C3723" s="111">
        <v>0.45902777777777776</v>
      </c>
      <c r="D3723" s="121">
        <v>0</v>
      </c>
      <c r="E3723" s="121">
        <v>0</v>
      </c>
      <c r="F3723" s="121">
        <v>0</v>
      </c>
      <c r="G3723" s="121">
        <v>0</v>
      </c>
      <c r="H3723" s="121">
        <v>0</v>
      </c>
      <c r="I3723" s="121">
        <v>0</v>
      </c>
      <c r="J3723" s="121">
        <v>0</v>
      </c>
    </row>
    <row r="3724" spans="1:10">
      <c r="A3724" s="110" t="s">
        <v>102</v>
      </c>
      <c r="B3724" s="110" t="s">
        <v>13</v>
      </c>
      <c r="C3724" s="111">
        <v>0.45972222222222198</v>
      </c>
      <c r="D3724" s="121">
        <v>0</v>
      </c>
      <c r="E3724" s="121">
        <v>0</v>
      </c>
      <c r="F3724" s="121">
        <v>0</v>
      </c>
      <c r="G3724" s="121">
        <v>0</v>
      </c>
      <c r="H3724" s="121">
        <v>0</v>
      </c>
      <c r="I3724" s="121">
        <v>0</v>
      </c>
      <c r="J3724" s="121">
        <v>0</v>
      </c>
    </row>
    <row r="3725" spans="1:10">
      <c r="A3725" s="110" t="s">
        <v>102</v>
      </c>
      <c r="B3725" s="110" t="s">
        <v>13</v>
      </c>
      <c r="C3725" s="111">
        <v>0.46041666666666697</v>
      </c>
      <c r="D3725" s="121">
        <v>0</v>
      </c>
      <c r="E3725" s="121">
        <v>0</v>
      </c>
      <c r="F3725" s="121">
        <v>0</v>
      </c>
      <c r="G3725" s="121">
        <v>0</v>
      </c>
      <c r="H3725" s="121">
        <v>0</v>
      </c>
      <c r="I3725" s="121">
        <v>0</v>
      </c>
      <c r="J3725" s="121">
        <v>0</v>
      </c>
    </row>
    <row r="3726" spans="1:10">
      <c r="A3726" s="110" t="s">
        <v>102</v>
      </c>
      <c r="B3726" s="110" t="s">
        <v>13</v>
      </c>
      <c r="C3726" s="111">
        <v>0.46111111111111103</v>
      </c>
      <c r="D3726" s="121">
        <v>0</v>
      </c>
      <c r="E3726" s="121">
        <v>0</v>
      </c>
      <c r="F3726" s="121">
        <v>0</v>
      </c>
      <c r="G3726" s="121">
        <v>0</v>
      </c>
      <c r="H3726" s="121">
        <v>0</v>
      </c>
      <c r="I3726" s="121">
        <v>0</v>
      </c>
      <c r="J3726" s="121">
        <v>0</v>
      </c>
    </row>
    <row r="3727" spans="1:10">
      <c r="A3727" s="110" t="s">
        <v>102</v>
      </c>
      <c r="B3727" s="110" t="s">
        <v>13</v>
      </c>
      <c r="C3727" s="111">
        <v>0.46180555555555602</v>
      </c>
      <c r="D3727" s="121">
        <v>0</v>
      </c>
      <c r="E3727" s="121">
        <v>0</v>
      </c>
      <c r="F3727" s="121">
        <v>0</v>
      </c>
      <c r="G3727" s="121">
        <v>0</v>
      </c>
      <c r="H3727" s="121">
        <v>0</v>
      </c>
      <c r="I3727" s="121">
        <v>0</v>
      </c>
      <c r="J3727" s="121">
        <v>0</v>
      </c>
    </row>
    <row r="3728" spans="1:10">
      <c r="A3728" s="110" t="s">
        <v>102</v>
      </c>
      <c r="B3728" s="110" t="s">
        <v>13</v>
      </c>
      <c r="C3728" s="111">
        <v>0.46250000000000002</v>
      </c>
      <c r="D3728" s="121">
        <v>0</v>
      </c>
      <c r="E3728" s="121">
        <v>0</v>
      </c>
      <c r="F3728" s="121">
        <v>0</v>
      </c>
      <c r="G3728" s="121">
        <v>0</v>
      </c>
      <c r="H3728" s="121">
        <v>0</v>
      </c>
      <c r="I3728" s="121">
        <v>0</v>
      </c>
      <c r="J3728" s="121">
        <v>0</v>
      </c>
    </row>
    <row r="3729" spans="1:10">
      <c r="A3729" s="110" t="s">
        <v>102</v>
      </c>
      <c r="B3729" s="110" t="s">
        <v>13</v>
      </c>
      <c r="C3729" s="111">
        <v>0.46319444444444402</v>
      </c>
      <c r="D3729" s="121">
        <v>0</v>
      </c>
      <c r="E3729" s="121">
        <v>0</v>
      </c>
      <c r="F3729" s="121">
        <v>0</v>
      </c>
      <c r="G3729" s="121">
        <v>0</v>
      </c>
      <c r="H3729" s="121">
        <v>0</v>
      </c>
      <c r="I3729" s="121">
        <v>0</v>
      </c>
      <c r="J3729" s="121">
        <v>0</v>
      </c>
    </row>
    <row r="3730" spans="1:10">
      <c r="A3730" s="110" t="s">
        <v>102</v>
      </c>
      <c r="B3730" s="110" t="s">
        <v>13</v>
      </c>
      <c r="C3730" s="111">
        <v>0.46388888888888902</v>
      </c>
      <c r="D3730" s="121">
        <v>0</v>
      </c>
      <c r="E3730" s="121">
        <v>0</v>
      </c>
      <c r="F3730" s="121">
        <v>0</v>
      </c>
      <c r="G3730" s="121">
        <v>0</v>
      </c>
      <c r="H3730" s="121">
        <v>0</v>
      </c>
      <c r="I3730" s="121">
        <v>0</v>
      </c>
      <c r="J3730" s="121">
        <v>0</v>
      </c>
    </row>
    <row r="3731" spans="1:10">
      <c r="A3731" s="110" t="s">
        <v>102</v>
      </c>
      <c r="B3731" s="110" t="s">
        <v>13</v>
      </c>
      <c r="C3731" s="111">
        <v>0.46458333333333302</v>
      </c>
      <c r="D3731" s="121">
        <v>0</v>
      </c>
      <c r="E3731" s="121">
        <v>0</v>
      </c>
      <c r="F3731" s="121">
        <v>0</v>
      </c>
      <c r="G3731" s="121">
        <v>0</v>
      </c>
      <c r="H3731" s="121">
        <v>0</v>
      </c>
      <c r="I3731" s="121">
        <v>0</v>
      </c>
      <c r="J3731" s="121">
        <v>0</v>
      </c>
    </row>
    <row r="3732" spans="1:10">
      <c r="A3732" s="110" t="s">
        <v>102</v>
      </c>
      <c r="B3732" s="110" t="s">
        <v>13</v>
      </c>
      <c r="C3732" s="111">
        <v>0.46527777777777801</v>
      </c>
      <c r="D3732" s="121">
        <v>0</v>
      </c>
      <c r="E3732" s="121">
        <v>0</v>
      </c>
      <c r="F3732" s="121">
        <v>0</v>
      </c>
      <c r="G3732" s="121">
        <v>0</v>
      </c>
      <c r="H3732" s="121">
        <v>0</v>
      </c>
      <c r="I3732" s="121">
        <v>0</v>
      </c>
      <c r="J3732" s="121">
        <v>0</v>
      </c>
    </row>
    <row r="3733" spans="1:10">
      <c r="A3733" s="110" t="s">
        <v>102</v>
      </c>
      <c r="B3733" s="110" t="s">
        <v>13</v>
      </c>
      <c r="C3733" s="111">
        <v>0.46597222222222201</v>
      </c>
      <c r="D3733" s="121">
        <v>0</v>
      </c>
      <c r="E3733" s="121">
        <v>0</v>
      </c>
      <c r="F3733" s="121">
        <v>0</v>
      </c>
      <c r="G3733" s="121">
        <v>0</v>
      </c>
      <c r="H3733" s="121">
        <v>0</v>
      </c>
      <c r="I3733" s="121">
        <v>0</v>
      </c>
      <c r="J3733" s="121">
        <v>0</v>
      </c>
    </row>
    <row r="3734" spans="1:10">
      <c r="A3734" s="110" t="s">
        <v>102</v>
      </c>
      <c r="B3734" s="110" t="s">
        <v>13</v>
      </c>
      <c r="C3734" s="111">
        <v>0.46666666666666701</v>
      </c>
      <c r="D3734" s="121">
        <v>0</v>
      </c>
      <c r="E3734" s="121">
        <v>0</v>
      </c>
      <c r="F3734" s="121">
        <v>0</v>
      </c>
      <c r="G3734" s="121">
        <v>0</v>
      </c>
      <c r="H3734" s="121">
        <v>0</v>
      </c>
      <c r="I3734" s="121">
        <v>0</v>
      </c>
      <c r="J3734" s="121">
        <v>0</v>
      </c>
    </row>
    <row r="3735" spans="1:10">
      <c r="A3735" s="110" t="s">
        <v>102</v>
      </c>
      <c r="B3735" s="110" t="s">
        <v>13</v>
      </c>
      <c r="C3735" s="111">
        <v>0.46736111111111101</v>
      </c>
      <c r="D3735" s="121">
        <v>0</v>
      </c>
      <c r="E3735" s="121">
        <v>0</v>
      </c>
      <c r="F3735" s="121">
        <v>0</v>
      </c>
      <c r="G3735" s="121">
        <v>0</v>
      </c>
      <c r="H3735" s="121">
        <v>0</v>
      </c>
      <c r="I3735" s="121">
        <v>0</v>
      </c>
      <c r="J3735" s="121">
        <v>0</v>
      </c>
    </row>
    <row r="3736" spans="1:10" s="80" customFormat="1">
      <c r="A3736" s="112" t="s">
        <v>102</v>
      </c>
      <c r="B3736" s="112" t="s">
        <v>13</v>
      </c>
      <c r="C3736" s="113">
        <v>0.468055555555556</v>
      </c>
      <c r="D3736" s="121">
        <v>0</v>
      </c>
      <c r="E3736" s="121">
        <v>0</v>
      </c>
      <c r="F3736" s="121">
        <v>0</v>
      </c>
      <c r="G3736" s="121">
        <v>0</v>
      </c>
      <c r="H3736" s="121">
        <v>0</v>
      </c>
      <c r="I3736" s="121">
        <v>0</v>
      </c>
      <c r="J3736" s="121">
        <v>0</v>
      </c>
    </row>
    <row r="3737" spans="1:10">
      <c r="A3737" s="110" t="s">
        <v>102</v>
      </c>
      <c r="B3737" s="110" t="s">
        <v>13</v>
      </c>
      <c r="C3737" s="111">
        <v>0.46875</v>
      </c>
      <c r="D3737" s="120">
        <v>0</v>
      </c>
      <c r="E3737" s="120">
        <v>0</v>
      </c>
      <c r="F3737" s="120">
        <v>0</v>
      </c>
      <c r="G3737" s="120">
        <v>0</v>
      </c>
      <c r="H3737" s="120">
        <v>0</v>
      </c>
      <c r="I3737" s="120">
        <v>0</v>
      </c>
      <c r="J3737" s="120">
        <v>0</v>
      </c>
    </row>
    <row r="3738" spans="1:10">
      <c r="A3738" s="110" t="s">
        <v>102</v>
      </c>
      <c r="B3738" s="110" t="s">
        <v>13</v>
      </c>
      <c r="C3738" s="111">
        <v>0.469444444444444</v>
      </c>
      <c r="D3738" s="121">
        <v>0</v>
      </c>
      <c r="E3738" s="121">
        <v>0</v>
      </c>
      <c r="F3738" s="121">
        <v>0</v>
      </c>
      <c r="G3738" s="121">
        <v>0</v>
      </c>
      <c r="H3738" s="121">
        <v>0</v>
      </c>
      <c r="I3738" s="121">
        <v>0</v>
      </c>
      <c r="J3738" s="121">
        <v>0</v>
      </c>
    </row>
    <row r="3739" spans="1:10">
      <c r="A3739" s="110" t="s">
        <v>102</v>
      </c>
      <c r="B3739" s="110" t="s">
        <v>13</v>
      </c>
      <c r="C3739" s="111">
        <v>0.47013888888888899</v>
      </c>
      <c r="D3739" s="121">
        <v>0</v>
      </c>
      <c r="E3739" s="121">
        <v>0</v>
      </c>
      <c r="F3739" s="121">
        <v>0</v>
      </c>
      <c r="G3739" s="121">
        <v>0</v>
      </c>
      <c r="H3739" s="121">
        <v>0</v>
      </c>
      <c r="I3739" s="121">
        <v>0</v>
      </c>
      <c r="J3739" s="121">
        <v>0</v>
      </c>
    </row>
    <row r="3740" spans="1:10">
      <c r="A3740" s="110" t="s">
        <v>102</v>
      </c>
      <c r="B3740" s="110" t="s">
        <v>13</v>
      </c>
      <c r="C3740" s="111">
        <v>0.47083333333333299</v>
      </c>
      <c r="D3740" s="121">
        <v>0</v>
      </c>
      <c r="E3740" s="121">
        <v>0</v>
      </c>
      <c r="F3740" s="121">
        <v>0</v>
      </c>
      <c r="G3740" s="121">
        <v>0</v>
      </c>
      <c r="H3740" s="121">
        <v>0</v>
      </c>
      <c r="I3740" s="121">
        <v>0</v>
      </c>
      <c r="J3740" s="121">
        <v>0</v>
      </c>
    </row>
    <row r="3741" spans="1:10">
      <c r="A3741" s="110" t="s">
        <v>102</v>
      </c>
      <c r="B3741" s="110" t="s">
        <v>13</v>
      </c>
      <c r="C3741" s="111">
        <v>0.47152777777777799</v>
      </c>
      <c r="D3741" s="121">
        <v>0</v>
      </c>
      <c r="E3741" s="121">
        <v>0</v>
      </c>
      <c r="F3741" s="121">
        <v>0</v>
      </c>
      <c r="G3741" s="121">
        <v>0</v>
      </c>
      <c r="H3741" s="121">
        <v>0</v>
      </c>
      <c r="I3741" s="121">
        <v>0</v>
      </c>
      <c r="J3741" s="121">
        <v>0</v>
      </c>
    </row>
    <row r="3742" spans="1:10">
      <c r="A3742" s="110" t="s">
        <v>102</v>
      </c>
      <c r="B3742" s="110" t="s">
        <v>13</v>
      </c>
      <c r="C3742" s="111">
        <v>0.47222222222222199</v>
      </c>
      <c r="D3742" s="121">
        <v>0</v>
      </c>
      <c r="E3742" s="121">
        <v>0</v>
      </c>
      <c r="F3742" s="121">
        <v>0</v>
      </c>
      <c r="G3742" s="121">
        <v>0</v>
      </c>
      <c r="H3742" s="121">
        <v>0</v>
      </c>
      <c r="I3742" s="121">
        <v>0</v>
      </c>
      <c r="J3742" s="121">
        <v>0</v>
      </c>
    </row>
    <row r="3743" spans="1:10">
      <c r="A3743" s="110" t="s">
        <v>102</v>
      </c>
      <c r="B3743" s="110" t="s">
        <v>13</v>
      </c>
      <c r="C3743" s="111">
        <v>0.47291666666666698</v>
      </c>
      <c r="D3743" s="121">
        <v>0</v>
      </c>
      <c r="E3743" s="121">
        <v>0</v>
      </c>
      <c r="F3743" s="121">
        <v>0</v>
      </c>
      <c r="G3743" s="121">
        <v>0</v>
      </c>
      <c r="H3743" s="121">
        <v>0</v>
      </c>
      <c r="I3743" s="121">
        <v>0</v>
      </c>
      <c r="J3743" s="121">
        <v>0</v>
      </c>
    </row>
    <row r="3744" spans="1:10">
      <c r="A3744" s="110" t="s">
        <v>102</v>
      </c>
      <c r="B3744" s="110" t="s">
        <v>13</v>
      </c>
      <c r="C3744" s="111">
        <v>0.47361111111111098</v>
      </c>
      <c r="D3744" s="121">
        <v>0</v>
      </c>
      <c r="E3744" s="121">
        <v>0</v>
      </c>
      <c r="F3744" s="121">
        <v>0</v>
      </c>
      <c r="G3744" s="121">
        <v>0</v>
      </c>
      <c r="H3744" s="121">
        <v>0</v>
      </c>
      <c r="I3744" s="121">
        <v>0</v>
      </c>
      <c r="J3744" s="121">
        <v>0</v>
      </c>
    </row>
    <row r="3745" spans="1:10">
      <c r="A3745" s="110" t="s">
        <v>102</v>
      </c>
      <c r="B3745" s="110" t="s">
        <v>13</v>
      </c>
      <c r="C3745" s="111">
        <v>0.47430555555555598</v>
      </c>
      <c r="D3745" s="121">
        <v>0</v>
      </c>
      <c r="E3745" s="121">
        <v>0</v>
      </c>
      <c r="F3745" s="121">
        <v>0</v>
      </c>
      <c r="G3745" s="121">
        <v>0</v>
      </c>
      <c r="H3745" s="121">
        <v>0</v>
      </c>
      <c r="I3745" s="121">
        <v>0</v>
      </c>
      <c r="J3745" s="121">
        <v>0</v>
      </c>
    </row>
    <row r="3746" spans="1:10">
      <c r="A3746" s="110" t="s">
        <v>102</v>
      </c>
      <c r="B3746" s="110" t="s">
        <v>13</v>
      </c>
      <c r="C3746" s="111">
        <v>0.47499999999999998</v>
      </c>
      <c r="D3746" s="121">
        <v>0</v>
      </c>
      <c r="E3746" s="121">
        <v>0</v>
      </c>
      <c r="F3746" s="121">
        <v>0</v>
      </c>
      <c r="G3746" s="121">
        <v>0</v>
      </c>
      <c r="H3746" s="121">
        <v>0</v>
      </c>
      <c r="I3746" s="121">
        <v>0</v>
      </c>
      <c r="J3746" s="121">
        <v>0</v>
      </c>
    </row>
    <row r="3747" spans="1:10">
      <c r="A3747" s="110" t="s">
        <v>102</v>
      </c>
      <c r="B3747" s="110" t="s">
        <v>13</v>
      </c>
      <c r="C3747" s="111">
        <v>0.47569444444444398</v>
      </c>
      <c r="D3747" s="121">
        <v>0</v>
      </c>
      <c r="E3747" s="121">
        <v>0</v>
      </c>
      <c r="F3747" s="121">
        <v>0</v>
      </c>
      <c r="G3747" s="121">
        <v>0</v>
      </c>
      <c r="H3747" s="121">
        <v>0</v>
      </c>
      <c r="I3747" s="121">
        <v>0</v>
      </c>
      <c r="J3747" s="121">
        <v>0</v>
      </c>
    </row>
    <row r="3748" spans="1:10">
      <c r="A3748" s="110" t="s">
        <v>102</v>
      </c>
      <c r="B3748" s="110" t="s">
        <v>13</v>
      </c>
      <c r="C3748" s="111">
        <v>0.47638888888888897</v>
      </c>
      <c r="D3748" s="121">
        <v>0</v>
      </c>
      <c r="E3748" s="121">
        <v>0</v>
      </c>
      <c r="F3748" s="121">
        <v>0</v>
      </c>
      <c r="G3748" s="121">
        <v>0</v>
      </c>
      <c r="H3748" s="121">
        <v>0</v>
      </c>
      <c r="I3748" s="121">
        <v>0</v>
      </c>
      <c r="J3748" s="121">
        <v>0</v>
      </c>
    </row>
    <row r="3749" spans="1:10">
      <c r="A3749" s="110" t="s">
        <v>102</v>
      </c>
      <c r="B3749" s="110" t="s">
        <v>13</v>
      </c>
      <c r="C3749" s="111">
        <v>0.47708333333333303</v>
      </c>
      <c r="D3749" s="121">
        <v>0</v>
      </c>
      <c r="E3749" s="121">
        <v>0</v>
      </c>
      <c r="F3749" s="121">
        <v>0</v>
      </c>
      <c r="G3749" s="121">
        <v>0</v>
      </c>
      <c r="H3749" s="121">
        <v>0</v>
      </c>
      <c r="I3749" s="121">
        <v>0</v>
      </c>
      <c r="J3749" s="121">
        <v>0</v>
      </c>
    </row>
    <row r="3750" spans="1:10">
      <c r="A3750" s="110" t="s">
        <v>102</v>
      </c>
      <c r="B3750" s="110" t="s">
        <v>13</v>
      </c>
      <c r="C3750" s="111">
        <v>0.47777777777777802</v>
      </c>
      <c r="D3750" s="121">
        <v>0</v>
      </c>
      <c r="E3750" s="121">
        <v>0</v>
      </c>
      <c r="F3750" s="121">
        <v>0</v>
      </c>
      <c r="G3750" s="121">
        <v>0</v>
      </c>
      <c r="H3750" s="121">
        <v>0</v>
      </c>
      <c r="I3750" s="121">
        <v>0</v>
      </c>
      <c r="J3750" s="121">
        <v>0</v>
      </c>
    </row>
    <row r="3751" spans="1:10" s="80" customFormat="1">
      <c r="A3751" s="112" t="s">
        <v>102</v>
      </c>
      <c r="B3751" s="112" t="s">
        <v>13</v>
      </c>
      <c r="C3751" s="113">
        <v>0.47847222222222202</v>
      </c>
      <c r="D3751" s="122">
        <v>0</v>
      </c>
      <c r="E3751" s="122">
        <v>0</v>
      </c>
      <c r="F3751" s="122">
        <v>0</v>
      </c>
      <c r="G3751" s="122">
        <v>0</v>
      </c>
      <c r="H3751" s="122">
        <v>0</v>
      </c>
      <c r="I3751" s="122">
        <v>0</v>
      </c>
      <c r="J3751" s="122">
        <v>0</v>
      </c>
    </row>
    <row r="3752" spans="1:10">
      <c r="A3752" s="110" t="s">
        <v>102</v>
      </c>
      <c r="B3752" s="110" t="s">
        <v>13</v>
      </c>
      <c r="C3752" s="111">
        <v>0.47916666666666702</v>
      </c>
      <c r="D3752" s="120">
        <v>0</v>
      </c>
      <c r="E3752" s="120">
        <v>0</v>
      </c>
      <c r="F3752" s="120">
        <v>0</v>
      </c>
      <c r="G3752" s="120">
        <v>0</v>
      </c>
      <c r="H3752" s="120">
        <v>0</v>
      </c>
      <c r="I3752" s="120">
        <v>0</v>
      </c>
      <c r="J3752" s="120">
        <v>0</v>
      </c>
    </row>
    <row r="3753" spans="1:10">
      <c r="A3753" s="110" t="s">
        <v>102</v>
      </c>
      <c r="B3753" s="110" t="s">
        <v>13</v>
      </c>
      <c r="C3753" s="111">
        <v>0.47986111111111102</v>
      </c>
      <c r="D3753" s="121">
        <v>0</v>
      </c>
      <c r="E3753" s="121">
        <v>0</v>
      </c>
      <c r="F3753" s="121">
        <v>0</v>
      </c>
      <c r="G3753" s="121">
        <v>0</v>
      </c>
      <c r="H3753" s="121">
        <v>0</v>
      </c>
      <c r="I3753" s="121">
        <v>0</v>
      </c>
      <c r="J3753" s="121">
        <v>0</v>
      </c>
    </row>
    <row r="3754" spans="1:10">
      <c r="A3754" s="110" t="s">
        <v>102</v>
      </c>
      <c r="B3754" s="110" t="s">
        <v>13</v>
      </c>
      <c r="C3754" s="111">
        <v>0.48055555555555501</v>
      </c>
      <c r="D3754" s="121">
        <v>0</v>
      </c>
      <c r="E3754" s="121">
        <v>0</v>
      </c>
      <c r="F3754" s="121">
        <v>0</v>
      </c>
      <c r="G3754" s="121">
        <v>0</v>
      </c>
      <c r="H3754" s="121">
        <v>0</v>
      </c>
      <c r="I3754" s="121">
        <v>0</v>
      </c>
      <c r="J3754" s="121">
        <v>0</v>
      </c>
    </row>
    <row r="3755" spans="1:10">
      <c r="A3755" s="110" t="s">
        <v>102</v>
      </c>
      <c r="B3755" s="110" t="s">
        <v>13</v>
      </c>
      <c r="C3755" s="111">
        <v>0.48125000000000001</v>
      </c>
      <c r="D3755" s="121">
        <v>0</v>
      </c>
      <c r="E3755" s="121">
        <v>0</v>
      </c>
      <c r="F3755" s="121">
        <v>0</v>
      </c>
      <c r="G3755" s="121">
        <v>0</v>
      </c>
      <c r="H3755" s="121">
        <v>0</v>
      </c>
      <c r="I3755" s="121">
        <v>0</v>
      </c>
      <c r="J3755" s="121">
        <v>0</v>
      </c>
    </row>
    <row r="3756" spans="1:10">
      <c r="A3756" s="110" t="s">
        <v>102</v>
      </c>
      <c r="B3756" s="110" t="s">
        <v>13</v>
      </c>
      <c r="C3756" s="111">
        <v>0.48194444444444401</v>
      </c>
      <c r="D3756" s="121">
        <v>0</v>
      </c>
      <c r="E3756" s="121">
        <v>0</v>
      </c>
      <c r="F3756" s="121">
        <v>0</v>
      </c>
      <c r="G3756" s="121">
        <v>0</v>
      </c>
      <c r="H3756" s="121">
        <v>0</v>
      </c>
      <c r="I3756" s="121">
        <v>0</v>
      </c>
      <c r="J3756" s="121">
        <v>0</v>
      </c>
    </row>
    <row r="3757" spans="1:10">
      <c r="A3757" s="110" t="s">
        <v>102</v>
      </c>
      <c r="B3757" s="110" t="s">
        <v>13</v>
      </c>
      <c r="C3757" s="111">
        <v>0.48263888888888901</v>
      </c>
      <c r="D3757" s="121">
        <v>0</v>
      </c>
      <c r="E3757" s="121">
        <v>0</v>
      </c>
      <c r="F3757" s="121">
        <v>0</v>
      </c>
      <c r="G3757" s="121">
        <v>0</v>
      </c>
      <c r="H3757" s="121">
        <v>0</v>
      </c>
      <c r="I3757" s="121">
        <v>0</v>
      </c>
      <c r="J3757" s="121">
        <v>0</v>
      </c>
    </row>
    <row r="3758" spans="1:10">
      <c r="A3758" s="110" t="s">
        <v>102</v>
      </c>
      <c r="B3758" s="110" t="s">
        <v>13</v>
      </c>
      <c r="C3758" s="111">
        <v>0.483333333333333</v>
      </c>
      <c r="D3758" s="121">
        <v>0</v>
      </c>
      <c r="E3758" s="121">
        <v>0</v>
      </c>
      <c r="F3758" s="121">
        <v>0</v>
      </c>
      <c r="G3758" s="121">
        <v>0</v>
      </c>
      <c r="H3758" s="121">
        <v>0</v>
      </c>
      <c r="I3758" s="121">
        <v>0</v>
      </c>
      <c r="J3758" s="121">
        <v>0</v>
      </c>
    </row>
    <row r="3759" spans="1:10">
      <c r="A3759" s="110" t="s">
        <v>102</v>
      </c>
      <c r="B3759" s="110" t="s">
        <v>13</v>
      </c>
      <c r="C3759" s="111">
        <v>0.484027777777778</v>
      </c>
      <c r="D3759" s="121">
        <v>0</v>
      </c>
      <c r="E3759" s="121">
        <v>0</v>
      </c>
      <c r="F3759" s="121">
        <v>0</v>
      </c>
      <c r="G3759" s="121">
        <v>0</v>
      </c>
      <c r="H3759" s="121">
        <v>0</v>
      </c>
      <c r="I3759" s="121">
        <v>0</v>
      </c>
      <c r="J3759" s="121">
        <v>0</v>
      </c>
    </row>
    <row r="3760" spans="1:10">
      <c r="A3760" s="110" t="s">
        <v>102</v>
      </c>
      <c r="B3760" s="110" t="s">
        <v>13</v>
      </c>
      <c r="C3760" s="111">
        <v>0.484722222222222</v>
      </c>
      <c r="D3760" s="121">
        <v>0</v>
      </c>
      <c r="E3760" s="121">
        <v>0</v>
      </c>
      <c r="F3760" s="121">
        <v>0</v>
      </c>
      <c r="G3760" s="121">
        <v>0</v>
      </c>
      <c r="H3760" s="121">
        <v>0</v>
      </c>
      <c r="I3760" s="121">
        <v>0</v>
      </c>
      <c r="J3760" s="121">
        <v>0</v>
      </c>
    </row>
    <row r="3761" spans="1:10">
      <c r="A3761" s="110" t="s">
        <v>102</v>
      </c>
      <c r="B3761" s="110" t="s">
        <v>13</v>
      </c>
      <c r="C3761" s="111">
        <v>0.485416666666666</v>
      </c>
      <c r="D3761" s="121">
        <v>0</v>
      </c>
      <c r="E3761" s="121">
        <v>0</v>
      </c>
      <c r="F3761" s="121">
        <v>0</v>
      </c>
      <c r="G3761" s="121">
        <v>0</v>
      </c>
      <c r="H3761" s="121">
        <v>0</v>
      </c>
      <c r="I3761" s="121">
        <v>0</v>
      </c>
      <c r="J3761" s="121">
        <v>0</v>
      </c>
    </row>
    <row r="3762" spans="1:10">
      <c r="A3762" s="110" t="s">
        <v>102</v>
      </c>
      <c r="B3762" s="110" t="s">
        <v>13</v>
      </c>
      <c r="C3762" s="111">
        <v>0.48611111111111099</v>
      </c>
      <c r="D3762" s="121">
        <v>0</v>
      </c>
      <c r="E3762" s="121">
        <v>0</v>
      </c>
      <c r="F3762" s="121">
        <v>0</v>
      </c>
      <c r="G3762" s="121">
        <v>0</v>
      </c>
      <c r="H3762" s="121">
        <v>0</v>
      </c>
      <c r="I3762" s="121">
        <v>0</v>
      </c>
      <c r="J3762" s="121">
        <v>0</v>
      </c>
    </row>
    <row r="3763" spans="1:10">
      <c r="A3763" s="110" t="s">
        <v>102</v>
      </c>
      <c r="B3763" s="110" t="s">
        <v>13</v>
      </c>
      <c r="C3763" s="111">
        <v>0.48680555555555499</v>
      </c>
      <c r="D3763" s="121">
        <v>0</v>
      </c>
      <c r="E3763" s="121">
        <v>0</v>
      </c>
      <c r="F3763" s="121">
        <v>0</v>
      </c>
      <c r="G3763" s="121">
        <v>0</v>
      </c>
      <c r="H3763" s="121">
        <v>0</v>
      </c>
      <c r="I3763" s="121">
        <v>0</v>
      </c>
      <c r="J3763" s="121">
        <v>0</v>
      </c>
    </row>
    <row r="3764" spans="1:10">
      <c r="A3764" s="110" t="s">
        <v>102</v>
      </c>
      <c r="B3764" s="110" t="s">
        <v>13</v>
      </c>
      <c r="C3764" s="111">
        <v>0.48749999999999999</v>
      </c>
      <c r="D3764" s="121">
        <v>0</v>
      </c>
      <c r="E3764" s="121">
        <v>0</v>
      </c>
      <c r="F3764" s="121">
        <v>0</v>
      </c>
      <c r="G3764" s="121">
        <v>0</v>
      </c>
      <c r="H3764" s="121">
        <v>0</v>
      </c>
      <c r="I3764" s="121">
        <v>0</v>
      </c>
      <c r="J3764" s="121">
        <v>0</v>
      </c>
    </row>
    <row r="3765" spans="1:10">
      <c r="A3765" s="110" t="s">
        <v>102</v>
      </c>
      <c r="B3765" s="110" t="s">
        <v>13</v>
      </c>
      <c r="C3765" s="111">
        <v>0.48819444444444399</v>
      </c>
      <c r="D3765" s="121">
        <v>0</v>
      </c>
      <c r="E3765" s="121">
        <v>0</v>
      </c>
      <c r="F3765" s="121">
        <v>0</v>
      </c>
      <c r="G3765" s="121">
        <v>0</v>
      </c>
      <c r="H3765" s="121">
        <v>0</v>
      </c>
      <c r="I3765" s="121">
        <v>0</v>
      </c>
      <c r="J3765" s="121">
        <v>0</v>
      </c>
    </row>
    <row r="3766" spans="1:10" s="80" customFormat="1">
      <c r="A3766" s="112" t="s">
        <v>102</v>
      </c>
      <c r="B3766" s="112" t="s">
        <v>13</v>
      </c>
      <c r="C3766" s="113">
        <v>0.48888888888888898</v>
      </c>
      <c r="D3766" s="122">
        <v>0</v>
      </c>
      <c r="E3766" s="122">
        <v>0</v>
      </c>
      <c r="F3766" s="122">
        <v>0</v>
      </c>
      <c r="G3766" s="122">
        <v>0</v>
      </c>
      <c r="H3766" s="122">
        <v>0</v>
      </c>
      <c r="I3766" s="122">
        <v>0</v>
      </c>
      <c r="J3766" s="122">
        <v>0</v>
      </c>
    </row>
    <row r="3767" spans="1:10">
      <c r="A3767" s="110" t="s">
        <v>102</v>
      </c>
      <c r="B3767" s="110" t="s">
        <v>13</v>
      </c>
      <c r="C3767" s="111">
        <v>0.48958333333333298</v>
      </c>
      <c r="D3767" s="120">
        <v>0</v>
      </c>
      <c r="E3767" s="120">
        <v>0</v>
      </c>
      <c r="F3767" s="120">
        <v>0</v>
      </c>
      <c r="G3767" s="120">
        <v>0</v>
      </c>
      <c r="H3767" s="120">
        <v>0</v>
      </c>
      <c r="I3767" s="120">
        <v>0</v>
      </c>
      <c r="J3767" s="120">
        <v>0</v>
      </c>
    </row>
    <row r="3768" spans="1:10">
      <c r="A3768" s="110" t="s">
        <v>102</v>
      </c>
      <c r="B3768" s="110" t="s">
        <v>13</v>
      </c>
      <c r="C3768" s="111">
        <v>0.49027777777777798</v>
      </c>
      <c r="D3768" s="121">
        <v>0</v>
      </c>
      <c r="E3768" s="121">
        <v>0</v>
      </c>
      <c r="F3768" s="121">
        <v>0</v>
      </c>
      <c r="G3768" s="121">
        <v>0</v>
      </c>
      <c r="H3768" s="121">
        <v>0</v>
      </c>
      <c r="I3768" s="121">
        <v>0</v>
      </c>
      <c r="J3768" s="121">
        <v>0</v>
      </c>
    </row>
    <row r="3769" spans="1:10">
      <c r="A3769" s="110" t="s">
        <v>102</v>
      </c>
      <c r="B3769" s="110" t="s">
        <v>13</v>
      </c>
      <c r="C3769" s="111">
        <v>0.49097222222222198</v>
      </c>
      <c r="D3769" s="121">
        <v>0</v>
      </c>
      <c r="E3769" s="121">
        <v>0</v>
      </c>
      <c r="F3769" s="121">
        <v>0</v>
      </c>
      <c r="G3769" s="121">
        <v>0</v>
      </c>
      <c r="H3769" s="121">
        <v>0</v>
      </c>
      <c r="I3769" s="121">
        <v>0</v>
      </c>
      <c r="J3769" s="121">
        <v>0</v>
      </c>
    </row>
    <row r="3770" spans="1:10">
      <c r="A3770" s="110" t="s">
        <v>102</v>
      </c>
      <c r="B3770" s="110" t="s">
        <v>13</v>
      </c>
      <c r="C3770" s="111">
        <v>0.49166666666666697</v>
      </c>
      <c r="D3770" s="121">
        <v>0</v>
      </c>
      <c r="E3770" s="121">
        <v>0</v>
      </c>
      <c r="F3770" s="121">
        <v>0</v>
      </c>
      <c r="G3770" s="121">
        <v>0</v>
      </c>
      <c r="H3770" s="121">
        <v>0</v>
      </c>
      <c r="I3770" s="121">
        <v>0</v>
      </c>
      <c r="J3770" s="121">
        <v>0</v>
      </c>
    </row>
    <row r="3771" spans="1:10">
      <c r="A3771" s="110" t="s">
        <v>102</v>
      </c>
      <c r="B3771" s="110" t="s">
        <v>13</v>
      </c>
      <c r="C3771" s="111">
        <v>0.49236111111111103</v>
      </c>
      <c r="D3771" s="121">
        <v>0</v>
      </c>
      <c r="E3771" s="121">
        <v>0</v>
      </c>
      <c r="F3771" s="121">
        <v>0</v>
      </c>
      <c r="G3771" s="121">
        <v>0</v>
      </c>
      <c r="H3771" s="121">
        <v>0</v>
      </c>
      <c r="I3771" s="121">
        <v>0</v>
      </c>
      <c r="J3771" s="121">
        <v>0</v>
      </c>
    </row>
    <row r="3772" spans="1:10">
      <c r="A3772" s="110" t="s">
        <v>102</v>
      </c>
      <c r="B3772" s="110" t="s">
        <v>13</v>
      </c>
      <c r="C3772" s="111">
        <v>0.49305555555555503</v>
      </c>
      <c r="D3772" s="121">
        <v>0</v>
      </c>
      <c r="E3772" s="121">
        <v>0</v>
      </c>
      <c r="F3772" s="121">
        <v>0</v>
      </c>
      <c r="G3772" s="121">
        <v>0</v>
      </c>
      <c r="H3772" s="121">
        <v>0</v>
      </c>
      <c r="I3772" s="121">
        <v>0</v>
      </c>
      <c r="J3772" s="121">
        <v>0</v>
      </c>
    </row>
    <row r="3773" spans="1:10">
      <c r="A3773" s="110" t="s">
        <v>102</v>
      </c>
      <c r="B3773" s="110" t="s">
        <v>13</v>
      </c>
      <c r="C3773" s="111">
        <v>0.49375000000000002</v>
      </c>
      <c r="D3773" s="121">
        <v>0</v>
      </c>
      <c r="E3773" s="121">
        <v>0</v>
      </c>
      <c r="F3773" s="121">
        <v>0</v>
      </c>
      <c r="G3773" s="121">
        <v>0</v>
      </c>
      <c r="H3773" s="121">
        <v>0</v>
      </c>
      <c r="I3773" s="121">
        <v>0</v>
      </c>
      <c r="J3773" s="121">
        <v>0</v>
      </c>
    </row>
    <row r="3774" spans="1:10">
      <c r="A3774" s="110" t="s">
        <v>102</v>
      </c>
      <c r="B3774" s="110" t="s">
        <v>13</v>
      </c>
      <c r="C3774" s="111">
        <v>0.49444444444444402</v>
      </c>
      <c r="D3774" s="121">
        <v>0</v>
      </c>
      <c r="E3774" s="121">
        <v>0</v>
      </c>
      <c r="F3774" s="121">
        <v>0</v>
      </c>
      <c r="G3774" s="121">
        <v>0</v>
      </c>
      <c r="H3774" s="121">
        <v>0</v>
      </c>
      <c r="I3774" s="121">
        <v>0</v>
      </c>
      <c r="J3774" s="121">
        <v>0</v>
      </c>
    </row>
    <row r="3775" spans="1:10">
      <c r="A3775" s="110" t="s">
        <v>102</v>
      </c>
      <c r="B3775" s="110" t="s">
        <v>13</v>
      </c>
      <c r="C3775" s="111">
        <v>0.49513888888888902</v>
      </c>
      <c r="D3775" s="121">
        <v>0</v>
      </c>
      <c r="E3775" s="121">
        <v>0</v>
      </c>
      <c r="F3775" s="121">
        <v>0</v>
      </c>
      <c r="G3775" s="121">
        <v>0</v>
      </c>
      <c r="H3775" s="121">
        <v>0</v>
      </c>
      <c r="I3775" s="121">
        <v>0</v>
      </c>
      <c r="J3775" s="121">
        <v>0</v>
      </c>
    </row>
    <row r="3776" spans="1:10">
      <c r="A3776" s="110" t="s">
        <v>102</v>
      </c>
      <c r="B3776" s="110" t="s">
        <v>13</v>
      </c>
      <c r="C3776" s="111">
        <v>0.49583333333333302</v>
      </c>
      <c r="D3776" s="121">
        <v>0</v>
      </c>
      <c r="E3776" s="121">
        <v>0</v>
      </c>
      <c r="F3776" s="121">
        <v>0</v>
      </c>
      <c r="G3776" s="121">
        <v>0</v>
      </c>
      <c r="H3776" s="121">
        <v>0</v>
      </c>
      <c r="I3776" s="121">
        <v>0</v>
      </c>
      <c r="J3776" s="121">
        <v>0</v>
      </c>
    </row>
    <row r="3777" spans="1:10">
      <c r="A3777" s="110" t="s">
        <v>102</v>
      </c>
      <c r="B3777" s="110" t="s">
        <v>13</v>
      </c>
      <c r="C3777" s="111">
        <v>0.49652777777777801</v>
      </c>
      <c r="D3777" s="121">
        <v>0</v>
      </c>
      <c r="E3777" s="121">
        <v>0</v>
      </c>
      <c r="F3777" s="121">
        <v>0</v>
      </c>
      <c r="G3777" s="121">
        <v>0</v>
      </c>
      <c r="H3777" s="121">
        <v>0</v>
      </c>
      <c r="I3777" s="121">
        <v>0</v>
      </c>
      <c r="J3777" s="121">
        <v>0</v>
      </c>
    </row>
    <row r="3778" spans="1:10">
      <c r="A3778" s="110" t="s">
        <v>102</v>
      </c>
      <c r="B3778" s="110" t="s">
        <v>13</v>
      </c>
      <c r="C3778" s="111">
        <v>0.49722222222222201</v>
      </c>
      <c r="D3778" s="121">
        <v>0</v>
      </c>
      <c r="E3778" s="121">
        <v>0</v>
      </c>
      <c r="F3778" s="121">
        <v>0</v>
      </c>
      <c r="G3778" s="121">
        <v>0</v>
      </c>
      <c r="H3778" s="121">
        <v>0</v>
      </c>
      <c r="I3778" s="121">
        <v>0</v>
      </c>
      <c r="J3778" s="121">
        <v>0</v>
      </c>
    </row>
    <row r="3779" spans="1:10">
      <c r="A3779" s="110" t="s">
        <v>102</v>
      </c>
      <c r="B3779" s="110" t="s">
        <v>13</v>
      </c>
      <c r="C3779" s="111">
        <v>0.49791666666666701</v>
      </c>
      <c r="D3779" s="121">
        <v>0</v>
      </c>
      <c r="E3779" s="121">
        <v>0</v>
      </c>
      <c r="F3779" s="121">
        <v>0</v>
      </c>
      <c r="G3779" s="121">
        <v>0</v>
      </c>
      <c r="H3779" s="121">
        <v>0</v>
      </c>
      <c r="I3779" s="121">
        <v>0</v>
      </c>
      <c r="J3779" s="121">
        <v>0</v>
      </c>
    </row>
    <row r="3780" spans="1:10">
      <c r="A3780" s="110" t="s">
        <v>102</v>
      </c>
      <c r="B3780" s="110" t="s">
        <v>13</v>
      </c>
      <c r="C3780" s="111">
        <v>0.49861111111111101</v>
      </c>
      <c r="D3780" s="121">
        <v>0</v>
      </c>
      <c r="E3780" s="121">
        <v>0</v>
      </c>
      <c r="F3780" s="121">
        <v>0</v>
      </c>
      <c r="G3780" s="121">
        <v>0</v>
      </c>
      <c r="H3780" s="121">
        <v>0</v>
      </c>
      <c r="I3780" s="121">
        <v>0</v>
      </c>
      <c r="J3780" s="121">
        <v>0</v>
      </c>
    </row>
    <row r="3781" spans="1:10" s="28" customFormat="1" ht="17.5" thickBot="1">
      <c r="A3781" s="116" t="s">
        <v>102</v>
      </c>
      <c r="B3781" s="116" t="s">
        <v>13</v>
      </c>
      <c r="C3781" s="117">
        <v>0.499305555555555</v>
      </c>
      <c r="D3781" s="123">
        <v>0</v>
      </c>
      <c r="E3781" s="123">
        <v>0</v>
      </c>
      <c r="F3781" s="123">
        <v>0</v>
      </c>
      <c r="G3781" s="123">
        <v>0</v>
      </c>
      <c r="H3781" s="123">
        <v>0</v>
      </c>
      <c r="I3781" s="123">
        <v>0</v>
      </c>
      <c r="J3781" s="123">
        <v>0</v>
      </c>
    </row>
    <row r="3782" spans="1:10">
      <c r="A3782" s="110" t="s">
        <v>102</v>
      </c>
      <c r="B3782" s="110" t="s">
        <v>14</v>
      </c>
      <c r="C3782" s="111">
        <v>0.45833333333333331</v>
      </c>
      <c r="D3782" s="124">
        <v>0</v>
      </c>
      <c r="E3782" s="124">
        <v>0</v>
      </c>
      <c r="F3782" s="124">
        <v>0</v>
      </c>
      <c r="G3782" s="124">
        <v>0</v>
      </c>
      <c r="H3782" s="124">
        <v>0</v>
      </c>
      <c r="I3782" s="124">
        <v>0</v>
      </c>
      <c r="J3782" s="124">
        <v>0</v>
      </c>
    </row>
    <row r="3783" spans="1:10">
      <c r="A3783" s="110" t="s">
        <v>102</v>
      </c>
      <c r="B3783" s="110" t="s">
        <v>14</v>
      </c>
      <c r="C3783" s="111">
        <v>0.45902777777777776</v>
      </c>
      <c r="D3783" s="121">
        <v>0</v>
      </c>
      <c r="E3783" s="121">
        <v>0</v>
      </c>
      <c r="F3783" s="121">
        <v>0</v>
      </c>
      <c r="G3783" s="121">
        <v>0</v>
      </c>
      <c r="H3783" s="121">
        <v>0</v>
      </c>
      <c r="I3783" s="121">
        <v>0</v>
      </c>
      <c r="J3783" s="121">
        <v>0</v>
      </c>
    </row>
    <row r="3784" spans="1:10">
      <c r="A3784" s="110" t="s">
        <v>102</v>
      </c>
      <c r="B3784" s="110" t="s">
        <v>14</v>
      </c>
      <c r="C3784" s="111">
        <v>0.45972222222222198</v>
      </c>
      <c r="D3784" s="121">
        <v>0</v>
      </c>
      <c r="E3784" s="121">
        <v>0</v>
      </c>
      <c r="F3784" s="121">
        <v>0</v>
      </c>
      <c r="G3784" s="121">
        <v>0</v>
      </c>
      <c r="H3784" s="121">
        <v>0</v>
      </c>
      <c r="I3784" s="121">
        <v>0</v>
      </c>
      <c r="J3784" s="121">
        <v>0</v>
      </c>
    </row>
    <row r="3785" spans="1:10">
      <c r="A3785" s="110" t="s">
        <v>102</v>
      </c>
      <c r="B3785" s="110" t="s">
        <v>14</v>
      </c>
      <c r="C3785" s="111">
        <v>0.46041666666666697</v>
      </c>
      <c r="D3785" s="121">
        <v>0</v>
      </c>
      <c r="E3785" s="121">
        <v>0</v>
      </c>
      <c r="F3785" s="121">
        <v>0</v>
      </c>
      <c r="G3785" s="121">
        <v>0</v>
      </c>
      <c r="H3785" s="121">
        <v>0</v>
      </c>
      <c r="I3785" s="121">
        <v>0</v>
      </c>
      <c r="J3785" s="121">
        <v>0</v>
      </c>
    </row>
    <row r="3786" spans="1:10">
      <c r="A3786" s="110" t="s">
        <v>102</v>
      </c>
      <c r="B3786" s="110" t="s">
        <v>14</v>
      </c>
      <c r="C3786" s="111">
        <v>0.46111111111111103</v>
      </c>
      <c r="D3786" s="121">
        <v>0</v>
      </c>
      <c r="E3786" s="121">
        <v>0</v>
      </c>
      <c r="F3786" s="121">
        <v>0</v>
      </c>
      <c r="G3786" s="121">
        <v>0</v>
      </c>
      <c r="H3786" s="121">
        <v>0</v>
      </c>
      <c r="I3786" s="121">
        <v>0</v>
      </c>
      <c r="J3786" s="121">
        <v>0</v>
      </c>
    </row>
    <row r="3787" spans="1:10">
      <c r="A3787" s="110" t="s">
        <v>102</v>
      </c>
      <c r="B3787" s="110" t="s">
        <v>14</v>
      </c>
      <c r="C3787" s="111">
        <v>0.46180555555555602</v>
      </c>
      <c r="D3787" s="121">
        <v>0</v>
      </c>
      <c r="E3787" s="121">
        <v>0</v>
      </c>
      <c r="F3787" s="121">
        <v>0</v>
      </c>
      <c r="G3787" s="121">
        <v>0</v>
      </c>
      <c r="H3787" s="121">
        <v>0</v>
      </c>
      <c r="I3787" s="121">
        <v>0</v>
      </c>
      <c r="J3787" s="121">
        <v>0</v>
      </c>
    </row>
    <row r="3788" spans="1:10">
      <c r="A3788" s="110" t="s">
        <v>102</v>
      </c>
      <c r="B3788" s="110" t="s">
        <v>14</v>
      </c>
      <c r="C3788" s="111">
        <v>0.46250000000000002</v>
      </c>
      <c r="D3788" s="121">
        <v>0</v>
      </c>
      <c r="E3788" s="121">
        <v>0</v>
      </c>
      <c r="F3788" s="121">
        <v>0</v>
      </c>
      <c r="G3788" s="121">
        <v>0</v>
      </c>
      <c r="H3788" s="121">
        <v>0</v>
      </c>
      <c r="I3788" s="121">
        <v>0</v>
      </c>
      <c r="J3788" s="121">
        <v>0</v>
      </c>
    </row>
    <row r="3789" spans="1:10">
      <c r="A3789" s="110" t="s">
        <v>102</v>
      </c>
      <c r="B3789" s="110" t="s">
        <v>14</v>
      </c>
      <c r="C3789" s="111">
        <v>0.46319444444444402</v>
      </c>
      <c r="D3789" s="121">
        <v>0</v>
      </c>
      <c r="E3789" s="121">
        <v>0</v>
      </c>
      <c r="F3789" s="121">
        <v>0</v>
      </c>
      <c r="G3789" s="121">
        <v>0</v>
      </c>
      <c r="H3789" s="121">
        <v>0</v>
      </c>
      <c r="I3789" s="121">
        <v>0</v>
      </c>
      <c r="J3789" s="121">
        <v>0</v>
      </c>
    </row>
    <row r="3790" spans="1:10">
      <c r="A3790" s="110" t="s">
        <v>102</v>
      </c>
      <c r="B3790" s="110" t="s">
        <v>14</v>
      </c>
      <c r="C3790" s="111">
        <v>0.46388888888888902</v>
      </c>
      <c r="D3790" s="121">
        <v>0</v>
      </c>
      <c r="E3790" s="121">
        <v>0</v>
      </c>
      <c r="F3790" s="121">
        <v>0</v>
      </c>
      <c r="G3790" s="121">
        <v>0</v>
      </c>
      <c r="H3790" s="121">
        <v>0</v>
      </c>
      <c r="I3790" s="121">
        <v>0</v>
      </c>
      <c r="J3790" s="121">
        <v>0</v>
      </c>
    </row>
    <row r="3791" spans="1:10">
      <c r="A3791" s="110" t="s">
        <v>102</v>
      </c>
      <c r="B3791" s="110" t="s">
        <v>14</v>
      </c>
      <c r="C3791" s="111">
        <v>0.46458333333333302</v>
      </c>
      <c r="D3791" s="121">
        <v>0</v>
      </c>
      <c r="E3791" s="121">
        <v>0</v>
      </c>
      <c r="F3791" s="121">
        <v>0</v>
      </c>
      <c r="G3791" s="121">
        <v>0</v>
      </c>
      <c r="H3791" s="121">
        <v>0</v>
      </c>
      <c r="I3791" s="121">
        <v>0</v>
      </c>
      <c r="J3791" s="121">
        <v>0</v>
      </c>
    </row>
    <row r="3792" spans="1:10">
      <c r="A3792" s="110" t="s">
        <v>102</v>
      </c>
      <c r="B3792" s="110" t="s">
        <v>14</v>
      </c>
      <c r="C3792" s="111">
        <v>0.46527777777777801</v>
      </c>
      <c r="D3792" s="121">
        <v>0</v>
      </c>
      <c r="E3792" s="121">
        <v>0</v>
      </c>
      <c r="F3792" s="121">
        <v>0</v>
      </c>
      <c r="G3792" s="121">
        <v>0</v>
      </c>
      <c r="H3792" s="121">
        <v>0</v>
      </c>
      <c r="I3792" s="121">
        <v>0</v>
      </c>
      <c r="J3792" s="121">
        <v>0</v>
      </c>
    </row>
    <row r="3793" spans="1:10">
      <c r="A3793" s="110" t="s">
        <v>102</v>
      </c>
      <c r="B3793" s="110" t="s">
        <v>14</v>
      </c>
      <c r="C3793" s="111">
        <v>0.46597222222222201</v>
      </c>
      <c r="D3793" s="121">
        <v>0</v>
      </c>
      <c r="E3793" s="121">
        <v>0</v>
      </c>
      <c r="F3793" s="121">
        <v>0</v>
      </c>
      <c r="G3793" s="121">
        <v>0</v>
      </c>
      <c r="H3793" s="121">
        <v>0</v>
      </c>
      <c r="I3793" s="121">
        <v>0</v>
      </c>
      <c r="J3793" s="121">
        <v>0</v>
      </c>
    </row>
    <row r="3794" spans="1:10">
      <c r="A3794" s="110" t="s">
        <v>102</v>
      </c>
      <c r="B3794" s="110" t="s">
        <v>14</v>
      </c>
      <c r="C3794" s="111">
        <v>0.46666666666666701</v>
      </c>
      <c r="D3794" s="121">
        <v>0</v>
      </c>
      <c r="E3794" s="121">
        <v>0</v>
      </c>
      <c r="F3794" s="121">
        <v>0</v>
      </c>
      <c r="G3794" s="121">
        <v>0</v>
      </c>
      <c r="H3794" s="121">
        <v>0</v>
      </c>
      <c r="I3794" s="121">
        <v>0</v>
      </c>
      <c r="J3794" s="121">
        <v>0</v>
      </c>
    </row>
    <row r="3795" spans="1:10">
      <c r="A3795" s="110" t="s">
        <v>102</v>
      </c>
      <c r="B3795" s="110" t="s">
        <v>14</v>
      </c>
      <c r="C3795" s="111">
        <v>0.46736111111111101</v>
      </c>
      <c r="D3795" s="121">
        <v>0</v>
      </c>
      <c r="E3795" s="121">
        <v>0</v>
      </c>
      <c r="F3795" s="121">
        <v>0</v>
      </c>
      <c r="G3795" s="121">
        <v>0</v>
      </c>
      <c r="H3795" s="121">
        <v>0</v>
      </c>
      <c r="I3795" s="121">
        <v>0</v>
      </c>
      <c r="J3795" s="121">
        <v>0</v>
      </c>
    </row>
    <row r="3796" spans="1:10" s="80" customFormat="1">
      <c r="A3796" s="112" t="s">
        <v>102</v>
      </c>
      <c r="B3796" s="112" t="s">
        <v>14</v>
      </c>
      <c r="C3796" s="113">
        <v>0.468055555555556</v>
      </c>
      <c r="D3796" s="121">
        <v>0</v>
      </c>
      <c r="E3796" s="121">
        <v>0</v>
      </c>
      <c r="F3796" s="121">
        <v>0</v>
      </c>
      <c r="G3796" s="121">
        <v>0</v>
      </c>
      <c r="H3796" s="121">
        <v>0</v>
      </c>
      <c r="I3796" s="121">
        <v>0</v>
      </c>
      <c r="J3796" s="121">
        <v>0</v>
      </c>
    </row>
    <row r="3797" spans="1:10">
      <c r="A3797" s="110" t="s">
        <v>102</v>
      </c>
      <c r="B3797" s="110" t="s">
        <v>14</v>
      </c>
      <c r="C3797" s="111">
        <v>0.46875</v>
      </c>
      <c r="D3797" s="120">
        <v>0</v>
      </c>
      <c r="E3797" s="120">
        <v>0</v>
      </c>
      <c r="F3797" s="120">
        <v>0</v>
      </c>
      <c r="G3797" s="120">
        <v>0</v>
      </c>
      <c r="H3797" s="120">
        <v>0</v>
      </c>
      <c r="I3797" s="120">
        <v>0</v>
      </c>
      <c r="J3797" s="120">
        <v>0</v>
      </c>
    </row>
    <row r="3798" spans="1:10">
      <c r="A3798" s="110" t="s">
        <v>102</v>
      </c>
      <c r="B3798" s="110" t="s">
        <v>14</v>
      </c>
      <c r="C3798" s="111">
        <v>0.469444444444444</v>
      </c>
      <c r="D3798" s="121">
        <v>0</v>
      </c>
      <c r="E3798" s="121">
        <v>0</v>
      </c>
      <c r="F3798" s="121">
        <v>0</v>
      </c>
      <c r="G3798" s="121">
        <v>0</v>
      </c>
      <c r="H3798" s="121">
        <v>0</v>
      </c>
      <c r="I3798" s="121">
        <v>0</v>
      </c>
      <c r="J3798" s="121">
        <v>0</v>
      </c>
    </row>
    <row r="3799" spans="1:10">
      <c r="A3799" s="110" t="s">
        <v>102</v>
      </c>
      <c r="B3799" s="110" t="s">
        <v>14</v>
      </c>
      <c r="C3799" s="111">
        <v>0.47013888888888899</v>
      </c>
      <c r="D3799" s="121">
        <v>0</v>
      </c>
      <c r="E3799" s="121">
        <v>0</v>
      </c>
      <c r="F3799" s="121">
        <v>0</v>
      </c>
      <c r="G3799" s="121">
        <v>0</v>
      </c>
      <c r="H3799" s="121">
        <v>0</v>
      </c>
      <c r="I3799" s="121">
        <v>0</v>
      </c>
      <c r="J3799" s="121">
        <v>0</v>
      </c>
    </row>
    <row r="3800" spans="1:10">
      <c r="A3800" s="110" t="s">
        <v>102</v>
      </c>
      <c r="B3800" s="110" t="s">
        <v>14</v>
      </c>
      <c r="C3800" s="111">
        <v>0.47083333333333299</v>
      </c>
      <c r="D3800" s="121">
        <v>0</v>
      </c>
      <c r="E3800" s="121">
        <v>0</v>
      </c>
      <c r="F3800" s="121">
        <v>0</v>
      </c>
      <c r="G3800" s="121">
        <v>0</v>
      </c>
      <c r="H3800" s="121">
        <v>0</v>
      </c>
      <c r="I3800" s="121">
        <v>0</v>
      </c>
      <c r="J3800" s="121">
        <v>0</v>
      </c>
    </row>
    <row r="3801" spans="1:10">
      <c r="A3801" s="110" t="s">
        <v>102</v>
      </c>
      <c r="B3801" s="110" t="s">
        <v>14</v>
      </c>
      <c r="C3801" s="111">
        <v>0.47152777777777799</v>
      </c>
      <c r="D3801" s="121">
        <v>0</v>
      </c>
      <c r="E3801" s="121">
        <v>0</v>
      </c>
      <c r="F3801" s="121">
        <v>0</v>
      </c>
      <c r="G3801" s="121">
        <v>0</v>
      </c>
      <c r="H3801" s="121">
        <v>0</v>
      </c>
      <c r="I3801" s="121">
        <v>0</v>
      </c>
      <c r="J3801" s="121">
        <v>0</v>
      </c>
    </row>
    <row r="3802" spans="1:10">
      <c r="A3802" s="110" t="s">
        <v>102</v>
      </c>
      <c r="B3802" s="110" t="s">
        <v>14</v>
      </c>
      <c r="C3802" s="111">
        <v>0.47222222222222199</v>
      </c>
      <c r="D3802" s="121">
        <v>0</v>
      </c>
      <c r="E3802" s="121">
        <v>0</v>
      </c>
      <c r="F3802" s="121">
        <v>0</v>
      </c>
      <c r="G3802" s="121">
        <v>0</v>
      </c>
      <c r="H3802" s="121">
        <v>0</v>
      </c>
      <c r="I3802" s="121">
        <v>0</v>
      </c>
      <c r="J3802" s="121">
        <v>0</v>
      </c>
    </row>
    <row r="3803" spans="1:10">
      <c r="A3803" s="110" t="s">
        <v>102</v>
      </c>
      <c r="B3803" s="110" t="s">
        <v>14</v>
      </c>
      <c r="C3803" s="111">
        <v>0.47291666666666698</v>
      </c>
      <c r="D3803" s="121">
        <v>0</v>
      </c>
      <c r="E3803" s="121">
        <v>0</v>
      </c>
      <c r="F3803" s="121">
        <v>0</v>
      </c>
      <c r="G3803" s="121">
        <v>0</v>
      </c>
      <c r="H3803" s="121">
        <v>0</v>
      </c>
      <c r="I3803" s="121">
        <v>0</v>
      </c>
      <c r="J3803" s="121">
        <v>0</v>
      </c>
    </row>
    <row r="3804" spans="1:10">
      <c r="A3804" s="110" t="s">
        <v>102</v>
      </c>
      <c r="B3804" s="110" t="s">
        <v>14</v>
      </c>
      <c r="C3804" s="111">
        <v>0.47361111111111098</v>
      </c>
      <c r="D3804" s="121">
        <v>0</v>
      </c>
      <c r="E3804" s="121">
        <v>0</v>
      </c>
      <c r="F3804" s="121">
        <v>0</v>
      </c>
      <c r="G3804" s="121">
        <v>0</v>
      </c>
      <c r="H3804" s="121">
        <v>0</v>
      </c>
      <c r="I3804" s="121">
        <v>0</v>
      </c>
      <c r="J3804" s="121">
        <v>0</v>
      </c>
    </row>
    <row r="3805" spans="1:10">
      <c r="A3805" s="110" t="s">
        <v>102</v>
      </c>
      <c r="B3805" s="110" t="s">
        <v>14</v>
      </c>
      <c r="C3805" s="111">
        <v>0.47430555555555598</v>
      </c>
      <c r="D3805" s="121">
        <v>0</v>
      </c>
      <c r="E3805" s="121">
        <v>0</v>
      </c>
      <c r="F3805" s="121">
        <v>0</v>
      </c>
      <c r="G3805" s="121">
        <v>0</v>
      </c>
      <c r="H3805" s="121">
        <v>0</v>
      </c>
      <c r="I3805" s="121">
        <v>0</v>
      </c>
      <c r="J3805" s="121">
        <v>0</v>
      </c>
    </row>
    <row r="3806" spans="1:10">
      <c r="A3806" s="110" t="s">
        <v>102</v>
      </c>
      <c r="B3806" s="110" t="s">
        <v>14</v>
      </c>
      <c r="C3806" s="111">
        <v>0.47499999999999998</v>
      </c>
      <c r="D3806" s="121">
        <v>0</v>
      </c>
      <c r="E3806" s="121">
        <v>0</v>
      </c>
      <c r="F3806" s="121">
        <v>0</v>
      </c>
      <c r="G3806" s="121">
        <v>0</v>
      </c>
      <c r="H3806" s="121">
        <v>0</v>
      </c>
      <c r="I3806" s="121">
        <v>0</v>
      </c>
      <c r="J3806" s="121">
        <v>0</v>
      </c>
    </row>
    <row r="3807" spans="1:10">
      <c r="A3807" s="110" t="s">
        <v>102</v>
      </c>
      <c r="B3807" s="110" t="s">
        <v>14</v>
      </c>
      <c r="C3807" s="111">
        <v>0.47569444444444398</v>
      </c>
      <c r="D3807" s="121">
        <v>0</v>
      </c>
      <c r="E3807" s="121">
        <v>0</v>
      </c>
      <c r="F3807" s="121">
        <v>0</v>
      </c>
      <c r="G3807" s="121">
        <v>0</v>
      </c>
      <c r="H3807" s="121">
        <v>0</v>
      </c>
      <c r="I3807" s="121">
        <v>0</v>
      </c>
      <c r="J3807" s="121">
        <v>0</v>
      </c>
    </row>
    <row r="3808" spans="1:10">
      <c r="A3808" s="110" t="s">
        <v>102</v>
      </c>
      <c r="B3808" s="110" t="s">
        <v>14</v>
      </c>
      <c r="C3808" s="111">
        <v>0.47638888888888897</v>
      </c>
      <c r="D3808" s="121">
        <v>0</v>
      </c>
      <c r="E3808" s="121">
        <v>0</v>
      </c>
      <c r="F3808" s="121">
        <v>0</v>
      </c>
      <c r="G3808" s="121">
        <v>0</v>
      </c>
      <c r="H3808" s="121">
        <v>0</v>
      </c>
      <c r="I3808" s="121">
        <v>0</v>
      </c>
      <c r="J3808" s="121">
        <v>0</v>
      </c>
    </row>
    <row r="3809" spans="1:10">
      <c r="A3809" s="110" t="s">
        <v>102</v>
      </c>
      <c r="B3809" s="110" t="s">
        <v>14</v>
      </c>
      <c r="C3809" s="111">
        <v>0.47708333333333303</v>
      </c>
      <c r="D3809" s="121">
        <v>0</v>
      </c>
      <c r="E3809" s="121">
        <v>0</v>
      </c>
      <c r="F3809" s="121">
        <v>0</v>
      </c>
      <c r="G3809" s="121">
        <v>0</v>
      </c>
      <c r="H3809" s="121">
        <v>0</v>
      </c>
      <c r="I3809" s="121">
        <v>0</v>
      </c>
      <c r="J3809" s="121">
        <v>0</v>
      </c>
    </row>
    <row r="3810" spans="1:10">
      <c r="A3810" s="110" t="s">
        <v>102</v>
      </c>
      <c r="B3810" s="110" t="s">
        <v>14</v>
      </c>
      <c r="C3810" s="111">
        <v>0.47777777777777802</v>
      </c>
      <c r="D3810" s="121">
        <v>0</v>
      </c>
      <c r="E3810" s="121">
        <v>0</v>
      </c>
      <c r="F3810" s="121">
        <v>0</v>
      </c>
      <c r="G3810" s="121">
        <v>0</v>
      </c>
      <c r="H3810" s="121">
        <v>0</v>
      </c>
      <c r="I3810" s="121">
        <v>0</v>
      </c>
      <c r="J3810" s="121">
        <v>0</v>
      </c>
    </row>
    <row r="3811" spans="1:10" s="80" customFormat="1">
      <c r="A3811" s="112" t="s">
        <v>102</v>
      </c>
      <c r="B3811" s="112" t="s">
        <v>14</v>
      </c>
      <c r="C3811" s="113">
        <v>0.47847222222222202</v>
      </c>
      <c r="D3811" s="122">
        <v>0</v>
      </c>
      <c r="E3811" s="122">
        <v>0</v>
      </c>
      <c r="F3811" s="122">
        <v>0</v>
      </c>
      <c r="G3811" s="122">
        <v>0</v>
      </c>
      <c r="H3811" s="122">
        <v>0</v>
      </c>
      <c r="I3811" s="122">
        <v>0</v>
      </c>
      <c r="J3811" s="122">
        <v>0</v>
      </c>
    </row>
    <row r="3812" spans="1:10">
      <c r="A3812" s="110" t="s">
        <v>102</v>
      </c>
      <c r="B3812" s="110" t="s">
        <v>14</v>
      </c>
      <c r="C3812" s="111">
        <v>0.47916666666666702</v>
      </c>
      <c r="D3812" s="120">
        <v>0</v>
      </c>
      <c r="E3812" s="120">
        <v>0</v>
      </c>
      <c r="F3812" s="120">
        <v>0</v>
      </c>
      <c r="G3812" s="120">
        <v>0</v>
      </c>
      <c r="H3812" s="120">
        <v>0</v>
      </c>
      <c r="I3812" s="120">
        <v>0</v>
      </c>
      <c r="J3812" s="120">
        <v>0</v>
      </c>
    </row>
    <row r="3813" spans="1:10">
      <c r="A3813" s="110" t="s">
        <v>102</v>
      </c>
      <c r="B3813" s="110" t="s">
        <v>14</v>
      </c>
      <c r="C3813" s="111">
        <v>0.47986111111111102</v>
      </c>
      <c r="D3813" s="121">
        <v>0</v>
      </c>
      <c r="E3813" s="121">
        <v>0</v>
      </c>
      <c r="F3813" s="121">
        <v>0</v>
      </c>
      <c r="G3813" s="121">
        <v>0</v>
      </c>
      <c r="H3813" s="121">
        <v>0</v>
      </c>
      <c r="I3813" s="121">
        <v>0</v>
      </c>
      <c r="J3813" s="121">
        <v>0</v>
      </c>
    </row>
    <row r="3814" spans="1:10">
      <c r="A3814" s="110" t="s">
        <v>102</v>
      </c>
      <c r="B3814" s="110" t="s">
        <v>14</v>
      </c>
      <c r="C3814" s="111">
        <v>0.48055555555555501</v>
      </c>
      <c r="D3814" s="121">
        <v>0</v>
      </c>
      <c r="E3814" s="121">
        <v>0</v>
      </c>
      <c r="F3814" s="121">
        <v>0</v>
      </c>
      <c r="G3814" s="121">
        <v>0</v>
      </c>
      <c r="H3814" s="121">
        <v>0</v>
      </c>
      <c r="I3814" s="121">
        <v>0</v>
      </c>
      <c r="J3814" s="121">
        <v>0</v>
      </c>
    </row>
    <row r="3815" spans="1:10">
      <c r="A3815" s="110" t="s">
        <v>102</v>
      </c>
      <c r="B3815" s="110" t="s">
        <v>14</v>
      </c>
      <c r="C3815" s="111">
        <v>0.48125000000000001</v>
      </c>
      <c r="D3815" s="121">
        <v>0</v>
      </c>
      <c r="E3815" s="121">
        <v>0</v>
      </c>
      <c r="F3815" s="121">
        <v>0</v>
      </c>
      <c r="G3815" s="121">
        <v>0</v>
      </c>
      <c r="H3815" s="121">
        <v>0</v>
      </c>
      <c r="I3815" s="121">
        <v>0</v>
      </c>
      <c r="J3815" s="121">
        <v>0</v>
      </c>
    </row>
    <row r="3816" spans="1:10">
      <c r="A3816" s="110" t="s">
        <v>102</v>
      </c>
      <c r="B3816" s="110" t="s">
        <v>14</v>
      </c>
      <c r="C3816" s="111">
        <v>0.48194444444444401</v>
      </c>
      <c r="D3816" s="121">
        <v>0</v>
      </c>
      <c r="E3816" s="121">
        <v>0</v>
      </c>
      <c r="F3816" s="121">
        <v>0</v>
      </c>
      <c r="G3816" s="121">
        <v>0</v>
      </c>
      <c r="H3816" s="121">
        <v>0</v>
      </c>
      <c r="I3816" s="121">
        <v>0</v>
      </c>
      <c r="J3816" s="121">
        <v>0</v>
      </c>
    </row>
    <row r="3817" spans="1:10">
      <c r="A3817" s="110" t="s">
        <v>102</v>
      </c>
      <c r="B3817" s="110" t="s">
        <v>14</v>
      </c>
      <c r="C3817" s="111">
        <v>0.48263888888888901</v>
      </c>
      <c r="D3817" s="121">
        <v>0</v>
      </c>
      <c r="E3817" s="121">
        <v>0</v>
      </c>
      <c r="F3817" s="121">
        <v>0</v>
      </c>
      <c r="G3817" s="121">
        <v>0</v>
      </c>
      <c r="H3817" s="121">
        <v>0</v>
      </c>
      <c r="I3817" s="121">
        <v>0</v>
      </c>
      <c r="J3817" s="121">
        <v>0</v>
      </c>
    </row>
    <row r="3818" spans="1:10">
      <c r="A3818" s="110" t="s">
        <v>102</v>
      </c>
      <c r="B3818" s="110" t="s">
        <v>14</v>
      </c>
      <c r="C3818" s="111">
        <v>0.483333333333333</v>
      </c>
      <c r="D3818" s="121">
        <v>0</v>
      </c>
      <c r="E3818" s="121">
        <v>0</v>
      </c>
      <c r="F3818" s="121">
        <v>0</v>
      </c>
      <c r="G3818" s="121">
        <v>0</v>
      </c>
      <c r="H3818" s="121">
        <v>0</v>
      </c>
      <c r="I3818" s="121">
        <v>0</v>
      </c>
      <c r="J3818" s="121">
        <v>0</v>
      </c>
    </row>
    <row r="3819" spans="1:10">
      <c r="A3819" s="110" t="s">
        <v>102</v>
      </c>
      <c r="B3819" s="110" t="s">
        <v>14</v>
      </c>
      <c r="C3819" s="111">
        <v>0.484027777777778</v>
      </c>
      <c r="D3819" s="121">
        <v>0</v>
      </c>
      <c r="E3819" s="121">
        <v>0</v>
      </c>
      <c r="F3819" s="121">
        <v>0</v>
      </c>
      <c r="G3819" s="121">
        <v>0</v>
      </c>
      <c r="H3819" s="121">
        <v>0</v>
      </c>
      <c r="I3819" s="121">
        <v>0</v>
      </c>
      <c r="J3819" s="121">
        <v>0</v>
      </c>
    </row>
    <row r="3820" spans="1:10">
      <c r="A3820" s="110" t="s">
        <v>102</v>
      </c>
      <c r="B3820" s="110" t="s">
        <v>14</v>
      </c>
      <c r="C3820" s="111">
        <v>0.484722222222222</v>
      </c>
      <c r="D3820" s="121">
        <v>0</v>
      </c>
      <c r="E3820" s="121">
        <v>0</v>
      </c>
      <c r="F3820" s="121">
        <v>0</v>
      </c>
      <c r="G3820" s="121">
        <v>0</v>
      </c>
      <c r="H3820" s="121">
        <v>0</v>
      </c>
      <c r="I3820" s="121">
        <v>0</v>
      </c>
      <c r="J3820" s="121">
        <v>0</v>
      </c>
    </row>
    <row r="3821" spans="1:10">
      <c r="A3821" s="110" t="s">
        <v>102</v>
      </c>
      <c r="B3821" s="110" t="s">
        <v>14</v>
      </c>
      <c r="C3821" s="111">
        <v>0.485416666666666</v>
      </c>
      <c r="D3821" s="121">
        <v>0</v>
      </c>
      <c r="E3821" s="121">
        <v>0</v>
      </c>
      <c r="F3821" s="121">
        <v>0</v>
      </c>
      <c r="G3821" s="121">
        <v>0</v>
      </c>
      <c r="H3821" s="121">
        <v>0</v>
      </c>
      <c r="I3821" s="121">
        <v>0</v>
      </c>
      <c r="J3821" s="121">
        <v>0</v>
      </c>
    </row>
    <row r="3822" spans="1:10">
      <c r="A3822" s="110" t="s">
        <v>102</v>
      </c>
      <c r="B3822" s="110" t="s">
        <v>14</v>
      </c>
      <c r="C3822" s="111">
        <v>0.48611111111111099</v>
      </c>
      <c r="D3822" s="121">
        <v>0</v>
      </c>
      <c r="E3822" s="121">
        <v>0</v>
      </c>
      <c r="F3822" s="121">
        <v>0</v>
      </c>
      <c r="G3822" s="121">
        <v>0</v>
      </c>
      <c r="H3822" s="121">
        <v>0</v>
      </c>
      <c r="I3822" s="121">
        <v>0</v>
      </c>
      <c r="J3822" s="121">
        <v>0</v>
      </c>
    </row>
    <row r="3823" spans="1:10">
      <c r="A3823" s="110" t="s">
        <v>102</v>
      </c>
      <c r="B3823" s="110" t="s">
        <v>14</v>
      </c>
      <c r="C3823" s="111">
        <v>0.48680555555555499</v>
      </c>
      <c r="D3823" s="121">
        <v>0</v>
      </c>
      <c r="E3823" s="121">
        <v>0</v>
      </c>
      <c r="F3823" s="121">
        <v>0</v>
      </c>
      <c r="G3823" s="121">
        <v>0</v>
      </c>
      <c r="H3823" s="121">
        <v>0</v>
      </c>
      <c r="I3823" s="121">
        <v>0</v>
      </c>
      <c r="J3823" s="121">
        <v>0</v>
      </c>
    </row>
    <row r="3824" spans="1:10">
      <c r="A3824" s="110" t="s">
        <v>102</v>
      </c>
      <c r="B3824" s="110" t="s">
        <v>14</v>
      </c>
      <c r="C3824" s="111">
        <v>0.48749999999999999</v>
      </c>
      <c r="D3824" s="121">
        <v>0</v>
      </c>
      <c r="E3824" s="121">
        <v>0</v>
      </c>
      <c r="F3824" s="121">
        <v>0</v>
      </c>
      <c r="G3824" s="121">
        <v>0</v>
      </c>
      <c r="H3824" s="121">
        <v>0</v>
      </c>
      <c r="I3824" s="121">
        <v>0</v>
      </c>
      <c r="J3824" s="121">
        <v>0</v>
      </c>
    </row>
    <row r="3825" spans="1:10">
      <c r="A3825" s="110" t="s">
        <v>102</v>
      </c>
      <c r="B3825" s="110" t="s">
        <v>14</v>
      </c>
      <c r="C3825" s="111">
        <v>0.48819444444444399</v>
      </c>
      <c r="D3825" s="121">
        <v>0</v>
      </c>
      <c r="E3825" s="121">
        <v>0</v>
      </c>
      <c r="F3825" s="121">
        <v>0</v>
      </c>
      <c r="G3825" s="121">
        <v>0</v>
      </c>
      <c r="H3825" s="121">
        <v>0</v>
      </c>
      <c r="I3825" s="121">
        <v>0</v>
      </c>
      <c r="J3825" s="121">
        <v>0</v>
      </c>
    </row>
    <row r="3826" spans="1:10" s="80" customFormat="1">
      <c r="A3826" s="112" t="s">
        <v>102</v>
      </c>
      <c r="B3826" s="112" t="s">
        <v>14</v>
      </c>
      <c r="C3826" s="113">
        <v>0.48888888888888898</v>
      </c>
      <c r="D3826" s="122">
        <v>0</v>
      </c>
      <c r="E3826" s="122">
        <v>0</v>
      </c>
      <c r="F3826" s="122">
        <v>0</v>
      </c>
      <c r="G3826" s="122">
        <v>0</v>
      </c>
      <c r="H3826" s="122">
        <v>0</v>
      </c>
      <c r="I3826" s="122">
        <v>0</v>
      </c>
      <c r="J3826" s="122">
        <v>0</v>
      </c>
    </row>
    <row r="3827" spans="1:10">
      <c r="A3827" s="110" t="s">
        <v>102</v>
      </c>
      <c r="B3827" s="110" t="s">
        <v>14</v>
      </c>
      <c r="C3827" s="111">
        <v>0.48958333333333298</v>
      </c>
      <c r="D3827" s="120">
        <v>0</v>
      </c>
      <c r="E3827" s="120">
        <v>0</v>
      </c>
      <c r="F3827" s="120">
        <v>0</v>
      </c>
      <c r="G3827" s="120">
        <v>0</v>
      </c>
      <c r="H3827" s="120">
        <v>0</v>
      </c>
      <c r="I3827" s="120">
        <v>0</v>
      </c>
      <c r="J3827" s="120">
        <v>0</v>
      </c>
    </row>
    <row r="3828" spans="1:10">
      <c r="A3828" s="110" t="s">
        <v>102</v>
      </c>
      <c r="B3828" s="110" t="s">
        <v>14</v>
      </c>
      <c r="C3828" s="111">
        <v>0.49027777777777798</v>
      </c>
      <c r="D3828" s="121">
        <v>0</v>
      </c>
      <c r="E3828" s="121">
        <v>0</v>
      </c>
      <c r="F3828" s="121">
        <v>0</v>
      </c>
      <c r="G3828" s="121">
        <v>0</v>
      </c>
      <c r="H3828" s="121">
        <v>0</v>
      </c>
      <c r="I3828" s="121">
        <v>0</v>
      </c>
      <c r="J3828" s="121">
        <v>0</v>
      </c>
    </row>
    <row r="3829" spans="1:10">
      <c r="A3829" s="110" t="s">
        <v>102</v>
      </c>
      <c r="B3829" s="110" t="s">
        <v>14</v>
      </c>
      <c r="C3829" s="111">
        <v>0.49097222222222198</v>
      </c>
      <c r="D3829" s="121">
        <v>0</v>
      </c>
      <c r="E3829" s="121">
        <v>0</v>
      </c>
      <c r="F3829" s="121">
        <v>0</v>
      </c>
      <c r="G3829" s="121">
        <v>0</v>
      </c>
      <c r="H3829" s="121">
        <v>0</v>
      </c>
      <c r="I3829" s="121">
        <v>0</v>
      </c>
      <c r="J3829" s="121">
        <v>0</v>
      </c>
    </row>
    <row r="3830" spans="1:10">
      <c r="A3830" s="110" t="s">
        <v>102</v>
      </c>
      <c r="B3830" s="110" t="s">
        <v>14</v>
      </c>
      <c r="C3830" s="111">
        <v>0.49166666666666697</v>
      </c>
      <c r="D3830" s="121">
        <v>0</v>
      </c>
      <c r="E3830" s="121">
        <v>0</v>
      </c>
      <c r="F3830" s="121">
        <v>0</v>
      </c>
      <c r="G3830" s="121">
        <v>0</v>
      </c>
      <c r="H3830" s="121">
        <v>0</v>
      </c>
      <c r="I3830" s="121">
        <v>0</v>
      </c>
      <c r="J3830" s="121">
        <v>0</v>
      </c>
    </row>
    <row r="3831" spans="1:10">
      <c r="A3831" s="110" t="s">
        <v>102</v>
      </c>
      <c r="B3831" s="110" t="s">
        <v>14</v>
      </c>
      <c r="C3831" s="111">
        <v>0.49236111111111103</v>
      </c>
      <c r="D3831" s="121">
        <v>0</v>
      </c>
      <c r="E3831" s="121">
        <v>0</v>
      </c>
      <c r="F3831" s="121">
        <v>0</v>
      </c>
      <c r="G3831" s="121">
        <v>0</v>
      </c>
      <c r="H3831" s="121">
        <v>0</v>
      </c>
      <c r="I3831" s="121">
        <v>0</v>
      </c>
      <c r="J3831" s="121">
        <v>0</v>
      </c>
    </row>
    <row r="3832" spans="1:10">
      <c r="A3832" s="110" t="s">
        <v>102</v>
      </c>
      <c r="B3832" s="110" t="s">
        <v>14</v>
      </c>
      <c r="C3832" s="111">
        <v>0.49305555555555503</v>
      </c>
      <c r="D3832" s="121">
        <v>0</v>
      </c>
      <c r="E3832" s="121">
        <v>0</v>
      </c>
      <c r="F3832" s="121">
        <v>0</v>
      </c>
      <c r="G3832" s="121">
        <v>0</v>
      </c>
      <c r="H3832" s="121">
        <v>0</v>
      </c>
      <c r="I3832" s="121">
        <v>0</v>
      </c>
      <c r="J3832" s="121">
        <v>0</v>
      </c>
    </row>
    <row r="3833" spans="1:10">
      <c r="A3833" s="110" t="s">
        <v>102</v>
      </c>
      <c r="B3833" s="110" t="s">
        <v>14</v>
      </c>
      <c r="C3833" s="111">
        <v>0.49375000000000002</v>
      </c>
      <c r="D3833" s="121">
        <v>0</v>
      </c>
      <c r="E3833" s="121">
        <v>0</v>
      </c>
      <c r="F3833" s="121">
        <v>0</v>
      </c>
      <c r="G3833" s="121">
        <v>0</v>
      </c>
      <c r="H3833" s="121">
        <v>0</v>
      </c>
      <c r="I3833" s="121">
        <v>0</v>
      </c>
      <c r="J3833" s="121">
        <v>0</v>
      </c>
    </row>
    <row r="3834" spans="1:10">
      <c r="A3834" s="110" t="s">
        <v>102</v>
      </c>
      <c r="B3834" s="110" t="s">
        <v>14</v>
      </c>
      <c r="C3834" s="111">
        <v>0.49444444444444402</v>
      </c>
      <c r="D3834" s="121">
        <v>0</v>
      </c>
      <c r="E3834" s="121">
        <v>0</v>
      </c>
      <c r="F3834" s="121">
        <v>0</v>
      </c>
      <c r="G3834" s="121">
        <v>0</v>
      </c>
      <c r="H3834" s="121">
        <v>0</v>
      </c>
      <c r="I3834" s="121">
        <v>0</v>
      </c>
      <c r="J3834" s="121">
        <v>0</v>
      </c>
    </row>
    <row r="3835" spans="1:10">
      <c r="A3835" s="110" t="s">
        <v>102</v>
      </c>
      <c r="B3835" s="110" t="s">
        <v>14</v>
      </c>
      <c r="C3835" s="111">
        <v>0.49513888888888902</v>
      </c>
      <c r="D3835" s="121">
        <v>0</v>
      </c>
      <c r="E3835" s="121">
        <v>0</v>
      </c>
      <c r="F3835" s="121">
        <v>0</v>
      </c>
      <c r="G3835" s="121">
        <v>0</v>
      </c>
      <c r="H3835" s="121">
        <v>0</v>
      </c>
      <c r="I3835" s="121">
        <v>0</v>
      </c>
      <c r="J3835" s="121">
        <v>0</v>
      </c>
    </row>
    <row r="3836" spans="1:10">
      <c r="A3836" s="110" t="s">
        <v>102</v>
      </c>
      <c r="B3836" s="110" t="s">
        <v>14</v>
      </c>
      <c r="C3836" s="111">
        <v>0.49583333333333302</v>
      </c>
      <c r="D3836" s="121">
        <v>0</v>
      </c>
      <c r="E3836" s="121">
        <v>0</v>
      </c>
      <c r="F3836" s="121">
        <v>0</v>
      </c>
      <c r="G3836" s="121">
        <v>0</v>
      </c>
      <c r="H3836" s="121">
        <v>0</v>
      </c>
      <c r="I3836" s="121">
        <v>0</v>
      </c>
      <c r="J3836" s="121">
        <v>0</v>
      </c>
    </row>
    <row r="3837" spans="1:10">
      <c r="A3837" s="110" t="s">
        <v>102</v>
      </c>
      <c r="B3837" s="110" t="s">
        <v>14</v>
      </c>
      <c r="C3837" s="111">
        <v>0.49652777777777801</v>
      </c>
      <c r="D3837" s="121">
        <v>0</v>
      </c>
      <c r="E3837" s="121">
        <v>0</v>
      </c>
      <c r="F3837" s="121">
        <v>0</v>
      </c>
      <c r="G3837" s="121">
        <v>0</v>
      </c>
      <c r="H3837" s="121">
        <v>0</v>
      </c>
      <c r="I3837" s="121">
        <v>0</v>
      </c>
      <c r="J3837" s="121">
        <v>0</v>
      </c>
    </row>
    <row r="3838" spans="1:10">
      <c r="A3838" s="110" t="s">
        <v>102</v>
      </c>
      <c r="B3838" s="110" t="s">
        <v>14</v>
      </c>
      <c r="C3838" s="111">
        <v>0.49722222222222201</v>
      </c>
      <c r="D3838" s="121">
        <v>0</v>
      </c>
      <c r="E3838" s="121">
        <v>0</v>
      </c>
      <c r="F3838" s="121">
        <v>0</v>
      </c>
      <c r="G3838" s="121">
        <v>0</v>
      </c>
      <c r="H3838" s="121">
        <v>0</v>
      </c>
      <c r="I3838" s="121">
        <v>0</v>
      </c>
      <c r="J3838" s="121">
        <v>0</v>
      </c>
    </row>
    <row r="3839" spans="1:10">
      <c r="A3839" s="110" t="s">
        <v>102</v>
      </c>
      <c r="B3839" s="110" t="s">
        <v>14</v>
      </c>
      <c r="C3839" s="111">
        <v>0.49791666666666701</v>
      </c>
      <c r="D3839" s="121">
        <v>0</v>
      </c>
      <c r="E3839" s="121">
        <v>0</v>
      </c>
      <c r="F3839" s="121">
        <v>0</v>
      </c>
      <c r="G3839" s="121">
        <v>0</v>
      </c>
      <c r="H3839" s="121">
        <v>0</v>
      </c>
      <c r="I3839" s="121">
        <v>0</v>
      </c>
      <c r="J3839" s="121">
        <v>0</v>
      </c>
    </row>
    <row r="3840" spans="1:10">
      <c r="A3840" s="110" t="s">
        <v>102</v>
      </c>
      <c r="B3840" s="110" t="s">
        <v>14</v>
      </c>
      <c r="C3840" s="111">
        <v>0.49861111111111101</v>
      </c>
      <c r="D3840" s="121">
        <v>0</v>
      </c>
      <c r="E3840" s="121">
        <v>0</v>
      </c>
      <c r="F3840" s="121">
        <v>0</v>
      </c>
      <c r="G3840" s="121">
        <v>0</v>
      </c>
      <c r="H3840" s="121">
        <v>0</v>
      </c>
      <c r="I3840" s="121">
        <v>0</v>
      </c>
      <c r="J3840" s="121">
        <v>0</v>
      </c>
    </row>
    <row r="3841" spans="1:10" s="28" customFormat="1" ht="17.5" thickBot="1">
      <c r="A3841" s="116" t="s">
        <v>102</v>
      </c>
      <c r="B3841" s="116" t="s">
        <v>14</v>
      </c>
      <c r="C3841" s="117">
        <v>0.499305555555555</v>
      </c>
      <c r="D3841" s="123">
        <v>0</v>
      </c>
      <c r="E3841" s="123">
        <v>0</v>
      </c>
      <c r="F3841" s="123">
        <v>0</v>
      </c>
      <c r="G3841" s="123">
        <v>0</v>
      </c>
      <c r="H3841" s="123">
        <v>0</v>
      </c>
      <c r="I3841" s="123">
        <v>0</v>
      </c>
      <c r="J3841" s="123">
        <v>0</v>
      </c>
    </row>
    <row r="3842" spans="1:10">
      <c r="A3842" s="110" t="s">
        <v>102</v>
      </c>
      <c r="B3842" s="110" t="s">
        <v>124</v>
      </c>
      <c r="C3842" s="111">
        <v>0.45833333333333331</v>
      </c>
      <c r="D3842" s="121">
        <v>0</v>
      </c>
      <c r="E3842" s="121">
        <v>0</v>
      </c>
      <c r="F3842" s="121">
        <v>0</v>
      </c>
      <c r="G3842" s="121">
        <v>0</v>
      </c>
      <c r="H3842" s="121">
        <v>0</v>
      </c>
      <c r="I3842" s="121">
        <v>0</v>
      </c>
      <c r="J3842" s="121">
        <v>0</v>
      </c>
    </row>
    <row r="3843" spans="1:10">
      <c r="A3843" s="110" t="s">
        <v>102</v>
      </c>
      <c r="B3843" s="110" t="s">
        <v>123</v>
      </c>
      <c r="C3843" s="111">
        <v>0.45902777777777776</v>
      </c>
      <c r="D3843" s="121">
        <v>0</v>
      </c>
      <c r="E3843" s="121">
        <v>0</v>
      </c>
      <c r="F3843" s="121">
        <v>0</v>
      </c>
      <c r="G3843" s="121">
        <v>0</v>
      </c>
      <c r="H3843" s="121">
        <v>0</v>
      </c>
      <c r="I3843" s="121">
        <v>0</v>
      </c>
      <c r="J3843" s="121">
        <v>0</v>
      </c>
    </row>
    <row r="3844" spans="1:10">
      <c r="A3844" s="110" t="s">
        <v>102</v>
      </c>
      <c r="B3844" s="110" t="s">
        <v>123</v>
      </c>
      <c r="C3844" s="111">
        <v>0.45972222222222198</v>
      </c>
      <c r="D3844" s="121">
        <v>0</v>
      </c>
      <c r="E3844" s="121">
        <v>0</v>
      </c>
      <c r="F3844" s="121">
        <v>0</v>
      </c>
      <c r="G3844" s="121">
        <v>0</v>
      </c>
      <c r="H3844" s="121">
        <v>0</v>
      </c>
      <c r="I3844" s="121">
        <v>0</v>
      </c>
      <c r="J3844" s="121">
        <v>0</v>
      </c>
    </row>
    <row r="3845" spans="1:10">
      <c r="A3845" s="110" t="s">
        <v>102</v>
      </c>
      <c r="B3845" s="110" t="s">
        <v>123</v>
      </c>
      <c r="C3845" s="111">
        <v>0.46041666666666697</v>
      </c>
      <c r="D3845" s="121">
        <v>0</v>
      </c>
      <c r="E3845" s="121">
        <v>0</v>
      </c>
      <c r="F3845" s="121">
        <v>0</v>
      </c>
      <c r="G3845" s="121">
        <v>0</v>
      </c>
      <c r="H3845" s="121">
        <v>0</v>
      </c>
      <c r="I3845" s="121">
        <v>0</v>
      </c>
      <c r="J3845" s="121">
        <v>0</v>
      </c>
    </row>
    <row r="3846" spans="1:10">
      <c r="A3846" s="110" t="s">
        <v>102</v>
      </c>
      <c r="B3846" s="110" t="s">
        <v>123</v>
      </c>
      <c r="C3846" s="111">
        <v>0.46111111111111103</v>
      </c>
      <c r="D3846" s="121">
        <v>0</v>
      </c>
      <c r="E3846" s="121">
        <v>0</v>
      </c>
      <c r="F3846" s="121">
        <v>0</v>
      </c>
      <c r="G3846" s="121">
        <v>0</v>
      </c>
      <c r="H3846" s="121">
        <v>0</v>
      </c>
      <c r="I3846" s="121">
        <v>0</v>
      </c>
      <c r="J3846" s="121">
        <v>0</v>
      </c>
    </row>
    <row r="3847" spans="1:10">
      <c r="A3847" s="110" t="s">
        <v>102</v>
      </c>
      <c r="B3847" s="110" t="s">
        <v>123</v>
      </c>
      <c r="C3847" s="111">
        <v>0.46180555555555602</v>
      </c>
      <c r="D3847" s="121">
        <v>0</v>
      </c>
      <c r="E3847" s="121">
        <v>0</v>
      </c>
      <c r="F3847" s="121">
        <v>0</v>
      </c>
      <c r="G3847" s="121">
        <v>0</v>
      </c>
      <c r="H3847" s="121">
        <v>0</v>
      </c>
      <c r="I3847" s="121">
        <v>0</v>
      </c>
      <c r="J3847" s="121">
        <v>0</v>
      </c>
    </row>
    <row r="3848" spans="1:10">
      <c r="A3848" s="110" t="s">
        <v>102</v>
      </c>
      <c r="B3848" s="110" t="s">
        <v>123</v>
      </c>
      <c r="C3848" s="111">
        <v>0.46250000000000002</v>
      </c>
      <c r="D3848" s="121">
        <v>0</v>
      </c>
      <c r="E3848" s="121">
        <v>0</v>
      </c>
      <c r="F3848" s="121">
        <v>0</v>
      </c>
      <c r="G3848" s="121">
        <v>0</v>
      </c>
      <c r="H3848" s="121">
        <v>0</v>
      </c>
      <c r="I3848" s="121">
        <v>0</v>
      </c>
      <c r="J3848" s="121">
        <v>0</v>
      </c>
    </row>
    <row r="3849" spans="1:10">
      <c r="A3849" s="110" t="s">
        <v>102</v>
      </c>
      <c r="B3849" s="110" t="s">
        <v>123</v>
      </c>
      <c r="C3849" s="111">
        <v>0.46319444444444402</v>
      </c>
      <c r="D3849" s="121">
        <v>0</v>
      </c>
      <c r="E3849" s="121">
        <v>0</v>
      </c>
      <c r="F3849" s="121">
        <v>0</v>
      </c>
      <c r="G3849" s="121">
        <v>0</v>
      </c>
      <c r="H3849" s="121">
        <v>0</v>
      </c>
      <c r="I3849" s="121">
        <v>0</v>
      </c>
      <c r="J3849" s="121">
        <v>0</v>
      </c>
    </row>
    <row r="3850" spans="1:10">
      <c r="A3850" s="110" t="s">
        <v>102</v>
      </c>
      <c r="B3850" s="110" t="s">
        <v>123</v>
      </c>
      <c r="C3850" s="111">
        <v>0.46388888888888902</v>
      </c>
      <c r="D3850" s="121">
        <v>0</v>
      </c>
      <c r="E3850" s="121">
        <v>0</v>
      </c>
      <c r="F3850" s="121">
        <v>0</v>
      </c>
      <c r="G3850" s="121">
        <v>0</v>
      </c>
      <c r="H3850" s="121">
        <v>0</v>
      </c>
      <c r="I3850" s="121">
        <v>0</v>
      </c>
      <c r="J3850" s="121">
        <v>0</v>
      </c>
    </row>
    <row r="3851" spans="1:10">
      <c r="A3851" s="110" t="s">
        <v>102</v>
      </c>
      <c r="B3851" s="110" t="s">
        <v>123</v>
      </c>
      <c r="C3851" s="111">
        <v>0.46458333333333302</v>
      </c>
      <c r="D3851" s="121">
        <v>0</v>
      </c>
      <c r="E3851" s="121">
        <v>0</v>
      </c>
      <c r="F3851" s="121">
        <v>0</v>
      </c>
      <c r="G3851" s="121">
        <v>0</v>
      </c>
      <c r="H3851" s="121">
        <v>0</v>
      </c>
      <c r="I3851" s="121">
        <v>0</v>
      </c>
      <c r="J3851" s="121">
        <v>0</v>
      </c>
    </row>
    <row r="3852" spans="1:10">
      <c r="A3852" s="110" t="s">
        <v>102</v>
      </c>
      <c r="B3852" s="110" t="s">
        <v>123</v>
      </c>
      <c r="C3852" s="111">
        <v>0.46527777777777801</v>
      </c>
      <c r="D3852" s="121">
        <v>0</v>
      </c>
      <c r="E3852" s="121">
        <v>0</v>
      </c>
      <c r="F3852" s="121">
        <v>0</v>
      </c>
      <c r="G3852" s="121">
        <v>0</v>
      </c>
      <c r="H3852" s="121">
        <v>0</v>
      </c>
      <c r="I3852" s="121">
        <v>0</v>
      </c>
      <c r="J3852" s="121">
        <v>0</v>
      </c>
    </row>
    <row r="3853" spans="1:10">
      <c r="A3853" s="110" t="s">
        <v>102</v>
      </c>
      <c r="B3853" s="110" t="s">
        <v>123</v>
      </c>
      <c r="C3853" s="111">
        <v>0.46597222222222201</v>
      </c>
      <c r="D3853" s="121">
        <v>0</v>
      </c>
      <c r="E3853" s="121">
        <v>0</v>
      </c>
      <c r="F3853" s="121">
        <v>0</v>
      </c>
      <c r="G3853" s="121">
        <v>0</v>
      </c>
      <c r="H3853" s="121">
        <v>0</v>
      </c>
      <c r="I3853" s="121">
        <v>0</v>
      </c>
      <c r="J3853" s="121">
        <v>0</v>
      </c>
    </row>
    <row r="3854" spans="1:10">
      <c r="A3854" s="110" t="s">
        <v>102</v>
      </c>
      <c r="B3854" s="110" t="s">
        <v>123</v>
      </c>
      <c r="C3854" s="111">
        <v>0.46666666666666701</v>
      </c>
      <c r="D3854" s="121">
        <v>0</v>
      </c>
      <c r="E3854" s="121">
        <v>0</v>
      </c>
      <c r="F3854" s="121">
        <v>0</v>
      </c>
      <c r="G3854" s="121">
        <v>0</v>
      </c>
      <c r="H3854" s="121">
        <v>0</v>
      </c>
      <c r="I3854" s="121">
        <v>0</v>
      </c>
      <c r="J3854" s="121">
        <v>0</v>
      </c>
    </row>
    <row r="3855" spans="1:10">
      <c r="A3855" s="110" t="s">
        <v>102</v>
      </c>
      <c r="B3855" s="110" t="s">
        <v>123</v>
      </c>
      <c r="C3855" s="111">
        <v>0.46736111111111101</v>
      </c>
      <c r="D3855" s="121">
        <v>0</v>
      </c>
      <c r="E3855" s="121">
        <v>0</v>
      </c>
      <c r="F3855" s="121">
        <v>0</v>
      </c>
      <c r="G3855" s="121">
        <v>0</v>
      </c>
      <c r="H3855" s="121">
        <v>0</v>
      </c>
      <c r="I3855" s="121">
        <v>0</v>
      </c>
      <c r="J3855" s="121">
        <v>0</v>
      </c>
    </row>
    <row r="3856" spans="1:10" s="80" customFormat="1">
      <c r="A3856" s="112" t="s">
        <v>102</v>
      </c>
      <c r="B3856" s="112" t="s">
        <v>123</v>
      </c>
      <c r="C3856" s="113">
        <v>0.468055555555556</v>
      </c>
      <c r="D3856" s="122">
        <v>0</v>
      </c>
      <c r="E3856" s="122">
        <v>0</v>
      </c>
      <c r="F3856" s="122">
        <v>0</v>
      </c>
      <c r="G3856" s="122">
        <v>0</v>
      </c>
      <c r="H3856" s="122">
        <v>0</v>
      </c>
      <c r="I3856" s="122">
        <v>0</v>
      </c>
      <c r="J3856" s="122">
        <v>0</v>
      </c>
    </row>
    <row r="3857" spans="1:10">
      <c r="A3857" s="110" t="s">
        <v>102</v>
      </c>
      <c r="B3857" s="110" t="s">
        <v>123</v>
      </c>
      <c r="C3857" s="111">
        <v>0.46875</v>
      </c>
      <c r="D3857" s="120">
        <v>0</v>
      </c>
      <c r="E3857" s="120">
        <v>0</v>
      </c>
      <c r="F3857" s="120">
        <v>0</v>
      </c>
      <c r="G3857" s="120">
        <v>0</v>
      </c>
      <c r="H3857" s="120">
        <v>0</v>
      </c>
      <c r="I3857" s="120">
        <v>0</v>
      </c>
      <c r="J3857" s="120">
        <v>0</v>
      </c>
    </row>
    <row r="3858" spans="1:10">
      <c r="A3858" s="110" t="s">
        <v>102</v>
      </c>
      <c r="B3858" s="110" t="s">
        <v>123</v>
      </c>
      <c r="C3858" s="111">
        <v>0.469444444444444</v>
      </c>
      <c r="D3858" s="121">
        <v>0</v>
      </c>
      <c r="E3858" s="121">
        <v>0</v>
      </c>
      <c r="F3858" s="121">
        <v>0</v>
      </c>
      <c r="G3858" s="121">
        <v>0</v>
      </c>
      <c r="H3858" s="121">
        <v>0</v>
      </c>
      <c r="I3858" s="121">
        <v>0</v>
      </c>
      <c r="J3858" s="121">
        <v>0</v>
      </c>
    </row>
    <row r="3859" spans="1:10">
      <c r="A3859" s="110" t="s">
        <v>102</v>
      </c>
      <c r="B3859" s="110" t="s">
        <v>123</v>
      </c>
      <c r="C3859" s="111">
        <v>0.47013888888888899</v>
      </c>
      <c r="D3859" s="121">
        <v>0</v>
      </c>
      <c r="E3859" s="121">
        <v>0</v>
      </c>
      <c r="F3859" s="121">
        <v>0</v>
      </c>
      <c r="G3859" s="121">
        <v>0</v>
      </c>
      <c r="H3859" s="121">
        <v>0</v>
      </c>
      <c r="I3859" s="121">
        <v>0</v>
      </c>
      <c r="J3859" s="121">
        <v>0</v>
      </c>
    </row>
    <row r="3860" spans="1:10">
      <c r="A3860" s="110" t="s">
        <v>102</v>
      </c>
      <c r="B3860" s="110" t="s">
        <v>123</v>
      </c>
      <c r="C3860" s="111">
        <v>0.47083333333333299</v>
      </c>
      <c r="D3860" s="121">
        <v>0</v>
      </c>
      <c r="E3860" s="121">
        <v>0</v>
      </c>
      <c r="F3860" s="121">
        <v>0</v>
      </c>
      <c r="G3860" s="121">
        <v>0</v>
      </c>
      <c r="H3860" s="121">
        <v>0</v>
      </c>
      <c r="I3860" s="121">
        <v>0</v>
      </c>
      <c r="J3860" s="121">
        <v>0</v>
      </c>
    </row>
    <row r="3861" spans="1:10">
      <c r="A3861" s="110" t="s">
        <v>102</v>
      </c>
      <c r="B3861" s="110" t="s">
        <v>123</v>
      </c>
      <c r="C3861" s="111">
        <v>0.47152777777777799</v>
      </c>
      <c r="D3861" s="121">
        <v>0</v>
      </c>
      <c r="E3861" s="121">
        <v>0</v>
      </c>
      <c r="F3861" s="121">
        <v>0</v>
      </c>
      <c r="G3861" s="121">
        <v>0</v>
      </c>
      <c r="H3861" s="121">
        <v>0</v>
      </c>
      <c r="I3861" s="121">
        <v>0</v>
      </c>
      <c r="J3861" s="121">
        <v>0</v>
      </c>
    </row>
    <row r="3862" spans="1:10">
      <c r="A3862" s="110" t="s">
        <v>102</v>
      </c>
      <c r="B3862" s="110" t="s">
        <v>123</v>
      </c>
      <c r="C3862" s="111">
        <v>0.47222222222222199</v>
      </c>
      <c r="D3862" s="121">
        <v>0</v>
      </c>
      <c r="E3862" s="121">
        <v>0</v>
      </c>
      <c r="F3862" s="121">
        <v>0</v>
      </c>
      <c r="G3862" s="121">
        <v>0</v>
      </c>
      <c r="H3862" s="121">
        <v>0</v>
      </c>
      <c r="I3862" s="121">
        <v>0</v>
      </c>
      <c r="J3862" s="121">
        <v>0</v>
      </c>
    </row>
    <row r="3863" spans="1:10">
      <c r="A3863" s="110" t="s">
        <v>102</v>
      </c>
      <c r="B3863" s="110" t="s">
        <v>123</v>
      </c>
      <c r="C3863" s="111">
        <v>0.47291666666666698</v>
      </c>
      <c r="D3863" s="121">
        <v>0</v>
      </c>
      <c r="E3863" s="121">
        <v>0</v>
      </c>
      <c r="F3863" s="121">
        <v>0</v>
      </c>
      <c r="G3863" s="121">
        <v>0</v>
      </c>
      <c r="H3863" s="121">
        <v>0</v>
      </c>
      <c r="I3863" s="121">
        <v>0</v>
      </c>
      <c r="J3863" s="121">
        <v>0</v>
      </c>
    </row>
    <row r="3864" spans="1:10">
      <c r="A3864" s="110" t="s">
        <v>102</v>
      </c>
      <c r="B3864" s="110" t="s">
        <v>123</v>
      </c>
      <c r="C3864" s="111">
        <v>0.47361111111111098</v>
      </c>
      <c r="D3864" s="121">
        <v>0</v>
      </c>
      <c r="E3864" s="121">
        <v>0</v>
      </c>
      <c r="F3864" s="121">
        <v>0</v>
      </c>
      <c r="G3864" s="121">
        <v>0</v>
      </c>
      <c r="H3864" s="121">
        <v>0</v>
      </c>
      <c r="I3864" s="121">
        <v>0</v>
      </c>
      <c r="J3864" s="121">
        <v>0</v>
      </c>
    </row>
    <row r="3865" spans="1:10">
      <c r="A3865" s="110" t="s">
        <v>102</v>
      </c>
      <c r="B3865" s="110" t="s">
        <v>123</v>
      </c>
      <c r="C3865" s="111">
        <v>0.47430555555555598</v>
      </c>
      <c r="D3865" s="121">
        <v>0</v>
      </c>
      <c r="E3865" s="121">
        <v>0</v>
      </c>
      <c r="F3865" s="121">
        <v>0</v>
      </c>
      <c r="G3865" s="121">
        <v>0</v>
      </c>
      <c r="H3865" s="121">
        <v>0</v>
      </c>
      <c r="I3865" s="121">
        <v>0</v>
      </c>
      <c r="J3865" s="121">
        <v>0</v>
      </c>
    </row>
    <row r="3866" spans="1:10">
      <c r="A3866" s="110" t="s">
        <v>102</v>
      </c>
      <c r="B3866" s="110" t="s">
        <v>123</v>
      </c>
      <c r="C3866" s="111">
        <v>0.47499999999999998</v>
      </c>
      <c r="D3866" s="121">
        <v>0</v>
      </c>
      <c r="E3866" s="121">
        <v>0</v>
      </c>
      <c r="F3866" s="121">
        <v>0</v>
      </c>
      <c r="G3866" s="121">
        <v>0</v>
      </c>
      <c r="H3866" s="121">
        <v>0</v>
      </c>
      <c r="I3866" s="121">
        <v>0</v>
      </c>
      <c r="J3866" s="121">
        <v>0</v>
      </c>
    </row>
    <row r="3867" spans="1:10">
      <c r="A3867" s="110" t="s">
        <v>102</v>
      </c>
      <c r="B3867" s="110" t="s">
        <v>123</v>
      </c>
      <c r="C3867" s="111">
        <v>0.47569444444444398</v>
      </c>
      <c r="D3867" s="121">
        <v>0</v>
      </c>
      <c r="E3867" s="121">
        <v>0</v>
      </c>
      <c r="F3867" s="121">
        <v>0</v>
      </c>
      <c r="G3867" s="121">
        <v>0</v>
      </c>
      <c r="H3867" s="121">
        <v>0</v>
      </c>
      <c r="I3867" s="121">
        <v>0</v>
      </c>
      <c r="J3867" s="121">
        <v>0</v>
      </c>
    </row>
    <row r="3868" spans="1:10">
      <c r="A3868" s="110" t="s">
        <v>102</v>
      </c>
      <c r="B3868" s="110" t="s">
        <v>123</v>
      </c>
      <c r="C3868" s="111">
        <v>0.47638888888888897</v>
      </c>
      <c r="D3868" s="121">
        <v>0</v>
      </c>
      <c r="E3868" s="121">
        <v>0</v>
      </c>
      <c r="F3868" s="121">
        <v>0</v>
      </c>
      <c r="G3868" s="121">
        <v>0</v>
      </c>
      <c r="H3868" s="121">
        <v>0</v>
      </c>
      <c r="I3868" s="121">
        <v>0</v>
      </c>
      <c r="J3868" s="121">
        <v>0</v>
      </c>
    </row>
    <row r="3869" spans="1:10">
      <c r="A3869" s="110" t="s">
        <v>102</v>
      </c>
      <c r="B3869" s="110" t="s">
        <v>123</v>
      </c>
      <c r="C3869" s="111">
        <v>0.47708333333333303</v>
      </c>
      <c r="D3869" s="121">
        <v>0</v>
      </c>
      <c r="E3869" s="121">
        <v>0</v>
      </c>
      <c r="F3869" s="121">
        <v>0</v>
      </c>
      <c r="G3869" s="121">
        <v>0</v>
      </c>
      <c r="H3869" s="121">
        <v>0</v>
      </c>
      <c r="I3869" s="121">
        <v>0</v>
      </c>
      <c r="J3869" s="121">
        <v>0</v>
      </c>
    </row>
    <row r="3870" spans="1:10">
      <c r="A3870" s="110" t="s">
        <v>102</v>
      </c>
      <c r="B3870" s="110" t="s">
        <v>123</v>
      </c>
      <c r="C3870" s="111">
        <v>0.47777777777777802</v>
      </c>
      <c r="D3870" s="121">
        <v>0</v>
      </c>
      <c r="E3870" s="121">
        <v>0</v>
      </c>
      <c r="F3870" s="121">
        <v>0</v>
      </c>
      <c r="G3870" s="121">
        <v>0</v>
      </c>
      <c r="H3870" s="121">
        <v>0</v>
      </c>
      <c r="I3870" s="121">
        <v>0</v>
      </c>
      <c r="J3870" s="121">
        <v>0</v>
      </c>
    </row>
    <row r="3871" spans="1:10" s="80" customFormat="1">
      <c r="A3871" s="112" t="s">
        <v>102</v>
      </c>
      <c r="B3871" s="112" t="s">
        <v>123</v>
      </c>
      <c r="C3871" s="113">
        <v>0.47847222222222202</v>
      </c>
      <c r="D3871" s="121">
        <v>0</v>
      </c>
      <c r="E3871" s="121">
        <v>0</v>
      </c>
      <c r="F3871" s="121">
        <v>0</v>
      </c>
      <c r="G3871" s="121">
        <v>0</v>
      </c>
      <c r="H3871" s="121">
        <v>0</v>
      </c>
      <c r="I3871" s="121">
        <v>0</v>
      </c>
      <c r="J3871" s="121">
        <v>0</v>
      </c>
    </row>
    <row r="3872" spans="1:10">
      <c r="A3872" s="110" t="s">
        <v>102</v>
      </c>
      <c r="B3872" s="110" t="s">
        <v>123</v>
      </c>
      <c r="C3872" s="111">
        <v>0.47916666666666702</v>
      </c>
      <c r="D3872" s="120">
        <v>0</v>
      </c>
      <c r="E3872" s="120">
        <v>0</v>
      </c>
      <c r="F3872" s="120">
        <v>0</v>
      </c>
      <c r="G3872" s="120">
        <v>0</v>
      </c>
      <c r="H3872" s="120">
        <v>0</v>
      </c>
      <c r="I3872" s="120">
        <v>0</v>
      </c>
      <c r="J3872" s="120">
        <v>0</v>
      </c>
    </row>
    <row r="3873" spans="1:10">
      <c r="A3873" s="110" t="s">
        <v>102</v>
      </c>
      <c r="B3873" s="110" t="s">
        <v>123</v>
      </c>
      <c r="C3873" s="111">
        <v>0.47986111111111102</v>
      </c>
      <c r="D3873" s="121">
        <v>0</v>
      </c>
      <c r="E3873" s="121">
        <v>0</v>
      </c>
      <c r="F3873" s="121">
        <v>0</v>
      </c>
      <c r="G3873" s="121">
        <v>0</v>
      </c>
      <c r="H3873" s="121">
        <v>0</v>
      </c>
      <c r="I3873" s="121">
        <v>0</v>
      </c>
      <c r="J3873" s="121">
        <v>0</v>
      </c>
    </row>
    <row r="3874" spans="1:10">
      <c r="A3874" s="110" t="s">
        <v>102</v>
      </c>
      <c r="B3874" s="110" t="s">
        <v>123</v>
      </c>
      <c r="C3874" s="111">
        <v>0.48055555555555501</v>
      </c>
      <c r="D3874" s="121">
        <v>0</v>
      </c>
      <c r="E3874" s="121">
        <v>0</v>
      </c>
      <c r="F3874" s="121">
        <v>0</v>
      </c>
      <c r="G3874" s="121">
        <v>0</v>
      </c>
      <c r="H3874" s="121">
        <v>0</v>
      </c>
      <c r="I3874" s="121">
        <v>0</v>
      </c>
      <c r="J3874" s="121">
        <v>0</v>
      </c>
    </row>
    <row r="3875" spans="1:10">
      <c r="A3875" s="110" t="s">
        <v>102</v>
      </c>
      <c r="B3875" s="110" t="s">
        <v>123</v>
      </c>
      <c r="C3875" s="111">
        <v>0.48125000000000001</v>
      </c>
      <c r="D3875" s="121">
        <v>0</v>
      </c>
      <c r="E3875" s="121">
        <v>0</v>
      </c>
      <c r="F3875" s="121">
        <v>0</v>
      </c>
      <c r="G3875" s="121">
        <v>0</v>
      </c>
      <c r="H3875" s="121">
        <v>0</v>
      </c>
      <c r="I3875" s="121">
        <v>0</v>
      </c>
      <c r="J3875" s="121">
        <v>0</v>
      </c>
    </row>
    <row r="3876" spans="1:10">
      <c r="A3876" s="110" t="s">
        <v>102</v>
      </c>
      <c r="B3876" s="110" t="s">
        <v>123</v>
      </c>
      <c r="C3876" s="111">
        <v>0.48194444444444401</v>
      </c>
      <c r="D3876" s="121">
        <v>0</v>
      </c>
      <c r="E3876" s="121">
        <v>0</v>
      </c>
      <c r="F3876" s="121">
        <v>0</v>
      </c>
      <c r="G3876" s="121">
        <v>0</v>
      </c>
      <c r="H3876" s="121">
        <v>0</v>
      </c>
      <c r="I3876" s="121">
        <v>0</v>
      </c>
      <c r="J3876" s="121">
        <v>0</v>
      </c>
    </row>
    <row r="3877" spans="1:10">
      <c r="A3877" s="110" t="s">
        <v>102</v>
      </c>
      <c r="B3877" s="110" t="s">
        <v>123</v>
      </c>
      <c r="C3877" s="111">
        <v>0.48263888888888901</v>
      </c>
      <c r="D3877" s="121">
        <v>0</v>
      </c>
      <c r="E3877" s="121">
        <v>0</v>
      </c>
      <c r="F3877" s="121">
        <v>0</v>
      </c>
      <c r="G3877" s="121">
        <v>0</v>
      </c>
      <c r="H3877" s="121">
        <v>0</v>
      </c>
      <c r="I3877" s="121">
        <v>0</v>
      </c>
      <c r="J3877" s="121">
        <v>0</v>
      </c>
    </row>
    <row r="3878" spans="1:10">
      <c r="A3878" s="110" t="s">
        <v>102</v>
      </c>
      <c r="B3878" s="110" t="s">
        <v>123</v>
      </c>
      <c r="C3878" s="111">
        <v>0.483333333333333</v>
      </c>
      <c r="D3878" s="121">
        <v>0</v>
      </c>
      <c r="E3878" s="121">
        <v>0</v>
      </c>
      <c r="F3878" s="121">
        <v>0</v>
      </c>
      <c r="G3878" s="121">
        <v>0</v>
      </c>
      <c r="H3878" s="121">
        <v>0</v>
      </c>
      <c r="I3878" s="121">
        <v>0</v>
      </c>
      <c r="J3878" s="121">
        <v>0</v>
      </c>
    </row>
    <row r="3879" spans="1:10">
      <c r="A3879" s="110" t="s">
        <v>102</v>
      </c>
      <c r="B3879" s="110" t="s">
        <v>123</v>
      </c>
      <c r="C3879" s="111">
        <v>0.484027777777778</v>
      </c>
      <c r="D3879" s="121">
        <v>0</v>
      </c>
      <c r="E3879" s="121">
        <v>0</v>
      </c>
      <c r="F3879" s="121">
        <v>0</v>
      </c>
      <c r="G3879" s="121">
        <v>0</v>
      </c>
      <c r="H3879" s="121">
        <v>0</v>
      </c>
      <c r="I3879" s="121">
        <v>0</v>
      </c>
      <c r="J3879" s="121">
        <v>0</v>
      </c>
    </row>
    <row r="3880" spans="1:10">
      <c r="A3880" s="110" t="s">
        <v>102</v>
      </c>
      <c r="B3880" s="110" t="s">
        <v>123</v>
      </c>
      <c r="C3880" s="111">
        <v>0.484722222222222</v>
      </c>
      <c r="D3880" s="121">
        <v>0</v>
      </c>
      <c r="E3880" s="121">
        <v>0</v>
      </c>
      <c r="F3880" s="121">
        <v>0</v>
      </c>
      <c r="G3880" s="121">
        <v>0</v>
      </c>
      <c r="H3880" s="121">
        <v>0</v>
      </c>
      <c r="I3880" s="121">
        <v>0</v>
      </c>
      <c r="J3880" s="121">
        <v>0</v>
      </c>
    </row>
    <row r="3881" spans="1:10">
      <c r="A3881" s="110" t="s">
        <v>102</v>
      </c>
      <c r="B3881" s="110" t="s">
        <v>123</v>
      </c>
      <c r="C3881" s="111">
        <v>0.485416666666666</v>
      </c>
      <c r="D3881" s="121">
        <v>0</v>
      </c>
      <c r="E3881" s="121">
        <v>0</v>
      </c>
      <c r="F3881" s="121">
        <v>0</v>
      </c>
      <c r="G3881" s="121">
        <v>0</v>
      </c>
      <c r="H3881" s="121">
        <v>0</v>
      </c>
      <c r="I3881" s="121">
        <v>0</v>
      </c>
      <c r="J3881" s="121">
        <v>0</v>
      </c>
    </row>
    <row r="3882" spans="1:10">
      <c r="A3882" s="110" t="s">
        <v>102</v>
      </c>
      <c r="B3882" s="110" t="s">
        <v>123</v>
      </c>
      <c r="C3882" s="111">
        <v>0.48611111111111099</v>
      </c>
      <c r="D3882" s="121">
        <v>0</v>
      </c>
      <c r="E3882" s="121">
        <v>0</v>
      </c>
      <c r="F3882" s="121">
        <v>0</v>
      </c>
      <c r="G3882" s="121">
        <v>0</v>
      </c>
      <c r="H3882" s="121">
        <v>0</v>
      </c>
      <c r="I3882" s="121">
        <v>0</v>
      </c>
      <c r="J3882" s="121">
        <v>0</v>
      </c>
    </row>
    <row r="3883" spans="1:10">
      <c r="A3883" s="110" t="s">
        <v>102</v>
      </c>
      <c r="B3883" s="110" t="s">
        <v>123</v>
      </c>
      <c r="C3883" s="111">
        <v>0.48680555555555499</v>
      </c>
      <c r="D3883" s="121">
        <v>0</v>
      </c>
      <c r="E3883" s="121">
        <v>0</v>
      </c>
      <c r="F3883" s="121">
        <v>0</v>
      </c>
      <c r="G3883" s="121">
        <v>0</v>
      </c>
      <c r="H3883" s="121">
        <v>0</v>
      </c>
      <c r="I3883" s="121">
        <v>0</v>
      </c>
      <c r="J3883" s="121">
        <v>0</v>
      </c>
    </row>
    <row r="3884" spans="1:10">
      <c r="A3884" s="110" t="s">
        <v>102</v>
      </c>
      <c r="B3884" s="110" t="s">
        <v>123</v>
      </c>
      <c r="C3884" s="111">
        <v>0.48749999999999999</v>
      </c>
      <c r="D3884" s="121">
        <v>0</v>
      </c>
      <c r="E3884" s="121">
        <v>0</v>
      </c>
      <c r="F3884" s="121">
        <v>0</v>
      </c>
      <c r="G3884" s="121">
        <v>0</v>
      </c>
      <c r="H3884" s="121">
        <v>0</v>
      </c>
      <c r="I3884" s="121">
        <v>0</v>
      </c>
      <c r="J3884" s="121">
        <v>0</v>
      </c>
    </row>
    <row r="3885" spans="1:10">
      <c r="A3885" s="110" t="s">
        <v>102</v>
      </c>
      <c r="B3885" s="110" t="s">
        <v>123</v>
      </c>
      <c r="C3885" s="111">
        <v>0.48819444444444399</v>
      </c>
      <c r="D3885" s="121">
        <v>0</v>
      </c>
      <c r="E3885" s="121">
        <v>0</v>
      </c>
      <c r="F3885" s="121">
        <v>0</v>
      </c>
      <c r="G3885" s="121">
        <v>0</v>
      </c>
      <c r="H3885" s="121">
        <v>0</v>
      </c>
      <c r="I3885" s="121">
        <v>0</v>
      </c>
      <c r="J3885" s="121">
        <v>0</v>
      </c>
    </row>
    <row r="3886" spans="1:10" s="80" customFormat="1">
      <c r="A3886" s="112" t="s">
        <v>102</v>
      </c>
      <c r="B3886" s="112" t="s">
        <v>123</v>
      </c>
      <c r="C3886" s="113">
        <v>0.48888888888888898</v>
      </c>
      <c r="D3886" s="122">
        <v>0</v>
      </c>
      <c r="E3886" s="122">
        <v>0</v>
      </c>
      <c r="F3886" s="122">
        <v>0</v>
      </c>
      <c r="G3886" s="122">
        <v>0</v>
      </c>
      <c r="H3886" s="122">
        <v>0</v>
      </c>
      <c r="I3886" s="122">
        <v>0</v>
      </c>
      <c r="J3886" s="122">
        <v>0</v>
      </c>
    </row>
    <row r="3887" spans="1:10">
      <c r="A3887" s="110" t="s">
        <v>102</v>
      </c>
      <c r="B3887" s="110" t="s">
        <v>123</v>
      </c>
      <c r="C3887" s="111">
        <v>0.48958333333333298</v>
      </c>
      <c r="D3887" s="120">
        <v>0</v>
      </c>
      <c r="E3887" s="120">
        <v>0</v>
      </c>
      <c r="F3887" s="120">
        <v>0</v>
      </c>
      <c r="G3887" s="120">
        <v>0</v>
      </c>
      <c r="H3887" s="120">
        <v>0</v>
      </c>
      <c r="I3887" s="120">
        <v>0</v>
      </c>
      <c r="J3887" s="120">
        <v>0</v>
      </c>
    </row>
    <row r="3888" spans="1:10">
      <c r="A3888" s="110" t="s">
        <v>102</v>
      </c>
      <c r="B3888" s="110" t="s">
        <v>123</v>
      </c>
      <c r="C3888" s="111">
        <v>0.49027777777777798</v>
      </c>
      <c r="D3888" s="121">
        <v>0</v>
      </c>
      <c r="E3888" s="121">
        <v>0</v>
      </c>
      <c r="F3888" s="121">
        <v>0</v>
      </c>
      <c r="G3888" s="121">
        <v>0</v>
      </c>
      <c r="H3888" s="121">
        <v>0</v>
      </c>
      <c r="I3888" s="121">
        <v>0</v>
      </c>
      <c r="J3888" s="121">
        <v>0</v>
      </c>
    </row>
    <row r="3889" spans="1:10">
      <c r="A3889" s="110" t="s">
        <v>102</v>
      </c>
      <c r="B3889" s="110" t="s">
        <v>123</v>
      </c>
      <c r="C3889" s="111">
        <v>0.49097222222222198</v>
      </c>
      <c r="D3889" s="121">
        <v>0</v>
      </c>
      <c r="E3889" s="121">
        <v>0</v>
      </c>
      <c r="F3889" s="121">
        <v>0</v>
      </c>
      <c r="G3889" s="121">
        <v>0</v>
      </c>
      <c r="H3889" s="121">
        <v>0</v>
      </c>
      <c r="I3889" s="121">
        <v>0</v>
      </c>
      <c r="J3889" s="121">
        <v>0</v>
      </c>
    </row>
    <row r="3890" spans="1:10">
      <c r="A3890" s="110" t="s">
        <v>102</v>
      </c>
      <c r="B3890" s="110" t="s">
        <v>123</v>
      </c>
      <c r="C3890" s="111">
        <v>0.49166666666666697</v>
      </c>
      <c r="D3890" s="121">
        <v>0</v>
      </c>
      <c r="E3890" s="121">
        <v>0</v>
      </c>
      <c r="F3890" s="121">
        <v>0</v>
      </c>
      <c r="G3890" s="121">
        <v>0</v>
      </c>
      <c r="H3890" s="121">
        <v>0</v>
      </c>
      <c r="I3890" s="121">
        <v>0</v>
      </c>
      <c r="J3890" s="121">
        <v>0</v>
      </c>
    </row>
    <row r="3891" spans="1:10">
      <c r="A3891" s="110" t="s">
        <v>102</v>
      </c>
      <c r="B3891" s="110" t="s">
        <v>123</v>
      </c>
      <c r="C3891" s="111">
        <v>0.49236111111111103</v>
      </c>
      <c r="D3891" s="121">
        <v>0</v>
      </c>
      <c r="E3891" s="121">
        <v>0</v>
      </c>
      <c r="F3891" s="121">
        <v>0</v>
      </c>
      <c r="G3891" s="121">
        <v>0</v>
      </c>
      <c r="H3891" s="121">
        <v>0</v>
      </c>
      <c r="I3891" s="121">
        <v>0</v>
      </c>
      <c r="J3891" s="121">
        <v>0</v>
      </c>
    </row>
    <row r="3892" spans="1:10">
      <c r="A3892" s="110" t="s">
        <v>102</v>
      </c>
      <c r="B3892" s="110" t="s">
        <v>123</v>
      </c>
      <c r="C3892" s="111">
        <v>0.49305555555555503</v>
      </c>
      <c r="D3892" s="121">
        <v>0</v>
      </c>
      <c r="E3892" s="121">
        <v>0</v>
      </c>
      <c r="F3892" s="121">
        <v>0</v>
      </c>
      <c r="G3892" s="121">
        <v>0</v>
      </c>
      <c r="H3892" s="121">
        <v>0</v>
      </c>
      <c r="I3892" s="121">
        <v>0</v>
      </c>
      <c r="J3892" s="121">
        <v>0</v>
      </c>
    </row>
    <row r="3893" spans="1:10">
      <c r="A3893" s="110" t="s">
        <v>102</v>
      </c>
      <c r="B3893" s="110" t="s">
        <v>123</v>
      </c>
      <c r="C3893" s="111">
        <v>0.49375000000000002</v>
      </c>
      <c r="D3893" s="121">
        <v>0</v>
      </c>
      <c r="E3893" s="121">
        <v>0</v>
      </c>
      <c r="F3893" s="121">
        <v>0</v>
      </c>
      <c r="G3893" s="121">
        <v>0</v>
      </c>
      <c r="H3893" s="121">
        <v>0</v>
      </c>
      <c r="I3893" s="121">
        <v>0</v>
      </c>
      <c r="J3893" s="121">
        <v>0</v>
      </c>
    </row>
    <row r="3894" spans="1:10">
      <c r="A3894" s="110" t="s">
        <v>102</v>
      </c>
      <c r="B3894" s="110" t="s">
        <v>123</v>
      </c>
      <c r="C3894" s="111">
        <v>0.49444444444444402</v>
      </c>
      <c r="D3894" s="121">
        <v>0</v>
      </c>
      <c r="E3894" s="121">
        <v>0</v>
      </c>
      <c r="F3894" s="121">
        <v>0</v>
      </c>
      <c r="G3894" s="121">
        <v>0</v>
      </c>
      <c r="H3894" s="121">
        <v>0</v>
      </c>
      <c r="I3894" s="121">
        <v>0</v>
      </c>
      <c r="J3894" s="121">
        <v>0</v>
      </c>
    </row>
    <row r="3895" spans="1:10">
      <c r="A3895" s="110" t="s">
        <v>102</v>
      </c>
      <c r="B3895" s="110" t="s">
        <v>123</v>
      </c>
      <c r="C3895" s="111">
        <v>0.49513888888888902</v>
      </c>
      <c r="D3895" s="121">
        <v>0</v>
      </c>
      <c r="E3895" s="121">
        <v>0</v>
      </c>
      <c r="F3895" s="121">
        <v>0</v>
      </c>
      <c r="G3895" s="121">
        <v>0</v>
      </c>
      <c r="H3895" s="121">
        <v>0</v>
      </c>
      <c r="I3895" s="121">
        <v>0</v>
      </c>
      <c r="J3895" s="121">
        <v>0</v>
      </c>
    </row>
    <row r="3896" spans="1:10">
      <c r="A3896" s="110" t="s">
        <v>102</v>
      </c>
      <c r="B3896" s="110" t="s">
        <v>123</v>
      </c>
      <c r="C3896" s="111">
        <v>0.49583333333333302</v>
      </c>
      <c r="D3896" s="121">
        <v>0</v>
      </c>
      <c r="E3896" s="121">
        <v>0</v>
      </c>
      <c r="F3896" s="121">
        <v>0</v>
      </c>
      <c r="G3896" s="121">
        <v>0</v>
      </c>
      <c r="H3896" s="121">
        <v>0</v>
      </c>
      <c r="I3896" s="121">
        <v>0</v>
      </c>
      <c r="J3896" s="121">
        <v>0</v>
      </c>
    </row>
    <row r="3897" spans="1:10">
      <c r="A3897" s="110" t="s">
        <v>102</v>
      </c>
      <c r="B3897" s="110" t="s">
        <v>123</v>
      </c>
      <c r="C3897" s="111">
        <v>0.49652777777777801</v>
      </c>
      <c r="D3897" s="121">
        <v>0</v>
      </c>
      <c r="E3897" s="121">
        <v>0</v>
      </c>
      <c r="F3897" s="121">
        <v>0</v>
      </c>
      <c r="G3897" s="121">
        <v>0</v>
      </c>
      <c r="H3897" s="121">
        <v>0</v>
      </c>
      <c r="I3897" s="121">
        <v>0</v>
      </c>
      <c r="J3897" s="121">
        <v>0</v>
      </c>
    </row>
    <row r="3898" spans="1:10">
      <c r="A3898" s="110" t="s">
        <v>102</v>
      </c>
      <c r="B3898" s="110" t="s">
        <v>123</v>
      </c>
      <c r="C3898" s="111">
        <v>0.49722222222222201</v>
      </c>
      <c r="D3898" s="121">
        <v>0</v>
      </c>
      <c r="E3898" s="121">
        <v>0</v>
      </c>
      <c r="F3898" s="121">
        <v>0</v>
      </c>
      <c r="G3898" s="121">
        <v>0</v>
      </c>
      <c r="H3898" s="121">
        <v>0</v>
      </c>
      <c r="I3898" s="121">
        <v>0</v>
      </c>
      <c r="J3898" s="121">
        <v>0</v>
      </c>
    </row>
    <row r="3899" spans="1:10">
      <c r="A3899" s="110" t="s">
        <v>102</v>
      </c>
      <c r="B3899" s="110" t="s">
        <v>123</v>
      </c>
      <c r="C3899" s="111">
        <v>0.49791666666666701</v>
      </c>
      <c r="D3899" s="121">
        <v>0</v>
      </c>
      <c r="E3899" s="121">
        <v>0</v>
      </c>
      <c r="F3899" s="121">
        <v>0</v>
      </c>
      <c r="G3899" s="121">
        <v>0</v>
      </c>
      <c r="H3899" s="121">
        <v>0</v>
      </c>
      <c r="I3899" s="121">
        <v>0</v>
      </c>
      <c r="J3899" s="121">
        <v>0</v>
      </c>
    </row>
    <row r="3900" spans="1:10">
      <c r="A3900" s="110" t="s">
        <v>102</v>
      </c>
      <c r="B3900" s="110" t="s">
        <v>123</v>
      </c>
      <c r="C3900" s="111">
        <v>0.49861111111111101</v>
      </c>
      <c r="D3900" s="121">
        <v>0</v>
      </c>
      <c r="E3900" s="121">
        <v>0</v>
      </c>
      <c r="F3900" s="121">
        <v>0</v>
      </c>
      <c r="G3900" s="121">
        <v>0</v>
      </c>
      <c r="H3900" s="121">
        <v>0</v>
      </c>
      <c r="I3900" s="121">
        <v>0</v>
      </c>
      <c r="J3900" s="121">
        <v>0</v>
      </c>
    </row>
    <row r="3901" spans="1:10" s="28" customFormat="1" ht="17.5" thickBot="1">
      <c r="A3901" s="116" t="s">
        <v>102</v>
      </c>
      <c r="B3901" s="116" t="s">
        <v>123</v>
      </c>
      <c r="C3901" s="117">
        <v>0.499305555555555</v>
      </c>
      <c r="D3901" s="123">
        <v>0</v>
      </c>
      <c r="E3901" s="123">
        <v>0</v>
      </c>
      <c r="F3901" s="123">
        <v>0</v>
      </c>
      <c r="G3901" s="123">
        <v>0</v>
      </c>
      <c r="H3901" s="123">
        <v>0</v>
      </c>
      <c r="I3901" s="123">
        <v>0</v>
      </c>
      <c r="J3901" s="123">
        <v>0</v>
      </c>
    </row>
    <row r="3902" spans="1:10">
      <c r="A3902" s="110" t="s">
        <v>102</v>
      </c>
      <c r="B3902" s="110" t="s">
        <v>126</v>
      </c>
      <c r="C3902" s="111">
        <v>0.45833333333333331</v>
      </c>
      <c r="D3902" s="124">
        <v>0</v>
      </c>
      <c r="E3902" s="124">
        <v>0</v>
      </c>
      <c r="F3902" s="124">
        <v>0</v>
      </c>
      <c r="G3902" s="124">
        <v>0</v>
      </c>
      <c r="H3902" s="124">
        <v>0</v>
      </c>
      <c r="I3902" s="124">
        <v>0</v>
      </c>
      <c r="J3902" s="124">
        <v>0</v>
      </c>
    </row>
    <row r="3903" spans="1:10">
      <c r="A3903" s="110" t="s">
        <v>102</v>
      </c>
      <c r="B3903" s="110" t="s">
        <v>125</v>
      </c>
      <c r="C3903" s="111">
        <v>0.45902777777777776</v>
      </c>
      <c r="D3903" s="121">
        <v>0</v>
      </c>
      <c r="E3903" s="121">
        <v>0</v>
      </c>
      <c r="F3903" s="121">
        <v>0</v>
      </c>
      <c r="G3903" s="121">
        <v>0</v>
      </c>
      <c r="H3903" s="121">
        <v>0</v>
      </c>
      <c r="I3903" s="121">
        <v>0</v>
      </c>
      <c r="J3903" s="121">
        <v>0</v>
      </c>
    </row>
    <row r="3904" spans="1:10">
      <c r="A3904" s="110" t="s">
        <v>102</v>
      </c>
      <c r="B3904" s="110" t="s">
        <v>125</v>
      </c>
      <c r="C3904" s="111">
        <v>0.45972222222222198</v>
      </c>
      <c r="D3904" s="121">
        <v>0</v>
      </c>
      <c r="E3904" s="121">
        <v>0</v>
      </c>
      <c r="F3904" s="121">
        <v>0</v>
      </c>
      <c r="G3904" s="121">
        <v>0</v>
      </c>
      <c r="H3904" s="121">
        <v>0</v>
      </c>
      <c r="I3904" s="121">
        <v>0</v>
      </c>
      <c r="J3904" s="121">
        <v>0</v>
      </c>
    </row>
    <row r="3905" spans="1:10">
      <c r="A3905" s="110" t="s">
        <v>102</v>
      </c>
      <c r="B3905" s="110" t="s">
        <v>125</v>
      </c>
      <c r="C3905" s="111">
        <v>0.46041666666666697</v>
      </c>
      <c r="D3905" s="121">
        <v>0</v>
      </c>
      <c r="E3905" s="121">
        <v>0</v>
      </c>
      <c r="F3905" s="121">
        <v>0</v>
      </c>
      <c r="G3905" s="121">
        <v>0</v>
      </c>
      <c r="H3905" s="121">
        <v>0</v>
      </c>
      <c r="I3905" s="121">
        <v>0</v>
      </c>
      <c r="J3905" s="121">
        <v>0</v>
      </c>
    </row>
    <row r="3906" spans="1:10">
      <c r="A3906" s="110" t="s">
        <v>102</v>
      </c>
      <c r="B3906" s="110" t="s">
        <v>125</v>
      </c>
      <c r="C3906" s="111">
        <v>0.46111111111111103</v>
      </c>
      <c r="D3906" s="121">
        <v>0</v>
      </c>
      <c r="E3906" s="121">
        <v>0</v>
      </c>
      <c r="F3906" s="121">
        <v>0</v>
      </c>
      <c r="G3906" s="121">
        <v>0</v>
      </c>
      <c r="H3906" s="121">
        <v>0</v>
      </c>
      <c r="I3906" s="121">
        <v>0</v>
      </c>
      <c r="J3906" s="121">
        <v>0</v>
      </c>
    </row>
    <row r="3907" spans="1:10">
      <c r="A3907" s="110" t="s">
        <v>102</v>
      </c>
      <c r="B3907" s="110" t="s">
        <v>125</v>
      </c>
      <c r="C3907" s="111">
        <v>0.46180555555555602</v>
      </c>
      <c r="D3907" s="121">
        <v>0</v>
      </c>
      <c r="E3907" s="121">
        <v>0</v>
      </c>
      <c r="F3907" s="121">
        <v>0</v>
      </c>
      <c r="G3907" s="121">
        <v>0</v>
      </c>
      <c r="H3907" s="121">
        <v>0</v>
      </c>
      <c r="I3907" s="121">
        <v>0</v>
      </c>
      <c r="J3907" s="121">
        <v>0</v>
      </c>
    </row>
    <row r="3908" spans="1:10">
      <c r="A3908" s="110" t="s">
        <v>102</v>
      </c>
      <c r="B3908" s="110" t="s">
        <v>125</v>
      </c>
      <c r="C3908" s="111">
        <v>0.46250000000000002</v>
      </c>
      <c r="D3908" s="121">
        <v>0</v>
      </c>
      <c r="E3908" s="121">
        <v>0</v>
      </c>
      <c r="F3908" s="121">
        <v>0</v>
      </c>
      <c r="G3908" s="121">
        <v>0</v>
      </c>
      <c r="H3908" s="121">
        <v>0</v>
      </c>
      <c r="I3908" s="121">
        <v>0</v>
      </c>
      <c r="J3908" s="121">
        <v>0</v>
      </c>
    </row>
    <row r="3909" spans="1:10">
      <c r="A3909" s="110" t="s">
        <v>102</v>
      </c>
      <c r="B3909" s="110" t="s">
        <v>125</v>
      </c>
      <c r="C3909" s="111">
        <v>0.46319444444444402</v>
      </c>
      <c r="D3909" s="121">
        <v>0</v>
      </c>
      <c r="E3909" s="121">
        <v>0</v>
      </c>
      <c r="F3909" s="121">
        <v>0</v>
      </c>
      <c r="G3909" s="121">
        <v>0</v>
      </c>
      <c r="H3909" s="121">
        <v>0</v>
      </c>
      <c r="I3909" s="121">
        <v>0</v>
      </c>
      <c r="J3909" s="121">
        <v>0</v>
      </c>
    </row>
    <row r="3910" spans="1:10">
      <c r="A3910" s="110" t="s">
        <v>102</v>
      </c>
      <c r="B3910" s="110" t="s">
        <v>125</v>
      </c>
      <c r="C3910" s="111">
        <v>0.46388888888888902</v>
      </c>
      <c r="D3910" s="121">
        <v>0</v>
      </c>
      <c r="E3910" s="121">
        <v>0</v>
      </c>
      <c r="F3910" s="121">
        <v>0</v>
      </c>
      <c r="G3910" s="121">
        <v>0</v>
      </c>
      <c r="H3910" s="121">
        <v>0</v>
      </c>
      <c r="I3910" s="121">
        <v>0</v>
      </c>
      <c r="J3910" s="121">
        <v>0</v>
      </c>
    </row>
    <row r="3911" spans="1:10">
      <c r="A3911" s="110" t="s">
        <v>102</v>
      </c>
      <c r="B3911" s="110" t="s">
        <v>125</v>
      </c>
      <c r="C3911" s="111">
        <v>0.46458333333333302</v>
      </c>
      <c r="D3911" s="121">
        <v>0</v>
      </c>
      <c r="E3911" s="121">
        <v>0</v>
      </c>
      <c r="F3911" s="121">
        <v>0</v>
      </c>
      <c r="G3911" s="121">
        <v>0</v>
      </c>
      <c r="H3911" s="121">
        <v>0</v>
      </c>
      <c r="I3911" s="121">
        <v>0</v>
      </c>
      <c r="J3911" s="121">
        <v>0</v>
      </c>
    </row>
    <row r="3912" spans="1:10">
      <c r="A3912" s="110" t="s">
        <v>102</v>
      </c>
      <c r="B3912" s="110" t="s">
        <v>125</v>
      </c>
      <c r="C3912" s="111">
        <v>0.46527777777777801</v>
      </c>
      <c r="D3912" s="121">
        <v>0</v>
      </c>
      <c r="E3912" s="121">
        <v>0</v>
      </c>
      <c r="F3912" s="121">
        <v>0</v>
      </c>
      <c r="G3912" s="121">
        <v>0</v>
      </c>
      <c r="H3912" s="121">
        <v>0</v>
      </c>
      <c r="I3912" s="121">
        <v>0</v>
      </c>
      <c r="J3912" s="121">
        <v>0</v>
      </c>
    </row>
    <row r="3913" spans="1:10">
      <c r="A3913" s="110" t="s">
        <v>102</v>
      </c>
      <c r="B3913" s="110" t="s">
        <v>125</v>
      </c>
      <c r="C3913" s="111">
        <v>0.46597222222222201</v>
      </c>
      <c r="D3913" s="121">
        <v>0</v>
      </c>
      <c r="E3913" s="121">
        <v>0</v>
      </c>
      <c r="F3913" s="121">
        <v>0</v>
      </c>
      <c r="G3913" s="121">
        <v>0</v>
      </c>
      <c r="H3913" s="121">
        <v>0</v>
      </c>
      <c r="I3913" s="121">
        <v>0</v>
      </c>
      <c r="J3913" s="121">
        <v>0</v>
      </c>
    </row>
    <row r="3914" spans="1:10">
      <c r="A3914" s="110" t="s">
        <v>102</v>
      </c>
      <c r="B3914" s="110" t="s">
        <v>125</v>
      </c>
      <c r="C3914" s="111">
        <v>0.46666666666666701</v>
      </c>
      <c r="D3914" s="121">
        <v>0</v>
      </c>
      <c r="E3914" s="121">
        <v>0</v>
      </c>
      <c r="F3914" s="121">
        <v>0</v>
      </c>
      <c r="G3914" s="121">
        <v>0</v>
      </c>
      <c r="H3914" s="121">
        <v>0</v>
      </c>
      <c r="I3914" s="121">
        <v>0</v>
      </c>
      <c r="J3914" s="121">
        <v>0</v>
      </c>
    </row>
    <row r="3915" spans="1:10">
      <c r="A3915" s="110" t="s">
        <v>102</v>
      </c>
      <c r="B3915" s="110" t="s">
        <v>125</v>
      </c>
      <c r="C3915" s="111">
        <v>0.46736111111111101</v>
      </c>
      <c r="D3915" s="121">
        <v>0</v>
      </c>
      <c r="E3915" s="121">
        <v>0</v>
      </c>
      <c r="F3915" s="121">
        <v>0</v>
      </c>
      <c r="G3915" s="121">
        <v>0</v>
      </c>
      <c r="H3915" s="121">
        <v>0</v>
      </c>
      <c r="I3915" s="121">
        <v>0</v>
      </c>
      <c r="J3915" s="121">
        <v>0</v>
      </c>
    </row>
    <row r="3916" spans="1:10" s="80" customFormat="1">
      <c r="A3916" s="112" t="s">
        <v>102</v>
      </c>
      <c r="B3916" s="112" t="s">
        <v>125</v>
      </c>
      <c r="C3916" s="113">
        <v>0.468055555555556</v>
      </c>
      <c r="D3916" s="121">
        <v>0</v>
      </c>
      <c r="E3916" s="121">
        <v>0</v>
      </c>
      <c r="F3916" s="121">
        <v>0</v>
      </c>
      <c r="G3916" s="121">
        <v>0</v>
      </c>
      <c r="H3916" s="121">
        <v>0</v>
      </c>
      <c r="I3916" s="121">
        <v>0</v>
      </c>
      <c r="J3916" s="121">
        <v>0</v>
      </c>
    </row>
    <row r="3917" spans="1:10">
      <c r="A3917" s="110" t="s">
        <v>102</v>
      </c>
      <c r="B3917" s="110" t="s">
        <v>125</v>
      </c>
      <c r="C3917" s="111">
        <v>0.46875</v>
      </c>
      <c r="D3917" s="120">
        <v>0</v>
      </c>
      <c r="E3917" s="120">
        <v>0</v>
      </c>
      <c r="F3917" s="120">
        <v>0</v>
      </c>
      <c r="G3917" s="120">
        <v>0</v>
      </c>
      <c r="H3917" s="120">
        <v>0</v>
      </c>
      <c r="I3917" s="120">
        <v>0</v>
      </c>
      <c r="J3917" s="120">
        <v>0</v>
      </c>
    </row>
    <row r="3918" spans="1:10">
      <c r="A3918" s="110" t="s">
        <v>102</v>
      </c>
      <c r="B3918" s="110" t="s">
        <v>125</v>
      </c>
      <c r="C3918" s="111">
        <v>0.469444444444444</v>
      </c>
      <c r="D3918" s="121">
        <v>0</v>
      </c>
      <c r="E3918" s="121">
        <v>0</v>
      </c>
      <c r="F3918" s="121">
        <v>0</v>
      </c>
      <c r="G3918" s="121">
        <v>0</v>
      </c>
      <c r="H3918" s="121">
        <v>0</v>
      </c>
      <c r="I3918" s="121">
        <v>0</v>
      </c>
      <c r="J3918" s="121">
        <v>0</v>
      </c>
    </row>
    <row r="3919" spans="1:10">
      <c r="A3919" s="110" t="s">
        <v>102</v>
      </c>
      <c r="B3919" s="110" t="s">
        <v>125</v>
      </c>
      <c r="C3919" s="111">
        <v>0.47013888888888899</v>
      </c>
      <c r="D3919" s="121">
        <v>0</v>
      </c>
      <c r="E3919" s="121">
        <v>0</v>
      </c>
      <c r="F3919" s="121">
        <v>0</v>
      </c>
      <c r="G3919" s="121">
        <v>0</v>
      </c>
      <c r="H3919" s="121">
        <v>0</v>
      </c>
      <c r="I3919" s="121">
        <v>0</v>
      </c>
      <c r="J3919" s="121">
        <v>0</v>
      </c>
    </row>
    <row r="3920" spans="1:10">
      <c r="A3920" s="110" t="s">
        <v>102</v>
      </c>
      <c r="B3920" s="110" t="s">
        <v>125</v>
      </c>
      <c r="C3920" s="111">
        <v>0.47083333333333299</v>
      </c>
      <c r="D3920" s="121">
        <v>0</v>
      </c>
      <c r="E3920" s="121">
        <v>0</v>
      </c>
      <c r="F3920" s="121">
        <v>0</v>
      </c>
      <c r="G3920" s="121">
        <v>0</v>
      </c>
      <c r="H3920" s="121">
        <v>0</v>
      </c>
      <c r="I3920" s="121">
        <v>0</v>
      </c>
      <c r="J3920" s="121">
        <v>0</v>
      </c>
    </row>
    <row r="3921" spans="1:10">
      <c r="A3921" s="110" t="s">
        <v>102</v>
      </c>
      <c r="B3921" s="110" t="s">
        <v>125</v>
      </c>
      <c r="C3921" s="111">
        <v>0.47152777777777799</v>
      </c>
      <c r="D3921" s="121">
        <v>0</v>
      </c>
      <c r="E3921" s="121">
        <v>0</v>
      </c>
      <c r="F3921" s="121">
        <v>0</v>
      </c>
      <c r="G3921" s="121">
        <v>0</v>
      </c>
      <c r="H3921" s="121">
        <v>0</v>
      </c>
      <c r="I3921" s="121">
        <v>0</v>
      </c>
      <c r="J3921" s="121">
        <v>0</v>
      </c>
    </row>
    <row r="3922" spans="1:10">
      <c r="A3922" s="110" t="s">
        <v>102</v>
      </c>
      <c r="B3922" s="110" t="s">
        <v>125</v>
      </c>
      <c r="C3922" s="111">
        <v>0.47222222222222199</v>
      </c>
      <c r="D3922" s="121">
        <v>0</v>
      </c>
      <c r="E3922" s="121">
        <v>0</v>
      </c>
      <c r="F3922" s="121">
        <v>0</v>
      </c>
      <c r="G3922" s="121">
        <v>0</v>
      </c>
      <c r="H3922" s="121">
        <v>0</v>
      </c>
      <c r="I3922" s="121">
        <v>0</v>
      </c>
      <c r="J3922" s="121">
        <v>0</v>
      </c>
    </row>
    <row r="3923" spans="1:10">
      <c r="A3923" s="110" t="s">
        <v>102</v>
      </c>
      <c r="B3923" s="110" t="s">
        <v>125</v>
      </c>
      <c r="C3923" s="111">
        <v>0.47291666666666698</v>
      </c>
      <c r="D3923" s="121">
        <v>0</v>
      </c>
      <c r="E3923" s="121">
        <v>0</v>
      </c>
      <c r="F3923" s="121">
        <v>0</v>
      </c>
      <c r="G3923" s="121">
        <v>0</v>
      </c>
      <c r="H3923" s="121">
        <v>0</v>
      </c>
      <c r="I3923" s="121">
        <v>0</v>
      </c>
      <c r="J3923" s="121">
        <v>0</v>
      </c>
    </row>
    <row r="3924" spans="1:10">
      <c r="A3924" s="110" t="s">
        <v>102</v>
      </c>
      <c r="B3924" s="110" t="s">
        <v>125</v>
      </c>
      <c r="C3924" s="111">
        <v>0.47361111111111098</v>
      </c>
      <c r="D3924" s="121">
        <v>0</v>
      </c>
      <c r="E3924" s="121">
        <v>0</v>
      </c>
      <c r="F3924" s="121">
        <v>0</v>
      </c>
      <c r="G3924" s="121">
        <v>0</v>
      </c>
      <c r="H3924" s="121">
        <v>0</v>
      </c>
      <c r="I3924" s="121">
        <v>0</v>
      </c>
      <c r="J3924" s="121">
        <v>0</v>
      </c>
    </row>
    <row r="3925" spans="1:10">
      <c r="A3925" s="110" t="s">
        <v>102</v>
      </c>
      <c r="B3925" s="110" t="s">
        <v>125</v>
      </c>
      <c r="C3925" s="111">
        <v>0.47430555555555598</v>
      </c>
      <c r="D3925" s="121">
        <v>0</v>
      </c>
      <c r="E3925" s="121">
        <v>0</v>
      </c>
      <c r="F3925" s="121">
        <v>0</v>
      </c>
      <c r="G3925" s="121">
        <v>0</v>
      </c>
      <c r="H3925" s="121">
        <v>0</v>
      </c>
      <c r="I3925" s="121">
        <v>0</v>
      </c>
      <c r="J3925" s="121">
        <v>0</v>
      </c>
    </row>
    <row r="3926" spans="1:10">
      <c r="A3926" s="110" t="s">
        <v>102</v>
      </c>
      <c r="B3926" s="110" t="s">
        <v>125</v>
      </c>
      <c r="C3926" s="111">
        <v>0.47499999999999998</v>
      </c>
      <c r="D3926" s="121">
        <v>0</v>
      </c>
      <c r="E3926" s="121">
        <v>0</v>
      </c>
      <c r="F3926" s="121">
        <v>0</v>
      </c>
      <c r="G3926" s="121">
        <v>0</v>
      </c>
      <c r="H3926" s="121">
        <v>0</v>
      </c>
      <c r="I3926" s="121">
        <v>0</v>
      </c>
      <c r="J3926" s="121">
        <v>0</v>
      </c>
    </row>
    <row r="3927" spans="1:10">
      <c r="A3927" s="110" t="s">
        <v>102</v>
      </c>
      <c r="B3927" s="110" t="s">
        <v>125</v>
      </c>
      <c r="C3927" s="111">
        <v>0.47569444444444398</v>
      </c>
      <c r="D3927" s="121">
        <v>0</v>
      </c>
      <c r="E3927" s="121">
        <v>0</v>
      </c>
      <c r="F3927" s="121">
        <v>0</v>
      </c>
      <c r="G3927" s="121">
        <v>0</v>
      </c>
      <c r="H3927" s="121">
        <v>0</v>
      </c>
      <c r="I3927" s="121">
        <v>0</v>
      </c>
      <c r="J3927" s="121">
        <v>0</v>
      </c>
    </row>
    <row r="3928" spans="1:10">
      <c r="A3928" s="110" t="s">
        <v>102</v>
      </c>
      <c r="B3928" s="110" t="s">
        <v>125</v>
      </c>
      <c r="C3928" s="111">
        <v>0.47638888888888897</v>
      </c>
      <c r="D3928" s="121">
        <v>0</v>
      </c>
      <c r="E3928" s="121">
        <v>0</v>
      </c>
      <c r="F3928" s="121">
        <v>0</v>
      </c>
      <c r="G3928" s="121">
        <v>0</v>
      </c>
      <c r="H3928" s="121">
        <v>0</v>
      </c>
      <c r="I3928" s="121">
        <v>0</v>
      </c>
      <c r="J3928" s="121">
        <v>0</v>
      </c>
    </row>
    <row r="3929" spans="1:10">
      <c r="A3929" s="110" t="s">
        <v>102</v>
      </c>
      <c r="B3929" s="110" t="s">
        <v>125</v>
      </c>
      <c r="C3929" s="111">
        <v>0.47708333333333303</v>
      </c>
      <c r="D3929" s="121">
        <v>0</v>
      </c>
      <c r="E3929" s="121">
        <v>0</v>
      </c>
      <c r="F3929" s="121">
        <v>0</v>
      </c>
      <c r="G3929" s="121">
        <v>0</v>
      </c>
      <c r="H3929" s="121">
        <v>0</v>
      </c>
      <c r="I3929" s="121">
        <v>0</v>
      </c>
      <c r="J3929" s="121">
        <v>0</v>
      </c>
    </row>
    <row r="3930" spans="1:10">
      <c r="A3930" s="110" t="s">
        <v>102</v>
      </c>
      <c r="B3930" s="110" t="s">
        <v>125</v>
      </c>
      <c r="C3930" s="111">
        <v>0.47777777777777802</v>
      </c>
      <c r="D3930" s="121">
        <v>0</v>
      </c>
      <c r="E3930" s="121">
        <v>0</v>
      </c>
      <c r="F3930" s="121">
        <v>0</v>
      </c>
      <c r="G3930" s="121">
        <v>0</v>
      </c>
      <c r="H3930" s="121">
        <v>0</v>
      </c>
      <c r="I3930" s="121">
        <v>0</v>
      </c>
      <c r="J3930" s="121">
        <v>0</v>
      </c>
    </row>
    <row r="3931" spans="1:10" s="80" customFormat="1">
      <c r="A3931" s="112" t="s">
        <v>102</v>
      </c>
      <c r="B3931" s="112" t="s">
        <v>125</v>
      </c>
      <c r="C3931" s="113">
        <v>0.47847222222222202</v>
      </c>
      <c r="D3931" s="122">
        <v>0</v>
      </c>
      <c r="E3931" s="122">
        <v>0</v>
      </c>
      <c r="F3931" s="122">
        <v>0</v>
      </c>
      <c r="G3931" s="122">
        <v>0</v>
      </c>
      <c r="H3931" s="122">
        <v>0</v>
      </c>
      <c r="I3931" s="122">
        <v>0</v>
      </c>
      <c r="J3931" s="122">
        <v>0</v>
      </c>
    </row>
    <row r="3932" spans="1:10">
      <c r="A3932" s="110" t="s">
        <v>102</v>
      </c>
      <c r="B3932" s="110" t="s">
        <v>125</v>
      </c>
      <c r="C3932" s="111">
        <v>0.47916666666666702</v>
      </c>
      <c r="D3932" s="120">
        <v>0</v>
      </c>
      <c r="E3932" s="120">
        <v>0</v>
      </c>
      <c r="F3932" s="120">
        <v>0</v>
      </c>
      <c r="G3932" s="120">
        <v>0</v>
      </c>
      <c r="H3932" s="120">
        <v>0</v>
      </c>
      <c r="I3932" s="120">
        <v>0</v>
      </c>
      <c r="J3932" s="120">
        <v>0</v>
      </c>
    </row>
    <row r="3933" spans="1:10">
      <c r="A3933" s="110" t="s">
        <v>102</v>
      </c>
      <c r="B3933" s="110" t="s">
        <v>125</v>
      </c>
      <c r="C3933" s="111">
        <v>0.47986111111111102</v>
      </c>
      <c r="D3933" s="121">
        <v>0</v>
      </c>
      <c r="E3933" s="121">
        <v>0</v>
      </c>
      <c r="F3933" s="121">
        <v>0</v>
      </c>
      <c r="G3933" s="121">
        <v>0</v>
      </c>
      <c r="H3933" s="121">
        <v>0</v>
      </c>
      <c r="I3933" s="121">
        <v>0</v>
      </c>
      <c r="J3933" s="121">
        <v>0</v>
      </c>
    </row>
    <row r="3934" spans="1:10">
      <c r="A3934" s="110" t="s">
        <v>102</v>
      </c>
      <c r="B3934" s="110" t="s">
        <v>125</v>
      </c>
      <c r="C3934" s="111">
        <v>0.48055555555555501</v>
      </c>
      <c r="D3934" s="121">
        <v>0</v>
      </c>
      <c r="E3934" s="121">
        <v>0</v>
      </c>
      <c r="F3934" s="121">
        <v>0</v>
      </c>
      <c r="G3934" s="121">
        <v>0</v>
      </c>
      <c r="H3934" s="121">
        <v>0</v>
      </c>
      <c r="I3934" s="121">
        <v>0</v>
      </c>
      <c r="J3934" s="121">
        <v>0</v>
      </c>
    </row>
    <row r="3935" spans="1:10">
      <c r="A3935" s="110" t="s">
        <v>102</v>
      </c>
      <c r="B3935" s="110" t="s">
        <v>125</v>
      </c>
      <c r="C3935" s="111">
        <v>0.48125000000000001</v>
      </c>
      <c r="D3935" s="121">
        <v>0</v>
      </c>
      <c r="E3935" s="121">
        <v>0</v>
      </c>
      <c r="F3935" s="121">
        <v>0</v>
      </c>
      <c r="G3935" s="121">
        <v>0</v>
      </c>
      <c r="H3935" s="121">
        <v>0</v>
      </c>
      <c r="I3935" s="121">
        <v>0</v>
      </c>
      <c r="J3935" s="121">
        <v>0</v>
      </c>
    </row>
    <row r="3936" spans="1:10">
      <c r="A3936" s="110" t="s">
        <v>102</v>
      </c>
      <c r="B3936" s="110" t="s">
        <v>125</v>
      </c>
      <c r="C3936" s="111">
        <v>0.48194444444444401</v>
      </c>
      <c r="D3936" s="121">
        <v>0</v>
      </c>
      <c r="E3936" s="121">
        <v>0</v>
      </c>
      <c r="F3936" s="121">
        <v>0</v>
      </c>
      <c r="G3936" s="121">
        <v>0</v>
      </c>
      <c r="H3936" s="121">
        <v>0</v>
      </c>
      <c r="I3936" s="121">
        <v>0</v>
      </c>
      <c r="J3936" s="121">
        <v>0</v>
      </c>
    </row>
    <row r="3937" spans="1:10">
      <c r="A3937" s="110" t="s">
        <v>102</v>
      </c>
      <c r="B3937" s="110" t="s">
        <v>125</v>
      </c>
      <c r="C3937" s="111">
        <v>0.48263888888888901</v>
      </c>
      <c r="D3937" s="121">
        <v>0</v>
      </c>
      <c r="E3937" s="121">
        <v>0</v>
      </c>
      <c r="F3937" s="121">
        <v>0</v>
      </c>
      <c r="G3937" s="121">
        <v>0</v>
      </c>
      <c r="H3937" s="121">
        <v>0</v>
      </c>
      <c r="I3937" s="121">
        <v>0</v>
      </c>
      <c r="J3937" s="121">
        <v>0</v>
      </c>
    </row>
    <row r="3938" spans="1:10">
      <c r="A3938" s="110" t="s">
        <v>102</v>
      </c>
      <c r="B3938" s="110" t="s">
        <v>125</v>
      </c>
      <c r="C3938" s="111">
        <v>0.483333333333333</v>
      </c>
      <c r="D3938" s="121">
        <v>0</v>
      </c>
      <c r="E3938" s="121">
        <v>0</v>
      </c>
      <c r="F3938" s="121">
        <v>0</v>
      </c>
      <c r="G3938" s="121">
        <v>0</v>
      </c>
      <c r="H3938" s="121">
        <v>0</v>
      </c>
      <c r="I3938" s="121">
        <v>0</v>
      </c>
      <c r="J3938" s="121">
        <v>0</v>
      </c>
    </row>
    <row r="3939" spans="1:10">
      <c r="A3939" s="110" t="s">
        <v>102</v>
      </c>
      <c r="B3939" s="110" t="s">
        <v>125</v>
      </c>
      <c r="C3939" s="111">
        <v>0.484027777777778</v>
      </c>
      <c r="D3939" s="121">
        <v>0</v>
      </c>
      <c r="E3939" s="121">
        <v>0</v>
      </c>
      <c r="F3939" s="121">
        <v>0</v>
      </c>
      <c r="G3939" s="121">
        <v>0</v>
      </c>
      <c r="H3939" s="121">
        <v>0</v>
      </c>
      <c r="I3939" s="121">
        <v>0</v>
      </c>
      <c r="J3939" s="121">
        <v>0</v>
      </c>
    </row>
    <row r="3940" spans="1:10">
      <c r="A3940" s="110" t="s">
        <v>102</v>
      </c>
      <c r="B3940" s="110" t="s">
        <v>125</v>
      </c>
      <c r="C3940" s="111">
        <v>0.484722222222222</v>
      </c>
      <c r="D3940" s="121">
        <v>0</v>
      </c>
      <c r="E3940" s="121">
        <v>0</v>
      </c>
      <c r="F3940" s="121">
        <v>0</v>
      </c>
      <c r="G3940" s="121">
        <v>0</v>
      </c>
      <c r="H3940" s="121">
        <v>0</v>
      </c>
      <c r="I3940" s="121">
        <v>0</v>
      </c>
      <c r="J3940" s="121">
        <v>0</v>
      </c>
    </row>
    <row r="3941" spans="1:10">
      <c r="A3941" s="110" t="s">
        <v>102</v>
      </c>
      <c r="B3941" s="110" t="s">
        <v>125</v>
      </c>
      <c r="C3941" s="111">
        <v>0.485416666666666</v>
      </c>
      <c r="D3941" s="121">
        <v>0</v>
      </c>
      <c r="E3941" s="121">
        <v>0</v>
      </c>
      <c r="F3941" s="121">
        <v>0</v>
      </c>
      <c r="G3941" s="121">
        <v>0</v>
      </c>
      <c r="H3941" s="121">
        <v>0</v>
      </c>
      <c r="I3941" s="121">
        <v>0</v>
      </c>
      <c r="J3941" s="121">
        <v>0</v>
      </c>
    </row>
    <row r="3942" spans="1:10">
      <c r="A3942" s="110" t="s">
        <v>102</v>
      </c>
      <c r="B3942" s="110" t="s">
        <v>125</v>
      </c>
      <c r="C3942" s="111">
        <v>0.48611111111111099</v>
      </c>
      <c r="D3942" s="121">
        <v>0</v>
      </c>
      <c r="E3942" s="121">
        <v>0</v>
      </c>
      <c r="F3942" s="121">
        <v>0</v>
      </c>
      <c r="G3942" s="121">
        <v>0</v>
      </c>
      <c r="H3942" s="121">
        <v>0</v>
      </c>
      <c r="I3942" s="121">
        <v>0</v>
      </c>
      <c r="J3942" s="121">
        <v>0</v>
      </c>
    </row>
    <row r="3943" spans="1:10">
      <c r="A3943" s="110" t="s">
        <v>102</v>
      </c>
      <c r="B3943" s="110" t="s">
        <v>125</v>
      </c>
      <c r="C3943" s="111">
        <v>0.48680555555555499</v>
      </c>
      <c r="D3943" s="121">
        <v>0</v>
      </c>
      <c r="E3943" s="121">
        <v>0</v>
      </c>
      <c r="F3943" s="121">
        <v>0</v>
      </c>
      <c r="G3943" s="121">
        <v>0</v>
      </c>
      <c r="H3943" s="121">
        <v>0</v>
      </c>
      <c r="I3943" s="121">
        <v>0</v>
      </c>
      <c r="J3943" s="121">
        <v>0</v>
      </c>
    </row>
    <row r="3944" spans="1:10">
      <c r="A3944" s="110" t="s">
        <v>102</v>
      </c>
      <c r="B3944" s="110" t="s">
        <v>125</v>
      </c>
      <c r="C3944" s="111">
        <v>0.48749999999999999</v>
      </c>
      <c r="D3944" s="121">
        <v>0</v>
      </c>
      <c r="E3944" s="121">
        <v>0</v>
      </c>
      <c r="F3944" s="121">
        <v>0</v>
      </c>
      <c r="G3944" s="121">
        <v>0</v>
      </c>
      <c r="H3944" s="121">
        <v>0</v>
      </c>
      <c r="I3944" s="121">
        <v>0</v>
      </c>
      <c r="J3944" s="121">
        <v>0</v>
      </c>
    </row>
    <row r="3945" spans="1:10">
      <c r="A3945" s="110" t="s">
        <v>102</v>
      </c>
      <c r="B3945" s="110" t="s">
        <v>125</v>
      </c>
      <c r="C3945" s="111">
        <v>0.48819444444444399</v>
      </c>
      <c r="D3945" s="121">
        <v>0</v>
      </c>
      <c r="E3945" s="121">
        <v>0</v>
      </c>
      <c r="F3945" s="121">
        <v>0</v>
      </c>
      <c r="G3945" s="121">
        <v>0</v>
      </c>
      <c r="H3945" s="121">
        <v>0</v>
      </c>
      <c r="I3945" s="121">
        <v>0</v>
      </c>
      <c r="J3945" s="121">
        <v>0</v>
      </c>
    </row>
    <row r="3946" spans="1:10" s="80" customFormat="1">
      <c r="A3946" s="112" t="s">
        <v>102</v>
      </c>
      <c r="B3946" s="112" t="s">
        <v>125</v>
      </c>
      <c r="C3946" s="113">
        <v>0.48888888888888898</v>
      </c>
      <c r="D3946" s="121">
        <v>0</v>
      </c>
      <c r="E3946" s="121">
        <v>0</v>
      </c>
      <c r="F3946" s="121">
        <v>0</v>
      </c>
      <c r="G3946" s="121">
        <v>0</v>
      </c>
      <c r="H3946" s="121">
        <v>0</v>
      </c>
      <c r="I3946" s="121">
        <v>0</v>
      </c>
      <c r="J3946" s="121">
        <v>0</v>
      </c>
    </row>
    <row r="3947" spans="1:10">
      <c r="A3947" s="110" t="s">
        <v>102</v>
      </c>
      <c r="B3947" s="110" t="s">
        <v>125</v>
      </c>
      <c r="C3947" s="111">
        <v>0.48958333333333298</v>
      </c>
      <c r="D3947" s="120">
        <v>0</v>
      </c>
      <c r="E3947" s="120">
        <v>0</v>
      </c>
      <c r="F3947" s="120">
        <v>0</v>
      </c>
      <c r="G3947" s="120">
        <v>0</v>
      </c>
      <c r="H3947" s="120">
        <v>0</v>
      </c>
      <c r="I3947" s="120">
        <v>0</v>
      </c>
      <c r="J3947" s="120">
        <v>0</v>
      </c>
    </row>
    <row r="3948" spans="1:10">
      <c r="A3948" s="110" t="s">
        <v>102</v>
      </c>
      <c r="B3948" s="110" t="s">
        <v>125</v>
      </c>
      <c r="C3948" s="111">
        <v>0.49027777777777798</v>
      </c>
      <c r="D3948" s="121">
        <v>0</v>
      </c>
      <c r="E3948" s="121">
        <v>0</v>
      </c>
      <c r="F3948" s="121">
        <v>0</v>
      </c>
      <c r="G3948" s="121">
        <v>0</v>
      </c>
      <c r="H3948" s="121">
        <v>0</v>
      </c>
      <c r="I3948" s="121">
        <v>0</v>
      </c>
      <c r="J3948" s="121">
        <v>0</v>
      </c>
    </row>
    <row r="3949" spans="1:10">
      <c r="A3949" s="110" t="s">
        <v>102</v>
      </c>
      <c r="B3949" s="110" t="s">
        <v>125</v>
      </c>
      <c r="C3949" s="111">
        <v>0.49097222222222198</v>
      </c>
      <c r="D3949" s="121">
        <v>0</v>
      </c>
      <c r="E3949" s="121">
        <v>0</v>
      </c>
      <c r="F3949" s="121">
        <v>0</v>
      </c>
      <c r="G3949" s="121">
        <v>0</v>
      </c>
      <c r="H3949" s="121">
        <v>0</v>
      </c>
      <c r="I3949" s="121">
        <v>0</v>
      </c>
      <c r="J3949" s="121">
        <v>0</v>
      </c>
    </row>
    <row r="3950" spans="1:10">
      <c r="A3950" s="110" t="s">
        <v>102</v>
      </c>
      <c r="B3950" s="110" t="s">
        <v>125</v>
      </c>
      <c r="C3950" s="111">
        <v>0.49166666666666697</v>
      </c>
      <c r="D3950" s="121">
        <v>0</v>
      </c>
      <c r="E3950" s="121">
        <v>0</v>
      </c>
      <c r="F3950" s="121">
        <v>0</v>
      </c>
      <c r="G3950" s="121">
        <v>0</v>
      </c>
      <c r="H3950" s="121">
        <v>0</v>
      </c>
      <c r="I3950" s="121">
        <v>0</v>
      </c>
      <c r="J3950" s="121">
        <v>0</v>
      </c>
    </row>
    <row r="3951" spans="1:10">
      <c r="A3951" s="110" t="s">
        <v>102</v>
      </c>
      <c r="B3951" s="110" t="s">
        <v>125</v>
      </c>
      <c r="C3951" s="111">
        <v>0.49236111111111103</v>
      </c>
      <c r="D3951" s="121">
        <v>0</v>
      </c>
      <c r="E3951" s="121">
        <v>0</v>
      </c>
      <c r="F3951" s="121">
        <v>0</v>
      </c>
      <c r="G3951" s="121">
        <v>0</v>
      </c>
      <c r="H3951" s="121">
        <v>0</v>
      </c>
      <c r="I3951" s="121">
        <v>0</v>
      </c>
      <c r="J3951" s="121">
        <v>0</v>
      </c>
    </row>
    <row r="3952" spans="1:10">
      <c r="A3952" s="110" t="s">
        <v>102</v>
      </c>
      <c r="B3952" s="110" t="s">
        <v>125</v>
      </c>
      <c r="C3952" s="111">
        <v>0.49305555555555503</v>
      </c>
      <c r="D3952" s="121">
        <v>0</v>
      </c>
      <c r="E3952" s="121">
        <v>0</v>
      </c>
      <c r="F3952" s="121">
        <v>0</v>
      </c>
      <c r="G3952" s="121">
        <v>0</v>
      </c>
      <c r="H3952" s="121">
        <v>0</v>
      </c>
      <c r="I3952" s="121">
        <v>0</v>
      </c>
      <c r="J3952" s="121">
        <v>0</v>
      </c>
    </row>
    <row r="3953" spans="1:10">
      <c r="A3953" s="110" t="s">
        <v>102</v>
      </c>
      <c r="B3953" s="110" t="s">
        <v>125</v>
      </c>
      <c r="C3953" s="111">
        <v>0.49375000000000002</v>
      </c>
      <c r="D3953" s="121">
        <v>0</v>
      </c>
      <c r="E3953" s="121">
        <v>0</v>
      </c>
      <c r="F3953" s="121">
        <v>0</v>
      </c>
      <c r="G3953" s="121">
        <v>0</v>
      </c>
      <c r="H3953" s="121">
        <v>0</v>
      </c>
      <c r="I3953" s="121">
        <v>0</v>
      </c>
      <c r="J3953" s="121">
        <v>0</v>
      </c>
    </row>
    <row r="3954" spans="1:10">
      <c r="A3954" s="110" t="s">
        <v>102</v>
      </c>
      <c r="B3954" s="110" t="s">
        <v>125</v>
      </c>
      <c r="C3954" s="111">
        <v>0.49444444444444402</v>
      </c>
      <c r="D3954" s="121">
        <v>0</v>
      </c>
      <c r="E3954" s="121">
        <v>0</v>
      </c>
      <c r="F3954" s="121">
        <v>0</v>
      </c>
      <c r="G3954" s="121">
        <v>0</v>
      </c>
      <c r="H3954" s="121">
        <v>0</v>
      </c>
      <c r="I3954" s="121">
        <v>0</v>
      </c>
      <c r="J3954" s="121">
        <v>0</v>
      </c>
    </row>
    <row r="3955" spans="1:10">
      <c r="A3955" s="110" t="s">
        <v>102</v>
      </c>
      <c r="B3955" s="110" t="s">
        <v>125</v>
      </c>
      <c r="C3955" s="111">
        <v>0.49513888888888902</v>
      </c>
      <c r="D3955" s="121">
        <v>0</v>
      </c>
      <c r="E3955" s="121">
        <v>0</v>
      </c>
      <c r="F3955" s="121">
        <v>0</v>
      </c>
      <c r="G3955" s="121">
        <v>0</v>
      </c>
      <c r="H3955" s="121">
        <v>0</v>
      </c>
      <c r="I3955" s="121">
        <v>0</v>
      </c>
      <c r="J3955" s="121">
        <v>0</v>
      </c>
    </row>
    <row r="3956" spans="1:10">
      <c r="A3956" s="110" t="s">
        <v>102</v>
      </c>
      <c r="B3956" s="110" t="s">
        <v>125</v>
      </c>
      <c r="C3956" s="111">
        <v>0.49583333333333302</v>
      </c>
      <c r="D3956" s="121">
        <v>0</v>
      </c>
      <c r="E3956" s="121">
        <v>0</v>
      </c>
      <c r="F3956" s="121">
        <v>0</v>
      </c>
      <c r="G3956" s="121">
        <v>0</v>
      </c>
      <c r="H3956" s="121">
        <v>0</v>
      </c>
      <c r="I3956" s="121">
        <v>0</v>
      </c>
      <c r="J3956" s="121">
        <v>0</v>
      </c>
    </row>
    <row r="3957" spans="1:10">
      <c r="A3957" s="110" t="s">
        <v>102</v>
      </c>
      <c r="B3957" s="110" t="s">
        <v>125</v>
      </c>
      <c r="C3957" s="111">
        <v>0.49652777777777801</v>
      </c>
      <c r="D3957" s="121">
        <v>0</v>
      </c>
      <c r="E3957" s="121">
        <v>0</v>
      </c>
      <c r="F3957" s="121">
        <v>0</v>
      </c>
      <c r="G3957" s="121">
        <v>0</v>
      </c>
      <c r="H3957" s="121">
        <v>0</v>
      </c>
      <c r="I3957" s="121">
        <v>0</v>
      </c>
      <c r="J3957" s="121">
        <v>0</v>
      </c>
    </row>
    <row r="3958" spans="1:10">
      <c r="A3958" s="110" t="s">
        <v>102</v>
      </c>
      <c r="B3958" s="110" t="s">
        <v>125</v>
      </c>
      <c r="C3958" s="111">
        <v>0.49722222222222201</v>
      </c>
      <c r="D3958" s="121">
        <v>0</v>
      </c>
      <c r="E3958" s="121">
        <v>0</v>
      </c>
      <c r="F3958" s="121">
        <v>0</v>
      </c>
      <c r="G3958" s="121">
        <v>0</v>
      </c>
      <c r="H3958" s="121">
        <v>0</v>
      </c>
      <c r="I3958" s="121">
        <v>0</v>
      </c>
      <c r="J3958" s="121">
        <v>0</v>
      </c>
    </row>
    <row r="3959" spans="1:10">
      <c r="A3959" s="110" t="s">
        <v>102</v>
      </c>
      <c r="B3959" s="110" t="s">
        <v>125</v>
      </c>
      <c r="C3959" s="111">
        <v>0.49791666666666701</v>
      </c>
      <c r="D3959" s="121">
        <v>0</v>
      </c>
      <c r="E3959" s="121">
        <v>0</v>
      </c>
      <c r="F3959" s="121">
        <v>0</v>
      </c>
      <c r="G3959" s="121">
        <v>0</v>
      </c>
      <c r="H3959" s="121">
        <v>0</v>
      </c>
      <c r="I3959" s="121">
        <v>0</v>
      </c>
      <c r="J3959" s="121">
        <v>0</v>
      </c>
    </row>
    <row r="3960" spans="1:10">
      <c r="A3960" s="110" t="s">
        <v>102</v>
      </c>
      <c r="B3960" s="110" t="s">
        <v>125</v>
      </c>
      <c r="C3960" s="111">
        <v>0.49861111111111101</v>
      </c>
      <c r="D3960" s="121">
        <v>0</v>
      </c>
      <c r="E3960" s="121">
        <v>0</v>
      </c>
      <c r="F3960" s="121">
        <v>0</v>
      </c>
      <c r="G3960" s="121">
        <v>0</v>
      </c>
      <c r="H3960" s="121">
        <v>0</v>
      </c>
      <c r="I3960" s="121">
        <v>0</v>
      </c>
      <c r="J3960" s="121">
        <v>0</v>
      </c>
    </row>
    <row r="3961" spans="1:10" s="28" customFormat="1" ht="17.5" thickBot="1">
      <c r="A3961" s="116" t="s">
        <v>102</v>
      </c>
      <c r="B3961" s="116" t="s">
        <v>125</v>
      </c>
      <c r="C3961" s="117">
        <v>0.499305555555555</v>
      </c>
      <c r="D3961" s="123">
        <v>0</v>
      </c>
      <c r="E3961" s="123">
        <v>0</v>
      </c>
      <c r="F3961" s="123">
        <v>0</v>
      </c>
      <c r="G3961" s="123">
        <v>0</v>
      </c>
      <c r="H3961" s="123">
        <v>0</v>
      </c>
      <c r="I3961" s="123">
        <v>0</v>
      </c>
      <c r="J3961" s="123">
        <v>0</v>
      </c>
    </row>
    <row r="3962" spans="1:10">
      <c r="A3962" s="125" t="s">
        <v>103</v>
      </c>
      <c r="B3962" s="125" t="s">
        <v>11</v>
      </c>
      <c r="C3962" s="128">
        <v>0.60416666666666663</v>
      </c>
      <c r="D3962" s="131">
        <v>0</v>
      </c>
      <c r="E3962" s="131">
        <v>0</v>
      </c>
      <c r="F3962" s="131">
        <v>0</v>
      </c>
      <c r="G3962" s="131">
        <v>0</v>
      </c>
      <c r="H3962" s="131">
        <v>0</v>
      </c>
      <c r="I3962" s="131">
        <v>0</v>
      </c>
      <c r="J3962" s="131">
        <v>0</v>
      </c>
    </row>
    <row r="3963" spans="1:10">
      <c r="A3963" s="125" t="s">
        <v>103</v>
      </c>
      <c r="B3963" s="125" t="s">
        <v>11</v>
      </c>
      <c r="C3963" s="128">
        <v>0.60486111111111107</v>
      </c>
      <c r="D3963" s="131">
        <v>0</v>
      </c>
      <c r="E3963" s="131">
        <v>0</v>
      </c>
      <c r="F3963" s="131">
        <v>0</v>
      </c>
      <c r="G3963" s="131">
        <v>0</v>
      </c>
      <c r="H3963" s="131">
        <v>0</v>
      </c>
      <c r="I3963" s="131">
        <v>0</v>
      </c>
      <c r="J3963" s="131">
        <v>0</v>
      </c>
    </row>
    <row r="3964" spans="1:10">
      <c r="A3964" s="125" t="s">
        <v>103</v>
      </c>
      <c r="B3964" s="125" t="s">
        <v>11</v>
      </c>
      <c r="C3964" s="128">
        <v>0.60555555555555596</v>
      </c>
      <c r="D3964" s="131">
        <v>0</v>
      </c>
      <c r="E3964" s="131">
        <v>0</v>
      </c>
      <c r="F3964" s="131">
        <v>0</v>
      </c>
      <c r="G3964" s="131">
        <v>0</v>
      </c>
      <c r="H3964" s="131">
        <v>0</v>
      </c>
      <c r="I3964" s="131">
        <v>0</v>
      </c>
      <c r="J3964" s="131">
        <v>0</v>
      </c>
    </row>
    <row r="3965" spans="1:10">
      <c r="A3965" s="125" t="s">
        <v>103</v>
      </c>
      <c r="B3965" s="125" t="s">
        <v>11</v>
      </c>
      <c r="C3965" s="128">
        <v>0.60624999999999996</v>
      </c>
      <c r="D3965" s="131">
        <v>0</v>
      </c>
      <c r="E3965" s="131">
        <v>0</v>
      </c>
      <c r="F3965" s="131">
        <v>0</v>
      </c>
      <c r="G3965" s="131">
        <v>0</v>
      </c>
      <c r="H3965" s="131">
        <v>0</v>
      </c>
      <c r="I3965" s="131">
        <v>0</v>
      </c>
      <c r="J3965" s="131">
        <v>0</v>
      </c>
    </row>
    <row r="3966" spans="1:10">
      <c r="A3966" s="125" t="s">
        <v>103</v>
      </c>
      <c r="B3966" s="125" t="s">
        <v>11</v>
      </c>
      <c r="C3966" s="128">
        <v>0.60694444444444395</v>
      </c>
      <c r="D3966" s="131">
        <v>0</v>
      </c>
      <c r="E3966" s="131">
        <v>0</v>
      </c>
      <c r="F3966" s="131">
        <v>0</v>
      </c>
      <c r="G3966" s="131">
        <v>0</v>
      </c>
      <c r="H3966" s="131">
        <v>0</v>
      </c>
      <c r="I3966" s="131">
        <v>0</v>
      </c>
      <c r="J3966" s="131">
        <v>0</v>
      </c>
    </row>
    <row r="3967" spans="1:10">
      <c r="A3967" s="125" t="s">
        <v>103</v>
      </c>
      <c r="B3967" s="125" t="s">
        <v>11</v>
      </c>
      <c r="C3967" s="128">
        <v>0.60763888888888895</v>
      </c>
      <c r="D3967" s="131">
        <v>0</v>
      </c>
      <c r="E3967" s="131">
        <v>0</v>
      </c>
      <c r="F3967" s="131">
        <v>0</v>
      </c>
      <c r="G3967" s="131">
        <v>0</v>
      </c>
      <c r="H3967" s="131">
        <v>0</v>
      </c>
      <c r="I3967" s="131">
        <v>0</v>
      </c>
      <c r="J3967" s="131">
        <v>0</v>
      </c>
    </row>
    <row r="3968" spans="1:10">
      <c r="A3968" s="125" t="s">
        <v>103</v>
      </c>
      <c r="B3968" s="125" t="s">
        <v>11</v>
      </c>
      <c r="C3968" s="128">
        <v>0.60833333333333295</v>
      </c>
      <c r="D3968" s="131">
        <v>0</v>
      </c>
      <c r="E3968" s="131">
        <v>0</v>
      </c>
      <c r="F3968" s="131">
        <v>0</v>
      </c>
      <c r="G3968" s="131">
        <v>0</v>
      </c>
      <c r="H3968" s="131">
        <v>0</v>
      </c>
      <c r="I3968" s="131">
        <v>0</v>
      </c>
      <c r="J3968" s="131">
        <v>0</v>
      </c>
    </row>
    <row r="3969" spans="1:10">
      <c r="A3969" s="125" t="s">
        <v>103</v>
      </c>
      <c r="B3969" s="125" t="s">
        <v>11</v>
      </c>
      <c r="C3969" s="128">
        <v>0.60902777777777795</v>
      </c>
      <c r="D3969" s="131">
        <v>0</v>
      </c>
      <c r="E3969" s="131">
        <v>0</v>
      </c>
      <c r="F3969" s="131">
        <v>0</v>
      </c>
      <c r="G3969" s="131">
        <v>0</v>
      </c>
      <c r="H3969" s="131">
        <v>0</v>
      </c>
      <c r="I3969" s="131">
        <v>0</v>
      </c>
      <c r="J3969" s="131">
        <v>0</v>
      </c>
    </row>
    <row r="3970" spans="1:10">
      <c r="A3970" s="125" t="s">
        <v>103</v>
      </c>
      <c r="B3970" s="125" t="s">
        <v>11</v>
      </c>
      <c r="C3970" s="128">
        <v>0.60972222222222205</v>
      </c>
      <c r="D3970" s="131">
        <v>0</v>
      </c>
      <c r="E3970" s="131">
        <v>0</v>
      </c>
      <c r="F3970" s="131">
        <v>0</v>
      </c>
      <c r="G3970" s="131">
        <v>0</v>
      </c>
      <c r="H3970" s="131">
        <v>0</v>
      </c>
      <c r="I3970" s="131">
        <v>0</v>
      </c>
      <c r="J3970" s="131">
        <v>0</v>
      </c>
    </row>
    <row r="3971" spans="1:10">
      <c r="A3971" s="125" t="s">
        <v>103</v>
      </c>
      <c r="B3971" s="125" t="s">
        <v>11</v>
      </c>
      <c r="C3971" s="128">
        <v>0.61041666666666705</v>
      </c>
      <c r="D3971" s="131">
        <v>0</v>
      </c>
      <c r="E3971" s="131">
        <v>0</v>
      </c>
      <c r="F3971" s="131">
        <v>0</v>
      </c>
      <c r="G3971" s="131">
        <v>0</v>
      </c>
      <c r="H3971" s="131">
        <v>0</v>
      </c>
      <c r="I3971" s="131">
        <v>0</v>
      </c>
      <c r="J3971" s="131">
        <v>0</v>
      </c>
    </row>
    <row r="3972" spans="1:10">
      <c r="A3972" s="125" t="s">
        <v>103</v>
      </c>
      <c r="B3972" s="125" t="s">
        <v>11</v>
      </c>
      <c r="C3972" s="128">
        <v>0.61111111111111105</v>
      </c>
      <c r="D3972" s="131">
        <v>0</v>
      </c>
      <c r="E3972" s="131">
        <v>0</v>
      </c>
      <c r="F3972" s="131">
        <v>0</v>
      </c>
      <c r="G3972" s="131">
        <v>0</v>
      </c>
      <c r="H3972" s="131">
        <v>0</v>
      </c>
      <c r="I3972" s="131">
        <v>0</v>
      </c>
      <c r="J3972" s="131">
        <v>0</v>
      </c>
    </row>
    <row r="3973" spans="1:10">
      <c r="A3973" s="125" t="s">
        <v>103</v>
      </c>
      <c r="B3973" s="125" t="s">
        <v>11</v>
      </c>
      <c r="C3973" s="128">
        <v>0.61180555555555505</v>
      </c>
      <c r="D3973" s="131">
        <v>0</v>
      </c>
      <c r="E3973" s="131">
        <v>0</v>
      </c>
      <c r="F3973" s="131">
        <v>0</v>
      </c>
      <c r="G3973" s="131">
        <v>0</v>
      </c>
      <c r="H3973" s="131">
        <v>0</v>
      </c>
      <c r="I3973" s="131">
        <v>0</v>
      </c>
      <c r="J3973" s="131">
        <v>0</v>
      </c>
    </row>
    <row r="3974" spans="1:10">
      <c r="A3974" s="125" t="s">
        <v>103</v>
      </c>
      <c r="B3974" s="125" t="s">
        <v>11</v>
      </c>
      <c r="C3974" s="128">
        <v>0.61250000000000004</v>
      </c>
      <c r="D3974" s="131">
        <v>0</v>
      </c>
      <c r="E3974" s="131">
        <v>0</v>
      </c>
      <c r="F3974" s="131">
        <v>0</v>
      </c>
      <c r="G3974" s="131">
        <v>0</v>
      </c>
      <c r="H3974" s="131">
        <v>0</v>
      </c>
      <c r="I3974" s="131">
        <v>0</v>
      </c>
      <c r="J3974" s="131">
        <v>0</v>
      </c>
    </row>
    <row r="3975" spans="1:10">
      <c r="A3975" s="125" t="s">
        <v>103</v>
      </c>
      <c r="B3975" s="125" t="s">
        <v>11</v>
      </c>
      <c r="C3975" s="128">
        <v>0.61319444444444404</v>
      </c>
      <c r="D3975" s="131">
        <v>0</v>
      </c>
      <c r="E3975" s="131">
        <v>0</v>
      </c>
      <c r="F3975" s="131">
        <v>0</v>
      </c>
      <c r="G3975" s="131">
        <v>0</v>
      </c>
      <c r="H3975" s="131">
        <v>0</v>
      </c>
      <c r="I3975" s="131">
        <v>0</v>
      </c>
      <c r="J3975" s="131">
        <v>0</v>
      </c>
    </row>
    <row r="3976" spans="1:10">
      <c r="A3976" s="126" t="s">
        <v>103</v>
      </c>
      <c r="B3976" s="126" t="s">
        <v>11</v>
      </c>
      <c r="C3976" s="129">
        <v>0.61388888888888904</v>
      </c>
      <c r="D3976" s="132">
        <v>0</v>
      </c>
      <c r="E3976" s="132">
        <v>0</v>
      </c>
      <c r="F3976" s="132">
        <v>0</v>
      </c>
      <c r="G3976" s="132">
        <v>0</v>
      </c>
      <c r="H3976" s="132">
        <v>0</v>
      </c>
      <c r="I3976" s="132">
        <v>0</v>
      </c>
      <c r="J3976" s="132">
        <v>0</v>
      </c>
    </row>
    <row r="3977" spans="1:10">
      <c r="A3977" s="125" t="s">
        <v>103</v>
      </c>
      <c r="B3977" s="125" t="s">
        <v>11</v>
      </c>
      <c r="C3977" s="128">
        <v>0.61458333333333304</v>
      </c>
      <c r="D3977" s="133">
        <v>0</v>
      </c>
      <c r="E3977" s="133">
        <v>0</v>
      </c>
      <c r="F3977" s="133">
        <v>0</v>
      </c>
      <c r="G3977" s="133">
        <v>0</v>
      </c>
      <c r="H3977" s="133">
        <v>0</v>
      </c>
      <c r="I3977" s="133">
        <v>0</v>
      </c>
      <c r="J3977" s="133">
        <v>0</v>
      </c>
    </row>
    <row r="3978" spans="1:10">
      <c r="A3978" s="125" t="s">
        <v>103</v>
      </c>
      <c r="B3978" s="125" t="s">
        <v>11</v>
      </c>
      <c r="C3978" s="128">
        <v>0.61527777777777803</v>
      </c>
      <c r="D3978" s="131">
        <v>0</v>
      </c>
      <c r="E3978" s="131">
        <v>0</v>
      </c>
      <c r="F3978" s="131">
        <v>0</v>
      </c>
      <c r="G3978" s="131">
        <v>0</v>
      </c>
      <c r="H3978" s="131">
        <v>0</v>
      </c>
      <c r="I3978" s="131">
        <v>0</v>
      </c>
      <c r="J3978" s="131">
        <v>0</v>
      </c>
    </row>
    <row r="3979" spans="1:10">
      <c r="A3979" s="125" t="s">
        <v>103</v>
      </c>
      <c r="B3979" s="125" t="s">
        <v>11</v>
      </c>
      <c r="C3979" s="128">
        <v>0.61597222222222203</v>
      </c>
      <c r="D3979" s="131">
        <v>0</v>
      </c>
      <c r="E3979" s="131">
        <v>0</v>
      </c>
      <c r="F3979" s="131">
        <v>0</v>
      </c>
      <c r="G3979" s="131">
        <v>0</v>
      </c>
      <c r="H3979" s="131">
        <v>0</v>
      </c>
      <c r="I3979" s="131">
        <v>0</v>
      </c>
      <c r="J3979" s="131">
        <v>0</v>
      </c>
    </row>
    <row r="3980" spans="1:10">
      <c r="A3980" s="125" t="s">
        <v>103</v>
      </c>
      <c r="B3980" s="125" t="s">
        <v>11</v>
      </c>
      <c r="C3980" s="128">
        <v>0.61666666666666703</v>
      </c>
      <c r="D3980" s="131">
        <v>0</v>
      </c>
      <c r="E3980" s="131">
        <v>0</v>
      </c>
      <c r="F3980" s="131">
        <v>0</v>
      </c>
      <c r="G3980" s="131">
        <v>0</v>
      </c>
      <c r="H3980" s="131">
        <v>0</v>
      </c>
      <c r="I3980" s="131">
        <v>0</v>
      </c>
      <c r="J3980" s="131">
        <v>0</v>
      </c>
    </row>
    <row r="3981" spans="1:10">
      <c r="A3981" s="125" t="s">
        <v>103</v>
      </c>
      <c r="B3981" s="125" t="s">
        <v>11</v>
      </c>
      <c r="C3981" s="128">
        <v>0.61736111111111103</v>
      </c>
      <c r="D3981" s="131">
        <v>0</v>
      </c>
      <c r="E3981" s="131">
        <v>0</v>
      </c>
      <c r="F3981" s="131">
        <v>0</v>
      </c>
      <c r="G3981" s="131">
        <v>0</v>
      </c>
      <c r="H3981" s="131">
        <v>0</v>
      </c>
      <c r="I3981" s="131">
        <v>0</v>
      </c>
      <c r="J3981" s="131">
        <v>0</v>
      </c>
    </row>
    <row r="3982" spans="1:10">
      <c r="A3982" s="125" t="s">
        <v>103</v>
      </c>
      <c r="B3982" s="125" t="s">
        <v>11</v>
      </c>
      <c r="C3982" s="128">
        <v>0.61805555555555503</v>
      </c>
      <c r="D3982" s="131">
        <v>0</v>
      </c>
      <c r="E3982" s="131">
        <v>0</v>
      </c>
      <c r="F3982" s="131">
        <v>0</v>
      </c>
      <c r="G3982" s="131">
        <v>0</v>
      </c>
      <c r="H3982" s="131">
        <v>0</v>
      </c>
      <c r="I3982" s="131">
        <v>0</v>
      </c>
      <c r="J3982" s="131">
        <v>0</v>
      </c>
    </row>
    <row r="3983" spans="1:10">
      <c r="A3983" s="125" t="s">
        <v>103</v>
      </c>
      <c r="B3983" s="125" t="s">
        <v>11</v>
      </c>
      <c r="C3983" s="128">
        <v>0.61875000000000002</v>
      </c>
      <c r="D3983" s="131">
        <v>0</v>
      </c>
      <c r="E3983" s="131">
        <v>0</v>
      </c>
      <c r="F3983" s="131">
        <v>0</v>
      </c>
      <c r="G3983" s="131">
        <v>0</v>
      </c>
      <c r="H3983" s="131">
        <v>0</v>
      </c>
      <c r="I3983" s="131">
        <v>0</v>
      </c>
      <c r="J3983" s="131">
        <v>0</v>
      </c>
    </row>
    <row r="3984" spans="1:10">
      <c r="A3984" s="125" t="s">
        <v>103</v>
      </c>
      <c r="B3984" s="125" t="s">
        <v>11</v>
      </c>
      <c r="C3984" s="128">
        <v>0.61944444444444402</v>
      </c>
      <c r="D3984" s="131">
        <v>0</v>
      </c>
      <c r="E3984" s="131">
        <v>0</v>
      </c>
      <c r="F3984" s="131">
        <v>0</v>
      </c>
      <c r="G3984" s="131">
        <v>0</v>
      </c>
      <c r="H3984" s="131">
        <v>0</v>
      </c>
      <c r="I3984" s="131">
        <v>0</v>
      </c>
      <c r="J3984" s="131">
        <v>0</v>
      </c>
    </row>
    <row r="3985" spans="1:10">
      <c r="A3985" s="125" t="s">
        <v>103</v>
      </c>
      <c r="B3985" s="125" t="s">
        <v>11</v>
      </c>
      <c r="C3985" s="128">
        <v>0.62013888888888902</v>
      </c>
      <c r="D3985" s="131">
        <v>0</v>
      </c>
      <c r="E3985" s="131">
        <v>0</v>
      </c>
      <c r="F3985" s="131">
        <v>0</v>
      </c>
      <c r="G3985" s="131">
        <v>0</v>
      </c>
      <c r="H3985" s="131">
        <v>0</v>
      </c>
      <c r="I3985" s="131">
        <v>0</v>
      </c>
      <c r="J3985" s="131">
        <v>0</v>
      </c>
    </row>
    <row r="3986" spans="1:10">
      <c r="A3986" s="125" t="s">
        <v>103</v>
      </c>
      <c r="B3986" s="125" t="s">
        <v>11</v>
      </c>
      <c r="C3986" s="128">
        <v>0.62083333333333302</v>
      </c>
      <c r="D3986" s="131">
        <v>0</v>
      </c>
      <c r="E3986" s="131">
        <v>0</v>
      </c>
      <c r="F3986" s="131">
        <v>0</v>
      </c>
      <c r="G3986" s="131">
        <v>0</v>
      </c>
      <c r="H3986" s="131">
        <v>0</v>
      </c>
      <c r="I3986" s="131">
        <v>0</v>
      </c>
      <c r="J3986" s="131">
        <v>0</v>
      </c>
    </row>
    <row r="3987" spans="1:10">
      <c r="A3987" s="125" t="s">
        <v>103</v>
      </c>
      <c r="B3987" s="125" t="s">
        <v>11</v>
      </c>
      <c r="C3987" s="128">
        <v>0.62152777777777801</v>
      </c>
      <c r="D3987" s="131">
        <v>0</v>
      </c>
      <c r="E3987" s="131">
        <v>0</v>
      </c>
      <c r="F3987" s="131">
        <v>0</v>
      </c>
      <c r="G3987" s="131">
        <v>0</v>
      </c>
      <c r="H3987" s="131">
        <v>0</v>
      </c>
      <c r="I3987" s="131">
        <v>0</v>
      </c>
      <c r="J3987" s="131">
        <v>0</v>
      </c>
    </row>
    <row r="3988" spans="1:10">
      <c r="A3988" s="125" t="s">
        <v>103</v>
      </c>
      <c r="B3988" s="125" t="s">
        <v>11</v>
      </c>
      <c r="C3988" s="128">
        <v>0.62222222222222201</v>
      </c>
      <c r="D3988" s="131">
        <v>0</v>
      </c>
      <c r="E3988" s="131">
        <v>0</v>
      </c>
      <c r="F3988" s="131">
        <v>0</v>
      </c>
      <c r="G3988" s="131">
        <v>0</v>
      </c>
      <c r="H3988" s="131">
        <v>0</v>
      </c>
      <c r="I3988" s="131">
        <v>0</v>
      </c>
      <c r="J3988" s="131">
        <v>0</v>
      </c>
    </row>
    <row r="3989" spans="1:10">
      <c r="A3989" s="125" t="s">
        <v>103</v>
      </c>
      <c r="B3989" s="125" t="s">
        <v>11</v>
      </c>
      <c r="C3989" s="128">
        <v>0.62291666666666701</v>
      </c>
      <c r="D3989" s="131">
        <v>0</v>
      </c>
      <c r="E3989" s="131">
        <v>0</v>
      </c>
      <c r="F3989" s="131">
        <v>0</v>
      </c>
      <c r="G3989" s="131">
        <v>0</v>
      </c>
      <c r="H3989" s="131">
        <v>0</v>
      </c>
      <c r="I3989" s="131">
        <v>0</v>
      </c>
      <c r="J3989" s="131">
        <v>0</v>
      </c>
    </row>
    <row r="3990" spans="1:10">
      <c r="A3990" s="125" t="s">
        <v>103</v>
      </c>
      <c r="B3990" s="125" t="s">
        <v>11</v>
      </c>
      <c r="C3990" s="128">
        <v>0.62361111111111101</v>
      </c>
      <c r="D3990" s="131">
        <v>0</v>
      </c>
      <c r="E3990" s="131">
        <v>0</v>
      </c>
      <c r="F3990" s="131">
        <v>0</v>
      </c>
      <c r="G3990" s="131">
        <v>0</v>
      </c>
      <c r="H3990" s="131">
        <v>0</v>
      </c>
      <c r="I3990" s="131">
        <v>0</v>
      </c>
      <c r="J3990" s="131">
        <v>0</v>
      </c>
    </row>
    <row r="3991" spans="1:10">
      <c r="A3991" s="126" t="s">
        <v>103</v>
      </c>
      <c r="B3991" s="126" t="s">
        <v>11</v>
      </c>
      <c r="C3991" s="129">
        <v>0.624305555555555</v>
      </c>
      <c r="D3991" s="132">
        <v>0</v>
      </c>
      <c r="E3991" s="132">
        <v>0</v>
      </c>
      <c r="F3991" s="132">
        <v>0</v>
      </c>
      <c r="G3991" s="132">
        <v>0</v>
      </c>
      <c r="H3991" s="132">
        <v>0</v>
      </c>
      <c r="I3991" s="132">
        <v>0</v>
      </c>
      <c r="J3991" s="132">
        <v>0</v>
      </c>
    </row>
    <row r="3992" spans="1:10">
      <c r="A3992" s="125" t="s">
        <v>103</v>
      </c>
      <c r="B3992" s="125" t="s">
        <v>11</v>
      </c>
      <c r="C3992" s="128">
        <v>0.625</v>
      </c>
      <c r="D3992" s="133">
        <v>0</v>
      </c>
      <c r="E3992" s="133">
        <v>0</v>
      </c>
      <c r="F3992" s="133">
        <v>0</v>
      </c>
      <c r="G3992" s="133">
        <v>0</v>
      </c>
      <c r="H3992" s="133">
        <v>0</v>
      </c>
      <c r="I3992" s="133">
        <v>0</v>
      </c>
      <c r="J3992" s="133">
        <v>0</v>
      </c>
    </row>
    <row r="3993" spans="1:10">
      <c r="A3993" s="125" t="s">
        <v>103</v>
      </c>
      <c r="B3993" s="125" t="s">
        <v>11</v>
      </c>
      <c r="C3993" s="128">
        <v>0.625694444444444</v>
      </c>
      <c r="D3993" s="131">
        <v>0</v>
      </c>
      <c r="E3993" s="131">
        <v>0</v>
      </c>
      <c r="F3993" s="131">
        <v>0</v>
      </c>
      <c r="G3993" s="131">
        <v>0</v>
      </c>
      <c r="H3993" s="131">
        <v>0</v>
      </c>
      <c r="I3993" s="131">
        <v>0</v>
      </c>
      <c r="J3993" s="131">
        <v>0</v>
      </c>
    </row>
    <row r="3994" spans="1:10">
      <c r="A3994" s="125" t="s">
        <v>103</v>
      </c>
      <c r="B3994" s="125" t="s">
        <v>11</v>
      </c>
      <c r="C3994" s="128">
        <v>0.62638888888888899</v>
      </c>
      <c r="D3994" s="131">
        <v>0</v>
      </c>
      <c r="E3994" s="131">
        <v>0</v>
      </c>
      <c r="F3994" s="131">
        <v>0</v>
      </c>
      <c r="G3994" s="131">
        <v>0</v>
      </c>
      <c r="H3994" s="131">
        <v>0</v>
      </c>
      <c r="I3994" s="131">
        <v>0</v>
      </c>
      <c r="J3994" s="131">
        <v>0</v>
      </c>
    </row>
    <row r="3995" spans="1:10">
      <c r="A3995" s="125" t="s">
        <v>103</v>
      </c>
      <c r="B3995" s="125" t="s">
        <v>11</v>
      </c>
      <c r="C3995" s="128">
        <v>0.62708333333333299</v>
      </c>
      <c r="D3995" s="131">
        <v>0</v>
      </c>
      <c r="E3995" s="131">
        <v>0</v>
      </c>
      <c r="F3995" s="131">
        <v>0</v>
      </c>
      <c r="G3995" s="131">
        <v>0</v>
      </c>
      <c r="H3995" s="131">
        <v>0</v>
      </c>
      <c r="I3995" s="131">
        <v>0</v>
      </c>
      <c r="J3995" s="131">
        <v>0</v>
      </c>
    </row>
    <row r="3996" spans="1:10">
      <c r="A3996" s="125" t="s">
        <v>103</v>
      </c>
      <c r="B3996" s="125" t="s">
        <v>11</v>
      </c>
      <c r="C3996" s="128">
        <v>0.62777777777777799</v>
      </c>
      <c r="D3996" s="131">
        <v>0</v>
      </c>
      <c r="E3996" s="131">
        <v>0</v>
      </c>
      <c r="F3996" s="131">
        <v>0</v>
      </c>
      <c r="G3996" s="131">
        <v>0</v>
      </c>
      <c r="H3996" s="131">
        <v>0</v>
      </c>
      <c r="I3996" s="131">
        <v>0</v>
      </c>
      <c r="J3996" s="131">
        <v>0</v>
      </c>
    </row>
    <row r="3997" spans="1:10">
      <c r="A3997" s="125" t="s">
        <v>103</v>
      </c>
      <c r="B3997" s="125" t="s">
        <v>11</v>
      </c>
      <c r="C3997" s="128">
        <v>0.62847222222222199</v>
      </c>
      <c r="D3997" s="131">
        <v>0</v>
      </c>
      <c r="E3997" s="131">
        <v>0</v>
      </c>
      <c r="F3997" s="131">
        <v>0</v>
      </c>
      <c r="G3997" s="131">
        <v>0</v>
      </c>
      <c r="H3997" s="131">
        <v>0</v>
      </c>
      <c r="I3997" s="131">
        <v>0</v>
      </c>
      <c r="J3997" s="131">
        <v>0</v>
      </c>
    </row>
    <row r="3998" spans="1:10">
      <c r="A3998" s="125" t="s">
        <v>103</v>
      </c>
      <c r="B3998" s="125" t="s">
        <v>11</v>
      </c>
      <c r="C3998" s="128">
        <v>0.62916666666666698</v>
      </c>
      <c r="D3998" s="131">
        <v>0</v>
      </c>
      <c r="E3998" s="131">
        <v>0</v>
      </c>
      <c r="F3998" s="131">
        <v>0</v>
      </c>
      <c r="G3998" s="131">
        <v>0</v>
      </c>
      <c r="H3998" s="131">
        <v>0</v>
      </c>
      <c r="I3998" s="131">
        <v>0</v>
      </c>
      <c r="J3998" s="131">
        <v>0</v>
      </c>
    </row>
    <row r="3999" spans="1:10">
      <c r="A3999" s="125" t="s">
        <v>103</v>
      </c>
      <c r="B3999" s="125" t="s">
        <v>11</v>
      </c>
      <c r="C3999" s="128">
        <v>0.62986111111111098</v>
      </c>
      <c r="D3999" s="131">
        <v>0</v>
      </c>
      <c r="E3999" s="131">
        <v>0</v>
      </c>
      <c r="F3999" s="131">
        <v>0</v>
      </c>
      <c r="G3999" s="131">
        <v>0</v>
      </c>
      <c r="H3999" s="131">
        <v>0</v>
      </c>
      <c r="I3999" s="131">
        <v>0</v>
      </c>
      <c r="J3999" s="131">
        <v>0</v>
      </c>
    </row>
    <row r="4000" spans="1:10">
      <c r="A4000" s="125" t="s">
        <v>103</v>
      </c>
      <c r="B4000" s="125" t="s">
        <v>11</v>
      </c>
      <c r="C4000" s="128">
        <v>0.63055555555555498</v>
      </c>
      <c r="D4000" s="131">
        <v>0</v>
      </c>
      <c r="E4000" s="131">
        <v>0</v>
      </c>
      <c r="F4000" s="131">
        <v>0</v>
      </c>
      <c r="G4000" s="131">
        <v>0</v>
      </c>
      <c r="H4000" s="131">
        <v>0</v>
      </c>
      <c r="I4000" s="131">
        <v>0</v>
      </c>
      <c r="J4000" s="131">
        <v>0</v>
      </c>
    </row>
    <row r="4001" spans="1:10">
      <c r="A4001" s="125" t="s">
        <v>103</v>
      </c>
      <c r="B4001" s="125" t="s">
        <v>11</v>
      </c>
      <c r="C4001" s="128">
        <v>0.63124999999999998</v>
      </c>
      <c r="D4001" s="131">
        <v>0</v>
      </c>
      <c r="E4001" s="131">
        <v>0</v>
      </c>
      <c r="F4001" s="131">
        <v>0</v>
      </c>
      <c r="G4001" s="131">
        <v>0</v>
      </c>
      <c r="H4001" s="131">
        <v>0</v>
      </c>
      <c r="I4001" s="131">
        <v>0</v>
      </c>
      <c r="J4001" s="131">
        <v>0</v>
      </c>
    </row>
    <row r="4002" spans="1:10">
      <c r="A4002" s="125" t="s">
        <v>103</v>
      </c>
      <c r="B4002" s="125" t="s">
        <v>11</v>
      </c>
      <c r="C4002" s="128">
        <v>0.63194444444444398</v>
      </c>
      <c r="D4002" s="131">
        <v>0</v>
      </c>
      <c r="E4002" s="131">
        <v>0</v>
      </c>
      <c r="F4002" s="131">
        <v>0</v>
      </c>
      <c r="G4002" s="131">
        <v>0</v>
      </c>
      <c r="H4002" s="131">
        <v>0</v>
      </c>
      <c r="I4002" s="131">
        <v>0</v>
      </c>
      <c r="J4002" s="131">
        <v>0</v>
      </c>
    </row>
    <row r="4003" spans="1:10">
      <c r="A4003" s="125" t="s">
        <v>103</v>
      </c>
      <c r="B4003" s="125" t="s">
        <v>11</v>
      </c>
      <c r="C4003" s="128">
        <v>0.63263888888888897</v>
      </c>
      <c r="D4003" s="131">
        <v>0</v>
      </c>
      <c r="E4003" s="131">
        <v>0</v>
      </c>
      <c r="F4003" s="131">
        <v>0</v>
      </c>
      <c r="G4003" s="131">
        <v>0</v>
      </c>
      <c r="H4003" s="131">
        <v>0</v>
      </c>
      <c r="I4003" s="131">
        <v>0</v>
      </c>
      <c r="J4003" s="131">
        <v>0</v>
      </c>
    </row>
    <row r="4004" spans="1:10">
      <c r="A4004" s="125" t="s">
        <v>103</v>
      </c>
      <c r="B4004" s="125" t="s">
        <v>11</v>
      </c>
      <c r="C4004" s="128">
        <v>0.63333333333333297</v>
      </c>
      <c r="D4004" s="131">
        <v>0</v>
      </c>
      <c r="E4004" s="131">
        <v>0</v>
      </c>
      <c r="F4004" s="131">
        <v>0</v>
      </c>
      <c r="G4004" s="131">
        <v>0</v>
      </c>
      <c r="H4004" s="131">
        <v>0</v>
      </c>
      <c r="I4004" s="131">
        <v>0</v>
      </c>
      <c r="J4004" s="131">
        <v>0</v>
      </c>
    </row>
    <row r="4005" spans="1:10">
      <c r="A4005" s="125" t="s">
        <v>103</v>
      </c>
      <c r="B4005" s="125" t="s">
        <v>11</v>
      </c>
      <c r="C4005" s="128">
        <v>0.63402777777777797</v>
      </c>
      <c r="D4005" s="131">
        <v>0</v>
      </c>
      <c r="E4005" s="131">
        <v>0</v>
      </c>
      <c r="F4005" s="131">
        <v>0</v>
      </c>
      <c r="G4005" s="131">
        <v>0</v>
      </c>
      <c r="H4005" s="131">
        <v>0</v>
      </c>
      <c r="I4005" s="131">
        <v>0</v>
      </c>
      <c r="J4005" s="131">
        <v>0</v>
      </c>
    </row>
    <row r="4006" spans="1:10">
      <c r="A4006" s="126" t="s">
        <v>103</v>
      </c>
      <c r="B4006" s="126" t="s">
        <v>11</v>
      </c>
      <c r="C4006" s="129">
        <v>0.63472222222222197</v>
      </c>
      <c r="D4006" s="132">
        <v>0</v>
      </c>
      <c r="E4006" s="132">
        <v>0</v>
      </c>
      <c r="F4006" s="132">
        <v>0</v>
      </c>
      <c r="G4006" s="132">
        <v>0</v>
      </c>
      <c r="H4006" s="132">
        <v>0</v>
      </c>
      <c r="I4006" s="132">
        <v>0</v>
      </c>
      <c r="J4006" s="132">
        <v>0</v>
      </c>
    </row>
    <row r="4007" spans="1:10">
      <c r="A4007" s="125" t="s">
        <v>103</v>
      </c>
      <c r="B4007" s="125" t="s">
        <v>11</v>
      </c>
      <c r="C4007" s="128">
        <v>0.63541666666666696</v>
      </c>
      <c r="D4007" s="133">
        <v>0</v>
      </c>
      <c r="E4007" s="133">
        <v>0</v>
      </c>
      <c r="F4007" s="133">
        <v>0</v>
      </c>
      <c r="G4007" s="133">
        <v>0</v>
      </c>
      <c r="H4007" s="133">
        <v>0</v>
      </c>
      <c r="I4007" s="133">
        <v>0</v>
      </c>
      <c r="J4007" s="133">
        <v>0</v>
      </c>
    </row>
    <row r="4008" spans="1:10">
      <c r="A4008" s="125" t="s">
        <v>103</v>
      </c>
      <c r="B4008" s="125" t="s">
        <v>11</v>
      </c>
      <c r="C4008" s="128">
        <v>0.63611111111111096</v>
      </c>
      <c r="D4008" s="131">
        <v>0</v>
      </c>
      <c r="E4008" s="131">
        <v>0</v>
      </c>
      <c r="F4008" s="131">
        <v>0</v>
      </c>
      <c r="G4008" s="131">
        <v>0</v>
      </c>
      <c r="H4008" s="131">
        <v>0</v>
      </c>
      <c r="I4008" s="131">
        <v>0</v>
      </c>
      <c r="J4008" s="131">
        <v>0</v>
      </c>
    </row>
    <row r="4009" spans="1:10">
      <c r="A4009" s="125" t="s">
        <v>103</v>
      </c>
      <c r="B4009" s="125" t="s">
        <v>11</v>
      </c>
      <c r="C4009" s="128">
        <v>0.63680555555555496</v>
      </c>
      <c r="D4009" s="131">
        <v>0</v>
      </c>
      <c r="E4009" s="131">
        <v>0</v>
      </c>
      <c r="F4009" s="131">
        <v>0</v>
      </c>
      <c r="G4009" s="131">
        <v>0</v>
      </c>
      <c r="H4009" s="131">
        <v>0</v>
      </c>
      <c r="I4009" s="131">
        <v>0</v>
      </c>
      <c r="J4009" s="131">
        <v>0</v>
      </c>
    </row>
    <row r="4010" spans="1:10">
      <c r="A4010" s="125" t="s">
        <v>103</v>
      </c>
      <c r="B4010" s="125" t="s">
        <v>11</v>
      </c>
      <c r="C4010" s="128">
        <v>0.63749999999999996</v>
      </c>
      <c r="D4010" s="131">
        <v>0</v>
      </c>
      <c r="E4010" s="131">
        <v>0</v>
      </c>
      <c r="F4010" s="131">
        <v>0</v>
      </c>
      <c r="G4010" s="131">
        <v>0</v>
      </c>
      <c r="H4010" s="131">
        <v>0</v>
      </c>
      <c r="I4010" s="131">
        <v>0</v>
      </c>
      <c r="J4010" s="131">
        <v>0</v>
      </c>
    </row>
    <row r="4011" spans="1:10">
      <c r="A4011" s="125" t="s">
        <v>103</v>
      </c>
      <c r="B4011" s="125" t="s">
        <v>11</v>
      </c>
      <c r="C4011" s="128">
        <v>0.63819444444444395</v>
      </c>
      <c r="D4011" s="131">
        <v>0</v>
      </c>
      <c r="E4011" s="131">
        <v>0</v>
      </c>
      <c r="F4011" s="131">
        <v>0</v>
      </c>
      <c r="G4011" s="131">
        <v>0</v>
      </c>
      <c r="H4011" s="131">
        <v>0</v>
      </c>
      <c r="I4011" s="131">
        <v>0</v>
      </c>
      <c r="J4011" s="131">
        <v>0</v>
      </c>
    </row>
    <row r="4012" spans="1:10">
      <c r="A4012" s="125" t="s">
        <v>103</v>
      </c>
      <c r="B4012" s="125" t="s">
        <v>11</v>
      </c>
      <c r="C4012" s="128">
        <v>0.63888888888888895</v>
      </c>
      <c r="D4012" s="131">
        <v>0</v>
      </c>
      <c r="E4012" s="131">
        <v>0</v>
      </c>
      <c r="F4012" s="131">
        <v>0</v>
      </c>
      <c r="G4012" s="131">
        <v>0</v>
      </c>
      <c r="H4012" s="131">
        <v>0</v>
      </c>
      <c r="I4012" s="131">
        <v>0</v>
      </c>
      <c r="J4012" s="131">
        <v>0</v>
      </c>
    </row>
    <row r="4013" spans="1:10">
      <c r="A4013" s="125" t="s">
        <v>103</v>
      </c>
      <c r="B4013" s="125" t="s">
        <v>11</v>
      </c>
      <c r="C4013" s="128">
        <v>0.63958333333333295</v>
      </c>
      <c r="D4013" s="131">
        <v>0</v>
      </c>
      <c r="E4013" s="131">
        <v>0</v>
      </c>
      <c r="F4013" s="131">
        <v>0</v>
      </c>
      <c r="G4013" s="131">
        <v>0</v>
      </c>
      <c r="H4013" s="131">
        <v>0</v>
      </c>
      <c r="I4013" s="131">
        <v>0</v>
      </c>
      <c r="J4013" s="131">
        <v>0</v>
      </c>
    </row>
    <row r="4014" spans="1:10">
      <c r="A4014" s="125" t="s">
        <v>103</v>
      </c>
      <c r="B4014" s="125" t="s">
        <v>11</v>
      </c>
      <c r="C4014" s="128">
        <v>0.64027777777777795</v>
      </c>
      <c r="D4014" s="131">
        <v>0</v>
      </c>
      <c r="E4014" s="131">
        <v>0</v>
      </c>
      <c r="F4014" s="131">
        <v>0</v>
      </c>
      <c r="G4014" s="131">
        <v>0</v>
      </c>
      <c r="H4014" s="131">
        <v>0</v>
      </c>
      <c r="I4014" s="131">
        <v>0</v>
      </c>
      <c r="J4014" s="131">
        <v>0</v>
      </c>
    </row>
    <row r="4015" spans="1:10">
      <c r="A4015" s="125" t="s">
        <v>103</v>
      </c>
      <c r="B4015" s="125" t="s">
        <v>11</v>
      </c>
      <c r="C4015" s="128">
        <v>0.64097222222222205</v>
      </c>
      <c r="D4015" s="131">
        <v>0</v>
      </c>
      <c r="E4015" s="131">
        <v>0</v>
      </c>
      <c r="F4015" s="131">
        <v>0</v>
      </c>
      <c r="G4015" s="131">
        <v>0</v>
      </c>
      <c r="H4015" s="131">
        <v>0</v>
      </c>
      <c r="I4015" s="131">
        <v>0</v>
      </c>
      <c r="J4015" s="131">
        <v>0</v>
      </c>
    </row>
    <row r="4016" spans="1:10">
      <c r="A4016" s="125" t="s">
        <v>103</v>
      </c>
      <c r="B4016" s="125" t="s">
        <v>11</v>
      </c>
      <c r="C4016" s="128">
        <v>0.64166666666666605</v>
      </c>
      <c r="D4016" s="131">
        <v>0</v>
      </c>
      <c r="E4016" s="131">
        <v>0</v>
      </c>
      <c r="F4016" s="131">
        <v>0</v>
      </c>
      <c r="G4016" s="131">
        <v>0</v>
      </c>
      <c r="H4016" s="131">
        <v>0</v>
      </c>
      <c r="I4016" s="131">
        <v>0</v>
      </c>
      <c r="J4016" s="131">
        <v>0</v>
      </c>
    </row>
    <row r="4017" spans="1:10">
      <c r="A4017" s="125" t="s">
        <v>103</v>
      </c>
      <c r="B4017" s="125" t="s">
        <v>11</v>
      </c>
      <c r="C4017" s="128">
        <v>0.64236111111111105</v>
      </c>
      <c r="D4017" s="131">
        <v>0</v>
      </c>
      <c r="E4017" s="131">
        <v>0</v>
      </c>
      <c r="F4017" s="131">
        <v>0</v>
      </c>
      <c r="G4017" s="131">
        <v>0</v>
      </c>
      <c r="H4017" s="131">
        <v>0</v>
      </c>
      <c r="I4017" s="131">
        <v>0</v>
      </c>
      <c r="J4017" s="131">
        <v>0</v>
      </c>
    </row>
    <row r="4018" spans="1:10">
      <c r="A4018" s="125" t="s">
        <v>103</v>
      </c>
      <c r="B4018" s="125" t="s">
        <v>11</v>
      </c>
      <c r="C4018" s="128">
        <v>0.64305555555555505</v>
      </c>
      <c r="D4018" s="131">
        <v>0</v>
      </c>
      <c r="E4018" s="131">
        <v>0</v>
      </c>
      <c r="F4018" s="131">
        <v>0</v>
      </c>
      <c r="G4018" s="131">
        <v>0</v>
      </c>
      <c r="H4018" s="131">
        <v>0</v>
      </c>
      <c r="I4018" s="131">
        <v>0</v>
      </c>
      <c r="J4018" s="131">
        <v>0</v>
      </c>
    </row>
    <row r="4019" spans="1:10">
      <c r="A4019" s="125" t="s">
        <v>103</v>
      </c>
      <c r="B4019" s="125" t="s">
        <v>11</v>
      </c>
      <c r="C4019" s="128">
        <v>0.64375000000000004</v>
      </c>
      <c r="D4019" s="131">
        <v>0</v>
      </c>
      <c r="E4019" s="131">
        <v>0</v>
      </c>
      <c r="F4019" s="131">
        <v>0</v>
      </c>
      <c r="G4019" s="131">
        <v>0</v>
      </c>
      <c r="H4019" s="131">
        <v>0</v>
      </c>
      <c r="I4019" s="131">
        <v>0</v>
      </c>
      <c r="J4019" s="131">
        <v>0</v>
      </c>
    </row>
    <row r="4020" spans="1:10">
      <c r="A4020" s="125" t="s">
        <v>103</v>
      </c>
      <c r="B4020" s="125" t="s">
        <v>11</v>
      </c>
      <c r="C4020" s="128">
        <v>0.64444444444444404</v>
      </c>
      <c r="D4020" s="131">
        <v>0</v>
      </c>
      <c r="E4020" s="131">
        <v>0</v>
      </c>
      <c r="F4020" s="131">
        <v>0</v>
      </c>
      <c r="G4020" s="131">
        <v>0</v>
      </c>
      <c r="H4020" s="131">
        <v>0</v>
      </c>
      <c r="I4020" s="131">
        <v>0</v>
      </c>
      <c r="J4020" s="131">
        <v>0</v>
      </c>
    </row>
    <row r="4021" spans="1:10" ht="17.5" thickBot="1">
      <c r="A4021" s="127" t="s">
        <v>103</v>
      </c>
      <c r="B4021" s="127" t="s">
        <v>11</v>
      </c>
      <c r="C4021" s="130">
        <v>0.64513888888888904</v>
      </c>
      <c r="D4021" s="134">
        <v>0</v>
      </c>
      <c r="E4021" s="134">
        <v>0</v>
      </c>
      <c r="F4021" s="134">
        <v>0</v>
      </c>
      <c r="G4021" s="134">
        <v>0</v>
      </c>
      <c r="H4021" s="134">
        <v>0</v>
      </c>
      <c r="I4021" s="134">
        <v>0</v>
      </c>
      <c r="J4021" s="134">
        <v>0</v>
      </c>
    </row>
    <row r="4022" spans="1:10">
      <c r="A4022" s="125" t="s">
        <v>103</v>
      </c>
      <c r="B4022" s="125" t="s">
        <v>12</v>
      </c>
      <c r="C4022" s="128">
        <v>0.60416666666666663</v>
      </c>
      <c r="D4022" s="135">
        <v>0</v>
      </c>
      <c r="E4022" s="135">
        <v>0</v>
      </c>
      <c r="F4022" s="135">
        <v>0</v>
      </c>
      <c r="G4022" s="135">
        <v>0</v>
      </c>
      <c r="H4022" s="135">
        <v>0</v>
      </c>
      <c r="I4022" s="135">
        <v>0</v>
      </c>
      <c r="J4022" s="135">
        <v>0</v>
      </c>
    </row>
    <row r="4023" spans="1:10">
      <c r="A4023" s="125" t="s">
        <v>103</v>
      </c>
      <c r="B4023" s="125" t="s">
        <v>12</v>
      </c>
      <c r="C4023" s="128">
        <v>0.60486111111111107</v>
      </c>
      <c r="D4023" s="131">
        <v>0</v>
      </c>
      <c r="E4023" s="131">
        <v>0</v>
      </c>
      <c r="F4023" s="131">
        <v>0</v>
      </c>
      <c r="G4023" s="131">
        <v>0</v>
      </c>
      <c r="H4023" s="131">
        <v>0</v>
      </c>
      <c r="I4023" s="131">
        <v>0</v>
      </c>
      <c r="J4023" s="131">
        <v>0</v>
      </c>
    </row>
    <row r="4024" spans="1:10">
      <c r="A4024" s="125" t="s">
        <v>103</v>
      </c>
      <c r="B4024" s="125" t="s">
        <v>12</v>
      </c>
      <c r="C4024" s="128">
        <v>0.60555555555555596</v>
      </c>
      <c r="D4024" s="131">
        <v>0</v>
      </c>
      <c r="E4024" s="131">
        <v>0</v>
      </c>
      <c r="F4024" s="131">
        <v>0</v>
      </c>
      <c r="G4024" s="131">
        <v>0</v>
      </c>
      <c r="H4024" s="131">
        <v>0</v>
      </c>
      <c r="I4024" s="131">
        <v>0</v>
      </c>
      <c r="J4024" s="131">
        <v>0</v>
      </c>
    </row>
    <row r="4025" spans="1:10">
      <c r="A4025" s="125" t="s">
        <v>103</v>
      </c>
      <c r="B4025" s="125" t="s">
        <v>12</v>
      </c>
      <c r="C4025" s="128">
        <v>0.60624999999999996</v>
      </c>
      <c r="D4025" s="131">
        <v>0</v>
      </c>
      <c r="E4025" s="131">
        <v>0</v>
      </c>
      <c r="F4025" s="131">
        <v>0</v>
      </c>
      <c r="G4025" s="131">
        <v>0</v>
      </c>
      <c r="H4025" s="131">
        <v>0</v>
      </c>
      <c r="I4025" s="131">
        <v>0</v>
      </c>
      <c r="J4025" s="131">
        <v>0</v>
      </c>
    </row>
    <row r="4026" spans="1:10">
      <c r="A4026" s="125" t="s">
        <v>103</v>
      </c>
      <c r="B4026" s="125" t="s">
        <v>12</v>
      </c>
      <c r="C4026" s="128">
        <v>0.60694444444444395</v>
      </c>
      <c r="D4026" s="131">
        <v>0</v>
      </c>
      <c r="E4026" s="131">
        <v>0</v>
      </c>
      <c r="F4026" s="131">
        <v>0</v>
      </c>
      <c r="G4026" s="131">
        <v>0</v>
      </c>
      <c r="H4026" s="131">
        <v>0</v>
      </c>
      <c r="I4026" s="131">
        <v>0</v>
      </c>
      <c r="J4026" s="131">
        <v>0</v>
      </c>
    </row>
    <row r="4027" spans="1:10">
      <c r="A4027" s="125" t="s">
        <v>103</v>
      </c>
      <c r="B4027" s="125" t="s">
        <v>12</v>
      </c>
      <c r="C4027" s="128">
        <v>0.60763888888888895</v>
      </c>
      <c r="D4027" s="131">
        <v>0</v>
      </c>
      <c r="E4027" s="131">
        <v>0</v>
      </c>
      <c r="F4027" s="131">
        <v>0</v>
      </c>
      <c r="G4027" s="131">
        <v>0</v>
      </c>
      <c r="H4027" s="131">
        <v>0</v>
      </c>
      <c r="I4027" s="131">
        <v>0</v>
      </c>
      <c r="J4027" s="131">
        <v>0</v>
      </c>
    </row>
    <row r="4028" spans="1:10">
      <c r="A4028" s="125" t="s">
        <v>103</v>
      </c>
      <c r="B4028" s="125" t="s">
        <v>12</v>
      </c>
      <c r="C4028" s="128">
        <v>0.60833333333333295</v>
      </c>
      <c r="D4028" s="131">
        <v>0</v>
      </c>
      <c r="E4028" s="131">
        <v>0</v>
      </c>
      <c r="F4028" s="131">
        <v>0</v>
      </c>
      <c r="G4028" s="131">
        <v>0</v>
      </c>
      <c r="H4028" s="131">
        <v>0</v>
      </c>
      <c r="I4028" s="131">
        <v>0</v>
      </c>
      <c r="J4028" s="131">
        <v>0</v>
      </c>
    </row>
    <row r="4029" spans="1:10">
      <c r="A4029" s="125" t="s">
        <v>103</v>
      </c>
      <c r="B4029" s="125" t="s">
        <v>12</v>
      </c>
      <c r="C4029" s="128">
        <v>0.60902777777777795</v>
      </c>
      <c r="D4029" s="131">
        <v>0</v>
      </c>
      <c r="E4029" s="131">
        <v>0</v>
      </c>
      <c r="F4029" s="131">
        <v>0</v>
      </c>
      <c r="G4029" s="131">
        <v>0</v>
      </c>
      <c r="H4029" s="131">
        <v>0</v>
      </c>
      <c r="I4029" s="131">
        <v>0</v>
      </c>
      <c r="J4029" s="131">
        <v>0</v>
      </c>
    </row>
    <row r="4030" spans="1:10">
      <c r="A4030" s="125" t="s">
        <v>103</v>
      </c>
      <c r="B4030" s="125" t="s">
        <v>12</v>
      </c>
      <c r="C4030" s="128">
        <v>0.60972222222222205</v>
      </c>
      <c r="D4030" s="131">
        <v>0</v>
      </c>
      <c r="E4030" s="131">
        <v>0</v>
      </c>
      <c r="F4030" s="131">
        <v>0</v>
      </c>
      <c r="G4030" s="131">
        <v>0</v>
      </c>
      <c r="H4030" s="131">
        <v>0</v>
      </c>
      <c r="I4030" s="131">
        <v>0</v>
      </c>
      <c r="J4030" s="131">
        <v>0</v>
      </c>
    </row>
    <row r="4031" spans="1:10">
      <c r="A4031" s="125" t="s">
        <v>103</v>
      </c>
      <c r="B4031" s="125" t="s">
        <v>12</v>
      </c>
      <c r="C4031" s="128">
        <v>0.61041666666666705</v>
      </c>
      <c r="D4031" s="131">
        <v>0</v>
      </c>
      <c r="E4031" s="131">
        <v>0</v>
      </c>
      <c r="F4031" s="131">
        <v>0</v>
      </c>
      <c r="G4031" s="131">
        <v>0</v>
      </c>
      <c r="H4031" s="131">
        <v>0</v>
      </c>
      <c r="I4031" s="131">
        <v>0</v>
      </c>
      <c r="J4031" s="131">
        <v>0</v>
      </c>
    </row>
    <row r="4032" spans="1:10">
      <c r="A4032" s="125" t="s">
        <v>103</v>
      </c>
      <c r="B4032" s="125" t="s">
        <v>12</v>
      </c>
      <c r="C4032" s="128">
        <v>0.61111111111111105</v>
      </c>
      <c r="D4032" s="131">
        <v>0</v>
      </c>
      <c r="E4032" s="131">
        <v>0</v>
      </c>
      <c r="F4032" s="131">
        <v>0</v>
      </c>
      <c r="G4032" s="131">
        <v>0</v>
      </c>
      <c r="H4032" s="131">
        <v>0</v>
      </c>
      <c r="I4032" s="131">
        <v>0</v>
      </c>
      <c r="J4032" s="131">
        <v>0</v>
      </c>
    </row>
    <row r="4033" spans="1:10">
      <c r="A4033" s="125" t="s">
        <v>103</v>
      </c>
      <c r="B4033" s="125" t="s">
        <v>12</v>
      </c>
      <c r="C4033" s="128">
        <v>0.61180555555555505</v>
      </c>
      <c r="D4033" s="131">
        <v>0</v>
      </c>
      <c r="E4033" s="131">
        <v>0</v>
      </c>
      <c r="F4033" s="131">
        <v>0</v>
      </c>
      <c r="G4033" s="131">
        <v>0</v>
      </c>
      <c r="H4033" s="131">
        <v>0</v>
      </c>
      <c r="I4033" s="131">
        <v>0</v>
      </c>
      <c r="J4033" s="131">
        <v>0</v>
      </c>
    </row>
    <row r="4034" spans="1:10">
      <c r="A4034" s="125" t="s">
        <v>103</v>
      </c>
      <c r="B4034" s="125" t="s">
        <v>12</v>
      </c>
      <c r="C4034" s="128">
        <v>0.61250000000000004</v>
      </c>
      <c r="D4034" s="131">
        <v>0</v>
      </c>
      <c r="E4034" s="131">
        <v>0</v>
      </c>
      <c r="F4034" s="131">
        <v>0</v>
      </c>
      <c r="G4034" s="131">
        <v>0</v>
      </c>
      <c r="H4034" s="131">
        <v>0</v>
      </c>
      <c r="I4034" s="131">
        <v>0</v>
      </c>
      <c r="J4034" s="131">
        <v>0</v>
      </c>
    </row>
    <row r="4035" spans="1:10">
      <c r="A4035" s="125" t="s">
        <v>103</v>
      </c>
      <c r="B4035" s="125" t="s">
        <v>12</v>
      </c>
      <c r="C4035" s="128">
        <v>0.61319444444444404</v>
      </c>
      <c r="D4035" s="131">
        <v>0</v>
      </c>
      <c r="E4035" s="131">
        <v>0</v>
      </c>
      <c r="F4035" s="131">
        <v>0</v>
      </c>
      <c r="G4035" s="131">
        <v>0</v>
      </c>
      <c r="H4035" s="131">
        <v>0</v>
      </c>
      <c r="I4035" s="131">
        <v>0</v>
      </c>
      <c r="J4035" s="131">
        <v>0</v>
      </c>
    </row>
    <row r="4036" spans="1:10">
      <c r="A4036" s="126" t="s">
        <v>103</v>
      </c>
      <c r="B4036" s="126" t="s">
        <v>12</v>
      </c>
      <c r="C4036" s="129">
        <v>0.61388888888888904</v>
      </c>
      <c r="D4036" s="132">
        <v>0</v>
      </c>
      <c r="E4036" s="132">
        <v>0</v>
      </c>
      <c r="F4036" s="132">
        <v>0</v>
      </c>
      <c r="G4036" s="132">
        <v>0</v>
      </c>
      <c r="H4036" s="132">
        <v>0</v>
      </c>
      <c r="I4036" s="132">
        <v>0</v>
      </c>
      <c r="J4036" s="132">
        <v>0</v>
      </c>
    </row>
    <row r="4037" spans="1:10">
      <c r="A4037" s="125" t="s">
        <v>103</v>
      </c>
      <c r="B4037" s="125" t="s">
        <v>12</v>
      </c>
      <c r="C4037" s="128">
        <v>0.61458333333333304</v>
      </c>
      <c r="D4037" s="133">
        <v>0</v>
      </c>
      <c r="E4037" s="133">
        <v>0</v>
      </c>
      <c r="F4037" s="133">
        <v>0</v>
      </c>
      <c r="G4037" s="133">
        <v>0</v>
      </c>
      <c r="H4037" s="133">
        <v>0</v>
      </c>
      <c r="I4037" s="133">
        <v>0</v>
      </c>
      <c r="J4037" s="133">
        <v>0</v>
      </c>
    </row>
    <row r="4038" spans="1:10">
      <c r="A4038" s="125" t="s">
        <v>103</v>
      </c>
      <c r="B4038" s="125" t="s">
        <v>12</v>
      </c>
      <c r="C4038" s="128">
        <v>0.61527777777777803</v>
      </c>
      <c r="D4038" s="131">
        <v>0</v>
      </c>
      <c r="E4038" s="131">
        <v>0</v>
      </c>
      <c r="F4038" s="131">
        <v>0</v>
      </c>
      <c r="G4038" s="131">
        <v>0</v>
      </c>
      <c r="H4038" s="131">
        <v>0</v>
      </c>
      <c r="I4038" s="131">
        <v>0</v>
      </c>
      <c r="J4038" s="131">
        <v>0</v>
      </c>
    </row>
    <row r="4039" spans="1:10">
      <c r="A4039" s="125" t="s">
        <v>103</v>
      </c>
      <c r="B4039" s="125" t="s">
        <v>12</v>
      </c>
      <c r="C4039" s="128">
        <v>0.61597222222222203</v>
      </c>
      <c r="D4039" s="131">
        <v>0</v>
      </c>
      <c r="E4039" s="131">
        <v>0</v>
      </c>
      <c r="F4039" s="131">
        <v>0</v>
      </c>
      <c r="G4039" s="131">
        <v>0</v>
      </c>
      <c r="H4039" s="131">
        <v>0</v>
      </c>
      <c r="I4039" s="131">
        <v>0</v>
      </c>
      <c r="J4039" s="131">
        <v>0</v>
      </c>
    </row>
    <row r="4040" spans="1:10">
      <c r="A4040" s="125" t="s">
        <v>103</v>
      </c>
      <c r="B4040" s="125" t="s">
        <v>12</v>
      </c>
      <c r="C4040" s="128">
        <v>0.61666666666666703</v>
      </c>
      <c r="D4040" s="131">
        <v>0</v>
      </c>
      <c r="E4040" s="131">
        <v>0</v>
      </c>
      <c r="F4040" s="131">
        <v>0</v>
      </c>
      <c r="G4040" s="131">
        <v>0</v>
      </c>
      <c r="H4040" s="131">
        <v>0</v>
      </c>
      <c r="I4040" s="131">
        <v>0</v>
      </c>
      <c r="J4040" s="131">
        <v>0</v>
      </c>
    </row>
    <row r="4041" spans="1:10">
      <c r="A4041" s="125" t="s">
        <v>103</v>
      </c>
      <c r="B4041" s="125" t="s">
        <v>12</v>
      </c>
      <c r="C4041" s="128">
        <v>0.61736111111111103</v>
      </c>
      <c r="D4041" s="131">
        <v>0</v>
      </c>
      <c r="E4041" s="131">
        <v>0</v>
      </c>
      <c r="F4041" s="131">
        <v>0</v>
      </c>
      <c r="G4041" s="131">
        <v>0</v>
      </c>
      <c r="H4041" s="131">
        <v>0</v>
      </c>
      <c r="I4041" s="131">
        <v>0</v>
      </c>
      <c r="J4041" s="131">
        <v>0</v>
      </c>
    </row>
    <row r="4042" spans="1:10">
      <c r="A4042" s="125" t="s">
        <v>103</v>
      </c>
      <c r="B4042" s="125" t="s">
        <v>12</v>
      </c>
      <c r="C4042" s="128">
        <v>0.61805555555555503</v>
      </c>
      <c r="D4042" s="131">
        <v>0</v>
      </c>
      <c r="E4042" s="131">
        <v>0</v>
      </c>
      <c r="F4042" s="131">
        <v>0</v>
      </c>
      <c r="G4042" s="131">
        <v>0</v>
      </c>
      <c r="H4042" s="131">
        <v>0</v>
      </c>
      <c r="I4042" s="131">
        <v>0</v>
      </c>
      <c r="J4042" s="131">
        <v>0</v>
      </c>
    </row>
    <row r="4043" spans="1:10">
      <c r="A4043" s="125" t="s">
        <v>103</v>
      </c>
      <c r="B4043" s="125" t="s">
        <v>12</v>
      </c>
      <c r="C4043" s="128">
        <v>0.61875000000000002</v>
      </c>
      <c r="D4043" s="131">
        <v>0</v>
      </c>
      <c r="E4043" s="131">
        <v>0</v>
      </c>
      <c r="F4043" s="131">
        <v>0</v>
      </c>
      <c r="G4043" s="131">
        <v>0</v>
      </c>
      <c r="H4043" s="131">
        <v>0</v>
      </c>
      <c r="I4043" s="131">
        <v>0</v>
      </c>
      <c r="J4043" s="131">
        <v>0</v>
      </c>
    </row>
    <row r="4044" spans="1:10">
      <c r="A4044" s="125" t="s">
        <v>103</v>
      </c>
      <c r="B4044" s="125" t="s">
        <v>12</v>
      </c>
      <c r="C4044" s="128">
        <v>0.61944444444444402</v>
      </c>
      <c r="D4044" s="131">
        <v>0</v>
      </c>
      <c r="E4044" s="131">
        <v>0</v>
      </c>
      <c r="F4044" s="131">
        <v>0</v>
      </c>
      <c r="G4044" s="131">
        <v>0</v>
      </c>
      <c r="H4044" s="131">
        <v>0</v>
      </c>
      <c r="I4044" s="131">
        <v>0</v>
      </c>
      <c r="J4044" s="131">
        <v>0</v>
      </c>
    </row>
    <row r="4045" spans="1:10">
      <c r="A4045" s="125" t="s">
        <v>103</v>
      </c>
      <c r="B4045" s="125" t="s">
        <v>12</v>
      </c>
      <c r="C4045" s="128">
        <v>0.62013888888888902</v>
      </c>
      <c r="D4045" s="131">
        <v>0</v>
      </c>
      <c r="E4045" s="131">
        <v>0</v>
      </c>
      <c r="F4045" s="131">
        <v>0</v>
      </c>
      <c r="G4045" s="131">
        <v>0</v>
      </c>
      <c r="H4045" s="131">
        <v>0</v>
      </c>
      <c r="I4045" s="131">
        <v>0</v>
      </c>
      <c r="J4045" s="131">
        <v>0</v>
      </c>
    </row>
    <row r="4046" spans="1:10">
      <c r="A4046" s="125" t="s">
        <v>103</v>
      </c>
      <c r="B4046" s="125" t="s">
        <v>12</v>
      </c>
      <c r="C4046" s="128">
        <v>0.62083333333333302</v>
      </c>
      <c r="D4046" s="131">
        <v>0</v>
      </c>
      <c r="E4046" s="131">
        <v>0</v>
      </c>
      <c r="F4046" s="131">
        <v>0</v>
      </c>
      <c r="G4046" s="131">
        <v>0</v>
      </c>
      <c r="H4046" s="131">
        <v>0</v>
      </c>
      <c r="I4046" s="131">
        <v>0</v>
      </c>
      <c r="J4046" s="131">
        <v>0</v>
      </c>
    </row>
    <row r="4047" spans="1:10">
      <c r="A4047" s="125" t="s">
        <v>103</v>
      </c>
      <c r="B4047" s="125" t="s">
        <v>12</v>
      </c>
      <c r="C4047" s="128">
        <v>0.62152777777777801</v>
      </c>
      <c r="D4047" s="131">
        <v>0</v>
      </c>
      <c r="E4047" s="131">
        <v>0</v>
      </c>
      <c r="F4047" s="131">
        <v>0</v>
      </c>
      <c r="G4047" s="131">
        <v>0</v>
      </c>
      <c r="H4047" s="131">
        <v>0</v>
      </c>
      <c r="I4047" s="131">
        <v>0</v>
      </c>
      <c r="J4047" s="131">
        <v>0</v>
      </c>
    </row>
    <row r="4048" spans="1:10">
      <c r="A4048" s="125" t="s">
        <v>103</v>
      </c>
      <c r="B4048" s="125" t="s">
        <v>12</v>
      </c>
      <c r="C4048" s="128">
        <v>0.62222222222222201</v>
      </c>
      <c r="D4048" s="131">
        <v>0</v>
      </c>
      <c r="E4048" s="131">
        <v>0</v>
      </c>
      <c r="F4048" s="131">
        <v>0</v>
      </c>
      <c r="G4048" s="131">
        <v>0</v>
      </c>
      <c r="H4048" s="131">
        <v>0</v>
      </c>
      <c r="I4048" s="131">
        <v>0</v>
      </c>
      <c r="J4048" s="131">
        <v>0</v>
      </c>
    </row>
    <row r="4049" spans="1:10">
      <c r="A4049" s="125" t="s">
        <v>103</v>
      </c>
      <c r="B4049" s="125" t="s">
        <v>12</v>
      </c>
      <c r="C4049" s="128">
        <v>0.62291666666666701</v>
      </c>
      <c r="D4049" s="131">
        <v>0</v>
      </c>
      <c r="E4049" s="131">
        <v>0</v>
      </c>
      <c r="F4049" s="131">
        <v>0</v>
      </c>
      <c r="G4049" s="131">
        <v>0</v>
      </c>
      <c r="H4049" s="131">
        <v>0</v>
      </c>
      <c r="I4049" s="131">
        <v>0</v>
      </c>
      <c r="J4049" s="131">
        <v>0</v>
      </c>
    </row>
    <row r="4050" spans="1:10">
      <c r="A4050" s="125" t="s">
        <v>103</v>
      </c>
      <c r="B4050" s="125" t="s">
        <v>12</v>
      </c>
      <c r="C4050" s="128">
        <v>0.62361111111111101</v>
      </c>
      <c r="D4050" s="131">
        <v>0</v>
      </c>
      <c r="E4050" s="131">
        <v>0</v>
      </c>
      <c r="F4050" s="131">
        <v>0</v>
      </c>
      <c r="G4050" s="131">
        <v>0</v>
      </c>
      <c r="H4050" s="131">
        <v>0</v>
      </c>
      <c r="I4050" s="131">
        <v>0</v>
      </c>
      <c r="J4050" s="131">
        <v>0</v>
      </c>
    </row>
    <row r="4051" spans="1:10">
      <c r="A4051" s="126" t="s">
        <v>103</v>
      </c>
      <c r="B4051" s="126" t="s">
        <v>12</v>
      </c>
      <c r="C4051" s="129">
        <v>0.624305555555555</v>
      </c>
      <c r="D4051" s="132">
        <v>0</v>
      </c>
      <c r="E4051" s="132">
        <v>0</v>
      </c>
      <c r="F4051" s="132">
        <v>0</v>
      </c>
      <c r="G4051" s="132">
        <v>0</v>
      </c>
      <c r="H4051" s="132">
        <v>0</v>
      </c>
      <c r="I4051" s="132">
        <v>0</v>
      </c>
      <c r="J4051" s="132">
        <v>0</v>
      </c>
    </row>
    <row r="4052" spans="1:10">
      <c r="A4052" s="125" t="s">
        <v>103</v>
      </c>
      <c r="B4052" s="125" t="s">
        <v>12</v>
      </c>
      <c r="C4052" s="128">
        <v>0.625</v>
      </c>
      <c r="D4052" s="133">
        <v>0</v>
      </c>
      <c r="E4052" s="133">
        <v>0</v>
      </c>
      <c r="F4052" s="133">
        <v>0</v>
      </c>
      <c r="G4052" s="133">
        <v>0</v>
      </c>
      <c r="H4052" s="133">
        <v>0</v>
      </c>
      <c r="I4052" s="133">
        <v>0</v>
      </c>
      <c r="J4052" s="133">
        <v>0</v>
      </c>
    </row>
    <row r="4053" spans="1:10">
      <c r="A4053" s="125" t="s">
        <v>103</v>
      </c>
      <c r="B4053" s="125" t="s">
        <v>12</v>
      </c>
      <c r="C4053" s="128">
        <v>0.625694444444444</v>
      </c>
      <c r="D4053" s="131">
        <v>0</v>
      </c>
      <c r="E4053" s="131">
        <v>0</v>
      </c>
      <c r="F4053" s="131">
        <v>0</v>
      </c>
      <c r="G4053" s="131">
        <v>0</v>
      </c>
      <c r="H4053" s="131">
        <v>0</v>
      </c>
      <c r="I4053" s="131">
        <v>0</v>
      </c>
      <c r="J4053" s="131">
        <v>0</v>
      </c>
    </row>
    <row r="4054" spans="1:10">
      <c r="A4054" s="125" t="s">
        <v>103</v>
      </c>
      <c r="B4054" s="125" t="s">
        <v>12</v>
      </c>
      <c r="C4054" s="128">
        <v>0.62638888888888899</v>
      </c>
      <c r="D4054" s="131">
        <v>0</v>
      </c>
      <c r="E4054" s="131">
        <v>0</v>
      </c>
      <c r="F4054" s="131">
        <v>0</v>
      </c>
      <c r="G4054" s="131">
        <v>0</v>
      </c>
      <c r="H4054" s="131">
        <v>0</v>
      </c>
      <c r="I4054" s="131">
        <v>0</v>
      </c>
      <c r="J4054" s="131">
        <v>0</v>
      </c>
    </row>
    <row r="4055" spans="1:10">
      <c r="A4055" s="125" t="s">
        <v>103</v>
      </c>
      <c r="B4055" s="125" t="s">
        <v>12</v>
      </c>
      <c r="C4055" s="128">
        <v>0.62708333333333299</v>
      </c>
      <c r="D4055" s="131">
        <v>0</v>
      </c>
      <c r="E4055" s="131">
        <v>0</v>
      </c>
      <c r="F4055" s="131">
        <v>0</v>
      </c>
      <c r="G4055" s="131">
        <v>0</v>
      </c>
      <c r="H4055" s="131">
        <v>0</v>
      </c>
      <c r="I4055" s="131">
        <v>0</v>
      </c>
      <c r="J4055" s="131">
        <v>0</v>
      </c>
    </row>
    <row r="4056" spans="1:10">
      <c r="A4056" s="125" t="s">
        <v>103</v>
      </c>
      <c r="B4056" s="125" t="s">
        <v>12</v>
      </c>
      <c r="C4056" s="128">
        <v>0.62777777777777799</v>
      </c>
      <c r="D4056" s="131">
        <v>0</v>
      </c>
      <c r="E4056" s="131">
        <v>0</v>
      </c>
      <c r="F4056" s="131">
        <v>0</v>
      </c>
      <c r="G4056" s="131">
        <v>0</v>
      </c>
      <c r="H4056" s="131">
        <v>0</v>
      </c>
      <c r="I4056" s="131">
        <v>0</v>
      </c>
      <c r="J4056" s="131">
        <v>0</v>
      </c>
    </row>
    <row r="4057" spans="1:10">
      <c r="A4057" s="125" t="s">
        <v>103</v>
      </c>
      <c r="B4057" s="125" t="s">
        <v>12</v>
      </c>
      <c r="C4057" s="128">
        <v>0.62847222222222199</v>
      </c>
      <c r="D4057" s="131">
        <v>0</v>
      </c>
      <c r="E4057" s="131">
        <v>0</v>
      </c>
      <c r="F4057" s="131">
        <v>0</v>
      </c>
      <c r="G4057" s="131">
        <v>0</v>
      </c>
      <c r="H4057" s="131">
        <v>0</v>
      </c>
      <c r="I4057" s="131">
        <v>0</v>
      </c>
      <c r="J4057" s="131">
        <v>0</v>
      </c>
    </row>
    <row r="4058" spans="1:10">
      <c r="A4058" s="125" t="s">
        <v>103</v>
      </c>
      <c r="B4058" s="125" t="s">
        <v>12</v>
      </c>
      <c r="C4058" s="128">
        <v>0.62916666666666698</v>
      </c>
      <c r="D4058" s="131">
        <v>0</v>
      </c>
      <c r="E4058" s="131">
        <v>0</v>
      </c>
      <c r="F4058" s="131">
        <v>0</v>
      </c>
      <c r="G4058" s="131">
        <v>0</v>
      </c>
      <c r="H4058" s="131">
        <v>0</v>
      </c>
      <c r="I4058" s="131">
        <v>0</v>
      </c>
      <c r="J4058" s="131">
        <v>0</v>
      </c>
    </row>
    <row r="4059" spans="1:10">
      <c r="A4059" s="125" t="s">
        <v>103</v>
      </c>
      <c r="B4059" s="125" t="s">
        <v>12</v>
      </c>
      <c r="C4059" s="128">
        <v>0.62986111111111098</v>
      </c>
      <c r="D4059" s="131">
        <v>0</v>
      </c>
      <c r="E4059" s="131">
        <v>0</v>
      </c>
      <c r="F4059" s="131">
        <v>0</v>
      </c>
      <c r="G4059" s="131">
        <v>0</v>
      </c>
      <c r="H4059" s="131">
        <v>0</v>
      </c>
      <c r="I4059" s="131">
        <v>0</v>
      </c>
      <c r="J4059" s="131">
        <v>0</v>
      </c>
    </row>
    <row r="4060" spans="1:10">
      <c r="A4060" s="125" t="s">
        <v>103</v>
      </c>
      <c r="B4060" s="125" t="s">
        <v>12</v>
      </c>
      <c r="C4060" s="128">
        <v>0.63055555555555498</v>
      </c>
      <c r="D4060" s="131">
        <v>0</v>
      </c>
      <c r="E4060" s="131">
        <v>0</v>
      </c>
      <c r="F4060" s="131">
        <v>0</v>
      </c>
      <c r="G4060" s="131">
        <v>0</v>
      </c>
      <c r="H4060" s="131">
        <v>0</v>
      </c>
      <c r="I4060" s="131">
        <v>0</v>
      </c>
      <c r="J4060" s="131">
        <v>0</v>
      </c>
    </row>
    <row r="4061" spans="1:10">
      <c r="A4061" s="125" t="s">
        <v>103</v>
      </c>
      <c r="B4061" s="125" t="s">
        <v>12</v>
      </c>
      <c r="C4061" s="128">
        <v>0.63124999999999998</v>
      </c>
      <c r="D4061" s="131">
        <v>0</v>
      </c>
      <c r="E4061" s="131">
        <v>0</v>
      </c>
      <c r="F4061" s="131">
        <v>0</v>
      </c>
      <c r="G4061" s="131">
        <v>0</v>
      </c>
      <c r="H4061" s="131">
        <v>0</v>
      </c>
      <c r="I4061" s="131">
        <v>0</v>
      </c>
      <c r="J4061" s="131">
        <v>0</v>
      </c>
    </row>
    <row r="4062" spans="1:10">
      <c r="A4062" s="125" t="s">
        <v>103</v>
      </c>
      <c r="B4062" s="125" t="s">
        <v>12</v>
      </c>
      <c r="C4062" s="128">
        <v>0.63194444444444398</v>
      </c>
      <c r="D4062" s="131">
        <v>0</v>
      </c>
      <c r="E4062" s="131">
        <v>0</v>
      </c>
      <c r="F4062" s="131">
        <v>0</v>
      </c>
      <c r="G4062" s="131">
        <v>0</v>
      </c>
      <c r="H4062" s="131">
        <v>0</v>
      </c>
      <c r="I4062" s="131">
        <v>0</v>
      </c>
      <c r="J4062" s="131">
        <v>0</v>
      </c>
    </row>
    <row r="4063" spans="1:10">
      <c r="A4063" s="125" t="s">
        <v>103</v>
      </c>
      <c r="B4063" s="125" t="s">
        <v>12</v>
      </c>
      <c r="C4063" s="128">
        <v>0.63263888888888897</v>
      </c>
      <c r="D4063" s="131">
        <v>0</v>
      </c>
      <c r="E4063" s="131">
        <v>0</v>
      </c>
      <c r="F4063" s="131">
        <v>0</v>
      </c>
      <c r="G4063" s="131">
        <v>0</v>
      </c>
      <c r="H4063" s="131">
        <v>0</v>
      </c>
      <c r="I4063" s="131">
        <v>0</v>
      </c>
      <c r="J4063" s="131">
        <v>0</v>
      </c>
    </row>
    <row r="4064" spans="1:10">
      <c r="A4064" s="125" t="s">
        <v>103</v>
      </c>
      <c r="B4064" s="125" t="s">
        <v>12</v>
      </c>
      <c r="C4064" s="128">
        <v>0.63333333333333297</v>
      </c>
      <c r="D4064" s="131">
        <v>0</v>
      </c>
      <c r="E4064" s="131">
        <v>0</v>
      </c>
      <c r="F4064" s="131">
        <v>0</v>
      </c>
      <c r="G4064" s="131">
        <v>0</v>
      </c>
      <c r="H4064" s="131">
        <v>0</v>
      </c>
      <c r="I4064" s="131">
        <v>0</v>
      </c>
      <c r="J4064" s="131">
        <v>0</v>
      </c>
    </row>
    <row r="4065" spans="1:10">
      <c r="A4065" s="125" t="s">
        <v>103</v>
      </c>
      <c r="B4065" s="125" t="s">
        <v>12</v>
      </c>
      <c r="C4065" s="128">
        <v>0.63402777777777797</v>
      </c>
      <c r="D4065" s="131">
        <v>0</v>
      </c>
      <c r="E4065" s="131">
        <v>0</v>
      </c>
      <c r="F4065" s="131">
        <v>0</v>
      </c>
      <c r="G4065" s="131">
        <v>0</v>
      </c>
      <c r="H4065" s="131">
        <v>0</v>
      </c>
      <c r="I4065" s="131">
        <v>0</v>
      </c>
      <c r="J4065" s="131">
        <v>0</v>
      </c>
    </row>
    <row r="4066" spans="1:10">
      <c r="A4066" s="126" t="s">
        <v>103</v>
      </c>
      <c r="B4066" s="126" t="s">
        <v>12</v>
      </c>
      <c r="C4066" s="129">
        <v>0.63472222222222197</v>
      </c>
      <c r="D4066" s="132">
        <v>0</v>
      </c>
      <c r="E4066" s="132">
        <v>0</v>
      </c>
      <c r="F4066" s="132">
        <v>0</v>
      </c>
      <c r="G4066" s="132">
        <v>0</v>
      </c>
      <c r="H4066" s="132">
        <v>0</v>
      </c>
      <c r="I4066" s="132">
        <v>0</v>
      </c>
      <c r="J4066" s="132">
        <v>0</v>
      </c>
    </row>
    <row r="4067" spans="1:10">
      <c r="A4067" s="125" t="s">
        <v>103</v>
      </c>
      <c r="B4067" s="125" t="s">
        <v>12</v>
      </c>
      <c r="C4067" s="128">
        <v>0.63541666666666696</v>
      </c>
      <c r="D4067" s="133">
        <v>0</v>
      </c>
      <c r="E4067" s="133">
        <v>0</v>
      </c>
      <c r="F4067" s="133">
        <v>0</v>
      </c>
      <c r="G4067" s="133">
        <v>0</v>
      </c>
      <c r="H4067" s="133">
        <v>0</v>
      </c>
      <c r="I4067" s="133">
        <v>0</v>
      </c>
      <c r="J4067" s="133">
        <v>0</v>
      </c>
    </row>
    <row r="4068" spans="1:10">
      <c r="A4068" s="125" t="s">
        <v>103</v>
      </c>
      <c r="B4068" s="125" t="s">
        <v>12</v>
      </c>
      <c r="C4068" s="128">
        <v>0.63611111111111096</v>
      </c>
      <c r="D4068" s="131">
        <v>0</v>
      </c>
      <c r="E4068" s="131">
        <v>0</v>
      </c>
      <c r="F4068" s="131">
        <v>0</v>
      </c>
      <c r="G4068" s="131">
        <v>0</v>
      </c>
      <c r="H4068" s="131">
        <v>0</v>
      </c>
      <c r="I4068" s="131">
        <v>0</v>
      </c>
      <c r="J4068" s="131">
        <v>0</v>
      </c>
    </row>
    <row r="4069" spans="1:10">
      <c r="A4069" s="125" t="s">
        <v>103</v>
      </c>
      <c r="B4069" s="125" t="s">
        <v>12</v>
      </c>
      <c r="C4069" s="128">
        <v>0.63680555555555496</v>
      </c>
      <c r="D4069" s="131">
        <v>0</v>
      </c>
      <c r="E4069" s="131">
        <v>0</v>
      </c>
      <c r="F4069" s="131">
        <v>0</v>
      </c>
      <c r="G4069" s="131">
        <v>0</v>
      </c>
      <c r="H4069" s="131">
        <v>0</v>
      </c>
      <c r="I4069" s="131">
        <v>0</v>
      </c>
      <c r="J4069" s="131">
        <v>0</v>
      </c>
    </row>
    <row r="4070" spans="1:10">
      <c r="A4070" s="125" t="s">
        <v>103</v>
      </c>
      <c r="B4070" s="125" t="s">
        <v>12</v>
      </c>
      <c r="C4070" s="128">
        <v>0.63749999999999996</v>
      </c>
      <c r="D4070" s="131">
        <v>0</v>
      </c>
      <c r="E4070" s="131">
        <v>0</v>
      </c>
      <c r="F4070" s="131">
        <v>0</v>
      </c>
      <c r="G4070" s="131">
        <v>0</v>
      </c>
      <c r="H4070" s="131">
        <v>0</v>
      </c>
      <c r="I4070" s="131">
        <v>0</v>
      </c>
      <c r="J4070" s="131">
        <v>0</v>
      </c>
    </row>
    <row r="4071" spans="1:10">
      <c r="A4071" s="125" t="s">
        <v>103</v>
      </c>
      <c r="B4071" s="125" t="s">
        <v>12</v>
      </c>
      <c r="C4071" s="128">
        <v>0.63819444444444395</v>
      </c>
      <c r="D4071" s="131">
        <v>0</v>
      </c>
      <c r="E4071" s="131">
        <v>0</v>
      </c>
      <c r="F4071" s="131">
        <v>0</v>
      </c>
      <c r="G4071" s="131">
        <v>0</v>
      </c>
      <c r="H4071" s="131">
        <v>0</v>
      </c>
      <c r="I4071" s="131">
        <v>0</v>
      </c>
      <c r="J4071" s="131">
        <v>0</v>
      </c>
    </row>
    <row r="4072" spans="1:10">
      <c r="A4072" s="125" t="s">
        <v>103</v>
      </c>
      <c r="B4072" s="125" t="s">
        <v>12</v>
      </c>
      <c r="C4072" s="128">
        <v>0.63888888888888895</v>
      </c>
      <c r="D4072" s="131">
        <v>0</v>
      </c>
      <c r="E4072" s="131">
        <v>0</v>
      </c>
      <c r="F4072" s="131">
        <v>0</v>
      </c>
      <c r="G4072" s="131">
        <v>0</v>
      </c>
      <c r="H4072" s="131">
        <v>0</v>
      </c>
      <c r="I4072" s="131">
        <v>0</v>
      </c>
      <c r="J4072" s="131">
        <v>0</v>
      </c>
    </row>
    <row r="4073" spans="1:10">
      <c r="A4073" s="125" t="s">
        <v>103</v>
      </c>
      <c r="B4073" s="125" t="s">
        <v>12</v>
      </c>
      <c r="C4073" s="128">
        <v>0.63958333333333295</v>
      </c>
      <c r="D4073" s="131">
        <v>0</v>
      </c>
      <c r="E4073" s="131">
        <v>0</v>
      </c>
      <c r="F4073" s="131">
        <v>0</v>
      </c>
      <c r="G4073" s="131">
        <v>0</v>
      </c>
      <c r="H4073" s="131">
        <v>0</v>
      </c>
      <c r="I4073" s="131">
        <v>0</v>
      </c>
      <c r="J4073" s="131">
        <v>0</v>
      </c>
    </row>
    <row r="4074" spans="1:10">
      <c r="A4074" s="125" t="s">
        <v>103</v>
      </c>
      <c r="B4074" s="125" t="s">
        <v>12</v>
      </c>
      <c r="C4074" s="128">
        <v>0.64027777777777795</v>
      </c>
      <c r="D4074" s="131">
        <v>0</v>
      </c>
      <c r="E4074" s="131">
        <v>0</v>
      </c>
      <c r="F4074" s="131">
        <v>0</v>
      </c>
      <c r="G4074" s="131">
        <v>0</v>
      </c>
      <c r="H4074" s="131">
        <v>0</v>
      </c>
      <c r="I4074" s="131">
        <v>0</v>
      </c>
      <c r="J4074" s="131">
        <v>0</v>
      </c>
    </row>
    <row r="4075" spans="1:10">
      <c r="A4075" s="125" t="s">
        <v>103</v>
      </c>
      <c r="B4075" s="125" t="s">
        <v>12</v>
      </c>
      <c r="C4075" s="128">
        <v>0.64097222222222205</v>
      </c>
      <c r="D4075" s="131">
        <v>0</v>
      </c>
      <c r="E4075" s="131">
        <v>0</v>
      </c>
      <c r="F4075" s="131">
        <v>0</v>
      </c>
      <c r="G4075" s="131">
        <v>0</v>
      </c>
      <c r="H4075" s="131">
        <v>0</v>
      </c>
      <c r="I4075" s="131">
        <v>0</v>
      </c>
      <c r="J4075" s="131">
        <v>0</v>
      </c>
    </row>
    <row r="4076" spans="1:10">
      <c r="A4076" s="125" t="s">
        <v>103</v>
      </c>
      <c r="B4076" s="125" t="s">
        <v>12</v>
      </c>
      <c r="C4076" s="128">
        <v>0.64166666666666605</v>
      </c>
      <c r="D4076" s="131">
        <v>0</v>
      </c>
      <c r="E4076" s="131">
        <v>0</v>
      </c>
      <c r="F4076" s="131">
        <v>0</v>
      </c>
      <c r="G4076" s="131">
        <v>0</v>
      </c>
      <c r="H4076" s="131">
        <v>0</v>
      </c>
      <c r="I4076" s="131">
        <v>0</v>
      </c>
      <c r="J4076" s="131">
        <v>0</v>
      </c>
    </row>
    <row r="4077" spans="1:10">
      <c r="A4077" s="125" t="s">
        <v>103</v>
      </c>
      <c r="B4077" s="125" t="s">
        <v>12</v>
      </c>
      <c r="C4077" s="128">
        <v>0.64236111111111105</v>
      </c>
      <c r="D4077" s="131">
        <v>0</v>
      </c>
      <c r="E4077" s="131">
        <v>0</v>
      </c>
      <c r="F4077" s="131">
        <v>0</v>
      </c>
      <c r="G4077" s="131">
        <v>0</v>
      </c>
      <c r="H4077" s="131">
        <v>0</v>
      </c>
      <c r="I4077" s="131">
        <v>0</v>
      </c>
      <c r="J4077" s="131">
        <v>0</v>
      </c>
    </row>
    <row r="4078" spans="1:10">
      <c r="A4078" s="125" t="s">
        <v>103</v>
      </c>
      <c r="B4078" s="125" t="s">
        <v>12</v>
      </c>
      <c r="C4078" s="128">
        <v>0.64305555555555505</v>
      </c>
      <c r="D4078" s="131">
        <v>0</v>
      </c>
      <c r="E4078" s="131">
        <v>0</v>
      </c>
      <c r="F4078" s="131">
        <v>0</v>
      </c>
      <c r="G4078" s="131">
        <v>0</v>
      </c>
      <c r="H4078" s="131">
        <v>0</v>
      </c>
      <c r="I4078" s="131">
        <v>0</v>
      </c>
      <c r="J4078" s="131">
        <v>0</v>
      </c>
    </row>
    <row r="4079" spans="1:10">
      <c r="A4079" s="125" t="s">
        <v>103</v>
      </c>
      <c r="B4079" s="125" t="s">
        <v>12</v>
      </c>
      <c r="C4079" s="128">
        <v>0.64375000000000004</v>
      </c>
      <c r="D4079" s="131">
        <v>0</v>
      </c>
      <c r="E4079" s="131">
        <v>0</v>
      </c>
      <c r="F4079" s="131">
        <v>0</v>
      </c>
      <c r="G4079" s="131">
        <v>0</v>
      </c>
      <c r="H4079" s="131">
        <v>0</v>
      </c>
      <c r="I4079" s="131">
        <v>0</v>
      </c>
      <c r="J4079" s="131">
        <v>0</v>
      </c>
    </row>
    <row r="4080" spans="1:10">
      <c r="A4080" s="125" t="s">
        <v>103</v>
      </c>
      <c r="B4080" s="125" t="s">
        <v>12</v>
      </c>
      <c r="C4080" s="128">
        <v>0.64444444444444404</v>
      </c>
      <c r="D4080" s="131">
        <v>0</v>
      </c>
      <c r="E4080" s="131">
        <v>0</v>
      </c>
      <c r="F4080" s="131">
        <v>0</v>
      </c>
      <c r="G4080" s="131">
        <v>0</v>
      </c>
      <c r="H4080" s="131">
        <v>0</v>
      </c>
      <c r="I4080" s="131">
        <v>0</v>
      </c>
      <c r="J4080" s="131">
        <v>0</v>
      </c>
    </row>
    <row r="4081" spans="1:10" ht="17.5" thickBot="1">
      <c r="A4081" s="127" t="s">
        <v>103</v>
      </c>
      <c r="B4081" s="127" t="s">
        <v>12</v>
      </c>
      <c r="C4081" s="130">
        <v>0.64513888888888904</v>
      </c>
      <c r="D4081" s="134">
        <v>0</v>
      </c>
      <c r="E4081" s="134">
        <v>0</v>
      </c>
      <c r="F4081" s="134">
        <v>0</v>
      </c>
      <c r="G4081" s="134">
        <v>0</v>
      </c>
      <c r="H4081" s="134">
        <v>0</v>
      </c>
      <c r="I4081" s="134">
        <v>0</v>
      </c>
      <c r="J4081" s="134">
        <v>0</v>
      </c>
    </row>
    <row r="4082" spans="1:10">
      <c r="A4082" s="125" t="s">
        <v>103</v>
      </c>
      <c r="B4082" s="125" t="s">
        <v>13</v>
      </c>
      <c r="C4082" s="128">
        <v>0.60416666666666663</v>
      </c>
      <c r="D4082" s="135">
        <v>0</v>
      </c>
      <c r="E4082" s="135">
        <v>0</v>
      </c>
      <c r="F4082" s="135">
        <v>0</v>
      </c>
      <c r="G4082" s="135">
        <v>0</v>
      </c>
      <c r="H4082" s="135">
        <v>0</v>
      </c>
      <c r="I4082" s="135">
        <v>0</v>
      </c>
      <c r="J4082" s="135">
        <v>0</v>
      </c>
    </row>
    <row r="4083" spans="1:10">
      <c r="A4083" s="125" t="s">
        <v>103</v>
      </c>
      <c r="B4083" s="125" t="s">
        <v>13</v>
      </c>
      <c r="C4083" s="128">
        <v>0.60486111111111107</v>
      </c>
      <c r="D4083" s="131">
        <v>0</v>
      </c>
      <c r="E4083" s="131">
        <v>0</v>
      </c>
      <c r="F4083" s="131">
        <v>0</v>
      </c>
      <c r="G4083" s="131">
        <v>0</v>
      </c>
      <c r="H4083" s="131">
        <v>0</v>
      </c>
      <c r="I4083" s="131">
        <v>0</v>
      </c>
      <c r="J4083" s="131">
        <v>0</v>
      </c>
    </row>
    <row r="4084" spans="1:10">
      <c r="A4084" s="125" t="s">
        <v>103</v>
      </c>
      <c r="B4084" s="125" t="s">
        <v>13</v>
      </c>
      <c r="C4084" s="128">
        <v>0.60555555555555596</v>
      </c>
      <c r="D4084" s="131">
        <v>0</v>
      </c>
      <c r="E4084" s="131">
        <v>0</v>
      </c>
      <c r="F4084" s="131">
        <v>0</v>
      </c>
      <c r="G4084" s="131">
        <v>0</v>
      </c>
      <c r="H4084" s="131">
        <v>0</v>
      </c>
      <c r="I4084" s="131">
        <v>0</v>
      </c>
      <c r="J4084" s="131">
        <v>0</v>
      </c>
    </row>
    <row r="4085" spans="1:10">
      <c r="A4085" s="125" t="s">
        <v>103</v>
      </c>
      <c r="B4085" s="125" t="s">
        <v>13</v>
      </c>
      <c r="C4085" s="128">
        <v>0.60624999999999996</v>
      </c>
      <c r="D4085" s="131">
        <v>0</v>
      </c>
      <c r="E4085" s="131">
        <v>0</v>
      </c>
      <c r="F4085" s="131">
        <v>0</v>
      </c>
      <c r="G4085" s="131">
        <v>0</v>
      </c>
      <c r="H4085" s="131">
        <v>0</v>
      </c>
      <c r="I4085" s="131">
        <v>0</v>
      </c>
      <c r="J4085" s="131">
        <v>0</v>
      </c>
    </row>
    <row r="4086" spans="1:10">
      <c r="A4086" s="125" t="s">
        <v>103</v>
      </c>
      <c r="B4086" s="125" t="s">
        <v>13</v>
      </c>
      <c r="C4086" s="128">
        <v>0.60694444444444395</v>
      </c>
      <c r="D4086" s="131">
        <v>0</v>
      </c>
      <c r="E4086" s="131">
        <v>0</v>
      </c>
      <c r="F4086" s="131">
        <v>0</v>
      </c>
      <c r="G4086" s="131">
        <v>0</v>
      </c>
      <c r="H4086" s="131">
        <v>0</v>
      </c>
      <c r="I4086" s="131">
        <v>0</v>
      </c>
      <c r="J4086" s="131">
        <v>0</v>
      </c>
    </row>
    <row r="4087" spans="1:10">
      <c r="A4087" s="125" t="s">
        <v>103</v>
      </c>
      <c r="B4087" s="125" t="s">
        <v>13</v>
      </c>
      <c r="C4087" s="128">
        <v>0.60763888888888895</v>
      </c>
      <c r="D4087" s="131">
        <v>0</v>
      </c>
      <c r="E4087" s="131">
        <v>0</v>
      </c>
      <c r="F4087" s="131">
        <v>0</v>
      </c>
      <c r="G4087" s="131">
        <v>0</v>
      </c>
      <c r="H4087" s="131">
        <v>0</v>
      </c>
      <c r="I4087" s="131">
        <v>0</v>
      </c>
      <c r="J4087" s="131">
        <v>0</v>
      </c>
    </row>
    <row r="4088" spans="1:10">
      <c r="A4088" s="125" t="s">
        <v>103</v>
      </c>
      <c r="B4088" s="125" t="s">
        <v>13</v>
      </c>
      <c r="C4088" s="128">
        <v>0.60833333333333295</v>
      </c>
      <c r="D4088" s="131">
        <v>0</v>
      </c>
      <c r="E4088" s="131">
        <v>0</v>
      </c>
      <c r="F4088" s="131">
        <v>0</v>
      </c>
      <c r="G4088" s="131">
        <v>0</v>
      </c>
      <c r="H4088" s="131">
        <v>0</v>
      </c>
      <c r="I4088" s="131">
        <v>0</v>
      </c>
      <c r="J4088" s="131">
        <v>0</v>
      </c>
    </row>
    <row r="4089" spans="1:10">
      <c r="A4089" s="125" t="s">
        <v>103</v>
      </c>
      <c r="B4089" s="125" t="s">
        <v>13</v>
      </c>
      <c r="C4089" s="128">
        <v>0.60902777777777795</v>
      </c>
      <c r="D4089" s="131">
        <v>0</v>
      </c>
      <c r="E4089" s="131">
        <v>0</v>
      </c>
      <c r="F4089" s="131">
        <v>0</v>
      </c>
      <c r="G4089" s="131">
        <v>0</v>
      </c>
      <c r="H4089" s="131">
        <v>0</v>
      </c>
      <c r="I4089" s="131">
        <v>0</v>
      </c>
      <c r="J4089" s="131">
        <v>0</v>
      </c>
    </row>
    <row r="4090" spans="1:10">
      <c r="A4090" s="125" t="s">
        <v>103</v>
      </c>
      <c r="B4090" s="125" t="s">
        <v>13</v>
      </c>
      <c r="C4090" s="128">
        <v>0.60972222222222205</v>
      </c>
      <c r="D4090" s="131">
        <v>0</v>
      </c>
      <c r="E4090" s="131">
        <v>0</v>
      </c>
      <c r="F4090" s="131">
        <v>0</v>
      </c>
      <c r="G4090" s="131">
        <v>0</v>
      </c>
      <c r="H4090" s="131">
        <v>0</v>
      </c>
      <c r="I4090" s="131">
        <v>0</v>
      </c>
      <c r="J4090" s="131">
        <v>0</v>
      </c>
    </row>
    <row r="4091" spans="1:10">
      <c r="A4091" s="125" t="s">
        <v>103</v>
      </c>
      <c r="B4091" s="125" t="s">
        <v>13</v>
      </c>
      <c r="C4091" s="128">
        <v>0.61041666666666705</v>
      </c>
      <c r="D4091" s="131">
        <v>0</v>
      </c>
      <c r="E4091" s="131">
        <v>0</v>
      </c>
      <c r="F4091" s="131">
        <v>0</v>
      </c>
      <c r="G4091" s="131">
        <v>0</v>
      </c>
      <c r="H4091" s="131">
        <v>0</v>
      </c>
      <c r="I4091" s="131">
        <v>0</v>
      </c>
      <c r="J4091" s="131">
        <v>0</v>
      </c>
    </row>
    <row r="4092" spans="1:10">
      <c r="A4092" s="125" t="s">
        <v>103</v>
      </c>
      <c r="B4092" s="125" t="s">
        <v>13</v>
      </c>
      <c r="C4092" s="128">
        <v>0.61111111111111105</v>
      </c>
      <c r="D4092" s="131">
        <v>0</v>
      </c>
      <c r="E4092" s="131">
        <v>0</v>
      </c>
      <c r="F4092" s="131">
        <v>0</v>
      </c>
      <c r="G4092" s="131">
        <v>0</v>
      </c>
      <c r="H4092" s="131">
        <v>0</v>
      </c>
      <c r="I4092" s="131">
        <v>0</v>
      </c>
      <c r="J4092" s="131">
        <v>0</v>
      </c>
    </row>
    <row r="4093" spans="1:10">
      <c r="A4093" s="125" t="s">
        <v>103</v>
      </c>
      <c r="B4093" s="125" t="s">
        <v>13</v>
      </c>
      <c r="C4093" s="128">
        <v>0.61180555555555505</v>
      </c>
      <c r="D4093" s="131">
        <v>0</v>
      </c>
      <c r="E4093" s="131">
        <v>0</v>
      </c>
      <c r="F4093" s="131">
        <v>0</v>
      </c>
      <c r="G4093" s="131">
        <v>0</v>
      </c>
      <c r="H4093" s="131">
        <v>0</v>
      </c>
      <c r="I4093" s="131">
        <v>0</v>
      </c>
      <c r="J4093" s="131">
        <v>0</v>
      </c>
    </row>
    <row r="4094" spans="1:10">
      <c r="A4094" s="125" t="s">
        <v>103</v>
      </c>
      <c r="B4094" s="125" t="s">
        <v>13</v>
      </c>
      <c r="C4094" s="128">
        <v>0.61250000000000004</v>
      </c>
      <c r="D4094" s="131">
        <v>0</v>
      </c>
      <c r="E4094" s="131">
        <v>0</v>
      </c>
      <c r="F4094" s="131">
        <v>0</v>
      </c>
      <c r="G4094" s="131">
        <v>0</v>
      </c>
      <c r="H4094" s="131">
        <v>0</v>
      </c>
      <c r="I4094" s="131">
        <v>0</v>
      </c>
      <c r="J4094" s="131">
        <v>0</v>
      </c>
    </row>
    <row r="4095" spans="1:10">
      <c r="A4095" s="125" t="s">
        <v>103</v>
      </c>
      <c r="B4095" s="125" t="s">
        <v>13</v>
      </c>
      <c r="C4095" s="128">
        <v>0.61319444444444404</v>
      </c>
      <c r="D4095" s="131">
        <v>0</v>
      </c>
      <c r="E4095" s="131">
        <v>0</v>
      </c>
      <c r="F4095" s="131">
        <v>0</v>
      </c>
      <c r="G4095" s="131">
        <v>0</v>
      </c>
      <c r="H4095" s="131">
        <v>0</v>
      </c>
      <c r="I4095" s="131">
        <v>0</v>
      </c>
      <c r="J4095" s="131">
        <v>0</v>
      </c>
    </row>
    <row r="4096" spans="1:10">
      <c r="A4096" s="126" t="s">
        <v>103</v>
      </c>
      <c r="B4096" s="126" t="s">
        <v>13</v>
      </c>
      <c r="C4096" s="129">
        <v>0.61388888888888904</v>
      </c>
      <c r="D4096" s="132">
        <v>0</v>
      </c>
      <c r="E4096" s="132">
        <v>0</v>
      </c>
      <c r="F4096" s="132">
        <v>0</v>
      </c>
      <c r="G4096" s="132">
        <v>0</v>
      </c>
      <c r="H4096" s="132">
        <v>0</v>
      </c>
      <c r="I4096" s="132">
        <v>0</v>
      </c>
      <c r="J4096" s="132">
        <v>0</v>
      </c>
    </row>
    <row r="4097" spans="1:10">
      <c r="A4097" s="125" t="s">
        <v>103</v>
      </c>
      <c r="B4097" s="125" t="s">
        <v>13</v>
      </c>
      <c r="C4097" s="128">
        <v>0.61458333333333304</v>
      </c>
      <c r="D4097" s="133">
        <v>0</v>
      </c>
      <c r="E4097" s="133">
        <v>0</v>
      </c>
      <c r="F4097" s="133">
        <v>0</v>
      </c>
      <c r="G4097" s="133">
        <v>0</v>
      </c>
      <c r="H4097" s="133">
        <v>0</v>
      </c>
      <c r="I4097" s="133">
        <v>0</v>
      </c>
      <c r="J4097" s="133">
        <v>0</v>
      </c>
    </row>
    <row r="4098" spans="1:10">
      <c r="A4098" s="125" t="s">
        <v>103</v>
      </c>
      <c r="B4098" s="125" t="s">
        <v>13</v>
      </c>
      <c r="C4098" s="128">
        <v>0.61527777777777803</v>
      </c>
      <c r="D4098" s="131">
        <v>0</v>
      </c>
      <c r="E4098" s="131">
        <v>0</v>
      </c>
      <c r="F4098" s="131">
        <v>0</v>
      </c>
      <c r="G4098" s="131">
        <v>0</v>
      </c>
      <c r="H4098" s="131">
        <v>0</v>
      </c>
      <c r="I4098" s="131">
        <v>0</v>
      </c>
      <c r="J4098" s="131">
        <v>0</v>
      </c>
    </row>
    <row r="4099" spans="1:10">
      <c r="A4099" s="125" t="s">
        <v>103</v>
      </c>
      <c r="B4099" s="125" t="s">
        <v>13</v>
      </c>
      <c r="C4099" s="128">
        <v>0.61597222222222203</v>
      </c>
      <c r="D4099" s="131">
        <v>0</v>
      </c>
      <c r="E4099" s="131">
        <v>0</v>
      </c>
      <c r="F4099" s="131">
        <v>0</v>
      </c>
      <c r="G4099" s="131">
        <v>0</v>
      </c>
      <c r="H4099" s="131">
        <v>0</v>
      </c>
      <c r="I4099" s="131">
        <v>0</v>
      </c>
      <c r="J4099" s="131">
        <v>0</v>
      </c>
    </row>
    <row r="4100" spans="1:10">
      <c r="A4100" s="125" t="s">
        <v>103</v>
      </c>
      <c r="B4100" s="125" t="s">
        <v>13</v>
      </c>
      <c r="C4100" s="128">
        <v>0.61666666666666703</v>
      </c>
      <c r="D4100" s="131">
        <v>0</v>
      </c>
      <c r="E4100" s="131">
        <v>0</v>
      </c>
      <c r="F4100" s="131">
        <v>0</v>
      </c>
      <c r="G4100" s="131">
        <v>0</v>
      </c>
      <c r="H4100" s="131">
        <v>0</v>
      </c>
      <c r="I4100" s="131">
        <v>0</v>
      </c>
      <c r="J4100" s="131">
        <v>0</v>
      </c>
    </row>
    <row r="4101" spans="1:10">
      <c r="A4101" s="125" t="s">
        <v>103</v>
      </c>
      <c r="B4101" s="125" t="s">
        <v>13</v>
      </c>
      <c r="C4101" s="128">
        <v>0.61736111111111103</v>
      </c>
      <c r="D4101" s="131">
        <v>0</v>
      </c>
      <c r="E4101" s="131">
        <v>0</v>
      </c>
      <c r="F4101" s="131">
        <v>0</v>
      </c>
      <c r="G4101" s="131">
        <v>0</v>
      </c>
      <c r="H4101" s="131">
        <v>0</v>
      </c>
      <c r="I4101" s="131">
        <v>0</v>
      </c>
      <c r="J4101" s="131">
        <v>0</v>
      </c>
    </row>
    <row r="4102" spans="1:10">
      <c r="A4102" s="125" t="s">
        <v>103</v>
      </c>
      <c r="B4102" s="125" t="s">
        <v>13</v>
      </c>
      <c r="C4102" s="128">
        <v>0.61805555555555503</v>
      </c>
      <c r="D4102" s="131">
        <v>0</v>
      </c>
      <c r="E4102" s="131">
        <v>0</v>
      </c>
      <c r="F4102" s="131">
        <v>0</v>
      </c>
      <c r="G4102" s="131">
        <v>0</v>
      </c>
      <c r="H4102" s="131">
        <v>0</v>
      </c>
      <c r="I4102" s="131">
        <v>0</v>
      </c>
      <c r="J4102" s="131">
        <v>0</v>
      </c>
    </row>
    <row r="4103" spans="1:10">
      <c r="A4103" s="125" t="s">
        <v>103</v>
      </c>
      <c r="B4103" s="125" t="s">
        <v>13</v>
      </c>
      <c r="C4103" s="128">
        <v>0.61875000000000002</v>
      </c>
      <c r="D4103" s="131">
        <v>0</v>
      </c>
      <c r="E4103" s="131">
        <v>0</v>
      </c>
      <c r="F4103" s="131">
        <v>0</v>
      </c>
      <c r="G4103" s="131">
        <v>0</v>
      </c>
      <c r="H4103" s="131">
        <v>0</v>
      </c>
      <c r="I4103" s="131">
        <v>0</v>
      </c>
      <c r="J4103" s="131">
        <v>0</v>
      </c>
    </row>
    <row r="4104" spans="1:10">
      <c r="A4104" s="125" t="s">
        <v>103</v>
      </c>
      <c r="B4104" s="125" t="s">
        <v>13</v>
      </c>
      <c r="C4104" s="128">
        <v>0.61944444444444402</v>
      </c>
      <c r="D4104" s="131">
        <v>0</v>
      </c>
      <c r="E4104" s="131">
        <v>0</v>
      </c>
      <c r="F4104" s="131">
        <v>0</v>
      </c>
      <c r="G4104" s="131">
        <v>0</v>
      </c>
      <c r="H4104" s="131">
        <v>0</v>
      </c>
      <c r="I4104" s="131">
        <v>0</v>
      </c>
      <c r="J4104" s="131">
        <v>0</v>
      </c>
    </row>
    <row r="4105" spans="1:10">
      <c r="A4105" s="125" t="s">
        <v>103</v>
      </c>
      <c r="B4105" s="125" t="s">
        <v>13</v>
      </c>
      <c r="C4105" s="128">
        <v>0.62013888888888902</v>
      </c>
      <c r="D4105" s="131">
        <v>0</v>
      </c>
      <c r="E4105" s="131">
        <v>0</v>
      </c>
      <c r="F4105" s="131">
        <v>0</v>
      </c>
      <c r="G4105" s="131">
        <v>0</v>
      </c>
      <c r="H4105" s="131">
        <v>0</v>
      </c>
      <c r="I4105" s="131">
        <v>0</v>
      </c>
      <c r="J4105" s="131">
        <v>0</v>
      </c>
    </row>
    <row r="4106" spans="1:10">
      <c r="A4106" s="125" t="s">
        <v>103</v>
      </c>
      <c r="B4106" s="125" t="s">
        <v>13</v>
      </c>
      <c r="C4106" s="128">
        <v>0.62083333333333302</v>
      </c>
      <c r="D4106" s="131">
        <v>0</v>
      </c>
      <c r="E4106" s="131">
        <v>0</v>
      </c>
      <c r="F4106" s="131">
        <v>0</v>
      </c>
      <c r="G4106" s="131">
        <v>0</v>
      </c>
      <c r="H4106" s="131">
        <v>0</v>
      </c>
      <c r="I4106" s="131">
        <v>0</v>
      </c>
      <c r="J4106" s="131">
        <v>0</v>
      </c>
    </row>
    <row r="4107" spans="1:10">
      <c r="A4107" s="125" t="s">
        <v>103</v>
      </c>
      <c r="B4107" s="125" t="s">
        <v>13</v>
      </c>
      <c r="C4107" s="128">
        <v>0.62152777777777801</v>
      </c>
      <c r="D4107" s="131">
        <v>0</v>
      </c>
      <c r="E4107" s="131">
        <v>0</v>
      </c>
      <c r="F4107" s="131">
        <v>0</v>
      </c>
      <c r="G4107" s="131">
        <v>0</v>
      </c>
      <c r="H4107" s="131">
        <v>0</v>
      </c>
      <c r="I4107" s="131">
        <v>0</v>
      </c>
      <c r="J4107" s="131">
        <v>0</v>
      </c>
    </row>
    <row r="4108" spans="1:10">
      <c r="A4108" s="125" t="s">
        <v>103</v>
      </c>
      <c r="B4108" s="125" t="s">
        <v>13</v>
      </c>
      <c r="C4108" s="128">
        <v>0.62222222222222201</v>
      </c>
      <c r="D4108" s="131">
        <v>0</v>
      </c>
      <c r="E4108" s="131">
        <v>0</v>
      </c>
      <c r="F4108" s="131">
        <v>0</v>
      </c>
      <c r="G4108" s="131">
        <v>0</v>
      </c>
      <c r="H4108" s="131">
        <v>0</v>
      </c>
      <c r="I4108" s="131">
        <v>0</v>
      </c>
      <c r="J4108" s="131">
        <v>0</v>
      </c>
    </row>
    <row r="4109" spans="1:10">
      <c r="A4109" s="125" t="s">
        <v>103</v>
      </c>
      <c r="B4109" s="125" t="s">
        <v>13</v>
      </c>
      <c r="C4109" s="128">
        <v>0.62291666666666701</v>
      </c>
      <c r="D4109" s="131">
        <v>0</v>
      </c>
      <c r="E4109" s="131">
        <v>0</v>
      </c>
      <c r="F4109" s="131">
        <v>0</v>
      </c>
      <c r="G4109" s="131">
        <v>0</v>
      </c>
      <c r="H4109" s="131">
        <v>0</v>
      </c>
      <c r="I4109" s="131">
        <v>0</v>
      </c>
      <c r="J4109" s="131">
        <v>0</v>
      </c>
    </row>
    <row r="4110" spans="1:10">
      <c r="A4110" s="125" t="s">
        <v>103</v>
      </c>
      <c r="B4110" s="125" t="s">
        <v>13</v>
      </c>
      <c r="C4110" s="128">
        <v>0.62361111111111101</v>
      </c>
      <c r="D4110" s="131">
        <v>0</v>
      </c>
      <c r="E4110" s="131">
        <v>0</v>
      </c>
      <c r="F4110" s="131">
        <v>0</v>
      </c>
      <c r="G4110" s="131">
        <v>0</v>
      </c>
      <c r="H4110" s="131">
        <v>0</v>
      </c>
      <c r="I4110" s="131">
        <v>0</v>
      </c>
      <c r="J4110" s="131">
        <v>0</v>
      </c>
    </row>
    <row r="4111" spans="1:10">
      <c r="A4111" s="126" t="s">
        <v>103</v>
      </c>
      <c r="B4111" s="126" t="s">
        <v>13</v>
      </c>
      <c r="C4111" s="129">
        <v>0.624305555555555</v>
      </c>
      <c r="D4111" s="132">
        <v>0</v>
      </c>
      <c r="E4111" s="132">
        <v>0</v>
      </c>
      <c r="F4111" s="132">
        <v>0</v>
      </c>
      <c r="G4111" s="132">
        <v>0</v>
      </c>
      <c r="H4111" s="132">
        <v>0</v>
      </c>
      <c r="I4111" s="132">
        <v>0</v>
      </c>
      <c r="J4111" s="132">
        <v>0</v>
      </c>
    </row>
    <row r="4112" spans="1:10">
      <c r="A4112" s="125" t="s">
        <v>103</v>
      </c>
      <c r="B4112" s="125" t="s">
        <v>13</v>
      </c>
      <c r="C4112" s="128">
        <v>0.625</v>
      </c>
      <c r="D4112" s="133">
        <v>0</v>
      </c>
      <c r="E4112" s="133">
        <v>0</v>
      </c>
      <c r="F4112" s="133">
        <v>0</v>
      </c>
      <c r="G4112" s="133">
        <v>0</v>
      </c>
      <c r="H4112" s="133">
        <v>0</v>
      </c>
      <c r="I4112" s="133">
        <v>0</v>
      </c>
      <c r="J4112" s="133">
        <v>0</v>
      </c>
    </row>
    <row r="4113" spans="1:10">
      <c r="A4113" s="125" t="s">
        <v>103</v>
      </c>
      <c r="B4113" s="125" t="s">
        <v>13</v>
      </c>
      <c r="C4113" s="128">
        <v>0.625694444444444</v>
      </c>
      <c r="D4113" s="131">
        <v>0</v>
      </c>
      <c r="E4113" s="131">
        <v>0</v>
      </c>
      <c r="F4113" s="131">
        <v>0</v>
      </c>
      <c r="G4113" s="131">
        <v>0</v>
      </c>
      <c r="H4113" s="131">
        <v>0</v>
      </c>
      <c r="I4113" s="131">
        <v>0</v>
      </c>
      <c r="J4113" s="131">
        <v>0</v>
      </c>
    </row>
    <row r="4114" spans="1:10">
      <c r="A4114" s="125" t="s">
        <v>103</v>
      </c>
      <c r="B4114" s="125" t="s">
        <v>13</v>
      </c>
      <c r="C4114" s="128">
        <v>0.62638888888888899</v>
      </c>
      <c r="D4114" s="131">
        <v>0</v>
      </c>
      <c r="E4114" s="131">
        <v>0</v>
      </c>
      <c r="F4114" s="131">
        <v>0</v>
      </c>
      <c r="G4114" s="131">
        <v>0</v>
      </c>
      <c r="H4114" s="131">
        <v>0</v>
      </c>
      <c r="I4114" s="131">
        <v>0</v>
      </c>
      <c r="J4114" s="131">
        <v>0</v>
      </c>
    </row>
    <row r="4115" spans="1:10">
      <c r="A4115" s="125" t="s">
        <v>103</v>
      </c>
      <c r="B4115" s="125" t="s">
        <v>13</v>
      </c>
      <c r="C4115" s="128">
        <v>0.62708333333333299</v>
      </c>
      <c r="D4115" s="131">
        <v>0</v>
      </c>
      <c r="E4115" s="131">
        <v>0</v>
      </c>
      <c r="F4115" s="131">
        <v>0</v>
      </c>
      <c r="G4115" s="131">
        <v>0</v>
      </c>
      <c r="H4115" s="131">
        <v>0</v>
      </c>
      <c r="I4115" s="131">
        <v>0</v>
      </c>
      <c r="J4115" s="131">
        <v>0</v>
      </c>
    </row>
    <row r="4116" spans="1:10">
      <c r="A4116" s="125" t="s">
        <v>103</v>
      </c>
      <c r="B4116" s="125" t="s">
        <v>13</v>
      </c>
      <c r="C4116" s="128">
        <v>0.62777777777777799</v>
      </c>
      <c r="D4116" s="131">
        <v>0</v>
      </c>
      <c r="E4116" s="131">
        <v>0</v>
      </c>
      <c r="F4116" s="131">
        <v>0</v>
      </c>
      <c r="G4116" s="131">
        <v>0</v>
      </c>
      <c r="H4116" s="131">
        <v>0</v>
      </c>
      <c r="I4116" s="131">
        <v>0</v>
      </c>
      <c r="J4116" s="131">
        <v>0</v>
      </c>
    </row>
    <row r="4117" spans="1:10">
      <c r="A4117" s="125" t="s">
        <v>103</v>
      </c>
      <c r="B4117" s="125" t="s">
        <v>13</v>
      </c>
      <c r="C4117" s="128">
        <v>0.62847222222222199</v>
      </c>
      <c r="D4117" s="131">
        <v>0</v>
      </c>
      <c r="E4117" s="131">
        <v>0</v>
      </c>
      <c r="F4117" s="131">
        <v>0</v>
      </c>
      <c r="G4117" s="131">
        <v>0</v>
      </c>
      <c r="H4117" s="131">
        <v>0</v>
      </c>
      <c r="I4117" s="131">
        <v>0</v>
      </c>
      <c r="J4117" s="131">
        <v>0</v>
      </c>
    </row>
    <row r="4118" spans="1:10">
      <c r="A4118" s="125" t="s">
        <v>103</v>
      </c>
      <c r="B4118" s="125" t="s">
        <v>13</v>
      </c>
      <c r="C4118" s="128">
        <v>0.62916666666666698</v>
      </c>
      <c r="D4118" s="131">
        <v>0</v>
      </c>
      <c r="E4118" s="131">
        <v>0</v>
      </c>
      <c r="F4118" s="131">
        <v>0</v>
      </c>
      <c r="G4118" s="131">
        <v>0</v>
      </c>
      <c r="H4118" s="131">
        <v>0</v>
      </c>
      <c r="I4118" s="131">
        <v>0</v>
      </c>
      <c r="J4118" s="131">
        <v>0</v>
      </c>
    </row>
    <row r="4119" spans="1:10">
      <c r="A4119" s="125" t="s">
        <v>103</v>
      </c>
      <c r="B4119" s="125" t="s">
        <v>13</v>
      </c>
      <c r="C4119" s="128">
        <v>0.62986111111111098</v>
      </c>
      <c r="D4119" s="131">
        <v>0</v>
      </c>
      <c r="E4119" s="131">
        <v>0</v>
      </c>
      <c r="F4119" s="131">
        <v>0</v>
      </c>
      <c r="G4119" s="131">
        <v>0</v>
      </c>
      <c r="H4119" s="131">
        <v>0</v>
      </c>
      <c r="I4119" s="131">
        <v>0</v>
      </c>
      <c r="J4119" s="131">
        <v>0</v>
      </c>
    </row>
    <row r="4120" spans="1:10">
      <c r="A4120" s="125" t="s">
        <v>103</v>
      </c>
      <c r="B4120" s="125" t="s">
        <v>13</v>
      </c>
      <c r="C4120" s="128">
        <v>0.63055555555555498</v>
      </c>
      <c r="D4120" s="131">
        <v>0</v>
      </c>
      <c r="E4120" s="131">
        <v>0</v>
      </c>
      <c r="F4120" s="131">
        <v>0</v>
      </c>
      <c r="G4120" s="131">
        <v>0</v>
      </c>
      <c r="H4120" s="131">
        <v>0</v>
      </c>
      <c r="I4120" s="131">
        <v>0</v>
      </c>
      <c r="J4120" s="131">
        <v>0</v>
      </c>
    </row>
    <row r="4121" spans="1:10">
      <c r="A4121" s="125" t="s">
        <v>103</v>
      </c>
      <c r="B4121" s="125" t="s">
        <v>13</v>
      </c>
      <c r="C4121" s="128">
        <v>0.63124999999999998</v>
      </c>
      <c r="D4121" s="131">
        <v>0</v>
      </c>
      <c r="E4121" s="131">
        <v>0</v>
      </c>
      <c r="F4121" s="131">
        <v>0</v>
      </c>
      <c r="G4121" s="131">
        <v>0</v>
      </c>
      <c r="H4121" s="131">
        <v>0</v>
      </c>
      <c r="I4121" s="131">
        <v>0</v>
      </c>
      <c r="J4121" s="131">
        <v>0</v>
      </c>
    </row>
    <row r="4122" spans="1:10">
      <c r="A4122" s="125" t="s">
        <v>103</v>
      </c>
      <c r="B4122" s="125" t="s">
        <v>13</v>
      </c>
      <c r="C4122" s="128">
        <v>0.63194444444444398</v>
      </c>
      <c r="D4122" s="131">
        <v>0</v>
      </c>
      <c r="E4122" s="131">
        <v>0</v>
      </c>
      <c r="F4122" s="131">
        <v>0</v>
      </c>
      <c r="G4122" s="131">
        <v>0</v>
      </c>
      <c r="H4122" s="131">
        <v>0</v>
      </c>
      <c r="I4122" s="131">
        <v>0</v>
      </c>
      <c r="J4122" s="131">
        <v>0</v>
      </c>
    </row>
    <row r="4123" spans="1:10">
      <c r="A4123" s="125" t="s">
        <v>103</v>
      </c>
      <c r="B4123" s="125" t="s">
        <v>13</v>
      </c>
      <c r="C4123" s="128">
        <v>0.63263888888888897</v>
      </c>
      <c r="D4123" s="131">
        <v>0</v>
      </c>
      <c r="E4123" s="131">
        <v>0</v>
      </c>
      <c r="F4123" s="131">
        <v>0</v>
      </c>
      <c r="G4123" s="131">
        <v>0</v>
      </c>
      <c r="H4123" s="131">
        <v>0</v>
      </c>
      <c r="I4123" s="131">
        <v>0</v>
      </c>
      <c r="J4123" s="131">
        <v>0</v>
      </c>
    </row>
    <row r="4124" spans="1:10">
      <c r="A4124" s="125" t="s">
        <v>103</v>
      </c>
      <c r="B4124" s="125" t="s">
        <v>13</v>
      </c>
      <c r="C4124" s="128">
        <v>0.63333333333333297</v>
      </c>
      <c r="D4124" s="131">
        <v>0</v>
      </c>
      <c r="E4124" s="131">
        <v>0</v>
      </c>
      <c r="F4124" s="131">
        <v>0</v>
      </c>
      <c r="G4124" s="131">
        <v>0</v>
      </c>
      <c r="H4124" s="131">
        <v>0</v>
      </c>
      <c r="I4124" s="131">
        <v>0</v>
      </c>
      <c r="J4124" s="131">
        <v>0</v>
      </c>
    </row>
    <row r="4125" spans="1:10">
      <c r="A4125" s="125" t="s">
        <v>103</v>
      </c>
      <c r="B4125" s="125" t="s">
        <v>13</v>
      </c>
      <c r="C4125" s="128">
        <v>0.63402777777777797</v>
      </c>
      <c r="D4125" s="131">
        <v>0</v>
      </c>
      <c r="E4125" s="131">
        <v>0</v>
      </c>
      <c r="F4125" s="131">
        <v>0</v>
      </c>
      <c r="G4125" s="131">
        <v>0</v>
      </c>
      <c r="H4125" s="131">
        <v>0</v>
      </c>
      <c r="I4125" s="131">
        <v>0</v>
      </c>
      <c r="J4125" s="131">
        <v>0</v>
      </c>
    </row>
    <row r="4126" spans="1:10">
      <c r="A4126" s="126" t="s">
        <v>103</v>
      </c>
      <c r="B4126" s="126" t="s">
        <v>13</v>
      </c>
      <c r="C4126" s="129">
        <v>0.63472222222222197</v>
      </c>
      <c r="D4126" s="132">
        <v>0</v>
      </c>
      <c r="E4126" s="132">
        <v>0</v>
      </c>
      <c r="F4126" s="132">
        <v>0</v>
      </c>
      <c r="G4126" s="132">
        <v>0</v>
      </c>
      <c r="H4126" s="132">
        <v>0</v>
      </c>
      <c r="I4126" s="132">
        <v>0</v>
      </c>
      <c r="J4126" s="132">
        <v>0</v>
      </c>
    </row>
    <row r="4127" spans="1:10">
      <c r="A4127" s="125" t="s">
        <v>103</v>
      </c>
      <c r="B4127" s="125" t="s">
        <v>13</v>
      </c>
      <c r="C4127" s="128">
        <v>0.63541666666666696</v>
      </c>
      <c r="D4127" s="133">
        <v>0</v>
      </c>
      <c r="E4127" s="133">
        <v>0</v>
      </c>
      <c r="F4127" s="133">
        <v>0</v>
      </c>
      <c r="G4127" s="133">
        <v>0</v>
      </c>
      <c r="H4127" s="133">
        <v>0</v>
      </c>
      <c r="I4127" s="133">
        <v>0</v>
      </c>
      <c r="J4127" s="133">
        <v>0</v>
      </c>
    </row>
    <row r="4128" spans="1:10">
      <c r="A4128" s="125" t="s">
        <v>103</v>
      </c>
      <c r="B4128" s="125" t="s">
        <v>13</v>
      </c>
      <c r="C4128" s="128">
        <v>0.63611111111111096</v>
      </c>
      <c r="D4128" s="131">
        <v>0</v>
      </c>
      <c r="E4128" s="131">
        <v>0</v>
      </c>
      <c r="F4128" s="131">
        <v>0</v>
      </c>
      <c r="G4128" s="131">
        <v>0</v>
      </c>
      <c r="H4128" s="131">
        <v>0</v>
      </c>
      <c r="I4128" s="131">
        <v>0</v>
      </c>
      <c r="J4128" s="131">
        <v>0</v>
      </c>
    </row>
    <row r="4129" spans="1:10">
      <c r="A4129" s="125" t="s">
        <v>103</v>
      </c>
      <c r="B4129" s="125" t="s">
        <v>13</v>
      </c>
      <c r="C4129" s="128">
        <v>0.63680555555555496</v>
      </c>
      <c r="D4129" s="131">
        <v>0</v>
      </c>
      <c r="E4129" s="131">
        <v>0</v>
      </c>
      <c r="F4129" s="131">
        <v>0</v>
      </c>
      <c r="G4129" s="131">
        <v>0</v>
      </c>
      <c r="H4129" s="131">
        <v>0</v>
      </c>
      <c r="I4129" s="131">
        <v>0</v>
      </c>
      <c r="J4129" s="131">
        <v>0</v>
      </c>
    </row>
    <row r="4130" spans="1:10">
      <c r="A4130" s="125" t="s">
        <v>103</v>
      </c>
      <c r="B4130" s="125" t="s">
        <v>13</v>
      </c>
      <c r="C4130" s="128">
        <v>0.63749999999999996</v>
      </c>
      <c r="D4130" s="131">
        <v>0</v>
      </c>
      <c r="E4130" s="131">
        <v>0</v>
      </c>
      <c r="F4130" s="131">
        <v>0</v>
      </c>
      <c r="G4130" s="131">
        <v>0</v>
      </c>
      <c r="H4130" s="131">
        <v>0</v>
      </c>
      <c r="I4130" s="131">
        <v>0</v>
      </c>
      <c r="J4130" s="131">
        <v>0</v>
      </c>
    </row>
    <row r="4131" spans="1:10">
      <c r="A4131" s="125" t="s">
        <v>103</v>
      </c>
      <c r="B4131" s="125" t="s">
        <v>13</v>
      </c>
      <c r="C4131" s="128">
        <v>0.63819444444444395</v>
      </c>
      <c r="D4131" s="131">
        <v>0</v>
      </c>
      <c r="E4131" s="131">
        <v>0</v>
      </c>
      <c r="F4131" s="131">
        <v>0</v>
      </c>
      <c r="G4131" s="131">
        <v>0</v>
      </c>
      <c r="H4131" s="131">
        <v>0</v>
      </c>
      <c r="I4131" s="131">
        <v>0</v>
      </c>
      <c r="J4131" s="131">
        <v>0</v>
      </c>
    </row>
    <row r="4132" spans="1:10">
      <c r="A4132" s="125" t="s">
        <v>103</v>
      </c>
      <c r="B4132" s="125" t="s">
        <v>13</v>
      </c>
      <c r="C4132" s="128">
        <v>0.63888888888888895</v>
      </c>
      <c r="D4132" s="131">
        <v>0</v>
      </c>
      <c r="E4132" s="131">
        <v>0</v>
      </c>
      <c r="F4132" s="131">
        <v>0</v>
      </c>
      <c r="G4132" s="131">
        <v>0</v>
      </c>
      <c r="H4132" s="131">
        <v>0</v>
      </c>
      <c r="I4132" s="131">
        <v>0</v>
      </c>
      <c r="J4132" s="131">
        <v>0</v>
      </c>
    </row>
    <row r="4133" spans="1:10">
      <c r="A4133" s="125" t="s">
        <v>103</v>
      </c>
      <c r="B4133" s="125" t="s">
        <v>13</v>
      </c>
      <c r="C4133" s="128">
        <v>0.63958333333333295</v>
      </c>
      <c r="D4133" s="131">
        <v>0</v>
      </c>
      <c r="E4133" s="131">
        <v>0</v>
      </c>
      <c r="F4133" s="131">
        <v>0</v>
      </c>
      <c r="G4133" s="131">
        <v>0</v>
      </c>
      <c r="H4133" s="131">
        <v>0</v>
      </c>
      <c r="I4133" s="131">
        <v>0</v>
      </c>
      <c r="J4133" s="131">
        <v>0</v>
      </c>
    </row>
    <row r="4134" spans="1:10">
      <c r="A4134" s="125" t="s">
        <v>103</v>
      </c>
      <c r="B4134" s="125" t="s">
        <v>13</v>
      </c>
      <c r="C4134" s="128">
        <v>0.64027777777777795</v>
      </c>
      <c r="D4134" s="131">
        <v>0</v>
      </c>
      <c r="E4134" s="131">
        <v>0</v>
      </c>
      <c r="F4134" s="131">
        <v>0</v>
      </c>
      <c r="G4134" s="131">
        <v>0</v>
      </c>
      <c r="H4134" s="131">
        <v>0</v>
      </c>
      <c r="I4134" s="131">
        <v>0</v>
      </c>
      <c r="J4134" s="131">
        <v>0</v>
      </c>
    </row>
    <row r="4135" spans="1:10">
      <c r="A4135" s="125" t="s">
        <v>103</v>
      </c>
      <c r="B4135" s="125" t="s">
        <v>13</v>
      </c>
      <c r="C4135" s="128">
        <v>0.64097222222222205</v>
      </c>
      <c r="D4135" s="131">
        <v>0</v>
      </c>
      <c r="E4135" s="131">
        <v>0</v>
      </c>
      <c r="F4135" s="131">
        <v>0</v>
      </c>
      <c r="G4135" s="131">
        <v>0</v>
      </c>
      <c r="H4135" s="131">
        <v>0</v>
      </c>
      <c r="I4135" s="131">
        <v>0</v>
      </c>
      <c r="J4135" s="131">
        <v>0</v>
      </c>
    </row>
    <row r="4136" spans="1:10">
      <c r="A4136" s="125" t="s">
        <v>103</v>
      </c>
      <c r="B4136" s="125" t="s">
        <v>13</v>
      </c>
      <c r="C4136" s="128">
        <v>0.64166666666666605</v>
      </c>
      <c r="D4136" s="131">
        <v>0</v>
      </c>
      <c r="E4136" s="131">
        <v>0</v>
      </c>
      <c r="F4136" s="131">
        <v>0</v>
      </c>
      <c r="G4136" s="131">
        <v>0</v>
      </c>
      <c r="H4136" s="131">
        <v>0</v>
      </c>
      <c r="I4136" s="131">
        <v>0</v>
      </c>
      <c r="J4136" s="131">
        <v>0</v>
      </c>
    </row>
    <row r="4137" spans="1:10">
      <c r="A4137" s="125" t="s">
        <v>103</v>
      </c>
      <c r="B4137" s="125" t="s">
        <v>13</v>
      </c>
      <c r="C4137" s="128">
        <v>0.64236111111111105</v>
      </c>
      <c r="D4137" s="131">
        <v>0</v>
      </c>
      <c r="E4137" s="131">
        <v>0</v>
      </c>
      <c r="F4137" s="131">
        <v>0</v>
      </c>
      <c r="G4137" s="131">
        <v>0</v>
      </c>
      <c r="H4137" s="131">
        <v>0</v>
      </c>
      <c r="I4137" s="131">
        <v>0</v>
      </c>
      <c r="J4137" s="131">
        <v>0</v>
      </c>
    </row>
    <row r="4138" spans="1:10">
      <c r="A4138" s="125" t="s">
        <v>103</v>
      </c>
      <c r="B4138" s="125" t="s">
        <v>13</v>
      </c>
      <c r="C4138" s="128">
        <v>0.64305555555555505</v>
      </c>
      <c r="D4138" s="131">
        <v>0</v>
      </c>
      <c r="E4138" s="131">
        <v>0</v>
      </c>
      <c r="F4138" s="131">
        <v>0</v>
      </c>
      <c r="G4138" s="131">
        <v>0</v>
      </c>
      <c r="H4138" s="131">
        <v>0</v>
      </c>
      <c r="I4138" s="131">
        <v>0</v>
      </c>
      <c r="J4138" s="131">
        <v>0</v>
      </c>
    </row>
    <row r="4139" spans="1:10">
      <c r="A4139" s="125" t="s">
        <v>103</v>
      </c>
      <c r="B4139" s="125" t="s">
        <v>13</v>
      </c>
      <c r="C4139" s="128">
        <v>0.64375000000000004</v>
      </c>
      <c r="D4139" s="131">
        <v>0</v>
      </c>
      <c r="E4139" s="131">
        <v>0</v>
      </c>
      <c r="F4139" s="131">
        <v>0</v>
      </c>
      <c r="G4139" s="131">
        <v>0</v>
      </c>
      <c r="H4139" s="131">
        <v>0</v>
      </c>
      <c r="I4139" s="131">
        <v>0</v>
      </c>
      <c r="J4139" s="131">
        <v>0</v>
      </c>
    </row>
    <row r="4140" spans="1:10">
      <c r="A4140" s="125" t="s">
        <v>103</v>
      </c>
      <c r="B4140" s="125" t="s">
        <v>13</v>
      </c>
      <c r="C4140" s="128">
        <v>0.64444444444444404</v>
      </c>
      <c r="D4140" s="131">
        <v>0</v>
      </c>
      <c r="E4140" s="131">
        <v>0</v>
      </c>
      <c r="F4140" s="131">
        <v>0</v>
      </c>
      <c r="G4140" s="131">
        <v>0</v>
      </c>
      <c r="H4140" s="131">
        <v>0</v>
      </c>
      <c r="I4140" s="131">
        <v>0</v>
      </c>
      <c r="J4140" s="131">
        <v>0</v>
      </c>
    </row>
    <row r="4141" spans="1:10" ht="17.5" thickBot="1">
      <c r="A4141" s="127" t="s">
        <v>103</v>
      </c>
      <c r="B4141" s="127" t="s">
        <v>13</v>
      </c>
      <c r="C4141" s="130">
        <v>0.64513888888888904</v>
      </c>
      <c r="D4141" s="134">
        <v>0</v>
      </c>
      <c r="E4141" s="134">
        <v>0</v>
      </c>
      <c r="F4141" s="134">
        <v>0</v>
      </c>
      <c r="G4141" s="134">
        <v>0</v>
      </c>
      <c r="H4141" s="134">
        <v>0</v>
      </c>
      <c r="I4141" s="134">
        <v>0</v>
      </c>
      <c r="J4141" s="134">
        <v>0</v>
      </c>
    </row>
    <row r="4142" spans="1:10">
      <c r="A4142" s="125" t="s">
        <v>103</v>
      </c>
      <c r="B4142" s="125" t="s">
        <v>14</v>
      </c>
      <c r="C4142" s="128">
        <v>0.60416666666666663</v>
      </c>
      <c r="D4142" s="135">
        <v>0</v>
      </c>
      <c r="E4142" s="135">
        <v>0</v>
      </c>
      <c r="F4142" s="135">
        <v>0</v>
      </c>
      <c r="G4142" s="135">
        <v>0</v>
      </c>
      <c r="H4142" s="135">
        <v>0</v>
      </c>
      <c r="I4142" s="135">
        <v>0</v>
      </c>
      <c r="J4142" s="135">
        <v>0</v>
      </c>
    </row>
    <row r="4143" spans="1:10">
      <c r="A4143" s="125" t="s">
        <v>103</v>
      </c>
      <c r="B4143" s="125" t="s">
        <v>14</v>
      </c>
      <c r="C4143" s="128">
        <v>0.60486111111111107</v>
      </c>
      <c r="D4143" s="131">
        <v>0</v>
      </c>
      <c r="E4143" s="131">
        <v>0</v>
      </c>
      <c r="F4143" s="131">
        <v>0</v>
      </c>
      <c r="G4143" s="131">
        <v>0</v>
      </c>
      <c r="H4143" s="131">
        <v>0</v>
      </c>
      <c r="I4143" s="131">
        <v>0</v>
      </c>
      <c r="J4143" s="131">
        <v>0</v>
      </c>
    </row>
    <row r="4144" spans="1:10">
      <c r="A4144" s="125" t="s">
        <v>103</v>
      </c>
      <c r="B4144" s="125" t="s">
        <v>14</v>
      </c>
      <c r="C4144" s="128">
        <v>0.60555555555555596</v>
      </c>
      <c r="D4144" s="131">
        <v>0</v>
      </c>
      <c r="E4144" s="131">
        <v>0</v>
      </c>
      <c r="F4144" s="131">
        <v>0</v>
      </c>
      <c r="G4144" s="131">
        <v>0</v>
      </c>
      <c r="H4144" s="131">
        <v>0</v>
      </c>
      <c r="I4144" s="131">
        <v>0</v>
      </c>
      <c r="J4144" s="131">
        <v>0</v>
      </c>
    </row>
    <row r="4145" spans="1:10">
      <c r="A4145" s="125" t="s">
        <v>103</v>
      </c>
      <c r="B4145" s="125" t="s">
        <v>14</v>
      </c>
      <c r="C4145" s="128">
        <v>0.60624999999999996</v>
      </c>
      <c r="D4145" s="131">
        <v>0</v>
      </c>
      <c r="E4145" s="131">
        <v>0</v>
      </c>
      <c r="F4145" s="131">
        <v>0</v>
      </c>
      <c r="G4145" s="131">
        <v>0</v>
      </c>
      <c r="H4145" s="131">
        <v>0</v>
      </c>
      <c r="I4145" s="131">
        <v>0</v>
      </c>
      <c r="J4145" s="131">
        <v>0</v>
      </c>
    </row>
    <row r="4146" spans="1:10">
      <c r="A4146" s="125" t="s">
        <v>103</v>
      </c>
      <c r="B4146" s="125" t="s">
        <v>14</v>
      </c>
      <c r="C4146" s="128">
        <v>0.60694444444444395</v>
      </c>
      <c r="D4146" s="131">
        <v>0</v>
      </c>
      <c r="E4146" s="131">
        <v>0</v>
      </c>
      <c r="F4146" s="131">
        <v>0</v>
      </c>
      <c r="G4146" s="131">
        <v>0</v>
      </c>
      <c r="H4146" s="131">
        <v>0</v>
      </c>
      <c r="I4146" s="131">
        <v>0</v>
      </c>
      <c r="J4146" s="131">
        <v>0</v>
      </c>
    </row>
    <row r="4147" spans="1:10">
      <c r="A4147" s="125" t="s">
        <v>103</v>
      </c>
      <c r="B4147" s="125" t="s">
        <v>14</v>
      </c>
      <c r="C4147" s="128">
        <v>0.60763888888888895</v>
      </c>
      <c r="D4147" s="131">
        <v>0</v>
      </c>
      <c r="E4147" s="131">
        <v>0</v>
      </c>
      <c r="F4147" s="131">
        <v>0</v>
      </c>
      <c r="G4147" s="131">
        <v>0</v>
      </c>
      <c r="H4147" s="131">
        <v>0</v>
      </c>
      <c r="I4147" s="131">
        <v>0</v>
      </c>
      <c r="J4147" s="131">
        <v>0</v>
      </c>
    </row>
    <row r="4148" spans="1:10">
      <c r="A4148" s="125" t="s">
        <v>103</v>
      </c>
      <c r="B4148" s="125" t="s">
        <v>14</v>
      </c>
      <c r="C4148" s="128">
        <v>0.60833333333333295</v>
      </c>
      <c r="D4148" s="131">
        <v>0</v>
      </c>
      <c r="E4148" s="131">
        <v>0</v>
      </c>
      <c r="F4148" s="131">
        <v>0</v>
      </c>
      <c r="G4148" s="131">
        <v>0</v>
      </c>
      <c r="H4148" s="131">
        <v>0</v>
      </c>
      <c r="I4148" s="131">
        <v>0</v>
      </c>
      <c r="J4148" s="131">
        <v>0</v>
      </c>
    </row>
    <row r="4149" spans="1:10">
      <c r="A4149" s="125" t="s">
        <v>103</v>
      </c>
      <c r="B4149" s="125" t="s">
        <v>14</v>
      </c>
      <c r="C4149" s="128">
        <v>0.60902777777777795</v>
      </c>
      <c r="D4149" s="131">
        <v>0</v>
      </c>
      <c r="E4149" s="131">
        <v>0</v>
      </c>
      <c r="F4149" s="131">
        <v>0</v>
      </c>
      <c r="G4149" s="131">
        <v>0</v>
      </c>
      <c r="H4149" s="131">
        <v>0</v>
      </c>
      <c r="I4149" s="131">
        <v>0</v>
      </c>
      <c r="J4149" s="131">
        <v>0</v>
      </c>
    </row>
    <row r="4150" spans="1:10">
      <c r="A4150" s="125" t="s">
        <v>103</v>
      </c>
      <c r="B4150" s="125" t="s">
        <v>14</v>
      </c>
      <c r="C4150" s="128">
        <v>0.60972222222222205</v>
      </c>
      <c r="D4150" s="131">
        <v>0</v>
      </c>
      <c r="E4150" s="131">
        <v>0</v>
      </c>
      <c r="F4150" s="131">
        <v>0</v>
      </c>
      <c r="G4150" s="131">
        <v>0</v>
      </c>
      <c r="H4150" s="131">
        <v>0</v>
      </c>
      <c r="I4150" s="131">
        <v>0</v>
      </c>
      <c r="J4150" s="131">
        <v>0</v>
      </c>
    </row>
    <row r="4151" spans="1:10">
      <c r="A4151" s="125" t="s">
        <v>103</v>
      </c>
      <c r="B4151" s="125" t="s">
        <v>14</v>
      </c>
      <c r="C4151" s="128">
        <v>0.61041666666666705</v>
      </c>
      <c r="D4151" s="131">
        <v>0</v>
      </c>
      <c r="E4151" s="131">
        <v>0</v>
      </c>
      <c r="F4151" s="131">
        <v>0</v>
      </c>
      <c r="G4151" s="131">
        <v>0</v>
      </c>
      <c r="H4151" s="131">
        <v>0</v>
      </c>
      <c r="I4151" s="131">
        <v>0</v>
      </c>
      <c r="J4151" s="131">
        <v>0</v>
      </c>
    </row>
    <row r="4152" spans="1:10">
      <c r="A4152" s="125" t="s">
        <v>103</v>
      </c>
      <c r="B4152" s="125" t="s">
        <v>14</v>
      </c>
      <c r="C4152" s="128">
        <v>0.61111111111111105</v>
      </c>
      <c r="D4152" s="131">
        <v>0</v>
      </c>
      <c r="E4152" s="131">
        <v>0</v>
      </c>
      <c r="F4152" s="131">
        <v>0</v>
      </c>
      <c r="G4152" s="131">
        <v>0</v>
      </c>
      <c r="H4152" s="131">
        <v>0</v>
      </c>
      <c r="I4152" s="131">
        <v>0</v>
      </c>
      <c r="J4152" s="131">
        <v>0</v>
      </c>
    </row>
    <row r="4153" spans="1:10">
      <c r="A4153" s="125" t="s">
        <v>103</v>
      </c>
      <c r="B4153" s="125" t="s">
        <v>14</v>
      </c>
      <c r="C4153" s="128">
        <v>0.61180555555555505</v>
      </c>
      <c r="D4153" s="131">
        <v>0</v>
      </c>
      <c r="E4153" s="131">
        <v>0</v>
      </c>
      <c r="F4153" s="131">
        <v>0</v>
      </c>
      <c r="G4153" s="131">
        <v>0</v>
      </c>
      <c r="H4153" s="131">
        <v>0</v>
      </c>
      <c r="I4153" s="131">
        <v>0</v>
      </c>
      <c r="J4153" s="131">
        <v>0</v>
      </c>
    </row>
    <row r="4154" spans="1:10">
      <c r="A4154" s="125" t="s">
        <v>103</v>
      </c>
      <c r="B4154" s="125" t="s">
        <v>14</v>
      </c>
      <c r="C4154" s="128">
        <v>0.61250000000000004</v>
      </c>
      <c r="D4154" s="131">
        <v>0</v>
      </c>
      <c r="E4154" s="131">
        <v>0</v>
      </c>
      <c r="F4154" s="131">
        <v>0</v>
      </c>
      <c r="G4154" s="131">
        <v>0</v>
      </c>
      <c r="H4154" s="131">
        <v>0</v>
      </c>
      <c r="I4154" s="131">
        <v>0</v>
      </c>
      <c r="J4154" s="131">
        <v>0</v>
      </c>
    </row>
    <row r="4155" spans="1:10">
      <c r="A4155" s="125" t="s">
        <v>103</v>
      </c>
      <c r="B4155" s="125" t="s">
        <v>14</v>
      </c>
      <c r="C4155" s="128">
        <v>0.61319444444444404</v>
      </c>
      <c r="D4155" s="131">
        <v>0</v>
      </c>
      <c r="E4155" s="131">
        <v>0</v>
      </c>
      <c r="F4155" s="131">
        <v>0</v>
      </c>
      <c r="G4155" s="131">
        <v>0</v>
      </c>
      <c r="H4155" s="131">
        <v>0</v>
      </c>
      <c r="I4155" s="131">
        <v>0</v>
      </c>
      <c r="J4155" s="131">
        <v>0</v>
      </c>
    </row>
    <row r="4156" spans="1:10">
      <c r="A4156" s="126" t="s">
        <v>103</v>
      </c>
      <c r="B4156" s="126" t="s">
        <v>14</v>
      </c>
      <c r="C4156" s="129">
        <v>0.61388888888888904</v>
      </c>
      <c r="D4156" s="132">
        <v>0</v>
      </c>
      <c r="E4156" s="132">
        <v>0</v>
      </c>
      <c r="F4156" s="132">
        <v>0</v>
      </c>
      <c r="G4156" s="132">
        <v>0</v>
      </c>
      <c r="H4156" s="132">
        <v>0</v>
      </c>
      <c r="I4156" s="132">
        <v>0</v>
      </c>
      <c r="J4156" s="132">
        <v>0</v>
      </c>
    </row>
    <row r="4157" spans="1:10">
      <c r="A4157" s="125" t="s">
        <v>103</v>
      </c>
      <c r="B4157" s="125" t="s">
        <v>14</v>
      </c>
      <c r="C4157" s="128">
        <v>0.61458333333333304</v>
      </c>
      <c r="D4157" s="133">
        <v>0</v>
      </c>
      <c r="E4157" s="133">
        <v>0</v>
      </c>
      <c r="F4157" s="133">
        <v>0</v>
      </c>
      <c r="G4157" s="133">
        <v>0</v>
      </c>
      <c r="H4157" s="133">
        <v>0</v>
      </c>
      <c r="I4157" s="133">
        <v>0</v>
      </c>
      <c r="J4157" s="133">
        <v>0</v>
      </c>
    </row>
    <row r="4158" spans="1:10">
      <c r="A4158" s="125" t="s">
        <v>103</v>
      </c>
      <c r="B4158" s="125" t="s">
        <v>14</v>
      </c>
      <c r="C4158" s="128">
        <v>0.61527777777777803</v>
      </c>
      <c r="D4158" s="131">
        <v>0</v>
      </c>
      <c r="E4158" s="131">
        <v>0</v>
      </c>
      <c r="F4158" s="131">
        <v>0</v>
      </c>
      <c r="G4158" s="131">
        <v>0</v>
      </c>
      <c r="H4158" s="131">
        <v>0</v>
      </c>
      <c r="I4158" s="131">
        <v>0</v>
      </c>
      <c r="J4158" s="131">
        <v>0</v>
      </c>
    </row>
    <row r="4159" spans="1:10">
      <c r="A4159" s="125" t="s">
        <v>103</v>
      </c>
      <c r="B4159" s="125" t="s">
        <v>14</v>
      </c>
      <c r="C4159" s="128">
        <v>0.61597222222222203</v>
      </c>
      <c r="D4159" s="131">
        <v>0</v>
      </c>
      <c r="E4159" s="131">
        <v>0</v>
      </c>
      <c r="F4159" s="131">
        <v>0</v>
      </c>
      <c r="G4159" s="131">
        <v>0</v>
      </c>
      <c r="H4159" s="131">
        <v>0</v>
      </c>
      <c r="I4159" s="131">
        <v>0</v>
      </c>
      <c r="J4159" s="131">
        <v>0</v>
      </c>
    </row>
    <row r="4160" spans="1:10">
      <c r="A4160" s="125" t="s">
        <v>103</v>
      </c>
      <c r="B4160" s="125" t="s">
        <v>14</v>
      </c>
      <c r="C4160" s="128">
        <v>0.61666666666666703</v>
      </c>
      <c r="D4160" s="131">
        <v>0</v>
      </c>
      <c r="E4160" s="131">
        <v>0</v>
      </c>
      <c r="F4160" s="131">
        <v>0</v>
      </c>
      <c r="G4160" s="131">
        <v>0</v>
      </c>
      <c r="H4160" s="131">
        <v>0</v>
      </c>
      <c r="I4160" s="131">
        <v>0</v>
      </c>
      <c r="J4160" s="131">
        <v>0</v>
      </c>
    </row>
    <row r="4161" spans="1:10">
      <c r="A4161" s="125" t="s">
        <v>103</v>
      </c>
      <c r="B4161" s="125" t="s">
        <v>14</v>
      </c>
      <c r="C4161" s="128">
        <v>0.61736111111111103</v>
      </c>
      <c r="D4161" s="131">
        <v>0</v>
      </c>
      <c r="E4161" s="131">
        <v>0</v>
      </c>
      <c r="F4161" s="131">
        <v>0</v>
      </c>
      <c r="G4161" s="131">
        <v>0</v>
      </c>
      <c r="H4161" s="131">
        <v>0</v>
      </c>
      <c r="I4161" s="131">
        <v>0</v>
      </c>
      <c r="J4161" s="131">
        <v>0</v>
      </c>
    </row>
    <row r="4162" spans="1:10">
      <c r="A4162" s="125" t="s">
        <v>103</v>
      </c>
      <c r="B4162" s="125" t="s">
        <v>14</v>
      </c>
      <c r="C4162" s="128">
        <v>0.61805555555555503</v>
      </c>
      <c r="D4162" s="131">
        <v>0</v>
      </c>
      <c r="E4162" s="131">
        <v>0</v>
      </c>
      <c r="F4162" s="131">
        <v>0</v>
      </c>
      <c r="G4162" s="131">
        <v>0</v>
      </c>
      <c r="H4162" s="131">
        <v>0</v>
      </c>
      <c r="I4162" s="131">
        <v>0</v>
      </c>
      <c r="J4162" s="131">
        <v>0</v>
      </c>
    </row>
    <row r="4163" spans="1:10">
      <c r="A4163" s="125" t="s">
        <v>103</v>
      </c>
      <c r="B4163" s="125" t="s">
        <v>14</v>
      </c>
      <c r="C4163" s="128">
        <v>0.61875000000000002</v>
      </c>
      <c r="D4163" s="131">
        <v>0</v>
      </c>
      <c r="E4163" s="131">
        <v>0</v>
      </c>
      <c r="F4163" s="131">
        <v>0</v>
      </c>
      <c r="G4163" s="131">
        <v>0</v>
      </c>
      <c r="H4163" s="131">
        <v>0</v>
      </c>
      <c r="I4163" s="131">
        <v>0</v>
      </c>
      <c r="J4163" s="131">
        <v>0</v>
      </c>
    </row>
    <row r="4164" spans="1:10">
      <c r="A4164" s="125" t="s">
        <v>103</v>
      </c>
      <c r="B4164" s="125" t="s">
        <v>14</v>
      </c>
      <c r="C4164" s="128">
        <v>0.61944444444444402</v>
      </c>
      <c r="D4164" s="131">
        <v>0</v>
      </c>
      <c r="E4164" s="131">
        <v>0</v>
      </c>
      <c r="F4164" s="131">
        <v>0</v>
      </c>
      <c r="G4164" s="131">
        <v>0</v>
      </c>
      <c r="H4164" s="131">
        <v>0</v>
      </c>
      <c r="I4164" s="131">
        <v>0</v>
      </c>
      <c r="J4164" s="131">
        <v>0</v>
      </c>
    </row>
    <row r="4165" spans="1:10">
      <c r="A4165" s="125" t="s">
        <v>103</v>
      </c>
      <c r="B4165" s="125" t="s">
        <v>14</v>
      </c>
      <c r="C4165" s="128">
        <v>0.62013888888888902</v>
      </c>
      <c r="D4165" s="131">
        <v>0</v>
      </c>
      <c r="E4165" s="131">
        <v>0</v>
      </c>
      <c r="F4165" s="131">
        <v>0</v>
      </c>
      <c r="G4165" s="131">
        <v>0</v>
      </c>
      <c r="H4165" s="131">
        <v>0</v>
      </c>
      <c r="I4165" s="131">
        <v>0</v>
      </c>
      <c r="J4165" s="131">
        <v>0</v>
      </c>
    </row>
    <row r="4166" spans="1:10">
      <c r="A4166" s="125" t="s">
        <v>103</v>
      </c>
      <c r="B4166" s="125" t="s">
        <v>14</v>
      </c>
      <c r="C4166" s="128">
        <v>0.62083333333333302</v>
      </c>
      <c r="D4166" s="131">
        <v>0</v>
      </c>
      <c r="E4166" s="131">
        <v>0</v>
      </c>
      <c r="F4166" s="131">
        <v>0</v>
      </c>
      <c r="G4166" s="131">
        <v>0</v>
      </c>
      <c r="H4166" s="131">
        <v>0</v>
      </c>
      <c r="I4166" s="131">
        <v>0</v>
      </c>
      <c r="J4166" s="131">
        <v>0</v>
      </c>
    </row>
    <row r="4167" spans="1:10">
      <c r="A4167" s="125" t="s">
        <v>103</v>
      </c>
      <c r="B4167" s="125" t="s">
        <v>14</v>
      </c>
      <c r="C4167" s="128">
        <v>0.62152777777777801</v>
      </c>
      <c r="D4167" s="131">
        <v>0</v>
      </c>
      <c r="E4167" s="131">
        <v>0</v>
      </c>
      <c r="F4167" s="131">
        <v>0</v>
      </c>
      <c r="G4167" s="131">
        <v>0</v>
      </c>
      <c r="H4167" s="131">
        <v>0</v>
      </c>
      <c r="I4167" s="131">
        <v>0</v>
      </c>
      <c r="J4167" s="131">
        <v>0</v>
      </c>
    </row>
    <row r="4168" spans="1:10">
      <c r="A4168" s="125" t="s">
        <v>103</v>
      </c>
      <c r="B4168" s="125" t="s">
        <v>14</v>
      </c>
      <c r="C4168" s="128">
        <v>0.62222222222222201</v>
      </c>
      <c r="D4168" s="131">
        <v>0</v>
      </c>
      <c r="E4168" s="131">
        <v>0</v>
      </c>
      <c r="F4168" s="131">
        <v>0</v>
      </c>
      <c r="G4168" s="131">
        <v>0</v>
      </c>
      <c r="H4168" s="131">
        <v>0</v>
      </c>
      <c r="I4168" s="131">
        <v>0</v>
      </c>
      <c r="J4168" s="131">
        <v>0</v>
      </c>
    </row>
    <row r="4169" spans="1:10">
      <c r="A4169" s="125" t="s">
        <v>103</v>
      </c>
      <c r="B4169" s="125" t="s">
        <v>14</v>
      </c>
      <c r="C4169" s="128">
        <v>0.62291666666666701</v>
      </c>
      <c r="D4169" s="131">
        <v>0</v>
      </c>
      <c r="E4169" s="131">
        <v>0</v>
      </c>
      <c r="F4169" s="131">
        <v>0</v>
      </c>
      <c r="G4169" s="131">
        <v>0</v>
      </c>
      <c r="H4169" s="131">
        <v>0</v>
      </c>
      <c r="I4169" s="131">
        <v>0</v>
      </c>
      <c r="J4169" s="131">
        <v>0</v>
      </c>
    </row>
    <row r="4170" spans="1:10">
      <c r="A4170" s="125" t="s">
        <v>103</v>
      </c>
      <c r="B4170" s="125" t="s">
        <v>14</v>
      </c>
      <c r="C4170" s="128">
        <v>0.62361111111111101</v>
      </c>
      <c r="D4170" s="131">
        <v>0</v>
      </c>
      <c r="E4170" s="131">
        <v>0</v>
      </c>
      <c r="F4170" s="131">
        <v>0</v>
      </c>
      <c r="G4170" s="131">
        <v>0</v>
      </c>
      <c r="H4170" s="131">
        <v>0</v>
      </c>
      <c r="I4170" s="131">
        <v>0</v>
      </c>
      <c r="J4170" s="131">
        <v>0</v>
      </c>
    </row>
    <row r="4171" spans="1:10">
      <c r="A4171" s="126" t="s">
        <v>103</v>
      </c>
      <c r="B4171" s="126" t="s">
        <v>14</v>
      </c>
      <c r="C4171" s="129">
        <v>0.624305555555555</v>
      </c>
      <c r="D4171" s="132">
        <v>0</v>
      </c>
      <c r="E4171" s="132">
        <v>0</v>
      </c>
      <c r="F4171" s="132">
        <v>0</v>
      </c>
      <c r="G4171" s="132">
        <v>0</v>
      </c>
      <c r="H4171" s="132">
        <v>0</v>
      </c>
      <c r="I4171" s="132">
        <v>0</v>
      </c>
      <c r="J4171" s="132">
        <v>0</v>
      </c>
    </row>
    <row r="4172" spans="1:10">
      <c r="A4172" s="125" t="s">
        <v>103</v>
      </c>
      <c r="B4172" s="125" t="s">
        <v>14</v>
      </c>
      <c r="C4172" s="128">
        <v>0.625</v>
      </c>
      <c r="D4172" s="133">
        <v>0</v>
      </c>
      <c r="E4172" s="133">
        <v>0</v>
      </c>
      <c r="F4172" s="133">
        <v>0</v>
      </c>
      <c r="G4172" s="133">
        <v>0</v>
      </c>
      <c r="H4172" s="133">
        <v>0</v>
      </c>
      <c r="I4172" s="133">
        <v>0</v>
      </c>
      <c r="J4172" s="133">
        <v>0</v>
      </c>
    </row>
    <row r="4173" spans="1:10">
      <c r="A4173" s="125" t="s">
        <v>103</v>
      </c>
      <c r="B4173" s="125" t="s">
        <v>14</v>
      </c>
      <c r="C4173" s="128">
        <v>0.625694444444444</v>
      </c>
      <c r="D4173" s="131">
        <v>0</v>
      </c>
      <c r="E4173" s="131">
        <v>0</v>
      </c>
      <c r="F4173" s="131">
        <v>0</v>
      </c>
      <c r="G4173" s="131">
        <v>0</v>
      </c>
      <c r="H4173" s="131">
        <v>0</v>
      </c>
      <c r="I4173" s="131">
        <v>0</v>
      </c>
      <c r="J4173" s="131">
        <v>0</v>
      </c>
    </row>
    <row r="4174" spans="1:10">
      <c r="A4174" s="125" t="s">
        <v>103</v>
      </c>
      <c r="B4174" s="125" t="s">
        <v>14</v>
      </c>
      <c r="C4174" s="128">
        <v>0.62638888888888899</v>
      </c>
      <c r="D4174" s="131">
        <v>0</v>
      </c>
      <c r="E4174" s="131">
        <v>0</v>
      </c>
      <c r="F4174" s="131">
        <v>0</v>
      </c>
      <c r="G4174" s="131">
        <v>0</v>
      </c>
      <c r="H4174" s="131">
        <v>0</v>
      </c>
      <c r="I4174" s="131">
        <v>0</v>
      </c>
      <c r="J4174" s="131">
        <v>0</v>
      </c>
    </row>
    <row r="4175" spans="1:10">
      <c r="A4175" s="125" t="s">
        <v>103</v>
      </c>
      <c r="B4175" s="125" t="s">
        <v>14</v>
      </c>
      <c r="C4175" s="128">
        <v>0.62708333333333299</v>
      </c>
      <c r="D4175" s="131">
        <v>0</v>
      </c>
      <c r="E4175" s="131">
        <v>0</v>
      </c>
      <c r="F4175" s="131">
        <v>0</v>
      </c>
      <c r="G4175" s="131">
        <v>0</v>
      </c>
      <c r="H4175" s="131">
        <v>0</v>
      </c>
      <c r="I4175" s="131">
        <v>0</v>
      </c>
      <c r="J4175" s="131">
        <v>0</v>
      </c>
    </row>
    <row r="4176" spans="1:10">
      <c r="A4176" s="125" t="s">
        <v>103</v>
      </c>
      <c r="B4176" s="125" t="s">
        <v>14</v>
      </c>
      <c r="C4176" s="128">
        <v>0.62777777777777799</v>
      </c>
      <c r="D4176" s="131">
        <v>0</v>
      </c>
      <c r="E4176" s="131">
        <v>0</v>
      </c>
      <c r="F4176" s="131">
        <v>0</v>
      </c>
      <c r="G4176" s="131">
        <v>0</v>
      </c>
      <c r="H4176" s="131">
        <v>0</v>
      </c>
      <c r="I4176" s="131">
        <v>0</v>
      </c>
      <c r="J4176" s="131">
        <v>0</v>
      </c>
    </row>
    <row r="4177" spans="1:10">
      <c r="A4177" s="125" t="s">
        <v>103</v>
      </c>
      <c r="B4177" s="125" t="s">
        <v>14</v>
      </c>
      <c r="C4177" s="128">
        <v>0.62847222222222199</v>
      </c>
      <c r="D4177" s="131">
        <v>0</v>
      </c>
      <c r="E4177" s="131">
        <v>0</v>
      </c>
      <c r="F4177" s="131">
        <v>0</v>
      </c>
      <c r="G4177" s="131">
        <v>0</v>
      </c>
      <c r="H4177" s="131">
        <v>0</v>
      </c>
      <c r="I4177" s="131">
        <v>0</v>
      </c>
      <c r="J4177" s="131">
        <v>0</v>
      </c>
    </row>
    <row r="4178" spans="1:10">
      <c r="A4178" s="125" t="s">
        <v>103</v>
      </c>
      <c r="B4178" s="125" t="s">
        <v>14</v>
      </c>
      <c r="C4178" s="128">
        <v>0.62916666666666698</v>
      </c>
      <c r="D4178" s="131">
        <v>0</v>
      </c>
      <c r="E4178" s="131">
        <v>0</v>
      </c>
      <c r="F4178" s="131">
        <v>0</v>
      </c>
      <c r="G4178" s="131">
        <v>0</v>
      </c>
      <c r="H4178" s="131">
        <v>0</v>
      </c>
      <c r="I4178" s="131">
        <v>0</v>
      </c>
      <c r="J4178" s="131">
        <v>0</v>
      </c>
    </row>
    <row r="4179" spans="1:10">
      <c r="A4179" s="125" t="s">
        <v>103</v>
      </c>
      <c r="B4179" s="125" t="s">
        <v>14</v>
      </c>
      <c r="C4179" s="128">
        <v>0.62986111111111098</v>
      </c>
      <c r="D4179" s="131">
        <v>0</v>
      </c>
      <c r="E4179" s="131">
        <v>0</v>
      </c>
      <c r="F4179" s="131">
        <v>0</v>
      </c>
      <c r="G4179" s="131">
        <v>0</v>
      </c>
      <c r="H4179" s="131">
        <v>0</v>
      </c>
      <c r="I4179" s="131">
        <v>0</v>
      </c>
      <c r="J4179" s="131">
        <v>0</v>
      </c>
    </row>
    <row r="4180" spans="1:10">
      <c r="A4180" s="125" t="s">
        <v>103</v>
      </c>
      <c r="B4180" s="125" t="s">
        <v>14</v>
      </c>
      <c r="C4180" s="128">
        <v>0.63055555555555498</v>
      </c>
      <c r="D4180" s="131">
        <v>0</v>
      </c>
      <c r="E4180" s="131">
        <v>0</v>
      </c>
      <c r="F4180" s="131">
        <v>0</v>
      </c>
      <c r="G4180" s="131">
        <v>0</v>
      </c>
      <c r="H4180" s="131">
        <v>0</v>
      </c>
      <c r="I4180" s="131">
        <v>0</v>
      </c>
      <c r="J4180" s="131">
        <v>0</v>
      </c>
    </row>
    <row r="4181" spans="1:10">
      <c r="A4181" s="125" t="s">
        <v>103</v>
      </c>
      <c r="B4181" s="125" t="s">
        <v>14</v>
      </c>
      <c r="C4181" s="128">
        <v>0.63124999999999998</v>
      </c>
      <c r="D4181" s="131">
        <v>0</v>
      </c>
      <c r="E4181" s="131">
        <v>0</v>
      </c>
      <c r="F4181" s="131">
        <v>0</v>
      </c>
      <c r="G4181" s="131">
        <v>0</v>
      </c>
      <c r="H4181" s="131">
        <v>0</v>
      </c>
      <c r="I4181" s="131">
        <v>0</v>
      </c>
      <c r="J4181" s="131">
        <v>0</v>
      </c>
    </row>
    <row r="4182" spans="1:10">
      <c r="A4182" s="125" t="s">
        <v>103</v>
      </c>
      <c r="B4182" s="125" t="s">
        <v>14</v>
      </c>
      <c r="C4182" s="128">
        <v>0.63194444444444398</v>
      </c>
      <c r="D4182" s="131">
        <v>0</v>
      </c>
      <c r="E4182" s="131">
        <v>0</v>
      </c>
      <c r="F4182" s="131">
        <v>0</v>
      </c>
      <c r="G4182" s="131">
        <v>0</v>
      </c>
      <c r="H4182" s="131">
        <v>0</v>
      </c>
      <c r="I4182" s="131">
        <v>0</v>
      </c>
      <c r="J4182" s="131">
        <v>0</v>
      </c>
    </row>
    <row r="4183" spans="1:10">
      <c r="A4183" s="125" t="s">
        <v>103</v>
      </c>
      <c r="B4183" s="125" t="s">
        <v>14</v>
      </c>
      <c r="C4183" s="128">
        <v>0.63263888888888897</v>
      </c>
      <c r="D4183" s="131">
        <v>0</v>
      </c>
      <c r="E4183" s="131">
        <v>0</v>
      </c>
      <c r="F4183" s="131">
        <v>0</v>
      </c>
      <c r="G4183" s="131">
        <v>0</v>
      </c>
      <c r="H4183" s="131">
        <v>0</v>
      </c>
      <c r="I4183" s="131">
        <v>0</v>
      </c>
      <c r="J4183" s="131">
        <v>0</v>
      </c>
    </row>
    <row r="4184" spans="1:10">
      <c r="A4184" s="125" t="s">
        <v>103</v>
      </c>
      <c r="B4184" s="125" t="s">
        <v>14</v>
      </c>
      <c r="C4184" s="128">
        <v>0.63333333333333297</v>
      </c>
      <c r="D4184" s="131">
        <v>0</v>
      </c>
      <c r="E4184" s="131">
        <v>0</v>
      </c>
      <c r="F4184" s="131">
        <v>0</v>
      </c>
      <c r="G4184" s="131">
        <v>0</v>
      </c>
      <c r="H4184" s="131">
        <v>0</v>
      </c>
      <c r="I4184" s="131">
        <v>0</v>
      </c>
      <c r="J4184" s="131">
        <v>0</v>
      </c>
    </row>
    <row r="4185" spans="1:10">
      <c r="A4185" s="125" t="s">
        <v>103</v>
      </c>
      <c r="B4185" s="125" t="s">
        <v>14</v>
      </c>
      <c r="C4185" s="128">
        <v>0.63402777777777797</v>
      </c>
      <c r="D4185" s="131">
        <v>0</v>
      </c>
      <c r="E4185" s="131">
        <v>0</v>
      </c>
      <c r="F4185" s="131">
        <v>0</v>
      </c>
      <c r="G4185" s="131">
        <v>0</v>
      </c>
      <c r="H4185" s="131">
        <v>0</v>
      </c>
      <c r="I4185" s="131">
        <v>0</v>
      </c>
      <c r="J4185" s="131">
        <v>0</v>
      </c>
    </row>
    <row r="4186" spans="1:10">
      <c r="A4186" s="126" t="s">
        <v>103</v>
      </c>
      <c r="B4186" s="126" t="s">
        <v>14</v>
      </c>
      <c r="C4186" s="129">
        <v>0.63472222222222197</v>
      </c>
      <c r="D4186" s="132">
        <v>0</v>
      </c>
      <c r="E4186" s="132">
        <v>0</v>
      </c>
      <c r="F4186" s="132">
        <v>0</v>
      </c>
      <c r="G4186" s="132">
        <v>0</v>
      </c>
      <c r="H4186" s="132">
        <v>0</v>
      </c>
      <c r="I4186" s="132">
        <v>0</v>
      </c>
      <c r="J4186" s="132">
        <v>0</v>
      </c>
    </row>
    <row r="4187" spans="1:10">
      <c r="A4187" s="125" t="s">
        <v>103</v>
      </c>
      <c r="B4187" s="125" t="s">
        <v>14</v>
      </c>
      <c r="C4187" s="128">
        <v>0.63541666666666696</v>
      </c>
      <c r="D4187" s="133">
        <v>0</v>
      </c>
      <c r="E4187" s="133">
        <v>0</v>
      </c>
      <c r="F4187" s="133">
        <v>0</v>
      </c>
      <c r="G4187" s="133">
        <v>0</v>
      </c>
      <c r="H4187" s="133">
        <v>0</v>
      </c>
      <c r="I4187" s="133">
        <v>0</v>
      </c>
      <c r="J4187" s="133">
        <v>0</v>
      </c>
    </row>
    <row r="4188" spans="1:10">
      <c r="A4188" s="125" t="s">
        <v>103</v>
      </c>
      <c r="B4188" s="125" t="s">
        <v>14</v>
      </c>
      <c r="C4188" s="128">
        <v>0.63611111111111096</v>
      </c>
      <c r="D4188" s="131">
        <v>0</v>
      </c>
      <c r="E4188" s="131">
        <v>0</v>
      </c>
      <c r="F4188" s="131">
        <v>0</v>
      </c>
      <c r="G4188" s="131">
        <v>0</v>
      </c>
      <c r="H4188" s="131">
        <v>0</v>
      </c>
      <c r="I4188" s="131">
        <v>0</v>
      </c>
      <c r="J4188" s="131">
        <v>0</v>
      </c>
    </row>
    <row r="4189" spans="1:10">
      <c r="A4189" s="125" t="s">
        <v>103</v>
      </c>
      <c r="B4189" s="125" t="s">
        <v>14</v>
      </c>
      <c r="C4189" s="128">
        <v>0.63680555555555496</v>
      </c>
      <c r="D4189" s="131">
        <v>0</v>
      </c>
      <c r="E4189" s="131">
        <v>0</v>
      </c>
      <c r="F4189" s="131">
        <v>0</v>
      </c>
      <c r="G4189" s="131">
        <v>0</v>
      </c>
      <c r="H4189" s="131">
        <v>0</v>
      </c>
      <c r="I4189" s="131">
        <v>0</v>
      </c>
      <c r="J4189" s="131">
        <v>0</v>
      </c>
    </row>
    <row r="4190" spans="1:10">
      <c r="A4190" s="125" t="s">
        <v>103</v>
      </c>
      <c r="B4190" s="125" t="s">
        <v>14</v>
      </c>
      <c r="C4190" s="128">
        <v>0.63749999999999996</v>
      </c>
      <c r="D4190" s="131">
        <v>0</v>
      </c>
      <c r="E4190" s="131">
        <v>0</v>
      </c>
      <c r="F4190" s="131">
        <v>0</v>
      </c>
      <c r="G4190" s="131">
        <v>0</v>
      </c>
      <c r="H4190" s="131">
        <v>0</v>
      </c>
      <c r="I4190" s="131">
        <v>0</v>
      </c>
      <c r="J4190" s="131">
        <v>0</v>
      </c>
    </row>
    <row r="4191" spans="1:10">
      <c r="A4191" s="125" t="s">
        <v>103</v>
      </c>
      <c r="B4191" s="125" t="s">
        <v>14</v>
      </c>
      <c r="C4191" s="128">
        <v>0.63819444444444395</v>
      </c>
      <c r="D4191" s="131">
        <v>0</v>
      </c>
      <c r="E4191" s="131">
        <v>0</v>
      </c>
      <c r="F4191" s="131">
        <v>0</v>
      </c>
      <c r="G4191" s="131">
        <v>0</v>
      </c>
      <c r="H4191" s="131">
        <v>0</v>
      </c>
      <c r="I4191" s="131">
        <v>0</v>
      </c>
      <c r="J4191" s="131">
        <v>0</v>
      </c>
    </row>
    <row r="4192" spans="1:10">
      <c r="A4192" s="125" t="s">
        <v>103</v>
      </c>
      <c r="B4192" s="125" t="s">
        <v>14</v>
      </c>
      <c r="C4192" s="128">
        <v>0.63888888888888895</v>
      </c>
      <c r="D4192" s="131">
        <v>0</v>
      </c>
      <c r="E4192" s="131">
        <v>0</v>
      </c>
      <c r="F4192" s="131">
        <v>0</v>
      </c>
      <c r="G4192" s="131">
        <v>0</v>
      </c>
      <c r="H4192" s="131">
        <v>0</v>
      </c>
      <c r="I4192" s="131">
        <v>0</v>
      </c>
      <c r="J4192" s="131">
        <v>0</v>
      </c>
    </row>
    <row r="4193" spans="1:10">
      <c r="A4193" s="125" t="s">
        <v>103</v>
      </c>
      <c r="B4193" s="125" t="s">
        <v>14</v>
      </c>
      <c r="C4193" s="128">
        <v>0.63958333333333295</v>
      </c>
      <c r="D4193" s="131">
        <v>0</v>
      </c>
      <c r="E4193" s="131">
        <v>0</v>
      </c>
      <c r="F4193" s="131">
        <v>0</v>
      </c>
      <c r="G4193" s="131">
        <v>0</v>
      </c>
      <c r="H4193" s="131">
        <v>0</v>
      </c>
      <c r="I4193" s="131">
        <v>0</v>
      </c>
      <c r="J4193" s="131">
        <v>0</v>
      </c>
    </row>
    <row r="4194" spans="1:10">
      <c r="A4194" s="125" t="s">
        <v>103</v>
      </c>
      <c r="B4194" s="125" t="s">
        <v>14</v>
      </c>
      <c r="C4194" s="128">
        <v>0.64027777777777795</v>
      </c>
      <c r="D4194" s="131">
        <v>0</v>
      </c>
      <c r="E4194" s="131">
        <v>0</v>
      </c>
      <c r="F4194" s="131">
        <v>0</v>
      </c>
      <c r="G4194" s="131">
        <v>0</v>
      </c>
      <c r="H4194" s="131">
        <v>0</v>
      </c>
      <c r="I4194" s="131">
        <v>0</v>
      </c>
      <c r="J4194" s="131">
        <v>0</v>
      </c>
    </row>
    <row r="4195" spans="1:10">
      <c r="A4195" s="125" t="s">
        <v>103</v>
      </c>
      <c r="B4195" s="125" t="s">
        <v>14</v>
      </c>
      <c r="C4195" s="128">
        <v>0.64097222222222205</v>
      </c>
      <c r="D4195" s="131">
        <v>0</v>
      </c>
      <c r="E4195" s="131">
        <v>0</v>
      </c>
      <c r="F4195" s="131">
        <v>0</v>
      </c>
      <c r="G4195" s="131">
        <v>0</v>
      </c>
      <c r="H4195" s="131">
        <v>0</v>
      </c>
      <c r="I4195" s="131">
        <v>0</v>
      </c>
      <c r="J4195" s="131">
        <v>0</v>
      </c>
    </row>
    <row r="4196" spans="1:10">
      <c r="A4196" s="125" t="s">
        <v>103</v>
      </c>
      <c r="B4196" s="125" t="s">
        <v>14</v>
      </c>
      <c r="C4196" s="128">
        <v>0.64166666666666605</v>
      </c>
      <c r="D4196" s="131">
        <v>0</v>
      </c>
      <c r="E4196" s="131">
        <v>0</v>
      </c>
      <c r="F4196" s="131">
        <v>0</v>
      </c>
      <c r="G4196" s="131">
        <v>0</v>
      </c>
      <c r="H4196" s="131">
        <v>0</v>
      </c>
      <c r="I4196" s="131">
        <v>0</v>
      </c>
      <c r="J4196" s="131">
        <v>0</v>
      </c>
    </row>
    <row r="4197" spans="1:10">
      <c r="A4197" s="125" t="s">
        <v>103</v>
      </c>
      <c r="B4197" s="125" t="s">
        <v>14</v>
      </c>
      <c r="C4197" s="128">
        <v>0.64236111111111105</v>
      </c>
      <c r="D4197" s="131">
        <v>0</v>
      </c>
      <c r="E4197" s="131">
        <v>0</v>
      </c>
      <c r="F4197" s="131">
        <v>0</v>
      </c>
      <c r="G4197" s="131">
        <v>0</v>
      </c>
      <c r="H4197" s="131">
        <v>0</v>
      </c>
      <c r="I4197" s="131">
        <v>0</v>
      </c>
      <c r="J4197" s="131">
        <v>0</v>
      </c>
    </row>
    <row r="4198" spans="1:10">
      <c r="A4198" s="125" t="s">
        <v>103</v>
      </c>
      <c r="B4198" s="125" t="s">
        <v>14</v>
      </c>
      <c r="C4198" s="128">
        <v>0.64305555555555505</v>
      </c>
      <c r="D4198" s="131">
        <v>0</v>
      </c>
      <c r="E4198" s="131">
        <v>0</v>
      </c>
      <c r="F4198" s="131">
        <v>0</v>
      </c>
      <c r="G4198" s="131">
        <v>0</v>
      </c>
      <c r="H4198" s="131">
        <v>0</v>
      </c>
      <c r="I4198" s="131">
        <v>0</v>
      </c>
      <c r="J4198" s="131">
        <v>0</v>
      </c>
    </row>
    <row r="4199" spans="1:10">
      <c r="A4199" s="125" t="s">
        <v>103</v>
      </c>
      <c r="B4199" s="125" t="s">
        <v>14</v>
      </c>
      <c r="C4199" s="128">
        <v>0.64375000000000004</v>
      </c>
      <c r="D4199" s="131">
        <v>0</v>
      </c>
      <c r="E4199" s="131">
        <v>0</v>
      </c>
      <c r="F4199" s="131">
        <v>0</v>
      </c>
      <c r="G4199" s="131">
        <v>0</v>
      </c>
      <c r="H4199" s="131">
        <v>0</v>
      </c>
      <c r="I4199" s="131">
        <v>0</v>
      </c>
      <c r="J4199" s="131">
        <v>0</v>
      </c>
    </row>
    <row r="4200" spans="1:10">
      <c r="A4200" s="125" t="s">
        <v>103</v>
      </c>
      <c r="B4200" s="125" t="s">
        <v>14</v>
      </c>
      <c r="C4200" s="128">
        <v>0.64444444444444404</v>
      </c>
      <c r="D4200" s="131">
        <v>0</v>
      </c>
      <c r="E4200" s="131">
        <v>0</v>
      </c>
      <c r="F4200" s="131">
        <v>0</v>
      </c>
      <c r="G4200" s="131">
        <v>0</v>
      </c>
      <c r="H4200" s="131">
        <v>0</v>
      </c>
      <c r="I4200" s="131">
        <v>0</v>
      </c>
      <c r="J4200" s="131">
        <v>0</v>
      </c>
    </row>
    <row r="4201" spans="1:10" ht="17.5" thickBot="1">
      <c r="A4201" s="127" t="s">
        <v>103</v>
      </c>
      <c r="B4201" s="127" t="s">
        <v>14</v>
      </c>
      <c r="C4201" s="130">
        <v>0.64513888888888904</v>
      </c>
      <c r="D4201" s="134">
        <v>0</v>
      </c>
      <c r="E4201" s="134">
        <v>0</v>
      </c>
      <c r="F4201" s="134">
        <v>0</v>
      </c>
      <c r="G4201" s="134">
        <v>0</v>
      </c>
      <c r="H4201" s="134">
        <v>0</v>
      </c>
      <c r="I4201" s="134">
        <v>0</v>
      </c>
      <c r="J4201" s="134">
        <v>0</v>
      </c>
    </row>
    <row r="4202" spans="1:10">
      <c r="A4202" s="125" t="s">
        <v>103</v>
      </c>
      <c r="B4202" s="125" t="s">
        <v>124</v>
      </c>
      <c r="C4202" s="128">
        <v>0.60416666666666663</v>
      </c>
      <c r="D4202" s="131">
        <v>0</v>
      </c>
      <c r="E4202" s="131">
        <v>0</v>
      </c>
      <c r="F4202" s="131">
        <v>0</v>
      </c>
      <c r="G4202" s="131">
        <v>0</v>
      </c>
      <c r="H4202" s="131">
        <v>0</v>
      </c>
      <c r="I4202" s="131">
        <v>0</v>
      </c>
      <c r="J4202" s="131">
        <v>0</v>
      </c>
    </row>
    <row r="4203" spans="1:10">
      <c r="A4203" s="125" t="s">
        <v>103</v>
      </c>
      <c r="B4203" s="125" t="s">
        <v>123</v>
      </c>
      <c r="C4203" s="128">
        <v>0.60486111111111107</v>
      </c>
      <c r="D4203" s="131">
        <v>0</v>
      </c>
      <c r="E4203" s="131">
        <v>0</v>
      </c>
      <c r="F4203" s="131">
        <v>0</v>
      </c>
      <c r="G4203" s="131">
        <v>0</v>
      </c>
      <c r="H4203" s="131">
        <v>0</v>
      </c>
      <c r="I4203" s="131">
        <v>0</v>
      </c>
      <c r="J4203" s="131">
        <v>0</v>
      </c>
    </row>
    <row r="4204" spans="1:10">
      <c r="A4204" s="125" t="s">
        <v>103</v>
      </c>
      <c r="B4204" s="125" t="s">
        <v>123</v>
      </c>
      <c r="C4204" s="128">
        <v>0.60555555555555596</v>
      </c>
      <c r="D4204" s="131">
        <v>0</v>
      </c>
      <c r="E4204" s="131">
        <v>0</v>
      </c>
      <c r="F4204" s="131">
        <v>0</v>
      </c>
      <c r="G4204" s="131">
        <v>0</v>
      </c>
      <c r="H4204" s="131">
        <v>0</v>
      </c>
      <c r="I4204" s="131">
        <v>0</v>
      </c>
      <c r="J4204" s="131">
        <v>0</v>
      </c>
    </row>
    <row r="4205" spans="1:10">
      <c r="A4205" s="125" t="s">
        <v>103</v>
      </c>
      <c r="B4205" s="125" t="s">
        <v>123</v>
      </c>
      <c r="C4205" s="128">
        <v>0.60624999999999996</v>
      </c>
      <c r="D4205" s="131">
        <v>0</v>
      </c>
      <c r="E4205" s="131">
        <v>0</v>
      </c>
      <c r="F4205" s="131">
        <v>0</v>
      </c>
      <c r="G4205" s="131">
        <v>0</v>
      </c>
      <c r="H4205" s="131">
        <v>0</v>
      </c>
      <c r="I4205" s="131">
        <v>0</v>
      </c>
      <c r="J4205" s="131">
        <v>0</v>
      </c>
    </row>
    <row r="4206" spans="1:10">
      <c r="A4206" s="125" t="s">
        <v>103</v>
      </c>
      <c r="B4206" s="125" t="s">
        <v>123</v>
      </c>
      <c r="C4206" s="128">
        <v>0.60694444444444395</v>
      </c>
      <c r="D4206" s="131">
        <v>0</v>
      </c>
      <c r="E4206" s="131">
        <v>0</v>
      </c>
      <c r="F4206" s="131">
        <v>0</v>
      </c>
      <c r="G4206" s="131">
        <v>0</v>
      </c>
      <c r="H4206" s="131">
        <v>0</v>
      </c>
      <c r="I4206" s="131">
        <v>0</v>
      </c>
      <c r="J4206" s="131">
        <v>0</v>
      </c>
    </row>
    <row r="4207" spans="1:10">
      <c r="A4207" s="125" t="s">
        <v>103</v>
      </c>
      <c r="B4207" s="125" t="s">
        <v>123</v>
      </c>
      <c r="C4207" s="128">
        <v>0.60763888888888895</v>
      </c>
      <c r="D4207" s="131">
        <v>0</v>
      </c>
      <c r="E4207" s="131">
        <v>0</v>
      </c>
      <c r="F4207" s="131">
        <v>0</v>
      </c>
      <c r="G4207" s="131">
        <v>0</v>
      </c>
      <c r="H4207" s="131">
        <v>0</v>
      </c>
      <c r="I4207" s="131">
        <v>0</v>
      </c>
      <c r="J4207" s="131">
        <v>0</v>
      </c>
    </row>
    <row r="4208" spans="1:10">
      <c r="A4208" s="125" t="s">
        <v>103</v>
      </c>
      <c r="B4208" s="125" t="s">
        <v>123</v>
      </c>
      <c r="C4208" s="128">
        <v>0.60833333333333295</v>
      </c>
      <c r="D4208" s="131">
        <v>0</v>
      </c>
      <c r="E4208" s="131">
        <v>0</v>
      </c>
      <c r="F4208" s="131">
        <v>0</v>
      </c>
      <c r="G4208" s="131">
        <v>0</v>
      </c>
      <c r="H4208" s="131">
        <v>0</v>
      </c>
      <c r="I4208" s="131">
        <v>0</v>
      </c>
      <c r="J4208" s="131">
        <v>0</v>
      </c>
    </row>
    <row r="4209" spans="1:10">
      <c r="A4209" s="125" t="s">
        <v>103</v>
      </c>
      <c r="B4209" s="125" t="s">
        <v>123</v>
      </c>
      <c r="C4209" s="128">
        <v>0.60902777777777795</v>
      </c>
      <c r="D4209" s="131">
        <v>0</v>
      </c>
      <c r="E4209" s="131">
        <v>0</v>
      </c>
      <c r="F4209" s="131">
        <v>0</v>
      </c>
      <c r="G4209" s="131">
        <v>0</v>
      </c>
      <c r="H4209" s="131">
        <v>0</v>
      </c>
      <c r="I4209" s="131">
        <v>0</v>
      </c>
      <c r="J4209" s="131">
        <v>0</v>
      </c>
    </row>
    <row r="4210" spans="1:10">
      <c r="A4210" s="125" t="s">
        <v>103</v>
      </c>
      <c r="B4210" s="125" t="s">
        <v>123</v>
      </c>
      <c r="C4210" s="128">
        <v>0.60972222222222205</v>
      </c>
      <c r="D4210" s="131">
        <v>0</v>
      </c>
      <c r="E4210" s="131">
        <v>0</v>
      </c>
      <c r="F4210" s="131">
        <v>0</v>
      </c>
      <c r="G4210" s="131">
        <v>0</v>
      </c>
      <c r="H4210" s="131">
        <v>0</v>
      </c>
      <c r="I4210" s="131">
        <v>0</v>
      </c>
      <c r="J4210" s="131">
        <v>0</v>
      </c>
    </row>
    <row r="4211" spans="1:10">
      <c r="A4211" s="125" t="s">
        <v>103</v>
      </c>
      <c r="B4211" s="125" t="s">
        <v>123</v>
      </c>
      <c r="C4211" s="128">
        <v>0.61041666666666705</v>
      </c>
      <c r="D4211" s="131">
        <v>0</v>
      </c>
      <c r="E4211" s="131">
        <v>0</v>
      </c>
      <c r="F4211" s="131">
        <v>0</v>
      </c>
      <c r="G4211" s="131">
        <v>0</v>
      </c>
      <c r="H4211" s="131">
        <v>0</v>
      </c>
      <c r="I4211" s="131">
        <v>0</v>
      </c>
      <c r="J4211" s="131">
        <v>0</v>
      </c>
    </row>
    <row r="4212" spans="1:10">
      <c r="A4212" s="125" t="s">
        <v>103</v>
      </c>
      <c r="B4212" s="125" t="s">
        <v>123</v>
      </c>
      <c r="C4212" s="128">
        <v>0.61111111111111105</v>
      </c>
      <c r="D4212" s="131">
        <v>0</v>
      </c>
      <c r="E4212" s="131">
        <v>0</v>
      </c>
      <c r="F4212" s="131">
        <v>0</v>
      </c>
      <c r="G4212" s="131">
        <v>0</v>
      </c>
      <c r="H4212" s="131">
        <v>0</v>
      </c>
      <c r="I4212" s="131">
        <v>0</v>
      </c>
      <c r="J4212" s="131">
        <v>0</v>
      </c>
    </row>
    <row r="4213" spans="1:10">
      <c r="A4213" s="125" t="s">
        <v>103</v>
      </c>
      <c r="B4213" s="125" t="s">
        <v>123</v>
      </c>
      <c r="C4213" s="128">
        <v>0.61180555555555505</v>
      </c>
      <c r="D4213" s="131">
        <v>0</v>
      </c>
      <c r="E4213" s="131">
        <v>0</v>
      </c>
      <c r="F4213" s="131">
        <v>0</v>
      </c>
      <c r="G4213" s="131">
        <v>0</v>
      </c>
      <c r="H4213" s="131">
        <v>0</v>
      </c>
      <c r="I4213" s="131">
        <v>0</v>
      </c>
      <c r="J4213" s="131">
        <v>0</v>
      </c>
    </row>
    <row r="4214" spans="1:10">
      <c r="A4214" s="125" t="s">
        <v>103</v>
      </c>
      <c r="B4214" s="125" t="s">
        <v>123</v>
      </c>
      <c r="C4214" s="128">
        <v>0.61250000000000004</v>
      </c>
      <c r="D4214" s="131">
        <v>0</v>
      </c>
      <c r="E4214" s="131">
        <v>0</v>
      </c>
      <c r="F4214" s="131">
        <v>0</v>
      </c>
      <c r="G4214" s="131">
        <v>0</v>
      </c>
      <c r="H4214" s="131">
        <v>0</v>
      </c>
      <c r="I4214" s="131">
        <v>0</v>
      </c>
      <c r="J4214" s="131">
        <v>0</v>
      </c>
    </row>
    <row r="4215" spans="1:10">
      <c r="A4215" s="125" t="s">
        <v>103</v>
      </c>
      <c r="B4215" s="125" t="s">
        <v>123</v>
      </c>
      <c r="C4215" s="128">
        <v>0.61319444444444404</v>
      </c>
      <c r="D4215" s="131">
        <v>0</v>
      </c>
      <c r="E4215" s="131">
        <v>0</v>
      </c>
      <c r="F4215" s="131">
        <v>0</v>
      </c>
      <c r="G4215" s="131">
        <v>0</v>
      </c>
      <c r="H4215" s="131">
        <v>0</v>
      </c>
      <c r="I4215" s="131">
        <v>0</v>
      </c>
      <c r="J4215" s="131">
        <v>0</v>
      </c>
    </row>
    <row r="4216" spans="1:10">
      <c r="A4216" s="126" t="s">
        <v>103</v>
      </c>
      <c r="B4216" s="126" t="s">
        <v>123</v>
      </c>
      <c r="C4216" s="129">
        <v>0.61388888888888904</v>
      </c>
      <c r="D4216" s="132">
        <v>0</v>
      </c>
      <c r="E4216" s="132">
        <v>0</v>
      </c>
      <c r="F4216" s="132">
        <v>0</v>
      </c>
      <c r="G4216" s="132">
        <v>0</v>
      </c>
      <c r="H4216" s="132">
        <v>0</v>
      </c>
      <c r="I4216" s="132">
        <v>0</v>
      </c>
      <c r="J4216" s="132">
        <v>0</v>
      </c>
    </row>
    <row r="4217" spans="1:10">
      <c r="A4217" s="125" t="s">
        <v>103</v>
      </c>
      <c r="B4217" s="125" t="s">
        <v>123</v>
      </c>
      <c r="C4217" s="128">
        <v>0.61458333333333304</v>
      </c>
      <c r="D4217" s="133">
        <v>0</v>
      </c>
      <c r="E4217" s="133">
        <v>0</v>
      </c>
      <c r="F4217" s="133">
        <v>0</v>
      </c>
      <c r="G4217" s="133">
        <v>0</v>
      </c>
      <c r="H4217" s="133">
        <v>0</v>
      </c>
      <c r="I4217" s="133">
        <v>0</v>
      </c>
      <c r="J4217" s="133">
        <v>0</v>
      </c>
    </row>
    <row r="4218" spans="1:10">
      <c r="A4218" s="125" t="s">
        <v>103</v>
      </c>
      <c r="B4218" s="125" t="s">
        <v>123</v>
      </c>
      <c r="C4218" s="128">
        <v>0.61527777777777803</v>
      </c>
      <c r="D4218" s="131">
        <v>0</v>
      </c>
      <c r="E4218" s="131">
        <v>0</v>
      </c>
      <c r="F4218" s="131">
        <v>0</v>
      </c>
      <c r="G4218" s="131">
        <v>0</v>
      </c>
      <c r="H4218" s="131">
        <v>0</v>
      </c>
      <c r="I4218" s="131">
        <v>0</v>
      </c>
      <c r="J4218" s="131">
        <v>0</v>
      </c>
    </row>
    <row r="4219" spans="1:10">
      <c r="A4219" s="125" t="s">
        <v>103</v>
      </c>
      <c r="B4219" s="125" t="s">
        <v>123</v>
      </c>
      <c r="C4219" s="128">
        <v>0.61597222222222203</v>
      </c>
      <c r="D4219" s="131">
        <v>0</v>
      </c>
      <c r="E4219" s="131">
        <v>0</v>
      </c>
      <c r="F4219" s="131">
        <v>0</v>
      </c>
      <c r="G4219" s="131">
        <v>0</v>
      </c>
      <c r="H4219" s="131">
        <v>0</v>
      </c>
      <c r="I4219" s="131">
        <v>0</v>
      </c>
      <c r="J4219" s="131">
        <v>0</v>
      </c>
    </row>
    <row r="4220" spans="1:10">
      <c r="A4220" s="125" t="s">
        <v>103</v>
      </c>
      <c r="B4220" s="125" t="s">
        <v>123</v>
      </c>
      <c r="C4220" s="128">
        <v>0.61666666666666703</v>
      </c>
      <c r="D4220" s="131">
        <v>0</v>
      </c>
      <c r="E4220" s="131">
        <v>0</v>
      </c>
      <c r="F4220" s="131">
        <v>0</v>
      </c>
      <c r="G4220" s="131">
        <v>0</v>
      </c>
      <c r="H4220" s="131">
        <v>0</v>
      </c>
      <c r="I4220" s="131">
        <v>0</v>
      </c>
      <c r="J4220" s="131">
        <v>0</v>
      </c>
    </row>
    <row r="4221" spans="1:10">
      <c r="A4221" s="125" t="s">
        <v>103</v>
      </c>
      <c r="B4221" s="125" t="s">
        <v>123</v>
      </c>
      <c r="C4221" s="128">
        <v>0.61736111111111103</v>
      </c>
      <c r="D4221" s="131">
        <v>0</v>
      </c>
      <c r="E4221" s="131">
        <v>0</v>
      </c>
      <c r="F4221" s="131">
        <v>0</v>
      </c>
      <c r="G4221" s="131">
        <v>0</v>
      </c>
      <c r="H4221" s="131">
        <v>0</v>
      </c>
      <c r="I4221" s="131">
        <v>0</v>
      </c>
      <c r="J4221" s="131">
        <v>0</v>
      </c>
    </row>
    <row r="4222" spans="1:10">
      <c r="A4222" s="125" t="s">
        <v>103</v>
      </c>
      <c r="B4222" s="125" t="s">
        <v>123</v>
      </c>
      <c r="C4222" s="128">
        <v>0.61805555555555503</v>
      </c>
      <c r="D4222" s="131">
        <v>0</v>
      </c>
      <c r="E4222" s="131">
        <v>0</v>
      </c>
      <c r="F4222" s="131">
        <v>0</v>
      </c>
      <c r="G4222" s="131">
        <v>0</v>
      </c>
      <c r="H4222" s="131">
        <v>0</v>
      </c>
      <c r="I4222" s="131">
        <v>0</v>
      </c>
      <c r="J4222" s="131">
        <v>0</v>
      </c>
    </row>
    <row r="4223" spans="1:10">
      <c r="A4223" s="125" t="s">
        <v>103</v>
      </c>
      <c r="B4223" s="125" t="s">
        <v>123</v>
      </c>
      <c r="C4223" s="128">
        <v>0.61875000000000002</v>
      </c>
      <c r="D4223" s="131">
        <v>0</v>
      </c>
      <c r="E4223" s="131">
        <v>0</v>
      </c>
      <c r="F4223" s="131">
        <v>0</v>
      </c>
      <c r="G4223" s="131">
        <v>0</v>
      </c>
      <c r="H4223" s="131">
        <v>0</v>
      </c>
      <c r="I4223" s="131">
        <v>0</v>
      </c>
      <c r="J4223" s="131">
        <v>0</v>
      </c>
    </row>
    <row r="4224" spans="1:10">
      <c r="A4224" s="125" t="s">
        <v>103</v>
      </c>
      <c r="B4224" s="125" t="s">
        <v>123</v>
      </c>
      <c r="C4224" s="128">
        <v>0.61944444444444402</v>
      </c>
      <c r="D4224" s="131">
        <v>0</v>
      </c>
      <c r="E4224" s="131">
        <v>0</v>
      </c>
      <c r="F4224" s="131">
        <v>0</v>
      </c>
      <c r="G4224" s="131">
        <v>0</v>
      </c>
      <c r="H4224" s="131">
        <v>0</v>
      </c>
      <c r="I4224" s="131">
        <v>0</v>
      </c>
      <c r="J4224" s="131">
        <v>0</v>
      </c>
    </row>
    <row r="4225" spans="1:10">
      <c r="A4225" s="125" t="s">
        <v>103</v>
      </c>
      <c r="B4225" s="125" t="s">
        <v>123</v>
      </c>
      <c r="C4225" s="128">
        <v>0.62013888888888902</v>
      </c>
      <c r="D4225" s="131">
        <v>0</v>
      </c>
      <c r="E4225" s="131">
        <v>0</v>
      </c>
      <c r="F4225" s="131">
        <v>0</v>
      </c>
      <c r="G4225" s="131">
        <v>0</v>
      </c>
      <c r="H4225" s="131">
        <v>0</v>
      </c>
      <c r="I4225" s="131">
        <v>0</v>
      </c>
      <c r="J4225" s="131">
        <v>0</v>
      </c>
    </row>
    <row r="4226" spans="1:10">
      <c r="A4226" s="125" t="s">
        <v>103</v>
      </c>
      <c r="B4226" s="125" t="s">
        <v>123</v>
      </c>
      <c r="C4226" s="128">
        <v>0.62083333333333302</v>
      </c>
      <c r="D4226" s="131">
        <v>0</v>
      </c>
      <c r="E4226" s="131">
        <v>0</v>
      </c>
      <c r="F4226" s="131">
        <v>0</v>
      </c>
      <c r="G4226" s="131">
        <v>0</v>
      </c>
      <c r="H4226" s="131">
        <v>0</v>
      </c>
      <c r="I4226" s="131">
        <v>0</v>
      </c>
      <c r="J4226" s="131">
        <v>0</v>
      </c>
    </row>
    <row r="4227" spans="1:10">
      <c r="A4227" s="125" t="s">
        <v>103</v>
      </c>
      <c r="B4227" s="125" t="s">
        <v>123</v>
      </c>
      <c r="C4227" s="128">
        <v>0.62152777777777801</v>
      </c>
      <c r="D4227" s="131">
        <v>0</v>
      </c>
      <c r="E4227" s="131">
        <v>0</v>
      </c>
      <c r="F4227" s="131">
        <v>0</v>
      </c>
      <c r="G4227" s="131">
        <v>0</v>
      </c>
      <c r="H4227" s="131">
        <v>0</v>
      </c>
      <c r="I4227" s="131">
        <v>0</v>
      </c>
      <c r="J4227" s="131">
        <v>0</v>
      </c>
    </row>
    <row r="4228" spans="1:10">
      <c r="A4228" s="125" t="s">
        <v>103</v>
      </c>
      <c r="B4228" s="125" t="s">
        <v>123</v>
      </c>
      <c r="C4228" s="128">
        <v>0.62222222222222201</v>
      </c>
      <c r="D4228" s="131">
        <v>0</v>
      </c>
      <c r="E4228" s="131">
        <v>0</v>
      </c>
      <c r="F4228" s="131">
        <v>0</v>
      </c>
      <c r="G4228" s="131">
        <v>0</v>
      </c>
      <c r="H4228" s="131">
        <v>0</v>
      </c>
      <c r="I4228" s="131">
        <v>0</v>
      </c>
      <c r="J4228" s="131">
        <v>0</v>
      </c>
    </row>
    <row r="4229" spans="1:10">
      <c r="A4229" s="125" t="s">
        <v>103</v>
      </c>
      <c r="B4229" s="125" t="s">
        <v>123</v>
      </c>
      <c r="C4229" s="128">
        <v>0.62291666666666701</v>
      </c>
      <c r="D4229" s="131">
        <v>0</v>
      </c>
      <c r="E4229" s="131">
        <v>0</v>
      </c>
      <c r="F4229" s="131">
        <v>0</v>
      </c>
      <c r="G4229" s="131">
        <v>0</v>
      </c>
      <c r="H4229" s="131">
        <v>0</v>
      </c>
      <c r="I4229" s="131">
        <v>0</v>
      </c>
      <c r="J4229" s="131">
        <v>0</v>
      </c>
    </row>
    <row r="4230" spans="1:10">
      <c r="A4230" s="125" t="s">
        <v>103</v>
      </c>
      <c r="B4230" s="125" t="s">
        <v>123</v>
      </c>
      <c r="C4230" s="128">
        <v>0.62361111111111101</v>
      </c>
      <c r="D4230" s="131">
        <v>0</v>
      </c>
      <c r="E4230" s="131">
        <v>0</v>
      </c>
      <c r="F4230" s="131">
        <v>0</v>
      </c>
      <c r="G4230" s="131">
        <v>0</v>
      </c>
      <c r="H4230" s="131">
        <v>0</v>
      </c>
      <c r="I4230" s="131">
        <v>0</v>
      </c>
      <c r="J4230" s="131">
        <v>0</v>
      </c>
    </row>
    <row r="4231" spans="1:10">
      <c r="A4231" s="126" t="s">
        <v>103</v>
      </c>
      <c r="B4231" s="126" t="s">
        <v>123</v>
      </c>
      <c r="C4231" s="129">
        <v>0.624305555555555</v>
      </c>
      <c r="D4231" s="131">
        <v>0</v>
      </c>
      <c r="E4231" s="131">
        <v>0</v>
      </c>
      <c r="F4231" s="131">
        <v>0</v>
      </c>
      <c r="G4231" s="131">
        <v>0</v>
      </c>
      <c r="H4231" s="131">
        <v>0</v>
      </c>
      <c r="I4231" s="131">
        <v>0</v>
      </c>
      <c r="J4231" s="131">
        <v>0</v>
      </c>
    </row>
    <row r="4232" spans="1:10">
      <c r="A4232" s="125" t="s">
        <v>103</v>
      </c>
      <c r="B4232" s="125" t="s">
        <v>123</v>
      </c>
      <c r="C4232" s="128">
        <v>0.625</v>
      </c>
      <c r="D4232" s="133">
        <v>0</v>
      </c>
      <c r="E4232" s="133">
        <v>0</v>
      </c>
      <c r="F4232" s="133">
        <v>0</v>
      </c>
      <c r="G4232" s="133">
        <v>0</v>
      </c>
      <c r="H4232" s="133">
        <v>0</v>
      </c>
      <c r="I4232" s="133">
        <v>0</v>
      </c>
      <c r="J4232" s="133">
        <v>0</v>
      </c>
    </row>
    <row r="4233" spans="1:10">
      <c r="A4233" s="125" t="s">
        <v>103</v>
      </c>
      <c r="B4233" s="125" t="s">
        <v>123</v>
      </c>
      <c r="C4233" s="128">
        <v>0.625694444444444</v>
      </c>
      <c r="D4233" s="131">
        <v>0</v>
      </c>
      <c r="E4233" s="131">
        <v>0</v>
      </c>
      <c r="F4233" s="131">
        <v>0</v>
      </c>
      <c r="G4233" s="131">
        <v>0</v>
      </c>
      <c r="H4233" s="131">
        <v>0</v>
      </c>
      <c r="I4233" s="131">
        <v>0</v>
      </c>
      <c r="J4233" s="131">
        <v>0</v>
      </c>
    </row>
    <row r="4234" spans="1:10">
      <c r="A4234" s="125" t="s">
        <v>103</v>
      </c>
      <c r="B4234" s="125" t="s">
        <v>123</v>
      </c>
      <c r="C4234" s="128">
        <v>0.62638888888888899</v>
      </c>
      <c r="D4234" s="131">
        <v>0</v>
      </c>
      <c r="E4234" s="131">
        <v>0</v>
      </c>
      <c r="F4234" s="131">
        <v>0</v>
      </c>
      <c r="G4234" s="131">
        <v>0</v>
      </c>
      <c r="H4234" s="131">
        <v>0</v>
      </c>
      <c r="I4234" s="131">
        <v>0</v>
      </c>
      <c r="J4234" s="131">
        <v>0</v>
      </c>
    </row>
    <row r="4235" spans="1:10">
      <c r="A4235" s="125" t="s">
        <v>103</v>
      </c>
      <c r="B4235" s="125" t="s">
        <v>123</v>
      </c>
      <c r="C4235" s="128">
        <v>0.62708333333333299</v>
      </c>
      <c r="D4235" s="131">
        <v>0</v>
      </c>
      <c r="E4235" s="131">
        <v>0</v>
      </c>
      <c r="F4235" s="131">
        <v>0</v>
      </c>
      <c r="G4235" s="131">
        <v>0</v>
      </c>
      <c r="H4235" s="131">
        <v>0</v>
      </c>
      <c r="I4235" s="131">
        <v>0</v>
      </c>
      <c r="J4235" s="131">
        <v>0</v>
      </c>
    </row>
    <row r="4236" spans="1:10">
      <c r="A4236" s="125" t="s">
        <v>103</v>
      </c>
      <c r="B4236" s="125" t="s">
        <v>123</v>
      </c>
      <c r="C4236" s="128">
        <v>0.62777777777777799</v>
      </c>
      <c r="D4236" s="131">
        <v>0</v>
      </c>
      <c r="E4236" s="131">
        <v>0</v>
      </c>
      <c r="F4236" s="131">
        <v>0</v>
      </c>
      <c r="G4236" s="131">
        <v>0</v>
      </c>
      <c r="H4236" s="131">
        <v>0</v>
      </c>
      <c r="I4236" s="131">
        <v>0</v>
      </c>
      <c r="J4236" s="131">
        <v>0</v>
      </c>
    </row>
    <row r="4237" spans="1:10">
      <c r="A4237" s="125" t="s">
        <v>103</v>
      </c>
      <c r="B4237" s="125" t="s">
        <v>123</v>
      </c>
      <c r="C4237" s="128">
        <v>0.62847222222222199</v>
      </c>
      <c r="D4237" s="131">
        <v>0</v>
      </c>
      <c r="E4237" s="131">
        <v>0</v>
      </c>
      <c r="F4237" s="131">
        <v>0</v>
      </c>
      <c r="G4237" s="131">
        <v>0</v>
      </c>
      <c r="H4237" s="131">
        <v>0</v>
      </c>
      <c r="I4237" s="131">
        <v>0</v>
      </c>
      <c r="J4237" s="131">
        <v>0</v>
      </c>
    </row>
    <row r="4238" spans="1:10">
      <c r="A4238" s="125" t="s">
        <v>103</v>
      </c>
      <c r="B4238" s="125" t="s">
        <v>123</v>
      </c>
      <c r="C4238" s="128">
        <v>0.62916666666666698</v>
      </c>
      <c r="D4238" s="131">
        <v>0</v>
      </c>
      <c r="E4238" s="131">
        <v>0</v>
      </c>
      <c r="F4238" s="131">
        <v>0</v>
      </c>
      <c r="G4238" s="131">
        <v>0</v>
      </c>
      <c r="H4238" s="131">
        <v>0</v>
      </c>
      <c r="I4238" s="131">
        <v>0</v>
      </c>
      <c r="J4238" s="131">
        <v>0</v>
      </c>
    </row>
    <row r="4239" spans="1:10">
      <c r="A4239" s="125" t="s">
        <v>103</v>
      </c>
      <c r="B4239" s="125" t="s">
        <v>123</v>
      </c>
      <c r="C4239" s="128">
        <v>0.62986111111111098</v>
      </c>
      <c r="D4239" s="131">
        <v>0</v>
      </c>
      <c r="E4239" s="131">
        <v>0</v>
      </c>
      <c r="F4239" s="131">
        <v>0</v>
      </c>
      <c r="G4239" s="131">
        <v>0</v>
      </c>
      <c r="H4239" s="131">
        <v>0</v>
      </c>
      <c r="I4239" s="131">
        <v>0</v>
      </c>
      <c r="J4239" s="131">
        <v>0</v>
      </c>
    </row>
    <row r="4240" spans="1:10">
      <c r="A4240" s="125" t="s">
        <v>103</v>
      </c>
      <c r="B4240" s="125" t="s">
        <v>123</v>
      </c>
      <c r="C4240" s="128">
        <v>0.63055555555555498</v>
      </c>
      <c r="D4240" s="131">
        <v>0</v>
      </c>
      <c r="E4240" s="131">
        <v>0</v>
      </c>
      <c r="F4240" s="131">
        <v>0</v>
      </c>
      <c r="G4240" s="131">
        <v>0</v>
      </c>
      <c r="H4240" s="131">
        <v>0</v>
      </c>
      <c r="I4240" s="131">
        <v>0</v>
      </c>
      <c r="J4240" s="131">
        <v>0</v>
      </c>
    </row>
    <row r="4241" spans="1:10">
      <c r="A4241" s="125" t="s">
        <v>103</v>
      </c>
      <c r="B4241" s="125" t="s">
        <v>123</v>
      </c>
      <c r="C4241" s="128">
        <v>0.63124999999999998</v>
      </c>
      <c r="D4241" s="131">
        <v>0</v>
      </c>
      <c r="E4241" s="131">
        <v>0</v>
      </c>
      <c r="F4241" s="131">
        <v>0</v>
      </c>
      <c r="G4241" s="131">
        <v>0</v>
      </c>
      <c r="H4241" s="131">
        <v>0</v>
      </c>
      <c r="I4241" s="131">
        <v>0</v>
      </c>
      <c r="J4241" s="131">
        <v>0</v>
      </c>
    </row>
    <row r="4242" spans="1:10">
      <c r="A4242" s="125" t="s">
        <v>103</v>
      </c>
      <c r="B4242" s="125" t="s">
        <v>123</v>
      </c>
      <c r="C4242" s="128">
        <v>0.63194444444444398</v>
      </c>
      <c r="D4242" s="131">
        <v>0</v>
      </c>
      <c r="E4242" s="131">
        <v>0</v>
      </c>
      <c r="F4242" s="131">
        <v>0</v>
      </c>
      <c r="G4242" s="131">
        <v>0</v>
      </c>
      <c r="H4242" s="131">
        <v>0</v>
      </c>
      <c r="I4242" s="131">
        <v>0</v>
      </c>
      <c r="J4242" s="131">
        <v>0</v>
      </c>
    </row>
    <row r="4243" spans="1:10">
      <c r="A4243" s="125" t="s">
        <v>103</v>
      </c>
      <c r="B4243" s="125" t="s">
        <v>123</v>
      </c>
      <c r="C4243" s="128">
        <v>0.63263888888888897</v>
      </c>
      <c r="D4243" s="131">
        <v>0</v>
      </c>
      <c r="E4243" s="131">
        <v>0</v>
      </c>
      <c r="F4243" s="131">
        <v>0</v>
      </c>
      <c r="G4243" s="131">
        <v>0</v>
      </c>
      <c r="H4243" s="131">
        <v>0</v>
      </c>
      <c r="I4243" s="131">
        <v>0</v>
      </c>
      <c r="J4243" s="131">
        <v>0</v>
      </c>
    </row>
    <row r="4244" spans="1:10">
      <c r="A4244" s="125" t="s">
        <v>103</v>
      </c>
      <c r="B4244" s="125" t="s">
        <v>123</v>
      </c>
      <c r="C4244" s="128">
        <v>0.63333333333333297</v>
      </c>
      <c r="D4244" s="131">
        <v>0</v>
      </c>
      <c r="E4244" s="131">
        <v>0</v>
      </c>
      <c r="F4244" s="131">
        <v>0</v>
      </c>
      <c r="G4244" s="131">
        <v>0</v>
      </c>
      <c r="H4244" s="131">
        <v>0</v>
      </c>
      <c r="I4244" s="131">
        <v>0</v>
      </c>
      <c r="J4244" s="131">
        <v>0</v>
      </c>
    </row>
    <row r="4245" spans="1:10">
      <c r="A4245" s="125" t="s">
        <v>103</v>
      </c>
      <c r="B4245" s="125" t="s">
        <v>123</v>
      </c>
      <c r="C4245" s="128">
        <v>0.63402777777777797</v>
      </c>
      <c r="D4245" s="131">
        <v>0</v>
      </c>
      <c r="E4245" s="131">
        <v>0</v>
      </c>
      <c r="F4245" s="131">
        <v>0</v>
      </c>
      <c r="G4245" s="131">
        <v>0</v>
      </c>
      <c r="H4245" s="131">
        <v>0</v>
      </c>
      <c r="I4245" s="131">
        <v>0</v>
      </c>
      <c r="J4245" s="131">
        <v>0</v>
      </c>
    </row>
    <row r="4246" spans="1:10">
      <c r="A4246" s="126" t="s">
        <v>103</v>
      </c>
      <c r="B4246" s="126" t="s">
        <v>123</v>
      </c>
      <c r="C4246" s="129">
        <v>0.63472222222222197</v>
      </c>
      <c r="D4246" s="132">
        <v>0</v>
      </c>
      <c r="E4246" s="132">
        <v>0</v>
      </c>
      <c r="F4246" s="132">
        <v>0</v>
      </c>
      <c r="G4246" s="132">
        <v>0</v>
      </c>
      <c r="H4246" s="132">
        <v>0</v>
      </c>
      <c r="I4246" s="132">
        <v>0</v>
      </c>
      <c r="J4246" s="132">
        <v>0</v>
      </c>
    </row>
    <row r="4247" spans="1:10">
      <c r="A4247" s="125" t="s">
        <v>103</v>
      </c>
      <c r="B4247" s="125" t="s">
        <v>123</v>
      </c>
      <c r="C4247" s="128">
        <v>0.63541666666666696</v>
      </c>
      <c r="D4247" s="133">
        <v>0</v>
      </c>
      <c r="E4247" s="133">
        <v>0</v>
      </c>
      <c r="F4247" s="133">
        <v>0</v>
      </c>
      <c r="G4247" s="133">
        <v>0</v>
      </c>
      <c r="H4247" s="133">
        <v>0</v>
      </c>
      <c r="I4247" s="133">
        <v>0</v>
      </c>
      <c r="J4247" s="133">
        <v>0</v>
      </c>
    </row>
    <row r="4248" spans="1:10">
      <c r="A4248" s="125" t="s">
        <v>103</v>
      </c>
      <c r="B4248" s="125" t="s">
        <v>123</v>
      </c>
      <c r="C4248" s="128">
        <v>0.63611111111111096</v>
      </c>
      <c r="D4248" s="131">
        <v>0</v>
      </c>
      <c r="E4248" s="131">
        <v>0</v>
      </c>
      <c r="F4248" s="131">
        <v>0</v>
      </c>
      <c r="G4248" s="131">
        <v>0</v>
      </c>
      <c r="H4248" s="131">
        <v>0</v>
      </c>
      <c r="I4248" s="131">
        <v>0</v>
      </c>
      <c r="J4248" s="131">
        <v>0</v>
      </c>
    </row>
    <row r="4249" spans="1:10">
      <c r="A4249" s="125" t="s">
        <v>103</v>
      </c>
      <c r="B4249" s="125" t="s">
        <v>123</v>
      </c>
      <c r="C4249" s="128">
        <v>0.63680555555555496</v>
      </c>
      <c r="D4249" s="131">
        <v>0</v>
      </c>
      <c r="E4249" s="131">
        <v>0</v>
      </c>
      <c r="F4249" s="131">
        <v>0</v>
      </c>
      <c r="G4249" s="131">
        <v>0</v>
      </c>
      <c r="H4249" s="131">
        <v>0</v>
      </c>
      <c r="I4249" s="131">
        <v>0</v>
      </c>
      <c r="J4249" s="131">
        <v>0</v>
      </c>
    </row>
    <row r="4250" spans="1:10">
      <c r="A4250" s="125" t="s">
        <v>103</v>
      </c>
      <c r="B4250" s="125" t="s">
        <v>123</v>
      </c>
      <c r="C4250" s="128">
        <v>0.63749999999999996</v>
      </c>
      <c r="D4250" s="131">
        <v>0</v>
      </c>
      <c r="E4250" s="131">
        <v>0</v>
      </c>
      <c r="F4250" s="131">
        <v>0</v>
      </c>
      <c r="G4250" s="131">
        <v>0</v>
      </c>
      <c r="H4250" s="131">
        <v>0</v>
      </c>
      <c r="I4250" s="131">
        <v>0</v>
      </c>
      <c r="J4250" s="131">
        <v>0</v>
      </c>
    </row>
    <row r="4251" spans="1:10">
      <c r="A4251" s="125" t="s">
        <v>103</v>
      </c>
      <c r="B4251" s="125" t="s">
        <v>123</v>
      </c>
      <c r="C4251" s="128">
        <v>0.63819444444444395</v>
      </c>
      <c r="D4251" s="131">
        <v>0</v>
      </c>
      <c r="E4251" s="131">
        <v>0</v>
      </c>
      <c r="F4251" s="131">
        <v>0</v>
      </c>
      <c r="G4251" s="131">
        <v>0</v>
      </c>
      <c r="H4251" s="131">
        <v>0</v>
      </c>
      <c r="I4251" s="131">
        <v>0</v>
      </c>
      <c r="J4251" s="131">
        <v>0</v>
      </c>
    </row>
    <row r="4252" spans="1:10">
      <c r="A4252" s="125" t="s">
        <v>103</v>
      </c>
      <c r="B4252" s="125" t="s">
        <v>123</v>
      </c>
      <c r="C4252" s="128">
        <v>0.63888888888888895</v>
      </c>
      <c r="D4252" s="131">
        <v>0</v>
      </c>
      <c r="E4252" s="131">
        <v>0</v>
      </c>
      <c r="F4252" s="131">
        <v>0</v>
      </c>
      <c r="G4252" s="131">
        <v>0</v>
      </c>
      <c r="H4252" s="131">
        <v>0</v>
      </c>
      <c r="I4252" s="131">
        <v>0</v>
      </c>
      <c r="J4252" s="131">
        <v>0</v>
      </c>
    </row>
    <row r="4253" spans="1:10">
      <c r="A4253" s="125" t="s">
        <v>103</v>
      </c>
      <c r="B4253" s="125" t="s">
        <v>123</v>
      </c>
      <c r="C4253" s="128">
        <v>0.63958333333333295</v>
      </c>
      <c r="D4253" s="131">
        <v>0</v>
      </c>
      <c r="E4253" s="131">
        <v>0</v>
      </c>
      <c r="F4253" s="131">
        <v>0</v>
      </c>
      <c r="G4253" s="131">
        <v>0</v>
      </c>
      <c r="H4253" s="131">
        <v>0</v>
      </c>
      <c r="I4253" s="131">
        <v>0</v>
      </c>
      <c r="J4253" s="131">
        <v>0</v>
      </c>
    </row>
    <row r="4254" spans="1:10">
      <c r="A4254" s="125" t="s">
        <v>103</v>
      </c>
      <c r="B4254" s="125" t="s">
        <v>123</v>
      </c>
      <c r="C4254" s="128">
        <v>0.64027777777777795</v>
      </c>
      <c r="D4254" s="131">
        <v>0</v>
      </c>
      <c r="E4254" s="131">
        <v>0</v>
      </c>
      <c r="F4254" s="131">
        <v>0</v>
      </c>
      <c r="G4254" s="131">
        <v>0</v>
      </c>
      <c r="H4254" s="131">
        <v>0</v>
      </c>
      <c r="I4254" s="131">
        <v>0</v>
      </c>
      <c r="J4254" s="131">
        <v>0</v>
      </c>
    </row>
    <row r="4255" spans="1:10">
      <c r="A4255" s="125" t="s">
        <v>103</v>
      </c>
      <c r="B4255" s="125" t="s">
        <v>123</v>
      </c>
      <c r="C4255" s="128">
        <v>0.64097222222222205</v>
      </c>
      <c r="D4255" s="131">
        <v>0</v>
      </c>
      <c r="E4255" s="131">
        <v>0</v>
      </c>
      <c r="F4255" s="131">
        <v>0</v>
      </c>
      <c r="G4255" s="131">
        <v>0</v>
      </c>
      <c r="H4255" s="131">
        <v>0</v>
      </c>
      <c r="I4255" s="131">
        <v>0</v>
      </c>
      <c r="J4255" s="131">
        <v>0</v>
      </c>
    </row>
    <row r="4256" spans="1:10">
      <c r="A4256" s="125" t="s">
        <v>103</v>
      </c>
      <c r="B4256" s="125" t="s">
        <v>123</v>
      </c>
      <c r="C4256" s="128">
        <v>0.64166666666666605</v>
      </c>
      <c r="D4256" s="131">
        <v>0</v>
      </c>
      <c r="E4256" s="131">
        <v>0</v>
      </c>
      <c r="F4256" s="131">
        <v>0</v>
      </c>
      <c r="G4256" s="131">
        <v>0</v>
      </c>
      <c r="H4256" s="131">
        <v>0</v>
      </c>
      <c r="I4256" s="131">
        <v>0</v>
      </c>
      <c r="J4256" s="131">
        <v>0</v>
      </c>
    </row>
    <row r="4257" spans="1:10">
      <c r="A4257" s="125" t="s">
        <v>103</v>
      </c>
      <c r="B4257" s="125" t="s">
        <v>123</v>
      </c>
      <c r="C4257" s="128">
        <v>0.64236111111111105</v>
      </c>
      <c r="D4257" s="131">
        <v>0</v>
      </c>
      <c r="E4257" s="131">
        <v>0</v>
      </c>
      <c r="F4257" s="131">
        <v>0</v>
      </c>
      <c r="G4257" s="131">
        <v>0</v>
      </c>
      <c r="H4257" s="131">
        <v>0</v>
      </c>
      <c r="I4257" s="131">
        <v>0</v>
      </c>
      <c r="J4257" s="131">
        <v>0</v>
      </c>
    </row>
    <row r="4258" spans="1:10">
      <c r="A4258" s="125" t="s">
        <v>103</v>
      </c>
      <c r="B4258" s="125" t="s">
        <v>123</v>
      </c>
      <c r="C4258" s="128">
        <v>0.64305555555555505</v>
      </c>
      <c r="D4258" s="131">
        <v>0</v>
      </c>
      <c r="E4258" s="131">
        <v>0</v>
      </c>
      <c r="F4258" s="131">
        <v>0</v>
      </c>
      <c r="G4258" s="131">
        <v>0</v>
      </c>
      <c r="H4258" s="131">
        <v>0</v>
      </c>
      <c r="I4258" s="131">
        <v>0</v>
      </c>
      <c r="J4258" s="131">
        <v>0</v>
      </c>
    </row>
    <row r="4259" spans="1:10">
      <c r="A4259" s="125" t="s">
        <v>103</v>
      </c>
      <c r="B4259" s="125" t="s">
        <v>123</v>
      </c>
      <c r="C4259" s="128">
        <v>0.64375000000000004</v>
      </c>
      <c r="D4259" s="131">
        <v>0</v>
      </c>
      <c r="E4259" s="131">
        <v>0</v>
      </c>
      <c r="F4259" s="131">
        <v>0</v>
      </c>
      <c r="G4259" s="131">
        <v>0</v>
      </c>
      <c r="H4259" s="131">
        <v>0</v>
      </c>
      <c r="I4259" s="131">
        <v>0</v>
      </c>
      <c r="J4259" s="131">
        <v>0</v>
      </c>
    </row>
    <row r="4260" spans="1:10">
      <c r="A4260" s="125" t="s">
        <v>103</v>
      </c>
      <c r="B4260" s="125" t="s">
        <v>123</v>
      </c>
      <c r="C4260" s="128">
        <v>0.64444444444444404</v>
      </c>
      <c r="D4260" s="131">
        <v>0</v>
      </c>
      <c r="E4260" s="131">
        <v>0</v>
      </c>
      <c r="F4260" s="131">
        <v>0</v>
      </c>
      <c r="G4260" s="131">
        <v>0</v>
      </c>
      <c r="H4260" s="131">
        <v>0</v>
      </c>
      <c r="I4260" s="131">
        <v>0</v>
      </c>
      <c r="J4260" s="131">
        <v>0</v>
      </c>
    </row>
    <row r="4261" spans="1:10" ht="17.5" thickBot="1">
      <c r="A4261" s="127" t="s">
        <v>103</v>
      </c>
      <c r="B4261" s="127" t="s">
        <v>123</v>
      </c>
      <c r="C4261" s="130">
        <v>0.64513888888888904</v>
      </c>
      <c r="D4261" s="134">
        <v>0</v>
      </c>
      <c r="E4261" s="134">
        <v>0</v>
      </c>
      <c r="F4261" s="134">
        <v>0</v>
      </c>
      <c r="G4261" s="134">
        <v>0</v>
      </c>
      <c r="H4261" s="134">
        <v>0</v>
      </c>
      <c r="I4261" s="134">
        <v>0</v>
      </c>
      <c r="J4261" s="134">
        <v>0</v>
      </c>
    </row>
    <row r="4262" spans="1:10">
      <c r="A4262" s="125" t="s">
        <v>103</v>
      </c>
      <c r="B4262" s="125" t="s">
        <v>126</v>
      </c>
      <c r="C4262" s="128">
        <v>0.60416666666666663</v>
      </c>
      <c r="D4262" s="135">
        <v>0</v>
      </c>
      <c r="E4262" s="135">
        <v>0</v>
      </c>
      <c r="F4262" s="135">
        <v>0</v>
      </c>
      <c r="G4262" s="135">
        <v>0</v>
      </c>
      <c r="H4262" s="135">
        <v>0</v>
      </c>
      <c r="I4262" s="135">
        <v>0</v>
      </c>
      <c r="J4262" s="135">
        <v>0</v>
      </c>
    </row>
    <row r="4263" spans="1:10">
      <c r="A4263" s="125" t="s">
        <v>103</v>
      </c>
      <c r="B4263" s="125" t="s">
        <v>125</v>
      </c>
      <c r="C4263" s="128">
        <v>0.60486111111111107</v>
      </c>
      <c r="D4263" s="131">
        <v>0</v>
      </c>
      <c r="E4263" s="131">
        <v>0</v>
      </c>
      <c r="F4263" s="131">
        <v>0</v>
      </c>
      <c r="G4263" s="131">
        <v>0</v>
      </c>
      <c r="H4263" s="131">
        <v>0</v>
      </c>
      <c r="I4263" s="131">
        <v>0</v>
      </c>
      <c r="J4263" s="131">
        <v>0</v>
      </c>
    </row>
    <row r="4264" spans="1:10">
      <c r="A4264" s="125" t="s">
        <v>103</v>
      </c>
      <c r="B4264" s="125" t="s">
        <v>125</v>
      </c>
      <c r="C4264" s="128">
        <v>0.60555555555555596</v>
      </c>
      <c r="D4264" s="131">
        <v>0</v>
      </c>
      <c r="E4264" s="131">
        <v>0</v>
      </c>
      <c r="F4264" s="131">
        <v>0</v>
      </c>
      <c r="G4264" s="131">
        <v>0</v>
      </c>
      <c r="H4264" s="131">
        <v>0</v>
      </c>
      <c r="I4264" s="131">
        <v>0</v>
      </c>
      <c r="J4264" s="131">
        <v>0</v>
      </c>
    </row>
    <row r="4265" spans="1:10">
      <c r="A4265" s="125" t="s">
        <v>103</v>
      </c>
      <c r="B4265" s="125" t="s">
        <v>125</v>
      </c>
      <c r="C4265" s="128">
        <v>0.60624999999999996</v>
      </c>
      <c r="D4265" s="131">
        <v>0</v>
      </c>
      <c r="E4265" s="131">
        <v>0</v>
      </c>
      <c r="F4265" s="131">
        <v>0</v>
      </c>
      <c r="G4265" s="131">
        <v>0</v>
      </c>
      <c r="H4265" s="131">
        <v>0</v>
      </c>
      <c r="I4265" s="131">
        <v>0</v>
      </c>
      <c r="J4265" s="131">
        <v>0</v>
      </c>
    </row>
    <row r="4266" spans="1:10">
      <c r="A4266" s="125" t="s">
        <v>103</v>
      </c>
      <c r="B4266" s="125" t="s">
        <v>125</v>
      </c>
      <c r="C4266" s="128">
        <v>0.60694444444444395</v>
      </c>
      <c r="D4266" s="131">
        <v>0</v>
      </c>
      <c r="E4266" s="131">
        <v>0</v>
      </c>
      <c r="F4266" s="131">
        <v>0</v>
      </c>
      <c r="G4266" s="131">
        <v>0</v>
      </c>
      <c r="H4266" s="131">
        <v>0</v>
      </c>
      <c r="I4266" s="131">
        <v>0</v>
      </c>
      <c r="J4266" s="131">
        <v>0</v>
      </c>
    </row>
    <row r="4267" spans="1:10">
      <c r="A4267" s="125" t="s">
        <v>103</v>
      </c>
      <c r="B4267" s="125" t="s">
        <v>125</v>
      </c>
      <c r="C4267" s="128">
        <v>0.60763888888888895</v>
      </c>
      <c r="D4267" s="131">
        <v>0</v>
      </c>
      <c r="E4267" s="131">
        <v>0</v>
      </c>
      <c r="F4267" s="131">
        <v>0</v>
      </c>
      <c r="G4267" s="131">
        <v>0</v>
      </c>
      <c r="H4267" s="131">
        <v>0</v>
      </c>
      <c r="I4267" s="131">
        <v>0</v>
      </c>
      <c r="J4267" s="131">
        <v>0</v>
      </c>
    </row>
    <row r="4268" spans="1:10">
      <c r="A4268" s="125" t="s">
        <v>103</v>
      </c>
      <c r="B4268" s="125" t="s">
        <v>125</v>
      </c>
      <c r="C4268" s="128">
        <v>0.60833333333333295</v>
      </c>
      <c r="D4268" s="131">
        <v>0</v>
      </c>
      <c r="E4268" s="131">
        <v>0</v>
      </c>
      <c r="F4268" s="131">
        <v>0</v>
      </c>
      <c r="G4268" s="131">
        <v>0</v>
      </c>
      <c r="H4268" s="131">
        <v>0</v>
      </c>
      <c r="I4268" s="131">
        <v>0</v>
      </c>
      <c r="J4268" s="131">
        <v>0</v>
      </c>
    </row>
    <row r="4269" spans="1:10">
      <c r="A4269" s="125" t="s">
        <v>103</v>
      </c>
      <c r="B4269" s="125" t="s">
        <v>125</v>
      </c>
      <c r="C4269" s="128">
        <v>0.60902777777777795</v>
      </c>
      <c r="D4269" s="131">
        <v>0</v>
      </c>
      <c r="E4269" s="131">
        <v>0</v>
      </c>
      <c r="F4269" s="131">
        <v>0</v>
      </c>
      <c r="G4269" s="131">
        <v>0</v>
      </c>
      <c r="H4269" s="131">
        <v>0</v>
      </c>
      <c r="I4269" s="131">
        <v>0</v>
      </c>
      <c r="J4269" s="131">
        <v>0</v>
      </c>
    </row>
    <row r="4270" spans="1:10">
      <c r="A4270" s="125" t="s">
        <v>103</v>
      </c>
      <c r="B4270" s="125" t="s">
        <v>125</v>
      </c>
      <c r="C4270" s="128">
        <v>0.60972222222222205</v>
      </c>
      <c r="D4270" s="131">
        <v>0</v>
      </c>
      <c r="E4270" s="131">
        <v>0</v>
      </c>
      <c r="F4270" s="131">
        <v>0</v>
      </c>
      <c r="G4270" s="131">
        <v>0</v>
      </c>
      <c r="H4270" s="131">
        <v>0</v>
      </c>
      <c r="I4270" s="131">
        <v>0</v>
      </c>
      <c r="J4270" s="131">
        <v>0</v>
      </c>
    </row>
    <row r="4271" spans="1:10">
      <c r="A4271" s="125" t="s">
        <v>103</v>
      </c>
      <c r="B4271" s="125" t="s">
        <v>125</v>
      </c>
      <c r="C4271" s="128">
        <v>0.61041666666666705</v>
      </c>
      <c r="D4271" s="131">
        <v>0</v>
      </c>
      <c r="E4271" s="131">
        <v>0</v>
      </c>
      <c r="F4271" s="131">
        <v>0</v>
      </c>
      <c r="G4271" s="131">
        <v>0</v>
      </c>
      <c r="H4271" s="131">
        <v>0</v>
      </c>
      <c r="I4271" s="131">
        <v>0</v>
      </c>
      <c r="J4271" s="131">
        <v>0</v>
      </c>
    </row>
    <row r="4272" spans="1:10">
      <c r="A4272" s="125" t="s">
        <v>103</v>
      </c>
      <c r="B4272" s="125" t="s">
        <v>125</v>
      </c>
      <c r="C4272" s="128">
        <v>0.61111111111111105</v>
      </c>
      <c r="D4272" s="131">
        <v>0</v>
      </c>
      <c r="E4272" s="131">
        <v>0</v>
      </c>
      <c r="F4272" s="131">
        <v>0</v>
      </c>
      <c r="G4272" s="131">
        <v>0</v>
      </c>
      <c r="H4272" s="131">
        <v>0</v>
      </c>
      <c r="I4272" s="131">
        <v>0</v>
      </c>
      <c r="J4272" s="131">
        <v>0</v>
      </c>
    </row>
    <row r="4273" spans="1:10">
      <c r="A4273" s="125" t="s">
        <v>103</v>
      </c>
      <c r="B4273" s="125" t="s">
        <v>125</v>
      </c>
      <c r="C4273" s="128">
        <v>0.61180555555555505</v>
      </c>
      <c r="D4273" s="131">
        <v>0</v>
      </c>
      <c r="E4273" s="131">
        <v>0</v>
      </c>
      <c r="F4273" s="131">
        <v>0</v>
      </c>
      <c r="G4273" s="131">
        <v>0</v>
      </c>
      <c r="H4273" s="131">
        <v>0</v>
      </c>
      <c r="I4273" s="131">
        <v>0</v>
      </c>
      <c r="J4273" s="131">
        <v>0</v>
      </c>
    </row>
    <row r="4274" spans="1:10">
      <c r="A4274" s="125" t="s">
        <v>103</v>
      </c>
      <c r="B4274" s="125" t="s">
        <v>125</v>
      </c>
      <c r="C4274" s="128">
        <v>0.61250000000000004</v>
      </c>
      <c r="D4274" s="131">
        <v>0</v>
      </c>
      <c r="E4274" s="131">
        <v>0</v>
      </c>
      <c r="F4274" s="131">
        <v>0</v>
      </c>
      <c r="G4274" s="131">
        <v>0</v>
      </c>
      <c r="H4274" s="131">
        <v>0</v>
      </c>
      <c r="I4274" s="131">
        <v>0</v>
      </c>
      <c r="J4274" s="131">
        <v>0</v>
      </c>
    </row>
    <row r="4275" spans="1:10">
      <c r="A4275" s="125" t="s">
        <v>103</v>
      </c>
      <c r="B4275" s="125" t="s">
        <v>125</v>
      </c>
      <c r="C4275" s="128">
        <v>0.61319444444444404</v>
      </c>
      <c r="D4275" s="131">
        <v>0</v>
      </c>
      <c r="E4275" s="131">
        <v>0</v>
      </c>
      <c r="F4275" s="131">
        <v>0</v>
      </c>
      <c r="G4275" s="131">
        <v>0</v>
      </c>
      <c r="H4275" s="131">
        <v>0</v>
      </c>
      <c r="I4275" s="131">
        <v>0</v>
      </c>
      <c r="J4275" s="131">
        <v>0</v>
      </c>
    </row>
    <row r="4276" spans="1:10">
      <c r="A4276" s="126" t="s">
        <v>103</v>
      </c>
      <c r="B4276" s="126" t="s">
        <v>125</v>
      </c>
      <c r="C4276" s="129">
        <v>0.61388888888888904</v>
      </c>
      <c r="D4276" s="131">
        <v>0</v>
      </c>
      <c r="E4276" s="131">
        <v>0</v>
      </c>
      <c r="F4276" s="131">
        <v>0</v>
      </c>
      <c r="G4276" s="131">
        <v>0</v>
      </c>
      <c r="H4276" s="131">
        <v>0</v>
      </c>
      <c r="I4276" s="131">
        <v>0</v>
      </c>
      <c r="J4276" s="131">
        <v>0</v>
      </c>
    </row>
    <row r="4277" spans="1:10">
      <c r="A4277" s="125" t="s">
        <v>103</v>
      </c>
      <c r="B4277" s="125" t="s">
        <v>125</v>
      </c>
      <c r="C4277" s="128">
        <v>0.61458333333333304</v>
      </c>
      <c r="D4277" s="133">
        <v>0</v>
      </c>
      <c r="E4277" s="133">
        <v>0</v>
      </c>
      <c r="F4277" s="133">
        <v>0</v>
      </c>
      <c r="G4277" s="133">
        <v>0</v>
      </c>
      <c r="H4277" s="133">
        <v>0</v>
      </c>
      <c r="I4277" s="133">
        <v>0</v>
      </c>
      <c r="J4277" s="133">
        <v>0</v>
      </c>
    </row>
    <row r="4278" spans="1:10">
      <c r="A4278" s="125" t="s">
        <v>103</v>
      </c>
      <c r="B4278" s="125" t="s">
        <v>125</v>
      </c>
      <c r="C4278" s="128">
        <v>0.61527777777777803</v>
      </c>
      <c r="D4278" s="131">
        <v>0</v>
      </c>
      <c r="E4278" s="131">
        <v>0</v>
      </c>
      <c r="F4278" s="131">
        <v>0</v>
      </c>
      <c r="G4278" s="131">
        <v>0</v>
      </c>
      <c r="H4278" s="131">
        <v>0</v>
      </c>
      <c r="I4278" s="131">
        <v>0</v>
      </c>
      <c r="J4278" s="131">
        <v>0</v>
      </c>
    </row>
    <row r="4279" spans="1:10">
      <c r="A4279" s="125" t="s">
        <v>103</v>
      </c>
      <c r="B4279" s="125" t="s">
        <v>125</v>
      </c>
      <c r="C4279" s="128">
        <v>0.61597222222222203</v>
      </c>
      <c r="D4279" s="131">
        <v>0</v>
      </c>
      <c r="E4279" s="131">
        <v>0</v>
      </c>
      <c r="F4279" s="131">
        <v>0</v>
      </c>
      <c r="G4279" s="131">
        <v>0</v>
      </c>
      <c r="H4279" s="131">
        <v>0</v>
      </c>
      <c r="I4279" s="131">
        <v>0</v>
      </c>
      <c r="J4279" s="131">
        <v>0</v>
      </c>
    </row>
    <row r="4280" spans="1:10">
      <c r="A4280" s="125" t="s">
        <v>103</v>
      </c>
      <c r="B4280" s="125" t="s">
        <v>125</v>
      </c>
      <c r="C4280" s="128">
        <v>0.61666666666666703</v>
      </c>
      <c r="D4280" s="131">
        <v>0</v>
      </c>
      <c r="E4280" s="131">
        <v>0</v>
      </c>
      <c r="F4280" s="131">
        <v>0</v>
      </c>
      <c r="G4280" s="131">
        <v>0</v>
      </c>
      <c r="H4280" s="131">
        <v>0</v>
      </c>
      <c r="I4280" s="131">
        <v>0</v>
      </c>
      <c r="J4280" s="131">
        <v>0</v>
      </c>
    </row>
    <row r="4281" spans="1:10">
      <c r="A4281" s="125" t="s">
        <v>103</v>
      </c>
      <c r="B4281" s="125" t="s">
        <v>125</v>
      </c>
      <c r="C4281" s="128">
        <v>0.61736111111111103</v>
      </c>
      <c r="D4281" s="131">
        <v>0</v>
      </c>
      <c r="E4281" s="131">
        <v>0</v>
      </c>
      <c r="F4281" s="131">
        <v>0</v>
      </c>
      <c r="G4281" s="131">
        <v>0</v>
      </c>
      <c r="H4281" s="131">
        <v>0</v>
      </c>
      <c r="I4281" s="131">
        <v>0</v>
      </c>
      <c r="J4281" s="131">
        <v>0</v>
      </c>
    </row>
    <row r="4282" spans="1:10">
      <c r="A4282" s="125" t="s">
        <v>103</v>
      </c>
      <c r="B4282" s="125" t="s">
        <v>125</v>
      </c>
      <c r="C4282" s="128">
        <v>0.61805555555555503</v>
      </c>
      <c r="D4282" s="131">
        <v>0</v>
      </c>
      <c r="E4282" s="131">
        <v>0</v>
      </c>
      <c r="F4282" s="131">
        <v>0</v>
      </c>
      <c r="G4282" s="131">
        <v>0</v>
      </c>
      <c r="H4282" s="131">
        <v>0</v>
      </c>
      <c r="I4282" s="131">
        <v>0</v>
      </c>
      <c r="J4282" s="131">
        <v>0</v>
      </c>
    </row>
    <row r="4283" spans="1:10">
      <c r="A4283" s="125" t="s">
        <v>103</v>
      </c>
      <c r="B4283" s="125" t="s">
        <v>125</v>
      </c>
      <c r="C4283" s="128">
        <v>0.61875000000000002</v>
      </c>
      <c r="D4283" s="131">
        <v>0</v>
      </c>
      <c r="E4283" s="131">
        <v>0</v>
      </c>
      <c r="F4283" s="131">
        <v>0</v>
      </c>
      <c r="G4283" s="131">
        <v>0</v>
      </c>
      <c r="H4283" s="131">
        <v>0</v>
      </c>
      <c r="I4283" s="131">
        <v>0</v>
      </c>
      <c r="J4283" s="131">
        <v>0</v>
      </c>
    </row>
    <row r="4284" spans="1:10">
      <c r="A4284" s="125" t="s">
        <v>103</v>
      </c>
      <c r="B4284" s="125" t="s">
        <v>125</v>
      </c>
      <c r="C4284" s="128">
        <v>0.61944444444444402</v>
      </c>
      <c r="D4284" s="131">
        <v>0</v>
      </c>
      <c r="E4284" s="131">
        <v>0</v>
      </c>
      <c r="F4284" s="131">
        <v>0</v>
      </c>
      <c r="G4284" s="131">
        <v>0</v>
      </c>
      <c r="H4284" s="131">
        <v>0</v>
      </c>
      <c r="I4284" s="131">
        <v>0</v>
      </c>
      <c r="J4284" s="131">
        <v>0</v>
      </c>
    </row>
    <row r="4285" spans="1:10">
      <c r="A4285" s="125" t="s">
        <v>103</v>
      </c>
      <c r="B4285" s="125" t="s">
        <v>125</v>
      </c>
      <c r="C4285" s="128">
        <v>0.62013888888888902</v>
      </c>
      <c r="D4285" s="131">
        <v>0</v>
      </c>
      <c r="E4285" s="131">
        <v>0</v>
      </c>
      <c r="F4285" s="131">
        <v>0</v>
      </c>
      <c r="G4285" s="131">
        <v>0</v>
      </c>
      <c r="H4285" s="131">
        <v>0</v>
      </c>
      <c r="I4285" s="131">
        <v>0</v>
      </c>
      <c r="J4285" s="131">
        <v>0</v>
      </c>
    </row>
    <row r="4286" spans="1:10">
      <c r="A4286" s="125" t="s">
        <v>103</v>
      </c>
      <c r="B4286" s="125" t="s">
        <v>125</v>
      </c>
      <c r="C4286" s="128">
        <v>0.62083333333333302</v>
      </c>
      <c r="D4286" s="131">
        <v>0</v>
      </c>
      <c r="E4286" s="131">
        <v>0</v>
      </c>
      <c r="F4286" s="131">
        <v>0</v>
      </c>
      <c r="G4286" s="131">
        <v>0</v>
      </c>
      <c r="H4286" s="131">
        <v>0</v>
      </c>
      <c r="I4286" s="131">
        <v>0</v>
      </c>
      <c r="J4286" s="131">
        <v>0</v>
      </c>
    </row>
    <row r="4287" spans="1:10">
      <c r="A4287" s="125" t="s">
        <v>103</v>
      </c>
      <c r="B4287" s="125" t="s">
        <v>125</v>
      </c>
      <c r="C4287" s="128">
        <v>0.62152777777777801</v>
      </c>
      <c r="D4287" s="131">
        <v>0</v>
      </c>
      <c r="E4287" s="131">
        <v>0</v>
      </c>
      <c r="F4287" s="131">
        <v>0</v>
      </c>
      <c r="G4287" s="131">
        <v>0</v>
      </c>
      <c r="H4287" s="131">
        <v>0</v>
      </c>
      <c r="I4287" s="131">
        <v>0</v>
      </c>
      <c r="J4287" s="131">
        <v>0</v>
      </c>
    </row>
    <row r="4288" spans="1:10">
      <c r="A4288" s="125" t="s">
        <v>103</v>
      </c>
      <c r="B4288" s="125" t="s">
        <v>125</v>
      </c>
      <c r="C4288" s="128">
        <v>0.62222222222222201</v>
      </c>
      <c r="D4288" s="131">
        <v>0</v>
      </c>
      <c r="E4288" s="131">
        <v>0</v>
      </c>
      <c r="F4288" s="131">
        <v>0</v>
      </c>
      <c r="G4288" s="131">
        <v>0</v>
      </c>
      <c r="H4288" s="131">
        <v>0</v>
      </c>
      <c r="I4288" s="131">
        <v>0</v>
      </c>
      <c r="J4288" s="131">
        <v>0</v>
      </c>
    </row>
    <row r="4289" spans="1:10">
      <c r="A4289" s="125" t="s">
        <v>103</v>
      </c>
      <c r="B4289" s="125" t="s">
        <v>125</v>
      </c>
      <c r="C4289" s="128">
        <v>0.62291666666666701</v>
      </c>
      <c r="D4289" s="131">
        <v>0</v>
      </c>
      <c r="E4289" s="131">
        <v>0</v>
      </c>
      <c r="F4289" s="131">
        <v>0</v>
      </c>
      <c r="G4289" s="131">
        <v>0</v>
      </c>
      <c r="H4289" s="131">
        <v>0</v>
      </c>
      <c r="I4289" s="131">
        <v>0</v>
      </c>
      <c r="J4289" s="131">
        <v>0</v>
      </c>
    </row>
    <row r="4290" spans="1:10">
      <c r="A4290" s="125" t="s">
        <v>103</v>
      </c>
      <c r="B4290" s="125" t="s">
        <v>125</v>
      </c>
      <c r="C4290" s="128">
        <v>0.62361111111111101</v>
      </c>
      <c r="D4290" s="131">
        <v>0</v>
      </c>
      <c r="E4290" s="131">
        <v>0</v>
      </c>
      <c r="F4290" s="131">
        <v>0</v>
      </c>
      <c r="G4290" s="131">
        <v>0</v>
      </c>
      <c r="H4290" s="131">
        <v>0</v>
      </c>
      <c r="I4290" s="131">
        <v>0</v>
      </c>
      <c r="J4290" s="131">
        <v>0</v>
      </c>
    </row>
    <row r="4291" spans="1:10">
      <c r="A4291" s="126" t="s">
        <v>103</v>
      </c>
      <c r="B4291" s="126" t="s">
        <v>125</v>
      </c>
      <c r="C4291" s="129">
        <v>0.624305555555555</v>
      </c>
      <c r="D4291" s="132">
        <v>0</v>
      </c>
      <c r="E4291" s="132">
        <v>0</v>
      </c>
      <c r="F4291" s="132">
        <v>0</v>
      </c>
      <c r="G4291" s="132">
        <v>0</v>
      </c>
      <c r="H4291" s="132">
        <v>0</v>
      </c>
      <c r="I4291" s="132">
        <v>0</v>
      </c>
      <c r="J4291" s="132">
        <v>0</v>
      </c>
    </row>
    <row r="4292" spans="1:10">
      <c r="A4292" s="125" t="s">
        <v>103</v>
      </c>
      <c r="B4292" s="125" t="s">
        <v>125</v>
      </c>
      <c r="C4292" s="128">
        <v>0.625</v>
      </c>
      <c r="D4292" s="133">
        <v>0</v>
      </c>
      <c r="E4292" s="133">
        <v>0</v>
      </c>
      <c r="F4292" s="133">
        <v>0</v>
      </c>
      <c r="G4292" s="133">
        <v>0</v>
      </c>
      <c r="H4292" s="133">
        <v>0</v>
      </c>
      <c r="I4292" s="133">
        <v>0</v>
      </c>
      <c r="J4292" s="133">
        <v>0</v>
      </c>
    </row>
    <row r="4293" spans="1:10">
      <c r="A4293" s="125" t="s">
        <v>103</v>
      </c>
      <c r="B4293" s="125" t="s">
        <v>125</v>
      </c>
      <c r="C4293" s="128">
        <v>0.625694444444444</v>
      </c>
      <c r="D4293" s="131">
        <v>0</v>
      </c>
      <c r="E4293" s="131">
        <v>0</v>
      </c>
      <c r="F4293" s="131">
        <v>0</v>
      </c>
      <c r="G4293" s="131">
        <v>0</v>
      </c>
      <c r="H4293" s="131">
        <v>0</v>
      </c>
      <c r="I4293" s="131">
        <v>0</v>
      </c>
      <c r="J4293" s="131">
        <v>0</v>
      </c>
    </row>
    <row r="4294" spans="1:10">
      <c r="A4294" s="125" t="s">
        <v>103</v>
      </c>
      <c r="B4294" s="125" t="s">
        <v>125</v>
      </c>
      <c r="C4294" s="128">
        <v>0.62638888888888899</v>
      </c>
      <c r="D4294" s="131">
        <v>0</v>
      </c>
      <c r="E4294" s="131">
        <v>0</v>
      </c>
      <c r="F4294" s="131">
        <v>0</v>
      </c>
      <c r="G4294" s="131">
        <v>0</v>
      </c>
      <c r="H4294" s="131">
        <v>0</v>
      </c>
      <c r="I4294" s="131">
        <v>0</v>
      </c>
      <c r="J4294" s="131">
        <v>0</v>
      </c>
    </row>
    <row r="4295" spans="1:10">
      <c r="A4295" s="125" t="s">
        <v>103</v>
      </c>
      <c r="B4295" s="125" t="s">
        <v>125</v>
      </c>
      <c r="C4295" s="128">
        <v>0.62708333333333299</v>
      </c>
      <c r="D4295" s="131">
        <v>0</v>
      </c>
      <c r="E4295" s="131">
        <v>0</v>
      </c>
      <c r="F4295" s="131">
        <v>0</v>
      </c>
      <c r="G4295" s="131">
        <v>0</v>
      </c>
      <c r="H4295" s="131">
        <v>0</v>
      </c>
      <c r="I4295" s="131">
        <v>0</v>
      </c>
      <c r="J4295" s="131">
        <v>0</v>
      </c>
    </row>
    <row r="4296" spans="1:10">
      <c r="A4296" s="125" t="s">
        <v>103</v>
      </c>
      <c r="B4296" s="125" t="s">
        <v>125</v>
      </c>
      <c r="C4296" s="128">
        <v>0.62777777777777799</v>
      </c>
      <c r="D4296" s="131">
        <v>0</v>
      </c>
      <c r="E4296" s="131">
        <v>0</v>
      </c>
      <c r="F4296" s="131">
        <v>0</v>
      </c>
      <c r="G4296" s="131">
        <v>0</v>
      </c>
      <c r="H4296" s="131">
        <v>0</v>
      </c>
      <c r="I4296" s="131">
        <v>0</v>
      </c>
      <c r="J4296" s="131">
        <v>0</v>
      </c>
    </row>
    <row r="4297" spans="1:10">
      <c r="A4297" s="125" t="s">
        <v>103</v>
      </c>
      <c r="B4297" s="125" t="s">
        <v>125</v>
      </c>
      <c r="C4297" s="128">
        <v>0.62847222222222199</v>
      </c>
      <c r="D4297" s="131">
        <v>0</v>
      </c>
      <c r="E4297" s="131">
        <v>0</v>
      </c>
      <c r="F4297" s="131">
        <v>0</v>
      </c>
      <c r="G4297" s="131">
        <v>0</v>
      </c>
      <c r="H4297" s="131">
        <v>0</v>
      </c>
      <c r="I4297" s="131">
        <v>0</v>
      </c>
      <c r="J4297" s="131">
        <v>0</v>
      </c>
    </row>
    <row r="4298" spans="1:10">
      <c r="A4298" s="125" t="s">
        <v>103</v>
      </c>
      <c r="B4298" s="125" t="s">
        <v>125</v>
      </c>
      <c r="C4298" s="128">
        <v>0.62916666666666698</v>
      </c>
      <c r="D4298" s="131">
        <v>0</v>
      </c>
      <c r="E4298" s="131">
        <v>0</v>
      </c>
      <c r="F4298" s="131">
        <v>0</v>
      </c>
      <c r="G4298" s="131">
        <v>0</v>
      </c>
      <c r="H4298" s="131">
        <v>0</v>
      </c>
      <c r="I4298" s="131">
        <v>0</v>
      </c>
      <c r="J4298" s="131">
        <v>0</v>
      </c>
    </row>
    <row r="4299" spans="1:10">
      <c r="A4299" s="125" t="s">
        <v>103</v>
      </c>
      <c r="B4299" s="125" t="s">
        <v>125</v>
      </c>
      <c r="C4299" s="128">
        <v>0.62986111111111098</v>
      </c>
      <c r="D4299" s="131">
        <v>0</v>
      </c>
      <c r="E4299" s="131">
        <v>0</v>
      </c>
      <c r="F4299" s="131">
        <v>0</v>
      </c>
      <c r="G4299" s="131">
        <v>0</v>
      </c>
      <c r="H4299" s="131">
        <v>0</v>
      </c>
      <c r="I4299" s="131">
        <v>0</v>
      </c>
      <c r="J4299" s="131">
        <v>0</v>
      </c>
    </row>
    <row r="4300" spans="1:10">
      <c r="A4300" s="125" t="s">
        <v>103</v>
      </c>
      <c r="B4300" s="125" t="s">
        <v>125</v>
      </c>
      <c r="C4300" s="128">
        <v>0.63055555555555498</v>
      </c>
      <c r="D4300" s="131">
        <v>0</v>
      </c>
      <c r="E4300" s="131">
        <v>0</v>
      </c>
      <c r="F4300" s="131">
        <v>0</v>
      </c>
      <c r="G4300" s="131">
        <v>0</v>
      </c>
      <c r="H4300" s="131">
        <v>0</v>
      </c>
      <c r="I4300" s="131">
        <v>0</v>
      </c>
      <c r="J4300" s="131">
        <v>0</v>
      </c>
    </row>
    <row r="4301" spans="1:10">
      <c r="A4301" s="125" t="s">
        <v>103</v>
      </c>
      <c r="B4301" s="125" t="s">
        <v>125</v>
      </c>
      <c r="C4301" s="128">
        <v>0.63124999999999998</v>
      </c>
      <c r="D4301" s="131">
        <v>0</v>
      </c>
      <c r="E4301" s="131">
        <v>0</v>
      </c>
      <c r="F4301" s="131">
        <v>0</v>
      </c>
      <c r="G4301" s="131">
        <v>0</v>
      </c>
      <c r="H4301" s="131">
        <v>0</v>
      </c>
      <c r="I4301" s="131">
        <v>0</v>
      </c>
      <c r="J4301" s="131">
        <v>0</v>
      </c>
    </row>
    <row r="4302" spans="1:10">
      <c r="A4302" s="125" t="s">
        <v>103</v>
      </c>
      <c r="B4302" s="125" t="s">
        <v>125</v>
      </c>
      <c r="C4302" s="128">
        <v>0.63194444444444398</v>
      </c>
      <c r="D4302" s="131">
        <v>0</v>
      </c>
      <c r="E4302" s="131">
        <v>0</v>
      </c>
      <c r="F4302" s="131">
        <v>0</v>
      </c>
      <c r="G4302" s="131">
        <v>0</v>
      </c>
      <c r="H4302" s="131">
        <v>0</v>
      </c>
      <c r="I4302" s="131">
        <v>0</v>
      </c>
      <c r="J4302" s="131">
        <v>0</v>
      </c>
    </row>
    <row r="4303" spans="1:10">
      <c r="A4303" s="125" t="s">
        <v>103</v>
      </c>
      <c r="B4303" s="125" t="s">
        <v>125</v>
      </c>
      <c r="C4303" s="128">
        <v>0.63263888888888897</v>
      </c>
      <c r="D4303" s="131">
        <v>0</v>
      </c>
      <c r="E4303" s="131">
        <v>0</v>
      </c>
      <c r="F4303" s="131">
        <v>0</v>
      </c>
      <c r="G4303" s="131">
        <v>0</v>
      </c>
      <c r="H4303" s="131">
        <v>0</v>
      </c>
      <c r="I4303" s="131">
        <v>0</v>
      </c>
      <c r="J4303" s="131">
        <v>0</v>
      </c>
    </row>
    <row r="4304" spans="1:10">
      <c r="A4304" s="125" t="s">
        <v>103</v>
      </c>
      <c r="B4304" s="125" t="s">
        <v>125</v>
      </c>
      <c r="C4304" s="128">
        <v>0.63333333333333297</v>
      </c>
      <c r="D4304" s="131">
        <v>0</v>
      </c>
      <c r="E4304" s="131">
        <v>0</v>
      </c>
      <c r="F4304" s="131">
        <v>0</v>
      </c>
      <c r="G4304" s="131">
        <v>0</v>
      </c>
      <c r="H4304" s="131">
        <v>0</v>
      </c>
      <c r="I4304" s="131">
        <v>0</v>
      </c>
      <c r="J4304" s="131">
        <v>0</v>
      </c>
    </row>
    <row r="4305" spans="1:10">
      <c r="A4305" s="125" t="s">
        <v>103</v>
      </c>
      <c r="B4305" s="125" t="s">
        <v>125</v>
      </c>
      <c r="C4305" s="128">
        <v>0.63402777777777797</v>
      </c>
      <c r="D4305" s="131">
        <v>0</v>
      </c>
      <c r="E4305" s="131">
        <v>0</v>
      </c>
      <c r="F4305" s="131">
        <v>0</v>
      </c>
      <c r="G4305" s="131">
        <v>0</v>
      </c>
      <c r="H4305" s="131">
        <v>0</v>
      </c>
      <c r="I4305" s="131">
        <v>0</v>
      </c>
      <c r="J4305" s="131">
        <v>0</v>
      </c>
    </row>
    <row r="4306" spans="1:10">
      <c r="A4306" s="126" t="s">
        <v>103</v>
      </c>
      <c r="B4306" s="126" t="s">
        <v>125</v>
      </c>
      <c r="C4306" s="129">
        <v>0.63472222222222197</v>
      </c>
      <c r="D4306" s="131">
        <v>0</v>
      </c>
      <c r="E4306" s="131">
        <v>0</v>
      </c>
      <c r="F4306" s="131">
        <v>0</v>
      </c>
      <c r="G4306" s="131">
        <v>0</v>
      </c>
      <c r="H4306" s="131">
        <v>0</v>
      </c>
      <c r="I4306" s="131">
        <v>0</v>
      </c>
      <c r="J4306" s="131">
        <v>0</v>
      </c>
    </row>
    <row r="4307" spans="1:10">
      <c r="A4307" s="125" t="s">
        <v>103</v>
      </c>
      <c r="B4307" s="125" t="s">
        <v>125</v>
      </c>
      <c r="C4307" s="128">
        <v>0.63541666666666696</v>
      </c>
      <c r="D4307" s="133">
        <v>0</v>
      </c>
      <c r="E4307" s="133">
        <v>0</v>
      </c>
      <c r="F4307" s="133">
        <v>0</v>
      </c>
      <c r="G4307" s="133">
        <v>0</v>
      </c>
      <c r="H4307" s="133">
        <v>0</v>
      </c>
      <c r="I4307" s="133">
        <v>0</v>
      </c>
      <c r="J4307" s="133">
        <v>0</v>
      </c>
    </row>
    <row r="4308" spans="1:10">
      <c r="A4308" s="125" t="s">
        <v>103</v>
      </c>
      <c r="B4308" s="125" t="s">
        <v>125</v>
      </c>
      <c r="C4308" s="128">
        <v>0.63611111111111096</v>
      </c>
      <c r="D4308" s="131">
        <v>0</v>
      </c>
      <c r="E4308" s="131">
        <v>0</v>
      </c>
      <c r="F4308" s="131">
        <v>0</v>
      </c>
      <c r="G4308" s="131">
        <v>0</v>
      </c>
      <c r="H4308" s="131">
        <v>0</v>
      </c>
      <c r="I4308" s="131">
        <v>0</v>
      </c>
      <c r="J4308" s="131">
        <v>0</v>
      </c>
    </row>
    <row r="4309" spans="1:10">
      <c r="A4309" s="125" t="s">
        <v>103</v>
      </c>
      <c r="B4309" s="125" t="s">
        <v>125</v>
      </c>
      <c r="C4309" s="128">
        <v>0.63680555555555496</v>
      </c>
      <c r="D4309" s="131">
        <v>0</v>
      </c>
      <c r="E4309" s="131">
        <v>0</v>
      </c>
      <c r="F4309" s="131">
        <v>0</v>
      </c>
      <c r="G4309" s="131">
        <v>0</v>
      </c>
      <c r="H4309" s="131">
        <v>0</v>
      </c>
      <c r="I4309" s="131">
        <v>0</v>
      </c>
      <c r="J4309" s="131">
        <v>0</v>
      </c>
    </row>
    <row r="4310" spans="1:10">
      <c r="A4310" s="125" t="s">
        <v>103</v>
      </c>
      <c r="B4310" s="125" t="s">
        <v>125</v>
      </c>
      <c r="C4310" s="128">
        <v>0.63749999999999996</v>
      </c>
      <c r="D4310" s="131">
        <v>0</v>
      </c>
      <c r="E4310" s="131">
        <v>0</v>
      </c>
      <c r="F4310" s="131">
        <v>0</v>
      </c>
      <c r="G4310" s="131">
        <v>0</v>
      </c>
      <c r="H4310" s="131">
        <v>0</v>
      </c>
      <c r="I4310" s="131">
        <v>0</v>
      </c>
      <c r="J4310" s="131">
        <v>0</v>
      </c>
    </row>
    <row r="4311" spans="1:10">
      <c r="A4311" s="125" t="s">
        <v>103</v>
      </c>
      <c r="B4311" s="125" t="s">
        <v>125</v>
      </c>
      <c r="C4311" s="128">
        <v>0.63819444444444395</v>
      </c>
      <c r="D4311" s="131">
        <v>0</v>
      </c>
      <c r="E4311" s="131">
        <v>0</v>
      </c>
      <c r="F4311" s="131">
        <v>0</v>
      </c>
      <c r="G4311" s="131">
        <v>0</v>
      </c>
      <c r="H4311" s="131">
        <v>0</v>
      </c>
      <c r="I4311" s="131">
        <v>0</v>
      </c>
      <c r="J4311" s="131">
        <v>0</v>
      </c>
    </row>
    <row r="4312" spans="1:10">
      <c r="A4312" s="125" t="s">
        <v>103</v>
      </c>
      <c r="B4312" s="125" t="s">
        <v>125</v>
      </c>
      <c r="C4312" s="128">
        <v>0.63888888888888895</v>
      </c>
      <c r="D4312" s="131">
        <v>0</v>
      </c>
      <c r="E4312" s="131">
        <v>0</v>
      </c>
      <c r="F4312" s="131">
        <v>0</v>
      </c>
      <c r="G4312" s="131">
        <v>0</v>
      </c>
      <c r="H4312" s="131">
        <v>0</v>
      </c>
      <c r="I4312" s="131">
        <v>0</v>
      </c>
      <c r="J4312" s="131">
        <v>0</v>
      </c>
    </row>
    <row r="4313" spans="1:10">
      <c r="A4313" s="125" t="s">
        <v>103</v>
      </c>
      <c r="B4313" s="125" t="s">
        <v>125</v>
      </c>
      <c r="C4313" s="128">
        <v>0.63958333333333295</v>
      </c>
      <c r="D4313" s="131">
        <v>0</v>
      </c>
      <c r="E4313" s="131">
        <v>0</v>
      </c>
      <c r="F4313" s="131">
        <v>0</v>
      </c>
      <c r="G4313" s="131">
        <v>0</v>
      </c>
      <c r="H4313" s="131">
        <v>0</v>
      </c>
      <c r="I4313" s="131">
        <v>0</v>
      </c>
      <c r="J4313" s="131">
        <v>0</v>
      </c>
    </row>
    <row r="4314" spans="1:10">
      <c r="A4314" s="125" t="s">
        <v>103</v>
      </c>
      <c r="B4314" s="125" t="s">
        <v>125</v>
      </c>
      <c r="C4314" s="128">
        <v>0.64027777777777795</v>
      </c>
      <c r="D4314" s="131">
        <v>0</v>
      </c>
      <c r="E4314" s="131">
        <v>0</v>
      </c>
      <c r="F4314" s="131">
        <v>0</v>
      </c>
      <c r="G4314" s="131">
        <v>0</v>
      </c>
      <c r="H4314" s="131">
        <v>0</v>
      </c>
      <c r="I4314" s="131">
        <v>0</v>
      </c>
      <c r="J4314" s="131">
        <v>0</v>
      </c>
    </row>
    <row r="4315" spans="1:10">
      <c r="A4315" s="125" t="s">
        <v>103</v>
      </c>
      <c r="B4315" s="125" t="s">
        <v>125</v>
      </c>
      <c r="C4315" s="128">
        <v>0.64097222222222205</v>
      </c>
      <c r="D4315" s="131">
        <v>0</v>
      </c>
      <c r="E4315" s="131">
        <v>0</v>
      </c>
      <c r="F4315" s="131">
        <v>0</v>
      </c>
      <c r="G4315" s="131">
        <v>0</v>
      </c>
      <c r="H4315" s="131">
        <v>0</v>
      </c>
      <c r="I4315" s="131">
        <v>0</v>
      </c>
      <c r="J4315" s="131">
        <v>0</v>
      </c>
    </row>
    <row r="4316" spans="1:10">
      <c r="A4316" s="125" t="s">
        <v>103</v>
      </c>
      <c r="B4316" s="125" t="s">
        <v>125</v>
      </c>
      <c r="C4316" s="128">
        <v>0.64166666666666605</v>
      </c>
      <c r="D4316" s="131">
        <v>0</v>
      </c>
      <c r="E4316" s="131">
        <v>0</v>
      </c>
      <c r="F4316" s="131">
        <v>0</v>
      </c>
      <c r="G4316" s="131">
        <v>0</v>
      </c>
      <c r="H4316" s="131">
        <v>0</v>
      </c>
      <c r="I4316" s="131">
        <v>0</v>
      </c>
      <c r="J4316" s="131">
        <v>0</v>
      </c>
    </row>
    <row r="4317" spans="1:10">
      <c r="A4317" s="125" t="s">
        <v>103</v>
      </c>
      <c r="B4317" s="125" t="s">
        <v>125</v>
      </c>
      <c r="C4317" s="128">
        <v>0.64236111111111105</v>
      </c>
      <c r="D4317" s="131">
        <v>0</v>
      </c>
      <c r="E4317" s="131">
        <v>0</v>
      </c>
      <c r="F4317" s="131">
        <v>0</v>
      </c>
      <c r="G4317" s="131">
        <v>0</v>
      </c>
      <c r="H4317" s="131">
        <v>0</v>
      </c>
      <c r="I4317" s="131">
        <v>0</v>
      </c>
      <c r="J4317" s="131">
        <v>0</v>
      </c>
    </row>
    <row r="4318" spans="1:10">
      <c r="A4318" s="125" t="s">
        <v>103</v>
      </c>
      <c r="B4318" s="125" t="s">
        <v>125</v>
      </c>
      <c r="C4318" s="128">
        <v>0.64305555555555505</v>
      </c>
      <c r="D4318" s="131">
        <v>0</v>
      </c>
      <c r="E4318" s="131">
        <v>0</v>
      </c>
      <c r="F4318" s="131">
        <v>0</v>
      </c>
      <c r="G4318" s="131">
        <v>0</v>
      </c>
      <c r="H4318" s="131">
        <v>0</v>
      </c>
      <c r="I4318" s="131">
        <v>0</v>
      </c>
      <c r="J4318" s="131">
        <v>0</v>
      </c>
    </row>
    <row r="4319" spans="1:10">
      <c r="A4319" s="125" t="s">
        <v>103</v>
      </c>
      <c r="B4319" s="125" t="s">
        <v>125</v>
      </c>
      <c r="C4319" s="128">
        <v>0.64375000000000004</v>
      </c>
      <c r="D4319" s="131">
        <v>0</v>
      </c>
      <c r="E4319" s="131">
        <v>0</v>
      </c>
      <c r="F4319" s="131">
        <v>0</v>
      </c>
      <c r="G4319" s="131">
        <v>0</v>
      </c>
      <c r="H4319" s="131">
        <v>0</v>
      </c>
      <c r="I4319" s="131">
        <v>0</v>
      </c>
      <c r="J4319" s="131">
        <v>0</v>
      </c>
    </row>
    <row r="4320" spans="1:10">
      <c r="A4320" s="125" t="s">
        <v>103</v>
      </c>
      <c r="B4320" s="125" t="s">
        <v>125</v>
      </c>
      <c r="C4320" s="128">
        <v>0.64444444444444404</v>
      </c>
      <c r="D4320" s="131">
        <v>0</v>
      </c>
      <c r="E4320" s="131">
        <v>0</v>
      </c>
      <c r="F4320" s="131">
        <v>0</v>
      </c>
      <c r="G4320" s="131">
        <v>0</v>
      </c>
      <c r="H4320" s="131">
        <v>0</v>
      </c>
      <c r="I4320" s="131">
        <v>0</v>
      </c>
      <c r="J4320" s="131">
        <v>0</v>
      </c>
    </row>
    <row r="4321" spans="1:10" ht="17.5" thickBot="1">
      <c r="A4321" s="127" t="s">
        <v>103</v>
      </c>
      <c r="B4321" s="127" t="s">
        <v>125</v>
      </c>
      <c r="C4321" s="130">
        <v>0.64513888888888904</v>
      </c>
      <c r="D4321" s="134">
        <v>0</v>
      </c>
      <c r="E4321" s="134">
        <v>0</v>
      </c>
      <c r="F4321" s="134">
        <v>0</v>
      </c>
      <c r="G4321" s="134">
        <v>0</v>
      </c>
      <c r="H4321" s="134">
        <v>0</v>
      </c>
      <c r="I4321" s="134">
        <v>0</v>
      </c>
      <c r="J4321" s="134">
        <v>0</v>
      </c>
    </row>
    <row r="4322" spans="1:10">
      <c r="A4322" s="136" t="s">
        <v>105</v>
      </c>
      <c r="B4322" s="136" t="s">
        <v>11</v>
      </c>
      <c r="C4322" s="137">
        <v>0.72916666666666663</v>
      </c>
      <c r="D4322" s="138">
        <v>0</v>
      </c>
      <c r="E4322" s="138">
        <v>0</v>
      </c>
      <c r="F4322" s="138">
        <v>0</v>
      </c>
      <c r="G4322" s="138">
        <v>0</v>
      </c>
      <c r="H4322" s="138">
        <v>0</v>
      </c>
      <c r="I4322" s="138">
        <v>0</v>
      </c>
      <c r="J4322" s="138">
        <v>0</v>
      </c>
    </row>
    <row r="4323" spans="1:10">
      <c r="A4323" s="136" t="s">
        <v>104</v>
      </c>
      <c r="B4323" s="136" t="s">
        <v>11</v>
      </c>
      <c r="C4323" s="137">
        <v>0.72986111111111107</v>
      </c>
      <c r="D4323" s="138">
        <v>0</v>
      </c>
      <c r="E4323" s="138">
        <v>0</v>
      </c>
      <c r="F4323" s="138">
        <v>0</v>
      </c>
      <c r="G4323" s="138">
        <v>0</v>
      </c>
      <c r="H4323" s="138">
        <v>0</v>
      </c>
      <c r="I4323" s="138">
        <v>0</v>
      </c>
      <c r="J4323" s="138">
        <v>0</v>
      </c>
    </row>
    <row r="4324" spans="1:10">
      <c r="A4324" s="136" t="s">
        <v>104</v>
      </c>
      <c r="B4324" s="136" t="s">
        <v>11</v>
      </c>
      <c r="C4324" s="137">
        <v>0.73055555555555596</v>
      </c>
      <c r="D4324" s="138">
        <v>0</v>
      </c>
      <c r="E4324" s="138">
        <v>0</v>
      </c>
      <c r="F4324" s="138">
        <v>0</v>
      </c>
      <c r="G4324" s="138">
        <v>0</v>
      </c>
      <c r="H4324" s="138">
        <v>0</v>
      </c>
      <c r="I4324" s="138">
        <v>0</v>
      </c>
      <c r="J4324" s="138">
        <v>0</v>
      </c>
    </row>
    <row r="4325" spans="1:10">
      <c r="A4325" s="136" t="s">
        <v>104</v>
      </c>
      <c r="B4325" s="136" t="s">
        <v>11</v>
      </c>
      <c r="C4325" s="137">
        <v>0.73124999999999996</v>
      </c>
      <c r="D4325" s="138">
        <v>0</v>
      </c>
      <c r="E4325" s="138">
        <v>0</v>
      </c>
      <c r="F4325" s="138">
        <v>0</v>
      </c>
      <c r="G4325" s="138">
        <v>0</v>
      </c>
      <c r="H4325" s="138">
        <v>0</v>
      </c>
      <c r="I4325" s="138">
        <v>0</v>
      </c>
      <c r="J4325" s="138">
        <v>0</v>
      </c>
    </row>
    <row r="4326" spans="1:10">
      <c r="A4326" s="136" t="s">
        <v>104</v>
      </c>
      <c r="B4326" s="136" t="s">
        <v>11</v>
      </c>
      <c r="C4326" s="137">
        <v>0.73194444444444395</v>
      </c>
      <c r="D4326" s="138">
        <v>0</v>
      </c>
      <c r="E4326" s="138">
        <v>0</v>
      </c>
      <c r="F4326" s="138">
        <v>0</v>
      </c>
      <c r="G4326" s="138">
        <v>0</v>
      </c>
      <c r="H4326" s="138">
        <v>0</v>
      </c>
      <c r="I4326" s="138">
        <v>0</v>
      </c>
      <c r="J4326" s="138">
        <v>0</v>
      </c>
    </row>
    <row r="4327" spans="1:10">
      <c r="A4327" s="136" t="s">
        <v>104</v>
      </c>
      <c r="B4327" s="136" t="s">
        <v>11</v>
      </c>
      <c r="C4327" s="137">
        <v>0.73263888888888895</v>
      </c>
      <c r="D4327" s="138">
        <v>0</v>
      </c>
      <c r="E4327" s="138">
        <v>0</v>
      </c>
      <c r="F4327" s="138">
        <v>0</v>
      </c>
      <c r="G4327" s="138">
        <v>0</v>
      </c>
      <c r="H4327" s="138">
        <v>0</v>
      </c>
      <c r="I4327" s="138">
        <v>0</v>
      </c>
      <c r="J4327" s="138">
        <v>0</v>
      </c>
    </row>
    <row r="4328" spans="1:10">
      <c r="A4328" s="136" t="s">
        <v>104</v>
      </c>
      <c r="B4328" s="136" t="s">
        <v>11</v>
      </c>
      <c r="C4328" s="137">
        <v>0.73333333333333295</v>
      </c>
      <c r="D4328" s="138">
        <v>0</v>
      </c>
      <c r="E4328" s="138">
        <v>0</v>
      </c>
      <c r="F4328" s="138">
        <v>0</v>
      </c>
      <c r="G4328" s="138">
        <v>0</v>
      </c>
      <c r="H4328" s="138">
        <v>0</v>
      </c>
      <c r="I4328" s="138">
        <v>0</v>
      </c>
      <c r="J4328" s="138">
        <v>0</v>
      </c>
    </row>
    <row r="4329" spans="1:10">
      <c r="A4329" s="136" t="s">
        <v>104</v>
      </c>
      <c r="B4329" s="136" t="s">
        <v>11</v>
      </c>
      <c r="C4329" s="137">
        <v>0.73402777777777795</v>
      </c>
      <c r="D4329" s="138">
        <v>0</v>
      </c>
      <c r="E4329" s="138">
        <v>0</v>
      </c>
      <c r="F4329" s="138">
        <v>0</v>
      </c>
      <c r="G4329" s="138">
        <v>0</v>
      </c>
      <c r="H4329" s="138">
        <v>0</v>
      </c>
      <c r="I4329" s="138">
        <v>0</v>
      </c>
      <c r="J4329" s="138">
        <v>0</v>
      </c>
    </row>
    <row r="4330" spans="1:10">
      <c r="A4330" s="136" t="s">
        <v>104</v>
      </c>
      <c r="B4330" s="136" t="s">
        <v>11</v>
      </c>
      <c r="C4330" s="137">
        <v>0.73472222222222205</v>
      </c>
      <c r="D4330" s="138">
        <v>0</v>
      </c>
      <c r="E4330" s="138">
        <v>0</v>
      </c>
      <c r="F4330" s="138">
        <v>0</v>
      </c>
      <c r="G4330" s="138">
        <v>0</v>
      </c>
      <c r="H4330" s="138">
        <v>0</v>
      </c>
      <c r="I4330" s="138">
        <v>0</v>
      </c>
      <c r="J4330" s="138">
        <v>0</v>
      </c>
    </row>
    <row r="4331" spans="1:10">
      <c r="A4331" s="136" t="s">
        <v>104</v>
      </c>
      <c r="B4331" s="136" t="s">
        <v>11</v>
      </c>
      <c r="C4331" s="137">
        <v>0.73541666666666705</v>
      </c>
      <c r="D4331" s="138">
        <v>0</v>
      </c>
      <c r="E4331" s="138">
        <v>0</v>
      </c>
      <c r="F4331" s="138">
        <v>0</v>
      </c>
      <c r="G4331" s="138">
        <v>0</v>
      </c>
      <c r="H4331" s="138">
        <v>0</v>
      </c>
      <c r="I4331" s="138">
        <v>0</v>
      </c>
      <c r="J4331" s="138">
        <v>0</v>
      </c>
    </row>
    <row r="4332" spans="1:10">
      <c r="A4332" s="136" t="s">
        <v>104</v>
      </c>
      <c r="B4332" s="136" t="s">
        <v>11</v>
      </c>
      <c r="C4332" s="137">
        <v>0.73611111111111105</v>
      </c>
      <c r="D4332" s="138">
        <v>0</v>
      </c>
      <c r="E4332" s="138">
        <v>0</v>
      </c>
      <c r="F4332" s="138">
        <v>0</v>
      </c>
      <c r="G4332" s="138">
        <v>0</v>
      </c>
      <c r="H4332" s="138">
        <v>0</v>
      </c>
      <c r="I4332" s="138">
        <v>0</v>
      </c>
      <c r="J4332" s="138">
        <v>0</v>
      </c>
    </row>
    <row r="4333" spans="1:10">
      <c r="A4333" s="136" t="s">
        <v>104</v>
      </c>
      <c r="B4333" s="136" t="s">
        <v>11</v>
      </c>
      <c r="C4333" s="137">
        <v>0.73680555555555505</v>
      </c>
      <c r="D4333" s="138">
        <v>0</v>
      </c>
      <c r="E4333" s="138">
        <v>0</v>
      </c>
      <c r="F4333" s="138">
        <v>0</v>
      </c>
      <c r="G4333" s="138">
        <v>0</v>
      </c>
      <c r="H4333" s="138">
        <v>0</v>
      </c>
      <c r="I4333" s="138">
        <v>0</v>
      </c>
      <c r="J4333" s="138">
        <v>0</v>
      </c>
    </row>
    <row r="4334" spans="1:10">
      <c r="A4334" s="136" t="s">
        <v>104</v>
      </c>
      <c r="B4334" s="136" t="s">
        <v>11</v>
      </c>
      <c r="C4334" s="137">
        <v>0.73750000000000004</v>
      </c>
      <c r="D4334" s="138">
        <v>0</v>
      </c>
      <c r="E4334" s="138">
        <v>0</v>
      </c>
      <c r="F4334" s="138">
        <v>0</v>
      </c>
      <c r="G4334" s="138">
        <v>0</v>
      </c>
      <c r="H4334" s="138">
        <v>0</v>
      </c>
      <c r="I4334" s="138">
        <v>0</v>
      </c>
      <c r="J4334" s="138">
        <v>0</v>
      </c>
    </row>
    <row r="4335" spans="1:10">
      <c r="A4335" s="136" t="s">
        <v>104</v>
      </c>
      <c r="B4335" s="136" t="s">
        <v>11</v>
      </c>
      <c r="C4335" s="137">
        <v>0.73819444444444404</v>
      </c>
      <c r="D4335" s="138">
        <v>0</v>
      </c>
      <c r="E4335" s="138">
        <v>0</v>
      </c>
      <c r="F4335" s="138">
        <v>0</v>
      </c>
      <c r="G4335" s="138">
        <v>0</v>
      </c>
      <c r="H4335" s="138">
        <v>0</v>
      </c>
      <c r="I4335" s="138">
        <v>0</v>
      </c>
      <c r="J4335" s="138">
        <v>0</v>
      </c>
    </row>
    <row r="4336" spans="1:10">
      <c r="A4336" s="139" t="s">
        <v>104</v>
      </c>
      <c r="B4336" s="139" t="s">
        <v>11</v>
      </c>
      <c r="C4336" s="140">
        <v>0.73888888888888904</v>
      </c>
      <c r="D4336" s="138">
        <v>0</v>
      </c>
      <c r="E4336" s="138">
        <v>0</v>
      </c>
      <c r="F4336" s="138">
        <v>0</v>
      </c>
      <c r="G4336" s="138">
        <v>0</v>
      </c>
      <c r="H4336" s="138">
        <v>0</v>
      </c>
      <c r="I4336" s="138">
        <v>0</v>
      </c>
      <c r="J4336" s="138">
        <v>0</v>
      </c>
    </row>
    <row r="4337" spans="1:10">
      <c r="A4337" s="136" t="s">
        <v>104</v>
      </c>
      <c r="B4337" s="136" t="s">
        <v>11</v>
      </c>
      <c r="C4337" s="137">
        <v>0.73958333333333304</v>
      </c>
      <c r="D4337" s="142">
        <v>0</v>
      </c>
      <c r="E4337" s="142">
        <v>0</v>
      </c>
      <c r="F4337" s="142">
        <v>0</v>
      </c>
      <c r="G4337" s="142">
        <v>0</v>
      </c>
      <c r="H4337" s="142">
        <v>0</v>
      </c>
      <c r="I4337" s="142">
        <v>0</v>
      </c>
      <c r="J4337" s="142">
        <v>0</v>
      </c>
    </row>
    <row r="4338" spans="1:10">
      <c r="A4338" s="136" t="s">
        <v>104</v>
      </c>
      <c r="B4338" s="136" t="s">
        <v>11</v>
      </c>
      <c r="C4338" s="137">
        <v>0.74027777777777803</v>
      </c>
      <c r="D4338" s="138">
        <v>0</v>
      </c>
      <c r="E4338" s="138">
        <v>0</v>
      </c>
      <c r="F4338" s="138">
        <v>0</v>
      </c>
      <c r="G4338" s="138">
        <v>0</v>
      </c>
      <c r="H4338" s="138">
        <v>0</v>
      </c>
      <c r="I4338" s="138">
        <v>0</v>
      </c>
      <c r="J4338" s="138">
        <v>0</v>
      </c>
    </row>
    <row r="4339" spans="1:10">
      <c r="A4339" s="136" t="s">
        <v>104</v>
      </c>
      <c r="B4339" s="136" t="s">
        <v>11</v>
      </c>
      <c r="C4339" s="137">
        <v>0.74097222222222203</v>
      </c>
      <c r="D4339" s="138">
        <v>0</v>
      </c>
      <c r="E4339" s="138">
        <v>0</v>
      </c>
      <c r="F4339" s="138">
        <v>0</v>
      </c>
      <c r="G4339" s="138">
        <v>0</v>
      </c>
      <c r="H4339" s="138">
        <v>0</v>
      </c>
      <c r="I4339" s="138">
        <v>0</v>
      </c>
      <c r="J4339" s="138">
        <v>0</v>
      </c>
    </row>
    <row r="4340" spans="1:10">
      <c r="A4340" s="136" t="s">
        <v>104</v>
      </c>
      <c r="B4340" s="136" t="s">
        <v>11</v>
      </c>
      <c r="C4340" s="137">
        <v>0.74166666666666703</v>
      </c>
      <c r="D4340" s="138">
        <v>0</v>
      </c>
      <c r="E4340" s="138">
        <v>0</v>
      </c>
      <c r="F4340" s="138">
        <v>0</v>
      </c>
      <c r="G4340" s="138">
        <v>0</v>
      </c>
      <c r="H4340" s="138">
        <v>0</v>
      </c>
      <c r="I4340" s="138">
        <v>0</v>
      </c>
      <c r="J4340" s="138">
        <v>0</v>
      </c>
    </row>
    <row r="4341" spans="1:10">
      <c r="A4341" s="136" t="s">
        <v>104</v>
      </c>
      <c r="B4341" s="136" t="s">
        <v>11</v>
      </c>
      <c r="C4341" s="137">
        <v>0.74236111111111103</v>
      </c>
      <c r="D4341" s="138">
        <v>0</v>
      </c>
      <c r="E4341" s="138">
        <v>0</v>
      </c>
      <c r="F4341" s="138">
        <v>0</v>
      </c>
      <c r="G4341" s="138">
        <v>0</v>
      </c>
      <c r="H4341" s="138">
        <v>0</v>
      </c>
      <c r="I4341" s="138">
        <v>0</v>
      </c>
      <c r="J4341" s="138">
        <v>0</v>
      </c>
    </row>
    <row r="4342" spans="1:10">
      <c r="A4342" s="136" t="s">
        <v>104</v>
      </c>
      <c r="B4342" s="136" t="s">
        <v>11</v>
      </c>
      <c r="C4342" s="137">
        <v>0.74305555555555503</v>
      </c>
      <c r="D4342" s="138">
        <v>0</v>
      </c>
      <c r="E4342" s="138">
        <v>0</v>
      </c>
      <c r="F4342" s="138">
        <v>0</v>
      </c>
      <c r="G4342" s="138">
        <v>0</v>
      </c>
      <c r="H4342" s="138">
        <v>0</v>
      </c>
      <c r="I4342" s="138">
        <v>0</v>
      </c>
      <c r="J4342" s="138">
        <v>0</v>
      </c>
    </row>
    <row r="4343" spans="1:10">
      <c r="A4343" s="136" t="s">
        <v>104</v>
      </c>
      <c r="B4343" s="136" t="s">
        <v>11</v>
      </c>
      <c r="C4343" s="137">
        <v>0.74375000000000002</v>
      </c>
      <c r="D4343" s="138">
        <v>0</v>
      </c>
      <c r="E4343" s="138">
        <v>0</v>
      </c>
      <c r="F4343" s="138">
        <v>0</v>
      </c>
      <c r="G4343" s="138">
        <v>0</v>
      </c>
      <c r="H4343" s="138">
        <v>0</v>
      </c>
      <c r="I4343" s="138">
        <v>0</v>
      </c>
      <c r="J4343" s="138">
        <v>0</v>
      </c>
    </row>
    <row r="4344" spans="1:10">
      <c r="A4344" s="136" t="s">
        <v>104</v>
      </c>
      <c r="B4344" s="136" t="s">
        <v>11</v>
      </c>
      <c r="C4344" s="137">
        <v>0.74444444444444402</v>
      </c>
      <c r="D4344" s="138">
        <v>0</v>
      </c>
      <c r="E4344" s="138">
        <v>0</v>
      </c>
      <c r="F4344" s="138">
        <v>0</v>
      </c>
      <c r="G4344" s="138">
        <v>0</v>
      </c>
      <c r="H4344" s="138">
        <v>0</v>
      </c>
      <c r="I4344" s="138">
        <v>0</v>
      </c>
      <c r="J4344" s="138">
        <v>0</v>
      </c>
    </row>
    <row r="4345" spans="1:10">
      <c r="A4345" s="136" t="s">
        <v>104</v>
      </c>
      <c r="B4345" s="136" t="s">
        <v>11</v>
      </c>
      <c r="C4345" s="137">
        <v>0.74513888888888902</v>
      </c>
      <c r="D4345" s="138">
        <v>0</v>
      </c>
      <c r="E4345" s="138">
        <v>0</v>
      </c>
      <c r="F4345" s="138">
        <v>0</v>
      </c>
      <c r="G4345" s="138">
        <v>0</v>
      </c>
      <c r="H4345" s="138">
        <v>0</v>
      </c>
      <c r="I4345" s="138">
        <v>0</v>
      </c>
      <c r="J4345" s="138">
        <v>0</v>
      </c>
    </row>
    <row r="4346" spans="1:10">
      <c r="A4346" s="136" t="s">
        <v>104</v>
      </c>
      <c r="B4346" s="136" t="s">
        <v>11</v>
      </c>
      <c r="C4346" s="137">
        <v>0.74583333333333302</v>
      </c>
      <c r="D4346" s="138">
        <v>0</v>
      </c>
      <c r="E4346" s="138">
        <v>0</v>
      </c>
      <c r="F4346" s="138">
        <v>0</v>
      </c>
      <c r="G4346" s="138">
        <v>0</v>
      </c>
      <c r="H4346" s="138">
        <v>0</v>
      </c>
      <c r="I4346" s="138">
        <v>0</v>
      </c>
      <c r="J4346" s="138">
        <v>0</v>
      </c>
    </row>
    <row r="4347" spans="1:10">
      <c r="A4347" s="136" t="s">
        <v>104</v>
      </c>
      <c r="B4347" s="136" t="s">
        <v>11</v>
      </c>
      <c r="C4347" s="137">
        <v>0.74652777777777801</v>
      </c>
      <c r="D4347" s="138">
        <v>0</v>
      </c>
      <c r="E4347" s="138">
        <v>0</v>
      </c>
      <c r="F4347" s="138">
        <v>0</v>
      </c>
      <c r="G4347" s="138">
        <v>0</v>
      </c>
      <c r="H4347" s="138">
        <v>0</v>
      </c>
      <c r="I4347" s="138">
        <v>0</v>
      </c>
      <c r="J4347" s="138">
        <v>0</v>
      </c>
    </row>
    <row r="4348" spans="1:10">
      <c r="A4348" s="136" t="s">
        <v>104</v>
      </c>
      <c r="B4348" s="136" t="s">
        <v>11</v>
      </c>
      <c r="C4348" s="137">
        <v>0.74722222222222201</v>
      </c>
      <c r="D4348" s="138">
        <v>0</v>
      </c>
      <c r="E4348" s="138">
        <v>0</v>
      </c>
      <c r="F4348" s="138">
        <v>0</v>
      </c>
      <c r="G4348" s="138">
        <v>0</v>
      </c>
      <c r="H4348" s="138">
        <v>0</v>
      </c>
      <c r="I4348" s="138">
        <v>0</v>
      </c>
      <c r="J4348" s="138">
        <v>0</v>
      </c>
    </row>
    <row r="4349" spans="1:10">
      <c r="A4349" s="136" t="s">
        <v>104</v>
      </c>
      <c r="B4349" s="136" t="s">
        <v>11</v>
      </c>
      <c r="C4349" s="137">
        <v>0.74791666666666701</v>
      </c>
      <c r="D4349" s="138">
        <v>0</v>
      </c>
      <c r="E4349" s="138">
        <v>0</v>
      </c>
      <c r="F4349" s="138">
        <v>0</v>
      </c>
      <c r="G4349" s="138">
        <v>0</v>
      </c>
      <c r="H4349" s="138">
        <v>0</v>
      </c>
      <c r="I4349" s="138">
        <v>0</v>
      </c>
      <c r="J4349" s="138">
        <v>0</v>
      </c>
    </row>
    <row r="4350" spans="1:10">
      <c r="A4350" s="136" t="s">
        <v>104</v>
      </c>
      <c r="B4350" s="136" t="s">
        <v>11</v>
      </c>
      <c r="C4350" s="137">
        <v>0.74861111111111101</v>
      </c>
      <c r="D4350" s="138">
        <v>0</v>
      </c>
      <c r="E4350" s="138">
        <v>0</v>
      </c>
      <c r="F4350" s="138">
        <v>0</v>
      </c>
      <c r="G4350" s="138">
        <v>0</v>
      </c>
      <c r="H4350" s="138">
        <v>0</v>
      </c>
      <c r="I4350" s="138">
        <v>0</v>
      </c>
      <c r="J4350" s="138">
        <v>0</v>
      </c>
    </row>
    <row r="4351" spans="1:10">
      <c r="A4351" s="139" t="s">
        <v>104</v>
      </c>
      <c r="B4351" s="139" t="s">
        <v>11</v>
      </c>
      <c r="C4351" s="140">
        <v>0.749305555555555</v>
      </c>
      <c r="D4351" s="141">
        <v>0</v>
      </c>
      <c r="E4351" s="141">
        <v>0</v>
      </c>
      <c r="F4351" s="141">
        <v>0</v>
      </c>
      <c r="G4351" s="141">
        <v>0</v>
      </c>
      <c r="H4351" s="141">
        <v>0</v>
      </c>
      <c r="I4351" s="141">
        <v>0</v>
      </c>
      <c r="J4351" s="141">
        <v>0</v>
      </c>
    </row>
    <row r="4352" spans="1:10">
      <c r="A4352" s="136" t="s">
        <v>104</v>
      </c>
      <c r="B4352" s="136" t="s">
        <v>11</v>
      </c>
      <c r="C4352" s="137">
        <v>0.75</v>
      </c>
      <c r="D4352" s="138">
        <v>0</v>
      </c>
      <c r="E4352" s="138">
        <v>0</v>
      </c>
      <c r="F4352" s="138">
        <v>0</v>
      </c>
      <c r="G4352" s="138">
        <v>0</v>
      </c>
      <c r="H4352" s="138">
        <v>0</v>
      </c>
      <c r="I4352" s="138">
        <v>0</v>
      </c>
      <c r="J4352" s="138">
        <v>0</v>
      </c>
    </row>
    <row r="4353" spans="1:10">
      <c r="A4353" s="136" t="s">
        <v>104</v>
      </c>
      <c r="B4353" s="136" t="s">
        <v>11</v>
      </c>
      <c r="C4353" s="137">
        <v>0.750694444444444</v>
      </c>
      <c r="D4353" s="138">
        <v>0</v>
      </c>
      <c r="E4353" s="138">
        <v>0</v>
      </c>
      <c r="F4353" s="138">
        <v>0</v>
      </c>
      <c r="G4353" s="138">
        <v>0</v>
      </c>
      <c r="H4353" s="138">
        <v>0</v>
      </c>
      <c r="I4353" s="138">
        <v>0</v>
      </c>
      <c r="J4353" s="138">
        <v>0</v>
      </c>
    </row>
    <row r="4354" spans="1:10">
      <c r="A4354" s="136" t="s">
        <v>104</v>
      </c>
      <c r="B4354" s="136" t="s">
        <v>11</v>
      </c>
      <c r="C4354" s="137">
        <v>0.75138888888888899</v>
      </c>
      <c r="D4354" s="138">
        <v>0</v>
      </c>
      <c r="E4354" s="138">
        <v>0</v>
      </c>
      <c r="F4354" s="138">
        <v>0</v>
      </c>
      <c r="G4354" s="138">
        <v>0</v>
      </c>
      <c r="H4354" s="138">
        <v>0</v>
      </c>
      <c r="I4354" s="138">
        <v>0</v>
      </c>
      <c r="J4354" s="138">
        <v>0</v>
      </c>
    </row>
    <row r="4355" spans="1:10">
      <c r="A4355" s="136" t="s">
        <v>104</v>
      </c>
      <c r="B4355" s="136" t="s">
        <v>11</v>
      </c>
      <c r="C4355" s="137">
        <v>0.75208333333333299</v>
      </c>
      <c r="D4355" s="138">
        <v>0</v>
      </c>
      <c r="E4355" s="138">
        <v>0</v>
      </c>
      <c r="F4355" s="138">
        <v>0</v>
      </c>
      <c r="G4355" s="138">
        <v>0</v>
      </c>
      <c r="H4355" s="138">
        <v>0</v>
      </c>
      <c r="I4355" s="138">
        <v>0</v>
      </c>
      <c r="J4355" s="138">
        <v>0</v>
      </c>
    </row>
    <row r="4356" spans="1:10">
      <c r="A4356" s="136" t="s">
        <v>104</v>
      </c>
      <c r="B4356" s="136" t="s">
        <v>11</v>
      </c>
      <c r="C4356" s="137">
        <v>0.75277777777777799</v>
      </c>
      <c r="D4356" s="138">
        <v>0</v>
      </c>
      <c r="E4356" s="138">
        <v>0</v>
      </c>
      <c r="F4356" s="138">
        <v>0</v>
      </c>
      <c r="G4356" s="138">
        <v>0</v>
      </c>
      <c r="H4356" s="138">
        <v>0</v>
      </c>
      <c r="I4356" s="138">
        <v>0</v>
      </c>
      <c r="J4356" s="138">
        <v>0</v>
      </c>
    </row>
    <row r="4357" spans="1:10">
      <c r="A4357" s="136" t="s">
        <v>104</v>
      </c>
      <c r="B4357" s="136" t="s">
        <v>11</v>
      </c>
      <c r="C4357" s="137">
        <v>0.75347222222222199</v>
      </c>
      <c r="D4357" s="138">
        <v>0</v>
      </c>
      <c r="E4357" s="138">
        <v>0</v>
      </c>
      <c r="F4357" s="138">
        <v>0</v>
      </c>
      <c r="G4357" s="138">
        <v>0</v>
      </c>
      <c r="H4357" s="138">
        <v>0</v>
      </c>
      <c r="I4357" s="138">
        <v>0</v>
      </c>
      <c r="J4357" s="138">
        <v>0</v>
      </c>
    </row>
    <row r="4358" spans="1:10">
      <c r="A4358" s="136" t="s">
        <v>104</v>
      </c>
      <c r="B4358" s="136" t="s">
        <v>11</v>
      </c>
      <c r="C4358" s="137">
        <v>0.75416666666666698</v>
      </c>
      <c r="D4358" s="138">
        <v>0</v>
      </c>
      <c r="E4358" s="138">
        <v>0</v>
      </c>
      <c r="F4358" s="138">
        <v>0</v>
      </c>
      <c r="G4358" s="138">
        <v>0</v>
      </c>
      <c r="H4358" s="138">
        <v>0</v>
      </c>
      <c r="I4358" s="138">
        <v>0</v>
      </c>
      <c r="J4358" s="138">
        <v>0</v>
      </c>
    </row>
    <row r="4359" spans="1:10">
      <c r="A4359" s="136" t="s">
        <v>104</v>
      </c>
      <c r="B4359" s="136" t="s">
        <v>11</v>
      </c>
      <c r="C4359" s="137">
        <v>0.75486111111111098</v>
      </c>
      <c r="D4359" s="138">
        <v>0</v>
      </c>
      <c r="E4359" s="138">
        <v>0</v>
      </c>
      <c r="F4359" s="138">
        <v>0</v>
      </c>
      <c r="G4359" s="138">
        <v>0</v>
      </c>
      <c r="H4359" s="138">
        <v>0</v>
      </c>
      <c r="I4359" s="138">
        <v>0</v>
      </c>
      <c r="J4359" s="138">
        <v>0</v>
      </c>
    </row>
    <row r="4360" spans="1:10">
      <c r="A4360" s="136" t="s">
        <v>104</v>
      </c>
      <c r="B4360" s="136" t="s">
        <v>11</v>
      </c>
      <c r="C4360" s="137">
        <v>0.75555555555555498</v>
      </c>
      <c r="D4360" s="138">
        <v>0</v>
      </c>
      <c r="E4360" s="138">
        <v>0</v>
      </c>
      <c r="F4360" s="138">
        <v>0</v>
      </c>
      <c r="G4360" s="138">
        <v>0</v>
      </c>
      <c r="H4360" s="138">
        <v>0</v>
      </c>
      <c r="I4360" s="138">
        <v>0</v>
      </c>
      <c r="J4360" s="138">
        <v>0</v>
      </c>
    </row>
    <row r="4361" spans="1:10">
      <c r="A4361" s="136" t="s">
        <v>104</v>
      </c>
      <c r="B4361" s="136" t="s">
        <v>11</v>
      </c>
      <c r="C4361" s="137">
        <v>0.75624999999999998</v>
      </c>
      <c r="D4361" s="138">
        <v>0</v>
      </c>
      <c r="E4361" s="138">
        <v>0</v>
      </c>
      <c r="F4361" s="138">
        <v>0</v>
      </c>
      <c r="G4361" s="138">
        <v>0</v>
      </c>
      <c r="H4361" s="138">
        <v>0</v>
      </c>
      <c r="I4361" s="138">
        <v>0</v>
      </c>
      <c r="J4361" s="138">
        <v>0</v>
      </c>
    </row>
    <row r="4362" spans="1:10">
      <c r="A4362" s="136" t="s">
        <v>104</v>
      </c>
      <c r="B4362" s="136" t="s">
        <v>11</v>
      </c>
      <c r="C4362" s="137">
        <v>0.75694444444444398</v>
      </c>
      <c r="D4362" s="138">
        <v>0</v>
      </c>
      <c r="E4362" s="138">
        <v>0</v>
      </c>
      <c r="F4362" s="138">
        <v>0</v>
      </c>
      <c r="G4362" s="138">
        <v>0</v>
      </c>
      <c r="H4362" s="138">
        <v>0</v>
      </c>
      <c r="I4362" s="138">
        <v>0</v>
      </c>
      <c r="J4362" s="138">
        <v>0</v>
      </c>
    </row>
    <row r="4363" spans="1:10">
      <c r="A4363" s="136" t="s">
        <v>104</v>
      </c>
      <c r="B4363" s="136" t="s">
        <v>11</v>
      </c>
      <c r="C4363" s="137">
        <v>0.75763888888888897</v>
      </c>
      <c r="D4363" s="138">
        <v>0</v>
      </c>
      <c r="E4363" s="138">
        <v>0</v>
      </c>
      <c r="F4363" s="138">
        <v>0</v>
      </c>
      <c r="G4363" s="138">
        <v>0</v>
      </c>
      <c r="H4363" s="138">
        <v>0</v>
      </c>
      <c r="I4363" s="138">
        <v>0</v>
      </c>
      <c r="J4363" s="138">
        <v>0</v>
      </c>
    </row>
    <row r="4364" spans="1:10">
      <c r="A4364" s="136" t="s">
        <v>104</v>
      </c>
      <c r="B4364" s="136" t="s">
        <v>11</v>
      </c>
      <c r="C4364" s="137">
        <v>0.75833333333333297</v>
      </c>
      <c r="D4364" s="138">
        <v>0</v>
      </c>
      <c r="E4364" s="138">
        <v>0</v>
      </c>
      <c r="F4364" s="138">
        <v>0</v>
      </c>
      <c r="G4364" s="138">
        <v>0</v>
      </c>
      <c r="H4364" s="138">
        <v>0</v>
      </c>
      <c r="I4364" s="138">
        <v>0</v>
      </c>
      <c r="J4364" s="138">
        <v>0</v>
      </c>
    </row>
    <row r="4365" spans="1:10">
      <c r="A4365" s="136" t="s">
        <v>104</v>
      </c>
      <c r="B4365" s="136" t="s">
        <v>11</v>
      </c>
      <c r="C4365" s="137">
        <v>0.75902777777777797</v>
      </c>
      <c r="D4365" s="138">
        <v>0</v>
      </c>
      <c r="E4365" s="138">
        <v>0</v>
      </c>
      <c r="F4365" s="138">
        <v>0</v>
      </c>
      <c r="G4365" s="138">
        <v>0</v>
      </c>
      <c r="H4365" s="138">
        <v>0</v>
      </c>
      <c r="I4365" s="138">
        <v>0</v>
      </c>
      <c r="J4365" s="138">
        <v>0</v>
      </c>
    </row>
    <row r="4366" spans="1:10">
      <c r="A4366" s="139" t="s">
        <v>104</v>
      </c>
      <c r="B4366" s="139" t="s">
        <v>11</v>
      </c>
      <c r="C4366" s="140">
        <v>0.75972222222222197</v>
      </c>
      <c r="D4366" s="141">
        <v>0</v>
      </c>
      <c r="E4366" s="141">
        <v>0</v>
      </c>
      <c r="F4366" s="141">
        <v>0</v>
      </c>
      <c r="G4366" s="141">
        <v>0</v>
      </c>
      <c r="H4366" s="141">
        <v>0</v>
      </c>
      <c r="I4366" s="141">
        <v>0</v>
      </c>
      <c r="J4366" s="141">
        <v>0</v>
      </c>
    </row>
    <row r="4367" spans="1:10">
      <c r="A4367" s="136" t="s">
        <v>104</v>
      </c>
      <c r="B4367" s="136" t="s">
        <v>11</v>
      </c>
      <c r="C4367" s="137">
        <v>0.76041666666666696</v>
      </c>
      <c r="D4367" s="138">
        <v>0</v>
      </c>
      <c r="E4367" s="138">
        <v>0</v>
      </c>
      <c r="F4367" s="138">
        <v>0</v>
      </c>
      <c r="G4367" s="138">
        <v>0</v>
      </c>
      <c r="H4367" s="138">
        <v>0</v>
      </c>
      <c r="I4367" s="138">
        <v>0</v>
      </c>
      <c r="J4367" s="138">
        <v>0</v>
      </c>
    </row>
    <row r="4368" spans="1:10">
      <c r="A4368" s="136" t="s">
        <v>104</v>
      </c>
      <c r="B4368" s="136" t="s">
        <v>11</v>
      </c>
      <c r="C4368" s="137">
        <v>0.76111111111111096</v>
      </c>
      <c r="D4368" s="138">
        <v>0</v>
      </c>
      <c r="E4368" s="138">
        <v>0</v>
      </c>
      <c r="F4368" s="138">
        <v>0</v>
      </c>
      <c r="G4368" s="138">
        <v>0</v>
      </c>
      <c r="H4368" s="138">
        <v>0</v>
      </c>
      <c r="I4368" s="138">
        <v>0</v>
      </c>
      <c r="J4368" s="138">
        <v>0</v>
      </c>
    </row>
    <row r="4369" spans="1:10">
      <c r="A4369" s="136" t="s">
        <v>104</v>
      </c>
      <c r="B4369" s="136" t="s">
        <v>11</v>
      </c>
      <c r="C4369" s="137">
        <v>0.76180555555555496</v>
      </c>
      <c r="D4369" s="138">
        <v>0</v>
      </c>
      <c r="E4369" s="138">
        <v>0</v>
      </c>
      <c r="F4369" s="138">
        <v>0</v>
      </c>
      <c r="G4369" s="138">
        <v>0</v>
      </c>
      <c r="H4369" s="138">
        <v>0</v>
      </c>
      <c r="I4369" s="138">
        <v>0</v>
      </c>
      <c r="J4369" s="138">
        <v>0</v>
      </c>
    </row>
    <row r="4370" spans="1:10">
      <c r="A4370" s="136" t="s">
        <v>104</v>
      </c>
      <c r="B4370" s="136" t="s">
        <v>11</v>
      </c>
      <c r="C4370" s="137">
        <v>0.76249999999999996</v>
      </c>
      <c r="D4370" s="138">
        <v>0</v>
      </c>
      <c r="E4370" s="138">
        <v>0</v>
      </c>
      <c r="F4370" s="138">
        <v>0</v>
      </c>
      <c r="G4370" s="138">
        <v>0</v>
      </c>
      <c r="H4370" s="138">
        <v>0</v>
      </c>
      <c r="I4370" s="138">
        <v>0</v>
      </c>
      <c r="J4370" s="138">
        <v>0</v>
      </c>
    </row>
    <row r="4371" spans="1:10">
      <c r="A4371" s="136" t="s">
        <v>104</v>
      </c>
      <c r="B4371" s="136" t="s">
        <v>11</v>
      </c>
      <c r="C4371" s="137">
        <v>0.76319444444444395</v>
      </c>
      <c r="D4371" s="138">
        <v>0</v>
      </c>
      <c r="E4371" s="138">
        <v>0</v>
      </c>
      <c r="F4371" s="138">
        <v>0</v>
      </c>
      <c r="G4371" s="138">
        <v>0</v>
      </c>
      <c r="H4371" s="138">
        <v>0</v>
      </c>
      <c r="I4371" s="138">
        <v>0</v>
      </c>
      <c r="J4371" s="138">
        <v>0</v>
      </c>
    </row>
    <row r="4372" spans="1:10">
      <c r="A4372" s="136" t="s">
        <v>104</v>
      </c>
      <c r="B4372" s="136" t="s">
        <v>11</v>
      </c>
      <c r="C4372" s="137">
        <v>0.76388888888888895</v>
      </c>
      <c r="D4372" s="138">
        <v>0</v>
      </c>
      <c r="E4372" s="138">
        <v>0</v>
      </c>
      <c r="F4372" s="138">
        <v>0</v>
      </c>
      <c r="G4372" s="138">
        <v>0</v>
      </c>
      <c r="H4372" s="138">
        <v>0</v>
      </c>
      <c r="I4372" s="138">
        <v>0</v>
      </c>
      <c r="J4372" s="138">
        <v>0</v>
      </c>
    </row>
    <row r="4373" spans="1:10">
      <c r="A4373" s="136" t="s">
        <v>104</v>
      </c>
      <c r="B4373" s="136" t="s">
        <v>11</v>
      </c>
      <c r="C4373" s="137">
        <v>0.76458333333333295</v>
      </c>
      <c r="D4373" s="138">
        <v>0</v>
      </c>
      <c r="E4373" s="138">
        <v>0</v>
      </c>
      <c r="F4373" s="138">
        <v>0</v>
      </c>
      <c r="G4373" s="138">
        <v>0</v>
      </c>
      <c r="H4373" s="138">
        <v>0</v>
      </c>
      <c r="I4373" s="138">
        <v>0</v>
      </c>
      <c r="J4373" s="138">
        <v>0</v>
      </c>
    </row>
    <row r="4374" spans="1:10">
      <c r="A4374" s="136" t="s">
        <v>104</v>
      </c>
      <c r="B4374" s="136" t="s">
        <v>11</v>
      </c>
      <c r="C4374" s="137">
        <v>0.76527777777777795</v>
      </c>
      <c r="D4374" s="138">
        <v>0</v>
      </c>
      <c r="E4374" s="138">
        <v>0</v>
      </c>
      <c r="F4374" s="138">
        <v>0</v>
      </c>
      <c r="G4374" s="138">
        <v>0</v>
      </c>
      <c r="H4374" s="138">
        <v>0</v>
      </c>
      <c r="I4374" s="138">
        <v>0</v>
      </c>
      <c r="J4374" s="138">
        <v>0</v>
      </c>
    </row>
    <row r="4375" spans="1:10">
      <c r="A4375" s="136" t="s">
        <v>104</v>
      </c>
      <c r="B4375" s="136" t="s">
        <v>11</v>
      </c>
      <c r="C4375" s="137">
        <v>0.76597222222222205</v>
      </c>
      <c r="D4375" s="138">
        <v>0</v>
      </c>
      <c r="E4375" s="138">
        <v>0</v>
      </c>
      <c r="F4375" s="138">
        <v>0</v>
      </c>
      <c r="G4375" s="138">
        <v>0</v>
      </c>
      <c r="H4375" s="138">
        <v>0</v>
      </c>
      <c r="I4375" s="138">
        <v>0</v>
      </c>
      <c r="J4375" s="138">
        <v>0</v>
      </c>
    </row>
    <row r="4376" spans="1:10">
      <c r="A4376" s="136" t="s">
        <v>104</v>
      </c>
      <c r="B4376" s="136" t="s">
        <v>11</v>
      </c>
      <c r="C4376" s="137">
        <v>0.76666666666666605</v>
      </c>
      <c r="D4376" s="138">
        <v>0</v>
      </c>
      <c r="E4376" s="138">
        <v>0</v>
      </c>
      <c r="F4376" s="138">
        <v>0</v>
      </c>
      <c r="G4376" s="138">
        <v>0</v>
      </c>
      <c r="H4376" s="138">
        <v>0</v>
      </c>
      <c r="I4376" s="138">
        <v>0</v>
      </c>
      <c r="J4376" s="138">
        <v>0</v>
      </c>
    </row>
    <row r="4377" spans="1:10">
      <c r="A4377" s="136" t="s">
        <v>104</v>
      </c>
      <c r="B4377" s="136" t="s">
        <v>11</v>
      </c>
      <c r="C4377" s="137">
        <v>0.76736111111111105</v>
      </c>
      <c r="D4377" s="138">
        <v>0</v>
      </c>
      <c r="E4377" s="138">
        <v>0</v>
      </c>
      <c r="F4377" s="138">
        <v>0</v>
      </c>
      <c r="G4377" s="138">
        <v>0</v>
      </c>
      <c r="H4377" s="138">
        <v>0</v>
      </c>
      <c r="I4377" s="138">
        <v>0</v>
      </c>
      <c r="J4377" s="138">
        <v>0</v>
      </c>
    </row>
    <row r="4378" spans="1:10">
      <c r="A4378" s="136" t="s">
        <v>104</v>
      </c>
      <c r="B4378" s="136" t="s">
        <v>11</v>
      </c>
      <c r="C4378" s="137">
        <v>0.76805555555555505</v>
      </c>
      <c r="D4378" s="138">
        <v>0</v>
      </c>
      <c r="E4378" s="138">
        <v>0</v>
      </c>
      <c r="F4378" s="138">
        <v>0</v>
      </c>
      <c r="G4378" s="138">
        <v>0</v>
      </c>
      <c r="H4378" s="138">
        <v>0</v>
      </c>
      <c r="I4378" s="138">
        <v>0</v>
      </c>
      <c r="J4378" s="138">
        <v>0</v>
      </c>
    </row>
    <row r="4379" spans="1:10">
      <c r="A4379" s="136" t="s">
        <v>104</v>
      </c>
      <c r="B4379" s="136" t="s">
        <v>11</v>
      </c>
      <c r="C4379" s="137">
        <v>0.76875000000000004</v>
      </c>
      <c r="D4379" s="138">
        <v>0</v>
      </c>
      <c r="E4379" s="138">
        <v>0</v>
      </c>
      <c r="F4379" s="138">
        <v>0</v>
      </c>
      <c r="G4379" s="138">
        <v>0</v>
      </c>
      <c r="H4379" s="138">
        <v>0</v>
      </c>
      <c r="I4379" s="138">
        <v>0</v>
      </c>
      <c r="J4379" s="138">
        <v>0</v>
      </c>
    </row>
    <row r="4380" spans="1:10">
      <c r="A4380" s="136" t="s">
        <v>104</v>
      </c>
      <c r="B4380" s="136" t="s">
        <v>11</v>
      </c>
      <c r="C4380" s="137">
        <v>0.76944444444444404</v>
      </c>
      <c r="D4380" s="138">
        <v>0</v>
      </c>
      <c r="E4380" s="138">
        <v>0</v>
      </c>
      <c r="F4380" s="138">
        <v>0</v>
      </c>
      <c r="G4380" s="138">
        <v>0</v>
      </c>
      <c r="H4380" s="138">
        <v>0</v>
      </c>
      <c r="I4380" s="138">
        <v>0</v>
      </c>
      <c r="J4380" s="138">
        <v>0</v>
      </c>
    </row>
    <row r="4381" spans="1:10" ht="17.5" thickBot="1">
      <c r="A4381" s="143" t="s">
        <v>104</v>
      </c>
      <c r="B4381" s="143" t="s">
        <v>11</v>
      </c>
      <c r="C4381" s="144">
        <v>0.77013888888888904</v>
      </c>
      <c r="D4381" s="145">
        <v>0</v>
      </c>
      <c r="E4381" s="145">
        <v>0</v>
      </c>
      <c r="F4381" s="145">
        <v>0</v>
      </c>
      <c r="G4381" s="145">
        <v>0</v>
      </c>
      <c r="H4381" s="145">
        <v>0</v>
      </c>
      <c r="I4381" s="145">
        <v>0</v>
      </c>
      <c r="J4381" s="145">
        <v>0</v>
      </c>
    </row>
    <row r="4382" spans="1:10">
      <c r="A4382" s="136" t="s">
        <v>104</v>
      </c>
      <c r="B4382" s="136" t="s">
        <v>12</v>
      </c>
      <c r="C4382" s="137">
        <v>0.72916666666666663</v>
      </c>
      <c r="D4382" s="138">
        <v>0</v>
      </c>
      <c r="E4382" s="138">
        <v>0</v>
      </c>
      <c r="F4382" s="138">
        <v>0</v>
      </c>
      <c r="G4382" s="138">
        <v>0</v>
      </c>
      <c r="H4382" s="138">
        <v>0</v>
      </c>
      <c r="I4382" s="138">
        <v>0</v>
      </c>
      <c r="J4382" s="138">
        <v>0</v>
      </c>
    </row>
    <row r="4383" spans="1:10">
      <c r="A4383" s="136" t="s">
        <v>104</v>
      </c>
      <c r="B4383" s="136" t="s">
        <v>12</v>
      </c>
      <c r="C4383" s="137">
        <v>0.72986111111111107</v>
      </c>
      <c r="D4383" s="138">
        <v>0</v>
      </c>
      <c r="E4383" s="138">
        <v>0</v>
      </c>
      <c r="F4383" s="138">
        <v>0</v>
      </c>
      <c r="G4383" s="138">
        <v>0</v>
      </c>
      <c r="H4383" s="138">
        <v>0</v>
      </c>
      <c r="I4383" s="138">
        <v>0</v>
      </c>
      <c r="J4383" s="138">
        <v>0</v>
      </c>
    </row>
    <row r="4384" spans="1:10">
      <c r="A4384" s="136" t="s">
        <v>104</v>
      </c>
      <c r="B4384" s="136" t="s">
        <v>12</v>
      </c>
      <c r="C4384" s="137">
        <v>0.73055555555555596</v>
      </c>
      <c r="D4384" s="138">
        <v>0</v>
      </c>
      <c r="E4384" s="138">
        <v>0</v>
      </c>
      <c r="F4384" s="138">
        <v>0</v>
      </c>
      <c r="G4384" s="138">
        <v>0</v>
      </c>
      <c r="H4384" s="138">
        <v>0</v>
      </c>
      <c r="I4384" s="138">
        <v>0</v>
      </c>
      <c r="J4384" s="138">
        <v>0</v>
      </c>
    </row>
    <row r="4385" spans="1:10">
      <c r="A4385" s="136" t="s">
        <v>104</v>
      </c>
      <c r="B4385" s="136" t="s">
        <v>12</v>
      </c>
      <c r="C4385" s="137">
        <v>0.73124999999999996</v>
      </c>
      <c r="D4385" s="138">
        <v>0</v>
      </c>
      <c r="E4385" s="138">
        <v>0</v>
      </c>
      <c r="F4385" s="138">
        <v>0</v>
      </c>
      <c r="G4385" s="138">
        <v>0</v>
      </c>
      <c r="H4385" s="138">
        <v>0</v>
      </c>
      <c r="I4385" s="138">
        <v>0</v>
      </c>
      <c r="J4385" s="138">
        <v>0</v>
      </c>
    </row>
    <row r="4386" spans="1:10">
      <c r="A4386" s="136" t="s">
        <v>104</v>
      </c>
      <c r="B4386" s="136" t="s">
        <v>12</v>
      </c>
      <c r="C4386" s="137">
        <v>0.73194444444444395</v>
      </c>
      <c r="D4386" s="138">
        <v>0</v>
      </c>
      <c r="E4386" s="138">
        <v>0</v>
      </c>
      <c r="F4386" s="138">
        <v>0</v>
      </c>
      <c r="G4386" s="138">
        <v>0</v>
      </c>
      <c r="H4386" s="138">
        <v>0</v>
      </c>
      <c r="I4386" s="138">
        <v>0</v>
      </c>
      <c r="J4386" s="138">
        <v>0</v>
      </c>
    </row>
    <row r="4387" spans="1:10">
      <c r="A4387" s="136" t="s">
        <v>104</v>
      </c>
      <c r="B4387" s="136" t="s">
        <v>12</v>
      </c>
      <c r="C4387" s="137">
        <v>0.73263888888888895</v>
      </c>
      <c r="D4387" s="138">
        <v>0</v>
      </c>
      <c r="E4387" s="138">
        <v>0</v>
      </c>
      <c r="F4387" s="138">
        <v>0</v>
      </c>
      <c r="G4387" s="138">
        <v>0</v>
      </c>
      <c r="H4387" s="138">
        <v>0</v>
      </c>
      <c r="I4387" s="138">
        <v>0</v>
      </c>
      <c r="J4387" s="138">
        <v>0</v>
      </c>
    </row>
    <row r="4388" spans="1:10">
      <c r="A4388" s="136" t="s">
        <v>104</v>
      </c>
      <c r="B4388" s="136" t="s">
        <v>12</v>
      </c>
      <c r="C4388" s="137">
        <v>0.73333333333333295</v>
      </c>
      <c r="D4388" s="138">
        <v>0</v>
      </c>
      <c r="E4388" s="138">
        <v>0</v>
      </c>
      <c r="F4388" s="138">
        <v>0</v>
      </c>
      <c r="G4388" s="138">
        <v>0</v>
      </c>
      <c r="H4388" s="138">
        <v>0</v>
      </c>
      <c r="I4388" s="138">
        <v>0</v>
      </c>
      <c r="J4388" s="138">
        <v>0</v>
      </c>
    </row>
    <row r="4389" spans="1:10">
      <c r="A4389" s="136" t="s">
        <v>104</v>
      </c>
      <c r="B4389" s="136" t="s">
        <v>12</v>
      </c>
      <c r="C4389" s="137">
        <v>0.73402777777777795</v>
      </c>
      <c r="D4389" s="138">
        <v>0</v>
      </c>
      <c r="E4389" s="138">
        <v>0</v>
      </c>
      <c r="F4389" s="138">
        <v>0</v>
      </c>
      <c r="G4389" s="138">
        <v>0</v>
      </c>
      <c r="H4389" s="138">
        <v>0</v>
      </c>
      <c r="I4389" s="138">
        <v>0</v>
      </c>
      <c r="J4389" s="138">
        <v>0</v>
      </c>
    </row>
    <row r="4390" spans="1:10">
      <c r="A4390" s="136" t="s">
        <v>104</v>
      </c>
      <c r="B4390" s="136" t="s">
        <v>12</v>
      </c>
      <c r="C4390" s="137">
        <v>0.73472222222222205</v>
      </c>
      <c r="D4390" s="138">
        <v>0</v>
      </c>
      <c r="E4390" s="138">
        <v>0</v>
      </c>
      <c r="F4390" s="138">
        <v>0</v>
      </c>
      <c r="G4390" s="138">
        <v>0</v>
      </c>
      <c r="H4390" s="138">
        <v>0</v>
      </c>
      <c r="I4390" s="138">
        <v>0</v>
      </c>
      <c r="J4390" s="138">
        <v>0</v>
      </c>
    </row>
    <row r="4391" spans="1:10">
      <c r="A4391" s="136" t="s">
        <v>104</v>
      </c>
      <c r="B4391" s="136" t="s">
        <v>12</v>
      </c>
      <c r="C4391" s="137">
        <v>0.73541666666666705</v>
      </c>
      <c r="D4391" s="138">
        <v>0</v>
      </c>
      <c r="E4391" s="138">
        <v>0</v>
      </c>
      <c r="F4391" s="138">
        <v>0</v>
      </c>
      <c r="G4391" s="138">
        <v>0</v>
      </c>
      <c r="H4391" s="138">
        <v>0</v>
      </c>
      <c r="I4391" s="138">
        <v>0</v>
      </c>
      <c r="J4391" s="138">
        <v>0</v>
      </c>
    </row>
    <row r="4392" spans="1:10">
      <c r="A4392" s="136" t="s">
        <v>104</v>
      </c>
      <c r="B4392" s="136" t="s">
        <v>12</v>
      </c>
      <c r="C4392" s="137">
        <v>0.73611111111111105</v>
      </c>
      <c r="D4392" s="138">
        <v>0</v>
      </c>
      <c r="E4392" s="138">
        <v>0</v>
      </c>
      <c r="F4392" s="138">
        <v>0</v>
      </c>
      <c r="G4392" s="138">
        <v>0</v>
      </c>
      <c r="H4392" s="138">
        <v>0</v>
      </c>
      <c r="I4392" s="138">
        <v>0</v>
      </c>
      <c r="J4392" s="138">
        <v>0</v>
      </c>
    </row>
    <row r="4393" spans="1:10">
      <c r="A4393" s="136" t="s">
        <v>104</v>
      </c>
      <c r="B4393" s="136" t="s">
        <v>12</v>
      </c>
      <c r="C4393" s="137">
        <v>0.73680555555555505</v>
      </c>
      <c r="D4393" s="138">
        <v>0</v>
      </c>
      <c r="E4393" s="138">
        <v>0</v>
      </c>
      <c r="F4393" s="138">
        <v>0</v>
      </c>
      <c r="G4393" s="138">
        <v>0</v>
      </c>
      <c r="H4393" s="138">
        <v>0</v>
      </c>
      <c r="I4393" s="138">
        <v>0</v>
      </c>
      <c r="J4393" s="138">
        <v>0</v>
      </c>
    </row>
    <row r="4394" spans="1:10">
      <c r="A4394" s="136" t="s">
        <v>104</v>
      </c>
      <c r="B4394" s="136" t="s">
        <v>12</v>
      </c>
      <c r="C4394" s="137">
        <v>0.73750000000000004</v>
      </c>
      <c r="D4394" s="138">
        <v>0</v>
      </c>
      <c r="E4394" s="138">
        <v>0</v>
      </c>
      <c r="F4394" s="138">
        <v>0</v>
      </c>
      <c r="G4394" s="138">
        <v>0</v>
      </c>
      <c r="H4394" s="138">
        <v>0</v>
      </c>
      <c r="I4394" s="138">
        <v>0</v>
      </c>
      <c r="J4394" s="138">
        <v>0</v>
      </c>
    </row>
    <row r="4395" spans="1:10">
      <c r="A4395" s="136" t="s">
        <v>104</v>
      </c>
      <c r="B4395" s="136" t="s">
        <v>12</v>
      </c>
      <c r="C4395" s="137">
        <v>0.73819444444444404</v>
      </c>
      <c r="D4395" s="138">
        <v>0</v>
      </c>
      <c r="E4395" s="138">
        <v>0</v>
      </c>
      <c r="F4395" s="138">
        <v>0</v>
      </c>
      <c r="G4395" s="138">
        <v>0</v>
      </c>
      <c r="H4395" s="138">
        <v>0</v>
      </c>
      <c r="I4395" s="138">
        <v>0</v>
      </c>
      <c r="J4395" s="138">
        <v>0</v>
      </c>
    </row>
    <row r="4396" spans="1:10">
      <c r="A4396" s="139" t="s">
        <v>104</v>
      </c>
      <c r="B4396" s="139" t="s">
        <v>12</v>
      </c>
      <c r="C4396" s="140">
        <v>0.73888888888888904</v>
      </c>
      <c r="D4396" s="138">
        <v>0</v>
      </c>
      <c r="E4396" s="138">
        <v>0</v>
      </c>
      <c r="F4396" s="138">
        <v>0</v>
      </c>
      <c r="G4396" s="138">
        <v>0</v>
      </c>
      <c r="H4396" s="138">
        <v>0</v>
      </c>
      <c r="I4396" s="138">
        <v>0</v>
      </c>
      <c r="J4396" s="138">
        <v>0</v>
      </c>
    </row>
    <row r="4397" spans="1:10">
      <c r="A4397" s="136" t="s">
        <v>104</v>
      </c>
      <c r="B4397" s="136" t="s">
        <v>12</v>
      </c>
      <c r="C4397" s="137">
        <v>0.73958333333333304</v>
      </c>
      <c r="D4397" s="142">
        <v>0</v>
      </c>
      <c r="E4397" s="142">
        <v>0</v>
      </c>
      <c r="F4397" s="142">
        <v>0</v>
      </c>
      <c r="G4397" s="142">
        <v>0</v>
      </c>
      <c r="H4397" s="142">
        <v>0</v>
      </c>
      <c r="I4397" s="142">
        <v>0</v>
      </c>
      <c r="J4397" s="142">
        <v>0</v>
      </c>
    </row>
    <row r="4398" spans="1:10">
      <c r="A4398" s="136" t="s">
        <v>104</v>
      </c>
      <c r="B4398" s="136" t="s">
        <v>12</v>
      </c>
      <c r="C4398" s="137">
        <v>0.74027777777777803</v>
      </c>
      <c r="D4398" s="138">
        <v>0</v>
      </c>
      <c r="E4398" s="138">
        <v>0</v>
      </c>
      <c r="F4398" s="138">
        <v>0</v>
      </c>
      <c r="G4398" s="138">
        <v>0</v>
      </c>
      <c r="H4398" s="138">
        <v>0</v>
      </c>
      <c r="I4398" s="138">
        <v>0</v>
      </c>
      <c r="J4398" s="138">
        <v>0</v>
      </c>
    </row>
    <row r="4399" spans="1:10">
      <c r="A4399" s="136" t="s">
        <v>104</v>
      </c>
      <c r="B4399" s="136" t="s">
        <v>12</v>
      </c>
      <c r="C4399" s="137">
        <v>0.74097222222222203</v>
      </c>
      <c r="D4399" s="138">
        <v>0</v>
      </c>
      <c r="E4399" s="138">
        <v>0</v>
      </c>
      <c r="F4399" s="138">
        <v>0</v>
      </c>
      <c r="G4399" s="138">
        <v>0</v>
      </c>
      <c r="H4399" s="138">
        <v>0</v>
      </c>
      <c r="I4399" s="138">
        <v>0</v>
      </c>
      <c r="J4399" s="138">
        <v>0</v>
      </c>
    </row>
    <row r="4400" spans="1:10">
      <c r="A4400" s="136" t="s">
        <v>104</v>
      </c>
      <c r="B4400" s="136" t="s">
        <v>12</v>
      </c>
      <c r="C4400" s="137">
        <v>0.74166666666666703</v>
      </c>
      <c r="D4400" s="138">
        <v>0</v>
      </c>
      <c r="E4400" s="138">
        <v>0</v>
      </c>
      <c r="F4400" s="138">
        <v>0</v>
      </c>
      <c r="G4400" s="138">
        <v>0</v>
      </c>
      <c r="H4400" s="138">
        <v>0</v>
      </c>
      <c r="I4400" s="138">
        <v>0</v>
      </c>
      <c r="J4400" s="138">
        <v>0</v>
      </c>
    </row>
    <row r="4401" spans="1:10">
      <c r="A4401" s="136" t="s">
        <v>104</v>
      </c>
      <c r="B4401" s="136" t="s">
        <v>12</v>
      </c>
      <c r="C4401" s="137">
        <v>0.74236111111111103</v>
      </c>
      <c r="D4401" s="138">
        <v>0</v>
      </c>
      <c r="E4401" s="138">
        <v>0</v>
      </c>
      <c r="F4401" s="138">
        <v>0</v>
      </c>
      <c r="G4401" s="138">
        <v>0</v>
      </c>
      <c r="H4401" s="138">
        <v>0</v>
      </c>
      <c r="I4401" s="138">
        <v>0</v>
      </c>
      <c r="J4401" s="138">
        <v>0</v>
      </c>
    </row>
    <row r="4402" spans="1:10">
      <c r="A4402" s="136" t="s">
        <v>104</v>
      </c>
      <c r="B4402" s="136" t="s">
        <v>12</v>
      </c>
      <c r="C4402" s="137">
        <v>0.74305555555555503</v>
      </c>
      <c r="D4402" s="138">
        <v>0</v>
      </c>
      <c r="E4402" s="138">
        <v>0</v>
      </c>
      <c r="F4402" s="138">
        <v>0</v>
      </c>
      <c r="G4402" s="138">
        <v>0</v>
      </c>
      <c r="H4402" s="138">
        <v>0</v>
      </c>
      <c r="I4402" s="138">
        <v>0</v>
      </c>
      <c r="J4402" s="138">
        <v>0</v>
      </c>
    </row>
    <row r="4403" spans="1:10">
      <c r="A4403" s="136" t="s">
        <v>104</v>
      </c>
      <c r="B4403" s="136" t="s">
        <v>12</v>
      </c>
      <c r="C4403" s="137">
        <v>0.74375000000000002</v>
      </c>
      <c r="D4403" s="138">
        <v>0</v>
      </c>
      <c r="E4403" s="138">
        <v>0</v>
      </c>
      <c r="F4403" s="138">
        <v>0</v>
      </c>
      <c r="G4403" s="138">
        <v>0</v>
      </c>
      <c r="H4403" s="138">
        <v>0</v>
      </c>
      <c r="I4403" s="138">
        <v>0</v>
      </c>
      <c r="J4403" s="138">
        <v>0</v>
      </c>
    </row>
    <row r="4404" spans="1:10">
      <c r="A4404" s="136" t="s">
        <v>104</v>
      </c>
      <c r="B4404" s="136" t="s">
        <v>12</v>
      </c>
      <c r="C4404" s="137">
        <v>0.74444444444444402</v>
      </c>
      <c r="D4404" s="138">
        <v>0</v>
      </c>
      <c r="E4404" s="138">
        <v>0</v>
      </c>
      <c r="F4404" s="138">
        <v>0</v>
      </c>
      <c r="G4404" s="138">
        <v>0</v>
      </c>
      <c r="H4404" s="138">
        <v>0</v>
      </c>
      <c r="I4404" s="138">
        <v>0</v>
      </c>
      <c r="J4404" s="138">
        <v>0</v>
      </c>
    </row>
    <row r="4405" spans="1:10">
      <c r="A4405" s="136" t="s">
        <v>104</v>
      </c>
      <c r="B4405" s="136" t="s">
        <v>12</v>
      </c>
      <c r="C4405" s="137">
        <v>0.74513888888888902</v>
      </c>
      <c r="D4405" s="138">
        <v>0</v>
      </c>
      <c r="E4405" s="138">
        <v>0</v>
      </c>
      <c r="F4405" s="138">
        <v>0</v>
      </c>
      <c r="G4405" s="138">
        <v>0</v>
      </c>
      <c r="H4405" s="138">
        <v>0</v>
      </c>
      <c r="I4405" s="138">
        <v>0</v>
      </c>
      <c r="J4405" s="138">
        <v>0</v>
      </c>
    </row>
    <row r="4406" spans="1:10">
      <c r="A4406" s="136" t="s">
        <v>104</v>
      </c>
      <c r="B4406" s="136" t="s">
        <v>12</v>
      </c>
      <c r="C4406" s="137">
        <v>0.74583333333333302</v>
      </c>
      <c r="D4406" s="138">
        <v>0</v>
      </c>
      <c r="E4406" s="138">
        <v>0</v>
      </c>
      <c r="F4406" s="138">
        <v>0</v>
      </c>
      <c r="G4406" s="138">
        <v>0</v>
      </c>
      <c r="H4406" s="138">
        <v>0</v>
      </c>
      <c r="I4406" s="138">
        <v>0</v>
      </c>
      <c r="J4406" s="138">
        <v>0</v>
      </c>
    </row>
    <row r="4407" spans="1:10">
      <c r="A4407" s="136" t="s">
        <v>104</v>
      </c>
      <c r="B4407" s="136" t="s">
        <v>12</v>
      </c>
      <c r="C4407" s="137">
        <v>0.74652777777777801</v>
      </c>
      <c r="D4407" s="138">
        <v>0</v>
      </c>
      <c r="E4407" s="138">
        <v>0</v>
      </c>
      <c r="F4407" s="138">
        <v>0</v>
      </c>
      <c r="G4407" s="138">
        <v>0</v>
      </c>
      <c r="H4407" s="138">
        <v>0</v>
      </c>
      <c r="I4407" s="138">
        <v>0</v>
      </c>
      <c r="J4407" s="138">
        <v>0</v>
      </c>
    </row>
    <row r="4408" spans="1:10">
      <c r="A4408" s="136" t="s">
        <v>104</v>
      </c>
      <c r="B4408" s="136" t="s">
        <v>12</v>
      </c>
      <c r="C4408" s="137">
        <v>0.74722222222222201</v>
      </c>
      <c r="D4408" s="138">
        <v>0</v>
      </c>
      <c r="E4408" s="138">
        <v>0</v>
      </c>
      <c r="F4408" s="138">
        <v>0</v>
      </c>
      <c r="G4408" s="138">
        <v>0</v>
      </c>
      <c r="H4408" s="138">
        <v>0</v>
      </c>
      <c r="I4408" s="138">
        <v>0</v>
      </c>
      <c r="J4408" s="138">
        <v>0</v>
      </c>
    </row>
    <row r="4409" spans="1:10">
      <c r="A4409" s="136" t="s">
        <v>104</v>
      </c>
      <c r="B4409" s="136" t="s">
        <v>12</v>
      </c>
      <c r="C4409" s="137">
        <v>0.74791666666666701</v>
      </c>
      <c r="D4409" s="138">
        <v>0</v>
      </c>
      <c r="E4409" s="138">
        <v>0</v>
      </c>
      <c r="F4409" s="138">
        <v>0</v>
      </c>
      <c r="G4409" s="138">
        <v>0</v>
      </c>
      <c r="H4409" s="138">
        <v>0</v>
      </c>
      <c r="I4409" s="138">
        <v>0</v>
      </c>
      <c r="J4409" s="138">
        <v>0</v>
      </c>
    </row>
    <row r="4410" spans="1:10">
      <c r="A4410" s="136" t="s">
        <v>104</v>
      </c>
      <c r="B4410" s="136" t="s">
        <v>12</v>
      </c>
      <c r="C4410" s="137">
        <v>0.74861111111111101</v>
      </c>
      <c r="D4410" s="138">
        <v>0</v>
      </c>
      <c r="E4410" s="138">
        <v>0</v>
      </c>
      <c r="F4410" s="138">
        <v>0</v>
      </c>
      <c r="G4410" s="138">
        <v>0</v>
      </c>
      <c r="H4410" s="138">
        <v>0</v>
      </c>
      <c r="I4410" s="138">
        <v>0</v>
      </c>
      <c r="J4410" s="138">
        <v>0</v>
      </c>
    </row>
    <row r="4411" spans="1:10">
      <c r="A4411" s="139" t="s">
        <v>104</v>
      </c>
      <c r="B4411" s="139" t="s">
        <v>12</v>
      </c>
      <c r="C4411" s="140">
        <v>0.749305555555555</v>
      </c>
      <c r="D4411" s="141">
        <v>0</v>
      </c>
      <c r="E4411" s="141">
        <v>0</v>
      </c>
      <c r="F4411" s="141">
        <v>0</v>
      </c>
      <c r="G4411" s="141">
        <v>0</v>
      </c>
      <c r="H4411" s="141">
        <v>0</v>
      </c>
      <c r="I4411" s="141">
        <v>0</v>
      </c>
      <c r="J4411" s="141">
        <v>0</v>
      </c>
    </row>
    <row r="4412" spans="1:10">
      <c r="A4412" s="147" t="s">
        <v>104</v>
      </c>
      <c r="B4412" s="147" t="s">
        <v>12</v>
      </c>
      <c r="C4412" s="148">
        <v>0.75</v>
      </c>
      <c r="D4412" s="142">
        <v>0</v>
      </c>
      <c r="E4412" s="142">
        <v>0</v>
      </c>
      <c r="F4412" s="142">
        <v>0</v>
      </c>
      <c r="G4412" s="142">
        <v>0</v>
      </c>
      <c r="H4412" s="142">
        <v>0</v>
      </c>
      <c r="I4412" s="142">
        <v>0</v>
      </c>
      <c r="J4412" s="142">
        <v>0</v>
      </c>
    </row>
    <row r="4413" spans="1:10">
      <c r="A4413" s="136" t="s">
        <v>104</v>
      </c>
      <c r="B4413" s="136" t="s">
        <v>12</v>
      </c>
      <c r="C4413" s="137">
        <v>0.750694444444444</v>
      </c>
      <c r="D4413" s="138">
        <v>0</v>
      </c>
      <c r="E4413" s="138">
        <v>0</v>
      </c>
      <c r="F4413" s="138">
        <v>0</v>
      </c>
      <c r="G4413" s="138">
        <v>0</v>
      </c>
      <c r="H4413" s="138">
        <v>0</v>
      </c>
      <c r="I4413" s="138">
        <v>0</v>
      </c>
      <c r="J4413" s="138">
        <v>0</v>
      </c>
    </row>
    <row r="4414" spans="1:10">
      <c r="A4414" s="136" t="s">
        <v>104</v>
      </c>
      <c r="B4414" s="136" t="s">
        <v>12</v>
      </c>
      <c r="C4414" s="137">
        <v>0.75138888888888899</v>
      </c>
      <c r="D4414" s="138">
        <v>0</v>
      </c>
      <c r="E4414" s="138">
        <v>0</v>
      </c>
      <c r="F4414" s="138">
        <v>0</v>
      </c>
      <c r="G4414" s="138">
        <v>0</v>
      </c>
      <c r="H4414" s="138">
        <v>0</v>
      </c>
      <c r="I4414" s="138">
        <v>0</v>
      </c>
      <c r="J4414" s="138">
        <v>0</v>
      </c>
    </row>
    <row r="4415" spans="1:10">
      <c r="A4415" s="136" t="s">
        <v>104</v>
      </c>
      <c r="B4415" s="136" t="s">
        <v>12</v>
      </c>
      <c r="C4415" s="137">
        <v>0.75208333333333299</v>
      </c>
      <c r="D4415" s="138">
        <v>0</v>
      </c>
      <c r="E4415" s="138">
        <v>0</v>
      </c>
      <c r="F4415" s="138">
        <v>0</v>
      </c>
      <c r="G4415" s="138">
        <v>0</v>
      </c>
      <c r="H4415" s="138">
        <v>0</v>
      </c>
      <c r="I4415" s="138">
        <v>0</v>
      </c>
      <c r="J4415" s="138">
        <v>0</v>
      </c>
    </row>
    <row r="4416" spans="1:10">
      <c r="A4416" s="136" t="s">
        <v>104</v>
      </c>
      <c r="B4416" s="136" t="s">
        <v>12</v>
      </c>
      <c r="C4416" s="137">
        <v>0.75277777777777799</v>
      </c>
      <c r="D4416" s="138">
        <v>0</v>
      </c>
      <c r="E4416" s="138">
        <v>0</v>
      </c>
      <c r="F4416" s="138">
        <v>0</v>
      </c>
      <c r="G4416" s="138">
        <v>0</v>
      </c>
      <c r="H4416" s="138">
        <v>0</v>
      </c>
      <c r="I4416" s="138">
        <v>0</v>
      </c>
      <c r="J4416" s="138">
        <v>0</v>
      </c>
    </row>
    <row r="4417" spans="1:10">
      <c r="A4417" s="136" t="s">
        <v>104</v>
      </c>
      <c r="B4417" s="136" t="s">
        <v>12</v>
      </c>
      <c r="C4417" s="137">
        <v>0.75347222222222199</v>
      </c>
      <c r="D4417" s="138">
        <v>0</v>
      </c>
      <c r="E4417" s="138">
        <v>0</v>
      </c>
      <c r="F4417" s="138">
        <v>0</v>
      </c>
      <c r="G4417" s="138">
        <v>0</v>
      </c>
      <c r="H4417" s="138">
        <v>0</v>
      </c>
      <c r="I4417" s="138">
        <v>0</v>
      </c>
      <c r="J4417" s="138">
        <v>0</v>
      </c>
    </row>
    <row r="4418" spans="1:10">
      <c r="A4418" s="136" t="s">
        <v>104</v>
      </c>
      <c r="B4418" s="136" t="s">
        <v>12</v>
      </c>
      <c r="C4418" s="137">
        <v>0.75416666666666698</v>
      </c>
      <c r="D4418" s="138">
        <v>0</v>
      </c>
      <c r="E4418" s="138">
        <v>0</v>
      </c>
      <c r="F4418" s="138">
        <v>0</v>
      </c>
      <c r="G4418" s="138">
        <v>0</v>
      </c>
      <c r="H4418" s="138">
        <v>0</v>
      </c>
      <c r="I4418" s="138">
        <v>0</v>
      </c>
      <c r="J4418" s="138">
        <v>0</v>
      </c>
    </row>
    <row r="4419" spans="1:10">
      <c r="A4419" s="136" t="s">
        <v>104</v>
      </c>
      <c r="B4419" s="136" t="s">
        <v>12</v>
      </c>
      <c r="C4419" s="137">
        <v>0.75486111111111098</v>
      </c>
      <c r="D4419" s="138">
        <v>0</v>
      </c>
      <c r="E4419" s="138">
        <v>0</v>
      </c>
      <c r="F4419" s="138">
        <v>0</v>
      </c>
      <c r="G4419" s="138">
        <v>0</v>
      </c>
      <c r="H4419" s="138">
        <v>0</v>
      </c>
      <c r="I4419" s="138">
        <v>0</v>
      </c>
      <c r="J4419" s="138">
        <v>0</v>
      </c>
    </row>
    <row r="4420" spans="1:10">
      <c r="A4420" s="136" t="s">
        <v>104</v>
      </c>
      <c r="B4420" s="136" t="s">
        <v>12</v>
      </c>
      <c r="C4420" s="137">
        <v>0.75555555555555498</v>
      </c>
      <c r="D4420" s="138">
        <v>0</v>
      </c>
      <c r="E4420" s="138">
        <v>0</v>
      </c>
      <c r="F4420" s="138">
        <v>0</v>
      </c>
      <c r="G4420" s="138">
        <v>0</v>
      </c>
      <c r="H4420" s="138">
        <v>0</v>
      </c>
      <c r="I4420" s="138">
        <v>0</v>
      </c>
      <c r="J4420" s="138">
        <v>0</v>
      </c>
    </row>
    <row r="4421" spans="1:10">
      <c r="A4421" s="136" t="s">
        <v>104</v>
      </c>
      <c r="B4421" s="136" t="s">
        <v>12</v>
      </c>
      <c r="C4421" s="137">
        <v>0.75624999999999998</v>
      </c>
      <c r="D4421" s="138">
        <v>0</v>
      </c>
      <c r="E4421" s="138">
        <v>0</v>
      </c>
      <c r="F4421" s="138">
        <v>0</v>
      </c>
      <c r="G4421" s="138">
        <v>0</v>
      </c>
      <c r="H4421" s="138">
        <v>0</v>
      </c>
      <c r="I4421" s="138">
        <v>0</v>
      </c>
      <c r="J4421" s="138">
        <v>0</v>
      </c>
    </row>
    <row r="4422" spans="1:10">
      <c r="A4422" s="136" t="s">
        <v>104</v>
      </c>
      <c r="B4422" s="136" t="s">
        <v>12</v>
      </c>
      <c r="C4422" s="137">
        <v>0.75694444444444398</v>
      </c>
      <c r="D4422" s="138">
        <v>0</v>
      </c>
      <c r="E4422" s="138">
        <v>0</v>
      </c>
      <c r="F4422" s="138">
        <v>0</v>
      </c>
      <c r="G4422" s="138">
        <v>0</v>
      </c>
      <c r="H4422" s="138">
        <v>0</v>
      </c>
      <c r="I4422" s="138">
        <v>0</v>
      </c>
      <c r="J4422" s="138">
        <v>0</v>
      </c>
    </row>
    <row r="4423" spans="1:10">
      <c r="A4423" s="136" t="s">
        <v>104</v>
      </c>
      <c r="B4423" s="136" t="s">
        <v>12</v>
      </c>
      <c r="C4423" s="137">
        <v>0.75763888888888897</v>
      </c>
      <c r="D4423" s="138">
        <v>0</v>
      </c>
      <c r="E4423" s="138">
        <v>0</v>
      </c>
      <c r="F4423" s="138">
        <v>0</v>
      </c>
      <c r="G4423" s="138">
        <v>0</v>
      </c>
      <c r="H4423" s="138">
        <v>0</v>
      </c>
      <c r="I4423" s="138">
        <v>0</v>
      </c>
      <c r="J4423" s="138">
        <v>0</v>
      </c>
    </row>
    <row r="4424" spans="1:10">
      <c r="A4424" s="136" t="s">
        <v>104</v>
      </c>
      <c r="B4424" s="136" t="s">
        <v>12</v>
      </c>
      <c r="C4424" s="137">
        <v>0.75833333333333297</v>
      </c>
      <c r="D4424" s="138">
        <v>0</v>
      </c>
      <c r="E4424" s="138">
        <v>0</v>
      </c>
      <c r="F4424" s="138">
        <v>0</v>
      </c>
      <c r="G4424" s="138">
        <v>0</v>
      </c>
      <c r="H4424" s="138">
        <v>0</v>
      </c>
      <c r="I4424" s="138">
        <v>0</v>
      </c>
      <c r="J4424" s="138">
        <v>0</v>
      </c>
    </row>
    <row r="4425" spans="1:10">
      <c r="A4425" s="136" t="s">
        <v>104</v>
      </c>
      <c r="B4425" s="136" t="s">
        <v>12</v>
      </c>
      <c r="C4425" s="137">
        <v>0.75902777777777797</v>
      </c>
      <c r="D4425" s="138">
        <v>0</v>
      </c>
      <c r="E4425" s="138">
        <v>0</v>
      </c>
      <c r="F4425" s="138">
        <v>0</v>
      </c>
      <c r="G4425" s="138">
        <v>0</v>
      </c>
      <c r="H4425" s="138">
        <v>0</v>
      </c>
      <c r="I4425" s="138">
        <v>0</v>
      </c>
      <c r="J4425" s="138">
        <v>0</v>
      </c>
    </row>
    <row r="4426" spans="1:10">
      <c r="A4426" s="139" t="s">
        <v>104</v>
      </c>
      <c r="B4426" s="139" t="s">
        <v>12</v>
      </c>
      <c r="C4426" s="140">
        <v>0.75972222222222197</v>
      </c>
      <c r="D4426" s="141">
        <v>0</v>
      </c>
      <c r="E4426" s="141">
        <v>0</v>
      </c>
      <c r="F4426" s="141">
        <v>0</v>
      </c>
      <c r="G4426" s="141">
        <v>0</v>
      </c>
      <c r="H4426" s="141">
        <v>0</v>
      </c>
      <c r="I4426" s="141">
        <v>0</v>
      </c>
      <c r="J4426" s="141">
        <v>0</v>
      </c>
    </row>
    <row r="4427" spans="1:10">
      <c r="A4427" s="147" t="s">
        <v>104</v>
      </c>
      <c r="B4427" s="147" t="s">
        <v>12</v>
      </c>
      <c r="C4427" s="148">
        <v>0.76041666666666696</v>
      </c>
      <c r="D4427" s="142">
        <v>0</v>
      </c>
      <c r="E4427" s="142">
        <v>0</v>
      </c>
      <c r="F4427" s="142">
        <v>0</v>
      </c>
      <c r="G4427" s="142">
        <v>0</v>
      </c>
      <c r="H4427" s="142">
        <v>0</v>
      </c>
      <c r="I4427" s="142">
        <v>0</v>
      </c>
      <c r="J4427" s="142">
        <v>0</v>
      </c>
    </row>
    <row r="4428" spans="1:10">
      <c r="A4428" s="136" t="s">
        <v>104</v>
      </c>
      <c r="B4428" s="136" t="s">
        <v>12</v>
      </c>
      <c r="C4428" s="137">
        <v>0.76111111111111096</v>
      </c>
      <c r="D4428" s="138">
        <v>0</v>
      </c>
      <c r="E4428" s="138">
        <v>0</v>
      </c>
      <c r="F4428" s="138">
        <v>0</v>
      </c>
      <c r="G4428" s="138">
        <v>0</v>
      </c>
      <c r="H4428" s="138">
        <v>0</v>
      </c>
      <c r="I4428" s="138">
        <v>0</v>
      </c>
      <c r="J4428" s="138">
        <v>0</v>
      </c>
    </row>
    <row r="4429" spans="1:10">
      <c r="A4429" s="136" t="s">
        <v>104</v>
      </c>
      <c r="B4429" s="136" t="s">
        <v>12</v>
      </c>
      <c r="C4429" s="137">
        <v>0.76180555555555496</v>
      </c>
      <c r="D4429" s="138">
        <v>0</v>
      </c>
      <c r="E4429" s="138">
        <v>0</v>
      </c>
      <c r="F4429" s="138">
        <v>0</v>
      </c>
      <c r="G4429" s="138">
        <v>0</v>
      </c>
      <c r="H4429" s="138">
        <v>0</v>
      </c>
      <c r="I4429" s="138">
        <v>0</v>
      </c>
      <c r="J4429" s="138">
        <v>0</v>
      </c>
    </row>
    <row r="4430" spans="1:10">
      <c r="A4430" s="136" t="s">
        <v>104</v>
      </c>
      <c r="B4430" s="136" t="s">
        <v>12</v>
      </c>
      <c r="C4430" s="137">
        <v>0.76249999999999996</v>
      </c>
      <c r="D4430" s="138">
        <v>0</v>
      </c>
      <c r="E4430" s="138">
        <v>0</v>
      </c>
      <c r="F4430" s="138">
        <v>0</v>
      </c>
      <c r="G4430" s="138">
        <v>0</v>
      </c>
      <c r="H4430" s="138">
        <v>0</v>
      </c>
      <c r="I4430" s="138">
        <v>0</v>
      </c>
      <c r="J4430" s="138">
        <v>0</v>
      </c>
    </row>
    <row r="4431" spans="1:10">
      <c r="A4431" s="136" t="s">
        <v>104</v>
      </c>
      <c r="B4431" s="136" t="s">
        <v>12</v>
      </c>
      <c r="C4431" s="137">
        <v>0.76319444444444395</v>
      </c>
      <c r="D4431" s="138">
        <v>0</v>
      </c>
      <c r="E4431" s="138">
        <v>0</v>
      </c>
      <c r="F4431" s="138">
        <v>0</v>
      </c>
      <c r="G4431" s="138">
        <v>0</v>
      </c>
      <c r="H4431" s="138">
        <v>0</v>
      </c>
      <c r="I4431" s="138">
        <v>0</v>
      </c>
      <c r="J4431" s="138">
        <v>0</v>
      </c>
    </row>
    <row r="4432" spans="1:10">
      <c r="A4432" s="136" t="s">
        <v>104</v>
      </c>
      <c r="B4432" s="136" t="s">
        <v>12</v>
      </c>
      <c r="C4432" s="137">
        <v>0.76388888888888895</v>
      </c>
      <c r="D4432" s="138">
        <v>0</v>
      </c>
      <c r="E4432" s="138">
        <v>0</v>
      </c>
      <c r="F4432" s="138">
        <v>0</v>
      </c>
      <c r="G4432" s="138">
        <v>0</v>
      </c>
      <c r="H4432" s="138">
        <v>0</v>
      </c>
      <c r="I4432" s="138">
        <v>0</v>
      </c>
      <c r="J4432" s="138">
        <v>0</v>
      </c>
    </row>
    <row r="4433" spans="1:10">
      <c r="A4433" s="136" t="s">
        <v>104</v>
      </c>
      <c r="B4433" s="136" t="s">
        <v>12</v>
      </c>
      <c r="C4433" s="137">
        <v>0.76458333333333295</v>
      </c>
      <c r="D4433" s="138">
        <v>0</v>
      </c>
      <c r="E4433" s="138">
        <v>0</v>
      </c>
      <c r="F4433" s="138">
        <v>0</v>
      </c>
      <c r="G4433" s="138">
        <v>0</v>
      </c>
      <c r="H4433" s="138">
        <v>0</v>
      </c>
      <c r="I4433" s="138">
        <v>0</v>
      </c>
      <c r="J4433" s="138">
        <v>0</v>
      </c>
    </row>
    <row r="4434" spans="1:10">
      <c r="A4434" s="136" t="s">
        <v>104</v>
      </c>
      <c r="B4434" s="136" t="s">
        <v>12</v>
      </c>
      <c r="C4434" s="137">
        <v>0.76527777777777795</v>
      </c>
      <c r="D4434" s="138">
        <v>0</v>
      </c>
      <c r="E4434" s="138">
        <v>0</v>
      </c>
      <c r="F4434" s="138">
        <v>0</v>
      </c>
      <c r="G4434" s="138">
        <v>0</v>
      </c>
      <c r="H4434" s="138">
        <v>0</v>
      </c>
      <c r="I4434" s="138">
        <v>0</v>
      </c>
      <c r="J4434" s="138">
        <v>0</v>
      </c>
    </row>
    <row r="4435" spans="1:10">
      <c r="A4435" s="136" t="s">
        <v>104</v>
      </c>
      <c r="B4435" s="136" t="s">
        <v>12</v>
      </c>
      <c r="C4435" s="137">
        <v>0.76597222222222205</v>
      </c>
      <c r="D4435" s="138">
        <v>0</v>
      </c>
      <c r="E4435" s="138">
        <v>0</v>
      </c>
      <c r="F4435" s="138">
        <v>0</v>
      </c>
      <c r="G4435" s="138">
        <v>0</v>
      </c>
      <c r="H4435" s="138">
        <v>0</v>
      </c>
      <c r="I4435" s="138">
        <v>0</v>
      </c>
      <c r="J4435" s="138">
        <v>0</v>
      </c>
    </row>
    <row r="4436" spans="1:10">
      <c r="A4436" s="136" t="s">
        <v>104</v>
      </c>
      <c r="B4436" s="136" t="s">
        <v>12</v>
      </c>
      <c r="C4436" s="137">
        <v>0.76666666666666605</v>
      </c>
      <c r="D4436" s="138">
        <v>0</v>
      </c>
      <c r="E4436" s="138">
        <v>0</v>
      </c>
      <c r="F4436" s="138">
        <v>0</v>
      </c>
      <c r="G4436" s="138">
        <v>0</v>
      </c>
      <c r="H4436" s="138">
        <v>0</v>
      </c>
      <c r="I4436" s="138">
        <v>0</v>
      </c>
      <c r="J4436" s="138">
        <v>0</v>
      </c>
    </row>
    <row r="4437" spans="1:10">
      <c r="A4437" s="136" t="s">
        <v>104</v>
      </c>
      <c r="B4437" s="136" t="s">
        <v>12</v>
      </c>
      <c r="C4437" s="137">
        <v>0.76736111111111105</v>
      </c>
      <c r="D4437" s="138">
        <v>0</v>
      </c>
      <c r="E4437" s="138">
        <v>0</v>
      </c>
      <c r="F4437" s="138">
        <v>0</v>
      </c>
      <c r="G4437" s="138">
        <v>0</v>
      </c>
      <c r="H4437" s="138">
        <v>0</v>
      </c>
      <c r="I4437" s="138">
        <v>0</v>
      </c>
      <c r="J4437" s="138">
        <v>0</v>
      </c>
    </row>
    <row r="4438" spans="1:10">
      <c r="A4438" s="136" t="s">
        <v>104</v>
      </c>
      <c r="B4438" s="136" t="s">
        <v>12</v>
      </c>
      <c r="C4438" s="137">
        <v>0.76805555555555505</v>
      </c>
      <c r="D4438" s="138">
        <v>0</v>
      </c>
      <c r="E4438" s="138">
        <v>0</v>
      </c>
      <c r="F4438" s="138">
        <v>0</v>
      </c>
      <c r="G4438" s="138">
        <v>0</v>
      </c>
      <c r="H4438" s="138">
        <v>0</v>
      </c>
      <c r="I4438" s="138">
        <v>0</v>
      </c>
      <c r="J4438" s="138">
        <v>0</v>
      </c>
    </row>
    <row r="4439" spans="1:10">
      <c r="A4439" s="136" t="s">
        <v>104</v>
      </c>
      <c r="B4439" s="136" t="s">
        <v>12</v>
      </c>
      <c r="C4439" s="137">
        <v>0.76875000000000004</v>
      </c>
      <c r="D4439" s="138">
        <v>0</v>
      </c>
      <c r="E4439" s="138">
        <v>0</v>
      </c>
      <c r="F4439" s="138">
        <v>0</v>
      </c>
      <c r="G4439" s="138">
        <v>0</v>
      </c>
      <c r="H4439" s="138">
        <v>0</v>
      </c>
      <c r="I4439" s="138">
        <v>0</v>
      </c>
      <c r="J4439" s="138">
        <v>0</v>
      </c>
    </row>
    <row r="4440" spans="1:10">
      <c r="A4440" s="136" t="s">
        <v>104</v>
      </c>
      <c r="B4440" s="136" t="s">
        <v>12</v>
      </c>
      <c r="C4440" s="137">
        <v>0.76944444444444404</v>
      </c>
      <c r="D4440" s="138">
        <v>0</v>
      </c>
      <c r="E4440" s="138">
        <v>0</v>
      </c>
      <c r="F4440" s="138">
        <v>0</v>
      </c>
      <c r="G4440" s="138">
        <v>0</v>
      </c>
      <c r="H4440" s="138">
        <v>0</v>
      </c>
      <c r="I4440" s="138">
        <v>0</v>
      </c>
      <c r="J4440" s="138">
        <v>0</v>
      </c>
    </row>
    <row r="4441" spans="1:10" ht="17.5" thickBot="1">
      <c r="A4441" s="143" t="s">
        <v>104</v>
      </c>
      <c r="B4441" s="143" t="s">
        <v>12</v>
      </c>
      <c r="C4441" s="144">
        <v>0.77013888888888904</v>
      </c>
      <c r="D4441" s="145">
        <v>0</v>
      </c>
      <c r="E4441" s="145">
        <v>0</v>
      </c>
      <c r="F4441" s="145">
        <v>0</v>
      </c>
      <c r="G4441" s="145">
        <v>0</v>
      </c>
      <c r="H4441" s="145">
        <v>0</v>
      </c>
      <c r="I4441" s="145">
        <v>0</v>
      </c>
      <c r="J4441" s="145">
        <v>0</v>
      </c>
    </row>
    <row r="4442" spans="1:10">
      <c r="A4442" s="136" t="s">
        <v>104</v>
      </c>
      <c r="B4442" s="136" t="s">
        <v>13</v>
      </c>
      <c r="C4442" s="137">
        <v>0.72916666666666663</v>
      </c>
      <c r="D4442" s="146">
        <v>0</v>
      </c>
      <c r="E4442" s="146">
        <v>0</v>
      </c>
      <c r="F4442" s="146">
        <v>0</v>
      </c>
      <c r="G4442" s="146">
        <v>0</v>
      </c>
      <c r="H4442" s="146">
        <v>0</v>
      </c>
      <c r="I4442" s="146">
        <v>0</v>
      </c>
      <c r="J4442" s="146">
        <v>0</v>
      </c>
    </row>
    <row r="4443" spans="1:10">
      <c r="A4443" s="136" t="s">
        <v>104</v>
      </c>
      <c r="B4443" s="136" t="s">
        <v>13</v>
      </c>
      <c r="C4443" s="137">
        <v>0.72986111111111107</v>
      </c>
      <c r="D4443" s="138">
        <v>0</v>
      </c>
      <c r="E4443" s="138">
        <v>0</v>
      </c>
      <c r="F4443" s="138">
        <v>0</v>
      </c>
      <c r="G4443" s="138">
        <v>0</v>
      </c>
      <c r="H4443" s="138">
        <v>0</v>
      </c>
      <c r="I4443" s="138">
        <v>0</v>
      </c>
      <c r="J4443" s="138">
        <v>0</v>
      </c>
    </row>
    <row r="4444" spans="1:10">
      <c r="A4444" s="136" t="s">
        <v>104</v>
      </c>
      <c r="B4444" s="136" t="s">
        <v>13</v>
      </c>
      <c r="C4444" s="137">
        <v>0.73055555555555596</v>
      </c>
      <c r="D4444" s="138">
        <v>0</v>
      </c>
      <c r="E4444" s="138">
        <v>0</v>
      </c>
      <c r="F4444" s="138">
        <v>0</v>
      </c>
      <c r="G4444" s="138">
        <v>0</v>
      </c>
      <c r="H4444" s="138">
        <v>0</v>
      </c>
      <c r="I4444" s="138">
        <v>0</v>
      </c>
      <c r="J4444" s="138">
        <v>0</v>
      </c>
    </row>
    <row r="4445" spans="1:10">
      <c r="A4445" s="136" t="s">
        <v>104</v>
      </c>
      <c r="B4445" s="136" t="s">
        <v>13</v>
      </c>
      <c r="C4445" s="137">
        <v>0.73124999999999996</v>
      </c>
      <c r="D4445" s="138">
        <v>0</v>
      </c>
      <c r="E4445" s="138">
        <v>0</v>
      </c>
      <c r="F4445" s="138">
        <v>0</v>
      </c>
      <c r="G4445" s="138">
        <v>0</v>
      </c>
      <c r="H4445" s="138">
        <v>0</v>
      </c>
      <c r="I4445" s="138">
        <v>0</v>
      </c>
      <c r="J4445" s="138">
        <v>0</v>
      </c>
    </row>
    <row r="4446" spans="1:10">
      <c r="A4446" s="136" t="s">
        <v>104</v>
      </c>
      <c r="B4446" s="136" t="s">
        <v>13</v>
      </c>
      <c r="C4446" s="137">
        <v>0.73194444444444395</v>
      </c>
      <c r="D4446" s="138">
        <v>0</v>
      </c>
      <c r="E4446" s="138">
        <v>0</v>
      </c>
      <c r="F4446" s="138">
        <v>0</v>
      </c>
      <c r="G4446" s="138">
        <v>0</v>
      </c>
      <c r="H4446" s="138">
        <v>0</v>
      </c>
      <c r="I4446" s="138">
        <v>0</v>
      </c>
      <c r="J4446" s="138">
        <v>0</v>
      </c>
    </row>
    <row r="4447" spans="1:10">
      <c r="A4447" s="136" t="s">
        <v>104</v>
      </c>
      <c r="B4447" s="136" t="s">
        <v>13</v>
      </c>
      <c r="C4447" s="137">
        <v>0.73263888888888895</v>
      </c>
      <c r="D4447" s="138">
        <v>0</v>
      </c>
      <c r="E4447" s="138">
        <v>0</v>
      </c>
      <c r="F4447" s="138">
        <v>0</v>
      </c>
      <c r="G4447" s="138">
        <v>0</v>
      </c>
      <c r="H4447" s="138">
        <v>0</v>
      </c>
      <c r="I4447" s="138">
        <v>0</v>
      </c>
      <c r="J4447" s="138">
        <v>0</v>
      </c>
    </row>
    <row r="4448" spans="1:10">
      <c r="A4448" s="136" t="s">
        <v>104</v>
      </c>
      <c r="B4448" s="136" t="s">
        <v>13</v>
      </c>
      <c r="C4448" s="137">
        <v>0.73333333333333295</v>
      </c>
      <c r="D4448" s="138">
        <v>0</v>
      </c>
      <c r="E4448" s="138">
        <v>0</v>
      </c>
      <c r="F4448" s="138">
        <v>0</v>
      </c>
      <c r="G4448" s="138">
        <v>0</v>
      </c>
      <c r="H4448" s="138">
        <v>0</v>
      </c>
      <c r="I4448" s="138">
        <v>0</v>
      </c>
      <c r="J4448" s="138">
        <v>0</v>
      </c>
    </row>
    <row r="4449" spans="1:10">
      <c r="A4449" s="136" t="s">
        <v>104</v>
      </c>
      <c r="B4449" s="136" t="s">
        <v>13</v>
      </c>
      <c r="C4449" s="137">
        <v>0.73402777777777795</v>
      </c>
      <c r="D4449" s="138">
        <v>0</v>
      </c>
      <c r="E4449" s="138">
        <v>0</v>
      </c>
      <c r="F4449" s="138">
        <v>0</v>
      </c>
      <c r="G4449" s="138">
        <v>0</v>
      </c>
      <c r="H4449" s="138">
        <v>0</v>
      </c>
      <c r="I4449" s="138">
        <v>0</v>
      </c>
      <c r="J4449" s="138">
        <v>0</v>
      </c>
    </row>
    <row r="4450" spans="1:10">
      <c r="A4450" s="136" t="s">
        <v>104</v>
      </c>
      <c r="B4450" s="136" t="s">
        <v>13</v>
      </c>
      <c r="C4450" s="137">
        <v>0.73472222222222205</v>
      </c>
      <c r="D4450" s="138">
        <v>0</v>
      </c>
      <c r="E4450" s="138">
        <v>0</v>
      </c>
      <c r="F4450" s="138">
        <v>0</v>
      </c>
      <c r="G4450" s="138">
        <v>0</v>
      </c>
      <c r="H4450" s="138">
        <v>0</v>
      </c>
      <c r="I4450" s="138">
        <v>0</v>
      </c>
      <c r="J4450" s="138">
        <v>0</v>
      </c>
    </row>
    <row r="4451" spans="1:10">
      <c r="A4451" s="136" t="s">
        <v>104</v>
      </c>
      <c r="B4451" s="136" t="s">
        <v>13</v>
      </c>
      <c r="C4451" s="137">
        <v>0.73541666666666705</v>
      </c>
      <c r="D4451" s="138">
        <v>0</v>
      </c>
      <c r="E4451" s="138">
        <v>0</v>
      </c>
      <c r="F4451" s="138">
        <v>0</v>
      </c>
      <c r="G4451" s="138">
        <v>0</v>
      </c>
      <c r="H4451" s="138">
        <v>0</v>
      </c>
      <c r="I4451" s="138">
        <v>0</v>
      </c>
      <c r="J4451" s="138">
        <v>0</v>
      </c>
    </row>
    <row r="4452" spans="1:10">
      <c r="A4452" s="136" t="s">
        <v>104</v>
      </c>
      <c r="B4452" s="136" t="s">
        <v>13</v>
      </c>
      <c r="C4452" s="137">
        <v>0.73611111111111105</v>
      </c>
      <c r="D4452" s="138">
        <v>0</v>
      </c>
      <c r="E4452" s="138">
        <v>0</v>
      </c>
      <c r="F4452" s="138">
        <v>0</v>
      </c>
      <c r="G4452" s="138">
        <v>0</v>
      </c>
      <c r="H4452" s="138">
        <v>0</v>
      </c>
      <c r="I4452" s="138">
        <v>0</v>
      </c>
      <c r="J4452" s="138">
        <v>0</v>
      </c>
    </row>
    <row r="4453" spans="1:10">
      <c r="A4453" s="136" t="s">
        <v>104</v>
      </c>
      <c r="B4453" s="136" t="s">
        <v>13</v>
      </c>
      <c r="C4453" s="137">
        <v>0.73680555555555505</v>
      </c>
      <c r="D4453" s="138">
        <v>0</v>
      </c>
      <c r="E4453" s="138">
        <v>0</v>
      </c>
      <c r="F4453" s="138">
        <v>0</v>
      </c>
      <c r="G4453" s="138">
        <v>0</v>
      </c>
      <c r="H4453" s="138">
        <v>0</v>
      </c>
      <c r="I4453" s="138">
        <v>0</v>
      </c>
      <c r="J4453" s="138">
        <v>0</v>
      </c>
    </row>
    <row r="4454" spans="1:10">
      <c r="A4454" s="136" t="s">
        <v>104</v>
      </c>
      <c r="B4454" s="136" t="s">
        <v>13</v>
      </c>
      <c r="C4454" s="137">
        <v>0.73750000000000004</v>
      </c>
      <c r="D4454" s="138">
        <v>0</v>
      </c>
      <c r="E4454" s="138">
        <v>0</v>
      </c>
      <c r="F4454" s="138">
        <v>0</v>
      </c>
      <c r="G4454" s="138">
        <v>0</v>
      </c>
      <c r="H4454" s="138">
        <v>0</v>
      </c>
      <c r="I4454" s="138">
        <v>0</v>
      </c>
      <c r="J4454" s="138">
        <v>0</v>
      </c>
    </row>
    <row r="4455" spans="1:10">
      <c r="A4455" s="136" t="s">
        <v>104</v>
      </c>
      <c r="B4455" s="136" t="s">
        <v>13</v>
      </c>
      <c r="C4455" s="137">
        <v>0.73819444444444404</v>
      </c>
      <c r="D4455" s="138">
        <v>0</v>
      </c>
      <c r="E4455" s="138">
        <v>0</v>
      </c>
      <c r="F4455" s="138">
        <v>0</v>
      </c>
      <c r="G4455" s="138">
        <v>0</v>
      </c>
      <c r="H4455" s="138">
        <v>0</v>
      </c>
      <c r="I4455" s="138">
        <v>0</v>
      </c>
      <c r="J4455" s="138">
        <v>0</v>
      </c>
    </row>
    <row r="4456" spans="1:10">
      <c r="A4456" s="139" t="s">
        <v>104</v>
      </c>
      <c r="B4456" s="139" t="s">
        <v>13</v>
      </c>
      <c r="C4456" s="140">
        <v>0.73888888888888904</v>
      </c>
      <c r="D4456" s="138">
        <v>0</v>
      </c>
      <c r="E4456" s="138">
        <v>0</v>
      </c>
      <c r="F4456" s="138">
        <v>0</v>
      </c>
      <c r="G4456" s="138">
        <v>0</v>
      </c>
      <c r="H4456" s="138">
        <v>0</v>
      </c>
      <c r="I4456" s="138">
        <v>0</v>
      </c>
      <c r="J4456" s="138">
        <v>0</v>
      </c>
    </row>
    <row r="4457" spans="1:10">
      <c r="A4457" s="136" t="s">
        <v>104</v>
      </c>
      <c r="B4457" s="136" t="s">
        <v>13</v>
      </c>
      <c r="C4457" s="137">
        <v>0.73958333333333304</v>
      </c>
      <c r="D4457" s="142">
        <v>0</v>
      </c>
      <c r="E4457" s="142">
        <v>0</v>
      </c>
      <c r="F4457" s="142">
        <v>0</v>
      </c>
      <c r="G4457" s="142">
        <v>0</v>
      </c>
      <c r="H4457" s="142">
        <v>0</v>
      </c>
      <c r="I4457" s="142">
        <v>0</v>
      </c>
      <c r="J4457" s="142">
        <v>0</v>
      </c>
    </row>
    <row r="4458" spans="1:10">
      <c r="A4458" s="136" t="s">
        <v>104</v>
      </c>
      <c r="B4458" s="136" t="s">
        <v>13</v>
      </c>
      <c r="C4458" s="137">
        <v>0.74027777777777803</v>
      </c>
      <c r="D4458" s="138">
        <v>0</v>
      </c>
      <c r="E4458" s="138">
        <v>0</v>
      </c>
      <c r="F4458" s="138">
        <v>0</v>
      </c>
      <c r="G4458" s="138">
        <v>0</v>
      </c>
      <c r="H4458" s="138">
        <v>0</v>
      </c>
      <c r="I4458" s="138">
        <v>0</v>
      </c>
      <c r="J4458" s="138">
        <v>0</v>
      </c>
    </row>
    <row r="4459" spans="1:10">
      <c r="A4459" s="136" t="s">
        <v>104</v>
      </c>
      <c r="B4459" s="136" t="s">
        <v>13</v>
      </c>
      <c r="C4459" s="137">
        <v>0.74097222222222203</v>
      </c>
      <c r="D4459" s="138">
        <v>0</v>
      </c>
      <c r="E4459" s="138">
        <v>0</v>
      </c>
      <c r="F4459" s="138">
        <v>0</v>
      </c>
      <c r="G4459" s="138">
        <v>0</v>
      </c>
      <c r="H4459" s="138">
        <v>0</v>
      </c>
      <c r="I4459" s="138">
        <v>0</v>
      </c>
      <c r="J4459" s="138">
        <v>0</v>
      </c>
    </row>
    <row r="4460" spans="1:10">
      <c r="A4460" s="136" t="s">
        <v>104</v>
      </c>
      <c r="B4460" s="136" t="s">
        <v>13</v>
      </c>
      <c r="C4460" s="137">
        <v>0.74166666666666703</v>
      </c>
      <c r="D4460" s="138">
        <v>0</v>
      </c>
      <c r="E4460" s="138">
        <v>0</v>
      </c>
      <c r="F4460" s="138">
        <v>0</v>
      </c>
      <c r="G4460" s="138">
        <v>0</v>
      </c>
      <c r="H4460" s="138">
        <v>0</v>
      </c>
      <c r="I4460" s="138">
        <v>0</v>
      </c>
      <c r="J4460" s="138">
        <v>0</v>
      </c>
    </row>
    <row r="4461" spans="1:10">
      <c r="A4461" s="136" t="s">
        <v>104</v>
      </c>
      <c r="B4461" s="136" t="s">
        <v>13</v>
      </c>
      <c r="C4461" s="137">
        <v>0.74236111111111103</v>
      </c>
      <c r="D4461" s="138">
        <v>0</v>
      </c>
      <c r="E4461" s="138">
        <v>0</v>
      </c>
      <c r="F4461" s="138">
        <v>0</v>
      </c>
      <c r="G4461" s="138">
        <v>0</v>
      </c>
      <c r="H4461" s="138">
        <v>0</v>
      </c>
      <c r="I4461" s="138">
        <v>0</v>
      </c>
      <c r="J4461" s="138">
        <v>0</v>
      </c>
    </row>
    <row r="4462" spans="1:10">
      <c r="A4462" s="136" t="s">
        <v>104</v>
      </c>
      <c r="B4462" s="136" t="s">
        <v>13</v>
      </c>
      <c r="C4462" s="137">
        <v>0.74305555555555503</v>
      </c>
      <c r="D4462" s="138">
        <v>0</v>
      </c>
      <c r="E4462" s="138">
        <v>0</v>
      </c>
      <c r="F4462" s="138">
        <v>0</v>
      </c>
      <c r="G4462" s="138">
        <v>0</v>
      </c>
      <c r="H4462" s="138">
        <v>0</v>
      </c>
      <c r="I4462" s="138">
        <v>0</v>
      </c>
      <c r="J4462" s="138">
        <v>0</v>
      </c>
    </row>
    <row r="4463" spans="1:10">
      <c r="A4463" s="136" t="s">
        <v>104</v>
      </c>
      <c r="B4463" s="136" t="s">
        <v>13</v>
      </c>
      <c r="C4463" s="137">
        <v>0.74375000000000002</v>
      </c>
      <c r="D4463" s="138">
        <v>0</v>
      </c>
      <c r="E4463" s="138">
        <v>0</v>
      </c>
      <c r="F4463" s="138">
        <v>0</v>
      </c>
      <c r="G4463" s="138">
        <v>0</v>
      </c>
      <c r="H4463" s="138">
        <v>0</v>
      </c>
      <c r="I4463" s="138">
        <v>0</v>
      </c>
      <c r="J4463" s="138">
        <v>0</v>
      </c>
    </row>
    <row r="4464" spans="1:10">
      <c r="A4464" s="136" t="s">
        <v>104</v>
      </c>
      <c r="B4464" s="136" t="s">
        <v>13</v>
      </c>
      <c r="C4464" s="137">
        <v>0.74444444444444402</v>
      </c>
      <c r="D4464" s="138">
        <v>0</v>
      </c>
      <c r="E4464" s="138">
        <v>0</v>
      </c>
      <c r="F4464" s="138">
        <v>0</v>
      </c>
      <c r="G4464" s="138">
        <v>0</v>
      </c>
      <c r="H4464" s="138">
        <v>0</v>
      </c>
      <c r="I4464" s="138">
        <v>0</v>
      </c>
      <c r="J4464" s="138">
        <v>0</v>
      </c>
    </row>
    <row r="4465" spans="1:10">
      <c r="A4465" s="136" t="s">
        <v>104</v>
      </c>
      <c r="B4465" s="136" t="s">
        <v>13</v>
      </c>
      <c r="C4465" s="137">
        <v>0.74513888888888902</v>
      </c>
      <c r="D4465" s="138">
        <v>0</v>
      </c>
      <c r="E4465" s="138">
        <v>0</v>
      </c>
      <c r="F4465" s="138">
        <v>0</v>
      </c>
      <c r="G4465" s="138">
        <v>0</v>
      </c>
      <c r="H4465" s="138">
        <v>0</v>
      </c>
      <c r="I4465" s="138">
        <v>0</v>
      </c>
      <c r="J4465" s="138">
        <v>0</v>
      </c>
    </row>
    <row r="4466" spans="1:10">
      <c r="A4466" s="136" t="s">
        <v>104</v>
      </c>
      <c r="B4466" s="136" t="s">
        <v>13</v>
      </c>
      <c r="C4466" s="137">
        <v>0.74583333333333302</v>
      </c>
      <c r="D4466" s="138">
        <v>0</v>
      </c>
      <c r="E4466" s="138">
        <v>0</v>
      </c>
      <c r="F4466" s="138">
        <v>0</v>
      </c>
      <c r="G4466" s="138">
        <v>0</v>
      </c>
      <c r="H4466" s="138">
        <v>0</v>
      </c>
      <c r="I4466" s="138">
        <v>0</v>
      </c>
      <c r="J4466" s="138">
        <v>0</v>
      </c>
    </row>
    <row r="4467" spans="1:10">
      <c r="A4467" s="136" t="s">
        <v>104</v>
      </c>
      <c r="B4467" s="136" t="s">
        <v>13</v>
      </c>
      <c r="C4467" s="137">
        <v>0.74652777777777801</v>
      </c>
      <c r="D4467" s="138">
        <v>0</v>
      </c>
      <c r="E4467" s="138">
        <v>0</v>
      </c>
      <c r="F4467" s="138">
        <v>0</v>
      </c>
      <c r="G4467" s="138">
        <v>0</v>
      </c>
      <c r="H4467" s="138">
        <v>0</v>
      </c>
      <c r="I4467" s="138">
        <v>0</v>
      </c>
      <c r="J4467" s="138">
        <v>0</v>
      </c>
    </row>
    <row r="4468" spans="1:10">
      <c r="A4468" s="136" t="s">
        <v>104</v>
      </c>
      <c r="B4468" s="136" t="s">
        <v>13</v>
      </c>
      <c r="C4468" s="137">
        <v>0.74722222222222201</v>
      </c>
      <c r="D4468" s="138">
        <v>0</v>
      </c>
      <c r="E4468" s="138">
        <v>0</v>
      </c>
      <c r="F4468" s="138">
        <v>0</v>
      </c>
      <c r="G4468" s="138">
        <v>0</v>
      </c>
      <c r="H4468" s="138">
        <v>0</v>
      </c>
      <c r="I4468" s="138">
        <v>0</v>
      </c>
      <c r="J4468" s="138">
        <v>0</v>
      </c>
    </row>
    <row r="4469" spans="1:10">
      <c r="A4469" s="136" t="s">
        <v>104</v>
      </c>
      <c r="B4469" s="136" t="s">
        <v>13</v>
      </c>
      <c r="C4469" s="137">
        <v>0.74791666666666701</v>
      </c>
      <c r="D4469" s="138">
        <v>0</v>
      </c>
      <c r="E4469" s="138">
        <v>0</v>
      </c>
      <c r="F4469" s="138">
        <v>0</v>
      </c>
      <c r="G4469" s="138">
        <v>0</v>
      </c>
      <c r="H4469" s="138">
        <v>0</v>
      </c>
      <c r="I4469" s="138">
        <v>0</v>
      </c>
      <c r="J4469" s="138">
        <v>0</v>
      </c>
    </row>
    <row r="4470" spans="1:10">
      <c r="A4470" s="136" t="s">
        <v>104</v>
      </c>
      <c r="B4470" s="136" t="s">
        <v>13</v>
      </c>
      <c r="C4470" s="137">
        <v>0.74861111111111101</v>
      </c>
      <c r="D4470" s="138">
        <v>0</v>
      </c>
      <c r="E4470" s="138">
        <v>0</v>
      </c>
      <c r="F4470" s="138">
        <v>0</v>
      </c>
      <c r="G4470" s="138">
        <v>0</v>
      </c>
      <c r="H4470" s="138">
        <v>0</v>
      </c>
      <c r="I4470" s="138">
        <v>0</v>
      </c>
      <c r="J4470" s="138">
        <v>0</v>
      </c>
    </row>
    <row r="4471" spans="1:10">
      <c r="A4471" s="139" t="s">
        <v>104</v>
      </c>
      <c r="B4471" s="139" t="s">
        <v>13</v>
      </c>
      <c r="C4471" s="140">
        <v>0.749305555555555</v>
      </c>
      <c r="D4471" s="141">
        <v>0</v>
      </c>
      <c r="E4471" s="141">
        <v>0</v>
      </c>
      <c r="F4471" s="141">
        <v>0</v>
      </c>
      <c r="G4471" s="141">
        <v>0</v>
      </c>
      <c r="H4471" s="141">
        <v>0</v>
      </c>
      <c r="I4471" s="141">
        <v>0</v>
      </c>
      <c r="J4471" s="141">
        <v>0</v>
      </c>
    </row>
    <row r="4472" spans="1:10">
      <c r="A4472" s="147" t="s">
        <v>104</v>
      </c>
      <c r="B4472" s="147" t="s">
        <v>13</v>
      </c>
      <c r="C4472" s="148">
        <v>0.75</v>
      </c>
      <c r="D4472" s="142">
        <v>0</v>
      </c>
      <c r="E4472" s="142">
        <v>0</v>
      </c>
      <c r="F4472" s="142">
        <v>0</v>
      </c>
      <c r="G4472" s="142">
        <v>0</v>
      </c>
      <c r="H4472" s="142">
        <v>0</v>
      </c>
      <c r="I4472" s="142">
        <v>0</v>
      </c>
      <c r="J4472" s="142">
        <v>0</v>
      </c>
    </row>
    <row r="4473" spans="1:10">
      <c r="A4473" s="136" t="s">
        <v>104</v>
      </c>
      <c r="B4473" s="136" t="s">
        <v>13</v>
      </c>
      <c r="C4473" s="137">
        <v>0.750694444444444</v>
      </c>
      <c r="D4473" s="138">
        <v>0</v>
      </c>
      <c r="E4473" s="138">
        <v>0</v>
      </c>
      <c r="F4473" s="138">
        <v>0</v>
      </c>
      <c r="G4473" s="138">
        <v>0</v>
      </c>
      <c r="H4473" s="138">
        <v>0</v>
      </c>
      <c r="I4473" s="138">
        <v>0</v>
      </c>
      <c r="J4473" s="138">
        <v>0</v>
      </c>
    </row>
    <row r="4474" spans="1:10">
      <c r="A4474" s="136" t="s">
        <v>104</v>
      </c>
      <c r="B4474" s="136" t="s">
        <v>13</v>
      </c>
      <c r="C4474" s="137">
        <v>0.75138888888888899</v>
      </c>
      <c r="D4474" s="138">
        <v>0</v>
      </c>
      <c r="E4474" s="138">
        <v>0</v>
      </c>
      <c r="F4474" s="138">
        <v>0</v>
      </c>
      <c r="G4474" s="138">
        <v>0</v>
      </c>
      <c r="H4474" s="138">
        <v>0</v>
      </c>
      <c r="I4474" s="138">
        <v>0</v>
      </c>
      <c r="J4474" s="138">
        <v>0</v>
      </c>
    </row>
    <row r="4475" spans="1:10">
      <c r="A4475" s="136" t="s">
        <v>104</v>
      </c>
      <c r="B4475" s="136" t="s">
        <v>13</v>
      </c>
      <c r="C4475" s="137">
        <v>0.75208333333333299</v>
      </c>
      <c r="D4475" s="138">
        <v>0</v>
      </c>
      <c r="E4475" s="138">
        <v>0</v>
      </c>
      <c r="F4475" s="138">
        <v>0</v>
      </c>
      <c r="G4475" s="138">
        <v>0</v>
      </c>
      <c r="H4475" s="138">
        <v>0</v>
      </c>
      <c r="I4475" s="138">
        <v>0</v>
      </c>
      <c r="J4475" s="138">
        <v>0</v>
      </c>
    </row>
    <row r="4476" spans="1:10">
      <c r="A4476" s="136" t="s">
        <v>104</v>
      </c>
      <c r="B4476" s="136" t="s">
        <v>13</v>
      </c>
      <c r="C4476" s="137">
        <v>0.75277777777777799</v>
      </c>
      <c r="D4476" s="138">
        <v>0</v>
      </c>
      <c r="E4476" s="138">
        <v>0</v>
      </c>
      <c r="F4476" s="138">
        <v>0</v>
      </c>
      <c r="G4476" s="138">
        <v>0</v>
      </c>
      <c r="H4476" s="138">
        <v>0</v>
      </c>
      <c r="I4476" s="138">
        <v>0</v>
      </c>
      <c r="J4476" s="138">
        <v>0</v>
      </c>
    </row>
    <row r="4477" spans="1:10">
      <c r="A4477" s="136" t="s">
        <v>104</v>
      </c>
      <c r="B4477" s="136" t="s">
        <v>13</v>
      </c>
      <c r="C4477" s="137">
        <v>0.75347222222222199</v>
      </c>
      <c r="D4477" s="138">
        <v>0</v>
      </c>
      <c r="E4477" s="138">
        <v>0</v>
      </c>
      <c r="F4477" s="138">
        <v>0</v>
      </c>
      <c r="G4477" s="138">
        <v>0</v>
      </c>
      <c r="H4477" s="138">
        <v>0</v>
      </c>
      <c r="I4477" s="138">
        <v>0</v>
      </c>
      <c r="J4477" s="138">
        <v>0</v>
      </c>
    </row>
    <row r="4478" spans="1:10">
      <c r="A4478" s="136" t="s">
        <v>104</v>
      </c>
      <c r="B4478" s="136" t="s">
        <v>13</v>
      </c>
      <c r="C4478" s="137">
        <v>0.75416666666666698</v>
      </c>
      <c r="D4478" s="138">
        <v>0</v>
      </c>
      <c r="E4478" s="138">
        <v>0</v>
      </c>
      <c r="F4478" s="138">
        <v>0</v>
      </c>
      <c r="G4478" s="138">
        <v>0</v>
      </c>
      <c r="H4478" s="138">
        <v>0</v>
      </c>
      <c r="I4478" s="138">
        <v>0</v>
      </c>
      <c r="J4478" s="138">
        <v>0</v>
      </c>
    </row>
    <row r="4479" spans="1:10">
      <c r="A4479" s="136" t="s">
        <v>104</v>
      </c>
      <c r="B4479" s="136" t="s">
        <v>13</v>
      </c>
      <c r="C4479" s="137">
        <v>0.75486111111111098</v>
      </c>
      <c r="D4479" s="138">
        <v>0</v>
      </c>
      <c r="E4479" s="138">
        <v>0</v>
      </c>
      <c r="F4479" s="138">
        <v>0</v>
      </c>
      <c r="G4479" s="138">
        <v>0</v>
      </c>
      <c r="H4479" s="138">
        <v>0</v>
      </c>
      <c r="I4479" s="138">
        <v>0</v>
      </c>
      <c r="J4479" s="138">
        <v>0</v>
      </c>
    </row>
    <row r="4480" spans="1:10">
      <c r="A4480" s="136" t="s">
        <v>104</v>
      </c>
      <c r="B4480" s="136" t="s">
        <v>13</v>
      </c>
      <c r="C4480" s="137">
        <v>0.75555555555555498</v>
      </c>
      <c r="D4480" s="138">
        <v>0</v>
      </c>
      <c r="E4480" s="138">
        <v>0</v>
      </c>
      <c r="F4480" s="138">
        <v>0</v>
      </c>
      <c r="G4480" s="138">
        <v>0</v>
      </c>
      <c r="H4480" s="138">
        <v>0</v>
      </c>
      <c r="I4480" s="138">
        <v>0</v>
      </c>
      <c r="J4480" s="138">
        <v>0</v>
      </c>
    </row>
    <row r="4481" spans="1:10">
      <c r="A4481" s="136" t="s">
        <v>104</v>
      </c>
      <c r="B4481" s="136" t="s">
        <v>13</v>
      </c>
      <c r="C4481" s="137">
        <v>0.75624999999999998</v>
      </c>
      <c r="D4481" s="138">
        <v>0</v>
      </c>
      <c r="E4481" s="138">
        <v>0</v>
      </c>
      <c r="F4481" s="138">
        <v>0</v>
      </c>
      <c r="G4481" s="138">
        <v>0</v>
      </c>
      <c r="H4481" s="138">
        <v>0</v>
      </c>
      <c r="I4481" s="138">
        <v>0</v>
      </c>
      <c r="J4481" s="138">
        <v>0</v>
      </c>
    </row>
    <row r="4482" spans="1:10">
      <c r="A4482" s="136" t="s">
        <v>104</v>
      </c>
      <c r="B4482" s="136" t="s">
        <v>13</v>
      </c>
      <c r="C4482" s="137">
        <v>0.75694444444444398</v>
      </c>
      <c r="D4482" s="138">
        <v>0</v>
      </c>
      <c r="E4482" s="138">
        <v>0</v>
      </c>
      <c r="F4482" s="138">
        <v>0</v>
      </c>
      <c r="G4482" s="138">
        <v>0</v>
      </c>
      <c r="H4482" s="138">
        <v>0</v>
      </c>
      <c r="I4482" s="138">
        <v>0</v>
      </c>
      <c r="J4482" s="138">
        <v>0</v>
      </c>
    </row>
    <row r="4483" spans="1:10">
      <c r="A4483" s="136" t="s">
        <v>104</v>
      </c>
      <c r="B4483" s="136" t="s">
        <v>13</v>
      </c>
      <c r="C4483" s="137">
        <v>0.75763888888888897</v>
      </c>
      <c r="D4483" s="138">
        <v>0</v>
      </c>
      <c r="E4483" s="138">
        <v>0</v>
      </c>
      <c r="F4483" s="138">
        <v>0</v>
      </c>
      <c r="G4483" s="138">
        <v>0</v>
      </c>
      <c r="H4483" s="138">
        <v>0</v>
      </c>
      <c r="I4483" s="138">
        <v>0</v>
      </c>
      <c r="J4483" s="138">
        <v>0</v>
      </c>
    </row>
    <row r="4484" spans="1:10">
      <c r="A4484" s="136" t="s">
        <v>104</v>
      </c>
      <c r="B4484" s="136" t="s">
        <v>13</v>
      </c>
      <c r="C4484" s="137">
        <v>0.75833333333333297</v>
      </c>
      <c r="D4484" s="138">
        <v>0</v>
      </c>
      <c r="E4484" s="138">
        <v>0</v>
      </c>
      <c r="F4484" s="138">
        <v>0</v>
      </c>
      <c r="G4484" s="138">
        <v>0</v>
      </c>
      <c r="H4484" s="138">
        <v>0</v>
      </c>
      <c r="I4484" s="138">
        <v>0</v>
      </c>
      <c r="J4484" s="138">
        <v>0</v>
      </c>
    </row>
    <row r="4485" spans="1:10">
      <c r="A4485" s="136" t="s">
        <v>104</v>
      </c>
      <c r="B4485" s="136" t="s">
        <v>13</v>
      </c>
      <c r="C4485" s="137">
        <v>0.75902777777777797</v>
      </c>
      <c r="D4485" s="138">
        <v>0</v>
      </c>
      <c r="E4485" s="138">
        <v>0</v>
      </c>
      <c r="F4485" s="138">
        <v>0</v>
      </c>
      <c r="G4485" s="138">
        <v>0</v>
      </c>
      <c r="H4485" s="138">
        <v>0</v>
      </c>
      <c r="I4485" s="138">
        <v>0</v>
      </c>
      <c r="J4485" s="138">
        <v>0</v>
      </c>
    </row>
    <row r="4486" spans="1:10">
      <c r="A4486" s="139" t="s">
        <v>104</v>
      </c>
      <c r="B4486" s="139" t="s">
        <v>13</v>
      </c>
      <c r="C4486" s="140">
        <v>0.75972222222222197</v>
      </c>
      <c r="D4486" s="141">
        <v>0</v>
      </c>
      <c r="E4486" s="141">
        <v>0</v>
      </c>
      <c r="F4486" s="141">
        <v>0</v>
      </c>
      <c r="G4486" s="141">
        <v>0</v>
      </c>
      <c r="H4486" s="141">
        <v>0</v>
      </c>
      <c r="I4486" s="141">
        <v>0</v>
      </c>
      <c r="J4486" s="141">
        <v>0</v>
      </c>
    </row>
    <row r="4487" spans="1:10">
      <c r="A4487" s="147" t="s">
        <v>104</v>
      </c>
      <c r="B4487" s="147" t="s">
        <v>13</v>
      </c>
      <c r="C4487" s="148">
        <v>0.76041666666666696</v>
      </c>
      <c r="D4487" s="142">
        <v>0</v>
      </c>
      <c r="E4487" s="142">
        <v>0</v>
      </c>
      <c r="F4487" s="142">
        <v>0</v>
      </c>
      <c r="G4487" s="142">
        <v>0</v>
      </c>
      <c r="H4487" s="142">
        <v>0</v>
      </c>
      <c r="I4487" s="142">
        <v>0</v>
      </c>
      <c r="J4487" s="142">
        <v>0</v>
      </c>
    </row>
    <row r="4488" spans="1:10">
      <c r="A4488" s="136" t="s">
        <v>104</v>
      </c>
      <c r="B4488" s="136" t="s">
        <v>13</v>
      </c>
      <c r="C4488" s="137">
        <v>0.76111111111111096</v>
      </c>
      <c r="D4488" s="138">
        <v>0</v>
      </c>
      <c r="E4488" s="138">
        <v>0</v>
      </c>
      <c r="F4488" s="138">
        <v>0</v>
      </c>
      <c r="G4488" s="138">
        <v>0</v>
      </c>
      <c r="H4488" s="138">
        <v>0</v>
      </c>
      <c r="I4488" s="138">
        <v>0</v>
      </c>
      <c r="J4488" s="138">
        <v>0</v>
      </c>
    </row>
    <row r="4489" spans="1:10">
      <c r="A4489" s="136" t="s">
        <v>104</v>
      </c>
      <c r="B4489" s="136" t="s">
        <v>13</v>
      </c>
      <c r="C4489" s="137">
        <v>0.76180555555555496</v>
      </c>
      <c r="D4489" s="138">
        <v>0</v>
      </c>
      <c r="E4489" s="138">
        <v>0</v>
      </c>
      <c r="F4489" s="138">
        <v>0</v>
      </c>
      <c r="G4489" s="138">
        <v>0</v>
      </c>
      <c r="H4489" s="138">
        <v>0</v>
      </c>
      <c r="I4489" s="138">
        <v>0</v>
      </c>
      <c r="J4489" s="138">
        <v>0</v>
      </c>
    </row>
    <row r="4490" spans="1:10">
      <c r="A4490" s="136" t="s">
        <v>104</v>
      </c>
      <c r="B4490" s="136" t="s">
        <v>13</v>
      </c>
      <c r="C4490" s="137">
        <v>0.76249999999999996</v>
      </c>
      <c r="D4490" s="138">
        <v>0</v>
      </c>
      <c r="E4490" s="138">
        <v>0</v>
      </c>
      <c r="F4490" s="138">
        <v>0</v>
      </c>
      <c r="G4490" s="138">
        <v>0</v>
      </c>
      <c r="H4490" s="138">
        <v>0</v>
      </c>
      <c r="I4490" s="138">
        <v>0</v>
      </c>
      <c r="J4490" s="138">
        <v>0</v>
      </c>
    </row>
    <row r="4491" spans="1:10">
      <c r="A4491" s="136" t="s">
        <v>104</v>
      </c>
      <c r="B4491" s="136" t="s">
        <v>13</v>
      </c>
      <c r="C4491" s="137">
        <v>0.76319444444444395</v>
      </c>
      <c r="D4491" s="138">
        <v>0</v>
      </c>
      <c r="E4491" s="138">
        <v>0</v>
      </c>
      <c r="F4491" s="138">
        <v>0</v>
      </c>
      <c r="G4491" s="138">
        <v>0</v>
      </c>
      <c r="H4491" s="138">
        <v>0</v>
      </c>
      <c r="I4491" s="138">
        <v>0</v>
      </c>
      <c r="J4491" s="138">
        <v>0</v>
      </c>
    </row>
    <row r="4492" spans="1:10">
      <c r="A4492" s="136" t="s">
        <v>104</v>
      </c>
      <c r="B4492" s="136" t="s">
        <v>13</v>
      </c>
      <c r="C4492" s="137">
        <v>0.76388888888888895</v>
      </c>
      <c r="D4492" s="138">
        <v>0</v>
      </c>
      <c r="E4492" s="138">
        <v>0</v>
      </c>
      <c r="F4492" s="138">
        <v>0</v>
      </c>
      <c r="G4492" s="138">
        <v>0</v>
      </c>
      <c r="H4492" s="138">
        <v>0</v>
      </c>
      <c r="I4492" s="138">
        <v>0</v>
      </c>
      <c r="J4492" s="138">
        <v>0</v>
      </c>
    </row>
    <row r="4493" spans="1:10">
      <c r="A4493" s="136" t="s">
        <v>104</v>
      </c>
      <c r="B4493" s="136" t="s">
        <v>13</v>
      </c>
      <c r="C4493" s="137">
        <v>0.76458333333333295</v>
      </c>
      <c r="D4493" s="138">
        <v>0</v>
      </c>
      <c r="E4493" s="138">
        <v>0</v>
      </c>
      <c r="F4493" s="138">
        <v>0</v>
      </c>
      <c r="G4493" s="138">
        <v>0</v>
      </c>
      <c r="H4493" s="138">
        <v>0</v>
      </c>
      <c r="I4493" s="138">
        <v>0</v>
      </c>
      <c r="J4493" s="138">
        <v>0</v>
      </c>
    </row>
    <row r="4494" spans="1:10">
      <c r="A4494" s="136" t="s">
        <v>104</v>
      </c>
      <c r="B4494" s="136" t="s">
        <v>13</v>
      </c>
      <c r="C4494" s="137">
        <v>0.76527777777777795</v>
      </c>
      <c r="D4494" s="138">
        <v>0</v>
      </c>
      <c r="E4494" s="138">
        <v>0</v>
      </c>
      <c r="F4494" s="138">
        <v>0</v>
      </c>
      <c r="G4494" s="138">
        <v>0</v>
      </c>
      <c r="H4494" s="138">
        <v>0</v>
      </c>
      <c r="I4494" s="138">
        <v>0</v>
      </c>
      <c r="J4494" s="138">
        <v>0</v>
      </c>
    </row>
    <row r="4495" spans="1:10">
      <c r="A4495" s="136" t="s">
        <v>104</v>
      </c>
      <c r="B4495" s="136" t="s">
        <v>13</v>
      </c>
      <c r="C4495" s="137">
        <v>0.76597222222222205</v>
      </c>
      <c r="D4495" s="138">
        <v>0</v>
      </c>
      <c r="E4495" s="138">
        <v>0</v>
      </c>
      <c r="F4495" s="138">
        <v>0</v>
      </c>
      <c r="G4495" s="138">
        <v>0</v>
      </c>
      <c r="H4495" s="138">
        <v>0</v>
      </c>
      <c r="I4495" s="138">
        <v>0</v>
      </c>
      <c r="J4495" s="138">
        <v>0</v>
      </c>
    </row>
    <row r="4496" spans="1:10">
      <c r="A4496" s="136" t="s">
        <v>104</v>
      </c>
      <c r="B4496" s="136" t="s">
        <v>13</v>
      </c>
      <c r="C4496" s="137">
        <v>0.76666666666666605</v>
      </c>
      <c r="D4496" s="138">
        <v>0</v>
      </c>
      <c r="E4496" s="138">
        <v>0</v>
      </c>
      <c r="F4496" s="138">
        <v>0</v>
      </c>
      <c r="G4496" s="138">
        <v>0</v>
      </c>
      <c r="H4496" s="138">
        <v>0</v>
      </c>
      <c r="I4496" s="138">
        <v>0</v>
      </c>
      <c r="J4496" s="138">
        <v>0</v>
      </c>
    </row>
    <row r="4497" spans="1:10">
      <c r="A4497" s="136" t="s">
        <v>104</v>
      </c>
      <c r="B4497" s="136" t="s">
        <v>13</v>
      </c>
      <c r="C4497" s="137">
        <v>0.76736111111111105</v>
      </c>
      <c r="D4497" s="138">
        <v>0</v>
      </c>
      <c r="E4497" s="138">
        <v>0</v>
      </c>
      <c r="F4497" s="138">
        <v>0</v>
      </c>
      <c r="G4497" s="138">
        <v>0</v>
      </c>
      <c r="H4497" s="138">
        <v>0</v>
      </c>
      <c r="I4497" s="138">
        <v>0</v>
      </c>
      <c r="J4497" s="138">
        <v>0</v>
      </c>
    </row>
    <row r="4498" spans="1:10">
      <c r="A4498" s="136" t="s">
        <v>104</v>
      </c>
      <c r="B4498" s="136" t="s">
        <v>13</v>
      </c>
      <c r="C4498" s="137">
        <v>0.76805555555555505</v>
      </c>
      <c r="D4498" s="138">
        <v>0</v>
      </c>
      <c r="E4498" s="138">
        <v>0</v>
      </c>
      <c r="F4498" s="138">
        <v>0</v>
      </c>
      <c r="G4498" s="138">
        <v>0</v>
      </c>
      <c r="H4498" s="138">
        <v>0</v>
      </c>
      <c r="I4498" s="138">
        <v>0</v>
      </c>
      <c r="J4498" s="138">
        <v>0</v>
      </c>
    </row>
    <row r="4499" spans="1:10">
      <c r="A4499" s="136" t="s">
        <v>104</v>
      </c>
      <c r="B4499" s="136" t="s">
        <v>13</v>
      </c>
      <c r="C4499" s="137">
        <v>0.76875000000000004</v>
      </c>
      <c r="D4499" s="138">
        <v>0</v>
      </c>
      <c r="E4499" s="138">
        <v>0</v>
      </c>
      <c r="F4499" s="138">
        <v>0</v>
      </c>
      <c r="G4499" s="138">
        <v>0</v>
      </c>
      <c r="H4499" s="138">
        <v>0</v>
      </c>
      <c r="I4499" s="138">
        <v>0</v>
      </c>
      <c r="J4499" s="138">
        <v>0</v>
      </c>
    </row>
    <row r="4500" spans="1:10">
      <c r="A4500" s="136" t="s">
        <v>104</v>
      </c>
      <c r="B4500" s="136" t="s">
        <v>13</v>
      </c>
      <c r="C4500" s="137">
        <v>0.76944444444444404</v>
      </c>
      <c r="D4500" s="138">
        <v>0</v>
      </c>
      <c r="E4500" s="138">
        <v>0</v>
      </c>
      <c r="F4500" s="138">
        <v>0</v>
      </c>
      <c r="G4500" s="138">
        <v>0</v>
      </c>
      <c r="H4500" s="138">
        <v>0</v>
      </c>
      <c r="I4500" s="138">
        <v>0</v>
      </c>
      <c r="J4500" s="138">
        <v>0</v>
      </c>
    </row>
    <row r="4501" spans="1:10" ht="17.5" thickBot="1">
      <c r="A4501" s="143" t="s">
        <v>104</v>
      </c>
      <c r="B4501" s="143" t="s">
        <v>13</v>
      </c>
      <c r="C4501" s="144">
        <v>0.77013888888888904</v>
      </c>
      <c r="D4501" s="145">
        <v>0</v>
      </c>
      <c r="E4501" s="145">
        <v>0</v>
      </c>
      <c r="F4501" s="145">
        <v>0</v>
      </c>
      <c r="G4501" s="145">
        <v>0</v>
      </c>
      <c r="H4501" s="145">
        <v>0</v>
      </c>
      <c r="I4501" s="145">
        <v>0</v>
      </c>
      <c r="J4501" s="145">
        <v>0</v>
      </c>
    </row>
    <row r="4502" spans="1:10">
      <c r="A4502" s="149" t="s">
        <v>104</v>
      </c>
      <c r="B4502" s="149" t="s">
        <v>14</v>
      </c>
      <c r="C4502" s="150">
        <v>0.72916666666666663</v>
      </c>
      <c r="D4502" s="146">
        <v>0</v>
      </c>
      <c r="E4502" s="146">
        <v>0</v>
      </c>
      <c r="F4502" s="146">
        <v>0</v>
      </c>
      <c r="G4502" s="146">
        <v>0</v>
      </c>
      <c r="H4502" s="146">
        <v>0</v>
      </c>
      <c r="I4502" s="146">
        <v>0</v>
      </c>
      <c r="J4502" s="146">
        <v>0</v>
      </c>
    </row>
    <row r="4503" spans="1:10">
      <c r="A4503" s="136" t="s">
        <v>104</v>
      </c>
      <c r="B4503" s="136" t="s">
        <v>14</v>
      </c>
      <c r="C4503" s="137">
        <v>0.72986111111111107</v>
      </c>
      <c r="D4503" s="138">
        <v>0</v>
      </c>
      <c r="E4503" s="138">
        <v>0</v>
      </c>
      <c r="F4503" s="138">
        <v>0</v>
      </c>
      <c r="G4503" s="138">
        <v>0</v>
      </c>
      <c r="H4503" s="138">
        <v>0</v>
      </c>
      <c r="I4503" s="138">
        <v>0</v>
      </c>
      <c r="J4503" s="138">
        <v>0</v>
      </c>
    </row>
    <row r="4504" spans="1:10">
      <c r="A4504" s="136" t="s">
        <v>104</v>
      </c>
      <c r="B4504" s="136" t="s">
        <v>14</v>
      </c>
      <c r="C4504" s="137">
        <v>0.73055555555555596</v>
      </c>
      <c r="D4504" s="138">
        <v>0</v>
      </c>
      <c r="E4504" s="138">
        <v>0</v>
      </c>
      <c r="F4504" s="138">
        <v>0</v>
      </c>
      <c r="G4504" s="138">
        <v>0</v>
      </c>
      <c r="H4504" s="138">
        <v>0</v>
      </c>
      <c r="I4504" s="138">
        <v>0</v>
      </c>
      <c r="J4504" s="138">
        <v>0</v>
      </c>
    </row>
    <row r="4505" spans="1:10">
      <c r="A4505" s="136" t="s">
        <v>104</v>
      </c>
      <c r="B4505" s="136" t="s">
        <v>14</v>
      </c>
      <c r="C4505" s="137">
        <v>0.73124999999999996</v>
      </c>
      <c r="D4505" s="138">
        <v>0</v>
      </c>
      <c r="E4505" s="138">
        <v>0</v>
      </c>
      <c r="F4505" s="138">
        <v>0</v>
      </c>
      <c r="G4505" s="138">
        <v>0</v>
      </c>
      <c r="H4505" s="138">
        <v>0</v>
      </c>
      <c r="I4505" s="138">
        <v>0</v>
      </c>
      <c r="J4505" s="138">
        <v>0</v>
      </c>
    </row>
    <row r="4506" spans="1:10">
      <c r="A4506" s="136" t="s">
        <v>104</v>
      </c>
      <c r="B4506" s="136" t="s">
        <v>14</v>
      </c>
      <c r="C4506" s="137">
        <v>0.73194444444444395</v>
      </c>
      <c r="D4506" s="138">
        <v>0</v>
      </c>
      <c r="E4506" s="138">
        <v>0</v>
      </c>
      <c r="F4506" s="138">
        <v>0</v>
      </c>
      <c r="G4506" s="138">
        <v>0</v>
      </c>
      <c r="H4506" s="138">
        <v>0</v>
      </c>
      <c r="I4506" s="138">
        <v>0</v>
      </c>
      <c r="J4506" s="138">
        <v>0</v>
      </c>
    </row>
    <row r="4507" spans="1:10">
      <c r="A4507" s="136" t="s">
        <v>104</v>
      </c>
      <c r="B4507" s="136" t="s">
        <v>14</v>
      </c>
      <c r="C4507" s="137">
        <v>0.73263888888888895</v>
      </c>
      <c r="D4507" s="138">
        <v>0</v>
      </c>
      <c r="E4507" s="138">
        <v>0</v>
      </c>
      <c r="F4507" s="138">
        <v>0</v>
      </c>
      <c r="G4507" s="138">
        <v>0</v>
      </c>
      <c r="H4507" s="138">
        <v>0</v>
      </c>
      <c r="I4507" s="138">
        <v>0</v>
      </c>
      <c r="J4507" s="138">
        <v>0</v>
      </c>
    </row>
    <row r="4508" spans="1:10">
      <c r="A4508" s="136" t="s">
        <v>104</v>
      </c>
      <c r="B4508" s="136" t="s">
        <v>14</v>
      </c>
      <c r="C4508" s="137">
        <v>0.73333333333333295</v>
      </c>
      <c r="D4508" s="138">
        <v>0</v>
      </c>
      <c r="E4508" s="138">
        <v>0</v>
      </c>
      <c r="F4508" s="138">
        <v>0</v>
      </c>
      <c r="G4508" s="138">
        <v>0</v>
      </c>
      <c r="H4508" s="138">
        <v>0</v>
      </c>
      <c r="I4508" s="138">
        <v>0</v>
      </c>
      <c r="J4508" s="138">
        <v>0</v>
      </c>
    </row>
    <row r="4509" spans="1:10">
      <c r="A4509" s="136" t="s">
        <v>104</v>
      </c>
      <c r="B4509" s="136" t="s">
        <v>14</v>
      </c>
      <c r="C4509" s="137">
        <v>0.73402777777777795</v>
      </c>
      <c r="D4509" s="138">
        <v>0</v>
      </c>
      <c r="E4509" s="138">
        <v>0</v>
      </c>
      <c r="F4509" s="138">
        <v>0</v>
      </c>
      <c r="G4509" s="138">
        <v>0</v>
      </c>
      <c r="H4509" s="138">
        <v>0</v>
      </c>
      <c r="I4509" s="138">
        <v>0</v>
      </c>
      <c r="J4509" s="138">
        <v>0</v>
      </c>
    </row>
    <row r="4510" spans="1:10">
      <c r="A4510" s="136" t="s">
        <v>104</v>
      </c>
      <c r="B4510" s="136" t="s">
        <v>14</v>
      </c>
      <c r="C4510" s="137">
        <v>0.73472222222222205</v>
      </c>
      <c r="D4510" s="138">
        <v>0</v>
      </c>
      <c r="E4510" s="138">
        <v>0</v>
      </c>
      <c r="F4510" s="138">
        <v>0</v>
      </c>
      <c r="G4510" s="138">
        <v>0</v>
      </c>
      <c r="H4510" s="138">
        <v>0</v>
      </c>
      <c r="I4510" s="138">
        <v>0</v>
      </c>
      <c r="J4510" s="138">
        <v>0</v>
      </c>
    </row>
    <row r="4511" spans="1:10">
      <c r="A4511" s="136" t="s">
        <v>104</v>
      </c>
      <c r="B4511" s="136" t="s">
        <v>14</v>
      </c>
      <c r="C4511" s="137">
        <v>0.73541666666666705</v>
      </c>
      <c r="D4511" s="138">
        <v>0</v>
      </c>
      <c r="E4511" s="138">
        <v>0</v>
      </c>
      <c r="F4511" s="138">
        <v>0</v>
      </c>
      <c r="G4511" s="138">
        <v>0</v>
      </c>
      <c r="H4511" s="138">
        <v>0</v>
      </c>
      <c r="I4511" s="138">
        <v>0</v>
      </c>
      <c r="J4511" s="138">
        <v>0</v>
      </c>
    </row>
    <row r="4512" spans="1:10">
      <c r="A4512" s="136" t="s">
        <v>104</v>
      </c>
      <c r="B4512" s="136" t="s">
        <v>14</v>
      </c>
      <c r="C4512" s="137">
        <v>0.73611111111111105</v>
      </c>
      <c r="D4512" s="138">
        <v>0</v>
      </c>
      <c r="E4512" s="138">
        <v>0</v>
      </c>
      <c r="F4512" s="138">
        <v>0</v>
      </c>
      <c r="G4512" s="138">
        <v>0</v>
      </c>
      <c r="H4512" s="138">
        <v>0</v>
      </c>
      <c r="I4512" s="138">
        <v>0</v>
      </c>
      <c r="J4512" s="138">
        <v>0</v>
      </c>
    </row>
    <row r="4513" spans="1:10">
      <c r="A4513" s="136" t="s">
        <v>104</v>
      </c>
      <c r="B4513" s="136" t="s">
        <v>14</v>
      </c>
      <c r="C4513" s="137">
        <v>0.73680555555555505</v>
      </c>
      <c r="D4513" s="138">
        <v>0</v>
      </c>
      <c r="E4513" s="138">
        <v>0</v>
      </c>
      <c r="F4513" s="138">
        <v>0</v>
      </c>
      <c r="G4513" s="138">
        <v>0</v>
      </c>
      <c r="H4513" s="138">
        <v>0</v>
      </c>
      <c r="I4513" s="138">
        <v>0</v>
      </c>
      <c r="J4513" s="138">
        <v>0</v>
      </c>
    </row>
    <row r="4514" spans="1:10">
      <c r="A4514" s="136" t="s">
        <v>104</v>
      </c>
      <c r="B4514" s="136" t="s">
        <v>14</v>
      </c>
      <c r="C4514" s="137">
        <v>0.73750000000000004</v>
      </c>
      <c r="D4514" s="138">
        <v>0</v>
      </c>
      <c r="E4514" s="138">
        <v>0</v>
      </c>
      <c r="F4514" s="138">
        <v>0</v>
      </c>
      <c r="G4514" s="138">
        <v>0</v>
      </c>
      <c r="H4514" s="138">
        <v>0</v>
      </c>
      <c r="I4514" s="138">
        <v>0</v>
      </c>
      <c r="J4514" s="138">
        <v>0</v>
      </c>
    </row>
    <row r="4515" spans="1:10">
      <c r="A4515" s="136" t="s">
        <v>104</v>
      </c>
      <c r="B4515" s="136" t="s">
        <v>14</v>
      </c>
      <c r="C4515" s="137">
        <v>0.73819444444444404</v>
      </c>
      <c r="D4515" s="138">
        <v>0</v>
      </c>
      <c r="E4515" s="138">
        <v>0</v>
      </c>
      <c r="F4515" s="138">
        <v>0</v>
      </c>
      <c r="G4515" s="138">
        <v>0</v>
      </c>
      <c r="H4515" s="138">
        <v>0</v>
      </c>
      <c r="I4515" s="138">
        <v>0</v>
      </c>
      <c r="J4515" s="138">
        <v>0</v>
      </c>
    </row>
    <row r="4516" spans="1:10">
      <c r="A4516" s="139" t="s">
        <v>104</v>
      </c>
      <c r="B4516" s="139" t="s">
        <v>14</v>
      </c>
      <c r="C4516" s="140">
        <v>0.73888888888888904</v>
      </c>
      <c r="D4516" s="141">
        <v>0</v>
      </c>
      <c r="E4516" s="141">
        <v>0</v>
      </c>
      <c r="F4516" s="141">
        <v>0</v>
      </c>
      <c r="G4516" s="141">
        <v>0</v>
      </c>
      <c r="H4516" s="141">
        <v>0</v>
      </c>
      <c r="I4516" s="141">
        <v>0</v>
      </c>
      <c r="J4516" s="141">
        <v>0</v>
      </c>
    </row>
    <row r="4517" spans="1:10">
      <c r="A4517" s="136" t="s">
        <v>104</v>
      </c>
      <c r="B4517" s="136" t="s">
        <v>14</v>
      </c>
      <c r="C4517" s="137">
        <v>0.73958333333333304</v>
      </c>
      <c r="D4517" s="138">
        <v>0</v>
      </c>
      <c r="E4517" s="138">
        <v>0</v>
      </c>
      <c r="F4517" s="138">
        <v>0</v>
      </c>
      <c r="G4517" s="138">
        <v>0</v>
      </c>
      <c r="H4517" s="138">
        <v>0</v>
      </c>
      <c r="I4517" s="138">
        <v>0</v>
      </c>
      <c r="J4517" s="138">
        <v>0</v>
      </c>
    </row>
    <row r="4518" spans="1:10">
      <c r="A4518" s="136" t="s">
        <v>104</v>
      </c>
      <c r="B4518" s="136" t="s">
        <v>14</v>
      </c>
      <c r="C4518" s="137">
        <v>0.74027777777777803</v>
      </c>
      <c r="D4518" s="138">
        <v>0</v>
      </c>
      <c r="E4518" s="138">
        <v>0</v>
      </c>
      <c r="F4518" s="138">
        <v>0</v>
      </c>
      <c r="G4518" s="138">
        <v>0</v>
      </c>
      <c r="H4518" s="138">
        <v>0</v>
      </c>
      <c r="I4518" s="138">
        <v>0</v>
      </c>
      <c r="J4518" s="138">
        <v>0</v>
      </c>
    </row>
    <row r="4519" spans="1:10">
      <c r="A4519" s="136" t="s">
        <v>104</v>
      </c>
      <c r="B4519" s="136" t="s">
        <v>14</v>
      </c>
      <c r="C4519" s="137">
        <v>0.74097222222222203</v>
      </c>
      <c r="D4519" s="138">
        <v>0</v>
      </c>
      <c r="E4519" s="138">
        <v>0</v>
      </c>
      <c r="F4519" s="138">
        <v>0</v>
      </c>
      <c r="G4519" s="138">
        <v>0</v>
      </c>
      <c r="H4519" s="138">
        <v>0</v>
      </c>
      <c r="I4519" s="138">
        <v>0</v>
      </c>
      <c r="J4519" s="138">
        <v>0</v>
      </c>
    </row>
    <row r="4520" spans="1:10">
      <c r="A4520" s="136" t="s">
        <v>104</v>
      </c>
      <c r="B4520" s="136" t="s">
        <v>14</v>
      </c>
      <c r="C4520" s="137">
        <v>0.74166666666666703</v>
      </c>
      <c r="D4520" s="138">
        <v>0</v>
      </c>
      <c r="E4520" s="138">
        <v>0</v>
      </c>
      <c r="F4520" s="138">
        <v>0</v>
      </c>
      <c r="G4520" s="138">
        <v>0</v>
      </c>
      <c r="H4520" s="138">
        <v>0</v>
      </c>
      <c r="I4520" s="138">
        <v>0</v>
      </c>
      <c r="J4520" s="138">
        <v>0</v>
      </c>
    </row>
    <row r="4521" spans="1:10">
      <c r="A4521" s="136" t="s">
        <v>104</v>
      </c>
      <c r="B4521" s="136" t="s">
        <v>14</v>
      </c>
      <c r="C4521" s="137">
        <v>0.74236111111111103</v>
      </c>
      <c r="D4521" s="138">
        <v>0</v>
      </c>
      <c r="E4521" s="138">
        <v>0</v>
      </c>
      <c r="F4521" s="138">
        <v>0</v>
      </c>
      <c r="G4521" s="138">
        <v>0</v>
      </c>
      <c r="H4521" s="138">
        <v>0</v>
      </c>
      <c r="I4521" s="138">
        <v>0</v>
      </c>
      <c r="J4521" s="138">
        <v>0</v>
      </c>
    </row>
    <row r="4522" spans="1:10">
      <c r="A4522" s="136" t="s">
        <v>104</v>
      </c>
      <c r="B4522" s="136" t="s">
        <v>14</v>
      </c>
      <c r="C4522" s="137">
        <v>0.74305555555555503</v>
      </c>
      <c r="D4522" s="138">
        <v>0</v>
      </c>
      <c r="E4522" s="138">
        <v>0</v>
      </c>
      <c r="F4522" s="138">
        <v>0</v>
      </c>
      <c r="G4522" s="138">
        <v>0</v>
      </c>
      <c r="H4522" s="138">
        <v>0</v>
      </c>
      <c r="I4522" s="138">
        <v>0</v>
      </c>
      <c r="J4522" s="138">
        <v>0</v>
      </c>
    </row>
    <row r="4523" spans="1:10">
      <c r="A4523" s="136" t="s">
        <v>104</v>
      </c>
      <c r="B4523" s="136" t="s">
        <v>14</v>
      </c>
      <c r="C4523" s="137">
        <v>0.74375000000000002</v>
      </c>
      <c r="D4523" s="138">
        <v>0</v>
      </c>
      <c r="E4523" s="138">
        <v>0</v>
      </c>
      <c r="F4523" s="138">
        <v>0</v>
      </c>
      <c r="G4523" s="138">
        <v>0</v>
      </c>
      <c r="H4523" s="138">
        <v>0</v>
      </c>
      <c r="I4523" s="138">
        <v>0</v>
      </c>
      <c r="J4523" s="138">
        <v>0</v>
      </c>
    </row>
    <row r="4524" spans="1:10">
      <c r="A4524" s="136" t="s">
        <v>104</v>
      </c>
      <c r="B4524" s="136" t="s">
        <v>14</v>
      </c>
      <c r="C4524" s="137">
        <v>0.74444444444444402</v>
      </c>
      <c r="D4524" s="138">
        <v>0</v>
      </c>
      <c r="E4524" s="138">
        <v>0</v>
      </c>
      <c r="F4524" s="138">
        <v>0</v>
      </c>
      <c r="G4524" s="138">
        <v>0</v>
      </c>
      <c r="H4524" s="138">
        <v>0</v>
      </c>
      <c r="I4524" s="138">
        <v>0</v>
      </c>
      <c r="J4524" s="138">
        <v>0</v>
      </c>
    </row>
    <row r="4525" spans="1:10">
      <c r="A4525" s="136" t="s">
        <v>104</v>
      </c>
      <c r="B4525" s="136" t="s">
        <v>14</v>
      </c>
      <c r="C4525" s="137">
        <v>0.74513888888888902</v>
      </c>
      <c r="D4525" s="138">
        <v>0</v>
      </c>
      <c r="E4525" s="138">
        <v>0</v>
      </c>
      <c r="F4525" s="138">
        <v>0</v>
      </c>
      <c r="G4525" s="138">
        <v>0</v>
      </c>
      <c r="H4525" s="138">
        <v>0</v>
      </c>
      <c r="I4525" s="138">
        <v>0</v>
      </c>
      <c r="J4525" s="138">
        <v>0</v>
      </c>
    </row>
    <row r="4526" spans="1:10">
      <c r="A4526" s="136" t="s">
        <v>104</v>
      </c>
      <c r="B4526" s="136" t="s">
        <v>14</v>
      </c>
      <c r="C4526" s="137">
        <v>0.74583333333333302</v>
      </c>
      <c r="D4526" s="138">
        <v>0</v>
      </c>
      <c r="E4526" s="138">
        <v>0</v>
      </c>
      <c r="F4526" s="138">
        <v>0</v>
      </c>
      <c r="G4526" s="138">
        <v>0</v>
      </c>
      <c r="H4526" s="138">
        <v>0</v>
      </c>
      <c r="I4526" s="138">
        <v>0</v>
      </c>
      <c r="J4526" s="138">
        <v>0</v>
      </c>
    </row>
    <row r="4527" spans="1:10">
      <c r="A4527" s="136" t="s">
        <v>104</v>
      </c>
      <c r="B4527" s="136" t="s">
        <v>14</v>
      </c>
      <c r="C4527" s="137">
        <v>0.74652777777777801</v>
      </c>
      <c r="D4527" s="138">
        <v>0</v>
      </c>
      <c r="E4527" s="138">
        <v>0</v>
      </c>
      <c r="F4527" s="138">
        <v>0</v>
      </c>
      <c r="G4527" s="138">
        <v>0</v>
      </c>
      <c r="H4527" s="138">
        <v>0</v>
      </c>
      <c r="I4527" s="138">
        <v>0</v>
      </c>
      <c r="J4527" s="138">
        <v>0</v>
      </c>
    </row>
    <row r="4528" spans="1:10">
      <c r="A4528" s="136" t="s">
        <v>104</v>
      </c>
      <c r="B4528" s="136" t="s">
        <v>14</v>
      </c>
      <c r="C4528" s="137">
        <v>0.74722222222222201</v>
      </c>
      <c r="D4528" s="138">
        <v>0</v>
      </c>
      <c r="E4528" s="138">
        <v>0</v>
      </c>
      <c r="F4528" s="138">
        <v>0</v>
      </c>
      <c r="G4528" s="138">
        <v>0</v>
      </c>
      <c r="H4528" s="138">
        <v>0</v>
      </c>
      <c r="I4528" s="138">
        <v>0</v>
      </c>
      <c r="J4528" s="138">
        <v>0</v>
      </c>
    </row>
    <row r="4529" spans="1:10">
      <c r="A4529" s="136" t="s">
        <v>104</v>
      </c>
      <c r="B4529" s="136" t="s">
        <v>14</v>
      </c>
      <c r="C4529" s="137">
        <v>0.74791666666666701</v>
      </c>
      <c r="D4529" s="138">
        <v>0</v>
      </c>
      <c r="E4529" s="138">
        <v>0</v>
      </c>
      <c r="F4529" s="138">
        <v>0</v>
      </c>
      <c r="G4529" s="138">
        <v>0</v>
      </c>
      <c r="H4529" s="138">
        <v>0</v>
      </c>
      <c r="I4529" s="138">
        <v>0</v>
      </c>
      <c r="J4529" s="138">
        <v>0</v>
      </c>
    </row>
    <row r="4530" spans="1:10">
      <c r="A4530" s="136" t="s">
        <v>104</v>
      </c>
      <c r="B4530" s="136" t="s">
        <v>14</v>
      </c>
      <c r="C4530" s="137">
        <v>0.74861111111111101</v>
      </c>
      <c r="D4530" s="138">
        <v>0</v>
      </c>
      <c r="E4530" s="138">
        <v>0</v>
      </c>
      <c r="F4530" s="138">
        <v>0</v>
      </c>
      <c r="G4530" s="138">
        <v>0</v>
      </c>
      <c r="H4530" s="138">
        <v>0</v>
      </c>
      <c r="I4530" s="138">
        <v>0</v>
      </c>
      <c r="J4530" s="138">
        <v>0</v>
      </c>
    </row>
    <row r="4531" spans="1:10">
      <c r="A4531" s="139" t="s">
        <v>104</v>
      </c>
      <c r="B4531" s="139" t="s">
        <v>14</v>
      </c>
      <c r="C4531" s="140">
        <v>0.749305555555555</v>
      </c>
      <c r="D4531" s="141">
        <v>0</v>
      </c>
      <c r="E4531" s="141">
        <v>0</v>
      </c>
      <c r="F4531" s="141">
        <v>0</v>
      </c>
      <c r="G4531" s="141">
        <v>0</v>
      </c>
      <c r="H4531" s="141">
        <v>0</v>
      </c>
      <c r="I4531" s="141">
        <v>0</v>
      </c>
      <c r="J4531" s="141">
        <v>0</v>
      </c>
    </row>
    <row r="4532" spans="1:10">
      <c r="A4532" s="147" t="s">
        <v>104</v>
      </c>
      <c r="B4532" s="147" t="s">
        <v>14</v>
      </c>
      <c r="C4532" s="148">
        <v>0.75</v>
      </c>
      <c r="D4532" s="142">
        <v>0</v>
      </c>
      <c r="E4532" s="142">
        <v>0</v>
      </c>
      <c r="F4532" s="142">
        <v>0</v>
      </c>
      <c r="G4532" s="142">
        <v>0</v>
      </c>
      <c r="H4532" s="142">
        <v>0</v>
      </c>
      <c r="I4532" s="142">
        <v>0</v>
      </c>
      <c r="J4532" s="142">
        <v>0</v>
      </c>
    </row>
    <row r="4533" spans="1:10">
      <c r="A4533" s="136" t="s">
        <v>104</v>
      </c>
      <c r="B4533" s="136" t="s">
        <v>14</v>
      </c>
      <c r="C4533" s="137">
        <v>0.750694444444444</v>
      </c>
      <c r="D4533" s="138">
        <v>0</v>
      </c>
      <c r="E4533" s="138">
        <v>0</v>
      </c>
      <c r="F4533" s="138">
        <v>0</v>
      </c>
      <c r="G4533" s="138">
        <v>0</v>
      </c>
      <c r="H4533" s="138">
        <v>0</v>
      </c>
      <c r="I4533" s="138">
        <v>0</v>
      </c>
      <c r="J4533" s="138">
        <v>0</v>
      </c>
    </row>
    <row r="4534" spans="1:10">
      <c r="A4534" s="136" t="s">
        <v>104</v>
      </c>
      <c r="B4534" s="136" t="s">
        <v>14</v>
      </c>
      <c r="C4534" s="137">
        <v>0.75138888888888899</v>
      </c>
      <c r="D4534" s="138">
        <v>0</v>
      </c>
      <c r="E4534" s="138">
        <v>0</v>
      </c>
      <c r="F4534" s="138">
        <v>0</v>
      </c>
      <c r="G4534" s="138">
        <v>0</v>
      </c>
      <c r="H4534" s="138">
        <v>0</v>
      </c>
      <c r="I4534" s="138">
        <v>0</v>
      </c>
      <c r="J4534" s="138">
        <v>0</v>
      </c>
    </row>
    <row r="4535" spans="1:10">
      <c r="A4535" s="136" t="s">
        <v>104</v>
      </c>
      <c r="B4535" s="136" t="s">
        <v>14</v>
      </c>
      <c r="C4535" s="137">
        <v>0.75208333333333299</v>
      </c>
      <c r="D4535" s="138">
        <v>0</v>
      </c>
      <c r="E4535" s="138">
        <v>0</v>
      </c>
      <c r="F4535" s="138">
        <v>0</v>
      </c>
      <c r="G4535" s="138">
        <v>0</v>
      </c>
      <c r="H4535" s="138">
        <v>0</v>
      </c>
      <c r="I4535" s="138">
        <v>0</v>
      </c>
      <c r="J4535" s="138">
        <v>0</v>
      </c>
    </row>
    <row r="4536" spans="1:10">
      <c r="A4536" s="136" t="s">
        <v>104</v>
      </c>
      <c r="B4536" s="136" t="s">
        <v>14</v>
      </c>
      <c r="C4536" s="137">
        <v>0.75277777777777799</v>
      </c>
      <c r="D4536" s="138">
        <v>0</v>
      </c>
      <c r="E4536" s="138">
        <v>0</v>
      </c>
      <c r="F4536" s="138">
        <v>0</v>
      </c>
      <c r="G4536" s="138">
        <v>0</v>
      </c>
      <c r="H4536" s="138">
        <v>0</v>
      </c>
      <c r="I4536" s="138">
        <v>0</v>
      </c>
      <c r="J4536" s="138">
        <v>0</v>
      </c>
    </row>
    <row r="4537" spans="1:10">
      <c r="A4537" s="136" t="s">
        <v>104</v>
      </c>
      <c r="B4537" s="136" t="s">
        <v>14</v>
      </c>
      <c r="C4537" s="137">
        <v>0.75347222222222199</v>
      </c>
      <c r="D4537" s="138">
        <v>0</v>
      </c>
      <c r="E4537" s="138">
        <v>0</v>
      </c>
      <c r="F4537" s="138">
        <v>0</v>
      </c>
      <c r="G4537" s="138">
        <v>0</v>
      </c>
      <c r="H4537" s="138">
        <v>0</v>
      </c>
      <c r="I4537" s="138">
        <v>0</v>
      </c>
      <c r="J4537" s="138">
        <v>0</v>
      </c>
    </row>
    <row r="4538" spans="1:10">
      <c r="A4538" s="136" t="s">
        <v>104</v>
      </c>
      <c r="B4538" s="136" t="s">
        <v>14</v>
      </c>
      <c r="C4538" s="137">
        <v>0.75416666666666698</v>
      </c>
      <c r="D4538" s="138">
        <v>0</v>
      </c>
      <c r="E4538" s="138">
        <v>0</v>
      </c>
      <c r="F4538" s="138">
        <v>0</v>
      </c>
      <c r="G4538" s="138">
        <v>0</v>
      </c>
      <c r="H4538" s="138">
        <v>0</v>
      </c>
      <c r="I4538" s="138">
        <v>0</v>
      </c>
      <c r="J4538" s="138">
        <v>0</v>
      </c>
    </row>
    <row r="4539" spans="1:10">
      <c r="A4539" s="136" t="s">
        <v>104</v>
      </c>
      <c r="B4539" s="136" t="s">
        <v>14</v>
      </c>
      <c r="C4539" s="137">
        <v>0.75486111111111098</v>
      </c>
      <c r="D4539" s="138">
        <v>0</v>
      </c>
      <c r="E4539" s="138">
        <v>0</v>
      </c>
      <c r="F4539" s="138">
        <v>0</v>
      </c>
      <c r="G4539" s="138">
        <v>0</v>
      </c>
      <c r="H4539" s="138">
        <v>0</v>
      </c>
      <c r="I4539" s="138">
        <v>0</v>
      </c>
      <c r="J4539" s="138">
        <v>0</v>
      </c>
    </row>
    <row r="4540" spans="1:10">
      <c r="A4540" s="136" t="s">
        <v>104</v>
      </c>
      <c r="B4540" s="136" t="s">
        <v>14</v>
      </c>
      <c r="C4540" s="137">
        <v>0.75555555555555498</v>
      </c>
      <c r="D4540" s="138">
        <v>0</v>
      </c>
      <c r="E4540" s="138">
        <v>0</v>
      </c>
      <c r="F4540" s="138">
        <v>0</v>
      </c>
      <c r="G4540" s="138">
        <v>0</v>
      </c>
      <c r="H4540" s="138">
        <v>0</v>
      </c>
      <c r="I4540" s="138">
        <v>0</v>
      </c>
      <c r="J4540" s="138">
        <v>0</v>
      </c>
    </row>
    <row r="4541" spans="1:10">
      <c r="A4541" s="136" t="s">
        <v>104</v>
      </c>
      <c r="B4541" s="136" t="s">
        <v>14</v>
      </c>
      <c r="C4541" s="137">
        <v>0.75624999999999998</v>
      </c>
      <c r="D4541" s="138">
        <v>0</v>
      </c>
      <c r="E4541" s="138">
        <v>0</v>
      </c>
      <c r="F4541" s="138">
        <v>0</v>
      </c>
      <c r="G4541" s="138">
        <v>0</v>
      </c>
      <c r="H4541" s="138">
        <v>0</v>
      </c>
      <c r="I4541" s="138">
        <v>0</v>
      </c>
      <c r="J4541" s="138">
        <v>0</v>
      </c>
    </row>
    <row r="4542" spans="1:10">
      <c r="A4542" s="136" t="s">
        <v>104</v>
      </c>
      <c r="B4542" s="136" t="s">
        <v>14</v>
      </c>
      <c r="C4542" s="137">
        <v>0.75694444444444398</v>
      </c>
      <c r="D4542" s="138">
        <v>0</v>
      </c>
      <c r="E4542" s="138">
        <v>0</v>
      </c>
      <c r="F4542" s="138">
        <v>0</v>
      </c>
      <c r="G4542" s="138">
        <v>0</v>
      </c>
      <c r="H4542" s="138">
        <v>0</v>
      </c>
      <c r="I4542" s="138">
        <v>0</v>
      </c>
      <c r="J4542" s="138">
        <v>0</v>
      </c>
    </row>
    <row r="4543" spans="1:10">
      <c r="A4543" s="136" t="s">
        <v>104</v>
      </c>
      <c r="B4543" s="136" t="s">
        <v>14</v>
      </c>
      <c r="C4543" s="137">
        <v>0.75763888888888897</v>
      </c>
      <c r="D4543" s="138">
        <v>0</v>
      </c>
      <c r="E4543" s="138">
        <v>0</v>
      </c>
      <c r="F4543" s="138">
        <v>0</v>
      </c>
      <c r="G4543" s="138">
        <v>0</v>
      </c>
      <c r="H4543" s="138">
        <v>0</v>
      </c>
      <c r="I4543" s="138">
        <v>0</v>
      </c>
      <c r="J4543" s="138">
        <v>0</v>
      </c>
    </row>
    <row r="4544" spans="1:10">
      <c r="A4544" s="136" t="s">
        <v>104</v>
      </c>
      <c r="B4544" s="136" t="s">
        <v>14</v>
      </c>
      <c r="C4544" s="137">
        <v>0.75833333333333297</v>
      </c>
      <c r="D4544" s="138">
        <v>0</v>
      </c>
      <c r="E4544" s="138">
        <v>0</v>
      </c>
      <c r="F4544" s="138">
        <v>0</v>
      </c>
      <c r="G4544" s="138">
        <v>0</v>
      </c>
      <c r="H4544" s="138">
        <v>0</v>
      </c>
      <c r="I4544" s="138">
        <v>0</v>
      </c>
      <c r="J4544" s="138">
        <v>0</v>
      </c>
    </row>
    <row r="4545" spans="1:10">
      <c r="A4545" s="136" t="s">
        <v>104</v>
      </c>
      <c r="B4545" s="136" t="s">
        <v>14</v>
      </c>
      <c r="C4545" s="137">
        <v>0.75902777777777797</v>
      </c>
      <c r="D4545" s="138">
        <v>0</v>
      </c>
      <c r="E4545" s="138">
        <v>0</v>
      </c>
      <c r="F4545" s="138">
        <v>0</v>
      </c>
      <c r="G4545" s="138">
        <v>0</v>
      </c>
      <c r="H4545" s="138">
        <v>0</v>
      </c>
      <c r="I4545" s="138">
        <v>0</v>
      </c>
      <c r="J4545" s="138">
        <v>0</v>
      </c>
    </row>
    <row r="4546" spans="1:10">
      <c r="A4546" s="139" t="s">
        <v>104</v>
      </c>
      <c r="B4546" s="139" t="s">
        <v>14</v>
      </c>
      <c r="C4546" s="140">
        <v>0.75972222222222197</v>
      </c>
      <c r="D4546" s="141">
        <v>0</v>
      </c>
      <c r="E4546" s="141">
        <v>0</v>
      </c>
      <c r="F4546" s="141">
        <v>0</v>
      </c>
      <c r="G4546" s="141">
        <v>0</v>
      </c>
      <c r="H4546" s="141">
        <v>0</v>
      </c>
      <c r="I4546" s="141">
        <v>0</v>
      </c>
      <c r="J4546" s="141">
        <v>0</v>
      </c>
    </row>
    <row r="4547" spans="1:10">
      <c r="A4547" s="147" t="s">
        <v>104</v>
      </c>
      <c r="B4547" s="147" t="s">
        <v>14</v>
      </c>
      <c r="C4547" s="148">
        <v>0.76041666666666696</v>
      </c>
      <c r="D4547" s="142">
        <v>0</v>
      </c>
      <c r="E4547" s="142">
        <v>0</v>
      </c>
      <c r="F4547" s="142">
        <v>0</v>
      </c>
      <c r="G4547" s="142">
        <v>0</v>
      </c>
      <c r="H4547" s="142">
        <v>0</v>
      </c>
      <c r="I4547" s="142">
        <v>0</v>
      </c>
      <c r="J4547" s="142">
        <v>0</v>
      </c>
    </row>
    <row r="4548" spans="1:10">
      <c r="A4548" s="136" t="s">
        <v>104</v>
      </c>
      <c r="B4548" s="136" t="s">
        <v>14</v>
      </c>
      <c r="C4548" s="137">
        <v>0.76111111111111096</v>
      </c>
      <c r="D4548" s="138">
        <v>0</v>
      </c>
      <c r="E4548" s="138">
        <v>0</v>
      </c>
      <c r="F4548" s="138">
        <v>0</v>
      </c>
      <c r="G4548" s="138">
        <v>0</v>
      </c>
      <c r="H4548" s="138">
        <v>0</v>
      </c>
      <c r="I4548" s="138">
        <v>0</v>
      </c>
      <c r="J4548" s="138">
        <v>0</v>
      </c>
    </row>
    <row r="4549" spans="1:10">
      <c r="A4549" s="136" t="s">
        <v>104</v>
      </c>
      <c r="B4549" s="136" t="s">
        <v>14</v>
      </c>
      <c r="C4549" s="137">
        <v>0.76180555555555496</v>
      </c>
      <c r="D4549" s="138">
        <v>0</v>
      </c>
      <c r="E4549" s="138">
        <v>0</v>
      </c>
      <c r="F4549" s="138">
        <v>0</v>
      </c>
      <c r="G4549" s="138">
        <v>0</v>
      </c>
      <c r="H4549" s="138">
        <v>0</v>
      </c>
      <c r="I4549" s="138">
        <v>0</v>
      </c>
      <c r="J4549" s="138">
        <v>0</v>
      </c>
    </row>
    <row r="4550" spans="1:10">
      <c r="A4550" s="136" t="s">
        <v>104</v>
      </c>
      <c r="B4550" s="136" t="s">
        <v>14</v>
      </c>
      <c r="C4550" s="137">
        <v>0.76249999999999996</v>
      </c>
      <c r="D4550" s="138">
        <v>0</v>
      </c>
      <c r="E4550" s="138">
        <v>0</v>
      </c>
      <c r="F4550" s="138">
        <v>0</v>
      </c>
      <c r="G4550" s="138">
        <v>0</v>
      </c>
      <c r="H4550" s="138">
        <v>0</v>
      </c>
      <c r="I4550" s="138">
        <v>0</v>
      </c>
      <c r="J4550" s="138">
        <v>0</v>
      </c>
    </row>
    <row r="4551" spans="1:10">
      <c r="A4551" s="136" t="s">
        <v>104</v>
      </c>
      <c r="B4551" s="136" t="s">
        <v>14</v>
      </c>
      <c r="C4551" s="137">
        <v>0.76319444444444395</v>
      </c>
      <c r="D4551" s="138">
        <v>0</v>
      </c>
      <c r="E4551" s="138">
        <v>0</v>
      </c>
      <c r="F4551" s="138">
        <v>0</v>
      </c>
      <c r="G4551" s="138">
        <v>0</v>
      </c>
      <c r="H4551" s="138">
        <v>0</v>
      </c>
      <c r="I4551" s="138">
        <v>0</v>
      </c>
      <c r="J4551" s="138">
        <v>0</v>
      </c>
    </row>
    <row r="4552" spans="1:10">
      <c r="A4552" s="136" t="s">
        <v>104</v>
      </c>
      <c r="B4552" s="136" t="s">
        <v>14</v>
      </c>
      <c r="C4552" s="137">
        <v>0.76388888888888895</v>
      </c>
      <c r="D4552" s="138">
        <v>0</v>
      </c>
      <c r="E4552" s="138">
        <v>0</v>
      </c>
      <c r="F4552" s="138">
        <v>0</v>
      </c>
      <c r="G4552" s="138">
        <v>0</v>
      </c>
      <c r="H4552" s="138">
        <v>0</v>
      </c>
      <c r="I4552" s="138">
        <v>0</v>
      </c>
      <c r="J4552" s="138">
        <v>0</v>
      </c>
    </row>
    <row r="4553" spans="1:10">
      <c r="A4553" s="136" t="s">
        <v>104</v>
      </c>
      <c r="B4553" s="136" t="s">
        <v>14</v>
      </c>
      <c r="C4553" s="137">
        <v>0.76458333333333295</v>
      </c>
      <c r="D4553" s="138">
        <v>0</v>
      </c>
      <c r="E4553" s="138">
        <v>0</v>
      </c>
      <c r="F4553" s="138">
        <v>0</v>
      </c>
      <c r="G4553" s="138">
        <v>0</v>
      </c>
      <c r="H4553" s="138">
        <v>0</v>
      </c>
      <c r="I4553" s="138">
        <v>0</v>
      </c>
      <c r="J4553" s="138">
        <v>0</v>
      </c>
    </row>
    <row r="4554" spans="1:10">
      <c r="A4554" s="136" t="s">
        <v>104</v>
      </c>
      <c r="B4554" s="136" t="s">
        <v>14</v>
      </c>
      <c r="C4554" s="137">
        <v>0.76527777777777795</v>
      </c>
      <c r="D4554" s="138">
        <v>0</v>
      </c>
      <c r="E4554" s="138">
        <v>0</v>
      </c>
      <c r="F4554" s="138">
        <v>0</v>
      </c>
      <c r="G4554" s="138">
        <v>0</v>
      </c>
      <c r="H4554" s="138">
        <v>0</v>
      </c>
      <c r="I4554" s="138">
        <v>0</v>
      </c>
      <c r="J4554" s="138">
        <v>0</v>
      </c>
    </row>
    <row r="4555" spans="1:10">
      <c r="A4555" s="136" t="s">
        <v>104</v>
      </c>
      <c r="B4555" s="136" t="s">
        <v>14</v>
      </c>
      <c r="C4555" s="137">
        <v>0.76597222222222205</v>
      </c>
      <c r="D4555" s="138">
        <v>0</v>
      </c>
      <c r="E4555" s="138">
        <v>0</v>
      </c>
      <c r="F4555" s="138">
        <v>0</v>
      </c>
      <c r="G4555" s="138">
        <v>0</v>
      </c>
      <c r="H4555" s="138">
        <v>0</v>
      </c>
      <c r="I4555" s="138">
        <v>0</v>
      </c>
      <c r="J4555" s="138">
        <v>0</v>
      </c>
    </row>
    <row r="4556" spans="1:10">
      <c r="A4556" s="136" t="s">
        <v>104</v>
      </c>
      <c r="B4556" s="136" t="s">
        <v>14</v>
      </c>
      <c r="C4556" s="137">
        <v>0.76666666666666605</v>
      </c>
      <c r="D4556" s="138">
        <v>0</v>
      </c>
      <c r="E4556" s="138">
        <v>0</v>
      </c>
      <c r="F4556" s="138">
        <v>0</v>
      </c>
      <c r="G4556" s="138">
        <v>0</v>
      </c>
      <c r="H4556" s="138">
        <v>0</v>
      </c>
      <c r="I4556" s="138">
        <v>0</v>
      </c>
      <c r="J4556" s="138">
        <v>0</v>
      </c>
    </row>
    <row r="4557" spans="1:10">
      <c r="A4557" s="136" t="s">
        <v>104</v>
      </c>
      <c r="B4557" s="136" t="s">
        <v>14</v>
      </c>
      <c r="C4557" s="137">
        <v>0.76736111111111105</v>
      </c>
      <c r="D4557" s="138">
        <v>0</v>
      </c>
      <c r="E4557" s="138">
        <v>0</v>
      </c>
      <c r="F4557" s="138">
        <v>0</v>
      </c>
      <c r="G4557" s="138">
        <v>0</v>
      </c>
      <c r="H4557" s="138">
        <v>0</v>
      </c>
      <c r="I4557" s="138">
        <v>0</v>
      </c>
      <c r="J4557" s="138">
        <v>0</v>
      </c>
    </row>
    <row r="4558" spans="1:10">
      <c r="A4558" s="136" t="s">
        <v>105</v>
      </c>
      <c r="B4558" s="136" t="s">
        <v>14</v>
      </c>
      <c r="C4558" s="137">
        <v>0.76805555555555505</v>
      </c>
      <c r="D4558" s="138">
        <v>0</v>
      </c>
      <c r="E4558" s="138">
        <v>0</v>
      </c>
      <c r="F4558" s="138">
        <v>0</v>
      </c>
      <c r="G4558" s="138">
        <v>0</v>
      </c>
      <c r="H4558" s="138">
        <v>0</v>
      </c>
      <c r="I4558" s="138">
        <v>0</v>
      </c>
      <c r="J4558" s="138">
        <v>0</v>
      </c>
    </row>
    <row r="4559" spans="1:10">
      <c r="A4559" s="136" t="s">
        <v>104</v>
      </c>
      <c r="B4559" s="136" t="s">
        <v>14</v>
      </c>
      <c r="C4559" s="137">
        <v>0.76875000000000004</v>
      </c>
      <c r="D4559" s="138">
        <v>0</v>
      </c>
      <c r="E4559" s="138">
        <v>0</v>
      </c>
      <c r="F4559" s="138">
        <v>0</v>
      </c>
      <c r="G4559" s="138">
        <v>0</v>
      </c>
      <c r="H4559" s="138">
        <v>0</v>
      </c>
      <c r="I4559" s="138">
        <v>0</v>
      </c>
      <c r="J4559" s="138">
        <v>0</v>
      </c>
    </row>
    <row r="4560" spans="1:10">
      <c r="A4560" s="136" t="s">
        <v>104</v>
      </c>
      <c r="B4560" s="136" t="s">
        <v>14</v>
      </c>
      <c r="C4560" s="137">
        <v>0.76944444444444404</v>
      </c>
      <c r="D4560" s="138">
        <v>0</v>
      </c>
      <c r="E4560" s="138">
        <v>0</v>
      </c>
      <c r="F4560" s="138">
        <v>0</v>
      </c>
      <c r="G4560" s="138">
        <v>0</v>
      </c>
      <c r="H4560" s="138">
        <v>0</v>
      </c>
      <c r="I4560" s="138">
        <v>0</v>
      </c>
      <c r="J4560" s="138">
        <v>0</v>
      </c>
    </row>
    <row r="4561" spans="1:10" ht="17.5" thickBot="1">
      <c r="A4561" s="143" t="s">
        <v>104</v>
      </c>
      <c r="B4561" s="143" t="s">
        <v>14</v>
      </c>
      <c r="C4561" s="144">
        <v>0.77013888888888904</v>
      </c>
      <c r="D4561" s="145">
        <v>0</v>
      </c>
      <c r="E4561" s="145">
        <v>0</v>
      </c>
      <c r="F4561" s="145">
        <v>0</v>
      </c>
      <c r="G4561" s="145">
        <v>0</v>
      </c>
      <c r="H4561" s="145">
        <v>0</v>
      </c>
      <c r="I4561" s="145">
        <v>0</v>
      </c>
      <c r="J4561" s="145">
        <v>0</v>
      </c>
    </row>
    <row r="4562" spans="1:10">
      <c r="A4562" s="149" t="s">
        <v>104</v>
      </c>
      <c r="B4562" s="149" t="s">
        <v>124</v>
      </c>
      <c r="C4562" s="150">
        <v>0.72916666666666663</v>
      </c>
      <c r="D4562" s="138">
        <v>0</v>
      </c>
      <c r="E4562" s="138">
        <v>0</v>
      </c>
      <c r="F4562" s="138">
        <v>0</v>
      </c>
      <c r="G4562" s="138">
        <v>0</v>
      </c>
      <c r="H4562" s="138">
        <v>0</v>
      </c>
      <c r="I4562" s="138">
        <v>0</v>
      </c>
      <c r="J4562" s="138">
        <v>0</v>
      </c>
    </row>
    <row r="4563" spans="1:10">
      <c r="A4563" s="136" t="s">
        <v>104</v>
      </c>
      <c r="B4563" s="136" t="s">
        <v>123</v>
      </c>
      <c r="C4563" s="137">
        <v>0.72986111111111107</v>
      </c>
      <c r="D4563" s="138">
        <v>0</v>
      </c>
      <c r="E4563" s="138">
        <v>0</v>
      </c>
      <c r="F4563" s="138">
        <v>0</v>
      </c>
      <c r="G4563" s="138">
        <v>0</v>
      </c>
      <c r="H4563" s="138">
        <v>0</v>
      </c>
      <c r="I4563" s="138">
        <v>0</v>
      </c>
      <c r="J4563" s="138">
        <v>0</v>
      </c>
    </row>
    <row r="4564" spans="1:10">
      <c r="A4564" s="136" t="s">
        <v>104</v>
      </c>
      <c r="B4564" s="136" t="s">
        <v>123</v>
      </c>
      <c r="C4564" s="137">
        <v>0.73055555555555596</v>
      </c>
      <c r="D4564" s="138">
        <v>0</v>
      </c>
      <c r="E4564" s="138">
        <v>0</v>
      </c>
      <c r="F4564" s="138">
        <v>0</v>
      </c>
      <c r="G4564" s="138">
        <v>0</v>
      </c>
      <c r="H4564" s="138">
        <v>0</v>
      </c>
      <c r="I4564" s="138">
        <v>0</v>
      </c>
      <c r="J4564" s="138">
        <v>0</v>
      </c>
    </row>
    <row r="4565" spans="1:10">
      <c r="A4565" s="136" t="s">
        <v>104</v>
      </c>
      <c r="B4565" s="136" t="s">
        <v>123</v>
      </c>
      <c r="C4565" s="137">
        <v>0.73124999999999996</v>
      </c>
      <c r="D4565" s="138">
        <v>0</v>
      </c>
      <c r="E4565" s="138">
        <v>0</v>
      </c>
      <c r="F4565" s="138">
        <v>0</v>
      </c>
      <c r="G4565" s="138">
        <v>0</v>
      </c>
      <c r="H4565" s="138">
        <v>0</v>
      </c>
      <c r="I4565" s="138">
        <v>0</v>
      </c>
      <c r="J4565" s="138">
        <v>0</v>
      </c>
    </row>
    <row r="4566" spans="1:10">
      <c r="A4566" s="136" t="s">
        <v>104</v>
      </c>
      <c r="B4566" s="136" t="s">
        <v>123</v>
      </c>
      <c r="C4566" s="137">
        <v>0.73194444444444395</v>
      </c>
      <c r="D4566" s="138">
        <v>0</v>
      </c>
      <c r="E4566" s="138">
        <v>0</v>
      </c>
      <c r="F4566" s="138">
        <v>0</v>
      </c>
      <c r="G4566" s="138">
        <v>0</v>
      </c>
      <c r="H4566" s="138">
        <v>0</v>
      </c>
      <c r="I4566" s="138">
        <v>0</v>
      </c>
      <c r="J4566" s="138">
        <v>0</v>
      </c>
    </row>
    <row r="4567" spans="1:10">
      <c r="A4567" s="136" t="s">
        <v>104</v>
      </c>
      <c r="B4567" s="136" t="s">
        <v>123</v>
      </c>
      <c r="C4567" s="137">
        <v>0.73263888888888895</v>
      </c>
      <c r="D4567" s="138">
        <v>0</v>
      </c>
      <c r="E4567" s="138">
        <v>0</v>
      </c>
      <c r="F4567" s="138">
        <v>0</v>
      </c>
      <c r="G4567" s="138">
        <v>0</v>
      </c>
      <c r="H4567" s="138">
        <v>0</v>
      </c>
      <c r="I4567" s="138">
        <v>0</v>
      </c>
      <c r="J4567" s="138">
        <v>0</v>
      </c>
    </row>
    <row r="4568" spans="1:10">
      <c r="A4568" s="136" t="s">
        <v>104</v>
      </c>
      <c r="B4568" s="136" t="s">
        <v>123</v>
      </c>
      <c r="C4568" s="137">
        <v>0.73333333333333295</v>
      </c>
      <c r="D4568" s="138">
        <v>0</v>
      </c>
      <c r="E4568" s="138">
        <v>0</v>
      </c>
      <c r="F4568" s="138">
        <v>0</v>
      </c>
      <c r="G4568" s="138">
        <v>0</v>
      </c>
      <c r="H4568" s="138">
        <v>0</v>
      </c>
      <c r="I4568" s="138">
        <v>0</v>
      </c>
      <c r="J4568" s="138">
        <v>0</v>
      </c>
    </row>
    <row r="4569" spans="1:10">
      <c r="A4569" s="136" t="s">
        <v>104</v>
      </c>
      <c r="B4569" s="136" t="s">
        <v>123</v>
      </c>
      <c r="C4569" s="137">
        <v>0.73402777777777795</v>
      </c>
      <c r="D4569" s="138">
        <v>0</v>
      </c>
      <c r="E4569" s="138">
        <v>0</v>
      </c>
      <c r="F4569" s="138">
        <v>0</v>
      </c>
      <c r="G4569" s="138">
        <v>0</v>
      </c>
      <c r="H4569" s="138">
        <v>0</v>
      </c>
      <c r="I4569" s="138">
        <v>0</v>
      </c>
      <c r="J4569" s="138">
        <v>0</v>
      </c>
    </row>
    <row r="4570" spans="1:10">
      <c r="A4570" s="136" t="s">
        <v>104</v>
      </c>
      <c r="B4570" s="136" t="s">
        <v>123</v>
      </c>
      <c r="C4570" s="137">
        <v>0.73472222222222205</v>
      </c>
      <c r="D4570" s="138">
        <v>0</v>
      </c>
      <c r="E4570" s="138">
        <v>0</v>
      </c>
      <c r="F4570" s="138">
        <v>0</v>
      </c>
      <c r="G4570" s="138">
        <v>0</v>
      </c>
      <c r="H4570" s="138">
        <v>0</v>
      </c>
      <c r="I4570" s="138">
        <v>0</v>
      </c>
      <c r="J4570" s="138">
        <v>0</v>
      </c>
    </row>
    <row r="4571" spans="1:10">
      <c r="A4571" s="136" t="s">
        <v>104</v>
      </c>
      <c r="B4571" s="136" t="s">
        <v>123</v>
      </c>
      <c r="C4571" s="137">
        <v>0.73541666666666705</v>
      </c>
      <c r="D4571" s="138">
        <v>0</v>
      </c>
      <c r="E4571" s="138">
        <v>0</v>
      </c>
      <c r="F4571" s="138">
        <v>0</v>
      </c>
      <c r="G4571" s="138">
        <v>0</v>
      </c>
      <c r="H4571" s="138">
        <v>0</v>
      </c>
      <c r="I4571" s="138">
        <v>0</v>
      </c>
      <c r="J4571" s="138">
        <v>0</v>
      </c>
    </row>
    <row r="4572" spans="1:10">
      <c r="A4572" s="136" t="s">
        <v>104</v>
      </c>
      <c r="B4572" s="136" t="s">
        <v>123</v>
      </c>
      <c r="C4572" s="137">
        <v>0.73611111111111105</v>
      </c>
      <c r="D4572" s="138">
        <v>0</v>
      </c>
      <c r="E4572" s="138">
        <v>0</v>
      </c>
      <c r="F4572" s="138">
        <v>0</v>
      </c>
      <c r="G4572" s="138">
        <v>0</v>
      </c>
      <c r="H4572" s="138">
        <v>0</v>
      </c>
      <c r="I4572" s="138">
        <v>0</v>
      </c>
      <c r="J4572" s="138">
        <v>0</v>
      </c>
    </row>
    <row r="4573" spans="1:10">
      <c r="A4573" s="136" t="s">
        <v>104</v>
      </c>
      <c r="B4573" s="136" t="s">
        <v>123</v>
      </c>
      <c r="C4573" s="137">
        <v>0.73680555555555505</v>
      </c>
      <c r="D4573" s="138">
        <v>0</v>
      </c>
      <c r="E4573" s="138">
        <v>0</v>
      </c>
      <c r="F4573" s="138">
        <v>0</v>
      </c>
      <c r="G4573" s="138">
        <v>0</v>
      </c>
      <c r="H4573" s="138">
        <v>0</v>
      </c>
      <c r="I4573" s="138">
        <v>0</v>
      </c>
      <c r="J4573" s="138">
        <v>0</v>
      </c>
    </row>
    <row r="4574" spans="1:10">
      <c r="A4574" s="136" t="s">
        <v>104</v>
      </c>
      <c r="B4574" s="136" t="s">
        <v>123</v>
      </c>
      <c r="C4574" s="137">
        <v>0.73750000000000004</v>
      </c>
      <c r="D4574" s="138">
        <v>0</v>
      </c>
      <c r="E4574" s="138">
        <v>0</v>
      </c>
      <c r="F4574" s="138">
        <v>0</v>
      </c>
      <c r="G4574" s="138">
        <v>0</v>
      </c>
      <c r="H4574" s="138">
        <v>0</v>
      </c>
      <c r="I4574" s="138">
        <v>0</v>
      </c>
      <c r="J4574" s="138">
        <v>0</v>
      </c>
    </row>
    <row r="4575" spans="1:10">
      <c r="A4575" s="136" t="s">
        <v>104</v>
      </c>
      <c r="B4575" s="136" t="s">
        <v>123</v>
      </c>
      <c r="C4575" s="137">
        <v>0.73819444444444404</v>
      </c>
      <c r="D4575" s="138">
        <v>0</v>
      </c>
      <c r="E4575" s="138">
        <v>0</v>
      </c>
      <c r="F4575" s="138">
        <v>0</v>
      </c>
      <c r="G4575" s="138">
        <v>0</v>
      </c>
      <c r="H4575" s="138">
        <v>0</v>
      </c>
      <c r="I4575" s="138">
        <v>0</v>
      </c>
      <c r="J4575" s="138">
        <v>0</v>
      </c>
    </row>
    <row r="4576" spans="1:10">
      <c r="A4576" s="139" t="s">
        <v>104</v>
      </c>
      <c r="B4576" s="139" t="s">
        <v>123</v>
      </c>
      <c r="C4576" s="140">
        <v>0.73888888888888904</v>
      </c>
      <c r="D4576" s="141">
        <v>0</v>
      </c>
      <c r="E4576" s="141">
        <v>0</v>
      </c>
      <c r="F4576" s="141">
        <v>0</v>
      </c>
      <c r="G4576" s="141">
        <v>0</v>
      </c>
      <c r="H4576" s="141">
        <v>0</v>
      </c>
      <c r="I4576" s="141">
        <v>0</v>
      </c>
      <c r="J4576" s="141">
        <v>0</v>
      </c>
    </row>
    <row r="4577" spans="1:10">
      <c r="A4577" s="136" t="s">
        <v>104</v>
      </c>
      <c r="B4577" s="136" t="s">
        <v>123</v>
      </c>
      <c r="C4577" s="137">
        <v>0.73958333333333304</v>
      </c>
      <c r="D4577" s="142">
        <v>0</v>
      </c>
      <c r="E4577" s="142">
        <v>0</v>
      </c>
      <c r="F4577" s="142">
        <v>0</v>
      </c>
      <c r="G4577" s="142">
        <v>0</v>
      </c>
      <c r="H4577" s="142">
        <v>0</v>
      </c>
      <c r="I4577" s="142">
        <v>0</v>
      </c>
      <c r="J4577" s="142">
        <v>0</v>
      </c>
    </row>
    <row r="4578" spans="1:10">
      <c r="A4578" s="136" t="s">
        <v>104</v>
      </c>
      <c r="B4578" s="136" t="s">
        <v>123</v>
      </c>
      <c r="C4578" s="137">
        <v>0.74027777777777803</v>
      </c>
      <c r="D4578" s="138">
        <v>0</v>
      </c>
      <c r="E4578" s="138">
        <v>0</v>
      </c>
      <c r="F4578" s="138">
        <v>0</v>
      </c>
      <c r="G4578" s="138">
        <v>0</v>
      </c>
      <c r="H4578" s="138">
        <v>0</v>
      </c>
      <c r="I4578" s="138">
        <v>0</v>
      </c>
      <c r="J4578" s="138">
        <v>0</v>
      </c>
    </row>
    <row r="4579" spans="1:10">
      <c r="A4579" s="136" t="s">
        <v>104</v>
      </c>
      <c r="B4579" s="136" t="s">
        <v>123</v>
      </c>
      <c r="C4579" s="137">
        <v>0.74097222222222203</v>
      </c>
      <c r="D4579" s="138">
        <v>0</v>
      </c>
      <c r="E4579" s="138">
        <v>0</v>
      </c>
      <c r="F4579" s="138">
        <v>0</v>
      </c>
      <c r="G4579" s="138">
        <v>0</v>
      </c>
      <c r="H4579" s="138">
        <v>0</v>
      </c>
      <c r="I4579" s="138">
        <v>0</v>
      </c>
      <c r="J4579" s="138">
        <v>0</v>
      </c>
    </row>
    <row r="4580" spans="1:10">
      <c r="A4580" s="136" t="s">
        <v>104</v>
      </c>
      <c r="B4580" s="136" t="s">
        <v>123</v>
      </c>
      <c r="C4580" s="137">
        <v>0.74166666666666703</v>
      </c>
      <c r="D4580" s="138">
        <v>0</v>
      </c>
      <c r="E4580" s="138">
        <v>0</v>
      </c>
      <c r="F4580" s="138">
        <v>0</v>
      </c>
      <c r="G4580" s="138">
        <v>0</v>
      </c>
      <c r="H4580" s="138">
        <v>0</v>
      </c>
      <c r="I4580" s="138">
        <v>0</v>
      </c>
      <c r="J4580" s="138">
        <v>0</v>
      </c>
    </row>
    <row r="4581" spans="1:10">
      <c r="A4581" s="136" t="s">
        <v>104</v>
      </c>
      <c r="B4581" s="136" t="s">
        <v>123</v>
      </c>
      <c r="C4581" s="137">
        <v>0.74236111111111103</v>
      </c>
      <c r="D4581" s="138">
        <v>0</v>
      </c>
      <c r="E4581" s="138">
        <v>0</v>
      </c>
      <c r="F4581" s="138">
        <v>0</v>
      </c>
      <c r="G4581" s="138">
        <v>0</v>
      </c>
      <c r="H4581" s="138">
        <v>0</v>
      </c>
      <c r="I4581" s="138">
        <v>0</v>
      </c>
      <c r="J4581" s="138">
        <v>0</v>
      </c>
    </row>
    <row r="4582" spans="1:10">
      <c r="A4582" s="136" t="s">
        <v>104</v>
      </c>
      <c r="B4582" s="136" t="s">
        <v>123</v>
      </c>
      <c r="C4582" s="137">
        <v>0.74305555555555503</v>
      </c>
      <c r="D4582" s="138">
        <v>0</v>
      </c>
      <c r="E4582" s="138">
        <v>0</v>
      </c>
      <c r="F4582" s="138">
        <v>0</v>
      </c>
      <c r="G4582" s="138">
        <v>0</v>
      </c>
      <c r="H4582" s="138">
        <v>0</v>
      </c>
      <c r="I4582" s="138">
        <v>0</v>
      </c>
      <c r="J4582" s="138">
        <v>0</v>
      </c>
    </row>
    <row r="4583" spans="1:10">
      <c r="A4583" s="136" t="s">
        <v>104</v>
      </c>
      <c r="B4583" s="136" t="s">
        <v>123</v>
      </c>
      <c r="C4583" s="137">
        <v>0.74375000000000002</v>
      </c>
      <c r="D4583" s="138">
        <v>0</v>
      </c>
      <c r="E4583" s="138">
        <v>0</v>
      </c>
      <c r="F4583" s="138">
        <v>0</v>
      </c>
      <c r="G4583" s="138">
        <v>0</v>
      </c>
      <c r="H4583" s="138">
        <v>0</v>
      </c>
      <c r="I4583" s="138">
        <v>0</v>
      </c>
      <c r="J4583" s="138">
        <v>0</v>
      </c>
    </row>
    <row r="4584" spans="1:10">
      <c r="A4584" s="136" t="s">
        <v>104</v>
      </c>
      <c r="B4584" s="136" t="s">
        <v>123</v>
      </c>
      <c r="C4584" s="137">
        <v>0.74444444444444402</v>
      </c>
      <c r="D4584" s="138">
        <v>0</v>
      </c>
      <c r="E4584" s="138">
        <v>0</v>
      </c>
      <c r="F4584" s="138">
        <v>0</v>
      </c>
      <c r="G4584" s="138">
        <v>0</v>
      </c>
      <c r="H4584" s="138">
        <v>0</v>
      </c>
      <c r="I4584" s="138">
        <v>0</v>
      </c>
      <c r="J4584" s="138">
        <v>0</v>
      </c>
    </row>
    <row r="4585" spans="1:10">
      <c r="A4585" s="136" t="s">
        <v>104</v>
      </c>
      <c r="B4585" s="136" t="s">
        <v>123</v>
      </c>
      <c r="C4585" s="137">
        <v>0.74513888888888902</v>
      </c>
      <c r="D4585" s="138">
        <v>0</v>
      </c>
      <c r="E4585" s="138">
        <v>0</v>
      </c>
      <c r="F4585" s="138">
        <v>0</v>
      </c>
      <c r="G4585" s="138">
        <v>0</v>
      </c>
      <c r="H4585" s="138">
        <v>0</v>
      </c>
      <c r="I4585" s="138">
        <v>0</v>
      </c>
      <c r="J4585" s="138">
        <v>0</v>
      </c>
    </row>
    <row r="4586" spans="1:10">
      <c r="A4586" s="136" t="s">
        <v>104</v>
      </c>
      <c r="B4586" s="136" t="s">
        <v>123</v>
      </c>
      <c r="C4586" s="137">
        <v>0.74583333333333302</v>
      </c>
      <c r="D4586" s="138">
        <v>0</v>
      </c>
      <c r="E4586" s="138">
        <v>0</v>
      </c>
      <c r="F4586" s="138">
        <v>0</v>
      </c>
      <c r="G4586" s="138">
        <v>0</v>
      </c>
      <c r="H4586" s="138">
        <v>0</v>
      </c>
      <c r="I4586" s="138">
        <v>0</v>
      </c>
      <c r="J4586" s="138">
        <v>0</v>
      </c>
    </row>
    <row r="4587" spans="1:10">
      <c r="A4587" s="136" t="s">
        <v>104</v>
      </c>
      <c r="B4587" s="136" t="s">
        <v>123</v>
      </c>
      <c r="C4587" s="137">
        <v>0.74652777777777801</v>
      </c>
      <c r="D4587" s="138">
        <v>0</v>
      </c>
      <c r="E4587" s="138">
        <v>0</v>
      </c>
      <c r="F4587" s="138">
        <v>0</v>
      </c>
      <c r="G4587" s="138">
        <v>0</v>
      </c>
      <c r="H4587" s="138">
        <v>0</v>
      </c>
      <c r="I4587" s="138">
        <v>0</v>
      </c>
      <c r="J4587" s="138">
        <v>0</v>
      </c>
    </row>
    <row r="4588" spans="1:10">
      <c r="A4588" s="136" t="s">
        <v>104</v>
      </c>
      <c r="B4588" s="136" t="s">
        <v>123</v>
      </c>
      <c r="C4588" s="137">
        <v>0.74722222222222201</v>
      </c>
      <c r="D4588" s="138">
        <v>0</v>
      </c>
      <c r="E4588" s="138">
        <v>0</v>
      </c>
      <c r="F4588" s="138">
        <v>0</v>
      </c>
      <c r="G4588" s="138">
        <v>0</v>
      </c>
      <c r="H4588" s="138">
        <v>0</v>
      </c>
      <c r="I4588" s="138">
        <v>0</v>
      </c>
      <c r="J4588" s="138">
        <v>0</v>
      </c>
    </row>
    <row r="4589" spans="1:10">
      <c r="A4589" s="136" t="s">
        <v>104</v>
      </c>
      <c r="B4589" s="136" t="s">
        <v>123</v>
      </c>
      <c r="C4589" s="137">
        <v>0.74791666666666701</v>
      </c>
      <c r="D4589" s="138">
        <v>0</v>
      </c>
      <c r="E4589" s="138">
        <v>0</v>
      </c>
      <c r="F4589" s="138">
        <v>0</v>
      </c>
      <c r="G4589" s="138">
        <v>0</v>
      </c>
      <c r="H4589" s="138">
        <v>0</v>
      </c>
      <c r="I4589" s="138">
        <v>0</v>
      </c>
      <c r="J4589" s="138">
        <v>0</v>
      </c>
    </row>
    <row r="4590" spans="1:10">
      <c r="A4590" s="136" t="s">
        <v>104</v>
      </c>
      <c r="B4590" s="136" t="s">
        <v>123</v>
      </c>
      <c r="C4590" s="137">
        <v>0.74861111111111101</v>
      </c>
      <c r="D4590" s="138">
        <v>0</v>
      </c>
      <c r="E4590" s="138">
        <v>0</v>
      </c>
      <c r="F4590" s="138">
        <v>0</v>
      </c>
      <c r="G4590" s="138">
        <v>0</v>
      </c>
      <c r="H4590" s="138">
        <v>0</v>
      </c>
      <c r="I4590" s="138">
        <v>0</v>
      </c>
      <c r="J4590" s="138">
        <v>0</v>
      </c>
    </row>
    <row r="4591" spans="1:10">
      <c r="A4591" s="139" t="s">
        <v>104</v>
      </c>
      <c r="B4591" s="139" t="s">
        <v>123</v>
      </c>
      <c r="C4591" s="140">
        <v>0.749305555555555</v>
      </c>
      <c r="D4591" s="138">
        <v>0</v>
      </c>
      <c r="E4591" s="138">
        <v>0</v>
      </c>
      <c r="F4591" s="138">
        <v>0</v>
      </c>
      <c r="G4591" s="138">
        <v>0</v>
      </c>
      <c r="H4591" s="138">
        <v>0</v>
      </c>
      <c r="I4591" s="138">
        <v>0</v>
      </c>
      <c r="J4591" s="138">
        <v>0</v>
      </c>
    </row>
    <row r="4592" spans="1:10">
      <c r="A4592" s="147" t="s">
        <v>104</v>
      </c>
      <c r="B4592" s="147" t="s">
        <v>123</v>
      </c>
      <c r="C4592" s="148">
        <v>0.75</v>
      </c>
      <c r="D4592" s="142">
        <v>0</v>
      </c>
      <c r="E4592" s="142">
        <v>0</v>
      </c>
      <c r="F4592" s="142">
        <v>0</v>
      </c>
      <c r="G4592" s="142">
        <v>0</v>
      </c>
      <c r="H4592" s="142">
        <v>0</v>
      </c>
      <c r="I4592" s="142">
        <v>0</v>
      </c>
      <c r="J4592" s="142">
        <v>0</v>
      </c>
    </row>
    <row r="4593" spans="1:10">
      <c r="A4593" s="136" t="s">
        <v>104</v>
      </c>
      <c r="B4593" s="136" t="s">
        <v>123</v>
      </c>
      <c r="C4593" s="137">
        <v>0.750694444444444</v>
      </c>
      <c r="D4593" s="138">
        <v>0</v>
      </c>
      <c r="E4593" s="138">
        <v>0</v>
      </c>
      <c r="F4593" s="138">
        <v>0</v>
      </c>
      <c r="G4593" s="138">
        <v>0</v>
      </c>
      <c r="H4593" s="138">
        <v>0</v>
      </c>
      <c r="I4593" s="138">
        <v>0</v>
      </c>
      <c r="J4593" s="138">
        <v>0</v>
      </c>
    </row>
    <row r="4594" spans="1:10">
      <c r="A4594" s="136" t="s">
        <v>104</v>
      </c>
      <c r="B4594" s="136" t="s">
        <v>123</v>
      </c>
      <c r="C4594" s="137">
        <v>0.75138888888888899</v>
      </c>
      <c r="D4594" s="138">
        <v>0</v>
      </c>
      <c r="E4594" s="138">
        <v>0</v>
      </c>
      <c r="F4594" s="138">
        <v>0</v>
      </c>
      <c r="G4594" s="138">
        <v>0</v>
      </c>
      <c r="H4594" s="138">
        <v>0</v>
      </c>
      <c r="I4594" s="138">
        <v>0</v>
      </c>
      <c r="J4594" s="138">
        <v>0</v>
      </c>
    </row>
    <row r="4595" spans="1:10">
      <c r="A4595" s="136" t="s">
        <v>104</v>
      </c>
      <c r="B4595" s="136" t="s">
        <v>123</v>
      </c>
      <c r="C4595" s="137">
        <v>0.75208333333333299</v>
      </c>
      <c r="D4595" s="138">
        <v>0</v>
      </c>
      <c r="E4595" s="138">
        <v>0</v>
      </c>
      <c r="F4595" s="138">
        <v>0</v>
      </c>
      <c r="G4595" s="138">
        <v>0</v>
      </c>
      <c r="H4595" s="138">
        <v>0</v>
      </c>
      <c r="I4595" s="138">
        <v>0</v>
      </c>
      <c r="J4595" s="138">
        <v>0</v>
      </c>
    </row>
    <row r="4596" spans="1:10">
      <c r="A4596" s="136" t="s">
        <v>104</v>
      </c>
      <c r="B4596" s="136" t="s">
        <v>123</v>
      </c>
      <c r="C4596" s="137">
        <v>0.75277777777777799</v>
      </c>
      <c r="D4596" s="138">
        <v>0</v>
      </c>
      <c r="E4596" s="138">
        <v>0</v>
      </c>
      <c r="F4596" s="138">
        <v>0</v>
      </c>
      <c r="G4596" s="138">
        <v>0</v>
      </c>
      <c r="H4596" s="138">
        <v>0</v>
      </c>
      <c r="I4596" s="138">
        <v>0</v>
      </c>
      <c r="J4596" s="138">
        <v>0</v>
      </c>
    </row>
    <row r="4597" spans="1:10">
      <c r="A4597" s="136" t="s">
        <v>104</v>
      </c>
      <c r="B4597" s="136" t="s">
        <v>123</v>
      </c>
      <c r="C4597" s="137">
        <v>0.75347222222222199</v>
      </c>
      <c r="D4597" s="138">
        <v>0</v>
      </c>
      <c r="E4597" s="138">
        <v>0</v>
      </c>
      <c r="F4597" s="138">
        <v>0</v>
      </c>
      <c r="G4597" s="138">
        <v>0</v>
      </c>
      <c r="H4597" s="138">
        <v>0</v>
      </c>
      <c r="I4597" s="138">
        <v>0</v>
      </c>
      <c r="J4597" s="138">
        <v>0</v>
      </c>
    </row>
    <row r="4598" spans="1:10">
      <c r="A4598" s="136" t="s">
        <v>104</v>
      </c>
      <c r="B4598" s="136" t="s">
        <v>123</v>
      </c>
      <c r="C4598" s="137">
        <v>0.75416666666666698</v>
      </c>
      <c r="D4598" s="138">
        <v>0</v>
      </c>
      <c r="E4598" s="138">
        <v>0</v>
      </c>
      <c r="F4598" s="138">
        <v>0</v>
      </c>
      <c r="G4598" s="138">
        <v>0</v>
      </c>
      <c r="H4598" s="138">
        <v>0</v>
      </c>
      <c r="I4598" s="138">
        <v>0</v>
      </c>
      <c r="J4598" s="138">
        <v>0</v>
      </c>
    </row>
    <row r="4599" spans="1:10">
      <c r="A4599" s="136" t="s">
        <v>104</v>
      </c>
      <c r="B4599" s="136" t="s">
        <v>123</v>
      </c>
      <c r="C4599" s="137">
        <v>0.75486111111111098</v>
      </c>
      <c r="D4599" s="138">
        <v>0</v>
      </c>
      <c r="E4599" s="138">
        <v>0</v>
      </c>
      <c r="F4599" s="138">
        <v>0</v>
      </c>
      <c r="G4599" s="138">
        <v>0</v>
      </c>
      <c r="H4599" s="138">
        <v>0</v>
      </c>
      <c r="I4599" s="138">
        <v>0</v>
      </c>
      <c r="J4599" s="138">
        <v>0</v>
      </c>
    </row>
    <row r="4600" spans="1:10">
      <c r="A4600" s="136" t="s">
        <v>104</v>
      </c>
      <c r="B4600" s="136" t="s">
        <v>123</v>
      </c>
      <c r="C4600" s="137">
        <v>0.75555555555555498</v>
      </c>
      <c r="D4600" s="138">
        <v>0</v>
      </c>
      <c r="E4600" s="138">
        <v>0</v>
      </c>
      <c r="F4600" s="138">
        <v>0</v>
      </c>
      <c r="G4600" s="138">
        <v>0</v>
      </c>
      <c r="H4600" s="138">
        <v>0</v>
      </c>
      <c r="I4600" s="138">
        <v>0</v>
      </c>
      <c r="J4600" s="138">
        <v>0</v>
      </c>
    </row>
    <row r="4601" spans="1:10">
      <c r="A4601" s="136" t="s">
        <v>104</v>
      </c>
      <c r="B4601" s="136" t="s">
        <v>123</v>
      </c>
      <c r="C4601" s="137">
        <v>0.75624999999999998</v>
      </c>
      <c r="D4601" s="138">
        <v>0</v>
      </c>
      <c r="E4601" s="138">
        <v>0</v>
      </c>
      <c r="F4601" s="138">
        <v>0</v>
      </c>
      <c r="G4601" s="138">
        <v>0</v>
      </c>
      <c r="H4601" s="138">
        <v>0</v>
      </c>
      <c r="I4601" s="138">
        <v>0</v>
      </c>
      <c r="J4601" s="138">
        <v>0</v>
      </c>
    </row>
    <row r="4602" spans="1:10">
      <c r="A4602" s="136" t="s">
        <v>104</v>
      </c>
      <c r="B4602" s="136" t="s">
        <v>123</v>
      </c>
      <c r="C4602" s="137">
        <v>0.75694444444444398</v>
      </c>
      <c r="D4602" s="138">
        <v>0</v>
      </c>
      <c r="E4602" s="138">
        <v>0</v>
      </c>
      <c r="F4602" s="138">
        <v>0</v>
      </c>
      <c r="G4602" s="138">
        <v>0</v>
      </c>
      <c r="H4602" s="138">
        <v>0</v>
      </c>
      <c r="I4602" s="138">
        <v>0</v>
      </c>
      <c r="J4602" s="138">
        <v>0</v>
      </c>
    </row>
    <row r="4603" spans="1:10">
      <c r="A4603" s="136" t="s">
        <v>104</v>
      </c>
      <c r="B4603" s="136" t="s">
        <v>123</v>
      </c>
      <c r="C4603" s="137">
        <v>0.75763888888888897</v>
      </c>
      <c r="D4603" s="138">
        <v>0</v>
      </c>
      <c r="E4603" s="138">
        <v>0</v>
      </c>
      <c r="F4603" s="138">
        <v>0</v>
      </c>
      <c r="G4603" s="138">
        <v>0</v>
      </c>
      <c r="H4603" s="138">
        <v>0</v>
      </c>
      <c r="I4603" s="138">
        <v>0</v>
      </c>
      <c r="J4603" s="138">
        <v>0</v>
      </c>
    </row>
    <row r="4604" spans="1:10">
      <c r="A4604" s="136" t="s">
        <v>104</v>
      </c>
      <c r="B4604" s="136" t="s">
        <v>123</v>
      </c>
      <c r="C4604" s="137">
        <v>0.75833333333333297</v>
      </c>
      <c r="D4604" s="138">
        <v>0</v>
      </c>
      <c r="E4604" s="138">
        <v>0</v>
      </c>
      <c r="F4604" s="138">
        <v>0</v>
      </c>
      <c r="G4604" s="138">
        <v>0</v>
      </c>
      <c r="H4604" s="138">
        <v>0</v>
      </c>
      <c r="I4604" s="138">
        <v>0</v>
      </c>
      <c r="J4604" s="138">
        <v>0</v>
      </c>
    </row>
    <row r="4605" spans="1:10">
      <c r="A4605" s="136" t="s">
        <v>104</v>
      </c>
      <c r="B4605" s="136" t="s">
        <v>123</v>
      </c>
      <c r="C4605" s="137">
        <v>0.75902777777777797</v>
      </c>
      <c r="D4605" s="138">
        <v>0</v>
      </c>
      <c r="E4605" s="138">
        <v>0</v>
      </c>
      <c r="F4605" s="138">
        <v>0</v>
      </c>
      <c r="G4605" s="138">
        <v>0</v>
      </c>
      <c r="H4605" s="138">
        <v>0</v>
      </c>
      <c r="I4605" s="138">
        <v>0</v>
      </c>
      <c r="J4605" s="138">
        <v>0</v>
      </c>
    </row>
    <row r="4606" spans="1:10">
      <c r="A4606" s="139" t="s">
        <v>104</v>
      </c>
      <c r="B4606" s="139" t="s">
        <v>123</v>
      </c>
      <c r="C4606" s="140">
        <v>0.75972222222222197</v>
      </c>
      <c r="D4606" s="141">
        <v>0</v>
      </c>
      <c r="E4606" s="141">
        <v>0</v>
      </c>
      <c r="F4606" s="141">
        <v>0</v>
      </c>
      <c r="G4606" s="141">
        <v>0</v>
      </c>
      <c r="H4606" s="141">
        <v>0</v>
      </c>
      <c r="I4606" s="141">
        <v>0</v>
      </c>
      <c r="J4606" s="141">
        <v>0</v>
      </c>
    </row>
    <row r="4607" spans="1:10">
      <c r="A4607" s="147" t="s">
        <v>104</v>
      </c>
      <c r="B4607" s="147" t="s">
        <v>123</v>
      </c>
      <c r="C4607" s="148">
        <v>0.76041666666666696</v>
      </c>
      <c r="D4607" s="142">
        <v>0</v>
      </c>
      <c r="E4607" s="142">
        <v>0</v>
      </c>
      <c r="F4607" s="142">
        <v>0</v>
      </c>
      <c r="G4607" s="142">
        <v>0</v>
      </c>
      <c r="H4607" s="142">
        <v>0</v>
      </c>
      <c r="I4607" s="142">
        <v>0</v>
      </c>
      <c r="J4607" s="142">
        <v>0</v>
      </c>
    </row>
    <row r="4608" spans="1:10">
      <c r="A4608" s="136" t="s">
        <v>104</v>
      </c>
      <c r="B4608" s="136" t="s">
        <v>123</v>
      </c>
      <c r="C4608" s="137">
        <v>0.76111111111111096</v>
      </c>
      <c r="D4608" s="138">
        <v>0</v>
      </c>
      <c r="E4608" s="138">
        <v>0</v>
      </c>
      <c r="F4608" s="138">
        <v>0</v>
      </c>
      <c r="G4608" s="138">
        <v>0</v>
      </c>
      <c r="H4608" s="138">
        <v>0</v>
      </c>
      <c r="I4608" s="138">
        <v>0</v>
      </c>
      <c r="J4608" s="138">
        <v>0</v>
      </c>
    </row>
    <row r="4609" spans="1:10">
      <c r="A4609" s="136" t="s">
        <v>104</v>
      </c>
      <c r="B4609" s="136" t="s">
        <v>123</v>
      </c>
      <c r="C4609" s="137">
        <v>0.76180555555555496</v>
      </c>
      <c r="D4609" s="138">
        <v>0</v>
      </c>
      <c r="E4609" s="138">
        <v>0</v>
      </c>
      <c r="F4609" s="138">
        <v>0</v>
      </c>
      <c r="G4609" s="138">
        <v>0</v>
      </c>
      <c r="H4609" s="138">
        <v>0</v>
      </c>
      <c r="I4609" s="138">
        <v>0</v>
      </c>
      <c r="J4609" s="138">
        <v>0</v>
      </c>
    </row>
    <row r="4610" spans="1:10">
      <c r="A4610" s="136" t="s">
        <v>104</v>
      </c>
      <c r="B4610" s="136" t="s">
        <v>123</v>
      </c>
      <c r="C4610" s="137">
        <v>0.76249999999999996</v>
      </c>
      <c r="D4610" s="138">
        <v>0</v>
      </c>
      <c r="E4610" s="138">
        <v>0</v>
      </c>
      <c r="F4610" s="138">
        <v>0</v>
      </c>
      <c r="G4610" s="138">
        <v>0</v>
      </c>
      <c r="H4610" s="138">
        <v>0</v>
      </c>
      <c r="I4610" s="138">
        <v>0</v>
      </c>
      <c r="J4610" s="138">
        <v>0</v>
      </c>
    </row>
    <row r="4611" spans="1:10">
      <c r="A4611" s="136" t="s">
        <v>104</v>
      </c>
      <c r="B4611" s="136" t="s">
        <v>123</v>
      </c>
      <c r="C4611" s="137">
        <v>0.76319444444444395</v>
      </c>
      <c r="D4611" s="138">
        <v>0</v>
      </c>
      <c r="E4611" s="138">
        <v>0</v>
      </c>
      <c r="F4611" s="138">
        <v>0</v>
      </c>
      <c r="G4611" s="138">
        <v>0</v>
      </c>
      <c r="H4611" s="138">
        <v>0</v>
      </c>
      <c r="I4611" s="138">
        <v>0</v>
      </c>
      <c r="J4611" s="138">
        <v>0</v>
      </c>
    </row>
    <row r="4612" spans="1:10">
      <c r="A4612" s="136" t="s">
        <v>104</v>
      </c>
      <c r="B4612" s="136" t="s">
        <v>123</v>
      </c>
      <c r="C4612" s="137">
        <v>0.76388888888888895</v>
      </c>
      <c r="D4612" s="138">
        <v>0</v>
      </c>
      <c r="E4612" s="138">
        <v>0</v>
      </c>
      <c r="F4612" s="138">
        <v>0</v>
      </c>
      <c r="G4612" s="138">
        <v>0</v>
      </c>
      <c r="H4612" s="138">
        <v>0</v>
      </c>
      <c r="I4612" s="138">
        <v>0</v>
      </c>
      <c r="J4612" s="138">
        <v>0</v>
      </c>
    </row>
    <row r="4613" spans="1:10">
      <c r="A4613" s="136" t="s">
        <v>104</v>
      </c>
      <c r="B4613" s="136" t="s">
        <v>123</v>
      </c>
      <c r="C4613" s="137">
        <v>0.76458333333333295</v>
      </c>
      <c r="D4613" s="138">
        <v>0</v>
      </c>
      <c r="E4613" s="138">
        <v>0</v>
      </c>
      <c r="F4613" s="138">
        <v>0</v>
      </c>
      <c r="G4613" s="138">
        <v>0</v>
      </c>
      <c r="H4613" s="138">
        <v>0</v>
      </c>
      <c r="I4613" s="138">
        <v>0</v>
      </c>
      <c r="J4613" s="138">
        <v>0</v>
      </c>
    </row>
    <row r="4614" spans="1:10">
      <c r="A4614" s="136" t="s">
        <v>104</v>
      </c>
      <c r="B4614" s="136" t="s">
        <v>123</v>
      </c>
      <c r="C4614" s="137">
        <v>0.76527777777777795</v>
      </c>
      <c r="D4614" s="138">
        <v>0</v>
      </c>
      <c r="E4614" s="138">
        <v>0</v>
      </c>
      <c r="F4614" s="138">
        <v>0</v>
      </c>
      <c r="G4614" s="138">
        <v>0</v>
      </c>
      <c r="H4614" s="138">
        <v>0</v>
      </c>
      <c r="I4614" s="138">
        <v>0</v>
      </c>
      <c r="J4614" s="138">
        <v>0</v>
      </c>
    </row>
    <row r="4615" spans="1:10">
      <c r="A4615" s="136" t="s">
        <v>104</v>
      </c>
      <c r="B4615" s="136" t="s">
        <v>123</v>
      </c>
      <c r="C4615" s="137">
        <v>0.76597222222222205</v>
      </c>
      <c r="D4615" s="138">
        <v>0</v>
      </c>
      <c r="E4615" s="138">
        <v>0</v>
      </c>
      <c r="F4615" s="138">
        <v>0</v>
      </c>
      <c r="G4615" s="138">
        <v>0</v>
      </c>
      <c r="H4615" s="138">
        <v>0</v>
      </c>
      <c r="I4615" s="138">
        <v>0</v>
      </c>
      <c r="J4615" s="138">
        <v>0</v>
      </c>
    </row>
    <row r="4616" spans="1:10">
      <c r="A4616" s="136" t="s">
        <v>104</v>
      </c>
      <c r="B4616" s="136" t="s">
        <v>123</v>
      </c>
      <c r="C4616" s="137">
        <v>0.76666666666666605</v>
      </c>
      <c r="D4616" s="138">
        <v>0</v>
      </c>
      <c r="E4616" s="138">
        <v>0</v>
      </c>
      <c r="F4616" s="138">
        <v>0</v>
      </c>
      <c r="G4616" s="138">
        <v>0</v>
      </c>
      <c r="H4616" s="138">
        <v>0</v>
      </c>
      <c r="I4616" s="138">
        <v>0</v>
      </c>
      <c r="J4616" s="138">
        <v>0</v>
      </c>
    </row>
    <row r="4617" spans="1:10">
      <c r="A4617" s="136" t="s">
        <v>104</v>
      </c>
      <c r="B4617" s="136" t="s">
        <v>123</v>
      </c>
      <c r="C4617" s="137">
        <v>0.76736111111111105</v>
      </c>
      <c r="D4617" s="138">
        <v>0</v>
      </c>
      <c r="E4617" s="138">
        <v>0</v>
      </c>
      <c r="F4617" s="138">
        <v>0</v>
      </c>
      <c r="G4617" s="138">
        <v>0</v>
      </c>
      <c r="H4617" s="138">
        <v>0</v>
      </c>
      <c r="I4617" s="138">
        <v>0</v>
      </c>
      <c r="J4617" s="138">
        <v>0</v>
      </c>
    </row>
    <row r="4618" spans="1:10">
      <c r="A4618" s="136" t="s">
        <v>105</v>
      </c>
      <c r="B4618" s="136" t="s">
        <v>123</v>
      </c>
      <c r="C4618" s="137">
        <v>0.76805555555555505</v>
      </c>
      <c r="D4618" s="138">
        <v>0</v>
      </c>
      <c r="E4618" s="138">
        <v>0</v>
      </c>
      <c r="F4618" s="138">
        <v>0</v>
      </c>
      <c r="G4618" s="138">
        <v>0</v>
      </c>
      <c r="H4618" s="138">
        <v>0</v>
      </c>
      <c r="I4618" s="138">
        <v>0</v>
      </c>
      <c r="J4618" s="138">
        <v>0</v>
      </c>
    </row>
    <row r="4619" spans="1:10">
      <c r="A4619" s="136" t="s">
        <v>104</v>
      </c>
      <c r="B4619" s="136" t="s">
        <v>123</v>
      </c>
      <c r="C4619" s="137">
        <v>0.76875000000000004</v>
      </c>
      <c r="D4619" s="138">
        <v>0</v>
      </c>
      <c r="E4619" s="138">
        <v>0</v>
      </c>
      <c r="F4619" s="138">
        <v>0</v>
      </c>
      <c r="G4619" s="138">
        <v>0</v>
      </c>
      <c r="H4619" s="138">
        <v>0</v>
      </c>
      <c r="I4619" s="138">
        <v>0</v>
      </c>
      <c r="J4619" s="138">
        <v>0</v>
      </c>
    </row>
    <row r="4620" spans="1:10">
      <c r="A4620" s="136" t="s">
        <v>104</v>
      </c>
      <c r="B4620" s="136" t="s">
        <v>123</v>
      </c>
      <c r="C4620" s="137">
        <v>0.76944444444444404</v>
      </c>
      <c r="D4620" s="138">
        <v>0</v>
      </c>
      <c r="E4620" s="138">
        <v>0</v>
      </c>
      <c r="F4620" s="138">
        <v>0</v>
      </c>
      <c r="G4620" s="138">
        <v>0</v>
      </c>
      <c r="H4620" s="138">
        <v>0</v>
      </c>
      <c r="I4620" s="138">
        <v>0</v>
      </c>
      <c r="J4620" s="138">
        <v>0</v>
      </c>
    </row>
    <row r="4621" spans="1:10" ht="17.5" thickBot="1">
      <c r="A4621" s="143" t="s">
        <v>104</v>
      </c>
      <c r="B4621" s="143" t="s">
        <v>123</v>
      </c>
      <c r="C4621" s="144">
        <v>0.77013888888888904</v>
      </c>
      <c r="D4621" s="145">
        <v>0</v>
      </c>
      <c r="E4621" s="145">
        <v>0</v>
      </c>
      <c r="F4621" s="145">
        <v>0</v>
      </c>
      <c r="G4621" s="145">
        <v>0</v>
      </c>
      <c r="H4621" s="145">
        <v>0</v>
      </c>
      <c r="I4621" s="145">
        <v>0</v>
      </c>
      <c r="J4621" s="145">
        <v>0</v>
      </c>
    </row>
    <row r="4622" spans="1:10">
      <c r="A4622" s="149" t="s">
        <v>104</v>
      </c>
      <c r="B4622" s="149" t="s">
        <v>126</v>
      </c>
      <c r="C4622" s="150">
        <v>0.72916666666666663</v>
      </c>
      <c r="D4622" s="138">
        <v>0</v>
      </c>
      <c r="E4622" s="138">
        <v>0</v>
      </c>
      <c r="F4622" s="138">
        <v>0</v>
      </c>
      <c r="G4622" s="138">
        <v>0</v>
      </c>
      <c r="H4622" s="138">
        <v>0</v>
      </c>
      <c r="I4622" s="138">
        <v>0</v>
      </c>
      <c r="J4622" s="138">
        <v>0</v>
      </c>
    </row>
    <row r="4623" spans="1:10">
      <c r="A4623" s="136" t="s">
        <v>104</v>
      </c>
      <c r="B4623" s="136" t="s">
        <v>125</v>
      </c>
      <c r="C4623" s="137">
        <v>0.72986111111111107</v>
      </c>
      <c r="D4623" s="138">
        <v>0</v>
      </c>
      <c r="E4623" s="138">
        <v>0</v>
      </c>
      <c r="F4623" s="138">
        <v>0</v>
      </c>
      <c r="G4623" s="138">
        <v>0</v>
      </c>
      <c r="H4623" s="138">
        <v>0</v>
      </c>
      <c r="I4623" s="138">
        <v>0</v>
      </c>
      <c r="J4623" s="138">
        <v>0</v>
      </c>
    </row>
    <row r="4624" spans="1:10">
      <c r="A4624" s="136" t="s">
        <v>104</v>
      </c>
      <c r="B4624" s="136" t="s">
        <v>125</v>
      </c>
      <c r="C4624" s="137">
        <v>0.73055555555555596</v>
      </c>
      <c r="D4624" s="138">
        <v>0</v>
      </c>
      <c r="E4624" s="138">
        <v>0</v>
      </c>
      <c r="F4624" s="138">
        <v>0</v>
      </c>
      <c r="G4624" s="138">
        <v>0</v>
      </c>
      <c r="H4624" s="138">
        <v>0</v>
      </c>
      <c r="I4624" s="138">
        <v>0</v>
      </c>
      <c r="J4624" s="138">
        <v>0</v>
      </c>
    </row>
    <row r="4625" spans="1:10">
      <c r="A4625" s="136" t="s">
        <v>104</v>
      </c>
      <c r="B4625" s="136" t="s">
        <v>125</v>
      </c>
      <c r="C4625" s="137">
        <v>0.73124999999999996</v>
      </c>
      <c r="D4625" s="138">
        <v>0</v>
      </c>
      <c r="E4625" s="138">
        <v>0</v>
      </c>
      <c r="F4625" s="138">
        <v>0</v>
      </c>
      <c r="G4625" s="138">
        <v>0</v>
      </c>
      <c r="H4625" s="138">
        <v>0</v>
      </c>
      <c r="I4625" s="138">
        <v>0</v>
      </c>
      <c r="J4625" s="138">
        <v>0</v>
      </c>
    </row>
    <row r="4626" spans="1:10">
      <c r="A4626" s="136" t="s">
        <v>104</v>
      </c>
      <c r="B4626" s="136" t="s">
        <v>125</v>
      </c>
      <c r="C4626" s="137">
        <v>0.73194444444444395</v>
      </c>
      <c r="D4626" s="138">
        <v>0</v>
      </c>
      <c r="E4626" s="138">
        <v>0</v>
      </c>
      <c r="F4626" s="138">
        <v>0</v>
      </c>
      <c r="G4626" s="138">
        <v>0</v>
      </c>
      <c r="H4626" s="138">
        <v>0</v>
      </c>
      <c r="I4626" s="138">
        <v>0</v>
      </c>
      <c r="J4626" s="138">
        <v>0</v>
      </c>
    </row>
    <row r="4627" spans="1:10">
      <c r="A4627" s="136" t="s">
        <v>104</v>
      </c>
      <c r="B4627" s="136" t="s">
        <v>125</v>
      </c>
      <c r="C4627" s="137">
        <v>0.73263888888888895</v>
      </c>
      <c r="D4627" s="138">
        <v>0</v>
      </c>
      <c r="E4627" s="138">
        <v>0</v>
      </c>
      <c r="F4627" s="138">
        <v>0</v>
      </c>
      <c r="G4627" s="138">
        <v>0</v>
      </c>
      <c r="H4627" s="138">
        <v>0</v>
      </c>
      <c r="I4627" s="138">
        <v>0</v>
      </c>
      <c r="J4627" s="138">
        <v>0</v>
      </c>
    </row>
    <row r="4628" spans="1:10">
      <c r="A4628" s="136" t="s">
        <v>104</v>
      </c>
      <c r="B4628" s="136" t="s">
        <v>125</v>
      </c>
      <c r="C4628" s="137">
        <v>0.73333333333333295</v>
      </c>
      <c r="D4628" s="138">
        <v>0</v>
      </c>
      <c r="E4628" s="138">
        <v>0</v>
      </c>
      <c r="F4628" s="138">
        <v>0</v>
      </c>
      <c r="G4628" s="138">
        <v>0</v>
      </c>
      <c r="H4628" s="138">
        <v>0</v>
      </c>
      <c r="I4628" s="138">
        <v>0</v>
      </c>
      <c r="J4628" s="138">
        <v>0</v>
      </c>
    </row>
    <row r="4629" spans="1:10">
      <c r="A4629" s="136" t="s">
        <v>104</v>
      </c>
      <c r="B4629" s="136" t="s">
        <v>125</v>
      </c>
      <c r="C4629" s="137">
        <v>0.73402777777777795</v>
      </c>
      <c r="D4629" s="138">
        <v>0</v>
      </c>
      <c r="E4629" s="138">
        <v>0</v>
      </c>
      <c r="F4629" s="138">
        <v>0</v>
      </c>
      <c r="G4629" s="138">
        <v>0</v>
      </c>
      <c r="H4629" s="138">
        <v>0</v>
      </c>
      <c r="I4629" s="138">
        <v>0</v>
      </c>
      <c r="J4629" s="138">
        <v>0</v>
      </c>
    </row>
    <row r="4630" spans="1:10">
      <c r="A4630" s="136" t="s">
        <v>104</v>
      </c>
      <c r="B4630" s="136" t="s">
        <v>125</v>
      </c>
      <c r="C4630" s="137">
        <v>0.73472222222222205</v>
      </c>
      <c r="D4630" s="138">
        <v>0</v>
      </c>
      <c r="E4630" s="138">
        <v>0</v>
      </c>
      <c r="F4630" s="138">
        <v>0</v>
      </c>
      <c r="G4630" s="138">
        <v>0</v>
      </c>
      <c r="H4630" s="138">
        <v>0</v>
      </c>
      <c r="I4630" s="138">
        <v>0</v>
      </c>
      <c r="J4630" s="138">
        <v>0</v>
      </c>
    </row>
    <row r="4631" spans="1:10">
      <c r="A4631" s="136" t="s">
        <v>104</v>
      </c>
      <c r="B4631" s="136" t="s">
        <v>125</v>
      </c>
      <c r="C4631" s="137">
        <v>0.73541666666666705</v>
      </c>
      <c r="D4631" s="138">
        <v>0</v>
      </c>
      <c r="E4631" s="138">
        <v>0</v>
      </c>
      <c r="F4631" s="138">
        <v>0</v>
      </c>
      <c r="G4631" s="138">
        <v>0</v>
      </c>
      <c r="H4631" s="138">
        <v>0</v>
      </c>
      <c r="I4631" s="138">
        <v>0</v>
      </c>
      <c r="J4631" s="138">
        <v>0</v>
      </c>
    </row>
    <row r="4632" spans="1:10">
      <c r="A4632" s="136" t="s">
        <v>104</v>
      </c>
      <c r="B4632" s="136" t="s">
        <v>125</v>
      </c>
      <c r="C4632" s="137">
        <v>0.73611111111111105</v>
      </c>
      <c r="D4632" s="138">
        <v>0</v>
      </c>
      <c r="E4632" s="138">
        <v>0</v>
      </c>
      <c r="F4632" s="138">
        <v>0</v>
      </c>
      <c r="G4632" s="138">
        <v>0</v>
      </c>
      <c r="H4632" s="138">
        <v>0</v>
      </c>
      <c r="I4632" s="138">
        <v>0</v>
      </c>
      <c r="J4632" s="138">
        <v>0</v>
      </c>
    </row>
    <row r="4633" spans="1:10">
      <c r="A4633" s="136" t="s">
        <v>104</v>
      </c>
      <c r="B4633" s="136" t="s">
        <v>125</v>
      </c>
      <c r="C4633" s="137">
        <v>0.73680555555555505</v>
      </c>
      <c r="D4633" s="138">
        <v>0</v>
      </c>
      <c r="E4633" s="138">
        <v>0</v>
      </c>
      <c r="F4633" s="138">
        <v>0</v>
      </c>
      <c r="G4633" s="138">
        <v>0</v>
      </c>
      <c r="H4633" s="138">
        <v>0</v>
      </c>
      <c r="I4633" s="138">
        <v>0</v>
      </c>
      <c r="J4633" s="138">
        <v>0</v>
      </c>
    </row>
    <row r="4634" spans="1:10">
      <c r="A4634" s="136" t="s">
        <v>104</v>
      </c>
      <c r="B4634" s="136" t="s">
        <v>125</v>
      </c>
      <c r="C4634" s="137">
        <v>0.73750000000000004</v>
      </c>
      <c r="D4634" s="138">
        <v>0</v>
      </c>
      <c r="E4634" s="138">
        <v>0</v>
      </c>
      <c r="F4634" s="138">
        <v>0</v>
      </c>
      <c r="G4634" s="138">
        <v>0</v>
      </c>
      <c r="H4634" s="138">
        <v>0</v>
      </c>
      <c r="I4634" s="138">
        <v>0</v>
      </c>
      <c r="J4634" s="138">
        <v>0</v>
      </c>
    </row>
    <row r="4635" spans="1:10">
      <c r="A4635" s="136" t="s">
        <v>104</v>
      </c>
      <c r="B4635" s="136" t="s">
        <v>125</v>
      </c>
      <c r="C4635" s="137">
        <v>0.73819444444444404</v>
      </c>
      <c r="D4635" s="138">
        <v>0</v>
      </c>
      <c r="E4635" s="138">
        <v>0</v>
      </c>
      <c r="F4635" s="138">
        <v>0</v>
      </c>
      <c r="G4635" s="138">
        <v>0</v>
      </c>
      <c r="H4635" s="138">
        <v>0</v>
      </c>
      <c r="I4635" s="138">
        <v>0</v>
      </c>
      <c r="J4635" s="138">
        <v>0</v>
      </c>
    </row>
    <row r="4636" spans="1:10">
      <c r="A4636" s="139" t="s">
        <v>104</v>
      </c>
      <c r="B4636" s="139" t="s">
        <v>125</v>
      </c>
      <c r="C4636" s="140">
        <v>0.73888888888888904</v>
      </c>
      <c r="D4636" s="138">
        <v>0</v>
      </c>
      <c r="E4636" s="138">
        <v>0</v>
      </c>
      <c r="F4636" s="138">
        <v>0</v>
      </c>
      <c r="G4636" s="138">
        <v>0</v>
      </c>
      <c r="H4636" s="138">
        <v>0</v>
      </c>
      <c r="I4636" s="138">
        <v>0</v>
      </c>
      <c r="J4636" s="138">
        <v>0</v>
      </c>
    </row>
    <row r="4637" spans="1:10">
      <c r="A4637" s="136" t="s">
        <v>104</v>
      </c>
      <c r="B4637" s="136" t="s">
        <v>125</v>
      </c>
      <c r="C4637" s="137">
        <v>0.73958333333333304</v>
      </c>
      <c r="D4637" s="142">
        <v>0</v>
      </c>
      <c r="E4637" s="142">
        <v>0</v>
      </c>
      <c r="F4637" s="142">
        <v>0</v>
      </c>
      <c r="G4637" s="142">
        <v>0</v>
      </c>
      <c r="H4637" s="142">
        <v>0</v>
      </c>
      <c r="I4637" s="142">
        <v>0</v>
      </c>
      <c r="J4637" s="142">
        <v>0</v>
      </c>
    </row>
    <row r="4638" spans="1:10">
      <c r="A4638" s="136" t="s">
        <v>104</v>
      </c>
      <c r="B4638" s="136" t="s">
        <v>125</v>
      </c>
      <c r="C4638" s="137">
        <v>0.74027777777777803</v>
      </c>
      <c r="D4638" s="138">
        <v>0</v>
      </c>
      <c r="E4638" s="138">
        <v>0</v>
      </c>
      <c r="F4638" s="138">
        <v>0</v>
      </c>
      <c r="G4638" s="138">
        <v>0</v>
      </c>
      <c r="H4638" s="138">
        <v>0</v>
      </c>
      <c r="I4638" s="138">
        <v>0</v>
      </c>
      <c r="J4638" s="138">
        <v>0</v>
      </c>
    </row>
    <row r="4639" spans="1:10">
      <c r="A4639" s="136" t="s">
        <v>104</v>
      </c>
      <c r="B4639" s="136" t="s">
        <v>125</v>
      </c>
      <c r="C4639" s="137">
        <v>0.74097222222222203</v>
      </c>
      <c r="D4639" s="138">
        <v>0</v>
      </c>
      <c r="E4639" s="138">
        <v>0</v>
      </c>
      <c r="F4639" s="138">
        <v>0</v>
      </c>
      <c r="G4639" s="138">
        <v>0</v>
      </c>
      <c r="H4639" s="138">
        <v>0</v>
      </c>
      <c r="I4639" s="138">
        <v>0</v>
      </c>
      <c r="J4639" s="138">
        <v>0</v>
      </c>
    </row>
    <row r="4640" spans="1:10">
      <c r="A4640" s="136" t="s">
        <v>104</v>
      </c>
      <c r="B4640" s="136" t="s">
        <v>125</v>
      </c>
      <c r="C4640" s="137">
        <v>0.74166666666666703</v>
      </c>
      <c r="D4640" s="138">
        <v>0</v>
      </c>
      <c r="E4640" s="138">
        <v>0</v>
      </c>
      <c r="F4640" s="138">
        <v>0</v>
      </c>
      <c r="G4640" s="138">
        <v>0</v>
      </c>
      <c r="H4640" s="138">
        <v>0</v>
      </c>
      <c r="I4640" s="138">
        <v>0</v>
      </c>
      <c r="J4640" s="138">
        <v>0</v>
      </c>
    </row>
    <row r="4641" spans="1:10">
      <c r="A4641" s="136" t="s">
        <v>104</v>
      </c>
      <c r="B4641" s="136" t="s">
        <v>125</v>
      </c>
      <c r="C4641" s="137">
        <v>0.74236111111111103</v>
      </c>
      <c r="D4641" s="138">
        <v>0</v>
      </c>
      <c r="E4641" s="138">
        <v>0</v>
      </c>
      <c r="F4641" s="138">
        <v>0</v>
      </c>
      <c r="G4641" s="138">
        <v>0</v>
      </c>
      <c r="H4641" s="138">
        <v>0</v>
      </c>
      <c r="I4641" s="138">
        <v>0</v>
      </c>
      <c r="J4641" s="138">
        <v>0</v>
      </c>
    </row>
    <row r="4642" spans="1:10">
      <c r="A4642" s="136" t="s">
        <v>104</v>
      </c>
      <c r="B4642" s="136" t="s">
        <v>125</v>
      </c>
      <c r="C4642" s="137">
        <v>0.74305555555555503</v>
      </c>
      <c r="D4642" s="138">
        <v>0</v>
      </c>
      <c r="E4642" s="138">
        <v>0</v>
      </c>
      <c r="F4642" s="138">
        <v>0</v>
      </c>
      <c r="G4642" s="138">
        <v>0</v>
      </c>
      <c r="H4642" s="138">
        <v>0</v>
      </c>
      <c r="I4642" s="138">
        <v>0</v>
      </c>
      <c r="J4642" s="138">
        <v>0</v>
      </c>
    </row>
    <row r="4643" spans="1:10">
      <c r="A4643" s="136" t="s">
        <v>104</v>
      </c>
      <c r="B4643" s="136" t="s">
        <v>125</v>
      </c>
      <c r="C4643" s="137">
        <v>0.74375000000000002</v>
      </c>
      <c r="D4643" s="138">
        <v>0</v>
      </c>
      <c r="E4643" s="138">
        <v>0</v>
      </c>
      <c r="F4643" s="138">
        <v>0</v>
      </c>
      <c r="G4643" s="138">
        <v>0</v>
      </c>
      <c r="H4643" s="138">
        <v>0</v>
      </c>
      <c r="I4643" s="138">
        <v>0</v>
      </c>
      <c r="J4643" s="138">
        <v>0</v>
      </c>
    </row>
    <row r="4644" spans="1:10">
      <c r="A4644" s="136" t="s">
        <v>104</v>
      </c>
      <c r="B4644" s="136" t="s">
        <v>125</v>
      </c>
      <c r="C4644" s="137">
        <v>0.74444444444444402</v>
      </c>
      <c r="D4644" s="138">
        <v>0</v>
      </c>
      <c r="E4644" s="138">
        <v>0</v>
      </c>
      <c r="F4644" s="138">
        <v>0</v>
      </c>
      <c r="G4644" s="138">
        <v>0</v>
      </c>
      <c r="H4644" s="138">
        <v>0</v>
      </c>
      <c r="I4644" s="138">
        <v>0</v>
      </c>
      <c r="J4644" s="138">
        <v>0</v>
      </c>
    </row>
    <row r="4645" spans="1:10">
      <c r="A4645" s="136" t="s">
        <v>104</v>
      </c>
      <c r="B4645" s="136" t="s">
        <v>125</v>
      </c>
      <c r="C4645" s="137">
        <v>0.74513888888888902</v>
      </c>
      <c r="D4645" s="138">
        <v>0</v>
      </c>
      <c r="E4645" s="138">
        <v>0</v>
      </c>
      <c r="F4645" s="138">
        <v>0</v>
      </c>
      <c r="G4645" s="138">
        <v>0</v>
      </c>
      <c r="H4645" s="138">
        <v>0</v>
      </c>
      <c r="I4645" s="138">
        <v>0</v>
      </c>
      <c r="J4645" s="138">
        <v>0</v>
      </c>
    </row>
    <row r="4646" spans="1:10">
      <c r="A4646" s="136" t="s">
        <v>104</v>
      </c>
      <c r="B4646" s="136" t="s">
        <v>125</v>
      </c>
      <c r="C4646" s="137">
        <v>0.74583333333333302</v>
      </c>
      <c r="D4646" s="138">
        <v>0</v>
      </c>
      <c r="E4646" s="138">
        <v>0</v>
      </c>
      <c r="F4646" s="138">
        <v>0</v>
      </c>
      <c r="G4646" s="138">
        <v>0</v>
      </c>
      <c r="H4646" s="138">
        <v>0</v>
      </c>
      <c r="I4646" s="138">
        <v>0</v>
      </c>
      <c r="J4646" s="138">
        <v>0</v>
      </c>
    </row>
    <row r="4647" spans="1:10">
      <c r="A4647" s="136" t="s">
        <v>104</v>
      </c>
      <c r="B4647" s="136" t="s">
        <v>125</v>
      </c>
      <c r="C4647" s="137">
        <v>0.74652777777777801</v>
      </c>
      <c r="D4647" s="138">
        <v>0</v>
      </c>
      <c r="E4647" s="138">
        <v>0</v>
      </c>
      <c r="F4647" s="138">
        <v>0</v>
      </c>
      <c r="G4647" s="138">
        <v>0</v>
      </c>
      <c r="H4647" s="138">
        <v>0</v>
      </c>
      <c r="I4647" s="138">
        <v>0</v>
      </c>
      <c r="J4647" s="138">
        <v>0</v>
      </c>
    </row>
    <row r="4648" spans="1:10">
      <c r="A4648" s="136" t="s">
        <v>104</v>
      </c>
      <c r="B4648" s="136" t="s">
        <v>125</v>
      </c>
      <c r="C4648" s="137">
        <v>0.74722222222222201</v>
      </c>
      <c r="D4648" s="138">
        <v>0</v>
      </c>
      <c r="E4648" s="138">
        <v>0</v>
      </c>
      <c r="F4648" s="138">
        <v>0</v>
      </c>
      <c r="G4648" s="138">
        <v>0</v>
      </c>
      <c r="H4648" s="138">
        <v>0</v>
      </c>
      <c r="I4648" s="138">
        <v>0</v>
      </c>
      <c r="J4648" s="138">
        <v>0</v>
      </c>
    </row>
    <row r="4649" spans="1:10">
      <c r="A4649" s="136" t="s">
        <v>104</v>
      </c>
      <c r="B4649" s="136" t="s">
        <v>125</v>
      </c>
      <c r="C4649" s="137">
        <v>0.74791666666666701</v>
      </c>
      <c r="D4649" s="138">
        <v>0</v>
      </c>
      <c r="E4649" s="138">
        <v>0</v>
      </c>
      <c r="F4649" s="138">
        <v>0</v>
      </c>
      <c r="G4649" s="138">
        <v>0</v>
      </c>
      <c r="H4649" s="138">
        <v>0</v>
      </c>
      <c r="I4649" s="138">
        <v>0</v>
      </c>
      <c r="J4649" s="138">
        <v>0</v>
      </c>
    </row>
    <row r="4650" spans="1:10">
      <c r="A4650" s="136" t="s">
        <v>104</v>
      </c>
      <c r="B4650" s="136" t="s">
        <v>125</v>
      </c>
      <c r="C4650" s="137">
        <v>0.74861111111111101</v>
      </c>
      <c r="D4650" s="138">
        <v>0</v>
      </c>
      <c r="E4650" s="138">
        <v>0</v>
      </c>
      <c r="F4650" s="138">
        <v>0</v>
      </c>
      <c r="G4650" s="138">
        <v>0</v>
      </c>
      <c r="H4650" s="138">
        <v>0</v>
      </c>
      <c r="I4650" s="138">
        <v>0</v>
      </c>
      <c r="J4650" s="138">
        <v>0</v>
      </c>
    </row>
    <row r="4651" spans="1:10">
      <c r="A4651" s="139" t="s">
        <v>104</v>
      </c>
      <c r="B4651" s="139" t="s">
        <v>125</v>
      </c>
      <c r="C4651" s="140">
        <v>0.749305555555555</v>
      </c>
      <c r="D4651" s="141">
        <v>0</v>
      </c>
      <c r="E4651" s="141">
        <v>0</v>
      </c>
      <c r="F4651" s="141">
        <v>0</v>
      </c>
      <c r="G4651" s="141">
        <v>0</v>
      </c>
      <c r="H4651" s="141">
        <v>0</v>
      </c>
      <c r="I4651" s="141">
        <v>0</v>
      </c>
      <c r="J4651" s="141">
        <v>0</v>
      </c>
    </row>
    <row r="4652" spans="1:10">
      <c r="A4652" s="147" t="s">
        <v>104</v>
      </c>
      <c r="B4652" s="147" t="s">
        <v>125</v>
      </c>
      <c r="C4652" s="148">
        <v>0.75</v>
      </c>
      <c r="D4652" s="142">
        <v>0</v>
      </c>
      <c r="E4652" s="142">
        <v>0</v>
      </c>
      <c r="F4652" s="142">
        <v>0</v>
      </c>
      <c r="G4652" s="142">
        <v>0</v>
      </c>
      <c r="H4652" s="142">
        <v>0</v>
      </c>
      <c r="I4652" s="142">
        <v>0</v>
      </c>
      <c r="J4652" s="142">
        <v>0</v>
      </c>
    </row>
    <row r="4653" spans="1:10">
      <c r="A4653" s="136" t="s">
        <v>104</v>
      </c>
      <c r="B4653" s="136" t="s">
        <v>125</v>
      </c>
      <c r="C4653" s="137">
        <v>0.750694444444444</v>
      </c>
      <c r="D4653" s="138">
        <v>0</v>
      </c>
      <c r="E4653" s="138">
        <v>0</v>
      </c>
      <c r="F4653" s="138">
        <v>0</v>
      </c>
      <c r="G4653" s="138">
        <v>0</v>
      </c>
      <c r="H4653" s="138">
        <v>0</v>
      </c>
      <c r="I4653" s="138">
        <v>0</v>
      </c>
      <c r="J4653" s="138">
        <v>0</v>
      </c>
    </row>
    <row r="4654" spans="1:10">
      <c r="A4654" s="136" t="s">
        <v>104</v>
      </c>
      <c r="B4654" s="136" t="s">
        <v>125</v>
      </c>
      <c r="C4654" s="137">
        <v>0.75138888888888899</v>
      </c>
      <c r="D4654" s="138">
        <v>0</v>
      </c>
      <c r="E4654" s="138">
        <v>0</v>
      </c>
      <c r="F4654" s="138">
        <v>0</v>
      </c>
      <c r="G4654" s="138">
        <v>0</v>
      </c>
      <c r="H4654" s="138">
        <v>0</v>
      </c>
      <c r="I4654" s="138">
        <v>0</v>
      </c>
      <c r="J4654" s="138">
        <v>0</v>
      </c>
    </row>
    <row r="4655" spans="1:10">
      <c r="A4655" s="136" t="s">
        <v>104</v>
      </c>
      <c r="B4655" s="136" t="s">
        <v>125</v>
      </c>
      <c r="C4655" s="137">
        <v>0.75208333333333299</v>
      </c>
      <c r="D4655" s="138">
        <v>0</v>
      </c>
      <c r="E4655" s="138">
        <v>0</v>
      </c>
      <c r="F4655" s="138">
        <v>0</v>
      </c>
      <c r="G4655" s="138">
        <v>0</v>
      </c>
      <c r="H4655" s="138">
        <v>0</v>
      </c>
      <c r="I4655" s="138">
        <v>0</v>
      </c>
      <c r="J4655" s="138">
        <v>0</v>
      </c>
    </row>
    <row r="4656" spans="1:10">
      <c r="A4656" s="136" t="s">
        <v>104</v>
      </c>
      <c r="B4656" s="136" t="s">
        <v>125</v>
      </c>
      <c r="C4656" s="137">
        <v>0.75277777777777799</v>
      </c>
      <c r="D4656" s="138">
        <v>0</v>
      </c>
      <c r="E4656" s="138">
        <v>0</v>
      </c>
      <c r="F4656" s="138">
        <v>0</v>
      </c>
      <c r="G4656" s="138">
        <v>0</v>
      </c>
      <c r="H4656" s="138">
        <v>0</v>
      </c>
      <c r="I4656" s="138">
        <v>0</v>
      </c>
      <c r="J4656" s="138">
        <v>0</v>
      </c>
    </row>
    <row r="4657" spans="1:10">
      <c r="A4657" s="136" t="s">
        <v>104</v>
      </c>
      <c r="B4657" s="136" t="s">
        <v>125</v>
      </c>
      <c r="C4657" s="137">
        <v>0.75347222222222199</v>
      </c>
      <c r="D4657" s="138">
        <v>0</v>
      </c>
      <c r="E4657" s="138">
        <v>0</v>
      </c>
      <c r="F4657" s="138">
        <v>0</v>
      </c>
      <c r="G4657" s="138">
        <v>0</v>
      </c>
      <c r="H4657" s="138">
        <v>0</v>
      </c>
      <c r="I4657" s="138">
        <v>0</v>
      </c>
      <c r="J4657" s="138">
        <v>0</v>
      </c>
    </row>
    <row r="4658" spans="1:10">
      <c r="A4658" s="136" t="s">
        <v>104</v>
      </c>
      <c r="B4658" s="136" t="s">
        <v>125</v>
      </c>
      <c r="C4658" s="137">
        <v>0.75416666666666698</v>
      </c>
      <c r="D4658" s="138">
        <v>0</v>
      </c>
      <c r="E4658" s="138">
        <v>0</v>
      </c>
      <c r="F4658" s="138">
        <v>0</v>
      </c>
      <c r="G4658" s="138">
        <v>0</v>
      </c>
      <c r="H4658" s="138">
        <v>0</v>
      </c>
      <c r="I4658" s="138">
        <v>0</v>
      </c>
      <c r="J4658" s="138">
        <v>0</v>
      </c>
    </row>
    <row r="4659" spans="1:10">
      <c r="A4659" s="136" t="s">
        <v>104</v>
      </c>
      <c r="B4659" s="136" t="s">
        <v>125</v>
      </c>
      <c r="C4659" s="137">
        <v>0.75486111111111098</v>
      </c>
      <c r="D4659" s="138">
        <v>0</v>
      </c>
      <c r="E4659" s="138">
        <v>0</v>
      </c>
      <c r="F4659" s="138">
        <v>0</v>
      </c>
      <c r="G4659" s="138">
        <v>0</v>
      </c>
      <c r="H4659" s="138">
        <v>0</v>
      </c>
      <c r="I4659" s="138">
        <v>0</v>
      </c>
      <c r="J4659" s="138">
        <v>0</v>
      </c>
    </row>
    <row r="4660" spans="1:10">
      <c r="A4660" s="136" t="s">
        <v>104</v>
      </c>
      <c r="B4660" s="136" t="s">
        <v>125</v>
      </c>
      <c r="C4660" s="137">
        <v>0.75555555555555498</v>
      </c>
      <c r="D4660" s="138">
        <v>0</v>
      </c>
      <c r="E4660" s="138">
        <v>0</v>
      </c>
      <c r="F4660" s="138">
        <v>0</v>
      </c>
      <c r="G4660" s="138">
        <v>0</v>
      </c>
      <c r="H4660" s="138">
        <v>0</v>
      </c>
      <c r="I4660" s="138">
        <v>0</v>
      </c>
      <c r="J4660" s="138">
        <v>0</v>
      </c>
    </row>
    <row r="4661" spans="1:10">
      <c r="A4661" s="136" t="s">
        <v>104</v>
      </c>
      <c r="B4661" s="136" t="s">
        <v>125</v>
      </c>
      <c r="C4661" s="137">
        <v>0.75624999999999998</v>
      </c>
      <c r="D4661" s="138">
        <v>0</v>
      </c>
      <c r="E4661" s="138">
        <v>0</v>
      </c>
      <c r="F4661" s="138">
        <v>0</v>
      </c>
      <c r="G4661" s="138">
        <v>0</v>
      </c>
      <c r="H4661" s="138">
        <v>0</v>
      </c>
      <c r="I4661" s="138">
        <v>0</v>
      </c>
      <c r="J4661" s="138">
        <v>0</v>
      </c>
    </row>
    <row r="4662" spans="1:10">
      <c r="A4662" s="136" t="s">
        <v>104</v>
      </c>
      <c r="B4662" s="136" t="s">
        <v>125</v>
      </c>
      <c r="C4662" s="137">
        <v>0.75694444444444398</v>
      </c>
      <c r="D4662" s="138">
        <v>0</v>
      </c>
      <c r="E4662" s="138">
        <v>0</v>
      </c>
      <c r="F4662" s="138">
        <v>0</v>
      </c>
      <c r="G4662" s="138">
        <v>0</v>
      </c>
      <c r="H4662" s="138">
        <v>0</v>
      </c>
      <c r="I4662" s="138">
        <v>0</v>
      </c>
      <c r="J4662" s="138">
        <v>0</v>
      </c>
    </row>
    <row r="4663" spans="1:10">
      <c r="A4663" s="136" t="s">
        <v>104</v>
      </c>
      <c r="B4663" s="136" t="s">
        <v>125</v>
      </c>
      <c r="C4663" s="137">
        <v>0.75763888888888897</v>
      </c>
      <c r="D4663" s="138">
        <v>0</v>
      </c>
      <c r="E4663" s="138">
        <v>0</v>
      </c>
      <c r="F4663" s="138">
        <v>0</v>
      </c>
      <c r="G4663" s="138">
        <v>0</v>
      </c>
      <c r="H4663" s="138">
        <v>0</v>
      </c>
      <c r="I4663" s="138">
        <v>0</v>
      </c>
      <c r="J4663" s="138">
        <v>0</v>
      </c>
    </row>
    <row r="4664" spans="1:10">
      <c r="A4664" s="136" t="s">
        <v>104</v>
      </c>
      <c r="B4664" s="136" t="s">
        <v>125</v>
      </c>
      <c r="C4664" s="137">
        <v>0.75833333333333297</v>
      </c>
      <c r="D4664" s="138">
        <v>0</v>
      </c>
      <c r="E4664" s="138">
        <v>0</v>
      </c>
      <c r="F4664" s="138">
        <v>0</v>
      </c>
      <c r="G4664" s="138">
        <v>0</v>
      </c>
      <c r="H4664" s="138">
        <v>0</v>
      </c>
      <c r="I4664" s="138">
        <v>0</v>
      </c>
      <c r="J4664" s="138">
        <v>0</v>
      </c>
    </row>
    <row r="4665" spans="1:10">
      <c r="A4665" s="136" t="s">
        <v>104</v>
      </c>
      <c r="B4665" s="136" t="s">
        <v>125</v>
      </c>
      <c r="C4665" s="137">
        <v>0.75902777777777797</v>
      </c>
      <c r="D4665" s="138">
        <v>0</v>
      </c>
      <c r="E4665" s="138">
        <v>0</v>
      </c>
      <c r="F4665" s="138">
        <v>0</v>
      </c>
      <c r="G4665" s="138">
        <v>0</v>
      </c>
      <c r="H4665" s="138">
        <v>0</v>
      </c>
      <c r="I4665" s="138">
        <v>0</v>
      </c>
      <c r="J4665" s="138">
        <v>0</v>
      </c>
    </row>
    <row r="4666" spans="1:10">
      <c r="A4666" s="139" t="s">
        <v>104</v>
      </c>
      <c r="B4666" s="139" t="s">
        <v>125</v>
      </c>
      <c r="C4666" s="140">
        <v>0.75972222222222197</v>
      </c>
      <c r="D4666" s="138">
        <v>0</v>
      </c>
      <c r="E4666" s="138">
        <v>0</v>
      </c>
      <c r="F4666" s="138">
        <v>0</v>
      </c>
      <c r="G4666" s="138">
        <v>0</v>
      </c>
      <c r="H4666" s="138">
        <v>0</v>
      </c>
      <c r="I4666" s="138">
        <v>0</v>
      </c>
      <c r="J4666" s="138">
        <v>0</v>
      </c>
    </row>
    <row r="4667" spans="1:10">
      <c r="A4667" s="147" t="s">
        <v>104</v>
      </c>
      <c r="B4667" s="147" t="s">
        <v>125</v>
      </c>
      <c r="C4667" s="148">
        <v>0.76041666666666696</v>
      </c>
      <c r="D4667" s="142">
        <v>0</v>
      </c>
      <c r="E4667" s="142">
        <v>0</v>
      </c>
      <c r="F4667" s="142">
        <v>0</v>
      </c>
      <c r="G4667" s="142">
        <v>0</v>
      </c>
      <c r="H4667" s="142">
        <v>0</v>
      </c>
      <c r="I4667" s="142">
        <v>0</v>
      </c>
      <c r="J4667" s="142">
        <v>0</v>
      </c>
    </row>
    <row r="4668" spans="1:10">
      <c r="A4668" s="136" t="s">
        <v>104</v>
      </c>
      <c r="B4668" s="136" t="s">
        <v>125</v>
      </c>
      <c r="C4668" s="137">
        <v>0.76111111111111096</v>
      </c>
      <c r="D4668" s="138">
        <v>0</v>
      </c>
      <c r="E4668" s="138">
        <v>0</v>
      </c>
      <c r="F4668" s="138">
        <v>0</v>
      </c>
      <c r="G4668" s="138">
        <v>0</v>
      </c>
      <c r="H4668" s="138">
        <v>0</v>
      </c>
      <c r="I4668" s="138">
        <v>0</v>
      </c>
      <c r="J4668" s="138">
        <v>0</v>
      </c>
    </row>
    <row r="4669" spans="1:10">
      <c r="A4669" s="136" t="s">
        <v>104</v>
      </c>
      <c r="B4669" s="136" t="s">
        <v>125</v>
      </c>
      <c r="C4669" s="137">
        <v>0.76180555555555496</v>
      </c>
      <c r="D4669" s="138">
        <v>0</v>
      </c>
      <c r="E4669" s="138">
        <v>0</v>
      </c>
      <c r="F4669" s="138">
        <v>0</v>
      </c>
      <c r="G4669" s="138">
        <v>0</v>
      </c>
      <c r="H4669" s="138">
        <v>0</v>
      </c>
      <c r="I4669" s="138">
        <v>0</v>
      </c>
      <c r="J4669" s="138">
        <v>0</v>
      </c>
    </row>
    <row r="4670" spans="1:10">
      <c r="A4670" s="136" t="s">
        <v>104</v>
      </c>
      <c r="B4670" s="136" t="s">
        <v>125</v>
      </c>
      <c r="C4670" s="137">
        <v>0.76249999999999996</v>
      </c>
      <c r="D4670" s="138">
        <v>0</v>
      </c>
      <c r="E4670" s="138">
        <v>0</v>
      </c>
      <c r="F4670" s="138">
        <v>0</v>
      </c>
      <c r="G4670" s="138">
        <v>0</v>
      </c>
      <c r="H4670" s="138">
        <v>0</v>
      </c>
      <c r="I4670" s="138">
        <v>0</v>
      </c>
      <c r="J4670" s="138">
        <v>0</v>
      </c>
    </row>
    <row r="4671" spans="1:10">
      <c r="A4671" s="136" t="s">
        <v>104</v>
      </c>
      <c r="B4671" s="136" t="s">
        <v>125</v>
      </c>
      <c r="C4671" s="137">
        <v>0.76319444444444395</v>
      </c>
      <c r="D4671" s="138">
        <v>0</v>
      </c>
      <c r="E4671" s="138">
        <v>0</v>
      </c>
      <c r="F4671" s="138">
        <v>0</v>
      </c>
      <c r="G4671" s="138">
        <v>0</v>
      </c>
      <c r="H4671" s="138">
        <v>0</v>
      </c>
      <c r="I4671" s="138">
        <v>0</v>
      </c>
      <c r="J4671" s="138">
        <v>0</v>
      </c>
    </row>
    <row r="4672" spans="1:10">
      <c r="A4672" s="136" t="s">
        <v>104</v>
      </c>
      <c r="B4672" s="136" t="s">
        <v>125</v>
      </c>
      <c r="C4672" s="137">
        <v>0.76388888888888895</v>
      </c>
      <c r="D4672" s="138">
        <v>0</v>
      </c>
      <c r="E4672" s="138">
        <v>0</v>
      </c>
      <c r="F4672" s="138">
        <v>0</v>
      </c>
      <c r="G4672" s="138">
        <v>0</v>
      </c>
      <c r="H4672" s="138">
        <v>0</v>
      </c>
      <c r="I4672" s="138">
        <v>0</v>
      </c>
      <c r="J4672" s="138">
        <v>0</v>
      </c>
    </row>
    <row r="4673" spans="1:10">
      <c r="A4673" s="136" t="s">
        <v>104</v>
      </c>
      <c r="B4673" s="136" t="s">
        <v>125</v>
      </c>
      <c r="C4673" s="137">
        <v>0.76458333333333295</v>
      </c>
      <c r="D4673" s="138">
        <v>0</v>
      </c>
      <c r="E4673" s="138">
        <v>0</v>
      </c>
      <c r="F4673" s="138">
        <v>0</v>
      </c>
      <c r="G4673" s="138">
        <v>0</v>
      </c>
      <c r="H4673" s="138">
        <v>0</v>
      </c>
      <c r="I4673" s="138">
        <v>0</v>
      </c>
      <c r="J4673" s="138">
        <v>0</v>
      </c>
    </row>
    <row r="4674" spans="1:10">
      <c r="A4674" s="136" t="s">
        <v>104</v>
      </c>
      <c r="B4674" s="136" t="s">
        <v>125</v>
      </c>
      <c r="C4674" s="137">
        <v>0.76527777777777795</v>
      </c>
      <c r="D4674" s="138">
        <v>0</v>
      </c>
      <c r="E4674" s="138">
        <v>0</v>
      </c>
      <c r="F4674" s="138">
        <v>0</v>
      </c>
      <c r="G4674" s="138">
        <v>0</v>
      </c>
      <c r="H4674" s="138">
        <v>0</v>
      </c>
      <c r="I4674" s="138">
        <v>0</v>
      </c>
      <c r="J4674" s="138">
        <v>0</v>
      </c>
    </row>
    <row r="4675" spans="1:10">
      <c r="A4675" s="136" t="s">
        <v>104</v>
      </c>
      <c r="B4675" s="136" t="s">
        <v>125</v>
      </c>
      <c r="C4675" s="137">
        <v>0.76597222222222205</v>
      </c>
      <c r="D4675" s="138">
        <v>0</v>
      </c>
      <c r="E4675" s="138">
        <v>0</v>
      </c>
      <c r="F4675" s="138">
        <v>0</v>
      </c>
      <c r="G4675" s="138">
        <v>0</v>
      </c>
      <c r="H4675" s="138">
        <v>0</v>
      </c>
      <c r="I4675" s="138">
        <v>0</v>
      </c>
      <c r="J4675" s="138">
        <v>0</v>
      </c>
    </row>
    <row r="4676" spans="1:10">
      <c r="A4676" s="136" t="s">
        <v>104</v>
      </c>
      <c r="B4676" s="136" t="s">
        <v>125</v>
      </c>
      <c r="C4676" s="137">
        <v>0.76666666666666605</v>
      </c>
      <c r="D4676" s="138">
        <v>0</v>
      </c>
      <c r="E4676" s="138">
        <v>0</v>
      </c>
      <c r="F4676" s="138">
        <v>0</v>
      </c>
      <c r="G4676" s="138">
        <v>0</v>
      </c>
      <c r="H4676" s="138">
        <v>0</v>
      </c>
      <c r="I4676" s="138">
        <v>0</v>
      </c>
      <c r="J4676" s="138">
        <v>0</v>
      </c>
    </row>
    <row r="4677" spans="1:10">
      <c r="A4677" s="136" t="s">
        <v>104</v>
      </c>
      <c r="B4677" s="136" t="s">
        <v>125</v>
      </c>
      <c r="C4677" s="137">
        <v>0.76736111111111105</v>
      </c>
      <c r="D4677" s="138">
        <v>0</v>
      </c>
      <c r="E4677" s="138">
        <v>0</v>
      </c>
      <c r="F4677" s="138">
        <v>0</v>
      </c>
      <c r="G4677" s="138">
        <v>0</v>
      </c>
      <c r="H4677" s="138">
        <v>0</v>
      </c>
      <c r="I4677" s="138">
        <v>0</v>
      </c>
      <c r="J4677" s="138">
        <v>0</v>
      </c>
    </row>
    <row r="4678" spans="1:10">
      <c r="A4678" s="136" t="s">
        <v>105</v>
      </c>
      <c r="B4678" s="136" t="s">
        <v>125</v>
      </c>
      <c r="C4678" s="137">
        <v>0.76805555555555505</v>
      </c>
      <c r="D4678" s="138">
        <v>0</v>
      </c>
      <c r="E4678" s="138">
        <v>0</v>
      </c>
      <c r="F4678" s="138">
        <v>0</v>
      </c>
      <c r="G4678" s="138">
        <v>0</v>
      </c>
      <c r="H4678" s="138">
        <v>0</v>
      </c>
      <c r="I4678" s="138">
        <v>0</v>
      </c>
      <c r="J4678" s="138">
        <v>0</v>
      </c>
    </row>
    <row r="4679" spans="1:10">
      <c r="A4679" s="136" t="s">
        <v>104</v>
      </c>
      <c r="B4679" s="136" t="s">
        <v>125</v>
      </c>
      <c r="C4679" s="137">
        <v>0.76875000000000004</v>
      </c>
      <c r="D4679" s="138">
        <v>0</v>
      </c>
      <c r="E4679" s="138">
        <v>0</v>
      </c>
      <c r="F4679" s="138">
        <v>0</v>
      </c>
      <c r="G4679" s="138">
        <v>0</v>
      </c>
      <c r="H4679" s="138">
        <v>0</v>
      </c>
      <c r="I4679" s="138">
        <v>0</v>
      </c>
      <c r="J4679" s="138">
        <v>0</v>
      </c>
    </row>
    <row r="4680" spans="1:10">
      <c r="A4680" s="136" t="s">
        <v>104</v>
      </c>
      <c r="B4680" s="136" t="s">
        <v>125</v>
      </c>
      <c r="C4680" s="137">
        <v>0.76944444444444404</v>
      </c>
      <c r="D4680" s="138">
        <v>0</v>
      </c>
      <c r="E4680" s="138">
        <v>0</v>
      </c>
      <c r="F4680" s="138">
        <v>0</v>
      </c>
      <c r="G4680" s="138">
        <v>0</v>
      </c>
      <c r="H4680" s="138">
        <v>0</v>
      </c>
      <c r="I4680" s="138">
        <v>0</v>
      </c>
      <c r="J4680" s="138">
        <v>0</v>
      </c>
    </row>
    <row r="4681" spans="1:10" ht="17.5" thickBot="1">
      <c r="A4681" s="143" t="s">
        <v>104</v>
      </c>
      <c r="B4681" s="143" t="s">
        <v>125</v>
      </c>
      <c r="C4681" s="144">
        <v>0.77013888888888904</v>
      </c>
      <c r="D4681" s="145">
        <v>0</v>
      </c>
      <c r="E4681" s="145">
        <v>0</v>
      </c>
      <c r="F4681" s="145">
        <v>0</v>
      </c>
      <c r="G4681" s="145">
        <v>0</v>
      </c>
      <c r="H4681" s="145">
        <v>0</v>
      </c>
      <c r="I4681" s="145">
        <v>0</v>
      </c>
      <c r="J4681" s="145">
        <v>0</v>
      </c>
    </row>
    <row r="4682" spans="1:10">
      <c r="A4682" s="81" t="s">
        <v>107</v>
      </c>
      <c r="B4682" s="81" t="s">
        <v>34</v>
      </c>
      <c r="C4682" s="151">
        <v>0.66666666666666663</v>
      </c>
      <c r="D4682" s="155">
        <v>0</v>
      </c>
      <c r="E4682" s="155">
        <v>0</v>
      </c>
      <c r="F4682" s="155">
        <v>0</v>
      </c>
      <c r="G4682" s="155">
        <v>0</v>
      </c>
      <c r="H4682" s="155">
        <v>0</v>
      </c>
      <c r="I4682" s="155">
        <v>0</v>
      </c>
      <c r="J4682" s="155">
        <v>0</v>
      </c>
    </row>
    <row r="4683" spans="1:10">
      <c r="A4683" s="81" t="s">
        <v>106</v>
      </c>
      <c r="B4683" s="81" t="s">
        <v>34</v>
      </c>
      <c r="C4683" s="151">
        <v>0.66736111111111107</v>
      </c>
      <c r="D4683" s="155">
        <v>0</v>
      </c>
      <c r="E4683" s="155">
        <v>0</v>
      </c>
      <c r="F4683" s="155">
        <v>0</v>
      </c>
      <c r="G4683" s="155">
        <v>0</v>
      </c>
      <c r="H4683" s="155">
        <v>0</v>
      </c>
      <c r="I4683" s="155">
        <v>0</v>
      </c>
      <c r="J4683" s="155">
        <v>0</v>
      </c>
    </row>
    <row r="4684" spans="1:10">
      <c r="A4684" s="81" t="s">
        <v>106</v>
      </c>
      <c r="B4684" s="81" t="s">
        <v>34</v>
      </c>
      <c r="C4684" s="151">
        <v>0.66805555555555596</v>
      </c>
      <c r="D4684" s="155">
        <v>0</v>
      </c>
      <c r="E4684" s="155">
        <v>0</v>
      </c>
      <c r="F4684" s="155">
        <v>0</v>
      </c>
      <c r="G4684" s="155">
        <v>0</v>
      </c>
      <c r="H4684" s="155">
        <v>0</v>
      </c>
      <c r="I4684" s="155">
        <v>0</v>
      </c>
      <c r="J4684" s="155">
        <v>0</v>
      </c>
    </row>
    <row r="4685" spans="1:10">
      <c r="A4685" s="81" t="s">
        <v>106</v>
      </c>
      <c r="B4685" s="81" t="s">
        <v>34</v>
      </c>
      <c r="C4685" s="151">
        <v>0.66874999999999996</v>
      </c>
      <c r="D4685" s="155">
        <v>0</v>
      </c>
      <c r="E4685" s="155">
        <v>0</v>
      </c>
      <c r="F4685" s="155">
        <v>0</v>
      </c>
      <c r="G4685" s="155">
        <v>0</v>
      </c>
      <c r="H4685" s="155">
        <v>0</v>
      </c>
      <c r="I4685" s="155">
        <v>0</v>
      </c>
      <c r="J4685" s="155">
        <v>0</v>
      </c>
    </row>
    <row r="4686" spans="1:10">
      <c r="A4686" s="81" t="s">
        <v>106</v>
      </c>
      <c r="B4686" s="81" t="s">
        <v>34</v>
      </c>
      <c r="C4686" s="151">
        <v>0.66944444444444395</v>
      </c>
      <c r="D4686" s="155">
        <v>0</v>
      </c>
      <c r="E4686" s="155">
        <v>0</v>
      </c>
      <c r="F4686" s="155">
        <v>0</v>
      </c>
      <c r="G4686" s="155">
        <v>0</v>
      </c>
      <c r="H4686" s="155">
        <v>0</v>
      </c>
      <c r="I4686" s="155">
        <v>0</v>
      </c>
      <c r="J4686" s="155">
        <v>0</v>
      </c>
    </row>
    <row r="4687" spans="1:10">
      <c r="A4687" s="81" t="s">
        <v>106</v>
      </c>
      <c r="B4687" s="81" t="s">
        <v>34</v>
      </c>
      <c r="C4687" s="151">
        <v>0.67013888888888895</v>
      </c>
      <c r="D4687" s="155">
        <v>0</v>
      </c>
      <c r="E4687" s="155">
        <v>0</v>
      </c>
      <c r="F4687" s="155">
        <v>0</v>
      </c>
      <c r="G4687" s="155">
        <v>0</v>
      </c>
      <c r="H4687" s="155">
        <v>0</v>
      </c>
      <c r="I4687" s="155">
        <v>0</v>
      </c>
      <c r="J4687" s="155">
        <v>0</v>
      </c>
    </row>
    <row r="4688" spans="1:10">
      <c r="A4688" s="81" t="s">
        <v>106</v>
      </c>
      <c r="B4688" s="81" t="s">
        <v>34</v>
      </c>
      <c r="C4688" s="151">
        <v>0.67083333333333295</v>
      </c>
      <c r="D4688" s="155">
        <v>0</v>
      </c>
      <c r="E4688" s="155">
        <v>0</v>
      </c>
      <c r="F4688" s="155">
        <v>0</v>
      </c>
      <c r="G4688" s="155">
        <v>0</v>
      </c>
      <c r="H4688" s="155">
        <v>0</v>
      </c>
      <c r="I4688" s="155">
        <v>0</v>
      </c>
      <c r="J4688" s="155">
        <v>0</v>
      </c>
    </row>
    <row r="4689" spans="1:10">
      <c r="A4689" s="81" t="s">
        <v>106</v>
      </c>
      <c r="B4689" s="81" t="s">
        <v>34</v>
      </c>
      <c r="C4689" s="151">
        <v>0.67152777777777795</v>
      </c>
      <c r="D4689" s="155">
        <v>0</v>
      </c>
      <c r="E4689" s="155">
        <v>0</v>
      </c>
      <c r="F4689" s="155">
        <v>0</v>
      </c>
      <c r="G4689" s="155">
        <v>0</v>
      </c>
      <c r="H4689" s="155">
        <v>0</v>
      </c>
      <c r="I4689" s="155">
        <v>0</v>
      </c>
      <c r="J4689" s="155">
        <v>0</v>
      </c>
    </row>
    <row r="4690" spans="1:10">
      <c r="A4690" s="81" t="s">
        <v>106</v>
      </c>
      <c r="B4690" s="81" t="s">
        <v>34</v>
      </c>
      <c r="C4690" s="151">
        <v>0.67222222222222205</v>
      </c>
      <c r="D4690" s="155">
        <v>0</v>
      </c>
      <c r="E4690" s="155">
        <v>0</v>
      </c>
      <c r="F4690" s="155">
        <v>0</v>
      </c>
      <c r="G4690" s="155">
        <v>0</v>
      </c>
      <c r="H4690" s="155">
        <v>0</v>
      </c>
      <c r="I4690" s="155">
        <v>0</v>
      </c>
      <c r="J4690" s="155">
        <v>0</v>
      </c>
    </row>
    <row r="4691" spans="1:10">
      <c r="A4691" s="81" t="s">
        <v>106</v>
      </c>
      <c r="B4691" s="81" t="s">
        <v>34</v>
      </c>
      <c r="C4691" s="151">
        <v>0.67291666666666705</v>
      </c>
      <c r="D4691" s="155">
        <v>0</v>
      </c>
      <c r="E4691" s="155">
        <v>0</v>
      </c>
      <c r="F4691" s="155">
        <v>0</v>
      </c>
      <c r="G4691" s="155">
        <v>0</v>
      </c>
      <c r="H4691" s="155">
        <v>0</v>
      </c>
      <c r="I4691" s="155">
        <v>0</v>
      </c>
      <c r="J4691" s="155">
        <v>0</v>
      </c>
    </row>
    <row r="4692" spans="1:10">
      <c r="A4692" s="81" t="s">
        <v>106</v>
      </c>
      <c r="B4692" s="81" t="s">
        <v>34</v>
      </c>
      <c r="C4692" s="151">
        <v>0.67361111111111105</v>
      </c>
      <c r="D4692" s="155">
        <v>0</v>
      </c>
      <c r="E4692" s="155">
        <v>0</v>
      </c>
      <c r="F4692" s="155">
        <v>0</v>
      </c>
      <c r="G4692" s="155">
        <v>0</v>
      </c>
      <c r="H4692" s="155">
        <v>0</v>
      </c>
      <c r="I4692" s="155">
        <v>0</v>
      </c>
      <c r="J4692" s="155">
        <v>0</v>
      </c>
    </row>
    <row r="4693" spans="1:10">
      <c r="A4693" s="81" t="s">
        <v>106</v>
      </c>
      <c r="B4693" s="81" t="s">
        <v>34</v>
      </c>
      <c r="C4693" s="151">
        <v>0.67430555555555505</v>
      </c>
      <c r="D4693" s="155">
        <v>0</v>
      </c>
      <c r="E4693" s="155">
        <v>0</v>
      </c>
      <c r="F4693" s="155">
        <v>0</v>
      </c>
      <c r="G4693" s="155">
        <v>0</v>
      </c>
      <c r="H4693" s="155">
        <v>0</v>
      </c>
      <c r="I4693" s="155">
        <v>0</v>
      </c>
      <c r="J4693" s="155">
        <v>0</v>
      </c>
    </row>
    <row r="4694" spans="1:10">
      <c r="A4694" s="81" t="s">
        <v>106</v>
      </c>
      <c r="B4694" s="81" t="s">
        <v>34</v>
      </c>
      <c r="C4694" s="151">
        <v>0.67500000000000004</v>
      </c>
      <c r="D4694" s="155">
        <v>0</v>
      </c>
      <c r="E4694" s="155">
        <v>0</v>
      </c>
      <c r="F4694" s="155">
        <v>0</v>
      </c>
      <c r="G4694" s="155">
        <v>0</v>
      </c>
      <c r="H4694" s="155">
        <v>0</v>
      </c>
      <c r="I4694" s="155">
        <v>0</v>
      </c>
      <c r="J4694" s="155">
        <v>0</v>
      </c>
    </row>
    <row r="4695" spans="1:10">
      <c r="A4695" s="81" t="s">
        <v>106</v>
      </c>
      <c r="B4695" s="81" t="s">
        <v>34</v>
      </c>
      <c r="C4695" s="151">
        <v>0.67569444444444404</v>
      </c>
      <c r="D4695" s="155">
        <v>0</v>
      </c>
      <c r="E4695" s="155">
        <v>0</v>
      </c>
      <c r="F4695" s="155">
        <v>0</v>
      </c>
      <c r="G4695" s="155">
        <v>0</v>
      </c>
      <c r="H4695" s="155">
        <v>0</v>
      </c>
      <c r="I4695" s="155">
        <v>0</v>
      </c>
      <c r="J4695" s="155">
        <v>0</v>
      </c>
    </row>
    <row r="4696" spans="1:10" s="80" customFormat="1">
      <c r="A4696" s="84" t="s">
        <v>106</v>
      </c>
      <c r="B4696" s="84" t="s">
        <v>34</v>
      </c>
      <c r="C4696" s="153">
        <v>0.67638888888888904</v>
      </c>
      <c r="D4696" s="156">
        <v>0</v>
      </c>
      <c r="E4696" s="156">
        <v>0</v>
      </c>
      <c r="F4696" s="156">
        <v>0</v>
      </c>
      <c r="G4696" s="156">
        <v>0</v>
      </c>
      <c r="H4696" s="156">
        <v>0</v>
      </c>
      <c r="I4696" s="156">
        <v>0</v>
      </c>
      <c r="J4696" s="156">
        <v>0</v>
      </c>
    </row>
    <row r="4697" spans="1:10">
      <c r="A4697" s="81" t="s">
        <v>106</v>
      </c>
      <c r="B4697" s="81" t="s">
        <v>34</v>
      </c>
      <c r="C4697" s="151">
        <v>0.67708333333333304</v>
      </c>
      <c r="D4697" s="157">
        <v>0</v>
      </c>
      <c r="E4697" s="157">
        <v>0</v>
      </c>
      <c r="F4697" s="157">
        <v>0</v>
      </c>
      <c r="G4697" s="157">
        <v>0</v>
      </c>
      <c r="H4697" s="157">
        <v>0</v>
      </c>
      <c r="I4697" s="157">
        <v>0</v>
      </c>
      <c r="J4697" s="157">
        <v>0</v>
      </c>
    </row>
    <row r="4698" spans="1:10">
      <c r="A4698" s="81" t="s">
        <v>106</v>
      </c>
      <c r="B4698" s="81" t="s">
        <v>34</v>
      </c>
      <c r="C4698" s="151">
        <v>0.67777777777777803</v>
      </c>
      <c r="D4698" s="155">
        <v>0</v>
      </c>
      <c r="E4698" s="155">
        <v>0</v>
      </c>
      <c r="F4698" s="155">
        <v>0</v>
      </c>
      <c r="G4698" s="155">
        <v>0</v>
      </c>
      <c r="H4698" s="155">
        <v>0</v>
      </c>
      <c r="I4698" s="155">
        <v>0</v>
      </c>
      <c r="J4698" s="155">
        <v>0</v>
      </c>
    </row>
    <row r="4699" spans="1:10">
      <c r="A4699" s="81" t="s">
        <v>106</v>
      </c>
      <c r="B4699" s="81" t="s">
        <v>34</v>
      </c>
      <c r="C4699" s="151">
        <v>0.67847222222222203</v>
      </c>
      <c r="D4699" s="155">
        <v>0</v>
      </c>
      <c r="E4699" s="155">
        <v>0</v>
      </c>
      <c r="F4699" s="155">
        <v>0</v>
      </c>
      <c r="G4699" s="155">
        <v>0</v>
      </c>
      <c r="H4699" s="155">
        <v>0</v>
      </c>
      <c r="I4699" s="155">
        <v>0</v>
      </c>
      <c r="J4699" s="155">
        <v>0</v>
      </c>
    </row>
    <row r="4700" spans="1:10">
      <c r="A4700" s="81" t="s">
        <v>106</v>
      </c>
      <c r="B4700" s="81" t="s">
        <v>34</v>
      </c>
      <c r="C4700" s="151">
        <v>0.67916666666666703</v>
      </c>
      <c r="D4700" s="155">
        <v>0</v>
      </c>
      <c r="E4700" s="155">
        <v>0</v>
      </c>
      <c r="F4700" s="155">
        <v>0</v>
      </c>
      <c r="G4700" s="155">
        <v>0</v>
      </c>
      <c r="H4700" s="155">
        <v>0</v>
      </c>
      <c r="I4700" s="155">
        <v>0</v>
      </c>
      <c r="J4700" s="155">
        <v>0</v>
      </c>
    </row>
    <row r="4701" spans="1:10">
      <c r="A4701" s="81" t="s">
        <v>106</v>
      </c>
      <c r="B4701" s="81" t="s">
        <v>34</v>
      </c>
      <c r="C4701" s="151">
        <v>0.67986111111111103</v>
      </c>
      <c r="D4701" s="155">
        <v>0</v>
      </c>
      <c r="E4701" s="155">
        <v>0</v>
      </c>
      <c r="F4701" s="155">
        <v>0</v>
      </c>
      <c r="G4701" s="155">
        <v>0</v>
      </c>
      <c r="H4701" s="155">
        <v>0</v>
      </c>
      <c r="I4701" s="155">
        <v>0</v>
      </c>
      <c r="J4701" s="155">
        <v>0</v>
      </c>
    </row>
    <row r="4702" spans="1:10">
      <c r="A4702" s="81" t="s">
        <v>106</v>
      </c>
      <c r="B4702" s="81" t="s">
        <v>34</v>
      </c>
      <c r="C4702" s="151">
        <v>0.68055555555555503</v>
      </c>
      <c r="D4702" s="155">
        <v>0</v>
      </c>
      <c r="E4702" s="155">
        <v>0</v>
      </c>
      <c r="F4702" s="155">
        <v>0</v>
      </c>
      <c r="G4702" s="155">
        <v>0</v>
      </c>
      <c r="H4702" s="155">
        <v>0</v>
      </c>
      <c r="I4702" s="155">
        <v>0</v>
      </c>
      <c r="J4702" s="155">
        <v>0</v>
      </c>
    </row>
    <row r="4703" spans="1:10">
      <c r="A4703" s="81" t="s">
        <v>106</v>
      </c>
      <c r="B4703" s="81" t="s">
        <v>34</v>
      </c>
      <c r="C4703" s="151">
        <v>0.68125000000000002</v>
      </c>
      <c r="D4703" s="155">
        <v>0</v>
      </c>
      <c r="E4703" s="155">
        <v>0</v>
      </c>
      <c r="F4703" s="155">
        <v>0</v>
      </c>
      <c r="G4703" s="155">
        <v>0</v>
      </c>
      <c r="H4703" s="155">
        <v>0</v>
      </c>
      <c r="I4703" s="155">
        <v>0</v>
      </c>
      <c r="J4703" s="155">
        <v>0</v>
      </c>
    </row>
    <row r="4704" spans="1:10">
      <c r="A4704" s="81" t="s">
        <v>106</v>
      </c>
      <c r="B4704" s="81" t="s">
        <v>34</v>
      </c>
      <c r="C4704" s="151">
        <v>0.68194444444444402</v>
      </c>
      <c r="D4704" s="155">
        <v>0</v>
      </c>
      <c r="E4704" s="155">
        <v>0</v>
      </c>
      <c r="F4704" s="155">
        <v>0</v>
      </c>
      <c r="G4704" s="155">
        <v>0</v>
      </c>
      <c r="H4704" s="155">
        <v>0</v>
      </c>
      <c r="I4704" s="155">
        <v>0</v>
      </c>
      <c r="J4704" s="155">
        <v>0</v>
      </c>
    </row>
    <row r="4705" spans="1:10">
      <c r="A4705" s="81" t="s">
        <v>106</v>
      </c>
      <c r="B4705" s="81" t="s">
        <v>34</v>
      </c>
      <c r="C4705" s="151">
        <v>0.68263888888888902</v>
      </c>
      <c r="D4705" s="155">
        <v>0</v>
      </c>
      <c r="E4705" s="155">
        <v>0</v>
      </c>
      <c r="F4705" s="155">
        <v>0</v>
      </c>
      <c r="G4705" s="155">
        <v>0</v>
      </c>
      <c r="H4705" s="155">
        <v>0</v>
      </c>
      <c r="I4705" s="155">
        <v>0</v>
      </c>
      <c r="J4705" s="155">
        <v>0</v>
      </c>
    </row>
    <row r="4706" spans="1:10">
      <c r="A4706" s="81" t="s">
        <v>106</v>
      </c>
      <c r="B4706" s="81" t="s">
        <v>34</v>
      </c>
      <c r="C4706" s="151">
        <v>0.68333333333333302</v>
      </c>
      <c r="D4706" s="155">
        <v>0</v>
      </c>
      <c r="E4706" s="155">
        <v>0</v>
      </c>
      <c r="F4706" s="155">
        <v>0</v>
      </c>
      <c r="G4706" s="155">
        <v>0</v>
      </c>
      <c r="H4706" s="155">
        <v>0</v>
      </c>
      <c r="I4706" s="155">
        <v>0</v>
      </c>
      <c r="J4706" s="155">
        <v>0</v>
      </c>
    </row>
    <row r="4707" spans="1:10">
      <c r="A4707" s="81" t="s">
        <v>106</v>
      </c>
      <c r="B4707" s="81" t="s">
        <v>34</v>
      </c>
      <c r="C4707" s="151">
        <v>0.68402777777777801</v>
      </c>
      <c r="D4707" s="155">
        <v>0</v>
      </c>
      <c r="E4707" s="155">
        <v>0</v>
      </c>
      <c r="F4707" s="155">
        <v>0</v>
      </c>
      <c r="G4707" s="155">
        <v>0</v>
      </c>
      <c r="H4707" s="155">
        <v>0</v>
      </c>
      <c r="I4707" s="155">
        <v>0</v>
      </c>
      <c r="J4707" s="155">
        <v>0</v>
      </c>
    </row>
    <row r="4708" spans="1:10">
      <c r="A4708" s="81" t="s">
        <v>106</v>
      </c>
      <c r="B4708" s="81" t="s">
        <v>34</v>
      </c>
      <c r="C4708" s="151">
        <v>0.68472222222222201</v>
      </c>
      <c r="D4708" s="155">
        <v>0</v>
      </c>
      <c r="E4708" s="155">
        <v>0</v>
      </c>
      <c r="F4708" s="155">
        <v>0</v>
      </c>
      <c r="G4708" s="155">
        <v>0</v>
      </c>
      <c r="H4708" s="155">
        <v>0</v>
      </c>
      <c r="I4708" s="155">
        <v>0</v>
      </c>
      <c r="J4708" s="155">
        <v>0</v>
      </c>
    </row>
    <row r="4709" spans="1:10">
      <c r="A4709" s="81" t="s">
        <v>106</v>
      </c>
      <c r="B4709" s="81" t="s">
        <v>34</v>
      </c>
      <c r="C4709" s="151">
        <v>0.68541666666666701</v>
      </c>
      <c r="D4709" s="155">
        <v>0</v>
      </c>
      <c r="E4709" s="155">
        <v>0</v>
      </c>
      <c r="F4709" s="155">
        <v>0</v>
      </c>
      <c r="G4709" s="155">
        <v>0</v>
      </c>
      <c r="H4709" s="155">
        <v>0</v>
      </c>
      <c r="I4709" s="155">
        <v>0</v>
      </c>
      <c r="J4709" s="155">
        <v>0</v>
      </c>
    </row>
    <row r="4710" spans="1:10">
      <c r="A4710" s="81" t="s">
        <v>106</v>
      </c>
      <c r="B4710" s="81" t="s">
        <v>34</v>
      </c>
      <c r="C4710" s="151">
        <v>0.68611111111111101</v>
      </c>
      <c r="D4710" s="155">
        <v>0</v>
      </c>
      <c r="E4710" s="155">
        <v>0</v>
      </c>
      <c r="F4710" s="155">
        <v>0</v>
      </c>
      <c r="G4710" s="155">
        <v>0</v>
      </c>
      <c r="H4710" s="155">
        <v>0</v>
      </c>
      <c r="I4710" s="155">
        <v>0</v>
      </c>
      <c r="J4710" s="155">
        <v>0</v>
      </c>
    </row>
    <row r="4711" spans="1:10" s="80" customFormat="1">
      <c r="A4711" s="84" t="s">
        <v>106</v>
      </c>
      <c r="B4711" s="84" t="s">
        <v>34</v>
      </c>
      <c r="C4711" s="153">
        <v>0.686805555555555</v>
      </c>
      <c r="D4711" s="156">
        <v>0</v>
      </c>
      <c r="E4711" s="156">
        <v>0</v>
      </c>
      <c r="F4711" s="156">
        <v>0</v>
      </c>
      <c r="G4711" s="156">
        <v>0</v>
      </c>
      <c r="H4711" s="156">
        <v>0</v>
      </c>
      <c r="I4711" s="156">
        <v>0</v>
      </c>
      <c r="J4711" s="156">
        <v>0</v>
      </c>
    </row>
    <row r="4712" spans="1:10">
      <c r="A4712" s="81" t="s">
        <v>106</v>
      </c>
      <c r="B4712" s="81" t="s">
        <v>34</v>
      </c>
      <c r="C4712" s="151">
        <v>0.6875</v>
      </c>
      <c r="D4712" s="157">
        <v>0</v>
      </c>
      <c r="E4712" s="157">
        <v>0</v>
      </c>
      <c r="F4712" s="157">
        <v>0</v>
      </c>
      <c r="G4712" s="157">
        <v>0</v>
      </c>
      <c r="H4712" s="157">
        <v>0</v>
      </c>
      <c r="I4712" s="157">
        <v>0</v>
      </c>
      <c r="J4712" s="157">
        <v>0</v>
      </c>
    </row>
    <row r="4713" spans="1:10">
      <c r="A4713" s="81" t="s">
        <v>106</v>
      </c>
      <c r="B4713" s="81" t="s">
        <v>34</v>
      </c>
      <c r="C4713" s="151">
        <v>0.688194444444444</v>
      </c>
      <c r="D4713" s="155">
        <v>0</v>
      </c>
      <c r="E4713" s="155">
        <v>0</v>
      </c>
      <c r="F4713" s="155">
        <v>0</v>
      </c>
      <c r="G4713" s="155">
        <v>0</v>
      </c>
      <c r="H4713" s="155">
        <v>0</v>
      </c>
      <c r="I4713" s="155">
        <v>0</v>
      </c>
      <c r="J4713" s="155">
        <v>0</v>
      </c>
    </row>
    <row r="4714" spans="1:10">
      <c r="A4714" s="81" t="s">
        <v>106</v>
      </c>
      <c r="B4714" s="81" t="s">
        <v>34</v>
      </c>
      <c r="C4714" s="151">
        <v>0.68888888888888899</v>
      </c>
      <c r="D4714" s="155">
        <v>0</v>
      </c>
      <c r="E4714" s="155">
        <v>0</v>
      </c>
      <c r="F4714" s="155">
        <v>0</v>
      </c>
      <c r="G4714" s="155">
        <v>0</v>
      </c>
      <c r="H4714" s="155">
        <v>0</v>
      </c>
      <c r="I4714" s="155">
        <v>0</v>
      </c>
      <c r="J4714" s="155">
        <v>0</v>
      </c>
    </row>
    <row r="4715" spans="1:10">
      <c r="A4715" s="81" t="s">
        <v>106</v>
      </c>
      <c r="B4715" s="81" t="s">
        <v>34</v>
      </c>
      <c r="C4715" s="151">
        <v>0.68958333333333299</v>
      </c>
      <c r="D4715" s="155">
        <v>0</v>
      </c>
      <c r="E4715" s="155">
        <v>0</v>
      </c>
      <c r="F4715" s="155">
        <v>0</v>
      </c>
      <c r="G4715" s="155">
        <v>0</v>
      </c>
      <c r="H4715" s="155">
        <v>0</v>
      </c>
      <c r="I4715" s="155">
        <v>0</v>
      </c>
      <c r="J4715" s="155">
        <v>0</v>
      </c>
    </row>
    <row r="4716" spans="1:10">
      <c r="A4716" s="81" t="s">
        <v>106</v>
      </c>
      <c r="B4716" s="81" t="s">
        <v>34</v>
      </c>
      <c r="C4716" s="151">
        <v>0.69027777777777799</v>
      </c>
      <c r="D4716" s="155">
        <v>0</v>
      </c>
      <c r="E4716" s="155">
        <v>0</v>
      </c>
      <c r="F4716" s="155">
        <v>0</v>
      </c>
      <c r="G4716" s="155">
        <v>0</v>
      </c>
      <c r="H4716" s="155">
        <v>0</v>
      </c>
      <c r="I4716" s="155">
        <v>0</v>
      </c>
      <c r="J4716" s="155">
        <v>0</v>
      </c>
    </row>
    <row r="4717" spans="1:10">
      <c r="A4717" s="81" t="s">
        <v>106</v>
      </c>
      <c r="B4717" s="81" t="s">
        <v>34</v>
      </c>
      <c r="C4717" s="151">
        <v>0.69097222222222199</v>
      </c>
      <c r="D4717" s="155">
        <v>0</v>
      </c>
      <c r="E4717" s="155">
        <v>0</v>
      </c>
      <c r="F4717" s="155">
        <v>0</v>
      </c>
      <c r="G4717" s="155">
        <v>0</v>
      </c>
      <c r="H4717" s="155">
        <v>0</v>
      </c>
      <c r="I4717" s="155">
        <v>0</v>
      </c>
      <c r="J4717" s="155">
        <v>0</v>
      </c>
    </row>
    <row r="4718" spans="1:10">
      <c r="A4718" s="81" t="s">
        <v>106</v>
      </c>
      <c r="B4718" s="81" t="s">
        <v>34</v>
      </c>
      <c r="C4718" s="151">
        <v>0.69166666666666698</v>
      </c>
      <c r="D4718" s="155">
        <v>0</v>
      </c>
      <c r="E4718" s="155">
        <v>0</v>
      </c>
      <c r="F4718" s="155">
        <v>0</v>
      </c>
      <c r="G4718" s="155">
        <v>0</v>
      </c>
      <c r="H4718" s="155">
        <v>0</v>
      </c>
      <c r="I4718" s="155">
        <v>0</v>
      </c>
      <c r="J4718" s="155">
        <v>0</v>
      </c>
    </row>
    <row r="4719" spans="1:10">
      <c r="A4719" s="81" t="s">
        <v>106</v>
      </c>
      <c r="B4719" s="81" t="s">
        <v>34</v>
      </c>
      <c r="C4719" s="151">
        <v>0.69236111111111098</v>
      </c>
      <c r="D4719" s="155">
        <v>0</v>
      </c>
      <c r="E4719" s="155">
        <v>0</v>
      </c>
      <c r="F4719" s="155">
        <v>0</v>
      </c>
      <c r="G4719" s="155">
        <v>0</v>
      </c>
      <c r="H4719" s="155">
        <v>0</v>
      </c>
      <c r="I4719" s="155">
        <v>0</v>
      </c>
      <c r="J4719" s="155">
        <v>0</v>
      </c>
    </row>
    <row r="4720" spans="1:10">
      <c r="A4720" s="81" t="s">
        <v>106</v>
      </c>
      <c r="B4720" s="81" t="s">
        <v>34</v>
      </c>
      <c r="C4720" s="151">
        <v>0.69305555555555498</v>
      </c>
      <c r="D4720" s="155">
        <v>0</v>
      </c>
      <c r="E4720" s="155">
        <v>0</v>
      </c>
      <c r="F4720" s="155">
        <v>0</v>
      </c>
      <c r="G4720" s="155">
        <v>0</v>
      </c>
      <c r="H4720" s="155">
        <v>0</v>
      </c>
      <c r="I4720" s="155">
        <v>0</v>
      </c>
      <c r="J4720" s="155">
        <v>0</v>
      </c>
    </row>
    <row r="4721" spans="1:10">
      <c r="A4721" s="81" t="s">
        <v>106</v>
      </c>
      <c r="B4721" s="81" t="s">
        <v>34</v>
      </c>
      <c r="C4721" s="151">
        <v>0.69374999999999998</v>
      </c>
      <c r="D4721" s="155">
        <v>0</v>
      </c>
      <c r="E4721" s="155">
        <v>0</v>
      </c>
      <c r="F4721" s="155">
        <v>0</v>
      </c>
      <c r="G4721" s="155">
        <v>0</v>
      </c>
      <c r="H4721" s="155">
        <v>0</v>
      </c>
      <c r="I4721" s="155">
        <v>0</v>
      </c>
      <c r="J4721" s="155">
        <v>0</v>
      </c>
    </row>
    <row r="4722" spans="1:10">
      <c r="A4722" s="81" t="s">
        <v>106</v>
      </c>
      <c r="B4722" s="81" t="s">
        <v>34</v>
      </c>
      <c r="C4722" s="151">
        <v>0.69444444444444398</v>
      </c>
      <c r="D4722" s="155">
        <v>0</v>
      </c>
      <c r="E4722" s="155">
        <v>0</v>
      </c>
      <c r="F4722" s="155">
        <v>0</v>
      </c>
      <c r="G4722" s="155">
        <v>0</v>
      </c>
      <c r="H4722" s="155">
        <v>0</v>
      </c>
      <c r="I4722" s="155">
        <v>0</v>
      </c>
      <c r="J4722" s="155">
        <v>0</v>
      </c>
    </row>
    <row r="4723" spans="1:10">
      <c r="A4723" s="81" t="s">
        <v>106</v>
      </c>
      <c r="B4723" s="81" t="s">
        <v>34</v>
      </c>
      <c r="C4723" s="151">
        <v>0.69513888888888897</v>
      </c>
      <c r="D4723" s="155">
        <v>0</v>
      </c>
      <c r="E4723" s="155">
        <v>0</v>
      </c>
      <c r="F4723" s="155">
        <v>0</v>
      </c>
      <c r="G4723" s="155">
        <v>0</v>
      </c>
      <c r="H4723" s="155">
        <v>0</v>
      </c>
      <c r="I4723" s="155">
        <v>0</v>
      </c>
      <c r="J4723" s="155">
        <v>0</v>
      </c>
    </row>
    <row r="4724" spans="1:10">
      <c r="A4724" s="81" t="s">
        <v>106</v>
      </c>
      <c r="B4724" s="81" t="s">
        <v>34</v>
      </c>
      <c r="C4724" s="151">
        <v>0.69583333333333297</v>
      </c>
      <c r="D4724" s="155">
        <v>0</v>
      </c>
      <c r="E4724" s="155">
        <v>0</v>
      </c>
      <c r="F4724" s="155">
        <v>0</v>
      </c>
      <c r="G4724" s="155">
        <v>0</v>
      </c>
      <c r="H4724" s="155">
        <v>0</v>
      </c>
      <c r="I4724" s="155">
        <v>0</v>
      </c>
      <c r="J4724" s="155">
        <v>0</v>
      </c>
    </row>
    <row r="4725" spans="1:10">
      <c r="A4725" s="81" t="s">
        <v>106</v>
      </c>
      <c r="B4725" s="81" t="s">
        <v>34</v>
      </c>
      <c r="C4725" s="151">
        <v>0.69652777777777797</v>
      </c>
      <c r="D4725" s="155">
        <v>0</v>
      </c>
      <c r="E4725" s="155">
        <v>0</v>
      </c>
      <c r="F4725" s="155">
        <v>0</v>
      </c>
      <c r="G4725" s="155">
        <v>0</v>
      </c>
      <c r="H4725" s="155">
        <v>0</v>
      </c>
      <c r="I4725" s="155">
        <v>0</v>
      </c>
      <c r="J4725" s="155">
        <v>0</v>
      </c>
    </row>
    <row r="4726" spans="1:10" s="80" customFormat="1">
      <c r="A4726" s="84" t="s">
        <v>106</v>
      </c>
      <c r="B4726" s="84" t="s">
        <v>34</v>
      </c>
      <c r="C4726" s="153">
        <v>0.69722222222222197</v>
      </c>
      <c r="D4726" s="156">
        <v>0</v>
      </c>
      <c r="E4726" s="156">
        <v>0</v>
      </c>
      <c r="F4726" s="156">
        <v>0</v>
      </c>
      <c r="G4726" s="156">
        <v>0</v>
      </c>
      <c r="H4726" s="156">
        <v>0</v>
      </c>
      <c r="I4726" s="156">
        <v>0</v>
      </c>
      <c r="J4726" s="156">
        <v>0</v>
      </c>
    </row>
    <row r="4727" spans="1:10">
      <c r="A4727" s="81" t="s">
        <v>106</v>
      </c>
      <c r="B4727" s="81" t="s">
        <v>34</v>
      </c>
      <c r="C4727" s="151">
        <v>0.69791666666666696</v>
      </c>
      <c r="D4727" s="157">
        <v>0</v>
      </c>
      <c r="E4727" s="157">
        <v>0</v>
      </c>
      <c r="F4727" s="157">
        <v>0</v>
      </c>
      <c r="G4727" s="157">
        <v>0</v>
      </c>
      <c r="H4727" s="157">
        <v>0</v>
      </c>
      <c r="I4727" s="157">
        <v>0</v>
      </c>
      <c r="J4727" s="157">
        <v>0</v>
      </c>
    </row>
    <row r="4728" spans="1:10">
      <c r="A4728" s="81" t="s">
        <v>106</v>
      </c>
      <c r="B4728" s="81" t="s">
        <v>34</v>
      </c>
      <c r="C4728" s="151">
        <v>0.69861111111111096</v>
      </c>
      <c r="D4728" s="155">
        <v>0</v>
      </c>
      <c r="E4728" s="155">
        <v>0</v>
      </c>
      <c r="F4728" s="155">
        <v>0</v>
      </c>
      <c r="G4728" s="155">
        <v>0</v>
      </c>
      <c r="H4728" s="155">
        <v>0</v>
      </c>
      <c r="I4728" s="155">
        <v>0</v>
      </c>
      <c r="J4728" s="155">
        <v>0</v>
      </c>
    </row>
    <row r="4729" spans="1:10">
      <c r="A4729" s="81" t="s">
        <v>106</v>
      </c>
      <c r="B4729" s="81" t="s">
        <v>34</v>
      </c>
      <c r="C4729" s="151">
        <v>0.69930555555555496</v>
      </c>
      <c r="D4729" s="155">
        <v>0</v>
      </c>
      <c r="E4729" s="155">
        <v>0</v>
      </c>
      <c r="F4729" s="155">
        <v>0</v>
      </c>
      <c r="G4729" s="155">
        <v>0</v>
      </c>
      <c r="H4729" s="155">
        <v>0</v>
      </c>
      <c r="I4729" s="155">
        <v>0</v>
      </c>
      <c r="J4729" s="155">
        <v>0</v>
      </c>
    </row>
    <row r="4730" spans="1:10">
      <c r="A4730" s="81" t="s">
        <v>106</v>
      </c>
      <c r="B4730" s="81" t="s">
        <v>34</v>
      </c>
      <c r="C4730" s="151">
        <v>0.7</v>
      </c>
      <c r="D4730" s="155">
        <v>0</v>
      </c>
      <c r="E4730" s="155">
        <v>0</v>
      </c>
      <c r="F4730" s="155">
        <v>0</v>
      </c>
      <c r="G4730" s="155">
        <v>0</v>
      </c>
      <c r="H4730" s="155">
        <v>0</v>
      </c>
      <c r="I4730" s="155">
        <v>0</v>
      </c>
      <c r="J4730" s="155">
        <v>0</v>
      </c>
    </row>
    <row r="4731" spans="1:10">
      <c r="A4731" s="81" t="s">
        <v>106</v>
      </c>
      <c r="B4731" s="81" t="s">
        <v>34</v>
      </c>
      <c r="C4731" s="151">
        <v>0.70069444444444395</v>
      </c>
      <c r="D4731" s="155">
        <v>0</v>
      </c>
      <c r="E4731" s="155">
        <v>0</v>
      </c>
      <c r="F4731" s="155">
        <v>0</v>
      </c>
      <c r="G4731" s="155">
        <v>0</v>
      </c>
      <c r="H4731" s="155">
        <v>0</v>
      </c>
      <c r="I4731" s="155">
        <v>0</v>
      </c>
      <c r="J4731" s="155">
        <v>0</v>
      </c>
    </row>
    <row r="4732" spans="1:10">
      <c r="A4732" s="81" t="s">
        <v>106</v>
      </c>
      <c r="B4732" s="81" t="s">
        <v>34</v>
      </c>
      <c r="C4732" s="151">
        <v>0.70138888888888895</v>
      </c>
      <c r="D4732" s="155">
        <v>0</v>
      </c>
      <c r="E4732" s="155">
        <v>0</v>
      </c>
      <c r="F4732" s="155">
        <v>0</v>
      </c>
      <c r="G4732" s="155">
        <v>0</v>
      </c>
      <c r="H4732" s="155">
        <v>0</v>
      </c>
      <c r="I4732" s="155">
        <v>0</v>
      </c>
      <c r="J4732" s="155">
        <v>0</v>
      </c>
    </row>
    <row r="4733" spans="1:10">
      <c r="A4733" s="81" t="s">
        <v>106</v>
      </c>
      <c r="B4733" s="81" t="s">
        <v>34</v>
      </c>
      <c r="C4733" s="151">
        <v>0.70208333333333295</v>
      </c>
      <c r="D4733" s="155">
        <v>0</v>
      </c>
      <c r="E4733" s="155">
        <v>0</v>
      </c>
      <c r="F4733" s="155">
        <v>0</v>
      </c>
      <c r="G4733" s="155">
        <v>0</v>
      </c>
      <c r="H4733" s="155">
        <v>0</v>
      </c>
      <c r="I4733" s="155">
        <v>0</v>
      </c>
      <c r="J4733" s="155">
        <v>0</v>
      </c>
    </row>
    <row r="4734" spans="1:10">
      <c r="A4734" s="81" t="s">
        <v>106</v>
      </c>
      <c r="B4734" s="81" t="s">
        <v>34</v>
      </c>
      <c r="C4734" s="151">
        <v>0.70277777777777795</v>
      </c>
      <c r="D4734" s="155">
        <v>0</v>
      </c>
      <c r="E4734" s="155">
        <v>0</v>
      </c>
      <c r="F4734" s="155">
        <v>0</v>
      </c>
      <c r="G4734" s="155">
        <v>0</v>
      </c>
      <c r="H4734" s="155">
        <v>0</v>
      </c>
      <c r="I4734" s="155">
        <v>0</v>
      </c>
      <c r="J4734" s="155">
        <v>0</v>
      </c>
    </row>
    <row r="4735" spans="1:10">
      <c r="A4735" s="81" t="s">
        <v>106</v>
      </c>
      <c r="B4735" s="81" t="s">
        <v>34</v>
      </c>
      <c r="C4735" s="151">
        <v>0.70347222222222205</v>
      </c>
      <c r="D4735" s="155">
        <v>0</v>
      </c>
      <c r="E4735" s="155">
        <v>0</v>
      </c>
      <c r="F4735" s="155">
        <v>0</v>
      </c>
      <c r="G4735" s="155">
        <v>0</v>
      </c>
      <c r="H4735" s="155">
        <v>0</v>
      </c>
      <c r="I4735" s="155">
        <v>0</v>
      </c>
      <c r="J4735" s="155">
        <v>0</v>
      </c>
    </row>
    <row r="4736" spans="1:10">
      <c r="A4736" s="81" t="s">
        <v>106</v>
      </c>
      <c r="B4736" s="81" t="s">
        <v>34</v>
      </c>
      <c r="C4736" s="151">
        <v>0.70416666666666605</v>
      </c>
      <c r="D4736" s="155">
        <v>0</v>
      </c>
      <c r="E4736" s="155">
        <v>0</v>
      </c>
      <c r="F4736" s="155">
        <v>0</v>
      </c>
      <c r="G4736" s="155">
        <v>0</v>
      </c>
      <c r="H4736" s="155">
        <v>0</v>
      </c>
      <c r="I4736" s="155">
        <v>0</v>
      </c>
      <c r="J4736" s="155">
        <v>0</v>
      </c>
    </row>
    <row r="4737" spans="1:10">
      <c r="A4737" s="81" t="s">
        <v>106</v>
      </c>
      <c r="B4737" s="81" t="s">
        <v>34</v>
      </c>
      <c r="C4737" s="151">
        <v>0.70486111111111105</v>
      </c>
      <c r="D4737" s="155">
        <v>0</v>
      </c>
      <c r="E4737" s="155">
        <v>0</v>
      </c>
      <c r="F4737" s="155">
        <v>0</v>
      </c>
      <c r="G4737" s="155">
        <v>0</v>
      </c>
      <c r="H4737" s="155">
        <v>0</v>
      </c>
      <c r="I4737" s="155">
        <v>0</v>
      </c>
      <c r="J4737" s="155">
        <v>0</v>
      </c>
    </row>
    <row r="4738" spans="1:10">
      <c r="A4738" s="81" t="s">
        <v>106</v>
      </c>
      <c r="B4738" s="81" t="s">
        <v>34</v>
      </c>
      <c r="C4738" s="151">
        <v>0.70555555555555505</v>
      </c>
      <c r="D4738" s="155">
        <v>0</v>
      </c>
      <c r="E4738" s="155">
        <v>0</v>
      </c>
      <c r="F4738" s="155">
        <v>0</v>
      </c>
      <c r="G4738" s="155">
        <v>0</v>
      </c>
      <c r="H4738" s="155">
        <v>0</v>
      </c>
      <c r="I4738" s="155">
        <v>0</v>
      </c>
      <c r="J4738" s="155">
        <v>0</v>
      </c>
    </row>
    <row r="4739" spans="1:10">
      <c r="A4739" s="81" t="s">
        <v>106</v>
      </c>
      <c r="B4739" s="81" t="s">
        <v>34</v>
      </c>
      <c r="C4739" s="151">
        <v>0.70625000000000004</v>
      </c>
      <c r="D4739" s="155">
        <v>0</v>
      </c>
      <c r="E4739" s="155">
        <v>0</v>
      </c>
      <c r="F4739" s="155">
        <v>0</v>
      </c>
      <c r="G4739" s="155">
        <v>0</v>
      </c>
      <c r="H4739" s="155">
        <v>0</v>
      </c>
      <c r="I4739" s="155">
        <v>0</v>
      </c>
      <c r="J4739" s="155">
        <v>0</v>
      </c>
    </row>
    <row r="4740" spans="1:10">
      <c r="A4740" s="81" t="s">
        <v>106</v>
      </c>
      <c r="B4740" s="81" t="s">
        <v>34</v>
      </c>
      <c r="C4740" s="151">
        <v>0.70694444444444404</v>
      </c>
      <c r="D4740" s="155">
        <v>0</v>
      </c>
      <c r="E4740" s="155">
        <v>0</v>
      </c>
      <c r="F4740" s="155">
        <v>0</v>
      </c>
      <c r="G4740" s="155">
        <v>0</v>
      </c>
      <c r="H4740" s="155">
        <v>0</v>
      </c>
      <c r="I4740" s="155">
        <v>0</v>
      </c>
      <c r="J4740" s="155">
        <v>0</v>
      </c>
    </row>
    <row r="4741" spans="1:10" s="80" customFormat="1">
      <c r="A4741" s="84" t="s">
        <v>106</v>
      </c>
      <c r="B4741" s="84" t="s">
        <v>34</v>
      </c>
      <c r="C4741" s="153">
        <v>0.70763888888888904</v>
      </c>
      <c r="D4741" s="156">
        <v>0</v>
      </c>
      <c r="E4741" s="156">
        <v>0</v>
      </c>
      <c r="F4741" s="156">
        <v>0</v>
      </c>
      <c r="G4741" s="156">
        <v>0</v>
      </c>
      <c r="H4741" s="156">
        <v>0</v>
      </c>
      <c r="I4741" s="156">
        <v>0</v>
      </c>
      <c r="J4741" s="156">
        <v>0</v>
      </c>
    </row>
    <row r="4742" spans="1:10">
      <c r="A4742" s="81" t="s">
        <v>106</v>
      </c>
      <c r="B4742" s="81" t="s">
        <v>34</v>
      </c>
      <c r="C4742" s="151">
        <v>0.70833333333333304</v>
      </c>
      <c r="D4742" s="157">
        <v>0</v>
      </c>
      <c r="E4742" s="157">
        <v>0</v>
      </c>
      <c r="F4742" s="157">
        <v>0</v>
      </c>
      <c r="G4742" s="157">
        <v>0</v>
      </c>
      <c r="H4742" s="157">
        <v>0</v>
      </c>
      <c r="I4742" s="157">
        <v>0</v>
      </c>
      <c r="J4742" s="157">
        <v>0</v>
      </c>
    </row>
    <row r="4743" spans="1:10">
      <c r="A4743" s="81" t="s">
        <v>106</v>
      </c>
      <c r="B4743" s="81" t="s">
        <v>34</v>
      </c>
      <c r="C4743" s="151">
        <v>0.70902777777777803</v>
      </c>
      <c r="D4743" s="155">
        <v>0</v>
      </c>
      <c r="E4743" s="155">
        <v>0</v>
      </c>
      <c r="F4743" s="155">
        <v>0</v>
      </c>
      <c r="G4743" s="155">
        <v>0</v>
      </c>
      <c r="H4743" s="155">
        <v>0</v>
      </c>
      <c r="I4743" s="155">
        <v>0</v>
      </c>
      <c r="J4743" s="155">
        <v>0</v>
      </c>
    </row>
    <row r="4744" spans="1:10">
      <c r="A4744" s="81" t="s">
        <v>106</v>
      </c>
      <c r="B4744" s="81" t="s">
        <v>34</v>
      </c>
      <c r="C4744" s="151">
        <v>0.70972222222222203</v>
      </c>
      <c r="D4744" s="155">
        <v>0</v>
      </c>
      <c r="E4744" s="155">
        <v>0</v>
      </c>
      <c r="F4744" s="155">
        <v>0</v>
      </c>
      <c r="G4744" s="155">
        <v>0</v>
      </c>
      <c r="H4744" s="155">
        <v>0</v>
      </c>
      <c r="I4744" s="155">
        <v>0</v>
      </c>
      <c r="J4744" s="155">
        <v>0</v>
      </c>
    </row>
    <row r="4745" spans="1:10">
      <c r="A4745" s="81" t="s">
        <v>106</v>
      </c>
      <c r="B4745" s="81" t="s">
        <v>34</v>
      </c>
      <c r="C4745" s="151">
        <v>0.71041666666666603</v>
      </c>
      <c r="D4745" s="155">
        <v>0</v>
      </c>
      <c r="E4745" s="155">
        <v>0</v>
      </c>
      <c r="F4745" s="155">
        <v>0</v>
      </c>
      <c r="G4745" s="155">
        <v>0</v>
      </c>
      <c r="H4745" s="155">
        <v>0</v>
      </c>
      <c r="I4745" s="155">
        <v>0</v>
      </c>
      <c r="J4745" s="155">
        <v>0</v>
      </c>
    </row>
    <row r="4746" spans="1:10">
      <c r="A4746" s="81" t="s">
        <v>106</v>
      </c>
      <c r="B4746" s="81" t="s">
        <v>34</v>
      </c>
      <c r="C4746" s="151">
        <v>0.71111111111111103</v>
      </c>
      <c r="D4746" s="155">
        <v>0</v>
      </c>
      <c r="E4746" s="155">
        <v>0</v>
      </c>
      <c r="F4746" s="155">
        <v>0</v>
      </c>
      <c r="G4746" s="155">
        <v>0</v>
      </c>
      <c r="H4746" s="155">
        <v>0</v>
      </c>
      <c r="I4746" s="155">
        <v>0</v>
      </c>
      <c r="J4746" s="155">
        <v>0</v>
      </c>
    </row>
    <row r="4747" spans="1:10">
      <c r="A4747" s="81" t="s">
        <v>106</v>
      </c>
      <c r="B4747" s="81" t="s">
        <v>34</v>
      </c>
      <c r="C4747" s="151">
        <v>0.71180555555555503</v>
      </c>
      <c r="D4747" s="155">
        <v>0</v>
      </c>
      <c r="E4747" s="155">
        <v>0</v>
      </c>
      <c r="F4747" s="155">
        <v>0</v>
      </c>
      <c r="G4747" s="155">
        <v>0</v>
      </c>
      <c r="H4747" s="155">
        <v>0</v>
      </c>
      <c r="I4747" s="155">
        <v>0</v>
      </c>
      <c r="J4747" s="155">
        <v>0</v>
      </c>
    </row>
    <row r="4748" spans="1:10">
      <c r="A4748" s="81" t="s">
        <v>106</v>
      </c>
      <c r="B4748" s="81" t="s">
        <v>34</v>
      </c>
      <c r="C4748" s="151">
        <v>0.71250000000000002</v>
      </c>
      <c r="D4748" s="155">
        <v>0</v>
      </c>
      <c r="E4748" s="155">
        <v>0</v>
      </c>
      <c r="F4748" s="155">
        <v>0</v>
      </c>
      <c r="G4748" s="155">
        <v>0</v>
      </c>
      <c r="H4748" s="155">
        <v>0</v>
      </c>
      <c r="I4748" s="155">
        <v>0</v>
      </c>
      <c r="J4748" s="155">
        <v>0</v>
      </c>
    </row>
    <row r="4749" spans="1:10">
      <c r="A4749" s="81" t="s">
        <v>106</v>
      </c>
      <c r="B4749" s="81" t="s">
        <v>34</v>
      </c>
      <c r="C4749" s="151">
        <v>0.71319444444444402</v>
      </c>
      <c r="D4749" s="155">
        <v>0</v>
      </c>
      <c r="E4749" s="155">
        <v>0</v>
      </c>
      <c r="F4749" s="155">
        <v>0</v>
      </c>
      <c r="G4749" s="155">
        <v>0</v>
      </c>
      <c r="H4749" s="155">
        <v>0</v>
      </c>
      <c r="I4749" s="155">
        <v>0</v>
      </c>
      <c r="J4749" s="155">
        <v>0</v>
      </c>
    </row>
    <row r="4750" spans="1:10">
      <c r="A4750" s="81" t="s">
        <v>106</v>
      </c>
      <c r="B4750" s="81" t="s">
        <v>34</v>
      </c>
      <c r="C4750" s="151">
        <v>0.71388888888888902</v>
      </c>
      <c r="D4750" s="155">
        <v>0</v>
      </c>
      <c r="E4750" s="155">
        <v>0</v>
      </c>
      <c r="F4750" s="155">
        <v>0</v>
      </c>
      <c r="G4750" s="155">
        <v>0</v>
      </c>
      <c r="H4750" s="155">
        <v>0</v>
      </c>
      <c r="I4750" s="155">
        <v>0</v>
      </c>
      <c r="J4750" s="155">
        <v>0</v>
      </c>
    </row>
    <row r="4751" spans="1:10">
      <c r="A4751" s="81" t="s">
        <v>106</v>
      </c>
      <c r="B4751" s="81" t="s">
        <v>34</v>
      </c>
      <c r="C4751" s="151">
        <v>0.71458333333333302</v>
      </c>
      <c r="D4751" s="155">
        <v>0</v>
      </c>
      <c r="E4751" s="155">
        <v>0</v>
      </c>
      <c r="F4751" s="155">
        <v>0</v>
      </c>
      <c r="G4751" s="155">
        <v>0</v>
      </c>
      <c r="H4751" s="155">
        <v>0</v>
      </c>
      <c r="I4751" s="155">
        <v>0</v>
      </c>
      <c r="J4751" s="155">
        <v>0</v>
      </c>
    </row>
    <row r="4752" spans="1:10">
      <c r="A4752" s="81" t="s">
        <v>106</v>
      </c>
      <c r="B4752" s="81" t="s">
        <v>34</v>
      </c>
      <c r="C4752" s="151">
        <v>0.71527777777777801</v>
      </c>
      <c r="D4752" s="155">
        <v>0</v>
      </c>
      <c r="E4752" s="155">
        <v>0</v>
      </c>
      <c r="F4752" s="155">
        <v>0</v>
      </c>
      <c r="G4752" s="155">
        <v>0</v>
      </c>
      <c r="H4752" s="155">
        <v>0</v>
      </c>
      <c r="I4752" s="155">
        <v>0</v>
      </c>
      <c r="J4752" s="155">
        <v>0</v>
      </c>
    </row>
    <row r="4753" spans="1:10">
      <c r="A4753" s="81" t="s">
        <v>106</v>
      </c>
      <c r="B4753" s="81" t="s">
        <v>34</v>
      </c>
      <c r="C4753" s="151">
        <v>0.71597222222222201</v>
      </c>
      <c r="D4753" s="155">
        <v>0</v>
      </c>
      <c r="E4753" s="155">
        <v>0</v>
      </c>
      <c r="F4753" s="155">
        <v>0</v>
      </c>
      <c r="G4753" s="155">
        <v>0</v>
      </c>
      <c r="H4753" s="155">
        <v>0</v>
      </c>
      <c r="I4753" s="155">
        <v>0</v>
      </c>
      <c r="J4753" s="155">
        <v>0</v>
      </c>
    </row>
    <row r="4754" spans="1:10">
      <c r="A4754" s="81" t="s">
        <v>106</v>
      </c>
      <c r="B4754" s="81" t="s">
        <v>34</v>
      </c>
      <c r="C4754" s="151">
        <v>0.71666666666666601</v>
      </c>
      <c r="D4754" s="155">
        <v>0</v>
      </c>
      <c r="E4754" s="155">
        <v>0</v>
      </c>
      <c r="F4754" s="155">
        <v>0</v>
      </c>
      <c r="G4754" s="155">
        <v>0</v>
      </c>
      <c r="H4754" s="155">
        <v>0</v>
      </c>
      <c r="I4754" s="155">
        <v>0</v>
      </c>
      <c r="J4754" s="155">
        <v>0</v>
      </c>
    </row>
    <row r="4755" spans="1:10">
      <c r="A4755" s="81" t="s">
        <v>106</v>
      </c>
      <c r="B4755" s="81" t="s">
        <v>34</v>
      </c>
      <c r="C4755" s="151">
        <v>0.71736111111111101</v>
      </c>
      <c r="D4755" s="155">
        <v>0</v>
      </c>
      <c r="E4755" s="155">
        <v>0</v>
      </c>
      <c r="F4755" s="155">
        <v>0</v>
      </c>
      <c r="G4755" s="155">
        <v>0</v>
      </c>
      <c r="H4755" s="155">
        <v>0</v>
      </c>
      <c r="I4755" s="155">
        <v>0</v>
      </c>
      <c r="J4755" s="155">
        <v>0</v>
      </c>
    </row>
    <row r="4756" spans="1:10" s="80" customFormat="1">
      <c r="A4756" s="84" t="s">
        <v>106</v>
      </c>
      <c r="B4756" s="84" t="s">
        <v>34</v>
      </c>
      <c r="C4756" s="153">
        <v>0.718055555555555</v>
      </c>
      <c r="D4756" s="156">
        <v>0</v>
      </c>
      <c r="E4756" s="156">
        <v>0</v>
      </c>
      <c r="F4756" s="156">
        <v>0</v>
      </c>
      <c r="G4756" s="156">
        <v>0</v>
      </c>
      <c r="H4756" s="156">
        <v>0</v>
      </c>
      <c r="I4756" s="156">
        <v>0</v>
      </c>
      <c r="J4756" s="156">
        <v>0</v>
      </c>
    </row>
    <row r="4757" spans="1:10">
      <c r="A4757" s="81" t="s">
        <v>106</v>
      </c>
      <c r="B4757" s="81" t="s">
        <v>34</v>
      </c>
      <c r="C4757" s="151">
        <v>0.71875</v>
      </c>
      <c r="D4757" s="157">
        <v>0</v>
      </c>
      <c r="E4757" s="157">
        <v>0</v>
      </c>
      <c r="F4757" s="157">
        <v>0</v>
      </c>
      <c r="G4757" s="157">
        <v>0</v>
      </c>
      <c r="H4757" s="157">
        <v>0</v>
      </c>
      <c r="I4757" s="157">
        <v>0</v>
      </c>
      <c r="J4757" s="157">
        <v>0</v>
      </c>
    </row>
    <row r="4758" spans="1:10">
      <c r="A4758" s="81" t="s">
        <v>106</v>
      </c>
      <c r="B4758" s="81" t="s">
        <v>34</v>
      </c>
      <c r="C4758" s="151">
        <v>0.719444444444444</v>
      </c>
      <c r="D4758" s="155">
        <v>0</v>
      </c>
      <c r="E4758" s="155">
        <v>0</v>
      </c>
      <c r="F4758" s="155">
        <v>0</v>
      </c>
      <c r="G4758" s="155">
        <v>0</v>
      </c>
      <c r="H4758" s="155">
        <v>0</v>
      </c>
      <c r="I4758" s="155">
        <v>0</v>
      </c>
      <c r="J4758" s="155">
        <v>0</v>
      </c>
    </row>
    <row r="4759" spans="1:10">
      <c r="A4759" s="81" t="s">
        <v>106</v>
      </c>
      <c r="B4759" s="81" t="s">
        <v>34</v>
      </c>
      <c r="C4759" s="151">
        <v>0.72013888888888899</v>
      </c>
      <c r="D4759" s="155">
        <v>0</v>
      </c>
      <c r="E4759" s="155">
        <v>0</v>
      </c>
      <c r="F4759" s="155">
        <v>0</v>
      </c>
      <c r="G4759" s="155">
        <v>0</v>
      </c>
      <c r="H4759" s="155">
        <v>0</v>
      </c>
      <c r="I4759" s="155">
        <v>0</v>
      </c>
      <c r="J4759" s="155">
        <v>0</v>
      </c>
    </row>
    <row r="4760" spans="1:10">
      <c r="A4760" s="81" t="s">
        <v>106</v>
      </c>
      <c r="B4760" s="81" t="s">
        <v>34</v>
      </c>
      <c r="C4760" s="151">
        <v>0.72083333333333299</v>
      </c>
      <c r="D4760" s="155">
        <v>0</v>
      </c>
      <c r="E4760" s="155">
        <v>0</v>
      </c>
      <c r="F4760" s="155">
        <v>0</v>
      </c>
      <c r="G4760" s="155">
        <v>0</v>
      </c>
      <c r="H4760" s="155">
        <v>0</v>
      </c>
      <c r="I4760" s="155">
        <v>0</v>
      </c>
      <c r="J4760" s="155">
        <v>0</v>
      </c>
    </row>
    <row r="4761" spans="1:10">
      <c r="A4761" s="81" t="s">
        <v>106</v>
      </c>
      <c r="B4761" s="81" t="s">
        <v>34</v>
      </c>
      <c r="C4761" s="151">
        <v>0.72152777777777799</v>
      </c>
      <c r="D4761" s="155">
        <v>0</v>
      </c>
      <c r="E4761" s="155">
        <v>0</v>
      </c>
      <c r="F4761" s="155">
        <v>0</v>
      </c>
      <c r="G4761" s="155">
        <v>0</v>
      </c>
      <c r="H4761" s="155">
        <v>0</v>
      </c>
      <c r="I4761" s="155">
        <v>0</v>
      </c>
      <c r="J4761" s="155">
        <v>0</v>
      </c>
    </row>
    <row r="4762" spans="1:10">
      <c r="A4762" s="81" t="s">
        <v>106</v>
      </c>
      <c r="B4762" s="81" t="s">
        <v>34</v>
      </c>
      <c r="C4762" s="151">
        <v>0.72222222222222199</v>
      </c>
      <c r="D4762" s="155">
        <v>0</v>
      </c>
      <c r="E4762" s="155">
        <v>0</v>
      </c>
      <c r="F4762" s="155">
        <v>0</v>
      </c>
      <c r="G4762" s="155">
        <v>0</v>
      </c>
      <c r="H4762" s="155">
        <v>0</v>
      </c>
      <c r="I4762" s="155">
        <v>0</v>
      </c>
      <c r="J4762" s="155">
        <v>0</v>
      </c>
    </row>
    <row r="4763" spans="1:10">
      <c r="A4763" s="81" t="s">
        <v>106</v>
      </c>
      <c r="B4763" s="81" t="s">
        <v>34</v>
      </c>
      <c r="C4763" s="151">
        <v>0.72291666666666599</v>
      </c>
      <c r="D4763" s="155">
        <v>0</v>
      </c>
      <c r="E4763" s="155">
        <v>0</v>
      </c>
      <c r="F4763" s="155">
        <v>0</v>
      </c>
      <c r="G4763" s="155">
        <v>0</v>
      </c>
      <c r="H4763" s="155">
        <v>0</v>
      </c>
      <c r="I4763" s="155">
        <v>0</v>
      </c>
      <c r="J4763" s="155">
        <v>0</v>
      </c>
    </row>
    <row r="4764" spans="1:10">
      <c r="A4764" s="81" t="s">
        <v>106</v>
      </c>
      <c r="B4764" s="81" t="s">
        <v>34</v>
      </c>
      <c r="C4764" s="151">
        <v>0.72361111111111098</v>
      </c>
      <c r="D4764" s="155">
        <v>0</v>
      </c>
      <c r="E4764" s="155">
        <v>0</v>
      </c>
      <c r="F4764" s="155">
        <v>0</v>
      </c>
      <c r="G4764" s="155">
        <v>0</v>
      </c>
      <c r="H4764" s="155">
        <v>0</v>
      </c>
      <c r="I4764" s="155">
        <v>0</v>
      </c>
      <c r="J4764" s="155">
        <v>0</v>
      </c>
    </row>
    <row r="4765" spans="1:10">
      <c r="A4765" s="81" t="s">
        <v>106</v>
      </c>
      <c r="B4765" s="81" t="s">
        <v>34</v>
      </c>
      <c r="C4765" s="151">
        <v>0.72430555555555498</v>
      </c>
      <c r="D4765" s="155">
        <v>0</v>
      </c>
      <c r="E4765" s="155">
        <v>0</v>
      </c>
      <c r="F4765" s="155">
        <v>0</v>
      </c>
      <c r="G4765" s="155">
        <v>0</v>
      </c>
      <c r="H4765" s="155">
        <v>0</v>
      </c>
      <c r="I4765" s="155">
        <v>0</v>
      </c>
      <c r="J4765" s="155">
        <v>0</v>
      </c>
    </row>
    <row r="4766" spans="1:10">
      <c r="A4766" s="81" t="s">
        <v>106</v>
      </c>
      <c r="B4766" s="81" t="s">
        <v>34</v>
      </c>
      <c r="C4766" s="151">
        <v>0.72499999999999998</v>
      </c>
      <c r="D4766" s="155">
        <v>0</v>
      </c>
      <c r="E4766" s="155">
        <v>0</v>
      </c>
      <c r="F4766" s="155">
        <v>0</v>
      </c>
      <c r="G4766" s="155">
        <v>0</v>
      </c>
      <c r="H4766" s="155">
        <v>0</v>
      </c>
      <c r="I4766" s="155">
        <v>0</v>
      </c>
      <c r="J4766" s="155">
        <v>0</v>
      </c>
    </row>
    <row r="4767" spans="1:10">
      <c r="A4767" s="81" t="s">
        <v>106</v>
      </c>
      <c r="B4767" s="81" t="s">
        <v>34</v>
      </c>
      <c r="C4767" s="151">
        <v>0.72569444444444398</v>
      </c>
      <c r="D4767" s="155">
        <v>0</v>
      </c>
      <c r="E4767" s="155">
        <v>0</v>
      </c>
      <c r="F4767" s="155">
        <v>0</v>
      </c>
      <c r="G4767" s="155">
        <v>0</v>
      </c>
      <c r="H4767" s="155">
        <v>0</v>
      </c>
      <c r="I4767" s="155">
        <v>0</v>
      </c>
      <c r="J4767" s="155">
        <v>0</v>
      </c>
    </row>
    <row r="4768" spans="1:10">
      <c r="A4768" s="81" t="s">
        <v>106</v>
      </c>
      <c r="B4768" s="81" t="s">
        <v>34</v>
      </c>
      <c r="C4768" s="151">
        <v>0.72638888888888897</v>
      </c>
      <c r="D4768" s="155">
        <v>0</v>
      </c>
      <c r="E4768" s="155">
        <v>0</v>
      </c>
      <c r="F4768" s="155">
        <v>0</v>
      </c>
      <c r="G4768" s="155">
        <v>0</v>
      </c>
      <c r="H4768" s="155">
        <v>0</v>
      </c>
      <c r="I4768" s="155">
        <v>0</v>
      </c>
      <c r="J4768" s="155">
        <v>0</v>
      </c>
    </row>
    <row r="4769" spans="1:10">
      <c r="A4769" s="81" t="s">
        <v>106</v>
      </c>
      <c r="B4769" s="81" t="s">
        <v>34</v>
      </c>
      <c r="C4769" s="151">
        <v>0.72708333333333297</v>
      </c>
      <c r="D4769" s="155">
        <v>0</v>
      </c>
      <c r="E4769" s="155">
        <v>0</v>
      </c>
      <c r="F4769" s="155">
        <v>0</v>
      </c>
      <c r="G4769" s="155">
        <v>0</v>
      </c>
      <c r="H4769" s="155">
        <v>0</v>
      </c>
      <c r="I4769" s="155">
        <v>0</v>
      </c>
      <c r="J4769" s="155">
        <v>0</v>
      </c>
    </row>
    <row r="4770" spans="1:10">
      <c r="A4770" s="81" t="s">
        <v>106</v>
      </c>
      <c r="B4770" s="81" t="s">
        <v>34</v>
      </c>
      <c r="C4770" s="151">
        <v>0.72777777777777797</v>
      </c>
      <c r="D4770" s="155">
        <v>0</v>
      </c>
      <c r="E4770" s="155">
        <v>0</v>
      </c>
      <c r="F4770" s="155">
        <v>0</v>
      </c>
      <c r="G4770" s="155">
        <v>0</v>
      </c>
      <c r="H4770" s="155">
        <v>0</v>
      </c>
      <c r="I4770" s="155">
        <v>0</v>
      </c>
      <c r="J4770" s="155">
        <v>0</v>
      </c>
    </row>
    <row r="4771" spans="1:10" s="80" customFormat="1">
      <c r="A4771" s="84" t="s">
        <v>106</v>
      </c>
      <c r="B4771" s="84" t="s">
        <v>34</v>
      </c>
      <c r="C4771" s="153">
        <v>0.72847222222222197</v>
      </c>
      <c r="D4771" s="156">
        <v>0</v>
      </c>
      <c r="E4771" s="156">
        <v>0</v>
      </c>
      <c r="F4771" s="156">
        <v>0</v>
      </c>
      <c r="G4771" s="156">
        <v>0</v>
      </c>
      <c r="H4771" s="156">
        <v>0</v>
      </c>
      <c r="I4771" s="156">
        <v>0</v>
      </c>
      <c r="J4771" s="156">
        <v>0</v>
      </c>
    </row>
    <row r="4772" spans="1:10">
      <c r="A4772" s="81" t="s">
        <v>106</v>
      </c>
      <c r="B4772" s="81" t="s">
        <v>34</v>
      </c>
      <c r="C4772" s="151">
        <v>0.72916666666666596</v>
      </c>
      <c r="D4772" s="157">
        <v>0</v>
      </c>
      <c r="E4772" s="157">
        <v>0</v>
      </c>
      <c r="F4772" s="157">
        <v>0</v>
      </c>
      <c r="G4772" s="157">
        <v>0</v>
      </c>
      <c r="H4772" s="157">
        <v>0</v>
      </c>
      <c r="I4772" s="157">
        <v>0</v>
      </c>
      <c r="J4772" s="157">
        <v>0</v>
      </c>
    </row>
    <row r="4773" spans="1:10">
      <c r="A4773" s="81" t="s">
        <v>106</v>
      </c>
      <c r="B4773" s="81" t="s">
        <v>34</v>
      </c>
      <c r="C4773" s="151">
        <v>0.72986111111111096</v>
      </c>
      <c r="D4773" s="155">
        <v>0</v>
      </c>
      <c r="E4773" s="155">
        <v>0</v>
      </c>
      <c r="F4773" s="155">
        <v>0</v>
      </c>
      <c r="G4773" s="155">
        <v>0</v>
      </c>
      <c r="H4773" s="155">
        <v>0</v>
      </c>
      <c r="I4773" s="155">
        <v>0</v>
      </c>
      <c r="J4773" s="155">
        <v>0</v>
      </c>
    </row>
    <row r="4774" spans="1:10">
      <c r="A4774" s="81" t="s">
        <v>106</v>
      </c>
      <c r="B4774" s="81" t="s">
        <v>34</v>
      </c>
      <c r="C4774" s="151">
        <v>0.73055555555555496</v>
      </c>
      <c r="D4774" s="155">
        <v>0</v>
      </c>
      <c r="E4774" s="155">
        <v>0</v>
      </c>
      <c r="F4774" s="155">
        <v>0</v>
      </c>
      <c r="G4774" s="155">
        <v>0</v>
      </c>
      <c r="H4774" s="155">
        <v>0</v>
      </c>
      <c r="I4774" s="155">
        <v>0</v>
      </c>
      <c r="J4774" s="155">
        <v>0</v>
      </c>
    </row>
    <row r="4775" spans="1:10">
      <c r="A4775" s="81" t="s">
        <v>106</v>
      </c>
      <c r="B4775" s="81" t="s">
        <v>34</v>
      </c>
      <c r="C4775" s="151">
        <v>0.73124999999999996</v>
      </c>
      <c r="D4775" s="155">
        <v>0</v>
      </c>
      <c r="E4775" s="155">
        <v>0</v>
      </c>
      <c r="F4775" s="155">
        <v>0</v>
      </c>
      <c r="G4775" s="155">
        <v>0</v>
      </c>
      <c r="H4775" s="155">
        <v>0</v>
      </c>
      <c r="I4775" s="155">
        <v>0</v>
      </c>
      <c r="J4775" s="155">
        <v>0</v>
      </c>
    </row>
    <row r="4776" spans="1:10">
      <c r="A4776" s="81" t="s">
        <v>106</v>
      </c>
      <c r="B4776" s="81" t="s">
        <v>34</v>
      </c>
      <c r="C4776" s="151">
        <v>0.73194444444444395</v>
      </c>
      <c r="D4776" s="155">
        <v>0</v>
      </c>
      <c r="E4776" s="155">
        <v>0</v>
      </c>
      <c r="F4776" s="155">
        <v>0</v>
      </c>
      <c r="G4776" s="155">
        <v>0</v>
      </c>
      <c r="H4776" s="155">
        <v>0</v>
      </c>
      <c r="I4776" s="155">
        <v>0</v>
      </c>
      <c r="J4776" s="155">
        <v>0</v>
      </c>
    </row>
    <row r="4777" spans="1:10">
      <c r="A4777" s="81" t="s">
        <v>106</v>
      </c>
      <c r="B4777" s="81" t="s">
        <v>34</v>
      </c>
      <c r="C4777" s="151">
        <v>0.73263888888888895</v>
      </c>
      <c r="D4777" s="155">
        <v>0</v>
      </c>
      <c r="E4777" s="155">
        <v>0</v>
      </c>
      <c r="F4777" s="155">
        <v>0</v>
      </c>
      <c r="G4777" s="155">
        <v>0</v>
      </c>
      <c r="H4777" s="155">
        <v>0</v>
      </c>
      <c r="I4777" s="155">
        <v>0</v>
      </c>
      <c r="J4777" s="155">
        <v>0</v>
      </c>
    </row>
    <row r="4778" spans="1:10">
      <c r="A4778" s="81" t="s">
        <v>106</v>
      </c>
      <c r="B4778" s="81" t="s">
        <v>34</v>
      </c>
      <c r="C4778" s="151">
        <v>0.73333333333333295</v>
      </c>
      <c r="D4778" s="155">
        <v>0</v>
      </c>
      <c r="E4778" s="155">
        <v>0</v>
      </c>
      <c r="F4778" s="155">
        <v>0</v>
      </c>
      <c r="G4778" s="155">
        <v>0</v>
      </c>
      <c r="H4778" s="155">
        <v>0</v>
      </c>
      <c r="I4778" s="155">
        <v>0</v>
      </c>
      <c r="J4778" s="155">
        <v>0</v>
      </c>
    </row>
    <row r="4779" spans="1:10">
      <c r="A4779" s="81" t="s">
        <v>106</v>
      </c>
      <c r="B4779" s="81" t="s">
        <v>34</v>
      </c>
      <c r="C4779" s="151">
        <v>0.73402777777777795</v>
      </c>
      <c r="D4779" s="155">
        <v>0</v>
      </c>
      <c r="E4779" s="155">
        <v>0</v>
      </c>
      <c r="F4779" s="155">
        <v>0</v>
      </c>
      <c r="G4779" s="155">
        <v>0</v>
      </c>
      <c r="H4779" s="155">
        <v>0</v>
      </c>
      <c r="I4779" s="155">
        <v>0</v>
      </c>
      <c r="J4779" s="155">
        <v>0</v>
      </c>
    </row>
    <row r="4780" spans="1:10">
      <c r="A4780" s="81" t="s">
        <v>106</v>
      </c>
      <c r="B4780" s="81" t="s">
        <v>34</v>
      </c>
      <c r="C4780" s="151">
        <v>0.73472222222222205</v>
      </c>
      <c r="D4780" s="155">
        <v>0</v>
      </c>
      <c r="E4780" s="155">
        <v>0</v>
      </c>
      <c r="F4780" s="155">
        <v>0</v>
      </c>
      <c r="G4780" s="155">
        <v>0</v>
      </c>
      <c r="H4780" s="155">
        <v>0</v>
      </c>
      <c r="I4780" s="155">
        <v>0</v>
      </c>
      <c r="J4780" s="155">
        <v>0</v>
      </c>
    </row>
    <row r="4781" spans="1:10">
      <c r="A4781" s="81" t="s">
        <v>106</v>
      </c>
      <c r="B4781" s="81" t="s">
        <v>34</v>
      </c>
      <c r="C4781" s="151">
        <v>0.73541666666666605</v>
      </c>
      <c r="D4781" s="155">
        <v>0</v>
      </c>
      <c r="E4781" s="155">
        <v>0</v>
      </c>
      <c r="F4781" s="155">
        <v>0</v>
      </c>
      <c r="G4781" s="155">
        <v>0</v>
      </c>
      <c r="H4781" s="155">
        <v>0</v>
      </c>
      <c r="I4781" s="155">
        <v>0</v>
      </c>
      <c r="J4781" s="155">
        <v>0</v>
      </c>
    </row>
    <row r="4782" spans="1:10">
      <c r="A4782" s="81" t="s">
        <v>106</v>
      </c>
      <c r="B4782" s="81" t="s">
        <v>34</v>
      </c>
      <c r="C4782" s="151">
        <v>0.73611111111111105</v>
      </c>
      <c r="D4782" s="155">
        <v>0</v>
      </c>
      <c r="E4782" s="155">
        <v>0</v>
      </c>
      <c r="F4782" s="155">
        <v>0</v>
      </c>
      <c r="G4782" s="155">
        <v>0</v>
      </c>
      <c r="H4782" s="155">
        <v>0</v>
      </c>
      <c r="I4782" s="155">
        <v>0</v>
      </c>
      <c r="J4782" s="155">
        <v>0</v>
      </c>
    </row>
    <row r="4783" spans="1:10">
      <c r="A4783" s="81" t="s">
        <v>106</v>
      </c>
      <c r="B4783" s="81" t="s">
        <v>34</v>
      </c>
      <c r="C4783" s="151">
        <v>0.73680555555555505</v>
      </c>
      <c r="D4783" s="155">
        <v>0</v>
      </c>
      <c r="E4783" s="155">
        <v>0</v>
      </c>
      <c r="F4783" s="155">
        <v>0</v>
      </c>
      <c r="G4783" s="155">
        <v>0</v>
      </c>
      <c r="H4783" s="155">
        <v>0</v>
      </c>
      <c r="I4783" s="155">
        <v>0</v>
      </c>
      <c r="J4783" s="155">
        <v>0</v>
      </c>
    </row>
    <row r="4784" spans="1:10">
      <c r="A4784" s="81" t="s">
        <v>106</v>
      </c>
      <c r="B4784" s="81" t="s">
        <v>34</v>
      </c>
      <c r="C4784" s="151">
        <v>0.73750000000000004</v>
      </c>
      <c r="D4784" s="155">
        <v>0</v>
      </c>
      <c r="E4784" s="155">
        <v>0</v>
      </c>
      <c r="F4784" s="155">
        <v>0</v>
      </c>
      <c r="G4784" s="155">
        <v>0</v>
      </c>
      <c r="H4784" s="155">
        <v>0</v>
      </c>
      <c r="I4784" s="155">
        <v>0</v>
      </c>
      <c r="J4784" s="155">
        <v>0</v>
      </c>
    </row>
    <row r="4785" spans="1:10">
      <c r="A4785" s="81" t="s">
        <v>106</v>
      </c>
      <c r="B4785" s="81" t="s">
        <v>34</v>
      </c>
      <c r="C4785" s="151">
        <v>0.73819444444444404</v>
      </c>
      <c r="D4785" s="155">
        <v>0</v>
      </c>
      <c r="E4785" s="155">
        <v>0</v>
      </c>
      <c r="F4785" s="155">
        <v>0</v>
      </c>
      <c r="G4785" s="155">
        <v>0</v>
      </c>
      <c r="H4785" s="155">
        <v>0</v>
      </c>
      <c r="I4785" s="155">
        <v>0</v>
      </c>
      <c r="J4785" s="155">
        <v>0</v>
      </c>
    </row>
    <row r="4786" spans="1:10" s="80" customFormat="1">
      <c r="A4786" s="84" t="s">
        <v>106</v>
      </c>
      <c r="B4786" s="84" t="s">
        <v>34</v>
      </c>
      <c r="C4786" s="153">
        <v>0.73888888888888904</v>
      </c>
      <c r="D4786" s="156">
        <v>0</v>
      </c>
      <c r="E4786" s="156">
        <v>0</v>
      </c>
      <c r="F4786" s="156">
        <v>0</v>
      </c>
      <c r="G4786" s="156">
        <v>0</v>
      </c>
      <c r="H4786" s="156">
        <v>0</v>
      </c>
      <c r="I4786" s="156">
        <v>0</v>
      </c>
      <c r="J4786" s="156">
        <v>0</v>
      </c>
    </row>
    <row r="4787" spans="1:10">
      <c r="A4787" s="81" t="s">
        <v>106</v>
      </c>
      <c r="B4787" s="81" t="s">
        <v>34</v>
      </c>
      <c r="C4787" s="151">
        <v>0.73958333333333304</v>
      </c>
      <c r="D4787" s="157">
        <v>0</v>
      </c>
      <c r="E4787" s="157">
        <v>0</v>
      </c>
      <c r="F4787" s="157">
        <v>0</v>
      </c>
      <c r="G4787" s="157">
        <v>0</v>
      </c>
      <c r="H4787" s="157">
        <v>0</v>
      </c>
      <c r="I4787" s="157">
        <v>0</v>
      </c>
      <c r="J4787" s="157">
        <v>0</v>
      </c>
    </row>
    <row r="4788" spans="1:10">
      <c r="A4788" s="81" t="s">
        <v>106</v>
      </c>
      <c r="B4788" s="81" t="s">
        <v>34</v>
      </c>
      <c r="C4788" s="151">
        <v>0.74027777777777704</v>
      </c>
      <c r="D4788" s="155">
        <v>0</v>
      </c>
      <c r="E4788" s="155">
        <v>0</v>
      </c>
      <c r="F4788" s="155">
        <v>0</v>
      </c>
      <c r="G4788" s="155">
        <v>0</v>
      </c>
      <c r="H4788" s="155">
        <v>0</v>
      </c>
      <c r="I4788" s="155">
        <v>0</v>
      </c>
      <c r="J4788" s="155">
        <v>0</v>
      </c>
    </row>
    <row r="4789" spans="1:10">
      <c r="A4789" s="81" t="s">
        <v>106</v>
      </c>
      <c r="B4789" s="81" t="s">
        <v>34</v>
      </c>
      <c r="C4789" s="151">
        <v>0.74097222222222203</v>
      </c>
      <c r="D4789" s="155">
        <v>0</v>
      </c>
      <c r="E4789" s="155">
        <v>0</v>
      </c>
      <c r="F4789" s="155">
        <v>0</v>
      </c>
      <c r="G4789" s="155">
        <v>0</v>
      </c>
      <c r="H4789" s="155">
        <v>0</v>
      </c>
      <c r="I4789" s="155">
        <v>0</v>
      </c>
      <c r="J4789" s="155">
        <v>0</v>
      </c>
    </row>
    <row r="4790" spans="1:10">
      <c r="A4790" s="81" t="s">
        <v>106</v>
      </c>
      <c r="B4790" s="81" t="s">
        <v>34</v>
      </c>
      <c r="C4790" s="151">
        <v>0.74166666666666603</v>
      </c>
      <c r="D4790" s="155">
        <v>0</v>
      </c>
      <c r="E4790" s="155">
        <v>0</v>
      </c>
      <c r="F4790" s="155">
        <v>0</v>
      </c>
      <c r="G4790" s="155">
        <v>0</v>
      </c>
      <c r="H4790" s="155">
        <v>0</v>
      </c>
      <c r="I4790" s="155">
        <v>0</v>
      </c>
      <c r="J4790" s="155">
        <v>0</v>
      </c>
    </row>
    <row r="4791" spans="1:10">
      <c r="A4791" s="81" t="s">
        <v>106</v>
      </c>
      <c r="B4791" s="81" t="s">
        <v>34</v>
      </c>
      <c r="C4791" s="151">
        <v>0.74236111111111103</v>
      </c>
      <c r="D4791" s="155">
        <v>0</v>
      </c>
      <c r="E4791" s="155">
        <v>0</v>
      </c>
      <c r="F4791" s="155">
        <v>0</v>
      </c>
      <c r="G4791" s="155">
        <v>0</v>
      </c>
      <c r="H4791" s="155">
        <v>0</v>
      </c>
      <c r="I4791" s="155">
        <v>0</v>
      </c>
      <c r="J4791" s="155">
        <v>0</v>
      </c>
    </row>
    <row r="4792" spans="1:10">
      <c r="A4792" s="81" t="s">
        <v>106</v>
      </c>
      <c r="B4792" s="81" t="s">
        <v>34</v>
      </c>
      <c r="C4792" s="151">
        <v>0.74305555555555503</v>
      </c>
      <c r="D4792" s="155">
        <v>0</v>
      </c>
      <c r="E4792" s="155">
        <v>0</v>
      </c>
      <c r="F4792" s="155">
        <v>0</v>
      </c>
      <c r="G4792" s="155">
        <v>0</v>
      </c>
      <c r="H4792" s="155">
        <v>0</v>
      </c>
      <c r="I4792" s="155">
        <v>0</v>
      </c>
      <c r="J4792" s="155">
        <v>0</v>
      </c>
    </row>
    <row r="4793" spans="1:10">
      <c r="A4793" s="81" t="s">
        <v>106</v>
      </c>
      <c r="B4793" s="81" t="s">
        <v>34</v>
      </c>
      <c r="C4793" s="151">
        <v>0.74375000000000002</v>
      </c>
      <c r="D4793" s="155">
        <v>0</v>
      </c>
      <c r="E4793" s="155">
        <v>0</v>
      </c>
      <c r="F4793" s="155">
        <v>0</v>
      </c>
      <c r="G4793" s="155">
        <v>0</v>
      </c>
      <c r="H4793" s="155">
        <v>0</v>
      </c>
      <c r="I4793" s="155">
        <v>0</v>
      </c>
      <c r="J4793" s="155">
        <v>0</v>
      </c>
    </row>
    <row r="4794" spans="1:10">
      <c r="A4794" s="81" t="s">
        <v>106</v>
      </c>
      <c r="B4794" s="81" t="s">
        <v>34</v>
      </c>
      <c r="C4794" s="151">
        <v>0.74444444444444402</v>
      </c>
      <c r="D4794" s="155">
        <v>0</v>
      </c>
      <c r="E4794" s="155">
        <v>0</v>
      </c>
      <c r="F4794" s="155">
        <v>0</v>
      </c>
      <c r="G4794" s="155">
        <v>0</v>
      </c>
      <c r="H4794" s="155">
        <v>0</v>
      </c>
      <c r="I4794" s="155">
        <v>0</v>
      </c>
      <c r="J4794" s="155">
        <v>0</v>
      </c>
    </row>
    <row r="4795" spans="1:10">
      <c r="A4795" s="81" t="s">
        <v>106</v>
      </c>
      <c r="B4795" s="81" t="s">
        <v>34</v>
      </c>
      <c r="C4795" s="151">
        <v>0.74513888888888902</v>
      </c>
      <c r="D4795" s="155">
        <v>0</v>
      </c>
      <c r="E4795" s="155">
        <v>0</v>
      </c>
      <c r="F4795" s="155">
        <v>0</v>
      </c>
      <c r="G4795" s="155">
        <v>0</v>
      </c>
      <c r="H4795" s="155">
        <v>0</v>
      </c>
      <c r="I4795" s="155">
        <v>0</v>
      </c>
      <c r="J4795" s="155">
        <v>0</v>
      </c>
    </row>
    <row r="4796" spans="1:10">
      <c r="A4796" s="81" t="s">
        <v>106</v>
      </c>
      <c r="B4796" s="81" t="s">
        <v>34</v>
      </c>
      <c r="C4796" s="151">
        <v>0.74583333333333302</v>
      </c>
      <c r="D4796" s="155">
        <v>0</v>
      </c>
      <c r="E4796" s="155">
        <v>0</v>
      </c>
      <c r="F4796" s="155">
        <v>0</v>
      </c>
      <c r="G4796" s="155">
        <v>0</v>
      </c>
      <c r="H4796" s="155">
        <v>0</v>
      </c>
      <c r="I4796" s="155">
        <v>0</v>
      </c>
      <c r="J4796" s="155">
        <v>0</v>
      </c>
    </row>
    <row r="4797" spans="1:10">
      <c r="A4797" s="81" t="s">
        <v>106</v>
      </c>
      <c r="B4797" s="81" t="s">
        <v>34</v>
      </c>
      <c r="C4797" s="151">
        <v>0.74652777777777701</v>
      </c>
      <c r="D4797" s="155">
        <v>0</v>
      </c>
      <c r="E4797" s="155">
        <v>0</v>
      </c>
      <c r="F4797" s="155">
        <v>0</v>
      </c>
      <c r="G4797" s="155">
        <v>0</v>
      </c>
      <c r="H4797" s="155">
        <v>0</v>
      </c>
      <c r="I4797" s="155">
        <v>0</v>
      </c>
      <c r="J4797" s="155">
        <v>0</v>
      </c>
    </row>
    <row r="4798" spans="1:10">
      <c r="A4798" s="81" t="s">
        <v>106</v>
      </c>
      <c r="B4798" s="81" t="s">
        <v>34</v>
      </c>
      <c r="C4798" s="151">
        <v>0.74722222222222201</v>
      </c>
      <c r="D4798" s="155">
        <v>0</v>
      </c>
      <c r="E4798" s="155">
        <v>0</v>
      </c>
      <c r="F4798" s="155">
        <v>0</v>
      </c>
      <c r="G4798" s="155">
        <v>0</v>
      </c>
      <c r="H4798" s="155">
        <v>0</v>
      </c>
      <c r="I4798" s="155">
        <v>0</v>
      </c>
      <c r="J4798" s="155">
        <v>0</v>
      </c>
    </row>
    <row r="4799" spans="1:10">
      <c r="A4799" s="81" t="s">
        <v>106</v>
      </c>
      <c r="B4799" s="81" t="s">
        <v>34</v>
      </c>
      <c r="C4799" s="151">
        <v>0.74791666666666601</v>
      </c>
      <c r="D4799" s="155">
        <v>0</v>
      </c>
      <c r="E4799" s="155">
        <v>0</v>
      </c>
      <c r="F4799" s="155">
        <v>0</v>
      </c>
      <c r="G4799" s="155">
        <v>0</v>
      </c>
      <c r="H4799" s="155">
        <v>0</v>
      </c>
      <c r="I4799" s="155">
        <v>0</v>
      </c>
      <c r="J4799" s="155">
        <v>0</v>
      </c>
    </row>
    <row r="4800" spans="1:10">
      <c r="A4800" s="81" t="s">
        <v>106</v>
      </c>
      <c r="B4800" s="81" t="s">
        <v>34</v>
      </c>
      <c r="C4800" s="151">
        <v>0.74861111111111101</v>
      </c>
      <c r="D4800" s="155">
        <v>0</v>
      </c>
      <c r="E4800" s="155">
        <v>0</v>
      </c>
      <c r="F4800" s="155">
        <v>0</v>
      </c>
      <c r="G4800" s="155">
        <v>0</v>
      </c>
      <c r="H4800" s="155">
        <v>0</v>
      </c>
      <c r="I4800" s="155">
        <v>0</v>
      </c>
      <c r="J4800" s="155">
        <v>0</v>
      </c>
    </row>
    <row r="4801" spans="1:10" s="28" customFormat="1" ht="17.5" thickBot="1">
      <c r="A4801" s="100" t="s">
        <v>106</v>
      </c>
      <c r="B4801" s="100" t="s">
        <v>34</v>
      </c>
      <c r="C4801" s="152">
        <v>0.749305555555555</v>
      </c>
      <c r="D4801" s="158">
        <v>0</v>
      </c>
      <c r="E4801" s="158">
        <v>0</v>
      </c>
      <c r="F4801" s="158">
        <v>0</v>
      </c>
      <c r="G4801" s="158">
        <v>0</v>
      </c>
      <c r="H4801" s="158">
        <v>0</v>
      </c>
      <c r="I4801" s="158">
        <v>0</v>
      </c>
      <c r="J4801" s="158">
        <v>0</v>
      </c>
    </row>
    <row r="4802" spans="1:10">
      <c r="A4802" s="81" t="s">
        <v>106</v>
      </c>
      <c r="B4802" s="81" t="s">
        <v>35</v>
      </c>
      <c r="C4802" s="151">
        <v>0.66666666666666663</v>
      </c>
      <c r="D4802" s="154">
        <v>0</v>
      </c>
      <c r="E4802" s="154">
        <v>0</v>
      </c>
      <c r="F4802" s="154">
        <v>0</v>
      </c>
      <c r="G4802" s="154">
        <v>0</v>
      </c>
      <c r="H4802" s="154">
        <v>0</v>
      </c>
      <c r="I4802" s="154">
        <v>0</v>
      </c>
      <c r="J4802" s="154">
        <v>0</v>
      </c>
    </row>
    <row r="4803" spans="1:10">
      <c r="A4803" s="81" t="s">
        <v>106</v>
      </c>
      <c r="B4803" s="81" t="s">
        <v>35</v>
      </c>
      <c r="C4803" s="151">
        <v>0.66736111111111107</v>
      </c>
      <c r="D4803" s="155">
        <v>0</v>
      </c>
      <c r="E4803" s="155">
        <v>0</v>
      </c>
      <c r="F4803" s="155">
        <v>0</v>
      </c>
      <c r="G4803" s="155">
        <v>0</v>
      </c>
      <c r="H4803" s="155">
        <v>0</v>
      </c>
      <c r="I4803" s="155">
        <v>0</v>
      </c>
      <c r="J4803" s="155">
        <v>0</v>
      </c>
    </row>
    <row r="4804" spans="1:10">
      <c r="A4804" s="81" t="s">
        <v>106</v>
      </c>
      <c r="B4804" s="81" t="s">
        <v>35</v>
      </c>
      <c r="C4804" s="151">
        <v>0.66805555555555596</v>
      </c>
      <c r="D4804" s="155">
        <v>0</v>
      </c>
      <c r="E4804" s="155">
        <v>0</v>
      </c>
      <c r="F4804" s="155">
        <v>0</v>
      </c>
      <c r="G4804" s="155">
        <v>0</v>
      </c>
      <c r="H4804" s="155">
        <v>0</v>
      </c>
      <c r="I4804" s="155">
        <v>0</v>
      </c>
      <c r="J4804" s="155">
        <v>0</v>
      </c>
    </row>
    <row r="4805" spans="1:10">
      <c r="A4805" s="81" t="s">
        <v>106</v>
      </c>
      <c r="B4805" s="81" t="s">
        <v>35</v>
      </c>
      <c r="C4805" s="151">
        <v>0.66874999999999996</v>
      </c>
      <c r="D4805" s="155">
        <v>0</v>
      </c>
      <c r="E4805" s="155">
        <v>0</v>
      </c>
      <c r="F4805" s="155">
        <v>0</v>
      </c>
      <c r="G4805" s="155">
        <v>0</v>
      </c>
      <c r="H4805" s="155">
        <v>0</v>
      </c>
      <c r="I4805" s="155">
        <v>0</v>
      </c>
      <c r="J4805" s="155">
        <v>0</v>
      </c>
    </row>
    <row r="4806" spans="1:10">
      <c r="A4806" s="81" t="s">
        <v>106</v>
      </c>
      <c r="B4806" s="81" t="s">
        <v>35</v>
      </c>
      <c r="C4806" s="151">
        <v>0.66944444444444395</v>
      </c>
      <c r="D4806" s="155">
        <v>0</v>
      </c>
      <c r="E4806" s="155">
        <v>0</v>
      </c>
      <c r="F4806" s="155">
        <v>0</v>
      </c>
      <c r="G4806" s="155">
        <v>0</v>
      </c>
      <c r="H4806" s="155">
        <v>0</v>
      </c>
      <c r="I4806" s="155">
        <v>0</v>
      </c>
      <c r="J4806" s="155">
        <v>0</v>
      </c>
    </row>
    <row r="4807" spans="1:10">
      <c r="A4807" s="81" t="s">
        <v>106</v>
      </c>
      <c r="B4807" s="81" t="s">
        <v>35</v>
      </c>
      <c r="C4807" s="151">
        <v>0.67013888888888895</v>
      </c>
      <c r="D4807" s="155">
        <v>0</v>
      </c>
      <c r="E4807" s="155">
        <v>0</v>
      </c>
      <c r="F4807" s="155">
        <v>0</v>
      </c>
      <c r="G4807" s="155">
        <v>0</v>
      </c>
      <c r="H4807" s="155">
        <v>0</v>
      </c>
      <c r="I4807" s="155">
        <v>0</v>
      </c>
      <c r="J4807" s="155">
        <v>0</v>
      </c>
    </row>
    <row r="4808" spans="1:10">
      <c r="A4808" s="81" t="s">
        <v>106</v>
      </c>
      <c r="B4808" s="81" t="s">
        <v>35</v>
      </c>
      <c r="C4808" s="151">
        <v>0.67083333333333295</v>
      </c>
      <c r="D4808" s="155">
        <v>0</v>
      </c>
      <c r="E4808" s="155">
        <v>0</v>
      </c>
      <c r="F4808" s="155">
        <v>0</v>
      </c>
      <c r="G4808" s="155">
        <v>0</v>
      </c>
      <c r="H4808" s="155">
        <v>0</v>
      </c>
      <c r="I4808" s="155">
        <v>0</v>
      </c>
      <c r="J4808" s="155">
        <v>0</v>
      </c>
    </row>
    <row r="4809" spans="1:10">
      <c r="A4809" s="81" t="s">
        <v>106</v>
      </c>
      <c r="B4809" s="81" t="s">
        <v>35</v>
      </c>
      <c r="C4809" s="151">
        <v>0.67152777777777795</v>
      </c>
      <c r="D4809" s="155">
        <v>0</v>
      </c>
      <c r="E4809" s="155">
        <v>0</v>
      </c>
      <c r="F4809" s="155">
        <v>0</v>
      </c>
      <c r="G4809" s="155">
        <v>0</v>
      </c>
      <c r="H4809" s="155">
        <v>0</v>
      </c>
      <c r="I4809" s="155">
        <v>0</v>
      </c>
      <c r="J4809" s="155">
        <v>0</v>
      </c>
    </row>
    <row r="4810" spans="1:10">
      <c r="A4810" s="81" t="s">
        <v>106</v>
      </c>
      <c r="B4810" s="81" t="s">
        <v>35</v>
      </c>
      <c r="C4810" s="151">
        <v>0.67222222222222205</v>
      </c>
      <c r="D4810" s="155">
        <v>0</v>
      </c>
      <c r="E4810" s="155">
        <v>0</v>
      </c>
      <c r="F4810" s="155">
        <v>0</v>
      </c>
      <c r="G4810" s="155">
        <v>0</v>
      </c>
      <c r="H4810" s="155">
        <v>0</v>
      </c>
      <c r="I4810" s="155">
        <v>0</v>
      </c>
      <c r="J4810" s="155">
        <v>0</v>
      </c>
    </row>
    <row r="4811" spans="1:10">
      <c r="A4811" s="81" t="s">
        <v>106</v>
      </c>
      <c r="B4811" s="81" t="s">
        <v>35</v>
      </c>
      <c r="C4811" s="151">
        <v>0.67291666666666705</v>
      </c>
      <c r="D4811" s="155">
        <v>0</v>
      </c>
      <c r="E4811" s="155">
        <v>0</v>
      </c>
      <c r="F4811" s="155">
        <v>0</v>
      </c>
      <c r="G4811" s="155">
        <v>0</v>
      </c>
      <c r="H4811" s="155">
        <v>0</v>
      </c>
      <c r="I4811" s="155">
        <v>0</v>
      </c>
      <c r="J4811" s="155">
        <v>0</v>
      </c>
    </row>
    <row r="4812" spans="1:10">
      <c r="A4812" s="81" t="s">
        <v>106</v>
      </c>
      <c r="B4812" s="81" t="s">
        <v>35</v>
      </c>
      <c r="C4812" s="151">
        <v>0.67361111111111105</v>
      </c>
      <c r="D4812" s="155">
        <v>0</v>
      </c>
      <c r="E4812" s="155">
        <v>0</v>
      </c>
      <c r="F4812" s="155">
        <v>0</v>
      </c>
      <c r="G4812" s="155">
        <v>0</v>
      </c>
      <c r="H4812" s="155">
        <v>0</v>
      </c>
      <c r="I4812" s="155">
        <v>0</v>
      </c>
      <c r="J4812" s="155">
        <v>0</v>
      </c>
    </row>
    <row r="4813" spans="1:10">
      <c r="A4813" s="81" t="s">
        <v>106</v>
      </c>
      <c r="B4813" s="81" t="s">
        <v>35</v>
      </c>
      <c r="C4813" s="151">
        <v>0.67430555555555505</v>
      </c>
      <c r="D4813" s="155">
        <v>0</v>
      </c>
      <c r="E4813" s="155">
        <v>0</v>
      </c>
      <c r="F4813" s="155">
        <v>0</v>
      </c>
      <c r="G4813" s="155">
        <v>0</v>
      </c>
      <c r="H4813" s="155">
        <v>0</v>
      </c>
      <c r="I4813" s="155">
        <v>0</v>
      </c>
      <c r="J4813" s="155">
        <v>0</v>
      </c>
    </row>
    <row r="4814" spans="1:10">
      <c r="A4814" s="81" t="s">
        <v>106</v>
      </c>
      <c r="B4814" s="81" t="s">
        <v>35</v>
      </c>
      <c r="C4814" s="151">
        <v>0.67500000000000004</v>
      </c>
      <c r="D4814" s="155">
        <v>0</v>
      </c>
      <c r="E4814" s="155">
        <v>0</v>
      </c>
      <c r="F4814" s="155">
        <v>0</v>
      </c>
      <c r="G4814" s="155">
        <v>0</v>
      </c>
      <c r="H4814" s="155">
        <v>0</v>
      </c>
      <c r="I4814" s="155">
        <v>0</v>
      </c>
      <c r="J4814" s="155">
        <v>0</v>
      </c>
    </row>
    <row r="4815" spans="1:10">
      <c r="A4815" s="81" t="s">
        <v>106</v>
      </c>
      <c r="B4815" s="81" t="s">
        <v>35</v>
      </c>
      <c r="C4815" s="151">
        <v>0.67569444444444404</v>
      </c>
      <c r="D4815" s="155">
        <v>0</v>
      </c>
      <c r="E4815" s="155">
        <v>0</v>
      </c>
      <c r="F4815" s="155">
        <v>0</v>
      </c>
      <c r="G4815" s="155">
        <v>0</v>
      </c>
      <c r="H4815" s="155">
        <v>0</v>
      </c>
      <c r="I4815" s="155">
        <v>0</v>
      </c>
      <c r="J4815" s="155">
        <v>0</v>
      </c>
    </row>
    <row r="4816" spans="1:10" s="80" customFormat="1">
      <c r="A4816" s="84" t="s">
        <v>106</v>
      </c>
      <c r="B4816" s="84" t="s">
        <v>35</v>
      </c>
      <c r="C4816" s="153">
        <v>0.67638888888888904</v>
      </c>
      <c r="D4816" s="156">
        <v>0</v>
      </c>
      <c r="E4816" s="156">
        <v>0</v>
      </c>
      <c r="F4816" s="156">
        <v>0</v>
      </c>
      <c r="G4816" s="156">
        <v>0</v>
      </c>
      <c r="H4816" s="156">
        <v>0</v>
      </c>
      <c r="I4816" s="156">
        <v>0</v>
      </c>
      <c r="J4816" s="156">
        <v>0</v>
      </c>
    </row>
    <row r="4817" spans="1:10">
      <c r="A4817" s="81" t="s">
        <v>106</v>
      </c>
      <c r="B4817" s="81" t="s">
        <v>35</v>
      </c>
      <c r="C4817" s="151">
        <v>0.67708333333333304</v>
      </c>
      <c r="D4817" s="157">
        <v>0</v>
      </c>
      <c r="E4817" s="157">
        <v>0</v>
      </c>
      <c r="F4817" s="157">
        <v>0</v>
      </c>
      <c r="G4817" s="157">
        <v>0</v>
      </c>
      <c r="H4817" s="157">
        <v>0</v>
      </c>
      <c r="I4817" s="157">
        <v>0</v>
      </c>
      <c r="J4817" s="157">
        <v>0</v>
      </c>
    </row>
    <row r="4818" spans="1:10">
      <c r="A4818" s="81" t="s">
        <v>106</v>
      </c>
      <c r="B4818" s="81" t="s">
        <v>35</v>
      </c>
      <c r="C4818" s="151">
        <v>0.67777777777777803</v>
      </c>
      <c r="D4818" s="155">
        <v>0</v>
      </c>
      <c r="E4818" s="155">
        <v>0</v>
      </c>
      <c r="F4818" s="155">
        <v>0</v>
      </c>
      <c r="G4818" s="155">
        <v>0</v>
      </c>
      <c r="H4818" s="155">
        <v>0</v>
      </c>
      <c r="I4818" s="155">
        <v>0</v>
      </c>
      <c r="J4818" s="155">
        <v>0</v>
      </c>
    </row>
    <row r="4819" spans="1:10">
      <c r="A4819" s="81" t="s">
        <v>106</v>
      </c>
      <c r="B4819" s="81" t="s">
        <v>35</v>
      </c>
      <c r="C4819" s="151">
        <v>0.67847222222222203</v>
      </c>
      <c r="D4819" s="155">
        <v>0</v>
      </c>
      <c r="E4819" s="155">
        <v>0</v>
      </c>
      <c r="F4819" s="155">
        <v>0</v>
      </c>
      <c r="G4819" s="155">
        <v>0</v>
      </c>
      <c r="H4819" s="155">
        <v>0</v>
      </c>
      <c r="I4819" s="155">
        <v>0</v>
      </c>
      <c r="J4819" s="155">
        <v>0</v>
      </c>
    </row>
    <row r="4820" spans="1:10">
      <c r="A4820" s="81" t="s">
        <v>106</v>
      </c>
      <c r="B4820" s="81" t="s">
        <v>35</v>
      </c>
      <c r="C4820" s="151">
        <v>0.67916666666666703</v>
      </c>
      <c r="D4820" s="155">
        <v>0</v>
      </c>
      <c r="E4820" s="155">
        <v>0</v>
      </c>
      <c r="F4820" s="155">
        <v>0</v>
      </c>
      <c r="G4820" s="155">
        <v>0</v>
      </c>
      <c r="H4820" s="155">
        <v>0</v>
      </c>
      <c r="I4820" s="155">
        <v>0</v>
      </c>
      <c r="J4820" s="155">
        <v>0</v>
      </c>
    </row>
    <row r="4821" spans="1:10">
      <c r="A4821" s="81" t="s">
        <v>106</v>
      </c>
      <c r="B4821" s="81" t="s">
        <v>35</v>
      </c>
      <c r="C4821" s="151">
        <v>0.67986111111111103</v>
      </c>
      <c r="D4821" s="155">
        <v>0</v>
      </c>
      <c r="E4821" s="155">
        <v>0</v>
      </c>
      <c r="F4821" s="155">
        <v>0</v>
      </c>
      <c r="G4821" s="155">
        <v>0</v>
      </c>
      <c r="H4821" s="155">
        <v>0</v>
      </c>
      <c r="I4821" s="155">
        <v>0</v>
      </c>
      <c r="J4821" s="155">
        <v>0</v>
      </c>
    </row>
    <row r="4822" spans="1:10">
      <c r="A4822" s="81" t="s">
        <v>106</v>
      </c>
      <c r="B4822" s="81" t="s">
        <v>35</v>
      </c>
      <c r="C4822" s="151">
        <v>0.68055555555555503</v>
      </c>
      <c r="D4822" s="155">
        <v>0</v>
      </c>
      <c r="E4822" s="155">
        <v>0</v>
      </c>
      <c r="F4822" s="155">
        <v>0</v>
      </c>
      <c r="G4822" s="155">
        <v>0</v>
      </c>
      <c r="H4822" s="155">
        <v>0</v>
      </c>
      <c r="I4822" s="155">
        <v>0</v>
      </c>
      <c r="J4822" s="155">
        <v>0</v>
      </c>
    </row>
    <row r="4823" spans="1:10">
      <c r="A4823" s="81" t="s">
        <v>106</v>
      </c>
      <c r="B4823" s="81" t="s">
        <v>35</v>
      </c>
      <c r="C4823" s="151">
        <v>0.68125000000000002</v>
      </c>
      <c r="D4823" s="155">
        <v>0</v>
      </c>
      <c r="E4823" s="155">
        <v>0</v>
      </c>
      <c r="F4823" s="155">
        <v>0</v>
      </c>
      <c r="G4823" s="155">
        <v>0</v>
      </c>
      <c r="H4823" s="155">
        <v>0</v>
      </c>
      <c r="I4823" s="155">
        <v>0</v>
      </c>
      <c r="J4823" s="155">
        <v>0</v>
      </c>
    </row>
    <row r="4824" spans="1:10">
      <c r="A4824" s="81" t="s">
        <v>106</v>
      </c>
      <c r="B4824" s="81" t="s">
        <v>35</v>
      </c>
      <c r="C4824" s="151">
        <v>0.68194444444444402</v>
      </c>
      <c r="D4824" s="155">
        <v>0</v>
      </c>
      <c r="E4824" s="155">
        <v>0</v>
      </c>
      <c r="F4824" s="155">
        <v>0</v>
      </c>
      <c r="G4824" s="155">
        <v>0</v>
      </c>
      <c r="H4824" s="155">
        <v>0</v>
      </c>
      <c r="I4824" s="155">
        <v>0</v>
      </c>
      <c r="J4824" s="155">
        <v>0</v>
      </c>
    </row>
    <row r="4825" spans="1:10">
      <c r="A4825" s="81" t="s">
        <v>106</v>
      </c>
      <c r="B4825" s="81" t="s">
        <v>35</v>
      </c>
      <c r="C4825" s="151">
        <v>0.68263888888888902</v>
      </c>
      <c r="D4825" s="155">
        <v>0</v>
      </c>
      <c r="E4825" s="155">
        <v>0</v>
      </c>
      <c r="F4825" s="155">
        <v>0</v>
      </c>
      <c r="G4825" s="155">
        <v>0</v>
      </c>
      <c r="H4825" s="155">
        <v>0</v>
      </c>
      <c r="I4825" s="155">
        <v>0</v>
      </c>
      <c r="J4825" s="155">
        <v>0</v>
      </c>
    </row>
    <row r="4826" spans="1:10">
      <c r="A4826" s="81" t="s">
        <v>106</v>
      </c>
      <c r="B4826" s="81" t="s">
        <v>35</v>
      </c>
      <c r="C4826" s="151">
        <v>0.68333333333333302</v>
      </c>
      <c r="D4826" s="155">
        <v>0</v>
      </c>
      <c r="E4826" s="155">
        <v>0</v>
      </c>
      <c r="F4826" s="155">
        <v>0</v>
      </c>
      <c r="G4826" s="155">
        <v>0</v>
      </c>
      <c r="H4826" s="155">
        <v>0</v>
      </c>
      <c r="I4826" s="155">
        <v>0</v>
      </c>
      <c r="J4826" s="155">
        <v>0</v>
      </c>
    </row>
    <row r="4827" spans="1:10">
      <c r="A4827" s="81" t="s">
        <v>106</v>
      </c>
      <c r="B4827" s="81" t="s">
        <v>35</v>
      </c>
      <c r="C4827" s="151">
        <v>0.68402777777777801</v>
      </c>
      <c r="D4827" s="155">
        <v>0</v>
      </c>
      <c r="E4827" s="155">
        <v>0</v>
      </c>
      <c r="F4827" s="155">
        <v>0</v>
      </c>
      <c r="G4827" s="155">
        <v>0</v>
      </c>
      <c r="H4827" s="155">
        <v>0</v>
      </c>
      <c r="I4827" s="155">
        <v>0</v>
      </c>
      <c r="J4827" s="155">
        <v>0</v>
      </c>
    </row>
    <row r="4828" spans="1:10">
      <c r="A4828" s="81" t="s">
        <v>106</v>
      </c>
      <c r="B4828" s="81" t="s">
        <v>35</v>
      </c>
      <c r="C4828" s="151">
        <v>0.68472222222222201</v>
      </c>
      <c r="D4828" s="155">
        <v>0</v>
      </c>
      <c r="E4828" s="155">
        <v>0</v>
      </c>
      <c r="F4828" s="155">
        <v>0</v>
      </c>
      <c r="G4828" s="155">
        <v>0</v>
      </c>
      <c r="H4828" s="155">
        <v>0</v>
      </c>
      <c r="I4828" s="155">
        <v>0</v>
      </c>
      <c r="J4828" s="155">
        <v>0</v>
      </c>
    </row>
    <row r="4829" spans="1:10">
      <c r="A4829" s="81" t="s">
        <v>106</v>
      </c>
      <c r="B4829" s="81" t="s">
        <v>35</v>
      </c>
      <c r="C4829" s="151">
        <v>0.68541666666666701</v>
      </c>
      <c r="D4829" s="155">
        <v>0</v>
      </c>
      <c r="E4829" s="155">
        <v>0</v>
      </c>
      <c r="F4829" s="155">
        <v>0</v>
      </c>
      <c r="G4829" s="155">
        <v>0</v>
      </c>
      <c r="H4829" s="155">
        <v>0</v>
      </c>
      <c r="I4829" s="155">
        <v>0</v>
      </c>
      <c r="J4829" s="155">
        <v>0</v>
      </c>
    </row>
    <row r="4830" spans="1:10">
      <c r="A4830" s="81" t="s">
        <v>106</v>
      </c>
      <c r="B4830" s="81" t="s">
        <v>35</v>
      </c>
      <c r="C4830" s="151">
        <v>0.68611111111111101</v>
      </c>
      <c r="D4830" s="155">
        <v>0</v>
      </c>
      <c r="E4830" s="155">
        <v>0</v>
      </c>
      <c r="F4830" s="155">
        <v>0</v>
      </c>
      <c r="G4830" s="155">
        <v>0</v>
      </c>
      <c r="H4830" s="155">
        <v>0</v>
      </c>
      <c r="I4830" s="155">
        <v>0</v>
      </c>
      <c r="J4830" s="155">
        <v>0</v>
      </c>
    </row>
    <row r="4831" spans="1:10" s="80" customFormat="1">
      <c r="A4831" s="84" t="s">
        <v>106</v>
      </c>
      <c r="B4831" s="84" t="s">
        <v>35</v>
      </c>
      <c r="C4831" s="153">
        <v>0.686805555555555</v>
      </c>
      <c r="D4831" s="156">
        <v>0</v>
      </c>
      <c r="E4831" s="156">
        <v>0</v>
      </c>
      <c r="F4831" s="156">
        <v>0</v>
      </c>
      <c r="G4831" s="156">
        <v>0</v>
      </c>
      <c r="H4831" s="156">
        <v>0</v>
      </c>
      <c r="I4831" s="156">
        <v>0</v>
      </c>
      <c r="J4831" s="156">
        <v>0</v>
      </c>
    </row>
    <row r="4832" spans="1:10">
      <c r="A4832" s="81" t="s">
        <v>106</v>
      </c>
      <c r="B4832" s="81" t="s">
        <v>35</v>
      </c>
      <c r="C4832" s="151">
        <v>0.6875</v>
      </c>
      <c r="D4832" s="157">
        <v>0</v>
      </c>
      <c r="E4832" s="157">
        <v>0</v>
      </c>
      <c r="F4832" s="157">
        <v>0</v>
      </c>
      <c r="G4832" s="157">
        <v>0</v>
      </c>
      <c r="H4832" s="157">
        <v>0</v>
      </c>
      <c r="I4832" s="157">
        <v>0</v>
      </c>
      <c r="J4832" s="157">
        <v>0</v>
      </c>
    </row>
    <row r="4833" spans="1:10">
      <c r="A4833" s="81" t="s">
        <v>106</v>
      </c>
      <c r="B4833" s="81" t="s">
        <v>35</v>
      </c>
      <c r="C4833" s="151">
        <v>0.688194444444444</v>
      </c>
      <c r="D4833" s="155">
        <v>0</v>
      </c>
      <c r="E4833" s="155">
        <v>0</v>
      </c>
      <c r="F4833" s="155">
        <v>0</v>
      </c>
      <c r="G4833" s="155">
        <v>0</v>
      </c>
      <c r="H4833" s="155">
        <v>0</v>
      </c>
      <c r="I4833" s="155">
        <v>0</v>
      </c>
      <c r="J4833" s="155">
        <v>0</v>
      </c>
    </row>
    <row r="4834" spans="1:10">
      <c r="A4834" s="81" t="s">
        <v>106</v>
      </c>
      <c r="B4834" s="81" t="s">
        <v>35</v>
      </c>
      <c r="C4834" s="151">
        <v>0.68888888888888899</v>
      </c>
      <c r="D4834" s="155">
        <v>0</v>
      </c>
      <c r="E4834" s="155">
        <v>0</v>
      </c>
      <c r="F4834" s="155">
        <v>0</v>
      </c>
      <c r="G4834" s="155">
        <v>0</v>
      </c>
      <c r="H4834" s="155">
        <v>0</v>
      </c>
      <c r="I4834" s="155">
        <v>0</v>
      </c>
      <c r="J4834" s="155">
        <v>0</v>
      </c>
    </row>
    <row r="4835" spans="1:10">
      <c r="A4835" s="81" t="s">
        <v>106</v>
      </c>
      <c r="B4835" s="81" t="s">
        <v>35</v>
      </c>
      <c r="C4835" s="151">
        <v>0.68958333333333299</v>
      </c>
      <c r="D4835" s="155">
        <v>0</v>
      </c>
      <c r="E4835" s="155">
        <v>0</v>
      </c>
      <c r="F4835" s="155">
        <v>0</v>
      </c>
      <c r="G4835" s="155">
        <v>0</v>
      </c>
      <c r="H4835" s="155">
        <v>0</v>
      </c>
      <c r="I4835" s="155">
        <v>0</v>
      </c>
      <c r="J4835" s="155">
        <v>0</v>
      </c>
    </row>
    <row r="4836" spans="1:10">
      <c r="A4836" s="81" t="s">
        <v>106</v>
      </c>
      <c r="B4836" s="81" t="s">
        <v>35</v>
      </c>
      <c r="C4836" s="151">
        <v>0.69027777777777799</v>
      </c>
      <c r="D4836" s="155">
        <v>0</v>
      </c>
      <c r="E4836" s="155">
        <v>0</v>
      </c>
      <c r="F4836" s="155">
        <v>0</v>
      </c>
      <c r="G4836" s="155">
        <v>0</v>
      </c>
      <c r="H4836" s="155">
        <v>0</v>
      </c>
      <c r="I4836" s="155">
        <v>0</v>
      </c>
      <c r="J4836" s="155">
        <v>0</v>
      </c>
    </row>
    <row r="4837" spans="1:10">
      <c r="A4837" s="81" t="s">
        <v>106</v>
      </c>
      <c r="B4837" s="81" t="s">
        <v>35</v>
      </c>
      <c r="C4837" s="151">
        <v>0.69097222222222199</v>
      </c>
      <c r="D4837" s="155">
        <v>0</v>
      </c>
      <c r="E4837" s="155">
        <v>0</v>
      </c>
      <c r="F4837" s="155">
        <v>0</v>
      </c>
      <c r="G4837" s="155">
        <v>0</v>
      </c>
      <c r="H4837" s="155">
        <v>0</v>
      </c>
      <c r="I4837" s="155">
        <v>0</v>
      </c>
      <c r="J4837" s="155">
        <v>0</v>
      </c>
    </row>
    <row r="4838" spans="1:10">
      <c r="A4838" s="81" t="s">
        <v>106</v>
      </c>
      <c r="B4838" s="81" t="s">
        <v>35</v>
      </c>
      <c r="C4838" s="151">
        <v>0.69166666666666698</v>
      </c>
      <c r="D4838" s="155">
        <v>0</v>
      </c>
      <c r="E4838" s="155">
        <v>0</v>
      </c>
      <c r="F4838" s="155">
        <v>0</v>
      </c>
      <c r="G4838" s="155">
        <v>0</v>
      </c>
      <c r="H4838" s="155">
        <v>0</v>
      </c>
      <c r="I4838" s="155">
        <v>0</v>
      </c>
      <c r="J4838" s="155">
        <v>0</v>
      </c>
    </row>
    <row r="4839" spans="1:10">
      <c r="A4839" s="81" t="s">
        <v>106</v>
      </c>
      <c r="B4839" s="81" t="s">
        <v>35</v>
      </c>
      <c r="C4839" s="151">
        <v>0.69236111111111098</v>
      </c>
      <c r="D4839" s="155">
        <v>0</v>
      </c>
      <c r="E4839" s="155">
        <v>0</v>
      </c>
      <c r="F4839" s="155">
        <v>0</v>
      </c>
      <c r="G4839" s="155">
        <v>0</v>
      </c>
      <c r="H4839" s="155">
        <v>0</v>
      </c>
      <c r="I4839" s="155">
        <v>0</v>
      </c>
      <c r="J4839" s="155">
        <v>0</v>
      </c>
    </row>
    <row r="4840" spans="1:10">
      <c r="A4840" s="81" t="s">
        <v>106</v>
      </c>
      <c r="B4840" s="81" t="s">
        <v>35</v>
      </c>
      <c r="C4840" s="151">
        <v>0.69305555555555498</v>
      </c>
      <c r="D4840" s="155">
        <v>0</v>
      </c>
      <c r="E4840" s="155">
        <v>0</v>
      </c>
      <c r="F4840" s="155">
        <v>0</v>
      </c>
      <c r="G4840" s="155">
        <v>0</v>
      </c>
      <c r="H4840" s="155">
        <v>0</v>
      </c>
      <c r="I4840" s="155">
        <v>0</v>
      </c>
      <c r="J4840" s="155">
        <v>0</v>
      </c>
    </row>
    <row r="4841" spans="1:10">
      <c r="A4841" s="81" t="s">
        <v>106</v>
      </c>
      <c r="B4841" s="81" t="s">
        <v>35</v>
      </c>
      <c r="C4841" s="151">
        <v>0.69374999999999998</v>
      </c>
      <c r="D4841" s="155">
        <v>0</v>
      </c>
      <c r="E4841" s="155">
        <v>0</v>
      </c>
      <c r="F4841" s="155">
        <v>0</v>
      </c>
      <c r="G4841" s="155">
        <v>0</v>
      </c>
      <c r="H4841" s="155">
        <v>0</v>
      </c>
      <c r="I4841" s="155">
        <v>0</v>
      </c>
      <c r="J4841" s="155">
        <v>0</v>
      </c>
    </row>
    <row r="4842" spans="1:10">
      <c r="A4842" s="81" t="s">
        <v>106</v>
      </c>
      <c r="B4842" s="81" t="s">
        <v>35</v>
      </c>
      <c r="C4842" s="151">
        <v>0.69444444444444398</v>
      </c>
      <c r="D4842" s="155">
        <v>0</v>
      </c>
      <c r="E4842" s="155">
        <v>0</v>
      </c>
      <c r="F4842" s="155">
        <v>0</v>
      </c>
      <c r="G4842" s="155">
        <v>0</v>
      </c>
      <c r="H4842" s="155">
        <v>0</v>
      </c>
      <c r="I4842" s="155">
        <v>0</v>
      </c>
      <c r="J4842" s="155">
        <v>0</v>
      </c>
    </row>
    <row r="4843" spans="1:10">
      <c r="A4843" s="81" t="s">
        <v>106</v>
      </c>
      <c r="B4843" s="81" t="s">
        <v>35</v>
      </c>
      <c r="C4843" s="151">
        <v>0.69513888888888897</v>
      </c>
      <c r="D4843" s="155">
        <v>0</v>
      </c>
      <c r="E4843" s="155">
        <v>0</v>
      </c>
      <c r="F4843" s="155">
        <v>0</v>
      </c>
      <c r="G4843" s="155">
        <v>0</v>
      </c>
      <c r="H4843" s="155">
        <v>0</v>
      </c>
      <c r="I4843" s="155">
        <v>0</v>
      </c>
      <c r="J4843" s="155">
        <v>0</v>
      </c>
    </row>
    <row r="4844" spans="1:10">
      <c r="A4844" s="81" t="s">
        <v>106</v>
      </c>
      <c r="B4844" s="81" t="s">
        <v>35</v>
      </c>
      <c r="C4844" s="151">
        <v>0.69583333333333297</v>
      </c>
      <c r="D4844" s="155">
        <v>0</v>
      </c>
      <c r="E4844" s="155">
        <v>0</v>
      </c>
      <c r="F4844" s="155">
        <v>0</v>
      </c>
      <c r="G4844" s="155">
        <v>0</v>
      </c>
      <c r="H4844" s="155">
        <v>0</v>
      </c>
      <c r="I4844" s="155">
        <v>0</v>
      </c>
      <c r="J4844" s="155">
        <v>0</v>
      </c>
    </row>
    <row r="4845" spans="1:10">
      <c r="A4845" s="81" t="s">
        <v>106</v>
      </c>
      <c r="B4845" s="81" t="s">
        <v>35</v>
      </c>
      <c r="C4845" s="151">
        <v>0.69652777777777797</v>
      </c>
      <c r="D4845" s="155">
        <v>0</v>
      </c>
      <c r="E4845" s="155">
        <v>0</v>
      </c>
      <c r="F4845" s="155">
        <v>0</v>
      </c>
      <c r="G4845" s="155">
        <v>0</v>
      </c>
      <c r="H4845" s="155">
        <v>0</v>
      </c>
      <c r="I4845" s="155">
        <v>0</v>
      </c>
      <c r="J4845" s="155">
        <v>0</v>
      </c>
    </row>
    <row r="4846" spans="1:10" s="80" customFormat="1">
      <c r="A4846" s="84" t="s">
        <v>106</v>
      </c>
      <c r="B4846" s="84" t="s">
        <v>35</v>
      </c>
      <c r="C4846" s="153">
        <v>0.69722222222222197</v>
      </c>
      <c r="D4846" s="156">
        <v>0</v>
      </c>
      <c r="E4846" s="156">
        <v>0</v>
      </c>
      <c r="F4846" s="156">
        <v>0</v>
      </c>
      <c r="G4846" s="156">
        <v>0</v>
      </c>
      <c r="H4846" s="156">
        <v>0</v>
      </c>
      <c r="I4846" s="156">
        <v>0</v>
      </c>
      <c r="J4846" s="156">
        <v>0</v>
      </c>
    </row>
    <row r="4847" spans="1:10">
      <c r="A4847" s="81" t="s">
        <v>106</v>
      </c>
      <c r="B4847" s="81" t="s">
        <v>35</v>
      </c>
      <c r="C4847" s="151">
        <v>0.69791666666666696</v>
      </c>
      <c r="D4847" s="157">
        <v>0</v>
      </c>
      <c r="E4847" s="157">
        <v>0</v>
      </c>
      <c r="F4847" s="157">
        <v>0</v>
      </c>
      <c r="G4847" s="157">
        <v>0</v>
      </c>
      <c r="H4847" s="157">
        <v>0</v>
      </c>
      <c r="I4847" s="157">
        <v>0</v>
      </c>
      <c r="J4847" s="157">
        <v>0</v>
      </c>
    </row>
    <row r="4848" spans="1:10">
      <c r="A4848" s="81" t="s">
        <v>106</v>
      </c>
      <c r="B4848" s="81" t="s">
        <v>35</v>
      </c>
      <c r="C4848" s="151">
        <v>0.69861111111111096</v>
      </c>
      <c r="D4848" s="155">
        <v>0</v>
      </c>
      <c r="E4848" s="155">
        <v>0</v>
      </c>
      <c r="F4848" s="155">
        <v>0</v>
      </c>
      <c r="G4848" s="155">
        <v>0</v>
      </c>
      <c r="H4848" s="155">
        <v>0</v>
      </c>
      <c r="I4848" s="155">
        <v>0</v>
      </c>
      <c r="J4848" s="155">
        <v>0</v>
      </c>
    </row>
    <row r="4849" spans="1:10">
      <c r="A4849" s="81" t="s">
        <v>106</v>
      </c>
      <c r="B4849" s="81" t="s">
        <v>35</v>
      </c>
      <c r="C4849" s="151">
        <v>0.69930555555555496</v>
      </c>
      <c r="D4849" s="155">
        <v>0</v>
      </c>
      <c r="E4849" s="155">
        <v>0</v>
      </c>
      <c r="F4849" s="155">
        <v>0</v>
      </c>
      <c r="G4849" s="155">
        <v>0</v>
      </c>
      <c r="H4849" s="155">
        <v>0</v>
      </c>
      <c r="I4849" s="155">
        <v>0</v>
      </c>
      <c r="J4849" s="155">
        <v>0</v>
      </c>
    </row>
    <row r="4850" spans="1:10">
      <c r="A4850" s="81" t="s">
        <v>106</v>
      </c>
      <c r="B4850" s="81" t="s">
        <v>35</v>
      </c>
      <c r="C4850" s="151">
        <v>0.7</v>
      </c>
      <c r="D4850" s="155">
        <v>0</v>
      </c>
      <c r="E4850" s="155">
        <v>0</v>
      </c>
      <c r="F4850" s="155">
        <v>0</v>
      </c>
      <c r="G4850" s="155">
        <v>0</v>
      </c>
      <c r="H4850" s="155">
        <v>0</v>
      </c>
      <c r="I4850" s="155">
        <v>0</v>
      </c>
      <c r="J4850" s="155">
        <v>0</v>
      </c>
    </row>
    <row r="4851" spans="1:10">
      <c r="A4851" s="81" t="s">
        <v>106</v>
      </c>
      <c r="B4851" s="81" t="s">
        <v>35</v>
      </c>
      <c r="C4851" s="151">
        <v>0.70069444444444395</v>
      </c>
      <c r="D4851" s="155">
        <v>0</v>
      </c>
      <c r="E4851" s="155">
        <v>0</v>
      </c>
      <c r="F4851" s="155">
        <v>0</v>
      </c>
      <c r="G4851" s="155">
        <v>0</v>
      </c>
      <c r="H4851" s="155">
        <v>0</v>
      </c>
      <c r="I4851" s="155">
        <v>0</v>
      </c>
      <c r="J4851" s="155">
        <v>0</v>
      </c>
    </row>
    <row r="4852" spans="1:10">
      <c r="A4852" s="81" t="s">
        <v>106</v>
      </c>
      <c r="B4852" s="81" t="s">
        <v>35</v>
      </c>
      <c r="C4852" s="151">
        <v>0.70138888888888895</v>
      </c>
      <c r="D4852" s="155">
        <v>0</v>
      </c>
      <c r="E4852" s="155">
        <v>0</v>
      </c>
      <c r="F4852" s="155">
        <v>0</v>
      </c>
      <c r="G4852" s="155">
        <v>0</v>
      </c>
      <c r="H4852" s="155">
        <v>0</v>
      </c>
      <c r="I4852" s="155">
        <v>0</v>
      </c>
      <c r="J4852" s="155">
        <v>0</v>
      </c>
    </row>
    <row r="4853" spans="1:10">
      <c r="A4853" s="81" t="s">
        <v>106</v>
      </c>
      <c r="B4853" s="81" t="s">
        <v>35</v>
      </c>
      <c r="C4853" s="151">
        <v>0.70208333333333295</v>
      </c>
      <c r="D4853" s="155">
        <v>0</v>
      </c>
      <c r="E4853" s="155">
        <v>0</v>
      </c>
      <c r="F4853" s="155">
        <v>0</v>
      </c>
      <c r="G4853" s="155">
        <v>0</v>
      </c>
      <c r="H4853" s="155">
        <v>0</v>
      </c>
      <c r="I4853" s="155">
        <v>0</v>
      </c>
      <c r="J4853" s="155">
        <v>0</v>
      </c>
    </row>
    <row r="4854" spans="1:10">
      <c r="A4854" s="81" t="s">
        <v>106</v>
      </c>
      <c r="B4854" s="81" t="s">
        <v>35</v>
      </c>
      <c r="C4854" s="151">
        <v>0.70277777777777795</v>
      </c>
      <c r="D4854" s="155">
        <v>0</v>
      </c>
      <c r="E4854" s="155">
        <v>0</v>
      </c>
      <c r="F4854" s="155">
        <v>0</v>
      </c>
      <c r="G4854" s="155">
        <v>0</v>
      </c>
      <c r="H4854" s="155">
        <v>0</v>
      </c>
      <c r="I4854" s="155">
        <v>0</v>
      </c>
      <c r="J4854" s="155">
        <v>0</v>
      </c>
    </row>
    <row r="4855" spans="1:10">
      <c r="A4855" s="81" t="s">
        <v>106</v>
      </c>
      <c r="B4855" s="81" t="s">
        <v>35</v>
      </c>
      <c r="C4855" s="151">
        <v>0.70347222222222205</v>
      </c>
      <c r="D4855" s="155">
        <v>0</v>
      </c>
      <c r="E4855" s="155">
        <v>0</v>
      </c>
      <c r="F4855" s="155">
        <v>0</v>
      </c>
      <c r="G4855" s="155">
        <v>0</v>
      </c>
      <c r="H4855" s="155">
        <v>0</v>
      </c>
      <c r="I4855" s="155">
        <v>0</v>
      </c>
      <c r="J4855" s="155">
        <v>0</v>
      </c>
    </row>
    <row r="4856" spans="1:10">
      <c r="A4856" s="81" t="s">
        <v>106</v>
      </c>
      <c r="B4856" s="81" t="s">
        <v>35</v>
      </c>
      <c r="C4856" s="151">
        <v>0.70416666666666605</v>
      </c>
      <c r="D4856" s="155">
        <v>0</v>
      </c>
      <c r="E4856" s="155">
        <v>0</v>
      </c>
      <c r="F4856" s="155">
        <v>0</v>
      </c>
      <c r="G4856" s="155">
        <v>0</v>
      </c>
      <c r="H4856" s="155">
        <v>0</v>
      </c>
      <c r="I4856" s="155">
        <v>0</v>
      </c>
      <c r="J4856" s="155">
        <v>0</v>
      </c>
    </row>
    <row r="4857" spans="1:10">
      <c r="A4857" s="81" t="s">
        <v>106</v>
      </c>
      <c r="B4857" s="81" t="s">
        <v>35</v>
      </c>
      <c r="C4857" s="151">
        <v>0.70486111111111105</v>
      </c>
      <c r="D4857" s="155">
        <v>0</v>
      </c>
      <c r="E4857" s="155">
        <v>0</v>
      </c>
      <c r="F4857" s="155">
        <v>0</v>
      </c>
      <c r="G4857" s="155">
        <v>0</v>
      </c>
      <c r="H4857" s="155">
        <v>0</v>
      </c>
      <c r="I4857" s="155">
        <v>0</v>
      </c>
      <c r="J4857" s="155">
        <v>0</v>
      </c>
    </row>
    <row r="4858" spans="1:10">
      <c r="A4858" s="81" t="s">
        <v>106</v>
      </c>
      <c r="B4858" s="81" t="s">
        <v>35</v>
      </c>
      <c r="C4858" s="151">
        <v>0.70555555555555505</v>
      </c>
      <c r="D4858" s="155">
        <v>0</v>
      </c>
      <c r="E4858" s="155">
        <v>0</v>
      </c>
      <c r="F4858" s="155">
        <v>0</v>
      </c>
      <c r="G4858" s="155">
        <v>0</v>
      </c>
      <c r="H4858" s="155">
        <v>0</v>
      </c>
      <c r="I4858" s="155">
        <v>0</v>
      </c>
      <c r="J4858" s="155">
        <v>0</v>
      </c>
    </row>
    <row r="4859" spans="1:10">
      <c r="A4859" s="81" t="s">
        <v>106</v>
      </c>
      <c r="B4859" s="81" t="s">
        <v>35</v>
      </c>
      <c r="C4859" s="151">
        <v>0.70625000000000004</v>
      </c>
      <c r="D4859" s="155">
        <v>0</v>
      </c>
      <c r="E4859" s="155">
        <v>0</v>
      </c>
      <c r="F4859" s="155">
        <v>0</v>
      </c>
      <c r="G4859" s="155">
        <v>0</v>
      </c>
      <c r="H4859" s="155">
        <v>0</v>
      </c>
      <c r="I4859" s="155">
        <v>0</v>
      </c>
      <c r="J4859" s="155">
        <v>0</v>
      </c>
    </row>
    <row r="4860" spans="1:10">
      <c r="A4860" s="81" t="s">
        <v>106</v>
      </c>
      <c r="B4860" s="81" t="s">
        <v>35</v>
      </c>
      <c r="C4860" s="151">
        <v>0.70694444444444404</v>
      </c>
      <c r="D4860" s="155">
        <v>0</v>
      </c>
      <c r="E4860" s="155">
        <v>0</v>
      </c>
      <c r="F4860" s="155">
        <v>0</v>
      </c>
      <c r="G4860" s="155">
        <v>0</v>
      </c>
      <c r="H4860" s="155">
        <v>0</v>
      </c>
      <c r="I4860" s="155">
        <v>0</v>
      </c>
      <c r="J4860" s="155">
        <v>0</v>
      </c>
    </row>
    <row r="4861" spans="1:10" s="80" customFormat="1">
      <c r="A4861" s="84" t="s">
        <v>106</v>
      </c>
      <c r="B4861" s="84" t="s">
        <v>35</v>
      </c>
      <c r="C4861" s="153">
        <v>0.70763888888888904</v>
      </c>
      <c r="D4861" s="156">
        <v>0</v>
      </c>
      <c r="E4861" s="156">
        <v>0</v>
      </c>
      <c r="F4861" s="156">
        <v>0</v>
      </c>
      <c r="G4861" s="156">
        <v>0</v>
      </c>
      <c r="H4861" s="156">
        <v>0</v>
      </c>
      <c r="I4861" s="156">
        <v>0</v>
      </c>
      <c r="J4861" s="156">
        <v>0</v>
      </c>
    </row>
    <row r="4862" spans="1:10">
      <c r="A4862" s="81" t="s">
        <v>106</v>
      </c>
      <c r="B4862" s="81" t="s">
        <v>35</v>
      </c>
      <c r="C4862" s="151">
        <v>0.70833333333333304</v>
      </c>
      <c r="D4862" s="157">
        <v>0</v>
      </c>
      <c r="E4862" s="157">
        <v>0</v>
      </c>
      <c r="F4862" s="157">
        <v>0</v>
      </c>
      <c r="G4862" s="157">
        <v>0</v>
      </c>
      <c r="H4862" s="157">
        <v>0</v>
      </c>
      <c r="I4862" s="157">
        <v>0</v>
      </c>
      <c r="J4862" s="157">
        <v>0</v>
      </c>
    </row>
    <row r="4863" spans="1:10">
      <c r="A4863" s="81" t="s">
        <v>106</v>
      </c>
      <c r="B4863" s="81" t="s">
        <v>35</v>
      </c>
      <c r="C4863" s="151">
        <v>0.70902777777777803</v>
      </c>
      <c r="D4863" s="155">
        <v>0</v>
      </c>
      <c r="E4863" s="155">
        <v>0</v>
      </c>
      <c r="F4863" s="155">
        <v>0</v>
      </c>
      <c r="G4863" s="155">
        <v>0</v>
      </c>
      <c r="H4863" s="155">
        <v>0</v>
      </c>
      <c r="I4863" s="155">
        <v>0</v>
      </c>
      <c r="J4863" s="155">
        <v>0</v>
      </c>
    </row>
    <row r="4864" spans="1:10">
      <c r="A4864" s="81" t="s">
        <v>106</v>
      </c>
      <c r="B4864" s="81" t="s">
        <v>35</v>
      </c>
      <c r="C4864" s="151">
        <v>0.70972222222222203</v>
      </c>
      <c r="D4864" s="155">
        <v>0</v>
      </c>
      <c r="E4864" s="155">
        <v>0</v>
      </c>
      <c r="F4864" s="155">
        <v>0</v>
      </c>
      <c r="G4864" s="155">
        <v>0</v>
      </c>
      <c r="H4864" s="155">
        <v>0</v>
      </c>
      <c r="I4864" s="155">
        <v>0</v>
      </c>
      <c r="J4864" s="155">
        <v>0</v>
      </c>
    </row>
    <row r="4865" spans="1:10">
      <c r="A4865" s="81" t="s">
        <v>106</v>
      </c>
      <c r="B4865" s="81" t="s">
        <v>35</v>
      </c>
      <c r="C4865" s="151">
        <v>0.71041666666666603</v>
      </c>
      <c r="D4865" s="155">
        <v>0</v>
      </c>
      <c r="E4865" s="155">
        <v>0</v>
      </c>
      <c r="F4865" s="155">
        <v>0</v>
      </c>
      <c r="G4865" s="155">
        <v>0</v>
      </c>
      <c r="H4865" s="155">
        <v>0</v>
      </c>
      <c r="I4865" s="155">
        <v>0</v>
      </c>
      <c r="J4865" s="155">
        <v>0</v>
      </c>
    </row>
    <row r="4866" spans="1:10">
      <c r="A4866" s="81" t="s">
        <v>106</v>
      </c>
      <c r="B4866" s="81" t="s">
        <v>35</v>
      </c>
      <c r="C4866" s="151">
        <v>0.71111111111111103</v>
      </c>
      <c r="D4866" s="155">
        <v>0</v>
      </c>
      <c r="E4866" s="155">
        <v>0</v>
      </c>
      <c r="F4866" s="155">
        <v>0</v>
      </c>
      <c r="G4866" s="155">
        <v>0</v>
      </c>
      <c r="H4866" s="155">
        <v>0</v>
      </c>
      <c r="I4866" s="155">
        <v>0</v>
      </c>
      <c r="J4866" s="155">
        <v>0</v>
      </c>
    </row>
    <row r="4867" spans="1:10">
      <c r="A4867" s="81" t="s">
        <v>106</v>
      </c>
      <c r="B4867" s="81" t="s">
        <v>35</v>
      </c>
      <c r="C4867" s="151">
        <v>0.71180555555555503</v>
      </c>
      <c r="D4867" s="155">
        <v>0</v>
      </c>
      <c r="E4867" s="155">
        <v>0</v>
      </c>
      <c r="F4867" s="155">
        <v>0</v>
      </c>
      <c r="G4867" s="155">
        <v>0</v>
      </c>
      <c r="H4867" s="155">
        <v>0</v>
      </c>
      <c r="I4867" s="155">
        <v>0</v>
      </c>
      <c r="J4867" s="155">
        <v>0</v>
      </c>
    </row>
    <row r="4868" spans="1:10">
      <c r="A4868" s="81" t="s">
        <v>106</v>
      </c>
      <c r="B4868" s="81" t="s">
        <v>35</v>
      </c>
      <c r="C4868" s="151">
        <v>0.71250000000000002</v>
      </c>
      <c r="D4868" s="155">
        <v>0</v>
      </c>
      <c r="E4868" s="155">
        <v>0</v>
      </c>
      <c r="F4868" s="155">
        <v>0</v>
      </c>
      <c r="G4868" s="155">
        <v>0</v>
      </c>
      <c r="H4868" s="155">
        <v>0</v>
      </c>
      <c r="I4868" s="155">
        <v>0</v>
      </c>
      <c r="J4868" s="155">
        <v>0</v>
      </c>
    </row>
    <row r="4869" spans="1:10">
      <c r="A4869" s="81" t="s">
        <v>106</v>
      </c>
      <c r="B4869" s="81" t="s">
        <v>35</v>
      </c>
      <c r="C4869" s="151">
        <v>0.71319444444444402</v>
      </c>
      <c r="D4869" s="155">
        <v>0</v>
      </c>
      <c r="E4869" s="155">
        <v>0</v>
      </c>
      <c r="F4869" s="155">
        <v>0</v>
      </c>
      <c r="G4869" s="155">
        <v>0</v>
      </c>
      <c r="H4869" s="155">
        <v>0</v>
      </c>
      <c r="I4869" s="155">
        <v>0</v>
      </c>
      <c r="J4869" s="155">
        <v>0</v>
      </c>
    </row>
    <row r="4870" spans="1:10">
      <c r="A4870" s="81" t="s">
        <v>106</v>
      </c>
      <c r="B4870" s="81" t="s">
        <v>35</v>
      </c>
      <c r="C4870" s="151">
        <v>0.71388888888888902</v>
      </c>
      <c r="D4870" s="155">
        <v>0</v>
      </c>
      <c r="E4870" s="155">
        <v>0</v>
      </c>
      <c r="F4870" s="155">
        <v>0</v>
      </c>
      <c r="G4870" s="155">
        <v>0</v>
      </c>
      <c r="H4870" s="155">
        <v>0</v>
      </c>
      <c r="I4870" s="155">
        <v>0</v>
      </c>
      <c r="J4870" s="155">
        <v>0</v>
      </c>
    </row>
    <row r="4871" spans="1:10">
      <c r="A4871" s="81" t="s">
        <v>106</v>
      </c>
      <c r="B4871" s="81" t="s">
        <v>35</v>
      </c>
      <c r="C4871" s="151">
        <v>0.71458333333333302</v>
      </c>
      <c r="D4871" s="155">
        <v>0</v>
      </c>
      <c r="E4871" s="155">
        <v>0</v>
      </c>
      <c r="F4871" s="155">
        <v>0</v>
      </c>
      <c r="G4871" s="155">
        <v>0</v>
      </c>
      <c r="H4871" s="155">
        <v>0</v>
      </c>
      <c r="I4871" s="155">
        <v>0</v>
      </c>
      <c r="J4871" s="155">
        <v>0</v>
      </c>
    </row>
    <row r="4872" spans="1:10">
      <c r="A4872" s="81" t="s">
        <v>106</v>
      </c>
      <c r="B4872" s="81" t="s">
        <v>35</v>
      </c>
      <c r="C4872" s="151">
        <v>0.71527777777777801</v>
      </c>
      <c r="D4872" s="155">
        <v>0</v>
      </c>
      <c r="E4872" s="155">
        <v>0</v>
      </c>
      <c r="F4872" s="155">
        <v>0</v>
      </c>
      <c r="G4872" s="155">
        <v>0</v>
      </c>
      <c r="H4872" s="155">
        <v>0</v>
      </c>
      <c r="I4872" s="155">
        <v>0</v>
      </c>
      <c r="J4872" s="155">
        <v>0</v>
      </c>
    </row>
    <row r="4873" spans="1:10">
      <c r="A4873" s="81" t="s">
        <v>106</v>
      </c>
      <c r="B4873" s="81" t="s">
        <v>35</v>
      </c>
      <c r="C4873" s="151">
        <v>0.71597222222222201</v>
      </c>
      <c r="D4873" s="155">
        <v>0</v>
      </c>
      <c r="E4873" s="155">
        <v>0</v>
      </c>
      <c r="F4873" s="155">
        <v>0</v>
      </c>
      <c r="G4873" s="155">
        <v>0</v>
      </c>
      <c r="H4873" s="155">
        <v>0</v>
      </c>
      <c r="I4873" s="155">
        <v>0</v>
      </c>
      <c r="J4873" s="155">
        <v>0</v>
      </c>
    </row>
    <row r="4874" spans="1:10">
      <c r="A4874" s="81" t="s">
        <v>106</v>
      </c>
      <c r="B4874" s="81" t="s">
        <v>35</v>
      </c>
      <c r="C4874" s="151">
        <v>0.71666666666666601</v>
      </c>
      <c r="D4874" s="155">
        <v>0</v>
      </c>
      <c r="E4874" s="155">
        <v>0</v>
      </c>
      <c r="F4874" s="155">
        <v>0</v>
      </c>
      <c r="G4874" s="155">
        <v>0</v>
      </c>
      <c r="H4874" s="155">
        <v>0</v>
      </c>
      <c r="I4874" s="155">
        <v>0</v>
      </c>
      <c r="J4874" s="155">
        <v>0</v>
      </c>
    </row>
    <row r="4875" spans="1:10">
      <c r="A4875" s="81" t="s">
        <v>106</v>
      </c>
      <c r="B4875" s="81" t="s">
        <v>35</v>
      </c>
      <c r="C4875" s="151">
        <v>0.71736111111111101</v>
      </c>
      <c r="D4875" s="155">
        <v>0</v>
      </c>
      <c r="E4875" s="155">
        <v>0</v>
      </c>
      <c r="F4875" s="155">
        <v>0</v>
      </c>
      <c r="G4875" s="155">
        <v>0</v>
      </c>
      <c r="H4875" s="155">
        <v>0</v>
      </c>
      <c r="I4875" s="155">
        <v>0</v>
      </c>
      <c r="J4875" s="155">
        <v>0</v>
      </c>
    </row>
    <row r="4876" spans="1:10" s="80" customFormat="1">
      <c r="A4876" s="84" t="s">
        <v>106</v>
      </c>
      <c r="B4876" s="84" t="s">
        <v>35</v>
      </c>
      <c r="C4876" s="153">
        <v>0.718055555555555</v>
      </c>
      <c r="D4876" s="156">
        <v>0</v>
      </c>
      <c r="E4876" s="156">
        <v>0</v>
      </c>
      <c r="F4876" s="156">
        <v>0</v>
      </c>
      <c r="G4876" s="156">
        <v>0</v>
      </c>
      <c r="H4876" s="156">
        <v>0</v>
      </c>
      <c r="I4876" s="156">
        <v>0</v>
      </c>
      <c r="J4876" s="156">
        <v>0</v>
      </c>
    </row>
    <row r="4877" spans="1:10">
      <c r="A4877" s="81" t="s">
        <v>106</v>
      </c>
      <c r="B4877" s="81" t="s">
        <v>35</v>
      </c>
      <c r="C4877" s="151">
        <v>0.71875</v>
      </c>
      <c r="D4877" s="157">
        <v>0</v>
      </c>
      <c r="E4877" s="157">
        <v>0</v>
      </c>
      <c r="F4877" s="157">
        <v>0</v>
      </c>
      <c r="G4877" s="157">
        <v>0</v>
      </c>
      <c r="H4877" s="157">
        <v>0</v>
      </c>
      <c r="I4877" s="157">
        <v>0</v>
      </c>
      <c r="J4877" s="157">
        <v>0</v>
      </c>
    </row>
    <row r="4878" spans="1:10">
      <c r="A4878" s="81" t="s">
        <v>106</v>
      </c>
      <c r="B4878" s="81" t="s">
        <v>35</v>
      </c>
      <c r="C4878" s="151">
        <v>0.719444444444444</v>
      </c>
      <c r="D4878" s="155">
        <v>0</v>
      </c>
      <c r="E4878" s="155">
        <v>0</v>
      </c>
      <c r="F4878" s="155">
        <v>0</v>
      </c>
      <c r="G4878" s="155">
        <v>0</v>
      </c>
      <c r="H4878" s="155">
        <v>0</v>
      </c>
      <c r="I4878" s="155">
        <v>0</v>
      </c>
      <c r="J4878" s="155">
        <v>0</v>
      </c>
    </row>
    <row r="4879" spans="1:10">
      <c r="A4879" s="81" t="s">
        <v>106</v>
      </c>
      <c r="B4879" s="81" t="s">
        <v>35</v>
      </c>
      <c r="C4879" s="151">
        <v>0.72013888888888899</v>
      </c>
      <c r="D4879" s="155">
        <v>0</v>
      </c>
      <c r="E4879" s="155">
        <v>0</v>
      </c>
      <c r="F4879" s="155">
        <v>0</v>
      </c>
      <c r="G4879" s="155">
        <v>0</v>
      </c>
      <c r="H4879" s="155">
        <v>0</v>
      </c>
      <c r="I4879" s="155">
        <v>0</v>
      </c>
      <c r="J4879" s="155">
        <v>0</v>
      </c>
    </row>
    <row r="4880" spans="1:10">
      <c r="A4880" s="81" t="s">
        <v>106</v>
      </c>
      <c r="B4880" s="81" t="s">
        <v>35</v>
      </c>
      <c r="C4880" s="151">
        <v>0.72083333333333299</v>
      </c>
      <c r="D4880" s="155">
        <v>0</v>
      </c>
      <c r="E4880" s="155">
        <v>0</v>
      </c>
      <c r="F4880" s="155">
        <v>0</v>
      </c>
      <c r="G4880" s="155">
        <v>0</v>
      </c>
      <c r="H4880" s="155">
        <v>0</v>
      </c>
      <c r="I4880" s="155">
        <v>0</v>
      </c>
      <c r="J4880" s="155">
        <v>0</v>
      </c>
    </row>
    <row r="4881" spans="1:10">
      <c r="A4881" s="81" t="s">
        <v>106</v>
      </c>
      <c r="B4881" s="81" t="s">
        <v>35</v>
      </c>
      <c r="C4881" s="151">
        <v>0.72152777777777799</v>
      </c>
      <c r="D4881" s="155">
        <v>0</v>
      </c>
      <c r="E4881" s="155">
        <v>0</v>
      </c>
      <c r="F4881" s="155">
        <v>0</v>
      </c>
      <c r="G4881" s="155">
        <v>0</v>
      </c>
      <c r="H4881" s="155">
        <v>0</v>
      </c>
      <c r="I4881" s="155">
        <v>0</v>
      </c>
      <c r="J4881" s="155">
        <v>0</v>
      </c>
    </row>
    <row r="4882" spans="1:10">
      <c r="A4882" s="81" t="s">
        <v>106</v>
      </c>
      <c r="B4882" s="81" t="s">
        <v>35</v>
      </c>
      <c r="C4882" s="151">
        <v>0.72222222222222199</v>
      </c>
      <c r="D4882" s="155">
        <v>0</v>
      </c>
      <c r="E4882" s="155">
        <v>0</v>
      </c>
      <c r="F4882" s="155">
        <v>0</v>
      </c>
      <c r="G4882" s="155">
        <v>0</v>
      </c>
      <c r="H4882" s="155">
        <v>0</v>
      </c>
      <c r="I4882" s="155">
        <v>0</v>
      </c>
      <c r="J4882" s="155">
        <v>0</v>
      </c>
    </row>
    <row r="4883" spans="1:10">
      <c r="A4883" s="81" t="s">
        <v>106</v>
      </c>
      <c r="B4883" s="81" t="s">
        <v>35</v>
      </c>
      <c r="C4883" s="151">
        <v>0.72291666666666599</v>
      </c>
      <c r="D4883" s="155">
        <v>0</v>
      </c>
      <c r="E4883" s="155">
        <v>0</v>
      </c>
      <c r="F4883" s="155">
        <v>0</v>
      </c>
      <c r="G4883" s="155">
        <v>0</v>
      </c>
      <c r="H4883" s="155">
        <v>0</v>
      </c>
      <c r="I4883" s="155">
        <v>0</v>
      </c>
      <c r="J4883" s="155">
        <v>0</v>
      </c>
    </row>
    <row r="4884" spans="1:10">
      <c r="A4884" s="81" t="s">
        <v>106</v>
      </c>
      <c r="B4884" s="81" t="s">
        <v>35</v>
      </c>
      <c r="C4884" s="151">
        <v>0.72361111111111098</v>
      </c>
      <c r="D4884" s="155">
        <v>0</v>
      </c>
      <c r="E4884" s="155">
        <v>0</v>
      </c>
      <c r="F4884" s="155">
        <v>0</v>
      </c>
      <c r="G4884" s="155">
        <v>0</v>
      </c>
      <c r="H4884" s="155">
        <v>0</v>
      </c>
      <c r="I4884" s="155">
        <v>0</v>
      </c>
      <c r="J4884" s="155">
        <v>0</v>
      </c>
    </row>
    <row r="4885" spans="1:10">
      <c r="A4885" s="81" t="s">
        <v>106</v>
      </c>
      <c r="B4885" s="81" t="s">
        <v>35</v>
      </c>
      <c r="C4885" s="151">
        <v>0.72430555555555498</v>
      </c>
      <c r="D4885" s="155">
        <v>0</v>
      </c>
      <c r="E4885" s="155">
        <v>0</v>
      </c>
      <c r="F4885" s="155">
        <v>0</v>
      </c>
      <c r="G4885" s="155">
        <v>0</v>
      </c>
      <c r="H4885" s="155">
        <v>0</v>
      </c>
      <c r="I4885" s="155">
        <v>0</v>
      </c>
      <c r="J4885" s="155">
        <v>0</v>
      </c>
    </row>
    <row r="4886" spans="1:10">
      <c r="A4886" s="81" t="s">
        <v>106</v>
      </c>
      <c r="B4886" s="81" t="s">
        <v>35</v>
      </c>
      <c r="C4886" s="151">
        <v>0.72499999999999998</v>
      </c>
      <c r="D4886" s="155">
        <v>0</v>
      </c>
      <c r="E4886" s="155">
        <v>0</v>
      </c>
      <c r="F4886" s="155">
        <v>0</v>
      </c>
      <c r="G4886" s="155">
        <v>0</v>
      </c>
      <c r="H4886" s="155">
        <v>0</v>
      </c>
      <c r="I4886" s="155">
        <v>0</v>
      </c>
      <c r="J4886" s="155">
        <v>0</v>
      </c>
    </row>
    <row r="4887" spans="1:10">
      <c r="A4887" s="81" t="s">
        <v>106</v>
      </c>
      <c r="B4887" s="81" t="s">
        <v>35</v>
      </c>
      <c r="C4887" s="151">
        <v>0.72569444444444398</v>
      </c>
      <c r="D4887" s="155">
        <v>0</v>
      </c>
      <c r="E4887" s="155">
        <v>0</v>
      </c>
      <c r="F4887" s="155">
        <v>0</v>
      </c>
      <c r="G4887" s="155">
        <v>0</v>
      </c>
      <c r="H4887" s="155">
        <v>0</v>
      </c>
      <c r="I4887" s="155">
        <v>0</v>
      </c>
      <c r="J4887" s="155">
        <v>0</v>
      </c>
    </row>
    <row r="4888" spans="1:10">
      <c r="A4888" s="81" t="s">
        <v>106</v>
      </c>
      <c r="B4888" s="81" t="s">
        <v>35</v>
      </c>
      <c r="C4888" s="151">
        <v>0.72638888888888897</v>
      </c>
      <c r="D4888" s="155">
        <v>0</v>
      </c>
      <c r="E4888" s="155">
        <v>0</v>
      </c>
      <c r="F4888" s="155">
        <v>0</v>
      </c>
      <c r="G4888" s="155">
        <v>0</v>
      </c>
      <c r="H4888" s="155">
        <v>0</v>
      </c>
      <c r="I4888" s="155">
        <v>0</v>
      </c>
      <c r="J4888" s="155">
        <v>0</v>
      </c>
    </row>
    <row r="4889" spans="1:10">
      <c r="A4889" s="81" t="s">
        <v>106</v>
      </c>
      <c r="B4889" s="81" t="s">
        <v>35</v>
      </c>
      <c r="C4889" s="151">
        <v>0.72708333333333297</v>
      </c>
      <c r="D4889" s="155">
        <v>0</v>
      </c>
      <c r="E4889" s="155">
        <v>0</v>
      </c>
      <c r="F4889" s="155">
        <v>0</v>
      </c>
      <c r="G4889" s="155">
        <v>0</v>
      </c>
      <c r="H4889" s="155">
        <v>0</v>
      </c>
      <c r="I4889" s="155">
        <v>0</v>
      </c>
      <c r="J4889" s="155">
        <v>0</v>
      </c>
    </row>
    <row r="4890" spans="1:10">
      <c r="A4890" s="81" t="s">
        <v>106</v>
      </c>
      <c r="B4890" s="81" t="s">
        <v>35</v>
      </c>
      <c r="C4890" s="151">
        <v>0.72777777777777797</v>
      </c>
      <c r="D4890" s="155">
        <v>0</v>
      </c>
      <c r="E4890" s="155">
        <v>0</v>
      </c>
      <c r="F4890" s="155">
        <v>0</v>
      </c>
      <c r="G4890" s="155">
        <v>0</v>
      </c>
      <c r="H4890" s="155">
        <v>0</v>
      </c>
      <c r="I4890" s="155">
        <v>0</v>
      </c>
      <c r="J4890" s="155">
        <v>0</v>
      </c>
    </row>
    <row r="4891" spans="1:10" s="80" customFormat="1">
      <c r="A4891" s="84" t="s">
        <v>106</v>
      </c>
      <c r="B4891" s="84" t="s">
        <v>35</v>
      </c>
      <c r="C4891" s="153">
        <v>0.72847222222222197</v>
      </c>
      <c r="D4891" s="156">
        <v>0</v>
      </c>
      <c r="E4891" s="156">
        <v>0</v>
      </c>
      <c r="F4891" s="156">
        <v>0</v>
      </c>
      <c r="G4891" s="156">
        <v>0</v>
      </c>
      <c r="H4891" s="156">
        <v>0</v>
      </c>
      <c r="I4891" s="156">
        <v>0</v>
      </c>
      <c r="J4891" s="156">
        <v>0</v>
      </c>
    </row>
    <row r="4892" spans="1:10">
      <c r="A4892" s="81" t="s">
        <v>106</v>
      </c>
      <c r="B4892" s="81" t="s">
        <v>35</v>
      </c>
      <c r="C4892" s="151">
        <v>0.72916666666666596</v>
      </c>
      <c r="D4892" s="157">
        <v>0</v>
      </c>
      <c r="E4892" s="157">
        <v>0</v>
      </c>
      <c r="F4892" s="157">
        <v>0</v>
      </c>
      <c r="G4892" s="157">
        <v>0</v>
      </c>
      <c r="H4892" s="157">
        <v>0</v>
      </c>
      <c r="I4892" s="157">
        <v>0</v>
      </c>
      <c r="J4892" s="157">
        <v>0</v>
      </c>
    </row>
    <row r="4893" spans="1:10">
      <c r="A4893" s="81" t="s">
        <v>106</v>
      </c>
      <c r="B4893" s="81" t="s">
        <v>35</v>
      </c>
      <c r="C4893" s="151">
        <v>0.72986111111111096</v>
      </c>
      <c r="D4893" s="155">
        <v>0</v>
      </c>
      <c r="E4893" s="155">
        <v>0</v>
      </c>
      <c r="F4893" s="155">
        <v>0</v>
      </c>
      <c r="G4893" s="155">
        <v>0</v>
      </c>
      <c r="H4893" s="155">
        <v>0</v>
      </c>
      <c r="I4893" s="155">
        <v>0</v>
      </c>
      <c r="J4893" s="155">
        <v>0</v>
      </c>
    </row>
    <row r="4894" spans="1:10">
      <c r="A4894" s="81" t="s">
        <v>106</v>
      </c>
      <c r="B4894" s="81" t="s">
        <v>35</v>
      </c>
      <c r="C4894" s="151">
        <v>0.73055555555555496</v>
      </c>
      <c r="D4894" s="155">
        <v>0</v>
      </c>
      <c r="E4894" s="155">
        <v>0</v>
      </c>
      <c r="F4894" s="155">
        <v>0</v>
      </c>
      <c r="G4894" s="155">
        <v>0</v>
      </c>
      <c r="H4894" s="155">
        <v>0</v>
      </c>
      <c r="I4894" s="155">
        <v>0</v>
      </c>
      <c r="J4894" s="155">
        <v>0</v>
      </c>
    </row>
    <row r="4895" spans="1:10">
      <c r="A4895" s="81" t="s">
        <v>106</v>
      </c>
      <c r="B4895" s="81" t="s">
        <v>35</v>
      </c>
      <c r="C4895" s="151">
        <v>0.73124999999999996</v>
      </c>
      <c r="D4895" s="155">
        <v>0</v>
      </c>
      <c r="E4895" s="155">
        <v>0</v>
      </c>
      <c r="F4895" s="155">
        <v>0</v>
      </c>
      <c r="G4895" s="155">
        <v>0</v>
      </c>
      <c r="H4895" s="155">
        <v>0</v>
      </c>
      <c r="I4895" s="155">
        <v>0</v>
      </c>
      <c r="J4895" s="155">
        <v>0</v>
      </c>
    </row>
    <row r="4896" spans="1:10">
      <c r="A4896" s="81" t="s">
        <v>106</v>
      </c>
      <c r="B4896" s="81" t="s">
        <v>35</v>
      </c>
      <c r="C4896" s="151">
        <v>0.73194444444444395</v>
      </c>
      <c r="D4896" s="155">
        <v>0</v>
      </c>
      <c r="E4896" s="155">
        <v>0</v>
      </c>
      <c r="F4896" s="155">
        <v>0</v>
      </c>
      <c r="G4896" s="155">
        <v>0</v>
      </c>
      <c r="H4896" s="155">
        <v>0</v>
      </c>
      <c r="I4896" s="155">
        <v>0</v>
      </c>
      <c r="J4896" s="155">
        <v>0</v>
      </c>
    </row>
    <row r="4897" spans="1:10">
      <c r="A4897" s="81" t="s">
        <v>106</v>
      </c>
      <c r="B4897" s="81" t="s">
        <v>35</v>
      </c>
      <c r="C4897" s="151">
        <v>0.73263888888888895</v>
      </c>
      <c r="D4897" s="155">
        <v>0</v>
      </c>
      <c r="E4897" s="155">
        <v>0</v>
      </c>
      <c r="F4897" s="155">
        <v>0</v>
      </c>
      <c r="G4897" s="155">
        <v>0</v>
      </c>
      <c r="H4897" s="155">
        <v>0</v>
      </c>
      <c r="I4897" s="155">
        <v>0</v>
      </c>
      <c r="J4897" s="155">
        <v>0</v>
      </c>
    </row>
    <row r="4898" spans="1:10">
      <c r="A4898" s="81" t="s">
        <v>106</v>
      </c>
      <c r="B4898" s="81" t="s">
        <v>35</v>
      </c>
      <c r="C4898" s="151">
        <v>0.73333333333333295</v>
      </c>
      <c r="D4898" s="155">
        <v>0</v>
      </c>
      <c r="E4898" s="155">
        <v>0</v>
      </c>
      <c r="F4898" s="155">
        <v>0</v>
      </c>
      <c r="G4898" s="155">
        <v>0</v>
      </c>
      <c r="H4898" s="155">
        <v>0</v>
      </c>
      <c r="I4898" s="155">
        <v>0</v>
      </c>
      <c r="J4898" s="155">
        <v>0</v>
      </c>
    </row>
    <row r="4899" spans="1:10">
      <c r="A4899" s="81" t="s">
        <v>106</v>
      </c>
      <c r="B4899" s="81" t="s">
        <v>35</v>
      </c>
      <c r="C4899" s="151">
        <v>0.73402777777777795</v>
      </c>
      <c r="D4899" s="155">
        <v>0</v>
      </c>
      <c r="E4899" s="155">
        <v>0</v>
      </c>
      <c r="F4899" s="155">
        <v>0</v>
      </c>
      <c r="G4899" s="155">
        <v>0</v>
      </c>
      <c r="H4899" s="155">
        <v>0</v>
      </c>
      <c r="I4899" s="155">
        <v>0</v>
      </c>
      <c r="J4899" s="155">
        <v>0</v>
      </c>
    </row>
    <row r="4900" spans="1:10">
      <c r="A4900" s="81" t="s">
        <v>106</v>
      </c>
      <c r="B4900" s="81" t="s">
        <v>35</v>
      </c>
      <c r="C4900" s="151">
        <v>0.73472222222222205</v>
      </c>
      <c r="D4900" s="155">
        <v>0</v>
      </c>
      <c r="E4900" s="155">
        <v>0</v>
      </c>
      <c r="F4900" s="155">
        <v>0</v>
      </c>
      <c r="G4900" s="155">
        <v>0</v>
      </c>
      <c r="H4900" s="155">
        <v>0</v>
      </c>
      <c r="I4900" s="155">
        <v>0</v>
      </c>
      <c r="J4900" s="155">
        <v>0</v>
      </c>
    </row>
    <row r="4901" spans="1:10">
      <c r="A4901" s="81" t="s">
        <v>106</v>
      </c>
      <c r="B4901" s="81" t="s">
        <v>35</v>
      </c>
      <c r="C4901" s="151">
        <v>0.73541666666666605</v>
      </c>
      <c r="D4901" s="155">
        <v>0</v>
      </c>
      <c r="E4901" s="155">
        <v>0</v>
      </c>
      <c r="F4901" s="155">
        <v>0</v>
      </c>
      <c r="G4901" s="155">
        <v>0</v>
      </c>
      <c r="H4901" s="155">
        <v>0</v>
      </c>
      <c r="I4901" s="155">
        <v>0</v>
      </c>
      <c r="J4901" s="155">
        <v>0</v>
      </c>
    </row>
    <row r="4902" spans="1:10">
      <c r="A4902" s="81" t="s">
        <v>106</v>
      </c>
      <c r="B4902" s="81" t="s">
        <v>35</v>
      </c>
      <c r="C4902" s="151">
        <v>0.73611111111111105</v>
      </c>
      <c r="D4902" s="155">
        <v>0</v>
      </c>
      <c r="E4902" s="155">
        <v>0</v>
      </c>
      <c r="F4902" s="155">
        <v>0</v>
      </c>
      <c r="G4902" s="155">
        <v>0</v>
      </c>
      <c r="H4902" s="155">
        <v>0</v>
      </c>
      <c r="I4902" s="155">
        <v>0</v>
      </c>
      <c r="J4902" s="155">
        <v>0</v>
      </c>
    </row>
    <row r="4903" spans="1:10">
      <c r="A4903" s="81" t="s">
        <v>106</v>
      </c>
      <c r="B4903" s="81" t="s">
        <v>35</v>
      </c>
      <c r="C4903" s="151">
        <v>0.73680555555555505</v>
      </c>
      <c r="D4903" s="155">
        <v>0</v>
      </c>
      <c r="E4903" s="155">
        <v>0</v>
      </c>
      <c r="F4903" s="155">
        <v>0</v>
      </c>
      <c r="G4903" s="155">
        <v>0</v>
      </c>
      <c r="H4903" s="155">
        <v>0</v>
      </c>
      <c r="I4903" s="155">
        <v>0</v>
      </c>
      <c r="J4903" s="155">
        <v>0</v>
      </c>
    </row>
    <row r="4904" spans="1:10">
      <c r="A4904" s="81" t="s">
        <v>106</v>
      </c>
      <c r="B4904" s="81" t="s">
        <v>35</v>
      </c>
      <c r="C4904" s="151">
        <v>0.73750000000000004</v>
      </c>
      <c r="D4904" s="155">
        <v>0</v>
      </c>
      <c r="E4904" s="155">
        <v>0</v>
      </c>
      <c r="F4904" s="155">
        <v>0</v>
      </c>
      <c r="G4904" s="155">
        <v>0</v>
      </c>
      <c r="H4904" s="155">
        <v>0</v>
      </c>
      <c r="I4904" s="155">
        <v>0</v>
      </c>
      <c r="J4904" s="155">
        <v>0</v>
      </c>
    </row>
    <row r="4905" spans="1:10">
      <c r="A4905" s="81" t="s">
        <v>106</v>
      </c>
      <c r="B4905" s="81" t="s">
        <v>35</v>
      </c>
      <c r="C4905" s="151">
        <v>0.73819444444444404</v>
      </c>
      <c r="D4905" s="155">
        <v>0</v>
      </c>
      <c r="E4905" s="155">
        <v>0</v>
      </c>
      <c r="F4905" s="155">
        <v>0</v>
      </c>
      <c r="G4905" s="155">
        <v>0</v>
      </c>
      <c r="H4905" s="155">
        <v>0</v>
      </c>
      <c r="I4905" s="155">
        <v>0</v>
      </c>
      <c r="J4905" s="155">
        <v>0</v>
      </c>
    </row>
    <row r="4906" spans="1:10" s="80" customFormat="1">
      <c r="A4906" s="84" t="s">
        <v>106</v>
      </c>
      <c r="B4906" s="84" t="s">
        <v>35</v>
      </c>
      <c r="C4906" s="153">
        <v>0.73888888888888904</v>
      </c>
      <c r="D4906" s="156">
        <v>0</v>
      </c>
      <c r="E4906" s="156">
        <v>0</v>
      </c>
      <c r="F4906" s="156">
        <v>0</v>
      </c>
      <c r="G4906" s="156">
        <v>0</v>
      </c>
      <c r="H4906" s="156">
        <v>0</v>
      </c>
      <c r="I4906" s="156">
        <v>0</v>
      </c>
      <c r="J4906" s="156">
        <v>0</v>
      </c>
    </row>
    <row r="4907" spans="1:10">
      <c r="A4907" s="81" t="s">
        <v>106</v>
      </c>
      <c r="B4907" s="81" t="s">
        <v>35</v>
      </c>
      <c r="C4907" s="151">
        <v>0.73958333333333304</v>
      </c>
      <c r="D4907" s="157">
        <v>0</v>
      </c>
      <c r="E4907" s="157">
        <v>0</v>
      </c>
      <c r="F4907" s="157">
        <v>0</v>
      </c>
      <c r="G4907" s="157">
        <v>0</v>
      </c>
      <c r="H4907" s="157">
        <v>0</v>
      </c>
      <c r="I4907" s="157">
        <v>0</v>
      </c>
      <c r="J4907" s="157">
        <v>0</v>
      </c>
    </row>
    <row r="4908" spans="1:10">
      <c r="A4908" s="81" t="s">
        <v>106</v>
      </c>
      <c r="B4908" s="81" t="s">
        <v>35</v>
      </c>
      <c r="C4908" s="151">
        <v>0.74027777777777704</v>
      </c>
      <c r="D4908" s="155">
        <v>0</v>
      </c>
      <c r="E4908" s="155">
        <v>0</v>
      </c>
      <c r="F4908" s="155">
        <v>0</v>
      </c>
      <c r="G4908" s="155">
        <v>0</v>
      </c>
      <c r="H4908" s="155">
        <v>0</v>
      </c>
      <c r="I4908" s="155">
        <v>0</v>
      </c>
      <c r="J4908" s="155">
        <v>0</v>
      </c>
    </row>
    <row r="4909" spans="1:10">
      <c r="A4909" s="81" t="s">
        <v>106</v>
      </c>
      <c r="B4909" s="81" t="s">
        <v>35</v>
      </c>
      <c r="C4909" s="151">
        <v>0.74097222222222203</v>
      </c>
      <c r="D4909" s="155">
        <v>0</v>
      </c>
      <c r="E4909" s="155">
        <v>0</v>
      </c>
      <c r="F4909" s="155">
        <v>0</v>
      </c>
      <c r="G4909" s="155">
        <v>0</v>
      </c>
      <c r="H4909" s="155">
        <v>0</v>
      </c>
      <c r="I4909" s="155">
        <v>0</v>
      </c>
      <c r="J4909" s="155">
        <v>0</v>
      </c>
    </row>
    <row r="4910" spans="1:10">
      <c r="A4910" s="81" t="s">
        <v>106</v>
      </c>
      <c r="B4910" s="81" t="s">
        <v>35</v>
      </c>
      <c r="C4910" s="151">
        <v>0.74166666666666603</v>
      </c>
      <c r="D4910" s="155">
        <v>0</v>
      </c>
      <c r="E4910" s="155">
        <v>0</v>
      </c>
      <c r="F4910" s="155">
        <v>0</v>
      </c>
      <c r="G4910" s="155">
        <v>0</v>
      </c>
      <c r="H4910" s="155">
        <v>0</v>
      </c>
      <c r="I4910" s="155">
        <v>0</v>
      </c>
      <c r="J4910" s="155">
        <v>0</v>
      </c>
    </row>
    <row r="4911" spans="1:10">
      <c r="A4911" s="81" t="s">
        <v>106</v>
      </c>
      <c r="B4911" s="81" t="s">
        <v>35</v>
      </c>
      <c r="C4911" s="151">
        <v>0.74236111111111103</v>
      </c>
      <c r="D4911" s="155">
        <v>0</v>
      </c>
      <c r="E4911" s="155">
        <v>0</v>
      </c>
      <c r="F4911" s="155">
        <v>0</v>
      </c>
      <c r="G4911" s="155">
        <v>0</v>
      </c>
      <c r="H4911" s="155">
        <v>0</v>
      </c>
      <c r="I4911" s="155">
        <v>0</v>
      </c>
      <c r="J4911" s="155">
        <v>0</v>
      </c>
    </row>
    <row r="4912" spans="1:10">
      <c r="A4912" s="81" t="s">
        <v>106</v>
      </c>
      <c r="B4912" s="81" t="s">
        <v>35</v>
      </c>
      <c r="C4912" s="151">
        <v>0.74305555555555503</v>
      </c>
      <c r="D4912" s="155">
        <v>0</v>
      </c>
      <c r="E4912" s="155">
        <v>0</v>
      </c>
      <c r="F4912" s="155">
        <v>0</v>
      </c>
      <c r="G4912" s="155">
        <v>0</v>
      </c>
      <c r="H4912" s="155">
        <v>0</v>
      </c>
      <c r="I4912" s="155">
        <v>0</v>
      </c>
      <c r="J4912" s="155">
        <v>0</v>
      </c>
    </row>
    <row r="4913" spans="1:10">
      <c r="A4913" s="81" t="s">
        <v>106</v>
      </c>
      <c r="B4913" s="81" t="s">
        <v>35</v>
      </c>
      <c r="C4913" s="151">
        <v>0.74375000000000002</v>
      </c>
      <c r="D4913" s="155">
        <v>0</v>
      </c>
      <c r="E4913" s="155">
        <v>0</v>
      </c>
      <c r="F4913" s="155">
        <v>0</v>
      </c>
      <c r="G4913" s="155">
        <v>0</v>
      </c>
      <c r="H4913" s="155">
        <v>0</v>
      </c>
      <c r="I4913" s="155">
        <v>0</v>
      </c>
      <c r="J4913" s="155">
        <v>0</v>
      </c>
    </row>
    <row r="4914" spans="1:10">
      <c r="A4914" s="81" t="s">
        <v>106</v>
      </c>
      <c r="B4914" s="81" t="s">
        <v>35</v>
      </c>
      <c r="C4914" s="151">
        <v>0.74444444444444402</v>
      </c>
      <c r="D4914" s="155">
        <v>0</v>
      </c>
      <c r="E4914" s="155">
        <v>0</v>
      </c>
      <c r="F4914" s="155">
        <v>0</v>
      </c>
      <c r="G4914" s="155">
        <v>0</v>
      </c>
      <c r="H4914" s="155">
        <v>0</v>
      </c>
      <c r="I4914" s="155">
        <v>0</v>
      </c>
      <c r="J4914" s="155">
        <v>0</v>
      </c>
    </row>
    <row r="4915" spans="1:10">
      <c r="A4915" s="81" t="s">
        <v>106</v>
      </c>
      <c r="B4915" s="81" t="s">
        <v>35</v>
      </c>
      <c r="C4915" s="151">
        <v>0.74513888888888902</v>
      </c>
      <c r="D4915" s="155">
        <v>0</v>
      </c>
      <c r="E4915" s="155">
        <v>0</v>
      </c>
      <c r="F4915" s="155">
        <v>0</v>
      </c>
      <c r="G4915" s="155">
        <v>0</v>
      </c>
      <c r="H4915" s="155">
        <v>0</v>
      </c>
      <c r="I4915" s="155">
        <v>0</v>
      </c>
      <c r="J4915" s="155">
        <v>0</v>
      </c>
    </row>
    <row r="4916" spans="1:10">
      <c r="A4916" s="81" t="s">
        <v>106</v>
      </c>
      <c r="B4916" s="81" t="s">
        <v>35</v>
      </c>
      <c r="C4916" s="151">
        <v>0.74583333333333302</v>
      </c>
      <c r="D4916" s="155">
        <v>0</v>
      </c>
      <c r="E4916" s="155">
        <v>0</v>
      </c>
      <c r="F4916" s="155">
        <v>0</v>
      </c>
      <c r="G4916" s="155">
        <v>0</v>
      </c>
      <c r="H4916" s="155">
        <v>0</v>
      </c>
      <c r="I4916" s="155">
        <v>0</v>
      </c>
      <c r="J4916" s="155">
        <v>0</v>
      </c>
    </row>
    <row r="4917" spans="1:10">
      <c r="A4917" s="81" t="s">
        <v>106</v>
      </c>
      <c r="B4917" s="81" t="s">
        <v>35</v>
      </c>
      <c r="C4917" s="151">
        <v>0.74652777777777701</v>
      </c>
      <c r="D4917" s="155">
        <v>0</v>
      </c>
      <c r="E4917" s="155">
        <v>0</v>
      </c>
      <c r="F4917" s="155">
        <v>0</v>
      </c>
      <c r="G4917" s="155">
        <v>0</v>
      </c>
      <c r="H4917" s="155">
        <v>0</v>
      </c>
      <c r="I4917" s="155">
        <v>0</v>
      </c>
      <c r="J4917" s="155">
        <v>0</v>
      </c>
    </row>
    <row r="4918" spans="1:10">
      <c r="A4918" s="81" t="s">
        <v>106</v>
      </c>
      <c r="B4918" s="81" t="s">
        <v>35</v>
      </c>
      <c r="C4918" s="151">
        <v>0.74722222222222201</v>
      </c>
      <c r="D4918" s="155">
        <v>0</v>
      </c>
      <c r="E4918" s="155">
        <v>0</v>
      </c>
      <c r="F4918" s="155">
        <v>0</v>
      </c>
      <c r="G4918" s="155">
        <v>0</v>
      </c>
      <c r="H4918" s="155">
        <v>0</v>
      </c>
      <c r="I4918" s="155">
        <v>0</v>
      </c>
      <c r="J4918" s="155">
        <v>0</v>
      </c>
    </row>
    <row r="4919" spans="1:10">
      <c r="A4919" s="81" t="s">
        <v>106</v>
      </c>
      <c r="B4919" s="81" t="s">
        <v>35</v>
      </c>
      <c r="C4919" s="151">
        <v>0.74791666666666601</v>
      </c>
      <c r="D4919" s="155">
        <v>0</v>
      </c>
      <c r="E4919" s="155">
        <v>0</v>
      </c>
      <c r="F4919" s="155">
        <v>0</v>
      </c>
      <c r="G4919" s="155">
        <v>0</v>
      </c>
      <c r="H4919" s="155">
        <v>0</v>
      </c>
      <c r="I4919" s="155">
        <v>0</v>
      </c>
      <c r="J4919" s="155">
        <v>0</v>
      </c>
    </row>
    <row r="4920" spans="1:10">
      <c r="A4920" s="81" t="s">
        <v>106</v>
      </c>
      <c r="B4920" s="81" t="s">
        <v>35</v>
      </c>
      <c r="C4920" s="151">
        <v>0.74861111111111101</v>
      </c>
      <c r="D4920" s="155">
        <v>0</v>
      </c>
      <c r="E4920" s="155">
        <v>0</v>
      </c>
      <c r="F4920" s="155">
        <v>0</v>
      </c>
      <c r="G4920" s="155">
        <v>0</v>
      </c>
      <c r="H4920" s="155">
        <v>0</v>
      </c>
      <c r="I4920" s="155">
        <v>0</v>
      </c>
      <c r="J4920" s="155">
        <v>0</v>
      </c>
    </row>
    <row r="4921" spans="1:10" s="28" customFormat="1" ht="17.5" thickBot="1">
      <c r="A4921" s="100" t="s">
        <v>106</v>
      </c>
      <c r="B4921" s="100" t="s">
        <v>35</v>
      </c>
      <c r="C4921" s="152">
        <v>0.749305555555555</v>
      </c>
      <c r="D4921" s="158">
        <v>0</v>
      </c>
      <c r="E4921" s="158">
        <v>0</v>
      </c>
      <c r="F4921" s="158">
        <v>0</v>
      </c>
      <c r="G4921" s="158">
        <v>0</v>
      </c>
      <c r="H4921" s="158">
        <v>0</v>
      </c>
      <c r="I4921" s="158">
        <v>0</v>
      </c>
      <c r="J4921" s="158">
        <v>0</v>
      </c>
    </row>
    <row r="4922" spans="1:10">
      <c r="A4922" s="81" t="s">
        <v>106</v>
      </c>
      <c r="B4922" s="81" t="s">
        <v>36</v>
      </c>
      <c r="C4922" s="151">
        <v>0.66666666666666663</v>
      </c>
      <c r="D4922" s="154">
        <v>0</v>
      </c>
      <c r="E4922" s="154">
        <v>0</v>
      </c>
      <c r="F4922" s="154">
        <v>0</v>
      </c>
      <c r="G4922" s="154">
        <v>0</v>
      </c>
      <c r="H4922" s="154">
        <v>0</v>
      </c>
      <c r="I4922" s="154">
        <v>0</v>
      </c>
      <c r="J4922" s="154">
        <v>0</v>
      </c>
    </row>
    <row r="4923" spans="1:10">
      <c r="A4923" s="81" t="s">
        <v>106</v>
      </c>
      <c r="B4923" s="81" t="s">
        <v>36</v>
      </c>
      <c r="C4923" s="151">
        <v>0.66736111111111107</v>
      </c>
      <c r="D4923" s="155">
        <v>0</v>
      </c>
      <c r="E4923" s="155">
        <v>0</v>
      </c>
      <c r="F4923" s="155">
        <v>0</v>
      </c>
      <c r="G4923" s="155">
        <v>0</v>
      </c>
      <c r="H4923" s="155">
        <v>0</v>
      </c>
      <c r="I4923" s="155">
        <v>0</v>
      </c>
      <c r="J4923" s="155">
        <v>0</v>
      </c>
    </row>
    <row r="4924" spans="1:10">
      <c r="A4924" s="81" t="s">
        <v>106</v>
      </c>
      <c r="B4924" s="81" t="s">
        <v>36</v>
      </c>
      <c r="C4924" s="151">
        <v>0.66805555555555596</v>
      </c>
      <c r="D4924" s="155">
        <v>0</v>
      </c>
      <c r="E4924" s="155">
        <v>0</v>
      </c>
      <c r="F4924" s="155">
        <v>0</v>
      </c>
      <c r="G4924" s="155">
        <v>0</v>
      </c>
      <c r="H4924" s="155">
        <v>0</v>
      </c>
      <c r="I4924" s="155">
        <v>0</v>
      </c>
      <c r="J4924" s="155">
        <v>0</v>
      </c>
    </row>
    <row r="4925" spans="1:10">
      <c r="A4925" s="81" t="s">
        <v>106</v>
      </c>
      <c r="B4925" s="81" t="s">
        <v>36</v>
      </c>
      <c r="C4925" s="151">
        <v>0.66874999999999996</v>
      </c>
      <c r="D4925" s="155">
        <v>0</v>
      </c>
      <c r="E4925" s="155">
        <v>0</v>
      </c>
      <c r="F4925" s="155">
        <v>0</v>
      </c>
      <c r="G4925" s="155">
        <v>0</v>
      </c>
      <c r="H4925" s="155">
        <v>0</v>
      </c>
      <c r="I4925" s="155">
        <v>0</v>
      </c>
      <c r="J4925" s="155">
        <v>0</v>
      </c>
    </row>
    <row r="4926" spans="1:10">
      <c r="A4926" s="81" t="s">
        <v>106</v>
      </c>
      <c r="B4926" s="81" t="s">
        <v>36</v>
      </c>
      <c r="C4926" s="151">
        <v>0.66944444444444395</v>
      </c>
      <c r="D4926" s="155">
        <v>0</v>
      </c>
      <c r="E4926" s="155">
        <v>0</v>
      </c>
      <c r="F4926" s="155">
        <v>0</v>
      </c>
      <c r="G4926" s="155">
        <v>0</v>
      </c>
      <c r="H4926" s="155">
        <v>0</v>
      </c>
      <c r="I4926" s="155">
        <v>0</v>
      </c>
      <c r="J4926" s="155">
        <v>0</v>
      </c>
    </row>
    <row r="4927" spans="1:10">
      <c r="A4927" s="81" t="s">
        <v>106</v>
      </c>
      <c r="B4927" s="81" t="s">
        <v>36</v>
      </c>
      <c r="C4927" s="151">
        <v>0.67013888888888895</v>
      </c>
      <c r="D4927" s="155">
        <v>0</v>
      </c>
      <c r="E4927" s="155">
        <v>0</v>
      </c>
      <c r="F4927" s="155">
        <v>0</v>
      </c>
      <c r="G4927" s="155">
        <v>0</v>
      </c>
      <c r="H4927" s="155">
        <v>0</v>
      </c>
      <c r="I4927" s="155">
        <v>0</v>
      </c>
      <c r="J4927" s="155">
        <v>0</v>
      </c>
    </row>
    <row r="4928" spans="1:10">
      <c r="A4928" s="81" t="s">
        <v>106</v>
      </c>
      <c r="B4928" s="81" t="s">
        <v>36</v>
      </c>
      <c r="C4928" s="151">
        <v>0.67083333333333295</v>
      </c>
      <c r="D4928" s="155">
        <v>0</v>
      </c>
      <c r="E4928" s="155">
        <v>0</v>
      </c>
      <c r="F4928" s="155">
        <v>0</v>
      </c>
      <c r="G4928" s="155">
        <v>0</v>
      </c>
      <c r="H4928" s="155">
        <v>0</v>
      </c>
      <c r="I4928" s="155">
        <v>0</v>
      </c>
      <c r="J4928" s="155">
        <v>0</v>
      </c>
    </row>
    <row r="4929" spans="1:10">
      <c r="A4929" s="81" t="s">
        <v>106</v>
      </c>
      <c r="B4929" s="81" t="s">
        <v>36</v>
      </c>
      <c r="C4929" s="151">
        <v>0.67152777777777795</v>
      </c>
      <c r="D4929" s="155">
        <v>0</v>
      </c>
      <c r="E4929" s="155">
        <v>0</v>
      </c>
      <c r="F4929" s="155">
        <v>0</v>
      </c>
      <c r="G4929" s="155">
        <v>0</v>
      </c>
      <c r="H4929" s="155">
        <v>0</v>
      </c>
      <c r="I4929" s="155">
        <v>0</v>
      </c>
      <c r="J4929" s="155">
        <v>0</v>
      </c>
    </row>
    <row r="4930" spans="1:10">
      <c r="A4930" s="81" t="s">
        <v>106</v>
      </c>
      <c r="B4930" s="81" t="s">
        <v>36</v>
      </c>
      <c r="C4930" s="151">
        <v>0.67222222222222205</v>
      </c>
      <c r="D4930" s="155">
        <v>0</v>
      </c>
      <c r="E4930" s="155">
        <v>0</v>
      </c>
      <c r="F4930" s="155">
        <v>0</v>
      </c>
      <c r="G4930" s="155">
        <v>0</v>
      </c>
      <c r="H4930" s="155">
        <v>0</v>
      </c>
      <c r="I4930" s="155">
        <v>0</v>
      </c>
      <c r="J4930" s="155">
        <v>0</v>
      </c>
    </row>
    <row r="4931" spans="1:10">
      <c r="A4931" s="81" t="s">
        <v>106</v>
      </c>
      <c r="B4931" s="81" t="s">
        <v>36</v>
      </c>
      <c r="C4931" s="151">
        <v>0.67291666666666705</v>
      </c>
      <c r="D4931" s="155">
        <v>0</v>
      </c>
      <c r="E4931" s="155">
        <v>0</v>
      </c>
      <c r="F4931" s="155">
        <v>0</v>
      </c>
      <c r="G4931" s="155">
        <v>0</v>
      </c>
      <c r="H4931" s="155">
        <v>0</v>
      </c>
      <c r="I4931" s="155">
        <v>0</v>
      </c>
      <c r="J4931" s="155">
        <v>0</v>
      </c>
    </row>
    <row r="4932" spans="1:10">
      <c r="A4932" s="81" t="s">
        <v>106</v>
      </c>
      <c r="B4932" s="81" t="s">
        <v>36</v>
      </c>
      <c r="C4932" s="151">
        <v>0.67361111111111105</v>
      </c>
      <c r="D4932" s="155">
        <v>0</v>
      </c>
      <c r="E4932" s="155">
        <v>0</v>
      </c>
      <c r="F4932" s="155">
        <v>0</v>
      </c>
      <c r="G4932" s="155">
        <v>0</v>
      </c>
      <c r="H4932" s="155">
        <v>0</v>
      </c>
      <c r="I4932" s="155">
        <v>0</v>
      </c>
      <c r="J4932" s="155">
        <v>0</v>
      </c>
    </row>
    <row r="4933" spans="1:10">
      <c r="A4933" s="81" t="s">
        <v>106</v>
      </c>
      <c r="B4933" s="81" t="s">
        <v>36</v>
      </c>
      <c r="C4933" s="151">
        <v>0.67430555555555505</v>
      </c>
      <c r="D4933" s="155">
        <v>0</v>
      </c>
      <c r="E4933" s="155">
        <v>0</v>
      </c>
      <c r="F4933" s="155">
        <v>0</v>
      </c>
      <c r="G4933" s="155">
        <v>0</v>
      </c>
      <c r="H4933" s="155">
        <v>0</v>
      </c>
      <c r="I4933" s="155">
        <v>0</v>
      </c>
      <c r="J4933" s="155">
        <v>0</v>
      </c>
    </row>
    <row r="4934" spans="1:10">
      <c r="A4934" s="81" t="s">
        <v>106</v>
      </c>
      <c r="B4934" s="81" t="s">
        <v>36</v>
      </c>
      <c r="C4934" s="151">
        <v>0.67500000000000004</v>
      </c>
      <c r="D4934" s="155">
        <v>0</v>
      </c>
      <c r="E4934" s="155">
        <v>0</v>
      </c>
      <c r="F4934" s="155">
        <v>0</v>
      </c>
      <c r="G4934" s="155">
        <v>0</v>
      </c>
      <c r="H4934" s="155">
        <v>0</v>
      </c>
      <c r="I4934" s="155">
        <v>0</v>
      </c>
      <c r="J4934" s="155">
        <v>0</v>
      </c>
    </row>
    <row r="4935" spans="1:10">
      <c r="A4935" s="81" t="s">
        <v>106</v>
      </c>
      <c r="B4935" s="81" t="s">
        <v>36</v>
      </c>
      <c r="C4935" s="151">
        <v>0.67569444444444404</v>
      </c>
      <c r="D4935" s="155">
        <v>0</v>
      </c>
      <c r="E4935" s="155">
        <v>0</v>
      </c>
      <c r="F4935" s="155">
        <v>0</v>
      </c>
      <c r="G4935" s="155">
        <v>0</v>
      </c>
      <c r="H4935" s="155">
        <v>0</v>
      </c>
      <c r="I4935" s="155">
        <v>0</v>
      </c>
      <c r="J4935" s="155">
        <v>0</v>
      </c>
    </row>
    <row r="4936" spans="1:10" s="80" customFormat="1">
      <c r="A4936" s="84" t="s">
        <v>106</v>
      </c>
      <c r="B4936" s="84" t="s">
        <v>36</v>
      </c>
      <c r="C4936" s="153">
        <v>0.67638888888888904</v>
      </c>
      <c r="D4936" s="156">
        <v>0</v>
      </c>
      <c r="E4936" s="156">
        <v>0</v>
      </c>
      <c r="F4936" s="156">
        <v>0</v>
      </c>
      <c r="G4936" s="156">
        <v>0</v>
      </c>
      <c r="H4936" s="156">
        <v>0</v>
      </c>
      <c r="I4936" s="156">
        <v>0</v>
      </c>
      <c r="J4936" s="156">
        <v>0</v>
      </c>
    </row>
    <row r="4937" spans="1:10">
      <c r="A4937" s="81" t="s">
        <v>106</v>
      </c>
      <c r="B4937" s="81" t="s">
        <v>36</v>
      </c>
      <c r="C4937" s="151">
        <v>0.67708333333333304</v>
      </c>
      <c r="D4937" s="157">
        <v>0</v>
      </c>
      <c r="E4937" s="157">
        <v>0</v>
      </c>
      <c r="F4937" s="157">
        <v>0</v>
      </c>
      <c r="G4937" s="157">
        <v>0</v>
      </c>
      <c r="H4937" s="157">
        <v>0</v>
      </c>
      <c r="I4937" s="157">
        <v>0</v>
      </c>
      <c r="J4937" s="157">
        <v>0</v>
      </c>
    </row>
    <row r="4938" spans="1:10">
      <c r="A4938" s="81" t="s">
        <v>106</v>
      </c>
      <c r="B4938" s="81" t="s">
        <v>36</v>
      </c>
      <c r="C4938" s="151">
        <v>0.67777777777777803</v>
      </c>
      <c r="D4938" s="155">
        <v>0</v>
      </c>
      <c r="E4938" s="155">
        <v>0</v>
      </c>
      <c r="F4938" s="155">
        <v>0</v>
      </c>
      <c r="G4938" s="155">
        <v>0</v>
      </c>
      <c r="H4938" s="155">
        <v>0</v>
      </c>
      <c r="I4938" s="155">
        <v>0</v>
      </c>
      <c r="J4938" s="155">
        <v>0</v>
      </c>
    </row>
    <row r="4939" spans="1:10">
      <c r="A4939" s="81" t="s">
        <v>106</v>
      </c>
      <c r="B4939" s="81" t="s">
        <v>36</v>
      </c>
      <c r="C4939" s="151">
        <v>0.67847222222222203</v>
      </c>
      <c r="D4939" s="155">
        <v>0</v>
      </c>
      <c r="E4939" s="155">
        <v>0</v>
      </c>
      <c r="F4939" s="155">
        <v>0</v>
      </c>
      <c r="G4939" s="155">
        <v>0</v>
      </c>
      <c r="H4939" s="155">
        <v>0</v>
      </c>
      <c r="I4939" s="155">
        <v>0</v>
      </c>
      <c r="J4939" s="155">
        <v>0</v>
      </c>
    </row>
    <row r="4940" spans="1:10">
      <c r="A4940" s="81" t="s">
        <v>106</v>
      </c>
      <c r="B4940" s="81" t="s">
        <v>36</v>
      </c>
      <c r="C4940" s="151">
        <v>0.67916666666666703</v>
      </c>
      <c r="D4940" s="155">
        <v>0</v>
      </c>
      <c r="E4940" s="155">
        <v>0</v>
      </c>
      <c r="F4940" s="155">
        <v>0</v>
      </c>
      <c r="G4940" s="155">
        <v>0</v>
      </c>
      <c r="H4940" s="155">
        <v>0</v>
      </c>
      <c r="I4940" s="155">
        <v>0</v>
      </c>
      <c r="J4940" s="155">
        <v>0</v>
      </c>
    </row>
    <row r="4941" spans="1:10">
      <c r="A4941" s="81" t="s">
        <v>106</v>
      </c>
      <c r="B4941" s="81" t="s">
        <v>36</v>
      </c>
      <c r="C4941" s="151">
        <v>0.67986111111111103</v>
      </c>
      <c r="D4941" s="155">
        <v>0</v>
      </c>
      <c r="E4941" s="155">
        <v>0</v>
      </c>
      <c r="F4941" s="155">
        <v>0</v>
      </c>
      <c r="G4941" s="155">
        <v>0</v>
      </c>
      <c r="H4941" s="155">
        <v>0</v>
      </c>
      <c r="I4941" s="155">
        <v>0</v>
      </c>
      <c r="J4941" s="155">
        <v>0</v>
      </c>
    </row>
    <row r="4942" spans="1:10">
      <c r="A4942" s="81" t="s">
        <v>106</v>
      </c>
      <c r="B4942" s="81" t="s">
        <v>36</v>
      </c>
      <c r="C4942" s="151">
        <v>0.68055555555555503</v>
      </c>
      <c r="D4942" s="155">
        <v>0</v>
      </c>
      <c r="E4942" s="155">
        <v>0</v>
      </c>
      <c r="F4942" s="155">
        <v>0</v>
      </c>
      <c r="G4942" s="155">
        <v>0</v>
      </c>
      <c r="H4942" s="155">
        <v>0</v>
      </c>
      <c r="I4942" s="155">
        <v>0</v>
      </c>
      <c r="J4942" s="155">
        <v>0</v>
      </c>
    </row>
    <row r="4943" spans="1:10">
      <c r="A4943" s="81" t="s">
        <v>106</v>
      </c>
      <c r="B4943" s="81" t="s">
        <v>36</v>
      </c>
      <c r="C4943" s="151">
        <v>0.68125000000000002</v>
      </c>
      <c r="D4943" s="155">
        <v>0</v>
      </c>
      <c r="E4943" s="155">
        <v>0</v>
      </c>
      <c r="F4943" s="155">
        <v>0</v>
      </c>
      <c r="G4943" s="155">
        <v>0</v>
      </c>
      <c r="H4943" s="155">
        <v>0</v>
      </c>
      <c r="I4943" s="155">
        <v>0</v>
      </c>
      <c r="J4943" s="155">
        <v>0</v>
      </c>
    </row>
    <row r="4944" spans="1:10">
      <c r="A4944" s="81" t="s">
        <v>106</v>
      </c>
      <c r="B4944" s="81" t="s">
        <v>36</v>
      </c>
      <c r="C4944" s="151">
        <v>0.68194444444444402</v>
      </c>
      <c r="D4944" s="155">
        <v>0</v>
      </c>
      <c r="E4944" s="155">
        <v>0</v>
      </c>
      <c r="F4944" s="155">
        <v>0</v>
      </c>
      <c r="G4944" s="155">
        <v>0</v>
      </c>
      <c r="H4944" s="155">
        <v>0</v>
      </c>
      <c r="I4944" s="155">
        <v>0</v>
      </c>
      <c r="J4944" s="155">
        <v>0</v>
      </c>
    </row>
    <row r="4945" spans="1:10">
      <c r="A4945" s="81" t="s">
        <v>106</v>
      </c>
      <c r="B4945" s="81" t="s">
        <v>36</v>
      </c>
      <c r="C4945" s="151">
        <v>0.68263888888888902</v>
      </c>
      <c r="D4945" s="155">
        <v>0</v>
      </c>
      <c r="E4945" s="155">
        <v>0</v>
      </c>
      <c r="F4945" s="155">
        <v>0</v>
      </c>
      <c r="G4945" s="155">
        <v>0</v>
      </c>
      <c r="H4945" s="155">
        <v>0</v>
      </c>
      <c r="I4945" s="155">
        <v>0</v>
      </c>
      <c r="J4945" s="155">
        <v>0</v>
      </c>
    </row>
    <row r="4946" spans="1:10">
      <c r="A4946" s="81" t="s">
        <v>106</v>
      </c>
      <c r="B4946" s="81" t="s">
        <v>36</v>
      </c>
      <c r="C4946" s="151">
        <v>0.68333333333333302</v>
      </c>
      <c r="D4946" s="155">
        <v>0</v>
      </c>
      <c r="E4946" s="155">
        <v>0</v>
      </c>
      <c r="F4946" s="155">
        <v>0</v>
      </c>
      <c r="G4946" s="155">
        <v>0</v>
      </c>
      <c r="H4946" s="155">
        <v>0</v>
      </c>
      <c r="I4946" s="155">
        <v>0</v>
      </c>
      <c r="J4946" s="155">
        <v>0</v>
      </c>
    </row>
    <row r="4947" spans="1:10">
      <c r="A4947" s="81" t="s">
        <v>106</v>
      </c>
      <c r="B4947" s="81" t="s">
        <v>36</v>
      </c>
      <c r="C4947" s="151">
        <v>0.68402777777777801</v>
      </c>
      <c r="D4947" s="155">
        <v>0</v>
      </c>
      <c r="E4947" s="155">
        <v>0</v>
      </c>
      <c r="F4947" s="155">
        <v>0</v>
      </c>
      <c r="G4947" s="155">
        <v>0</v>
      </c>
      <c r="H4947" s="155">
        <v>0</v>
      </c>
      <c r="I4947" s="155">
        <v>0</v>
      </c>
      <c r="J4947" s="155">
        <v>0</v>
      </c>
    </row>
    <row r="4948" spans="1:10">
      <c r="A4948" s="81" t="s">
        <v>106</v>
      </c>
      <c r="B4948" s="81" t="s">
        <v>36</v>
      </c>
      <c r="C4948" s="151">
        <v>0.68472222222222201</v>
      </c>
      <c r="D4948" s="155">
        <v>0</v>
      </c>
      <c r="E4948" s="155">
        <v>0</v>
      </c>
      <c r="F4948" s="155">
        <v>0</v>
      </c>
      <c r="G4948" s="155">
        <v>0</v>
      </c>
      <c r="H4948" s="155">
        <v>0</v>
      </c>
      <c r="I4948" s="155">
        <v>0</v>
      </c>
      <c r="J4948" s="155">
        <v>0</v>
      </c>
    </row>
    <row r="4949" spans="1:10">
      <c r="A4949" s="81" t="s">
        <v>106</v>
      </c>
      <c r="B4949" s="81" t="s">
        <v>36</v>
      </c>
      <c r="C4949" s="151">
        <v>0.68541666666666701</v>
      </c>
      <c r="D4949" s="155">
        <v>0</v>
      </c>
      <c r="E4949" s="155">
        <v>0</v>
      </c>
      <c r="F4949" s="155">
        <v>0</v>
      </c>
      <c r="G4949" s="155">
        <v>0</v>
      </c>
      <c r="H4949" s="155">
        <v>0</v>
      </c>
      <c r="I4949" s="155">
        <v>0</v>
      </c>
      <c r="J4949" s="155">
        <v>0</v>
      </c>
    </row>
    <row r="4950" spans="1:10">
      <c r="A4950" s="81" t="s">
        <v>106</v>
      </c>
      <c r="B4950" s="81" t="s">
        <v>36</v>
      </c>
      <c r="C4950" s="151">
        <v>0.68611111111111101</v>
      </c>
      <c r="D4950" s="155">
        <v>0</v>
      </c>
      <c r="E4950" s="155">
        <v>0</v>
      </c>
      <c r="F4950" s="155">
        <v>0</v>
      </c>
      <c r="G4950" s="155">
        <v>0</v>
      </c>
      <c r="H4950" s="155">
        <v>0</v>
      </c>
      <c r="I4950" s="155">
        <v>0</v>
      </c>
      <c r="J4950" s="155">
        <v>0</v>
      </c>
    </row>
    <row r="4951" spans="1:10" s="80" customFormat="1">
      <c r="A4951" s="84" t="s">
        <v>106</v>
      </c>
      <c r="B4951" s="84" t="s">
        <v>36</v>
      </c>
      <c r="C4951" s="153">
        <v>0.686805555555555</v>
      </c>
      <c r="D4951" s="156">
        <v>0</v>
      </c>
      <c r="E4951" s="156">
        <v>0</v>
      </c>
      <c r="F4951" s="156">
        <v>0</v>
      </c>
      <c r="G4951" s="156">
        <v>0</v>
      </c>
      <c r="H4951" s="156">
        <v>0</v>
      </c>
      <c r="I4951" s="156">
        <v>0</v>
      </c>
      <c r="J4951" s="156">
        <v>0</v>
      </c>
    </row>
    <row r="4952" spans="1:10">
      <c r="A4952" s="81" t="s">
        <v>106</v>
      </c>
      <c r="B4952" s="81" t="s">
        <v>36</v>
      </c>
      <c r="C4952" s="151">
        <v>0.6875</v>
      </c>
      <c r="D4952" s="157">
        <v>0</v>
      </c>
      <c r="E4952" s="157">
        <v>0</v>
      </c>
      <c r="F4952" s="157">
        <v>0</v>
      </c>
      <c r="G4952" s="157">
        <v>0</v>
      </c>
      <c r="H4952" s="157">
        <v>0</v>
      </c>
      <c r="I4952" s="157">
        <v>0</v>
      </c>
      <c r="J4952" s="157">
        <v>0</v>
      </c>
    </row>
    <row r="4953" spans="1:10">
      <c r="A4953" s="81" t="s">
        <v>106</v>
      </c>
      <c r="B4953" s="81" t="s">
        <v>36</v>
      </c>
      <c r="C4953" s="151">
        <v>0.688194444444444</v>
      </c>
      <c r="D4953" s="155">
        <v>0</v>
      </c>
      <c r="E4953" s="155">
        <v>0</v>
      </c>
      <c r="F4953" s="155">
        <v>0</v>
      </c>
      <c r="G4953" s="155">
        <v>0</v>
      </c>
      <c r="H4953" s="155">
        <v>0</v>
      </c>
      <c r="I4953" s="155">
        <v>0</v>
      </c>
      <c r="J4953" s="155">
        <v>0</v>
      </c>
    </row>
    <row r="4954" spans="1:10">
      <c r="A4954" s="81" t="s">
        <v>106</v>
      </c>
      <c r="B4954" s="81" t="s">
        <v>36</v>
      </c>
      <c r="C4954" s="151">
        <v>0.68888888888888899</v>
      </c>
      <c r="D4954" s="155">
        <v>0</v>
      </c>
      <c r="E4954" s="155">
        <v>0</v>
      </c>
      <c r="F4954" s="155">
        <v>0</v>
      </c>
      <c r="G4954" s="155">
        <v>0</v>
      </c>
      <c r="H4954" s="155">
        <v>0</v>
      </c>
      <c r="I4954" s="155">
        <v>0</v>
      </c>
      <c r="J4954" s="155">
        <v>0</v>
      </c>
    </row>
    <row r="4955" spans="1:10">
      <c r="A4955" s="81" t="s">
        <v>106</v>
      </c>
      <c r="B4955" s="81" t="s">
        <v>36</v>
      </c>
      <c r="C4955" s="151">
        <v>0.68958333333333299</v>
      </c>
      <c r="D4955" s="155">
        <v>0</v>
      </c>
      <c r="E4955" s="155">
        <v>0</v>
      </c>
      <c r="F4955" s="155">
        <v>0</v>
      </c>
      <c r="G4955" s="155">
        <v>0</v>
      </c>
      <c r="H4955" s="155">
        <v>0</v>
      </c>
      <c r="I4955" s="155">
        <v>0</v>
      </c>
      <c r="J4955" s="155">
        <v>0</v>
      </c>
    </row>
    <row r="4956" spans="1:10">
      <c r="A4956" s="81" t="s">
        <v>106</v>
      </c>
      <c r="B4956" s="81" t="s">
        <v>36</v>
      </c>
      <c r="C4956" s="151">
        <v>0.69027777777777799</v>
      </c>
      <c r="D4956" s="155">
        <v>0</v>
      </c>
      <c r="E4956" s="155">
        <v>0</v>
      </c>
      <c r="F4956" s="155">
        <v>0</v>
      </c>
      <c r="G4956" s="155">
        <v>0</v>
      </c>
      <c r="H4956" s="155">
        <v>0</v>
      </c>
      <c r="I4956" s="155">
        <v>0</v>
      </c>
      <c r="J4956" s="155">
        <v>0</v>
      </c>
    </row>
    <row r="4957" spans="1:10">
      <c r="A4957" s="81" t="s">
        <v>106</v>
      </c>
      <c r="B4957" s="81" t="s">
        <v>36</v>
      </c>
      <c r="C4957" s="151">
        <v>0.69097222222222199</v>
      </c>
      <c r="D4957" s="155">
        <v>0</v>
      </c>
      <c r="E4957" s="155">
        <v>0</v>
      </c>
      <c r="F4957" s="155">
        <v>0</v>
      </c>
      <c r="G4957" s="155">
        <v>0</v>
      </c>
      <c r="H4957" s="155">
        <v>0</v>
      </c>
      <c r="I4957" s="155">
        <v>0</v>
      </c>
      <c r="J4957" s="155">
        <v>0</v>
      </c>
    </row>
    <row r="4958" spans="1:10">
      <c r="A4958" s="81" t="s">
        <v>106</v>
      </c>
      <c r="B4958" s="81" t="s">
        <v>36</v>
      </c>
      <c r="C4958" s="151">
        <v>0.69166666666666698</v>
      </c>
      <c r="D4958" s="155">
        <v>0</v>
      </c>
      <c r="E4958" s="155">
        <v>0</v>
      </c>
      <c r="F4958" s="155">
        <v>0</v>
      </c>
      <c r="G4958" s="155">
        <v>0</v>
      </c>
      <c r="H4958" s="155">
        <v>0</v>
      </c>
      <c r="I4958" s="155">
        <v>0</v>
      </c>
      <c r="J4958" s="155">
        <v>0</v>
      </c>
    </row>
    <row r="4959" spans="1:10">
      <c r="A4959" s="81" t="s">
        <v>106</v>
      </c>
      <c r="B4959" s="81" t="s">
        <v>36</v>
      </c>
      <c r="C4959" s="151">
        <v>0.69236111111111098</v>
      </c>
      <c r="D4959" s="155">
        <v>0</v>
      </c>
      <c r="E4959" s="155">
        <v>0</v>
      </c>
      <c r="F4959" s="155">
        <v>0</v>
      </c>
      <c r="G4959" s="155">
        <v>0</v>
      </c>
      <c r="H4959" s="155">
        <v>0</v>
      </c>
      <c r="I4959" s="155">
        <v>0</v>
      </c>
      <c r="J4959" s="155">
        <v>0</v>
      </c>
    </row>
    <row r="4960" spans="1:10">
      <c r="A4960" s="81" t="s">
        <v>106</v>
      </c>
      <c r="B4960" s="81" t="s">
        <v>36</v>
      </c>
      <c r="C4960" s="151">
        <v>0.69305555555555498</v>
      </c>
      <c r="D4960" s="155">
        <v>0</v>
      </c>
      <c r="E4960" s="155">
        <v>0</v>
      </c>
      <c r="F4960" s="155">
        <v>0</v>
      </c>
      <c r="G4960" s="155">
        <v>0</v>
      </c>
      <c r="H4960" s="155">
        <v>0</v>
      </c>
      <c r="I4960" s="155">
        <v>0</v>
      </c>
      <c r="J4960" s="155">
        <v>0</v>
      </c>
    </row>
    <row r="4961" spans="1:10">
      <c r="A4961" s="81" t="s">
        <v>106</v>
      </c>
      <c r="B4961" s="81" t="s">
        <v>36</v>
      </c>
      <c r="C4961" s="151">
        <v>0.69374999999999998</v>
      </c>
      <c r="D4961" s="155">
        <v>0</v>
      </c>
      <c r="E4961" s="155">
        <v>0</v>
      </c>
      <c r="F4961" s="155">
        <v>0</v>
      </c>
      <c r="G4961" s="155">
        <v>0</v>
      </c>
      <c r="H4961" s="155">
        <v>0</v>
      </c>
      <c r="I4961" s="155">
        <v>0</v>
      </c>
      <c r="J4961" s="155">
        <v>0</v>
      </c>
    </row>
    <row r="4962" spans="1:10">
      <c r="A4962" s="81" t="s">
        <v>106</v>
      </c>
      <c r="B4962" s="81" t="s">
        <v>36</v>
      </c>
      <c r="C4962" s="151">
        <v>0.69444444444444398</v>
      </c>
      <c r="D4962" s="155">
        <v>0</v>
      </c>
      <c r="E4962" s="155">
        <v>0</v>
      </c>
      <c r="F4962" s="155">
        <v>0</v>
      </c>
      <c r="G4962" s="155">
        <v>0</v>
      </c>
      <c r="H4962" s="155">
        <v>0</v>
      </c>
      <c r="I4962" s="155">
        <v>0</v>
      </c>
      <c r="J4962" s="155">
        <v>0</v>
      </c>
    </row>
    <row r="4963" spans="1:10">
      <c r="A4963" s="81" t="s">
        <v>106</v>
      </c>
      <c r="B4963" s="81" t="s">
        <v>36</v>
      </c>
      <c r="C4963" s="151">
        <v>0.69513888888888897</v>
      </c>
      <c r="D4963" s="155">
        <v>0</v>
      </c>
      <c r="E4963" s="155">
        <v>0</v>
      </c>
      <c r="F4963" s="155">
        <v>0</v>
      </c>
      <c r="G4963" s="155">
        <v>0</v>
      </c>
      <c r="H4963" s="155">
        <v>0</v>
      </c>
      <c r="I4963" s="155">
        <v>0</v>
      </c>
      <c r="J4963" s="155">
        <v>0</v>
      </c>
    </row>
    <row r="4964" spans="1:10">
      <c r="A4964" s="81" t="s">
        <v>106</v>
      </c>
      <c r="B4964" s="81" t="s">
        <v>36</v>
      </c>
      <c r="C4964" s="151">
        <v>0.69583333333333297</v>
      </c>
      <c r="D4964" s="155">
        <v>0</v>
      </c>
      <c r="E4964" s="155">
        <v>0</v>
      </c>
      <c r="F4964" s="155">
        <v>0</v>
      </c>
      <c r="G4964" s="155">
        <v>0</v>
      </c>
      <c r="H4964" s="155">
        <v>0</v>
      </c>
      <c r="I4964" s="155">
        <v>0</v>
      </c>
      <c r="J4964" s="155">
        <v>0</v>
      </c>
    </row>
    <row r="4965" spans="1:10">
      <c r="A4965" s="81" t="s">
        <v>106</v>
      </c>
      <c r="B4965" s="81" t="s">
        <v>36</v>
      </c>
      <c r="C4965" s="151">
        <v>0.69652777777777797</v>
      </c>
      <c r="D4965" s="155">
        <v>0</v>
      </c>
      <c r="E4965" s="155">
        <v>0</v>
      </c>
      <c r="F4965" s="155">
        <v>0</v>
      </c>
      <c r="G4965" s="155">
        <v>0</v>
      </c>
      <c r="H4965" s="155">
        <v>0</v>
      </c>
      <c r="I4965" s="155">
        <v>0</v>
      </c>
      <c r="J4965" s="155">
        <v>0</v>
      </c>
    </row>
    <row r="4966" spans="1:10" s="80" customFormat="1">
      <c r="A4966" s="84" t="s">
        <v>106</v>
      </c>
      <c r="B4966" s="84" t="s">
        <v>36</v>
      </c>
      <c r="C4966" s="153">
        <v>0.69722222222222197</v>
      </c>
      <c r="D4966" s="156">
        <v>0</v>
      </c>
      <c r="E4966" s="156">
        <v>0</v>
      </c>
      <c r="F4966" s="156">
        <v>0</v>
      </c>
      <c r="G4966" s="156">
        <v>0</v>
      </c>
      <c r="H4966" s="156">
        <v>0</v>
      </c>
      <c r="I4966" s="156">
        <v>0</v>
      </c>
      <c r="J4966" s="156">
        <v>0</v>
      </c>
    </row>
    <row r="4967" spans="1:10">
      <c r="A4967" s="81" t="s">
        <v>106</v>
      </c>
      <c r="B4967" s="81" t="s">
        <v>36</v>
      </c>
      <c r="C4967" s="151">
        <v>0.69791666666666696</v>
      </c>
      <c r="D4967" s="157">
        <v>0</v>
      </c>
      <c r="E4967" s="157">
        <v>0</v>
      </c>
      <c r="F4967" s="157">
        <v>0</v>
      </c>
      <c r="G4967" s="157">
        <v>0</v>
      </c>
      <c r="H4967" s="157">
        <v>0</v>
      </c>
      <c r="I4967" s="157">
        <v>0</v>
      </c>
      <c r="J4967" s="157">
        <v>0</v>
      </c>
    </row>
    <row r="4968" spans="1:10">
      <c r="A4968" s="81" t="s">
        <v>106</v>
      </c>
      <c r="B4968" s="81" t="s">
        <v>36</v>
      </c>
      <c r="C4968" s="151">
        <v>0.69861111111111096</v>
      </c>
      <c r="D4968" s="155">
        <v>0</v>
      </c>
      <c r="E4968" s="155">
        <v>0</v>
      </c>
      <c r="F4968" s="155">
        <v>0</v>
      </c>
      <c r="G4968" s="155">
        <v>0</v>
      </c>
      <c r="H4968" s="155">
        <v>0</v>
      </c>
      <c r="I4968" s="155">
        <v>0</v>
      </c>
      <c r="J4968" s="155">
        <v>0</v>
      </c>
    </row>
    <row r="4969" spans="1:10">
      <c r="A4969" s="81" t="s">
        <v>106</v>
      </c>
      <c r="B4969" s="81" t="s">
        <v>36</v>
      </c>
      <c r="C4969" s="151">
        <v>0.69930555555555496</v>
      </c>
      <c r="D4969" s="155">
        <v>0</v>
      </c>
      <c r="E4969" s="155">
        <v>0</v>
      </c>
      <c r="F4969" s="155">
        <v>0</v>
      </c>
      <c r="G4969" s="155">
        <v>0</v>
      </c>
      <c r="H4969" s="155">
        <v>0</v>
      </c>
      <c r="I4969" s="155">
        <v>0</v>
      </c>
      <c r="J4969" s="155">
        <v>0</v>
      </c>
    </row>
    <row r="4970" spans="1:10">
      <c r="A4970" s="81" t="s">
        <v>106</v>
      </c>
      <c r="B4970" s="81" t="s">
        <v>36</v>
      </c>
      <c r="C4970" s="151">
        <v>0.7</v>
      </c>
      <c r="D4970" s="155">
        <v>0</v>
      </c>
      <c r="E4970" s="155">
        <v>0</v>
      </c>
      <c r="F4970" s="155">
        <v>0</v>
      </c>
      <c r="G4970" s="155">
        <v>0</v>
      </c>
      <c r="H4970" s="155">
        <v>0</v>
      </c>
      <c r="I4970" s="155">
        <v>0</v>
      </c>
      <c r="J4970" s="155">
        <v>0</v>
      </c>
    </row>
    <row r="4971" spans="1:10">
      <c r="A4971" s="81" t="s">
        <v>106</v>
      </c>
      <c r="B4971" s="81" t="s">
        <v>36</v>
      </c>
      <c r="C4971" s="151">
        <v>0.70069444444444395</v>
      </c>
      <c r="D4971" s="155">
        <v>0</v>
      </c>
      <c r="E4971" s="155">
        <v>0</v>
      </c>
      <c r="F4971" s="155">
        <v>0</v>
      </c>
      <c r="G4971" s="155">
        <v>0</v>
      </c>
      <c r="H4971" s="155">
        <v>0</v>
      </c>
      <c r="I4971" s="155">
        <v>0</v>
      </c>
      <c r="J4971" s="155">
        <v>0</v>
      </c>
    </row>
    <row r="4972" spans="1:10">
      <c r="A4972" s="81" t="s">
        <v>106</v>
      </c>
      <c r="B4972" s="81" t="s">
        <v>36</v>
      </c>
      <c r="C4972" s="151">
        <v>0.70138888888888895</v>
      </c>
      <c r="D4972" s="155">
        <v>0</v>
      </c>
      <c r="E4972" s="155">
        <v>0</v>
      </c>
      <c r="F4972" s="155">
        <v>0</v>
      </c>
      <c r="G4972" s="155">
        <v>0</v>
      </c>
      <c r="H4972" s="155">
        <v>0</v>
      </c>
      <c r="I4972" s="155">
        <v>0</v>
      </c>
      <c r="J4972" s="155">
        <v>0</v>
      </c>
    </row>
    <row r="4973" spans="1:10">
      <c r="A4973" s="81" t="s">
        <v>106</v>
      </c>
      <c r="B4973" s="81" t="s">
        <v>36</v>
      </c>
      <c r="C4973" s="151">
        <v>0.70208333333333295</v>
      </c>
      <c r="D4973" s="155">
        <v>0</v>
      </c>
      <c r="E4973" s="155">
        <v>0</v>
      </c>
      <c r="F4973" s="155">
        <v>0</v>
      </c>
      <c r="G4973" s="155">
        <v>0</v>
      </c>
      <c r="H4973" s="155">
        <v>0</v>
      </c>
      <c r="I4973" s="155">
        <v>0</v>
      </c>
      <c r="J4973" s="155">
        <v>0</v>
      </c>
    </row>
    <row r="4974" spans="1:10">
      <c r="A4974" s="81" t="s">
        <v>106</v>
      </c>
      <c r="B4974" s="81" t="s">
        <v>36</v>
      </c>
      <c r="C4974" s="151">
        <v>0.70277777777777795</v>
      </c>
      <c r="D4974" s="155">
        <v>0</v>
      </c>
      <c r="E4974" s="155">
        <v>0</v>
      </c>
      <c r="F4974" s="155">
        <v>0</v>
      </c>
      <c r="G4974" s="155">
        <v>0</v>
      </c>
      <c r="H4974" s="155">
        <v>0</v>
      </c>
      <c r="I4974" s="155">
        <v>0</v>
      </c>
      <c r="J4974" s="155">
        <v>0</v>
      </c>
    </row>
    <row r="4975" spans="1:10">
      <c r="A4975" s="81" t="s">
        <v>106</v>
      </c>
      <c r="B4975" s="81" t="s">
        <v>36</v>
      </c>
      <c r="C4975" s="151">
        <v>0.70347222222222205</v>
      </c>
      <c r="D4975" s="155">
        <v>0</v>
      </c>
      <c r="E4975" s="155">
        <v>0</v>
      </c>
      <c r="F4975" s="155">
        <v>0</v>
      </c>
      <c r="G4975" s="155">
        <v>0</v>
      </c>
      <c r="H4975" s="155">
        <v>0</v>
      </c>
      <c r="I4975" s="155">
        <v>0</v>
      </c>
      <c r="J4975" s="155">
        <v>0</v>
      </c>
    </row>
    <row r="4976" spans="1:10">
      <c r="A4976" s="81" t="s">
        <v>106</v>
      </c>
      <c r="B4976" s="81" t="s">
        <v>36</v>
      </c>
      <c r="C4976" s="151">
        <v>0.70416666666666605</v>
      </c>
      <c r="D4976" s="155">
        <v>0</v>
      </c>
      <c r="E4976" s="155">
        <v>0</v>
      </c>
      <c r="F4976" s="155">
        <v>0</v>
      </c>
      <c r="G4976" s="155">
        <v>0</v>
      </c>
      <c r="H4976" s="155">
        <v>0</v>
      </c>
      <c r="I4976" s="155">
        <v>0</v>
      </c>
      <c r="J4976" s="155">
        <v>0</v>
      </c>
    </row>
    <row r="4977" spans="1:10">
      <c r="A4977" s="81" t="s">
        <v>106</v>
      </c>
      <c r="B4977" s="81" t="s">
        <v>36</v>
      </c>
      <c r="C4977" s="151">
        <v>0.70486111111111105</v>
      </c>
      <c r="D4977" s="155">
        <v>0</v>
      </c>
      <c r="E4977" s="155">
        <v>0</v>
      </c>
      <c r="F4977" s="155">
        <v>0</v>
      </c>
      <c r="G4977" s="155">
        <v>0</v>
      </c>
      <c r="H4977" s="155">
        <v>0</v>
      </c>
      <c r="I4977" s="155">
        <v>0</v>
      </c>
      <c r="J4977" s="155">
        <v>0</v>
      </c>
    </row>
    <row r="4978" spans="1:10">
      <c r="A4978" s="81" t="s">
        <v>106</v>
      </c>
      <c r="B4978" s="81" t="s">
        <v>36</v>
      </c>
      <c r="C4978" s="151">
        <v>0.70555555555555505</v>
      </c>
      <c r="D4978" s="155">
        <v>0</v>
      </c>
      <c r="E4978" s="155">
        <v>0</v>
      </c>
      <c r="F4978" s="155">
        <v>0</v>
      </c>
      <c r="G4978" s="155">
        <v>0</v>
      </c>
      <c r="H4978" s="155">
        <v>0</v>
      </c>
      <c r="I4978" s="155">
        <v>0</v>
      </c>
      <c r="J4978" s="155">
        <v>0</v>
      </c>
    </row>
    <row r="4979" spans="1:10">
      <c r="A4979" s="81" t="s">
        <v>106</v>
      </c>
      <c r="B4979" s="81" t="s">
        <v>36</v>
      </c>
      <c r="C4979" s="151">
        <v>0.70625000000000004</v>
      </c>
      <c r="D4979" s="155">
        <v>0</v>
      </c>
      <c r="E4979" s="155">
        <v>0</v>
      </c>
      <c r="F4979" s="155">
        <v>0</v>
      </c>
      <c r="G4979" s="155">
        <v>0</v>
      </c>
      <c r="H4979" s="155">
        <v>0</v>
      </c>
      <c r="I4979" s="155">
        <v>0</v>
      </c>
      <c r="J4979" s="155">
        <v>0</v>
      </c>
    </row>
    <row r="4980" spans="1:10">
      <c r="A4980" s="81" t="s">
        <v>106</v>
      </c>
      <c r="B4980" s="81" t="s">
        <v>36</v>
      </c>
      <c r="C4980" s="151">
        <v>0.70694444444444404</v>
      </c>
      <c r="D4980" s="155">
        <v>0</v>
      </c>
      <c r="E4980" s="155">
        <v>0</v>
      </c>
      <c r="F4980" s="155">
        <v>0</v>
      </c>
      <c r="G4980" s="155">
        <v>0</v>
      </c>
      <c r="H4980" s="155">
        <v>0</v>
      </c>
      <c r="I4980" s="155">
        <v>0</v>
      </c>
      <c r="J4980" s="155">
        <v>0</v>
      </c>
    </row>
    <row r="4981" spans="1:10" s="80" customFormat="1">
      <c r="A4981" s="84" t="s">
        <v>106</v>
      </c>
      <c r="B4981" s="84" t="s">
        <v>36</v>
      </c>
      <c r="C4981" s="153">
        <v>0.70763888888888904</v>
      </c>
      <c r="D4981" s="156">
        <v>0</v>
      </c>
      <c r="E4981" s="156">
        <v>0</v>
      </c>
      <c r="F4981" s="156">
        <v>0</v>
      </c>
      <c r="G4981" s="156">
        <v>0</v>
      </c>
      <c r="H4981" s="156">
        <v>0</v>
      </c>
      <c r="I4981" s="156">
        <v>0</v>
      </c>
      <c r="J4981" s="156">
        <v>0</v>
      </c>
    </row>
    <row r="4982" spans="1:10">
      <c r="A4982" s="81" t="s">
        <v>106</v>
      </c>
      <c r="B4982" s="81" t="s">
        <v>36</v>
      </c>
      <c r="C4982" s="151">
        <v>0.70833333333333304</v>
      </c>
      <c r="D4982" s="157">
        <v>0</v>
      </c>
      <c r="E4982" s="157">
        <v>0</v>
      </c>
      <c r="F4982" s="157">
        <v>0</v>
      </c>
      <c r="G4982" s="157">
        <v>0</v>
      </c>
      <c r="H4982" s="157">
        <v>0</v>
      </c>
      <c r="I4982" s="157">
        <v>0</v>
      </c>
      <c r="J4982" s="157">
        <v>0</v>
      </c>
    </row>
    <row r="4983" spans="1:10">
      <c r="A4983" s="81" t="s">
        <v>106</v>
      </c>
      <c r="B4983" s="81" t="s">
        <v>36</v>
      </c>
      <c r="C4983" s="151">
        <v>0.70902777777777803</v>
      </c>
      <c r="D4983" s="155">
        <v>0</v>
      </c>
      <c r="E4983" s="155">
        <v>0</v>
      </c>
      <c r="F4983" s="155">
        <v>0</v>
      </c>
      <c r="G4983" s="155">
        <v>0</v>
      </c>
      <c r="H4983" s="155">
        <v>0</v>
      </c>
      <c r="I4983" s="155">
        <v>0</v>
      </c>
      <c r="J4983" s="155">
        <v>0</v>
      </c>
    </row>
    <row r="4984" spans="1:10">
      <c r="A4984" s="81" t="s">
        <v>106</v>
      </c>
      <c r="B4984" s="81" t="s">
        <v>36</v>
      </c>
      <c r="C4984" s="151">
        <v>0.70972222222222203</v>
      </c>
      <c r="D4984" s="155">
        <v>0</v>
      </c>
      <c r="E4984" s="155">
        <v>0</v>
      </c>
      <c r="F4984" s="155">
        <v>0</v>
      </c>
      <c r="G4984" s="155">
        <v>0</v>
      </c>
      <c r="H4984" s="155">
        <v>0</v>
      </c>
      <c r="I4984" s="155">
        <v>0</v>
      </c>
      <c r="J4984" s="155">
        <v>0</v>
      </c>
    </row>
    <row r="4985" spans="1:10">
      <c r="A4985" s="81" t="s">
        <v>106</v>
      </c>
      <c r="B4985" s="81" t="s">
        <v>36</v>
      </c>
      <c r="C4985" s="151">
        <v>0.71041666666666603</v>
      </c>
      <c r="D4985" s="155">
        <v>0</v>
      </c>
      <c r="E4985" s="155">
        <v>0</v>
      </c>
      <c r="F4985" s="155">
        <v>0</v>
      </c>
      <c r="G4985" s="155">
        <v>0</v>
      </c>
      <c r="H4985" s="155">
        <v>0</v>
      </c>
      <c r="I4985" s="155">
        <v>0</v>
      </c>
      <c r="J4985" s="155">
        <v>0</v>
      </c>
    </row>
    <row r="4986" spans="1:10">
      <c r="A4986" s="81" t="s">
        <v>106</v>
      </c>
      <c r="B4986" s="81" t="s">
        <v>36</v>
      </c>
      <c r="C4986" s="151">
        <v>0.71111111111111103</v>
      </c>
      <c r="D4986" s="155">
        <v>0</v>
      </c>
      <c r="E4986" s="155">
        <v>0</v>
      </c>
      <c r="F4986" s="155">
        <v>0</v>
      </c>
      <c r="G4986" s="155">
        <v>0</v>
      </c>
      <c r="H4986" s="155">
        <v>0</v>
      </c>
      <c r="I4986" s="155">
        <v>0</v>
      </c>
      <c r="J4986" s="155">
        <v>0</v>
      </c>
    </row>
    <row r="4987" spans="1:10">
      <c r="A4987" s="81" t="s">
        <v>106</v>
      </c>
      <c r="B4987" s="81" t="s">
        <v>36</v>
      </c>
      <c r="C4987" s="151">
        <v>0.71180555555555503</v>
      </c>
      <c r="D4987" s="155">
        <v>0</v>
      </c>
      <c r="E4987" s="155">
        <v>0</v>
      </c>
      <c r="F4987" s="155">
        <v>0</v>
      </c>
      <c r="G4987" s="155">
        <v>0</v>
      </c>
      <c r="H4987" s="155">
        <v>0</v>
      </c>
      <c r="I4987" s="155">
        <v>0</v>
      </c>
      <c r="J4987" s="155">
        <v>0</v>
      </c>
    </row>
    <row r="4988" spans="1:10">
      <c r="A4988" s="81" t="s">
        <v>106</v>
      </c>
      <c r="B4988" s="81" t="s">
        <v>36</v>
      </c>
      <c r="C4988" s="151">
        <v>0.71250000000000002</v>
      </c>
      <c r="D4988" s="155">
        <v>0</v>
      </c>
      <c r="E4988" s="155">
        <v>0</v>
      </c>
      <c r="F4988" s="155">
        <v>0</v>
      </c>
      <c r="G4988" s="155">
        <v>0</v>
      </c>
      <c r="H4988" s="155">
        <v>0</v>
      </c>
      <c r="I4988" s="155">
        <v>0</v>
      </c>
      <c r="J4988" s="155">
        <v>0</v>
      </c>
    </row>
    <row r="4989" spans="1:10">
      <c r="A4989" s="81" t="s">
        <v>106</v>
      </c>
      <c r="B4989" s="81" t="s">
        <v>36</v>
      </c>
      <c r="C4989" s="151">
        <v>0.71319444444444402</v>
      </c>
      <c r="D4989" s="155">
        <v>0</v>
      </c>
      <c r="E4989" s="155">
        <v>0</v>
      </c>
      <c r="F4989" s="155">
        <v>0</v>
      </c>
      <c r="G4989" s="155">
        <v>0</v>
      </c>
      <c r="H4989" s="155">
        <v>0</v>
      </c>
      <c r="I4989" s="155">
        <v>0</v>
      </c>
      <c r="J4989" s="155">
        <v>0</v>
      </c>
    </row>
    <row r="4990" spans="1:10">
      <c r="A4990" s="81" t="s">
        <v>106</v>
      </c>
      <c r="B4990" s="81" t="s">
        <v>36</v>
      </c>
      <c r="C4990" s="151">
        <v>0.71388888888888902</v>
      </c>
      <c r="D4990" s="155">
        <v>0</v>
      </c>
      <c r="E4990" s="155">
        <v>0</v>
      </c>
      <c r="F4990" s="155">
        <v>0</v>
      </c>
      <c r="G4990" s="155">
        <v>0</v>
      </c>
      <c r="H4990" s="155">
        <v>0</v>
      </c>
      <c r="I4990" s="155">
        <v>0</v>
      </c>
      <c r="J4990" s="155">
        <v>0</v>
      </c>
    </row>
    <row r="4991" spans="1:10">
      <c r="A4991" s="81" t="s">
        <v>106</v>
      </c>
      <c r="B4991" s="81" t="s">
        <v>36</v>
      </c>
      <c r="C4991" s="151">
        <v>0.71458333333333302</v>
      </c>
      <c r="D4991" s="155">
        <v>0</v>
      </c>
      <c r="E4991" s="155">
        <v>0</v>
      </c>
      <c r="F4991" s="155">
        <v>0</v>
      </c>
      <c r="G4991" s="155">
        <v>0</v>
      </c>
      <c r="H4991" s="155">
        <v>0</v>
      </c>
      <c r="I4991" s="155">
        <v>0</v>
      </c>
      <c r="J4991" s="155">
        <v>0</v>
      </c>
    </row>
    <row r="4992" spans="1:10">
      <c r="A4992" s="81" t="s">
        <v>106</v>
      </c>
      <c r="B4992" s="81" t="s">
        <v>36</v>
      </c>
      <c r="C4992" s="151">
        <v>0.71527777777777801</v>
      </c>
      <c r="D4992" s="155">
        <v>0</v>
      </c>
      <c r="E4992" s="155">
        <v>0</v>
      </c>
      <c r="F4992" s="155">
        <v>0</v>
      </c>
      <c r="G4992" s="155">
        <v>0</v>
      </c>
      <c r="H4992" s="155">
        <v>0</v>
      </c>
      <c r="I4992" s="155">
        <v>0</v>
      </c>
      <c r="J4992" s="155">
        <v>0</v>
      </c>
    </row>
    <row r="4993" spans="1:10">
      <c r="A4993" s="81" t="s">
        <v>106</v>
      </c>
      <c r="B4993" s="81" t="s">
        <v>36</v>
      </c>
      <c r="C4993" s="151">
        <v>0.71597222222222201</v>
      </c>
      <c r="D4993" s="155">
        <v>0</v>
      </c>
      <c r="E4993" s="155">
        <v>0</v>
      </c>
      <c r="F4993" s="155">
        <v>0</v>
      </c>
      <c r="G4993" s="155">
        <v>0</v>
      </c>
      <c r="H4993" s="155">
        <v>0</v>
      </c>
      <c r="I4993" s="155">
        <v>0</v>
      </c>
      <c r="J4993" s="155">
        <v>0</v>
      </c>
    </row>
    <row r="4994" spans="1:10">
      <c r="A4994" s="81" t="s">
        <v>106</v>
      </c>
      <c r="B4994" s="81" t="s">
        <v>36</v>
      </c>
      <c r="C4994" s="151">
        <v>0.71666666666666601</v>
      </c>
      <c r="D4994" s="155">
        <v>0</v>
      </c>
      <c r="E4994" s="155">
        <v>0</v>
      </c>
      <c r="F4994" s="155">
        <v>0</v>
      </c>
      <c r="G4994" s="155">
        <v>0</v>
      </c>
      <c r="H4994" s="155">
        <v>0</v>
      </c>
      <c r="I4994" s="155">
        <v>0</v>
      </c>
      <c r="J4994" s="155">
        <v>0</v>
      </c>
    </row>
    <row r="4995" spans="1:10">
      <c r="A4995" s="81" t="s">
        <v>106</v>
      </c>
      <c r="B4995" s="81" t="s">
        <v>36</v>
      </c>
      <c r="C4995" s="151">
        <v>0.71736111111111101</v>
      </c>
      <c r="D4995" s="155">
        <v>0</v>
      </c>
      <c r="E4995" s="155">
        <v>0</v>
      </c>
      <c r="F4995" s="155">
        <v>0</v>
      </c>
      <c r="G4995" s="155">
        <v>0</v>
      </c>
      <c r="H4995" s="155">
        <v>0</v>
      </c>
      <c r="I4995" s="155">
        <v>0</v>
      </c>
      <c r="J4995" s="155">
        <v>0</v>
      </c>
    </row>
    <row r="4996" spans="1:10" s="80" customFormat="1">
      <c r="A4996" s="84" t="s">
        <v>106</v>
      </c>
      <c r="B4996" s="84" t="s">
        <v>36</v>
      </c>
      <c r="C4996" s="153">
        <v>0.718055555555555</v>
      </c>
      <c r="D4996" s="156">
        <v>0</v>
      </c>
      <c r="E4996" s="156">
        <v>0</v>
      </c>
      <c r="F4996" s="156">
        <v>0</v>
      </c>
      <c r="G4996" s="156">
        <v>0</v>
      </c>
      <c r="H4996" s="156">
        <v>0</v>
      </c>
      <c r="I4996" s="156">
        <v>0</v>
      </c>
      <c r="J4996" s="156">
        <v>0</v>
      </c>
    </row>
    <row r="4997" spans="1:10">
      <c r="A4997" s="81" t="s">
        <v>106</v>
      </c>
      <c r="B4997" s="81" t="s">
        <v>36</v>
      </c>
      <c r="C4997" s="151">
        <v>0.71875</v>
      </c>
      <c r="D4997" s="157">
        <v>0</v>
      </c>
      <c r="E4997" s="157">
        <v>0</v>
      </c>
      <c r="F4997" s="157">
        <v>0</v>
      </c>
      <c r="G4997" s="157">
        <v>0</v>
      </c>
      <c r="H4997" s="157">
        <v>0</v>
      </c>
      <c r="I4997" s="157">
        <v>0</v>
      </c>
      <c r="J4997" s="157">
        <v>0</v>
      </c>
    </row>
    <row r="4998" spans="1:10">
      <c r="A4998" s="81" t="s">
        <v>106</v>
      </c>
      <c r="B4998" s="81" t="s">
        <v>36</v>
      </c>
      <c r="C4998" s="151">
        <v>0.719444444444444</v>
      </c>
      <c r="D4998" s="155">
        <v>0</v>
      </c>
      <c r="E4998" s="155">
        <v>0</v>
      </c>
      <c r="F4998" s="155">
        <v>0</v>
      </c>
      <c r="G4998" s="155">
        <v>0</v>
      </c>
      <c r="H4998" s="155">
        <v>0</v>
      </c>
      <c r="I4998" s="155">
        <v>0</v>
      </c>
      <c r="J4998" s="155">
        <v>0</v>
      </c>
    </row>
    <row r="4999" spans="1:10">
      <c r="A4999" s="81" t="s">
        <v>106</v>
      </c>
      <c r="B4999" s="81" t="s">
        <v>36</v>
      </c>
      <c r="C4999" s="151">
        <v>0.72013888888888899</v>
      </c>
      <c r="D4999" s="155">
        <v>0</v>
      </c>
      <c r="E4999" s="155">
        <v>0</v>
      </c>
      <c r="F4999" s="155">
        <v>0</v>
      </c>
      <c r="G4999" s="155">
        <v>0</v>
      </c>
      <c r="H4999" s="155">
        <v>0</v>
      </c>
      <c r="I4999" s="155">
        <v>0</v>
      </c>
      <c r="J4999" s="155">
        <v>0</v>
      </c>
    </row>
    <row r="5000" spans="1:10">
      <c r="A5000" s="81" t="s">
        <v>106</v>
      </c>
      <c r="B5000" s="81" t="s">
        <v>36</v>
      </c>
      <c r="C5000" s="151">
        <v>0.72083333333333299</v>
      </c>
      <c r="D5000" s="155">
        <v>0</v>
      </c>
      <c r="E5000" s="155">
        <v>0</v>
      </c>
      <c r="F5000" s="155">
        <v>0</v>
      </c>
      <c r="G5000" s="155">
        <v>0</v>
      </c>
      <c r="H5000" s="155">
        <v>0</v>
      </c>
      <c r="I5000" s="155">
        <v>0</v>
      </c>
      <c r="J5000" s="155">
        <v>0</v>
      </c>
    </row>
    <row r="5001" spans="1:10">
      <c r="A5001" s="81" t="s">
        <v>106</v>
      </c>
      <c r="B5001" s="81" t="s">
        <v>36</v>
      </c>
      <c r="C5001" s="151">
        <v>0.72152777777777799</v>
      </c>
      <c r="D5001" s="155">
        <v>0</v>
      </c>
      <c r="E5001" s="155">
        <v>0</v>
      </c>
      <c r="F5001" s="155">
        <v>0</v>
      </c>
      <c r="G5001" s="155">
        <v>0</v>
      </c>
      <c r="H5001" s="155">
        <v>0</v>
      </c>
      <c r="I5001" s="155">
        <v>0</v>
      </c>
      <c r="J5001" s="155">
        <v>0</v>
      </c>
    </row>
    <row r="5002" spans="1:10">
      <c r="A5002" s="81" t="s">
        <v>106</v>
      </c>
      <c r="B5002" s="81" t="s">
        <v>36</v>
      </c>
      <c r="C5002" s="151">
        <v>0.72222222222222199</v>
      </c>
      <c r="D5002" s="155">
        <v>0</v>
      </c>
      <c r="E5002" s="155">
        <v>0</v>
      </c>
      <c r="F5002" s="155">
        <v>0</v>
      </c>
      <c r="G5002" s="155">
        <v>0</v>
      </c>
      <c r="H5002" s="155">
        <v>0</v>
      </c>
      <c r="I5002" s="155">
        <v>0</v>
      </c>
      <c r="J5002" s="155">
        <v>0</v>
      </c>
    </row>
    <row r="5003" spans="1:10">
      <c r="A5003" s="81" t="s">
        <v>106</v>
      </c>
      <c r="B5003" s="81" t="s">
        <v>36</v>
      </c>
      <c r="C5003" s="151">
        <v>0.72291666666666599</v>
      </c>
      <c r="D5003" s="155">
        <v>0</v>
      </c>
      <c r="E5003" s="155">
        <v>0</v>
      </c>
      <c r="F5003" s="155">
        <v>0</v>
      </c>
      <c r="G5003" s="155">
        <v>0</v>
      </c>
      <c r="H5003" s="155">
        <v>0</v>
      </c>
      <c r="I5003" s="155">
        <v>0</v>
      </c>
      <c r="J5003" s="155">
        <v>0</v>
      </c>
    </row>
    <row r="5004" spans="1:10">
      <c r="A5004" s="81" t="s">
        <v>106</v>
      </c>
      <c r="B5004" s="81" t="s">
        <v>36</v>
      </c>
      <c r="C5004" s="151">
        <v>0.72361111111111098</v>
      </c>
      <c r="D5004" s="155">
        <v>0</v>
      </c>
      <c r="E5004" s="155">
        <v>0</v>
      </c>
      <c r="F5004" s="155">
        <v>0</v>
      </c>
      <c r="G5004" s="155">
        <v>0</v>
      </c>
      <c r="H5004" s="155">
        <v>0</v>
      </c>
      <c r="I5004" s="155">
        <v>0</v>
      </c>
      <c r="J5004" s="155">
        <v>0</v>
      </c>
    </row>
    <row r="5005" spans="1:10">
      <c r="A5005" s="81" t="s">
        <v>106</v>
      </c>
      <c r="B5005" s="81" t="s">
        <v>36</v>
      </c>
      <c r="C5005" s="151">
        <v>0.72430555555555498</v>
      </c>
      <c r="D5005" s="155">
        <v>0</v>
      </c>
      <c r="E5005" s="155">
        <v>0</v>
      </c>
      <c r="F5005" s="155">
        <v>0</v>
      </c>
      <c r="G5005" s="155">
        <v>0</v>
      </c>
      <c r="H5005" s="155">
        <v>0</v>
      </c>
      <c r="I5005" s="155">
        <v>0</v>
      </c>
      <c r="J5005" s="155">
        <v>0</v>
      </c>
    </row>
    <row r="5006" spans="1:10">
      <c r="A5006" s="81" t="s">
        <v>106</v>
      </c>
      <c r="B5006" s="81" t="s">
        <v>36</v>
      </c>
      <c r="C5006" s="151">
        <v>0.72499999999999998</v>
      </c>
      <c r="D5006" s="155">
        <v>0</v>
      </c>
      <c r="E5006" s="155">
        <v>0</v>
      </c>
      <c r="F5006" s="155">
        <v>0</v>
      </c>
      <c r="G5006" s="155">
        <v>0</v>
      </c>
      <c r="H5006" s="155">
        <v>0</v>
      </c>
      <c r="I5006" s="155">
        <v>0</v>
      </c>
      <c r="J5006" s="155">
        <v>0</v>
      </c>
    </row>
    <row r="5007" spans="1:10">
      <c r="A5007" s="81" t="s">
        <v>106</v>
      </c>
      <c r="B5007" s="81" t="s">
        <v>36</v>
      </c>
      <c r="C5007" s="151">
        <v>0.72569444444444398</v>
      </c>
      <c r="D5007" s="155">
        <v>0</v>
      </c>
      <c r="E5007" s="155">
        <v>0</v>
      </c>
      <c r="F5007" s="155">
        <v>0</v>
      </c>
      <c r="G5007" s="155">
        <v>0</v>
      </c>
      <c r="H5007" s="155">
        <v>0</v>
      </c>
      <c r="I5007" s="155">
        <v>0</v>
      </c>
      <c r="J5007" s="155">
        <v>0</v>
      </c>
    </row>
    <row r="5008" spans="1:10">
      <c r="A5008" s="81" t="s">
        <v>106</v>
      </c>
      <c r="B5008" s="81" t="s">
        <v>36</v>
      </c>
      <c r="C5008" s="151">
        <v>0.72638888888888897</v>
      </c>
      <c r="D5008" s="155">
        <v>0</v>
      </c>
      <c r="E5008" s="155">
        <v>0</v>
      </c>
      <c r="F5008" s="155">
        <v>0</v>
      </c>
      <c r="G5008" s="155">
        <v>0</v>
      </c>
      <c r="H5008" s="155">
        <v>0</v>
      </c>
      <c r="I5008" s="155">
        <v>0</v>
      </c>
      <c r="J5008" s="155">
        <v>0</v>
      </c>
    </row>
    <row r="5009" spans="1:10">
      <c r="A5009" s="81" t="s">
        <v>106</v>
      </c>
      <c r="B5009" s="81" t="s">
        <v>36</v>
      </c>
      <c r="C5009" s="151">
        <v>0.72708333333333297</v>
      </c>
      <c r="D5009" s="155">
        <v>0</v>
      </c>
      <c r="E5009" s="155">
        <v>0</v>
      </c>
      <c r="F5009" s="155">
        <v>0</v>
      </c>
      <c r="G5009" s="155">
        <v>0</v>
      </c>
      <c r="H5009" s="155">
        <v>0</v>
      </c>
      <c r="I5009" s="155">
        <v>0</v>
      </c>
      <c r="J5009" s="155">
        <v>0</v>
      </c>
    </row>
    <row r="5010" spans="1:10">
      <c r="A5010" s="81" t="s">
        <v>106</v>
      </c>
      <c r="B5010" s="81" t="s">
        <v>36</v>
      </c>
      <c r="C5010" s="151">
        <v>0.72777777777777797</v>
      </c>
      <c r="D5010" s="155">
        <v>0</v>
      </c>
      <c r="E5010" s="155">
        <v>0</v>
      </c>
      <c r="F5010" s="155">
        <v>0</v>
      </c>
      <c r="G5010" s="155">
        <v>0</v>
      </c>
      <c r="H5010" s="155">
        <v>0</v>
      </c>
      <c r="I5010" s="155">
        <v>0</v>
      </c>
      <c r="J5010" s="155">
        <v>0</v>
      </c>
    </row>
    <row r="5011" spans="1:10" s="80" customFormat="1">
      <c r="A5011" s="84" t="s">
        <v>106</v>
      </c>
      <c r="B5011" s="84" t="s">
        <v>36</v>
      </c>
      <c r="C5011" s="153">
        <v>0.72847222222222197</v>
      </c>
      <c r="D5011" s="156">
        <v>0</v>
      </c>
      <c r="E5011" s="156">
        <v>0</v>
      </c>
      <c r="F5011" s="156">
        <v>0</v>
      </c>
      <c r="G5011" s="156">
        <v>0</v>
      </c>
      <c r="H5011" s="156">
        <v>0</v>
      </c>
      <c r="I5011" s="156">
        <v>0</v>
      </c>
      <c r="J5011" s="156">
        <v>0</v>
      </c>
    </row>
    <row r="5012" spans="1:10">
      <c r="A5012" s="81" t="s">
        <v>106</v>
      </c>
      <c r="B5012" s="81" t="s">
        <v>36</v>
      </c>
      <c r="C5012" s="151">
        <v>0.72916666666666596</v>
      </c>
      <c r="D5012" s="157">
        <v>0</v>
      </c>
      <c r="E5012" s="157">
        <v>0</v>
      </c>
      <c r="F5012" s="157">
        <v>0</v>
      </c>
      <c r="G5012" s="157">
        <v>0</v>
      </c>
      <c r="H5012" s="157">
        <v>0</v>
      </c>
      <c r="I5012" s="157">
        <v>0</v>
      </c>
      <c r="J5012" s="157">
        <v>0</v>
      </c>
    </row>
    <row r="5013" spans="1:10">
      <c r="A5013" s="81" t="s">
        <v>106</v>
      </c>
      <c r="B5013" s="81" t="s">
        <v>36</v>
      </c>
      <c r="C5013" s="151">
        <v>0.72986111111111096</v>
      </c>
      <c r="D5013" s="155">
        <v>0</v>
      </c>
      <c r="E5013" s="155">
        <v>0</v>
      </c>
      <c r="F5013" s="155">
        <v>0</v>
      </c>
      <c r="G5013" s="155">
        <v>0</v>
      </c>
      <c r="H5013" s="155">
        <v>0</v>
      </c>
      <c r="I5013" s="155">
        <v>0</v>
      </c>
      <c r="J5013" s="155">
        <v>0</v>
      </c>
    </row>
    <row r="5014" spans="1:10">
      <c r="A5014" s="81" t="s">
        <v>106</v>
      </c>
      <c r="B5014" s="81" t="s">
        <v>36</v>
      </c>
      <c r="C5014" s="151">
        <v>0.73055555555555496</v>
      </c>
      <c r="D5014" s="155">
        <v>0</v>
      </c>
      <c r="E5014" s="155">
        <v>0</v>
      </c>
      <c r="F5014" s="155">
        <v>0</v>
      </c>
      <c r="G5014" s="155">
        <v>0</v>
      </c>
      <c r="H5014" s="155">
        <v>0</v>
      </c>
      <c r="I5014" s="155">
        <v>0</v>
      </c>
      <c r="J5014" s="155">
        <v>0</v>
      </c>
    </row>
    <row r="5015" spans="1:10">
      <c r="A5015" s="81" t="s">
        <v>106</v>
      </c>
      <c r="B5015" s="81" t="s">
        <v>36</v>
      </c>
      <c r="C5015" s="151">
        <v>0.73124999999999996</v>
      </c>
      <c r="D5015" s="155">
        <v>0</v>
      </c>
      <c r="E5015" s="155">
        <v>0</v>
      </c>
      <c r="F5015" s="155">
        <v>0</v>
      </c>
      <c r="G5015" s="155">
        <v>0</v>
      </c>
      <c r="H5015" s="155">
        <v>0</v>
      </c>
      <c r="I5015" s="155">
        <v>0</v>
      </c>
      <c r="J5015" s="155">
        <v>0</v>
      </c>
    </row>
    <row r="5016" spans="1:10">
      <c r="A5016" s="81" t="s">
        <v>106</v>
      </c>
      <c r="B5016" s="81" t="s">
        <v>36</v>
      </c>
      <c r="C5016" s="151">
        <v>0.73194444444444395</v>
      </c>
      <c r="D5016" s="155">
        <v>0</v>
      </c>
      <c r="E5016" s="155">
        <v>0</v>
      </c>
      <c r="F5016" s="155">
        <v>0</v>
      </c>
      <c r="G5016" s="155">
        <v>0</v>
      </c>
      <c r="H5016" s="155">
        <v>0</v>
      </c>
      <c r="I5016" s="155">
        <v>0</v>
      </c>
      <c r="J5016" s="155">
        <v>0</v>
      </c>
    </row>
    <row r="5017" spans="1:10">
      <c r="A5017" s="81" t="s">
        <v>106</v>
      </c>
      <c r="B5017" s="81" t="s">
        <v>36</v>
      </c>
      <c r="C5017" s="151">
        <v>0.73263888888888895</v>
      </c>
      <c r="D5017" s="155">
        <v>0</v>
      </c>
      <c r="E5017" s="155">
        <v>0</v>
      </c>
      <c r="F5017" s="155">
        <v>0</v>
      </c>
      <c r="G5017" s="155">
        <v>0</v>
      </c>
      <c r="H5017" s="155">
        <v>0</v>
      </c>
      <c r="I5017" s="155">
        <v>0</v>
      </c>
      <c r="J5017" s="155">
        <v>0</v>
      </c>
    </row>
    <row r="5018" spans="1:10">
      <c r="A5018" s="81" t="s">
        <v>106</v>
      </c>
      <c r="B5018" s="81" t="s">
        <v>36</v>
      </c>
      <c r="C5018" s="151">
        <v>0.73333333333333295</v>
      </c>
      <c r="D5018" s="155">
        <v>0</v>
      </c>
      <c r="E5018" s="155">
        <v>0</v>
      </c>
      <c r="F5018" s="155">
        <v>0</v>
      </c>
      <c r="G5018" s="155">
        <v>0</v>
      </c>
      <c r="H5018" s="155">
        <v>0</v>
      </c>
      <c r="I5018" s="155">
        <v>0</v>
      </c>
      <c r="J5018" s="155">
        <v>0</v>
      </c>
    </row>
    <row r="5019" spans="1:10">
      <c r="A5019" s="81" t="s">
        <v>106</v>
      </c>
      <c r="B5019" s="81" t="s">
        <v>36</v>
      </c>
      <c r="C5019" s="151">
        <v>0.73402777777777795</v>
      </c>
      <c r="D5019" s="155">
        <v>0</v>
      </c>
      <c r="E5019" s="155">
        <v>0</v>
      </c>
      <c r="F5019" s="155">
        <v>0</v>
      </c>
      <c r="G5019" s="155">
        <v>0</v>
      </c>
      <c r="H5019" s="155">
        <v>0</v>
      </c>
      <c r="I5019" s="155">
        <v>0</v>
      </c>
      <c r="J5019" s="155">
        <v>0</v>
      </c>
    </row>
    <row r="5020" spans="1:10">
      <c r="A5020" s="81" t="s">
        <v>106</v>
      </c>
      <c r="B5020" s="81" t="s">
        <v>36</v>
      </c>
      <c r="C5020" s="151">
        <v>0.73472222222222205</v>
      </c>
      <c r="D5020" s="155">
        <v>0</v>
      </c>
      <c r="E5020" s="155">
        <v>0</v>
      </c>
      <c r="F5020" s="155">
        <v>0</v>
      </c>
      <c r="G5020" s="155">
        <v>0</v>
      </c>
      <c r="H5020" s="155">
        <v>0</v>
      </c>
      <c r="I5020" s="155">
        <v>0</v>
      </c>
      <c r="J5020" s="155">
        <v>0</v>
      </c>
    </row>
    <row r="5021" spans="1:10">
      <c r="A5021" s="81" t="s">
        <v>106</v>
      </c>
      <c r="B5021" s="81" t="s">
        <v>36</v>
      </c>
      <c r="C5021" s="151">
        <v>0.73541666666666605</v>
      </c>
      <c r="D5021" s="155">
        <v>0</v>
      </c>
      <c r="E5021" s="155">
        <v>0</v>
      </c>
      <c r="F5021" s="155">
        <v>0</v>
      </c>
      <c r="G5021" s="155">
        <v>0</v>
      </c>
      <c r="H5021" s="155">
        <v>0</v>
      </c>
      <c r="I5021" s="155">
        <v>0</v>
      </c>
      <c r="J5021" s="155">
        <v>0</v>
      </c>
    </row>
    <row r="5022" spans="1:10">
      <c r="A5022" s="81" t="s">
        <v>106</v>
      </c>
      <c r="B5022" s="81" t="s">
        <v>36</v>
      </c>
      <c r="C5022" s="151">
        <v>0.73611111111111105</v>
      </c>
      <c r="D5022" s="155">
        <v>0</v>
      </c>
      <c r="E5022" s="155">
        <v>0</v>
      </c>
      <c r="F5022" s="155">
        <v>0</v>
      </c>
      <c r="G5022" s="155">
        <v>0</v>
      </c>
      <c r="H5022" s="155">
        <v>0</v>
      </c>
      <c r="I5022" s="155">
        <v>0</v>
      </c>
      <c r="J5022" s="155">
        <v>0</v>
      </c>
    </row>
    <row r="5023" spans="1:10">
      <c r="A5023" s="81" t="s">
        <v>106</v>
      </c>
      <c r="B5023" s="81" t="s">
        <v>36</v>
      </c>
      <c r="C5023" s="151">
        <v>0.73680555555555505</v>
      </c>
      <c r="D5023" s="155">
        <v>0</v>
      </c>
      <c r="E5023" s="155">
        <v>0</v>
      </c>
      <c r="F5023" s="155">
        <v>0</v>
      </c>
      <c r="G5023" s="155">
        <v>0</v>
      </c>
      <c r="H5023" s="155">
        <v>0</v>
      </c>
      <c r="I5023" s="155">
        <v>0</v>
      </c>
      <c r="J5023" s="155">
        <v>0</v>
      </c>
    </row>
    <row r="5024" spans="1:10">
      <c r="A5024" s="81" t="s">
        <v>106</v>
      </c>
      <c r="B5024" s="81" t="s">
        <v>36</v>
      </c>
      <c r="C5024" s="151">
        <v>0.73750000000000004</v>
      </c>
      <c r="D5024" s="155">
        <v>0</v>
      </c>
      <c r="E5024" s="155">
        <v>0</v>
      </c>
      <c r="F5024" s="155">
        <v>0</v>
      </c>
      <c r="G5024" s="155">
        <v>0</v>
      </c>
      <c r="H5024" s="155">
        <v>0</v>
      </c>
      <c r="I5024" s="155">
        <v>0</v>
      </c>
      <c r="J5024" s="155">
        <v>0</v>
      </c>
    </row>
    <row r="5025" spans="1:10">
      <c r="A5025" s="81" t="s">
        <v>106</v>
      </c>
      <c r="B5025" s="81" t="s">
        <v>36</v>
      </c>
      <c r="C5025" s="151">
        <v>0.73819444444444404</v>
      </c>
      <c r="D5025" s="155">
        <v>0</v>
      </c>
      <c r="E5025" s="155">
        <v>0</v>
      </c>
      <c r="F5025" s="155">
        <v>0</v>
      </c>
      <c r="G5025" s="155">
        <v>0</v>
      </c>
      <c r="H5025" s="155">
        <v>0</v>
      </c>
      <c r="I5025" s="155">
        <v>0</v>
      </c>
      <c r="J5025" s="155">
        <v>0</v>
      </c>
    </row>
    <row r="5026" spans="1:10" s="80" customFormat="1">
      <c r="A5026" s="84" t="s">
        <v>106</v>
      </c>
      <c r="B5026" s="84" t="s">
        <v>36</v>
      </c>
      <c r="C5026" s="153">
        <v>0.73888888888888904</v>
      </c>
      <c r="D5026" s="156">
        <v>0</v>
      </c>
      <c r="E5026" s="156">
        <v>0</v>
      </c>
      <c r="F5026" s="156">
        <v>0</v>
      </c>
      <c r="G5026" s="156">
        <v>0</v>
      </c>
      <c r="H5026" s="156">
        <v>0</v>
      </c>
      <c r="I5026" s="156">
        <v>0</v>
      </c>
      <c r="J5026" s="156">
        <v>0</v>
      </c>
    </row>
    <row r="5027" spans="1:10">
      <c r="A5027" s="81" t="s">
        <v>106</v>
      </c>
      <c r="B5027" s="81" t="s">
        <v>36</v>
      </c>
      <c r="C5027" s="151">
        <v>0.73958333333333304</v>
      </c>
      <c r="D5027" s="157">
        <v>0</v>
      </c>
      <c r="E5027" s="157">
        <v>0</v>
      </c>
      <c r="F5027" s="157">
        <v>0</v>
      </c>
      <c r="G5027" s="157">
        <v>0</v>
      </c>
      <c r="H5027" s="157">
        <v>0</v>
      </c>
      <c r="I5027" s="157">
        <v>0</v>
      </c>
      <c r="J5027" s="157">
        <v>0</v>
      </c>
    </row>
    <row r="5028" spans="1:10">
      <c r="A5028" s="81" t="s">
        <v>106</v>
      </c>
      <c r="B5028" s="81" t="s">
        <v>36</v>
      </c>
      <c r="C5028" s="151">
        <v>0.74027777777777704</v>
      </c>
      <c r="D5028" s="155">
        <v>0</v>
      </c>
      <c r="E5028" s="155">
        <v>0</v>
      </c>
      <c r="F5028" s="155">
        <v>0</v>
      </c>
      <c r="G5028" s="155">
        <v>0</v>
      </c>
      <c r="H5028" s="155">
        <v>0</v>
      </c>
      <c r="I5028" s="155">
        <v>0</v>
      </c>
      <c r="J5028" s="155">
        <v>0</v>
      </c>
    </row>
    <row r="5029" spans="1:10">
      <c r="A5029" s="81" t="s">
        <v>106</v>
      </c>
      <c r="B5029" s="81" t="s">
        <v>36</v>
      </c>
      <c r="C5029" s="151">
        <v>0.74097222222222203</v>
      </c>
      <c r="D5029" s="155">
        <v>0</v>
      </c>
      <c r="E5029" s="155">
        <v>0</v>
      </c>
      <c r="F5029" s="155">
        <v>0</v>
      </c>
      <c r="G5029" s="155">
        <v>0</v>
      </c>
      <c r="H5029" s="155">
        <v>0</v>
      </c>
      <c r="I5029" s="155">
        <v>0</v>
      </c>
      <c r="J5029" s="155">
        <v>0</v>
      </c>
    </row>
    <row r="5030" spans="1:10">
      <c r="A5030" s="81" t="s">
        <v>106</v>
      </c>
      <c r="B5030" s="81" t="s">
        <v>36</v>
      </c>
      <c r="C5030" s="151">
        <v>0.74166666666666603</v>
      </c>
      <c r="D5030" s="155">
        <v>0</v>
      </c>
      <c r="E5030" s="155">
        <v>0</v>
      </c>
      <c r="F5030" s="155">
        <v>0</v>
      </c>
      <c r="G5030" s="155">
        <v>0</v>
      </c>
      <c r="H5030" s="155">
        <v>0</v>
      </c>
      <c r="I5030" s="155">
        <v>0</v>
      </c>
      <c r="J5030" s="155">
        <v>0</v>
      </c>
    </row>
    <row r="5031" spans="1:10">
      <c r="A5031" s="81" t="s">
        <v>106</v>
      </c>
      <c r="B5031" s="81" t="s">
        <v>36</v>
      </c>
      <c r="C5031" s="151">
        <v>0.74236111111111103</v>
      </c>
      <c r="D5031" s="155">
        <v>0</v>
      </c>
      <c r="E5031" s="155">
        <v>0</v>
      </c>
      <c r="F5031" s="155">
        <v>0</v>
      </c>
      <c r="G5031" s="155">
        <v>0</v>
      </c>
      <c r="H5031" s="155">
        <v>0</v>
      </c>
      <c r="I5031" s="155">
        <v>0</v>
      </c>
      <c r="J5031" s="155">
        <v>0</v>
      </c>
    </row>
    <row r="5032" spans="1:10">
      <c r="A5032" s="81" t="s">
        <v>106</v>
      </c>
      <c r="B5032" s="81" t="s">
        <v>36</v>
      </c>
      <c r="C5032" s="151">
        <v>0.74305555555555503</v>
      </c>
      <c r="D5032" s="155">
        <v>0</v>
      </c>
      <c r="E5032" s="155">
        <v>0</v>
      </c>
      <c r="F5032" s="155">
        <v>0</v>
      </c>
      <c r="G5032" s="155">
        <v>0</v>
      </c>
      <c r="H5032" s="155">
        <v>0</v>
      </c>
      <c r="I5032" s="155">
        <v>0</v>
      </c>
      <c r="J5032" s="155">
        <v>0</v>
      </c>
    </row>
    <row r="5033" spans="1:10">
      <c r="A5033" s="81" t="s">
        <v>106</v>
      </c>
      <c r="B5033" s="81" t="s">
        <v>36</v>
      </c>
      <c r="C5033" s="151">
        <v>0.74375000000000002</v>
      </c>
      <c r="D5033" s="155">
        <v>0</v>
      </c>
      <c r="E5033" s="155">
        <v>0</v>
      </c>
      <c r="F5033" s="155">
        <v>0</v>
      </c>
      <c r="G5033" s="155">
        <v>0</v>
      </c>
      <c r="H5033" s="155">
        <v>0</v>
      </c>
      <c r="I5033" s="155">
        <v>0</v>
      </c>
      <c r="J5033" s="155">
        <v>0</v>
      </c>
    </row>
    <row r="5034" spans="1:10">
      <c r="A5034" s="81" t="s">
        <v>106</v>
      </c>
      <c r="B5034" s="81" t="s">
        <v>36</v>
      </c>
      <c r="C5034" s="151">
        <v>0.74444444444444402</v>
      </c>
      <c r="D5034" s="155">
        <v>0</v>
      </c>
      <c r="E5034" s="155">
        <v>0</v>
      </c>
      <c r="F5034" s="155">
        <v>0</v>
      </c>
      <c r="G5034" s="155">
        <v>0</v>
      </c>
      <c r="H5034" s="155">
        <v>0</v>
      </c>
      <c r="I5034" s="155">
        <v>0</v>
      </c>
      <c r="J5034" s="155">
        <v>0</v>
      </c>
    </row>
    <row r="5035" spans="1:10">
      <c r="A5035" s="81" t="s">
        <v>106</v>
      </c>
      <c r="B5035" s="81" t="s">
        <v>36</v>
      </c>
      <c r="C5035" s="151">
        <v>0.74513888888888902</v>
      </c>
      <c r="D5035" s="155">
        <v>0</v>
      </c>
      <c r="E5035" s="155">
        <v>0</v>
      </c>
      <c r="F5035" s="155">
        <v>0</v>
      </c>
      <c r="G5035" s="155">
        <v>0</v>
      </c>
      <c r="H5035" s="155">
        <v>0</v>
      </c>
      <c r="I5035" s="155">
        <v>0</v>
      </c>
      <c r="J5035" s="155">
        <v>0</v>
      </c>
    </row>
    <row r="5036" spans="1:10">
      <c r="A5036" s="81" t="s">
        <v>106</v>
      </c>
      <c r="B5036" s="81" t="s">
        <v>36</v>
      </c>
      <c r="C5036" s="151">
        <v>0.74583333333333302</v>
      </c>
      <c r="D5036" s="155">
        <v>0</v>
      </c>
      <c r="E5036" s="155">
        <v>0</v>
      </c>
      <c r="F5036" s="155">
        <v>0</v>
      </c>
      <c r="G5036" s="155">
        <v>0</v>
      </c>
      <c r="H5036" s="155">
        <v>0</v>
      </c>
      <c r="I5036" s="155">
        <v>0</v>
      </c>
      <c r="J5036" s="155">
        <v>0</v>
      </c>
    </row>
    <row r="5037" spans="1:10">
      <c r="A5037" s="81" t="s">
        <v>106</v>
      </c>
      <c r="B5037" s="81" t="s">
        <v>36</v>
      </c>
      <c r="C5037" s="151">
        <v>0.74652777777777701</v>
      </c>
      <c r="D5037" s="155">
        <v>0</v>
      </c>
      <c r="E5037" s="155">
        <v>0</v>
      </c>
      <c r="F5037" s="155">
        <v>0</v>
      </c>
      <c r="G5037" s="155">
        <v>0</v>
      </c>
      <c r="H5037" s="155">
        <v>0</v>
      </c>
      <c r="I5037" s="155">
        <v>0</v>
      </c>
      <c r="J5037" s="155">
        <v>0</v>
      </c>
    </row>
    <row r="5038" spans="1:10">
      <c r="A5038" s="81" t="s">
        <v>106</v>
      </c>
      <c r="B5038" s="81" t="s">
        <v>36</v>
      </c>
      <c r="C5038" s="151">
        <v>0.74722222222222201</v>
      </c>
      <c r="D5038" s="155">
        <v>0</v>
      </c>
      <c r="E5038" s="155">
        <v>0</v>
      </c>
      <c r="F5038" s="155">
        <v>0</v>
      </c>
      <c r="G5038" s="155">
        <v>0</v>
      </c>
      <c r="H5038" s="155">
        <v>0</v>
      </c>
      <c r="I5038" s="155">
        <v>0</v>
      </c>
      <c r="J5038" s="155">
        <v>0</v>
      </c>
    </row>
    <row r="5039" spans="1:10">
      <c r="A5039" s="81" t="s">
        <v>106</v>
      </c>
      <c r="B5039" s="81" t="s">
        <v>36</v>
      </c>
      <c r="C5039" s="151">
        <v>0.74791666666666601</v>
      </c>
      <c r="D5039" s="155">
        <v>0</v>
      </c>
      <c r="E5039" s="155">
        <v>0</v>
      </c>
      <c r="F5039" s="155">
        <v>0</v>
      </c>
      <c r="G5039" s="155">
        <v>0</v>
      </c>
      <c r="H5039" s="155">
        <v>0</v>
      </c>
      <c r="I5039" s="155">
        <v>0</v>
      </c>
      <c r="J5039" s="155">
        <v>0</v>
      </c>
    </row>
    <row r="5040" spans="1:10">
      <c r="A5040" s="81" t="s">
        <v>106</v>
      </c>
      <c r="B5040" s="81" t="s">
        <v>36</v>
      </c>
      <c r="C5040" s="151">
        <v>0.74861111111111101</v>
      </c>
      <c r="D5040" s="155">
        <v>0</v>
      </c>
      <c r="E5040" s="155">
        <v>0</v>
      </c>
      <c r="F5040" s="155">
        <v>0</v>
      </c>
      <c r="G5040" s="155">
        <v>0</v>
      </c>
      <c r="H5040" s="155">
        <v>0</v>
      </c>
      <c r="I5040" s="155">
        <v>0</v>
      </c>
      <c r="J5040" s="155">
        <v>0</v>
      </c>
    </row>
    <row r="5041" spans="1:10" s="28" customFormat="1" ht="17.5" thickBot="1">
      <c r="A5041" s="100" t="s">
        <v>106</v>
      </c>
      <c r="B5041" s="100" t="s">
        <v>36</v>
      </c>
      <c r="C5041" s="152">
        <v>0.749305555555555</v>
      </c>
      <c r="D5041" s="158">
        <v>0</v>
      </c>
      <c r="E5041" s="158">
        <v>0</v>
      </c>
      <c r="F5041" s="158">
        <v>0</v>
      </c>
      <c r="G5041" s="158">
        <v>0</v>
      </c>
      <c r="H5041" s="158">
        <v>0</v>
      </c>
      <c r="I5041" s="158">
        <v>0</v>
      </c>
      <c r="J5041" s="158">
        <v>0</v>
      </c>
    </row>
    <row r="5042" spans="1:10">
      <c r="A5042" s="81" t="s">
        <v>106</v>
      </c>
      <c r="B5042" s="81" t="s">
        <v>37</v>
      </c>
      <c r="C5042" s="151">
        <v>0.66666666666666663</v>
      </c>
      <c r="D5042" s="155">
        <v>0</v>
      </c>
      <c r="E5042" s="155">
        <v>0</v>
      </c>
      <c r="F5042" s="155">
        <v>0</v>
      </c>
      <c r="G5042" s="155">
        <v>0</v>
      </c>
      <c r="H5042" s="155">
        <v>0</v>
      </c>
      <c r="I5042" s="155">
        <v>0</v>
      </c>
      <c r="J5042" s="155">
        <v>0</v>
      </c>
    </row>
    <row r="5043" spans="1:10">
      <c r="A5043" s="81" t="s">
        <v>106</v>
      </c>
      <c r="B5043" s="81" t="s">
        <v>37</v>
      </c>
      <c r="C5043" s="151">
        <v>0.66736111111111107</v>
      </c>
      <c r="D5043" s="155">
        <v>0</v>
      </c>
      <c r="E5043" s="155">
        <v>0</v>
      </c>
      <c r="F5043" s="155">
        <v>0</v>
      </c>
      <c r="G5043" s="155">
        <v>0</v>
      </c>
      <c r="H5043" s="155">
        <v>0</v>
      </c>
      <c r="I5043" s="155">
        <v>0</v>
      </c>
      <c r="J5043" s="155">
        <v>0</v>
      </c>
    </row>
    <row r="5044" spans="1:10">
      <c r="A5044" s="81" t="s">
        <v>106</v>
      </c>
      <c r="B5044" s="81" t="s">
        <v>37</v>
      </c>
      <c r="C5044" s="151">
        <v>0.66805555555555596</v>
      </c>
      <c r="D5044" s="155">
        <v>0</v>
      </c>
      <c r="E5044" s="155">
        <v>0</v>
      </c>
      <c r="F5044" s="155">
        <v>0</v>
      </c>
      <c r="G5044" s="155">
        <v>0</v>
      </c>
      <c r="H5044" s="155">
        <v>0</v>
      </c>
      <c r="I5044" s="155">
        <v>0</v>
      </c>
      <c r="J5044" s="155">
        <v>0</v>
      </c>
    </row>
    <row r="5045" spans="1:10">
      <c r="A5045" s="81" t="s">
        <v>106</v>
      </c>
      <c r="B5045" s="81" t="s">
        <v>37</v>
      </c>
      <c r="C5045" s="151">
        <v>0.66874999999999996</v>
      </c>
      <c r="D5045" s="155">
        <v>0</v>
      </c>
      <c r="E5045" s="155">
        <v>0</v>
      </c>
      <c r="F5045" s="155">
        <v>0</v>
      </c>
      <c r="G5045" s="155">
        <v>0</v>
      </c>
      <c r="H5045" s="155">
        <v>0</v>
      </c>
      <c r="I5045" s="155">
        <v>0</v>
      </c>
      <c r="J5045" s="155">
        <v>0</v>
      </c>
    </row>
    <row r="5046" spans="1:10">
      <c r="A5046" s="81" t="s">
        <v>106</v>
      </c>
      <c r="B5046" s="81" t="s">
        <v>37</v>
      </c>
      <c r="C5046" s="151">
        <v>0.66944444444444395</v>
      </c>
      <c r="D5046" s="155">
        <v>0</v>
      </c>
      <c r="E5046" s="155">
        <v>0</v>
      </c>
      <c r="F5046" s="155">
        <v>0</v>
      </c>
      <c r="G5046" s="155">
        <v>0</v>
      </c>
      <c r="H5046" s="155">
        <v>0</v>
      </c>
      <c r="I5046" s="155">
        <v>0</v>
      </c>
      <c r="J5046" s="155">
        <v>0</v>
      </c>
    </row>
    <row r="5047" spans="1:10">
      <c r="A5047" s="81" t="s">
        <v>106</v>
      </c>
      <c r="B5047" s="81" t="s">
        <v>37</v>
      </c>
      <c r="C5047" s="151">
        <v>0.67013888888888895</v>
      </c>
      <c r="D5047" s="155">
        <v>0</v>
      </c>
      <c r="E5047" s="155">
        <v>0</v>
      </c>
      <c r="F5047" s="155">
        <v>0</v>
      </c>
      <c r="G5047" s="155">
        <v>0</v>
      </c>
      <c r="H5047" s="155">
        <v>0</v>
      </c>
      <c r="I5047" s="155">
        <v>0</v>
      </c>
      <c r="J5047" s="155">
        <v>0</v>
      </c>
    </row>
    <row r="5048" spans="1:10">
      <c r="A5048" s="81" t="s">
        <v>106</v>
      </c>
      <c r="B5048" s="81" t="s">
        <v>37</v>
      </c>
      <c r="C5048" s="151">
        <v>0.67083333333333295</v>
      </c>
      <c r="D5048" s="155">
        <v>0</v>
      </c>
      <c r="E5048" s="155">
        <v>0</v>
      </c>
      <c r="F5048" s="155">
        <v>0</v>
      </c>
      <c r="G5048" s="155">
        <v>0</v>
      </c>
      <c r="H5048" s="155">
        <v>0</v>
      </c>
      <c r="I5048" s="155">
        <v>0</v>
      </c>
      <c r="J5048" s="155">
        <v>0</v>
      </c>
    </row>
    <row r="5049" spans="1:10">
      <c r="A5049" s="81" t="s">
        <v>106</v>
      </c>
      <c r="B5049" s="81" t="s">
        <v>37</v>
      </c>
      <c r="C5049" s="151">
        <v>0.67152777777777795</v>
      </c>
      <c r="D5049" s="155">
        <v>0</v>
      </c>
      <c r="E5049" s="155">
        <v>0</v>
      </c>
      <c r="F5049" s="155">
        <v>0</v>
      </c>
      <c r="G5049" s="155">
        <v>0</v>
      </c>
      <c r="H5049" s="155">
        <v>0</v>
      </c>
      <c r="I5049" s="155">
        <v>0</v>
      </c>
      <c r="J5049" s="155">
        <v>0</v>
      </c>
    </row>
    <row r="5050" spans="1:10">
      <c r="A5050" s="81" t="s">
        <v>106</v>
      </c>
      <c r="B5050" s="81" t="s">
        <v>37</v>
      </c>
      <c r="C5050" s="151">
        <v>0.67222222222222205</v>
      </c>
      <c r="D5050" s="155">
        <v>0</v>
      </c>
      <c r="E5050" s="155">
        <v>0</v>
      </c>
      <c r="F5050" s="155">
        <v>0</v>
      </c>
      <c r="G5050" s="155">
        <v>0</v>
      </c>
      <c r="H5050" s="155">
        <v>0</v>
      </c>
      <c r="I5050" s="155">
        <v>0</v>
      </c>
      <c r="J5050" s="155">
        <v>0</v>
      </c>
    </row>
    <row r="5051" spans="1:10">
      <c r="A5051" s="81" t="s">
        <v>106</v>
      </c>
      <c r="B5051" s="81" t="s">
        <v>37</v>
      </c>
      <c r="C5051" s="151">
        <v>0.67291666666666705</v>
      </c>
      <c r="D5051" s="155">
        <v>0</v>
      </c>
      <c r="E5051" s="155">
        <v>0</v>
      </c>
      <c r="F5051" s="155">
        <v>0</v>
      </c>
      <c r="G5051" s="155">
        <v>0</v>
      </c>
      <c r="H5051" s="155">
        <v>0</v>
      </c>
      <c r="I5051" s="155">
        <v>0</v>
      </c>
      <c r="J5051" s="155">
        <v>0</v>
      </c>
    </row>
    <row r="5052" spans="1:10">
      <c r="A5052" s="81" t="s">
        <v>106</v>
      </c>
      <c r="B5052" s="81" t="s">
        <v>37</v>
      </c>
      <c r="C5052" s="151">
        <v>0.67361111111111105</v>
      </c>
      <c r="D5052" s="155">
        <v>0</v>
      </c>
      <c r="E5052" s="155">
        <v>0</v>
      </c>
      <c r="F5052" s="155">
        <v>0</v>
      </c>
      <c r="G5052" s="155">
        <v>0</v>
      </c>
      <c r="H5052" s="155">
        <v>0</v>
      </c>
      <c r="I5052" s="155">
        <v>0</v>
      </c>
      <c r="J5052" s="155">
        <v>0</v>
      </c>
    </row>
    <row r="5053" spans="1:10">
      <c r="A5053" s="81" t="s">
        <v>106</v>
      </c>
      <c r="B5053" s="81" t="s">
        <v>37</v>
      </c>
      <c r="C5053" s="151">
        <v>0.67430555555555505</v>
      </c>
      <c r="D5053" s="155">
        <v>0</v>
      </c>
      <c r="E5053" s="155">
        <v>0</v>
      </c>
      <c r="F5053" s="155">
        <v>0</v>
      </c>
      <c r="G5053" s="155">
        <v>0</v>
      </c>
      <c r="H5053" s="155">
        <v>0</v>
      </c>
      <c r="I5053" s="155">
        <v>0</v>
      </c>
      <c r="J5053" s="155">
        <v>0</v>
      </c>
    </row>
    <row r="5054" spans="1:10">
      <c r="A5054" s="81" t="s">
        <v>106</v>
      </c>
      <c r="B5054" s="81" t="s">
        <v>37</v>
      </c>
      <c r="C5054" s="151">
        <v>0.67500000000000004</v>
      </c>
      <c r="D5054" s="155">
        <v>0</v>
      </c>
      <c r="E5054" s="155">
        <v>0</v>
      </c>
      <c r="F5054" s="155">
        <v>0</v>
      </c>
      <c r="G5054" s="155">
        <v>0</v>
      </c>
      <c r="H5054" s="155">
        <v>0</v>
      </c>
      <c r="I5054" s="155">
        <v>0</v>
      </c>
      <c r="J5054" s="155">
        <v>0</v>
      </c>
    </row>
    <row r="5055" spans="1:10">
      <c r="A5055" s="81" t="s">
        <v>106</v>
      </c>
      <c r="B5055" s="81" t="s">
        <v>37</v>
      </c>
      <c r="C5055" s="151">
        <v>0.67569444444444404</v>
      </c>
      <c r="D5055" s="155">
        <v>0</v>
      </c>
      <c r="E5055" s="155">
        <v>0</v>
      </c>
      <c r="F5055" s="155">
        <v>0</v>
      </c>
      <c r="G5055" s="155">
        <v>0</v>
      </c>
      <c r="H5055" s="155">
        <v>0</v>
      </c>
      <c r="I5055" s="155">
        <v>0</v>
      </c>
      <c r="J5055" s="155">
        <v>0</v>
      </c>
    </row>
    <row r="5056" spans="1:10" s="80" customFormat="1">
      <c r="A5056" s="84" t="s">
        <v>106</v>
      </c>
      <c r="B5056" s="84" t="s">
        <v>37</v>
      </c>
      <c r="C5056" s="153">
        <v>0.67638888888888904</v>
      </c>
      <c r="D5056" s="156">
        <v>0</v>
      </c>
      <c r="E5056" s="156">
        <v>0</v>
      </c>
      <c r="F5056" s="156">
        <v>0</v>
      </c>
      <c r="G5056" s="156">
        <v>0</v>
      </c>
      <c r="H5056" s="156">
        <v>0</v>
      </c>
      <c r="I5056" s="156">
        <v>0</v>
      </c>
      <c r="J5056" s="156">
        <v>0</v>
      </c>
    </row>
    <row r="5057" spans="1:10">
      <c r="A5057" s="81" t="s">
        <v>106</v>
      </c>
      <c r="B5057" s="81" t="s">
        <v>37</v>
      </c>
      <c r="C5057" s="151">
        <v>0.67708333333333304</v>
      </c>
      <c r="D5057" s="155">
        <v>0</v>
      </c>
      <c r="E5057" s="155">
        <v>0</v>
      </c>
      <c r="F5057" s="155">
        <v>0</v>
      </c>
      <c r="G5057" s="155">
        <v>0</v>
      </c>
      <c r="H5057" s="155">
        <v>0</v>
      </c>
      <c r="I5057" s="155">
        <v>0</v>
      </c>
      <c r="J5057" s="155">
        <v>0</v>
      </c>
    </row>
    <row r="5058" spans="1:10">
      <c r="A5058" s="81" t="s">
        <v>106</v>
      </c>
      <c r="B5058" s="81" t="s">
        <v>37</v>
      </c>
      <c r="C5058" s="151">
        <v>0.67777777777777803</v>
      </c>
      <c r="D5058" s="155">
        <v>0</v>
      </c>
      <c r="E5058" s="155">
        <v>0</v>
      </c>
      <c r="F5058" s="155">
        <v>0</v>
      </c>
      <c r="G5058" s="155">
        <v>0</v>
      </c>
      <c r="H5058" s="155">
        <v>0</v>
      </c>
      <c r="I5058" s="155">
        <v>0</v>
      </c>
      <c r="J5058" s="155">
        <v>0</v>
      </c>
    </row>
    <row r="5059" spans="1:10">
      <c r="A5059" s="81" t="s">
        <v>106</v>
      </c>
      <c r="B5059" s="81" t="s">
        <v>37</v>
      </c>
      <c r="C5059" s="151">
        <v>0.67847222222222203</v>
      </c>
      <c r="D5059" s="155">
        <v>0</v>
      </c>
      <c r="E5059" s="155">
        <v>0</v>
      </c>
      <c r="F5059" s="155">
        <v>0</v>
      </c>
      <c r="G5059" s="155">
        <v>0</v>
      </c>
      <c r="H5059" s="155">
        <v>0</v>
      </c>
      <c r="I5059" s="155">
        <v>0</v>
      </c>
      <c r="J5059" s="155">
        <v>0</v>
      </c>
    </row>
    <row r="5060" spans="1:10">
      <c r="A5060" s="81" t="s">
        <v>106</v>
      </c>
      <c r="B5060" s="81" t="s">
        <v>37</v>
      </c>
      <c r="C5060" s="151">
        <v>0.67916666666666703</v>
      </c>
      <c r="D5060" s="155">
        <v>0</v>
      </c>
      <c r="E5060" s="155">
        <v>0</v>
      </c>
      <c r="F5060" s="155">
        <v>0</v>
      </c>
      <c r="G5060" s="155">
        <v>0</v>
      </c>
      <c r="H5060" s="155">
        <v>0</v>
      </c>
      <c r="I5060" s="155">
        <v>0</v>
      </c>
      <c r="J5060" s="155">
        <v>0</v>
      </c>
    </row>
    <row r="5061" spans="1:10">
      <c r="A5061" s="81" t="s">
        <v>106</v>
      </c>
      <c r="B5061" s="81" t="s">
        <v>37</v>
      </c>
      <c r="C5061" s="151">
        <v>0.67986111111111103</v>
      </c>
      <c r="D5061" s="155">
        <v>0</v>
      </c>
      <c r="E5061" s="155">
        <v>0</v>
      </c>
      <c r="F5061" s="155">
        <v>0</v>
      </c>
      <c r="G5061" s="155">
        <v>0</v>
      </c>
      <c r="H5061" s="155">
        <v>0</v>
      </c>
      <c r="I5061" s="155">
        <v>0</v>
      </c>
      <c r="J5061" s="155">
        <v>0</v>
      </c>
    </row>
    <row r="5062" spans="1:10">
      <c r="A5062" s="81" t="s">
        <v>106</v>
      </c>
      <c r="B5062" s="81" t="s">
        <v>37</v>
      </c>
      <c r="C5062" s="151">
        <v>0.68055555555555503</v>
      </c>
      <c r="D5062" s="155">
        <v>0</v>
      </c>
      <c r="E5062" s="155">
        <v>0</v>
      </c>
      <c r="F5062" s="155">
        <v>0</v>
      </c>
      <c r="G5062" s="155">
        <v>0</v>
      </c>
      <c r="H5062" s="155">
        <v>0</v>
      </c>
      <c r="I5062" s="155">
        <v>0</v>
      </c>
      <c r="J5062" s="155">
        <v>0</v>
      </c>
    </row>
    <row r="5063" spans="1:10">
      <c r="A5063" s="81" t="s">
        <v>106</v>
      </c>
      <c r="B5063" s="81" t="s">
        <v>37</v>
      </c>
      <c r="C5063" s="151">
        <v>0.68125000000000002</v>
      </c>
      <c r="D5063" s="155">
        <v>0</v>
      </c>
      <c r="E5063" s="155">
        <v>0</v>
      </c>
      <c r="F5063" s="155">
        <v>0</v>
      </c>
      <c r="G5063" s="155">
        <v>0</v>
      </c>
      <c r="H5063" s="155">
        <v>0</v>
      </c>
      <c r="I5063" s="155">
        <v>0</v>
      </c>
      <c r="J5063" s="155">
        <v>0</v>
      </c>
    </row>
    <row r="5064" spans="1:10">
      <c r="A5064" s="81" t="s">
        <v>106</v>
      </c>
      <c r="B5064" s="81" t="s">
        <v>37</v>
      </c>
      <c r="C5064" s="151">
        <v>0.68194444444444402</v>
      </c>
      <c r="D5064" s="155">
        <v>0</v>
      </c>
      <c r="E5064" s="155">
        <v>0</v>
      </c>
      <c r="F5064" s="155">
        <v>0</v>
      </c>
      <c r="G5064" s="155">
        <v>0</v>
      </c>
      <c r="H5064" s="155">
        <v>0</v>
      </c>
      <c r="I5064" s="155">
        <v>0</v>
      </c>
      <c r="J5064" s="155">
        <v>0</v>
      </c>
    </row>
    <row r="5065" spans="1:10">
      <c r="A5065" s="81" t="s">
        <v>106</v>
      </c>
      <c r="B5065" s="81" t="s">
        <v>37</v>
      </c>
      <c r="C5065" s="151">
        <v>0.68263888888888902</v>
      </c>
      <c r="D5065" s="155">
        <v>0</v>
      </c>
      <c r="E5065" s="155">
        <v>0</v>
      </c>
      <c r="F5065" s="155">
        <v>0</v>
      </c>
      <c r="G5065" s="155">
        <v>0</v>
      </c>
      <c r="H5065" s="155">
        <v>0</v>
      </c>
      <c r="I5065" s="155">
        <v>0</v>
      </c>
      <c r="J5065" s="155">
        <v>0</v>
      </c>
    </row>
    <row r="5066" spans="1:10">
      <c r="A5066" s="81" t="s">
        <v>106</v>
      </c>
      <c r="B5066" s="81" t="s">
        <v>37</v>
      </c>
      <c r="C5066" s="151">
        <v>0.68333333333333302</v>
      </c>
      <c r="D5066" s="155">
        <v>0</v>
      </c>
      <c r="E5066" s="155">
        <v>0</v>
      </c>
      <c r="F5066" s="155">
        <v>0</v>
      </c>
      <c r="G5066" s="155">
        <v>0</v>
      </c>
      <c r="H5066" s="155">
        <v>0</v>
      </c>
      <c r="I5066" s="155">
        <v>0</v>
      </c>
      <c r="J5066" s="155">
        <v>0</v>
      </c>
    </row>
    <row r="5067" spans="1:10">
      <c r="A5067" s="81" t="s">
        <v>106</v>
      </c>
      <c r="B5067" s="81" t="s">
        <v>37</v>
      </c>
      <c r="C5067" s="151">
        <v>0.68402777777777801</v>
      </c>
      <c r="D5067" s="155">
        <v>0</v>
      </c>
      <c r="E5067" s="155">
        <v>0</v>
      </c>
      <c r="F5067" s="155">
        <v>0</v>
      </c>
      <c r="G5067" s="155">
        <v>0</v>
      </c>
      <c r="H5067" s="155">
        <v>0</v>
      </c>
      <c r="I5067" s="155">
        <v>0</v>
      </c>
      <c r="J5067" s="155">
        <v>0</v>
      </c>
    </row>
    <row r="5068" spans="1:10">
      <c r="A5068" s="81" t="s">
        <v>106</v>
      </c>
      <c r="B5068" s="81" t="s">
        <v>37</v>
      </c>
      <c r="C5068" s="151">
        <v>0.68472222222222201</v>
      </c>
      <c r="D5068" s="155">
        <v>0</v>
      </c>
      <c r="E5068" s="155">
        <v>0</v>
      </c>
      <c r="F5068" s="155">
        <v>0</v>
      </c>
      <c r="G5068" s="155">
        <v>0</v>
      </c>
      <c r="H5068" s="155">
        <v>0</v>
      </c>
      <c r="I5068" s="155">
        <v>0</v>
      </c>
      <c r="J5068" s="155">
        <v>0</v>
      </c>
    </row>
    <row r="5069" spans="1:10">
      <c r="A5069" s="81" t="s">
        <v>106</v>
      </c>
      <c r="B5069" s="81" t="s">
        <v>37</v>
      </c>
      <c r="C5069" s="151">
        <v>0.68541666666666701</v>
      </c>
      <c r="D5069" s="155">
        <v>0</v>
      </c>
      <c r="E5069" s="155">
        <v>0</v>
      </c>
      <c r="F5069" s="155">
        <v>0</v>
      </c>
      <c r="G5069" s="155">
        <v>0</v>
      </c>
      <c r="H5069" s="155">
        <v>0</v>
      </c>
      <c r="I5069" s="155">
        <v>0</v>
      </c>
      <c r="J5069" s="155">
        <v>0</v>
      </c>
    </row>
    <row r="5070" spans="1:10">
      <c r="A5070" s="81" t="s">
        <v>106</v>
      </c>
      <c r="B5070" s="81" t="s">
        <v>37</v>
      </c>
      <c r="C5070" s="151">
        <v>0.68611111111111101</v>
      </c>
      <c r="D5070" s="155">
        <v>0</v>
      </c>
      <c r="E5070" s="155">
        <v>0</v>
      </c>
      <c r="F5070" s="155">
        <v>0</v>
      </c>
      <c r="G5070" s="155">
        <v>0</v>
      </c>
      <c r="H5070" s="155">
        <v>0</v>
      </c>
      <c r="I5070" s="155">
        <v>0</v>
      </c>
      <c r="J5070" s="155">
        <v>0</v>
      </c>
    </row>
    <row r="5071" spans="1:10" s="80" customFormat="1">
      <c r="A5071" s="84" t="s">
        <v>106</v>
      </c>
      <c r="B5071" s="84" t="s">
        <v>37</v>
      </c>
      <c r="C5071" s="153">
        <v>0.686805555555555</v>
      </c>
      <c r="D5071" s="156">
        <v>0</v>
      </c>
      <c r="E5071" s="156">
        <v>0</v>
      </c>
      <c r="F5071" s="156">
        <v>0</v>
      </c>
      <c r="G5071" s="156">
        <v>0</v>
      </c>
      <c r="H5071" s="156">
        <v>0</v>
      </c>
      <c r="I5071" s="156">
        <v>0</v>
      </c>
      <c r="J5071" s="156">
        <v>0</v>
      </c>
    </row>
    <row r="5072" spans="1:10">
      <c r="A5072" s="81" t="s">
        <v>106</v>
      </c>
      <c r="B5072" s="81" t="s">
        <v>37</v>
      </c>
      <c r="C5072" s="151">
        <v>0.6875</v>
      </c>
      <c r="D5072" s="155">
        <v>0</v>
      </c>
      <c r="E5072" s="155">
        <v>0</v>
      </c>
      <c r="F5072" s="155">
        <v>0</v>
      </c>
      <c r="G5072" s="155">
        <v>0</v>
      </c>
      <c r="H5072" s="155">
        <v>0</v>
      </c>
      <c r="I5072" s="155">
        <v>0</v>
      </c>
      <c r="J5072" s="155">
        <v>0</v>
      </c>
    </row>
    <row r="5073" spans="1:10">
      <c r="A5073" s="81" t="s">
        <v>106</v>
      </c>
      <c r="B5073" s="81" t="s">
        <v>37</v>
      </c>
      <c r="C5073" s="151">
        <v>0.688194444444444</v>
      </c>
      <c r="D5073" s="155">
        <v>0</v>
      </c>
      <c r="E5073" s="155">
        <v>0</v>
      </c>
      <c r="F5073" s="155">
        <v>0</v>
      </c>
      <c r="G5073" s="155">
        <v>0</v>
      </c>
      <c r="H5073" s="155">
        <v>0</v>
      </c>
      <c r="I5073" s="155">
        <v>0</v>
      </c>
      <c r="J5073" s="155">
        <v>0</v>
      </c>
    </row>
    <row r="5074" spans="1:10">
      <c r="A5074" s="81" t="s">
        <v>106</v>
      </c>
      <c r="B5074" s="81" t="s">
        <v>37</v>
      </c>
      <c r="C5074" s="151">
        <v>0.68888888888888899</v>
      </c>
      <c r="D5074" s="155">
        <v>0</v>
      </c>
      <c r="E5074" s="155">
        <v>0</v>
      </c>
      <c r="F5074" s="155">
        <v>0</v>
      </c>
      <c r="G5074" s="155">
        <v>0</v>
      </c>
      <c r="H5074" s="155">
        <v>0</v>
      </c>
      <c r="I5074" s="155">
        <v>0</v>
      </c>
      <c r="J5074" s="155">
        <v>0</v>
      </c>
    </row>
    <row r="5075" spans="1:10">
      <c r="A5075" s="81" t="s">
        <v>106</v>
      </c>
      <c r="B5075" s="81" t="s">
        <v>37</v>
      </c>
      <c r="C5075" s="151">
        <v>0.68958333333333299</v>
      </c>
      <c r="D5075" s="155">
        <v>0</v>
      </c>
      <c r="E5075" s="155">
        <v>0</v>
      </c>
      <c r="F5075" s="155">
        <v>0</v>
      </c>
      <c r="G5075" s="155">
        <v>0</v>
      </c>
      <c r="H5075" s="155">
        <v>0</v>
      </c>
      <c r="I5075" s="155">
        <v>0</v>
      </c>
      <c r="J5075" s="155">
        <v>0</v>
      </c>
    </row>
    <row r="5076" spans="1:10">
      <c r="A5076" s="81" t="s">
        <v>106</v>
      </c>
      <c r="B5076" s="81" t="s">
        <v>37</v>
      </c>
      <c r="C5076" s="151">
        <v>0.69027777777777799</v>
      </c>
      <c r="D5076" s="155">
        <v>0</v>
      </c>
      <c r="E5076" s="155">
        <v>0</v>
      </c>
      <c r="F5076" s="155">
        <v>0</v>
      </c>
      <c r="G5076" s="155">
        <v>0</v>
      </c>
      <c r="H5076" s="155">
        <v>0</v>
      </c>
      <c r="I5076" s="155">
        <v>0</v>
      </c>
      <c r="J5076" s="155">
        <v>0</v>
      </c>
    </row>
    <row r="5077" spans="1:10">
      <c r="A5077" s="81" t="s">
        <v>106</v>
      </c>
      <c r="B5077" s="81" t="s">
        <v>37</v>
      </c>
      <c r="C5077" s="151">
        <v>0.69097222222222199</v>
      </c>
      <c r="D5077" s="155">
        <v>0</v>
      </c>
      <c r="E5077" s="155">
        <v>0</v>
      </c>
      <c r="F5077" s="155">
        <v>0</v>
      </c>
      <c r="G5077" s="155">
        <v>0</v>
      </c>
      <c r="H5077" s="155">
        <v>0</v>
      </c>
      <c r="I5077" s="155">
        <v>0</v>
      </c>
      <c r="J5077" s="155">
        <v>0</v>
      </c>
    </row>
    <row r="5078" spans="1:10">
      <c r="A5078" s="81" t="s">
        <v>106</v>
      </c>
      <c r="B5078" s="81" t="s">
        <v>37</v>
      </c>
      <c r="C5078" s="151">
        <v>0.69166666666666698</v>
      </c>
      <c r="D5078" s="155">
        <v>0</v>
      </c>
      <c r="E5078" s="155">
        <v>0</v>
      </c>
      <c r="F5078" s="155">
        <v>0</v>
      </c>
      <c r="G5078" s="155">
        <v>0</v>
      </c>
      <c r="H5078" s="155">
        <v>0</v>
      </c>
      <c r="I5078" s="155">
        <v>0</v>
      </c>
      <c r="J5078" s="155">
        <v>0</v>
      </c>
    </row>
    <row r="5079" spans="1:10">
      <c r="A5079" s="81" t="s">
        <v>106</v>
      </c>
      <c r="B5079" s="81" t="s">
        <v>37</v>
      </c>
      <c r="C5079" s="151">
        <v>0.69236111111111098</v>
      </c>
      <c r="D5079" s="155">
        <v>0</v>
      </c>
      <c r="E5079" s="155">
        <v>0</v>
      </c>
      <c r="F5079" s="155">
        <v>0</v>
      </c>
      <c r="G5079" s="155">
        <v>0</v>
      </c>
      <c r="H5079" s="155">
        <v>0</v>
      </c>
      <c r="I5079" s="155">
        <v>0</v>
      </c>
      <c r="J5079" s="155">
        <v>0</v>
      </c>
    </row>
    <row r="5080" spans="1:10">
      <c r="A5080" s="81" t="s">
        <v>106</v>
      </c>
      <c r="B5080" s="81" t="s">
        <v>37</v>
      </c>
      <c r="C5080" s="151">
        <v>0.69305555555555498</v>
      </c>
      <c r="D5080" s="155">
        <v>0</v>
      </c>
      <c r="E5080" s="155">
        <v>0</v>
      </c>
      <c r="F5080" s="155">
        <v>0</v>
      </c>
      <c r="G5080" s="155">
        <v>0</v>
      </c>
      <c r="H5080" s="155">
        <v>0</v>
      </c>
      <c r="I5080" s="155">
        <v>0</v>
      </c>
      <c r="J5080" s="155">
        <v>0</v>
      </c>
    </row>
    <row r="5081" spans="1:10">
      <c r="A5081" s="81" t="s">
        <v>106</v>
      </c>
      <c r="B5081" s="81" t="s">
        <v>37</v>
      </c>
      <c r="C5081" s="151">
        <v>0.69374999999999998</v>
      </c>
      <c r="D5081" s="155">
        <v>0</v>
      </c>
      <c r="E5081" s="155">
        <v>0</v>
      </c>
      <c r="F5081" s="155">
        <v>0</v>
      </c>
      <c r="G5081" s="155">
        <v>0</v>
      </c>
      <c r="H5081" s="155">
        <v>0</v>
      </c>
      <c r="I5081" s="155">
        <v>0</v>
      </c>
      <c r="J5081" s="155">
        <v>0</v>
      </c>
    </row>
    <row r="5082" spans="1:10">
      <c r="A5082" s="81" t="s">
        <v>106</v>
      </c>
      <c r="B5082" s="81" t="s">
        <v>37</v>
      </c>
      <c r="C5082" s="151">
        <v>0.69444444444444398</v>
      </c>
      <c r="D5082" s="155">
        <v>0</v>
      </c>
      <c r="E5082" s="155">
        <v>0</v>
      </c>
      <c r="F5082" s="155">
        <v>0</v>
      </c>
      <c r="G5082" s="155">
        <v>0</v>
      </c>
      <c r="H5082" s="155">
        <v>0</v>
      </c>
      <c r="I5082" s="155">
        <v>0</v>
      </c>
      <c r="J5082" s="155">
        <v>0</v>
      </c>
    </row>
    <row r="5083" spans="1:10">
      <c r="A5083" s="81" t="s">
        <v>106</v>
      </c>
      <c r="B5083" s="81" t="s">
        <v>37</v>
      </c>
      <c r="C5083" s="151">
        <v>0.69513888888888897</v>
      </c>
      <c r="D5083" s="155">
        <v>0</v>
      </c>
      <c r="E5083" s="155">
        <v>0</v>
      </c>
      <c r="F5083" s="155">
        <v>0</v>
      </c>
      <c r="G5083" s="155">
        <v>0</v>
      </c>
      <c r="H5083" s="155">
        <v>0</v>
      </c>
      <c r="I5083" s="155">
        <v>0</v>
      </c>
      <c r="J5083" s="155">
        <v>0</v>
      </c>
    </row>
    <row r="5084" spans="1:10">
      <c r="A5084" s="81" t="s">
        <v>106</v>
      </c>
      <c r="B5084" s="81" t="s">
        <v>37</v>
      </c>
      <c r="C5084" s="151">
        <v>0.69583333333333297</v>
      </c>
      <c r="D5084" s="155">
        <v>0</v>
      </c>
      <c r="E5084" s="155">
        <v>0</v>
      </c>
      <c r="F5084" s="155">
        <v>0</v>
      </c>
      <c r="G5084" s="155">
        <v>0</v>
      </c>
      <c r="H5084" s="155">
        <v>0</v>
      </c>
      <c r="I5084" s="155">
        <v>0</v>
      </c>
      <c r="J5084" s="155">
        <v>0</v>
      </c>
    </row>
    <row r="5085" spans="1:10">
      <c r="A5085" s="81" t="s">
        <v>106</v>
      </c>
      <c r="B5085" s="81" t="s">
        <v>37</v>
      </c>
      <c r="C5085" s="151">
        <v>0.69652777777777797</v>
      </c>
      <c r="D5085" s="155">
        <v>0</v>
      </c>
      <c r="E5085" s="155">
        <v>0</v>
      </c>
      <c r="F5085" s="155">
        <v>0</v>
      </c>
      <c r="G5085" s="155">
        <v>0</v>
      </c>
      <c r="H5085" s="155">
        <v>0</v>
      </c>
      <c r="I5085" s="155">
        <v>0</v>
      </c>
      <c r="J5085" s="155">
        <v>0</v>
      </c>
    </row>
    <row r="5086" spans="1:10" s="80" customFormat="1">
      <c r="A5086" s="84" t="s">
        <v>106</v>
      </c>
      <c r="B5086" s="84" t="s">
        <v>37</v>
      </c>
      <c r="C5086" s="153">
        <v>0.69722222222222197</v>
      </c>
      <c r="D5086" s="156">
        <v>0</v>
      </c>
      <c r="E5086" s="156">
        <v>0</v>
      </c>
      <c r="F5086" s="156">
        <v>0</v>
      </c>
      <c r="G5086" s="156">
        <v>0</v>
      </c>
      <c r="H5086" s="156">
        <v>0</v>
      </c>
      <c r="I5086" s="156">
        <v>0</v>
      </c>
      <c r="J5086" s="156">
        <v>0</v>
      </c>
    </row>
    <row r="5087" spans="1:10">
      <c r="A5087" s="81" t="s">
        <v>106</v>
      </c>
      <c r="B5087" s="81" t="s">
        <v>37</v>
      </c>
      <c r="C5087" s="151">
        <v>0.69791666666666696</v>
      </c>
      <c r="D5087" s="157">
        <v>0</v>
      </c>
      <c r="E5087" s="157">
        <v>0</v>
      </c>
      <c r="F5087" s="157">
        <v>0</v>
      </c>
      <c r="G5087" s="157">
        <v>0</v>
      </c>
      <c r="H5087" s="157">
        <v>0</v>
      </c>
      <c r="I5087" s="157">
        <v>0</v>
      </c>
      <c r="J5087" s="157">
        <v>0</v>
      </c>
    </row>
    <row r="5088" spans="1:10">
      <c r="A5088" s="81" t="s">
        <v>106</v>
      </c>
      <c r="B5088" s="81" t="s">
        <v>37</v>
      </c>
      <c r="C5088" s="151">
        <v>0.69861111111111096</v>
      </c>
      <c r="D5088" s="155">
        <v>0</v>
      </c>
      <c r="E5088" s="155">
        <v>0</v>
      </c>
      <c r="F5088" s="155">
        <v>0</v>
      </c>
      <c r="G5088" s="155">
        <v>0</v>
      </c>
      <c r="H5088" s="155">
        <v>0</v>
      </c>
      <c r="I5088" s="155">
        <v>0</v>
      </c>
      <c r="J5088" s="155">
        <v>0</v>
      </c>
    </row>
    <row r="5089" spans="1:10">
      <c r="A5089" s="81" t="s">
        <v>106</v>
      </c>
      <c r="B5089" s="81" t="s">
        <v>37</v>
      </c>
      <c r="C5089" s="151">
        <v>0.69930555555555496</v>
      </c>
      <c r="D5089" s="155">
        <v>0</v>
      </c>
      <c r="E5089" s="155">
        <v>0</v>
      </c>
      <c r="F5089" s="155">
        <v>0</v>
      </c>
      <c r="G5089" s="155">
        <v>0</v>
      </c>
      <c r="H5089" s="155">
        <v>0</v>
      </c>
      <c r="I5089" s="155">
        <v>0</v>
      </c>
      <c r="J5089" s="155">
        <v>0</v>
      </c>
    </row>
    <row r="5090" spans="1:10">
      <c r="A5090" s="81" t="s">
        <v>106</v>
      </c>
      <c r="B5090" s="81" t="s">
        <v>37</v>
      </c>
      <c r="C5090" s="151">
        <v>0.7</v>
      </c>
      <c r="D5090" s="155">
        <v>0</v>
      </c>
      <c r="E5090" s="155">
        <v>0</v>
      </c>
      <c r="F5090" s="155">
        <v>0</v>
      </c>
      <c r="G5090" s="155">
        <v>0</v>
      </c>
      <c r="H5090" s="155">
        <v>0</v>
      </c>
      <c r="I5090" s="155">
        <v>0</v>
      </c>
      <c r="J5090" s="155">
        <v>0</v>
      </c>
    </row>
    <row r="5091" spans="1:10">
      <c r="A5091" s="81" t="s">
        <v>106</v>
      </c>
      <c r="B5091" s="81" t="s">
        <v>37</v>
      </c>
      <c r="C5091" s="151">
        <v>0.70069444444444395</v>
      </c>
      <c r="D5091" s="155">
        <v>0</v>
      </c>
      <c r="E5091" s="155">
        <v>0</v>
      </c>
      <c r="F5091" s="155">
        <v>0</v>
      </c>
      <c r="G5091" s="155">
        <v>0</v>
      </c>
      <c r="H5091" s="155">
        <v>0</v>
      </c>
      <c r="I5091" s="155">
        <v>0</v>
      </c>
      <c r="J5091" s="155">
        <v>0</v>
      </c>
    </row>
    <row r="5092" spans="1:10">
      <c r="A5092" s="81" t="s">
        <v>106</v>
      </c>
      <c r="B5092" s="81" t="s">
        <v>37</v>
      </c>
      <c r="C5092" s="151">
        <v>0.70138888888888895</v>
      </c>
      <c r="D5092" s="155">
        <v>0</v>
      </c>
      <c r="E5092" s="155">
        <v>0</v>
      </c>
      <c r="F5092" s="155">
        <v>0</v>
      </c>
      <c r="G5092" s="155">
        <v>0</v>
      </c>
      <c r="H5092" s="155">
        <v>0</v>
      </c>
      <c r="I5092" s="155">
        <v>0</v>
      </c>
      <c r="J5092" s="155">
        <v>0</v>
      </c>
    </row>
    <row r="5093" spans="1:10">
      <c r="A5093" s="81" t="s">
        <v>106</v>
      </c>
      <c r="B5093" s="81" t="s">
        <v>37</v>
      </c>
      <c r="C5093" s="151">
        <v>0.70208333333333295</v>
      </c>
      <c r="D5093" s="155">
        <v>0</v>
      </c>
      <c r="E5093" s="155">
        <v>0</v>
      </c>
      <c r="F5093" s="155">
        <v>0</v>
      </c>
      <c r="G5093" s="155">
        <v>0</v>
      </c>
      <c r="H5093" s="155">
        <v>0</v>
      </c>
      <c r="I5093" s="155">
        <v>0</v>
      </c>
      <c r="J5093" s="155">
        <v>0</v>
      </c>
    </row>
    <row r="5094" spans="1:10">
      <c r="A5094" s="81" t="s">
        <v>106</v>
      </c>
      <c r="B5094" s="81" t="s">
        <v>37</v>
      </c>
      <c r="C5094" s="151">
        <v>0.70277777777777795</v>
      </c>
      <c r="D5094" s="155">
        <v>0</v>
      </c>
      <c r="E5094" s="155">
        <v>0</v>
      </c>
      <c r="F5094" s="155">
        <v>0</v>
      </c>
      <c r="G5094" s="155">
        <v>0</v>
      </c>
      <c r="H5094" s="155">
        <v>0</v>
      </c>
      <c r="I5094" s="155">
        <v>0</v>
      </c>
      <c r="J5094" s="155">
        <v>0</v>
      </c>
    </row>
    <row r="5095" spans="1:10">
      <c r="A5095" s="81" t="s">
        <v>106</v>
      </c>
      <c r="B5095" s="81" t="s">
        <v>37</v>
      </c>
      <c r="C5095" s="151">
        <v>0.70347222222222205</v>
      </c>
      <c r="D5095" s="155">
        <v>0</v>
      </c>
      <c r="E5095" s="155">
        <v>0</v>
      </c>
      <c r="F5095" s="155">
        <v>0</v>
      </c>
      <c r="G5095" s="155">
        <v>0</v>
      </c>
      <c r="H5095" s="155">
        <v>0</v>
      </c>
      <c r="I5095" s="155">
        <v>0</v>
      </c>
      <c r="J5095" s="155">
        <v>0</v>
      </c>
    </row>
    <row r="5096" spans="1:10">
      <c r="A5096" s="81" t="s">
        <v>106</v>
      </c>
      <c r="B5096" s="81" t="s">
        <v>37</v>
      </c>
      <c r="C5096" s="151">
        <v>0.70416666666666605</v>
      </c>
      <c r="D5096" s="155">
        <v>0</v>
      </c>
      <c r="E5096" s="155">
        <v>0</v>
      </c>
      <c r="F5096" s="155">
        <v>0</v>
      </c>
      <c r="G5096" s="155">
        <v>0</v>
      </c>
      <c r="H5096" s="155">
        <v>0</v>
      </c>
      <c r="I5096" s="155">
        <v>0</v>
      </c>
      <c r="J5096" s="155">
        <v>0</v>
      </c>
    </row>
    <row r="5097" spans="1:10">
      <c r="A5097" s="81" t="s">
        <v>106</v>
      </c>
      <c r="B5097" s="81" t="s">
        <v>37</v>
      </c>
      <c r="C5097" s="151">
        <v>0.70486111111111105</v>
      </c>
      <c r="D5097" s="155">
        <v>0</v>
      </c>
      <c r="E5097" s="155">
        <v>0</v>
      </c>
      <c r="F5097" s="155">
        <v>0</v>
      </c>
      <c r="G5097" s="155">
        <v>0</v>
      </c>
      <c r="H5097" s="155">
        <v>0</v>
      </c>
      <c r="I5097" s="155">
        <v>0</v>
      </c>
      <c r="J5097" s="155">
        <v>0</v>
      </c>
    </row>
    <row r="5098" spans="1:10">
      <c r="A5098" s="81" t="s">
        <v>106</v>
      </c>
      <c r="B5098" s="81" t="s">
        <v>37</v>
      </c>
      <c r="C5098" s="151">
        <v>0.70555555555555505</v>
      </c>
      <c r="D5098" s="155">
        <v>0</v>
      </c>
      <c r="E5098" s="155">
        <v>0</v>
      </c>
      <c r="F5098" s="155">
        <v>0</v>
      </c>
      <c r="G5098" s="155">
        <v>0</v>
      </c>
      <c r="H5098" s="155">
        <v>0</v>
      </c>
      <c r="I5098" s="155">
        <v>0</v>
      </c>
      <c r="J5098" s="155">
        <v>0</v>
      </c>
    </row>
    <row r="5099" spans="1:10">
      <c r="A5099" s="81" t="s">
        <v>106</v>
      </c>
      <c r="B5099" s="81" t="s">
        <v>37</v>
      </c>
      <c r="C5099" s="151">
        <v>0.70625000000000004</v>
      </c>
      <c r="D5099" s="155">
        <v>0</v>
      </c>
      <c r="E5099" s="155">
        <v>0</v>
      </c>
      <c r="F5099" s="155">
        <v>0</v>
      </c>
      <c r="G5099" s="155">
        <v>0</v>
      </c>
      <c r="H5099" s="155">
        <v>0</v>
      </c>
      <c r="I5099" s="155">
        <v>0</v>
      </c>
      <c r="J5099" s="155">
        <v>0</v>
      </c>
    </row>
    <row r="5100" spans="1:10">
      <c r="A5100" s="81" t="s">
        <v>106</v>
      </c>
      <c r="B5100" s="81" t="s">
        <v>37</v>
      </c>
      <c r="C5100" s="151">
        <v>0.70694444444444404</v>
      </c>
      <c r="D5100" s="155">
        <v>0</v>
      </c>
      <c r="E5100" s="155">
        <v>0</v>
      </c>
      <c r="F5100" s="155">
        <v>0</v>
      </c>
      <c r="G5100" s="155">
        <v>0</v>
      </c>
      <c r="H5100" s="155">
        <v>0</v>
      </c>
      <c r="I5100" s="155">
        <v>0</v>
      </c>
      <c r="J5100" s="155">
        <v>0</v>
      </c>
    </row>
    <row r="5101" spans="1:10" s="80" customFormat="1">
      <c r="A5101" s="84" t="s">
        <v>106</v>
      </c>
      <c r="B5101" s="84" t="s">
        <v>37</v>
      </c>
      <c r="C5101" s="153">
        <v>0.70763888888888904</v>
      </c>
      <c r="D5101" s="156">
        <v>0</v>
      </c>
      <c r="E5101" s="156">
        <v>0</v>
      </c>
      <c r="F5101" s="156">
        <v>0</v>
      </c>
      <c r="G5101" s="156">
        <v>0</v>
      </c>
      <c r="H5101" s="156">
        <v>0</v>
      </c>
      <c r="I5101" s="156">
        <v>0</v>
      </c>
      <c r="J5101" s="156">
        <v>0</v>
      </c>
    </row>
    <row r="5102" spans="1:10">
      <c r="A5102" s="81" t="s">
        <v>106</v>
      </c>
      <c r="B5102" s="81" t="s">
        <v>37</v>
      </c>
      <c r="C5102" s="151">
        <v>0.70833333333333304</v>
      </c>
      <c r="D5102" s="157">
        <v>0</v>
      </c>
      <c r="E5102" s="157">
        <v>0</v>
      </c>
      <c r="F5102" s="157">
        <v>0</v>
      </c>
      <c r="G5102" s="157">
        <v>0</v>
      </c>
      <c r="H5102" s="157">
        <v>0</v>
      </c>
      <c r="I5102" s="157">
        <v>0</v>
      </c>
      <c r="J5102" s="157">
        <v>0</v>
      </c>
    </row>
    <row r="5103" spans="1:10">
      <c r="A5103" s="81" t="s">
        <v>106</v>
      </c>
      <c r="B5103" s="81" t="s">
        <v>37</v>
      </c>
      <c r="C5103" s="151">
        <v>0.70902777777777803</v>
      </c>
      <c r="D5103" s="155">
        <v>0</v>
      </c>
      <c r="E5103" s="155">
        <v>0</v>
      </c>
      <c r="F5103" s="155">
        <v>0</v>
      </c>
      <c r="G5103" s="155">
        <v>0</v>
      </c>
      <c r="H5103" s="155">
        <v>0</v>
      </c>
      <c r="I5103" s="155">
        <v>0</v>
      </c>
      <c r="J5103" s="155">
        <v>0</v>
      </c>
    </row>
    <row r="5104" spans="1:10">
      <c r="A5104" s="81" t="s">
        <v>106</v>
      </c>
      <c r="B5104" s="81" t="s">
        <v>37</v>
      </c>
      <c r="C5104" s="151">
        <v>0.70972222222222203</v>
      </c>
      <c r="D5104" s="155">
        <v>0</v>
      </c>
      <c r="E5104" s="155">
        <v>0</v>
      </c>
      <c r="F5104" s="155">
        <v>0</v>
      </c>
      <c r="G5104" s="155">
        <v>0</v>
      </c>
      <c r="H5104" s="155">
        <v>0</v>
      </c>
      <c r="I5104" s="155">
        <v>0</v>
      </c>
      <c r="J5104" s="155">
        <v>0</v>
      </c>
    </row>
    <row r="5105" spans="1:10">
      <c r="A5105" s="81" t="s">
        <v>106</v>
      </c>
      <c r="B5105" s="81" t="s">
        <v>37</v>
      </c>
      <c r="C5105" s="151">
        <v>0.71041666666666603</v>
      </c>
      <c r="D5105" s="155">
        <v>0</v>
      </c>
      <c r="E5105" s="155">
        <v>0</v>
      </c>
      <c r="F5105" s="155">
        <v>0</v>
      </c>
      <c r="G5105" s="155">
        <v>0</v>
      </c>
      <c r="H5105" s="155">
        <v>0</v>
      </c>
      <c r="I5105" s="155">
        <v>0</v>
      </c>
      <c r="J5105" s="155">
        <v>0</v>
      </c>
    </row>
    <row r="5106" spans="1:10">
      <c r="A5106" s="81" t="s">
        <v>106</v>
      </c>
      <c r="B5106" s="81" t="s">
        <v>37</v>
      </c>
      <c r="C5106" s="151">
        <v>0.71111111111111103</v>
      </c>
      <c r="D5106" s="155">
        <v>0</v>
      </c>
      <c r="E5106" s="155">
        <v>0</v>
      </c>
      <c r="F5106" s="155">
        <v>0</v>
      </c>
      <c r="G5106" s="155">
        <v>0</v>
      </c>
      <c r="H5106" s="155">
        <v>0</v>
      </c>
      <c r="I5106" s="155">
        <v>0</v>
      </c>
      <c r="J5106" s="155">
        <v>0</v>
      </c>
    </row>
    <row r="5107" spans="1:10">
      <c r="A5107" s="81" t="s">
        <v>106</v>
      </c>
      <c r="B5107" s="81" t="s">
        <v>37</v>
      </c>
      <c r="C5107" s="151">
        <v>0.71180555555555503</v>
      </c>
      <c r="D5107" s="155">
        <v>0</v>
      </c>
      <c r="E5107" s="155">
        <v>0</v>
      </c>
      <c r="F5107" s="155">
        <v>0</v>
      </c>
      <c r="G5107" s="155">
        <v>0</v>
      </c>
      <c r="H5107" s="155">
        <v>0</v>
      </c>
      <c r="I5107" s="155">
        <v>0</v>
      </c>
      <c r="J5107" s="155">
        <v>0</v>
      </c>
    </row>
    <row r="5108" spans="1:10">
      <c r="A5108" s="81" t="s">
        <v>106</v>
      </c>
      <c r="B5108" s="81" t="s">
        <v>37</v>
      </c>
      <c r="C5108" s="151">
        <v>0.71250000000000002</v>
      </c>
      <c r="D5108" s="155">
        <v>0</v>
      </c>
      <c r="E5108" s="155">
        <v>0</v>
      </c>
      <c r="F5108" s="155">
        <v>0</v>
      </c>
      <c r="G5108" s="155">
        <v>0</v>
      </c>
      <c r="H5108" s="155">
        <v>0</v>
      </c>
      <c r="I5108" s="155">
        <v>0</v>
      </c>
      <c r="J5108" s="155">
        <v>0</v>
      </c>
    </row>
    <row r="5109" spans="1:10">
      <c r="A5109" s="81" t="s">
        <v>106</v>
      </c>
      <c r="B5109" s="81" t="s">
        <v>37</v>
      </c>
      <c r="C5109" s="151">
        <v>0.71319444444444402</v>
      </c>
      <c r="D5109" s="155">
        <v>0</v>
      </c>
      <c r="E5109" s="155">
        <v>0</v>
      </c>
      <c r="F5109" s="155">
        <v>0</v>
      </c>
      <c r="G5109" s="155">
        <v>0</v>
      </c>
      <c r="H5109" s="155">
        <v>0</v>
      </c>
      <c r="I5109" s="155">
        <v>0</v>
      </c>
      <c r="J5109" s="155">
        <v>0</v>
      </c>
    </row>
    <row r="5110" spans="1:10">
      <c r="A5110" s="81" t="s">
        <v>106</v>
      </c>
      <c r="B5110" s="81" t="s">
        <v>37</v>
      </c>
      <c r="C5110" s="151">
        <v>0.71388888888888902</v>
      </c>
      <c r="D5110" s="155">
        <v>0</v>
      </c>
      <c r="E5110" s="155">
        <v>0</v>
      </c>
      <c r="F5110" s="155">
        <v>0</v>
      </c>
      <c r="G5110" s="155">
        <v>0</v>
      </c>
      <c r="H5110" s="155">
        <v>0</v>
      </c>
      <c r="I5110" s="155">
        <v>0</v>
      </c>
      <c r="J5110" s="155">
        <v>0</v>
      </c>
    </row>
    <row r="5111" spans="1:10">
      <c r="A5111" s="81" t="s">
        <v>106</v>
      </c>
      <c r="B5111" s="81" t="s">
        <v>37</v>
      </c>
      <c r="C5111" s="151">
        <v>0.71458333333333302</v>
      </c>
      <c r="D5111" s="155">
        <v>0</v>
      </c>
      <c r="E5111" s="155">
        <v>0</v>
      </c>
      <c r="F5111" s="155">
        <v>0</v>
      </c>
      <c r="G5111" s="155">
        <v>0</v>
      </c>
      <c r="H5111" s="155">
        <v>0</v>
      </c>
      <c r="I5111" s="155">
        <v>0</v>
      </c>
      <c r="J5111" s="155">
        <v>0</v>
      </c>
    </row>
    <row r="5112" spans="1:10">
      <c r="A5112" s="81" t="s">
        <v>106</v>
      </c>
      <c r="B5112" s="81" t="s">
        <v>37</v>
      </c>
      <c r="C5112" s="151">
        <v>0.71527777777777801</v>
      </c>
      <c r="D5112" s="155">
        <v>0</v>
      </c>
      <c r="E5112" s="155">
        <v>0</v>
      </c>
      <c r="F5112" s="155">
        <v>0</v>
      </c>
      <c r="G5112" s="155">
        <v>0</v>
      </c>
      <c r="H5112" s="155">
        <v>0</v>
      </c>
      <c r="I5112" s="155">
        <v>0</v>
      </c>
      <c r="J5112" s="155">
        <v>0</v>
      </c>
    </row>
    <row r="5113" spans="1:10">
      <c r="A5113" s="81" t="s">
        <v>106</v>
      </c>
      <c r="B5113" s="81" t="s">
        <v>37</v>
      </c>
      <c r="C5113" s="151">
        <v>0.71597222222222201</v>
      </c>
      <c r="D5113" s="155">
        <v>0</v>
      </c>
      <c r="E5113" s="155">
        <v>0</v>
      </c>
      <c r="F5113" s="155">
        <v>0</v>
      </c>
      <c r="G5113" s="155">
        <v>0</v>
      </c>
      <c r="H5113" s="155">
        <v>0</v>
      </c>
      <c r="I5113" s="155">
        <v>0</v>
      </c>
      <c r="J5113" s="155">
        <v>0</v>
      </c>
    </row>
    <row r="5114" spans="1:10">
      <c r="A5114" s="81" t="s">
        <v>106</v>
      </c>
      <c r="B5114" s="81" t="s">
        <v>37</v>
      </c>
      <c r="C5114" s="151">
        <v>0.71666666666666601</v>
      </c>
      <c r="D5114" s="155">
        <v>0</v>
      </c>
      <c r="E5114" s="155">
        <v>0</v>
      </c>
      <c r="F5114" s="155">
        <v>0</v>
      </c>
      <c r="G5114" s="155">
        <v>0</v>
      </c>
      <c r="H5114" s="155">
        <v>0</v>
      </c>
      <c r="I5114" s="155">
        <v>0</v>
      </c>
      <c r="J5114" s="155">
        <v>0</v>
      </c>
    </row>
    <row r="5115" spans="1:10">
      <c r="A5115" s="81" t="s">
        <v>106</v>
      </c>
      <c r="B5115" s="81" t="s">
        <v>37</v>
      </c>
      <c r="C5115" s="151">
        <v>0.71736111111111101</v>
      </c>
      <c r="D5115" s="155">
        <v>0</v>
      </c>
      <c r="E5115" s="155">
        <v>0</v>
      </c>
      <c r="F5115" s="155">
        <v>0</v>
      </c>
      <c r="G5115" s="155">
        <v>0</v>
      </c>
      <c r="H5115" s="155">
        <v>0</v>
      </c>
      <c r="I5115" s="155">
        <v>0</v>
      </c>
      <c r="J5115" s="155">
        <v>0</v>
      </c>
    </row>
    <row r="5116" spans="1:10" s="80" customFormat="1">
      <c r="A5116" s="84" t="s">
        <v>106</v>
      </c>
      <c r="B5116" s="84" t="s">
        <v>37</v>
      </c>
      <c r="C5116" s="153">
        <v>0.718055555555555</v>
      </c>
      <c r="D5116" s="156">
        <v>0</v>
      </c>
      <c r="E5116" s="156">
        <v>0</v>
      </c>
      <c r="F5116" s="156">
        <v>0</v>
      </c>
      <c r="G5116" s="156">
        <v>0</v>
      </c>
      <c r="H5116" s="156">
        <v>0</v>
      </c>
      <c r="I5116" s="156">
        <v>0</v>
      </c>
      <c r="J5116" s="156">
        <v>0</v>
      </c>
    </row>
    <row r="5117" spans="1:10">
      <c r="A5117" s="81" t="s">
        <v>106</v>
      </c>
      <c r="B5117" s="81" t="s">
        <v>37</v>
      </c>
      <c r="C5117" s="151">
        <v>0.71875</v>
      </c>
      <c r="D5117" s="157">
        <v>0</v>
      </c>
      <c r="E5117" s="157">
        <v>0</v>
      </c>
      <c r="F5117" s="157">
        <v>0</v>
      </c>
      <c r="G5117" s="157">
        <v>0</v>
      </c>
      <c r="H5117" s="157">
        <v>0</v>
      </c>
      <c r="I5117" s="157">
        <v>0</v>
      </c>
      <c r="J5117" s="157">
        <v>0</v>
      </c>
    </row>
    <row r="5118" spans="1:10">
      <c r="A5118" s="81" t="s">
        <v>106</v>
      </c>
      <c r="B5118" s="81" t="s">
        <v>37</v>
      </c>
      <c r="C5118" s="151">
        <v>0.719444444444444</v>
      </c>
      <c r="D5118" s="155">
        <v>0</v>
      </c>
      <c r="E5118" s="155">
        <v>0</v>
      </c>
      <c r="F5118" s="155">
        <v>0</v>
      </c>
      <c r="G5118" s="155">
        <v>0</v>
      </c>
      <c r="H5118" s="155">
        <v>0</v>
      </c>
      <c r="I5118" s="155">
        <v>0</v>
      </c>
      <c r="J5118" s="155">
        <v>0</v>
      </c>
    </row>
    <row r="5119" spans="1:10">
      <c r="A5119" s="81" t="s">
        <v>106</v>
      </c>
      <c r="B5119" s="81" t="s">
        <v>37</v>
      </c>
      <c r="C5119" s="151">
        <v>0.72013888888888899</v>
      </c>
      <c r="D5119" s="155">
        <v>0</v>
      </c>
      <c r="E5119" s="155">
        <v>0</v>
      </c>
      <c r="F5119" s="155">
        <v>0</v>
      </c>
      <c r="G5119" s="155">
        <v>0</v>
      </c>
      <c r="H5119" s="155">
        <v>0</v>
      </c>
      <c r="I5119" s="155">
        <v>0</v>
      </c>
      <c r="J5119" s="155">
        <v>0</v>
      </c>
    </row>
    <row r="5120" spans="1:10">
      <c r="A5120" s="81" t="s">
        <v>106</v>
      </c>
      <c r="B5120" s="81" t="s">
        <v>37</v>
      </c>
      <c r="C5120" s="151">
        <v>0.72083333333333299</v>
      </c>
      <c r="D5120" s="155">
        <v>0</v>
      </c>
      <c r="E5120" s="155">
        <v>0</v>
      </c>
      <c r="F5120" s="155">
        <v>0</v>
      </c>
      <c r="G5120" s="155">
        <v>0</v>
      </c>
      <c r="H5120" s="155">
        <v>0</v>
      </c>
      <c r="I5120" s="155">
        <v>0</v>
      </c>
      <c r="J5120" s="155">
        <v>0</v>
      </c>
    </row>
    <row r="5121" spans="1:10">
      <c r="A5121" s="81" t="s">
        <v>106</v>
      </c>
      <c r="B5121" s="81" t="s">
        <v>37</v>
      </c>
      <c r="C5121" s="151">
        <v>0.72152777777777799</v>
      </c>
      <c r="D5121" s="155">
        <v>0</v>
      </c>
      <c r="E5121" s="155">
        <v>0</v>
      </c>
      <c r="F5121" s="155">
        <v>0</v>
      </c>
      <c r="G5121" s="155">
        <v>0</v>
      </c>
      <c r="H5121" s="155">
        <v>0</v>
      </c>
      <c r="I5121" s="155">
        <v>0</v>
      </c>
      <c r="J5121" s="155">
        <v>0</v>
      </c>
    </row>
    <row r="5122" spans="1:10">
      <c r="A5122" s="81" t="s">
        <v>106</v>
      </c>
      <c r="B5122" s="81" t="s">
        <v>37</v>
      </c>
      <c r="C5122" s="151">
        <v>0.72222222222222199</v>
      </c>
      <c r="D5122" s="155">
        <v>0</v>
      </c>
      <c r="E5122" s="155">
        <v>0</v>
      </c>
      <c r="F5122" s="155">
        <v>0</v>
      </c>
      <c r="G5122" s="155">
        <v>0</v>
      </c>
      <c r="H5122" s="155">
        <v>0</v>
      </c>
      <c r="I5122" s="155">
        <v>0</v>
      </c>
      <c r="J5122" s="155">
        <v>0</v>
      </c>
    </row>
    <row r="5123" spans="1:10">
      <c r="A5123" s="81" t="s">
        <v>106</v>
      </c>
      <c r="B5123" s="81" t="s">
        <v>37</v>
      </c>
      <c r="C5123" s="151">
        <v>0.72291666666666599</v>
      </c>
      <c r="D5123" s="155">
        <v>0</v>
      </c>
      <c r="E5123" s="155">
        <v>0</v>
      </c>
      <c r="F5123" s="155">
        <v>0</v>
      </c>
      <c r="G5123" s="155">
        <v>0</v>
      </c>
      <c r="H5123" s="155">
        <v>0</v>
      </c>
      <c r="I5123" s="155">
        <v>0</v>
      </c>
      <c r="J5123" s="155">
        <v>0</v>
      </c>
    </row>
    <row r="5124" spans="1:10">
      <c r="A5124" s="81" t="s">
        <v>106</v>
      </c>
      <c r="B5124" s="81" t="s">
        <v>37</v>
      </c>
      <c r="C5124" s="151">
        <v>0.72361111111111098</v>
      </c>
      <c r="D5124" s="155">
        <v>0</v>
      </c>
      <c r="E5124" s="155">
        <v>0</v>
      </c>
      <c r="F5124" s="155">
        <v>0</v>
      </c>
      <c r="G5124" s="155">
        <v>0</v>
      </c>
      <c r="H5124" s="155">
        <v>0</v>
      </c>
      <c r="I5124" s="155">
        <v>0</v>
      </c>
      <c r="J5124" s="155">
        <v>0</v>
      </c>
    </row>
    <row r="5125" spans="1:10">
      <c r="A5125" s="81" t="s">
        <v>106</v>
      </c>
      <c r="B5125" s="81" t="s">
        <v>37</v>
      </c>
      <c r="C5125" s="151">
        <v>0.72430555555555498</v>
      </c>
      <c r="D5125" s="155">
        <v>0</v>
      </c>
      <c r="E5125" s="155">
        <v>0</v>
      </c>
      <c r="F5125" s="155">
        <v>0</v>
      </c>
      <c r="G5125" s="155">
        <v>0</v>
      </c>
      <c r="H5125" s="155">
        <v>0</v>
      </c>
      <c r="I5125" s="155">
        <v>0</v>
      </c>
      <c r="J5125" s="155">
        <v>0</v>
      </c>
    </row>
    <row r="5126" spans="1:10">
      <c r="A5126" s="81" t="s">
        <v>106</v>
      </c>
      <c r="B5126" s="81" t="s">
        <v>37</v>
      </c>
      <c r="C5126" s="151">
        <v>0.72499999999999998</v>
      </c>
      <c r="D5126" s="155">
        <v>0</v>
      </c>
      <c r="E5126" s="155">
        <v>0</v>
      </c>
      <c r="F5126" s="155">
        <v>0</v>
      </c>
      <c r="G5126" s="155">
        <v>0</v>
      </c>
      <c r="H5126" s="155">
        <v>0</v>
      </c>
      <c r="I5126" s="155">
        <v>0</v>
      </c>
      <c r="J5126" s="155">
        <v>0</v>
      </c>
    </row>
    <row r="5127" spans="1:10">
      <c r="A5127" s="81" t="s">
        <v>106</v>
      </c>
      <c r="B5127" s="81" t="s">
        <v>37</v>
      </c>
      <c r="C5127" s="151">
        <v>0.72569444444444398</v>
      </c>
      <c r="D5127" s="155">
        <v>0</v>
      </c>
      <c r="E5127" s="155">
        <v>0</v>
      </c>
      <c r="F5127" s="155">
        <v>0</v>
      </c>
      <c r="G5127" s="155">
        <v>0</v>
      </c>
      <c r="H5127" s="155">
        <v>0</v>
      </c>
      <c r="I5127" s="155">
        <v>0</v>
      </c>
      <c r="J5127" s="155">
        <v>0</v>
      </c>
    </row>
    <row r="5128" spans="1:10">
      <c r="A5128" s="81" t="s">
        <v>106</v>
      </c>
      <c r="B5128" s="81" t="s">
        <v>37</v>
      </c>
      <c r="C5128" s="151">
        <v>0.72638888888888897</v>
      </c>
      <c r="D5128" s="155">
        <v>0</v>
      </c>
      <c r="E5128" s="155">
        <v>0</v>
      </c>
      <c r="F5128" s="155">
        <v>0</v>
      </c>
      <c r="G5128" s="155">
        <v>0</v>
      </c>
      <c r="H5128" s="155">
        <v>0</v>
      </c>
      <c r="I5128" s="155">
        <v>0</v>
      </c>
      <c r="J5128" s="155">
        <v>0</v>
      </c>
    </row>
    <row r="5129" spans="1:10">
      <c r="A5129" s="81" t="s">
        <v>106</v>
      </c>
      <c r="B5129" s="81" t="s">
        <v>37</v>
      </c>
      <c r="C5129" s="151">
        <v>0.72708333333333297</v>
      </c>
      <c r="D5129" s="155">
        <v>0</v>
      </c>
      <c r="E5129" s="155">
        <v>0</v>
      </c>
      <c r="F5129" s="155">
        <v>0</v>
      </c>
      <c r="G5129" s="155">
        <v>0</v>
      </c>
      <c r="H5129" s="155">
        <v>0</v>
      </c>
      <c r="I5129" s="155">
        <v>0</v>
      </c>
      <c r="J5129" s="155">
        <v>0</v>
      </c>
    </row>
    <row r="5130" spans="1:10">
      <c r="A5130" s="81" t="s">
        <v>106</v>
      </c>
      <c r="B5130" s="81" t="s">
        <v>37</v>
      </c>
      <c r="C5130" s="151">
        <v>0.72777777777777797</v>
      </c>
      <c r="D5130" s="155">
        <v>0</v>
      </c>
      <c r="E5130" s="155">
        <v>0</v>
      </c>
      <c r="F5130" s="155">
        <v>0</v>
      </c>
      <c r="G5130" s="155">
        <v>0</v>
      </c>
      <c r="H5130" s="155">
        <v>0</v>
      </c>
      <c r="I5130" s="155">
        <v>0</v>
      </c>
      <c r="J5130" s="155">
        <v>0</v>
      </c>
    </row>
    <row r="5131" spans="1:10" s="80" customFormat="1">
      <c r="A5131" s="84" t="s">
        <v>106</v>
      </c>
      <c r="B5131" s="84" t="s">
        <v>37</v>
      </c>
      <c r="C5131" s="153">
        <v>0.72847222222222197</v>
      </c>
      <c r="D5131" s="156">
        <v>0</v>
      </c>
      <c r="E5131" s="156">
        <v>0</v>
      </c>
      <c r="F5131" s="156">
        <v>0</v>
      </c>
      <c r="G5131" s="156">
        <v>0</v>
      </c>
      <c r="H5131" s="156">
        <v>0</v>
      </c>
      <c r="I5131" s="156">
        <v>0</v>
      </c>
      <c r="J5131" s="156">
        <v>0</v>
      </c>
    </row>
    <row r="5132" spans="1:10">
      <c r="A5132" s="81" t="s">
        <v>106</v>
      </c>
      <c r="B5132" s="81" t="s">
        <v>37</v>
      </c>
      <c r="C5132" s="151">
        <v>0.72916666666666596</v>
      </c>
      <c r="D5132" s="157">
        <v>0</v>
      </c>
      <c r="E5132" s="157">
        <v>0</v>
      </c>
      <c r="F5132" s="157">
        <v>0</v>
      </c>
      <c r="G5132" s="157">
        <v>0</v>
      </c>
      <c r="H5132" s="157">
        <v>0</v>
      </c>
      <c r="I5132" s="157">
        <v>0</v>
      </c>
      <c r="J5132" s="157">
        <v>0</v>
      </c>
    </row>
    <row r="5133" spans="1:10">
      <c r="A5133" s="81" t="s">
        <v>106</v>
      </c>
      <c r="B5133" s="81" t="s">
        <v>37</v>
      </c>
      <c r="C5133" s="151">
        <v>0.72986111111111096</v>
      </c>
      <c r="D5133" s="155">
        <v>0</v>
      </c>
      <c r="E5133" s="155">
        <v>0</v>
      </c>
      <c r="F5133" s="155">
        <v>0</v>
      </c>
      <c r="G5133" s="155">
        <v>0</v>
      </c>
      <c r="H5133" s="155">
        <v>0</v>
      </c>
      <c r="I5133" s="155">
        <v>0</v>
      </c>
      <c r="J5133" s="155">
        <v>0</v>
      </c>
    </row>
    <row r="5134" spans="1:10">
      <c r="A5134" s="81" t="s">
        <v>106</v>
      </c>
      <c r="B5134" s="81" t="s">
        <v>37</v>
      </c>
      <c r="C5134" s="151">
        <v>0.73055555555555496</v>
      </c>
      <c r="D5134" s="155">
        <v>0</v>
      </c>
      <c r="E5134" s="155">
        <v>0</v>
      </c>
      <c r="F5134" s="155">
        <v>0</v>
      </c>
      <c r="G5134" s="155">
        <v>0</v>
      </c>
      <c r="H5134" s="155">
        <v>0</v>
      </c>
      <c r="I5134" s="155">
        <v>0</v>
      </c>
      <c r="J5134" s="155">
        <v>0</v>
      </c>
    </row>
    <row r="5135" spans="1:10">
      <c r="A5135" s="81" t="s">
        <v>106</v>
      </c>
      <c r="B5135" s="81" t="s">
        <v>37</v>
      </c>
      <c r="C5135" s="151">
        <v>0.73124999999999996</v>
      </c>
      <c r="D5135" s="155">
        <v>0</v>
      </c>
      <c r="E5135" s="155">
        <v>0</v>
      </c>
      <c r="F5135" s="155">
        <v>0</v>
      </c>
      <c r="G5135" s="155">
        <v>0</v>
      </c>
      <c r="H5135" s="155">
        <v>0</v>
      </c>
      <c r="I5135" s="155">
        <v>0</v>
      </c>
      <c r="J5135" s="155">
        <v>0</v>
      </c>
    </row>
    <row r="5136" spans="1:10">
      <c r="A5136" s="81" t="s">
        <v>106</v>
      </c>
      <c r="B5136" s="81" t="s">
        <v>37</v>
      </c>
      <c r="C5136" s="151">
        <v>0.73194444444444395</v>
      </c>
      <c r="D5136" s="155">
        <v>0</v>
      </c>
      <c r="E5136" s="155">
        <v>0</v>
      </c>
      <c r="F5136" s="155">
        <v>0</v>
      </c>
      <c r="G5136" s="155">
        <v>0</v>
      </c>
      <c r="H5136" s="155">
        <v>0</v>
      </c>
      <c r="I5136" s="155">
        <v>0</v>
      </c>
      <c r="J5136" s="155">
        <v>0</v>
      </c>
    </row>
    <row r="5137" spans="1:10">
      <c r="A5137" s="81" t="s">
        <v>106</v>
      </c>
      <c r="B5137" s="81" t="s">
        <v>37</v>
      </c>
      <c r="C5137" s="151">
        <v>0.73263888888888895</v>
      </c>
      <c r="D5137" s="155">
        <v>0</v>
      </c>
      <c r="E5137" s="155">
        <v>0</v>
      </c>
      <c r="F5137" s="155">
        <v>0</v>
      </c>
      <c r="G5137" s="155">
        <v>0</v>
      </c>
      <c r="H5137" s="155">
        <v>0</v>
      </c>
      <c r="I5137" s="155">
        <v>0</v>
      </c>
      <c r="J5137" s="155">
        <v>0</v>
      </c>
    </row>
    <row r="5138" spans="1:10">
      <c r="A5138" s="81" t="s">
        <v>106</v>
      </c>
      <c r="B5138" s="81" t="s">
        <v>37</v>
      </c>
      <c r="C5138" s="151">
        <v>0.73333333333333295</v>
      </c>
      <c r="D5138" s="155">
        <v>0</v>
      </c>
      <c r="E5138" s="155">
        <v>0</v>
      </c>
      <c r="F5138" s="155">
        <v>0</v>
      </c>
      <c r="G5138" s="155">
        <v>0</v>
      </c>
      <c r="H5138" s="155">
        <v>0</v>
      </c>
      <c r="I5138" s="155">
        <v>0</v>
      </c>
      <c r="J5138" s="155">
        <v>0</v>
      </c>
    </row>
    <row r="5139" spans="1:10">
      <c r="A5139" s="81" t="s">
        <v>106</v>
      </c>
      <c r="B5139" s="81" t="s">
        <v>37</v>
      </c>
      <c r="C5139" s="151">
        <v>0.73402777777777795</v>
      </c>
      <c r="D5139" s="155">
        <v>0</v>
      </c>
      <c r="E5139" s="155">
        <v>0</v>
      </c>
      <c r="F5139" s="155">
        <v>0</v>
      </c>
      <c r="G5139" s="155">
        <v>0</v>
      </c>
      <c r="H5139" s="155">
        <v>0</v>
      </c>
      <c r="I5139" s="155">
        <v>0</v>
      </c>
      <c r="J5139" s="155">
        <v>0</v>
      </c>
    </row>
    <row r="5140" spans="1:10">
      <c r="A5140" s="81" t="s">
        <v>106</v>
      </c>
      <c r="B5140" s="81" t="s">
        <v>37</v>
      </c>
      <c r="C5140" s="151">
        <v>0.73472222222222205</v>
      </c>
      <c r="D5140" s="155">
        <v>0</v>
      </c>
      <c r="E5140" s="155">
        <v>0</v>
      </c>
      <c r="F5140" s="155">
        <v>0</v>
      </c>
      <c r="G5140" s="155">
        <v>0</v>
      </c>
      <c r="H5140" s="155">
        <v>0</v>
      </c>
      <c r="I5140" s="155">
        <v>0</v>
      </c>
      <c r="J5140" s="155">
        <v>0</v>
      </c>
    </row>
    <row r="5141" spans="1:10">
      <c r="A5141" s="81" t="s">
        <v>106</v>
      </c>
      <c r="B5141" s="81" t="s">
        <v>37</v>
      </c>
      <c r="C5141" s="151">
        <v>0.73541666666666605</v>
      </c>
      <c r="D5141" s="155">
        <v>0</v>
      </c>
      <c r="E5141" s="155">
        <v>0</v>
      </c>
      <c r="F5141" s="155">
        <v>0</v>
      </c>
      <c r="G5141" s="155">
        <v>0</v>
      </c>
      <c r="H5141" s="155">
        <v>0</v>
      </c>
      <c r="I5141" s="155">
        <v>0</v>
      </c>
      <c r="J5141" s="155">
        <v>0</v>
      </c>
    </row>
    <row r="5142" spans="1:10">
      <c r="A5142" s="81" t="s">
        <v>106</v>
      </c>
      <c r="B5142" s="81" t="s">
        <v>37</v>
      </c>
      <c r="C5142" s="151">
        <v>0.73611111111111105</v>
      </c>
      <c r="D5142" s="155">
        <v>0</v>
      </c>
      <c r="E5142" s="155">
        <v>0</v>
      </c>
      <c r="F5142" s="155">
        <v>0</v>
      </c>
      <c r="G5142" s="155">
        <v>0</v>
      </c>
      <c r="H5142" s="155">
        <v>0</v>
      </c>
      <c r="I5142" s="155">
        <v>0</v>
      </c>
      <c r="J5142" s="155">
        <v>0</v>
      </c>
    </row>
    <row r="5143" spans="1:10">
      <c r="A5143" s="81" t="s">
        <v>106</v>
      </c>
      <c r="B5143" s="81" t="s">
        <v>37</v>
      </c>
      <c r="C5143" s="151">
        <v>0.73680555555555505</v>
      </c>
      <c r="D5143" s="155">
        <v>0</v>
      </c>
      <c r="E5143" s="155">
        <v>0</v>
      </c>
      <c r="F5143" s="155">
        <v>0</v>
      </c>
      <c r="G5143" s="155">
        <v>0</v>
      </c>
      <c r="H5143" s="155">
        <v>0</v>
      </c>
      <c r="I5143" s="155">
        <v>0</v>
      </c>
      <c r="J5143" s="155">
        <v>0</v>
      </c>
    </row>
    <row r="5144" spans="1:10">
      <c r="A5144" s="81" t="s">
        <v>106</v>
      </c>
      <c r="B5144" s="81" t="s">
        <v>37</v>
      </c>
      <c r="C5144" s="151">
        <v>0.73750000000000004</v>
      </c>
      <c r="D5144" s="155">
        <v>0</v>
      </c>
      <c r="E5144" s="155">
        <v>0</v>
      </c>
      <c r="F5144" s="155">
        <v>0</v>
      </c>
      <c r="G5144" s="155">
        <v>0</v>
      </c>
      <c r="H5144" s="155">
        <v>0</v>
      </c>
      <c r="I5144" s="155">
        <v>0</v>
      </c>
      <c r="J5144" s="155">
        <v>0</v>
      </c>
    </row>
    <row r="5145" spans="1:10">
      <c r="A5145" s="81" t="s">
        <v>106</v>
      </c>
      <c r="B5145" s="81" t="s">
        <v>37</v>
      </c>
      <c r="C5145" s="151">
        <v>0.73819444444444404</v>
      </c>
      <c r="D5145" s="155">
        <v>0</v>
      </c>
      <c r="E5145" s="155">
        <v>0</v>
      </c>
      <c r="F5145" s="155">
        <v>0</v>
      </c>
      <c r="G5145" s="155">
        <v>0</v>
      </c>
      <c r="H5145" s="155">
        <v>0</v>
      </c>
      <c r="I5145" s="155">
        <v>0</v>
      </c>
      <c r="J5145" s="155">
        <v>0</v>
      </c>
    </row>
    <row r="5146" spans="1:10" s="80" customFormat="1">
      <c r="A5146" s="84" t="s">
        <v>106</v>
      </c>
      <c r="B5146" s="84" t="s">
        <v>37</v>
      </c>
      <c r="C5146" s="153">
        <v>0.73888888888888904</v>
      </c>
      <c r="D5146" s="156">
        <v>0</v>
      </c>
      <c r="E5146" s="156">
        <v>0</v>
      </c>
      <c r="F5146" s="156">
        <v>0</v>
      </c>
      <c r="G5146" s="156">
        <v>0</v>
      </c>
      <c r="H5146" s="156">
        <v>0</v>
      </c>
      <c r="I5146" s="156">
        <v>0</v>
      </c>
      <c r="J5146" s="156">
        <v>0</v>
      </c>
    </row>
    <row r="5147" spans="1:10">
      <c r="A5147" s="81" t="s">
        <v>106</v>
      </c>
      <c r="B5147" s="81" t="s">
        <v>37</v>
      </c>
      <c r="C5147" s="151">
        <v>0.73958333333333304</v>
      </c>
      <c r="D5147" s="157">
        <v>0</v>
      </c>
      <c r="E5147" s="157">
        <v>0</v>
      </c>
      <c r="F5147" s="157">
        <v>0</v>
      </c>
      <c r="G5147" s="157">
        <v>0</v>
      </c>
      <c r="H5147" s="157">
        <v>0</v>
      </c>
      <c r="I5147" s="157">
        <v>0</v>
      </c>
      <c r="J5147" s="157">
        <v>0</v>
      </c>
    </row>
    <row r="5148" spans="1:10">
      <c r="A5148" s="81" t="s">
        <v>106</v>
      </c>
      <c r="B5148" s="81" t="s">
        <v>37</v>
      </c>
      <c r="C5148" s="151">
        <v>0.74027777777777704</v>
      </c>
      <c r="D5148" s="155">
        <v>0</v>
      </c>
      <c r="E5148" s="155">
        <v>0</v>
      </c>
      <c r="F5148" s="155">
        <v>0</v>
      </c>
      <c r="G5148" s="155">
        <v>0</v>
      </c>
      <c r="H5148" s="155">
        <v>0</v>
      </c>
      <c r="I5148" s="155">
        <v>0</v>
      </c>
      <c r="J5148" s="155">
        <v>0</v>
      </c>
    </row>
    <row r="5149" spans="1:10">
      <c r="A5149" s="81" t="s">
        <v>106</v>
      </c>
      <c r="B5149" s="81" t="s">
        <v>37</v>
      </c>
      <c r="C5149" s="151">
        <v>0.74097222222222203</v>
      </c>
      <c r="D5149" s="155">
        <v>0</v>
      </c>
      <c r="E5149" s="155">
        <v>0</v>
      </c>
      <c r="F5149" s="155">
        <v>0</v>
      </c>
      <c r="G5149" s="155">
        <v>0</v>
      </c>
      <c r="H5149" s="155">
        <v>0</v>
      </c>
      <c r="I5149" s="155">
        <v>0</v>
      </c>
      <c r="J5149" s="155">
        <v>0</v>
      </c>
    </row>
    <row r="5150" spans="1:10">
      <c r="A5150" s="81" t="s">
        <v>106</v>
      </c>
      <c r="B5150" s="81" t="s">
        <v>37</v>
      </c>
      <c r="C5150" s="151">
        <v>0.74166666666666603</v>
      </c>
      <c r="D5150" s="155">
        <v>0</v>
      </c>
      <c r="E5150" s="155">
        <v>0</v>
      </c>
      <c r="F5150" s="155">
        <v>0</v>
      </c>
      <c r="G5150" s="155">
        <v>0</v>
      </c>
      <c r="H5150" s="155">
        <v>0</v>
      </c>
      <c r="I5150" s="155">
        <v>0</v>
      </c>
      <c r="J5150" s="155">
        <v>0</v>
      </c>
    </row>
    <row r="5151" spans="1:10">
      <c r="A5151" s="81" t="s">
        <v>106</v>
      </c>
      <c r="B5151" s="81" t="s">
        <v>37</v>
      </c>
      <c r="C5151" s="151">
        <v>0.74236111111111103</v>
      </c>
      <c r="D5151" s="155">
        <v>0</v>
      </c>
      <c r="E5151" s="155">
        <v>0</v>
      </c>
      <c r="F5151" s="155">
        <v>0</v>
      </c>
      <c r="G5151" s="155">
        <v>0</v>
      </c>
      <c r="H5151" s="155">
        <v>0</v>
      </c>
      <c r="I5151" s="155">
        <v>0</v>
      </c>
      <c r="J5151" s="155">
        <v>0</v>
      </c>
    </row>
    <row r="5152" spans="1:10">
      <c r="A5152" s="81" t="s">
        <v>106</v>
      </c>
      <c r="B5152" s="81" t="s">
        <v>37</v>
      </c>
      <c r="C5152" s="151">
        <v>0.74305555555555503</v>
      </c>
      <c r="D5152" s="155">
        <v>0</v>
      </c>
      <c r="E5152" s="155">
        <v>0</v>
      </c>
      <c r="F5152" s="155">
        <v>0</v>
      </c>
      <c r="G5152" s="155">
        <v>0</v>
      </c>
      <c r="H5152" s="155">
        <v>0</v>
      </c>
      <c r="I5152" s="155">
        <v>0</v>
      </c>
      <c r="J5152" s="155">
        <v>0</v>
      </c>
    </row>
    <row r="5153" spans="1:10">
      <c r="A5153" s="81" t="s">
        <v>106</v>
      </c>
      <c r="B5153" s="81" t="s">
        <v>37</v>
      </c>
      <c r="C5153" s="151">
        <v>0.74375000000000002</v>
      </c>
      <c r="D5153" s="155">
        <v>0</v>
      </c>
      <c r="E5153" s="155">
        <v>0</v>
      </c>
      <c r="F5153" s="155">
        <v>0</v>
      </c>
      <c r="G5153" s="155">
        <v>0</v>
      </c>
      <c r="H5153" s="155">
        <v>0</v>
      </c>
      <c r="I5153" s="155">
        <v>0</v>
      </c>
      <c r="J5153" s="155">
        <v>0</v>
      </c>
    </row>
    <row r="5154" spans="1:10">
      <c r="A5154" s="81" t="s">
        <v>106</v>
      </c>
      <c r="B5154" s="81" t="s">
        <v>37</v>
      </c>
      <c r="C5154" s="151">
        <v>0.74444444444444402</v>
      </c>
      <c r="D5154" s="155">
        <v>0</v>
      </c>
      <c r="E5154" s="155">
        <v>0</v>
      </c>
      <c r="F5154" s="155">
        <v>0</v>
      </c>
      <c r="G5154" s="155">
        <v>0</v>
      </c>
      <c r="H5154" s="155">
        <v>0</v>
      </c>
      <c r="I5154" s="155">
        <v>0</v>
      </c>
      <c r="J5154" s="155">
        <v>0</v>
      </c>
    </row>
    <row r="5155" spans="1:10">
      <c r="A5155" s="81" t="s">
        <v>106</v>
      </c>
      <c r="B5155" s="81" t="s">
        <v>37</v>
      </c>
      <c r="C5155" s="151">
        <v>0.74513888888888902</v>
      </c>
      <c r="D5155" s="155">
        <v>0</v>
      </c>
      <c r="E5155" s="155">
        <v>0</v>
      </c>
      <c r="F5155" s="155">
        <v>0</v>
      </c>
      <c r="G5155" s="155">
        <v>0</v>
      </c>
      <c r="H5155" s="155">
        <v>0</v>
      </c>
      <c r="I5155" s="155">
        <v>0</v>
      </c>
      <c r="J5155" s="155">
        <v>0</v>
      </c>
    </row>
    <row r="5156" spans="1:10">
      <c r="A5156" s="81" t="s">
        <v>106</v>
      </c>
      <c r="B5156" s="81" t="s">
        <v>37</v>
      </c>
      <c r="C5156" s="151">
        <v>0.74583333333333302</v>
      </c>
      <c r="D5156" s="155">
        <v>0</v>
      </c>
      <c r="E5156" s="155">
        <v>0</v>
      </c>
      <c r="F5156" s="155">
        <v>0</v>
      </c>
      <c r="G5156" s="155">
        <v>0</v>
      </c>
      <c r="H5156" s="155">
        <v>0</v>
      </c>
      <c r="I5156" s="155">
        <v>0</v>
      </c>
      <c r="J5156" s="155">
        <v>0</v>
      </c>
    </row>
    <row r="5157" spans="1:10">
      <c r="A5157" s="81" t="s">
        <v>106</v>
      </c>
      <c r="B5157" s="81" t="s">
        <v>37</v>
      </c>
      <c r="C5157" s="151">
        <v>0.74652777777777701</v>
      </c>
      <c r="D5157" s="155">
        <v>0</v>
      </c>
      <c r="E5157" s="155">
        <v>0</v>
      </c>
      <c r="F5157" s="155">
        <v>0</v>
      </c>
      <c r="G5157" s="155">
        <v>0</v>
      </c>
      <c r="H5157" s="155">
        <v>0</v>
      </c>
      <c r="I5157" s="155">
        <v>0</v>
      </c>
      <c r="J5157" s="155">
        <v>0</v>
      </c>
    </row>
    <row r="5158" spans="1:10">
      <c r="A5158" s="81" t="s">
        <v>106</v>
      </c>
      <c r="B5158" s="81" t="s">
        <v>37</v>
      </c>
      <c r="C5158" s="151">
        <v>0.74722222222222201</v>
      </c>
      <c r="D5158" s="155">
        <v>0</v>
      </c>
      <c r="E5158" s="155">
        <v>0</v>
      </c>
      <c r="F5158" s="155">
        <v>0</v>
      </c>
      <c r="G5158" s="155">
        <v>0</v>
      </c>
      <c r="H5158" s="155">
        <v>0</v>
      </c>
      <c r="I5158" s="155">
        <v>0</v>
      </c>
      <c r="J5158" s="155">
        <v>0</v>
      </c>
    </row>
    <row r="5159" spans="1:10">
      <c r="A5159" s="81" t="s">
        <v>106</v>
      </c>
      <c r="B5159" s="81" t="s">
        <v>37</v>
      </c>
      <c r="C5159" s="151">
        <v>0.74791666666666601</v>
      </c>
      <c r="D5159" s="155">
        <v>0</v>
      </c>
      <c r="E5159" s="155">
        <v>0</v>
      </c>
      <c r="F5159" s="155">
        <v>0</v>
      </c>
      <c r="G5159" s="155">
        <v>0</v>
      </c>
      <c r="H5159" s="155">
        <v>0</v>
      </c>
      <c r="I5159" s="155">
        <v>0</v>
      </c>
      <c r="J5159" s="155">
        <v>0</v>
      </c>
    </row>
    <row r="5160" spans="1:10">
      <c r="A5160" s="81" t="s">
        <v>106</v>
      </c>
      <c r="B5160" s="81" t="s">
        <v>37</v>
      </c>
      <c r="C5160" s="151">
        <v>0.74861111111111101</v>
      </c>
      <c r="D5160" s="155">
        <v>0</v>
      </c>
      <c r="E5160" s="155">
        <v>0</v>
      </c>
      <c r="F5160" s="155">
        <v>0</v>
      </c>
      <c r="G5160" s="155">
        <v>0</v>
      </c>
      <c r="H5160" s="155">
        <v>0</v>
      </c>
      <c r="I5160" s="155">
        <v>0</v>
      </c>
      <c r="J5160" s="155">
        <v>0</v>
      </c>
    </row>
    <row r="5161" spans="1:10" s="28" customFormat="1" ht="17.5" thickBot="1">
      <c r="A5161" s="100" t="s">
        <v>106</v>
      </c>
      <c r="B5161" s="100" t="s">
        <v>37</v>
      </c>
      <c r="C5161" s="152">
        <v>0.749305555555555</v>
      </c>
      <c r="D5161" s="158">
        <v>0</v>
      </c>
      <c r="E5161" s="158">
        <v>0</v>
      </c>
      <c r="F5161" s="158">
        <v>0</v>
      </c>
      <c r="G5161" s="158">
        <v>0</v>
      </c>
      <c r="H5161" s="158">
        <v>0</v>
      </c>
      <c r="I5161" s="158">
        <v>0</v>
      </c>
      <c r="J5161" s="158">
        <v>0</v>
      </c>
    </row>
    <row r="5162" spans="1:10">
      <c r="A5162" s="81" t="s">
        <v>106</v>
      </c>
      <c r="B5162" s="81" t="s">
        <v>124</v>
      </c>
      <c r="C5162" s="151">
        <v>0.66666666666666663</v>
      </c>
      <c r="D5162" s="154">
        <v>0</v>
      </c>
      <c r="E5162" s="154">
        <v>0</v>
      </c>
      <c r="F5162" s="154">
        <v>0</v>
      </c>
      <c r="G5162" s="154">
        <v>0</v>
      </c>
      <c r="H5162" s="154">
        <v>0</v>
      </c>
      <c r="I5162" s="154">
        <v>0</v>
      </c>
      <c r="J5162" s="154">
        <v>0</v>
      </c>
    </row>
    <row r="5163" spans="1:10">
      <c r="A5163" s="81" t="s">
        <v>106</v>
      </c>
      <c r="B5163" s="81" t="s">
        <v>123</v>
      </c>
      <c r="C5163" s="151">
        <v>0.66736111111111107</v>
      </c>
      <c r="D5163" s="155">
        <v>0</v>
      </c>
      <c r="E5163" s="155">
        <v>0</v>
      </c>
      <c r="F5163" s="155">
        <v>0</v>
      </c>
      <c r="G5163" s="155">
        <v>0</v>
      </c>
      <c r="H5163" s="155">
        <v>0</v>
      </c>
      <c r="I5163" s="155">
        <v>0</v>
      </c>
      <c r="J5163" s="155">
        <v>0</v>
      </c>
    </row>
    <row r="5164" spans="1:10">
      <c r="A5164" s="81" t="s">
        <v>106</v>
      </c>
      <c r="B5164" s="81" t="s">
        <v>123</v>
      </c>
      <c r="C5164" s="151">
        <v>0.66805555555555596</v>
      </c>
      <c r="D5164" s="155">
        <v>0</v>
      </c>
      <c r="E5164" s="155">
        <v>0</v>
      </c>
      <c r="F5164" s="155">
        <v>0</v>
      </c>
      <c r="G5164" s="155">
        <v>0</v>
      </c>
      <c r="H5164" s="155">
        <v>0</v>
      </c>
      <c r="I5164" s="155">
        <v>0</v>
      </c>
      <c r="J5164" s="155">
        <v>0</v>
      </c>
    </row>
    <row r="5165" spans="1:10">
      <c r="A5165" s="81" t="s">
        <v>106</v>
      </c>
      <c r="B5165" s="81" t="s">
        <v>123</v>
      </c>
      <c r="C5165" s="151">
        <v>0.66874999999999996</v>
      </c>
      <c r="D5165" s="155">
        <v>0</v>
      </c>
      <c r="E5165" s="155">
        <v>0</v>
      </c>
      <c r="F5165" s="155">
        <v>0</v>
      </c>
      <c r="G5165" s="155">
        <v>0</v>
      </c>
      <c r="H5165" s="155">
        <v>0</v>
      </c>
      <c r="I5165" s="155">
        <v>0</v>
      </c>
      <c r="J5165" s="155">
        <v>0</v>
      </c>
    </row>
    <row r="5166" spans="1:10">
      <c r="A5166" s="81" t="s">
        <v>106</v>
      </c>
      <c r="B5166" s="81" t="s">
        <v>123</v>
      </c>
      <c r="C5166" s="151">
        <v>0.66944444444444395</v>
      </c>
      <c r="D5166" s="155">
        <v>0</v>
      </c>
      <c r="E5166" s="155">
        <v>0</v>
      </c>
      <c r="F5166" s="155">
        <v>0</v>
      </c>
      <c r="G5166" s="155">
        <v>0</v>
      </c>
      <c r="H5166" s="155">
        <v>0</v>
      </c>
      <c r="I5166" s="155">
        <v>0</v>
      </c>
      <c r="J5166" s="155">
        <v>0</v>
      </c>
    </row>
    <row r="5167" spans="1:10">
      <c r="A5167" s="81" t="s">
        <v>106</v>
      </c>
      <c r="B5167" s="81" t="s">
        <v>123</v>
      </c>
      <c r="C5167" s="151">
        <v>0.67013888888888895</v>
      </c>
      <c r="D5167" s="155">
        <v>0</v>
      </c>
      <c r="E5167" s="155">
        <v>0</v>
      </c>
      <c r="F5167" s="155">
        <v>0</v>
      </c>
      <c r="G5167" s="155">
        <v>0</v>
      </c>
      <c r="H5167" s="155">
        <v>0</v>
      </c>
      <c r="I5167" s="155">
        <v>0</v>
      </c>
      <c r="J5167" s="155">
        <v>0</v>
      </c>
    </row>
    <row r="5168" spans="1:10">
      <c r="A5168" s="81" t="s">
        <v>106</v>
      </c>
      <c r="B5168" s="81" t="s">
        <v>123</v>
      </c>
      <c r="C5168" s="151">
        <v>0.67083333333333295</v>
      </c>
      <c r="D5168" s="155">
        <v>0</v>
      </c>
      <c r="E5168" s="155">
        <v>0</v>
      </c>
      <c r="F5168" s="155">
        <v>0</v>
      </c>
      <c r="G5168" s="155">
        <v>0</v>
      </c>
      <c r="H5168" s="155">
        <v>0</v>
      </c>
      <c r="I5168" s="155">
        <v>0</v>
      </c>
      <c r="J5168" s="155">
        <v>0</v>
      </c>
    </row>
    <row r="5169" spans="1:10">
      <c r="A5169" s="81" t="s">
        <v>106</v>
      </c>
      <c r="B5169" s="81" t="s">
        <v>123</v>
      </c>
      <c r="C5169" s="151">
        <v>0.67152777777777795</v>
      </c>
      <c r="D5169" s="155">
        <v>0</v>
      </c>
      <c r="E5169" s="155">
        <v>0</v>
      </c>
      <c r="F5169" s="155">
        <v>0</v>
      </c>
      <c r="G5169" s="155">
        <v>0</v>
      </c>
      <c r="H5169" s="155">
        <v>0</v>
      </c>
      <c r="I5169" s="155">
        <v>0</v>
      </c>
      <c r="J5169" s="155">
        <v>0</v>
      </c>
    </row>
    <row r="5170" spans="1:10">
      <c r="A5170" s="81" t="s">
        <v>106</v>
      </c>
      <c r="B5170" s="81" t="s">
        <v>123</v>
      </c>
      <c r="C5170" s="151">
        <v>0.67222222222222205</v>
      </c>
      <c r="D5170" s="155">
        <v>0</v>
      </c>
      <c r="E5170" s="155">
        <v>0</v>
      </c>
      <c r="F5170" s="155">
        <v>0</v>
      </c>
      <c r="G5170" s="155">
        <v>0</v>
      </c>
      <c r="H5170" s="155">
        <v>0</v>
      </c>
      <c r="I5170" s="155">
        <v>0</v>
      </c>
      <c r="J5170" s="155">
        <v>0</v>
      </c>
    </row>
    <row r="5171" spans="1:10">
      <c r="A5171" s="81" t="s">
        <v>106</v>
      </c>
      <c r="B5171" s="81" t="s">
        <v>123</v>
      </c>
      <c r="C5171" s="151">
        <v>0.67291666666666705</v>
      </c>
      <c r="D5171" s="155">
        <v>0</v>
      </c>
      <c r="E5171" s="155">
        <v>0</v>
      </c>
      <c r="F5171" s="155">
        <v>0</v>
      </c>
      <c r="G5171" s="155">
        <v>0</v>
      </c>
      <c r="H5171" s="155">
        <v>0</v>
      </c>
      <c r="I5171" s="155">
        <v>0</v>
      </c>
      <c r="J5171" s="155">
        <v>0</v>
      </c>
    </row>
    <row r="5172" spans="1:10">
      <c r="A5172" s="81" t="s">
        <v>106</v>
      </c>
      <c r="B5172" s="81" t="s">
        <v>123</v>
      </c>
      <c r="C5172" s="151">
        <v>0.67361111111111105</v>
      </c>
      <c r="D5172" s="155">
        <v>0</v>
      </c>
      <c r="E5172" s="155">
        <v>0</v>
      </c>
      <c r="F5172" s="155">
        <v>0</v>
      </c>
      <c r="G5172" s="155">
        <v>0</v>
      </c>
      <c r="H5172" s="155">
        <v>0</v>
      </c>
      <c r="I5172" s="155">
        <v>0</v>
      </c>
      <c r="J5172" s="155">
        <v>0</v>
      </c>
    </row>
    <row r="5173" spans="1:10">
      <c r="A5173" s="81" t="s">
        <v>106</v>
      </c>
      <c r="B5173" s="81" t="s">
        <v>123</v>
      </c>
      <c r="C5173" s="151">
        <v>0.67430555555555505</v>
      </c>
      <c r="D5173" s="155">
        <v>0</v>
      </c>
      <c r="E5173" s="155">
        <v>0</v>
      </c>
      <c r="F5173" s="155">
        <v>0</v>
      </c>
      <c r="G5173" s="155">
        <v>0</v>
      </c>
      <c r="H5173" s="155">
        <v>0</v>
      </c>
      <c r="I5173" s="155">
        <v>0</v>
      </c>
      <c r="J5173" s="155">
        <v>0</v>
      </c>
    </row>
    <row r="5174" spans="1:10">
      <c r="A5174" s="81" t="s">
        <v>106</v>
      </c>
      <c r="B5174" s="81" t="s">
        <v>123</v>
      </c>
      <c r="C5174" s="151">
        <v>0.67500000000000004</v>
      </c>
      <c r="D5174" s="155">
        <v>0</v>
      </c>
      <c r="E5174" s="155">
        <v>0</v>
      </c>
      <c r="F5174" s="155">
        <v>0</v>
      </c>
      <c r="G5174" s="155">
        <v>0</v>
      </c>
      <c r="H5174" s="155">
        <v>0</v>
      </c>
      <c r="I5174" s="155">
        <v>0</v>
      </c>
      <c r="J5174" s="155">
        <v>0</v>
      </c>
    </row>
    <row r="5175" spans="1:10">
      <c r="A5175" s="81" t="s">
        <v>106</v>
      </c>
      <c r="B5175" s="81" t="s">
        <v>123</v>
      </c>
      <c r="C5175" s="151">
        <v>0.67569444444444404</v>
      </c>
      <c r="D5175" s="155">
        <v>0</v>
      </c>
      <c r="E5175" s="155">
        <v>0</v>
      </c>
      <c r="F5175" s="155">
        <v>0</v>
      </c>
      <c r="G5175" s="155">
        <v>0</v>
      </c>
      <c r="H5175" s="155">
        <v>0</v>
      </c>
      <c r="I5175" s="155">
        <v>0</v>
      </c>
      <c r="J5175" s="155">
        <v>0</v>
      </c>
    </row>
    <row r="5176" spans="1:10" s="80" customFormat="1">
      <c r="A5176" s="84" t="s">
        <v>106</v>
      </c>
      <c r="B5176" s="84" t="s">
        <v>123</v>
      </c>
      <c r="C5176" s="153">
        <v>0.67638888888888904</v>
      </c>
      <c r="D5176" s="156">
        <v>0</v>
      </c>
      <c r="E5176" s="156">
        <v>0</v>
      </c>
      <c r="F5176" s="156">
        <v>0</v>
      </c>
      <c r="G5176" s="156">
        <v>0</v>
      </c>
      <c r="H5176" s="156">
        <v>0</v>
      </c>
      <c r="I5176" s="156">
        <v>0</v>
      </c>
      <c r="J5176" s="156">
        <v>0</v>
      </c>
    </row>
    <row r="5177" spans="1:10">
      <c r="A5177" s="81" t="s">
        <v>106</v>
      </c>
      <c r="B5177" s="81" t="s">
        <v>123</v>
      </c>
      <c r="C5177" s="151">
        <v>0.67708333333333304</v>
      </c>
      <c r="D5177" s="157">
        <v>0</v>
      </c>
      <c r="E5177" s="157">
        <v>0</v>
      </c>
      <c r="F5177" s="157">
        <v>0</v>
      </c>
      <c r="G5177" s="157">
        <v>0</v>
      </c>
      <c r="H5177" s="157">
        <v>0</v>
      </c>
      <c r="I5177" s="157">
        <v>0</v>
      </c>
      <c r="J5177" s="157">
        <v>0</v>
      </c>
    </row>
    <row r="5178" spans="1:10">
      <c r="A5178" s="81" t="s">
        <v>106</v>
      </c>
      <c r="B5178" s="81" t="s">
        <v>123</v>
      </c>
      <c r="C5178" s="151">
        <v>0.67777777777777803</v>
      </c>
      <c r="D5178" s="155">
        <v>0</v>
      </c>
      <c r="E5178" s="155">
        <v>0</v>
      </c>
      <c r="F5178" s="155">
        <v>0</v>
      </c>
      <c r="G5178" s="155">
        <v>0</v>
      </c>
      <c r="H5178" s="155">
        <v>0</v>
      </c>
      <c r="I5178" s="155">
        <v>0</v>
      </c>
      <c r="J5178" s="155">
        <v>0</v>
      </c>
    </row>
    <row r="5179" spans="1:10">
      <c r="A5179" s="81" t="s">
        <v>106</v>
      </c>
      <c r="B5179" s="81" t="s">
        <v>123</v>
      </c>
      <c r="C5179" s="151">
        <v>0.67847222222222203</v>
      </c>
      <c r="D5179" s="155">
        <v>0</v>
      </c>
      <c r="E5179" s="155">
        <v>0</v>
      </c>
      <c r="F5179" s="155">
        <v>0</v>
      </c>
      <c r="G5179" s="155">
        <v>0</v>
      </c>
      <c r="H5179" s="155">
        <v>0</v>
      </c>
      <c r="I5179" s="155">
        <v>0</v>
      </c>
      <c r="J5179" s="155">
        <v>0</v>
      </c>
    </row>
    <row r="5180" spans="1:10">
      <c r="A5180" s="81" t="s">
        <v>106</v>
      </c>
      <c r="B5180" s="81" t="s">
        <v>123</v>
      </c>
      <c r="C5180" s="151">
        <v>0.67916666666666703</v>
      </c>
      <c r="D5180" s="155">
        <v>0</v>
      </c>
      <c r="E5180" s="155">
        <v>0</v>
      </c>
      <c r="F5180" s="155">
        <v>0</v>
      </c>
      <c r="G5180" s="155">
        <v>0</v>
      </c>
      <c r="H5180" s="155">
        <v>0</v>
      </c>
      <c r="I5180" s="155">
        <v>0</v>
      </c>
      <c r="J5180" s="155">
        <v>0</v>
      </c>
    </row>
    <row r="5181" spans="1:10">
      <c r="A5181" s="81" t="s">
        <v>106</v>
      </c>
      <c r="B5181" s="81" t="s">
        <v>123</v>
      </c>
      <c r="C5181" s="151">
        <v>0.67986111111111103</v>
      </c>
      <c r="D5181" s="155">
        <v>0</v>
      </c>
      <c r="E5181" s="155">
        <v>0</v>
      </c>
      <c r="F5181" s="155">
        <v>0</v>
      </c>
      <c r="G5181" s="155">
        <v>0</v>
      </c>
      <c r="H5181" s="155">
        <v>0</v>
      </c>
      <c r="I5181" s="155">
        <v>0</v>
      </c>
      <c r="J5181" s="155">
        <v>0</v>
      </c>
    </row>
    <row r="5182" spans="1:10">
      <c r="A5182" s="81" t="s">
        <v>106</v>
      </c>
      <c r="B5182" s="81" t="s">
        <v>123</v>
      </c>
      <c r="C5182" s="151">
        <v>0.68055555555555503</v>
      </c>
      <c r="D5182" s="155">
        <v>0</v>
      </c>
      <c r="E5182" s="155">
        <v>0</v>
      </c>
      <c r="F5182" s="155">
        <v>0</v>
      </c>
      <c r="G5182" s="155">
        <v>0</v>
      </c>
      <c r="H5182" s="155">
        <v>0</v>
      </c>
      <c r="I5182" s="155">
        <v>0</v>
      </c>
      <c r="J5182" s="155">
        <v>0</v>
      </c>
    </row>
    <row r="5183" spans="1:10">
      <c r="A5183" s="81" t="s">
        <v>106</v>
      </c>
      <c r="B5183" s="81" t="s">
        <v>123</v>
      </c>
      <c r="C5183" s="151">
        <v>0.68125000000000002</v>
      </c>
      <c r="D5183" s="155">
        <v>0</v>
      </c>
      <c r="E5183" s="155">
        <v>0</v>
      </c>
      <c r="F5183" s="155">
        <v>0</v>
      </c>
      <c r="G5183" s="155">
        <v>0</v>
      </c>
      <c r="H5183" s="155">
        <v>0</v>
      </c>
      <c r="I5183" s="155">
        <v>0</v>
      </c>
      <c r="J5183" s="155">
        <v>0</v>
      </c>
    </row>
    <row r="5184" spans="1:10">
      <c r="A5184" s="81" t="s">
        <v>106</v>
      </c>
      <c r="B5184" s="81" t="s">
        <v>123</v>
      </c>
      <c r="C5184" s="151">
        <v>0.68194444444444402</v>
      </c>
      <c r="D5184" s="155">
        <v>0</v>
      </c>
      <c r="E5184" s="155">
        <v>0</v>
      </c>
      <c r="F5184" s="155">
        <v>0</v>
      </c>
      <c r="G5184" s="155">
        <v>0</v>
      </c>
      <c r="H5184" s="155">
        <v>0</v>
      </c>
      <c r="I5184" s="155">
        <v>0</v>
      </c>
      <c r="J5184" s="155">
        <v>0</v>
      </c>
    </row>
    <row r="5185" spans="1:10">
      <c r="A5185" s="81" t="s">
        <v>106</v>
      </c>
      <c r="B5185" s="81" t="s">
        <v>123</v>
      </c>
      <c r="C5185" s="151">
        <v>0.68263888888888902</v>
      </c>
      <c r="D5185" s="155">
        <v>0</v>
      </c>
      <c r="E5185" s="155">
        <v>0</v>
      </c>
      <c r="F5185" s="155">
        <v>0</v>
      </c>
      <c r="G5185" s="155">
        <v>0</v>
      </c>
      <c r="H5185" s="155">
        <v>0</v>
      </c>
      <c r="I5185" s="155">
        <v>0</v>
      </c>
      <c r="J5185" s="155">
        <v>0</v>
      </c>
    </row>
    <row r="5186" spans="1:10">
      <c r="A5186" s="81" t="s">
        <v>106</v>
      </c>
      <c r="B5186" s="81" t="s">
        <v>123</v>
      </c>
      <c r="C5186" s="151">
        <v>0.68333333333333302</v>
      </c>
      <c r="D5186" s="155">
        <v>0</v>
      </c>
      <c r="E5186" s="155">
        <v>0</v>
      </c>
      <c r="F5186" s="155">
        <v>0</v>
      </c>
      <c r="G5186" s="155">
        <v>0</v>
      </c>
      <c r="H5186" s="155">
        <v>0</v>
      </c>
      <c r="I5186" s="155">
        <v>0</v>
      </c>
      <c r="J5186" s="155">
        <v>0</v>
      </c>
    </row>
    <row r="5187" spans="1:10">
      <c r="A5187" s="81" t="s">
        <v>106</v>
      </c>
      <c r="B5187" s="81" t="s">
        <v>123</v>
      </c>
      <c r="C5187" s="151">
        <v>0.68402777777777801</v>
      </c>
      <c r="D5187" s="155">
        <v>0</v>
      </c>
      <c r="E5187" s="155">
        <v>0</v>
      </c>
      <c r="F5187" s="155">
        <v>0</v>
      </c>
      <c r="G5187" s="155">
        <v>0</v>
      </c>
      <c r="H5187" s="155">
        <v>0</v>
      </c>
      <c r="I5187" s="155">
        <v>0</v>
      </c>
      <c r="J5187" s="155">
        <v>0</v>
      </c>
    </row>
    <row r="5188" spans="1:10">
      <c r="A5188" s="81" t="s">
        <v>106</v>
      </c>
      <c r="B5188" s="81" t="s">
        <v>123</v>
      </c>
      <c r="C5188" s="151">
        <v>0.68472222222222201</v>
      </c>
      <c r="D5188" s="155">
        <v>0</v>
      </c>
      <c r="E5188" s="155">
        <v>0</v>
      </c>
      <c r="F5188" s="155">
        <v>0</v>
      </c>
      <c r="G5188" s="155">
        <v>0</v>
      </c>
      <c r="H5188" s="155">
        <v>0</v>
      </c>
      <c r="I5188" s="155">
        <v>0</v>
      </c>
      <c r="J5188" s="155">
        <v>0</v>
      </c>
    </row>
    <row r="5189" spans="1:10">
      <c r="A5189" s="81" t="s">
        <v>106</v>
      </c>
      <c r="B5189" s="81" t="s">
        <v>123</v>
      </c>
      <c r="C5189" s="151">
        <v>0.68541666666666701</v>
      </c>
      <c r="D5189" s="155">
        <v>0</v>
      </c>
      <c r="E5189" s="155">
        <v>0</v>
      </c>
      <c r="F5189" s="155">
        <v>0</v>
      </c>
      <c r="G5189" s="155">
        <v>0</v>
      </c>
      <c r="H5189" s="155">
        <v>0</v>
      </c>
      <c r="I5189" s="155">
        <v>0</v>
      </c>
      <c r="J5189" s="155">
        <v>0</v>
      </c>
    </row>
    <row r="5190" spans="1:10">
      <c r="A5190" s="81" t="s">
        <v>106</v>
      </c>
      <c r="B5190" s="81" t="s">
        <v>123</v>
      </c>
      <c r="C5190" s="151">
        <v>0.68611111111111101</v>
      </c>
      <c r="D5190" s="155">
        <v>0</v>
      </c>
      <c r="E5190" s="155">
        <v>0</v>
      </c>
      <c r="F5190" s="155">
        <v>0</v>
      </c>
      <c r="G5190" s="155">
        <v>0</v>
      </c>
      <c r="H5190" s="155">
        <v>0</v>
      </c>
      <c r="I5190" s="155">
        <v>0</v>
      </c>
      <c r="J5190" s="155">
        <v>0</v>
      </c>
    </row>
    <row r="5191" spans="1:10" s="80" customFormat="1">
      <c r="A5191" s="84" t="s">
        <v>106</v>
      </c>
      <c r="B5191" s="84" t="s">
        <v>123</v>
      </c>
      <c r="C5191" s="153">
        <v>0.686805555555555</v>
      </c>
      <c r="D5191" s="156">
        <v>0</v>
      </c>
      <c r="E5191" s="156">
        <v>0</v>
      </c>
      <c r="F5191" s="156">
        <v>0</v>
      </c>
      <c r="G5191" s="156">
        <v>0</v>
      </c>
      <c r="H5191" s="156">
        <v>0</v>
      </c>
      <c r="I5191" s="156">
        <v>0</v>
      </c>
      <c r="J5191" s="156">
        <v>0</v>
      </c>
    </row>
    <row r="5192" spans="1:10">
      <c r="A5192" s="81" t="s">
        <v>106</v>
      </c>
      <c r="B5192" s="81" t="s">
        <v>123</v>
      </c>
      <c r="C5192" s="151">
        <v>0.6875</v>
      </c>
      <c r="D5192" s="157">
        <v>0</v>
      </c>
      <c r="E5192" s="157">
        <v>0</v>
      </c>
      <c r="F5192" s="157">
        <v>0</v>
      </c>
      <c r="G5192" s="157">
        <v>0</v>
      </c>
      <c r="H5192" s="157">
        <v>0</v>
      </c>
      <c r="I5192" s="157">
        <v>0</v>
      </c>
      <c r="J5192" s="157">
        <v>0</v>
      </c>
    </row>
    <row r="5193" spans="1:10">
      <c r="A5193" s="81" t="s">
        <v>106</v>
      </c>
      <c r="B5193" s="81" t="s">
        <v>123</v>
      </c>
      <c r="C5193" s="151">
        <v>0.688194444444444</v>
      </c>
      <c r="D5193" s="155">
        <v>0</v>
      </c>
      <c r="E5193" s="155">
        <v>0</v>
      </c>
      <c r="F5193" s="155">
        <v>0</v>
      </c>
      <c r="G5193" s="155">
        <v>0</v>
      </c>
      <c r="H5193" s="155">
        <v>0</v>
      </c>
      <c r="I5193" s="155">
        <v>0</v>
      </c>
      <c r="J5193" s="155">
        <v>0</v>
      </c>
    </row>
    <row r="5194" spans="1:10">
      <c r="A5194" s="81" t="s">
        <v>106</v>
      </c>
      <c r="B5194" s="81" t="s">
        <v>123</v>
      </c>
      <c r="C5194" s="151">
        <v>0.68888888888888899</v>
      </c>
      <c r="D5194" s="155">
        <v>0</v>
      </c>
      <c r="E5194" s="155">
        <v>0</v>
      </c>
      <c r="F5194" s="155">
        <v>0</v>
      </c>
      <c r="G5194" s="155">
        <v>0</v>
      </c>
      <c r="H5194" s="155">
        <v>0</v>
      </c>
      <c r="I5194" s="155">
        <v>0</v>
      </c>
      <c r="J5194" s="155">
        <v>0</v>
      </c>
    </row>
    <row r="5195" spans="1:10">
      <c r="A5195" s="81" t="s">
        <v>106</v>
      </c>
      <c r="B5195" s="81" t="s">
        <v>123</v>
      </c>
      <c r="C5195" s="151">
        <v>0.68958333333333299</v>
      </c>
      <c r="D5195" s="155">
        <v>0</v>
      </c>
      <c r="E5195" s="155">
        <v>0</v>
      </c>
      <c r="F5195" s="155">
        <v>0</v>
      </c>
      <c r="G5195" s="155">
        <v>0</v>
      </c>
      <c r="H5195" s="155">
        <v>0</v>
      </c>
      <c r="I5195" s="155">
        <v>0</v>
      </c>
      <c r="J5195" s="155">
        <v>0</v>
      </c>
    </row>
    <row r="5196" spans="1:10">
      <c r="A5196" s="81" t="s">
        <v>106</v>
      </c>
      <c r="B5196" s="81" t="s">
        <v>123</v>
      </c>
      <c r="C5196" s="151">
        <v>0.69027777777777799</v>
      </c>
      <c r="D5196" s="155">
        <v>0</v>
      </c>
      <c r="E5196" s="155">
        <v>0</v>
      </c>
      <c r="F5196" s="155">
        <v>0</v>
      </c>
      <c r="G5196" s="155">
        <v>0</v>
      </c>
      <c r="H5196" s="155">
        <v>0</v>
      </c>
      <c r="I5196" s="155">
        <v>0</v>
      </c>
      <c r="J5196" s="155">
        <v>0</v>
      </c>
    </row>
    <row r="5197" spans="1:10">
      <c r="A5197" s="81" t="s">
        <v>106</v>
      </c>
      <c r="B5197" s="81" t="s">
        <v>123</v>
      </c>
      <c r="C5197" s="151">
        <v>0.69097222222222199</v>
      </c>
      <c r="D5197" s="155">
        <v>0</v>
      </c>
      <c r="E5197" s="155">
        <v>0</v>
      </c>
      <c r="F5197" s="155">
        <v>0</v>
      </c>
      <c r="G5197" s="155">
        <v>0</v>
      </c>
      <c r="H5197" s="155">
        <v>0</v>
      </c>
      <c r="I5197" s="155">
        <v>0</v>
      </c>
      <c r="J5197" s="155">
        <v>0</v>
      </c>
    </row>
    <row r="5198" spans="1:10">
      <c r="A5198" s="81" t="s">
        <v>106</v>
      </c>
      <c r="B5198" s="81" t="s">
        <v>123</v>
      </c>
      <c r="C5198" s="151">
        <v>0.69166666666666698</v>
      </c>
      <c r="D5198" s="155">
        <v>0</v>
      </c>
      <c r="E5198" s="155">
        <v>0</v>
      </c>
      <c r="F5198" s="155">
        <v>0</v>
      </c>
      <c r="G5198" s="155">
        <v>0</v>
      </c>
      <c r="H5198" s="155">
        <v>0</v>
      </c>
      <c r="I5198" s="155">
        <v>0</v>
      </c>
      <c r="J5198" s="155">
        <v>0</v>
      </c>
    </row>
    <row r="5199" spans="1:10">
      <c r="A5199" s="81" t="s">
        <v>106</v>
      </c>
      <c r="B5199" s="81" t="s">
        <v>123</v>
      </c>
      <c r="C5199" s="151">
        <v>0.69236111111111098</v>
      </c>
      <c r="D5199" s="155">
        <v>0</v>
      </c>
      <c r="E5199" s="155">
        <v>0</v>
      </c>
      <c r="F5199" s="155">
        <v>0</v>
      </c>
      <c r="G5199" s="155">
        <v>0</v>
      </c>
      <c r="H5199" s="155">
        <v>0</v>
      </c>
      <c r="I5199" s="155">
        <v>0</v>
      </c>
      <c r="J5199" s="155">
        <v>0</v>
      </c>
    </row>
    <row r="5200" spans="1:10">
      <c r="A5200" s="81" t="s">
        <v>106</v>
      </c>
      <c r="B5200" s="81" t="s">
        <v>123</v>
      </c>
      <c r="C5200" s="151">
        <v>0.69305555555555498</v>
      </c>
      <c r="D5200" s="155">
        <v>0</v>
      </c>
      <c r="E5200" s="155">
        <v>0</v>
      </c>
      <c r="F5200" s="155">
        <v>0</v>
      </c>
      <c r="G5200" s="155">
        <v>0</v>
      </c>
      <c r="H5200" s="155">
        <v>0</v>
      </c>
      <c r="I5200" s="155">
        <v>0</v>
      </c>
      <c r="J5200" s="155">
        <v>0</v>
      </c>
    </row>
    <row r="5201" spans="1:10">
      <c r="A5201" s="81" t="s">
        <v>106</v>
      </c>
      <c r="B5201" s="81" t="s">
        <v>123</v>
      </c>
      <c r="C5201" s="151">
        <v>0.69374999999999998</v>
      </c>
      <c r="D5201" s="155">
        <v>0</v>
      </c>
      <c r="E5201" s="155">
        <v>0</v>
      </c>
      <c r="F5201" s="155">
        <v>0</v>
      </c>
      <c r="G5201" s="155">
        <v>0</v>
      </c>
      <c r="H5201" s="155">
        <v>0</v>
      </c>
      <c r="I5201" s="155">
        <v>0</v>
      </c>
      <c r="J5201" s="155">
        <v>0</v>
      </c>
    </row>
    <row r="5202" spans="1:10">
      <c r="A5202" s="81" t="s">
        <v>106</v>
      </c>
      <c r="B5202" s="81" t="s">
        <v>123</v>
      </c>
      <c r="C5202" s="151">
        <v>0.69444444444444398</v>
      </c>
      <c r="D5202" s="155">
        <v>0</v>
      </c>
      <c r="E5202" s="155">
        <v>0</v>
      </c>
      <c r="F5202" s="155">
        <v>0</v>
      </c>
      <c r="G5202" s="155">
        <v>0</v>
      </c>
      <c r="H5202" s="155">
        <v>0</v>
      </c>
      <c r="I5202" s="155">
        <v>0</v>
      </c>
      <c r="J5202" s="155">
        <v>0</v>
      </c>
    </row>
    <row r="5203" spans="1:10">
      <c r="A5203" s="81" t="s">
        <v>106</v>
      </c>
      <c r="B5203" s="81" t="s">
        <v>123</v>
      </c>
      <c r="C5203" s="151">
        <v>0.69513888888888897</v>
      </c>
      <c r="D5203" s="155">
        <v>0</v>
      </c>
      <c r="E5203" s="155">
        <v>0</v>
      </c>
      <c r="F5203" s="155">
        <v>0</v>
      </c>
      <c r="G5203" s="155">
        <v>0</v>
      </c>
      <c r="H5203" s="155">
        <v>0</v>
      </c>
      <c r="I5203" s="155">
        <v>0</v>
      </c>
      <c r="J5203" s="155">
        <v>0</v>
      </c>
    </row>
    <row r="5204" spans="1:10">
      <c r="A5204" s="81" t="s">
        <v>106</v>
      </c>
      <c r="B5204" s="81" t="s">
        <v>123</v>
      </c>
      <c r="C5204" s="151">
        <v>0.69583333333333297</v>
      </c>
      <c r="D5204" s="155">
        <v>0</v>
      </c>
      <c r="E5204" s="155">
        <v>0</v>
      </c>
      <c r="F5204" s="155">
        <v>0</v>
      </c>
      <c r="G5204" s="155">
        <v>0</v>
      </c>
      <c r="H5204" s="155">
        <v>0</v>
      </c>
      <c r="I5204" s="155">
        <v>0</v>
      </c>
      <c r="J5204" s="155">
        <v>0</v>
      </c>
    </row>
    <row r="5205" spans="1:10">
      <c r="A5205" s="81" t="s">
        <v>106</v>
      </c>
      <c r="B5205" s="81" t="s">
        <v>123</v>
      </c>
      <c r="C5205" s="151">
        <v>0.69652777777777797</v>
      </c>
      <c r="D5205" s="155">
        <v>0</v>
      </c>
      <c r="E5205" s="155">
        <v>0</v>
      </c>
      <c r="F5205" s="155">
        <v>0</v>
      </c>
      <c r="G5205" s="155">
        <v>0</v>
      </c>
      <c r="H5205" s="155">
        <v>0</v>
      </c>
      <c r="I5205" s="155">
        <v>0</v>
      </c>
      <c r="J5205" s="155">
        <v>0</v>
      </c>
    </row>
    <row r="5206" spans="1:10" s="80" customFormat="1">
      <c r="A5206" s="84" t="s">
        <v>106</v>
      </c>
      <c r="B5206" s="84" t="s">
        <v>123</v>
      </c>
      <c r="C5206" s="153">
        <v>0.69722222222222197</v>
      </c>
      <c r="D5206" s="155">
        <v>0</v>
      </c>
      <c r="E5206" s="155">
        <v>0</v>
      </c>
      <c r="F5206" s="155">
        <v>0</v>
      </c>
      <c r="G5206" s="155">
        <v>0</v>
      </c>
      <c r="H5206" s="155">
        <v>0</v>
      </c>
      <c r="I5206" s="155">
        <v>0</v>
      </c>
      <c r="J5206" s="155">
        <v>0</v>
      </c>
    </row>
    <row r="5207" spans="1:10">
      <c r="A5207" s="81" t="s">
        <v>106</v>
      </c>
      <c r="B5207" s="81" t="s">
        <v>123</v>
      </c>
      <c r="C5207" s="151">
        <v>0.69791666666666696</v>
      </c>
      <c r="D5207" s="157">
        <v>0</v>
      </c>
      <c r="E5207" s="157">
        <v>0</v>
      </c>
      <c r="F5207" s="157">
        <v>0</v>
      </c>
      <c r="G5207" s="157">
        <v>0</v>
      </c>
      <c r="H5207" s="157">
        <v>0</v>
      </c>
      <c r="I5207" s="157">
        <v>0</v>
      </c>
      <c r="J5207" s="157">
        <v>0</v>
      </c>
    </row>
    <row r="5208" spans="1:10">
      <c r="A5208" s="81" t="s">
        <v>106</v>
      </c>
      <c r="B5208" s="81" t="s">
        <v>123</v>
      </c>
      <c r="C5208" s="151">
        <v>0.69861111111111096</v>
      </c>
      <c r="D5208" s="155">
        <v>0</v>
      </c>
      <c r="E5208" s="155">
        <v>0</v>
      </c>
      <c r="F5208" s="155">
        <v>0</v>
      </c>
      <c r="G5208" s="155">
        <v>0</v>
      </c>
      <c r="H5208" s="155">
        <v>0</v>
      </c>
      <c r="I5208" s="155">
        <v>0</v>
      </c>
      <c r="J5208" s="155">
        <v>0</v>
      </c>
    </row>
    <row r="5209" spans="1:10">
      <c r="A5209" s="81" t="s">
        <v>106</v>
      </c>
      <c r="B5209" s="81" t="s">
        <v>123</v>
      </c>
      <c r="C5209" s="151">
        <v>0.69930555555555496</v>
      </c>
      <c r="D5209" s="155">
        <v>0</v>
      </c>
      <c r="E5209" s="155">
        <v>0</v>
      </c>
      <c r="F5209" s="155">
        <v>0</v>
      </c>
      <c r="G5209" s="155">
        <v>0</v>
      </c>
      <c r="H5209" s="155">
        <v>0</v>
      </c>
      <c r="I5209" s="155">
        <v>0</v>
      </c>
      <c r="J5209" s="155">
        <v>0</v>
      </c>
    </row>
    <row r="5210" spans="1:10">
      <c r="A5210" s="81" t="s">
        <v>106</v>
      </c>
      <c r="B5210" s="81" t="s">
        <v>123</v>
      </c>
      <c r="C5210" s="151">
        <v>0.7</v>
      </c>
      <c r="D5210" s="155">
        <v>0</v>
      </c>
      <c r="E5210" s="155">
        <v>0</v>
      </c>
      <c r="F5210" s="155">
        <v>0</v>
      </c>
      <c r="G5210" s="155">
        <v>0</v>
      </c>
      <c r="H5210" s="155">
        <v>0</v>
      </c>
      <c r="I5210" s="155">
        <v>0</v>
      </c>
      <c r="J5210" s="155">
        <v>0</v>
      </c>
    </row>
    <row r="5211" spans="1:10">
      <c r="A5211" s="81" t="s">
        <v>106</v>
      </c>
      <c r="B5211" s="81" t="s">
        <v>123</v>
      </c>
      <c r="C5211" s="151">
        <v>0.70069444444444395</v>
      </c>
      <c r="D5211" s="155">
        <v>0</v>
      </c>
      <c r="E5211" s="155">
        <v>0</v>
      </c>
      <c r="F5211" s="155">
        <v>0</v>
      </c>
      <c r="G5211" s="155">
        <v>0</v>
      </c>
      <c r="H5211" s="155">
        <v>0</v>
      </c>
      <c r="I5211" s="155">
        <v>0</v>
      </c>
      <c r="J5211" s="155">
        <v>0</v>
      </c>
    </row>
    <row r="5212" spans="1:10">
      <c r="A5212" s="81" t="s">
        <v>106</v>
      </c>
      <c r="B5212" s="81" t="s">
        <v>123</v>
      </c>
      <c r="C5212" s="151">
        <v>0.70138888888888895</v>
      </c>
      <c r="D5212" s="155">
        <v>0</v>
      </c>
      <c r="E5212" s="155">
        <v>0</v>
      </c>
      <c r="F5212" s="155">
        <v>0</v>
      </c>
      <c r="G5212" s="155">
        <v>0</v>
      </c>
      <c r="H5212" s="155">
        <v>0</v>
      </c>
      <c r="I5212" s="155">
        <v>0</v>
      </c>
      <c r="J5212" s="155">
        <v>0</v>
      </c>
    </row>
    <row r="5213" spans="1:10">
      <c r="A5213" s="81" t="s">
        <v>106</v>
      </c>
      <c r="B5213" s="81" t="s">
        <v>123</v>
      </c>
      <c r="C5213" s="151">
        <v>0.70208333333333295</v>
      </c>
      <c r="D5213" s="155">
        <v>0</v>
      </c>
      <c r="E5213" s="155">
        <v>0</v>
      </c>
      <c r="F5213" s="155">
        <v>0</v>
      </c>
      <c r="G5213" s="155">
        <v>0</v>
      </c>
      <c r="H5213" s="155">
        <v>0</v>
      </c>
      <c r="I5213" s="155">
        <v>0</v>
      </c>
      <c r="J5213" s="155">
        <v>0</v>
      </c>
    </row>
    <row r="5214" spans="1:10">
      <c r="A5214" s="81" t="s">
        <v>106</v>
      </c>
      <c r="B5214" s="81" t="s">
        <v>123</v>
      </c>
      <c r="C5214" s="151">
        <v>0.70277777777777795</v>
      </c>
      <c r="D5214" s="155">
        <v>0</v>
      </c>
      <c r="E5214" s="155">
        <v>0</v>
      </c>
      <c r="F5214" s="155">
        <v>0</v>
      </c>
      <c r="G5214" s="155">
        <v>0</v>
      </c>
      <c r="H5214" s="155">
        <v>0</v>
      </c>
      <c r="I5214" s="155">
        <v>0</v>
      </c>
      <c r="J5214" s="155">
        <v>0</v>
      </c>
    </row>
    <row r="5215" spans="1:10">
      <c r="A5215" s="81" t="s">
        <v>106</v>
      </c>
      <c r="B5215" s="81" t="s">
        <v>123</v>
      </c>
      <c r="C5215" s="151">
        <v>0.70347222222222205</v>
      </c>
      <c r="D5215" s="155">
        <v>0</v>
      </c>
      <c r="E5215" s="155">
        <v>0</v>
      </c>
      <c r="F5215" s="155">
        <v>0</v>
      </c>
      <c r="G5215" s="155">
        <v>0</v>
      </c>
      <c r="H5215" s="155">
        <v>0</v>
      </c>
      <c r="I5215" s="155">
        <v>0</v>
      </c>
      <c r="J5215" s="155">
        <v>0</v>
      </c>
    </row>
    <row r="5216" spans="1:10">
      <c r="A5216" s="81" t="s">
        <v>106</v>
      </c>
      <c r="B5216" s="81" t="s">
        <v>123</v>
      </c>
      <c r="C5216" s="151">
        <v>0.70416666666666605</v>
      </c>
      <c r="D5216" s="155">
        <v>0</v>
      </c>
      <c r="E5216" s="155">
        <v>0</v>
      </c>
      <c r="F5216" s="155">
        <v>0</v>
      </c>
      <c r="G5216" s="155">
        <v>0</v>
      </c>
      <c r="H5216" s="155">
        <v>0</v>
      </c>
      <c r="I5216" s="155">
        <v>0</v>
      </c>
      <c r="J5216" s="155">
        <v>0</v>
      </c>
    </row>
    <row r="5217" spans="1:10">
      <c r="A5217" s="81" t="s">
        <v>106</v>
      </c>
      <c r="B5217" s="81" t="s">
        <v>123</v>
      </c>
      <c r="C5217" s="151">
        <v>0.70486111111111105</v>
      </c>
      <c r="D5217" s="155">
        <v>0</v>
      </c>
      <c r="E5217" s="155">
        <v>0</v>
      </c>
      <c r="F5217" s="155">
        <v>0</v>
      </c>
      <c r="G5217" s="155">
        <v>0</v>
      </c>
      <c r="H5217" s="155">
        <v>0</v>
      </c>
      <c r="I5217" s="155">
        <v>0</v>
      </c>
      <c r="J5217" s="155">
        <v>0</v>
      </c>
    </row>
    <row r="5218" spans="1:10">
      <c r="A5218" s="81" t="s">
        <v>106</v>
      </c>
      <c r="B5218" s="81" t="s">
        <v>123</v>
      </c>
      <c r="C5218" s="151">
        <v>0.70555555555555505</v>
      </c>
      <c r="D5218" s="155">
        <v>0</v>
      </c>
      <c r="E5218" s="155">
        <v>0</v>
      </c>
      <c r="F5218" s="155">
        <v>0</v>
      </c>
      <c r="G5218" s="155">
        <v>0</v>
      </c>
      <c r="H5218" s="155">
        <v>0</v>
      </c>
      <c r="I5218" s="155">
        <v>0</v>
      </c>
      <c r="J5218" s="155">
        <v>0</v>
      </c>
    </row>
    <row r="5219" spans="1:10">
      <c r="A5219" s="81" t="s">
        <v>106</v>
      </c>
      <c r="B5219" s="81" t="s">
        <v>123</v>
      </c>
      <c r="C5219" s="151">
        <v>0.70625000000000004</v>
      </c>
      <c r="D5219" s="155">
        <v>0</v>
      </c>
      <c r="E5219" s="155">
        <v>0</v>
      </c>
      <c r="F5219" s="155">
        <v>0</v>
      </c>
      <c r="G5219" s="155">
        <v>0</v>
      </c>
      <c r="H5219" s="155">
        <v>0</v>
      </c>
      <c r="I5219" s="155">
        <v>0</v>
      </c>
      <c r="J5219" s="155">
        <v>0</v>
      </c>
    </row>
    <row r="5220" spans="1:10">
      <c r="A5220" s="81" t="s">
        <v>106</v>
      </c>
      <c r="B5220" s="81" t="s">
        <v>123</v>
      </c>
      <c r="C5220" s="151">
        <v>0.70694444444444404</v>
      </c>
      <c r="D5220" s="155">
        <v>0</v>
      </c>
      <c r="E5220" s="155">
        <v>0</v>
      </c>
      <c r="F5220" s="155">
        <v>0</v>
      </c>
      <c r="G5220" s="155">
        <v>0</v>
      </c>
      <c r="H5220" s="155">
        <v>0</v>
      </c>
      <c r="I5220" s="155">
        <v>0</v>
      </c>
      <c r="J5220" s="155">
        <v>0</v>
      </c>
    </row>
    <row r="5221" spans="1:10" s="80" customFormat="1">
      <c r="A5221" s="84" t="s">
        <v>106</v>
      </c>
      <c r="B5221" s="84" t="s">
        <v>123</v>
      </c>
      <c r="C5221" s="153">
        <v>0.70763888888888904</v>
      </c>
      <c r="D5221" s="156">
        <v>0</v>
      </c>
      <c r="E5221" s="156">
        <v>0</v>
      </c>
      <c r="F5221" s="156">
        <v>0</v>
      </c>
      <c r="G5221" s="156">
        <v>0</v>
      </c>
      <c r="H5221" s="156">
        <v>0</v>
      </c>
      <c r="I5221" s="156">
        <v>0</v>
      </c>
      <c r="J5221" s="156">
        <v>0</v>
      </c>
    </row>
    <row r="5222" spans="1:10">
      <c r="A5222" s="81" t="s">
        <v>106</v>
      </c>
      <c r="B5222" s="81" t="s">
        <v>123</v>
      </c>
      <c r="C5222" s="151">
        <v>0.70833333333333304</v>
      </c>
      <c r="D5222" s="157">
        <v>0</v>
      </c>
      <c r="E5222" s="157">
        <v>0</v>
      </c>
      <c r="F5222" s="157">
        <v>0</v>
      </c>
      <c r="G5222" s="157">
        <v>0</v>
      </c>
      <c r="H5222" s="157">
        <v>0</v>
      </c>
      <c r="I5222" s="157">
        <v>0</v>
      </c>
      <c r="J5222" s="157">
        <v>0</v>
      </c>
    </row>
    <row r="5223" spans="1:10">
      <c r="A5223" s="81" t="s">
        <v>106</v>
      </c>
      <c r="B5223" s="81" t="s">
        <v>123</v>
      </c>
      <c r="C5223" s="151">
        <v>0.70902777777777803</v>
      </c>
      <c r="D5223" s="155">
        <v>0</v>
      </c>
      <c r="E5223" s="155">
        <v>0</v>
      </c>
      <c r="F5223" s="155">
        <v>0</v>
      </c>
      <c r="G5223" s="155">
        <v>0</v>
      </c>
      <c r="H5223" s="155">
        <v>0</v>
      </c>
      <c r="I5223" s="155">
        <v>0</v>
      </c>
      <c r="J5223" s="155">
        <v>0</v>
      </c>
    </row>
    <row r="5224" spans="1:10">
      <c r="A5224" s="81" t="s">
        <v>106</v>
      </c>
      <c r="B5224" s="81" t="s">
        <v>123</v>
      </c>
      <c r="C5224" s="151">
        <v>0.70972222222222203</v>
      </c>
      <c r="D5224" s="155">
        <v>0</v>
      </c>
      <c r="E5224" s="155">
        <v>0</v>
      </c>
      <c r="F5224" s="155">
        <v>0</v>
      </c>
      <c r="G5224" s="155">
        <v>0</v>
      </c>
      <c r="H5224" s="155">
        <v>0</v>
      </c>
      <c r="I5224" s="155">
        <v>0</v>
      </c>
      <c r="J5224" s="155">
        <v>0</v>
      </c>
    </row>
    <row r="5225" spans="1:10">
      <c r="A5225" s="81" t="s">
        <v>106</v>
      </c>
      <c r="B5225" s="81" t="s">
        <v>123</v>
      </c>
      <c r="C5225" s="151">
        <v>0.71041666666666603</v>
      </c>
      <c r="D5225" s="155">
        <v>0</v>
      </c>
      <c r="E5225" s="155">
        <v>0</v>
      </c>
      <c r="F5225" s="155">
        <v>0</v>
      </c>
      <c r="G5225" s="155">
        <v>0</v>
      </c>
      <c r="H5225" s="155">
        <v>0</v>
      </c>
      <c r="I5225" s="155">
        <v>0</v>
      </c>
      <c r="J5225" s="155">
        <v>0</v>
      </c>
    </row>
    <row r="5226" spans="1:10">
      <c r="A5226" s="81" t="s">
        <v>106</v>
      </c>
      <c r="B5226" s="81" t="s">
        <v>123</v>
      </c>
      <c r="C5226" s="151">
        <v>0.71111111111111103</v>
      </c>
      <c r="D5226" s="155">
        <v>0</v>
      </c>
      <c r="E5226" s="155">
        <v>0</v>
      </c>
      <c r="F5226" s="155">
        <v>0</v>
      </c>
      <c r="G5226" s="155">
        <v>0</v>
      </c>
      <c r="H5226" s="155">
        <v>0</v>
      </c>
      <c r="I5226" s="155">
        <v>0</v>
      </c>
      <c r="J5226" s="155">
        <v>0</v>
      </c>
    </row>
    <row r="5227" spans="1:10">
      <c r="A5227" s="81" t="s">
        <v>106</v>
      </c>
      <c r="B5227" s="81" t="s">
        <v>123</v>
      </c>
      <c r="C5227" s="151">
        <v>0.71180555555555503</v>
      </c>
      <c r="D5227" s="155">
        <v>0</v>
      </c>
      <c r="E5227" s="155">
        <v>0</v>
      </c>
      <c r="F5227" s="155">
        <v>0</v>
      </c>
      <c r="G5227" s="155">
        <v>0</v>
      </c>
      <c r="H5227" s="155">
        <v>0</v>
      </c>
      <c r="I5227" s="155">
        <v>0</v>
      </c>
      <c r="J5227" s="155">
        <v>0</v>
      </c>
    </row>
    <row r="5228" spans="1:10">
      <c r="A5228" s="81" t="s">
        <v>106</v>
      </c>
      <c r="B5228" s="81" t="s">
        <v>123</v>
      </c>
      <c r="C5228" s="151">
        <v>0.71250000000000002</v>
      </c>
      <c r="D5228" s="155">
        <v>0</v>
      </c>
      <c r="E5228" s="155">
        <v>0</v>
      </c>
      <c r="F5228" s="155">
        <v>0</v>
      </c>
      <c r="G5228" s="155">
        <v>0</v>
      </c>
      <c r="H5228" s="155">
        <v>0</v>
      </c>
      <c r="I5228" s="155">
        <v>0</v>
      </c>
      <c r="J5228" s="155">
        <v>0</v>
      </c>
    </row>
    <row r="5229" spans="1:10">
      <c r="A5229" s="81" t="s">
        <v>106</v>
      </c>
      <c r="B5229" s="81" t="s">
        <v>123</v>
      </c>
      <c r="C5229" s="151">
        <v>0.71319444444444402</v>
      </c>
      <c r="D5229" s="155">
        <v>0</v>
      </c>
      <c r="E5229" s="155">
        <v>0</v>
      </c>
      <c r="F5229" s="155">
        <v>0</v>
      </c>
      <c r="G5229" s="155">
        <v>0</v>
      </c>
      <c r="H5229" s="155">
        <v>0</v>
      </c>
      <c r="I5229" s="155">
        <v>0</v>
      </c>
      <c r="J5229" s="155">
        <v>0</v>
      </c>
    </row>
    <row r="5230" spans="1:10">
      <c r="A5230" s="81" t="s">
        <v>106</v>
      </c>
      <c r="B5230" s="81" t="s">
        <v>123</v>
      </c>
      <c r="C5230" s="151">
        <v>0.71388888888888902</v>
      </c>
      <c r="D5230" s="155">
        <v>0</v>
      </c>
      <c r="E5230" s="155">
        <v>0</v>
      </c>
      <c r="F5230" s="155">
        <v>0</v>
      </c>
      <c r="G5230" s="155">
        <v>0</v>
      </c>
      <c r="H5230" s="155">
        <v>0</v>
      </c>
      <c r="I5230" s="155">
        <v>0</v>
      </c>
      <c r="J5230" s="155">
        <v>0</v>
      </c>
    </row>
    <row r="5231" spans="1:10">
      <c r="A5231" s="81" t="s">
        <v>106</v>
      </c>
      <c r="B5231" s="81" t="s">
        <v>123</v>
      </c>
      <c r="C5231" s="151">
        <v>0.71458333333333302</v>
      </c>
      <c r="D5231" s="155">
        <v>0</v>
      </c>
      <c r="E5231" s="155">
        <v>0</v>
      </c>
      <c r="F5231" s="155">
        <v>0</v>
      </c>
      <c r="G5231" s="155">
        <v>0</v>
      </c>
      <c r="H5231" s="155">
        <v>0</v>
      </c>
      <c r="I5231" s="155">
        <v>0</v>
      </c>
      <c r="J5231" s="155">
        <v>0</v>
      </c>
    </row>
    <row r="5232" spans="1:10">
      <c r="A5232" s="81" t="s">
        <v>106</v>
      </c>
      <c r="B5232" s="81" t="s">
        <v>123</v>
      </c>
      <c r="C5232" s="151">
        <v>0.71527777777777801</v>
      </c>
      <c r="D5232" s="155">
        <v>0</v>
      </c>
      <c r="E5232" s="155">
        <v>0</v>
      </c>
      <c r="F5232" s="155">
        <v>0</v>
      </c>
      <c r="G5232" s="155">
        <v>0</v>
      </c>
      <c r="H5232" s="155">
        <v>0</v>
      </c>
      <c r="I5232" s="155">
        <v>0</v>
      </c>
      <c r="J5232" s="155">
        <v>0</v>
      </c>
    </row>
    <row r="5233" spans="1:10">
      <c r="A5233" s="81" t="s">
        <v>106</v>
      </c>
      <c r="B5233" s="81" t="s">
        <v>123</v>
      </c>
      <c r="C5233" s="151">
        <v>0.71597222222222201</v>
      </c>
      <c r="D5233" s="155">
        <v>0</v>
      </c>
      <c r="E5233" s="155">
        <v>0</v>
      </c>
      <c r="F5233" s="155">
        <v>0</v>
      </c>
      <c r="G5233" s="155">
        <v>0</v>
      </c>
      <c r="H5233" s="155">
        <v>0</v>
      </c>
      <c r="I5233" s="155">
        <v>0</v>
      </c>
      <c r="J5233" s="155">
        <v>0</v>
      </c>
    </row>
    <row r="5234" spans="1:10">
      <c r="A5234" s="81" t="s">
        <v>106</v>
      </c>
      <c r="B5234" s="81" t="s">
        <v>123</v>
      </c>
      <c r="C5234" s="151">
        <v>0.71666666666666601</v>
      </c>
      <c r="D5234" s="155">
        <v>0</v>
      </c>
      <c r="E5234" s="155">
        <v>0</v>
      </c>
      <c r="F5234" s="155">
        <v>0</v>
      </c>
      <c r="G5234" s="155">
        <v>0</v>
      </c>
      <c r="H5234" s="155">
        <v>0</v>
      </c>
      <c r="I5234" s="155">
        <v>0</v>
      </c>
      <c r="J5234" s="155">
        <v>0</v>
      </c>
    </row>
    <row r="5235" spans="1:10">
      <c r="A5235" s="81" t="s">
        <v>106</v>
      </c>
      <c r="B5235" s="81" t="s">
        <v>123</v>
      </c>
      <c r="C5235" s="151">
        <v>0.71736111111111101</v>
      </c>
      <c r="D5235" s="155">
        <v>0</v>
      </c>
      <c r="E5235" s="155">
        <v>0</v>
      </c>
      <c r="F5235" s="155">
        <v>0</v>
      </c>
      <c r="G5235" s="155">
        <v>0</v>
      </c>
      <c r="H5235" s="155">
        <v>0</v>
      </c>
      <c r="I5235" s="155">
        <v>0</v>
      </c>
      <c r="J5235" s="155">
        <v>0</v>
      </c>
    </row>
    <row r="5236" spans="1:10" s="80" customFormat="1">
      <c r="A5236" s="84" t="s">
        <v>106</v>
      </c>
      <c r="B5236" s="84" t="s">
        <v>123</v>
      </c>
      <c r="C5236" s="153">
        <v>0.718055555555555</v>
      </c>
      <c r="D5236" s="155">
        <v>0</v>
      </c>
      <c r="E5236" s="155">
        <v>0</v>
      </c>
      <c r="F5236" s="155">
        <v>0</v>
      </c>
      <c r="G5236" s="155">
        <v>0</v>
      </c>
      <c r="H5236" s="155">
        <v>0</v>
      </c>
      <c r="I5236" s="155">
        <v>0</v>
      </c>
      <c r="J5236" s="155">
        <v>0</v>
      </c>
    </row>
    <row r="5237" spans="1:10">
      <c r="A5237" s="81" t="s">
        <v>106</v>
      </c>
      <c r="B5237" s="81" t="s">
        <v>123</v>
      </c>
      <c r="C5237" s="151">
        <v>0.71875</v>
      </c>
      <c r="D5237" s="157">
        <v>0</v>
      </c>
      <c r="E5237" s="157">
        <v>0</v>
      </c>
      <c r="F5237" s="157">
        <v>0</v>
      </c>
      <c r="G5237" s="157">
        <v>0</v>
      </c>
      <c r="H5237" s="157">
        <v>0</v>
      </c>
      <c r="I5237" s="157">
        <v>0</v>
      </c>
      <c r="J5237" s="157">
        <v>0</v>
      </c>
    </row>
    <row r="5238" spans="1:10">
      <c r="A5238" s="81" t="s">
        <v>106</v>
      </c>
      <c r="B5238" s="81" t="s">
        <v>123</v>
      </c>
      <c r="C5238" s="151">
        <v>0.719444444444444</v>
      </c>
      <c r="D5238" s="155">
        <v>0</v>
      </c>
      <c r="E5238" s="155">
        <v>0</v>
      </c>
      <c r="F5238" s="155">
        <v>0</v>
      </c>
      <c r="G5238" s="155">
        <v>0</v>
      </c>
      <c r="H5238" s="155">
        <v>0</v>
      </c>
      <c r="I5238" s="155">
        <v>0</v>
      </c>
      <c r="J5238" s="155">
        <v>0</v>
      </c>
    </row>
    <row r="5239" spans="1:10">
      <c r="A5239" s="81" t="s">
        <v>106</v>
      </c>
      <c r="B5239" s="81" t="s">
        <v>123</v>
      </c>
      <c r="C5239" s="151">
        <v>0.72013888888888899</v>
      </c>
      <c r="D5239" s="155">
        <v>0</v>
      </c>
      <c r="E5239" s="155">
        <v>0</v>
      </c>
      <c r="F5239" s="155">
        <v>0</v>
      </c>
      <c r="G5239" s="155">
        <v>0</v>
      </c>
      <c r="H5239" s="155">
        <v>0</v>
      </c>
      <c r="I5239" s="155">
        <v>0</v>
      </c>
      <c r="J5239" s="155">
        <v>0</v>
      </c>
    </row>
    <row r="5240" spans="1:10">
      <c r="A5240" s="81" t="s">
        <v>106</v>
      </c>
      <c r="B5240" s="81" t="s">
        <v>123</v>
      </c>
      <c r="C5240" s="151">
        <v>0.72083333333333299</v>
      </c>
      <c r="D5240" s="155">
        <v>0</v>
      </c>
      <c r="E5240" s="155">
        <v>0</v>
      </c>
      <c r="F5240" s="155">
        <v>0</v>
      </c>
      <c r="G5240" s="155">
        <v>0</v>
      </c>
      <c r="H5240" s="155">
        <v>0</v>
      </c>
      <c r="I5240" s="155">
        <v>0</v>
      </c>
      <c r="J5240" s="155">
        <v>0</v>
      </c>
    </row>
    <row r="5241" spans="1:10">
      <c r="A5241" s="81" t="s">
        <v>106</v>
      </c>
      <c r="B5241" s="81" t="s">
        <v>123</v>
      </c>
      <c r="C5241" s="151">
        <v>0.72152777777777799</v>
      </c>
      <c r="D5241" s="155">
        <v>0</v>
      </c>
      <c r="E5241" s="155">
        <v>0</v>
      </c>
      <c r="F5241" s="155">
        <v>0</v>
      </c>
      <c r="G5241" s="155">
        <v>0</v>
      </c>
      <c r="H5241" s="155">
        <v>0</v>
      </c>
      <c r="I5241" s="155">
        <v>0</v>
      </c>
      <c r="J5241" s="155">
        <v>0</v>
      </c>
    </row>
    <row r="5242" spans="1:10">
      <c r="A5242" s="81" t="s">
        <v>106</v>
      </c>
      <c r="B5242" s="81" t="s">
        <v>123</v>
      </c>
      <c r="C5242" s="151">
        <v>0.72222222222222199</v>
      </c>
      <c r="D5242" s="155">
        <v>0</v>
      </c>
      <c r="E5242" s="155">
        <v>0</v>
      </c>
      <c r="F5242" s="155">
        <v>0</v>
      </c>
      <c r="G5242" s="155">
        <v>0</v>
      </c>
      <c r="H5242" s="155">
        <v>0</v>
      </c>
      <c r="I5242" s="155">
        <v>0</v>
      </c>
      <c r="J5242" s="155">
        <v>0</v>
      </c>
    </row>
    <row r="5243" spans="1:10">
      <c r="A5243" s="81" t="s">
        <v>106</v>
      </c>
      <c r="B5243" s="81" t="s">
        <v>123</v>
      </c>
      <c r="C5243" s="151">
        <v>0.72291666666666599</v>
      </c>
      <c r="D5243" s="155">
        <v>0</v>
      </c>
      <c r="E5243" s="155">
        <v>0</v>
      </c>
      <c r="F5243" s="155">
        <v>0</v>
      </c>
      <c r="G5243" s="155">
        <v>0</v>
      </c>
      <c r="H5243" s="155">
        <v>0</v>
      </c>
      <c r="I5243" s="155">
        <v>0</v>
      </c>
      <c r="J5243" s="155">
        <v>0</v>
      </c>
    </row>
    <row r="5244" spans="1:10">
      <c r="A5244" s="81" t="s">
        <v>106</v>
      </c>
      <c r="B5244" s="81" t="s">
        <v>123</v>
      </c>
      <c r="C5244" s="151">
        <v>0.72361111111111098</v>
      </c>
      <c r="D5244" s="155">
        <v>0</v>
      </c>
      <c r="E5244" s="155">
        <v>0</v>
      </c>
      <c r="F5244" s="155">
        <v>0</v>
      </c>
      <c r="G5244" s="155">
        <v>0</v>
      </c>
      <c r="H5244" s="155">
        <v>0</v>
      </c>
      <c r="I5244" s="155">
        <v>0</v>
      </c>
      <c r="J5244" s="155">
        <v>0</v>
      </c>
    </row>
    <row r="5245" spans="1:10">
      <c r="A5245" s="81" t="s">
        <v>106</v>
      </c>
      <c r="B5245" s="81" t="s">
        <v>123</v>
      </c>
      <c r="C5245" s="151">
        <v>0.72430555555555498</v>
      </c>
      <c r="D5245" s="155">
        <v>0</v>
      </c>
      <c r="E5245" s="155">
        <v>0</v>
      </c>
      <c r="F5245" s="155">
        <v>0</v>
      </c>
      <c r="G5245" s="155">
        <v>0</v>
      </c>
      <c r="H5245" s="155">
        <v>0</v>
      </c>
      <c r="I5245" s="155">
        <v>0</v>
      </c>
      <c r="J5245" s="155">
        <v>0</v>
      </c>
    </row>
    <row r="5246" spans="1:10">
      <c r="A5246" s="81" t="s">
        <v>106</v>
      </c>
      <c r="B5246" s="81" t="s">
        <v>123</v>
      </c>
      <c r="C5246" s="151">
        <v>0.72499999999999998</v>
      </c>
      <c r="D5246" s="155">
        <v>0</v>
      </c>
      <c r="E5246" s="155">
        <v>0</v>
      </c>
      <c r="F5246" s="155">
        <v>0</v>
      </c>
      <c r="G5246" s="155">
        <v>0</v>
      </c>
      <c r="H5246" s="155">
        <v>0</v>
      </c>
      <c r="I5246" s="155">
        <v>0</v>
      </c>
      <c r="J5246" s="155">
        <v>0</v>
      </c>
    </row>
    <row r="5247" spans="1:10">
      <c r="A5247" s="81" t="s">
        <v>106</v>
      </c>
      <c r="B5247" s="81" t="s">
        <v>123</v>
      </c>
      <c r="C5247" s="151">
        <v>0.72569444444444398</v>
      </c>
      <c r="D5247" s="155">
        <v>0</v>
      </c>
      <c r="E5247" s="155">
        <v>0</v>
      </c>
      <c r="F5247" s="155">
        <v>0</v>
      </c>
      <c r="G5247" s="155">
        <v>0</v>
      </c>
      <c r="H5247" s="155">
        <v>0</v>
      </c>
      <c r="I5247" s="155">
        <v>0</v>
      </c>
      <c r="J5247" s="155">
        <v>0</v>
      </c>
    </row>
    <row r="5248" spans="1:10">
      <c r="A5248" s="81" t="s">
        <v>106</v>
      </c>
      <c r="B5248" s="81" t="s">
        <v>123</v>
      </c>
      <c r="C5248" s="151">
        <v>0.72638888888888897</v>
      </c>
      <c r="D5248" s="155">
        <v>0</v>
      </c>
      <c r="E5248" s="155">
        <v>0</v>
      </c>
      <c r="F5248" s="155">
        <v>0</v>
      </c>
      <c r="G5248" s="155">
        <v>0</v>
      </c>
      <c r="H5248" s="155">
        <v>0</v>
      </c>
      <c r="I5248" s="155">
        <v>0</v>
      </c>
      <c r="J5248" s="155">
        <v>0</v>
      </c>
    </row>
    <row r="5249" spans="1:10">
      <c r="A5249" s="81" t="s">
        <v>106</v>
      </c>
      <c r="B5249" s="81" t="s">
        <v>123</v>
      </c>
      <c r="C5249" s="151">
        <v>0.72708333333333297</v>
      </c>
      <c r="D5249" s="155">
        <v>0</v>
      </c>
      <c r="E5249" s="155">
        <v>0</v>
      </c>
      <c r="F5249" s="155">
        <v>0</v>
      </c>
      <c r="G5249" s="155">
        <v>0</v>
      </c>
      <c r="H5249" s="155">
        <v>0</v>
      </c>
      <c r="I5249" s="155">
        <v>0</v>
      </c>
      <c r="J5249" s="155">
        <v>0</v>
      </c>
    </row>
    <row r="5250" spans="1:10">
      <c r="A5250" s="81" t="s">
        <v>106</v>
      </c>
      <c r="B5250" s="81" t="s">
        <v>123</v>
      </c>
      <c r="C5250" s="151">
        <v>0.72777777777777797</v>
      </c>
      <c r="D5250" s="155">
        <v>0</v>
      </c>
      <c r="E5250" s="155">
        <v>0</v>
      </c>
      <c r="F5250" s="155">
        <v>0</v>
      </c>
      <c r="G5250" s="155">
        <v>0</v>
      </c>
      <c r="H5250" s="155">
        <v>0</v>
      </c>
      <c r="I5250" s="155">
        <v>0</v>
      </c>
      <c r="J5250" s="155">
        <v>0</v>
      </c>
    </row>
    <row r="5251" spans="1:10" s="80" customFormat="1">
      <c r="A5251" s="84" t="s">
        <v>106</v>
      </c>
      <c r="B5251" s="84" t="s">
        <v>123</v>
      </c>
      <c r="C5251" s="153">
        <v>0.72847222222222197</v>
      </c>
      <c r="D5251" s="156">
        <v>0</v>
      </c>
      <c r="E5251" s="156">
        <v>0</v>
      </c>
      <c r="F5251" s="156">
        <v>0</v>
      </c>
      <c r="G5251" s="156">
        <v>0</v>
      </c>
      <c r="H5251" s="156">
        <v>0</v>
      </c>
      <c r="I5251" s="156">
        <v>0</v>
      </c>
      <c r="J5251" s="156">
        <v>0</v>
      </c>
    </row>
    <row r="5252" spans="1:10">
      <c r="A5252" s="81" t="s">
        <v>106</v>
      </c>
      <c r="B5252" s="81" t="s">
        <v>123</v>
      </c>
      <c r="C5252" s="151">
        <v>0.72916666666666596</v>
      </c>
      <c r="D5252" s="157">
        <v>0</v>
      </c>
      <c r="E5252" s="157">
        <v>0</v>
      </c>
      <c r="F5252" s="157">
        <v>0</v>
      </c>
      <c r="G5252" s="157">
        <v>0</v>
      </c>
      <c r="H5252" s="157">
        <v>0</v>
      </c>
      <c r="I5252" s="157">
        <v>0</v>
      </c>
      <c r="J5252" s="157">
        <v>0</v>
      </c>
    </row>
    <row r="5253" spans="1:10">
      <c r="A5253" s="81" t="s">
        <v>106</v>
      </c>
      <c r="B5253" s="81" t="s">
        <v>123</v>
      </c>
      <c r="C5253" s="151">
        <v>0.72986111111111096</v>
      </c>
      <c r="D5253" s="155">
        <v>0</v>
      </c>
      <c r="E5253" s="155">
        <v>0</v>
      </c>
      <c r="F5253" s="155">
        <v>0</v>
      </c>
      <c r="G5253" s="155">
        <v>0</v>
      </c>
      <c r="H5253" s="155">
        <v>0</v>
      </c>
      <c r="I5253" s="155">
        <v>0</v>
      </c>
      <c r="J5253" s="155">
        <v>0</v>
      </c>
    </row>
    <row r="5254" spans="1:10">
      <c r="A5254" s="81" t="s">
        <v>106</v>
      </c>
      <c r="B5254" s="81" t="s">
        <v>123</v>
      </c>
      <c r="C5254" s="151">
        <v>0.73055555555555496</v>
      </c>
      <c r="D5254" s="155">
        <v>0</v>
      </c>
      <c r="E5254" s="155">
        <v>0</v>
      </c>
      <c r="F5254" s="155">
        <v>0</v>
      </c>
      <c r="G5254" s="155">
        <v>0</v>
      </c>
      <c r="H5254" s="155">
        <v>0</v>
      </c>
      <c r="I5254" s="155">
        <v>0</v>
      </c>
      <c r="J5254" s="155">
        <v>0</v>
      </c>
    </row>
    <row r="5255" spans="1:10">
      <c r="A5255" s="81" t="s">
        <v>106</v>
      </c>
      <c r="B5255" s="81" t="s">
        <v>123</v>
      </c>
      <c r="C5255" s="151">
        <v>0.73124999999999996</v>
      </c>
      <c r="D5255" s="155">
        <v>0</v>
      </c>
      <c r="E5255" s="155">
        <v>0</v>
      </c>
      <c r="F5255" s="155">
        <v>0</v>
      </c>
      <c r="G5255" s="155">
        <v>0</v>
      </c>
      <c r="H5255" s="155">
        <v>0</v>
      </c>
      <c r="I5255" s="155">
        <v>0</v>
      </c>
      <c r="J5255" s="155">
        <v>0</v>
      </c>
    </row>
    <row r="5256" spans="1:10">
      <c r="A5256" s="81" t="s">
        <v>106</v>
      </c>
      <c r="B5256" s="81" t="s">
        <v>123</v>
      </c>
      <c r="C5256" s="151">
        <v>0.73194444444444395</v>
      </c>
      <c r="D5256" s="155">
        <v>0</v>
      </c>
      <c r="E5256" s="155">
        <v>0</v>
      </c>
      <c r="F5256" s="155">
        <v>0</v>
      </c>
      <c r="G5256" s="155">
        <v>0</v>
      </c>
      <c r="H5256" s="155">
        <v>0</v>
      </c>
      <c r="I5256" s="155">
        <v>0</v>
      </c>
      <c r="J5256" s="155">
        <v>0</v>
      </c>
    </row>
    <row r="5257" spans="1:10">
      <c r="A5257" s="81" t="s">
        <v>106</v>
      </c>
      <c r="B5257" s="81" t="s">
        <v>123</v>
      </c>
      <c r="C5257" s="151">
        <v>0.73263888888888895</v>
      </c>
      <c r="D5257" s="155">
        <v>0</v>
      </c>
      <c r="E5257" s="155">
        <v>0</v>
      </c>
      <c r="F5257" s="155">
        <v>0</v>
      </c>
      <c r="G5257" s="155">
        <v>0</v>
      </c>
      <c r="H5257" s="155">
        <v>0</v>
      </c>
      <c r="I5257" s="155">
        <v>0</v>
      </c>
      <c r="J5257" s="155">
        <v>0</v>
      </c>
    </row>
    <row r="5258" spans="1:10">
      <c r="A5258" s="81" t="s">
        <v>106</v>
      </c>
      <c r="B5258" s="81" t="s">
        <v>123</v>
      </c>
      <c r="C5258" s="151">
        <v>0.73333333333333295</v>
      </c>
      <c r="D5258" s="155">
        <v>0</v>
      </c>
      <c r="E5258" s="155">
        <v>0</v>
      </c>
      <c r="F5258" s="155">
        <v>0</v>
      </c>
      <c r="G5258" s="155">
        <v>0</v>
      </c>
      <c r="H5258" s="155">
        <v>0</v>
      </c>
      <c r="I5258" s="155">
        <v>0</v>
      </c>
      <c r="J5258" s="155">
        <v>0</v>
      </c>
    </row>
    <row r="5259" spans="1:10">
      <c r="A5259" s="81" t="s">
        <v>106</v>
      </c>
      <c r="B5259" s="81" t="s">
        <v>123</v>
      </c>
      <c r="C5259" s="151">
        <v>0.73402777777777795</v>
      </c>
      <c r="D5259" s="155">
        <v>0</v>
      </c>
      <c r="E5259" s="155">
        <v>0</v>
      </c>
      <c r="F5259" s="155">
        <v>0</v>
      </c>
      <c r="G5259" s="155">
        <v>0</v>
      </c>
      <c r="H5259" s="155">
        <v>0</v>
      </c>
      <c r="I5259" s="155">
        <v>0</v>
      </c>
      <c r="J5259" s="155">
        <v>0</v>
      </c>
    </row>
    <row r="5260" spans="1:10">
      <c r="A5260" s="81" t="s">
        <v>106</v>
      </c>
      <c r="B5260" s="81" t="s">
        <v>123</v>
      </c>
      <c r="C5260" s="151">
        <v>0.73472222222222205</v>
      </c>
      <c r="D5260" s="155">
        <v>0</v>
      </c>
      <c r="E5260" s="155">
        <v>0</v>
      </c>
      <c r="F5260" s="155">
        <v>0</v>
      </c>
      <c r="G5260" s="155">
        <v>0</v>
      </c>
      <c r="H5260" s="155">
        <v>0</v>
      </c>
      <c r="I5260" s="155">
        <v>0</v>
      </c>
      <c r="J5260" s="155">
        <v>0</v>
      </c>
    </row>
    <row r="5261" spans="1:10">
      <c r="A5261" s="81" t="s">
        <v>106</v>
      </c>
      <c r="B5261" s="81" t="s">
        <v>123</v>
      </c>
      <c r="C5261" s="151">
        <v>0.73541666666666605</v>
      </c>
      <c r="D5261" s="155">
        <v>0</v>
      </c>
      <c r="E5261" s="155">
        <v>0</v>
      </c>
      <c r="F5261" s="155">
        <v>0</v>
      </c>
      <c r="G5261" s="155">
        <v>0</v>
      </c>
      <c r="H5261" s="155">
        <v>0</v>
      </c>
      <c r="I5261" s="155">
        <v>0</v>
      </c>
      <c r="J5261" s="155">
        <v>0</v>
      </c>
    </row>
    <row r="5262" spans="1:10">
      <c r="A5262" s="81" t="s">
        <v>106</v>
      </c>
      <c r="B5262" s="81" t="s">
        <v>123</v>
      </c>
      <c r="C5262" s="151">
        <v>0.73611111111111105</v>
      </c>
      <c r="D5262" s="155">
        <v>0</v>
      </c>
      <c r="E5262" s="155">
        <v>0</v>
      </c>
      <c r="F5262" s="155">
        <v>0</v>
      </c>
      <c r="G5262" s="155">
        <v>0</v>
      </c>
      <c r="H5262" s="155">
        <v>0</v>
      </c>
      <c r="I5262" s="155">
        <v>0</v>
      </c>
      <c r="J5262" s="155">
        <v>0</v>
      </c>
    </row>
    <row r="5263" spans="1:10">
      <c r="A5263" s="81" t="s">
        <v>106</v>
      </c>
      <c r="B5263" s="81" t="s">
        <v>123</v>
      </c>
      <c r="C5263" s="151">
        <v>0.73680555555555505</v>
      </c>
      <c r="D5263" s="155">
        <v>0</v>
      </c>
      <c r="E5263" s="155">
        <v>0</v>
      </c>
      <c r="F5263" s="155">
        <v>0</v>
      </c>
      <c r="G5263" s="155">
        <v>0</v>
      </c>
      <c r="H5263" s="155">
        <v>0</v>
      </c>
      <c r="I5263" s="155">
        <v>0</v>
      </c>
      <c r="J5263" s="155">
        <v>0</v>
      </c>
    </row>
    <row r="5264" spans="1:10">
      <c r="A5264" s="81" t="s">
        <v>106</v>
      </c>
      <c r="B5264" s="81" t="s">
        <v>123</v>
      </c>
      <c r="C5264" s="151">
        <v>0.73750000000000004</v>
      </c>
      <c r="D5264" s="155">
        <v>0</v>
      </c>
      <c r="E5264" s="155">
        <v>0</v>
      </c>
      <c r="F5264" s="155">
        <v>0</v>
      </c>
      <c r="G5264" s="155">
        <v>0</v>
      </c>
      <c r="H5264" s="155">
        <v>0</v>
      </c>
      <c r="I5264" s="155">
        <v>0</v>
      </c>
      <c r="J5264" s="155">
        <v>0</v>
      </c>
    </row>
    <row r="5265" spans="1:10">
      <c r="A5265" s="81" t="s">
        <v>106</v>
      </c>
      <c r="B5265" s="81" t="s">
        <v>123</v>
      </c>
      <c r="C5265" s="151">
        <v>0.73819444444444404</v>
      </c>
      <c r="D5265" s="155">
        <v>0</v>
      </c>
      <c r="E5265" s="155">
        <v>0</v>
      </c>
      <c r="F5265" s="155">
        <v>0</v>
      </c>
      <c r="G5265" s="155">
        <v>0</v>
      </c>
      <c r="H5265" s="155">
        <v>0</v>
      </c>
      <c r="I5265" s="155">
        <v>0</v>
      </c>
      <c r="J5265" s="155">
        <v>0</v>
      </c>
    </row>
    <row r="5266" spans="1:10" s="80" customFormat="1">
      <c r="A5266" s="84" t="s">
        <v>106</v>
      </c>
      <c r="B5266" s="84" t="s">
        <v>123</v>
      </c>
      <c r="C5266" s="153">
        <v>0.73888888888888904</v>
      </c>
      <c r="D5266" s="155">
        <v>0</v>
      </c>
      <c r="E5266" s="155">
        <v>0</v>
      </c>
      <c r="F5266" s="155">
        <v>0</v>
      </c>
      <c r="G5266" s="155">
        <v>0</v>
      </c>
      <c r="H5266" s="155">
        <v>0</v>
      </c>
      <c r="I5266" s="155">
        <v>0</v>
      </c>
      <c r="J5266" s="155">
        <v>0</v>
      </c>
    </row>
    <row r="5267" spans="1:10">
      <c r="A5267" s="81" t="s">
        <v>106</v>
      </c>
      <c r="B5267" s="81" t="s">
        <v>123</v>
      </c>
      <c r="C5267" s="151">
        <v>0.73958333333333304</v>
      </c>
      <c r="D5267" s="157">
        <v>0</v>
      </c>
      <c r="E5267" s="157">
        <v>0</v>
      </c>
      <c r="F5267" s="157">
        <v>0</v>
      </c>
      <c r="G5267" s="157">
        <v>0</v>
      </c>
      <c r="H5267" s="157">
        <v>0</v>
      </c>
      <c r="I5267" s="157">
        <v>0</v>
      </c>
      <c r="J5267" s="157">
        <v>0</v>
      </c>
    </row>
    <row r="5268" spans="1:10">
      <c r="A5268" s="81" t="s">
        <v>106</v>
      </c>
      <c r="B5268" s="81" t="s">
        <v>123</v>
      </c>
      <c r="C5268" s="151">
        <v>0.74027777777777704</v>
      </c>
      <c r="D5268" s="155">
        <v>0</v>
      </c>
      <c r="E5268" s="155">
        <v>0</v>
      </c>
      <c r="F5268" s="155">
        <v>0</v>
      </c>
      <c r="G5268" s="155">
        <v>0</v>
      </c>
      <c r="H5268" s="155">
        <v>0</v>
      </c>
      <c r="I5268" s="155">
        <v>0</v>
      </c>
      <c r="J5268" s="155">
        <v>0</v>
      </c>
    </row>
    <row r="5269" spans="1:10">
      <c r="A5269" s="81" t="s">
        <v>106</v>
      </c>
      <c r="B5269" s="81" t="s">
        <v>123</v>
      </c>
      <c r="C5269" s="151">
        <v>0.74097222222222203</v>
      </c>
      <c r="D5269" s="155">
        <v>0</v>
      </c>
      <c r="E5269" s="155">
        <v>0</v>
      </c>
      <c r="F5269" s="155">
        <v>0</v>
      </c>
      <c r="G5269" s="155">
        <v>0</v>
      </c>
      <c r="H5269" s="155">
        <v>0</v>
      </c>
      <c r="I5269" s="155">
        <v>0</v>
      </c>
      <c r="J5269" s="155">
        <v>0</v>
      </c>
    </row>
    <row r="5270" spans="1:10">
      <c r="A5270" s="81" t="s">
        <v>106</v>
      </c>
      <c r="B5270" s="81" t="s">
        <v>123</v>
      </c>
      <c r="C5270" s="151">
        <v>0.74166666666666603</v>
      </c>
      <c r="D5270" s="155">
        <v>0</v>
      </c>
      <c r="E5270" s="155">
        <v>0</v>
      </c>
      <c r="F5270" s="155">
        <v>0</v>
      </c>
      <c r="G5270" s="155">
        <v>0</v>
      </c>
      <c r="H5270" s="155">
        <v>0</v>
      </c>
      <c r="I5270" s="155">
        <v>0</v>
      </c>
      <c r="J5270" s="155">
        <v>0</v>
      </c>
    </row>
    <row r="5271" spans="1:10">
      <c r="A5271" s="81" t="s">
        <v>106</v>
      </c>
      <c r="B5271" s="81" t="s">
        <v>123</v>
      </c>
      <c r="C5271" s="151">
        <v>0.74236111111111103</v>
      </c>
      <c r="D5271" s="155">
        <v>0</v>
      </c>
      <c r="E5271" s="155">
        <v>0</v>
      </c>
      <c r="F5271" s="155">
        <v>0</v>
      </c>
      <c r="G5271" s="155">
        <v>0</v>
      </c>
      <c r="H5271" s="155">
        <v>0</v>
      </c>
      <c r="I5271" s="155">
        <v>0</v>
      </c>
      <c r="J5271" s="155">
        <v>0</v>
      </c>
    </row>
    <row r="5272" spans="1:10">
      <c r="A5272" s="81" t="s">
        <v>106</v>
      </c>
      <c r="B5272" s="81" t="s">
        <v>123</v>
      </c>
      <c r="C5272" s="151">
        <v>0.74305555555555503</v>
      </c>
      <c r="D5272" s="155">
        <v>0</v>
      </c>
      <c r="E5272" s="155">
        <v>0</v>
      </c>
      <c r="F5272" s="155">
        <v>0</v>
      </c>
      <c r="G5272" s="155">
        <v>0</v>
      </c>
      <c r="H5272" s="155">
        <v>0</v>
      </c>
      <c r="I5272" s="155">
        <v>0</v>
      </c>
      <c r="J5272" s="155">
        <v>0</v>
      </c>
    </row>
    <row r="5273" spans="1:10">
      <c r="A5273" s="81" t="s">
        <v>106</v>
      </c>
      <c r="B5273" s="81" t="s">
        <v>123</v>
      </c>
      <c r="C5273" s="151">
        <v>0.74375000000000002</v>
      </c>
      <c r="D5273" s="155">
        <v>0</v>
      </c>
      <c r="E5273" s="155">
        <v>0</v>
      </c>
      <c r="F5273" s="155">
        <v>0</v>
      </c>
      <c r="G5273" s="155">
        <v>0</v>
      </c>
      <c r="H5273" s="155">
        <v>0</v>
      </c>
      <c r="I5273" s="155">
        <v>0</v>
      </c>
      <c r="J5273" s="155">
        <v>0</v>
      </c>
    </row>
    <row r="5274" spans="1:10">
      <c r="A5274" s="81" t="s">
        <v>106</v>
      </c>
      <c r="B5274" s="81" t="s">
        <v>123</v>
      </c>
      <c r="C5274" s="151">
        <v>0.74444444444444402</v>
      </c>
      <c r="D5274" s="155">
        <v>0</v>
      </c>
      <c r="E5274" s="155">
        <v>0</v>
      </c>
      <c r="F5274" s="155">
        <v>0</v>
      </c>
      <c r="G5274" s="155">
        <v>0</v>
      </c>
      <c r="H5274" s="155">
        <v>0</v>
      </c>
      <c r="I5274" s="155">
        <v>0</v>
      </c>
      <c r="J5274" s="155">
        <v>0</v>
      </c>
    </row>
    <row r="5275" spans="1:10">
      <c r="A5275" s="81" t="s">
        <v>106</v>
      </c>
      <c r="B5275" s="81" t="s">
        <v>123</v>
      </c>
      <c r="C5275" s="151">
        <v>0.74513888888888902</v>
      </c>
      <c r="D5275" s="155">
        <v>0</v>
      </c>
      <c r="E5275" s="155">
        <v>0</v>
      </c>
      <c r="F5275" s="155">
        <v>0</v>
      </c>
      <c r="G5275" s="155">
        <v>0</v>
      </c>
      <c r="H5275" s="155">
        <v>0</v>
      </c>
      <c r="I5275" s="155">
        <v>0</v>
      </c>
      <c r="J5275" s="155">
        <v>0</v>
      </c>
    </row>
    <row r="5276" spans="1:10">
      <c r="A5276" s="81" t="s">
        <v>106</v>
      </c>
      <c r="B5276" s="81" t="s">
        <v>123</v>
      </c>
      <c r="C5276" s="151">
        <v>0.74583333333333302</v>
      </c>
      <c r="D5276" s="155">
        <v>0</v>
      </c>
      <c r="E5276" s="155">
        <v>0</v>
      </c>
      <c r="F5276" s="155">
        <v>0</v>
      </c>
      <c r="G5276" s="155">
        <v>0</v>
      </c>
      <c r="H5276" s="155">
        <v>0</v>
      </c>
      <c r="I5276" s="155">
        <v>0</v>
      </c>
      <c r="J5276" s="155">
        <v>0</v>
      </c>
    </row>
    <row r="5277" spans="1:10">
      <c r="A5277" s="81" t="s">
        <v>106</v>
      </c>
      <c r="B5277" s="81" t="s">
        <v>123</v>
      </c>
      <c r="C5277" s="151">
        <v>0.74652777777777701</v>
      </c>
      <c r="D5277" s="155">
        <v>0</v>
      </c>
      <c r="E5277" s="155">
        <v>0</v>
      </c>
      <c r="F5277" s="155">
        <v>0</v>
      </c>
      <c r="G5277" s="155">
        <v>0</v>
      </c>
      <c r="H5277" s="155">
        <v>0</v>
      </c>
      <c r="I5277" s="155">
        <v>0</v>
      </c>
      <c r="J5277" s="155">
        <v>0</v>
      </c>
    </row>
    <row r="5278" spans="1:10">
      <c r="A5278" s="81" t="s">
        <v>106</v>
      </c>
      <c r="B5278" s="81" t="s">
        <v>123</v>
      </c>
      <c r="C5278" s="151">
        <v>0.74722222222222201</v>
      </c>
      <c r="D5278" s="155">
        <v>0</v>
      </c>
      <c r="E5278" s="155">
        <v>0</v>
      </c>
      <c r="F5278" s="155">
        <v>0</v>
      </c>
      <c r="G5278" s="155">
        <v>0</v>
      </c>
      <c r="H5278" s="155">
        <v>0</v>
      </c>
      <c r="I5278" s="155">
        <v>0</v>
      </c>
      <c r="J5278" s="155">
        <v>0</v>
      </c>
    </row>
    <row r="5279" spans="1:10">
      <c r="A5279" s="81" t="s">
        <v>106</v>
      </c>
      <c r="B5279" s="81" t="s">
        <v>123</v>
      </c>
      <c r="C5279" s="151">
        <v>0.74791666666666601</v>
      </c>
      <c r="D5279" s="155">
        <v>0</v>
      </c>
      <c r="E5279" s="155">
        <v>0</v>
      </c>
      <c r="F5279" s="155">
        <v>0</v>
      </c>
      <c r="G5279" s="155">
        <v>0</v>
      </c>
      <c r="H5279" s="155">
        <v>0</v>
      </c>
      <c r="I5279" s="155">
        <v>0</v>
      </c>
      <c r="J5279" s="155">
        <v>0</v>
      </c>
    </row>
    <row r="5280" spans="1:10">
      <c r="A5280" s="81" t="s">
        <v>106</v>
      </c>
      <c r="B5280" s="81" t="s">
        <v>123</v>
      </c>
      <c r="C5280" s="151">
        <v>0.74861111111111101</v>
      </c>
      <c r="D5280" s="155">
        <v>0</v>
      </c>
      <c r="E5280" s="155">
        <v>0</v>
      </c>
      <c r="F5280" s="155">
        <v>0</v>
      </c>
      <c r="G5280" s="155">
        <v>0</v>
      </c>
      <c r="H5280" s="155">
        <v>0</v>
      </c>
      <c r="I5280" s="155">
        <v>0</v>
      </c>
      <c r="J5280" s="155">
        <v>0</v>
      </c>
    </row>
    <row r="5281" spans="1:10" s="28" customFormat="1" ht="17.5" thickBot="1">
      <c r="A5281" s="100" t="s">
        <v>106</v>
      </c>
      <c r="B5281" s="100" t="s">
        <v>123</v>
      </c>
      <c r="C5281" s="152">
        <v>0.749305555555555</v>
      </c>
      <c r="D5281" s="158">
        <v>0</v>
      </c>
      <c r="E5281" s="158">
        <v>0</v>
      </c>
      <c r="F5281" s="158">
        <v>0</v>
      </c>
      <c r="G5281" s="158">
        <v>0</v>
      </c>
      <c r="H5281" s="158">
        <v>0</v>
      </c>
      <c r="I5281" s="158">
        <v>0</v>
      </c>
      <c r="J5281" s="158">
        <v>0</v>
      </c>
    </row>
    <row r="5282" spans="1:10">
      <c r="A5282" s="81" t="s">
        <v>106</v>
      </c>
      <c r="B5282" s="81" t="s">
        <v>126</v>
      </c>
      <c r="C5282" s="151">
        <v>0.66666666666666663</v>
      </c>
      <c r="D5282" s="155">
        <v>0</v>
      </c>
      <c r="E5282" s="155">
        <v>0</v>
      </c>
      <c r="F5282" s="155">
        <v>0</v>
      </c>
      <c r="G5282" s="155">
        <v>0</v>
      </c>
      <c r="H5282" s="155">
        <v>0</v>
      </c>
      <c r="I5282" s="155">
        <v>0</v>
      </c>
      <c r="J5282" s="155">
        <v>0</v>
      </c>
    </row>
    <row r="5283" spans="1:10">
      <c r="A5283" s="81" t="s">
        <v>106</v>
      </c>
      <c r="B5283" s="81" t="s">
        <v>125</v>
      </c>
      <c r="C5283" s="151">
        <v>0.66736111111111107</v>
      </c>
      <c r="D5283" s="155">
        <v>0</v>
      </c>
      <c r="E5283" s="155">
        <v>0</v>
      </c>
      <c r="F5283" s="155">
        <v>0</v>
      </c>
      <c r="G5283" s="155">
        <v>0</v>
      </c>
      <c r="H5283" s="155">
        <v>0</v>
      </c>
      <c r="I5283" s="155">
        <v>0</v>
      </c>
      <c r="J5283" s="155">
        <v>0</v>
      </c>
    </row>
    <row r="5284" spans="1:10">
      <c r="A5284" s="81" t="s">
        <v>106</v>
      </c>
      <c r="B5284" s="81" t="s">
        <v>125</v>
      </c>
      <c r="C5284" s="151">
        <v>0.66805555555555596</v>
      </c>
      <c r="D5284" s="155">
        <v>0</v>
      </c>
      <c r="E5284" s="155">
        <v>0</v>
      </c>
      <c r="F5284" s="155">
        <v>0</v>
      </c>
      <c r="G5284" s="155">
        <v>0</v>
      </c>
      <c r="H5284" s="155">
        <v>0</v>
      </c>
      <c r="I5284" s="155">
        <v>0</v>
      </c>
      <c r="J5284" s="155">
        <v>0</v>
      </c>
    </row>
    <row r="5285" spans="1:10">
      <c r="A5285" s="81" t="s">
        <v>106</v>
      </c>
      <c r="B5285" s="81" t="s">
        <v>125</v>
      </c>
      <c r="C5285" s="151">
        <v>0.66874999999999996</v>
      </c>
      <c r="D5285" s="155">
        <v>0</v>
      </c>
      <c r="E5285" s="155">
        <v>0</v>
      </c>
      <c r="F5285" s="155">
        <v>0</v>
      </c>
      <c r="G5285" s="155">
        <v>0</v>
      </c>
      <c r="H5285" s="155">
        <v>0</v>
      </c>
      <c r="I5285" s="155">
        <v>0</v>
      </c>
      <c r="J5285" s="155">
        <v>0</v>
      </c>
    </row>
    <row r="5286" spans="1:10">
      <c r="A5286" s="81" t="s">
        <v>106</v>
      </c>
      <c r="B5286" s="81" t="s">
        <v>125</v>
      </c>
      <c r="C5286" s="151">
        <v>0.66944444444444395</v>
      </c>
      <c r="D5286" s="155">
        <v>0</v>
      </c>
      <c r="E5286" s="155">
        <v>0</v>
      </c>
      <c r="F5286" s="155">
        <v>0</v>
      </c>
      <c r="G5286" s="155">
        <v>0</v>
      </c>
      <c r="H5286" s="155">
        <v>0</v>
      </c>
      <c r="I5286" s="155">
        <v>0</v>
      </c>
      <c r="J5286" s="155">
        <v>0</v>
      </c>
    </row>
    <row r="5287" spans="1:10">
      <c r="A5287" s="81" t="s">
        <v>106</v>
      </c>
      <c r="B5287" s="81" t="s">
        <v>125</v>
      </c>
      <c r="C5287" s="151">
        <v>0.67013888888888895</v>
      </c>
      <c r="D5287" s="155">
        <v>0</v>
      </c>
      <c r="E5287" s="155">
        <v>0</v>
      </c>
      <c r="F5287" s="155">
        <v>0</v>
      </c>
      <c r="G5287" s="155">
        <v>0</v>
      </c>
      <c r="H5287" s="155">
        <v>0</v>
      </c>
      <c r="I5287" s="155">
        <v>0</v>
      </c>
      <c r="J5287" s="155">
        <v>0</v>
      </c>
    </row>
    <row r="5288" spans="1:10">
      <c r="A5288" s="81" t="s">
        <v>106</v>
      </c>
      <c r="B5288" s="81" t="s">
        <v>125</v>
      </c>
      <c r="C5288" s="151">
        <v>0.67083333333333295</v>
      </c>
      <c r="D5288" s="155">
        <v>0</v>
      </c>
      <c r="E5288" s="155">
        <v>0</v>
      </c>
      <c r="F5288" s="155">
        <v>0</v>
      </c>
      <c r="G5288" s="155">
        <v>0</v>
      </c>
      <c r="H5288" s="155">
        <v>0</v>
      </c>
      <c r="I5288" s="155">
        <v>0</v>
      </c>
      <c r="J5288" s="155">
        <v>0</v>
      </c>
    </row>
    <row r="5289" spans="1:10">
      <c r="A5289" s="81" t="s">
        <v>106</v>
      </c>
      <c r="B5289" s="81" t="s">
        <v>125</v>
      </c>
      <c r="C5289" s="151">
        <v>0.67152777777777795</v>
      </c>
      <c r="D5289" s="155">
        <v>0</v>
      </c>
      <c r="E5289" s="155">
        <v>0</v>
      </c>
      <c r="F5289" s="155">
        <v>0</v>
      </c>
      <c r="G5289" s="155">
        <v>0</v>
      </c>
      <c r="H5289" s="155">
        <v>0</v>
      </c>
      <c r="I5289" s="155">
        <v>0</v>
      </c>
      <c r="J5289" s="155">
        <v>0</v>
      </c>
    </row>
    <row r="5290" spans="1:10">
      <c r="A5290" s="81" t="s">
        <v>106</v>
      </c>
      <c r="B5290" s="81" t="s">
        <v>125</v>
      </c>
      <c r="C5290" s="151">
        <v>0.67222222222222205</v>
      </c>
      <c r="D5290" s="155">
        <v>0</v>
      </c>
      <c r="E5290" s="155">
        <v>0</v>
      </c>
      <c r="F5290" s="155">
        <v>0</v>
      </c>
      <c r="G5290" s="155">
        <v>0</v>
      </c>
      <c r="H5290" s="155">
        <v>0</v>
      </c>
      <c r="I5290" s="155">
        <v>0</v>
      </c>
      <c r="J5290" s="155">
        <v>0</v>
      </c>
    </row>
    <row r="5291" spans="1:10">
      <c r="A5291" s="81" t="s">
        <v>106</v>
      </c>
      <c r="B5291" s="81" t="s">
        <v>125</v>
      </c>
      <c r="C5291" s="151">
        <v>0.67291666666666705</v>
      </c>
      <c r="D5291" s="155">
        <v>0</v>
      </c>
      <c r="E5291" s="155">
        <v>0</v>
      </c>
      <c r="F5291" s="155">
        <v>0</v>
      </c>
      <c r="G5291" s="155">
        <v>0</v>
      </c>
      <c r="H5291" s="155">
        <v>0</v>
      </c>
      <c r="I5291" s="155">
        <v>0</v>
      </c>
      <c r="J5291" s="155">
        <v>0</v>
      </c>
    </row>
    <row r="5292" spans="1:10">
      <c r="A5292" s="81" t="s">
        <v>106</v>
      </c>
      <c r="B5292" s="81" t="s">
        <v>125</v>
      </c>
      <c r="C5292" s="151">
        <v>0.67361111111111105</v>
      </c>
      <c r="D5292" s="155">
        <v>0</v>
      </c>
      <c r="E5292" s="155">
        <v>0</v>
      </c>
      <c r="F5292" s="155">
        <v>0</v>
      </c>
      <c r="G5292" s="155">
        <v>0</v>
      </c>
      <c r="H5292" s="155">
        <v>0</v>
      </c>
      <c r="I5292" s="155">
        <v>0</v>
      </c>
      <c r="J5292" s="155">
        <v>0</v>
      </c>
    </row>
    <row r="5293" spans="1:10">
      <c r="A5293" s="81" t="s">
        <v>106</v>
      </c>
      <c r="B5293" s="81" t="s">
        <v>125</v>
      </c>
      <c r="C5293" s="151">
        <v>0.67430555555555505</v>
      </c>
      <c r="D5293" s="155">
        <v>0</v>
      </c>
      <c r="E5293" s="155">
        <v>0</v>
      </c>
      <c r="F5293" s="155">
        <v>0</v>
      </c>
      <c r="G5293" s="155">
        <v>0</v>
      </c>
      <c r="H5293" s="155">
        <v>0</v>
      </c>
      <c r="I5293" s="155">
        <v>0</v>
      </c>
      <c r="J5293" s="155">
        <v>0</v>
      </c>
    </row>
    <row r="5294" spans="1:10">
      <c r="A5294" s="81" t="s">
        <v>106</v>
      </c>
      <c r="B5294" s="81" t="s">
        <v>125</v>
      </c>
      <c r="C5294" s="151">
        <v>0.67500000000000004</v>
      </c>
      <c r="D5294" s="155">
        <v>0</v>
      </c>
      <c r="E5294" s="155">
        <v>0</v>
      </c>
      <c r="F5294" s="155">
        <v>0</v>
      </c>
      <c r="G5294" s="155">
        <v>0</v>
      </c>
      <c r="H5294" s="155">
        <v>0</v>
      </c>
      <c r="I5294" s="155">
        <v>0</v>
      </c>
      <c r="J5294" s="155">
        <v>0</v>
      </c>
    </row>
    <row r="5295" spans="1:10">
      <c r="A5295" s="81" t="s">
        <v>106</v>
      </c>
      <c r="B5295" s="81" t="s">
        <v>125</v>
      </c>
      <c r="C5295" s="151">
        <v>0.67569444444444404</v>
      </c>
      <c r="D5295" s="155">
        <v>0</v>
      </c>
      <c r="E5295" s="155">
        <v>0</v>
      </c>
      <c r="F5295" s="155">
        <v>0</v>
      </c>
      <c r="G5295" s="155">
        <v>0</v>
      </c>
      <c r="H5295" s="155">
        <v>0</v>
      </c>
      <c r="I5295" s="155">
        <v>0</v>
      </c>
      <c r="J5295" s="155">
        <v>0</v>
      </c>
    </row>
    <row r="5296" spans="1:10" s="80" customFormat="1">
      <c r="A5296" s="84" t="s">
        <v>106</v>
      </c>
      <c r="B5296" s="84" t="s">
        <v>125</v>
      </c>
      <c r="C5296" s="153">
        <v>0.67638888888888904</v>
      </c>
      <c r="D5296" s="156">
        <v>0</v>
      </c>
      <c r="E5296" s="156">
        <v>0</v>
      </c>
      <c r="F5296" s="156">
        <v>0</v>
      </c>
      <c r="G5296" s="156">
        <v>0</v>
      </c>
      <c r="H5296" s="156">
        <v>0</v>
      </c>
      <c r="I5296" s="156">
        <v>0</v>
      </c>
      <c r="J5296" s="156">
        <v>0</v>
      </c>
    </row>
    <row r="5297" spans="1:10">
      <c r="A5297" s="81" t="s">
        <v>106</v>
      </c>
      <c r="B5297" s="81" t="s">
        <v>125</v>
      </c>
      <c r="C5297" s="151">
        <v>0.67708333333333304</v>
      </c>
      <c r="D5297" s="157">
        <v>0</v>
      </c>
      <c r="E5297" s="157">
        <v>0</v>
      </c>
      <c r="F5297" s="157">
        <v>0</v>
      </c>
      <c r="G5297" s="157">
        <v>0</v>
      </c>
      <c r="H5297" s="157">
        <v>0</v>
      </c>
      <c r="I5297" s="157">
        <v>0</v>
      </c>
      <c r="J5297" s="157">
        <v>0</v>
      </c>
    </row>
    <row r="5298" spans="1:10">
      <c r="A5298" s="81" t="s">
        <v>106</v>
      </c>
      <c r="B5298" s="81" t="s">
        <v>125</v>
      </c>
      <c r="C5298" s="151">
        <v>0.67777777777777803</v>
      </c>
      <c r="D5298" s="155">
        <v>0</v>
      </c>
      <c r="E5298" s="155">
        <v>0</v>
      </c>
      <c r="F5298" s="155">
        <v>0</v>
      </c>
      <c r="G5298" s="155">
        <v>0</v>
      </c>
      <c r="H5298" s="155">
        <v>0</v>
      </c>
      <c r="I5298" s="155">
        <v>0</v>
      </c>
      <c r="J5298" s="155">
        <v>0</v>
      </c>
    </row>
    <row r="5299" spans="1:10">
      <c r="A5299" s="81" t="s">
        <v>106</v>
      </c>
      <c r="B5299" s="81" t="s">
        <v>125</v>
      </c>
      <c r="C5299" s="151">
        <v>0.67847222222222203</v>
      </c>
      <c r="D5299" s="155">
        <v>0</v>
      </c>
      <c r="E5299" s="155">
        <v>0</v>
      </c>
      <c r="F5299" s="155">
        <v>0</v>
      </c>
      <c r="G5299" s="155">
        <v>0</v>
      </c>
      <c r="H5299" s="155">
        <v>0</v>
      </c>
      <c r="I5299" s="155">
        <v>0</v>
      </c>
      <c r="J5299" s="155">
        <v>0</v>
      </c>
    </row>
    <row r="5300" spans="1:10">
      <c r="A5300" s="81" t="s">
        <v>106</v>
      </c>
      <c r="B5300" s="81" t="s">
        <v>125</v>
      </c>
      <c r="C5300" s="151">
        <v>0.67916666666666703</v>
      </c>
      <c r="D5300" s="155">
        <v>0</v>
      </c>
      <c r="E5300" s="155">
        <v>0</v>
      </c>
      <c r="F5300" s="155">
        <v>0</v>
      </c>
      <c r="G5300" s="155">
        <v>0</v>
      </c>
      <c r="H5300" s="155">
        <v>0</v>
      </c>
      <c r="I5300" s="155">
        <v>0</v>
      </c>
      <c r="J5300" s="155">
        <v>0</v>
      </c>
    </row>
    <row r="5301" spans="1:10">
      <c r="A5301" s="81" t="s">
        <v>106</v>
      </c>
      <c r="B5301" s="81" t="s">
        <v>125</v>
      </c>
      <c r="C5301" s="151">
        <v>0.67986111111111103</v>
      </c>
      <c r="D5301" s="155">
        <v>0</v>
      </c>
      <c r="E5301" s="155">
        <v>0</v>
      </c>
      <c r="F5301" s="155">
        <v>0</v>
      </c>
      <c r="G5301" s="155">
        <v>0</v>
      </c>
      <c r="H5301" s="155">
        <v>0</v>
      </c>
      <c r="I5301" s="155">
        <v>0</v>
      </c>
      <c r="J5301" s="155">
        <v>0</v>
      </c>
    </row>
    <row r="5302" spans="1:10">
      <c r="A5302" s="81" t="s">
        <v>106</v>
      </c>
      <c r="B5302" s="81" t="s">
        <v>125</v>
      </c>
      <c r="C5302" s="151">
        <v>0.68055555555555503</v>
      </c>
      <c r="D5302" s="155">
        <v>0</v>
      </c>
      <c r="E5302" s="155">
        <v>0</v>
      </c>
      <c r="F5302" s="155">
        <v>0</v>
      </c>
      <c r="G5302" s="155">
        <v>0</v>
      </c>
      <c r="H5302" s="155">
        <v>0</v>
      </c>
      <c r="I5302" s="155">
        <v>0</v>
      </c>
      <c r="J5302" s="155">
        <v>0</v>
      </c>
    </row>
    <row r="5303" spans="1:10">
      <c r="A5303" s="81" t="s">
        <v>106</v>
      </c>
      <c r="B5303" s="81" t="s">
        <v>125</v>
      </c>
      <c r="C5303" s="151">
        <v>0.68125000000000002</v>
      </c>
      <c r="D5303" s="155">
        <v>0</v>
      </c>
      <c r="E5303" s="155">
        <v>0</v>
      </c>
      <c r="F5303" s="155">
        <v>0</v>
      </c>
      <c r="G5303" s="155">
        <v>0</v>
      </c>
      <c r="H5303" s="155">
        <v>0</v>
      </c>
      <c r="I5303" s="155">
        <v>0</v>
      </c>
      <c r="J5303" s="155">
        <v>0</v>
      </c>
    </row>
    <row r="5304" spans="1:10">
      <c r="A5304" s="81" t="s">
        <v>106</v>
      </c>
      <c r="B5304" s="81" t="s">
        <v>125</v>
      </c>
      <c r="C5304" s="151">
        <v>0.68194444444444402</v>
      </c>
      <c r="D5304" s="155">
        <v>0</v>
      </c>
      <c r="E5304" s="155">
        <v>0</v>
      </c>
      <c r="F5304" s="155">
        <v>0</v>
      </c>
      <c r="G5304" s="155">
        <v>0</v>
      </c>
      <c r="H5304" s="155">
        <v>0</v>
      </c>
      <c r="I5304" s="155">
        <v>0</v>
      </c>
      <c r="J5304" s="155">
        <v>0</v>
      </c>
    </row>
    <row r="5305" spans="1:10">
      <c r="A5305" s="81" t="s">
        <v>106</v>
      </c>
      <c r="B5305" s="81" t="s">
        <v>125</v>
      </c>
      <c r="C5305" s="151">
        <v>0.68263888888888902</v>
      </c>
      <c r="D5305" s="155">
        <v>0</v>
      </c>
      <c r="E5305" s="155">
        <v>0</v>
      </c>
      <c r="F5305" s="155">
        <v>0</v>
      </c>
      <c r="G5305" s="155">
        <v>0</v>
      </c>
      <c r="H5305" s="155">
        <v>0</v>
      </c>
      <c r="I5305" s="155">
        <v>0</v>
      </c>
      <c r="J5305" s="155">
        <v>0</v>
      </c>
    </row>
    <row r="5306" spans="1:10">
      <c r="A5306" s="81" t="s">
        <v>106</v>
      </c>
      <c r="B5306" s="81" t="s">
        <v>125</v>
      </c>
      <c r="C5306" s="151">
        <v>0.68333333333333302</v>
      </c>
      <c r="D5306" s="155">
        <v>0</v>
      </c>
      <c r="E5306" s="155">
        <v>0</v>
      </c>
      <c r="F5306" s="155">
        <v>0</v>
      </c>
      <c r="G5306" s="155">
        <v>0</v>
      </c>
      <c r="H5306" s="155">
        <v>0</v>
      </c>
      <c r="I5306" s="155">
        <v>0</v>
      </c>
      <c r="J5306" s="155">
        <v>0</v>
      </c>
    </row>
    <row r="5307" spans="1:10">
      <c r="A5307" s="81" t="s">
        <v>106</v>
      </c>
      <c r="B5307" s="81" t="s">
        <v>125</v>
      </c>
      <c r="C5307" s="151">
        <v>0.68402777777777801</v>
      </c>
      <c r="D5307" s="155">
        <v>0</v>
      </c>
      <c r="E5307" s="155">
        <v>0</v>
      </c>
      <c r="F5307" s="155">
        <v>0</v>
      </c>
      <c r="G5307" s="155">
        <v>0</v>
      </c>
      <c r="H5307" s="155">
        <v>0</v>
      </c>
      <c r="I5307" s="155">
        <v>0</v>
      </c>
      <c r="J5307" s="155">
        <v>0</v>
      </c>
    </row>
    <row r="5308" spans="1:10">
      <c r="A5308" s="81" t="s">
        <v>106</v>
      </c>
      <c r="B5308" s="81" t="s">
        <v>125</v>
      </c>
      <c r="C5308" s="151">
        <v>0.68472222222222201</v>
      </c>
      <c r="D5308" s="155">
        <v>0</v>
      </c>
      <c r="E5308" s="155">
        <v>0</v>
      </c>
      <c r="F5308" s="155">
        <v>0</v>
      </c>
      <c r="G5308" s="155">
        <v>0</v>
      </c>
      <c r="H5308" s="155">
        <v>0</v>
      </c>
      <c r="I5308" s="155">
        <v>0</v>
      </c>
      <c r="J5308" s="155">
        <v>0</v>
      </c>
    </row>
    <row r="5309" spans="1:10">
      <c r="A5309" s="81" t="s">
        <v>106</v>
      </c>
      <c r="B5309" s="81" t="s">
        <v>125</v>
      </c>
      <c r="C5309" s="151">
        <v>0.68541666666666701</v>
      </c>
      <c r="D5309" s="155">
        <v>0</v>
      </c>
      <c r="E5309" s="155">
        <v>0</v>
      </c>
      <c r="F5309" s="155">
        <v>0</v>
      </c>
      <c r="G5309" s="155">
        <v>0</v>
      </c>
      <c r="H5309" s="155">
        <v>0</v>
      </c>
      <c r="I5309" s="155">
        <v>0</v>
      </c>
      <c r="J5309" s="155">
        <v>0</v>
      </c>
    </row>
    <row r="5310" spans="1:10">
      <c r="A5310" s="81" t="s">
        <v>106</v>
      </c>
      <c r="B5310" s="81" t="s">
        <v>125</v>
      </c>
      <c r="C5310" s="151">
        <v>0.68611111111111101</v>
      </c>
      <c r="D5310" s="155">
        <v>0</v>
      </c>
      <c r="E5310" s="155">
        <v>0</v>
      </c>
      <c r="F5310" s="155">
        <v>0</v>
      </c>
      <c r="G5310" s="155">
        <v>0</v>
      </c>
      <c r="H5310" s="155">
        <v>0</v>
      </c>
      <c r="I5310" s="155">
        <v>0</v>
      </c>
      <c r="J5310" s="155">
        <v>0</v>
      </c>
    </row>
    <row r="5311" spans="1:10" s="80" customFormat="1">
      <c r="A5311" s="84" t="s">
        <v>106</v>
      </c>
      <c r="B5311" s="84" t="s">
        <v>125</v>
      </c>
      <c r="C5311" s="153">
        <v>0.686805555555555</v>
      </c>
      <c r="D5311" s="155">
        <v>0</v>
      </c>
      <c r="E5311" s="155">
        <v>0</v>
      </c>
      <c r="F5311" s="155">
        <v>0</v>
      </c>
      <c r="G5311" s="155">
        <v>0</v>
      </c>
      <c r="H5311" s="155">
        <v>0</v>
      </c>
      <c r="I5311" s="155">
        <v>0</v>
      </c>
      <c r="J5311" s="155">
        <v>0</v>
      </c>
    </row>
    <row r="5312" spans="1:10">
      <c r="A5312" s="81" t="s">
        <v>106</v>
      </c>
      <c r="B5312" s="81" t="s">
        <v>125</v>
      </c>
      <c r="C5312" s="151">
        <v>0.6875</v>
      </c>
      <c r="D5312" s="157">
        <v>0</v>
      </c>
      <c r="E5312" s="157">
        <v>0</v>
      </c>
      <c r="F5312" s="157">
        <v>0</v>
      </c>
      <c r="G5312" s="157">
        <v>0</v>
      </c>
      <c r="H5312" s="157">
        <v>0</v>
      </c>
      <c r="I5312" s="157">
        <v>0</v>
      </c>
      <c r="J5312" s="157">
        <v>0</v>
      </c>
    </row>
    <row r="5313" spans="1:10">
      <c r="A5313" s="81" t="s">
        <v>106</v>
      </c>
      <c r="B5313" s="81" t="s">
        <v>125</v>
      </c>
      <c r="C5313" s="151">
        <v>0.688194444444444</v>
      </c>
      <c r="D5313" s="155">
        <v>0</v>
      </c>
      <c r="E5313" s="155">
        <v>0</v>
      </c>
      <c r="F5313" s="155">
        <v>0</v>
      </c>
      <c r="G5313" s="155">
        <v>0</v>
      </c>
      <c r="H5313" s="155">
        <v>0</v>
      </c>
      <c r="I5313" s="155">
        <v>0</v>
      </c>
      <c r="J5313" s="155">
        <v>0</v>
      </c>
    </row>
    <row r="5314" spans="1:10">
      <c r="A5314" s="81" t="s">
        <v>106</v>
      </c>
      <c r="B5314" s="81" t="s">
        <v>125</v>
      </c>
      <c r="C5314" s="151">
        <v>0.68888888888888899</v>
      </c>
      <c r="D5314" s="155">
        <v>0</v>
      </c>
      <c r="E5314" s="155">
        <v>0</v>
      </c>
      <c r="F5314" s="155">
        <v>0</v>
      </c>
      <c r="G5314" s="155">
        <v>0</v>
      </c>
      <c r="H5314" s="155">
        <v>0</v>
      </c>
      <c r="I5314" s="155">
        <v>0</v>
      </c>
      <c r="J5314" s="155">
        <v>0</v>
      </c>
    </row>
    <row r="5315" spans="1:10">
      <c r="A5315" s="81" t="s">
        <v>106</v>
      </c>
      <c r="B5315" s="81" t="s">
        <v>125</v>
      </c>
      <c r="C5315" s="151">
        <v>0.68958333333333299</v>
      </c>
      <c r="D5315" s="155">
        <v>0</v>
      </c>
      <c r="E5315" s="155">
        <v>0</v>
      </c>
      <c r="F5315" s="155">
        <v>0</v>
      </c>
      <c r="G5315" s="155">
        <v>0</v>
      </c>
      <c r="H5315" s="155">
        <v>0</v>
      </c>
      <c r="I5315" s="155">
        <v>0</v>
      </c>
      <c r="J5315" s="155">
        <v>0</v>
      </c>
    </row>
    <row r="5316" spans="1:10">
      <c r="A5316" s="81" t="s">
        <v>106</v>
      </c>
      <c r="B5316" s="81" t="s">
        <v>125</v>
      </c>
      <c r="C5316" s="151">
        <v>0.69027777777777799</v>
      </c>
      <c r="D5316" s="155">
        <v>0</v>
      </c>
      <c r="E5316" s="155">
        <v>0</v>
      </c>
      <c r="F5316" s="155">
        <v>0</v>
      </c>
      <c r="G5316" s="155">
        <v>0</v>
      </c>
      <c r="H5316" s="155">
        <v>0</v>
      </c>
      <c r="I5316" s="155">
        <v>0</v>
      </c>
      <c r="J5316" s="155">
        <v>0</v>
      </c>
    </row>
    <row r="5317" spans="1:10">
      <c r="A5317" s="81" t="s">
        <v>106</v>
      </c>
      <c r="B5317" s="81" t="s">
        <v>125</v>
      </c>
      <c r="C5317" s="151">
        <v>0.69097222222222199</v>
      </c>
      <c r="D5317" s="155">
        <v>0</v>
      </c>
      <c r="E5317" s="155">
        <v>0</v>
      </c>
      <c r="F5317" s="155">
        <v>0</v>
      </c>
      <c r="G5317" s="155">
        <v>0</v>
      </c>
      <c r="H5317" s="155">
        <v>0</v>
      </c>
      <c r="I5317" s="155">
        <v>0</v>
      </c>
      <c r="J5317" s="155">
        <v>0</v>
      </c>
    </row>
    <row r="5318" spans="1:10">
      <c r="A5318" s="81" t="s">
        <v>106</v>
      </c>
      <c r="B5318" s="81" t="s">
        <v>125</v>
      </c>
      <c r="C5318" s="151">
        <v>0.69166666666666698</v>
      </c>
      <c r="D5318" s="155">
        <v>0</v>
      </c>
      <c r="E5318" s="155">
        <v>0</v>
      </c>
      <c r="F5318" s="155">
        <v>0</v>
      </c>
      <c r="G5318" s="155">
        <v>0</v>
      </c>
      <c r="H5318" s="155">
        <v>0</v>
      </c>
      <c r="I5318" s="155">
        <v>0</v>
      </c>
      <c r="J5318" s="155">
        <v>0</v>
      </c>
    </row>
    <row r="5319" spans="1:10">
      <c r="A5319" s="81" t="s">
        <v>106</v>
      </c>
      <c r="B5319" s="81" t="s">
        <v>125</v>
      </c>
      <c r="C5319" s="151">
        <v>0.69236111111111098</v>
      </c>
      <c r="D5319" s="155">
        <v>0</v>
      </c>
      <c r="E5319" s="155">
        <v>0</v>
      </c>
      <c r="F5319" s="155">
        <v>0</v>
      </c>
      <c r="G5319" s="155">
        <v>0</v>
      </c>
      <c r="H5319" s="155">
        <v>0</v>
      </c>
      <c r="I5319" s="155">
        <v>0</v>
      </c>
      <c r="J5319" s="155">
        <v>0</v>
      </c>
    </row>
    <row r="5320" spans="1:10">
      <c r="A5320" s="81" t="s">
        <v>106</v>
      </c>
      <c r="B5320" s="81" t="s">
        <v>125</v>
      </c>
      <c r="C5320" s="151">
        <v>0.69305555555555498</v>
      </c>
      <c r="D5320" s="155">
        <v>0</v>
      </c>
      <c r="E5320" s="155">
        <v>0</v>
      </c>
      <c r="F5320" s="155">
        <v>0</v>
      </c>
      <c r="G5320" s="155">
        <v>0</v>
      </c>
      <c r="H5320" s="155">
        <v>0</v>
      </c>
      <c r="I5320" s="155">
        <v>0</v>
      </c>
      <c r="J5320" s="155">
        <v>0</v>
      </c>
    </row>
    <row r="5321" spans="1:10">
      <c r="A5321" s="81" t="s">
        <v>106</v>
      </c>
      <c r="B5321" s="81" t="s">
        <v>125</v>
      </c>
      <c r="C5321" s="151">
        <v>0.69374999999999998</v>
      </c>
      <c r="D5321" s="155">
        <v>0</v>
      </c>
      <c r="E5321" s="155">
        <v>0</v>
      </c>
      <c r="F5321" s="155">
        <v>0</v>
      </c>
      <c r="G5321" s="155">
        <v>0</v>
      </c>
      <c r="H5321" s="155">
        <v>0</v>
      </c>
      <c r="I5321" s="155">
        <v>0</v>
      </c>
      <c r="J5321" s="155">
        <v>0</v>
      </c>
    </row>
    <row r="5322" spans="1:10">
      <c r="A5322" s="81" t="s">
        <v>106</v>
      </c>
      <c r="B5322" s="81" t="s">
        <v>125</v>
      </c>
      <c r="C5322" s="151">
        <v>0.69444444444444398</v>
      </c>
      <c r="D5322" s="155">
        <v>0</v>
      </c>
      <c r="E5322" s="155">
        <v>0</v>
      </c>
      <c r="F5322" s="155">
        <v>0</v>
      </c>
      <c r="G5322" s="155">
        <v>0</v>
      </c>
      <c r="H5322" s="155">
        <v>0</v>
      </c>
      <c r="I5322" s="155">
        <v>0</v>
      </c>
      <c r="J5322" s="155">
        <v>0</v>
      </c>
    </row>
    <row r="5323" spans="1:10">
      <c r="A5323" s="81" t="s">
        <v>106</v>
      </c>
      <c r="B5323" s="81" t="s">
        <v>125</v>
      </c>
      <c r="C5323" s="151">
        <v>0.69513888888888897</v>
      </c>
      <c r="D5323" s="155">
        <v>0</v>
      </c>
      <c r="E5323" s="155">
        <v>0</v>
      </c>
      <c r="F5323" s="155">
        <v>0</v>
      </c>
      <c r="G5323" s="155">
        <v>0</v>
      </c>
      <c r="H5323" s="155">
        <v>0</v>
      </c>
      <c r="I5323" s="155">
        <v>0</v>
      </c>
      <c r="J5323" s="155">
        <v>0</v>
      </c>
    </row>
    <row r="5324" spans="1:10">
      <c r="A5324" s="81" t="s">
        <v>106</v>
      </c>
      <c r="B5324" s="81" t="s">
        <v>125</v>
      </c>
      <c r="C5324" s="151">
        <v>0.69583333333333297</v>
      </c>
      <c r="D5324" s="155">
        <v>0</v>
      </c>
      <c r="E5324" s="155">
        <v>0</v>
      </c>
      <c r="F5324" s="155">
        <v>0</v>
      </c>
      <c r="G5324" s="155">
        <v>0</v>
      </c>
      <c r="H5324" s="155">
        <v>0</v>
      </c>
      <c r="I5324" s="155">
        <v>0</v>
      </c>
      <c r="J5324" s="155">
        <v>0</v>
      </c>
    </row>
    <row r="5325" spans="1:10">
      <c r="A5325" s="81" t="s">
        <v>106</v>
      </c>
      <c r="B5325" s="81" t="s">
        <v>125</v>
      </c>
      <c r="C5325" s="151">
        <v>0.69652777777777797</v>
      </c>
      <c r="D5325" s="155">
        <v>0</v>
      </c>
      <c r="E5325" s="155">
        <v>0</v>
      </c>
      <c r="F5325" s="155">
        <v>0</v>
      </c>
      <c r="G5325" s="155">
        <v>0</v>
      </c>
      <c r="H5325" s="155">
        <v>0</v>
      </c>
      <c r="I5325" s="155">
        <v>0</v>
      </c>
      <c r="J5325" s="155">
        <v>0</v>
      </c>
    </row>
    <row r="5326" spans="1:10" s="80" customFormat="1">
      <c r="A5326" s="84" t="s">
        <v>106</v>
      </c>
      <c r="B5326" s="84" t="s">
        <v>125</v>
      </c>
      <c r="C5326" s="153">
        <v>0.69722222222222197</v>
      </c>
      <c r="D5326" s="156">
        <v>0</v>
      </c>
      <c r="E5326" s="156">
        <v>0</v>
      </c>
      <c r="F5326" s="156">
        <v>0</v>
      </c>
      <c r="G5326" s="156">
        <v>0</v>
      </c>
      <c r="H5326" s="156">
        <v>0</v>
      </c>
      <c r="I5326" s="156">
        <v>0</v>
      </c>
      <c r="J5326" s="156">
        <v>0</v>
      </c>
    </row>
    <row r="5327" spans="1:10">
      <c r="A5327" s="81" t="s">
        <v>106</v>
      </c>
      <c r="B5327" s="81" t="s">
        <v>125</v>
      </c>
      <c r="C5327" s="151">
        <v>0.69791666666666696</v>
      </c>
      <c r="D5327" s="157">
        <v>0</v>
      </c>
      <c r="E5327" s="157">
        <v>0</v>
      </c>
      <c r="F5327" s="157">
        <v>0</v>
      </c>
      <c r="G5327" s="157">
        <v>0</v>
      </c>
      <c r="H5327" s="157">
        <v>0</v>
      </c>
      <c r="I5327" s="157">
        <v>0</v>
      </c>
      <c r="J5327" s="157">
        <v>0</v>
      </c>
    </row>
    <row r="5328" spans="1:10">
      <c r="A5328" s="81" t="s">
        <v>106</v>
      </c>
      <c r="B5328" s="81" t="s">
        <v>125</v>
      </c>
      <c r="C5328" s="151">
        <v>0.69861111111111096</v>
      </c>
      <c r="D5328" s="155">
        <v>0</v>
      </c>
      <c r="E5328" s="155">
        <v>0</v>
      </c>
      <c r="F5328" s="155">
        <v>0</v>
      </c>
      <c r="G5328" s="155">
        <v>0</v>
      </c>
      <c r="H5328" s="155">
        <v>0</v>
      </c>
      <c r="I5328" s="155">
        <v>0</v>
      </c>
      <c r="J5328" s="155">
        <v>0</v>
      </c>
    </row>
    <row r="5329" spans="1:10">
      <c r="A5329" s="81" t="s">
        <v>106</v>
      </c>
      <c r="B5329" s="81" t="s">
        <v>125</v>
      </c>
      <c r="C5329" s="151">
        <v>0.69930555555555496</v>
      </c>
      <c r="D5329" s="155">
        <v>0</v>
      </c>
      <c r="E5329" s="155">
        <v>0</v>
      </c>
      <c r="F5329" s="155">
        <v>0</v>
      </c>
      <c r="G5329" s="155">
        <v>0</v>
      </c>
      <c r="H5329" s="155">
        <v>0</v>
      </c>
      <c r="I5329" s="155">
        <v>0</v>
      </c>
      <c r="J5329" s="155">
        <v>0</v>
      </c>
    </row>
    <row r="5330" spans="1:10">
      <c r="A5330" s="81" t="s">
        <v>106</v>
      </c>
      <c r="B5330" s="81" t="s">
        <v>125</v>
      </c>
      <c r="C5330" s="151">
        <v>0.7</v>
      </c>
      <c r="D5330" s="155">
        <v>0</v>
      </c>
      <c r="E5330" s="155">
        <v>0</v>
      </c>
      <c r="F5330" s="155">
        <v>0</v>
      </c>
      <c r="G5330" s="155">
        <v>0</v>
      </c>
      <c r="H5330" s="155">
        <v>0</v>
      </c>
      <c r="I5330" s="155">
        <v>0</v>
      </c>
      <c r="J5330" s="155">
        <v>0</v>
      </c>
    </row>
    <row r="5331" spans="1:10">
      <c r="A5331" s="81" t="s">
        <v>106</v>
      </c>
      <c r="B5331" s="81" t="s">
        <v>125</v>
      </c>
      <c r="C5331" s="151">
        <v>0.70069444444444395</v>
      </c>
      <c r="D5331" s="155">
        <v>0</v>
      </c>
      <c r="E5331" s="155">
        <v>0</v>
      </c>
      <c r="F5331" s="155">
        <v>0</v>
      </c>
      <c r="G5331" s="155">
        <v>0</v>
      </c>
      <c r="H5331" s="155">
        <v>0</v>
      </c>
      <c r="I5331" s="155">
        <v>0</v>
      </c>
      <c r="J5331" s="155">
        <v>0</v>
      </c>
    </row>
    <row r="5332" spans="1:10">
      <c r="A5332" s="81" t="s">
        <v>106</v>
      </c>
      <c r="B5332" s="81" t="s">
        <v>125</v>
      </c>
      <c r="C5332" s="151">
        <v>0.70138888888888895</v>
      </c>
      <c r="D5332" s="155">
        <v>0</v>
      </c>
      <c r="E5332" s="155">
        <v>0</v>
      </c>
      <c r="F5332" s="155">
        <v>0</v>
      </c>
      <c r="G5332" s="155">
        <v>0</v>
      </c>
      <c r="H5332" s="155">
        <v>0</v>
      </c>
      <c r="I5332" s="155">
        <v>0</v>
      </c>
      <c r="J5332" s="155">
        <v>0</v>
      </c>
    </row>
    <row r="5333" spans="1:10">
      <c r="A5333" s="81" t="s">
        <v>106</v>
      </c>
      <c r="B5333" s="81" t="s">
        <v>125</v>
      </c>
      <c r="C5333" s="151">
        <v>0.70208333333333295</v>
      </c>
      <c r="D5333" s="155">
        <v>0</v>
      </c>
      <c r="E5333" s="155">
        <v>0</v>
      </c>
      <c r="F5333" s="155">
        <v>0</v>
      </c>
      <c r="G5333" s="155">
        <v>0</v>
      </c>
      <c r="H5333" s="155">
        <v>0</v>
      </c>
      <c r="I5333" s="155">
        <v>0</v>
      </c>
      <c r="J5333" s="155">
        <v>0</v>
      </c>
    </row>
    <row r="5334" spans="1:10">
      <c r="A5334" s="81" t="s">
        <v>106</v>
      </c>
      <c r="B5334" s="81" t="s">
        <v>125</v>
      </c>
      <c r="C5334" s="151">
        <v>0.70277777777777795</v>
      </c>
      <c r="D5334" s="155">
        <v>0</v>
      </c>
      <c r="E5334" s="155">
        <v>0</v>
      </c>
      <c r="F5334" s="155">
        <v>0</v>
      </c>
      <c r="G5334" s="155">
        <v>0</v>
      </c>
      <c r="H5334" s="155">
        <v>0</v>
      </c>
      <c r="I5334" s="155">
        <v>0</v>
      </c>
      <c r="J5334" s="155">
        <v>0</v>
      </c>
    </row>
    <row r="5335" spans="1:10">
      <c r="A5335" s="81" t="s">
        <v>106</v>
      </c>
      <c r="B5335" s="81" t="s">
        <v>125</v>
      </c>
      <c r="C5335" s="151">
        <v>0.70347222222222205</v>
      </c>
      <c r="D5335" s="155">
        <v>0</v>
      </c>
      <c r="E5335" s="155">
        <v>0</v>
      </c>
      <c r="F5335" s="155">
        <v>0</v>
      </c>
      <c r="G5335" s="155">
        <v>0</v>
      </c>
      <c r="H5335" s="155">
        <v>0</v>
      </c>
      <c r="I5335" s="155">
        <v>0</v>
      </c>
      <c r="J5335" s="155">
        <v>0</v>
      </c>
    </row>
    <row r="5336" spans="1:10">
      <c r="A5336" s="81" t="s">
        <v>106</v>
      </c>
      <c r="B5336" s="81" t="s">
        <v>125</v>
      </c>
      <c r="C5336" s="151">
        <v>0.70416666666666605</v>
      </c>
      <c r="D5336" s="155">
        <v>0</v>
      </c>
      <c r="E5336" s="155">
        <v>0</v>
      </c>
      <c r="F5336" s="155">
        <v>0</v>
      </c>
      <c r="G5336" s="155">
        <v>0</v>
      </c>
      <c r="H5336" s="155">
        <v>0</v>
      </c>
      <c r="I5336" s="155">
        <v>0</v>
      </c>
      <c r="J5336" s="155">
        <v>0</v>
      </c>
    </row>
    <row r="5337" spans="1:10">
      <c r="A5337" s="81" t="s">
        <v>106</v>
      </c>
      <c r="B5337" s="81" t="s">
        <v>125</v>
      </c>
      <c r="C5337" s="151">
        <v>0.70486111111111105</v>
      </c>
      <c r="D5337" s="155">
        <v>0</v>
      </c>
      <c r="E5337" s="155">
        <v>0</v>
      </c>
      <c r="F5337" s="155">
        <v>0</v>
      </c>
      <c r="G5337" s="155">
        <v>0</v>
      </c>
      <c r="H5337" s="155">
        <v>0</v>
      </c>
      <c r="I5337" s="155">
        <v>0</v>
      </c>
      <c r="J5337" s="155">
        <v>0</v>
      </c>
    </row>
    <row r="5338" spans="1:10">
      <c r="A5338" s="81" t="s">
        <v>106</v>
      </c>
      <c r="B5338" s="81" t="s">
        <v>125</v>
      </c>
      <c r="C5338" s="151">
        <v>0.70555555555555505</v>
      </c>
      <c r="D5338" s="155">
        <v>0</v>
      </c>
      <c r="E5338" s="155">
        <v>0</v>
      </c>
      <c r="F5338" s="155">
        <v>0</v>
      </c>
      <c r="G5338" s="155">
        <v>0</v>
      </c>
      <c r="H5338" s="155">
        <v>0</v>
      </c>
      <c r="I5338" s="155">
        <v>0</v>
      </c>
      <c r="J5338" s="155">
        <v>0</v>
      </c>
    </row>
    <row r="5339" spans="1:10">
      <c r="A5339" s="81" t="s">
        <v>106</v>
      </c>
      <c r="B5339" s="81" t="s">
        <v>125</v>
      </c>
      <c r="C5339" s="151">
        <v>0.70625000000000004</v>
      </c>
      <c r="D5339" s="155">
        <v>0</v>
      </c>
      <c r="E5339" s="155">
        <v>0</v>
      </c>
      <c r="F5339" s="155">
        <v>0</v>
      </c>
      <c r="G5339" s="155">
        <v>0</v>
      </c>
      <c r="H5339" s="155">
        <v>0</v>
      </c>
      <c r="I5339" s="155">
        <v>0</v>
      </c>
      <c r="J5339" s="155">
        <v>0</v>
      </c>
    </row>
    <row r="5340" spans="1:10">
      <c r="A5340" s="81" t="s">
        <v>106</v>
      </c>
      <c r="B5340" s="81" t="s">
        <v>125</v>
      </c>
      <c r="C5340" s="151">
        <v>0.70694444444444404</v>
      </c>
      <c r="D5340" s="155">
        <v>0</v>
      </c>
      <c r="E5340" s="155">
        <v>0</v>
      </c>
      <c r="F5340" s="155">
        <v>0</v>
      </c>
      <c r="G5340" s="155">
        <v>0</v>
      </c>
      <c r="H5340" s="155">
        <v>0</v>
      </c>
      <c r="I5340" s="155">
        <v>0</v>
      </c>
      <c r="J5340" s="155">
        <v>0</v>
      </c>
    </row>
    <row r="5341" spans="1:10" s="80" customFormat="1">
      <c r="A5341" s="84" t="s">
        <v>106</v>
      </c>
      <c r="B5341" s="84" t="s">
        <v>125</v>
      </c>
      <c r="C5341" s="153">
        <v>0.70763888888888904</v>
      </c>
      <c r="D5341" s="155">
        <v>0</v>
      </c>
      <c r="E5341" s="155">
        <v>0</v>
      </c>
      <c r="F5341" s="155">
        <v>0</v>
      </c>
      <c r="G5341" s="155">
        <v>0</v>
      </c>
      <c r="H5341" s="155">
        <v>0</v>
      </c>
      <c r="I5341" s="155">
        <v>0</v>
      </c>
      <c r="J5341" s="155">
        <v>0</v>
      </c>
    </row>
    <row r="5342" spans="1:10">
      <c r="A5342" s="81" t="s">
        <v>106</v>
      </c>
      <c r="B5342" s="81" t="s">
        <v>125</v>
      </c>
      <c r="C5342" s="151">
        <v>0.70833333333333304</v>
      </c>
      <c r="D5342" s="157">
        <v>0</v>
      </c>
      <c r="E5342" s="157">
        <v>0</v>
      </c>
      <c r="F5342" s="157">
        <v>0</v>
      </c>
      <c r="G5342" s="157">
        <v>0</v>
      </c>
      <c r="H5342" s="157">
        <v>0</v>
      </c>
      <c r="I5342" s="157">
        <v>0</v>
      </c>
      <c r="J5342" s="157">
        <v>0</v>
      </c>
    </row>
    <row r="5343" spans="1:10">
      <c r="A5343" s="81" t="s">
        <v>106</v>
      </c>
      <c r="B5343" s="81" t="s">
        <v>125</v>
      </c>
      <c r="C5343" s="151">
        <v>0.70902777777777803</v>
      </c>
      <c r="D5343" s="155">
        <v>0</v>
      </c>
      <c r="E5343" s="155">
        <v>0</v>
      </c>
      <c r="F5343" s="155">
        <v>0</v>
      </c>
      <c r="G5343" s="155">
        <v>0</v>
      </c>
      <c r="H5343" s="155">
        <v>0</v>
      </c>
      <c r="I5343" s="155">
        <v>0</v>
      </c>
      <c r="J5343" s="155">
        <v>0</v>
      </c>
    </row>
    <row r="5344" spans="1:10">
      <c r="A5344" s="81" t="s">
        <v>106</v>
      </c>
      <c r="B5344" s="81" t="s">
        <v>125</v>
      </c>
      <c r="C5344" s="151">
        <v>0.70972222222222203</v>
      </c>
      <c r="D5344" s="155">
        <v>0</v>
      </c>
      <c r="E5344" s="155">
        <v>0</v>
      </c>
      <c r="F5344" s="155">
        <v>0</v>
      </c>
      <c r="G5344" s="155">
        <v>0</v>
      </c>
      <c r="H5344" s="155">
        <v>0</v>
      </c>
      <c r="I5344" s="155">
        <v>0</v>
      </c>
      <c r="J5344" s="155">
        <v>0</v>
      </c>
    </row>
    <row r="5345" spans="1:10">
      <c r="A5345" s="81" t="s">
        <v>106</v>
      </c>
      <c r="B5345" s="81" t="s">
        <v>125</v>
      </c>
      <c r="C5345" s="151">
        <v>0.71041666666666603</v>
      </c>
      <c r="D5345" s="155">
        <v>0</v>
      </c>
      <c r="E5345" s="155">
        <v>0</v>
      </c>
      <c r="F5345" s="155">
        <v>0</v>
      </c>
      <c r="G5345" s="155">
        <v>0</v>
      </c>
      <c r="H5345" s="155">
        <v>0</v>
      </c>
      <c r="I5345" s="155">
        <v>0</v>
      </c>
      <c r="J5345" s="155">
        <v>0</v>
      </c>
    </row>
    <row r="5346" spans="1:10">
      <c r="A5346" s="81" t="s">
        <v>106</v>
      </c>
      <c r="B5346" s="81" t="s">
        <v>125</v>
      </c>
      <c r="C5346" s="151">
        <v>0.71111111111111103</v>
      </c>
      <c r="D5346" s="155">
        <v>0</v>
      </c>
      <c r="E5346" s="155">
        <v>0</v>
      </c>
      <c r="F5346" s="155">
        <v>0</v>
      </c>
      <c r="G5346" s="155">
        <v>0</v>
      </c>
      <c r="H5346" s="155">
        <v>0</v>
      </c>
      <c r="I5346" s="155">
        <v>0</v>
      </c>
      <c r="J5346" s="155">
        <v>0</v>
      </c>
    </row>
    <row r="5347" spans="1:10">
      <c r="A5347" s="81" t="s">
        <v>106</v>
      </c>
      <c r="B5347" s="81" t="s">
        <v>125</v>
      </c>
      <c r="C5347" s="151">
        <v>0.71180555555555503</v>
      </c>
      <c r="D5347" s="155">
        <v>0</v>
      </c>
      <c r="E5347" s="155">
        <v>0</v>
      </c>
      <c r="F5347" s="155">
        <v>0</v>
      </c>
      <c r="G5347" s="155">
        <v>0</v>
      </c>
      <c r="H5347" s="155">
        <v>0</v>
      </c>
      <c r="I5347" s="155">
        <v>0</v>
      </c>
      <c r="J5347" s="155">
        <v>0</v>
      </c>
    </row>
    <row r="5348" spans="1:10">
      <c r="A5348" s="81" t="s">
        <v>106</v>
      </c>
      <c r="B5348" s="81" t="s">
        <v>125</v>
      </c>
      <c r="C5348" s="151">
        <v>0.71250000000000002</v>
      </c>
      <c r="D5348" s="155">
        <v>0</v>
      </c>
      <c r="E5348" s="155">
        <v>0</v>
      </c>
      <c r="F5348" s="155">
        <v>0</v>
      </c>
      <c r="G5348" s="155">
        <v>0</v>
      </c>
      <c r="H5348" s="155">
        <v>0</v>
      </c>
      <c r="I5348" s="155">
        <v>0</v>
      </c>
      <c r="J5348" s="155">
        <v>0</v>
      </c>
    </row>
    <row r="5349" spans="1:10">
      <c r="A5349" s="81" t="s">
        <v>106</v>
      </c>
      <c r="B5349" s="81" t="s">
        <v>125</v>
      </c>
      <c r="C5349" s="151">
        <v>0.71319444444444402</v>
      </c>
      <c r="D5349" s="155">
        <v>0</v>
      </c>
      <c r="E5349" s="155">
        <v>0</v>
      </c>
      <c r="F5349" s="155">
        <v>0</v>
      </c>
      <c r="G5349" s="155">
        <v>0</v>
      </c>
      <c r="H5349" s="155">
        <v>0</v>
      </c>
      <c r="I5349" s="155">
        <v>0</v>
      </c>
      <c r="J5349" s="155">
        <v>0</v>
      </c>
    </row>
    <row r="5350" spans="1:10">
      <c r="A5350" s="81" t="s">
        <v>106</v>
      </c>
      <c r="B5350" s="81" t="s">
        <v>125</v>
      </c>
      <c r="C5350" s="151">
        <v>0.71388888888888902</v>
      </c>
      <c r="D5350" s="155">
        <v>0</v>
      </c>
      <c r="E5350" s="155">
        <v>0</v>
      </c>
      <c r="F5350" s="155">
        <v>0</v>
      </c>
      <c r="G5350" s="155">
        <v>0</v>
      </c>
      <c r="H5350" s="155">
        <v>0</v>
      </c>
      <c r="I5350" s="155">
        <v>0</v>
      </c>
      <c r="J5350" s="155">
        <v>0</v>
      </c>
    </row>
    <row r="5351" spans="1:10">
      <c r="A5351" s="81" t="s">
        <v>106</v>
      </c>
      <c r="B5351" s="81" t="s">
        <v>125</v>
      </c>
      <c r="C5351" s="151">
        <v>0.71458333333333302</v>
      </c>
      <c r="D5351" s="155">
        <v>0</v>
      </c>
      <c r="E5351" s="155">
        <v>0</v>
      </c>
      <c r="F5351" s="155">
        <v>0</v>
      </c>
      <c r="G5351" s="155">
        <v>0</v>
      </c>
      <c r="H5351" s="155">
        <v>0</v>
      </c>
      <c r="I5351" s="155">
        <v>0</v>
      </c>
      <c r="J5351" s="155">
        <v>0</v>
      </c>
    </row>
    <row r="5352" spans="1:10">
      <c r="A5352" s="81" t="s">
        <v>106</v>
      </c>
      <c r="B5352" s="81" t="s">
        <v>125</v>
      </c>
      <c r="C5352" s="151">
        <v>0.71527777777777801</v>
      </c>
      <c r="D5352" s="155">
        <v>0</v>
      </c>
      <c r="E5352" s="155">
        <v>0</v>
      </c>
      <c r="F5352" s="155">
        <v>0</v>
      </c>
      <c r="G5352" s="155">
        <v>0</v>
      </c>
      <c r="H5352" s="155">
        <v>0</v>
      </c>
      <c r="I5352" s="155">
        <v>0</v>
      </c>
      <c r="J5352" s="155">
        <v>0</v>
      </c>
    </row>
    <row r="5353" spans="1:10">
      <c r="A5353" s="81" t="s">
        <v>106</v>
      </c>
      <c r="B5353" s="81" t="s">
        <v>125</v>
      </c>
      <c r="C5353" s="151">
        <v>0.71597222222222201</v>
      </c>
      <c r="D5353" s="155">
        <v>0</v>
      </c>
      <c r="E5353" s="155">
        <v>0</v>
      </c>
      <c r="F5353" s="155">
        <v>0</v>
      </c>
      <c r="G5353" s="155">
        <v>0</v>
      </c>
      <c r="H5353" s="155">
        <v>0</v>
      </c>
      <c r="I5353" s="155">
        <v>0</v>
      </c>
      <c r="J5353" s="155">
        <v>0</v>
      </c>
    </row>
    <row r="5354" spans="1:10">
      <c r="A5354" s="81" t="s">
        <v>106</v>
      </c>
      <c r="B5354" s="81" t="s">
        <v>125</v>
      </c>
      <c r="C5354" s="151">
        <v>0.71666666666666601</v>
      </c>
      <c r="D5354" s="155">
        <v>0</v>
      </c>
      <c r="E5354" s="155">
        <v>0</v>
      </c>
      <c r="F5354" s="155">
        <v>0</v>
      </c>
      <c r="G5354" s="155">
        <v>0</v>
      </c>
      <c r="H5354" s="155">
        <v>0</v>
      </c>
      <c r="I5354" s="155">
        <v>0</v>
      </c>
      <c r="J5354" s="155">
        <v>0</v>
      </c>
    </row>
    <row r="5355" spans="1:10">
      <c r="A5355" s="81" t="s">
        <v>106</v>
      </c>
      <c r="B5355" s="81" t="s">
        <v>125</v>
      </c>
      <c r="C5355" s="151">
        <v>0.71736111111111101</v>
      </c>
      <c r="D5355" s="155">
        <v>0</v>
      </c>
      <c r="E5355" s="155">
        <v>0</v>
      </c>
      <c r="F5355" s="155">
        <v>0</v>
      </c>
      <c r="G5355" s="155">
        <v>0</v>
      </c>
      <c r="H5355" s="155">
        <v>0</v>
      </c>
      <c r="I5355" s="155">
        <v>0</v>
      </c>
      <c r="J5355" s="155">
        <v>0</v>
      </c>
    </row>
    <row r="5356" spans="1:10" s="80" customFormat="1">
      <c r="A5356" s="84" t="s">
        <v>106</v>
      </c>
      <c r="B5356" s="84" t="s">
        <v>125</v>
      </c>
      <c r="C5356" s="153">
        <v>0.718055555555555</v>
      </c>
      <c r="D5356" s="156">
        <v>0</v>
      </c>
      <c r="E5356" s="156">
        <v>0</v>
      </c>
      <c r="F5356" s="156">
        <v>0</v>
      </c>
      <c r="G5356" s="156">
        <v>0</v>
      </c>
      <c r="H5356" s="156">
        <v>0</v>
      </c>
      <c r="I5356" s="156">
        <v>0</v>
      </c>
      <c r="J5356" s="156">
        <v>0</v>
      </c>
    </row>
    <row r="5357" spans="1:10">
      <c r="A5357" s="81" t="s">
        <v>106</v>
      </c>
      <c r="B5357" s="81" t="s">
        <v>125</v>
      </c>
      <c r="C5357" s="151">
        <v>0.71875</v>
      </c>
      <c r="D5357" s="157">
        <v>0</v>
      </c>
      <c r="E5357" s="157">
        <v>0</v>
      </c>
      <c r="F5357" s="157">
        <v>0</v>
      </c>
      <c r="G5357" s="157">
        <v>0</v>
      </c>
      <c r="H5357" s="157">
        <v>0</v>
      </c>
      <c r="I5357" s="157">
        <v>0</v>
      </c>
      <c r="J5357" s="157">
        <v>0</v>
      </c>
    </row>
    <row r="5358" spans="1:10">
      <c r="A5358" s="81" t="s">
        <v>106</v>
      </c>
      <c r="B5358" s="81" t="s">
        <v>125</v>
      </c>
      <c r="C5358" s="151">
        <v>0.719444444444444</v>
      </c>
      <c r="D5358" s="155">
        <v>0</v>
      </c>
      <c r="E5358" s="155">
        <v>0</v>
      </c>
      <c r="F5358" s="155">
        <v>0</v>
      </c>
      <c r="G5358" s="155">
        <v>0</v>
      </c>
      <c r="H5358" s="155">
        <v>0</v>
      </c>
      <c r="I5358" s="155">
        <v>0</v>
      </c>
      <c r="J5358" s="155">
        <v>0</v>
      </c>
    </row>
    <row r="5359" spans="1:10">
      <c r="A5359" s="81" t="s">
        <v>106</v>
      </c>
      <c r="B5359" s="81" t="s">
        <v>125</v>
      </c>
      <c r="C5359" s="151">
        <v>0.72013888888888899</v>
      </c>
      <c r="D5359" s="155">
        <v>0</v>
      </c>
      <c r="E5359" s="155">
        <v>0</v>
      </c>
      <c r="F5359" s="155">
        <v>0</v>
      </c>
      <c r="G5359" s="155">
        <v>0</v>
      </c>
      <c r="H5359" s="155">
        <v>0</v>
      </c>
      <c r="I5359" s="155">
        <v>0</v>
      </c>
      <c r="J5359" s="155">
        <v>0</v>
      </c>
    </row>
    <row r="5360" spans="1:10">
      <c r="A5360" s="81" t="s">
        <v>106</v>
      </c>
      <c r="B5360" s="81" t="s">
        <v>125</v>
      </c>
      <c r="C5360" s="151">
        <v>0.72083333333333299</v>
      </c>
      <c r="D5360" s="155">
        <v>0</v>
      </c>
      <c r="E5360" s="155">
        <v>0</v>
      </c>
      <c r="F5360" s="155">
        <v>0</v>
      </c>
      <c r="G5360" s="155">
        <v>0</v>
      </c>
      <c r="H5360" s="155">
        <v>0</v>
      </c>
      <c r="I5360" s="155">
        <v>0</v>
      </c>
      <c r="J5360" s="155">
        <v>0</v>
      </c>
    </row>
    <row r="5361" spans="1:10">
      <c r="A5361" s="81" t="s">
        <v>106</v>
      </c>
      <c r="B5361" s="81" t="s">
        <v>125</v>
      </c>
      <c r="C5361" s="151">
        <v>0.72152777777777799</v>
      </c>
      <c r="D5361" s="155">
        <v>0</v>
      </c>
      <c r="E5361" s="155">
        <v>0</v>
      </c>
      <c r="F5361" s="155">
        <v>0</v>
      </c>
      <c r="G5361" s="155">
        <v>0</v>
      </c>
      <c r="H5361" s="155">
        <v>0</v>
      </c>
      <c r="I5361" s="155">
        <v>0</v>
      </c>
      <c r="J5361" s="155">
        <v>0</v>
      </c>
    </row>
    <row r="5362" spans="1:10">
      <c r="A5362" s="81" t="s">
        <v>106</v>
      </c>
      <c r="B5362" s="81" t="s">
        <v>125</v>
      </c>
      <c r="C5362" s="151">
        <v>0.72222222222222199</v>
      </c>
      <c r="D5362" s="155">
        <v>0</v>
      </c>
      <c r="E5362" s="155">
        <v>0</v>
      </c>
      <c r="F5362" s="155">
        <v>0</v>
      </c>
      <c r="G5362" s="155">
        <v>0</v>
      </c>
      <c r="H5362" s="155">
        <v>0</v>
      </c>
      <c r="I5362" s="155">
        <v>0</v>
      </c>
      <c r="J5362" s="155">
        <v>0</v>
      </c>
    </row>
    <row r="5363" spans="1:10">
      <c r="A5363" s="81" t="s">
        <v>106</v>
      </c>
      <c r="B5363" s="81" t="s">
        <v>125</v>
      </c>
      <c r="C5363" s="151">
        <v>0.72291666666666599</v>
      </c>
      <c r="D5363" s="155">
        <v>0</v>
      </c>
      <c r="E5363" s="155">
        <v>0</v>
      </c>
      <c r="F5363" s="155">
        <v>0</v>
      </c>
      <c r="G5363" s="155">
        <v>0</v>
      </c>
      <c r="H5363" s="155">
        <v>0</v>
      </c>
      <c r="I5363" s="155">
        <v>0</v>
      </c>
      <c r="J5363" s="155">
        <v>0</v>
      </c>
    </row>
    <row r="5364" spans="1:10">
      <c r="A5364" s="81" t="s">
        <v>106</v>
      </c>
      <c r="B5364" s="81" t="s">
        <v>125</v>
      </c>
      <c r="C5364" s="151">
        <v>0.72361111111111098</v>
      </c>
      <c r="D5364" s="155">
        <v>0</v>
      </c>
      <c r="E5364" s="155">
        <v>0</v>
      </c>
      <c r="F5364" s="155">
        <v>0</v>
      </c>
      <c r="G5364" s="155">
        <v>0</v>
      </c>
      <c r="H5364" s="155">
        <v>0</v>
      </c>
      <c r="I5364" s="155">
        <v>0</v>
      </c>
      <c r="J5364" s="155">
        <v>0</v>
      </c>
    </row>
    <row r="5365" spans="1:10">
      <c r="A5365" s="81" t="s">
        <v>106</v>
      </c>
      <c r="B5365" s="81" t="s">
        <v>125</v>
      </c>
      <c r="C5365" s="151">
        <v>0.72430555555555498</v>
      </c>
      <c r="D5365" s="155">
        <v>0</v>
      </c>
      <c r="E5365" s="155">
        <v>0</v>
      </c>
      <c r="F5365" s="155">
        <v>0</v>
      </c>
      <c r="G5365" s="155">
        <v>0</v>
      </c>
      <c r="H5365" s="155">
        <v>0</v>
      </c>
      <c r="I5365" s="155">
        <v>0</v>
      </c>
      <c r="J5365" s="155">
        <v>0</v>
      </c>
    </row>
    <row r="5366" spans="1:10">
      <c r="A5366" s="81" t="s">
        <v>106</v>
      </c>
      <c r="B5366" s="81" t="s">
        <v>125</v>
      </c>
      <c r="C5366" s="151">
        <v>0.72499999999999998</v>
      </c>
      <c r="D5366" s="155">
        <v>0</v>
      </c>
      <c r="E5366" s="155">
        <v>0</v>
      </c>
      <c r="F5366" s="155">
        <v>0</v>
      </c>
      <c r="G5366" s="155">
        <v>0</v>
      </c>
      <c r="H5366" s="155">
        <v>0</v>
      </c>
      <c r="I5366" s="155">
        <v>0</v>
      </c>
      <c r="J5366" s="155">
        <v>0</v>
      </c>
    </row>
    <row r="5367" spans="1:10">
      <c r="A5367" s="81" t="s">
        <v>106</v>
      </c>
      <c r="B5367" s="81" t="s">
        <v>125</v>
      </c>
      <c r="C5367" s="151">
        <v>0.72569444444444398</v>
      </c>
      <c r="D5367" s="155">
        <v>0</v>
      </c>
      <c r="E5367" s="155">
        <v>0</v>
      </c>
      <c r="F5367" s="155">
        <v>0</v>
      </c>
      <c r="G5367" s="155">
        <v>0</v>
      </c>
      <c r="H5367" s="155">
        <v>0</v>
      </c>
      <c r="I5367" s="155">
        <v>0</v>
      </c>
      <c r="J5367" s="155">
        <v>0</v>
      </c>
    </row>
    <row r="5368" spans="1:10">
      <c r="A5368" s="81" t="s">
        <v>106</v>
      </c>
      <c r="B5368" s="81" t="s">
        <v>125</v>
      </c>
      <c r="C5368" s="151">
        <v>0.72638888888888897</v>
      </c>
      <c r="D5368" s="155">
        <v>0</v>
      </c>
      <c r="E5368" s="155">
        <v>0</v>
      </c>
      <c r="F5368" s="155">
        <v>0</v>
      </c>
      <c r="G5368" s="155">
        <v>0</v>
      </c>
      <c r="H5368" s="155">
        <v>0</v>
      </c>
      <c r="I5368" s="155">
        <v>0</v>
      </c>
      <c r="J5368" s="155">
        <v>0</v>
      </c>
    </row>
    <row r="5369" spans="1:10">
      <c r="A5369" s="81" t="s">
        <v>106</v>
      </c>
      <c r="B5369" s="81" t="s">
        <v>125</v>
      </c>
      <c r="C5369" s="151">
        <v>0.72708333333333297</v>
      </c>
      <c r="D5369" s="155">
        <v>0</v>
      </c>
      <c r="E5369" s="155">
        <v>0</v>
      </c>
      <c r="F5369" s="155">
        <v>0</v>
      </c>
      <c r="G5369" s="155">
        <v>0</v>
      </c>
      <c r="H5369" s="155">
        <v>0</v>
      </c>
      <c r="I5369" s="155">
        <v>0</v>
      </c>
      <c r="J5369" s="155">
        <v>0</v>
      </c>
    </row>
    <row r="5370" spans="1:10">
      <c r="A5370" s="81" t="s">
        <v>106</v>
      </c>
      <c r="B5370" s="81" t="s">
        <v>125</v>
      </c>
      <c r="C5370" s="151">
        <v>0.72777777777777797</v>
      </c>
      <c r="D5370" s="155">
        <v>0</v>
      </c>
      <c r="E5370" s="155">
        <v>0</v>
      </c>
      <c r="F5370" s="155">
        <v>0</v>
      </c>
      <c r="G5370" s="155">
        <v>0</v>
      </c>
      <c r="H5370" s="155">
        <v>0</v>
      </c>
      <c r="I5370" s="155">
        <v>0</v>
      </c>
      <c r="J5370" s="155">
        <v>0</v>
      </c>
    </row>
    <row r="5371" spans="1:10" s="80" customFormat="1">
      <c r="A5371" s="84" t="s">
        <v>106</v>
      </c>
      <c r="B5371" s="84" t="s">
        <v>125</v>
      </c>
      <c r="C5371" s="153">
        <v>0.72847222222222197</v>
      </c>
      <c r="D5371" s="155">
        <v>0</v>
      </c>
      <c r="E5371" s="155">
        <v>0</v>
      </c>
      <c r="F5371" s="155">
        <v>0</v>
      </c>
      <c r="G5371" s="155">
        <v>0</v>
      </c>
      <c r="H5371" s="155">
        <v>0</v>
      </c>
      <c r="I5371" s="155">
        <v>0</v>
      </c>
      <c r="J5371" s="155">
        <v>0</v>
      </c>
    </row>
    <row r="5372" spans="1:10">
      <c r="A5372" s="81" t="s">
        <v>106</v>
      </c>
      <c r="B5372" s="81" t="s">
        <v>125</v>
      </c>
      <c r="C5372" s="151">
        <v>0.72916666666666596</v>
      </c>
      <c r="D5372" s="157">
        <v>0</v>
      </c>
      <c r="E5372" s="157">
        <v>0</v>
      </c>
      <c r="F5372" s="157">
        <v>0</v>
      </c>
      <c r="G5372" s="157">
        <v>0</v>
      </c>
      <c r="H5372" s="157">
        <v>0</v>
      </c>
      <c r="I5372" s="157">
        <v>0</v>
      </c>
      <c r="J5372" s="157">
        <v>0</v>
      </c>
    </row>
    <row r="5373" spans="1:10">
      <c r="A5373" s="81" t="s">
        <v>106</v>
      </c>
      <c r="B5373" s="81" t="s">
        <v>125</v>
      </c>
      <c r="C5373" s="151">
        <v>0.72986111111111096</v>
      </c>
      <c r="D5373" s="155">
        <v>0</v>
      </c>
      <c r="E5373" s="155">
        <v>0</v>
      </c>
      <c r="F5373" s="155">
        <v>0</v>
      </c>
      <c r="G5373" s="155">
        <v>0</v>
      </c>
      <c r="H5373" s="155">
        <v>0</v>
      </c>
      <c r="I5373" s="155">
        <v>0</v>
      </c>
      <c r="J5373" s="155">
        <v>0</v>
      </c>
    </row>
    <row r="5374" spans="1:10">
      <c r="A5374" s="81" t="s">
        <v>106</v>
      </c>
      <c r="B5374" s="81" t="s">
        <v>125</v>
      </c>
      <c r="C5374" s="151">
        <v>0.73055555555555496</v>
      </c>
      <c r="D5374" s="155">
        <v>0</v>
      </c>
      <c r="E5374" s="155">
        <v>0</v>
      </c>
      <c r="F5374" s="155">
        <v>0</v>
      </c>
      <c r="G5374" s="155">
        <v>0</v>
      </c>
      <c r="H5374" s="155">
        <v>0</v>
      </c>
      <c r="I5374" s="155">
        <v>0</v>
      </c>
      <c r="J5374" s="155">
        <v>0</v>
      </c>
    </row>
    <row r="5375" spans="1:10">
      <c r="A5375" s="81" t="s">
        <v>106</v>
      </c>
      <c r="B5375" s="81" t="s">
        <v>125</v>
      </c>
      <c r="C5375" s="151">
        <v>0.73124999999999996</v>
      </c>
      <c r="D5375" s="155">
        <v>0</v>
      </c>
      <c r="E5375" s="155">
        <v>0</v>
      </c>
      <c r="F5375" s="155">
        <v>0</v>
      </c>
      <c r="G5375" s="155">
        <v>0</v>
      </c>
      <c r="H5375" s="155">
        <v>0</v>
      </c>
      <c r="I5375" s="155">
        <v>0</v>
      </c>
      <c r="J5375" s="155">
        <v>0</v>
      </c>
    </row>
    <row r="5376" spans="1:10">
      <c r="A5376" s="81" t="s">
        <v>106</v>
      </c>
      <c r="B5376" s="81" t="s">
        <v>125</v>
      </c>
      <c r="C5376" s="151">
        <v>0.73194444444444395</v>
      </c>
      <c r="D5376" s="155">
        <v>0</v>
      </c>
      <c r="E5376" s="155">
        <v>0</v>
      </c>
      <c r="F5376" s="155">
        <v>0</v>
      </c>
      <c r="G5376" s="155">
        <v>0</v>
      </c>
      <c r="H5376" s="155">
        <v>0</v>
      </c>
      <c r="I5376" s="155">
        <v>0</v>
      </c>
      <c r="J5376" s="155">
        <v>0</v>
      </c>
    </row>
    <row r="5377" spans="1:10">
      <c r="A5377" s="81" t="s">
        <v>106</v>
      </c>
      <c r="B5377" s="81" t="s">
        <v>125</v>
      </c>
      <c r="C5377" s="151">
        <v>0.73263888888888895</v>
      </c>
      <c r="D5377" s="155">
        <v>0</v>
      </c>
      <c r="E5377" s="155">
        <v>0</v>
      </c>
      <c r="F5377" s="155">
        <v>0</v>
      </c>
      <c r="G5377" s="155">
        <v>0</v>
      </c>
      <c r="H5377" s="155">
        <v>0</v>
      </c>
      <c r="I5377" s="155">
        <v>0</v>
      </c>
      <c r="J5377" s="155">
        <v>0</v>
      </c>
    </row>
    <row r="5378" spans="1:10">
      <c r="A5378" s="81" t="s">
        <v>106</v>
      </c>
      <c r="B5378" s="81" t="s">
        <v>125</v>
      </c>
      <c r="C5378" s="151">
        <v>0.73333333333333295</v>
      </c>
      <c r="D5378" s="155">
        <v>0</v>
      </c>
      <c r="E5378" s="155">
        <v>0</v>
      </c>
      <c r="F5378" s="155">
        <v>0</v>
      </c>
      <c r="G5378" s="155">
        <v>0</v>
      </c>
      <c r="H5378" s="155">
        <v>0</v>
      </c>
      <c r="I5378" s="155">
        <v>0</v>
      </c>
      <c r="J5378" s="155">
        <v>0</v>
      </c>
    </row>
    <row r="5379" spans="1:10">
      <c r="A5379" s="81" t="s">
        <v>106</v>
      </c>
      <c r="B5379" s="81" t="s">
        <v>125</v>
      </c>
      <c r="C5379" s="151">
        <v>0.73402777777777795</v>
      </c>
      <c r="D5379" s="155">
        <v>0</v>
      </c>
      <c r="E5379" s="155">
        <v>0</v>
      </c>
      <c r="F5379" s="155">
        <v>0</v>
      </c>
      <c r="G5379" s="155">
        <v>0</v>
      </c>
      <c r="H5379" s="155">
        <v>0</v>
      </c>
      <c r="I5379" s="155">
        <v>0</v>
      </c>
      <c r="J5379" s="155">
        <v>0</v>
      </c>
    </row>
    <row r="5380" spans="1:10">
      <c r="A5380" s="81" t="s">
        <v>106</v>
      </c>
      <c r="B5380" s="81" t="s">
        <v>125</v>
      </c>
      <c r="C5380" s="151">
        <v>0.73472222222222205</v>
      </c>
      <c r="D5380" s="155">
        <v>0</v>
      </c>
      <c r="E5380" s="155">
        <v>0</v>
      </c>
      <c r="F5380" s="155">
        <v>0</v>
      </c>
      <c r="G5380" s="155">
        <v>0</v>
      </c>
      <c r="H5380" s="155">
        <v>0</v>
      </c>
      <c r="I5380" s="155">
        <v>0</v>
      </c>
      <c r="J5380" s="155">
        <v>0</v>
      </c>
    </row>
    <row r="5381" spans="1:10">
      <c r="A5381" s="81" t="s">
        <v>106</v>
      </c>
      <c r="B5381" s="81" t="s">
        <v>125</v>
      </c>
      <c r="C5381" s="151">
        <v>0.73541666666666605</v>
      </c>
      <c r="D5381" s="155">
        <v>0</v>
      </c>
      <c r="E5381" s="155">
        <v>0</v>
      </c>
      <c r="F5381" s="155">
        <v>0</v>
      </c>
      <c r="G5381" s="155">
        <v>0</v>
      </c>
      <c r="H5381" s="155">
        <v>0</v>
      </c>
      <c r="I5381" s="155">
        <v>0</v>
      </c>
      <c r="J5381" s="155">
        <v>0</v>
      </c>
    </row>
    <row r="5382" spans="1:10">
      <c r="A5382" s="81" t="s">
        <v>106</v>
      </c>
      <c r="B5382" s="81" t="s">
        <v>125</v>
      </c>
      <c r="C5382" s="151">
        <v>0.73611111111111105</v>
      </c>
      <c r="D5382" s="155">
        <v>0</v>
      </c>
      <c r="E5382" s="155">
        <v>0</v>
      </c>
      <c r="F5382" s="155">
        <v>0</v>
      </c>
      <c r="G5382" s="155">
        <v>0</v>
      </c>
      <c r="H5382" s="155">
        <v>0</v>
      </c>
      <c r="I5382" s="155">
        <v>0</v>
      </c>
      <c r="J5382" s="155">
        <v>0</v>
      </c>
    </row>
    <row r="5383" spans="1:10">
      <c r="A5383" s="81" t="s">
        <v>106</v>
      </c>
      <c r="B5383" s="81" t="s">
        <v>125</v>
      </c>
      <c r="C5383" s="151">
        <v>0.73680555555555505</v>
      </c>
      <c r="D5383" s="155">
        <v>0</v>
      </c>
      <c r="E5383" s="155">
        <v>0</v>
      </c>
      <c r="F5383" s="155">
        <v>0</v>
      </c>
      <c r="G5383" s="155">
        <v>0</v>
      </c>
      <c r="H5383" s="155">
        <v>0</v>
      </c>
      <c r="I5383" s="155">
        <v>0</v>
      </c>
      <c r="J5383" s="155">
        <v>0</v>
      </c>
    </row>
    <row r="5384" spans="1:10">
      <c r="A5384" s="81" t="s">
        <v>106</v>
      </c>
      <c r="B5384" s="81" t="s">
        <v>125</v>
      </c>
      <c r="C5384" s="151">
        <v>0.73750000000000004</v>
      </c>
      <c r="D5384" s="155">
        <v>0</v>
      </c>
      <c r="E5384" s="155">
        <v>0</v>
      </c>
      <c r="F5384" s="155">
        <v>0</v>
      </c>
      <c r="G5384" s="155">
        <v>0</v>
      </c>
      <c r="H5384" s="155">
        <v>0</v>
      </c>
      <c r="I5384" s="155">
        <v>0</v>
      </c>
      <c r="J5384" s="155">
        <v>0</v>
      </c>
    </row>
    <row r="5385" spans="1:10">
      <c r="A5385" s="81" t="s">
        <v>106</v>
      </c>
      <c r="B5385" s="81" t="s">
        <v>125</v>
      </c>
      <c r="C5385" s="151">
        <v>0.73819444444444404</v>
      </c>
      <c r="D5385" s="155">
        <v>0</v>
      </c>
      <c r="E5385" s="155">
        <v>0</v>
      </c>
      <c r="F5385" s="155">
        <v>0</v>
      </c>
      <c r="G5385" s="155">
        <v>0</v>
      </c>
      <c r="H5385" s="155">
        <v>0</v>
      </c>
      <c r="I5385" s="155">
        <v>0</v>
      </c>
      <c r="J5385" s="155">
        <v>0</v>
      </c>
    </row>
    <row r="5386" spans="1:10" s="80" customFormat="1">
      <c r="A5386" s="84" t="s">
        <v>106</v>
      </c>
      <c r="B5386" s="84" t="s">
        <v>125</v>
      </c>
      <c r="C5386" s="153">
        <v>0.73888888888888904</v>
      </c>
      <c r="D5386" s="156">
        <v>0</v>
      </c>
      <c r="E5386" s="156">
        <v>0</v>
      </c>
      <c r="F5386" s="156">
        <v>0</v>
      </c>
      <c r="G5386" s="156">
        <v>0</v>
      </c>
      <c r="H5386" s="156">
        <v>0</v>
      </c>
      <c r="I5386" s="156">
        <v>0</v>
      </c>
      <c r="J5386" s="156">
        <v>0</v>
      </c>
    </row>
    <row r="5387" spans="1:10">
      <c r="A5387" s="81" t="s">
        <v>106</v>
      </c>
      <c r="B5387" s="81" t="s">
        <v>125</v>
      </c>
      <c r="C5387" s="151">
        <v>0.73958333333333304</v>
      </c>
      <c r="D5387" s="157">
        <v>0</v>
      </c>
      <c r="E5387" s="157">
        <v>0</v>
      </c>
      <c r="F5387" s="157">
        <v>0</v>
      </c>
      <c r="G5387" s="157">
        <v>0</v>
      </c>
      <c r="H5387" s="157">
        <v>0</v>
      </c>
      <c r="I5387" s="157">
        <v>0</v>
      </c>
      <c r="J5387" s="157">
        <v>0</v>
      </c>
    </row>
    <row r="5388" spans="1:10">
      <c r="A5388" s="81" t="s">
        <v>106</v>
      </c>
      <c r="B5388" s="81" t="s">
        <v>125</v>
      </c>
      <c r="C5388" s="151">
        <v>0.74027777777777704</v>
      </c>
      <c r="D5388" s="155">
        <v>0</v>
      </c>
      <c r="E5388" s="155">
        <v>0</v>
      </c>
      <c r="F5388" s="155">
        <v>0</v>
      </c>
      <c r="G5388" s="155">
        <v>0</v>
      </c>
      <c r="H5388" s="155">
        <v>0</v>
      </c>
      <c r="I5388" s="155">
        <v>0</v>
      </c>
      <c r="J5388" s="155">
        <v>0</v>
      </c>
    </row>
    <row r="5389" spans="1:10">
      <c r="A5389" s="81" t="s">
        <v>106</v>
      </c>
      <c r="B5389" s="81" t="s">
        <v>125</v>
      </c>
      <c r="C5389" s="151">
        <v>0.74097222222222203</v>
      </c>
      <c r="D5389" s="155">
        <v>0</v>
      </c>
      <c r="E5389" s="155">
        <v>0</v>
      </c>
      <c r="F5389" s="155">
        <v>0</v>
      </c>
      <c r="G5389" s="155">
        <v>0</v>
      </c>
      <c r="H5389" s="155">
        <v>0</v>
      </c>
      <c r="I5389" s="155">
        <v>0</v>
      </c>
      <c r="J5389" s="155">
        <v>0</v>
      </c>
    </row>
    <row r="5390" spans="1:10">
      <c r="A5390" s="81" t="s">
        <v>106</v>
      </c>
      <c r="B5390" s="81" t="s">
        <v>125</v>
      </c>
      <c r="C5390" s="151">
        <v>0.74166666666666603</v>
      </c>
      <c r="D5390" s="155">
        <v>0</v>
      </c>
      <c r="E5390" s="155">
        <v>0</v>
      </c>
      <c r="F5390" s="155">
        <v>0</v>
      </c>
      <c r="G5390" s="155">
        <v>0</v>
      </c>
      <c r="H5390" s="155">
        <v>0</v>
      </c>
      <c r="I5390" s="155">
        <v>0</v>
      </c>
      <c r="J5390" s="155">
        <v>0</v>
      </c>
    </row>
    <row r="5391" spans="1:10">
      <c r="A5391" s="81" t="s">
        <v>106</v>
      </c>
      <c r="B5391" s="81" t="s">
        <v>125</v>
      </c>
      <c r="C5391" s="151">
        <v>0.74236111111111103</v>
      </c>
      <c r="D5391" s="155">
        <v>0</v>
      </c>
      <c r="E5391" s="155">
        <v>0</v>
      </c>
      <c r="F5391" s="155">
        <v>0</v>
      </c>
      <c r="G5391" s="155">
        <v>0</v>
      </c>
      <c r="H5391" s="155">
        <v>0</v>
      </c>
      <c r="I5391" s="155">
        <v>0</v>
      </c>
      <c r="J5391" s="155">
        <v>0</v>
      </c>
    </row>
    <row r="5392" spans="1:10">
      <c r="A5392" s="81" t="s">
        <v>106</v>
      </c>
      <c r="B5392" s="81" t="s">
        <v>125</v>
      </c>
      <c r="C5392" s="151">
        <v>0.74305555555555503</v>
      </c>
      <c r="D5392" s="155">
        <v>0</v>
      </c>
      <c r="E5392" s="155">
        <v>0</v>
      </c>
      <c r="F5392" s="155">
        <v>0</v>
      </c>
      <c r="G5392" s="155">
        <v>0</v>
      </c>
      <c r="H5392" s="155">
        <v>0</v>
      </c>
      <c r="I5392" s="155">
        <v>0</v>
      </c>
      <c r="J5392" s="155">
        <v>0</v>
      </c>
    </row>
    <row r="5393" spans="1:10">
      <c r="A5393" s="81" t="s">
        <v>106</v>
      </c>
      <c r="B5393" s="81" t="s">
        <v>125</v>
      </c>
      <c r="C5393" s="151">
        <v>0.74375000000000002</v>
      </c>
      <c r="D5393" s="155">
        <v>0</v>
      </c>
      <c r="E5393" s="155">
        <v>0</v>
      </c>
      <c r="F5393" s="155">
        <v>0</v>
      </c>
      <c r="G5393" s="155">
        <v>0</v>
      </c>
      <c r="H5393" s="155">
        <v>0</v>
      </c>
      <c r="I5393" s="155">
        <v>0</v>
      </c>
      <c r="J5393" s="155">
        <v>0</v>
      </c>
    </row>
    <row r="5394" spans="1:10">
      <c r="A5394" s="81" t="s">
        <v>106</v>
      </c>
      <c r="B5394" s="81" t="s">
        <v>125</v>
      </c>
      <c r="C5394" s="151">
        <v>0.74444444444444402</v>
      </c>
      <c r="D5394" s="155">
        <v>0</v>
      </c>
      <c r="E5394" s="155">
        <v>0</v>
      </c>
      <c r="F5394" s="155">
        <v>0</v>
      </c>
      <c r="G5394" s="155">
        <v>0</v>
      </c>
      <c r="H5394" s="155">
        <v>0</v>
      </c>
      <c r="I5394" s="155">
        <v>0</v>
      </c>
      <c r="J5394" s="155">
        <v>0</v>
      </c>
    </row>
    <row r="5395" spans="1:10">
      <c r="A5395" s="81" t="s">
        <v>106</v>
      </c>
      <c r="B5395" s="81" t="s">
        <v>125</v>
      </c>
      <c r="C5395" s="151">
        <v>0.74513888888888902</v>
      </c>
      <c r="D5395" s="155">
        <v>0</v>
      </c>
      <c r="E5395" s="155">
        <v>0</v>
      </c>
      <c r="F5395" s="155">
        <v>0</v>
      </c>
      <c r="G5395" s="155">
        <v>0</v>
      </c>
      <c r="H5395" s="155">
        <v>0</v>
      </c>
      <c r="I5395" s="155">
        <v>0</v>
      </c>
      <c r="J5395" s="155">
        <v>0</v>
      </c>
    </row>
    <row r="5396" spans="1:10">
      <c r="A5396" s="81" t="s">
        <v>106</v>
      </c>
      <c r="B5396" s="81" t="s">
        <v>125</v>
      </c>
      <c r="C5396" s="151">
        <v>0.74583333333333302</v>
      </c>
      <c r="D5396" s="155">
        <v>0</v>
      </c>
      <c r="E5396" s="155">
        <v>0</v>
      </c>
      <c r="F5396" s="155">
        <v>0</v>
      </c>
      <c r="G5396" s="155">
        <v>0</v>
      </c>
      <c r="H5396" s="155">
        <v>0</v>
      </c>
      <c r="I5396" s="155">
        <v>0</v>
      </c>
      <c r="J5396" s="155">
        <v>0</v>
      </c>
    </row>
    <row r="5397" spans="1:10">
      <c r="A5397" s="81" t="s">
        <v>106</v>
      </c>
      <c r="B5397" s="81" t="s">
        <v>125</v>
      </c>
      <c r="C5397" s="151">
        <v>0.74652777777777701</v>
      </c>
      <c r="D5397" s="155">
        <v>0</v>
      </c>
      <c r="E5397" s="155">
        <v>0</v>
      </c>
      <c r="F5397" s="155">
        <v>0</v>
      </c>
      <c r="G5397" s="155">
        <v>0</v>
      </c>
      <c r="H5397" s="155">
        <v>0</v>
      </c>
      <c r="I5397" s="155">
        <v>0</v>
      </c>
      <c r="J5397" s="155">
        <v>0</v>
      </c>
    </row>
    <row r="5398" spans="1:10">
      <c r="A5398" s="81" t="s">
        <v>106</v>
      </c>
      <c r="B5398" s="81" t="s">
        <v>125</v>
      </c>
      <c r="C5398" s="151">
        <v>0.74722222222222201</v>
      </c>
      <c r="D5398" s="155">
        <v>0</v>
      </c>
      <c r="E5398" s="155">
        <v>0</v>
      </c>
      <c r="F5398" s="155">
        <v>0</v>
      </c>
      <c r="G5398" s="155">
        <v>0</v>
      </c>
      <c r="H5398" s="155">
        <v>0</v>
      </c>
      <c r="I5398" s="155">
        <v>0</v>
      </c>
      <c r="J5398" s="155">
        <v>0</v>
      </c>
    </row>
    <row r="5399" spans="1:10">
      <c r="A5399" s="81" t="s">
        <v>106</v>
      </c>
      <c r="B5399" s="81" t="s">
        <v>125</v>
      </c>
      <c r="C5399" s="151">
        <v>0.74791666666666601</v>
      </c>
      <c r="D5399" s="155">
        <v>0</v>
      </c>
      <c r="E5399" s="155">
        <v>0</v>
      </c>
      <c r="F5399" s="155">
        <v>0</v>
      </c>
      <c r="G5399" s="155">
        <v>0</v>
      </c>
      <c r="H5399" s="155">
        <v>0</v>
      </c>
      <c r="I5399" s="155">
        <v>0</v>
      </c>
      <c r="J5399" s="155">
        <v>0</v>
      </c>
    </row>
    <row r="5400" spans="1:10">
      <c r="A5400" s="81" t="s">
        <v>106</v>
      </c>
      <c r="B5400" s="81" t="s">
        <v>125</v>
      </c>
      <c r="C5400" s="151">
        <v>0.74861111111111101</v>
      </c>
      <c r="D5400" s="155">
        <v>0</v>
      </c>
      <c r="E5400" s="155">
        <v>0</v>
      </c>
      <c r="F5400" s="155">
        <v>0</v>
      </c>
      <c r="G5400" s="155">
        <v>0</v>
      </c>
      <c r="H5400" s="155">
        <v>0</v>
      </c>
      <c r="I5400" s="155">
        <v>0</v>
      </c>
      <c r="J5400" s="155">
        <v>0</v>
      </c>
    </row>
    <row r="5401" spans="1:10" s="28" customFormat="1" ht="17.5" thickBot="1">
      <c r="A5401" s="100" t="s">
        <v>106</v>
      </c>
      <c r="B5401" s="100" t="s">
        <v>125</v>
      </c>
      <c r="C5401" s="152">
        <v>0.749305555555555</v>
      </c>
      <c r="D5401" s="158">
        <v>0</v>
      </c>
      <c r="E5401" s="158">
        <v>0</v>
      </c>
      <c r="F5401" s="158">
        <v>0</v>
      </c>
      <c r="G5401" s="158">
        <v>0</v>
      </c>
      <c r="H5401" s="158">
        <v>0</v>
      </c>
      <c r="I5401" s="158">
        <v>0</v>
      </c>
      <c r="J5401" s="158">
        <v>0</v>
      </c>
    </row>
    <row r="5402" spans="1:10">
      <c r="A5402" s="88" t="s">
        <v>108</v>
      </c>
      <c r="B5402" s="88" t="s">
        <v>34</v>
      </c>
      <c r="C5402" s="159">
        <v>0.70833333333333337</v>
      </c>
      <c r="D5402" s="73">
        <v>0</v>
      </c>
      <c r="E5402" s="73">
        <v>0</v>
      </c>
      <c r="F5402" s="73">
        <v>0</v>
      </c>
      <c r="G5402" s="73">
        <v>0</v>
      </c>
      <c r="H5402" s="73">
        <v>0</v>
      </c>
      <c r="I5402" s="73">
        <v>0</v>
      </c>
      <c r="J5402" s="73">
        <v>0</v>
      </c>
    </row>
    <row r="5403" spans="1:10">
      <c r="A5403" s="88" t="s">
        <v>108</v>
      </c>
      <c r="B5403" s="88" t="s">
        <v>34</v>
      </c>
      <c r="C5403" s="159">
        <v>0.70902777777777781</v>
      </c>
      <c r="D5403" s="73">
        <v>0</v>
      </c>
      <c r="E5403" s="73">
        <v>0</v>
      </c>
      <c r="F5403" s="73">
        <v>0</v>
      </c>
      <c r="G5403" s="73">
        <v>0</v>
      </c>
      <c r="H5403" s="73">
        <v>0</v>
      </c>
      <c r="I5403" s="73">
        <v>0</v>
      </c>
      <c r="J5403" s="73">
        <v>0</v>
      </c>
    </row>
    <row r="5404" spans="1:10">
      <c r="A5404" s="88" t="s">
        <v>108</v>
      </c>
      <c r="B5404" s="88" t="s">
        <v>34</v>
      </c>
      <c r="C5404" s="159">
        <v>0.70972222222222203</v>
      </c>
      <c r="D5404" s="73">
        <v>0</v>
      </c>
      <c r="E5404" s="73">
        <v>0</v>
      </c>
      <c r="F5404" s="73">
        <v>0</v>
      </c>
      <c r="G5404" s="73">
        <v>0</v>
      </c>
      <c r="H5404" s="73">
        <v>0</v>
      </c>
      <c r="I5404" s="73">
        <v>0</v>
      </c>
      <c r="J5404" s="73">
        <v>0</v>
      </c>
    </row>
    <row r="5405" spans="1:10">
      <c r="A5405" s="88" t="s">
        <v>108</v>
      </c>
      <c r="B5405" s="88" t="s">
        <v>34</v>
      </c>
      <c r="C5405" s="159">
        <v>0.71041666666666703</v>
      </c>
      <c r="D5405" s="73">
        <v>0</v>
      </c>
      <c r="E5405" s="73">
        <v>0</v>
      </c>
      <c r="F5405" s="73">
        <v>0</v>
      </c>
      <c r="G5405" s="73">
        <v>0</v>
      </c>
      <c r="H5405" s="73">
        <v>0</v>
      </c>
      <c r="I5405" s="73">
        <v>0</v>
      </c>
      <c r="J5405" s="73">
        <v>0</v>
      </c>
    </row>
    <row r="5406" spans="1:10">
      <c r="A5406" s="88" t="s">
        <v>108</v>
      </c>
      <c r="B5406" s="88" t="s">
        <v>34</v>
      </c>
      <c r="C5406" s="159">
        <v>0.71111111111111103</v>
      </c>
      <c r="D5406" s="73">
        <v>0</v>
      </c>
      <c r="E5406" s="73">
        <v>0</v>
      </c>
      <c r="F5406" s="73">
        <v>0</v>
      </c>
      <c r="G5406" s="73">
        <v>0</v>
      </c>
      <c r="H5406" s="73">
        <v>0</v>
      </c>
      <c r="I5406" s="73">
        <v>0</v>
      </c>
      <c r="J5406" s="73">
        <v>0</v>
      </c>
    </row>
    <row r="5407" spans="1:10">
      <c r="A5407" s="88" t="s">
        <v>108</v>
      </c>
      <c r="B5407" s="88" t="s">
        <v>34</v>
      </c>
      <c r="C5407" s="159">
        <v>0.71180555555555602</v>
      </c>
      <c r="D5407" s="73">
        <v>0</v>
      </c>
      <c r="E5407" s="73">
        <v>0</v>
      </c>
      <c r="F5407" s="73">
        <v>0</v>
      </c>
      <c r="G5407" s="73">
        <v>0</v>
      </c>
      <c r="H5407" s="73">
        <v>0</v>
      </c>
      <c r="I5407" s="73">
        <v>0</v>
      </c>
      <c r="J5407" s="73">
        <v>0</v>
      </c>
    </row>
    <row r="5408" spans="1:10">
      <c r="A5408" s="88" t="s">
        <v>108</v>
      </c>
      <c r="B5408" s="88" t="s">
        <v>34</v>
      </c>
      <c r="C5408" s="159">
        <v>0.71250000000000002</v>
      </c>
      <c r="D5408" s="73">
        <v>0</v>
      </c>
      <c r="E5408" s="73">
        <v>0</v>
      </c>
      <c r="F5408" s="73">
        <v>0</v>
      </c>
      <c r="G5408" s="73">
        <v>0</v>
      </c>
      <c r="H5408" s="73">
        <v>0</v>
      </c>
      <c r="I5408" s="73">
        <v>0</v>
      </c>
      <c r="J5408" s="73">
        <v>0</v>
      </c>
    </row>
    <row r="5409" spans="1:10">
      <c r="A5409" s="88" t="s">
        <v>108</v>
      </c>
      <c r="B5409" s="88" t="s">
        <v>34</v>
      </c>
      <c r="C5409" s="159">
        <v>0.71319444444444402</v>
      </c>
      <c r="D5409" s="73">
        <v>0</v>
      </c>
      <c r="E5409" s="73">
        <v>0</v>
      </c>
      <c r="F5409" s="73">
        <v>0</v>
      </c>
      <c r="G5409" s="73">
        <v>0</v>
      </c>
      <c r="H5409" s="73">
        <v>0</v>
      </c>
      <c r="I5409" s="73">
        <v>0</v>
      </c>
      <c r="J5409" s="73">
        <v>0</v>
      </c>
    </row>
    <row r="5410" spans="1:10">
      <c r="A5410" s="88" t="s">
        <v>108</v>
      </c>
      <c r="B5410" s="88" t="s">
        <v>34</v>
      </c>
      <c r="C5410" s="159">
        <v>0.71388888888888902</v>
      </c>
      <c r="D5410" s="73">
        <v>0</v>
      </c>
      <c r="E5410" s="73">
        <v>0</v>
      </c>
      <c r="F5410" s="73">
        <v>0</v>
      </c>
      <c r="G5410" s="73">
        <v>0</v>
      </c>
      <c r="H5410" s="73">
        <v>0</v>
      </c>
      <c r="I5410" s="73">
        <v>0</v>
      </c>
      <c r="J5410" s="73">
        <v>0</v>
      </c>
    </row>
    <row r="5411" spans="1:10">
      <c r="A5411" s="88" t="s">
        <v>108</v>
      </c>
      <c r="B5411" s="88" t="s">
        <v>34</v>
      </c>
      <c r="C5411" s="159">
        <v>0.71458333333333302</v>
      </c>
      <c r="D5411" s="73">
        <v>0</v>
      </c>
      <c r="E5411" s="73">
        <v>0</v>
      </c>
      <c r="F5411" s="73">
        <v>0</v>
      </c>
      <c r="G5411" s="73">
        <v>0</v>
      </c>
      <c r="H5411" s="73">
        <v>0</v>
      </c>
      <c r="I5411" s="73">
        <v>0</v>
      </c>
      <c r="J5411" s="73">
        <v>0</v>
      </c>
    </row>
    <row r="5412" spans="1:10">
      <c r="A5412" s="88" t="s">
        <v>108</v>
      </c>
      <c r="B5412" s="88" t="s">
        <v>34</v>
      </c>
      <c r="C5412" s="159">
        <v>0.71527777777777801</v>
      </c>
      <c r="D5412" s="73">
        <v>0</v>
      </c>
      <c r="E5412" s="73">
        <v>0</v>
      </c>
      <c r="F5412" s="73">
        <v>0</v>
      </c>
      <c r="G5412" s="73">
        <v>0</v>
      </c>
      <c r="H5412" s="73">
        <v>0</v>
      </c>
      <c r="I5412" s="73">
        <v>0</v>
      </c>
      <c r="J5412" s="73">
        <v>0</v>
      </c>
    </row>
    <row r="5413" spans="1:10">
      <c r="A5413" s="88" t="s">
        <v>108</v>
      </c>
      <c r="B5413" s="88" t="s">
        <v>34</v>
      </c>
      <c r="C5413" s="159">
        <v>0.71597222222222201</v>
      </c>
      <c r="D5413" s="73">
        <v>0</v>
      </c>
      <c r="E5413" s="73">
        <v>0</v>
      </c>
      <c r="F5413" s="73">
        <v>0</v>
      </c>
      <c r="G5413" s="73">
        <v>0</v>
      </c>
      <c r="H5413" s="73">
        <v>0</v>
      </c>
      <c r="I5413" s="73">
        <v>0</v>
      </c>
      <c r="J5413" s="73">
        <v>0</v>
      </c>
    </row>
    <row r="5414" spans="1:10">
      <c r="A5414" s="88" t="s">
        <v>108</v>
      </c>
      <c r="B5414" s="88" t="s">
        <v>34</v>
      </c>
      <c r="C5414" s="159">
        <v>0.71666666666666701</v>
      </c>
      <c r="D5414" s="73">
        <v>0</v>
      </c>
      <c r="E5414" s="73">
        <v>0</v>
      </c>
      <c r="F5414" s="73">
        <v>0</v>
      </c>
      <c r="G5414" s="73">
        <v>0</v>
      </c>
      <c r="H5414" s="73">
        <v>0</v>
      </c>
      <c r="I5414" s="73">
        <v>0</v>
      </c>
      <c r="J5414" s="73">
        <v>0</v>
      </c>
    </row>
    <row r="5415" spans="1:10">
      <c r="A5415" s="88" t="s">
        <v>108</v>
      </c>
      <c r="B5415" s="88" t="s">
        <v>34</v>
      </c>
      <c r="C5415" s="159">
        <v>0.71736111111111101</v>
      </c>
      <c r="D5415" s="73">
        <v>0</v>
      </c>
      <c r="E5415" s="73">
        <v>0</v>
      </c>
      <c r="F5415" s="73">
        <v>0</v>
      </c>
      <c r="G5415" s="73">
        <v>0</v>
      </c>
      <c r="H5415" s="73">
        <v>0</v>
      </c>
      <c r="I5415" s="73">
        <v>0</v>
      </c>
      <c r="J5415" s="73">
        <v>0</v>
      </c>
    </row>
    <row r="5416" spans="1:10" s="80" customFormat="1">
      <c r="A5416" s="91" t="s">
        <v>108</v>
      </c>
      <c r="B5416" s="91" t="s">
        <v>34</v>
      </c>
      <c r="C5416" s="161">
        <v>0.718055555555556</v>
      </c>
      <c r="D5416" s="163">
        <v>0</v>
      </c>
      <c r="E5416" s="163">
        <v>0</v>
      </c>
      <c r="F5416" s="163">
        <v>0</v>
      </c>
      <c r="G5416" s="163">
        <v>0</v>
      </c>
      <c r="H5416" s="163">
        <v>0</v>
      </c>
      <c r="I5416" s="163">
        <v>0</v>
      </c>
      <c r="J5416" s="163">
        <v>0</v>
      </c>
    </row>
    <row r="5417" spans="1:10">
      <c r="A5417" s="88" t="s">
        <v>108</v>
      </c>
      <c r="B5417" s="88" t="s">
        <v>34</v>
      </c>
      <c r="C5417" s="159">
        <v>0.71875</v>
      </c>
      <c r="D5417" s="164">
        <v>0</v>
      </c>
      <c r="E5417" s="164">
        <v>0</v>
      </c>
      <c r="F5417" s="164">
        <v>0</v>
      </c>
      <c r="G5417" s="164">
        <v>0</v>
      </c>
      <c r="H5417" s="164">
        <v>0</v>
      </c>
      <c r="I5417" s="164">
        <v>0</v>
      </c>
      <c r="J5417" s="164">
        <v>0</v>
      </c>
    </row>
    <row r="5418" spans="1:10">
      <c r="A5418" s="88" t="s">
        <v>108</v>
      </c>
      <c r="B5418" s="88" t="s">
        <v>34</v>
      </c>
      <c r="C5418" s="159">
        <v>0.719444444444444</v>
      </c>
      <c r="D5418" s="73">
        <v>0</v>
      </c>
      <c r="E5418" s="73">
        <v>0</v>
      </c>
      <c r="F5418" s="73">
        <v>0</v>
      </c>
      <c r="G5418" s="73">
        <v>0</v>
      </c>
      <c r="H5418" s="73">
        <v>0</v>
      </c>
      <c r="I5418" s="73">
        <v>0</v>
      </c>
      <c r="J5418" s="73">
        <v>0</v>
      </c>
    </row>
    <row r="5419" spans="1:10">
      <c r="A5419" s="88" t="s">
        <v>108</v>
      </c>
      <c r="B5419" s="88" t="s">
        <v>34</v>
      </c>
      <c r="C5419" s="159">
        <v>0.72013888888888899</v>
      </c>
      <c r="D5419" s="73">
        <v>0</v>
      </c>
      <c r="E5419" s="73">
        <v>0</v>
      </c>
      <c r="F5419" s="73">
        <v>0</v>
      </c>
      <c r="G5419" s="73">
        <v>0</v>
      </c>
      <c r="H5419" s="73">
        <v>0</v>
      </c>
      <c r="I5419" s="73">
        <v>0</v>
      </c>
      <c r="J5419" s="73">
        <v>0</v>
      </c>
    </row>
    <row r="5420" spans="1:10">
      <c r="A5420" s="88" t="s">
        <v>108</v>
      </c>
      <c r="B5420" s="88" t="s">
        <v>34</v>
      </c>
      <c r="C5420" s="159">
        <v>0.72083333333333299</v>
      </c>
      <c r="D5420" s="73">
        <v>0</v>
      </c>
      <c r="E5420" s="73">
        <v>0</v>
      </c>
      <c r="F5420" s="73">
        <v>0</v>
      </c>
      <c r="G5420" s="73">
        <v>0</v>
      </c>
      <c r="H5420" s="73">
        <v>0</v>
      </c>
      <c r="I5420" s="73">
        <v>0</v>
      </c>
      <c r="J5420" s="73">
        <v>0</v>
      </c>
    </row>
    <row r="5421" spans="1:10">
      <c r="A5421" s="88" t="s">
        <v>108</v>
      </c>
      <c r="B5421" s="88" t="s">
        <v>34</v>
      </c>
      <c r="C5421" s="159">
        <v>0.72152777777777799</v>
      </c>
      <c r="D5421" s="73">
        <v>0</v>
      </c>
      <c r="E5421" s="73">
        <v>0</v>
      </c>
      <c r="F5421" s="73">
        <v>0</v>
      </c>
      <c r="G5421" s="73">
        <v>0</v>
      </c>
      <c r="H5421" s="73">
        <v>0</v>
      </c>
      <c r="I5421" s="73">
        <v>0</v>
      </c>
      <c r="J5421" s="73">
        <v>0</v>
      </c>
    </row>
    <row r="5422" spans="1:10">
      <c r="A5422" s="88" t="s">
        <v>108</v>
      </c>
      <c r="B5422" s="88" t="s">
        <v>34</v>
      </c>
      <c r="C5422" s="159">
        <v>0.72222222222222199</v>
      </c>
      <c r="D5422" s="73">
        <v>0</v>
      </c>
      <c r="E5422" s="73">
        <v>0</v>
      </c>
      <c r="F5422" s="73">
        <v>0</v>
      </c>
      <c r="G5422" s="73">
        <v>0</v>
      </c>
      <c r="H5422" s="73">
        <v>0</v>
      </c>
      <c r="I5422" s="73">
        <v>0</v>
      </c>
      <c r="J5422" s="73">
        <v>0</v>
      </c>
    </row>
    <row r="5423" spans="1:10">
      <c r="A5423" s="88" t="s">
        <v>108</v>
      </c>
      <c r="B5423" s="88" t="s">
        <v>34</v>
      </c>
      <c r="C5423" s="159">
        <v>0.72291666666666698</v>
      </c>
      <c r="D5423" s="73">
        <v>0</v>
      </c>
      <c r="E5423" s="73">
        <v>0</v>
      </c>
      <c r="F5423" s="73">
        <v>0</v>
      </c>
      <c r="G5423" s="73">
        <v>0</v>
      </c>
      <c r="H5423" s="73">
        <v>0</v>
      </c>
      <c r="I5423" s="73">
        <v>0</v>
      </c>
      <c r="J5423" s="73">
        <v>0</v>
      </c>
    </row>
    <row r="5424" spans="1:10">
      <c r="A5424" s="88" t="s">
        <v>108</v>
      </c>
      <c r="B5424" s="88" t="s">
        <v>34</v>
      </c>
      <c r="C5424" s="159">
        <v>0.72361111111111098</v>
      </c>
      <c r="D5424" s="73">
        <v>0</v>
      </c>
      <c r="E5424" s="73">
        <v>0</v>
      </c>
      <c r="F5424" s="73">
        <v>0</v>
      </c>
      <c r="G5424" s="73">
        <v>0</v>
      </c>
      <c r="H5424" s="73">
        <v>0</v>
      </c>
      <c r="I5424" s="73">
        <v>0</v>
      </c>
      <c r="J5424" s="73">
        <v>0</v>
      </c>
    </row>
    <row r="5425" spans="1:10">
      <c r="A5425" s="88" t="s">
        <v>108</v>
      </c>
      <c r="B5425" s="88" t="s">
        <v>34</v>
      </c>
      <c r="C5425" s="159">
        <v>0.72430555555555598</v>
      </c>
      <c r="D5425" s="73">
        <v>0</v>
      </c>
      <c r="E5425" s="73">
        <v>0</v>
      </c>
      <c r="F5425" s="73">
        <v>0</v>
      </c>
      <c r="G5425" s="73">
        <v>0</v>
      </c>
      <c r="H5425" s="73">
        <v>0</v>
      </c>
      <c r="I5425" s="73">
        <v>0</v>
      </c>
      <c r="J5425" s="73">
        <v>0</v>
      </c>
    </row>
    <row r="5426" spans="1:10">
      <c r="A5426" s="88" t="s">
        <v>108</v>
      </c>
      <c r="B5426" s="88" t="s">
        <v>34</v>
      </c>
      <c r="C5426" s="159">
        <v>0.72499999999999998</v>
      </c>
      <c r="D5426" s="73">
        <v>0</v>
      </c>
      <c r="E5426" s="73">
        <v>0</v>
      </c>
      <c r="F5426" s="73">
        <v>0</v>
      </c>
      <c r="G5426" s="73">
        <v>0</v>
      </c>
      <c r="H5426" s="73">
        <v>0</v>
      </c>
      <c r="I5426" s="73">
        <v>0</v>
      </c>
      <c r="J5426" s="73">
        <v>0</v>
      </c>
    </row>
    <row r="5427" spans="1:10">
      <c r="A5427" s="88" t="s">
        <v>108</v>
      </c>
      <c r="B5427" s="88" t="s">
        <v>34</v>
      </c>
      <c r="C5427" s="159">
        <v>0.72569444444444398</v>
      </c>
      <c r="D5427" s="73">
        <v>0</v>
      </c>
      <c r="E5427" s="73">
        <v>0</v>
      </c>
      <c r="F5427" s="73">
        <v>0</v>
      </c>
      <c r="G5427" s="73">
        <v>0</v>
      </c>
      <c r="H5427" s="73">
        <v>0</v>
      </c>
      <c r="I5427" s="73">
        <v>0</v>
      </c>
      <c r="J5427" s="73">
        <v>0</v>
      </c>
    </row>
    <row r="5428" spans="1:10">
      <c r="A5428" s="88" t="s">
        <v>108</v>
      </c>
      <c r="B5428" s="88" t="s">
        <v>34</v>
      </c>
      <c r="C5428" s="159">
        <v>0.72638888888888897</v>
      </c>
      <c r="D5428" s="73">
        <v>0</v>
      </c>
      <c r="E5428" s="73">
        <v>0</v>
      </c>
      <c r="F5428" s="73">
        <v>0</v>
      </c>
      <c r="G5428" s="73">
        <v>0</v>
      </c>
      <c r="H5428" s="73">
        <v>0</v>
      </c>
      <c r="I5428" s="73">
        <v>0</v>
      </c>
      <c r="J5428" s="73">
        <v>0</v>
      </c>
    </row>
    <row r="5429" spans="1:10">
      <c r="A5429" s="88" t="s">
        <v>108</v>
      </c>
      <c r="B5429" s="88" t="s">
        <v>34</v>
      </c>
      <c r="C5429" s="159">
        <v>0.72708333333333297</v>
      </c>
      <c r="D5429" s="73">
        <v>0</v>
      </c>
      <c r="E5429" s="73">
        <v>0</v>
      </c>
      <c r="F5429" s="73">
        <v>0</v>
      </c>
      <c r="G5429" s="73">
        <v>0</v>
      </c>
      <c r="H5429" s="73">
        <v>0</v>
      </c>
      <c r="I5429" s="73">
        <v>0</v>
      </c>
      <c r="J5429" s="73">
        <v>0</v>
      </c>
    </row>
    <row r="5430" spans="1:10">
      <c r="A5430" s="88" t="s">
        <v>108</v>
      </c>
      <c r="B5430" s="88" t="s">
        <v>34</v>
      </c>
      <c r="C5430" s="159">
        <v>0.72777777777777797</v>
      </c>
      <c r="D5430" s="73">
        <v>0</v>
      </c>
      <c r="E5430" s="73">
        <v>0</v>
      </c>
      <c r="F5430" s="73">
        <v>0</v>
      </c>
      <c r="G5430" s="73">
        <v>0</v>
      </c>
      <c r="H5430" s="73">
        <v>0</v>
      </c>
      <c r="I5430" s="73">
        <v>0</v>
      </c>
      <c r="J5430" s="73">
        <v>0</v>
      </c>
    </row>
    <row r="5431" spans="1:10" s="80" customFormat="1">
      <c r="A5431" s="91" t="s">
        <v>108</v>
      </c>
      <c r="B5431" s="91" t="s">
        <v>34</v>
      </c>
      <c r="C5431" s="161">
        <v>0.72847222222222197</v>
      </c>
      <c r="D5431" s="163">
        <v>0</v>
      </c>
      <c r="E5431" s="163">
        <v>0</v>
      </c>
      <c r="F5431" s="163">
        <v>0</v>
      </c>
      <c r="G5431" s="163">
        <v>0</v>
      </c>
      <c r="H5431" s="163">
        <v>0</v>
      </c>
      <c r="I5431" s="163">
        <v>0</v>
      </c>
      <c r="J5431" s="163">
        <v>0</v>
      </c>
    </row>
    <row r="5432" spans="1:10">
      <c r="A5432" s="88" t="s">
        <v>108</v>
      </c>
      <c r="B5432" s="88" t="s">
        <v>34</v>
      </c>
      <c r="C5432" s="159">
        <v>0.72916666666666696</v>
      </c>
      <c r="D5432" s="164">
        <v>0</v>
      </c>
      <c r="E5432" s="164">
        <v>0</v>
      </c>
      <c r="F5432" s="164">
        <v>0</v>
      </c>
      <c r="G5432" s="164">
        <v>0</v>
      </c>
      <c r="H5432" s="164">
        <v>0</v>
      </c>
      <c r="I5432" s="164">
        <v>0</v>
      </c>
      <c r="J5432" s="164">
        <v>0</v>
      </c>
    </row>
    <row r="5433" spans="1:10">
      <c r="A5433" s="88" t="s">
        <v>108</v>
      </c>
      <c r="B5433" s="88" t="s">
        <v>34</v>
      </c>
      <c r="C5433" s="159">
        <v>0.72986111111111096</v>
      </c>
      <c r="D5433" s="73">
        <v>0</v>
      </c>
      <c r="E5433" s="73">
        <v>0</v>
      </c>
      <c r="F5433" s="73">
        <v>0</v>
      </c>
      <c r="G5433" s="73">
        <v>0</v>
      </c>
      <c r="H5433" s="73">
        <v>0</v>
      </c>
      <c r="I5433" s="73">
        <v>0</v>
      </c>
      <c r="J5433" s="73">
        <v>0</v>
      </c>
    </row>
    <row r="5434" spans="1:10">
      <c r="A5434" s="88" t="s">
        <v>108</v>
      </c>
      <c r="B5434" s="88" t="s">
        <v>34</v>
      </c>
      <c r="C5434" s="159">
        <v>0.73055555555555596</v>
      </c>
      <c r="D5434" s="73">
        <v>0</v>
      </c>
      <c r="E5434" s="73">
        <v>0</v>
      </c>
      <c r="F5434" s="73">
        <v>0</v>
      </c>
      <c r="G5434" s="73">
        <v>0</v>
      </c>
      <c r="H5434" s="73">
        <v>0</v>
      </c>
      <c r="I5434" s="73">
        <v>0</v>
      </c>
      <c r="J5434" s="73">
        <v>0</v>
      </c>
    </row>
    <row r="5435" spans="1:10">
      <c r="A5435" s="88" t="s">
        <v>108</v>
      </c>
      <c r="B5435" s="88" t="s">
        <v>34</v>
      </c>
      <c r="C5435" s="159">
        <v>0.73124999999999996</v>
      </c>
      <c r="D5435" s="73">
        <v>0</v>
      </c>
      <c r="E5435" s="73">
        <v>0</v>
      </c>
      <c r="F5435" s="73">
        <v>0</v>
      </c>
      <c r="G5435" s="73">
        <v>0</v>
      </c>
      <c r="H5435" s="73">
        <v>0</v>
      </c>
      <c r="I5435" s="73">
        <v>0</v>
      </c>
      <c r="J5435" s="73">
        <v>0</v>
      </c>
    </row>
    <row r="5436" spans="1:10">
      <c r="A5436" s="88" t="s">
        <v>108</v>
      </c>
      <c r="B5436" s="88" t="s">
        <v>34</v>
      </c>
      <c r="C5436" s="159">
        <v>0.73194444444444395</v>
      </c>
      <c r="D5436" s="73">
        <v>0</v>
      </c>
      <c r="E5436" s="73">
        <v>0</v>
      </c>
      <c r="F5436" s="73">
        <v>0</v>
      </c>
      <c r="G5436" s="73">
        <v>0</v>
      </c>
      <c r="H5436" s="73">
        <v>0</v>
      </c>
      <c r="I5436" s="73">
        <v>0</v>
      </c>
      <c r="J5436" s="73">
        <v>0</v>
      </c>
    </row>
    <row r="5437" spans="1:10">
      <c r="A5437" s="88" t="s">
        <v>108</v>
      </c>
      <c r="B5437" s="88" t="s">
        <v>34</v>
      </c>
      <c r="C5437" s="159">
        <v>0.73263888888888895</v>
      </c>
      <c r="D5437" s="73">
        <v>0</v>
      </c>
      <c r="E5437" s="73">
        <v>0</v>
      </c>
      <c r="F5437" s="73">
        <v>0</v>
      </c>
      <c r="G5437" s="73">
        <v>0</v>
      </c>
      <c r="H5437" s="73">
        <v>0</v>
      </c>
      <c r="I5437" s="73">
        <v>0</v>
      </c>
      <c r="J5437" s="73">
        <v>0</v>
      </c>
    </row>
    <row r="5438" spans="1:10">
      <c r="A5438" s="88" t="s">
        <v>108</v>
      </c>
      <c r="B5438" s="88" t="s">
        <v>34</v>
      </c>
      <c r="C5438" s="159">
        <v>0.73333333333333295</v>
      </c>
      <c r="D5438" s="73">
        <v>0</v>
      </c>
      <c r="E5438" s="73">
        <v>0</v>
      </c>
      <c r="F5438" s="73">
        <v>0</v>
      </c>
      <c r="G5438" s="73">
        <v>0</v>
      </c>
      <c r="H5438" s="73">
        <v>0</v>
      </c>
      <c r="I5438" s="73">
        <v>0</v>
      </c>
      <c r="J5438" s="73">
        <v>0</v>
      </c>
    </row>
    <row r="5439" spans="1:10">
      <c r="A5439" s="88" t="s">
        <v>108</v>
      </c>
      <c r="B5439" s="88" t="s">
        <v>34</v>
      </c>
      <c r="C5439" s="159">
        <v>0.73402777777777795</v>
      </c>
      <c r="D5439" s="73">
        <v>0</v>
      </c>
      <c r="E5439" s="73">
        <v>0</v>
      </c>
      <c r="F5439" s="73">
        <v>0</v>
      </c>
      <c r="G5439" s="73">
        <v>0</v>
      </c>
      <c r="H5439" s="73">
        <v>0</v>
      </c>
      <c r="I5439" s="73">
        <v>0</v>
      </c>
      <c r="J5439" s="73">
        <v>0</v>
      </c>
    </row>
    <row r="5440" spans="1:10">
      <c r="A5440" s="88" t="s">
        <v>108</v>
      </c>
      <c r="B5440" s="88" t="s">
        <v>34</v>
      </c>
      <c r="C5440" s="159">
        <v>0.73472222222222205</v>
      </c>
      <c r="D5440" s="73">
        <v>0</v>
      </c>
      <c r="E5440" s="73">
        <v>0</v>
      </c>
      <c r="F5440" s="73">
        <v>0</v>
      </c>
      <c r="G5440" s="73">
        <v>0</v>
      </c>
      <c r="H5440" s="73">
        <v>0</v>
      </c>
      <c r="I5440" s="73">
        <v>0</v>
      </c>
      <c r="J5440" s="73">
        <v>0</v>
      </c>
    </row>
    <row r="5441" spans="1:10">
      <c r="A5441" s="88" t="s">
        <v>108</v>
      </c>
      <c r="B5441" s="88" t="s">
        <v>34</v>
      </c>
      <c r="C5441" s="159">
        <v>0.73541666666666705</v>
      </c>
      <c r="D5441" s="73">
        <v>0</v>
      </c>
      <c r="E5441" s="73">
        <v>0</v>
      </c>
      <c r="F5441" s="73">
        <v>0</v>
      </c>
      <c r="G5441" s="73">
        <v>0</v>
      </c>
      <c r="H5441" s="73">
        <v>0</v>
      </c>
      <c r="I5441" s="73">
        <v>0</v>
      </c>
      <c r="J5441" s="73">
        <v>0</v>
      </c>
    </row>
    <row r="5442" spans="1:10">
      <c r="A5442" s="88" t="s">
        <v>108</v>
      </c>
      <c r="B5442" s="88" t="s">
        <v>34</v>
      </c>
      <c r="C5442" s="159">
        <v>0.73611111111111105</v>
      </c>
      <c r="D5442" s="73">
        <v>0</v>
      </c>
      <c r="E5442" s="73">
        <v>0</v>
      </c>
      <c r="F5442" s="73">
        <v>0</v>
      </c>
      <c r="G5442" s="73">
        <v>0</v>
      </c>
      <c r="H5442" s="73">
        <v>0</v>
      </c>
      <c r="I5442" s="73">
        <v>0</v>
      </c>
      <c r="J5442" s="73">
        <v>0</v>
      </c>
    </row>
    <row r="5443" spans="1:10">
      <c r="A5443" s="88" t="s">
        <v>108</v>
      </c>
      <c r="B5443" s="88" t="s">
        <v>34</v>
      </c>
      <c r="C5443" s="159">
        <v>0.73680555555555505</v>
      </c>
      <c r="D5443" s="73">
        <v>0</v>
      </c>
      <c r="E5443" s="73">
        <v>0</v>
      </c>
      <c r="F5443" s="73">
        <v>0</v>
      </c>
      <c r="G5443" s="73">
        <v>0</v>
      </c>
      <c r="H5443" s="73">
        <v>0</v>
      </c>
      <c r="I5443" s="73">
        <v>0</v>
      </c>
      <c r="J5443" s="73">
        <v>0</v>
      </c>
    </row>
    <row r="5444" spans="1:10">
      <c r="A5444" s="88" t="s">
        <v>108</v>
      </c>
      <c r="B5444" s="88" t="s">
        <v>34</v>
      </c>
      <c r="C5444" s="159">
        <v>0.73750000000000004</v>
      </c>
      <c r="D5444" s="73">
        <v>0</v>
      </c>
      <c r="E5444" s="73">
        <v>0</v>
      </c>
      <c r="F5444" s="73">
        <v>0</v>
      </c>
      <c r="G5444" s="73">
        <v>0</v>
      </c>
      <c r="H5444" s="73">
        <v>0</v>
      </c>
      <c r="I5444" s="73">
        <v>0</v>
      </c>
      <c r="J5444" s="73">
        <v>0</v>
      </c>
    </row>
    <row r="5445" spans="1:10">
      <c r="A5445" s="88" t="s">
        <v>108</v>
      </c>
      <c r="B5445" s="88" t="s">
        <v>34</v>
      </c>
      <c r="C5445" s="159">
        <v>0.73819444444444404</v>
      </c>
      <c r="D5445" s="73">
        <v>0</v>
      </c>
      <c r="E5445" s="73">
        <v>0</v>
      </c>
      <c r="F5445" s="73">
        <v>0</v>
      </c>
      <c r="G5445" s="73">
        <v>0</v>
      </c>
      <c r="H5445" s="73">
        <v>0</v>
      </c>
      <c r="I5445" s="73">
        <v>0</v>
      </c>
      <c r="J5445" s="73">
        <v>0</v>
      </c>
    </row>
    <row r="5446" spans="1:10" s="80" customFormat="1">
      <c r="A5446" s="91" t="s">
        <v>108</v>
      </c>
      <c r="B5446" s="91" t="s">
        <v>34</v>
      </c>
      <c r="C5446" s="161">
        <v>0.73888888888888904</v>
      </c>
      <c r="D5446" s="163">
        <v>0</v>
      </c>
      <c r="E5446" s="163">
        <v>0</v>
      </c>
      <c r="F5446" s="163">
        <v>0</v>
      </c>
      <c r="G5446" s="163">
        <v>0</v>
      </c>
      <c r="H5446" s="163">
        <v>0</v>
      </c>
      <c r="I5446" s="163">
        <v>0</v>
      </c>
      <c r="J5446" s="163">
        <v>0</v>
      </c>
    </row>
    <row r="5447" spans="1:10">
      <c r="A5447" s="88" t="s">
        <v>108</v>
      </c>
      <c r="B5447" s="88" t="s">
        <v>34</v>
      </c>
      <c r="C5447" s="159">
        <v>0.73958333333333304</v>
      </c>
      <c r="D5447" s="164">
        <v>0</v>
      </c>
      <c r="E5447" s="164">
        <v>0</v>
      </c>
      <c r="F5447" s="164">
        <v>0</v>
      </c>
      <c r="G5447" s="164">
        <v>0</v>
      </c>
      <c r="H5447" s="164">
        <v>0</v>
      </c>
      <c r="I5447" s="164">
        <v>0</v>
      </c>
      <c r="J5447" s="164">
        <v>0</v>
      </c>
    </row>
    <row r="5448" spans="1:10">
      <c r="A5448" s="88" t="s">
        <v>108</v>
      </c>
      <c r="B5448" s="88" t="s">
        <v>34</v>
      </c>
      <c r="C5448" s="159">
        <v>0.74027777777777803</v>
      </c>
      <c r="D5448" s="73">
        <v>0</v>
      </c>
      <c r="E5448" s="73">
        <v>0</v>
      </c>
      <c r="F5448" s="73">
        <v>0</v>
      </c>
      <c r="G5448" s="73">
        <v>0</v>
      </c>
      <c r="H5448" s="73">
        <v>0</v>
      </c>
      <c r="I5448" s="73">
        <v>0</v>
      </c>
      <c r="J5448" s="73">
        <v>0</v>
      </c>
    </row>
    <row r="5449" spans="1:10">
      <c r="A5449" s="88" t="s">
        <v>108</v>
      </c>
      <c r="B5449" s="88" t="s">
        <v>34</v>
      </c>
      <c r="C5449" s="159">
        <v>0.74097222222222203</v>
      </c>
      <c r="D5449" s="73">
        <v>0</v>
      </c>
      <c r="E5449" s="73">
        <v>0</v>
      </c>
      <c r="F5449" s="73">
        <v>0</v>
      </c>
      <c r="G5449" s="73">
        <v>0</v>
      </c>
      <c r="H5449" s="73">
        <v>0</v>
      </c>
      <c r="I5449" s="73">
        <v>0</v>
      </c>
      <c r="J5449" s="73">
        <v>0</v>
      </c>
    </row>
    <row r="5450" spans="1:10">
      <c r="A5450" s="88" t="s">
        <v>108</v>
      </c>
      <c r="B5450" s="88" t="s">
        <v>34</v>
      </c>
      <c r="C5450" s="159">
        <v>0.74166666666666703</v>
      </c>
      <c r="D5450" s="73">
        <v>0</v>
      </c>
      <c r="E5450" s="73">
        <v>0</v>
      </c>
      <c r="F5450" s="73">
        <v>0</v>
      </c>
      <c r="G5450" s="73">
        <v>0</v>
      </c>
      <c r="H5450" s="73">
        <v>0</v>
      </c>
      <c r="I5450" s="73">
        <v>0</v>
      </c>
      <c r="J5450" s="73">
        <v>0</v>
      </c>
    </row>
    <row r="5451" spans="1:10">
      <c r="A5451" s="88" t="s">
        <v>108</v>
      </c>
      <c r="B5451" s="88" t="s">
        <v>34</v>
      </c>
      <c r="C5451" s="159">
        <v>0.74236111111111103</v>
      </c>
      <c r="D5451" s="73">
        <v>0</v>
      </c>
      <c r="E5451" s="73">
        <v>0</v>
      </c>
      <c r="F5451" s="73">
        <v>0</v>
      </c>
      <c r="G5451" s="73">
        <v>0</v>
      </c>
      <c r="H5451" s="73">
        <v>0</v>
      </c>
      <c r="I5451" s="73">
        <v>0</v>
      </c>
      <c r="J5451" s="73">
        <v>0</v>
      </c>
    </row>
    <row r="5452" spans="1:10">
      <c r="A5452" s="88" t="s">
        <v>108</v>
      </c>
      <c r="B5452" s="88" t="s">
        <v>34</v>
      </c>
      <c r="C5452" s="159">
        <v>0.74305555555555503</v>
      </c>
      <c r="D5452" s="73">
        <v>0</v>
      </c>
      <c r="E5452" s="73">
        <v>0</v>
      </c>
      <c r="F5452" s="73">
        <v>0</v>
      </c>
      <c r="G5452" s="73">
        <v>0</v>
      </c>
      <c r="H5452" s="73">
        <v>0</v>
      </c>
      <c r="I5452" s="73">
        <v>0</v>
      </c>
      <c r="J5452" s="73">
        <v>0</v>
      </c>
    </row>
    <row r="5453" spans="1:10">
      <c r="A5453" s="88" t="s">
        <v>108</v>
      </c>
      <c r="B5453" s="88" t="s">
        <v>34</v>
      </c>
      <c r="C5453" s="159">
        <v>0.74375000000000002</v>
      </c>
      <c r="D5453" s="73">
        <v>0</v>
      </c>
      <c r="E5453" s="73">
        <v>0</v>
      </c>
      <c r="F5453" s="73">
        <v>0</v>
      </c>
      <c r="G5453" s="73">
        <v>0</v>
      </c>
      <c r="H5453" s="73">
        <v>0</v>
      </c>
      <c r="I5453" s="73">
        <v>0</v>
      </c>
      <c r="J5453" s="73">
        <v>0</v>
      </c>
    </row>
    <row r="5454" spans="1:10">
      <c r="A5454" s="88" t="s">
        <v>108</v>
      </c>
      <c r="B5454" s="88" t="s">
        <v>34</v>
      </c>
      <c r="C5454" s="159">
        <v>0.74444444444444402</v>
      </c>
      <c r="D5454" s="73">
        <v>0</v>
      </c>
      <c r="E5454" s="73">
        <v>0</v>
      </c>
      <c r="F5454" s="73">
        <v>0</v>
      </c>
      <c r="G5454" s="73">
        <v>0</v>
      </c>
      <c r="H5454" s="73">
        <v>0</v>
      </c>
      <c r="I5454" s="73">
        <v>0</v>
      </c>
      <c r="J5454" s="73">
        <v>0</v>
      </c>
    </row>
    <row r="5455" spans="1:10">
      <c r="A5455" s="88" t="s">
        <v>108</v>
      </c>
      <c r="B5455" s="88" t="s">
        <v>34</v>
      </c>
      <c r="C5455" s="159">
        <v>0.74513888888888902</v>
      </c>
      <c r="D5455" s="73">
        <v>0</v>
      </c>
      <c r="E5455" s="73">
        <v>0</v>
      </c>
      <c r="F5455" s="73">
        <v>0</v>
      </c>
      <c r="G5455" s="73">
        <v>0</v>
      </c>
      <c r="H5455" s="73">
        <v>0</v>
      </c>
      <c r="I5455" s="73">
        <v>0</v>
      </c>
      <c r="J5455" s="73">
        <v>0</v>
      </c>
    </row>
    <row r="5456" spans="1:10">
      <c r="A5456" s="88" t="s">
        <v>108</v>
      </c>
      <c r="B5456" s="88" t="s">
        <v>34</v>
      </c>
      <c r="C5456" s="159">
        <v>0.74583333333333302</v>
      </c>
      <c r="D5456" s="73">
        <v>0</v>
      </c>
      <c r="E5456" s="73">
        <v>0</v>
      </c>
      <c r="F5456" s="73">
        <v>0</v>
      </c>
      <c r="G5456" s="73">
        <v>0</v>
      </c>
      <c r="H5456" s="73">
        <v>0</v>
      </c>
      <c r="I5456" s="73">
        <v>0</v>
      </c>
      <c r="J5456" s="73">
        <v>0</v>
      </c>
    </row>
    <row r="5457" spans="1:10">
      <c r="A5457" s="88" t="s">
        <v>108</v>
      </c>
      <c r="B5457" s="88" t="s">
        <v>34</v>
      </c>
      <c r="C5457" s="159">
        <v>0.74652777777777801</v>
      </c>
      <c r="D5457" s="73">
        <v>0</v>
      </c>
      <c r="E5457" s="73">
        <v>0</v>
      </c>
      <c r="F5457" s="73">
        <v>0</v>
      </c>
      <c r="G5457" s="73">
        <v>0</v>
      </c>
      <c r="H5457" s="73">
        <v>0</v>
      </c>
      <c r="I5457" s="73">
        <v>0</v>
      </c>
      <c r="J5457" s="73">
        <v>0</v>
      </c>
    </row>
    <row r="5458" spans="1:10">
      <c r="A5458" s="88" t="s">
        <v>108</v>
      </c>
      <c r="B5458" s="88" t="s">
        <v>34</v>
      </c>
      <c r="C5458" s="159">
        <v>0.74722222222222201</v>
      </c>
      <c r="D5458" s="73">
        <v>0</v>
      </c>
      <c r="E5458" s="73">
        <v>0</v>
      </c>
      <c r="F5458" s="73">
        <v>0</v>
      </c>
      <c r="G5458" s="73">
        <v>0</v>
      </c>
      <c r="H5458" s="73">
        <v>0</v>
      </c>
      <c r="I5458" s="73">
        <v>0</v>
      </c>
      <c r="J5458" s="73">
        <v>0</v>
      </c>
    </row>
    <row r="5459" spans="1:10">
      <c r="A5459" s="88" t="s">
        <v>108</v>
      </c>
      <c r="B5459" s="88" t="s">
        <v>34</v>
      </c>
      <c r="C5459" s="159">
        <v>0.74791666666666701</v>
      </c>
      <c r="D5459" s="73">
        <v>0</v>
      </c>
      <c r="E5459" s="73">
        <v>0</v>
      </c>
      <c r="F5459" s="73">
        <v>0</v>
      </c>
      <c r="G5459" s="73">
        <v>0</v>
      </c>
      <c r="H5459" s="73">
        <v>0</v>
      </c>
      <c r="I5459" s="73">
        <v>0</v>
      </c>
      <c r="J5459" s="73">
        <v>0</v>
      </c>
    </row>
    <row r="5460" spans="1:10">
      <c r="A5460" s="88" t="s">
        <v>108</v>
      </c>
      <c r="B5460" s="88" t="s">
        <v>34</v>
      </c>
      <c r="C5460" s="159">
        <v>0.74861111111111101</v>
      </c>
      <c r="D5460" s="73">
        <v>0</v>
      </c>
      <c r="E5460" s="73">
        <v>0</v>
      </c>
      <c r="F5460" s="73">
        <v>0</v>
      </c>
      <c r="G5460" s="73">
        <v>0</v>
      </c>
      <c r="H5460" s="73">
        <v>0</v>
      </c>
      <c r="I5460" s="73">
        <v>0</v>
      </c>
      <c r="J5460" s="73">
        <v>0</v>
      </c>
    </row>
    <row r="5461" spans="1:10" s="80" customFormat="1">
      <c r="A5461" s="91" t="s">
        <v>108</v>
      </c>
      <c r="B5461" s="91" t="s">
        <v>34</v>
      </c>
      <c r="C5461" s="161">
        <v>0.749305555555555</v>
      </c>
      <c r="D5461" s="163">
        <v>0</v>
      </c>
      <c r="E5461" s="163">
        <v>0</v>
      </c>
      <c r="F5461" s="163">
        <v>0</v>
      </c>
      <c r="G5461" s="163">
        <v>0</v>
      </c>
      <c r="H5461" s="163">
        <v>0</v>
      </c>
      <c r="I5461" s="163">
        <v>0</v>
      </c>
      <c r="J5461" s="163">
        <v>0</v>
      </c>
    </row>
    <row r="5462" spans="1:10">
      <c r="A5462" s="88" t="s">
        <v>108</v>
      </c>
      <c r="B5462" s="88" t="s">
        <v>34</v>
      </c>
      <c r="C5462" s="159">
        <v>0.75</v>
      </c>
      <c r="D5462" s="164">
        <v>0</v>
      </c>
      <c r="E5462" s="164">
        <v>0</v>
      </c>
      <c r="F5462" s="164">
        <v>0</v>
      </c>
      <c r="G5462" s="164">
        <v>0</v>
      </c>
      <c r="H5462" s="164">
        <v>0</v>
      </c>
      <c r="I5462" s="164">
        <v>0</v>
      </c>
      <c r="J5462" s="164">
        <v>0</v>
      </c>
    </row>
    <row r="5463" spans="1:10">
      <c r="A5463" s="88" t="s">
        <v>108</v>
      </c>
      <c r="B5463" s="88" t="s">
        <v>34</v>
      </c>
      <c r="C5463" s="159">
        <v>0.750694444444444</v>
      </c>
      <c r="D5463" s="73">
        <v>0</v>
      </c>
      <c r="E5463" s="73">
        <v>0</v>
      </c>
      <c r="F5463" s="73">
        <v>0</v>
      </c>
      <c r="G5463" s="73">
        <v>0</v>
      </c>
      <c r="H5463" s="73">
        <v>0</v>
      </c>
      <c r="I5463" s="73">
        <v>0</v>
      </c>
      <c r="J5463" s="73">
        <v>0</v>
      </c>
    </row>
    <row r="5464" spans="1:10">
      <c r="A5464" s="88" t="s">
        <v>108</v>
      </c>
      <c r="B5464" s="88" t="s">
        <v>34</v>
      </c>
      <c r="C5464" s="159">
        <v>0.75138888888888899</v>
      </c>
      <c r="D5464" s="73">
        <v>0</v>
      </c>
      <c r="E5464" s="73">
        <v>0</v>
      </c>
      <c r="F5464" s="73">
        <v>0</v>
      </c>
      <c r="G5464" s="73">
        <v>0</v>
      </c>
      <c r="H5464" s="73">
        <v>0</v>
      </c>
      <c r="I5464" s="73">
        <v>0</v>
      </c>
      <c r="J5464" s="73">
        <v>0</v>
      </c>
    </row>
    <row r="5465" spans="1:10">
      <c r="A5465" s="88" t="s">
        <v>108</v>
      </c>
      <c r="B5465" s="88" t="s">
        <v>34</v>
      </c>
      <c r="C5465" s="159">
        <v>0.75208333333333299</v>
      </c>
      <c r="D5465" s="73">
        <v>0</v>
      </c>
      <c r="E5465" s="73">
        <v>0</v>
      </c>
      <c r="F5465" s="73">
        <v>0</v>
      </c>
      <c r="G5465" s="73">
        <v>0</v>
      </c>
      <c r="H5465" s="73">
        <v>0</v>
      </c>
      <c r="I5465" s="73">
        <v>0</v>
      </c>
      <c r="J5465" s="73">
        <v>0</v>
      </c>
    </row>
    <row r="5466" spans="1:10">
      <c r="A5466" s="88" t="s">
        <v>108</v>
      </c>
      <c r="B5466" s="88" t="s">
        <v>34</v>
      </c>
      <c r="C5466" s="159">
        <v>0.75277777777777799</v>
      </c>
      <c r="D5466" s="73">
        <v>0</v>
      </c>
      <c r="E5466" s="73">
        <v>0</v>
      </c>
      <c r="F5466" s="73">
        <v>0</v>
      </c>
      <c r="G5466" s="73">
        <v>0</v>
      </c>
      <c r="H5466" s="73">
        <v>0</v>
      </c>
      <c r="I5466" s="73">
        <v>0</v>
      </c>
      <c r="J5466" s="73">
        <v>0</v>
      </c>
    </row>
    <row r="5467" spans="1:10">
      <c r="A5467" s="88" t="s">
        <v>108</v>
      </c>
      <c r="B5467" s="88" t="s">
        <v>34</v>
      </c>
      <c r="C5467" s="159">
        <v>0.75347222222222199</v>
      </c>
      <c r="D5467" s="73">
        <v>0</v>
      </c>
      <c r="E5467" s="73">
        <v>0</v>
      </c>
      <c r="F5467" s="73">
        <v>0</v>
      </c>
      <c r="G5467" s="73">
        <v>0</v>
      </c>
      <c r="H5467" s="73">
        <v>0</v>
      </c>
      <c r="I5467" s="73">
        <v>0</v>
      </c>
      <c r="J5467" s="73">
        <v>0</v>
      </c>
    </row>
    <row r="5468" spans="1:10">
      <c r="A5468" s="88" t="s">
        <v>108</v>
      </c>
      <c r="B5468" s="88" t="s">
        <v>34</v>
      </c>
      <c r="C5468" s="159">
        <v>0.75416666666666698</v>
      </c>
      <c r="D5468" s="73">
        <v>0</v>
      </c>
      <c r="E5468" s="73">
        <v>0</v>
      </c>
      <c r="F5468" s="73">
        <v>0</v>
      </c>
      <c r="G5468" s="73">
        <v>0</v>
      </c>
      <c r="H5468" s="73">
        <v>0</v>
      </c>
      <c r="I5468" s="73">
        <v>0</v>
      </c>
      <c r="J5468" s="73">
        <v>0</v>
      </c>
    </row>
    <row r="5469" spans="1:10">
      <c r="A5469" s="88" t="s">
        <v>108</v>
      </c>
      <c r="B5469" s="88" t="s">
        <v>34</v>
      </c>
      <c r="C5469" s="159">
        <v>0.75486111111111098</v>
      </c>
      <c r="D5469" s="73">
        <v>0</v>
      </c>
      <c r="E5469" s="73">
        <v>0</v>
      </c>
      <c r="F5469" s="73">
        <v>0</v>
      </c>
      <c r="G5469" s="73">
        <v>0</v>
      </c>
      <c r="H5469" s="73">
        <v>0</v>
      </c>
      <c r="I5469" s="73">
        <v>0</v>
      </c>
      <c r="J5469" s="73">
        <v>0</v>
      </c>
    </row>
    <row r="5470" spans="1:10">
      <c r="A5470" s="88" t="s">
        <v>108</v>
      </c>
      <c r="B5470" s="88" t="s">
        <v>34</v>
      </c>
      <c r="C5470" s="159">
        <v>0.75555555555555498</v>
      </c>
      <c r="D5470" s="73">
        <v>0</v>
      </c>
      <c r="E5470" s="73">
        <v>0</v>
      </c>
      <c r="F5470" s="73">
        <v>0</v>
      </c>
      <c r="G5470" s="73">
        <v>0</v>
      </c>
      <c r="H5470" s="73">
        <v>0</v>
      </c>
      <c r="I5470" s="73">
        <v>0</v>
      </c>
      <c r="J5470" s="73">
        <v>0</v>
      </c>
    </row>
    <row r="5471" spans="1:10">
      <c r="A5471" s="88" t="s">
        <v>108</v>
      </c>
      <c r="B5471" s="88" t="s">
        <v>34</v>
      </c>
      <c r="C5471" s="159">
        <v>0.75624999999999998</v>
      </c>
      <c r="D5471" s="73">
        <v>0</v>
      </c>
      <c r="E5471" s="73">
        <v>0</v>
      </c>
      <c r="F5471" s="73">
        <v>0</v>
      </c>
      <c r="G5471" s="73">
        <v>0</v>
      </c>
      <c r="H5471" s="73">
        <v>0</v>
      </c>
      <c r="I5471" s="73">
        <v>0</v>
      </c>
      <c r="J5471" s="73">
        <v>0</v>
      </c>
    </row>
    <row r="5472" spans="1:10">
      <c r="A5472" s="88" t="s">
        <v>108</v>
      </c>
      <c r="B5472" s="88" t="s">
        <v>34</v>
      </c>
      <c r="C5472" s="159">
        <v>0.75694444444444398</v>
      </c>
      <c r="D5472" s="73">
        <v>0</v>
      </c>
      <c r="E5472" s="73">
        <v>0</v>
      </c>
      <c r="F5472" s="73">
        <v>0</v>
      </c>
      <c r="G5472" s="73">
        <v>0</v>
      </c>
      <c r="H5472" s="73">
        <v>0</v>
      </c>
      <c r="I5472" s="73">
        <v>0</v>
      </c>
      <c r="J5472" s="73">
        <v>0</v>
      </c>
    </row>
    <row r="5473" spans="1:10">
      <c r="A5473" s="88" t="s">
        <v>108</v>
      </c>
      <c r="B5473" s="88" t="s">
        <v>34</v>
      </c>
      <c r="C5473" s="159">
        <v>0.75763888888888897</v>
      </c>
      <c r="D5473" s="73">
        <v>0</v>
      </c>
      <c r="E5473" s="73">
        <v>0</v>
      </c>
      <c r="F5473" s="73">
        <v>0</v>
      </c>
      <c r="G5473" s="73">
        <v>0</v>
      </c>
      <c r="H5473" s="73">
        <v>0</v>
      </c>
      <c r="I5473" s="73">
        <v>0</v>
      </c>
      <c r="J5473" s="73">
        <v>0</v>
      </c>
    </row>
    <row r="5474" spans="1:10">
      <c r="A5474" s="88" t="s">
        <v>108</v>
      </c>
      <c r="B5474" s="88" t="s">
        <v>34</v>
      </c>
      <c r="C5474" s="159">
        <v>0.75833333333333297</v>
      </c>
      <c r="D5474" s="73">
        <v>0</v>
      </c>
      <c r="E5474" s="73">
        <v>0</v>
      </c>
      <c r="F5474" s="73">
        <v>0</v>
      </c>
      <c r="G5474" s="73">
        <v>0</v>
      </c>
      <c r="H5474" s="73">
        <v>0</v>
      </c>
      <c r="I5474" s="73">
        <v>0</v>
      </c>
      <c r="J5474" s="73">
        <v>0</v>
      </c>
    </row>
    <row r="5475" spans="1:10">
      <c r="A5475" s="88" t="s">
        <v>108</v>
      </c>
      <c r="B5475" s="88" t="s">
        <v>34</v>
      </c>
      <c r="C5475" s="159">
        <v>0.75902777777777797</v>
      </c>
      <c r="D5475" s="73">
        <v>0</v>
      </c>
      <c r="E5475" s="73">
        <v>0</v>
      </c>
      <c r="F5475" s="73">
        <v>0</v>
      </c>
      <c r="G5475" s="73">
        <v>0</v>
      </c>
      <c r="H5475" s="73">
        <v>0</v>
      </c>
      <c r="I5475" s="73">
        <v>0</v>
      </c>
      <c r="J5475" s="73">
        <v>0</v>
      </c>
    </row>
    <row r="5476" spans="1:10" s="80" customFormat="1">
      <c r="A5476" s="91" t="s">
        <v>108</v>
      </c>
      <c r="B5476" s="91" t="s">
        <v>34</v>
      </c>
      <c r="C5476" s="161">
        <v>0.75972222222222197</v>
      </c>
      <c r="D5476" s="163">
        <v>0</v>
      </c>
      <c r="E5476" s="163">
        <v>0</v>
      </c>
      <c r="F5476" s="163">
        <v>0</v>
      </c>
      <c r="G5476" s="163">
        <v>0</v>
      </c>
      <c r="H5476" s="163">
        <v>0</v>
      </c>
      <c r="I5476" s="163">
        <v>0</v>
      </c>
      <c r="J5476" s="163">
        <v>0</v>
      </c>
    </row>
    <row r="5477" spans="1:10">
      <c r="A5477" s="88" t="s">
        <v>108</v>
      </c>
      <c r="B5477" s="88" t="s">
        <v>34</v>
      </c>
      <c r="C5477" s="159">
        <v>0.76041666666666696</v>
      </c>
      <c r="D5477" s="164">
        <v>0</v>
      </c>
      <c r="E5477" s="164">
        <v>0</v>
      </c>
      <c r="F5477" s="164">
        <v>0</v>
      </c>
      <c r="G5477" s="164">
        <v>0</v>
      </c>
      <c r="H5477" s="164">
        <v>0</v>
      </c>
      <c r="I5477" s="164">
        <v>0</v>
      </c>
      <c r="J5477" s="164">
        <v>0</v>
      </c>
    </row>
    <row r="5478" spans="1:10">
      <c r="A5478" s="88" t="s">
        <v>108</v>
      </c>
      <c r="B5478" s="88" t="s">
        <v>34</v>
      </c>
      <c r="C5478" s="159">
        <v>0.76111111111111096</v>
      </c>
      <c r="D5478" s="73">
        <v>0</v>
      </c>
      <c r="E5478" s="73">
        <v>0</v>
      </c>
      <c r="F5478" s="73">
        <v>0</v>
      </c>
      <c r="G5478" s="73">
        <v>0</v>
      </c>
      <c r="H5478" s="73">
        <v>0</v>
      </c>
      <c r="I5478" s="73">
        <v>0</v>
      </c>
      <c r="J5478" s="73">
        <v>0</v>
      </c>
    </row>
    <row r="5479" spans="1:10">
      <c r="A5479" s="88" t="s">
        <v>108</v>
      </c>
      <c r="B5479" s="88" t="s">
        <v>34</v>
      </c>
      <c r="C5479" s="159">
        <v>0.76180555555555496</v>
      </c>
      <c r="D5479" s="73">
        <v>0</v>
      </c>
      <c r="E5479" s="73">
        <v>0</v>
      </c>
      <c r="F5479" s="73">
        <v>0</v>
      </c>
      <c r="G5479" s="73">
        <v>0</v>
      </c>
      <c r="H5479" s="73">
        <v>0</v>
      </c>
      <c r="I5479" s="73">
        <v>0</v>
      </c>
      <c r="J5479" s="73">
        <v>0</v>
      </c>
    </row>
    <row r="5480" spans="1:10">
      <c r="A5480" s="88" t="s">
        <v>108</v>
      </c>
      <c r="B5480" s="88" t="s">
        <v>34</v>
      </c>
      <c r="C5480" s="159">
        <v>0.76249999999999996</v>
      </c>
      <c r="D5480" s="73">
        <v>0</v>
      </c>
      <c r="E5480" s="73">
        <v>0</v>
      </c>
      <c r="F5480" s="73">
        <v>0</v>
      </c>
      <c r="G5480" s="73">
        <v>0</v>
      </c>
      <c r="H5480" s="73">
        <v>0</v>
      </c>
      <c r="I5480" s="73">
        <v>0</v>
      </c>
      <c r="J5480" s="73">
        <v>0</v>
      </c>
    </row>
    <row r="5481" spans="1:10">
      <c r="A5481" s="88" t="s">
        <v>108</v>
      </c>
      <c r="B5481" s="88" t="s">
        <v>34</v>
      </c>
      <c r="C5481" s="159">
        <v>0.76319444444444395</v>
      </c>
      <c r="D5481" s="73">
        <v>0</v>
      </c>
      <c r="E5481" s="73">
        <v>0</v>
      </c>
      <c r="F5481" s="73">
        <v>0</v>
      </c>
      <c r="G5481" s="73">
        <v>0</v>
      </c>
      <c r="H5481" s="73">
        <v>0</v>
      </c>
      <c r="I5481" s="73">
        <v>0</v>
      </c>
      <c r="J5481" s="73">
        <v>0</v>
      </c>
    </row>
    <row r="5482" spans="1:10">
      <c r="A5482" s="88" t="s">
        <v>108</v>
      </c>
      <c r="B5482" s="88" t="s">
        <v>34</v>
      </c>
      <c r="C5482" s="159">
        <v>0.76388888888888895</v>
      </c>
      <c r="D5482" s="73">
        <v>0</v>
      </c>
      <c r="E5482" s="73">
        <v>0</v>
      </c>
      <c r="F5482" s="73">
        <v>0</v>
      </c>
      <c r="G5482" s="73">
        <v>0</v>
      </c>
      <c r="H5482" s="73">
        <v>0</v>
      </c>
      <c r="I5482" s="73">
        <v>0</v>
      </c>
      <c r="J5482" s="73">
        <v>0</v>
      </c>
    </row>
    <row r="5483" spans="1:10">
      <c r="A5483" s="88" t="s">
        <v>108</v>
      </c>
      <c r="B5483" s="88" t="s">
        <v>34</v>
      </c>
      <c r="C5483" s="159">
        <v>0.76458333333333295</v>
      </c>
      <c r="D5483" s="73">
        <v>0</v>
      </c>
      <c r="E5483" s="73">
        <v>0</v>
      </c>
      <c r="F5483" s="73">
        <v>0</v>
      </c>
      <c r="G5483" s="73">
        <v>0</v>
      </c>
      <c r="H5483" s="73">
        <v>0</v>
      </c>
      <c r="I5483" s="73">
        <v>0</v>
      </c>
      <c r="J5483" s="73">
        <v>0</v>
      </c>
    </row>
    <row r="5484" spans="1:10">
      <c r="A5484" s="88" t="s">
        <v>108</v>
      </c>
      <c r="B5484" s="88" t="s">
        <v>34</v>
      </c>
      <c r="C5484" s="159">
        <v>0.76527777777777795</v>
      </c>
      <c r="D5484" s="73">
        <v>0</v>
      </c>
      <c r="E5484" s="73">
        <v>0</v>
      </c>
      <c r="F5484" s="73">
        <v>0</v>
      </c>
      <c r="G5484" s="73">
        <v>0</v>
      </c>
      <c r="H5484" s="73">
        <v>0</v>
      </c>
      <c r="I5484" s="73">
        <v>0</v>
      </c>
      <c r="J5484" s="73">
        <v>0</v>
      </c>
    </row>
    <row r="5485" spans="1:10">
      <c r="A5485" s="88" t="s">
        <v>108</v>
      </c>
      <c r="B5485" s="88" t="s">
        <v>34</v>
      </c>
      <c r="C5485" s="159">
        <v>0.76597222222222205</v>
      </c>
      <c r="D5485" s="73">
        <v>0</v>
      </c>
      <c r="E5485" s="73">
        <v>0</v>
      </c>
      <c r="F5485" s="73">
        <v>0</v>
      </c>
      <c r="G5485" s="73">
        <v>0</v>
      </c>
      <c r="H5485" s="73">
        <v>0</v>
      </c>
      <c r="I5485" s="73">
        <v>0</v>
      </c>
      <c r="J5485" s="73">
        <v>0</v>
      </c>
    </row>
    <row r="5486" spans="1:10">
      <c r="A5486" s="88" t="s">
        <v>108</v>
      </c>
      <c r="B5486" s="88" t="s">
        <v>34</v>
      </c>
      <c r="C5486" s="159">
        <v>0.76666666666666605</v>
      </c>
      <c r="D5486" s="73">
        <v>0</v>
      </c>
      <c r="E5486" s="73">
        <v>0</v>
      </c>
      <c r="F5486" s="73">
        <v>0</v>
      </c>
      <c r="G5486" s="73">
        <v>0</v>
      </c>
      <c r="H5486" s="73">
        <v>0</v>
      </c>
      <c r="I5486" s="73">
        <v>0</v>
      </c>
      <c r="J5486" s="73">
        <v>0</v>
      </c>
    </row>
    <row r="5487" spans="1:10">
      <c r="A5487" s="88" t="s">
        <v>108</v>
      </c>
      <c r="B5487" s="88" t="s">
        <v>34</v>
      </c>
      <c r="C5487" s="159">
        <v>0.76736111111111105</v>
      </c>
      <c r="D5487" s="73">
        <v>0</v>
      </c>
      <c r="E5487" s="73">
        <v>0</v>
      </c>
      <c r="F5487" s="73">
        <v>0</v>
      </c>
      <c r="G5487" s="73">
        <v>0</v>
      </c>
      <c r="H5487" s="73">
        <v>0</v>
      </c>
      <c r="I5487" s="73">
        <v>0</v>
      </c>
      <c r="J5487" s="73">
        <v>0</v>
      </c>
    </row>
    <row r="5488" spans="1:10">
      <c r="A5488" s="88" t="s">
        <v>108</v>
      </c>
      <c r="B5488" s="88" t="s">
        <v>34</v>
      </c>
      <c r="C5488" s="159">
        <v>0.76805555555555505</v>
      </c>
      <c r="D5488" s="73">
        <v>0</v>
      </c>
      <c r="E5488" s="73">
        <v>0</v>
      </c>
      <c r="F5488" s="73">
        <v>0</v>
      </c>
      <c r="G5488" s="73">
        <v>0</v>
      </c>
      <c r="H5488" s="73">
        <v>0</v>
      </c>
      <c r="I5488" s="73">
        <v>0</v>
      </c>
      <c r="J5488" s="73">
        <v>0</v>
      </c>
    </row>
    <row r="5489" spans="1:10">
      <c r="A5489" s="88" t="s">
        <v>108</v>
      </c>
      <c r="B5489" s="88" t="s">
        <v>34</v>
      </c>
      <c r="C5489" s="159">
        <v>0.76875000000000004</v>
      </c>
      <c r="D5489" s="73">
        <v>0</v>
      </c>
      <c r="E5489" s="73">
        <v>0</v>
      </c>
      <c r="F5489" s="73">
        <v>0</v>
      </c>
      <c r="G5489" s="73">
        <v>0</v>
      </c>
      <c r="H5489" s="73">
        <v>0</v>
      </c>
      <c r="I5489" s="73">
        <v>0</v>
      </c>
      <c r="J5489" s="73">
        <v>0</v>
      </c>
    </row>
    <row r="5490" spans="1:10">
      <c r="A5490" s="88" t="s">
        <v>108</v>
      </c>
      <c r="B5490" s="88" t="s">
        <v>34</v>
      </c>
      <c r="C5490" s="159">
        <v>0.76944444444444404</v>
      </c>
      <c r="D5490" s="73">
        <v>0</v>
      </c>
      <c r="E5490" s="73">
        <v>0</v>
      </c>
      <c r="F5490" s="73">
        <v>0</v>
      </c>
      <c r="G5490" s="73">
        <v>0</v>
      </c>
      <c r="H5490" s="73">
        <v>0</v>
      </c>
      <c r="I5490" s="73">
        <v>0</v>
      </c>
      <c r="J5490" s="73">
        <v>0</v>
      </c>
    </row>
    <row r="5491" spans="1:10" s="80" customFormat="1">
      <c r="A5491" s="91" t="s">
        <v>108</v>
      </c>
      <c r="B5491" s="91" t="s">
        <v>34</v>
      </c>
      <c r="C5491" s="161">
        <v>0.77013888888888904</v>
      </c>
      <c r="D5491" s="163">
        <v>0</v>
      </c>
      <c r="E5491" s="163">
        <v>0</v>
      </c>
      <c r="F5491" s="163">
        <v>0</v>
      </c>
      <c r="G5491" s="163">
        <v>0</v>
      </c>
      <c r="H5491" s="163">
        <v>0</v>
      </c>
      <c r="I5491" s="163">
        <v>0</v>
      </c>
      <c r="J5491" s="163">
        <v>0</v>
      </c>
    </row>
    <row r="5492" spans="1:10">
      <c r="A5492" s="88" t="s">
        <v>108</v>
      </c>
      <c r="B5492" s="88" t="s">
        <v>34</v>
      </c>
      <c r="C5492" s="159">
        <v>0.77083333333333304</v>
      </c>
      <c r="D5492" s="164">
        <v>0</v>
      </c>
      <c r="E5492" s="164">
        <v>0</v>
      </c>
      <c r="F5492" s="164">
        <v>0</v>
      </c>
      <c r="G5492" s="164">
        <v>0</v>
      </c>
      <c r="H5492" s="164">
        <v>0</v>
      </c>
      <c r="I5492" s="164">
        <v>0</v>
      </c>
      <c r="J5492" s="164">
        <v>0</v>
      </c>
    </row>
    <row r="5493" spans="1:10">
      <c r="A5493" s="88" t="s">
        <v>108</v>
      </c>
      <c r="B5493" s="88" t="s">
        <v>34</v>
      </c>
      <c r="C5493" s="159">
        <v>0.77152777777777803</v>
      </c>
      <c r="D5493" s="73">
        <v>0</v>
      </c>
      <c r="E5493" s="73">
        <v>0</v>
      </c>
      <c r="F5493" s="73">
        <v>0</v>
      </c>
      <c r="G5493" s="73">
        <v>0</v>
      </c>
      <c r="H5493" s="73">
        <v>0</v>
      </c>
      <c r="I5493" s="73">
        <v>0</v>
      </c>
      <c r="J5493" s="73">
        <v>0</v>
      </c>
    </row>
    <row r="5494" spans="1:10">
      <c r="A5494" s="88" t="s">
        <v>108</v>
      </c>
      <c r="B5494" s="88" t="s">
        <v>34</v>
      </c>
      <c r="C5494" s="159">
        <v>0.77222222222222203</v>
      </c>
      <c r="D5494" s="73">
        <v>0</v>
      </c>
      <c r="E5494" s="73">
        <v>0</v>
      </c>
      <c r="F5494" s="73">
        <v>0</v>
      </c>
      <c r="G5494" s="73">
        <v>0</v>
      </c>
      <c r="H5494" s="73">
        <v>0</v>
      </c>
      <c r="I5494" s="73">
        <v>0</v>
      </c>
      <c r="J5494" s="73">
        <v>0</v>
      </c>
    </row>
    <row r="5495" spans="1:10">
      <c r="A5495" s="88" t="s">
        <v>108</v>
      </c>
      <c r="B5495" s="88" t="s">
        <v>34</v>
      </c>
      <c r="C5495" s="159">
        <v>0.77291666666666603</v>
      </c>
      <c r="D5495" s="73">
        <v>0</v>
      </c>
      <c r="E5495" s="73">
        <v>0</v>
      </c>
      <c r="F5495" s="73">
        <v>0</v>
      </c>
      <c r="G5495" s="73">
        <v>0</v>
      </c>
      <c r="H5495" s="73">
        <v>0</v>
      </c>
      <c r="I5495" s="73">
        <v>0</v>
      </c>
      <c r="J5495" s="73">
        <v>0</v>
      </c>
    </row>
    <row r="5496" spans="1:10">
      <c r="A5496" s="88" t="s">
        <v>108</v>
      </c>
      <c r="B5496" s="88" t="s">
        <v>34</v>
      </c>
      <c r="C5496" s="159">
        <v>0.77361111111111103</v>
      </c>
      <c r="D5496" s="73">
        <v>0</v>
      </c>
      <c r="E5496" s="73">
        <v>0</v>
      </c>
      <c r="F5496" s="73">
        <v>0</v>
      </c>
      <c r="G5496" s="73">
        <v>0</v>
      </c>
      <c r="H5496" s="73">
        <v>0</v>
      </c>
      <c r="I5496" s="73">
        <v>0</v>
      </c>
      <c r="J5496" s="73">
        <v>0</v>
      </c>
    </row>
    <row r="5497" spans="1:10">
      <c r="A5497" s="88" t="s">
        <v>108</v>
      </c>
      <c r="B5497" s="88" t="s">
        <v>34</v>
      </c>
      <c r="C5497" s="159">
        <v>0.77430555555555503</v>
      </c>
      <c r="D5497" s="73">
        <v>0</v>
      </c>
      <c r="E5497" s="73">
        <v>0</v>
      </c>
      <c r="F5497" s="73">
        <v>0</v>
      </c>
      <c r="G5497" s="73">
        <v>0</v>
      </c>
      <c r="H5497" s="73">
        <v>0</v>
      </c>
      <c r="I5497" s="73">
        <v>0</v>
      </c>
      <c r="J5497" s="73">
        <v>0</v>
      </c>
    </row>
    <row r="5498" spans="1:10">
      <c r="A5498" s="88" t="s">
        <v>108</v>
      </c>
      <c r="B5498" s="88" t="s">
        <v>34</v>
      </c>
      <c r="C5498" s="159">
        <v>0.77500000000000002</v>
      </c>
      <c r="D5498" s="73">
        <v>0</v>
      </c>
      <c r="E5498" s="73">
        <v>0</v>
      </c>
      <c r="F5498" s="73">
        <v>0</v>
      </c>
      <c r="G5498" s="73">
        <v>0</v>
      </c>
      <c r="H5498" s="73">
        <v>0</v>
      </c>
      <c r="I5498" s="73">
        <v>0</v>
      </c>
      <c r="J5498" s="73">
        <v>0</v>
      </c>
    </row>
    <row r="5499" spans="1:10">
      <c r="A5499" s="88" t="s">
        <v>108</v>
      </c>
      <c r="B5499" s="88" t="s">
        <v>34</v>
      </c>
      <c r="C5499" s="159">
        <v>0.77569444444444402</v>
      </c>
      <c r="D5499" s="73">
        <v>0</v>
      </c>
      <c r="E5499" s="73">
        <v>0</v>
      </c>
      <c r="F5499" s="73">
        <v>0</v>
      </c>
      <c r="G5499" s="73">
        <v>0</v>
      </c>
      <c r="H5499" s="73">
        <v>0</v>
      </c>
      <c r="I5499" s="73">
        <v>0</v>
      </c>
      <c r="J5499" s="73">
        <v>0</v>
      </c>
    </row>
    <row r="5500" spans="1:10">
      <c r="A5500" s="88" t="s">
        <v>108</v>
      </c>
      <c r="B5500" s="88" t="s">
        <v>34</v>
      </c>
      <c r="C5500" s="159">
        <v>0.77638888888888902</v>
      </c>
      <c r="D5500" s="73">
        <v>0</v>
      </c>
      <c r="E5500" s="73">
        <v>0</v>
      </c>
      <c r="F5500" s="73">
        <v>0</v>
      </c>
      <c r="G5500" s="73">
        <v>0</v>
      </c>
      <c r="H5500" s="73">
        <v>0</v>
      </c>
      <c r="I5500" s="73">
        <v>0</v>
      </c>
      <c r="J5500" s="73">
        <v>0</v>
      </c>
    </row>
    <row r="5501" spans="1:10">
      <c r="A5501" s="88" t="s">
        <v>108</v>
      </c>
      <c r="B5501" s="88" t="s">
        <v>34</v>
      </c>
      <c r="C5501" s="159">
        <v>0.77708333333333302</v>
      </c>
      <c r="D5501" s="73">
        <v>0</v>
      </c>
      <c r="E5501" s="73">
        <v>0</v>
      </c>
      <c r="F5501" s="73">
        <v>0</v>
      </c>
      <c r="G5501" s="73">
        <v>0</v>
      </c>
      <c r="H5501" s="73">
        <v>0</v>
      </c>
      <c r="I5501" s="73">
        <v>0</v>
      </c>
      <c r="J5501" s="73">
        <v>0</v>
      </c>
    </row>
    <row r="5502" spans="1:10">
      <c r="A5502" s="88" t="s">
        <v>108</v>
      </c>
      <c r="B5502" s="88" t="s">
        <v>34</v>
      </c>
      <c r="C5502" s="159">
        <v>0.77777777777777801</v>
      </c>
      <c r="D5502" s="73">
        <v>0</v>
      </c>
      <c r="E5502" s="73">
        <v>0</v>
      </c>
      <c r="F5502" s="73">
        <v>0</v>
      </c>
      <c r="G5502" s="73">
        <v>0</v>
      </c>
      <c r="H5502" s="73">
        <v>0</v>
      </c>
      <c r="I5502" s="73">
        <v>0</v>
      </c>
      <c r="J5502" s="73">
        <v>0</v>
      </c>
    </row>
    <row r="5503" spans="1:10">
      <c r="A5503" s="88" t="s">
        <v>108</v>
      </c>
      <c r="B5503" s="88" t="s">
        <v>34</v>
      </c>
      <c r="C5503" s="159">
        <v>0.77847222222222201</v>
      </c>
      <c r="D5503" s="73">
        <v>0</v>
      </c>
      <c r="E5503" s="73">
        <v>0</v>
      </c>
      <c r="F5503" s="73">
        <v>0</v>
      </c>
      <c r="G5503" s="73">
        <v>0</v>
      </c>
      <c r="H5503" s="73">
        <v>0</v>
      </c>
      <c r="I5503" s="73">
        <v>0</v>
      </c>
      <c r="J5503" s="73">
        <v>0</v>
      </c>
    </row>
    <row r="5504" spans="1:10">
      <c r="A5504" s="88" t="s">
        <v>108</v>
      </c>
      <c r="B5504" s="88" t="s">
        <v>34</v>
      </c>
      <c r="C5504" s="159">
        <v>0.77916666666666601</v>
      </c>
      <c r="D5504" s="73">
        <v>0</v>
      </c>
      <c r="E5504" s="73">
        <v>0</v>
      </c>
      <c r="F5504" s="73">
        <v>0</v>
      </c>
      <c r="G5504" s="73">
        <v>0</v>
      </c>
      <c r="H5504" s="73">
        <v>0</v>
      </c>
      <c r="I5504" s="73">
        <v>0</v>
      </c>
      <c r="J5504" s="73">
        <v>0</v>
      </c>
    </row>
    <row r="5505" spans="1:10">
      <c r="A5505" s="88" t="s">
        <v>108</v>
      </c>
      <c r="B5505" s="88" t="s">
        <v>34</v>
      </c>
      <c r="C5505" s="159">
        <v>0.77986111111111101</v>
      </c>
      <c r="D5505" s="73">
        <v>0</v>
      </c>
      <c r="E5505" s="73">
        <v>0</v>
      </c>
      <c r="F5505" s="73">
        <v>0</v>
      </c>
      <c r="G5505" s="73">
        <v>0</v>
      </c>
      <c r="H5505" s="73">
        <v>0</v>
      </c>
      <c r="I5505" s="73">
        <v>0</v>
      </c>
      <c r="J5505" s="73">
        <v>0</v>
      </c>
    </row>
    <row r="5506" spans="1:10" s="80" customFormat="1">
      <c r="A5506" s="91" t="s">
        <v>108</v>
      </c>
      <c r="B5506" s="91" t="s">
        <v>34</v>
      </c>
      <c r="C5506" s="161">
        <v>0.780555555555555</v>
      </c>
      <c r="D5506" s="163">
        <v>0</v>
      </c>
      <c r="E5506" s="163">
        <v>0</v>
      </c>
      <c r="F5506" s="163">
        <v>0</v>
      </c>
      <c r="G5506" s="163">
        <v>0</v>
      </c>
      <c r="H5506" s="163">
        <v>0</v>
      </c>
      <c r="I5506" s="163">
        <v>0</v>
      </c>
      <c r="J5506" s="163">
        <v>0</v>
      </c>
    </row>
    <row r="5507" spans="1:10">
      <c r="A5507" s="88" t="s">
        <v>108</v>
      </c>
      <c r="B5507" s="88" t="s">
        <v>34</v>
      </c>
      <c r="C5507" s="159">
        <v>0.78125</v>
      </c>
      <c r="D5507" s="164">
        <v>0</v>
      </c>
      <c r="E5507" s="164">
        <v>0</v>
      </c>
      <c r="F5507" s="164">
        <v>0</v>
      </c>
      <c r="G5507" s="164">
        <v>0</v>
      </c>
      <c r="H5507" s="164">
        <v>0</v>
      </c>
      <c r="I5507" s="164">
        <v>0</v>
      </c>
      <c r="J5507" s="164">
        <v>0</v>
      </c>
    </row>
    <row r="5508" spans="1:10">
      <c r="A5508" s="88" t="s">
        <v>108</v>
      </c>
      <c r="B5508" s="88" t="s">
        <v>34</v>
      </c>
      <c r="C5508" s="159">
        <v>0.781944444444444</v>
      </c>
      <c r="D5508" s="73">
        <v>0</v>
      </c>
      <c r="E5508" s="73">
        <v>0</v>
      </c>
      <c r="F5508" s="73">
        <v>0</v>
      </c>
      <c r="G5508" s="73">
        <v>0</v>
      </c>
      <c r="H5508" s="73">
        <v>0</v>
      </c>
      <c r="I5508" s="73">
        <v>0</v>
      </c>
      <c r="J5508" s="73">
        <v>0</v>
      </c>
    </row>
    <row r="5509" spans="1:10">
      <c r="A5509" s="88" t="s">
        <v>108</v>
      </c>
      <c r="B5509" s="88" t="s">
        <v>34</v>
      </c>
      <c r="C5509" s="159">
        <v>0.78263888888888899</v>
      </c>
      <c r="D5509" s="73">
        <v>0</v>
      </c>
      <c r="E5509" s="73">
        <v>0</v>
      </c>
      <c r="F5509" s="73">
        <v>0</v>
      </c>
      <c r="G5509" s="73">
        <v>0</v>
      </c>
      <c r="H5509" s="73">
        <v>0</v>
      </c>
      <c r="I5509" s="73">
        <v>0</v>
      </c>
      <c r="J5509" s="73">
        <v>0</v>
      </c>
    </row>
    <row r="5510" spans="1:10">
      <c r="A5510" s="88" t="s">
        <v>108</v>
      </c>
      <c r="B5510" s="88" t="s">
        <v>34</v>
      </c>
      <c r="C5510" s="159">
        <v>0.78333333333333299</v>
      </c>
      <c r="D5510" s="73">
        <v>0</v>
      </c>
      <c r="E5510" s="73">
        <v>0</v>
      </c>
      <c r="F5510" s="73">
        <v>0</v>
      </c>
      <c r="G5510" s="73">
        <v>0</v>
      </c>
      <c r="H5510" s="73">
        <v>0</v>
      </c>
      <c r="I5510" s="73">
        <v>0</v>
      </c>
      <c r="J5510" s="73">
        <v>0</v>
      </c>
    </row>
    <row r="5511" spans="1:10">
      <c r="A5511" s="88" t="s">
        <v>108</v>
      </c>
      <c r="B5511" s="88" t="s">
        <v>34</v>
      </c>
      <c r="C5511" s="159">
        <v>0.78402777777777799</v>
      </c>
      <c r="D5511" s="73">
        <v>0</v>
      </c>
      <c r="E5511" s="73">
        <v>0</v>
      </c>
      <c r="F5511" s="73">
        <v>0</v>
      </c>
      <c r="G5511" s="73">
        <v>0</v>
      </c>
      <c r="H5511" s="73">
        <v>0</v>
      </c>
      <c r="I5511" s="73">
        <v>0</v>
      </c>
      <c r="J5511" s="73">
        <v>0</v>
      </c>
    </row>
    <row r="5512" spans="1:10">
      <c r="A5512" s="88" t="s">
        <v>108</v>
      </c>
      <c r="B5512" s="88" t="s">
        <v>34</v>
      </c>
      <c r="C5512" s="159">
        <v>0.78472222222222199</v>
      </c>
      <c r="D5512" s="73">
        <v>0</v>
      </c>
      <c r="E5512" s="73">
        <v>0</v>
      </c>
      <c r="F5512" s="73">
        <v>0</v>
      </c>
      <c r="G5512" s="73">
        <v>0</v>
      </c>
      <c r="H5512" s="73">
        <v>0</v>
      </c>
      <c r="I5512" s="73">
        <v>0</v>
      </c>
      <c r="J5512" s="73">
        <v>0</v>
      </c>
    </row>
    <row r="5513" spans="1:10">
      <c r="A5513" s="88" t="s">
        <v>108</v>
      </c>
      <c r="B5513" s="88" t="s">
        <v>34</v>
      </c>
      <c r="C5513" s="159">
        <v>0.78541666666666599</v>
      </c>
      <c r="D5513" s="73">
        <v>0</v>
      </c>
      <c r="E5513" s="73">
        <v>0</v>
      </c>
      <c r="F5513" s="73">
        <v>0</v>
      </c>
      <c r="G5513" s="73">
        <v>0</v>
      </c>
      <c r="H5513" s="73">
        <v>0</v>
      </c>
      <c r="I5513" s="73">
        <v>0</v>
      </c>
      <c r="J5513" s="73">
        <v>0</v>
      </c>
    </row>
    <row r="5514" spans="1:10">
      <c r="A5514" s="88" t="s">
        <v>108</v>
      </c>
      <c r="B5514" s="88" t="s">
        <v>34</v>
      </c>
      <c r="C5514" s="159">
        <v>0.78611111111111098</v>
      </c>
      <c r="D5514" s="73">
        <v>0</v>
      </c>
      <c r="E5514" s="73">
        <v>0</v>
      </c>
      <c r="F5514" s="73">
        <v>0</v>
      </c>
      <c r="G5514" s="73">
        <v>0</v>
      </c>
      <c r="H5514" s="73">
        <v>0</v>
      </c>
      <c r="I5514" s="73">
        <v>0</v>
      </c>
      <c r="J5514" s="73">
        <v>0</v>
      </c>
    </row>
    <row r="5515" spans="1:10">
      <c r="A5515" s="88" t="s">
        <v>108</v>
      </c>
      <c r="B5515" s="88" t="s">
        <v>34</v>
      </c>
      <c r="C5515" s="159">
        <v>0.78680555555555498</v>
      </c>
      <c r="D5515" s="73">
        <v>0</v>
      </c>
      <c r="E5515" s="73">
        <v>0</v>
      </c>
      <c r="F5515" s="73">
        <v>0</v>
      </c>
      <c r="G5515" s="73">
        <v>0</v>
      </c>
      <c r="H5515" s="73">
        <v>0</v>
      </c>
      <c r="I5515" s="73">
        <v>0</v>
      </c>
      <c r="J5515" s="73">
        <v>0</v>
      </c>
    </row>
    <row r="5516" spans="1:10">
      <c r="A5516" s="88" t="s">
        <v>108</v>
      </c>
      <c r="B5516" s="88" t="s">
        <v>34</v>
      </c>
      <c r="C5516" s="159">
        <v>0.78749999999999998</v>
      </c>
      <c r="D5516" s="73">
        <v>0</v>
      </c>
      <c r="E5516" s="73">
        <v>0</v>
      </c>
      <c r="F5516" s="73">
        <v>0</v>
      </c>
      <c r="G5516" s="73">
        <v>0</v>
      </c>
      <c r="H5516" s="73">
        <v>0</v>
      </c>
      <c r="I5516" s="73">
        <v>0</v>
      </c>
      <c r="J5516" s="73">
        <v>0</v>
      </c>
    </row>
    <row r="5517" spans="1:10">
      <c r="A5517" s="88" t="s">
        <v>108</v>
      </c>
      <c r="B5517" s="88" t="s">
        <v>34</v>
      </c>
      <c r="C5517" s="159">
        <v>0.78819444444444398</v>
      </c>
      <c r="D5517" s="73">
        <v>0</v>
      </c>
      <c r="E5517" s="73">
        <v>0</v>
      </c>
      <c r="F5517" s="73">
        <v>0</v>
      </c>
      <c r="G5517" s="73">
        <v>0</v>
      </c>
      <c r="H5517" s="73">
        <v>0</v>
      </c>
      <c r="I5517" s="73">
        <v>0</v>
      </c>
      <c r="J5517" s="73">
        <v>0</v>
      </c>
    </row>
    <row r="5518" spans="1:10">
      <c r="A5518" s="88" t="s">
        <v>108</v>
      </c>
      <c r="B5518" s="88" t="s">
        <v>34</v>
      </c>
      <c r="C5518" s="159">
        <v>0.78888888888888897</v>
      </c>
      <c r="D5518" s="73">
        <v>0</v>
      </c>
      <c r="E5518" s="73">
        <v>0</v>
      </c>
      <c r="F5518" s="73">
        <v>0</v>
      </c>
      <c r="G5518" s="73">
        <v>0</v>
      </c>
      <c r="H5518" s="73">
        <v>0</v>
      </c>
      <c r="I5518" s="73">
        <v>0</v>
      </c>
      <c r="J5518" s="73">
        <v>0</v>
      </c>
    </row>
    <row r="5519" spans="1:10">
      <c r="A5519" s="88" t="s">
        <v>108</v>
      </c>
      <c r="B5519" s="88" t="s">
        <v>34</v>
      </c>
      <c r="C5519" s="159">
        <v>0.78958333333333297</v>
      </c>
      <c r="D5519" s="73">
        <v>0</v>
      </c>
      <c r="E5519" s="73">
        <v>0</v>
      </c>
      <c r="F5519" s="73">
        <v>0</v>
      </c>
      <c r="G5519" s="73">
        <v>0</v>
      </c>
      <c r="H5519" s="73">
        <v>0</v>
      </c>
      <c r="I5519" s="73">
        <v>0</v>
      </c>
      <c r="J5519" s="73">
        <v>0</v>
      </c>
    </row>
    <row r="5520" spans="1:10">
      <c r="A5520" s="88" t="s">
        <v>108</v>
      </c>
      <c r="B5520" s="88" t="s">
        <v>34</v>
      </c>
      <c r="C5520" s="159">
        <v>0.79027777777777797</v>
      </c>
      <c r="D5520" s="73">
        <v>0</v>
      </c>
      <c r="E5520" s="73">
        <v>0</v>
      </c>
      <c r="F5520" s="73">
        <v>0</v>
      </c>
      <c r="G5520" s="73">
        <v>0</v>
      </c>
      <c r="H5520" s="73">
        <v>0</v>
      </c>
      <c r="I5520" s="73">
        <v>0</v>
      </c>
      <c r="J5520" s="73">
        <v>0</v>
      </c>
    </row>
    <row r="5521" spans="1:10" s="28" customFormat="1" ht="17.5" thickBot="1">
      <c r="A5521" s="103" t="s">
        <v>108</v>
      </c>
      <c r="B5521" s="103" t="s">
        <v>34</v>
      </c>
      <c r="C5521" s="160">
        <v>0.83194444444444504</v>
      </c>
      <c r="D5521" s="165">
        <v>0</v>
      </c>
      <c r="E5521" s="165">
        <v>0</v>
      </c>
      <c r="F5521" s="165">
        <v>0</v>
      </c>
      <c r="G5521" s="165">
        <v>0</v>
      </c>
      <c r="H5521" s="165">
        <v>0</v>
      </c>
      <c r="I5521" s="165">
        <v>0</v>
      </c>
      <c r="J5521" s="165">
        <v>0</v>
      </c>
    </row>
    <row r="5522" spans="1:10">
      <c r="A5522" s="88" t="s">
        <v>108</v>
      </c>
      <c r="B5522" s="88" t="s">
        <v>35</v>
      </c>
      <c r="C5522" s="159">
        <v>0.70833333333333337</v>
      </c>
      <c r="D5522" s="162">
        <v>0</v>
      </c>
      <c r="E5522" s="162">
        <v>0</v>
      </c>
      <c r="F5522" s="162">
        <v>0</v>
      </c>
      <c r="G5522" s="162">
        <v>0</v>
      </c>
      <c r="H5522" s="162">
        <v>0</v>
      </c>
      <c r="I5522" s="162">
        <v>0</v>
      </c>
      <c r="J5522" s="162">
        <v>0</v>
      </c>
    </row>
    <row r="5523" spans="1:10">
      <c r="A5523" s="88" t="s">
        <v>108</v>
      </c>
      <c r="B5523" s="88" t="s">
        <v>35</v>
      </c>
      <c r="C5523" s="159">
        <v>0.70902777777777781</v>
      </c>
      <c r="D5523" s="73">
        <v>0</v>
      </c>
      <c r="E5523" s="73">
        <v>0</v>
      </c>
      <c r="F5523" s="73">
        <v>0</v>
      </c>
      <c r="G5523" s="73">
        <v>0</v>
      </c>
      <c r="H5523" s="73">
        <v>0</v>
      </c>
      <c r="I5523" s="73">
        <v>0</v>
      </c>
      <c r="J5523" s="73">
        <v>0</v>
      </c>
    </row>
    <row r="5524" spans="1:10">
      <c r="A5524" s="88" t="s">
        <v>108</v>
      </c>
      <c r="B5524" s="88" t="s">
        <v>35</v>
      </c>
      <c r="C5524" s="159">
        <v>0.70972222222222203</v>
      </c>
      <c r="D5524" s="73">
        <v>0</v>
      </c>
      <c r="E5524" s="73">
        <v>0</v>
      </c>
      <c r="F5524" s="73">
        <v>0</v>
      </c>
      <c r="G5524" s="73">
        <v>0</v>
      </c>
      <c r="H5524" s="73">
        <v>0</v>
      </c>
      <c r="I5524" s="73">
        <v>0</v>
      </c>
      <c r="J5524" s="73">
        <v>0</v>
      </c>
    </row>
    <row r="5525" spans="1:10">
      <c r="A5525" s="88" t="s">
        <v>108</v>
      </c>
      <c r="B5525" s="88" t="s">
        <v>35</v>
      </c>
      <c r="C5525" s="159">
        <v>0.71041666666666703</v>
      </c>
      <c r="D5525" s="73">
        <v>0</v>
      </c>
      <c r="E5525" s="73">
        <v>0</v>
      </c>
      <c r="F5525" s="73">
        <v>0</v>
      </c>
      <c r="G5525" s="73">
        <v>0</v>
      </c>
      <c r="H5525" s="73">
        <v>0</v>
      </c>
      <c r="I5525" s="73">
        <v>0</v>
      </c>
      <c r="J5525" s="73">
        <v>0</v>
      </c>
    </row>
    <row r="5526" spans="1:10">
      <c r="A5526" s="88" t="s">
        <v>108</v>
      </c>
      <c r="B5526" s="88" t="s">
        <v>35</v>
      </c>
      <c r="C5526" s="159">
        <v>0.71111111111111103</v>
      </c>
      <c r="D5526" s="73">
        <v>0</v>
      </c>
      <c r="E5526" s="73">
        <v>0</v>
      </c>
      <c r="F5526" s="73">
        <v>0</v>
      </c>
      <c r="G5526" s="73">
        <v>0</v>
      </c>
      <c r="H5526" s="73">
        <v>0</v>
      </c>
      <c r="I5526" s="73">
        <v>0</v>
      </c>
      <c r="J5526" s="73">
        <v>0</v>
      </c>
    </row>
    <row r="5527" spans="1:10">
      <c r="A5527" s="88" t="s">
        <v>108</v>
      </c>
      <c r="B5527" s="88" t="s">
        <v>35</v>
      </c>
      <c r="C5527" s="159">
        <v>0.71180555555555602</v>
      </c>
      <c r="D5527" s="73">
        <v>0</v>
      </c>
      <c r="E5527" s="73">
        <v>0</v>
      </c>
      <c r="F5527" s="73">
        <v>0</v>
      </c>
      <c r="G5527" s="73">
        <v>0</v>
      </c>
      <c r="H5527" s="73">
        <v>0</v>
      </c>
      <c r="I5527" s="73">
        <v>0</v>
      </c>
      <c r="J5527" s="73">
        <v>0</v>
      </c>
    </row>
    <row r="5528" spans="1:10">
      <c r="A5528" s="88" t="s">
        <v>108</v>
      </c>
      <c r="B5528" s="88" t="s">
        <v>35</v>
      </c>
      <c r="C5528" s="159">
        <v>0.71250000000000002</v>
      </c>
      <c r="D5528" s="73">
        <v>0</v>
      </c>
      <c r="E5528" s="73">
        <v>0</v>
      </c>
      <c r="F5528" s="73">
        <v>0</v>
      </c>
      <c r="G5528" s="73">
        <v>0</v>
      </c>
      <c r="H5528" s="73">
        <v>0</v>
      </c>
      <c r="I5528" s="73">
        <v>0</v>
      </c>
      <c r="J5528" s="73">
        <v>0</v>
      </c>
    </row>
    <row r="5529" spans="1:10">
      <c r="A5529" s="88" t="s">
        <v>108</v>
      </c>
      <c r="B5529" s="88" t="s">
        <v>35</v>
      </c>
      <c r="C5529" s="159">
        <v>0.71319444444444402</v>
      </c>
      <c r="D5529" s="73">
        <v>0</v>
      </c>
      <c r="E5529" s="73">
        <v>0</v>
      </c>
      <c r="F5529" s="73">
        <v>0</v>
      </c>
      <c r="G5529" s="73">
        <v>0</v>
      </c>
      <c r="H5529" s="73">
        <v>0</v>
      </c>
      <c r="I5529" s="73">
        <v>0</v>
      </c>
      <c r="J5529" s="73">
        <v>0</v>
      </c>
    </row>
    <row r="5530" spans="1:10">
      <c r="A5530" s="88" t="s">
        <v>108</v>
      </c>
      <c r="B5530" s="88" t="s">
        <v>35</v>
      </c>
      <c r="C5530" s="159">
        <v>0.71388888888888902</v>
      </c>
      <c r="D5530" s="73">
        <v>0</v>
      </c>
      <c r="E5530" s="73">
        <v>0</v>
      </c>
      <c r="F5530" s="73">
        <v>0</v>
      </c>
      <c r="G5530" s="73">
        <v>0</v>
      </c>
      <c r="H5530" s="73">
        <v>0</v>
      </c>
      <c r="I5530" s="73">
        <v>0</v>
      </c>
      <c r="J5530" s="73">
        <v>0</v>
      </c>
    </row>
    <row r="5531" spans="1:10">
      <c r="A5531" s="88" t="s">
        <v>108</v>
      </c>
      <c r="B5531" s="88" t="s">
        <v>35</v>
      </c>
      <c r="C5531" s="159">
        <v>0.71458333333333302</v>
      </c>
      <c r="D5531" s="73">
        <v>0</v>
      </c>
      <c r="E5531" s="73">
        <v>0</v>
      </c>
      <c r="F5531" s="73">
        <v>0</v>
      </c>
      <c r="G5531" s="73">
        <v>0</v>
      </c>
      <c r="H5531" s="73">
        <v>0</v>
      </c>
      <c r="I5531" s="73">
        <v>0</v>
      </c>
      <c r="J5531" s="73">
        <v>0</v>
      </c>
    </row>
    <row r="5532" spans="1:10">
      <c r="A5532" s="88" t="s">
        <v>108</v>
      </c>
      <c r="B5532" s="88" t="s">
        <v>35</v>
      </c>
      <c r="C5532" s="159">
        <v>0.71527777777777801</v>
      </c>
      <c r="D5532" s="73">
        <v>0</v>
      </c>
      <c r="E5532" s="73">
        <v>0</v>
      </c>
      <c r="F5532" s="73">
        <v>0</v>
      </c>
      <c r="G5532" s="73">
        <v>0</v>
      </c>
      <c r="H5532" s="73">
        <v>0</v>
      </c>
      <c r="I5532" s="73">
        <v>0</v>
      </c>
      <c r="J5532" s="73">
        <v>0</v>
      </c>
    </row>
    <row r="5533" spans="1:10">
      <c r="A5533" s="88" t="s">
        <v>108</v>
      </c>
      <c r="B5533" s="88" t="s">
        <v>35</v>
      </c>
      <c r="C5533" s="159">
        <v>0.71597222222222201</v>
      </c>
      <c r="D5533" s="73">
        <v>0</v>
      </c>
      <c r="E5533" s="73">
        <v>0</v>
      </c>
      <c r="F5533" s="73">
        <v>0</v>
      </c>
      <c r="G5533" s="73">
        <v>0</v>
      </c>
      <c r="H5533" s="73">
        <v>0</v>
      </c>
      <c r="I5533" s="73">
        <v>0</v>
      </c>
      <c r="J5533" s="73">
        <v>0</v>
      </c>
    </row>
    <row r="5534" spans="1:10">
      <c r="A5534" s="88" t="s">
        <v>108</v>
      </c>
      <c r="B5534" s="88" t="s">
        <v>35</v>
      </c>
      <c r="C5534" s="159">
        <v>0.71666666666666701</v>
      </c>
      <c r="D5534" s="73">
        <v>0</v>
      </c>
      <c r="E5534" s="73">
        <v>0</v>
      </c>
      <c r="F5534" s="73">
        <v>0</v>
      </c>
      <c r="G5534" s="73">
        <v>0</v>
      </c>
      <c r="H5534" s="73">
        <v>0</v>
      </c>
      <c r="I5534" s="73">
        <v>0</v>
      </c>
      <c r="J5534" s="73">
        <v>0</v>
      </c>
    </row>
    <row r="5535" spans="1:10">
      <c r="A5535" s="88" t="s">
        <v>108</v>
      </c>
      <c r="B5535" s="88" t="s">
        <v>35</v>
      </c>
      <c r="C5535" s="159">
        <v>0.71736111111111101</v>
      </c>
      <c r="D5535" s="73">
        <v>0</v>
      </c>
      <c r="E5535" s="73">
        <v>0</v>
      </c>
      <c r="F5535" s="73">
        <v>0</v>
      </c>
      <c r="G5535" s="73">
        <v>0</v>
      </c>
      <c r="H5535" s="73">
        <v>0</v>
      </c>
      <c r="I5535" s="73">
        <v>0</v>
      </c>
      <c r="J5535" s="73">
        <v>0</v>
      </c>
    </row>
    <row r="5536" spans="1:10" s="80" customFormat="1">
      <c r="A5536" s="91" t="s">
        <v>108</v>
      </c>
      <c r="B5536" s="91" t="s">
        <v>35</v>
      </c>
      <c r="C5536" s="161">
        <v>0.718055555555556</v>
      </c>
      <c r="D5536" s="163">
        <v>0</v>
      </c>
      <c r="E5536" s="163">
        <v>0</v>
      </c>
      <c r="F5536" s="163">
        <v>0</v>
      </c>
      <c r="G5536" s="163">
        <v>0</v>
      </c>
      <c r="H5536" s="163">
        <v>0</v>
      </c>
      <c r="I5536" s="163">
        <v>0</v>
      </c>
      <c r="J5536" s="163">
        <v>0</v>
      </c>
    </row>
    <row r="5537" spans="1:10">
      <c r="A5537" s="88" t="s">
        <v>108</v>
      </c>
      <c r="B5537" s="88" t="s">
        <v>35</v>
      </c>
      <c r="C5537" s="159">
        <v>0.71875</v>
      </c>
      <c r="D5537" s="73">
        <v>0</v>
      </c>
      <c r="E5537" s="73">
        <v>0</v>
      </c>
      <c r="F5537" s="73">
        <v>0</v>
      </c>
      <c r="G5537" s="73">
        <v>0</v>
      </c>
      <c r="H5537" s="73">
        <v>0</v>
      </c>
      <c r="I5537" s="73">
        <v>0</v>
      </c>
      <c r="J5537" s="73">
        <v>0</v>
      </c>
    </row>
    <row r="5538" spans="1:10">
      <c r="A5538" s="88" t="s">
        <v>108</v>
      </c>
      <c r="B5538" s="88" t="s">
        <v>35</v>
      </c>
      <c r="C5538" s="159">
        <v>0.719444444444444</v>
      </c>
      <c r="D5538" s="73">
        <v>0</v>
      </c>
      <c r="E5538" s="73">
        <v>0</v>
      </c>
      <c r="F5538" s="73">
        <v>0</v>
      </c>
      <c r="G5538" s="73">
        <v>0</v>
      </c>
      <c r="H5538" s="73">
        <v>0</v>
      </c>
      <c r="I5538" s="73">
        <v>0</v>
      </c>
      <c r="J5538" s="73">
        <v>0</v>
      </c>
    </row>
    <row r="5539" spans="1:10">
      <c r="A5539" s="88" t="s">
        <v>108</v>
      </c>
      <c r="B5539" s="88" t="s">
        <v>35</v>
      </c>
      <c r="C5539" s="159">
        <v>0.72013888888888899</v>
      </c>
      <c r="D5539" s="73">
        <v>0</v>
      </c>
      <c r="E5539" s="73">
        <v>0</v>
      </c>
      <c r="F5539" s="73">
        <v>0</v>
      </c>
      <c r="G5539" s="73">
        <v>0</v>
      </c>
      <c r="H5539" s="73">
        <v>0</v>
      </c>
      <c r="I5539" s="73">
        <v>0</v>
      </c>
      <c r="J5539" s="73">
        <v>0</v>
      </c>
    </row>
    <row r="5540" spans="1:10">
      <c r="A5540" s="88" t="s">
        <v>108</v>
      </c>
      <c r="B5540" s="88" t="s">
        <v>35</v>
      </c>
      <c r="C5540" s="159">
        <v>0.72083333333333299</v>
      </c>
      <c r="D5540" s="73">
        <v>0</v>
      </c>
      <c r="E5540" s="73">
        <v>0</v>
      </c>
      <c r="F5540" s="73">
        <v>0</v>
      </c>
      <c r="G5540" s="73">
        <v>0</v>
      </c>
      <c r="H5540" s="73">
        <v>0</v>
      </c>
      <c r="I5540" s="73">
        <v>0</v>
      </c>
      <c r="J5540" s="73">
        <v>0</v>
      </c>
    </row>
    <row r="5541" spans="1:10">
      <c r="A5541" s="88" t="s">
        <v>108</v>
      </c>
      <c r="B5541" s="88" t="s">
        <v>35</v>
      </c>
      <c r="C5541" s="159">
        <v>0.72152777777777799</v>
      </c>
      <c r="D5541" s="73">
        <v>0</v>
      </c>
      <c r="E5541" s="73">
        <v>0</v>
      </c>
      <c r="F5541" s="73">
        <v>0</v>
      </c>
      <c r="G5541" s="73">
        <v>0</v>
      </c>
      <c r="H5541" s="73">
        <v>0</v>
      </c>
      <c r="I5541" s="73">
        <v>0</v>
      </c>
      <c r="J5541" s="73">
        <v>0</v>
      </c>
    </row>
    <row r="5542" spans="1:10">
      <c r="A5542" s="88" t="s">
        <v>108</v>
      </c>
      <c r="B5542" s="88" t="s">
        <v>35</v>
      </c>
      <c r="C5542" s="159">
        <v>0.72222222222222199</v>
      </c>
      <c r="D5542" s="73">
        <v>0</v>
      </c>
      <c r="E5542" s="73">
        <v>0</v>
      </c>
      <c r="F5542" s="73">
        <v>0</v>
      </c>
      <c r="G5542" s="73">
        <v>0</v>
      </c>
      <c r="H5542" s="73">
        <v>0</v>
      </c>
      <c r="I5542" s="73">
        <v>0</v>
      </c>
      <c r="J5542" s="73">
        <v>0</v>
      </c>
    </row>
    <row r="5543" spans="1:10">
      <c r="A5543" s="88" t="s">
        <v>108</v>
      </c>
      <c r="B5543" s="88" t="s">
        <v>35</v>
      </c>
      <c r="C5543" s="159">
        <v>0.72291666666666698</v>
      </c>
      <c r="D5543" s="73">
        <v>0</v>
      </c>
      <c r="E5543" s="73">
        <v>0</v>
      </c>
      <c r="F5543" s="73">
        <v>0</v>
      </c>
      <c r="G5543" s="73">
        <v>0</v>
      </c>
      <c r="H5543" s="73">
        <v>0</v>
      </c>
      <c r="I5543" s="73">
        <v>0</v>
      </c>
      <c r="J5543" s="73">
        <v>0</v>
      </c>
    </row>
    <row r="5544" spans="1:10">
      <c r="A5544" s="88" t="s">
        <v>108</v>
      </c>
      <c r="B5544" s="88" t="s">
        <v>35</v>
      </c>
      <c r="C5544" s="159">
        <v>0.72361111111111098</v>
      </c>
      <c r="D5544" s="73">
        <v>0</v>
      </c>
      <c r="E5544" s="73">
        <v>0</v>
      </c>
      <c r="F5544" s="73">
        <v>0</v>
      </c>
      <c r="G5544" s="73">
        <v>0</v>
      </c>
      <c r="H5544" s="73">
        <v>0</v>
      </c>
      <c r="I5544" s="73">
        <v>0</v>
      </c>
      <c r="J5544" s="73">
        <v>0</v>
      </c>
    </row>
    <row r="5545" spans="1:10">
      <c r="A5545" s="88" t="s">
        <v>108</v>
      </c>
      <c r="B5545" s="88" t="s">
        <v>35</v>
      </c>
      <c r="C5545" s="159">
        <v>0.72430555555555598</v>
      </c>
      <c r="D5545" s="73">
        <v>0</v>
      </c>
      <c r="E5545" s="73">
        <v>0</v>
      </c>
      <c r="F5545" s="73">
        <v>0</v>
      </c>
      <c r="G5545" s="73">
        <v>0</v>
      </c>
      <c r="H5545" s="73">
        <v>0</v>
      </c>
      <c r="I5545" s="73">
        <v>0</v>
      </c>
      <c r="J5545" s="73">
        <v>0</v>
      </c>
    </row>
    <row r="5546" spans="1:10">
      <c r="A5546" s="88" t="s">
        <v>108</v>
      </c>
      <c r="B5546" s="88" t="s">
        <v>35</v>
      </c>
      <c r="C5546" s="159">
        <v>0.72499999999999998</v>
      </c>
      <c r="D5546" s="73">
        <v>0</v>
      </c>
      <c r="E5546" s="73">
        <v>0</v>
      </c>
      <c r="F5546" s="73">
        <v>0</v>
      </c>
      <c r="G5546" s="73">
        <v>0</v>
      </c>
      <c r="H5546" s="73">
        <v>0</v>
      </c>
      <c r="I5546" s="73">
        <v>0</v>
      </c>
      <c r="J5546" s="73">
        <v>0</v>
      </c>
    </row>
    <row r="5547" spans="1:10">
      <c r="A5547" s="88" t="s">
        <v>108</v>
      </c>
      <c r="B5547" s="88" t="s">
        <v>35</v>
      </c>
      <c r="C5547" s="159">
        <v>0.72569444444444398</v>
      </c>
      <c r="D5547" s="73">
        <v>0</v>
      </c>
      <c r="E5547" s="73">
        <v>0</v>
      </c>
      <c r="F5547" s="73">
        <v>0</v>
      </c>
      <c r="G5547" s="73">
        <v>0</v>
      </c>
      <c r="H5547" s="73">
        <v>0</v>
      </c>
      <c r="I5547" s="73">
        <v>0</v>
      </c>
      <c r="J5547" s="73">
        <v>0</v>
      </c>
    </row>
    <row r="5548" spans="1:10">
      <c r="A5548" s="88" t="s">
        <v>108</v>
      </c>
      <c r="B5548" s="88" t="s">
        <v>35</v>
      </c>
      <c r="C5548" s="159">
        <v>0.72638888888888897</v>
      </c>
      <c r="D5548" s="73">
        <v>0</v>
      </c>
      <c r="E5548" s="73">
        <v>0</v>
      </c>
      <c r="F5548" s="73">
        <v>0</v>
      </c>
      <c r="G5548" s="73">
        <v>0</v>
      </c>
      <c r="H5548" s="73">
        <v>0</v>
      </c>
      <c r="I5548" s="73">
        <v>0</v>
      </c>
      <c r="J5548" s="73">
        <v>0</v>
      </c>
    </row>
    <row r="5549" spans="1:10">
      <c r="A5549" s="88" t="s">
        <v>108</v>
      </c>
      <c r="B5549" s="88" t="s">
        <v>35</v>
      </c>
      <c r="C5549" s="159">
        <v>0.72708333333333297</v>
      </c>
      <c r="D5549" s="73">
        <v>0</v>
      </c>
      <c r="E5549" s="73">
        <v>0</v>
      </c>
      <c r="F5549" s="73">
        <v>0</v>
      </c>
      <c r="G5549" s="73">
        <v>0</v>
      </c>
      <c r="H5549" s="73">
        <v>0</v>
      </c>
      <c r="I5549" s="73">
        <v>0</v>
      </c>
      <c r="J5549" s="73">
        <v>0</v>
      </c>
    </row>
    <row r="5550" spans="1:10">
      <c r="A5550" s="88" t="s">
        <v>108</v>
      </c>
      <c r="B5550" s="88" t="s">
        <v>35</v>
      </c>
      <c r="C5550" s="159">
        <v>0.72777777777777797</v>
      </c>
      <c r="D5550" s="73">
        <v>0</v>
      </c>
      <c r="E5550" s="73">
        <v>0</v>
      </c>
      <c r="F5550" s="73">
        <v>0</v>
      </c>
      <c r="G5550" s="73">
        <v>0</v>
      </c>
      <c r="H5550" s="73">
        <v>0</v>
      </c>
      <c r="I5550" s="73">
        <v>0</v>
      </c>
      <c r="J5550" s="73">
        <v>0</v>
      </c>
    </row>
    <row r="5551" spans="1:10" s="80" customFormat="1">
      <c r="A5551" s="91" t="s">
        <v>108</v>
      </c>
      <c r="B5551" s="91" t="s">
        <v>35</v>
      </c>
      <c r="C5551" s="161">
        <v>0.72847222222222197</v>
      </c>
      <c r="D5551" s="163">
        <v>0</v>
      </c>
      <c r="E5551" s="163">
        <v>0</v>
      </c>
      <c r="F5551" s="163">
        <v>0</v>
      </c>
      <c r="G5551" s="163">
        <v>0</v>
      </c>
      <c r="H5551" s="163">
        <v>0</v>
      </c>
      <c r="I5551" s="163">
        <v>0</v>
      </c>
      <c r="J5551" s="163">
        <v>0</v>
      </c>
    </row>
    <row r="5552" spans="1:10">
      <c r="A5552" s="88" t="s">
        <v>108</v>
      </c>
      <c r="B5552" s="88" t="s">
        <v>35</v>
      </c>
      <c r="C5552" s="159">
        <v>0.72916666666666696</v>
      </c>
      <c r="D5552" s="164">
        <v>0</v>
      </c>
      <c r="E5552" s="164">
        <v>0</v>
      </c>
      <c r="F5552" s="164">
        <v>0</v>
      </c>
      <c r="G5552" s="164">
        <v>0</v>
      </c>
      <c r="H5552" s="164">
        <v>0</v>
      </c>
      <c r="I5552" s="164">
        <v>0</v>
      </c>
      <c r="J5552" s="164">
        <v>0</v>
      </c>
    </row>
    <row r="5553" spans="1:10">
      <c r="A5553" s="88" t="s">
        <v>108</v>
      </c>
      <c r="B5553" s="88" t="s">
        <v>35</v>
      </c>
      <c r="C5553" s="159">
        <v>0.72986111111111096</v>
      </c>
      <c r="D5553" s="73">
        <v>0</v>
      </c>
      <c r="E5553" s="73">
        <v>0</v>
      </c>
      <c r="F5553" s="73">
        <v>0</v>
      </c>
      <c r="G5553" s="73">
        <v>0</v>
      </c>
      <c r="H5553" s="73">
        <v>0</v>
      </c>
      <c r="I5553" s="73">
        <v>0</v>
      </c>
      <c r="J5553" s="73">
        <v>0</v>
      </c>
    </row>
    <row r="5554" spans="1:10">
      <c r="A5554" s="88" t="s">
        <v>108</v>
      </c>
      <c r="B5554" s="88" t="s">
        <v>35</v>
      </c>
      <c r="C5554" s="159">
        <v>0.73055555555555596</v>
      </c>
      <c r="D5554" s="73">
        <v>0</v>
      </c>
      <c r="E5554" s="73">
        <v>0</v>
      </c>
      <c r="F5554" s="73">
        <v>0</v>
      </c>
      <c r="G5554" s="73">
        <v>0</v>
      </c>
      <c r="H5554" s="73">
        <v>0</v>
      </c>
      <c r="I5554" s="73">
        <v>0</v>
      </c>
      <c r="J5554" s="73">
        <v>0</v>
      </c>
    </row>
    <row r="5555" spans="1:10">
      <c r="A5555" s="88" t="s">
        <v>108</v>
      </c>
      <c r="B5555" s="88" t="s">
        <v>35</v>
      </c>
      <c r="C5555" s="159">
        <v>0.73124999999999996</v>
      </c>
      <c r="D5555" s="73">
        <v>0</v>
      </c>
      <c r="E5555" s="73">
        <v>0</v>
      </c>
      <c r="F5555" s="73">
        <v>0</v>
      </c>
      <c r="G5555" s="73">
        <v>0</v>
      </c>
      <c r="H5555" s="73">
        <v>0</v>
      </c>
      <c r="I5555" s="73">
        <v>0</v>
      </c>
      <c r="J5555" s="73">
        <v>0</v>
      </c>
    </row>
    <row r="5556" spans="1:10">
      <c r="A5556" s="88" t="s">
        <v>108</v>
      </c>
      <c r="B5556" s="88" t="s">
        <v>35</v>
      </c>
      <c r="C5556" s="159">
        <v>0.73194444444444395</v>
      </c>
      <c r="D5556" s="73">
        <v>0</v>
      </c>
      <c r="E5556" s="73">
        <v>0</v>
      </c>
      <c r="F5556" s="73">
        <v>0</v>
      </c>
      <c r="G5556" s="73">
        <v>0</v>
      </c>
      <c r="H5556" s="73">
        <v>0</v>
      </c>
      <c r="I5556" s="73">
        <v>0</v>
      </c>
      <c r="J5556" s="73">
        <v>0</v>
      </c>
    </row>
    <row r="5557" spans="1:10">
      <c r="A5557" s="88" t="s">
        <v>108</v>
      </c>
      <c r="B5557" s="88" t="s">
        <v>35</v>
      </c>
      <c r="C5557" s="159">
        <v>0.73263888888888895</v>
      </c>
      <c r="D5557" s="73">
        <v>0</v>
      </c>
      <c r="E5557" s="73">
        <v>0</v>
      </c>
      <c r="F5557" s="73">
        <v>0</v>
      </c>
      <c r="G5557" s="73">
        <v>0</v>
      </c>
      <c r="H5557" s="73">
        <v>0</v>
      </c>
      <c r="I5557" s="73">
        <v>0</v>
      </c>
      <c r="J5557" s="73">
        <v>0</v>
      </c>
    </row>
    <row r="5558" spans="1:10">
      <c r="A5558" s="88" t="s">
        <v>108</v>
      </c>
      <c r="B5558" s="88" t="s">
        <v>35</v>
      </c>
      <c r="C5558" s="159">
        <v>0.73333333333333295</v>
      </c>
      <c r="D5558" s="73">
        <v>0</v>
      </c>
      <c r="E5558" s="73">
        <v>0</v>
      </c>
      <c r="F5558" s="73">
        <v>0</v>
      </c>
      <c r="G5558" s="73">
        <v>0</v>
      </c>
      <c r="H5558" s="73">
        <v>0</v>
      </c>
      <c r="I5558" s="73">
        <v>0</v>
      </c>
      <c r="J5558" s="73">
        <v>0</v>
      </c>
    </row>
    <row r="5559" spans="1:10">
      <c r="A5559" s="88" t="s">
        <v>108</v>
      </c>
      <c r="B5559" s="88" t="s">
        <v>35</v>
      </c>
      <c r="C5559" s="159">
        <v>0.73402777777777795</v>
      </c>
      <c r="D5559" s="73">
        <v>0</v>
      </c>
      <c r="E5559" s="73">
        <v>0</v>
      </c>
      <c r="F5559" s="73">
        <v>0</v>
      </c>
      <c r="G5559" s="73">
        <v>0</v>
      </c>
      <c r="H5559" s="73">
        <v>0</v>
      </c>
      <c r="I5559" s="73">
        <v>0</v>
      </c>
      <c r="J5559" s="73">
        <v>0</v>
      </c>
    </row>
    <row r="5560" spans="1:10">
      <c r="A5560" s="88" t="s">
        <v>108</v>
      </c>
      <c r="B5560" s="88" t="s">
        <v>35</v>
      </c>
      <c r="C5560" s="159">
        <v>0.73472222222222205</v>
      </c>
      <c r="D5560" s="73">
        <v>0</v>
      </c>
      <c r="E5560" s="73">
        <v>0</v>
      </c>
      <c r="F5560" s="73">
        <v>0</v>
      </c>
      <c r="G5560" s="73">
        <v>0</v>
      </c>
      <c r="H5560" s="73">
        <v>0</v>
      </c>
      <c r="I5560" s="73">
        <v>0</v>
      </c>
      <c r="J5560" s="73">
        <v>0</v>
      </c>
    </row>
    <row r="5561" spans="1:10">
      <c r="A5561" s="88" t="s">
        <v>108</v>
      </c>
      <c r="B5561" s="88" t="s">
        <v>35</v>
      </c>
      <c r="C5561" s="159">
        <v>0.73541666666666705</v>
      </c>
      <c r="D5561" s="73">
        <v>0</v>
      </c>
      <c r="E5561" s="73">
        <v>0</v>
      </c>
      <c r="F5561" s="73">
        <v>0</v>
      </c>
      <c r="G5561" s="73">
        <v>0</v>
      </c>
      <c r="H5561" s="73">
        <v>0</v>
      </c>
      <c r="I5561" s="73">
        <v>0</v>
      </c>
      <c r="J5561" s="73">
        <v>0</v>
      </c>
    </row>
    <row r="5562" spans="1:10">
      <c r="A5562" s="88" t="s">
        <v>108</v>
      </c>
      <c r="B5562" s="88" t="s">
        <v>35</v>
      </c>
      <c r="C5562" s="159">
        <v>0.73611111111111105</v>
      </c>
      <c r="D5562" s="73">
        <v>0</v>
      </c>
      <c r="E5562" s="73">
        <v>0</v>
      </c>
      <c r="F5562" s="73">
        <v>0</v>
      </c>
      <c r="G5562" s="73">
        <v>0</v>
      </c>
      <c r="H5562" s="73">
        <v>0</v>
      </c>
      <c r="I5562" s="73">
        <v>0</v>
      </c>
      <c r="J5562" s="73">
        <v>0</v>
      </c>
    </row>
    <row r="5563" spans="1:10">
      <c r="A5563" s="88" t="s">
        <v>108</v>
      </c>
      <c r="B5563" s="88" t="s">
        <v>35</v>
      </c>
      <c r="C5563" s="159">
        <v>0.73680555555555505</v>
      </c>
      <c r="D5563" s="73">
        <v>0</v>
      </c>
      <c r="E5563" s="73">
        <v>0</v>
      </c>
      <c r="F5563" s="73">
        <v>0</v>
      </c>
      <c r="G5563" s="73">
        <v>0</v>
      </c>
      <c r="H5563" s="73">
        <v>0</v>
      </c>
      <c r="I5563" s="73">
        <v>0</v>
      </c>
      <c r="J5563" s="73">
        <v>0</v>
      </c>
    </row>
    <row r="5564" spans="1:10">
      <c r="A5564" s="88" t="s">
        <v>108</v>
      </c>
      <c r="B5564" s="88" t="s">
        <v>35</v>
      </c>
      <c r="C5564" s="159">
        <v>0.73750000000000004</v>
      </c>
      <c r="D5564" s="73">
        <v>0</v>
      </c>
      <c r="E5564" s="73">
        <v>0</v>
      </c>
      <c r="F5564" s="73">
        <v>0</v>
      </c>
      <c r="G5564" s="73">
        <v>0</v>
      </c>
      <c r="H5564" s="73">
        <v>0</v>
      </c>
      <c r="I5564" s="73">
        <v>0</v>
      </c>
      <c r="J5564" s="73">
        <v>0</v>
      </c>
    </row>
    <row r="5565" spans="1:10">
      <c r="A5565" s="88" t="s">
        <v>108</v>
      </c>
      <c r="B5565" s="88" t="s">
        <v>35</v>
      </c>
      <c r="C5565" s="159">
        <v>0.73819444444444404</v>
      </c>
      <c r="D5565" s="73">
        <v>0</v>
      </c>
      <c r="E5565" s="73">
        <v>0</v>
      </c>
      <c r="F5565" s="73">
        <v>0</v>
      </c>
      <c r="G5565" s="73">
        <v>0</v>
      </c>
      <c r="H5565" s="73">
        <v>0</v>
      </c>
      <c r="I5565" s="73">
        <v>0</v>
      </c>
      <c r="J5565" s="73">
        <v>0</v>
      </c>
    </row>
    <row r="5566" spans="1:10" s="80" customFormat="1">
      <c r="A5566" s="91" t="s">
        <v>108</v>
      </c>
      <c r="B5566" s="91" t="s">
        <v>35</v>
      </c>
      <c r="C5566" s="161">
        <v>0.73888888888888904</v>
      </c>
      <c r="D5566" s="163">
        <v>0</v>
      </c>
      <c r="E5566" s="163">
        <v>0</v>
      </c>
      <c r="F5566" s="163">
        <v>0</v>
      </c>
      <c r="G5566" s="163">
        <v>0</v>
      </c>
      <c r="H5566" s="163">
        <v>0</v>
      </c>
      <c r="I5566" s="163">
        <v>0</v>
      </c>
      <c r="J5566" s="163">
        <v>0</v>
      </c>
    </row>
    <row r="5567" spans="1:10">
      <c r="A5567" s="88" t="s">
        <v>108</v>
      </c>
      <c r="B5567" s="88" t="s">
        <v>35</v>
      </c>
      <c r="C5567" s="159">
        <v>0.73958333333333304</v>
      </c>
      <c r="D5567" s="164">
        <v>0</v>
      </c>
      <c r="E5567" s="164">
        <v>0</v>
      </c>
      <c r="F5567" s="164">
        <v>0</v>
      </c>
      <c r="G5567" s="164">
        <v>0</v>
      </c>
      <c r="H5567" s="164">
        <v>0</v>
      </c>
      <c r="I5567" s="164">
        <v>0</v>
      </c>
      <c r="J5567" s="164">
        <v>0</v>
      </c>
    </row>
    <row r="5568" spans="1:10">
      <c r="A5568" s="88" t="s">
        <v>108</v>
      </c>
      <c r="B5568" s="88" t="s">
        <v>35</v>
      </c>
      <c r="C5568" s="159">
        <v>0.74027777777777803</v>
      </c>
      <c r="D5568" s="73">
        <v>0</v>
      </c>
      <c r="E5568" s="73">
        <v>0</v>
      </c>
      <c r="F5568" s="73">
        <v>0</v>
      </c>
      <c r="G5568" s="73">
        <v>0</v>
      </c>
      <c r="H5568" s="73">
        <v>0</v>
      </c>
      <c r="I5568" s="73">
        <v>0</v>
      </c>
      <c r="J5568" s="73">
        <v>0</v>
      </c>
    </row>
    <row r="5569" spans="1:10">
      <c r="A5569" s="88" t="s">
        <v>108</v>
      </c>
      <c r="B5569" s="88" t="s">
        <v>35</v>
      </c>
      <c r="C5569" s="159">
        <v>0.74097222222222203</v>
      </c>
      <c r="D5569" s="73">
        <v>0</v>
      </c>
      <c r="E5569" s="73">
        <v>0</v>
      </c>
      <c r="F5569" s="73">
        <v>0</v>
      </c>
      <c r="G5569" s="73">
        <v>0</v>
      </c>
      <c r="H5569" s="73">
        <v>0</v>
      </c>
      <c r="I5569" s="73">
        <v>0</v>
      </c>
      <c r="J5569" s="73">
        <v>0</v>
      </c>
    </row>
    <row r="5570" spans="1:10">
      <c r="A5570" s="88" t="s">
        <v>108</v>
      </c>
      <c r="B5570" s="88" t="s">
        <v>35</v>
      </c>
      <c r="C5570" s="159">
        <v>0.74166666666666703</v>
      </c>
      <c r="D5570" s="73">
        <v>0</v>
      </c>
      <c r="E5570" s="73">
        <v>0</v>
      </c>
      <c r="F5570" s="73">
        <v>0</v>
      </c>
      <c r="G5570" s="73">
        <v>0</v>
      </c>
      <c r="H5570" s="73">
        <v>0</v>
      </c>
      <c r="I5570" s="73">
        <v>0</v>
      </c>
      <c r="J5570" s="73">
        <v>0</v>
      </c>
    </row>
    <row r="5571" spans="1:10">
      <c r="A5571" s="88" t="s">
        <v>108</v>
      </c>
      <c r="B5571" s="88" t="s">
        <v>35</v>
      </c>
      <c r="C5571" s="159">
        <v>0.74236111111111103</v>
      </c>
      <c r="D5571" s="73">
        <v>0</v>
      </c>
      <c r="E5571" s="73">
        <v>0</v>
      </c>
      <c r="F5571" s="73">
        <v>0</v>
      </c>
      <c r="G5571" s="73">
        <v>0</v>
      </c>
      <c r="H5571" s="73">
        <v>0</v>
      </c>
      <c r="I5571" s="73">
        <v>0</v>
      </c>
      <c r="J5571" s="73">
        <v>0</v>
      </c>
    </row>
    <row r="5572" spans="1:10">
      <c r="A5572" s="88" t="s">
        <v>108</v>
      </c>
      <c r="B5572" s="88" t="s">
        <v>35</v>
      </c>
      <c r="C5572" s="159">
        <v>0.74305555555555503</v>
      </c>
      <c r="D5572" s="73">
        <v>0</v>
      </c>
      <c r="E5572" s="73">
        <v>0</v>
      </c>
      <c r="F5572" s="73">
        <v>0</v>
      </c>
      <c r="G5572" s="73">
        <v>0</v>
      </c>
      <c r="H5572" s="73">
        <v>0</v>
      </c>
      <c r="I5572" s="73">
        <v>0</v>
      </c>
      <c r="J5572" s="73">
        <v>0</v>
      </c>
    </row>
    <row r="5573" spans="1:10">
      <c r="A5573" s="88" t="s">
        <v>108</v>
      </c>
      <c r="B5573" s="88" t="s">
        <v>35</v>
      </c>
      <c r="C5573" s="159">
        <v>0.74375000000000002</v>
      </c>
      <c r="D5573" s="73">
        <v>0</v>
      </c>
      <c r="E5573" s="73">
        <v>0</v>
      </c>
      <c r="F5573" s="73">
        <v>0</v>
      </c>
      <c r="G5573" s="73">
        <v>0</v>
      </c>
      <c r="H5573" s="73">
        <v>0</v>
      </c>
      <c r="I5573" s="73">
        <v>0</v>
      </c>
      <c r="J5573" s="73">
        <v>0</v>
      </c>
    </row>
    <row r="5574" spans="1:10">
      <c r="A5574" s="88" t="s">
        <v>108</v>
      </c>
      <c r="B5574" s="88" t="s">
        <v>35</v>
      </c>
      <c r="C5574" s="159">
        <v>0.74444444444444402</v>
      </c>
      <c r="D5574" s="73">
        <v>0</v>
      </c>
      <c r="E5574" s="73">
        <v>0</v>
      </c>
      <c r="F5574" s="73">
        <v>0</v>
      </c>
      <c r="G5574" s="73">
        <v>0</v>
      </c>
      <c r="H5574" s="73">
        <v>0</v>
      </c>
      <c r="I5574" s="73">
        <v>0</v>
      </c>
      <c r="J5574" s="73">
        <v>0</v>
      </c>
    </row>
    <row r="5575" spans="1:10">
      <c r="A5575" s="88" t="s">
        <v>108</v>
      </c>
      <c r="B5575" s="88" t="s">
        <v>35</v>
      </c>
      <c r="C5575" s="159">
        <v>0.74513888888888902</v>
      </c>
      <c r="D5575" s="73">
        <v>0</v>
      </c>
      <c r="E5575" s="73">
        <v>0</v>
      </c>
      <c r="F5575" s="73">
        <v>0</v>
      </c>
      <c r="G5575" s="73">
        <v>0</v>
      </c>
      <c r="H5575" s="73">
        <v>0</v>
      </c>
      <c r="I5575" s="73">
        <v>0</v>
      </c>
      <c r="J5575" s="73">
        <v>0</v>
      </c>
    </row>
    <row r="5576" spans="1:10">
      <c r="A5576" s="88" t="s">
        <v>108</v>
      </c>
      <c r="B5576" s="88" t="s">
        <v>35</v>
      </c>
      <c r="C5576" s="159">
        <v>0.74583333333333302</v>
      </c>
      <c r="D5576" s="73">
        <v>0</v>
      </c>
      <c r="E5576" s="73">
        <v>0</v>
      </c>
      <c r="F5576" s="73">
        <v>0</v>
      </c>
      <c r="G5576" s="73">
        <v>0</v>
      </c>
      <c r="H5576" s="73">
        <v>0</v>
      </c>
      <c r="I5576" s="73">
        <v>0</v>
      </c>
      <c r="J5576" s="73">
        <v>0</v>
      </c>
    </row>
    <row r="5577" spans="1:10">
      <c r="A5577" s="88" t="s">
        <v>108</v>
      </c>
      <c r="B5577" s="88" t="s">
        <v>35</v>
      </c>
      <c r="C5577" s="159">
        <v>0.74652777777777801</v>
      </c>
      <c r="D5577" s="73">
        <v>0</v>
      </c>
      <c r="E5577" s="73">
        <v>0</v>
      </c>
      <c r="F5577" s="73">
        <v>0</v>
      </c>
      <c r="G5577" s="73">
        <v>0</v>
      </c>
      <c r="H5577" s="73">
        <v>0</v>
      </c>
      <c r="I5577" s="73">
        <v>0</v>
      </c>
      <c r="J5577" s="73">
        <v>0</v>
      </c>
    </row>
    <row r="5578" spans="1:10">
      <c r="A5578" s="88" t="s">
        <v>108</v>
      </c>
      <c r="B5578" s="88" t="s">
        <v>35</v>
      </c>
      <c r="C5578" s="159">
        <v>0.74722222222222201</v>
      </c>
      <c r="D5578" s="73">
        <v>0</v>
      </c>
      <c r="E5578" s="73">
        <v>0</v>
      </c>
      <c r="F5578" s="73">
        <v>0</v>
      </c>
      <c r="G5578" s="73">
        <v>0</v>
      </c>
      <c r="H5578" s="73">
        <v>0</v>
      </c>
      <c r="I5578" s="73">
        <v>0</v>
      </c>
      <c r="J5578" s="73">
        <v>0</v>
      </c>
    </row>
    <row r="5579" spans="1:10">
      <c r="A5579" s="88" t="s">
        <v>108</v>
      </c>
      <c r="B5579" s="88" t="s">
        <v>35</v>
      </c>
      <c r="C5579" s="159">
        <v>0.74791666666666701</v>
      </c>
      <c r="D5579" s="73">
        <v>0</v>
      </c>
      <c r="E5579" s="73">
        <v>0</v>
      </c>
      <c r="F5579" s="73">
        <v>0</v>
      </c>
      <c r="G5579" s="73">
        <v>0</v>
      </c>
      <c r="H5579" s="73">
        <v>0</v>
      </c>
      <c r="I5579" s="73">
        <v>0</v>
      </c>
      <c r="J5579" s="73">
        <v>0</v>
      </c>
    </row>
    <row r="5580" spans="1:10">
      <c r="A5580" s="88" t="s">
        <v>108</v>
      </c>
      <c r="B5580" s="88" t="s">
        <v>35</v>
      </c>
      <c r="C5580" s="159">
        <v>0.74861111111111101</v>
      </c>
      <c r="D5580" s="73">
        <v>0</v>
      </c>
      <c r="E5580" s="73">
        <v>0</v>
      </c>
      <c r="F5580" s="73">
        <v>0</v>
      </c>
      <c r="G5580" s="73">
        <v>0</v>
      </c>
      <c r="H5580" s="73">
        <v>0</v>
      </c>
      <c r="I5580" s="73">
        <v>0</v>
      </c>
      <c r="J5580" s="73">
        <v>0</v>
      </c>
    </row>
    <row r="5581" spans="1:10" s="80" customFormat="1">
      <c r="A5581" s="91" t="s">
        <v>108</v>
      </c>
      <c r="B5581" s="91" t="s">
        <v>35</v>
      </c>
      <c r="C5581" s="161">
        <v>0.749305555555555</v>
      </c>
      <c r="D5581" s="163">
        <v>0</v>
      </c>
      <c r="E5581" s="163">
        <v>0</v>
      </c>
      <c r="F5581" s="163">
        <v>0</v>
      </c>
      <c r="G5581" s="163">
        <v>0</v>
      </c>
      <c r="H5581" s="163">
        <v>0</v>
      </c>
      <c r="I5581" s="163">
        <v>0</v>
      </c>
      <c r="J5581" s="163">
        <v>0</v>
      </c>
    </row>
    <row r="5582" spans="1:10">
      <c r="A5582" s="88" t="s">
        <v>108</v>
      </c>
      <c r="B5582" s="88" t="s">
        <v>35</v>
      </c>
      <c r="C5582" s="159">
        <v>0.75</v>
      </c>
      <c r="D5582" s="164">
        <v>0</v>
      </c>
      <c r="E5582" s="164">
        <v>0</v>
      </c>
      <c r="F5582" s="164">
        <v>0</v>
      </c>
      <c r="G5582" s="164">
        <v>0</v>
      </c>
      <c r="H5582" s="164">
        <v>0</v>
      </c>
      <c r="I5582" s="164">
        <v>0</v>
      </c>
      <c r="J5582" s="164">
        <v>0</v>
      </c>
    </row>
    <row r="5583" spans="1:10">
      <c r="A5583" s="88" t="s">
        <v>108</v>
      </c>
      <c r="B5583" s="88" t="s">
        <v>35</v>
      </c>
      <c r="C5583" s="159">
        <v>0.750694444444444</v>
      </c>
      <c r="D5583" s="73">
        <v>0</v>
      </c>
      <c r="E5583" s="73">
        <v>0</v>
      </c>
      <c r="F5583" s="73">
        <v>0</v>
      </c>
      <c r="G5583" s="73">
        <v>0</v>
      </c>
      <c r="H5583" s="73">
        <v>0</v>
      </c>
      <c r="I5583" s="73">
        <v>0</v>
      </c>
      <c r="J5583" s="73">
        <v>0</v>
      </c>
    </row>
    <row r="5584" spans="1:10">
      <c r="A5584" s="88" t="s">
        <v>108</v>
      </c>
      <c r="B5584" s="88" t="s">
        <v>35</v>
      </c>
      <c r="C5584" s="159">
        <v>0.75138888888888899</v>
      </c>
      <c r="D5584" s="73">
        <v>0</v>
      </c>
      <c r="E5584" s="73">
        <v>0</v>
      </c>
      <c r="F5584" s="73">
        <v>0</v>
      </c>
      <c r="G5584" s="73">
        <v>0</v>
      </c>
      <c r="H5584" s="73">
        <v>0</v>
      </c>
      <c r="I5584" s="73">
        <v>0</v>
      </c>
      <c r="J5584" s="73">
        <v>0</v>
      </c>
    </row>
    <row r="5585" spans="1:10">
      <c r="A5585" s="88" t="s">
        <v>108</v>
      </c>
      <c r="B5585" s="88" t="s">
        <v>35</v>
      </c>
      <c r="C5585" s="159">
        <v>0.75208333333333299</v>
      </c>
      <c r="D5585" s="73">
        <v>0</v>
      </c>
      <c r="E5585" s="73">
        <v>0</v>
      </c>
      <c r="F5585" s="73">
        <v>0</v>
      </c>
      <c r="G5585" s="73">
        <v>0</v>
      </c>
      <c r="H5585" s="73">
        <v>0</v>
      </c>
      <c r="I5585" s="73">
        <v>0</v>
      </c>
      <c r="J5585" s="73">
        <v>0</v>
      </c>
    </row>
    <row r="5586" spans="1:10">
      <c r="A5586" s="88" t="s">
        <v>108</v>
      </c>
      <c r="B5586" s="88" t="s">
        <v>35</v>
      </c>
      <c r="C5586" s="159">
        <v>0.75277777777777799</v>
      </c>
      <c r="D5586" s="73">
        <v>0</v>
      </c>
      <c r="E5586" s="73">
        <v>0</v>
      </c>
      <c r="F5586" s="73">
        <v>0</v>
      </c>
      <c r="G5586" s="73">
        <v>0</v>
      </c>
      <c r="H5586" s="73">
        <v>0</v>
      </c>
      <c r="I5586" s="73">
        <v>0</v>
      </c>
      <c r="J5586" s="73">
        <v>0</v>
      </c>
    </row>
    <row r="5587" spans="1:10">
      <c r="A5587" s="88" t="s">
        <v>108</v>
      </c>
      <c r="B5587" s="88" t="s">
        <v>35</v>
      </c>
      <c r="C5587" s="159">
        <v>0.75347222222222199</v>
      </c>
      <c r="D5587" s="73">
        <v>0</v>
      </c>
      <c r="E5587" s="73">
        <v>0</v>
      </c>
      <c r="F5587" s="73">
        <v>0</v>
      </c>
      <c r="G5587" s="73">
        <v>0</v>
      </c>
      <c r="H5587" s="73">
        <v>0</v>
      </c>
      <c r="I5587" s="73">
        <v>0</v>
      </c>
      <c r="J5587" s="73">
        <v>0</v>
      </c>
    </row>
    <row r="5588" spans="1:10">
      <c r="A5588" s="88" t="s">
        <v>108</v>
      </c>
      <c r="B5588" s="88" t="s">
        <v>35</v>
      </c>
      <c r="C5588" s="159">
        <v>0.75416666666666698</v>
      </c>
      <c r="D5588" s="73">
        <v>0</v>
      </c>
      <c r="E5588" s="73">
        <v>0</v>
      </c>
      <c r="F5588" s="73">
        <v>0</v>
      </c>
      <c r="G5588" s="73">
        <v>0</v>
      </c>
      <c r="H5588" s="73">
        <v>0</v>
      </c>
      <c r="I5588" s="73">
        <v>0</v>
      </c>
      <c r="J5588" s="73">
        <v>0</v>
      </c>
    </row>
    <row r="5589" spans="1:10">
      <c r="A5589" s="88" t="s">
        <v>108</v>
      </c>
      <c r="B5589" s="88" t="s">
        <v>35</v>
      </c>
      <c r="C5589" s="159">
        <v>0.75486111111111098</v>
      </c>
      <c r="D5589" s="73">
        <v>0</v>
      </c>
      <c r="E5589" s="73">
        <v>0</v>
      </c>
      <c r="F5589" s="73">
        <v>0</v>
      </c>
      <c r="G5589" s="73">
        <v>0</v>
      </c>
      <c r="H5589" s="73">
        <v>0</v>
      </c>
      <c r="I5589" s="73">
        <v>0</v>
      </c>
      <c r="J5589" s="73">
        <v>0</v>
      </c>
    </row>
    <row r="5590" spans="1:10">
      <c r="A5590" s="88" t="s">
        <v>108</v>
      </c>
      <c r="B5590" s="88" t="s">
        <v>35</v>
      </c>
      <c r="C5590" s="159">
        <v>0.75555555555555498</v>
      </c>
      <c r="D5590" s="73">
        <v>0</v>
      </c>
      <c r="E5590" s="73">
        <v>0</v>
      </c>
      <c r="F5590" s="73">
        <v>0</v>
      </c>
      <c r="G5590" s="73">
        <v>0</v>
      </c>
      <c r="H5590" s="73">
        <v>0</v>
      </c>
      <c r="I5590" s="73">
        <v>0</v>
      </c>
      <c r="J5590" s="73">
        <v>0</v>
      </c>
    </row>
    <row r="5591" spans="1:10">
      <c r="A5591" s="88" t="s">
        <v>108</v>
      </c>
      <c r="B5591" s="88" t="s">
        <v>35</v>
      </c>
      <c r="C5591" s="159">
        <v>0.75624999999999998</v>
      </c>
      <c r="D5591" s="73">
        <v>0</v>
      </c>
      <c r="E5591" s="73">
        <v>0</v>
      </c>
      <c r="F5591" s="73">
        <v>0</v>
      </c>
      <c r="G5591" s="73">
        <v>0</v>
      </c>
      <c r="H5591" s="73">
        <v>0</v>
      </c>
      <c r="I5591" s="73">
        <v>0</v>
      </c>
      <c r="J5591" s="73">
        <v>0</v>
      </c>
    </row>
    <row r="5592" spans="1:10">
      <c r="A5592" s="88" t="s">
        <v>108</v>
      </c>
      <c r="B5592" s="88" t="s">
        <v>35</v>
      </c>
      <c r="C5592" s="159">
        <v>0.75694444444444398</v>
      </c>
      <c r="D5592" s="73">
        <v>0</v>
      </c>
      <c r="E5592" s="73">
        <v>0</v>
      </c>
      <c r="F5592" s="73">
        <v>0</v>
      </c>
      <c r="G5592" s="73">
        <v>0</v>
      </c>
      <c r="H5592" s="73">
        <v>0</v>
      </c>
      <c r="I5592" s="73">
        <v>0</v>
      </c>
      <c r="J5592" s="73">
        <v>0</v>
      </c>
    </row>
    <row r="5593" spans="1:10">
      <c r="A5593" s="88" t="s">
        <v>108</v>
      </c>
      <c r="B5593" s="88" t="s">
        <v>35</v>
      </c>
      <c r="C5593" s="159">
        <v>0.75763888888888897</v>
      </c>
      <c r="D5593" s="73">
        <v>0</v>
      </c>
      <c r="E5593" s="73">
        <v>0</v>
      </c>
      <c r="F5593" s="73">
        <v>0</v>
      </c>
      <c r="G5593" s="73">
        <v>0</v>
      </c>
      <c r="H5593" s="73">
        <v>0</v>
      </c>
      <c r="I5593" s="73">
        <v>0</v>
      </c>
      <c r="J5593" s="73">
        <v>0</v>
      </c>
    </row>
    <row r="5594" spans="1:10">
      <c r="A5594" s="88" t="s">
        <v>108</v>
      </c>
      <c r="B5594" s="88" t="s">
        <v>35</v>
      </c>
      <c r="C5594" s="159">
        <v>0.75833333333333297</v>
      </c>
      <c r="D5594" s="73">
        <v>0</v>
      </c>
      <c r="E5594" s="73">
        <v>0</v>
      </c>
      <c r="F5594" s="73">
        <v>0</v>
      </c>
      <c r="G5594" s="73">
        <v>0</v>
      </c>
      <c r="H5594" s="73">
        <v>0</v>
      </c>
      <c r="I5594" s="73">
        <v>0</v>
      </c>
      <c r="J5594" s="73">
        <v>0</v>
      </c>
    </row>
    <row r="5595" spans="1:10">
      <c r="A5595" s="88" t="s">
        <v>108</v>
      </c>
      <c r="B5595" s="88" t="s">
        <v>35</v>
      </c>
      <c r="C5595" s="159">
        <v>0.75902777777777797</v>
      </c>
      <c r="D5595" s="73">
        <v>0</v>
      </c>
      <c r="E5595" s="73">
        <v>0</v>
      </c>
      <c r="F5595" s="73">
        <v>0</v>
      </c>
      <c r="G5595" s="73">
        <v>0</v>
      </c>
      <c r="H5595" s="73">
        <v>0</v>
      </c>
      <c r="I5595" s="73">
        <v>0</v>
      </c>
      <c r="J5595" s="73">
        <v>0</v>
      </c>
    </row>
    <row r="5596" spans="1:10" s="80" customFormat="1">
      <c r="A5596" s="91" t="s">
        <v>108</v>
      </c>
      <c r="B5596" s="91" t="s">
        <v>35</v>
      </c>
      <c r="C5596" s="161">
        <v>0.75972222222222197</v>
      </c>
      <c r="D5596" s="163">
        <v>0</v>
      </c>
      <c r="E5596" s="163">
        <v>0</v>
      </c>
      <c r="F5596" s="163">
        <v>0</v>
      </c>
      <c r="G5596" s="163">
        <v>0</v>
      </c>
      <c r="H5596" s="163">
        <v>0</v>
      </c>
      <c r="I5596" s="163">
        <v>0</v>
      </c>
      <c r="J5596" s="163">
        <v>0</v>
      </c>
    </row>
    <row r="5597" spans="1:10">
      <c r="A5597" s="88" t="s">
        <v>108</v>
      </c>
      <c r="B5597" s="88" t="s">
        <v>35</v>
      </c>
      <c r="C5597" s="159">
        <v>0.76041666666666696</v>
      </c>
      <c r="D5597" s="164">
        <v>0</v>
      </c>
      <c r="E5597" s="164">
        <v>0</v>
      </c>
      <c r="F5597" s="164">
        <v>0</v>
      </c>
      <c r="G5597" s="164">
        <v>0</v>
      </c>
      <c r="H5597" s="164">
        <v>0</v>
      </c>
      <c r="I5597" s="164">
        <v>0</v>
      </c>
      <c r="J5597" s="164">
        <v>0</v>
      </c>
    </row>
    <row r="5598" spans="1:10">
      <c r="A5598" s="88" t="s">
        <v>108</v>
      </c>
      <c r="B5598" s="88" t="s">
        <v>35</v>
      </c>
      <c r="C5598" s="159">
        <v>0.76111111111111096</v>
      </c>
      <c r="D5598" s="73">
        <v>0</v>
      </c>
      <c r="E5598" s="73">
        <v>0</v>
      </c>
      <c r="F5598" s="73">
        <v>0</v>
      </c>
      <c r="G5598" s="73">
        <v>0</v>
      </c>
      <c r="H5598" s="73">
        <v>0</v>
      </c>
      <c r="I5598" s="73">
        <v>0</v>
      </c>
      <c r="J5598" s="73">
        <v>0</v>
      </c>
    </row>
    <row r="5599" spans="1:10">
      <c r="A5599" s="88" t="s">
        <v>108</v>
      </c>
      <c r="B5599" s="88" t="s">
        <v>35</v>
      </c>
      <c r="C5599" s="159">
        <v>0.76180555555555496</v>
      </c>
      <c r="D5599" s="73">
        <v>0</v>
      </c>
      <c r="E5599" s="73">
        <v>0</v>
      </c>
      <c r="F5599" s="73">
        <v>0</v>
      </c>
      <c r="G5599" s="73">
        <v>0</v>
      </c>
      <c r="H5599" s="73">
        <v>0</v>
      </c>
      <c r="I5599" s="73">
        <v>0</v>
      </c>
      <c r="J5599" s="73">
        <v>0</v>
      </c>
    </row>
    <row r="5600" spans="1:10">
      <c r="A5600" s="88" t="s">
        <v>108</v>
      </c>
      <c r="B5600" s="88" t="s">
        <v>35</v>
      </c>
      <c r="C5600" s="159">
        <v>0.76249999999999996</v>
      </c>
      <c r="D5600" s="73">
        <v>0</v>
      </c>
      <c r="E5600" s="73">
        <v>0</v>
      </c>
      <c r="F5600" s="73">
        <v>0</v>
      </c>
      <c r="G5600" s="73">
        <v>0</v>
      </c>
      <c r="H5600" s="73">
        <v>0</v>
      </c>
      <c r="I5600" s="73">
        <v>0</v>
      </c>
      <c r="J5600" s="73">
        <v>0</v>
      </c>
    </row>
    <row r="5601" spans="1:10">
      <c r="A5601" s="88" t="s">
        <v>108</v>
      </c>
      <c r="B5601" s="88" t="s">
        <v>35</v>
      </c>
      <c r="C5601" s="159">
        <v>0.76319444444444395</v>
      </c>
      <c r="D5601" s="73">
        <v>0</v>
      </c>
      <c r="E5601" s="73">
        <v>0</v>
      </c>
      <c r="F5601" s="73">
        <v>0</v>
      </c>
      <c r="G5601" s="73">
        <v>0</v>
      </c>
      <c r="H5601" s="73">
        <v>0</v>
      </c>
      <c r="I5601" s="73">
        <v>0</v>
      </c>
      <c r="J5601" s="73">
        <v>0</v>
      </c>
    </row>
    <row r="5602" spans="1:10">
      <c r="A5602" s="88" t="s">
        <v>108</v>
      </c>
      <c r="B5602" s="88" t="s">
        <v>35</v>
      </c>
      <c r="C5602" s="159">
        <v>0.76388888888888895</v>
      </c>
      <c r="D5602" s="73">
        <v>0</v>
      </c>
      <c r="E5602" s="73">
        <v>0</v>
      </c>
      <c r="F5602" s="73">
        <v>0</v>
      </c>
      <c r="G5602" s="73">
        <v>0</v>
      </c>
      <c r="H5602" s="73">
        <v>0</v>
      </c>
      <c r="I5602" s="73">
        <v>0</v>
      </c>
      <c r="J5602" s="73">
        <v>0</v>
      </c>
    </row>
    <row r="5603" spans="1:10">
      <c r="A5603" s="88" t="s">
        <v>108</v>
      </c>
      <c r="B5603" s="88" t="s">
        <v>35</v>
      </c>
      <c r="C5603" s="159">
        <v>0.76458333333333295</v>
      </c>
      <c r="D5603" s="73">
        <v>0</v>
      </c>
      <c r="E5603" s="73">
        <v>0</v>
      </c>
      <c r="F5603" s="73">
        <v>0</v>
      </c>
      <c r="G5603" s="73">
        <v>0</v>
      </c>
      <c r="H5603" s="73">
        <v>0</v>
      </c>
      <c r="I5603" s="73">
        <v>0</v>
      </c>
      <c r="J5603" s="73">
        <v>0</v>
      </c>
    </row>
    <row r="5604" spans="1:10">
      <c r="A5604" s="88" t="s">
        <v>108</v>
      </c>
      <c r="B5604" s="88" t="s">
        <v>35</v>
      </c>
      <c r="C5604" s="159">
        <v>0.76527777777777795</v>
      </c>
      <c r="D5604" s="73">
        <v>0</v>
      </c>
      <c r="E5604" s="73">
        <v>0</v>
      </c>
      <c r="F5604" s="73">
        <v>0</v>
      </c>
      <c r="G5604" s="73">
        <v>0</v>
      </c>
      <c r="H5604" s="73">
        <v>0</v>
      </c>
      <c r="I5604" s="73">
        <v>0</v>
      </c>
      <c r="J5604" s="73">
        <v>0</v>
      </c>
    </row>
    <row r="5605" spans="1:10">
      <c r="A5605" s="88" t="s">
        <v>108</v>
      </c>
      <c r="B5605" s="88" t="s">
        <v>35</v>
      </c>
      <c r="C5605" s="159">
        <v>0.76597222222222205</v>
      </c>
      <c r="D5605" s="73">
        <v>0</v>
      </c>
      <c r="E5605" s="73">
        <v>0</v>
      </c>
      <c r="F5605" s="73">
        <v>0</v>
      </c>
      <c r="G5605" s="73">
        <v>0</v>
      </c>
      <c r="H5605" s="73">
        <v>0</v>
      </c>
      <c r="I5605" s="73">
        <v>0</v>
      </c>
      <c r="J5605" s="73">
        <v>0</v>
      </c>
    </row>
    <row r="5606" spans="1:10">
      <c r="A5606" s="88" t="s">
        <v>108</v>
      </c>
      <c r="B5606" s="88" t="s">
        <v>35</v>
      </c>
      <c r="C5606" s="159">
        <v>0.76666666666666605</v>
      </c>
      <c r="D5606" s="73">
        <v>0</v>
      </c>
      <c r="E5606" s="73">
        <v>0</v>
      </c>
      <c r="F5606" s="73">
        <v>0</v>
      </c>
      <c r="G5606" s="73">
        <v>0</v>
      </c>
      <c r="H5606" s="73">
        <v>0</v>
      </c>
      <c r="I5606" s="73">
        <v>0</v>
      </c>
      <c r="J5606" s="73">
        <v>0</v>
      </c>
    </row>
    <row r="5607" spans="1:10">
      <c r="A5607" s="88" t="s">
        <v>108</v>
      </c>
      <c r="B5607" s="88" t="s">
        <v>35</v>
      </c>
      <c r="C5607" s="159">
        <v>0.76736111111111105</v>
      </c>
      <c r="D5607" s="73">
        <v>0</v>
      </c>
      <c r="E5607" s="73">
        <v>0</v>
      </c>
      <c r="F5607" s="73">
        <v>0</v>
      </c>
      <c r="G5607" s="73">
        <v>0</v>
      </c>
      <c r="H5607" s="73">
        <v>0</v>
      </c>
      <c r="I5607" s="73">
        <v>0</v>
      </c>
      <c r="J5607" s="73">
        <v>0</v>
      </c>
    </row>
    <row r="5608" spans="1:10">
      <c r="A5608" s="88" t="s">
        <v>108</v>
      </c>
      <c r="B5608" s="88" t="s">
        <v>35</v>
      </c>
      <c r="C5608" s="159">
        <v>0.76805555555555505</v>
      </c>
      <c r="D5608" s="73">
        <v>0</v>
      </c>
      <c r="E5608" s="73">
        <v>0</v>
      </c>
      <c r="F5608" s="73">
        <v>0</v>
      </c>
      <c r="G5608" s="73">
        <v>0</v>
      </c>
      <c r="H5608" s="73">
        <v>0</v>
      </c>
      <c r="I5608" s="73">
        <v>0</v>
      </c>
      <c r="J5608" s="73">
        <v>0</v>
      </c>
    </row>
    <row r="5609" spans="1:10">
      <c r="A5609" s="88" t="s">
        <v>108</v>
      </c>
      <c r="B5609" s="88" t="s">
        <v>35</v>
      </c>
      <c r="C5609" s="159">
        <v>0.76875000000000004</v>
      </c>
      <c r="D5609" s="73">
        <v>0</v>
      </c>
      <c r="E5609" s="73">
        <v>0</v>
      </c>
      <c r="F5609" s="73">
        <v>0</v>
      </c>
      <c r="G5609" s="73">
        <v>0</v>
      </c>
      <c r="H5609" s="73">
        <v>0</v>
      </c>
      <c r="I5609" s="73">
        <v>0</v>
      </c>
      <c r="J5609" s="73">
        <v>0</v>
      </c>
    </row>
    <row r="5610" spans="1:10">
      <c r="A5610" s="88" t="s">
        <v>108</v>
      </c>
      <c r="B5610" s="88" t="s">
        <v>35</v>
      </c>
      <c r="C5610" s="159">
        <v>0.76944444444444404</v>
      </c>
      <c r="D5610" s="73">
        <v>0</v>
      </c>
      <c r="E5610" s="73">
        <v>0</v>
      </c>
      <c r="F5610" s="73">
        <v>0</v>
      </c>
      <c r="G5610" s="73">
        <v>0</v>
      </c>
      <c r="H5610" s="73">
        <v>0</v>
      </c>
      <c r="I5610" s="73">
        <v>0</v>
      </c>
      <c r="J5610" s="73">
        <v>0</v>
      </c>
    </row>
    <row r="5611" spans="1:10" s="80" customFormat="1">
      <c r="A5611" s="91" t="s">
        <v>108</v>
      </c>
      <c r="B5611" s="91" t="s">
        <v>35</v>
      </c>
      <c r="C5611" s="161">
        <v>0.77013888888888904</v>
      </c>
      <c r="D5611" s="163">
        <v>0</v>
      </c>
      <c r="E5611" s="163">
        <v>0</v>
      </c>
      <c r="F5611" s="163">
        <v>0</v>
      </c>
      <c r="G5611" s="163">
        <v>0</v>
      </c>
      <c r="H5611" s="163">
        <v>0</v>
      </c>
      <c r="I5611" s="163">
        <v>0</v>
      </c>
      <c r="J5611" s="163">
        <v>0</v>
      </c>
    </row>
    <row r="5612" spans="1:10">
      <c r="A5612" s="88" t="s">
        <v>108</v>
      </c>
      <c r="B5612" s="88" t="s">
        <v>35</v>
      </c>
      <c r="C5612" s="159">
        <v>0.77083333333333304</v>
      </c>
      <c r="D5612" s="164">
        <v>0</v>
      </c>
      <c r="E5612" s="164">
        <v>0</v>
      </c>
      <c r="F5612" s="164">
        <v>0</v>
      </c>
      <c r="G5612" s="164">
        <v>0</v>
      </c>
      <c r="H5612" s="164">
        <v>0</v>
      </c>
      <c r="I5612" s="164">
        <v>0</v>
      </c>
      <c r="J5612" s="164">
        <v>0</v>
      </c>
    </row>
    <row r="5613" spans="1:10">
      <c r="A5613" s="88" t="s">
        <v>108</v>
      </c>
      <c r="B5613" s="88" t="s">
        <v>35</v>
      </c>
      <c r="C5613" s="159">
        <v>0.77152777777777803</v>
      </c>
      <c r="D5613" s="73">
        <v>0</v>
      </c>
      <c r="E5613" s="73">
        <v>0</v>
      </c>
      <c r="F5613" s="73">
        <v>0</v>
      </c>
      <c r="G5613" s="73">
        <v>0</v>
      </c>
      <c r="H5613" s="73">
        <v>0</v>
      </c>
      <c r="I5613" s="73">
        <v>0</v>
      </c>
      <c r="J5613" s="73">
        <v>0</v>
      </c>
    </row>
    <row r="5614" spans="1:10">
      <c r="A5614" s="88" t="s">
        <v>108</v>
      </c>
      <c r="B5614" s="88" t="s">
        <v>35</v>
      </c>
      <c r="C5614" s="159">
        <v>0.77222222222222203</v>
      </c>
      <c r="D5614" s="73">
        <v>0</v>
      </c>
      <c r="E5614" s="73">
        <v>0</v>
      </c>
      <c r="F5614" s="73">
        <v>0</v>
      </c>
      <c r="G5614" s="73">
        <v>0</v>
      </c>
      <c r="H5614" s="73">
        <v>0</v>
      </c>
      <c r="I5614" s="73">
        <v>0</v>
      </c>
      <c r="J5614" s="73">
        <v>0</v>
      </c>
    </row>
    <row r="5615" spans="1:10">
      <c r="A5615" s="88" t="s">
        <v>108</v>
      </c>
      <c r="B5615" s="88" t="s">
        <v>35</v>
      </c>
      <c r="C5615" s="159">
        <v>0.77291666666666603</v>
      </c>
      <c r="D5615" s="73">
        <v>0</v>
      </c>
      <c r="E5615" s="73">
        <v>0</v>
      </c>
      <c r="F5615" s="73">
        <v>0</v>
      </c>
      <c r="G5615" s="73">
        <v>0</v>
      </c>
      <c r="H5615" s="73">
        <v>0</v>
      </c>
      <c r="I5615" s="73">
        <v>0</v>
      </c>
      <c r="J5615" s="73">
        <v>0</v>
      </c>
    </row>
    <row r="5616" spans="1:10">
      <c r="A5616" s="88" t="s">
        <v>108</v>
      </c>
      <c r="B5616" s="88" t="s">
        <v>35</v>
      </c>
      <c r="C5616" s="159">
        <v>0.77361111111111103</v>
      </c>
      <c r="D5616" s="73">
        <v>0</v>
      </c>
      <c r="E5616" s="73">
        <v>0</v>
      </c>
      <c r="F5616" s="73">
        <v>0</v>
      </c>
      <c r="G5616" s="73">
        <v>0</v>
      </c>
      <c r="H5616" s="73">
        <v>0</v>
      </c>
      <c r="I5616" s="73">
        <v>0</v>
      </c>
      <c r="J5616" s="73">
        <v>0</v>
      </c>
    </row>
    <row r="5617" spans="1:10">
      <c r="A5617" s="88" t="s">
        <v>108</v>
      </c>
      <c r="B5617" s="88" t="s">
        <v>35</v>
      </c>
      <c r="C5617" s="159">
        <v>0.77430555555555503</v>
      </c>
      <c r="D5617" s="73">
        <v>0</v>
      </c>
      <c r="E5617" s="73">
        <v>0</v>
      </c>
      <c r="F5617" s="73">
        <v>0</v>
      </c>
      <c r="G5617" s="73">
        <v>0</v>
      </c>
      <c r="H5617" s="73">
        <v>0</v>
      </c>
      <c r="I5617" s="73">
        <v>0</v>
      </c>
      <c r="J5617" s="73">
        <v>0</v>
      </c>
    </row>
    <row r="5618" spans="1:10">
      <c r="A5618" s="88" t="s">
        <v>108</v>
      </c>
      <c r="B5618" s="88" t="s">
        <v>35</v>
      </c>
      <c r="C5618" s="159">
        <v>0.77500000000000002</v>
      </c>
      <c r="D5618" s="73">
        <v>0</v>
      </c>
      <c r="E5618" s="73">
        <v>0</v>
      </c>
      <c r="F5618" s="73">
        <v>0</v>
      </c>
      <c r="G5618" s="73">
        <v>0</v>
      </c>
      <c r="H5618" s="73">
        <v>0</v>
      </c>
      <c r="I5618" s="73">
        <v>0</v>
      </c>
      <c r="J5618" s="73">
        <v>0</v>
      </c>
    </row>
    <row r="5619" spans="1:10">
      <c r="A5619" s="88" t="s">
        <v>108</v>
      </c>
      <c r="B5619" s="88" t="s">
        <v>35</v>
      </c>
      <c r="C5619" s="159">
        <v>0.77569444444444402</v>
      </c>
      <c r="D5619" s="73">
        <v>0</v>
      </c>
      <c r="E5619" s="73">
        <v>0</v>
      </c>
      <c r="F5619" s="73">
        <v>0</v>
      </c>
      <c r="G5619" s="73">
        <v>0</v>
      </c>
      <c r="H5619" s="73">
        <v>0</v>
      </c>
      <c r="I5619" s="73">
        <v>0</v>
      </c>
      <c r="J5619" s="73">
        <v>0</v>
      </c>
    </row>
    <row r="5620" spans="1:10">
      <c r="A5620" s="88" t="s">
        <v>108</v>
      </c>
      <c r="B5620" s="88" t="s">
        <v>35</v>
      </c>
      <c r="C5620" s="159">
        <v>0.77638888888888902</v>
      </c>
      <c r="D5620" s="73">
        <v>0</v>
      </c>
      <c r="E5620" s="73">
        <v>0</v>
      </c>
      <c r="F5620" s="73">
        <v>0</v>
      </c>
      <c r="G5620" s="73">
        <v>0</v>
      </c>
      <c r="H5620" s="73">
        <v>0</v>
      </c>
      <c r="I5620" s="73">
        <v>0</v>
      </c>
      <c r="J5620" s="73">
        <v>0</v>
      </c>
    </row>
    <row r="5621" spans="1:10">
      <c r="A5621" s="88" t="s">
        <v>108</v>
      </c>
      <c r="B5621" s="88" t="s">
        <v>35</v>
      </c>
      <c r="C5621" s="159">
        <v>0.77708333333333302</v>
      </c>
      <c r="D5621" s="73">
        <v>0</v>
      </c>
      <c r="E5621" s="73">
        <v>0</v>
      </c>
      <c r="F5621" s="73">
        <v>0</v>
      </c>
      <c r="G5621" s="73">
        <v>0</v>
      </c>
      <c r="H5621" s="73">
        <v>0</v>
      </c>
      <c r="I5621" s="73">
        <v>0</v>
      </c>
      <c r="J5621" s="73">
        <v>0</v>
      </c>
    </row>
    <row r="5622" spans="1:10">
      <c r="A5622" s="88" t="s">
        <v>108</v>
      </c>
      <c r="B5622" s="88" t="s">
        <v>35</v>
      </c>
      <c r="C5622" s="159">
        <v>0.77777777777777801</v>
      </c>
      <c r="D5622" s="73">
        <v>0</v>
      </c>
      <c r="E5622" s="73">
        <v>0</v>
      </c>
      <c r="F5622" s="73">
        <v>0</v>
      </c>
      <c r="G5622" s="73">
        <v>0</v>
      </c>
      <c r="H5622" s="73">
        <v>0</v>
      </c>
      <c r="I5622" s="73">
        <v>0</v>
      </c>
      <c r="J5622" s="73">
        <v>0</v>
      </c>
    </row>
    <row r="5623" spans="1:10">
      <c r="A5623" s="88" t="s">
        <v>108</v>
      </c>
      <c r="B5623" s="88" t="s">
        <v>35</v>
      </c>
      <c r="C5623" s="159">
        <v>0.77847222222222201</v>
      </c>
      <c r="D5623" s="73">
        <v>0</v>
      </c>
      <c r="E5623" s="73">
        <v>0</v>
      </c>
      <c r="F5623" s="73">
        <v>0</v>
      </c>
      <c r="G5623" s="73">
        <v>0</v>
      </c>
      <c r="H5623" s="73">
        <v>0</v>
      </c>
      <c r="I5623" s="73">
        <v>0</v>
      </c>
      <c r="J5623" s="73">
        <v>0</v>
      </c>
    </row>
    <row r="5624" spans="1:10">
      <c r="A5624" s="88" t="s">
        <v>108</v>
      </c>
      <c r="B5624" s="88" t="s">
        <v>35</v>
      </c>
      <c r="C5624" s="159">
        <v>0.77916666666666601</v>
      </c>
      <c r="D5624" s="73">
        <v>0</v>
      </c>
      <c r="E5624" s="73">
        <v>0</v>
      </c>
      <c r="F5624" s="73">
        <v>0</v>
      </c>
      <c r="G5624" s="73">
        <v>0</v>
      </c>
      <c r="H5624" s="73">
        <v>0</v>
      </c>
      <c r="I5624" s="73">
        <v>0</v>
      </c>
      <c r="J5624" s="73">
        <v>0</v>
      </c>
    </row>
    <row r="5625" spans="1:10">
      <c r="A5625" s="88" t="s">
        <v>108</v>
      </c>
      <c r="B5625" s="88" t="s">
        <v>35</v>
      </c>
      <c r="C5625" s="159">
        <v>0.77986111111111101</v>
      </c>
      <c r="D5625" s="73">
        <v>0</v>
      </c>
      <c r="E5625" s="73">
        <v>0</v>
      </c>
      <c r="F5625" s="73">
        <v>0</v>
      </c>
      <c r="G5625" s="73">
        <v>0</v>
      </c>
      <c r="H5625" s="73">
        <v>0</v>
      </c>
      <c r="I5625" s="73">
        <v>0</v>
      </c>
      <c r="J5625" s="73">
        <v>0</v>
      </c>
    </row>
    <row r="5626" spans="1:10" s="80" customFormat="1">
      <c r="A5626" s="91" t="s">
        <v>108</v>
      </c>
      <c r="B5626" s="91" t="s">
        <v>35</v>
      </c>
      <c r="C5626" s="161">
        <v>0.780555555555555</v>
      </c>
      <c r="D5626" s="163">
        <v>0</v>
      </c>
      <c r="E5626" s="163">
        <v>0</v>
      </c>
      <c r="F5626" s="163">
        <v>0</v>
      </c>
      <c r="G5626" s="163">
        <v>0</v>
      </c>
      <c r="H5626" s="163">
        <v>0</v>
      </c>
      <c r="I5626" s="163">
        <v>0</v>
      </c>
      <c r="J5626" s="163">
        <v>0</v>
      </c>
    </row>
    <row r="5627" spans="1:10">
      <c r="A5627" s="88" t="s">
        <v>108</v>
      </c>
      <c r="B5627" s="88" t="s">
        <v>35</v>
      </c>
      <c r="C5627" s="159">
        <v>0.78125</v>
      </c>
      <c r="D5627" s="164">
        <v>0</v>
      </c>
      <c r="E5627" s="164">
        <v>0</v>
      </c>
      <c r="F5627" s="164">
        <v>0</v>
      </c>
      <c r="G5627" s="164">
        <v>0</v>
      </c>
      <c r="H5627" s="164">
        <v>0</v>
      </c>
      <c r="I5627" s="164">
        <v>0</v>
      </c>
      <c r="J5627" s="164">
        <v>0</v>
      </c>
    </row>
    <row r="5628" spans="1:10">
      <c r="A5628" s="88" t="s">
        <v>108</v>
      </c>
      <c r="B5628" s="88" t="s">
        <v>35</v>
      </c>
      <c r="C5628" s="159">
        <v>0.781944444444444</v>
      </c>
      <c r="D5628" s="73">
        <v>0</v>
      </c>
      <c r="E5628" s="73">
        <v>0</v>
      </c>
      <c r="F5628" s="73">
        <v>0</v>
      </c>
      <c r="G5628" s="73">
        <v>0</v>
      </c>
      <c r="H5628" s="73">
        <v>0</v>
      </c>
      <c r="I5628" s="73">
        <v>0</v>
      </c>
      <c r="J5628" s="73">
        <v>0</v>
      </c>
    </row>
    <row r="5629" spans="1:10">
      <c r="A5629" s="88" t="s">
        <v>108</v>
      </c>
      <c r="B5629" s="88" t="s">
        <v>35</v>
      </c>
      <c r="C5629" s="159">
        <v>0.78263888888888899</v>
      </c>
      <c r="D5629" s="73">
        <v>0</v>
      </c>
      <c r="E5629" s="73">
        <v>0</v>
      </c>
      <c r="F5629" s="73">
        <v>0</v>
      </c>
      <c r="G5629" s="73">
        <v>0</v>
      </c>
      <c r="H5629" s="73">
        <v>0</v>
      </c>
      <c r="I5629" s="73">
        <v>0</v>
      </c>
      <c r="J5629" s="73">
        <v>0</v>
      </c>
    </row>
    <row r="5630" spans="1:10">
      <c r="A5630" s="88" t="s">
        <v>108</v>
      </c>
      <c r="B5630" s="88" t="s">
        <v>35</v>
      </c>
      <c r="C5630" s="159">
        <v>0.78333333333333299</v>
      </c>
      <c r="D5630" s="73">
        <v>0</v>
      </c>
      <c r="E5630" s="73">
        <v>0</v>
      </c>
      <c r="F5630" s="73">
        <v>0</v>
      </c>
      <c r="G5630" s="73">
        <v>0</v>
      </c>
      <c r="H5630" s="73">
        <v>0</v>
      </c>
      <c r="I5630" s="73">
        <v>0</v>
      </c>
      <c r="J5630" s="73">
        <v>0</v>
      </c>
    </row>
    <row r="5631" spans="1:10">
      <c r="A5631" s="88" t="s">
        <v>108</v>
      </c>
      <c r="B5631" s="88" t="s">
        <v>35</v>
      </c>
      <c r="C5631" s="159">
        <v>0.78402777777777799</v>
      </c>
      <c r="D5631" s="73">
        <v>0</v>
      </c>
      <c r="E5631" s="73">
        <v>0</v>
      </c>
      <c r="F5631" s="73">
        <v>0</v>
      </c>
      <c r="G5631" s="73">
        <v>0</v>
      </c>
      <c r="H5631" s="73">
        <v>0</v>
      </c>
      <c r="I5631" s="73">
        <v>0</v>
      </c>
      <c r="J5631" s="73">
        <v>0</v>
      </c>
    </row>
    <row r="5632" spans="1:10">
      <c r="A5632" s="88" t="s">
        <v>108</v>
      </c>
      <c r="B5632" s="88" t="s">
        <v>35</v>
      </c>
      <c r="C5632" s="159">
        <v>0.78472222222222199</v>
      </c>
      <c r="D5632" s="73">
        <v>0</v>
      </c>
      <c r="E5632" s="73">
        <v>0</v>
      </c>
      <c r="F5632" s="73">
        <v>0</v>
      </c>
      <c r="G5632" s="73">
        <v>0</v>
      </c>
      <c r="H5632" s="73">
        <v>0</v>
      </c>
      <c r="I5632" s="73">
        <v>0</v>
      </c>
      <c r="J5632" s="73">
        <v>0</v>
      </c>
    </row>
    <row r="5633" spans="1:10">
      <c r="A5633" s="88" t="s">
        <v>108</v>
      </c>
      <c r="B5633" s="88" t="s">
        <v>35</v>
      </c>
      <c r="C5633" s="159">
        <v>0.78541666666666599</v>
      </c>
      <c r="D5633" s="73">
        <v>0</v>
      </c>
      <c r="E5633" s="73">
        <v>0</v>
      </c>
      <c r="F5633" s="73">
        <v>0</v>
      </c>
      <c r="G5633" s="73">
        <v>0</v>
      </c>
      <c r="H5633" s="73">
        <v>0</v>
      </c>
      <c r="I5633" s="73">
        <v>0</v>
      </c>
      <c r="J5633" s="73">
        <v>0</v>
      </c>
    </row>
    <row r="5634" spans="1:10">
      <c r="A5634" s="88" t="s">
        <v>108</v>
      </c>
      <c r="B5634" s="88" t="s">
        <v>35</v>
      </c>
      <c r="C5634" s="159">
        <v>0.78611111111111098</v>
      </c>
      <c r="D5634" s="73">
        <v>0</v>
      </c>
      <c r="E5634" s="73">
        <v>0</v>
      </c>
      <c r="F5634" s="73">
        <v>0</v>
      </c>
      <c r="G5634" s="73">
        <v>0</v>
      </c>
      <c r="H5634" s="73">
        <v>0</v>
      </c>
      <c r="I5634" s="73">
        <v>0</v>
      </c>
      <c r="J5634" s="73">
        <v>0</v>
      </c>
    </row>
    <row r="5635" spans="1:10">
      <c r="A5635" s="88" t="s">
        <v>108</v>
      </c>
      <c r="B5635" s="88" t="s">
        <v>35</v>
      </c>
      <c r="C5635" s="159">
        <v>0.78680555555555498</v>
      </c>
      <c r="D5635" s="73">
        <v>0</v>
      </c>
      <c r="E5635" s="73">
        <v>0</v>
      </c>
      <c r="F5635" s="73">
        <v>0</v>
      </c>
      <c r="G5635" s="73">
        <v>0</v>
      </c>
      <c r="H5635" s="73">
        <v>0</v>
      </c>
      <c r="I5635" s="73">
        <v>0</v>
      </c>
      <c r="J5635" s="73">
        <v>0</v>
      </c>
    </row>
    <row r="5636" spans="1:10">
      <c r="A5636" s="88" t="s">
        <v>108</v>
      </c>
      <c r="B5636" s="88" t="s">
        <v>35</v>
      </c>
      <c r="C5636" s="159">
        <v>0.78749999999999998</v>
      </c>
      <c r="D5636" s="73">
        <v>0</v>
      </c>
      <c r="E5636" s="73">
        <v>0</v>
      </c>
      <c r="F5636" s="73">
        <v>0</v>
      </c>
      <c r="G5636" s="73">
        <v>0</v>
      </c>
      <c r="H5636" s="73">
        <v>0</v>
      </c>
      <c r="I5636" s="73">
        <v>0</v>
      </c>
      <c r="J5636" s="73">
        <v>0</v>
      </c>
    </row>
    <row r="5637" spans="1:10">
      <c r="A5637" s="88" t="s">
        <v>108</v>
      </c>
      <c r="B5637" s="88" t="s">
        <v>35</v>
      </c>
      <c r="C5637" s="159">
        <v>0.78819444444444398</v>
      </c>
      <c r="D5637" s="73">
        <v>0</v>
      </c>
      <c r="E5637" s="73">
        <v>0</v>
      </c>
      <c r="F5637" s="73">
        <v>0</v>
      </c>
      <c r="G5637" s="73">
        <v>0</v>
      </c>
      <c r="H5637" s="73">
        <v>0</v>
      </c>
      <c r="I5637" s="73">
        <v>0</v>
      </c>
      <c r="J5637" s="73">
        <v>0</v>
      </c>
    </row>
    <row r="5638" spans="1:10">
      <c r="A5638" s="88" t="s">
        <v>108</v>
      </c>
      <c r="B5638" s="88" t="s">
        <v>35</v>
      </c>
      <c r="C5638" s="159">
        <v>0.78888888888888897</v>
      </c>
      <c r="D5638" s="73">
        <v>0</v>
      </c>
      <c r="E5638" s="73">
        <v>0</v>
      </c>
      <c r="F5638" s="73">
        <v>0</v>
      </c>
      <c r="G5638" s="73">
        <v>0</v>
      </c>
      <c r="H5638" s="73">
        <v>0</v>
      </c>
      <c r="I5638" s="73">
        <v>0</v>
      </c>
      <c r="J5638" s="73">
        <v>0</v>
      </c>
    </row>
    <row r="5639" spans="1:10">
      <c r="A5639" s="88" t="s">
        <v>108</v>
      </c>
      <c r="B5639" s="88" t="s">
        <v>35</v>
      </c>
      <c r="C5639" s="159">
        <v>0.78958333333333297</v>
      </c>
      <c r="D5639" s="73">
        <v>0</v>
      </c>
      <c r="E5639" s="73">
        <v>0</v>
      </c>
      <c r="F5639" s="73">
        <v>0</v>
      </c>
      <c r="G5639" s="73">
        <v>0</v>
      </c>
      <c r="H5639" s="73">
        <v>0</v>
      </c>
      <c r="I5639" s="73">
        <v>0</v>
      </c>
      <c r="J5639" s="73">
        <v>0</v>
      </c>
    </row>
    <row r="5640" spans="1:10">
      <c r="A5640" s="88" t="s">
        <v>108</v>
      </c>
      <c r="B5640" s="88" t="s">
        <v>35</v>
      </c>
      <c r="C5640" s="159">
        <v>0.79027777777777797</v>
      </c>
      <c r="D5640" s="73">
        <v>0</v>
      </c>
      <c r="E5640" s="73">
        <v>0</v>
      </c>
      <c r="F5640" s="73">
        <v>0</v>
      </c>
      <c r="G5640" s="73">
        <v>0</v>
      </c>
      <c r="H5640" s="73">
        <v>0</v>
      </c>
      <c r="I5640" s="73">
        <v>0</v>
      </c>
      <c r="J5640" s="73">
        <v>0</v>
      </c>
    </row>
    <row r="5641" spans="1:10" s="28" customFormat="1" ht="17.5" thickBot="1">
      <c r="A5641" s="103" t="s">
        <v>108</v>
      </c>
      <c r="B5641" s="103" t="s">
        <v>35</v>
      </c>
      <c r="C5641" s="160">
        <v>0.83194444444444504</v>
      </c>
      <c r="D5641" s="165">
        <v>0</v>
      </c>
      <c r="E5641" s="165">
        <v>0</v>
      </c>
      <c r="F5641" s="165">
        <v>0</v>
      </c>
      <c r="G5641" s="165">
        <v>0</v>
      </c>
      <c r="H5641" s="165">
        <v>0</v>
      </c>
      <c r="I5641" s="165">
        <v>0</v>
      </c>
      <c r="J5641" s="165">
        <v>0</v>
      </c>
    </row>
    <row r="5642" spans="1:10">
      <c r="A5642" s="88" t="s">
        <v>108</v>
      </c>
      <c r="B5642" s="88" t="s">
        <v>36</v>
      </c>
      <c r="C5642" s="159">
        <v>0.70833333333333337</v>
      </c>
      <c r="D5642" s="162">
        <v>0</v>
      </c>
      <c r="E5642" s="162">
        <v>0</v>
      </c>
      <c r="F5642" s="162">
        <v>0</v>
      </c>
      <c r="G5642" s="162">
        <v>0</v>
      </c>
      <c r="H5642" s="162">
        <v>0</v>
      </c>
      <c r="I5642" s="162">
        <v>0</v>
      </c>
      <c r="J5642" s="162">
        <v>0</v>
      </c>
    </row>
    <row r="5643" spans="1:10">
      <c r="A5643" s="88" t="s">
        <v>108</v>
      </c>
      <c r="B5643" s="88" t="s">
        <v>36</v>
      </c>
      <c r="C5643" s="159">
        <v>0.70902777777777781</v>
      </c>
      <c r="D5643" s="73">
        <v>0</v>
      </c>
      <c r="E5643" s="73">
        <v>0</v>
      </c>
      <c r="F5643" s="73">
        <v>0</v>
      </c>
      <c r="G5643" s="73">
        <v>0</v>
      </c>
      <c r="H5643" s="73">
        <v>0</v>
      </c>
      <c r="I5643" s="73">
        <v>0</v>
      </c>
      <c r="J5643" s="73">
        <v>0</v>
      </c>
    </row>
    <row r="5644" spans="1:10">
      <c r="A5644" s="88" t="s">
        <v>108</v>
      </c>
      <c r="B5644" s="88" t="s">
        <v>36</v>
      </c>
      <c r="C5644" s="159">
        <v>0.70972222222222203</v>
      </c>
      <c r="D5644" s="73">
        <v>0</v>
      </c>
      <c r="E5644" s="73">
        <v>0</v>
      </c>
      <c r="F5644" s="73">
        <v>0</v>
      </c>
      <c r="G5644" s="73">
        <v>0</v>
      </c>
      <c r="H5644" s="73">
        <v>0</v>
      </c>
      <c r="I5644" s="73">
        <v>0</v>
      </c>
      <c r="J5644" s="73">
        <v>0</v>
      </c>
    </row>
    <row r="5645" spans="1:10">
      <c r="A5645" s="88" t="s">
        <v>108</v>
      </c>
      <c r="B5645" s="88" t="s">
        <v>36</v>
      </c>
      <c r="C5645" s="159">
        <v>0.71041666666666703</v>
      </c>
      <c r="D5645" s="73">
        <v>0</v>
      </c>
      <c r="E5645" s="73">
        <v>0</v>
      </c>
      <c r="F5645" s="73">
        <v>0</v>
      </c>
      <c r="G5645" s="73">
        <v>0</v>
      </c>
      <c r="H5645" s="73">
        <v>0</v>
      </c>
      <c r="I5645" s="73">
        <v>0</v>
      </c>
      <c r="J5645" s="73">
        <v>0</v>
      </c>
    </row>
    <row r="5646" spans="1:10">
      <c r="A5646" s="88" t="s">
        <v>108</v>
      </c>
      <c r="B5646" s="88" t="s">
        <v>36</v>
      </c>
      <c r="C5646" s="159">
        <v>0.71111111111111103</v>
      </c>
      <c r="D5646" s="73">
        <v>0</v>
      </c>
      <c r="E5646" s="73">
        <v>0</v>
      </c>
      <c r="F5646" s="73">
        <v>0</v>
      </c>
      <c r="G5646" s="73">
        <v>0</v>
      </c>
      <c r="H5646" s="73">
        <v>0</v>
      </c>
      <c r="I5646" s="73">
        <v>0</v>
      </c>
      <c r="J5646" s="73">
        <v>0</v>
      </c>
    </row>
    <row r="5647" spans="1:10">
      <c r="A5647" s="88" t="s">
        <v>108</v>
      </c>
      <c r="B5647" s="88" t="s">
        <v>36</v>
      </c>
      <c r="C5647" s="159">
        <v>0.71180555555555602</v>
      </c>
      <c r="D5647" s="73">
        <v>0</v>
      </c>
      <c r="E5647" s="73">
        <v>0</v>
      </c>
      <c r="F5647" s="73">
        <v>0</v>
      </c>
      <c r="G5647" s="73">
        <v>0</v>
      </c>
      <c r="H5647" s="73">
        <v>0</v>
      </c>
      <c r="I5647" s="73">
        <v>0</v>
      </c>
      <c r="J5647" s="73">
        <v>0</v>
      </c>
    </row>
    <row r="5648" spans="1:10">
      <c r="A5648" s="88" t="s">
        <v>108</v>
      </c>
      <c r="B5648" s="88" t="s">
        <v>36</v>
      </c>
      <c r="C5648" s="159">
        <v>0.71250000000000002</v>
      </c>
      <c r="D5648" s="73">
        <v>0</v>
      </c>
      <c r="E5648" s="73">
        <v>0</v>
      </c>
      <c r="F5648" s="73">
        <v>0</v>
      </c>
      <c r="G5648" s="73">
        <v>0</v>
      </c>
      <c r="H5648" s="73">
        <v>0</v>
      </c>
      <c r="I5648" s="73">
        <v>0</v>
      </c>
      <c r="J5648" s="73">
        <v>0</v>
      </c>
    </row>
    <row r="5649" spans="1:10">
      <c r="A5649" s="88" t="s">
        <v>108</v>
      </c>
      <c r="B5649" s="88" t="s">
        <v>36</v>
      </c>
      <c r="C5649" s="159">
        <v>0.71319444444444402</v>
      </c>
      <c r="D5649" s="73">
        <v>0</v>
      </c>
      <c r="E5649" s="73">
        <v>0</v>
      </c>
      <c r="F5649" s="73">
        <v>0</v>
      </c>
      <c r="G5649" s="73">
        <v>0</v>
      </c>
      <c r="H5649" s="73">
        <v>0</v>
      </c>
      <c r="I5649" s="73">
        <v>0</v>
      </c>
      <c r="J5649" s="73">
        <v>0</v>
      </c>
    </row>
    <row r="5650" spans="1:10">
      <c r="A5650" s="88" t="s">
        <v>108</v>
      </c>
      <c r="B5650" s="88" t="s">
        <v>36</v>
      </c>
      <c r="C5650" s="159">
        <v>0.71388888888888902</v>
      </c>
      <c r="D5650" s="73">
        <v>0</v>
      </c>
      <c r="E5650" s="73">
        <v>0</v>
      </c>
      <c r="F5650" s="73">
        <v>0</v>
      </c>
      <c r="G5650" s="73">
        <v>0</v>
      </c>
      <c r="H5650" s="73">
        <v>0</v>
      </c>
      <c r="I5650" s="73">
        <v>0</v>
      </c>
      <c r="J5650" s="73">
        <v>0</v>
      </c>
    </row>
    <row r="5651" spans="1:10">
      <c r="A5651" s="88" t="s">
        <v>108</v>
      </c>
      <c r="B5651" s="88" t="s">
        <v>36</v>
      </c>
      <c r="C5651" s="159">
        <v>0.71458333333333302</v>
      </c>
      <c r="D5651" s="73">
        <v>0</v>
      </c>
      <c r="E5651" s="73">
        <v>0</v>
      </c>
      <c r="F5651" s="73">
        <v>0</v>
      </c>
      <c r="G5651" s="73">
        <v>0</v>
      </c>
      <c r="H5651" s="73">
        <v>0</v>
      </c>
      <c r="I5651" s="73">
        <v>0</v>
      </c>
      <c r="J5651" s="73">
        <v>0</v>
      </c>
    </row>
    <row r="5652" spans="1:10">
      <c r="A5652" s="88" t="s">
        <v>108</v>
      </c>
      <c r="B5652" s="88" t="s">
        <v>36</v>
      </c>
      <c r="C5652" s="159">
        <v>0.71527777777777801</v>
      </c>
      <c r="D5652" s="73">
        <v>0</v>
      </c>
      <c r="E5652" s="73">
        <v>0</v>
      </c>
      <c r="F5652" s="73">
        <v>0</v>
      </c>
      <c r="G5652" s="73">
        <v>0</v>
      </c>
      <c r="H5652" s="73">
        <v>0</v>
      </c>
      <c r="I5652" s="73">
        <v>0</v>
      </c>
      <c r="J5652" s="73">
        <v>0</v>
      </c>
    </row>
    <row r="5653" spans="1:10">
      <c r="A5653" s="88" t="s">
        <v>108</v>
      </c>
      <c r="B5653" s="88" t="s">
        <v>36</v>
      </c>
      <c r="C5653" s="159">
        <v>0.71597222222222201</v>
      </c>
      <c r="D5653" s="73">
        <v>0</v>
      </c>
      <c r="E5653" s="73">
        <v>0</v>
      </c>
      <c r="F5653" s="73">
        <v>0</v>
      </c>
      <c r="G5653" s="73">
        <v>0</v>
      </c>
      <c r="H5653" s="73">
        <v>0</v>
      </c>
      <c r="I5653" s="73">
        <v>0</v>
      </c>
      <c r="J5653" s="73">
        <v>0</v>
      </c>
    </row>
    <row r="5654" spans="1:10">
      <c r="A5654" s="88" t="s">
        <v>108</v>
      </c>
      <c r="B5654" s="88" t="s">
        <v>36</v>
      </c>
      <c r="C5654" s="159">
        <v>0.71666666666666701</v>
      </c>
      <c r="D5654" s="73">
        <v>0</v>
      </c>
      <c r="E5654" s="73">
        <v>0</v>
      </c>
      <c r="F5654" s="73">
        <v>0</v>
      </c>
      <c r="G5654" s="73">
        <v>0</v>
      </c>
      <c r="H5654" s="73">
        <v>0</v>
      </c>
      <c r="I5654" s="73">
        <v>0</v>
      </c>
      <c r="J5654" s="73">
        <v>0</v>
      </c>
    </row>
    <row r="5655" spans="1:10">
      <c r="A5655" s="88" t="s">
        <v>108</v>
      </c>
      <c r="B5655" s="88" t="s">
        <v>36</v>
      </c>
      <c r="C5655" s="159">
        <v>0.71736111111111101</v>
      </c>
      <c r="D5655" s="73">
        <v>0</v>
      </c>
      <c r="E5655" s="73">
        <v>0</v>
      </c>
      <c r="F5655" s="73">
        <v>0</v>
      </c>
      <c r="G5655" s="73">
        <v>0</v>
      </c>
      <c r="H5655" s="73">
        <v>0</v>
      </c>
      <c r="I5655" s="73">
        <v>0</v>
      </c>
      <c r="J5655" s="73">
        <v>0</v>
      </c>
    </row>
    <row r="5656" spans="1:10" s="80" customFormat="1">
      <c r="A5656" s="91" t="s">
        <v>108</v>
      </c>
      <c r="B5656" s="91" t="s">
        <v>36</v>
      </c>
      <c r="C5656" s="161">
        <v>0.718055555555556</v>
      </c>
      <c r="D5656" s="163">
        <v>0</v>
      </c>
      <c r="E5656" s="163">
        <v>0</v>
      </c>
      <c r="F5656" s="163">
        <v>0</v>
      </c>
      <c r="G5656" s="163">
        <v>0</v>
      </c>
      <c r="H5656" s="163">
        <v>0</v>
      </c>
      <c r="I5656" s="163">
        <v>0</v>
      </c>
      <c r="J5656" s="163">
        <v>0</v>
      </c>
    </row>
    <row r="5657" spans="1:10">
      <c r="A5657" s="88" t="s">
        <v>108</v>
      </c>
      <c r="B5657" s="88" t="s">
        <v>36</v>
      </c>
      <c r="C5657" s="159">
        <v>0.71875</v>
      </c>
      <c r="D5657" s="164">
        <v>0</v>
      </c>
      <c r="E5657" s="164">
        <v>0</v>
      </c>
      <c r="F5657" s="164">
        <v>0</v>
      </c>
      <c r="G5657" s="164">
        <v>0</v>
      </c>
      <c r="H5657" s="164">
        <v>0</v>
      </c>
      <c r="I5657" s="164">
        <v>0</v>
      </c>
      <c r="J5657" s="164">
        <v>0</v>
      </c>
    </row>
    <row r="5658" spans="1:10">
      <c r="A5658" s="88" t="s">
        <v>108</v>
      </c>
      <c r="B5658" s="88" t="s">
        <v>36</v>
      </c>
      <c r="C5658" s="159">
        <v>0.719444444444444</v>
      </c>
      <c r="D5658" s="73">
        <v>0</v>
      </c>
      <c r="E5658" s="73">
        <v>0</v>
      </c>
      <c r="F5658" s="73">
        <v>0</v>
      </c>
      <c r="G5658" s="73">
        <v>0</v>
      </c>
      <c r="H5658" s="73">
        <v>0</v>
      </c>
      <c r="I5658" s="73">
        <v>0</v>
      </c>
      <c r="J5658" s="73">
        <v>0</v>
      </c>
    </row>
    <row r="5659" spans="1:10">
      <c r="A5659" s="88" t="s">
        <v>108</v>
      </c>
      <c r="B5659" s="88" t="s">
        <v>36</v>
      </c>
      <c r="C5659" s="159">
        <v>0.72013888888888899</v>
      </c>
      <c r="D5659" s="73">
        <v>0</v>
      </c>
      <c r="E5659" s="73">
        <v>0</v>
      </c>
      <c r="F5659" s="73">
        <v>0</v>
      </c>
      <c r="G5659" s="73">
        <v>0</v>
      </c>
      <c r="H5659" s="73">
        <v>0</v>
      </c>
      <c r="I5659" s="73">
        <v>0</v>
      </c>
      <c r="J5659" s="73">
        <v>0</v>
      </c>
    </row>
    <row r="5660" spans="1:10">
      <c r="A5660" s="88" t="s">
        <v>108</v>
      </c>
      <c r="B5660" s="88" t="s">
        <v>36</v>
      </c>
      <c r="C5660" s="159">
        <v>0.72083333333333299</v>
      </c>
      <c r="D5660" s="73">
        <v>0</v>
      </c>
      <c r="E5660" s="73">
        <v>0</v>
      </c>
      <c r="F5660" s="73">
        <v>0</v>
      </c>
      <c r="G5660" s="73">
        <v>0</v>
      </c>
      <c r="H5660" s="73">
        <v>0</v>
      </c>
      <c r="I5660" s="73">
        <v>0</v>
      </c>
      <c r="J5660" s="73">
        <v>0</v>
      </c>
    </row>
    <row r="5661" spans="1:10">
      <c r="A5661" s="88" t="s">
        <v>108</v>
      </c>
      <c r="B5661" s="88" t="s">
        <v>36</v>
      </c>
      <c r="C5661" s="159">
        <v>0.72152777777777799</v>
      </c>
      <c r="D5661" s="73">
        <v>0</v>
      </c>
      <c r="E5661" s="73">
        <v>0</v>
      </c>
      <c r="F5661" s="73">
        <v>0</v>
      </c>
      <c r="G5661" s="73">
        <v>0</v>
      </c>
      <c r="H5661" s="73">
        <v>0</v>
      </c>
      <c r="I5661" s="73">
        <v>0</v>
      </c>
      <c r="J5661" s="73">
        <v>0</v>
      </c>
    </row>
    <row r="5662" spans="1:10">
      <c r="A5662" s="88" t="s">
        <v>108</v>
      </c>
      <c r="B5662" s="88" t="s">
        <v>36</v>
      </c>
      <c r="C5662" s="159">
        <v>0.72222222222222199</v>
      </c>
      <c r="D5662" s="73">
        <v>0</v>
      </c>
      <c r="E5662" s="73">
        <v>0</v>
      </c>
      <c r="F5662" s="73">
        <v>0</v>
      </c>
      <c r="G5662" s="73">
        <v>0</v>
      </c>
      <c r="H5662" s="73">
        <v>0</v>
      </c>
      <c r="I5662" s="73">
        <v>0</v>
      </c>
      <c r="J5662" s="73">
        <v>0</v>
      </c>
    </row>
    <row r="5663" spans="1:10">
      <c r="A5663" s="88" t="s">
        <v>108</v>
      </c>
      <c r="B5663" s="88" t="s">
        <v>36</v>
      </c>
      <c r="C5663" s="159">
        <v>0.72291666666666698</v>
      </c>
      <c r="D5663" s="73">
        <v>0</v>
      </c>
      <c r="E5663" s="73">
        <v>0</v>
      </c>
      <c r="F5663" s="73">
        <v>0</v>
      </c>
      <c r="G5663" s="73">
        <v>0</v>
      </c>
      <c r="H5663" s="73">
        <v>0</v>
      </c>
      <c r="I5663" s="73">
        <v>0</v>
      </c>
      <c r="J5663" s="73">
        <v>0</v>
      </c>
    </row>
    <row r="5664" spans="1:10">
      <c r="A5664" s="88" t="s">
        <v>108</v>
      </c>
      <c r="B5664" s="88" t="s">
        <v>36</v>
      </c>
      <c r="C5664" s="159">
        <v>0.72361111111111098</v>
      </c>
      <c r="D5664" s="73">
        <v>0</v>
      </c>
      <c r="E5664" s="73">
        <v>0</v>
      </c>
      <c r="F5664" s="73">
        <v>0</v>
      </c>
      <c r="G5664" s="73">
        <v>0</v>
      </c>
      <c r="H5664" s="73">
        <v>0</v>
      </c>
      <c r="I5664" s="73">
        <v>0</v>
      </c>
      <c r="J5664" s="73">
        <v>0</v>
      </c>
    </row>
    <row r="5665" spans="1:10">
      <c r="A5665" s="88" t="s">
        <v>108</v>
      </c>
      <c r="B5665" s="88" t="s">
        <v>36</v>
      </c>
      <c r="C5665" s="159">
        <v>0.72430555555555598</v>
      </c>
      <c r="D5665" s="73">
        <v>0</v>
      </c>
      <c r="E5665" s="73">
        <v>0</v>
      </c>
      <c r="F5665" s="73">
        <v>0</v>
      </c>
      <c r="G5665" s="73">
        <v>0</v>
      </c>
      <c r="H5665" s="73">
        <v>0</v>
      </c>
      <c r="I5665" s="73">
        <v>0</v>
      </c>
      <c r="J5665" s="73">
        <v>0</v>
      </c>
    </row>
    <row r="5666" spans="1:10">
      <c r="A5666" s="88" t="s">
        <v>108</v>
      </c>
      <c r="B5666" s="88" t="s">
        <v>36</v>
      </c>
      <c r="C5666" s="159">
        <v>0.72499999999999998</v>
      </c>
      <c r="D5666" s="73">
        <v>0</v>
      </c>
      <c r="E5666" s="73">
        <v>0</v>
      </c>
      <c r="F5666" s="73">
        <v>0</v>
      </c>
      <c r="G5666" s="73">
        <v>0</v>
      </c>
      <c r="H5666" s="73">
        <v>0</v>
      </c>
      <c r="I5666" s="73">
        <v>0</v>
      </c>
      <c r="J5666" s="73">
        <v>0</v>
      </c>
    </row>
    <row r="5667" spans="1:10">
      <c r="A5667" s="88" t="s">
        <v>108</v>
      </c>
      <c r="B5667" s="88" t="s">
        <v>36</v>
      </c>
      <c r="C5667" s="159">
        <v>0.72569444444444398</v>
      </c>
      <c r="D5667" s="73">
        <v>0</v>
      </c>
      <c r="E5667" s="73">
        <v>0</v>
      </c>
      <c r="F5667" s="73">
        <v>0</v>
      </c>
      <c r="G5667" s="73">
        <v>0</v>
      </c>
      <c r="H5667" s="73">
        <v>0</v>
      </c>
      <c r="I5667" s="73">
        <v>0</v>
      </c>
      <c r="J5667" s="73">
        <v>0</v>
      </c>
    </row>
    <row r="5668" spans="1:10">
      <c r="A5668" s="88" t="s">
        <v>108</v>
      </c>
      <c r="B5668" s="88" t="s">
        <v>36</v>
      </c>
      <c r="C5668" s="159">
        <v>0.72638888888888897</v>
      </c>
      <c r="D5668" s="73">
        <v>0</v>
      </c>
      <c r="E5668" s="73">
        <v>0</v>
      </c>
      <c r="F5668" s="73">
        <v>0</v>
      </c>
      <c r="G5668" s="73">
        <v>0</v>
      </c>
      <c r="H5668" s="73">
        <v>0</v>
      </c>
      <c r="I5668" s="73">
        <v>0</v>
      </c>
      <c r="J5668" s="73">
        <v>0</v>
      </c>
    </row>
    <row r="5669" spans="1:10">
      <c r="A5669" s="88" t="s">
        <v>108</v>
      </c>
      <c r="B5669" s="88" t="s">
        <v>36</v>
      </c>
      <c r="C5669" s="159">
        <v>0.72708333333333297</v>
      </c>
      <c r="D5669" s="73">
        <v>0</v>
      </c>
      <c r="E5669" s="73">
        <v>0</v>
      </c>
      <c r="F5669" s="73">
        <v>0</v>
      </c>
      <c r="G5669" s="73">
        <v>0</v>
      </c>
      <c r="H5669" s="73">
        <v>0</v>
      </c>
      <c r="I5669" s="73">
        <v>0</v>
      </c>
      <c r="J5669" s="73">
        <v>0</v>
      </c>
    </row>
    <row r="5670" spans="1:10">
      <c r="A5670" s="88" t="s">
        <v>108</v>
      </c>
      <c r="B5670" s="88" t="s">
        <v>36</v>
      </c>
      <c r="C5670" s="159">
        <v>0.72777777777777797</v>
      </c>
      <c r="D5670" s="73">
        <v>0</v>
      </c>
      <c r="E5670" s="73">
        <v>0</v>
      </c>
      <c r="F5670" s="73">
        <v>0</v>
      </c>
      <c r="G5670" s="73">
        <v>0</v>
      </c>
      <c r="H5670" s="73">
        <v>0</v>
      </c>
      <c r="I5670" s="73">
        <v>0</v>
      </c>
      <c r="J5670" s="73">
        <v>0</v>
      </c>
    </row>
    <row r="5671" spans="1:10" s="80" customFormat="1">
      <c r="A5671" s="91" t="s">
        <v>108</v>
      </c>
      <c r="B5671" s="91" t="s">
        <v>36</v>
      </c>
      <c r="C5671" s="161">
        <v>0.72847222222222197</v>
      </c>
      <c r="D5671" s="163">
        <v>0</v>
      </c>
      <c r="E5671" s="163">
        <v>0</v>
      </c>
      <c r="F5671" s="163">
        <v>0</v>
      </c>
      <c r="G5671" s="163">
        <v>0</v>
      </c>
      <c r="H5671" s="163">
        <v>0</v>
      </c>
      <c r="I5671" s="163">
        <v>0</v>
      </c>
      <c r="J5671" s="163">
        <v>0</v>
      </c>
    </row>
    <row r="5672" spans="1:10">
      <c r="A5672" s="88" t="s">
        <v>108</v>
      </c>
      <c r="B5672" s="88" t="s">
        <v>36</v>
      </c>
      <c r="C5672" s="159">
        <v>0.72916666666666696</v>
      </c>
      <c r="D5672" s="164">
        <v>0</v>
      </c>
      <c r="E5672" s="164">
        <v>0</v>
      </c>
      <c r="F5672" s="164">
        <v>0</v>
      </c>
      <c r="G5672" s="164">
        <v>0</v>
      </c>
      <c r="H5672" s="164">
        <v>0</v>
      </c>
      <c r="I5672" s="164">
        <v>0</v>
      </c>
      <c r="J5672" s="164">
        <v>0</v>
      </c>
    </row>
    <row r="5673" spans="1:10">
      <c r="A5673" s="88" t="s">
        <v>108</v>
      </c>
      <c r="B5673" s="88" t="s">
        <v>36</v>
      </c>
      <c r="C5673" s="159">
        <v>0.72986111111111096</v>
      </c>
      <c r="D5673" s="73">
        <v>0</v>
      </c>
      <c r="E5673" s="73">
        <v>0</v>
      </c>
      <c r="F5673" s="73">
        <v>0</v>
      </c>
      <c r="G5673" s="73">
        <v>0</v>
      </c>
      <c r="H5673" s="73">
        <v>0</v>
      </c>
      <c r="I5673" s="73">
        <v>0</v>
      </c>
      <c r="J5673" s="73">
        <v>0</v>
      </c>
    </row>
    <row r="5674" spans="1:10">
      <c r="A5674" s="88" t="s">
        <v>108</v>
      </c>
      <c r="B5674" s="88" t="s">
        <v>36</v>
      </c>
      <c r="C5674" s="159">
        <v>0.73055555555555596</v>
      </c>
      <c r="D5674" s="73">
        <v>0</v>
      </c>
      <c r="E5674" s="73">
        <v>0</v>
      </c>
      <c r="F5674" s="73">
        <v>0</v>
      </c>
      <c r="G5674" s="73">
        <v>0</v>
      </c>
      <c r="H5674" s="73">
        <v>0</v>
      </c>
      <c r="I5674" s="73">
        <v>0</v>
      </c>
      <c r="J5674" s="73">
        <v>0</v>
      </c>
    </row>
    <row r="5675" spans="1:10">
      <c r="A5675" s="88" t="s">
        <v>108</v>
      </c>
      <c r="B5675" s="88" t="s">
        <v>36</v>
      </c>
      <c r="C5675" s="159">
        <v>0.73124999999999996</v>
      </c>
      <c r="D5675" s="73">
        <v>0</v>
      </c>
      <c r="E5675" s="73">
        <v>0</v>
      </c>
      <c r="F5675" s="73">
        <v>0</v>
      </c>
      <c r="G5675" s="73">
        <v>0</v>
      </c>
      <c r="H5675" s="73">
        <v>0</v>
      </c>
      <c r="I5675" s="73">
        <v>0</v>
      </c>
      <c r="J5675" s="73">
        <v>0</v>
      </c>
    </row>
    <row r="5676" spans="1:10">
      <c r="A5676" s="88" t="s">
        <v>108</v>
      </c>
      <c r="B5676" s="88" t="s">
        <v>36</v>
      </c>
      <c r="C5676" s="159">
        <v>0.73194444444444395</v>
      </c>
      <c r="D5676" s="73">
        <v>0</v>
      </c>
      <c r="E5676" s="73">
        <v>0</v>
      </c>
      <c r="F5676" s="73">
        <v>0</v>
      </c>
      <c r="G5676" s="73">
        <v>0</v>
      </c>
      <c r="H5676" s="73">
        <v>0</v>
      </c>
      <c r="I5676" s="73">
        <v>0</v>
      </c>
      <c r="J5676" s="73">
        <v>0</v>
      </c>
    </row>
    <row r="5677" spans="1:10">
      <c r="A5677" s="88" t="s">
        <v>108</v>
      </c>
      <c r="B5677" s="88" t="s">
        <v>36</v>
      </c>
      <c r="C5677" s="159">
        <v>0.73263888888888895</v>
      </c>
      <c r="D5677" s="73">
        <v>0</v>
      </c>
      <c r="E5677" s="73">
        <v>0</v>
      </c>
      <c r="F5677" s="73">
        <v>0</v>
      </c>
      <c r="G5677" s="73">
        <v>0</v>
      </c>
      <c r="H5677" s="73">
        <v>0</v>
      </c>
      <c r="I5677" s="73">
        <v>0</v>
      </c>
      <c r="J5677" s="73">
        <v>0</v>
      </c>
    </row>
    <row r="5678" spans="1:10">
      <c r="A5678" s="88" t="s">
        <v>108</v>
      </c>
      <c r="B5678" s="88" t="s">
        <v>36</v>
      </c>
      <c r="C5678" s="159">
        <v>0.73333333333333295</v>
      </c>
      <c r="D5678" s="73">
        <v>0</v>
      </c>
      <c r="E5678" s="73">
        <v>0</v>
      </c>
      <c r="F5678" s="73">
        <v>0</v>
      </c>
      <c r="G5678" s="73">
        <v>0</v>
      </c>
      <c r="H5678" s="73">
        <v>0</v>
      </c>
      <c r="I5678" s="73">
        <v>0</v>
      </c>
      <c r="J5678" s="73">
        <v>0</v>
      </c>
    </row>
    <row r="5679" spans="1:10">
      <c r="A5679" s="88" t="s">
        <v>108</v>
      </c>
      <c r="B5679" s="88" t="s">
        <v>36</v>
      </c>
      <c r="C5679" s="159">
        <v>0.73402777777777795</v>
      </c>
      <c r="D5679" s="73">
        <v>0</v>
      </c>
      <c r="E5679" s="73">
        <v>0</v>
      </c>
      <c r="F5679" s="73">
        <v>0</v>
      </c>
      <c r="G5679" s="73">
        <v>0</v>
      </c>
      <c r="H5679" s="73">
        <v>0</v>
      </c>
      <c r="I5679" s="73">
        <v>0</v>
      </c>
      <c r="J5679" s="73">
        <v>0</v>
      </c>
    </row>
    <row r="5680" spans="1:10">
      <c r="A5680" s="88" t="s">
        <v>108</v>
      </c>
      <c r="B5680" s="88" t="s">
        <v>36</v>
      </c>
      <c r="C5680" s="159">
        <v>0.73472222222222205</v>
      </c>
      <c r="D5680" s="73">
        <v>0</v>
      </c>
      <c r="E5680" s="73">
        <v>0</v>
      </c>
      <c r="F5680" s="73">
        <v>0</v>
      </c>
      <c r="G5680" s="73">
        <v>0</v>
      </c>
      <c r="H5680" s="73">
        <v>0</v>
      </c>
      <c r="I5680" s="73">
        <v>0</v>
      </c>
      <c r="J5680" s="73">
        <v>0</v>
      </c>
    </row>
    <row r="5681" spans="1:10">
      <c r="A5681" s="88" t="s">
        <v>108</v>
      </c>
      <c r="B5681" s="88" t="s">
        <v>36</v>
      </c>
      <c r="C5681" s="159">
        <v>0.73541666666666705</v>
      </c>
      <c r="D5681" s="73">
        <v>0</v>
      </c>
      <c r="E5681" s="73">
        <v>0</v>
      </c>
      <c r="F5681" s="73">
        <v>0</v>
      </c>
      <c r="G5681" s="73">
        <v>0</v>
      </c>
      <c r="H5681" s="73">
        <v>0</v>
      </c>
      <c r="I5681" s="73">
        <v>0</v>
      </c>
      <c r="J5681" s="73">
        <v>0</v>
      </c>
    </row>
    <row r="5682" spans="1:10">
      <c r="A5682" s="88" t="s">
        <v>108</v>
      </c>
      <c r="B5682" s="88" t="s">
        <v>36</v>
      </c>
      <c r="C5682" s="159">
        <v>0.73611111111111105</v>
      </c>
      <c r="D5682" s="73">
        <v>0</v>
      </c>
      <c r="E5682" s="73">
        <v>0</v>
      </c>
      <c r="F5682" s="73">
        <v>0</v>
      </c>
      <c r="G5682" s="73">
        <v>0</v>
      </c>
      <c r="H5682" s="73">
        <v>0</v>
      </c>
      <c r="I5682" s="73">
        <v>0</v>
      </c>
      <c r="J5682" s="73">
        <v>0</v>
      </c>
    </row>
    <row r="5683" spans="1:10">
      <c r="A5683" s="88" t="s">
        <v>108</v>
      </c>
      <c r="B5683" s="88" t="s">
        <v>36</v>
      </c>
      <c r="C5683" s="159">
        <v>0.73680555555555505</v>
      </c>
      <c r="D5683" s="73">
        <v>0</v>
      </c>
      <c r="E5683" s="73">
        <v>0</v>
      </c>
      <c r="F5683" s="73">
        <v>0</v>
      </c>
      <c r="G5683" s="73">
        <v>0</v>
      </c>
      <c r="H5683" s="73">
        <v>0</v>
      </c>
      <c r="I5683" s="73">
        <v>0</v>
      </c>
      <c r="J5683" s="73">
        <v>0</v>
      </c>
    </row>
    <row r="5684" spans="1:10">
      <c r="A5684" s="88" t="s">
        <v>108</v>
      </c>
      <c r="B5684" s="88" t="s">
        <v>36</v>
      </c>
      <c r="C5684" s="159">
        <v>0.73750000000000004</v>
      </c>
      <c r="D5684" s="73">
        <v>0</v>
      </c>
      <c r="E5684" s="73">
        <v>0</v>
      </c>
      <c r="F5684" s="73">
        <v>0</v>
      </c>
      <c r="G5684" s="73">
        <v>0</v>
      </c>
      <c r="H5684" s="73">
        <v>0</v>
      </c>
      <c r="I5684" s="73">
        <v>0</v>
      </c>
      <c r="J5684" s="73">
        <v>0</v>
      </c>
    </row>
    <row r="5685" spans="1:10">
      <c r="A5685" s="88" t="s">
        <v>108</v>
      </c>
      <c r="B5685" s="88" t="s">
        <v>36</v>
      </c>
      <c r="C5685" s="159">
        <v>0.73819444444444404</v>
      </c>
      <c r="D5685" s="73">
        <v>0</v>
      </c>
      <c r="E5685" s="73">
        <v>0</v>
      </c>
      <c r="F5685" s="73">
        <v>0</v>
      </c>
      <c r="G5685" s="73">
        <v>0</v>
      </c>
      <c r="H5685" s="73">
        <v>0</v>
      </c>
      <c r="I5685" s="73">
        <v>0</v>
      </c>
      <c r="J5685" s="73">
        <v>0</v>
      </c>
    </row>
    <row r="5686" spans="1:10" s="80" customFormat="1">
      <c r="A5686" s="91" t="s">
        <v>108</v>
      </c>
      <c r="B5686" s="91" t="s">
        <v>36</v>
      </c>
      <c r="C5686" s="161">
        <v>0.73888888888888904</v>
      </c>
      <c r="D5686" s="163">
        <v>0</v>
      </c>
      <c r="E5686" s="163">
        <v>0</v>
      </c>
      <c r="F5686" s="163">
        <v>0</v>
      </c>
      <c r="G5686" s="163">
        <v>0</v>
      </c>
      <c r="H5686" s="163">
        <v>0</v>
      </c>
      <c r="I5686" s="163">
        <v>0</v>
      </c>
      <c r="J5686" s="163">
        <v>0</v>
      </c>
    </row>
    <row r="5687" spans="1:10">
      <c r="A5687" s="88" t="s">
        <v>108</v>
      </c>
      <c r="B5687" s="88" t="s">
        <v>36</v>
      </c>
      <c r="C5687" s="159">
        <v>0.73958333333333304</v>
      </c>
      <c r="D5687" s="164">
        <v>0</v>
      </c>
      <c r="E5687" s="164">
        <v>0</v>
      </c>
      <c r="F5687" s="164">
        <v>0</v>
      </c>
      <c r="G5687" s="164">
        <v>0</v>
      </c>
      <c r="H5687" s="164">
        <v>0</v>
      </c>
      <c r="I5687" s="164">
        <v>0</v>
      </c>
      <c r="J5687" s="164">
        <v>0</v>
      </c>
    </row>
    <row r="5688" spans="1:10">
      <c r="A5688" s="88" t="s">
        <v>108</v>
      </c>
      <c r="B5688" s="88" t="s">
        <v>36</v>
      </c>
      <c r="C5688" s="159">
        <v>0.74027777777777803</v>
      </c>
      <c r="D5688" s="73">
        <v>0</v>
      </c>
      <c r="E5688" s="73">
        <v>0</v>
      </c>
      <c r="F5688" s="73">
        <v>0</v>
      </c>
      <c r="G5688" s="73">
        <v>0</v>
      </c>
      <c r="H5688" s="73">
        <v>0</v>
      </c>
      <c r="I5688" s="73">
        <v>0</v>
      </c>
      <c r="J5688" s="73">
        <v>0</v>
      </c>
    </row>
    <row r="5689" spans="1:10">
      <c r="A5689" s="88" t="s">
        <v>108</v>
      </c>
      <c r="B5689" s="88" t="s">
        <v>36</v>
      </c>
      <c r="C5689" s="159">
        <v>0.74097222222222203</v>
      </c>
      <c r="D5689" s="73">
        <v>0</v>
      </c>
      <c r="E5689" s="73">
        <v>0</v>
      </c>
      <c r="F5689" s="73">
        <v>0</v>
      </c>
      <c r="G5689" s="73">
        <v>0</v>
      </c>
      <c r="H5689" s="73">
        <v>0</v>
      </c>
      <c r="I5689" s="73">
        <v>0</v>
      </c>
      <c r="J5689" s="73">
        <v>0</v>
      </c>
    </row>
    <row r="5690" spans="1:10">
      <c r="A5690" s="88" t="s">
        <v>108</v>
      </c>
      <c r="B5690" s="88" t="s">
        <v>36</v>
      </c>
      <c r="C5690" s="159">
        <v>0.74166666666666703</v>
      </c>
      <c r="D5690" s="73">
        <v>0</v>
      </c>
      <c r="E5690" s="73">
        <v>0</v>
      </c>
      <c r="F5690" s="73">
        <v>0</v>
      </c>
      <c r="G5690" s="73">
        <v>0</v>
      </c>
      <c r="H5690" s="73">
        <v>0</v>
      </c>
      <c r="I5690" s="73">
        <v>0</v>
      </c>
      <c r="J5690" s="73">
        <v>0</v>
      </c>
    </row>
    <row r="5691" spans="1:10">
      <c r="A5691" s="88" t="s">
        <v>108</v>
      </c>
      <c r="B5691" s="88" t="s">
        <v>36</v>
      </c>
      <c r="C5691" s="159">
        <v>0.74236111111111103</v>
      </c>
      <c r="D5691" s="73">
        <v>0</v>
      </c>
      <c r="E5691" s="73">
        <v>0</v>
      </c>
      <c r="F5691" s="73">
        <v>0</v>
      </c>
      <c r="G5691" s="73">
        <v>0</v>
      </c>
      <c r="H5691" s="73">
        <v>0</v>
      </c>
      <c r="I5691" s="73">
        <v>0</v>
      </c>
      <c r="J5691" s="73">
        <v>0</v>
      </c>
    </row>
    <row r="5692" spans="1:10">
      <c r="A5692" s="88" t="s">
        <v>108</v>
      </c>
      <c r="B5692" s="88" t="s">
        <v>36</v>
      </c>
      <c r="C5692" s="159">
        <v>0.74305555555555503</v>
      </c>
      <c r="D5692" s="73">
        <v>0</v>
      </c>
      <c r="E5692" s="73">
        <v>0</v>
      </c>
      <c r="F5692" s="73">
        <v>0</v>
      </c>
      <c r="G5692" s="73">
        <v>0</v>
      </c>
      <c r="H5692" s="73">
        <v>0</v>
      </c>
      <c r="I5692" s="73">
        <v>0</v>
      </c>
      <c r="J5692" s="73">
        <v>0</v>
      </c>
    </row>
    <row r="5693" spans="1:10">
      <c r="A5693" s="88" t="s">
        <v>108</v>
      </c>
      <c r="B5693" s="88" t="s">
        <v>36</v>
      </c>
      <c r="C5693" s="159">
        <v>0.74375000000000002</v>
      </c>
      <c r="D5693" s="73">
        <v>0</v>
      </c>
      <c r="E5693" s="73">
        <v>0</v>
      </c>
      <c r="F5693" s="73">
        <v>0</v>
      </c>
      <c r="G5693" s="73">
        <v>0</v>
      </c>
      <c r="H5693" s="73">
        <v>0</v>
      </c>
      <c r="I5693" s="73">
        <v>0</v>
      </c>
      <c r="J5693" s="73">
        <v>0</v>
      </c>
    </row>
    <row r="5694" spans="1:10">
      <c r="A5694" s="88" t="s">
        <v>108</v>
      </c>
      <c r="B5694" s="88" t="s">
        <v>36</v>
      </c>
      <c r="C5694" s="159">
        <v>0.74444444444444402</v>
      </c>
      <c r="D5694" s="73">
        <v>0</v>
      </c>
      <c r="E5694" s="73">
        <v>0</v>
      </c>
      <c r="F5694" s="73">
        <v>0</v>
      </c>
      <c r="G5694" s="73">
        <v>0</v>
      </c>
      <c r="H5694" s="73">
        <v>0</v>
      </c>
      <c r="I5694" s="73">
        <v>0</v>
      </c>
      <c r="J5694" s="73">
        <v>0</v>
      </c>
    </row>
    <row r="5695" spans="1:10">
      <c r="A5695" s="88" t="s">
        <v>108</v>
      </c>
      <c r="B5695" s="88" t="s">
        <v>36</v>
      </c>
      <c r="C5695" s="159">
        <v>0.74513888888888902</v>
      </c>
      <c r="D5695" s="73">
        <v>0</v>
      </c>
      <c r="E5695" s="73">
        <v>0</v>
      </c>
      <c r="F5695" s="73">
        <v>0</v>
      </c>
      <c r="G5695" s="73">
        <v>0</v>
      </c>
      <c r="H5695" s="73">
        <v>0</v>
      </c>
      <c r="I5695" s="73">
        <v>0</v>
      </c>
      <c r="J5695" s="73">
        <v>0</v>
      </c>
    </row>
    <row r="5696" spans="1:10">
      <c r="A5696" s="88" t="s">
        <v>108</v>
      </c>
      <c r="B5696" s="88" t="s">
        <v>36</v>
      </c>
      <c r="C5696" s="159">
        <v>0.74583333333333302</v>
      </c>
      <c r="D5696" s="73">
        <v>0</v>
      </c>
      <c r="E5696" s="73">
        <v>0</v>
      </c>
      <c r="F5696" s="73">
        <v>0</v>
      </c>
      <c r="G5696" s="73">
        <v>0</v>
      </c>
      <c r="H5696" s="73">
        <v>0</v>
      </c>
      <c r="I5696" s="73">
        <v>0</v>
      </c>
      <c r="J5696" s="73">
        <v>0</v>
      </c>
    </row>
    <row r="5697" spans="1:10">
      <c r="A5697" s="88" t="s">
        <v>108</v>
      </c>
      <c r="B5697" s="88" t="s">
        <v>36</v>
      </c>
      <c r="C5697" s="159">
        <v>0.74652777777777801</v>
      </c>
      <c r="D5697" s="73">
        <v>0</v>
      </c>
      <c r="E5697" s="73">
        <v>0</v>
      </c>
      <c r="F5697" s="73">
        <v>0</v>
      </c>
      <c r="G5697" s="73">
        <v>0</v>
      </c>
      <c r="H5697" s="73">
        <v>0</v>
      </c>
      <c r="I5697" s="73">
        <v>0</v>
      </c>
      <c r="J5697" s="73">
        <v>0</v>
      </c>
    </row>
    <row r="5698" spans="1:10">
      <c r="A5698" s="88" t="s">
        <v>108</v>
      </c>
      <c r="B5698" s="88" t="s">
        <v>36</v>
      </c>
      <c r="C5698" s="159">
        <v>0.74722222222222201</v>
      </c>
      <c r="D5698" s="73">
        <v>0</v>
      </c>
      <c r="E5698" s="73">
        <v>0</v>
      </c>
      <c r="F5698" s="73">
        <v>0</v>
      </c>
      <c r="G5698" s="73">
        <v>0</v>
      </c>
      <c r="H5698" s="73">
        <v>0</v>
      </c>
      <c r="I5698" s="73">
        <v>0</v>
      </c>
      <c r="J5698" s="73">
        <v>0</v>
      </c>
    </row>
    <row r="5699" spans="1:10">
      <c r="A5699" s="88" t="s">
        <v>108</v>
      </c>
      <c r="B5699" s="88" t="s">
        <v>36</v>
      </c>
      <c r="C5699" s="159">
        <v>0.74791666666666701</v>
      </c>
      <c r="D5699" s="73">
        <v>0</v>
      </c>
      <c r="E5699" s="73">
        <v>0</v>
      </c>
      <c r="F5699" s="73">
        <v>0</v>
      </c>
      <c r="G5699" s="73">
        <v>0</v>
      </c>
      <c r="H5699" s="73">
        <v>0</v>
      </c>
      <c r="I5699" s="73">
        <v>0</v>
      </c>
      <c r="J5699" s="73">
        <v>0</v>
      </c>
    </row>
    <row r="5700" spans="1:10">
      <c r="A5700" s="88" t="s">
        <v>108</v>
      </c>
      <c r="B5700" s="88" t="s">
        <v>36</v>
      </c>
      <c r="C5700" s="159">
        <v>0.74861111111111101</v>
      </c>
      <c r="D5700" s="73">
        <v>0</v>
      </c>
      <c r="E5700" s="73">
        <v>0</v>
      </c>
      <c r="F5700" s="73">
        <v>0</v>
      </c>
      <c r="G5700" s="73">
        <v>0</v>
      </c>
      <c r="H5700" s="73">
        <v>0</v>
      </c>
      <c r="I5700" s="73">
        <v>0</v>
      </c>
      <c r="J5700" s="73">
        <v>0</v>
      </c>
    </row>
    <row r="5701" spans="1:10" s="80" customFormat="1">
      <c r="A5701" s="91" t="s">
        <v>108</v>
      </c>
      <c r="B5701" s="91" t="s">
        <v>36</v>
      </c>
      <c r="C5701" s="161">
        <v>0.749305555555555</v>
      </c>
      <c r="D5701" s="163">
        <v>0</v>
      </c>
      <c r="E5701" s="163">
        <v>0</v>
      </c>
      <c r="F5701" s="163">
        <v>0</v>
      </c>
      <c r="G5701" s="163">
        <v>0</v>
      </c>
      <c r="H5701" s="163">
        <v>0</v>
      </c>
      <c r="I5701" s="163">
        <v>0</v>
      </c>
      <c r="J5701" s="163">
        <v>0</v>
      </c>
    </row>
    <row r="5702" spans="1:10">
      <c r="A5702" s="88" t="s">
        <v>108</v>
      </c>
      <c r="B5702" s="88" t="s">
        <v>36</v>
      </c>
      <c r="C5702" s="159">
        <v>0.75</v>
      </c>
      <c r="D5702" s="164">
        <v>0</v>
      </c>
      <c r="E5702" s="164">
        <v>0</v>
      </c>
      <c r="F5702" s="164">
        <v>0</v>
      </c>
      <c r="G5702" s="164">
        <v>0</v>
      </c>
      <c r="H5702" s="164">
        <v>0</v>
      </c>
      <c r="I5702" s="164">
        <v>0</v>
      </c>
      <c r="J5702" s="164">
        <v>0</v>
      </c>
    </row>
    <row r="5703" spans="1:10">
      <c r="A5703" s="88" t="s">
        <v>108</v>
      </c>
      <c r="B5703" s="88" t="s">
        <v>36</v>
      </c>
      <c r="C5703" s="159">
        <v>0.750694444444444</v>
      </c>
      <c r="D5703" s="73">
        <v>0</v>
      </c>
      <c r="E5703" s="73">
        <v>0</v>
      </c>
      <c r="F5703" s="73">
        <v>0</v>
      </c>
      <c r="G5703" s="73">
        <v>0</v>
      </c>
      <c r="H5703" s="73">
        <v>0</v>
      </c>
      <c r="I5703" s="73">
        <v>0</v>
      </c>
      <c r="J5703" s="73">
        <v>0</v>
      </c>
    </row>
    <row r="5704" spans="1:10">
      <c r="A5704" s="88" t="s">
        <v>108</v>
      </c>
      <c r="B5704" s="88" t="s">
        <v>36</v>
      </c>
      <c r="C5704" s="159">
        <v>0.75138888888888899</v>
      </c>
      <c r="D5704" s="73">
        <v>0</v>
      </c>
      <c r="E5704" s="73">
        <v>0</v>
      </c>
      <c r="F5704" s="73">
        <v>0</v>
      </c>
      <c r="G5704" s="73">
        <v>0</v>
      </c>
      <c r="H5704" s="73">
        <v>0</v>
      </c>
      <c r="I5704" s="73">
        <v>0</v>
      </c>
      <c r="J5704" s="73">
        <v>0</v>
      </c>
    </row>
    <row r="5705" spans="1:10">
      <c r="A5705" s="88" t="s">
        <v>108</v>
      </c>
      <c r="B5705" s="88" t="s">
        <v>36</v>
      </c>
      <c r="C5705" s="159">
        <v>0.75208333333333299</v>
      </c>
      <c r="D5705" s="73">
        <v>0</v>
      </c>
      <c r="E5705" s="73">
        <v>0</v>
      </c>
      <c r="F5705" s="73">
        <v>0</v>
      </c>
      <c r="G5705" s="73">
        <v>0</v>
      </c>
      <c r="H5705" s="73">
        <v>0</v>
      </c>
      <c r="I5705" s="73">
        <v>0</v>
      </c>
      <c r="J5705" s="73">
        <v>0</v>
      </c>
    </row>
    <row r="5706" spans="1:10">
      <c r="A5706" s="88" t="s">
        <v>108</v>
      </c>
      <c r="B5706" s="88" t="s">
        <v>36</v>
      </c>
      <c r="C5706" s="159">
        <v>0.75277777777777799</v>
      </c>
      <c r="D5706" s="73">
        <v>0</v>
      </c>
      <c r="E5706" s="73">
        <v>0</v>
      </c>
      <c r="F5706" s="73">
        <v>0</v>
      </c>
      <c r="G5706" s="73">
        <v>0</v>
      </c>
      <c r="H5706" s="73">
        <v>0</v>
      </c>
      <c r="I5706" s="73">
        <v>0</v>
      </c>
      <c r="J5706" s="73">
        <v>0</v>
      </c>
    </row>
    <row r="5707" spans="1:10">
      <c r="A5707" s="88" t="s">
        <v>108</v>
      </c>
      <c r="B5707" s="88" t="s">
        <v>36</v>
      </c>
      <c r="C5707" s="159">
        <v>0.75347222222222199</v>
      </c>
      <c r="D5707" s="73">
        <v>0</v>
      </c>
      <c r="E5707" s="73">
        <v>0</v>
      </c>
      <c r="F5707" s="73">
        <v>0</v>
      </c>
      <c r="G5707" s="73">
        <v>0</v>
      </c>
      <c r="H5707" s="73">
        <v>0</v>
      </c>
      <c r="I5707" s="73">
        <v>0</v>
      </c>
      <c r="J5707" s="73">
        <v>0</v>
      </c>
    </row>
    <row r="5708" spans="1:10">
      <c r="A5708" s="88" t="s">
        <v>108</v>
      </c>
      <c r="B5708" s="88" t="s">
        <v>36</v>
      </c>
      <c r="C5708" s="159">
        <v>0.75416666666666698</v>
      </c>
      <c r="D5708" s="73">
        <v>0</v>
      </c>
      <c r="E5708" s="73">
        <v>0</v>
      </c>
      <c r="F5708" s="73">
        <v>0</v>
      </c>
      <c r="G5708" s="73">
        <v>0</v>
      </c>
      <c r="H5708" s="73">
        <v>0</v>
      </c>
      <c r="I5708" s="73">
        <v>0</v>
      </c>
      <c r="J5708" s="73">
        <v>0</v>
      </c>
    </row>
    <row r="5709" spans="1:10">
      <c r="A5709" s="88" t="s">
        <v>108</v>
      </c>
      <c r="B5709" s="88" t="s">
        <v>36</v>
      </c>
      <c r="C5709" s="159">
        <v>0.75486111111111098</v>
      </c>
      <c r="D5709" s="73">
        <v>0</v>
      </c>
      <c r="E5709" s="73">
        <v>0</v>
      </c>
      <c r="F5709" s="73">
        <v>0</v>
      </c>
      <c r="G5709" s="73">
        <v>0</v>
      </c>
      <c r="H5709" s="73">
        <v>0</v>
      </c>
      <c r="I5709" s="73">
        <v>0</v>
      </c>
      <c r="J5709" s="73">
        <v>0</v>
      </c>
    </row>
    <row r="5710" spans="1:10">
      <c r="A5710" s="88" t="s">
        <v>108</v>
      </c>
      <c r="B5710" s="88" t="s">
        <v>36</v>
      </c>
      <c r="C5710" s="159">
        <v>0.75555555555555498</v>
      </c>
      <c r="D5710" s="73">
        <v>0</v>
      </c>
      <c r="E5710" s="73">
        <v>0</v>
      </c>
      <c r="F5710" s="73">
        <v>0</v>
      </c>
      <c r="G5710" s="73">
        <v>0</v>
      </c>
      <c r="H5710" s="73">
        <v>0</v>
      </c>
      <c r="I5710" s="73">
        <v>0</v>
      </c>
      <c r="J5710" s="73">
        <v>0</v>
      </c>
    </row>
    <row r="5711" spans="1:10">
      <c r="A5711" s="88" t="s">
        <v>108</v>
      </c>
      <c r="B5711" s="88" t="s">
        <v>36</v>
      </c>
      <c r="C5711" s="159">
        <v>0.75624999999999998</v>
      </c>
      <c r="D5711" s="73">
        <v>0</v>
      </c>
      <c r="E5711" s="73">
        <v>0</v>
      </c>
      <c r="F5711" s="73">
        <v>0</v>
      </c>
      <c r="G5711" s="73">
        <v>0</v>
      </c>
      <c r="H5711" s="73">
        <v>0</v>
      </c>
      <c r="I5711" s="73">
        <v>0</v>
      </c>
      <c r="J5711" s="73">
        <v>0</v>
      </c>
    </row>
    <row r="5712" spans="1:10">
      <c r="A5712" s="88" t="s">
        <v>108</v>
      </c>
      <c r="B5712" s="88" t="s">
        <v>36</v>
      </c>
      <c r="C5712" s="159">
        <v>0.75694444444444398</v>
      </c>
      <c r="D5712" s="73">
        <v>0</v>
      </c>
      <c r="E5712" s="73">
        <v>0</v>
      </c>
      <c r="F5712" s="73">
        <v>0</v>
      </c>
      <c r="G5712" s="73">
        <v>0</v>
      </c>
      <c r="H5712" s="73">
        <v>0</v>
      </c>
      <c r="I5712" s="73">
        <v>0</v>
      </c>
      <c r="J5712" s="73">
        <v>0</v>
      </c>
    </row>
    <row r="5713" spans="1:10">
      <c r="A5713" s="88" t="s">
        <v>108</v>
      </c>
      <c r="B5713" s="88" t="s">
        <v>36</v>
      </c>
      <c r="C5713" s="159">
        <v>0.75763888888888897</v>
      </c>
      <c r="D5713" s="73">
        <v>0</v>
      </c>
      <c r="E5713" s="73">
        <v>0</v>
      </c>
      <c r="F5713" s="73">
        <v>0</v>
      </c>
      <c r="G5713" s="73">
        <v>0</v>
      </c>
      <c r="H5713" s="73">
        <v>0</v>
      </c>
      <c r="I5713" s="73">
        <v>0</v>
      </c>
      <c r="J5713" s="73">
        <v>0</v>
      </c>
    </row>
    <row r="5714" spans="1:10">
      <c r="A5714" s="88" t="s">
        <v>108</v>
      </c>
      <c r="B5714" s="88" t="s">
        <v>36</v>
      </c>
      <c r="C5714" s="159">
        <v>0.75833333333333297</v>
      </c>
      <c r="D5714" s="73">
        <v>0</v>
      </c>
      <c r="E5714" s="73">
        <v>0</v>
      </c>
      <c r="F5714" s="73">
        <v>0</v>
      </c>
      <c r="G5714" s="73">
        <v>0</v>
      </c>
      <c r="H5714" s="73">
        <v>0</v>
      </c>
      <c r="I5714" s="73">
        <v>0</v>
      </c>
      <c r="J5714" s="73">
        <v>0</v>
      </c>
    </row>
    <row r="5715" spans="1:10">
      <c r="A5715" s="88" t="s">
        <v>108</v>
      </c>
      <c r="B5715" s="88" t="s">
        <v>36</v>
      </c>
      <c r="C5715" s="159">
        <v>0.75902777777777797</v>
      </c>
      <c r="D5715" s="73">
        <v>0</v>
      </c>
      <c r="E5715" s="73">
        <v>0</v>
      </c>
      <c r="F5715" s="73">
        <v>0</v>
      </c>
      <c r="G5715" s="73">
        <v>0</v>
      </c>
      <c r="H5715" s="73">
        <v>0</v>
      </c>
      <c r="I5715" s="73">
        <v>0</v>
      </c>
      <c r="J5715" s="73">
        <v>0</v>
      </c>
    </row>
    <row r="5716" spans="1:10" s="80" customFormat="1">
      <c r="A5716" s="91" t="s">
        <v>108</v>
      </c>
      <c r="B5716" s="91" t="s">
        <v>36</v>
      </c>
      <c r="C5716" s="161">
        <v>0.75972222222222197</v>
      </c>
      <c r="D5716" s="163">
        <v>0</v>
      </c>
      <c r="E5716" s="163">
        <v>0</v>
      </c>
      <c r="F5716" s="163">
        <v>0</v>
      </c>
      <c r="G5716" s="163">
        <v>0</v>
      </c>
      <c r="H5716" s="163">
        <v>0</v>
      </c>
      <c r="I5716" s="163">
        <v>0</v>
      </c>
      <c r="J5716" s="163">
        <v>0</v>
      </c>
    </row>
    <row r="5717" spans="1:10">
      <c r="A5717" s="88" t="s">
        <v>108</v>
      </c>
      <c r="B5717" s="88" t="s">
        <v>36</v>
      </c>
      <c r="C5717" s="159">
        <v>0.76041666666666696</v>
      </c>
      <c r="D5717" s="164">
        <v>0</v>
      </c>
      <c r="E5717" s="164">
        <v>0</v>
      </c>
      <c r="F5717" s="164">
        <v>0</v>
      </c>
      <c r="G5717" s="164">
        <v>0</v>
      </c>
      <c r="H5717" s="164">
        <v>0</v>
      </c>
      <c r="I5717" s="164">
        <v>0</v>
      </c>
      <c r="J5717" s="164">
        <v>0</v>
      </c>
    </row>
    <row r="5718" spans="1:10">
      <c r="A5718" s="88" t="s">
        <v>108</v>
      </c>
      <c r="B5718" s="88" t="s">
        <v>36</v>
      </c>
      <c r="C5718" s="159">
        <v>0.76111111111111096</v>
      </c>
      <c r="D5718" s="73">
        <v>0</v>
      </c>
      <c r="E5718" s="73">
        <v>0</v>
      </c>
      <c r="F5718" s="73">
        <v>0</v>
      </c>
      <c r="G5718" s="73">
        <v>0</v>
      </c>
      <c r="H5718" s="73">
        <v>0</v>
      </c>
      <c r="I5718" s="73">
        <v>0</v>
      </c>
      <c r="J5718" s="73">
        <v>0</v>
      </c>
    </row>
    <row r="5719" spans="1:10">
      <c r="A5719" s="88" t="s">
        <v>108</v>
      </c>
      <c r="B5719" s="88" t="s">
        <v>36</v>
      </c>
      <c r="C5719" s="159">
        <v>0.76180555555555496</v>
      </c>
      <c r="D5719" s="73">
        <v>0</v>
      </c>
      <c r="E5719" s="73">
        <v>0</v>
      </c>
      <c r="F5719" s="73">
        <v>0</v>
      </c>
      <c r="G5719" s="73">
        <v>0</v>
      </c>
      <c r="H5719" s="73">
        <v>0</v>
      </c>
      <c r="I5719" s="73">
        <v>0</v>
      </c>
      <c r="J5719" s="73">
        <v>0</v>
      </c>
    </row>
    <row r="5720" spans="1:10">
      <c r="A5720" s="88" t="s">
        <v>108</v>
      </c>
      <c r="B5720" s="88" t="s">
        <v>36</v>
      </c>
      <c r="C5720" s="159">
        <v>0.76249999999999996</v>
      </c>
      <c r="D5720" s="73">
        <v>0</v>
      </c>
      <c r="E5720" s="73">
        <v>0</v>
      </c>
      <c r="F5720" s="73">
        <v>0</v>
      </c>
      <c r="G5720" s="73">
        <v>0</v>
      </c>
      <c r="H5720" s="73">
        <v>0</v>
      </c>
      <c r="I5720" s="73">
        <v>0</v>
      </c>
      <c r="J5720" s="73">
        <v>0</v>
      </c>
    </row>
    <row r="5721" spans="1:10">
      <c r="A5721" s="88" t="s">
        <v>108</v>
      </c>
      <c r="B5721" s="88" t="s">
        <v>36</v>
      </c>
      <c r="C5721" s="159">
        <v>0.76319444444444395</v>
      </c>
      <c r="D5721" s="73">
        <v>0</v>
      </c>
      <c r="E5721" s="73">
        <v>0</v>
      </c>
      <c r="F5721" s="73">
        <v>0</v>
      </c>
      <c r="G5721" s="73">
        <v>0</v>
      </c>
      <c r="H5721" s="73">
        <v>0</v>
      </c>
      <c r="I5721" s="73">
        <v>0</v>
      </c>
      <c r="J5721" s="73">
        <v>0</v>
      </c>
    </row>
    <row r="5722" spans="1:10">
      <c r="A5722" s="88" t="s">
        <v>108</v>
      </c>
      <c r="B5722" s="88" t="s">
        <v>36</v>
      </c>
      <c r="C5722" s="159">
        <v>0.76388888888888895</v>
      </c>
      <c r="D5722" s="73">
        <v>0</v>
      </c>
      <c r="E5722" s="73">
        <v>0</v>
      </c>
      <c r="F5722" s="73">
        <v>0</v>
      </c>
      <c r="G5722" s="73">
        <v>0</v>
      </c>
      <c r="H5722" s="73">
        <v>0</v>
      </c>
      <c r="I5722" s="73">
        <v>0</v>
      </c>
      <c r="J5722" s="73">
        <v>0</v>
      </c>
    </row>
    <row r="5723" spans="1:10">
      <c r="A5723" s="88" t="s">
        <v>108</v>
      </c>
      <c r="B5723" s="88" t="s">
        <v>36</v>
      </c>
      <c r="C5723" s="159">
        <v>0.76458333333333295</v>
      </c>
      <c r="D5723" s="73">
        <v>0</v>
      </c>
      <c r="E5723" s="73">
        <v>0</v>
      </c>
      <c r="F5723" s="73">
        <v>0</v>
      </c>
      <c r="G5723" s="73">
        <v>0</v>
      </c>
      <c r="H5723" s="73">
        <v>0</v>
      </c>
      <c r="I5723" s="73">
        <v>0</v>
      </c>
      <c r="J5723" s="73">
        <v>0</v>
      </c>
    </row>
    <row r="5724" spans="1:10">
      <c r="A5724" s="88" t="s">
        <v>108</v>
      </c>
      <c r="B5724" s="88" t="s">
        <v>36</v>
      </c>
      <c r="C5724" s="159">
        <v>0.76527777777777795</v>
      </c>
      <c r="D5724" s="73">
        <v>0</v>
      </c>
      <c r="E5724" s="73">
        <v>0</v>
      </c>
      <c r="F5724" s="73">
        <v>0</v>
      </c>
      <c r="G5724" s="73">
        <v>0</v>
      </c>
      <c r="H5724" s="73">
        <v>0</v>
      </c>
      <c r="I5724" s="73">
        <v>0</v>
      </c>
      <c r="J5724" s="73">
        <v>0</v>
      </c>
    </row>
    <row r="5725" spans="1:10">
      <c r="A5725" s="88" t="s">
        <v>108</v>
      </c>
      <c r="B5725" s="88" t="s">
        <v>36</v>
      </c>
      <c r="C5725" s="159">
        <v>0.76597222222222205</v>
      </c>
      <c r="D5725" s="73">
        <v>0</v>
      </c>
      <c r="E5725" s="73">
        <v>0</v>
      </c>
      <c r="F5725" s="73">
        <v>0</v>
      </c>
      <c r="G5725" s="73">
        <v>0</v>
      </c>
      <c r="H5725" s="73">
        <v>0</v>
      </c>
      <c r="I5725" s="73">
        <v>0</v>
      </c>
      <c r="J5725" s="73">
        <v>0</v>
      </c>
    </row>
    <row r="5726" spans="1:10">
      <c r="A5726" s="88" t="s">
        <v>108</v>
      </c>
      <c r="B5726" s="88" t="s">
        <v>36</v>
      </c>
      <c r="C5726" s="159">
        <v>0.76666666666666605</v>
      </c>
      <c r="D5726" s="73">
        <v>0</v>
      </c>
      <c r="E5726" s="73">
        <v>0</v>
      </c>
      <c r="F5726" s="73">
        <v>0</v>
      </c>
      <c r="G5726" s="73">
        <v>0</v>
      </c>
      <c r="H5726" s="73">
        <v>0</v>
      </c>
      <c r="I5726" s="73">
        <v>0</v>
      </c>
      <c r="J5726" s="73">
        <v>0</v>
      </c>
    </row>
    <row r="5727" spans="1:10">
      <c r="A5727" s="88" t="s">
        <v>108</v>
      </c>
      <c r="B5727" s="88" t="s">
        <v>36</v>
      </c>
      <c r="C5727" s="159">
        <v>0.76736111111111105</v>
      </c>
      <c r="D5727" s="73">
        <v>0</v>
      </c>
      <c r="E5727" s="73">
        <v>0</v>
      </c>
      <c r="F5727" s="73">
        <v>0</v>
      </c>
      <c r="G5727" s="73">
        <v>0</v>
      </c>
      <c r="H5727" s="73">
        <v>0</v>
      </c>
      <c r="I5727" s="73">
        <v>0</v>
      </c>
      <c r="J5727" s="73">
        <v>0</v>
      </c>
    </row>
    <row r="5728" spans="1:10">
      <c r="A5728" s="88" t="s">
        <v>108</v>
      </c>
      <c r="B5728" s="88" t="s">
        <v>36</v>
      </c>
      <c r="C5728" s="159">
        <v>0.76805555555555505</v>
      </c>
      <c r="D5728" s="73">
        <v>0</v>
      </c>
      <c r="E5728" s="73">
        <v>0</v>
      </c>
      <c r="F5728" s="73">
        <v>0</v>
      </c>
      <c r="G5728" s="73">
        <v>0</v>
      </c>
      <c r="H5728" s="73">
        <v>0</v>
      </c>
      <c r="I5728" s="73">
        <v>0</v>
      </c>
      <c r="J5728" s="73">
        <v>0</v>
      </c>
    </row>
    <row r="5729" spans="1:10">
      <c r="A5729" s="88" t="s">
        <v>108</v>
      </c>
      <c r="B5729" s="88" t="s">
        <v>36</v>
      </c>
      <c r="C5729" s="159">
        <v>0.76875000000000004</v>
      </c>
      <c r="D5729" s="73">
        <v>0</v>
      </c>
      <c r="E5729" s="73">
        <v>0</v>
      </c>
      <c r="F5729" s="73">
        <v>0</v>
      </c>
      <c r="G5729" s="73">
        <v>0</v>
      </c>
      <c r="H5729" s="73">
        <v>0</v>
      </c>
      <c r="I5729" s="73">
        <v>0</v>
      </c>
      <c r="J5729" s="73">
        <v>0</v>
      </c>
    </row>
    <row r="5730" spans="1:10">
      <c r="A5730" s="88" t="s">
        <v>108</v>
      </c>
      <c r="B5730" s="88" t="s">
        <v>36</v>
      </c>
      <c r="C5730" s="159">
        <v>0.76944444444444404</v>
      </c>
      <c r="D5730" s="73">
        <v>0</v>
      </c>
      <c r="E5730" s="73">
        <v>0</v>
      </c>
      <c r="F5730" s="73">
        <v>0</v>
      </c>
      <c r="G5730" s="73">
        <v>0</v>
      </c>
      <c r="H5730" s="73">
        <v>0</v>
      </c>
      <c r="I5730" s="73">
        <v>0</v>
      </c>
      <c r="J5730" s="73">
        <v>0</v>
      </c>
    </row>
    <row r="5731" spans="1:10" s="80" customFormat="1">
      <c r="A5731" s="91" t="s">
        <v>108</v>
      </c>
      <c r="B5731" s="91" t="s">
        <v>36</v>
      </c>
      <c r="C5731" s="161">
        <v>0.77013888888888904</v>
      </c>
      <c r="D5731" s="163">
        <v>0</v>
      </c>
      <c r="E5731" s="163">
        <v>0</v>
      </c>
      <c r="F5731" s="163">
        <v>0</v>
      </c>
      <c r="G5731" s="163">
        <v>0</v>
      </c>
      <c r="H5731" s="163">
        <v>0</v>
      </c>
      <c r="I5731" s="163">
        <v>0</v>
      </c>
      <c r="J5731" s="163">
        <v>0</v>
      </c>
    </row>
    <row r="5732" spans="1:10">
      <c r="A5732" s="88" t="s">
        <v>108</v>
      </c>
      <c r="B5732" s="88" t="s">
        <v>36</v>
      </c>
      <c r="C5732" s="159">
        <v>0.77083333333333304</v>
      </c>
      <c r="D5732" s="164">
        <v>0</v>
      </c>
      <c r="E5732" s="164">
        <v>0</v>
      </c>
      <c r="F5732" s="164">
        <v>0</v>
      </c>
      <c r="G5732" s="164">
        <v>0</v>
      </c>
      <c r="H5732" s="164">
        <v>0</v>
      </c>
      <c r="I5732" s="164">
        <v>0</v>
      </c>
      <c r="J5732" s="164">
        <v>0</v>
      </c>
    </row>
    <row r="5733" spans="1:10">
      <c r="A5733" s="88" t="s">
        <v>108</v>
      </c>
      <c r="B5733" s="88" t="s">
        <v>36</v>
      </c>
      <c r="C5733" s="159">
        <v>0.77152777777777803</v>
      </c>
      <c r="D5733" s="73">
        <v>0</v>
      </c>
      <c r="E5733" s="73">
        <v>0</v>
      </c>
      <c r="F5733" s="73">
        <v>0</v>
      </c>
      <c r="G5733" s="73">
        <v>0</v>
      </c>
      <c r="H5733" s="73">
        <v>0</v>
      </c>
      <c r="I5733" s="73">
        <v>0</v>
      </c>
      <c r="J5733" s="73">
        <v>0</v>
      </c>
    </row>
    <row r="5734" spans="1:10">
      <c r="A5734" s="88" t="s">
        <v>108</v>
      </c>
      <c r="B5734" s="88" t="s">
        <v>36</v>
      </c>
      <c r="C5734" s="159">
        <v>0.77222222222222203</v>
      </c>
      <c r="D5734" s="73">
        <v>0</v>
      </c>
      <c r="E5734" s="73">
        <v>0</v>
      </c>
      <c r="F5734" s="73">
        <v>0</v>
      </c>
      <c r="G5734" s="73">
        <v>0</v>
      </c>
      <c r="H5734" s="73">
        <v>0</v>
      </c>
      <c r="I5734" s="73">
        <v>0</v>
      </c>
      <c r="J5734" s="73">
        <v>0</v>
      </c>
    </row>
    <row r="5735" spans="1:10">
      <c r="A5735" s="88" t="s">
        <v>108</v>
      </c>
      <c r="B5735" s="88" t="s">
        <v>36</v>
      </c>
      <c r="C5735" s="159">
        <v>0.77291666666666603</v>
      </c>
      <c r="D5735" s="73">
        <v>0</v>
      </c>
      <c r="E5735" s="73">
        <v>0</v>
      </c>
      <c r="F5735" s="73">
        <v>0</v>
      </c>
      <c r="G5735" s="73">
        <v>0</v>
      </c>
      <c r="H5735" s="73">
        <v>0</v>
      </c>
      <c r="I5735" s="73">
        <v>0</v>
      </c>
      <c r="J5735" s="73">
        <v>0</v>
      </c>
    </row>
    <row r="5736" spans="1:10">
      <c r="A5736" s="88" t="s">
        <v>108</v>
      </c>
      <c r="B5736" s="88" t="s">
        <v>36</v>
      </c>
      <c r="C5736" s="159">
        <v>0.77361111111111103</v>
      </c>
      <c r="D5736" s="73">
        <v>0</v>
      </c>
      <c r="E5736" s="73">
        <v>0</v>
      </c>
      <c r="F5736" s="73">
        <v>0</v>
      </c>
      <c r="G5736" s="73">
        <v>0</v>
      </c>
      <c r="H5736" s="73">
        <v>0</v>
      </c>
      <c r="I5736" s="73">
        <v>0</v>
      </c>
      <c r="J5736" s="73">
        <v>0</v>
      </c>
    </row>
    <row r="5737" spans="1:10">
      <c r="A5737" s="88" t="s">
        <v>108</v>
      </c>
      <c r="B5737" s="88" t="s">
        <v>36</v>
      </c>
      <c r="C5737" s="159">
        <v>0.77430555555555503</v>
      </c>
      <c r="D5737" s="73">
        <v>0</v>
      </c>
      <c r="E5737" s="73">
        <v>0</v>
      </c>
      <c r="F5737" s="73">
        <v>0</v>
      </c>
      <c r="G5737" s="73">
        <v>0</v>
      </c>
      <c r="H5737" s="73">
        <v>0</v>
      </c>
      <c r="I5737" s="73">
        <v>0</v>
      </c>
      <c r="J5737" s="73">
        <v>0</v>
      </c>
    </row>
    <row r="5738" spans="1:10">
      <c r="A5738" s="88" t="s">
        <v>108</v>
      </c>
      <c r="B5738" s="88" t="s">
        <v>36</v>
      </c>
      <c r="C5738" s="159">
        <v>0.77500000000000002</v>
      </c>
      <c r="D5738" s="73">
        <v>0</v>
      </c>
      <c r="E5738" s="73">
        <v>0</v>
      </c>
      <c r="F5738" s="73">
        <v>0</v>
      </c>
      <c r="G5738" s="73">
        <v>0</v>
      </c>
      <c r="H5738" s="73">
        <v>0</v>
      </c>
      <c r="I5738" s="73">
        <v>0</v>
      </c>
      <c r="J5738" s="73">
        <v>0</v>
      </c>
    </row>
    <row r="5739" spans="1:10">
      <c r="A5739" s="88" t="s">
        <v>108</v>
      </c>
      <c r="B5739" s="88" t="s">
        <v>36</v>
      </c>
      <c r="C5739" s="159">
        <v>0.77569444444444402</v>
      </c>
      <c r="D5739" s="73">
        <v>0</v>
      </c>
      <c r="E5739" s="73">
        <v>0</v>
      </c>
      <c r="F5739" s="73">
        <v>0</v>
      </c>
      <c r="G5739" s="73">
        <v>0</v>
      </c>
      <c r="H5739" s="73">
        <v>0</v>
      </c>
      <c r="I5739" s="73">
        <v>0</v>
      </c>
      <c r="J5739" s="73">
        <v>0</v>
      </c>
    </row>
    <row r="5740" spans="1:10">
      <c r="A5740" s="88" t="s">
        <v>108</v>
      </c>
      <c r="B5740" s="88" t="s">
        <v>36</v>
      </c>
      <c r="C5740" s="159">
        <v>0.77638888888888902</v>
      </c>
      <c r="D5740" s="73">
        <v>0</v>
      </c>
      <c r="E5740" s="73">
        <v>0</v>
      </c>
      <c r="F5740" s="73">
        <v>0</v>
      </c>
      <c r="G5740" s="73">
        <v>0</v>
      </c>
      <c r="H5740" s="73">
        <v>0</v>
      </c>
      <c r="I5740" s="73">
        <v>0</v>
      </c>
      <c r="J5740" s="73">
        <v>0</v>
      </c>
    </row>
    <row r="5741" spans="1:10">
      <c r="A5741" s="88" t="s">
        <v>108</v>
      </c>
      <c r="B5741" s="88" t="s">
        <v>36</v>
      </c>
      <c r="C5741" s="159">
        <v>0.77708333333333302</v>
      </c>
      <c r="D5741" s="73">
        <v>0</v>
      </c>
      <c r="E5741" s="73">
        <v>0</v>
      </c>
      <c r="F5741" s="73">
        <v>0</v>
      </c>
      <c r="G5741" s="73">
        <v>0</v>
      </c>
      <c r="H5741" s="73">
        <v>0</v>
      </c>
      <c r="I5741" s="73">
        <v>0</v>
      </c>
      <c r="J5741" s="73">
        <v>0</v>
      </c>
    </row>
    <row r="5742" spans="1:10">
      <c r="A5742" s="88" t="s">
        <v>108</v>
      </c>
      <c r="B5742" s="88" t="s">
        <v>36</v>
      </c>
      <c r="C5742" s="159">
        <v>0.77777777777777801</v>
      </c>
      <c r="D5742" s="73">
        <v>0</v>
      </c>
      <c r="E5742" s="73">
        <v>0</v>
      </c>
      <c r="F5742" s="73">
        <v>0</v>
      </c>
      <c r="G5742" s="73">
        <v>0</v>
      </c>
      <c r="H5742" s="73">
        <v>0</v>
      </c>
      <c r="I5742" s="73">
        <v>0</v>
      </c>
      <c r="J5742" s="73">
        <v>0</v>
      </c>
    </row>
    <row r="5743" spans="1:10">
      <c r="A5743" s="88" t="s">
        <v>108</v>
      </c>
      <c r="B5743" s="88" t="s">
        <v>36</v>
      </c>
      <c r="C5743" s="159">
        <v>0.77847222222222201</v>
      </c>
      <c r="D5743" s="73">
        <v>0</v>
      </c>
      <c r="E5743" s="73">
        <v>0</v>
      </c>
      <c r="F5743" s="73">
        <v>0</v>
      </c>
      <c r="G5743" s="73">
        <v>0</v>
      </c>
      <c r="H5743" s="73">
        <v>0</v>
      </c>
      <c r="I5743" s="73">
        <v>0</v>
      </c>
      <c r="J5743" s="73">
        <v>0</v>
      </c>
    </row>
    <row r="5744" spans="1:10">
      <c r="A5744" s="88" t="s">
        <v>108</v>
      </c>
      <c r="B5744" s="88" t="s">
        <v>36</v>
      </c>
      <c r="C5744" s="159">
        <v>0.77916666666666601</v>
      </c>
      <c r="D5744" s="73">
        <v>0</v>
      </c>
      <c r="E5744" s="73">
        <v>0</v>
      </c>
      <c r="F5744" s="73">
        <v>0</v>
      </c>
      <c r="G5744" s="73">
        <v>0</v>
      </c>
      <c r="H5744" s="73">
        <v>0</v>
      </c>
      <c r="I5744" s="73">
        <v>0</v>
      </c>
      <c r="J5744" s="73">
        <v>0</v>
      </c>
    </row>
    <row r="5745" spans="1:10">
      <c r="A5745" s="88" t="s">
        <v>108</v>
      </c>
      <c r="B5745" s="88" t="s">
        <v>36</v>
      </c>
      <c r="C5745" s="159">
        <v>0.77986111111111101</v>
      </c>
      <c r="D5745" s="73">
        <v>0</v>
      </c>
      <c r="E5745" s="73">
        <v>0</v>
      </c>
      <c r="F5745" s="73">
        <v>0</v>
      </c>
      <c r="G5745" s="73">
        <v>0</v>
      </c>
      <c r="H5745" s="73">
        <v>0</v>
      </c>
      <c r="I5745" s="73">
        <v>0</v>
      </c>
      <c r="J5745" s="73">
        <v>0</v>
      </c>
    </row>
    <row r="5746" spans="1:10" s="80" customFormat="1">
      <c r="A5746" s="91" t="s">
        <v>108</v>
      </c>
      <c r="B5746" s="91" t="s">
        <v>36</v>
      </c>
      <c r="C5746" s="161">
        <v>0.780555555555555</v>
      </c>
      <c r="D5746" s="163">
        <v>0</v>
      </c>
      <c r="E5746" s="163">
        <v>0</v>
      </c>
      <c r="F5746" s="163">
        <v>0</v>
      </c>
      <c r="G5746" s="163">
        <v>0</v>
      </c>
      <c r="H5746" s="163">
        <v>0</v>
      </c>
      <c r="I5746" s="163">
        <v>0</v>
      </c>
      <c r="J5746" s="163">
        <v>0</v>
      </c>
    </row>
    <row r="5747" spans="1:10">
      <c r="A5747" s="88" t="s">
        <v>108</v>
      </c>
      <c r="B5747" s="88" t="s">
        <v>36</v>
      </c>
      <c r="C5747" s="159">
        <v>0.78125</v>
      </c>
      <c r="D5747" s="164">
        <v>0</v>
      </c>
      <c r="E5747" s="164">
        <v>0</v>
      </c>
      <c r="F5747" s="164">
        <v>0</v>
      </c>
      <c r="G5747" s="164">
        <v>0</v>
      </c>
      <c r="H5747" s="164">
        <v>0</v>
      </c>
      <c r="I5747" s="164">
        <v>0</v>
      </c>
      <c r="J5747" s="164">
        <v>0</v>
      </c>
    </row>
    <row r="5748" spans="1:10">
      <c r="A5748" s="88" t="s">
        <v>108</v>
      </c>
      <c r="B5748" s="88" t="s">
        <v>36</v>
      </c>
      <c r="C5748" s="159">
        <v>0.781944444444444</v>
      </c>
      <c r="D5748" s="73">
        <v>0</v>
      </c>
      <c r="E5748" s="73">
        <v>0</v>
      </c>
      <c r="F5748" s="73">
        <v>0</v>
      </c>
      <c r="G5748" s="73">
        <v>0</v>
      </c>
      <c r="H5748" s="73">
        <v>0</v>
      </c>
      <c r="I5748" s="73">
        <v>0</v>
      </c>
      <c r="J5748" s="73">
        <v>0</v>
      </c>
    </row>
    <row r="5749" spans="1:10">
      <c r="A5749" s="88" t="s">
        <v>108</v>
      </c>
      <c r="B5749" s="88" t="s">
        <v>36</v>
      </c>
      <c r="C5749" s="159">
        <v>0.78263888888888899</v>
      </c>
      <c r="D5749" s="73">
        <v>0</v>
      </c>
      <c r="E5749" s="73">
        <v>0</v>
      </c>
      <c r="F5749" s="73">
        <v>0</v>
      </c>
      <c r="G5749" s="73">
        <v>0</v>
      </c>
      <c r="H5749" s="73">
        <v>0</v>
      </c>
      <c r="I5749" s="73">
        <v>0</v>
      </c>
      <c r="J5749" s="73">
        <v>0</v>
      </c>
    </row>
    <row r="5750" spans="1:10">
      <c r="A5750" s="88" t="s">
        <v>108</v>
      </c>
      <c r="B5750" s="88" t="s">
        <v>36</v>
      </c>
      <c r="C5750" s="159">
        <v>0.78333333333333299</v>
      </c>
      <c r="D5750" s="73">
        <v>0</v>
      </c>
      <c r="E5750" s="73">
        <v>0</v>
      </c>
      <c r="F5750" s="73">
        <v>0</v>
      </c>
      <c r="G5750" s="73">
        <v>0</v>
      </c>
      <c r="H5750" s="73">
        <v>0</v>
      </c>
      <c r="I5750" s="73">
        <v>0</v>
      </c>
      <c r="J5750" s="73">
        <v>0</v>
      </c>
    </row>
    <row r="5751" spans="1:10">
      <c r="A5751" s="88" t="s">
        <v>108</v>
      </c>
      <c r="B5751" s="88" t="s">
        <v>36</v>
      </c>
      <c r="C5751" s="159">
        <v>0.78402777777777799</v>
      </c>
      <c r="D5751" s="73">
        <v>0</v>
      </c>
      <c r="E5751" s="73">
        <v>0</v>
      </c>
      <c r="F5751" s="73">
        <v>0</v>
      </c>
      <c r="G5751" s="73">
        <v>0</v>
      </c>
      <c r="H5751" s="73">
        <v>0</v>
      </c>
      <c r="I5751" s="73">
        <v>0</v>
      </c>
      <c r="J5751" s="73">
        <v>0</v>
      </c>
    </row>
    <row r="5752" spans="1:10">
      <c r="A5752" s="88" t="s">
        <v>108</v>
      </c>
      <c r="B5752" s="88" t="s">
        <v>36</v>
      </c>
      <c r="C5752" s="159">
        <v>0.78472222222222199</v>
      </c>
      <c r="D5752" s="73">
        <v>0</v>
      </c>
      <c r="E5752" s="73">
        <v>0</v>
      </c>
      <c r="F5752" s="73">
        <v>0</v>
      </c>
      <c r="G5752" s="73">
        <v>0</v>
      </c>
      <c r="H5752" s="73">
        <v>0</v>
      </c>
      <c r="I5752" s="73">
        <v>0</v>
      </c>
      <c r="J5752" s="73">
        <v>0</v>
      </c>
    </row>
    <row r="5753" spans="1:10">
      <c r="A5753" s="88" t="s">
        <v>108</v>
      </c>
      <c r="B5753" s="88" t="s">
        <v>36</v>
      </c>
      <c r="C5753" s="159">
        <v>0.78541666666666599</v>
      </c>
      <c r="D5753" s="73">
        <v>0</v>
      </c>
      <c r="E5753" s="73">
        <v>0</v>
      </c>
      <c r="F5753" s="73">
        <v>0</v>
      </c>
      <c r="G5753" s="73">
        <v>0</v>
      </c>
      <c r="H5753" s="73">
        <v>0</v>
      </c>
      <c r="I5753" s="73">
        <v>0</v>
      </c>
      <c r="J5753" s="73">
        <v>0</v>
      </c>
    </row>
    <row r="5754" spans="1:10">
      <c r="A5754" s="88" t="s">
        <v>108</v>
      </c>
      <c r="B5754" s="88" t="s">
        <v>36</v>
      </c>
      <c r="C5754" s="159">
        <v>0.78611111111111098</v>
      </c>
      <c r="D5754" s="73">
        <v>0</v>
      </c>
      <c r="E5754" s="73">
        <v>0</v>
      </c>
      <c r="F5754" s="73">
        <v>0</v>
      </c>
      <c r="G5754" s="73">
        <v>0</v>
      </c>
      <c r="H5754" s="73">
        <v>0</v>
      </c>
      <c r="I5754" s="73">
        <v>0</v>
      </c>
      <c r="J5754" s="73">
        <v>0</v>
      </c>
    </row>
    <row r="5755" spans="1:10">
      <c r="A5755" s="88" t="s">
        <v>108</v>
      </c>
      <c r="B5755" s="88" t="s">
        <v>36</v>
      </c>
      <c r="C5755" s="159">
        <v>0.78680555555555498</v>
      </c>
      <c r="D5755" s="73">
        <v>0</v>
      </c>
      <c r="E5755" s="73">
        <v>0</v>
      </c>
      <c r="F5755" s="73">
        <v>0</v>
      </c>
      <c r="G5755" s="73">
        <v>0</v>
      </c>
      <c r="H5755" s="73">
        <v>0</v>
      </c>
      <c r="I5755" s="73">
        <v>0</v>
      </c>
      <c r="J5755" s="73">
        <v>0</v>
      </c>
    </row>
    <row r="5756" spans="1:10">
      <c r="A5756" s="88" t="s">
        <v>108</v>
      </c>
      <c r="B5756" s="88" t="s">
        <v>36</v>
      </c>
      <c r="C5756" s="159">
        <v>0.78749999999999998</v>
      </c>
      <c r="D5756" s="73">
        <v>0</v>
      </c>
      <c r="E5756" s="73">
        <v>0</v>
      </c>
      <c r="F5756" s="73">
        <v>0</v>
      </c>
      <c r="G5756" s="73">
        <v>0</v>
      </c>
      <c r="H5756" s="73">
        <v>0</v>
      </c>
      <c r="I5756" s="73">
        <v>0</v>
      </c>
      <c r="J5756" s="73">
        <v>0</v>
      </c>
    </row>
    <row r="5757" spans="1:10">
      <c r="A5757" s="88" t="s">
        <v>108</v>
      </c>
      <c r="B5757" s="88" t="s">
        <v>36</v>
      </c>
      <c r="C5757" s="159">
        <v>0.78819444444444398</v>
      </c>
      <c r="D5757" s="73">
        <v>0</v>
      </c>
      <c r="E5757" s="73">
        <v>0</v>
      </c>
      <c r="F5757" s="73">
        <v>0</v>
      </c>
      <c r="G5757" s="73">
        <v>0</v>
      </c>
      <c r="H5757" s="73">
        <v>0</v>
      </c>
      <c r="I5757" s="73">
        <v>0</v>
      </c>
      <c r="J5757" s="73">
        <v>0</v>
      </c>
    </row>
    <row r="5758" spans="1:10">
      <c r="A5758" s="88" t="s">
        <v>108</v>
      </c>
      <c r="B5758" s="88" t="s">
        <v>36</v>
      </c>
      <c r="C5758" s="159">
        <v>0.78888888888888897</v>
      </c>
      <c r="D5758" s="73">
        <v>0</v>
      </c>
      <c r="E5758" s="73">
        <v>0</v>
      </c>
      <c r="F5758" s="73">
        <v>0</v>
      </c>
      <c r="G5758" s="73">
        <v>0</v>
      </c>
      <c r="H5758" s="73">
        <v>0</v>
      </c>
      <c r="I5758" s="73">
        <v>0</v>
      </c>
      <c r="J5758" s="73">
        <v>0</v>
      </c>
    </row>
    <row r="5759" spans="1:10">
      <c r="A5759" s="88" t="s">
        <v>108</v>
      </c>
      <c r="B5759" s="88" t="s">
        <v>36</v>
      </c>
      <c r="C5759" s="159">
        <v>0.78958333333333297</v>
      </c>
      <c r="D5759" s="73">
        <v>0</v>
      </c>
      <c r="E5759" s="73">
        <v>0</v>
      </c>
      <c r="F5759" s="73">
        <v>0</v>
      </c>
      <c r="G5759" s="73">
        <v>0</v>
      </c>
      <c r="H5759" s="73">
        <v>0</v>
      </c>
      <c r="I5759" s="73">
        <v>0</v>
      </c>
      <c r="J5759" s="73">
        <v>0</v>
      </c>
    </row>
    <row r="5760" spans="1:10">
      <c r="A5760" s="88" t="s">
        <v>108</v>
      </c>
      <c r="B5760" s="88" t="s">
        <v>36</v>
      </c>
      <c r="C5760" s="159">
        <v>0.79027777777777797</v>
      </c>
      <c r="D5760" s="73">
        <v>0</v>
      </c>
      <c r="E5760" s="73">
        <v>0</v>
      </c>
      <c r="F5760" s="73">
        <v>0</v>
      </c>
      <c r="G5760" s="73">
        <v>0</v>
      </c>
      <c r="H5760" s="73">
        <v>0</v>
      </c>
      <c r="I5760" s="73">
        <v>0</v>
      </c>
      <c r="J5760" s="73">
        <v>0</v>
      </c>
    </row>
    <row r="5761" spans="1:10" s="28" customFormat="1" ht="17.5" thickBot="1">
      <c r="A5761" s="103" t="s">
        <v>108</v>
      </c>
      <c r="B5761" s="103" t="s">
        <v>36</v>
      </c>
      <c r="C5761" s="160">
        <v>0.83194444444444504</v>
      </c>
      <c r="D5761" s="165">
        <v>0</v>
      </c>
      <c r="E5761" s="165">
        <v>0</v>
      </c>
      <c r="F5761" s="165">
        <v>0</v>
      </c>
      <c r="G5761" s="165">
        <v>0</v>
      </c>
      <c r="H5761" s="165">
        <v>0</v>
      </c>
      <c r="I5761" s="165">
        <v>0</v>
      </c>
      <c r="J5761" s="165">
        <v>0</v>
      </c>
    </row>
    <row r="5762" spans="1:10">
      <c r="A5762" s="88" t="s">
        <v>108</v>
      </c>
      <c r="B5762" s="88" t="s">
        <v>37</v>
      </c>
      <c r="C5762" s="159">
        <v>0.70833333333333337</v>
      </c>
      <c r="D5762" s="162">
        <v>0</v>
      </c>
      <c r="E5762" s="162">
        <v>0</v>
      </c>
      <c r="F5762" s="162">
        <v>0</v>
      </c>
      <c r="G5762" s="162">
        <v>0</v>
      </c>
      <c r="H5762" s="162">
        <v>0</v>
      </c>
      <c r="I5762" s="162">
        <v>0</v>
      </c>
      <c r="J5762" s="162">
        <v>0</v>
      </c>
    </row>
    <row r="5763" spans="1:10">
      <c r="A5763" s="88" t="s">
        <v>108</v>
      </c>
      <c r="B5763" s="88" t="s">
        <v>37</v>
      </c>
      <c r="C5763" s="159">
        <v>0.70902777777777781</v>
      </c>
      <c r="D5763" s="73">
        <v>0</v>
      </c>
      <c r="E5763" s="73">
        <v>0</v>
      </c>
      <c r="F5763" s="73">
        <v>0</v>
      </c>
      <c r="G5763" s="73">
        <v>0</v>
      </c>
      <c r="H5763" s="73">
        <v>0</v>
      </c>
      <c r="I5763" s="73">
        <v>0</v>
      </c>
      <c r="J5763" s="73">
        <v>0</v>
      </c>
    </row>
    <row r="5764" spans="1:10">
      <c r="A5764" s="88" t="s">
        <v>108</v>
      </c>
      <c r="B5764" s="88" t="s">
        <v>37</v>
      </c>
      <c r="C5764" s="159">
        <v>0.70972222222222203</v>
      </c>
      <c r="D5764" s="73">
        <v>0</v>
      </c>
      <c r="E5764" s="73">
        <v>0</v>
      </c>
      <c r="F5764" s="73">
        <v>0</v>
      </c>
      <c r="G5764" s="73">
        <v>0</v>
      </c>
      <c r="H5764" s="73">
        <v>0</v>
      </c>
      <c r="I5764" s="73">
        <v>0</v>
      </c>
      <c r="J5764" s="73">
        <v>0</v>
      </c>
    </row>
    <row r="5765" spans="1:10">
      <c r="A5765" s="88" t="s">
        <v>108</v>
      </c>
      <c r="B5765" s="88" t="s">
        <v>37</v>
      </c>
      <c r="C5765" s="159">
        <v>0.71041666666666703</v>
      </c>
      <c r="D5765" s="73">
        <v>0</v>
      </c>
      <c r="E5765" s="73">
        <v>0</v>
      </c>
      <c r="F5765" s="73">
        <v>0</v>
      </c>
      <c r="G5765" s="73">
        <v>0</v>
      </c>
      <c r="H5765" s="73">
        <v>0</v>
      </c>
      <c r="I5765" s="73">
        <v>0</v>
      </c>
      <c r="J5765" s="73">
        <v>0</v>
      </c>
    </row>
    <row r="5766" spans="1:10">
      <c r="A5766" s="88" t="s">
        <v>108</v>
      </c>
      <c r="B5766" s="88" t="s">
        <v>37</v>
      </c>
      <c r="C5766" s="159">
        <v>0.71111111111111103</v>
      </c>
      <c r="D5766" s="73">
        <v>0</v>
      </c>
      <c r="E5766" s="73">
        <v>0</v>
      </c>
      <c r="F5766" s="73">
        <v>0</v>
      </c>
      <c r="G5766" s="73">
        <v>0</v>
      </c>
      <c r="H5766" s="73">
        <v>0</v>
      </c>
      <c r="I5766" s="73">
        <v>0</v>
      </c>
      <c r="J5766" s="73">
        <v>0</v>
      </c>
    </row>
    <row r="5767" spans="1:10">
      <c r="A5767" s="88" t="s">
        <v>108</v>
      </c>
      <c r="B5767" s="88" t="s">
        <v>37</v>
      </c>
      <c r="C5767" s="159">
        <v>0.71180555555555602</v>
      </c>
      <c r="D5767" s="73">
        <v>0</v>
      </c>
      <c r="E5767" s="73">
        <v>0</v>
      </c>
      <c r="F5767" s="73">
        <v>0</v>
      </c>
      <c r="G5767" s="73">
        <v>0</v>
      </c>
      <c r="H5767" s="73">
        <v>0</v>
      </c>
      <c r="I5767" s="73">
        <v>0</v>
      </c>
      <c r="J5767" s="73">
        <v>0</v>
      </c>
    </row>
    <row r="5768" spans="1:10">
      <c r="A5768" s="88" t="s">
        <v>108</v>
      </c>
      <c r="B5768" s="88" t="s">
        <v>37</v>
      </c>
      <c r="C5768" s="159">
        <v>0.71250000000000002</v>
      </c>
      <c r="D5768" s="73">
        <v>0</v>
      </c>
      <c r="E5768" s="73">
        <v>0</v>
      </c>
      <c r="F5768" s="73">
        <v>0</v>
      </c>
      <c r="G5768" s="73">
        <v>0</v>
      </c>
      <c r="H5768" s="73">
        <v>0</v>
      </c>
      <c r="I5768" s="73">
        <v>0</v>
      </c>
      <c r="J5768" s="73">
        <v>0</v>
      </c>
    </row>
    <row r="5769" spans="1:10">
      <c r="A5769" s="88" t="s">
        <v>108</v>
      </c>
      <c r="B5769" s="88" t="s">
        <v>37</v>
      </c>
      <c r="C5769" s="159">
        <v>0.71319444444444402</v>
      </c>
      <c r="D5769" s="73">
        <v>0</v>
      </c>
      <c r="E5769" s="73">
        <v>0</v>
      </c>
      <c r="F5769" s="73">
        <v>0</v>
      </c>
      <c r="G5769" s="73">
        <v>0</v>
      </c>
      <c r="H5769" s="73">
        <v>0</v>
      </c>
      <c r="I5769" s="73">
        <v>0</v>
      </c>
      <c r="J5769" s="73">
        <v>0</v>
      </c>
    </row>
    <row r="5770" spans="1:10">
      <c r="A5770" s="88" t="s">
        <v>108</v>
      </c>
      <c r="B5770" s="88" t="s">
        <v>37</v>
      </c>
      <c r="C5770" s="159">
        <v>0.71388888888888902</v>
      </c>
      <c r="D5770" s="73">
        <v>0</v>
      </c>
      <c r="E5770" s="73">
        <v>0</v>
      </c>
      <c r="F5770" s="73">
        <v>0</v>
      </c>
      <c r="G5770" s="73">
        <v>0</v>
      </c>
      <c r="H5770" s="73">
        <v>0</v>
      </c>
      <c r="I5770" s="73">
        <v>0</v>
      </c>
      <c r="J5770" s="73">
        <v>0</v>
      </c>
    </row>
    <row r="5771" spans="1:10">
      <c r="A5771" s="88" t="s">
        <v>108</v>
      </c>
      <c r="B5771" s="88" t="s">
        <v>37</v>
      </c>
      <c r="C5771" s="159">
        <v>0.71458333333333302</v>
      </c>
      <c r="D5771" s="73">
        <v>0</v>
      </c>
      <c r="E5771" s="73">
        <v>0</v>
      </c>
      <c r="F5771" s="73">
        <v>0</v>
      </c>
      <c r="G5771" s="73">
        <v>0</v>
      </c>
      <c r="H5771" s="73">
        <v>0</v>
      </c>
      <c r="I5771" s="73">
        <v>0</v>
      </c>
      <c r="J5771" s="73">
        <v>0</v>
      </c>
    </row>
    <row r="5772" spans="1:10">
      <c r="A5772" s="88" t="s">
        <v>108</v>
      </c>
      <c r="B5772" s="88" t="s">
        <v>37</v>
      </c>
      <c r="C5772" s="159">
        <v>0.71527777777777801</v>
      </c>
      <c r="D5772" s="73">
        <v>0</v>
      </c>
      <c r="E5772" s="73">
        <v>0</v>
      </c>
      <c r="F5772" s="73">
        <v>0</v>
      </c>
      <c r="G5772" s="73">
        <v>0</v>
      </c>
      <c r="H5772" s="73">
        <v>0</v>
      </c>
      <c r="I5772" s="73">
        <v>0</v>
      </c>
      <c r="J5772" s="73">
        <v>0</v>
      </c>
    </row>
    <row r="5773" spans="1:10">
      <c r="A5773" s="88" t="s">
        <v>108</v>
      </c>
      <c r="B5773" s="88" t="s">
        <v>37</v>
      </c>
      <c r="C5773" s="159">
        <v>0.71597222222222201</v>
      </c>
      <c r="D5773" s="73">
        <v>0</v>
      </c>
      <c r="E5773" s="73">
        <v>0</v>
      </c>
      <c r="F5773" s="73">
        <v>0</v>
      </c>
      <c r="G5773" s="73">
        <v>0</v>
      </c>
      <c r="H5773" s="73">
        <v>0</v>
      </c>
      <c r="I5773" s="73">
        <v>0</v>
      </c>
      <c r="J5773" s="73">
        <v>0</v>
      </c>
    </row>
    <row r="5774" spans="1:10">
      <c r="A5774" s="88" t="s">
        <v>108</v>
      </c>
      <c r="B5774" s="88" t="s">
        <v>37</v>
      </c>
      <c r="C5774" s="159">
        <v>0.71666666666666701</v>
      </c>
      <c r="D5774" s="73">
        <v>0</v>
      </c>
      <c r="E5774" s="73">
        <v>0</v>
      </c>
      <c r="F5774" s="73">
        <v>0</v>
      </c>
      <c r="G5774" s="73">
        <v>0</v>
      </c>
      <c r="H5774" s="73">
        <v>0</v>
      </c>
      <c r="I5774" s="73">
        <v>0</v>
      </c>
      <c r="J5774" s="73">
        <v>0</v>
      </c>
    </row>
    <row r="5775" spans="1:10">
      <c r="A5775" s="88" t="s">
        <v>108</v>
      </c>
      <c r="B5775" s="88" t="s">
        <v>37</v>
      </c>
      <c r="C5775" s="159">
        <v>0.71736111111111101</v>
      </c>
      <c r="D5775" s="73">
        <v>0</v>
      </c>
      <c r="E5775" s="73">
        <v>0</v>
      </c>
      <c r="F5775" s="73">
        <v>0</v>
      </c>
      <c r="G5775" s="73">
        <v>0</v>
      </c>
      <c r="H5775" s="73">
        <v>0</v>
      </c>
      <c r="I5775" s="73">
        <v>0</v>
      </c>
      <c r="J5775" s="73">
        <v>0</v>
      </c>
    </row>
    <row r="5776" spans="1:10" s="80" customFormat="1">
      <c r="A5776" s="91" t="s">
        <v>108</v>
      </c>
      <c r="B5776" s="91" t="s">
        <v>37</v>
      </c>
      <c r="C5776" s="161">
        <v>0.718055555555556</v>
      </c>
      <c r="D5776" s="163">
        <v>0</v>
      </c>
      <c r="E5776" s="163">
        <v>0</v>
      </c>
      <c r="F5776" s="163">
        <v>0</v>
      </c>
      <c r="G5776" s="163">
        <v>0</v>
      </c>
      <c r="H5776" s="163">
        <v>0</v>
      </c>
      <c r="I5776" s="163">
        <v>0</v>
      </c>
      <c r="J5776" s="163">
        <v>0</v>
      </c>
    </row>
    <row r="5777" spans="1:10">
      <c r="A5777" s="88" t="s">
        <v>108</v>
      </c>
      <c r="B5777" s="88" t="s">
        <v>37</v>
      </c>
      <c r="C5777" s="159">
        <v>0.71875</v>
      </c>
      <c r="D5777" s="164">
        <v>0</v>
      </c>
      <c r="E5777" s="164">
        <v>0</v>
      </c>
      <c r="F5777" s="164">
        <v>0</v>
      </c>
      <c r="G5777" s="164">
        <v>0</v>
      </c>
      <c r="H5777" s="164">
        <v>0</v>
      </c>
      <c r="I5777" s="164">
        <v>0</v>
      </c>
      <c r="J5777" s="164">
        <v>0</v>
      </c>
    </row>
    <row r="5778" spans="1:10">
      <c r="A5778" s="88" t="s">
        <v>108</v>
      </c>
      <c r="B5778" s="88" t="s">
        <v>37</v>
      </c>
      <c r="C5778" s="159">
        <v>0.719444444444444</v>
      </c>
      <c r="D5778" s="73">
        <v>0</v>
      </c>
      <c r="E5778" s="73">
        <v>0</v>
      </c>
      <c r="F5778" s="73">
        <v>0</v>
      </c>
      <c r="G5778" s="73">
        <v>0</v>
      </c>
      <c r="H5778" s="73">
        <v>0</v>
      </c>
      <c r="I5778" s="73">
        <v>0</v>
      </c>
      <c r="J5778" s="73">
        <v>0</v>
      </c>
    </row>
    <row r="5779" spans="1:10">
      <c r="A5779" s="88" t="s">
        <v>108</v>
      </c>
      <c r="B5779" s="88" t="s">
        <v>37</v>
      </c>
      <c r="C5779" s="159">
        <v>0.72013888888888899</v>
      </c>
      <c r="D5779" s="73">
        <v>0</v>
      </c>
      <c r="E5779" s="73">
        <v>0</v>
      </c>
      <c r="F5779" s="73">
        <v>0</v>
      </c>
      <c r="G5779" s="73">
        <v>0</v>
      </c>
      <c r="H5779" s="73">
        <v>0</v>
      </c>
      <c r="I5779" s="73">
        <v>0</v>
      </c>
      <c r="J5779" s="73">
        <v>0</v>
      </c>
    </row>
    <row r="5780" spans="1:10">
      <c r="A5780" s="88" t="s">
        <v>108</v>
      </c>
      <c r="B5780" s="88" t="s">
        <v>37</v>
      </c>
      <c r="C5780" s="159">
        <v>0.72083333333333299</v>
      </c>
      <c r="D5780" s="73">
        <v>0</v>
      </c>
      <c r="E5780" s="73">
        <v>0</v>
      </c>
      <c r="F5780" s="73">
        <v>0</v>
      </c>
      <c r="G5780" s="73">
        <v>0</v>
      </c>
      <c r="H5780" s="73">
        <v>0</v>
      </c>
      <c r="I5780" s="73">
        <v>0</v>
      </c>
      <c r="J5780" s="73">
        <v>0</v>
      </c>
    </row>
    <row r="5781" spans="1:10">
      <c r="A5781" s="88" t="s">
        <v>108</v>
      </c>
      <c r="B5781" s="88" t="s">
        <v>37</v>
      </c>
      <c r="C5781" s="159">
        <v>0.72152777777777799</v>
      </c>
      <c r="D5781" s="73">
        <v>0</v>
      </c>
      <c r="E5781" s="73">
        <v>0</v>
      </c>
      <c r="F5781" s="73">
        <v>0</v>
      </c>
      <c r="G5781" s="73">
        <v>0</v>
      </c>
      <c r="H5781" s="73">
        <v>0</v>
      </c>
      <c r="I5781" s="73">
        <v>0</v>
      </c>
      <c r="J5781" s="73">
        <v>0</v>
      </c>
    </row>
    <row r="5782" spans="1:10">
      <c r="A5782" s="88" t="s">
        <v>108</v>
      </c>
      <c r="B5782" s="88" t="s">
        <v>37</v>
      </c>
      <c r="C5782" s="159">
        <v>0.72222222222222199</v>
      </c>
      <c r="D5782" s="73">
        <v>0</v>
      </c>
      <c r="E5782" s="73">
        <v>0</v>
      </c>
      <c r="F5782" s="73">
        <v>0</v>
      </c>
      <c r="G5782" s="73">
        <v>0</v>
      </c>
      <c r="H5782" s="73">
        <v>0</v>
      </c>
      <c r="I5782" s="73">
        <v>0</v>
      </c>
      <c r="J5782" s="73">
        <v>0</v>
      </c>
    </row>
    <row r="5783" spans="1:10">
      <c r="A5783" s="88" t="s">
        <v>108</v>
      </c>
      <c r="B5783" s="88" t="s">
        <v>37</v>
      </c>
      <c r="C5783" s="159">
        <v>0.72291666666666698</v>
      </c>
      <c r="D5783" s="73">
        <v>0</v>
      </c>
      <c r="E5783" s="73">
        <v>0</v>
      </c>
      <c r="F5783" s="73">
        <v>0</v>
      </c>
      <c r="G5783" s="73">
        <v>0</v>
      </c>
      <c r="H5783" s="73">
        <v>0</v>
      </c>
      <c r="I5783" s="73">
        <v>0</v>
      </c>
      <c r="J5783" s="73">
        <v>0</v>
      </c>
    </row>
    <row r="5784" spans="1:10">
      <c r="A5784" s="88" t="s">
        <v>108</v>
      </c>
      <c r="B5784" s="88" t="s">
        <v>37</v>
      </c>
      <c r="C5784" s="159">
        <v>0.72361111111111098</v>
      </c>
      <c r="D5784" s="73">
        <v>0</v>
      </c>
      <c r="E5784" s="73">
        <v>0</v>
      </c>
      <c r="F5784" s="73">
        <v>0</v>
      </c>
      <c r="G5784" s="73">
        <v>0</v>
      </c>
      <c r="H5784" s="73">
        <v>0</v>
      </c>
      <c r="I5784" s="73">
        <v>0</v>
      </c>
      <c r="J5784" s="73">
        <v>0</v>
      </c>
    </row>
    <row r="5785" spans="1:10">
      <c r="A5785" s="88" t="s">
        <v>108</v>
      </c>
      <c r="B5785" s="88" t="s">
        <v>37</v>
      </c>
      <c r="C5785" s="159">
        <v>0.72430555555555598</v>
      </c>
      <c r="D5785" s="73">
        <v>0</v>
      </c>
      <c r="E5785" s="73">
        <v>0</v>
      </c>
      <c r="F5785" s="73">
        <v>0</v>
      </c>
      <c r="G5785" s="73">
        <v>0</v>
      </c>
      <c r="H5785" s="73">
        <v>0</v>
      </c>
      <c r="I5785" s="73">
        <v>0</v>
      </c>
      <c r="J5785" s="73">
        <v>0</v>
      </c>
    </row>
    <row r="5786" spans="1:10">
      <c r="A5786" s="88" t="s">
        <v>108</v>
      </c>
      <c r="B5786" s="88" t="s">
        <v>37</v>
      </c>
      <c r="C5786" s="159">
        <v>0.72499999999999998</v>
      </c>
      <c r="D5786" s="73">
        <v>0</v>
      </c>
      <c r="E5786" s="73">
        <v>0</v>
      </c>
      <c r="F5786" s="73">
        <v>0</v>
      </c>
      <c r="G5786" s="73">
        <v>0</v>
      </c>
      <c r="H5786" s="73">
        <v>0</v>
      </c>
      <c r="I5786" s="73">
        <v>0</v>
      </c>
      <c r="J5786" s="73">
        <v>0</v>
      </c>
    </row>
    <row r="5787" spans="1:10">
      <c r="A5787" s="88" t="s">
        <v>108</v>
      </c>
      <c r="B5787" s="88" t="s">
        <v>37</v>
      </c>
      <c r="C5787" s="159">
        <v>0.72569444444444398</v>
      </c>
      <c r="D5787" s="73">
        <v>0</v>
      </c>
      <c r="E5787" s="73">
        <v>0</v>
      </c>
      <c r="F5787" s="73">
        <v>0</v>
      </c>
      <c r="G5787" s="73">
        <v>0</v>
      </c>
      <c r="H5787" s="73">
        <v>0</v>
      </c>
      <c r="I5787" s="73">
        <v>0</v>
      </c>
      <c r="J5787" s="73">
        <v>0</v>
      </c>
    </row>
    <row r="5788" spans="1:10">
      <c r="A5788" s="88" t="s">
        <v>108</v>
      </c>
      <c r="B5788" s="88" t="s">
        <v>37</v>
      </c>
      <c r="C5788" s="159">
        <v>0.72638888888888897</v>
      </c>
      <c r="D5788" s="73">
        <v>0</v>
      </c>
      <c r="E5788" s="73">
        <v>0</v>
      </c>
      <c r="F5788" s="73">
        <v>0</v>
      </c>
      <c r="G5788" s="73">
        <v>0</v>
      </c>
      <c r="H5788" s="73">
        <v>0</v>
      </c>
      <c r="I5788" s="73">
        <v>0</v>
      </c>
      <c r="J5788" s="73">
        <v>0</v>
      </c>
    </row>
    <row r="5789" spans="1:10">
      <c r="A5789" s="88" t="s">
        <v>108</v>
      </c>
      <c r="B5789" s="88" t="s">
        <v>37</v>
      </c>
      <c r="C5789" s="159">
        <v>0.72708333333333297</v>
      </c>
      <c r="D5789" s="73">
        <v>0</v>
      </c>
      <c r="E5789" s="73">
        <v>0</v>
      </c>
      <c r="F5789" s="73">
        <v>0</v>
      </c>
      <c r="G5789" s="73">
        <v>0</v>
      </c>
      <c r="H5789" s="73">
        <v>0</v>
      </c>
      <c r="I5789" s="73">
        <v>0</v>
      </c>
      <c r="J5789" s="73">
        <v>0</v>
      </c>
    </row>
    <row r="5790" spans="1:10">
      <c r="A5790" s="88" t="s">
        <v>108</v>
      </c>
      <c r="B5790" s="88" t="s">
        <v>37</v>
      </c>
      <c r="C5790" s="159">
        <v>0.72777777777777797</v>
      </c>
      <c r="D5790" s="73">
        <v>0</v>
      </c>
      <c r="E5790" s="73">
        <v>0</v>
      </c>
      <c r="F5790" s="73">
        <v>0</v>
      </c>
      <c r="G5790" s="73">
        <v>0</v>
      </c>
      <c r="H5790" s="73">
        <v>0</v>
      </c>
      <c r="I5790" s="73">
        <v>0</v>
      </c>
      <c r="J5790" s="73">
        <v>0</v>
      </c>
    </row>
    <row r="5791" spans="1:10" s="80" customFormat="1">
      <c r="A5791" s="91" t="s">
        <v>108</v>
      </c>
      <c r="B5791" s="91" t="s">
        <v>37</v>
      </c>
      <c r="C5791" s="161">
        <v>0.72847222222222197</v>
      </c>
      <c r="D5791" s="163">
        <v>0</v>
      </c>
      <c r="E5791" s="163">
        <v>0</v>
      </c>
      <c r="F5791" s="163">
        <v>0</v>
      </c>
      <c r="G5791" s="163">
        <v>0</v>
      </c>
      <c r="H5791" s="163">
        <v>0</v>
      </c>
      <c r="I5791" s="163">
        <v>0</v>
      </c>
      <c r="J5791" s="163">
        <v>0</v>
      </c>
    </row>
    <row r="5792" spans="1:10">
      <c r="A5792" s="88" t="s">
        <v>108</v>
      </c>
      <c r="B5792" s="88" t="s">
        <v>37</v>
      </c>
      <c r="C5792" s="159">
        <v>0.72916666666666696</v>
      </c>
      <c r="D5792" s="164">
        <v>0</v>
      </c>
      <c r="E5792" s="164">
        <v>0</v>
      </c>
      <c r="F5792" s="164">
        <v>0</v>
      </c>
      <c r="G5792" s="164">
        <v>0</v>
      </c>
      <c r="H5792" s="164">
        <v>0</v>
      </c>
      <c r="I5792" s="164">
        <v>0</v>
      </c>
      <c r="J5792" s="164">
        <v>0</v>
      </c>
    </row>
    <row r="5793" spans="1:10">
      <c r="A5793" s="88" t="s">
        <v>108</v>
      </c>
      <c r="B5793" s="88" t="s">
        <v>37</v>
      </c>
      <c r="C5793" s="159">
        <v>0.72986111111111096</v>
      </c>
      <c r="D5793" s="73">
        <v>0</v>
      </c>
      <c r="E5793" s="73">
        <v>0</v>
      </c>
      <c r="F5793" s="73">
        <v>0</v>
      </c>
      <c r="G5793" s="73">
        <v>0</v>
      </c>
      <c r="H5793" s="73">
        <v>0</v>
      </c>
      <c r="I5793" s="73">
        <v>0</v>
      </c>
      <c r="J5793" s="73">
        <v>0</v>
      </c>
    </row>
    <row r="5794" spans="1:10">
      <c r="A5794" s="88" t="s">
        <v>108</v>
      </c>
      <c r="B5794" s="88" t="s">
        <v>37</v>
      </c>
      <c r="C5794" s="159">
        <v>0.73055555555555596</v>
      </c>
      <c r="D5794" s="73">
        <v>0</v>
      </c>
      <c r="E5794" s="73">
        <v>0</v>
      </c>
      <c r="F5794" s="73">
        <v>0</v>
      </c>
      <c r="G5794" s="73">
        <v>0</v>
      </c>
      <c r="H5794" s="73">
        <v>0</v>
      </c>
      <c r="I5794" s="73">
        <v>0</v>
      </c>
      <c r="J5794" s="73">
        <v>0</v>
      </c>
    </row>
    <row r="5795" spans="1:10">
      <c r="A5795" s="88" t="s">
        <v>108</v>
      </c>
      <c r="B5795" s="88" t="s">
        <v>37</v>
      </c>
      <c r="C5795" s="159">
        <v>0.73124999999999996</v>
      </c>
      <c r="D5795" s="73">
        <v>0</v>
      </c>
      <c r="E5795" s="73">
        <v>0</v>
      </c>
      <c r="F5795" s="73">
        <v>0</v>
      </c>
      <c r="G5795" s="73">
        <v>0</v>
      </c>
      <c r="H5795" s="73">
        <v>0</v>
      </c>
      <c r="I5795" s="73">
        <v>0</v>
      </c>
      <c r="J5795" s="73">
        <v>0</v>
      </c>
    </row>
    <row r="5796" spans="1:10">
      <c r="A5796" s="88" t="s">
        <v>108</v>
      </c>
      <c r="B5796" s="88" t="s">
        <v>37</v>
      </c>
      <c r="C5796" s="159">
        <v>0.73194444444444395</v>
      </c>
      <c r="D5796" s="73">
        <v>0</v>
      </c>
      <c r="E5796" s="73">
        <v>0</v>
      </c>
      <c r="F5796" s="73">
        <v>0</v>
      </c>
      <c r="G5796" s="73">
        <v>0</v>
      </c>
      <c r="H5796" s="73">
        <v>0</v>
      </c>
      <c r="I5796" s="73">
        <v>0</v>
      </c>
      <c r="J5796" s="73">
        <v>0</v>
      </c>
    </row>
    <row r="5797" spans="1:10">
      <c r="A5797" s="88" t="s">
        <v>108</v>
      </c>
      <c r="B5797" s="88" t="s">
        <v>37</v>
      </c>
      <c r="C5797" s="159">
        <v>0.73263888888888895</v>
      </c>
      <c r="D5797" s="73">
        <v>0</v>
      </c>
      <c r="E5797" s="73">
        <v>0</v>
      </c>
      <c r="F5797" s="73">
        <v>0</v>
      </c>
      <c r="G5797" s="73">
        <v>0</v>
      </c>
      <c r="H5797" s="73">
        <v>0</v>
      </c>
      <c r="I5797" s="73">
        <v>0</v>
      </c>
      <c r="J5797" s="73">
        <v>0</v>
      </c>
    </row>
    <row r="5798" spans="1:10">
      <c r="A5798" s="88" t="s">
        <v>108</v>
      </c>
      <c r="B5798" s="88" t="s">
        <v>37</v>
      </c>
      <c r="C5798" s="159">
        <v>0.73333333333333295</v>
      </c>
      <c r="D5798" s="73">
        <v>0</v>
      </c>
      <c r="E5798" s="73">
        <v>0</v>
      </c>
      <c r="F5798" s="73">
        <v>0</v>
      </c>
      <c r="G5798" s="73">
        <v>0</v>
      </c>
      <c r="H5798" s="73">
        <v>0</v>
      </c>
      <c r="I5798" s="73">
        <v>0</v>
      </c>
      <c r="J5798" s="73">
        <v>0</v>
      </c>
    </row>
    <row r="5799" spans="1:10">
      <c r="A5799" s="88" t="s">
        <v>108</v>
      </c>
      <c r="B5799" s="88" t="s">
        <v>37</v>
      </c>
      <c r="C5799" s="159">
        <v>0.73402777777777795</v>
      </c>
      <c r="D5799" s="73">
        <v>0</v>
      </c>
      <c r="E5799" s="73">
        <v>0</v>
      </c>
      <c r="F5799" s="73">
        <v>0</v>
      </c>
      <c r="G5799" s="73">
        <v>0</v>
      </c>
      <c r="H5799" s="73">
        <v>0</v>
      </c>
      <c r="I5799" s="73">
        <v>0</v>
      </c>
      <c r="J5799" s="73">
        <v>0</v>
      </c>
    </row>
    <row r="5800" spans="1:10">
      <c r="A5800" s="88" t="s">
        <v>108</v>
      </c>
      <c r="B5800" s="88" t="s">
        <v>37</v>
      </c>
      <c r="C5800" s="159">
        <v>0.73472222222222205</v>
      </c>
      <c r="D5800" s="73">
        <v>0</v>
      </c>
      <c r="E5800" s="73">
        <v>0</v>
      </c>
      <c r="F5800" s="73">
        <v>0</v>
      </c>
      <c r="G5800" s="73">
        <v>0</v>
      </c>
      <c r="H5800" s="73">
        <v>0</v>
      </c>
      <c r="I5800" s="73">
        <v>0</v>
      </c>
      <c r="J5800" s="73">
        <v>0</v>
      </c>
    </row>
    <row r="5801" spans="1:10">
      <c r="A5801" s="88" t="s">
        <v>108</v>
      </c>
      <c r="B5801" s="88" t="s">
        <v>37</v>
      </c>
      <c r="C5801" s="159">
        <v>0.73541666666666705</v>
      </c>
      <c r="D5801" s="73">
        <v>0</v>
      </c>
      <c r="E5801" s="73">
        <v>0</v>
      </c>
      <c r="F5801" s="73">
        <v>0</v>
      </c>
      <c r="G5801" s="73">
        <v>0</v>
      </c>
      <c r="H5801" s="73">
        <v>0</v>
      </c>
      <c r="I5801" s="73">
        <v>0</v>
      </c>
      <c r="J5801" s="73">
        <v>0</v>
      </c>
    </row>
    <row r="5802" spans="1:10">
      <c r="A5802" s="88" t="s">
        <v>108</v>
      </c>
      <c r="B5802" s="88" t="s">
        <v>37</v>
      </c>
      <c r="C5802" s="159">
        <v>0.73611111111111105</v>
      </c>
      <c r="D5802" s="73">
        <v>0</v>
      </c>
      <c r="E5802" s="73">
        <v>0</v>
      </c>
      <c r="F5802" s="73">
        <v>0</v>
      </c>
      <c r="G5802" s="73">
        <v>0</v>
      </c>
      <c r="H5802" s="73">
        <v>0</v>
      </c>
      <c r="I5802" s="73">
        <v>0</v>
      </c>
      <c r="J5802" s="73">
        <v>0</v>
      </c>
    </row>
    <row r="5803" spans="1:10">
      <c r="A5803" s="88" t="s">
        <v>108</v>
      </c>
      <c r="B5803" s="88" t="s">
        <v>37</v>
      </c>
      <c r="C5803" s="159">
        <v>0.73680555555555505</v>
      </c>
      <c r="D5803" s="73">
        <v>0</v>
      </c>
      <c r="E5803" s="73">
        <v>0</v>
      </c>
      <c r="F5803" s="73">
        <v>0</v>
      </c>
      <c r="G5803" s="73">
        <v>0</v>
      </c>
      <c r="H5803" s="73">
        <v>0</v>
      </c>
      <c r="I5803" s="73">
        <v>0</v>
      </c>
      <c r="J5803" s="73">
        <v>0</v>
      </c>
    </row>
    <row r="5804" spans="1:10">
      <c r="A5804" s="88" t="s">
        <v>108</v>
      </c>
      <c r="B5804" s="88" t="s">
        <v>37</v>
      </c>
      <c r="C5804" s="159">
        <v>0.73750000000000004</v>
      </c>
      <c r="D5804" s="73">
        <v>0</v>
      </c>
      <c r="E5804" s="73">
        <v>0</v>
      </c>
      <c r="F5804" s="73">
        <v>0</v>
      </c>
      <c r="G5804" s="73">
        <v>0</v>
      </c>
      <c r="H5804" s="73">
        <v>0</v>
      </c>
      <c r="I5804" s="73">
        <v>0</v>
      </c>
      <c r="J5804" s="73">
        <v>0</v>
      </c>
    </row>
    <row r="5805" spans="1:10">
      <c r="A5805" s="88" t="s">
        <v>108</v>
      </c>
      <c r="B5805" s="88" t="s">
        <v>37</v>
      </c>
      <c r="C5805" s="159">
        <v>0.73819444444444404</v>
      </c>
      <c r="D5805" s="73">
        <v>0</v>
      </c>
      <c r="E5805" s="73">
        <v>0</v>
      </c>
      <c r="F5805" s="73">
        <v>0</v>
      </c>
      <c r="G5805" s="73">
        <v>0</v>
      </c>
      <c r="H5805" s="73">
        <v>0</v>
      </c>
      <c r="I5805" s="73">
        <v>0</v>
      </c>
      <c r="J5805" s="73">
        <v>0</v>
      </c>
    </row>
    <row r="5806" spans="1:10" s="80" customFormat="1">
      <c r="A5806" s="91" t="s">
        <v>108</v>
      </c>
      <c r="B5806" s="91" t="s">
        <v>37</v>
      </c>
      <c r="C5806" s="161">
        <v>0.73888888888888904</v>
      </c>
      <c r="D5806" s="163">
        <v>0</v>
      </c>
      <c r="E5806" s="163">
        <v>0</v>
      </c>
      <c r="F5806" s="163">
        <v>0</v>
      </c>
      <c r="G5806" s="163">
        <v>0</v>
      </c>
      <c r="H5806" s="163">
        <v>0</v>
      </c>
      <c r="I5806" s="163">
        <v>0</v>
      </c>
      <c r="J5806" s="163">
        <v>0</v>
      </c>
    </row>
    <row r="5807" spans="1:10">
      <c r="A5807" s="88" t="s">
        <v>108</v>
      </c>
      <c r="B5807" s="88" t="s">
        <v>37</v>
      </c>
      <c r="C5807" s="159">
        <v>0.73958333333333304</v>
      </c>
      <c r="D5807" s="164">
        <v>0</v>
      </c>
      <c r="E5807" s="164">
        <v>0</v>
      </c>
      <c r="F5807" s="164">
        <v>0</v>
      </c>
      <c r="G5807" s="164">
        <v>0</v>
      </c>
      <c r="H5807" s="164">
        <v>0</v>
      </c>
      <c r="I5807" s="164">
        <v>0</v>
      </c>
      <c r="J5807" s="164">
        <v>0</v>
      </c>
    </row>
    <row r="5808" spans="1:10">
      <c r="A5808" s="88" t="s">
        <v>108</v>
      </c>
      <c r="B5808" s="88" t="s">
        <v>37</v>
      </c>
      <c r="C5808" s="159">
        <v>0.74027777777777803</v>
      </c>
      <c r="D5808" s="73">
        <v>0</v>
      </c>
      <c r="E5808" s="73">
        <v>0</v>
      </c>
      <c r="F5808" s="73">
        <v>0</v>
      </c>
      <c r="G5808" s="73">
        <v>0</v>
      </c>
      <c r="H5808" s="73">
        <v>0</v>
      </c>
      <c r="I5808" s="73">
        <v>0</v>
      </c>
      <c r="J5808" s="73">
        <v>0</v>
      </c>
    </row>
    <row r="5809" spans="1:10">
      <c r="A5809" s="88" t="s">
        <v>108</v>
      </c>
      <c r="B5809" s="88" t="s">
        <v>37</v>
      </c>
      <c r="C5809" s="159">
        <v>0.74097222222222203</v>
      </c>
      <c r="D5809" s="73">
        <v>0</v>
      </c>
      <c r="E5809" s="73">
        <v>0</v>
      </c>
      <c r="F5809" s="73">
        <v>0</v>
      </c>
      <c r="G5809" s="73">
        <v>0</v>
      </c>
      <c r="H5809" s="73">
        <v>0</v>
      </c>
      <c r="I5809" s="73">
        <v>0</v>
      </c>
      <c r="J5809" s="73">
        <v>0</v>
      </c>
    </row>
    <row r="5810" spans="1:10">
      <c r="A5810" s="88" t="s">
        <v>108</v>
      </c>
      <c r="B5810" s="88" t="s">
        <v>37</v>
      </c>
      <c r="C5810" s="159">
        <v>0.74166666666666703</v>
      </c>
      <c r="D5810" s="73">
        <v>0</v>
      </c>
      <c r="E5810" s="73">
        <v>0</v>
      </c>
      <c r="F5810" s="73">
        <v>0</v>
      </c>
      <c r="G5810" s="73">
        <v>0</v>
      </c>
      <c r="H5810" s="73">
        <v>0</v>
      </c>
      <c r="I5810" s="73">
        <v>0</v>
      </c>
      <c r="J5810" s="73">
        <v>0</v>
      </c>
    </row>
    <row r="5811" spans="1:10">
      <c r="A5811" s="88" t="s">
        <v>108</v>
      </c>
      <c r="B5811" s="88" t="s">
        <v>37</v>
      </c>
      <c r="C5811" s="159">
        <v>0.74236111111111103</v>
      </c>
      <c r="D5811" s="73">
        <v>0</v>
      </c>
      <c r="E5811" s="73">
        <v>0</v>
      </c>
      <c r="F5811" s="73">
        <v>0</v>
      </c>
      <c r="G5811" s="73">
        <v>0</v>
      </c>
      <c r="H5811" s="73">
        <v>0</v>
      </c>
      <c r="I5811" s="73">
        <v>0</v>
      </c>
      <c r="J5811" s="73">
        <v>0</v>
      </c>
    </row>
    <row r="5812" spans="1:10">
      <c r="A5812" s="88" t="s">
        <v>108</v>
      </c>
      <c r="B5812" s="88" t="s">
        <v>37</v>
      </c>
      <c r="C5812" s="159">
        <v>0.74305555555555503</v>
      </c>
      <c r="D5812" s="73">
        <v>0</v>
      </c>
      <c r="E5812" s="73">
        <v>0</v>
      </c>
      <c r="F5812" s="73">
        <v>0</v>
      </c>
      <c r="G5812" s="73">
        <v>0</v>
      </c>
      <c r="H5812" s="73">
        <v>0</v>
      </c>
      <c r="I5812" s="73">
        <v>0</v>
      </c>
      <c r="J5812" s="73">
        <v>0</v>
      </c>
    </row>
    <row r="5813" spans="1:10">
      <c r="A5813" s="88" t="s">
        <v>108</v>
      </c>
      <c r="B5813" s="88" t="s">
        <v>37</v>
      </c>
      <c r="C5813" s="159">
        <v>0.74375000000000002</v>
      </c>
      <c r="D5813" s="73">
        <v>0</v>
      </c>
      <c r="E5813" s="73">
        <v>0</v>
      </c>
      <c r="F5813" s="73">
        <v>0</v>
      </c>
      <c r="G5813" s="73">
        <v>0</v>
      </c>
      <c r="H5813" s="73">
        <v>0</v>
      </c>
      <c r="I5813" s="73">
        <v>0</v>
      </c>
      <c r="J5813" s="73">
        <v>0</v>
      </c>
    </row>
    <row r="5814" spans="1:10">
      <c r="A5814" s="88" t="s">
        <v>108</v>
      </c>
      <c r="B5814" s="88" t="s">
        <v>37</v>
      </c>
      <c r="C5814" s="159">
        <v>0.74444444444444402</v>
      </c>
      <c r="D5814" s="73">
        <v>0</v>
      </c>
      <c r="E5814" s="73">
        <v>0</v>
      </c>
      <c r="F5814" s="73">
        <v>0</v>
      </c>
      <c r="G5814" s="73">
        <v>0</v>
      </c>
      <c r="H5814" s="73">
        <v>0</v>
      </c>
      <c r="I5814" s="73">
        <v>0</v>
      </c>
      <c r="J5814" s="73">
        <v>0</v>
      </c>
    </row>
    <row r="5815" spans="1:10">
      <c r="A5815" s="88" t="s">
        <v>108</v>
      </c>
      <c r="B5815" s="88" t="s">
        <v>37</v>
      </c>
      <c r="C5815" s="159">
        <v>0.74513888888888902</v>
      </c>
      <c r="D5815" s="73">
        <v>0</v>
      </c>
      <c r="E5815" s="73">
        <v>0</v>
      </c>
      <c r="F5815" s="73">
        <v>0</v>
      </c>
      <c r="G5815" s="73">
        <v>0</v>
      </c>
      <c r="H5815" s="73">
        <v>0</v>
      </c>
      <c r="I5815" s="73">
        <v>0</v>
      </c>
      <c r="J5815" s="73">
        <v>0</v>
      </c>
    </row>
    <row r="5816" spans="1:10">
      <c r="A5816" s="88" t="s">
        <v>108</v>
      </c>
      <c r="B5816" s="88" t="s">
        <v>37</v>
      </c>
      <c r="C5816" s="159">
        <v>0.74583333333333302</v>
      </c>
      <c r="D5816" s="73">
        <v>0</v>
      </c>
      <c r="E5816" s="73">
        <v>0</v>
      </c>
      <c r="F5816" s="73">
        <v>0</v>
      </c>
      <c r="G5816" s="73">
        <v>0</v>
      </c>
      <c r="H5816" s="73">
        <v>0</v>
      </c>
      <c r="I5816" s="73">
        <v>0</v>
      </c>
      <c r="J5816" s="73">
        <v>0</v>
      </c>
    </row>
    <row r="5817" spans="1:10">
      <c r="A5817" s="88" t="s">
        <v>108</v>
      </c>
      <c r="B5817" s="88" t="s">
        <v>37</v>
      </c>
      <c r="C5817" s="159">
        <v>0.74652777777777801</v>
      </c>
      <c r="D5817" s="73">
        <v>0</v>
      </c>
      <c r="E5817" s="73">
        <v>0</v>
      </c>
      <c r="F5817" s="73">
        <v>0</v>
      </c>
      <c r="G5817" s="73">
        <v>0</v>
      </c>
      <c r="H5817" s="73">
        <v>0</v>
      </c>
      <c r="I5817" s="73">
        <v>0</v>
      </c>
      <c r="J5817" s="73">
        <v>0</v>
      </c>
    </row>
    <row r="5818" spans="1:10">
      <c r="A5818" s="88" t="s">
        <v>108</v>
      </c>
      <c r="B5818" s="88" t="s">
        <v>37</v>
      </c>
      <c r="C5818" s="159">
        <v>0.74722222222222201</v>
      </c>
      <c r="D5818" s="73">
        <v>0</v>
      </c>
      <c r="E5818" s="73">
        <v>0</v>
      </c>
      <c r="F5818" s="73">
        <v>0</v>
      </c>
      <c r="G5818" s="73">
        <v>0</v>
      </c>
      <c r="H5818" s="73">
        <v>0</v>
      </c>
      <c r="I5818" s="73">
        <v>0</v>
      </c>
      <c r="J5818" s="73">
        <v>0</v>
      </c>
    </row>
    <row r="5819" spans="1:10">
      <c r="A5819" s="88" t="s">
        <v>108</v>
      </c>
      <c r="B5819" s="88" t="s">
        <v>37</v>
      </c>
      <c r="C5819" s="159">
        <v>0.74791666666666701</v>
      </c>
      <c r="D5819" s="73">
        <v>0</v>
      </c>
      <c r="E5819" s="73">
        <v>0</v>
      </c>
      <c r="F5819" s="73">
        <v>0</v>
      </c>
      <c r="G5819" s="73">
        <v>0</v>
      </c>
      <c r="H5819" s="73">
        <v>0</v>
      </c>
      <c r="I5819" s="73">
        <v>0</v>
      </c>
      <c r="J5819" s="73">
        <v>0</v>
      </c>
    </row>
    <row r="5820" spans="1:10">
      <c r="A5820" s="88" t="s">
        <v>108</v>
      </c>
      <c r="B5820" s="88" t="s">
        <v>37</v>
      </c>
      <c r="C5820" s="159">
        <v>0.74861111111111101</v>
      </c>
      <c r="D5820" s="73">
        <v>0</v>
      </c>
      <c r="E5820" s="73">
        <v>0</v>
      </c>
      <c r="F5820" s="73">
        <v>0</v>
      </c>
      <c r="G5820" s="73">
        <v>0</v>
      </c>
      <c r="H5820" s="73">
        <v>0</v>
      </c>
      <c r="I5820" s="73">
        <v>0</v>
      </c>
      <c r="J5820" s="73">
        <v>0</v>
      </c>
    </row>
    <row r="5821" spans="1:10" s="80" customFormat="1">
      <c r="A5821" s="91" t="s">
        <v>108</v>
      </c>
      <c r="B5821" s="91" t="s">
        <v>37</v>
      </c>
      <c r="C5821" s="161">
        <v>0.749305555555555</v>
      </c>
      <c r="D5821" s="163">
        <v>0</v>
      </c>
      <c r="E5821" s="163">
        <v>0</v>
      </c>
      <c r="F5821" s="163">
        <v>0</v>
      </c>
      <c r="G5821" s="163">
        <v>0</v>
      </c>
      <c r="H5821" s="163">
        <v>0</v>
      </c>
      <c r="I5821" s="163">
        <v>0</v>
      </c>
      <c r="J5821" s="163">
        <v>0</v>
      </c>
    </row>
    <row r="5822" spans="1:10">
      <c r="A5822" s="88" t="s">
        <v>108</v>
      </c>
      <c r="B5822" s="88" t="s">
        <v>37</v>
      </c>
      <c r="C5822" s="159">
        <v>0.75</v>
      </c>
      <c r="D5822" s="164">
        <v>0</v>
      </c>
      <c r="E5822" s="164">
        <v>0</v>
      </c>
      <c r="F5822" s="164">
        <v>0</v>
      </c>
      <c r="G5822" s="164">
        <v>0</v>
      </c>
      <c r="H5822" s="164">
        <v>0</v>
      </c>
      <c r="I5822" s="164">
        <v>0</v>
      </c>
      <c r="J5822" s="164">
        <v>0</v>
      </c>
    </row>
    <row r="5823" spans="1:10">
      <c r="A5823" s="88" t="s">
        <v>108</v>
      </c>
      <c r="B5823" s="88" t="s">
        <v>37</v>
      </c>
      <c r="C5823" s="159">
        <v>0.750694444444444</v>
      </c>
      <c r="D5823" s="73">
        <v>0</v>
      </c>
      <c r="E5823" s="73">
        <v>0</v>
      </c>
      <c r="F5823" s="73">
        <v>0</v>
      </c>
      <c r="G5823" s="73">
        <v>0</v>
      </c>
      <c r="H5823" s="73">
        <v>0</v>
      </c>
      <c r="I5823" s="73">
        <v>0</v>
      </c>
      <c r="J5823" s="73">
        <v>0</v>
      </c>
    </row>
    <row r="5824" spans="1:10">
      <c r="A5824" s="88" t="s">
        <v>108</v>
      </c>
      <c r="B5824" s="88" t="s">
        <v>37</v>
      </c>
      <c r="C5824" s="159">
        <v>0.75138888888888899</v>
      </c>
      <c r="D5824" s="73">
        <v>0</v>
      </c>
      <c r="E5824" s="73">
        <v>0</v>
      </c>
      <c r="F5824" s="73">
        <v>0</v>
      </c>
      <c r="G5824" s="73">
        <v>0</v>
      </c>
      <c r="H5824" s="73">
        <v>0</v>
      </c>
      <c r="I5824" s="73">
        <v>0</v>
      </c>
      <c r="J5824" s="73">
        <v>0</v>
      </c>
    </row>
    <row r="5825" spans="1:10">
      <c r="A5825" s="88" t="s">
        <v>108</v>
      </c>
      <c r="B5825" s="88" t="s">
        <v>37</v>
      </c>
      <c r="C5825" s="159">
        <v>0.75208333333333299</v>
      </c>
      <c r="D5825" s="73">
        <v>0</v>
      </c>
      <c r="E5825" s="73">
        <v>0</v>
      </c>
      <c r="F5825" s="73">
        <v>0</v>
      </c>
      <c r="G5825" s="73">
        <v>0</v>
      </c>
      <c r="H5825" s="73">
        <v>0</v>
      </c>
      <c r="I5825" s="73">
        <v>0</v>
      </c>
      <c r="J5825" s="73">
        <v>0</v>
      </c>
    </row>
    <row r="5826" spans="1:10">
      <c r="A5826" s="88" t="s">
        <v>108</v>
      </c>
      <c r="B5826" s="88" t="s">
        <v>37</v>
      </c>
      <c r="C5826" s="159">
        <v>0.75277777777777799</v>
      </c>
      <c r="D5826" s="73">
        <v>0</v>
      </c>
      <c r="E5826" s="73">
        <v>0</v>
      </c>
      <c r="F5826" s="73">
        <v>0</v>
      </c>
      <c r="G5826" s="73">
        <v>0</v>
      </c>
      <c r="H5826" s="73">
        <v>0</v>
      </c>
      <c r="I5826" s="73">
        <v>0</v>
      </c>
      <c r="J5826" s="73">
        <v>0</v>
      </c>
    </row>
    <row r="5827" spans="1:10">
      <c r="A5827" s="88" t="s">
        <v>108</v>
      </c>
      <c r="B5827" s="88" t="s">
        <v>37</v>
      </c>
      <c r="C5827" s="159">
        <v>0.75347222222222199</v>
      </c>
      <c r="D5827" s="73">
        <v>0</v>
      </c>
      <c r="E5827" s="73">
        <v>0</v>
      </c>
      <c r="F5827" s="73">
        <v>0</v>
      </c>
      <c r="G5827" s="73">
        <v>0</v>
      </c>
      <c r="H5827" s="73">
        <v>0</v>
      </c>
      <c r="I5827" s="73">
        <v>0</v>
      </c>
      <c r="J5827" s="73">
        <v>0</v>
      </c>
    </row>
    <row r="5828" spans="1:10">
      <c r="A5828" s="88" t="s">
        <v>108</v>
      </c>
      <c r="B5828" s="88" t="s">
        <v>37</v>
      </c>
      <c r="C5828" s="159">
        <v>0.75416666666666698</v>
      </c>
      <c r="D5828" s="73">
        <v>0</v>
      </c>
      <c r="E5828" s="73">
        <v>0</v>
      </c>
      <c r="F5828" s="73">
        <v>0</v>
      </c>
      <c r="G5828" s="73">
        <v>0</v>
      </c>
      <c r="H5828" s="73">
        <v>0</v>
      </c>
      <c r="I5828" s="73">
        <v>0</v>
      </c>
      <c r="J5828" s="73">
        <v>0</v>
      </c>
    </row>
    <row r="5829" spans="1:10">
      <c r="A5829" s="88" t="s">
        <v>108</v>
      </c>
      <c r="B5829" s="88" t="s">
        <v>37</v>
      </c>
      <c r="C5829" s="159">
        <v>0.75486111111111098</v>
      </c>
      <c r="D5829" s="73">
        <v>0</v>
      </c>
      <c r="E5829" s="73">
        <v>0</v>
      </c>
      <c r="F5829" s="73">
        <v>0</v>
      </c>
      <c r="G5829" s="73">
        <v>0</v>
      </c>
      <c r="H5829" s="73">
        <v>0</v>
      </c>
      <c r="I5829" s="73">
        <v>0</v>
      </c>
      <c r="J5829" s="73">
        <v>0</v>
      </c>
    </row>
    <row r="5830" spans="1:10">
      <c r="A5830" s="88" t="s">
        <v>108</v>
      </c>
      <c r="B5830" s="88" t="s">
        <v>37</v>
      </c>
      <c r="C5830" s="159">
        <v>0.75555555555555498</v>
      </c>
      <c r="D5830" s="73">
        <v>0</v>
      </c>
      <c r="E5830" s="73">
        <v>0</v>
      </c>
      <c r="F5830" s="73">
        <v>0</v>
      </c>
      <c r="G5830" s="73">
        <v>0</v>
      </c>
      <c r="H5830" s="73">
        <v>0</v>
      </c>
      <c r="I5830" s="73">
        <v>0</v>
      </c>
      <c r="J5830" s="73">
        <v>0</v>
      </c>
    </row>
    <row r="5831" spans="1:10">
      <c r="A5831" s="88" t="s">
        <v>108</v>
      </c>
      <c r="B5831" s="88" t="s">
        <v>37</v>
      </c>
      <c r="C5831" s="159">
        <v>0.75624999999999998</v>
      </c>
      <c r="D5831" s="73">
        <v>0</v>
      </c>
      <c r="E5831" s="73">
        <v>0</v>
      </c>
      <c r="F5831" s="73">
        <v>0</v>
      </c>
      <c r="G5831" s="73">
        <v>0</v>
      </c>
      <c r="H5831" s="73">
        <v>0</v>
      </c>
      <c r="I5831" s="73">
        <v>0</v>
      </c>
      <c r="J5831" s="73">
        <v>0</v>
      </c>
    </row>
    <row r="5832" spans="1:10">
      <c r="A5832" s="88" t="s">
        <v>108</v>
      </c>
      <c r="B5832" s="88" t="s">
        <v>37</v>
      </c>
      <c r="C5832" s="159">
        <v>0.75694444444444398</v>
      </c>
      <c r="D5832" s="73">
        <v>0</v>
      </c>
      <c r="E5832" s="73">
        <v>0</v>
      </c>
      <c r="F5832" s="73">
        <v>0</v>
      </c>
      <c r="G5832" s="73">
        <v>0</v>
      </c>
      <c r="H5832" s="73">
        <v>0</v>
      </c>
      <c r="I5832" s="73">
        <v>0</v>
      </c>
      <c r="J5832" s="73">
        <v>0</v>
      </c>
    </row>
    <row r="5833" spans="1:10">
      <c r="A5833" s="88" t="s">
        <v>108</v>
      </c>
      <c r="B5833" s="88" t="s">
        <v>37</v>
      </c>
      <c r="C5833" s="159">
        <v>0.75763888888888897</v>
      </c>
      <c r="D5833" s="73">
        <v>0</v>
      </c>
      <c r="E5833" s="73">
        <v>0</v>
      </c>
      <c r="F5833" s="73">
        <v>0</v>
      </c>
      <c r="G5833" s="73">
        <v>0</v>
      </c>
      <c r="H5833" s="73">
        <v>0</v>
      </c>
      <c r="I5833" s="73">
        <v>0</v>
      </c>
      <c r="J5833" s="73">
        <v>0</v>
      </c>
    </row>
    <row r="5834" spans="1:10">
      <c r="A5834" s="88" t="s">
        <v>108</v>
      </c>
      <c r="B5834" s="88" t="s">
        <v>37</v>
      </c>
      <c r="C5834" s="159">
        <v>0.75833333333333297</v>
      </c>
      <c r="D5834" s="73">
        <v>0</v>
      </c>
      <c r="E5834" s="73">
        <v>0</v>
      </c>
      <c r="F5834" s="73">
        <v>0</v>
      </c>
      <c r="G5834" s="73">
        <v>0</v>
      </c>
      <c r="H5834" s="73">
        <v>0</v>
      </c>
      <c r="I5834" s="73">
        <v>0</v>
      </c>
      <c r="J5834" s="73">
        <v>0</v>
      </c>
    </row>
    <row r="5835" spans="1:10">
      <c r="A5835" s="88" t="s">
        <v>108</v>
      </c>
      <c r="B5835" s="88" t="s">
        <v>37</v>
      </c>
      <c r="C5835" s="159">
        <v>0.75902777777777797</v>
      </c>
      <c r="D5835" s="73">
        <v>0</v>
      </c>
      <c r="E5835" s="73">
        <v>0</v>
      </c>
      <c r="F5835" s="73">
        <v>0</v>
      </c>
      <c r="G5835" s="73">
        <v>0</v>
      </c>
      <c r="H5835" s="73">
        <v>0</v>
      </c>
      <c r="I5835" s="73">
        <v>0</v>
      </c>
      <c r="J5835" s="73">
        <v>0</v>
      </c>
    </row>
    <row r="5836" spans="1:10" s="80" customFormat="1">
      <c r="A5836" s="91" t="s">
        <v>108</v>
      </c>
      <c r="B5836" s="91" t="s">
        <v>37</v>
      </c>
      <c r="C5836" s="161">
        <v>0.75972222222222197</v>
      </c>
      <c r="D5836" s="163">
        <v>0</v>
      </c>
      <c r="E5836" s="163">
        <v>0</v>
      </c>
      <c r="F5836" s="163">
        <v>0</v>
      </c>
      <c r="G5836" s="163">
        <v>0</v>
      </c>
      <c r="H5836" s="163">
        <v>0</v>
      </c>
      <c r="I5836" s="163">
        <v>0</v>
      </c>
      <c r="J5836" s="163">
        <v>0</v>
      </c>
    </row>
    <row r="5837" spans="1:10">
      <c r="A5837" s="88" t="s">
        <v>108</v>
      </c>
      <c r="B5837" s="88" t="s">
        <v>37</v>
      </c>
      <c r="C5837" s="159">
        <v>0.76041666666666696</v>
      </c>
      <c r="D5837" s="164">
        <v>0</v>
      </c>
      <c r="E5837" s="164">
        <v>0</v>
      </c>
      <c r="F5837" s="164">
        <v>0</v>
      </c>
      <c r="G5837" s="164">
        <v>0</v>
      </c>
      <c r="H5837" s="164">
        <v>0</v>
      </c>
      <c r="I5837" s="164">
        <v>0</v>
      </c>
      <c r="J5837" s="164">
        <v>0</v>
      </c>
    </row>
    <row r="5838" spans="1:10">
      <c r="A5838" s="88" t="s">
        <v>108</v>
      </c>
      <c r="B5838" s="88" t="s">
        <v>37</v>
      </c>
      <c r="C5838" s="159">
        <v>0.76111111111111096</v>
      </c>
      <c r="D5838" s="73">
        <v>0</v>
      </c>
      <c r="E5838" s="73">
        <v>0</v>
      </c>
      <c r="F5838" s="73">
        <v>0</v>
      </c>
      <c r="G5838" s="73">
        <v>0</v>
      </c>
      <c r="H5838" s="73">
        <v>0</v>
      </c>
      <c r="I5838" s="73">
        <v>0</v>
      </c>
      <c r="J5838" s="73">
        <v>0</v>
      </c>
    </row>
    <row r="5839" spans="1:10">
      <c r="A5839" s="88" t="s">
        <v>108</v>
      </c>
      <c r="B5839" s="88" t="s">
        <v>37</v>
      </c>
      <c r="C5839" s="159">
        <v>0.76180555555555496</v>
      </c>
      <c r="D5839" s="73">
        <v>0</v>
      </c>
      <c r="E5839" s="73">
        <v>0</v>
      </c>
      <c r="F5839" s="73">
        <v>0</v>
      </c>
      <c r="G5839" s="73">
        <v>0</v>
      </c>
      <c r="H5839" s="73">
        <v>0</v>
      </c>
      <c r="I5839" s="73">
        <v>0</v>
      </c>
      <c r="J5839" s="73">
        <v>0</v>
      </c>
    </row>
    <row r="5840" spans="1:10">
      <c r="A5840" s="88" t="s">
        <v>108</v>
      </c>
      <c r="B5840" s="88" t="s">
        <v>37</v>
      </c>
      <c r="C5840" s="159">
        <v>0.76249999999999996</v>
      </c>
      <c r="D5840" s="73">
        <v>0</v>
      </c>
      <c r="E5840" s="73">
        <v>0</v>
      </c>
      <c r="F5840" s="73">
        <v>0</v>
      </c>
      <c r="G5840" s="73">
        <v>0</v>
      </c>
      <c r="H5840" s="73">
        <v>0</v>
      </c>
      <c r="I5840" s="73">
        <v>0</v>
      </c>
      <c r="J5840" s="73">
        <v>0</v>
      </c>
    </row>
    <row r="5841" spans="1:10">
      <c r="A5841" s="88" t="s">
        <v>108</v>
      </c>
      <c r="B5841" s="88" t="s">
        <v>37</v>
      </c>
      <c r="C5841" s="159">
        <v>0.76319444444444395</v>
      </c>
      <c r="D5841" s="73">
        <v>0</v>
      </c>
      <c r="E5841" s="73">
        <v>0</v>
      </c>
      <c r="F5841" s="73">
        <v>0</v>
      </c>
      <c r="G5841" s="73">
        <v>0</v>
      </c>
      <c r="H5841" s="73">
        <v>0</v>
      </c>
      <c r="I5841" s="73">
        <v>0</v>
      </c>
      <c r="J5841" s="73">
        <v>0</v>
      </c>
    </row>
    <row r="5842" spans="1:10">
      <c r="A5842" s="88" t="s">
        <v>108</v>
      </c>
      <c r="B5842" s="88" t="s">
        <v>37</v>
      </c>
      <c r="C5842" s="159">
        <v>0.76388888888888895</v>
      </c>
      <c r="D5842" s="73">
        <v>0</v>
      </c>
      <c r="E5842" s="73">
        <v>0</v>
      </c>
      <c r="F5842" s="73">
        <v>0</v>
      </c>
      <c r="G5842" s="73">
        <v>0</v>
      </c>
      <c r="H5842" s="73">
        <v>0</v>
      </c>
      <c r="I5842" s="73">
        <v>0</v>
      </c>
      <c r="J5842" s="73">
        <v>0</v>
      </c>
    </row>
    <row r="5843" spans="1:10">
      <c r="A5843" s="88" t="s">
        <v>108</v>
      </c>
      <c r="B5843" s="88" t="s">
        <v>37</v>
      </c>
      <c r="C5843" s="159">
        <v>0.76458333333333295</v>
      </c>
      <c r="D5843" s="73">
        <v>0</v>
      </c>
      <c r="E5843" s="73">
        <v>0</v>
      </c>
      <c r="F5843" s="73">
        <v>0</v>
      </c>
      <c r="G5843" s="73">
        <v>0</v>
      </c>
      <c r="H5843" s="73">
        <v>0</v>
      </c>
      <c r="I5843" s="73">
        <v>0</v>
      </c>
      <c r="J5843" s="73">
        <v>0</v>
      </c>
    </row>
    <row r="5844" spans="1:10">
      <c r="A5844" s="88" t="s">
        <v>108</v>
      </c>
      <c r="B5844" s="88" t="s">
        <v>37</v>
      </c>
      <c r="C5844" s="159">
        <v>0.76527777777777795</v>
      </c>
      <c r="D5844" s="73">
        <v>0</v>
      </c>
      <c r="E5844" s="73">
        <v>0</v>
      </c>
      <c r="F5844" s="73">
        <v>0</v>
      </c>
      <c r="G5844" s="73">
        <v>0</v>
      </c>
      <c r="H5844" s="73">
        <v>0</v>
      </c>
      <c r="I5844" s="73">
        <v>0</v>
      </c>
      <c r="J5844" s="73">
        <v>0</v>
      </c>
    </row>
    <row r="5845" spans="1:10">
      <c r="A5845" s="88" t="s">
        <v>108</v>
      </c>
      <c r="B5845" s="88" t="s">
        <v>37</v>
      </c>
      <c r="C5845" s="159">
        <v>0.76597222222222205</v>
      </c>
      <c r="D5845" s="73">
        <v>0</v>
      </c>
      <c r="E5845" s="73">
        <v>0</v>
      </c>
      <c r="F5845" s="73">
        <v>0</v>
      </c>
      <c r="G5845" s="73">
        <v>0</v>
      </c>
      <c r="H5845" s="73">
        <v>0</v>
      </c>
      <c r="I5845" s="73">
        <v>0</v>
      </c>
      <c r="J5845" s="73">
        <v>0</v>
      </c>
    </row>
    <row r="5846" spans="1:10">
      <c r="A5846" s="88" t="s">
        <v>108</v>
      </c>
      <c r="B5846" s="88" t="s">
        <v>37</v>
      </c>
      <c r="C5846" s="159">
        <v>0.76666666666666605</v>
      </c>
      <c r="D5846" s="73">
        <v>0</v>
      </c>
      <c r="E5846" s="73">
        <v>0</v>
      </c>
      <c r="F5846" s="73">
        <v>0</v>
      </c>
      <c r="G5846" s="73">
        <v>0</v>
      </c>
      <c r="H5846" s="73">
        <v>0</v>
      </c>
      <c r="I5846" s="73">
        <v>0</v>
      </c>
      <c r="J5846" s="73">
        <v>0</v>
      </c>
    </row>
    <row r="5847" spans="1:10">
      <c r="A5847" s="88" t="s">
        <v>108</v>
      </c>
      <c r="B5847" s="88" t="s">
        <v>37</v>
      </c>
      <c r="C5847" s="159">
        <v>0.76736111111111105</v>
      </c>
      <c r="D5847" s="73">
        <v>0</v>
      </c>
      <c r="E5847" s="73">
        <v>0</v>
      </c>
      <c r="F5847" s="73">
        <v>0</v>
      </c>
      <c r="G5847" s="73">
        <v>0</v>
      </c>
      <c r="H5847" s="73">
        <v>0</v>
      </c>
      <c r="I5847" s="73">
        <v>0</v>
      </c>
      <c r="J5847" s="73">
        <v>0</v>
      </c>
    </row>
    <row r="5848" spans="1:10">
      <c r="A5848" s="88" t="s">
        <v>108</v>
      </c>
      <c r="B5848" s="88" t="s">
        <v>37</v>
      </c>
      <c r="C5848" s="159">
        <v>0.76805555555555505</v>
      </c>
      <c r="D5848" s="73">
        <v>0</v>
      </c>
      <c r="E5848" s="73">
        <v>0</v>
      </c>
      <c r="F5848" s="73">
        <v>0</v>
      </c>
      <c r="G5848" s="73">
        <v>0</v>
      </c>
      <c r="H5848" s="73">
        <v>0</v>
      </c>
      <c r="I5848" s="73">
        <v>0</v>
      </c>
      <c r="J5848" s="73">
        <v>0</v>
      </c>
    </row>
    <row r="5849" spans="1:10">
      <c r="A5849" s="88" t="s">
        <v>108</v>
      </c>
      <c r="B5849" s="88" t="s">
        <v>37</v>
      </c>
      <c r="C5849" s="159">
        <v>0.76875000000000004</v>
      </c>
      <c r="D5849" s="73">
        <v>0</v>
      </c>
      <c r="E5849" s="73">
        <v>0</v>
      </c>
      <c r="F5849" s="73">
        <v>0</v>
      </c>
      <c r="G5849" s="73">
        <v>0</v>
      </c>
      <c r="H5849" s="73">
        <v>0</v>
      </c>
      <c r="I5849" s="73">
        <v>0</v>
      </c>
      <c r="J5849" s="73">
        <v>0</v>
      </c>
    </row>
    <row r="5850" spans="1:10">
      <c r="A5850" s="88" t="s">
        <v>108</v>
      </c>
      <c r="B5850" s="88" t="s">
        <v>37</v>
      </c>
      <c r="C5850" s="159">
        <v>0.76944444444444404</v>
      </c>
      <c r="D5850" s="73">
        <v>0</v>
      </c>
      <c r="E5850" s="73">
        <v>0</v>
      </c>
      <c r="F5850" s="73">
        <v>0</v>
      </c>
      <c r="G5850" s="73">
        <v>0</v>
      </c>
      <c r="H5850" s="73">
        <v>0</v>
      </c>
      <c r="I5850" s="73">
        <v>0</v>
      </c>
      <c r="J5850" s="73">
        <v>0</v>
      </c>
    </row>
    <row r="5851" spans="1:10" s="80" customFormat="1">
      <c r="A5851" s="91" t="s">
        <v>108</v>
      </c>
      <c r="B5851" s="91" t="s">
        <v>37</v>
      </c>
      <c r="C5851" s="161">
        <v>0.77013888888888904</v>
      </c>
      <c r="D5851" s="163">
        <v>0</v>
      </c>
      <c r="E5851" s="163">
        <v>0</v>
      </c>
      <c r="F5851" s="163">
        <v>0</v>
      </c>
      <c r="G5851" s="163">
        <v>0</v>
      </c>
      <c r="H5851" s="163">
        <v>0</v>
      </c>
      <c r="I5851" s="163">
        <v>0</v>
      </c>
      <c r="J5851" s="163">
        <v>0</v>
      </c>
    </row>
    <row r="5852" spans="1:10">
      <c r="A5852" s="88" t="s">
        <v>108</v>
      </c>
      <c r="B5852" s="88" t="s">
        <v>37</v>
      </c>
      <c r="C5852" s="159">
        <v>0.77083333333333304</v>
      </c>
      <c r="D5852" s="164">
        <v>0</v>
      </c>
      <c r="E5852" s="164">
        <v>0</v>
      </c>
      <c r="F5852" s="164">
        <v>0</v>
      </c>
      <c r="G5852" s="164">
        <v>0</v>
      </c>
      <c r="H5852" s="164">
        <v>0</v>
      </c>
      <c r="I5852" s="164">
        <v>0</v>
      </c>
      <c r="J5852" s="164">
        <v>0</v>
      </c>
    </row>
    <row r="5853" spans="1:10">
      <c r="A5853" s="88" t="s">
        <v>108</v>
      </c>
      <c r="B5853" s="88" t="s">
        <v>37</v>
      </c>
      <c r="C5853" s="159">
        <v>0.77152777777777803</v>
      </c>
      <c r="D5853" s="73">
        <v>0</v>
      </c>
      <c r="E5853" s="73">
        <v>0</v>
      </c>
      <c r="F5853" s="73">
        <v>0</v>
      </c>
      <c r="G5853" s="73">
        <v>0</v>
      </c>
      <c r="H5853" s="73">
        <v>0</v>
      </c>
      <c r="I5853" s="73">
        <v>0</v>
      </c>
      <c r="J5853" s="73">
        <v>0</v>
      </c>
    </row>
    <row r="5854" spans="1:10">
      <c r="A5854" s="88" t="s">
        <v>108</v>
      </c>
      <c r="B5854" s="88" t="s">
        <v>37</v>
      </c>
      <c r="C5854" s="159">
        <v>0.77222222222222203</v>
      </c>
      <c r="D5854" s="73">
        <v>0</v>
      </c>
      <c r="E5854" s="73">
        <v>0</v>
      </c>
      <c r="F5854" s="73">
        <v>0</v>
      </c>
      <c r="G5854" s="73">
        <v>0</v>
      </c>
      <c r="H5854" s="73">
        <v>0</v>
      </c>
      <c r="I5854" s="73">
        <v>0</v>
      </c>
      <c r="J5854" s="73">
        <v>0</v>
      </c>
    </row>
    <row r="5855" spans="1:10">
      <c r="A5855" s="88" t="s">
        <v>108</v>
      </c>
      <c r="B5855" s="88" t="s">
        <v>37</v>
      </c>
      <c r="C5855" s="159">
        <v>0.77291666666666603</v>
      </c>
      <c r="D5855" s="73">
        <v>0</v>
      </c>
      <c r="E5855" s="73">
        <v>0</v>
      </c>
      <c r="F5855" s="73">
        <v>0</v>
      </c>
      <c r="G5855" s="73">
        <v>0</v>
      </c>
      <c r="H5855" s="73">
        <v>0</v>
      </c>
      <c r="I5855" s="73">
        <v>0</v>
      </c>
      <c r="J5855" s="73">
        <v>0</v>
      </c>
    </row>
    <row r="5856" spans="1:10">
      <c r="A5856" s="88" t="s">
        <v>108</v>
      </c>
      <c r="B5856" s="88" t="s">
        <v>37</v>
      </c>
      <c r="C5856" s="159">
        <v>0.77361111111111103</v>
      </c>
      <c r="D5856" s="73">
        <v>0</v>
      </c>
      <c r="E5856" s="73">
        <v>0</v>
      </c>
      <c r="F5856" s="73">
        <v>0</v>
      </c>
      <c r="G5856" s="73">
        <v>0</v>
      </c>
      <c r="H5856" s="73">
        <v>0</v>
      </c>
      <c r="I5856" s="73">
        <v>0</v>
      </c>
      <c r="J5856" s="73">
        <v>0</v>
      </c>
    </row>
    <row r="5857" spans="1:10">
      <c r="A5857" s="88" t="s">
        <v>108</v>
      </c>
      <c r="B5857" s="88" t="s">
        <v>37</v>
      </c>
      <c r="C5857" s="159">
        <v>0.77430555555555503</v>
      </c>
      <c r="D5857" s="73">
        <v>0</v>
      </c>
      <c r="E5857" s="73">
        <v>0</v>
      </c>
      <c r="F5857" s="73">
        <v>0</v>
      </c>
      <c r="G5857" s="73">
        <v>0</v>
      </c>
      <c r="H5857" s="73">
        <v>0</v>
      </c>
      <c r="I5857" s="73">
        <v>0</v>
      </c>
      <c r="J5857" s="73">
        <v>0</v>
      </c>
    </row>
    <row r="5858" spans="1:10">
      <c r="A5858" s="88" t="s">
        <v>108</v>
      </c>
      <c r="B5858" s="88" t="s">
        <v>37</v>
      </c>
      <c r="C5858" s="159">
        <v>0.77500000000000002</v>
      </c>
      <c r="D5858" s="73">
        <v>0</v>
      </c>
      <c r="E5858" s="73">
        <v>0</v>
      </c>
      <c r="F5858" s="73">
        <v>0</v>
      </c>
      <c r="G5858" s="73">
        <v>0</v>
      </c>
      <c r="H5858" s="73">
        <v>0</v>
      </c>
      <c r="I5858" s="73">
        <v>0</v>
      </c>
      <c r="J5858" s="73">
        <v>0</v>
      </c>
    </row>
    <row r="5859" spans="1:10">
      <c r="A5859" s="88" t="s">
        <v>108</v>
      </c>
      <c r="B5859" s="88" t="s">
        <v>37</v>
      </c>
      <c r="C5859" s="159">
        <v>0.77569444444444402</v>
      </c>
      <c r="D5859" s="73">
        <v>0</v>
      </c>
      <c r="E5859" s="73">
        <v>0</v>
      </c>
      <c r="F5859" s="73">
        <v>0</v>
      </c>
      <c r="G5859" s="73">
        <v>0</v>
      </c>
      <c r="H5859" s="73">
        <v>0</v>
      </c>
      <c r="I5859" s="73">
        <v>0</v>
      </c>
      <c r="J5859" s="73">
        <v>0</v>
      </c>
    </row>
    <row r="5860" spans="1:10">
      <c r="A5860" s="88" t="s">
        <v>108</v>
      </c>
      <c r="B5860" s="88" t="s">
        <v>37</v>
      </c>
      <c r="C5860" s="159">
        <v>0.77638888888888902</v>
      </c>
      <c r="D5860" s="73">
        <v>0</v>
      </c>
      <c r="E5860" s="73">
        <v>0</v>
      </c>
      <c r="F5860" s="73">
        <v>0</v>
      </c>
      <c r="G5860" s="73">
        <v>0</v>
      </c>
      <c r="H5860" s="73">
        <v>0</v>
      </c>
      <c r="I5860" s="73">
        <v>0</v>
      </c>
      <c r="J5860" s="73">
        <v>0</v>
      </c>
    </row>
    <row r="5861" spans="1:10">
      <c r="A5861" s="88" t="s">
        <v>108</v>
      </c>
      <c r="B5861" s="88" t="s">
        <v>37</v>
      </c>
      <c r="C5861" s="159">
        <v>0.77708333333333302</v>
      </c>
      <c r="D5861" s="73">
        <v>0</v>
      </c>
      <c r="E5861" s="73">
        <v>0</v>
      </c>
      <c r="F5861" s="73">
        <v>0</v>
      </c>
      <c r="G5861" s="73">
        <v>0</v>
      </c>
      <c r="H5861" s="73">
        <v>0</v>
      </c>
      <c r="I5861" s="73">
        <v>0</v>
      </c>
      <c r="J5861" s="73">
        <v>0</v>
      </c>
    </row>
    <row r="5862" spans="1:10">
      <c r="A5862" s="88" t="s">
        <v>108</v>
      </c>
      <c r="B5862" s="88" t="s">
        <v>37</v>
      </c>
      <c r="C5862" s="159">
        <v>0.77777777777777801</v>
      </c>
      <c r="D5862" s="73">
        <v>0</v>
      </c>
      <c r="E5862" s="73">
        <v>0</v>
      </c>
      <c r="F5862" s="73">
        <v>0</v>
      </c>
      <c r="G5862" s="73">
        <v>0</v>
      </c>
      <c r="H5862" s="73">
        <v>0</v>
      </c>
      <c r="I5862" s="73">
        <v>0</v>
      </c>
      <c r="J5862" s="73">
        <v>0</v>
      </c>
    </row>
    <row r="5863" spans="1:10">
      <c r="A5863" s="88" t="s">
        <v>108</v>
      </c>
      <c r="B5863" s="88" t="s">
        <v>37</v>
      </c>
      <c r="C5863" s="159">
        <v>0.77847222222222201</v>
      </c>
      <c r="D5863" s="73">
        <v>0</v>
      </c>
      <c r="E5863" s="73">
        <v>0</v>
      </c>
      <c r="F5863" s="73">
        <v>0</v>
      </c>
      <c r="G5863" s="73">
        <v>0</v>
      </c>
      <c r="H5863" s="73">
        <v>0</v>
      </c>
      <c r="I5863" s="73">
        <v>0</v>
      </c>
      <c r="J5863" s="73">
        <v>0</v>
      </c>
    </row>
    <row r="5864" spans="1:10">
      <c r="A5864" s="88" t="s">
        <v>108</v>
      </c>
      <c r="B5864" s="88" t="s">
        <v>37</v>
      </c>
      <c r="C5864" s="159">
        <v>0.77916666666666601</v>
      </c>
      <c r="D5864" s="73">
        <v>0</v>
      </c>
      <c r="E5864" s="73">
        <v>0</v>
      </c>
      <c r="F5864" s="73">
        <v>0</v>
      </c>
      <c r="G5864" s="73">
        <v>0</v>
      </c>
      <c r="H5864" s="73">
        <v>0</v>
      </c>
      <c r="I5864" s="73">
        <v>0</v>
      </c>
      <c r="J5864" s="73">
        <v>0</v>
      </c>
    </row>
    <row r="5865" spans="1:10">
      <c r="A5865" s="88" t="s">
        <v>108</v>
      </c>
      <c r="B5865" s="88" t="s">
        <v>37</v>
      </c>
      <c r="C5865" s="159">
        <v>0.77986111111111101</v>
      </c>
      <c r="D5865" s="73">
        <v>0</v>
      </c>
      <c r="E5865" s="73">
        <v>0</v>
      </c>
      <c r="F5865" s="73">
        <v>0</v>
      </c>
      <c r="G5865" s="73">
        <v>0</v>
      </c>
      <c r="H5865" s="73">
        <v>0</v>
      </c>
      <c r="I5865" s="73">
        <v>0</v>
      </c>
      <c r="J5865" s="73">
        <v>0</v>
      </c>
    </row>
    <row r="5866" spans="1:10" s="80" customFormat="1">
      <c r="A5866" s="91" t="s">
        <v>108</v>
      </c>
      <c r="B5866" s="91" t="s">
        <v>37</v>
      </c>
      <c r="C5866" s="161">
        <v>0.780555555555555</v>
      </c>
      <c r="D5866" s="163">
        <v>0</v>
      </c>
      <c r="E5866" s="163">
        <v>0</v>
      </c>
      <c r="F5866" s="163">
        <v>0</v>
      </c>
      <c r="G5866" s="163">
        <v>0</v>
      </c>
      <c r="H5866" s="163">
        <v>0</v>
      </c>
      <c r="I5866" s="163">
        <v>0</v>
      </c>
      <c r="J5866" s="163">
        <v>0</v>
      </c>
    </row>
    <row r="5867" spans="1:10">
      <c r="A5867" s="88" t="s">
        <v>108</v>
      </c>
      <c r="B5867" s="88" t="s">
        <v>37</v>
      </c>
      <c r="C5867" s="159">
        <v>0.78125</v>
      </c>
      <c r="D5867" s="164">
        <v>0</v>
      </c>
      <c r="E5867" s="164">
        <v>0</v>
      </c>
      <c r="F5867" s="164">
        <v>0</v>
      </c>
      <c r="G5867" s="164">
        <v>0</v>
      </c>
      <c r="H5867" s="164">
        <v>0</v>
      </c>
      <c r="I5867" s="164">
        <v>0</v>
      </c>
      <c r="J5867" s="164">
        <v>0</v>
      </c>
    </row>
    <row r="5868" spans="1:10">
      <c r="A5868" s="88" t="s">
        <v>108</v>
      </c>
      <c r="B5868" s="88" t="s">
        <v>37</v>
      </c>
      <c r="C5868" s="159">
        <v>0.781944444444444</v>
      </c>
      <c r="D5868" s="73">
        <v>0</v>
      </c>
      <c r="E5868" s="73">
        <v>0</v>
      </c>
      <c r="F5868" s="73">
        <v>0</v>
      </c>
      <c r="G5868" s="73">
        <v>0</v>
      </c>
      <c r="H5868" s="73">
        <v>0</v>
      </c>
      <c r="I5868" s="73">
        <v>0</v>
      </c>
      <c r="J5868" s="73">
        <v>0</v>
      </c>
    </row>
    <row r="5869" spans="1:10">
      <c r="A5869" s="88" t="s">
        <v>108</v>
      </c>
      <c r="B5869" s="88" t="s">
        <v>37</v>
      </c>
      <c r="C5869" s="159">
        <v>0.78263888888888899</v>
      </c>
      <c r="D5869" s="73">
        <v>0</v>
      </c>
      <c r="E5869" s="73">
        <v>0</v>
      </c>
      <c r="F5869" s="73">
        <v>0</v>
      </c>
      <c r="G5869" s="73">
        <v>0</v>
      </c>
      <c r="H5869" s="73">
        <v>0</v>
      </c>
      <c r="I5869" s="73">
        <v>0</v>
      </c>
      <c r="J5869" s="73">
        <v>0</v>
      </c>
    </row>
    <row r="5870" spans="1:10">
      <c r="A5870" s="88" t="s">
        <v>108</v>
      </c>
      <c r="B5870" s="88" t="s">
        <v>37</v>
      </c>
      <c r="C5870" s="159">
        <v>0.78333333333333299</v>
      </c>
      <c r="D5870" s="73">
        <v>0</v>
      </c>
      <c r="E5870" s="73">
        <v>0</v>
      </c>
      <c r="F5870" s="73">
        <v>0</v>
      </c>
      <c r="G5870" s="73">
        <v>0</v>
      </c>
      <c r="H5870" s="73">
        <v>0</v>
      </c>
      <c r="I5870" s="73">
        <v>0</v>
      </c>
      <c r="J5870" s="73">
        <v>0</v>
      </c>
    </row>
    <row r="5871" spans="1:10">
      <c r="A5871" s="88" t="s">
        <v>108</v>
      </c>
      <c r="B5871" s="88" t="s">
        <v>37</v>
      </c>
      <c r="C5871" s="159">
        <v>0.78402777777777799</v>
      </c>
      <c r="D5871" s="73">
        <v>0</v>
      </c>
      <c r="E5871" s="73">
        <v>0</v>
      </c>
      <c r="F5871" s="73">
        <v>0</v>
      </c>
      <c r="G5871" s="73">
        <v>0</v>
      </c>
      <c r="H5871" s="73">
        <v>0</v>
      </c>
      <c r="I5871" s="73">
        <v>0</v>
      </c>
      <c r="J5871" s="73">
        <v>0</v>
      </c>
    </row>
    <row r="5872" spans="1:10">
      <c r="A5872" s="88" t="s">
        <v>108</v>
      </c>
      <c r="B5872" s="88" t="s">
        <v>37</v>
      </c>
      <c r="C5872" s="159">
        <v>0.78472222222222199</v>
      </c>
      <c r="D5872" s="73">
        <v>0</v>
      </c>
      <c r="E5872" s="73">
        <v>0</v>
      </c>
      <c r="F5872" s="73">
        <v>0</v>
      </c>
      <c r="G5872" s="73">
        <v>0</v>
      </c>
      <c r="H5872" s="73">
        <v>0</v>
      </c>
      <c r="I5872" s="73">
        <v>0</v>
      </c>
      <c r="J5872" s="73">
        <v>0</v>
      </c>
    </row>
    <row r="5873" spans="1:10">
      <c r="A5873" s="88" t="s">
        <v>108</v>
      </c>
      <c r="B5873" s="88" t="s">
        <v>37</v>
      </c>
      <c r="C5873" s="159">
        <v>0.78541666666666599</v>
      </c>
      <c r="D5873" s="73">
        <v>0</v>
      </c>
      <c r="E5873" s="73">
        <v>0</v>
      </c>
      <c r="F5873" s="73">
        <v>0</v>
      </c>
      <c r="G5873" s="73">
        <v>0</v>
      </c>
      <c r="H5873" s="73">
        <v>0</v>
      </c>
      <c r="I5873" s="73">
        <v>0</v>
      </c>
      <c r="J5873" s="73">
        <v>0</v>
      </c>
    </row>
    <row r="5874" spans="1:10">
      <c r="A5874" s="88" t="s">
        <v>108</v>
      </c>
      <c r="B5874" s="88" t="s">
        <v>37</v>
      </c>
      <c r="C5874" s="159">
        <v>0.78611111111111098</v>
      </c>
      <c r="D5874" s="73">
        <v>0</v>
      </c>
      <c r="E5874" s="73">
        <v>0</v>
      </c>
      <c r="F5874" s="73">
        <v>0</v>
      </c>
      <c r="G5874" s="73">
        <v>0</v>
      </c>
      <c r="H5874" s="73">
        <v>0</v>
      </c>
      <c r="I5874" s="73">
        <v>0</v>
      </c>
      <c r="J5874" s="73">
        <v>0</v>
      </c>
    </row>
    <row r="5875" spans="1:10">
      <c r="A5875" s="88" t="s">
        <v>108</v>
      </c>
      <c r="B5875" s="88" t="s">
        <v>37</v>
      </c>
      <c r="C5875" s="159">
        <v>0.78680555555555498</v>
      </c>
      <c r="D5875" s="73">
        <v>0</v>
      </c>
      <c r="E5875" s="73">
        <v>0</v>
      </c>
      <c r="F5875" s="73">
        <v>0</v>
      </c>
      <c r="G5875" s="73">
        <v>0</v>
      </c>
      <c r="H5875" s="73">
        <v>0</v>
      </c>
      <c r="I5875" s="73">
        <v>0</v>
      </c>
      <c r="J5875" s="73">
        <v>0</v>
      </c>
    </row>
    <row r="5876" spans="1:10">
      <c r="A5876" s="88" t="s">
        <v>108</v>
      </c>
      <c r="B5876" s="88" t="s">
        <v>37</v>
      </c>
      <c r="C5876" s="159">
        <v>0.78749999999999998</v>
      </c>
      <c r="D5876" s="73">
        <v>0</v>
      </c>
      <c r="E5876" s="73">
        <v>0</v>
      </c>
      <c r="F5876" s="73">
        <v>0</v>
      </c>
      <c r="G5876" s="73">
        <v>0</v>
      </c>
      <c r="H5876" s="73">
        <v>0</v>
      </c>
      <c r="I5876" s="73">
        <v>0</v>
      </c>
      <c r="J5876" s="73">
        <v>0</v>
      </c>
    </row>
    <row r="5877" spans="1:10">
      <c r="A5877" s="88" t="s">
        <v>108</v>
      </c>
      <c r="B5877" s="88" t="s">
        <v>37</v>
      </c>
      <c r="C5877" s="159">
        <v>0.78819444444444398</v>
      </c>
      <c r="D5877" s="73">
        <v>0</v>
      </c>
      <c r="E5877" s="73">
        <v>0</v>
      </c>
      <c r="F5877" s="73">
        <v>0</v>
      </c>
      <c r="G5877" s="73">
        <v>0</v>
      </c>
      <c r="H5877" s="73">
        <v>0</v>
      </c>
      <c r="I5877" s="73">
        <v>0</v>
      </c>
      <c r="J5877" s="73">
        <v>0</v>
      </c>
    </row>
    <row r="5878" spans="1:10">
      <c r="A5878" s="88" t="s">
        <v>108</v>
      </c>
      <c r="B5878" s="88" t="s">
        <v>37</v>
      </c>
      <c r="C5878" s="159">
        <v>0.78888888888888897</v>
      </c>
      <c r="D5878" s="73">
        <v>0</v>
      </c>
      <c r="E5878" s="73">
        <v>0</v>
      </c>
      <c r="F5878" s="73">
        <v>0</v>
      </c>
      <c r="G5878" s="73">
        <v>0</v>
      </c>
      <c r="H5878" s="73">
        <v>0</v>
      </c>
      <c r="I5878" s="73">
        <v>0</v>
      </c>
      <c r="J5878" s="73">
        <v>0</v>
      </c>
    </row>
    <row r="5879" spans="1:10">
      <c r="A5879" s="88" t="s">
        <v>108</v>
      </c>
      <c r="B5879" s="88" t="s">
        <v>37</v>
      </c>
      <c r="C5879" s="159">
        <v>0.78958333333333297</v>
      </c>
      <c r="D5879" s="73">
        <v>0</v>
      </c>
      <c r="E5879" s="73">
        <v>0</v>
      </c>
      <c r="F5879" s="73">
        <v>0</v>
      </c>
      <c r="G5879" s="73">
        <v>0</v>
      </c>
      <c r="H5879" s="73">
        <v>0</v>
      </c>
      <c r="I5879" s="73">
        <v>0</v>
      </c>
      <c r="J5879" s="73">
        <v>0</v>
      </c>
    </row>
    <row r="5880" spans="1:10">
      <c r="A5880" s="88" t="s">
        <v>108</v>
      </c>
      <c r="B5880" s="88" t="s">
        <v>37</v>
      </c>
      <c r="C5880" s="159">
        <v>0.79027777777777797</v>
      </c>
      <c r="D5880" s="73">
        <v>0</v>
      </c>
      <c r="E5880" s="73">
        <v>0</v>
      </c>
      <c r="F5880" s="73">
        <v>0</v>
      </c>
      <c r="G5880" s="73">
        <v>0</v>
      </c>
      <c r="H5880" s="73">
        <v>0</v>
      </c>
      <c r="I5880" s="73">
        <v>0</v>
      </c>
      <c r="J5880" s="73">
        <v>0</v>
      </c>
    </row>
    <row r="5881" spans="1:10" s="28" customFormat="1" ht="17.5" thickBot="1">
      <c r="A5881" s="103" t="s">
        <v>108</v>
      </c>
      <c r="B5881" s="103" t="s">
        <v>37</v>
      </c>
      <c r="C5881" s="160">
        <v>0.83194444444444504</v>
      </c>
      <c r="D5881" s="165">
        <v>0</v>
      </c>
      <c r="E5881" s="165">
        <v>0</v>
      </c>
      <c r="F5881" s="165">
        <v>0</v>
      </c>
      <c r="G5881" s="165">
        <v>0</v>
      </c>
      <c r="H5881" s="165">
        <v>0</v>
      </c>
      <c r="I5881" s="165">
        <v>0</v>
      </c>
      <c r="J5881" s="165">
        <v>0</v>
      </c>
    </row>
    <row r="5882" spans="1:10">
      <c r="A5882" s="88" t="s">
        <v>108</v>
      </c>
      <c r="B5882" s="88" t="s">
        <v>124</v>
      </c>
      <c r="C5882" s="159">
        <v>0.70833333333333337</v>
      </c>
      <c r="D5882" s="73">
        <v>0</v>
      </c>
      <c r="E5882" s="73">
        <v>0</v>
      </c>
      <c r="F5882" s="73">
        <v>0</v>
      </c>
      <c r="G5882" s="73">
        <v>0</v>
      </c>
      <c r="H5882" s="73">
        <v>0</v>
      </c>
      <c r="I5882" s="73">
        <v>0</v>
      </c>
      <c r="J5882" s="73">
        <v>0</v>
      </c>
    </row>
    <row r="5883" spans="1:10">
      <c r="A5883" s="88" t="s">
        <v>108</v>
      </c>
      <c r="B5883" s="88" t="s">
        <v>123</v>
      </c>
      <c r="C5883" s="159">
        <v>0.70902777777777781</v>
      </c>
      <c r="D5883" s="73">
        <v>0</v>
      </c>
      <c r="E5883" s="73">
        <v>0</v>
      </c>
      <c r="F5883" s="73">
        <v>0</v>
      </c>
      <c r="G5883" s="73">
        <v>0</v>
      </c>
      <c r="H5883" s="73">
        <v>0</v>
      </c>
      <c r="I5883" s="73">
        <v>0</v>
      </c>
      <c r="J5883" s="73">
        <v>0</v>
      </c>
    </row>
    <row r="5884" spans="1:10">
      <c r="A5884" s="88" t="s">
        <v>108</v>
      </c>
      <c r="B5884" s="88" t="s">
        <v>123</v>
      </c>
      <c r="C5884" s="159">
        <v>0.70972222222222203</v>
      </c>
      <c r="D5884" s="73">
        <v>0</v>
      </c>
      <c r="E5884" s="73">
        <v>0</v>
      </c>
      <c r="F5884" s="73">
        <v>0</v>
      </c>
      <c r="G5884" s="73">
        <v>0</v>
      </c>
      <c r="H5884" s="73">
        <v>0</v>
      </c>
      <c r="I5884" s="73">
        <v>0</v>
      </c>
      <c r="J5884" s="73">
        <v>0</v>
      </c>
    </row>
    <row r="5885" spans="1:10">
      <c r="A5885" s="88" t="s">
        <v>108</v>
      </c>
      <c r="B5885" s="88" t="s">
        <v>123</v>
      </c>
      <c r="C5885" s="159">
        <v>0.71041666666666703</v>
      </c>
      <c r="D5885" s="73">
        <v>0</v>
      </c>
      <c r="E5885" s="73">
        <v>0</v>
      </c>
      <c r="F5885" s="73">
        <v>0</v>
      </c>
      <c r="G5885" s="73">
        <v>0</v>
      </c>
      <c r="H5885" s="73">
        <v>0</v>
      </c>
      <c r="I5885" s="73">
        <v>0</v>
      </c>
      <c r="J5885" s="73">
        <v>0</v>
      </c>
    </row>
    <row r="5886" spans="1:10">
      <c r="A5886" s="88" t="s">
        <v>108</v>
      </c>
      <c r="B5886" s="88" t="s">
        <v>123</v>
      </c>
      <c r="C5886" s="159">
        <v>0.71111111111111103</v>
      </c>
      <c r="D5886" s="73">
        <v>0</v>
      </c>
      <c r="E5886" s="73">
        <v>0</v>
      </c>
      <c r="F5886" s="73">
        <v>0</v>
      </c>
      <c r="G5886" s="73">
        <v>0</v>
      </c>
      <c r="H5886" s="73">
        <v>0</v>
      </c>
      <c r="I5886" s="73">
        <v>0</v>
      </c>
      <c r="J5886" s="73">
        <v>0</v>
      </c>
    </row>
    <row r="5887" spans="1:10">
      <c r="A5887" s="88" t="s">
        <v>108</v>
      </c>
      <c r="B5887" s="88" t="s">
        <v>123</v>
      </c>
      <c r="C5887" s="159">
        <v>0.71180555555555602</v>
      </c>
      <c r="D5887" s="73">
        <v>0</v>
      </c>
      <c r="E5887" s="73">
        <v>0</v>
      </c>
      <c r="F5887" s="73">
        <v>0</v>
      </c>
      <c r="G5887" s="73">
        <v>0</v>
      </c>
      <c r="H5887" s="73">
        <v>0</v>
      </c>
      <c r="I5887" s="73">
        <v>0</v>
      </c>
      <c r="J5887" s="73">
        <v>0</v>
      </c>
    </row>
    <row r="5888" spans="1:10">
      <c r="A5888" s="88" t="s">
        <v>108</v>
      </c>
      <c r="B5888" s="88" t="s">
        <v>123</v>
      </c>
      <c r="C5888" s="159">
        <v>0.71250000000000002</v>
      </c>
      <c r="D5888" s="73">
        <v>0</v>
      </c>
      <c r="E5888" s="73">
        <v>0</v>
      </c>
      <c r="F5888" s="73">
        <v>0</v>
      </c>
      <c r="G5888" s="73">
        <v>0</v>
      </c>
      <c r="H5888" s="73">
        <v>0</v>
      </c>
      <c r="I5888" s="73">
        <v>0</v>
      </c>
      <c r="J5888" s="73">
        <v>0</v>
      </c>
    </row>
    <row r="5889" spans="1:10">
      <c r="A5889" s="88" t="s">
        <v>108</v>
      </c>
      <c r="B5889" s="88" t="s">
        <v>123</v>
      </c>
      <c r="C5889" s="159">
        <v>0.71319444444444402</v>
      </c>
      <c r="D5889" s="73">
        <v>0</v>
      </c>
      <c r="E5889" s="73">
        <v>0</v>
      </c>
      <c r="F5889" s="73">
        <v>0</v>
      </c>
      <c r="G5889" s="73">
        <v>0</v>
      </c>
      <c r="H5889" s="73">
        <v>0</v>
      </c>
      <c r="I5889" s="73">
        <v>0</v>
      </c>
      <c r="J5889" s="73">
        <v>0</v>
      </c>
    </row>
    <row r="5890" spans="1:10">
      <c r="A5890" s="88" t="s">
        <v>108</v>
      </c>
      <c r="B5890" s="88" t="s">
        <v>123</v>
      </c>
      <c r="C5890" s="159">
        <v>0.71388888888888902</v>
      </c>
      <c r="D5890" s="73">
        <v>0</v>
      </c>
      <c r="E5890" s="73">
        <v>0</v>
      </c>
      <c r="F5890" s="73">
        <v>0</v>
      </c>
      <c r="G5890" s="73">
        <v>0</v>
      </c>
      <c r="H5890" s="73">
        <v>0</v>
      </c>
      <c r="I5890" s="73">
        <v>0</v>
      </c>
      <c r="J5890" s="73">
        <v>0</v>
      </c>
    </row>
    <row r="5891" spans="1:10">
      <c r="A5891" s="88" t="s">
        <v>108</v>
      </c>
      <c r="B5891" s="88" t="s">
        <v>123</v>
      </c>
      <c r="C5891" s="159">
        <v>0.71458333333333302</v>
      </c>
      <c r="D5891" s="73">
        <v>0</v>
      </c>
      <c r="E5891" s="73">
        <v>0</v>
      </c>
      <c r="F5891" s="73">
        <v>0</v>
      </c>
      <c r="G5891" s="73">
        <v>0</v>
      </c>
      <c r="H5891" s="73">
        <v>0</v>
      </c>
      <c r="I5891" s="73">
        <v>0</v>
      </c>
      <c r="J5891" s="73">
        <v>0</v>
      </c>
    </row>
    <row r="5892" spans="1:10">
      <c r="A5892" s="88" t="s">
        <v>108</v>
      </c>
      <c r="B5892" s="88" t="s">
        <v>123</v>
      </c>
      <c r="C5892" s="159">
        <v>0.71527777777777801</v>
      </c>
      <c r="D5892" s="73">
        <v>0</v>
      </c>
      <c r="E5892" s="73">
        <v>0</v>
      </c>
      <c r="F5892" s="73">
        <v>0</v>
      </c>
      <c r="G5892" s="73">
        <v>0</v>
      </c>
      <c r="H5892" s="73">
        <v>0</v>
      </c>
      <c r="I5892" s="73">
        <v>0</v>
      </c>
      <c r="J5892" s="73">
        <v>0</v>
      </c>
    </row>
    <row r="5893" spans="1:10">
      <c r="A5893" s="88" t="s">
        <v>108</v>
      </c>
      <c r="B5893" s="88" t="s">
        <v>123</v>
      </c>
      <c r="C5893" s="159">
        <v>0.71597222222222201</v>
      </c>
      <c r="D5893" s="73">
        <v>0</v>
      </c>
      <c r="E5893" s="73">
        <v>0</v>
      </c>
      <c r="F5893" s="73">
        <v>0</v>
      </c>
      <c r="G5893" s="73">
        <v>0</v>
      </c>
      <c r="H5893" s="73">
        <v>0</v>
      </c>
      <c r="I5893" s="73">
        <v>0</v>
      </c>
      <c r="J5893" s="73">
        <v>0</v>
      </c>
    </row>
    <row r="5894" spans="1:10">
      <c r="A5894" s="88" t="s">
        <v>108</v>
      </c>
      <c r="B5894" s="88" t="s">
        <v>123</v>
      </c>
      <c r="C5894" s="159">
        <v>0.71666666666666701</v>
      </c>
      <c r="D5894" s="73">
        <v>0</v>
      </c>
      <c r="E5894" s="73">
        <v>0</v>
      </c>
      <c r="F5894" s="73">
        <v>0</v>
      </c>
      <c r="G5894" s="73">
        <v>0</v>
      </c>
      <c r="H5894" s="73">
        <v>0</v>
      </c>
      <c r="I5894" s="73">
        <v>0</v>
      </c>
      <c r="J5894" s="73">
        <v>0</v>
      </c>
    </row>
    <row r="5895" spans="1:10">
      <c r="A5895" s="88" t="s">
        <v>108</v>
      </c>
      <c r="B5895" s="88" t="s">
        <v>123</v>
      </c>
      <c r="C5895" s="159">
        <v>0.71736111111111101</v>
      </c>
      <c r="D5895" s="73">
        <v>0</v>
      </c>
      <c r="E5895" s="73">
        <v>0</v>
      </c>
      <c r="F5895" s="73">
        <v>0</v>
      </c>
      <c r="G5895" s="73">
        <v>0</v>
      </c>
      <c r="H5895" s="73">
        <v>0</v>
      </c>
      <c r="I5895" s="73">
        <v>0</v>
      </c>
      <c r="J5895" s="73">
        <v>0</v>
      </c>
    </row>
    <row r="5896" spans="1:10" s="80" customFormat="1">
      <c r="A5896" s="91" t="s">
        <v>108</v>
      </c>
      <c r="B5896" s="91" t="s">
        <v>123</v>
      </c>
      <c r="C5896" s="161">
        <v>0.718055555555556</v>
      </c>
      <c r="D5896" s="163">
        <v>0</v>
      </c>
      <c r="E5896" s="163">
        <v>0</v>
      </c>
      <c r="F5896" s="163">
        <v>0</v>
      </c>
      <c r="G5896" s="163">
        <v>0</v>
      </c>
      <c r="H5896" s="163">
        <v>0</v>
      </c>
      <c r="I5896" s="163">
        <v>0</v>
      </c>
      <c r="J5896" s="163">
        <v>0</v>
      </c>
    </row>
    <row r="5897" spans="1:10">
      <c r="A5897" s="88" t="s">
        <v>108</v>
      </c>
      <c r="B5897" s="88" t="s">
        <v>123</v>
      </c>
      <c r="C5897" s="159">
        <v>0.71875</v>
      </c>
      <c r="D5897" s="164">
        <v>0</v>
      </c>
      <c r="E5897" s="164">
        <v>0</v>
      </c>
      <c r="F5897" s="164">
        <v>0</v>
      </c>
      <c r="G5897" s="164">
        <v>0</v>
      </c>
      <c r="H5897" s="164">
        <v>0</v>
      </c>
      <c r="I5897" s="164">
        <v>0</v>
      </c>
      <c r="J5897" s="164">
        <v>0</v>
      </c>
    </row>
    <row r="5898" spans="1:10">
      <c r="A5898" s="88" t="s">
        <v>108</v>
      </c>
      <c r="B5898" s="88" t="s">
        <v>123</v>
      </c>
      <c r="C5898" s="159">
        <v>0.719444444444444</v>
      </c>
      <c r="D5898" s="73">
        <v>0</v>
      </c>
      <c r="E5898" s="73">
        <v>0</v>
      </c>
      <c r="F5898" s="73">
        <v>0</v>
      </c>
      <c r="G5898" s="73">
        <v>0</v>
      </c>
      <c r="H5898" s="73">
        <v>0</v>
      </c>
      <c r="I5898" s="73">
        <v>0</v>
      </c>
      <c r="J5898" s="73">
        <v>0</v>
      </c>
    </row>
    <row r="5899" spans="1:10">
      <c r="A5899" s="88" t="s">
        <v>108</v>
      </c>
      <c r="B5899" s="88" t="s">
        <v>123</v>
      </c>
      <c r="C5899" s="159">
        <v>0.72013888888888899</v>
      </c>
      <c r="D5899" s="73">
        <v>0</v>
      </c>
      <c r="E5899" s="73">
        <v>0</v>
      </c>
      <c r="F5899" s="73">
        <v>0</v>
      </c>
      <c r="G5899" s="73">
        <v>0</v>
      </c>
      <c r="H5899" s="73">
        <v>0</v>
      </c>
      <c r="I5899" s="73">
        <v>0</v>
      </c>
      <c r="J5899" s="73">
        <v>0</v>
      </c>
    </row>
    <row r="5900" spans="1:10">
      <c r="A5900" s="88" t="s">
        <v>108</v>
      </c>
      <c r="B5900" s="88" t="s">
        <v>123</v>
      </c>
      <c r="C5900" s="159">
        <v>0.72083333333333299</v>
      </c>
      <c r="D5900" s="73">
        <v>0</v>
      </c>
      <c r="E5900" s="73">
        <v>0</v>
      </c>
      <c r="F5900" s="73">
        <v>0</v>
      </c>
      <c r="G5900" s="73">
        <v>0</v>
      </c>
      <c r="H5900" s="73">
        <v>0</v>
      </c>
      <c r="I5900" s="73">
        <v>0</v>
      </c>
      <c r="J5900" s="73">
        <v>0</v>
      </c>
    </row>
    <row r="5901" spans="1:10">
      <c r="A5901" s="88" t="s">
        <v>108</v>
      </c>
      <c r="B5901" s="88" t="s">
        <v>123</v>
      </c>
      <c r="C5901" s="159">
        <v>0.72152777777777799</v>
      </c>
      <c r="D5901" s="73">
        <v>0</v>
      </c>
      <c r="E5901" s="73">
        <v>0</v>
      </c>
      <c r="F5901" s="73">
        <v>0</v>
      </c>
      <c r="G5901" s="73">
        <v>0</v>
      </c>
      <c r="H5901" s="73">
        <v>0</v>
      </c>
      <c r="I5901" s="73">
        <v>0</v>
      </c>
      <c r="J5901" s="73">
        <v>0</v>
      </c>
    </row>
    <row r="5902" spans="1:10">
      <c r="A5902" s="88" t="s">
        <v>108</v>
      </c>
      <c r="B5902" s="88" t="s">
        <v>123</v>
      </c>
      <c r="C5902" s="159">
        <v>0.72222222222222199</v>
      </c>
      <c r="D5902" s="73">
        <v>0</v>
      </c>
      <c r="E5902" s="73">
        <v>0</v>
      </c>
      <c r="F5902" s="73">
        <v>0</v>
      </c>
      <c r="G5902" s="73">
        <v>0</v>
      </c>
      <c r="H5902" s="73">
        <v>0</v>
      </c>
      <c r="I5902" s="73">
        <v>0</v>
      </c>
      <c r="J5902" s="73">
        <v>0</v>
      </c>
    </row>
    <row r="5903" spans="1:10">
      <c r="A5903" s="88" t="s">
        <v>108</v>
      </c>
      <c r="B5903" s="88" t="s">
        <v>123</v>
      </c>
      <c r="C5903" s="159">
        <v>0.72291666666666698</v>
      </c>
      <c r="D5903" s="73">
        <v>0</v>
      </c>
      <c r="E5903" s="73">
        <v>0</v>
      </c>
      <c r="F5903" s="73">
        <v>0</v>
      </c>
      <c r="G5903" s="73">
        <v>0</v>
      </c>
      <c r="H5903" s="73">
        <v>0</v>
      </c>
      <c r="I5903" s="73">
        <v>0</v>
      </c>
      <c r="J5903" s="73">
        <v>0</v>
      </c>
    </row>
    <row r="5904" spans="1:10">
      <c r="A5904" s="88" t="s">
        <v>108</v>
      </c>
      <c r="B5904" s="88" t="s">
        <v>123</v>
      </c>
      <c r="C5904" s="159">
        <v>0.72361111111111098</v>
      </c>
      <c r="D5904" s="73">
        <v>0</v>
      </c>
      <c r="E5904" s="73">
        <v>0</v>
      </c>
      <c r="F5904" s="73">
        <v>0</v>
      </c>
      <c r="G5904" s="73">
        <v>0</v>
      </c>
      <c r="H5904" s="73">
        <v>0</v>
      </c>
      <c r="I5904" s="73">
        <v>0</v>
      </c>
      <c r="J5904" s="73">
        <v>0</v>
      </c>
    </row>
    <row r="5905" spans="1:10">
      <c r="A5905" s="88" t="s">
        <v>108</v>
      </c>
      <c r="B5905" s="88" t="s">
        <v>123</v>
      </c>
      <c r="C5905" s="159">
        <v>0.72430555555555598</v>
      </c>
      <c r="D5905" s="73">
        <v>0</v>
      </c>
      <c r="E5905" s="73">
        <v>0</v>
      </c>
      <c r="F5905" s="73">
        <v>0</v>
      </c>
      <c r="G5905" s="73">
        <v>0</v>
      </c>
      <c r="H5905" s="73">
        <v>0</v>
      </c>
      <c r="I5905" s="73">
        <v>0</v>
      </c>
      <c r="J5905" s="73">
        <v>0</v>
      </c>
    </row>
    <row r="5906" spans="1:10">
      <c r="A5906" s="88" t="s">
        <v>108</v>
      </c>
      <c r="B5906" s="88" t="s">
        <v>123</v>
      </c>
      <c r="C5906" s="159">
        <v>0.72499999999999998</v>
      </c>
      <c r="D5906" s="73">
        <v>0</v>
      </c>
      <c r="E5906" s="73">
        <v>0</v>
      </c>
      <c r="F5906" s="73">
        <v>0</v>
      </c>
      <c r="G5906" s="73">
        <v>0</v>
      </c>
      <c r="H5906" s="73">
        <v>0</v>
      </c>
      <c r="I5906" s="73">
        <v>0</v>
      </c>
      <c r="J5906" s="73">
        <v>0</v>
      </c>
    </row>
    <row r="5907" spans="1:10">
      <c r="A5907" s="88" t="s">
        <v>108</v>
      </c>
      <c r="B5907" s="88" t="s">
        <v>123</v>
      </c>
      <c r="C5907" s="159">
        <v>0.72569444444444398</v>
      </c>
      <c r="D5907" s="73">
        <v>0</v>
      </c>
      <c r="E5907" s="73">
        <v>0</v>
      </c>
      <c r="F5907" s="73">
        <v>0</v>
      </c>
      <c r="G5907" s="73">
        <v>0</v>
      </c>
      <c r="H5907" s="73">
        <v>0</v>
      </c>
      <c r="I5907" s="73">
        <v>0</v>
      </c>
      <c r="J5907" s="73">
        <v>0</v>
      </c>
    </row>
    <row r="5908" spans="1:10">
      <c r="A5908" s="88" t="s">
        <v>108</v>
      </c>
      <c r="B5908" s="88" t="s">
        <v>123</v>
      </c>
      <c r="C5908" s="159">
        <v>0.72638888888888897</v>
      </c>
      <c r="D5908" s="73">
        <v>0</v>
      </c>
      <c r="E5908" s="73">
        <v>0</v>
      </c>
      <c r="F5908" s="73">
        <v>0</v>
      </c>
      <c r="G5908" s="73">
        <v>0</v>
      </c>
      <c r="H5908" s="73">
        <v>0</v>
      </c>
      <c r="I5908" s="73">
        <v>0</v>
      </c>
      <c r="J5908" s="73">
        <v>0</v>
      </c>
    </row>
    <row r="5909" spans="1:10">
      <c r="A5909" s="88" t="s">
        <v>108</v>
      </c>
      <c r="B5909" s="88" t="s">
        <v>123</v>
      </c>
      <c r="C5909" s="159">
        <v>0.72708333333333297</v>
      </c>
      <c r="D5909" s="73">
        <v>0</v>
      </c>
      <c r="E5909" s="73">
        <v>0</v>
      </c>
      <c r="F5909" s="73">
        <v>0</v>
      </c>
      <c r="G5909" s="73">
        <v>0</v>
      </c>
      <c r="H5909" s="73">
        <v>0</v>
      </c>
      <c r="I5909" s="73">
        <v>0</v>
      </c>
      <c r="J5909" s="73">
        <v>0</v>
      </c>
    </row>
    <row r="5910" spans="1:10">
      <c r="A5910" s="88" t="s">
        <v>108</v>
      </c>
      <c r="B5910" s="88" t="s">
        <v>123</v>
      </c>
      <c r="C5910" s="159">
        <v>0.72777777777777797</v>
      </c>
      <c r="D5910" s="73">
        <v>0</v>
      </c>
      <c r="E5910" s="73">
        <v>0</v>
      </c>
      <c r="F5910" s="73">
        <v>0</v>
      </c>
      <c r="G5910" s="73">
        <v>0</v>
      </c>
      <c r="H5910" s="73">
        <v>0</v>
      </c>
      <c r="I5910" s="73">
        <v>0</v>
      </c>
      <c r="J5910" s="73">
        <v>0</v>
      </c>
    </row>
    <row r="5911" spans="1:10" s="80" customFormat="1">
      <c r="A5911" s="91" t="s">
        <v>108</v>
      </c>
      <c r="B5911" s="91" t="s">
        <v>123</v>
      </c>
      <c r="C5911" s="161">
        <v>0.72847222222222197</v>
      </c>
      <c r="D5911" s="73">
        <v>0</v>
      </c>
      <c r="E5911" s="73">
        <v>0</v>
      </c>
      <c r="F5911" s="73">
        <v>0</v>
      </c>
      <c r="G5911" s="73">
        <v>0</v>
      </c>
      <c r="H5911" s="73">
        <v>0</v>
      </c>
      <c r="I5911" s="73">
        <v>0</v>
      </c>
      <c r="J5911" s="73">
        <v>0</v>
      </c>
    </row>
    <row r="5912" spans="1:10">
      <c r="A5912" s="88" t="s">
        <v>108</v>
      </c>
      <c r="B5912" s="88" t="s">
        <v>123</v>
      </c>
      <c r="C5912" s="159">
        <v>0.72916666666666696</v>
      </c>
      <c r="D5912" s="164">
        <v>0</v>
      </c>
      <c r="E5912" s="164">
        <v>0</v>
      </c>
      <c r="F5912" s="164">
        <v>0</v>
      </c>
      <c r="G5912" s="164">
        <v>0</v>
      </c>
      <c r="H5912" s="164">
        <v>0</v>
      </c>
      <c r="I5912" s="164">
        <v>0</v>
      </c>
      <c r="J5912" s="164">
        <v>0</v>
      </c>
    </row>
    <row r="5913" spans="1:10">
      <c r="A5913" s="88" t="s">
        <v>108</v>
      </c>
      <c r="B5913" s="88" t="s">
        <v>123</v>
      </c>
      <c r="C5913" s="159">
        <v>0.72986111111111096</v>
      </c>
      <c r="D5913" s="73">
        <v>0</v>
      </c>
      <c r="E5913" s="73">
        <v>0</v>
      </c>
      <c r="F5913" s="73">
        <v>0</v>
      </c>
      <c r="G5913" s="73">
        <v>0</v>
      </c>
      <c r="H5913" s="73">
        <v>0</v>
      </c>
      <c r="I5913" s="73">
        <v>0</v>
      </c>
      <c r="J5913" s="73">
        <v>0</v>
      </c>
    </row>
    <row r="5914" spans="1:10">
      <c r="A5914" s="88" t="s">
        <v>108</v>
      </c>
      <c r="B5914" s="88" t="s">
        <v>123</v>
      </c>
      <c r="C5914" s="159">
        <v>0.73055555555555596</v>
      </c>
      <c r="D5914" s="73">
        <v>0</v>
      </c>
      <c r="E5914" s="73">
        <v>0</v>
      </c>
      <c r="F5914" s="73">
        <v>0</v>
      </c>
      <c r="G5914" s="73">
        <v>0</v>
      </c>
      <c r="H5914" s="73">
        <v>0</v>
      </c>
      <c r="I5914" s="73">
        <v>0</v>
      </c>
      <c r="J5914" s="73">
        <v>0</v>
      </c>
    </row>
    <row r="5915" spans="1:10">
      <c r="A5915" s="88" t="s">
        <v>108</v>
      </c>
      <c r="B5915" s="88" t="s">
        <v>123</v>
      </c>
      <c r="C5915" s="159">
        <v>0.73124999999999996</v>
      </c>
      <c r="D5915" s="73">
        <v>0</v>
      </c>
      <c r="E5915" s="73">
        <v>0</v>
      </c>
      <c r="F5915" s="73">
        <v>0</v>
      </c>
      <c r="G5915" s="73">
        <v>0</v>
      </c>
      <c r="H5915" s="73">
        <v>0</v>
      </c>
      <c r="I5915" s="73">
        <v>0</v>
      </c>
      <c r="J5915" s="73">
        <v>0</v>
      </c>
    </row>
    <row r="5916" spans="1:10">
      <c r="A5916" s="88" t="s">
        <v>108</v>
      </c>
      <c r="B5916" s="88" t="s">
        <v>123</v>
      </c>
      <c r="C5916" s="159">
        <v>0.73194444444444395</v>
      </c>
      <c r="D5916" s="73">
        <v>0</v>
      </c>
      <c r="E5916" s="73">
        <v>0</v>
      </c>
      <c r="F5916" s="73">
        <v>0</v>
      </c>
      <c r="G5916" s="73">
        <v>0</v>
      </c>
      <c r="H5916" s="73">
        <v>0</v>
      </c>
      <c r="I5916" s="73">
        <v>0</v>
      </c>
      <c r="J5916" s="73">
        <v>0</v>
      </c>
    </row>
    <row r="5917" spans="1:10">
      <c r="A5917" s="88" t="s">
        <v>108</v>
      </c>
      <c r="B5917" s="88" t="s">
        <v>123</v>
      </c>
      <c r="C5917" s="159">
        <v>0.73263888888888895</v>
      </c>
      <c r="D5917" s="73">
        <v>0</v>
      </c>
      <c r="E5917" s="73">
        <v>0</v>
      </c>
      <c r="F5917" s="73">
        <v>0</v>
      </c>
      <c r="G5917" s="73">
        <v>0</v>
      </c>
      <c r="H5917" s="73">
        <v>0</v>
      </c>
      <c r="I5917" s="73">
        <v>0</v>
      </c>
      <c r="J5917" s="73">
        <v>0</v>
      </c>
    </row>
    <row r="5918" spans="1:10">
      <c r="A5918" s="88" t="s">
        <v>108</v>
      </c>
      <c r="B5918" s="88" t="s">
        <v>123</v>
      </c>
      <c r="C5918" s="159">
        <v>0.73333333333333295</v>
      </c>
      <c r="D5918" s="73">
        <v>0</v>
      </c>
      <c r="E5918" s="73">
        <v>0</v>
      </c>
      <c r="F5918" s="73">
        <v>0</v>
      </c>
      <c r="G5918" s="73">
        <v>0</v>
      </c>
      <c r="H5918" s="73">
        <v>0</v>
      </c>
      <c r="I5918" s="73">
        <v>0</v>
      </c>
      <c r="J5918" s="73">
        <v>0</v>
      </c>
    </row>
    <row r="5919" spans="1:10">
      <c r="A5919" s="88" t="s">
        <v>108</v>
      </c>
      <c r="B5919" s="88" t="s">
        <v>123</v>
      </c>
      <c r="C5919" s="159">
        <v>0.73402777777777795</v>
      </c>
      <c r="D5919" s="73">
        <v>0</v>
      </c>
      <c r="E5919" s="73">
        <v>0</v>
      </c>
      <c r="F5919" s="73">
        <v>0</v>
      </c>
      <c r="G5919" s="73">
        <v>0</v>
      </c>
      <c r="H5919" s="73">
        <v>0</v>
      </c>
      <c r="I5919" s="73">
        <v>0</v>
      </c>
      <c r="J5919" s="73">
        <v>0</v>
      </c>
    </row>
    <row r="5920" spans="1:10">
      <c r="A5920" s="88" t="s">
        <v>108</v>
      </c>
      <c r="B5920" s="88" t="s">
        <v>123</v>
      </c>
      <c r="C5920" s="159">
        <v>0.73472222222222205</v>
      </c>
      <c r="D5920" s="73">
        <v>0</v>
      </c>
      <c r="E5920" s="73">
        <v>0</v>
      </c>
      <c r="F5920" s="73">
        <v>0</v>
      </c>
      <c r="G5920" s="73">
        <v>0</v>
      </c>
      <c r="H5920" s="73">
        <v>0</v>
      </c>
      <c r="I5920" s="73">
        <v>0</v>
      </c>
      <c r="J5920" s="73">
        <v>0</v>
      </c>
    </row>
    <row r="5921" spans="1:10">
      <c r="A5921" s="88" t="s">
        <v>108</v>
      </c>
      <c r="B5921" s="88" t="s">
        <v>123</v>
      </c>
      <c r="C5921" s="159">
        <v>0.73541666666666705</v>
      </c>
      <c r="D5921" s="73">
        <v>0</v>
      </c>
      <c r="E5921" s="73">
        <v>0</v>
      </c>
      <c r="F5921" s="73">
        <v>0</v>
      </c>
      <c r="G5921" s="73">
        <v>0</v>
      </c>
      <c r="H5921" s="73">
        <v>0</v>
      </c>
      <c r="I5921" s="73">
        <v>0</v>
      </c>
      <c r="J5921" s="73">
        <v>0</v>
      </c>
    </row>
    <row r="5922" spans="1:10">
      <c r="A5922" s="88" t="s">
        <v>108</v>
      </c>
      <c r="B5922" s="88" t="s">
        <v>123</v>
      </c>
      <c r="C5922" s="159">
        <v>0.73611111111111105</v>
      </c>
      <c r="D5922" s="73">
        <v>0</v>
      </c>
      <c r="E5922" s="73">
        <v>0</v>
      </c>
      <c r="F5922" s="73">
        <v>0</v>
      </c>
      <c r="G5922" s="73">
        <v>0</v>
      </c>
      <c r="H5922" s="73">
        <v>0</v>
      </c>
      <c r="I5922" s="73">
        <v>0</v>
      </c>
      <c r="J5922" s="73">
        <v>0</v>
      </c>
    </row>
    <row r="5923" spans="1:10">
      <c r="A5923" s="88" t="s">
        <v>108</v>
      </c>
      <c r="B5923" s="88" t="s">
        <v>123</v>
      </c>
      <c r="C5923" s="159">
        <v>0.73680555555555505</v>
      </c>
      <c r="D5923" s="73">
        <v>0</v>
      </c>
      <c r="E5923" s="73">
        <v>0</v>
      </c>
      <c r="F5923" s="73">
        <v>0</v>
      </c>
      <c r="G5923" s="73">
        <v>0</v>
      </c>
      <c r="H5923" s="73">
        <v>0</v>
      </c>
      <c r="I5923" s="73">
        <v>0</v>
      </c>
      <c r="J5923" s="73">
        <v>0</v>
      </c>
    </row>
    <row r="5924" spans="1:10">
      <c r="A5924" s="88" t="s">
        <v>108</v>
      </c>
      <c r="B5924" s="88" t="s">
        <v>123</v>
      </c>
      <c r="C5924" s="159">
        <v>0.73750000000000004</v>
      </c>
      <c r="D5924" s="73">
        <v>0</v>
      </c>
      <c r="E5924" s="73">
        <v>0</v>
      </c>
      <c r="F5924" s="73">
        <v>0</v>
      </c>
      <c r="G5924" s="73">
        <v>0</v>
      </c>
      <c r="H5924" s="73">
        <v>0</v>
      </c>
      <c r="I5924" s="73">
        <v>0</v>
      </c>
      <c r="J5924" s="73">
        <v>0</v>
      </c>
    </row>
    <row r="5925" spans="1:10">
      <c r="A5925" s="88" t="s">
        <v>108</v>
      </c>
      <c r="B5925" s="88" t="s">
        <v>123</v>
      </c>
      <c r="C5925" s="159">
        <v>0.73819444444444404</v>
      </c>
      <c r="D5925" s="73">
        <v>0</v>
      </c>
      <c r="E5925" s="73">
        <v>0</v>
      </c>
      <c r="F5925" s="73">
        <v>0</v>
      </c>
      <c r="G5925" s="73">
        <v>0</v>
      </c>
      <c r="H5925" s="73">
        <v>0</v>
      </c>
      <c r="I5925" s="73">
        <v>0</v>
      </c>
      <c r="J5925" s="73">
        <v>0</v>
      </c>
    </row>
    <row r="5926" spans="1:10" s="80" customFormat="1">
      <c r="A5926" s="91" t="s">
        <v>108</v>
      </c>
      <c r="B5926" s="91" t="s">
        <v>123</v>
      </c>
      <c r="C5926" s="161">
        <v>0.73888888888888904</v>
      </c>
      <c r="D5926" s="163">
        <v>0</v>
      </c>
      <c r="E5926" s="163">
        <v>0</v>
      </c>
      <c r="F5926" s="163">
        <v>0</v>
      </c>
      <c r="G5926" s="163">
        <v>0</v>
      </c>
      <c r="H5926" s="163">
        <v>0</v>
      </c>
      <c r="I5926" s="163">
        <v>0</v>
      </c>
      <c r="J5926" s="163">
        <v>0</v>
      </c>
    </row>
    <row r="5927" spans="1:10">
      <c r="A5927" s="88" t="s">
        <v>108</v>
      </c>
      <c r="B5927" s="88" t="s">
        <v>123</v>
      </c>
      <c r="C5927" s="159">
        <v>0.73958333333333304</v>
      </c>
      <c r="D5927" s="164">
        <v>0</v>
      </c>
      <c r="E5927" s="164">
        <v>0</v>
      </c>
      <c r="F5927" s="164">
        <v>0</v>
      </c>
      <c r="G5927" s="164">
        <v>0</v>
      </c>
      <c r="H5927" s="164">
        <v>0</v>
      </c>
      <c r="I5927" s="164">
        <v>0</v>
      </c>
      <c r="J5927" s="164">
        <v>0</v>
      </c>
    </row>
    <row r="5928" spans="1:10">
      <c r="A5928" s="88" t="s">
        <v>108</v>
      </c>
      <c r="B5928" s="88" t="s">
        <v>123</v>
      </c>
      <c r="C5928" s="159">
        <v>0.74027777777777803</v>
      </c>
      <c r="D5928" s="73">
        <v>0</v>
      </c>
      <c r="E5928" s="73">
        <v>0</v>
      </c>
      <c r="F5928" s="73">
        <v>0</v>
      </c>
      <c r="G5928" s="73">
        <v>0</v>
      </c>
      <c r="H5928" s="73">
        <v>0</v>
      </c>
      <c r="I5928" s="73">
        <v>0</v>
      </c>
      <c r="J5928" s="73">
        <v>0</v>
      </c>
    </row>
    <row r="5929" spans="1:10">
      <c r="A5929" s="88" t="s">
        <v>108</v>
      </c>
      <c r="B5929" s="88" t="s">
        <v>123</v>
      </c>
      <c r="C5929" s="159">
        <v>0.74097222222222203</v>
      </c>
      <c r="D5929" s="73">
        <v>0</v>
      </c>
      <c r="E5929" s="73">
        <v>0</v>
      </c>
      <c r="F5929" s="73">
        <v>0</v>
      </c>
      <c r="G5929" s="73">
        <v>0</v>
      </c>
      <c r="H5929" s="73">
        <v>0</v>
      </c>
      <c r="I5929" s="73">
        <v>0</v>
      </c>
      <c r="J5929" s="73">
        <v>0</v>
      </c>
    </row>
    <row r="5930" spans="1:10">
      <c r="A5930" s="88" t="s">
        <v>108</v>
      </c>
      <c r="B5930" s="88" t="s">
        <v>123</v>
      </c>
      <c r="C5930" s="159">
        <v>0.74166666666666703</v>
      </c>
      <c r="D5930" s="73">
        <v>0</v>
      </c>
      <c r="E5930" s="73">
        <v>0</v>
      </c>
      <c r="F5930" s="73">
        <v>0</v>
      </c>
      <c r="G5930" s="73">
        <v>0</v>
      </c>
      <c r="H5930" s="73">
        <v>0</v>
      </c>
      <c r="I5930" s="73">
        <v>0</v>
      </c>
      <c r="J5930" s="73">
        <v>0</v>
      </c>
    </row>
    <row r="5931" spans="1:10">
      <c r="A5931" s="88" t="s">
        <v>108</v>
      </c>
      <c r="B5931" s="88" t="s">
        <v>123</v>
      </c>
      <c r="C5931" s="159">
        <v>0.74236111111111103</v>
      </c>
      <c r="D5931" s="73">
        <v>0</v>
      </c>
      <c r="E5931" s="73">
        <v>0</v>
      </c>
      <c r="F5931" s="73">
        <v>0</v>
      </c>
      <c r="G5931" s="73">
        <v>0</v>
      </c>
      <c r="H5931" s="73">
        <v>0</v>
      </c>
      <c r="I5931" s="73">
        <v>0</v>
      </c>
      <c r="J5931" s="73">
        <v>0</v>
      </c>
    </row>
    <row r="5932" spans="1:10">
      <c r="A5932" s="88" t="s">
        <v>108</v>
      </c>
      <c r="B5932" s="88" t="s">
        <v>123</v>
      </c>
      <c r="C5932" s="159">
        <v>0.74305555555555503</v>
      </c>
      <c r="D5932" s="73">
        <v>0</v>
      </c>
      <c r="E5932" s="73">
        <v>0</v>
      </c>
      <c r="F5932" s="73">
        <v>0</v>
      </c>
      <c r="G5932" s="73">
        <v>0</v>
      </c>
      <c r="H5932" s="73">
        <v>0</v>
      </c>
      <c r="I5932" s="73">
        <v>0</v>
      </c>
      <c r="J5932" s="73">
        <v>0</v>
      </c>
    </row>
    <row r="5933" spans="1:10">
      <c r="A5933" s="88" t="s">
        <v>108</v>
      </c>
      <c r="B5933" s="88" t="s">
        <v>123</v>
      </c>
      <c r="C5933" s="159">
        <v>0.74375000000000002</v>
      </c>
      <c r="D5933" s="73">
        <v>0</v>
      </c>
      <c r="E5933" s="73">
        <v>0</v>
      </c>
      <c r="F5933" s="73">
        <v>0</v>
      </c>
      <c r="G5933" s="73">
        <v>0</v>
      </c>
      <c r="H5933" s="73">
        <v>0</v>
      </c>
      <c r="I5933" s="73">
        <v>0</v>
      </c>
      <c r="J5933" s="73">
        <v>0</v>
      </c>
    </row>
    <row r="5934" spans="1:10">
      <c r="A5934" s="88" t="s">
        <v>108</v>
      </c>
      <c r="B5934" s="88" t="s">
        <v>123</v>
      </c>
      <c r="C5934" s="159">
        <v>0.74444444444444402</v>
      </c>
      <c r="D5934" s="73">
        <v>0</v>
      </c>
      <c r="E5934" s="73">
        <v>0</v>
      </c>
      <c r="F5934" s="73">
        <v>0</v>
      </c>
      <c r="G5934" s="73">
        <v>0</v>
      </c>
      <c r="H5934" s="73">
        <v>0</v>
      </c>
      <c r="I5934" s="73">
        <v>0</v>
      </c>
      <c r="J5934" s="73">
        <v>0</v>
      </c>
    </row>
    <row r="5935" spans="1:10">
      <c r="A5935" s="88" t="s">
        <v>108</v>
      </c>
      <c r="B5935" s="88" t="s">
        <v>123</v>
      </c>
      <c r="C5935" s="159">
        <v>0.74513888888888902</v>
      </c>
      <c r="D5935" s="73">
        <v>0</v>
      </c>
      <c r="E5935" s="73">
        <v>0</v>
      </c>
      <c r="F5935" s="73">
        <v>0</v>
      </c>
      <c r="G5935" s="73">
        <v>0</v>
      </c>
      <c r="H5935" s="73">
        <v>0</v>
      </c>
      <c r="I5935" s="73">
        <v>0</v>
      </c>
      <c r="J5935" s="73">
        <v>0</v>
      </c>
    </row>
    <row r="5936" spans="1:10">
      <c r="A5936" s="88" t="s">
        <v>108</v>
      </c>
      <c r="B5936" s="88" t="s">
        <v>123</v>
      </c>
      <c r="C5936" s="159">
        <v>0.74583333333333302</v>
      </c>
      <c r="D5936" s="73">
        <v>0</v>
      </c>
      <c r="E5936" s="73">
        <v>0</v>
      </c>
      <c r="F5936" s="73">
        <v>0</v>
      </c>
      <c r="G5936" s="73">
        <v>0</v>
      </c>
      <c r="H5936" s="73">
        <v>0</v>
      </c>
      <c r="I5936" s="73">
        <v>0</v>
      </c>
      <c r="J5936" s="73">
        <v>0</v>
      </c>
    </row>
    <row r="5937" spans="1:10">
      <c r="A5937" s="88" t="s">
        <v>108</v>
      </c>
      <c r="B5937" s="88" t="s">
        <v>123</v>
      </c>
      <c r="C5937" s="159">
        <v>0.74652777777777801</v>
      </c>
      <c r="D5937" s="73">
        <v>0</v>
      </c>
      <c r="E5937" s="73">
        <v>0</v>
      </c>
      <c r="F5937" s="73">
        <v>0</v>
      </c>
      <c r="G5937" s="73">
        <v>0</v>
      </c>
      <c r="H5937" s="73">
        <v>0</v>
      </c>
      <c r="I5937" s="73">
        <v>0</v>
      </c>
      <c r="J5937" s="73">
        <v>0</v>
      </c>
    </row>
    <row r="5938" spans="1:10">
      <c r="A5938" s="88" t="s">
        <v>108</v>
      </c>
      <c r="B5938" s="88" t="s">
        <v>123</v>
      </c>
      <c r="C5938" s="159">
        <v>0.74722222222222201</v>
      </c>
      <c r="D5938" s="73">
        <v>0</v>
      </c>
      <c r="E5938" s="73">
        <v>0</v>
      </c>
      <c r="F5938" s="73">
        <v>0</v>
      </c>
      <c r="G5938" s="73">
        <v>0</v>
      </c>
      <c r="H5938" s="73">
        <v>0</v>
      </c>
      <c r="I5938" s="73">
        <v>0</v>
      </c>
      <c r="J5938" s="73">
        <v>0</v>
      </c>
    </row>
    <row r="5939" spans="1:10">
      <c r="A5939" s="88" t="s">
        <v>108</v>
      </c>
      <c r="B5939" s="88" t="s">
        <v>123</v>
      </c>
      <c r="C5939" s="159">
        <v>0.74791666666666701</v>
      </c>
      <c r="D5939" s="73">
        <v>0</v>
      </c>
      <c r="E5939" s="73">
        <v>0</v>
      </c>
      <c r="F5939" s="73">
        <v>0</v>
      </c>
      <c r="G5939" s="73">
        <v>0</v>
      </c>
      <c r="H5939" s="73">
        <v>0</v>
      </c>
      <c r="I5939" s="73">
        <v>0</v>
      </c>
      <c r="J5939" s="73">
        <v>0</v>
      </c>
    </row>
    <row r="5940" spans="1:10">
      <c r="A5940" s="88" t="s">
        <v>108</v>
      </c>
      <c r="B5940" s="88" t="s">
        <v>123</v>
      </c>
      <c r="C5940" s="159">
        <v>0.74861111111111101</v>
      </c>
      <c r="D5940" s="73">
        <v>0</v>
      </c>
      <c r="E5940" s="73">
        <v>0</v>
      </c>
      <c r="F5940" s="73">
        <v>0</v>
      </c>
      <c r="G5940" s="73">
        <v>0</v>
      </c>
      <c r="H5940" s="73">
        <v>0</v>
      </c>
      <c r="I5940" s="73">
        <v>0</v>
      </c>
      <c r="J5940" s="73">
        <v>0</v>
      </c>
    </row>
    <row r="5941" spans="1:10" s="80" customFormat="1">
      <c r="A5941" s="91" t="s">
        <v>108</v>
      </c>
      <c r="B5941" s="91" t="s">
        <v>123</v>
      </c>
      <c r="C5941" s="161">
        <v>0.749305555555555</v>
      </c>
      <c r="D5941" s="73">
        <v>0</v>
      </c>
      <c r="E5941" s="73">
        <v>0</v>
      </c>
      <c r="F5941" s="73">
        <v>0</v>
      </c>
      <c r="G5941" s="73">
        <v>0</v>
      </c>
      <c r="H5941" s="73">
        <v>0</v>
      </c>
      <c r="I5941" s="73">
        <v>0</v>
      </c>
      <c r="J5941" s="73">
        <v>0</v>
      </c>
    </row>
    <row r="5942" spans="1:10">
      <c r="A5942" s="88" t="s">
        <v>108</v>
      </c>
      <c r="B5942" s="88" t="s">
        <v>123</v>
      </c>
      <c r="C5942" s="159">
        <v>0.75</v>
      </c>
      <c r="D5942" s="164">
        <v>0</v>
      </c>
      <c r="E5942" s="164">
        <v>0</v>
      </c>
      <c r="F5942" s="164">
        <v>0</v>
      </c>
      <c r="G5942" s="164">
        <v>0</v>
      </c>
      <c r="H5942" s="164">
        <v>0</v>
      </c>
      <c r="I5942" s="164">
        <v>0</v>
      </c>
      <c r="J5942" s="164">
        <v>0</v>
      </c>
    </row>
    <row r="5943" spans="1:10">
      <c r="A5943" s="88" t="s">
        <v>108</v>
      </c>
      <c r="B5943" s="88" t="s">
        <v>123</v>
      </c>
      <c r="C5943" s="159">
        <v>0.750694444444444</v>
      </c>
      <c r="D5943" s="73">
        <v>0</v>
      </c>
      <c r="E5943" s="73">
        <v>0</v>
      </c>
      <c r="F5943" s="73">
        <v>0</v>
      </c>
      <c r="G5943" s="73">
        <v>0</v>
      </c>
      <c r="H5943" s="73">
        <v>0</v>
      </c>
      <c r="I5943" s="73">
        <v>0</v>
      </c>
      <c r="J5943" s="73">
        <v>0</v>
      </c>
    </row>
    <row r="5944" spans="1:10">
      <c r="A5944" s="88" t="s">
        <v>108</v>
      </c>
      <c r="B5944" s="88" t="s">
        <v>123</v>
      </c>
      <c r="C5944" s="159">
        <v>0.75138888888888899</v>
      </c>
      <c r="D5944" s="73">
        <v>0</v>
      </c>
      <c r="E5944" s="73">
        <v>0</v>
      </c>
      <c r="F5944" s="73">
        <v>0</v>
      </c>
      <c r="G5944" s="73">
        <v>0</v>
      </c>
      <c r="H5944" s="73">
        <v>0</v>
      </c>
      <c r="I5944" s="73">
        <v>0</v>
      </c>
      <c r="J5944" s="73">
        <v>0</v>
      </c>
    </row>
    <row r="5945" spans="1:10">
      <c r="A5945" s="88" t="s">
        <v>108</v>
      </c>
      <c r="B5945" s="88" t="s">
        <v>123</v>
      </c>
      <c r="C5945" s="159">
        <v>0.75208333333333299</v>
      </c>
      <c r="D5945" s="73">
        <v>0</v>
      </c>
      <c r="E5945" s="73">
        <v>0</v>
      </c>
      <c r="F5945" s="73">
        <v>0</v>
      </c>
      <c r="G5945" s="73">
        <v>0</v>
      </c>
      <c r="H5945" s="73">
        <v>0</v>
      </c>
      <c r="I5945" s="73">
        <v>0</v>
      </c>
      <c r="J5945" s="73">
        <v>0</v>
      </c>
    </row>
    <row r="5946" spans="1:10">
      <c r="A5946" s="88" t="s">
        <v>108</v>
      </c>
      <c r="B5946" s="88" t="s">
        <v>123</v>
      </c>
      <c r="C5946" s="159">
        <v>0.75277777777777799</v>
      </c>
      <c r="D5946" s="73">
        <v>0</v>
      </c>
      <c r="E5946" s="73">
        <v>0</v>
      </c>
      <c r="F5946" s="73">
        <v>0</v>
      </c>
      <c r="G5946" s="73">
        <v>0</v>
      </c>
      <c r="H5946" s="73">
        <v>0</v>
      </c>
      <c r="I5946" s="73">
        <v>0</v>
      </c>
      <c r="J5946" s="73">
        <v>0</v>
      </c>
    </row>
    <row r="5947" spans="1:10">
      <c r="A5947" s="88" t="s">
        <v>108</v>
      </c>
      <c r="B5947" s="88" t="s">
        <v>123</v>
      </c>
      <c r="C5947" s="159">
        <v>0.75347222222222199</v>
      </c>
      <c r="D5947" s="73">
        <v>0</v>
      </c>
      <c r="E5947" s="73">
        <v>0</v>
      </c>
      <c r="F5947" s="73">
        <v>0</v>
      </c>
      <c r="G5947" s="73">
        <v>0</v>
      </c>
      <c r="H5947" s="73">
        <v>0</v>
      </c>
      <c r="I5947" s="73">
        <v>0</v>
      </c>
      <c r="J5947" s="73">
        <v>0</v>
      </c>
    </row>
    <row r="5948" spans="1:10">
      <c r="A5948" s="88" t="s">
        <v>108</v>
      </c>
      <c r="B5948" s="88" t="s">
        <v>123</v>
      </c>
      <c r="C5948" s="159">
        <v>0.75416666666666698</v>
      </c>
      <c r="D5948" s="73">
        <v>0</v>
      </c>
      <c r="E5948" s="73">
        <v>0</v>
      </c>
      <c r="F5948" s="73">
        <v>0</v>
      </c>
      <c r="G5948" s="73">
        <v>0</v>
      </c>
      <c r="H5948" s="73">
        <v>0</v>
      </c>
      <c r="I5948" s="73">
        <v>0</v>
      </c>
      <c r="J5948" s="73">
        <v>0</v>
      </c>
    </row>
    <row r="5949" spans="1:10">
      <c r="A5949" s="88" t="s">
        <v>108</v>
      </c>
      <c r="B5949" s="88" t="s">
        <v>123</v>
      </c>
      <c r="C5949" s="159">
        <v>0.75486111111111098</v>
      </c>
      <c r="D5949" s="73">
        <v>0</v>
      </c>
      <c r="E5949" s="73">
        <v>0</v>
      </c>
      <c r="F5949" s="73">
        <v>0</v>
      </c>
      <c r="G5949" s="73">
        <v>0</v>
      </c>
      <c r="H5949" s="73">
        <v>0</v>
      </c>
      <c r="I5949" s="73">
        <v>0</v>
      </c>
      <c r="J5949" s="73">
        <v>0</v>
      </c>
    </row>
    <row r="5950" spans="1:10">
      <c r="A5950" s="88" t="s">
        <v>108</v>
      </c>
      <c r="B5950" s="88" t="s">
        <v>123</v>
      </c>
      <c r="C5950" s="159">
        <v>0.75555555555555498</v>
      </c>
      <c r="D5950" s="73">
        <v>0</v>
      </c>
      <c r="E5950" s="73">
        <v>0</v>
      </c>
      <c r="F5950" s="73">
        <v>0</v>
      </c>
      <c r="G5950" s="73">
        <v>0</v>
      </c>
      <c r="H5950" s="73">
        <v>0</v>
      </c>
      <c r="I5950" s="73">
        <v>0</v>
      </c>
      <c r="J5950" s="73">
        <v>0</v>
      </c>
    </row>
    <row r="5951" spans="1:10">
      <c r="A5951" s="88" t="s">
        <v>108</v>
      </c>
      <c r="B5951" s="88" t="s">
        <v>123</v>
      </c>
      <c r="C5951" s="159">
        <v>0.75624999999999998</v>
      </c>
      <c r="D5951" s="73">
        <v>0</v>
      </c>
      <c r="E5951" s="73">
        <v>0</v>
      </c>
      <c r="F5951" s="73">
        <v>0</v>
      </c>
      <c r="G5951" s="73">
        <v>0</v>
      </c>
      <c r="H5951" s="73">
        <v>0</v>
      </c>
      <c r="I5951" s="73">
        <v>0</v>
      </c>
      <c r="J5951" s="73">
        <v>0</v>
      </c>
    </row>
    <row r="5952" spans="1:10">
      <c r="A5952" s="88" t="s">
        <v>108</v>
      </c>
      <c r="B5952" s="88" t="s">
        <v>123</v>
      </c>
      <c r="C5952" s="159">
        <v>0.75694444444444398</v>
      </c>
      <c r="D5952" s="73">
        <v>0</v>
      </c>
      <c r="E5952" s="73">
        <v>0</v>
      </c>
      <c r="F5952" s="73">
        <v>0</v>
      </c>
      <c r="G5952" s="73">
        <v>0</v>
      </c>
      <c r="H5952" s="73">
        <v>0</v>
      </c>
      <c r="I5952" s="73">
        <v>0</v>
      </c>
      <c r="J5952" s="73">
        <v>0</v>
      </c>
    </row>
    <row r="5953" spans="1:10">
      <c r="A5953" s="88" t="s">
        <v>108</v>
      </c>
      <c r="B5953" s="88" t="s">
        <v>123</v>
      </c>
      <c r="C5953" s="159">
        <v>0.75763888888888897</v>
      </c>
      <c r="D5953" s="73">
        <v>0</v>
      </c>
      <c r="E5953" s="73">
        <v>0</v>
      </c>
      <c r="F5953" s="73">
        <v>0</v>
      </c>
      <c r="G5953" s="73">
        <v>0</v>
      </c>
      <c r="H5953" s="73">
        <v>0</v>
      </c>
      <c r="I5953" s="73">
        <v>0</v>
      </c>
      <c r="J5953" s="73">
        <v>0</v>
      </c>
    </row>
    <row r="5954" spans="1:10">
      <c r="A5954" s="88" t="s">
        <v>108</v>
      </c>
      <c r="B5954" s="88" t="s">
        <v>123</v>
      </c>
      <c r="C5954" s="159">
        <v>0.75833333333333297</v>
      </c>
      <c r="D5954" s="73">
        <v>0</v>
      </c>
      <c r="E5954" s="73">
        <v>0</v>
      </c>
      <c r="F5954" s="73">
        <v>0</v>
      </c>
      <c r="G5954" s="73">
        <v>0</v>
      </c>
      <c r="H5954" s="73">
        <v>0</v>
      </c>
      <c r="I5954" s="73">
        <v>0</v>
      </c>
      <c r="J5954" s="73">
        <v>0</v>
      </c>
    </row>
    <row r="5955" spans="1:10">
      <c r="A5955" s="88" t="s">
        <v>108</v>
      </c>
      <c r="B5955" s="88" t="s">
        <v>123</v>
      </c>
      <c r="C5955" s="159">
        <v>0.75902777777777797</v>
      </c>
      <c r="D5955" s="73">
        <v>0</v>
      </c>
      <c r="E5955" s="73">
        <v>0</v>
      </c>
      <c r="F5955" s="73">
        <v>0</v>
      </c>
      <c r="G5955" s="73">
        <v>0</v>
      </c>
      <c r="H5955" s="73">
        <v>0</v>
      </c>
      <c r="I5955" s="73">
        <v>0</v>
      </c>
      <c r="J5955" s="73">
        <v>0</v>
      </c>
    </row>
    <row r="5956" spans="1:10" s="80" customFormat="1">
      <c r="A5956" s="91" t="s">
        <v>108</v>
      </c>
      <c r="B5956" s="91" t="s">
        <v>123</v>
      </c>
      <c r="C5956" s="161">
        <v>0.75972222222222197</v>
      </c>
      <c r="D5956" s="163">
        <v>0</v>
      </c>
      <c r="E5956" s="163">
        <v>0</v>
      </c>
      <c r="F5956" s="163">
        <v>0</v>
      </c>
      <c r="G5956" s="163">
        <v>0</v>
      </c>
      <c r="H5956" s="163">
        <v>0</v>
      </c>
      <c r="I5956" s="163">
        <v>0</v>
      </c>
      <c r="J5956" s="163">
        <v>0</v>
      </c>
    </row>
    <row r="5957" spans="1:10">
      <c r="A5957" s="88" t="s">
        <v>108</v>
      </c>
      <c r="B5957" s="88" t="s">
        <v>123</v>
      </c>
      <c r="C5957" s="159">
        <v>0.76041666666666696</v>
      </c>
      <c r="D5957" s="164">
        <v>0</v>
      </c>
      <c r="E5957" s="164">
        <v>0</v>
      </c>
      <c r="F5957" s="164">
        <v>0</v>
      </c>
      <c r="G5957" s="164">
        <v>0</v>
      </c>
      <c r="H5957" s="164">
        <v>0</v>
      </c>
      <c r="I5957" s="164">
        <v>0</v>
      </c>
      <c r="J5957" s="164">
        <v>0</v>
      </c>
    </row>
    <row r="5958" spans="1:10">
      <c r="A5958" s="88" t="s">
        <v>108</v>
      </c>
      <c r="B5958" s="88" t="s">
        <v>123</v>
      </c>
      <c r="C5958" s="159">
        <v>0.76111111111111096</v>
      </c>
      <c r="D5958" s="73">
        <v>0</v>
      </c>
      <c r="E5958" s="73">
        <v>0</v>
      </c>
      <c r="F5958" s="73">
        <v>0</v>
      </c>
      <c r="G5958" s="73">
        <v>0</v>
      </c>
      <c r="H5958" s="73">
        <v>0</v>
      </c>
      <c r="I5958" s="73">
        <v>0</v>
      </c>
      <c r="J5958" s="73">
        <v>0</v>
      </c>
    </row>
    <row r="5959" spans="1:10">
      <c r="A5959" s="88" t="s">
        <v>108</v>
      </c>
      <c r="B5959" s="88" t="s">
        <v>123</v>
      </c>
      <c r="C5959" s="159">
        <v>0.76180555555555496</v>
      </c>
      <c r="D5959" s="73">
        <v>0</v>
      </c>
      <c r="E5959" s="73">
        <v>0</v>
      </c>
      <c r="F5959" s="73">
        <v>0</v>
      </c>
      <c r="G5959" s="73">
        <v>0</v>
      </c>
      <c r="H5959" s="73">
        <v>0</v>
      </c>
      <c r="I5959" s="73">
        <v>0</v>
      </c>
      <c r="J5959" s="73">
        <v>0</v>
      </c>
    </row>
    <row r="5960" spans="1:10">
      <c r="A5960" s="88" t="s">
        <v>108</v>
      </c>
      <c r="B5960" s="88" t="s">
        <v>123</v>
      </c>
      <c r="C5960" s="159">
        <v>0.76249999999999996</v>
      </c>
      <c r="D5960" s="73">
        <v>0</v>
      </c>
      <c r="E5960" s="73">
        <v>0</v>
      </c>
      <c r="F5960" s="73">
        <v>0</v>
      </c>
      <c r="G5960" s="73">
        <v>0</v>
      </c>
      <c r="H5960" s="73">
        <v>0</v>
      </c>
      <c r="I5960" s="73">
        <v>0</v>
      </c>
      <c r="J5960" s="73">
        <v>0</v>
      </c>
    </row>
    <row r="5961" spans="1:10">
      <c r="A5961" s="88" t="s">
        <v>108</v>
      </c>
      <c r="B5961" s="88" t="s">
        <v>123</v>
      </c>
      <c r="C5961" s="159">
        <v>0.76319444444444395</v>
      </c>
      <c r="D5961" s="73">
        <v>0</v>
      </c>
      <c r="E5961" s="73">
        <v>0</v>
      </c>
      <c r="F5961" s="73">
        <v>0</v>
      </c>
      <c r="G5961" s="73">
        <v>0</v>
      </c>
      <c r="H5961" s="73">
        <v>0</v>
      </c>
      <c r="I5961" s="73">
        <v>0</v>
      </c>
      <c r="J5961" s="73">
        <v>0</v>
      </c>
    </row>
    <row r="5962" spans="1:10">
      <c r="A5962" s="88" t="s">
        <v>108</v>
      </c>
      <c r="B5962" s="88" t="s">
        <v>123</v>
      </c>
      <c r="C5962" s="159">
        <v>0.76388888888888895</v>
      </c>
      <c r="D5962" s="73">
        <v>0</v>
      </c>
      <c r="E5962" s="73">
        <v>0</v>
      </c>
      <c r="F5962" s="73">
        <v>0</v>
      </c>
      <c r="G5962" s="73">
        <v>0</v>
      </c>
      <c r="H5962" s="73">
        <v>0</v>
      </c>
      <c r="I5962" s="73">
        <v>0</v>
      </c>
      <c r="J5962" s="73">
        <v>0</v>
      </c>
    </row>
    <row r="5963" spans="1:10">
      <c r="A5963" s="88" t="s">
        <v>108</v>
      </c>
      <c r="B5963" s="88" t="s">
        <v>123</v>
      </c>
      <c r="C5963" s="159">
        <v>0.76458333333333295</v>
      </c>
      <c r="D5963" s="73">
        <v>0</v>
      </c>
      <c r="E5963" s="73">
        <v>0</v>
      </c>
      <c r="F5963" s="73">
        <v>0</v>
      </c>
      <c r="G5963" s="73">
        <v>0</v>
      </c>
      <c r="H5963" s="73">
        <v>0</v>
      </c>
      <c r="I5963" s="73">
        <v>0</v>
      </c>
      <c r="J5963" s="73">
        <v>0</v>
      </c>
    </row>
    <row r="5964" spans="1:10">
      <c r="A5964" s="88" t="s">
        <v>108</v>
      </c>
      <c r="B5964" s="88" t="s">
        <v>123</v>
      </c>
      <c r="C5964" s="159">
        <v>0.76527777777777795</v>
      </c>
      <c r="D5964" s="73">
        <v>0</v>
      </c>
      <c r="E5964" s="73">
        <v>0</v>
      </c>
      <c r="F5964" s="73">
        <v>0</v>
      </c>
      <c r="G5964" s="73">
        <v>0</v>
      </c>
      <c r="H5964" s="73">
        <v>0</v>
      </c>
      <c r="I5964" s="73">
        <v>0</v>
      </c>
      <c r="J5964" s="73">
        <v>0</v>
      </c>
    </row>
    <row r="5965" spans="1:10">
      <c r="A5965" s="88" t="s">
        <v>108</v>
      </c>
      <c r="B5965" s="88" t="s">
        <v>123</v>
      </c>
      <c r="C5965" s="159">
        <v>0.76597222222222205</v>
      </c>
      <c r="D5965" s="73">
        <v>0</v>
      </c>
      <c r="E5965" s="73">
        <v>0</v>
      </c>
      <c r="F5965" s="73">
        <v>0</v>
      </c>
      <c r="G5965" s="73">
        <v>0</v>
      </c>
      <c r="H5965" s="73">
        <v>0</v>
      </c>
      <c r="I5965" s="73">
        <v>0</v>
      </c>
      <c r="J5965" s="73">
        <v>0</v>
      </c>
    </row>
    <row r="5966" spans="1:10">
      <c r="A5966" s="88" t="s">
        <v>108</v>
      </c>
      <c r="B5966" s="88" t="s">
        <v>123</v>
      </c>
      <c r="C5966" s="159">
        <v>0.76666666666666605</v>
      </c>
      <c r="D5966" s="73">
        <v>0</v>
      </c>
      <c r="E5966" s="73">
        <v>0</v>
      </c>
      <c r="F5966" s="73">
        <v>0</v>
      </c>
      <c r="G5966" s="73">
        <v>0</v>
      </c>
      <c r="H5966" s="73">
        <v>0</v>
      </c>
      <c r="I5966" s="73">
        <v>0</v>
      </c>
      <c r="J5966" s="73">
        <v>0</v>
      </c>
    </row>
    <row r="5967" spans="1:10">
      <c r="A5967" s="88" t="s">
        <v>108</v>
      </c>
      <c r="B5967" s="88" t="s">
        <v>123</v>
      </c>
      <c r="C5967" s="159">
        <v>0.76736111111111105</v>
      </c>
      <c r="D5967" s="73">
        <v>0</v>
      </c>
      <c r="E5967" s="73">
        <v>0</v>
      </c>
      <c r="F5967" s="73">
        <v>0</v>
      </c>
      <c r="G5967" s="73">
        <v>0</v>
      </c>
      <c r="H5967" s="73">
        <v>0</v>
      </c>
      <c r="I5967" s="73">
        <v>0</v>
      </c>
      <c r="J5967" s="73">
        <v>0</v>
      </c>
    </row>
    <row r="5968" spans="1:10">
      <c r="A5968" s="88" t="s">
        <v>108</v>
      </c>
      <c r="B5968" s="88" t="s">
        <v>123</v>
      </c>
      <c r="C5968" s="159">
        <v>0.76805555555555505</v>
      </c>
      <c r="D5968" s="73">
        <v>0</v>
      </c>
      <c r="E5968" s="73">
        <v>0</v>
      </c>
      <c r="F5968" s="73">
        <v>0</v>
      </c>
      <c r="G5968" s="73">
        <v>0</v>
      </c>
      <c r="H5968" s="73">
        <v>0</v>
      </c>
      <c r="I5968" s="73">
        <v>0</v>
      </c>
      <c r="J5968" s="73">
        <v>0</v>
      </c>
    </row>
    <row r="5969" spans="1:10">
      <c r="A5969" s="88" t="s">
        <v>108</v>
      </c>
      <c r="B5969" s="88" t="s">
        <v>123</v>
      </c>
      <c r="C5969" s="159">
        <v>0.76875000000000004</v>
      </c>
      <c r="D5969" s="73">
        <v>0</v>
      </c>
      <c r="E5969" s="73">
        <v>0</v>
      </c>
      <c r="F5969" s="73">
        <v>0</v>
      </c>
      <c r="G5969" s="73">
        <v>0</v>
      </c>
      <c r="H5969" s="73">
        <v>0</v>
      </c>
      <c r="I5969" s="73">
        <v>0</v>
      </c>
      <c r="J5969" s="73">
        <v>0</v>
      </c>
    </row>
    <row r="5970" spans="1:10">
      <c r="A5970" s="88" t="s">
        <v>108</v>
      </c>
      <c r="B5970" s="88" t="s">
        <v>123</v>
      </c>
      <c r="C5970" s="159">
        <v>0.76944444444444404</v>
      </c>
      <c r="D5970" s="73">
        <v>0</v>
      </c>
      <c r="E5970" s="73">
        <v>0</v>
      </c>
      <c r="F5970" s="73">
        <v>0</v>
      </c>
      <c r="G5970" s="73">
        <v>0</v>
      </c>
      <c r="H5970" s="73">
        <v>0</v>
      </c>
      <c r="I5970" s="73">
        <v>0</v>
      </c>
      <c r="J5970" s="73">
        <v>0</v>
      </c>
    </row>
    <row r="5971" spans="1:10" s="80" customFormat="1">
      <c r="A5971" s="91" t="s">
        <v>108</v>
      </c>
      <c r="B5971" s="91" t="s">
        <v>123</v>
      </c>
      <c r="C5971" s="161">
        <v>0.77013888888888904</v>
      </c>
      <c r="D5971" s="73">
        <v>0</v>
      </c>
      <c r="E5971" s="73">
        <v>0</v>
      </c>
      <c r="F5971" s="73">
        <v>0</v>
      </c>
      <c r="G5971" s="73">
        <v>0</v>
      </c>
      <c r="H5971" s="73">
        <v>0</v>
      </c>
      <c r="I5971" s="73">
        <v>0</v>
      </c>
      <c r="J5971" s="73">
        <v>0</v>
      </c>
    </row>
    <row r="5972" spans="1:10">
      <c r="A5972" s="88" t="s">
        <v>108</v>
      </c>
      <c r="B5972" s="88" t="s">
        <v>123</v>
      </c>
      <c r="C5972" s="159">
        <v>0.77083333333333304</v>
      </c>
      <c r="D5972" s="164">
        <v>0</v>
      </c>
      <c r="E5972" s="164">
        <v>0</v>
      </c>
      <c r="F5972" s="164">
        <v>0</v>
      </c>
      <c r="G5972" s="164">
        <v>0</v>
      </c>
      <c r="H5972" s="164">
        <v>0</v>
      </c>
      <c r="I5972" s="164">
        <v>0</v>
      </c>
      <c r="J5972" s="164">
        <v>0</v>
      </c>
    </row>
    <row r="5973" spans="1:10">
      <c r="A5973" s="88" t="s">
        <v>108</v>
      </c>
      <c r="B5973" s="88" t="s">
        <v>123</v>
      </c>
      <c r="C5973" s="159">
        <v>0.77152777777777803</v>
      </c>
      <c r="D5973" s="73">
        <v>0</v>
      </c>
      <c r="E5973" s="73">
        <v>0</v>
      </c>
      <c r="F5973" s="73">
        <v>0</v>
      </c>
      <c r="G5973" s="73">
        <v>0</v>
      </c>
      <c r="H5973" s="73">
        <v>0</v>
      </c>
      <c r="I5973" s="73">
        <v>0</v>
      </c>
      <c r="J5973" s="73">
        <v>0</v>
      </c>
    </row>
    <row r="5974" spans="1:10">
      <c r="A5974" s="88" t="s">
        <v>108</v>
      </c>
      <c r="B5974" s="88" t="s">
        <v>123</v>
      </c>
      <c r="C5974" s="159">
        <v>0.77222222222222203</v>
      </c>
      <c r="D5974" s="73">
        <v>0</v>
      </c>
      <c r="E5974" s="73">
        <v>0</v>
      </c>
      <c r="F5974" s="73">
        <v>0</v>
      </c>
      <c r="G5974" s="73">
        <v>0</v>
      </c>
      <c r="H5974" s="73">
        <v>0</v>
      </c>
      <c r="I5974" s="73">
        <v>0</v>
      </c>
      <c r="J5974" s="73">
        <v>0</v>
      </c>
    </row>
    <row r="5975" spans="1:10">
      <c r="A5975" s="88" t="s">
        <v>108</v>
      </c>
      <c r="B5975" s="88" t="s">
        <v>123</v>
      </c>
      <c r="C5975" s="159">
        <v>0.77291666666666603</v>
      </c>
      <c r="D5975" s="73">
        <v>0</v>
      </c>
      <c r="E5975" s="73">
        <v>0</v>
      </c>
      <c r="F5975" s="73">
        <v>0</v>
      </c>
      <c r="G5975" s="73">
        <v>0</v>
      </c>
      <c r="H5975" s="73">
        <v>0</v>
      </c>
      <c r="I5975" s="73">
        <v>0</v>
      </c>
      <c r="J5975" s="73">
        <v>0</v>
      </c>
    </row>
    <row r="5976" spans="1:10">
      <c r="A5976" s="88" t="s">
        <v>108</v>
      </c>
      <c r="B5976" s="88" t="s">
        <v>123</v>
      </c>
      <c r="C5976" s="159">
        <v>0.77361111111111103</v>
      </c>
      <c r="D5976" s="73">
        <v>0</v>
      </c>
      <c r="E5976" s="73">
        <v>0</v>
      </c>
      <c r="F5976" s="73">
        <v>0</v>
      </c>
      <c r="G5976" s="73">
        <v>0</v>
      </c>
      <c r="H5976" s="73">
        <v>0</v>
      </c>
      <c r="I5976" s="73">
        <v>0</v>
      </c>
      <c r="J5976" s="73">
        <v>0</v>
      </c>
    </row>
    <row r="5977" spans="1:10">
      <c r="A5977" s="88" t="s">
        <v>108</v>
      </c>
      <c r="B5977" s="88" t="s">
        <v>123</v>
      </c>
      <c r="C5977" s="159">
        <v>0.77430555555555503</v>
      </c>
      <c r="D5977" s="73">
        <v>0</v>
      </c>
      <c r="E5977" s="73">
        <v>0</v>
      </c>
      <c r="F5977" s="73">
        <v>0</v>
      </c>
      <c r="G5977" s="73">
        <v>0</v>
      </c>
      <c r="H5977" s="73">
        <v>0</v>
      </c>
      <c r="I5977" s="73">
        <v>0</v>
      </c>
      <c r="J5977" s="73">
        <v>0</v>
      </c>
    </row>
    <row r="5978" spans="1:10">
      <c r="A5978" s="88" t="s">
        <v>108</v>
      </c>
      <c r="B5978" s="88" t="s">
        <v>123</v>
      </c>
      <c r="C5978" s="159">
        <v>0.77500000000000002</v>
      </c>
      <c r="D5978" s="73">
        <v>0</v>
      </c>
      <c r="E5978" s="73">
        <v>0</v>
      </c>
      <c r="F5978" s="73">
        <v>0</v>
      </c>
      <c r="G5978" s="73">
        <v>0</v>
      </c>
      <c r="H5978" s="73">
        <v>0</v>
      </c>
      <c r="I5978" s="73">
        <v>0</v>
      </c>
      <c r="J5978" s="73">
        <v>0</v>
      </c>
    </row>
    <row r="5979" spans="1:10">
      <c r="A5979" s="88" t="s">
        <v>108</v>
      </c>
      <c r="B5979" s="88" t="s">
        <v>123</v>
      </c>
      <c r="C5979" s="159">
        <v>0.77569444444444402</v>
      </c>
      <c r="D5979" s="73">
        <v>0</v>
      </c>
      <c r="E5979" s="73">
        <v>0</v>
      </c>
      <c r="F5979" s="73">
        <v>0</v>
      </c>
      <c r="G5979" s="73">
        <v>0</v>
      </c>
      <c r="H5979" s="73">
        <v>0</v>
      </c>
      <c r="I5979" s="73">
        <v>0</v>
      </c>
      <c r="J5979" s="73">
        <v>0</v>
      </c>
    </row>
    <row r="5980" spans="1:10">
      <c r="A5980" s="88" t="s">
        <v>108</v>
      </c>
      <c r="B5980" s="88" t="s">
        <v>123</v>
      </c>
      <c r="C5980" s="159">
        <v>0.77638888888888902</v>
      </c>
      <c r="D5980" s="73">
        <v>0</v>
      </c>
      <c r="E5980" s="73">
        <v>0</v>
      </c>
      <c r="F5980" s="73">
        <v>0</v>
      </c>
      <c r="G5980" s="73">
        <v>0</v>
      </c>
      <c r="H5980" s="73">
        <v>0</v>
      </c>
      <c r="I5980" s="73">
        <v>0</v>
      </c>
      <c r="J5980" s="73">
        <v>0</v>
      </c>
    </row>
    <row r="5981" spans="1:10">
      <c r="A5981" s="88" t="s">
        <v>108</v>
      </c>
      <c r="B5981" s="88" t="s">
        <v>123</v>
      </c>
      <c r="C5981" s="159">
        <v>0.77708333333333302</v>
      </c>
      <c r="D5981" s="73">
        <v>0</v>
      </c>
      <c r="E5981" s="73">
        <v>0</v>
      </c>
      <c r="F5981" s="73">
        <v>0</v>
      </c>
      <c r="G5981" s="73">
        <v>0</v>
      </c>
      <c r="H5981" s="73">
        <v>0</v>
      </c>
      <c r="I5981" s="73">
        <v>0</v>
      </c>
      <c r="J5981" s="73">
        <v>0</v>
      </c>
    </row>
    <row r="5982" spans="1:10">
      <c r="A5982" s="88" t="s">
        <v>108</v>
      </c>
      <c r="B5982" s="88" t="s">
        <v>123</v>
      </c>
      <c r="C5982" s="159">
        <v>0.77777777777777801</v>
      </c>
      <c r="D5982" s="73">
        <v>0</v>
      </c>
      <c r="E5982" s="73">
        <v>0</v>
      </c>
      <c r="F5982" s="73">
        <v>0</v>
      </c>
      <c r="G5982" s="73">
        <v>0</v>
      </c>
      <c r="H5982" s="73">
        <v>0</v>
      </c>
      <c r="I5982" s="73">
        <v>0</v>
      </c>
      <c r="J5982" s="73">
        <v>0</v>
      </c>
    </row>
    <row r="5983" spans="1:10">
      <c r="A5983" s="88" t="s">
        <v>108</v>
      </c>
      <c r="B5983" s="88" t="s">
        <v>123</v>
      </c>
      <c r="C5983" s="159">
        <v>0.77847222222222201</v>
      </c>
      <c r="D5983" s="73">
        <v>0</v>
      </c>
      <c r="E5983" s="73">
        <v>0</v>
      </c>
      <c r="F5983" s="73">
        <v>0</v>
      </c>
      <c r="G5983" s="73">
        <v>0</v>
      </c>
      <c r="H5983" s="73">
        <v>0</v>
      </c>
      <c r="I5983" s="73">
        <v>0</v>
      </c>
      <c r="J5983" s="73">
        <v>0</v>
      </c>
    </row>
    <row r="5984" spans="1:10">
      <c r="A5984" s="88" t="s">
        <v>108</v>
      </c>
      <c r="B5984" s="88" t="s">
        <v>123</v>
      </c>
      <c r="C5984" s="159">
        <v>0.77916666666666601</v>
      </c>
      <c r="D5984" s="73">
        <v>0</v>
      </c>
      <c r="E5984" s="73">
        <v>0</v>
      </c>
      <c r="F5984" s="73">
        <v>0</v>
      </c>
      <c r="G5984" s="73">
        <v>0</v>
      </c>
      <c r="H5984" s="73">
        <v>0</v>
      </c>
      <c r="I5984" s="73">
        <v>0</v>
      </c>
      <c r="J5984" s="73">
        <v>0</v>
      </c>
    </row>
    <row r="5985" spans="1:10">
      <c r="A5985" s="88" t="s">
        <v>108</v>
      </c>
      <c r="B5985" s="88" t="s">
        <v>123</v>
      </c>
      <c r="C5985" s="159">
        <v>0.77986111111111101</v>
      </c>
      <c r="D5985" s="73">
        <v>0</v>
      </c>
      <c r="E5985" s="73">
        <v>0</v>
      </c>
      <c r="F5985" s="73">
        <v>0</v>
      </c>
      <c r="G5985" s="73">
        <v>0</v>
      </c>
      <c r="H5985" s="73">
        <v>0</v>
      </c>
      <c r="I5985" s="73">
        <v>0</v>
      </c>
      <c r="J5985" s="73">
        <v>0</v>
      </c>
    </row>
    <row r="5986" spans="1:10" s="80" customFormat="1">
      <c r="A5986" s="91" t="s">
        <v>108</v>
      </c>
      <c r="B5986" s="91" t="s">
        <v>123</v>
      </c>
      <c r="C5986" s="161">
        <v>0.780555555555555</v>
      </c>
      <c r="D5986" s="163">
        <v>0</v>
      </c>
      <c r="E5986" s="163">
        <v>0</v>
      </c>
      <c r="F5986" s="163">
        <v>0</v>
      </c>
      <c r="G5986" s="163">
        <v>0</v>
      </c>
      <c r="H5986" s="163">
        <v>0</v>
      </c>
      <c r="I5986" s="163">
        <v>0</v>
      </c>
      <c r="J5986" s="163">
        <v>0</v>
      </c>
    </row>
    <row r="5987" spans="1:10">
      <c r="A5987" s="88" t="s">
        <v>108</v>
      </c>
      <c r="B5987" s="88" t="s">
        <v>123</v>
      </c>
      <c r="C5987" s="159">
        <v>0.78125</v>
      </c>
      <c r="D5987" s="164">
        <v>0</v>
      </c>
      <c r="E5987" s="164">
        <v>0</v>
      </c>
      <c r="F5987" s="164">
        <v>0</v>
      </c>
      <c r="G5987" s="164">
        <v>0</v>
      </c>
      <c r="H5987" s="164">
        <v>0</v>
      </c>
      <c r="I5987" s="164">
        <v>0</v>
      </c>
      <c r="J5987" s="164">
        <v>0</v>
      </c>
    </row>
    <row r="5988" spans="1:10">
      <c r="A5988" s="88" t="s">
        <v>108</v>
      </c>
      <c r="B5988" s="88" t="s">
        <v>123</v>
      </c>
      <c r="C5988" s="159">
        <v>0.781944444444444</v>
      </c>
      <c r="D5988" s="73">
        <v>0</v>
      </c>
      <c r="E5988" s="73">
        <v>0</v>
      </c>
      <c r="F5988" s="73">
        <v>0</v>
      </c>
      <c r="G5988" s="73">
        <v>0</v>
      </c>
      <c r="H5988" s="73">
        <v>0</v>
      </c>
      <c r="I5988" s="73">
        <v>0</v>
      </c>
      <c r="J5988" s="73">
        <v>0</v>
      </c>
    </row>
    <row r="5989" spans="1:10">
      <c r="A5989" s="88" t="s">
        <v>108</v>
      </c>
      <c r="B5989" s="88" t="s">
        <v>123</v>
      </c>
      <c r="C5989" s="159">
        <v>0.78263888888888899</v>
      </c>
      <c r="D5989" s="73">
        <v>0</v>
      </c>
      <c r="E5989" s="73">
        <v>0</v>
      </c>
      <c r="F5989" s="73">
        <v>0</v>
      </c>
      <c r="G5989" s="73">
        <v>0</v>
      </c>
      <c r="H5989" s="73">
        <v>0</v>
      </c>
      <c r="I5989" s="73">
        <v>0</v>
      </c>
      <c r="J5989" s="73">
        <v>0</v>
      </c>
    </row>
    <row r="5990" spans="1:10">
      <c r="A5990" s="88" t="s">
        <v>108</v>
      </c>
      <c r="B5990" s="88" t="s">
        <v>123</v>
      </c>
      <c r="C5990" s="159">
        <v>0.78333333333333299</v>
      </c>
      <c r="D5990" s="73">
        <v>0</v>
      </c>
      <c r="E5990" s="73">
        <v>0</v>
      </c>
      <c r="F5990" s="73">
        <v>0</v>
      </c>
      <c r="G5990" s="73">
        <v>0</v>
      </c>
      <c r="H5990" s="73">
        <v>0</v>
      </c>
      <c r="I5990" s="73">
        <v>0</v>
      </c>
      <c r="J5990" s="73">
        <v>0</v>
      </c>
    </row>
    <row r="5991" spans="1:10">
      <c r="A5991" s="88" t="s">
        <v>108</v>
      </c>
      <c r="B5991" s="88" t="s">
        <v>123</v>
      </c>
      <c r="C5991" s="159">
        <v>0.78402777777777799</v>
      </c>
      <c r="D5991" s="73">
        <v>0</v>
      </c>
      <c r="E5991" s="73">
        <v>0</v>
      </c>
      <c r="F5991" s="73">
        <v>0</v>
      </c>
      <c r="G5991" s="73">
        <v>0</v>
      </c>
      <c r="H5991" s="73">
        <v>0</v>
      </c>
      <c r="I5991" s="73">
        <v>0</v>
      </c>
      <c r="J5991" s="73">
        <v>0</v>
      </c>
    </row>
    <row r="5992" spans="1:10">
      <c r="A5992" s="88" t="s">
        <v>108</v>
      </c>
      <c r="B5992" s="88" t="s">
        <v>123</v>
      </c>
      <c r="C5992" s="159">
        <v>0.78472222222222199</v>
      </c>
      <c r="D5992" s="73">
        <v>0</v>
      </c>
      <c r="E5992" s="73">
        <v>0</v>
      </c>
      <c r="F5992" s="73">
        <v>0</v>
      </c>
      <c r="G5992" s="73">
        <v>0</v>
      </c>
      <c r="H5992" s="73">
        <v>0</v>
      </c>
      <c r="I5992" s="73">
        <v>0</v>
      </c>
      <c r="J5992" s="73">
        <v>0</v>
      </c>
    </row>
    <row r="5993" spans="1:10">
      <c r="A5993" s="88" t="s">
        <v>108</v>
      </c>
      <c r="B5993" s="88" t="s">
        <v>123</v>
      </c>
      <c r="C5993" s="159">
        <v>0.78541666666666599</v>
      </c>
      <c r="D5993" s="73">
        <v>0</v>
      </c>
      <c r="E5993" s="73">
        <v>0</v>
      </c>
      <c r="F5993" s="73">
        <v>0</v>
      </c>
      <c r="G5993" s="73">
        <v>0</v>
      </c>
      <c r="H5993" s="73">
        <v>0</v>
      </c>
      <c r="I5993" s="73">
        <v>0</v>
      </c>
      <c r="J5993" s="73">
        <v>0</v>
      </c>
    </row>
    <row r="5994" spans="1:10">
      <c r="A5994" s="88" t="s">
        <v>108</v>
      </c>
      <c r="B5994" s="88" t="s">
        <v>123</v>
      </c>
      <c r="C5994" s="159">
        <v>0.78611111111111098</v>
      </c>
      <c r="D5994" s="73">
        <v>0</v>
      </c>
      <c r="E5994" s="73">
        <v>0</v>
      </c>
      <c r="F5994" s="73">
        <v>0</v>
      </c>
      <c r="G5994" s="73">
        <v>0</v>
      </c>
      <c r="H5994" s="73">
        <v>0</v>
      </c>
      <c r="I5994" s="73">
        <v>0</v>
      </c>
      <c r="J5994" s="73">
        <v>0</v>
      </c>
    </row>
    <row r="5995" spans="1:10">
      <c r="A5995" s="88" t="s">
        <v>108</v>
      </c>
      <c r="B5995" s="88" t="s">
        <v>123</v>
      </c>
      <c r="C5995" s="159">
        <v>0.78680555555555498</v>
      </c>
      <c r="D5995" s="73">
        <v>0</v>
      </c>
      <c r="E5995" s="73">
        <v>0</v>
      </c>
      <c r="F5995" s="73">
        <v>0</v>
      </c>
      <c r="G5995" s="73">
        <v>0</v>
      </c>
      <c r="H5995" s="73">
        <v>0</v>
      </c>
      <c r="I5995" s="73">
        <v>0</v>
      </c>
      <c r="J5995" s="73">
        <v>0</v>
      </c>
    </row>
    <row r="5996" spans="1:10">
      <c r="A5996" s="88" t="s">
        <v>108</v>
      </c>
      <c r="B5996" s="88" t="s">
        <v>123</v>
      </c>
      <c r="C5996" s="159">
        <v>0.78749999999999998</v>
      </c>
      <c r="D5996" s="73">
        <v>0</v>
      </c>
      <c r="E5996" s="73">
        <v>0</v>
      </c>
      <c r="F5996" s="73">
        <v>0</v>
      </c>
      <c r="G5996" s="73">
        <v>0</v>
      </c>
      <c r="H5996" s="73">
        <v>0</v>
      </c>
      <c r="I5996" s="73">
        <v>0</v>
      </c>
      <c r="J5996" s="73">
        <v>0</v>
      </c>
    </row>
    <row r="5997" spans="1:10">
      <c r="A5997" s="88" t="s">
        <v>108</v>
      </c>
      <c r="B5997" s="88" t="s">
        <v>123</v>
      </c>
      <c r="C5997" s="159">
        <v>0.78819444444444398</v>
      </c>
      <c r="D5997" s="73">
        <v>0</v>
      </c>
      <c r="E5997" s="73">
        <v>0</v>
      </c>
      <c r="F5997" s="73">
        <v>0</v>
      </c>
      <c r="G5997" s="73">
        <v>0</v>
      </c>
      <c r="H5997" s="73">
        <v>0</v>
      </c>
      <c r="I5997" s="73">
        <v>0</v>
      </c>
      <c r="J5997" s="73">
        <v>0</v>
      </c>
    </row>
    <row r="5998" spans="1:10">
      <c r="A5998" s="88" t="s">
        <v>108</v>
      </c>
      <c r="B5998" s="88" t="s">
        <v>123</v>
      </c>
      <c r="C5998" s="159">
        <v>0.78888888888888897</v>
      </c>
      <c r="D5998" s="73">
        <v>0</v>
      </c>
      <c r="E5998" s="73">
        <v>0</v>
      </c>
      <c r="F5998" s="73">
        <v>0</v>
      </c>
      <c r="G5998" s="73">
        <v>0</v>
      </c>
      <c r="H5998" s="73">
        <v>0</v>
      </c>
      <c r="I5998" s="73">
        <v>0</v>
      </c>
      <c r="J5998" s="73">
        <v>0</v>
      </c>
    </row>
    <row r="5999" spans="1:10">
      <c r="A5999" s="88" t="s">
        <v>108</v>
      </c>
      <c r="B5999" s="88" t="s">
        <v>123</v>
      </c>
      <c r="C5999" s="159">
        <v>0.78958333333333297</v>
      </c>
      <c r="D5999" s="73">
        <v>0</v>
      </c>
      <c r="E5999" s="73">
        <v>0</v>
      </c>
      <c r="F5999" s="73">
        <v>0</v>
      </c>
      <c r="G5999" s="73">
        <v>0</v>
      </c>
      <c r="H5999" s="73">
        <v>0</v>
      </c>
      <c r="I5999" s="73">
        <v>0</v>
      </c>
      <c r="J5999" s="73">
        <v>0</v>
      </c>
    </row>
    <row r="6000" spans="1:10">
      <c r="A6000" s="88" t="s">
        <v>108</v>
      </c>
      <c r="B6000" s="88" t="s">
        <v>123</v>
      </c>
      <c r="C6000" s="159">
        <v>0.79027777777777797</v>
      </c>
      <c r="D6000" s="73">
        <v>0</v>
      </c>
      <c r="E6000" s="73">
        <v>0</v>
      </c>
      <c r="F6000" s="73">
        <v>0</v>
      </c>
      <c r="G6000" s="73">
        <v>0</v>
      </c>
      <c r="H6000" s="73">
        <v>0</v>
      </c>
      <c r="I6000" s="73">
        <v>0</v>
      </c>
      <c r="J6000" s="73">
        <v>0</v>
      </c>
    </row>
    <row r="6001" spans="1:10" s="28" customFormat="1" ht="17.5" thickBot="1">
      <c r="A6001" s="103" t="s">
        <v>108</v>
      </c>
      <c r="B6001" s="103" t="s">
        <v>123</v>
      </c>
      <c r="C6001" s="160">
        <v>0.83194444444444504</v>
      </c>
      <c r="D6001" s="165">
        <v>0</v>
      </c>
      <c r="E6001" s="165">
        <v>0</v>
      </c>
      <c r="F6001" s="165">
        <v>0</v>
      </c>
      <c r="G6001" s="165">
        <v>0</v>
      </c>
      <c r="H6001" s="165">
        <v>0</v>
      </c>
      <c r="I6001" s="165">
        <v>0</v>
      </c>
      <c r="J6001" s="165">
        <v>0</v>
      </c>
    </row>
    <row r="6002" spans="1:10">
      <c r="A6002" s="88" t="s">
        <v>108</v>
      </c>
      <c r="B6002" s="88" t="s">
        <v>126</v>
      </c>
      <c r="C6002" s="159">
        <v>0.70833333333333337</v>
      </c>
      <c r="D6002" s="162">
        <v>0</v>
      </c>
      <c r="E6002" s="162">
        <v>0</v>
      </c>
      <c r="F6002" s="162">
        <v>0</v>
      </c>
      <c r="G6002" s="162">
        <v>0</v>
      </c>
      <c r="H6002" s="162">
        <v>0</v>
      </c>
      <c r="I6002" s="162">
        <v>0</v>
      </c>
      <c r="J6002" s="162">
        <v>0</v>
      </c>
    </row>
    <row r="6003" spans="1:10">
      <c r="A6003" s="88" t="s">
        <v>108</v>
      </c>
      <c r="B6003" s="88" t="s">
        <v>125</v>
      </c>
      <c r="C6003" s="159">
        <v>0.70902777777777781</v>
      </c>
      <c r="D6003" s="73">
        <v>0</v>
      </c>
      <c r="E6003" s="73">
        <v>0</v>
      </c>
      <c r="F6003" s="73">
        <v>0</v>
      </c>
      <c r="G6003" s="73">
        <v>0</v>
      </c>
      <c r="H6003" s="73">
        <v>0</v>
      </c>
      <c r="I6003" s="73">
        <v>0</v>
      </c>
      <c r="J6003" s="73">
        <v>0</v>
      </c>
    </row>
    <row r="6004" spans="1:10">
      <c r="A6004" s="88" t="s">
        <v>108</v>
      </c>
      <c r="B6004" s="88" t="s">
        <v>125</v>
      </c>
      <c r="C6004" s="159">
        <v>0.70972222222222203</v>
      </c>
      <c r="D6004" s="73">
        <v>0</v>
      </c>
      <c r="E6004" s="73">
        <v>0</v>
      </c>
      <c r="F6004" s="73">
        <v>0</v>
      </c>
      <c r="G6004" s="73">
        <v>0</v>
      </c>
      <c r="H6004" s="73">
        <v>0</v>
      </c>
      <c r="I6004" s="73">
        <v>0</v>
      </c>
      <c r="J6004" s="73">
        <v>0</v>
      </c>
    </row>
    <row r="6005" spans="1:10">
      <c r="A6005" s="88" t="s">
        <v>108</v>
      </c>
      <c r="B6005" s="88" t="s">
        <v>125</v>
      </c>
      <c r="C6005" s="159">
        <v>0.71041666666666703</v>
      </c>
      <c r="D6005" s="73">
        <v>0</v>
      </c>
      <c r="E6005" s="73">
        <v>0</v>
      </c>
      <c r="F6005" s="73">
        <v>0</v>
      </c>
      <c r="G6005" s="73">
        <v>0</v>
      </c>
      <c r="H6005" s="73">
        <v>0</v>
      </c>
      <c r="I6005" s="73">
        <v>0</v>
      </c>
      <c r="J6005" s="73">
        <v>0</v>
      </c>
    </row>
    <row r="6006" spans="1:10">
      <c r="A6006" s="88" t="s">
        <v>108</v>
      </c>
      <c r="B6006" s="88" t="s">
        <v>125</v>
      </c>
      <c r="C6006" s="159">
        <v>0.71111111111111103</v>
      </c>
      <c r="D6006" s="73">
        <v>0</v>
      </c>
      <c r="E6006" s="73">
        <v>0</v>
      </c>
      <c r="F6006" s="73">
        <v>0</v>
      </c>
      <c r="G6006" s="73">
        <v>0</v>
      </c>
      <c r="H6006" s="73">
        <v>0</v>
      </c>
      <c r="I6006" s="73">
        <v>0</v>
      </c>
      <c r="J6006" s="73">
        <v>0</v>
      </c>
    </row>
    <row r="6007" spans="1:10">
      <c r="A6007" s="88" t="s">
        <v>108</v>
      </c>
      <c r="B6007" s="88" t="s">
        <v>125</v>
      </c>
      <c r="C6007" s="159">
        <v>0.71180555555555602</v>
      </c>
      <c r="D6007" s="73">
        <v>0</v>
      </c>
      <c r="E6007" s="73">
        <v>0</v>
      </c>
      <c r="F6007" s="73">
        <v>0</v>
      </c>
      <c r="G6007" s="73">
        <v>0</v>
      </c>
      <c r="H6007" s="73">
        <v>0</v>
      </c>
      <c r="I6007" s="73">
        <v>0</v>
      </c>
      <c r="J6007" s="73">
        <v>0</v>
      </c>
    </row>
    <row r="6008" spans="1:10">
      <c r="A6008" s="88" t="s">
        <v>108</v>
      </c>
      <c r="B6008" s="88" t="s">
        <v>125</v>
      </c>
      <c r="C6008" s="159">
        <v>0.71250000000000002</v>
      </c>
      <c r="D6008" s="73">
        <v>0</v>
      </c>
      <c r="E6008" s="73">
        <v>0</v>
      </c>
      <c r="F6008" s="73">
        <v>0</v>
      </c>
      <c r="G6008" s="73">
        <v>0</v>
      </c>
      <c r="H6008" s="73">
        <v>0</v>
      </c>
      <c r="I6008" s="73">
        <v>0</v>
      </c>
      <c r="J6008" s="73">
        <v>0</v>
      </c>
    </row>
    <row r="6009" spans="1:10">
      <c r="A6009" s="88" t="s">
        <v>108</v>
      </c>
      <c r="B6009" s="88" t="s">
        <v>125</v>
      </c>
      <c r="C6009" s="159">
        <v>0.71319444444444402</v>
      </c>
      <c r="D6009" s="73">
        <v>0</v>
      </c>
      <c r="E6009" s="73">
        <v>0</v>
      </c>
      <c r="F6009" s="73">
        <v>0</v>
      </c>
      <c r="G6009" s="73">
        <v>0</v>
      </c>
      <c r="H6009" s="73">
        <v>0</v>
      </c>
      <c r="I6009" s="73">
        <v>0</v>
      </c>
      <c r="J6009" s="73">
        <v>0</v>
      </c>
    </row>
    <row r="6010" spans="1:10">
      <c r="A6010" s="88" t="s">
        <v>108</v>
      </c>
      <c r="B6010" s="88" t="s">
        <v>125</v>
      </c>
      <c r="C6010" s="159">
        <v>0.71388888888888902</v>
      </c>
      <c r="D6010" s="73">
        <v>0</v>
      </c>
      <c r="E6010" s="73">
        <v>0</v>
      </c>
      <c r="F6010" s="73">
        <v>0</v>
      </c>
      <c r="G6010" s="73">
        <v>0</v>
      </c>
      <c r="H6010" s="73">
        <v>0</v>
      </c>
      <c r="I6010" s="73">
        <v>0</v>
      </c>
      <c r="J6010" s="73">
        <v>0</v>
      </c>
    </row>
    <row r="6011" spans="1:10">
      <c r="A6011" s="88" t="s">
        <v>108</v>
      </c>
      <c r="B6011" s="88" t="s">
        <v>125</v>
      </c>
      <c r="C6011" s="159">
        <v>0.71458333333333302</v>
      </c>
      <c r="D6011" s="73">
        <v>0</v>
      </c>
      <c r="E6011" s="73">
        <v>0</v>
      </c>
      <c r="F6011" s="73">
        <v>0</v>
      </c>
      <c r="G6011" s="73">
        <v>0</v>
      </c>
      <c r="H6011" s="73">
        <v>0</v>
      </c>
      <c r="I6011" s="73">
        <v>0</v>
      </c>
      <c r="J6011" s="73">
        <v>0</v>
      </c>
    </row>
    <row r="6012" spans="1:10">
      <c r="A6012" s="88" t="s">
        <v>108</v>
      </c>
      <c r="B6012" s="88" t="s">
        <v>125</v>
      </c>
      <c r="C6012" s="159">
        <v>0.71527777777777801</v>
      </c>
      <c r="D6012" s="73">
        <v>0</v>
      </c>
      <c r="E6012" s="73">
        <v>0</v>
      </c>
      <c r="F6012" s="73">
        <v>0</v>
      </c>
      <c r="G6012" s="73">
        <v>0</v>
      </c>
      <c r="H6012" s="73">
        <v>0</v>
      </c>
      <c r="I6012" s="73">
        <v>0</v>
      </c>
      <c r="J6012" s="73">
        <v>0</v>
      </c>
    </row>
    <row r="6013" spans="1:10">
      <c r="A6013" s="88" t="s">
        <v>108</v>
      </c>
      <c r="B6013" s="88" t="s">
        <v>125</v>
      </c>
      <c r="C6013" s="159">
        <v>0.71597222222222201</v>
      </c>
      <c r="D6013" s="73">
        <v>0</v>
      </c>
      <c r="E6013" s="73">
        <v>0</v>
      </c>
      <c r="F6013" s="73">
        <v>0</v>
      </c>
      <c r="G6013" s="73">
        <v>0</v>
      </c>
      <c r="H6013" s="73">
        <v>0</v>
      </c>
      <c r="I6013" s="73">
        <v>0</v>
      </c>
      <c r="J6013" s="73">
        <v>0</v>
      </c>
    </row>
    <row r="6014" spans="1:10">
      <c r="A6014" s="88" t="s">
        <v>108</v>
      </c>
      <c r="B6014" s="88" t="s">
        <v>125</v>
      </c>
      <c r="C6014" s="159">
        <v>0.71666666666666701</v>
      </c>
      <c r="D6014" s="73">
        <v>0</v>
      </c>
      <c r="E6014" s="73">
        <v>0</v>
      </c>
      <c r="F6014" s="73">
        <v>0</v>
      </c>
      <c r="G6014" s="73">
        <v>0</v>
      </c>
      <c r="H6014" s="73">
        <v>0</v>
      </c>
      <c r="I6014" s="73">
        <v>0</v>
      </c>
      <c r="J6014" s="73">
        <v>0</v>
      </c>
    </row>
    <row r="6015" spans="1:10">
      <c r="A6015" s="88" t="s">
        <v>108</v>
      </c>
      <c r="B6015" s="88" t="s">
        <v>125</v>
      </c>
      <c r="C6015" s="159">
        <v>0.71736111111111101</v>
      </c>
      <c r="D6015" s="73">
        <v>0</v>
      </c>
      <c r="E6015" s="73">
        <v>0</v>
      </c>
      <c r="F6015" s="73">
        <v>0</v>
      </c>
      <c r="G6015" s="73">
        <v>0</v>
      </c>
      <c r="H6015" s="73">
        <v>0</v>
      </c>
      <c r="I6015" s="73">
        <v>0</v>
      </c>
      <c r="J6015" s="73">
        <v>0</v>
      </c>
    </row>
    <row r="6016" spans="1:10" s="80" customFormat="1">
      <c r="A6016" s="91" t="s">
        <v>108</v>
      </c>
      <c r="B6016" s="91" t="s">
        <v>125</v>
      </c>
      <c r="C6016" s="161">
        <v>0.718055555555556</v>
      </c>
      <c r="D6016" s="73">
        <v>0</v>
      </c>
      <c r="E6016" s="73">
        <v>0</v>
      </c>
      <c r="F6016" s="73">
        <v>0</v>
      </c>
      <c r="G6016" s="73">
        <v>0</v>
      </c>
      <c r="H6016" s="73">
        <v>0</v>
      </c>
      <c r="I6016" s="73">
        <v>0</v>
      </c>
      <c r="J6016" s="73">
        <v>0</v>
      </c>
    </row>
    <row r="6017" spans="1:10">
      <c r="A6017" s="88" t="s">
        <v>108</v>
      </c>
      <c r="B6017" s="88" t="s">
        <v>125</v>
      </c>
      <c r="C6017" s="159">
        <v>0.71875</v>
      </c>
      <c r="D6017" s="164">
        <v>0</v>
      </c>
      <c r="E6017" s="164">
        <v>0</v>
      </c>
      <c r="F6017" s="164">
        <v>0</v>
      </c>
      <c r="G6017" s="164">
        <v>0</v>
      </c>
      <c r="H6017" s="164">
        <v>0</v>
      </c>
      <c r="I6017" s="164">
        <v>0</v>
      </c>
      <c r="J6017" s="164">
        <v>0</v>
      </c>
    </row>
    <row r="6018" spans="1:10">
      <c r="A6018" s="88" t="s">
        <v>108</v>
      </c>
      <c r="B6018" s="88" t="s">
        <v>125</v>
      </c>
      <c r="C6018" s="159">
        <v>0.719444444444444</v>
      </c>
      <c r="D6018" s="73">
        <v>0</v>
      </c>
      <c r="E6018" s="73">
        <v>0</v>
      </c>
      <c r="F6018" s="73">
        <v>0</v>
      </c>
      <c r="G6018" s="73">
        <v>0</v>
      </c>
      <c r="H6018" s="73">
        <v>0</v>
      </c>
      <c r="I6018" s="73">
        <v>0</v>
      </c>
      <c r="J6018" s="73">
        <v>0</v>
      </c>
    </row>
    <row r="6019" spans="1:10">
      <c r="A6019" s="88" t="s">
        <v>108</v>
      </c>
      <c r="B6019" s="88" t="s">
        <v>125</v>
      </c>
      <c r="C6019" s="159">
        <v>0.72013888888888899</v>
      </c>
      <c r="D6019" s="73">
        <v>0</v>
      </c>
      <c r="E6019" s="73">
        <v>0</v>
      </c>
      <c r="F6019" s="73">
        <v>0</v>
      </c>
      <c r="G6019" s="73">
        <v>0</v>
      </c>
      <c r="H6019" s="73">
        <v>0</v>
      </c>
      <c r="I6019" s="73">
        <v>0</v>
      </c>
      <c r="J6019" s="73">
        <v>0</v>
      </c>
    </row>
    <row r="6020" spans="1:10">
      <c r="A6020" s="88" t="s">
        <v>108</v>
      </c>
      <c r="B6020" s="88" t="s">
        <v>125</v>
      </c>
      <c r="C6020" s="159">
        <v>0.72083333333333299</v>
      </c>
      <c r="D6020" s="73">
        <v>0</v>
      </c>
      <c r="E6020" s="73">
        <v>0</v>
      </c>
      <c r="F6020" s="73">
        <v>0</v>
      </c>
      <c r="G6020" s="73">
        <v>0</v>
      </c>
      <c r="H6020" s="73">
        <v>0</v>
      </c>
      <c r="I6020" s="73">
        <v>0</v>
      </c>
      <c r="J6020" s="73">
        <v>0</v>
      </c>
    </row>
    <row r="6021" spans="1:10">
      <c r="A6021" s="88" t="s">
        <v>108</v>
      </c>
      <c r="B6021" s="88" t="s">
        <v>125</v>
      </c>
      <c r="C6021" s="159">
        <v>0.72152777777777799</v>
      </c>
      <c r="D6021" s="73">
        <v>0</v>
      </c>
      <c r="E6021" s="73">
        <v>0</v>
      </c>
      <c r="F6021" s="73">
        <v>0</v>
      </c>
      <c r="G6021" s="73">
        <v>0</v>
      </c>
      <c r="H6021" s="73">
        <v>0</v>
      </c>
      <c r="I6021" s="73">
        <v>0</v>
      </c>
      <c r="J6021" s="73">
        <v>0</v>
      </c>
    </row>
    <row r="6022" spans="1:10">
      <c r="A6022" s="88" t="s">
        <v>108</v>
      </c>
      <c r="B6022" s="88" t="s">
        <v>125</v>
      </c>
      <c r="C6022" s="159">
        <v>0.72222222222222199</v>
      </c>
      <c r="D6022" s="73">
        <v>0</v>
      </c>
      <c r="E6022" s="73">
        <v>0</v>
      </c>
      <c r="F6022" s="73">
        <v>0</v>
      </c>
      <c r="G6022" s="73">
        <v>0</v>
      </c>
      <c r="H6022" s="73">
        <v>0</v>
      </c>
      <c r="I6022" s="73">
        <v>0</v>
      </c>
      <c r="J6022" s="73">
        <v>0</v>
      </c>
    </row>
    <row r="6023" spans="1:10">
      <c r="A6023" s="88" t="s">
        <v>108</v>
      </c>
      <c r="B6023" s="88" t="s">
        <v>125</v>
      </c>
      <c r="C6023" s="159">
        <v>0.72291666666666698</v>
      </c>
      <c r="D6023" s="73">
        <v>0</v>
      </c>
      <c r="E6023" s="73">
        <v>0</v>
      </c>
      <c r="F6023" s="73">
        <v>0</v>
      </c>
      <c r="G6023" s="73">
        <v>0</v>
      </c>
      <c r="H6023" s="73">
        <v>0</v>
      </c>
      <c r="I6023" s="73">
        <v>0</v>
      </c>
      <c r="J6023" s="73">
        <v>0</v>
      </c>
    </row>
    <row r="6024" spans="1:10">
      <c r="A6024" s="88" t="s">
        <v>108</v>
      </c>
      <c r="B6024" s="88" t="s">
        <v>125</v>
      </c>
      <c r="C6024" s="159">
        <v>0.72361111111111098</v>
      </c>
      <c r="D6024" s="73">
        <v>0</v>
      </c>
      <c r="E6024" s="73">
        <v>0</v>
      </c>
      <c r="F6024" s="73">
        <v>0</v>
      </c>
      <c r="G6024" s="73">
        <v>0</v>
      </c>
      <c r="H6024" s="73">
        <v>0</v>
      </c>
      <c r="I6024" s="73">
        <v>0</v>
      </c>
      <c r="J6024" s="73">
        <v>0</v>
      </c>
    </row>
    <row r="6025" spans="1:10">
      <c r="A6025" s="88" t="s">
        <v>108</v>
      </c>
      <c r="B6025" s="88" t="s">
        <v>125</v>
      </c>
      <c r="C6025" s="159">
        <v>0.72430555555555598</v>
      </c>
      <c r="D6025" s="73">
        <v>0</v>
      </c>
      <c r="E6025" s="73">
        <v>0</v>
      </c>
      <c r="F6025" s="73">
        <v>0</v>
      </c>
      <c r="G6025" s="73">
        <v>0</v>
      </c>
      <c r="H6025" s="73">
        <v>0</v>
      </c>
      <c r="I6025" s="73">
        <v>0</v>
      </c>
      <c r="J6025" s="73">
        <v>0</v>
      </c>
    </row>
    <row r="6026" spans="1:10">
      <c r="A6026" s="88" t="s">
        <v>108</v>
      </c>
      <c r="B6026" s="88" t="s">
        <v>125</v>
      </c>
      <c r="C6026" s="159">
        <v>0.72499999999999998</v>
      </c>
      <c r="D6026" s="73">
        <v>0</v>
      </c>
      <c r="E6026" s="73">
        <v>0</v>
      </c>
      <c r="F6026" s="73">
        <v>0</v>
      </c>
      <c r="G6026" s="73">
        <v>0</v>
      </c>
      <c r="H6026" s="73">
        <v>0</v>
      </c>
      <c r="I6026" s="73">
        <v>0</v>
      </c>
      <c r="J6026" s="73">
        <v>0</v>
      </c>
    </row>
    <row r="6027" spans="1:10">
      <c r="A6027" s="88" t="s">
        <v>108</v>
      </c>
      <c r="B6027" s="88" t="s">
        <v>125</v>
      </c>
      <c r="C6027" s="159">
        <v>0.72569444444444398</v>
      </c>
      <c r="D6027" s="73">
        <v>0</v>
      </c>
      <c r="E6027" s="73">
        <v>0</v>
      </c>
      <c r="F6027" s="73">
        <v>0</v>
      </c>
      <c r="G6027" s="73">
        <v>0</v>
      </c>
      <c r="H6027" s="73">
        <v>0</v>
      </c>
      <c r="I6027" s="73">
        <v>0</v>
      </c>
      <c r="J6027" s="73">
        <v>0</v>
      </c>
    </row>
    <row r="6028" spans="1:10">
      <c r="A6028" s="88" t="s">
        <v>108</v>
      </c>
      <c r="B6028" s="88" t="s">
        <v>125</v>
      </c>
      <c r="C6028" s="159">
        <v>0.72638888888888897</v>
      </c>
      <c r="D6028" s="73">
        <v>0</v>
      </c>
      <c r="E6028" s="73">
        <v>0</v>
      </c>
      <c r="F6028" s="73">
        <v>0</v>
      </c>
      <c r="G6028" s="73">
        <v>0</v>
      </c>
      <c r="H6028" s="73">
        <v>0</v>
      </c>
      <c r="I6028" s="73">
        <v>0</v>
      </c>
      <c r="J6028" s="73">
        <v>0</v>
      </c>
    </row>
    <row r="6029" spans="1:10">
      <c r="A6029" s="88" t="s">
        <v>108</v>
      </c>
      <c r="B6029" s="88" t="s">
        <v>125</v>
      </c>
      <c r="C6029" s="159">
        <v>0.72708333333333297</v>
      </c>
      <c r="D6029" s="73">
        <v>0</v>
      </c>
      <c r="E6029" s="73">
        <v>0</v>
      </c>
      <c r="F6029" s="73">
        <v>0</v>
      </c>
      <c r="G6029" s="73">
        <v>0</v>
      </c>
      <c r="H6029" s="73">
        <v>0</v>
      </c>
      <c r="I6029" s="73">
        <v>0</v>
      </c>
      <c r="J6029" s="73">
        <v>0</v>
      </c>
    </row>
    <row r="6030" spans="1:10">
      <c r="A6030" s="88" t="s">
        <v>108</v>
      </c>
      <c r="B6030" s="88" t="s">
        <v>125</v>
      </c>
      <c r="C6030" s="159">
        <v>0.72777777777777797</v>
      </c>
      <c r="D6030" s="73">
        <v>0</v>
      </c>
      <c r="E6030" s="73">
        <v>0</v>
      </c>
      <c r="F6030" s="73">
        <v>0</v>
      </c>
      <c r="G6030" s="73">
        <v>0</v>
      </c>
      <c r="H6030" s="73">
        <v>0</v>
      </c>
      <c r="I6030" s="73">
        <v>0</v>
      </c>
      <c r="J6030" s="73">
        <v>0</v>
      </c>
    </row>
    <row r="6031" spans="1:10" s="80" customFormat="1">
      <c r="A6031" s="91" t="s">
        <v>108</v>
      </c>
      <c r="B6031" s="91" t="s">
        <v>125</v>
      </c>
      <c r="C6031" s="161">
        <v>0.72847222222222197</v>
      </c>
      <c r="D6031" s="163">
        <v>0</v>
      </c>
      <c r="E6031" s="163">
        <v>0</v>
      </c>
      <c r="F6031" s="163">
        <v>0</v>
      </c>
      <c r="G6031" s="163">
        <v>0</v>
      </c>
      <c r="H6031" s="163">
        <v>0</v>
      </c>
      <c r="I6031" s="163">
        <v>0</v>
      </c>
      <c r="J6031" s="163">
        <v>0</v>
      </c>
    </row>
    <row r="6032" spans="1:10">
      <c r="A6032" s="88" t="s">
        <v>108</v>
      </c>
      <c r="B6032" s="88" t="s">
        <v>125</v>
      </c>
      <c r="C6032" s="159">
        <v>0.72916666666666696</v>
      </c>
      <c r="D6032" s="164">
        <v>0</v>
      </c>
      <c r="E6032" s="164">
        <v>0</v>
      </c>
      <c r="F6032" s="164">
        <v>0</v>
      </c>
      <c r="G6032" s="164">
        <v>0</v>
      </c>
      <c r="H6032" s="164">
        <v>0</v>
      </c>
      <c r="I6032" s="164">
        <v>0</v>
      </c>
      <c r="J6032" s="164">
        <v>0</v>
      </c>
    </row>
    <row r="6033" spans="1:10">
      <c r="A6033" s="88" t="s">
        <v>108</v>
      </c>
      <c r="B6033" s="88" t="s">
        <v>125</v>
      </c>
      <c r="C6033" s="159">
        <v>0.72986111111111096</v>
      </c>
      <c r="D6033" s="73">
        <v>0</v>
      </c>
      <c r="E6033" s="73">
        <v>0</v>
      </c>
      <c r="F6033" s="73">
        <v>0</v>
      </c>
      <c r="G6033" s="73">
        <v>0</v>
      </c>
      <c r="H6033" s="73">
        <v>0</v>
      </c>
      <c r="I6033" s="73">
        <v>0</v>
      </c>
      <c r="J6033" s="73">
        <v>0</v>
      </c>
    </row>
    <row r="6034" spans="1:10">
      <c r="A6034" s="88" t="s">
        <v>108</v>
      </c>
      <c r="B6034" s="88" t="s">
        <v>125</v>
      </c>
      <c r="C6034" s="159">
        <v>0.73055555555555596</v>
      </c>
      <c r="D6034" s="73">
        <v>0</v>
      </c>
      <c r="E6034" s="73">
        <v>0</v>
      </c>
      <c r="F6034" s="73">
        <v>0</v>
      </c>
      <c r="G6034" s="73">
        <v>0</v>
      </c>
      <c r="H6034" s="73">
        <v>0</v>
      </c>
      <c r="I6034" s="73">
        <v>0</v>
      </c>
      <c r="J6034" s="73">
        <v>0</v>
      </c>
    </row>
    <row r="6035" spans="1:10">
      <c r="A6035" s="88" t="s">
        <v>108</v>
      </c>
      <c r="B6035" s="88" t="s">
        <v>125</v>
      </c>
      <c r="C6035" s="159">
        <v>0.73124999999999996</v>
      </c>
      <c r="D6035" s="73">
        <v>0</v>
      </c>
      <c r="E6035" s="73">
        <v>0</v>
      </c>
      <c r="F6035" s="73">
        <v>0</v>
      </c>
      <c r="G6035" s="73">
        <v>0</v>
      </c>
      <c r="H6035" s="73">
        <v>0</v>
      </c>
      <c r="I6035" s="73">
        <v>0</v>
      </c>
      <c r="J6035" s="73">
        <v>0</v>
      </c>
    </row>
    <row r="6036" spans="1:10">
      <c r="A6036" s="88" t="s">
        <v>108</v>
      </c>
      <c r="B6036" s="88" t="s">
        <v>125</v>
      </c>
      <c r="C6036" s="159">
        <v>0.73194444444444395</v>
      </c>
      <c r="D6036" s="73">
        <v>0</v>
      </c>
      <c r="E6036" s="73">
        <v>0</v>
      </c>
      <c r="F6036" s="73">
        <v>0</v>
      </c>
      <c r="G6036" s="73">
        <v>0</v>
      </c>
      <c r="H6036" s="73">
        <v>0</v>
      </c>
      <c r="I6036" s="73">
        <v>0</v>
      </c>
      <c r="J6036" s="73">
        <v>0</v>
      </c>
    </row>
    <row r="6037" spans="1:10">
      <c r="A6037" s="88" t="s">
        <v>108</v>
      </c>
      <c r="B6037" s="88" t="s">
        <v>125</v>
      </c>
      <c r="C6037" s="159">
        <v>0.73263888888888895</v>
      </c>
      <c r="D6037" s="73">
        <v>0</v>
      </c>
      <c r="E6037" s="73">
        <v>0</v>
      </c>
      <c r="F6037" s="73">
        <v>0</v>
      </c>
      <c r="G6037" s="73">
        <v>0</v>
      </c>
      <c r="H6037" s="73">
        <v>0</v>
      </c>
      <c r="I6037" s="73">
        <v>0</v>
      </c>
      <c r="J6037" s="73">
        <v>0</v>
      </c>
    </row>
    <row r="6038" spans="1:10">
      <c r="A6038" s="88" t="s">
        <v>108</v>
      </c>
      <c r="B6038" s="88" t="s">
        <v>125</v>
      </c>
      <c r="C6038" s="159">
        <v>0.73333333333333295</v>
      </c>
      <c r="D6038" s="73">
        <v>0</v>
      </c>
      <c r="E6038" s="73">
        <v>0</v>
      </c>
      <c r="F6038" s="73">
        <v>0</v>
      </c>
      <c r="G6038" s="73">
        <v>0</v>
      </c>
      <c r="H6038" s="73">
        <v>0</v>
      </c>
      <c r="I6038" s="73">
        <v>0</v>
      </c>
      <c r="J6038" s="73">
        <v>0</v>
      </c>
    </row>
    <row r="6039" spans="1:10">
      <c r="A6039" s="88" t="s">
        <v>108</v>
      </c>
      <c r="B6039" s="88" t="s">
        <v>125</v>
      </c>
      <c r="C6039" s="159">
        <v>0.73402777777777795</v>
      </c>
      <c r="D6039" s="73">
        <v>0</v>
      </c>
      <c r="E6039" s="73">
        <v>0</v>
      </c>
      <c r="F6039" s="73">
        <v>0</v>
      </c>
      <c r="G6039" s="73">
        <v>0</v>
      </c>
      <c r="H6039" s="73">
        <v>0</v>
      </c>
      <c r="I6039" s="73">
        <v>0</v>
      </c>
      <c r="J6039" s="73">
        <v>0</v>
      </c>
    </row>
    <row r="6040" spans="1:10">
      <c r="A6040" s="88" t="s">
        <v>108</v>
      </c>
      <c r="B6040" s="88" t="s">
        <v>125</v>
      </c>
      <c r="C6040" s="159">
        <v>0.73472222222222205</v>
      </c>
      <c r="D6040" s="73">
        <v>0</v>
      </c>
      <c r="E6040" s="73">
        <v>0</v>
      </c>
      <c r="F6040" s="73">
        <v>0</v>
      </c>
      <c r="G6040" s="73">
        <v>0</v>
      </c>
      <c r="H6040" s="73">
        <v>0</v>
      </c>
      <c r="I6040" s="73">
        <v>0</v>
      </c>
      <c r="J6040" s="73">
        <v>0</v>
      </c>
    </row>
    <row r="6041" spans="1:10">
      <c r="A6041" s="88" t="s">
        <v>108</v>
      </c>
      <c r="B6041" s="88" t="s">
        <v>125</v>
      </c>
      <c r="C6041" s="159">
        <v>0.73541666666666705</v>
      </c>
      <c r="D6041" s="73">
        <v>0</v>
      </c>
      <c r="E6041" s="73">
        <v>0</v>
      </c>
      <c r="F6041" s="73">
        <v>0</v>
      </c>
      <c r="G6041" s="73">
        <v>0</v>
      </c>
      <c r="H6041" s="73">
        <v>0</v>
      </c>
      <c r="I6041" s="73">
        <v>0</v>
      </c>
      <c r="J6041" s="73">
        <v>0</v>
      </c>
    </row>
    <row r="6042" spans="1:10">
      <c r="A6042" s="88" t="s">
        <v>108</v>
      </c>
      <c r="B6042" s="88" t="s">
        <v>125</v>
      </c>
      <c r="C6042" s="159">
        <v>0.73611111111111105</v>
      </c>
      <c r="D6042" s="73">
        <v>0</v>
      </c>
      <c r="E6042" s="73">
        <v>0</v>
      </c>
      <c r="F6042" s="73">
        <v>0</v>
      </c>
      <c r="G6042" s="73">
        <v>0</v>
      </c>
      <c r="H6042" s="73">
        <v>0</v>
      </c>
      <c r="I6042" s="73">
        <v>0</v>
      </c>
      <c r="J6042" s="73">
        <v>0</v>
      </c>
    </row>
    <row r="6043" spans="1:10">
      <c r="A6043" s="88" t="s">
        <v>108</v>
      </c>
      <c r="B6043" s="88" t="s">
        <v>125</v>
      </c>
      <c r="C6043" s="159">
        <v>0.73680555555555505</v>
      </c>
      <c r="D6043" s="73">
        <v>0</v>
      </c>
      <c r="E6043" s="73">
        <v>0</v>
      </c>
      <c r="F6043" s="73">
        <v>0</v>
      </c>
      <c r="G6043" s="73">
        <v>0</v>
      </c>
      <c r="H6043" s="73">
        <v>0</v>
      </c>
      <c r="I6043" s="73">
        <v>0</v>
      </c>
      <c r="J6043" s="73">
        <v>0</v>
      </c>
    </row>
    <row r="6044" spans="1:10">
      <c r="A6044" s="88" t="s">
        <v>108</v>
      </c>
      <c r="B6044" s="88" t="s">
        <v>125</v>
      </c>
      <c r="C6044" s="159">
        <v>0.73750000000000004</v>
      </c>
      <c r="D6044" s="73">
        <v>0</v>
      </c>
      <c r="E6044" s="73">
        <v>0</v>
      </c>
      <c r="F6044" s="73">
        <v>0</v>
      </c>
      <c r="G6044" s="73">
        <v>0</v>
      </c>
      <c r="H6044" s="73">
        <v>0</v>
      </c>
      <c r="I6044" s="73">
        <v>0</v>
      </c>
      <c r="J6044" s="73">
        <v>0</v>
      </c>
    </row>
    <row r="6045" spans="1:10">
      <c r="A6045" s="88" t="s">
        <v>108</v>
      </c>
      <c r="B6045" s="88" t="s">
        <v>125</v>
      </c>
      <c r="C6045" s="159">
        <v>0.73819444444444404</v>
      </c>
      <c r="D6045" s="73">
        <v>0</v>
      </c>
      <c r="E6045" s="73">
        <v>0</v>
      </c>
      <c r="F6045" s="73">
        <v>0</v>
      </c>
      <c r="G6045" s="73">
        <v>0</v>
      </c>
      <c r="H6045" s="73">
        <v>0</v>
      </c>
      <c r="I6045" s="73">
        <v>0</v>
      </c>
      <c r="J6045" s="73">
        <v>0</v>
      </c>
    </row>
    <row r="6046" spans="1:10" s="80" customFormat="1">
      <c r="A6046" s="91" t="s">
        <v>108</v>
      </c>
      <c r="B6046" s="91" t="s">
        <v>125</v>
      </c>
      <c r="C6046" s="161">
        <v>0.73888888888888904</v>
      </c>
      <c r="D6046" s="73">
        <v>0</v>
      </c>
      <c r="E6046" s="73">
        <v>0</v>
      </c>
      <c r="F6046" s="73">
        <v>0</v>
      </c>
      <c r="G6046" s="73">
        <v>0</v>
      </c>
      <c r="H6046" s="73">
        <v>0</v>
      </c>
      <c r="I6046" s="73">
        <v>0</v>
      </c>
      <c r="J6046" s="73">
        <v>0</v>
      </c>
    </row>
    <row r="6047" spans="1:10">
      <c r="A6047" s="88" t="s">
        <v>108</v>
      </c>
      <c r="B6047" s="88" t="s">
        <v>125</v>
      </c>
      <c r="C6047" s="159">
        <v>0.73958333333333304</v>
      </c>
      <c r="D6047" s="164">
        <v>0</v>
      </c>
      <c r="E6047" s="164">
        <v>0</v>
      </c>
      <c r="F6047" s="164">
        <v>0</v>
      </c>
      <c r="G6047" s="164">
        <v>0</v>
      </c>
      <c r="H6047" s="164">
        <v>0</v>
      </c>
      <c r="I6047" s="164">
        <v>0</v>
      </c>
      <c r="J6047" s="164">
        <v>0</v>
      </c>
    </row>
    <row r="6048" spans="1:10">
      <c r="A6048" s="88" t="s">
        <v>108</v>
      </c>
      <c r="B6048" s="88" t="s">
        <v>125</v>
      </c>
      <c r="C6048" s="159">
        <v>0.74027777777777803</v>
      </c>
      <c r="D6048" s="73">
        <v>0</v>
      </c>
      <c r="E6048" s="73">
        <v>0</v>
      </c>
      <c r="F6048" s="73">
        <v>0</v>
      </c>
      <c r="G6048" s="73">
        <v>0</v>
      </c>
      <c r="H6048" s="73">
        <v>0</v>
      </c>
      <c r="I6048" s="73">
        <v>0</v>
      </c>
      <c r="J6048" s="73">
        <v>0</v>
      </c>
    </row>
    <row r="6049" spans="1:10">
      <c r="A6049" s="88" t="s">
        <v>108</v>
      </c>
      <c r="B6049" s="88" t="s">
        <v>125</v>
      </c>
      <c r="C6049" s="159">
        <v>0.74097222222222203</v>
      </c>
      <c r="D6049" s="73">
        <v>0</v>
      </c>
      <c r="E6049" s="73">
        <v>0</v>
      </c>
      <c r="F6049" s="73">
        <v>0</v>
      </c>
      <c r="G6049" s="73">
        <v>0</v>
      </c>
      <c r="H6049" s="73">
        <v>0</v>
      </c>
      <c r="I6049" s="73">
        <v>0</v>
      </c>
      <c r="J6049" s="73">
        <v>0</v>
      </c>
    </row>
    <row r="6050" spans="1:10">
      <c r="A6050" s="88" t="s">
        <v>108</v>
      </c>
      <c r="B6050" s="88" t="s">
        <v>125</v>
      </c>
      <c r="C6050" s="159">
        <v>0.74166666666666703</v>
      </c>
      <c r="D6050" s="73">
        <v>0</v>
      </c>
      <c r="E6050" s="73">
        <v>0</v>
      </c>
      <c r="F6050" s="73">
        <v>0</v>
      </c>
      <c r="G6050" s="73">
        <v>0</v>
      </c>
      <c r="H6050" s="73">
        <v>0</v>
      </c>
      <c r="I6050" s="73">
        <v>0</v>
      </c>
      <c r="J6050" s="73">
        <v>0</v>
      </c>
    </row>
    <row r="6051" spans="1:10">
      <c r="A6051" s="88" t="s">
        <v>108</v>
      </c>
      <c r="B6051" s="88" t="s">
        <v>125</v>
      </c>
      <c r="C6051" s="159">
        <v>0.74236111111111103</v>
      </c>
      <c r="D6051" s="73">
        <v>0</v>
      </c>
      <c r="E6051" s="73">
        <v>0</v>
      </c>
      <c r="F6051" s="73">
        <v>0</v>
      </c>
      <c r="G6051" s="73">
        <v>0</v>
      </c>
      <c r="H6051" s="73">
        <v>0</v>
      </c>
      <c r="I6051" s="73">
        <v>0</v>
      </c>
      <c r="J6051" s="73">
        <v>0</v>
      </c>
    </row>
    <row r="6052" spans="1:10">
      <c r="A6052" s="88" t="s">
        <v>108</v>
      </c>
      <c r="B6052" s="88" t="s">
        <v>125</v>
      </c>
      <c r="C6052" s="159">
        <v>0.74305555555555503</v>
      </c>
      <c r="D6052" s="73">
        <v>0</v>
      </c>
      <c r="E6052" s="73">
        <v>0</v>
      </c>
      <c r="F6052" s="73">
        <v>0</v>
      </c>
      <c r="G6052" s="73">
        <v>0</v>
      </c>
      <c r="H6052" s="73">
        <v>0</v>
      </c>
      <c r="I6052" s="73">
        <v>0</v>
      </c>
      <c r="J6052" s="73">
        <v>0</v>
      </c>
    </row>
    <row r="6053" spans="1:10">
      <c r="A6053" s="88" t="s">
        <v>108</v>
      </c>
      <c r="B6053" s="88" t="s">
        <v>125</v>
      </c>
      <c r="C6053" s="159">
        <v>0.74375000000000002</v>
      </c>
      <c r="D6053" s="73">
        <v>0</v>
      </c>
      <c r="E6053" s="73">
        <v>0</v>
      </c>
      <c r="F6053" s="73">
        <v>0</v>
      </c>
      <c r="G6053" s="73">
        <v>0</v>
      </c>
      <c r="H6053" s="73">
        <v>0</v>
      </c>
      <c r="I6053" s="73">
        <v>0</v>
      </c>
      <c r="J6053" s="73">
        <v>0</v>
      </c>
    </row>
    <row r="6054" spans="1:10">
      <c r="A6054" s="88" t="s">
        <v>108</v>
      </c>
      <c r="B6054" s="88" t="s">
        <v>125</v>
      </c>
      <c r="C6054" s="159">
        <v>0.74444444444444402</v>
      </c>
      <c r="D6054" s="73">
        <v>0</v>
      </c>
      <c r="E6054" s="73">
        <v>0</v>
      </c>
      <c r="F6054" s="73">
        <v>0</v>
      </c>
      <c r="G6054" s="73">
        <v>0</v>
      </c>
      <c r="H6054" s="73">
        <v>0</v>
      </c>
      <c r="I6054" s="73">
        <v>0</v>
      </c>
      <c r="J6054" s="73">
        <v>0</v>
      </c>
    </row>
    <row r="6055" spans="1:10">
      <c r="A6055" s="88" t="s">
        <v>108</v>
      </c>
      <c r="B6055" s="88" t="s">
        <v>125</v>
      </c>
      <c r="C6055" s="159">
        <v>0.74513888888888902</v>
      </c>
      <c r="D6055" s="73">
        <v>0</v>
      </c>
      <c r="E6055" s="73">
        <v>0</v>
      </c>
      <c r="F6055" s="73">
        <v>0</v>
      </c>
      <c r="G6055" s="73">
        <v>0</v>
      </c>
      <c r="H6055" s="73">
        <v>0</v>
      </c>
      <c r="I6055" s="73">
        <v>0</v>
      </c>
      <c r="J6055" s="73">
        <v>0</v>
      </c>
    </row>
    <row r="6056" spans="1:10">
      <c r="A6056" s="88" t="s">
        <v>108</v>
      </c>
      <c r="B6056" s="88" t="s">
        <v>125</v>
      </c>
      <c r="C6056" s="159">
        <v>0.74583333333333302</v>
      </c>
      <c r="D6056" s="73">
        <v>0</v>
      </c>
      <c r="E6056" s="73">
        <v>0</v>
      </c>
      <c r="F6056" s="73">
        <v>0</v>
      </c>
      <c r="G6056" s="73">
        <v>0</v>
      </c>
      <c r="H6056" s="73">
        <v>0</v>
      </c>
      <c r="I6056" s="73">
        <v>0</v>
      </c>
      <c r="J6056" s="73">
        <v>0</v>
      </c>
    </row>
    <row r="6057" spans="1:10">
      <c r="A6057" s="88" t="s">
        <v>108</v>
      </c>
      <c r="B6057" s="88" t="s">
        <v>125</v>
      </c>
      <c r="C6057" s="159">
        <v>0.74652777777777801</v>
      </c>
      <c r="D6057" s="73">
        <v>0</v>
      </c>
      <c r="E6057" s="73">
        <v>0</v>
      </c>
      <c r="F6057" s="73">
        <v>0</v>
      </c>
      <c r="G6057" s="73">
        <v>0</v>
      </c>
      <c r="H6057" s="73">
        <v>0</v>
      </c>
      <c r="I6057" s="73">
        <v>0</v>
      </c>
      <c r="J6057" s="73">
        <v>0</v>
      </c>
    </row>
    <row r="6058" spans="1:10">
      <c r="A6058" s="88" t="s">
        <v>108</v>
      </c>
      <c r="B6058" s="88" t="s">
        <v>125</v>
      </c>
      <c r="C6058" s="159">
        <v>0.74722222222222201</v>
      </c>
      <c r="D6058" s="73">
        <v>0</v>
      </c>
      <c r="E6058" s="73">
        <v>0</v>
      </c>
      <c r="F6058" s="73">
        <v>0</v>
      </c>
      <c r="G6058" s="73">
        <v>0</v>
      </c>
      <c r="H6058" s="73">
        <v>0</v>
      </c>
      <c r="I6058" s="73">
        <v>0</v>
      </c>
      <c r="J6058" s="73">
        <v>0</v>
      </c>
    </row>
    <row r="6059" spans="1:10">
      <c r="A6059" s="88" t="s">
        <v>108</v>
      </c>
      <c r="B6059" s="88" t="s">
        <v>125</v>
      </c>
      <c r="C6059" s="159">
        <v>0.74791666666666701</v>
      </c>
      <c r="D6059" s="73">
        <v>0</v>
      </c>
      <c r="E6059" s="73">
        <v>0</v>
      </c>
      <c r="F6059" s="73">
        <v>0</v>
      </c>
      <c r="G6059" s="73">
        <v>0</v>
      </c>
      <c r="H6059" s="73">
        <v>0</v>
      </c>
      <c r="I6059" s="73">
        <v>0</v>
      </c>
      <c r="J6059" s="73">
        <v>0</v>
      </c>
    </row>
    <row r="6060" spans="1:10">
      <c r="A6060" s="88" t="s">
        <v>108</v>
      </c>
      <c r="B6060" s="88" t="s">
        <v>125</v>
      </c>
      <c r="C6060" s="159">
        <v>0.74861111111111101</v>
      </c>
      <c r="D6060" s="73">
        <v>0</v>
      </c>
      <c r="E6060" s="73">
        <v>0</v>
      </c>
      <c r="F6060" s="73">
        <v>0</v>
      </c>
      <c r="G6060" s="73">
        <v>0</v>
      </c>
      <c r="H6060" s="73">
        <v>0</v>
      </c>
      <c r="I6060" s="73">
        <v>0</v>
      </c>
      <c r="J6060" s="73">
        <v>0</v>
      </c>
    </row>
    <row r="6061" spans="1:10" s="80" customFormat="1">
      <c r="A6061" s="91" t="s">
        <v>108</v>
      </c>
      <c r="B6061" s="91" t="s">
        <v>125</v>
      </c>
      <c r="C6061" s="161">
        <v>0.749305555555555</v>
      </c>
      <c r="D6061" s="163">
        <v>0</v>
      </c>
      <c r="E6061" s="163">
        <v>0</v>
      </c>
      <c r="F6061" s="163">
        <v>0</v>
      </c>
      <c r="G6061" s="163">
        <v>0</v>
      </c>
      <c r="H6061" s="163">
        <v>0</v>
      </c>
      <c r="I6061" s="163">
        <v>0</v>
      </c>
      <c r="J6061" s="163">
        <v>0</v>
      </c>
    </row>
    <row r="6062" spans="1:10">
      <c r="A6062" s="88" t="s">
        <v>108</v>
      </c>
      <c r="B6062" s="88" t="s">
        <v>125</v>
      </c>
      <c r="C6062" s="159">
        <v>0.75</v>
      </c>
      <c r="D6062" s="164">
        <v>0</v>
      </c>
      <c r="E6062" s="164">
        <v>0</v>
      </c>
      <c r="F6062" s="164">
        <v>0</v>
      </c>
      <c r="G6062" s="164">
        <v>0</v>
      </c>
      <c r="H6062" s="164">
        <v>0</v>
      </c>
      <c r="I6062" s="164">
        <v>0</v>
      </c>
      <c r="J6062" s="164">
        <v>0</v>
      </c>
    </row>
    <row r="6063" spans="1:10">
      <c r="A6063" s="88" t="s">
        <v>108</v>
      </c>
      <c r="B6063" s="88" t="s">
        <v>125</v>
      </c>
      <c r="C6063" s="159">
        <v>0.750694444444444</v>
      </c>
      <c r="D6063" s="73">
        <v>0</v>
      </c>
      <c r="E6063" s="73">
        <v>0</v>
      </c>
      <c r="F6063" s="73">
        <v>0</v>
      </c>
      <c r="G6063" s="73">
        <v>0</v>
      </c>
      <c r="H6063" s="73">
        <v>0</v>
      </c>
      <c r="I6063" s="73">
        <v>0</v>
      </c>
      <c r="J6063" s="73">
        <v>0</v>
      </c>
    </row>
    <row r="6064" spans="1:10">
      <c r="A6064" s="88" t="s">
        <v>108</v>
      </c>
      <c r="B6064" s="88" t="s">
        <v>125</v>
      </c>
      <c r="C6064" s="159">
        <v>0.75138888888888899</v>
      </c>
      <c r="D6064" s="73">
        <v>0</v>
      </c>
      <c r="E6064" s="73">
        <v>0</v>
      </c>
      <c r="F6064" s="73">
        <v>0</v>
      </c>
      <c r="G6064" s="73">
        <v>0</v>
      </c>
      <c r="H6064" s="73">
        <v>0</v>
      </c>
      <c r="I6064" s="73">
        <v>0</v>
      </c>
      <c r="J6064" s="73">
        <v>0</v>
      </c>
    </row>
    <row r="6065" spans="1:10">
      <c r="A6065" s="88" t="s">
        <v>108</v>
      </c>
      <c r="B6065" s="88" t="s">
        <v>125</v>
      </c>
      <c r="C6065" s="159">
        <v>0.75208333333333299</v>
      </c>
      <c r="D6065" s="73">
        <v>0</v>
      </c>
      <c r="E6065" s="73">
        <v>0</v>
      </c>
      <c r="F6065" s="73">
        <v>0</v>
      </c>
      <c r="G6065" s="73">
        <v>0</v>
      </c>
      <c r="H6065" s="73">
        <v>0</v>
      </c>
      <c r="I6065" s="73">
        <v>0</v>
      </c>
      <c r="J6065" s="73">
        <v>0</v>
      </c>
    </row>
    <row r="6066" spans="1:10">
      <c r="A6066" s="88" t="s">
        <v>108</v>
      </c>
      <c r="B6066" s="88" t="s">
        <v>125</v>
      </c>
      <c r="C6066" s="159">
        <v>0.75277777777777799</v>
      </c>
      <c r="D6066" s="73">
        <v>0</v>
      </c>
      <c r="E6066" s="73">
        <v>0</v>
      </c>
      <c r="F6066" s="73">
        <v>0</v>
      </c>
      <c r="G6066" s="73">
        <v>0</v>
      </c>
      <c r="H6066" s="73">
        <v>0</v>
      </c>
      <c r="I6066" s="73">
        <v>0</v>
      </c>
      <c r="J6066" s="73">
        <v>0</v>
      </c>
    </row>
    <row r="6067" spans="1:10">
      <c r="A6067" s="88" t="s">
        <v>108</v>
      </c>
      <c r="B6067" s="88" t="s">
        <v>125</v>
      </c>
      <c r="C6067" s="159">
        <v>0.75347222222222199</v>
      </c>
      <c r="D6067" s="73">
        <v>0</v>
      </c>
      <c r="E6067" s="73">
        <v>0</v>
      </c>
      <c r="F6067" s="73">
        <v>0</v>
      </c>
      <c r="G6067" s="73">
        <v>0</v>
      </c>
      <c r="H6067" s="73">
        <v>0</v>
      </c>
      <c r="I6067" s="73">
        <v>0</v>
      </c>
      <c r="J6067" s="73">
        <v>0</v>
      </c>
    </row>
    <row r="6068" spans="1:10">
      <c r="A6068" s="88" t="s">
        <v>108</v>
      </c>
      <c r="B6068" s="88" t="s">
        <v>125</v>
      </c>
      <c r="C6068" s="159">
        <v>0.75416666666666698</v>
      </c>
      <c r="D6068" s="73">
        <v>0</v>
      </c>
      <c r="E6068" s="73">
        <v>0</v>
      </c>
      <c r="F6068" s="73">
        <v>0</v>
      </c>
      <c r="G6068" s="73">
        <v>0</v>
      </c>
      <c r="H6068" s="73">
        <v>0</v>
      </c>
      <c r="I6068" s="73">
        <v>0</v>
      </c>
      <c r="J6068" s="73">
        <v>0</v>
      </c>
    </row>
    <row r="6069" spans="1:10">
      <c r="A6069" s="88" t="s">
        <v>108</v>
      </c>
      <c r="B6069" s="88" t="s">
        <v>125</v>
      </c>
      <c r="C6069" s="159">
        <v>0.75486111111111098</v>
      </c>
      <c r="D6069" s="73">
        <v>0</v>
      </c>
      <c r="E6069" s="73">
        <v>0</v>
      </c>
      <c r="F6069" s="73">
        <v>0</v>
      </c>
      <c r="G6069" s="73">
        <v>0</v>
      </c>
      <c r="H6069" s="73">
        <v>0</v>
      </c>
      <c r="I6069" s="73">
        <v>0</v>
      </c>
      <c r="J6069" s="73">
        <v>0</v>
      </c>
    </row>
    <row r="6070" spans="1:10">
      <c r="A6070" s="88" t="s">
        <v>108</v>
      </c>
      <c r="B6070" s="88" t="s">
        <v>125</v>
      </c>
      <c r="C6070" s="159">
        <v>0.75555555555555498</v>
      </c>
      <c r="D6070" s="73">
        <v>0</v>
      </c>
      <c r="E6070" s="73">
        <v>0</v>
      </c>
      <c r="F6070" s="73">
        <v>0</v>
      </c>
      <c r="G6070" s="73">
        <v>0</v>
      </c>
      <c r="H6070" s="73">
        <v>0</v>
      </c>
      <c r="I6070" s="73">
        <v>0</v>
      </c>
      <c r="J6070" s="73">
        <v>0</v>
      </c>
    </row>
    <row r="6071" spans="1:10">
      <c r="A6071" s="88" t="s">
        <v>108</v>
      </c>
      <c r="B6071" s="88" t="s">
        <v>125</v>
      </c>
      <c r="C6071" s="159">
        <v>0.75624999999999998</v>
      </c>
      <c r="D6071" s="73">
        <v>0</v>
      </c>
      <c r="E6071" s="73">
        <v>0</v>
      </c>
      <c r="F6071" s="73">
        <v>0</v>
      </c>
      <c r="G6071" s="73">
        <v>0</v>
      </c>
      <c r="H6071" s="73">
        <v>0</v>
      </c>
      <c r="I6071" s="73">
        <v>0</v>
      </c>
      <c r="J6071" s="73">
        <v>0</v>
      </c>
    </row>
    <row r="6072" spans="1:10">
      <c r="A6072" s="88" t="s">
        <v>108</v>
      </c>
      <c r="B6072" s="88" t="s">
        <v>125</v>
      </c>
      <c r="C6072" s="159">
        <v>0.75694444444444398</v>
      </c>
      <c r="D6072" s="73">
        <v>0</v>
      </c>
      <c r="E6072" s="73">
        <v>0</v>
      </c>
      <c r="F6072" s="73">
        <v>0</v>
      </c>
      <c r="G6072" s="73">
        <v>0</v>
      </c>
      <c r="H6072" s="73">
        <v>0</v>
      </c>
      <c r="I6072" s="73">
        <v>0</v>
      </c>
      <c r="J6072" s="73">
        <v>0</v>
      </c>
    </row>
    <row r="6073" spans="1:10">
      <c r="A6073" s="88" t="s">
        <v>108</v>
      </c>
      <c r="B6073" s="88" t="s">
        <v>125</v>
      </c>
      <c r="C6073" s="159">
        <v>0.75763888888888897</v>
      </c>
      <c r="D6073" s="73">
        <v>0</v>
      </c>
      <c r="E6073" s="73">
        <v>0</v>
      </c>
      <c r="F6073" s="73">
        <v>0</v>
      </c>
      <c r="G6073" s="73">
        <v>0</v>
      </c>
      <c r="H6073" s="73">
        <v>0</v>
      </c>
      <c r="I6073" s="73">
        <v>0</v>
      </c>
      <c r="J6073" s="73">
        <v>0</v>
      </c>
    </row>
    <row r="6074" spans="1:10">
      <c r="A6074" s="88" t="s">
        <v>108</v>
      </c>
      <c r="B6074" s="88" t="s">
        <v>125</v>
      </c>
      <c r="C6074" s="159">
        <v>0.75833333333333297</v>
      </c>
      <c r="D6074" s="73">
        <v>0</v>
      </c>
      <c r="E6074" s="73">
        <v>0</v>
      </c>
      <c r="F6074" s="73">
        <v>0</v>
      </c>
      <c r="G6074" s="73">
        <v>0</v>
      </c>
      <c r="H6074" s="73">
        <v>0</v>
      </c>
      <c r="I6074" s="73">
        <v>0</v>
      </c>
      <c r="J6074" s="73">
        <v>0</v>
      </c>
    </row>
    <row r="6075" spans="1:10">
      <c r="A6075" s="88" t="s">
        <v>108</v>
      </c>
      <c r="B6075" s="88" t="s">
        <v>125</v>
      </c>
      <c r="C6075" s="159">
        <v>0.75902777777777797</v>
      </c>
      <c r="D6075" s="73">
        <v>0</v>
      </c>
      <c r="E6075" s="73">
        <v>0</v>
      </c>
      <c r="F6075" s="73">
        <v>0</v>
      </c>
      <c r="G6075" s="73">
        <v>0</v>
      </c>
      <c r="H6075" s="73">
        <v>0</v>
      </c>
      <c r="I6075" s="73">
        <v>0</v>
      </c>
      <c r="J6075" s="73">
        <v>0</v>
      </c>
    </row>
    <row r="6076" spans="1:10" s="80" customFormat="1">
      <c r="A6076" s="91" t="s">
        <v>108</v>
      </c>
      <c r="B6076" s="91" t="s">
        <v>125</v>
      </c>
      <c r="C6076" s="161">
        <v>0.75972222222222197</v>
      </c>
      <c r="D6076" s="73">
        <v>0</v>
      </c>
      <c r="E6076" s="73">
        <v>0</v>
      </c>
      <c r="F6076" s="73">
        <v>0</v>
      </c>
      <c r="G6076" s="73">
        <v>0</v>
      </c>
      <c r="H6076" s="73">
        <v>0</v>
      </c>
      <c r="I6076" s="73">
        <v>0</v>
      </c>
      <c r="J6076" s="73">
        <v>0</v>
      </c>
    </row>
    <row r="6077" spans="1:10">
      <c r="A6077" s="88" t="s">
        <v>108</v>
      </c>
      <c r="B6077" s="88" t="s">
        <v>125</v>
      </c>
      <c r="C6077" s="159">
        <v>0.76041666666666696</v>
      </c>
      <c r="D6077" s="164">
        <v>0</v>
      </c>
      <c r="E6077" s="164">
        <v>0</v>
      </c>
      <c r="F6077" s="164">
        <v>0</v>
      </c>
      <c r="G6077" s="164">
        <v>0</v>
      </c>
      <c r="H6077" s="164">
        <v>0</v>
      </c>
      <c r="I6077" s="164">
        <v>0</v>
      </c>
      <c r="J6077" s="164">
        <v>0</v>
      </c>
    </row>
    <row r="6078" spans="1:10">
      <c r="A6078" s="88" t="s">
        <v>108</v>
      </c>
      <c r="B6078" s="88" t="s">
        <v>125</v>
      </c>
      <c r="C6078" s="159">
        <v>0.76111111111111096</v>
      </c>
      <c r="D6078" s="73">
        <v>0</v>
      </c>
      <c r="E6078" s="73">
        <v>0</v>
      </c>
      <c r="F6078" s="73">
        <v>0</v>
      </c>
      <c r="G6078" s="73">
        <v>0</v>
      </c>
      <c r="H6078" s="73">
        <v>0</v>
      </c>
      <c r="I6078" s="73">
        <v>0</v>
      </c>
      <c r="J6078" s="73">
        <v>0</v>
      </c>
    </row>
    <row r="6079" spans="1:10">
      <c r="A6079" s="88" t="s">
        <v>108</v>
      </c>
      <c r="B6079" s="88" t="s">
        <v>125</v>
      </c>
      <c r="C6079" s="159">
        <v>0.76180555555555496</v>
      </c>
      <c r="D6079" s="73">
        <v>0</v>
      </c>
      <c r="E6079" s="73">
        <v>0</v>
      </c>
      <c r="F6079" s="73">
        <v>0</v>
      </c>
      <c r="G6079" s="73">
        <v>0</v>
      </c>
      <c r="H6079" s="73">
        <v>0</v>
      </c>
      <c r="I6079" s="73">
        <v>0</v>
      </c>
      <c r="J6079" s="73">
        <v>0</v>
      </c>
    </row>
    <row r="6080" spans="1:10">
      <c r="A6080" s="88" t="s">
        <v>108</v>
      </c>
      <c r="B6080" s="88" t="s">
        <v>125</v>
      </c>
      <c r="C6080" s="159">
        <v>0.76249999999999996</v>
      </c>
      <c r="D6080" s="73">
        <v>0</v>
      </c>
      <c r="E6080" s="73">
        <v>0</v>
      </c>
      <c r="F6080" s="73">
        <v>0</v>
      </c>
      <c r="G6080" s="73">
        <v>0</v>
      </c>
      <c r="H6080" s="73">
        <v>0</v>
      </c>
      <c r="I6080" s="73">
        <v>0</v>
      </c>
      <c r="J6080" s="73">
        <v>0</v>
      </c>
    </row>
    <row r="6081" spans="1:10">
      <c r="A6081" s="88" t="s">
        <v>108</v>
      </c>
      <c r="B6081" s="88" t="s">
        <v>125</v>
      </c>
      <c r="C6081" s="159">
        <v>0.76319444444444395</v>
      </c>
      <c r="D6081" s="73">
        <v>0</v>
      </c>
      <c r="E6081" s="73">
        <v>0</v>
      </c>
      <c r="F6081" s="73">
        <v>0</v>
      </c>
      <c r="G6081" s="73">
        <v>0</v>
      </c>
      <c r="H6081" s="73">
        <v>0</v>
      </c>
      <c r="I6081" s="73">
        <v>0</v>
      </c>
      <c r="J6081" s="73">
        <v>0</v>
      </c>
    </row>
    <row r="6082" spans="1:10">
      <c r="A6082" s="88" t="s">
        <v>108</v>
      </c>
      <c r="B6082" s="88" t="s">
        <v>125</v>
      </c>
      <c r="C6082" s="159">
        <v>0.76388888888888895</v>
      </c>
      <c r="D6082" s="73">
        <v>0</v>
      </c>
      <c r="E6082" s="73">
        <v>0</v>
      </c>
      <c r="F6082" s="73">
        <v>0</v>
      </c>
      <c r="G6082" s="73">
        <v>0</v>
      </c>
      <c r="H6082" s="73">
        <v>0</v>
      </c>
      <c r="I6082" s="73">
        <v>0</v>
      </c>
      <c r="J6082" s="73">
        <v>0</v>
      </c>
    </row>
    <row r="6083" spans="1:10">
      <c r="A6083" s="88" t="s">
        <v>108</v>
      </c>
      <c r="B6083" s="88" t="s">
        <v>125</v>
      </c>
      <c r="C6083" s="159">
        <v>0.76458333333333295</v>
      </c>
      <c r="D6083" s="73">
        <v>0</v>
      </c>
      <c r="E6083" s="73">
        <v>0</v>
      </c>
      <c r="F6083" s="73">
        <v>0</v>
      </c>
      <c r="G6083" s="73">
        <v>0</v>
      </c>
      <c r="H6083" s="73">
        <v>0</v>
      </c>
      <c r="I6083" s="73">
        <v>0</v>
      </c>
      <c r="J6083" s="73">
        <v>0</v>
      </c>
    </row>
    <row r="6084" spans="1:10">
      <c r="A6084" s="88" t="s">
        <v>108</v>
      </c>
      <c r="B6084" s="88" t="s">
        <v>125</v>
      </c>
      <c r="C6084" s="159">
        <v>0.76527777777777795</v>
      </c>
      <c r="D6084" s="73">
        <v>0</v>
      </c>
      <c r="E6084" s="73">
        <v>0</v>
      </c>
      <c r="F6084" s="73">
        <v>0</v>
      </c>
      <c r="G6084" s="73">
        <v>0</v>
      </c>
      <c r="H6084" s="73">
        <v>0</v>
      </c>
      <c r="I6084" s="73">
        <v>0</v>
      </c>
      <c r="J6084" s="73">
        <v>0</v>
      </c>
    </row>
    <row r="6085" spans="1:10">
      <c r="A6085" s="88" t="s">
        <v>108</v>
      </c>
      <c r="B6085" s="88" t="s">
        <v>125</v>
      </c>
      <c r="C6085" s="159">
        <v>0.76597222222222205</v>
      </c>
      <c r="D6085" s="73">
        <v>0</v>
      </c>
      <c r="E6085" s="73">
        <v>0</v>
      </c>
      <c r="F6085" s="73">
        <v>0</v>
      </c>
      <c r="G6085" s="73">
        <v>0</v>
      </c>
      <c r="H6085" s="73">
        <v>0</v>
      </c>
      <c r="I6085" s="73">
        <v>0</v>
      </c>
      <c r="J6085" s="73">
        <v>0</v>
      </c>
    </row>
    <row r="6086" spans="1:10">
      <c r="A6086" s="88" t="s">
        <v>108</v>
      </c>
      <c r="B6086" s="88" t="s">
        <v>125</v>
      </c>
      <c r="C6086" s="159">
        <v>0.76666666666666605</v>
      </c>
      <c r="D6086" s="73">
        <v>0</v>
      </c>
      <c r="E6086" s="73">
        <v>0</v>
      </c>
      <c r="F6086" s="73">
        <v>0</v>
      </c>
      <c r="G6086" s="73">
        <v>0</v>
      </c>
      <c r="H6086" s="73">
        <v>0</v>
      </c>
      <c r="I6086" s="73">
        <v>0</v>
      </c>
      <c r="J6086" s="73">
        <v>0</v>
      </c>
    </row>
    <row r="6087" spans="1:10">
      <c r="A6087" s="88" t="s">
        <v>108</v>
      </c>
      <c r="B6087" s="88" t="s">
        <v>125</v>
      </c>
      <c r="C6087" s="159">
        <v>0.76736111111111105</v>
      </c>
      <c r="D6087" s="73">
        <v>0</v>
      </c>
      <c r="E6087" s="73">
        <v>0</v>
      </c>
      <c r="F6087" s="73">
        <v>0</v>
      </c>
      <c r="G6087" s="73">
        <v>0</v>
      </c>
      <c r="H6087" s="73">
        <v>0</v>
      </c>
      <c r="I6087" s="73">
        <v>0</v>
      </c>
      <c r="J6087" s="73">
        <v>0</v>
      </c>
    </row>
    <row r="6088" spans="1:10">
      <c r="A6088" s="88" t="s">
        <v>108</v>
      </c>
      <c r="B6088" s="88" t="s">
        <v>125</v>
      </c>
      <c r="C6088" s="159">
        <v>0.76805555555555505</v>
      </c>
      <c r="D6088" s="73">
        <v>0</v>
      </c>
      <c r="E6088" s="73">
        <v>0</v>
      </c>
      <c r="F6088" s="73">
        <v>0</v>
      </c>
      <c r="G6088" s="73">
        <v>0</v>
      </c>
      <c r="H6088" s="73">
        <v>0</v>
      </c>
      <c r="I6088" s="73">
        <v>0</v>
      </c>
      <c r="J6088" s="73">
        <v>0</v>
      </c>
    </row>
    <row r="6089" spans="1:10">
      <c r="A6089" s="88" t="s">
        <v>108</v>
      </c>
      <c r="B6089" s="88" t="s">
        <v>125</v>
      </c>
      <c r="C6089" s="159">
        <v>0.76875000000000004</v>
      </c>
      <c r="D6089" s="73">
        <v>0</v>
      </c>
      <c r="E6089" s="73">
        <v>0</v>
      </c>
      <c r="F6089" s="73">
        <v>0</v>
      </c>
      <c r="G6089" s="73">
        <v>0</v>
      </c>
      <c r="H6089" s="73">
        <v>0</v>
      </c>
      <c r="I6089" s="73">
        <v>0</v>
      </c>
      <c r="J6089" s="73">
        <v>0</v>
      </c>
    </row>
    <row r="6090" spans="1:10">
      <c r="A6090" s="88" t="s">
        <v>108</v>
      </c>
      <c r="B6090" s="88" t="s">
        <v>125</v>
      </c>
      <c r="C6090" s="159">
        <v>0.76944444444444404</v>
      </c>
      <c r="D6090" s="73">
        <v>0</v>
      </c>
      <c r="E6090" s="73">
        <v>0</v>
      </c>
      <c r="F6090" s="73">
        <v>0</v>
      </c>
      <c r="G6090" s="73">
        <v>0</v>
      </c>
      <c r="H6090" s="73">
        <v>0</v>
      </c>
      <c r="I6090" s="73">
        <v>0</v>
      </c>
      <c r="J6090" s="73">
        <v>0</v>
      </c>
    </row>
    <row r="6091" spans="1:10" s="80" customFormat="1">
      <c r="A6091" s="91" t="s">
        <v>108</v>
      </c>
      <c r="B6091" s="91" t="s">
        <v>125</v>
      </c>
      <c r="C6091" s="161">
        <v>0.77013888888888904</v>
      </c>
      <c r="D6091" s="163">
        <v>0</v>
      </c>
      <c r="E6091" s="163">
        <v>0</v>
      </c>
      <c r="F6091" s="163">
        <v>0</v>
      </c>
      <c r="G6091" s="163">
        <v>0</v>
      </c>
      <c r="H6091" s="163">
        <v>0</v>
      </c>
      <c r="I6091" s="163">
        <v>0</v>
      </c>
      <c r="J6091" s="163">
        <v>0</v>
      </c>
    </row>
    <row r="6092" spans="1:10">
      <c r="A6092" s="88" t="s">
        <v>108</v>
      </c>
      <c r="B6092" s="88" t="s">
        <v>125</v>
      </c>
      <c r="C6092" s="159">
        <v>0.77083333333333304</v>
      </c>
      <c r="D6092" s="164">
        <v>0</v>
      </c>
      <c r="E6092" s="164">
        <v>0</v>
      </c>
      <c r="F6092" s="164">
        <v>0</v>
      </c>
      <c r="G6092" s="164">
        <v>0</v>
      </c>
      <c r="H6092" s="164">
        <v>0</v>
      </c>
      <c r="I6092" s="164">
        <v>0</v>
      </c>
      <c r="J6092" s="164">
        <v>0</v>
      </c>
    </row>
    <row r="6093" spans="1:10">
      <c r="A6093" s="88" t="s">
        <v>108</v>
      </c>
      <c r="B6093" s="88" t="s">
        <v>125</v>
      </c>
      <c r="C6093" s="159">
        <v>0.77152777777777803</v>
      </c>
      <c r="D6093" s="73">
        <v>0</v>
      </c>
      <c r="E6093" s="73">
        <v>0</v>
      </c>
      <c r="F6093" s="73">
        <v>0</v>
      </c>
      <c r="G6093" s="73">
        <v>0</v>
      </c>
      <c r="H6093" s="73">
        <v>0</v>
      </c>
      <c r="I6093" s="73">
        <v>0</v>
      </c>
      <c r="J6093" s="73">
        <v>0</v>
      </c>
    </row>
    <row r="6094" spans="1:10">
      <c r="A6094" s="88" t="s">
        <v>108</v>
      </c>
      <c r="B6094" s="88" t="s">
        <v>125</v>
      </c>
      <c r="C6094" s="159">
        <v>0.77222222222222203</v>
      </c>
      <c r="D6094" s="73">
        <v>0</v>
      </c>
      <c r="E6094" s="73">
        <v>0</v>
      </c>
      <c r="F6094" s="73">
        <v>0</v>
      </c>
      <c r="G6094" s="73">
        <v>0</v>
      </c>
      <c r="H6094" s="73">
        <v>0</v>
      </c>
      <c r="I6094" s="73">
        <v>0</v>
      </c>
      <c r="J6094" s="73">
        <v>0</v>
      </c>
    </row>
    <row r="6095" spans="1:10">
      <c r="A6095" s="88" t="s">
        <v>108</v>
      </c>
      <c r="B6095" s="88" t="s">
        <v>125</v>
      </c>
      <c r="C6095" s="159">
        <v>0.77291666666666603</v>
      </c>
      <c r="D6095" s="73">
        <v>0</v>
      </c>
      <c r="E6095" s="73">
        <v>0</v>
      </c>
      <c r="F6095" s="73">
        <v>0</v>
      </c>
      <c r="G6095" s="73">
        <v>0</v>
      </c>
      <c r="H6095" s="73">
        <v>0</v>
      </c>
      <c r="I6095" s="73">
        <v>0</v>
      </c>
      <c r="J6095" s="73">
        <v>0</v>
      </c>
    </row>
    <row r="6096" spans="1:10">
      <c r="A6096" s="88" t="s">
        <v>108</v>
      </c>
      <c r="B6096" s="88" t="s">
        <v>125</v>
      </c>
      <c r="C6096" s="159">
        <v>0.77361111111111103</v>
      </c>
      <c r="D6096" s="73">
        <v>0</v>
      </c>
      <c r="E6096" s="73">
        <v>0</v>
      </c>
      <c r="F6096" s="73">
        <v>0</v>
      </c>
      <c r="G6096" s="73">
        <v>0</v>
      </c>
      <c r="H6096" s="73">
        <v>0</v>
      </c>
      <c r="I6096" s="73">
        <v>0</v>
      </c>
      <c r="J6096" s="73">
        <v>0</v>
      </c>
    </row>
    <row r="6097" spans="1:10">
      <c r="A6097" s="88" t="s">
        <v>108</v>
      </c>
      <c r="B6097" s="88" t="s">
        <v>125</v>
      </c>
      <c r="C6097" s="159">
        <v>0.77430555555555503</v>
      </c>
      <c r="D6097" s="73">
        <v>0</v>
      </c>
      <c r="E6097" s="73">
        <v>0</v>
      </c>
      <c r="F6097" s="73">
        <v>0</v>
      </c>
      <c r="G6097" s="73">
        <v>0</v>
      </c>
      <c r="H6097" s="73">
        <v>0</v>
      </c>
      <c r="I6097" s="73">
        <v>0</v>
      </c>
      <c r="J6097" s="73">
        <v>0</v>
      </c>
    </row>
    <row r="6098" spans="1:10">
      <c r="A6098" s="88" t="s">
        <v>108</v>
      </c>
      <c r="B6098" s="88" t="s">
        <v>125</v>
      </c>
      <c r="C6098" s="159">
        <v>0.77500000000000002</v>
      </c>
      <c r="D6098" s="73">
        <v>0</v>
      </c>
      <c r="E6098" s="73">
        <v>0</v>
      </c>
      <c r="F6098" s="73">
        <v>0</v>
      </c>
      <c r="G6098" s="73">
        <v>0</v>
      </c>
      <c r="H6098" s="73">
        <v>0</v>
      </c>
      <c r="I6098" s="73">
        <v>0</v>
      </c>
      <c r="J6098" s="73">
        <v>0</v>
      </c>
    </row>
    <row r="6099" spans="1:10">
      <c r="A6099" s="88" t="s">
        <v>108</v>
      </c>
      <c r="B6099" s="88" t="s">
        <v>125</v>
      </c>
      <c r="C6099" s="159">
        <v>0.77569444444444402</v>
      </c>
      <c r="D6099" s="73">
        <v>0</v>
      </c>
      <c r="E6099" s="73">
        <v>0</v>
      </c>
      <c r="F6099" s="73">
        <v>0</v>
      </c>
      <c r="G6099" s="73">
        <v>0</v>
      </c>
      <c r="H6099" s="73">
        <v>0</v>
      </c>
      <c r="I6099" s="73">
        <v>0</v>
      </c>
      <c r="J6099" s="73">
        <v>0</v>
      </c>
    </row>
    <row r="6100" spans="1:10">
      <c r="A6100" s="88" t="s">
        <v>108</v>
      </c>
      <c r="B6100" s="88" t="s">
        <v>125</v>
      </c>
      <c r="C6100" s="159">
        <v>0.77638888888888902</v>
      </c>
      <c r="D6100" s="73">
        <v>0</v>
      </c>
      <c r="E6100" s="73">
        <v>0</v>
      </c>
      <c r="F6100" s="73">
        <v>0</v>
      </c>
      <c r="G6100" s="73">
        <v>0</v>
      </c>
      <c r="H6100" s="73">
        <v>0</v>
      </c>
      <c r="I6100" s="73">
        <v>0</v>
      </c>
      <c r="J6100" s="73">
        <v>0</v>
      </c>
    </row>
    <row r="6101" spans="1:10">
      <c r="A6101" s="88" t="s">
        <v>108</v>
      </c>
      <c r="B6101" s="88" t="s">
        <v>125</v>
      </c>
      <c r="C6101" s="159">
        <v>0.77708333333333302</v>
      </c>
      <c r="D6101" s="73">
        <v>0</v>
      </c>
      <c r="E6101" s="73">
        <v>0</v>
      </c>
      <c r="F6101" s="73">
        <v>0</v>
      </c>
      <c r="G6101" s="73">
        <v>0</v>
      </c>
      <c r="H6101" s="73">
        <v>0</v>
      </c>
      <c r="I6101" s="73">
        <v>0</v>
      </c>
      <c r="J6101" s="73">
        <v>0</v>
      </c>
    </row>
    <row r="6102" spans="1:10">
      <c r="A6102" s="88" t="s">
        <v>108</v>
      </c>
      <c r="B6102" s="88" t="s">
        <v>125</v>
      </c>
      <c r="C6102" s="159">
        <v>0.77777777777777801</v>
      </c>
      <c r="D6102" s="73">
        <v>0</v>
      </c>
      <c r="E6102" s="73">
        <v>0</v>
      </c>
      <c r="F6102" s="73">
        <v>0</v>
      </c>
      <c r="G6102" s="73">
        <v>0</v>
      </c>
      <c r="H6102" s="73">
        <v>0</v>
      </c>
      <c r="I6102" s="73">
        <v>0</v>
      </c>
      <c r="J6102" s="73">
        <v>0</v>
      </c>
    </row>
    <row r="6103" spans="1:10">
      <c r="A6103" s="88" t="s">
        <v>108</v>
      </c>
      <c r="B6103" s="88" t="s">
        <v>125</v>
      </c>
      <c r="C6103" s="159">
        <v>0.77847222222222201</v>
      </c>
      <c r="D6103" s="73">
        <v>0</v>
      </c>
      <c r="E6103" s="73">
        <v>0</v>
      </c>
      <c r="F6103" s="73">
        <v>0</v>
      </c>
      <c r="G6103" s="73">
        <v>0</v>
      </c>
      <c r="H6103" s="73">
        <v>0</v>
      </c>
      <c r="I6103" s="73">
        <v>0</v>
      </c>
      <c r="J6103" s="73">
        <v>0</v>
      </c>
    </row>
    <row r="6104" spans="1:10">
      <c r="A6104" s="88" t="s">
        <v>108</v>
      </c>
      <c r="B6104" s="88" t="s">
        <v>125</v>
      </c>
      <c r="C6104" s="159">
        <v>0.77916666666666601</v>
      </c>
      <c r="D6104" s="73">
        <v>0</v>
      </c>
      <c r="E6104" s="73">
        <v>0</v>
      </c>
      <c r="F6104" s="73">
        <v>0</v>
      </c>
      <c r="G6104" s="73">
        <v>0</v>
      </c>
      <c r="H6104" s="73">
        <v>0</v>
      </c>
      <c r="I6104" s="73">
        <v>0</v>
      </c>
      <c r="J6104" s="73">
        <v>0</v>
      </c>
    </row>
    <row r="6105" spans="1:10">
      <c r="A6105" s="88" t="s">
        <v>108</v>
      </c>
      <c r="B6105" s="88" t="s">
        <v>125</v>
      </c>
      <c r="C6105" s="159">
        <v>0.77986111111111101</v>
      </c>
      <c r="D6105" s="73">
        <v>0</v>
      </c>
      <c r="E6105" s="73">
        <v>0</v>
      </c>
      <c r="F6105" s="73">
        <v>0</v>
      </c>
      <c r="G6105" s="73">
        <v>0</v>
      </c>
      <c r="H6105" s="73">
        <v>0</v>
      </c>
      <c r="I6105" s="73">
        <v>0</v>
      </c>
      <c r="J6105" s="73">
        <v>0</v>
      </c>
    </row>
    <row r="6106" spans="1:10" s="80" customFormat="1">
      <c r="A6106" s="91" t="s">
        <v>108</v>
      </c>
      <c r="B6106" s="91" t="s">
        <v>125</v>
      </c>
      <c r="C6106" s="161">
        <v>0.780555555555555</v>
      </c>
      <c r="D6106" s="73">
        <v>0</v>
      </c>
      <c r="E6106" s="73">
        <v>0</v>
      </c>
      <c r="F6106" s="73">
        <v>0</v>
      </c>
      <c r="G6106" s="73">
        <v>0</v>
      </c>
      <c r="H6106" s="73">
        <v>0</v>
      </c>
      <c r="I6106" s="73">
        <v>0</v>
      </c>
      <c r="J6106" s="73">
        <v>0</v>
      </c>
    </row>
    <row r="6107" spans="1:10">
      <c r="A6107" s="88" t="s">
        <v>108</v>
      </c>
      <c r="B6107" s="88" t="s">
        <v>125</v>
      </c>
      <c r="C6107" s="159">
        <v>0.78125</v>
      </c>
      <c r="D6107" s="164">
        <v>0</v>
      </c>
      <c r="E6107" s="164">
        <v>0</v>
      </c>
      <c r="F6107" s="164">
        <v>0</v>
      </c>
      <c r="G6107" s="164">
        <v>0</v>
      </c>
      <c r="H6107" s="164">
        <v>0</v>
      </c>
      <c r="I6107" s="164">
        <v>0</v>
      </c>
      <c r="J6107" s="164">
        <v>0</v>
      </c>
    </row>
    <row r="6108" spans="1:10">
      <c r="A6108" s="88" t="s">
        <v>108</v>
      </c>
      <c r="B6108" s="88" t="s">
        <v>125</v>
      </c>
      <c r="C6108" s="159">
        <v>0.781944444444444</v>
      </c>
      <c r="D6108" s="73">
        <v>0</v>
      </c>
      <c r="E6108" s="73">
        <v>0</v>
      </c>
      <c r="F6108" s="73">
        <v>0</v>
      </c>
      <c r="G6108" s="73">
        <v>0</v>
      </c>
      <c r="H6108" s="73">
        <v>0</v>
      </c>
      <c r="I6108" s="73">
        <v>0</v>
      </c>
      <c r="J6108" s="73">
        <v>0</v>
      </c>
    </row>
    <row r="6109" spans="1:10">
      <c r="A6109" s="88" t="s">
        <v>108</v>
      </c>
      <c r="B6109" s="88" t="s">
        <v>125</v>
      </c>
      <c r="C6109" s="159">
        <v>0.78263888888888899</v>
      </c>
      <c r="D6109" s="73">
        <v>0</v>
      </c>
      <c r="E6109" s="73">
        <v>0</v>
      </c>
      <c r="F6109" s="73">
        <v>0</v>
      </c>
      <c r="G6109" s="73">
        <v>0</v>
      </c>
      <c r="H6109" s="73">
        <v>0</v>
      </c>
      <c r="I6109" s="73">
        <v>0</v>
      </c>
      <c r="J6109" s="73">
        <v>0</v>
      </c>
    </row>
    <row r="6110" spans="1:10">
      <c r="A6110" s="88" t="s">
        <v>108</v>
      </c>
      <c r="B6110" s="88" t="s">
        <v>125</v>
      </c>
      <c r="C6110" s="159">
        <v>0.78333333333333299</v>
      </c>
      <c r="D6110" s="73">
        <v>0</v>
      </c>
      <c r="E6110" s="73">
        <v>0</v>
      </c>
      <c r="F6110" s="73">
        <v>0</v>
      </c>
      <c r="G6110" s="73">
        <v>0</v>
      </c>
      <c r="H6110" s="73">
        <v>0</v>
      </c>
      <c r="I6110" s="73">
        <v>0</v>
      </c>
      <c r="J6110" s="73">
        <v>0</v>
      </c>
    </row>
    <row r="6111" spans="1:10">
      <c r="A6111" s="88" t="s">
        <v>108</v>
      </c>
      <c r="B6111" s="88" t="s">
        <v>125</v>
      </c>
      <c r="C6111" s="159">
        <v>0.78402777777777799</v>
      </c>
      <c r="D6111" s="73">
        <v>0</v>
      </c>
      <c r="E6111" s="73">
        <v>0</v>
      </c>
      <c r="F6111" s="73">
        <v>0</v>
      </c>
      <c r="G6111" s="73">
        <v>0</v>
      </c>
      <c r="H6111" s="73">
        <v>0</v>
      </c>
      <c r="I6111" s="73">
        <v>0</v>
      </c>
      <c r="J6111" s="73">
        <v>0</v>
      </c>
    </row>
    <row r="6112" spans="1:10">
      <c r="A6112" s="88" t="s">
        <v>108</v>
      </c>
      <c r="B6112" s="88" t="s">
        <v>125</v>
      </c>
      <c r="C6112" s="159">
        <v>0.78472222222222199</v>
      </c>
      <c r="D6112" s="73">
        <v>0</v>
      </c>
      <c r="E6112" s="73">
        <v>0</v>
      </c>
      <c r="F6112" s="73">
        <v>0</v>
      </c>
      <c r="G6112" s="73">
        <v>0</v>
      </c>
      <c r="H6112" s="73">
        <v>0</v>
      </c>
      <c r="I6112" s="73">
        <v>0</v>
      </c>
      <c r="J6112" s="73">
        <v>0</v>
      </c>
    </row>
    <row r="6113" spans="1:10">
      <c r="A6113" s="88" t="s">
        <v>108</v>
      </c>
      <c r="B6113" s="88" t="s">
        <v>125</v>
      </c>
      <c r="C6113" s="159">
        <v>0.78541666666666599</v>
      </c>
      <c r="D6113" s="73">
        <v>0</v>
      </c>
      <c r="E6113" s="73">
        <v>0</v>
      </c>
      <c r="F6113" s="73">
        <v>0</v>
      </c>
      <c r="G6113" s="73">
        <v>0</v>
      </c>
      <c r="H6113" s="73">
        <v>0</v>
      </c>
      <c r="I6113" s="73">
        <v>0</v>
      </c>
      <c r="J6113" s="73">
        <v>0</v>
      </c>
    </row>
    <row r="6114" spans="1:10">
      <c r="A6114" s="88" t="s">
        <v>108</v>
      </c>
      <c r="B6114" s="88" t="s">
        <v>125</v>
      </c>
      <c r="C6114" s="159">
        <v>0.78611111111111098</v>
      </c>
      <c r="D6114" s="73">
        <v>0</v>
      </c>
      <c r="E6114" s="73">
        <v>0</v>
      </c>
      <c r="F6114" s="73">
        <v>0</v>
      </c>
      <c r="G6114" s="73">
        <v>0</v>
      </c>
      <c r="H6114" s="73">
        <v>0</v>
      </c>
      <c r="I6114" s="73">
        <v>0</v>
      </c>
      <c r="J6114" s="73">
        <v>0</v>
      </c>
    </row>
    <row r="6115" spans="1:10">
      <c r="A6115" s="88" t="s">
        <v>108</v>
      </c>
      <c r="B6115" s="88" t="s">
        <v>125</v>
      </c>
      <c r="C6115" s="159">
        <v>0.78680555555555498</v>
      </c>
      <c r="D6115" s="73">
        <v>0</v>
      </c>
      <c r="E6115" s="73">
        <v>0</v>
      </c>
      <c r="F6115" s="73">
        <v>0</v>
      </c>
      <c r="G6115" s="73">
        <v>0</v>
      </c>
      <c r="H6115" s="73">
        <v>0</v>
      </c>
      <c r="I6115" s="73">
        <v>0</v>
      </c>
      <c r="J6115" s="73">
        <v>0</v>
      </c>
    </row>
    <row r="6116" spans="1:10">
      <c r="A6116" s="88" t="s">
        <v>108</v>
      </c>
      <c r="B6116" s="88" t="s">
        <v>125</v>
      </c>
      <c r="C6116" s="159">
        <v>0.78749999999999998</v>
      </c>
      <c r="D6116" s="73">
        <v>0</v>
      </c>
      <c r="E6116" s="73">
        <v>0</v>
      </c>
      <c r="F6116" s="73">
        <v>0</v>
      </c>
      <c r="G6116" s="73">
        <v>0</v>
      </c>
      <c r="H6116" s="73">
        <v>0</v>
      </c>
      <c r="I6116" s="73">
        <v>0</v>
      </c>
      <c r="J6116" s="73">
        <v>0</v>
      </c>
    </row>
    <row r="6117" spans="1:10">
      <c r="A6117" s="88" t="s">
        <v>108</v>
      </c>
      <c r="B6117" s="88" t="s">
        <v>125</v>
      </c>
      <c r="C6117" s="159">
        <v>0.78819444444444398</v>
      </c>
      <c r="D6117" s="73">
        <v>0</v>
      </c>
      <c r="E6117" s="73">
        <v>0</v>
      </c>
      <c r="F6117" s="73">
        <v>0</v>
      </c>
      <c r="G6117" s="73">
        <v>0</v>
      </c>
      <c r="H6117" s="73">
        <v>0</v>
      </c>
      <c r="I6117" s="73">
        <v>0</v>
      </c>
      <c r="J6117" s="73">
        <v>0</v>
      </c>
    </row>
    <row r="6118" spans="1:10">
      <c r="A6118" s="88" t="s">
        <v>108</v>
      </c>
      <c r="B6118" s="88" t="s">
        <v>125</v>
      </c>
      <c r="C6118" s="159">
        <v>0.78888888888888897</v>
      </c>
      <c r="D6118" s="73">
        <v>0</v>
      </c>
      <c r="E6118" s="73">
        <v>0</v>
      </c>
      <c r="F6118" s="73">
        <v>0</v>
      </c>
      <c r="G6118" s="73">
        <v>0</v>
      </c>
      <c r="H6118" s="73">
        <v>0</v>
      </c>
      <c r="I6118" s="73">
        <v>0</v>
      </c>
      <c r="J6118" s="73">
        <v>0</v>
      </c>
    </row>
    <row r="6119" spans="1:10">
      <c r="A6119" s="88" t="s">
        <v>108</v>
      </c>
      <c r="B6119" s="88" t="s">
        <v>125</v>
      </c>
      <c r="C6119" s="159">
        <v>0.78958333333333297</v>
      </c>
      <c r="D6119" s="73">
        <v>0</v>
      </c>
      <c r="E6119" s="73">
        <v>0</v>
      </c>
      <c r="F6119" s="73">
        <v>0</v>
      </c>
      <c r="G6119" s="73">
        <v>0</v>
      </c>
      <c r="H6119" s="73">
        <v>0</v>
      </c>
      <c r="I6119" s="73">
        <v>0</v>
      </c>
      <c r="J6119" s="73">
        <v>0</v>
      </c>
    </row>
    <row r="6120" spans="1:10">
      <c r="A6120" s="88" t="s">
        <v>108</v>
      </c>
      <c r="B6120" s="88" t="s">
        <v>125</v>
      </c>
      <c r="C6120" s="159">
        <v>0.79027777777777797</v>
      </c>
      <c r="D6120" s="73">
        <v>0</v>
      </c>
      <c r="E6120" s="73">
        <v>0</v>
      </c>
      <c r="F6120" s="73">
        <v>0</v>
      </c>
      <c r="G6120" s="73">
        <v>0</v>
      </c>
      <c r="H6120" s="73">
        <v>0</v>
      </c>
      <c r="I6120" s="73">
        <v>0</v>
      </c>
      <c r="J6120" s="73">
        <v>0</v>
      </c>
    </row>
    <row r="6121" spans="1:10" s="28" customFormat="1" ht="17.5" thickBot="1">
      <c r="A6121" s="103" t="s">
        <v>108</v>
      </c>
      <c r="B6121" s="103" t="s">
        <v>125</v>
      </c>
      <c r="C6121" s="160">
        <v>0.83194444444444504</v>
      </c>
      <c r="D6121" s="165">
        <v>0</v>
      </c>
      <c r="E6121" s="165">
        <v>0</v>
      </c>
      <c r="F6121" s="165">
        <v>0</v>
      </c>
      <c r="G6121" s="165">
        <v>0</v>
      </c>
      <c r="H6121" s="165">
        <v>0</v>
      </c>
      <c r="I6121" s="165">
        <v>0</v>
      </c>
      <c r="J6121" s="165">
        <v>0</v>
      </c>
    </row>
    <row r="6122" spans="1:10" s="225" customFormat="1">
      <c r="A6122" s="222" t="s">
        <v>179</v>
      </c>
      <c r="B6122" s="222" t="s">
        <v>34</v>
      </c>
      <c r="C6122" s="236">
        <v>0.66666666666666663</v>
      </c>
      <c r="D6122" s="237">
        <v>0</v>
      </c>
      <c r="E6122" s="237">
        <v>0</v>
      </c>
      <c r="F6122" s="237">
        <v>0</v>
      </c>
      <c r="G6122" s="237">
        <v>0</v>
      </c>
      <c r="H6122" s="237">
        <v>0</v>
      </c>
      <c r="I6122" s="237">
        <v>0</v>
      </c>
      <c r="J6122" s="237">
        <v>0</v>
      </c>
    </row>
    <row r="6123" spans="1:10" s="225" customFormat="1">
      <c r="A6123" s="222" t="s">
        <v>179</v>
      </c>
      <c r="B6123" s="222" t="s">
        <v>34</v>
      </c>
      <c r="C6123" s="236">
        <v>0.66736111111111107</v>
      </c>
      <c r="D6123" s="237">
        <v>0</v>
      </c>
      <c r="E6123" s="237">
        <v>0</v>
      </c>
      <c r="F6123" s="237">
        <v>0</v>
      </c>
      <c r="G6123" s="237">
        <v>0</v>
      </c>
      <c r="H6123" s="237">
        <v>0</v>
      </c>
      <c r="I6123" s="237">
        <v>0</v>
      </c>
      <c r="J6123" s="237">
        <v>0</v>
      </c>
    </row>
    <row r="6124" spans="1:10" s="225" customFormat="1">
      <c r="A6124" s="222" t="s">
        <v>179</v>
      </c>
      <c r="B6124" s="222" t="s">
        <v>34</v>
      </c>
      <c r="C6124" s="236">
        <v>0.66805555555555596</v>
      </c>
      <c r="D6124" s="237">
        <v>0</v>
      </c>
      <c r="E6124" s="237">
        <v>0</v>
      </c>
      <c r="F6124" s="237">
        <v>0</v>
      </c>
      <c r="G6124" s="237">
        <v>0</v>
      </c>
      <c r="H6124" s="237">
        <v>0</v>
      </c>
      <c r="I6124" s="237">
        <v>0</v>
      </c>
      <c r="J6124" s="237">
        <v>0</v>
      </c>
    </row>
    <row r="6125" spans="1:10" s="225" customFormat="1">
      <c r="A6125" s="222" t="s">
        <v>179</v>
      </c>
      <c r="B6125" s="222" t="s">
        <v>34</v>
      </c>
      <c r="C6125" s="236">
        <v>0.66874999999999996</v>
      </c>
      <c r="D6125" s="237">
        <v>0</v>
      </c>
      <c r="E6125" s="237">
        <v>0</v>
      </c>
      <c r="F6125" s="237">
        <v>0</v>
      </c>
      <c r="G6125" s="237">
        <v>0</v>
      </c>
      <c r="H6125" s="237">
        <v>0</v>
      </c>
      <c r="I6125" s="237">
        <v>0</v>
      </c>
      <c r="J6125" s="237">
        <v>0</v>
      </c>
    </row>
    <row r="6126" spans="1:10" s="225" customFormat="1">
      <c r="A6126" s="222" t="s">
        <v>179</v>
      </c>
      <c r="B6126" s="222" t="s">
        <v>34</v>
      </c>
      <c r="C6126" s="236">
        <v>0.66944444444444395</v>
      </c>
      <c r="D6126" s="237">
        <v>0</v>
      </c>
      <c r="E6126" s="237">
        <v>0</v>
      </c>
      <c r="F6126" s="237">
        <v>0</v>
      </c>
      <c r="G6126" s="237">
        <v>0</v>
      </c>
      <c r="H6126" s="237">
        <v>0</v>
      </c>
      <c r="I6126" s="237">
        <v>0</v>
      </c>
      <c r="J6126" s="237">
        <v>0</v>
      </c>
    </row>
    <row r="6127" spans="1:10" s="225" customFormat="1">
      <c r="A6127" s="222" t="s">
        <v>179</v>
      </c>
      <c r="B6127" s="222" t="s">
        <v>34</v>
      </c>
      <c r="C6127" s="236">
        <v>0.67013888888888895</v>
      </c>
      <c r="D6127" s="237">
        <v>0</v>
      </c>
      <c r="E6127" s="237">
        <v>0</v>
      </c>
      <c r="F6127" s="237">
        <v>0</v>
      </c>
      <c r="G6127" s="237">
        <v>0</v>
      </c>
      <c r="H6127" s="237">
        <v>0</v>
      </c>
      <c r="I6127" s="237">
        <v>0</v>
      </c>
      <c r="J6127" s="237">
        <v>0</v>
      </c>
    </row>
    <row r="6128" spans="1:10" s="225" customFormat="1">
      <c r="A6128" s="222" t="s">
        <v>179</v>
      </c>
      <c r="B6128" s="222" t="s">
        <v>34</v>
      </c>
      <c r="C6128" s="236">
        <v>0.67083333333333295</v>
      </c>
      <c r="D6128" s="237">
        <v>0</v>
      </c>
      <c r="E6128" s="237">
        <v>0</v>
      </c>
      <c r="F6128" s="237">
        <v>0</v>
      </c>
      <c r="G6128" s="237">
        <v>0</v>
      </c>
      <c r="H6128" s="237">
        <v>0</v>
      </c>
      <c r="I6128" s="237">
        <v>0</v>
      </c>
      <c r="J6128" s="237">
        <v>0</v>
      </c>
    </row>
    <row r="6129" spans="1:10" s="225" customFormat="1">
      <c r="A6129" s="222" t="s">
        <v>179</v>
      </c>
      <c r="B6129" s="222" t="s">
        <v>34</v>
      </c>
      <c r="C6129" s="236">
        <v>0.67152777777777795</v>
      </c>
      <c r="D6129" s="237">
        <v>0</v>
      </c>
      <c r="E6129" s="237">
        <v>0</v>
      </c>
      <c r="F6129" s="237">
        <v>0</v>
      </c>
      <c r="G6129" s="237">
        <v>0</v>
      </c>
      <c r="H6129" s="237">
        <v>0</v>
      </c>
      <c r="I6129" s="237">
        <v>0</v>
      </c>
      <c r="J6129" s="237">
        <v>0</v>
      </c>
    </row>
    <row r="6130" spans="1:10" s="225" customFormat="1">
      <c r="A6130" s="222" t="s">
        <v>179</v>
      </c>
      <c r="B6130" s="222" t="s">
        <v>34</v>
      </c>
      <c r="C6130" s="236">
        <v>0.67222222222222205</v>
      </c>
      <c r="D6130" s="237">
        <v>0</v>
      </c>
      <c r="E6130" s="237">
        <v>0</v>
      </c>
      <c r="F6130" s="237">
        <v>0</v>
      </c>
      <c r="G6130" s="237">
        <v>0</v>
      </c>
      <c r="H6130" s="237">
        <v>0</v>
      </c>
      <c r="I6130" s="237">
        <v>0</v>
      </c>
      <c r="J6130" s="237">
        <v>0</v>
      </c>
    </row>
    <row r="6131" spans="1:10" s="225" customFormat="1">
      <c r="A6131" s="222" t="s">
        <v>179</v>
      </c>
      <c r="B6131" s="222" t="s">
        <v>34</v>
      </c>
      <c r="C6131" s="236">
        <v>0.67291666666666705</v>
      </c>
      <c r="D6131" s="237">
        <v>0</v>
      </c>
      <c r="E6131" s="237">
        <v>0</v>
      </c>
      <c r="F6131" s="237">
        <v>0</v>
      </c>
      <c r="G6131" s="237">
        <v>0</v>
      </c>
      <c r="H6131" s="237">
        <v>0</v>
      </c>
      <c r="I6131" s="237">
        <v>0</v>
      </c>
      <c r="J6131" s="237">
        <v>0</v>
      </c>
    </row>
    <row r="6132" spans="1:10" s="225" customFormat="1">
      <c r="A6132" s="222" t="s">
        <v>179</v>
      </c>
      <c r="B6132" s="222" t="s">
        <v>34</v>
      </c>
      <c r="C6132" s="236">
        <v>0.67361111111111105</v>
      </c>
      <c r="D6132" s="237">
        <v>0</v>
      </c>
      <c r="E6132" s="237">
        <v>0</v>
      </c>
      <c r="F6132" s="237">
        <v>0</v>
      </c>
      <c r="G6132" s="237">
        <v>0</v>
      </c>
      <c r="H6132" s="237">
        <v>0</v>
      </c>
      <c r="I6132" s="237">
        <v>0</v>
      </c>
      <c r="J6132" s="237">
        <v>0</v>
      </c>
    </row>
    <row r="6133" spans="1:10" s="225" customFormat="1">
      <c r="A6133" s="222" t="s">
        <v>179</v>
      </c>
      <c r="B6133" s="222" t="s">
        <v>34</v>
      </c>
      <c r="C6133" s="236">
        <v>0.67430555555555505</v>
      </c>
      <c r="D6133" s="237">
        <v>0</v>
      </c>
      <c r="E6133" s="237">
        <v>0</v>
      </c>
      <c r="F6133" s="237">
        <v>0</v>
      </c>
      <c r="G6133" s="237">
        <v>0</v>
      </c>
      <c r="H6133" s="237">
        <v>0</v>
      </c>
      <c r="I6133" s="237">
        <v>0</v>
      </c>
      <c r="J6133" s="237">
        <v>0</v>
      </c>
    </row>
    <row r="6134" spans="1:10" s="225" customFormat="1">
      <c r="A6134" s="222" t="s">
        <v>179</v>
      </c>
      <c r="B6134" s="222" t="s">
        <v>34</v>
      </c>
      <c r="C6134" s="236">
        <v>0.67500000000000004</v>
      </c>
      <c r="D6134" s="237">
        <v>0</v>
      </c>
      <c r="E6134" s="237">
        <v>0</v>
      </c>
      <c r="F6134" s="237">
        <v>0</v>
      </c>
      <c r="G6134" s="237">
        <v>0</v>
      </c>
      <c r="H6134" s="237">
        <v>0</v>
      </c>
      <c r="I6134" s="237">
        <v>0</v>
      </c>
      <c r="J6134" s="237">
        <v>0</v>
      </c>
    </row>
    <row r="6135" spans="1:10" s="225" customFormat="1">
      <c r="A6135" s="222" t="s">
        <v>179</v>
      </c>
      <c r="B6135" s="222" t="s">
        <v>34</v>
      </c>
      <c r="C6135" s="236">
        <v>0.67569444444444404</v>
      </c>
      <c r="D6135" s="237">
        <v>0</v>
      </c>
      <c r="E6135" s="237">
        <v>0</v>
      </c>
      <c r="F6135" s="237">
        <v>0</v>
      </c>
      <c r="G6135" s="237">
        <v>0</v>
      </c>
      <c r="H6135" s="237">
        <v>0</v>
      </c>
      <c r="I6135" s="237">
        <v>0</v>
      </c>
      <c r="J6135" s="237">
        <v>0</v>
      </c>
    </row>
    <row r="6136" spans="1:10" s="229" customFormat="1">
      <c r="A6136" s="226" t="s">
        <v>179</v>
      </c>
      <c r="B6136" s="226" t="s">
        <v>34</v>
      </c>
      <c r="C6136" s="238">
        <v>0.67638888888888904</v>
      </c>
      <c r="D6136" s="239">
        <v>0</v>
      </c>
      <c r="E6136" s="239">
        <v>0</v>
      </c>
      <c r="F6136" s="239">
        <v>0</v>
      </c>
      <c r="G6136" s="239">
        <v>0</v>
      </c>
      <c r="H6136" s="239">
        <v>0</v>
      </c>
      <c r="I6136" s="239">
        <v>0</v>
      </c>
      <c r="J6136" s="239">
        <v>0</v>
      </c>
    </row>
    <row r="6137" spans="1:10" s="225" customFormat="1">
      <c r="A6137" s="222" t="s">
        <v>179</v>
      </c>
      <c r="B6137" s="222" t="s">
        <v>34</v>
      </c>
      <c r="C6137" s="236">
        <v>0.67708333333333304</v>
      </c>
      <c r="D6137" s="237">
        <v>0</v>
      </c>
      <c r="E6137" s="237">
        <v>0</v>
      </c>
      <c r="F6137" s="237">
        <v>0</v>
      </c>
      <c r="G6137" s="237">
        <v>0</v>
      </c>
      <c r="H6137" s="237">
        <v>0</v>
      </c>
      <c r="I6137" s="237">
        <v>0</v>
      </c>
      <c r="J6137" s="237">
        <v>0</v>
      </c>
    </row>
    <row r="6138" spans="1:10" s="225" customFormat="1">
      <c r="A6138" s="222" t="s">
        <v>179</v>
      </c>
      <c r="B6138" s="222" t="s">
        <v>34</v>
      </c>
      <c r="C6138" s="236">
        <v>0.67777777777777803</v>
      </c>
      <c r="D6138" s="237">
        <v>0</v>
      </c>
      <c r="E6138" s="237">
        <v>0</v>
      </c>
      <c r="F6138" s="237">
        <v>0</v>
      </c>
      <c r="G6138" s="237">
        <v>0</v>
      </c>
      <c r="H6138" s="237">
        <v>0</v>
      </c>
      <c r="I6138" s="237">
        <v>0</v>
      </c>
      <c r="J6138" s="237">
        <v>0</v>
      </c>
    </row>
    <row r="6139" spans="1:10" s="225" customFormat="1">
      <c r="A6139" s="222" t="s">
        <v>179</v>
      </c>
      <c r="B6139" s="222" t="s">
        <v>34</v>
      </c>
      <c r="C6139" s="236">
        <v>0.67847222222222203</v>
      </c>
      <c r="D6139" s="237">
        <v>0</v>
      </c>
      <c r="E6139" s="237">
        <v>0</v>
      </c>
      <c r="F6139" s="237">
        <v>0</v>
      </c>
      <c r="G6139" s="237">
        <v>0</v>
      </c>
      <c r="H6139" s="237">
        <v>0</v>
      </c>
      <c r="I6139" s="237">
        <v>0</v>
      </c>
      <c r="J6139" s="237">
        <v>0</v>
      </c>
    </row>
    <row r="6140" spans="1:10" s="225" customFormat="1">
      <c r="A6140" s="222" t="s">
        <v>179</v>
      </c>
      <c r="B6140" s="222" t="s">
        <v>34</v>
      </c>
      <c r="C6140" s="236">
        <v>0.67916666666666703</v>
      </c>
      <c r="D6140" s="237">
        <v>0</v>
      </c>
      <c r="E6140" s="237">
        <v>0</v>
      </c>
      <c r="F6140" s="237">
        <v>0</v>
      </c>
      <c r="G6140" s="237">
        <v>0</v>
      </c>
      <c r="H6140" s="237">
        <v>0</v>
      </c>
      <c r="I6140" s="237">
        <v>0</v>
      </c>
      <c r="J6140" s="237">
        <v>0</v>
      </c>
    </row>
    <row r="6141" spans="1:10" s="225" customFormat="1">
      <c r="A6141" s="222" t="s">
        <v>179</v>
      </c>
      <c r="B6141" s="222" t="s">
        <v>34</v>
      </c>
      <c r="C6141" s="236">
        <v>0.67986111111111103</v>
      </c>
      <c r="D6141" s="237">
        <v>0</v>
      </c>
      <c r="E6141" s="237">
        <v>0</v>
      </c>
      <c r="F6141" s="237">
        <v>0</v>
      </c>
      <c r="G6141" s="237">
        <v>0</v>
      </c>
      <c r="H6141" s="237">
        <v>0</v>
      </c>
      <c r="I6141" s="237">
        <v>0</v>
      </c>
      <c r="J6141" s="237">
        <v>0</v>
      </c>
    </row>
    <row r="6142" spans="1:10" s="225" customFormat="1">
      <c r="A6142" s="222" t="s">
        <v>179</v>
      </c>
      <c r="B6142" s="222" t="s">
        <v>34</v>
      </c>
      <c r="C6142" s="236">
        <v>0.68055555555555503</v>
      </c>
      <c r="D6142" s="237">
        <v>0</v>
      </c>
      <c r="E6142" s="237">
        <v>0</v>
      </c>
      <c r="F6142" s="237">
        <v>0</v>
      </c>
      <c r="G6142" s="237">
        <v>0</v>
      </c>
      <c r="H6142" s="237">
        <v>0</v>
      </c>
      <c r="I6142" s="237">
        <v>0</v>
      </c>
      <c r="J6142" s="237">
        <v>0</v>
      </c>
    </row>
    <row r="6143" spans="1:10" s="225" customFormat="1">
      <c r="A6143" s="222" t="s">
        <v>179</v>
      </c>
      <c r="B6143" s="222" t="s">
        <v>34</v>
      </c>
      <c r="C6143" s="236">
        <v>0.68125000000000002</v>
      </c>
      <c r="D6143" s="237">
        <v>0</v>
      </c>
      <c r="E6143" s="237">
        <v>0</v>
      </c>
      <c r="F6143" s="237">
        <v>0</v>
      </c>
      <c r="G6143" s="237">
        <v>0</v>
      </c>
      <c r="H6143" s="237">
        <v>0</v>
      </c>
      <c r="I6143" s="237">
        <v>0</v>
      </c>
      <c r="J6143" s="237">
        <v>0</v>
      </c>
    </row>
    <row r="6144" spans="1:10" s="225" customFormat="1">
      <c r="A6144" s="222" t="s">
        <v>179</v>
      </c>
      <c r="B6144" s="222" t="s">
        <v>34</v>
      </c>
      <c r="C6144" s="236">
        <v>0.68194444444444402</v>
      </c>
      <c r="D6144" s="237">
        <v>0</v>
      </c>
      <c r="E6144" s="237">
        <v>0</v>
      </c>
      <c r="F6144" s="237">
        <v>0</v>
      </c>
      <c r="G6144" s="237">
        <v>0</v>
      </c>
      <c r="H6144" s="237">
        <v>0</v>
      </c>
      <c r="I6144" s="237">
        <v>0</v>
      </c>
      <c r="J6144" s="237">
        <v>0</v>
      </c>
    </row>
    <row r="6145" spans="1:10" s="225" customFormat="1">
      <c r="A6145" s="222" t="s">
        <v>179</v>
      </c>
      <c r="B6145" s="222" t="s">
        <v>34</v>
      </c>
      <c r="C6145" s="236">
        <v>0.68263888888888902</v>
      </c>
      <c r="D6145" s="237">
        <v>0</v>
      </c>
      <c r="E6145" s="237">
        <v>0</v>
      </c>
      <c r="F6145" s="237">
        <v>0</v>
      </c>
      <c r="G6145" s="237">
        <v>0</v>
      </c>
      <c r="H6145" s="237">
        <v>0</v>
      </c>
      <c r="I6145" s="237">
        <v>0</v>
      </c>
      <c r="J6145" s="237">
        <v>0</v>
      </c>
    </row>
    <row r="6146" spans="1:10" s="225" customFormat="1">
      <c r="A6146" s="222" t="s">
        <v>179</v>
      </c>
      <c r="B6146" s="222" t="s">
        <v>34</v>
      </c>
      <c r="C6146" s="236">
        <v>0.68333333333333302</v>
      </c>
      <c r="D6146" s="237">
        <v>0</v>
      </c>
      <c r="E6146" s="237">
        <v>0</v>
      </c>
      <c r="F6146" s="237">
        <v>0</v>
      </c>
      <c r="G6146" s="237">
        <v>0</v>
      </c>
      <c r="H6146" s="237">
        <v>0</v>
      </c>
      <c r="I6146" s="237">
        <v>0</v>
      </c>
      <c r="J6146" s="237">
        <v>0</v>
      </c>
    </row>
    <row r="6147" spans="1:10" s="225" customFormat="1">
      <c r="A6147" s="222" t="s">
        <v>179</v>
      </c>
      <c r="B6147" s="222" t="s">
        <v>34</v>
      </c>
      <c r="C6147" s="236">
        <v>0.68402777777777801</v>
      </c>
      <c r="D6147" s="237">
        <v>0</v>
      </c>
      <c r="E6147" s="237">
        <v>0</v>
      </c>
      <c r="F6147" s="237">
        <v>0</v>
      </c>
      <c r="G6147" s="237">
        <v>0</v>
      </c>
      <c r="H6147" s="237">
        <v>0</v>
      </c>
      <c r="I6147" s="237">
        <v>0</v>
      </c>
      <c r="J6147" s="237">
        <v>0</v>
      </c>
    </row>
    <row r="6148" spans="1:10" s="225" customFormat="1">
      <c r="A6148" s="222" t="s">
        <v>179</v>
      </c>
      <c r="B6148" s="222" t="s">
        <v>34</v>
      </c>
      <c r="C6148" s="236">
        <v>0.68472222222222201</v>
      </c>
      <c r="D6148" s="237">
        <v>0</v>
      </c>
      <c r="E6148" s="237">
        <v>0</v>
      </c>
      <c r="F6148" s="237">
        <v>0</v>
      </c>
      <c r="G6148" s="237">
        <v>0</v>
      </c>
      <c r="H6148" s="237">
        <v>0</v>
      </c>
      <c r="I6148" s="237">
        <v>0</v>
      </c>
      <c r="J6148" s="237">
        <v>0</v>
      </c>
    </row>
    <row r="6149" spans="1:10" s="225" customFormat="1">
      <c r="A6149" s="222" t="s">
        <v>179</v>
      </c>
      <c r="B6149" s="222" t="s">
        <v>34</v>
      </c>
      <c r="C6149" s="236">
        <v>0.68541666666666701</v>
      </c>
      <c r="D6149" s="237">
        <v>0</v>
      </c>
      <c r="E6149" s="237">
        <v>0</v>
      </c>
      <c r="F6149" s="237">
        <v>0</v>
      </c>
      <c r="G6149" s="237">
        <v>0</v>
      </c>
      <c r="H6149" s="237">
        <v>0</v>
      </c>
      <c r="I6149" s="237">
        <v>0</v>
      </c>
      <c r="J6149" s="237">
        <v>0</v>
      </c>
    </row>
    <row r="6150" spans="1:10" s="225" customFormat="1">
      <c r="A6150" s="222" t="s">
        <v>179</v>
      </c>
      <c r="B6150" s="222" t="s">
        <v>34</v>
      </c>
      <c r="C6150" s="236">
        <v>0.68611111111111101</v>
      </c>
      <c r="D6150" s="237">
        <v>0</v>
      </c>
      <c r="E6150" s="237">
        <v>0</v>
      </c>
      <c r="F6150" s="237">
        <v>0</v>
      </c>
      <c r="G6150" s="237">
        <v>0</v>
      </c>
      <c r="H6150" s="237">
        <v>0</v>
      </c>
      <c r="I6150" s="237">
        <v>0</v>
      </c>
      <c r="J6150" s="237">
        <v>0</v>
      </c>
    </row>
    <row r="6151" spans="1:10" s="229" customFormat="1">
      <c r="A6151" s="226" t="s">
        <v>179</v>
      </c>
      <c r="B6151" s="226" t="s">
        <v>34</v>
      </c>
      <c r="C6151" s="238">
        <v>0.686805555555555</v>
      </c>
      <c r="D6151" s="239">
        <v>0</v>
      </c>
      <c r="E6151" s="239">
        <v>0</v>
      </c>
      <c r="F6151" s="239">
        <v>0</v>
      </c>
      <c r="G6151" s="239">
        <v>0</v>
      </c>
      <c r="H6151" s="239">
        <v>0</v>
      </c>
      <c r="I6151" s="239">
        <v>0</v>
      </c>
      <c r="J6151" s="239">
        <v>0</v>
      </c>
    </row>
    <row r="6152" spans="1:10" s="225" customFormat="1">
      <c r="A6152" s="222" t="s">
        <v>179</v>
      </c>
      <c r="B6152" s="222" t="s">
        <v>34</v>
      </c>
      <c r="C6152" s="236">
        <v>0.6875</v>
      </c>
      <c r="D6152" s="237">
        <v>0</v>
      </c>
      <c r="E6152" s="237">
        <v>0</v>
      </c>
      <c r="F6152" s="237">
        <v>0</v>
      </c>
      <c r="G6152" s="237">
        <v>0</v>
      </c>
      <c r="H6152" s="237">
        <v>0</v>
      </c>
      <c r="I6152" s="237">
        <v>0</v>
      </c>
      <c r="J6152" s="237">
        <v>0</v>
      </c>
    </row>
    <row r="6153" spans="1:10" s="225" customFormat="1">
      <c r="A6153" s="222" t="s">
        <v>179</v>
      </c>
      <c r="B6153" s="222" t="s">
        <v>34</v>
      </c>
      <c r="C6153" s="236">
        <v>0.688194444444444</v>
      </c>
      <c r="D6153" s="237">
        <v>0</v>
      </c>
      <c r="E6153" s="237">
        <v>0</v>
      </c>
      <c r="F6153" s="237">
        <v>0</v>
      </c>
      <c r="G6153" s="237">
        <v>0</v>
      </c>
      <c r="H6153" s="237">
        <v>0</v>
      </c>
      <c r="I6153" s="237">
        <v>0</v>
      </c>
      <c r="J6153" s="237">
        <v>0</v>
      </c>
    </row>
    <row r="6154" spans="1:10" s="225" customFormat="1">
      <c r="A6154" s="222" t="s">
        <v>179</v>
      </c>
      <c r="B6154" s="222" t="s">
        <v>34</v>
      </c>
      <c r="C6154" s="236">
        <v>0.68888888888888899</v>
      </c>
      <c r="D6154" s="237">
        <v>0</v>
      </c>
      <c r="E6154" s="237">
        <v>0</v>
      </c>
      <c r="F6154" s="237">
        <v>0</v>
      </c>
      <c r="G6154" s="237">
        <v>0</v>
      </c>
      <c r="H6154" s="237">
        <v>0</v>
      </c>
      <c r="I6154" s="237">
        <v>0</v>
      </c>
      <c r="J6154" s="237">
        <v>0</v>
      </c>
    </row>
    <row r="6155" spans="1:10" s="225" customFormat="1">
      <c r="A6155" s="222" t="s">
        <v>179</v>
      </c>
      <c r="B6155" s="222" t="s">
        <v>34</v>
      </c>
      <c r="C6155" s="236">
        <v>0.68958333333333299</v>
      </c>
      <c r="D6155" s="237">
        <v>0</v>
      </c>
      <c r="E6155" s="237">
        <v>0</v>
      </c>
      <c r="F6155" s="237">
        <v>0</v>
      </c>
      <c r="G6155" s="237">
        <v>0</v>
      </c>
      <c r="H6155" s="237">
        <v>0</v>
      </c>
      <c r="I6155" s="237">
        <v>0</v>
      </c>
      <c r="J6155" s="237">
        <v>0</v>
      </c>
    </row>
    <row r="6156" spans="1:10" s="225" customFormat="1">
      <c r="A6156" s="222" t="s">
        <v>179</v>
      </c>
      <c r="B6156" s="222" t="s">
        <v>34</v>
      </c>
      <c r="C6156" s="236">
        <v>0.69027777777777799</v>
      </c>
      <c r="D6156" s="237">
        <v>0</v>
      </c>
      <c r="E6156" s="237">
        <v>0</v>
      </c>
      <c r="F6156" s="237">
        <v>0</v>
      </c>
      <c r="G6156" s="237">
        <v>0</v>
      </c>
      <c r="H6156" s="237">
        <v>0</v>
      </c>
      <c r="I6156" s="237">
        <v>0</v>
      </c>
      <c r="J6156" s="237">
        <v>0</v>
      </c>
    </row>
    <row r="6157" spans="1:10" s="225" customFormat="1">
      <c r="A6157" s="222" t="s">
        <v>179</v>
      </c>
      <c r="B6157" s="222" t="s">
        <v>34</v>
      </c>
      <c r="C6157" s="236">
        <v>0.69097222222222199</v>
      </c>
      <c r="D6157" s="237">
        <v>0</v>
      </c>
      <c r="E6157" s="237">
        <v>0</v>
      </c>
      <c r="F6157" s="237">
        <v>0</v>
      </c>
      <c r="G6157" s="237">
        <v>0</v>
      </c>
      <c r="H6157" s="237">
        <v>0</v>
      </c>
      <c r="I6157" s="237">
        <v>0</v>
      </c>
      <c r="J6157" s="237">
        <v>0</v>
      </c>
    </row>
    <row r="6158" spans="1:10" s="225" customFormat="1">
      <c r="A6158" s="222" t="s">
        <v>179</v>
      </c>
      <c r="B6158" s="222" t="s">
        <v>34</v>
      </c>
      <c r="C6158" s="236">
        <v>0.69166666666666698</v>
      </c>
      <c r="D6158" s="237">
        <v>0</v>
      </c>
      <c r="E6158" s="237">
        <v>0</v>
      </c>
      <c r="F6158" s="237">
        <v>0</v>
      </c>
      <c r="G6158" s="237">
        <v>0</v>
      </c>
      <c r="H6158" s="237">
        <v>0</v>
      </c>
      <c r="I6158" s="237">
        <v>0</v>
      </c>
      <c r="J6158" s="237">
        <v>0</v>
      </c>
    </row>
    <row r="6159" spans="1:10" s="225" customFormat="1">
      <c r="A6159" s="222" t="s">
        <v>179</v>
      </c>
      <c r="B6159" s="222" t="s">
        <v>34</v>
      </c>
      <c r="C6159" s="236">
        <v>0.69236111111111098</v>
      </c>
      <c r="D6159" s="237">
        <v>0</v>
      </c>
      <c r="E6159" s="237">
        <v>0</v>
      </c>
      <c r="F6159" s="237">
        <v>0</v>
      </c>
      <c r="G6159" s="237">
        <v>0</v>
      </c>
      <c r="H6159" s="237">
        <v>0</v>
      </c>
      <c r="I6159" s="237">
        <v>0</v>
      </c>
      <c r="J6159" s="237">
        <v>0</v>
      </c>
    </row>
    <row r="6160" spans="1:10" s="225" customFormat="1">
      <c r="A6160" s="222" t="s">
        <v>179</v>
      </c>
      <c r="B6160" s="222" t="s">
        <v>34</v>
      </c>
      <c r="C6160" s="236">
        <v>0.69305555555555498</v>
      </c>
      <c r="D6160" s="237">
        <v>0</v>
      </c>
      <c r="E6160" s="237">
        <v>0</v>
      </c>
      <c r="F6160" s="237">
        <v>0</v>
      </c>
      <c r="G6160" s="237">
        <v>0</v>
      </c>
      <c r="H6160" s="237">
        <v>0</v>
      </c>
      <c r="I6160" s="237">
        <v>0</v>
      </c>
      <c r="J6160" s="237">
        <v>0</v>
      </c>
    </row>
    <row r="6161" spans="1:10" s="225" customFormat="1">
      <c r="A6161" s="222" t="s">
        <v>179</v>
      </c>
      <c r="B6161" s="222" t="s">
        <v>34</v>
      </c>
      <c r="C6161" s="236">
        <v>0.69374999999999998</v>
      </c>
      <c r="D6161" s="237">
        <v>0</v>
      </c>
      <c r="E6161" s="237">
        <v>0</v>
      </c>
      <c r="F6161" s="237">
        <v>0</v>
      </c>
      <c r="G6161" s="237">
        <v>0</v>
      </c>
      <c r="H6161" s="237">
        <v>0</v>
      </c>
      <c r="I6161" s="237">
        <v>0</v>
      </c>
      <c r="J6161" s="237">
        <v>0</v>
      </c>
    </row>
    <row r="6162" spans="1:10" s="225" customFormat="1">
      <c r="A6162" s="222" t="s">
        <v>179</v>
      </c>
      <c r="B6162" s="222" t="s">
        <v>34</v>
      </c>
      <c r="C6162" s="236">
        <v>0.69444444444444398</v>
      </c>
      <c r="D6162" s="237">
        <v>0</v>
      </c>
      <c r="E6162" s="237">
        <v>0</v>
      </c>
      <c r="F6162" s="237">
        <v>0</v>
      </c>
      <c r="G6162" s="237">
        <v>0</v>
      </c>
      <c r="H6162" s="237">
        <v>0</v>
      </c>
      <c r="I6162" s="237">
        <v>0</v>
      </c>
      <c r="J6162" s="237">
        <v>0</v>
      </c>
    </row>
    <row r="6163" spans="1:10" s="225" customFormat="1">
      <c r="A6163" s="222" t="s">
        <v>179</v>
      </c>
      <c r="B6163" s="222" t="s">
        <v>34</v>
      </c>
      <c r="C6163" s="236">
        <v>0.69513888888888897</v>
      </c>
      <c r="D6163" s="237">
        <v>0</v>
      </c>
      <c r="E6163" s="237">
        <v>0</v>
      </c>
      <c r="F6163" s="237">
        <v>0</v>
      </c>
      <c r="G6163" s="237">
        <v>0</v>
      </c>
      <c r="H6163" s="237">
        <v>0</v>
      </c>
      <c r="I6163" s="237">
        <v>0</v>
      </c>
      <c r="J6163" s="237">
        <v>0</v>
      </c>
    </row>
    <row r="6164" spans="1:10" s="225" customFormat="1">
      <c r="A6164" s="222" t="s">
        <v>179</v>
      </c>
      <c r="B6164" s="222" t="s">
        <v>34</v>
      </c>
      <c r="C6164" s="236">
        <v>0.69583333333333297</v>
      </c>
      <c r="D6164" s="237">
        <v>0</v>
      </c>
      <c r="E6164" s="237">
        <v>0</v>
      </c>
      <c r="F6164" s="237">
        <v>0</v>
      </c>
      <c r="G6164" s="237">
        <v>0</v>
      </c>
      <c r="H6164" s="237">
        <v>0</v>
      </c>
      <c r="I6164" s="237">
        <v>0</v>
      </c>
      <c r="J6164" s="237">
        <v>0</v>
      </c>
    </row>
    <row r="6165" spans="1:10" s="225" customFormat="1">
      <c r="A6165" s="222" t="s">
        <v>179</v>
      </c>
      <c r="B6165" s="222" t="s">
        <v>34</v>
      </c>
      <c r="C6165" s="236">
        <v>0.69652777777777797</v>
      </c>
      <c r="D6165" s="237">
        <v>0</v>
      </c>
      <c r="E6165" s="237">
        <v>0</v>
      </c>
      <c r="F6165" s="237">
        <v>0</v>
      </c>
      <c r="G6165" s="237">
        <v>0</v>
      </c>
      <c r="H6165" s="237">
        <v>0</v>
      </c>
      <c r="I6165" s="237">
        <v>0</v>
      </c>
      <c r="J6165" s="237">
        <v>0</v>
      </c>
    </row>
    <row r="6166" spans="1:10" s="229" customFormat="1">
      <c r="A6166" s="226" t="s">
        <v>179</v>
      </c>
      <c r="B6166" s="226" t="s">
        <v>34</v>
      </c>
      <c r="C6166" s="238">
        <v>0.69722222222222197</v>
      </c>
      <c r="D6166" s="239">
        <v>0</v>
      </c>
      <c r="E6166" s="239">
        <v>0</v>
      </c>
      <c r="F6166" s="239">
        <v>0</v>
      </c>
      <c r="G6166" s="239">
        <v>0</v>
      </c>
      <c r="H6166" s="239">
        <v>0</v>
      </c>
      <c r="I6166" s="239">
        <v>0</v>
      </c>
      <c r="J6166" s="239">
        <v>0</v>
      </c>
    </row>
    <row r="6167" spans="1:10" s="225" customFormat="1">
      <c r="A6167" s="222" t="s">
        <v>179</v>
      </c>
      <c r="B6167" s="222" t="s">
        <v>34</v>
      </c>
      <c r="C6167" s="236">
        <v>0.69791666666666696</v>
      </c>
      <c r="D6167" s="237">
        <v>0</v>
      </c>
      <c r="E6167" s="237">
        <v>0</v>
      </c>
      <c r="F6167" s="237">
        <v>0</v>
      </c>
      <c r="G6167" s="237">
        <v>0</v>
      </c>
      <c r="H6167" s="237">
        <v>0</v>
      </c>
      <c r="I6167" s="237">
        <v>0</v>
      </c>
      <c r="J6167" s="237">
        <v>0</v>
      </c>
    </row>
    <row r="6168" spans="1:10" s="225" customFormat="1">
      <c r="A6168" s="222" t="s">
        <v>179</v>
      </c>
      <c r="B6168" s="222" t="s">
        <v>34</v>
      </c>
      <c r="C6168" s="236">
        <v>0.69861111111111096</v>
      </c>
      <c r="D6168" s="237">
        <v>0</v>
      </c>
      <c r="E6168" s="237">
        <v>0</v>
      </c>
      <c r="F6168" s="237">
        <v>0</v>
      </c>
      <c r="G6168" s="237">
        <v>0</v>
      </c>
      <c r="H6168" s="237">
        <v>0</v>
      </c>
      <c r="I6168" s="237">
        <v>0</v>
      </c>
      <c r="J6168" s="237">
        <v>0</v>
      </c>
    </row>
    <row r="6169" spans="1:10" s="225" customFormat="1">
      <c r="A6169" s="222" t="s">
        <v>179</v>
      </c>
      <c r="B6169" s="222" t="s">
        <v>34</v>
      </c>
      <c r="C6169" s="236">
        <v>0.69930555555555496</v>
      </c>
      <c r="D6169" s="237">
        <v>0</v>
      </c>
      <c r="E6169" s="237">
        <v>0</v>
      </c>
      <c r="F6169" s="237">
        <v>0</v>
      </c>
      <c r="G6169" s="237">
        <v>0</v>
      </c>
      <c r="H6169" s="237">
        <v>0</v>
      </c>
      <c r="I6169" s="237">
        <v>0</v>
      </c>
      <c r="J6169" s="237">
        <v>0</v>
      </c>
    </row>
    <row r="6170" spans="1:10" s="225" customFormat="1">
      <c r="A6170" s="222" t="s">
        <v>179</v>
      </c>
      <c r="B6170" s="222" t="s">
        <v>34</v>
      </c>
      <c r="C6170" s="236">
        <v>0.7</v>
      </c>
      <c r="D6170" s="237">
        <v>0</v>
      </c>
      <c r="E6170" s="237">
        <v>0</v>
      </c>
      <c r="F6170" s="237">
        <v>0</v>
      </c>
      <c r="G6170" s="237">
        <v>0</v>
      </c>
      <c r="H6170" s="237">
        <v>0</v>
      </c>
      <c r="I6170" s="237">
        <v>0</v>
      </c>
      <c r="J6170" s="237">
        <v>0</v>
      </c>
    </row>
    <row r="6171" spans="1:10" s="225" customFormat="1">
      <c r="A6171" s="222" t="s">
        <v>179</v>
      </c>
      <c r="B6171" s="222" t="s">
        <v>34</v>
      </c>
      <c r="C6171" s="236">
        <v>0.70069444444444395</v>
      </c>
      <c r="D6171" s="237">
        <v>0</v>
      </c>
      <c r="E6171" s="237">
        <v>0</v>
      </c>
      <c r="F6171" s="237">
        <v>0</v>
      </c>
      <c r="G6171" s="237">
        <v>0</v>
      </c>
      <c r="H6171" s="237">
        <v>0</v>
      </c>
      <c r="I6171" s="237">
        <v>0</v>
      </c>
      <c r="J6171" s="237">
        <v>0</v>
      </c>
    </row>
    <row r="6172" spans="1:10" s="225" customFormat="1">
      <c r="A6172" s="222" t="s">
        <v>179</v>
      </c>
      <c r="B6172" s="222" t="s">
        <v>34</v>
      </c>
      <c r="C6172" s="236">
        <v>0.70138888888888895</v>
      </c>
      <c r="D6172" s="237">
        <v>0</v>
      </c>
      <c r="E6172" s="237">
        <v>0</v>
      </c>
      <c r="F6172" s="237">
        <v>0</v>
      </c>
      <c r="G6172" s="237">
        <v>0</v>
      </c>
      <c r="H6172" s="237">
        <v>0</v>
      </c>
      <c r="I6172" s="237">
        <v>0</v>
      </c>
      <c r="J6172" s="237">
        <v>0</v>
      </c>
    </row>
    <row r="6173" spans="1:10" s="225" customFormat="1">
      <c r="A6173" s="222" t="s">
        <v>179</v>
      </c>
      <c r="B6173" s="222" t="s">
        <v>34</v>
      </c>
      <c r="C6173" s="236">
        <v>0.70208333333333295</v>
      </c>
      <c r="D6173" s="237">
        <v>0</v>
      </c>
      <c r="E6173" s="237">
        <v>0</v>
      </c>
      <c r="F6173" s="237">
        <v>0</v>
      </c>
      <c r="G6173" s="237">
        <v>0</v>
      </c>
      <c r="H6173" s="237">
        <v>0</v>
      </c>
      <c r="I6173" s="237">
        <v>0</v>
      </c>
      <c r="J6173" s="237">
        <v>0</v>
      </c>
    </row>
    <row r="6174" spans="1:10" s="225" customFormat="1">
      <c r="A6174" s="222" t="s">
        <v>179</v>
      </c>
      <c r="B6174" s="222" t="s">
        <v>34</v>
      </c>
      <c r="C6174" s="236">
        <v>0.70277777777777795</v>
      </c>
      <c r="D6174" s="237">
        <v>0</v>
      </c>
      <c r="E6174" s="237">
        <v>0</v>
      </c>
      <c r="F6174" s="237">
        <v>0</v>
      </c>
      <c r="G6174" s="237">
        <v>0</v>
      </c>
      <c r="H6174" s="237">
        <v>0</v>
      </c>
      <c r="I6174" s="237">
        <v>0</v>
      </c>
      <c r="J6174" s="237">
        <v>0</v>
      </c>
    </row>
    <row r="6175" spans="1:10" s="225" customFormat="1">
      <c r="A6175" s="222" t="s">
        <v>179</v>
      </c>
      <c r="B6175" s="222" t="s">
        <v>34</v>
      </c>
      <c r="C6175" s="236">
        <v>0.70347222222222205</v>
      </c>
      <c r="D6175" s="237">
        <v>0</v>
      </c>
      <c r="E6175" s="237">
        <v>0</v>
      </c>
      <c r="F6175" s="237">
        <v>0</v>
      </c>
      <c r="G6175" s="237">
        <v>0</v>
      </c>
      <c r="H6175" s="237">
        <v>0</v>
      </c>
      <c r="I6175" s="237">
        <v>0</v>
      </c>
      <c r="J6175" s="237">
        <v>0</v>
      </c>
    </row>
    <row r="6176" spans="1:10" s="225" customFormat="1">
      <c r="A6176" s="222" t="s">
        <v>179</v>
      </c>
      <c r="B6176" s="222" t="s">
        <v>34</v>
      </c>
      <c r="C6176" s="236">
        <v>0.70416666666666605</v>
      </c>
      <c r="D6176" s="237">
        <v>0</v>
      </c>
      <c r="E6176" s="237">
        <v>0</v>
      </c>
      <c r="F6176" s="237">
        <v>0</v>
      </c>
      <c r="G6176" s="237">
        <v>0</v>
      </c>
      <c r="H6176" s="237">
        <v>0</v>
      </c>
      <c r="I6176" s="237">
        <v>0</v>
      </c>
      <c r="J6176" s="237">
        <v>0</v>
      </c>
    </row>
    <row r="6177" spans="1:10" s="225" customFormat="1">
      <c r="A6177" s="222" t="s">
        <v>179</v>
      </c>
      <c r="B6177" s="222" t="s">
        <v>34</v>
      </c>
      <c r="C6177" s="236">
        <v>0.70486111111111105</v>
      </c>
      <c r="D6177" s="237">
        <v>0</v>
      </c>
      <c r="E6177" s="237">
        <v>0</v>
      </c>
      <c r="F6177" s="237">
        <v>0</v>
      </c>
      <c r="G6177" s="237">
        <v>0</v>
      </c>
      <c r="H6177" s="237">
        <v>0</v>
      </c>
      <c r="I6177" s="237">
        <v>0</v>
      </c>
      <c r="J6177" s="237">
        <v>0</v>
      </c>
    </row>
    <row r="6178" spans="1:10" s="225" customFormat="1">
      <c r="A6178" s="222" t="s">
        <v>179</v>
      </c>
      <c r="B6178" s="222" t="s">
        <v>34</v>
      </c>
      <c r="C6178" s="236">
        <v>0.70555555555555505</v>
      </c>
      <c r="D6178" s="237">
        <v>0</v>
      </c>
      <c r="E6178" s="237">
        <v>0</v>
      </c>
      <c r="F6178" s="237">
        <v>0</v>
      </c>
      <c r="G6178" s="237">
        <v>0</v>
      </c>
      <c r="H6178" s="237">
        <v>0</v>
      </c>
      <c r="I6178" s="237">
        <v>0</v>
      </c>
      <c r="J6178" s="237">
        <v>0</v>
      </c>
    </row>
    <row r="6179" spans="1:10" s="225" customFormat="1">
      <c r="A6179" s="222" t="s">
        <v>179</v>
      </c>
      <c r="B6179" s="222" t="s">
        <v>34</v>
      </c>
      <c r="C6179" s="236">
        <v>0.70625000000000004</v>
      </c>
      <c r="D6179" s="237">
        <v>0</v>
      </c>
      <c r="E6179" s="237">
        <v>0</v>
      </c>
      <c r="F6179" s="237">
        <v>0</v>
      </c>
      <c r="G6179" s="237">
        <v>0</v>
      </c>
      <c r="H6179" s="237">
        <v>0</v>
      </c>
      <c r="I6179" s="237">
        <v>0</v>
      </c>
      <c r="J6179" s="237">
        <v>0</v>
      </c>
    </row>
    <row r="6180" spans="1:10" s="225" customFormat="1">
      <c r="A6180" s="222" t="s">
        <v>179</v>
      </c>
      <c r="B6180" s="222" t="s">
        <v>34</v>
      </c>
      <c r="C6180" s="236">
        <v>0.70694444444444404</v>
      </c>
      <c r="D6180" s="237">
        <v>0</v>
      </c>
      <c r="E6180" s="237">
        <v>0</v>
      </c>
      <c r="F6180" s="237">
        <v>0</v>
      </c>
      <c r="G6180" s="237">
        <v>0</v>
      </c>
      <c r="H6180" s="237">
        <v>0</v>
      </c>
      <c r="I6180" s="237">
        <v>0</v>
      </c>
      <c r="J6180" s="237">
        <v>0</v>
      </c>
    </row>
    <row r="6181" spans="1:10" s="229" customFormat="1">
      <c r="A6181" s="226" t="s">
        <v>179</v>
      </c>
      <c r="B6181" s="226" t="s">
        <v>34</v>
      </c>
      <c r="C6181" s="238">
        <v>0.70763888888888904</v>
      </c>
      <c r="D6181" s="239">
        <v>0</v>
      </c>
      <c r="E6181" s="239">
        <v>0</v>
      </c>
      <c r="F6181" s="239">
        <v>0</v>
      </c>
      <c r="G6181" s="239">
        <v>0</v>
      </c>
      <c r="H6181" s="239">
        <v>0</v>
      </c>
      <c r="I6181" s="239">
        <v>0</v>
      </c>
      <c r="J6181" s="239">
        <v>0</v>
      </c>
    </row>
    <row r="6182" spans="1:10" s="225" customFormat="1">
      <c r="A6182" s="222" t="s">
        <v>179</v>
      </c>
      <c r="B6182" s="222" t="s">
        <v>34</v>
      </c>
      <c r="C6182" s="236">
        <v>0.70833333333333304</v>
      </c>
      <c r="D6182" s="237">
        <v>0</v>
      </c>
      <c r="E6182" s="237">
        <v>0</v>
      </c>
      <c r="F6182" s="237">
        <v>0</v>
      </c>
      <c r="G6182" s="237">
        <v>0</v>
      </c>
      <c r="H6182" s="237">
        <v>0</v>
      </c>
      <c r="I6182" s="237">
        <v>0</v>
      </c>
      <c r="J6182" s="237">
        <v>0</v>
      </c>
    </row>
    <row r="6183" spans="1:10" s="225" customFormat="1">
      <c r="A6183" s="222" t="s">
        <v>179</v>
      </c>
      <c r="B6183" s="222" t="s">
        <v>34</v>
      </c>
      <c r="C6183" s="236">
        <v>0.70902777777777803</v>
      </c>
      <c r="D6183" s="237">
        <v>0</v>
      </c>
      <c r="E6183" s="237">
        <v>0</v>
      </c>
      <c r="F6183" s="237">
        <v>0</v>
      </c>
      <c r="G6183" s="237">
        <v>0</v>
      </c>
      <c r="H6183" s="237">
        <v>0</v>
      </c>
      <c r="I6183" s="237">
        <v>0</v>
      </c>
      <c r="J6183" s="237">
        <v>0</v>
      </c>
    </row>
    <row r="6184" spans="1:10" s="225" customFormat="1">
      <c r="A6184" s="222" t="s">
        <v>179</v>
      </c>
      <c r="B6184" s="222" t="s">
        <v>34</v>
      </c>
      <c r="C6184" s="236">
        <v>0.70972222222222203</v>
      </c>
      <c r="D6184" s="237">
        <v>0</v>
      </c>
      <c r="E6184" s="237">
        <v>0</v>
      </c>
      <c r="F6184" s="237">
        <v>0</v>
      </c>
      <c r="G6184" s="237">
        <v>0</v>
      </c>
      <c r="H6184" s="237">
        <v>0</v>
      </c>
      <c r="I6184" s="237">
        <v>0</v>
      </c>
      <c r="J6184" s="237">
        <v>0</v>
      </c>
    </row>
    <row r="6185" spans="1:10" s="225" customFormat="1">
      <c r="A6185" s="222" t="s">
        <v>179</v>
      </c>
      <c r="B6185" s="222" t="s">
        <v>34</v>
      </c>
      <c r="C6185" s="236">
        <v>0.71041666666666603</v>
      </c>
      <c r="D6185" s="237">
        <v>0</v>
      </c>
      <c r="E6185" s="237">
        <v>0</v>
      </c>
      <c r="F6185" s="237">
        <v>0</v>
      </c>
      <c r="G6185" s="237">
        <v>0</v>
      </c>
      <c r="H6185" s="237">
        <v>0</v>
      </c>
      <c r="I6185" s="237">
        <v>0</v>
      </c>
      <c r="J6185" s="237">
        <v>0</v>
      </c>
    </row>
    <row r="6186" spans="1:10" s="225" customFormat="1">
      <c r="A6186" s="222" t="s">
        <v>179</v>
      </c>
      <c r="B6186" s="222" t="s">
        <v>34</v>
      </c>
      <c r="C6186" s="236">
        <v>0.71111111111111103</v>
      </c>
      <c r="D6186" s="237">
        <v>0</v>
      </c>
      <c r="E6186" s="237">
        <v>0</v>
      </c>
      <c r="F6186" s="237">
        <v>0</v>
      </c>
      <c r="G6186" s="237">
        <v>0</v>
      </c>
      <c r="H6186" s="237">
        <v>0</v>
      </c>
      <c r="I6186" s="237">
        <v>0</v>
      </c>
      <c r="J6186" s="237">
        <v>0</v>
      </c>
    </row>
    <row r="6187" spans="1:10" s="225" customFormat="1">
      <c r="A6187" s="222" t="s">
        <v>179</v>
      </c>
      <c r="B6187" s="222" t="s">
        <v>34</v>
      </c>
      <c r="C6187" s="236">
        <v>0.71180555555555503</v>
      </c>
      <c r="D6187" s="237">
        <v>0</v>
      </c>
      <c r="E6187" s="237">
        <v>0</v>
      </c>
      <c r="F6187" s="237">
        <v>0</v>
      </c>
      <c r="G6187" s="237">
        <v>0</v>
      </c>
      <c r="H6187" s="237">
        <v>0</v>
      </c>
      <c r="I6187" s="237">
        <v>0</v>
      </c>
      <c r="J6187" s="237">
        <v>0</v>
      </c>
    </row>
    <row r="6188" spans="1:10" s="225" customFormat="1">
      <c r="A6188" s="222" t="s">
        <v>179</v>
      </c>
      <c r="B6188" s="222" t="s">
        <v>34</v>
      </c>
      <c r="C6188" s="236">
        <v>0.71250000000000002</v>
      </c>
      <c r="D6188" s="237">
        <v>0</v>
      </c>
      <c r="E6188" s="237">
        <v>0</v>
      </c>
      <c r="F6188" s="237">
        <v>0</v>
      </c>
      <c r="G6188" s="237">
        <v>0</v>
      </c>
      <c r="H6188" s="237">
        <v>0</v>
      </c>
      <c r="I6188" s="237">
        <v>0</v>
      </c>
      <c r="J6188" s="237">
        <v>0</v>
      </c>
    </row>
    <row r="6189" spans="1:10" s="225" customFormat="1">
      <c r="A6189" s="222" t="s">
        <v>179</v>
      </c>
      <c r="B6189" s="222" t="s">
        <v>34</v>
      </c>
      <c r="C6189" s="236">
        <v>0.71319444444444402</v>
      </c>
      <c r="D6189" s="237">
        <v>0</v>
      </c>
      <c r="E6189" s="237">
        <v>0</v>
      </c>
      <c r="F6189" s="237">
        <v>0</v>
      </c>
      <c r="G6189" s="237">
        <v>0</v>
      </c>
      <c r="H6189" s="237">
        <v>0</v>
      </c>
      <c r="I6189" s="237">
        <v>0</v>
      </c>
      <c r="J6189" s="237">
        <v>0</v>
      </c>
    </row>
    <row r="6190" spans="1:10" s="225" customFormat="1">
      <c r="A6190" s="222" t="s">
        <v>179</v>
      </c>
      <c r="B6190" s="222" t="s">
        <v>34</v>
      </c>
      <c r="C6190" s="236">
        <v>0.71388888888888902</v>
      </c>
      <c r="D6190" s="237">
        <v>0</v>
      </c>
      <c r="E6190" s="237">
        <v>0</v>
      </c>
      <c r="F6190" s="237">
        <v>0</v>
      </c>
      <c r="G6190" s="237">
        <v>0</v>
      </c>
      <c r="H6190" s="237">
        <v>0</v>
      </c>
      <c r="I6190" s="237">
        <v>0</v>
      </c>
      <c r="J6190" s="237">
        <v>0</v>
      </c>
    </row>
    <row r="6191" spans="1:10" s="225" customFormat="1">
      <c r="A6191" s="222" t="s">
        <v>179</v>
      </c>
      <c r="B6191" s="222" t="s">
        <v>34</v>
      </c>
      <c r="C6191" s="236">
        <v>0.71458333333333302</v>
      </c>
      <c r="D6191" s="237">
        <v>0</v>
      </c>
      <c r="E6191" s="237">
        <v>0</v>
      </c>
      <c r="F6191" s="237">
        <v>0</v>
      </c>
      <c r="G6191" s="237">
        <v>0</v>
      </c>
      <c r="H6191" s="237">
        <v>0</v>
      </c>
      <c r="I6191" s="237">
        <v>0</v>
      </c>
      <c r="J6191" s="237">
        <v>0</v>
      </c>
    </row>
    <row r="6192" spans="1:10" s="225" customFormat="1">
      <c r="A6192" s="222" t="s">
        <v>179</v>
      </c>
      <c r="B6192" s="222" t="s">
        <v>34</v>
      </c>
      <c r="C6192" s="236">
        <v>0.71527777777777801</v>
      </c>
      <c r="D6192" s="237">
        <v>0</v>
      </c>
      <c r="E6192" s="237">
        <v>0</v>
      </c>
      <c r="F6192" s="237">
        <v>0</v>
      </c>
      <c r="G6192" s="237">
        <v>0</v>
      </c>
      <c r="H6192" s="237">
        <v>0</v>
      </c>
      <c r="I6192" s="237">
        <v>0</v>
      </c>
      <c r="J6192" s="237">
        <v>0</v>
      </c>
    </row>
    <row r="6193" spans="1:10" s="225" customFormat="1">
      <c r="A6193" s="222" t="s">
        <v>179</v>
      </c>
      <c r="B6193" s="222" t="s">
        <v>34</v>
      </c>
      <c r="C6193" s="236">
        <v>0.71597222222222201</v>
      </c>
      <c r="D6193" s="237">
        <v>0</v>
      </c>
      <c r="E6193" s="237">
        <v>0</v>
      </c>
      <c r="F6193" s="237">
        <v>0</v>
      </c>
      <c r="G6193" s="237">
        <v>0</v>
      </c>
      <c r="H6193" s="237">
        <v>0</v>
      </c>
      <c r="I6193" s="237">
        <v>0</v>
      </c>
      <c r="J6193" s="237">
        <v>0</v>
      </c>
    </row>
    <row r="6194" spans="1:10" s="225" customFormat="1">
      <c r="A6194" s="222" t="s">
        <v>179</v>
      </c>
      <c r="B6194" s="222" t="s">
        <v>34</v>
      </c>
      <c r="C6194" s="236">
        <v>0.71666666666666601</v>
      </c>
      <c r="D6194" s="237">
        <v>0</v>
      </c>
      <c r="E6194" s="237">
        <v>0</v>
      </c>
      <c r="F6194" s="237">
        <v>0</v>
      </c>
      <c r="G6194" s="237">
        <v>0</v>
      </c>
      <c r="H6194" s="237">
        <v>0</v>
      </c>
      <c r="I6194" s="237">
        <v>0</v>
      </c>
      <c r="J6194" s="237">
        <v>0</v>
      </c>
    </row>
    <row r="6195" spans="1:10" s="225" customFormat="1">
      <c r="A6195" s="222" t="s">
        <v>179</v>
      </c>
      <c r="B6195" s="222" t="s">
        <v>34</v>
      </c>
      <c r="C6195" s="236">
        <v>0.71736111111111101</v>
      </c>
      <c r="D6195" s="237">
        <v>0</v>
      </c>
      <c r="E6195" s="237">
        <v>0</v>
      </c>
      <c r="F6195" s="237">
        <v>0</v>
      </c>
      <c r="G6195" s="237">
        <v>0</v>
      </c>
      <c r="H6195" s="237">
        <v>0</v>
      </c>
      <c r="I6195" s="237">
        <v>0</v>
      </c>
      <c r="J6195" s="237">
        <v>0</v>
      </c>
    </row>
    <row r="6196" spans="1:10" s="229" customFormat="1">
      <c r="A6196" s="226" t="s">
        <v>179</v>
      </c>
      <c r="B6196" s="226" t="s">
        <v>34</v>
      </c>
      <c r="C6196" s="238">
        <v>0.718055555555555</v>
      </c>
      <c r="D6196" s="239">
        <v>0</v>
      </c>
      <c r="E6196" s="239">
        <v>0</v>
      </c>
      <c r="F6196" s="239">
        <v>0</v>
      </c>
      <c r="G6196" s="239">
        <v>0</v>
      </c>
      <c r="H6196" s="239">
        <v>0</v>
      </c>
      <c r="I6196" s="239">
        <v>0</v>
      </c>
      <c r="J6196" s="239">
        <v>0</v>
      </c>
    </row>
    <row r="6197" spans="1:10" s="225" customFormat="1">
      <c r="A6197" s="222" t="s">
        <v>179</v>
      </c>
      <c r="B6197" s="222" t="s">
        <v>34</v>
      </c>
      <c r="C6197" s="236">
        <v>0.71875</v>
      </c>
      <c r="D6197" s="237">
        <v>0</v>
      </c>
      <c r="E6197" s="237">
        <v>0</v>
      </c>
      <c r="F6197" s="237">
        <v>0</v>
      </c>
      <c r="G6197" s="237">
        <v>0</v>
      </c>
      <c r="H6197" s="237">
        <v>0</v>
      </c>
      <c r="I6197" s="237">
        <v>0</v>
      </c>
      <c r="J6197" s="237">
        <v>0</v>
      </c>
    </row>
    <row r="6198" spans="1:10" s="225" customFormat="1">
      <c r="A6198" s="222" t="s">
        <v>179</v>
      </c>
      <c r="B6198" s="222" t="s">
        <v>34</v>
      </c>
      <c r="C6198" s="236">
        <v>0.719444444444444</v>
      </c>
      <c r="D6198" s="237">
        <v>0</v>
      </c>
      <c r="E6198" s="237">
        <v>0</v>
      </c>
      <c r="F6198" s="237">
        <v>0</v>
      </c>
      <c r="G6198" s="237">
        <v>0</v>
      </c>
      <c r="H6198" s="237">
        <v>0</v>
      </c>
      <c r="I6198" s="237">
        <v>0</v>
      </c>
      <c r="J6198" s="237">
        <v>0</v>
      </c>
    </row>
    <row r="6199" spans="1:10" s="225" customFormat="1">
      <c r="A6199" s="222" t="s">
        <v>179</v>
      </c>
      <c r="B6199" s="222" t="s">
        <v>34</v>
      </c>
      <c r="C6199" s="236">
        <v>0.72013888888888899</v>
      </c>
      <c r="D6199" s="237">
        <v>0</v>
      </c>
      <c r="E6199" s="237">
        <v>0</v>
      </c>
      <c r="F6199" s="237">
        <v>0</v>
      </c>
      <c r="G6199" s="237">
        <v>0</v>
      </c>
      <c r="H6199" s="237">
        <v>0</v>
      </c>
      <c r="I6199" s="237">
        <v>0</v>
      </c>
      <c r="J6199" s="237">
        <v>0</v>
      </c>
    </row>
    <row r="6200" spans="1:10" s="225" customFormat="1">
      <c r="A6200" s="222" t="s">
        <v>179</v>
      </c>
      <c r="B6200" s="222" t="s">
        <v>34</v>
      </c>
      <c r="C6200" s="236">
        <v>0.72083333333333299</v>
      </c>
      <c r="D6200" s="237">
        <v>0</v>
      </c>
      <c r="E6200" s="237">
        <v>0</v>
      </c>
      <c r="F6200" s="237">
        <v>0</v>
      </c>
      <c r="G6200" s="237">
        <v>0</v>
      </c>
      <c r="H6200" s="237">
        <v>0</v>
      </c>
      <c r="I6200" s="237">
        <v>0</v>
      </c>
      <c r="J6200" s="237">
        <v>0</v>
      </c>
    </row>
    <row r="6201" spans="1:10" s="225" customFormat="1">
      <c r="A6201" s="222" t="s">
        <v>179</v>
      </c>
      <c r="B6201" s="222" t="s">
        <v>34</v>
      </c>
      <c r="C6201" s="236">
        <v>0.72152777777777799</v>
      </c>
      <c r="D6201" s="237">
        <v>0</v>
      </c>
      <c r="E6201" s="237">
        <v>0</v>
      </c>
      <c r="F6201" s="237">
        <v>0</v>
      </c>
      <c r="G6201" s="237">
        <v>0</v>
      </c>
      <c r="H6201" s="237">
        <v>0</v>
      </c>
      <c r="I6201" s="237">
        <v>0</v>
      </c>
      <c r="J6201" s="237">
        <v>0</v>
      </c>
    </row>
    <row r="6202" spans="1:10" s="225" customFormat="1">
      <c r="A6202" s="222" t="s">
        <v>179</v>
      </c>
      <c r="B6202" s="222" t="s">
        <v>34</v>
      </c>
      <c r="C6202" s="236">
        <v>0.72222222222222199</v>
      </c>
      <c r="D6202" s="237">
        <v>0</v>
      </c>
      <c r="E6202" s="237">
        <v>0</v>
      </c>
      <c r="F6202" s="237">
        <v>0</v>
      </c>
      <c r="G6202" s="237">
        <v>0</v>
      </c>
      <c r="H6202" s="237">
        <v>0</v>
      </c>
      <c r="I6202" s="237">
        <v>0</v>
      </c>
      <c r="J6202" s="237">
        <v>0</v>
      </c>
    </row>
    <row r="6203" spans="1:10" s="225" customFormat="1">
      <c r="A6203" s="222" t="s">
        <v>179</v>
      </c>
      <c r="B6203" s="222" t="s">
        <v>34</v>
      </c>
      <c r="C6203" s="236">
        <v>0.72291666666666599</v>
      </c>
      <c r="D6203" s="237">
        <v>0</v>
      </c>
      <c r="E6203" s="237">
        <v>0</v>
      </c>
      <c r="F6203" s="237">
        <v>0</v>
      </c>
      <c r="G6203" s="237">
        <v>0</v>
      </c>
      <c r="H6203" s="237">
        <v>0</v>
      </c>
      <c r="I6203" s="237">
        <v>0</v>
      </c>
      <c r="J6203" s="237">
        <v>0</v>
      </c>
    </row>
    <row r="6204" spans="1:10" s="225" customFormat="1">
      <c r="A6204" s="222" t="s">
        <v>179</v>
      </c>
      <c r="B6204" s="222" t="s">
        <v>34</v>
      </c>
      <c r="C6204" s="236">
        <v>0.72361111111111098</v>
      </c>
      <c r="D6204" s="237">
        <v>0</v>
      </c>
      <c r="E6204" s="237">
        <v>0</v>
      </c>
      <c r="F6204" s="237">
        <v>0</v>
      </c>
      <c r="G6204" s="237">
        <v>0</v>
      </c>
      <c r="H6204" s="237">
        <v>0</v>
      </c>
      <c r="I6204" s="237">
        <v>0</v>
      </c>
      <c r="J6204" s="237">
        <v>0</v>
      </c>
    </row>
    <row r="6205" spans="1:10" s="225" customFormat="1">
      <c r="A6205" s="222" t="s">
        <v>179</v>
      </c>
      <c r="B6205" s="222" t="s">
        <v>34</v>
      </c>
      <c r="C6205" s="236">
        <v>0.72430555555555498</v>
      </c>
      <c r="D6205" s="237">
        <v>0</v>
      </c>
      <c r="E6205" s="237">
        <v>0</v>
      </c>
      <c r="F6205" s="237">
        <v>0</v>
      </c>
      <c r="G6205" s="237">
        <v>0</v>
      </c>
      <c r="H6205" s="237">
        <v>0</v>
      </c>
      <c r="I6205" s="237">
        <v>0</v>
      </c>
      <c r="J6205" s="237">
        <v>0</v>
      </c>
    </row>
    <row r="6206" spans="1:10" s="225" customFormat="1">
      <c r="A6206" s="222" t="s">
        <v>179</v>
      </c>
      <c r="B6206" s="222" t="s">
        <v>34</v>
      </c>
      <c r="C6206" s="236">
        <v>0.72499999999999998</v>
      </c>
      <c r="D6206" s="237">
        <v>0</v>
      </c>
      <c r="E6206" s="237">
        <v>0</v>
      </c>
      <c r="F6206" s="237">
        <v>0</v>
      </c>
      <c r="G6206" s="237">
        <v>0</v>
      </c>
      <c r="H6206" s="237">
        <v>0</v>
      </c>
      <c r="I6206" s="237">
        <v>0</v>
      </c>
      <c r="J6206" s="237">
        <v>0</v>
      </c>
    </row>
    <row r="6207" spans="1:10" s="225" customFormat="1">
      <c r="A6207" s="222" t="s">
        <v>179</v>
      </c>
      <c r="B6207" s="222" t="s">
        <v>34</v>
      </c>
      <c r="C6207" s="236">
        <v>0.72569444444444398</v>
      </c>
      <c r="D6207" s="237">
        <v>0</v>
      </c>
      <c r="E6207" s="237">
        <v>0</v>
      </c>
      <c r="F6207" s="237">
        <v>0</v>
      </c>
      <c r="G6207" s="237">
        <v>0</v>
      </c>
      <c r="H6207" s="237">
        <v>0</v>
      </c>
      <c r="I6207" s="237">
        <v>0</v>
      </c>
      <c r="J6207" s="237">
        <v>0</v>
      </c>
    </row>
    <row r="6208" spans="1:10" s="225" customFormat="1">
      <c r="A6208" s="222" t="s">
        <v>179</v>
      </c>
      <c r="B6208" s="222" t="s">
        <v>34</v>
      </c>
      <c r="C6208" s="236">
        <v>0.72638888888888897</v>
      </c>
      <c r="D6208" s="237">
        <v>0</v>
      </c>
      <c r="E6208" s="237">
        <v>0</v>
      </c>
      <c r="F6208" s="237">
        <v>0</v>
      </c>
      <c r="G6208" s="237">
        <v>0</v>
      </c>
      <c r="H6208" s="237">
        <v>0</v>
      </c>
      <c r="I6208" s="237">
        <v>0</v>
      </c>
      <c r="J6208" s="237">
        <v>0</v>
      </c>
    </row>
    <row r="6209" spans="1:10" s="225" customFormat="1">
      <c r="A6209" s="222" t="s">
        <v>179</v>
      </c>
      <c r="B6209" s="222" t="s">
        <v>34</v>
      </c>
      <c r="C6209" s="236">
        <v>0.72708333333333297</v>
      </c>
      <c r="D6209" s="237">
        <v>0</v>
      </c>
      <c r="E6209" s="237">
        <v>0</v>
      </c>
      <c r="F6209" s="237">
        <v>0</v>
      </c>
      <c r="G6209" s="237">
        <v>0</v>
      </c>
      <c r="H6209" s="237">
        <v>0</v>
      </c>
      <c r="I6209" s="237">
        <v>0</v>
      </c>
      <c r="J6209" s="237">
        <v>0</v>
      </c>
    </row>
    <row r="6210" spans="1:10" s="225" customFormat="1">
      <c r="A6210" s="222" t="s">
        <v>179</v>
      </c>
      <c r="B6210" s="222" t="s">
        <v>34</v>
      </c>
      <c r="C6210" s="236">
        <v>0.72777777777777797</v>
      </c>
      <c r="D6210" s="237">
        <v>0</v>
      </c>
      <c r="E6210" s="237">
        <v>0</v>
      </c>
      <c r="F6210" s="237">
        <v>0</v>
      </c>
      <c r="G6210" s="237">
        <v>0</v>
      </c>
      <c r="H6210" s="237">
        <v>0</v>
      </c>
      <c r="I6210" s="237">
        <v>0</v>
      </c>
      <c r="J6210" s="237">
        <v>0</v>
      </c>
    </row>
    <row r="6211" spans="1:10" s="229" customFormat="1">
      <c r="A6211" s="226" t="s">
        <v>179</v>
      </c>
      <c r="B6211" s="226" t="s">
        <v>34</v>
      </c>
      <c r="C6211" s="238">
        <v>0.72847222222222197</v>
      </c>
      <c r="D6211" s="239">
        <v>0</v>
      </c>
      <c r="E6211" s="239">
        <v>0</v>
      </c>
      <c r="F6211" s="239">
        <v>0</v>
      </c>
      <c r="G6211" s="239">
        <v>0</v>
      </c>
      <c r="H6211" s="239">
        <v>0</v>
      </c>
      <c r="I6211" s="239">
        <v>0</v>
      </c>
      <c r="J6211" s="239">
        <v>0</v>
      </c>
    </row>
    <row r="6212" spans="1:10" s="225" customFormat="1">
      <c r="A6212" s="222" t="s">
        <v>179</v>
      </c>
      <c r="B6212" s="222" t="s">
        <v>34</v>
      </c>
      <c r="C6212" s="236">
        <v>0.72916666666666596</v>
      </c>
      <c r="D6212" s="237">
        <v>0</v>
      </c>
      <c r="E6212" s="237">
        <v>0</v>
      </c>
      <c r="F6212" s="237">
        <v>0</v>
      </c>
      <c r="G6212" s="237">
        <v>0</v>
      </c>
      <c r="H6212" s="237">
        <v>0</v>
      </c>
      <c r="I6212" s="237">
        <v>0</v>
      </c>
      <c r="J6212" s="237">
        <v>0</v>
      </c>
    </row>
    <row r="6213" spans="1:10" s="225" customFormat="1">
      <c r="A6213" s="222" t="s">
        <v>179</v>
      </c>
      <c r="B6213" s="222" t="s">
        <v>34</v>
      </c>
      <c r="C6213" s="236">
        <v>0.72986111111111096</v>
      </c>
      <c r="D6213" s="237">
        <v>0</v>
      </c>
      <c r="E6213" s="237">
        <v>0</v>
      </c>
      <c r="F6213" s="237">
        <v>0</v>
      </c>
      <c r="G6213" s="237">
        <v>0</v>
      </c>
      <c r="H6213" s="237">
        <v>0</v>
      </c>
      <c r="I6213" s="237">
        <v>0</v>
      </c>
      <c r="J6213" s="237">
        <v>0</v>
      </c>
    </row>
    <row r="6214" spans="1:10" s="225" customFormat="1">
      <c r="A6214" s="222" t="s">
        <v>179</v>
      </c>
      <c r="B6214" s="222" t="s">
        <v>34</v>
      </c>
      <c r="C6214" s="236">
        <v>0.73055555555555496</v>
      </c>
      <c r="D6214" s="237">
        <v>0</v>
      </c>
      <c r="E6214" s="237">
        <v>0</v>
      </c>
      <c r="F6214" s="237">
        <v>0</v>
      </c>
      <c r="G6214" s="237">
        <v>0</v>
      </c>
      <c r="H6214" s="237">
        <v>0</v>
      </c>
      <c r="I6214" s="237">
        <v>0</v>
      </c>
      <c r="J6214" s="237">
        <v>0</v>
      </c>
    </row>
    <row r="6215" spans="1:10" s="225" customFormat="1">
      <c r="A6215" s="222" t="s">
        <v>179</v>
      </c>
      <c r="B6215" s="222" t="s">
        <v>34</v>
      </c>
      <c r="C6215" s="236">
        <v>0.73124999999999996</v>
      </c>
      <c r="D6215" s="237">
        <v>0</v>
      </c>
      <c r="E6215" s="237">
        <v>0</v>
      </c>
      <c r="F6215" s="237">
        <v>0</v>
      </c>
      <c r="G6215" s="237">
        <v>0</v>
      </c>
      <c r="H6215" s="237">
        <v>0</v>
      </c>
      <c r="I6215" s="237">
        <v>0</v>
      </c>
      <c r="J6215" s="237">
        <v>0</v>
      </c>
    </row>
    <row r="6216" spans="1:10" s="225" customFormat="1">
      <c r="A6216" s="222" t="s">
        <v>179</v>
      </c>
      <c r="B6216" s="222" t="s">
        <v>34</v>
      </c>
      <c r="C6216" s="236">
        <v>0.73194444444444395</v>
      </c>
      <c r="D6216" s="237">
        <v>0</v>
      </c>
      <c r="E6216" s="237">
        <v>0</v>
      </c>
      <c r="F6216" s="237">
        <v>0</v>
      </c>
      <c r="G6216" s="237">
        <v>0</v>
      </c>
      <c r="H6216" s="237">
        <v>0</v>
      </c>
      <c r="I6216" s="237">
        <v>0</v>
      </c>
      <c r="J6216" s="237">
        <v>0</v>
      </c>
    </row>
    <row r="6217" spans="1:10" s="225" customFormat="1">
      <c r="A6217" s="222" t="s">
        <v>179</v>
      </c>
      <c r="B6217" s="222" t="s">
        <v>34</v>
      </c>
      <c r="C6217" s="236">
        <v>0.73263888888888895</v>
      </c>
      <c r="D6217" s="237">
        <v>0</v>
      </c>
      <c r="E6217" s="237">
        <v>0</v>
      </c>
      <c r="F6217" s="237">
        <v>0</v>
      </c>
      <c r="G6217" s="237">
        <v>0</v>
      </c>
      <c r="H6217" s="237">
        <v>0</v>
      </c>
      <c r="I6217" s="237">
        <v>0</v>
      </c>
      <c r="J6217" s="237">
        <v>0</v>
      </c>
    </row>
    <row r="6218" spans="1:10" s="225" customFormat="1">
      <c r="A6218" s="222" t="s">
        <v>179</v>
      </c>
      <c r="B6218" s="222" t="s">
        <v>34</v>
      </c>
      <c r="C6218" s="236">
        <v>0.73333333333333295</v>
      </c>
      <c r="D6218" s="237">
        <v>0</v>
      </c>
      <c r="E6218" s="237">
        <v>0</v>
      </c>
      <c r="F6218" s="237">
        <v>0</v>
      </c>
      <c r="G6218" s="237">
        <v>0</v>
      </c>
      <c r="H6218" s="237">
        <v>0</v>
      </c>
      <c r="I6218" s="237">
        <v>0</v>
      </c>
      <c r="J6218" s="237">
        <v>0</v>
      </c>
    </row>
    <row r="6219" spans="1:10" s="225" customFormat="1">
      <c r="A6219" s="222" t="s">
        <v>179</v>
      </c>
      <c r="B6219" s="222" t="s">
        <v>34</v>
      </c>
      <c r="C6219" s="236">
        <v>0.73402777777777795</v>
      </c>
      <c r="D6219" s="237">
        <v>0</v>
      </c>
      <c r="E6219" s="237">
        <v>0</v>
      </c>
      <c r="F6219" s="237">
        <v>0</v>
      </c>
      <c r="G6219" s="237">
        <v>0</v>
      </c>
      <c r="H6219" s="237">
        <v>0</v>
      </c>
      <c r="I6219" s="237">
        <v>0</v>
      </c>
      <c r="J6219" s="237">
        <v>0</v>
      </c>
    </row>
    <row r="6220" spans="1:10" s="225" customFormat="1">
      <c r="A6220" s="222" t="s">
        <v>179</v>
      </c>
      <c r="B6220" s="222" t="s">
        <v>34</v>
      </c>
      <c r="C6220" s="236">
        <v>0.73472222222222205</v>
      </c>
      <c r="D6220" s="237">
        <v>0</v>
      </c>
      <c r="E6220" s="237">
        <v>0</v>
      </c>
      <c r="F6220" s="237">
        <v>0</v>
      </c>
      <c r="G6220" s="237">
        <v>0</v>
      </c>
      <c r="H6220" s="237">
        <v>0</v>
      </c>
      <c r="I6220" s="237">
        <v>0</v>
      </c>
      <c r="J6220" s="237">
        <v>0</v>
      </c>
    </row>
    <row r="6221" spans="1:10" s="225" customFormat="1">
      <c r="A6221" s="222" t="s">
        <v>179</v>
      </c>
      <c r="B6221" s="222" t="s">
        <v>34</v>
      </c>
      <c r="C6221" s="236">
        <v>0.73541666666666605</v>
      </c>
      <c r="D6221" s="237">
        <v>0</v>
      </c>
      <c r="E6221" s="237">
        <v>0</v>
      </c>
      <c r="F6221" s="237">
        <v>0</v>
      </c>
      <c r="G6221" s="237">
        <v>0</v>
      </c>
      <c r="H6221" s="237">
        <v>0</v>
      </c>
      <c r="I6221" s="237">
        <v>0</v>
      </c>
      <c r="J6221" s="237">
        <v>0</v>
      </c>
    </row>
    <row r="6222" spans="1:10" s="225" customFormat="1">
      <c r="A6222" s="222" t="s">
        <v>179</v>
      </c>
      <c r="B6222" s="222" t="s">
        <v>34</v>
      </c>
      <c r="C6222" s="236">
        <v>0.73611111111111105</v>
      </c>
      <c r="D6222" s="237">
        <v>0</v>
      </c>
      <c r="E6222" s="237">
        <v>0</v>
      </c>
      <c r="F6222" s="237">
        <v>0</v>
      </c>
      <c r="G6222" s="237">
        <v>0</v>
      </c>
      <c r="H6222" s="237">
        <v>0</v>
      </c>
      <c r="I6222" s="237">
        <v>0</v>
      </c>
      <c r="J6222" s="237">
        <v>0</v>
      </c>
    </row>
    <row r="6223" spans="1:10" s="225" customFormat="1">
      <c r="A6223" s="222" t="s">
        <v>179</v>
      </c>
      <c r="B6223" s="222" t="s">
        <v>34</v>
      </c>
      <c r="C6223" s="236">
        <v>0.73680555555555505</v>
      </c>
      <c r="D6223" s="237">
        <v>0</v>
      </c>
      <c r="E6223" s="237">
        <v>0</v>
      </c>
      <c r="F6223" s="237">
        <v>0</v>
      </c>
      <c r="G6223" s="237">
        <v>0</v>
      </c>
      <c r="H6223" s="237">
        <v>0</v>
      </c>
      <c r="I6223" s="237">
        <v>0</v>
      </c>
      <c r="J6223" s="237">
        <v>0</v>
      </c>
    </row>
    <row r="6224" spans="1:10" s="225" customFormat="1">
      <c r="A6224" s="222" t="s">
        <v>179</v>
      </c>
      <c r="B6224" s="222" t="s">
        <v>34</v>
      </c>
      <c r="C6224" s="236">
        <v>0.73750000000000004</v>
      </c>
      <c r="D6224" s="237">
        <v>0</v>
      </c>
      <c r="E6224" s="237">
        <v>0</v>
      </c>
      <c r="F6224" s="237">
        <v>0</v>
      </c>
      <c r="G6224" s="237">
        <v>0</v>
      </c>
      <c r="H6224" s="237">
        <v>0</v>
      </c>
      <c r="I6224" s="237">
        <v>0</v>
      </c>
      <c r="J6224" s="237">
        <v>0</v>
      </c>
    </row>
    <row r="6225" spans="1:10" s="225" customFormat="1">
      <c r="A6225" s="222" t="s">
        <v>179</v>
      </c>
      <c r="B6225" s="222" t="s">
        <v>34</v>
      </c>
      <c r="C6225" s="236">
        <v>0.73819444444444404</v>
      </c>
      <c r="D6225" s="237">
        <v>0</v>
      </c>
      <c r="E6225" s="237">
        <v>0</v>
      </c>
      <c r="F6225" s="237">
        <v>0</v>
      </c>
      <c r="G6225" s="237">
        <v>0</v>
      </c>
      <c r="H6225" s="237">
        <v>0</v>
      </c>
      <c r="I6225" s="237">
        <v>0</v>
      </c>
      <c r="J6225" s="237">
        <v>0</v>
      </c>
    </row>
    <row r="6226" spans="1:10" s="229" customFormat="1">
      <c r="A6226" s="226" t="s">
        <v>179</v>
      </c>
      <c r="B6226" s="226" t="s">
        <v>34</v>
      </c>
      <c r="C6226" s="238">
        <v>0.73888888888888904</v>
      </c>
      <c r="D6226" s="239">
        <v>0</v>
      </c>
      <c r="E6226" s="239">
        <v>0</v>
      </c>
      <c r="F6226" s="239">
        <v>0</v>
      </c>
      <c r="G6226" s="239">
        <v>0</v>
      </c>
      <c r="H6226" s="239">
        <v>0</v>
      </c>
      <c r="I6226" s="239">
        <v>0</v>
      </c>
      <c r="J6226" s="239">
        <v>0</v>
      </c>
    </row>
    <row r="6227" spans="1:10" s="225" customFormat="1">
      <c r="A6227" s="222" t="s">
        <v>179</v>
      </c>
      <c r="B6227" s="222" t="s">
        <v>34</v>
      </c>
      <c r="C6227" s="236">
        <v>0.73958333333333304</v>
      </c>
      <c r="D6227" s="237">
        <v>0</v>
      </c>
      <c r="E6227" s="237">
        <v>0</v>
      </c>
      <c r="F6227" s="237">
        <v>0</v>
      </c>
      <c r="G6227" s="237">
        <v>0</v>
      </c>
      <c r="H6227" s="237">
        <v>0</v>
      </c>
      <c r="I6227" s="237">
        <v>0</v>
      </c>
      <c r="J6227" s="237">
        <v>0</v>
      </c>
    </row>
    <row r="6228" spans="1:10" s="225" customFormat="1">
      <c r="A6228" s="222" t="s">
        <v>179</v>
      </c>
      <c r="B6228" s="222" t="s">
        <v>34</v>
      </c>
      <c r="C6228" s="236">
        <v>0.74027777777777704</v>
      </c>
      <c r="D6228" s="237">
        <v>0</v>
      </c>
      <c r="E6228" s="237">
        <v>0</v>
      </c>
      <c r="F6228" s="237">
        <v>0</v>
      </c>
      <c r="G6228" s="237">
        <v>0</v>
      </c>
      <c r="H6228" s="237">
        <v>0</v>
      </c>
      <c r="I6228" s="237">
        <v>0</v>
      </c>
      <c r="J6228" s="237">
        <v>0</v>
      </c>
    </row>
    <row r="6229" spans="1:10" s="225" customFormat="1">
      <c r="A6229" s="222" t="s">
        <v>179</v>
      </c>
      <c r="B6229" s="222" t="s">
        <v>34</v>
      </c>
      <c r="C6229" s="236">
        <v>0.74097222222222203</v>
      </c>
      <c r="D6229" s="237">
        <v>0</v>
      </c>
      <c r="E6229" s="237">
        <v>0</v>
      </c>
      <c r="F6229" s="237">
        <v>0</v>
      </c>
      <c r="G6229" s="237">
        <v>0</v>
      </c>
      <c r="H6229" s="237">
        <v>0</v>
      </c>
      <c r="I6229" s="237">
        <v>0</v>
      </c>
      <c r="J6229" s="237">
        <v>0</v>
      </c>
    </row>
    <row r="6230" spans="1:10" s="225" customFormat="1">
      <c r="A6230" s="222" t="s">
        <v>179</v>
      </c>
      <c r="B6230" s="222" t="s">
        <v>34</v>
      </c>
      <c r="C6230" s="236">
        <v>0.74166666666666603</v>
      </c>
      <c r="D6230" s="237">
        <v>0</v>
      </c>
      <c r="E6230" s="237">
        <v>0</v>
      </c>
      <c r="F6230" s="237">
        <v>0</v>
      </c>
      <c r="G6230" s="237">
        <v>0</v>
      </c>
      <c r="H6230" s="237">
        <v>0</v>
      </c>
      <c r="I6230" s="237">
        <v>0</v>
      </c>
      <c r="J6230" s="237">
        <v>0</v>
      </c>
    </row>
    <row r="6231" spans="1:10" s="225" customFormat="1">
      <c r="A6231" s="222" t="s">
        <v>179</v>
      </c>
      <c r="B6231" s="222" t="s">
        <v>34</v>
      </c>
      <c r="C6231" s="236">
        <v>0.74236111111111103</v>
      </c>
      <c r="D6231" s="237">
        <v>0</v>
      </c>
      <c r="E6231" s="237">
        <v>0</v>
      </c>
      <c r="F6231" s="237">
        <v>0</v>
      </c>
      <c r="G6231" s="237">
        <v>0</v>
      </c>
      <c r="H6231" s="237">
        <v>0</v>
      </c>
      <c r="I6231" s="237">
        <v>0</v>
      </c>
      <c r="J6231" s="237">
        <v>0</v>
      </c>
    </row>
    <row r="6232" spans="1:10" s="225" customFormat="1">
      <c r="A6232" s="222" t="s">
        <v>179</v>
      </c>
      <c r="B6232" s="222" t="s">
        <v>34</v>
      </c>
      <c r="C6232" s="236">
        <v>0.74305555555555503</v>
      </c>
      <c r="D6232" s="237">
        <v>0</v>
      </c>
      <c r="E6232" s="237">
        <v>0</v>
      </c>
      <c r="F6232" s="237">
        <v>0</v>
      </c>
      <c r="G6232" s="237">
        <v>0</v>
      </c>
      <c r="H6232" s="237">
        <v>0</v>
      </c>
      <c r="I6232" s="237">
        <v>0</v>
      </c>
      <c r="J6232" s="237">
        <v>0</v>
      </c>
    </row>
    <row r="6233" spans="1:10" s="225" customFormat="1">
      <c r="A6233" s="222" t="s">
        <v>179</v>
      </c>
      <c r="B6233" s="222" t="s">
        <v>34</v>
      </c>
      <c r="C6233" s="236">
        <v>0.74375000000000002</v>
      </c>
      <c r="D6233" s="237">
        <v>0</v>
      </c>
      <c r="E6233" s="237">
        <v>0</v>
      </c>
      <c r="F6233" s="237">
        <v>0</v>
      </c>
      <c r="G6233" s="237">
        <v>0</v>
      </c>
      <c r="H6233" s="237">
        <v>0</v>
      </c>
      <c r="I6233" s="237">
        <v>0</v>
      </c>
      <c r="J6233" s="237">
        <v>0</v>
      </c>
    </row>
    <row r="6234" spans="1:10" s="225" customFormat="1">
      <c r="A6234" s="222" t="s">
        <v>179</v>
      </c>
      <c r="B6234" s="222" t="s">
        <v>34</v>
      </c>
      <c r="C6234" s="236">
        <v>0.74444444444444402</v>
      </c>
      <c r="D6234" s="237">
        <v>0</v>
      </c>
      <c r="E6234" s="237">
        <v>0</v>
      </c>
      <c r="F6234" s="237">
        <v>0</v>
      </c>
      <c r="G6234" s="237">
        <v>0</v>
      </c>
      <c r="H6234" s="237">
        <v>0</v>
      </c>
      <c r="I6234" s="237">
        <v>0</v>
      </c>
      <c r="J6234" s="237">
        <v>0</v>
      </c>
    </row>
    <row r="6235" spans="1:10" s="225" customFormat="1">
      <c r="A6235" s="222" t="s">
        <v>179</v>
      </c>
      <c r="B6235" s="222" t="s">
        <v>34</v>
      </c>
      <c r="C6235" s="236">
        <v>0.74513888888888902</v>
      </c>
      <c r="D6235" s="237">
        <v>0</v>
      </c>
      <c r="E6235" s="237">
        <v>0</v>
      </c>
      <c r="F6235" s="237">
        <v>0</v>
      </c>
      <c r="G6235" s="237">
        <v>0</v>
      </c>
      <c r="H6235" s="237">
        <v>0</v>
      </c>
      <c r="I6235" s="237">
        <v>0</v>
      </c>
      <c r="J6235" s="237">
        <v>0</v>
      </c>
    </row>
    <row r="6236" spans="1:10" s="225" customFormat="1">
      <c r="A6236" s="222" t="s">
        <v>179</v>
      </c>
      <c r="B6236" s="222" t="s">
        <v>34</v>
      </c>
      <c r="C6236" s="236">
        <v>0.74583333333333302</v>
      </c>
      <c r="D6236" s="237">
        <v>0</v>
      </c>
      <c r="E6236" s="237">
        <v>0</v>
      </c>
      <c r="F6236" s="237">
        <v>0</v>
      </c>
      <c r="G6236" s="237">
        <v>0</v>
      </c>
      <c r="H6236" s="237">
        <v>0</v>
      </c>
      <c r="I6236" s="237">
        <v>0</v>
      </c>
      <c r="J6236" s="237">
        <v>0</v>
      </c>
    </row>
    <row r="6237" spans="1:10" s="225" customFormat="1">
      <c r="A6237" s="222" t="s">
        <v>179</v>
      </c>
      <c r="B6237" s="222" t="s">
        <v>34</v>
      </c>
      <c r="C6237" s="236">
        <v>0.74652777777777701</v>
      </c>
      <c r="D6237" s="237">
        <v>0</v>
      </c>
      <c r="E6237" s="237">
        <v>0</v>
      </c>
      <c r="F6237" s="237">
        <v>0</v>
      </c>
      <c r="G6237" s="237">
        <v>0</v>
      </c>
      <c r="H6237" s="237">
        <v>0</v>
      </c>
      <c r="I6237" s="237">
        <v>0</v>
      </c>
      <c r="J6237" s="237">
        <v>0</v>
      </c>
    </row>
    <row r="6238" spans="1:10" s="225" customFormat="1">
      <c r="A6238" s="222" t="s">
        <v>179</v>
      </c>
      <c r="B6238" s="222" t="s">
        <v>34</v>
      </c>
      <c r="C6238" s="236">
        <v>0.74722222222222201</v>
      </c>
      <c r="D6238" s="237">
        <v>0</v>
      </c>
      <c r="E6238" s="237">
        <v>0</v>
      </c>
      <c r="F6238" s="237">
        <v>0</v>
      </c>
      <c r="G6238" s="237">
        <v>0</v>
      </c>
      <c r="H6238" s="237">
        <v>0</v>
      </c>
      <c r="I6238" s="237">
        <v>0</v>
      </c>
      <c r="J6238" s="237">
        <v>0</v>
      </c>
    </row>
    <row r="6239" spans="1:10" s="225" customFormat="1">
      <c r="A6239" s="222" t="s">
        <v>179</v>
      </c>
      <c r="B6239" s="222" t="s">
        <v>34</v>
      </c>
      <c r="C6239" s="236">
        <v>0.74791666666666601</v>
      </c>
      <c r="D6239" s="237">
        <v>0</v>
      </c>
      <c r="E6239" s="237">
        <v>0</v>
      </c>
      <c r="F6239" s="237">
        <v>0</v>
      </c>
      <c r="G6239" s="237">
        <v>0</v>
      </c>
      <c r="H6239" s="237">
        <v>0</v>
      </c>
      <c r="I6239" s="237">
        <v>0</v>
      </c>
      <c r="J6239" s="237">
        <v>0</v>
      </c>
    </row>
    <row r="6240" spans="1:10" s="225" customFormat="1">
      <c r="A6240" s="222" t="s">
        <v>179</v>
      </c>
      <c r="B6240" s="222" t="s">
        <v>34</v>
      </c>
      <c r="C6240" s="236">
        <v>0.74861111111111101</v>
      </c>
      <c r="D6240" s="237">
        <v>0</v>
      </c>
      <c r="E6240" s="237">
        <v>0</v>
      </c>
      <c r="F6240" s="237">
        <v>0</v>
      </c>
      <c r="G6240" s="237">
        <v>0</v>
      </c>
      <c r="H6240" s="237">
        <v>0</v>
      </c>
      <c r="I6240" s="237">
        <v>0</v>
      </c>
      <c r="J6240" s="237">
        <v>0</v>
      </c>
    </row>
    <row r="6241" spans="1:10" s="229" customFormat="1">
      <c r="A6241" s="226" t="s">
        <v>179</v>
      </c>
      <c r="B6241" s="226" t="s">
        <v>34</v>
      </c>
      <c r="C6241" s="238">
        <v>0.749305555555555</v>
      </c>
      <c r="D6241" s="239">
        <v>0</v>
      </c>
      <c r="E6241" s="239">
        <v>0</v>
      </c>
      <c r="F6241" s="239">
        <v>0</v>
      </c>
      <c r="G6241" s="239">
        <v>0</v>
      </c>
      <c r="H6241" s="239">
        <v>0</v>
      </c>
      <c r="I6241" s="239">
        <v>0</v>
      </c>
      <c r="J6241" s="239">
        <v>0</v>
      </c>
    </row>
    <row r="6242" spans="1:10" s="225" customFormat="1">
      <c r="A6242" s="222" t="s">
        <v>179</v>
      </c>
      <c r="B6242" s="222" t="s">
        <v>34</v>
      </c>
      <c r="C6242" s="236">
        <v>0.75</v>
      </c>
      <c r="D6242" s="237">
        <v>0</v>
      </c>
      <c r="E6242" s="237">
        <v>0</v>
      </c>
      <c r="F6242" s="237">
        <v>0</v>
      </c>
      <c r="G6242" s="237">
        <v>0</v>
      </c>
      <c r="H6242" s="237">
        <v>0</v>
      </c>
      <c r="I6242" s="237">
        <v>0</v>
      </c>
      <c r="J6242" s="237">
        <v>0</v>
      </c>
    </row>
    <row r="6243" spans="1:10" s="225" customFormat="1">
      <c r="A6243" s="222" t="s">
        <v>179</v>
      </c>
      <c r="B6243" s="222" t="s">
        <v>34</v>
      </c>
      <c r="C6243" s="236">
        <v>0.75069444444444444</v>
      </c>
      <c r="D6243" s="237">
        <v>0</v>
      </c>
      <c r="E6243" s="237">
        <v>0</v>
      </c>
      <c r="F6243" s="237">
        <v>0</v>
      </c>
      <c r="G6243" s="237">
        <v>0</v>
      </c>
      <c r="H6243" s="237">
        <v>0</v>
      </c>
      <c r="I6243" s="237">
        <v>0</v>
      </c>
      <c r="J6243" s="237">
        <v>0</v>
      </c>
    </row>
    <row r="6244" spans="1:10" s="225" customFormat="1">
      <c r="A6244" s="222" t="s">
        <v>179</v>
      </c>
      <c r="B6244" s="222" t="s">
        <v>34</v>
      </c>
      <c r="C6244" s="236">
        <v>0.75138888888888899</v>
      </c>
      <c r="D6244" s="237">
        <v>0</v>
      </c>
      <c r="E6244" s="237">
        <v>0</v>
      </c>
      <c r="F6244" s="237">
        <v>0</v>
      </c>
      <c r="G6244" s="237">
        <v>0</v>
      </c>
      <c r="H6244" s="237">
        <v>0</v>
      </c>
      <c r="I6244" s="237">
        <v>0</v>
      </c>
      <c r="J6244" s="237">
        <v>0</v>
      </c>
    </row>
    <row r="6245" spans="1:10" s="225" customFormat="1">
      <c r="A6245" s="222" t="s">
        <v>179</v>
      </c>
      <c r="B6245" s="222" t="s">
        <v>34</v>
      </c>
      <c r="C6245" s="236">
        <v>0.75208333333333299</v>
      </c>
      <c r="D6245" s="237">
        <v>0</v>
      </c>
      <c r="E6245" s="237">
        <v>0</v>
      </c>
      <c r="F6245" s="237">
        <v>0</v>
      </c>
      <c r="G6245" s="237">
        <v>0</v>
      </c>
      <c r="H6245" s="237">
        <v>0</v>
      </c>
      <c r="I6245" s="237">
        <v>0</v>
      </c>
      <c r="J6245" s="237">
        <v>0</v>
      </c>
    </row>
    <row r="6246" spans="1:10" s="225" customFormat="1">
      <c r="A6246" s="222" t="s">
        <v>179</v>
      </c>
      <c r="B6246" s="222" t="s">
        <v>34</v>
      </c>
      <c r="C6246" s="236">
        <v>0.75277777777777799</v>
      </c>
      <c r="D6246" s="237">
        <v>0</v>
      </c>
      <c r="E6246" s="237">
        <v>0</v>
      </c>
      <c r="F6246" s="237">
        <v>0</v>
      </c>
      <c r="G6246" s="237">
        <v>0</v>
      </c>
      <c r="H6246" s="237">
        <v>0</v>
      </c>
      <c r="I6246" s="237">
        <v>0</v>
      </c>
      <c r="J6246" s="237">
        <v>0</v>
      </c>
    </row>
    <row r="6247" spans="1:10" s="225" customFormat="1">
      <c r="A6247" s="222" t="s">
        <v>179</v>
      </c>
      <c r="B6247" s="222" t="s">
        <v>34</v>
      </c>
      <c r="C6247" s="236">
        <v>0.75347222222222199</v>
      </c>
      <c r="D6247" s="237">
        <v>0</v>
      </c>
      <c r="E6247" s="237">
        <v>0</v>
      </c>
      <c r="F6247" s="237">
        <v>0</v>
      </c>
      <c r="G6247" s="237">
        <v>0</v>
      </c>
      <c r="H6247" s="237">
        <v>0</v>
      </c>
      <c r="I6247" s="237">
        <v>0</v>
      </c>
      <c r="J6247" s="237">
        <v>0</v>
      </c>
    </row>
    <row r="6248" spans="1:10" s="225" customFormat="1">
      <c r="A6248" s="222" t="s">
        <v>179</v>
      </c>
      <c r="B6248" s="222" t="s">
        <v>34</v>
      </c>
      <c r="C6248" s="236">
        <v>0.75416666666666698</v>
      </c>
      <c r="D6248" s="237">
        <v>0</v>
      </c>
      <c r="E6248" s="237">
        <v>0</v>
      </c>
      <c r="F6248" s="237">
        <v>0</v>
      </c>
      <c r="G6248" s="237">
        <v>0</v>
      </c>
      <c r="H6248" s="237">
        <v>0</v>
      </c>
      <c r="I6248" s="237">
        <v>0</v>
      </c>
      <c r="J6248" s="237">
        <v>0</v>
      </c>
    </row>
    <row r="6249" spans="1:10" s="225" customFormat="1">
      <c r="A6249" s="222" t="s">
        <v>179</v>
      </c>
      <c r="B6249" s="222" t="s">
        <v>34</v>
      </c>
      <c r="C6249" s="236">
        <v>0.75486111111111098</v>
      </c>
      <c r="D6249" s="237">
        <v>0</v>
      </c>
      <c r="E6249" s="237">
        <v>0</v>
      </c>
      <c r="F6249" s="237">
        <v>0</v>
      </c>
      <c r="G6249" s="237">
        <v>0</v>
      </c>
      <c r="H6249" s="237">
        <v>0</v>
      </c>
      <c r="I6249" s="237">
        <v>0</v>
      </c>
      <c r="J6249" s="237">
        <v>0</v>
      </c>
    </row>
    <row r="6250" spans="1:10" s="225" customFormat="1">
      <c r="A6250" s="222" t="s">
        <v>179</v>
      </c>
      <c r="B6250" s="222" t="s">
        <v>34</v>
      </c>
      <c r="C6250" s="236">
        <v>0.75555555555555598</v>
      </c>
      <c r="D6250" s="237">
        <v>0</v>
      </c>
      <c r="E6250" s="237">
        <v>0</v>
      </c>
      <c r="F6250" s="237">
        <v>0</v>
      </c>
      <c r="G6250" s="237">
        <v>0</v>
      </c>
      <c r="H6250" s="237">
        <v>0</v>
      </c>
      <c r="I6250" s="237">
        <v>0</v>
      </c>
      <c r="J6250" s="237">
        <v>0</v>
      </c>
    </row>
    <row r="6251" spans="1:10" s="225" customFormat="1">
      <c r="A6251" s="222" t="s">
        <v>179</v>
      </c>
      <c r="B6251" s="222" t="s">
        <v>34</v>
      </c>
      <c r="C6251" s="236">
        <v>0.75624999999999998</v>
      </c>
      <c r="D6251" s="237">
        <v>0</v>
      </c>
      <c r="E6251" s="237">
        <v>0</v>
      </c>
      <c r="F6251" s="237">
        <v>0</v>
      </c>
      <c r="G6251" s="237">
        <v>0</v>
      </c>
      <c r="H6251" s="237">
        <v>0</v>
      </c>
      <c r="I6251" s="237">
        <v>0</v>
      </c>
      <c r="J6251" s="237">
        <v>0</v>
      </c>
    </row>
    <row r="6252" spans="1:10" s="225" customFormat="1">
      <c r="A6252" s="222" t="s">
        <v>179</v>
      </c>
      <c r="B6252" s="222" t="s">
        <v>34</v>
      </c>
      <c r="C6252" s="236">
        <v>0.75694444444444398</v>
      </c>
      <c r="D6252" s="237">
        <v>0</v>
      </c>
      <c r="E6252" s="237">
        <v>0</v>
      </c>
      <c r="F6252" s="237">
        <v>0</v>
      </c>
      <c r="G6252" s="237">
        <v>0</v>
      </c>
      <c r="H6252" s="237">
        <v>0</v>
      </c>
      <c r="I6252" s="237">
        <v>0</v>
      </c>
      <c r="J6252" s="237">
        <v>0</v>
      </c>
    </row>
    <row r="6253" spans="1:10" s="225" customFormat="1">
      <c r="A6253" s="222" t="s">
        <v>179</v>
      </c>
      <c r="B6253" s="222" t="s">
        <v>34</v>
      </c>
      <c r="C6253" s="236">
        <v>0.75763888888888897</v>
      </c>
      <c r="D6253" s="237">
        <v>0</v>
      </c>
      <c r="E6253" s="237">
        <v>0</v>
      </c>
      <c r="F6253" s="237">
        <v>0</v>
      </c>
      <c r="G6253" s="237">
        <v>0</v>
      </c>
      <c r="H6253" s="237">
        <v>0</v>
      </c>
      <c r="I6253" s="237">
        <v>0</v>
      </c>
      <c r="J6253" s="237">
        <v>0</v>
      </c>
    </row>
    <row r="6254" spans="1:10" s="225" customFormat="1">
      <c r="A6254" s="222" t="s">
        <v>179</v>
      </c>
      <c r="B6254" s="222" t="s">
        <v>34</v>
      </c>
      <c r="C6254" s="236">
        <v>0.75833333333333297</v>
      </c>
      <c r="D6254" s="237">
        <v>0</v>
      </c>
      <c r="E6254" s="237">
        <v>0</v>
      </c>
      <c r="F6254" s="237">
        <v>0</v>
      </c>
      <c r="G6254" s="237">
        <v>0</v>
      </c>
      <c r="H6254" s="237">
        <v>0</v>
      </c>
      <c r="I6254" s="237">
        <v>0</v>
      </c>
      <c r="J6254" s="237">
        <v>0</v>
      </c>
    </row>
    <row r="6255" spans="1:10" s="225" customFormat="1">
      <c r="A6255" s="222" t="s">
        <v>179</v>
      </c>
      <c r="B6255" s="222" t="s">
        <v>34</v>
      </c>
      <c r="C6255" s="236">
        <v>0.75902777777777797</v>
      </c>
      <c r="D6255" s="237">
        <v>0</v>
      </c>
      <c r="E6255" s="237">
        <v>0</v>
      </c>
      <c r="F6255" s="237">
        <v>0</v>
      </c>
      <c r="G6255" s="237">
        <v>0</v>
      </c>
      <c r="H6255" s="237">
        <v>0</v>
      </c>
      <c r="I6255" s="237">
        <v>0</v>
      </c>
      <c r="J6255" s="237">
        <v>0</v>
      </c>
    </row>
    <row r="6256" spans="1:10" s="229" customFormat="1">
      <c r="A6256" s="226" t="s">
        <v>179</v>
      </c>
      <c r="B6256" s="226" t="s">
        <v>34</v>
      </c>
      <c r="C6256" s="238">
        <v>0.75972222222222197</v>
      </c>
      <c r="D6256" s="239">
        <v>0</v>
      </c>
      <c r="E6256" s="239">
        <v>0</v>
      </c>
      <c r="F6256" s="239">
        <v>0</v>
      </c>
      <c r="G6256" s="239">
        <v>0</v>
      </c>
      <c r="H6256" s="239">
        <v>0</v>
      </c>
      <c r="I6256" s="239">
        <v>0</v>
      </c>
      <c r="J6256" s="239">
        <v>0</v>
      </c>
    </row>
    <row r="6257" spans="1:10" s="225" customFormat="1">
      <c r="A6257" s="222" t="s">
        <v>179</v>
      </c>
      <c r="B6257" s="222" t="s">
        <v>34</v>
      </c>
      <c r="C6257" s="236">
        <v>0.76041666666666696</v>
      </c>
      <c r="D6257" s="237">
        <v>0</v>
      </c>
      <c r="E6257" s="237">
        <v>0</v>
      </c>
      <c r="F6257" s="237">
        <v>0</v>
      </c>
      <c r="G6257" s="237">
        <v>0</v>
      </c>
      <c r="H6257" s="237">
        <v>0</v>
      </c>
      <c r="I6257" s="237">
        <v>0</v>
      </c>
      <c r="J6257" s="237">
        <v>0</v>
      </c>
    </row>
    <row r="6258" spans="1:10" s="225" customFormat="1">
      <c r="A6258" s="222" t="s">
        <v>179</v>
      </c>
      <c r="B6258" s="222" t="s">
        <v>34</v>
      </c>
      <c r="C6258" s="236">
        <v>0.76111111111111096</v>
      </c>
      <c r="D6258" s="237">
        <v>0</v>
      </c>
      <c r="E6258" s="237">
        <v>0</v>
      </c>
      <c r="F6258" s="237">
        <v>0</v>
      </c>
      <c r="G6258" s="237">
        <v>0</v>
      </c>
      <c r="H6258" s="237">
        <v>0</v>
      </c>
      <c r="I6258" s="237">
        <v>0</v>
      </c>
      <c r="J6258" s="237">
        <v>0</v>
      </c>
    </row>
    <row r="6259" spans="1:10" s="225" customFormat="1">
      <c r="A6259" s="222" t="s">
        <v>179</v>
      </c>
      <c r="B6259" s="222" t="s">
        <v>34</v>
      </c>
      <c r="C6259" s="236">
        <v>0.76180555555555596</v>
      </c>
      <c r="D6259" s="237">
        <v>0</v>
      </c>
      <c r="E6259" s="237">
        <v>0</v>
      </c>
      <c r="F6259" s="237">
        <v>0</v>
      </c>
      <c r="G6259" s="237">
        <v>0</v>
      </c>
      <c r="H6259" s="237">
        <v>0</v>
      </c>
      <c r="I6259" s="237">
        <v>0</v>
      </c>
      <c r="J6259" s="237">
        <v>0</v>
      </c>
    </row>
    <row r="6260" spans="1:10" s="225" customFormat="1">
      <c r="A6260" s="222" t="s">
        <v>179</v>
      </c>
      <c r="B6260" s="222" t="s">
        <v>34</v>
      </c>
      <c r="C6260" s="236">
        <v>0.76249999999999996</v>
      </c>
      <c r="D6260" s="237">
        <v>0</v>
      </c>
      <c r="E6260" s="237">
        <v>0</v>
      </c>
      <c r="F6260" s="237">
        <v>0</v>
      </c>
      <c r="G6260" s="237">
        <v>0</v>
      </c>
      <c r="H6260" s="237">
        <v>0</v>
      </c>
      <c r="I6260" s="237">
        <v>0</v>
      </c>
      <c r="J6260" s="237">
        <v>0</v>
      </c>
    </row>
    <row r="6261" spans="1:10" s="225" customFormat="1">
      <c r="A6261" s="222" t="s">
        <v>179</v>
      </c>
      <c r="B6261" s="222" t="s">
        <v>34</v>
      </c>
      <c r="C6261" s="236">
        <v>0.76319444444444395</v>
      </c>
      <c r="D6261" s="237">
        <v>0</v>
      </c>
      <c r="E6261" s="237">
        <v>0</v>
      </c>
      <c r="F6261" s="237">
        <v>0</v>
      </c>
      <c r="G6261" s="237">
        <v>0</v>
      </c>
      <c r="H6261" s="237">
        <v>0</v>
      </c>
      <c r="I6261" s="237">
        <v>0</v>
      </c>
      <c r="J6261" s="237">
        <v>0</v>
      </c>
    </row>
    <row r="6262" spans="1:10" s="225" customFormat="1">
      <c r="A6262" s="222" t="s">
        <v>179</v>
      </c>
      <c r="B6262" s="222" t="s">
        <v>34</v>
      </c>
      <c r="C6262" s="236">
        <v>0.76388888888888895</v>
      </c>
      <c r="D6262" s="237">
        <v>0</v>
      </c>
      <c r="E6262" s="237">
        <v>0</v>
      </c>
      <c r="F6262" s="237">
        <v>0</v>
      </c>
      <c r="G6262" s="237">
        <v>0</v>
      </c>
      <c r="H6262" s="237">
        <v>0</v>
      </c>
      <c r="I6262" s="237">
        <v>0</v>
      </c>
      <c r="J6262" s="237">
        <v>0</v>
      </c>
    </row>
    <row r="6263" spans="1:10" s="225" customFormat="1">
      <c r="A6263" s="222" t="s">
        <v>179</v>
      </c>
      <c r="B6263" s="222" t="s">
        <v>34</v>
      </c>
      <c r="C6263" s="236">
        <v>0.76458333333333295</v>
      </c>
      <c r="D6263" s="237">
        <v>0</v>
      </c>
      <c r="E6263" s="237">
        <v>0</v>
      </c>
      <c r="F6263" s="237">
        <v>0</v>
      </c>
      <c r="G6263" s="237">
        <v>0</v>
      </c>
      <c r="H6263" s="237">
        <v>0</v>
      </c>
      <c r="I6263" s="237">
        <v>0</v>
      </c>
      <c r="J6263" s="237">
        <v>0</v>
      </c>
    </row>
    <row r="6264" spans="1:10" s="225" customFormat="1">
      <c r="A6264" s="222" t="s">
        <v>179</v>
      </c>
      <c r="B6264" s="222" t="s">
        <v>34</v>
      </c>
      <c r="C6264" s="236">
        <v>0.76527777777777795</v>
      </c>
      <c r="D6264" s="237">
        <v>0</v>
      </c>
      <c r="E6264" s="237">
        <v>0</v>
      </c>
      <c r="F6264" s="237">
        <v>0</v>
      </c>
      <c r="G6264" s="237">
        <v>0</v>
      </c>
      <c r="H6264" s="237">
        <v>0</v>
      </c>
      <c r="I6264" s="237">
        <v>0</v>
      </c>
      <c r="J6264" s="237">
        <v>0</v>
      </c>
    </row>
    <row r="6265" spans="1:10" s="225" customFormat="1">
      <c r="A6265" s="222" t="s">
        <v>179</v>
      </c>
      <c r="B6265" s="222" t="s">
        <v>34</v>
      </c>
      <c r="C6265" s="236">
        <v>0.76597222222222205</v>
      </c>
      <c r="D6265" s="237">
        <v>0</v>
      </c>
      <c r="E6265" s="237">
        <v>0</v>
      </c>
      <c r="F6265" s="237">
        <v>0</v>
      </c>
      <c r="G6265" s="237">
        <v>0</v>
      </c>
      <c r="H6265" s="237">
        <v>0</v>
      </c>
      <c r="I6265" s="237">
        <v>0</v>
      </c>
      <c r="J6265" s="237">
        <v>0</v>
      </c>
    </row>
    <row r="6266" spans="1:10" s="225" customFormat="1">
      <c r="A6266" s="222" t="s">
        <v>179</v>
      </c>
      <c r="B6266" s="222" t="s">
        <v>34</v>
      </c>
      <c r="C6266" s="236">
        <v>0.76666666666666705</v>
      </c>
      <c r="D6266" s="237">
        <v>0</v>
      </c>
      <c r="E6266" s="237">
        <v>0</v>
      </c>
      <c r="F6266" s="237">
        <v>0</v>
      </c>
      <c r="G6266" s="237">
        <v>0</v>
      </c>
      <c r="H6266" s="237">
        <v>0</v>
      </c>
      <c r="I6266" s="237">
        <v>0</v>
      </c>
      <c r="J6266" s="237">
        <v>0</v>
      </c>
    </row>
    <row r="6267" spans="1:10" s="225" customFormat="1">
      <c r="A6267" s="222" t="s">
        <v>179</v>
      </c>
      <c r="B6267" s="222" t="s">
        <v>34</v>
      </c>
      <c r="C6267" s="236">
        <v>0.76736111111111105</v>
      </c>
      <c r="D6267" s="237">
        <v>0</v>
      </c>
      <c r="E6267" s="237">
        <v>0</v>
      </c>
      <c r="F6267" s="237">
        <v>0</v>
      </c>
      <c r="G6267" s="237">
        <v>0</v>
      </c>
      <c r="H6267" s="237">
        <v>0</v>
      </c>
      <c r="I6267" s="237">
        <v>0</v>
      </c>
      <c r="J6267" s="237">
        <v>0</v>
      </c>
    </row>
    <row r="6268" spans="1:10" s="225" customFormat="1">
      <c r="A6268" s="222" t="s">
        <v>179</v>
      </c>
      <c r="B6268" s="222" t="s">
        <v>34</v>
      </c>
      <c r="C6268" s="236">
        <v>0.76805555555555505</v>
      </c>
      <c r="D6268" s="237">
        <v>0</v>
      </c>
      <c r="E6268" s="237">
        <v>0</v>
      </c>
      <c r="F6268" s="237">
        <v>0</v>
      </c>
      <c r="G6268" s="237">
        <v>0</v>
      </c>
      <c r="H6268" s="237">
        <v>0</v>
      </c>
      <c r="I6268" s="237">
        <v>0</v>
      </c>
      <c r="J6268" s="237">
        <v>0</v>
      </c>
    </row>
    <row r="6269" spans="1:10" s="225" customFormat="1">
      <c r="A6269" s="222" t="s">
        <v>179</v>
      </c>
      <c r="B6269" s="222" t="s">
        <v>34</v>
      </c>
      <c r="C6269" s="236">
        <v>0.76875000000000004</v>
      </c>
      <c r="D6269" s="237">
        <v>0</v>
      </c>
      <c r="E6269" s="237">
        <v>0</v>
      </c>
      <c r="F6269" s="237">
        <v>0</v>
      </c>
      <c r="G6269" s="237">
        <v>0</v>
      </c>
      <c r="H6269" s="237">
        <v>0</v>
      </c>
      <c r="I6269" s="237">
        <v>0</v>
      </c>
      <c r="J6269" s="237">
        <v>0</v>
      </c>
    </row>
    <row r="6270" spans="1:10" s="225" customFormat="1">
      <c r="A6270" s="222" t="s">
        <v>179</v>
      </c>
      <c r="B6270" s="222" t="s">
        <v>34</v>
      </c>
      <c r="C6270" s="236">
        <v>0.76944444444444404</v>
      </c>
      <c r="D6270" s="237">
        <v>0</v>
      </c>
      <c r="E6270" s="237">
        <v>0</v>
      </c>
      <c r="F6270" s="237">
        <v>0</v>
      </c>
      <c r="G6270" s="237">
        <v>0</v>
      </c>
      <c r="H6270" s="237">
        <v>0</v>
      </c>
      <c r="I6270" s="237">
        <v>0</v>
      </c>
      <c r="J6270" s="237">
        <v>0</v>
      </c>
    </row>
    <row r="6271" spans="1:10" s="229" customFormat="1">
      <c r="A6271" s="226" t="s">
        <v>179</v>
      </c>
      <c r="B6271" s="226" t="s">
        <v>34</v>
      </c>
      <c r="C6271" s="238">
        <v>0.77013888888888904</v>
      </c>
      <c r="D6271" s="239">
        <v>0</v>
      </c>
      <c r="E6271" s="239">
        <v>0</v>
      </c>
      <c r="F6271" s="239">
        <v>0</v>
      </c>
      <c r="G6271" s="239">
        <v>0</v>
      </c>
      <c r="H6271" s="239">
        <v>0</v>
      </c>
      <c r="I6271" s="239">
        <v>0</v>
      </c>
      <c r="J6271" s="239">
        <v>0</v>
      </c>
    </row>
    <row r="6272" spans="1:10" s="225" customFormat="1">
      <c r="A6272" s="222" t="s">
        <v>179</v>
      </c>
      <c r="B6272" s="222" t="s">
        <v>34</v>
      </c>
      <c r="C6272" s="236">
        <v>0.77083333333333304</v>
      </c>
      <c r="D6272" s="237">
        <v>0</v>
      </c>
      <c r="E6272" s="237">
        <v>0</v>
      </c>
      <c r="F6272" s="237">
        <v>0</v>
      </c>
      <c r="G6272" s="237">
        <v>0</v>
      </c>
      <c r="H6272" s="237">
        <v>0</v>
      </c>
      <c r="I6272" s="237">
        <v>0</v>
      </c>
      <c r="J6272" s="237">
        <v>0</v>
      </c>
    </row>
    <row r="6273" spans="1:10" s="225" customFormat="1">
      <c r="A6273" s="222" t="s">
        <v>179</v>
      </c>
      <c r="B6273" s="222" t="s">
        <v>34</v>
      </c>
      <c r="C6273" s="236">
        <v>0.77152777777777803</v>
      </c>
      <c r="D6273" s="237">
        <v>0</v>
      </c>
      <c r="E6273" s="237">
        <v>0</v>
      </c>
      <c r="F6273" s="237">
        <v>0</v>
      </c>
      <c r="G6273" s="237">
        <v>0</v>
      </c>
      <c r="H6273" s="237">
        <v>0</v>
      </c>
      <c r="I6273" s="237">
        <v>0</v>
      </c>
      <c r="J6273" s="237">
        <v>0</v>
      </c>
    </row>
    <row r="6274" spans="1:10" s="225" customFormat="1">
      <c r="A6274" s="222" t="s">
        <v>179</v>
      </c>
      <c r="B6274" s="222" t="s">
        <v>34</v>
      </c>
      <c r="C6274" s="236">
        <v>0.77222222222222203</v>
      </c>
      <c r="D6274" s="237">
        <v>0</v>
      </c>
      <c r="E6274" s="237">
        <v>0</v>
      </c>
      <c r="F6274" s="237">
        <v>0</v>
      </c>
      <c r="G6274" s="237">
        <v>0</v>
      </c>
      <c r="H6274" s="237">
        <v>0</v>
      </c>
      <c r="I6274" s="237">
        <v>0</v>
      </c>
      <c r="J6274" s="237">
        <v>0</v>
      </c>
    </row>
    <row r="6275" spans="1:10" s="225" customFormat="1">
      <c r="A6275" s="222" t="s">
        <v>179</v>
      </c>
      <c r="B6275" s="222" t="s">
        <v>34</v>
      </c>
      <c r="C6275" s="236">
        <v>0.77291666666666703</v>
      </c>
      <c r="D6275" s="237">
        <v>0</v>
      </c>
      <c r="E6275" s="237">
        <v>0</v>
      </c>
      <c r="F6275" s="237">
        <v>0</v>
      </c>
      <c r="G6275" s="237">
        <v>0</v>
      </c>
      <c r="H6275" s="237">
        <v>0</v>
      </c>
      <c r="I6275" s="237">
        <v>0</v>
      </c>
      <c r="J6275" s="237">
        <v>0</v>
      </c>
    </row>
    <row r="6276" spans="1:10" s="225" customFormat="1">
      <c r="A6276" s="222" t="s">
        <v>179</v>
      </c>
      <c r="B6276" s="222" t="s">
        <v>34</v>
      </c>
      <c r="C6276" s="236">
        <v>0.77361111111111103</v>
      </c>
      <c r="D6276" s="237">
        <v>0</v>
      </c>
      <c r="E6276" s="237">
        <v>0</v>
      </c>
      <c r="F6276" s="237">
        <v>0</v>
      </c>
      <c r="G6276" s="237">
        <v>0</v>
      </c>
      <c r="H6276" s="237">
        <v>0</v>
      </c>
      <c r="I6276" s="237">
        <v>0</v>
      </c>
      <c r="J6276" s="237">
        <v>0</v>
      </c>
    </row>
    <row r="6277" spans="1:10" s="225" customFormat="1">
      <c r="A6277" s="222" t="s">
        <v>179</v>
      </c>
      <c r="B6277" s="222" t="s">
        <v>34</v>
      </c>
      <c r="C6277" s="236">
        <v>0.77430555555555503</v>
      </c>
      <c r="D6277" s="237">
        <v>0</v>
      </c>
      <c r="E6277" s="237">
        <v>0</v>
      </c>
      <c r="F6277" s="237">
        <v>0</v>
      </c>
      <c r="G6277" s="237">
        <v>0</v>
      </c>
      <c r="H6277" s="237">
        <v>0</v>
      </c>
      <c r="I6277" s="237">
        <v>0</v>
      </c>
      <c r="J6277" s="237">
        <v>0</v>
      </c>
    </row>
    <row r="6278" spans="1:10" s="225" customFormat="1">
      <c r="A6278" s="222" t="s">
        <v>179</v>
      </c>
      <c r="B6278" s="222" t="s">
        <v>34</v>
      </c>
      <c r="C6278" s="236">
        <v>0.77500000000000002</v>
      </c>
      <c r="D6278" s="237">
        <v>0</v>
      </c>
      <c r="E6278" s="237">
        <v>0</v>
      </c>
      <c r="F6278" s="237">
        <v>0</v>
      </c>
      <c r="G6278" s="237">
        <v>0</v>
      </c>
      <c r="H6278" s="237">
        <v>0</v>
      </c>
      <c r="I6278" s="237">
        <v>0</v>
      </c>
      <c r="J6278" s="237">
        <v>0</v>
      </c>
    </row>
    <row r="6279" spans="1:10" s="225" customFormat="1">
      <c r="A6279" s="222" t="s">
        <v>179</v>
      </c>
      <c r="B6279" s="222" t="s">
        <v>34</v>
      </c>
      <c r="C6279" s="236">
        <v>0.77569444444444402</v>
      </c>
      <c r="D6279" s="237">
        <v>0</v>
      </c>
      <c r="E6279" s="237">
        <v>0</v>
      </c>
      <c r="F6279" s="237">
        <v>0</v>
      </c>
      <c r="G6279" s="237">
        <v>0</v>
      </c>
      <c r="H6279" s="237">
        <v>0</v>
      </c>
      <c r="I6279" s="237">
        <v>0</v>
      </c>
      <c r="J6279" s="237">
        <v>0</v>
      </c>
    </row>
    <row r="6280" spans="1:10" s="225" customFormat="1">
      <c r="A6280" s="222" t="s">
        <v>179</v>
      </c>
      <c r="B6280" s="222" t="s">
        <v>34</v>
      </c>
      <c r="C6280" s="236">
        <v>0.77638888888888902</v>
      </c>
      <c r="D6280" s="237">
        <v>0</v>
      </c>
      <c r="E6280" s="237">
        <v>0</v>
      </c>
      <c r="F6280" s="237">
        <v>0</v>
      </c>
      <c r="G6280" s="237">
        <v>0</v>
      </c>
      <c r="H6280" s="237">
        <v>0</v>
      </c>
      <c r="I6280" s="237">
        <v>0</v>
      </c>
      <c r="J6280" s="237">
        <v>0</v>
      </c>
    </row>
    <row r="6281" spans="1:10" s="225" customFormat="1">
      <c r="A6281" s="222" t="s">
        <v>179</v>
      </c>
      <c r="B6281" s="222" t="s">
        <v>34</v>
      </c>
      <c r="C6281" s="236">
        <v>0.77708333333333302</v>
      </c>
      <c r="D6281" s="237">
        <v>0</v>
      </c>
      <c r="E6281" s="237">
        <v>0</v>
      </c>
      <c r="F6281" s="237">
        <v>0</v>
      </c>
      <c r="G6281" s="237">
        <v>0</v>
      </c>
      <c r="H6281" s="237">
        <v>0</v>
      </c>
      <c r="I6281" s="237">
        <v>0</v>
      </c>
      <c r="J6281" s="237">
        <v>0</v>
      </c>
    </row>
    <row r="6282" spans="1:10" s="225" customFormat="1">
      <c r="A6282" s="222" t="s">
        <v>179</v>
      </c>
      <c r="B6282" s="222" t="s">
        <v>34</v>
      </c>
      <c r="C6282" s="236">
        <v>0.77777777777777801</v>
      </c>
      <c r="D6282" s="237">
        <v>0</v>
      </c>
      <c r="E6282" s="237">
        <v>0</v>
      </c>
      <c r="F6282" s="237">
        <v>0</v>
      </c>
      <c r="G6282" s="237">
        <v>0</v>
      </c>
      <c r="H6282" s="237">
        <v>0</v>
      </c>
      <c r="I6282" s="237">
        <v>0</v>
      </c>
      <c r="J6282" s="237">
        <v>0</v>
      </c>
    </row>
    <row r="6283" spans="1:10" s="225" customFormat="1">
      <c r="A6283" s="222" t="s">
        <v>179</v>
      </c>
      <c r="B6283" s="222" t="s">
        <v>34</v>
      </c>
      <c r="C6283" s="236">
        <v>0.77847222222222201</v>
      </c>
      <c r="D6283" s="237">
        <v>0</v>
      </c>
      <c r="E6283" s="237">
        <v>0</v>
      </c>
      <c r="F6283" s="237">
        <v>0</v>
      </c>
      <c r="G6283" s="237">
        <v>0</v>
      </c>
      <c r="H6283" s="237">
        <v>0</v>
      </c>
      <c r="I6283" s="237">
        <v>0</v>
      </c>
      <c r="J6283" s="237">
        <v>0</v>
      </c>
    </row>
    <row r="6284" spans="1:10" s="225" customFormat="1">
      <c r="A6284" s="222" t="s">
        <v>179</v>
      </c>
      <c r="B6284" s="222" t="s">
        <v>34</v>
      </c>
      <c r="C6284" s="236">
        <v>0.77916666666666701</v>
      </c>
      <c r="D6284" s="237">
        <v>0</v>
      </c>
      <c r="E6284" s="237">
        <v>0</v>
      </c>
      <c r="F6284" s="237">
        <v>0</v>
      </c>
      <c r="G6284" s="237">
        <v>0</v>
      </c>
      <c r="H6284" s="237">
        <v>0</v>
      </c>
      <c r="I6284" s="237">
        <v>0</v>
      </c>
      <c r="J6284" s="237">
        <v>0</v>
      </c>
    </row>
    <row r="6285" spans="1:10" s="225" customFormat="1">
      <c r="A6285" s="222" t="s">
        <v>179</v>
      </c>
      <c r="B6285" s="222" t="s">
        <v>34</v>
      </c>
      <c r="C6285" s="236">
        <v>0.77986111111111101</v>
      </c>
      <c r="D6285" s="237">
        <v>0</v>
      </c>
      <c r="E6285" s="237">
        <v>0</v>
      </c>
      <c r="F6285" s="237">
        <v>0</v>
      </c>
      <c r="G6285" s="237">
        <v>0</v>
      </c>
      <c r="H6285" s="237">
        <v>0</v>
      </c>
      <c r="I6285" s="237">
        <v>0</v>
      </c>
      <c r="J6285" s="237">
        <v>0</v>
      </c>
    </row>
    <row r="6286" spans="1:10" s="229" customFormat="1">
      <c r="A6286" s="226" t="s">
        <v>179</v>
      </c>
      <c r="B6286" s="226" t="s">
        <v>34</v>
      </c>
      <c r="C6286" s="238">
        <v>0.780555555555555</v>
      </c>
      <c r="D6286" s="239">
        <v>0</v>
      </c>
      <c r="E6286" s="239">
        <v>0</v>
      </c>
      <c r="F6286" s="239">
        <v>0</v>
      </c>
      <c r="G6286" s="239">
        <v>0</v>
      </c>
      <c r="H6286" s="239">
        <v>0</v>
      </c>
      <c r="I6286" s="239">
        <v>0</v>
      </c>
      <c r="J6286" s="239">
        <v>0</v>
      </c>
    </row>
    <row r="6287" spans="1:10" s="225" customFormat="1">
      <c r="A6287" s="222" t="s">
        <v>179</v>
      </c>
      <c r="B6287" s="222" t="s">
        <v>34</v>
      </c>
      <c r="C6287" s="236">
        <v>0.78125</v>
      </c>
      <c r="D6287" s="237">
        <v>0</v>
      </c>
      <c r="E6287" s="237">
        <v>0</v>
      </c>
      <c r="F6287" s="237">
        <v>0</v>
      </c>
      <c r="G6287" s="237">
        <v>0</v>
      </c>
      <c r="H6287" s="237">
        <v>0</v>
      </c>
      <c r="I6287" s="237">
        <v>0</v>
      </c>
      <c r="J6287" s="237">
        <v>0</v>
      </c>
    </row>
    <row r="6288" spans="1:10" s="225" customFormat="1">
      <c r="A6288" s="222" t="s">
        <v>179</v>
      </c>
      <c r="B6288" s="222" t="s">
        <v>34</v>
      </c>
      <c r="C6288" s="236">
        <v>0.781944444444444</v>
      </c>
      <c r="D6288" s="237">
        <v>0</v>
      </c>
      <c r="E6288" s="237">
        <v>0</v>
      </c>
      <c r="F6288" s="237">
        <v>0</v>
      </c>
      <c r="G6288" s="237">
        <v>0</v>
      </c>
      <c r="H6288" s="237">
        <v>0</v>
      </c>
      <c r="I6288" s="237">
        <v>0</v>
      </c>
      <c r="J6288" s="237">
        <v>0</v>
      </c>
    </row>
    <row r="6289" spans="1:10" s="225" customFormat="1">
      <c r="A6289" s="222" t="s">
        <v>179</v>
      </c>
      <c r="B6289" s="222" t="s">
        <v>34</v>
      </c>
      <c r="C6289" s="236">
        <v>0.78263888888888899</v>
      </c>
      <c r="D6289" s="237">
        <v>0</v>
      </c>
      <c r="E6289" s="237">
        <v>0</v>
      </c>
      <c r="F6289" s="237">
        <v>0</v>
      </c>
      <c r="G6289" s="237">
        <v>0</v>
      </c>
      <c r="H6289" s="237">
        <v>0</v>
      </c>
      <c r="I6289" s="237">
        <v>0</v>
      </c>
      <c r="J6289" s="237">
        <v>0</v>
      </c>
    </row>
    <row r="6290" spans="1:10" s="225" customFormat="1">
      <c r="A6290" s="222" t="s">
        <v>179</v>
      </c>
      <c r="B6290" s="222" t="s">
        <v>34</v>
      </c>
      <c r="C6290" s="236">
        <v>0.78333333333333299</v>
      </c>
      <c r="D6290" s="237">
        <v>0</v>
      </c>
      <c r="E6290" s="237">
        <v>0</v>
      </c>
      <c r="F6290" s="237">
        <v>0</v>
      </c>
      <c r="G6290" s="237">
        <v>0</v>
      </c>
      <c r="H6290" s="237">
        <v>0</v>
      </c>
      <c r="I6290" s="237">
        <v>0</v>
      </c>
      <c r="J6290" s="237">
        <v>0</v>
      </c>
    </row>
    <row r="6291" spans="1:10" s="225" customFormat="1">
      <c r="A6291" s="222" t="s">
        <v>179</v>
      </c>
      <c r="B6291" s="222" t="s">
        <v>34</v>
      </c>
      <c r="C6291" s="236">
        <v>0.78402777777777799</v>
      </c>
      <c r="D6291" s="237">
        <v>0</v>
      </c>
      <c r="E6291" s="237">
        <v>0</v>
      </c>
      <c r="F6291" s="237">
        <v>0</v>
      </c>
      <c r="G6291" s="237">
        <v>0</v>
      </c>
      <c r="H6291" s="237">
        <v>0</v>
      </c>
      <c r="I6291" s="237">
        <v>0</v>
      </c>
      <c r="J6291" s="237">
        <v>0</v>
      </c>
    </row>
    <row r="6292" spans="1:10" s="225" customFormat="1">
      <c r="A6292" s="222" t="s">
        <v>179</v>
      </c>
      <c r="B6292" s="222" t="s">
        <v>34</v>
      </c>
      <c r="C6292" s="236">
        <v>0.78472222222222199</v>
      </c>
      <c r="D6292" s="237">
        <v>0</v>
      </c>
      <c r="E6292" s="237">
        <v>0</v>
      </c>
      <c r="F6292" s="237">
        <v>0</v>
      </c>
      <c r="G6292" s="237">
        <v>0</v>
      </c>
      <c r="H6292" s="237">
        <v>0</v>
      </c>
      <c r="I6292" s="237">
        <v>0</v>
      </c>
      <c r="J6292" s="237">
        <v>0</v>
      </c>
    </row>
    <row r="6293" spans="1:10" s="225" customFormat="1">
      <c r="A6293" s="222" t="s">
        <v>179</v>
      </c>
      <c r="B6293" s="222" t="s">
        <v>34</v>
      </c>
      <c r="C6293" s="236">
        <v>0.78541666666666698</v>
      </c>
      <c r="D6293" s="237">
        <v>0</v>
      </c>
      <c r="E6293" s="237">
        <v>0</v>
      </c>
      <c r="F6293" s="237">
        <v>0</v>
      </c>
      <c r="G6293" s="237">
        <v>0</v>
      </c>
      <c r="H6293" s="237">
        <v>0</v>
      </c>
      <c r="I6293" s="237">
        <v>0</v>
      </c>
      <c r="J6293" s="237">
        <v>0</v>
      </c>
    </row>
    <row r="6294" spans="1:10" s="225" customFormat="1">
      <c r="A6294" s="222" t="s">
        <v>179</v>
      </c>
      <c r="B6294" s="222" t="s">
        <v>34</v>
      </c>
      <c r="C6294" s="236">
        <v>0.78611111111111098</v>
      </c>
      <c r="D6294" s="237">
        <v>0</v>
      </c>
      <c r="E6294" s="237">
        <v>0</v>
      </c>
      <c r="F6294" s="237">
        <v>0</v>
      </c>
      <c r="G6294" s="237">
        <v>0</v>
      </c>
      <c r="H6294" s="237">
        <v>0</v>
      </c>
      <c r="I6294" s="237">
        <v>0</v>
      </c>
      <c r="J6294" s="237">
        <v>0</v>
      </c>
    </row>
    <row r="6295" spans="1:10" s="225" customFormat="1">
      <c r="A6295" s="222" t="s">
        <v>179</v>
      </c>
      <c r="B6295" s="222" t="s">
        <v>34</v>
      </c>
      <c r="C6295" s="236">
        <v>0.78680555555555498</v>
      </c>
      <c r="D6295" s="237">
        <v>0</v>
      </c>
      <c r="E6295" s="237">
        <v>0</v>
      </c>
      <c r="F6295" s="237">
        <v>0</v>
      </c>
      <c r="G6295" s="237">
        <v>0</v>
      </c>
      <c r="H6295" s="237">
        <v>0</v>
      </c>
      <c r="I6295" s="237">
        <v>0</v>
      </c>
      <c r="J6295" s="237">
        <v>0</v>
      </c>
    </row>
    <row r="6296" spans="1:10" s="225" customFormat="1">
      <c r="A6296" s="222" t="s">
        <v>179</v>
      </c>
      <c r="B6296" s="222" t="s">
        <v>34</v>
      </c>
      <c r="C6296" s="236">
        <v>0.78749999999999998</v>
      </c>
      <c r="D6296" s="237">
        <v>0</v>
      </c>
      <c r="E6296" s="237">
        <v>0</v>
      </c>
      <c r="F6296" s="237">
        <v>0</v>
      </c>
      <c r="G6296" s="237">
        <v>0</v>
      </c>
      <c r="H6296" s="237">
        <v>0</v>
      </c>
      <c r="I6296" s="237">
        <v>0</v>
      </c>
      <c r="J6296" s="237">
        <v>0</v>
      </c>
    </row>
    <row r="6297" spans="1:10" s="225" customFormat="1">
      <c r="A6297" s="222" t="s">
        <v>179</v>
      </c>
      <c r="B6297" s="222" t="s">
        <v>34</v>
      </c>
      <c r="C6297" s="236">
        <v>0.78819444444444398</v>
      </c>
      <c r="D6297" s="237">
        <v>0</v>
      </c>
      <c r="E6297" s="237">
        <v>0</v>
      </c>
      <c r="F6297" s="237">
        <v>0</v>
      </c>
      <c r="G6297" s="237">
        <v>0</v>
      </c>
      <c r="H6297" s="237">
        <v>0</v>
      </c>
      <c r="I6297" s="237">
        <v>0</v>
      </c>
      <c r="J6297" s="237">
        <v>0</v>
      </c>
    </row>
    <row r="6298" spans="1:10" s="225" customFormat="1">
      <c r="A6298" s="222" t="s">
        <v>179</v>
      </c>
      <c r="B6298" s="222" t="s">
        <v>34</v>
      </c>
      <c r="C6298" s="236">
        <v>0.78888888888888897</v>
      </c>
      <c r="D6298" s="237">
        <v>0</v>
      </c>
      <c r="E6298" s="237">
        <v>0</v>
      </c>
      <c r="F6298" s="237">
        <v>0</v>
      </c>
      <c r="G6298" s="237">
        <v>0</v>
      </c>
      <c r="H6298" s="237">
        <v>0</v>
      </c>
      <c r="I6298" s="237">
        <v>0</v>
      </c>
      <c r="J6298" s="237">
        <v>0</v>
      </c>
    </row>
    <row r="6299" spans="1:10" s="225" customFormat="1">
      <c r="A6299" s="222" t="s">
        <v>179</v>
      </c>
      <c r="B6299" s="222" t="s">
        <v>34</v>
      </c>
      <c r="C6299" s="236">
        <v>0.78958333333333297</v>
      </c>
      <c r="D6299" s="237">
        <v>0</v>
      </c>
      <c r="E6299" s="237">
        <v>0</v>
      </c>
      <c r="F6299" s="237">
        <v>0</v>
      </c>
      <c r="G6299" s="237">
        <v>0</v>
      </c>
      <c r="H6299" s="237">
        <v>0</v>
      </c>
      <c r="I6299" s="237">
        <v>0</v>
      </c>
      <c r="J6299" s="237">
        <v>0</v>
      </c>
    </row>
    <row r="6300" spans="1:10" s="225" customFormat="1">
      <c r="A6300" s="222" t="s">
        <v>179</v>
      </c>
      <c r="B6300" s="222" t="s">
        <v>34</v>
      </c>
      <c r="C6300" s="236">
        <v>0.79027777777777797</v>
      </c>
      <c r="D6300" s="237">
        <v>0</v>
      </c>
      <c r="E6300" s="237">
        <v>0</v>
      </c>
      <c r="F6300" s="237">
        <v>0</v>
      </c>
      <c r="G6300" s="237">
        <v>0</v>
      </c>
      <c r="H6300" s="237">
        <v>0</v>
      </c>
      <c r="I6300" s="237">
        <v>0</v>
      </c>
      <c r="J6300" s="237">
        <v>0</v>
      </c>
    </row>
    <row r="6301" spans="1:10" s="229" customFormat="1">
      <c r="A6301" s="226" t="s">
        <v>179</v>
      </c>
      <c r="B6301" s="226" t="s">
        <v>34</v>
      </c>
      <c r="C6301" s="238">
        <v>0.79097222222222197</v>
      </c>
      <c r="D6301" s="239">
        <v>0</v>
      </c>
      <c r="E6301" s="239">
        <v>0</v>
      </c>
      <c r="F6301" s="239">
        <v>0</v>
      </c>
      <c r="G6301" s="239">
        <v>0</v>
      </c>
      <c r="H6301" s="239">
        <v>0</v>
      </c>
      <c r="I6301" s="239">
        <v>0</v>
      </c>
      <c r="J6301" s="239">
        <v>0</v>
      </c>
    </row>
    <row r="6302" spans="1:10" s="225" customFormat="1">
      <c r="A6302" s="222" t="s">
        <v>179</v>
      </c>
      <c r="B6302" s="222" t="s">
        <v>34</v>
      </c>
      <c r="C6302" s="236">
        <v>0.79166666666666696</v>
      </c>
      <c r="D6302" s="237">
        <v>0</v>
      </c>
      <c r="E6302" s="237">
        <v>0</v>
      </c>
      <c r="F6302" s="237">
        <v>0</v>
      </c>
      <c r="G6302" s="237">
        <v>0</v>
      </c>
      <c r="H6302" s="237">
        <v>0</v>
      </c>
      <c r="I6302" s="237">
        <v>0</v>
      </c>
      <c r="J6302" s="237">
        <v>0</v>
      </c>
    </row>
    <row r="6303" spans="1:10" s="225" customFormat="1">
      <c r="A6303" s="222" t="s">
        <v>179</v>
      </c>
      <c r="B6303" s="222" t="s">
        <v>34</v>
      </c>
      <c r="C6303" s="236">
        <v>0.79236111111111096</v>
      </c>
      <c r="D6303" s="237">
        <v>0</v>
      </c>
      <c r="E6303" s="237">
        <v>0</v>
      </c>
      <c r="F6303" s="237">
        <v>0</v>
      </c>
      <c r="G6303" s="237">
        <v>0</v>
      </c>
      <c r="H6303" s="237">
        <v>0</v>
      </c>
      <c r="I6303" s="237">
        <v>0</v>
      </c>
      <c r="J6303" s="237">
        <v>0</v>
      </c>
    </row>
    <row r="6304" spans="1:10" s="225" customFormat="1">
      <c r="A6304" s="222" t="s">
        <v>179</v>
      </c>
      <c r="B6304" s="222" t="s">
        <v>34</v>
      </c>
      <c r="C6304" s="236">
        <v>0.79305555555555496</v>
      </c>
      <c r="D6304" s="237">
        <v>0</v>
      </c>
      <c r="E6304" s="237">
        <v>0</v>
      </c>
      <c r="F6304" s="237">
        <v>0</v>
      </c>
      <c r="G6304" s="237">
        <v>0</v>
      </c>
      <c r="H6304" s="237">
        <v>0</v>
      </c>
      <c r="I6304" s="237">
        <v>0</v>
      </c>
      <c r="J6304" s="237">
        <v>0</v>
      </c>
    </row>
    <row r="6305" spans="1:10" s="225" customFormat="1">
      <c r="A6305" s="222" t="s">
        <v>179</v>
      </c>
      <c r="B6305" s="222" t="s">
        <v>34</v>
      </c>
      <c r="C6305" s="236">
        <v>0.79374999999999996</v>
      </c>
      <c r="D6305" s="237">
        <v>0</v>
      </c>
      <c r="E6305" s="237">
        <v>0</v>
      </c>
      <c r="F6305" s="237">
        <v>0</v>
      </c>
      <c r="G6305" s="237">
        <v>0</v>
      </c>
      <c r="H6305" s="237">
        <v>0</v>
      </c>
      <c r="I6305" s="237">
        <v>0</v>
      </c>
      <c r="J6305" s="237">
        <v>0</v>
      </c>
    </row>
    <row r="6306" spans="1:10" s="225" customFormat="1">
      <c r="A6306" s="222" t="s">
        <v>179</v>
      </c>
      <c r="B6306" s="222" t="s">
        <v>34</v>
      </c>
      <c r="C6306" s="236">
        <v>0.79444444444444395</v>
      </c>
      <c r="D6306" s="237">
        <v>0</v>
      </c>
      <c r="E6306" s="237">
        <v>0</v>
      </c>
      <c r="F6306" s="237">
        <v>0</v>
      </c>
      <c r="G6306" s="237">
        <v>0</v>
      </c>
      <c r="H6306" s="237">
        <v>0</v>
      </c>
      <c r="I6306" s="237">
        <v>0</v>
      </c>
      <c r="J6306" s="237">
        <v>0</v>
      </c>
    </row>
    <row r="6307" spans="1:10" s="225" customFormat="1">
      <c r="A6307" s="222" t="s">
        <v>179</v>
      </c>
      <c r="B6307" s="222" t="s">
        <v>34</v>
      </c>
      <c r="C6307" s="236">
        <v>0.79513888888888895</v>
      </c>
      <c r="D6307" s="237">
        <v>0</v>
      </c>
      <c r="E6307" s="237">
        <v>0</v>
      </c>
      <c r="F6307" s="237">
        <v>0</v>
      </c>
      <c r="G6307" s="237">
        <v>0</v>
      </c>
      <c r="H6307" s="237">
        <v>0</v>
      </c>
      <c r="I6307" s="237">
        <v>0</v>
      </c>
      <c r="J6307" s="237">
        <v>0</v>
      </c>
    </row>
    <row r="6308" spans="1:10" s="225" customFormat="1">
      <c r="A6308" s="222" t="s">
        <v>179</v>
      </c>
      <c r="B6308" s="222" t="s">
        <v>34</v>
      </c>
      <c r="C6308" s="236">
        <v>0.79583333333333295</v>
      </c>
      <c r="D6308" s="237">
        <v>0</v>
      </c>
      <c r="E6308" s="237">
        <v>0</v>
      </c>
      <c r="F6308" s="237">
        <v>0</v>
      </c>
      <c r="G6308" s="237">
        <v>0</v>
      </c>
      <c r="H6308" s="237">
        <v>0</v>
      </c>
      <c r="I6308" s="237">
        <v>0</v>
      </c>
      <c r="J6308" s="237">
        <v>0</v>
      </c>
    </row>
    <row r="6309" spans="1:10" s="225" customFormat="1">
      <c r="A6309" s="222" t="s">
        <v>179</v>
      </c>
      <c r="B6309" s="222" t="s">
        <v>34</v>
      </c>
      <c r="C6309" s="236">
        <v>0.79652777777777795</v>
      </c>
      <c r="D6309" s="237">
        <v>0</v>
      </c>
      <c r="E6309" s="237">
        <v>0</v>
      </c>
      <c r="F6309" s="237">
        <v>0</v>
      </c>
      <c r="G6309" s="237">
        <v>0</v>
      </c>
      <c r="H6309" s="237">
        <v>0</v>
      </c>
      <c r="I6309" s="237">
        <v>0</v>
      </c>
      <c r="J6309" s="237">
        <v>0</v>
      </c>
    </row>
    <row r="6310" spans="1:10" s="225" customFormat="1">
      <c r="A6310" s="222" t="s">
        <v>179</v>
      </c>
      <c r="B6310" s="222" t="s">
        <v>34</v>
      </c>
      <c r="C6310" s="236">
        <v>0.79722222222222205</v>
      </c>
      <c r="D6310" s="237">
        <v>0</v>
      </c>
      <c r="E6310" s="237">
        <v>0</v>
      </c>
      <c r="F6310" s="237">
        <v>0</v>
      </c>
      <c r="G6310" s="237">
        <v>0</v>
      </c>
      <c r="H6310" s="237">
        <v>0</v>
      </c>
      <c r="I6310" s="237">
        <v>0</v>
      </c>
      <c r="J6310" s="237">
        <v>0</v>
      </c>
    </row>
    <row r="6311" spans="1:10" s="225" customFormat="1">
      <c r="A6311" s="222" t="s">
        <v>179</v>
      </c>
      <c r="B6311" s="222" t="s">
        <v>34</v>
      </c>
      <c r="C6311" s="236">
        <v>0.79791666666666605</v>
      </c>
      <c r="D6311" s="237">
        <v>0</v>
      </c>
      <c r="E6311" s="237">
        <v>0</v>
      </c>
      <c r="F6311" s="237">
        <v>0</v>
      </c>
      <c r="G6311" s="237">
        <v>0</v>
      </c>
      <c r="H6311" s="237">
        <v>0</v>
      </c>
      <c r="I6311" s="237">
        <v>0</v>
      </c>
      <c r="J6311" s="237">
        <v>0</v>
      </c>
    </row>
    <row r="6312" spans="1:10" s="225" customFormat="1">
      <c r="A6312" s="222" t="s">
        <v>179</v>
      </c>
      <c r="B6312" s="222" t="s">
        <v>34</v>
      </c>
      <c r="C6312" s="236">
        <v>0.79861111111111105</v>
      </c>
      <c r="D6312" s="237">
        <v>0</v>
      </c>
      <c r="E6312" s="237">
        <v>0</v>
      </c>
      <c r="F6312" s="237">
        <v>0</v>
      </c>
      <c r="G6312" s="237">
        <v>0</v>
      </c>
      <c r="H6312" s="237">
        <v>0</v>
      </c>
      <c r="I6312" s="237">
        <v>0</v>
      </c>
      <c r="J6312" s="237">
        <v>0</v>
      </c>
    </row>
    <row r="6313" spans="1:10" s="225" customFormat="1">
      <c r="A6313" s="222" t="s">
        <v>179</v>
      </c>
      <c r="B6313" s="222" t="s">
        <v>34</v>
      </c>
      <c r="C6313" s="236">
        <v>0.79930555555555505</v>
      </c>
      <c r="D6313" s="237">
        <v>0</v>
      </c>
      <c r="E6313" s="237">
        <v>0</v>
      </c>
      <c r="F6313" s="237">
        <v>0</v>
      </c>
      <c r="G6313" s="237">
        <v>0</v>
      </c>
      <c r="H6313" s="237">
        <v>0</v>
      </c>
      <c r="I6313" s="237">
        <v>0</v>
      </c>
      <c r="J6313" s="237">
        <v>0</v>
      </c>
    </row>
    <row r="6314" spans="1:10" s="225" customFormat="1">
      <c r="A6314" s="222" t="s">
        <v>179</v>
      </c>
      <c r="B6314" s="222" t="s">
        <v>34</v>
      </c>
      <c r="C6314" s="236">
        <v>0.8</v>
      </c>
      <c r="D6314" s="237">
        <v>0</v>
      </c>
      <c r="E6314" s="237">
        <v>0</v>
      </c>
      <c r="F6314" s="237">
        <v>0</v>
      </c>
      <c r="G6314" s="237">
        <v>0</v>
      </c>
      <c r="H6314" s="237">
        <v>0</v>
      </c>
      <c r="I6314" s="237">
        <v>0</v>
      </c>
      <c r="J6314" s="237">
        <v>0</v>
      </c>
    </row>
    <row r="6315" spans="1:10" s="225" customFormat="1">
      <c r="A6315" s="222" t="s">
        <v>179</v>
      </c>
      <c r="B6315" s="222" t="s">
        <v>34</v>
      </c>
      <c r="C6315" s="236">
        <v>0.80069444444444404</v>
      </c>
      <c r="D6315" s="237">
        <v>0</v>
      </c>
      <c r="E6315" s="237">
        <v>0</v>
      </c>
      <c r="F6315" s="237">
        <v>0</v>
      </c>
      <c r="G6315" s="237">
        <v>0</v>
      </c>
      <c r="H6315" s="237">
        <v>0</v>
      </c>
      <c r="I6315" s="237">
        <v>0</v>
      </c>
      <c r="J6315" s="237">
        <v>0</v>
      </c>
    </row>
    <row r="6316" spans="1:10" s="229" customFormat="1">
      <c r="A6316" s="226" t="s">
        <v>179</v>
      </c>
      <c r="B6316" s="226" t="s">
        <v>34</v>
      </c>
      <c r="C6316" s="238">
        <v>0.80138888888888904</v>
      </c>
      <c r="D6316" s="239">
        <v>0</v>
      </c>
      <c r="E6316" s="239">
        <v>0</v>
      </c>
      <c r="F6316" s="239">
        <v>0</v>
      </c>
      <c r="G6316" s="239">
        <v>0</v>
      </c>
      <c r="H6316" s="239">
        <v>0</v>
      </c>
      <c r="I6316" s="239">
        <v>0</v>
      </c>
      <c r="J6316" s="239">
        <v>0</v>
      </c>
    </row>
    <row r="6317" spans="1:10" s="225" customFormat="1">
      <c r="A6317" s="222" t="s">
        <v>179</v>
      </c>
      <c r="B6317" s="222" t="s">
        <v>34</v>
      </c>
      <c r="C6317" s="236">
        <v>0.80208333333333304</v>
      </c>
      <c r="D6317" s="237">
        <v>0</v>
      </c>
      <c r="E6317" s="237">
        <v>0</v>
      </c>
      <c r="F6317" s="237">
        <v>0</v>
      </c>
      <c r="G6317" s="237">
        <v>0</v>
      </c>
      <c r="H6317" s="237">
        <v>0</v>
      </c>
      <c r="I6317" s="237">
        <v>0</v>
      </c>
      <c r="J6317" s="237">
        <v>0</v>
      </c>
    </row>
    <row r="6318" spans="1:10" s="225" customFormat="1">
      <c r="A6318" s="222" t="s">
        <v>179</v>
      </c>
      <c r="B6318" s="222" t="s">
        <v>34</v>
      </c>
      <c r="C6318" s="236">
        <v>0.80277777777777803</v>
      </c>
      <c r="D6318" s="237">
        <v>0</v>
      </c>
      <c r="E6318" s="237">
        <v>0</v>
      </c>
      <c r="F6318" s="237">
        <v>0</v>
      </c>
      <c r="G6318" s="237">
        <v>0</v>
      </c>
      <c r="H6318" s="237">
        <v>0</v>
      </c>
      <c r="I6318" s="237">
        <v>0</v>
      </c>
      <c r="J6318" s="237">
        <v>0</v>
      </c>
    </row>
    <row r="6319" spans="1:10" s="225" customFormat="1">
      <c r="A6319" s="222" t="s">
        <v>179</v>
      </c>
      <c r="B6319" s="222" t="s">
        <v>34</v>
      </c>
      <c r="C6319" s="236">
        <v>0.80347222222222203</v>
      </c>
      <c r="D6319" s="237">
        <v>0</v>
      </c>
      <c r="E6319" s="237">
        <v>0</v>
      </c>
      <c r="F6319" s="237">
        <v>0</v>
      </c>
      <c r="G6319" s="237">
        <v>0</v>
      </c>
      <c r="H6319" s="237">
        <v>0</v>
      </c>
      <c r="I6319" s="237">
        <v>0</v>
      </c>
      <c r="J6319" s="237">
        <v>0</v>
      </c>
    </row>
    <row r="6320" spans="1:10" s="225" customFormat="1">
      <c r="A6320" s="222" t="s">
        <v>179</v>
      </c>
      <c r="B6320" s="222" t="s">
        <v>34</v>
      </c>
      <c r="C6320" s="236">
        <v>0.80416666666666603</v>
      </c>
      <c r="D6320" s="237">
        <v>0</v>
      </c>
      <c r="E6320" s="237">
        <v>0</v>
      </c>
      <c r="F6320" s="237">
        <v>0</v>
      </c>
      <c r="G6320" s="237">
        <v>0</v>
      </c>
      <c r="H6320" s="237">
        <v>0</v>
      </c>
      <c r="I6320" s="237">
        <v>0</v>
      </c>
      <c r="J6320" s="237">
        <v>0</v>
      </c>
    </row>
    <row r="6321" spans="1:10" s="225" customFormat="1">
      <c r="A6321" s="222" t="s">
        <v>179</v>
      </c>
      <c r="B6321" s="222" t="s">
        <v>34</v>
      </c>
      <c r="C6321" s="236">
        <v>0.80486111111111103</v>
      </c>
      <c r="D6321" s="237">
        <v>0</v>
      </c>
      <c r="E6321" s="237">
        <v>0</v>
      </c>
      <c r="F6321" s="237">
        <v>0</v>
      </c>
      <c r="G6321" s="237">
        <v>0</v>
      </c>
      <c r="H6321" s="237">
        <v>0</v>
      </c>
      <c r="I6321" s="237">
        <v>0</v>
      </c>
      <c r="J6321" s="237">
        <v>0</v>
      </c>
    </row>
    <row r="6322" spans="1:10" s="225" customFormat="1">
      <c r="A6322" s="222" t="s">
        <v>179</v>
      </c>
      <c r="B6322" s="222" t="s">
        <v>34</v>
      </c>
      <c r="C6322" s="236">
        <v>0.80555555555555503</v>
      </c>
      <c r="D6322" s="237">
        <v>0</v>
      </c>
      <c r="E6322" s="237">
        <v>0</v>
      </c>
      <c r="F6322" s="237">
        <v>0</v>
      </c>
      <c r="G6322" s="237">
        <v>0</v>
      </c>
      <c r="H6322" s="237">
        <v>0</v>
      </c>
      <c r="I6322" s="237">
        <v>0</v>
      </c>
      <c r="J6322" s="237">
        <v>0</v>
      </c>
    </row>
    <row r="6323" spans="1:10" s="225" customFormat="1">
      <c r="A6323" s="222" t="s">
        <v>179</v>
      </c>
      <c r="B6323" s="222" t="s">
        <v>34</v>
      </c>
      <c r="C6323" s="236">
        <v>0.80625000000000002</v>
      </c>
      <c r="D6323" s="237">
        <v>0</v>
      </c>
      <c r="E6323" s="237">
        <v>0</v>
      </c>
      <c r="F6323" s="237">
        <v>0</v>
      </c>
      <c r="G6323" s="237">
        <v>0</v>
      </c>
      <c r="H6323" s="237">
        <v>0</v>
      </c>
      <c r="I6323" s="237">
        <v>0</v>
      </c>
      <c r="J6323" s="237">
        <v>0</v>
      </c>
    </row>
    <row r="6324" spans="1:10" s="225" customFormat="1">
      <c r="A6324" s="222" t="s">
        <v>179</v>
      </c>
      <c r="B6324" s="222" t="s">
        <v>34</v>
      </c>
      <c r="C6324" s="236">
        <v>0.80694444444444402</v>
      </c>
      <c r="D6324" s="237">
        <v>0</v>
      </c>
      <c r="E6324" s="237">
        <v>0</v>
      </c>
      <c r="F6324" s="237">
        <v>0</v>
      </c>
      <c r="G6324" s="237">
        <v>0</v>
      </c>
      <c r="H6324" s="237">
        <v>0</v>
      </c>
      <c r="I6324" s="237">
        <v>0</v>
      </c>
      <c r="J6324" s="237">
        <v>0</v>
      </c>
    </row>
    <row r="6325" spans="1:10" s="225" customFormat="1">
      <c r="A6325" s="222" t="s">
        <v>179</v>
      </c>
      <c r="B6325" s="222" t="s">
        <v>34</v>
      </c>
      <c r="C6325" s="236">
        <v>0.80763888888888902</v>
      </c>
      <c r="D6325" s="237">
        <v>0</v>
      </c>
      <c r="E6325" s="237">
        <v>0</v>
      </c>
      <c r="F6325" s="237">
        <v>0</v>
      </c>
      <c r="G6325" s="237">
        <v>0</v>
      </c>
      <c r="H6325" s="237">
        <v>0</v>
      </c>
      <c r="I6325" s="237">
        <v>0</v>
      </c>
      <c r="J6325" s="237">
        <v>0</v>
      </c>
    </row>
    <row r="6326" spans="1:10" s="225" customFormat="1">
      <c r="A6326" s="222" t="s">
        <v>179</v>
      </c>
      <c r="B6326" s="222" t="s">
        <v>34</v>
      </c>
      <c r="C6326" s="236">
        <v>0.80833333333333302</v>
      </c>
      <c r="D6326" s="237">
        <v>0</v>
      </c>
      <c r="E6326" s="237">
        <v>0</v>
      </c>
      <c r="F6326" s="237">
        <v>0</v>
      </c>
      <c r="G6326" s="237">
        <v>0</v>
      </c>
      <c r="H6326" s="237">
        <v>0</v>
      </c>
      <c r="I6326" s="237">
        <v>0</v>
      </c>
      <c r="J6326" s="237">
        <v>0</v>
      </c>
    </row>
    <row r="6327" spans="1:10" s="225" customFormat="1">
      <c r="A6327" s="222" t="s">
        <v>179</v>
      </c>
      <c r="B6327" s="222" t="s">
        <v>34</v>
      </c>
      <c r="C6327" s="236">
        <v>0.80902777777777801</v>
      </c>
      <c r="D6327" s="237">
        <v>0</v>
      </c>
      <c r="E6327" s="237">
        <v>0</v>
      </c>
      <c r="F6327" s="237">
        <v>0</v>
      </c>
      <c r="G6327" s="237">
        <v>0</v>
      </c>
      <c r="H6327" s="237">
        <v>0</v>
      </c>
      <c r="I6327" s="237">
        <v>0</v>
      </c>
      <c r="J6327" s="237">
        <v>0</v>
      </c>
    </row>
    <row r="6328" spans="1:10" s="225" customFormat="1">
      <c r="A6328" s="222" t="s">
        <v>179</v>
      </c>
      <c r="B6328" s="222" t="s">
        <v>34</v>
      </c>
      <c r="C6328" s="236">
        <v>0.80972222222222201</v>
      </c>
      <c r="D6328" s="237">
        <v>0</v>
      </c>
      <c r="E6328" s="237">
        <v>0</v>
      </c>
      <c r="F6328" s="237">
        <v>0</v>
      </c>
      <c r="G6328" s="237">
        <v>0</v>
      </c>
      <c r="H6328" s="237">
        <v>0</v>
      </c>
      <c r="I6328" s="237">
        <v>0</v>
      </c>
      <c r="J6328" s="237">
        <v>0</v>
      </c>
    </row>
    <row r="6329" spans="1:10" s="225" customFormat="1">
      <c r="A6329" s="222" t="s">
        <v>179</v>
      </c>
      <c r="B6329" s="222" t="s">
        <v>34</v>
      </c>
      <c r="C6329" s="236">
        <v>0.81041666666666601</v>
      </c>
      <c r="D6329" s="237">
        <v>0</v>
      </c>
      <c r="E6329" s="237">
        <v>0</v>
      </c>
      <c r="F6329" s="237">
        <v>0</v>
      </c>
      <c r="G6329" s="237">
        <v>0</v>
      </c>
      <c r="H6329" s="237">
        <v>0</v>
      </c>
      <c r="I6329" s="237">
        <v>0</v>
      </c>
      <c r="J6329" s="237">
        <v>0</v>
      </c>
    </row>
    <row r="6330" spans="1:10" s="225" customFormat="1">
      <c r="A6330" s="222" t="s">
        <v>179</v>
      </c>
      <c r="B6330" s="222" t="s">
        <v>34</v>
      </c>
      <c r="C6330" s="236">
        <v>0.81111111111111101</v>
      </c>
      <c r="D6330" s="237">
        <v>0</v>
      </c>
      <c r="E6330" s="237">
        <v>0</v>
      </c>
      <c r="F6330" s="237">
        <v>0</v>
      </c>
      <c r="G6330" s="237">
        <v>0</v>
      </c>
      <c r="H6330" s="237">
        <v>0</v>
      </c>
      <c r="I6330" s="237">
        <v>0</v>
      </c>
      <c r="J6330" s="237">
        <v>0</v>
      </c>
    </row>
    <row r="6331" spans="1:10" s="229" customFormat="1">
      <c r="A6331" s="226" t="s">
        <v>179</v>
      </c>
      <c r="B6331" s="226" t="s">
        <v>34</v>
      </c>
      <c r="C6331" s="238">
        <v>0.811805555555555</v>
      </c>
      <c r="D6331" s="239">
        <v>0</v>
      </c>
      <c r="E6331" s="239">
        <v>0</v>
      </c>
      <c r="F6331" s="239">
        <v>0</v>
      </c>
      <c r="G6331" s="239">
        <v>0</v>
      </c>
      <c r="H6331" s="239">
        <v>0</v>
      </c>
      <c r="I6331" s="239">
        <v>0</v>
      </c>
      <c r="J6331" s="239">
        <v>0</v>
      </c>
    </row>
    <row r="6332" spans="1:10" s="225" customFormat="1">
      <c r="A6332" s="222" t="s">
        <v>179</v>
      </c>
      <c r="B6332" s="222" t="s">
        <v>34</v>
      </c>
      <c r="C6332" s="236">
        <v>0.8125</v>
      </c>
      <c r="D6332" s="237">
        <v>0</v>
      </c>
      <c r="E6332" s="237">
        <v>0</v>
      </c>
      <c r="F6332" s="237">
        <v>0</v>
      </c>
      <c r="G6332" s="237">
        <v>0</v>
      </c>
      <c r="H6332" s="237">
        <v>0</v>
      </c>
      <c r="I6332" s="237">
        <v>0</v>
      </c>
      <c r="J6332" s="237">
        <v>0</v>
      </c>
    </row>
    <row r="6333" spans="1:10" s="225" customFormat="1">
      <c r="A6333" s="222" t="s">
        <v>179</v>
      </c>
      <c r="B6333" s="222" t="s">
        <v>34</v>
      </c>
      <c r="C6333" s="236">
        <v>0.813194444444444</v>
      </c>
      <c r="D6333" s="237">
        <v>0</v>
      </c>
      <c r="E6333" s="237">
        <v>0</v>
      </c>
      <c r="F6333" s="237">
        <v>0</v>
      </c>
      <c r="G6333" s="237">
        <v>0</v>
      </c>
      <c r="H6333" s="237">
        <v>0</v>
      </c>
      <c r="I6333" s="237">
        <v>0</v>
      </c>
      <c r="J6333" s="237">
        <v>0</v>
      </c>
    </row>
    <row r="6334" spans="1:10" s="225" customFormat="1">
      <c r="A6334" s="222" t="s">
        <v>179</v>
      </c>
      <c r="B6334" s="222" t="s">
        <v>34</v>
      </c>
      <c r="C6334" s="236">
        <v>0.81388888888888899</v>
      </c>
      <c r="D6334" s="237">
        <v>0</v>
      </c>
      <c r="E6334" s="237">
        <v>0</v>
      </c>
      <c r="F6334" s="237">
        <v>0</v>
      </c>
      <c r="G6334" s="237">
        <v>0</v>
      </c>
      <c r="H6334" s="237">
        <v>0</v>
      </c>
      <c r="I6334" s="237">
        <v>0</v>
      </c>
      <c r="J6334" s="237">
        <v>0</v>
      </c>
    </row>
    <row r="6335" spans="1:10" s="225" customFormat="1">
      <c r="A6335" s="222" t="s">
        <v>179</v>
      </c>
      <c r="B6335" s="222" t="s">
        <v>34</v>
      </c>
      <c r="C6335" s="236">
        <v>0.81458333333333299</v>
      </c>
      <c r="D6335" s="237">
        <v>0</v>
      </c>
      <c r="E6335" s="237">
        <v>0</v>
      </c>
      <c r="F6335" s="237">
        <v>0</v>
      </c>
      <c r="G6335" s="237">
        <v>0</v>
      </c>
      <c r="H6335" s="237">
        <v>0</v>
      </c>
      <c r="I6335" s="237">
        <v>0</v>
      </c>
      <c r="J6335" s="237">
        <v>0</v>
      </c>
    </row>
    <row r="6336" spans="1:10" s="225" customFormat="1">
      <c r="A6336" s="222" t="s">
        <v>179</v>
      </c>
      <c r="B6336" s="222" t="s">
        <v>34</v>
      </c>
      <c r="C6336" s="236">
        <v>0.81527777777777799</v>
      </c>
      <c r="D6336" s="237">
        <v>0</v>
      </c>
      <c r="E6336" s="237">
        <v>0</v>
      </c>
      <c r="F6336" s="237">
        <v>0</v>
      </c>
      <c r="G6336" s="237">
        <v>0</v>
      </c>
      <c r="H6336" s="237">
        <v>0</v>
      </c>
      <c r="I6336" s="237">
        <v>0</v>
      </c>
      <c r="J6336" s="237">
        <v>0</v>
      </c>
    </row>
    <row r="6337" spans="1:10" s="225" customFormat="1">
      <c r="A6337" s="222" t="s">
        <v>179</v>
      </c>
      <c r="B6337" s="222" t="s">
        <v>34</v>
      </c>
      <c r="C6337" s="236">
        <v>0.81597222222222199</v>
      </c>
      <c r="D6337" s="237">
        <v>0</v>
      </c>
      <c r="E6337" s="237">
        <v>0</v>
      </c>
      <c r="F6337" s="237">
        <v>0</v>
      </c>
      <c r="G6337" s="237">
        <v>0</v>
      </c>
      <c r="H6337" s="237">
        <v>0</v>
      </c>
      <c r="I6337" s="237">
        <v>0</v>
      </c>
      <c r="J6337" s="237">
        <v>0</v>
      </c>
    </row>
    <row r="6338" spans="1:10" s="225" customFormat="1">
      <c r="A6338" s="222" t="s">
        <v>179</v>
      </c>
      <c r="B6338" s="222" t="s">
        <v>34</v>
      </c>
      <c r="C6338" s="236">
        <v>0.81666666666666599</v>
      </c>
      <c r="D6338" s="237">
        <v>0</v>
      </c>
      <c r="E6338" s="237">
        <v>0</v>
      </c>
      <c r="F6338" s="237">
        <v>0</v>
      </c>
      <c r="G6338" s="237">
        <v>0</v>
      </c>
      <c r="H6338" s="237">
        <v>0</v>
      </c>
      <c r="I6338" s="237">
        <v>0</v>
      </c>
      <c r="J6338" s="237">
        <v>0</v>
      </c>
    </row>
    <row r="6339" spans="1:10" s="225" customFormat="1">
      <c r="A6339" s="222" t="s">
        <v>179</v>
      </c>
      <c r="B6339" s="222" t="s">
        <v>34</v>
      </c>
      <c r="C6339" s="236">
        <v>0.81736111111111098</v>
      </c>
      <c r="D6339" s="237">
        <v>0</v>
      </c>
      <c r="E6339" s="237">
        <v>0</v>
      </c>
      <c r="F6339" s="237">
        <v>0</v>
      </c>
      <c r="G6339" s="237">
        <v>0</v>
      </c>
      <c r="H6339" s="237">
        <v>0</v>
      </c>
      <c r="I6339" s="237">
        <v>0</v>
      </c>
      <c r="J6339" s="237">
        <v>0</v>
      </c>
    </row>
    <row r="6340" spans="1:10" s="225" customFormat="1">
      <c r="A6340" s="222" t="s">
        <v>179</v>
      </c>
      <c r="B6340" s="222" t="s">
        <v>34</v>
      </c>
      <c r="C6340" s="236">
        <v>0.81805555555555498</v>
      </c>
      <c r="D6340" s="237">
        <v>0</v>
      </c>
      <c r="E6340" s="237">
        <v>0</v>
      </c>
      <c r="F6340" s="237">
        <v>0</v>
      </c>
      <c r="G6340" s="237">
        <v>0</v>
      </c>
      <c r="H6340" s="237">
        <v>0</v>
      </c>
      <c r="I6340" s="237">
        <v>0</v>
      </c>
      <c r="J6340" s="237">
        <v>0</v>
      </c>
    </row>
    <row r="6341" spans="1:10" s="225" customFormat="1">
      <c r="A6341" s="222" t="s">
        <v>179</v>
      </c>
      <c r="B6341" s="222" t="s">
        <v>34</v>
      </c>
      <c r="C6341" s="236">
        <v>0.81874999999999998</v>
      </c>
      <c r="D6341" s="237">
        <v>0</v>
      </c>
      <c r="E6341" s="237">
        <v>0</v>
      </c>
      <c r="F6341" s="237">
        <v>0</v>
      </c>
      <c r="G6341" s="237">
        <v>0</v>
      </c>
      <c r="H6341" s="237">
        <v>0</v>
      </c>
      <c r="I6341" s="237">
        <v>0</v>
      </c>
      <c r="J6341" s="237">
        <v>0</v>
      </c>
    </row>
    <row r="6342" spans="1:10" s="225" customFormat="1">
      <c r="A6342" s="222" t="s">
        <v>179</v>
      </c>
      <c r="B6342" s="222" t="s">
        <v>34</v>
      </c>
      <c r="C6342" s="236">
        <v>0.81944444444444398</v>
      </c>
      <c r="D6342" s="237">
        <v>0</v>
      </c>
      <c r="E6342" s="237">
        <v>0</v>
      </c>
      <c r="F6342" s="237">
        <v>0</v>
      </c>
      <c r="G6342" s="237">
        <v>0</v>
      </c>
      <c r="H6342" s="237">
        <v>0</v>
      </c>
      <c r="I6342" s="237">
        <v>0</v>
      </c>
      <c r="J6342" s="237">
        <v>0</v>
      </c>
    </row>
    <row r="6343" spans="1:10" s="225" customFormat="1">
      <c r="A6343" s="222" t="s">
        <v>179</v>
      </c>
      <c r="B6343" s="222" t="s">
        <v>34</v>
      </c>
      <c r="C6343" s="236">
        <v>0.82013888888888897</v>
      </c>
      <c r="D6343" s="237">
        <v>0</v>
      </c>
      <c r="E6343" s="237">
        <v>0</v>
      </c>
      <c r="F6343" s="237">
        <v>0</v>
      </c>
      <c r="G6343" s="237">
        <v>0</v>
      </c>
      <c r="H6343" s="237">
        <v>0</v>
      </c>
      <c r="I6343" s="237">
        <v>0</v>
      </c>
      <c r="J6343" s="237">
        <v>0</v>
      </c>
    </row>
    <row r="6344" spans="1:10" s="225" customFormat="1">
      <c r="A6344" s="222" t="s">
        <v>179</v>
      </c>
      <c r="B6344" s="222" t="s">
        <v>34</v>
      </c>
      <c r="C6344" s="236">
        <v>0.82083333333333297</v>
      </c>
      <c r="D6344" s="237">
        <v>0</v>
      </c>
      <c r="E6344" s="237">
        <v>0</v>
      </c>
      <c r="F6344" s="237">
        <v>0</v>
      </c>
      <c r="G6344" s="237">
        <v>0</v>
      </c>
      <c r="H6344" s="237">
        <v>0</v>
      </c>
      <c r="I6344" s="237">
        <v>0</v>
      </c>
      <c r="J6344" s="237">
        <v>0</v>
      </c>
    </row>
    <row r="6345" spans="1:10" s="225" customFormat="1">
      <c r="A6345" s="222" t="s">
        <v>179</v>
      </c>
      <c r="B6345" s="222" t="s">
        <v>34</v>
      </c>
      <c r="C6345" s="236">
        <v>0.82152777777777797</v>
      </c>
      <c r="D6345" s="237">
        <v>0</v>
      </c>
      <c r="E6345" s="237">
        <v>0</v>
      </c>
      <c r="F6345" s="237">
        <v>0</v>
      </c>
      <c r="G6345" s="237">
        <v>0</v>
      </c>
      <c r="H6345" s="237">
        <v>0</v>
      </c>
      <c r="I6345" s="237">
        <v>0</v>
      </c>
      <c r="J6345" s="237">
        <v>0</v>
      </c>
    </row>
    <row r="6346" spans="1:10" s="229" customFormat="1">
      <c r="A6346" s="226" t="s">
        <v>179</v>
      </c>
      <c r="B6346" s="226" t="s">
        <v>34</v>
      </c>
      <c r="C6346" s="238">
        <v>0.82222222222222197</v>
      </c>
      <c r="D6346" s="239">
        <v>0</v>
      </c>
      <c r="E6346" s="239">
        <v>0</v>
      </c>
      <c r="F6346" s="239">
        <v>0</v>
      </c>
      <c r="G6346" s="239">
        <v>0</v>
      </c>
      <c r="H6346" s="239">
        <v>0</v>
      </c>
      <c r="I6346" s="239">
        <v>0</v>
      </c>
      <c r="J6346" s="239">
        <v>0</v>
      </c>
    </row>
    <row r="6347" spans="1:10" s="225" customFormat="1">
      <c r="A6347" s="222" t="s">
        <v>179</v>
      </c>
      <c r="B6347" s="222" t="s">
        <v>34</v>
      </c>
      <c r="C6347" s="236">
        <v>0.82291666666666596</v>
      </c>
      <c r="D6347" s="237">
        <v>0</v>
      </c>
      <c r="E6347" s="237">
        <v>0</v>
      </c>
      <c r="F6347" s="237">
        <v>0</v>
      </c>
      <c r="G6347" s="237">
        <v>0</v>
      </c>
      <c r="H6347" s="237">
        <v>0</v>
      </c>
      <c r="I6347" s="237">
        <v>0</v>
      </c>
      <c r="J6347" s="237">
        <v>0</v>
      </c>
    </row>
    <row r="6348" spans="1:10" s="225" customFormat="1">
      <c r="A6348" s="222" t="s">
        <v>179</v>
      </c>
      <c r="B6348" s="222" t="s">
        <v>34</v>
      </c>
      <c r="C6348" s="236">
        <v>0.82361111111111096</v>
      </c>
      <c r="D6348" s="237">
        <v>0</v>
      </c>
      <c r="E6348" s="237">
        <v>0</v>
      </c>
      <c r="F6348" s="237">
        <v>0</v>
      </c>
      <c r="G6348" s="237">
        <v>0</v>
      </c>
      <c r="H6348" s="237">
        <v>0</v>
      </c>
      <c r="I6348" s="237">
        <v>0</v>
      </c>
      <c r="J6348" s="237">
        <v>0</v>
      </c>
    </row>
    <row r="6349" spans="1:10" s="225" customFormat="1">
      <c r="A6349" s="222" t="s">
        <v>179</v>
      </c>
      <c r="B6349" s="222" t="s">
        <v>34</v>
      </c>
      <c r="C6349" s="236">
        <v>0.82430555555555496</v>
      </c>
      <c r="D6349" s="237">
        <v>0</v>
      </c>
      <c r="E6349" s="237">
        <v>0</v>
      </c>
      <c r="F6349" s="237">
        <v>0</v>
      </c>
      <c r="G6349" s="237">
        <v>0</v>
      </c>
      <c r="H6349" s="237">
        <v>0</v>
      </c>
      <c r="I6349" s="237">
        <v>0</v>
      </c>
      <c r="J6349" s="237">
        <v>0</v>
      </c>
    </row>
    <row r="6350" spans="1:10" s="225" customFormat="1">
      <c r="A6350" s="222" t="s">
        <v>179</v>
      </c>
      <c r="B6350" s="222" t="s">
        <v>34</v>
      </c>
      <c r="C6350" s="236">
        <v>0.82499999999999996</v>
      </c>
      <c r="D6350" s="237">
        <v>0</v>
      </c>
      <c r="E6350" s="237">
        <v>0</v>
      </c>
      <c r="F6350" s="237">
        <v>0</v>
      </c>
      <c r="G6350" s="237">
        <v>0</v>
      </c>
      <c r="H6350" s="237">
        <v>0</v>
      </c>
      <c r="I6350" s="237">
        <v>0</v>
      </c>
      <c r="J6350" s="237">
        <v>0</v>
      </c>
    </row>
    <row r="6351" spans="1:10" s="225" customFormat="1">
      <c r="A6351" s="222" t="s">
        <v>179</v>
      </c>
      <c r="B6351" s="222" t="s">
        <v>34</v>
      </c>
      <c r="C6351" s="236">
        <v>0.82569444444444395</v>
      </c>
      <c r="D6351" s="237">
        <v>0</v>
      </c>
      <c r="E6351" s="237">
        <v>0</v>
      </c>
      <c r="F6351" s="237">
        <v>0</v>
      </c>
      <c r="G6351" s="237">
        <v>0</v>
      </c>
      <c r="H6351" s="237">
        <v>0</v>
      </c>
      <c r="I6351" s="237">
        <v>0</v>
      </c>
      <c r="J6351" s="237">
        <v>0</v>
      </c>
    </row>
    <row r="6352" spans="1:10" s="225" customFormat="1">
      <c r="A6352" s="222" t="s">
        <v>179</v>
      </c>
      <c r="B6352" s="222" t="s">
        <v>34</v>
      </c>
      <c r="C6352" s="236">
        <v>0.82638888888888895</v>
      </c>
      <c r="D6352" s="237">
        <v>0</v>
      </c>
      <c r="E6352" s="237">
        <v>0</v>
      </c>
      <c r="F6352" s="237">
        <v>0</v>
      </c>
      <c r="G6352" s="237">
        <v>0</v>
      </c>
      <c r="H6352" s="237">
        <v>0</v>
      </c>
      <c r="I6352" s="237">
        <v>0</v>
      </c>
      <c r="J6352" s="237">
        <v>0</v>
      </c>
    </row>
    <row r="6353" spans="1:10" s="225" customFormat="1">
      <c r="A6353" s="222" t="s">
        <v>179</v>
      </c>
      <c r="B6353" s="222" t="s">
        <v>34</v>
      </c>
      <c r="C6353" s="236">
        <v>0.82708333333333295</v>
      </c>
      <c r="D6353" s="237">
        <v>0</v>
      </c>
      <c r="E6353" s="237">
        <v>0</v>
      </c>
      <c r="F6353" s="237">
        <v>0</v>
      </c>
      <c r="G6353" s="237">
        <v>0</v>
      </c>
      <c r="H6353" s="237">
        <v>0</v>
      </c>
      <c r="I6353" s="237">
        <v>0</v>
      </c>
      <c r="J6353" s="237">
        <v>0</v>
      </c>
    </row>
    <row r="6354" spans="1:10" s="225" customFormat="1">
      <c r="A6354" s="222" t="s">
        <v>179</v>
      </c>
      <c r="B6354" s="222" t="s">
        <v>34</v>
      </c>
      <c r="C6354" s="236">
        <v>0.82777777777777795</v>
      </c>
      <c r="D6354" s="237">
        <v>0</v>
      </c>
      <c r="E6354" s="237">
        <v>0</v>
      </c>
      <c r="F6354" s="237">
        <v>0</v>
      </c>
      <c r="G6354" s="237">
        <v>0</v>
      </c>
      <c r="H6354" s="237">
        <v>0</v>
      </c>
      <c r="I6354" s="237">
        <v>0</v>
      </c>
      <c r="J6354" s="237">
        <v>0</v>
      </c>
    </row>
    <row r="6355" spans="1:10" s="225" customFormat="1">
      <c r="A6355" s="222" t="s">
        <v>179</v>
      </c>
      <c r="B6355" s="222" t="s">
        <v>34</v>
      </c>
      <c r="C6355" s="236">
        <v>0.82847222222222205</v>
      </c>
      <c r="D6355" s="237">
        <v>0</v>
      </c>
      <c r="E6355" s="237">
        <v>0</v>
      </c>
      <c r="F6355" s="237">
        <v>0</v>
      </c>
      <c r="G6355" s="237">
        <v>0</v>
      </c>
      <c r="H6355" s="237">
        <v>0</v>
      </c>
      <c r="I6355" s="237">
        <v>0</v>
      </c>
      <c r="J6355" s="237">
        <v>0</v>
      </c>
    </row>
    <row r="6356" spans="1:10" s="225" customFormat="1">
      <c r="A6356" s="222" t="s">
        <v>179</v>
      </c>
      <c r="B6356" s="222" t="s">
        <v>34</v>
      </c>
      <c r="C6356" s="236">
        <v>0.82916666666666605</v>
      </c>
      <c r="D6356" s="237">
        <v>0</v>
      </c>
      <c r="E6356" s="237">
        <v>0</v>
      </c>
      <c r="F6356" s="237">
        <v>0</v>
      </c>
      <c r="G6356" s="237">
        <v>0</v>
      </c>
      <c r="H6356" s="237">
        <v>0</v>
      </c>
      <c r="I6356" s="237">
        <v>0</v>
      </c>
      <c r="J6356" s="237">
        <v>0</v>
      </c>
    </row>
    <row r="6357" spans="1:10" s="225" customFormat="1">
      <c r="A6357" s="222" t="s">
        <v>179</v>
      </c>
      <c r="B6357" s="222" t="s">
        <v>34</v>
      </c>
      <c r="C6357" s="236">
        <v>0.82986111111111105</v>
      </c>
      <c r="D6357" s="237">
        <v>0</v>
      </c>
      <c r="E6357" s="237">
        <v>0</v>
      </c>
      <c r="F6357" s="237">
        <v>0</v>
      </c>
      <c r="G6357" s="237">
        <v>0</v>
      </c>
      <c r="H6357" s="237">
        <v>0</v>
      </c>
      <c r="I6357" s="237">
        <v>0</v>
      </c>
      <c r="J6357" s="237">
        <v>0</v>
      </c>
    </row>
    <row r="6358" spans="1:10" s="225" customFormat="1">
      <c r="A6358" s="222" t="s">
        <v>179</v>
      </c>
      <c r="B6358" s="222" t="s">
        <v>34</v>
      </c>
      <c r="C6358" s="236">
        <v>0.83055555555555505</v>
      </c>
      <c r="D6358" s="237">
        <v>0</v>
      </c>
      <c r="E6358" s="237">
        <v>0</v>
      </c>
      <c r="F6358" s="237">
        <v>0</v>
      </c>
      <c r="G6358" s="237">
        <v>0</v>
      </c>
      <c r="H6358" s="237">
        <v>0</v>
      </c>
      <c r="I6358" s="237">
        <v>0</v>
      </c>
      <c r="J6358" s="237">
        <v>0</v>
      </c>
    </row>
    <row r="6359" spans="1:10" s="225" customFormat="1">
      <c r="A6359" s="222" t="s">
        <v>179</v>
      </c>
      <c r="B6359" s="222" t="s">
        <v>34</v>
      </c>
      <c r="C6359" s="236">
        <v>0.83125000000000004</v>
      </c>
      <c r="D6359" s="237">
        <v>0</v>
      </c>
      <c r="E6359" s="237">
        <v>0</v>
      </c>
      <c r="F6359" s="237">
        <v>0</v>
      </c>
      <c r="G6359" s="237">
        <v>0</v>
      </c>
      <c r="H6359" s="237">
        <v>0</v>
      </c>
      <c r="I6359" s="237">
        <v>0</v>
      </c>
      <c r="J6359" s="237">
        <v>0</v>
      </c>
    </row>
    <row r="6360" spans="1:10" s="225" customFormat="1">
      <c r="A6360" s="222" t="s">
        <v>179</v>
      </c>
      <c r="B6360" s="222" t="s">
        <v>34</v>
      </c>
      <c r="C6360" s="236">
        <v>0.83194444444444404</v>
      </c>
      <c r="D6360" s="237">
        <v>0</v>
      </c>
      <c r="E6360" s="237">
        <v>0</v>
      </c>
      <c r="F6360" s="237">
        <v>0</v>
      </c>
      <c r="G6360" s="237">
        <v>0</v>
      </c>
      <c r="H6360" s="237">
        <v>0</v>
      </c>
      <c r="I6360" s="237">
        <v>0</v>
      </c>
      <c r="J6360" s="237">
        <v>0</v>
      </c>
    </row>
    <row r="6361" spans="1:10" s="235" customFormat="1" ht="17.5" thickBot="1">
      <c r="A6361" s="232" t="s">
        <v>179</v>
      </c>
      <c r="B6361" s="232" t="s">
        <v>34</v>
      </c>
      <c r="C6361" s="240">
        <v>0.83263888888888904</v>
      </c>
      <c r="D6361" s="241">
        <v>0</v>
      </c>
      <c r="E6361" s="241">
        <v>0</v>
      </c>
      <c r="F6361" s="241">
        <v>0</v>
      </c>
      <c r="G6361" s="241">
        <v>0</v>
      </c>
      <c r="H6361" s="241">
        <v>0</v>
      </c>
      <c r="I6361" s="241">
        <v>0</v>
      </c>
      <c r="J6361" s="241">
        <v>0</v>
      </c>
    </row>
    <row r="6362" spans="1:10" s="225" customFormat="1">
      <c r="A6362" s="222" t="s">
        <v>179</v>
      </c>
      <c r="B6362" s="222" t="s">
        <v>35</v>
      </c>
      <c r="C6362" s="236">
        <v>0.66666666666666663</v>
      </c>
      <c r="D6362" s="237">
        <v>0</v>
      </c>
      <c r="E6362" s="237">
        <v>0</v>
      </c>
      <c r="F6362" s="237">
        <v>0</v>
      </c>
      <c r="G6362" s="237">
        <v>0</v>
      </c>
      <c r="H6362" s="237">
        <v>0</v>
      </c>
      <c r="I6362" s="237">
        <v>0</v>
      </c>
      <c r="J6362" s="237">
        <v>0</v>
      </c>
    </row>
    <row r="6363" spans="1:10" s="225" customFormat="1">
      <c r="A6363" s="222" t="s">
        <v>179</v>
      </c>
      <c r="B6363" s="222" t="s">
        <v>35</v>
      </c>
      <c r="C6363" s="236">
        <v>0.66736111111111107</v>
      </c>
      <c r="D6363" s="237">
        <v>0</v>
      </c>
      <c r="E6363" s="237">
        <v>0</v>
      </c>
      <c r="F6363" s="237">
        <v>0</v>
      </c>
      <c r="G6363" s="237">
        <v>0</v>
      </c>
      <c r="H6363" s="237">
        <v>0</v>
      </c>
      <c r="I6363" s="237">
        <v>0</v>
      </c>
      <c r="J6363" s="237">
        <v>0</v>
      </c>
    </row>
    <row r="6364" spans="1:10" s="225" customFormat="1">
      <c r="A6364" s="222" t="s">
        <v>179</v>
      </c>
      <c r="B6364" s="222" t="s">
        <v>35</v>
      </c>
      <c r="C6364" s="236">
        <v>0.66805555555555596</v>
      </c>
      <c r="D6364" s="237">
        <v>0</v>
      </c>
      <c r="E6364" s="237">
        <v>0</v>
      </c>
      <c r="F6364" s="237">
        <v>0</v>
      </c>
      <c r="G6364" s="237">
        <v>0</v>
      </c>
      <c r="H6364" s="237">
        <v>0</v>
      </c>
      <c r="I6364" s="237">
        <v>0</v>
      </c>
      <c r="J6364" s="237">
        <v>0</v>
      </c>
    </row>
    <row r="6365" spans="1:10" s="225" customFormat="1">
      <c r="A6365" s="222" t="s">
        <v>179</v>
      </c>
      <c r="B6365" s="222" t="s">
        <v>35</v>
      </c>
      <c r="C6365" s="236">
        <v>0.66874999999999996</v>
      </c>
      <c r="D6365" s="237">
        <v>0</v>
      </c>
      <c r="E6365" s="237">
        <v>0</v>
      </c>
      <c r="F6365" s="237">
        <v>0</v>
      </c>
      <c r="G6365" s="237">
        <v>0</v>
      </c>
      <c r="H6365" s="237">
        <v>0</v>
      </c>
      <c r="I6365" s="237">
        <v>0</v>
      </c>
      <c r="J6365" s="237">
        <v>0</v>
      </c>
    </row>
    <row r="6366" spans="1:10" s="225" customFormat="1">
      <c r="A6366" s="222" t="s">
        <v>179</v>
      </c>
      <c r="B6366" s="222" t="s">
        <v>35</v>
      </c>
      <c r="C6366" s="236">
        <v>0.66944444444444395</v>
      </c>
      <c r="D6366" s="237">
        <v>0</v>
      </c>
      <c r="E6366" s="237">
        <v>0</v>
      </c>
      <c r="F6366" s="237">
        <v>0</v>
      </c>
      <c r="G6366" s="237">
        <v>0</v>
      </c>
      <c r="H6366" s="237">
        <v>0</v>
      </c>
      <c r="I6366" s="237">
        <v>0</v>
      </c>
      <c r="J6366" s="237">
        <v>0</v>
      </c>
    </row>
    <row r="6367" spans="1:10" s="225" customFormat="1">
      <c r="A6367" s="222" t="s">
        <v>179</v>
      </c>
      <c r="B6367" s="222" t="s">
        <v>35</v>
      </c>
      <c r="C6367" s="236">
        <v>0.67013888888888895</v>
      </c>
      <c r="D6367" s="237">
        <v>0</v>
      </c>
      <c r="E6367" s="237">
        <v>0</v>
      </c>
      <c r="F6367" s="237">
        <v>0</v>
      </c>
      <c r="G6367" s="237">
        <v>0</v>
      </c>
      <c r="H6367" s="237">
        <v>0</v>
      </c>
      <c r="I6367" s="237">
        <v>0</v>
      </c>
      <c r="J6367" s="237">
        <v>0</v>
      </c>
    </row>
    <row r="6368" spans="1:10" s="225" customFormat="1">
      <c r="A6368" s="222" t="s">
        <v>179</v>
      </c>
      <c r="B6368" s="222" t="s">
        <v>35</v>
      </c>
      <c r="C6368" s="236">
        <v>0.67083333333333295</v>
      </c>
      <c r="D6368" s="237">
        <v>0</v>
      </c>
      <c r="E6368" s="237">
        <v>0</v>
      </c>
      <c r="F6368" s="237">
        <v>0</v>
      </c>
      <c r="G6368" s="237">
        <v>0</v>
      </c>
      <c r="H6368" s="237">
        <v>0</v>
      </c>
      <c r="I6368" s="237">
        <v>0</v>
      </c>
      <c r="J6368" s="237">
        <v>0</v>
      </c>
    </row>
    <row r="6369" spans="1:10" s="225" customFormat="1">
      <c r="A6369" s="222" t="s">
        <v>179</v>
      </c>
      <c r="B6369" s="222" t="s">
        <v>35</v>
      </c>
      <c r="C6369" s="236">
        <v>0.67152777777777795</v>
      </c>
      <c r="D6369" s="237">
        <v>0</v>
      </c>
      <c r="E6369" s="237">
        <v>0</v>
      </c>
      <c r="F6369" s="237">
        <v>0</v>
      </c>
      <c r="G6369" s="237">
        <v>0</v>
      </c>
      <c r="H6369" s="237">
        <v>0</v>
      </c>
      <c r="I6369" s="237">
        <v>0</v>
      </c>
      <c r="J6369" s="237">
        <v>0</v>
      </c>
    </row>
    <row r="6370" spans="1:10" s="225" customFormat="1">
      <c r="A6370" s="222" t="s">
        <v>179</v>
      </c>
      <c r="B6370" s="222" t="s">
        <v>35</v>
      </c>
      <c r="C6370" s="236">
        <v>0.67222222222222205</v>
      </c>
      <c r="D6370" s="237">
        <v>0</v>
      </c>
      <c r="E6370" s="237">
        <v>0</v>
      </c>
      <c r="F6370" s="237">
        <v>0</v>
      </c>
      <c r="G6370" s="237">
        <v>0</v>
      </c>
      <c r="H6370" s="237">
        <v>0</v>
      </c>
      <c r="I6370" s="237">
        <v>0</v>
      </c>
      <c r="J6370" s="237">
        <v>0</v>
      </c>
    </row>
    <row r="6371" spans="1:10" s="225" customFormat="1">
      <c r="A6371" s="222" t="s">
        <v>179</v>
      </c>
      <c r="B6371" s="222" t="s">
        <v>35</v>
      </c>
      <c r="C6371" s="236">
        <v>0.67291666666666705</v>
      </c>
      <c r="D6371" s="237">
        <v>0</v>
      </c>
      <c r="E6371" s="237">
        <v>0</v>
      </c>
      <c r="F6371" s="237">
        <v>0</v>
      </c>
      <c r="G6371" s="237">
        <v>0</v>
      </c>
      <c r="H6371" s="237">
        <v>0</v>
      </c>
      <c r="I6371" s="237">
        <v>0</v>
      </c>
      <c r="J6371" s="237">
        <v>0</v>
      </c>
    </row>
    <row r="6372" spans="1:10" s="225" customFormat="1">
      <c r="A6372" s="222" t="s">
        <v>179</v>
      </c>
      <c r="B6372" s="222" t="s">
        <v>35</v>
      </c>
      <c r="C6372" s="236">
        <v>0.67361111111111105</v>
      </c>
      <c r="D6372" s="237">
        <v>0</v>
      </c>
      <c r="E6372" s="237">
        <v>0</v>
      </c>
      <c r="F6372" s="237">
        <v>0</v>
      </c>
      <c r="G6372" s="237">
        <v>0</v>
      </c>
      <c r="H6372" s="237">
        <v>0</v>
      </c>
      <c r="I6372" s="237">
        <v>0</v>
      </c>
      <c r="J6372" s="237">
        <v>0</v>
      </c>
    </row>
    <row r="6373" spans="1:10" s="225" customFormat="1">
      <c r="A6373" s="222" t="s">
        <v>179</v>
      </c>
      <c r="B6373" s="222" t="s">
        <v>35</v>
      </c>
      <c r="C6373" s="236">
        <v>0.67430555555555505</v>
      </c>
      <c r="D6373" s="237">
        <v>0</v>
      </c>
      <c r="E6373" s="237">
        <v>0</v>
      </c>
      <c r="F6373" s="237">
        <v>0</v>
      </c>
      <c r="G6373" s="237">
        <v>0</v>
      </c>
      <c r="H6373" s="237">
        <v>0</v>
      </c>
      <c r="I6373" s="237">
        <v>0</v>
      </c>
      <c r="J6373" s="237">
        <v>0</v>
      </c>
    </row>
    <row r="6374" spans="1:10" s="225" customFormat="1">
      <c r="A6374" s="222" t="s">
        <v>179</v>
      </c>
      <c r="B6374" s="222" t="s">
        <v>35</v>
      </c>
      <c r="C6374" s="236">
        <v>0.67500000000000004</v>
      </c>
      <c r="D6374" s="237">
        <v>0</v>
      </c>
      <c r="E6374" s="237">
        <v>0</v>
      </c>
      <c r="F6374" s="237">
        <v>0</v>
      </c>
      <c r="G6374" s="237">
        <v>0</v>
      </c>
      <c r="H6374" s="237">
        <v>0</v>
      </c>
      <c r="I6374" s="237">
        <v>0</v>
      </c>
      <c r="J6374" s="237">
        <v>0</v>
      </c>
    </row>
    <row r="6375" spans="1:10" s="225" customFormat="1">
      <c r="A6375" s="222" t="s">
        <v>179</v>
      </c>
      <c r="B6375" s="222" t="s">
        <v>35</v>
      </c>
      <c r="C6375" s="236">
        <v>0.67569444444444404</v>
      </c>
      <c r="D6375" s="237">
        <v>0</v>
      </c>
      <c r="E6375" s="237">
        <v>0</v>
      </c>
      <c r="F6375" s="237">
        <v>0</v>
      </c>
      <c r="G6375" s="237">
        <v>0</v>
      </c>
      <c r="H6375" s="237">
        <v>0</v>
      </c>
      <c r="I6375" s="237">
        <v>0</v>
      </c>
      <c r="J6375" s="237">
        <v>0</v>
      </c>
    </row>
    <row r="6376" spans="1:10" s="229" customFormat="1">
      <c r="A6376" s="226" t="s">
        <v>179</v>
      </c>
      <c r="B6376" s="226" t="s">
        <v>35</v>
      </c>
      <c r="C6376" s="238">
        <v>0.67638888888888904</v>
      </c>
      <c r="D6376" s="239">
        <v>0</v>
      </c>
      <c r="E6376" s="239">
        <v>0</v>
      </c>
      <c r="F6376" s="239">
        <v>0</v>
      </c>
      <c r="G6376" s="239">
        <v>0</v>
      </c>
      <c r="H6376" s="239">
        <v>0</v>
      </c>
      <c r="I6376" s="239">
        <v>0</v>
      </c>
      <c r="J6376" s="239">
        <v>0</v>
      </c>
    </row>
    <row r="6377" spans="1:10" s="225" customFormat="1">
      <c r="A6377" s="222" t="s">
        <v>179</v>
      </c>
      <c r="B6377" s="222" t="s">
        <v>35</v>
      </c>
      <c r="C6377" s="236">
        <v>0.67708333333333304</v>
      </c>
      <c r="D6377" s="237">
        <v>0</v>
      </c>
      <c r="E6377" s="237">
        <v>0</v>
      </c>
      <c r="F6377" s="237">
        <v>0</v>
      </c>
      <c r="G6377" s="237">
        <v>0</v>
      </c>
      <c r="H6377" s="237">
        <v>0</v>
      </c>
      <c r="I6377" s="237">
        <v>0</v>
      </c>
      <c r="J6377" s="237">
        <v>0</v>
      </c>
    </row>
    <row r="6378" spans="1:10" s="225" customFormat="1">
      <c r="A6378" s="222" t="s">
        <v>179</v>
      </c>
      <c r="B6378" s="222" t="s">
        <v>35</v>
      </c>
      <c r="C6378" s="236">
        <v>0.67777777777777803</v>
      </c>
      <c r="D6378" s="237">
        <v>0</v>
      </c>
      <c r="E6378" s="237">
        <v>0</v>
      </c>
      <c r="F6378" s="237">
        <v>0</v>
      </c>
      <c r="G6378" s="237">
        <v>0</v>
      </c>
      <c r="H6378" s="237">
        <v>0</v>
      </c>
      <c r="I6378" s="237">
        <v>0</v>
      </c>
      <c r="J6378" s="237">
        <v>0</v>
      </c>
    </row>
    <row r="6379" spans="1:10" s="225" customFormat="1">
      <c r="A6379" s="222" t="s">
        <v>179</v>
      </c>
      <c r="B6379" s="222" t="s">
        <v>35</v>
      </c>
      <c r="C6379" s="236">
        <v>0.67847222222222203</v>
      </c>
      <c r="D6379" s="237">
        <v>0</v>
      </c>
      <c r="E6379" s="237">
        <v>0</v>
      </c>
      <c r="F6379" s="237">
        <v>0</v>
      </c>
      <c r="G6379" s="237">
        <v>0</v>
      </c>
      <c r="H6379" s="237">
        <v>0</v>
      </c>
      <c r="I6379" s="237">
        <v>0</v>
      </c>
      <c r="J6379" s="237">
        <v>0</v>
      </c>
    </row>
    <row r="6380" spans="1:10" s="225" customFormat="1">
      <c r="A6380" s="222" t="s">
        <v>179</v>
      </c>
      <c r="B6380" s="222" t="s">
        <v>35</v>
      </c>
      <c r="C6380" s="236">
        <v>0.67916666666666703</v>
      </c>
      <c r="D6380" s="237">
        <v>0</v>
      </c>
      <c r="E6380" s="237">
        <v>0</v>
      </c>
      <c r="F6380" s="237">
        <v>0</v>
      </c>
      <c r="G6380" s="237">
        <v>0</v>
      </c>
      <c r="H6380" s="237">
        <v>0</v>
      </c>
      <c r="I6380" s="237">
        <v>0</v>
      </c>
      <c r="J6380" s="237">
        <v>0</v>
      </c>
    </row>
    <row r="6381" spans="1:10" s="225" customFormat="1">
      <c r="A6381" s="222" t="s">
        <v>179</v>
      </c>
      <c r="B6381" s="222" t="s">
        <v>35</v>
      </c>
      <c r="C6381" s="236">
        <v>0.67986111111111103</v>
      </c>
      <c r="D6381" s="237">
        <v>0</v>
      </c>
      <c r="E6381" s="237">
        <v>0</v>
      </c>
      <c r="F6381" s="237">
        <v>0</v>
      </c>
      <c r="G6381" s="237">
        <v>0</v>
      </c>
      <c r="H6381" s="237">
        <v>0</v>
      </c>
      <c r="I6381" s="237">
        <v>0</v>
      </c>
      <c r="J6381" s="237">
        <v>0</v>
      </c>
    </row>
    <row r="6382" spans="1:10" s="225" customFormat="1">
      <c r="A6382" s="222" t="s">
        <v>179</v>
      </c>
      <c r="B6382" s="222" t="s">
        <v>35</v>
      </c>
      <c r="C6382" s="236">
        <v>0.68055555555555503</v>
      </c>
      <c r="D6382" s="237">
        <v>0</v>
      </c>
      <c r="E6382" s="237">
        <v>0</v>
      </c>
      <c r="F6382" s="237">
        <v>0</v>
      </c>
      <c r="G6382" s="237">
        <v>0</v>
      </c>
      <c r="H6382" s="237">
        <v>0</v>
      </c>
      <c r="I6382" s="237">
        <v>0</v>
      </c>
      <c r="J6382" s="237">
        <v>0</v>
      </c>
    </row>
    <row r="6383" spans="1:10" s="225" customFormat="1">
      <c r="A6383" s="222" t="s">
        <v>179</v>
      </c>
      <c r="B6383" s="222" t="s">
        <v>35</v>
      </c>
      <c r="C6383" s="236">
        <v>0.68125000000000002</v>
      </c>
      <c r="D6383" s="237">
        <v>0</v>
      </c>
      <c r="E6383" s="237">
        <v>0</v>
      </c>
      <c r="F6383" s="237">
        <v>0</v>
      </c>
      <c r="G6383" s="237">
        <v>0</v>
      </c>
      <c r="H6383" s="237">
        <v>0</v>
      </c>
      <c r="I6383" s="237">
        <v>0</v>
      </c>
      <c r="J6383" s="237">
        <v>0</v>
      </c>
    </row>
    <row r="6384" spans="1:10" s="225" customFormat="1">
      <c r="A6384" s="222" t="s">
        <v>179</v>
      </c>
      <c r="B6384" s="222" t="s">
        <v>35</v>
      </c>
      <c r="C6384" s="236">
        <v>0.68194444444444402</v>
      </c>
      <c r="D6384" s="237">
        <v>0</v>
      </c>
      <c r="E6384" s="237">
        <v>0</v>
      </c>
      <c r="F6384" s="237">
        <v>0</v>
      </c>
      <c r="G6384" s="237">
        <v>0</v>
      </c>
      <c r="H6384" s="237">
        <v>0</v>
      </c>
      <c r="I6384" s="237">
        <v>0</v>
      </c>
      <c r="J6384" s="237">
        <v>0</v>
      </c>
    </row>
    <row r="6385" spans="1:10" s="225" customFormat="1">
      <c r="A6385" s="222" t="s">
        <v>179</v>
      </c>
      <c r="B6385" s="222" t="s">
        <v>35</v>
      </c>
      <c r="C6385" s="236">
        <v>0.68263888888888902</v>
      </c>
      <c r="D6385" s="237">
        <v>0</v>
      </c>
      <c r="E6385" s="237">
        <v>0</v>
      </c>
      <c r="F6385" s="237">
        <v>0</v>
      </c>
      <c r="G6385" s="237">
        <v>0</v>
      </c>
      <c r="H6385" s="237">
        <v>0</v>
      </c>
      <c r="I6385" s="237">
        <v>0</v>
      </c>
      <c r="J6385" s="237">
        <v>0</v>
      </c>
    </row>
    <row r="6386" spans="1:10" s="225" customFormat="1">
      <c r="A6386" s="222" t="s">
        <v>179</v>
      </c>
      <c r="B6386" s="222" t="s">
        <v>35</v>
      </c>
      <c r="C6386" s="236">
        <v>0.68333333333333302</v>
      </c>
      <c r="D6386" s="237">
        <v>0</v>
      </c>
      <c r="E6386" s="237">
        <v>0</v>
      </c>
      <c r="F6386" s="237">
        <v>0</v>
      </c>
      <c r="G6386" s="237">
        <v>0</v>
      </c>
      <c r="H6386" s="237">
        <v>0</v>
      </c>
      <c r="I6386" s="237">
        <v>0</v>
      </c>
      <c r="J6386" s="237">
        <v>0</v>
      </c>
    </row>
    <row r="6387" spans="1:10" s="225" customFormat="1">
      <c r="A6387" s="222" t="s">
        <v>179</v>
      </c>
      <c r="B6387" s="222" t="s">
        <v>35</v>
      </c>
      <c r="C6387" s="236">
        <v>0.68402777777777801</v>
      </c>
      <c r="D6387" s="237">
        <v>0</v>
      </c>
      <c r="E6387" s="237">
        <v>0</v>
      </c>
      <c r="F6387" s="237">
        <v>0</v>
      </c>
      <c r="G6387" s="237">
        <v>0</v>
      </c>
      <c r="H6387" s="237">
        <v>0</v>
      </c>
      <c r="I6387" s="237">
        <v>0</v>
      </c>
      <c r="J6387" s="237">
        <v>0</v>
      </c>
    </row>
    <row r="6388" spans="1:10" s="225" customFormat="1">
      <c r="A6388" s="222" t="s">
        <v>179</v>
      </c>
      <c r="B6388" s="222" t="s">
        <v>35</v>
      </c>
      <c r="C6388" s="236">
        <v>0.68472222222222201</v>
      </c>
      <c r="D6388" s="237">
        <v>0</v>
      </c>
      <c r="E6388" s="237">
        <v>0</v>
      </c>
      <c r="F6388" s="237">
        <v>0</v>
      </c>
      <c r="G6388" s="237">
        <v>0</v>
      </c>
      <c r="H6388" s="237">
        <v>0</v>
      </c>
      <c r="I6388" s="237">
        <v>0</v>
      </c>
      <c r="J6388" s="237">
        <v>0</v>
      </c>
    </row>
    <row r="6389" spans="1:10" s="225" customFormat="1">
      <c r="A6389" s="222" t="s">
        <v>179</v>
      </c>
      <c r="B6389" s="222" t="s">
        <v>35</v>
      </c>
      <c r="C6389" s="236">
        <v>0.68541666666666701</v>
      </c>
      <c r="D6389" s="237">
        <v>0</v>
      </c>
      <c r="E6389" s="237">
        <v>0</v>
      </c>
      <c r="F6389" s="237">
        <v>0</v>
      </c>
      <c r="G6389" s="237">
        <v>0</v>
      </c>
      <c r="H6389" s="237">
        <v>0</v>
      </c>
      <c r="I6389" s="237">
        <v>0</v>
      </c>
      <c r="J6389" s="237">
        <v>0</v>
      </c>
    </row>
    <row r="6390" spans="1:10" s="225" customFormat="1">
      <c r="A6390" s="222" t="s">
        <v>179</v>
      </c>
      <c r="B6390" s="222" t="s">
        <v>35</v>
      </c>
      <c r="C6390" s="236">
        <v>0.68611111111111101</v>
      </c>
      <c r="D6390" s="237">
        <v>0</v>
      </c>
      <c r="E6390" s="237">
        <v>0</v>
      </c>
      <c r="F6390" s="237">
        <v>0</v>
      </c>
      <c r="G6390" s="237">
        <v>0</v>
      </c>
      <c r="H6390" s="237">
        <v>0</v>
      </c>
      <c r="I6390" s="237">
        <v>0</v>
      </c>
      <c r="J6390" s="237">
        <v>0</v>
      </c>
    </row>
    <row r="6391" spans="1:10" s="229" customFormat="1">
      <c r="A6391" s="226" t="s">
        <v>179</v>
      </c>
      <c r="B6391" s="226" t="s">
        <v>35</v>
      </c>
      <c r="C6391" s="238">
        <v>0.686805555555555</v>
      </c>
      <c r="D6391" s="239">
        <v>0</v>
      </c>
      <c r="E6391" s="239">
        <v>0</v>
      </c>
      <c r="F6391" s="239">
        <v>0</v>
      </c>
      <c r="G6391" s="239">
        <v>0</v>
      </c>
      <c r="H6391" s="239">
        <v>0</v>
      </c>
      <c r="I6391" s="239">
        <v>0</v>
      </c>
      <c r="J6391" s="239">
        <v>0</v>
      </c>
    </row>
    <row r="6392" spans="1:10" s="225" customFormat="1">
      <c r="A6392" s="222" t="s">
        <v>179</v>
      </c>
      <c r="B6392" s="222" t="s">
        <v>35</v>
      </c>
      <c r="C6392" s="236">
        <v>0.6875</v>
      </c>
      <c r="D6392" s="237">
        <v>0</v>
      </c>
      <c r="E6392" s="237">
        <v>0</v>
      </c>
      <c r="F6392" s="237">
        <v>0</v>
      </c>
      <c r="G6392" s="237">
        <v>0</v>
      </c>
      <c r="H6392" s="237">
        <v>0</v>
      </c>
      <c r="I6392" s="237">
        <v>0</v>
      </c>
      <c r="J6392" s="237">
        <v>0</v>
      </c>
    </row>
    <row r="6393" spans="1:10" s="225" customFormat="1">
      <c r="A6393" s="222" t="s">
        <v>179</v>
      </c>
      <c r="B6393" s="222" t="s">
        <v>35</v>
      </c>
      <c r="C6393" s="236">
        <v>0.688194444444444</v>
      </c>
      <c r="D6393" s="237">
        <v>0</v>
      </c>
      <c r="E6393" s="237">
        <v>0</v>
      </c>
      <c r="F6393" s="237">
        <v>0</v>
      </c>
      <c r="G6393" s="237">
        <v>0</v>
      </c>
      <c r="H6393" s="237">
        <v>0</v>
      </c>
      <c r="I6393" s="237">
        <v>0</v>
      </c>
      <c r="J6393" s="237">
        <v>0</v>
      </c>
    </row>
    <row r="6394" spans="1:10" s="225" customFormat="1">
      <c r="A6394" s="222" t="s">
        <v>179</v>
      </c>
      <c r="B6394" s="222" t="s">
        <v>35</v>
      </c>
      <c r="C6394" s="236">
        <v>0.68888888888888899</v>
      </c>
      <c r="D6394" s="237">
        <v>0</v>
      </c>
      <c r="E6394" s="237">
        <v>0</v>
      </c>
      <c r="F6394" s="237">
        <v>0</v>
      </c>
      <c r="G6394" s="237">
        <v>0</v>
      </c>
      <c r="H6394" s="237">
        <v>0</v>
      </c>
      <c r="I6394" s="237">
        <v>0</v>
      </c>
      <c r="J6394" s="237">
        <v>0</v>
      </c>
    </row>
    <row r="6395" spans="1:10" s="225" customFormat="1">
      <c r="A6395" s="222" t="s">
        <v>179</v>
      </c>
      <c r="B6395" s="222" t="s">
        <v>35</v>
      </c>
      <c r="C6395" s="236">
        <v>0.68958333333333299</v>
      </c>
      <c r="D6395" s="237">
        <v>0</v>
      </c>
      <c r="E6395" s="237">
        <v>0</v>
      </c>
      <c r="F6395" s="237">
        <v>0</v>
      </c>
      <c r="G6395" s="237">
        <v>0</v>
      </c>
      <c r="H6395" s="237">
        <v>0</v>
      </c>
      <c r="I6395" s="237">
        <v>0</v>
      </c>
      <c r="J6395" s="237">
        <v>0</v>
      </c>
    </row>
    <row r="6396" spans="1:10" s="225" customFormat="1">
      <c r="A6396" s="222" t="s">
        <v>179</v>
      </c>
      <c r="B6396" s="222" t="s">
        <v>35</v>
      </c>
      <c r="C6396" s="236">
        <v>0.69027777777777799</v>
      </c>
      <c r="D6396" s="237">
        <v>0</v>
      </c>
      <c r="E6396" s="237">
        <v>0</v>
      </c>
      <c r="F6396" s="237">
        <v>0</v>
      </c>
      <c r="G6396" s="237">
        <v>0</v>
      </c>
      <c r="H6396" s="237">
        <v>0</v>
      </c>
      <c r="I6396" s="237">
        <v>0</v>
      </c>
      <c r="J6396" s="237">
        <v>0</v>
      </c>
    </row>
    <row r="6397" spans="1:10" s="225" customFormat="1">
      <c r="A6397" s="222" t="s">
        <v>179</v>
      </c>
      <c r="B6397" s="222" t="s">
        <v>35</v>
      </c>
      <c r="C6397" s="236">
        <v>0.69097222222222199</v>
      </c>
      <c r="D6397" s="237">
        <v>0</v>
      </c>
      <c r="E6397" s="237">
        <v>0</v>
      </c>
      <c r="F6397" s="237">
        <v>0</v>
      </c>
      <c r="G6397" s="237">
        <v>0</v>
      </c>
      <c r="H6397" s="237">
        <v>0</v>
      </c>
      <c r="I6397" s="237">
        <v>0</v>
      </c>
      <c r="J6397" s="237">
        <v>0</v>
      </c>
    </row>
    <row r="6398" spans="1:10" s="225" customFormat="1">
      <c r="A6398" s="222" t="s">
        <v>179</v>
      </c>
      <c r="B6398" s="222" t="s">
        <v>35</v>
      </c>
      <c r="C6398" s="236">
        <v>0.69166666666666698</v>
      </c>
      <c r="D6398" s="237">
        <v>0</v>
      </c>
      <c r="E6398" s="237">
        <v>0</v>
      </c>
      <c r="F6398" s="237">
        <v>0</v>
      </c>
      <c r="G6398" s="237">
        <v>0</v>
      </c>
      <c r="H6398" s="237">
        <v>0</v>
      </c>
      <c r="I6398" s="237">
        <v>0</v>
      </c>
      <c r="J6398" s="237">
        <v>0</v>
      </c>
    </row>
    <row r="6399" spans="1:10" s="225" customFormat="1">
      <c r="A6399" s="222" t="s">
        <v>179</v>
      </c>
      <c r="B6399" s="222" t="s">
        <v>35</v>
      </c>
      <c r="C6399" s="236">
        <v>0.69236111111111098</v>
      </c>
      <c r="D6399" s="237">
        <v>0</v>
      </c>
      <c r="E6399" s="237">
        <v>0</v>
      </c>
      <c r="F6399" s="237">
        <v>0</v>
      </c>
      <c r="G6399" s="237">
        <v>0</v>
      </c>
      <c r="H6399" s="237">
        <v>0</v>
      </c>
      <c r="I6399" s="237">
        <v>0</v>
      </c>
      <c r="J6399" s="237">
        <v>0</v>
      </c>
    </row>
    <row r="6400" spans="1:10" s="225" customFormat="1">
      <c r="A6400" s="222" t="s">
        <v>179</v>
      </c>
      <c r="B6400" s="222" t="s">
        <v>35</v>
      </c>
      <c r="C6400" s="236">
        <v>0.69305555555555498</v>
      </c>
      <c r="D6400" s="237">
        <v>0</v>
      </c>
      <c r="E6400" s="237">
        <v>0</v>
      </c>
      <c r="F6400" s="237">
        <v>0</v>
      </c>
      <c r="G6400" s="237">
        <v>0</v>
      </c>
      <c r="H6400" s="237">
        <v>0</v>
      </c>
      <c r="I6400" s="237">
        <v>0</v>
      </c>
      <c r="J6400" s="237">
        <v>0</v>
      </c>
    </row>
    <row r="6401" spans="1:10" s="225" customFormat="1">
      <c r="A6401" s="222" t="s">
        <v>179</v>
      </c>
      <c r="B6401" s="222" t="s">
        <v>35</v>
      </c>
      <c r="C6401" s="236">
        <v>0.69374999999999998</v>
      </c>
      <c r="D6401" s="237">
        <v>0</v>
      </c>
      <c r="E6401" s="237">
        <v>0</v>
      </c>
      <c r="F6401" s="237">
        <v>0</v>
      </c>
      <c r="G6401" s="237">
        <v>0</v>
      </c>
      <c r="H6401" s="237">
        <v>0</v>
      </c>
      <c r="I6401" s="237">
        <v>0</v>
      </c>
      <c r="J6401" s="237">
        <v>0</v>
      </c>
    </row>
    <row r="6402" spans="1:10" s="225" customFormat="1">
      <c r="A6402" s="222" t="s">
        <v>179</v>
      </c>
      <c r="B6402" s="222" t="s">
        <v>35</v>
      </c>
      <c r="C6402" s="236">
        <v>0.69444444444444398</v>
      </c>
      <c r="D6402" s="237">
        <v>0</v>
      </c>
      <c r="E6402" s="237">
        <v>0</v>
      </c>
      <c r="F6402" s="237">
        <v>0</v>
      </c>
      <c r="G6402" s="237">
        <v>0</v>
      </c>
      <c r="H6402" s="237">
        <v>0</v>
      </c>
      <c r="I6402" s="237">
        <v>0</v>
      </c>
      <c r="J6402" s="237">
        <v>0</v>
      </c>
    </row>
    <row r="6403" spans="1:10" s="225" customFormat="1">
      <c r="A6403" s="222" t="s">
        <v>179</v>
      </c>
      <c r="B6403" s="222" t="s">
        <v>35</v>
      </c>
      <c r="C6403" s="236">
        <v>0.69513888888888897</v>
      </c>
      <c r="D6403" s="237">
        <v>0</v>
      </c>
      <c r="E6403" s="237">
        <v>0</v>
      </c>
      <c r="F6403" s="237">
        <v>0</v>
      </c>
      <c r="G6403" s="237">
        <v>0</v>
      </c>
      <c r="H6403" s="237">
        <v>0</v>
      </c>
      <c r="I6403" s="237">
        <v>0</v>
      </c>
      <c r="J6403" s="237">
        <v>0</v>
      </c>
    </row>
    <row r="6404" spans="1:10" s="225" customFormat="1">
      <c r="A6404" s="222" t="s">
        <v>179</v>
      </c>
      <c r="B6404" s="222" t="s">
        <v>35</v>
      </c>
      <c r="C6404" s="236">
        <v>0.69583333333333297</v>
      </c>
      <c r="D6404" s="237">
        <v>0</v>
      </c>
      <c r="E6404" s="237">
        <v>0</v>
      </c>
      <c r="F6404" s="237">
        <v>0</v>
      </c>
      <c r="G6404" s="237">
        <v>0</v>
      </c>
      <c r="H6404" s="237">
        <v>0</v>
      </c>
      <c r="I6404" s="237">
        <v>0</v>
      </c>
      <c r="J6404" s="237">
        <v>0</v>
      </c>
    </row>
    <row r="6405" spans="1:10" s="225" customFormat="1">
      <c r="A6405" s="222" t="s">
        <v>179</v>
      </c>
      <c r="B6405" s="222" t="s">
        <v>35</v>
      </c>
      <c r="C6405" s="236">
        <v>0.69652777777777797</v>
      </c>
      <c r="D6405" s="237">
        <v>0</v>
      </c>
      <c r="E6405" s="237">
        <v>0</v>
      </c>
      <c r="F6405" s="237">
        <v>0</v>
      </c>
      <c r="G6405" s="237">
        <v>0</v>
      </c>
      <c r="H6405" s="237">
        <v>0</v>
      </c>
      <c r="I6405" s="237">
        <v>0</v>
      </c>
      <c r="J6405" s="237">
        <v>0</v>
      </c>
    </row>
    <row r="6406" spans="1:10" s="229" customFormat="1">
      <c r="A6406" s="226" t="s">
        <v>179</v>
      </c>
      <c r="B6406" s="226" t="s">
        <v>35</v>
      </c>
      <c r="C6406" s="238">
        <v>0.69722222222222197</v>
      </c>
      <c r="D6406" s="239">
        <v>0</v>
      </c>
      <c r="E6406" s="239">
        <v>0</v>
      </c>
      <c r="F6406" s="239">
        <v>0</v>
      </c>
      <c r="G6406" s="239">
        <v>0</v>
      </c>
      <c r="H6406" s="239">
        <v>0</v>
      </c>
      <c r="I6406" s="239">
        <v>0</v>
      </c>
      <c r="J6406" s="239">
        <v>0</v>
      </c>
    </row>
    <row r="6407" spans="1:10" s="225" customFormat="1">
      <c r="A6407" s="222" t="s">
        <v>179</v>
      </c>
      <c r="B6407" s="222" t="s">
        <v>35</v>
      </c>
      <c r="C6407" s="236">
        <v>0.69791666666666696</v>
      </c>
      <c r="D6407" s="237">
        <v>0</v>
      </c>
      <c r="E6407" s="237">
        <v>0</v>
      </c>
      <c r="F6407" s="237">
        <v>0</v>
      </c>
      <c r="G6407" s="237">
        <v>0</v>
      </c>
      <c r="H6407" s="237">
        <v>0</v>
      </c>
      <c r="I6407" s="237">
        <v>0</v>
      </c>
      <c r="J6407" s="237">
        <v>0</v>
      </c>
    </row>
    <row r="6408" spans="1:10" s="225" customFormat="1">
      <c r="A6408" s="222" t="s">
        <v>179</v>
      </c>
      <c r="B6408" s="222" t="s">
        <v>35</v>
      </c>
      <c r="C6408" s="236">
        <v>0.69861111111111096</v>
      </c>
      <c r="D6408" s="237">
        <v>0</v>
      </c>
      <c r="E6408" s="237">
        <v>0</v>
      </c>
      <c r="F6408" s="237">
        <v>0</v>
      </c>
      <c r="G6408" s="237">
        <v>0</v>
      </c>
      <c r="H6408" s="237">
        <v>0</v>
      </c>
      <c r="I6408" s="237">
        <v>0</v>
      </c>
      <c r="J6408" s="237">
        <v>0</v>
      </c>
    </row>
    <row r="6409" spans="1:10" s="225" customFormat="1">
      <c r="A6409" s="222" t="s">
        <v>179</v>
      </c>
      <c r="B6409" s="222" t="s">
        <v>35</v>
      </c>
      <c r="C6409" s="236">
        <v>0.69930555555555496</v>
      </c>
      <c r="D6409" s="237">
        <v>0</v>
      </c>
      <c r="E6409" s="237">
        <v>0</v>
      </c>
      <c r="F6409" s="237">
        <v>0</v>
      </c>
      <c r="G6409" s="237">
        <v>0</v>
      </c>
      <c r="H6409" s="237">
        <v>0</v>
      </c>
      <c r="I6409" s="237">
        <v>0</v>
      </c>
      <c r="J6409" s="237">
        <v>0</v>
      </c>
    </row>
    <row r="6410" spans="1:10" s="225" customFormat="1">
      <c r="A6410" s="222" t="s">
        <v>179</v>
      </c>
      <c r="B6410" s="222" t="s">
        <v>35</v>
      </c>
      <c r="C6410" s="236">
        <v>0.7</v>
      </c>
      <c r="D6410" s="237">
        <v>0</v>
      </c>
      <c r="E6410" s="237">
        <v>0</v>
      </c>
      <c r="F6410" s="237">
        <v>0</v>
      </c>
      <c r="G6410" s="237">
        <v>0</v>
      </c>
      <c r="H6410" s="237">
        <v>0</v>
      </c>
      <c r="I6410" s="237">
        <v>0</v>
      </c>
      <c r="J6410" s="237">
        <v>0</v>
      </c>
    </row>
    <row r="6411" spans="1:10" s="225" customFormat="1">
      <c r="A6411" s="222" t="s">
        <v>179</v>
      </c>
      <c r="B6411" s="222" t="s">
        <v>35</v>
      </c>
      <c r="C6411" s="236">
        <v>0.70069444444444395</v>
      </c>
      <c r="D6411" s="237">
        <v>0</v>
      </c>
      <c r="E6411" s="237">
        <v>0</v>
      </c>
      <c r="F6411" s="237">
        <v>0</v>
      </c>
      <c r="G6411" s="237">
        <v>0</v>
      </c>
      <c r="H6411" s="237">
        <v>0</v>
      </c>
      <c r="I6411" s="237">
        <v>0</v>
      </c>
      <c r="J6411" s="237">
        <v>0</v>
      </c>
    </row>
    <row r="6412" spans="1:10" s="225" customFormat="1">
      <c r="A6412" s="222" t="s">
        <v>179</v>
      </c>
      <c r="B6412" s="222" t="s">
        <v>35</v>
      </c>
      <c r="C6412" s="236">
        <v>0.70138888888888895</v>
      </c>
      <c r="D6412" s="237">
        <v>0</v>
      </c>
      <c r="E6412" s="237">
        <v>0</v>
      </c>
      <c r="F6412" s="237">
        <v>0</v>
      </c>
      <c r="G6412" s="237">
        <v>0</v>
      </c>
      <c r="H6412" s="237">
        <v>0</v>
      </c>
      <c r="I6412" s="237">
        <v>0</v>
      </c>
      <c r="J6412" s="237">
        <v>0</v>
      </c>
    </row>
    <row r="6413" spans="1:10" s="225" customFormat="1">
      <c r="A6413" s="222" t="s">
        <v>179</v>
      </c>
      <c r="B6413" s="222" t="s">
        <v>35</v>
      </c>
      <c r="C6413" s="236">
        <v>0.70208333333333295</v>
      </c>
      <c r="D6413" s="237">
        <v>0</v>
      </c>
      <c r="E6413" s="237">
        <v>0</v>
      </c>
      <c r="F6413" s="237">
        <v>0</v>
      </c>
      <c r="G6413" s="237">
        <v>0</v>
      </c>
      <c r="H6413" s="237">
        <v>0</v>
      </c>
      <c r="I6413" s="237">
        <v>0</v>
      </c>
      <c r="J6413" s="237">
        <v>0</v>
      </c>
    </row>
    <row r="6414" spans="1:10" s="225" customFormat="1">
      <c r="A6414" s="222" t="s">
        <v>179</v>
      </c>
      <c r="B6414" s="222" t="s">
        <v>35</v>
      </c>
      <c r="C6414" s="236">
        <v>0.70277777777777795</v>
      </c>
      <c r="D6414" s="237">
        <v>0</v>
      </c>
      <c r="E6414" s="237">
        <v>0</v>
      </c>
      <c r="F6414" s="237">
        <v>0</v>
      </c>
      <c r="G6414" s="237">
        <v>0</v>
      </c>
      <c r="H6414" s="237">
        <v>0</v>
      </c>
      <c r="I6414" s="237">
        <v>0</v>
      </c>
      <c r="J6414" s="237">
        <v>0</v>
      </c>
    </row>
    <row r="6415" spans="1:10" s="225" customFormat="1">
      <c r="A6415" s="222" t="s">
        <v>179</v>
      </c>
      <c r="B6415" s="222" t="s">
        <v>35</v>
      </c>
      <c r="C6415" s="236">
        <v>0.70347222222222205</v>
      </c>
      <c r="D6415" s="237">
        <v>0</v>
      </c>
      <c r="E6415" s="237">
        <v>0</v>
      </c>
      <c r="F6415" s="237">
        <v>0</v>
      </c>
      <c r="G6415" s="237">
        <v>0</v>
      </c>
      <c r="H6415" s="237">
        <v>0</v>
      </c>
      <c r="I6415" s="237">
        <v>0</v>
      </c>
      <c r="J6415" s="237">
        <v>0</v>
      </c>
    </row>
    <row r="6416" spans="1:10" s="225" customFormat="1">
      <c r="A6416" s="222" t="s">
        <v>179</v>
      </c>
      <c r="B6416" s="222" t="s">
        <v>35</v>
      </c>
      <c r="C6416" s="236">
        <v>0.70416666666666605</v>
      </c>
      <c r="D6416" s="237">
        <v>0</v>
      </c>
      <c r="E6416" s="237">
        <v>0</v>
      </c>
      <c r="F6416" s="237">
        <v>0</v>
      </c>
      <c r="G6416" s="237">
        <v>0</v>
      </c>
      <c r="H6416" s="237">
        <v>0</v>
      </c>
      <c r="I6416" s="237">
        <v>0</v>
      </c>
      <c r="J6416" s="237">
        <v>0</v>
      </c>
    </row>
    <row r="6417" spans="1:10" s="225" customFormat="1">
      <c r="A6417" s="222" t="s">
        <v>179</v>
      </c>
      <c r="B6417" s="222" t="s">
        <v>35</v>
      </c>
      <c r="C6417" s="236">
        <v>0.70486111111111105</v>
      </c>
      <c r="D6417" s="237">
        <v>0</v>
      </c>
      <c r="E6417" s="237">
        <v>0</v>
      </c>
      <c r="F6417" s="237">
        <v>0</v>
      </c>
      <c r="G6417" s="237">
        <v>0</v>
      </c>
      <c r="H6417" s="237">
        <v>0</v>
      </c>
      <c r="I6417" s="237">
        <v>0</v>
      </c>
      <c r="J6417" s="237">
        <v>0</v>
      </c>
    </row>
    <row r="6418" spans="1:10" s="225" customFormat="1">
      <c r="A6418" s="222" t="s">
        <v>179</v>
      </c>
      <c r="B6418" s="222" t="s">
        <v>35</v>
      </c>
      <c r="C6418" s="236">
        <v>0.70555555555555505</v>
      </c>
      <c r="D6418" s="237">
        <v>0</v>
      </c>
      <c r="E6418" s="237">
        <v>0</v>
      </c>
      <c r="F6418" s="237">
        <v>0</v>
      </c>
      <c r="G6418" s="237">
        <v>0</v>
      </c>
      <c r="H6418" s="237">
        <v>0</v>
      </c>
      <c r="I6418" s="237">
        <v>0</v>
      </c>
      <c r="J6418" s="237">
        <v>0</v>
      </c>
    </row>
    <row r="6419" spans="1:10" s="225" customFormat="1">
      <c r="A6419" s="222" t="s">
        <v>179</v>
      </c>
      <c r="B6419" s="222" t="s">
        <v>35</v>
      </c>
      <c r="C6419" s="236">
        <v>0.70625000000000004</v>
      </c>
      <c r="D6419" s="237">
        <v>0</v>
      </c>
      <c r="E6419" s="237">
        <v>0</v>
      </c>
      <c r="F6419" s="237">
        <v>0</v>
      </c>
      <c r="G6419" s="237">
        <v>0</v>
      </c>
      <c r="H6419" s="237">
        <v>0</v>
      </c>
      <c r="I6419" s="237">
        <v>0</v>
      </c>
      <c r="J6419" s="237">
        <v>0</v>
      </c>
    </row>
    <row r="6420" spans="1:10" s="225" customFormat="1">
      <c r="A6420" s="222" t="s">
        <v>179</v>
      </c>
      <c r="B6420" s="222" t="s">
        <v>35</v>
      </c>
      <c r="C6420" s="236">
        <v>0.70694444444444404</v>
      </c>
      <c r="D6420" s="237">
        <v>0</v>
      </c>
      <c r="E6420" s="237">
        <v>0</v>
      </c>
      <c r="F6420" s="237">
        <v>0</v>
      </c>
      <c r="G6420" s="237">
        <v>0</v>
      </c>
      <c r="H6420" s="237">
        <v>0</v>
      </c>
      <c r="I6420" s="237">
        <v>0</v>
      </c>
      <c r="J6420" s="237">
        <v>0</v>
      </c>
    </row>
    <row r="6421" spans="1:10" s="229" customFormat="1">
      <c r="A6421" s="226" t="s">
        <v>179</v>
      </c>
      <c r="B6421" s="226" t="s">
        <v>35</v>
      </c>
      <c r="C6421" s="238">
        <v>0.70763888888888904</v>
      </c>
      <c r="D6421" s="239">
        <v>0</v>
      </c>
      <c r="E6421" s="239">
        <v>0</v>
      </c>
      <c r="F6421" s="239">
        <v>0</v>
      </c>
      <c r="G6421" s="239">
        <v>0</v>
      </c>
      <c r="H6421" s="239">
        <v>0</v>
      </c>
      <c r="I6421" s="239">
        <v>0</v>
      </c>
      <c r="J6421" s="239">
        <v>0</v>
      </c>
    </row>
    <row r="6422" spans="1:10" s="225" customFormat="1">
      <c r="A6422" s="222" t="s">
        <v>179</v>
      </c>
      <c r="B6422" s="222" t="s">
        <v>35</v>
      </c>
      <c r="C6422" s="236">
        <v>0.70833333333333304</v>
      </c>
      <c r="D6422" s="237">
        <v>0</v>
      </c>
      <c r="E6422" s="237">
        <v>0</v>
      </c>
      <c r="F6422" s="237">
        <v>0</v>
      </c>
      <c r="G6422" s="237">
        <v>0</v>
      </c>
      <c r="H6422" s="237">
        <v>0</v>
      </c>
      <c r="I6422" s="237">
        <v>0</v>
      </c>
      <c r="J6422" s="237">
        <v>0</v>
      </c>
    </row>
    <row r="6423" spans="1:10" s="225" customFormat="1">
      <c r="A6423" s="222" t="s">
        <v>179</v>
      </c>
      <c r="B6423" s="222" t="s">
        <v>35</v>
      </c>
      <c r="C6423" s="236">
        <v>0.70902777777777803</v>
      </c>
      <c r="D6423" s="237">
        <v>0</v>
      </c>
      <c r="E6423" s="237">
        <v>0</v>
      </c>
      <c r="F6423" s="237">
        <v>0</v>
      </c>
      <c r="G6423" s="237">
        <v>0</v>
      </c>
      <c r="H6423" s="237">
        <v>0</v>
      </c>
      <c r="I6423" s="237">
        <v>0</v>
      </c>
      <c r="J6423" s="237">
        <v>0</v>
      </c>
    </row>
    <row r="6424" spans="1:10" s="225" customFormat="1">
      <c r="A6424" s="222" t="s">
        <v>179</v>
      </c>
      <c r="B6424" s="222" t="s">
        <v>35</v>
      </c>
      <c r="C6424" s="236">
        <v>0.70972222222222203</v>
      </c>
      <c r="D6424" s="237">
        <v>0</v>
      </c>
      <c r="E6424" s="237">
        <v>0</v>
      </c>
      <c r="F6424" s="237">
        <v>0</v>
      </c>
      <c r="G6424" s="237">
        <v>0</v>
      </c>
      <c r="H6424" s="237">
        <v>0</v>
      </c>
      <c r="I6424" s="237">
        <v>0</v>
      </c>
      <c r="J6424" s="237">
        <v>0</v>
      </c>
    </row>
    <row r="6425" spans="1:10" s="225" customFormat="1">
      <c r="A6425" s="222" t="s">
        <v>179</v>
      </c>
      <c r="B6425" s="222" t="s">
        <v>35</v>
      </c>
      <c r="C6425" s="236">
        <v>0.71041666666666603</v>
      </c>
      <c r="D6425" s="237">
        <v>0</v>
      </c>
      <c r="E6425" s="237">
        <v>0</v>
      </c>
      <c r="F6425" s="237">
        <v>0</v>
      </c>
      <c r="G6425" s="237">
        <v>0</v>
      </c>
      <c r="H6425" s="237">
        <v>0</v>
      </c>
      <c r="I6425" s="237">
        <v>0</v>
      </c>
      <c r="J6425" s="237">
        <v>0</v>
      </c>
    </row>
    <row r="6426" spans="1:10" s="225" customFormat="1">
      <c r="A6426" s="222" t="s">
        <v>179</v>
      </c>
      <c r="B6426" s="222" t="s">
        <v>35</v>
      </c>
      <c r="C6426" s="236">
        <v>0.71111111111111103</v>
      </c>
      <c r="D6426" s="237">
        <v>0</v>
      </c>
      <c r="E6426" s="237">
        <v>0</v>
      </c>
      <c r="F6426" s="237">
        <v>0</v>
      </c>
      <c r="G6426" s="237">
        <v>0</v>
      </c>
      <c r="H6426" s="237">
        <v>0</v>
      </c>
      <c r="I6426" s="237">
        <v>0</v>
      </c>
      <c r="J6426" s="237">
        <v>0</v>
      </c>
    </row>
    <row r="6427" spans="1:10" s="225" customFormat="1">
      <c r="A6427" s="222" t="s">
        <v>179</v>
      </c>
      <c r="B6427" s="222" t="s">
        <v>35</v>
      </c>
      <c r="C6427" s="236">
        <v>0.71180555555555503</v>
      </c>
      <c r="D6427" s="237">
        <v>0</v>
      </c>
      <c r="E6427" s="237">
        <v>0</v>
      </c>
      <c r="F6427" s="237">
        <v>0</v>
      </c>
      <c r="G6427" s="237">
        <v>0</v>
      </c>
      <c r="H6427" s="237">
        <v>0</v>
      </c>
      <c r="I6427" s="237">
        <v>0</v>
      </c>
      <c r="J6427" s="237">
        <v>0</v>
      </c>
    </row>
    <row r="6428" spans="1:10" s="225" customFormat="1">
      <c r="A6428" s="222" t="s">
        <v>179</v>
      </c>
      <c r="B6428" s="222" t="s">
        <v>35</v>
      </c>
      <c r="C6428" s="236">
        <v>0.71250000000000002</v>
      </c>
      <c r="D6428" s="237">
        <v>0</v>
      </c>
      <c r="E6428" s="237">
        <v>0</v>
      </c>
      <c r="F6428" s="237">
        <v>0</v>
      </c>
      <c r="G6428" s="237">
        <v>0</v>
      </c>
      <c r="H6428" s="237">
        <v>0</v>
      </c>
      <c r="I6428" s="237">
        <v>0</v>
      </c>
      <c r="J6428" s="237">
        <v>0</v>
      </c>
    </row>
    <row r="6429" spans="1:10" s="225" customFormat="1">
      <c r="A6429" s="222" t="s">
        <v>179</v>
      </c>
      <c r="B6429" s="222" t="s">
        <v>35</v>
      </c>
      <c r="C6429" s="236">
        <v>0.71319444444444402</v>
      </c>
      <c r="D6429" s="237">
        <v>0</v>
      </c>
      <c r="E6429" s="237">
        <v>0</v>
      </c>
      <c r="F6429" s="237">
        <v>0</v>
      </c>
      <c r="G6429" s="237">
        <v>0</v>
      </c>
      <c r="H6429" s="237">
        <v>0</v>
      </c>
      <c r="I6429" s="237">
        <v>0</v>
      </c>
      <c r="J6429" s="237">
        <v>0</v>
      </c>
    </row>
    <row r="6430" spans="1:10" s="225" customFormat="1">
      <c r="A6430" s="222" t="s">
        <v>179</v>
      </c>
      <c r="B6430" s="222" t="s">
        <v>35</v>
      </c>
      <c r="C6430" s="236">
        <v>0.71388888888888902</v>
      </c>
      <c r="D6430" s="237">
        <v>0</v>
      </c>
      <c r="E6430" s="237">
        <v>0</v>
      </c>
      <c r="F6430" s="237">
        <v>0</v>
      </c>
      <c r="G6430" s="237">
        <v>0</v>
      </c>
      <c r="H6430" s="237">
        <v>0</v>
      </c>
      <c r="I6430" s="237">
        <v>0</v>
      </c>
      <c r="J6430" s="237">
        <v>0</v>
      </c>
    </row>
    <row r="6431" spans="1:10" s="225" customFormat="1">
      <c r="A6431" s="222" t="s">
        <v>179</v>
      </c>
      <c r="B6431" s="222" t="s">
        <v>35</v>
      </c>
      <c r="C6431" s="236">
        <v>0.71458333333333302</v>
      </c>
      <c r="D6431" s="237">
        <v>0</v>
      </c>
      <c r="E6431" s="237">
        <v>0</v>
      </c>
      <c r="F6431" s="237">
        <v>0</v>
      </c>
      <c r="G6431" s="237">
        <v>0</v>
      </c>
      <c r="H6431" s="237">
        <v>0</v>
      </c>
      <c r="I6431" s="237">
        <v>0</v>
      </c>
      <c r="J6431" s="237">
        <v>0</v>
      </c>
    </row>
    <row r="6432" spans="1:10" s="225" customFormat="1">
      <c r="A6432" s="222" t="s">
        <v>179</v>
      </c>
      <c r="B6432" s="222" t="s">
        <v>35</v>
      </c>
      <c r="C6432" s="236">
        <v>0.71527777777777801</v>
      </c>
      <c r="D6432" s="237">
        <v>0</v>
      </c>
      <c r="E6432" s="237">
        <v>0</v>
      </c>
      <c r="F6432" s="237">
        <v>0</v>
      </c>
      <c r="G6432" s="237">
        <v>0</v>
      </c>
      <c r="H6432" s="237">
        <v>0</v>
      </c>
      <c r="I6432" s="237">
        <v>0</v>
      </c>
      <c r="J6432" s="237">
        <v>0</v>
      </c>
    </row>
    <row r="6433" spans="1:10" s="225" customFormat="1">
      <c r="A6433" s="222" t="s">
        <v>179</v>
      </c>
      <c r="B6433" s="222" t="s">
        <v>35</v>
      </c>
      <c r="C6433" s="236">
        <v>0.71597222222222201</v>
      </c>
      <c r="D6433" s="237">
        <v>0</v>
      </c>
      <c r="E6433" s="237">
        <v>0</v>
      </c>
      <c r="F6433" s="237">
        <v>0</v>
      </c>
      <c r="G6433" s="237">
        <v>0</v>
      </c>
      <c r="H6433" s="237">
        <v>0</v>
      </c>
      <c r="I6433" s="237">
        <v>0</v>
      </c>
      <c r="J6433" s="237">
        <v>0</v>
      </c>
    </row>
    <row r="6434" spans="1:10" s="225" customFormat="1">
      <c r="A6434" s="222" t="s">
        <v>179</v>
      </c>
      <c r="B6434" s="222" t="s">
        <v>35</v>
      </c>
      <c r="C6434" s="236">
        <v>0.71666666666666601</v>
      </c>
      <c r="D6434" s="237">
        <v>0</v>
      </c>
      <c r="E6434" s="237">
        <v>0</v>
      </c>
      <c r="F6434" s="237">
        <v>0</v>
      </c>
      <c r="G6434" s="237">
        <v>0</v>
      </c>
      <c r="H6434" s="237">
        <v>0</v>
      </c>
      <c r="I6434" s="237">
        <v>0</v>
      </c>
      <c r="J6434" s="237">
        <v>0</v>
      </c>
    </row>
    <row r="6435" spans="1:10" s="225" customFormat="1">
      <c r="A6435" s="222" t="s">
        <v>179</v>
      </c>
      <c r="B6435" s="222" t="s">
        <v>35</v>
      </c>
      <c r="C6435" s="236">
        <v>0.71736111111111101</v>
      </c>
      <c r="D6435" s="237">
        <v>0</v>
      </c>
      <c r="E6435" s="237">
        <v>0</v>
      </c>
      <c r="F6435" s="237">
        <v>0</v>
      </c>
      <c r="G6435" s="237">
        <v>0</v>
      </c>
      <c r="H6435" s="237">
        <v>0</v>
      </c>
      <c r="I6435" s="237">
        <v>0</v>
      </c>
      <c r="J6435" s="237">
        <v>0</v>
      </c>
    </row>
    <row r="6436" spans="1:10" s="229" customFormat="1">
      <c r="A6436" s="226" t="s">
        <v>179</v>
      </c>
      <c r="B6436" s="226" t="s">
        <v>35</v>
      </c>
      <c r="C6436" s="238">
        <v>0.718055555555555</v>
      </c>
      <c r="D6436" s="239">
        <v>0</v>
      </c>
      <c r="E6436" s="239">
        <v>0</v>
      </c>
      <c r="F6436" s="239">
        <v>0</v>
      </c>
      <c r="G6436" s="239">
        <v>0</v>
      </c>
      <c r="H6436" s="239">
        <v>0</v>
      </c>
      <c r="I6436" s="239">
        <v>0</v>
      </c>
      <c r="J6436" s="239">
        <v>0</v>
      </c>
    </row>
    <row r="6437" spans="1:10" s="225" customFormat="1">
      <c r="A6437" s="222" t="s">
        <v>179</v>
      </c>
      <c r="B6437" s="222" t="s">
        <v>35</v>
      </c>
      <c r="C6437" s="236">
        <v>0.71875</v>
      </c>
      <c r="D6437" s="237">
        <v>0</v>
      </c>
      <c r="E6437" s="237">
        <v>0</v>
      </c>
      <c r="F6437" s="237">
        <v>0</v>
      </c>
      <c r="G6437" s="237">
        <v>0</v>
      </c>
      <c r="H6437" s="237">
        <v>0</v>
      </c>
      <c r="I6437" s="237">
        <v>0</v>
      </c>
      <c r="J6437" s="237">
        <v>0</v>
      </c>
    </row>
    <row r="6438" spans="1:10" s="225" customFormat="1">
      <c r="A6438" s="222" t="s">
        <v>179</v>
      </c>
      <c r="B6438" s="222" t="s">
        <v>35</v>
      </c>
      <c r="C6438" s="236">
        <v>0.719444444444444</v>
      </c>
      <c r="D6438" s="237">
        <v>0</v>
      </c>
      <c r="E6438" s="237">
        <v>0</v>
      </c>
      <c r="F6438" s="237">
        <v>0</v>
      </c>
      <c r="G6438" s="237">
        <v>0</v>
      </c>
      <c r="H6438" s="237">
        <v>0</v>
      </c>
      <c r="I6438" s="237">
        <v>0</v>
      </c>
      <c r="J6438" s="237">
        <v>0</v>
      </c>
    </row>
    <row r="6439" spans="1:10" s="225" customFormat="1">
      <c r="A6439" s="222" t="s">
        <v>179</v>
      </c>
      <c r="B6439" s="222" t="s">
        <v>35</v>
      </c>
      <c r="C6439" s="236">
        <v>0.72013888888888899</v>
      </c>
      <c r="D6439" s="237">
        <v>0</v>
      </c>
      <c r="E6439" s="237">
        <v>0</v>
      </c>
      <c r="F6439" s="237">
        <v>0</v>
      </c>
      <c r="G6439" s="237">
        <v>0</v>
      </c>
      <c r="H6439" s="237">
        <v>0</v>
      </c>
      <c r="I6439" s="237">
        <v>0</v>
      </c>
      <c r="J6439" s="237">
        <v>0</v>
      </c>
    </row>
    <row r="6440" spans="1:10" s="225" customFormat="1">
      <c r="A6440" s="222" t="s">
        <v>179</v>
      </c>
      <c r="B6440" s="222" t="s">
        <v>35</v>
      </c>
      <c r="C6440" s="236">
        <v>0.72083333333333299</v>
      </c>
      <c r="D6440" s="237">
        <v>0</v>
      </c>
      <c r="E6440" s="237">
        <v>0</v>
      </c>
      <c r="F6440" s="237">
        <v>0</v>
      </c>
      <c r="G6440" s="237">
        <v>0</v>
      </c>
      <c r="H6440" s="237">
        <v>0</v>
      </c>
      <c r="I6440" s="237">
        <v>0</v>
      </c>
      <c r="J6440" s="237">
        <v>0</v>
      </c>
    </row>
    <row r="6441" spans="1:10" s="225" customFormat="1">
      <c r="A6441" s="222" t="s">
        <v>179</v>
      </c>
      <c r="B6441" s="222" t="s">
        <v>35</v>
      </c>
      <c r="C6441" s="236">
        <v>0.72152777777777799</v>
      </c>
      <c r="D6441" s="237">
        <v>0</v>
      </c>
      <c r="E6441" s="237">
        <v>0</v>
      </c>
      <c r="F6441" s="237">
        <v>0</v>
      </c>
      <c r="G6441" s="237">
        <v>0</v>
      </c>
      <c r="H6441" s="237">
        <v>0</v>
      </c>
      <c r="I6441" s="237">
        <v>0</v>
      </c>
      <c r="J6441" s="237">
        <v>0</v>
      </c>
    </row>
    <row r="6442" spans="1:10" s="225" customFormat="1">
      <c r="A6442" s="222" t="s">
        <v>179</v>
      </c>
      <c r="B6442" s="222" t="s">
        <v>35</v>
      </c>
      <c r="C6442" s="236">
        <v>0.72222222222222199</v>
      </c>
      <c r="D6442" s="237">
        <v>0</v>
      </c>
      <c r="E6442" s="237">
        <v>0</v>
      </c>
      <c r="F6442" s="237">
        <v>0</v>
      </c>
      <c r="G6442" s="237">
        <v>0</v>
      </c>
      <c r="H6442" s="237">
        <v>0</v>
      </c>
      <c r="I6442" s="237">
        <v>0</v>
      </c>
      <c r="J6442" s="237">
        <v>0</v>
      </c>
    </row>
    <row r="6443" spans="1:10" s="225" customFormat="1">
      <c r="A6443" s="222" t="s">
        <v>179</v>
      </c>
      <c r="B6443" s="222" t="s">
        <v>35</v>
      </c>
      <c r="C6443" s="236">
        <v>0.72291666666666599</v>
      </c>
      <c r="D6443" s="237">
        <v>0</v>
      </c>
      <c r="E6443" s="237">
        <v>0</v>
      </c>
      <c r="F6443" s="237">
        <v>0</v>
      </c>
      <c r="G6443" s="237">
        <v>0</v>
      </c>
      <c r="H6443" s="237">
        <v>0</v>
      </c>
      <c r="I6443" s="237">
        <v>0</v>
      </c>
      <c r="J6443" s="237">
        <v>0</v>
      </c>
    </row>
    <row r="6444" spans="1:10" s="225" customFormat="1">
      <c r="A6444" s="222" t="s">
        <v>179</v>
      </c>
      <c r="B6444" s="222" t="s">
        <v>35</v>
      </c>
      <c r="C6444" s="236">
        <v>0.72361111111111098</v>
      </c>
      <c r="D6444" s="237">
        <v>0</v>
      </c>
      <c r="E6444" s="237">
        <v>0</v>
      </c>
      <c r="F6444" s="237">
        <v>0</v>
      </c>
      <c r="G6444" s="237">
        <v>0</v>
      </c>
      <c r="H6444" s="237">
        <v>0</v>
      </c>
      <c r="I6444" s="237">
        <v>0</v>
      </c>
      <c r="J6444" s="237">
        <v>0</v>
      </c>
    </row>
    <row r="6445" spans="1:10" s="225" customFormat="1">
      <c r="A6445" s="222" t="s">
        <v>179</v>
      </c>
      <c r="B6445" s="222" t="s">
        <v>35</v>
      </c>
      <c r="C6445" s="236">
        <v>0.72430555555555498</v>
      </c>
      <c r="D6445" s="237">
        <v>0</v>
      </c>
      <c r="E6445" s="237">
        <v>0</v>
      </c>
      <c r="F6445" s="237">
        <v>0</v>
      </c>
      <c r="G6445" s="237">
        <v>0</v>
      </c>
      <c r="H6445" s="237">
        <v>0</v>
      </c>
      <c r="I6445" s="237">
        <v>0</v>
      </c>
      <c r="J6445" s="237">
        <v>0</v>
      </c>
    </row>
    <row r="6446" spans="1:10" s="225" customFormat="1">
      <c r="A6446" s="222" t="s">
        <v>179</v>
      </c>
      <c r="B6446" s="222" t="s">
        <v>35</v>
      </c>
      <c r="C6446" s="236">
        <v>0.72499999999999998</v>
      </c>
      <c r="D6446" s="237">
        <v>0</v>
      </c>
      <c r="E6446" s="237">
        <v>0</v>
      </c>
      <c r="F6446" s="237">
        <v>0</v>
      </c>
      <c r="G6446" s="237">
        <v>0</v>
      </c>
      <c r="H6446" s="237">
        <v>0</v>
      </c>
      <c r="I6446" s="237">
        <v>0</v>
      </c>
      <c r="J6446" s="237">
        <v>0</v>
      </c>
    </row>
    <row r="6447" spans="1:10" s="225" customFormat="1">
      <c r="A6447" s="222" t="s">
        <v>179</v>
      </c>
      <c r="B6447" s="222" t="s">
        <v>35</v>
      </c>
      <c r="C6447" s="236">
        <v>0.72569444444444398</v>
      </c>
      <c r="D6447" s="237">
        <v>0</v>
      </c>
      <c r="E6447" s="237">
        <v>0</v>
      </c>
      <c r="F6447" s="237">
        <v>0</v>
      </c>
      <c r="G6447" s="237">
        <v>0</v>
      </c>
      <c r="H6447" s="237">
        <v>0</v>
      </c>
      <c r="I6447" s="237">
        <v>0</v>
      </c>
      <c r="J6447" s="237">
        <v>0</v>
      </c>
    </row>
    <row r="6448" spans="1:10" s="225" customFormat="1">
      <c r="A6448" s="222" t="s">
        <v>179</v>
      </c>
      <c r="B6448" s="222" t="s">
        <v>35</v>
      </c>
      <c r="C6448" s="236">
        <v>0.72638888888888897</v>
      </c>
      <c r="D6448" s="237">
        <v>0</v>
      </c>
      <c r="E6448" s="237">
        <v>0</v>
      </c>
      <c r="F6448" s="237">
        <v>0</v>
      </c>
      <c r="G6448" s="237">
        <v>0</v>
      </c>
      <c r="H6448" s="237">
        <v>0</v>
      </c>
      <c r="I6448" s="237">
        <v>0</v>
      </c>
      <c r="J6448" s="237">
        <v>0</v>
      </c>
    </row>
    <row r="6449" spans="1:10" s="225" customFormat="1">
      <c r="A6449" s="222" t="s">
        <v>179</v>
      </c>
      <c r="B6449" s="222" t="s">
        <v>35</v>
      </c>
      <c r="C6449" s="236">
        <v>0.72708333333333297</v>
      </c>
      <c r="D6449" s="237">
        <v>0</v>
      </c>
      <c r="E6449" s="237">
        <v>0</v>
      </c>
      <c r="F6449" s="237">
        <v>0</v>
      </c>
      <c r="G6449" s="237">
        <v>0</v>
      </c>
      <c r="H6449" s="237">
        <v>0</v>
      </c>
      <c r="I6449" s="237">
        <v>0</v>
      </c>
      <c r="J6449" s="237">
        <v>0</v>
      </c>
    </row>
    <row r="6450" spans="1:10" s="225" customFormat="1">
      <c r="A6450" s="222" t="s">
        <v>179</v>
      </c>
      <c r="B6450" s="222" t="s">
        <v>35</v>
      </c>
      <c r="C6450" s="236">
        <v>0.72777777777777797</v>
      </c>
      <c r="D6450" s="237">
        <v>0</v>
      </c>
      <c r="E6450" s="237">
        <v>0</v>
      </c>
      <c r="F6450" s="237">
        <v>0</v>
      </c>
      <c r="G6450" s="237">
        <v>0</v>
      </c>
      <c r="H6450" s="237">
        <v>0</v>
      </c>
      <c r="I6450" s="237">
        <v>0</v>
      </c>
      <c r="J6450" s="237">
        <v>0</v>
      </c>
    </row>
    <row r="6451" spans="1:10" s="229" customFormat="1">
      <c r="A6451" s="226" t="s">
        <v>179</v>
      </c>
      <c r="B6451" s="226" t="s">
        <v>35</v>
      </c>
      <c r="C6451" s="238">
        <v>0.72847222222222197</v>
      </c>
      <c r="D6451" s="239">
        <v>0</v>
      </c>
      <c r="E6451" s="239">
        <v>0</v>
      </c>
      <c r="F6451" s="239">
        <v>0</v>
      </c>
      <c r="G6451" s="239">
        <v>0</v>
      </c>
      <c r="H6451" s="239">
        <v>0</v>
      </c>
      <c r="I6451" s="239">
        <v>0</v>
      </c>
      <c r="J6451" s="239">
        <v>0</v>
      </c>
    </row>
    <row r="6452" spans="1:10" s="225" customFormat="1">
      <c r="A6452" s="222" t="s">
        <v>179</v>
      </c>
      <c r="B6452" s="222" t="s">
        <v>35</v>
      </c>
      <c r="C6452" s="236">
        <v>0.72916666666666596</v>
      </c>
      <c r="D6452" s="237">
        <v>0</v>
      </c>
      <c r="E6452" s="237">
        <v>0</v>
      </c>
      <c r="F6452" s="237">
        <v>0</v>
      </c>
      <c r="G6452" s="237">
        <v>0</v>
      </c>
      <c r="H6452" s="237">
        <v>0</v>
      </c>
      <c r="I6452" s="237">
        <v>0</v>
      </c>
      <c r="J6452" s="237">
        <v>0</v>
      </c>
    </row>
    <row r="6453" spans="1:10" s="225" customFormat="1">
      <c r="A6453" s="222" t="s">
        <v>179</v>
      </c>
      <c r="B6453" s="222" t="s">
        <v>35</v>
      </c>
      <c r="C6453" s="236">
        <v>0.72986111111111096</v>
      </c>
      <c r="D6453" s="237">
        <v>0</v>
      </c>
      <c r="E6453" s="237">
        <v>0</v>
      </c>
      <c r="F6453" s="237">
        <v>0</v>
      </c>
      <c r="G6453" s="237">
        <v>0</v>
      </c>
      <c r="H6453" s="237">
        <v>0</v>
      </c>
      <c r="I6453" s="237">
        <v>0</v>
      </c>
      <c r="J6453" s="237">
        <v>0</v>
      </c>
    </row>
    <row r="6454" spans="1:10" s="225" customFormat="1">
      <c r="A6454" s="222" t="s">
        <v>179</v>
      </c>
      <c r="B6454" s="222" t="s">
        <v>35</v>
      </c>
      <c r="C6454" s="236">
        <v>0.73055555555555496</v>
      </c>
      <c r="D6454" s="237">
        <v>0</v>
      </c>
      <c r="E6454" s="237">
        <v>0</v>
      </c>
      <c r="F6454" s="237">
        <v>0</v>
      </c>
      <c r="G6454" s="237">
        <v>0</v>
      </c>
      <c r="H6454" s="237">
        <v>0</v>
      </c>
      <c r="I6454" s="237">
        <v>0</v>
      </c>
      <c r="J6454" s="237">
        <v>0</v>
      </c>
    </row>
    <row r="6455" spans="1:10" s="225" customFormat="1">
      <c r="A6455" s="222" t="s">
        <v>179</v>
      </c>
      <c r="B6455" s="222" t="s">
        <v>35</v>
      </c>
      <c r="C6455" s="236">
        <v>0.73124999999999996</v>
      </c>
      <c r="D6455" s="237">
        <v>0</v>
      </c>
      <c r="E6455" s="237">
        <v>0</v>
      </c>
      <c r="F6455" s="237">
        <v>0</v>
      </c>
      <c r="G6455" s="237">
        <v>0</v>
      </c>
      <c r="H6455" s="237">
        <v>0</v>
      </c>
      <c r="I6455" s="237">
        <v>0</v>
      </c>
      <c r="J6455" s="237">
        <v>0</v>
      </c>
    </row>
    <row r="6456" spans="1:10" s="225" customFormat="1">
      <c r="A6456" s="222" t="s">
        <v>179</v>
      </c>
      <c r="B6456" s="222" t="s">
        <v>35</v>
      </c>
      <c r="C6456" s="236">
        <v>0.73194444444444395</v>
      </c>
      <c r="D6456" s="237">
        <v>0</v>
      </c>
      <c r="E6456" s="237">
        <v>0</v>
      </c>
      <c r="F6456" s="237">
        <v>0</v>
      </c>
      <c r="G6456" s="237">
        <v>0</v>
      </c>
      <c r="H6456" s="237">
        <v>0</v>
      </c>
      <c r="I6456" s="237">
        <v>0</v>
      </c>
      <c r="J6456" s="237">
        <v>0</v>
      </c>
    </row>
    <row r="6457" spans="1:10" s="225" customFormat="1">
      <c r="A6457" s="222" t="s">
        <v>179</v>
      </c>
      <c r="B6457" s="222" t="s">
        <v>35</v>
      </c>
      <c r="C6457" s="236">
        <v>0.73263888888888895</v>
      </c>
      <c r="D6457" s="237">
        <v>0</v>
      </c>
      <c r="E6457" s="237">
        <v>0</v>
      </c>
      <c r="F6457" s="237">
        <v>0</v>
      </c>
      <c r="G6457" s="237">
        <v>0</v>
      </c>
      <c r="H6457" s="237">
        <v>0</v>
      </c>
      <c r="I6457" s="237">
        <v>0</v>
      </c>
      <c r="J6457" s="237">
        <v>0</v>
      </c>
    </row>
    <row r="6458" spans="1:10" s="225" customFormat="1">
      <c r="A6458" s="222" t="s">
        <v>179</v>
      </c>
      <c r="B6458" s="222" t="s">
        <v>35</v>
      </c>
      <c r="C6458" s="236">
        <v>0.73333333333333295</v>
      </c>
      <c r="D6458" s="237">
        <v>0</v>
      </c>
      <c r="E6458" s="237">
        <v>0</v>
      </c>
      <c r="F6458" s="237">
        <v>0</v>
      </c>
      <c r="G6458" s="237">
        <v>0</v>
      </c>
      <c r="H6458" s="237">
        <v>0</v>
      </c>
      <c r="I6458" s="237">
        <v>0</v>
      </c>
      <c r="J6458" s="237">
        <v>0</v>
      </c>
    </row>
    <row r="6459" spans="1:10" s="225" customFormat="1">
      <c r="A6459" s="222" t="s">
        <v>179</v>
      </c>
      <c r="B6459" s="222" t="s">
        <v>35</v>
      </c>
      <c r="C6459" s="236">
        <v>0.73402777777777795</v>
      </c>
      <c r="D6459" s="237">
        <v>0</v>
      </c>
      <c r="E6459" s="237">
        <v>0</v>
      </c>
      <c r="F6459" s="237">
        <v>0</v>
      </c>
      <c r="G6459" s="237">
        <v>0</v>
      </c>
      <c r="H6459" s="237">
        <v>0</v>
      </c>
      <c r="I6459" s="237">
        <v>0</v>
      </c>
      <c r="J6459" s="237">
        <v>0</v>
      </c>
    </row>
    <row r="6460" spans="1:10" s="225" customFormat="1">
      <c r="A6460" s="222" t="s">
        <v>179</v>
      </c>
      <c r="B6460" s="222" t="s">
        <v>35</v>
      </c>
      <c r="C6460" s="236">
        <v>0.73472222222222205</v>
      </c>
      <c r="D6460" s="237">
        <v>0</v>
      </c>
      <c r="E6460" s="237">
        <v>0</v>
      </c>
      <c r="F6460" s="237">
        <v>0</v>
      </c>
      <c r="G6460" s="237">
        <v>0</v>
      </c>
      <c r="H6460" s="237">
        <v>0</v>
      </c>
      <c r="I6460" s="237">
        <v>0</v>
      </c>
      <c r="J6460" s="237">
        <v>0</v>
      </c>
    </row>
    <row r="6461" spans="1:10" s="225" customFormat="1">
      <c r="A6461" s="222" t="s">
        <v>179</v>
      </c>
      <c r="B6461" s="222" t="s">
        <v>35</v>
      </c>
      <c r="C6461" s="236">
        <v>0.73541666666666605</v>
      </c>
      <c r="D6461" s="237">
        <v>0</v>
      </c>
      <c r="E6461" s="237">
        <v>0</v>
      </c>
      <c r="F6461" s="237">
        <v>0</v>
      </c>
      <c r="G6461" s="237">
        <v>0</v>
      </c>
      <c r="H6461" s="237">
        <v>0</v>
      </c>
      <c r="I6461" s="237">
        <v>0</v>
      </c>
      <c r="J6461" s="237">
        <v>0</v>
      </c>
    </row>
    <row r="6462" spans="1:10" s="225" customFormat="1">
      <c r="A6462" s="222" t="s">
        <v>179</v>
      </c>
      <c r="B6462" s="222" t="s">
        <v>35</v>
      </c>
      <c r="C6462" s="236">
        <v>0.73611111111111105</v>
      </c>
      <c r="D6462" s="237">
        <v>0</v>
      </c>
      <c r="E6462" s="237">
        <v>0</v>
      </c>
      <c r="F6462" s="237">
        <v>0</v>
      </c>
      <c r="G6462" s="237">
        <v>0</v>
      </c>
      <c r="H6462" s="237">
        <v>0</v>
      </c>
      <c r="I6462" s="237">
        <v>0</v>
      </c>
      <c r="J6462" s="237">
        <v>0</v>
      </c>
    </row>
    <row r="6463" spans="1:10" s="225" customFormat="1">
      <c r="A6463" s="222" t="s">
        <v>179</v>
      </c>
      <c r="B6463" s="222" t="s">
        <v>35</v>
      </c>
      <c r="C6463" s="236">
        <v>0.73680555555555505</v>
      </c>
      <c r="D6463" s="237">
        <v>0</v>
      </c>
      <c r="E6463" s="237">
        <v>0</v>
      </c>
      <c r="F6463" s="237">
        <v>0</v>
      </c>
      <c r="G6463" s="237">
        <v>0</v>
      </c>
      <c r="H6463" s="237">
        <v>0</v>
      </c>
      <c r="I6463" s="237">
        <v>0</v>
      </c>
      <c r="J6463" s="237">
        <v>0</v>
      </c>
    </row>
    <row r="6464" spans="1:10" s="225" customFormat="1">
      <c r="A6464" s="222" t="s">
        <v>179</v>
      </c>
      <c r="B6464" s="222" t="s">
        <v>35</v>
      </c>
      <c r="C6464" s="236">
        <v>0.73750000000000004</v>
      </c>
      <c r="D6464" s="237">
        <v>0</v>
      </c>
      <c r="E6464" s="237">
        <v>0</v>
      </c>
      <c r="F6464" s="237">
        <v>0</v>
      </c>
      <c r="G6464" s="237">
        <v>0</v>
      </c>
      <c r="H6464" s="237">
        <v>0</v>
      </c>
      <c r="I6464" s="237">
        <v>0</v>
      </c>
      <c r="J6464" s="237">
        <v>0</v>
      </c>
    </row>
    <row r="6465" spans="1:10" s="225" customFormat="1">
      <c r="A6465" s="222" t="s">
        <v>179</v>
      </c>
      <c r="B6465" s="222" t="s">
        <v>35</v>
      </c>
      <c r="C6465" s="236">
        <v>0.73819444444444404</v>
      </c>
      <c r="D6465" s="237">
        <v>0</v>
      </c>
      <c r="E6465" s="237">
        <v>0</v>
      </c>
      <c r="F6465" s="237">
        <v>0</v>
      </c>
      <c r="G6465" s="237">
        <v>0</v>
      </c>
      <c r="H6465" s="237">
        <v>0</v>
      </c>
      <c r="I6465" s="237">
        <v>0</v>
      </c>
      <c r="J6465" s="237">
        <v>0</v>
      </c>
    </row>
    <row r="6466" spans="1:10" s="229" customFormat="1">
      <c r="A6466" s="226" t="s">
        <v>179</v>
      </c>
      <c r="B6466" s="226" t="s">
        <v>35</v>
      </c>
      <c r="C6466" s="238">
        <v>0.73888888888888904</v>
      </c>
      <c r="D6466" s="239">
        <v>0</v>
      </c>
      <c r="E6466" s="239">
        <v>0</v>
      </c>
      <c r="F6466" s="239">
        <v>0</v>
      </c>
      <c r="G6466" s="239">
        <v>0</v>
      </c>
      <c r="H6466" s="239">
        <v>0</v>
      </c>
      <c r="I6466" s="239">
        <v>0</v>
      </c>
      <c r="J6466" s="239">
        <v>0</v>
      </c>
    </row>
    <row r="6467" spans="1:10" s="225" customFormat="1">
      <c r="A6467" s="222" t="s">
        <v>179</v>
      </c>
      <c r="B6467" s="222" t="s">
        <v>35</v>
      </c>
      <c r="C6467" s="236">
        <v>0.73958333333333304</v>
      </c>
      <c r="D6467" s="237">
        <v>0</v>
      </c>
      <c r="E6467" s="237">
        <v>0</v>
      </c>
      <c r="F6467" s="237">
        <v>0</v>
      </c>
      <c r="G6467" s="237">
        <v>0</v>
      </c>
      <c r="H6467" s="237">
        <v>0</v>
      </c>
      <c r="I6467" s="237">
        <v>0</v>
      </c>
      <c r="J6467" s="237">
        <v>0</v>
      </c>
    </row>
    <row r="6468" spans="1:10" s="225" customFormat="1">
      <c r="A6468" s="222" t="s">
        <v>179</v>
      </c>
      <c r="B6468" s="222" t="s">
        <v>35</v>
      </c>
      <c r="C6468" s="236">
        <v>0.74027777777777704</v>
      </c>
      <c r="D6468" s="237">
        <v>0</v>
      </c>
      <c r="E6468" s="237">
        <v>0</v>
      </c>
      <c r="F6468" s="237">
        <v>0</v>
      </c>
      <c r="G6468" s="237">
        <v>0</v>
      </c>
      <c r="H6468" s="237">
        <v>0</v>
      </c>
      <c r="I6468" s="237">
        <v>0</v>
      </c>
      <c r="J6468" s="237">
        <v>0</v>
      </c>
    </row>
    <row r="6469" spans="1:10" s="225" customFormat="1">
      <c r="A6469" s="222" t="s">
        <v>179</v>
      </c>
      <c r="B6469" s="222" t="s">
        <v>35</v>
      </c>
      <c r="C6469" s="236">
        <v>0.74097222222222203</v>
      </c>
      <c r="D6469" s="237">
        <v>0</v>
      </c>
      <c r="E6469" s="237">
        <v>0</v>
      </c>
      <c r="F6469" s="237">
        <v>0</v>
      </c>
      <c r="G6469" s="237">
        <v>0</v>
      </c>
      <c r="H6469" s="237">
        <v>0</v>
      </c>
      <c r="I6469" s="237">
        <v>0</v>
      </c>
      <c r="J6469" s="237">
        <v>0</v>
      </c>
    </row>
    <row r="6470" spans="1:10" s="225" customFormat="1">
      <c r="A6470" s="222" t="s">
        <v>179</v>
      </c>
      <c r="B6470" s="222" t="s">
        <v>35</v>
      </c>
      <c r="C6470" s="236">
        <v>0.74166666666666603</v>
      </c>
      <c r="D6470" s="237">
        <v>0</v>
      </c>
      <c r="E6470" s="237">
        <v>0</v>
      </c>
      <c r="F6470" s="237">
        <v>0</v>
      </c>
      <c r="G6470" s="237">
        <v>0</v>
      </c>
      <c r="H6470" s="237">
        <v>0</v>
      </c>
      <c r="I6470" s="237">
        <v>0</v>
      </c>
      <c r="J6470" s="237">
        <v>0</v>
      </c>
    </row>
    <row r="6471" spans="1:10" s="225" customFormat="1">
      <c r="A6471" s="222" t="s">
        <v>179</v>
      </c>
      <c r="B6471" s="222" t="s">
        <v>35</v>
      </c>
      <c r="C6471" s="236">
        <v>0.74236111111111103</v>
      </c>
      <c r="D6471" s="237">
        <v>0</v>
      </c>
      <c r="E6471" s="237">
        <v>0</v>
      </c>
      <c r="F6471" s="237">
        <v>0</v>
      </c>
      <c r="G6471" s="237">
        <v>0</v>
      </c>
      <c r="H6471" s="237">
        <v>0</v>
      </c>
      <c r="I6471" s="237">
        <v>0</v>
      </c>
      <c r="J6471" s="237">
        <v>0</v>
      </c>
    </row>
    <row r="6472" spans="1:10" s="225" customFormat="1">
      <c r="A6472" s="222" t="s">
        <v>179</v>
      </c>
      <c r="B6472" s="222" t="s">
        <v>35</v>
      </c>
      <c r="C6472" s="236">
        <v>0.74305555555555503</v>
      </c>
      <c r="D6472" s="237">
        <v>0</v>
      </c>
      <c r="E6472" s="237">
        <v>0</v>
      </c>
      <c r="F6472" s="237">
        <v>0</v>
      </c>
      <c r="G6472" s="237">
        <v>0</v>
      </c>
      <c r="H6472" s="237">
        <v>0</v>
      </c>
      <c r="I6472" s="237">
        <v>0</v>
      </c>
      <c r="J6472" s="237">
        <v>0</v>
      </c>
    </row>
    <row r="6473" spans="1:10" s="225" customFormat="1">
      <c r="A6473" s="222" t="s">
        <v>179</v>
      </c>
      <c r="B6473" s="222" t="s">
        <v>35</v>
      </c>
      <c r="C6473" s="236">
        <v>0.74375000000000002</v>
      </c>
      <c r="D6473" s="237">
        <v>0</v>
      </c>
      <c r="E6473" s="237">
        <v>0</v>
      </c>
      <c r="F6473" s="237">
        <v>0</v>
      </c>
      <c r="G6473" s="237">
        <v>0</v>
      </c>
      <c r="H6473" s="237">
        <v>0</v>
      </c>
      <c r="I6473" s="237">
        <v>0</v>
      </c>
      <c r="J6473" s="237">
        <v>0</v>
      </c>
    </row>
    <row r="6474" spans="1:10" s="225" customFormat="1">
      <c r="A6474" s="222" t="s">
        <v>179</v>
      </c>
      <c r="B6474" s="222" t="s">
        <v>35</v>
      </c>
      <c r="C6474" s="236">
        <v>0.74444444444444402</v>
      </c>
      <c r="D6474" s="237">
        <v>0</v>
      </c>
      <c r="E6474" s="237">
        <v>0</v>
      </c>
      <c r="F6474" s="237">
        <v>0</v>
      </c>
      <c r="G6474" s="237">
        <v>0</v>
      </c>
      <c r="H6474" s="237">
        <v>0</v>
      </c>
      <c r="I6474" s="237">
        <v>0</v>
      </c>
      <c r="J6474" s="237">
        <v>0</v>
      </c>
    </row>
    <row r="6475" spans="1:10" s="225" customFormat="1">
      <c r="A6475" s="222" t="s">
        <v>179</v>
      </c>
      <c r="B6475" s="222" t="s">
        <v>35</v>
      </c>
      <c r="C6475" s="236">
        <v>0.74513888888888902</v>
      </c>
      <c r="D6475" s="237">
        <v>0</v>
      </c>
      <c r="E6475" s="237">
        <v>0</v>
      </c>
      <c r="F6475" s="237">
        <v>0</v>
      </c>
      <c r="G6475" s="237">
        <v>0</v>
      </c>
      <c r="H6475" s="237">
        <v>0</v>
      </c>
      <c r="I6475" s="237">
        <v>0</v>
      </c>
      <c r="J6475" s="237">
        <v>0</v>
      </c>
    </row>
    <row r="6476" spans="1:10" s="225" customFormat="1">
      <c r="A6476" s="222" t="s">
        <v>179</v>
      </c>
      <c r="B6476" s="222" t="s">
        <v>35</v>
      </c>
      <c r="C6476" s="236">
        <v>0.74583333333333302</v>
      </c>
      <c r="D6476" s="237">
        <v>0</v>
      </c>
      <c r="E6476" s="237">
        <v>0</v>
      </c>
      <c r="F6476" s="237">
        <v>0</v>
      </c>
      <c r="G6476" s="237">
        <v>0</v>
      </c>
      <c r="H6476" s="237">
        <v>0</v>
      </c>
      <c r="I6476" s="237">
        <v>0</v>
      </c>
      <c r="J6476" s="237">
        <v>0</v>
      </c>
    </row>
    <row r="6477" spans="1:10" s="225" customFormat="1">
      <c r="A6477" s="222" t="s">
        <v>179</v>
      </c>
      <c r="B6477" s="222" t="s">
        <v>35</v>
      </c>
      <c r="C6477" s="236">
        <v>0.74652777777777701</v>
      </c>
      <c r="D6477" s="237">
        <v>0</v>
      </c>
      <c r="E6477" s="237">
        <v>0</v>
      </c>
      <c r="F6477" s="237">
        <v>0</v>
      </c>
      <c r="G6477" s="237">
        <v>0</v>
      </c>
      <c r="H6477" s="237">
        <v>0</v>
      </c>
      <c r="I6477" s="237">
        <v>0</v>
      </c>
      <c r="J6477" s="237">
        <v>0</v>
      </c>
    </row>
    <row r="6478" spans="1:10" s="225" customFormat="1">
      <c r="A6478" s="222" t="s">
        <v>179</v>
      </c>
      <c r="B6478" s="222" t="s">
        <v>35</v>
      </c>
      <c r="C6478" s="236">
        <v>0.74722222222222201</v>
      </c>
      <c r="D6478" s="237">
        <v>0</v>
      </c>
      <c r="E6478" s="237">
        <v>0</v>
      </c>
      <c r="F6478" s="237">
        <v>0</v>
      </c>
      <c r="G6478" s="237">
        <v>0</v>
      </c>
      <c r="H6478" s="237">
        <v>0</v>
      </c>
      <c r="I6478" s="237">
        <v>0</v>
      </c>
      <c r="J6478" s="237">
        <v>0</v>
      </c>
    </row>
    <row r="6479" spans="1:10" s="225" customFormat="1">
      <c r="A6479" s="222" t="s">
        <v>179</v>
      </c>
      <c r="B6479" s="222" t="s">
        <v>35</v>
      </c>
      <c r="C6479" s="236">
        <v>0.74791666666666601</v>
      </c>
      <c r="D6479" s="237">
        <v>0</v>
      </c>
      <c r="E6479" s="237">
        <v>0</v>
      </c>
      <c r="F6479" s="237">
        <v>0</v>
      </c>
      <c r="G6479" s="237">
        <v>0</v>
      </c>
      <c r="H6479" s="237">
        <v>0</v>
      </c>
      <c r="I6479" s="237">
        <v>0</v>
      </c>
      <c r="J6479" s="237">
        <v>0</v>
      </c>
    </row>
    <row r="6480" spans="1:10" s="225" customFormat="1">
      <c r="A6480" s="222" t="s">
        <v>179</v>
      </c>
      <c r="B6480" s="222" t="s">
        <v>35</v>
      </c>
      <c r="C6480" s="236">
        <v>0.74861111111111101</v>
      </c>
      <c r="D6480" s="237">
        <v>0</v>
      </c>
      <c r="E6480" s="237">
        <v>0</v>
      </c>
      <c r="F6480" s="237">
        <v>0</v>
      </c>
      <c r="G6480" s="237">
        <v>0</v>
      </c>
      <c r="H6480" s="237">
        <v>0</v>
      </c>
      <c r="I6480" s="237">
        <v>0</v>
      </c>
      <c r="J6480" s="237">
        <v>0</v>
      </c>
    </row>
    <row r="6481" spans="1:10" s="229" customFormat="1">
      <c r="A6481" s="226" t="s">
        <v>179</v>
      </c>
      <c r="B6481" s="226" t="s">
        <v>35</v>
      </c>
      <c r="C6481" s="238">
        <v>0.749305555555555</v>
      </c>
      <c r="D6481" s="239">
        <v>0</v>
      </c>
      <c r="E6481" s="239">
        <v>0</v>
      </c>
      <c r="F6481" s="239">
        <v>0</v>
      </c>
      <c r="G6481" s="239">
        <v>0</v>
      </c>
      <c r="H6481" s="239">
        <v>0</v>
      </c>
      <c r="I6481" s="239">
        <v>0</v>
      </c>
      <c r="J6481" s="239">
        <v>0</v>
      </c>
    </row>
    <row r="6482" spans="1:10" s="225" customFormat="1">
      <c r="A6482" s="222" t="s">
        <v>179</v>
      </c>
      <c r="B6482" s="222" t="s">
        <v>12</v>
      </c>
      <c r="C6482" s="236">
        <v>0.75</v>
      </c>
      <c r="D6482" s="237">
        <v>0</v>
      </c>
      <c r="E6482" s="237">
        <v>0</v>
      </c>
      <c r="F6482" s="237">
        <v>0</v>
      </c>
      <c r="G6482" s="237">
        <v>0</v>
      </c>
      <c r="H6482" s="237">
        <v>0</v>
      </c>
      <c r="I6482" s="237">
        <v>0</v>
      </c>
      <c r="J6482" s="237">
        <v>0</v>
      </c>
    </row>
    <row r="6483" spans="1:10" s="225" customFormat="1">
      <c r="A6483" s="222" t="s">
        <v>179</v>
      </c>
      <c r="B6483" s="222" t="s">
        <v>12</v>
      </c>
      <c r="C6483" s="236">
        <v>0.75069444444444444</v>
      </c>
      <c r="D6483" s="237">
        <v>0</v>
      </c>
      <c r="E6483" s="237">
        <v>0</v>
      </c>
      <c r="F6483" s="237">
        <v>0</v>
      </c>
      <c r="G6483" s="237">
        <v>0</v>
      </c>
      <c r="H6483" s="237">
        <v>0</v>
      </c>
      <c r="I6483" s="237">
        <v>0</v>
      </c>
      <c r="J6483" s="237">
        <v>0</v>
      </c>
    </row>
    <row r="6484" spans="1:10" s="225" customFormat="1">
      <c r="A6484" s="222" t="s">
        <v>179</v>
      </c>
      <c r="B6484" s="222" t="s">
        <v>12</v>
      </c>
      <c r="C6484" s="236">
        <v>0.75138888888888899</v>
      </c>
      <c r="D6484" s="237">
        <v>0</v>
      </c>
      <c r="E6484" s="237">
        <v>0</v>
      </c>
      <c r="F6484" s="237">
        <v>0</v>
      </c>
      <c r="G6484" s="237">
        <v>0</v>
      </c>
      <c r="H6484" s="237">
        <v>0</v>
      </c>
      <c r="I6484" s="237">
        <v>0</v>
      </c>
      <c r="J6484" s="237">
        <v>0</v>
      </c>
    </row>
    <row r="6485" spans="1:10" s="225" customFormat="1">
      <c r="A6485" s="222" t="s">
        <v>179</v>
      </c>
      <c r="B6485" s="222" t="s">
        <v>12</v>
      </c>
      <c r="C6485" s="236">
        <v>0.75208333333333299</v>
      </c>
      <c r="D6485" s="237">
        <v>0</v>
      </c>
      <c r="E6485" s="237">
        <v>0</v>
      </c>
      <c r="F6485" s="237">
        <v>0</v>
      </c>
      <c r="G6485" s="237">
        <v>0</v>
      </c>
      <c r="H6485" s="237">
        <v>0</v>
      </c>
      <c r="I6485" s="237">
        <v>0</v>
      </c>
      <c r="J6485" s="237">
        <v>0</v>
      </c>
    </row>
    <row r="6486" spans="1:10" s="225" customFormat="1">
      <c r="A6486" s="222" t="s">
        <v>179</v>
      </c>
      <c r="B6486" s="222" t="s">
        <v>12</v>
      </c>
      <c r="C6486" s="236">
        <v>0.75277777777777799</v>
      </c>
      <c r="D6486" s="237">
        <v>0</v>
      </c>
      <c r="E6486" s="237">
        <v>0</v>
      </c>
      <c r="F6486" s="237">
        <v>0</v>
      </c>
      <c r="G6486" s="237">
        <v>0</v>
      </c>
      <c r="H6486" s="237">
        <v>0</v>
      </c>
      <c r="I6486" s="237">
        <v>0</v>
      </c>
      <c r="J6486" s="237">
        <v>0</v>
      </c>
    </row>
    <row r="6487" spans="1:10" s="225" customFormat="1">
      <c r="A6487" s="222" t="s">
        <v>179</v>
      </c>
      <c r="B6487" s="222" t="s">
        <v>12</v>
      </c>
      <c r="C6487" s="236">
        <v>0.75347222222222199</v>
      </c>
      <c r="D6487" s="237">
        <v>0</v>
      </c>
      <c r="E6487" s="237">
        <v>0</v>
      </c>
      <c r="F6487" s="237">
        <v>0</v>
      </c>
      <c r="G6487" s="237">
        <v>0</v>
      </c>
      <c r="H6487" s="237">
        <v>0</v>
      </c>
      <c r="I6487" s="237">
        <v>0</v>
      </c>
      <c r="J6487" s="237">
        <v>0</v>
      </c>
    </row>
    <row r="6488" spans="1:10" s="225" customFormat="1">
      <c r="A6488" s="222" t="s">
        <v>179</v>
      </c>
      <c r="B6488" s="222" t="s">
        <v>12</v>
      </c>
      <c r="C6488" s="236">
        <v>0.75416666666666698</v>
      </c>
      <c r="D6488" s="237">
        <v>0</v>
      </c>
      <c r="E6488" s="237">
        <v>0</v>
      </c>
      <c r="F6488" s="237">
        <v>0</v>
      </c>
      <c r="G6488" s="237">
        <v>0</v>
      </c>
      <c r="H6488" s="237">
        <v>0</v>
      </c>
      <c r="I6488" s="237">
        <v>0</v>
      </c>
      <c r="J6488" s="237">
        <v>0</v>
      </c>
    </row>
    <row r="6489" spans="1:10" s="225" customFormat="1">
      <c r="A6489" s="222" t="s">
        <v>179</v>
      </c>
      <c r="B6489" s="222" t="s">
        <v>12</v>
      </c>
      <c r="C6489" s="236">
        <v>0.75486111111111098</v>
      </c>
      <c r="D6489" s="237">
        <v>0</v>
      </c>
      <c r="E6489" s="237">
        <v>0</v>
      </c>
      <c r="F6489" s="237">
        <v>0</v>
      </c>
      <c r="G6489" s="237">
        <v>0</v>
      </c>
      <c r="H6489" s="237">
        <v>0</v>
      </c>
      <c r="I6489" s="237">
        <v>0</v>
      </c>
      <c r="J6489" s="237">
        <v>0</v>
      </c>
    </row>
    <row r="6490" spans="1:10" s="225" customFormat="1">
      <c r="A6490" s="222" t="s">
        <v>179</v>
      </c>
      <c r="B6490" s="222" t="s">
        <v>12</v>
      </c>
      <c r="C6490" s="236">
        <v>0.75555555555555598</v>
      </c>
      <c r="D6490" s="237">
        <v>0</v>
      </c>
      <c r="E6490" s="237">
        <v>0</v>
      </c>
      <c r="F6490" s="237">
        <v>0</v>
      </c>
      <c r="G6490" s="237">
        <v>0</v>
      </c>
      <c r="H6490" s="237">
        <v>0</v>
      </c>
      <c r="I6490" s="237">
        <v>0</v>
      </c>
      <c r="J6490" s="237">
        <v>0</v>
      </c>
    </row>
    <row r="6491" spans="1:10" s="225" customFormat="1">
      <c r="A6491" s="222" t="s">
        <v>179</v>
      </c>
      <c r="B6491" s="222" t="s">
        <v>12</v>
      </c>
      <c r="C6491" s="236">
        <v>0.75624999999999998</v>
      </c>
      <c r="D6491" s="237">
        <v>0</v>
      </c>
      <c r="E6491" s="237">
        <v>0</v>
      </c>
      <c r="F6491" s="237">
        <v>0</v>
      </c>
      <c r="G6491" s="237">
        <v>0</v>
      </c>
      <c r="H6491" s="237">
        <v>0</v>
      </c>
      <c r="I6491" s="237">
        <v>0</v>
      </c>
      <c r="J6491" s="237">
        <v>0</v>
      </c>
    </row>
    <row r="6492" spans="1:10" s="225" customFormat="1">
      <c r="A6492" s="222" t="s">
        <v>179</v>
      </c>
      <c r="B6492" s="222" t="s">
        <v>12</v>
      </c>
      <c r="C6492" s="236">
        <v>0.75694444444444398</v>
      </c>
      <c r="D6492" s="237">
        <v>0</v>
      </c>
      <c r="E6492" s="237">
        <v>0</v>
      </c>
      <c r="F6492" s="237">
        <v>0</v>
      </c>
      <c r="G6492" s="237">
        <v>0</v>
      </c>
      <c r="H6492" s="237">
        <v>0</v>
      </c>
      <c r="I6492" s="237">
        <v>0</v>
      </c>
      <c r="J6492" s="237">
        <v>0</v>
      </c>
    </row>
    <row r="6493" spans="1:10" s="225" customFormat="1">
      <c r="A6493" s="222" t="s">
        <v>179</v>
      </c>
      <c r="B6493" s="222" t="s">
        <v>12</v>
      </c>
      <c r="C6493" s="236">
        <v>0.75763888888888897</v>
      </c>
      <c r="D6493" s="237">
        <v>0</v>
      </c>
      <c r="E6493" s="237">
        <v>0</v>
      </c>
      <c r="F6493" s="237">
        <v>0</v>
      </c>
      <c r="G6493" s="237">
        <v>0</v>
      </c>
      <c r="H6493" s="237">
        <v>0</v>
      </c>
      <c r="I6493" s="237">
        <v>0</v>
      </c>
      <c r="J6493" s="237">
        <v>0</v>
      </c>
    </row>
    <row r="6494" spans="1:10" s="225" customFormat="1">
      <c r="A6494" s="222" t="s">
        <v>179</v>
      </c>
      <c r="B6494" s="222" t="s">
        <v>12</v>
      </c>
      <c r="C6494" s="236">
        <v>0.75833333333333297</v>
      </c>
      <c r="D6494" s="237">
        <v>0</v>
      </c>
      <c r="E6494" s="237">
        <v>0</v>
      </c>
      <c r="F6494" s="237">
        <v>0</v>
      </c>
      <c r="G6494" s="237">
        <v>0</v>
      </c>
      <c r="H6494" s="237">
        <v>0</v>
      </c>
      <c r="I6494" s="237">
        <v>0</v>
      </c>
      <c r="J6494" s="237">
        <v>0</v>
      </c>
    </row>
    <row r="6495" spans="1:10" s="225" customFormat="1">
      <c r="A6495" s="222" t="s">
        <v>179</v>
      </c>
      <c r="B6495" s="222" t="s">
        <v>12</v>
      </c>
      <c r="C6495" s="236">
        <v>0.75902777777777797</v>
      </c>
      <c r="D6495" s="237">
        <v>0</v>
      </c>
      <c r="E6495" s="237">
        <v>0</v>
      </c>
      <c r="F6495" s="237">
        <v>0</v>
      </c>
      <c r="G6495" s="237">
        <v>0</v>
      </c>
      <c r="H6495" s="237">
        <v>0</v>
      </c>
      <c r="I6495" s="237">
        <v>0</v>
      </c>
      <c r="J6495" s="237">
        <v>0</v>
      </c>
    </row>
    <row r="6496" spans="1:10" s="229" customFormat="1">
      <c r="A6496" s="226" t="s">
        <v>179</v>
      </c>
      <c r="B6496" s="226" t="s">
        <v>12</v>
      </c>
      <c r="C6496" s="238">
        <v>0.75972222222222197</v>
      </c>
      <c r="D6496" s="239">
        <v>0</v>
      </c>
      <c r="E6496" s="239">
        <v>0</v>
      </c>
      <c r="F6496" s="239">
        <v>0</v>
      </c>
      <c r="G6496" s="239">
        <v>0</v>
      </c>
      <c r="H6496" s="239">
        <v>0</v>
      </c>
      <c r="I6496" s="239">
        <v>0</v>
      </c>
      <c r="J6496" s="239">
        <v>0</v>
      </c>
    </row>
    <row r="6497" spans="1:10" s="225" customFormat="1">
      <c r="A6497" s="222" t="s">
        <v>179</v>
      </c>
      <c r="B6497" s="222" t="s">
        <v>12</v>
      </c>
      <c r="C6497" s="236">
        <v>0.76041666666666696</v>
      </c>
      <c r="D6497" s="237">
        <v>0</v>
      </c>
      <c r="E6497" s="237">
        <v>0</v>
      </c>
      <c r="F6497" s="237">
        <v>0</v>
      </c>
      <c r="G6497" s="237">
        <v>0</v>
      </c>
      <c r="H6497" s="237">
        <v>0</v>
      </c>
      <c r="I6497" s="237">
        <v>0</v>
      </c>
      <c r="J6497" s="237">
        <v>0</v>
      </c>
    </row>
    <row r="6498" spans="1:10" s="225" customFormat="1">
      <c r="A6498" s="222" t="s">
        <v>179</v>
      </c>
      <c r="B6498" s="222" t="s">
        <v>12</v>
      </c>
      <c r="C6498" s="236">
        <v>0.76111111111111096</v>
      </c>
      <c r="D6498" s="237">
        <v>0</v>
      </c>
      <c r="E6498" s="237">
        <v>0</v>
      </c>
      <c r="F6498" s="237">
        <v>0</v>
      </c>
      <c r="G6498" s="237">
        <v>0</v>
      </c>
      <c r="H6498" s="237">
        <v>0</v>
      </c>
      <c r="I6498" s="237">
        <v>0</v>
      </c>
      <c r="J6498" s="237">
        <v>0</v>
      </c>
    </row>
    <row r="6499" spans="1:10" s="225" customFormat="1">
      <c r="A6499" s="222" t="s">
        <v>179</v>
      </c>
      <c r="B6499" s="222" t="s">
        <v>12</v>
      </c>
      <c r="C6499" s="236">
        <v>0.76180555555555596</v>
      </c>
      <c r="D6499" s="237">
        <v>0</v>
      </c>
      <c r="E6499" s="237">
        <v>0</v>
      </c>
      <c r="F6499" s="237">
        <v>0</v>
      </c>
      <c r="G6499" s="237">
        <v>0</v>
      </c>
      <c r="H6499" s="237">
        <v>0</v>
      </c>
      <c r="I6499" s="237">
        <v>0</v>
      </c>
      <c r="J6499" s="237">
        <v>0</v>
      </c>
    </row>
    <row r="6500" spans="1:10" s="225" customFormat="1">
      <c r="A6500" s="222" t="s">
        <v>179</v>
      </c>
      <c r="B6500" s="222" t="s">
        <v>12</v>
      </c>
      <c r="C6500" s="236">
        <v>0.76249999999999996</v>
      </c>
      <c r="D6500" s="237">
        <v>0</v>
      </c>
      <c r="E6500" s="237">
        <v>0</v>
      </c>
      <c r="F6500" s="237">
        <v>0</v>
      </c>
      <c r="G6500" s="237">
        <v>0</v>
      </c>
      <c r="H6500" s="237">
        <v>0</v>
      </c>
      <c r="I6500" s="237">
        <v>0</v>
      </c>
      <c r="J6500" s="237">
        <v>0</v>
      </c>
    </row>
    <row r="6501" spans="1:10" s="225" customFormat="1">
      <c r="A6501" s="222" t="s">
        <v>179</v>
      </c>
      <c r="B6501" s="222" t="s">
        <v>12</v>
      </c>
      <c r="C6501" s="236">
        <v>0.76319444444444395</v>
      </c>
      <c r="D6501" s="237">
        <v>0</v>
      </c>
      <c r="E6501" s="237">
        <v>0</v>
      </c>
      <c r="F6501" s="237">
        <v>0</v>
      </c>
      <c r="G6501" s="237">
        <v>0</v>
      </c>
      <c r="H6501" s="237">
        <v>0</v>
      </c>
      <c r="I6501" s="237">
        <v>0</v>
      </c>
      <c r="J6501" s="237">
        <v>0</v>
      </c>
    </row>
    <row r="6502" spans="1:10" s="225" customFormat="1">
      <c r="A6502" s="222" t="s">
        <v>179</v>
      </c>
      <c r="B6502" s="222" t="s">
        <v>12</v>
      </c>
      <c r="C6502" s="236">
        <v>0.76388888888888895</v>
      </c>
      <c r="D6502" s="237">
        <v>0</v>
      </c>
      <c r="E6502" s="237">
        <v>0</v>
      </c>
      <c r="F6502" s="237">
        <v>0</v>
      </c>
      <c r="G6502" s="237">
        <v>0</v>
      </c>
      <c r="H6502" s="237">
        <v>0</v>
      </c>
      <c r="I6502" s="237">
        <v>0</v>
      </c>
      <c r="J6502" s="237">
        <v>0</v>
      </c>
    </row>
    <row r="6503" spans="1:10" s="225" customFormat="1">
      <c r="A6503" s="222" t="s">
        <v>179</v>
      </c>
      <c r="B6503" s="222" t="s">
        <v>12</v>
      </c>
      <c r="C6503" s="236">
        <v>0.76458333333333295</v>
      </c>
      <c r="D6503" s="237">
        <v>0</v>
      </c>
      <c r="E6503" s="237">
        <v>0</v>
      </c>
      <c r="F6503" s="237">
        <v>0</v>
      </c>
      <c r="G6503" s="237">
        <v>0</v>
      </c>
      <c r="H6503" s="237">
        <v>0</v>
      </c>
      <c r="I6503" s="237">
        <v>0</v>
      </c>
      <c r="J6503" s="237">
        <v>0</v>
      </c>
    </row>
    <row r="6504" spans="1:10" s="225" customFormat="1">
      <c r="A6504" s="222" t="s">
        <v>179</v>
      </c>
      <c r="B6504" s="222" t="s">
        <v>12</v>
      </c>
      <c r="C6504" s="236">
        <v>0.76527777777777795</v>
      </c>
      <c r="D6504" s="237">
        <v>0</v>
      </c>
      <c r="E6504" s="237">
        <v>0</v>
      </c>
      <c r="F6504" s="237">
        <v>0</v>
      </c>
      <c r="G6504" s="237">
        <v>0</v>
      </c>
      <c r="H6504" s="237">
        <v>0</v>
      </c>
      <c r="I6504" s="237">
        <v>0</v>
      </c>
      <c r="J6504" s="237">
        <v>0</v>
      </c>
    </row>
    <row r="6505" spans="1:10" s="225" customFormat="1">
      <c r="A6505" s="222" t="s">
        <v>179</v>
      </c>
      <c r="B6505" s="222" t="s">
        <v>12</v>
      </c>
      <c r="C6505" s="236">
        <v>0.76597222222222205</v>
      </c>
      <c r="D6505" s="237">
        <v>0</v>
      </c>
      <c r="E6505" s="237">
        <v>0</v>
      </c>
      <c r="F6505" s="237">
        <v>0</v>
      </c>
      <c r="G6505" s="237">
        <v>0</v>
      </c>
      <c r="H6505" s="237">
        <v>0</v>
      </c>
      <c r="I6505" s="237">
        <v>0</v>
      </c>
      <c r="J6505" s="237">
        <v>0</v>
      </c>
    </row>
    <row r="6506" spans="1:10" s="225" customFormat="1">
      <c r="A6506" s="222" t="s">
        <v>179</v>
      </c>
      <c r="B6506" s="222" t="s">
        <v>12</v>
      </c>
      <c r="C6506" s="236">
        <v>0.76666666666666705</v>
      </c>
      <c r="D6506" s="237">
        <v>0</v>
      </c>
      <c r="E6506" s="237">
        <v>0</v>
      </c>
      <c r="F6506" s="237">
        <v>0</v>
      </c>
      <c r="G6506" s="237">
        <v>0</v>
      </c>
      <c r="H6506" s="237">
        <v>0</v>
      </c>
      <c r="I6506" s="237">
        <v>0</v>
      </c>
      <c r="J6506" s="237">
        <v>0</v>
      </c>
    </row>
    <row r="6507" spans="1:10" s="225" customFormat="1">
      <c r="A6507" s="222" t="s">
        <v>179</v>
      </c>
      <c r="B6507" s="222" t="s">
        <v>12</v>
      </c>
      <c r="C6507" s="236">
        <v>0.76736111111111105</v>
      </c>
      <c r="D6507" s="237">
        <v>0</v>
      </c>
      <c r="E6507" s="237">
        <v>0</v>
      </c>
      <c r="F6507" s="237">
        <v>0</v>
      </c>
      <c r="G6507" s="237">
        <v>0</v>
      </c>
      <c r="H6507" s="237">
        <v>0</v>
      </c>
      <c r="I6507" s="237">
        <v>0</v>
      </c>
      <c r="J6507" s="237">
        <v>0</v>
      </c>
    </row>
    <row r="6508" spans="1:10" s="225" customFormat="1">
      <c r="A6508" s="222" t="s">
        <v>179</v>
      </c>
      <c r="B6508" s="222" t="s">
        <v>12</v>
      </c>
      <c r="C6508" s="236">
        <v>0.76805555555555505</v>
      </c>
      <c r="D6508" s="237">
        <v>0</v>
      </c>
      <c r="E6508" s="237">
        <v>0</v>
      </c>
      <c r="F6508" s="237">
        <v>0</v>
      </c>
      <c r="G6508" s="237">
        <v>0</v>
      </c>
      <c r="H6508" s="237">
        <v>0</v>
      </c>
      <c r="I6508" s="237">
        <v>0</v>
      </c>
      <c r="J6508" s="237">
        <v>0</v>
      </c>
    </row>
    <row r="6509" spans="1:10" s="225" customFormat="1">
      <c r="A6509" s="222" t="s">
        <v>179</v>
      </c>
      <c r="B6509" s="222" t="s">
        <v>12</v>
      </c>
      <c r="C6509" s="236">
        <v>0.76875000000000004</v>
      </c>
      <c r="D6509" s="237">
        <v>0</v>
      </c>
      <c r="E6509" s="237">
        <v>0</v>
      </c>
      <c r="F6509" s="237">
        <v>0</v>
      </c>
      <c r="G6509" s="237">
        <v>0</v>
      </c>
      <c r="H6509" s="237">
        <v>0</v>
      </c>
      <c r="I6509" s="237">
        <v>0</v>
      </c>
      <c r="J6509" s="237">
        <v>0</v>
      </c>
    </row>
    <row r="6510" spans="1:10" s="225" customFormat="1">
      <c r="A6510" s="222" t="s">
        <v>179</v>
      </c>
      <c r="B6510" s="222" t="s">
        <v>12</v>
      </c>
      <c r="C6510" s="236">
        <v>0.76944444444444404</v>
      </c>
      <c r="D6510" s="237">
        <v>0</v>
      </c>
      <c r="E6510" s="237">
        <v>0</v>
      </c>
      <c r="F6510" s="237">
        <v>0</v>
      </c>
      <c r="G6510" s="237">
        <v>0</v>
      </c>
      <c r="H6510" s="237">
        <v>0</v>
      </c>
      <c r="I6510" s="237">
        <v>0</v>
      </c>
      <c r="J6510" s="237">
        <v>0</v>
      </c>
    </row>
    <row r="6511" spans="1:10" s="229" customFormat="1">
      <c r="A6511" s="226" t="s">
        <v>179</v>
      </c>
      <c r="B6511" s="226" t="s">
        <v>12</v>
      </c>
      <c r="C6511" s="238">
        <v>0.77013888888888904</v>
      </c>
      <c r="D6511" s="239">
        <v>0</v>
      </c>
      <c r="E6511" s="239">
        <v>0</v>
      </c>
      <c r="F6511" s="239">
        <v>0</v>
      </c>
      <c r="G6511" s="239">
        <v>0</v>
      </c>
      <c r="H6511" s="239">
        <v>0</v>
      </c>
      <c r="I6511" s="239">
        <v>0</v>
      </c>
      <c r="J6511" s="239">
        <v>0</v>
      </c>
    </row>
    <row r="6512" spans="1:10" s="225" customFormat="1">
      <c r="A6512" s="222" t="s">
        <v>179</v>
      </c>
      <c r="B6512" s="222" t="s">
        <v>12</v>
      </c>
      <c r="C6512" s="236">
        <v>0.77083333333333304</v>
      </c>
      <c r="D6512" s="237">
        <v>0</v>
      </c>
      <c r="E6512" s="237">
        <v>0</v>
      </c>
      <c r="F6512" s="237">
        <v>0</v>
      </c>
      <c r="G6512" s="237">
        <v>0</v>
      </c>
      <c r="H6512" s="237">
        <v>0</v>
      </c>
      <c r="I6512" s="237">
        <v>0</v>
      </c>
      <c r="J6512" s="237">
        <v>0</v>
      </c>
    </row>
    <row r="6513" spans="1:10" s="225" customFormat="1">
      <c r="A6513" s="222" t="s">
        <v>179</v>
      </c>
      <c r="B6513" s="222" t="s">
        <v>12</v>
      </c>
      <c r="C6513" s="236">
        <v>0.77152777777777803</v>
      </c>
      <c r="D6513" s="237">
        <v>0</v>
      </c>
      <c r="E6513" s="237">
        <v>0</v>
      </c>
      <c r="F6513" s="237">
        <v>0</v>
      </c>
      <c r="G6513" s="237">
        <v>0</v>
      </c>
      <c r="H6513" s="237">
        <v>0</v>
      </c>
      <c r="I6513" s="237">
        <v>0</v>
      </c>
      <c r="J6513" s="237">
        <v>0</v>
      </c>
    </row>
    <row r="6514" spans="1:10" s="225" customFormat="1">
      <c r="A6514" s="222" t="s">
        <v>179</v>
      </c>
      <c r="B6514" s="222" t="s">
        <v>12</v>
      </c>
      <c r="C6514" s="236">
        <v>0.77222222222222203</v>
      </c>
      <c r="D6514" s="237">
        <v>0</v>
      </c>
      <c r="E6514" s="237">
        <v>0</v>
      </c>
      <c r="F6514" s="237">
        <v>0</v>
      </c>
      <c r="G6514" s="237">
        <v>0</v>
      </c>
      <c r="H6514" s="237">
        <v>0</v>
      </c>
      <c r="I6514" s="237">
        <v>0</v>
      </c>
      <c r="J6514" s="237">
        <v>0</v>
      </c>
    </row>
    <row r="6515" spans="1:10" s="225" customFormat="1">
      <c r="A6515" s="222" t="s">
        <v>179</v>
      </c>
      <c r="B6515" s="222" t="s">
        <v>12</v>
      </c>
      <c r="C6515" s="236">
        <v>0.77291666666666703</v>
      </c>
      <c r="D6515" s="237">
        <v>0</v>
      </c>
      <c r="E6515" s="237">
        <v>0</v>
      </c>
      <c r="F6515" s="237">
        <v>0</v>
      </c>
      <c r="G6515" s="237">
        <v>0</v>
      </c>
      <c r="H6515" s="237">
        <v>0</v>
      </c>
      <c r="I6515" s="237">
        <v>0</v>
      </c>
      <c r="J6515" s="237">
        <v>0</v>
      </c>
    </row>
    <row r="6516" spans="1:10" s="225" customFormat="1">
      <c r="A6516" s="222" t="s">
        <v>179</v>
      </c>
      <c r="B6516" s="222" t="s">
        <v>12</v>
      </c>
      <c r="C6516" s="236">
        <v>0.77361111111111103</v>
      </c>
      <c r="D6516" s="237">
        <v>0</v>
      </c>
      <c r="E6516" s="237">
        <v>0</v>
      </c>
      <c r="F6516" s="237">
        <v>0</v>
      </c>
      <c r="G6516" s="237">
        <v>0</v>
      </c>
      <c r="H6516" s="237">
        <v>0</v>
      </c>
      <c r="I6516" s="237">
        <v>0</v>
      </c>
      <c r="J6516" s="237">
        <v>0</v>
      </c>
    </row>
    <row r="6517" spans="1:10" s="225" customFormat="1">
      <c r="A6517" s="222" t="s">
        <v>179</v>
      </c>
      <c r="B6517" s="222" t="s">
        <v>12</v>
      </c>
      <c r="C6517" s="236">
        <v>0.77430555555555503</v>
      </c>
      <c r="D6517" s="237">
        <v>0</v>
      </c>
      <c r="E6517" s="237">
        <v>0</v>
      </c>
      <c r="F6517" s="237">
        <v>0</v>
      </c>
      <c r="G6517" s="237">
        <v>0</v>
      </c>
      <c r="H6517" s="237">
        <v>0</v>
      </c>
      <c r="I6517" s="237">
        <v>0</v>
      </c>
      <c r="J6517" s="237">
        <v>0</v>
      </c>
    </row>
    <row r="6518" spans="1:10" s="225" customFormat="1">
      <c r="A6518" s="222" t="s">
        <v>179</v>
      </c>
      <c r="B6518" s="222" t="s">
        <v>12</v>
      </c>
      <c r="C6518" s="236">
        <v>0.77500000000000002</v>
      </c>
      <c r="D6518" s="237">
        <v>0</v>
      </c>
      <c r="E6518" s="237">
        <v>0</v>
      </c>
      <c r="F6518" s="237">
        <v>0</v>
      </c>
      <c r="G6518" s="237">
        <v>0</v>
      </c>
      <c r="H6518" s="237">
        <v>0</v>
      </c>
      <c r="I6518" s="237">
        <v>0</v>
      </c>
      <c r="J6518" s="237">
        <v>0</v>
      </c>
    </row>
    <row r="6519" spans="1:10" s="225" customFormat="1">
      <c r="A6519" s="222" t="s">
        <v>179</v>
      </c>
      <c r="B6519" s="222" t="s">
        <v>12</v>
      </c>
      <c r="C6519" s="236">
        <v>0.77569444444444402</v>
      </c>
      <c r="D6519" s="237">
        <v>0</v>
      </c>
      <c r="E6519" s="237">
        <v>0</v>
      </c>
      <c r="F6519" s="237">
        <v>0</v>
      </c>
      <c r="G6519" s="237">
        <v>0</v>
      </c>
      <c r="H6519" s="237">
        <v>0</v>
      </c>
      <c r="I6519" s="237">
        <v>0</v>
      </c>
      <c r="J6519" s="237">
        <v>0</v>
      </c>
    </row>
    <row r="6520" spans="1:10" s="225" customFormat="1">
      <c r="A6520" s="222" t="s">
        <v>179</v>
      </c>
      <c r="B6520" s="222" t="s">
        <v>12</v>
      </c>
      <c r="C6520" s="236">
        <v>0.77638888888888902</v>
      </c>
      <c r="D6520" s="237">
        <v>0</v>
      </c>
      <c r="E6520" s="237">
        <v>0</v>
      </c>
      <c r="F6520" s="237">
        <v>0</v>
      </c>
      <c r="G6520" s="237">
        <v>0</v>
      </c>
      <c r="H6520" s="237">
        <v>0</v>
      </c>
      <c r="I6520" s="237">
        <v>0</v>
      </c>
      <c r="J6520" s="237">
        <v>0</v>
      </c>
    </row>
    <row r="6521" spans="1:10" s="225" customFormat="1">
      <c r="A6521" s="222" t="s">
        <v>179</v>
      </c>
      <c r="B6521" s="222" t="s">
        <v>12</v>
      </c>
      <c r="C6521" s="236">
        <v>0.77708333333333302</v>
      </c>
      <c r="D6521" s="237">
        <v>0</v>
      </c>
      <c r="E6521" s="237">
        <v>0</v>
      </c>
      <c r="F6521" s="237">
        <v>0</v>
      </c>
      <c r="G6521" s="237">
        <v>0</v>
      </c>
      <c r="H6521" s="237">
        <v>0</v>
      </c>
      <c r="I6521" s="237">
        <v>0</v>
      </c>
      <c r="J6521" s="237">
        <v>0</v>
      </c>
    </row>
    <row r="6522" spans="1:10" s="225" customFormat="1">
      <c r="A6522" s="222" t="s">
        <v>179</v>
      </c>
      <c r="B6522" s="222" t="s">
        <v>12</v>
      </c>
      <c r="C6522" s="236">
        <v>0.77777777777777801</v>
      </c>
      <c r="D6522" s="237">
        <v>0</v>
      </c>
      <c r="E6522" s="237">
        <v>0</v>
      </c>
      <c r="F6522" s="237">
        <v>0</v>
      </c>
      <c r="G6522" s="237">
        <v>0</v>
      </c>
      <c r="H6522" s="237">
        <v>0</v>
      </c>
      <c r="I6522" s="237">
        <v>0</v>
      </c>
      <c r="J6522" s="237">
        <v>0</v>
      </c>
    </row>
    <row r="6523" spans="1:10" s="225" customFormat="1">
      <c r="A6523" s="222" t="s">
        <v>179</v>
      </c>
      <c r="B6523" s="222" t="s">
        <v>12</v>
      </c>
      <c r="C6523" s="236">
        <v>0.77847222222222201</v>
      </c>
      <c r="D6523" s="237">
        <v>0</v>
      </c>
      <c r="E6523" s="237">
        <v>0</v>
      </c>
      <c r="F6523" s="237">
        <v>0</v>
      </c>
      <c r="G6523" s="237">
        <v>0</v>
      </c>
      <c r="H6523" s="237">
        <v>0</v>
      </c>
      <c r="I6523" s="237">
        <v>0</v>
      </c>
      <c r="J6523" s="237">
        <v>0</v>
      </c>
    </row>
    <row r="6524" spans="1:10" s="225" customFormat="1">
      <c r="A6524" s="222" t="s">
        <v>179</v>
      </c>
      <c r="B6524" s="222" t="s">
        <v>12</v>
      </c>
      <c r="C6524" s="236">
        <v>0.77916666666666701</v>
      </c>
      <c r="D6524" s="237">
        <v>0</v>
      </c>
      <c r="E6524" s="237">
        <v>0</v>
      </c>
      <c r="F6524" s="237">
        <v>0</v>
      </c>
      <c r="G6524" s="237">
        <v>0</v>
      </c>
      <c r="H6524" s="237">
        <v>0</v>
      </c>
      <c r="I6524" s="237">
        <v>0</v>
      </c>
      <c r="J6524" s="237">
        <v>0</v>
      </c>
    </row>
    <row r="6525" spans="1:10" s="225" customFormat="1">
      <c r="A6525" s="222" t="s">
        <v>179</v>
      </c>
      <c r="B6525" s="222" t="s">
        <v>12</v>
      </c>
      <c r="C6525" s="236">
        <v>0.77986111111111101</v>
      </c>
      <c r="D6525" s="237">
        <v>0</v>
      </c>
      <c r="E6525" s="237">
        <v>0</v>
      </c>
      <c r="F6525" s="237">
        <v>0</v>
      </c>
      <c r="G6525" s="237">
        <v>0</v>
      </c>
      <c r="H6525" s="237">
        <v>0</v>
      </c>
      <c r="I6525" s="237">
        <v>0</v>
      </c>
      <c r="J6525" s="237">
        <v>0</v>
      </c>
    </row>
    <row r="6526" spans="1:10" s="229" customFormat="1">
      <c r="A6526" s="226" t="s">
        <v>179</v>
      </c>
      <c r="B6526" s="226" t="s">
        <v>12</v>
      </c>
      <c r="C6526" s="238">
        <v>0.780555555555555</v>
      </c>
      <c r="D6526" s="239">
        <v>0</v>
      </c>
      <c r="E6526" s="239">
        <v>0</v>
      </c>
      <c r="F6526" s="239">
        <v>0</v>
      </c>
      <c r="G6526" s="239">
        <v>0</v>
      </c>
      <c r="H6526" s="239">
        <v>0</v>
      </c>
      <c r="I6526" s="239">
        <v>0</v>
      </c>
      <c r="J6526" s="239">
        <v>0</v>
      </c>
    </row>
    <row r="6527" spans="1:10" s="225" customFormat="1">
      <c r="A6527" s="222" t="s">
        <v>179</v>
      </c>
      <c r="B6527" s="222" t="s">
        <v>12</v>
      </c>
      <c r="C6527" s="236">
        <v>0.78125</v>
      </c>
      <c r="D6527" s="237">
        <v>0</v>
      </c>
      <c r="E6527" s="237">
        <v>0</v>
      </c>
      <c r="F6527" s="237">
        <v>0</v>
      </c>
      <c r="G6527" s="237">
        <v>0</v>
      </c>
      <c r="H6527" s="237">
        <v>0</v>
      </c>
      <c r="I6527" s="237">
        <v>0</v>
      </c>
      <c r="J6527" s="237">
        <v>0</v>
      </c>
    </row>
    <row r="6528" spans="1:10" s="225" customFormat="1">
      <c r="A6528" s="222" t="s">
        <v>179</v>
      </c>
      <c r="B6528" s="222" t="s">
        <v>12</v>
      </c>
      <c r="C6528" s="236">
        <v>0.781944444444444</v>
      </c>
      <c r="D6528" s="237">
        <v>0</v>
      </c>
      <c r="E6528" s="237">
        <v>0</v>
      </c>
      <c r="F6528" s="237">
        <v>0</v>
      </c>
      <c r="G6528" s="237">
        <v>0</v>
      </c>
      <c r="H6528" s="237">
        <v>0</v>
      </c>
      <c r="I6528" s="237">
        <v>0</v>
      </c>
      <c r="J6528" s="237">
        <v>0</v>
      </c>
    </row>
    <row r="6529" spans="1:10" s="225" customFormat="1">
      <c r="A6529" s="222" t="s">
        <v>179</v>
      </c>
      <c r="B6529" s="222" t="s">
        <v>12</v>
      </c>
      <c r="C6529" s="236">
        <v>0.78263888888888899</v>
      </c>
      <c r="D6529" s="237">
        <v>0</v>
      </c>
      <c r="E6529" s="237">
        <v>0</v>
      </c>
      <c r="F6529" s="237">
        <v>0</v>
      </c>
      <c r="G6529" s="237">
        <v>0</v>
      </c>
      <c r="H6529" s="237">
        <v>0</v>
      </c>
      <c r="I6529" s="237">
        <v>0</v>
      </c>
      <c r="J6529" s="237">
        <v>0</v>
      </c>
    </row>
    <row r="6530" spans="1:10" s="225" customFormat="1">
      <c r="A6530" s="222" t="s">
        <v>179</v>
      </c>
      <c r="B6530" s="222" t="s">
        <v>12</v>
      </c>
      <c r="C6530" s="236">
        <v>0.78333333333333299</v>
      </c>
      <c r="D6530" s="237">
        <v>0</v>
      </c>
      <c r="E6530" s="237">
        <v>0</v>
      </c>
      <c r="F6530" s="237">
        <v>0</v>
      </c>
      <c r="G6530" s="237">
        <v>0</v>
      </c>
      <c r="H6530" s="237">
        <v>0</v>
      </c>
      <c r="I6530" s="237">
        <v>0</v>
      </c>
      <c r="J6530" s="237">
        <v>0</v>
      </c>
    </row>
    <row r="6531" spans="1:10" s="225" customFormat="1">
      <c r="A6531" s="222" t="s">
        <v>179</v>
      </c>
      <c r="B6531" s="222" t="s">
        <v>12</v>
      </c>
      <c r="C6531" s="236">
        <v>0.78402777777777799</v>
      </c>
      <c r="D6531" s="237">
        <v>0</v>
      </c>
      <c r="E6531" s="237">
        <v>0</v>
      </c>
      <c r="F6531" s="237">
        <v>0</v>
      </c>
      <c r="G6531" s="237">
        <v>0</v>
      </c>
      <c r="H6531" s="237">
        <v>0</v>
      </c>
      <c r="I6531" s="237">
        <v>0</v>
      </c>
      <c r="J6531" s="237">
        <v>0</v>
      </c>
    </row>
    <row r="6532" spans="1:10" s="225" customFormat="1">
      <c r="A6532" s="222" t="s">
        <v>179</v>
      </c>
      <c r="B6532" s="222" t="s">
        <v>12</v>
      </c>
      <c r="C6532" s="236">
        <v>0.78472222222222199</v>
      </c>
      <c r="D6532" s="237">
        <v>0</v>
      </c>
      <c r="E6532" s="237">
        <v>0</v>
      </c>
      <c r="F6532" s="237">
        <v>0</v>
      </c>
      <c r="G6532" s="237">
        <v>0</v>
      </c>
      <c r="H6532" s="237">
        <v>0</v>
      </c>
      <c r="I6532" s="237">
        <v>0</v>
      </c>
      <c r="J6532" s="237">
        <v>0</v>
      </c>
    </row>
    <row r="6533" spans="1:10" s="225" customFormat="1">
      <c r="A6533" s="222" t="s">
        <v>179</v>
      </c>
      <c r="B6533" s="222" t="s">
        <v>12</v>
      </c>
      <c r="C6533" s="236">
        <v>0.78541666666666698</v>
      </c>
      <c r="D6533" s="237">
        <v>0</v>
      </c>
      <c r="E6533" s="237">
        <v>0</v>
      </c>
      <c r="F6533" s="237">
        <v>0</v>
      </c>
      <c r="G6533" s="237">
        <v>0</v>
      </c>
      <c r="H6533" s="237">
        <v>0</v>
      </c>
      <c r="I6533" s="237">
        <v>0</v>
      </c>
      <c r="J6533" s="237">
        <v>0</v>
      </c>
    </row>
    <row r="6534" spans="1:10" s="225" customFormat="1">
      <c r="A6534" s="222" t="s">
        <v>179</v>
      </c>
      <c r="B6534" s="222" t="s">
        <v>12</v>
      </c>
      <c r="C6534" s="236">
        <v>0.78611111111111098</v>
      </c>
      <c r="D6534" s="237">
        <v>0</v>
      </c>
      <c r="E6534" s="237">
        <v>0</v>
      </c>
      <c r="F6534" s="237">
        <v>0</v>
      </c>
      <c r="G6534" s="237">
        <v>0</v>
      </c>
      <c r="H6534" s="237">
        <v>0</v>
      </c>
      <c r="I6534" s="237">
        <v>0</v>
      </c>
      <c r="J6534" s="237">
        <v>0</v>
      </c>
    </row>
    <row r="6535" spans="1:10" s="225" customFormat="1">
      <c r="A6535" s="222" t="s">
        <v>179</v>
      </c>
      <c r="B6535" s="222" t="s">
        <v>12</v>
      </c>
      <c r="C6535" s="236">
        <v>0.78680555555555498</v>
      </c>
      <c r="D6535" s="237">
        <v>0</v>
      </c>
      <c r="E6535" s="237">
        <v>0</v>
      </c>
      <c r="F6535" s="237">
        <v>0</v>
      </c>
      <c r="G6535" s="237">
        <v>0</v>
      </c>
      <c r="H6535" s="237">
        <v>0</v>
      </c>
      <c r="I6535" s="237">
        <v>0</v>
      </c>
      <c r="J6535" s="237">
        <v>0</v>
      </c>
    </row>
    <row r="6536" spans="1:10" s="225" customFormat="1">
      <c r="A6536" s="222" t="s">
        <v>179</v>
      </c>
      <c r="B6536" s="222" t="s">
        <v>12</v>
      </c>
      <c r="C6536" s="236">
        <v>0.78749999999999998</v>
      </c>
      <c r="D6536" s="237">
        <v>0</v>
      </c>
      <c r="E6536" s="237">
        <v>0</v>
      </c>
      <c r="F6536" s="237">
        <v>0</v>
      </c>
      <c r="G6536" s="237">
        <v>0</v>
      </c>
      <c r="H6536" s="237">
        <v>0</v>
      </c>
      <c r="I6536" s="237">
        <v>0</v>
      </c>
      <c r="J6536" s="237">
        <v>0</v>
      </c>
    </row>
    <row r="6537" spans="1:10" s="225" customFormat="1">
      <c r="A6537" s="222" t="s">
        <v>179</v>
      </c>
      <c r="B6537" s="222" t="s">
        <v>12</v>
      </c>
      <c r="C6537" s="236">
        <v>0.78819444444444398</v>
      </c>
      <c r="D6537" s="237">
        <v>0</v>
      </c>
      <c r="E6537" s="237">
        <v>0</v>
      </c>
      <c r="F6537" s="237">
        <v>0</v>
      </c>
      <c r="G6537" s="237">
        <v>0</v>
      </c>
      <c r="H6537" s="237">
        <v>0</v>
      </c>
      <c r="I6537" s="237">
        <v>0</v>
      </c>
      <c r="J6537" s="237">
        <v>0</v>
      </c>
    </row>
    <row r="6538" spans="1:10" s="225" customFormat="1">
      <c r="A6538" s="222" t="s">
        <v>179</v>
      </c>
      <c r="B6538" s="222" t="s">
        <v>12</v>
      </c>
      <c r="C6538" s="236">
        <v>0.78888888888888897</v>
      </c>
      <c r="D6538" s="237">
        <v>0</v>
      </c>
      <c r="E6538" s="237">
        <v>0</v>
      </c>
      <c r="F6538" s="237">
        <v>0</v>
      </c>
      <c r="G6538" s="237">
        <v>0</v>
      </c>
      <c r="H6538" s="237">
        <v>0</v>
      </c>
      <c r="I6538" s="237">
        <v>0</v>
      </c>
      <c r="J6538" s="237">
        <v>0</v>
      </c>
    </row>
    <row r="6539" spans="1:10" s="225" customFormat="1">
      <c r="A6539" s="222" t="s">
        <v>179</v>
      </c>
      <c r="B6539" s="222" t="s">
        <v>12</v>
      </c>
      <c r="C6539" s="236">
        <v>0.78958333333333297</v>
      </c>
      <c r="D6539" s="237">
        <v>0</v>
      </c>
      <c r="E6539" s="237">
        <v>0</v>
      </c>
      <c r="F6539" s="237">
        <v>0</v>
      </c>
      <c r="G6539" s="237">
        <v>0</v>
      </c>
      <c r="H6539" s="237">
        <v>0</v>
      </c>
      <c r="I6539" s="237">
        <v>0</v>
      </c>
      <c r="J6539" s="237">
        <v>0</v>
      </c>
    </row>
    <row r="6540" spans="1:10" s="225" customFormat="1">
      <c r="A6540" s="222" t="s">
        <v>179</v>
      </c>
      <c r="B6540" s="222" t="s">
        <v>12</v>
      </c>
      <c r="C6540" s="236">
        <v>0.79027777777777797</v>
      </c>
      <c r="D6540" s="237">
        <v>0</v>
      </c>
      <c r="E6540" s="237">
        <v>0</v>
      </c>
      <c r="F6540" s="237">
        <v>0</v>
      </c>
      <c r="G6540" s="237">
        <v>0</v>
      </c>
      <c r="H6540" s="237">
        <v>0</v>
      </c>
      <c r="I6540" s="237">
        <v>0</v>
      </c>
      <c r="J6540" s="237">
        <v>0</v>
      </c>
    </row>
    <row r="6541" spans="1:10" s="229" customFormat="1">
      <c r="A6541" s="226" t="s">
        <v>179</v>
      </c>
      <c r="B6541" s="226" t="s">
        <v>12</v>
      </c>
      <c r="C6541" s="238">
        <v>0.79097222222222197</v>
      </c>
      <c r="D6541" s="239">
        <v>0</v>
      </c>
      <c r="E6541" s="239">
        <v>0</v>
      </c>
      <c r="F6541" s="239">
        <v>0</v>
      </c>
      <c r="G6541" s="239">
        <v>0</v>
      </c>
      <c r="H6541" s="239">
        <v>0</v>
      </c>
      <c r="I6541" s="239">
        <v>0</v>
      </c>
      <c r="J6541" s="239">
        <v>0</v>
      </c>
    </row>
    <row r="6542" spans="1:10" s="225" customFormat="1">
      <c r="A6542" s="222" t="s">
        <v>179</v>
      </c>
      <c r="B6542" s="222" t="s">
        <v>12</v>
      </c>
      <c r="C6542" s="236">
        <v>0.79166666666666696</v>
      </c>
      <c r="D6542" s="237">
        <v>0</v>
      </c>
      <c r="E6542" s="237">
        <v>0</v>
      </c>
      <c r="F6542" s="237">
        <v>0</v>
      </c>
      <c r="G6542" s="237">
        <v>0</v>
      </c>
      <c r="H6542" s="237">
        <v>0</v>
      </c>
      <c r="I6542" s="237">
        <v>0</v>
      </c>
      <c r="J6542" s="237">
        <v>0</v>
      </c>
    </row>
    <row r="6543" spans="1:10" s="225" customFormat="1">
      <c r="A6543" s="222" t="s">
        <v>179</v>
      </c>
      <c r="B6543" s="222" t="s">
        <v>12</v>
      </c>
      <c r="C6543" s="236">
        <v>0.79236111111111096</v>
      </c>
      <c r="D6543" s="237">
        <v>0</v>
      </c>
      <c r="E6543" s="237">
        <v>0</v>
      </c>
      <c r="F6543" s="237">
        <v>0</v>
      </c>
      <c r="G6543" s="237">
        <v>0</v>
      </c>
      <c r="H6543" s="237">
        <v>0</v>
      </c>
      <c r="I6543" s="237">
        <v>0</v>
      </c>
      <c r="J6543" s="237">
        <v>0</v>
      </c>
    </row>
    <row r="6544" spans="1:10" s="225" customFormat="1">
      <c r="A6544" s="222" t="s">
        <v>179</v>
      </c>
      <c r="B6544" s="222" t="s">
        <v>12</v>
      </c>
      <c r="C6544" s="236">
        <v>0.79305555555555496</v>
      </c>
      <c r="D6544" s="237">
        <v>0</v>
      </c>
      <c r="E6544" s="237">
        <v>0</v>
      </c>
      <c r="F6544" s="237">
        <v>0</v>
      </c>
      <c r="G6544" s="237">
        <v>0</v>
      </c>
      <c r="H6544" s="237">
        <v>0</v>
      </c>
      <c r="I6544" s="237">
        <v>0</v>
      </c>
      <c r="J6544" s="237">
        <v>0</v>
      </c>
    </row>
    <row r="6545" spans="1:10" s="225" customFormat="1">
      <c r="A6545" s="222" t="s">
        <v>179</v>
      </c>
      <c r="B6545" s="222" t="s">
        <v>12</v>
      </c>
      <c r="C6545" s="236">
        <v>0.79374999999999996</v>
      </c>
      <c r="D6545" s="237">
        <v>0</v>
      </c>
      <c r="E6545" s="237">
        <v>0</v>
      </c>
      <c r="F6545" s="237">
        <v>0</v>
      </c>
      <c r="G6545" s="237">
        <v>0</v>
      </c>
      <c r="H6545" s="237">
        <v>0</v>
      </c>
      <c r="I6545" s="237">
        <v>0</v>
      </c>
      <c r="J6545" s="237">
        <v>0</v>
      </c>
    </row>
    <row r="6546" spans="1:10" s="225" customFormat="1">
      <c r="A6546" s="222" t="s">
        <v>179</v>
      </c>
      <c r="B6546" s="222" t="s">
        <v>12</v>
      </c>
      <c r="C6546" s="236">
        <v>0.79444444444444395</v>
      </c>
      <c r="D6546" s="237">
        <v>0</v>
      </c>
      <c r="E6546" s="237">
        <v>0</v>
      </c>
      <c r="F6546" s="237">
        <v>0</v>
      </c>
      <c r="G6546" s="237">
        <v>0</v>
      </c>
      <c r="H6546" s="237">
        <v>0</v>
      </c>
      <c r="I6546" s="237">
        <v>0</v>
      </c>
      <c r="J6546" s="237">
        <v>0</v>
      </c>
    </row>
    <row r="6547" spans="1:10" s="225" customFormat="1">
      <c r="A6547" s="222" t="s">
        <v>179</v>
      </c>
      <c r="B6547" s="222" t="s">
        <v>12</v>
      </c>
      <c r="C6547" s="236">
        <v>0.79513888888888895</v>
      </c>
      <c r="D6547" s="237">
        <v>0</v>
      </c>
      <c r="E6547" s="237">
        <v>0</v>
      </c>
      <c r="F6547" s="237">
        <v>0</v>
      </c>
      <c r="G6547" s="237">
        <v>0</v>
      </c>
      <c r="H6547" s="237">
        <v>0</v>
      </c>
      <c r="I6547" s="237">
        <v>0</v>
      </c>
      <c r="J6547" s="237">
        <v>0</v>
      </c>
    </row>
    <row r="6548" spans="1:10" s="225" customFormat="1">
      <c r="A6548" s="222" t="s">
        <v>179</v>
      </c>
      <c r="B6548" s="222" t="s">
        <v>12</v>
      </c>
      <c r="C6548" s="236">
        <v>0.79583333333333295</v>
      </c>
      <c r="D6548" s="237">
        <v>0</v>
      </c>
      <c r="E6548" s="237">
        <v>0</v>
      </c>
      <c r="F6548" s="237">
        <v>0</v>
      </c>
      <c r="G6548" s="237">
        <v>0</v>
      </c>
      <c r="H6548" s="237">
        <v>0</v>
      </c>
      <c r="I6548" s="237">
        <v>0</v>
      </c>
      <c r="J6548" s="237">
        <v>0</v>
      </c>
    </row>
    <row r="6549" spans="1:10" s="225" customFormat="1">
      <c r="A6549" s="222" t="s">
        <v>179</v>
      </c>
      <c r="B6549" s="222" t="s">
        <v>12</v>
      </c>
      <c r="C6549" s="236">
        <v>0.79652777777777795</v>
      </c>
      <c r="D6549" s="237">
        <v>0</v>
      </c>
      <c r="E6549" s="237">
        <v>0</v>
      </c>
      <c r="F6549" s="237">
        <v>0</v>
      </c>
      <c r="G6549" s="237">
        <v>0</v>
      </c>
      <c r="H6549" s="237">
        <v>0</v>
      </c>
      <c r="I6549" s="237">
        <v>0</v>
      </c>
      <c r="J6549" s="237">
        <v>0</v>
      </c>
    </row>
    <row r="6550" spans="1:10" s="225" customFormat="1">
      <c r="A6550" s="222" t="s">
        <v>179</v>
      </c>
      <c r="B6550" s="222" t="s">
        <v>12</v>
      </c>
      <c r="C6550" s="236">
        <v>0.79722222222222205</v>
      </c>
      <c r="D6550" s="237">
        <v>0</v>
      </c>
      <c r="E6550" s="237">
        <v>0</v>
      </c>
      <c r="F6550" s="237">
        <v>0</v>
      </c>
      <c r="G6550" s="237">
        <v>0</v>
      </c>
      <c r="H6550" s="237">
        <v>0</v>
      </c>
      <c r="I6550" s="237">
        <v>0</v>
      </c>
      <c r="J6550" s="237">
        <v>0</v>
      </c>
    </row>
    <row r="6551" spans="1:10" s="225" customFormat="1">
      <c r="A6551" s="222" t="s">
        <v>179</v>
      </c>
      <c r="B6551" s="222" t="s">
        <v>12</v>
      </c>
      <c r="C6551" s="236">
        <v>0.79791666666666605</v>
      </c>
      <c r="D6551" s="237">
        <v>0</v>
      </c>
      <c r="E6551" s="237">
        <v>0</v>
      </c>
      <c r="F6551" s="237">
        <v>0</v>
      </c>
      <c r="G6551" s="237">
        <v>0</v>
      </c>
      <c r="H6551" s="237">
        <v>0</v>
      </c>
      <c r="I6551" s="237">
        <v>0</v>
      </c>
      <c r="J6551" s="237">
        <v>0</v>
      </c>
    </row>
    <row r="6552" spans="1:10" s="225" customFormat="1">
      <c r="A6552" s="222" t="s">
        <v>179</v>
      </c>
      <c r="B6552" s="222" t="s">
        <v>12</v>
      </c>
      <c r="C6552" s="236">
        <v>0.79861111111111105</v>
      </c>
      <c r="D6552" s="237">
        <v>0</v>
      </c>
      <c r="E6552" s="237">
        <v>0</v>
      </c>
      <c r="F6552" s="237">
        <v>0</v>
      </c>
      <c r="G6552" s="237">
        <v>0</v>
      </c>
      <c r="H6552" s="237">
        <v>0</v>
      </c>
      <c r="I6552" s="237">
        <v>0</v>
      </c>
      <c r="J6552" s="237">
        <v>0</v>
      </c>
    </row>
    <row r="6553" spans="1:10" s="225" customFormat="1">
      <c r="A6553" s="222" t="s">
        <v>179</v>
      </c>
      <c r="B6553" s="222" t="s">
        <v>12</v>
      </c>
      <c r="C6553" s="236">
        <v>0.79930555555555505</v>
      </c>
      <c r="D6553" s="237">
        <v>0</v>
      </c>
      <c r="E6553" s="237">
        <v>0</v>
      </c>
      <c r="F6553" s="237">
        <v>0</v>
      </c>
      <c r="G6553" s="237">
        <v>0</v>
      </c>
      <c r="H6553" s="237">
        <v>0</v>
      </c>
      <c r="I6553" s="237">
        <v>0</v>
      </c>
      <c r="J6553" s="237">
        <v>0</v>
      </c>
    </row>
    <row r="6554" spans="1:10" s="225" customFormat="1">
      <c r="A6554" s="222" t="s">
        <v>179</v>
      </c>
      <c r="B6554" s="222" t="s">
        <v>12</v>
      </c>
      <c r="C6554" s="236">
        <v>0.8</v>
      </c>
      <c r="D6554" s="237">
        <v>0</v>
      </c>
      <c r="E6554" s="237">
        <v>0</v>
      </c>
      <c r="F6554" s="237">
        <v>0</v>
      </c>
      <c r="G6554" s="237">
        <v>0</v>
      </c>
      <c r="H6554" s="237">
        <v>0</v>
      </c>
      <c r="I6554" s="237">
        <v>0</v>
      </c>
      <c r="J6554" s="237">
        <v>0</v>
      </c>
    </row>
    <row r="6555" spans="1:10" s="225" customFormat="1">
      <c r="A6555" s="222" t="s">
        <v>179</v>
      </c>
      <c r="B6555" s="222" t="s">
        <v>12</v>
      </c>
      <c r="C6555" s="236">
        <v>0.80069444444444404</v>
      </c>
      <c r="D6555" s="237">
        <v>0</v>
      </c>
      <c r="E6555" s="237">
        <v>0</v>
      </c>
      <c r="F6555" s="237">
        <v>0</v>
      </c>
      <c r="G6555" s="237">
        <v>0</v>
      </c>
      <c r="H6555" s="237">
        <v>0</v>
      </c>
      <c r="I6555" s="237">
        <v>0</v>
      </c>
      <c r="J6555" s="237">
        <v>0</v>
      </c>
    </row>
    <row r="6556" spans="1:10" s="229" customFormat="1">
      <c r="A6556" s="226" t="s">
        <v>179</v>
      </c>
      <c r="B6556" s="226" t="s">
        <v>12</v>
      </c>
      <c r="C6556" s="238">
        <v>0.80138888888888904</v>
      </c>
      <c r="D6556" s="239">
        <v>0</v>
      </c>
      <c r="E6556" s="239">
        <v>0</v>
      </c>
      <c r="F6556" s="239">
        <v>0</v>
      </c>
      <c r="G6556" s="239">
        <v>0</v>
      </c>
      <c r="H6556" s="239">
        <v>0</v>
      </c>
      <c r="I6556" s="239">
        <v>0</v>
      </c>
      <c r="J6556" s="239">
        <v>0</v>
      </c>
    </row>
    <row r="6557" spans="1:10" s="225" customFormat="1">
      <c r="A6557" s="222" t="s">
        <v>179</v>
      </c>
      <c r="B6557" s="222" t="s">
        <v>12</v>
      </c>
      <c r="C6557" s="236">
        <v>0.80208333333333304</v>
      </c>
      <c r="D6557" s="237">
        <v>0</v>
      </c>
      <c r="E6557" s="237">
        <v>0</v>
      </c>
      <c r="F6557" s="237">
        <v>0</v>
      </c>
      <c r="G6557" s="237">
        <v>0</v>
      </c>
      <c r="H6557" s="237">
        <v>0</v>
      </c>
      <c r="I6557" s="237">
        <v>0</v>
      </c>
      <c r="J6557" s="237">
        <v>0</v>
      </c>
    </row>
    <row r="6558" spans="1:10" s="225" customFormat="1">
      <c r="A6558" s="222" t="s">
        <v>179</v>
      </c>
      <c r="B6558" s="222" t="s">
        <v>12</v>
      </c>
      <c r="C6558" s="236">
        <v>0.80277777777777803</v>
      </c>
      <c r="D6558" s="237">
        <v>0</v>
      </c>
      <c r="E6558" s="237">
        <v>0</v>
      </c>
      <c r="F6558" s="237">
        <v>0</v>
      </c>
      <c r="G6558" s="237">
        <v>0</v>
      </c>
      <c r="H6558" s="237">
        <v>0</v>
      </c>
      <c r="I6558" s="237">
        <v>0</v>
      </c>
      <c r="J6558" s="237">
        <v>0</v>
      </c>
    </row>
    <row r="6559" spans="1:10" s="225" customFormat="1">
      <c r="A6559" s="222" t="s">
        <v>179</v>
      </c>
      <c r="B6559" s="222" t="s">
        <v>12</v>
      </c>
      <c r="C6559" s="236">
        <v>0.80347222222222203</v>
      </c>
      <c r="D6559" s="237">
        <v>0</v>
      </c>
      <c r="E6559" s="237">
        <v>0</v>
      </c>
      <c r="F6559" s="237">
        <v>0</v>
      </c>
      <c r="G6559" s="237">
        <v>0</v>
      </c>
      <c r="H6559" s="237">
        <v>0</v>
      </c>
      <c r="I6559" s="237">
        <v>0</v>
      </c>
      <c r="J6559" s="237">
        <v>0</v>
      </c>
    </row>
    <row r="6560" spans="1:10" s="225" customFormat="1">
      <c r="A6560" s="222" t="s">
        <v>179</v>
      </c>
      <c r="B6560" s="222" t="s">
        <v>12</v>
      </c>
      <c r="C6560" s="236">
        <v>0.80416666666666603</v>
      </c>
      <c r="D6560" s="237">
        <v>0</v>
      </c>
      <c r="E6560" s="237">
        <v>0</v>
      </c>
      <c r="F6560" s="237">
        <v>0</v>
      </c>
      <c r="G6560" s="237">
        <v>0</v>
      </c>
      <c r="H6560" s="237">
        <v>0</v>
      </c>
      <c r="I6560" s="237">
        <v>0</v>
      </c>
      <c r="J6560" s="237">
        <v>0</v>
      </c>
    </row>
    <row r="6561" spans="1:10" s="225" customFormat="1">
      <c r="A6561" s="222" t="s">
        <v>179</v>
      </c>
      <c r="B6561" s="222" t="s">
        <v>12</v>
      </c>
      <c r="C6561" s="236">
        <v>0.80486111111111103</v>
      </c>
      <c r="D6561" s="237">
        <v>0</v>
      </c>
      <c r="E6561" s="237">
        <v>0</v>
      </c>
      <c r="F6561" s="237">
        <v>0</v>
      </c>
      <c r="G6561" s="237">
        <v>0</v>
      </c>
      <c r="H6561" s="237">
        <v>0</v>
      </c>
      <c r="I6561" s="237">
        <v>0</v>
      </c>
      <c r="J6561" s="237">
        <v>0</v>
      </c>
    </row>
    <row r="6562" spans="1:10" s="225" customFormat="1">
      <c r="A6562" s="222" t="s">
        <v>179</v>
      </c>
      <c r="B6562" s="222" t="s">
        <v>12</v>
      </c>
      <c r="C6562" s="236">
        <v>0.80555555555555503</v>
      </c>
      <c r="D6562" s="237">
        <v>0</v>
      </c>
      <c r="E6562" s="237">
        <v>0</v>
      </c>
      <c r="F6562" s="237">
        <v>0</v>
      </c>
      <c r="G6562" s="237">
        <v>0</v>
      </c>
      <c r="H6562" s="237">
        <v>0</v>
      </c>
      <c r="I6562" s="237">
        <v>0</v>
      </c>
      <c r="J6562" s="237">
        <v>0</v>
      </c>
    </row>
    <row r="6563" spans="1:10" s="225" customFormat="1">
      <c r="A6563" s="222" t="s">
        <v>179</v>
      </c>
      <c r="B6563" s="222" t="s">
        <v>12</v>
      </c>
      <c r="C6563" s="236">
        <v>0.80625000000000002</v>
      </c>
      <c r="D6563" s="237">
        <v>0</v>
      </c>
      <c r="E6563" s="237">
        <v>0</v>
      </c>
      <c r="F6563" s="237">
        <v>0</v>
      </c>
      <c r="G6563" s="237">
        <v>0</v>
      </c>
      <c r="H6563" s="237">
        <v>0</v>
      </c>
      <c r="I6563" s="237">
        <v>0</v>
      </c>
      <c r="J6563" s="237">
        <v>0</v>
      </c>
    </row>
    <row r="6564" spans="1:10" s="225" customFormat="1">
      <c r="A6564" s="222" t="s">
        <v>179</v>
      </c>
      <c r="B6564" s="222" t="s">
        <v>12</v>
      </c>
      <c r="C6564" s="236">
        <v>0.80694444444444402</v>
      </c>
      <c r="D6564" s="237">
        <v>0</v>
      </c>
      <c r="E6564" s="237">
        <v>0</v>
      </c>
      <c r="F6564" s="237">
        <v>0</v>
      </c>
      <c r="G6564" s="237">
        <v>0</v>
      </c>
      <c r="H6564" s="237">
        <v>0</v>
      </c>
      <c r="I6564" s="237">
        <v>0</v>
      </c>
      <c r="J6564" s="237">
        <v>0</v>
      </c>
    </row>
    <row r="6565" spans="1:10" s="225" customFormat="1">
      <c r="A6565" s="222" t="s">
        <v>179</v>
      </c>
      <c r="B6565" s="222" t="s">
        <v>12</v>
      </c>
      <c r="C6565" s="236">
        <v>0.80763888888888902</v>
      </c>
      <c r="D6565" s="237">
        <v>0</v>
      </c>
      <c r="E6565" s="237">
        <v>0</v>
      </c>
      <c r="F6565" s="237">
        <v>0</v>
      </c>
      <c r="G6565" s="237">
        <v>0</v>
      </c>
      <c r="H6565" s="237">
        <v>0</v>
      </c>
      <c r="I6565" s="237">
        <v>0</v>
      </c>
      <c r="J6565" s="237">
        <v>0</v>
      </c>
    </row>
    <row r="6566" spans="1:10" s="225" customFormat="1">
      <c r="A6566" s="222" t="s">
        <v>179</v>
      </c>
      <c r="B6566" s="222" t="s">
        <v>12</v>
      </c>
      <c r="C6566" s="236">
        <v>0.80833333333333302</v>
      </c>
      <c r="D6566" s="237">
        <v>0</v>
      </c>
      <c r="E6566" s="237">
        <v>0</v>
      </c>
      <c r="F6566" s="237">
        <v>0</v>
      </c>
      <c r="G6566" s="237">
        <v>0</v>
      </c>
      <c r="H6566" s="237">
        <v>0</v>
      </c>
      <c r="I6566" s="237">
        <v>0</v>
      </c>
      <c r="J6566" s="237">
        <v>0</v>
      </c>
    </row>
    <row r="6567" spans="1:10" s="225" customFormat="1">
      <c r="A6567" s="222" t="s">
        <v>179</v>
      </c>
      <c r="B6567" s="222" t="s">
        <v>12</v>
      </c>
      <c r="C6567" s="236">
        <v>0.80902777777777801</v>
      </c>
      <c r="D6567" s="237">
        <v>0</v>
      </c>
      <c r="E6567" s="237">
        <v>0</v>
      </c>
      <c r="F6567" s="237">
        <v>0</v>
      </c>
      <c r="G6567" s="237">
        <v>0</v>
      </c>
      <c r="H6567" s="237">
        <v>0</v>
      </c>
      <c r="I6567" s="237">
        <v>0</v>
      </c>
      <c r="J6567" s="237">
        <v>0</v>
      </c>
    </row>
    <row r="6568" spans="1:10" s="225" customFormat="1">
      <c r="A6568" s="222" t="s">
        <v>179</v>
      </c>
      <c r="B6568" s="222" t="s">
        <v>12</v>
      </c>
      <c r="C6568" s="236">
        <v>0.80972222222222201</v>
      </c>
      <c r="D6568" s="237">
        <v>0</v>
      </c>
      <c r="E6568" s="237">
        <v>0</v>
      </c>
      <c r="F6568" s="237">
        <v>0</v>
      </c>
      <c r="G6568" s="237">
        <v>0</v>
      </c>
      <c r="H6568" s="237">
        <v>0</v>
      </c>
      <c r="I6568" s="237">
        <v>0</v>
      </c>
      <c r="J6568" s="237">
        <v>0</v>
      </c>
    </row>
    <row r="6569" spans="1:10" s="225" customFormat="1">
      <c r="A6569" s="222" t="s">
        <v>179</v>
      </c>
      <c r="B6569" s="222" t="s">
        <v>12</v>
      </c>
      <c r="C6569" s="236">
        <v>0.81041666666666601</v>
      </c>
      <c r="D6569" s="237">
        <v>0</v>
      </c>
      <c r="E6569" s="237">
        <v>0</v>
      </c>
      <c r="F6569" s="237">
        <v>0</v>
      </c>
      <c r="G6569" s="237">
        <v>0</v>
      </c>
      <c r="H6569" s="237">
        <v>0</v>
      </c>
      <c r="I6569" s="237">
        <v>0</v>
      </c>
      <c r="J6569" s="237">
        <v>0</v>
      </c>
    </row>
    <row r="6570" spans="1:10" s="225" customFormat="1">
      <c r="A6570" s="222" t="s">
        <v>179</v>
      </c>
      <c r="B6570" s="222" t="s">
        <v>12</v>
      </c>
      <c r="C6570" s="236">
        <v>0.81111111111111101</v>
      </c>
      <c r="D6570" s="237">
        <v>0</v>
      </c>
      <c r="E6570" s="237">
        <v>0</v>
      </c>
      <c r="F6570" s="237">
        <v>0</v>
      </c>
      <c r="G6570" s="237">
        <v>0</v>
      </c>
      <c r="H6570" s="237">
        <v>0</v>
      </c>
      <c r="I6570" s="237">
        <v>0</v>
      </c>
      <c r="J6570" s="237">
        <v>0</v>
      </c>
    </row>
    <row r="6571" spans="1:10" s="229" customFormat="1">
      <c r="A6571" s="226" t="s">
        <v>179</v>
      </c>
      <c r="B6571" s="226" t="s">
        <v>12</v>
      </c>
      <c r="C6571" s="238">
        <v>0.811805555555555</v>
      </c>
      <c r="D6571" s="239">
        <v>0</v>
      </c>
      <c r="E6571" s="239">
        <v>0</v>
      </c>
      <c r="F6571" s="239">
        <v>0</v>
      </c>
      <c r="G6571" s="239">
        <v>0</v>
      </c>
      <c r="H6571" s="239">
        <v>0</v>
      </c>
      <c r="I6571" s="239">
        <v>0</v>
      </c>
      <c r="J6571" s="239">
        <v>0</v>
      </c>
    </row>
    <row r="6572" spans="1:10" s="225" customFormat="1">
      <c r="A6572" s="222" t="s">
        <v>179</v>
      </c>
      <c r="B6572" s="222" t="s">
        <v>12</v>
      </c>
      <c r="C6572" s="236">
        <v>0.8125</v>
      </c>
      <c r="D6572" s="237">
        <v>0</v>
      </c>
      <c r="E6572" s="237">
        <v>0</v>
      </c>
      <c r="F6572" s="237">
        <v>0</v>
      </c>
      <c r="G6572" s="237">
        <v>0</v>
      </c>
      <c r="H6572" s="237">
        <v>0</v>
      </c>
      <c r="I6572" s="237">
        <v>0</v>
      </c>
      <c r="J6572" s="237">
        <v>0</v>
      </c>
    </row>
    <row r="6573" spans="1:10" s="225" customFormat="1">
      <c r="A6573" s="222" t="s">
        <v>179</v>
      </c>
      <c r="B6573" s="222" t="s">
        <v>12</v>
      </c>
      <c r="C6573" s="236">
        <v>0.813194444444444</v>
      </c>
      <c r="D6573" s="237">
        <v>0</v>
      </c>
      <c r="E6573" s="237">
        <v>0</v>
      </c>
      <c r="F6573" s="237">
        <v>0</v>
      </c>
      <c r="G6573" s="237">
        <v>0</v>
      </c>
      <c r="H6573" s="237">
        <v>0</v>
      </c>
      <c r="I6573" s="237">
        <v>0</v>
      </c>
      <c r="J6573" s="237">
        <v>0</v>
      </c>
    </row>
    <row r="6574" spans="1:10" s="225" customFormat="1">
      <c r="A6574" s="222" t="s">
        <v>179</v>
      </c>
      <c r="B6574" s="222" t="s">
        <v>12</v>
      </c>
      <c r="C6574" s="236">
        <v>0.81388888888888899</v>
      </c>
      <c r="D6574" s="237">
        <v>0</v>
      </c>
      <c r="E6574" s="237">
        <v>0</v>
      </c>
      <c r="F6574" s="237">
        <v>0</v>
      </c>
      <c r="G6574" s="237">
        <v>0</v>
      </c>
      <c r="H6574" s="237">
        <v>0</v>
      </c>
      <c r="I6574" s="237">
        <v>0</v>
      </c>
      <c r="J6574" s="237">
        <v>0</v>
      </c>
    </row>
    <row r="6575" spans="1:10" s="225" customFormat="1">
      <c r="A6575" s="222" t="s">
        <v>179</v>
      </c>
      <c r="B6575" s="222" t="s">
        <v>12</v>
      </c>
      <c r="C6575" s="236">
        <v>0.81458333333333299</v>
      </c>
      <c r="D6575" s="237">
        <v>0</v>
      </c>
      <c r="E6575" s="237">
        <v>0</v>
      </c>
      <c r="F6575" s="237">
        <v>0</v>
      </c>
      <c r="G6575" s="237">
        <v>0</v>
      </c>
      <c r="H6575" s="237">
        <v>0</v>
      </c>
      <c r="I6575" s="237">
        <v>0</v>
      </c>
      <c r="J6575" s="237">
        <v>0</v>
      </c>
    </row>
    <row r="6576" spans="1:10" s="225" customFormat="1">
      <c r="A6576" s="222" t="s">
        <v>179</v>
      </c>
      <c r="B6576" s="222" t="s">
        <v>12</v>
      </c>
      <c r="C6576" s="236">
        <v>0.81527777777777799</v>
      </c>
      <c r="D6576" s="237">
        <v>0</v>
      </c>
      <c r="E6576" s="237">
        <v>0</v>
      </c>
      <c r="F6576" s="237">
        <v>0</v>
      </c>
      <c r="G6576" s="237">
        <v>0</v>
      </c>
      <c r="H6576" s="237">
        <v>0</v>
      </c>
      <c r="I6576" s="237">
        <v>0</v>
      </c>
      <c r="J6576" s="237">
        <v>0</v>
      </c>
    </row>
    <row r="6577" spans="1:10" s="225" customFormat="1">
      <c r="A6577" s="222" t="s">
        <v>179</v>
      </c>
      <c r="B6577" s="222" t="s">
        <v>12</v>
      </c>
      <c r="C6577" s="236">
        <v>0.81597222222222199</v>
      </c>
      <c r="D6577" s="237">
        <v>0</v>
      </c>
      <c r="E6577" s="237">
        <v>0</v>
      </c>
      <c r="F6577" s="237">
        <v>0</v>
      </c>
      <c r="G6577" s="237">
        <v>0</v>
      </c>
      <c r="H6577" s="237">
        <v>0</v>
      </c>
      <c r="I6577" s="237">
        <v>0</v>
      </c>
      <c r="J6577" s="237">
        <v>0</v>
      </c>
    </row>
    <row r="6578" spans="1:10" s="225" customFormat="1">
      <c r="A6578" s="222" t="s">
        <v>179</v>
      </c>
      <c r="B6578" s="222" t="s">
        <v>12</v>
      </c>
      <c r="C6578" s="236">
        <v>0.81666666666666599</v>
      </c>
      <c r="D6578" s="237">
        <v>0</v>
      </c>
      <c r="E6578" s="237">
        <v>0</v>
      </c>
      <c r="F6578" s="237">
        <v>0</v>
      </c>
      <c r="G6578" s="237">
        <v>0</v>
      </c>
      <c r="H6578" s="237">
        <v>0</v>
      </c>
      <c r="I6578" s="237">
        <v>0</v>
      </c>
      <c r="J6578" s="237">
        <v>0</v>
      </c>
    </row>
    <row r="6579" spans="1:10" s="225" customFormat="1">
      <c r="A6579" s="222" t="s">
        <v>179</v>
      </c>
      <c r="B6579" s="222" t="s">
        <v>12</v>
      </c>
      <c r="C6579" s="236">
        <v>0.81736111111111098</v>
      </c>
      <c r="D6579" s="237">
        <v>0</v>
      </c>
      <c r="E6579" s="237">
        <v>0</v>
      </c>
      <c r="F6579" s="237">
        <v>0</v>
      </c>
      <c r="G6579" s="237">
        <v>0</v>
      </c>
      <c r="H6579" s="237">
        <v>0</v>
      </c>
      <c r="I6579" s="237">
        <v>0</v>
      </c>
      <c r="J6579" s="237">
        <v>0</v>
      </c>
    </row>
    <row r="6580" spans="1:10" s="225" customFormat="1">
      <c r="A6580" s="222" t="s">
        <v>179</v>
      </c>
      <c r="B6580" s="222" t="s">
        <v>12</v>
      </c>
      <c r="C6580" s="236">
        <v>0.81805555555555498</v>
      </c>
      <c r="D6580" s="237">
        <v>0</v>
      </c>
      <c r="E6580" s="237">
        <v>0</v>
      </c>
      <c r="F6580" s="237">
        <v>0</v>
      </c>
      <c r="G6580" s="237">
        <v>0</v>
      </c>
      <c r="H6580" s="237">
        <v>0</v>
      </c>
      <c r="I6580" s="237">
        <v>0</v>
      </c>
      <c r="J6580" s="237">
        <v>0</v>
      </c>
    </row>
    <row r="6581" spans="1:10" s="225" customFormat="1">
      <c r="A6581" s="222" t="s">
        <v>179</v>
      </c>
      <c r="B6581" s="222" t="s">
        <v>12</v>
      </c>
      <c r="C6581" s="236">
        <v>0.81874999999999998</v>
      </c>
      <c r="D6581" s="237">
        <v>0</v>
      </c>
      <c r="E6581" s="237">
        <v>0</v>
      </c>
      <c r="F6581" s="237">
        <v>0</v>
      </c>
      <c r="G6581" s="237">
        <v>0</v>
      </c>
      <c r="H6581" s="237">
        <v>0</v>
      </c>
      <c r="I6581" s="237">
        <v>0</v>
      </c>
      <c r="J6581" s="237">
        <v>0</v>
      </c>
    </row>
    <row r="6582" spans="1:10" s="225" customFormat="1">
      <c r="A6582" s="222" t="s">
        <v>179</v>
      </c>
      <c r="B6582" s="222" t="s">
        <v>12</v>
      </c>
      <c r="C6582" s="236">
        <v>0.81944444444444398</v>
      </c>
      <c r="D6582" s="237">
        <v>0</v>
      </c>
      <c r="E6582" s="237">
        <v>0</v>
      </c>
      <c r="F6582" s="237">
        <v>0</v>
      </c>
      <c r="G6582" s="237">
        <v>0</v>
      </c>
      <c r="H6582" s="237">
        <v>0</v>
      </c>
      <c r="I6582" s="237">
        <v>0</v>
      </c>
      <c r="J6582" s="237">
        <v>0</v>
      </c>
    </row>
    <row r="6583" spans="1:10" s="225" customFormat="1">
      <c r="A6583" s="222" t="s">
        <v>179</v>
      </c>
      <c r="B6583" s="222" t="s">
        <v>12</v>
      </c>
      <c r="C6583" s="236">
        <v>0.82013888888888897</v>
      </c>
      <c r="D6583" s="237">
        <v>0</v>
      </c>
      <c r="E6583" s="237">
        <v>0</v>
      </c>
      <c r="F6583" s="237">
        <v>0</v>
      </c>
      <c r="G6583" s="237">
        <v>0</v>
      </c>
      <c r="H6583" s="237">
        <v>0</v>
      </c>
      <c r="I6583" s="237">
        <v>0</v>
      </c>
      <c r="J6583" s="237">
        <v>0</v>
      </c>
    </row>
    <row r="6584" spans="1:10" s="225" customFormat="1">
      <c r="A6584" s="222" t="s">
        <v>179</v>
      </c>
      <c r="B6584" s="222" t="s">
        <v>12</v>
      </c>
      <c r="C6584" s="236">
        <v>0.82083333333333297</v>
      </c>
      <c r="D6584" s="237">
        <v>0</v>
      </c>
      <c r="E6584" s="237">
        <v>0</v>
      </c>
      <c r="F6584" s="237">
        <v>0</v>
      </c>
      <c r="G6584" s="237">
        <v>0</v>
      </c>
      <c r="H6584" s="237">
        <v>0</v>
      </c>
      <c r="I6584" s="237">
        <v>0</v>
      </c>
      <c r="J6584" s="237">
        <v>0</v>
      </c>
    </row>
    <row r="6585" spans="1:10" s="225" customFormat="1">
      <c r="A6585" s="222" t="s">
        <v>179</v>
      </c>
      <c r="B6585" s="222" t="s">
        <v>12</v>
      </c>
      <c r="C6585" s="236">
        <v>0.82152777777777797</v>
      </c>
      <c r="D6585" s="237">
        <v>0</v>
      </c>
      <c r="E6585" s="237">
        <v>0</v>
      </c>
      <c r="F6585" s="237">
        <v>0</v>
      </c>
      <c r="G6585" s="237">
        <v>0</v>
      </c>
      <c r="H6585" s="237">
        <v>0</v>
      </c>
      <c r="I6585" s="237">
        <v>0</v>
      </c>
      <c r="J6585" s="237">
        <v>0</v>
      </c>
    </row>
    <row r="6586" spans="1:10" s="229" customFormat="1">
      <c r="A6586" s="226" t="s">
        <v>179</v>
      </c>
      <c r="B6586" s="226" t="s">
        <v>12</v>
      </c>
      <c r="C6586" s="238">
        <v>0.82222222222222197</v>
      </c>
      <c r="D6586" s="239">
        <v>0</v>
      </c>
      <c r="E6586" s="239">
        <v>0</v>
      </c>
      <c r="F6586" s="239">
        <v>0</v>
      </c>
      <c r="G6586" s="239">
        <v>0</v>
      </c>
      <c r="H6586" s="239">
        <v>0</v>
      </c>
      <c r="I6586" s="239">
        <v>0</v>
      </c>
      <c r="J6586" s="239">
        <v>0</v>
      </c>
    </row>
    <row r="6587" spans="1:10" s="225" customFormat="1">
      <c r="A6587" s="222" t="s">
        <v>179</v>
      </c>
      <c r="B6587" s="222" t="s">
        <v>12</v>
      </c>
      <c r="C6587" s="236">
        <v>0.82291666666666596</v>
      </c>
      <c r="D6587" s="237">
        <v>0</v>
      </c>
      <c r="E6587" s="237">
        <v>0</v>
      </c>
      <c r="F6587" s="237">
        <v>0</v>
      </c>
      <c r="G6587" s="237">
        <v>0</v>
      </c>
      <c r="H6587" s="237">
        <v>0</v>
      </c>
      <c r="I6587" s="237">
        <v>0</v>
      </c>
      <c r="J6587" s="237">
        <v>0</v>
      </c>
    </row>
    <row r="6588" spans="1:10" s="225" customFormat="1">
      <c r="A6588" s="222" t="s">
        <v>179</v>
      </c>
      <c r="B6588" s="222" t="s">
        <v>12</v>
      </c>
      <c r="C6588" s="236">
        <v>0.82361111111111096</v>
      </c>
      <c r="D6588" s="237">
        <v>0</v>
      </c>
      <c r="E6588" s="237">
        <v>0</v>
      </c>
      <c r="F6588" s="237">
        <v>0</v>
      </c>
      <c r="G6588" s="237">
        <v>0</v>
      </c>
      <c r="H6588" s="237">
        <v>0</v>
      </c>
      <c r="I6588" s="237">
        <v>0</v>
      </c>
      <c r="J6588" s="237">
        <v>0</v>
      </c>
    </row>
    <row r="6589" spans="1:10" s="225" customFormat="1">
      <c r="A6589" s="222" t="s">
        <v>179</v>
      </c>
      <c r="B6589" s="222" t="s">
        <v>12</v>
      </c>
      <c r="C6589" s="236">
        <v>0.82430555555555496</v>
      </c>
      <c r="D6589" s="237">
        <v>0</v>
      </c>
      <c r="E6589" s="237">
        <v>0</v>
      </c>
      <c r="F6589" s="237">
        <v>0</v>
      </c>
      <c r="G6589" s="237">
        <v>0</v>
      </c>
      <c r="H6589" s="237">
        <v>0</v>
      </c>
      <c r="I6589" s="237">
        <v>0</v>
      </c>
      <c r="J6589" s="237">
        <v>0</v>
      </c>
    </row>
    <row r="6590" spans="1:10" s="225" customFormat="1">
      <c r="A6590" s="222" t="s">
        <v>179</v>
      </c>
      <c r="B6590" s="222" t="s">
        <v>12</v>
      </c>
      <c r="C6590" s="236">
        <v>0.82499999999999996</v>
      </c>
      <c r="D6590" s="237">
        <v>0</v>
      </c>
      <c r="E6590" s="237">
        <v>0</v>
      </c>
      <c r="F6590" s="237">
        <v>0</v>
      </c>
      <c r="G6590" s="237">
        <v>0</v>
      </c>
      <c r="H6590" s="237">
        <v>0</v>
      </c>
      <c r="I6590" s="237">
        <v>0</v>
      </c>
      <c r="J6590" s="237">
        <v>0</v>
      </c>
    </row>
    <row r="6591" spans="1:10" s="225" customFormat="1">
      <c r="A6591" s="222" t="s">
        <v>179</v>
      </c>
      <c r="B6591" s="222" t="s">
        <v>12</v>
      </c>
      <c r="C6591" s="236">
        <v>0.82569444444444395</v>
      </c>
      <c r="D6591" s="237">
        <v>0</v>
      </c>
      <c r="E6591" s="237">
        <v>0</v>
      </c>
      <c r="F6591" s="237">
        <v>0</v>
      </c>
      <c r="G6591" s="237">
        <v>0</v>
      </c>
      <c r="H6591" s="237">
        <v>0</v>
      </c>
      <c r="I6591" s="237">
        <v>0</v>
      </c>
      <c r="J6591" s="237">
        <v>0</v>
      </c>
    </row>
    <row r="6592" spans="1:10" s="225" customFormat="1">
      <c r="A6592" s="222" t="s">
        <v>179</v>
      </c>
      <c r="B6592" s="222" t="s">
        <v>12</v>
      </c>
      <c r="C6592" s="236">
        <v>0.82638888888888895</v>
      </c>
      <c r="D6592" s="237">
        <v>0</v>
      </c>
      <c r="E6592" s="237">
        <v>0</v>
      </c>
      <c r="F6592" s="237">
        <v>0</v>
      </c>
      <c r="G6592" s="237">
        <v>0</v>
      </c>
      <c r="H6592" s="237">
        <v>0</v>
      </c>
      <c r="I6592" s="237">
        <v>0</v>
      </c>
      <c r="J6592" s="237">
        <v>0</v>
      </c>
    </row>
    <row r="6593" spans="1:10" s="225" customFormat="1">
      <c r="A6593" s="222" t="s">
        <v>179</v>
      </c>
      <c r="B6593" s="222" t="s">
        <v>12</v>
      </c>
      <c r="C6593" s="236">
        <v>0.82708333333333295</v>
      </c>
      <c r="D6593" s="237">
        <v>0</v>
      </c>
      <c r="E6593" s="237">
        <v>0</v>
      </c>
      <c r="F6593" s="237">
        <v>0</v>
      </c>
      <c r="G6593" s="237">
        <v>0</v>
      </c>
      <c r="H6593" s="237">
        <v>0</v>
      </c>
      <c r="I6593" s="237">
        <v>0</v>
      </c>
      <c r="J6593" s="237">
        <v>0</v>
      </c>
    </row>
    <row r="6594" spans="1:10" s="225" customFormat="1">
      <c r="A6594" s="222" t="s">
        <v>179</v>
      </c>
      <c r="B6594" s="222" t="s">
        <v>12</v>
      </c>
      <c r="C6594" s="236">
        <v>0.82777777777777795</v>
      </c>
      <c r="D6594" s="237">
        <v>0</v>
      </c>
      <c r="E6594" s="237">
        <v>0</v>
      </c>
      <c r="F6594" s="237">
        <v>0</v>
      </c>
      <c r="G6594" s="237">
        <v>0</v>
      </c>
      <c r="H6594" s="237">
        <v>0</v>
      </c>
      <c r="I6594" s="237">
        <v>0</v>
      </c>
      <c r="J6594" s="237">
        <v>0</v>
      </c>
    </row>
    <row r="6595" spans="1:10" s="225" customFormat="1">
      <c r="A6595" s="222" t="s">
        <v>179</v>
      </c>
      <c r="B6595" s="222" t="s">
        <v>12</v>
      </c>
      <c r="C6595" s="236">
        <v>0.82847222222222205</v>
      </c>
      <c r="D6595" s="237">
        <v>0</v>
      </c>
      <c r="E6595" s="237">
        <v>0</v>
      </c>
      <c r="F6595" s="237">
        <v>0</v>
      </c>
      <c r="G6595" s="237">
        <v>0</v>
      </c>
      <c r="H6595" s="237">
        <v>0</v>
      </c>
      <c r="I6595" s="237">
        <v>0</v>
      </c>
      <c r="J6595" s="237">
        <v>0</v>
      </c>
    </row>
    <row r="6596" spans="1:10" s="225" customFormat="1">
      <c r="A6596" s="222" t="s">
        <v>179</v>
      </c>
      <c r="B6596" s="222" t="s">
        <v>12</v>
      </c>
      <c r="C6596" s="236">
        <v>0.82916666666666605</v>
      </c>
      <c r="D6596" s="237">
        <v>0</v>
      </c>
      <c r="E6596" s="237">
        <v>0</v>
      </c>
      <c r="F6596" s="237">
        <v>0</v>
      </c>
      <c r="G6596" s="237">
        <v>0</v>
      </c>
      <c r="H6596" s="237">
        <v>0</v>
      </c>
      <c r="I6596" s="237">
        <v>0</v>
      </c>
      <c r="J6596" s="237">
        <v>0</v>
      </c>
    </row>
    <row r="6597" spans="1:10" s="225" customFormat="1">
      <c r="A6597" s="222" t="s">
        <v>179</v>
      </c>
      <c r="B6597" s="222" t="s">
        <v>12</v>
      </c>
      <c r="C6597" s="236">
        <v>0.82986111111111105</v>
      </c>
      <c r="D6597" s="237">
        <v>0</v>
      </c>
      <c r="E6597" s="237">
        <v>0</v>
      </c>
      <c r="F6597" s="237">
        <v>0</v>
      </c>
      <c r="G6597" s="237">
        <v>0</v>
      </c>
      <c r="H6597" s="237">
        <v>0</v>
      </c>
      <c r="I6597" s="237">
        <v>0</v>
      </c>
      <c r="J6597" s="237">
        <v>0</v>
      </c>
    </row>
    <row r="6598" spans="1:10" s="225" customFormat="1">
      <c r="A6598" s="222" t="s">
        <v>179</v>
      </c>
      <c r="B6598" s="222" t="s">
        <v>12</v>
      </c>
      <c r="C6598" s="236">
        <v>0.83055555555555505</v>
      </c>
      <c r="D6598" s="237">
        <v>0</v>
      </c>
      <c r="E6598" s="237">
        <v>0</v>
      </c>
      <c r="F6598" s="237">
        <v>0</v>
      </c>
      <c r="G6598" s="237">
        <v>0</v>
      </c>
      <c r="H6598" s="237">
        <v>0</v>
      </c>
      <c r="I6598" s="237">
        <v>0</v>
      </c>
      <c r="J6598" s="237">
        <v>0</v>
      </c>
    </row>
    <row r="6599" spans="1:10" s="225" customFormat="1">
      <c r="A6599" s="222" t="s">
        <v>179</v>
      </c>
      <c r="B6599" s="222" t="s">
        <v>12</v>
      </c>
      <c r="C6599" s="236">
        <v>0.83125000000000004</v>
      </c>
      <c r="D6599" s="237">
        <v>0</v>
      </c>
      <c r="E6599" s="237">
        <v>0</v>
      </c>
      <c r="F6599" s="237">
        <v>0</v>
      </c>
      <c r="G6599" s="237">
        <v>0</v>
      </c>
      <c r="H6599" s="237">
        <v>0</v>
      </c>
      <c r="I6599" s="237">
        <v>0</v>
      </c>
      <c r="J6599" s="237">
        <v>0</v>
      </c>
    </row>
    <row r="6600" spans="1:10" s="225" customFormat="1">
      <c r="A6600" s="222" t="s">
        <v>179</v>
      </c>
      <c r="B6600" s="222" t="s">
        <v>12</v>
      </c>
      <c r="C6600" s="236">
        <v>0.83194444444444404</v>
      </c>
      <c r="D6600" s="237">
        <v>0</v>
      </c>
      <c r="E6600" s="237">
        <v>0</v>
      </c>
      <c r="F6600" s="237">
        <v>0</v>
      </c>
      <c r="G6600" s="237">
        <v>0</v>
      </c>
      <c r="H6600" s="237">
        <v>0</v>
      </c>
      <c r="I6600" s="237">
        <v>0</v>
      </c>
      <c r="J6600" s="237">
        <v>0</v>
      </c>
    </row>
    <row r="6601" spans="1:10" s="235" customFormat="1" ht="17.5" thickBot="1">
      <c r="A6601" s="232" t="s">
        <v>179</v>
      </c>
      <c r="B6601" s="232" t="s">
        <v>12</v>
      </c>
      <c r="C6601" s="240">
        <v>0.83263888888888904</v>
      </c>
      <c r="D6601" s="241">
        <v>0</v>
      </c>
      <c r="E6601" s="241">
        <v>0</v>
      </c>
      <c r="F6601" s="241">
        <v>0</v>
      </c>
      <c r="G6601" s="241">
        <v>0</v>
      </c>
      <c r="H6601" s="241">
        <v>0</v>
      </c>
      <c r="I6601" s="241">
        <v>0</v>
      </c>
      <c r="J6601" s="241">
        <v>0</v>
      </c>
    </row>
    <row r="6602" spans="1:10" s="225" customFormat="1">
      <c r="A6602" s="222" t="s">
        <v>179</v>
      </c>
      <c r="B6602" s="222" t="s">
        <v>36</v>
      </c>
      <c r="C6602" s="236">
        <v>0.66666666666666663</v>
      </c>
      <c r="D6602" s="237">
        <v>0</v>
      </c>
      <c r="E6602" s="237">
        <v>0</v>
      </c>
      <c r="F6602" s="237">
        <v>0</v>
      </c>
      <c r="G6602" s="237">
        <v>0</v>
      </c>
      <c r="H6602" s="237">
        <v>0</v>
      </c>
      <c r="I6602" s="237">
        <v>0</v>
      </c>
      <c r="J6602" s="237">
        <v>0</v>
      </c>
    </row>
    <row r="6603" spans="1:10" s="225" customFormat="1">
      <c r="A6603" s="222" t="s">
        <v>179</v>
      </c>
      <c r="B6603" s="222" t="s">
        <v>36</v>
      </c>
      <c r="C6603" s="236">
        <v>0.66736111111111107</v>
      </c>
      <c r="D6603" s="237">
        <v>0</v>
      </c>
      <c r="E6603" s="237">
        <v>0</v>
      </c>
      <c r="F6603" s="237">
        <v>0</v>
      </c>
      <c r="G6603" s="237">
        <v>0</v>
      </c>
      <c r="H6603" s="237">
        <v>0</v>
      </c>
      <c r="I6603" s="237">
        <v>0</v>
      </c>
      <c r="J6603" s="237">
        <v>0</v>
      </c>
    </row>
    <row r="6604" spans="1:10" s="225" customFormat="1">
      <c r="A6604" s="222" t="s">
        <v>179</v>
      </c>
      <c r="B6604" s="222" t="s">
        <v>36</v>
      </c>
      <c r="C6604" s="236">
        <v>0.66805555555555596</v>
      </c>
      <c r="D6604" s="237">
        <v>0</v>
      </c>
      <c r="E6604" s="237">
        <v>0</v>
      </c>
      <c r="F6604" s="237">
        <v>0</v>
      </c>
      <c r="G6604" s="237">
        <v>0</v>
      </c>
      <c r="H6604" s="237">
        <v>0</v>
      </c>
      <c r="I6604" s="237">
        <v>0</v>
      </c>
      <c r="J6604" s="237">
        <v>0</v>
      </c>
    </row>
    <row r="6605" spans="1:10" s="225" customFormat="1">
      <c r="A6605" s="222" t="s">
        <v>179</v>
      </c>
      <c r="B6605" s="222" t="s">
        <v>36</v>
      </c>
      <c r="C6605" s="236">
        <v>0.66874999999999996</v>
      </c>
      <c r="D6605" s="237">
        <v>0</v>
      </c>
      <c r="E6605" s="237">
        <v>0</v>
      </c>
      <c r="F6605" s="237">
        <v>0</v>
      </c>
      <c r="G6605" s="237">
        <v>0</v>
      </c>
      <c r="H6605" s="237">
        <v>0</v>
      </c>
      <c r="I6605" s="237">
        <v>0</v>
      </c>
      <c r="J6605" s="237">
        <v>0</v>
      </c>
    </row>
    <row r="6606" spans="1:10" s="225" customFormat="1">
      <c r="A6606" s="222" t="s">
        <v>179</v>
      </c>
      <c r="B6606" s="222" t="s">
        <v>36</v>
      </c>
      <c r="C6606" s="236">
        <v>0.66944444444444395</v>
      </c>
      <c r="D6606" s="237">
        <v>0</v>
      </c>
      <c r="E6606" s="237">
        <v>0</v>
      </c>
      <c r="F6606" s="237">
        <v>0</v>
      </c>
      <c r="G6606" s="237">
        <v>0</v>
      </c>
      <c r="H6606" s="237">
        <v>0</v>
      </c>
      <c r="I6606" s="237">
        <v>0</v>
      </c>
      <c r="J6606" s="237">
        <v>0</v>
      </c>
    </row>
    <row r="6607" spans="1:10" s="225" customFormat="1">
      <c r="A6607" s="222" t="s">
        <v>179</v>
      </c>
      <c r="B6607" s="222" t="s">
        <v>36</v>
      </c>
      <c r="C6607" s="236">
        <v>0.67013888888888895</v>
      </c>
      <c r="D6607" s="237">
        <v>0</v>
      </c>
      <c r="E6607" s="237">
        <v>0</v>
      </c>
      <c r="F6607" s="237">
        <v>0</v>
      </c>
      <c r="G6607" s="237">
        <v>0</v>
      </c>
      <c r="H6607" s="237">
        <v>0</v>
      </c>
      <c r="I6607" s="237">
        <v>0</v>
      </c>
      <c r="J6607" s="237">
        <v>0</v>
      </c>
    </row>
    <row r="6608" spans="1:10" s="225" customFormat="1">
      <c r="A6608" s="222" t="s">
        <v>179</v>
      </c>
      <c r="B6608" s="222" t="s">
        <v>36</v>
      </c>
      <c r="C6608" s="236">
        <v>0.67083333333333295</v>
      </c>
      <c r="D6608" s="237">
        <v>0</v>
      </c>
      <c r="E6608" s="237">
        <v>0</v>
      </c>
      <c r="F6608" s="237">
        <v>0</v>
      </c>
      <c r="G6608" s="237">
        <v>0</v>
      </c>
      <c r="H6608" s="237">
        <v>0</v>
      </c>
      <c r="I6608" s="237">
        <v>0</v>
      </c>
      <c r="J6608" s="237">
        <v>0</v>
      </c>
    </row>
    <row r="6609" spans="1:10" s="225" customFormat="1">
      <c r="A6609" s="222" t="s">
        <v>179</v>
      </c>
      <c r="B6609" s="222" t="s">
        <v>36</v>
      </c>
      <c r="C6609" s="236">
        <v>0.67152777777777795</v>
      </c>
      <c r="D6609" s="237">
        <v>0</v>
      </c>
      <c r="E6609" s="237">
        <v>0</v>
      </c>
      <c r="F6609" s="237">
        <v>0</v>
      </c>
      <c r="G6609" s="237">
        <v>0</v>
      </c>
      <c r="H6609" s="237">
        <v>0</v>
      </c>
      <c r="I6609" s="237">
        <v>0</v>
      </c>
      <c r="J6609" s="237">
        <v>0</v>
      </c>
    </row>
    <row r="6610" spans="1:10" s="225" customFormat="1">
      <c r="A6610" s="222" t="s">
        <v>179</v>
      </c>
      <c r="B6610" s="222" t="s">
        <v>36</v>
      </c>
      <c r="C6610" s="236">
        <v>0.67222222222222205</v>
      </c>
      <c r="D6610" s="237">
        <v>0</v>
      </c>
      <c r="E6610" s="237">
        <v>0</v>
      </c>
      <c r="F6610" s="237">
        <v>0</v>
      </c>
      <c r="G6610" s="237">
        <v>0</v>
      </c>
      <c r="H6610" s="237">
        <v>0</v>
      </c>
      <c r="I6610" s="237">
        <v>0</v>
      </c>
      <c r="J6610" s="237">
        <v>0</v>
      </c>
    </row>
    <row r="6611" spans="1:10" s="225" customFormat="1">
      <c r="A6611" s="222" t="s">
        <v>179</v>
      </c>
      <c r="B6611" s="222" t="s">
        <v>36</v>
      </c>
      <c r="C6611" s="236">
        <v>0.67291666666666705</v>
      </c>
      <c r="D6611" s="237">
        <v>0</v>
      </c>
      <c r="E6611" s="237">
        <v>0</v>
      </c>
      <c r="F6611" s="237">
        <v>0</v>
      </c>
      <c r="G6611" s="237">
        <v>0</v>
      </c>
      <c r="H6611" s="237">
        <v>0</v>
      </c>
      <c r="I6611" s="237">
        <v>0</v>
      </c>
      <c r="J6611" s="237">
        <v>0</v>
      </c>
    </row>
    <row r="6612" spans="1:10" s="225" customFormat="1">
      <c r="A6612" s="222" t="s">
        <v>179</v>
      </c>
      <c r="B6612" s="222" t="s">
        <v>36</v>
      </c>
      <c r="C6612" s="236">
        <v>0.67361111111111105</v>
      </c>
      <c r="D6612" s="237">
        <v>0</v>
      </c>
      <c r="E6612" s="237">
        <v>0</v>
      </c>
      <c r="F6612" s="237">
        <v>0</v>
      </c>
      <c r="G6612" s="237">
        <v>0</v>
      </c>
      <c r="H6612" s="237">
        <v>0</v>
      </c>
      <c r="I6612" s="237">
        <v>0</v>
      </c>
      <c r="J6612" s="237">
        <v>0</v>
      </c>
    </row>
    <row r="6613" spans="1:10" s="225" customFormat="1">
      <c r="A6613" s="222" t="s">
        <v>179</v>
      </c>
      <c r="B6613" s="222" t="s">
        <v>36</v>
      </c>
      <c r="C6613" s="236">
        <v>0.67430555555555505</v>
      </c>
      <c r="D6613" s="237">
        <v>0</v>
      </c>
      <c r="E6613" s="237">
        <v>0</v>
      </c>
      <c r="F6613" s="237">
        <v>0</v>
      </c>
      <c r="G6613" s="237">
        <v>0</v>
      </c>
      <c r="H6613" s="237">
        <v>0</v>
      </c>
      <c r="I6613" s="237">
        <v>0</v>
      </c>
      <c r="J6613" s="237">
        <v>0</v>
      </c>
    </row>
    <row r="6614" spans="1:10" s="225" customFormat="1">
      <c r="A6614" s="222" t="s">
        <v>179</v>
      </c>
      <c r="B6614" s="222" t="s">
        <v>36</v>
      </c>
      <c r="C6614" s="236">
        <v>0.67500000000000004</v>
      </c>
      <c r="D6614" s="237">
        <v>0</v>
      </c>
      <c r="E6614" s="237">
        <v>0</v>
      </c>
      <c r="F6614" s="237">
        <v>0</v>
      </c>
      <c r="G6614" s="237">
        <v>0</v>
      </c>
      <c r="H6614" s="237">
        <v>0</v>
      </c>
      <c r="I6614" s="237">
        <v>0</v>
      </c>
      <c r="J6614" s="237">
        <v>0</v>
      </c>
    </row>
    <row r="6615" spans="1:10" s="225" customFormat="1">
      <c r="A6615" s="222" t="s">
        <v>179</v>
      </c>
      <c r="B6615" s="222" t="s">
        <v>36</v>
      </c>
      <c r="C6615" s="236">
        <v>0.67569444444444404</v>
      </c>
      <c r="D6615" s="237">
        <v>0</v>
      </c>
      <c r="E6615" s="237">
        <v>0</v>
      </c>
      <c r="F6615" s="237">
        <v>0</v>
      </c>
      <c r="G6615" s="237">
        <v>0</v>
      </c>
      <c r="H6615" s="237">
        <v>0</v>
      </c>
      <c r="I6615" s="237">
        <v>0</v>
      </c>
      <c r="J6615" s="237">
        <v>0</v>
      </c>
    </row>
    <row r="6616" spans="1:10" s="229" customFormat="1">
      <c r="A6616" s="226" t="s">
        <v>179</v>
      </c>
      <c r="B6616" s="226" t="s">
        <v>36</v>
      </c>
      <c r="C6616" s="238">
        <v>0.67638888888888904</v>
      </c>
      <c r="D6616" s="239">
        <v>0</v>
      </c>
      <c r="E6616" s="239">
        <v>0</v>
      </c>
      <c r="F6616" s="239">
        <v>0</v>
      </c>
      <c r="G6616" s="239">
        <v>0</v>
      </c>
      <c r="H6616" s="239">
        <v>0</v>
      </c>
      <c r="I6616" s="239">
        <v>0</v>
      </c>
      <c r="J6616" s="239">
        <v>0</v>
      </c>
    </row>
    <row r="6617" spans="1:10" s="225" customFormat="1">
      <c r="A6617" s="222" t="s">
        <v>179</v>
      </c>
      <c r="B6617" s="222" t="s">
        <v>36</v>
      </c>
      <c r="C6617" s="236">
        <v>0.67708333333333304</v>
      </c>
      <c r="D6617" s="237">
        <v>0</v>
      </c>
      <c r="E6617" s="237">
        <v>0</v>
      </c>
      <c r="F6617" s="237">
        <v>0</v>
      </c>
      <c r="G6617" s="237">
        <v>0</v>
      </c>
      <c r="H6617" s="237">
        <v>0</v>
      </c>
      <c r="I6617" s="237">
        <v>0</v>
      </c>
      <c r="J6617" s="237">
        <v>0</v>
      </c>
    </row>
    <row r="6618" spans="1:10" s="225" customFormat="1">
      <c r="A6618" s="222" t="s">
        <v>179</v>
      </c>
      <c r="B6618" s="222" t="s">
        <v>36</v>
      </c>
      <c r="C6618" s="236">
        <v>0.67777777777777803</v>
      </c>
      <c r="D6618" s="237">
        <v>0</v>
      </c>
      <c r="E6618" s="237">
        <v>0</v>
      </c>
      <c r="F6618" s="237">
        <v>0</v>
      </c>
      <c r="G6618" s="237">
        <v>0</v>
      </c>
      <c r="H6618" s="237">
        <v>0</v>
      </c>
      <c r="I6618" s="237">
        <v>0</v>
      </c>
      <c r="J6618" s="237">
        <v>0</v>
      </c>
    </row>
    <row r="6619" spans="1:10" s="225" customFormat="1">
      <c r="A6619" s="222" t="s">
        <v>179</v>
      </c>
      <c r="B6619" s="222" t="s">
        <v>36</v>
      </c>
      <c r="C6619" s="236">
        <v>0.67847222222222203</v>
      </c>
      <c r="D6619" s="237">
        <v>0</v>
      </c>
      <c r="E6619" s="237">
        <v>0</v>
      </c>
      <c r="F6619" s="237">
        <v>0</v>
      </c>
      <c r="G6619" s="237">
        <v>0</v>
      </c>
      <c r="H6619" s="237">
        <v>0</v>
      </c>
      <c r="I6619" s="237">
        <v>0</v>
      </c>
      <c r="J6619" s="237">
        <v>0</v>
      </c>
    </row>
    <row r="6620" spans="1:10" s="225" customFormat="1">
      <c r="A6620" s="222" t="s">
        <v>179</v>
      </c>
      <c r="B6620" s="222" t="s">
        <v>36</v>
      </c>
      <c r="C6620" s="236">
        <v>0.67916666666666703</v>
      </c>
      <c r="D6620" s="237">
        <v>0</v>
      </c>
      <c r="E6620" s="237">
        <v>0</v>
      </c>
      <c r="F6620" s="237">
        <v>0</v>
      </c>
      <c r="G6620" s="237">
        <v>0</v>
      </c>
      <c r="H6620" s="237">
        <v>0</v>
      </c>
      <c r="I6620" s="237">
        <v>0</v>
      </c>
      <c r="J6620" s="237">
        <v>0</v>
      </c>
    </row>
    <row r="6621" spans="1:10" s="225" customFormat="1">
      <c r="A6621" s="222" t="s">
        <v>179</v>
      </c>
      <c r="B6621" s="222" t="s">
        <v>36</v>
      </c>
      <c r="C6621" s="236">
        <v>0.67986111111111103</v>
      </c>
      <c r="D6621" s="237">
        <v>0</v>
      </c>
      <c r="E6621" s="237">
        <v>0</v>
      </c>
      <c r="F6621" s="237">
        <v>0</v>
      </c>
      <c r="G6621" s="237">
        <v>0</v>
      </c>
      <c r="H6621" s="237">
        <v>0</v>
      </c>
      <c r="I6621" s="237">
        <v>0</v>
      </c>
      <c r="J6621" s="237">
        <v>0</v>
      </c>
    </row>
    <row r="6622" spans="1:10" s="225" customFormat="1">
      <c r="A6622" s="222" t="s">
        <v>179</v>
      </c>
      <c r="B6622" s="222" t="s">
        <v>36</v>
      </c>
      <c r="C6622" s="236">
        <v>0.68055555555555503</v>
      </c>
      <c r="D6622" s="237">
        <v>0</v>
      </c>
      <c r="E6622" s="237">
        <v>0</v>
      </c>
      <c r="F6622" s="237">
        <v>0</v>
      </c>
      <c r="G6622" s="237">
        <v>0</v>
      </c>
      <c r="H6622" s="237">
        <v>0</v>
      </c>
      <c r="I6622" s="237">
        <v>0</v>
      </c>
      <c r="J6622" s="237">
        <v>0</v>
      </c>
    </row>
    <row r="6623" spans="1:10" s="225" customFormat="1">
      <c r="A6623" s="222" t="s">
        <v>179</v>
      </c>
      <c r="B6623" s="222" t="s">
        <v>36</v>
      </c>
      <c r="C6623" s="236">
        <v>0.68125000000000002</v>
      </c>
      <c r="D6623" s="237">
        <v>0</v>
      </c>
      <c r="E6623" s="237">
        <v>0</v>
      </c>
      <c r="F6623" s="237">
        <v>0</v>
      </c>
      <c r="G6623" s="237">
        <v>0</v>
      </c>
      <c r="H6623" s="237">
        <v>0</v>
      </c>
      <c r="I6623" s="237">
        <v>0</v>
      </c>
      <c r="J6623" s="237">
        <v>0</v>
      </c>
    </row>
    <row r="6624" spans="1:10" s="225" customFormat="1">
      <c r="A6624" s="222" t="s">
        <v>179</v>
      </c>
      <c r="B6624" s="222" t="s">
        <v>36</v>
      </c>
      <c r="C6624" s="236">
        <v>0.68194444444444402</v>
      </c>
      <c r="D6624" s="237">
        <v>0</v>
      </c>
      <c r="E6624" s="237">
        <v>0</v>
      </c>
      <c r="F6624" s="237">
        <v>0</v>
      </c>
      <c r="G6624" s="237">
        <v>0</v>
      </c>
      <c r="H6624" s="237">
        <v>0</v>
      </c>
      <c r="I6624" s="237">
        <v>0</v>
      </c>
      <c r="J6624" s="237">
        <v>0</v>
      </c>
    </row>
    <row r="6625" spans="1:10" s="225" customFormat="1">
      <c r="A6625" s="222" t="s">
        <v>179</v>
      </c>
      <c r="B6625" s="222" t="s">
        <v>36</v>
      </c>
      <c r="C6625" s="236">
        <v>0.68263888888888902</v>
      </c>
      <c r="D6625" s="237">
        <v>0</v>
      </c>
      <c r="E6625" s="237">
        <v>0</v>
      </c>
      <c r="F6625" s="237">
        <v>0</v>
      </c>
      <c r="G6625" s="237">
        <v>0</v>
      </c>
      <c r="H6625" s="237">
        <v>0</v>
      </c>
      <c r="I6625" s="237">
        <v>0</v>
      </c>
      <c r="J6625" s="237">
        <v>0</v>
      </c>
    </row>
    <row r="6626" spans="1:10" s="225" customFormat="1">
      <c r="A6626" s="222" t="s">
        <v>179</v>
      </c>
      <c r="B6626" s="222" t="s">
        <v>36</v>
      </c>
      <c r="C6626" s="236">
        <v>0.68333333333333302</v>
      </c>
      <c r="D6626" s="237">
        <v>0</v>
      </c>
      <c r="E6626" s="237">
        <v>0</v>
      </c>
      <c r="F6626" s="237">
        <v>0</v>
      </c>
      <c r="G6626" s="237">
        <v>0</v>
      </c>
      <c r="H6626" s="237">
        <v>0</v>
      </c>
      <c r="I6626" s="237">
        <v>0</v>
      </c>
      <c r="J6626" s="237">
        <v>0</v>
      </c>
    </row>
    <row r="6627" spans="1:10" s="225" customFormat="1">
      <c r="A6627" s="222" t="s">
        <v>179</v>
      </c>
      <c r="B6627" s="222" t="s">
        <v>36</v>
      </c>
      <c r="C6627" s="236">
        <v>0.68402777777777801</v>
      </c>
      <c r="D6627" s="237">
        <v>0</v>
      </c>
      <c r="E6627" s="237">
        <v>0</v>
      </c>
      <c r="F6627" s="237">
        <v>0</v>
      </c>
      <c r="G6627" s="237">
        <v>0</v>
      </c>
      <c r="H6627" s="237">
        <v>0</v>
      </c>
      <c r="I6627" s="237">
        <v>0</v>
      </c>
      <c r="J6627" s="237">
        <v>0</v>
      </c>
    </row>
    <row r="6628" spans="1:10" s="225" customFormat="1">
      <c r="A6628" s="222" t="s">
        <v>179</v>
      </c>
      <c r="B6628" s="222" t="s">
        <v>36</v>
      </c>
      <c r="C6628" s="236">
        <v>0.68472222222222201</v>
      </c>
      <c r="D6628" s="237">
        <v>0</v>
      </c>
      <c r="E6628" s="237">
        <v>0</v>
      </c>
      <c r="F6628" s="237">
        <v>0</v>
      </c>
      <c r="G6628" s="237">
        <v>0</v>
      </c>
      <c r="H6628" s="237">
        <v>0</v>
      </c>
      <c r="I6628" s="237">
        <v>0</v>
      </c>
      <c r="J6628" s="237">
        <v>0</v>
      </c>
    </row>
    <row r="6629" spans="1:10" s="225" customFormat="1">
      <c r="A6629" s="222" t="s">
        <v>179</v>
      </c>
      <c r="B6629" s="222" t="s">
        <v>36</v>
      </c>
      <c r="C6629" s="236">
        <v>0.68541666666666701</v>
      </c>
      <c r="D6629" s="237">
        <v>0</v>
      </c>
      <c r="E6629" s="237">
        <v>0</v>
      </c>
      <c r="F6629" s="237">
        <v>0</v>
      </c>
      <c r="G6629" s="237">
        <v>0</v>
      </c>
      <c r="H6629" s="237">
        <v>0</v>
      </c>
      <c r="I6629" s="237">
        <v>0</v>
      </c>
      <c r="J6629" s="237">
        <v>0</v>
      </c>
    </row>
    <row r="6630" spans="1:10" s="225" customFormat="1">
      <c r="A6630" s="222" t="s">
        <v>179</v>
      </c>
      <c r="B6630" s="222" t="s">
        <v>36</v>
      </c>
      <c r="C6630" s="236">
        <v>0.68611111111111101</v>
      </c>
      <c r="D6630" s="237">
        <v>0</v>
      </c>
      <c r="E6630" s="237">
        <v>0</v>
      </c>
      <c r="F6630" s="237">
        <v>0</v>
      </c>
      <c r="G6630" s="237">
        <v>0</v>
      </c>
      <c r="H6630" s="237">
        <v>0</v>
      </c>
      <c r="I6630" s="237">
        <v>0</v>
      </c>
      <c r="J6630" s="237">
        <v>0</v>
      </c>
    </row>
    <row r="6631" spans="1:10" s="229" customFormat="1">
      <c r="A6631" s="226" t="s">
        <v>179</v>
      </c>
      <c r="B6631" s="226" t="s">
        <v>36</v>
      </c>
      <c r="C6631" s="238">
        <v>0.686805555555555</v>
      </c>
      <c r="D6631" s="239">
        <v>0</v>
      </c>
      <c r="E6631" s="239">
        <v>0</v>
      </c>
      <c r="F6631" s="239">
        <v>0</v>
      </c>
      <c r="G6631" s="239">
        <v>0</v>
      </c>
      <c r="H6631" s="239">
        <v>0</v>
      </c>
      <c r="I6631" s="239">
        <v>0</v>
      </c>
      <c r="J6631" s="239">
        <v>0</v>
      </c>
    </row>
    <row r="6632" spans="1:10" s="225" customFormat="1">
      <c r="A6632" s="222" t="s">
        <v>179</v>
      </c>
      <c r="B6632" s="222" t="s">
        <v>36</v>
      </c>
      <c r="C6632" s="236">
        <v>0.6875</v>
      </c>
      <c r="D6632" s="237">
        <v>0</v>
      </c>
      <c r="E6632" s="237">
        <v>0</v>
      </c>
      <c r="F6632" s="237">
        <v>0</v>
      </c>
      <c r="G6632" s="237">
        <v>0</v>
      </c>
      <c r="H6632" s="237">
        <v>0</v>
      </c>
      <c r="I6632" s="237">
        <v>0</v>
      </c>
      <c r="J6632" s="237">
        <v>0</v>
      </c>
    </row>
    <row r="6633" spans="1:10" s="225" customFormat="1">
      <c r="A6633" s="222" t="s">
        <v>179</v>
      </c>
      <c r="B6633" s="222" t="s">
        <v>36</v>
      </c>
      <c r="C6633" s="236">
        <v>0.688194444444444</v>
      </c>
      <c r="D6633" s="237">
        <v>0</v>
      </c>
      <c r="E6633" s="237">
        <v>0</v>
      </c>
      <c r="F6633" s="237">
        <v>0</v>
      </c>
      <c r="G6633" s="237">
        <v>0</v>
      </c>
      <c r="H6633" s="237">
        <v>0</v>
      </c>
      <c r="I6633" s="237">
        <v>0</v>
      </c>
      <c r="J6633" s="237">
        <v>0</v>
      </c>
    </row>
    <row r="6634" spans="1:10" s="225" customFormat="1">
      <c r="A6634" s="222" t="s">
        <v>179</v>
      </c>
      <c r="B6634" s="222" t="s">
        <v>36</v>
      </c>
      <c r="C6634" s="236">
        <v>0.68888888888888899</v>
      </c>
      <c r="D6634" s="237">
        <v>0</v>
      </c>
      <c r="E6634" s="237">
        <v>0</v>
      </c>
      <c r="F6634" s="237">
        <v>0</v>
      </c>
      <c r="G6634" s="237">
        <v>0</v>
      </c>
      <c r="H6634" s="237">
        <v>0</v>
      </c>
      <c r="I6634" s="237">
        <v>0</v>
      </c>
      <c r="J6634" s="237">
        <v>0</v>
      </c>
    </row>
    <row r="6635" spans="1:10" s="225" customFormat="1">
      <c r="A6635" s="222" t="s">
        <v>179</v>
      </c>
      <c r="B6635" s="222" t="s">
        <v>36</v>
      </c>
      <c r="C6635" s="236">
        <v>0.68958333333333299</v>
      </c>
      <c r="D6635" s="237">
        <v>0</v>
      </c>
      <c r="E6635" s="237">
        <v>0</v>
      </c>
      <c r="F6635" s="237">
        <v>0</v>
      </c>
      <c r="G6635" s="237">
        <v>0</v>
      </c>
      <c r="H6635" s="237">
        <v>0</v>
      </c>
      <c r="I6635" s="237">
        <v>0</v>
      </c>
      <c r="J6635" s="237">
        <v>0</v>
      </c>
    </row>
    <row r="6636" spans="1:10" s="225" customFormat="1">
      <c r="A6636" s="222" t="s">
        <v>179</v>
      </c>
      <c r="B6636" s="222" t="s">
        <v>36</v>
      </c>
      <c r="C6636" s="236">
        <v>0.69027777777777799</v>
      </c>
      <c r="D6636" s="237">
        <v>0</v>
      </c>
      <c r="E6636" s="237">
        <v>0</v>
      </c>
      <c r="F6636" s="237">
        <v>0</v>
      </c>
      <c r="G6636" s="237">
        <v>0</v>
      </c>
      <c r="H6636" s="237">
        <v>0</v>
      </c>
      <c r="I6636" s="237">
        <v>0</v>
      </c>
      <c r="J6636" s="237">
        <v>0</v>
      </c>
    </row>
    <row r="6637" spans="1:10" s="225" customFormat="1">
      <c r="A6637" s="222" t="s">
        <v>179</v>
      </c>
      <c r="B6637" s="222" t="s">
        <v>36</v>
      </c>
      <c r="C6637" s="236">
        <v>0.69097222222222199</v>
      </c>
      <c r="D6637" s="237">
        <v>0</v>
      </c>
      <c r="E6637" s="237">
        <v>0</v>
      </c>
      <c r="F6637" s="237">
        <v>0</v>
      </c>
      <c r="G6637" s="237">
        <v>0</v>
      </c>
      <c r="H6637" s="237">
        <v>0</v>
      </c>
      <c r="I6637" s="237">
        <v>0</v>
      </c>
      <c r="J6637" s="237">
        <v>0</v>
      </c>
    </row>
    <row r="6638" spans="1:10" s="225" customFormat="1">
      <c r="A6638" s="222" t="s">
        <v>179</v>
      </c>
      <c r="B6638" s="222" t="s">
        <v>36</v>
      </c>
      <c r="C6638" s="236">
        <v>0.69166666666666698</v>
      </c>
      <c r="D6638" s="237">
        <v>0</v>
      </c>
      <c r="E6638" s="237">
        <v>0</v>
      </c>
      <c r="F6638" s="237">
        <v>0</v>
      </c>
      <c r="G6638" s="237">
        <v>0</v>
      </c>
      <c r="H6638" s="237">
        <v>0</v>
      </c>
      <c r="I6638" s="237">
        <v>0</v>
      </c>
      <c r="J6638" s="237">
        <v>0</v>
      </c>
    </row>
    <row r="6639" spans="1:10" s="225" customFormat="1">
      <c r="A6639" s="222" t="s">
        <v>179</v>
      </c>
      <c r="B6639" s="222" t="s">
        <v>36</v>
      </c>
      <c r="C6639" s="236">
        <v>0.69236111111111098</v>
      </c>
      <c r="D6639" s="237">
        <v>0</v>
      </c>
      <c r="E6639" s="237">
        <v>0</v>
      </c>
      <c r="F6639" s="237">
        <v>0</v>
      </c>
      <c r="G6639" s="237">
        <v>0</v>
      </c>
      <c r="H6639" s="237">
        <v>0</v>
      </c>
      <c r="I6639" s="237">
        <v>0</v>
      </c>
      <c r="J6639" s="237">
        <v>0</v>
      </c>
    </row>
    <row r="6640" spans="1:10" s="225" customFormat="1">
      <c r="A6640" s="222" t="s">
        <v>179</v>
      </c>
      <c r="B6640" s="222" t="s">
        <v>36</v>
      </c>
      <c r="C6640" s="236">
        <v>0.69305555555555498</v>
      </c>
      <c r="D6640" s="237">
        <v>0</v>
      </c>
      <c r="E6640" s="237">
        <v>0</v>
      </c>
      <c r="F6640" s="237">
        <v>0</v>
      </c>
      <c r="G6640" s="237">
        <v>0</v>
      </c>
      <c r="H6640" s="237">
        <v>0</v>
      </c>
      <c r="I6640" s="237">
        <v>0</v>
      </c>
      <c r="J6640" s="237">
        <v>0</v>
      </c>
    </row>
    <row r="6641" spans="1:10" s="225" customFormat="1">
      <c r="A6641" s="222" t="s">
        <v>179</v>
      </c>
      <c r="B6641" s="222" t="s">
        <v>36</v>
      </c>
      <c r="C6641" s="236">
        <v>0.69374999999999998</v>
      </c>
      <c r="D6641" s="237">
        <v>0</v>
      </c>
      <c r="E6641" s="237">
        <v>0</v>
      </c>
      <c r="F6641" s="237">
        <v>0</v>
      </c>
      <c r="G6641" s="237">
        <v>0</v>
      </c>
      <c r="H6641" s="237">
        <v>0</v>
      </c>
      <c r="I6641" s="237">
        <v>0</v>
      </c>
      <c r="J6641" s="237">
        <v>0</v>
      </c>
    </row>
    <row r="6642" spans="1:10" s="225" customFormat="1">
      <c r="A6642" s="222" t="s">
        <v>179</v>
      </c>
      <c r="B6642" s="222" t="s">
        <v>36</v>
      </c>
      <c r="C6642" s="236">
        <v>0.69444444444444398</v>
      </c>
      <c r="D6642" s="237">
        <v>0</v>
      </c>
      <c r="E6642" s="237">
        <v>0</v>
      </c>
      <c r="F6642" s="237">
        <v>0</v>
      </c>
      <c r="G6642" s="237">
        <v>0</v>
      </c>
      <c r="H6642" s="237">
        <v>0</v>
      </c>
      <c r="I6642" s="237">
        <v>0</v>
      </c>
      <c r="J6642" s="237">
        <v>0</v>
      </c>
    </row>
    <row r="6643" spans="1:10" s="225" customFormat="1">
      <c r="A6643" s="222" t="s">
        <v>179</v>
      </c>
      <c r="B6643" s="222" t="s">
        <v>36</v>
      </c>
      <c r="C6643" s="236">
        <v>0.69513888888888897</v>
      </c>
      <c r="D6643" s="237">
        <v>0</v>
      </c>
      <c r="E6643" s="237">
        <v>0</v>
      </c>
      <c r="F6643" s="237">
        <v>0</v>
      </c>
      <c r="G6643" s="237">
        <v>0</v>
      </c>
      <c r="H6643" s="237">
        <v>0</v>
      </c>
      <c r="I6643" s="237">
        <v>0</v>
      </c>
      <c r="J6643" s="237">
        <v>0</v>
      </c>
    </row>
    <row r="6644" spans="1:10" s="225" customFormat="1">
      <c r="A6644" s="222" t="s">
        <v>179</v>
      </c>
      <c r="B6644" s="222" t="s">
        <v>36</v>
      </c>
      <c r="C6644" s="236">
        <v>0.69583333333333297</v>
      </c>
      <c r="D6644" s="237">
        <v>0</v>
      </c>
      <c r="E6644" s="237">
        <v>0</v>
      </c>
      <c r="F6644" s="237">
        <v>0</v>
      </c>
      <c r="G6644" s="237">
        <v>0</v>
      </c>
      <c r="H6644" s="237">
        <v>0</v>
      </c>
      <c r="I6644" s="237">
        <v>0</v>
      </c>
      <c r="J6644" s="237">
        <v>0</v>
      </c>
    </row>
    <row r="6645" spans="1:10" s="225" customFormat="1">
      <c r="A6645" s="222" t="s">
        <v>179</v>
      </c>
      <c r="B6645" s="222" t="s">
        <v>36</v>
      </c>
      <c r="C6645" s="236">
        <v>0.69652777777777797</v>
      </c>
      <c r="D6645" s="237">
        <v>0</v>
      </c>
      <c r="E6645" s="237">
        <v>0</v>
      </c>
      <c r="F6645" s="237">
        <v>0</v>
      </c>
      <c r="G6645" s="237">
        <v>0</v>
      </c>
      <c r="H6645" s="237">
        <v>0</v>
      </c>
      <c r="I6645" s="237">
        <v>0</v>
      </c>
      <c r="J6645" s="237">
        <v>0</v>
      </c>
    </row>
    <row r="6646" spans="1:10" s="229" customFormat="1">
      <c r="A6646" s="226" t="s">
        <v>179</v>
      </c>
      <c r="B6646" s="226" t="s">
        <v>36</v>
      </c>
      <c r="C6646" s="238">
        <v>0.69722222222222197</v>
      </c>
      <c r="D6646" s="239">
        <v>0</v>
      </c>
      <c r="E6646" s="239">
        <v>0</v>
      </c>
      <c r="F6646" s="239">
        <v>0</v>
      </c>
      <c r="G6646" s="239">
        <v>0</v>
      </c>
      <c r="H6646" s="239">
        <v>0</v>
      </c>
      <c r="I6646" s="239">
        <v>0</v>
      </c>
      <c r="J6646" s="239">
        <v>0</v>
      </c>
    </row>
    <row r="6647" spans="1:10" s="225" customFormat="1">
      <c r="A6647" s="222" t="s">
        <v>179</v>
      </c>
      <c r="B6647" s="222" t="s">
        <v>36</v>
      </c>
      <c r="C6647" s="236">
        <v>0.69791666666666696</v>
      </c>
      <c r="D6647" s="237">
        <v>0</v>
      </c>
      <c r="E6647" s="237">
        <v>0</v>
      </c>
      <c r="F6647" s="237">
        <v>0</v>
      </c>
      <c r="G6647" s="237">
        <v>0</v>
      </c>
      <c r="H6647" s="237">
        <v>0</v>
      </c>
      <c r="I6647" s="237">
        <v>0</v>
      </c>
      <c r="J6647" s="237">
        <v>0</v>
      </c>
    </row>
    <row r="6648" spans="1:10" s="225" customFormat="1">
      <c r="A6648" s="222" t="s">
        <v>179</v>
      </c>
      <c r="B6648" s="222" t="s">
        <v>36</v>
      </c>
      <c r="C6648" s="236">
        <v>0.69861111111111096</v>
      </c>
      <c r="D6648" s="237">
        <v>0</v>
      </c>
      <c r="E6648" s="237">
        <v>0</v>
      </c>
      <c r="F6648" s="237">
        <v>0</v>
      </c>
      <c r="G6648" s="237">
        <v>0</v>
      </c>
      <c r="H6648" s="237">
        <v>0</v>
      </c>
      <c r="I6648" s="237">
        <v>0</v>
      </c>
      <c r="J6648" s="237">
        <v>0</v>
      </c>
    </row>
    <row r="6649" spans="1:10" s="225" customFormat="1">
      <c r="A6649" s="222" t="s">
        <v>179</v>
      </c>
      <c r="B6649" s="222" t="s">
        <v>36</v>
      </c>
      <c r="C6649" s="236">
        <v>0.69930555555555496</v>
      </c>
      <c r="D6649" s="237">
        <v>0</v>
      </c>
      <c r="E6649" s="237">
        <v>0</v>
      </c>
      <c r="F6649" s="237">
        <v>0</v>
      </c>
      <c r="G6649" s="237">
        <v>0</v>
      </c>
      <c r="H6649" s="237">
        <v>0</v>
      </c>
      <c r="I6649" s="237">
        <v>0</v>
      </c>
      <c r="J6649" s="237">
        <v>0</v>
      </c>
    </row>
    <row r="6650" spans="1:10" s="225" customFormat="1">
      <c r="A6650" s="222" t="s">
        <v>179</v>
      </c>
      <c r="B6650" s="222" t="s">
        <v>36</v>
      </c>
      <c r="C6650" s="236">
        <v>0.7</v>
      </c>
      <c r="D6650" s="237">
        <v>0</v>
      </c>
      <c r="E6650" s="237">
        <v>0</v>
      </c>
      <c r="F6650" s="237">
        <v>0</v>
      </c>
      <c r="G6650" s="237">
        <v>0</v>
      </c>
      <c r="H6650" s="237">
        <v>0</v>
      </c>
      <c r="I6650" s="237">
        <v>0</v>
      </c>
      <c r="J6650" s="237">
        <v>0</v>
      </c>
    </row>
    <row r="6651" spans="1:10" s="225" customFormat="1">
      <c r="A6651" s="222" t="s">
        <v>179</v>
      </c>
      <c r="B6651" s="222" t="s">
        <v>36</v>
      </c>
      <c r="C6651" s="236">
        <v>0.70069444444444395</v>
      </c>
      <c r="D6651" s="237">
        <v>0</v>
      </c>
      <c r="E6651" s="237">
        <v>0</v>
      </c>
      <c r="F6651" s="237">
        <v>0</v>
      </c>
      <c r="G6651" s="237">
        <v>0</v>
      </c>
      <c r="H6651" s="237">
        <v>0</v>
      </c>
      <c r="I6651" s="237">
        <v>0</v>
      </c>
      <c r="J6651" s="237">
        <v>0</v>
      </c>
    </row>
    <row r="6652" spans="1:10" s="225" customFormat="1">
      <c r="A6652" s="222" t="s">
        <v>179</v>
      </c>
      <c r="B6652" s="222" t="s">
        <v>36</v>
      </c>
      <c r="C6652" s="236">
        <v>0.70138888888888895</v>
      </c>
      <c r="D6652" s="237">
        <v>0</v>
      </c>
      <c r="E6652" s="237">
        <v>0</v>
      </c>
      <c r="F6652" s="237">
        <v>0</v>
      </c>
      <c r="G6652" s="237">
        <v>0</v>
      </c>
      <c r="H6652" s="237">
        <v>0</v>
      </c>
      <c r="I6652" s="237">
        <v>0</v>
      </c>
      <c r="J6652" s="237">
        <v>0</v>
      </c>
    </row>
    <row r="6653" spans="1:10" s="225" customFormat="1">
      <c r="A6653" s="222" t="s">
        <v>179</v>
      </c>
      <c r="B6653" s="222" t="s">
        <v>36</v>
      </c>
      <c r="C6653" s="236">
        <v>0.70208333333333295</v>
      </c>
      <c r="D6653" s="237">
        <v>0</v>
      </c>
      <c r="E6653" s="237">
        <v>0</v>
      </c>
      <c r="F6653" s="237">
        <v>0</v>
      </c>
      <c r="G6653" s="237">
        <v>0</v>
      </c>
      <c r="H6653" s="237">
        <v>0</v>
      </c>
      <c r="I6653" s="237">
        <v>0</v>
      </c>
      <c r="J6653" s="237">
        <v>0</v>
      </c>
    </row>
    <row r="6654" spans="1:10" s="225" customFormat="1">
      <c r="A6654" s="222" t="s">
        <v>179</v>
      </c>
      <c r="B6654" s="222" t="s">
        <v>36</v>
      </c>
      <c r="C6654" s="236">
        <v>0.70277777777777795</v>
      </c>
      <c r="D6654" s="237">
        <v>0</v>
      </c>
      <c r="E6654" s="237">
        <v>0</v>
      </c>
      <c r="F6654" s="237">
        <v>0</v>
      </c>
      <c r="G6654" s="237">
        <v>0</v>
      </c>
      <c r="H6654" s="237">
        <v>0</v>
      </c>
      <c r="I6654" s="237">
        <v>0</v>
      </c>
      <c r="J6654" s="237">
        <v>0</v>
      </c>
    </row>
    <row r="6655" spans="1:10" s="225" customFormat="1">
      <c r="A6655" s="222" t="s">
        <v>179</v>
      </c>
      <c r="B6655" s="222" t="s">
        <v>36</v>
      </c>
      <c r="C6655" s="236">
        <v>0.70347222222222205</v>
      </c>
      <c r="D6655" s="237">
        <v>0</v>
      </c>
      <c r="E6655" s="237">
        <v>0</v>
      </c>
      <c r="F6655" s="237">
        <v>0</v>
      </c>
      <c r="G6655" s="237">
        <v>0</v>
      </c>
      <c r="H6655" s="237">
        <v>0</v>
      </c>
      <c r="I6655" s="237">
        <v>0</v>
      </c>
      <c r="J6655" s="237">
        <v>0</v>
      </c>
    </row>
    <row r="6656" spans="1:10" s="225" customFormat="1">
      <c r="A6656" s="222" t="s">
        <v>179</v>
      </c>
      <c r="B6656" s="222" t="s">
        <v>36</v>
      </c>
      <c r="C6656" s="236">
        <v>0.70416666666666605</v>
      </c>
      <c r="D6656" s="237">
        <v>0</v>
      </c>
      <c r="E6656" s="237">
        <v>0</v>
      </c>
      <c r="F6656" s="237">
        <v>0</v>
      </c>
      <c r="G6656" s="237">
        <v>0</v>
      </c>
      <c r="H6656" s="237">
        <v>0</v>
      </c>
      <c r="I6656" s="237">
        <v>0</v>
      </c>
      <c r="J6656" s="237">
        <v>0</v>
      </c>
    </row>
    <row r="6657" spans="1:10" s="225" customFormat="1">
      <c r="A6657" s="222" t="s">
        <v>179</v>
      </c>
      <c r="B6657" s="222" t="s">
        <v>36</v>
      </c>
      <c r="C6657" s="236">
        <v>0.70486111111111105</v>
      </c>
      <c r="D6657" s="237">
        <v>0</v>
      </c>
      <c r="E6657" s="237">
        <v>0</v>
      </c>
      <c r="F6657" s="237">
        <v>0</v>
      </c>
      <c r="G6657" s="237">
        <v>0</v>
      </c>
      <c r="H6657" s="237">
        <v>0</v>
      </c>
      <c r="I6657" s="237">
        <v>0</v>
      </c>
      <c r="J6657" s="237">
        <v>0</v>
      </c>
    </row>
    <row r="6658" spans="1:10" s="225" customFormat="1">
      <c r="A6658" s="222" t="s">
        <v>179</v>
      </c>
      <c r="B6658" s="222" t="s">
        <v>36</v>
      </c>
      <c r="C6658" s="236">
        <v>0.70555555555555505</v>
      </c>
      <c r="D6658" s="237">
        <v>0</v>
      </c>
      <c r="E6658" s="237">
        <v>0</v>
      </c>
      <c r="F6658" s="237">
        <v>0</v>
      </c>
      <c r="G6658" s="237">
        <v>0</v>
      </c>
      <c r="H6658" s="237">
        <v>0</v>
      </c>
      <c r="I6658" s="237">
        <v>0</v>
      </c>
      <c r="J6658" s="237">
        <v>0</v>
      </c>
    </row>
    <row r="6659" spans="1:10" s="225" customFormat="1">
      <c r="A6659" s="222" t="s">
        <v>179</v>
      </c>
      <c r="B6659" s="222" t="s">
        <v>36</v>
      </c>
      <c r="C6659" s="236">
        <v>0.70625000000000004</v>
      </c>
      <c r="D6659" s="237">
        <v>0</v>
      </c>
      <c r="E6659" s="237">
        <v>0</v>
      </c>
      <c r="F6659" s="237">
        <v>0</v>
      </c>
      <c r="G6659" s="237">
        <v>0</v>
      </c>
      <c r="H6659" s="237">
        <v>0</v>
      </c>
      <c r="I6659" s="237">
        <v>0</v>
      </c>
      <c r="J6659" s="237">
        <v>0</v>
      </c>
    </row>
    <row r="6660" spans="1:10" s="225" customFormat="1">
      <c r="A6660" s="222" t="s">
        <v>179</v>
      </c>
      <c r="B6660" s="222" t="s">
        <v>36</v>
      </c>
      <c r="C6660" s="236">
        <v>0.70694444444444404</v>
      </c>
      <c r="D6660" s="237">
        <v>0</v>
      </c>
      <c r="E6660" s="237">
        <v>0</v>
      </c>
      <c r="F6660" s="237">
        <v>0</v>
      </c>
      <c r="G6660" s="237">
        <v>0</v>
      </c>
      <c r="H6660" s="237">
        <v>0</v>
      </c>
      <c r="I6660" s="237">
        <v>0</v>
      </c>
      <c r="J6660" s="237">
        <v>0</v>
      </c>
    </row>
    <row r="6661" spans="1:10" s="229" customFormat="1">
      <c r="A6661" s="226" t="s">
        <v>179</v>
      </c>
      <c r="B6661" s="226" t="s">
        <v>36</v>
      </c>
      <c r="C6661" s="238">
        <v>0.70763888888888904</v>
      </c>
      <c r="D6661" s="239">
        <v>0</v>
      </c>
      <c r="E6661" s="239">
        <v>0</v>
      </c>
      <c r="F6661" s="239">
        <v>0</v>
      </c>
      <c r="G6661" s="239">
        <v>0</v>
      </c>
      <c r="H6661" s="239">
        <v>0</v>
      </c>
      <c r="I6661" s="239">
        <v>0</v>
      </c>
      <c r="J6661" s="239">
        <v>0</v>
      </c>
    </row>
    <row r="6662" spans="1:10" s="225" customFormat="1">
      <c r="A6662" s="222" t="s">
        <v>179</v>
      </c>
      <c r="B6662" s="222" t="s">
        <v>36</v>
      </c>
      <c r="C6662" s="236">
        <v>0.70833333333333304</v>
      </c>
      <c r="D6662" s="237">
        <v>0</v>
      </c>
      <c r="E6662" s="237">
        <v>0</v>
      </c>
      <c r="F6662" s="237">
        <v>0</v>
      </c>
      <c r="G6662" s="237">
        <v>0</v>
      </c>
      <c r="H6662" s="237">
        <v>0</v>
      </c>
      <c r="I6662" s="237">
        <v>0</v>
      </c>
      <c r="J6662" s="237">
        <v>0</v>
      </c>
    </row>
    <row r="6663" spans="1:10" s="225" customFormat="1">
      <c r="A6663" s="222" t="s">
        <v>179</v>
      </c>
      <c r="B6663" s="222" t="s">
        <v>36</v>
      </c>
      <c r="C6663" s="236">
        <v>0.70902777777777803</v>
      </c>
      <c r="D6663" s="237">
        <v>0</v>
      </c>
      <c r="E6663" s="237">
        <v>0</v>
      </c>
      <c r="F6663" s="237">
        <v>0</v>
      </c>
      <c r="G6663" s="237">
        <v>0</v>
      </c>
      <c r="H6663" s="237">
        <v>0</v>
      </c>
      <c r="I6663" s="237">
        <v>0</v>
      </c>
      <c r="J6663" s="237">
        <v>0</v>
      </c>
    </row>
    <row r="6664" spans="1:10" s="225" customFormat="1">
      <c r="A6664" s="222" t="s">
        <v>179</v>
      </c>
      <c r="B6664" s="222" t="s">
        <v>36</v>
      </c>
      <c r="C6664" s="236">
        <v>0.70972222222222203</v>
      </c>
      <c r="D6664" s="237">
        <v>0</v>
      </c>
      <c r="E6664" s="237">
        <v>0</v>
      </c>
      <c r="F6664" s="237">
        <v>0</v>
      </c>
      <c r="G6664" s="237">
        <v>0</v>
      </c>
      <c r="H6664" s="237">
        <v>0</v>
      </c>
      <c r="I6664" s="237">
        <v>0</v>
      </c>
      <c r="J6664" s="237">
        <v>0</v>
      </c>
    </row>
    <row r="6665" spans="1:10" s="225" customFormat="1">
      <c r="A6665" s="222" t="s">
        <v>179</v>
      </c>
      <c r="B6665" s="222" t="s">
        <v>36</v>
      </c>
      <c r="C6665" s="236">
        <v>0.71041666666666603</v>
      </c>
      <c r="D6665" s="237">
        <v>0</v>
      </c>
      <c r="E6665" s="237">
        <v>0</v>
      </c>
      <c r="F6665" s="237">
        <v>0</v>
      </c>
      <c r="G6665" s="237">
        <v>0</v>
      </c>
      <c r="H6665" s="237">
        <v>0</v>
      </c>
      <c r="I6665" s="237">
        <v>0</v>
      </c>
      <c r="J6665" s="237">
        <v>0</v>
      </c>
    </row>
    <row r="6666" spans="1:10" s="225" customFormat="1">
      <c r="A6666" s="222" t="s">
        <v>179</v>
      </c>
      <c r="B6666" s="222" t="s">
        <v>36</v>
      </c>
      <c r="C6666" s="236">
        <v>0.71111111111111103</v>
      </c>
      <c r="D6666" s="237">
        <v>0</v>
      </c>
      <c r="E6666" s="237">
        <v>0</v>
      </c>
      <c r="F6666" s="237">
        <v>0</v>
      </c>
      <c r="G6666" s="237">
        <v>0</v>
      </c>
      <c r="H6666" s="237">
        <v>0</v>
      </c>
      <c r="I6666" s="237">
        <v>0</v>
      </c>
      <c r="J6666" s="237">
        <v>0</v>
      </c>
    </row>
    <row r="6667" spans="1:10" s="225" customFormat="1">
      <c r="A6667" s="222" t="s">
        <v>179</v>
      </c>
      <c r="B6667" s="222" t="s">
        <v>36</v>
      </c>
      <c r="C6667" s="236">
        <v>0.71180555555555503</v>
      </c>
      <c r="D6667" s="237">
        <v>0</v>
      </c>
      <c r="E6667" s="237">
        <v>0</v>
      </c>
      <c r="F6667" s="237">
        <v>0</v>
      </c>
      <c r="G6667" s="237">
        <v>0</v>
      </c>
      <c r="H6667" s="237">
        <v>0</v>
      </c>
      <c r="I6667" s="237">
        <v>0</v>
      </c>
      <c r="J6667" s="237">
        <v>0</v>
      </c>
    </row>
    <row r="6668" spans="1:10" s="225" customFormat="1">
      <c r="A6668" s="222" t="s">
        <v>179</v>
      </c>
      <c r="B6668" s="222" t="s">
        <v>36</v>
      </c>
      <c r="C6668" s="236">
        <v>0.71250000000000002</v>
      </c>
      <c r="D6668" s="237">
        <v>0</v>
      </c>
      <c r="E6668" s="237">
        <v>0</v>
      </c>
      <c r="F6668" s="237">
        <v>0</v>
      </c>
      <c r="G6668" s="237">
        <v>0</v>
      </c>
      <c r="H6668" s="237">
        <v>0</v>
      </c>
      <c r="I6668" s="237">
        <v>0</v>
      </c>
      <c r="J6668" s="237">
        <v>0</v>
      </c>
    </row>
    <row r="6669" spans="1:10" s="225" customFormat="1">
      <c r="A6669" s="222" t="s">
        <v>179</v>
      </c>
      <c r="B6669" s="222" t="s">
        <v>36</v>
      </c>
      <c r="C6669" s="236">
        <v>0.71319444444444402</v>
      </c>
      <c r="D6669" s="237">
        <v>0</v>
      </c>
      <c r="E6669" s="237">
        <v>0</v>
      </c>
      <c r="F6669" s="237">
        <v>0</v>
      </c>
      <c r="G6669" s="237">
        <v>0</v>
      </c>
      <c r="H6669" s="237">
        <v>0</v>
      </c>
      <c r="I6669" s="237">
        <v>0</v>
      </c>
      <c r="J6669" s="237">
        <v>0</v>
      </c>
    </row>
    <row r="6670" spans="1:10" s="225" customFormat="1">
      <c r="A6670" s="222" t="s">
        <v>179</v>
      </c>
      <c r="B6670" s="222" t="s">
        <v>36</v>
      </c>
      <c r="C6670" s="236">
        <v>0.71388888888888902</v>
      </c>
      <c r="D6670" s="237">
        <v>0</v>
      </c>
      <c r="E6670" s="237">
        <v>0</v>
      </c>
      <c r="F6670" s="237">
        <v>0</v>
      </c>
      <c r="G6670" s="237">
        <v>0</v>
      </c>
      <c r="H6670" s="237">
        <v>0</v>
      </c>
      <c r="I6670" s="237">
        <v>0</v>
      </c>
      <c r="J6670" s="237">
        <v>0</v>
      </c>
    </row>
    <row r="6671" spans="1:10" s="225" customFormat="1">
      <c r="A6671" s="222" t="s">
        <v>179</v>
      </c>
      <c r="B6671" s="222" t="s">
        <v>36</v>
      </c>
      <c r="C6671" s="236">
        <v>0.71458333333333302</v>
      </c>
      <c r="D6671" s="237">
        <v>0</v>
      </c>
      <c r="E6671" s="237">
        <v>0</v>
      </c>
      <c r="F6671" s="237">
        <v>0</v>
      </c>
      <c r="G6671" s="237">
        <v>0</v>
      </c>
      <c r="H6671" s="237">
        <v>0</v>
      </c>
      <c r="I6671" s="237">
        <v>0</v>
      </c>
      <c r="J6671" s="237">
        <v>0</v>
      </c>
    </row>
    <row r="6672" spans="1:10" s="225" customFormat="1">
      <c r="A6672" s="222" t="s">
        <v>179</v>
      </c>
      <c r="B6672" s="222" t="s">
        <v>36</v>
      </c>
      <c r="C6672" s="236">
        <v>0.71527777777777801</v>
      </c>
      <c r="D6672" s="237">
        <v>0</v>
      </c>
      <c r="E6672" s="237">
        <v>0</v>
      </c>
      <c r="F6672" s="237">
        <v>0</v>
      </c>
      <c r="G6672" s="237">
        <v>0</v>
      </c>
      <c r="H6672" s="237">
        <v>0</v>
      </c>
      <c r="I6672" s="237">
        <v>0</v>
      </c>
      <c r="J6672" s="237">
        <v>0</v>
      </c>
    </row>
    <row r="6673" spans="1:10" s="225" customFormat="1">
      <c r="A6673" s="222" t="s">
        <v>179</v>
      </c>
      <c r="B6673" s="222" t="s">
        <v>36</v>
      </c>
      <c r="C6673" s="236">
        <v>0.71597222222222201</v>
      </c>
      <c r="D6673" s="237">
        <v>0</v>
      </c>
      <c r="E6673" s="237">
        <v>0</v>
      </c>
      <c r="F6673" s="237">
        <v>0</v>
      </c>
      <c r="G6673" s="237">
        <v>0</v>
      </c>
      <c r="H6673" s="237">
        <v>0</v>
      </c>
      <c r="I6673" s="237">
        <v>0</v>
      </c>
      <c r="J6673" s="237">
        <v>0</v>
      </c>
    </row>
    <row r="6674" spans="1:10" s="225" customFormat="1">
      <c r="A6674" s="222" t="s">
        <v>179</v>
      </c>
      <c r="B6674" s="222" t="s">
        <v>36</v>
      </c>
      <c r="C6674" s="236">
        <v>0.71666666666666601</v>
      </c>
      <c r="D6674" s="237">
        <v>0</v>
      </c>
      <c r="E6674" s="237">
        <v>0</v>
      </c>
      <c r="F6674" s="237">
        <v>0</v>
      </c>
      <c r="G6674" s="237">
        <v>0</v>
      </c>
      <c r="H6674" s="237">
        <v>0</v>
      </c>
      <c r="I6674" s="237">
        <v>0</v>
      </c>
      <c r="J6674" s="237">
        <v>0</v>
      </c>
    </row>
    <row r="6675" spans="1:10" s="225" customFormat="1">
      <c r="A6675" s="222" t="s">
        <v>179</v>
      </c>
      <c r="B6675" s="222" t="s">
        <v>36</v>
      </c>
      <c r="C6675" s="236">
        <v>0.71736111111111101</v>
      </c>
      <c r="D6675" s="237">
        <v>0</v>
      </c>
      <c r="E6675" s="237">
        <v>0</v>
      </c>
      <c r="F6675" s="237">
        <v>0</v>
      </c>
      <c r="G6675" s="237">
        <v>0</v>
      </c>
      <c r="H6675" s="237">
        <v>0</v>
      </c>
      <c r="I6675" s="237">
        <v>0</v>
      </c>
      <c r="J6675" s="237">
        <v>0</v>
      </c>
    </row>
    <row r="6676" spans="1:10" s="229" customFormat="1">
      <c r="A6676" s="226" t="s">
        <v>179</v>
      </c>
      <c r="B6676" s="226" t="s">
        <v>36</v>
      </c>
      <c r="C6676" s="238">
        <v>0.718055555555555</v>
      </c>
      <c r="D6676" s="239">
        <v>0</v>
      </c>
      <c r="E6676" s="239">
        <v>0</v>
      </c>
      <c r="F6676" s="239">
        <v>0</v>
      </c>
      <c r="G6676" s="239">
        <v>0</v>
      </c>
      <c r="H6676" s="239">
        <v>0</v>
      </c>
      <c r="I6676" s="239">
        <v>0</v>
      </c>
      <c r="J6676" s="239">
        <v>0</v>
      </c>
    </row>
    <row r="6677" spans="1:10" s="225" customFormat="1">
      <c r="A6677" s="222" t="s">
        <v>179</v>
      </c>
      <c r="B6677" s="222" t="s">
        <v>36</v>
      </c>
      <c r="C6677" s="236">
        <v>0.71875</v>
      </c>
      <c r="D6677" s="237">
        <v>0</v>
      </c>
      <c r="E6677" s="237">
        <v>0</v>
      </c>
      <c r="F6677" s="237">
        <v>0</v>
      </c>
      <c r="G6677" s="237">
        <v>0</v>
      </c>
      <c r="H6677" s="237">
        <v>0</v>
      </c>
      <c r="I6677" s="237">
        <v>0</v>
      </c>
      <c r="J6677" s="237">
        <v>0</v>
      </c>
    </row>
    <row r="6678" spans="1:10" s="225" customFormat="1">
      <c r="A6678" s="222" t="s">
        <v>179</v>
      </c>
      <c r="B6678" s="222" t="s">
        <v>36</v>
      </c>
      <c r="C6678" s="236">
        <v>0.719444444444444</v>
      </c>
      <c r="D6678" s="237">
        <v>0</v>
      </c>
      <c r="E6678" s="237">
        <v>0</v>
      </c>
      <c r="F6678" s="237">
        <v>0</v>
      </c>
      <c r="G6678" s="237">
        <v>0</v>
      </c>
      <c r="H6678" s="237">
        <v>0</v>
      </c>
      <c r="I6678" s="237">
        <v>0</v>
      </c>
      <c r="J6678" s="237">
        <v>0</v>
      </c>
    </row>
    <row r="6679" spans="1:10" s="225" customFormat="1">
      <c r="A6679" s="222" t="s">
        <v>179</v>
      </c>
      <c r="B6679" s="222" t="s">
        <v>36</v>
      </c>
      <c r="C6679" s="236">
        <v>0.72013888888888899</v>
      </c>
      <c r="D6679" s="237">
        <v>0</v>
      </c>
      <c r="E6679" s="237">
        <v>0</v>
      </c>
      <c r="F6679" s="237">
        <v>0</v>
      </c>
      <c r="G6679" s="237">
        <v>0</v>
      </c>
      <c r="H6679" s="237">
        <v>0</v>
      </c>
      <c r="I6679" s="237">
        <v>0</v>
      </c>
      <c r="J6679" s="237">
        <v>0</v>
      </c>
    </row>
    <row r="6680" spans="1:10" s="225" customFormat="1">
      <c r="A6680" s="222" t="s">
        <v>179</v>
      </c>
      <c r="B6680" s="222" t="s">
        <v>36</v>
      </c>
      <c r="C6680" s="236">
        <v>0.72083333333333299</v>
      </c>
      <c r="D6680" s="237">
        <v>0</v>
      </c>
      <c r="E6680" s="237">
        <v>0</v>
      </c>
      <c r="F6680" s="237">
        <v>0</v>
      </c>
      <c r="G6680" s="237">
        <v>0</v>
      </c>
      <c r="H6680" s="237">
        <v>0</v>
      </c>
      <c r="I6680" s="237">
        <v>0</v>
      </c>
      <c r="J6680" s="237">
        <v>0</v>
      </c>
    </row>
    <row r="6681" spans="1:10" s="225" customFormat="1">
      <c r="A6681" s="222" t="s">
        <v>179</v>
      </c>
      <c r="B6681" s="222" t="s">
        <v>36</v>
      </c>
      <c r="C6681" s="236">
        <v>0.72152777777777799</v>
      </c>
      <c r="D6681" s="237">
        <v>0</v>
      </c>
      <c r="E6681" s="237">
        <v>0</v>
      </c>
      <c r="F6681" s="237">
        <v>0</v>
      </c>
      <c r="G6681" s="237">
        <v>0</v>
      </c>
      <c r="H6681" s="237">
        <v>0</v>
      </c>
      <c r="I6681" s="237">
        <v>0</v>
      </c>
      <c r="J6681" s="237">
        <v>0</v>
      </c>
    </row>
    <row r="6682" spans="1:10" s="225" customFormat="1">
      <c r="A6682" s="222" t="s">
        <v>179</v>
      </c>
      <c r="B6682" s="222" t="s">
        <v>36</v>
      </c>
      <c r="C6682" s="236">
        <v>0.72222222222222199</v>
      </c>
      <c r="D6682" s="237">
        <v>0</v>
      </c>
      <c r="E6682" s="237">
        <v>0</v>
      </c>
      <c r="F6682" s="237">
        <v>0</v>
      </c>
      <c r="G6682" s="237">
        <v>0</v>
      </c>
      <c r="H6682" s="237">
        <v>0</v>
      </c>
      <c r="I6682" s="237">
        <v>0</v>
      </c>
      <c r="J6682" s="237">
        <v>0</v>
      </c>
    </row>
    <row r="6683" spans="1:10" s="225" customFormat="1">
      <c r="A6683" s="222" t="s">
        <v>179</v>
      </c>
      <c r="B6683" s="222" t="s">
        <v>36</v>
      </c>
      <c r="C6683" s="236">
        <v>0.72291666666666599</v>
      </c>
      <c r="D6683" s="237">
        <v>0</v>
      </c>
      <c r="E6683" s="237">
        <v>0</v>
      </c>
      <c r="F6683" s="237">
        <v>0</v>
      </c>
      <c r="G6683" s="237">
        <v>0</v>
      </c>
      <c r="H6683" s="237">
        <v>0</v>
      </c>
      <c r="I6683" s="237">
        <v>0</v>
      </c>
      <c r="J6683" s="237">
        <v>0</v>
      </c>
    </row>
    <row r="6684" spans="1:10" s="225" customFormat="1">
      <c r="A6684" s="222" t="s">
        <v>179</v>
      </c>
      <c r="B6684" s="222" t="s">
        <v>36</v>
      </c>
      <c r="C6684" s="236">
        <v>0.72361111111111098</v>
      </c>
      <c r="D6684" s="237">
        <v>0</v>
      </c>
      <c r="E6684" s="237">
        <v>0</v>
      </c>
      <c r="F6684" s="237">
        <v>0</v>
      </c>
      <c r="G6684" s="237">
        <v>0</v>
      </c>
      <c r="H6684" s="237">
        <v>0</v>
      </c>
      <c r="I6684" s="237">
        <v>0</v>
      </c>
      <c r="J6684" s="237">
        <v>0</v>
      </c>
    </row>
    <row r="6685" spans="1:10" s="225" customFormat="1">
      <c r="A6685" s="222" t="s">
        <v>179</v>
      </c>
      <c r="B6685" s="222" t="s">
        <v>36</v>
      </c>
      <c r="C6685" s="236">
        <v>0.72430555555555498</v>
      </c>
      <c r="D6685" s="237">
        <v>0</v>
      </c>
      <c r="E6685" s="237">
        <v>0</v>
      </c>
      <c r="F6685" s="237">
        <v>0</v>
      </c>
      <c r="G6685" s="237">
        <v>0</v>
      </c>
      <c r="H6685" s="237">
        <v>0</v>
      </c>
      <c r="I6685" s="237">
        <v>0</v>
      </c>
      <c r="J6685" s="237">
        <v>0</v>
      </c>
    </row>
    <row r="6686" spans="1:10" s="225" customFormat="1">
      <c r="A6686" s="222" t="s">
        <v>179</v>
      </c>
      <c r="B6686" s="222" t="s">
        <v>36</v>
      </c>
      <c r="C6686" s="236">
        <v>0.72499999999999998</v>
      </c>
      <c r="D6686" s="237">
        <v>0</v>
      </c>
      <c r="E6686" s="237">
        <v>0</v>
      </c>
      <c r="F6686" s="237">
        <v>0</v>
      </c>
      <c r="G6686" s="237">
        <v>0</v>
      </c>
      <c r="H6686" s="237">
        <v>0</v>
      </c>
      <c r="I6686" s="237">
        <v>0</v>
      </c>
      <c r="J6686" s="237">
        <v>0</v>
      </c>
    </row>
    <row r="6687" spans="1:10" s="225" customFormat="1">
      <c r="A6687" s="222" t="s">
        <v>179</v>
      </c>
      <c r="B6687" s="222" t="s">
        <v>36</v>
      </c>
      <c r="C6687" s="236">
        <v>0.72569444444444398</v>
      </c>
      <c r="D6687" s="237">
        <v>0</v>
      </c>
      <c r="E6687" s="237">
        <v>0</v>
      </c>
      <c r="F6687" s="237">
        <v>0</v>
      </c>
      <c r="G6687" s="237">
        <v>0</v>
      </c>
      <c r="H6687" s="237">
        <v>0</v>
      </c>
      <c r="I6687" s="237">
        <v>0</v>
      </c>
      <c r="J6687" s="237">
        <v>0</v>
      </c>
    </row>
    <row r="6688" spans="1:10" s="225" customFormat="1">
      <c r="A6688" s="222" t="s">
        <v>179</v>
      </c>
      <c r="B6688" s="222" t="s">
        <v>36</v>
      </c>
      <c r="C6688" s="236">
        <v>0.72638888888888897</v>
      </c>
      <c r="D6688" s="237">
        <v>0</v>
      </c>
      <c r="E6688" s="237">
        <v>0</v>
      </c>
      <c r="F6688" s="237">
        <v>0</v>
      </c>
      <c r="G6688" s="237">
        <v>0</v>
      </c>
      <c r="H6688" s="237">
        <v>0</v>
      </c>
      <c r="I6688" s="237">
        <v>0</v>
      </c>
      <c r="J6688" s="237">
        <v>0</v>
      </c>
    </row>
    <row r="6689" spans="1:10" s="225" customFormat="1">
      <c r="A6689" s="222" t="s">
        <v>179</v>
      </c>
      <c r="B6689" s="222" t="s">
        <v>36</v>
      </c>
      <c r="C6689" s="236">
        <v>0.72708333333333297</v>
      </c>
      <c r="D6689" s="237">
        <v>0</v>
      </c>
      <c r="E6689" s="237">
        <v>0</v>
      </c>
      <c r="F6689" s="237">
        <v>0</v>
      </c>
      <c r="G6689" s="237">
        <v>0</v>
      </c>
      <c r="H6689" s="237">
        <v>0</v>
      </c>
      <c r="I6689" s="237">
        <v>0</v>
      </c>
      <c r="J6689" s="237">
        <v>0</v>
      </c>
    </row>
    <row r="6690" spans="1:10" s="225" customFormat="1">
      <c r="A6690" s="222" t="s">
        <v>179</v>
      </c>
      <c r="B6690" s="222" t="s">
        <v>36</v>
      </c>
      <c r="C6690" s="236">
        <v>0.72777777777777797</v>
      </c>
      <c r="D6690" s="237">
        <v>0</v>
      </c>
      <c r="E6690" s="237">
        <v>0</v>
      </c>
      <c r="F6690" s="237">
        <v>0</v>
      </c>
      <c r="G6690" s="237">
        <v>0</v>
      </c>
      <c r="H6690" s="237">
        <v>0</v>
      </c>
      <c r="I6690" s="237">
        <v>0</v>
      </c>
      <c r="J6690" s="237">
        <v>0</v>
      </c>
    </row>
    <row r="6691" spans="1:10" s="229" customFormat="1">
      <c r="A6691" s="226" t="s">
        <v>179</v>
      </c>
      <c r="B6691" s="226" t="s">
        <v>36</v>
      </c>
      <c r="C6691" s="238">
        <v>0.72847222222222197</v>
      </c>
      <c r="D6691" s="239">
        <v>0</v>
      </c>
      <c r="E6691" s="239">
        <v>0</v>
      </c>
      <c r="F6691" s="239">
        <v>0</v>
      </c>
      <c r="G6691" s="239">
        <v>0</v>
      </c>
      <c r="H6691" s="239">
        <v>0</v>
      </c>
      <c r="I6691" s="239">
        <v>0</v>
      </c>
      <c r="J6691" s="239">
        <v>0</v>
      </c>
    </row>
    <row r="6692" spans="1:10" s="225" customFormat="1">
      <c r="A6692" s="222" t="s">
        <v>179</v>
      </c>
      <c r="B6692" s="222" t="s">
        <v>36</v>
      </c>
      <c r="C6692" s="236">
        <v>0.72916666666666596</v>
      </c>
      <c r="D6692" s="237">
        <v>0</v>
      </c>
      <c r="E6692" s="237">
        <v>0</v>
      </c>
      <c r="F6692" s="237">
        <v>0</v>
      </c>
      <c r="G6692" s="237">
        <v>0</v>
      </c>
      <c r="H6692" s="237">
        <v>0</v>
      </c>
      <c r="I6692" s="237">
        <v>0</v>
      </c>
      <c r="J6692" s="237">
        <v>0</v>
      </c>
    </row>
    <row r="6693" spans="1:10" s="225" customFormat="1">
      <c r="A6693" s="222" t="s">
        <v>179</v>
      </c>
      <c r="B6693" s="222" t="s">
        <v>36</v>
      </c>
      <c r="C6693" s="236">
        <v>0.72986111111111096</v>
      </c>
      <c r="D6693" s="237">
        <v>0</v>
      </c>
      <c r="E6693" s="237">
        <v>0</v>
      </c>
      <c r="F6693" s="237">
        <v>0</v>
      </c>
      <c r="G6693" s="237">
        <v>0</v>
      </c>
      <c r="H6693" s="237">
        <v>0</v>
      </c>
      <c r="I6693" s="237">
        <v>0</v>
      </c>
      <c r="J6693" s="237">
        <v>0</v>
      </c>
    </row>
    <row r="6694" spans="1:10" s="225" customFormat="1">
      <c r="A6694" s="222" t="s">
        <v>179</v>
      </c>
      <c r="B6694" s="222" t="s">
        <v>36</v>
      </c>
      <c r="C6694" s="236">
        <v>0.73055555555555496</v>
      </c>
      <c r="D6694" s="237">
        <v>0</v>
      </c>
      <c r="E6694" s="237">
        <v>0</v>
      </c>
      <c r="F6694" s="237">
        <v>0</v>
      </c>
      <c r="G6694" s="237">
        <v>0</v>
      </c>
      <c r="H6694" s="237">
        <v>0</v>
      </c>
      <c r="I6694" s="237">
        <v>0</v>
      </c>
      <c r="J6694" s="237">
        <v>0</v>
      </c>
    </row>
    <row r="6695" spans="1:10" s="225" customFormat="1">
      <c r="A6695" s="222" t="s">
        <v>179</v>
      </c>
      <c r="B6695" s="222" t="s">
        <v>36</v>
      </c>
      <c r="C6695" s="236">
        <v>0.73124999999999996</v>
      </c>
      <c r="D6695" s="237">
        <v>0</v>
      </c>
      <c r="E6695" s="237">
        <v>0</v>
      </c>
      <c r="F6695" s="237">
        <v>0</v>
      </c>
      <c r="G6695" s="237">
        <v>0</v>
      </c>
      <c r="H6695" s="237">
        <v>0</v>
      </c>
      <c r="I6695" s="237">
        <v>0</v>
      </c>
      <c r="J6695" s="237">
        <v>0</v>
      </c>
    </row>
    <row r="6696" spans="1:10" s="225" customFormat="1">
      <c r="A6696" s="222" t="s">
        <v>179</v>
      </c>
      <c r="B6696" s="222" t="s">
        <v>36</v>
      </c>
      <c r="C6696" s="236">
        <v>0.73194444444444395</v>
      </c>
      <c r="D6696" s="237">
        <v>0</v>
      </c>
      <c r="E6696" s="237">
        <v>0</v>
      </c>
      <c r="F6696" s="237">
        <v>0</v>
      </c>
      <c r="G6696" s="237">
        <v>0</v>
      </c>
      <c r="H6696" s="237">
        <v>0</v>
      </c>
      <c r="I6696" s="237">
        <v>0</v>
      </c>
      <c r="J6696" s="237">
        <v>0</v>
      </c>
    </row>
    <row r="6697" spans="1:10" s="225" customFormat="1">
      <c r="A6697" s="222" t="s">
        <v>179</v>
      </c>
      <c r="B6697" s="222" t="s">
        <v>36</v>
      </c>
      <c r="C6697" s="236">
        <v>0.73263888888888895</v>
      </c>
      <c r="D6697" s="237">
        <v>0</v>
      </c>
      <c r="E6697" s="237">
        <v>0</v>
      </c>
      <c r="F6697" s="237">
        <v>0</v>
      </c>
      <c r="G6697" s="237">
        <v>0</v>
      </c>
      <c r="H6697" s="237">
        <v>0</v>
      </c>
      <c r="I6697" s="237">
        <v>0</v>
      </c>
      <c r="J6697" s="237">
        <v>0</v>
      </c>
    </row>
    <row r="6698" spans="1:10" s="225" customFormat="1">
      <c r="A6698" s="222" t="s">
        <v>179</v>
      </c>
      <c r="B6698" s="222" t="s">
        <v>36</v>
      </c>
      <c r="C6698" s="236">
        <v>0.73333333333333295</v>
      </c>
      <c r="D6698" s="237">
        <v>0</v>
      </c>
      <c r="E6698" s="237">
        <v>0</v>
      </c>
      <c r="F6698" s="237">
        <v>0</v>
      </c>
      <c r="G6698" s="237">
        <v>0</v>
      </c>
      <c r="H6698" s="237">
        <v>0</v>
      </c>
      <c r="I6698" s="237">
        <v>0</v>
      </c>
      <c r="J6698" s="237">
        <v>0</v>
      </c>
    </row>
    <row r="6699" spans="1:10" s="225" customFormat="1">
      <c r="A6699" s="222" t="s">
        <v>179</v>
      </c>
      <c r="B6699" s="222" t="s">
        <v>36</v>
      </c>
      <c r="C6699" s="236">
        <v>0.73402777777777795</v>
      </c>
      <c r="D6699" s="237">
        <v>0</v>
      </c>
      <c r="E6699" s="237">
        <v>0</v>
      </c>
      <c r="F6699" s="237">
        <v>0</v>
      </c>
      <c r="G6699" s="237">
        <v>0</v>
      </c>
      <c r="H6699" s="237">
        <v>0</v>
      </c>
      <c r="I6699" s="237">
        <v>0</v>
      </c>
      <c r="J6699" s="237">
        <v>0</v>
      </c>
    </row>
    <row r="6700" spans="1:10" s="225" customFormat="1">
      <c r="A6700" s="222" t="s">
        <v>179</v>
      </c>
      <c r="B6700" s="222" t="s">
        <v>36</v>
      </c>
      <c r="C6700" s="236">
        <v>0.73472222222222205</v>
      </c>
      <c r="D6700" s="237">
        <v>0</v>
      </c>
      <c r="E6700" s="237">
        <v>0</v>
      </c>
      <c r="F6700" s="237">
        <v>0</v>
      </c>
      <c r="G6700" s="237">
        <v>0</v>
      </c>
      <c r="H6700" s="237">
        <v>0</v>
      </c>
      <c r="I6700" s="237">
        <v>0</v>
      </c>
      <c r="J6700" s="237">
        <v>0</v>
      </c>
    </row>
    <row r="6701" spans="1:10" s="225" customFormat="1">
      <c r="A6701" s="222" t="s">
        <v>179</v>
      </c>
      <c r="B6701" s="222" t="s">
        <v>36</v>
      </c>
      <c r="C6701" s="236">
        <v>0.73541666666666605</v>
      </c>
      <c r="D6701" s="237">
        <v>0</v>
      </c>
      <c r="E6701" s="237">
        <v>0</v>
      </c>
      <c r="F6701" s="237">
        <v>0</v>
      </c>
      <c r="G6701" s="237">
        <v>0</v>
      </c>
      <c r="H6701" s="237">
        <v>0</v>
      </c>
      <c r="I6701" s="237">
        <v>0</v>
      </c>
      <c r="J6701" s="237">
        <v>0</v>
      </c>
    </row>
    <row r="6702" spans="1:10" s="225" customFormat="1">
      <c r="A6702" s="222" t="s">
        <v>179</v>
      </c>
      <c r="B6702" s="222" t="s">
        <v>36</v>
      </c>
      <c r="C6702" s="236">
        <v>0.73611111111111105</v>
      </c>
      <c r="D6702" s="237">
        <v>0</v>
      </c>
      <c r="E6702" s="237">
        <v>0</v>
      </c>
      <c r="F6702" s="237">
        <v>0</v>
      </c>
      <c r="G6702" s="237">
        <v>0</v>
      </c>
      <c r="H6702" s="237">
        <v>0</v>
      </c>
      <c r="I6702" s="237">
        <v>0</v>
      </c>
      <c r="J6702" s="237">
        <v>0</v>
      </c>
    </row>
    <row r="6703" spans="1:10" s="225" customFormat="1">
      <c r="A6703" s="222" t="s">
        <v>179</v>
      </c>
      <c r="B6703" s="222" t="s">
        <v>36</v>
      </c>
      <c r="C6703" s="236">
        <v>0.73680555555555505</v>
      </c>
      <c r="D6703" s="237">
        <v>0</v>
      </c>
      <c r="E6703" s="237">
        <v>0</v>
      </c>
      <c r="F6703" s="237">
        <v>0</v>
      </c>
      <c r="G6703" s="237">
        <v>0</v>
      </c>
      <c r="H6703" s="237">
        <v>0</v>
      </c>
      <c r="I6703" s="237">
        <v>0</v>
      </c>
      <c r="J6703" s="237">
        <v>0</v>
      </c>
    </row>
    <row r="6704" spans="1:10" s="225" customFormat="1">
      <c r="A6704" s="222" t="s">
        <v>179</v>
      </c>
      <c r="B6704" s="222" t="s">
        <v>36</v>
      </c>
      <c r="C6704" s="236">
        <v>0.73750000000000004</v>
      </c>
      <c r="D6704" s="237">
        <v>0</v>
      </c>
      <c r="E6704" s="237">
        <v>0</v>
      </c>
      <c r="F6704" s="237">
        <v>0</v>
      </c>
      <c r="G6704" s="237">
        <v>0</v>
      </c>
      <c r="H6704" s="237">
        <v>0</v>
      </c>
      <c r="I6704" s="237">
        <v>0</v>
      </c>
      <c r="J6704" s="237">
        <v>0</v>
      </c>
    </row>
    <row r="6705" spans="1:10" s="225" customFormat="1">
      <c r="A6705" s="222" t="s">
        <v>179</v>
      </c>
      <c r="B6705" s="222" t="s">
        <v>36</v>
      </c>
      <c r="C6705" s="236">
        <v>0.73819444444444404</v>
      </c>
      <c r="D6705" s="237">
        <v>0</v>
      </c>
      <c r="E6705" s="237">
        <v>0</v>
      </c>
      <c r="F6705" s="237">
        <v>0</v>
      </c>
      <c r="G6705" s="237">
        <v>0</v>
      </c>
      <c r="H6705" s="237">
        <v>0</v>
      </c>
      <c r="I6705" s="237">
        <v>0</v>
      </c>
      <c r="J6705" s="237">
        <v>0</v>
      </c>
    </row>
    <row r="6706" spans="1:10" s="229" customFormat="1">
      <c r="A6706" s="226" t="s">
        <v>179</v>
      </c>
      <c r="B6706" s="226" t="s">
        <v>36</v>
      </c>
      <c r="C6706" s="238">
        <v>0.73888888888888904</v>
      </c>
      <c r="D6706" s="239">
        <v>0</v>
      </c>
      <c r="E6706" s="239">
        <v>0</v>
      </c>
      <c r="F6706" s="239">
        <v>0</v>
      </c>
      <c r="G6706" s="239">
        <v>0</v>
      </c>
      <c r="H6706" s="239">
        <v>0</v>
      </c>
      <c r="I6706" s="239">
        <v>0</v>
      </c>
      <c r="J6706" s="239">
        <v>0</v>
      </c>
    </row>
    <row r="6707" spans="1:10" s="225" customFormat="1">
      <c r="A6707" s="222" t="s">
        <v>179</v>
      </c>
      <c r="B6707" s="222" t="s">
        <v>36</v>
      </c>
      <c r="C6707" s="236">
        <v>0.73958333333333304</v>
      </c>
      <c r="D6707" s="237">
        <v>0</v>
      </c>
      <c r="E6707" s="237">
        <v>0</v>
      </c>
      <c r="F6707" s="237">
        <v>0</v>
      </c>
      <c r="G6707" s="237">
        <v>0</v>
      </c>
      <c r="H6707" s="237">
        <v>0</v>
      </c>
      <c r="I6707" s="237">
        <v>0</v>
      </c>
      <c r="J6707" s="237">
        <v>0</v>
      </c>
    </row>
    <row r="6708" spans="1:10" s="225" customFormat="1">
      <c r="A6708" s="222" t="s">
        <v>179</v>
      </c>
      <c r="B6708" s="222" t="s">
        <v>36</v>
      </c>
      <c r="C6708" s="236">
        <v>0.74027777777777704</v>
      </c>
      <c r="D6708" s="237">
        <v>0</v>
      </c>
      <c r="E6708" s="237">
        <v>0</v>
      </c>
      <c r="F6708" s="237">
        <v>0</v>
      </c>
      <c r="G6708" s="237">
        <v>0</v>
      </c>
      <c r="H6708" s="237">
        <v>0</v>
      </c>
      <c r="I6708" s="237">
        <v>0</v>
      </c>
      <c r="J6708" s="237">
        <v>0</v>
      </c>
    </row>
    <row r="6709" spans="1:10" s="225" customFormat="1">
      <c r="A6709" s="222" t="s">
        <v>179</v>
      </c>
      <c r="B6709" s="222" t="s">
        <v>36</v>
      </c>
      <c r="C6709" s="236">
        <v>0.74097222222222203</v>
      </c>
      <c r="D6709" s="237">
        <v>0</v>
      </c>
      <c r="E6709" s="237">
        <v>0</v>
      </c>
      <c r="F6709" s="237">
        <v>0</v>
      </c>
      <c r="G6709" s="237">
        <v>0</v>
      </c>
      <c r="H6709" s="237">
        <v>0</v>
      </c>
      <c r="I6709" s="237">
        <v>0</v>
      </c>
      <c r="J6709" s="237">
        <v>0</v>
      </c>
    </row>
    <row r="6710" spans="1:10" s="225" customFormat="1">
      <c r="A6710" s="222" t="s">
        <v>179</v>
      </c>
      <c r="B6710" s="222" t="s">
        <v>36</v>
      </c>
      <c r="C6710" s="236">
        <v>0.74166666666666603</v>
      </c>
      <c r="D6710" s="237">
        <v>0</v>
      </c>
      <c r="E6710" s="237">
        <v>0</v>
      </c>
      <c r="F6710" s="237">
        <v>0</v>
      </c>
      <c r="G6710" s="237">
        <v>0</v>
      </c>
      <c r="H6710" s="237">
        <v>0</v>
      </c>
      <c r="I6710" s="237">
        <v>0</v>
      </c>
      <c r="J6710" s="237">
        <v>0</v>
      </c>
    </row>
    <row r="6711" spans="1:10" s="225" customFormat="1">
      <c r="A6711" s="222" t="s">
        <v>179</v>
      </c>
      <c r="B6711" s="222" t="s">
        <v>36</v>
      </c>
      <c r="C6711" s="236">
        <v>0.74236111111111103</v>
      </c>
      <c r="D6711" s="237">
        <v>0</v>
      </c>
      <c r="E6711" s="237">
        <v>0</v>
      </c>
      <c r="F6711" s="237">
        <v>0</v>
      </c>
      <c r="G6711" s="237">
        <v>0</v>
      </c>
      <c r="H6711" s="237">
        <v>0</v>
      </c>
      <c r="I6711" s="237">
        <v>0</v>
      </c>
      <c r="J6711" s="237">
        <v>0</v>
      </c>
    </row>
    <row r="6712" spans="1:10" s="225" customFormat="1">
      <c r="A6712" s="222" t="s">
        <v>179</v>
      </c>
      <c r="B6712" s="222" t="s">
        <v>36</v>
      </c>
      <c r="C6712" s="236">
        <v>0.74305555555555503</v>
      </c>
      <c r="D6712" s="237">
        <v>0</v>
      </c>
      <c r="E6712" s="237">
        <v>0</v>
      </c>
      <c r="F6712" s="237">
        <v>0</v>
      </c>
      <c r="G6712" s="237">
        <v>0</v>
      </c>
      <c r="H6712" s="237">
        <v>0</v>
      </c>
      <c r="I6712" s="237">
        <v>0</v>
      </c>
      <c r="J6712" s="237">
        <v>0</v>
      </c>
    </row>
    <row r="6713" spans="1:10" s="225" customFormat="1">
      <c r="A6713" s="222" t="s">
        <v>179</v>
      </c>
      <c r="B6713" s="222" t="s">
        <v>36</v>
      </c>
      <c r="C6713" s="236">
        <v>0.74375000000000002</v>
      </c>
      <c r="D6713" s="237">
        <v>0</v>
      </c>
      <c r="E6713" s="237">
        <v>0</v>
      </c>
      <c r="F6713" s="237">
        <v>0</v>
      </c>
      <c r="G6713" s="237">
        <v>0</v>
      </c>
      <c r="H6713" s="237">
        <v>0</v>
      </c>
      <c r="I6713" s="237">
        <v>0</v>
      </c>
      <c r="J6713" s="237">
        <v>0</v>
      </c>
    </row>
    <row r="6714" spans="1:10" s="225" customFormat="1">
      <c r="A6714" s="222" t="s">
        <v>179</v>
      </c>
      <c r="B6714" s="222" t="s">
        <v>36</v>
      </c>
      <c r="C6714" s="236">
        <v>0.74444444444444402</v>
      </c>
      <c r="D6714" s="237">
        <v>0</v>
      </c>
      <c r="E6714" s="237">
        <v>0</v>
      </c>
      <c r="F6714" s="237">
        <v>0</v>
      </c>
      <c r="G6714" s="237">
        <v>0</v>
      </c>
      <c r="H6714" s="237">
        <v>0</v>
      </c>
      <c r="I6714" s="237">
        <v>0</v>
      </c>
      <c r="J6714" s="237">
        <v>0</v>
      </c>
    </row>
    <row r="6715" spans="1:10" s="225" customFormat="1">
      <c r="A6715" s="222" t="s">
        <v>179</v>
      </c>
      <c r="B6715" s="222" t="s">
        <v>36</v>
      </c>
      <c r="C6715" s="236">
        <v>0.74513888888888902</v>
      </c>
      <c r="D6715" s="237">
        <v>0</v>
      </c>
      <c r="E6715" s="237">
        <v>0</v>
      </c>
      <c r="F6715" s="237">
        <v>0</v>
      </c>
      <c r="G6715" s="237">
        <v>0</v>
      </c>
      <c r="H6715" s="237">
        <v>0</v>
      </c>
      <c r="I6715" s="237">
        <v>0</v>
      </c>
      <c r="J6715" s="237">
        <v>0</v>
      </c>
    </row>
    <row r="6716" spans="1:10" s="225" customFormat="1">
      <c r="A6716" s="222" t="s">
        <v>179</v>
      </c>
      <c r="B6716" s="222" t="s">
        <v>36</v>
      </c>
      <c r="C6716" s="236">
        <v>0.74583333333333302</v>
      </c>
      <c r="D6716" s="237">
        <v>0</v>
      </c>
      <c r="E6716" s="237">
        <v>0</v>
      </c>
      <c r="F6716" s="237">
        <v>0</v>
      </c>
      <c r="G6716" s="237">
        <v>0</v>
      </c>
      <c r="H6716" s="237">
        <v>0</v>
      </c>
      <c r="I6716" s="237">
        <v>0</v>
      </c>
      <c r="J6716" s="237">
        <v>0</v>
      </c>
    </row>
    <row r="6717" spans="1:10" s="225" customFormat="1">
      <c r="A6717" s="222" t="s">
        <v>179</v>
      </c>
      <c r="B6717" s="222" t="s">
        <v>36</v>
      </c>
      <c r="C6717" s="236">
        <v>0.74652777777777701</v>
      </c>
      <c r="D6717" s="237">
        <v>0</v>
      </c>
      <c r="E6717" s="237">
        <v>0</v>
      </c>
      <c r="F6717" s="237">
        <v>0</v>
      </c>
      <c r="G6717" s="237">
        <v>0</v>
      </c>
      <c r="H6717" s="237">
        <v>0</v>
      </c>
      <c r="I6717" s="237">
        <v>0</v>
      </c>
      <c r="J6717" s="237">
        <v>0</v>
      </c>
    </row>
    <row r="6718" spans="1:10" s="225" customFormat="1">
      <c r="A6718" s="222" t="s">
        <v>179</v>
      </c>
      <c r="B6718" s="222" t="s">
        <v>36</v>
      </c>
      <c r="C6718" s="236">
        <v>0.74722222222222201</v>
      </c>
      <c r="D6718" s="237">
        <v>0</v>
      </c>
      <c r="E6718" s="237">
        <v>0</v>
      </c>
      <c r="F6718" s="237">
        <v>0</v>
      </c>
      <c r="G6718" s="237">
        <v>0</v>
      </c>
      <c r="H6718" s="237">
        <v>0</v>
      </c>
      <c r="I6718" s="237">
        <v>0</v>
      </c>
      <c r="J6718" s="237">
        <v>0</v>
      </c>
    </row>
    <row r="6719" spans="1:10" s="225" customFormat="1">
      <c r="A6719" s="222" t="s">
        <v>179</v>
      </c>
      <c r="B6719" s="222" t="s">
        <v>36</v>
      </c>
      <c r="C6719" s="236">
        <v>0.74791666666666601</v>
      </c>
      <c r="D6719" s="237">
        <v>0</v>
      </c>
      <c r="E6719" s="237">
        <v>0</v>
      </c>
      <c r="F6719" s="237">
        <v>0</v>
      </c>
      <c r="G6719" s="237">
        <v>0</v>
      </c>
      <c r="H6719" s="237">
        <v>0</v>
      </c>
      <c r="I6719" s="237">
        <v>0</v>
      </c>
      <c r="J6719" s="237">
        <v>0</v>
      </c>
    </row>
    <row r="6720" spans="1:10" s="225" customFormat="1">
      <c r="A6720" s="222" t="s">
        <v>179</v>
      </c>
      <c r="B6720" s="222" t="s">
        <v>36</v>
      </c>
      <c r="C6720" s="236">
        <v>0.74861111111111101</v>
      </c>
      <c r="D6720" s="237">
        <v>0</v>
      </c>
      <c r="E6720" s="237">
        <v>0</v>
      </c>
      <c r="F6720" s="237">
        <v>0</v>
      </c>
      <c r="G6720" s="237">
        <v>0</v>
      </c>
      <c r="H6720" s="237">
        <v>0</v>
      </c>
      <c r="I6720" s="237">
        <v>0</v>
      </c>
      <c r="J6720" s="237">
        <v>0</v>
      </c>
    </row>
    <row r="6721" spans="1:10" s="229" customFormat="1">
      <c r="A6721" s="226" t="s">
        <v>179</v>
      </c>
      <c r="B6721" s="226" t="s">
        <v>36</v>
      </c>
      <c r="C6721" s="238">
        <v>0.749305555555555</v>
      </c>
      <c r="D6721" s="239">
        <v>0</v>
      </c>
      <c r="E6721" s="239">
        <v>0</v>
      </c>
      <c r="F6721" s="239">
        <v>0</v>
      </c>
      <c r="G6721" s="239">
        <v>0</v>
      </c>
      <c r="H6721" s="239">
        <v>0</v>
      </c>
      <c r="I6721" s="239">
        <v>0</v>
      </c>
      <c r="J6721" s="239">
        <v>0</v>
      </c>
    </row>
    <row r="6722" spans="1:10" s="225" customFormat="1">
      <c r="A6722" s="222" t="s">
        <v>179</v>
      </c>
      <c r="B6722" s="222" t="s">
        <v>13</v>
      </c>
      <c r="C6722" s="236">
        <v>0.75</v>
      </c>
      <c r="D6722" s="237">
        <v>0</v>
      </c>
      <c r="E6722" s="237">
        <v>0</v>
      </c>
      <c r="F6722" s="237">
        <v>0</v>
      </c>
      <c r="G6722" s="237">
        <v>0</v>
      </c>
      <c r="H6722" s="237">
        <v>0</v>
      </c>
      <c r="I6722" s="237">
        <v>0</v>
      </c>
      <c r="J6722" s="237">
        <v>0</v>
      </c>
    </row>
    <row r="6723" spans="1:10" s="225" customFormat="1">
      <c r="A6723" s="222" t="s">
        <v>179</v>
      </c>
      <c r="B6723" s="222" t="s">
        <v>13</v>
      </c>
      <c r="C6723" s="236">
        <v>0.75069444444444444</v>
      </c>
      <c r="D6723" s="237">
        <v>0</v>
      </c>
      <c r="E6723" s="237">
        <v>0</v>
      </c>
      <c r="F6723" s="237">
        <v>0</v>
      </c>
      <c r="G6723" s="237">
        <v>0</v>
      </c>
      <c r="H6723" s="237">
        <v>0</v>
      </c>
      <c r="I6723" s="237">
        <v>0</v>
      </c>
      <c r="J6723" s="237">
        <v>0</v>
      </c>
    </row>
    <row r="6724" spans="1:10" s="225" customFormat="1">
      <c r="A6724" s="222" t="s">
        <v>179</v>
      </c>
      <c r="B6724" s="222" t="s">
        <v>13</v>
      </c>
      <c r="C6724" s="236">
        <v>0.75138888888888899</v>
      </c>
      <c r="D6724" s="237">
        <v>0</v>
      </c>
      <c r="E6724" s="237">
        <v>0</v>
      </c>
      <c r="F6724" s="237">
        <v>0</v>
      </c>
      <c r="G6724" s="237">
        <v>0</v>
      </c>
      <c r="H6724" s="237">
        <v>0</v>
      </c>
      <c r="I6724" s="237">
        <v>0</v>
      </c>
      <c r="J6724" s="237">
        <v>0</v>
      </c>
    </row>
    <row r="6725" spans="1:10" s="225" customFormat="1">
      <c r="A6725" s="222" t="s">
        <v>179</v>
      </c>
      <c r="B6725" s="222" t="s">
        <v>13</v>
      </c>
      <c r="C6725" s="236">
        <v>0.75208333333333299</v>
      </c>
      <c r="D6725" s="237">
        <v>0</v>
      </c>
      <c r="E6725" s="237">
        <v>0</v>
      </c>
      <c r="F6725" s="237">
        <v>0</v>
      </c>
      <c r="G6725" s="237">
        <v>0</v>
      </c>
      <c r="H6725" s="237">
        <v>0</v>
      </c>
      <c r="I6725" s="237">
        <v>0</v>
      </c>
      <c r="J6725" s="237">
        <v>0</v>
      </c>
    </row>
    <row r="6726" spans="1:10" s="225" customFormat="1">
      <c r="A6726" s="222" t="s">
        <v>179</v>
      </c>
      <c r="B6726" s="222" t="s">
        <v>13</v>
      </c>
      <c r="C6726" s="236">
        <v>0.75277777777777799</v>
      </c>
      <c r="D6726" s="237">
        <v>0</v>
      </c>
      <c r="E6726" s="237">
        <v>0</v>
      </c>
      <c r="F6726" s="237">
        <v>0</v>
      </c>
      <c r="G6726" s="237">
        <v>0</v>
      </c>
      <c r="H6726" s="237">
        <v>0</v>
      </c>
      <c r="I6726" s="237">
        <v>0</v>
      </c>
      <c r="J6726" s="237">
        <v>0</v>
      </c>
    </row>
    <row r="6727" spans="1:10" s="225" customFormat="1">
      <c r="A6727" s="222" t="s">
        <v>179</v>
      </c>
      <c r="B6727" s="222" t="s">
        <v>13</v>
      </c>
      <c r="C6727" s="236">
        <v>0.75347222222222199</v>
      </c>
      <c r="D6727" s="237">
        <v>0</v>
      </c>
      <c r="E6727" s="237">
        <v>0</v>
      </c>
      <c r="F6727" s="237">
        <v>0</v>
      </c>
      <c r="G6727" s="237">
        <v>0</v>
      </c>
      <c r="H6727" s="237">
        <v>0</v>
      </c>
      <c r="I6727" s="237">
        <v>0</v>
      </c>
      <c r="J6727" s="237">
        <v>0</v>
      </c>
    </row>
    <row r="6728" spans="1:10" s="225" customFormat="1">
      <c r="A6728" s="222" t="s">
        <v>179</v>
      </c>
      <c r="B6728" s="222" t="s">
        <v>13</v>
      </c>
      <c r="C6728" s="236">
        <v>0.75416666666666698</v>
      </c>
      <c r="D6728" s="237">
        <v>0</v>
      </c>
      <c r="E6728" s="237">
        <v>0</v>
      </c>
      <c r="F6728" s="237">
        <v>0</v>
      </c>
      <c r="G6728" s="237">
        <v>0</v>
      </c>
      <c r="H6728" s="237">
        <v>0</v>
      </c>
      <c r="I6728" s="237">
        <v>0</v>
      </c>
      <c r="J6728" s="237">
        <v>0</v>
      </c>
    </row>
    <row r="6729" spans="1:10" s="225" customFormat="1">
      <c r="A6729" s="222" t="s">
        <v>179</v>
      </c>
      <c r="B6729" s="222" t="s">
        <v>13</v>
      </c>
      <c r="C6729" s="236">
        <v>0.75486111111111098</v>
      </c>
      <c r="D6729" s="237">
        <v>0</v>
      </c>
      <c r="E6729" s="237">
        <v>0</v>
      </c>
      <c r="F6729" s="237">
        <v>0</v>
      </c>
      <c r="G6729" s="237">
        <v>0</v>
      </c>
      <c r="H6729" s="237">
        <v>0</v>
      </c>
      <c r="I6729" s="237">
        <v>0</v>
      </c>
      <c r="J6729" s="237">
        <v>0</v>
      </c>
    </row>
    <row r="6730" spans="1:10" s="225" customFormat="1">
      <c r="A6730" s="222" t="s">
        <v>179</v>
      </c>
      <c r="B6730" s="222" t="s">
        <v>13</v>
      </c>
      <c r="C6730" s="236">
        <v>0.75555555555555598</v>
      </c>
      <c r="D6730" s="237">
        <v>0</v>
      </c>
      <c r="E6730" s="237">
        <v>0</v>
      </c>
      <c r="F6730" s="237">
        <v>0</v>
      </c>
      <c r="G6730" s="237">
        <v>0</v>
      </c>
      <c r="H6730" s="237">
        <v>0</v>
      </c>
      <c r="I6730" s="237">
        <v>0</v>
      </c>
      <c r="J6730" s="237">
        <v>0</v>
      </c>
    </row>
    <row r="6731" spans="1:10" s="225" customFormat="1">
      <c r="A6731" s="222" t="s">
        <v>179</v>
      </c>
      <c r="B6731" s="222" t="s">
        <v>13</v>
      </c>
      <c r="C6731" s="236">
        <v>0.75624999999999998</v>
      </c>
      <c r="D6731" s="237">
        <v>0</v>
      </c>
      <c r="E6731" s="237">
        <v>0</v>
      </c>
      <c r="F6731" s="237">
        <v>0</v>
      </c>
      <c r="G6731" s="237">
        <v>0</v>
      </c>
      <c r="H6731" s="237">
        <v>0</v>
      </c>
      <c r="I6731" s="237">
        <v>0</v>
      </c>
      <c r="J6731" s="237">
        <v>0</v>
      </c>
    </row>
    <row r="6732" spans="1:10" s="225" customFormat="1">
      <c r="A6732" s="222" t="s">
        <v>179</v>
      </c>
      <c r="B6732" s="222" t="s">
        <v>13</v>
      </c>
      <c r="C6732" s="236">
        <v>0.75694444444444398</v>
      </c>
      <c r="D6732" s="237">
        <v>0</v>
      </c>
      <c r="E6732" s="237">
        <v>0</v>
      </c>
      <c r="F6732" s="237">
        <v>0</v>
      </c>
      <c r="G6732" s="237">
        <v>0</v>
      </c>
      <c r="H6732" s="237">
        <v>0</v>
      </c>
      <c r="I6732" s="237">
        <v>0</v>
      </c>
      <c r="J6732" s="237">
        <v>0</v>
      </c>
    </row>
    <row r="6733" spans="1:10" s="225" customFormat="1">
      <c r="A6733" s="222" t="s">
        <v>179</v>
      </c>
      <c r="B6733" s="222" t="s">
        <v>13</v>
      </c>
      <c r="C6733" s="236">
        <v>0.75763888888888897</v>
      </c>
      <c r="D6733" s="237">
        <v>0</v>
      </c>
      <c r="E6733" s="237">
        <v>0</v>
      </c>
      <c r="F6733" s="237">
        <v>0</v>
      </c>
      <c r="G6733" s="237">
        <v>0</v>
      </c>
      <c r="H6733" s="237">
        <v>0</v>
      </c>
      <c r="I6733" s="237">
        <v>0</v>
      </c>
      <c r="J6733" s="237">
        <v>0</v>
      </c>
    </row>
    <row r="6734" spans="1:10" s="225" customFormat="1">
      <c r="A6734" s="222" t="s">
        <v>179</v>
      </c>
      <c r="B6734" s="222" t="s">
        <v>13</v>
      </c>
      <c r="C6734" s="236">
        <v>0.75833333333333297</v>
      </c>
      <c r="D6734" s="237">
        <v>0</v>
      </c>
      <c r="E6734" s="237">
        <v>0</v>
      </c>
      <c r="F6734" s="237">
        <v>0</v>
      </c>
      <c r="G6734" s="237">
        <v>0</v>
      </c>
      <c r="H6734" s="237">
        <v>0</v>
      </c>
      <c r="I6734" s="237">
        <v>0</v>
      </c>
      <c r="J6734" s="237">
        <v>0</v>
      </c>
    </row>
    <row r="6735" spans="1:10" s="225" customFormat="1">
      <c r="A6735" s="222" t="s">
        <v>179</v>
      </c>
      <c r="B6735" s="222" t="s">
        <v>13</v>
      </c>
      <c r="C6735" s="236">
        <v>0.75902777777777797</v>
      </c>
      <c r="D6735" s="237">
        <v>0</v>
      </c>
      <c r="E6735" s="237">
        <v>0</v>
      </c>
      <c r="F6735" s="237">
        <v>0</v>
      </c>
      <c r="G6735" s="237">
        <v>0</v>
      </c>
      <c r="H6735" s="237">
        <v>0</v>
      </c>
      <c r="I6735" s="237">
        <v>0</v>
      </c>
      <c r="J6735" s="237">
        <v>0</v>
      </c>
    </row>
    <row r="6736" spans="1:10" s="229" customFormat="1">
      <c r="A6736" s="226" t="s">
        <v>179</v>
      </c>
      <c r="B6736" s="226" t="s">
        <v>13</v>
      </c>
      <c r="C6736" s="238">
        <v>0.75972222222222197</v>
      </c>
      <c r="D6736" s="239">
        <v>0</v>
      </c>
      <c r="E6736" s="239">
        <v>0</v>
      </c>
      <c r="F6736" s="239">
        <v>0</v>
      </c>
      <c r="G6736" s="239">
        <v>0</v>
      </c>
      <c r="H6736" s="239">
        <v>0</v>
      </c>
      <c r="I6736" s="239">
        <v>0</v>
      </c>
      <c r="J6736" s="239">
        <v>0</v>
      </c>
    </row>
    <row r="6737" spans="1:10" s="225" customFormat="1">
      <c r="A6737" s="222" t="s">
        <v>179</v>
      </c>
      <c r="B6737" s="222" t="s">
        <v>13</v>
      </c>
      <c r="C6737" s="236">
        <v>0.76041666666666696</v>
      </c>
      <c r="D6737" s="237">
        <v>0</v>
      </c>
      <c r="E6737" s="237">
        <v>0</v>
      </c>
      <c r="F6737" s="237">
        <v>0</v>
      </c>
      <c r="G6737" s="237">
        <v>0</v>
      </c>
      <c r="H6737" s="237">
        <v>0</v>
      </c>
      <c r="I6737" s="237">
        <v>0</v>
      </c>
      <c r="J6737" s="237">
        <v>0</v>
      </c>
    </row>
    <row r="6738" spans="1:10" s="225" customFormat="1">
      <c r="A6738" s="222" t="s">
        <v>179</v>
      </c>
      <c r="B6738" s="222" t="s">
        <v>13</v>
      </c>
      <c r="C6738" s="236">
        <v>0.76111111111111096</v>
      </c>
      <c r="D6738" s="237">
        <v>0</v>
      </c>
      <c r="E6738" s="237">
        <v>0</v>
      </c>
      <c r="F6738" s="237">
        <v>0</v>
      </c>
      <c r="G6738" s="237">
        <v>0</v>
      </c>
      <c r="H6738" s="237">
        <v>0</v>
      </c>
      <c r="I6738" s="237">
        <v>0</v>
      </c>
      <c r="J6738" s="237">
        <v>0</v>
      </c>
    </row>
    <row r="6739" spans="1:10" s="225" customFormat="1">
      <c r="A6739" s="222" t="s">
        <v>179</v>
      </c>
      <c r="B6739" s="222" t="s">
        <v>13</v>
      </c>
      <c r="C6739" s="236">
        <v>0.76180555555555596</v>
      </c>
      <c r="D6739" s="237">
        <v>0</v>
      </c>
      <c r="E6739" s="237">
        <v>0</v>
      </c>
      <c r="F6739" s="237">
        <v>0</v>
      </c>
      <c r="G6739" s="237">
        <v>0</v>
      </c>
      <c r="H6739" s="237">
        <v>0</v>
      </c>
      <c r="I6739" s="237">
        <v>0</v>
      </c>
      <c r="J6739" s="237">
        <v>0</v>
      </c>
    </row>
    <row r="6740" spans="1:10" s="225" customFormat="1">
      <c r="A6740" s="222" t="s">
        <v>179</v>
      </c>
      <c r="B6740" s="222" t="s">
        <v>13</v>
      </c>
      <c r="C6740" s="236">
        <v>0.76249999999999996</v>
      </c>
      <c r="D6740" s="237">
        <v>0</v>
      </c>
      <c r="E6740" s="237">
        <v>0</v>
      </c>
      <c r="F6740" s="237">
        <v>0</v>
      </c>
      <c r="G6740" s="237">
        <v>0</v>
      </c>
      <c r="H6740" s="237">
        <v>0</v>
      </c>
      <c r="I6740" s="237">
        <v>0</v>
      </c>
      <c r="J6740" s="237">
        <v>0</v>
      </c>
    </row>
    <row r="6741" spans="1:10" s="225" customFormat="1">
      <c r="A6741" s="222" t="s">
        <v>179</v>
      </c>
      <c r="B6741" s="222" t="s">
        <v>13</v>
      </c>
      <c r="C6741" s="236">
        <v>0.76319444444444395</v>
      </c>
      <c r="D6741" s="237">
        <v>0</v>
      </c>
      <c r="E6741" s="237">
        <v>0</v>
      </c>
      <c r="F6741" s="237">
        <v>0</v>
      </c>
      <c r="G6741" s="237">
        <v>0</v>
      </c>
      <c r="H6741" s="237">
        <v>0</v>
      </c>
      <c r="I6741" s="237">
        <v>0</v>
      </c>
      <c r="J6741" s="237">
        <v>0</v>
      </c>
    </row>
    <row r="6742" spans="1:10" s="225" customFormat="1">
      <c r="A6742" s="222" t="s">
        <v>179</v>
      </c>
      <c r="B6742" s="222" t="s">
        <v>13</v>
      </c>
      <c r="C6742" s="236">
        <v>0.76388888888888895</v>
      </c>
      <c r="D6742" s="237">
        <v>0</v>
      </c>
      <c r="E6742" s="237">
        <v>0</v>
      </c>
      <c r="F6742" s="237">
        <v>0</v>
      </c>
      <c r="G6742" s="237">
        <v>0</v>
      </c>
      <c r="H6742" s="237">
        <v>0</v>
      </c>
      <c r="I6742" s="237">
        <v>0</v>
      </c>
      <c r="J6742" s="237">
        <v>0</v>
      </c>
    </row>
    <row r="6743" spans="1:10" s="225" customFormat="1">
      <c r="A6743" s="222" t="s">
        <v>179</v>
      </c>
      <c r="B6743" s="222" t="s">
        <v>13</v>
      </c>
      <c r="C6743" s="236">
        <v>0.76458333333333295</v>
      </c>
      <c r="D6743" s="237">
        <v>0</v>
      </c>
      <c r="E6743" s="237">
        <v>0</v>
      </c>
      <c r="F6743" s="237">
        <v>0</v>
      </c>
      <c r="G6743" s="237">
        <v>0</v>
      </c>
      <c r="H6743" s="237">
        <v>0</v>
      </c>
      <c r="I6743" s="237">
        <v>0</v>
      </c>
      <c r="J6743" s="237">
        <v>0</v>
      </c>
    </row>
    <row r="6744" spans="1:10" s="225" customFormat="1">
      <c r="A6744" s="222" t="s">
        <v>179</v>
      </c>
      <c r="B6744" s="222" t="s">
        <v>13</v>
      </c>
      <c r="C6744" s="236">
        <v>0.76527777777777795</v>
      </c>
      <c r="D6744" s="237">
        <v>0</v>
      </c>
      <c r="E6744" s="237">
        <v>0</v>
      </c>
      <c r="F6744" s="237">
        <v>0</v>
      </c>
      <c r="G6744" s="237">
        <v>0</v>
      </c>
      <c r="H6744" s="237">
        <v>0</v>
      </c>
      <c r="I6744" s="237">
        <v>0</v>
      </c>
      <c r="J6744" s="237">
        <v>0</v>
      </c>
    </row>
    <row r="6745" spans="1:10" s="225" customFormat="1">
      <c r="A6745" s="222" t="s">
        <v>179</v>
      </c>
      <c r="B6745" s="222" t="s">
        <v>13</v>
      </c>
      <c r="C6745" s="236">
        <v>0.76597222222222205</v>
      </c>
      <c r="D6745" s="237">
        <v>0</v>
      </c>
      <c r="E6745" s="237">
        <v>0</v>
      </c>
      <c r="F6745" s="237">
        <v>0</v>
      </c>
      <c r="G6745" s="237">
        <v>0</v>
      </c>
      <c r="H6745" s="237">
        <v>0</v>
      </c>
      <c r="I6745" s="237">
        <v>0</v>
      </c>
      <c r="J6745" s="237">
        <v>0</v>
      </c>
    </row>
    <row r="6746" spans="1:10" s="225" customFormat="1">
      <c r="A6746" s="222" t="s">
        <v>179</v>
      </c>
      <c r="B6746" s="222" t="s">
        <v>13</v>
      </c>
      <c r="C6746" s="236">
        <v>0.76666666666666705</v>
      </c>
      <c r="D6746" s="237">
        <v>0</v>
      </c>
      <c r="E6746" s="237">
        <v>0</v>
      </c>
      <c r="F6746" s="237">
        <v>0</v>
      </c>
      <c r="G6746" s="237">
        <v>0</v>
      </c>
      <c r="H6746" s="237">
        <v>0</v>
      </c>
      <c r="I6746" s="237">
        <v>0</v>
      </c>
      <c r="J6746" s="237">
        <v>0</v>
      </c>
    </row>
    <row r="6747" spans="1:10" s="225" customFormat="1">
      <c r="A6747" s="222" t="s">
        <v>179</v>
      </c>
      <c r="B6747" s="222" t="s">
        <v>13</v>
      </c>
      <c r="C6747" s="236">
        <v>0.76736111111111105</v>
      </c>
      <c r="D6747" s="237">
        <v>0</v>
      </c>
      <c r="E6747" s="237">
        <v>0</v>
      </c>
      <c r="F6747" s="237">
        <v>0</v>
      </c>
      <c r="G6747" s="237">
        <v>0</v>
      </c>
      <c r="H6747" s="237">
        <v>0</v>
      </c>
      <c r="I6747" s="237">
        <v>0</v>
      </c>
      <c r="J6747" s="237">
        <v>0</v>
      </c>
    </row>
    <row r="6748" spans="1:10" s="225" customFormat="1">
      <c r="A6748" s="222" t="s">
        <v>179</v>
      </c>
      <c r="B6748" s="222" t="s">
        <v>13</v>
      </c>
      <c r="C6748" s="236">
        <v>0.76805555555555505</v>
      </c>
      <c r="D6748" s="237">
        <v>0</v>
      </c>
      <c r="E6748" s="237">
        <v>0</v>
      </c>
      <c r="F6748" s="237">
        <v>0</v>
      </c>
      <c r="G6748" s="237">
        <v>0</v>
      </c>
      <c r="H6748" s="237">
        <v>0</v>
      </c>
      <c r="I6748" s="237">
        <v>0</v>
      </c>
      <c r="J6748" s="237">
        <v>0</v>
      </c>
    </row>
    <row r="6749" spans="1:10" s="225" customFormat="1">
      <c r="A6749" s="222" t="s">
        <v>179</v>
      </c>
      <c r="B6749" s="222" t="s">
        <v>13</v>
      </c>
      <c r="C6749" s="236">
        <v>0.76875000000000004</v>
      </c>
      <c r="D6749" s="237">
        <v>0</v>
      </c>
      <c r="E6749" s="237">
        <v>0</v>
      </c>
      <c r="F6749" s="237">
        <v>0</v>
      </c>
      <c r="G6749" s="237">
        <v>0</v>
      </c>
      <c r="H6749" s="237">
        <v>0</v>
      </c>
      <c r="I6749" s="237">
        <v>0</v>
      </c>
      <c r="J6749" s="237">
        <v>0</v>
      </c>
    </row>
    <row r="6750" spans="1:10" s="225" customFormat="1">
      <c r="A6750" s="222" t="s">
        <v>179</v>
      </c>
      <c r="B6750" s="222" t="s">
        <v>13</v>
      </c>
      <c r="C6750" s="236">
        <v>0.76944444444444404</v>
      </c>
      <c r="D6750" s="237">
        <v>0</v>
      </c>
      <c r="E6750" s="237">
        <v>0</v>
      </c>
      <c r="F6750" s="237">
        <v>0</v>
      </c>
      <c r="G6750" s="237">
        <v>0</v>
      </c>
      <c r="H6750" s="237">
        <v>0</v>
      </c>
      <c r="I6750" s="237">
        <v>0</v>
      </c>
      <c r="J6750" s="237">
        <v>0</v>
      </c>
    </row>
    <row r="6751" spans="1:10" s="229" customFormat="1">
      <c r="A6751" s="226" t="s">
        <v>179</v>
      </c>
      <c r="B6751" s="226" t="s">
        <v>13</v>
      </c>
      <c r="C6751" s="238">
        <v>0.77013888888888904</v>
      </c>
      <c r="D6751" s="239">
        <v>0</v>
      </c>
      <c r="E6751" s="239">
        <v>0</v>
      </c>
      <c r="F6751" s="239">
        <v>0</v>
      </c>
      <c r="G6751" s="239">
        <v>0</v>
      </c>
      <c r="H6751" s="239">
        <v>0</v>
      </c>
      <c r="I6751" s="239">
        <v>0</v>
      </c>
      <c r="J6751" s="239">
        <v>0</v>
      </c>
    </row>
    <row r="6752" spans="1:10" s="225" customFormat="1">
      <c r="A6752" s="222" t="s">
        <v>179</v>
      </c>
      <c r="B6752" s="222" t="s">
        <v>13</v>
      </c>
      <c r="C6752" s="236">
        <v>0.77083333333333304</v>
      </c>
      <c r="D6752" s="237">
        <v>0</v>
      </c>
      <c r="E6752" s="237">
        <v>0</v>
      </c>
      <c r="F6752" s="237">
        <v>0</v>
      </c>
      <c r="G6752" s="237">
        <v>0</v>
      </c>
      <c r="H6752" s="237">
        <v>0</v>
      </c>
      <c r="I6752" s="237">
        <v>0</v>
      </c>
      <c r="J6752" s="237">
        <v>0</v>
      </c>
    </row>
    <row r="6753" spans="1:10" s="225" customFormat="1">
      <c r="A6753" s="222" t="s">
        <v>179</v>
      </c>
      <c r="B6753" s="222" t="s">
        <v>13</v>
      </c>
      <c r="C6753" s="236">
        <v>0.77152777777777803</v>
      </c>
      <c r="D6753" s="237">
        <v>0</v>
      </c>
      <c r="E6753" s="237">
        <v>0</v>
      </c>
      <c r="F6753" s="237">
        <v>0</v>
      </c>
      <c r="G6753" s="237">
        <v>0</v>
      </c>
      <c r="H6753" s="237">
        <v>0</v>
      </c>
      <c r="I6753" s="237">
        <v>0</v>
      </c>
      <c r="J6753" s="237">
        <v>0</v>
      </c>
    </row>
    <row r="6754" spans="1:10" s="225" customFormat="1">
      <c r="A6754" s="222" t="s">
        <v>179</v>
      </c>
      <c r="B6754" s="222" t="s">
        <v>13</v>
      </c>
      <c r="C6754" s="236">
        <v>0.77222222222222203</v>
      </c>
      <c r="D6754" s="237">
        <v>0</v>
      </c>
      <c r="E6754" s="237">
        <v>0</v>
      </c>
      <c r="F6754" s="237">
        <v>0</v>
      </c>
      <c r="G6754" s="237">
        <v>0</v>
      </c>
      <c r="H6754" s="237">
        <v>0</v>
      </c>
      <c r="I6754" s="237">
        <v>0</v>
      </c>
      <c r="J6754" s="237">
        <v>0</v>
      </c>
    </row>
    <row r="6755" spans="1:10" s="225" customFormat="1">
      <c r="A6755" s="222" t="s">
        <v>179</v>
      </c>
      <c r="B6755" s="222" t="s">
        <v>13</v>
      </c>
      <c r="C6755" s="236">
        <v>0.77291666666666703</v>
      </c>
      <c r="D6755" s="237">
        <v>0</v>
      </c>
      <c r="E6755" s="237">
        <v>0</v>
      </c>
      <c r="F6755" s="237">
        <v>0</v>
      </c>
      <c r="G6755" s="237">
        <v>0</v>
      </c>
      <c r="H6755" s="237">
        <v>0</v>
      </c>
      <c r="I6755" s="237">
        <v>0</v>
      </c>
      <c r="J6755" s="237">
        <v>0</v>
      </c>
    </row>
    <row r="6756" spans="1:10" s="225" customFormat="1">
      <c r="A6756" s="222" t="s">
        <v>179</v>
      </c>
      <c r="B6756" s="222" t="s">
        <v>13</v>
      </c>
      <c r="C6756" s="236">
        <v>0.77361111111111103</v>
      </c>
      <c r="D6756" s="237">
        <v>0</v>
      </c>
      <c r="E6756" s="237">
        <v>0</v>
      </c>
      <c r="F6756" s="237">
        <v>0</v>
      </c>
      <c r="G6756" s="237">
        <v>0</v>
      </c>
      <c r="H6756" s="237">
        <v>0</v>
      </c>
      <c r="I6756" s="237">
        <v>0</v>
      </c>
      <c r="J6756" s="237">
        <v>0</v>
      </c>
    </row>
    <row r="6757" spans="1:10" s="225" customFormat="1">
      <c r="A6757" s="222" t="s">
        <v>179</v>
      </c>
      <c r="B6757" s="222" t="s">
        <v>13</v>
      </c>
      <c r="C6757" s="236">
        <v>0.77430555555555503</v>
      </c>
      <c r="D6757" s="237">
        <v>0</v>
      </c>
      <c r="E6757" s="237">
        <v>0</v>
      </c>
      <c r="F6757" s="237">
        <v>0</v>
      </c>
      <c r="G6757" s="237">
        <v>0</v>
      </c>
      <c r="H6757" s="237">
        <v>0</v>
      </c>
      <c r="I6757" s="237">
        <v>0</v>
      </c>
      <c r="J6757" s="237">
        <v>0</v>
      </c>
    </row>
    <row r="6758" spans="1:10" s="225" customFormat="1">
      <c r="A6758" s="222" t="s">
        <v>179</v>
      </c>
      <c r="B6758" s="222" t="s">
        <v>13</v>
      </c>
      <c r="C6758" s="236">
        <v>0.77500000000000002</v>
      </c>
      <c r="D6758" s="237">
        <v>0</v>
      </c>
      <c r="E6758" s="237">
        <v>0</v>
      </c>
      <c r="F6758" s="237">
        <v>0</v>
      </c>
      <c r="G6758" s="237">
        <v>0</v>
      </c>
      <c r="H6758" s="237">
        <v>0</v>
      </c>
      <c r="I6758" s="237">
        <v>0</v>
      </c>
      <c r="J6758" s="237">
        <v>0</v>
      </c>
    </row>
    <row r="6759" spans="1:10" s="225" customFormat="1">
      <c r="A6759" s="222" t="s">
        <v>179</v>
      </c>
      <c r="B6759" s="222" t="s">
        <v>13</v>
      </c>
      <c r="C6759" s="236">
        <v>0.77569444444444402</v>
      </c>
      <c r="D6759" s="237">
        <v>0</v>
      </c>
      <c r="E6759" s="237">
        <v>0</v>
      </c>
      <c r="F6759" s="237">
        <v>0</v>
      </c>
      <c r="G6759" s="237">
        <v>0</v>
      </c>
      <c r="H6759" s="237">
        <v>0</v>
      </c>
      <c r="I6759" s="237">
        <v>0</v>
      </c>
      <c r="J6759" s="237">
        <v>0</v>
      </c>
    </row>
    <row r="6760" spans="1:10" s="225" customFormat="1">
      <c r="A6760" s="222" t="s">
        <v>179</v>
      </c>
      <c r="B6760" s="222" t="s">
        <v>13</v>
      </c>
      <c r="C6760" s="236">
        <v>0.77638888888888902</v>
      </c>
      <c r="D6760" s="237">
        <v>0</v>
      </c>
      <c r="E6760" s="237">
        <v>0</v>
      </c>
      <c r="F6760" s="237">
        <v>0</v>
      </c>
      <c r="G6760" s="237">
        <v>0</v>
      </c>
      <c r="H6760" s="237">
        <v>0</v>
      </c>
      <c r="I6760" s="237">
        <v>0</v>
      </c>
      <c r="J6760" s="237">
        <v>0</v>
      </c>
    </row>
    <row r="6761" spans="1:10" s="225" customFormat="1">
      <c r="A6761" s="222" t="s">
        <v>179</v>
      </c>
      <c r="B6761" s="222" t="s">
        <v>13</v>
      </c>
      <c r="C6761" s="236">
        <v>0.77708333333333302</v>
      </c>
      <c r="D6761" s="237">
        <v>0</v>
      </c>
      <c r="E6761" s="237">
        <v>0</v>
      </c>
      <c r="F6761" s="237">
        <v>0</v>
      </c>
      <c r="G6761" s="237">
        <v>0</v>
      </c>
      <c r="H6761" s="237">
        <v>0</v>
      </c>
      <c r="I6761" s="237">
        <v>0</v>
      </c>
      <c r="J6761" s="237">
        <v>0</v>
      </c>
    </row>
    <row r="6762" spans="1:10" s="225" customFormat="1">
      <c r="A6762" s="222" t="s">
        <v>179</v>
      </c>
      <c r="B6762" s="222" t="s">
        <v>13</v>
      </c>
      <c r="C6762" s="236">
        <v>0.77777777777777801</v>
      </c>
      <c r="D6762" s="237">
        <v>0</v>
      </c>
      <c r="E6762" s="237">
        <v>0</v>
      </c>
      <c r="F6762" s="237">
        <v>0</v>
      </c>
      <c r="G6762" s="237">
        <v>0</v>
      </c>
      <c r="H6762" s="237">
        <v>0</v>
      </c>
      <c r="I6762" s="237">
        <v>0</v>
      </c>
      <c r="J6762" s="237">
        <v>0</v>
      </c>
    </row>
    <row r="6763" spans="1:10" s="225" customFormat="1">
      <c r="A6763" s="222" t="s">
        <v>179</v>
      </c>
      <c r="B6763" s="222" t="s">
        <v>13</v>
      </c>
      <c r="C6763" s="236">
        <v>0.77847222222222201</v>
      </c>
      <c r="D6763" s="237">
        <v>0</v>
      </c>
      <c r="E6763" s="237">
        <v>0</v>
      </c>
      <c r="F6763" s="237">
        <v>0</v>
      </c>
      <c r="G6763" s="237">
        <v>0</v>
      </c>
      <c r="H6763" s="237">
        <v>0</v>
      </c>
      <c r="I6763" s="237">
        <v>0</v>
      </c>
      <c r="J6763" s="237">
        <v>0</v>
      </c>
    </row>
    <row r="6764" spans="1:10" s="225" customFormat="1">
      <c r="A6764" s="222" t="s">
        <v>179</v>
      </c>
      <c r="B6764" s="222" t="s">
        <v>13</v>
      </c>
      <c r="C6764" s="236">
        <v>0.77916666666666701</v>
      </c>
      <c r="D6764" s="237">
        <v>0</v>
      </c>
      <c r="E6764" s="237">
        <v>0</v>
      </c>
      <c r="F6764" s="237">
        <v>0</v>
      </c>
      <c r="G6764" s="237">
        <v>0</v>
      </c>
      <c r="H6764" s="237">
        <v>0</v>
      </c>
      <c r="I6764" s="237">
        <v>0</v>
      </c>
      <c r="J6764" s="237">
        <v>0</v>
      </c>
    </row>
    <row r="6765" spans="1:10" s="225" customFormat="1">
      <c r="A6765" s="222" t="s">
        <v>179</v>
      </c>
      <c r="B6765" s="222" t="s">
        <v>13</v>
      </c>
      <c r="C6765" s="236">
        <v>0.77986111111111101</v>
      </c>
      <c r="D6765" s="237">
        <v>0</v>
      </c>
      <c r="E6765" s="237">
        <v>0</v>
      </c>
      <c r="F6765" s="237">
        <v>0</v>
      </c>
      <c r="G6765" s="237">
        <v>0</v>
      </c>
      <c r="H6765" s="237">
        <v>0</v>
      </c>
      <c r="I6765" s="237">
        <v>0</v>
      </c>
      <c r="J6765" s="237">
        <v>0</v>
      </c>
    </row>
    <row r="6766" spans="1:10" s="229" customFormat="1">
      <c r="A6766" s="226" t="s">
        <v>179</v>
      </c>
      <c r="B6766" s="226" t="s">
        <v>13</v>
      </c>
      <c r="C6766" s="238">
        <v>0.780555555555555</v>
      </c>
      <c r="D6766" s="239">
        <v>0</v>
      </c>
      <c r="E6766" s="239">
        <v>0</v>
      </c>
      <c r="F6766" s="239">
        <v>0</v>
      </c>
      <c r="G6766" s="239">
        <v>0</v>
      </c>
      <c r="H6766" s="239">
        <v>0</v>
      </c>
      <c r="I6766" s="239">
        <v>0</v>
      </c>
      <c r="J6766" s="239">
        <v>0</v>
      </c>
    </row>
    <row r="6767" spans="1:10" s="225" customFormat="1">
      <c r="A6767" s="222" t="s">
        <v>179</v>
      </c>
      <c r="B6767" s="222" t="s">
        <v>13</v>
      </c>
      <c r="C6767" s="236">
        <v>0.78125</v>
      </c>
      <c r="D6767" s="237">
        <v>0</v>
      </c>
      <c r="E6767" s="237">
        <v>0</v>
      </c>
      <c r="F6767" s="237">
        <v>0</v>
      </c>
      <c r="G6767" s="237">
        <v>0</v>
      </c>
      <c r="H6767" s="237">
        <v>0</v>
      </c>
      <c r="I6767" s="237">
        <v>0</v>
      </c>
      <c r="J6767" s="237">
        <v>0</v>
      </c>
    </row>
    <row r="6768" spans="1:10" s="225" customFormat="1">
      <c r="A6768" s="222" t="s">
        <v>179</v>
      </c>
      <c r="B6768" s="222" t="s">
        <v>13</v>
      </c>
      <c r="C6768" s="236">
        <v>0.781944444444444</v>
      </c>
      <c r="D6768" s="237">
        <v>0</v>
      </c>
      <c r="E6768" s="237">
        <v>0</v>
      </c>
      <c r="F6768" s="237">
        <v>0</v>
      </c>
      <c r="G6768" s="237">
        <v>0</v>
      </c>
      <c r="H6768" s="237">
        <v>0</v>
      </c>
      <c r="I6768" s="237">
        <v>0</v>
      </c>
      <c r="J6768" s="237">
        <v>0</v>
      </c>
    </row>
    <row r="6769" spans="1:10" s="225" customFormat="1">
      <c r="A6769" s="222" t="s">
        <v>179</v>
      </c>
      <c r="B6769" s="222" t="s">
        <v>13</v>
      </c>
      <c r="C6769" s="236">
        <v>0.78263888888888899</v>
      </c>
      <c r="D6769" s="237">
        <v>0</v>
      </c>
      <c r="E6769" s="237">
        <v>0</v>
      </c>
      <c r="F6769" s="237">
        <v>0</v>
      </c>
      <c r="G6769" s="237">
        <v>0</v>
      </c>
      <c r="H6769" s="237">
        <v>0</v>
      </c>
      <c r="I6769" s="237">
        <v>0</v>
      </c>
      <c r="J6769" s="237">
        <v>0</v>
      </c>
    </row>
    <row r="6770" spans="1:10" s="225" customFormat="1">
      <c r="A6770" s="222" t="s">
        <v>179</v>
      </c>
      <c r="B6770" s="222" t="s">
        <v>13</v>
      </c>
      <c r="C6770" s="236">
        <v>0.78333333333333299</v>
      </c>
      <c r="D6770" s="237">
        <v>0</v>
      </c>
      <c r="E6770" s="237">
        <v>0</v>
      </c>
      <c r="F6770" s="237">
        <v>0</v>
      </c>
      <c r="G6770" s="237">
        <v>0</v>
      </c>
      <c r="H6770" s="237">
        <v>0</v>
      </c>
      <c r="I6770" s="237">
        <v>0</v>
      </c>
      <c r="J6770" s="237">
        <v>0</v>
      </c>
    </row>
    <row r="6771" spans="1:10" s="225" customFormat="1">
      <c r="A6771" s="222" t="s">
        <v>179</v>
      </c>
      <c r="B6771" s="222" t="s">
        <v>13</v>
      </c>
      <c r="C6771" s="236">
        <v>0.78402777777777799</v>
      </c>
      <c r="D6771" s="237">
        <v>0</v>
      </c>
      <c r="E6771" s="237">
        <v>0</v>
      </c>
      <c r="F6771" s="237">
        <v>0</v>
      </c>
      <c r="G6771" s="237">
        <v>0</v>
      </c>
      <c r="H6771" s="237">
        <v>0</v>
      </c>
      <c r="I6771" s="237">
        <v>0</v>
      </c>
      <c r="J6771" s="237">
        <v>0</v>
      </c>
    </row>
    <row r="6772" spans="1:10" s="225" customFormat="1">
      <c r="A6772" s="222" t="s">
        <v>179</v>
      </c>
      <c r="B6772" s="222" t="s">
        <v>13</v>
      </c>
      <c r="C6772" s="236">
        <v>0.78472222222222199</v>
      </c>
      <c r="D6772" s="237">
        <v>0</v>
      </c>
      <c r="E6772" s="237">
        <v>0</v>
      </c>
      <c r="F6772" s="237">
        <v>0</v>
      </c>
      <c r="G6772" s="237">
        <v>0</v>
      </c>
      <c r="H6772" s="237">
        <v>0</v>
      </c>
      <c r="I6772" s="237">
        <v>0</v>
      </c>
      <c r="J6772" s="237">
        <v>0</v>
      </c>
    </row>
    <row r="6773" spans="1:10" s="225" customFormat="1">
      <c r="A6773" s="222" t="s">
        <v>179</v>
      </c>
      <c r="B6773" s="222" t="s">
        <v>13</v>
      </c>
      <c r="C6773" s="236">
        <v>0.78541666666666698</v>
      </c>
      <c r="D6773" s="237">
        <v>0</v>
      </c>
      <c r="E6773" s="237">
        <v>0</v>
      </c>
      <c r="F6773" s="237">
        <v>0</v>
      </c>
      <c r="G6773" s="237">
        <v>0</v>
      </c>
      <c r="H6773" s="237">
        <v>0</v>
      </c>
      <c r="I6773" s="237">
        <v>0</v>
      </c>
      <c r="J6773" s="237">
        <v>0</v>
      </c>
    </row>
    <row r="6774" spans="1:10" s="225" customFormat="1">
      <c r="A6774" s="222" t="s">
        <v>179</v>
      </c>
      <c r="B6774" s="222" t="s">
        <v>13</v>
      </c>
      <c r="C6774" s="236">
        <v>0.78611111111111098</v>
      </c>
      <c r="D6774" s="237">
        <v>0</v>
      </c>
      <c r="E6774" s="237">
        <v>0</v>
      </c>
      <c r="F6774" s="237">
        <v>0</v>
      </c>
      <c r="G6774" s="237">
        <v>0</v>
      </c>
      <c r="H6774" s="237">
        <v>0</v>
      </c>
      <c r="I6774" s="237">
        <v>0</v>
      </c>
      <c r="J6774" s="237">
        <v>0</v>
      </c>
    </row>
    <row r="6775" spans="1:10" s="225" customFormat="1">
      <c r="A6775" s="222" t="s">
        <v>179</v>
      </c>
      <c r="B6775" s="222" t="s">
        <v>13</v>
      </c>
      <c r="C6775" s="236">
        <v>0.78680555555555498</v>
      </c>
      <c r="D6775" s="237">
        <v>0</v>
      </c>
      <c r="E6775" s="237">
        <v>0</v>
      </c>
      <c r="F6775" s="237">
        <v>0</v>
      </c>
      <c r="G6775" s="237">
        <v>0</v>
      </c>
      <c r="H6775" s="237">
        <v>0</v>
      </c>
      <c r="I6775" s="237">
        <v>0</v>
      </c>
      <c r="J6775" s="237">
        <v>0</v>
      </c>
    </row>
    <row r="6776" spans="1:10" s="225" customFormat="1">
      <c r="A6776" s="222" t="s">
        <v>179</v>
      </c>
      <c r="B6776" s="222" t="s">
        <v>13</v>
      </c>
      <c r="C6776" s="236">
        <v>0.78749999999999998</v>
      </c>
      <c r="D6776" s="237">
        <v>0</v>
      </c>
      <c r="E6776" s="237">
        <v>0</v>
      </c>
      <c r="F6776" s="237">
        <v>0</v>
      </c>
      <c r="G6776" s="237">
        <v>0</v>
      </c>
      <c r="H6776" s="237">
        <v>0</v>
      </c>
      <c r="I6776" s="237">
        <v>0</v>
      </c>
      <c r="J6776" s="237">
        <v>0</v>
      </c>
    </row>
    <row r="6777" spans="1:10" s="225" customFormat="1">
      <c r="A6777" s="222" t="s">
        <v>179</v>
      </c>
      <c r="B6777" s="222" t="s">
        <v>13</v>
      </c>
      <c r="C6777" s="236">
        <v>0.78819444444444398</v>
      </c>
      <c r="D6777" s="237">
        <v>0</v>
      </c>
      <c r="E6777" s="237">
        <v>0</v>
      </c>
      <c r="F6777" s="237">
        <v>0</v>
      </c>
      <c r="G6777" s="237">
        <v>0</v>
      </c>
      <c r="H6777" s="237">
        <v>0</v>
      </c>
      <c r="I6777" s="237">
        <v>0</v>
      </c>
      <c r="J6777" s="237">
        <v>0</v>
      </c>
    </row>
    <row r="6778" spans="1:10" s="225" customFormat="1">
      <c r="A6778" s="222" t="s">
        <v>179</v>
      </c>
      <c r="B6778" s="222" t="s">
        <v>13</v>
      </c>
      <c r="C6778" s="236">
        <v>0.78888888888888897</v>
      </c>
      <c r="D6778" s="237">
        <v>0</v>
      </c>
      <c r="E6778" s="237">
        <v>0</v>
      </c>
      <c r="F6778" s="237">
        <v>0</v>
      </c>
      <c r="G6778" s="237">
        <v>0</v>
      </c>
      <c r="H6778" s="237">
        <v>0</v>
      </c>
      <c r="I6778" s="237">
        <v>0</v>
      </c>
      <c r="J6778" s="237">
        <v>0</v>
      </c>
    </row>
    <row r="6779" spans="1:10" s="225" customFormat="1">
      <c r="A6779" s="222" t="s">
        <v>179</v>
      </c>
      <c r="B6779" s="222" t="s">
        <v>13</v>
      </c>
      <c r="C6779" s="236">
        <v>0.78958333333333297</v>
      </c>
      <c r="D6779" s="237">
        <v>0</v>
      </c>
      <c r="E6779" s="237">
        <v>0</v>
      </c>
      <c r="F6779" s="237">
        <v>0</v>
      </c>
      <c r="G6779" s="237">
        <v>0</v>
      </c>
      <c r="H6779" s="237">
        <v>0</v>
      </c>
      <c r="I6779" s="237">
        <v>0</v>
      </c>
      <c r="J6779" s="237">
        <v>0</v>
      </c>
    </row>
    <row r="6780" spans="1:10" s="225" customFormat="1">
      <c r="A6780" s="222" t="s">
        <v>179</v>
      </c>
      <c r="B6780" s="222" t="s">
        <v>13</v>
      </c>
      <c r="C6780" s="236">
        <v>0.79027777777777797</v>
      </c>
      <c r="D6780" s="237">
        <v>0</v>
      </c>
      <c r="E6780" s="237">
        <v>0</v>
      </c>
      <c r="F6780" s="237">
        <v>0</v>
      </c>
      <c r="G6780" s="237">
        <v>0</v>
      </c>
      <c r="H6780" s="237">
        <v>0</v>
      </c>
      <c r="I6780" s="237">
        <v>0</v>
      </c>
      <c r="J6780" s="237">
        <v>0</v>
      </c>
    </row>
    <row r="6781" spans="1:10" s="229" customFormat="1">
      <c r="A6781" s="226" t="s">
        <v>179</v>
      </c>
      <c r="B6781" s="226" t="s">
        <v>13</v>
      </c>
      <c r="C6781" s="238">
        <v>0.79097222222222197</v>
      </c>
      <c r="D6781" s="239">
        <v>0</v>
      </c>
      <c r="E6781" s="239">
        <v>0</v>
      </c>
      <c r="F6781" s="239">
        <v>0</v>
      </c>
      <c r="G6781" s="239">
        <v>0</v>
      </c>
      <c r="H6781" s="239">
        <v>0</v>
      </c>
      <c r="I6781" s="239">
        <v>0</v>
      </c>
      <c r="J6781" s="239">
        <v>0</v>
      </c>
    </row>
    <row r="6782" spans="1:10" s="225" customFormat="1">
      <c r="A6782" s="222" t="s">
        <v>179</v>
      </c>
      <c r="B6782" s="222" t="s">
        <v>13</v>
      </c>
      <c r="C6782" s="236">
        <v>0.79166666666666696</v>
      </c>
      <c r="D6782" s="237">
        <v>0</v>
      </c>
      <c r="E6782" s="237">
        <v>0</v>
      </c>
      <c r="F6782" s="237">
        <v>0</v>
      </c>
      <c r="G6782" s="237">
        <v>0</v>
      </c>
      <c r="H6782" s="237">
        <v>0</v>
      </c>
      <c r="I6782" s="237">
        <v>0</v>
      </c>
      <c r="J6782" s="237">
        <v>0</v>
      </c>
    </row>
    <row r="6783" spans="1:10" s="225" customFormat="1">
      <c r="A6783" s="222" t="s">
        <v>179</v>
      </c>
      <c r="B6783" s="222" t="s">
        <v>13</v>
      </c>
      <c r="C6783" s="236">
        <v>0.79236111111111096</v>
      </c>
      <c r="D6783" s="237">
        <v>0</v>
      </c>
      <c r="E6783" s="237">
        <v>0</v>
      </c>
      <c r="F6783" s="237">
        <v>0</v>
      </c>
      <c r="G6783" s="237">
        <v>0</v>
      </c>
      <c r="H6783" s="237">
        <v>0</v>
      </c>
      <c r="I6783" s="237">
        <v>0</v>
      </c>
      <c r="J6783" s="237">
        <v>0</v>
      </c>
    </row>
    <row r="6784" spans="1:10" s="225" customFormat="1">
      <c r="A6784" s="222" t="s">
        <v>179</v>
      </c>
      <c r="B6784" s="222" t="s">
        <v>13</v>
      </c>
      <c r="C6784" s="236">
        <v>0.79305555555555496</v>
      </c>
      <c r="D6784" s="237">
        <v>0</v>
      </c>
      <c r="E6784" s="237">
        <v>0</v>
      </c>
      <c r="F6784" s="237">
        <v>0</v>
      </c>
      <c r="G6784" s="237">
        <v>0</v>
      </c>
      <c r="H6784" s="237">
        <v>0</v>
      </c>
      <c r="I6784" s="237">
        <v>0</v>
      </c>
      <c r="J6784" s="237">
        <v>0</v>
      </c>
    </row>
    <row r="6785" spans="1:10" s="225" customFormat="1">
      <c r="A6785" s="222" t="s">
        <v>179</v>
      </c>
      <c r="B6785" s="222" t="s">
        <v>13</v>
      </c>
      <c r="C6785" s="236">
        <v>0.79374999999999996</v>
      </c>
      <c r="D6785" s="237">
        <v>0</v>
      </c>
      <c r="E6785" s="237">
        <v>0</v>
      </c>
      <c r="F6785" s="237">
        <v>0</v>
      </c>
      <c r="G6785" s="237">
        <v>0</v>
      </c>
      <c r="H6785" s="237">
        <v>0</v>
      </c>
      <c r="I6785" s="237">
        <v>0</v>
      </c>
      <c r="J6785" s="237">
        <v>0</v>
      </c>
    </row>
    <row r="6786" spans="1:10" s="225" customFormat="1">
      <c r="A6786" s="222" t="s">
        <v>179</v>
      </c>
      <c r="B6786" s="222" t="s">
        <v>13</v>
      </c>
      <c r="C6786" s="236">
        <v>0.79444444444444395</v>
      </c>
      <c r="D6786" s="237">
        <v>0</v>
      </c>
      <c r="E6786" s="237">
        <v>0</v>
      </c>
      <c r="F6786" s="237">
        <v>0</v>
      </c>
      <c r="G6786" s="237">
        <v>0</v>
      </c>
      <c r="H6786" s="237">
        <v>0</v>
      </c>
      <c r="I6786" s="237">
        <v>0</v>
      </c>
      <c r="J6786" s="237">
        <v>0</v>
      </c>
    </row>
    <row r="6787" spans="1:10" s="225" customFormat="1">
      <c r="A6787" s="222" t="s">
        <v>179</v>
      </c>
      <c r="B6787" s="222" t="s">
        <v>13</v>
      </c>
      <c r="C6787" s="236">
        <v>0.79513888888888895</v>
      </c>
      <c r="D6787" s="237">
        <v>0</v>
      </c>
      <c r="E6787" s="237">
        <v>0</v>
      </c>
      <c r="F6787" s="237">
        <v>0</v>
      </c>
      <c r="G6787" s="237">
        <v>0</v>
      </c>
      <c r="H6787" s="237">
        <v>0</v>
      </c>
      <c r="I6787" s="237">
        <v>0</v>
      </c>
      <c r="J6787" s="237">
        <v>0</v>
      </c>
    </row>
    <row r="6788" spans="1:10" s="225" customFormat="1">
      <c r="A6788" s="222" t="s">
        <v>179</v>
      </c>
      <c r="B6788" s="222" t="s">
        <v>13</v>
      </c>
      <c r="C6788" s="236">
        <v>0.79583333333333295</v>
      </c>
      <c r="D6788" s="237">
        <v>0</v>
      </c>
      <c r="E6788" s="237">
        <v>0</v>
      </c>
      <c r="F6788" s="237">
        <v>0</v>
      </c>
      <c r="G6788" s="237">
        <v>0</v>
      </c>
      <c r="H6788" s="237">
        <v>0</v>
      </c>
      <c r="I6788" s="237">
        <v>0</v>
      </c>
      <c r="J6788" s="237">
        <v>0</v>
      </c>
    </row>
    <row r="6789" spans="1:10" s="225" customFormat="1">
      <c r="A6789" s="222" t="s">
        <v>179</v>
      </c>
      <c r="B6789" s="222" t="s">
        <v>13</v>
      </c>
      <c r="C6789" s="236">
        <v>0.79652777777777795</v>
      </c>
      <c r="D6789" s="237">
        <v>0</v>
      </c>
      <c r="E6789" s="237">
        <v>0</v>
      </c>
      <c r="F6789" s="237">
        <v>0</v>
      </c>
      <c r="G6789" s="237">
        <v>0</v>
      </c>
      <c r="H6789" s="237">
        <v>0</v>
      </c>
      <c r="I6789" s="237">
        <v>0</v>
      </c>
      <c r="J6789" s="237">
        <v>0</v>
      </c>
    </row>
    <row r="6790" spans="1:10" s="225" customFormat="1">
      <c r="A6790" s="222" t="s">
        <v>179</v>
      </c>
      <c r="B6790" s="222" t="s">
        <v>13</v>
      </c>
      <c r="C6790" s="236">
        <v>0.79722222222222205</v>
      </c>
      <c r="D6790" s="237">
        <v>0</v>
      </c>
      <c r="E6790" s="237">
        <v>0</v>
      </c>
      <c r="F6790" s="237">
        <v>0</v>
      </c>
      <c r="G6790" s="237">
        <v>0</v>
      </c>
      <c r="H6790" s="237">
        <v>0</v>
      </c>
      <c r="I6790" s="237">
        <v>0</v>
      </c>
      <c r="J6790" s="237">
        <v>0</v>
      </c>
    </row>
    <row r="6791" spans="1:10" s="225" customFormat="1">
      <c r="A6791" s="222" t="s">
        <v>179</v>
      </c>
      <c r="B6791" s="222" t="s">
        <v>13</v>
      </c>
      <c r="C6791" s="236">
        <v>0.79791666666666605</v>
      </c>
      <c r="D6791" s="237">
        <v>0</v>
      </c>
      <c r="E6791" s="237">
        <v>0</v>
      </c>
      <c r="F6791" s="237">
        <v>0</v>
      </c>
      <c r="G6791" s="237">
        <v>0</v>
      </c>
      <c r="H6791" s="237">
        <v>0</v>
      </c>
      <c r="I6791" s="237">
        <v>0</v>
      </c>
      <c r="J6791" s="237">
        <v>0</v>
      </c>
    </row>
    <row r="6792" spans="1:10" s="225" customFormat="1">
      <c r="A6792" s="222" t="s">
        <v>179</v>
      </c>
      <c r="B6792" s="222" t="s">
        <v>13</v>
      </c>
      <c r="C6792" s="236">
        <v>0.79861111111111105</v>
      </c>
      <c r="D6792" s="237">
        <v>0</v>
      </c>
      <c r="E6792" s="237">
        <v>0</v>
      </c>
      <c r="F6792" s="237">
        <v>0</v>
      </c>
      <c r="G6792" s="237">
        <v>0</v>
      </c>
      <c r="H6792" s="237">
        <v>0</v>
      </c>
      <c r="I6792" s="237">
        <v>0</v>
      </c>
      <c r="J6792" s="237">
        <v>0</v>
      </c>
    </row>
    <row r="6793" spans="1:10" s="225" customFormat="1">
      <c r="A6793" s="222" t="s">
        <v>179</v>
      </c>
      <c r="B6793" s="222" t="s">
        <v>13</v>
      </c>
      <c r="C6793" s="236">
        <v>0.79930555555555505</v>
      </c>
      <c r="D6793" s="237">
        <v>0</v>
      </c>
      <c r="E6793" s="237">
        <v>0</v>
      </c>
      <c r="F6793" s="237">
        <v>0</v>
      </c>
      <c r="G6793" s="237">
        <v>0</v>
      </c>
      <c r="H6793" s="237">
        <v>0</v>
      </c>
      <c r="I6793" s="237">
        <v>0</v>
      </c>
      <c r="J6793" s="237">
        <v>0</v>
      </c>
    </row>
    <row r="6794" spans="1:10" s="225" customFormat="1">
      <c r="A6794" s="222" t="s">
        <v>179</v>
      </c>
      <c r="B6794" s="222" t="s">
        <v>13</v>
      </c>
      <c r="C6794" s="236">
        <v>0.8</v>
      </c>
      <c r="D6794" s="237">
        <v>0</v>
      </c>
      <c r="E6794" s="237">
        <v>0</v>
      </c>
      <c r="F6794" s="237">
        <v>0</v>
      </c>
      <c r="G6794" s="237">
        <v>0</v>
      </c>
      <c r="H6794" s="237">
        <v>0</v>
      </c>
      <c r="I6794" s="237">
        <v>0</v>
      </c>
      <c r="J6794" s="237">
        <v>0</v>
      </c>
    </row>
    <row r="6795" spans="1:10" s="225" customFormat="1">
      <c r="A6795" s="222" t="s">
        <v>179</v>
      </c>
      <c r="B6795" s="222" t="s">
        <v>13</v>
      </c>
      <c r="C6795" s="236">
        <v>0.80069444444444404</v>
      </c>
      <c r="D6795" s="237">
        <v>0</v>
      </c>
      <c r="E6795" s="237">
        <v>0</v>
      </c>
      <c r="F6795" s="237">
        <v>0</v>
      </c>
      <c r="G6795" s="237">
        <v>0</v>
      </c>
      <c r="H6795" s="237">
        <v>0</v>
      </c>
      <c r="I6795" s="237">
        <v>0</v>
      </c>
      <c r="J6795" s="237">
        <v>0</v>
      </c>
    </row>
    <row r="6796" spans="1:10" s="229" customFormat="1">
      <c r="A6796" s="226" t="s">
        <v>179</v>
      </c>
      <c r="B6796" s="226" t="s">
        <v>13</v>
      </c>
      <c r="C6796" s="238">
        <v>0.80138888888888904</v>
      </c>
      <c r="D6796" s="239">
        <v>0</v>
      </c>
      <c r="E6796" s="239">
        <v>0</v>
      </c>
      <c r="F6796" s="239">
        <v>0</v>
      </c>
      <c r="G6796" s="239">
        <v>0</v>
      </c>
      <c r="H6796" s="239">
        <v>0</v>
      </c>
      <c r="I6796" s="239">
        <v>0</v>
      </c>
      <c r="J6796" s="239">
        <v>0</v>
      </c>
    </row>
    <row r="6797" spans="1:10" s="225" customFormat="1">
      <c r="A6797" s="222" t="s">
        <v>179</v>
      </c>
      <c r="B6797" s="222" t="s">
        <v>13</v>
      </c>
      <c r="C6797" s="236">
        <v>0.80208333333333304</v>
      </c>
      <c r="D6797" s="237">
        <v>0</v>
      </c>
      <c r="E6797" s="237">
        <v>0</v>
      </c>
      <c r="F6797" s="237">
        <v>0</v>
      </c>
      <c r="G6797" s="237">
        <v>0</v>
      </c>
      <c r="H6797" s="237">
        <v>0</v>
      </c>
      <c r="I6797" s="237">
        <v>0</v>
      </c>
      <c r="J6797" s="237">
        <v>0</v>
      </c>
    </row>
    <row r="6798" spans="1:10" s="225" customFormat="1">
      <c r="A6798" s="222" t="s">
        <v>179</v>
      </c>
      <c r="B6798" s="222" t="s">
        <v>13</v>
      </c>
      <c r="C6798" s="236">
        <v>0.80277777777777803</v>
      </c>
      <c r="D6798" s="237">
        <v>0</v>
      </c>
      <c r="E6798" s="237">
        <v>0</v>
      </c>
      <c r="F6798" s="237">
        <v>0</v>
      </c>
      <c r="G6798" s="237">
        <v>0</v>
      </c>
      <c r="H6798" s="237">
        <v>0</v>
      </c>
      <c r="I6798" s="237">
        <v>0</v>
      </c>
      <c r="J6798" s="237">
        <v>0</v>
      </c>
    </row>
    <row r="6799" spans="1:10" s="225" customFormat="1">
      <c r="A6799" s="222" t="s">
        <v>179</v>
      </c>
      <c r="B6799" s="222" t="s">
        <v>13</v>
      </c>
      <c r="C6799" s="236">
        <v>0.80347222222222203</v>
      </c>
      <c r="D6799" s="237">
        <v>0</v>
      </c>
      <c r="E6799" s="237">
        <v>0</v>
      </c>
      <c r="F6799" s="237">
        <v>0</v>
      </c>
      <c r="G6799" s="237">
        <v>0</v>
      </c>
      <c r="H6799" s="237">
        <v>0</v>
      </c>
      <c r="I6799" s="237">
        <v>0</v>
      </c>
      <c r="J6799" s="237">
        <v>0</v>
      </c>
    </row>
    <row r="6800" spans="1:10" s="225" customFormat="1">
      <c r="A6800" s="222" t="s">
        <v>179</v>
      </c>
      <c r="B6800" s="222" t="s">
        <v>13</v>
      </c>
      <c r="C6800" s="236">
        <v>0.80416666666666603</v>
      </c>
      <c r="D6800" s="237">
        <v>0</v>
      </c>
      <c r="E6800" s="237">
        <v>0</v>
      </c>
      <c r="F6800" s="237">
        <v>0</v>
      </c>
      <c r="G6800" s="237">
        <v>0</v>
      </c>
      <c r="H6800" s="237">
        <v>0</v>
      </c>
      <c r="I6800" s="237">
        <v>0</v>
      </c>
      <c r="J6800" s="237">
        <v>0</v>
      </c>
    </row>
    <row r="6801" spans="1:10" s="225" customFormat="1">
      <c r="A6801" s="222" t="s">
        <v>179</v>
      </c>
      <c r="B6801" s="222" t="s">
        <v>13</v>
      </c>
      <c r="C6801" s="236">
        <v>0.80486111111111103</v>
      </c>
      <c r="D6801" s="237">
        <v>0</v>
      </c>
      <c r="E6801" s="237">
        <v>0</v>
      </c>
      <c r="F6801" s="237">
        <v>0</v>
      </c>
      <c r="G6801" s="237">
        <v>0</v>
      </c>
      <c r="H6801" s="237">
        <v>0</v>
      </c>
      <c r="I6801" s="237">
        <v>0</v>
      </c>
      <c r="J6801" s="237">
        <v>0</v>
      </c>
    </row>
    <row r="6802" spans="1:10" s="225" customFormat="1">
      <c r="A6802" s="222" t="s">
        <v>179</v>
      </c>
      <c r="B6802" s="222" t="s">
        <v>13</v>
      </c>
      <c r="C6802" s="236">
        <v>0.80555555555555503</v>
      </c>
      <c r="D6802" s="237">
        <v>0</v>
      </c>
      <c r="E6802" s="237">
        <v>0</v>
      </c>
      <c r="F6802" s="237">
        <v>0</v>
      </c>
      <c r="G6802" s="237">
        <v>0</v>
      </c>
      <c r="H6802" s="237">
        <v>0</v>
      </c>
      <c r="I6802" s="237">
        <v>0</v>
      </c>
      <c r="J6802" s="237">
        <v>0</v>
      </c>
    </row>
    <row r="6803" spans="1:10" s="225" customFormat="1">
      <c r="A6803" s="222" t="s">
        <v>179</v>
      </c>
      <c r="B6803" s="222" t="s">
        <v>13</v>
      </c>
      <c r="C6803" s="236">
        <v>0.80625000000000002</v>
      </c>
      <c r="D6803" s="237">
        <v>0</v>
      </c>
      <c r="E6803" s="237">
        <v>0</v>
      </c>
      <c r="F6803" s="237">
        <v>0</v>
      </c>
      <c r="G6803" s="237">
        <v>0</v>
      </c>
      <c r="H6803" s="237">
        <v>0</v>
      </c>
      <c r="I6803" s="237">
        <v>0</v>
      </c>
      <c r="J6803" s="237">
        <v>0</v>
      </c>
    </row>
    <row r="6804" spans="1:10" s="225" customFormat="1">
      <c r="A6804" s="222" t="s">
        <v>179</v>
      </c>
      <c r="B6804" s="222" t="s">
        <v>13</v>
      </c>
      <c r="C6804" s="236">
        <v>0.80694444444444402</v>
      </c>
      <c r="D6804" s="237">
        <v>0</v>
      </c>
      <c r="E6804" s="237">
        <v>0</v>
      </c>
      <c r="F6804" s="237">
        <v>0</v>
      </c>
      <c r="G6804" s="237">
        <v>0</v>
      </c>
      <c r="H6804" s="237">
        <v>0</v>
      </c>
      <c r="I6804" s="237">
        <v>0</v>
      </c>
      <c r="J6804" s="237">
        <v>0</v>
      </c>
    </row>
    <row r="6805" spans="1:10" s="225" customFormat="1">
      <c r="A6805" s="222" t="s">
        <v>179</v>
      </c>
      <c r="B6805" s="222" t="s">
        <v>13</v>
      </c>
      <c r="C6805" s="236">
        <v>0.80763888888888902</v>
      </c>
      <c r="D6805" s="237">
        <v>0</v>
      </c>
      <c r="E6805" s="237">
        <v>0</v>
      </c>
      <c r="F6805" s="237">
        <v>0</v>
      </c>
      <c r="G6805" s="237">
        <v>0</v>
      </c>
      <c r="H6805" s="237">
        <v>0</v>
      </c>
      <c r="I6805" s="237">
        <v>0</v>
      </c>
      <c r="J6805" s="237">
        <v>0</v>
      </c>
    </row>
    <row r="6806" spans="1:10" s="225" customFormat="1">
      <c r="A6806" s="222" t="s">
        <v>179</v>
      </c>
      <c r="B6806" s="222" t="s">
        <v>13</v>
      </c>
      <c r="C6806" s="236">
        <v>0.80833333333333302</v>
      </c>
      <c r="D6806" s="237">
        <v>0</v>
      </c>
      <c r="E6806" s="237">
        <v>0</v>
      </c>
      <c r="F6806" s="237">
        <v>0</v>
      </c>
      <c r="G6806" s="237">
        <v>0</v>
      </c>
      <c r="H6806" s="237">
        <v>0</v>
      </c>
      <c r="I6806" s="237">
        <v>0</v>
      </c>
      <c r="J6806" s="237">
        <v>0</v>
      </c>
    </row>
    <row r="6807" spans="1:10" s="225" customFormat="1">
      <c r="A6807" s="222" t="s">
        <v>179</v>
      </c>
      <c r="B6807" s="222" t="s">
        <v>13</v>
      </c>
      <c r="C6807" s="236">
        <v>0.80902777777777801</v>
      </c>
      <c r="D6807" s="237">
        <v>0</v>
      </c>
      <c r="E6807" s="237">
        <v>0</v>
      </c>
      <c r="F6807" s="237">
        <v>0</v>
      </c>
      <c r="G6807" s="237">
        <v>0</v>
      </c>
      <c r="H6807" s="237">
        <v>0</v>
      </c>
      <c r="I6807" s="237">
        <v>0</v>
      </c>
      <c r="J6807" s="237">
        <v>0</v>
      </c>
    </row>
    <row r="6808" spans="1:10" s="225" customFormat="1">
      <c r="A6808" s="222" t="s">
        <v>179</v>
      </c>
      <c r="B6808" s="222" t="s">
        <v>13</v>
      </c>
      <c r="C6808" s="236">
        <v>0.80972222222222201</v>
      </c>
      <c r="D6808" s="237">
        <v>0</v>
      </c>
      <c r="E6808" s="237">
        <v>0</v>
      </c>
      <c r="F6808" s="237">
        <v>0</v>
      </c>
      <c r="G6808" s="237">
        <v>0</v>
      </c>
      <c r="H6808" s="237">
        <v>0</v>
      </c>
      <c r="I6808" s="237">
        <v>0</v>
      </c>
      <c r="J6808" s="237">
        <v>0</v>
      </c>
    </row>
    <row r="6809" spans="1:10" s="225" customFormat="1">
      <c r="A6809" s="222" t="s">
        <v>179</v>
      </c>
      <c r="B6809" s="222" t="s">
        <v>13</v>
      </c>
      <c r="C6809" s="236">
        <v>0.81041666666666601</v>
      </c>
      <c r="D6809" s="237">
        <v>0</v>
      </c>
      <c r="E6809" s="237">
        <v>0</v>
      </c>
      <c r="F6809" s="237">
        <v>0</v>
      </c>
      <c r="G6809" s="237">
        <v>0</v>
      </c>
      <c r="H6809" s="237">
        <v>0</v>
      </c>
      <c r="I6809" s="237">
        <v>0</v>
      </c>
      <c r="J6809" s="237">
        <v>0</v>
      </c>
    </row>
    <row r="6810" spans="1:10" s="225" customFormat="1">
      <c r="A6810" s="222" t="s">
        <v>179</v>
      </c>
      <c r="B6810" s="222" t="s">
        <v>13</v>
      </c>
      <c r="C6810" s="236">
        <v>0.81111111111111101</v>
      </c>
      <c r="D6810" s="237">
        <v>0</v>
      </c>
      <c r="E6810" s="237">
        <v>0</v>
      </c>
      <c r="F6810" s="237">
        <v>0</v>
      </c>
      <c r="G6810" s="237">
        <v>0</v>
      </c>
      <c r="H6810" s="237">
        <v>0</v>
      </c>
      <c r="I6810" s="237">
        <v>0</v>
      </c>
      <c r="J6810" s="237">
        <v>0</v>
      </c>
    </row>
    <row r="6811" spans="1:10" s="229" customFormat="1">
      <c r="A6811" s="226" t="s">
        <v>179</v>
      </c>
      <c r="B6811" s="226" t="s">
        <v>13</v>
      </c>
      <c r="C6811" s="238">
        <v>0.811805555555555</v>
      </c>
      <c r="D6811" s="239">
        <v>0</v>
      </c>
      <c r="E6811" s="239">
        <v>0</v>
      </c>
      <c r="F6811" s="239">
        <v>0</v>
      </c>
      <c r="G6811" s="239">
        <v>0</v>
      </c>
      <c r="H6811" s="239">
        <v>0</v>
      </c>
      <c r="I6811" s="239">
        <v>0</v>
      </c>
      <c r="J6811" s="239">
        <v>0</v>
      </c>
    </row>
    <row r="6812" spans="1:10" s="225" customFormat="1">
      <c r="A6812" s="222" t="s">
        <v>179</v>
      </c>
      <c r="B6812" s="222" t="s">
        <v>13</v>
      </c>
      <c r="C6812" s="236">
        <v>0.8125</v>
      </c>
      <c r="D6812" s="237">
        <v>0</v>
      </c>
      <c r="E6812" s="237">
        <v>0</v>
      </c>
      <c r="F6812" s="237">
        <v>0</v>
      </c>
      <c r="G6812" s="237">
        <v>0</v>
      </c>
      <c r="H6812" s="237">
        <v>0</v>
      </c>
      <c r="I6812" s="237">
        <v>0</v>
      </c>
      <c r="J6812" s="237">
        <v>0</v>
      </c>
    </row>
    <row r="6813" spans="1:10" s="225" customFormat="1">
      <c r="A6813" s="222" t="s">
        <v>179</v>
      </c>
      <c r="B6813" s="222" t="s">
        <v>13</v>
      </c>
      <c r="C6813" s="236">
        <v>0.813194444444444</v>
      </c>
      <c r="D6813" s="237">
        <v>0</v>
      </c>
      <c r="E6813" s="237">
        <v>0</v>
      </c>
      <c r="F6813" s="237">
        <v>0</v>
      </c>
      <c r="G6813" s="237">
        <v>0</v>
      </c>
      <c r="H6813" s="237">
        <v>0</v>
      </c>
      <c r="I6813" s="237">
        <v>0</v>
      </c>
      <c r="J6813" s="237">
        <v>0</v>
      </c>
    </row>
    <row r="6814" spans="1:10" s="225" customFormat="1">
      <c r="A6814" s="222" t="s">
        <v>179</v>
      </c>
      <c r="B6814" s="222" t="s">
        <v>13</v>
      </c>
      <c r="C6814" s="236">
        <v>0.81388888888888899</v>
      </c>
      <c r="D6814" s="237">
        <v>0</v>
      </c>
      <c r="E6814" s="237">
        <v>0</v>
      </c>
      <c r="F6814" s="237">
        <v>0</v>
      </c>
      <c r="G6814" s="237">
        <v>0</v>
      </c>
      <c r="H6814" s="237">
        <v>0</v>
      </c>
      <c r="I6814" s="237">
        <v>0</v>
      </c>
      <c r="J6814" s="237">
        <v>0</v>
      </c>
    </row>
    <row r="6815" spans="1:10" s="225" customFormat="1">
      <c r="A6815" s="222" t="s">
        <v>179</v>
      </c>
      <c r="B6815" s="222" t="s">
        <v>13</v>
      </c>
      <c r="C6815" s="236">
        <v>0.81458333333333299</v>
      </c>
      <c r="D6815" s="237">
        <v>0</v>
      </c>
      <c r="E6815" s="237">
        <v>0</v>
      </c>
      <c r="F6815" s="237">
        <v>0</v>
      </c>
      <c r="G6815" s="237">
        <v>0</v>
      </c>
      <c r="H6815" s="237">
        <v>0</v>
      </c>
      <c r="I6815" s="237">
        <v>0</v>
      </c>
      <c r="J6815" s="237">
        <v>0</v>
      </c>
    </row>
    <row r="6816" spans="1:10" s="225" customFormat="1">
      <c r="A6816" s="222" t="s">
        <v>179</v>
      </c>
      <c r="B6816" s="222" t="s">
        <v>13</v>
      </c>
      <c r="C6816" s="236">
        <v>0.81527777777777799</v>
      </c>
      <c r="D6816" s="237">
        <v>0</v>
      </c>
      <c r="E6816" s="237">
        <v>0</v>
      </c>
      <c r="F6816" s="237">
        <v>0</v>
      </c>
      <c r="G6816" s="237">
        <v>0</v>
      </c>
      <c r="H6816" s="237">
        <v>0</v>
      </c>
      <c r="I6816" s="237">
        <v>0</v>
      </c>
      <c r="J6816" s="237">
        <v>0</v>
      </c>
    </row>
    <row r="6817" spans="1:10" s="225" customFormat="1">
      <c r="A6817" s="222" t="s">
        <v>179</v>
      </c>
      <c r="B6817" s="222" t="s">
        <v>13</v>
      </c>
      <c r="C6817" s="236">
        <v>0.81597222222222199</v>
      </c>
      <c r="D6817" s="237">
        <v>0</v>
      </c>
      <c r="E6817" s="237">
        <v>0</v>
      </c>
      <c r="F6817" s="237">
        <v>0</v>
      </c>
      <c r="G6817" s="237">
        <v>0</v>
      </c>
      <c r="H6817" s="237">
        <v>0</v>
      </c>
      <c r="I6817" s="237">
        <v>0</v>
      </c>
      <c r="J6817" s="237">
        <v>0</v>
      </c>
    </row>
    <row r="6818" spans="1:10" s="225" customFormat="1">
      <c r="A6818" s="222" t="s">
        <v>179</v>
      </c>
      <c r="B6818" s="222" t="s">
        <v>13</v>
      </c>
      <c r="C6818" s="236">
        <v>0.81666666666666599</v>
      </c>
      <c r="D6818" s="237">
        <v>0</v>
      </c>
      <c r="E6818" s="237">
        <v>0</v>
      </c>
      <c r="F6818" s="237">
        <v>0</v>
      </c>
      <c r="G6818" s="237">
        <v>0</v>
      </c>
      <c r="H6818" s="237">
        <v>0</v>
      </c>
      <c r="I6818" s="237">
        <v>0</v>
      </c>
      <c r="J6818" s="237">
        <v>0</v>
      </c>
    </row>
    <row r="6819" spans="1:10" s="225" customFormat="1">
      <c r="A6819" s="222" t="s">
        <v>179</v>
      </c>
      <c r="B6819" s="222" t="s">
        <v>13</v>
      </c>
      <c r="C6819" s="236">
        <v>0.81736111111111098</v>
      </c>
      <c r="D6819" s="237">
        <v>0</v>
      </c>
      <c r="E6819" s="237">
        <v>0</v>
      </c>
      <c r="F6819" s="237">
        <v>0</v>
      </c>
      <c r="G6819" s="237">
        <v>0</v>
      </c>
      <c r="H6819" s="237">
        <v>0</v>
      </c>
      <c r="I6819" s="237">
        <v>0</v>
      </c>
      <c r="J6819" s="237">
        <v>0</v>
      </c>
    </row>
    <row r="6820" spans="1:10" s="225" customFormat="1">
      <c r="A6820" s="222" t="s">
        <v>179</v>
      </c>
      <c r="B6820" s="222" t="s">
        <v>13</v>
      </c>
      <c r="C6820" s="236">
        <v>0.81805555555555498</v>
      </c>
      <c r="D6820" s="237">
        <v>0</v>
      </c>
      <c r="E6820" s="237">
        <v>0</v>
      </c>
      <c r="F6820" s="237">
        <v>0</v>
      </c>
      <c r="G6820" s="237">
        <v>0</v>
      </c>
      <c r="H6820" s="237">
        <v>0</v>
      </c>
      <c r="I6820" s="237">
        <v>0</v>
      </c>
      <c r="J6820" s="237">
        <v>0</v>
      </c>
    </row>
    <row r="6821" spans="1:10" s="225" customFormat="1">
      <c r="A6821" s="222" t="s">
        <v>179</v>
      </c>
      <c r="B6821" s="222" t="s">
        <v>13</v>
      </c>
      <c r="C6821" s="236">
        <v>0.81874999999999998</v>
      </c>
      <c r="D6821" s="237">
        <v>0</v>
      </c>
      <c r="E6821" s="237">
        <v>0</v>
      </c>
      <c r="F6821" s="237">
        <v>0</v>
      </c>
      <c r="G6821" s="237">
        <v>0</v>
      </c>
      <c r="H6821" s="237">
        <v>0</v>
      </c>
      <c r="I6821" s="237">
        <v>0</v>
      </c>
      <c r="J6821" s="237">
        <v>0</v>
      </c>
    </row>
    <row r="6822" spans="1:10" s="225" customFormat="1">
      <c r="A6822" s="222" t="s">
        <v>179</v>
      </c>
      <c r="B6822" s="222" t="s">
        <v>13</v>
      </c>
      <c r="C6822" s="236">
        <v>0.81944444444444398</v>
      </c>
      <c r="D6822" s="237">
        <v>0</v>
      </c>
      <c r="E6822" s="237">
        <v>0</v>
      </c>
      <c r="F6822" s="237">
        <v>0</v>
      </c>
      <c r="G6822" s="237">
        <v>0</v>
      </c>
      <c r="H6822" s="237">
        <v>0</v>
      </c>
      <c r="I6822" s="237">
        <v>0</v>
      </c>
      <c r="J6822" s="237">
        <v>0</v>
      </c>
    </row>
    <row r="6823" spans="1:10" s="225" customFormat="1">
      <c r="A6823" s="222" t="s">
        <v>179</v>
      </c>
      <c r="B6823" s="222" t="s">
        <v>13</v>
      </c>
      <c r="C6823" s="236">
        <v>0.82013888888888897</v>
      </c>
      <c r="D6823" s="237">
        <v>0</v>
      </c>
      <c r="E6823" s="237">
        <v>0</v>
      </c>
      <c r="F6823" s="237">
        <v>0</v>
      </c>
      <c r="G6823" s="237">
        <v>0</v>
      </c>
      <c r="H6823" s="237">
        <v>0</v>
      </c>
      <c r="I6823" s="237">
        <v>0</v>
      </c>
      <c r="J6823" s="237">
        <v>0</v>
      </c>
    </row>
    <row r="6824" spans="1:10" s="225" customFormat="1">
      <c r="A6824" s="222" t="s">
        <v>179</v>
      </c>
      <c r="B6824" s="222" t="s">
        <v>13</v>
      </c>
      <c r="C6824" s="236">
        <v>0.82083333333333297</v>
      </c>
      <c r="D6824" s="237">
        <v>0</v>
      </c>
      <c r="E6824" s="237">
        <v>0</v>
      </c>
      <c r="F6824" s="237">
        <v>0</v>
      </c>
      <c r="G6824" s="237">
        <v>0</v>
      </c>
      <c r="H6824" s="237">
        <v>0</v>
      </c>
      <c r="I6824" s="237">
        <v>0</v>
      </c>
      <c r="J6824" s="237">
        <v>0</v>
      </c>
    </row>
    <row r="6825" spans="1:10" s="225" customFormat="1">
      <c r="A6825" s="222" t="s">
        <v>179</v>
      </c>
      <c r="B6825" s="222" t="s">
        <v>13</v>
      </c>
      <c r="C6825" s="236">
        <v>0.82152777777777797</v>
      </c>
      <c r="D6825" s="237">
        <v>0</v>
      </c>
      <c r="E6825" s="237">
        <v>0</v>
      </c>
      <c r="F6825" s="237">
        <v>0</v>
      </c>
      <c r="G6825" s="237">
        <v>0</v>
      </c>
      <c r="H6825" s="237">
        <v>0</v>
      </c>
      <c r="I6825" s="237">
        <v>0</v>
      </c>
      <c r="J6825" s="237">
        <v>0</v>
      </c>
    </row>
    <row r="6826" spans="1:10" s="229" customFormat="1">
      <c r="A6826" s="226" t="s">
        <v>179</v>
      </c>
      <c r="B6826" s="226" t="s">
        <v>13</v>
      </c>
      <c r="C6826" s="238">
        <v>0.82222222222222197</v>
      </c>
      <c r="D6826" s="239">
        <v>0</v>
      </c>
      <c r="E6826" s="239">
        <v>0</v>
      </c>
      <c r="F6826" s="239">
        <v>0</v>
      </c>
      <c r="G6826" s="239">
        <v>0</v>
      </c>
      <c r="H6826" s="239">
        <v>0</v>
      </c>
      <c r="I6826" s="239">
        <v>0</v>
      </c>
      <c r="J6826" s="239">
        <v>0</v>
      </c>
    </row>
    <row r="6827" spans="1:10" s="225" customFormat="1">
      <c r="A6827" s="222" t="s">
        <v>179</v>
      </c>
      <c r="B6827" s="222" t="s">
        <v>13</v>
      </c>
      <c r="C6827" s="236">
        <v>0.82291666666666596</v>
      </c>
      <c r="D6827" s="237">
        <v>0</v>
      </c>
      <c r="E6827" s="237">
        <v>0</v>
      </c>
      <c r="F6827" s="237">
        <v>0</v>
      </c>
      <c r="G6827" s="237">
        <v>0</v>
      </c>
      <c r="H6827" s="237">
        <v>0</v>
      </c>
      <c r="I6827" s="237">
        <v>0</v>
      </c>
      <c r="J6827" s="237">
        <v>0</v>
      </c>
    </row>
    <row r="6828" spans="1:10" s="225" customFormat="1">
      <c r="A6828" s="222" t="s">
        <v>179</v>
      </c>
      <c r="B6828" s="222" t="s">
        <v>13</v>
      </c>
      <c r="C6828" s="236">
        <v>0.82361111111111096</v>
      </c>
      <c r="D6828" s="237">
        <v>0</v>
      </c>
      <c r="E6828" s="237">
        <v>0</v>
      </c>
      <c r="F6828" s="237">
        <v>0</v>
      </c>
      <c r="G6828" s="237">
        <v>0</v>
      </c>
      <c r="H6828" s="237">
        <v>0</v>
      </c>
      <c r="I6828" s="237">
        <v>0</v>
      </c>
      <c r="J6828" s="237">
        <v>0</v>
      </c>
    </row>
    <row r="6829" spans="1:10" s="225" customFormat="1">
      <c r="A6829" s="222" t="s">
        <v>179</v>
      </c>
      <c r="B6829" s="222" t="s">
        <v>13</v>
      </c>
      <c r="C6829" s="236">
        <v>0.82430555555555496</v>
      </c>
      <c r="D6829" s="237">
        <v>0</v>
      </c>
      <c r="E6829" s="237">
        <v>0</v>
      </c>
      <c r="F6829" s="237">
        <v>0</v>
      </c>
      <c r="G6829" s="237">
        <v>0</v>
      </c>
      <c r="H6829" s="237">
        <v>0</v>
      </c>
      <c r="I6829" s="237">
        <v>0</v>
      </c>
      <c r="J6829" s="237">
        <v>0</v>
      </c>
    </row>
    <row r="6830" spans="1:10" s="225" customFormat="1">
      <c r="A6830" s="222" t="s">
        <v>179</v>
      </c>
      <c r="B6830" s="222" t="s">
        <v>13</v>
      </c>
      <c r="C6830" s="236">
        <v>0.82499999999999996</v>
      </c>
      <c r="D6830" s="237">
        <v>0</v>
      </c>
      <c r="E6830" s="237">
        <v>0</v>
      </c>
      <c r="F6830" s="237">
        <v>0</v>
      </c>
      <c r="G6830" s="237">
        <v>0</v>
      </c>
      <c r="H6830" s="237">
        <v>0</v>
      </c>
      <c r="I6830" s="237">
        <v>0</v>
      </c>
      <c r="J6830" s="237">
        <v>0</v>
      </c>
    </row>
    <row r="6831" spans="1:10" s="225" customFormat="1">
      <c r="A6831" s="222" t="s">
        <v>179</v>
      </c>
      <c r="B6831" s="222" t="s">
        <v>13</v>
      </c>
      <c r="C6831" s="236">
        <v>0.82569444444444395</v>
      </c>
      <c r="D6831" s="237">
        <v>0</v>
      </c>
      <c r="E6831" s="237">
        <v>0</v>
      </c>
      <c r="F6831" s="237">
        <v>0</v>
      </c>
      <c r="G6831" s="237">
        <v>0</v>
      </c>
      <c r="H6831" s="237">
        <v>0</v>
      </c>
      <c r="I6831" s="237">
        <v>0</v>
      </c>
      <c r="J6831" s="237">
        <v>0</v>
      </c>
    </row>
    <row r="6832" spans="1:10" s="225" customFormat="1">
      <c r="A6832" s="222" t="s">
        <v>179</v>
      </c>
      <c r="B6832" s="222" t="s">
        <v>13</v>
      </c>
      <c r="C6832" s="236">
        <v>0.82638888888888895</v>
      </c>
      <c r="D6832" s="237">
        <v>0</v>
      </c>
      <c r="E6832" s="237">
        <v>0</v>
      </c>
      <c r="F6832" s="237">
        <v>0</v>
      </c>
      <c r="G6832" s="237">
        <v>0</v>
      </c>
      <c r="H6832" s="237">
        <v>0</v>
      </c>
      <c r="I6832" s="237">
        <v>0</v>
      </c>
      <c r="J6832" s="237">
        <v>0</v>
      </c>
    </row>
    <row r="6833" spans="1:10" s="225" customFormat="1">
      <c r="A6833" s="222" t="s">
        <v>179</v>
      </c>
      <c r="B6833" s="222" t="s">
        <v>13</v>
      </c>
      <c r="C6833" s="236">
        <v>0.82708333333333295</v>
      </c>
      <c r="D6833" s="237">
        <v>0</v>
      </c>
      <c r="E6833" s="237">
        <v>0</v>
      </c>
      <c r="F6833" s="237">
        <v>0</v>
      </c>
      <c r="G6833" s="237">
        <v>0</v>
      </c>
      <c r="H6833" s="237">
        <v>0</v>
      </c>
      <c r="I6833" s="237">
        <v>0</v>
      </c>
      <c r="J6833" s="237">
        <v>0</v>
      </c>
    </row>
    <row r="6834" spans="1:10" s="225" customFormat="1">
      <c r="A6834" s="222" t="s">
        <v>179</v>
      </c>
      <c r="B6834" s="222" t="s">
        <v>13</v>
      </c>
      <c r="C6834" s="236">
        <v>0.82777777777777795</v>
      </c>
      <c r="D6834" s="237">
        <v>0</v>
      </c>
      <c r="E6834" s="237">
        <v>0</v>
      </c>
      <c r="F6834" s="237">
        <v>0</v>
      </c>
      <c r="G6834" s="237">
        <v>0</v>
      </c>
      <c r="H6834" s="237">
        <v>0</v>
      </c>
      <c r="I6834" s="237">
        <v>0</v>
      </c>
      <c r="J6834" s="237">
        <v>0</v>
      </c>
    </row>
    <row r="6835" spans="1:10" s="225" customFormat="1">
      <c r="A6835" s="222" t="s">
        <v>179</v>
      </c>
      <c r="B6835" s="222" t="s">
        <v>13</v>
      </c>
      <c r="C6835" s="236">
        <v>0.82847222222222205</v>
      </c>
      <c r="D6835" s="237">
        <v>0</v>
      </c>
      <c r="E6835" s="237">
        <v>0</v>
      </c>
      <c r="F6835" s="237">
        <v>0</v>
      </c>
      <c r="G6835" s="237">
        <v>0</v>
      </c>
      <c r="H6835" s="237">
        <v>0</v>
      </c>
      <c r="I6835" s="237">
        <v>0</v>
      </c>
      <c r="J6835" s="237">
        <v>0</v>
      </c>
    </row>
    <row r="6836" spans="1:10" s="225" customFormat="1">
      <c r="A6836" s="222" t="s">
        <v>179</v>
      </c>
      <c r="B6836" s="222" t="s">
        <v>13</v>
      </c>
      <c r="C6836" s="236">
        <v>0.82916666666666605</v>
      </c>
      <c r="D6836" s="237">
        <v>0</v>
      </c>
      <c r="E6836" s="237">
        <v>0</v>
      </c>
      <c r="F6836" s="237">
        <v>0</v>
      </c>
      <c r="G6836" s="237">
        <v>0</v>
      </c>
      <c r="H6836" s="237">
        <v>0</v>
      </c>
      <c r="I6836" s="237">
        <v>0</v>
      </c>
      <c r="J6836" s="237">
        <v>0</v>
      </c>
    </row>
    <row r="6837" spans="1:10" s="225" customFormat="1">
      <c r="A6837" s="222" t="s">
        <v>179</v>
      </c>
      <c r="B6837" s="222" t="s">
        <v>13</v>
      </c>
      <c r="C6837" s="236">
        <v>0.82986111111111105</v>
      </c>
      <c r="D6837" s="237">
        <v>0</v>
      </c>
      <c r="E6837" s="237">
        <v>0</v>
      </c>
      <c r="F6837" s="237">
        <v>0</v>
      </c>
      <c r="G6837" s="237">
        <v>0</v>
      </c>
      <c r="H6837" s="237">
        <v>0</v>
      </c>
      <c r="I6837" s="237">
        <v>0</v>
      </c>
      <c r="J6837" s="237">
        <v>0</v>
      </c>
    </row>
    <row r="6838" spans="1:10" s="225" customFormat="1">
      <c r="A6838" s="222" t="s">
        <v>179</v>
      </c>
      <c r="B6838" s="222" t="s">
        <v>13</v>
      </c>
      <c r="C6838" s="236">
        <v>0.83055555555555505</v>
      </c>
      <c r="D6838" s="237">
        <v>0</v>
      </c>
      <c r="E6838" s="237">
        <v>0</v>
      </c>
      <c r="F6838" s="237">
        <v>0</v>
      </c>
      <c r="G6838" s="237">
        <v>0</v>
      </c>
      <c r="H6838" s="237">
        <v>0</v>
      </c>
      <c r="I6838" s="237">
        <v>0</v>
      </c>
      <c r="J6838" s="237">
        <v>0</v>
      </c>
    </row>
    <row r="6839" spans="1:10" s="225" customFormat="1">
      <c r="A6839" s="222" t="s">
        <v>179</v>
      </c>
      <c r="B6839" s="222" t="s">
        <v>13</v>
      </c>
      <c r="C6839" s="236">
        <v>0.83125000000000004</v>
      </c>
      <c r="D6839" s="237">
        <v>0</v>
      </c>
      <c r="E6839" s="237">
        <v>0</v>
      </c>
      <c r="F6839" s="237">
        <v>0</v>
      </c>
      <c r="G6839" s="237">
        <v>0</v>
      </c>
      <c r="H6839" s="237">
        <v>0</v>
      </c>
      <c r="I6839" s="237">
        <v>0</v>
      </c>
      <c r="J6839" s="237">
        <v>0</v>
      </c>
    </row>
    <row r="6840" spans="1:10" s="225" customFormat="1">
      <c r="A6840" s="222" t="s">
        <v>179</v>
      </c>
      <c r="B6840" s="222" t="s">
        <v>13</v>
      </c>
      <c r="C6840" s="236">
        <v>0.83194444444444404</v>
      </c>
      <c r="D6840" s="237">
        <v>0</v>
      </c>
      <c r="E6840" s="237">
        <v>0</v>
      </c>
      <c r="F6840" s="237">
        <v>0</v>
      </c>
      <c r="G6840" s="237">
        <v>0</v>
      </c>
      <c r="H6840" s="237">
        <v>0</v>
      </c>
      <c r="I6840" s="237">
        <v>0</v>
      </c>
      <c r="J6840" s="237">
        <v>0</v>
      </c>
    </row>
    <row r="6841" spans="1:10" s="235" customFormat="1" ht="17.5" thickBot="1">
      <c r="A6841" s="232" t="s">
        <v>179</v>
      </c>
      <c r="B6841" s="232" t="s">
        <v>13</v>
      </c>
      <c r="C6841" s="240">
        <v>0.83263888888888904</v>
      </c>
      <c r="D6841" s="241">
        <v>0</v>
      </c>
      <c r="E6841" s="241">
        <v>0</v>
      </c>
      <c r="F6841" s="241">
        <v>0</v>
      </c>
      <c r="G6841" s="241">
        <v>0</v>
      </c>
      <c r="H6841" s="241">
        <v>0</v>
      </c>
      <c r="I6841" s="241">
        <v>0</v>
      </c>
      <c r="J6841" s="241">
        <v>0</v>
      </c>
    </row>
    <row r="6842" spans="1:10" s="225" customFormat="1">
      <c r="A6842" s="222" t="s">
        <v>179</v>
      </c>
      <c r="B6842" s="222" t="s">
        <v>37</v>
      </c>
      <c r="C6842" s="236">
        <v>0.66666666666666663</v>
      </c>
      <c r="D6842" s="237">
        <v>0</v>
      </c>
      <c r="E6842" s="237">
        <v>0</v>
      </c>
      <c r="F6842" s="237">
        <v>0</v>
      </c>
      <c r="G6842" s="237">
        <v>0</v>
      </c>
      <c r="H6842" s="237">
        <v>0</v>
      </c>
      <c r="I6842" s="237">
        <v>0</v>
      </c>
      <c r="J6842" s="237">
        <v>0</v>
      </c>
    </row>
    <row r="6843" spans="1:10" s="225" customFormat="1">
      <c r="A6843" s="222" t="s">
        <v>179</v>
      </c>
      <c r="B6843" s="222" t="s">
        <v>37</v>
      </c>
      <c r="C6843" s="236">
        <v>0.66736111111111107</v>
      </c>
      <c r="D6843" s="237">
        <v>0</v>
      </c>
      <c r="E6843" s="237">
        <v>0</v>
      </c>
      <c r="F6843" s="237">
        <v>0</v>
      </c>
      <c r="G6843" s="237">
        <v>0</v>
      </c>
      <c r="H6843" s="237">
        <v>0</v>
      </c>
      <c r="I6843" s="237">
        <v>0</v>
      </c>
      <c r="J6843" s="237">
        <v>0</v>
      </c>
    </row>
    <row r="6844" spans="1:10" s="225" customFormat="1">
      <c r="A6844" s="222" t="s">
        <v>179</v>
      </c>
      <c r="B6844" s="222" t="s">
        <v>37</v>
      </c>
      <c r="C6844" s="236">
        <v>0.66805555555555596</v>
      </c>
      <c r="D6844" s="237">
        <v>0</v>
      </c>
      <c r="E6844" s="237">
        <v>0</v>
      </c>
      <c r="F6844" s="237">
        <v>0</v>
      </c>
      <c r="G6844" s="237">
        <v>0</v>
      </c>
      <c r="H6844" s="237">
        <v>0</v>
      </c>
      <c r="I6844" s="237">
        <v>0</v>
      </c>
      <c r="J6844" s="237">
        <v>0</v>
      </c>
    </row>
    <row r="6845" spans="1:10" s="225" customFormat="1">
      <c r="A6845" s="222" t="s">
        <v>179</v>
      </c>
      <c r="B6845" s="222" t="s">
        <v>37</v>
      </c>
      <c r="C6845" s="236">
        <v>0.66874999999999996</v>
      </c>
      <c r="D6845" s="237">
        <v>0</v>
      </c>
      <c r="E6845" s="237">
        <v>0</v>
      </c>
      <c r="F6845" s="237">
        <v>0</v>
      </c>
      <c r="G6845" s="237">
        <v>0</v>
      </c>
      <c r="H6845" s="237">
        <v>0</v>
      </c>
      <c r="I6845" s="237">
        <v>0</v>
      </c>
      <c r="J6845" s="237">
        <v>0</v>
      </c>
    </row>
    <row r="6846" spans="1:10" s="225" customFormat="1">
      <c r="A6846" s="222" t="s">
        <v>179</v>
      </c>
      <c r="B6846" s="222" t="s">
        <v>37</v>
      </c>
      <c r="C6846" s="236">
        <v>0.66944444444444395</v>
      </c>
      <c r="D6846" s="237">
        <v>0</v>
      </c>
      <c r="E6846" s="237">
        <v>0</v>
      </c>
      <c r="F6846" s="237">
        <v>0</v>
      </c>
      <c r="G6846" s="237">
        <v>0</v>
      </c>
      <c r="H6846" s="237">
        <v>0</v>
      </c>
      <c r="I6846" s="237">
        <v>0</v>
      </c>
      <c r="J6846" s="237">
        <v>0</v>
      </c>
    </row>
    <row r="6847" spans="1:10" s="225" customFormat="1">
      <c r="A6847" s="222" t="s">
        <v>179</v>
      </c>
      <c r="B6847" s="222" t="s">
        <v>37</v>
      </c>
      <c r="C6847" s="236">
        <v>0.67013888888888895</v>
      </c>
      <c r="D6847" s="237">
        <v>0</v>
      </c>
      <c r="E6847" s="237">
        <v>0</v>
      </c>
      <c r="F6847" s="237">
        <v>0</v>
      </c>
      <c r="G6847" s="237">
        <v>0</v>
      </c>
      <c r="H6847" s="237">
        <v>0</v>
      </c>
      <c r="I6847" s="237">
        <v>0</v>
      </c>
      <c r="J6847" s="237">
        <v>0</v>
      </c>
    </row>
    <row r="6848" spans="1:10" s="225" customFormat="1">
      <c r="A6848" s="222" t="s">
        <v>179</v>
      </c>
      <c r="B6848" s="222" t="s">
        <v>37</v>
      </c>
      <c r="C6848" s="236">
        <v>0.67083333333333295</v>
      </c>
      <c r="D6848" s="237">
        <v>0</v>
      </c>
      <c r="E6848" s="237">
        <v>0</v>
      </c>
      <c r="F6848" s="237">
        <v>0</v>
      </c>
      <c r="G6848" s="237">
        <v>0</v>
      </c>
      <c r="H6848" s="237">
        <v>0</v>
      </c>
      <c r="I6848" s="237">
        <v>0</v>
      </c>
      <c r="J6848" s="237">
        <v>0</v>
      </c>
    </row>
    <row r="6849" spans="1:10" s="225" customFormat="1">
      <c r="A6849" s="222" t="s">
        <v>179</v>
      </c>
      <c r="B6849" s="222" t="s">
        <v>37</v>
      </c>
      <c r="C6849" s="236">
        <v>0.67152777777777795</v>
      </c>
      <c r="D6849" s="237">
        <v>0</v>
      </c>
      <c r="E6849" s="237">
        <v>0</v>
      </c>
      <c r="F6849" s="237">
        <v>0</v>
      </c>
      <c r="G6849" s="237">
        <v>0</v>
      </c>
      <c r="H6849" s="237">
        <v>0</v>
      </c>
      <c r="I6849" s="237">
        <v>0</v>
      </c>
      <c r="J6849" s="237">
        <v>0</v>
      </c>
    </row>
    <row r="6850" spans="1:10" s="225" customFormat="1">
      <c r="A6850" s="222" t="s">
        <v>179</v>
      </c>
      <c r="B6850" s="222" t="s">
        <v>37</v>
      </c>
      <c r="C6850" s="236">
        <v>0.67222222222222205</v>
      </c>
      <c r="D6850" s="237">
        <v>0</v>
      </c>
      <c r="E6850" s="237">
        <v>0</v>
      </c>
      <c r="F6850" s="237">
        <v>0</v>
      </c>
      <c r="G6850" s="237">
        <v>0</v>
      </c>
      <c r="H6850" s="237">
        <v>0</v>
      </c>
      <c r="I6850" s="237">
        <v>0</v>
      </c>
      <c r="J6850" s="237">
        <v>0</v>
      </c>
    </row>
    <row r="6851" spans="1:10" s="225" customFormat="1">
      <c r="A6851" s="222" t="s">
        <v>179</v>
      </c>
      <c r="B6851" s="222" t="s">
        <v>37</v>
      </c>
      <c r="C6851" s="236">
        <v>0.67291666666666705</v>
      </c>
      <c r="D6851" s="237">
        <v>0</v>
      </c>
      <c r="E6851" s="237">
        <v>0</v>
      </c>
      <c r="F6851" s="237">
        <v>0</v>
      </c>
      <c r="G6851" s="237">
        <v>0</v>
      </c>
      <c r="H6851" s="237">
        <v>0</v>
      </c>
      <c r="I6851" s="237">
        <v>0</v>
      </c>
      <c r="J6851" s="237">
        <v>0</v>
      </c>
    </row>
    <row r="6852" spans="1:10" s="225" customFormat="1">
      <c r="A6852" s="222" t="s">
        <v>179</v>
      </c>
      <c r="B6852" s="222" t="s">
        <v>37</v>
      </c>
      <c r="C6852" s="236">
        <v>0.67361111111111105</v>
      </c>
      <c r="D6852" s="237">
        <v>0</v>
      </c>
      <c r="E6852" s="237">
        <v>0</v>
      </c>
      <c r="F6852" s="237">
        <v>0</v>
      </c>
      <c r="G6852" s="237">
        <v>0</v>
      </c>
      <c r="H6852" s="237">
        <v>0</v>
      </c>
      <c r="I6852" s="237">
        <v>0</v>
      </c>
      <c r="J6852" s="237">
        <v>0</v>
      </c>
    </row>
    <row r="6853" spans="1:10" s="225" customFormat="1">
      <c r="A6853" s="222" t="s">
        <v>179</v>
      </c>
      <c r="B6853" s="222" t="s">
        <v>37</v>
      </c>
      <c r="C6853" s="236">
        <v>0.67430555555555505</v>
      </c>
      <c r="D6853" s="237">
        <v>0</v>
      </c>
      <c r="E6853" s="237">
        <v>0</v>
      </c>
      <c r="F6853" s="237">
        <v>0</v>
      </c>
      <c r="G6853" s="237">
        <v>0</v>
      </c>
      <c r="H6853" s="237">
        <v>0</v>
      </c>
      <c r="I6853" s="237">
        <v>0</v>
      </c>
      <c r="J6853" s="237">
        <v>0</v>
      </c>
    </row>
    <row r="6854" spans="1:10" s="225" customFormat="1">
      <c r="A6854" s="222" t="s">
        <v>179</v>
      </c>
      <c r="B6854" s="222" t="s">
        <v>37</v>
      </c>
      <c r="C6854" s="236">
        <v>0.67500000000000004</v>
      </c>
      <c r="D6854" s="237">
        <v>0</v>
      </c>
      <c r="E6854" s="237">
        <v>0</v>
      </c>
      <c r="F6854" s="237">
        <v>0</v>
      </c>
      <c r="G6854" s="237">
        <v>0</v>
      </c>
      <c r="H6854" s="237">
        <v>0</v>
      </c>
      <c r="I6854" s="237">
        <v>0</v>
      </c>
      <c r="J6854" s="237">
        <v>0</v>
      </c>
    </row>
    <row r="6855" spans="1:10" s="225" customFormat="1">
      <c r="A6855" s="222" t="s">
        <v>179</v>
      </c>
      <c r="B6855" s="222" t="s">
        <v>37</v>
      </c>
      <c r="C6855" s="236">
        <v>0.67569444444444404</v>
      </c>
      <c r="D6855" s="237">
        <v>0</v>
      </c>
      <c r="E6855" s="237">
        <v>0</v>
      </c>
      <c r="F6855" s="237">
        <v>0</v>
      </c>
      <c r="G6855" s="237">
        <v>0</v>
      </c>
      <c r="H6855" s="237">
        <v>0</v>
      </c>
      <c r="I6855" s="237">
        <v>0</v>
      </c>
      <c r="J6855" s="237">
        <v>0</v>
      </c>
    </row>
    <row r="6856" spans="1:10" s="229" customFormat="1">
      <c r="A6856" s="226" t="s">
        <v>179</v>
      </c>
      <c r="B6856" s="226" t="s">
        <v>37</v>
      </c>
      <c r="C6856" s="238">
        <v>0.67638888888888904</v>
      </c>
      <c r="D6856" s="239">
        <v>0</v>
      </c>
      <c r="E6856" s="239">
        <v>0</v>
      </c>
      <c r="F6856" s="239">
        <v>0</v>
      </c>
      <c r="G6856" s="239">
        <v>0</v>
      </c>
      <c r="H6856" s="239">
        <v>0</v>
      </c>
      <c r="I6856" s="239">
        <v>0</v>
      </c>
      <c r="J6856" s="239">
        <v>0</v>
      </c>
    </row>
    <row r="6857" spans="1:10" s="225" customFormat="1">
      <c r="A6857" s="222" t="s">
        <v>179</v>
      </c>
      <c r="B6857" s="222" t="s">
        <v>37</v>
      </c>
      <c r="C6857" s="236">
        <v>0.67708333333333304</v>
      </c>
      <c r="D6857" s="237">
        <v>0</v>
      </c>
      <c r="E6857" s="237">
        <v>0</v>
      </c>
      <c r="F6857" s="237">
        <v>0</v>
      </c>
      <c r="G6857" s="237">
        <v>0</v>
      </c>
      <c r="H6857" s="237">
        <v>0</v>
      </c>
      <c r="I6857" s="237">
        <v>0</v>
      </c>
      <c r="J6857" s="237">
        <v>0</v>
      </c>
    </row>
    <row r="6858" spans="1:10" s="225" customFormat="1">
      <c r="A6858" s="222" t="s">
        <v>179</v>
      </c>
      <c r="B6858" s="222" t="s">
        <v>37</v>
      </c>
      <c r="C6858" s="236">
        <v>0.67777777777777803</v>
      </c>
      <c r="D6858" s="237">
        <v>0</v>
      </c>
      <c r="E6858" s="237">
        <v>0</v>
      </c>
      <c r="F6858" s="237">
        <v>0</v>
      </c>
      <c r="G6858" s="237">
        <v>0</v>
      </c>
      <c r="H6858" s="237">
        <v>0</v>
      </c>
      <c r="I6858" s="237">
        <v>0</v>
      </c>
      <c r="J6858" s="237">
        <v>0</v>
      </c>
    </row>
    <row r="6859" spans="1:10" s="225" customFormat="1">
      <c r="A6859" s="222" t="s">
        <v>179</v>
      </c>
      <c r="B6859" s="222" t="s">
        <v>37</v>
      </c>
      <c r="C6859" s="236">
        <v>0.67847222222222203</v>
      </c>
      <c r="D6859" s="237">
        <v>0</v>
      </c>
      <c r="E6859" s="237">
        <v>0</v>
      </c>
      <c r="F6859" s="237">
        <v>0</v>
      </c>
      <c r="G6859" s="237">
        <v>0</v>
      </c>
      <c r="H6859" s="237">
        <v>0</v>
      </c>
      <c r="I6859" s="237">
        <v>0</v>
      </c>
      <c r="J6859" s="237">
        <v>0</v>
      </c>
    </row>
    <row r="6860" spans="1:10" s="225" customFormat="1">
      <c r="A6860" s="222" t="s">
        <v>179</v>
      </c>
      <c r="B6860" s="222" t="s">
        <v>37</v>
      </c>
      <c r="C6860" s="236">
        <v>0.67916666666666703</v>
      </c>
      <c r="D6860" s="237">
        <v>0</v>
      </c>
      <c r="E6860" s="237">
        <v>0</v>
      </c>
      <c r="F6860" s="237">
        <v>0</v>
      </c>
      <c r="G6860" s="237">
        <v>0</v>
      </c>
      <c r="H6860" s="237">
        <v>0</v>
      </c>
      <c r="I6860" s="237">
        <v>0</v>
      </c>
      <c r="J6860" s="237">
        <v>0</v>
      </c>
    </row>
    <row r="6861" spans="1:10" s="225" customFormat="1">
      <c r="A6861" s="222" t="s">
        <v>179</v>
      </c>
      <c r="B6861" s="222" t="s">
        <v>37</v>
      </c>
      <c r="C6861" s="236">
        <v>0.67986111111111103</v>
      </c>
      <c r="D6861" s="237">
        <v>0</v>
      </c>
      <c r="E6861" s="237">
        <v>0</v>
      </c>
      <c r="F6861" s="237">
        <v>0</v>
      </c>
      <c r="G6861" s="237">
        <v>0</v>
      </c>
      <c r="H6861" s="237">
        <v>0</v>
      </c>
      <c r="I6861" s="237">
        <v>0</v>
      </c>
      <c r="J6861" s="237">
        <v>0</v>
      </c>
    </row>
    <row r="6862" spans="1:10" s="225" customFormat="1">
      <c r="A6862" s="222" t="s">
        <v>179</v>
      </c>
      <c r="B6862" s="222" t="s">
        <v>37</v>
      </c>
      <c r="C6862" s="236">
        <v>0.68055555555555503</v>
      </c>
      <c r="D6862" s="237">
        <v>0</v>
      </c>
      <c r="E6862" s="237">
        <v>0</v>
      </c>
      <c r="F6862" s="237">
        <v>0</v>
      </c>
      <c r="G6862" s="237">
        <v>0</v>
      </c>
      <c r="H6862" s="237">
        <v>0</v>
      </c>
      <c r="I6862" s="237">
        <v>0</v>
      </c>
      <c r="J6862" s="237">
        <v>0</v>
      </c>
    </row>
    <row r="6863" spans="1:10" s="225" customFormat="1">
      <c r="A6863" s="222" t="s">
        <v>179</v>
      </c>
      <c r="B6863" s="222" t="s">
        <v>37</v>
      </c>
      <c r="C6863" s="236">
        <v>0.68125000000000002</v>
      </c>
      <c r="D6863" s="237">
        <v>0</v>
      </c>
      <c r="E6863" s="237">
        <v>0</v>
      </c>
      <c r="F6863" s="237">
        <v>0</v>
      </c>
      <c r="G6863" s="237">
        <v>0</v>
      </c>
      <c r="H6863" s="237">
        <v>0</v>
      </c>
      <c r="I6863" s="237">
        <v>0</v>
      </c>
      <c r="J6863" s="237">
        <v>0</v>
      </c>
    </row>
    <row r="6864" spans="1:10" s="225" customFormat="1">
      <c r="A6864" s="222" t="s">
        <v>179</v>
      </c>
      <c r="B6864" s="222" t="s">
        <v>37</v>
      </c>
      <c r="C6864" s="236">
        <v>0.68194444444444402</v>
      </c>
      <c r="D6864" s="237">
        <v>0</v>
      </c>
      <c r="E6864" s="237">
        <v>0</v>
      </c>
      <c r="F6864" s="237">
        <v>0</v>
      </c>
      <c r="G6864" s="237">
        <v>0</v>
      </c>
      <c r="H6864" s="237">
        <v>0</v>
      </c>
      <c r="I6864" s="237">
        <v>0</v>
      </c>
      <c r="J6864" s="237">
        <v>0</v>
      </c>
    </row>
    <row r="6865" spans="1:10" s="225" customFormat="1">
      <c r="A6865" s="222" t="s">
        <v>179</v>
      </c>
      <c r="B6865" s="222" t="s">
        <v>37</v>
      </c>
      <c r="C6865" s="236">
        <v>0.68263888888888902</v>
      </c>
      <c r="D6865" s="237">
        <v>0</v>
      </c>
      <c r="E6865" s="237">
        <v>0</v>
      </c>
      <c r="F6865" s="237">
        <v>0</v>
      </c>
      <c r="G6865" s="237">
        <v>0</v>
      </c>
      <c r="H6865" s="237">
        <v>0</v>
      </c>
      <c r="I6865" s="237">
        <v>0</v>
      </c>
      <c r="J6865" s="237">
        <v>0</v>
      </c>
    </row>
    <row r="6866" spans="1:10" s="225" customFormat="1">
      <c r="A6866" s="222" t="s">
        <v>179</v>
      </c>
      <c r="B6866" s="222" t="s">
        <v>37</v>
      </c>
      <c r="C6866" s="236">
        <v>0.68333333333333302</v>
      </c>
      <c r="D6866" s="237">
        <v>0</v>
      </c>
      <c r="E6866" s="237">
        <v>0</v>
      </c>
      <c r="F6866" s="237">
        <v>0</v>
      </c>
      <c r="G6866" s="237">
        <v>0</v>
      </c>
      <c r="H6866" s="237">
        <v>0</v>
      </c>
      <c r="I6866" s="237">
        <v>0</v>
      </c>
      <c r="J6866" s="237">
        <v>0</v>
      </c>
    </row>
    <row r="6867" spans="1:10" s="225" customFormat="1">
      <c r="A6867" s="222" t="s">
        <v>179</v>
      </c>
      <c r="B6867" s="222" t="s">
        <v>37</v>
      </c>
      <c r="C6867" s="236">
        <v>0.68402777777777801</v>
      </c>
      <c r="D6867" s="237">
        <v>0</v>
      </c>
      <c r="E6867" s="237">
        <v>0</v>
      </c>
      <c r="F6867" s="237">
        <v>0</v>
      </c>
      <c r="G6867" s="237">
        <v>0</v>
      </c>
      <c r="H6867" s="237">
        <v>0</v>
      </c>
      <c r="I6867" s="237">
        <v>0</v>
      </c>
      <c r="J6867" s="237">
        <v>0</v>
      </c>
    </row>
    <row r="6868" spans="1:10" s="225" customFormat="1">
      <c r="A6868" s="222" t="s">
        <v>179</v>
      </c>
      <c r="B6868" s="222" t="s">
        <v>37</v>
      </c>
      <c r="C6868" s="236">
        <v>0.68472222222222201</v>
      </c>
      <c r="D6868" s="237">
        <v>0</v>
      </c>
      <c r="E6868" s="237">
        <v>0</v>
      </c>
      <c r="F6868" s="237">
        <v>0</v>
      </c>
      <c r="G6868" s="237">
        <v>0</v>
      </c>
      <c r="H6868" s="237">
        <v>0</v>
      </c>
      <c r="I6868" s="237">
        <v>0</v>
      </c>
      <c r="J6868" s="237">
        <v>0</v>
      </c>
    </row>
    <row r="6869" spans="1:10" s="225" customFormat="1">
      <c r="A6869" s="222" t="s">
        <v>179</v>
      </c>
      <c r="B6869" s="222" t="s">
        <v>37</v>
      </c>
      <c r="C6869" s="236">
        <v>0.68541666666666701</v>
      </c>
      <c r="D6869" s="237">
        <v>0</v>
      </c>
      <c r="E6869" s="237">
        <v>0</v>
      </c>
      <c r="F6869" s="237">
        <v>0</v>
      </c>
      <c r="G6869" s="237">
        <v>0</v>
      </c>
      <c r="H6869" s="237">
        <v>0</v>
      </c>
      <c r="I6869" s="237">
        <v>0</v>
      </c>
      <c r="J6869" s="237">
        <v>0</v>
      </c>
    </row>
    <row r="6870" spans="1:10" s="225" customFormat="1">
      <c r="A6870" s="222" t="s">
        <v>179</v>
      </c>
      <c r="B6870" s="222" t="s">
        <v>37</v>
      </c>
      <c r="C6870" s="236">
        <v>0.68611111111111101</v>
      </c>
      <c r="D6870" s="237">
        <v>0</v>
      </c>
      <c r="E6870" s="237">
        <v>0</v>
      </c>
      <c r="F6870" s="237">
        <v>0</v>
      </c>
      <c r="G6870" s="237">
        <v>0</v>
      </c>
      <c r="H6870" s="237">
        <v>0</v>
      </c>
      <c r="I6870" s="237">
        <v>0</v>
      </c>
      <c r="J6870" s="237">
        <v>0</v>
      </c>
    </row>
    <row r="6871" spans="1:10" s="229" customFormat="1">
      <c r="A6871" s="226" t="s">
        <v>179</v>
      </c>
      <c r="B6871" s="226" t="s">
        <v>37</v>
      </c>
      <c r="C6871" s="238">
        <v>0.686805555555555</v>
      </c>
      <c r="D6871" s="239">
        <v>0</v>
      </c>
      <c r="E6871" s="239">
        <v>0</v>
      </c>
      <c r="F6871" s="239">
        <v>0</v>
      </c>
      <c r="G6871" s="239">
        <v>0</v>
      </c>
      <c r="H6871" s="239">
        <v>0</v>
      </c>
      <c r="I6871" s="239">
        <v>0</v>
      </c>
      <c r="J6871" s="239">
        <v>0</v>
      </c>
    </row>
    <row r="6872" spans="1:10" s="225" customFormat="1">
      <c r="A6872" s="222" t="s">
        <v>179</v>
      </c>
      <c r="B6872" s="222" t="s">
        <v>37</v>
      </c>
      <c r="C6872" s="236">
        <v>0.6875</v>
      </c>
      <c r="D6872" s="237">
        <v>0</v>
      </c>
      <c r="E6872" s="237">
        <v>0</v>
      </c>
      <c r="F6872" s="237">
        <v>0</v>
      </c>
      <c r="G6872" s="237">
        <v>0</v>
      </c>
      <c r="H6872" s="237">
        <v>0</v>
      </c>
      <c r="I6872" s="237">
        <v>0</v>
      </c>
      <c r="J6872" s="237">
        <v>0</v>
      </c>
    </row>
    <row r="6873" spans="1:10" s="225" customFormat="1">
      <c r="A6873" s="222" t="s">
        <v>179</v>
      </c>
      <c r="B6873" s="222" t="s">
        <v>37</v>
      </c>
      <c r="C6873" s="236">
        <v>0.688194444444444</v>
      </c>
      <c r="D6873" s="237">
        <v>0</v>
      </c>
      <c r="E6873" s="237">
        <v>0</v>
      </c>
      <c r="F6873" s="237">
        <v>0</v>
      </c>
      <c r="G6873" s="237">
        <v>0</v>
      </c>
      <c r="H6873" s="237">
        <v>0</v>
      </c>
      <c r="I6873" s="237">
        <v>0</v>
      </c>
      <c r="J6873" s="237">
        <v>0</v>
      </c>
    </row>
    <row r="6874" spans="1:10" s="225" customFormat="1">
      <c r="A6874" s="222" t="s">
        <v>179</v>
      </c>
      <c r="B6874" s="222" t="s">
        <v>37</v>
      </c>
      <c r="C6874" s="236">
        <v>0.68888888888888899</v>
      </c>
      <c r="D6874" s="237">
        <v>0</v>
      </c>
      <c r="E6874" s="237">
        <v>0</v>
      </c>
      <c r="F6874" s="237">
        <v>0</v>
      </c>
      <c r="G6874" s="237">
        <v>0</v>
      </c>
      <c r="H6874" s="237">
        <v>0</v>
      </c>
      <c r="I6874" s="237">
        <v>0</v>
      </c>
      <c r="J6874" s="237">
        <v>0</v>
      </c>
    </row>
    <row r="6875" spans="1:10" s="225" customFormat="1">
      <c r="A6875" s="222" t="s">
        <v>179</v>
      </c>
      <c r="B6875" s="222" t="s">
        <v>37</v>
      </c>
      <c r="C6875" s="236">
        <v>0.68958333333333299</v>
      </c>
      <c r="D6875" s="237">
        <v>0</v>
      </c>
      <c r="E6875" s="237">
        <v>0</v>
      </c>
      <c r="F6875" s="237">
        <v>0</v>
      </c>
      <c r="G6875" s="237">
        <v>0</v>
      </c>
      <c r="H6875" s="237">
        <v>0</v>
      </c>
      <c r="I6875" s="237">
        <v>0</v>
      </c>
      <c r="J6875" s="237">
        <v>0</v>
      </c>
    </row>
    <row r="6876" spans="1:10" s="225" customFormat="1">
      <c r="A6876" s="222" t="s">
        <v>179</v>
      </c>
      <c r="B6876" s="222" t="s">
        <v>37</v>
      </c>
      <c r="C6876" s="236">
        <v>0.69027777777777799</v>
      </c>
      <c r="D6876" s="237">
        <v>0</v>
      </c>
      <c r="E6876" s="237">
        <v>0</v>
      </c>
      <c r="F6876" s="237">
        <v>0</v>
      </c>
      <c r="G6876" s="237">
        <v>0</v>
      </c>
      <c r="H6876" s="237">
        <v>0</v>
      </c>
      <c r="I6876" s="237">
        <v>0</v>
      </c>
      <c r="J6876" s="237">
        <v>0</v>
      </c>
    </row>
    <row r="6877" spans="1:10" s="225" customFormat="1">
      <c r="A6877" s="222" t="s">
        <v>179</v>
      </c>
      <c r="B6877" s="222" t="s">
        <v>37</v>
      </c>
      <c r="C6877" s="236">
        <v>0.69097222222222199</v>
      </c>
      <c r="D6877" s="237">
        <v>0</v>
      </c>
      <c r="E6877" s="237">
        <v>0</v>
      </c>
      <c r="F6877" s="237">
        <v>0</v>
      </c>
      <c r="G6877" s="237">
        <v>0</v>
      </c>
      <c r="H6877" s="237">
        <v>0</v>
      </c>
      <c r="I6877" s="237">
        <v>0</v>
      </c>
      <c r="J6877" s="237">
        <v>0</v>
      </c>
    </row>
    <row r="6878" spans="1:10" s="225" customFormat="1">
      <c r="A6878" s="222" t="s">
        <v>179</v>
      </c>
      <c r="B6878" s="222" t="s">
        <v>37</v>
      </c>
      <c r="C6878" s="236">
        <v>0.69166666666666698</v>
      </c>
      <c r="D6878" s="237">
        <v>0</v>
      </c>
      <c r="E6878" s="237">
        <v>0</v>
      </c>
      <c r="F6878" s="237">
        <v>0</v>
      </c>
      <c r="G6878" s="237">
        <v>0</v>
      </c>
      <c r="H6878" s="237">
        <v>0</v>
      </c>
      <c r="I6878" s="237">
        <v>0</v>
      </c>
      <c r="J6878" s="237">
        <v>0</v>
      </c>
    </row>
    <row r="6879" spans="1:10" s="225" customFormat="1">
      <c r="A6879" s="222" t="s">
        <v>179</v>
      </c>
      <c r="B6879" s="222" t="s">
        <v>37</v>
      </c>
      <c r="C6879" s="236">
        <v>0.69236111111111098</v>
      </c>
      <c r="D6879" s="237">
        <v>0</v>
      </c>
      <c r="E6879" s="237">
        <v>0</v>
      </c>
      <c r="F6879" s="237">
        <v>0</v>
      </c>
      <c r="G6879" s="237">
        <v>0</v>
      </c>
      <c r="H6879" s="237">
        <v>0</v>
      </c>
      <c r="I6879" s="237">
        <v>0</v>
      </c>
      <c r="J6879" s="237">
        <v>0</v>
      </c>
    </row>
    <row r="6880" spans="1:10" s="225" customFormat="1">
      <c r="A6880" s="222" t="s">
        <v>179</v>
      </c>
      <c r="B6880" s="222" t="s">
        <v>37</v>
      </c>
      <c r="C6880" s="236">
        <v>0.69305555555555498</v>
      </c>
      <c r="D6880" s="237">
        <v>0</v>
      </c>
      <c r="E6880" s="237">
        <v>0</v>
      </c>
      <c r="F6880" s="237">
        <v>0</v>
      </c>
      <c r="G6880" s="237">
        <v>0</v>
      </c>
      <c r="H6880" s="237">
        <v>0</v>
      </c>
      <c r="I6880" s="237">
        <v>0</v>
      </c>
      <c r="J6880" s="237">
        <v>0</v>
      </c>
    </row>
    <row r="6881" spans="1:10" s="225" customFormat="1">
      <c r="A6881" s="222" t="s">
        <v>179</v>
      </c>
      <c r="B6881" s="222" t="s">
        <v>37</v>
      </c>
      <c r="C6881" s="236">
        <v>0.69374999999999998</v>
      </c>
      <c r="D6881" s="237">
        <v>0</v>
      </c>
      <c r="E6881" s="237">
        <v>0</v>
      </c>
      <c r="F6881" s="237">
        <v>0</v>
      </c>
      <c r="G6881" s="237">
        <v>0</v>
      </c>
      <c r="H6881" s="237">
        <v>0</v>
      </c>
      <c r="I6881" s="237">
        <v>0</v>
      </c>
      <c r="J6881" s="237">
        <v>0</v>
      </c>
    </row>
    <row r="6882" spans="1:10" s="225" customFormat="1">
      <c r="A6882" s="222" t="s">
        <v>179</v>
      </c>
      <c r="B6882" s="222" t="s">
        <v>37</v>
      </c>
      <c r="C6882" s="236">
        <v>0.69444444444444398</v>
      </c>
      <c r="D6882" s="237">
        <v>0</v>
      </c>
      <c r="E6882" s="237">
        <v>0</v>
      </c>
      <c r="F6882" s="237">
        <v>0</v>
      </c>
      <c r="G6882" s="237">
        <v>0</v>
      </c>
      <c r="H6882" s="237">
        <v>0</v>
      </c>
      <c r="I6882" s="237">
        <v>0</v>
      </c>
      <c r="J6882" s="237">
        <v>0</v>
      </c>
    </row>
    <row r="6883" spans="1:10" s="225" customFormat="1">
      <c r="A6883" s="222" t="s">
        <v>179</v>
      </c>
      <c r="B6883" s="222" t="s">
        <v>37</v>
      </c>
      <c r="C6883" s="236">
        <v>0.69513888888888897</v>
      </c>
      <c r="D6883" s="237">
        <v>0</v>
      </c>
      <c r="E6883" s="237">
        <v>0</v>
      </c>
      <c r="F6883" s="237">
        <v>0</v>
      </c>
      <c r="G6883" s="237">
        <v>0</v>
      </c>
      <c r="H6883" s="237">
        <v>0</v>
      </c>
      <c r="I6883" s="237">
        <v>0</v>
      </c>
      <c r="J6883" s="237">
        <v>0</v>
      </c>
    </row>
    <row r="6884" spans="1:10" s="225" customFormat="1">
      <c r="A6884" s="222" t="s">
        <v>179</v>
      </c>
      <c r="B6884" s="222" t="s">
        <v>37</v>
      </c>
      <c r="C6884" s="236">
        <v>0.69583333333333297</v>
      </c>
      <c r="D6884" s="237">
        <v>0</v>
      </c>
      <c r="E6884" s="237">
        <v>0</v>
      </c>
      <c r="F6884" s="237">
        <v>0</v>
      </c>
      <c r="G6884" s="237">
        <v>0</v>
      </c>
      <c r="H6884" s="237">
        <v>0</v>
      </c>
      <c r="I6884" s="237">
        <v>0</v>
      </c>
      <c r="J6884" s="237">
        <v>0</v>
      </c>
    </row>
    <row r="6885" spans="1:10" s="225" customFormat="1">
      <c r="A6885" s="222" t="s">
        <v>179</v>
      </c>
      <c r="B6885" s="222" t="s">
        <v>37</v>
      </c>
      <c r="C6885" s="236">
        <v>0.69652777777777797</v>
      </c>
      <c r="D6885" s="237">
        <v>0</v>
      </c>
      <c r="E6885" s="237">
        <v>0</v>
      </c>
      <c r="F6885" s="237">
        <v>0</v>
      </c>
      <c r="G6885" s="237">
        <v>0</v>
      </c>
      <c r="H6885" s="237">
        <v>0</v>
      </c>
      <c r="I6885" s="237">
        <v>0</v>
      </c>
      <c r="J6885" s="237">
        <v>0</v>
      </c>
    </row>
    <row r="6886" spans="1:10" s="229" customFormat="1">
      <c r="A6886" s="226" t="s">
        <v>179</v>
      </c>
      <c r="B6886" s="226" t="s">
        <v>37</v>
      </c>
      <c r="C6886" s="238">
        <v>0.69722222222222197</v>
      </c>
      <c r="D6886" s="239">
        <v>0</v>
      </c>
      <c r="E6886" s="239">
        <v>0</v>
      </c>
      <c r="F6886" s="239">
        <v>0</v>
      </c>
      <c r="G6886" s="239">
        <v>0</v>
      </c>
      <c r="H6886" s="239">
        <v>0</v>
      </c>
      <c r="I6886" s="239">
        <v>0</v>
      </c>
      <c r="J6886" s="239">
        <v>0</v>
      </c>
    </row>
    <row r="6887" spans="1:10" s="225" customFormat="1">
      <c r="A6887" s="222" t="s">
        <v>179</v>
      </c>
      <c r="B6887" s="222" t="s">
        <v>37</v>
      </c>
      <c r="C6887" s="236">
        <v>0.69791666666666696</v>
      </c>
      <c r="D6887" s="237">
        <v>0</v>
      </c>
      <c r="E6887" s="237">
        <v>0</v>
      </c>
      <c r="F6887" s="237">
        <v>0</v>
      </c>
      <c r="G6887" s="237">
        <v>0</v>
      </c>
      <c r="H6887" s="237">
        <v>0</v>
      </c>
      <c r="I6887" s="237">
        <v>0</v>
      </c>
      <c r="J6887" s="237">
        <v>0</v>
      </c>
    </row>
    <row r="6888" spans="1:10" s="225" customFormat="1">
      <c r="A6888" s="222" t="s">
        <v>179</v>
      </c>
      <c r="B6888" s="222" t="s">
        <v>37</v>
      </c>
      <c r="C6888" s="236">
        <v>0.69861111111111096</v>
      </c>
      <c r="D6888" s="237">
        <v>0</v>
      </c>
      <c r="E6888" s="237">
        <v>0</v>
      </c>
      <c r="F6888" s="237">
        <v>0</v>
      </c>
      <c r="G6888" s="237">
        <v>0</v>
      </c>
      <c r="H6888" s="237">
        <v>0</v>
      </c>
      <c r="I6888" s="237">
        <v>0</v>
      </c>
      <c r="J6888" s="237">
        <v>0</v>
      </c>
    </row>
    <row r="6889" spans="1:10" s="225" customFormat="1">
      <c r="A6889" s="222" t="s">
        <v>179</v>
      </c>
      <c r="B6889" s="222" t="s">
        <v>37</v>
      </c>
      <c r="C6889" s="236">
        <v>0.69930555555555496</v>
      </c>
      <c r="D6889" s="237">
        <v>0</v>
      </c>
      <c r="E6889" s="237">
        <v>0</v>
      </c>
      <c r="F6889" s="237">
        <v>0</v>
      </c>
      <c r="G6889" s="237">
        <v>0</v>
      </c>
      <c r="H6889" s="237">
        <v>0</v>
      </c>
      <c r="I6889" s="237">
        <v>0</v>
      </c>
      <c r="J6889" s="237">
        <v>0</v>
      </c>
    </row>
    <row r="6890" spans="1:10" s="225" customFormat="1">
      <c r="A6890" s="222" t="s">
        <v>179</v>
      </c>
      <c r="B6890" s="222" t="s">
        <v>37</v>
      </c>
      <c r="C6890" s="236">
        <v>0.7</v>
      </c>
      <c r="D6890" s="237">
        <v>0</v>
      </c>
      <c r="E6890" s="237">
        <v>0</v>
      </c>
      <c r="F6890" s="237">
        <v>0</v>
      </c>
      <c r="G6890" s="237">
        <v>0</v>
      </c>
      <c r="H6890" s="237">
        <v>0</v>
      </c>
      <c r="I6890" s="237">
        <v>0</v>
      </c>
      <c r="J6890" s="237">
        <v>0</v>
      </c>
    </row>
    <row r="6891" spans="1:10" s="225" customFormat="1">
      <c r="A6891" s="222" t="s">
        <v>179</v>
      </c>
      <c r="B6891" s="222" t="s">
        <v>37</v>
      </c>
      <c r="C6891" s="236">
        <v>0.70069444444444395</v>
      </c>
      <c r="D6891" s="237">
        <v>0</v>
      </c>
      <c r="E6891" s="237">
        <v>0</v>
      </c>
      <c r="F6891" s="237">
        <v>0</v>
      </c>
      <c r="G6891" s="237">
        <v>0</v>
      </c>
      <c r="H6891" s="237">
        <v>0</v>
      </c>
      <c r="I6891" s="237">
        <v>0</v>
      </c>
      <c r="J6891" s="237">
        <v>0</v>
      </c>
    </row>
    <row r="6892" spans="1:10" s="225" customFormat="1">
      <c r="A6892" s="222" t="s">
        <v>179</v>
      </c>
      <c r="B6892" s="222" t="s">
        <v>37</v>
      </c>
      <c r="C6892" s="236">
        <v>0.70138888888888895</v>
      </c>
      <c r="D6892" s="237">
        <v>0</v>
      </c>
      <c r="E6892" s="237">
        <v>0</v>
      </c>
      <c r="F6892" s="237">
        <v>0</v>
      </c>
      <c r="G6892" s="237">
        <v>0</v>
      </c>
      <c r="H6892" s="237">
        <v>0</v>
      </c>
      <c r="I6892" s="237">
        <v>0</v>
      </c>
      <c r="J6892" s="237">
        <v>0</v>
      </c>
    </row>
    <row r="6893" spans="1:10" s="225" customFormat="1">
      <c r="A6893" s="222" t="s">
        <v>179</v>
      </c>
      <c r="B6893" s="222" t="s">
        <v>37</v>
      </c>
      <c r="C6893" s="236">
        <v>0.70208333333333295</v>
      </c>
      <c r="D6893" s="237">
        <v>0</v>
      </c>
      <c r="E6893" s="237">
        <v>0</v>
      </c>
      <c r="F6893" s="237">
        <v>0</v>
      </c>
      <c r="G6893" s="237">
        <v>0</v>
      </c>
      <c r="H6893" s="237">
        <v>0</v>
      </c>
      <c r="I6893" s="237">
        <v>0</v>
      </c>
      <c r="J6893" s="237">
        <v>0</v>
      </c>
    </row>
    <row r="6894" spans="1:10" s="225" customFormat="1">
      <c r="A6894" s="222" t="s">
        <v>179</v>
      </c>
      <c r="B6894" s="222" t="s">
        <v>37</v>
      </c>
      <c r="C6894" s="236">
        <v>0.70277777777777795</v>
      </c>
      <c r="D6894" s="237">
        <v>0</v>
      </c>
      <c r="E6894" s="237">
        <v>0</v>
      </c>
      <c r="F6894" s="237">
        <v>0</v>
      </c>
      <c r="G6894" s="237">
        <v>0</v>
      </c>
      <c r="H6894" s="237">
        <v>0</v>
      </c>
      <c r="I6894" s="237">
        <v>0</v>
      </c>
      <c r="J6894" s="237">
        <v>0</v>
      </c>
    </row>
    <row r="6895" spans="1:10" s="225" customFormat="1">
      <c r="A6895" s="222" t="s">
        <v>179</v>
      </c>
      <c r="B6895" s="222" t="s">
        <v>37</v>
      </c>
      <c r="C6895" s="236">
        <v>0.70347222222222205</v>
      </c>
      <c r="D6895" s="237">
        <v>0</v>
      </c>
      <c r="E6895" s="237">
        <v>0</v>
      </c>
      <c r="F6895" s="237">
        <v>0</v>
      </c>
      <c r="G6895" s="237">
        <v>0</v>
      </c>
      <c r="H6895" s="237">
        <v>0</v>
      </c>
      <c r="I6895" s="237">
        <v>0</v>
      </c>
      <c r="J6895" s="237">
        <v>0</v>
      </c>
    </row>
    <row r="6896" spans="1:10" s="225" customFormat="1">
      <c r="A6896" s="222" t="s">
        <v>179</v>
      </c>
      <c r="B6896" s="222" t="s">
        <v>37</v>
      </c>
      <c r="C6896" s="236">
        <v>0.70416666666666605</v>
      </c>
      <c r="D6896" s="237">
        <v>0</v>
      </c>
      <c r="E6896" s="237">
        <v>0</v>
      </c>
      <c r="F6896" s="237">
        <v>0</v>
      </c>
      <c r="G6896" s="237">
        <v>0</v>
      </c>
      <c r="H6896" s="237">
        <v>0</v>
      </c>
      <c r="I6896" s="237">
        <v>0</v>
      </c>
      <c r="J6896" s="237">
        <v>0</v>
      </c>
    </row>
    <row r="6897" spans="1:10" s="225" customFormat="1">
      <c r="A6897" s="222" t="s">
        <v>179</v>
      </c>
      <c r="B6897" s="222" t="s">
        <v>37</v>
      </c>
      <c r="C6897" s="236">
        <v>0.70486111111111105</v>
      </c>
      <c r="D6897" s="237">
        <v>0</v>
      </c>
      <c r="E6897" s="237">
        <v>0</v>
      </c>
      <c r="F6897" s="237">
        <v>0</v>
      </c>
      <c r="G6897" s="237">
        <v>0</v>
      </c>
      <c r="H6897" s="237">
        <v>0</v>
      </c>
      <c r="I6897" s="237">
        <v>0</v>
      </c>
      <c r="J6897" s="237">
        <v>0</v>
      </c>
    </row>
    <row r="6898" spans="1:10" s="225" customFormat="1">
      <c r="A6898" s="222" t="s">
        <v>179</v>
      </c>
      <c r="B6898" s="222" t="s">
        <v>37</v>
      </c>
      <c r="C6898" s="236">
        <v>0.70555555555555505</v>
      </c>
      <c r="D6898" s="237">
        <v>0</v>
      </c>
      <c r="E6898" s="237">
        <v>0</v>
      </c>
      <c r="F6898" s="237">
        <v>0</v>
      </c>
      <c r="G6898" s="237">
        <v>0</v>
      </c>
      <c r="H6898" s="237">
        <v>0</v>
      </c>
      <c r="I6898" s="237">
        <v>0</v>
      </c>
      <c r="J6898" s="237">
        <v>0</v>
      </c>
    </row>
    <row r="6899" spans="1:10" s="225" customFormat="1">
      <c r="A6899" s="222" t="s">
        <v>179</v>
      </c>
      <c r="B6899" s="222" t="s">
        <v>37</v>
      </c>
      <c r="C6899" s="236">
        <v>0.70625000000000004</v>
      </c>
      <c r="D6899" s="237">
        <v>0</v>
      </c>
      <c r="E6899" s="237">
        <v>0</v>
      </c>
      <c r="F6899" s="237">
        <v>0</v>
      </c>
      <c r="G6899" s="237">
        <v>0</v>
      </c>
      <c r="H6899" s="237">
        <v>0</v>
      </c>
      <c r="I6899" s="237">
        <v>0</v>
      </c>
      <c r="J6899" s="237">
        <v>0</v>
      </c>
    </row>
    <row r="6900" spans="1:10" s="225" customFormat="1">
      <c r="A6900" s="222" t="s">
        <v>179</v>
      </c>
      <c r="B6900" s="222" t="s">
        <v>37</v>
      </c>
      <c r="C6900" s="236">
        <v>0.70694444444444404</v>
      </c>
      <c r="D6900" s="237">
        <v>0</v>
      </c>
      <c r="E6900" s="237">
        <v>0</v>
      </c>
      <c r="F6900" s="237">
        <v>0</v>
      </c>
      <c r="G6900" s="237">
        <v>0</v>
      </c>
      <c r="H6900" s="237">
        <v>0</v>
      </c>
      <c r="I6900" s="237">
        <v>0</v>
      </c>
      <c r="J6900" s="237">
        <v>0</v>
      </c>
    </row>
    <row r="6901" spans="1:10" s="229" customFormat="1">
      <c r="A6901" s="226" t="s">
        <v>179</v>
      </c>
      <c r="B6901" s="226" t="s">
        <v>37</v>
      </c>
      <c r="C6901" s="238">
        <v>0.70763888888888904</v>
      </c>
      <c r="D6901" s="239">
        <v>0</v>
      </c>
      <c r="E6901" s="239">
        <v>0</v>
      </c>
      <c r="F6901" s="239">
        <v>0</v>
      </c>
      <c r="G6901" s="239">
        <v>0</v>
      </c>
      <c r="H6901" s="239">
        <v>0</v>
      </c>
      <c r="I6901" s="239">
        <v>0</v>
      </c>
      <c r="J6901" s="239">
        <v>0</v>
      </c>
    </row>
    <row r="6902" spans="1:10" s="225" customFormat="1">
      <c r="A6902" s="222" t="s">
        <v>179</v>
      </c>
      <c r="B6902" s="222" t="s">
        <v>37</v>
      </c>
      <c r="C6902" s="236">
        <v>0.70833333333333304</v>
      </c>
      <c r="D6902" s="237">
        <v>0</v>
      </c>
      <c r="E6902" s="237">
        <v>0</v>
      </c>
      <c r="F6902" s="237">
        <v>0</v>
      </c>
      <c r="G6902" s="237">
        <v>0</v>
      </c>
      <c r="H6902" s="237">
        <v>0</v>
      </c>
      <c r="I6902" s="237">
        <v>0</v>
      </c>
      <c r="J6902" s="237">
        <v>0</v>
      </c>
    </row>
    <row r="6903" spans="1:10" s="225" customFormat="1">
      <c r="A6903" s="222" t="s">
        <v>179</v>
      </c>
      <c r="B6903" s="222" t="s">
        <v>37</v>
      </c>
      <c r="C6903" s="236">
        <v>0.70902777777777803</v>
      </c>
      <c r="D6903" s="237">
        <v>0</v>
      </c>
      <c r="E6903" s="237">
        <v>0</v>
      </c>
      <c r="F6903" s="237">
        <v>0</v>
      </c>
      <c r="G6903" s="237">
        <v>0</v>
      </c>
      <c r="H6903" s="237">
        <v>0</v>
      </c>
      <c r="I6903" s="237">
        <v>0</v>
      </c>
      <c r="J6903" s="237">
        <v>0</v>
      </c>
    </row>
    <row r="6904" spans="1:10" s="225" customFormat="1">
      <c r="A6904" s="222" t="s">
        <v>179</v>
      </c>
      <c r="B6904" s="222" t="s">
        <v>37</v>
      </c>
      <c r="C6904" s="236">
        <v>0.70972222222222203</v>
      </c>
      <c r="D6904" s="237">
        <v>0</v>
      </c>
      <c r="E6904" s="237">
        <v>0</v>
      </c>
      <c r="F6904" s="237">
        <v>0</v>
      </c>
      <c r="G6904" s="237">
        <v>0</v>
      </c>
      <c r="H6904" s="237">
        <v>0</v>
      </c>
      <c r="I6904" s="237">
        <v>0</v>
      </c>
      <c r="J6904" s="237">
        <v>0</v>
      </c>
    </row>
    <row r="6905" spans="1:10" s="225" customFormat="1">
      <c r="A6905" s="222" t="s">
        <v>179</v>
      </c>
      <c r="B6905" s="222" t="s">
        <v>37</v>
      </c>
      <c r="C6905" s="236">
        <v>0.71041666666666603</v>
      </c>
      <c r="D6905" s="237">
        <v>0</v>
      </c>
      <c r="E6905" s="237">
        <v>0</v>
      </c>
      <c r="F6905" s="237">
        <v>0</v>
      </c>
      <c r="G6905" s="237">
        <v>0</v>
      </c>
      <c r="H6905" s="237">
        <v>0</v>
      </c>
      <c r="I6905" s="237">
        <v>0</v>
      </c>
      <c r="J6905" s="237">
        <v>0</v>
      </c>
    </row>
    <row r="6906" spans="1:10" s="225" customFormat="1">
      <c r="A6906" s="222" t="s">
        <v>179</v>
      </c>
      <c r="B6906" s="222" t="s">
        <v>37</v>
      </c>
      <c r="C6906" s="236">
        <v>0.71111111111111103</v>
      </c>
      <c r="D6906" s="237">
        <v>0</v>
      </c>
      <c r="E6906" s="237">
        <v>0</v>
      </c>
      <c r="F6906" s="237">
        <v>0</v>
      </c>
      <c r="G6906" s="237">
        <v>0</v>
      </c>
      <c r="H6906" s="237">
        <v>0</v>
      </c>
      <c r="I6906" s="237">
        <v>0</v>
      </c>
      <c r="J6906" s="237">
        <v>0</v>
      </c>
    </row>
    <row r="6907" spans="1:10" s="225" customFormat="1">
      <c r="A6907" s="222" t="s">
        <v>179</v>
      </c>
      <c r="B6907" s="222" t="s">
        <v>37</v>
      </c>
      <c r="C6907" s="236">
        <v>0.71180555555555503</v>
      </c>
      <c r="D6907" s="237">
        <v>0</v>
      </c>
      <c r="E6907" s="237">
        <v>0</v>
      </c>
      <c r="F6907" s="237">
        <v>0</v>
      </c>
      <c r="G6907" s="237">
        <v>0</v>
      </c>
      <c r="H6907" s="237">
        <v>0</v>
      </c>
      <c r="I6907" s="237">
        <v>0</v>
      </c>
      <c r="J6907" s="237">
        <v>0</v>
      </c>
    </row>
    <row r="6908" spans="1:10" s="225" customFormat="1">
      <c r="A6908" s="222" t="s">
        <v>179</v>
      </c>
      <c r="B6908" s="222" t="s">
        <v>37</v>
      </c>
      <c r="C6908" s="236">
        <v>0.71250000000000002</v>
      </c>
      <c r="D6908" s="237">
        <v>0</v>
      </c>
      <c r="E6908" s="237">
        <v>0</v>
      </c>
      <c r="F6908" s="237">
        <v>0</v>
      </c>
      <c r="G6908" s="237">
        <v>0</v>
      </c>
      <c r="H6908" s="237">
        <v>0</v>
      </c>
      <c r="I6908" s="237">
        <v>0</v>
      </c>
      <c r="J6908" s="237">
        <v>0</v>
      </c>
    </row>
    <row r="6909" spans="1:10" s="225" customFormat="1">
      <c r="A6909" s="222" t="s">
        <v>179</v>
      </c>
      <c r="B6909" s="222" t="s">
        <v>37</v>
      </c>
      <c r="C6909" s="236">
        <v>0.71319444444444402</v>
      </c>
      <c r="D6909" s="237">
        <v>0</v>
      </c>
      <c r="E6909" s="237">
        <v>0</v>
      </c>
      <c r="F6909" s="237">
        <v>0</v>
      </c>
      <c r="G6909" s="237">
        <v>0</v>
      </c>
      <c r="H6909" s="237">
        <v>0</v>
      </c>
      <c r="I6909" s="237">
        <v>0</v>
      </c>
      <c r="J6909" s="237">
        <v>0</v>
      </c>
    </row>
    <row r="6910" spans="1:10" s="225" customFormat="1">
      <c r="A6910" s="222" t="s">
        <v>179</v>
      </c>
      <c r="B6910" s="222" t="s">
        <v>37</v>
      </c>
      <c r="C6910" s="236">
        <v>0.71388888888888902</v>
      </c>
      <c r="D6910" s="237">
        <v>0</v>
      </c>
      <c r="E6910" s="237">
        <v>0</v>
      </c>
      <c r="F6910" s="237">
        <v>0</v>
      </c>
      <c r="G6910" s="237">
        <v>0</v>
      </c>
      <c r="H6910" s="237">
        <v>0</v>
      </c>
      <c r="I6910" s="237">
        <v>0</v>
      </c>
      <c r="J6910" s="237">
        <v>0</v>
      </c>
    </row>
    <row r="6911" spans="1:10" s="225" customFormat="1">
      <c r="A6911" s="222" t="s">
        <v>179</v>
      </c>
      <c r="B6911" s="222" t="s">
        <v>37</v>
      </c>
      <c r="C6911" s="236">
        <v>0.71458333333333302</v>
      </c>
      <c r="D6911" s="237">
        <v>0</v>
      </c>
      <c r="E6911" s="237">
        <v>0</v>
      </c>
      <c r="F6911" s="237">
        <v>0</v>
      </c>
      <c r="G6911" s="237">
        <v>0</v>
      </c>
      <c r="H6911" s="237">
        <v>0</v>
      </c>
      <c r="I6911" s="237">
        <v>0</v>
      </c>
      <c r="J6911" s="237">
        <v>0</v>
      </c>
    </row>
    <row r="6912" spans="1:10" s="225" customFormat="1">
      <c r="A6912" s="222" t="s">
        <v>179</v>
      </c>
      <c r="B6912" s="222" t="s">
        <v>37</v>
      </c>
      <c r="C6912" s="236">
        <v>0.71527777777777801</v>
      </c>
      <c r="D6912" s="237">
        <v>0</v>
      </c>
      <c r="E6912" s="237">
        <v>0</v>
      </c>
      <c r="F6912" s="237">
        <v>0</v>
      </c>
      <c r="G6912" s="237">
        <v>0</v>
      </c>
      <c r="H6912" s="237">
        <v>0</v>
      </c>
      <c r="I6912" s="237">
        <v>0</v>
      </c>
      <c r="J6912" s="237">
        <v>0</v>
      </c>
    </row>
    <row r="6913" spans="1:10" s="225" customFormat="1">
      <c r="A6913" s="222" t="s">
        <v>179</v>
      </c>
      <c r="B6913" s="222" t="s">
        <v>37</v>
      </c>
      <c r="C6913" s="236">
        <v>0.71597222222222201</v>
      </c>
      <c r="D6913" s="237">
        <v>0</v>
      </c>
      <c r="E6913" s="237">
        <v>0</v>
      </c>
      <c r="F6913" s="237">
        <v>0</v>
      </c>
      <c r="G6913" s="237">
        <v>0</v>
      </c>
      <c r="H6913" s="237">
        <v>0</v>
      </c>
      <c r="I6913" s="237">
        <v>0</v>
      </c>
      <c r="J6913" s="237">
        <v>0</v>
      </c>
    </row>
    <row r="6914" spans="1:10" s="225" customFormat="1">
      <c r="A6914" s="222" t="s">
        <v>179</v>
      </c>
      <c r="B6914" s="222" t="s">
        <v>37</v>
      </c>
      <c r="C6914" s="236">
        <v>0.71666666666666601</v>
      </c>
      <c r="D6914" s="237">
        <v>0</v>
      </c>
      <c r="E6914" s="237">
        <v>0</v>
      </c>
      <c r="F6914" s="237">
        <v>0</v>
      </c>
      <c r="G6914" s="237">
        <v>0</v>
      </c>
      <c r="H6914" s="237">
        <v>0</v>
      </c>
      <c r="I6914" s="237">
        <v>0</v>
      </c>
      <c r="J6914" s="237">
        <v>0</v>
      </c>
    </row>
    <row r="6915" spans="1:10" s="225" customFormat="1">
      <c r="A6915" s="222" t="s">
        <v>179</v>
      </c>
      <c r="B6915" s="222" t="s">
        <v>37</v>
      </c>
      <c r="C6915" s="236">
        <v>0.71736111111111101</v>
      </c>
      <c r="D6915" s="237">
        <v>0</v>
      </c>
      <c r="E6915" s="237">
        <v>0</v>
      </c>
      <c r="F6915" s="237">
        <v>0</v>
      </c>
      <c r="G6915" s="237">
        <v>0</v>
      </c>
      <c r="H6915" s="237">
        <v>0</v>
      </c>
      <c r="I6915" s="237">
        <v>0</v>
      </c>
      <c r="J6915" s="237">
        <v>0</v>
      </c>
    </row>
    <row r="6916" spans="1:10" s="229" customFormat="1">
      <c r="A6916" s="226" t="s">
        <v>179</v>
      </c>
      <c r="B6916" s="226" t="s">
        <v>37</v>
      </c>
      <c r="C6916" s="238">
        <v>0.718055555555555</v>
      </c>
      <c r="D6916" s="239">
        <v>0</v>
      </c>
      <c r="E6916" s="239">
        <v>0</v>
      </c>
      <c r="F6916" s="239">
        <v>0</v>
      </c>
      <c r="G6916" s="239">
        <v>0</v>
      </c>
      <c r="H6916" s="239">
        <v>0</v>
      </c>
      <c r="I6916" s="239">
        <v>0</v>
      </c>
      <c r="J6916" s="239">
        <v>0</v>
      </c>
    </row>
    <row r="6917" spans="1:10" s="225" customFormat="1">
      <c r="A6917" s="222" t="s">
        <v>179</v>
      </c>
      <c r="B6917" s="222" t="s">
        <v>37</v>
      </c>
      <c r="C6917" s="236">
        <v>0.71875</v>
      </c>
      <c r="D6917" s="237">
        <v>0</v>
      </c>
      <c r="E6917" s="237">
        <v>0</v>
      </c>
      <c r="F6917" s="237">
        <v>0</v>
      </c>
      <c r="G6917" s="237">
        <v>0</v>
      </c>
      <c r="H6917" s="237">
        <v>0</v>
      </c>
      <c r="I6917" s="237">
        <v>0</v>
      </c>
      <c r="J6917" s="237">
        <v>0</v>
      </c>
    </row>
    <row r="6918" spans="1:10" s="225" customFormat="1">
      <c r="A6918" s="222" t="s">
        <v>179</v>
      </c>
      <c r="B6918" s="222" t="s">
        <v>37</v>
      </c>
      <c r="C6918" s="236">
        <v>0.719444444444444</v>
      </c>
      <c r="D6918" s="237">
        <v>0</v>
      </c>
      <c r="E6918" s="237">
        <v>0</v>
      </c>
      <c r="F6918" s="237">
        <v>0</v>
      </c>
      <c r="G6918" s="237">
        <v>0</v>
      </c>
      <c r="H6918" s="237">
        <v>0</v>
      </c>
      <c r="I6918" s="237">
        <v>0</v>
      </c>
      <c r="J6918" s="237">
        <v>0</v>
      </c>
    </row>
    <row r="6919" spans="1:10" s="225" customFormat="1">
      <c r="A6919" s="222" t="s">
        <v>179</v>
      </c>
      <c r="B6919" s="222" t="s">
        <v>37</v>
      </c>
      <c r="C6919" s="236">
        <v>0.72013888888888899</v>
      </c>
      <c r="D6919" s="237">
        <v>0</v>
      </c>
      <c r="E6919" s="237">
        <v>0</v>
      </c>
      <c r="F6919" s="237">
        <v>0</v>
      </c>
      <c r="G6919" s="237">
        <v>0</v>
      </c>
      <c r="H6919" s="237">
        <v>0</v>
      </c>
      <c r="I6919" s="237">
        <v>0</v>
      </c>
      <c r="J6919" s="237">
        <v>0</v>
      </c>
    </row>
    <row r="6920" spans="1:10" s="225" customFormat="1">
      <c r="A6920" s="222" t="s">
        <v>179</v>
      </c>
      <c r="B6920" s="222" t="s">
        <v>37</v>
      </c>
      <c r="C6920" s="236">
        <v>0.72083333333333299</v>
      </c>
      <c r="D6920" s="237">
        <v>0</v>
      </c>
      <c r="E6920" s="237">
        <v>0</v>
      </c>
      <c r="F6920" s="237">
        <v>0</v>
      </c>
      <c r="G6920" s="237">
        <v>0</v>
      </c>
      <c r="H6920" s="237">
        <v>0</v>
      </c>
      <c r="I6920" s="237">
        <v>0</v>
      </c>
      <c r="J6920" s="237">
        <v>0</v>
      </c>
    </row>
    <row r="6921" spans="1:10" s="225" customFormat="1">
      <c r="A6921" s="222" t="s">
        <v>179</v>
      </c>
      <c r="B6921" s="222" t="s">
        <v>37</v>
      </c>
      <c r="C6921" s="236">
        <v>0.72152777777777799</v>
      </c>
      <c r="D6921" s="237">
        <v>0</v>
      </c>
      <c r="E6921" s="237">
        <v>0</v>
      </c>
      <c r="F6921" s="237">
        <v>0</v>
      </c>
      <c r="G6921" s="237">
        <v>0</v>
      </c>
      <c r="H6921" s="237">
        <v>0</v>
      </c>
      <c r="I6921" s="237">
        <v>0</v>
      </c>
      <c r="J6921" s="237">
        <v>0</v>
      </c>
    </row>
    <row r="6922" spans="1:10" s="225" customFormat="1">
      <c r="A6922" s="222" t="s">
        <v>179</v>
      </c>
      <c r="B6922" s="222" t="s">
        <v>37</v>
      </c>
      <c r="C6922" s="236">
        <v>0.72222222222222199</v>
      </c>
      <c r="D6922" s="237">
        <v>0</v>
      </c>
      <c r="E6922" s="237">
        <v>0</v>
      </c>
      <c r="F6922" s="237">
        <v>0</v>
      </c>
      <c r="G6922" s="237">
        <v>0</v>
      </c>
      <c r="H6922" s="237">
        <v>0</v>
      </c>
      <c r="I6922" s="237">
        <v>0</v>
      </c>
      <c r="J6922" s="237">
        <v>0</v>
      </c>
    </row>
    <row r="6923" spans="1:10" s="225" customFormat="1">
      <c r="A6923" s="222" t="s">
        <v>179</v>
      </c>
      <c r="B6923" s="222" t="s">
        <v>37</v>
      </c>
      <c r="C6923" s="236">
        <v>0.72291666666666599</v>
      </c>
      <c r="D6923" s="237">
        <v>0</v>
      </c>
      <c r="E6923" s="237">
        <v>0</v>
      </c>
      <c r="F6923" s="237">
        <v>0</v>
      </c>
      <c r="G6923" s="237">
        <v>0</v>
      </c>
      <c r="H6923" s="237">
        <v>0</v>
      </c>
      <c r="I6923" s="237">
        <v>0</v>
      </c>
      <c r="J6923" s="237">
        <v>0</v>
      </c>
    </row>
    <row r="6924" spans="1:10" s="225" customFormat="1">
      <c r="A6924" s="222" t="s">
        <v>179</v>
      </c>
      <c r="B6924" s="222" t="s">
        <v>37</v>
      </c>
      <c r="C6924" s="236">
        <v>0.72361111111111098</v>
      </c>
      <c r="D6924" s="237">
        <v>0</v>
      </c>
      <c r="E6924" s="237">
        <v>0</v>
      </c>
      <c r="F6924" s="237">
        <v>0</v>
      </c>
      <c r="G6924" s="237">
        <v>0</v>
      </c>
      <c r="H6924" s="237">
        <v>0</v>
      </c>
      <c r="I6924" s="237">
        <v>0</v>
      </c>
      <c r="J6924" s="237">
        <v>0</v>
      </c>
    </row>
    <row r="6925" spans="1:10" s="225" customFormat="1">
      <c r="A6925" s="222" t="s">
        <v>179</v>
      </c>
      <c r="B6925" s="222" t="s">
        <v>37</v>
      </c>
      <c r="C6925" s="236">
        <v>0.72430555555555498</v>
      </c>
      <c r="D6925" s="237">
        <v>0</v>
      </c>
      <c r="E6925" s="237">
        <v>0</v>
      </c>
      <c r="F6925" s="237">
        <v>0</v>
      </c>
      <c r="G6925" s="237">
        <v>0</v>
      </c>
      <c r="H6925" s="237">
        <v>0</v>
      </c>
      <c r="I6925" s="237">
        <v>0</v>
      </c>
      <c r="J6925" s="237">
        <v>0</v>
      </c>
    </row>
    <row r="6926" spans="1:10" s="225" customFormat="1">
      <c r="A6926" s="222" t="s">
        <v>179</v>
      </c>
      <c r="B6926" s="222" t="s">
        <v>37</v>
      </c>
      <c r="C6926" s="236">
        <v>0.72499999999999998</v>
      </c>
      <c r="D6926" s="237">
        <v>0</v>
      </c>
      <c r="E6926" s="237">
        <v>0</v>
      </c>
      <c r="F6926" s="237">
        <v>0</v>
      </c>
      <c r="G6926" s="237">
        <v>0</v>
      </c>
      <c r="H6926" s="237">
        <v>0</v>
      </c>
      <c r="I6926" s="237">
        <v>0</v>
      </c>
      <c r="J6926" s="237">
        <v>0</v>
      </c>
    </row>
    <row r="6927" spans="1:10" s="225" customFormat="1">
      <c r="A6927" s="222" t="s">
        <v>179</v>
      </c>
      <c r="B6927" s="222" t="s">
        <v>37</v>
      </c>
      <c r="C6927" s="236">
        <v>0.72569444444444398</v>
      </c>
      <c r="D6927" s="237">
        <v>0</v>
      </c>
      <c r="E6927" s="237">
        <v>0</v>
      </c>
      <c r="F6927" s="237">
        <v>0</v>
      </c>
      <c r="G6927" s="237">
        <v>0</v>
      </c>
      <c r="H6927" s="237">
        <v>0</v>
      </c>
      <c r="I6927" s="237">
        <v>0</v>
      </c>
      <c r="J6927" s="237">
        <v>0</v>
      </c>
    </row>
    <row r="6928" spans="1:10" s="225" customFormat="1">
      <c r="A6928" s="222" t="s">
        <v>179</v>
      </c>
      <c r="B6928" s="222" t="s">
        <v>37</v>
      </c>
      <c r="C6928" s="236">
        <v>0.72638888888888897</v>
      </c>
      <c r="D6928" s="237">
        <v>0</v>
      </c>
      <c r="E6928" s="237">
        <v>0</v>
      </c>
      <c r="F6928" s="237">
        <v>0</v>
      </c>
      <c r="G6928" s="237">
        <v>0</v>
      </c>
      <c r="H6928" s="237">
        <v>0</v>
      </c>
      <c r="I6928" s="237">
        <v>0</v>
      </c>
      <c r="J6928" s="237">
        <v>0</v>
      </c>
    </row>
    <row r="6929" spans="1:10" s="225" customFormat="1">
      <c r="A6929" s="222" t="s">
        <v>179</v>
      </c>
      <c r="B6929" s="222" t="s">
        <v>37</v>
      </c>
      <c r="C6929" s="236">
        <v>0.72708333333333297</v>
      </c>
      <c r="D6929" s="237">
        <v>0</v>
      </c>
      <c r="E6929" s="237">
        <v>0</v>
      </c>
      <c r="F6929" s="237">
        <v>0</v>
      </c>
      <c r="G6929" s="237">
        <v>0</v>
      </c>
      <c r="H6929" s="237">
        <v>0</v>
      </c>
      <c r="I6929" s="237">
        <v>0</v>
      </c>
      <c r="J6929" s="237">
        <v>0</v>
      </c>
    </row>
    <row r="6930" spans="1:10" s="225" customFormat="1">
      <c r="A6930" s="222" t="s">
        <v>179</v>
      </c>
      <c r="B6930" s="222" t="s">
        <v>37</v>
      </c>
      <c r="C6930" s="236">
        <v>0.72777777777777797</v>
      </c>
      <c r="D6930" s="237">
        <v>0</v>
      </c>
      <c r="E6930" s="237">
        <v>0</v>
      </c>
      <c r="F6930" s="237">
        <v>0</v>
      </c>
      <c r="G6930" s="237">
        <v>0</v>
      </c>
      <c r="H6930" s="237">
        <v>0</v>
      </c>
      <c r="I6930" s="237">
        <v>0</v>
      </c>
      <c r="J6930" s="237">
        <v>0</v>
      </c>
    </row>
    <row r="6931" spans="1:10" s="229" customFormat="1">
      <c r="A6931" s="226" t="s">
        <v>179</v>
      </c>
      <c r="B6931" s="226" t="s">
        <v>37</v>
      </c>
      <c r="C6931" s="238">
        <v>0.72847222222222197</v>
      </c>
      <c r="D6931" s="239">
        <v>0</v>
      </c>
      <c r="E6931" s="239">
        <v>0</v>
      </c>
      <c r="F6931" s="239">
        <v>0</v>
      </c>
      <c r="G6931" s="239">
        <v>0</v>
      </c>
      <c r="H6931" s="239">
        <v>0</v>
      </c>
      <c r="I6931" s="239">
        <v>0</v>
      </c>
      <c r="J6931" s="239">
        <v>0</v>
      </c>
    </row>
    <row r="6932" spans="1:10" s="225" customFormat="1">
      <c r="A6932" s="222" t="s">
        <v>179</v>
      </c>
      <c r="B6932" s="222" t="s">
        <v>37</v>
      </c>
      <c r="C6932" s="236">
        <v>0.72916666666666596</v>
      </c>
      <c r="D6932" s="237">
        <v>0</v>
      </c>
      <c r="E6932" s="237">
        <v>0</v>
      </c>
      <c r="F6932" s="237">
        <v>0</v>
      </c>
      <c r="G6932" s="237">
        <v>0</v>
      </c>
      <c r="H6932" s="237">
        <v>0</v>
      </c>
      <c r="I6932" s="237">
        <v>0</v>
      </c>
      <c r="J6932" s="237">
        <v>0</v>
      </c>
    </row>
    <row r="6933" spans="1:10" s="225" customFormat="1">
      <c r="A6933" s="222" t="s">
        <v>179</v>
      </c>
      <c r="B6933" s="222" t="s">
        <v>37</v>
      </c>
      <c r="C6933" s="236">
        <v>0.72986111111111096</v>
      </c>
      <c r="D6933" s="237">
        <v>0</v>
      </c>
      <c r="E6933" s="237">
        <v>0</v>
      </c>
      <c r="F6933" s="237">
        <v>0</v>
      </c>
      <c r="G6933" s="237">
        <v>0</v>
      </c>
      <c r="H6933" s="237">
        <v>0</v>
      </c>
      <c r="I6933" s="237">
        <v>0</v>
      </c>
      <c r="J6933" s="237">
        <v>0</v>
      </c>
    </row>
    <row r="6934" spans="1:10" s="225" customFormat="1">
      <c r="A6934" s="222" t="s">
        <v>179</v>
      </c>
      <c r="B6934" s="222" t="s">
        <v>37</v>
      </c>
      <c r="C6934" s="236">
        <v>0.73055555555555496</v>
      </c>
      <c r="D6934" s="237">
        <v>0</v>
      </c>
      <c r="E6934" s="237">
        <v>0</v>
      </c>
      <c r="F6934" s="237">
        <v>0</v>
      </c>
      <c r="G6934" s="237">
        <v>0</v>
      </c>
      <c r="H6934" s="237">
        <v>0</v>
      </c>
      <c r="I6934" s="237">
        <v>0</v>
      </c>
      <c r="J6934" s="237">
        <v>0</v>
      </c>
    </row>
    <row r="6935" spans="1:10" s="225" customFormat="1">
      <c r="A6935" s="222" t="s">
        <v>179</v>
      </c>
      <c r="B6935" s="222" t="s">
        <v>37</v>
      </c>
      <c r="C6935" s="236">
        <v>0.73124999999999996</v>
      </c>
      <c r="D6935" s="237">
        <v>0</v>
      </c>
      <c r="E6935" s="237">
        <v>0</v>
      </c>
      <c r="F6935" s="237">
        <v>0</v>
      </c>
      <c r="G6935" s="237">
        <v>0</v>
      </c>
      <c r="H6935" s="237">
        <v>0</v>
      </c>
      <c r="I6935" s="237">
        <v>0</v>
      </c>
      <c r="J6935" s="237">
        <v>0</v>
      </c>
    </row>
    <row r="6936" spans="1:10" s="225" customFormat="1">
      <c r="A6936" s="222" t="s">
        <v>179</v>
      </c>
      <c r="B6936" s="222" t="s">
        <v>37</v>
      </c>
      <c r="C6936" s="236">
        <v>0.73194444444444395</v>
      </c>
      <c r="D6936" s="237">
        <v>0</v>
      </c>
      <c r="E6936" s="237">
        <v>0</v>
      </c>
      <c r="F6936" s="237">
        <v>0</v>
      </c>
      <c r="G6936" s="237">
        <v>0</v>
      </c>
      <c r="H6936" s="237">
        <v>0</v>
      </c>
      <c r="I6936" s="237">
        <v>0</v>
      </c>
      <c r="J6936" s="237">
        <v>0</v>
      </c>
    </row>
    <row r="6937" spans="1:10" s="225" customFormat="1">
      <c r="A6937" s="222" t="s">
        <v>179</v>
      </c>
      <c r="B6937" s="222" t="s">
        <v>37</v>
      </c>
      <c r="C6937" s="236">
        <v>0.73263888888888895</v>
      </c>
      <c r="D6937" s="237">
        <v>0</v>
      </c>
      <c r="E6937" s="237">
        <v>0</v>
      </c>
      <c r="F6937" s="237">
        <v>0</v>
      </c>
      <c r="G6937" s="237">
        <v>0</v>
      </c>
      <c r="H6937" s="237">
        <v>0</v>
      </c>
      <c r="I6937" s="237">
        <v>0</v>
      </c>
      <c r="J6937" s="237">
        <v>0</v>
      </c>
    </row>
    <row r="6938" spans="1:10" s="225" customFormat="1">
      <c r="A6938" s="222" t="s">
        <v>179</v>
      </c>
      <c r="B6938" s="222" t="s">
        <v>37</v>
      </c>
      <c r="C6938" s="236">
        <v>0.73333333333333295</v>
      </c>
      <c r="D6938" s="237">
        <v>0</v>
      </c>
      <c r="E6938" s="237">
        <v>0</v>
      </c>
      <c r="F6938" s="237">
        <v>0</v>
      </c>
      <c r="G6938" s="237">
        <v>0</v>
      </c>
      <c r="H6938" s="237">
        <v>0</v>
      </c>
      <c r="I6938" s="237">
        <v>0</v>
      </c>
      <c r="J6938" s="237">
        <v>0</v>
      </c>
    </row>
    <row r="6939" spans="1:10" s="225" customFormat="1">
      <c r="A6939" s="222" t="s">
        <v>179</v>
      </c>
      <c r="B6939" s="222" t="s">
        <v>37</v>
      </c>
      <c r="C6939" s="236">
        <v>0.73402777777777795</v>
      </c>
      <c r="D6939" s="237">
        <v>0</v>
      </c>
      <c r="E6939" s="237">
        <v>0</v>
      </c>
      <c r="F6939" s="237">
        <v>0</v>
      </c>
      <c r="G6939" s="237">
        <v>0</v>
      </c>
      <c r="H6939" s="237">
        <v>0</v>
      </c>
      <c r="I6939" s="237">
        <v>0</v>
      </c>
      <c r="J6939" s="237">
        <v>0</v>
      </c>
    </row>
    <row r="6940" spans="1:10" s="225" customFormat="1">
      <c r="A6940" s="222" t="s">
        <v>179</v>
      </c>
      <c r="B6940" s="222" t="s">
        <v>37</v>
      </c>
      <c r="C6940" s="236">
        <v>0.73472222222222205</v>
      </c>
      <c r="D6940" s="237">
        <v>0</v>
      </c>
      <c r="E6940" s="237">
        <v>0</v>
      </c>
      <c r="F6940" s="237">
        <v>0</v>
      </c>
      <c r="G6940" s="237">
        <v>0</v>
      </c>
      <c r="H6940" s="237">
        <v>0</v>
      </c>
      <c r="I6940" s="237">
        <v>0</v>
      </c>
      <c r="J6940" s="237">
        <v>0</v>
      </c>
    </row>
    <row r="6941" spans="1:10" s="225" customFormat="1">
      <c r="A6941" s="222" t="s">
        <v>179</v>
      </c>
      <c r="B6941" s="222" t="s">
        <v>37</v>
      </c>
      <c r="C6941" s="236">
        <v>0.73541666666666605</v>
      </c>
      <c r="D6941" s="237">
        <v>0</v>
      </c>
      <c r="E6941" s="237">
        <v>0</v>
      </c>
      <c r="F6941" s="237">
        <v>0</v>
      </c>
      <c r="G6941" s="237">
        <v>0</v>
      </c>
      <c r="H6941" s="237">
        <v>0</v>
      </c>
      <c r="I6941" s="237">
        <v>0</v>
      </c>
      <c r="J6941" s="237">
        <v>0</v>
      </c>
    </row>
    <row r="6942" spans="1:10" s="225" customFormat="1">
      <c r="A6942" s="222" t="s">
        <v>179</v>
      </c>
      <c r="B6942" s="222" t="s">
        <v>37</v>
      </c>
      <c r="C6942" s="236">
        <v>0.73611111111111105</v>
      </c>
      <c r="D6942" s="237">
        <v>0</v>
      </c>
      <c r="E6942" s="237">
        <v>0</v>
      </c>
      <c r="F6942" s="237">
        <v>0</v>
      </c>
      <c r="G6942" s="237">
        <v>0</v>
      </c>
      <c r="H6942" s="237">
        <v>0</v>
      </c>
      <c r="I6942" s="237">
        <v>0</v>
      </c>
      <c r="J6942" s="237">
        <v>0</v>
      </c>
    </row>
    <row r="6943" spans="1:10" s="225" customFormat="1">
      <c r="A6943" s="222" t="s">
        <v>179</v>
      </c>
      <c r="B6943" s="222" t="s">
        <v>37</v>
      </c>
      <c r="C6943" s="236">
        <v>0.73680555555555505</v>
      </c>
      <c r="D6943" s="237">
        <v>0</v>
      </c>
      <c r="E6943" s="237">
        <v>0</v>
      </c>
      <c r="F6943" s="237">
        <v>0</v>
      </c>
      <c r="G6943" s="237">
        <v>0</v>
      </c>
      <c r="H6943" s="237">
        <v>0</v>
      </c>
      <c r="I6943" s="237">
        <v>0</v>
      </c>
      <c r="J6943" s="237">
        <v>0</v>
      </c>
    </row>
    <row r="6944" spans="1:10" s="225" customFormat="1">
      <c r="A6944" s="222" t="s">
        <v>179</v>
      </c>
      <c r="B6944" s="222" t="s">
        <v>37</v>
      </c>
      <c r="C6944" s="236">
        <v>0.73750000000000004</v>
      </c>
      <c r="D6944" s="237">
        <v>0</v>
      </c>
      <c r="E6944" s="237">
        <v>0</v>
      </c>
      <c r="F6944" s="237">
        <v>0</v>
      </c>
      <c r="G6944" s="237">
        <v>0</v>
      </c>
      <c r="H6944" s="237">
        <v>0</v>
      </c>
      <c r="I6944" s="237">
        <v>0</v>
      </c>
      <c r="J6944" s="237">
        <v>0</v>
      </c>
    </row>
    <row r="6945" spans="1:10" s="225" customFormat="1">
      <c r="A6945" s="222" t="s">
        <v>179</v>
      </c>
      <c r="B6945" s="222" t="s">
        <v>37</v>
      </c>
      <c r="C6945" s="236">
        <v>0.73819444444444404</v>
      </c>
      <c r="D6945" s="237">
        <v>0</v>
      </c>
      <c r="E6945" s="237">
        <v>0</v>
      </c>
      <c r="F6945" s="237">
        <v>0</v>
      </c>
      <c r="G6945" s="237">
        <v>0</v>
      </c>
      <c r="H6945" s="237">
        <v>0</v>
      </c>
      <c r="I6945" s="237">
        <v>0</v>
      </c>
      <c r="J6945" s="237">
        <v>0</v>
      </c>
    </row>
    <row r="6946" spans="1:10" s="229" customFormat="1">
      <c r="A6946" s="226" t="s">
        <v>179</v>
      </c>
      <c r="B6946" s="226" t="s">
        <v>37</v>
      </c>
      <c r="C6946" s="238">
        <v>0.73888888888888904</v>
      </c>
      <c r="D6946" s="239">
        <v>0</v>
      </c>
      <c r="E6946" s="239">
        <v>0</v>
      </c>
      <c r="F6946" s="239">
        <v>0</v>
      </c>
      <c r="G6946" s="239">
        <v>0</v>
      </c>
      <c r="H6946" s="239">
        <v>0</v>
      </c>
      <c r="I6946" s="239">
        <v>0</v>
      </c>
      <c r="J6946" s="239">
        <v>0</v>
      </c>
    </row>
    <row r="6947" spans="1:10" s="225" customFormat="1">
      <c r="A6947" s="222" t="s">
        <v>179</v>
      </c>
      <c r="B6947" s="222" t="s">
        <v>37</v>
      </c>
      <c r="C6947" s="236">
        <v>0.73958333333333304</v>
      </c>
      <c r="D6947" s="237">
        <v>0</v>
      </c>
      <c r="E6947" s="237">
        <v>0</v>
      </c>
      <c r="F6947" s="237">
        <v>0</v>
      </c>
      <c r="G6947" s="237">
        <v>0</v>
      </c>
      <c r="H6947" s="237">
        <v>0</v>
      </c>
      <c r="I6947" s="237">
        <v>0</v>
      </c>
      <c r="J6947" s="237">
        <v>0</v>
      </c>
    </row>
    <row r="6948" spans="1:10" s="225" customFormat="1">
      <c r="A6948" s="222" t="s">
        <v>179</v>
      </c>
      <c r="B6948" s="222" t="s">
        <v>37</v>
      </c>
      <c r="C6948" s="236">
        <v>0.74027777777777704</v>
      </c>
      <c r="D6948" s="237">
        <v>0</v>
      </c>
      <c r="E6948" s="237">
        <v>0</v>
      </c>
      <c r="F6948" s="237">
        <v>0</v>
      </c>
      <c r="G6948" s="237">
        <v>0</v>
      </c>
      <c r="H6948" s="237">
        <v>0</v>
      </c>
      <c r="I6948" s="237">
        <v>0</v>
      </c>
      <c r="J6948" s="237">
        <v>0</v>
      </c>
    </row>
    <row r="6949" spans="1:10" s="225" customFormat="1">
      <c r="A6949" s="222" t="s">
        <v>179</v>
      </c>
      <c r="B6949" s="222" t="s">
        <v>37</v>
      </c>
      <c r="C6949" s="236">
        <v>0.74097222222222203</v>
      </c>
      <c r="D6949" s="237">
        <v>0</v>
      </c>
      <c r="E6949" s="237">
        <v>0</v>
      </c>
      <c r="F6949" s="237">
        <v>0</v>
      </c>
      <c r="G6949" s="237">
        <v>0</v>
      </c>
      <c r="H6949" s="237">
        <v>0</v>
      </c>
      <c r="I6949" s="237">
        <v>0</v>
      </c>
      <c r="J6949" s="237">
        <v>0</v>
      </c>
    </row>
    <row r="6950" spans="1:10" s="225" customFormat="1">
      <c r="A6950" s="222" t="s">
        <v>179</v>
      </c>
      <c r="B6950" s="222" t="s">
        <v>37</v>
      </c>
      <c r="C6950" s="236">
        <v>0.74166666666666603</v>
      </c>
      <c r="D6950" s="237">
        <v>0</v>
      </c>
      <c r="E6950" s="237">
        <v>0</v>
      </c>
      <c r="F6950" s="237">
        <v>0</v>
      </c>
      <c r="G6950" s="237">
        <v>0</v>
      </c>
      <c r="H6950" s="237">
        <v>0</v>
      </c>
      <c r="I6950" s="237">
        <v>0</v>
      </c>
      <c r="J6950" s="237">
        <v>0</v>
      </c>
    </row>
    <row r="6951" spans="1:10" s="225" customFormat="1">
      <c r="A6951" s="222" t="s">
        <v>179</v>
      </c>
      <c r="B6951" s="222" t="s">
        <v>37</v>
      </c>
      <c r="C6951" s="236">
        <v>0.74236111111111103</v>
      </c>
      <c r="D6951" s="237">
        <v>0</v>
      </c>
      <c r="E6951" s="237">
        <v>0</v>
      </c>
      <c r="F6951" s="237">
        <v>0</v>
      </c>
      <c r="G6951" s="237">
        <v>0</v>
      </c>
      <c r="H6951" s="237">
        <v>0</v>
      </c>
      <c r="I6951" s="237">
        <v>0</v>
      </c>
      <c r="J6951" s="237">
        <v>0</v>
      </c>
    </row>
    <row r="6952" spans="1:10" s="225" customFormat="1">
      <c r="A6952" s="222" t="s">
        <v>179</v>
      </c>
      <c r="B6952" s="222" t="s">
        <v>37</v>
      </c>
      <c r="C6952" s="236">
        <v>0.74305555555555503</v>
      </c>
      <c r="D6952" s="237">
        <v>0</v>
      </c>
      <c r="E6952" s="237">
        <v>0</v>
      </c>
      <c r="F6952" s="237">
        <v>0</v>
      </c>
      <c r="G6952" s="237">
        <v>0</v>
      </c>
      <c r="H6952" s="237">
        <v>0</v>
      </c>
      <c r="I6952" s="237">
        <v>0</v>
      </c>
      <c r="J6952" s="237">
        <v>0</v>
      </c>
    </row>
    <row r="6953" spans="1:10" s="225" customFormat="1">
      <c r="A6953" s="222" t="s">
        <v>179</v>
      </c>
      <c r="B6953" s="222" t="s">
        <v>37</v>
      </c>
      <c r="C6953" s="236">
        <v>0.74375000000000002</v>
      </c>
      <c r="D6953" s="237">
        <v>0</v>
      </c>
      <c r="E6953" s="237">
        <v>0</v>
      </c>
      <c r="F6953" s="237">
        <v>0</v>
      </c>
      <c r="G6953" s="237">
        <v>0</v>
      </c>
      <c r="H6953" s="237">
        <v>0</v>
      </c>
      <c r="I6953" s="237">
        <v>0</v>
      </c>
      <c r="J6953" s="237">
        <v>0</v>
      </c>
    </row>
    <row r="6954" spans="1:10" s="225" customFormat="1">
      <c r="A6954" s="222" t="s">
        <v>179</v>
      </c>
      <c r="B6954" s="222" t="s">
        <v>37</v>
      </c>
      <c r="C6954" s="236">
        <v>0.74444444444444402</v>
      </c>
      <c r="D6954" s="237">
        <v>0</v>
      </c>
      <c r="E6954" s="237">
        <v>0</v>
      </c>
      <c r="F6954" s="237">
        <v>0</v>
      </c>
      <c r="G6954" s="237">
        <v>0</v>
      </c>
      <c r="H6954" s="237">
        <v>0</v>
      </c>
      <c r="I6954" s="237">
        <v>0</v>
      </c>
      <c r="J6954" s="237">
        <v>0</v>
      </c>
    </row>
    <row r="6955" spans="1:10" s="225" customFormat="1">
      <c r="A6955" s="222" t="s">
        <v>179</v>
      </c>
      <c r="B6955" s="222" t="s">
        <v>37</v>
      </c>
      <c r="C6955" s="236">
        <v>0.74513888888888902</v>
      </c>
      <c r="D6955" s="237">
        <v>0</v>
      </c>
      <c r="E6955" s="237">
        <v>0</v>
      </c>
      <c r="F6955" s="237">
        <v>0</v>
      </c>
      <c r="G6955" s="237">
        <v>0</v>
      </c>
      <c r="H6955" s="237">
        <v>0</v>
      </c>
      <c r="I6955" s="237">
        <v>0</v>
      </c>
      <c r="J6955" s="237">
        <v>0</v>
      </c>
    </row>
    <row r="6956" spans="1:10" s="225" customFormat="1">
      <c r="A6956" s="222" t="s">
        <v>179</v>
      </c>
      <c r="B6956" s="222" t="s">
        <v>37</v>
      </c>
      <c r="C6956" s="236">
        <v>0.74583333333333302</v>
      </c>
      <c r="D6956" s="237">
        <v>0</v>
      </c>
      <c r="E6956" s="237">
        <v>0</v>
      </c>
      <c r="F6956" s="237">
        <v>0</v>
      </c>
      <c r="G6956" s="237">
        <v>0</v>
      </c>
      <c r="H6956" s="237">
        <v>0</v>
      </c>
      <c r="I6956" s="237">
        <v>0</v>
      </c>
      <c r="J6956" s="237">
        <v>0</v>
      </c>
    </row>
    <row r="6957" spans="1:10" s="225" customFormat="1">
      <c r="A6957" s="222" t="s">
        <v>179</v>
      </c>
      <c r="B6957" s="222" t="s">
        <v>37</v>
      </c>
      <c r="C6957" s="236">
        <v>0.74652777777777701</v>
      </c>
      <c r="D6957" s="237">
        <v>0</v>
      </c>
      <c r="E6957" s="237">
        <v>0</v>
      </c>
      <c r="F6957" s="237">
        <v>0</v>
      </c>
      <c r="G6957" s="237">
        <v>0</v>
      </c>
      <c r="H6957" s="237">
        <v>0</v>
      </c>
      <c r="I6957" s="237">
        <v>0</v>
      </c>
      <c r="J6957" s="237">
        <v>0</v>
      </c>
    </row>
    <row r="6958" spans="1:10" s="225" customFormat="1">
      <c r="A6958" s="222" t="s">
        <v>179</v>
      </c>
      <c r="B6958" s="222" t="s">
        <v>37</v>
      </c>
      <c r="C6958" s="236">
        <v>0.74722222222222201</v>
      </c>
      <c r="D6958" s="237">
        <v>0</v>
      </c>
      <c r="E6958" s="237">
        <v>0</v>
      </c>
      <c r="F6958" s="237">
        <v>0</v>
      </c>
      <c r="G6958" s="237">
        <v>0</v>
      </c>
      <c r="H6958" s="237">
        <v>0</v>
      </c>
      <c r="I6958" s="237">
        <v>0</v>
      </c>
      <c r="J6958" s="237">
        <v>0</v>
      </c>
    </row>
    <row r="6959" spans="1:10" s="225" customFormat="1">
      <c r="A6959" s="222" t="s">
        <v>179</v>
      </c>
      <c r="B6959" s="222" t="s">
        <v>37</v>
      </c>
      <c r="C6959" s="236">
        <v>0.74791666666666601</v>
      </c>
      <c r="D6959" s="237">
        <v>0</v>
      </c>
      <c r="E6959" s="237">
        <v>0</v>
      </c>
      <c r="F6959" s="237">
        <v>0</v>
      </c>
      <c r="G6959" s="237">
        <v>0</v>
      </c>
      <c r="H6959" s="237">
        <v>0</v>
      </c>
      <c r="I6959" s="237">
        <v>0</v>
      </c>
      <c r="J6959" s="237">
        <v>0</v>
      </c>
    </row>
    <row r="6960" spans="1:10" s="225" customFormat="1">
      <c r="A6960" s="222" t="s">
        <v>179</v>
      </c>
      <c r="B6960" s="222" t="s">
        <v>37</v>
      </c>
      <c r="C6960" s="236">
        <v>0.74861111111111101</v>
      </c>
      <c r="D6960" s="237">
        <v>0</v>
      </c>
      <c r="E6960" s="237">
        <v>0</v>
      </c>
      <c r="F6960" s="237">
        <v>0</v>
      </c>
      <c r="G6960" s="237">
        <v>0</v>
      </c>
      <c r="H6960" s="237">
        <v>0</v>
      </c>
      <c r="I6960" s="237">
        <v>0</v>
      </c>
      <c r="J6960" s="237">
        <v>0</v>
      </c>
    </row>
    <row r="6961" spans="1:10" s="229" customFormat="1">
      <c r="A6961" s="226" t="s">
        <v>179</v>
      </c>
      <c r="B6961" s="226" t="s">
        <v>37</v>
      </c>
      <c r="C6961" s="238">
        <v>0.749305555555555</v>
      </c>
      <c r="D6961" s="239">
        <v>0</v>
      </c>
      <c r="E6961" s="239">
        <v>0</v>
      </c>
      <c r="F6961" s="239">
        <v>0</v>
      </c>
      <c r="G6961" s="239">
        <v>0</v>
      </c>
      <c r="H6961" s="239">
        <v>0</v>
      </c>
      <c r="I6961" s="239">
        <v>0</v>
      </c>
      <c r="J6961" s="239">
        <v>0</v>
      </c>
    </row>
    <row r="6962" spans="1:10" s="225" customFormat="1">
      <c r="A6962" s="222" t="s">
        <v>179</v>
      </c>
      <c r="B6962" s="222" t="s">
        <v>14</v>
      </c>
      <c r="C6962" s="236">
        <v>0.75</v>
      </c>
      <c r="D6962" s="237">
        <v>0</v>
      </c>
      <c r="E6962" s="237">
        <v>0</v>
      </c>
      <c r="F6962" s="237">
        <v>0</v>
      </c>
      <c r="G6962" s="237">
        <v>0</v>
      </c>
      <c r="H6962" s="237">
        <v>0</v>
      </c>
      <c r="I6962" s="237">
        <v>0</v>
      </c>
      <c r="J6962" s="237">
        <v>0</v>
      </c>
    </row>
    <row r="6963" spans="1:10" s="225" customFormat="1">
      <c r="A6963" s="222" t="s">
        <v>179</v>
      </c>
      <c r="B6963" s="222" t="s">
        <v>14</v>
      </c>
      <c r="C6963" s="236">
        <v>0.75069444444444444</v>
      </c>
      <c r="D6963" s="237">
        <v>0</v>
      </c>
      <c r="E6963" s="237">
        <v>0</v>
      </c>
      <c r="F6963" s="237">
        <v>0</v>
      </c>
      <c r="G6963" s="237">
        <v>0</v>
      </c>
      <c r="H6963" s="237">
        <v>0</v>
      </c>
      <c r="I6963" s="237">
        <v>0</v>
      </c>
      <c r="J6963" s="237">
        <v>0</v>
      </c>
    </row>
    <row r="6964" spans="1:10" s="225" customFormat="1">
      <c r="A6964" s="222" t="s">
        <v>179</v>
      </c>
      <c r="B6964" s="222" t="s">
        <v>14</v>
      </c>
      <c r="C6964" s="236">
        <v>0.75138888888888899</v>
      </c>
      <c r="D6964" s="237">
        <v>0</v>
      </c>
      <c r="E6964" s="237">
        <v>0</v>
      </c>
      <c r="F6964" s="237">
        <v>0</v>
      </c>
      <c r="G6964" s="237">
        <v>0</v>
      </c>
      <c r="H6964" s="237">
        <v>0</v>
      </c>
      <c r="I6964" s="237">
        <v>0</v>
      </c>
      <c r="J6964" s="237">
        <v>0</v>
      </c>
    </row>
    <row r="6965" spans="1:10" s="225" customFormat="1">
      <c r="A6965" s="222" t="s">
        <v>179</v>
      </c>
      <c r="B6965" s="222" t="s">
        <v>14</v>
      </c>
      <c r="C6965" s="236">
        <v>0.75208333333333299</v>
      </c>
      <c r="D6965" s="237">
        <v>0</v>
      </c>
      <c r="E6965" s="237">
        <v>0</v>
      </c>
      <c r="F6965" s="237">
        <v>0</v>
      </c>
      <c r="G6965" s="237">
        <v>0</v>
      </c>
      <c r="H6965" s="237">
        <v>0</v>
      </c>
      <c r="I6965" s="237">
        <v>0</v>
      </c>
      <c r="J6965" s="237">
        <v>0</v>
      </c>
    </row>
    <row r="6966" spans="1:10" s="225" customFormat="1">
      <c r="A6966" s="222" t="s">
        <v>179</v>
      </c>
      <c r="B6966" s="222" t="s">
        <v>14</v>
      </c>
      <c r="C6966" s="236">
        <v>0.75277777777777799</v>
      </c>
      <c r="D6966" s="237">
        <v>0</v>
      </c>
      <c r="E6966" s="237">
        <v>0</v>
      </c>
      <c r="F6966" s="237">
        <v>0</v>
      </c>
      <c r="G6966" s="237">
        <v>0</v>
      </c>
      <c r="H6966" s="237">
        <v>0</v>
      </c>
      <c r="I6966" s="237">
        <v>0</v>
      </c>
      <c r="J6966" s="237">
        <v>0</v>
      </c>
    </row>
    <row r="6967" spans="1:10" s="225" customFormat="1">
      <c r="A6967" s="222" t="s">
        <v>179</v>
      </c>
      <c r="B6967" s="222" t="s">
        <v>14</v>
      </c>
      <c r="C6967" s="236">
        <v>0.75347222222222199</v>
      </c>
      <c r="D6967" s="237">
        <v>0</v>
      </c>
      <c r="E6967" s="237">
        <v>0</v>
      </c>
      <c r="F6967" s="237">
        <v>0</v>
      </c>
      <c r="G6967" s="237">
        <v>0</v>
      </c>
      <c r="H6967" s="237">
        <v>0</v>
      </c>
      <c r="I6967" s="237">
        <v>0</v>
      </c>
      <c r="J6967" s="237">
        <v>0</v>
      </c>
    </row>
    <row r="6968" spans="1:10" s="225" customFormat="1">
      <c r="A6968" s="222" t="s">
        <v>179</v>
      </c>
      <c r="B6968" s="222" t="s">
        <v>14</v>
      </c>
      <c r="C6968" s="236">
        <v>0.75416666666666698</v>
      </c>
      <c r="D6968" s="237">
        <v>0</v>
      </c>
      <c r="E6968" s="237">
        <v>0</v>
      </c>
      <c r="F6968" s="237">
        <v>0</v>
      </c>
      <c r="G6968" s="237">
        <v>0</v>
      </c>
      <c r="H6968" s="237">
        <v>0</v>
      </c>
      <c r="I6968" s="237">
        <v>0</v>
      </c>
      <c r="J6968" s="237">
        <v>0</v>
      </c>
    </row>
    <row r="6969" spans="1:10" s="225" customFormat="1">
      <c r="A6969" s="222" t="s">
        <v>179</v>
      </c>
      <c r="B6969" s="222" t="s">
        <v>14</v>
      </c>
      <c r="C6969" s="236">
        <v>0.75486111111111098</v>
      </c>
      <c r="D6969" s="237">
        <v>0</v>
      </c>
      <c r="E6969" s="237">
        <v>0</v>
      </c>
      <c r="F6969" s="237">
        <v>0</v>
      </c>
      <c r="G6969" s="237">
        <v>0</v>
      </c>
      <c r="H6969" s="237">
        <v>0</v>
      </c>
      <c r="I6969" s="237">
        <v>0</v>
      </c>
      <c r="J6969" s="237">
        <v>0</v>
      </c>
    </row>
    <row r="6970" spans="1:10" s="225" customFormat="1">
      <c r="A6970" s="222" t="s">
        <v>179</v>
      </c>
      <c r="B6970" s="222" t="s">
        <v>14</v>
      </c>
      <c r="C6970" s="236">
        <v>0.75555555555555598</v>
      </c>
      <c r="D6970" s="237">
        <v>0</v>
      </c>
      <c r="E6970" s="237">
        <v>0</v>
      </c>
      <c r="F6970" s="237">
        <v>0</v>
      </c>
      <c r="G6970" s="237">
        <v>0</v>
      </c>
      <c r="H6970" s="237">
        <v>0</v>
      </c>
      <c r="I6970" s="237">
        <v>0</v>
      </c>
      <c r="J6970" s="237">
        <v>0</v>
      </c>
    </row>
    <row r="6971" spans="1:10" s="225" customFormat="1">
      <c r="A6971" s="222" t="s">
        <v>179</v>
      </c>
      <c r="B6971" s="222" t="s">
        <v>14</v>
      </c>
      <c r="C6971" s="236">
        <v>0.75624999999999998</v>
      </c>
      <c r="D6971" s="237">
        <v>0</v>
      </c>
      <c r="E6971" s="237">
        <v>0</v>
      </c>
      <c r="F6971" s="237">
        <v>0</v>
      </c>
      <c r="G6971" s="237">
        <v>0</v>
      </c>
      <c r="H6971" s="237">
        <v>0</v>
      </c>
      <c r="I6971" s="237">
        <v>0</v>
      </c>
      <c r="J6971" s="237">
        <v>0</v>
      </c>
    </row>
    <row r="6972" spans="1:10" s="225" customFormat="1">
      <c r="A6972" s="222" t="s">
        <v>179</v>
      </c>
      <c r="B6972" s="222" t="s">
        <v>14</v>
      </c>
      <c r="C6972" s="236">
        <v>0.75694444444444398</v>
      </c>
      <c r="D6972" s="237">
        <v>0</v>
      </c>
      <c r="E6972" s="237">
        <v>0</v>
      </c>
      <c r="F6972" s="237">
        <v>0</v>
      </c>
      <c r="G6972" s="237">
        <v>0</v>
      </c>
      <c r="H6972" s="237">
        <v>0</v>
      </c>
      <c r="I6972" s="237">
        <v>0</v>
      </c>
      <c r="J6972" s="237">
        <v>0</v>
      </c>
    </row>
    <row r="6973" spans="1:10" s="225" customFormat="1">
      <c r="A6973" s="222" t="s">
        <v>179</v>
      </c>
      <c r="B6973" s="222" t="s">
        <v>14</v>
      </c>
      <c r="C6973" s="236">
        <v>0.75763888888888897</v>
      </c>
      <c r="D6973" s="237">
        <v>0</v>
      </c>
      <c r="E6973" s="237">
        <v>0</v>
      </c>
      <c r="F6973" s="237">
        <v>0</v>
      </c>
      <c r="G6973" s="237">
        <v>0</v>
      </c>
      <c r="H6973" s="237">
        <v>0</v>
      </c>
      <c r="I6973" s="237">
        <v>0</v>
      </c>
      <c r="J6973" s="237">
        <v>0</v>
      </c>
    </row>
    <row r="6974" spans="1:10" s="225" customFormat="1">
      <c r="A6974" s="222" t="s">
        <v>179</v>
      </c>
      <c r="B6974" s="222" t="s">
        <v>14</v>
      </c>
      <c r="C6974" s="236">
        <v>0.75833333333333297</v>
      </c>
      <c r="D6974" s="237">
        <v>0</v>
      </c>
      <c r="E6974" s="237">
        <v>0</v>
      </c>
      <c r="F6974" s="237">
        <v>0</v>
      </c>
      <c r="G6974" s="237">
        <v>0</v>
      </c>
      <c r="H6974" s="237">
        <v>0</v>
      </c>
      <c r="I6974" s="237">
        <v>0</v>
      </c>
      <c r="J6974" s="237">
        <v>0</v>
      </c>
    </row>
    <row r="6975" spans="1:10" s="225" customFormat="1">
      <c r="A6975" s="222" t="s">
        <v>179</v>
      </c>
      <c r="B6975" s="222" t="s">
        <v>14</v>
      </c>
      <c r="C6975" s="236">
        <v>0.75902777777777797</v>
      </c>
      <c r="D6975" s="237">
        <v>0</v>
      </c>
      <c r="E6975" s="237">
        <v>0</v>
      </c>
      <c r="F6975" s="237">
        <v>0</v>
      </c>
      <c r="G6975" s="237">
        <v>0</v>
      </c>
      <c r="H6975" s="237">
        <v>0</v>
      </c>
      <c r="I6975" s="237">
        <v>0</v>
      </c>
      <c r="J6975" s="237">
        <v>0</v>
      </c>
    </row>
    <row r="6976" spans="1:10" s="229" customFormat="1">
      <c r="A6976" s="226" t="s">
        <v>179</v>
      </c>
      <c r="B6976" s="226" t="s">
        <v>14</v>
      </c>
      <c r="C6976" s="238">
        <v>0.75972222222222197</v>
      </c>
      <c r="D6976" s="239">
        <v>0</v>
      </c>
      <c r="E6976" s="239">
        <v>0</v>
      </c>
      <c r="F6976" s="239">
        <v>0</v>
      </c>
      <c r="G6976" s="239">
        <v>0</v>
      </c>
      <c r="H6976" s="239">
        <v>0</v>
      </c>
      <c r="I6976" s="239">
        <v>0</v>
      </c>
      <c r="J6976" s="239">
        <v>0</v>
      </c>
    </row>
    <row r="6977" spans="1:10" s="225" customFormat="1">
      <c r="A6977" s="222" t="s">
        <v>179</v>
      </c>
      <c r="B6977" s="222" t="s">
        <v>14</v>
      </c>
      <c r="C6977" s="236">
        <v>0.76041666666666696</v>
      </c>
      <c r="D6977" s="237">
        <v>0</v>
      </c>
      <c r="E6977" s="237">
        <v>0</v>
      </c>
      <c r="F6977" s="237">
        <v>0</v>
      </c>
      <c r="G6977" s="237">
        <v>0</v>
      </c>
      <c r="H6977" s="237">
        <v>0</v>
      </c>
      <c r="I6977" s="237">
        <v>0</v>
      </c>
      <c r="J6977" s="237">
        <v>0</v>
      </c>
    </row>
    <row r="6978" spans="1:10" s="225" customFormat="1">
      <c r="A6978" s="222" t="s">
        <v>179</v>
      </c>
      <c r="B6978" s="222" t="s">
        <v>14</v>
      </c>
      <c r="C6978" s="236">
        <v>0.76111111111111096</v>
      </c>
      <c r="D6978" s="237">
        <v>0</v>
      </c>
      <c r="E6978" s="237">
        <v>0</v>
      </c>
      <c r="F6978" s="237">
        <v>0</v>
      </c>
      <c r="G6978" s="237">
        <v>0</v>
      </c>
      <c r="H6978" s="237">
        <v>0</v>
      </c>
      <c r="I6978" s="237">
        <v>0</v>
      </c>
      <c r="J6978" s="237">
        <v>0</v>
      </c>
    </row>
    <row r="6979" spans="1:10" s="225" customFormat="1">
      <c r="A6979" s="222" t="s">
        <v>179</v>
      </c>
      <c r="B6979" s="222" t="s">
        <v>14</v>
      </c>
      <c r="C6979" s="236">
        <v>0.76180555555555596</v>
      </c>
      <c r="D6979" s="237">
        <v>0</v>
      </c>
      <c r="E6979" s="237">
        <v>0</v>
      </c>
      <c r="F6979" s="237">
        <v>0</v>
      </c>
      <c r="G6979" s="237">
        <v>0</v>
      </c>
      <c r="H6979" s="237">
        <v>0</v>
      </c>
      <c r="I6979" s="237">
        <v>0</v>
      </c>
      <c r="J6979" s="237">
        <v>0</v>
      </c>
    </row>
    <row r="6980" spans="1:10" s="225" customFormat="1">
      <c r="A6980" s="222" t="s">
        <v>179</v>
      </c>
      <c r="B6980" s="222" t="s">
        <v>14</v>
      </c>
      <c r="C6980" s="236">
        <v>0.76249999999999996</v>
      </c>
      <c r="D6980" s="237">
        <v>0</v>
      </c>
      <c r="E6980" s="237">
        <v>0</v>
      </c>
      <c r="F6980" s="237">
        <v>0</v>
      </c>
      <c r="G6980" s="237">
        <v>0</v>
      </c>
      <c r="H6980" s="237">
        <v>0</v>
      </c>
      <c r="I6980" s="237">
        <v>0</v>
      </c>
      <c r="J6980" s="237">
        <v>0</v>
      </c>
    </row>
    <row r="6981" spans="1:10" s="225" customFormat="1">
      <c r="A6981" s="222" t="s">
        <v>179</v>
      </c>
      <c r="B6981" s="222" t="s">
        <v>14</v>
      </c>
      <c r="C6981" s="236">
        <v>0.76319444444444395</v>
      </c>
      <c r="D6981" s="237">
        <v>0</v>
      </c>
      <c r="E6981" s="237">
        <v>0</v>
      </c>
      <c r="F6981" s="237">
        <v>0</v>
      </c>
      <c r="G6981" s="237">
        <v>0</v>
      </c>
      <c r="H6981" s="237">
        <v>0</v>
      </c>
      <c r="I6981" s="237">
        <v>0</v>
      </c>
      <c r="J6981" s="237">
        <v>0</v>
      </c>
    </row>
    <row r="6982" spans="1:10" s="225" customFormat="1">
      <c r="A6982" s="222" t="s">
        <v>179</v>
      </c>
      <c r="B6982" s="222" t="s">
        <v>14</v>
      </c>
      <c r="C6982" s="236">
        <v>0.76388888888888895</v>
      </c>
      <c r="D6982" s="237">
        <v>0</v>
      </c>
      <c r="E6982" s="237">
        <v>0</v>
      </c>
      <c r="F6982" s="237">
        <v>0</v>
      </c>
      <c r="G6982" s="237">
        <v>0</v>
      </c>
      <c r="H6982" s="237">
        <v>0</v>
      </c>
      <c r="I6982" s="237">
        <v>0</v>
      </c>
      <c r="J6982" s="237">
        <v>0</v>
      </c>
    </row>
    <row r="6983" spans="1:10" s="225" customFormat="1">
      <c r="A6983" s="222" t="s">
        <v>179</v>
      </c>
      <c r="B6983" s="222" t="s">
        <v>14</v>
      </c>
      <c r="C6983" s="236">
        <v>0.76458333333333295</v>
      </c>
      <c r="D6983" s="237">
        <v>0</v>
      </c>
      <c r="E6983" s="237">
        <v>0</v>
      </c>
      <c r="F6983" s="237">
        <v>0</v>
      </c>
      <c r="G6983" s="237">
        <v>0</v>
      </c>
      <c r="H6983" s="237">
        <v>0</v>
      </c>
      <c r="I6983" s="237">
        <v>0</v>
      </c>
      <c r="J6983" s="237">
        <v>0</v>
      </c>
    </row>
    <row r="6984" spans="1:10" s="225" customFormat="1">
      <c r="A6984" s="222" t="s">
        <v>179</v>
      </c>
      <c r="B6984" s="222" t="s">
        <v>14</v>
      </c>
      <c r="C6984" s="236">
        <v>0.76527777777777795</v>
      </c>
      <c r="D6984" s="237">
        <v>0</v>
      </c>
      <c r="E6984" s="237">
        <v>0</v>
      </c>
      <c r="F6984" s="237">
        <v>0</v>
      </c>
      <c r="G6984" s="237">
        <v>0</v>
      </c>
      <c r="H6984" s="237">
        <v>0</v>
      </c>
      <c r="I6984" s="237">
        <v>0</v>
      </c>
      <c r="J6984" s="237">
        <v>0</v>
      </c>
    </row>
    <row r="6985" spans="1:10" s="225" customFormat="1">
      <c r="A6985" s="222" t="s">
        <v>179</v>
      </c>
      <c r="B6985" s="222" t="s">
        <v>14</v>
      </c>
      <c r="C6985" s="236">
        <v>0.76597222222222205</v>
      </c>
      <c r="D6985" s="237">
        <v>0</v>
      </c>
      <c r="E6985" s="237">
        <v>0</v>
      </c>
      <c r="F6985" s="237">
        <v>0</v>
      </c>
      <c r="G6985" s="237">
        <v>0</v>
      </c>
      <c r="H6985" s="237">
        <v>0</v>
      </c>
      <c r="I6985" s="237">
        <v>0</v>
      </c>
      <c r="J6985" s="237">
        <v>0</v>
      </c>
    </row>
    <row r="6986" spans="1:10" s="225" customFormat="1">
      <c r="A6986" s="222" t="s">
        <v>179</v>
      </c>
      <c r="B6986" s="222" t="s">
        <v>14</v>
      </c>
      <c r="C6986" s="236">
        <v>0.76666666666666705</v>
      </c>
      <c r="D6986" s="237">
        <v>0</v>
      </c>
      <c r="E6986" s="237">
        <v>0</v>
      </c>
      <c r="F6986" s="237">
        <v>0</v>
      </c>
      <c r="G6986" s="237">
        <v>0</v>
      </c>
      <c r="H6986" s="237">
        <v>0</v>
      </c>
      <c r="I6986" s="237">
        <v>0</v>
      </c>
      <c r="J6986" s="237">
        <v>0</v>
      </c>
    </row>
    <row r="6987" spans="1:10" s="225" customFormat="1">
      <c r="A6987" s="222" t="s">
        <v>179</v>
      </c>
      <c r="B6987" s="222" t="s">
        <v>14</v>
      </c>
      <c r="C6987" s="236">
        <v>0.76736111111111105</v>
      </c>
      <c r="D6987" s="237">
        <v>0</v>
      </c>
      <c r="E6987" s="237">
        <v>0</v>
      </c>
      <c r="F6987" s="237">
        <v>0</v>
      </c>
      <c r="G6987" s="237">
        <v>0</v>
      </c>
      <c r="H6987" s="237">
        <v>0</v>
      </c>
      <c r="I6987" s="237">
        <v>0</v>
      </c>
      <c r="J6987" s="237">
        <v>0</v>
      </c>
    </row>
    <row r="6988" spans="1:10" s="225" customFormat="1">
      <c r="A6988" s="222" t="s">
        <v>179</v>
      </c>
      <c r="B6988" s="222" t="s">
        <v>14</v>
      </c>
      <c r="C6988" s="236">
        <v>0.76805555555555505</v>
      </c>
      <c r="D6988" s="237">
        <v>0</v>
      </c>
      <c r="E6988" s="237">
        <v>0</v>
      </c>
      <c r="F6988" s="237">
        <v>0</v>
      </c>
      <c r="G6988" s="237">
        <v>0</v>
      </c>
      <c r="H6988" s="237">
        <v>0</v>
      </c>
      <c r="I6988" s="237">
        <v>0</v>
      </c>
      <c r="J6988" s="237">
        <v>0</v>
      </c>
    </row>
    <row r="6989" spans="1:10" s="225" customFormat="1">
      <c r="A6989" s="222" t="s">
        <v>179</v>
      </c>
      <c r="B6989" s="222" t="s">
        <v>14</v>
      </c>
      <c r="C6989" s="236">
        <v>0.76875000000000004</v>
      </c>
      <c r="D6989" s="237">
        <v>0</v>
      </c>
      <c r="E6989" s="237">
        <v>0</v>
      </c>
      <c r="F6989" s="237">
        <v>0</v>
      </c>
      <c r="G6989" s="237">
        <v>0</v>
      </c>
      <c r="H6989" s="237">
        <v>0</v>
      </c>
      <c r="I6989" s="237">
        <v>0</v>
      </c>
      <c r="J6989" s="237">
        <v>0</v>
      </c>
    </row>
    <row r="6990" spans="1:10" s="225" customFormat="1">
      <c r="A6990" s="222" t="s">
        <v>179</v>
      </c>
      <c r="B6990" s="222" t="s">
        <v>14</v>
      </c>
      <c r="C6990" s="236">
        <v>0.76944444444444404</v>
      </c>
      <c r="D6990" s="237">
        <v>0</v>
      </c>
      <c r="E6990" s="237">
        <v>0</v>
      </c>
      <c r="F6990" s="237">
        <v>0</v>
      </c>
      <c r="G6990" s="237">
        <v>0</v>
      </c>
      <c r="H6990" s="237">
        <v>0</v>
      </c>
      <c r="I6990" s="237">
        <v>0</v>
      </c>
      <c r="J6990" s="237">
        <v>0</v>
      </c>
    </row>
    <row r="6991" spans="1:10" s="229" customFormat="1">
      <c r="A6991" s="226" t="s">
        <v>179</v>
      </c>
      <c r="B6991" s="226" t="s">
        <v>14</v>
      </c>
      <c r="C6991" s="238">
        <v>0.77013888888888904</v>
      </c>
      <c r="D6991" s="239">
        <v>0</v>
      </c>
      <c r="E6991" s="239">
        <v>0</v>
      </c>
      <c r="F6991" s="239">
        <v>0</v>
      </c>
      <c r="G6991" s="239">
        <v>0</v>
      </c>
      <c r="H6991" s="239">
        <v>0</v>
      </c>
      <c r="I6991" s="239">
        <v>0</v>
      </c>
      <c r="J6991" s="239">
        <v>0</v>
      </c>
    </row>
    <row r="6992" spans="1:10" s="225" customFormat="1">
      <c r="A6992" s="222" t="s">
        <v>179</v>
      </c>
      <c r="B6992" s="222" t="s">
        <v>14</v>
      </c>
      <c r="C6992" s="236">
        <v>0.77083333333333304</v>
      </c>
      <c r="D6992" s="237">
        <v>0</v>
      </c>
      <c r="E6992" s="237">
        <v>0</v>
      </c>
      <c r="F6992" s="237">
        <v>0</v>
      </c>
      <c r="G6992" s="237">
        <v>0</v>
      </c>
      <c r="H6992" s="237">
        <v>0</v>
      </c>
      <c r="I6992" s="237">
        <v>0</v>
      </c>
      <c r="J6992" s="237">
        <v>0</v>
      </c>
    </row>
    <row r="6993" spans="1:10" s="225" customFormat="1">
      <c r="A6993" s="222" t="s">
        <v>179</v>
      </c>
      <c r="B6993" s="222" t="s">
        <v>14</v>
      </c>
      <c r="C6993" s="236">
        <v>0.77152777777777803</v>
      </c>
      <c r="D6993" s="237">
        <v>0</v>
      </c>
      <c r="E6993" s="237">
        <v>0</v>
      </c>
      <c r="F6993" s="237">
        <v>0</v>
      </c>
      <c r="G6993" s="237">
        <v>0</v>
      </c>
      <c r="H6993" s="237">
        <v>0</v>
      </c>
      <c r="I6993" s="237">
        <v>0</v>
      </c>
      <c r="J6993" s="237">
        <v>0</v>
      </c>
    </row>
    <row r="6994" spans="1:10" s="225" customFormat="1">
      <c r="A6994" s="222" t="s">
        <v>179</v>
      </c>
      <c r="B6994" s="222" t="s">
        <v>14</v>
      </c>
      <c r="C6994" s="236">
        <v>0.77222222222222203</v>
      </c>
      <c r="D6994" s="237">
        <v>0</v>
      </c>
      <c r="E6994" s="237">
        <v>0</v>
      </c>
      <c r="F6994" s="237">
        <v>0</v>
      </c>
      <c r="G6994" s="237">
        <v>0</v>
      </c>
      <c r="H6994" s="237">
        <v>0</v>
      </c>
      <c r="I6994" s="237">
        <v>0</v>
      </c>
      <c r="J6994" s="237">
        <v>0</v>
      </c>
    </row>
    <row r="6995" spans="1:10" s="225" customFormat="1">
      <c r="A6995" s="222" t="s">
        <v>179</v>
      </c>
      <c r="B6995" s="222" t="s">
        <v>14</v>
      </c>
      <c r="C6995" s="236">
        <v>0.77291666666666703</v>
      </c>
      <c r="D6995" s="237">
        <v>0</v>
      </c>
      <c r="E6995" s="237">
        <v>0</v>
      </c>
      <c r="F6995" s="237">
        <v>0</v>
      </c>
      <c r="G6995" s="237">
        <v>0</v>
      </c>
      <c r="H6995" s="237">
        <v>0</v>
      </c>
      <c r="I6995" s="237">
        <v>0</v>
      </c>
      <c r="J6995" s="237">
        <v>0</v>
      </c>
    </row>
    <row r="6996" spans="1:10" s="225" customFormat="1">
      <c r="A6996" s="222" t="s">
        <v>179</v>
      </c>
      <c r="B6996" s="222" t="s">
        <v>14</v>
      </c>
      <c r="C6996" s="236">
        <v>0.77361111111111103</v>
      </c>
      <c r="D6996" s="237">
        <v>0</v>
      </c>
      <c r="E6996" s="237">
        <v>0</v>
      </c>
      <c r="F6996" s="237">
        <v>0</v>
      </c>
      <c r="G6996" s="237">
        <v>0</v>
      </c>
      <c r="H6996" s="237">
        <v>0</v>
      </c>
      <c r="I6996" s="237">
        <v>0</v>
      </c>
      <c r="J6996" s="237">
        <v>0</v>
      </c>
    </row>
    <row r="6997" spans="1:10" s="225" customFormat="1">
      <c r="A6997" s="222" t="s">
        <v>179</v>
      </c>
      <c r="B6997" s="222" t="s">
        <v>14</v>
      </c>
      <c r="C6997" s="236">
        <v>0.77430555555555503</v>
      </c>
      <c r="D6997" s="237">
        <v>0</v>
      </c>
      <c r="E6997" s="237">
        <v>0</v>
      </c>
      <c r="F6997" s="237">
        <v>0</v>
      </c>
      <c r="G6997" s="237">
        <v>0</v>
      </c>
      <c r="H6997" s="237">
        <v>0</v>
      </c>
      <c r="I6997" s="237">
        <v>0</v>
      </c>
      <c r="J6997" s="237">
        <v>0</v>
      </c>
    </row>
    <row r="6998" spans="1:10" s="225" customFormat="1">
      <c r="A6998" s="222" t="s">
        <v>179</v>
      </c>
      <c r="B6998" s="222" t="s">
        <v>14</v>
      </c>
      <c r="C6998" s="236">
        <v>0.77500000000000002</v>
      </c>
      <c r="D6998" s="237">
        <v>0</v>
      </c>
      <c r="E6998" s="237">
        <v>0</v>
      </c>
      <c r="F6998" s="237">
        <v>0</v>
      </c>
      <c r="G6998" s="237">
        <v>0</v>
      </c>
      <c r="H6998" s="237">
        <v>0</v>
      </c>
      <c r="I6998" s="237">
        <v>0</v>
      </c>
      <c r="J6998" s="237">
        <v>0</v>
      </c>
    </row>
    <row r="6999" spans="1:10" s="225" customFormat="1">
      <c r="A6999" s="222" t="s">
        <v>179</v>
      </c>
      <c r="B6999" s="222" t="s">
        <v>14</v>
      </c>
      <c r="C6999" s="236">
        <v>0.77569444444444402</v>
      </c>
      <c r="D6999" s="237">
        <v>0</v>
      </c>
      <c r="E6999" s="237">
        <v>0</v>
      </c>
      <c r="F6999" s="237">
        <v>0</v>
      </c>
      <c r="G6999" s="237">
        <v>0</v>
      </c>
      <c r="H6999" s="237">
        <v>0</v>
      </c>
      <c r="I6999" s="237">
        <v>0</v>
      </c>
      <c r="J6999" s="237">
        <v>0</v>
      </c>
    </row>
    <row r="7000" spans="1:10" s="225" customFormat="1">
      <c r="A7000" s="222" t="s">
        <v>179</v>
      </c>
      <c r="B7000" s="222" t="s">
        <v>14</v>
      </c>
      <c r="C7000" s="236">
        <v>0.77638888888888902</v>
      </c>
      <c r="D7000" s="237">
        <v>0</v>
      </c>
      <c r="E7000" s="237">
        <v>0</v>
      </c>
      <c r="F7000" s="237">
        <v>0</v>
      </c>
      <c r="G7000" s="237">
        <v>0</v>
      </c>
      <c r="H7000" s="237">
        <v>0</v>
      </c>
      <c r="I7000" s="237">
        <v>0</v>
      </c>
      <c r="J7000" s="237">
        <v>0</v>
      </c>
    </row>
    <row r="7001" spans="1:10" s="225" customFormat="1">
      <c r="A7001" s="222" t="s">
        <v>179</v>
      </c>
      <c r="B7001" s="222" t="s">
        <v>14</v>
      </c>
      <c r="C7001" s="236">
        <v>0.77708333333333302</v>
      </c>
      <c r="D7001" s="237">
        <v>0</v>
      </c>
      <c r="E7001" s="237">
        <v>0</v>
      </c>
      <c r="F7001" s="237">
        <v>0</v>
      </c>
      <c r="G7001" s="237">
        <v>0</v>
      </c>
      <c r="H7001" s="237">
        <v>0</v>
      </c>
      <c r="I7001" s="237">
        <v>0</v>
      </c>
      <c r="J7001" s="237">
        <v>0</v>
      </c>
    </row>
    <row r="7002" spans="1:10" s="225" customFormat="1">
      <c r="A7002" s="222" t="s">
        <v>179</v>
      </c>
      <c r="B7002" s="222" t="s">
        <v>14</v>
      </c>
      <c r="C7002" s="236">
        <v>0.77777777777777801</v>
      </c>
      <c r="D7002" s="237">
        <v>0</v>
      </c>
      <c r="E7002" s="237">
        <v>0</v>
      </c>
      <c r="F7002" s="237">
        <v>0</v>
      </c>
      <c r="G7002" s="237">
        <v>0</v>
      </c>
      <c r="H7002" s="237">
        <v>0</v>
      </c>
      <c r="I7002" s="237">
        <v>0</v>
      </c>
      <c r="J7002" s="237">
        <v>0</v>
      </c>
    </row>
    <row r="7003" spans="1:10" s="225" customFormat="1">
      <c r="A7003" s="222" t="s">
        <v>179</v>
      </c>
      <c r="B7003" s="222" t="s">
        <v>14</v>
      </c>
      <c r="C7003" s="236">
        <v>0.77847222222222201</v>
      </c>
      <c r="D7003" s="237">
        <v>0</v>
      </c>
      <c r="E7003" s="237">
        <v>0</v>
      </c>
      <c r="F7003" s="237">
        <v>0</v>
      </c>
      <c r="G7003" s="237">
        <v>0</v>
      </c>
      <c r="H7003" s="237">
        <v>0</v>
      </c>
      <c r="I7003" s="237">
        <v>0</v>
      </c>
      <c r="J7003" s="237">
        <v>0</v>
      </c>
    </row>
    <row r="7004" spans="1:10" s="225" customFormat="1">
      <c r="A7004" s="222" t="s">
        <v>179</v>
      </c>
      <c r="B7004" s="222" t="s">
        <v>14</v>
      </c>
      <c r="C7004" s="236">
        <v>0.77916666666666701</v>
      </c>
      <c r="D7004" s="237">
        <v>0</v>
      </c>
      <c r="E7004" s="237">
        <v>0</v>
      </c>
      <c r="F7004" s="237">
        <v>0</v>
      </c>
      <c r="G7004" s="237">
        <v>0</v>
      </c>
      <c r="H7004" s="237">
        <v>0</v>
      </c>
      <c r="I7004" s="237">
        <v>0</v>
      </c>
      <c r="J7004" s="237">
        <v>0</v>
      </c>
    </row>
    <row r="7005" spans="1:10" s="225" customFormat="1">
      <c r="A7005" s="222" t="s">
        <v>179</v>
      </c>
      <c r="B7005" s="222" t="s">
        <v>14</v>
      </c>
      <c r="C7005" s="236">
        <v>0.77986111111111101</v>
      </c>
      <c r="D7005" s="237">
        <v>0</v>
      </c>
      <c r="E7005" s="237">
        <v>0</v>
      </c>
      <c r="F7005" s="237">
        <v>0</v>
      </c>
      <c r="G7005" s="237">
        <v>0</v>
      </c>
      <c r="H7005" s="237">
        <v>0</v>
      </c>
      <c r="I7005" s="237">
        <v>0</v>
      </c>
      <c r="J7005" s="237">
        <v>0</v>
      </c>
    </row>
    <row r="7006" spans="1:10" s="229" customFormat="1">
      <c r="A7006" s="226" t="s">
        <v>179</v>
      </c>
      <c r="B7006" s="226" t="s">
        <v>14</v>
      </c>
      <c r="C7006" s="238">
        <v>0.780555555555555</v>
      </c>
      <c r="D7006" s="239">
        <v>0</v>
      </c>
      <c r="E7006" s="239">
        <v>0</v>
      </c>
      <c r="F7006" s="239">
        <v>0</v>
      </c>
      <c r="G7006" s="239">
        <v>0</v>
      </c>
      <c r="H7006" s="239">
        <v>0</v>
      </c>
      <c r="I7006" s="239">
        <v>0</v>
      </c>
      <c r="J7006" s="239">
        <v>0</v>
      </c>
    </row>
    <row r="7007" spans="1:10" s="225" customFormat="1">
      <c r="A7007" s="222" t="s">
        <v>179</v>
      </c>
      <c r="B7007" s="222" t="s">
        <v>14</v>
      </c>
      <c r="C7007" s="236">
        <v>0.78125</v>
      </c>
      <c r="D7007" s="237">
        <v>0</v>
      </c>
      <c r="E7007" s="237">
        <v>0</v>
      </c>
      <c r="F7007" s="237">
        <v>0</v>
      </c>
      <c r="G7007" s="237">
        <v>0</v>
      </c>
      <c r="H7007" s="237">
        <v>0</v>
      </c>
      <c r="I7007" s="237">
        <v>0</v>
      </c>
      <c r="J7007" s="237">
        <v>0</v>
      </c>
    </row>
    <row r="7008" spans="1:10" s="225" customFormat="1">
      <c r="A7008" s="222" t="s">
        <v>179</v>
      </c>
      <c r="B7008" s="222" t="s">
        <v>14</v>
      </c>
      <c r="C7008" s="236">
        <v>0.781944444444444</v>
      </c>
      <c r="D7008" s="237">
        <v>0</v>
      </c>
      <c r="E7008" s="237">
        <v>0</v>
      </c>
      <c r="F7008" s="237">
        <v>0</v>
      </c>
      <c r="G7008" s="237">
        <v>0</v>
      </c>
      <c r="H7008" s="237">
        <v>0</v>
      </c>
      <c r="I7008" s="237">
        <v>0</v>
      </c>
      <c r="J7008" s="237">
        <v>0</v>
      </c>
    </row>
    <row r="7009" spans="1:10" s="225" customFormat="1">
      <c r="A7009" s="222" t="s">
        <v>179</v>
      </c>
      <c r="B7009" s="222" t="s">
        <v>14</v>
      </c>
      <c r="C7009" s="236">
        <v>0.78263888888888899</v>
      </c>
      <c r="D7009" s="237">
        <v>0</v>
      </c>
      <c r="E7009" s="237">
        <v>0</v>
      </c>
      <c r="F7009" s="237">
        <v>0</v>
      </c>
      <c r="G7009" s="237">
        <v>0</v>
      </c>
      <c r="H7009" s="237">
        <v>0</v>
      </c>
      <c r="I7009" s="237">
        <v>0</v>
      </c>
      <c r="J7009" s="237">
        <v>0</v>
      </c>
    </row>
    <row r="7010" spans="1:10" s="225" customFormat="1">
      <c r="A7010" s="222" t="s">
        <v>179</v>
      </c>
      <c r="B7010" s="222" t="s">
        <v>14</v>
      </c>
      <c r="C7010" s="236">
        <v>0.78333333333333299</v>
      </c>
      <c r="D7010" s="237">
        <v>0</v>
      </c>
      <c r="E7010" s="237">
        <v>0</v>
      </c>
      <c r="F7010" s="237">
        <v>0</v>
      </c>
      <c r="G7010" s="237">
        <v>0</v>
      </c>
      <c r="H7010" s="237">
        <v>0</v>
      </c>
      <c r="I7010" s="237">
        <v>0</v>
      </c>
      <c r="J7010" s="237">
        <v>0</v>
      </c>
    </row>
    <row r="7011" spans="1:10" s="225" customFormat="1">
      <c r="A7011" s="222" t="s">
        <v>179</v>
      </c>
      <c r="B7011" s="222" t="s">
        <v>14</v>
      </c>
      <c r="C7011" s="236">
        <v>0.78402777777777799</v>
      </c>
      <c r="D7011" s="237">
        <v>0</v>
      </c>
      <c r="E7011" s="237">
        <v>0</v>
      </c>
      <c r="F7011" s="237">
        <v>0</v>
      </c>
      <c r="G7011" s="237">
        <v>0</v>
      </c>
      <c r="H7011" s="237">
        <v>0</v>
      </c>
      <c r="I7011" s="237">
        <v>0</v>
      </c>
      <c r="J7011" s="237">
        <v>0</v>
      </c>
    </row>
    <row r="7012" spans="1:10" s="225" customFormat="1">
      <c r="A7012" s="222" t="s">
        <v>179</v>
      </c>
      <c r="B7012" s="222" t="s">
        <v>14</v>
      </c>
      <c r="C7012" s="236">
        <v>0.78472222222222199</v>
      </c>
      <c r="D7012" s="237">
        <v>0</v>
      </c>
      <c r="E7012" s="237">
        <v>0</v>
      </c>
      <c r="F7012" s="237">
        <v>0</v>
      </c>
      <c r="G7012" s="237">
        <v>0</v>
      </c>
      <c r="H7012" s="237">
        <v>0</v>
      </c>
      <c r="I7012" s="237">
        <v>0</v>
      </c>
      <c r="J7012" s="237">
        <v>0</v>
      </c>
    </row>
    <row r="7013" spans="1:10" s="225" customFormat="1">
      <c r="A7013" s="222" t="s">
        <v>179</v>
      </c>
      <c r="B7013" s="222" t="s">
        <v>14</v>
      </c>
      <c r="C7013" s="236">
        <v>0.78541666666666698</v>
      </c>
      <c r="D7013" s="237">
        <v>0</v>
      </c>
      <c r="E7013" s="237">
        <v>0</v>
      </c>
      <c r="F7013" s="237">
        <v>0</v>
      </c>
      <c r="G7013" s="237">
        <v>0</v>
      </c>
      <c r="H7013" s="237">
        <v>0</v>
      </c>
      <c r="I7013" s="237">
        <v>0</v>
      </c>
      <c r="J7013" s="237">
        <v>0</v>
      </c>
    </row>
    <row r="7014" spans="1:10" s="225" customFormat="1">
      <c r="A7014" s="222" t="s">
        <v>179</v>
      </c>
      <c r="B7014" s="222" t="s">
        <v>14</v>
      </c>
      <c r="C7014" s="236">
        <v>0.78611111111111098</v>
      </c>
      <c r="D7014" s="237">
        <v>0</v>
      </c>
      <c r="E7014" s="237">
        <v>0</v>
      </c>
      <c r="F7014" s="237">
        <v>0</v>
      </c>
      <c r="G7014" s="237">
        <v>0</v>
      </c>
      <c r="H7014" s="237">
        <v>0</v>
      </c>
      <c r="I7014" s="237">
        <v>0</v>
      </c>
      <c r="J7014" s="237">
        <v>0</v>
      </c>
    </row>
    <row r="7015" spans="1:10" s="225" customFormat="1">
      <c r="A7015" s="222" t="s">
        <v>179</v>
      </c>
      <c r="B7015" s="222" t="s">
        <v>14</v>
      </c>
      <c r="C7015" s="236">
        <v>0.78680555555555498</v>
      </c>
      <c r="D7015" s="237">
        <v>0</v>
      </c>
      <c r="E7015" s="237">
        <v>0</v>
      </c>
      <c r="F7015" s="237">
        <v>0</v>
      </c>
      <c r="G7015" s="237">
        <v>0</v>
      </c>
      <c r="H7015" s="237">
        <v>0</v>
      </c>
      <c r="I7015" s="237">
        <v>0</v>
      </c>
      <c r="J7015" s="237">
        <v>0</v>
      </c>
    </row>
    <row r="7016" spans="1:10" s="225" customFormat="1">
      <c r="A7016" s="222" t="s">
        <v>179</v>
      </c>
      <c r="B7016" s="222" t="s">
        <v>14</v>
      </c>
      <c r="C7016" s="236">
        <v>0.78749999999999998</v>
      </c>
      <c r="D7016" s="237">
        <v>0</v>
      </c>
      <c r="E7016" s="237">
        <v>0</v>
      </c>
      <c r="F7016" s="237">
        <v>0</v>
      </c>
      <c r="G7016" s="237">
        <v>0</v>
      </c>
      <c r="H7016" s="237">
        <v>0</v>
      </c>
      <c r="I7016" s="237">
        <v>0</v>
      </c>
      <c r="J7016" s="237">
        <v>0</v>
      </c>
    </row>
    <row r="7017" spans="1:10" s="225" customFormat="1">
      <c r="A7017" s="222" t="s">
        <v>179</v>
      </c>
      <c r="B7017" s="222" t="s">
        <v>14</v>
      </c>
      <c r="C7017" s="236">
        <v>0.78819444444444398</v>
      </c>
      <c r="D7017" s="237">
        <v>0</v>
      </c>
      <c r="E7017" s="237">
        <v>0</v>
      </c>
      <c r="F7017" s="237">
        <v>0</v>
      </c>
      <c r="G7017" s="237">
        <v>0</v>
      </c>
      <c r="H7017" s="237">
        <v>0</v>
      </c>
      <c r="I7017" s="237">
        <v>0</v>
      </c>
      <c r="J7017" s="237">
        <v>0</v>
      </c>
    </row>
    <row r="7018" spans="1:10" s="225" customFormat="1">
      <c r="A7018" s="222" t="s">
        <v>179</v>
      </c>
      <c r="B7018" s="222" t="s">
        <v>14</v>
      </c>
      <c r="C7018" s="236">
        <v>0.78888888888888897</v>
      </c>
      <c r="D7018" s="237">
        <v>0</v>
      </c>
      <c r="E7018" s="237">
        <v>0</v>
      </c>
      <c r="F7018" s="237">
        <v>0</v>
      </c>
      <c r="G7018" s="237">
        <v>0</v>
      </c>
      <c r="H7018" s="237">
        <v>0</v>
      </c>
      <c r="I7018" s="237">
        <v>0</v>
      </c>
      <c r="J7018" s="237">
        <v>0</v>
      </c>
    </row>
    <row r="7019" spans="1:10" s="225" customFormat="1">
      <c r="A7019" s="222" t="s">
        <v>179</v>
      </c>
      <c r="B7019" s="222" t="s">
        <v>14</v>
      </c>
      <c r="C7019" s="236">
        <v>0.78958333333333297</v>
      </c>
      <c r="D7019" s="237">
        <v>0</v>
      </c>
      <c r="E7019" s="237">
        <v>0</v>
      </c>
      <c r="F7019" s="237">
        <v>0</v>
      </c>
      <c r="G7019" s="237">
        <v>0</v>
      </c>
      <c r="H7019" s="237">
        <v>0</v>
      </c>
      <c r="I7019" s="237">
        <v>0</v>
      </c>
      <c r="J7019" s="237">
        <v>0</v>
      </c>
    </row>
    <row r="7020" spans="1:10" s="225" customFormat="1">
      <c r="A7020" s="222" t="s">
        <v>179</v>
      </c>
      <c r="B7020" s="222" t="s">
        <v>14</v>
      </c>
      <c r="C7020" s="236">
        <v>0.79027777777777797</v>
      </c>
      <c r="D7020" s="237">
        <v>0</v>
      </c>
      <c r="E7020" s="237">
        <v>0</v>
      </c>
      <c r="F7020" s="237">
        <v>0</v>
      </c>
      <c r="G7020" s="237">
        <v>0</v>
      </c>
      <c r="H7020" s="237">
        <v>0</v>
      </c>
      <c r="I7020" s="237">
        <v>0</v>
      </c>
      <c r="J7020" s="237">
        <v>0</v>
      </c>
    </row>
    <row r="7021" spans="1:10" s="229" customFormat="1">
      <c r="A7021" s="226" t="s">
        <v>179</v>
      </c>
      <c r="B7021" s="226" t="s">
        <v>14</v>
      </c>
      <c r="C7021" s="238">
        <v>0.79097222222222197</v>
      </c>
      <c r="D7021" s="239">
        <v>0</v>
      </c>
      <c r="E7021" s="239">
        <v>0</v>
      </c>
      <c r="F7021" s="239">
        <v>0</v>
      </c>
      <c r="G7021" s="239">
        <v>0</v>
      </c>
      <c r="H7021" s="239">
        <v>0</v>
      </c>
      <c r="I7021" s="239">
        <v>0</v>
      </c>
      <c r="J7021" s="239">
        <v>0</v>
      </c>
    </row>
    <row r="7022" spans="1:10" s="225" customFormat="1">
      <c r="A7022" s="222" t="s">
        <v>179</v>
      </c>
      <c r="B7022" s="222" t="s">
        <v>14</v>
      </c>
      <c r="C7022" s="236">
        <v>0.79166666666666696</v>
      </c>
      <c r="D7022" s="237">
        <v>0</v>
      </c>
      <c r="E7022" s="237">
        <v>0</v>
      </c>
      <c r="F7022" s="237">
        <v>0</v>
      </c>
      <c r="G7022" s="237">
        <v>0</v>
      </c>
      <c r="H7022" s="237">
        <v>0</v>
      </c>
      <c r="I7022" s="237">
        <v>0</v>
      </c>
      <c r="J7022" s="237">
        <v>0</v>
      </c>
    </row>
    <row r="7023" spans="1:10" s="225" customFormat="1">
      <c r="A7023" s="222" t="s">
        <v>179</v>
      </c>
      <c r="B7023" s="222" t="s">
        <v>14</v>
      </c>
      <c r="C7023" s="236">
        <v>0.79236111111111096</v>
      </c>
      <c r="D7023" s="237">
        <v>0</v>
      </c>
      <c r="E7023" s="237">
        <v>0</v>
      </c>
      <c r="F7023" s="237">
        <v>0</v>
      </c>
      <c r="G7023" s="237">
        <v>0</v>
      </c>
      <c r="H7023" s="237">
        <v>0</v>
      </c>
      <c r="I7023" s="237">
        <v>0</v>
      </c>
      <c r="J7023" s="237">
        <v>0</v>
      </c>
    </row>
    <row r="7024" spans="1:10" s="225" customFormat="1">
      <c r="A7024" s="222" t="s">
        <v>179</v>
      </c>
      <c r="B7024" s="222" t="s">
        <v>14</v>
      </c>
      <c r="C7024" s="236">
        <v>0.79305555555555496</v>
      </c>
      <c r="D7024" s="237">
        <v>0</v>
      </c>
      <c r="E7024" s="237">
        <v>0</v>
      </c>
      <c r="F7024" s="237">
        <v>0</v>
      </c>
      <c r="G7024" s="237">
        <v>0</v>
      </c>
      <c r="H7024" s="237">
        <v>0</v>
      </c>
      <c r="I7024" s="237">
        <v>0</v>
      </c>
      <c r="J7024" s="237">
        <v>0</v>
      </c>
    </row>
    <row r="7025" spans="1:10" s="225" customFormat="1">
      <c r="A7025" s="222" t="s">
        <v>179</v>
      </c>
      <c r="B7025" s="222" t="s">
        <v>14</v>
      </c>
      <c r="C7025" s="236">
        <v>0.79374999999999996</v>
      </c>
      <c r="D7025" s="237">
        <v>0</v>
      </c>
      <c r="E7025" s="237">
        <v>0</v>
      </c>
      <c r="F7025" s="237">
        <v>0</v>
      </c>
      <c r="G7025" s="237">
        <v>0</v>
      </c>
      <c r="H7025" s="237">
        <v>0</v>
      </c>
      <c r="I7025" s="237">
        <v>0</v>
      </c>
      <c r="J7025" s="237">
        <v>0</v>
      </c>
    </row>
    <row r="7026" spans="1:10" s="225" customFormat="1">
      <c r="A7026" s="222" t="s">
        <v>179</v>
      </c>
      <c r="B7026" s="222" t="s">
        <v>14</v>
      </c>
      <c r="C7026" s="236">
        <v>0.79444444444444395</v>
      </c>
      <c r="D7026" s="237">
        <v>0</v>
      </c>
      <c r="E7026" s="237">
        <v>0</v>
      </c>
      <c r="F7026" s="237">
        <v>0</v>
      </c>
      <c r="G7026" s="237">
        <v>0</v>
      </c>
      <c r="H7026" s="237">
        <v>0</v>
      </c>
      <c r="I7026" s="237">
        <v>0</v>
      </c>
      <c r="J7026" s="237">
        <v>0</v>
      </c>
    </row>
    <row r="7027" spans="1:10" s="225" customFormat="1">
      <c r="A7027" s="222" t="s">
        <v>179</v>
      </c>
      <c r="B7027" s="222" t="s">
        <v>14</v>
      </c>
      <c r="C7027" s="236">
        <v>0.79513888888888895</v>
      </c>
      <c r="D7027" s="237">
        <v>0</v>
      </c>
      <c r="E7027" s="237">
        <v>0</v>
      </c>
      <c r="F7027" s="237">
        <v>0</v>
      </c>
      <c r="G7027" s="237">
        <v>0</v>
      </c>
      <c r="H7027" s="237">
        <v>0</v>
      </c>
      <c r="I7027" s="237">
        <v>0</v>
      </c>
      <c r="J7027" s="237">
        <v>0</v>
      </c>
    </row>
    <row r="7028" spans="1:10" s="225" customFormat="1">
      <c r="A7028" s="222" t="s">
        <v>179</v>
      </c>
      <c r="B7028" s="222" t="s">
        <v>14</v>
      </c>
      <c r="C7028" s="236">
        <v>0.79583333333333295</v>
      </c>
      <c r="D7028" s="237">
        <v>0</v>
      </c>
      <c r="E7028" s="237">
        <v>0</v>
      </c>
      <c r="F7028" s="237">
        <v>0</v>
      </c>
      <c r="G7028" s="237">
        <v>0</v>
      </c>
      <c r="H7028" s="237">
        <v>0</v>
      </c>
      <c r="I7028" s="237">
        <v>0</v>
      </c>
      <c r="J7028" s="237">
        <v>0</v>
      </c>
    </row>
    <row r="7029" spans="1:10" s="225" customFormat="1">
      <c r="A7029" s="222" t="s">
        <v>179</v>
      </c>
      <c r="B7029" s="222" t="s">
        <v>14</v>
      </c>
      <c r="C7029" s="236">
        <v>0.79652777777777795</v>
      </c>
      <c r="D7029" s="237">
        <v>0</v>
      </c>
      <c r="E7029" s="237">
        <v>0</v>
      </c>
      <c r="F7029" s="237">
        <v>0</v>
      </c>
      <c r="G7029" s="237">
        <v>0</v>
      </c>
      <c r="H7029" s="237">
        <v>0</v>
      </c>
      <c r="I7029" s="237">
        <v>0</v>
      </c>
      <c r="J7029" s="237">
        <v>0</v>
      </c>
    </row>
    <row r="7030" spans="1:10" s="225" customFormat="1">
      <c r="A7030" s="222" t="s">
        <v>179</v>
      </c>
      <c r="B7030" s="222" t="s">
        <v>14</v>
      </c>
      <c r="C7030" s="236">
        <v>0.79722222222222205</v>
      </c>
      <c r="D7030" s="237">
        <v>0</v>
      </c>
      <c r="E7030" s="237">
        <v>0</v>
      </c>
      <c r="F7030" s="237">
        <v>0</v>
      </c>
      <c r="G7030" s="237">
        <v>0</v>
      </c>
      <c r="H7030" s="237">
        <v>0</v>
      </c>
      <c r="I7030" s="237">
        <v>0</v>
      </c>
      <c r="J7030" s="237">
        <v>0</v>
      </c>
    </row>
    <row r="7031" spans="1:10" s="225" customFormat="1">
      <c r="A7031" s="222" t="s">
        <v>179</v>
      </c>
      <c r="B7031" s="222" t="s">
        <v>14</v>
      </c>
      <c r="C7031" s="236">
        <v>0.79791666666666605</v>
      </c>
      <c r="D7031" s="237">
        <v>0</v>
      </c>
      <c r="E7031" s="237">
        <v>0</v>
      </c>
      <c r="F7031" s="237">
        <v>0</v>
      </c>
      <c r="G7031" s="237">
        <v>0</v>
      </c>
      <c r="H7031" s="237">
        <v>0</v>
      </c>
      <c r="I7031" s="237">
        <v>0</v>
      </c>
      <c r="J7031" s="237">
        <v>0</v>
      </c>
    </row>
    <row r="7032" spans="1:10" s="225" customFormat="1">
      <c r="A7032" s="222" t="s">
        <v>179</v>
      </c>
      <c r="B7032" s="222" t="s">
        <v>14</v>
      </c>
      <c r="C7032" s="236">
        <v>0.79861111111111105</v>
      </c>
      <c r="D7032" s="237">
        <v>0</v>
      </c>
      <c r="E7032" s="237">
        <v>0</v>
      </c>
      <c r="F7032" s="237">
        <v>0</v>
      </c>
      <c r="G7032" s="237">
        <v>0</v>
      </c>
      <c r="H7032" s="237">
        <v>0</v>
      </c>
      <c r="I7032" s="237">
        <v>0</v>
      </c>
      <c r="J7032" s="237">
        <v>0</v>
      </c>
    </row>
    <row r="7033" spans="1:10" s="225" customFormat="1">
      <c r="A7033" s="222" t="s">
        <v>179</v>
      </c>
      <c r="B7033" s="222" t="s">
        <v>14</v>
      </c>
      <c r="C7033" s="236">
        <v>0.79930555555555505</v>
      </c>
      <c r="D7033" s="237">
        <v>0</v>
      </c>
      <c r="E7033" s="237">
        <v>0</v>
      </c>
      <c r="F7033" s="237">
        <v>0</v>
      </c>
      <c r="G7033" s="237">
        <v>0</v>
      </c>
      <c r="H7033" s="237">
        <v>0</v>
      </c>
      <c r="I7033" s="237">
        <v>0</v>
      </c>
      <c r="J7033" s="237">
        <v>0</v>
      </c>
    </row>
    <row r="7034" spans="1:10" s="225" customFormat="1">
      <c r="A7034" s="222" t="s">
        <v>179</v>
      </c>
      <c r="B7034" s="222" t="s">
        <v>14</v>
      </c>
      <c r="C7034" s="236">
        <v>0.8</v>
      </c>
      <c r="D7034" s="237">
        <v>0</v>
      </c>
      <c r="E7034" s="237">
        <v>0</v>
      </c>
      <c r="F7034" s="237">
        <v>0</v>
      </c>
      <c r="G7034" s="237">
        <v>0</v>
      </c>
      <c r="H7034" s="237">
        <v>0</v>
      </c>
      <c r="I7034" s="237">
        <v>0</v>
      </c>
      <c r="J7034" s="237">
        <v>0</v>
      </c>
    </row>
    <row r="7035" spans="1:10" s="225" customFormat="1">
      <c r="A7035" s="222" t="s">
        <v>179</v>
      </c>
      <c r="B7035" s="222" t="s">
        <v>14</v>
      </c>
      <c r="C7035" s="236">
        <v>0.80069444444444404</v>
      </c>
      <c r="D7035" s="237">
        <v>0</v>
      </c>
      <c r="E7035" s="237">
        <v>0</v>
      </c>
      <c r="F7035" s="237">
        <v>0</v>
      </c>
      <c r="G7035" s="237">
        <v>0</v>
      </c>
      <c r="H7035" s="237">
        <v>0</v>
      </c>
      <c r="I7035" s="237">
        <v>0</v>
      </c>
      <c r="J7035" s="237">
        <v>0</v>
      </c>
    </row>
    <row r="7036" spans="1:10" s="229" customFormat="1">
      <c r="A7036" s="226" t="s">
        <v>179</v>
      </c>
      <c r="B7036" s="226" t="s">
        <v>14</v>
      </c>
      <c r="C7036" s="238">
        <v>0.80138888888888904</v>
      </c>
      <c r="D7036" s="239">
        <v>0</v>
      </c>
      <c r="E7036" s="239">
        <v>0</v>
      </c>
      <c r="F7036" s="239">
        <v>0</v>
      </c>
      <c r="G7036" s="239">
        <v>0</v>
      </c>
      <c r="H7036" s="239">
        <v>0</v>
      </c>
      <c r="I7036" s="239">
        <v>0</v>
      </c>
      <c r="J7036" s="239">
        <v>0</v>
      </c>
    </row>
    <row r="7037" spans="1:10" s="225" customFormat="1">
      <c r="A7037" s="222" t="s">
        <v>179</v>
      </c>
      <c r="B7037" s="222" t="s">
        <v>14</v>
      </c>
      <c r="C7037" s="236">
        <v>0.80208333333333304</v>
      </c>
      <c r="D7037" s="237">
        <v>0</v>
      </c>
      <c r="E7037" s="237">
        <v>0</v>
      </c>
      <c r="F7037" s="237">
        <v>0</v>
      </c>
      <c r="G7037" s="237">
        <v>0</v>
      </c>
      <c r="H7037" s="237">
        <v>0</v>
      </c>
      <c r="I7037" s="237">
        <v>0</v>
      </c>
      <c r="J7037" s="237">
        <v>0</v>
      </c>
    </row>
    <row r="7038" spans="1:10" s="225" customFormat="1">
      <c r="A7038" s="222" t="s">
        <v>179</v>
      </c>
      <c r="B7038" s="222" t="s">
        <v>14</v>
      </c>
      <c r="C7038" s="236">
        <v>0.80277777777777803</v>
      </c>
      <c r="D7038" s="237">
        <v>0</v>
      </c>
      <c r="E7038" s="237">
        <v>0</v>
      </c>
      <c r="F7038" s="237">
        <v>0</v>
      </c>
      <c r="G7038" s="237">
        <v>0</v>
      </c>
      <c r="H7038" s="237">
        <v>0</v>
      </c>
      <c r="I7038" s="237">
        <v>0</v>
      </c>
      <c r="J7038" s="237">
        <v>0</v>
      </c>
    </row>
    <row r="7039" spans="1:10" s="225" customFormat="1">
      <c r="A7039" s="222" t="s">
        <v>179</v>
      </c>
      <c r="B7039" s="222" t="s">
        <v>14</v>
      </c>
      <c r="C7039" s="236">
        <v>0.80347222222222203</v>
      </c>
      <c r="D7039" s="237">
        <v>0</v>
      </c>
      <c r="E7039" s="237">
        <v>0</v>
      </c>
      <c r="F7039" s="237">
        <v>0</v>
      </c>
      <c r="G7039" s="237">
        <v>0</v>
      </c>
      <c r="H7039" s="237">
        <v>0</v>
      </c>
      <c r="I7039" s="237">
        <v>0</v>
      </c>
      <c r="J7039" s="237">
        <v>0</v>
      </c>
    </row>
    <row r="7040" spans="1:10" s="225" customFormat="1">
      <c r="A7040" s="222" t="s">
        <v>179</v>
      </c>
      <c r="B7040" s="222" t="s">
        <v>14</v>
      </c>
      <c r="C7040" s="236">
        <v>0.80416666666666603</v>
      </c>
      <c r="D7040" s="237">
        <v>0</v>
      </c>
      <c r="E7040" s="237">
        <v>0</v>
      </c>
      <c r="F7040" s="237">
        <v>0</v>
      </c>
      <c r="G7040" s="237">
        <v>0</v>
      </c>
      <c r="H7040" s="237">
        <v>0</v>
      </c>
      <c r="I7040" s="237">
        <v>0</v>
      </c>
      <c r="J7040" s="237">
        <v>0</v>
      </c>
    </row>
    <row r="7041" spans="1:10" s="225" customFormat="1">
      <c r="A7041" s="222" t="s">
        <v>179</v>
      </c>
      <c r="B7041" s="222" t="s">
        <v>14</v>
      </c>
      <c r="C7041" s="236">
        <v>0.80486111111111103</v>
      </c>
      <c r="D7041" s="237">
        <v>0</v>
      </c>
      <c r="E7041" s="237">
        <v>0</v>
      </c>
      <c r="F7041" s="237">
        <v>0</v>
      </c>
      <c r="G7041" s="237">
        <v>0</v>
      </c>
      <c r="H7041" s="237">
        <v>0</v>
      </c>
      <c r="I7041" s="237">
        <v>0</v>
      </c>
      <c r="J7041" s="237">
        <v>0</v>
      </c>
    </row>
    <row r="7042" spans="1:10" s="225" customFormat="1">
      <c r="A7042" s="222" t="s">
        <v>179</v>
      </c>
      <c r="B7042" s="222" t="s">
        <v>14</v>
      </c>
      <c r="C7042" s="236">
        <v>0.80555555555555503</v>
      </c>
      <c r="D7042" s="237">
        <v>0</v>
      </c>
      <c r="E7042" s="237">
        <v>0</v>
      </c>
      <c r="F7042" s="237">
        <v>0</v>
      </c>
      <c r="G7042" s="237">
        <v>0</v>
      </c>
      <c r="H7042" s="237">
        <v>0</v>
      </c>
      <c r="I7042" s="237">
        <v>0</v>
      </c>
      <c r="J7042" s="237">
        <v>0</v>
      </c>
    </row>
    <row r="7043" spans="1:10" s="225" customFormat="1">
      <c r="A7043" s="222" t="s">
        <v>179</v>
      </c>
      <c r="B7043" s="222" t="s">
        <v>14</v>
      </c>
      <c r="C7043" s="236">
        <v>0.80625000000000002</v>
      </c>
      <c r="D7043" s="237">
        <v>0</v>
      </c>
      <c r="E7043" s="237">
        <v>0</v>
      </c>
      <c r="F7043" s="237">
        <v>0</v>
      </c>
      <c r="G7043" s="237">
        <v>0</v>
      </c>
      <c r="H7043" s="237">
        <v>0</v>
      </c>
      <c r="I7043" s="237">
        <v>0</v>
      </c>
      <c r="J7043" s="237">
        <v>0</v>
      </c>
    </row>
    <row r="7044" spans="1:10" s="225" customFormat="1">
      <c r="A7044" s="222" t="s">
        <v>179</v>
      </c>
      <c r="B7044" s="222" t="s">
        <v>14</v>
      </c>
      <c r="C7044" s="236">
        <v>0.80694444444444402</v>
      </c>
      <c r="D7044" s="237">
        <v>0</v>
      </c>
      <c r="E7044" s="237">
        <v>0</v>
      </c>
      <c r="F7044" s="237">
        <v>0</v>
      </c>
      <c r="G7044" s="237">
        <v>0</v>
      </c>
      <c r="H7044" s="237">
        <v>0</v>
      </c>
      <c r="I7044" s="237">
        <v>0</v>
      </c>
      <c r="J7044" s="237">
        <v>0</v>
      </c>
    </row>
    <row r="7045" spans="1:10" s="225" customFormat="1">
      <c r="A7045" s="222" t="s">
        <v>179</v>
      </c>
      <c r="B7045" s="222" t="s">
        <v>14</v>
      </c>
      <c r="C7045" s="236">
        <v>0.80763888888888902</v>
      </c>
      <c r="D7045" s="237">
        <v>0</v>
      </c>
      <c r="E7045" s="237">
        <v>0</v>
      </c>
      <c r="F7045" s="237">
        <v>0</v>
      </c>
      <c r="G7045" s="237">
        <v>0</v>
      </c>
      <c r="H7045" s="237">
        <v>0</v>
      </c>
      <c r="I7045" s="237">
        <v>0</v>
      </c>
      <c r="J7045" s="237">
        <v>0</v>
      </c>
    </row>
    <row r="7046" spans="1:10" s="225" customFormat="1">
      <c r="A7046" s="222" t="s">
        <v>179</v>
      </c>
      <c r="B7046" s="222" t="s">
        <v>14</v>
      </c>
      <c r="C7046" s="236">
        <v>0.80833333333333302</v>
      </c>
      <c r="D7046" s="237">
        <v>0</v>
      </c>
      <c r="E7046" s="237">
        <v>0</v>
      </c>
      <c r="F7046" s="237">
        <v>0</v>
      </c>
      <c r="G7046" s="237">
        <v>0</v>
      </c>
      <c r="H7046" s="237">
        <v>0</v>
      </c>
      <c r="I7046" s="237">
        <v>0</v>
      </c>
      <c r="J7046" s="237">
        <v>0</v>
      </c>
    </row>
    <row r="7047" spans="1:10" s="225" customFormat="1">
      <c r="A7047" s="222" t="s">
        <v>179</v>
      </c>
      <c r="B7047" s="222" t="s">
        <v>14</v>
      </c>
      <c r="C7047" s="236">
        <v>0.80902777777777801</v>
      </c>
      <c r="D7047" s="237">
        <v>0</v>
      </c>
      <c r="E7047" s="237">
        <v>0</v>
      </c>
      <c r="F7047" s="237">
        <v>0</v>
      </c>
      <c r="G7047" s="237">
        <v>0</v>
      </c>
      <c r="H7047" s="237">
        <v>0</v>
      </c>
      <c r="I7047" s="237">
        <v>0</v>
      </c>
      <c r="J7047" s="237">
        <v>0</v>
      </c>
    </row>
    <row r="7048" spans="1:10" s="225" customFormat="1">
      <c r="A7048" s="222" t="s">
        <v>179</v>
      </c>
      <c r="B7048" s="222" t="s">
        <v>14</v>
      </c>
      <c r="C7048" s="236">
        <v>0.80972222222222201</v>
      </c>
      <c r="D7048" s="237">
        <v>0</v>
      </c>
      <c r="E7048" s="237">
        <v>0</v>
      </c>
      <c r="F7048" s="237">
        <v>0</v>
      </c>
      <c r="G7048" s="237">
        <v>0</v>
      </c>
      <c r="H7048" s="237">
        <v>0</v>
      </c>
      <c r="I7048" s="237">
        <v>0</v>
      </c>
      <c r="J7048" s="237">
        <v>0</v>
      </c>
    </row>
    <row r="7049" spans="1:10" s="225" customFormat="1">
      <c r="A7049" s="222" t="s">
        <v>179</v>
      </c>
      <c r="B7049" s="222" t="s">
        <v>14</v>
      </c>
      <c r="C7049" s="236">
        <v>0.81041666666666601</v>
      </c>
      <c r="D7049" s="237">
        <v>0</v>
      </c>
      <c r="E7049" s="237">
        <v>0</v>
      </c>
      <c r="F7049" s="237">
        <v>0</v>
      </c>
      <c r="G7049" s="237">
        <v>0</v>
      </c>
      <c r="H7049" s="237">
        <v>0</v>
      </c>
      <c r="I7049" s="237">
        <v>0</v>
      </c>
      <c r="J7049" s="237">
        <v>0</v>
      </c>
    </row>
    <row r="7050" spans="1:10" s="225" customFormat="1">
      <c r="A7050" s="222" t="s">
        <v>179</v>
      </c>
      <c r="B7050" s="222" t="s">
        <v>14</v>
      </c>
      <c r="C7050" s="236">
        <v>0.81111111111111101</v>
      </c>
      <c r="D7050" s="237">
        <v>0</v>
      </c>
      <c r="E7050" s="237">
        <v>0</v>
      </c>
      <c r="F7050" s="237">
        <v>0</v>
      </c>
      <c r="G7050" s="237">
        <v>0</v>
      </c>
      <c r="H7050" s="237">
        <v>0</v>
      </c>
      <c r="I7050" s="237">
        <v>0</v>
      </c>
      <c r="J7050" s="237">
        <v>0</v>
      </c>
    </row>
    <row r="7051" spans="1:10" s="229" customFormat="1">
      <c r="A7051" s="226" t="s">
        <v>179</v>
      </c>
      <c r="B7051" s="226" t="s">
        <v>14</v>
      </c>
      <c r="C7051" s="238">
        <v>0.811805555555555</v>
      </c>
      <c r="D7051" s="239">
        <v>0</v>
      </c>
      <c r="E7051" s="239">
        <v>0</v>
      </c>
      <c r="F7051" s="239">
        <v>0</v>
      </c>
      <c r="G7051" s="239">
        <v>0</v>
      </c>
      <c r="H7051" s="239">
        <v>0</v>
      </c>
      <c r="I7051" s="239">
        <v>0</v>
      </c>
      <c r="J7051" s="239">
        <v>0</v>
      </c>
    </row>
    <row r="7052" spans="1:10" s="225" customFormat="1">
      <c r="A7052" s="222" t="s">
        <v>179</v>
      </c>
      <c r="B7052" s="222" t="s">
        <v>14</v>
      </c>
      <c r="C7052" s="236">
        <v>0.8125</v>
      </c>
      <c r="D7052" s="237">
        <v>0</v>
      </c>
      <c r="E7052" s="237">
        <v>0</v>
      </c>
      <c r="F7052" s="237">
        <v>0</v>
      </c>
      <c r="G7052" s="237">
        <v>0</v>
      </c>
      <c r="H7052" s="237">
        <v>0</v>
      </c>
      <c r="I7052" s="237">
        <v>0</v>
      </c>
      <c r="J7052" s="237">
        <v>0</v>
      </c>
    </row>
    <row r="7053" spans="1:10" s="225" customFormat="1">
      <c r="A7053" s="222" t="s">
        <v>179</v>
      </c>
      <c r="B7053" s="222" t="s">
        <v>14</v>
      </c>
      <c r="C7053" s="236">
        <v>0.813194444444444</v>
      </c>
      <c r="D7053" s="237">
        <v>0</v>
      </c>
      <c r="E7053" s="237">
        <v>0</v>
      </c>
      <c r="F7053" s="237">
        <v>0</v>
      </c>
      <c r="G7053" s="237">
        <v>0</v>
      </c>
      <c r="H7053" s="237">
        <v>0</v>
      </c>
      <c r="I7053" s="237">
        <v>0</v>
      </c>
      <c r="J7053" s="237">
        <v>0</v>
      </c>
    </row>
    <row r="7054" spans="1:10" s="225" customFormat="1">
      <c r="A7054" s="222" t="s">
        <v>179</v>
      </c>
      <c r="B7054" s="222" t="s">
        <v>14</v>
      </c>
      <c r="C7054" s="236">
        <v>0.81388888888888899</v>
      </c>
      <c r="D7054" s="237">
        <v>0</v>
      </c>
      <c r="E7054" s="237">
        <v>0</v>
      </c>
      <c r="F7054" s="237">
        <v>0</v>
      </c>
      <c r="G7054" s="237">
        <v>0</v>
      </c>
      <c r="H7054" s="237">
        <v>0</v>
      </c>
      <c r="I7054" s="237">
        <v>0</v>
      </c>
      <c r="J7054" s="237">
        <v>0</v>
      </c>
    </row>
    <row r="7055" spans="1:10" s="225" customFormat="1">
      <c r="A7055" s="222" t="s">
        <v>179</v>
      </c>
      <c r="B7055" s="222" t="s">
        <v>14</v>
      </c>
      <c r="C7055" s="236">
        <v>0.81458333333333299</v>
      </c>
      <c r="D7055" s="237">
        <v>0</v>
      </c>
      <c r="E7055" s="237">
        <v>0</v>
      </c>
      <c r="F7055" s="237">
        <v>0</v>
      </c>
      <c r="G7055" s="237">
        <v>0</v>
      </c>
      <c r="H7055" s="237">
        <v>0</v>
      </c>
      <c r="I7055" s="237">
        <v>0</v>
      </c>
      <c r="J7055" s="237">
        <v>0</v>
      </c>
    </row>
    <row r="7056" spans="1:10" s="225" customFormat="1">
      <c r="A7056" s="222" t="s">
        <v>179</v>
      </c>
      <c r="B7056" s="222" t="s">
        <v>14</v>
      </c>
      <c r="C7056" s="236">
        <v>0.81527777777777799</v>
      </c>
      <c r="D7056" s="237">
        <v>0</v>
      </c>
      <c r="E7056" s="237">
        <v>0</v>
      </c>
      <c r="F7056" s="237">
        <v>0</v>
      </c>
      <c r="G7056" s="237">
        <v>0</v>
      </c>
      <c r="H7056" s="237">
        <v>0</v>
      </c>
      <c r="I7056" s="237">
        <v>0</v>
      </c>
      <c r="J7056" s="237">
        <v>0</v>
      </c>
    </row>
    <row r="7057" spans="1:10" s="225" customFormat="1">
      <c r="A7057" s="222" t="s">
        <v>179</v>
      </c>
      <c r="B7057" s="222" t="s">
        <v>14</v>
      </c>
      <c r="C7057" s="236">
        <v>0.81597222222222199</v>
      </c>
      <c r="D7057" s="237">
        <v>0</v>
      </c>
      <c r="E7057" s="237">
        <v>0</v>
      </c>
      <c r="F7057" s="237">
        <v>0</v>
      </c>
      <c r="G7057" s="237">
        <v>0</v>
      </c>
      <c r="H7057" s="237">
        <v>0</v>
      </c>
      <c r="I7057" s="237">
        <v>0</v>
      </c>
      <c r="J7057" s="237">
        <v>0</v>
      </c>
    </row>
    <row r="7058" spans="1:10" s="225" customFormat="1">
      <c r="A7058" s="222" t="s">
        <v>179</v>
      </c>
      <c r="B7058" s="222" t="s">
        <v>14</v>
      </c>
      <c r="C7058" s="236">
        <v>0.81666666666666599</v>
      </c>
      <c r="D7058" s="237">
        <v>0</v>
      </c>
      <c r="E7058" s="237">
        <v>0</v>
      </c>
      <c r="F7058" s="237">
        <v>0</v>
      </c>
      <c r="G7058" s="237">
        <v>0</v>
      </c>
      <c r="H7058" s="237">
        <v>0</v>
      </c>
      <c r="I7058" s="237">
        <v>0</v>
      </c>
      <c r="J7058" s="237">
        <v>0</v>
      </c>
    </row>
    <row r="7059" spans="1:10" s="225" customFormat="1">
      <c r="A7059" s="222" t="s">
        <v>179</v>
      </c>
      <c r="B7059" s="222" t="s">
        <v>14</v>
      </c>
      <c r="C7059" s="236">
        <v>0.81736111111111098</v>
      </c>
      <c r="D7059" s="237">
        <v>0</v>
      </c>
      <c r="E7059" s="237">
        <v>0</v>
      </c>
      <c r="F7059" s="237">
        <v>0</v>
      </c>
      <c r="G7059" s="237">
        <v>0</v>
      </c>
      <c r="H7059" s="237">
        <v>0</v>
      </c>
      <c r="I7059" s="237">
        <v>0</v>
      </c>
      <c r="J7059" s="237">
        <v>0</v>
      </c>
    </row>
    <row r="7060" spans="1:10" s="225" customFormat="1">
      <c r="A7060" s="222" t="s">
        <v>179</v>
      </c>
      <c r="B7060" s="222" t="s">
        <v>14</v>
      </c>
      <c r="C7060" s="236">
        <v>0.81805555555555498</v>
      </c>
      <c r="D7060" s="237">
        <v>0</v>
      </c>
      <c r="E7060" s="237">
        <v>0</v>
      </c>
      <c r="F7060" s="237">
        <v>0</v>
      </c>
      <c r="G7060" s="237">
        <v>0</v>
      </c>
      <c r="H7060" s="237">
        <v>0</v>
      </c>
      <c r="I7060" s="237">
        <v>0</v>
      </c>
      <c r="J7060" s="237">
        <v>0</v>
      </c>
    </row>
    <row r="7061" spans="1:10" s="225" customFormat="1">
      <c r="A7061" s="222" t="s">
        <v>179</v>
      </c>
      <c r="B7061" s="222" t="s">
        <v>14</v>
      </c>
      <c r="C7061" s="236">
        <v>0.81874999999999998</v>
      </c>
      <c r="D7061" s="237">
        <v>0</v>
      </c>
      <c r="E7061" s="237">
        <v>0</v>
      </c>
      <c r="F7061" s="237">
        <v>0</v>
      </c>
      <c r="G7061" s="237">
        <v>0</v>
      </c>
      <c r="H7061" s="237">
        <v>0</v>
      </c>
      <c r="I7061" s="237">
        <v>0</v>
      </c>
      <c r="J7061" s="237">
        <v>0</v>
      </c>
    </row>
    <row r="7062" spans="1:10" s="225" customFormat="1">
      <c r="A7062" s="222" t="s">
        <v>179</v>
      </c>
      <c r="B7062" s="222" t="s">
        <v>14</v>
      </c>
      <c r="C7062" s="236">
        <v>0.81944444444444398</v>
      </c>
      <c r="D7062" s="237">
        <v>0</v>
      </c>
      <c r="E7062" s="237">
        <v>0</v>
      </c>
      <c r="F7062" s="237">
        <v>0</v>
      </c>
      <c r="G7062" s="237">
        <v>0</v>
      </c>
      <c r="H7062" s="237">
        <v>0</v>
      </c>
      <c r="I7062" s="237">
        <v>0</v>
      </c>
      <c r="J7062" s="237">
        <v>0</v>
      </c>
    </row>
    <row r="7063" spans="1:10" s="225" customFormat="1">
      <c r="A7063" s="222" t="s">
        <v>179</v>
      </c>
      <c r="B7063" s="222" t="s">
        <v>14</v>
      </c>
      <c r="C7063" s="236">
        <v>0.82013888888888897</v>
      </c>
      <c r="D7063" s="237">
        <v>0</v>
      </c>
      <c r="E7063" s="237">
        <v>0</v>
      </c>
      <c r="F7063" s="237">
        <v>0</v>
      </c>
      <c r="G7063" s="237">
        <v>0</v>
      </c>
      <c r="H7063" s="237">
        <v>0</v>
      </c>
      <c r="I7063" s="237">
        <v>0</v>
      </c>
      <c r="J7063" s="237">
        <v>0</v>
      </c>
    </row>
    <row r="7064" spans="1:10" s="225" customFormat="1">
      <c r="A7064" s="222" t="s">
        <v>179</v>
      </c>
      <c r="B7064" s="222" t="s">
        <v>14</v>
      </c>
      <c r="C7064" s="236">
        <v>0.82083333333333297</v>
      </c>
      <c r="D7064" s="237">
        <v>0</v>
      </c>
      <c r="E7064" s="237">
        <v>0</v>
      </c>
      <c r="F7064" s="237">
        <v>0</v>
      </c>
      <c r="G7064" s="237">
        <v>0</v>
      </c>
      <c r="H7064" s="237">
        <v>0</v>
      </c>
      <c r="I7064" s="237">
        <v>0</v>
      </c>
      <c r="J7064" s="237">
        <v>0</v>
      </c>
    </row>
    <row r="7065" spans="1:10" s="225" customFormat="1">
      <c r="A7065" s="222" t="s">
        <v>179</v>
      </c>
      <c r="B7065" s="222" t="s">
        <v>14</v>
      </c>
      <c r="C7065" s="236">
        <v>0.82152777777777797</v>
      </c>
      <c r="D7065" s="237">
        <v>0</v>
      </c>
      <c r="E7065" s="237">
        <v>0</v>
      </c>
      <c r="F7065" s="237">
        <v>0</v>
      </c>
      <c r="G7065" s="237">
        <v>0</v>
      </c>
      <c r="H7065" s="237">
        <v>0</v>
      </c>
      <c r="I7065" s="237">
        <v>0</v>
      </c>
      <c r="J7065" s="237">
        <v>0</v>
      </c>
    </row>
    <row r="7066" spans="1:10" s="229" customFormat="1">
      <c r="A7066" s="226" t="s">
        <v>179</v>
      </c>
      <c r="B7066" s="226" t="s">
        <v>14</v>
      </c>
      <c r="C7066" s="238">
        <v>0.82222222222222197</v>
      </c>
      <c r="D7066" s="239">
        <v>0</v>
      </c>
      <c r="E7066" s="239">
        <v>0</v>
      </c>
      <c r="F7066" s="239">
        <v>0</v>
      </c>
      <c r="G7066" s="239">
        <v>0</v>
      </c>
      <c r="H7066" s="239">
        <v>0</v>
      </c>
      <c r="I7066" s="239">
        <v>0</v>
      </c>
      <c r="J7066" s="239">
        <v>0</v>
      </c>
    </row>
    <row r="7067" spans="1:10" s="225" customFormat="1">
      <c r="A7067" s="222" t="s">
        <v>179</v>
      </c>
      <c r="B7067" s="222" t="s">
        <v>14</v>
      </c>
      <c r="C7067" s="236">
        <v>0.82291666666666596</v>
      </c>
      <c r="D7067" s="237">
        <v>0</v>
      </c>
      <c r="E7067" s="237">
        <v>0</v>
      </c>
      <c r="F7067" s="237">
        <v>0</v>
      </c>
      <c r="G7067" s="237">
        <v>0</v>
      </c>
      <c r="H7067" s="237">
        <v>0</v>
      </c>
      <c r="I7067" s="237">
        <v>0</v>
      </c>
      <c r="J7067" s="237">
        <v>0</v>
      </c>
    </row>
    <row r="7068" spans="1:10" s="225" customFormat="1">
      <c r="A7068" s="222" t="s">
        <v>179</v>
      </c>
      <c r="B7068" s="222" t="s">
        <v>14</v>
      </c>
      <c r="C7068" s="236">
        <v>0.82361111111111096</v>
      </c>
      <c r="D7068" s="237">
        <v>0</v>
      </c>
      <c r="E7068" s="237">
        <v>0</v>
      </c>
      <c r="F7068" s="237">
        <v>0</v>
      </c>
      <c r="G7068" s="237">
        <v>0</v>
      </c>
      <c r="H7068" s="237">
        <v>0</v>
      </c>
      <c r="I7068" s="237">
        <v>0</v>
      </c>
      <c r="J7068" s="237">
        <v>0</v>
      </c>
    </row>
    <row r="7069" spans="1:10" s="225" customFormat="1">
      <c r="A7069" s="222" t="s">
        <v>179</v>
      </c>
      <c r="B7069" s="222" t="s">
        <v>14</v>
      </c>
      <c r="C7069" s="236">
        <v>0.82430555555555496</v>
      </c>
      <c r="D7069" s="237">
        <v>0</v>
      </c>
      <c r="E7069" s="237">
        <v>0</v>
      </c>
      <c r="F7069" s="237">
        <v>0</v>
      </c>
      <c r="G7069" s="237">
        <v>0</v>
      </c>
      <c r="H7069" s="237">
        <v>0</v>
      </c>
      <c r="I7069" s="237">
        <v>0</v>
      </c>
      <c r="J7069" s="237">
        <v>0</v>
      </c>
    </row>
    <row r="7070" spans="1:10" s="225" customFormat="1">
      <c r="A7070" s="222" t="s">
        <v>179</v>
      </c>
      <c r="B7070" s="222" t="s">
        <v>14</v>
      </c>
      <c r="C7070" s="236">
        <v>0.82499999999999996</v>
      </c>
      <c r="D7070" s="237">
        <v>0</v>
      </c>
      <c r="E7070" s="237">
        <v>0</v>
      </c>
      <c r="F7070" s="237">
        <v>0</v>
      </c>
      <c r="G7070" s="237">
        <v>0</v>
      </c>
      <c r="H7070" s="237">
        <v>0</v>
      </c>
      <c r="I7070" s="237">
        <v>0</v>
      </c>
      <c r="J7070" s="237">
        <v>0</v>
      </c>
    </row>
    <row r="7071" spans="1:10" s="225" customFormat="1">
      <c r="A7071" s="222" t="s">
        <v>179</v>
      </c>
      <c r="B7071" s="222" t="s">
        <v>14</v>
      </c>
      <c r="C7071" s="236">
        <v>0.82569444444444395</v>
      </c>
      <c r="D7071" s="237">
        <v>0</v>
      </c>
      <c r="E7071" s="237">
        <v>0</v>
      </c>
      <c r="F7071" s="237">
        <v>0</v>
      </c>
      <c r="G7071" s="237">
        <v>0</v>
      </c>
      <c r="H7071" s="237">
        <v>0</v>
      </c>
      <c r="I7071" s="237">
        <v>0</v>
      </c>
      <c r="J7071" s="237">
        <v>0</v>
      </c>
    </row>
    <row r="7072" spans="1:10" s="225" customFormat="1">
      <c r="A7072" s="222" t="s">
        <v>179</v>
      </c>
      <c r="B7072" s="222" t="s">
        <v>14</v>
      </c>
      <c r="C7072" s="236">
        <v>0.82638888888888895</v>
      </c>
      <c r="D7072" s="237">
        <v>0</v>
      </c>
      <c r="E7072" s="237">
        <v>0</v>
      </c>
      <c r="F7072" s="237">
        <v>0</v>
      </c>
      <c r="G7072" s="237">
        <v>0</v>
      </c>
      <c r="H7072" s="237">
        <v>0</v>
      </c>
      <c r="I7072" s="237">
        <v>0</v>
      </c>
      <c r="J7072" s="237">
        <v>0</v>
      </c>
    </row>
    <row r="7073" spans="1:10" s="225" customFormat="1">
      <c r="A7073" s="222" t="s">
        <v>179</v>
      </c>
      <c r="B7073" s="222" t="s">
        <v>14</v>
      </c>
      <c r="C7073" s="236">
        <v>0.82708333333333295</v>
      </c>
      <c r="D7073" s="237">
        <v>0</v>
      </c>
      <c r="E7073" s="237">
        <v>0</v>
      </c>
      <c r="F7073" s="237">
        <v>0</v>
      </c>
      <c r="G7073" s="237">
        <v>0</v>
      </c>
      <c r="H7073" s="237">
        <v>0</v>
      </c>
      <c r="I7073" s="237">
        <v>0</v>
      </c>
      <c r="J7073" s="237">
        <v>0</v>
      </c>
    </row>
    <row r="7074" spans="1:10" s="225" customFormat="1">
      <c r="A7074" s="222" t="s">
        <v>179</v>
      </c>
      <c r="B7074" s="222" t="s">
        <v>14</v>
      </c>
      <c r="C7074" s="236">
        <v>0.82777777777777795</v>
      </c>
      <c r="D7074" s="237">
        <v>0</v>
      </c>
      <c r="E7074" s="237">
        <v>0</v>
      </c>
      <c r="F7074" s="237">
        <v>0</v>
      </c>
      <c r="G7074" s="237">
        <v>0</v>
      </c>
      <c r="H7074" s="237">
        <v>0</v>
      </c>
      <c r="I7074" s="237">
        <v>0</v>
      </c>
      <c r="J7074" s="237">
        <v>0</v>
      </c>
    </row>
    <row r="7075" spans="1:10" s="225" customFormat="1">
      <c r="A7075" s="222" t="s">
        <v>179</v>
      </c>
      <c r="B7075" s="222" t="s">
        <v>14</v>
      </c>
      <c r="C7075" s="236">
        <v>0.82847222222222205</v>
      </c>
      <c r="D7075" s="237">
        <v>0</v>
      </c>
      <c r="E7075" s="237">
        <v>0</v>
      </c>
      <c r="F7075" s="237">
        <v>0</v>
      </c>
      <c r="G7075" s="237">
        <v>0</v>
      </c>
      <c r="H7075" s="237">
        <v>0</v>
      </c>
      <c r="I7075" s="237">
        <v>0</v>
      </c>
      <c r="J7075" s="237">
        <v>0</v>
      </c>
    </row>
    <row r="7076" spans="1:10" s="225" customFormat="1">
      <c r="A7076" s="222" t="s">
        <v>179</v>
      </c>
      <c r="B7076" s="222" t="s">
        <v>14</v>
      </c>
      <c r="C7076" s="236">
        <v>0.82916666666666605</v>
      </c>
      <c r="D7076" s="237">
        <v>0</v>
      </c>
      <c r="E7076" s="237">
        <v>0</v>
      </c>
      <c r="F7076" s="237">
        <v>0</v>
      </c>
      <c r="G7076" s="237">
        <v>0</v>
      </c>
      <c r="H7076" s="237">
        <v>0</v>
      </c>
      <c r="I7076" s="237">
        <v>0</v>
      </c>
      <c r="J7076" s="237">
        <v>0</v>
      </c>
    </row>
    <row r="7077" spans="1:10" s="225" customFormat="1">
      <c r="A7077" s="222" t="s">
        <v>179</v>
      </c>
      <c r="B7077" s="222" t="s">
        <v>14</v>
      </c>
      <c r="C7077" s="236">
        <v>0.82986111111111105</v>
      </c>
      <c r="D7077" s="237">
        <v>0</v>
      </c>
      <c r="E7077" s="237">
        <v>0</v>
      </c>
      <c r="F7077" s="237">
        <v>0</v>
      </c>
      <c r="G7077" s="237">
        <v>0</v>
      </c>
      <c r="H7077" s="237">
        <v>0</v>
      </c>
      <c r="I7077" s="237">
        <v>0</v>
      </c>
      <c r="J7077" s="237">
        <v>0</v>
      </c>
    </row>
    <row r="7078" spans="1:10" s="225" customFormat="1">
      <c r="A7078" s="222" t="s">
        <v>179</v>
      </c>
      <c r="B7078" s="222" t="s">
        <v>14</v>
      </c>
      <c r="C7078" s="236">
        <v>0.83055555555555505</v>
      </c>
      <c r="D7078" s="237">
        <v>0</v>
      </c>
      <c r="E7078" s="237">
        <v>0</v>
      </c>
      <c r="F7078" s="237">
        <v>0</v>
      </c>
      <c r="G7078" s="237">
        <v>0</v>
      </c>
      <c r="H7078" s="237">
        <v>0</v>
      </c>
      <c r="I7078" s="237">
        <v>0</v>
      </c>
      <c r="J7078" s="237">
        <v>0</v>
      </c>
    </row>
    <row r="7079" spans="1:10" s="225" customFormat="1">
      <c r="A7079" s="222" t="s">
        <v>179</v>
      </c>
      <c r="B7079" s="222" t="s">
        <v>14</v>
      </c>
      <c r="C7079" s="236">
        <v>0.83125000000000004</v>
      </c>
      <c r="D7079" s="237">
        <v>0</v>
      </c>
      <c r="E7079" s="237">
        <v>0</v>
      </c>
      <c r="F7079" s="237">
        <v>0</v>
      </c>
      <c r="G7079" s="237">
        <v>0</v>
      </c>
      <c r="H7079" s="237">
        <v>0</v>
      </c>
      <c r="I7079" s="237">
        <v>0</v>
      </c>
      <c r="J7079" s="237">
        <v>0</v>
      </c>
    </row>
    <row r="7080" spans="1:10" s="225" customFormat="1">
      <c r="A7080" s="222" t="s">
        <v>179</v>
      </c>
      <c r="B7080" s="222" t="s">
        <v>14</v>
      </c>
      <c r="C7080" s="236">
        <v>0.83194444444444404</v>
      </c>
      <c r="D7080" s="237">
        <v>0</v>
      </c>
      <c r="E7080" s="237">
        <v>0</v>
      </c>
      <c r="F7080" s="237">
        <v>0</v>
      </c>
      <c r="G7080" s="237">
        <v>0</v>
      </c>
      <c r="H7080" s="237">
        <v>0</v>
      </c>
      <c r="I7080" s="237">
        <v>0</v>
      </c>
      <c r="J7080" s="237">
        <v>0</v>
      </c>
    </row>
    <row r="7081" spans="1:10" s="235" customFormat="1" ht="17.5" thickBot="1">
      <c r="A7081" s="232" t="s">
        <v>179</v>
      </c>
      <c r="B7081" s="232" t="s">
        <v>14</v>
      </c>
      <c r="C7081" s="240">
        <v>0.83263888888888904</v>
      </c>
      <c r="D7081" s="241">
        <v>0</v>
      </c>
      <c r="E7081" s="241">
        <v>0</v>
      </c>
      <c r="F7081" s="241">
        <v>0</v>
      </c>
      <c r="G7081" s="241">
        <v>0</v>
      </c>
      <c r="H7081" s="241">
        <v>0</v>
      </c>
      <c r="I7081" s="241">
        <v>0</v>
      </c>
      <c r="J7081" s="241">
        <v>0</v>
      </c>
    </row>
    <row r="7082" spans="1:10" s="225" customFormat="1">
      <c r="A7082" s="222" t="s">
        <v>179</v>
      </c>
      <c r="B7082" s="222" t="s">
        <v>124</v>
      </c>
      <c r="C7082" s="236">
        <v>0.66666666666666663</v>
      </c>
      <c r="D7082" s="242">
        <v>0</v>
      </c>
      <c r="E7082" s="242">
        <v>0</v>
      </c>
      <c r="F7082" s="242">
        <v>0</v>
      </c>
      <c r="G7082" s="242">
        <v>0</v>
      </c>
      <c r="H7082" s="242">
        <v>0</v>
      </c>
      <c r="I7082" s="242">
        <v>0</v>
      </c>
      <c r="J7082" s="242">
        <v>0</v>
      </c>
    </row>
    <row r="7083" spans="1:10" s="225" customFormat="1">
      <c r="A7083" s="222" t="s">
        <v>179</v>
      </c>
      <c r="B7083" s="222" t="s">
        <v>123</v>
      </c>
      <c r="C7083" s="236">
        <v>0.66736111111111107</v>
      </c>
      <c r="D7083" s="237">
        <v>0</v>
      </c>
      <c r="E7083" s="237">
        <v>0</v>
      </c>
      <c r="F7083" s="237">
        <v>0</v>
      </c>
      <c r="G7083" s="237">
        <v>0</v>
      </c>
      <c r="H7083" s="237">
        <v>0</v>
      </c>
      <c r="I7083" s="237">
        <v>0</v>
      </c>
      <c r="J7083" s="237">
        <v>0</v>
      </c>
    </row>
    <row r="7084" spans="1:10" s="225" customFormat="1">
      <c r="A7084" s="222" t="s">
        <v>179</v>
      </c>
      <c r="B7084" s="222" t="s">
        <v>123</v>
      </c>
      <c r="C7084" s="236">
        <v>0.66805555555555596</v>
      </c>
      <c r="D7084" s="237">
        <v>0</v>
      </c>
      <c r="E7084" s="237">
        <v>0</v>
      </c>
      <c r="F7084" s="237">
        <v>0</v>
      </c>
      <c r="G7084" s="237">
        <v>0</v>
      </c>
      <c r="H7084" s="237">
        <v>0</v>
      </c>
      <c r="I7084" s="237">
        <v>0</v>
      </c>
      <c r="J7084" s="237">
        <v>0</v>
      </c>
    </row>
    <row r="7085" spans="1:10" s="225" customFormat="1">
      <c r="A7085" s="222" t="s">
        <v>179</v>
      </c>
      <c r="B7085" s="222" t="s">
        <v>123</v>
      </c>
      <c r="C7085" s="236">
        <v>0.66874999999999996</v>
      </c>
      <c r="D7085" s="237">
        <v>0</v>
      </c>
      <c r="E7085" s="237">
        <v>0</v>
      </c>
      <c r="F7085" s="237">
        <v>0</v>
      </c>
      <c r="G7085" s="237">
        <v>0</v>
      </c>
      <c r="H7085" s="237">
        <v>0</v>
      </c>
      <c r="I7085" s="237">
        <v>0</v>
      </c>
      <c r="J7085" s="237">
        <v>0</v>
      </c>
    </row>
    <row r="7086" spans="1:10" s="225" customFormat="1">
      <c r="A7086" s="222" t="s">
        <v>179</v>
      </c>
      <c r="B7086" s="222" t="s">
        <v>123</v>
      </c>
      <c r="C7086" s="236">
        <v>0.66944444444444395</v>
      </c>
      <c r="D7086" s="237">
        <v>0</v>
      </c>
      <c r="E7086" s="237">
        <v>0</v>
      </c>
      <c r="F7086" s="237">
        <v>0</v>
      </c>
      <c r="G7086" s="237">
        <v>0</v>
      </c>
      <c r="H7086" s="237">
        <v>0</v>
      </c>
      <c r="I7086" s="237">
        <v>0</v>
      </c>
      <c r="J7086" s="237">
        <v>0</v>
      </c>
    </row>
    <row r="7087" spans="1:10" s="225" customFormat="1">
      <c r="A7087" s="222" t="s">
        <v>179</v>
      </c>
      <c r="B7087" s="222" t="s">
        <v>123</v>
      </c>
      <c r="C7087" s="236">
        <v>0.67013888888888895</v>
      </c>
      <c r="D7087" s="237">
        <v>0</v>
      </c>
      <c r="E7087" s="237">
        <v>0</v>
      </c>
      <c r="F7087" s="237">
        <v>0</v>
      </c>
      <c r="G7087" s="237">
        <v>0</v>
      </c>
      <c r="H7087" s="237">
        <v>0</v>
      </c>
      <c r="I7087" s="237">
        <v>0</v>
      </c>
      <c r="J7087" s="237">
        <v>0</v>
      </c>
    </row>
    <row r="7088" spans="1:10" s="225" customFormat="1">
      <c r="A7088" s="222" t="s">
        <v>179</v>
      </c>
      <c r="B7088" s="222" t="s">
        <v>123</v>
      </c>
      <c r="C7088" s="236">
        <v>0.67083333333333295</v>
      </c>
      <c r="D7088" s="237">
        <v>0</v>
      </c>
      <c r="E7088" s="237">
        <v>0</v>
      </c>
      <c r="F7088" s="237">
        <v>0</v>
      </c>
      <c r="G7088" s="237">
        <v>0</v>
      </c>
      <c r="H7088" s="237">
        <v>0</v>
      </c>
      <c r="I7088" s="237">
        <v>0</v>
      </c>
      <c r="J7088" s="237">
        <v>0</v>
      </c>
    </row>
    <row r="7089" spans="1:10" s="225" customFormat="1">
      <c r="A7089" s="222" t="s">
        <v>179</v>
      </c>
      <c r="B7089" s="222" t="s">
        <v>123</v>
      </c>
      <c r="C7089" s="236">
        <v>0.67152777777777795</v>
      </c>
      <c r="D7089" s="237">
        <v>0</v>
      </c>
      <c r="E7089" s="237">
        <v>0</v>
      </c>
      <c r="F7089" s="237">
        <v>0</v>
      </c>
      <c r="G7089" s="237">
        <v>0</v>
      </c>
      <c r="H7089" s="237">
        <v>0</v>
      </c>
      <c r="I7089" s="237">
        <v>0</v>
      </c>
      <c r="J7089" s="237">
        <v>0</v>
      </c>
    </row>
    <row r="7090" spans="1:10" s="225" customFormat="1">
      <c r="A7090" s="222" t="s">
        <v>179</v>
      </c>
      <c r="B7090" s="222" t="s">
        <v>123</v>
      </c>
      <c r="C7090" s="236">
        <v>0.67222222222222205</v>
      </c>
      <c r="D7090" s="237">
        <v>0</v>
      </c>
      <c r="E7090" s="237">
        <v>0</v>
      </c>
      <c r="F7090" s="237">
        <v>0</v>
      </c>
      <c r="G7090" s="237">
        <v>0</v>
      </c>
      <c r="H7090" s="237">
        <v>0</v>
      </c>
      <c r="I7090" s="237">
        <v>0</v>
      </c>
      <c r="J7090" s="237">
        <v>0</v>
      </c>
    </row>
    <row r="7091" spans="1:10" s="225" customFormat="1">
      <c r="A7091" s="222" t="s">
        <v>179</v>
      </c>
      <c r="B7091" s="222" t="s">
        <v>123</v>
      </c>
      <c r="C7091" s="236">
        <v>0.67291666666666705</v>
      </c>
      <c r="D7091" s="237">
        <v>0</v>
      </c>
      <c r="E7091" s="237">
        <v>0</v>
      </c>
      <c r="F7091" s="237">
        <v>0</v>
      </c>
      <c r="G7091" s="237">
        <v>0</v>
      </c>
      <c r="H7091" s="237">
        <v>0</v>
      </c>
      <c r="I7091" s="237">
        <v>0</v>
      </c>
      <c r="J7091" s="237">
        <v>0</v>
      </c>
    </row>
    <row r="7092" spans="1:10" s="225" customFormat="1">
      <c r="A7092" s="222" t="s">
        <v>179</v>
      </c>
      <c r="B7092" s="222" t="s">
        <v>123</v>
      </c>
      <c r="C7092" s="236">
        <v>0.67361111111111105</v>
      </c>
      <c r="D7092" s="237">
        <v>0</v>
      </c>
      <c r="E7092" s="237">
        <v>0</v>
      </c>
      <c r="F7092" s="237">
        <v>0</v>
      </c>
      <c r="G7092" s="237">
        <v>0</v>
      </c>
      <c r="H7092" s="237">
        <v>0</v>
      </c>
      <c r="I7092" s="237">
        <v>0</v>
      </c>
      <c r="J7092" s="237">
        <v>0</v>
      </c>
    </row>
    <row r="7093" spans="1:10" s="225" customFormat="1">
      <c r="A7093" s="222" t="s">
        <v>179</v>
      </c>
      <c r="B7093" s="222" t="s">
        <v>123</v>
      </c>
      <c r="C7093" s="236">
        <v>0.67430555555555505</v>
      </c>
      <c r="D7093" s="237">
        <v>0</v>
      </c>
      <c r="E7093" s="237">
        <v>0</v>
      </c>
      <c r="F7093" s="237">
        <v>0</v>
      </c>
      <c r="G7093" s="237">
        <v>0</v>
      </c>
      <c r="H7093" s="237">
        <v>0</v>
      </c>
      <c r="I7093" s="237">
        <v>0</v>
      </c>
      <c r="J7093" s="237">
        <v>0</v>
      </c>
    </row>
    <row r="7094" spans="1:10" s="225" customFormat="1">
      <c r="A7094" s="222" t="s">
        <v>179</v>
      </c>
      <c r="B7094" s="222" t="s">
        <v>123</v>
      </c>
      <c r="C7094" s="236">
        <v>0.67500000000000004</v>
      </c>
      <c r="D7094" s="237">
        <v>0</v>
      </c>
      <c r="E7094" s="237">
        <v>0</v>
      </c>
      <c r="F7094" s="237">
        <v>0</v>
      </c>
      <c r="G7094" s="237">
        <v>0</v>
      </c>
      <c r="H7094" s="237">
        <v>0</v>
      </c>
      <c r="I7094" s="237">
        <v>0</v>
      </c>
      <c r="J7094" s="237">
        <v>0</v>
      </c>
    </row>
    <row r="7095" spans="1:10" s="225" customFormat="1">
      <c r="A7095" s="222" t="s">
        <v>179</v>
      </c>
      <c r="B7095" s="222" t="s">
        <v>123</v>
      </c>
      <c r="C7095" s="236">
        <v>0.67569444444444404</v>
      </c>
      <c r="D7095" s="237">
        <v>0</v>
      </c>
      <c r="E7095" s="237">
        <v>0</v>
      </c>
      <c r="F7095" s="237">
        <v>0</v>
      </c>
      <c r="G7095" s="237">
        <v>0</v>
      </c>
      <c r="H7095" s="237">
        <v>0</v>
      </c>
      <c r="I7095" s="237">
        <v>0</v>
      </c>
      <c r="J7095" s="237">
        <v>0</v>
      </c>
    </row>
    <row r="7096" spans="1:10" s="229" customFormat="1">
      <c r="A7096" s="226" t="s">
        <v>179</v>
      </c>
      <c r="B7096" s="226" t="s">
        <v>123</v>
      </c>
      <c r="C7096" s="238">
        <v>0.67638888888888904</v>
      </c>
      <c r="D7096" s="239">
        <v>0</v>
      </c>
      <c r="E7096" s="239">
        <v>0</v>
      </c>
      <c r="F7096" s="239">
        <v>0</v>
      </c>
      <c r="G7096" s="239">
        <v>0</v>
      </c>
      <c r="H7096" s="239">
        <v>0</v>
      </c>
      <c r="I7096" s="239">
        <v>0</v>
      </c>
      <c r="J7096" s="239">
        <v>0</v>
      </c>
    </row>
    <row r="7097" spans="1:10" s="225" customFormat="1">
      <c r="A7097" s="222" t="s">
        <v>179</v>
      </c>
      <c r="B7097" s="222" t="s">
        <v>123</v>
      </c>
      <c r="C7097" s="236">
        <v>0.67708333333333304</v>
      </c>
      <c r="D7097" s="237">
        <v>0</v>
      </c>
      <c r="E7097" s="237">
        <v>0</v>
      </c>
      <c r="F7097" s="237">
        <v>0</v>
      </c>
      <c r="G7097" s="237">
        <v>0</v>
      </c>
      <c r="H7097" s="237">
        <v>0</v>
      </c>
      <c r="I7097" s="237">
        <v>0</v>
      </c>
      <c r="J7097" s="237">
        <v>0</v>
      </c>
    </row>
    <row r="7098" spans="1:10" s="225" customFormat="1">
      <c r="A7098" s="222" t="s">
        <v>179</v>
      </c>
      <c r="B7098" s="222" t="s">
        <v>123</v>
      </c>
      <c r="C7098" s="236">
        <v>0.67777777777777803</v>
      </c>
      <c r="D7098" s="237">
        <v>0</v>
      </c>
      <c r="E7098" s="237">
        <v>0</v>
      </c>
      <c r="F7098" s="237">
        <v>0</v>
      </c>
      <c r="G7098" s="237">
        <v>0</v>
      </c>
      <c r="H7098" s="237">
        <v>0</v>
      </c>
      <c r="I7098" s="237">
        <v>0</v>
      </c>
      <c r="J7098" s="237">
        <v>0</v>
      </c>
    </row>
    <row r="7099" spans="1:10" s="225" customFormat="1">
      <c r="A7099" s="222" t="s">
        <v>179</v>
      </c>
      <c r="B7099" s="222" t="s">
        <v>123</v>
      </c>
      <c r="C7099" s="236">
        <v>0.67847222222222203</v>
      </c>
      <c r="D7099" s="237">
        <v>0</v>
      </c>
      <c r="E7099" s="237">
        <v>0</v>
      </c>
      <c r="F7099" s="237">
        <v>0</v>
      </c>
      <c r="G7099" s="237">
        <v>0</v>
      </c>
      <c r="H7099" s="237">
        <v>0</v>
      </c>
      <c r="I7099" s="237">
        <v>0</v>
      </c>
      <c r="J7099" s="237">
        <v>0</v>
      </c>
    </row>
    <row r="7100" spans="1:10" s="225" customFormat="1">
      <c r="A7100" s="222" t="s">
        <v>179</v>
      </c>
      <c r="B7100" s="222" t="s">
        <v>123</v>
      </c>
      <c r="C7100" s="236">
        <v>0.67916666666666703</v>
      </c>
      <c r="D7100" s="237">
        <v>0</v>
      </c>
      <c r="E7100" s="237">
        <v>0</v>
      </c>
      <c r="F7100" s="237">
        <v>0</v>
      </c>
      <c r="G7100" s="237">
        <v>0</v>
      </c>
      <c r="H7100" s="237">
        <v>0</v>
      </c>
      <c r="I7100" s="237">
        <v>0</v>
      </c>
      <c r="J7100" s="237">
        <v>0</v>
      </c>
    </row>
    <row r="7101" spans="1:10" s="225" customFormat="1">
      <c r="A7101" s="222" t="s">
        <v>179</v>
      </c>
      <c r="B7101" s="222" t="s">
        <v>123</v>
      </c>
      <c r="C7101" s="236">
        <v>0.67986111111111103</v>
      </c>
      <c r="D7101" s="237">
        <v>0</v>
      </c>
      <c r="E7101" s="237">
        <v>0</v>
      </c>
      <c r="F7101" s="237">
        <v>0</v>
      </c>
      <c r="G7101" s="237">
        <v>0</v>
      </c>
      <c r="H7101" s="237">
        <v>0</v>
      </c>
      <c r="I7101" s="237">
        <v>0</v>
      </c>
      <c r="J7101" s="237">
        <v>0</v>
      </c>
    </row>
    <row r="7102" spans="1:10" s="225" customFormat="1">
      <c r="A7102" s="222" t="s">
        <v>179</v>
      </c>
      <c r="B7102" s="222" t="s">
        <v>123</v>
      </c>
      <c r="C7102" s="236">
        <v>0.68055555555555503</v>
      </c>
      <c r="D7102" s="237">
        <v>0</v>
      </c>
      <c r="E7102" s="237">
        <v>0</v>
      </c>
      <c r="F7102" s="237">
        <v>0</v>
      </c>
      <c r="G7102" s="237">
        <v>0</v>
      </c>
      <c r="H7102" s="237">
        <v>0</v>
      </c>
      <c r="I7102" s="237">
        <v>0</v>
      </c>
      <c r="J7102" s="237">
        <v>0</v>
      </c>
    </row>
    <row r="7103" spans="1:10" s="225" customFormat="1">
      <c r="A7103" s="222" t="s">
        <v>179</v>
      </c>
      <c r="B7103" s="222" t="s">
        <v>123</v>
      </c>
      <c r="C7103" s="236">
        <v>0.68125000000000002</v>
      </c>
      <c r="D7103" s="237">
        <v>0</v>
      </c>
      <c r="E7103" s="237">
        <v>0</v>
      </c>
      <c r="F7103" s="237">
        <v>0</v>
      </c>
      <c r="G7103" s="237">
        <v>0</v>
      </c>
      <c r="H7103" s="237">
        <v>0</v>
      </c>
      <c r="I7103" s="237">
        <v>0</v>
      </c>
      <c r="J7103" s="237">
        <v>0</v>
      </c>
    </row>
    <row r="7104" spans="1:10" s="225" customFormat="1">
      <c r="A7104" s="222" t="s">
        <v>179</v>
      </c>
      <c r="B7104" s="222" t="s">
        <v>123</v>
      </c>
      <c r="C7104" s="236">
        <v>0.68194444444444402</v>
      </c>
      <c r="D7104" s="237">
        <v>0</v>
      </c>
      <c r="E7104" s="237">
        <v>0</v>
      </c>
      <c r="F7104" s="237">
        <v>0</v>
      </c>
      <c r="G7104" s="237">
        <v>0</v>
      </c>
      <c r="H7104" s="237">
        <v>0</v>
      </c>
      <c r="I7104" s="237">
        <v>0</v>
      </c>
      <c r="J7104" s="237">
        <v>0</v>
      </c>
    </row>
    <row r="7105" spans="1:10" s="225" customFormat="1">
      <c r="A7105" s="222" t="s">
        <v>179</v>
      </c>
      <c r="B7105" s="222" t="s">
        <v>123</v>
      </c>
      <c r="C7105" s="236">
        <v>0.68263888888888902</v>
      </c>
      <c r="D7105" s="237">
        <v>0</v>
      </c>
      <c r="E7105" s="237">
        <v>0</v>
      </c>
      <c r="F7105" s="237">
        <v>0</v>
      </c>
      <c r="G7105" s="237">
        <v>0</v>
      </c>
      <c r="H7105" s="237">
        <v>0</v>
      </c>
      <c r="I7105" s="237">
        <v>0</v>
      </c>
      <c r="J7105" s="237">
        <v>0</v>
      </c>
    </row>
    <row r="7106" spans="1:10" s="225" customFormat="1">
      <c r="A7106" s="222" t="s">
        <v>179</v>
      </c>
      <c r="B7106" s="222" t="s">
        <v>123</v>
      </c>
      <c r="C7106" s="236">
        <v>0.68333333333333302</v>
      </c>
      <c r="D7106" s="237">
        <v>0</v>
      </c>
      <c r="E7106" s="237">
        <v>0</v>
      </c>
      <c r="F7106" s="237">
        <v>0</v>
      </c>
      <c r="G7106" s="237">
        <v>0</v>
      </c>
      <c r="H7106" s="237">
        <v>0</v>
      </c>
      <c r="I7106" s="237">
        <v>0</v>
      </c>
      <c r="J7106" s="237">
        <v>0</v>
      </c>
    </row>
    <row r="7107" spans="1:10" s="225" customFormat="1">
      <c r="A7107" s="222" t="s">
        <v>179</v>
      </c>
      <c r="B7107" s="222" t="s">
        <v>123</v>
      </c>
      <c r="C7107" s="236">
        <v>0.68402777777777801</v>
      </c>
      <c r="D7107" s="237">
        <v>0</v>
      </c>
      <c r="E7107" s="237">
        <v>0</v>
      </c>
      <c r="F7107" s="237">
        <v>0</v>
      </c>
      <c r="G7107" s="237">
        <v>0</v>
      </c>
      <c r="H7107" s="237">
        <v>0</v>
      </c>
      <c r="I7107" s="237">
        <v>0</v>
      </c>
      <c r="J7107" s="237">
        <v>0</v>
      </c>
    </row>
    <row r="7108" spans="1:10" s="225" customFormat="1">
      <c r="A7108" s="222" t="s">
        <v>179</v>
      </c>
      <c r="B7108" s="222" t="s">
        <v>123</v>
      </c>
      <c r="C7108" s="236">
        <v>0.68472222222222201</v>
      </c>
      <c r="D7108" s="237">
        <v>0</v>
      </c>
      <c r="E7108" s="237">
        <v>0</v>
      </c>
      <c r="F7108" s="237">
        <v>0</v>
      </c>
      <c r="G7108" s="237">
        <v>0</v>
      </c>
      <c r="H7108" s="237">
        <v>0</v>
      </c>
      <c r="I7108" s="237">
        <v>0</v>
      </c>
      <c r="J7108" s="237">
        <v>0</v>
      </c>
    </row>
    <row r="7109" spans="1:10" s="225" customFormat="1">
      <c r="A7109" s="222" t="s">
        <v>179</v>
      </c>
      <c r="B7109" s="222" t="s">
        <v>123</v>
      </c>
      <c r="C7109" s="236">
        <v>0.68541666666666701</v>
      </c>
      <c r="D7109" s="237">
        <v>0</v>
      </c>
      <c r="E7109" s="237">
        <v>0</v>
      </c>
      <c r="F7109" s="237">
        <v>0</v>
      </c>
      <c r="G7109" s="237">
        <v>0</v>
      </c>
      <c r="H7109" s="237">
        <v>0</v>
      </c>
      <c r="I7109" s="237">
        <v>0</v>
      </c>
      <c r="J7109" s="237">
        <v>0</v>
      </c>
    </row>
    <row r="7110" spans="1:10" s="225" customFormat="1">
      <c r="A7110" s="222" t="s">
        <v>179</v>
      </c>
      <c r="B7110" s="222" t="s">
        <v>123</v>
      </c>
      <c r="C7110" s="236">
        <v>0.68611111111111101</v>
      </c>
      <c r="D7110" s="237">
        <v>0</v>
      </c>
      <c r="E7110" s="237">
        <v>0</v>
      </c>
      <c r="F7110" s="237">
        <v>0</v>
      </c>
      <c r="G7110" s="237">
        <v>0</v>
      </c>
      <c r="H7110" s="237">
        <v>0</v>
      </c>
      <c r="I7110" s="237">
        <v>0</v>
      </c>
      <c r="J7110" s="237">
        <v>0</v>
      </c>
    </row>
    <row r="7111" spans="1:10" s="229" customFormat="1">
      <c r="A7111" s="226" t="s">
        <v>179</v>
      </c>
      <c r="B7111" s="226" t="s">
        <v>123</v>
      </c>
      <c r="C7111" s="238">
        <v>0.686805555555555</v>
      </c>
      <c r="D7111" s="239">
        <v>0</v>
      </c>
      <c r="E7111" s="239">
        <v>0</v>
      </c>
      <c r="F7111" s="239">
        <v>0</v>
      </c>
      <c r="G7111" s="239">
        <v>0</v>
      </c>
      <c r="H7111" s="239">
        <v>0</v>
      </c>
      <c r="I7111" s="239">
        <v>0</v>
      </c>
      <c r="J7111" s="239">
        <v>0</v>
      </c>
    </row>
    <row r="7112" spans="1:10" s="225" customFormat="1">
      <c r="A7112" s="222" t="s">
        <v>179</v>
      </c>
      <c r="B7112" s="222" t="s">
        <v>123</v>
      </c>
      <c r="C7112" s="236">
        <v>0.6875</v>
      </c>
      <c r="D7112" s="237">
        <v>0</v>
      </c>
      <c r="E7112" s="237">
        <v>0</v>
      </c>
      <c r="F7112" s="237">
        <v>0</v>
      </c>
      <c r="G7112" s="237">
        <v>0</v>
      </c>
      <c r="H7112" s="237">
        <v>0</v>
      </c>
      <c r="I7112" s="237">
        <v>0</v>
      </c>
      <c r="J7112" s="237">
        <v>0</v>
      </c>
    </row>
    <row r="7113" spans="1:10" s="225" customFormat="1">
      <c r="A7113" s="222" t="s">
        <v>179</v>
      </c>
      <c r="B7113" s="222" t="s">
        <v>123</v>
      </c>
      <c r="C7113" s="236">
        <v>0.688194444444444</v>
      </c>
      <c r="D7113" s="237">
        <v>0</v>
      </c>
      <c r="E7113" s="237">
        <v>0</v>
      </c>
      <c r="F7113" s="237">
        <v>0</v>
      </c>
      <c r="G7113" s="237">
        <v>0</v>
      </c>
      <c r="H7113" s="237">
        <v>0</v>
      </c>
      <c r="I7113" s="237">
        <v>0</v>
      </c>
      <c r="J7113" s="237">
        <v>0</v>
      </c>
    </row>
    <row r="7114" spans="1:10" s="225" customFormat="1">
      <c r="A7114" s="222" t="s">
        <v>179</v>
      </c>
      <c r="B7114" s="222" t="s">
        <v>123</v>
      </c>
      <c r="C7114" s="236">
        <v>0.68888888888888899</v>
      </c>
      <c r="D7114" s="237">
        <v>0</v>
      </c>
      <c r="E7114" s="237">
        <v>0</v>
      </c>
      <c r="F7114" s="237">
        <v>0</v>
      </c>
      <c r="G7114" s="237">
        <v>0</v>
      </c>
      <c r="H7114" s="237">
        <v>0</v>
      </c>
      <c r="I7114" s="237">
        <v>0</v>
      </c>
      <c r="J7114" s="237">
        <v>0</v>
      </c>
    </row>
    <row r="7115" spans="1:10" s="225" customFormat="1">
      <c r="A7115" s="222" t="s">
        <v>179</v>
      </c>
      <c r="B7115" s="222" t="s">
        <v>123</v>
      </c>
      <c r="C7115" s="236">
        <v>0.68958333333333299</v>
      </c>
      <c r="D7115" s="237">
        <v>0</v>
      </c>
      <c r="E7115" s="237">
        <v>0</v>
      </c>
      <c r="F7115" s="237">
        <v>0</v>
      </c>
      <c r="G7115" s="237">
        <v>0</v>
      </c>
      <c r="H7115" s="237">
        <v>0</v>
      </c>
      <c r="I7115" s="237">
        <v>0</v>
      </c>
      <c r="J7115" s="237">
        <v>0</v>
      </c>
    </row>
    <row r="7116" spans="1:10" s="225" customFormat="1">
      <c r="A7116" s="222" t="s">
        <v>179</v>
      </c>
      <c r="B7116" s="222" t="s">
        <v>123</v>
      </c>
      <c r="C7116" s="236">
        <v>0.69027777777777799</v>
      </c>
      <c r="D7116" s="237">
        <v>0</v>
      </c>
      <c r="E7116" s="237">
        <v>0</v>
      </c>
      <c r="F7116" s="237">
        <v>0</v>
      </c>
      <c r="G7116" s="237">
        <v>0</v>
      </c>
      <c r="H7116" s="237">
        <v>0</v>
      </c>
      <c r="I7116" s="237">
        <v>0</v>
      </c>
      <c r="J7116" s="237">
        <v>0</v>
      </c>
    </row>
    <row r="7117" spans="1:10" s="225" customFormat="1">
      <c r="A7117" s="222" t="s">
        <v>179</v>
      </c>
      <c r="B7117" s="222" t="s">
        <v>123</v>
      </c>
      <c r="C7117" s="236">
        <v>0.69097222222222199</v>
      </c>
      <c r="D7117" s="237">
        <v>0</v>
      </c>
      <c r="E7117" s="237">
        <v>0</v>
      </c>
      <c r="F7117" s="237">
        <v>0</v>
      </c>
      <c r="G7117" s="237">
        <v>0</v>
      </c>
      <c r="H7117" s="237">
        <v>0</v>
      </c>
      <c r="I7117" s="237">
        <v>0</v>
      </c>
      <c r="J7117" s="237">
        <v>0</v>
      </c>
    </row>
    <row r="7118" spans="1:10" s="225" customFormat="1">
      <c r="A7118" s="222" t="s">
        <v>179</v>
      </c>
      <c r="B7118" s="222" t="s">
        <v>123</v>
      </c>
      <c r="C7118" s="236">
        <v>0.69166666666666698</v>
      </c>
      <c r="D7118" s="237">
        <v>0</v>
      </c>
      <c r="E7118" s="237">
        <v>0</v>
      </c>
      <c r="F7118" s="237">
        <v>0</v>
      </c>
      <c r="G7118" s="237">
        <v>0</v>
      </c>
      <c r="H7118" s="237">
        <v>0</v>
      </c>
      <c r="I7118" s="237">
        <v>0</v>
      </c>
      <c r="J7118" s="237">
        <v>0</v>
      </c>
    </row>
    <row r="7119" spans="1:10" s="225" customFormat="1">
      <c r="A7119" s="222" t="s">
        <v>179</v>
      </c>
      <c r="B7119" s="222" t="s">
        <v>123</v>
      </c>
      <c r="C7119" s="236">
        <v>0.69236111111111098</v>
      </c>
      <c r="D7119" s="237">
        <v>0</v>
      </c>
      <c r="E7119" s="237">
        <v>0</v>
      </c>
      <c r="F7119" s="237">
        <v>0</v>
      </c>
      <c r="G7119" s="237">
        <v>0</v>
      </c>
      <c r="H7119" s="237">
        <v>0</v>
      </c>
      <c r="I7119" s="237">
        <v>0</v>
      </c>
      <c r="J7119" s="237">
        <v>0</v>
      </c>
    </row>
    <row r="7120" spans="1:10" s="225" customFormat="1">
      <c r="A7120" s="222" t="s">
        <v>179</v>
      </c>
      <c r="B7120" s="222" t="s">
        <v>123</v>
      </c>
      <c r="C7120" s="236">
        <v>0.69305555555555498</v>
      </c>
      <c r="D7120" s="237">
        <v>0</v>
      </c>
      <c r="E7120" s="237">
        <v>0</v>
      </c>
      <c r="F7120" s="237">
        <v>0</v>
      </c>
      <c r="G7120" s="237">
        <v>0</v>
      </c>
      <c r="H7120" s="237">
        <v>0</v>
      </c>
      <c r="I7120" s="237">
        <v>0</v>
      </c>
      <c r="J7120" s="237">
        <v>0</v>
      </c>
    </row>
    <row r="7121" spans="1:10" s="225" customFormat="1">
      <c r="A7121" s="222" t="s">
        <v>179</v>
      </c>
      <c r="B7121" s="222" t="s">
        <v>123</v>
      </c>
      <c r="C7121" s="236">
        <v>0.69374999999999998</v>
      </c>
      <c r="D7121" s="237">
        <v>0</v>
      </c>
      <c r="E7121" s="237">
        <v>0</v>
      </c>
      <c r="F7121" s="237">
        <v>0</v>
      </c>
      <c r="G7121" s="237">
        <v>0</v>
      </c>
      <c r="H7121" s="237">
        <v>0</v>
      </c>
      <c r="I7121" s="237">
        <v>0</v>
      </c>
      <c r="J7121" s="237">
        <v>0</v>
      </c>
    </row>
    <row r="7122" spans="1:10" s="225" customFormat="1">
      <c r="A7122" s="222" t="s">
        <v>179</v>
      </c>
      <c r="B7122" s="222" t="s">
        <v>123</v>
      </c>
      <c r="C7122" s="236">
        <v>0.69444444444444398</v>
      </c>
      <c r="D7122" s="237">
        <v>0</v>
      </c>
      <c r="E7122" s="237">
        <v>0</v>
      </c>
      <c r="F7122" s="237">
        <v>0</v>
      </c>
      <c r="G7122" s="237">
        <v>0</v>
      </c>
      <c r="H7122" s="237">
        <v>0</v>
      </c>
      <c r="I7122" s="237">
        <v>0</v>
      </c>
      <c r="J7122" s="237">
        <v>0</v>
      </c>
    </row>
    <row r="7123" spans="1:10" s="225" customFormat="1">
      <c r="A7123" s="222" t="s">
        <v>179</v>
      </c>
      <c r="B7123" s="222" t="s">
        <v>123</v>
      </c>
      <c r="C7123" s="236">
        <v>0.69513888888888897</v>
      </c>
      <c r="D7123" s="237">
        <v>0</v>
      </c>
      <c r="E7123" s="237">
        <v>0</v>
      </c>
      <c r="F7123" s="237">
        <v>0</v>
      </c>
      <c r="G7123" s="237">
        <v>0</v>
      </c>
      <c r="H7123" s="237">
        <v>0</v>
      </c>
      <c r="I7123" s="237">
        <v>0</v>
      </c>
      <c r="J7123" s="237">
        <v>0</v>
      </c>
    </row>
    <row r="7124" spans="1:10" s="225" customFormat="1">
      <c r="A7124" s="222" t="s">
        <v>179</v>
      </c>
      <c r="B7124" s="222" t="s">
        <v>123</v>
      </c>
      <c r="C7124" s="236">
        <v>0.69583333333333297</v>
      </c>
      <c r="D7124" s="237">
        <v>0</v>
      </c>
      <c r="E7124" s="237">
        <v>0</v>
      </c>
      <c r="F7124" s="237">
        <v>0</v>
      </c>
      <c r="G7124" s="237">
        <v>0</v>
      </c>
      <c r="H7124" s="237">
        <v>0</v>
      </c>
      <c r="I7124" s="237">
        <v>0</v>
      </c>
      <c r="J7124" s="237">
        <v>0</v>
      </c>
    </row>
    <row r="7125" spans="1:10" s="225" customFormat="1">
      <c r="A7125" s="222" t="s">
        <v>179</v>
      </c>
      <c r="B7125" s="222" t="s">
        <v>123</v>
      </c>
      <c r="C7125" s="236">
        <v>0.69652777777777797</v>
      </c>
      <c r="D7125" s="237">
        <v>0</v>
      </c>
      <c r="E7125" s="237">
        <v>0</v>
      </c>
      <c r="F7125" s="237">
        <v>0</v>
      </c>
      <c r="G7125" s="237">
        <v>0</v>
      </c>
      <c r="H7125" s="237">
        <v>0</v>
      </c>
      <c r="I7125" s="237">
        <v>0</v>
      </c>
      <c r="J7125" s="237">
        <v>0</v>
      </c>
    </row>
    <row r="7126" spans="1:10" s="229" customFormat="1">
      <c r="A7126" s="226" t="s">
        <v>179</v>
      </c>
      <c r="B7126" s="226" t="s">
        <v>123</v>
      </c>
      <c r="C7126" s="238">
        <v>0.69722222222222197</v>
      </c>
      <c r="D7126" s="239">
        <v>0</v>
      </c>
      <c r="E7126" s="239">
        <v>0</v>
      </c>
      <c r="F7126" s="239">
        <v>0</v>
      </c>
      <c r="G7126" s="239">
        <v>0</v>
      </c>
      <c r="H7126" s="239">
        <v>0</v>
      </c>
      <c r="I7126" s="239">
        <v>0</v>
      </c>
      <c r="J7126" s="239">
        <v>0</v>
      </c>
    </row>
    <row r="7127" spans="1:10" s="225" customFormat="1">
      <c r="A7127" s="222" t="s">
        <v>179</v>
      </c>
      <c r="B7127" s="222" t="s">
        <v>123</v>
      </c>
      <c r="C7127" s="236">
        <v>0.69791666666666696</v>
      </c>
      <c r="D7127" s="237">
        <v>0</v>
      </c>
      <c r="E7127" s="237">
        <v>0</v>
      </c>
      <c r="F7127" s="237">
        <v>0</v>
      </c>
      <c r="G7127" s="237">
        <v>0</v>
      </c>
      <c r="H7127" s="237">
        <v>0</v>
      </c>
      <c r="I7127" s="237">
        <v>0</v>
      </c>
      <c r="J7127" s="237">
        <v>0</v>
      </c>
    </row>
    <row r="7128" spans="1:10" s="225" customFormat="1">
      <c r="A7128" s="222" t="s">
        <v>179</v>
      </c>
      <c r="B7128" s="222" t="s">
        <v>123</v>
      </c>
      <c r="C7128" s="236">
        <v>0.69861111111111096</v>
      </c>
      <c r="D7128" s="237">
        <v>0</v>
      </c>
      <c r="E7128" s="237">
        <v>0</v>
      </c>
      <c r="F7128" s="237">
        <v>0</v>
      </c>
      <c r="G7128" s="237">
        <v>0</v>
      </c>
      <c r="H7128" s="237">
        <v>0</v>
      </c>
      <c r="I7128" s="237">
        <v>0</v>
      </c>
      <c r="J7128" s="237">
        <v>0</v>
      </c>
    </row>
    <row r="7129" spans="1:10" s="225" customFormat="1">
      <c r="A7129" s="222" t="s">
        <v>179</v>
      </c>
      <c r="B7129" s="222" t="s">
        <v>123</v>
      </c>
      <c r="C7129" s="236">
        <v>0.69930555555555496</v>
      </c>
      <c r="D7129" s="237">
        <v>0</v>
      </c>
      <c r="E7129" s="237">
        <v>0</v>
      </c>
      <c r="F7129" s="237">
        <v>0</v>
      </c>
      <c r="G7129" s="237">
        <v>0</v>
      </c>
      <c r="H7129" s="237">
        <v>0</v>
      </c>
      <c r="I7129" s="237">
        <v>0</v>
      </c>
      <c r="J7129" s="237">
        <v>0</v>
      </c>
    </row>
    <row r="7130" spans="1:10" s="225" customFormat="1">
      <c r="A7130" s="222" t="s">
        <v>179</v>
      </c>
      <c r="B7130" s="222" t="s">
        <v>123</v>
      </c>
      <c r="C7130" s="236">
        <v>0.7</v>
      </c>
      <c r="D7130" s="237">
        <v>0</v>
      </c>
      <c r="E7130" s="237">
        <v>0</v>
      </c>
      <c r="F7130" s="237">
        <v>0</v>
      </c>
      <c r="G7130" s="237">
        <v>0</v>
      </c>
      <c r="H7130" s="237">
        <v>0</v>
      </c>
      <c r="I7130" s="237">
        <v>0</v>
      </c>
      <c r="J7130" s="237">
        <v>0</v>
      </c>
    </row>
    <row r="7131" spans="1:10" s="225" customFormat="1">
      <c r="A7131" s="222" t="s">
        <v>179</v>
      </c>
      <c r="B7131" s="222" t="s">
        <v>123</v>
      </c>
      <c r="C7131" s="236">
        <v>0.70069444444444395</v>
      </c>
      <c r="D7131" s="237">
        <v>0</v>
      </c>
      <c r="E7131" s="237">
        <v>0</v>
      </c>
      <c r="F7131" s="237">
        <v>0</v>
      </c>
      <c r="G7131" s="237">
        <v>0</v>
      </c>
      <c r="H7131" s="237">
        <v>0</v>
      </c>
      <c r="I7131" s="237">
        <v>0</v>
      </c>
      <c r="J7131" s="237">
        <v>0</v>
      </c>
    </row>
    <row r="7132" spans="1:10" s="225" customFormat="1">
      <c r="A7132" s="222" t="s">
        <v>179</v>
      </c>
      <c r="B7132" s="222" t="s">
        <v>123</v>
      </c>
      <c r="C7132" s="236">
        <v>0.70138888888888895</v>
      </c>
      <c r="D7132" s="237">
        <v>0</v>
      </c>
      <c r="E7132" s="237">
        <v>0</v>
      </c>
      <c r="F7132" s="237">
        <v>0</v>
      </c>
      <c r="G7132" s="237">
        <v>0</v>
      </c>
      <c r="H7132" s="237">
        <v>0</v>
      </c>
      <c r="I7132" s="237">
        <v>0</v>
      </c>
      <c r="J7132" s="237">
        <v>0</v>
      </c>
    </row>
    <row r="7133" spans="1:10" s="225" customFormat="1">
      <c r="A7133" s="222" t="s">
        <v>179</v>
      </c>
      <c r="B7133" s="222" t="s">
        <v>123</v>
      </c>
      <c r="C7133" s="236">
        <v>0.70208333333333295</v>
      </c>
      <c r="D7133" s="237">
        <v>0</v>
      </c>
      <c r="E7133" s="237">
        <v>0</v>
      </c>
      <c r="F7133" s="237">
        <v>0</v>
      </c>
      <c r="G7133" s="237">
        <v>0</v>
      </c>
      <c r="H7133" s="237">
        <v>0</v>
      </c>
      <c r="I7133" s="237">
        <v>0</v>
      </c>
      <c r="J7133" s="237">
        <v>0</v>
      </c>
    </row>
    <row r="7134" spans="1:10" s="225" customFormat="1">
      <c r="A7134" s="222" t="s">
        <v>179</v>
      </c>
      <c r="B7134" s="222" t="s">
        <v>123</v>
      </c>
      <c r="C7134" s="236">
        <v>0.70277777777777795</v>
      </c>
      <c r="D7134" s="237">
        <v>0</v>
      </c>
      <c r="E7134" s="237">
        <v>0</v>
      </c>
      <c r="F7134" s="237">
        <v>0</v>
      </c>
      <c r="G7134" s="237">
        <v>0</v>
      </c>
      <c r="H7134" s="237">
        <v>0</v>
      </c>
      <c r="I7134" s="237">
        <v>0</v>
      </c>
      <c r="J7134" s="237">
        <v>0</v>
      </c>
    </row>
    <row r="7135" spans="1:10" s="225" customFormat="1">
      <c r="A7135" s="222" t="s">
        <v>179</v>
      </c>
      <c r="B7135" s="222" t="s">
        <v>123</v>
      </c>
      <c r="C7135" s="236">
        <v>0.70347222222222205</v>
      </c>
      <c r="D7135" s="237">
        <v>0</v>
      </c>
      <c r="E7135" s="237">
        <v>0</v>
      </c>
      <c r="F7135" s="237">
        <v>0</v>
      </c>
      <c r="G7135" s="237">
        <v>0</v>
      </c>
      <c r="H7135" s="237">
        <v>0</v>
      </c>
      <c r="I7135" s="237">
        <v>0</v>
      </c>
      <c r="J7135" s="237">
        <v>0</v>
      </c>
    </row>
    <row r="7136" spans="1:10" s="225" customFormat="1">
      <c r="A7136" s="222" t="s">
        <v>179</v>
      </c>
      <c r="B7136" s="222" t="s">
        <v>123</v>
      </c>
      <c r="C7136" s="236">
        <v>0.70416666666666605</v>
      </c>
      <c r="D7136" s="237">
        <v>0</v>
      </c>
      <c r="E7136" s="237">
        <v>0</v>
      </c>
      <c r="F7136" s="237">
        <v>0</v>
      </c>
      <c r="G7136" s="237">
        <v>0</v>
      </c>
      <c r="H7136" s="237">
        <v>0</v>
      </c>
      <c r="I7136" s="237">
        <v>0</v>
      </c>
      <c r="J7136" s="237">
        <v>0</v>
      </c>
    </row>
    <row r="7137" spans="1:10" s="225" customFormat="1">
      <c r="A7137" s="222" t="s">
        <v>179</v>
      </c>
      <c r="B7137" s="222" t="s">
        <v>123</v>
      </c>
      <c r="C7137" s="236">
        <v>0.70486111111111105</v>
      </c>
      <c r="D7137" s="237">
        <v>0</v>
      </c>
      <c r="E7137" s="237">
        <v>0</v>
      </c>
      <c r="F7137" s="237">
        <v>0</v>
      </c>
      <c r="G7137" s="237">
        <v>0</v>
      </c>
      <c r="H7137" s="237">
        <v>0</v>
      </c>
      <c r="I7137" s="237">
        <v>0</v>
      </c>
      <c r="J7137" s="237">
        <v>0</v>
      </c>
    </row>
    <row r="7138" spans="1:10" s="225" customFormat="1">
      <c r="A7138" s="222" t="s">
        <v>179</v>
      </c>
      <c r="B7138" s="222" t="s">
        <v>123</v>
      </c>
      <c r="C7138" s="236">
        <v>0.70555555555555505</v>
      </c>
      <c r="D7138" s="237">
        <v>0</v>
      </c>
      <c r="E7138" s="237">
        <v>0</v>
      </c>
      <c r="F7138" s="237">
        <v>0</v>
      </c>
      <c r="G7138" s="237">
        <v>0</v>
      </c>
      <c r="H7138" s="237">
        <v>0</v>
      </c>
      <c r="I7138" s="237">
        <v>0</v>
      </c>
      <c r="J7138" s="237">
        <v>0</v>
      </c>
    </row>
    <row r="7139" spans="1:10" s="225" customFormat="1">
      <c r="A7139" s="222" t="s">
        <v>179</v>
      </c>
      <c r="B7139" s="222" t="s">
        <v>123</v>
      </c>
      <c r="C7139" s="236">
        <v>0.70625000000000004</v>
      </c>
      <c r="D7139" s="237">
        <v>0</v>
      </c>
      <c r="E7139" s="237">
        <v>0</v>
      </c>
      <c r="F7139" s="237">
        <v>0</v>
      </c>
      <c r="G7139" s="237">
        <v>0</v>
      </c>
      <c r="H7139" s="237">
        <v>0</v>
      </c>
      <c r="I7139" s="237">
        <v>0</v>
      </c>
      <c r="J7139" s="237">
        <v>0</v>
      </c>
    </row>
    <row r="7140" spans="1:10" s="225" customFormat="1">
      <c r="A7140" s="222" t="s">
        <v>179</v>
      </c>
      <c r="B7140" s="222" t="s">
        <v>123</v>
      </c>
      <c r="C7140" s="236">
        <v>0.70694444444444404</v>
      </c>
      <c r="D7140" s="237">
        <v>0</v>
      </c>
      <c r="E7140" s="237">
        <v>0</v>
      </c>
      <c r="F7140" s="237">
        <v>0</v>
      </c>
      <c r="G7140" s="237">
        <v>0</v>
      </c>
      <c r="H7140" s="237">
        <v>0</v>
      </c>
      <c r="I7140" s="237">
        <v>0</v>
      </c>
      <c r="J7140" s="237">
        <v>0</v>
      </c>
    </row>
    <row r="7141" spans="1:10" s="229" customFormat="1">
      <c r="A7141" s="226" t="s">
        <v>179</v>
      </c>
      <c r="B7141" s="226" t="s">
        <v>123</v>
      </c>
      <c r="C7141" s="238">
        <v>0.70763888888888904</v>
      </c>
      <c r="D7141" s="239">
        <v>0</v>
      </c>
      <c r="E7141" s="239">
        <v>0</v>
      </c>
      <c r="F7141" s="239">
        <v>0</v>
      </c>
      <c r="G7141" s="239">
        <v>0</v>
      </c>
      <c r="H7141" s="239">
        <v>0</v>
      </c>
      <c r="I7141" s="239">
        <v>0</v>
      </c>
      <c r="J7141" s="239">
        <v>0</v>
      </c>
    </row>
    <row r="7142" spans="1:10" s="225" customFormat="1">
      <c r="A7142" s="222" t="s">
        <v>179</v>
      </c>
      <c r="B7142" s="222" t="s">
        <v>123</v>
      </c>
      <c r="C7142" s="236">
        <v>0.70833333333333304</v>
      </c>
      <c r="D7142" s="237">
        <v>0</v>
      </c>
      <c r="E7142" s="237">
        <v>0</v>
      </c>
      <c r="F7142" s="237">
        <v>0</v>
      </c>
      <c r="G7142" s="237">
        <v>0</v>
      </c>
      <c r="H7142" s="237">
        <v>0</v>
      </c>
      <c r="I7142" s="237">
        <v>0</v>
      </c>
      <c r="J7142" s="237">
        <v>0</v>
      </c>
    </row>
    <row r="7143" spans="1:10" s="225" customFormat="1">
      <c r="A7143" s="222" t="s">
        <v>179</v>
      </c>
      <c r="B7143" s="222" t="s">
        <v>123</v>
      </c>
      <c r="C7143" s="236">
        <v>0.70902777777777803</v>
      </c>
      <c r="D7143" s="237">
        <v>0</v>
      </c>
      <c r="E7143" s="237">
        <v>0</v>
      </c>
      <c r="F7143" s="237">
        <v>0</v>
      </c>
      <c r="G7143" s="237">
        <v>0</v>
      </c>
      <c r="H7143" s="237">
        <v>0</v>
      </c>
      <c r="I7143" s="237">
        <v>0</v>
      </c>
      <c r="J7143" s="237">
        <v>0</v>
      </c>
    </row>
    <row r="7144" spans="1:10" s="225" customFormat="1">
      <c r="A7144" s="222" t="s">
        <v>179</v>
      </c>
      <c r="B7144" s="222" t="s">
        <v>123</v>
      </c>
      <c r="C7144" s="236">
        <v>0.70972222222222203</v>
      </c>
      <c r="D7144" s="237">
        <v>0</v>
      </c>
      <c r="E7144" s="237">
        <v>0</v>
      </c>
      <c r="F7144" s="237">
        <v>0</v>
      </c>
      <c r="G7144" s="237">
        <v>0</v>
      </c>
      <c r="H7144" s="237">
        <v>0</v>
      </c>
      <c r="I7144" s="237">
        <v>0</v>
      </c>
      <c r="J7144" s="237">
        <v>0</v>
      </c>
    </row>
    <row r="7145" spans="1:10" s="225" customFormat="1">
      <c r="A7145" s="222" t="s">
        <v>179</v>
      </c>
      <c r="B7145" s="222" t="s">
        <v>123</v>
      </c>
      <c r="C7145" s="236">
        <v>0.71041666666666603</v>
      </c>
      <c r="D7145" s="237">
        <v>0</v>
      </c>
      <c r="E7145" s="237">
        <v>0</v>
      </c>
      <c r="F7145" s="237">
        <v>0</v>
      </c>
      <c r="G7145" s="237">
        <v>0</v>
      </c>
      <c r="H7145" s="237">
        <v>0</v>
      </c>
      <c r="I7145" s="237">
        <v>0</v>
      </c>
      <c r="J7145" s="237">
        <v>0</v>
      </c>
    </row>
    <row r="7146" spans="1:10" s="225" customFormat="1">
      <c r="A7146" s="222" t="s">
        <v>179</v>
      </c>
      <c r="B7146" s="222" t="s">
        <v>123</v>
      </c>
      <c r="C7146" s="236">
        <v>0.71111111111111103</v>
      </c>
      <c r="D7146" s="237">
        <v>0</v>
      </c>
      <c r="E7146" s="237">
        <v>0</v>
      </c>
      <c r="F7146" s="237">
        <v>0</v>
      </c>
      <c r="G7146" s="237">
        <v>0</v>
      </c>
      <c r="H7146" s="237">
        <v>0</v>
      </c>
      <c r="I7146" s="237">
        <v>0</v>
      </c>
      <c r="J7146" s="237">
        <v>0</v>
      </c>
    </row>
    <row r="7147" spans="1:10" s="225" customFormat="1">
      <c r="A7147" s="222" t="s">
        <v>179</v>
      </c>
      <c r="B7147" s="222" t="s">
        <v>123</v>
      </c>
      <c r="C7147" s="236">
        <v>0.71180555555555503</v>
      </c>
      <c r="D7147" s="237">
        <v>0</v>
      </c>
      <c r="E7147" s="237">
        <v>0</v>
      </c>
      <c r="F7147" s="237">
        <v>0</v>
      </c>
      <c r="G7147" s="237">
        <v>0</v>
      </c>
      <c r="H7147" s="237">
        <v>0</v>
      </c>
      <c r="I7147" s="237">
        <v>0</v>
      </c>
      <c r="J7147" s="237">
        <v>0</v>
      </c>
    </row>
    <row r="7148" spans="1:10" s="225" customFormat="1">
      <c r="A7148" s="222" t="s">
        <v>179</v>
      </c>
      <c r="B7148" s="222" t="s">
        <v>123</v>
      </c>
      <c r="C7148" s="236">
        <v>0.71250000000000002</v>
      </c>
      <c r="D7148" s="237">
        <v>0</v>
      </c>
      <c r="E7148" s="237">
        <v>0</v>
      </c>
      <c r="F7148" s="237">
        <v>0</v>
      </c>
      <c r="G7148" s="237">
        <v>0</v>
      </c>
      <c r="H7148" s="237">
        <v>0</v>
      </c>
      <c r="I7148" s="237">
        <v>0</v>
      </c>
      <c r="J7148" s="237">
        <v>0</v>
      </c>
    </row>
    <row r="7149" spans="1:10" s="225" customFormat="1">
      <c r="A7149" s="222" t="s">
        <v>179</v>
      </c>
      <c r="B7149" s="222" t="s">
        <v>123</v>
      </c>
      <c r="C7149" s="236">
        <v>0.71319444444444402</v>
      </c>
      <c r="D7149" s="237">
        <v>0</v>
      </c>
      <c r="E7149" s="237">
        <v>0</v>
      </c>
      <c r="F7149" s="237">
        <v>0</v>
      </c>
      <c r="G7149" s="237">
        <v>0</v>
      </c>
      <c r="H7149" s="237">
        <v>0</v>
      </c>
      <c r="I7149" s="237">
        <v>0</v>
      </c>
      <c r="J7149" s="237">
        <v>0</v>
      </c>
    </row>
    <row r="7150" spans="1:10" s="225" customFormat="1">
      <c r="A7150" s="222" t="s">
        <v>179</v>
      </c>
      <c r="B7150" s="222" t="s">
        <v>123</v>
      </c>
      <c r="C7150" s="236">
        <v>0.71388888888888902</v>
      </c>
      <c r="D7150" s="237">
        <v>0</v>
      </c>
      <c r="E7150" s="237">
        <v>0</v>
      </c>
      <c r="F7150" s="237">
        <v>0</v>
      </c>
      <c r="G7150" s="237">
        <v>0</v>
      </c>
      <c r="H7150" s="237">
        <v>0</v>
      </c>
      <c r="I7150" s="237">
        <v>0</v>
      </c>
      <c r="J7150" s="237">
        <v>0</v>
      </c>
    </row>
    <row r="7151" spans="1:10" s="225" customFormat="1">
      <c r="A7151" s="222" t="s">
        <v>179</v>
      </c>
      <c r="B7151" s="222" t="s">
        <v>123</v>
      </c>
      <c r="C7151" s="236">
        <v>0.71458333333333302</v>
      </c>
      <c r="D7151" s="237">
        <v>0</v>
      </c>
      <c r="E7151" s="237">
        <v>0</v>
      </c>
      <c r="F7151" s="237">
        <v>0</v>
      </c>
      <c r="G7151" s="237">
        <v>0</v>
      </c>
      <c r="H7151" s="237">
        <v>0</v>
      </c>
      <c r="I7151" s="237">
        <v>0</v>
      </c>
      <c r="J7151" s="237">
        <v>0</v>
      </c>
    </row>
    <row r="7152" spans="1:10" s="225" customFormat="1">
      <c r="A7152" s="222" t="s">
        <v>179</v>
      </c>
      <c r="B7152" s="222" t="s">
        <v>123</v>
      </c>
      <c r="C7152" s="236">
        <v>0.71527777777777801</v>
      </c>
      <c r="D7152" s="237">
        <v>0</v>
      </c>
      <c r="E7152" s="237">
        <v>0</v>
      </c>
      <c r="F7152" s="237">
        <v>0</v>
      </c>
      <c r="G7152" s="237">
        <v>0</v>
      </c>
      <c r="H7152" s="237">
        <v>0</v>
      </c>
      <c r="I7152" s="237">
        <v>0</v>
      </c>
      <c r="J7152" s="237">
        <v>0</v>
      </c>
    </row>
    <row r="7153" spans="1:10" s="225" customFormat="1">
      <c r="A7153" s="222" t="s">
        <v>179</v>
      </c>
      <c r="B7153" s="222" t="s">
        <v>123</v>
      </c>
      <c r="C7153" s="236">
        <v>0.71597222222222201</v>
      </c>
      <c r="D7153" s="237">
        <v>0</v>
      </c>
      <c r="E7153" s="237">
        <v>0</v>
      </c>
      <c r="F7153" s="237">
        <v>0</v>
      </c>
      <c r="G7153" s="237">
        <v>0</v>
      </c>
      <c r="H7153" s="237">
        <v>0</v>
      </c>
      <c r="I7153" s="237">
        <v>0</v>
      </c>
      <c r="J7153" s="237">
        <v>0</v>
      </c>
    </row>
    <row r="7154" spans="1:10" s="225" customFormat="1">
      <c r="A7154" s="222" t="s">
        <v>179</v>
      </c>
      <c r="B7154" s="222" t="s">
        <v>123</v>
      </c>
      <c r="C7154" s="236">
        <v>0.71666666666666601</v>
      </c>
      <c r="D7154" s="237">
        <v>0</v>
      </c>
      <c r="E7154" s="237">
        <v>0</v>
      </c>
      <c r="F7154" s="237">
        <v>0</v>
      </c>
      <c r="G7154" s="237">
        <v>0</v>
      </c>
      <c r="H7154" s="237">
        <v>0</v>
      </c>
      <c r="I7154" s="237">
        <v>0</v>
      </c>
      <c r="J7154" s="237">
        <v>0</v>
      </c>
    </row>
    <row r="7155" spans="1:10" s="225" customFormat="1">
      <c r="A7155" s="222" t="s">
        <v>179</v>
      </c>
      <c r="B7155" s="222" t="s">
        <v>123</v>
      </c>
      <c r="C7155" s="236">
        <v>0.71736111111111101</v>
      </c>
      <c r="D7155" s="237">
        <v>0</v>
      </c>
      <c r="E7155" s="237">
        <v>0</v>
      </c>
      <c r="F7155" s="237">
        <v>0</v>
      </c>
      <c r="G7155" s="237">
        <v>0</v>
      </c>
      <c r="H7155" s="237">
        <v>0</v>
      </c>
      <c r="I7155" s="237">
        <v>0</v>
      </c>
      <c r="J7155" s="237">
        <v>0</v>
      </c>
    </row>
    <row r="7156" spans="1:10" s="229" customFormat="1">
      <c r="A7156" s="226" t="s">
        <v>179</v>
      </c>
      <c r="B7156" s="226" t="s">
        <v>123</v>
      </c>
      <c r="C7156" s="238">
        <v>0.718055555555555</v>
      </c>
      <c r="D7156" s="239">
        <v>0</v>
      </c>
      <c r="E7156" s="239">
        <v>0</v>
      </c>
      <c r="F7156" s="239">
        <v>0</v>
      </c>
      <c r="G7156" s="239">
        <v>0</v>
      </c>
      <c r="H7156" s="239">
        <v>0</v>
      </c>
      <c r="I7156" s="239">
        <v>0</v>
      </c>
      <c r="J7156" s="239">
        <v>0</v>
      </c>
    </row>
    <row r="7157" spans="1:10" s="225" customFormat="1">
      <c r="A7157" s="222" t="s">
        <v>179</v>
      </c>
      <c r="B7157" s="222" t="s">
        <v>123</v>
      </c>
      <c r="C7157" s="236">
        <v>0.71875</v>
      </c>
      <c r="D7157" s="237">
        <v>0</v>
      </c>
      <c r="E7157" s="237">
        <v>0</v>
      </c>
      <c r="F7157" s="237">
        <v>0</v>
      </c>
      <c r="G7157" s="237">
        <v>0</v>
      </c>
      <c r="H7157" s="237">
        <v>0</v>
      </c>
      <c r="I7157" s="237">
        <v>0</v>
      </c>
      <c r="J7157" s="237">
        <v>0</v>
      </c>
    </row>
    <row r="7158" spans="1:10" s="225" customFormat="1">
      <c r="A7158" s="222" t="s">
        <v>179</v>
      </c>
      <c r="B7158" s="222" t="s">
        <v>123</v>
      </c>
      <c r="C7158" s="236">
        <v>0.719444444444444</v>
      </c>
      <c r="D7158" s="237">
        <v>0</v>
      </c>
      <c r="E7158" s="237">
        <v>0</v>
      </c>
      <c r="F7158" s="237">
        <v>0</v>
      </c>
      <c r="G7158" s="237">
        <v>0</v>
      </c>
      <c r="H7158" s="237">
        <v>0</v>
      </c>
      <c r="I7158" s="237">
        <v>0</v>
      </c>
      <c r="J7158" s="237">
        <v>0</v>
      </c>
    </row>
    <row r="7159" spans="1:10" s="225" customFormat="1">
      <c r="A7159" s="222" t="s">
        <v>179</v>
      </c>
      <c r="B7159" s="222" t="s">
        <v>123</v>
      </c>
      <c r="C7159" s="236">
        <v>0.72013888888888899</v>
      </c>
      <c r="D7159" s="237">
        <v>0</v>
      </c>
      <c r="E7159" s="237">
        <v>0</v>
      </c>
      <c r="F7159" s="237">
        <v>0</v>
      </c>
      <c r="G7159" s="237">
        <v>0</v>
      </c>
      <c r="H7159" s="237">
        <v>0</v>
      </c>
      <c r="I7159" s="237">
        <v>0</v>
      </c>
      <c r="J7159" s="237">
        <v>0</v>
      </c>
    </row>
    <row r="7160" spans="1:10" s="225" customFormat="1">
      <c r="A7160" s="222" t="s">
        <v>179</v>
      </c>
      <c r="B7160" s="222" t="s">
        <v>123</v>
      </c>
      <c r="C7160" s="236">
        <v>0.72083333333333299</v>
      </c>
      <c r="D7160" s="237">
        <v>0</v>
      </c>
      <c r="E7160" s="237">
        <v>0</v>
      </c>
      <c r="F7160" s="237">
        <v>0</v>
      </c>
      <c r="G7160" s="237">
        <v>0</v>
      </c>
      <c r="H7160" s="237">
        <v>0</v>
      </c>
      <c r="I7160" s="237">
        <v>0</v>
      </c>
      <c r="J7160" s="237">
        <v>0</v>
      </c>
    </row>
    <row r="7161" spans="1:10" s="225" customFormat="1">
      <c r="A7161" s="222" t="s">
        <v>179</v>
      </c>
      <c r="B7161" s="222" t="s">
        <v>123</v>
      </c>
      <c r="C7161" s="236">
        <v>0.72152777777777799</v>
      </c>
      <c r="D7161" s="237">
        <v>0</v>
      </c>
      <c r="E7161" s="237">
        <v>0</v>
      </c>
      <c r="F7161" s="237">
        <v>0</v>
      </c>
      <c r="G7161" s="237">
        <v>0</v>
      </c>
      <c r="H7161" s="237">
        <v>0</v>
      </c>
      <c r="I7161" s="237">
        <v>0</v>
      </c>
      <c r="J7161" s="237">
        <v>0</v>
      </c>
    </row>
    <row r="7162" spans="1:10" s="225" customFormat="1">
      <c r="A7162" s="222" t="s">
        <v>179</v>
      </c>
      <c r="B7162" s="222" t="s">
        <v>123</v>
      </c>
      <c r="C7162" s="236">
        <v>0.72222222222222199</v>
      </c>
      <c r="D7162" s="237">
        <v>0</v>
      </c>
      <c r="E7162" s="237">
        <v>0</v>
      </c>
      <c r="F7162" s="237">
        <v>0</v>
      </c>
      <c r="G7162" s="237">
        <v>0</v>
      </c>
      <c r="H7162" s="237">
        <v>0</v>
      </c>
      <c r="I7162" s="237">
        <v>0</v>
      </c>
      <c r="J7162" s="237">
        <v>0</v>
      </c>
    </row>
    <row r="7163" spans="1:10" s="225" customFormat="1">
      <c r="A7163" s="222" t="s">
        <v>179</v>
      </c>
      <c r="B7163" s="222" t="s">
        <v>123</v>
      </c>
      <c r="C7163" s="236">
        <v>0.72291666666666599</v>
      </c>
      <c r="D7163" s="237">
        <v>0</v>
      </c>
      <c r="E7163" s="237">
        <v>0</v>
      </c>
      <c r="F7163" s="237">
        <v>0</v>
      </c>
      <c r="G7163" s="237">
        <v>0</v>
      </c>
      <c r="H7163" s="237">
        <v>0</v>
      </c>
      <c r="I7163" s="237">
        <v>0</v>
      </c>
      <c r="J7163" s="237">
        <v>0</v>
      </c>
    </row>
    <row r="7164" spans="1:10" s="225" customFormat="1">
      <c r="A7164" s="222" t="s">
        <v>179</v>
      </c>
      <c r="B7164" s="222" t="s">
        <v>123</v>
      </c>
      <c r="C7164" s="236">
        <v>0.72361111111111098</v>
      </c>
      <c r="D7164" s="237">
        <v>0</v>
      </c>
      <c r="E7164" s="237">
        <v>0</v>
      </c>
      <c r="F7164" s="237">
        <v>0</v>
      </c>
      <c r="G7164" s="237">
        <v>0</v>
      </c>
      <c r="H7164" s="237">
        <v>0</v>
      </c>
      <c r="I7164" s="237">
        <v>0</v>
      </c>
      <c r="J7164" s="237">
        <v>0</v>
      </c>
    </row>
    <row r="7165" spans="1:10" s="225" customFormat="1">
      <c r="A7165" s="222" t="s">
        <v>179</v>
      </c>
      <c r="B7165" s="222" t="s">
        <v>123</v>
      </c>
      <c r="C7165" s="236">
        <v>0.72430555555555498</v>
      </c>
      <c r="D7165" s="237">
        <v>0</v>
      </c>
      <c r="E7165" s="237">
        <v>0</v>
      </c>
      <c r="F7165" s="237">
        <v>0</v>
      </c>
      <c r="G7165" s="237">
        <v>0</v>
      </c>
      <c r="H7165" s="237">
        <v>0</v>
      </c>
      <c r="I7165" s="237">
        <v>0</v>
      </c>
      <c r="J7165" s="237">
        <v>0</v>
      </c>
    </row>
    <row r="7166" spans="1:10" s="225" customFormat="1">
      <c r="A7166" s="222" t="s">
        <v>179</v>
      </c>
      <c r="B7166" s="222" t="s">
        <v>123</v>
      </c>
      <c r="C7166" s="236">
        <v>0.72499999999999998</v>
      </c>
      <c r="D7166" s="237">
        <v>0</v>
      </c>
      <c r="E7166" s="237">
        <v>0</v>
      </c>
      <c r="F7166" s="237">
        <v>0</v>
      </c>
      <c r="G7166" s="237">
        <v>0</v>
      </c>
      <c r="H7166" s="237">
        <v>0</v>
      </c>
      <c r="I7166" s="237">
        <v>0</v>
      </c>
      <c r="J7166" s="237">
        <v>0</v>
      </c>
    </row>
    <row r="7167" spans="1:10" s="225" customFormat="1">
      <c r="A7167" s="222" t="s">
        <v>179</v>
      </c>
      <c r="B7167" s="222" t="s">
        <v>123</v>
      </c>
      <c r="C7167" s="236">
        <v>0.72569444444444398</v>
      </c>
      <c r="D7167" s="237">
        <v>0</v>
      </c>
      <c r="E7167" s="237">
        <v>0</v>
      </c>
      <c r="F7167" s="237">
        <v>0</v>
      </c>
      <c r="G7167" s="237">
        <v>0</v>
      </c>
      <c r="H7167" s="237">
        <v>0</v>
      </c>
      <c r="I7167" s="237">
        <v>0</v>
      </c>
      <c r="J7167" s="237">
        <v>0</v>
      </c>
    </row>
    <row r="7168" spans="1:10" s="225" customFormat="1">
      <c r="A7168" s="222" t="s">
        <v>179</v>
      </c>
      <c r="B7168" s="222" t="s">
        <v>123</v>
      </c>
      <c r="C7168" s="236">
        <v>0.72638888888888897</v>
      </c>
      <c r="D7168" s="237">
        <v>0</v>
      </c>
      <c r="E7168" s="237">
        <v>0</v>
      </c>
      <c r="F7168" s="237">
        <v>0</v>
      </c>
      <c r="G7168" s="237">
        <v>0</v>
      </c>
      <c r="H7168" s="237">
        <v>0</v>
      </c>
      <c r="I7168" s="237">
        <v>0</v>
      </c>
      <c r="J7168" s="237">
        <v>0</v>
      </c>
    </row>
    <row r="7169" spans="1:10" s="225" customFormat="1">
      <c r="A7169" s="222" t="s">
        <v>179</v>
      </c>
      <c r="B7169" s="222" t="s">
        <v>123</v>
      </c>
      <c r="C7169" s="236">
        <v>0.72708333333333297</v>
      </c>
      <c r="D7169" s="237">
        <v>0</v>
      </c>
      <c r="E7169" s="237">
        <v>0</v>
      </c>
      <c r="F7169" s="237">
        <v>0</v>
      </c>
      <c r="G7169" s="237">
        <v>0</v>
      </c>
      <c r="H7169" s="237">
        <v>0</v>
      </c>
      <c r="I7169" s="237">
        <v>0</v>
      </c>
      <c r="J7169" s="237">
        <v>0</v>
      </c>
    </row>
    <row r="7170" spans="1:10" s="225" customFormat="1">
      <c r="A7170" s="222" t="s">
        <v>179</v>
      </c>
      <c r="B7170" s="222" t="s">
        <v>123</v>
      </c>
      <c r="C7170" s="236">
        <v>0.72777777777777797</v>
      </c>
      <c r="D7170" s="237">
        <v>0</v>
      </c>
      <c r="E7170" s="237">
        <v>0</v>
      </c>
      <c r="F7170" s="237">
        <v>0</v>
      </c>
      <c r="G7170" s="237">
        <v>0</v>
      </c>
      <c r="H7170" s="237">
        <v>0</v>
      </c>
      <c r="I7170" s="237">
        <v>0</v>
      </c>
      <c r="J7170" s="237">
        <v>0</v>
      </c>
    </row>
    <row r="7171" spans="1:10" s="229" customFormat="1">
      <c r="A7171" s="226" t="s">
        <v>179</v>
      </c>
      <c r="B7171" s="226" t="s">
        <v>123</v>
      </c>
      <c r="C7171" s="238">
        <v>0.72847222222222197</v>
      </c>
      <c r="D7171" s="239">
        <v>0</v>
      </c>
      <c r="E7171" s="239">
        <v>0</v>
      </c>
      <c r="F7171" s="239">
        <v>0</v>
      </c>
      <c r="G7171" s="239">
        <v>0</v>
      </c>
      <c r="H7171" s="239">
        <v>0</v>
      </c>
      <c r="I7171" s="239">
        <v>0</v>
      </c>
      <c r="J7171" s="239">
        <v>0</v>
      </c>
    </row>
    <row r="7172" spans="1:10" s="225" customFormat="1">
      <c r="A7172" s="222" t="s">
        <v>179</v>
      </c>
      <c r="B7172" s="222" t="s">
        <v>123</v>
      </c>
      <c r="C7172" s="236">
        <v>0.72916666666666596</v>
      </c>
      <c r="D7172" s="237">
        <v>0</v>
      </c>
      <c r="E7172" s="237">
        <v>0</v>
      </c>
      <c r="F7172" s="237">
        <v>0</v>
      </c>
      <c r="G7172" s="237">
        <v>0</v>
      </c>
      <c r="H7172" s="237">
        <v>0</v>
      </c>
      <c r="I7172" s="237">
        <v>0</v>
      </c>
      <c r="J7172" s="237">
        <v>0</v>
      </c>
    </row>
    <row r="7173" spans="1:10" s="225" customFormat="1">
      <c r="A7173" s="222" t="s">
        <v>179</v>
      </c>
      <c r="B7173" s="222" t="s">
        <v>123</v>
      </c>
      <c r="C7173" s="236">
        <v>0.72986111111111096</v>
      </c>
      <c r="D7173" s="237">
        <v>0</v>
      </c>
      <c r="E7173" s="237">
        <v>0</v>
      </c>
      <c r="F7173" s="237">
        <v>0</v>
      </c>
      <c r="G7173" s="237">
        <v>0</v>
      </c>
      <c r="H7173" s="237">
        <v>0</v>
      </c>
      <c r="I7173" s="237">
        <v>0</v>
      </c>
      <c r="J7173" s="237">
        <v>0</v>
      </c>
    </row>
    <row r="7174" spans="1:10" s="225" customFormat="1">
      <c r="A7174" s="222" t="s">
        <v>179</v>
      </c>
      <c r="B7174" s="222" t="s">
        <v>123</v>
      </c>
      <c r="C7174" s="236">
        <v>0.73055555555555496</v>
      </c>
      <c r="D7174" s="237">
        <v>0</v>
      </c>
      <c r="E7174" s="237">
        <v>0</v>
      </c>
      <c r="F7174" s="237">
        <v>0</v>
      </c>
      <c r="G7174" s="237">
        <v>0</v>
      </c>
      <c r="H7174" s="237">
        <v>0</v>
      </c>
      <c r="I7174" s="237">
        <v>0</v>
      </c>
      <c r="J7174" s="237">
        <v>0</v>
      </c>
    </row>
    <row r="7175" spans="1:10" s="225" customFormat="1">
      <c r="A7175" s="222" t="s">
        <v>179</v>
      </c>
      <c r="B7175" s="222" t="s">
        <v>123</v>
      </c>
      <c r="C7175" s="236">
        <v>0.73124999999999996</v>
      </c>
      <c r="D7175" s="237">
        <v>0</v>
      </c>
      <c r="E7175" s="237">
        <v>0</v>
      </c>
      <c r="F7175" s="237">
        <v>0</v>
      </c>
      <c r="G7175" s="237">
        <v>0</v>
      </c>
      <c r="H7175" s="237">
        <v>0</v>
      </c>
      <c r="I7175" s="237">
        <v>0</v>
      </c>
      <c r="J7175" s="237">
        <v>0</v>
      </c>
    </row>
    <row r="7176" spans="1:10" s="225" customFormat="1">
      <c r="A7176" s="222" t="s">
        <v>179</v>
      </c>
      <c r="B7176" s="222" t="s">
        <v>123</v>
      </c>
      <c r="C7176" s="236">
        <v>0.73194444444444395</v>
      </c>
      <c r="D7176" s="237">
        <v>0</v>
      </c>
      <c r="E7176" s="237">
        <v>0</v>
      </c>
      <c r="F7176" s="237">
        <v>0</v>
      </c>
      <c r="G7176" s="237">
        <v>0</v>
      </c>
      <c r="H7176" s="237">
        <v>0</v>
      </c>
      <c r="I7176" s="237">
        <v>0</v>
      </c>
      <c r="J7176" s="237">
        <v>0</v>
      </c>
    </row>
    <row r="7177" spans="1:10" s="225" customFormat="1">
      <c r="A7177" s="222" t="s">
        <v>179</v>
      </c>
      <c r="B7177" s="222" t="s">
        <v>123</v>
      </c>
      <c r="C7177" s="236">
        <v>0.73263888888888895</v>
      </c>
      <c r="D7177" s="237">
        <v>0</v>
      </c>
      <c r="E7177" s="237">
        <v>0</v>
      </c>
      <c r="F7177" s="237">
        <v>0</v>
      </c>
      <c r="G7177" s="237">
        <v>0</v>
      </c>
      <c r="H7177" s="237">
        <v>0</v>
      </c>
      <c r="I7177" s="237">
        <v>0</v>
      </c>
      <c r="J7177" s="237">
        <v>0</v>
      </c>
    </row>
    <row r="7178" spans="1:10" s="225" customFormat="1">
      <c r="A7178" s="222" t="s">
        <v>179</v>
      </c>
      <c r="B7178" s="222" t="s">
        <v>123</v>
      </c>
      <c r="C7178" s="236">
        <v>0.73333333333333295</v>
      </c>
      <c r="D7178" s="237">
        <v>0</v>
      </c>
      <c r="E7178" s="237">
        <v>0</v>
      </c>
      <c r="F7178" s="237">
        <v>0</v>
      </c>
      <c r="G7178" s="237">
        <v>0</v>
      </c>
      <c r="H7178" s="237">
        <v>0</v>
      </c>
      <c r="I7178" s="237">
        <v>0</v>
      </c>
      <c r="J7178" s="237">
        <v>0</v>
      </c>
    </row>
    <row r="7179" spans="1:10" s="225" customFormat="1">
      <c r="A7179" s="222" t="s">
        <v>179</v>
      </c>
      <c r="B7179" s="222" t="s">
        <v>123</v>
      </c>
      <c r="C7179" s="236">
        <v>0.73402777777777795</v>
      </c>
      <c r="D7179" s="237">
        <v>0</v>
      </c>
      <c r="E7179" s="237">
        <v>0</v>
      </c>
      <c r="F7179" s="237">
        <v>0</v>
      </c>
      <c r="G7179" s="237">
        <v>0</v>
      </c>
      <c r="H7179" s="237">
        <v>0</v>
      </c>
      <c r="I7179" s="237">
        <v>0</v>
      </c>
      <c r="J7179" s="237">
        <v>0</v>
      </c>
    </row>
    <row r="7180" spans="1:10" s="225" customFormat="1">
      <c r="A7180" s="222" t="s">
        <v>179</v>
      </c>
      <c r="B7180" s="222" t="s">
        <v>123</v>
      </c>
      <c r="C7180" s="236">
        <v>0.73472222222222205</v>
      </c>
      <c r="D7180" s="237">
        <v>0</v>
      </c>
      <c r="E7180" s="237">
        <v>0</v>
      </c>
      <c r="F7180" s="237">
        <v>0</v>
      </c>
      <c r="G7180" s="237">
        <v>0</v>
      </c>
      <c r="H7180" s="237">
        <v>0</v>
      </c>
      <c r="I7180" s="237">
        <v>0</v>
      </c>
      <c r="J7180" s="237">
        <v>0</v>
      </c>
    </row>
    <row r="7181" spans="1:10" s="225" customFormat="1">
      <c r="A7181" s="222" t="s">
        <v>179</v>
      </c>
      <c r="B7181" s="222" t="s">
        <v>123</v>
      </c>
      <c r="C7181" s="236">
        <v>0.73541666666666605</v>
      </c>
      <c r="D7181" s="237">
        <v>0</v>
      </c>
      <c r="E7181" s="237">
        <v>0</v>
      </c>
      <c r="F7181" s="237">
        <v>0</v>
      </c>
      <c r="G7181" s="237">
        <v>0</v>
      </c>
      <c r="H7181" s="237">
        <v>0</v>
      </c>
      <c r="I7181" s="237">
        <v>0</v>
      </c>
      <c r="J7181" s="237">
        <v>0</v>
      </c>
    </row>
    <row r="7182" spans="1:10" s="225" customFormat="1">
      <c r="A7182" s="222" t="s">
        <v>179</v>
      </c>
      <c r="B7182" s="222" t="s">
        <v>123</v>
      </c>
      <c r="C7182" s="236">
        <v>0.73611111111111105</v>
      </c>
      <c r="D7182" s="237">
        <v>0</v>
      </c>
      <c r="E7182" s="237">
        <v>0</v>
      </c>
      <c r="F7182" s="237">
        <v>0</v>
      </c>
      <c r="G7182" s="237">
        <v>0</v>
      </c>
      <c r="H7182" s="237">
        <v>0</v>
      </c>
      <c r="I7182" s="237">
        <v>0</v>
      </c>
      <c r="J7182" s="237">
        <v>0</v>
      </c>
    </row>
    <row r="7183" spans="1:10" s="225" customFormat="1">
      <c r="A7183" s="222" t="s">
        <v>179</v>
      </c>
      <c r="B7183" s="222" t="s">
        <v>123</v>
      </c>
      <c r="C7183" s="236">
        <v>0.73680555555555505</v>
      </c>
      <c r="D7183" s="237">
        <v>0</v>
      </c>
      <c r="E7183" s="237">
        <v>0</v>
      </c>
      <c r="F7183" s="237">
        <v>0</v>
      </c>
      <c r="G7183" s="237">
        <v>0</v>
      </c>
      <c r="H7183" s="237">
        <v>0</v>
      </c>
      <c r="I7183" s="237">
        <v>0</v>
      </c>
      <c r="J7183" s="237">
        <v>0</v>
      </c>
    </row>
    <row r="7184" spans="1:10" s="225" customFormat="1">
      <c r="A7184" s="222" t="s">
        <v>179</v>
      </c>
      <c r="B7184" s="222" t="s">
        <v>123</v>
      </c>
      <c r="C7184" s="236">
        <v>0.73750000000000004</v>
      </c>
      <c r="D7184" s="237">
        <v>0</v>
      </c>
      <c r="E7184" s="237">
        <v>0</v>
      </c>
      <c r="F7184" s="237">
        <v>0</v>
      </c>
      <c r="G7184" s="237">
        <v>0</v>
      </c>
      <c r="H7184" s="237">
        <v>0</v>
      </c>
      <c r="I7184" s="237">
        <v>0</v>
      </c>
      <c r="J7184" s="237">
        <v>0</v>
      </c>
    </row>
    <row r="7185" spans="1:10" s="225" customFormat="1">
      <c r="A7185" s="222" t="s">
        <v>179</v>
      </c>
      <c r="B7185" s="222" t="s">
        <v>123</v>
      </c>
      <c r="C7185" s="236">
        <v>0.73819444444444404</v>
      </c>
      <c r="D7185" s="237">
        <v>0</v>
      </c>
      <c r="E7185" s="237">
        <v>0</v>
      </c>
      <c r="F7185" s="237">
        <v>0</v>
      </c>
      <c r="G7185" s="237">
        <v>0</v>
      </c>
      <c r="H7185" s="237">
        <v>0</v>
      </c>
      <c r="I7185" s="237">
        <v>0</v>
      </c>
      <c r="J7185" s="237">
        <v>0</v>
      </c>
    </row>
    <row r="7186" spans="1:10" s="229" customFormat="1">
      <c r="A7186" s="226" t="s">
        <v>179</v>
      </c>
      <c r="B7186" s="226" t="s">
        <v>123</v>
      </c>
      <c r="C7186" s="238">
        <v>0.73888888888888904</v>
      </c>
      <c r="D7186" s="239">
        <v>0</v>
      </c>
      <c r="E7186" s="239">
        <v>0</v>
      </c>
      <c r="F7186" s="239">
        <v>0</v>
      </c>
      <c r="G7186" s="239">
        <v>0</v>
      </c>
      <c r="H7186" s="239">
        <v>0</v>
      </c>
      <c r="I7186" s="239">
        <v>0</v>
      </c>
      <c r="J7186" s="239">
        <v>0</v>
      </c>
    </row>
    <row r="7187" spans="1:10" s="225" customFormat="1">
      <c r="A7187" s="222" t="s">
        <v>179</v>
      </c>
      <c r="B7187" s="222" t="s">
        <v>123</v>
      </c>
      <c r="C7187" s="236">
        <v>0.73958333333333304</v>
      </c>
      <c r="D7187" s="237">
        <v>0</v>
      </c>
      <c r="E7187" s="237">
        <v>0</v>
      </c>
      <c r="F7187" s="237">
        <v>0</v>
      </c>
      <c r="G7187" s="237">
        <v>0</v>
      </c>
      <c r="H7187" s="237">
        <v>0</v>
      </c>
      <c r="I7187" s="237">
        <v>0</v>
      </c>
      <c r="J7187" s="237">
        <v>0</v>
      </c>
    </row>
    <row r="7188" spans="1:10" s="225" customFormat="1">
      <c r="A7188" s="222" t="s">
        <v>179</v>
      </c>
      <c r="B7188" s="222" t="s">
        <v>123</v>
      </c>
      <c r="C7188" s="236">
        <v>0.74027777777777704</v>
      </c>
      <c r="D7188" s="237">
        <v>0</v>
      </c>
      <c r="E7188" s="237">
        <v>0</v>
      </c>
      <c r="F7188" s="237">
        <v>0</v>
      </c>
      <c r="G7188" s="237">
        <v>0</v>
      </c>
      <c r="H7188" s="237">
        <v>0</v>
      </c>
      <c r="I7188" s="237">
        <v>0</v>
      </c>
      <c r="J7188" s="237">
        <v>0</v>
      </c>
    </row>
    <row r="7189" spans="1:10" s="225" customFormat="1">
      <c r="A7189" s="222" t="s">
        <v>179</v>
      </c>
      <c r="B7189" s="222" t="s">
        <v>123</v>
      </c>
      <c r="C7189" s="236">
        <v>0.74097222222222203</v>
      </c>
      <c r="D7189" s="237">
        <v>0</v>
      </c>
      <c r="E7189" s="237">
        <v>0</v>
      </c>
      <c r="F7189" s="237">
        <v>0</v>
      </c>
      <c r="G7189" s="237">
        <v>0</v>
      </c>
      <c r="H7189" s="237">
        <v>0</v>
      </c>
      <c r="I7189" s="237">
        <v>0</v>
      </c>
      <c r="J7189" s="237">
        <v>0</v>
      </c>
    </row>
    <row r="7190" spans="1:10" s="225" customFormat="1">
      <c r="A7190" s="222" t="s">
        <v>179</v>
      </c>
      <c r="B7190" s="222" t="s">
        <v>123</v>
      </c>
      <c r="C7190" s="236">
        <v>0.74166666666666603</v>
      </c>
      <c r="D7190" s="237">
        <v>0</v>
      </c>
      <c r="E7190" s="237">
        <v>0</v>
      </c>
      <c r="F7190" s="237">
        <v>0</v>
      </c>
      <c r="G7190" s="237">
        <v>0</v>
      </c>
      <c r="H7190" s="237">
        <v>0</v>
      </c>
      <c r="I7190" s="237">
        <v>0</v>
      </c>
      <c r="J7190" s="237">
        <v>0</v>
      </c>
    </row>
    <row r="7191" spans="1:10" s="225" customFormat="1">
      <c r="A7191" s="222" t="s">
        <v>179</v>
      </c>
      <c r="B7191" s="222" t="s">
        <v>123</v>
      </c>
      <c r="C7191" s="236">
        <v>0.74236111111111103</v>
      </c>
      <c r="D7191" s="237">
        <v>0</v>
      </c>
      <c r="E7191" s="237">
        <v>0</v>
      </c>
      <c r="F7191" s="237">
        <v>0</v>
      </c>
      <c r="G7191" s="237">
        <v>0</v>
      </c>
      <c r="H7191" s="237">
        <v>0</v>
      </c>
      <c r="I7191" s="237">
        <v>0</v>
      </c>
      <c r="J7191" s="237">
        <v>0</v>
      </c>
    </row>
    <row r="7192" spans="1:10" s="225" customFormat="1">
      <c r="A7192" s="222" t="s">
        <v>179</v>
      </c>
      <c r="B7192" s="222" t="s">
        <v>123</v>
      </c>
      <c r="C7192" s="236">
        <v>0.74305555555555503</v>
      </c>
      <c r="D7192" s="237">
        <v>0</v>
      </c>
      <c r="E7192" s="237">
        <v>0</v>
      </c>
      <c r="F7192" s="237">
        <v>0</v>
      </c>
      <c r="G7192" s="237">
        <v>0</v>
      </c>
      <c r="H7192" s="237">
        <v>0</v>
      </c>
      <c r="I7192" s="237">
        <v>0</v>
      </c>
      <c r="J7192" s="237">
        <v>0</v>
      </c>
    </row>
    <row r="7193" spans="1:10" s="225" customFormat="1">
      <c r="A7193" s="222" t="s">
        <v>179</v>
      </c>
      <c r="B7193" s="222" t="s">
        <v>123</v>
      </c>
      <c r="C7193" s="236">
        <v>0.74375000000000002</v>
      </c>
      <c r="D7193" s="237">
        <v>0</v>
      </c>
      <c r="E7193" s="237">
        <v>0</v>
      </c>
      <c r="F7193" s="237">
        <v>0</v>
      </c>
      <c r="G7193" s="237">
        <v>0</v>
      </c>
      <c r="H7193" s="237">
        <v>0</v>
      </c>
      <c r="I7193" s="237">
        <v>0</v>
      </c>
      <c r="J7193" s="237">
        <v>0</v>
      </c>
    </row>
    <row r="7194" spans="1:10" s="225" customFormat="1">
      <c r="A7194" s="222" t="s">
        <v>179</v>
      </c>
      <c r="B7194" s="222" t="s">
        <v>123</v>
      </c>
      <c r="C7194" s="236">
        <v>0.74444444444444402</v>
      </c>
      <c r="D7194" s="237">
        <v>0</v>
      </c>
      <c r="E7194" s="237">
        <v>0</v>
      </c>
      <c r="F7194" s="237">
        <v>0</v>
      </c>
      <c r="G7194" s="237">
        <v>0</v>
      </c>
      <c r="H7194" s="237">
        <v>0</v>
      </c>
      <c r="I7194" s="237">
        <v>0</v>
      </c>
      <c r="J7194" s="237">
        <v>0</v>
      </c>
    </row>
    <row r="7195" spans="1:10" s="225" customFormat="1">
      <c r="A7195" s="222" t="s">
        <v>179</v>
      </c>
      <c r="B7195" s="222" t="s">
        <v>123</v>
      </c>
      <c r="C7195" s="236">
        <v>0.74513888888888902</v>
      </c>
      <c r="D7195" s="237">
        <v>0</v>
      </c>
      <c r="E7195" s="237">
        <v>0</v>
      </c>
      <c r="F7195" s="237">
        <v>0</v>
      </c>
      <c r="G7195" s="237">
        <v>0</v>
      </c>
      <c r="H7195" s="237">
        <v>0</v>
      </c>
      <c r="I7195" s="237">
        <v>0</v>
      </c>
      <c r="J7195" s="237">
        <v>0</v>
      </c>
    </row>
    <row r="7196" spans="1:10" s="225" customFormat="1">
      <c r="A7196" s="222" t="s">
        <v>179</v>
      </c>
      <c r="B7196" s="222" t="s">
        <v>123</v>
      </c>
      <c r="C7196" s="236">
        <v>0.74583333333333302</v>
      </c>
      <c r="D7196" s="237">
        <v>0</v>
      </c>
      <c r="E7196" s="237">
        <v>0</v>
      </c>
      <c r="F7196" s="237">
        <v>0</v>
      </c>
      <c r="G7196" s="237">
        <v>0</v>
      </c>
      <c r="H7196" s="237">
        <v>0</v>
      </c>
      <c r="I7196" s="237">
        <v>0</v>
      </c>
      <c r="J7196" s="237">
        <v>0</v>
      </c>
    </row>
    <row r="7197" spans="1:10" s="225" customFormat="1">
      <c r="A7197" s="222" t="s">
        <v>179</v>
      </c>
      <c r="B7197" s="222" t="s">
        <v>123</v>
      </c>
      <c r="C7197" s="236">
        <v>0.74652777777777701</v>
      </c>
      <c r="D7197" s="237">
        <v>0</v>
      </c>
      <c r="E7197" s="237">
        <v>0</v>
      </c>
      <c r="F7197" s="237">
        <v>0</v>
      </c>
      <c r="G7197" s="237">
        <v>0</v>
      </c>
      <c r="H7197" s="237">
        <v>0</v>
      </c>
      <c r="I7197" s="237">
        <v>0</v>
      </c>
      <c r="J7197" s="237">
        <v>0</v>
      </c>
    </row>
    <row r="7198" spans="1:10" s="225" customFormat="1">
      <c r="A7198" s="222" t="s">
        <v>179</v>
      </c>
      <c r="B7198" s="222" t="s">
        <v>123</v>
      </c>
      <c r="C7198" s="236">
        <v>0.74722222222222201</v>
      </c>
      <c r="D7198" s="237">
        <v>0</v>
      </c>
      <c r="E7198" s="237">
        <v>0</v>
      </c>
      <c r="F7198" s="237">
        <v>0</v>
      </c>
      <c r="G7198" s="237">
        <v>0</v>
      </c>
      <c r="H7198" s="237">
        <v>0</v>
      </c>
      <c r="I7198" s="237">
        <v>0</v>
      </c>
      <c r="J7198" s="237">
        <v>0</v>
      </c>
    </row>
    <row r="7199" spans="1:10" s="225" customFormat="1">
      <c r="A7199" s="222" t="s">
        <v>179</v>
      </c>
      <c r="B7199" s="222" t="s">
        <v>123</v>
      </c>
      <c r="C7199" s="236">
        <v>0.74791666666666601</v>
      </c>
      <c r="D7199" s="237">
        <v>0</v>
      </c>
      <c r="E7199" s="237">
        <v>0</v>
      </c>
      <c r="F7199" s="237">
        <v>0</v>
      </c>
      <c r="G7199" s="237">
        <v>0</v>
      </c>
      <c r="H7199" s="237">
        <v>0</v>
      </c>
      <c r="I7199" s="237">
        <v>0</v>
      </c>
      <c r="J7199" s="237">
        <v>0</v>
      </c>
    </row>
    <row r="7200" spans="1:10" s="225" customFormat="1">
      <c r="A7200" s="222" t="s">
        <v>179</v>
      </c>
      <c r="B7200" s="222" t="s">
        <v>123</v>
      </c>
      <c r="C7200" s="236">
        <v>0.74861111111111101</v>
      </c>
      <c r="D7200" s="237">
        <v>0</v>
      </c>
      <c r="E7200" s="237">
        <v>0</v>
      </c>
      <c r="F7200" s="237">
        <v>0</v>
      </c>
      <c r="G7200" s="237">
        <v>0</v>
      </c>
      <c r="H7200" s="237">
        <v>0</v>
      </c>
      <c r="I7200" s="237">
        <v>0</v>
      </c>
      <c r="J7200" s="237">
        <v>0</v>
      </c>
    </row>
    <row r="7201" spans="1:10" s="229" customFormat="1">
      <c r="A7201" s="226" t="s">
        <v>179</v>
      </c>
      <c r="B7201" s="226" t="s">
        <v>123</v>
      </c>
      <c r="C7201" s="238">
        <v>0.749305555555555</v>
      </c>
      <c r="D7201" s="239">
        <v>0</v>
      </c>
      <c r="E7201" s="239">
        <v>0</v>
      </c>
      <c r="F7201" s="239">
        <v>0</v>
      </c>
      <c r="G7201" s="239">
        <v>0</v>
      </c>
      <c r="H7201" s="239">
        <v>0</v>
      </c>
      <c r="I7201" s="239">
        <v>0</v>
      </c>
      <c r="J7201" s="239">
        <v>0</v>
      </c>
    </row>
    <row r="7202" spans="1:10" s="225" customFormat="1">
      <c r="A7202" s="222" t="s">
        <v>179</v>
      </c>
      <c r="B7202" s="222" t="s">
        <v>124</v>
      </c>
      <c r="C7202" s="236">
        <v>0.75</v>
      </c>
      <c r="D7202" s="237">
        <v>0</v>
      </c>
      <c r="E7202" s="237">
        <v>0</v>
      </c>
      <c r="F7202" s="237">
        <v>0</v>
      </c>
      <c r="G7202" s="237">
        <v>0</v>
      </c>
      <c r="H7202" s="237">
        <v>0</v>
      </c>
      <c r="I7202" s="237">
        <v>0</v>
      </c>
      <c r="J7202" s="237">
        <v>0</v>
      </c>
    </row>
    <row r="7203" spans="1:10" s="225" customFormat="1">
      <c r="A7203" s="222" t="s">
        <v>179</v>
      </c>
      <c r="B7203" s="222" t="s">
        <v>124</v>
      </c>
      <c r="C7203" s="236">
        <v>0.75069444444444444</v>
      </c>
      <c r="D7203" s="237">
        <v>0</v>
      </c>
      <c r="E7203" s="237">
        <v>0</v>
      </c>
      <c r="F7203" s="237">
        <v>0</v>
      </c>
      <c r="G7203" s="237">
        <v>0</v>
      </c>
      <c r="H7203" s="237">
        <v>0</v>
      </c>
      <c r="I7203" s="237">
        <v>0</v>
      </c>
      <c r="J7203" s="237">
        <v>0</v>
      </c>
    </row>
    <row r="7204" spans="1:10" s="225" customFormat="1">
      <c r="A7204" s="222" t="s">
        <v>179</v>
      </c>
      <c r="B7204" s="222" t="s">
        <v>124</v>
      </c>
      <c r="C7204" s="236">
        <v>0.75138888888888899</v>
      </c>
      <c r="D7204" s="237">
        <v>0</v>
      </c>
      <c r="E7204" s="237">
        <v>0</v>
      </c>
      <c r="F7204" s="237">
        <v>0</v>
      </c>
      <c r="G7204" s="237">
        <v>0</v>
      </c>
      <c r="H7204" s="237">
        <v>0</v>
      </c>
      <c r="I7204" s="237">
        <v>0</v>
      </c>
      <c r="J7204" s="237">
        <v>0</v>
      </c>
    </row>
    <row r="7205" spans="1:10" s="225" customFormat="1">
      <c r="A7205" s="222" t="s">
        <v>179</v>
      </c>
      <c r="B7205" s="222" t="s">
        <v>124</v>
      </c>
      <c r="C7205" s="236">
        <v>0.75208333333333299</v>
      </c>
      <c r="D7205" s="237">
        <v>0</v>
      </c>
      <c r="E7205" s="237">
        <v>0</v>
      </c>
      <c r="F7205" s="237">
        <v>0</v>
      </c>
      <c r="G7205" s="237">
        <v>0</v>
      </c>
      <c r="H7205" s="237">
        <v>0</v>
      </c>
      <c r="I7205" s="237">
        <v>0</v>
      </c>
      <c r="J7205" s="237">
        <v>0</v>
      </c>
    </row>
    <row r="7206" spans="1:10" s="225" customFormat="1">
      <c r="A7206" s="222" t="s">
        <v>179</v>
      </c>
      <c r="B7206" s="222" t="s">
        <v>124</v>
      </c>
      <c r="C7206" s="236">
        <v>0.75277777777777799</v>
      </c>
      <c r="D7206" s="237">
        <v>0</v>
      </c>
      <c r="E7206" s="237">
        <v>0</v>
      </c>
      <c r="F7206" s="237">
        <v>0</v>
      </c>
      <c r="G7206" s="237">
        <v>0</v>
      </c>
      <c r="H7206" s="237">
        <v>0</v>
      </c>
      <c r="I7206" s="237">
        <v>0</v>
      </c>
      <c r="J7206" s="237">
        <v>0</v>
      </c>
    </row>
    <row r="7207" spans="1:10" s="225" customFormat="1">
      <c r="A7207" s="222" t="s">
        <v>179</v>
      </c>
      <c r="B7207" s="222" t="s">
        <v>124</v>
      </c>
      <c r="C7207" s="236">
        <v>0.75347222222222199</v>
      </c>
      <c r="D7207" s="237">
        <v>0</v>
      </c>
      <c r="E7207" s="237">
        <v>0</v>
      </c>
      <c r="F7207" s="237">
        <v>0</v>
      </c>
      <c r="G7207" s="237">
        <v>0</v>
      </c>
      <c r="H7207" s="237">
        <v>0</v>
      </c>
      <c r="I7207" s="237">
        <v>0</v>
      </c>
      <c r="J7207" s="237">
        <v>0</v>
      </c>
    </row>
    <row r="7208" spans="1:10" s="225" customFormat="1">
      <c r="A7208" s="222" t="s">
        <v>179</v>
      </c>
      <c r="B7208" s="222" t="s">
        <v>124</v>
      </c>
      <c r="C7208" s="236">
        <v>0.75416666666666698</v>
      </c>
      <c r="D7208" s="237">
        <v>0</v>
      </c>
      <c r="E7208" s="237">
        <v>0</v>
      </c>
      <c r="F7208" s="237">
        <v>0</v>
      </c>
      <c r="G7208" s="237">
        <v>0</v>
      </c>
      <c r="H7208" s="237">
        <v>0</v>
      </c>
      <c r="I7208" s="237">
        <v>0</v>
      </c>
      <c r="J7208" s="237">
        <v>0</v>
      </c>
    </row>
    <row r="7209" spans="1:10" s="225" customFormat="1">
      <c r="A7209" s="222" t="s">
        <v>179</v>
      </c>
      <c r="B7209" s="222" t="s">
        <v>124</v>
      </c>
      <c r="C7209" s="236">
        <v>0.75486111111111098</v>
      </c>
      <c r="D7209" s="237">
        <v>0</v>
      </c>
      <c r="E7209" s="237">
        <v>0</v>
      </c>
      <c r="F7209" s="237">
        <v>0</v>
      </c>
      <c r="G7209" s="237">
        <v>0</v>
      </c>
      <c r="H7209" s="237">
        <v>0</v>
      </c>
      <c r="I7209" s="237">
        <v>0</v>
      </c>
      <c r="J7209" s="237">
        <v>0</v>
      </c>
    </row>
    <row r="7210" spans="1:10" s="225" customFormat="1">
      <c r="A7210" s="222" t="s">
        <v>179</v>
      </c>
      <c r="B7210" s="222" t="s">
        <v>124</v>
      </c>
      <c r="C7210" s="236">
        <v>0.75555555555555598</v>
      </c>
      <c r="D7210" s="237">
        <v>0</v>
      </c>
      <c r="E7210" s="237">
        <v>0</v>
      </c>
      <c r="F7210" s="237">
        <v>0</v>
      </c>
      <c r="G7210" s="237">
        <v>0</v>
      </c>
      <c r="H7210" s="237">
        <v>0</v>
      </c>
      <c r="I7210" s="237">
        <v>0</v>
      </c>
      <c r="J7210" s="237">
        <v>0</v>
      </c>
    </row>
    <row r="7211" spans="1:10" s="225" customFormat="1">
      <c r="A7211" s="222" t="s">
        <v>179</v>
      </c>
      <c r="B7211" s="222" t="s">
        <v>124</v>
      </c>
      <c r="C7211" s="236">
        <v>0.75624999999999998</v>
      </c>
      <c r="D7211" s="237">
        <v>0</v>
      </c>
      <c r="E7211" s="237">
        <v>0</v>
      </c>
      <c r="F7211" s="237">
        <v>0</v>
      </c>
      <c r="G7211" s="237">
        <v>0</v>
      </c>
      <c r="H7211" s="237">
        <v>0</v>
      </c>
      <c r="I7211" s="237">
        <v>0</v>
      </c>
      <c r="J7211" s="237">
        <v>0</v>
      </c>
    </row>
    <row r="7212" spans="1:10" s="225" customFormat="1">
      <c r="A7212" s="222" t="s">
        <v>179</v>
      </c>
      <c r="B7212" s="222" t="s">
        <v>124</v>
      </c>
      <c r="C7212" s="236">
        <v>0.75694444444444398</v>
      </c>
      <c r="D7212" s="237">
        <v>0</v>
      </c>
      <c r="E7212" s="237">
        <v>0</v>
      </c>
      <c r="F7212" s="237">
        <v>0</v>
      </c>
      <c r="G7212" s="237">
        <v>0</v>
      </c>
      <c r="H7212" s="237">
        <v>0</v>
      </c>
      <c r="I7212" s="237">
        <v>0</v>
      </c>
      <c r="J7212" s="237">
        <v>0</v>
      </c>
    </row>
    <row r="7213" spans="1:10" s="225" customFormat="1">
      <c r="A7213" s="222" t="s">
        <v>179</v>
      </c>
      <c r="B7213" s="222" t="s">
        <v>124</v>
      </c>
      <c r="C7213" s="236">
        <v>0.75763888888888897</v>
      </c>
      <c r="D7213" s="237">
        <v>0</v>
      </c>
      <c r="E7213" s="237">
        <v>0</v>
      </c>
      <c r="F7213" s="237">
        <v>0</v>
      </c>
      <c r="G7213" s="237">
        <v>0</v>
      </c>
      <c r="H7213" s="237">
        <v>0</v>
      </c>
      <c r="I7213" s="237">
        <v>0</v>
      </c>
      <c r="J7213" s="237">
        <v>0</v>
      </c>
    </row>
    <row r="7214" spans="1:10" s="225" customFormat="1">
      <c r="A7214" s="222" t="s">
        <v>179</v>
      </c>
      <c r="B7214" s="222" t="s">
        <v>124</v>
      </c>
      <c r="C7214" s="236">
        <v>0.75833333333333297</v>
      </c>
      <c r="D7214" s="237">
        <v>0</v>
      </c>
      <c r="E7214" s="237">
        <v>0</v>
      </c>
      <c r="F7214" s="237">
        <v>0</v>
      </c>
      <c r="G7214" s="237">
        <v>0</v>
      </c>
      <c r="H7214" s="237">
        <v>0</v>
      </c>
      <c r="I7214" s="237">
        <v>0</v>
      </c>
      <c r="J7214" s="237">
        <v>0</v>
      </c>
    </row>
    <row r="7215" spans="1:10" s="225" customFormat="1">
      <c r="A7215" s="222" t="s">
        <v>179</v>
      </c>
      <c r="B7215" s="222" t="s">
        <v>124</v>
      </c>
      <c r="C7215" s="236">
        <v>0.75902777777777797</v>
      </c>
      <c r="D7215" s="237">
        <v>0</v>
      </c>
      <c r="E7215" s="237">
        <v>0</v>
      </c>
      <c r="F7215" s="237">
        <v>0</v>
      </c>
      <c r="G7215" s="237">
        <v>0</v>
      </c>
      <c r="H7215" s="237">
        <v>0</v>
      </c>
      <c r="I7215" s="237">
        <v>0</v>
      </c>
      <c r="J7215" s="237">
        <v>0</v>
      </c>
    </row>
    <row r="7216" spans="1:10" s="229" customFormat="1">
      <c r="A7216" s="226" t="s">
        <v>179</v>
      </c>
      <c r="B7216" s="226" t="s">
        <v>124</v>
      </c>
      <c r="C7216" s="238">
        <v>0.75972222222222197</v>
      </c>
      <c r="D7216" s="239">
        <v>0</v>
      </c>
      <c r="E7216" s="239">
        <v>0</v>
      </c>
      <c r="F7216" s="239">
        <v>0</v>
      </c>
      <c r="G7216" s="239">
        <v>0</v>
      </c>
      <c r="H7216" s="239">
        <v>0</v>
      </c>
      <c r="I7216" s="239">
        <v>0</v>
      </c>
      <c r="J7216" s="239">
        <v>0</v>
      </c>
    </row>
    <row r="7217" spans="1:10" s="225" customFormat="1">
      <c r="A7217" s="222" t="s">
        <v>179</v>
      </c>
      <c r="B7217" s="222" t="s">
        <v>124</v>
      </c>
      <c r="C7217" s="236">
        <v>0.76041666666666696</v>
      </c>
      <c r="D7217" s="237">
        <v>0</v>
      </c>
      <c r="E7217" s="237">
        <v>0</v>
      </c>
      <c r="F7217" s="237">
        <v>0</v>
      </c>
      <c r="G7217" s="237">
        <v>0</v>
      </c>
      <c r="H7217" s="237">
        <v>0</v>
      </c>
      <c r="I7217" s="237">
        <v>0</v>
      </c>
      <c r="J7217" s="237">
        <v>0</v>
      </c>
    </row>
    <row r="7218" spans="1:10" s="225" customFormat="1">
      <c r="A7218" s="222" t="s">
        <v>179</v>
      </c>
      <c r="B7218" s="222" t="s">
        <v>124</v>
      </c>
      <c r="C7218" s="236">
        <v>0.76111111111111096</v>
      </c>
      <c r="D7218" s="237">
        <v>0</v>
      </c>
      <c r="E7218" s="237">
        <v>0</v>
      </c>
      <c r="F7218" s="237">
        <v>0</v>
      </c>
      <c r="G7218" s="237">
        <v>0</v>
      </c>
      <c r="H7218" s="237">
        <v>0</v>
      </c>
      <c r="I7218" s="237">
        <v>0</v>
      </c>
      <c r="J7218" s="237">
        <v>0</v>
      </c>
    </row>
    <row r="7219" spans="1:10" s="225" customFormat="1">
      <c r="A7219" s="222" t="s">
        <v>179</v>
      </c>
      <c r="B7219" s="222" t="s">
        <v>124</v>
      </c>
      <c r="C7219" s="236">
        <v>0.76180555555555596</v>
      </c>
      <c r="D7219" s="237">
        <v>0</v>
      </c>
      <c r="E7219" s="237">
        <v>0</v>
      </c>
      <c r="F7219" s="237">
        <v>0</v>
      </c>
      <c r="G7219" s="237">
        <v>0</v>
      </c>
      <c r="H7219" s="237">
        <v>0</v>
      </c>
      <c r="I7219" s="237">
        <v>0</v>
      </c>
      <c r="J7219" s="237">
        <v>0</v>
      </c>
    </row>
    <row r="7220" spans="1:10" s="225" customFormat="1">
      <c r="A7220" s="222" t="s">
        <v>179</v>
      </c>
      <c r="B7220" s="222" t="s">
        <v>124</v>
      </c>
      <c r="C7220" s="236">
        <v>0.76249999999999996</v>
      </c>
      <c r="D7220" s="237">
        <v>0</v>
      </c>
      <c r="E7220" s="237">
        <v>0</v>
      </c>
      <c r="F7220" s="237">
        <v>0</v>
      </c>
      <c r="G7220" s="237">
        <v>0</v>
      </c>
      <c r="H7220" s="237">
        <v>0</v>
      </c>
      <c r="I7220" s="237">
        <v>0</v>
      </c>
      <c r="J7220" s="237">
        <v>0</v>
      </c>
    </row>
    <row r="7221" spans="1:10" s="225" customFormat="1">
      <c r="A7221" s="222" t="s">
        <v>179</v>
      </c>
      <c r="B7221" s="222" t="s">
        <v>124</v>
      </c>
      <c r="C7221" s="236">
        <v>0.76319444444444395</v>
      </c>
      <c r="D7221" s="237">
        <v>0</v>
      </c>
      <c r="E7221" s="237">
        <v>0</v>
      </c>
      <c r="F7221" s="237">
        <v>0</v>
      </c>
      <c r="G7221" s="237">
        <v>0</v>
      </c>
      <c r="H7221" s="237">
        <v>0</v>
      </c>
      <c r="I7221" s="237">
        <v>0</v>
      </c>
      <c r="J7221" s="237">
        <v>0</v>
      </c>
    </row>
    <row r="7222" spans="1:10" s="225" customFormat="1">
      <c r="A7222" s="222" t="s">
        <v>179</v>
      </c>
      <c r="B7222" s="222" t="s">
        <v>124</v>
      </c>
      <c r="C7222" s="236">
        <v>0.76388888888888895</v>
      </c>
      <c r="D7222" s="237">
        <v>0</v>
      </c>
      <c r="E7222" s="237">
        <v>0</v>
      </c>
      <c r="F7222" s="237">
        <v>0</v>
      </c>
      <c r="G7222" s="237">
        <v>0</v>
      </c>
      <c r="H7222" s="237">
        <v>0</v>
      </c>
      <c r="I7222" s="237">
        <v>0</v>
      </c>
      <c r="J7222" s="237">
        <v>0</v>
      </c>
    </row>
    <row r="7223" spans="1:10" s="225" customFormat="1">
      <c r="A7223" s="222" t="s">
        <v>179</v>
      </c>
      <c r="B7223" s="222" t="s">
        <v>124</v>
      </c>
      <c r="C7223" s="236">
        <v>0.76458333333333295</v>
      </c>
      <c r="D7223" s="237">
        <v>0</v>
      </c>
      <c r="E7223" s="237">
        <v>0</v>
      </c>
      <c r="F7223" s="237">
        <v>0</v>
      </c>
      <c r="G7223" s="237">
        <v>0</v>
      </c>
      <c r="H7223" s="237">
        <v>0</v>
      </c>
      <c r="I7223" s="237">
        <v>0</v>
      </c>
      <c r="J7223" s="237">
        <v>0</v>
      </c>
    </row>
    <row r="7224" spans="1:10" s="225" customFormat="1">
      <c r="A7224" s="222" t="s">
        <v>179</v>
      </c>
      <c r="B7224" s="222" t="s">
        <v>124</v>
      </c>
      <c r="C7224" s="236">
        <v>0.76527777777777795</v>
      </c>
      <c r="D7224" s="237">
        <v>0</v>
      </c>
      <c r="E7224" s="237">
        <v>0</v>
      </c>
      <c r="F7224" s="237">
        <v>0</v>
      </c>
      <c r="G7224" s="237">
        <v>0</v>
      </c>
      <c r="H7224" s="237">
        <v>0</v>
      </c>
      <c r="I7224" s="237">
        <v>0</v>
      </c>
      <c r="J7224" s="237">
        <v>0</v>
      </c>
    </row>
    <row r="7225" spans="1:10" s="225" customFormat="1">
      <c r="A7225" s="222" t="s">
        <v>179</v>
      </c>
      <c r="B7225" s="222" t="s">
        <v>124</v>
      </c>
      <c r="C7225" s="236">
        <v>0.76597222222222205</v>
      </c>
      <c r="D7225" s="237">
        <v>0</v>
      </c>
      <c r="E7225" s="237">
        <v>0</v>
      </c>
      <c r="F7225" s="237">
        <v>0</v>
      </c>
      <c r="G7225" s="237">
        <v>0</v>
      </c>
      <c r="H7225" s="237">
        <v>0</v>
      </c>
      <c r="I7225" s="237">
        <v>0</v>
      </c>
      <c r="J7225" s="237">
        <v>0</v>
      </c>
    </row>
    <row r="7226" spans="1:10" s="225" customFormat="1">
      <c r="A7226" s="222" t="s">
        <v>179</v>
      </c>
      <c r="B7226" s="222" t="s">
        <v>124</v>
      </c>
      <c r="C7226" s="236">
        <v>0.76666666666666705</v>
      </c>
      <c r="D7226" s="237">
        <v>0</v>
      </c>
      <c r="E7226" s="237">
        <v>0</v>
      </c>
      <c r="F7226" s="237">
        <v>0</v>
      </c>
      <c r="G7226" s="237">
        <v>0</v>
      </c>
      <c r="H7226" s="237">
        <v>0</v>
      </c>
      <c r="I7226" s="237">
        <v>0</v>
      </c>
      <c r="J7226" s="237">
        <v>0</v>
      </c>
    </row>
    <row r="7227" spans="1:10" s="225" customFormat="1">
      <c r="A7227" s="222" t="s">
        <v>179</v>
      </c>
      <c r="B7227" s="222" t="s">
        <v>124</v>
      </c>
      <c r="C7227" s="236">
        <v>0.76736111111111105</v>
      </c>
      <c r="D7227" s="237">
        <v>0</v>
      </c>
      <c r="E7227" s="237">
        <v>0</v>
      </c>
      <c r="F7227" s="237">
        <v>0</v>
      </c>
      <c r="G7227" s="237">
        <v>0</v>
      </c>
      <c r="H7227" s="237">
        <v>0</v>
      </c>
      <c r="I7227" s="237">
        <v>0</v>
      </c>
      <c r="J7227" s="237">
        <v>0</v>
      </c>
    </row>
    <row r="7228" spans="1:10" s="225" customFormat="1">
      <c r="A7228" s="222" t="s">
        <v>179</v>
      </c>
      <c r="B7228" s="222" t="s">
        <v>124</v>
      </c>
      <c r="C7228" s="236">
        <v>0.76805555555555505</v>
      </c>
      <c r="D7228" s="237">
        <v>0</v>
      </c>
      <c r="E7228" s="237">
        <v>0</v>
      </c>
      <c r="F7228" s="237">
        <v>0</v>
      </c>
      <c r="G7228" s="237">
        <v>0</v>
      </c>
      <c r="H7228" s="237">
        <v>0</v>
      </c>
      <c r="I7228" s="237">
        <v>0</v>
      </c>
      <c r="J7228" s="237">
        <v>0</v>
      </c>
    </row>
    <row r="7229" spans="1:10" s="225" customFormat="1">
      <c r="A7229" s="222" t="s">
        <v>179</v>
      </c>
      <c r="B7229" s="222" t="s">
        <v>124</v>
      </c>
      <c r="C7229" s="236">
        <v>0.76875000000000004</v>
      </c>
      <c r="D7229" s="237">
        <v>0</v>
      </c>
      <c r="E7229" s="237">
        <v>0</v>
      </c>
      <c r="F7229" s="237">
        <v>0</v>
      </c>
      <c r="G7229" s="237">
        <v>0</v>
      </c>
      <c r="H7229" s="237">
        <v>0</v>
      </c>
      <c r="I7229" s="237">
        <v>0</v>
      </c>
      <c r="J7229" s="237">
        <v>0</v>
      </c>
    </row>
    <row r="7230" spans="1:10" s="225" customFormat="1">
      <c r="A7230" s="222" t="s">
        <v>179</v>
      </c>
      <c r="B7230" s="222" t="s">
        <v>124</v>
      </c>
      <c r="C7230" s="236">
        <v>0.76944444444444404</v>
      </c>
      <c r="D7230" s="237">
        <v>0</v>
      </c>
      <c r="E7230" s="237">
        <v>0</v>
      </c>
      <c r="F7230" s="237">
        <v>0</v>
      </c>
      <c r="G7230" s="237">
        <v>0</v>
      </c>
      <c r="H7230" s="237">
        <v>0</v>
      </c>
      <c r="I7230" s="237">
        <v>0</v>
      </c>
      <c r="J7230" s="237">
        <v>0</v>
      </c>
    </row>
    <row r="7231" spans="1:10" s="229" customFormat="1">
      <c r="A7231" s="226" t="s">
        <v>179</v>
      </c>
      <c r="B7231" s="226" t="s">
        <v>124</v>
      </c>
      <c r="C7231" s="238">
        <v>0.77013888888888904</v>
      </c>
      <c r="D7231" s="239">
        <v>0</v>
      </c>
      <c r="E7231" s="239">
        <v>0</v>
      </c>
      <c r="F7231" s="239">
        <v>0</v>
      </c>
      <c r="G7231" s="239">
        <v>0</v>
      </c>
      <c r="H7231" s="239">
        <v>0</v>
      </c>
      <c r="I7231" s="239">
        <v>0</v>
      </c>
      <c r="J7231" s="239">
        <v>0</v>
      </c>
    </row>
    <row r="7232" spans="1:10" s="225" customFormat="1">
      <c r="A7232" s="222" t="s">
        <v>179</v>
      </c>
      <c r="B7232" s="222" t="s">
        <v>124</v>
      </c>
      <c r="C7232" s="236">
        <v>0.77083333333333304</v>
      </c>
      <c r="D7232" s="237">
        <v>0</v>
      </c>
      <c r="E7232" s="237">
        <v>0</v>
      </c>
      <c r="F7232" s="237">
        <v>0</v>
      </c>
      <c r="G7232" s="237">
        <v>0</v>
      </c>
      <c r="H7232" s="237">
        <v>0</v>
      </c>
      <c r="I7232" s="237">
        <v>0</v>
      </c>
      <c r="J7232" s="237">
        <v>0</v>
      </c>
    </row>
    <row r="7233" spans="1:10" s="225" customFormat="1">
      <c r="A7233" s="222" t="s">
        <v>179</v>
      </c>
      <c r="B7233" s="222" t="s">
        <v>124</v>
      </c>
      <c r="C7233" s="236">
        <v>0.77152777777777803</v>
      </c>
      <c r="D7233" s="237">
        <v>0</v>
      </c>
      <c r="E7233" s="237">
        <v>0</v>
      </c>
      <c r="F7233" s="237">
        <v>0</v>
      </c>
      <c r="G7233" s="237">
        <v>0</v>
      </c>
      <c r="H7233" s="237">
        <v>0</v>
      </c>
      <c r="I7233" s="237">
        <v>0</v>
      </c>
      <c r="J7233" s="237">
        <v>0</v>
      </c>
    </row>
    <row r="7234" spans="1:10" s="225" customFormat="1">
      <c r="A7234" s="222" t="s">
        <v>179</v>
      </c>
      <c r="B7234" s="222" t="s">
        <v>124</v>
      </c>
      <c r="C7234" s="236">
        <v>0.77222222222222203</v>
      </c>
      <c r="D7234" s="237">
        <v>0</v>
      </c>
      <c r="E7234" s="237">
        <v>0</v>
      </c>
      <c r="F7234" s="237">
        <v>0</v>
      </c>
      <c r="G7234" s="237">
        <v>0</v>
      </c>
      <c r="H7234" s="237">
        <v>0</v>
      </c>
      <c r="I7234" s="237">
        <v>0</v>
      </c>
      <c r="J7234" s="237">
        <v>0</v>
      </c>
    </row>
    <row r="7235" spans="1:10" s="225" customFormat="1">
      <c r="A7235" s="222" t="s">
        <v>179</v>
      </c>
      <c r="B7235" s="222" t="s">
        <v>124</v>
      </c>
      <c r="C7235" s="236">
        <v>0.77291666666666703</v>
      </c>
      <c r="D7235" s="237">
        <v>0</v>
      </c>
      <c r="E7235" s="237">
        <v>0</v>
      </c>
      <c r="F7235" s="237">
        <v>0</v>
      </c>
      <c r="G7235" s="237">
        <v>0</v>
      </c>
      <c r="H7235" s="237">
        <v>0</v>
      </c>
      <c r="I7235" s="237">
        <v>0</v>
      </c>
      <c r="J7235" s="237">
        <v>0</v>
      </c>
    </row>
    <row r="7236" spans="1:10" s="225" customFormat="1">
      <c r="A7236" s="222" t="s">
        <v>179</v>
      </c>
      <c r="B7236" s="222" t="s">
        <v>124</v>
      </c>
      <c r="C7236" s="236">
        <v>0.77361111111111103</v>
      </c>
      <c r="D7236" s="237">
        <v>0</v>
      </c>
      <c r="E7236" s="237">
        <v>0</v>
      </c>
      <c r="F7236" s="237">
        <v>0</v>
      </c>
      <c r="G7236" s="237">
        <v>0</v>
      </c>
      <c r="H7236" s="237">
        <v>0</v>
      </c>
      <c r="I7236" s="237">
        <v>0</v>
      </c>
      <c r="J7236" s="237">
        <v>0</v>
      </c>
    </row>
    <row r="7237" spans="1:10" s="225" customFormat="1">
      <c r="A7237" s="222" t="s">
        <v>179</v>
      </c>
      <c r="B7237" s="222" t="s">
        <v>124</v>
      </c>
      <c r="C7237" s="236">
        <v>0.77430555555555503</v>
      </c>
      <c r="D7237" s="237">
        <v>0</v>
      </c>
      <c r="E7237" s="237">
        <v>0</v>
      </c>
      <c r="F7237" s="237">
        <v>0</v>
      </c>
      <c r="G7237" s="237">
        <v>0</v>
      </c>
      <c r="H7237" s="237">
        <v>0</v>
      </c>
      <c r="I7237" s="237">
        <v>0</v>
      </c>
      <c r="J7237" s="237">
        <v>0</v>
      </c>
    </row>
    <row r="7238" spans="1:10" s="225" customFormat="1">
      <c r="A7238" s="222" t="s">
        <v>179</v>
      </c>
      <c r="B7238" s="222" t="s">
        <v>124</v>
      </c>
      <c r="C7238" s="236">
        <v>0.77500000000000002</v>
      </c>
      <c r="D7238" s="237">
        <v>0</v>
      </c>
      <c r="E7238" s="237">
        <v>0</v>
      </c>
      <c r="F7238" s="237">
        <v>0</v>
      </c>
      <c r="G7238" s="237">
        <v>0</v>
      </c>
      <c r="H7238" s="237">
        <v>0</v>
      </c>
      <c r="I7238" s="237">
        <v>0</v>
      </c>
      <c r="J7238" s="237">
        <v>0</v>
      </c>
    </row>
    <row r="7239" spans="1:10" s="225" customFormat="1">
      <c r="A7239" s="222" t="s">
        <v>179</v>
      </c>
      <c r="B7239" s="222" t="s">
        <v>124</v>
      </c>
      <c r="C7239" s="236">
        <v>0.77569444444444402</v>
      </c>
      <c r="D7239" s="237">
        <v>0</v>
      </c>
      <c r="E7239" s="237">
        <v>0</v>
      </c>
      <c r="F7239" s="237">
        <v>0</v>
      </c>
      <c r="G7239" s="237">
        <v>0</v>
      </c>
      <c r="H7239" s="237">
        <v>0</v>
      </c>
      <c r="I7239" s="237">
        <v>0</v>
      </c>
      <c r="J7239" s="237">
        <v>0</v>
      </c>
    </row>
    <row r="7240" spans="1:10" s="225" customFormat="1">
      <c r="A7240" s="222" t="s">
        <v>179</v>
      </c>
      <c r="B7240" s="222" t="s">
        <v>124</v>
      </c>
      <c r="C7240" s="236">
        <v>0.77638888888888902</v>
      </c>
      <c r="D7240" s="237">
        <v>0</v>
      </c>
      <c r="E7240" s="237">
        <v>0</v>
      </c>
      <c r="F7240" s="237">
        <v>0</v>
      </c>
      <c r="G7240" s="237">
        <v>0</v>
      </c>
      <c r="H7240" s="237">
        <v>0</v>
      </c>
      <c r="I7240" s="237">
        <v>0</v>
      </c>
      <c r="J7240" s="237">
        <v>0</v>
      </c>
    </row>
    <row r="7241" spans="1:10" s="225" customFormat="1">
      <c r="A7241" s="222" t="s">
        <v>179</v>
      </c>
      <c r="B7241" s="222" t="s">
        <v>124</v>
      </c>
      <c r="C7241" s="236">
        <v>0.77708333333333302</v>
      </c>
      <c r="D7241" s="237">
        <v>0</v>
      </c>
      <c r="E7241" s="237">
        <v>0</v>
      </c>
      <c r="F7241" s="237">
        <v>0</v>
      </c>
      <c r="G7241" s="237">
        <v>0</v>
      </c>
      <c r="H7241" s="237">
        <v>0</v>
      </c>
      <c r="I7241" s="237">
        <v>0</v>
      </c>
      <c r="J7241" s="237">
        <v>0</v>
      </c>
    </row>
    <row r="7242" spans="1:10" s="225" customFormat="1">
      <c r="A7242" s="222" t="s">
        <v>179</v>
      </c>
      <c r="B7242" s="222" t="s">
        <v>124</v>
      </c>
      <c r="C7242" s="236">
        <v>0.77777777777777801</v>
      </c>
      <c r="D7242" s="237">
        <v>0</v>
      </c>
      <c r="E7242" s="237">
        <v>0</v>
      </c>
      <c r="F7242" s="237">
        <v>0</v>
      </c>
      <c r="G7242" s="237">
        <v>0</v>
      </c>
      <c r="H7242" s="237">
        <v>0</v>
      </c>
      <c r="I7242" s="237">
        <v>0</v>
      </c>
      <c r="J7242" s="237">
        <v>0</v>
      </c>
    </row>
    <row r="7243" spans="1:10" s="225" customFormat="1">
      <c r="A7243" s="222" t="s">
        <v>179</v>
      </c>
      <c r="B7243" s="222" t="s">
        <v>124</v>
      </c>
      <c r="C7243" s="236">
        <v>0.77847222222222201</v>
      </c>
      <c r="D7243" s="237">
        <v>0</v>
      </c>
      <c r="E7243" s="237">
        <v>0</v>
      </c>
      <c r="F7243" s="237">
        <v>0</v>
      </c>
      <c r="G7243" s="237">
        <v>0</v>
      </c>
      <c r="H7243" s="237">
        <v>0</v>
      </c>
      <c r="I7243" s="237">
        <v>0</v>
      </c>
      <c r="J7243" s="237">
        <v>0</v>
      </c>
    </row>
    <row r="7244" spans="1:10" s="225" customFormat="1">
      <c r="A7244" s="222" t="s">
        <v>179</v>
      </c>
      <c r="B7244" s="222" t="s">
        <v>124</v>
      </c>
      <c r="C7244" s="236">
        <v>0.77916666666666701</v>
      </c>
      <c r="D7244" s="237">
        <v>0</v>
      </c>
      <c r="E7244" s="237">
        <v>0</v>
      </c>
      <c r="F7244" s="237">
        <v>0</v>
      </c>
      <c r="G7244" s="237">
        <v>0</v>
      </c>
      <c r="H7244" s="237">
        <v>0</v>
      </c>
      <c r="I7244" s="237">
        <v>0</v>
      </c>
      <c r="J7244" s="237">
        <v>0</v>
      </c>
    </row>
    <row r="7245" spans="1:10" s="225" customFormat="1">
      <c r="A7245" s="222" t="s">
        <v>179</v>
      </c>
      <c r="B7245" s="222" t="s">
        <v>124</v>
      </c>
      <c r="C7245" s="236">
        <v>0.77986111111111101</v>
      </c>
      <c r="D7245" s="237">
        <v>0</v>
      </c>
      <c r="E7245" s="237">
        <v>0</v>
      </c>
      <c r="F7245" s="237">
        <v>0</v>
      </c>
      <c r="G7245" s="237">
        <v>0</v>
      </c>
      <c r="H7245" s="237">
        <v>0</v>
      </c>
      <c r="I7245" s="237">
        <v>0</v>
      </c>
      <c r="J7245" s="237">
        <v>0</v>
      </c>
    </row>
    <row r="7246" spans="1:10" s="229" customFormat="1">
      <c r="A7246" s="226" t="s">
        <v>179</v>
      </c>
      <c r="B7246" s="226" t="s">
        <v>124</v>
      </c>
      <c r="C7246" s="238">
        <v>0.780555555555555</v>
      </c>
      <c r="D7246" s="239">
        <v>0</v>
      </c>
      <c r="E7246" s="239">
        <v>0</v>
      </c>
      <c r="F7246" s="239">
        <v>0</v>
      </c>
      <c r="G7246" s="239">
        <v>0</v>
      </c>
      <c r="H7246" s="239">
        <v>0</v>
      </c>
      <c r="I7246" s="239">
        <v>0</v>
      </c>
      <c r="J7246" s="239">
        <v>0</v>
      </c>
    </row>
    <row r="7247" spans="1:10" s="225" customFormat="1">
      <c r="A7247" s="222" t="s">
        <v>179</v>
      </c>
      <c r="B7247" s="222" t="s">
        <v>124</v>
      </c>
      <c r="C7247" s="236">
        <v>0.78125</v>
      </c>
      <c r="D7247" s="237">
        <v>0</v>
      </c>
      <c r="E7247" s="237">
        <v>0</v>
      </c>
      <c r="F7247" s="237">
        <v>0</v>
      </c>
      <c r="G7247" s="237">
        <v>0</v>
      </c>
      <c r="H7247" s="237">
        <v>0</v>
      </c>
      <c r="I7247" s="237">
        <v>0</v>
      </c>
      <c r="J7247" s="237">
        <v>0</v>
      </c>
    </row>
    <row r="7248" spans="1:10" s="225" customFormat="1">
      <c r="A7248" s="222" t="s">
        <v>179</v>
      </c>
      <c r="B7248" s="222" t="s">
        <v>124</v>
      </c>
      <c r="C7248" s="236">
        <v>0.781944444444444</v>
      </c>
      <c r="D7248" s="237">
        <v>0</v>
      </c>
      <c r="E7248" s="237">
        <v>0</v>
      </c>
      <c r="F7248" s="237">
        <v>0</v>
      </c>
      <c r="G7248" s="237">
        <v>0</v>
      </c>
      <c r="H7248" s="237">
        <v>0</v>
      </c>
      <c r="I7248" s="237">
        <v>0</v>
      </c>
      <c r="J7248" s="237">
        <v>0</v>
      </c>
    </row>
    <row r="7249" spans="1:10" s="225" customFormat="1">
      <c r="A7249" s="222" t="s">
        <v>179</v>
      </c>
      <c r="B7249" s="222" t="s">
        <v>124</v>
      </c>
      <c r="C7249" s="236">
        <v>0.78263888888888899</v>
      </c>
      <c r="D7249" s="237">
        <v>0</v>
      </c>
      <c r="E7249" s="237">
        <v>0</v>
      </c>
      <c r="F7249" s="237">
        <v>0</v>
      </c>
      <c r="G7249" s="237">
        <v>0</v>
      </c>
      <c r="H7249" s="237">
        <v>0</v>
      </c>
      <c r="I7249" s="237">
        <v>0</v>
      </c>
      <c r="J7249" s="237">
        <v>0</v>
      </c>
    </row>
    <row r="7250" spans="1:10" s="225" customFormat="1">
      <c r="A7250" s="222" t="s">
        <v>179</v>
      </c>
      <c r="B7250" s="222" t="s">
        <v>124</v>
      </c>
      <c r="C7250" s="236">
        <v>0.78333333333333299</v>
      </c>
      <c r="D7250" s="237">
        <v>0</v>
      </c>
      <c r="E7250" s="237">
        <v>0</v>
      </c>
      <c r="F7250" s="237">
        <v>0</v>
      </c>
      <c r="G7250" s="237">
        <v>0</v>
      </c>
      <c r="H7250" s="237">
        <v>0</v>
      </c>
      <c r="I7250" s="237">
        <v>0</v>
      </c>
      <c r="J7250" s="237">
        <v>0</v>
      </c>
    </row>
    <row r="7251" spans="1:10" s="225" customFormat="1">
      <c r="A7251" s="222" t="s">
        <v>179</v>
      </c>
      <c r="B7251" s="222" t="s">
        <v>124</v>
      </c>
      <c r="C7251" s="236">
        <v>0.78402777777777799</v>
      </c>
      <c r="D7251" s="237">
        <v>0</v>
      </c>
      <c r="E7251" s="237">
        <v>0</v>
      </c>
      <c r="F7251" s="237">
        <v>0</v>
      </c>
      <c r="G7251" s="237">
        <v>0</v>
      </c>
      <c r="H7251" s="237">
        <v>0</v>
      </c>
      <c r="I7251" s="237">
        <v>0</v>
      </c>
      <c r="J7251" s="237">
        <v>0</v>
      </c>
    </row>
    <row r="7252" spans="1:10" s="225" customFormat="1">
      <c r="A7252" s="222" t="s">
        <v>179</v>
      </c>
      <c r="B7252" s="222" t="s">
        <v>124</v>
      </c>
      <c r="C7252" s="236">
        <v>0.78472222222222199</v>
      </c>
      <c r="D7252" s="237">
        <v>0</v>
      </c>
      <c r="E7252" s="237">
        <v>0</v>
      </c>
      <c r="F7252" s="237">
        <v>0</v>
      </c>
      <c r="G7252" s="237">
        <v>0</v>
      </c>
      <c r="H7252" s="237">
        <v>0</v>
      </c>
      <c r="I7252" s="237">
        <v>0</v>
      </c>
      <c r="J7252" s="237">
        <v>0</v>
      </c>
    </row>
    <row r="7253" spans="1:10" s="225" customFormat="1">
      <c r="A7253" s="222" t="s">
        <v>179</v>
      </c>
      <c r="B7253" s="222" t="s">
        <v>124</v>
      </c>
      <c r="C7253" s="236">
        <v>0.78541666666666698</v>
      </c>
      <c r="D7253" s="237">
        <v>0</v>
      </c>
      <c r="E7253" s="237">
        <v>0</v>
      </c>
      <c r="F7253" s="237">
        <v>0</v>
      </c>
      <c r="G7253" s="237">
        <v>0</v>
      </c>
      <c r="H7253" s="237">
        <v>0</v>
      </c>
      <c r="I7253" s="237">
        <v>0</v>
      </c>
      <c r="J7253" s="237">
        <v>0</v>
      </c>
    </row>
    <row r="7254" spans="1:10" s="225" customFormat="1">
      <c r="A7254" s="222" t="s">
        <v>179</v>
      </c>
      <c r="B7254" s="222" t="s">
        <v>124</v>
      </c>
      <c r="C7254" s="236">
        <v>0.78611111111111098</v>
      </c>
      <c r="D7254" s="237">
        <v>0</v>
      </c>
      <c r="E7254" s="237">
        <v>0</v>
      </c>
      <c r="F7254" s="237">
        <v>0</v>
      </c>
      <c r="G7254" s="237">
        <v>0</v>
      </c>
      <c r="H7254" s="237">
        <v>0</v>
      </c>
      <c r="I7254" s="237">
        <v>0</v>
      </c>
      <c r="J7254" s="237">
        <v>0</v>
      </c>
    </row>
    <row r="7255" spans="1:10" s="225" customFormat="1">
      <c r="A7255" s="222" t="s">
        <v>179</v>
      </c>
      <c r="B7255" s="222" t="s">
        <v>124</v>
      </c>
      <c r="C7255" s="236">
        <v>0.78680555555555498</v>
      </c>
      <c r="D7255" s="237">
        <v>0</v>
      </c>
      <c r="E7255" s="237">
        <v>0</v>
      </c>
      <c r="F7255" s="237">
        <v>0</v>
      </c>
      <c r="G7255" s="237">
        <v>0</v>
      </c>
      <c r="H7255" s="237">
        <v>0</v>
      </c>
      <c r="I7255" s="237">
        <v>0</v>
      </c>
      <c r="J7255" s="237">
        <v>0</v>
      </c>
    </row>
    <row r="7256" spans="1:10" s="225" customFormat="1">
      <c r="A7256" s="222" t="s">
        <v>179</v>
      </c>
      <c r="B7256" s="222" t="s">
        <v>124</v>
      </c>
      <c r="C7256" s="236">
        <v>0.78749999999999998</v>
      </c>
      <c r="D7256" s="237">
        <v>0</v>
      </c>
      <c r="E7256" s="237">
        <v>0</v>
      </c>
      <c r="F7256" s="237">
        <v>0</v>
      </c>
      <c r="G7256" s="237">
        <v>0</v>
      </c>
      <c r="H7256" s="237">
        <v>0</v>
      </c>
      <c r="I7256" s="237">
        <v>0</v>
      </c>
      <c r="J7256" s="237">
        <v>0</v>
      </c>
    </row>
    <row r="7257" spans="1:10" s="225" customFormat="1">
      <c r="A7257" s="222" t="s">
        <v>179</v>
      </c>
      <c r="B7257" s="222" t="s">
        <v>124</v>
      </c>
      <c r="C7257" s="236">
        <v>0.78819444444444398</v>
      </c>
      <c r="D7257" s="237">
        <v>0</v>
      </c>
      <c r="E7257" s="237">
        <v>0</v>
      </c>
      <c r="F7257" s="237">
        <v>0</v>
      </c>
      <c r="G7257" s="237">
        <v>0</v>
      </c>
      <c r="H7257" s="237">
        <v>0</v>
      </c>
      <c r="I7257" s="237">
        <v>0</v>
      </c>
      <c r="J7257" s="237">
        <v>0</v>
      </c>
    </row>
    <row r="7258" spans="1:10" s="225" customFormat="1">
      <c r="A7258" s="222" t="s">
        <v>179</v>
      </c>
      <c r="B7258" s="222" t="s">
        <v>124</v>
      </c>
      <c r="C7258" s="236">
        <v>0.78888888888888897</v>
      </c>
      <c r="D7258" s="237">
        <v>0</v>
      </c>
      <c r="E7258" s="237">
        <v>0</v>
      </c>
      <c r="F7258" s="237">
        <v>0</v>
      </c>
      <c r="G7258" s="237">
        <v>0</v>
      </c>
      <c r="H7258" s="237">
        <v>0</v>
      </c>
      <c r="I7258" s="237">
        <v>0</v>
      </c>
      <c r="J7258" s="237">
        <v>0</v>
      </c>
    </row>
    <row r="7259" spans="1:10" s="225" customFormat="1">
      <c r="A7259" s="222" t="s">
        <v>179</v>
      </c>
      <c r="B7259" s="222" t="s">
        <v>124</v>
      </c>
      <c r="C7259" s="236">
        <v>0.78958333333333297</v>
      </c>
      <c r="D7259" s="237">
        <v>0</v>
      </c>
      <c r="E7259" s="237">
        <v>0</v>
      </c>
      <c r="F7259" s="237">
        <v>0</v>
      </c>
      <c r="G7259" s="237">
        <v>0</v>
      </c>
      <c r="H7259" s="237">
        <v>0</v>
      </c>
      <c r="I7259" s="237">
        <v>0</v>
      </c>
      <c r="J7259" s="237">
        <v>0</v>
      </c>
    </row>
    <row r="7260" spans="1:10" s="225" customFormat="1">
      <c r="A7260" s="222" t="s">
        <v>179</v>
      </c>
      <c r="B7260" s="222" t="s">
        <v>124</v>
      </c>
      <c r="C7260" s="236">
        <v>0.79027777777777797</v>
      </c>
      <c r="D7260" s="237">
        <v>0</v>
      </c>
      <c r="E7260" s="237">
        <v>0</v>
      </c>
      <c r="F7260" s="237">
        <v>0</v>
      </c>
      <c r="G7260" s="237">
        <v>0</v>
      </c>
      <c r="H7260" s="237">
        <v>0</v>
      </c>
      <c r="I7260" s="237">
        <v>0</v>
      </c>
      <c r="J7260" s="237">
        <v>0</v>
      </c>
    </row>
    <row r="7261" spans="1:10" s="229" customFormat="1">
      <c r="A7261" s="226" t="s">
        <v>179</v>
      </c>
      <c r="B7261" s="226" t="s">
        <v>124</v>
      </c>
      <c r="C7261" s="238">
        <v>0.79097222222222197</v>
      </c>
      <c r="D7261" s="239">
        <v>0</v>
      </c>
      <c r="E7261" s="239">
        <v>0</v>
      </c>
      <c r="F7261" s="239">
        <v>0</v>
      </c>
      <c r="G7261" s="239">
        <v>0</v>
      </c>
      <c r="H7261" s="239">
        <v>0</v>
      </c>
      <c r="I7261" s="239">
        <v>0</v>
      </c>
      <c r="J7261" s="239">
        <v>0</v>
      </c>
    </row>
    <row r="7262" spans="1:10" s="225" customFormat="1">
      <c r="A7262" s="222" t="s">
        <v>179</v>
      </c>
      <c r="B7262" s="222" t="s">
        <v>124</v>
      </c>
      <c r="C7262" s="236">
        <v>0.79166666666666696</v>
      </c>
      <c r="D7262" s="237">
        <v>0</v>
      </c>
      <c r="E7262" s="237">
        <v>0</v>
      </c>
      <c r="F7262" s="237">
        <v>0</v>
      </c>
      <c r="G7262" s="237">
        <v>0</v>
      </c>
      <c r="H7262" s="237">
        <v>0</v>
      </c>
      <c r="I7262" s="237">
        <v>0</v>
      </c>
      <c r="J7262" s="237">
        <v>0</v>
      </c>
    </row>
    <row r="7263" spans="1:10" s="225" customFormat="1">
      <c r="A7263" s="222" t="s">
        <v>179</v>
      </c>
      <c r="B7263" s="222" t="s">
        <v>124</v>
      </c>
      <c r="C7263" s="236">
        <v>0.79236111111111096</v>
      </c>
      <c r="D7263" s="237">
        <v>0</v>
      </c>
      <c r="E7263" s="237">
        <v>0</v>
      </c>
      <c r="F7263" s="237">
        <v>0</v>
      </c>
      <c r="G7263" s="237">
        <v>0</v>
      </c>
      <c r="H7263" s="237">
        <v>0</v>
      </c>
      <c r="I7263" s="237">
        <v>0</v>
      </c>
      <c r="J7263" s="237">
        <v>0</v>
      </c>
    </row>
    <row r="7264" spans="1:10" s="225" customFormat="1">
      <c r="A7264" s="222" t="s">
        <v>179</v>
      </c>
      <c r="B7264" s="222" t="s">
        <v>124</v>
      </c>
      <c r="C7264" s="236">
        <v>0.79305555555555496</v>
      </c>
      <c r="D7264" s="237">
        <v>0</v>
      </c>
      <c r="E7264" s="237">
        <v>0</v>
      </c>
      <c r="F7264" s="237">
        <v>0</v>
      </c>
      <c r="G7264" s="237">
        <v>0</v>
      </c>
      <c r="H7264" s="237">
        <v>0</v>
      </c>
      <c r="I7264" s="237">
        <v>0</v>
      </c>
      <c r="J7264" s="237">
        <v>0</v>
      </c>
    </row>
    <row r="7265" spans="1:10" s="225" customFormat="1">
      <c r="A7265" s="222" t="s">
        <v>179</v>
      </c>
      <c r="B7265" s="222" t="s">
        <v>124</v>
      </c>
      <c r="C7265" s="236">
        <v>0.79374999999999996</v>
      </c>
      <c r="D7265" s="237">
        <v>0</v>
      </c>
      <c r="E7265" s="237">
        <v>0</v>
      </c>
      <c r="F7265" s="237">
        <v>0</v>
      </c>
      <c r="G7265" s="237">
        <v>0</v>
      </c>
      <c r="H7265" s="237">
        <v>0</v>
      </c>
      <c r="I7265" s="237">
        <v>0</v>
      </c>
      <c r="J7265" s="237">
        <v>0</v>
      </c>
    </row>
    <row r="7266" spans="1:10" s="225" customFormat="1">
      <c r="A7266" s="222" t="s">
        <v>179</v>
      </c>
      <c r="B7266" s="222" t="s">
        <v>124</v>
      </c>
      <c r="C7266" s="236">
        <v>0.79444444444444395</v>
      </c>
      <c r="D7266" s="237">
        <v>0</v>
      </c>
      <c r="E7266" s="237">
        <v>0</v>
      </c>
      <c r="F7266" s="237">
        <v>0</v>
      </c>
      <c r="G7266" s="237">
        <v>0</v>
      </c>
      <c r="H7266" s="237">
        <v>0</v>
      </c>
      <c r="I7266" s="237">
        <v>0</v>
      </c>
      <c r="J7266" s="237">
        <v>0</v>
      </c>
    </row>
    <row r="7267" spans="1:10" s="225" customFormat="1">
      <c r="A7267" s="222" t="s">
        <v>179</v>
      </c>
      <c r="B7267" s="222" t="s">
        <v>124</v>
      </c>
      <c r="C7267" s="236">
        <v>0.79513888888888895</v>
      </c>
      <c r="D7267" s="237">
        <v>0</v>
      </c>
      <c r="E7267" s="237">
        <v>0</v>
      </c>
      <c r="F7267" s="237">
        <v>0</v>
      </c>
      <c r="G7267" s="237">
        <v>0</v>
      </c>
      <c r="H7267" s="237">
        <v>0</v>
      </c>
      <c r="I7267" s="237">
        <v>0</v>
      </c>
      <c r="J7267" s="237">
        <v>0</v>
      </c>
    </row>
    <row r="7268" spans="1:10" s="225" customFormat="1">
      <c r="A7268" s="222" t="s">
        <v>179</v>
      </c>
      <c r="B7268" s="222" t="s">
        <v>124</v>
      </c>
      <c r="C7268" s="236">
        <v>0.79583333333333295</v>
      </c>
      <c r="D7268" s="237">
        <v>0</v>
      </c>
      <c r="E7268" s="237">
        <v>0</v>
      </c>
      <c r="F7268" s="237">
        <v>0</v>
      </c>
      <c r="G7268" s="237">
        <v>0</v>
      </c>
      <c r="H7268" s="237">
        <v>0</v>
      </c>
      <c r="I7268" s="237">
        <v>0</v>
      </c>
      <c r="J7268" s="237">
        <v>0</v>
      </c>
    </row>
    <row r="7269" spans="1:10" s="225" customFormat="1">
      <c r="A7269" s="222" t="s">
        <v>179</v>
      </c>
      <c r="B7269" s="222" t="s">
        <v>124</v>
      </c>
      <c r="C7269" s="236">
        <v>0.79652777777777795</v>
      </c>
      <c r="D7269" s="237">
        <v>0</v>
      </c>
      <c r="E7269" s="237">
        <v>0</v>
      </c>
      <c r="F7269" s="237">
        <v>0</v>
      </c>
      <c r="G7269" s="237">
        <v>0</v>
      </c>
      <c r="H7269" s="237">
        <v>0</v>
      </c>
      <c r="I7269" s="237">
        <v>0</v>
      </c>
      <c r="J7269" s="237">
        <v>0</v>
      </c>
    </row>
    <row r="7270" spans="1:10" s="225" customFormat="1">
      <c r="A7270" s="222" t="s">
        <v>179</v>
      </c>
      <c r="B7270" s="222" t="s">
        <v>124</v>
      </c>
      <c r="C7270" s="236">
        <v>0.79722222222222205</v>
      </c>
      <c r="D7270" s="237">
        <v>0</v>
      </c>
      <c r="E7270" s="237">
        <v>0</v>
      </c>
      <c r="F7270" s="237">
        <v>0</v>
      </c>
      <c r="G7270" s="237">
        <v>0</v>
      </c>
      <c r="H7270" s="237">
        <v>0</v>
      </c>
      <c r="I7270" s="237">
        <v>0</v>
      </c>
      <c r="J7270" s="237">
        <v>0</v>
      </c>
    </row>
    <row r="7271" spans="1:10" s="225" customFormat="1">
      <c r="A7271" s="222" t="s">
        <v>179</v>
      </c>
      <c r="B7271" s="222" t="s">
        <v>124</v>
      </c>
      <c r="C7271" s="236">
        <v>0.79791666666666605</v>
      </c>
      <c r="D7271" s="237">
        <v>0</v>
      </c>
      <c r="E7271" s="237">
        <v>0</v>
      </c>
      <c r="F7271" s="237">
        <v>0</v>
      </c>
      <c r="G7271" s="237">
        <v>0</v>
      </c>
      <c r="H7271" s="237">
        <v>0</v>
      </c>
      <c r="I7271" s="237">
        <v>0</v>
      </c>
      <c r="J7271" s="237">
        <v>0</v>
      </c>
    </row>
    <row r="7272" spans="1:10" s="225" customFormat="1">
      <c r="A7272" s="222" t="s">
        <v>179</v>
      </c>
      <c r="B7272" s="222" t="s">
        <v>124</v>
      </c>
      <c r="C7272" s="236">
        <v>0.79861111111111105</v>
      </c>
      <c r="D7272" s="237">
        <v>0</v>
      </c>
      <c r="E7272" s="237">
        <v>0</v>
      </c>
      <c r="F7272" s="237">
        <v>0</v>
      </c>
      <c r="G7272" s="237">
        <v>0</v>
      </c>
      <c r="H7272" s="237">
        <v>0</v>
      </c>
      <c r="I7272" s="237">
        <v>0</v>
      </c>
      <c r="J7272" s="237">
        <v>0</v>
      </c>
    </row>
    <row r="7273" spans="1:10" s="225" customFormat="1">
      <c r="A7273" s="222" t="s">
        <v>179</v>
      </c>
      <c r="B7273" s="222" t="s">
        <v>124</v>
      </c>
      <c r="C7273" s="236">
        <v>0.79930555555555505</v>
      </c>
      <c r="D7273" s="237">
        <v>0</v>
      </c>
      <c r="E7273" s="237">
        <v>0</v>
      </c>
      <c r="F7273" s="237">
        <v>0</v>
      </c>
      <c r="G7273" s="237">
        <v>0</v>
      </c>
      <c r="H7273" s="237">
        <v>0</v>
      </c>
      <c r="I7273" s="237">
        <v>0</v>
      </c>
      <c r="J7273" s="237">
        <v>0</v>
      </c>
    </row>
    <row r="7274" spans="1:10" s="225" customFormat="1">
      <c r="A7274" s="222" t="s">
        <v>179</v>
      </c>
      <c r="B7274" s="222" t="s">
        <v>124</v>
      </c>
      <c r="C7274" s="236">
        <v>0.8</v>
      </c>
      <c r="D7274" s="237">
        <v>0</v>
      </c>
      <c r="E7274" s="237">
        <v>0</v>
      </c>
      <c r="F7274" s="237">
        <v>0</v>
      </c>
      <c r="G7274" s="237">
        <v>0</v>
      </c>
      <c r="H7274" s="237">
        <v>0</v>
      </c>
      <c r="I7274" s="237">
        <v>0</v>
      </c>
      <c r="J7274" s="237">
        <v>0</v>
      </c>
    </row>
    <row r="7275" spans="1:10" s="225" customFormat="1">
      <c r="A7275" s="222" t="s">
        <v>179</v>
      </c>
      <c r="B7275" s="222" t="s">
        <v>124</v>
      </c>
      <c r="C7275" s="236">
        <v>0.80069444444444404</v>
      </c>
      <c r="D7275" s="237">
        <v>0</v>
      </c>
      <c r="E7275" s="237">
        <v>0</v>
      </c>
      <c r="F7275" s="237">
        <v>0</v>
      </c>
      <c r="G7275" s="237">
        <v>0</v>
      </c>
      <c r="H7275" s="237">
        <v>0</v>
      </c>
      <c r="I7275" s="237">
        <v>0</v>
      </c>
      <c r="J7275" s="237">
        <v>0</v>
      </c>
    </row>
    <row r="7276" spans="1:10" s="229" customFormat="1">
      <c r="A7276" s="226" t="s">
        <v>179</v>
      </c>
      <c r="B7276" s="226" t="s">
        <v>124</v>
      </c>
      <c r="C7276" s="238">
        <v>0.80138888888888904</v>
      </c>
      <c r="D7276" s="239">
        <v>0</v>
      </c>
      <c r="E7276" s="239">
        <v>0</v>
      </c>
      <c r="F7276" s="239">
        <v>0</v>
      </c>
      <c r="G7276" s="239">
        <v>0</v>
      </c>
      <c r="H7276" s="239">
        <v>0</v>
      </c>
      <c r="I7276" s="239">
        <v>0</v>
      </c>
      <c r="J7276" s="239">
        <v>0</v>
      </c>
    </row>
    <row r="7277" spans="1:10" s="225" customFormat="1">
      <c r="A7277" s="222" t="s">
        <v>179</v>
      </c>
      <c r="B7277" s="222" t="s">
        <v>124</v>
      </c>
      <c r="C7277" s="236">
        <v>0.80208333333333304</v>
      </c>
      <c r="D7277" s="237">
        <v>0</v>
      </c>
      <c r="E7277" s="237">
        <v>0</v>
      </c>
      <c r="F7277" s="237">
        <v>0</v>
      </c>
      <c r="G7277" s="237">
        <v>0</v>
      </c>
      <c r="H7277" s="237">
        <v>0</v>
      </c>
      <c r="I7277" s="237">
        <v>0</v>
      </c>
      <c r="J7277" s="237">
        <v>0</v>
      </c>
    </row>
    <row r="7278" spans="1:10" s="225" customFormat="1">
      <c r="A7278" s="222" t="s">
        <v>179</v>
      </c>
      <c r="B7278" s="222" t="s">
        <v>124</v>
      </c>
      <c r="C7278" s="236">
        <v>0.80277777777777803</v>
      </c>
      <c r="D7278" s="237">
        <v>0</v>
      </c>
      <c r="E7278" s="237">
        <v>0</v>
      </c>
      <c r="F7278" s="237">
        <v>0</v>
      </c>
      <c r="G7278" s="237">
        <v>0</v>
      </c>
      <c r="H7278" s="237">
        <v>0</v>
      </c>
      <c r="I7278" s="237">
        <v>0</v>
      </c>
      <c r="J7278" s="237">
        <v>0</v>
      </c>
    </row>
    <row r="7279" spans="1:10" s="225" customFormat="1">
      <c r="A7279" s="222" t="s">
        <v>179</v>
      </c>
      <c r="B7279" s="222" t="s">
        <v>124</v>
      </c>
      <c r="C7279" s="236">
        <v>0.80347222222222203</v>
      </c>
      <c r="D7279" s="237">
        <v>0</v>
      </c>
      <c r="E7279" s="237">
        <v>0</v>
      </c>
      <c r="F7279" s="237">
        <v>0</v>
      </c>
      <c r="G7279" s="237">
        <v>0</v>
      </c>
      <c r="H7279" s="237">
        <v>0</v>
      </c>
      <c r="I7279" s="237">
        <v>0</v>
      </c>
      <c r="J7279" s="237">
        <v>0</v>
      </c>
    </row>
    <row r="7280" spans="1:10" s="225" customFormat="1">
      <c r="A7280" s="222" t="s">
        <v>179</v>
      </c>
      <c r="B7280" s="222" t="s">
        <v>124</v>
      </c>
      <c r="C7280" s="236">
        <v>0.80416666666666603</v>
      </c>
      <c r="D7280" s="237">
        <v>0</v>
      </c>
      <c r="E7280" s="237">
        <v>0</v>
      </c>
      <c r="F7280" s="237">
        <v>0</v>
      </c>
      <c r="G7280" s="237">
        <v>0</v>
      </c>
      <c r="H7280" s="237">
        <v>0</v>
      </c>
      <c r="I7280" s="237">
        <v>0</v>
      </c>
      <c r="J7280" s="237">
        <v>0</v>
      </c>
    </row>
    <row r="7281" spans="1:10" s="225" customFormat="1">
      <c r="A7281" s="222" t="s">
        <v>179</v>
      </c>
      <c r="B7281" s="222" t="s">
        <v>124</v>
      </c>
      <c r="C7281" s="236">
        <v>0.80486111111111103</v>
      </c>
      <c r="D7281" s="237">
        <v>0</v>
      </c>
      <c r="E7281" s="237">
        <v>0</v>
      </c>
      <c r="F7281" s="237">
        <v>0</v>
      </c>
      <c r="G7281" s="237">
        <v>0</v>
      </c>
      <c r="H7281" s="237">
        <v>0</v>
      </c>
      <c r="I7281" s="237">
        <v>0</v>
      </c>
      <c r="J7281" s="237">
        <v>0</v>
      </c>
    </row>
    <row r="7282" spans="1:10" s="225" customFormat="1">
      <c r="A7282" s="222" t="s">
        <v>179</v>
      </c>
      <c r="B7282" s="222" t="s">
        <v>124</v>
      </c>
      <c r="C7282" s="236">
        <v>0.80555555555555503</v>
      </c>
      <c r="D7282" s="237">
        <v>0</v>
      </c>
      <c r="E7282" s="237">
        <v>0</v>
      </c>
      <c r="F7282" s="237">
        <v>0</v>
      </c>
      <c r="G7282" s="237">
        <v>0</v>
      </c>
      <c r="H7282" s="237">
        <v>0</v>
      </c>
      <c r="I7282" s="237">
        <v>0</v>
      </c>
      <c r="J7282" s="237">
        <v>0</v>
      </c>
    </row>
    <row r="7283" spans="1:10" s="225" customFormat="1">
      <c r="A7283" s="222" t="s">
        <v>179</v>
      </c>
      <c r="B7283" s="222" t="s">
        <v>124</v>
      </c>
      <c r="C7283" s="236">
        <v>0.80625000000000002</v>
      </c>
      <c r="D7283" s="237">
        <v>0</v>
      </c>
      <c r="E7283" s="237">
        <v>0</v>
      </c>
      <c r="F7283" s="237">
        <v>0</v>
      </c>
      <c r="G7283" s="237">
        <v>0</v>
      </c>
      <c r="H7283" s="237">
        <v>0</v>
      </c>
      <c r="I7283" s="237">
        <v>0</v>
      </c>
      <c r="J7283" s="237">
        <v>0</v>
      </c>
    </row>
    <row r="7284" spans="1:10" s="225" customFormat="1">
      <c r="A7284" s="222" t="s">
        <v>179</v>
      </c>
      <c r="B7284" s="222" t="s">
        <v>124</v>
      </c>
      <c r="C7284" s="236">
        <v>0.80694444444444402</v>
      </c>
      <c r="D7284" s="237">
        <v>0</v>
      </c>
      <c r="E7284" s="237">
        <v>0</v>
      </c>
      <c r="F7284" s="237">
        <v>0</v>
      </c>
      <c r="G7284" s="237">
        <v>0</v>
      </c>
      <c r="H7284" s="237">
        <v>0</v>
      </c>
      <c r="I7284" s="237">
        <v>0</v>
      </c>
      <c r="J7284" s="237">
        <v>0</v>
      </c>
    </row>
    <row r="7285" spans="1:10" s="225" customFormat="1">
      <c r="A7285" s="222" t="s">
        <v>179</v>
      </c>
      <c r="B7285" s="222" t="s">
        <v>124</v>
      </c>
      <c r="C7285" s="236">
        <v>0.80763888888888902</v>
      </c>
      <c r="D7285" s="237">
        <v>0</v>
      </c>
      <c r="E7285" s="237">
        <v>0</v>
      </c>
      <c r="F7285" s="237">
        <v>0</v>
      </c>
      <c r="G7285" s="237">
        <v>0</v>
      </c>
      <c r="H7285" s="237">
        <v>0</v>
      </c>
      <c r="I7285" s="237">
        <v>0</v>
      </c>
      <c r="J7285" s="237">
        <v>0</v>
      </c>
    </row>
    <row r="7286" spans="1:10" s="225" customFormat="1">
      <c r="A7286" s="222" t="s">
        <v>179</v>
      </c>
      <c r="B7286" s="222" t="s">
        <v>124</v>
      </c>
      <c r="C7286" s="236">
        <v>0.80833333333333302</v>
      </c>
      <c r="D7286" s="237">
        <v>0</v>
      </c>
      <c r="E7286" s="237">
        <v>0</v>
      </c>
      <c r="F7286" s="237">
        <v>0</v>
      </c>
      <c r="G7286" s="237">
        <v>0</v>
      </c>
      <c r="H7286" s="237">
        <v>0</v>
      </c>
      <c r="I7286" s="237">
        <v>0</v>
      </c>
      <c r="J7286" s="237">
        <v>0</v>
      </c>
    </row>
    <row r="7287" spans="1:10" s="225" customFormat="1">
      <c r="A7287" s="222" t="s">
        <v>179</v>
      </c>
      <c r="B7287" s="222" t="s">
        <v>124</v>
      </c>
      <c r="C7287" s="236">
        <v>0.80902777777777801</v>
      </c>
      <c r="D7287" s="237">
        <v>0</v>
      </c>
      <c r="E7287" s="237">
        <v>0</v>
      </c>
      <c r="F7287" s="237">
        <v>0</v>
      </c>
      <c r="G7287" s="237">
        <v>0</v>
      </c>
      <c r="H7287" s="237">
        <v>0</v>
      </c>
      <c r="I7287" s="237">
        <v>0</v>
      </c>
      <c r="J7287" s="237">
        <v>0</v>
      </c>
    </row>
    <row r="7288" spans="1:10" s="225" customFormat="1">
      <c r="A7288" s="222" t="s">
        <v>179</v>
      </c>
      <c r="B7288" s="222" t="s">
        <v>124</v>
      </c>
      <c r="C7288" s="236">
        <v>0.80972222222222201</v>
      </c>
      <c r="D7288" s="237">
        <v>0</v>
      </c>
      <c r="E7288" s="237">
        <v>0</v>
      </c>
      <c r="F7288" s="237">
        <v>0</v>
      </c>
      <c r="G7288" s="237">
        <v>0</v>
      </c>
      <c r="H7288" s="237">
        <v>0</v>
      </c>
      <c r="I7288" s="237">
        <v>0</v>
      </c>
      <c r="J7288" s="237">
        <v>0</v>
      </c>
    </row>
    <row r="7289" spans="1:10" s="225" customFormat="1">
      <c r="A7289" s="222" t="s">
        <v>179</v>
      </c>
      <c r="B7289" s="222" t="s">
        <v>124</v>
      </c>
      <c r="C7289" s="236">
        <v>0.81041666666666601</v>
      </c>
      <c r="D7289" s="237">
        <v>0</v>
      </c>
      <c r="E7289" s="237">
        <v>0</v>
      </c>
      <c r="F7289" s="237">
        <v>0</v>
      </c>
      <c r="G7289" s="237">
        <v>0</v>
      </c>
      <c r="H7289" s="237">
        <v>0</v>
      </c>
      <c r="I7289" s="237">
        <v>0</v>
      </c>
      <c r="J7289" s="237">
        <v>0</v>
      </c>
    </row>
    <row r="7290" spans="1:10" s="225" customFormat="1">
      <c r="A7290" s="222" t="s">
        <v>179</v>
      </c>
      <c r="B7290" s="222" t="s">
        <v>124</v>
      </c>
      <c r="C7290" s="236">
        <v>0.81111111111111101</v>
      </c>
      <c r="D7290" s="237">
        <v>0</v>
      </c>
      <c r="E7290" s="237">
        <v>0</v>
      </c>
      <c r="F7290" s="237">
        <v>0</v>
      </c>
      <c r="G7290" s="237">
        <v>0</v>
      </c>
      <c r="H7290" s="237">
        <v>0</v>
      </c>
      <c r="I7290" s="237">
        <v>0</v>
      </c>
      <c r="J7290" s="237">
        <v>0</v>
      </c>
    </row>
    <row r="7291" spans="1:10" s="229" customFormat="1">
      <c r="A7291" s="226" t="s">
        <v>179</v>
      </c>
      <c r="B7291" s="226" t="s">
        <v>124</v>
      </c>
      <c r="C7291" s="238">
        <v>0.811805555555555</v>
      </c>
      <c r="D7291" s="239">
        <v>0</v>
      </c>
      <c r="E7291" s="239">
        <v>0</v>
      </c>
      <c r="F7291" s="239">
        <v>0</v>
      </c>
      <c r="G7291" s="239">
        <v>0</v>
      </c>
      <c r="H7291" s="239">
        <v>0</v>
      </c>
      <c r="I7291" s="239">
        <v>0</v>
      </c>
      <c r="J7291" s="239">
        <v>0</v>
      </c>
    </row>
    <row r="7292" spans="1:10" s="225" customFormat="1">
      <c r="A7292" s="222" t="s">
        <v>179</v>
      </c>
      <c r="B7292" s="222" t="s">
        <v>124</v>
      </c>
      <c r="C7292" s="236">
        <v>0.8125</v>
      </c>
      <c r="D7292" s="237">
        <v>0</v>
      </c>
      <c r="E7292" s="237">
        <v>0</v>
      </c>
      <c r="F7292" s="237">
        <v>0</v>
      </c>
      <c r="G7292" s="237">
        <v>0</v>
      </c>
      <c r="H7292" s="237">
        <v>0</v>
      </c>
      <c r="I7292" s="237">
        <v>0</v>
      </c>
      <c r="J7292" s="237">
        <v>0</v>
      </c>
    </row>
    <row r="7293" spans="1:10" s="225" customFormat="1">
      <c r="A7293" s="222" t="s">
        <v>179</v>
      </c>
      <c r="B7293" s="222" t="s">
        <v>124</v>
      </c>
      <c r="C7293" s="236">
        <v>0.813194444444444</v>
      </c>
      <c r="D7293" s="237">
        <v>0</v>
      </c>
      <c r="E7293" s="237">
        <v>0</v>
      </c>
      <c r="F7293" s="237">
        <v>0</v>
      </c>
      <c r="G7293" s="237">
        <v>0</v>
      </c>
      <c r="H7293" s="237">
        <v>0</v>
      </c>
      <c r="I7293" s="237">
        <v>0</v>
      </c>
      <c r="J7293" s="237">
        <v>0</v>
      </c>
    </row>
    <row r="7294" spans="1:10" s="225" customFormat="1">
      <c r="A7294" s="222" t="s">
        <v>179</v>
      </c>
      <c r="B7294" s="222" t="s">
        <v>124</v>
      </c>
      <c r="C7294" s="236">
        <v>0.81388888888888899</v>
      </c>
      <c r="D7294" s="237">
        <v>0</v>
      </c>
      <c r="E7294" s="237">
        <v>0</v>
      </c>
      <c r="F7294" s="237">
        <v>0</v>
      </c>
      <c r="G7294" s="237">
        <v>0</v>
      </c>
      <c r="H7294" s="237">
        <v>0</v>
      </c>
      <c r="I7294" s="237">
        <v>0</v>
      </c>
      <c r="J7294" s="237">
        <v>0</v>
      </c>
    </row>
    <row r="7295" spans="1:10" s="225" customFormat="1">
      <c r="A7295" s="222" t="s">
        <v>179</v>
      </c>
      <c r="B7295" s="222" t="s">
        <v>124</v>
      </c>
      <c r="C7295" s="236">
        <v>0.81458333333333299</v>
      </c>
      <c r="D7295" s="237">
        <v>0</v>
      </c>
      <c r="E7295" s="237">
        <v>0</v>
      </c>
      <c r="F7295" s="237">
        <v>0</v>
      </c>
      <c r="G7295" s="237">
        <v>0</v>
      </c>
      <c r="H7295" s="237">
        <v>0</v>
      </c>
      <c r="I7295" s="237">
        <v>0</v>
      </c>
      <c r="J7295" s="237">
        <v>0</v>
      </c>
    </row>
    <row r="7296" spans="1:10" s="225" customFormat="1">
      <c r="A7296" s="222" t="s">
        <v>179</v>
      </c>
      <c r="B7296" s="222" t="s">
        <v>124</v>
      </c>
      <c r="C7296" s="236">
        <v>0.81527777777777799</v>
      </c>
      <c r="D7296" s="237">
        <v>0</v>
      </c>
      <c r="E7296" s="237">
        <v>0</v>
      </c>
      <c r="F7296" s="237">
        <v>0</v>
      </c>
      <c r="G7296" s="237">
        <v>0</v>
      </c>
      <c r="H7296" s="237">
        <v>0</v>
      </c>
      <c r="I7296" s="237">
        <v>0</v>
      </c>
      <c r="J7296" s="237">
        <v>0</v>
      </c>
    </row>
    <row r="7297" spans="1:10" s="225" customFormat="1">
      <c r="A7297" s="222" t="s">
        <v>179</v>
      </c>
      <c r="B7297" s="222" t="s">
        <v>124</v>
      </c>
      <c r="C7297" s="236">
        <v>0.81597222222222199</v>
      </c>
      <c r="D7297" s="237">
        <v>0</v>
      </c>
      <c r="E7297" s="237">
        <v>0</v>
      </c>
      <c r="F7297" s="237">
        <v>0</v>
      </c>
      <c r="G7297" s="237">
        <v>0</v>
      </c>
      <c r="H7297" s="237">
        <v>0</v>
      </c>
      <c r="I7297" s="237">
        <v>0</v>
      </c>
      <c r="J7297" s="237">
        <v>0</v>
      </c>
    </row>
    <row r="7298" spans="1:10" s="225" customFormat="1">
      <c r="A7298" s="222" t="s">
        <v>179</v>
      </c>
      <c r="B7298" s="222" t="s">
        <v>124</v>
      </c>
      <c r="C7298" s="236">
        <v>0.81666666666666599</v>
      </c>
      <c r="D7298" s="237">
        <v>0</v>
      </c>
      <c r="E7298" s="237">
        <v>0</v>
      </c>
      <c r="F7298" s="237">
        <v>0</v>
      </c>
      <c r="G7298" s="237">
        <v>0</v>
      </c>
      <c r="H7298" s="237">
        <v>0</v>
      </c>
      <c r="I7298" s="237">
        <v>0</v>
      </c>
      <c r="J7298" s="237">
        <v>0</v>
      </c>
    </row>
    <row r="7299" spans="1:10" s="225" customFormat="1">
      <c r="A7299" s="222" t="s">
        <v>179</v>
      </c>
      <c r="B7299" s="222" t="s">
        <v>124</v>
      </c>
      <c r="C7299" s="236">
        <v>0.81736111111111098</v>
      </c>
      <c r="D7299" s="237">
        <v>0</v>
      </c>
      <c r="E7299" s="237">
        <v>0</v>
      </c>
      <c r="F7299" s="237">
        <v>0</v>
      </c>
      <c r="G7299" s="237">
        <v>0</v>
      </c>
      <c r="H7299" s="237">
        <v>0</v>
      </c>
      <c r="I7299" s="237">
        <v>0</v>
      </c>
      <c r="J7299" s="237">
        <v>0</v>
      </c>
    </row>
    <row r="7300" spans="1:10" s="225" customFormat="1">
      <c r="A7300" s="222" t="s">
        <v>179</v>
      </c>
      <c r="B7300" s="222" t="s">
        <v>124</v>
      </c>
      <c r="C7300" s="236">
        <v>0.81805555555555498</v>
      </c>
      <c r="D7300" s="237">
        <v>0</v>
      </c>
      <c r="E7300" s="237">
        <v>0</v>
      </c>
      <c r="F7300" s="237">
        <v>0</v>
      </c>
      <c r="G7300" s="237">
        <v>0</v>
      </c>
      <c r="H7300" s="237">
        <v>0</v>
      </c>
      <c r="I7300" s="237">
        <v>0</v>
      </c>
      <c r="J7300" s="237">
        <v>0</v>
      </c>
    </row>
    <row r="7301" spans="1:10" s="225" customFormat="1">
      <c r="A7301" s="222" t="s">
        <v>179</v>
      </c>
      <c r="B7301" s="222" t="s">
        <v>124</v>
      </c>
      <c r="C7301" s="236">
        <v>0.81874999999999998</v>
      </c>
      <c r="D7301" s="237">
        <v>0</v>
      </c>
      <c r="E7301" s="237">
        <v>0</v>
      </c>
      <c r="F7301" s="237">
        <v>0</v>
      </c>
      <c r="G7301" s="237">
        <v>0</v>
      </c>
      <c r="H7301" s="237">
        <v>0</v>
      </c>
      <c r="I7301" s="237">
        <v>0</v>
      </c>
      <c r="J7301" s="237">
        <v>0</v>
      </c>
    </row>
    <row r="7302" spans="1:10" s="225" customFormat="1">
      <c r="A7302" s="222" t="s">
        <v>179</v>
      </c>
      <c r="B7302" s="222" t="s">
        <v>124</v>
      </c>
      <c r="C7302" s="236">
        <v>0.81944444444444398</v>
      </c>
      <c r="D7302" s="237">
        <v>0</v>
      </c>
      <c r="E7302" s="237">
        <v>0</v>
      </c>
      <c r="F7302" s="237">
        <v>0</v>
      </c>
      <c r="G7302" s="237">
        <v>0</v>
      </c>
      <c r="H7302" s="237">
        <v>0</v>
      </c>
      <c r="I7302" s="237">
        <v>0</v>
      </c>
      <c r="J7302" s="237">
        <v>0</v>
      </c>
    </row>
    <row r="7303" spans="1:10" s="225" customFormat="1">
      <c r="A7303" s="222" t="s">
        <v>179</v>
      </c>
      <c r="B7303" s="222" t="s">
        <v>124</v>
      </c>
      <c r="C7303" s="236">
        <v>0.82013888888888897</v>
      </c>
      <c r="D7303" s="237">
        <v>0</v>
      </c>
      <c r="E7303" s="237">
        <v>0</v>
      </c>
      <c r="F7303" s="237">
        <v>0</v>
      </c>
      <c r="G7303" s="237">
        <v>0</v>
      </c>
      <c r="H7303" s="237">
        <v>0</v>
      </c>
      <c r="I7303" s="237">
        <v>0</v>
      </c>
      <c r="J7303" s="237">
        <v>0</v>
      </c>
    </row>
    <row r="7304" spans="1:10" s="225" customFormat="1">
      <c r="A7304" s="222" t="s">
        <v>179</v>
      </c>
      <c r="B7304" s="222" t="s">
        <v>124</v>
      </c>
      <c r="C7304" s="236">
        <v>0.82083333333333297</v>
      </c>
      <c r="D7304" s="237">
        <v>0</v>
      </c>
      <c r="E7304" s="237">
        <v>0</v>
      </c>
      <c r="F7304" s="237">
        <v>0</v>
      </c>
      <c r="G7304" s="237">
        <v>0</v>
      </c>
      <c r="H7304" s="237">
        <v>0</v>
      </c>
      <c r="I7304" s="237">
        <v>0</v>
      </c>
      <c r="J7304" s="237">
        <v>0</v>
      </c>
    </row>
    <row r="7305" spans="1:10" s="225" customFormat="1">
      <c r="A7305" s="222" t="s">
        <v>179</v>
      </c>
      <c r="B7305" s="222" t="s">
        <v>124</v>
      </c>
      <c r="C7305" s="236">
        <v>0.82152777777777797</v>
      </c>
      <c r="D7305" s="237">
        <v>0</v>
      </c>
      <c r="E7305" s="237">
        <v>0</v>
      </c>
      <c r="F7305" s="237">
        <v>0</v>
      </c>
      <c r="G7305" s="237">
        <v>0</v>
      </c>
      <c r="H7305" s="237">
        <v>0</v>
      </c>
      <c r="I7305" s="237">
        <v>0</v>
      </c>
      <c r="J7305" s="237">
        <v>0</v>
      </c>
    </row>
    <row r="7306" spans="1:10" s="229" customFormat="1">
      <c r="A7306" s="226" t="s">
        <v>179</v>
      </c>
      <c r="B7306" s="226" t="s">
        <v>124</v>
      </c>
      <c r="C7306" s="238">
        <v>0.82222222222222197</v>
      </c>
      <c r="D7306" s="239">
        <v>0</v>
      </c>
      <c r="E7306" s="239">
        <v>0</v>
      </c>
      <c r="F7306" s="239">
        <v>0</v>
      </c>
      <c r="G7306" s="239">
        <v>0</v>
      </c>
      <c r="H7306" s="239">
        <v>0</v>
      </c>
      <c r="I7306" s="239">
        <v>0</v>
      </c>
      <c r="J7306" s="239">
        <v>0</v>
      </c>
    </row>
    <row r="7307" spans="1:10" s="225" customFormat="1">
      <c r="A7307" s="222" t="s">
        <v>179</v>
      </c>
      <c r="B7307" s="222" t="s">
        <v>124</v>
      </c>
      <c r="C7307" s="236">
        <v>0.82291666666666596</v>
      </c>
      <c r="D7307" s="237">
        <v>0</v>
      </c>
      <c r="E7307" s="237">
        <v>0</v>
      </c>
      <c r="F7307" s="237">
        <v>0</v>
      </c>
      <c r="G7307" s="237">
        <v>0</v>
      </c>
      <c r="H7307" s="237">
        <v>0</v>
      </c>
      <c r="I7307" s="237">
        <v>0</v>
      </c>
      <c r="J7307" s="237">
        <v>0</v>
      </c>
    </row>
    <row r="7308" spans="1:10" s="225" customFormat="1">
      <c r="A7308" s="222" t="s">
        <v>179</v>
      </c>
      <c r="B7308" s="222" t="s">
        <v>124</v>
      </c>
      <c r="C7308" s="236">
        <v>0.82361111111111096</v>
      </c>
      <c r="D7308" s="237">
        <v>0</v>
      </c>
      <c r="E7308" s="237">
        <v>0</v>
      </c>
      <c r="F7308" s="237">
        <v>0</v>
      </c>
      <c r="G7308" s="237">
        <v>0</v>
      </c>
      <c r="H7308" s="237">
        <v>0</v>
      </c>
      <c r="I7308" s="237">
        <v>0</v>
      </c>
      <c r="J7308" s="237">
        <v>0</v>
      </c>
    </row>
    <row r="7309" spans="1:10" s="225" customFormat="1">
      <c r="A7309" s="222" t="s">
        <v>179</v>
      </c>
      <c r="B7309" s="222" t="s">
        <v>124</v>
      </c>
      <c r="C7309" s="236">
        <v>0.82430555555555496</v>
      </c>
      <c r="D7309" s="237">
        <v>0</v>
      </c>
      <c r="E7309" s="237">
        <v>0</v>
      </c>
      <c r="F7309" s="237">
        <v>0</v>
      </c>
      <c r="G7309" s="237">
        <v>0</v>
      </c>
      <c r="H7309" s="237">
        <v>0</v>
      </c>
      <c r="I7309" s="237">
        <v>0</v>
      </c>
      <c r="J7309" s="237">
        <v>0</v>
      </c>
    </row>
    <row r="7310" spans="1:10" s="225" customFormat="1">
      <c r="A7310" s="222" t="s">
        <v>179</v>
      </c>
      <c r="B7310" s="222" t="s">
        <v>124</v>
      </c>
      <c r="C7310" s="236">
        <v>0.82499999999999996</v>
      </c>
      <c r="D7310" s="237">
        <v>0</v>
      </c>
      <c r="E7310" s="237">
        <v>0</v>
      </c>
      <c r="F7310" s="237">
        <v>0</v>
      </c>
      <c r="G7310" s="237">
        <v>0</v>
      </c>
      <c r="H7310" s="237">
        <v>0</v>
      </c>
      <c r="I7310" s="237">
        <v>0</v>
      </c>
      <c r="J7310" s="237">
        <v>0</v>
      </c>
    </row>
    <row r="7311" spans="1:10" s="225" customFormat="1">
      <c r="A7311" s="222" t="s">
        <v>179</v>
      </c>
      <c r="B7311" s="222" t="s">
        <v>124</v>
      </c>
      <c r="C7311" s="236">
        <v>0.82569444444444395</v>
      </c>
      <c r="D7311" s="237">
        <v>0</v>
      </c>
      <c r="E7311" s="237">
        <v>0</v>
      </c>
      <c r="F7311" s="237">
        <v>0</v>
      </c>
      <c r="G7311" s="237">
        <v>0</v>
      </c>
      <c r="H7311" s="237">
        <v>0</v>
      </c>
      <c r="I7311" s="237">
        <v>0</v>
      </c>
      <c r="J7311" s="237">
        <v>0</v>
      </c>
    </row>
    <row r="7312" spans="1:10" s="225" customFormat="1">
      <c r="A7312" s="222" t="s">
        <v>179</v>
      </c>
      <c r="B7312" s="222" t="s">
        <v>124</v>
      </c>
      <c r="C7312" s="236">
        <v>0.82638888888888895</v>
      </c>
      <c r="D7312" s="237">
        <v>0</v>
      </c>
      <c r="E7312" s="237">
        <v>0</v>
      </c>
      <c r="F7312" s="237">
        <v>0</v>
      </c>
      <c r="G7312" s="237">
        <v>0</v>
      </c>
      <c r="H7312" s="237">
        <v>0</v>
      </c>
      <c r="I7312" s="237">
        <v>0</v>
      </c>
      <c r="J7312" s="237">
        <v>0</v>
      </c>
    </row>
    <row r="7313" spans="1:10" s="225" customFormat="1">
      <c r="A7313" s="222" t="s">
        <v>179</v>
      </c>
      <c r="B7313" s="222" t="s">
        <v>124</v>
      </c>
      <c r="C7313" s="236">
        <v>0.82708333333333295</v>
      </c>
      <c r="D7313" s="237">
        <v>0</v>
      </c>
      <c r="E7313" s="237">
        <v>0</v>
      </c>
      <c r="F7313" s="237">
        <v>0</v>
      </c>
      <c r="G7313" s="237">
        <v>0</v>
      </c>
      <c r="H7313" s="237">
        <v>0</v>
      </c>
      <c r="I7313" s="237">
        <v>0</v>
      </c>
      <c r="J7313" s="237">
        <v>0</v>
      </c>
    </row>
    <row r="7314" spans="1:10" s="225" customFormat="1">
      <c r="A7314" s="222" t="s">
        <v>179</v>
      </c>
      <c r="B7314" s="222" t="s">
        <v>124</v>
      </c>
      <c r="C7314" s="236">
        <v>0.82777777777777795</v>
      </c>
      <c r="D7314" s="237">
        <v>0</v>
      </c>
      <c r="E7314" s="237">
        <v>0</v>
      </c>
      <c r="F7314" s="237">
        <v>0</v>
      </c>
      <c r="G7314" s="237">
        <v>0</v>
      </c>
      <c r="H7314" s="237">
        <v>0</v>
      </c>
      <c r="I7314" s="237">
        <v>0</v>
      </c>
      <c r="J7314" s="237">
        <v>0</v>
      </c>
    </row>
    <row r="7315" spans="1:10" s="225" customFormat="1">
      <c r="A7315" s="222" t="s">
        <v>179</v>
      </c>
      <c r="B7315" s="222" t="s">
        <v>124</v>
      </c>
      <c r="C7315" s="236">
        <v>0.82847222222222205</v>
      </c>
      <c r="D7315" s="237">
        <v>0</v>
      </c>
      <c r="E7315" s="237">
        <v>0</v>
      </c>
      <c r="F7315" s="237">
        <v>0</v>
      </c>
      <c r="G7315" s="237">
        <v>0</v>
      </c>
      <c r="H7315" s="237">
        <v>0</v>
      </c>
      <c r="I7315" s="237">
        <v>0</v>
      </c>
      <c r="J7315" s="237">
        <v>0</v>
      </c>
    </row>
    <row r="7316" spans="1:10" s="225" customFormat="1">
      <c r="A7316" s="222" t="s">
        <v>179</v>
      </c>
      <c r="B7316" s="222" t="s">
        <v>124</v>
      </c>
      <c r="C7316" s="236">
        <v>0.82916666666666605</v>
      </c>
      <c r="D7316" s="237">
        <v>0</v>
      </c>
      <c r="E7316" s="237">
        <v>0</v>
      </c>
      <c r="F7316" s="237">
        <v>0</v>
      </c>
      <c r="G7316" s="237">
        <v>0</v>
      </c>
      <c r="H7316" s="237">
        <v>0</v>
      </c>
      <c r="I7316" s="237">
        <v>0</v>
      </c>
      <c r="J7316" s="237">
        <v>0</v>
      </c>
    </row>
    <row r="7317" spans="1:10" s="225" customFormat="1">
      <c r="A7317" s="222" t="s">
        <v>179</v>
      </c>
      <c r="B7317" s="222" t="s">
        <v>124</v>
      </c>
      <c r="C7317" s="236">
        <v>0.82986111111111105</v>
      </c>
      <c r="D7317" s="237">
        <v>0</v>
      </c>
      <c r="E7317" s="237">
        <v>0</v>
      </c>
      <c r="F7317" s="237">
        <v>0</v>
      </c>
      <c r="G7317" s="237">
        <v>0</v>
      </c>
      <c r="H7317" s="237">
        <v>0</v>
      </c>
      <c r="I7317" s="237">
        <v>0</v>
      </c>
      <c r="J7317" s="237">
        <v>0</v>
      </c>
    </row>
    <row r="7318" spans="1:10" s="225" customFormat="1">
      <c r="A7318" s="222" t="s">
        <v>179</v>
      </c>
      <c r="B7318" s="222" t="s">
        <v>124</v>
      </c>
      <c r="C7318" s="236">
        <v>0.83055555555555505</v>
      </c>
      <c r="D7318" s="237">
        <v>0</v>
      </c>
      <c r="E7318" s="237">
        <v>0</v>
      </c>
      <c r="F7318" s="237">
        <v>0</v>
      </c>
      <c r="G7318" s="237">
        <v>0</v>
      </c>
      <c r="H7318" s="237">
        <v>0</v>
      </c>
      <c r="I7318" s="237">
        <v>0</v>
      </c>
      <c r="J7318" s="237">
        <v>0</v>
      </c>
    </row>
    <row r="7319" spans="1:10" s="225" customFormat="1">
      <c r="A7319" s="222" t="s">
        <v>179</v>
      </c>
      <c r="B7319" s="222" t="s">
        <v>124</v>
      </c>
      <c r="C7319" s="236">
        <v>0.83125000000000004</v>
      </c>
      <c r="D7319" s="237">
        <v>0</v>
      </c>
      <c r="E7319" s="237">
        <v>0</v>
      </c>
      <c r="F7319" s="237">
        <v>0</v>
      </c>
      <c r="G7319" s="237">
        <v>0</v>
      </c>
      <c r="H7319" s="237">
        <v>0</v>
      </c>
      <c r="I7319" s="237">
        <v>0</v>
      </c>
      <c r="J7319" s="237">
        <v>0</v>
      </c>
    </row>
    <row r="7320" spans="1:10" s="225" customFormat="1">
      <c r="A7320" s="222" t="s">
        <v>179</v>
      </c>
      <c r="B7320" s="222" t="s">
        <v>124</v>
      </c>
      <c r="C7320" s="236">
        <v>0.83194444444444404</v>
      </c>
      <c r="D7320" s="237">
        <v>0</v>
      </c>
      <c r="E7320" s="237">
        <v>0</v>
      </c>
      <c r="F7320" s="237">
        <v>0</v>
      </c>
      <c r="G7320" s="237">
        <v>0</v>
      </c>
      <c r="H7320" s="237">
        <v>0</v>
      </c>
      <c r="I7320" s="237">
        <v>0</v>
      </c>
      <c r="J7320" s="237">
        <v>0</v>
      </c>
    </row>
    <row r="7321" spans="1:10" s="235" customFormat="1" ht="17.5" thickBot="1">
      <c r="A7321" s="232" t="s">
        <v>179</v>
      </c>
      <c r="B7321" s="232" t="s">
        <v>124</v>
      </c>
      <c r="C7321" s="240">
        <v>0.83263888888888904</v>
      </c>
      <c r="D7321" s="241">
        <v>0</v>
      </c>
      <c r="E7321" s="241">
        <v>0</v>
      </c>
      <c r="F7321" s="241">
        <v>0</v>
      </c>
      <c r="G7321" s="241">
        <v>0</v>
      </c>
      <c r="H7321" s="241">
        <v>0</v>
      </c>
      <c r="I7321" s="241">
        <v>0</v>
      </c>
      <c r="J7321" s="241">
        <v>0</v>
      </c>
    </row>
    <row r="7322" spans="1:10" s="225" customFormat="1">
      <c r="A7322" s="222" t="s">
        <v>179</v>
      </c>
      <c r="B7322" s="222" t="s">
        <v>126</v>
      </c>
      <c r="C7322" s="236">
        <v>0.66666666666666663</v>
      </c>
      <c r="D7322" s="237">
        <v>0</v>
      </c>
      <c r="E7322" s="237">
        <v>0</v>
      </c>
      <c r="F7322" s="237">
        <v>0</v>
      </c>
      <c r="G7322" s="237">
        <v>0</v>
      </c>
      <c r="H7322" s="237">
        <v>0</v>
      </c>
      <c r="I7322" s="237">
        <v>0</v>
      </c>
      <c r="J7322" s="237">
        <v>0</v>
      </c>
    </row>
    <row r="7323" spans="1:10" s="225" customFormat="1">
      <c r="A7323" s="222" t="s">
        <v>179</v>
      </c>
      <c r="B7323" s="222" t="s">
        <v>125</v>
      </c>
      <c r="C7323" s="236">
        <v>0.66736111111111107</v>
      </c>
      <c r="D7323" s="237">
        <v>0</v>
      </c>
      <c r="E7323" s="237">
        <v>0</v>
      </c>
      <c r="F7323" s="237">
        <v>0</v>
      </c>
      <c r="G7323" s="237">
        <v>0</v>
      </c>
      <c r="H7323" s="237">
        <v>0</v>
      </c>
      <c r="I7323" s="237">
        <v>0</v>
      </c>
      <c r="J7323" s="237">
        <v>0</v>
      </c>
    </row>
    <row r="7324" spans="1:10" s="225" customFormat="1">
      <c r="A7324" s="222" t="s">
        <v>179</v>
      </c>
      <c r="B7324" s="222" t="s">
        <v>125</v>
      </c>
      <c r="C7324" s="236">
        <v>0.66805555555555596</v>
      </c>
      <c r="D7324" s="237">
        <v>0</v>
      </c>
      <c r="E7324" s="237">
        <v>0</v>
      </c>
      <c r="F7324" s="237">
        <v>0</v>
      </c>
      <c r="G7324" s="237">
        <v>0</v>
      </c>
      <c r="H7324" s="237">
        <v>0</v>
      </c>
      <c r="I7324" s="237">
        <v>0</v>
      </c>
      <c r="J7324" s="237">
        <v>0</v>
      </c>
    </row>
    <row r="7325" spans="1:10" s="225" customFormat="1">
      <c r="A7325" s="222" t="s">
        <v>179</v>
      </c>
      <c r="B7325" s="222" t="s">
        <v>125</v>
      </c>
      <c r="C7325" s="236">
        <v>0.66874999999999996</v>
      </c>
      <c r="D7325" s="237">
        <v>0</v>
      </c>
      <c r="E7325" s="237">
        <v>0</v>
      </c>
      <c r="F7325" s="237">
        <v>0</v>
      </c>
      <c r="G7325" s="237">
        <v>0</v>
      </c>
      <c r="H7325" s="237">
        <v>0</v>
      </c>
      <c r="I7325" s="237">
        <v>0</v>
      </c>
      <c r="J7325" s="237">
        <v>0</v>
      </c>
    </row>
    <row r="7326" spans="1:10" s="225" customFormat="1">
      <c r="A7326" s="222" t="s">
        <v>179</v>
      </c>
      <c r="B7326" s="222" t="s">
        <v>125</v>
      </c>
      <c r="C7326" s="236">
        <v>0.66944444444444395</v>
      </c>
      <c r="D7326" s="237">
        <v>0</v>
      </c>
      <c r="E7326" s="237">
        <v>0</v>
      </c>
      <c r="F7326" s="237">
        <v>0</v>
      </c>
      <c r="G7326" s="237">
        <v>0</v>
      </c>
      <c r="H7326" s="237">
        <v>0</v>
      </c>
      <c r="I7326" s="237">
        <v>0</v>
      </c>
      <c r="J7326" s="237">
        <v>0</v>
      </c>
    </row>
    <row r="7327" spans="1:10" s="225" customFormat="1">
      <c r="A7327" s="222" t="s">
        <v>179</v>
      </c>
      <c r="B7327" s="222" t="s">
        <v>125</v>
      </c>
      <c r="C7327" s="236">
        <v>0.67013888888888895</v>
      </c>
      <c r="D7327" s="237">
        <v>0</v>
      </c>
      <c r="E7327" s="237">
        <v>0</v>
      </c>
      <c r="F7327" s="237">
        <v>0</v>
      </c>
      <c r="G7327" s="237">
        <v>0</v>
      </c>
      <c r="H7327" s="237">
        <v>0</v>
      </c>
      <c r="I7327" s="237">
        <v>0</v>
      </c>
      <c r="J7327" s="237">
        <v>0</v>
      </c>
    </row>
    <row r="7328" spans="1:10" s="225" customFormat="1">
      <c r="A7328" s="222" t="s">
        <v>179</v>
      </c>
      <c r="B7328" s="222" t="s">
        <v>125</v>
      </c>
      <c r="C7328" s="236">
        <v>0.67083333333333295</v>
      </c>
      <c r="D7328" s="237">
        <v>0</v>
      </c>
      <c r="E7328" s="237">
        <v>0</v>
      </c>
      <c r="F7328" s="237">
        <v>0</v>
      </c>
      <c r="G7328" s="237">
        <v>0</v>
      </c>
      <c r="H7328" s="237">
        <v>0</v>
      </c>
      <c r="I7328" s="237">
        <v>0</v>
      </c>
      <c r="J7328" s="237">
        <v>0</v>
      </c>
    </row>
    <row r="7329" spans="1:10" s="225" customFormat="1">
      <c r="A7329" s="222" t="s">
        <v>179</v>
      </c>
      <c r="B7329" s="222" t="s">
        <v>125</v>
      </c>
      <c r="C7329" s="236">
        <v>0.67152777777777795</v>
      </c>
      <c r="D7329" s="237">
        <v>0</v>
      </c>
      <c r="E7329" s="237">
        <v>0</v>
      </c>
      <c r="F7329" s="237">
        <v>0</v>
      </c>
      <c r="G7329" s="237">
        <v>0</v>
      </c>
      <c r="H7329" s="237">
        <v>0</v>
      </c>
      <c r="I7329" s="237">
        <v>0</v>
      </c>
      <c r="J7329" s="237">
        <v>0</v>
      </c>
    </row>
    <row r="7330" spans="1:10" s="225" customFormat="1">
      <c r="A7330" s="222" t="s">
        <v>179</v>
      </c>
      <c r="B7330" s="222" t="s">
        <v>125</v>
      </c>
      <c r="C7330" s="236">
        <v>0.67222222222222205</v>
      </c>
      <c r="D7330" s="237">
        <v>0</v>
      </c>
      <c r="E7330" s="237">
        <v>0</v>
      </c>
      <c r="F7330" s="237">
        <v>0</v>
      </c>
      <c r="G7330" s="237">
        <v>0</v>
      </c>
      <c r="H7330" s="237">
        <v>0</v>
      </c>
      <c r="I7330" s="237">
        <v>0</v>
      </c>
      <c r="J7330" s="237">
        <v>0</v>
      </c>
    </row>
    <row r="7331" spans="1:10" s="225" customFormat="1">
      <c r="A7331" s="222" t="s">
        <v>179</v>
      </c>
      <c r="B7331" s="222" t="s">
        <v>125</v>
      </c>
      <c r="C7331" s="236">
        <v>0.67291666666666705</v>
      </c>
      <c r="D7331" s="237">
        <v>0</v>
      </c>
      <c r="E7331" s="237">
        <v>0</v>
      </c>
      <c r="F7331" s="237">
        <v>0</v>
      </c>
      <c r="G7331" s="237">
        <v>0</v>
      </c>
      <c r="H7331" s="237">
        <v>0</v>
      </c>
      <c r="I7331" s="237">
        <v>0</v>
      </c>
      <c r="J7331" s="237">
        <v>0</v>
      </c>
    </row>
    <row r="7332" spans="1:10" s="225" customFormat="1">
      <c r="A7332" s="222" t="s">
        <v>179</v>
      </c>
      <c r="B7332" s="222" t="s">
        <v>125</v>
      </c>
      <c r="C7332" s="236">
        <v>0.67361111111111105</v>
      </c>
      <c r="D7332" s="237">
        <v>0</v>
      </c>
      <c r="E7332" s="237">
        <v>0</v>
      </c>
      <c r="F7332" s="237">
        <v>0</v>
      </c>
      <c r="G7332" s="237">
        <v>0</v>
      </c>
      <c r="H7332" s="237">
        <v>0</v>
      </c>
      <c r="I7332" s="237">
        <v>0</v>
      </c>
      <c r="J7332" s="237">
        <v>0</v>
      </c>
    </row>
    <row r="7333" spans="1:10" s="225" customFormat="1">
      <c r="A7333" s="222" t="s">
        <v>179</v>
      </c>
      <c r="B7333" s="222" t="s">
        <v>125</v>
      </c>
      <c r="C7333" s="236">
        <v>0.67430555555555505</v>
      </c>
      <c r="D7333" s="237">
        <v>0</v>
      </c>
      <c r="E7333" s="237">
        <v>0</v>
      </c>
      <c r="F7333" s="237">
        <v>0</v>
      </c>
      <c r="G7333" s="237">
        <v>0</v>
      </c>
      <c r="H7333" s="237">
        <v>0</v>
      </c>
      <c r="I7333" s="237">
        <v>0</v>
      </c>
      <c r="J7333" s="237">
        <v>0</v>
      </c>
    </row>
    <row r="7334" spans="1:10" s="225" customFormat="1">
      <c r="A7334" s="222" t="s">
        <v>179</v>
      </c>
      <c r="B7334" s="222" t="s">
        <v>125</v>
      </c>
      <c r="C7334" s="236">
        <v>0.67500000000000004</v>
      </c>
      <c r="D7334" s="237">
        <v>0</v>
      </c>
      <c r="E7334" s="237">
        <v>0</v>
      </c>
      <c r="F7334" s="237">
        <v>0</v>
      </c>
      <c r="G7334" s="237">
        <v>0</v>
      </c>
      <c r="H7334" s="237">
        <v>0</v>
      </c>
      <c r="I7334" s="237">
        <v>0</v>
      </c>
      <c r="J7334" s="237">
        <v>0</v>
      </c>
    </row>
    <row r="7335" spans="1:10" s="225" customFormat="1">
      <c r="A7335" s="222" t="s">
        <v>179</v>
      </c>
      <c r="B7335" s="222" t="s">
        <v>125</v>
      </c>
      <c r="C7335" s="236">
        <v>0.67569444444444404</v>
      </c>
      <c r="D7335" s="237">
        <v>0</v>
      </c>
      <c r="E7335" s="237">
        <v>0</v>
      </c>
      <c r="F7335" s="237">
        <v>0</v>
      </c>
      <c r="G7335" s="237">
        <v>0</v>
      </c>
      <c r="H7335" s="237">
        <v>0</v>
      </c>
      <c r="I7335" s="237">
        <v>0</v>
      </c>
      <c r="J7335" s="237">
        <v>0</v>
      </c>
    </row>
    <row r="7336" spans="1:10" s="229" customFormat="1">
      <c r="A7336" s="226" t="s">
        <v>179</v>
      </c>
      <c r="B7336" s="226" t="s">
        <v>125</v>
      </c>
      <c r="C7336" s="238">
        <v>0.67638888888888904</v>
      </c>
      <c r="D7336" s="239">
        <v>0</v>
      </c>
      <c r="E7336" s="239">
        <v>0</v>
      </c>
      <c r="F7336" s="239">
        <v>0</v>
      </c>
      <c r="G7336" s="239">
        <v>0</v>
      </c>
      <c r="H7336" s="239">
        <v>0</v>
      </c>
      <c r="I7336" s="239">
        <v>0</v>
      </c>
      <c r="J7336" s="239">
        <v>0</v>
      </c>
    </row>
    <row r="7337" spans="1:10" s="225" customFormat="1">
      <c r="A7337" s="222" t="s">
        <v>179</v>
      </c>
      <c r="B7337" s="222" t="s">
        <v>125</v>
      </c>
      <c r="C7337" s="236">
        <v>0.67708333333333304</v>
      </c>
      <c r="D7337" s="237">
        <v>0</v>
      </c>
      <c r="E7337" s="237">
        <v>0</v>
      </c>
      <c r="F7337" s="237">
        <v>0</v>
      </c>
      <c r="G7337" s="237">
        <v>0</v>
      </c>
      <c r="H7337" s="237">
        <v>0</v>
      </c>
      <c r="I7337" s="237">
        <v>0</v>
      </c>
      <c r="J7337" s="237">
        <v>0</v>
      </c>
    </row>
    <row r="7338" spans="1:10" s="225" customFormat="1">
      <c r="A7338" s="222" t="s">
        <v>179</v>
      </c>
      <c r="B7338" s="222" t="s">
        <v>125</v>
      </c>
      <c r="C7338" s="236">
        <v>0.67777777777777803</v>
      </c>
      <c r="D7338" s="237">
        <v>0</v>
      </c>
      <c r="E7338" s="237">
        <v>0</v>
      </c>
      <c r="F7338" s="237">
        <v>0</v>
      </c>
      <c r="G7338" s="237">
        <v>0</v>
      </c>
      <c r="H7338" s="237">
        <v>0</v>
      </c>
      <c r="I7338" s="237">
        <v>0</v>
      </c>
      <c r="J7338" s="237">
        <v>0</v>
      </c>
    </row>
    <row r="7339" spans="1:10" s="225" customFormat="1">
      <c r="A7339" s="222" t="s">
        <v>179</v>
      </c>
      <c r="B7339" s="222" t="s">
        <v>125</v>
      </c>
      <c r="C7339" s="236">
        <v>0.67847222222222203</v>
      </c>
      <c r="D7339" s="237">
        <v>0</v>
      </c>
      <c r="E7339" s="237">
        <v>0</v>
      </c>
      <c r="F7339" s="237">
        <v>0</v>
      </c>
      <c r="G7339" s="237">
        <v>0</v>
      </c>
      <c r="H7339" s="237">
        <v>0</v>
      </c>
      <c r="I7339" s="237">
        <v>0</v>
      </c>
      <c r="J7339" s="237">
        <v>0</v>
      </c>
    </row>
    <row r="7340" spans="1:10" s="225" customFormat="1">
      <c r="A7340" s="222" t="s">
        <v>179</v>
      </c>
      <c r="B7340" s="222" t="s">
        <v>125</v>
      </c>
      <c r="C7340" s="236">
        <v>0.67916666666666703</v>
      </c>
      <c r="D7340" s="237">
        <v>0</v>
      </c>
      <c r="E7340" s="237">
        <v>0</v>
      </c>
      <c r="F7340" s="237">
        <v>0</v>
      </c>
      <c r="G7340" s="237">
        <v>0</v>
      </c>
      <c r="H7340" s="237">
        <v>0</v>
      </c>
      <c r="I7340" s="237">
        <v>0</v>
      </c>
      <c r="J7340" s="237">
        <v>0</v>
      </c>
    </row>
    <row r="7341" spans="1:10" s="225" customFormat="1">
      <c r="A7341" s="222" t="s">
        <v>179</v>
      </c>
      <c r="B7341" s="222" t="s">
        <v>125</v>
      </c>
      <c r="C7341" s="236">
        <v>0.67986111111111103</v>
      </c>
      <c r="D7341" s="237">
        <v>0</v>
      </c>
      <c r="E7341" s="237">
        <v>0</v>
      </c>
      <c r="F7341" s="237">
        <v>0</v>
      </c>
      <c r="G7341" s="237">
        <v>0</v>
      </c>
      <c r="H7341" s="237">
        <v>0</v>
      </c>
      <c r="I7341" s="237">
        <v>0</v>
      </c>
      <c r="J7341" s="237">
        <v>0</v>
      </c>
    </row>
    <row r="7342" spans="1:10" s="225" customFormat="1">
      <c r="A7342" s="222" t="s">
        <v>179</v>
      </c>
      <c r="B7342" s="222" t="s">
        <v>125</v>
      </c>
      <c r="C7342" s="236">
        <v>0.68055555555555503</v>
      </c>
      <c r="D7342" s="237">
        <v>0</v>
      </c>
      <c r="E7342" s="237">
        <v>0</v>
      </c>
      <c r="F7342" s="237">
        <v>0</v>
      </c>
      <c r="G7342" s="237">
        <v>0</v>
      </c>
      <c r="H7342" s="237">
        <v>0</v>
      </c>
      <c r="I7342" s="237">
        <v>0</v>
      </c>
      <c r="J7342" s="237">
        <v>0</v>
      </c>
    </row>
    <row r="7343" spans="1:10" s="225" customFormat="1">
      <c r="A7343" s="222" t="s">
        <v>179</v>
      </c>
      <c r="B7343" s="222" t="s">
        <v>125</v>
      </c>
      <c r="C7343" s="236">
        <v>0.68125000000000002</v>
      </c>
      <c r="D7343" s="237">
        <v>0</v>
      </c>
      <c r="E7343" s="237">
        <v>0</v>
      </c>
      <c r="F7343" s="237">
        <v>0</v>
      </c>
      <c r="G7343" s="237">
        <v>0</v>
      </c>
      <c r="H7343" s="237">
        <v>0</v>
      </c>
      <c r="I7343" s="237">
        <v>0</v>
      </c>
      <c r="J7343" s="237">
        <v>0</v>
      </c>
    </row>
    <row r="7344" spans="1:10" s="225" customFormat="1">
      <c r="A7344" s="222" t="s">
        <v>179</v>
      </c>
      <c r="B7344" s="222" t="s">
        <v>125</v>
      </c>
      <c r="C7344" s="236">
        <v>0.68194444444444402</v>
      </c>
      <c r="D7344" s="237">
        <v>0</v>
      </c>
      <c r="E7344" s="237">
        <v>0</v>
      </c>
      <c r="F7344" s="237">
        <v>0</v>
      </c>
      <c r="G7344" s="237">
        <v>0</v>
      </c>
      <c r="H7344" s="237">
        <v>0</v>
      </c>
      <c r="I7344" s="237">
        <v>0</v>
      </c>
      <c r="J7344" s="237">
        <v>0</v>
      </c>
    </row>
    <row r="7345" spans="1:10" s="225" customFormat="1">
      <c r="A7345" s="222" t="s">
        <v>179</v>
      </c>
      <c r="B7345" s="222" t="s">
        <v>125</v>
      </c>
      <c r="C7345" s="236">
        <v>0.68263888888888902</v>
      </c>
      <c r="D7345" s="237">
        <v>0</v>
      </c>
      <c r="E7345" s="237">
        <v>0</v>
      </c>
      <c r="F7345" s="237">
        <v>0</v>
      </c>
      <c r="G7345" s="237">
        <v>0</v>
      </c>
      <c r="H7345" s="237">
        <v>0</v>
      </c>
      <c r="I7345" s="237">
        <v>0</v>
      </c>
      <c r="J7345" s="237">
        <v>0</v>
      </c>
    </row>
    <row r="7346" spans="1:10" s="225" customFormat="1">
      <c r="A7346" s="222" t="s">
        <v>179</v>
      </c>
      <c r="B7346" s="222" t="s">
        <v>125</v>
      </c>
      <c r="C7346" s="236">
        <v>0.68333333333333302</v>
      </c>
      <c r="D7346" s="237">
        <v>0</v>
      </c>
      <c r="E7346" s="237">
        <v>0</v>
      </c>
      <c r="F7346" s="237">
        <v>0</v>
      </c>
      <c r="G7346" s="237">
        <v>0</v>
      </c>
      <c r="H7346" s="237">
        <v>0</v>
      </c>
      <c r="I7346" s="237">
        <v>0</v>
      </c>
      <c r="J7346" s="237">
        <v>0</v>
      </c>
    </row>
    <row r="7347" spans="1:10" s="225" customFormat="1">
      <c r="A7347" s="222" t="s">
        <v>179</v>
      </c>
      <c r="B7347" s="222" t="s">
        <v>125</v>
      </c>
      <c r="C7347" s="236">
        <v>0.68402777777777801</v>
      </c>
      <c r="D7347" s="237">
        <v>0</v>
      </c>
      <c r="E7347" s="237">
        <v>0</v>
      </c>
      <c r="F7347" s="237">
        <v>0</v>
      </c>
      <c r="G7347" s="237">
        <v>0</v>
      </c>
      <c r="H7347" s="237">
        <v>0</v>
      </c>
      <c r="I7347" s="237">
        <v>0</v>
      </c>
      <c r="J7347" s="237">
        <v>0</v>
      </c>
    </row>
    <row r="7348" spans="1:10" s="225" customFormat="1">
      <c r="A7348" s="222" t="s">
        <v>179</v>
      </c>
      <c r="B7348" s="222" t="s">
        <v>125</v>
      </c>
      <c r="C7348" s="236">
        <v>0.68472222222222201</v>
      </c>
      <c r="D7348" s="237">
        <v>0</v>
      </c>
      <c r="E7348" s="237">
        <v>0</v>
      </c>
      <c r="F7348" s="237">
        <v>0</v>
      </c>
      <c r="G7348" s="237">
        <v>0</v>
      </c>
      <c r="H7348" s="237">
        <v>0</v>
      </c>
      <c r="I7348" s="237">
        <v>0</v>
      </c>
      <c r="J7348" s="237">
        <v>0</v>
      </c>
    </row>
    <row r="7349" spans="1:10" s="225" customFormat="1">
      <c r="A7349" s="222" t="s">
        <v>179</v>
      </c>
      <c r="B7349" s="222" t="s">
        <v>125</v>
      </c>
      <c r="C7349" s="236">
        <v>0.68541666666666701</v>
      </c>
      <c r="D7349" s="237">
        <v>0</v>
      </c>
      <c r="E7349" s="237">
        <v>0</v>
      </c>
      <c r="F7349" s="237">
        <v>0</v>
      </c>
      <c r="G7349" s="237">
        <v>0</v>
      </c>
      <c r="H7349" s="237">
        <v>0</v>
      </c>
      <c r="I7349" s="237">
        <v>0</v>
      </c>
      <c r="J7349" s="237">
        <v>0</v>
      </c>
    </row>
    <row r="7350" spans="1:10" s="225" customFormat="1">
      <c r="A7350" s="222" t="s">
        <v>179</v>
      </c>
      <c r="B7350" s="222" t="s">
        <v>125</v>
      </c>
      <c r="C7350" s="236">
        <v>0.68611111111111101</v>
      </c>
      <c r="D7350" s="237">
        <v>0</v>
      </c>
      <c r="E7350" s="237">
        <v>0</v>
      </c>
      <c r="F7350" s="237">
        <v>0</v>
      </c>
      <c r="G7350" s="237">
        <v>0</v>
      </c>
      <c r="H7350" s="237">
        <v>0</v>
      </c>
      <c r="I7350" s="237">
        <v>0</v>
      </c>
      <c r="J7350" s="237">
        <v>0</v>
      </c>
    </row>
    <row r="7351" spans="1:10" s="229" customFormat="1">
      <c r="A7351" s="226" t="s">
        <v>179</v>
      </c>
      <c r="B7351" s="226" t="s">
        <v>125</v>
      </c>
      <c r="C7351" s="238">
        <v>0.686805555555555</v>
      </c>
      <c r="D7351" s="239">
        <v>0</v>
      </c>
      <c r="E7351" s="239">
        <v>0</v>
      </c>
      <c r="F7351" s="239">
        <v>0</v>
      </c>
      <c r="G7351" s="239">
        <v>0</v>
      </c>
      <c r="H7351" s="239">
        <v>0</v>
      </c>
      <c r="I7351" s="239">
        <v>0</v>
      </c>
      <c r="J7351" s="239">
        <v>0</v>
      </c>
    </row>
    <row r="7352" spans="1:10" s="225" customFormat="1">
      <c r="A7352" s="222" t="s">
        <v>179</v>
      </c>
      <c r="B7352" s="222" t="s">
        <v>125</v>
      </c>
      <c r="C7352" s="236">
        <v>0.6875</v>
      </c>
      <c r="D7352" s="237">
        <v>0</v>
      </c>
      <c r="E7352" s="237">
        <v>0</v>
      </c>
      <c r="F7352" s="237">
        <v>0</v>
      </c>
      <c r="G7352" s="237">
        <v>0</v>
      </c>
      <c r="H7352" s="237">
        <v>0</v>
      </c>
      <c r="I7352" s="237">
        <v>0</v>
      </c>
      <c r="J7352" s="237">
        <v>0</v>
      </c>
    </row>
    <row r="7353" spans="1:10" s="225" customFormat="1">
      <c r="A7353" s="222" t="s">
        <v>179</v>
      </c>
      <c r="B7353" s="222" t="s">
        <v>125</v>
      </c>
      <c r="C7353" s="236">
        <v>0.688194444444444</v>
      </c>
      <c r="D7353" s="237">
        <v>0</v>
      </c>
      <c r="E7353" s="237">
        <v>0</v>
      </c>
      <c r="F7353" s="237">
        <v>0</v>
      </c>
      <c r="G7353" s="237">
        <v>0</v>
      </c>
      <c r="H7353" s="237">
        <v>0</v>
      </c>
      <c r="I7353" s="237">
        <v>0</v>
      </c>
      <c r="J7353" s="237">
        <v>0</v>
      </c>
    </row>
    <row r="7354" spans="1:10" s="225" customFormat="1">
      <c r="A7354" s="222" t="s">
        <v>179</v>
      </c>
      <c r="B7354" s="222" t="s">
        <v>125</v>
      </c>
      <c r="C7354" s="236">
        <v>0.68888888888888899</v>
      </c>
      <c r="D7354" s="237">
        <v>0</v>
      </c>
      <c r="E7354" s="237">
        <v>0</v>
      </c>
      <c r="F7354" s="237">
        <v>0</v>
      </c>
      <c r="G7354" s="237">
        <v>0</v>
      </c>
      <c r="H7354" s="237">
        <v>0</v>
      </c>
      <c r="I7354" s="237">
        <v>0</v>
      </c>
      <c r="J7354" s="237">
        <v>0</v>
      </c>
    </row>
    <row r="7355" spans="1:10" s="225" customFormat="1">
      <c r="A7355" s="222" t="s">
        <v>179</v>
      </c>
      <c r="B7355" s="222" t="s">
        <v>125</v>
      </c>
      <c r="C7355" s="236">
        <v>0.68958333333333299</v>
      </c>
      <c r="D7355" s="237">
        <v>0</v>
      </c>
      <c r="E7355" s="237">
        <v>0</v>
      </c>
      <c r="F7355" s="237">
        <v>0</v>
      </c>
      <c r="G7355" s="237">
        <v>0</v>
      </c>
      <c r="H7355" s="237">
        <v>0</v>
      </c>
      <c r="I7355" s="237">
        <v>0</v>
      </c>
      <c r="J7355" s="237">
        <v>0</v>
      </c>
    </row>
    <row r="7356" spans="1:10" s="225" customFormat="1">
      <c r="A7356" s="222" t="s">
        <v>179</v>
      </c>
      <c r="B7356" s="222" t="s">
        <v>125</v>
      </c>
      <c r="C7356" s="236">
        <v>0.69027777777777799</v>
      </c>
      <c r="D7356" s="237">
        <v>0</v>
      </c>
      <c r="E7356" s="237">
        <v>0</v>
      </c>
      <c r="F7356" s="237">
        <v>0</v>
      </c>
      <c r="G7356" s="237">
        <v>0</v>
      </c>
      <c r="H7356" s="237">
        <v>0</v>
      </c>
      <c r="I7356" s="237">
        <v>0</v>
      </c>
      <c r="J7356" s="237">
        <v>0</v>
      </c>
    </row>
    <row r="7357" spans="1:10" s="225" customFormat="1">
      <c r="A7357" s="222" t="s">
        <v>179</v>
      </c>
      <c r="B7357" s="222" t="s">
        <v>125</v>
      </c>
      <c r="C7357" s="236">
        <v>0.69097222222222199</v>
      </c>
      <c r="D7357" s="237">
        <v>0</v>
      </c>
      <c r="E7357" s="237">
        <v>0</v>
      </c>
      <c r="F7357" s="237">
        <v>0</v>
      </c>
      <c r="G7357" s="237">
        <v>0</v>
      </c>
      <c r="H7357" s="237">
        <v>0</v>
      </c>
      <c r="I7357" s="237">
        <v>0</v>
      </c>
      <c r="J7357" s="237">
        <v>0</v>
      </c>
    </row>
    <row r="7358" spans="1:10" s="225" customFormat="1">
      <c r="A7358" s="222" t="s">
        <v>179</v>
      </c>
      <c r="B7358" s="222" t="s">
        <v>125</v>
      </c>
      <c r="C7358" s="236">
        <v>0.69166666666666698</v>
      </c>
      <c r="D7358" s="237">
        <v>0</v>
      </c>
      <c r="E7358" s="237">
        <v>0</v>
      </c>
      <c r="F7358" s="237">
        <v>0</v>
      </c>
      <c r="G7358" s="237">
        <v>0</v>
      </c>
      <c r="H7358" s="237">
        <v>0</v>
      </c>
      <c r="I7358" s="237">
        <v>0</v>
      </c>
      <c r="J7358" s="237">
        <v>0</v>
      </c>
    </row>
    <row r="7359" spans="1:10" s="225" customFormat="1">
      <c r="A7359" s="222" t="s">
        <v>179</v>
      </c>
      <c r="B7359" s="222" t="s">
        <v>125</v>
      </c>
      <c r="C7359" s="236">
        <v>0.69236111111111098</v>
      </c>
      <c r="D7359" s="237">
        <v>0</v>
      </c>
      <c r="E7359" s="237">
        <v>0</v>
      </c>
      <c r="F7359" s="237">
        <v>0</v>
      </c>
      <c r="G7359" s="237">
        <v>0</v>
      </c>
      <c r="H7359" s="237">
        <v>0</v>
      </c>
      <c r="I7359" s="237">
        <v>0</v>
      </c>
      <c r="J7359" s="237">
        <v>0</v>
      </c>
    </row>
    <row r="7360" spans="1:10" s="225" customFormat="1">
      <c r="A7360" s="222" t="s">
        <v>179</v>
      </c>
      <c r="B7360" s="222" t="s">
        <v>125</v>
      </c>
      <c r="C7360" s="236">
        <v>0.69305555555555498</v>
      </c>
      <c r="D7360" s="237">
        <v>0</v>
      </c>
      <c r="E7360" s="237">
        <v>0</v>
      </c>
      <c r="F7360" s="237">
        <v>0</v>
      </c>
      <c r="G7360" s="237">
        <v>0</v>
      </c>
      <c r="H7360" s="237">
        <v>0</v>
      </c>
      <c r="I7360" s="237">
        <v>0</v>
      </c>
      <c r="J7360" s="237">
        <v>0</v>
      </c>
    </row>
    <row r="7361" spans="1:10" s="225" customFormat="1">
      <c r="A7361" s="222" t="s">
        <v>179</v>
      </c>
      <c r="B7361" s="222" t="s">
        <v>125</v>
      </c>
      <c r="C7361" s="236">
        <v>0.69374999999999998</v>
      </c>
      <c r="D7361" s="237">
        <v>0</v>
      </c>
      <c r="E7361" s="237">
        <v>0</v>
      </c>
      <c r="F7361" s="237">
        <v>0</v>
      </c>
      <c r="G7361" s="237">
        <v>0</v>
      </c>
      <c r="H7361" s="237">
        <v>0</v>
      </c>
      <c r="I7361" s="237">
        <v>0</v>
      </c>
      <c r="J7361" s="237">
        <v>0</v>
      </c>
    </row>
    <row r="7362" spans="1:10" s="225" customFormat="1">
      <c r="A7362" s="222" t="s">
        <v>179</v>
      </c>
      <c r="B7362" s="222" t="s">
        <v>125</v>
      </c>
      <c r="C7362" s="236">
        <v>0.69444444444444398</v>
      </c>
      <c r="D7362" s="237">
        <v>0</v>
      </c>
      <c r="E7362" s="237">
        <v>0</v>
      </c>
      <c r="F7362" s="237">
        <v>0</v>
      </c>
      <c r="G7362" s="237">
        <v>0</v>
      </c>
      <c r="H7362" s="237">
        <v>0</v>
      </c>
      <c r="I7362" s="237">
        <v>0</v>
      </c>
      <c r="J7362" s="237">
        <v>0</v>
      </c>
    </row>
    <row r="7363" spans="1:10" s="225" customFormat="1">
      <c r="A7363" s="222" t="s">
        <v>179</v>
      </c>
      <c r="B7363" s="222" t="s">
        <v>125</v>
      </c>
      <c r="C7363" s="236">
        <v>0.69513888888888897</v>
      </c>
      <c r="D7363" s="237">
        <v>0</v>
      </c>
      <c r="E7363" s="237">
        <v>0</v>
      </c>
      <c r="F7363" s="237">
        <v>0</v>
      </c>
      <c r="G7363" s="237">
        <v>0</v>
      </c>
      <c r="H7363" s="237">
        <v>0</v>
      </c>
      <c r="I7363" s="237">
        <v>0</v>
      </c>
      <c r="J7363" s="237">
        <v>0</v>
      </c>
    </row>
    <row r="7364" spans="1:10" s="225" customFormat="1">
      <c r="A7364" s="222" t="s">
        <v>179</v>
      </c>
      <c r="B7364" s="222" t="s">
        <v>125</v>
      </c>
      <c r="C7364" s="236">
        <v>0.69583333333333297</v>
      </c>
      <c r="D7364" s="237">
        <v>0</v>
      </c>
      <c r="E7364" s="237">
        <v>0</v>
      </c>
      <c r="F7364" s="237">
        <v>0</v>
      </c>
      <c r="G7364" s="237">
        <v>0</v>
      </c>
      <c r="H7364" s="237">
        <v>0</v>
      </c>
      <c r="I7364" s="237">
        <v>0</v>
      </c>
      <c r="J7364" s="237">
        <v>0</v>
      </c>
    </row>
    <row r="7365" spans="1:10" s="225" customFormat="1">
      <c r="A7365" s="222" t="s">
        <v>179</v>
      </c>
      <c r="B7365" s="222" t="s">
        <v>125</v>
      </c>
      <c r="C7365" s="236">
        <v>0.69652777777777797</v>
      </c>
      <c r="D7365" s="237">
        <v>0</v>
      </c>
      <c r="E7365" s="237">
        <v>0</v>
      </c>
      <c r="F7365" s="237">
        <v>0</v>
      </c>
      <c r="G7365" s="237">
        <v>0</v>
      </c>
      <c r="H7365" s="237">
        <v>0</v>
      </c>
      <c r="I7365" s="237">
        <v>0</v>
      </c>
      <c r="J7365" s="237">
        <v>0</v>
      </c>
    </row>
    <row r="7366" spans="1:10" s="229" customFormat="1">
      <c r="A7366" s="226" t="s">
        <v>179</v>
      </c>
      <c r="B7366" s="226" t="s">
        <v>125</v>
      </c>
      <c r="C7366" s="238">
        <v>0.69722222222222197</v>
      </c>
      <c r="D7366" s="239">
        <v>0</v>
      </c>
      <c r="E7366" s="239">
        <v>0</v>
      </c>
      <c r="F7366" s="239">
        <v>0</v>
      </c>
      <c r="G7366" s="239">
        <v>0</v>
      </c>
      <c r="H7366" s="239">
        <v>0</v>
      </c>
      <c r="I7366" s="239">
        <v>0</v>
      </c>
      <c r="J7366" s="239">
        <v>0</v>
      </c>
    </row>
    <row r="7367" spans="1:10" s="225" customFormat="1">
      <c r="A7367" s="222" t="s">
        <v>179</v>
      </c>
      <c r="B7367" s="222" t="s">
        <v>125</v>
      </c>
      <c r="C7367" s="236">
        <v>0.69791666666666696</v>
      </c>
      <c r="D7367" s="237">
        <v>0</v>
      </c>
      <c r="E7367" s="237">
        <v>0</v>
      </c>
      <c r="F7367" s="237">
        <v>0</v>
      </c>
      <c r="G7367" s="237">
        <v>0</v>
      </c>
      <c r="H7367" s="237">
        <v>0</v>
      </c>
      <c r="I7367" s="237">
        <v>0</v>
      </c>
      <c r="J7367" s="237">
        <v>0</v>
      </c>
    </row>
    <row r="7368" spans="1:10" s="225" customFormat="1">
      <c r="A7368" s="222" t="s">
        <v>179</v>
      </c>
      <c r="B7368" s="222" t="s">
        <v>125</v>
      </c>
      <c r="C7368" s="236">
        <v>0.69861111111111096</v>
      </c>
      <c r="D7368" s="237">
        <v>0</v>
      </c>
      <c r="E7368" s="237">
        <v>0</v>
      </c>
      <c r="F7368" s="237">
        <v>0</v>
      </c>
      <c r="G7368" s="237">
        <v>0</v>
      </c>
      <c r="H7368" s="237">
        <v>0</v>
      </c>
      <c r="I7368" s="237">
        <v>0</v>
      </c>
      <c r="J7368" s="237">
        <v>0</v>
      </c>
    </row>
    <row r="7369" spans="1:10" s="225" customFormat="1">
      <c r="A7369" s="222" t="s">
        <v>179</v>
      </c>
      <c r="B7369" s="222" t="s">
        <v>125</v>
      </c>
      <c r="C7369" s="236">
        <v>0.69930555555555496</v>
      </c>
      <c r="D7369" s="237">
        <v>0</v>
      </c>
      <c r="E7369" s="237">
        <v>0</v>
      </c>
      <c r="F7369" s="237">
        <v>0</v>
      </c>
      <c r="G7369" s="237">
        <v>0</v>
      </c>
      <c r="H7369" s="237">
        <v>0</v>
      </c>
      <c r="I7369" s="237">
        <v>0</v>
      </c>
      <c r="J7369" s="237">
        <v>0</v>
      </c>
    </row>
    <row r="7370" spans="1:10" s="225" customFormat="1">
      <c r="A7370" s="222" t="s">
        <v>179</v>
      </c>
      <c r="B7370" s="222" t="s">
        <v>125</v>
      </c>
      <c r="C7370" s="236">
        <v>0.7</v>
      </c>
      <c r="D7370" s="237">
        <v>0</v>
      </c>
      <c r="E7370" s="237">
        <v>0</v>
      </c>
      <c r="F7370" s="237">
        <v>0</v>
      </c>
      <c r="G7370" s="237">
        <v>0</v>
      </c>
      <c r="H7370" s="237">
        <v>0</v>
      </c>
      <c r="I7370" s="237">
        <v>0</v>
      </c>
      <c r="J7370" s="237">
        <v>0</v>
      </c>
    </row>
    <row r="7371" spans="1:10" s="225" customFormat="1">
      <c r="A7371" s="222" t="s">
        <v>179</v>
      </c>
      <c r="B7371" s="222" t="s">
        <v>125</v>
      </c>
      <c r="C7371" s="236">
        <v>0.70069444444444395</v>
      </c>
      <c r="D7371" s="237">
        <v>0</v>
      </c>
      <c r="E7371" s="237">
        <v>0</v>
      </c>
      <c r="F7371" s="237">
        <v>0</v>
      </c>
      <c r="G7371" s="237">
        <v>0</v>
      </c>
      <c r="H7371" s="237">
        <v>0</v>
      </c>
      <c r="I7371" s="237">
        <v>0</v>
      </c>
      <c r="J7371" s="237">
        <v>0</v>
      </c>
    </row>
    <row r="7372" spans="1:10" s="225" customFormat="1">
      <c r="A7372" s="222" t="s">
        <v>179</v>
      </c>
      <c r="B7372" s="222" t="s">
        <v>125</v>
      </c>
      <c r="C7372" s="236">
        <v>0.70138888888888895</v>
      </c>
      <c r="D7372" s="237">
        <v>0</v>
      </c>
      <c r="E7372" s="237">
        <v>0</v>
      </c>
      <c r="F7372" s="237">
        <v>0</v>
      </c>
      <c r="G7372" s="237">
        <v>0</v>
      </c>
      <c r="H7372" s="237">
        <v>0</v>
      </c>
      <c r="I7372" s="237">
        <v>0</v>
      </c>
      <c r="J7372" s="237">
        <v>0</v>
      </c>
    </row>
    <row r="7373" spans="1:10" s="225" customFormat="1">
      <c r="A7373" s="222" t="s">
        <v>179</v>
      </c>
      <c r="B7373" s="222" t="s">
        <v>125</v>
      </c>
      <c r="C7373" s="236">
        <v>0.70208333333333295</v>
      </c>
      <c r="D7373" s="237">
        <v>0</v>
      </c>
      <c r="E7373" s="237">
        <v>0</v>
      </c>
      <c r="F7373" s="237">
        <v>0</v>
      </c>
      <c r="G7373" s="237">
        <v>0</v>
      </c>
      <c r="H7373" s="237">
        <v>0</v>
      </c>
      <c r="I7373" s="237">
        <v>0</v>
      </c>
      <c r="J7373" s="237">
        <v>0</v>
      </c>
    </row>
    <row r="7374" spans="1:10" s="225" customFormat="1">
      <c r="A7374" s="222" t="s">
        <v>179</v>
      </c>
      <c r="B7374" s="222" t="s">
        <v>125</v>
      </c>
      <c r="C7374" s="236">
        <v>0.70277777777777795</v>
      </c>
      <c r="D7374" s="237">
        <v>0</v>
      </c>
      <c r="E7374" s="237">
        <v>0</v>
      </c>
      <c r="F7374" s="237">
        <v>0</v>
      </c>
      <c r="G7374" s="237">
        <v>0</v>
      </c>
      <c r="H7374" s="237">
        <v>0</v>
      </c>
      <c r="I7374" s="237">
        <v>0</v>
      </c>
      <c r="J7374" s="237">
        <v>0</v>
      </c>
    </row>
    <row r="7375" spans="1:10" s="225" customFormat="1">
      <c r="A7375" s="222" t="s">
        <v>179</v>
      </c>
      <c r="B7375" s="222" t="s">
        <v>125</v>
      </c>
      <c r="C7375" s="236">
        <v>0.70347222222222205</v>
      </c>
      <c r="D7375" s="237">
        <v>0</v>
      </c>
      <c r="E7375" s="237">
        <v>0</v>
      </c>
      <c r="F7375" s="237">
        <v>0</v>
      </c>
      <c r="G7375" s="237">
        <v>0</v>
      </c>
      <c r="H7375" s="237">
        <v>0</v>
      </c>
      <c r="I7375" s="237">
        <v>0</v>
      </c>
      <c r="J7375" s="237">
        <v>0</v>
      </c>
    </row>
    <row r="7376" spans="1:10" s="225" customFormat="1">
      <c r="A7376" s="222" t="s">
        <v>179</v>
      </c>
      <c r="B7376" s="222" t="s">
        <v>125</v>
      </c>
      <c r="C7376" s="236">
        <v>0.70416666666666605</v>
      </c>
      <c r="D7376" s="237">
        <v>0</v>
      </c>
      <c r="E7376" s="237">
        <v>0</v>
      </c>
      <c r="F7376" s="237">
        <v>0</v>
      </c>
      <c r="G7376" s="237">
        <v>0</v>
      </c>
      <c r="H7376" s="237">
        <v>0</v>
      </c>
      <c r="I7376" s="237">
        <v>0</v>
      </c>
      <c r="J7376" s="237">
        <v>0</v>
      </c>
    </row>
    <row r="7377" spans="1:10" s="225" customFormat="1">
      <c r="A7377" s="222" t="s">
        <v>179</v>
      </c>
      <c r="B7377" s="222" t="s">
        <v>125</v>
      </c>
      <c r="C7377" s="236">
        <v>0.70486111111111105</v>
      </c>
      <c r="D7377" s="237">
        <v>0</v>
      </c>
      <c r="E7377" s="237">
        <v>0</v>
      </c>
      <c r="F7377" s="237">
        <v>0</v>
      </c>
      <c r="G7377" s="237">
        <v>0</v>
      </c>
      <c r="H7377" s="237">
        <v>0</v>
      </c>
      <c r="I7377" s="237">
        <v>0</v>
      </c>
      <c r="J7377" s="237">
        <v>0</v>
      </c>
    </row>
    <row r="7378" spans="1:10" s="225" customFormat="1">
      <c r="A7378" s="222" t="s">
        <v>179</v>
      </c>
      <c r="B7378" s="222" t="s">
        <v>125</v>
      </c>
      <c r="C7378" s="236">
        <v>0.70555555555555505</v>
      </c>
      <c r="D7378" s="237">
        <v>0</v>
      </c>
      <c r="E7378" s="237">
        <v>0</v>
      </c>
      <c r="F7378" s="237">
        <v>0</v>
      </c>
      <c r="G7378" s="237">
        <v>0</v>
      </c>
      <c r="H7378" s="237">
        <v>0</v>
      </c>
      <c r="I7378" s="237">
        <v>0</v>
      </c>
      <c r="J7378" s="237">
        <v>0</v>
      </c>
    </row>
    <row r="7379" spans="1:10" s="225" customFormat="1">
      <c r="A7379" s="222" t="s">
        <v>179</v>
      </c>
      <c r="B7379" s="222" t="s">
        <v>125</v>
      </c>
      <c r="C7379" s="236">
        <v>0.70625000000000004</v>
      </c>
      <c r="D7379" s="237">
        <v>0</v>
      </c>
      <c r="E7379" s="237">
        <v>0</v>
      </c>
      <c r="F7379" s="237">
        <v>0</v>
      </c>
      <c r="G7379" s="237">
        <v>0</v>
      </c>
      <c r="H7379" s="237">
        <v>0</v>
      </c>
      <c r="I7379" s="237">
        <v>0</v>
      </c>
      <c r="J7379" s="237">
        <v>0</v>
      </c>
    </row>
    <row r="7380" spans="1:10" s="225" customFormat="1">
      <c r="A7380" s="222" t="s">
        <v>179</v>
      </c>
      <c r="B7380" s="222" t="s">
        <v>125</v>
      </c>
      <c r="C7380" s="236">
        <v>0.70694444444444404</v>
      </c>
      <c r="D7380" s="237">
        <v>0</v>
      </c>
      <c r="E7380" s="237">
        <v>0</v>
      </c>
      <c r="F7380" s="237">
        <v>0</v>
      </c>
      <c r="G7380" s="237">
        <v>0</v>
      </c>
      <c r="H7380" s="237">
        <v>0</v>
      </c>
      <c r="I7380" s="237">
        <v>0</v>
      </c>
      <c r="J7380" s="237">
        <v>0</v>
      </c>
    </row>
    <row r="7381" spans="1:10" s="229" customFormat="1">
      <c r="A7381" s="226" t="s">
        <v>179</v>
      </c>
      <c r="B7381" s="226" t="s">
        <v>125</v>
      </c>
      <c r="C7381" s="238">
        <v>0.70763888888888904</v>
      </c>
      <c r="D7381" s="239">
        <v>0</v>
      </c>
      <c r="E7381" s="239">
        <v>0</v>
      </c>
      <c r="F7381" s="239">
        <v>0</v>
      </c>
      <c r="G7381" s="239">
        <v>0</v>
      </c>
      <c r="H7381" s="239">
        <v>0</v>
      </c>
      <c r="I7381" s="239">
        <v>0</v>
      </c>
      <c r="J7381" s="239">
        <v>0</v>
      </c>
    </row>
    <row r="7382" spans="1:10" s="225" customFormat="1">
      <c r="A7382" s="222" t="s">
        <v>179</v>
      </c>
      <c r="B7382" s="222" t="s">
        <v>125</v>
      </c>
      <c r="C7382" s="236">
        <v>0.70833333333333304</v>
      </c>
      <c r="D7382" s="237">
        <v>0</v>
      </c>
      <c r="E7382" s="237">
        <v>0</v>
      </c>
      <c r="F7382" s="237">
        <v>0</v>
      </c>
      <c r="G7382" s="237">
        <v>0</v>
      </c>
      <c r="H7382" s="237">
        <v>0</v>
      </c>
      <c r="I7382" s="237">
        <v>0</v>
      </c>
      <c r="J7382" s="237">
        <v>0</v>
      </c>
    </row>
    <row r="7383" spans="1:10" s="225" customFormat="1">
      <c r="A7383" s="222" t="s">
        <v>179</v>
      </c>
      <c r="B7383" s="222" t="s">
        <v>125</v>
      </c>
      <c r="C7383" s="236">
        <v>0.70902777777777803</v>
      </c>
      <c r="D7383" s="237">
        <v>0</v>
      </c>
      <c r="E7383" s="237">
        <v>0</v>
      </c>
      <c r="F7383" s="237">
        <v>0</v>
      </c>
      <c r="G7383" s="237">
        <v>0</v>
      </c>
      <c r="H7383" s="237">
        <v>0</v>
      </c>
      <c r="I7383" s="237">
        <v>0</v>
      </c>
      <c r="J7383" s="237">
        <v>0</v>
      </c>
    </row>
    <row r="7384" spans="1:10" s="225" customFormat="1">
      <c r="A7384" s="222" t="s">
        <v>179</v>
      </c>
      <c r="B7384" s="222" t="s">
        <v>125</v>
      </c>
      <c r="C7384" s="236">
        <v>0.70972222222222203</v>
      </c>
      <c r="D7384" s="237">
        <v>0</v>
      </c>
      <c r="E7384" s="237">
        <v>0</v>
      </c>
      <c r="F7384" s="237">
        <v>0</v>
      </c>
      <c r="G7384" s="237">
        <v>0</v>
      </c>
      <c r="H7384" s="237">
        <v>0</v>
      </c>
      <c r="I7384" s="237">
        <v>0</v>
      </c>
      <c r="J7384" s="237">
        <v>0</v>
      </c>
    </row>
    <row r="7385" spans="1:10" s="225" customFormat="1">
      <c r="A7385" s="222" t="s">
        <v>179</v>
      </c>
      <c r="B7385" s="222" t="s">
        <v>125</v>
      </c>
      <c r="C7385" s="236">
        <v>0.71041666666666603</v>
      </c>
      <c r="D7385" s="237">
        <v>0</v>
      </c>
      <c r="E7385" s="237">
        <v>0</v>
      </c>
      <c r="F7385" s="237">
        <v>0</v>
      </c>
      <c r="G7385" s="237">
        <v>0</v>
      </c>
      <c r="H7385" s="237">
        <v>0</v>
      </c>
      <c r="I7385" s="237">
        <v>0</v>
      </c>
      <c r="J7385" s="237">
        <v>0</v>
      </c>
    </row>
    <row r="7386" spans="1:10" s="225" customFormat="1">
      <c r="A7386" s="222" t="s">
        <v>179</v>
      </c>
      <c r="B7386" s="222" t="s">
        <v>125</v>
      </c>
      <c r="C7386" s="236">
        <v>0.71111111111111103</v>
      </c>
      <c r="D7386" s="237">
        <v>0</v>
      </c>
      <c r="E7386" s="237">
        <v>0</v>
      </c>
      <c r="F7386" s="237">
        <v>0</v>
      </c>
      <c r="G7386" s="237">
        <v>0</v>
      </c>
      <c r="H7386" s="237">
        <v>0</v>
      </c>
      <c r="I7386" s="237">
        <v>0</v>
      </c>
      <c r="J7386" s="237">
        <v>0</v>
      </c>
    </row>
    <row r="7387" spans="1:10" s="225" customFormat="1">
      <c r="A7387" s="222" t="s">
        <v>179</v>
      </c>
      <c r="B7387" s="222" t="s">
        <v>125</v>
      </c>
      <c r="C7387" s="236">
        <v>0.71180555555555503</v>
      </c>
      <c r="D7387" s="237">
        <v>0</v>
      </c>
      <c r="E7387" s="237">
        <v>0</v>
      </c>
      <c r="F7387" s="237">
        <v>0</v>
      </c>
      <c r="G7387" s="237">
        <v>0</v>
      </c>
      <c r="H7387" s="237">
        <v>0</v>
      </c>
      <c r="I7387" s="237">
        <v>0</v>
      </c>
      <c r="J7387" s="237">
        <v>0</v>
      </c>
    </row>
    <row r="7388" spans="1:10" s="225" customFormat="1">
      <c r="A7388" s="222" t="s">
        <v>179</v>
      </c>
      <c r="B7388" s="222" t="s">
        <v>125</v>
      </c>
      <c r="C7388" s="236">
        <v>0.71250000000000002</v>
      </c>
      <c r="D7388" s="237">
        <v>0</v>
      </c>
      <c r="E7388" s="237">
        <v>0</v>
      </c>
      <c r="F7388" s="237">
        <v>0</v>
      </c>
      <c r="G7388" s="237">
        <v>0</v>
      </c>
      <c r="H7388" s="237">
        <v>0</v>
      </c>
      <c r="I7388" s="237">
        <v>0</v>
      </c>
      <c r="J7388" s="237">
        <v>0</v>
      </c>
    </row>
    <row r="7389" spans="1:10" s="225" customFormat="1">
      <c r="A7389" s="222" t="s">
        <v>179</v>
      </c>
      <c r="B7389" s="222" t="s">
        <v>125</v>
      </c>
      <c r="C7389" s="236">
        <v>0.71319444444444402</v>
      </c>
      <c r="D7389" s="237">
        <v>0</v>
      </c>
      <c r="E7389" s="237">
        <v>0</v>
      </c>
      <c r="F7389" s="237">
        <v>0</v>
      </c>
      <c r="G7389" s="237">
        <v>0</v>
      </c>
      <c r="H7389" s="237">
        <v>0</v>
      </c>
      <c r="I7389" s="237">
        <v>0</v>
      </c>
      <c r="J7389" s="237">
        <v>0</v>
      </c>
    </row>
    <row r="7390" spans="1:10" s="225" customFormat="1">
      <c r="A7390" s="222" t="s">
        <v>179</v>
      </c>
      <c r="B7390" s="222" t="s">
        <v>125</v>
      </c>
      <c r="C7390" s="236">
        <v>0.71388888888888902</v>
      </c>
      <c r="D7390" s="237">
        <v>0</v>
      </c>
      <c r="E7390" s="237">
        <v>0</v>
      </c>
      <c r="F7390" s="237">
        <v>0</v>
      </c>
      <c r="G7390" s="237">
        <v>0</v>
      </c>
      <c r="H7390" s="237">
        <v>0</v>
      </c>
      <c r="I7390" s="237">
        <v>0</v>
      </c>
      <c r="J7390" s="237">
        <v>0</v>
      </c>
    </row>
    <row r="7391" spans="1:10" s="225" customFormat="1">
      <c r="A7391" s="222" t="s">
        <v>179</v>
      </c>
      <c r="B7391" s="222" t="s">
        <v>125</v>
      </c>
      <c r="C7391" s="236">
        <v>0.71458333333333302</v>
      </c>
      <c r="D7391" s="237">
        <v>0</v>
      </c>
      <c r="E7391" s="237">
        <v>0</v>
      </c>
      <c r="F7391" s="237">
        <v>0</v>
      </c>
      <c r="G7391" s="237">
        <v>0</v>
      </c>
      <c r="H7391" s="237">
        <v>0</v>
      </c>
      <c r="I7391" s="237">
        <v>0</v>
      </c>
      <c r="J7391" s="237">
        <v>0</v>
      </c>
    </row>
    <row r="7392" spans="1:10" s="225" customFormat="1">
      <c r="A7392" s="222" t="s">
        <v>179</v>
      </c>
      <c r="B7392" s="222" t="s">
        <v>125</v>
      </c>
      <c r="C7392" s="236">
        <v>0.71527777777777801</v>
      </c>
      <c r="D7392" s="237">
        <v>0</v>
      </c>
      <c r="E7392" s="237">
        <v>0</v>
      </c>
      <c r="F7392" s="237">
        <v>0</v>
      </c>
      <c r="G7392" s="237">
        <v>0</v>
      </c>
      <c r="H7392" s="237">
        <v>0</v>
      </c>
      <c r="I7392" s="237">
        <v>0</v>
      </c>
      <c r="J7392" s="237">
        <v>0</v>
      </c>
    </row>
    <row r="7393" spans="1:10" s="225" customFormat="1">
      <c r="A7393" s="222" t="s">
        <v>179</v>
      </c>
      <c r="B7393" s="222" t="s">
        <v>125</v>
      </c>
      <c r="C7393" s="236">
        <v>0.71597222222222201</v>
      </c>
      <c r="D7393" s="237">
        <v>0</v>
      </c>
      <c r="E7393" s="237">
        <v>0</v>
      </c>
      <c r="F7393" s="237">
        <v>0</v>
      </c>
      <c r="G7393" s="237">
        <v>0</v>
      </c>
      <c r="H7393" s="237">
        <v>0</v>
      </c>
      <c r="I7393" s="237">
        <v>0</v>
      </c>
      <c r="J7393" s="237">
        <v>0</v>
      </c>
    </row>
    <row r="7394" spans="1:10" s="225" customFormat="1">
      <c r="A7394" s="222" t="s">
        <v>179</v>
      </c>
      <c r="B7394" s="222" t="s">
        <v>125</v>
      </c>
      <c r="C7394" s="236">
        <v>0.71666666666666601</v>
      </c>
      <c r="D7394" s="237">
        <v>0</v>
      </c>
      <c r="E7394" s="237">
        <v>0</v>
      </c>
      <c r="F7394" s="237">
        <v>0</v>
      </c>
      <c r="G7394" s="237">
        <v>0</v>
      </c>
      <c r="H7394" s="237">
        <v>0</v>
      </c>
      <c r="I7394" s="237">
        <v>0</v>
      </c>
      <c r="J7394" s="237">
        <v>0</v>
      </c>
    </row>
    <row r="7395" spans="1:10" s="225" customFormat="1">
      <c r="A7395" s="222" t="s">
        <v>179</v>
      </c>
      <c r="B7395" s="222" t="s">
        <v>125</v>
      </c>
      <c r="C7395" s="236">
        <v>0.71736111111111101</v>
      </c>
      <c r="D7395" s="237">
        <v>0</v>
      </c>
      <c r="E7395" s="237">
        <v>0</v>
      </c>
      <c r="F7395" s="237">
        <v>0</v>
      </c>
      <c r="G7395" s="237">
        <v>0</v>
      </c>
      <c r="H7395" s="237">
        <v>0</v>
      </c>
      <c r="I7395" s="237">
        <v>0</v>
      </c>
      <c r="J7395" s="237">
        <v>0</v>
      </c>
    </row>
    <row r="7396" spans="1:10" s="229" customFormat="1">
      <c r="A7396" s="226" t="s">
        <v>179</v>
      </c>
      <c r="B7396" s="226" t="s">
        <v>125</v>
      </c>
      <c r="C7396" s="238">
        <v>0.718055555555555</v>
      </c>
      <c r="D7396" s="239">
        <v>0</v>
      </c>
      <c r="E7396" s="239">
        <v>0</v>
      </c>
      <c r="F7396" s="239">
        <v>0</v>
      </c>
      <c r="G7396" s="239">
        <v>0</v>
      </c>
      <c r="H7396" s="239">
        <v>0</v>
      </c>
      <c r="I7396" s="239">
        <v>0</v>
      </c>
      <c r="J7396" s="239">
        <v>0</v>
      </c>
    </row>
    <row r="7397" spans="1:10" s="225" customFormat="1">
      <c r="A7397" s="222" t="s">
        <v>179</v>
      </c>
      <c r="B7397" s="222" t="s">
        <v>125</v>
      </c>
      <c r="C7397" s="236">
        <v>0.71875</v>
      </c>
      <c r="D7397" s="237">
        <v>0</v>
      </c>
      <c r="E7397" s="237">
        <v>0</v>
      </c>
      <c r="F7397" s="237">
        <v>0</v>
      </c>
      <c r="G7397" s="237">
        <v>0</v>
      </c>
      <c r="H7397" s="237">
        <v>0</v>
      </c>
      <c r="I7397" s="237">
        <v>0</v>
      </c>
      <c r="J7397" s="237">
        <v>0</v>
      </c>
    </row>
    <row r="7398" spans="1:10" s="225" customFormat="1">
      <c r="A7398" s="222" t="s">
        <v>179</v>
      </c>
      <c r="B7398" s="222" t="s">
        <v>125</v>
      </c>
      <c r="C7398" s="236">
        <v>0.719444444444444</v>
      </c>
      <c r="D7398" s="237">
        <v>0</v>
      </c>
      <c r="E7398" s="237">
        <v>0</v>
      </c>
      <c r="F7398" s="237">
        <v>0</v>
      </c>
      <c r="G7398" s="237">
        <v>0</v>
      </c>
      <c r="H7398" s="237">
        <v>0</v>
      </c>
      <c r="I7398" s="237">
        <v>0</v>
      </c>
      <c r="J7398" s="237">
        <v>0</v>
      </c>
    </row>
    <row r="7399" spans="1:10" s="225" customFormat="1">
      <c r="A7399" s="222" t="s">
        <v>179</v>
      </c>
      <c r="B7399" s="222" t="s">
        <v>125</v>
      </c>
      <c r="C7399" s="236">
        <v>0.72013888888888899</v>
      </c>
      <c r="D7399" s="237">
        <v>0</v>
      </c>
      <c r="E7399" s="237">
        <v>0</v>
      </c>
      <c r="F7399" s="237">
        <v>0</v>
      </c>
      <c r="G7399" s="237">
        <v>0</v>
      </c>
      <c r="H7399" s="237">
        <v>0</v>
      </c>
      <c r="I7399" s="237">
        <v>0</v>
      </c>
      <c r="J7399" s="237">
        <v>0</v>
      </c>
    </row>
    <row r="7400" spans="1:10" s="225" customFormat="1">
      <c r="A7400" s="222" t="s">
        <v>179</v>
      </c>
      <c r="B7400" s="222" t="s">
        <v>125</v>
      </c>
      <c r="C7400" s="236">
        <v>0.72083333333333299</v>
      </c>
      <c r="D7400" s="237">
        <v>0</v>
      </c>
      <c r="E7400" s="237">
        <v>0</v>
      </c>
      <c r="F7400" s="237">
        <v>0</v>
      </c>
      <c r="G7400" s="237">
        <v>0</v>
      </c>
      <c r="H7400" s="237">
        <v>0</v>
      </c>
      <c r="I7400" s="237">
        <v>0</v>
      </c>
      <c r="J7400" s="237">
        <v>0</v>
      </c>
    </row>
    <row r="7401" spans="1:10" s="225" customFormat="1">
      <c r="A7401" s="222" t="s">
        <v>179</v>
      </c>
      <c r="B7401" s="222" t="s">
        <v>125</v>
      </c>
      <c r="C7401" s="236">
        <v>0.72152777777777799</v>
      </c>
      <c r="D7401" s="237">
        <v>0</v>
      </c>
      <c r="E7401" s="237">
        <v>0</v>
      </c>
      <c r="F7401" s="237">
        <v>0</v>
      </c>
      <c r="G7401" s="237">
        <v>0</v>
      </c>
      <c r="H7401" s="237">
        <v>0</v>
      </c>
      <c r="I7401" s="237">
        <v>0</v>
      </c>
      <c r="J7401" s="237">
        <v>0</v>
      </c>
    </row>
    <row r="7402" spans="1:10" s="225" customFormat="1">
      <c r="A7402" s="222" t="s">
        <v>179</v>
      </c>
      <c r="B7402" s="222" t="s">
        <v>125</v>
      </c>
      <c r="C7402" s="236">
        <v>0.72222222222222199</v>
      </c>
      <c r="D7402" s="237">
        <v>0</v>
      </c>
      <c r="E7402" s="237">
        <v>0</v>
      </c>
      <c r="F7402" s="237">
        <v>0</v>
      </c>
      <c r="G7402" s="237">
        <v>0</v>
      </c>
      <c r="H7402" s="237">
        <v>0</v>
      </c>
      <c r="I7402" s="237">
        <v>0</v>
      </c>
      <c r="J7402" s="237">
        <v>0</v>
      </c>
    </row>
    <row r="7403" spans="1:10" s="225" customFormat="1">
      <c r="A7403" s="222" t="s">
        <v>179</v>
      </c>
      <c r="B7403" s="222" t="s">
        <v>125</v>
      </c>
      <c r="C7403" s="236">
        <v>0.72291666666666599</v>
      </c>
      <c r="D7403" s="237">
        <v>0</v>
      </c>
      <c r="E7403" s="237">
        <v>0</v>
      </c>
      <c r="F7403" s="237">
        <v>0</v>
      </c>
      <c r="G7403" s="237">
        <v>0</v>
      </c>
      <c r="H7403" s="237">
        <v>0</v>
      </c>
      <c r="I7403" s="237">
        <v>0</v>
      </c>
      <c r="J7403" s="237">
        <v>0</v>
      </c>
    </row>
    <row r="7404" spans="1:10" s="225" customFormat="1">
      <c r="A7404" s="222" t="s">
        <v>179</v>
      </c>
      <c r="B7404" s="222" t="s">
        <v>125</v>
      </c>
      <c r="C7404" s="236">
        <v>0.72361111111111098</v>
      </c>
      <c r="D7404" s="237">
        <v>0</v>
      </c>
      <c r="E7404" s="237">
        <v>0</v>
      </c>
      <c r="F7404" s="237">
        <v>0</v>
      </c>
      <c r="G7404" s="237">
        <v>0</v>
      </c>
      <c r="H7404" s="237">
        <v>0</v>
      </c>
      <c r="I7404" s="237">
        <v>0</v>
      </c>
      <c r="J7404" s="237">
        <v>0</v>
      </c>
    </row>
    <row r="7405" spans="1:10" s="225" customFormat="1">
      <c r="A7405" s="222" t="s">
        <v>179</v>
      </c>
      <c r="B7405" s="222" t="s">
        <v>125</v>
      </c>
      <c r="C7405" s="236">
        <v>0.72430555555555498</v>
      </c>
      <c r="D7405" s="237">
        <v>0</v>
      </c>
      <c r="E7405" s="237">
        <v>0</v>
      </c>
      <c r="F7405" s="237">
        <v>0</v>
      </c>
      <c r="G7405" s="237">
        <v>0</v>
      </c>
      <c r="H7405" s="237">
        <v>0</v>
      </c>
      <c r="I7405" s="237">
        <v>0</v>
      </c>
      <c r="J7405" s="237">
        <v>0</v>
      </c>
    </row>
    <row r="7406" spans="1:10" s="225" customFormat="1">
      <c r="A7406" s="222" t="s">
        <v>179</v>
      </c>
      <c r="B7406" s="222" t="s">
        <v>125</v>
      </c>
      <c r="C7406" s="236">
        <v>0.72499999999999998</v>
      </c>
      <c r="D7406" s="237">
        <v>0</v>
      </c>
      <c r="E7406" s="237">
        <v>0</v>
      </c>
      <c r="F7406" s="237">
        <v>0</v>
      </c>
      <c r="G7406" s="237">
        <v>0</v>
      </c>
      <c r="H7406" s="237">
        <v>0</v>
      </c>
      <c r="I7406" s="237">
        <v>0</v>
      </c>
      <c r="J7406" s="237">
        <v>0</v>
      </c>
    </row>
    <row r="7407" spans="1:10" s="225" customFormat="1">
      <c r="A7407" s="222" t="s">
        <v>179</v>
      </c>
      <c r="B7407" s="222" t="s">
        <v>125</v>
      </c>
      <c r="C7407" s="236">
        <v>0.72569444444444398</v>
      </c>
      <c r="D7407" s="237">
        <v>0</v>
      </c>
      <c r="E7407" s="237">
        <v>0</v>
      </c>
      <c r="F7407" s="237">
        <v>0</v>
      </c>
      <c r="G7407" s="237">
        <v>0</v>
      </c>
      <c r="H7407" s="237">
        <v>0</v>
      </c>
      <c r="I7407" s="237">
        <v>0</v>
      </c>
      <c r="J7407" s="237">
        <v>0</v>
      </c>
    </row>
    <row r="7408" spans="1:10" s="225" customFormat="1">
      <c r="A7408" s="222" t="s">
        <v>179</v>
      </c>
      <c r="B7408" s="222" t="s">
        <v>125</v>
      </c>
      <c r="C7408" s="236">
        <v>0.72638888888888897</v>
      </c>
      <c r="D7408" s="237">
        <v>0</v>
      </c>
      <c r="E7408" s="237">
        <v>0</v>
      </c>
      <c r="F7408" s="237">
        <v>0</v>
      </c>
      <c r="G7408" s="237">
        <v>0</v>
      </c>
      <c r="H7408" s="237">
        <v>0</v>
      </c>
      <c r="I7408" s="237">
        <v>0</v>
      </c>
      <c r="J7408" s="237">
        <v>0</v>
      </c>
    </row>
    <row r="7409" spans="1:10" s="225" customFormat="1">
      <c r="A7409" s="222" t="s">
        <v>179</v>
      </c>
      <c r="B7409" s="222" t="s">
        <v>125</v>
      </c>
      <c r="C7409" s="236">
        <v>0.72708333333333297</v>
      </c>
      <c r="D7409" s="237">
        <v>0</v>
      </c>
      <c r="E7409" s="237">
        <v>0</v>
      </c>
      <c r="F7409" s="237">
        <v>0</v>
      </c>
      <c r="G7409" s="237">
        <v>0</v>
      </c>
      <c r="H7409" s="237">
        <v>0</v>
      </c>
      <c r="I7409" s="237">
        <v>0</v>
      </c>
      <c r="J7409" s="237">
        <v>0</v>
      </c>
    </row>
    <row r="7410" spans="1:10" s="225" customFormat="1">
      <c r="A7410" s="222" t="s">
        <v>179</v>
      </c>
      <c r="B7410" s="222" t="s">
        <v>125</v>
      </c>
      <c r="C7410" s="236">
        <v>0.72777777777777797</v>
      </c>
      <c r="D7410" s="237">
        <v>0</v>
      </c>
      <c r="E7410" s="237">
        <v>0</v>
      </c>
      <c r="F7410" s="237">
        <v>0</v>
      </c>
      <c r="G7410" s="237">
        <v>0</v>
      </c>
      <c r="H7410" s="237">
        <v>0</v>
      </c>
      <c r="I7410" s="237">
        <v>0</v>
      </c>
      <c r="J7410" s="237">
        <v>0</v>
      </c>
    </row>
    <row r="7411" spans="1:10" s="229" customFormat="1">
      <c r="A7411" s="226" t="s">
        <v>179</v>
      </c>
      <c r="B7411" s="226" t="s">
        <v>125</v>
      </c>
      <c r="C7411" s="238">
        <v>0.72847222222222197</v>
      </c>
      <c r="D7411" s="239">
        <v>0</v>
      </c>
      <c r="E7411" s="239">
        <v>0</v>
      </c>
      <c r="F7411" s="239">
        <v>0</v>
      </c>
      <c r="G7411" s="239">
        <v>0</v>
      </c>
      <c r="H7411" s="239">
        <v>0</v>
      </c>
      <c r="I7411" s="239">
        <v>0</v>
      </c>
      <c r="J7411" s="239">
        <v>0</v>
      </c>
    </row>
    <row r="7412" spans="1:10" s="225" customFormat="1">
      <c r="A7412" s="222" t="s">
        <v>179</v>
      </c>
      <c r="B7412" s="222" t="s">
        <v>125</v>
      </c>
      <c r="C7412" s="236">
        <v>0.72916666666666596</v>
      </c>
      <c r="D7412" s="237">
        <v>0</v>
      </c>
      <c r="E7412" s="237">
        <v>0</v>
      </c>
      <c r="F7412" s="237">
        <v>0</v>
      </c>
      <c r="G7412" s="237">
        <v>0</v>
      </c>
      <c r="H7412" s="237">
        <v>0</v>
      </c>
      <c r="I7412" s="237">
        <v>0</v>
      </c>
      <c r="J7412" s="237">
        <v>0</v>
      </c>
    </row>
    <row r="7413" spans="1:10" s="225" customFormat="1">
      <c r="A7413" s="222" t="s">
        <v>179</v>
      </c>
      <c r="B7413" s="222" t="s">
        <v>125</v>
      </c>
      <c r="C7413" s="236">
        <v>0.72986111111111096</v>
      </c>
      <c r="D7413" s="237">
        <v>0</v>
      </c>
      <c r="E7413" s="237">
        <v>0</v>
      </c>
      <c r="F7413" s="237">
        <v>0</v>
      </c>
      <c r="G7413" s="237">
        <v>0</v>
      </c>
      <c r="H7413" s="237">
        <v>0</v>
      </c>
      <c r="I7413" s="237">
        <v>0</v>
      </c>
      <c r="J7413" s="237">
        <v>0</v>
      </c>
    </row>
    <row r="7414" spans="1:10" s="225" customFormat="1">
      <c r="A7414" s="222" t="s">
        <v>179</v>
      </c>
      <c r="B7414" s="222" t="s">
        <v>125</v>
      </c>
      <c r="C7414" s="236">
        <v>0.73055555555555496</v>
      </c>
      <c r="D7414" s="237">
        <v>0</v>
      </c>
      <c r="E7414" s="237">
        <v>0</v>
      </c>
      <c r="F7414" s="237">
        <v>0</v>
      </c>
      <c r="G7414" s="237">
        <v>0</v>
      </c>
      <c r="H7414" s="237">
        <v>0</v>
      </c>
      <c r="I7414" s="237">
        <v>0</v>
      </c>
      <c r="J7414" s="237">
        <v>0</v>
      </c>
    </row>
    <row r="7415" spans="1:10" s="225" customFormat="1">
      <c r="A7415" s="222" t="s">
        <v>179</v>
      </c>
      <c r="B7415" s="222" t="s">
        <v>125</v>
      </c>
      <c r="C7415" s="236">
        <v>0.73124999999999996</v>
      </c>
      <c r="D7415" s="237">
        <v>0</v>
      </c>
      <c r="E7415" s="237">
        <v>0</v>
      </c>
      <c r="F7415" s="237">
        <v>0</v>
      </c>
      <c r="G7415" s="237">
        <v>0</v>
      </c>
      <c r="H7415" s="237">
        <v>0</v>
      </c>
      <c r="I7415" s="237">
        <v>0</v>
      </c>
      <c r="J7415" s="237">
        <v>0</v>
      </c>
    </row>
    <row r="7416" spans="1:10" s="225" customFormat="1">
      <c r="A7416" s="222" t="s">
        <v>179</v>
      </c>
      <c r="B7416" s="222" t="s">
        <v>125</v>
      </c>
      <c r="C7416" s="236">
        <v>0.73194444444444395</v>
      </c>
      <c r="D7416" s="237">
        <v>0</v>
      </c>
      <c r="E7416" s="237">
        <v>0</v>
      </c>
      <c r="F7416" s="237">
        <v>0</v>
      </c>
      <c r="G7416" s="237">
        <v>0</v>
      </c>
      <c r="H7416" s="237">
        <v>0</v>
      </c>
      <c r="I7416" s="237">
        <v>0</v>
      </c>
      <c r="J7416" s="237">
        <v>0</v>
      </c>
    </row>
    <row r="7417" spans="1:10" s="225" customFormat="1">
      <c r="A7417" s="222" t="s">
        <v>179</v>
      </c>
      <c r="B7417" s="222" t="s">
        <v>125</v>
      </c>
      <c r="C7417" s="236">
        <v>0.73263888888888895</v>
      </c>
      <c r="D7417" s="237">
        <v>0</v>
      </c>
      <c r="E7417" s="237">
        <v>0</v>
      </c>
      <c r="F7417" s="237">
        <v>0</v>
      </c>
      <c r="G7417" s="237">
        <v>0</v>
      </c>
      <c r="H7417" s="237">
        <v>0</v>
      </c>
      <c r="I7417" s="237">
        <v>0</v>
      </c>
      <c r="J7417" s="237">
        <v>0</v>
      </c>
    </row>
    <row r="7418" spans="1:10" s="225" customFormat="1">
      <c r="A7418" s="222" t="s">
        <v>179</v>
      </c>
      <c r="B7418" s="222" t="s">
        <v>125</v>
      </c>
      <c r="C7418" s="236">
        <v>0.73333333333333295</v>
      </c>
      <c r="D7418" s="237">
        <v>0</v>
      </c>
      <c r="E7418" s="237">
        <v>0</v>
      </c>
      <c r="F7418" s="237">
        <v>0</v>
      </c>
      <c r="G7418" s="237">
        <v>0</v>
      </c>
      <c r="H7418" s="237">
        <v>0</v>
      </c>
      <c r="I7418" s="237">
        <v>0</v>
      </c>
      <c r="J7418" s="237">
        <v>0</v>
      </c>
    </row>
    <row r="7419" spans="1:10" s="225" customFormat="1">
      <c r="A7419" s="222" t="s">
        <v>179</v>
      </c>
      <c r="B7419" s="222" t="s">
        <v>125</v>
      </c>
      <c r="C7419" s="236">
        <v>0.73402777777777795</v>
      </c>
      <c r="D7419" s="237">
        <v>0</v>
      </c>
      <c r="E7419" s="237">
        <v>0</v>
      </c>
      <c r="F7419" s="237">
        <v>0</v>
      </c>
      <c r="G7419" s="237">
        <v>0</v>
      </c>
      <c r="H7419" s="237">
        <v>0</v>
      </c>
      <c r="I7419" s="237">
        <v>0</v>
      </c>
      <c r="J7419" s="237">
        <v>0</v>
      </c>
    </row>
    <row r="7420" spans="1:10" s="225" customFormat="1">
      <c r="A7420" s="222" t="s">
        <v>179</v>
      </c>
      <c r="B7420" s="222" t="s">
        <v>125</v>
      </c>
      <c r="C7420" s="236">
        <v>0.73472222222222205</v>
      </c>
      <c r="D7420" s="237">
        <v>0</v>
      </c>
      <c r="E7420" s="237">
        <v>0</v>
      </c>
      <c r="F7420" s="237">
        <v>0</v>
      </c>
      <c r="G7420" s="237">
        <v>0</v>
      </c>
      <c r="H7420" s="237">
        <v>0</v>
      </c>
      <c r="I7420" s="237">
        <v>0</v>
      </c>
      <c r="J7420" s="237">
        <v>0</v>
      </c>
    </row>
    <row r="7421" spans="1:10" s="225" customFormat="1">
      <c r="A7421" s="222" t="s">
        <v>179</v>
      </c>
      <c r="B7421" s="222" t="s">
        <v>125</v>
      </c>
      <c r="C7421" s="236">
        <v>0.73541666666666605</v>
      </c>
      <c r="D7421" s="237">
        <v>0</v>
      </c>
      <c r="E7421" s="237">
        <v>0</v>
      </c>
      <c r="F7421" s="237">
        <v>0</v>
      </c>
      <c r="G7421" s="237">
        <v>0</v>
      </c>
      <c r="H7421" s="237">
        <v>0</v>
      </c>
      <c r="I7421" s="237">
        <v>0</v>
      </c>
      <c r="J7421" s="237">
        <v>0</v>
      </c>
    </row>
    <row r="7422" spans="1:10" s="225" customFormat="1">
      <c r="A7422" s="222" t="s">
        <v>179</v>
      </c>
      <c r="B7422" s="222" t="s">
        <v>125</v>
      </c>
      <c r="C7422" s="236">
        <v>0.73611111111111105</v>
      </c>
      <c r="D7422" s="237">
        <v>0</v>
      </c>
      <c r="E7422" s="237">
        <v>0</v>
      </c>
      <c r="F7422" s="237">
        <v>0</v>
      </c>
      <c r="G7422" s="237">
        <v>0</v>
      </c>
      <c r="H7422" s="237">
        <v>0</v>
      </c>
      <c r="I7422" s="237">
        <v>0</v>
      </c>
      <c r="J7422" s="237">
        <v>0</v>
      </c>
    </row>
    <row r="7423" spans="1:10" s="225" customFormat="1">
      <c r="A7423" s="222" t="s">
        <v>179</v>
      </c>
      <c r="B7423" s="222" t="s">
        <v>125</v>
      </c>
      <c r="C7423" s="236">
        <v>0.73680555555555505</v>
      </c>
      <c r="D7423" s="237">
        <v>0</v>
      </c>
      <c r="E7423" s="237">
        <v>0</v>
      </c>
      <c r="F7423" s="237">
        <v>0</v>
      </c>
      <c r="G7423" s="237">
        <v>0</v>
      </c>
      <c r="H7423" s="237">
        <v>0</v>
      </c>
      <c r="I7423" s="237">
        <v>0</v>
      </c>
      <c r="J7423" s="237">
        <v>0</v>
      </c>
    </row>
    <row r="7424" spans="1:10" s="225" customFormat="1">
      <c r="A7424" s="222" t="s">
        <v>179</v>
      </c>
      <c r="B7424" s="222" t="s">
        <v>125</v>
      </c>
      <c r="C7424" s="236">
        <v>0.73750000000000004</v>
      </c>
      <c r="D7424" s="237">
        <v>0</v>
      </c>
      <c r="E7424" s="237">
        <v>0</v>
      </c>
      <c r="F7424" s="237">
        <v>0</v>
      </c>
      <c r="G7424" s="237">
        <v>0</v>
      </c>
      <c r="H7424" s="237">
        <v>0</v>
      </c>
      <c r="I7424" s="237">
        <v>0</v>
      </c>
      <c r="J7424" s="237">
        <v>0</v>
      </c>
    </row>
    <row r="7425" spans="1:10" s="225" customFormat="1">
      <c r="A7425" s="222" t="s">
        <v>179</v>
      </c>
      <c r="B7425" s="222" t="s">
        <v>125</v>
      </c>
      <c r="C7425" s="236">
        <v>0.73819444444444404</v>
      </c>
      <c r="D7425" s="237">
        <v>0</v>
      </c>
      <c r="E7425" s="237">
        <v>0</v>
      </c>
      <c r="F7425" s="237">
        <v>0</v>
      </c>
      <c r="G7425" s="237">
        <v>0</v>
      </c>
      <c r="H7425" s="237">
        <v>0</v>
      </c>
      <c r="I7425" s="237">
        <v>0</v>
      </c>
      <c r="J7425" s="237">
        <v>0</v>
      </c>
    </row>
    <row r="7426" spans="1:10" s="229" customFormat="1">
      <c r="A7426" s="226" t="s">
        <v>179</v>
      </c>
      <c r="B7426" s="226" t="s">
        <v>125</v>
      </c>
      <c r="C7426" s="238">
        <v>0.73888888888888904</v>
      </c>
      <c r="D7426" s="239">
        <v>0</v>
      </c>
      <c r="E7426" s="239">
        <v>0</v>
      </c>
      <c r="F7426" s="239">
        <v>0</v>
      </c>
      <c r="G7426" s="239">
        <v>0</v>
      </c>
      <c r="H7426" s="239">
        <v>0</v>
      </c>
      <c r="I7426" s="239">
        <v>0</v>
      </c>
      <c r="J7426" s="239">
        <v>0</v>
      </c>
    </row>
    <row r="7427" spans="1:10" s="225" customFormat="1">
      <c r="A7427" s="222" t="s">
        <v>179</v>
      </c>
      <c r="B7427" s="222" t="s">
        <v>125</v>
      </c>
      <c r="C7427" s="236">
        <v>0.73958333333333304</v>
      </c>
      <c r="D7427" s="237">
        <v>0</v>
      </c>
      <c r="E7427" s="237">
        <v>0</v>
      </c>
      <c r="F7427" s="237">
        <v>0</v>
      </c>
      <c r="G7427" s="237">
        <v>0</v>
      </c>
      <c r="H7427" s="237">
        <v>0</v>
      </c>
      <c r="I7427" s="237">
        <v>0</v>
      </c>
      <c r="J7427" s="237">
        <v>0</v>
      </c>
    </row>
    <row r="7428" spans="1:10" s="225" customFormat="1">
      <c r="A7428" s="222" t="s">
        <v>179</v>
      </c>
      <c r="B7428" s="222" t="s">
        <v>125</v>
      </c>
      <c r="C7428" s="236">
        <v>0.74027777777777704</v>
      </c>
      <c r="D7428" s="237">
        <v>0</v>
      </c>
      <c r="E7428" s="237">
        <v>0</v>
      </c>
      <c r="F7428" s="237">
        <v>0</v>
      </c>
      <c r="G7428" s="237">
        <v>0</v>
      </c>
      <c r="H7428" s="237">
        <v>0</v>
      </c>
      <c r="I7428" s="237">
        <v>0</v>
      </c>
      <c r="J7428" s="237">
        <v>0</v>
      </c>
    </row>
    <row r="7429" spans="1:10" s="225" customFormat="1">
      <c r="A7429" s="222" t="s">
        <v>179</v>
      </c>
      <c r="B7429" s="222" t="s">
        <v>125</v>
      </c>
      <c r="C7429" s="236">
        <v>0.74097222222222203</v>
      </c>
      <c r="D7429" s="237">
        <v>0</v>
      </c>
      <c r="E7429" s="237">
        <v>0</v>
      </c>
      <c r="F7429" s="237">
        <v>0</v>
      </c>
      <c r="G7429" s="237">
        <v>0</v>
      </c>
      <c r="H7429" s="237">
        <v>0</v>
      </c>
      <c r="I7429" s="237">
        <v>0</v>
      </c>
      <c r="J7429" s="237">
        <v>0</v>
      </c>
    </row>
    <row r="7430" spans="1:10" s="225" customFormat="1">
      <c r="A7430" s="222" t="s">
        <v>179</v>
      </c>
      <c r="B7430" s="222" t="s">
        <v>125</v>
      </c>
      <c r="C7430" s="236">
        <v>0.74166666666666603</v>
      </c>
      <c r="D7430" s="237">
        <v>0</v>
      </c>
      <c r="E7430" s="237">
        <v>0</v>
      </c>
      <c r="F7430" s="237">
        <v>0</v>
      </c>
      <c r="G7430" s="237">
        <v>0</v>
      </c>
      <c r="H7430" s="237">
        <v>0</v>
      </c>
      <c r="I7430" s="237">
        <v>0</v>
      </c>
      <c r="J7430" s="237">
        <v>0</v>
      </c>
    </row>
    <row r="7431" spans="1:10" s="225" customFormat="1">
      <c r="A7431" s="222" t="s">
        <v>179</v>
      </c>
      <c r="B7431" s="222" t="s">
        <v>125</v>
      </c>
      <c r="C7431" s="236">
        <v>0.74236111111111103</v>
      </c>
      <c r="D7431" s="237">
        <v>0</v>
      </c>
      <c r="E7431" s="237">
        <v>0</v>
      </c>
      <c r="F7431" s="237">
        <v>0</v>
      </c>
      <c r="G7431" s="237">
        <v>0</v>
      </c>
      <c r="H7431" s="237">
        <v>0</v>
      </c>
      <c r="I7431" s="237">
        <v>0</v>
      </c>
      <c r="J7431" s="237">
        <v>0</v>
      </c>
    </row>
    <row r="7432" spans="1:10" s="225" customFormat="1">
      <c r="A7432" s="222" t="s">
        <v>179</v>
      </c>
      <c r="B7432" s="222" t="s">
        <v>125</v>
      </c>
      <c r="C7432" s="236">
        <v>0.74305555555555503</v>
      </c>
      <c r="D7432" s="237">
        <v>0</v>
      </c>
      <c r="E7432" s="237">
        <v>0</v>
      </c>
      <c r="F7432" s="237">
        <v>0</v>
      </c>
      <c r="G7432" s="237">
        <v>0</v>
      </c>
      <c r="H7432" s="237">
        <v>0</v>
      </c>
      <c r="I7432" s="237">
        <v>0</v>
      </c>
      <c r="J7432" s="237">
        <v>0</v>
      </c>
    </row>
    <row r="7433" spans="1:10" s="225" customFormat="1">
      <c r="A7433" s="222" t="s">
        <v>179</v>
      </c>
      <c r="B7433" s="222" t="s">
        <v>125</v>
      </c>
      <c r="C7433" s="236">
        <v>0.74375000000000002</v>
      </c>
      <c r="D7433" s="237">
        <v>0</v>
      </c>
      <c r="E7433" s="237">
        <v>0</v>
      </c>
      <c r="F7433" s="237">
        <v>0</v>
      </c>
      <c r="G7433" s="237">
        <v>0</v>
      </c>
      <c r="H7433" s="237">
        <v>0</v>
      </c>
      <c r="I7433" s="237">
        <v>0</v>
      </c>
      <c r="J7433" s="237">
        <v>0</v>
      </c>
    </row>
    <row r="7434" spans="1:10" s="225" customFormat="1">
      <c r="A7434" s="222" t="s">
        <v>179</v>
      </c>
      <c r="B7434" s="222" t="s">
        <v>125</v>
      </c>
      <c r="C7434" s="236">
        <v>0.74444444444444402</v>
      </c>
      <c r="D7434" s="237">
        <v>0</v>
      </c>
      <c r="E7434" s="237">
        <v>0</v>
      </c>
      <c r="F7434" s="237">
        <v>0</v>
      </c>
      <c r="G7434" s="237">
        <v>0</v>
      </c>
      <c r="H7434" s="237">
        <v>0</v>
      </c>
      <c r="I7434" s="237">
        <v>0</v>
      </c>
      <c r="J7434" s="237">
        <v>0</v>
      </c>
    </row>
    <row r="7435" spans="1:10" s="225" customFormat="1">
      <c r="A7435" s="222" t="s">
        <v>179</v>
      </c>
      <c r="B7435" s="222" t="s">
        <v>125</v>
      </c>
      <c r="C7435" s="236">
        <v>0.74513888888888902</v>
      </c>
      <c r="D7435" s="237">
        <v>0</v>
      </c>
      <c r="E7435" s="237">
        <v>0</v>
      </c>
      <c r="F7435" s="237">
        <v>0</v>
      </c>
      <c r="G7435" s="237">
        <v>0</v>
      </c>
      <c r="H7435" s="237">
        <v>0</v>
      </c>
      <c r="I7435" s="237">
        <v>0</v>
      </c>
      <c r="J7435" s="237">
        <v>0</v>
      </c>
    </row>
    <row r="7436" spans="1:10" s="225" customFormat="1">
      <c r="A7436" s="222" t="s">
        <v>179</v>
      </c>
      <c r="B7436" s="222" t="s">
        <v>125</v>
      </c>
      <c r="C7436" s="236">
        <v>0.74583333333333302</v>
      </c>
      <c r="D7436" s="237">
        <v>0</v>
      </c>
      <c r="E7436" s="237">
        <v>0</v>
      </c>
      <c r="F7436" s="237">
        <v>0</v>
      </c>
      <c r="G7436" s="237">
        <v>0</v>
      </c>
      <c r="H7436" s="237">
        <v>0</v>
      </c>
      <c r="I7436" s="237">
        <v>0</v>
      </c>
      <c r="J7436" s="237">
        <v>0</v>
      </c>
    </row>
    <row r="7437" spans="1:10" s="225" customFormat="1">
      <c r="A7437" s="222" t="s">
        <v>179</v>
      </c>
      <c r="B7437" s="222" t="s">
        <v>125</v>
      </c>
      <c r="C7437" s="236">
        <v>0.74652777777777701</v>
      </c>
      <c r="D7437" s="237">
        <v>0</v>
      </c>
      <c r="E7437" s="237">
        <v>0</v>
      </c>
      <c r="F7437" s="237">
        <v>0</v>
      </c>
      <c r="G7437" s="237">
        <v>0</v>
      </c>
      <c r="H7437" s="237">
        <v>0</v>
      </c>
      <c r="I7437" s="237">
        <v>0</v>
      </c>
      <c r="J7437" s="237">
        <v>0</v>
      </c>
    </row>
    <row r="7438" spans="1:10" s="225" customFormat="1">
      <c r="A7438" s="222" t="s">
        <v>179</v>
      </c>
      <c r="B7438" s="222" t="s">
        <v>125</v>
      </c>
      <c r="C7438" s="236">
        <v>0.74722222222222201</v>
      </c>
      <c r="D7438" s="237">
        <v>0</v>
      </c>
      <c r="E7438" s="237">
        <v>0</v>
      </c>
      <c r="F7438" s="237">
        <v>0</v>
      </c>
      <c r="G7438" s="237">
        <v>0</v>
      </c>
      <c r="H7438" s="237">
        <v>0</v>
      </c>
      <c r="I7438" s="237">
        <v>0</v>
      </c>
      <c r="J7438" s="237">
        <v>0</v>
      </c>
    </row>
    <row r="7439" spans="1:10" s="225" customFormat="1">
      <c r="A7439" s="222" t="s">
        <v>179</v>
      </c>
      <c r="B7439" s="222" t="s">
        <v>125</v>
      </c>
      <c r="C7439" s="236">
        <v>0.74791666666666601</v>
      </c>
      <c r="D7439" s="237">
        <v>0</v>
      </c>
      <c r="E7439" s="237">
        <v>0</v>
      </c>
      <c r="F7439" s="237">
        <v>0</v>
      </c>
      <c r="G7439" s="237">
        <v>0</v>
      </c>
      <c r="H7439" s="237">
        <v>0</v>
      </c>
      <c r="I7439" s="237">
        <v>0</v>
      </c>
      <c r="J7439" s="237">
        <v>0</v>
      </c>
    </row>
    <row r="7440" spans="1:10" s="225" customFormat="1">
      <c r="A7440" s="222" t="s">
        <v>179</v>
      </c>
      <c r="B7440" s="222" t="s">
        <v>125</v>
      </c>
      <c r="C7440" s="236">
        <v>0.74861111111111101</v>
      </c>
      <c r="D7440" s="237">
        <v>0</v>
      </c>
      <c r="E7440" s="237">
        <v>0</v>
      </c>
      <c r="F7440" s="237">
        <v>0</v>
      </c>
      <c r="G7440" s="237">
        <v>0</v>
      </c>
      <c r="H7440" s="237">
        <v>0</v>
      </c>
      <c r="I7440" s="237">
        <v>0</v>
      </c>
      <c r="J7440" s="237">
        <v>0</v>
      </c>
    </row>
    <row r="7441" spans="1:10" s="229" customFormat="1">
      <c r="A7441" s="226" t="s">
        <v>179</v>
      </c>
      <c r="B7441" s="226" t="s">
        <v>125</v>
      </c>
      <c r="C7441" s="238">
        <v>0.749305555555555</v>
      </c>
      <c r="D7441" s="239">
        <v>0</v>
      </c>
      <c r="E7441" s="239">
        <v>0</v>
      </c>
      <c r="F7441" s="239">
        <v>0</v>
      </c>
      <c r="G7441" s="239">
        <v>0</v>
      </c>
      <c r="H7441" s="239">
        <v>0</v>
      </c>
      <c r="I7441" s="239">
        <v>0</v>
      </c>
      <c r="J7441" s="239">
        <v>0</v>
      </c>
    </row>
    <row r="7442" spans="1:10" s="225" customFormat="1">
      <c r="A7442" s="222" t="s">
        <v>179</v>
      </c>
      <c r="B7442" s="222" t="s">
        <v>126</v>
      </c>
      <c r="C7442" s="236">
        <v>0.75</v>
      </c>
      <c r="D7442" s="237">
        <v>0</v>
      </c>
      <c r="E7442" s="237">
        <v>0</v>
      </c>
      <c r="F7442" s="237">
        <v>0</v>
      </c>
      <c r="G7442" s="237">
        <v>0</v>
      </c>
      <c r="H7442" s="237">
        <v>0</v>
      </c>
      <c r="I7442" s="237">
        <v>0</v>
      </c>
      <c r="J7442" s="237">
        <v>0</v>
      </c>
    </row>
    <row r="7443" spans="1:10" s="225" customFormat="1">
      <c r="A7443" s="222" t="s">
        <v>179</v>
      </c>
      <c r="B7443" s="222" t="s">
        <v>126</v>
      </c>
      <c r="C7443" s="236">
        <v>0.75069444444444444</v>
      </c>
      <c r="D7443" s="237">
        <v>0</v>
      </c>
      <c r="E7443" s="237">
        <v>0</v>
      </c>
      <c r="F7443" s="237">
        <v>0</v>
      </c>
      <c r="G7443" s="237">
        <v>0</v>
      </c>
      <c r="H7443" s="237">
        <v>0</v>
      </c>
      <c r="I7443" s="237">
        <v>0</v>
      </c>
      <c r="J7443" s="237">
        <v>0</v>
      </c>
    </row>
    <row r="7444" spans="1:10" s="225" customFormat="1">
      <c r="A7444" s="222" t="s">
        <v>179</v>
      </c>
      <c r="B7444" s="222" t="s">
        <v>126</v>
      </c>
      <c r="C7444" s="236">
        <v>0.75138888888888899</v>
      </c>
      <c r="D7444" s="237">
        <v>0</v>
      </c>
      <c r="E7444" s="237">
        <v>0</v>
      </c>
      <c r="F7444" s="237">
        <v>0</v>
      </c>
      <c r="G7444" s="237">
        <v>0</v>
      </c>
      <c r="H7444" s="237">
        <v>0</v>
      </c>
      <c r="I7444" s="237">
        <v>0</v>
      </c>
      <c r="J7444" s="237">
        <v>0</v>
      </c>
    </row>
    <row r="7445" spans="1:10" s="225" customFormat="1">
      <c r="A7445" s="222" t="s">
        <v>179</v>
      </c>
      <c r="B7445" s="222" t="s">
        <v>126</v>
      </c>
      <c r="C7445" s="236">
        <v>0.75208333333333299</v>
      </c>
      <c r="D7445" s="237">
        <v>0</v>
      </c>
      <c r="E7445" s="237">
        <v>0</v>
      </c>
      <c r="F7445" s="237">
        <v>0</v>
      </c>
      <c r="G7445" s="237">
        <v>0</v>
      </c>
      <c r="H7445" s="237">
        <v>0</v>
      </c>
      <c r="I7445" s="237">
        <v>0</v>
      </c>
      <c r="J7445" s="237">
        <v>0</v>
      </c>
    </row>
    <row r="7446" spans="1:10" s="225" customFormat="1">
      <c r="A7446" s="222" t="s">
        <v>179</v>
      </c>
      <c r="B7446" s="222" t="s">
        <v>126</v>
      </c>
      <c r="C7446" s="236">
        <v>0.75277777777777799</v>
      </c>
      <c r="D7446" s="237">
        <v>0</v>
      </c>
      <c r="E7446" s="237">
        <v>0</v>
      </c>
      <c r="F7446" s="237">
        <v>0</v>
      </c>
      <c r="G7446" s="237">
        <v>0</v>
      </c>
      <c r="H7446" s="237">
        <v>0</v>
      </c>
      <c r="I7446" s="237">
        <v>0</v>
      </c>
      <c r="J7446" s="237">
        <v>0</v>
      </c>
    </row>
    <row r="7447" spans="1:10" s="225" customFormat="1">
      <c r="A7447" s="222" t="s">
        <v>179</v>
      </c>
      <c r="B7447" s="222" t="s">
        <v>126</v>
      </c>
      <c r="C7447" s="236">
        <v>0.75347222222222199</v>
      </c>
      <c r="D7447" s="237">
        <v>0</v>
      </c>
      <c r="E7447" s="237">
        <v>0</v>
      </c>
      <c r="F7447" s="237">
        <v>0</v>
      </c>
      <c r="G7447" s="237">
        <v>0</v>
      </c>
      <c r="H7447" s="237">
        <v>0</v>
      </c>
      <c r="I7447" s="237">
        <v>0</v>
      </c>
      <c r="J7447" s="237">
        <v>0</v>
      </c>
    </row>
    <row r="7448" spans="1:10" s="225" customFormat="1">
      <c r="A7448" s="222" t="s">
        <v>179</v>
      </c>
      <c r="B7448" s="222" t="s">
        <v>126</v>
      </c>
      <c r="C7448" s="236">
        <v>0.75416666666666698</v>
      </c>
      <c r="D7448" s="237">
        <v>0</v>
      </c>
      <c r="E7448" s="237">
        <v>0</v>
      </c>
      <c r="F7448" s="237">
        <v>0</v>
      </c>
      <c r="G7448" s="237">
        <v>0</v>
      </c>
      <c r="H7448" s="237">
        <v>0</v>
      </c>
      <c r="I7448" s="237">
        <v>0</v>
      </c>
      <c r="J7448" s="237">
        <v>0</v>
      </c>
    </row>
    <row r="7449" spans="1:10" s="225" customFormat="1">
      <c r="A7449" s="222" t="s">
        <v>179</v>
      </c>
      <c r="B7449" s="222" t="s">
        <v>126</v>
      </c>
      <c r="C7449" s="236">
        <v>0.75486111111111098</v>
      </c>
      <c r="D7449" s="237">
        <v>0</v>
      </c>
      <c r="E7449" s="237">
        <v>0</v>
      </c>
      <c r="F7449" s="237">
        <v>0</v>
      </c>
      <c r="G7449" s="237">
        <v>0</v>
      </c>
      <c r="H7449" s="237">
        <v>0</v>
      </c>
      <c r="I7449" s="237">
        <v>0</v>
      </c>
      <c r="J7449" s="237">
        <v>0</v>
      </c>
    </row>
    <row r="7450" spans="1:10" s="225" customFormat="1">
      <c r="A7450" s="222" t="s">
        <v>179</v>
      </c>
      <c r="B7450" s="222" t="s">
        <v>126</v>
      </c>
      <c r="C7450" s="236">
        <v>0.75555555555555598</v>
      </c>
      <c r="D7450" s="237">
        <v>0</v>
      </c>
      <c r="E7450" s="237">
        <v>0</v>
      </c>
      <c r="F7450" s="237">
        <v>0</v>
      </c>
      <c r="G7450" s="237">
        <v>0</v>
      </c>
      <c r="H7450" s="237">
        <v>0</v>
      </c>
      <c r="I7450" s="237">
        <v>0</v>
      </c>
      <c r="J7450" s="237">
        <v>0</v>
      </c>
    </row>
    <row r="7451" spans="1:10" s="225" customFormat="1">
      <c r="A7451" s="222" t="s">
        <v>179</v>
      </c>
      <c r="B7451" s="222" t="s">
        <v>126</v>
      </c>
      <c r="C7451" s="236">
        <v>0.75624999999999998</v>
      </c>
      <c r="D7451" s="237">
        <v>0</v>
      </c>
      <c r="E7451" s="237">
        <v>0</v>
      </c>
      <c r="F7451" s="237">
        <v>0</v>
      </c>
      <c r="G7451" s="237">
        <v>0</v>
      </c>
      <c r="H7451" s="237">
        <v>0</v>
      </c>
      <c r="I7451" s="237">
        <v>0</v>
      </c>
      <c r="J7451" s="237">
        <v>0</v>
      </c>
    </row>
    <row r="7452" spans="1:10" s="225" customFormat="1">
      <c r="A7452" s="222" t="s">
        <v>179</v>
      </c>
      <c r="B7452" s="222" t="s">
        <v>126</v>
      </c>
      <c r="C7452" s="236">
        <v>0.75694444444444398</v>
      </c>
      <c r="D7452" s="237">
        <v>0</v>
      </c>
      <c r="E7452" s="237">
        <v>0</v>
      </c>
      <c r="F7452" s="237">
        <v>0</v>
      </c>
      <c r="G7452" s="237">
        <v>0</v>
      </c>
      <c r="H7452" s="237">
        <v>0</v>
      </c>
      <c r="I7452" s="237">
        <v>0</v>
      </c>
      <c r="J7452" s="237">
        <v>0</v>
      </c>
    </row>
    <row r="7453" spans="1:10" s="225" customFormat="1">
      <c r="A7453" s="222" t="s">
        <v>179</v>
      </c>
      <c r="B7453" s="222" t="s">
        <v>126</v>
      </c>
      <c r="C7453" s="236">
        <v>0.75763888888888897</v>
      </c>
      <c r="D7453" s="237">
        <v>0</v>
      </c>
      <c r="E7453" s="237">
        <v>0</v>
      </c>
      <c r="F7453" s="237">
        <v>0</v>
      </c>
      <c r="G7453" s="237">
        <v>0</v>
      </c>
      <c r="H7453" s="237">
        <v>0</v>
      </c>
      <c r="I7453" s="237">
        <v>0</v>
      </c>
      <c r="J7453" s="237">
        <v>0</v>
      </c>
    </row>
    <row r="7454" spans="1:10" s="225" customFormat="1">
      <c r="A7454" s="222" t="s">
        <v>179</v>
      </c>
      <c r="B7454" s="222" t="s">
        <v>126</v>
      </c>
      <c r="C7454" s="236">
        <v>0.75833333333333297</v>
      </c>
      <c r="D7454" s="237">
        <v>0</v>
      </c>
      <c r="E7454" s="237">
        <v>0</v>
      </c>
      <c r="F7454" s="237">
        <v>0</v>
      </c>
      <c r="G7454" s="237">
        <v>0</v>
      </c>
      <c r="H7454" s="237">
        <v>0</v>
      </c>
      <c r="I7454" s="237">
        <v>0</v>
      </c>
      <c r="J7454" s="237">
        <v>0</v>
      </c>
    </row>
    <row r="7455" spans="1:10" s="225" customFormat="1">
      <c r="A7455" s="222" t="s">
        <v>179</v>
      </c>
      <c r="B7455" s="222" t="s">
        <v>126</v>
      </c>
      <c r="C7455" s="236">
        <v>0.75902777777777797</v>
      </c>
      <c r="D7455" s="237">
        <v>0</v>
      </c>
      <c r="E7455" s="237">
        <v>0</v>
      </c>
      <c r="F7455" s="237">
        <v>0</v>
      </c>
      <c r="G7455" s="237">
        <v>0</v>
      </c>
      <c r="H7455" s="237">
        <v>0</v>
      </c>
      <c r="I7455" s="237">
        <v>0</v>
      </c>
      <c r="J7455" s="237">
        <v>0</v>
      </c>
    </row>
    <row r="7456" spans="1:10" s="229" customFormat="1">
      <c r="A7456" s="226" t="s">
        <v>179</v>
      </c>
      <c r="B7456" s="226" t="s">
        <v>126</v>
      </c>
      <c r="C7456" s="238">
        <v>0.75972222222222197</v>
      </c>
      <c r="D7456" s="239">
        <v>0</v>
      </c>
      <c r="E7456" s="239">
        <v>0</v>
      </c>
      <c r="F7456" s="239">
        <v>0</v>
      </c>
      <c r="G7456" s="239">
        <v>0</v>
      </c>
      <c r="H7456" s="239">
        <v>0</v>
      </c>
      <c r="I7456" s="239">
        <v>0</v>
      </c>
      <c r="J7456" s="239">
        <v>0</v>
      </c>
    </row>
    <row r="7457" spans="1:10" s="225" customFormat="1">
      <c r="A7457" s="222" t="s">
        <v>179</v>
      </c>
      <c r="B7457" s="222" t="s">
        <v>126</v>
      </c>
      <c r="C7457" s="236">
        <v>0.76041666666666696</v>
      </c>
      <c r="D7457" s="237">
        <v>0</v>
      </c>
      <c r="E7457" s="237">
        <v>0</v>
      </c>
      <c r="F7457" s="237">
        <v>0</v>
      </c>
      <c r="G7457" s="237">
        <v>0</v>
      </c>
      <c r="H7457" s="237">
        <v>0</v>
      </c>
      <c r="I7457" s="237">
        <v>0</v>
      </c>
      <c r="J7457" s="237">
        <v>0</v>
      </c>
    </row>
    <row r="7458" spans="1:10" s="225" customFormat="1">
      <c r="A7458" s="222" t="s">
        <v>179</v>
      </c>
      <c r="B7458" s="222" t="s">
        <v>126</v>
      </c>
      <c r="C7458" s="236">
        <v>0.76111111111111096</v>
      </c>
      <c r="D7458" s="237">
        <v>0</v>
      </c>
      <c r="E7458" s="237">
        <v>0</v>
      </c>
      <c r="F7458" s="237">
        <v>0</v>
      </c>
      <c r="G7458" s="237">
        <v>0</v>
      </c>
      <c r="H7458" s="237">
        <v>0</v>
      </c>
      <c r="I7458" s="237">
        <v>0</v>
      </c>
      <c r="J7458" s="237">
        <v>0</v>
      </c>
    </row>
    <row r="7459" spans="1:10" s="225" customFormat="1">
      <c r="A7459" s="222" t="s">
        <v>179</v>
      </c>
      <c r="B7459" s="222" t="s">
        <v>126</v>
      </c>
      <c r="C7459" s="236">
        <v>0.76180555555555596</v>
      </c>
      <c r="D7459" s="237">
        <v>0</v>
      </c>
      <c r="E7459" s="237">
        <v>0</v>
      </c>
      <c r="F7459" s="237">
        <v>0</v>
      </c>
      <c r="G7459" s="237">
        <v>0</v>
      </c>
      <c r="H7459" s="237">
        <v>0</v>
      </c>
      <c r="I7459" s="237">
        <v>0</v>
      </c>
      <c r="J7459" s="237">
        <v>0</v>
      </c>
    </row>
    <row r="7460" spans="1:10" s="225" customFormat="1">
      <c r="A7460" s="222" t="s">
        <v>179</v>
      </c>
      <c r="B7460" s="222" t="s">
        <v>126</v>
      </c>
      <c r="C7460" s="236">
        <v>0.76249999999999996</v>
      </c>
      <c r="D7460" s="237">
        <v>0</v>
      </c>
      <c r="E7460" s="237">
        <v>0</v>
      </c>
      <c r="F7460" s="237">
        <v>0</v>
      </c>
      <c r="G7460" s="237">
        <v>0</v>
      </c>
      <c r="H7460" s="237">
        <v>0</v>
      </c>
      <c r="I7460" s="237">
        <v>0</v>
      </c>
      <c r="J7460" s="237">
        <v>0</v>
      </c>
    </row>
    <row r="7461" spans="1:10" s="225" customFormat="1">
      <c r="A7461" s="222" t="s">
        <v>179</v>
      </c>
      <c r="B7461" s="222" t="s">
        <v>126</v>
      </c>
      <c r="C7461" s="236">
        <v>0.76319444444444395</v>
      </c>
      <c r="D7461" s="237">
        <v>0</v>
      </c>
      <c r="E7461" s="237">
        <v>0</v>
      </c>
      <c r="F7461" s="237">
        <v>0</v>
      </c>
      <c r="G7461" s="237">
        <v>0</v>
      </c>
      <c r="H7461" s="237">
        <v>0</v>
      </c>
      <c r="I7461" s="237">
        <v>0</v>
      </c>
      <c r="J7461" s="237">
        <v>0</v>
      </c>
    </row>
    <row r="7462" spans="1:10" s="225" customFormat="1">
      <c r="A7462" s="222" t="s">
        <v>179</v>
      </c>
      <c r="B7462" s="222" t="s">
        <v>126</v>
      </c>
      <c r="C7462" s="236">
        <v>0.76388888888888895</v>
      </c>
      <c r="D7462" s="237">
        <v>0</v>
      </c>
      <c r="E7462" s="237">
        <v>0</v>
      </c>
      <c r="F7462" s="237">
        <v>0</v>
      </c>
      <c r="G7462" s="237">
        <v>0</v>
      </c>
      <c r="H7462" s="237">
        <v>0</v>
      </c>
      <c r="I7462" s="237">
        <v>0</v>
      </c>
      <c r="J7462" s="237">
        <v>0</v>
      </c>
    </row>
    <row r="7463" spans="1:10" s="225" customFormat="1">
      <c r="A7463" s="222" t="s">
        <v>179</v>
      </c>
      <c r="B7463" s="222" t="s">
        <v>126</v>
      </c>
      <c r="C7463" s="236">
        <v>0.76458333333333295</v>
      </c>
      <c r="D7463" s="237">
        <v>0</v>
      </c>
      <c r="E7463" s="237">
        <v>0</v>
      </c>
      <c r="F7463" s="237">
        <v>0</v>
      </c>
      <c r="G7463" s="237">
        <v>0</v>
      </c>
      <c r="H7463" s="237">
        <v>0</v>
      </c>
      <c r="I7463" s="237">
        <v>0</v>
      </c>
      <c r="J7463" s="237">
        <v>0</v>
      </c>
    </row>
    <row r="7464" spans="1:10" s="225" customFormat="1">
      <c r="A7464" s="222" t="s">
        <v>179</v>
      </c>
      <c r="B7464" s="222" t="s">
        <v>126</v>
      </c>
      <c r="C7464" s="236">
        <v>0.76527777777777795</v>
      </c>
      <c r="D7464" s="237">
        <v>0</v>
      </c>
      <c r="E7464" s="237">
        <v>0</v>
      </c>
      <c r="F7464" s="237">
        <v>0</v>
      </c>
      <c r="G7464" s="237">
        <v>0</v>
      </c>
      <c r="H7464" s="237">
        <v>0</v>
      </c>
      <c r="I7464" s="237">
        <v>0</v>
      </c>
      <c r="J7464" s="237">
        <v>0</v>
      </c>
    </row>
    <row r="7465" spans="1:10" s="225" customFormat="1">
      <c r="A7465" s="222" t="s">
        <v>179</v>
      </c>
      <c r="B7465" s="222" t="s">
        <v>126</v>
      </c>
      <c r="C7465" s="236">
        <v>0.76597222222222205</v>
      </c>
      <c r="D7465" s="237">
        <v>0</v>
      </c>
      <c r="E7465" s="237">
        <v>0</v>
      </c>
      <c r="F7465" s="237">
        <v>0</v>
      </c>
      <c r="G7465" s="237">
        <v>0</v>
      </c>
      <c r="H7465" s="237">
        <v>0</v>
      </c>
      <c r="I7465" s="237">
        <v>0</v>
      </c>
      <c r="J7465" s="237">
        <v>0</v>
      </c>
    </row>
    <row r="7466" spans="1:10" s="225" customFormat="1">
      <c r="A7466" s="222" t="s">
        <v>179</v>
      </c>
      <c r="B7466" s="222" t="s">
        <v>126</v>
      </c>
      <c r="C7466" s="236">
        <v>0.76666666666666705</v>
      </c>
      <c r="D7466" s="237">
        <v>0</v>
      </c>
      <c r="E7466" s="237">
        <v>0</v>
      </c>
      <c r="F7466" s="237">
        <v>0</v>
      </c>
      <c r="G7466" s="237">
        <v>0</v>
      </c>
      <c r="H7466" s="237">
        <v>0</v>
      </c>
      <c r="I7466" s="237">
        <v>0</v>
      </c>
      <c r="J7466" s="237">
        <v>0</v>
      </c>
    </row>
    <row r="7467" spans="1:10" s="225" customFormat="1">
      <c r="A7467" s="222" t="s">
        <v>179</v>
      </c>
      <c r="B7467" s="222" t="s">
        <v>126</v>
      </c>
      <c r="C7467" s="236">
        <v>0.76736111111111105</v>
      </c>
      <c r="D7467" s="237">
        <v>0</v>
      </c>
      <c r="E7467" s="237">
        <v>0</v>
      </c>
      <c r="F7467" s="237">
        <v>0</v>
      </c>
      <c r="G7467" s="237">
        <v>0</v>
      </c>
      <c r="H7467" s="237">
        <v>0</v>
      </c>
      <c r="I7467" s="237">
        <v>0</v>
      </c>
      <c r="J7467" s="237">
        <v>0</v>
      </c>
    </row>
    <row r="7468" spans="1:10" s="225" customFormat="1">
      <c r="A7468" s="222" t="s">
        <v>179</v>
      </c>
      <c r="B7468" s="222" t="s">
        <v>126</v>
      </c>
      <c r="C7468" s="236">
        <v>0.76805555555555505</v>
      </c>
      <c r="D7468" s="237">
        <v>0</v>
      </c>
      <c r="E7468" s="237">
        <v>0</v>
      </c>
      <c r="F7468" s="237">
        <v>0</v>
      </c>
      <c r="G7468" s="237">
        <v>0</v>
      </c>
      <c r="H7468" s="237">
        <v>0</v>
      </c>
      <c r="I7468" s="237">
        <v>0</v>
      </c>
      <c r="J7468" s="237">
        <v>0</v>
      </c>
    </row>
    <row r="7469" spans="1:10" s="225" customFormat="1">
      <c r="A7469" s="222" t="s">
        <v>179</v>
      </c>
      <c r="B7469" s="222" t="s">
        <v>126</v>
      </c>
      <c r="C7469" s="236">
        <v>0.76875000000000004</v>
      </c>
      <c r="D7469" s="237">
        <v>0</v>
      </c>
      <c r="E7469" s="237">
        <v>0</v>
      </c>
      <c r="F7469" s="237">
        <v>0</v>
      </c>
      <c r="G7469" s="237">
        <v>0</v>
      </c>
      <c r="H7469" s="237">
        <v>0</v>
      </c>
      <c r="I7469" s="237">
        <v>0</v>
      </c>
      <c r="J7469" s="237">
        <v>0</v>
      </c>
    </row>
    <row r="7470" spans="1:10" s="225" customFormat="1">
      <c r="A7470" s="222" t="s">
        <v>179</v>
      </c>
      <c r="B7470" s="222" t="s">
        <v>126</v>
      </c>
      <c r="C7470" s="236">
        <v>0.76944444444444404</v>
      </c>
      <c r="D7470" s="237">
        <v>0</v>
      </c>
      <c r="E7470" s="237">
        <v>0</v>
      </c>
      <c r="F7470" s="237">
        <v>0</v>
      </c>
      <c r="G7470" s="237">
        <v>0</v>
      </c>
      <c r="H7470" s="237">
        <v>0</v>
      </c>
      <c r="I7470" s="237">
        <v>0</v>
      </c>
      <c r="J7470" s="237">
        <v>0</v>
      </c>
    </row>
    <row r="7471" spans="1:10" s="229" customFormat="1">
      <c r="A7471" s="226" t="s">
        <v>179</v>
      </c>
      <c r="B7471" s="226" t="s">
        <v>126</v>
      </c>
      <c r="C7471" s="238">
        <v>0.77013888888888904</v>
      </c>
      <c r="D7471" s="239">
        <v>0</v>
      </c>
      <c r="E7471" s="239">
        <v>0</v>
      </c>
      <c r="F7471" s="239">
        <v>0</v>
      </c>
      <c r="G7471" s="239">
        <v>0</v>
      </c>
      <c r="H7471" s="239">
        <v>0</v>
      </c>
      <c r="I7471" s="239">
        <v>0</v>
      </c>
      <c r="J7471" s="239">
        <v>0</v>
      </c>
    </row>
    <row r="7472" spans="1:10" s="225" customFormat="1">
      <c r="A7472" s="222" t="s">
        <v>179</v>
      </c>
      <c r="B7472" s="222" t="s">
        <v>126</v>
      </c>
      <c r="C7472" s="236">
        <v>0.77083333333333304</v>
      </c>
      <c r="D7472" s="237">
        <v>0</v>
      </c>
      <c r="E7472" s="237">
        <v>0</v>
      </c>
      <c r="F7472" s="237">
        <v>0</v>
      </c>
      <c r="G7472" s="237">
        <v>0</v>
      </c>
      <c r="H7472" s="237">
        <v>0</v>
      </c>
      <c r="I7472" s="237">
        <v>0</v>
      </c>
      <c r="J7472" s="237">
        <v>0</v>
      </c>
    </row>
    <row r="7473" spans="1:10" s="225" customFormat="1">
      <c r="A7473" s="222" t="s">
        <v>179</v>
      </c>
      <c r="B7473" s="222" t="s">
        <v>126</v>
      </c>
      <c r="C7473" s="236">
        <v>0.77152777777777803</v>
      </c>
      <c r="D7473" s="237">
        <v>0</v>
      </c>
      <c r="E7473" s="237">
        <v>0</v>
      </c>
      <c r="F7473" s="237">
        <v>0</v>
      </c>
      <c r="G7473" s="237">
        <v>0</v>
      </c>
      <c r="H7473" s="237">
        <v>0</v>
      </c>
      <c r="I7473" s="237">
        <v>0</v>
      </c>
      <c r="J7473" s="237">
        <v>0</v>
      </c>
    </row>
    <row r="7474" spans="1:10" s="225" customFormat="1">
      <c r="A7474" s="222" t="s">
        <v>179</v>
      </c>
      <c r="B7474" s="222" t="s">
        <v>126</v>
      </c>
      <c r="C7474" s="236">
        <v>0.77222222222222203</v>
      </c>
      <c r="D7474" s="237">
        <v>0</v>
      </c>
      <c r="E7474" s="237">
        <v>0</v>
      </c>
      <c r="F7474" s="237">
        <v>0</v>
      </c>
      <c r="G7474" s="237">
        <v>0</v>
      </c>
      <c r="H7474" s="237">
        <v>0</v>
      </c>
      <c r="I7474" s="237">
        <v>0</v>
      </c>
      <c r="J7474" s="237">
        <v>0</v>
      </c>
    </row>
    <row r="7475" spans="1:10" s="225" customFormat="1">
      <c r="A7475" s="222" t="s">
        <v>179</v>
      </c>
      <c r="B7475" s="222" t="s">
        <v>126</v>
      </c>
      <c r="C7475" s="236">
        <v>0.77291666666666703</v>
      </c>
      <c r="D7475" s="237">
        <v>0</v>
      </c>
      <c r="E7475" s="237">
        <v>0</v>
      </c>
      <c r="F7475" s="237">
        <v>0</v>
      </c>
      <c r="G7475" s="237">
        <v>0</v>
      </c>
      <c r="H7475" s="237">
        <v>0</v>
      </c>
      <c r="I7475" s="237">
        <v>0</v>
      </c>
      <c r="J7475" s="237">
        <v>0</v>
      </c>
    </row>
    <row r="7476" spans="1:10" s="225" customFormat="1">
      <c r="A7476" s="222" t="s">
        <v>179</v>
      </c>
      <c r="B7476" s="222" t="s">
        <v>126</v>
      </c>
      <c r="C7476" s="236">
        <v>0.77361111111111103</v>
      </c>
      <c r="D7476" s="237">
        <v>0</v>
      </c>
      <c r="E7476" s="237">
        <v>0</v>
      </c>
      <c r="F7476" s="237">
        <v>0</v>
      </c>
      <c r="G7476" s="237">
        <v>0</v>
      </c>
      <c r="H7476" s="237">
        <v>0</v>
      </c>
      <c r="I7476" s="237">
        <v>0</v>
      </c>
      <c r="J7476" s="237">
        <v>0</v>
      </c>
    </row>
    <row r="7477" spans="1:10" s="225" customFormat="1">
      <c r="A7477" s="222" t="s">
        <v>179</v>
      </c>
      <c r="B7477" s="222" t="s">
        <v>126</v>
      </c>
      <c r="C7477" s="236">
        <v>0.77430555555555503</v>
      </c>
      <c r="D7477" s="237">
        <v>0</v>
      </c>
      <c r="E7477" s="237">
        <v>0</v>
      </c>
      <c r="F7477" s="237">
        <v>0</v>
      </c>
      <c r="G7477" s="237">
        <v>0</v>
      </c>
      <c r="H7477" s="237">
        <v>0</v>
      </c>
      <c r="I7477" s="237">
        <v>0</v>
      </c>
      <c r="J7477" s="237">
        <v>0</v>
      </c>
    </row>
    <row r="7478" spans="1:10" s="225" customFormat="1">
      <c r="A7478" s="222" t="s">
        <v>179</v>
      </c>
      <c r="B7478" s="222" t="s">
        <v>126</v>
      </c>
      <c r="C7478" s="236">
        <v>0.77500000000000002</v>
      </c>
      <c r="D7478" s="237">
        <v>0</v>
      </c>
      <c r="E7478" s="237">
        <v>0</v>
      </c>
      <c r="F7478" s="237">
        <v>0</v>
      </c>
      <c r="G7478" s="237">
        <v>0</v>
      </c>
      <c r="H7478" s="237">
        <v>0</v>
      </c>
      <c r="I7478" s="237">
        <v>0</v>
      </c>
      <c r="J7478" s="237">
        <v>0</v>
      </c>
    </row>
    <row r="7479" spans="1:10" s="225" customFormat="1">
      <c r="A7479" s="222" t="s">
        <v>179</v>
      </c>
      <c r="B7479" s="222" t="s">
        <v>126</v>
      </c>
      <c r="C7479" s="236">
        <v>0.77569444444444402</v>
      </c>
      <c r="D7479" s="237">
        <v>0</v>
      </c>
      <c r="E7479" s="237">
        <v>0</v>
      </c>
      <c r="F7479" s="237">
        <v>0</v>
      </c>
      <c r="G7479" s="237">
        <v>0</v>
      </c>
      <c r="H7479" s="237">
        <v>0</v>
      </c>
      <c r="I7479" s="237">
        <v>0</v>
      </c>
      <c r="J7479" s="237">
        <v>0</v>
      </c>
    </row>
    <row r="7480" spans="1:10" s="225" customFormat="1">
      <c r="A7480" s="222" t="s">
        <v>179</v>
      </c>
      <c r="B7480" s="222" t="s">
        <v>126</v>
      </c>
      <c r="C7480" s="236">
        <v>0.77638888888888902</v>
      </c>
      <c r="D7480" s="237">
        <v>0</v>
      </c>
      <c r="E7480" s="237">
        <v>0</v>
      </c>
      <c r="F7480" s="237">
        <v>0</v>
      </c>
      <c r="G7480" s="237">
        <v>0</v>
      </c>
      <c r="H7480" s="237">
        <v>0</v>
      </c>
      <c r="I7480" s="237">
        <v>0</v>
      </c>
      <c r="J7480" s="237">
        <v>0</v>
      </c>
    </row>
    <row r="7481" spans="1:10" s="225" customFormat="1">
      <c r="A7481" s="222" t="s">
        <v>179</v>
      </c>
      <c r="B7481" s="222" t="s">
        <v>126</v>
      </c>
      <c r="C7481" s="236">
        <v>0.77708333333333302</v>
      </c>
      <c r="D7481" s="237">
        <v>0</v>
      </c>
      <c r="E7481" s="237">
        <v>0</v>
      </c>
      <c r="F7481" s="237">
        <v>0</v>
      </c>
      <c r="G7481" s="237">
        <v>0</v>
      </c>
      <c r="H7481" s="237">
        <v>0</v>
      </c>
      <c r="I7481" s="237">
        <v>0</v>
      </c>
      <c r="J7481" s="237">
        <v>0</v>
      </c>
    </row>
    <row r="7482" spans="1:10" s="225" customFormat="1">
      <c r="A7482" s="222" t="s">
        <v>179</v>
      </c>
      <c r="B7482" s="222" t="s">
        <v>126</v>
      </c>
      <c r="C7482" s="236">
        <v>0.77777777777777801</v>
      </c>
      <c r="D7482" s="237">
        <v>0</v>
      </c>
      <c r="E7482" s="237">
        <v>0</v>
      </c>
      <c r="F7482" s="237">
        <v>0</v>
      </c>
      <c r="G7482" s="237">
        <v>0</v>
      </c>
      <c r="H7482" s="237">
        <v>0</v>
      </c>
      <c r="I7482" s="237">
        <v>0</v>
      </c>
      <c r="J7482" s="237">
        <v>0</v>
      </c>
    </row>
    <row r="7483" spans="1:10" s="225" customFormat="1">
      <c r="A7483" s="222" t="s">
        <v>179</v>
      </c>
      <c r="B7483" s="222" t="s">
        <v>126</v>
      </c>
      <c r="C7483" s="236">
        <v>0.77847222222222201</v>
      </c>
      <c r="D7483" s="237">
        <v>0</v>
      </c>
      <c r="E7483" s="237">
        <v>0</v>
      </c>
      <c r="F7483" s="237">
        <v>0</v>
      </c>
      <c r="G7483" s="237">
        <v>0</v>
      </c>
      <c r="H7483" s="237">
        <v>0</v>
      </c>
      <c r="I7483" s="237">
        <v>0</v>
      </c>
      <c r="J7483" s="237">
        <v>0</v>
      </c>
    </row>
    <row r="7484" spans="1:10" s="225" customFormat="1">
      <c r="A7484" s="222" t="s">
        <v>179</v>
      </c>
      <c r="B7484" s="222" t="s">
        <v>126</v>
      </c>
      <c r="C7484" s="236">
        <v>0.77916666666666701</v>
      </c>
      <c r="D7484" s="237">
        <v>0</v>
      </c>
      <c r="E7484" s="237">
        <v>0</v>
      </c>
      <c r="F7484" s="237">
        <v>0</v>
      </c>
      <c r="G7484" s="237">
        <v>0</v>
      </c>
      <c r="H7484" s="237">
        <v>0</v>
      </c>
      <c r="I7484" s="237">
        <v>0</v>
      </c>
      <c r="J7484" s="237">
        <v>0</v>
      </c>
    </row>
    <row r="7485" spans="1:10" s="225" customFormat="1">
      <c r="A7485" s="222" t="s">
        <v>179</v>
      </c>
      <c r="B7485" s="222" t="s">
        <v>126</v>
      </c>
      <c r="C7485" s="236">
        <v>0.77986111111111101</v>
      </c>
      <c r="D7485" s="237">
        <v>0</v>
      </c>
      <c r="E7485" s="237">
        <v>0</v>
      </c>
      <c r="F7485" s="237">
        <v>0</v>
      </c>
      <c r="G7485" s="237">
        <v>0</v>
      </c>
      <c r="H7485" s="237">
        <v>0</v>
      </c>
      <c r="I7485" s="237">
        <v>0</v>
      </c>
      <c r="J7485" s="237">
        <v>0</v>
      </c>
    </row>
    <row r="7486" spans="1:10" s="229" customFormat="1">
      <c r="A7486" s="226" t="s">
        <v>179</v>
      </c>
      <c r="B7486" s="226" t="s">
        <v>126</v>
      </c>
      <c r="C7486" s="238">
        <v>0.780555555555555</v>
      </c>
      <c r="D7486" s="239">
        <v>0</v>
      </c>
      <c r="E7486" s="239">
        <v>0</v>
      </c>
      <c r="F7486" s="239">
        <v>0</v>
      </c>
      <c r="G7486" s="239">
        <v>0</v>
      </c>
      <c r="H7486" s="239">
        <v>0</v>
      </c>
      <c r="I7486" s="239">
        <v>0</v>
      </c>
      <c r="J7486" s="239">
        <v>0</v>
      </c>
    </row>
    <row r="7487" spans="1:10" s="225" customFormat="1">
      <c r="A7487" s="222" t="s">
        <v>179</v>
      </c>
      <c r="B7487" s="222" t="s">
        <v>126</v>
      </c>
      <c r="C7487" s="236">
        <v>0.78125</v>
      </c>
      <c r="D7487" s="237">
        <v>0</v>
      </c>
      <c r="E7487" s="237">
        <v>0</v>
      </c>
      <c r="F7487" s="237">
        <v>0</v>
      </c>
      <c r="G7487" s="237">
        <v>0</v>
      </c>
      <c r="H7487" s="237">
        <v>0</v>
      </c>
      <c r="I7487" s="237">
        <v>0</v>
      </c>
      <c r="J7487" s="237">
        <v>0</v>
      </c>
    </row>
    <row r="7488" spans="1:10" s="225" customFormat="1">
      <c r="A7488" s="222" t="s">
        <v>179</v>
      </c>
      <c r="B7488" s="222" t="s">
        <v>126</v>
      </c>
      <c r="C7488" s="236">
        <v>0.781944444444444</v>
      </c>
      <c r="D7488" s="237">
        <v>0</v>
      </c>
      <c r="E7488" s="237">
        <v>0</v>
      </c>
      <c r="F7488" s="237">
        <v>0</v>
      </c>
      <c r="G7488" s="237">
        <v>0</v>
      </c>
      <c r="H7488" s="237">
        <v>0</v>
      </c>
      <c r="I7488" s="237">
        <v>0</v>
      </c>
      <c r="J7488" s="237">
        <v>0</v>
      </c>
    </row>
    <row r="7489" spans="1:10" s="225" customFormat="1">
      <c r="A7489" s="222" t="s">
        <v>179</v>
      </c>
      <c r="B7489" s="222" t="s">
        <v>126</v>
      </c>
      <c r="C7489" s="236">
        <v>0.78263888888888899</v>
      </c>
      <c r="D7489" s="237">
        <v>0</v>
      </c>
      <c r="E7489" s="237">
        <v>0</v>
      </c>
      <c r="F7489" s="237">
        <v>0</v>
      </c>
      <c r="G7489" s="237">
        <v>0</v>
      </c>
      <c r="H7489" s="237">
        <v>0</v>
      </c>
      <c r="I7489" s="237">
        <v>0</v>
      </c>
      <c r="J7489" s="237">
        <v>0</v>
      </c>
    </row>
    <row r="7490" spans="1:10" s="225" customFormat="1">
      <c r="A7490" s="222" t="s">
        <v>179</v>
      </c>
      <c r="B7490" s="222" t="s">
        <v>126</v>
      </c>
      <c r="C7490" s="236">
        <v>0.78333333333333299</v>
      </c>
      <c r="D7490" s="237">
        <v>0</v>
      </c>
      <c r="E7490" s="237">
        <v>0</v>
      </c>
      <c r="F7490" s="237">
        <v>0</v>
      </c>
      <c r="G7490" s="237">
        <v>0</v>
      </c>
      <c r="H7490" s="237">
        <v>0</v>
      </c>
      <c r="I7490" s="237">
        <v>0</v>
      </c>
      <c r="J7490" s="237">
        <v>0</v>
      </c>
    </row>
    <row r="7491" spans="1:10" s="225" customFormat="1">
      <c r="A7491" s="222" t="s">
        <v>179</v>
      </c>
      <c r="B7491" s="222" t="s">
        <v>126</v>
      </c>
      <c r="C7491" s="236">
        <v>0.78402777777777799</v>
      </c>
      <c r="D7491" s="237">
        <v>0</v>
      </c>
      <c r="E7491" s="237">
        <v>0</v>
      </c>
      <c r="F7491" s="237">
        <v>0</v>
      </c>
      <c r="G7491" s="237">
        <v>0</v>
      </c>
      <c r="H7491" s="237">
        <v>0</v>
      </c>
      <c r="I7491" s="237">
        <v>0</v>
      </c>
      <c r="J7491" s="237">
        <v>0</v>
      </c>
    </row>
    <row r="7492" spans="1:10" s="225" customFormat="1">
      <c r="A7492" s="222" t="s">
        <v>179</v>
      </c>
      <c r="B7492" s="222" t="s">
        <v>126</v>
      </c>
      <c r="C7492" s="236">
        <v>0.78472222222222199</v>
      </c>
      <c r="D7492" s="237">
        <v>0</v>
      </c>
      <c r="E7492" s="237">
        <v>0</v>
      </c>
      <c r="F7492" s="237">
        <v>0</v>
      </c>
      <c r="G7492" s="237">
        <v>0</v>
      </c>
      <c r="H7492" s="237">
        <v>0</v>
      </c>
      <c r="I7492" s="237">
        <v>0</v>
      </c>
      <c r="J7492" s="237">
        <v>0</v>
      </c>
    </row>
    <row r="7493" spans="1:10" s="225" customFormat="1">
      <c r="A7493" s="222" t="s">
        <v>179</v>
      </c>
      <c r="B7493" s="222" t="s">
        <v>126</v>
      </c>
      <c r="C7493" s="236">
        <v>0.78541666666666698</v>
      </c>
      <c r="D7493" s="237">
        <v>0</v>
      </c>
      <c r="E7493" s="237">
        <v>0</v>
      </c>
      <c r="F7493" s="237">
        <v>0</v>
      </c>
      <c r="G7493" s="237">
        <v>0</v>
      </c>
      <c r="H7493" s="237">
        <v>0</v>
      </c>
      <c r="I7493" s="237">
        <v>0</v>
      </c>
      <c r="J7493" s="237">
        <v>0</v>
      </c>
    </row>
    <row r="7494" spans="1:10" s="225" customFormat="1">
      <c r="A7494" s="222" t="s">
        <v>179</v>
      </c>
      <c r="B7494" s="222" t="s">
        <v>126</v>
      </c>
      <c r="C7494" s="236">
        <v>0.78611111111111098</v>
      </c>
      <c r="D7494" s="237">
        <v>0</v>
      </c>
      <c r="E7494" s="237">
        <v>0</v>
      </c>
      <c r="F7494" s="237">
        <v>0</v>
      </c>
      <c r="G7494" s="237">
        <v>0</v>
      </c>
      <c r="H7494" s="237">
        <v>0</v>
      </c>
      <c r="I7494" s="237">
        <v>0</v>
      </c>
      <c r="J7494" s="237">
        <v>0</v>
      </c>
    </row>
    <row r="7495" spans="1:10" s="225" customFormat="1">
      <c r="A7495" s="222" t="s">
        <v>179</v>
      </c>
      <c r="B7495" s="222" t="s">
        <v>126</v>
      </c>
      <c r="C7495" s="236">
        <v>0.78680555555555498</v>
      </c>
      <c r="D7495" s="237">
        <v>0</v>
      </c>
      <c r="E7495" s="237">
        <v>0</v>
      </c>
      <c r="F7495" s="237">
        <v>0</v>
      </c>
      <c r="G7495" s="237">
        <v>0</v>
      </c>
      <c r="H7495" s="237">
        <v>0</v>
      </c>
      <c r="I7495" s="237">
        <v>0</v>
      </c>
      <c r="J7495" s="237">
        <v>0</v>
      </c>
    </row>
    <row r="7496" spans="1:10" s="225" customFormat="1">
      <c r="A7496" s="222" t="s">
        <v>179</v>
      </c>
      <c r="B7496" s="222" t="s">
        <v>126</v>
      </c>
      <c r="C7496" s="236">
        <v>0.78749999999999998</v>
      </c>
      <c r="D7496" s="237">
        <v>0</v>
      </c>
      <c r="E7496" s="237">
        <v>0</v>
      </c>
      <c r="F7496" s="237">
        <v>0</v>
      </c>
      <c r="G7496" s="237">
        <v>0</v>
      </c>
      <c r="H7496" s="237">
        <v>0</v>
      </c>
      <c r="I7496" s="237">
        <v>0</v>
      </c>
      <c r="J7496" s="237">
        <v>0</v>
      </c>
    </row>
    <row r="7497" spans="1:10" s="225" customFormat="1">
      <c r="A7497" s="222" t="s">
        <v>179</v>
      </c>
      <c r="B7497" s="222" t="s">
        <v>126</v>
      </c>
      <c r="C7497" s="236">
        <v>0.78819444444444398</v>
      </c>
      <c r="D7497" s="237">
        <v>0</v>
      </c>
      <c r="E7497" s="237">
        <v>0</v>
      </c>
      <c r="F7497" s="237">
        <v>0</v>
      </c>
      <c r="G7497" s="237">
        <v>0</v>
      </c>
      <c r="H7497" s="237">
        <v>0</v>
      </c>
      <c r="I7497" s="237">
        <v>0</v>
      </c>
      <c r="J7497" s="237">
        <v>0</v>
      </c>
    </row>
    <row r="7498" spans="1:10" s="225" customFormat="1">
      <c r="A7498" s="222" t="s">
        <v>179</v>
      </c>
      <c r="B7498" s="222" t="s">
        <v>126</v>
      </c>
      <c r="C7498" s="236">
        <v>0.78888888888888897</v>
      </c>
      <c r="D7498" s="237">
        <v>0</v>
      </c>
      <c r="E7498" s="237">
        <v>0</v>
      </c>
      <c r="F7498" s="237">
        <v>0</v>
      </c>
      <c r="G7498" s="237">
        <v>0</v>
      </c>
      <c r="H7498" s="237">
        <v>0</v>
      </c>
      <c r="I7498" s="237">
        <v>0</v>
      </c>
      <c r="J7498" s="237">
        <v>0</v>
      </c>
    </row>
    <row r="7499" spans="1:10" s="225" customFormat="1">
      <c r="A7499" s="222" t="s">
        <v>179</v>
      </c>
      <c r="B7499" s="222" t="s">
        <v>126</v>
      </c>
      <c r="C7499" s="236">
        <v>0.78958333333333297</v>
      </c>
      <c r="D7499" s="237">
        <v>0</v>
      </c>
      <c r="E7499" s="237">
        <v>0</v>
      </c>
      <c r="F7499" s="237">
        <v>0</v>
      </c>
      <c r="G7499" s="237">
        <v>0</v>
      </c>
      <c r="H7499" s="237">
        <v>0</v>
      </c>
      <c r="I7499" s="237">
        <v>0</v>
      </c>
      <c r="J7499" s="237">
        <v>0</v>
      </c>
    </row>
    <row r="7500" spans="1:10" s="225" customFormat="1">
      <c r="A7500" s="222" t="s">
        <v>179</v>
      </c>
      <c r="B7500" s="222" t="s">
        <v>126</v>
      </c>
      <c r="C7500" s="236">
        <v>0.79027777777777797</v>
      </c>
      <c r="D7500" s="237">
        <v>0</v>
      </c>
      <c r="E7500" s="237">
        <v>0</v>
      </c>
      <c r="F7500" s="237">
        <v>0</v>
      </c>
      <c r="G7500" s="237">
        <v>0</v>
      </c>
      <c r="H7500" s="237">
        <v>0</v>
      </c>
      <c r="I7500" s="237">
        <v>0</v>
      </c>
      <c r="J7500" s="237">
        <v>0</v>
      </c>
    </row>
    <row r="7501" spans="1:10" s="229" customFormat="1">
      <c r="A7501" s="226" t="s">
        <v>179</v>
      </c>
      <c r="B7501" s="226" t="s">
        <v>126</v>
      </c>
      <c r="C7501" s="238">
        <v>0.79097222222222197</v>
      </c>
      <c r="D7501" s="239">
        <v>0</v>
      </c>
      <c r="E7501" s="239">
        <v>0</v>
      </c>
      <c r="F7501" s="239">
        <v>0</v>
      </c>
      <c r="G7501" s="239">
        <v>0</v>
      </c>
      <c r="H7501" s="239">
        <v>0</v>
      </c>
      <c r="I7501" s="239">
        <v>0</v>
      </c>
      <c r="J7501" s="239">
        <v>0</v>
      </c>
    </row>
    <row r="7502" spans="1:10" s="225" customFormat="1">
      <c r="A7502" s="222" t="s">
        <v>179</v>
      </c>
      <c r="B7502" s="222" t="s">
        <v>126</v>
      </c>
      <c r="C7502" s="236">
        <v>0.79166666666666696</v>
      </c>
      <c r="D7502" s="237">
        <v>0</v>
      </c>
      <c r="E7502" s="237">
        <v>0</v>
      </c>
      <c r="F7502" s="237">
        <v>0</v>
      </c>
      <c r="G7502" s="237">
        <v>0</v>
      </c>
      <c r="H7502" s="237">
        <v>0</v>
      </c>
      <c r="I7502" s="237">
        <v>0</v>
      </c>
      <c r="J7502" s="237">
        <v>0</v>
      </c>
    </row>
    <row r="7503" spans="1:10" s="225" customFormat="1">
      <c r="A7503" s="222" t="s">
        <v>179</v>
      </c>
      <c r="B7503" s="222" t="s">
        <v>126</v>
      </c>
      <c r="C7503" s="236">
        <v>0.79236111111111096</v>
      </c>
      <c r="D7503" s="237">
        <v>0</v>
      </c>
      <c r="E7503" s="237">
        <v>0</v>
      </c>
      <c r="F7503" s="237">
        <v>0</v>
      </c>
      <c r="G7503" s="237">
        <v>0</v>
      </c>
      <c r="H7503" s="237">
        <v>0</v>
      </c>
      <c r="I7503" s="237">
        <v>0</v>
      </c>
      <c r="J7503" s="237">
        <v>0</v>
      </c>
    </row>
    <row r="7504" spans="1:10" s="225" customFormat="1">
      <c r="A7504" s="222" t="s">
        <v>179</v>
      </c>
      <c r="B7504" s="222" t="s">
        <v>126</v>
      </c>
      <c r="C7504" s="236">
        <v>0.79305555555555496</v>
      </c>
      <c r="D7504" s="237">
        <v>0</v>
      </c>
      <c r="E7504" s="237">
        <v>0</v>
      </c>
      <c r="F7504" s="237">
        <v>0</v>
      </c>
      <c r="G7504" s="237">
        <v>0</v>
      </c>
      <c r="H7504" s="237">
        <v>0</v>
      </c>
      <c r="I7504" s="237">
        <v>0</v>
      </c>
      <c r="J7504" s="237">
        <v>0</v>
      </c>
    </row>
    <row r="7505" spans="1:10" s="225" customFormat="1">
      <c r="A7505" s="222" t="s">
        <v>179</v>
      </c>
      <c r="B7505" s="222" t="s">
        <v>126</v>
      </c>
      <c r="C7505" s="236">
        <v>0.79374999999999996</v>
      </c>
      <c r="D7505" s="237">
        <v>0</v>
      </c>
      <c r="E7505" s="237">
        <v>0</v>
      </c>
      <c r="F7505" s="237">
        <v>0</v>
      </c>
      <c r="G7505" s="237">
        <v>0</v>
      </c>
      <c r="H7505" s="237">
        <v>0</v>
      </c>
      <c r="I7505" s="237">
        <v>0</v>
      </c>
      <c r="J7505" s="237">
        <v>0</v>
      </c>
    </row>
    <row r="7506" spans="1:10" s="225" customFormat="1">
      <c r="A7506" s="222" t="s">
        <v>179</v>
      </c>
      <c r="B7506" s="222" t="s">
        <v>126</v>
      </c>
      <c r="C7506" s="236">
        <v>0.79444444444444395</v>
      </c>
      <c r="D7506" s="237">
        <v>0</v>
      </c>
      <c r="E7506" s="237">
        <v>0</v>
      </c>
      <c r="F7506" s="237">
        <v>0</v>
      </c>
      <c r="G7506" s="237">
        <v>0</v>
      </c>
      <c r="H7506" s="237">
        <v>0</v>
      </c>
      <c r="I7506" s="237">
        <v>0</v>
      </c>
      <c r="J7506" s="237">
        <v>0</v>
      </c>
    </row>
    <row r="7507" spans="1:10" s="225" customFormat="1">
      <c r="A7507" s="222" t="s">
        <v>179</v>
      </c>
      <c r="B7507" s="222" t="s">
        <v>126</v>
      </c>
      <c r="C7507" s="236">
        <v>0.79513888888888895</v>
      </c>
      <c r="D7507" s="237">
        <v>0</v>
      </c>
      <c r="E7507" s="237">
        <v>0</v>
      </c>
      <c r="F7507" s="237">
        <v>0</v>
      </c>
      <c r="G7507" s="237">
        <v>0</v>
      </c>
      <c r="H7507" s="237">
        <v>0</v>
      </c>
      <c r="I7507" s="237">
        <v>0</v>
      </c>
      <c r="J7507" s="237">
        <v>0</v>
      </c>
    </row>
    <row r="7508" spans="1:10" s="225" customFormat="1">
      <c r="A7508" s="222" t="s">
        <v>179</v>
      </c>
      <c r="B7508" s="222" t="s">
        <v>126</v>
      </c>
      <c r="C7508" s="236">
        <v>0.79583333333333295</v>
      </c>
      <c r="D7508" s="237">
        <v>0</v>
      </c>
      <c r="E7508" s="237">
        <v>0</v>
      </c>
      <c r="F7508" s="237">
        <v>0</v>
      </c>
      <c r="G7508" s="237">
        <v>0</v>
      </c>
      <c r="H7508" s="237">
        <v>0</v>
      </c>
      <c r="I7508" s="237">
        <v>0</v>
      </c>
      <c r="J7508" s="237">
        <v>0</v>
      </c>
    </row>
    <row r="7509" spans="1:10" s="225" customFormat="1">
      <c r="A7509" s="222" t="s">
        <v>179</v>
      </c>
      <c r="B7509" s="222" t="s">
        <v>126</v>
      </c>
      <c r="C7509" s="236">
        <v>0.79652777777777795</v>
      </c>
      <c r="D7509" s="237">
        <v>0</v>
      </c>
      <c r="E7509" s="237">
        <v>0</v>
      </c>
      <c r="F7509" s="237">
        <v>0</v>
      </c>
      <c r="G7509" s="237">
        <v>0</v>
      </c>
      <c r="H7509" s="237">
        <v>0</v>
      </c>
      <c r="I7509" s="237">
        <v>0</v>
      </c>
      <c r="J7509" s="237">
        <v>0</v>
      </c>
    </row>
    <row r="7510" spans="1:10" s="225" customFormat="1">
      <c r="A7510" s="222" t="s">
        <v>179</v>
      </c>
      <c r="B7510" s="222" t="s">
        <v>126</v>
      </c>
      <c r="C7510" s="236">
        <v>0.79722222222222205</v>
      </c>
      <c r="D7510" s="237">
        <v>0</v>
      </c>
      <c r="E7510" s="237">
        <v>0</v>
      </c>
      <c r="F7510" s="237">
        <v>0</v>
      </c>
      <c r="G7510" s="237">
        <v>0</v>
      </c>
      <c r="H7510" s="237">
        <v>0</v>
      </c>
      <c r="I7510" s="237">
        <v>0</v>
      </c>
      <c r="J7510" s="237">
        <v>0</v>
      </c>
    </row>
    <row r="7511" spans="1:10" s="225" customFormat="1">
      <c r="A7511" s="222" t="s">
        <v>179</v>
      </c>
      <c r="B7511" s="222" t="s">
        <v>126</v>
      </c>
      <c r="C7511" s="236">
        <v>0.79791666666666605</v>
      </c>
      <c r="D7511" s="237">
        <v>0</v>
      </c>
      <c r="E7511" s="237">
        <v>0</v>
      </c>
      <c r="F7511" s="237">
        <v>0</v>
      </c>
      <c r="G7511" s="237">
        <v>0</v>
      </c>
      <c r="H7511" s="237">
        <v>0</v>
      </c>
      <c r="I7511" s="237">
        <v>0</v>
      </c>
      <c r="J7511" s="237">
        <v>0</v>
      </c>
    </row>
    <row r="7512" spans="1:10" s="225" customFormat="1">
      <c r="A7512" s="222" t="s">
        <v>179</v>
      </c>
      <c r="B7512" s="222" t="s">
        <v>126</v>
      </c>
      <c r="C7512" s="236">
        <v>0.79861111111111105</v>
      </c>
      <c r="D7512" s="237">
        <v>0</v>
      </c>
      <c r="E7512" s="237">
        <v>0</v>
      </c>
      <c r="F7512" s="237">
        <v>0</v>
      </c>
      <c r="G7512" s="237">
        <v>0</v>
      </c>
      <c r="H7512" s="237">
        <v>0</v>
      </c>
      <c r="I7512" s="237">
        <v>0</v>
      </c>
      <c r="J7512" s="237">
        <v>0</v>
      </c>
    </row>
    <row r="7513" spans="1:10" s="225" customFormat="1">
      <c r="A7513" s="222" t="s">
        <v>179</v>
      </c>
      <c r="B7513" s="222" t="s">
        <v>126</v>
      </c>
      <c r="C7513" s="236">
        <v>0.79930555555555505</v>
      </c>
      <c r="D7513" s="237">
        <v>0</v>
      </c>
      <c r="E7513" s="237">
        <v>0</v>
      </c>
      <c r="F7513" s="237">
        <v>0</v>
      </c>
      <c r="G7513" s="237">
        <v>0</v>
      </c>
      <c r="H7513" s="237">
        <v>0</v>
      </c>
      <c r="I7513" s="237">
        <v>0</v>
      </c>
      <c r="J7513" s="237">
        <v>0</v>
      </c>
    </row>
    <row r="7514" spans="1:10" s="225" customFormat="1">
      <c r="A7514" s="222" t="s">
        <v>179</v>
      </c>
      <c r="B7514" s="222" t="s">
        <v>126</v>
      </c>
      <c r="C7514" s="236">
        <v>0.8</v>
      </c>
      <c r="D7514" s="237">
        <v>0</v>
      </c>
      <c r="E7514" s="237">
        <v>0</v>
      </c>
      <c r="F7514" s="237">
        <v>0</v>
      </c>
      <c r="G7514" s="237">
        <v>0</v>
      </c>
      <c r="H7514" s="237">
        <v>0</v>
      </c>
      <c r="I7514" s="237">
        <v>0</v>
      </c>
      <c r="J7514" s="237">
        <v>0</v>
      </c>
    </row>
    <row r="7515" spans="1:10" s="225" customFormat="1">
      <c r="A7515" s="222" t="s">
        <v>179</v>
      </c>
      <c r="B7515" s="222" t="s">
        <v>126</v>
      </c>
      <c r="C7515" s="236">
        <v>0.80069444444444404</v>
      </c>
      <c r="D7515" s="237">
        <v>0</v>
      </c>
      <c r="E7515" s="237">
        <v>0</v>
      </c>
      <c r="F7515" s="237">
        <v>0</v>
      </c>
      <c r="G7515" s="237">
        <v>0</v>
      </c>
      <c r="H7515" s="237">
        <v>0</v>
      </c>
      <c r="I7515" s="237">
        <v>0</v>
      </c>
      <c r="J7515" s="237">
        <v>0</v>
      </c>
    </row>
    <row r="7516" spans="1:10" s="229" customFormat="1">
      <c r="A7516" s="226" t="s">
        <v>179</v>
      </c>
      <c r="B7516" s="226" t="s">
        <v>126</v>
      </c>
      <c r="C7516" s="238">
        <v>0.80138888888888904</v>
      </c>
      <c r="D7516" s="239">
        <v>0</v>
      </c>
      <c r="E7516" s="239">
        <v>0</v>
      </c>
      <c r="F7516" s="239">
        <v>0</v>
      </c>
      <c r="G7516" s="239">
        <v>0</v>
      </c>
      <c r="H7516" s="239">
        <v>0</v>
      </c>
      <c r="I7516" s="239">
        <v>0</v>
      </c>
      <c r="J7516" s="239">
        <v>0</v>
      </c>
    </row>
    <row r="7517" spans="1:10" s="225" customFormat="1">
      <c r="A7517" s="222" t="s">
        <v>179</v>
      </c>
      <c r="B7517" s="222" t="s">
        <v>126</v>
      </c>
      <c r="C7517" s="236">
        <v>0.80208333333333304</v>
      </c>
      <c r="D7517" s="237">
        <v>0</v>
      </c>
      <c r="E7517" s="237">
        <v>0</v>
      </c>
      <c r="F7517" s="237">
        <v>0</v>
      </c>
      <c r="G7517" s="237">
        <v>0</v>
      </c>
      <c r="H7517" s="237">
        <v>0</v>
      </c>
      <c r="I7517" s="237">
        <v>0</v>
      </c>
      <c r="J7517" s="237">
        <v>0</v>
      </c>
    </row>
    <row r="7518" spans="1:10" s="225" customFormat="1">
      <c r="A7518" s="222" t="s">
        <v>179</v>
      </c>
      <c r="B7518" s="222" t="s">
        <v>126</v>
      </c>
      <c r="C7518" s="236">
        <v>0.80277777777777803</v>
      </c>
      <c r="D7518" s="237">
        <v>0</v>
      </c>
      <c r="E7518" s="237">
        <v>0</v>
      </c>
      <c r="F7518" s="237">
        <v>0</v>
      </c>
      <c r="G7518" s="237">
        <v>0</v>
      </c>
      <c r="H7518" s="237">
        <v>0</v>
      </c>
      <c r="I7518" s="237">
        <v>0</v>
      </c>
      <c r="J7518" s="237">
        <v>0</v>
      </c>
    </row>
    <row r="7519" spans="1:10" s="225" customFormat="1">
      <c r="A7519" s="222" t="s">
        <v>179</v>
      </c>
      <c r="B7519" s="222" t="s">
        <v>126</v>
      </c>
      <c r="C7519" s="236">
        <v>0.80347222222222203</v>
      </c>
      <c r="D7519" s="237">
        <v>0</v>
      </c>
      <c r="E7519" s="237">
        <v>0</v>
      </c>
      <c r="F7519" s="237">
        <v>0</v>
      </c>
      <c r="G7519" s="237">
        <v>0</v>
      </c>
      <c r="H7519" s="237">
        <v>0</v>
      </c>
      <c r="I7519" s="237">
        <v>0</v>
      </c>
      <c r="J7519" s="237">
        <v>0</v>
      </c>
    </row>
    <row r="7520" spans="1:10" s="225" customFormat="1">
      <c r="A7520" s="222" t="s">
        <v>179</v>
      </c>
      <c r="B7520" s="222" t="s">
        <v>126</v>
      </c>
      <c r="C7520" s="236">
        <v>0.80416666666666603</v>
      </c>
      <c r="D7520" s="237">
        <v>0</v>
      </c>
      <c r="E7520" s="237">
        <v>0</v>
      </c>
      <c r="F7520" s="237">
        <v>0</v>
      </c>
      <c r="G7520" s="237">
        <v>0</v>
      </c>
      <c r="H7520" s="237">
        <v>0</v>
      </c>
      <c r="I7520" s="237">
        <v>0</v>
      </c>
      <c r="J7520" s="237">
        <v>0</v>
      </c>
    </row>
    <row r="7521" spans="1:10" s="225" customFormat="1">
      <c r="A7521" s="222" t="s">
        <v>179</v>
      </c>
      <c r="B7521" s="222" t="s">
        <v>126</v>
      </c>
      <c r="C7521" s="236">
        <v>0.80486111111111103</v>
      </c>
      <c r="D7521" s="237">
        <v>0</v>
      </c>
      <c r="E7521" s="237">
        <v>0</v>
      </c>
      <c r="F7521" s="237">
        <v>0</v>
      </c>
      <c r="G7521" s="237">
        <v>0</v>
      </c>
      <c r="H7521" s="237">
        <v>0</v>
      </c>
      <c r="I7521" s="237">
        <v>0</v>
      </c>
      <c r="J7521" s="237">
        <v>0</v>
      </c>
    </row>
    <row r="7522" spans="1:10" s="225" customFormat="1">
      <c r="A7522" s="222" t="s">
        <v>179</v>
      </c>
      <c r="B7522" s="222" t="s">
        <v>126</v>
      </c>
      <c r="C7522" s="236">
        <v>0.80555555555555503</v>
      </c>
      <c r="D7522" s="237">
        <v>0</v>
      </c>
      <c r="E7522" s="237">
        <v>0</v>
      </c>
      <c r="F7522" s="237">
        <v>0</v>
      </c>
      <c r="G7522" s="237">
        <v>0</v>
      </c>
      <c r="H7522" s="237">
        <v>0</v>
      </c>
      <c r="I7522" s="237">
        <v>0</v>
      </c>
      <c r="J7522" s="237">
        <v>0</v>
      </c>
    </row>
    <row r="7523" spans="1:10" s="225" customFormat="1">
      <c r="A7523" s="222" t="s">
        <v>179</v>
      </c>
      <c r="B7523" s="222" t="s">
        <v>126</v>
      </c>
      <c r="C7523" s="236">
        <v>0.80625000000000002</v>
      </c>
      <c r="D7523" s="237">
        <v>0</v>
      </c>
      <c r="E7523" s="237">
        <v>0</v>
      </c>
      <c r="F7523" s="237">
        <v>0</v>
      </c>
      <c r="G7523" s="237">
        <v>0</v>
      </c>
      <c r="H7523" s="237">
        <v>0</v>
      </c>
      <c r="I7523" s="237">
        <v>0</v>
      </c>
      <c r="J7523" s="237">
        <v>0</v>
      </c>
    </row>
    <row r="7524" spans="1:10" s="225" customFormat="1">
      <c r="A7524" s="222" t="s">
        <v>179</v>
      </c>
      <c r="B7524" s="222" t="s">
        <v>126</v>
      </c>
      <c r="C7524" s="236">
        <v>0.80694444444444402</v>
      </c>
      <c r="D7524" s="237">
        <v>0</v>
      </c>
      <c r="E7524" s="237">
        <v>0</v>
      </c>
      <c r="F7524" s="237">
        <v>0</v>
      </c>
      <c r="G7524" s="237">
        <v>0</v>
      </c>
      <c r="H7524" s="237">
        <v>0</v>
      </c>
      <c r="I7524" s="237">
        <v>0</v>
      </c>
      <c r="J7524" s="237">
        <v>0</v>
      </c>
    </row>
    <row r="7525" spans="1:10" s="225" customFormat="1">
      <c r="A7525" s="222" t="s">
        <v>179</v>
      </c>
      <c r="B7525" s="222" t="s">
        <v>126</v>
      </c>
      <c r="C7525" s="236">
        <v>0.80763888888888902</v>
      </c>
      <c r="D7525" s="237">
        <v>0</v>
      </c>
      <c r="E7525" s="237">
        <v>0</v>
      </c>
      <c r="F7525" s="237">
        <v>0</v>
      </c>
      <c r="G7525" s="237">
        <v>0</v>
      </c>
      <c r="H7525" s="237">
        <v>0</v>
      </c>
      <c r="I7525" s="237">
        <v>0</v>
      </c>
      <c r="J7525" s="237">
        <v>0</v>
      </c>
    </row>
    <row r="7526" spans="1:10" s="225" customFormat="1">
      <c r="A7526" s="222" t="s">
        <v>179</v>
      </c>
      <c r="B7526" s="222" t="s">
        <v>126</v>
      </c>
      <c r="C7526" s="236">
        <v>0.80833333333333302</v>
      </c>
      <c r="D7526" s="237">
        <v>0</v>
      </c>
      <c r="E7526" s="237">
        <v>0</v>
      </c>
      <c r="F7526" s="237">
        <v>0</v>
      </c>
      <c r="G7526" s="237">
        <v>0</v>
      </c>
      <c r="H7526" s="237">
        <v>0</v>
      </c>
      <c r="I7526" s="237">
        <v>0</v>
      </c>
      <c r="J7526" s="237">
        <v>0</v>
      </c>
    </row>
    <row r="7527" spans="1:10" s="225" customFormat="1">
      <c r="A7527" s="222" t="s">
        <v>179</v>
      </c>
      <c r="B7527" s="222" t="s">
        <v>126</v>
      </c>
      <c r="C7527" s="236">
        <v>0.80902777777777801</v>
      </c>
      <c r="D7527" s="237">
        <v>0</v>
      </c>
      <c r="E7527" s="237">
        <v>0</v>
      </c>
      <c r="F7527" s="237">
        <v>0</v>
      </c>
      <c r="G7527" s="237">
        <v>0</v>
      </c>
      <c r="H7527" s="237">
        <v>0</v>
      </c>
      <c r="I7527" s="237">
        <v>0</v>
      </c>
      <c r="J7527" s="237">
        <v>0</v>
      </c>
    </row>
    <row r="7528" spans="1:10" s="225" customFormat="1">
      <c r="A7528" s="222" t="s">
        <v>179</v>
      </c>
      <c r="B7528" s="222" t="s">
        <v>126</v>
      </c>
      <c r="C7528" s="236">
        <v>0.80972222222222201</v>
      </c>
      <c r="D7528" s="237">
        <v>0</v>
      </c>
      <c r="E7528" s="237">
        <v>0</v>
      </c>
      <c r="F7528" s="237">
        <v>0</v>
      </c>
      <c r="G7528" s="237">
        <v>0</v>
      </c>
      <c r="H7528" s="237">
        <v>0</v>
      </c>
      <c r="I7528" s="237">
        <v>0</v>
      </c>
      <c r="J7528" s="237">
        <v>0</v>
      </c>
    </row>
    <row r="7529" spans="1:10" s="225" customFormat="1">
      <c r="A7529" s="222" t="s">
        <v>179</v>
      </c>
      <c r="B7529" s="222" t="s">
        <v>126</v>
      </c>
      <c r="C7529" s="236">
        <v>0.81041666666666601</v>
      </c>
      <c r="D7529" s="237">
        <v>0</v>
      </c>
      <c r="E7529" s="237">
        <v>0</v>
      </c>
      <c r="F7529" s="237">
        <v>0</v>
      </c>
      <c r="G7529" s="237">
        <v>0</v>
      </c>
      <c r="H7529" s="237">
        <v>0</v>
      </c>
      <c r="I7529" s="237">
        <v>0</v>
      </c>
      <c r="J7529" s="237">
        <v>0</v>
      </c>
    </row>
    <row r="7530" spans="1:10" s="225" customFormat="1">
      <c r="A7530" s="222" t="s">
        <v>179</v>
      </c>
      <c r="B7530" s="222" t="s">
        <v>126</v>
      </c>
      <c r="C7530" s="236">
        <v>0.81111111111111101</v>
      </c>
      <c r="D7530" s="237">
        <v>0</v>
      </c>
      <c r="E7530" s="237">
        <v>0</v>
      </c>
      <c r="F7530" s="237">
        <v>0</v>
      </c>
      <c r="G7530" s="237">
        <v>0</v>
      </c>
      <c r="H7530" s="237">
        <v>0</v>
      </c>
      <c r="I7530" s="237">
        <v>0</v>
      </c>
      <c r="J7530" s="237">
        <v>0</v>
      </c>
    </row>
    <row r="7531" spans="1:10" s="229" customFormat="1">
      <c r="A7531" s="226" t="s">
        <v>179</v>
      </c>
      <c r="B7531" s="226" t="s">
        <v>126</v>
      </c>
      <c r="C7531" s="238">
        <v>0.811805555555555</v>
      </c>
      <c r="D7531" s="239">
        <v>0</v>
      </c>
      <c r="E7531" s="239">
        <v>0</v>
      </c>
      <c r="F7531" s="239">
        <v>0</v>
      </c>
      <c r="G7531" s="239">
        <v>0</v>
      </c>
      <c r="H7531" s="239">
        <v>0</v>
      </c>
      <c r="I7531" s="239">
        <v>0</v>
      </c>
      <c r="J7531" s="239">
        <v>0</v>
      </c>
    </row>
    <row r="7532" spans="1:10" s="225" customFormat="1">
      <c r="A7532" s="222" t="s">
        <v>179</v>
      </c>
      <c r="B7532" s="222" t="s">
        <v>126</v>
      </c>
      <c r="C7532" s="236">
        <v>0.8125</v>
      </c>
      <c r="D7532" s="237">
        <v>0</v>
      </c>
      <c r="E7532" s="237">
        <v>0</v>
      </c>
      <c r="F7532" s="237">
        <v>0</v>
      </c>
      <c r="G7532" s="237">
        <v>0</v>
      </c>
      <c r="H7532" s="237">
        <v>0</v>
      </c>
      <c r="I7532" s="237">
        <v>0</v>
      </c>
      <c r="J7532" s="237">
        <v>0</v>
      </c>
    </row>
    <row r="7533" spans="1:10" s="225" customFormat="1">
      <c r="A7533" s="222" t="s">
        <v>179</v>
      </c>
      <c r="B7533" s="222" t="s">
        <v>126</v>
      </c>
      <c r="C7533" s="236">
        <v>0.813194444444444</v>
      </c>
      <c r="D7533" s="237">
        <v>0</v>
      </c>
      <c r="E7533" s="237">
        <v>0</v>
      </c>
      <c r="F7533" s="237">
        <v>0</v>
      </c>
      <c r="G7533" s="237">
        <v>0</v>
      </c>
      <c r="H7533" s="237">
        <v>0</v>
      </c>
      <c r="I7533" s="237">
        <v>0</v>
      </c>
      <c r="J7533" s="237">
        <v>0</v>
      </c>
    </row>
    <row r="7534" spans="1:10" s="225" customFormat="1">
      <c r="A7534" s="222" t="s">
        <v>179</v>
      </c>
      <c r="B7534" s="222" t="s">
        <v>126</v>
      </c>
      <c r="C7534" s="236">
        <v>0.81388888888888899</v>
      </c>
      <c r="D7534" s="237">
        <v>0</v>
      </c>
      <c r="E7534" s="237">
        <v>0</v>
      </c>
      <c r="F7534" s="237">
        <v>0</v>
      </c>
      <c r="G7534" s="237">
        <v>0</v>
      </c>
      <c r="H7534" s="237">
        <v>0</v>
      </c>
      <c r="I7534" s="237">
        <v>0</v>
      </c>
      <c r="J7534" s="237">
        <v>0</v>
      </c>
    </row>
    <row r="7535" spans="1:10" s="225" customFormat="1">
      <c r="A7535" s="222" t="s">
        <v>179</v>
      </c>
      <c r="B7535" s="222" t="s">
        <v>126</v>
      </c>
      <c r="C7535" s="236">
        <v>0.81458333333333299</v>
      </c>
      <c r="D7535" s="237">
        <v>0</v>
      </c>
      <c r="E7535" s="237">
        <v>0</v>
      </c>
      <c r="F7535" s="237">
        <v>0</v>
      </c>
      <c r="G7535" s="237">
        <v>0</v>
      </c>
      <c r="H7535" s="237">
        <v>0</v>
      </c>
      <c r="I7535" s="237">
        <v>0</v>
      </c>
      <c r="J7535" s="237">
        <v>0</v>
      </c>
    </row>
    <row r="7536" spans="1:10" s="225" customFormat="1">
      <c r="A7536" s="222" t="s">
        <v>179</v>
      </c>
      <c r="B7536" s="222" t="s">
        <v>126</v>
      </c>
      <c r="C7536" s="236">
        <v>0.81527777777777799</v>
      </c>
      <c r="D7536" s="237">
        <v>0</v>
      </c>
      <c r="E7536" s="237">
        <v>0</v>
      </c>
      <c r="F7536" s="237">
        <v>0</v>
      </c>
      <c r="G7536" s="237">
        <v>0</v>
      </c>
      <c r="H7536" s="237">
        <v>0</v>
      </c>
      <c r="I7536" s="237">
        <v>0</v>
      </c>
      <c r="J7536" s="237">
        <v>0</v>
      </c>
    </row>
    <row r="7537" spans="1:10" s="225" customFormat="1">
      <c r="A7537" s="222" t="s">
        <v>179</v>
      </c>
      <c r="B7537" s="222" t="s">
        <v>126</v>
      </c>
      <c r="C7537" s="236">
        <v>0.81597222222222199</v>
      </c>
      <c r="D7537" s="237">
        <v>0</v>
      </c>
      <c r="E7537" s="237">
        <v>0</v>
      </c>
      <c r="F7537" s="237">
        <v>0</v>
      </c>
      <c r="G7537" s="237">
        <v>0</v>
      </c>
      <c r="H7537" s="237">
        <v>0</v>
      </c>
      <c r="I7537" s="237">
        <v>0</v>
      </c>
      <c r="J7537" s="237">
        <v>0</v>
      </c>
    </row>
    <row r="7538" spans="1:10" s="225" customFormat="1">
      <c r="A7538" s="222" t="s">
        <v>179</v>
      </c>
      <c r="B7538" s="222" t="s">
        <v>126</v>
      </c>
      <c r="C7538" s="236">
        <v>0.81666666666666599</v>
      </c>
      <c r="D7538" s="237">
        <v>0</v>
      </c>
      <c r="E7538" s="237">
        <v>0</v>
      </c>
      <c r="F7538" s="237">
        <v>0</v>
      </c>
      <c r="G7538" s="237">
        <v>0</v>
      </c>
      <c r="H7538" s="237">
        <v>0</v>
      </c>
      <c r="I7538" s="237">
        <v>0</v>
      </c>
      <c r="J7538" s="237">
        <v>0</v>
      </c>
    </row>
    <row r="7539" spans="1:10" s="225" customFormat="1">
      <c r="A7539" s="222" t="s">
        <v>179</v>
      </c>
      <c r="B7539" s="222" t="s">
        <v>126</v>
      </c>
      <c r="C7539" s="236">
        <v>0.81736111111111098</v>
      </c>
      <c r="D7539" s="237">
        <v>0</v>
      </c>
      <c r="E7539" s="237">
        <v>0</v>
      </c>
      <c r="F7539" s="237">
        <v>0</v>
      </c>
      <c r="G7539" s="237">
        <v>0</v>
      </c>
      <c r="H7539" s="237">
        <v>0</v>
      </c>
      <c r="I7539" s="237">
        <v>0</v>
      </c>
      <c r="J7539" s="237">
        <v>0</v>
      </c>
    </row>
    <row r="7540" spans="1:10" s="225" customFormat="1">
      <c r="A7540" s="222" t="s">
        <v>179</v>
      </c>
      <c r="B7540" s="222" t="s">
        <v>126</v>
      </c>
      <c r="C7540" s="236">
        <v>0.81805555555555498</v>
      </c>
      <c r="D7540" s="237">
        <v>0</v>
      </c>
      <c r="E7540" s="237">
        <v>0</v>
      </c>
      <c r="F7540" s="237">
        <v>0</v>
      </c>
      <c r="G7540" s="237">
        <v>0</v>
      </c>
      <c r="H7540" s="237">
        <v>0</v>
      </c>
      <c r="I7540" s="237">
        <v>0</v>
      </c>
      <c r="J7540" s="237">
        <v>0</v>
      </c>
    </row>
    <row r="7541" spans="1:10" s="225" customFormat="1">
      <c r="A7541" s="222" t="s">
        <v>179</v>
      </c>
      <c r="B7541" s="222" t="s">
        <v>126</v>
      </c>
      <c r="C7541" s="236">
        <v>0.81874999999999998</v>
      </c>
      <c r="D7541" s="237">
        <v>0</v>
      </c>
      <c r="E7541" s="237">
        <v>0</v>
      </c>
      <c r="F7541" s="237">
        <v>0</v>
      </c>
      <c r="G7541" s="237">
        <v>0</v>
      </c>
      <c r="H7541" s="237">
        <v>0</v>
      </c>
      <c r="I7541" s="237">
        <v>0</v>
      </c>
      <c r="J7541" s="237">
        <v>0</v>
      </c>
    </row>
    <row r="7542" spans="1:10" s="225" customFormat="1">
      <c r="A7542" s="222" t="s">
        <v>179</v>
      </c>
      <c r="B7542" s="222" t="s">
        <v>126</v>
      </c>
      <c r="C7542" s="236">
        <v>0.81944444444444398</v>
      </c>
      <c r="D7542" s="237">
        <v>0</v>
      </c>
      <c r="E7542" s="237">
        <v>0</v>
      </c>
      <c r="F7542" s="237">
        <v>0</v>
      </c>
      <c r="G7542" s="237">
        <v>0</v>
      </c>
      <c r="H7542" s="237">
        <v>0</v>
      </c>
      <c r="I7542" s="237">
        <v>0</v>
      </c>
      <c r="J7542" s="237">
        <v>0</v>
      </c>
    </row>
    <row r="7543" spans="1:10" s="225" customFormat="1">
      <c r="A7543" s="222" t="s">
        <v>179</v>
      </c>
      <c r="B7543" s="222" t="s">
        <v>126</v>
      </c>
      <c r="C7543" s="236">
        <v>0.82013888888888897</v>
      </c>
      <c r="D7543" s="237">
        <v>0</v>
      </c>
      <c r="E7543" s="237">
        <v>0</v>
      </c>
      <c r="F7543" s="237">
        <v>0</v>
      </c>
      <c r="G7543" s="237">
        <v>0</v>
      </c>
      <c r="H7543" s="237">
        <v>0</v>
      </c>
      <c r="I7543" s="237">
        <v>0</v>
      </c>
      <c r="J7543" s="237">
        <v>0</v>
      </c>
    </row>
    <row r="7544" spans="1:10" s="225" customFormat="1">
      <c r="A7544" s="222" t="s">
        <v>179</v>
      </c>
      <c r="B7544" s="222" t="s">
        <v>126</v>
      </c>
      <c r="C7544" s="236">
        <v>0.82083333333333297</v>
      </c>
      <c r="D7544" s="237">
        <v>0</v>
      </c>
      <c r="E7544" s="237">
        <v>0</v>
      </c>
      <c r="F7544" s="237">
        <v>0</v>
      </c>
      <c r="G7544" s="237">
        <v>0</v>
      </c>
      <c r="H7544" s="237">
        <v>0</v>
      </c>
      <c r="I7544" s="237">
        <v>0</v>
      </c>
      <c r="J7544" s="237">
        <v>0</v>
      </c>
    </row>
    <row r="7545" spans="1:10" s="225" customFormat="1">
      <c r="A7545" s="222" t="s">
        <v>179</v>
      </c>
      <c r="B7545" s="222" t="s">
        <v>126</v>
      </c>
      <c r="C7545" s="236">
        <v>0.82152777777777797</v>
      </c>
      <c r="D7545" s="237">
        <v>0</v>
      </c>
      <c r="E7545" s="237">
        <v>0</v>
      </c>
      <c r="F7545" s="237">
        <v>0</v>
      </c>
      <c r="G7545" s="237">
        <v>0</v>
      </c>
      <c r="H7545" s="237">
        <v>0</v>
      </c>
      <c r="I7545" s="237">
        <v>0</v>
      </c>
      <c r="J7545" s="237">
        <v>0</v>
      </c>
    </row>
    <row r="7546" spans="1:10" s="229" customFormat="1">
      <c r="A7546" s="226" t="s">
        <v>179</v>
      </c>
      <c r="B7546" s="226" t="s">
        <v>126</v>
      </c>
      <c r="C7546" s="238">
        <v>0.82222222222222197</v>
      </c>
      <c r="D7546" s="239">
        <v>0</v>
      </c>
      <c r="E7546" s="239">
        <v>0</v>
      </c>
      <c r="F7546" s="239">
        <v>0</v>
      </c>
      <c r="G7546" s="239">
        <v>0</v>
      </c>
      <c r="H7546" s="239">
        <v>0</v>
      </c>
      <c r="I7546" s="239">
        <v>0</v>
      </c>
      <c r="J7546" s="239">
        <v>0</v>
      </c>
    </row>
    <row r="7547" spans="1:10" s="225" customFormat="1">
      <c r="A7547" s="222" t="s">
        <v>179</v>
      </c>
      <c r="B7547" s="222" t="s">
        <v>126</v>
      </c>
      <c r="C7547" s="236">
        <v>0.82291666666666596</v>
      </c>
      <c r="D7547" s="237">
        <v>0</v>
      </c>
      <c r="E7547" s="237">
        <v>0</v>
      </c>
      <c r="F7547" s="237">
        <v>0</v>
      </c>
      <c r="G7547" s="237">
        <v>0</v>
      </c>
      <c r="H7547" s="237">
        <v>0</v>
      </c>
      <c r="I7547" s="237">
        <v>0</v>
      </c>
      <c r="J7547" s="237">
        <v>0</v>
      </c>
    </row>
    <row r="7548" spans="1:10" s="225" customFormat="1">
      <c r="A7548" s="222" t="s">
        <v>179</v>
      </c>
      <c r="B7548" s="222" t="s">
        <v>126</v>
      </c>
      <c r="C7548" s="236">
        <v>0.82361111111111096</v>
      </c>
      <c r="D7548" s="237">
        <v>0</v>
      </c>
      <c r="E7548" s="237">
        <v>0</v>
      </c>
      <c r="F7548" s="237">
        <v>0</v>
      </c>
      <c r="G7548" s="237">
        <v>0</v>
      </c>
      <c r="H7548" s="237">
        <v>0</v>
      </c>
      <c r="I7548" s="237">
        <v>0</v>
      </c>
      <c r="J7548" s="237">
        <v>0</v>
      </c>
    </row>
    <row r="7549" spans="1:10" s="225" customFormat="1">
      <c r="A7549" s="222" t="s">
        <v>179</v>
      </c>
      <c r="B7549" s="222" t="s">
        <v>126</v>
      </c>
      <c r="C7549" s="236">
        <v>0.82430555555555496</v>
      </c>
      <c r="D7549" s="237">
        <v>0</v>
      </c>
      <c r="E7549" s="237">
        <v>0</v>
      </c>
      <c r="F7549" s="237">
        <v>0</v>
      </c>
      <c r="G7549" s="237">
        <v>0</v>
      </c>
      <c r="H7549" s="237">
        <v>0</v>
      </c>
      <c r="I7549" s="237">
        <v>0</v>
      </c>
      <c r="J7549" s="237">
        <v>0</v>
      </c>
    </row>
    <row r="7550" spans="1:10" s="225" customFormat="1">
      <c r="A7550" s="222" t="s">
        <v>179</v>
      </c>
      <c r="B7550" s="222" t="s">
        <v>126</v>
      </c>
      <c r="C7550" s="236">
        <v>0.82499999999999996</v>
      </c>
      <c r="D7550" s="237">
        <v>0</v>
      </c>
      <c r="E7550" s="237">
        <v>0</v>
      </c>
      <c r="F7550" s="237">
        <v>0</v>
      </c>
      <c r="G7550" s="237">
        <v>0</v>
      </c>
      <c r="H7550" s="237">
        <v>0</v>
      </c>
      <c r="I7550" s="237">
        <v>0</v>
      </c>
      <c r="J7550" s="237">
        <v>0</v>
      </c>
    </row>
    <row r="7551" spans="1:10" s="225" customFormat="1">
      <c r="A7551" s="222" t="s">
        <v>179</v>
      </c>
      <c r="B7551" s="222" t="s">
        <v>126</v>
      </c>
      <c r="C7551" s="236">
        <v>0.82569444444444395</v>
      </c>
      <c r="D7551" s="237">
        <v>0</v>
      </c>
      <c r="E7551" s="237">
        <v>0</v>
      </c>
      <c r="F7551" s="237">
        <v>0</v>
      </c>
      <c r="G7551" s="237">
        <v>0</v>
      </c>
      <c r="H7551" s="237">
        <v>0</v>
      </c>
      <c r="I7551" s="237">
        <v>0</v>
      </c>
      <c r="J7551" s="237">
        <v>0</v>
      </c>
    </row>
    <row r="7552" spans="1:10" s="225" customFormat="1">
      <c r="A7552" s="222" t="s">
        <v>179</v>
      </c>
      <c r="B7552" s="222" t="s">
        <v>126</v>
      </c>
      <c r="C7552" s="236">
        <v>0.82638888888888895</v>
      </c>
      <c r="D7552" s="237">
        <v>0</v>
      </c>
      <c r="E7552" s="237">
        <v>0</v>
      </c>
      <c r="F7552" s="237">
        <v>0</v>
      </c>
      <c r="G7552" s="237">
        <v>0</v>
      </c>
      <c r="H7552" s="237">
        <v>0</v>
      </c>
      <c r="I7552" s="237">
        <v>0</v>
      </c>
      <c r="J7552" s="237">
        <v>0</v>
      </c>
    </row>
    <row r="7553" spans="1:10" s="225" customFormat="1">
      <c r="A7553" s="222" t="s">
        <v>179</v>
      </c>
      <c r="B7553" s="222" t="s">
        <v>126</v>
      </c>
      <c r="C7553" s="236">
        <v>0.82708333333333295</v>
      </c>
      <c r="D7553" s="237">
        <v>0</v>
      </c>
      <c r="E7553" s="237">
        <v>0</v>
      </c>
      <c r="F7553" s="237">
        <v>0</v>
      </c>
      <c r="G7553" s="237">
        <v>0</v>
      </c>
      <c r="H7553" s="237">
        <v>0</v>
      </c>
      <c r="I7553" s="237">
        <v>0</v>
      </c>
      <c r="J7553" s="237">
        <v>0</v>
      </c>
    </row>
    <row r="7554" spans="1:10" s="225" customFormat="1">
      <c r="A7554" s="222" t="s">
        <v>179</v>
      </c>
      <c r="B7554" s="222" t="s">
        <v>126</v>
      </c>
      <c r="C7554" s="236">
        <v>0.82777777777777795</v>
      </c>
      <c r="D7554" s="237">
        <v>0</v>
      </c>
      <c r="E7554" s="237">
        <v>0</v>
      </c>
      <c r="F7554" s="237">
        <v>0</v>
      </c>
      <c r="G7554" s="237">
        <v>0</v>
      </c>
      <c r="H7554" s="237">
        <v>0</v>
      </c>
      <c r="I7554" s="237">
        <v>0</v>
      </c>
      <c r="J7554" s="237">
        <v>0</v>
      </c>
    </row>
    <row r="7555" spans="1:10" s="225" customFormat="1">
      <c r="A7555" s="222" t="s">
        <v>179</v>
      </c>
      <c r="B7555" s="222" t="s">
        <v>126</v>
      </c>
      <c r="C7555" s="236">
        <v>0.82847222222222205</v>
      </c>
      <c r="D7555" s="237">
        <v>0</v>
      </c>
      <c r="E7555" s="237">
        <v>0</v>
      </c>
      <c r="F7555" s="237">
        <v>0</v>
      </c>
      <c r="G7555" s="237">
        <v>0</v>
      </c>
      <c r="H7555" s="237">
        <v>0</v>
      </c>
      <c r="I7555" s="237">
        <v>0</v>
      </c>
      <c r="J7555" s="237">
        <v>0</v>
      </c>
    </row>
    <row r="7556" spans="1:10" s="225" customFormat="1">
      <c r="A7556" s="222" t="s">
        <v>179</v>
      </c>
      <c r="B7556" s="222" t="s">
        <v>126</v>
      </c>
      <c r="C7556" s="236">
        <v>0.82916666666666605</v>
      </c>
      <c r="D7556" s="237">
        <v>0</v>
      </c>
      <c r="E7556" s="237">
        <v>0</v>
      </c>
      <c r="F7556" s="237">
        <v>0</v>
      </c>
      <c r="G7556" s="237">
        <v>0</v>
      </c>
      <c r="H7556" s="237">
        <v>0</v>
      </c>
      <c r="I7556" s="237">
        <v>0</v>
      </c>
      <c r="J7556" s="237">
        <v>0</v>
      </c>
    </row>
    <row r="7557" spans="1:10" s="225" customFormat="1">
      <c r="A7557" s="222" t="s">
        <v>179</v>
      </c>
      <c r="B7557" s="222" t="s">
        <v>126</v>
      </c>
      <c r="C7557" s="236">
        <v>0.82986111111111105</v>
      </c>
      <c r="D7557" s="237">
        <v>0</v>
      </c>
      <c r="E7557" s="237">
        <v>0</v>
      </c>
      <c r="F7557" s="237">
        <v>0</v>
      </c>
      <c r="G7557" s="237">
        <v>0</v>
      </c>
      <c r="H7557" s="237">
        <v>0</v>
      </c>
      <c r="I7557" s="237">
        <v>0</v>
      </c>
      <c r="J7557" s="237">
        <v>0</v>
      </c>
    </row>
    <row r="7558" spans="1:10" s="225" customFormat="1">
      <c r="A7558" s="222" t="s">
        <v>179</v>
      </c>
      <c r="B7558" s="222" t="s">
        <v>126</v>
      </c>
      <c r="C7558" s="236">
        <v>0.83055555555555505</v>
      </c>
      <c r="D7558" s="237">
        <v>0</v>
      </c>
      <c r="E7558" s="237">
        <v>0</v>
      </c>
      <c r="F7558" s="237">
        <v>0</v>
      </c>
      <c r="G7558" s="237">
        <v>0</v>
      </c>
      <c r="H7558" s="237">
        <v>0</v>
      </c>
      <c r="I7558" s="237">
        <v>0</v>
      </c>
      <c r="J7558" s="237">
        <v>0</v>
      </c>
    </row>
    <row r="7559" spans="1:10" s="225" customFormat="1">
      <c r="A7559" s="222" t="s">
        <v>179</v>
      </c>
      <c r="B7559" s="222" t="s">
        <v>126</v>
      </c>
      <c r="C7559" s="236">
        <v>0.83125000000000004</v>
      </c>
      <c r="D7559" s="237">
        <v>0</v>
      </c>
      <c r="E7559" s="237">
        <v>0</v>
      </c>
      <c r="F7559" s="237">
        <v>0</v>
      </c>
      <c r="G7559" s="237">
        <v>0</v>
      </c>
      <c r="H7559" s="237">
        <v>0</v>
      </c>
      <c r="I7559" s="237">
        <v>0</v>
      </c>
      <c r="J7559" s="237">
        <v>0</v>
      </c>
    </row>
    <row r="7560" spans="1:10" s="225" customFormat="1">
      <c r="A7560" s="222" t="s">
        <v>179</v>
      </c>
      <c r="B7560" s="222" t="s">
        <v>126</v>
      </c>
      <c r="C7560" s="236">
        <v>0.83194444444444404</v>
      </c>
      <c r="D7560" s="237">
        <v>0</v>
      </c>
      <c r="E7560" s="237">
        <v>0</v>
      </c>
      <c r="F7560" s="237">
        <v>0</v>
      </c>
      <c r="G7560" s="237">
        <v>0</v>
      </c>
      <c r="H7560" s="237">
        <v>0</v>
      </c>
      <c r="I7560" s="237">
        <v>0</v>
      </c>
      <c r="J7560" s="237">
        <v>0</v>
      </c>
    </row>
    <row r="7561" spans="1:10" s="235" customFormat="1" ht="17.5" thickBot="1">
      <c r="A7561" s="232" t="s">
        <v>179</v>
      </c>
      <c r="B7561" s="232" t="s">
        <v>126</v>
      </c>
      <c r="C7561" s="240">
        <v>0.83263888888888904</v>
      </c>
      <c r="D7561" s="241">
        <v>0</v>
      </c>
      <c r="E7561" s="241">
        <v>0</v>
      </c>
      <c r="F7561" s="241">
        <v>0</v>
      </c>
      <c r="G7561" s="241">
        <v>0</v>
      </c>
      <c r="H7561" s="241">
        <v>0</v>
      </c>
      <c r="I7561" s="241">
        <v>0</v>
      </c>
      <c r="J7561" s="241">
        <v>0</v>
      </c>
    </row>
  </sheetData>
  <autoFilter ref="A1:J1"/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6" tint="0.39997558519241921"/>
  </sheetPr>
  <dimension ref="A1:R63"/>
  <sheetViews>
    <sheetView workbookViewId="0"/>
  </sheetViews>
  <sheetFormatPr defaultColWidth="9" defaultRowHeight="15.5"/>
  <cols>
    <col min="1" max="1" width="12.36328125" style="7" bestFit="1" customWidth="1"/>
    <col min="2" max="2" width="23.7265625" style="7" bestFit="1" customWidth="1"/>
    <col min="3" max="5" width="17.6328125" style="7" customWidth="1"/>
    <col min="6" max="9" width="17.6328125" style="1" customWidth="1"/>
    <col min="10" max="12" width="16.26953125" style="1" bestFit="1" customWidth="1"/>
    <col min="13" max="17" width="9" style="1"/>
    <col min="18" max="18" width="9" style="1" hidden="1" customWidth="1"/>
    <col min="19" max="16384" width="9" style="1"/>
  </cols>
  <sheetData>
    <row r="1" spans="1:18" s="21" customFormat="1" ht="17">
      <c r="A1" s="18"/>
      <c r="B1" s="208"/>
      <c r="C1" s="19"/>
      <c r="D1" s="20"/>
      <c r="E1" s="20"/>
      <c r="F1" s="20"/>
      <c r="G1" s="20"/>
      <c r="H1" s="20"/>
      <c r="I1" s="20"/>
      <c r="J1" s="20"/>
    </row>
    <row r="2" spans="1:18" s="21" customFormat="1" ht="17">
      <c r="A2" s="209"/>
      <c r="B2" s="210"/>
      <c r="C2" s="19"/>
      <c r="D2" s="20"/>
      <c r="E2" s="20"/>
      <c r="F2" s="20"/>
      <c r="G2" s="20"/>
      <c r="H2" s="20"/>
      <c r="I2" s="20"/>
      <c r="J2" s="20"/>
    </row>
    <row r="3" spans="1:18" s="21" customFormat="1" ht="17">
      <c r="A3" s="18"/>
      <c r="B3" s="19"/>
      <c r="C3" s="19"/>
      <c r="D3" s="20"/>
      <c r="E3" s="20"/>
      <c r="F3" s="20"/>
      <c r="G3" s="20"/>
      <c r="H3" s="20"/>
      <c r="I3" s="20"/>
      <c r="J3" s="20"/>
    </row>
    <row r="4" spans="1:18" ht="15.75" customHeight="1">
      <c r="A4" s="23" t="s">
        <v>89</v>
      </c>
      <c r="B4" s="24"/>
    </row>
    <row r="5" spans="1:18" ht="15.75" customHeight="1">
      <c r="A5" s="7" t="s">
        <v>90</v>
      </c>
      <c r="B5" s="24"/>
      <c r="F5" s="12"/>
    </row>
    <row r="6" spans="1:18" ht="15.75" customHeight="1">
      <c r="R6" s="16" t="s">
        <v>21</v>
      </c>
    </row>
    <row r="7" spans="1:18" ht="15.75" customHeight="1">
      <c r="A7" s="7" t="s">
        <v>16</v>
      </c>
      <c r="B7" s="24"/>
      <c r="C7" s="15" t="s">
        <v>17</v>
      </c>
      <c r="R7" s="16" t="s">
        <v>22</v>
      </c>
    </row>
    <row r="8" spans="1:18" ht="15.75" customHeight="1">
      <c r="A8" s="7" t="s">
        <v>18</v>
      </c>
      <c r="B8" s="24"/>
      <c r="C8" s="12"/>
      <c r="D8" s="12"/>
      <c r="E8" s="10"/>
      <c r="F8" s="7"/>
      <c r="R8" s="16" t="s">
        <v>23</v>
      </c>
    </row>
    <row r="9" spans="1:18" ht="15.75" customHeight="1">
      <c r="A9" s="7" t="s">
        <v>19</v>
      </c>
      <c r="B9" s="24"/>
      <c r="C9" s="15" t="s">
        <v>20</v>
      </c>
      <c r="R9" s="16" t="s">
        <v>26</v>
      </c>
    </row>
    <row r="10" spans="1:18" ht="15.75" customHeight="1">
      <c r="R10" s="16" t="s">
        <v>28</v>
      </c>
    </row>
    <row r="11" spans="1:18" ht="15.75" customHeight="1">
      <c r="B11" s="74" t="s">
        <v>178</v>
      </c>
      <c r="C11" s="74" t="s">
        <v>99</v>
      </c>
      <c r="D11" s="75" t="s">
        <v>100</v>
      </c>
      <c r="E11" s="75" t="s">
        <v>166</v>
      </c>
      <c r="F11" s="74" t="s">
        <v>101</v>
      </c>
      <c r="G11" s="76" t="s">
        <v>102</v>
      </c>
      <c r="H11" s="76" t="s">
        <v>103</v>
      </c>
      <c r="I11" s="76" t="s">
        <v>105</v>
      </c>
      <c r="J11" s="76" t="s">
        <v>107</v>
      </c>
      <c r="K11" s="76" t="s">
        <v>108</v>
      </c>
      <c r="L11" s="76" t="s">
        <v>179</v>
      </c>
      <c r="R11" s="16" t="s">
        <v>29</v>
      </c>
    </row>
    <row r="12" spans="1:18" ht="15.75" customHeight="1">
      <c r="A12" s="7" t="s">
        <v>24</v>
      </c>
      <c r="B12" s="74" t="s">
        <v>180</v>
      </c>
      <c r="C12" s="25" t="s">
        <v>25</v>
      </c>
      <c r="D12" s="25" t="s">
        <v>25</v>
      </c>
      <c r="E12" s="25" t="s">
        <v>25</v>
      </c>
      <c r="F12" s="25" t="s">
        <v>25</v>
      </c>
      <c r="G12" s="77" t="s">
        <v>25</v>
      </c>
      <c r="H12" s="77" t="s">
        <v>25</v>
      </c>
      <c r="I12" s="77" t="s">
        <v>25</v>
      </c>
      <c r="J12" s="77" t="s">
        <v>25</v>
      </c>
      <c r="K12" s="77" t="s">
        <v>25</v>
      </c>
      <c r="L12" s="76" t="s">
        <v>180</v>
      </c>
      <c r="R12" s="16" t="s">
        <v>30</v>
      </c>
    </row>
    <row r="13" spans="1:18" ht="15.75" customHeight="1">
      <c r="A13" s="7" t="s">
        <v>27</v>
      </c>
      <c r="B13" s="74"/>
      <c r="C13" s="26"/>
      <c r="D13" s="26"/>
      <c r="E13" s="26"/>
      <c r="F13" s="27"/>
      <c r="G13" s="78"/>
      <c r="H13" s="78"/>
      <c r="I13" s="78"/>
      <c r="J13" s="79"/>
      <c r="K13" s="79"/>
      <c r="L13" s="76"/>
      <c r="R13" s="16"/>
    </row>
    <row r="14" spans="1:18" ht="15.75" customHeight="1">
      <c r="B14" s="10"/>
      <c r="C14" s="10"/>
      <c r="D14" s="10"/>
      <c r="E14" s="1"/>
      <c r="R14" s="16" t="s">
        <v>32</v>
      </c>
    </row>
    <row r="15" spans="1:18" ht="15.75" customHeight="1">
      <c r="F15" s="10"/>
      <c r="G15" s="10"/>
    </row>
    <row r="16" spans="1:18" ht="15.75" customHeight="1">
      <c r="A16" s="7" t="s">
        <v>31</v>
      </c>
      <c r="B16" s="7" t="s">
        <v>176</v>
      </c>
    </row>
    <row r="17" spans="1:8" ht="15.75" customHeight="1"/>
    <row r="18" spans="1:8" ht="15.75" customHeight="1">
      <c r="A18" s="7" t="s">
        <v>33</v>
      </c>
      <c r="B18" s="10" t="s">
        <v>34</v>
      </c>
      <c r="C18" s="10" t="s">
        <v>35</v>
      </c>
      <c r="D18" s="10" t="s">
        <v>36</v>
      </c>
      <c r="E18" s="10" t="s">
        <v>37</v>
      </c>
      <c r="F18" s="10" t="s">
        <v>124</v>
      </c>
      <c r="G18" s="10" t="s">
        <v>126</v>
      </c>
    </row>
    <row r="19" spans="1:8">
      <c r="A19" s="7" t="s">
        <v>38</v>
      </c>
      <c r="B19" s="26"/>
      <c r="C19" s="26"/>
      <c r="D19" s="26"/>
      <c r="E19" s="26"/>
      <c r="F19" s="26"/>
      <c r="G19" s="26"/>
    </row>
    <row r="20" spans="1:8" ht="15.75" customHeight="1">
      <c r="A20" s="7" t="s">
        <v>39</v>
      </c>
      <c r="B20" s="26"/>
      <c r="C20" s="26"/>
      <c r="D20" s="26"/>
      <c r="E20" s="26"/>
      <c r="F20" s="26"/>
      <c r="G20" s="26"/>
    </row>
    <row r="21" spans="1:8" ht="15.75" customHeight="1">
      <c r="A21" s="7" t="s">
        <v>40</v>
      </c>
      <c r="B21" s="27" t="s">
        <v>41</v>
      </c>
      <c r="C21" s="27" t="s">
        <v>41</v>
      </c>
      <c r="D21" s="27" t="s">
        <v>41</v>
      </c>
      <c r="E21" s="27" t="s">
        <v>41</v>
      </c>
      <c r="F21" s="27" t="s">
        <v>41</v>
      </c>
      <c r="G21" s="27" t="s">
        <v>41</v>
      </c>
    </row>
    <row r="22" spans="1:8" ht="15.75" customHeight="1">
      <c r="G22" s="9"/>
      <c r="H22" s="9"/>
    </row>
    <row r="23" spans="1:8" ht="15.75" customHeight="1"/>
    <row r="25" spans="1:8">
      <c r="A25" s="7" t="s">
        <v>42</v>
      </c>
    </row>
    <row r="26" spans="1:8">
      <c r="B26" s="1"/>
      <c r="C26" s="17">
        <f>F20</f>
        <v>0</v>
      </c>
      <c r="E26" s="17">
        <f>G20</f>
        <v>0</v>
      </c>
    </row>
    <row r="27" spans="1:8">
      <c r="B27" s="1"/>
      <c r="C27" s="2" t="s">
        <v>124</v>
      </c>
      <c r="E27" s="2" t="s">
        <v>126</v>
      </c>
    </row>
    <row r="28" spans="1:8">
      <c r="B28" s="1"/>
      <c r="C28" s="2"/>
      <c r="E28" s="2"/>
    </row>
    <row r="29" spans="1:8">
      <c r="B29" s="3"/>
      <c r="C29" s="4"/>
      <c r="D29" s="5"/>
      <c r="E29" s="5"/>
      <c r="F29" s="3"/>
    </row>
    <row r="30" spans="1:8">
      <c r="A30" s="17">
        <f>E20</f>
        <v>0</v>
      </c>
      <c r="B30" s="4" t="s">
        <v>14</v>
      </c>
      <c r="C30" s="5"/>
      <c r="D30" s="5"/>
      <c r="E30" s="5"/>
      <c r="F30" s="4" t="s">
        <v>34</v>
      </c>
      <c r="G30" s="17">
        <f>B20</f>
        <v>0</v>
      </c>
    </row>
    <row r="31" spans="1:8">
      <c r="B31" s="6"/>
      <c r="C31" s="4"/>
      <c r="D31" s="168"/>
      <c r="E31" s="5"/>
      <c r="F31" s="6"/>
    </row>
    <row r="32" spans="1:8">
      <c r="B32" s="1"/>
      <c r="C32" s="2"/>
      <c r="D32" s="1"/>
      <c r="E32" s="2"/>
    </row>
    <row r="33" spans="2:5">
      <c r="B33" s="1"/>
      <c r="C33" s="2" t="s">
        <v>13</v>
      </c>
      <c r="D33" s="1"/>
      <c r="E33" s="2" t="s">
        <v>35</v>
      </c>
    </row>
    <row r="34" spans="2:5">
      <c r="B34" s="1"/>
      <c r="C34" s="17">
        <f>D20</f>
        <v>0</v>
      </c>
      <c r="D34" s="1"/>
      <c r="E34" s="17">
        <f>C20</f>
        <v>0</v>
      </c>
    </row>
    <row r="39" spans="2:5" ht="17.25" customHeight="1"/>
    <row r="42" spans="2:5" ht="16.75" customHeight="1"/>
    <row r="45" spans="2:5" ht="17.25" customHeight="1"/>
    <row r="63" ht="17.25" customHeight="1"/>
  </sheetData>
  <phoneticPr fontId="20" type="noConversion"/>
  <conditionalFormatting sqref="B19:G21">
    <cfRule type="expression" dxfId="1" priority="1" stopIfTrue="1">
      <formula>COUNTA(B$15)&lt;&gt;0</formula>
    </cfRule>
    <cfRule type="expression" dxfId="0" priority="2" stopIfTrue="1">
      <formula>COUNTA(B$19)&lt;&gt;0</formula>
    </cfRule>
  </conditionalFormatting>
  <dataValidations count="1">
    <dataValidation type="list" allowBlank="1" showInputMessage="1" showErrorMessage="1" sqref="B20:G20">
      <formula1>$R$6:$R$14</formula1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BA155"/>
  <sheetViews>
    <sheetView zoomScale="70" zoomScaleNormal="70" zoomScaleSheetLayoutView="70" workbookViewId="0">
      <pane ySplit="2" topLeftCell="A3" activePane="bottomLeft" state="frozen"/>
      <selection activeCell="E159" sqref="E159"/>
      <selection pane="bottomLeft" sqref="A1:H1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44" width="10.08984375" style="1"/>
    <col min="45" max="45" width="2.08984375" style="1" customWidth="1"/>
    <col min="46" max="16384" width="10.08984375" style="1"/>
  </cols>
  <sheetData>
    <row r="1" spans="1:53" s="11" customFormat="1" ht="18.5" thickBot="1">
      <c r="A1" s="254" t="str">
        <f>基本資料!B11</f>
        <v>平日晨峰(0630-0830)</v>
      </c>
      <c r="B1" s="255"/>
      <c r="C1" s="255"/>
      <c r="D1" s="255"/>
      <c r="E1" s="255"/>
      <c r="F1" s="255"/>
      <c r="G1" s="255"/>
      <c r="H1" s="256"/>
      <c r="J1" s="254" t="str">
        <f>基本資料!B11</f>
        <v>平日晨峰(0630-0830)</v>
      </c>
      <c r="K1" s="255"/>
      <c r="L1" s="255"/>
      <c r="M1" s="255"/>
      <c r="N1" s="255"/>
      <c r="O1" s="255"/>
      <c r="P1" s="255"/>
      <c r="Q1" s="256"/>
      <c r="S1" s="254" t="str">
        <f>基本資料!B11</f>
        <v>平日晨峰(0630-0830)</v>
      </c>
      <c r="T1" s="255"/>
      <c r="U1" s="255"/>
      <c r="V1" s="255"/>
      <c r="W1" s="255"/>
      <c r="X1" s="255"/>
      <c r="Y1" s="255"/>
      <c r="Z1" s="256"/>
      <c r="AB1" s="254" t="str">
        <f>基本資料!B11</f>
        <v>平日晨峰(0630-0830)</v>
      </c>
      <c r="AC1" s="255"/>
      <c r="AD1" s="255"/>
      <c r="AE1" s="255"/>
      <c r="AF1" s="255"/>
      <c r="AG1" s="255"/>
      <c r="AH1" s="255"/>
      <c r="AI1" s="256"/>
      <c r="AK1" s="254" t="str">
        <f>基本資料!B11</f>
        <v>平日晨峰(0630-0830)</v>
      </c>
      <c r="AL1" s="255"/>
      <c r="AM1" s="255"/>
      <c r="AN1" s="255"/>
      <c r="AO1" s="255"/>
      <c r="AP1" s="255"/>
      <c r="AQ1" s="255"/>
      <c r="AR1" s="256"/>
      <c r="AT1" s="254" t="str">
        <f>基本資料!B11</f>
        <v>平日晨峰(0630-0830)</v>
      </c>
      <c r="AU1" s="255"/>
      <c r="AV1" s="255"/>
      <c r="AW1" s="255"/>
      <c r="AX1" s="255"/>
      <c r="AY1" s="255"/>
      <c r="AZ1" s="255"/>
      <c r="BA1" s="256"/>
    </row>
    <row r="2" spans="1:53" ht="18.5" thickBot="1">
      <c r="A2" s="251" t="str">
        <f>CONCATENATE(基本資料!B18,"方向：",基本資料!B19,基本資料!B20)</f>
        <v>A方向：</v>
      </c>
      <c r="B2" s="252"/>
      <c r="C2" s="252"/>
      <c r="D2" s="252"/>
      <c r="E2" s="252"/>
      <c r="F2" s="252"/>
      <c r="G2" s="252"/>
      <c r="H2" s="253"/>
      <c r="I2" s="1"/>
      <c r="J2" s="251" t="str">
        <f>CONCATENATE(基本資料!C18,"方向：",基本資料!C19,基本資料!C20)</f>
        <v>B方向：</v>
      </c>
      <c r="K2" s="252"/>
      <c r="L2" s="252"/>
      <c r="M2" s="252"/>
      <c r="N2" s="252"/>
      <c r="O2" s="252"/>
      <c r="P2" s="252"/>
      <c r="Q2" s="253"/>
      <c r="R2" s="1"/>
      <c r="S2" s="251" t="str">
        <f>CONCATENATE(基本資料!D18,"方向：",基本資料!D19,基本資料!D20)</f>
        <v>C方向：</v>
      </c>
      <c r="T2" s="252"/>
      <c r="U2" s="252"/>
      <c r="V2" s="252"/>
      <c r="W2" s="252"/>
      <c r="X2" s="252"/>
      <c r="Y2" s="252"/>
      <c r="Z2" s="253"/>
      <c r="AA2" s="1"/>
      <c r="AB2" s="251" t="str">
        <f>CONCATENATE(基本資料!E18,"方向：",基本資料!E19,基本資料!E20)</f>
        <v>D方向：</v>
      </c>
      <c r="AC2" s="252"/>
      <c r="AD2" s="252"/>
      <c r="AE2" s="252"/>
      <c r="AF2" s="252"/>
      <c r="AG2" s="252"/>
      <c r="AH2" s="252"/>
      <c r="AI2" s="253"/>
      <c r="AJ2" s="1"/>
      <c r="AK2" s="251" t="str">
        <f>CONCATENATE(基本資料!F18,"方向：",基本資料!F19,基本資料!F20)</f>
        <v>E方向：</v>
      </c>
      <c r="AL2" s="252"/>
      <c r="AM2" s="252"/>
      <c r="AN2" s="252"/>
      <c r="AO2" s="252"/>
      <c r="AP2" s="252"/>
      <c r="AQ2" s="252"/>
      <c r="AR2" s="253"/>
      <c r="AT2" s="251" t="str">
        <f>CONCATENATE(基本資料!G18,"方向：",基本資料!G19,基本資料!G20)</f>
        <v>F方向：</v>
      </c>
      <c r="AU2" s="252"/>
      <c r="AV2" s="252"/>
      <c r="AW2" s="252"/>
      <c r="AX2" s="252"/>
      <c r="AY2" s="252"/>
      <c r="AZ2" s="252"/>
      <c r="BA2" s="253"/>
    </row>
    <row r="3" spans="1:53" ht="18.5" customHeight="1" thickBot="1">
      <c r="A3" s="248" t="s">
        <v>181</v>
      </c>
      <c r="B3" s="249"/>
      <c r="C3" s="249"/>
      <c r="D3" s="249"/>
      <c r="E3" s="249"/>
      <c r="F3" s="249"/>
      <c r="G3" s="249"/>
      <c r="H3" s="250"/>
      <c r="I3" s="13"/>
      <c r="J3" s="248" t="s">
        <v>181</v>
      </c>
      <c r="K3" s="249"/>
      <c r="L3" s="249"/>
      <c r="M3" s="249"/>
      <c r="N3" s="249"/>
      <c r="O3" s="249"/>
      <c r="P3" s="249"/>
      <c r="Q3" s="250"/>
      <c r="R3" s="13"/>
      <c r="S3" s="248" t="s">
        <v>181</v>
      </c>
      <c r="T3" s="249"/>
      <c r="U3" s="249"/>
      <c r="V3" s="249"/>
      <c r="W3" s="249"/>
      <c r="X3" s="249"/>
      <c r="Y3" s="249"/>
      <c r="Z3" s="250"/>
      <c r="AA3" s="13"/>
      <c r="AB3" s="248" t="s">
        <v>181</v>
      </c>
      <c r="AC3" s="249"/>
      <c r="AD3" s="249"/>
      <c r="AE3" s="249"/>
      <c r="AF3" s="249"/>
      <c r="AG3" s="249"/>
      <c r="AH3" s="249"/>
      <c r="AI3" s="250"/>
      <c r="AJ3" s="13"/>
      <c r="AK3" s="248" t="s">
        <v>181</v>
      </c>
      <c r="AL3" s="249"/>
      <c r="AM3" s="249"/>
      <c r="AN3" s="249"/>
      <c r="AO3" s="249"/>
      <c r="AP3" s="249"/>
      <c r="AQ3" s="249"/>
      <c r="AR3" s="250"/>
      <c r="AT3" s="248" t="s">
        <v>181</v>
      </c>
      <c r="AU3" s="249"/>
      <c r="AV3" s="249"/>
      <c r="AW3" s="249"/>
      <c r="AX3" s="249"/>
      <c r="AY3" s="249"/>
      <c r="AZ3" s="249"/>
      <c r="BA3" s="250"/>
    </row>
    <row r="4" spans="1:53" ht="17.25" customHeight="1" thickBot="1">
      <c r="A4" s="31" t="s">
        <v>2</v>
      </c>
      <c r="B4" s="32" t="s">
        <v>44</v>
      </c>
      <c r="C4" s="33"/>
      <c r="D4" s="33"/>
      <c r="E4" s="34"/>
      <c r="F4" s="32" t="s">
        <v>45</v>
      </c>
      <c r="G4" s="33"/>
      <c r="H4" s="34"/>
      <c r="I4" s="35"/>
      <c r="J4" s="31" t="s">
        <v>2</v>
      </c>
      <c r="K4" s="32" t="s">
        <v>46</v>
      </c>
      <c r="L4" s="33"/>
      <c r="M4" s="33"/>
      <c r="N4" s="34"/>
      <c r="O4" s="32" t="s">
        <v>47</v>
      </c>
      <c r="P4" s="33"/>
      <c r="Q4" s="34"/>
      <c r="R4" s="35"/>
      <c r="S4" s="31" t="s">
        <v>2</v>
      </c>
      <c r="T4" s="32" t="s">
        <v>46</v>
      </c>
      <c r="U4" s="33"/>
      <c r="V4" s="33"/>
      <c r="W4" s="34"/>
      <c r="X4" s="32" t="s">
        <v>47</v>
      </c>
      <c r="Y4" s="33"/>
      <c r="Z4" s="34"/>
      <c r="AA4" s="35"/>
      <c r="AB4" s="31" t="s">
        <v>2</v>
      </c>
      <c r="AC4" s="32" t="s">
        <v>46</v>
      </c>
      <c r="AD4" s="33"/>
      <c r="AE4" s="33"/>
      <c r="AF4" s="34"/>
      <c r="AG4" s="32" t="s">
        <v>47</v>
      </c>
      <c r="AH4" s="33"/>
      <c r="AI4" s="34"/>
      <c r="AJ4" s="13"/>
      <c r="AK4" s="31" t="s">
        <v>2</v>
      </c>
      <c r="AL4" s="32" t="s">
        <v>46</v>
      </c>
      <c r="AM4" s="33"/>
      <c r="AN4" s="33"/>
      <c r="AO4" s="34"/>
      <c r="AP4" s="32" t="s">
        <v>47</v>
      </c>
      <c r="AQ4" s="33"/>
      <c r="AR4" s="34"/>
      <c r="AT4" s="31" t="s">
        <v>2</v>
      </c>
      <c r="AU4" s="32" t="s">
        <v>46</v>
      </c>
      <c r="AV4" s="33"/>
      <c r="AW4" s="33"/>
      <c r="AX4" s="34"/>
      <c r="AY4" s="32" t="s">
        <v>47</v>
      </c>
      <c r="AZ4" s="33"/>
      <c r="BA4" s="34"/>
    </row>
    <row r="5" spans="1:53" ht="16" thickBot="1">
      <c r="A5" s="36">
        <v>0.27083333333333331</v>
      </c>
      <c r="B5" s="37" t="s">
        <v>49</v>
      </c>
      <c r="C5" s="37" t="s">
        <v>50</v>
      </c>
      <c r="D5" s="37" t="s">
        <v>51</v>
      </c>
      <c r="E5" s="37" t="s">
        <v>52</v>
      </c>
      <c r="F5" s="37" t="s">
        <v>53</v>
      </c>
      <c r="G5" s="37" t="s">
        <v>54</v>
      </c>
      <c r="H5" s="37" t="s">
        <v>55</v>
      </c>
      <c r="I5" s="35"/>
      <c r="J5" s="36">
        <v>0.27083333333333331</v>
      </c>
      <c r="K5" s="37" t="s">
        <v>49</v>
      </c>
      <c r="L5" s="37" t="s">
        <v>50</v>
      </c>
      <c r="M5" s="37" t="s">
        <v>51</v>
      </c>
      <c r="N5" s="37" t="s">
        <v>52</v>
      </c>
      <c r="O5" s="37" t="s">
        <v>53</v>
      </c>
      <c r="P5" s="37" t="s">
        <v>54</v>
      </c>
      <c r="Q5" s="37" t="s">
        <v>55</v>
      </c>
      <c r="R5" s="35"/>
      <c r="S5" s="36">
        <v>0.27083333333333331</v>
      </c>
      <c r="T5" s="37" t="s">
        <v>49</v>
      </c>
      <c r="U5" s="37" t="s">
        <v>50</v>
      </c>
      <c r="V5" s="37" t="s">
        <v>51</v>
      </c>
      <c r="W5" s="37" t="s">
        <v>52</v>
      </c>
      <c r="X5" s="37" t="s">
        <v>53</v>
      </c>
      <c r="Y5" s="37" t="s">
        <v>54</v>
      </c>
      <c r="Z5" s="37" t="s">
        <v>55</v>
      </c>
      <c r="AA5" s="35"/>
      <c r="AB5" s="36">
        <v>0.27083333333333331</v>
      </c>
      <c r="AC5" s="37" t="s">
        <v>49</v>
      </c>
      <c r="AD5" s="37" t="s">
        <v>50</v>
      </c>
      <c r="AE5" s="37" t="s">
        <v>51</v>
      </c>
      <c r="AF5" s="37" t="s">
        <v>52</v>
      </c>
      <c r="AG5" s="37" t="s">
        <v>53</v>
      </c>
      <c r="AH5" s="37" t="s">
        <v>54</v>
      </c>
      <c r="AI5" s="37" t="s">
        <v>55</v>
      </c>
      <c r="AJ5" s="13"/>
      <c r="AK5" s="36">
        <v>0.27083333333333331</v>
      </c>
      <c r="AL5" s="37" t="s">
        <v>49</v>
      </c>
      <c r="AM5" s="37" t="s">
        <v>50</v>
      </c>
      <c r="AN5" s="37" t="s">
        <v>51</v>
      </c>
      <c r="AO5" s="37" t="s">
        <v>52</v>
      </c>
      <c r="AP5" s="37" t="s">
        <v>53</v>
      </c>
      <c r="AQ5" s="37" t="s">
        <v>54</v>
      </c>
      <c r="AR5" s="37" t="s">
        <v>55</v>
      </c>
      <c r="AT5" s="36">
        <v>0.27083333333333331</v>
      </c>
      <c r="AU5" s="37" t="s">
        <v>49</v>
      </c>
      <c r="AV5" s="37" t="s">
        <v>50</v>
      </c>
      <c r="AW5" s="37" t="s">
        <v>51</v>
      </c>
      <c r="AX5" s="37" t="s">
        <v>52</v>
      </c>
      <c r="AY5" s="37" t="s">
        <v>53</v>
      </c>
      <c r="AZ5" s="37" t="s">
        <v>54</v>
      </c>
      <c r="BA5" s="37" t="s">
        <v>55</v>
      </c>
    </row>
    <row r="6" spans="1:53" ht="16" thickBot="1">
      <c r="A6" s="38">
        <v>31</v>
      </c>
      <c r="B6" s="39">
        <f>資料儲存!D2</f>
        <v>0</v>
      </c>
      <c r="C6" s="39">
        <f>資料儲存!E2</f>
        <v>0</v>
      </c>
      <c r="D6" s="39">
        <f>資料儲存!F2</f>
        <v>0</v>
      </c>
      <c r="E6" s="39">
        <f>資料儲存!G2</f>
        <v>0</v>
      </c>
      <c r="F6" s="39">
        <f>資料儲存!H2</f>
        <v>0</v>
      </c>
      <c r="G6" s="39">
        <f>資料儲存!I2</f>
        <v>0</v>
      </c>
      <c r="H6" s="39">
        <f>資料儲存!J2</f>
        <v>0</v>
      </c>
      <c r="I6" s="35"/>
      <c r="J6" s="38">
        <v>31</v>
      </c>
      <c r="K6" s="39">
        <f>資料儲存!D122</f>
        <v>0</v>
      </c>
      <c r="L6" s="39">
        <f>資料儲存!E122</f>
        <v>0</v>
      </c>
      <c r="M6" s="39">
        <f>資料儲存!F122</f>
        <v>0</v>
      </c>
      <c r="N6" s="39">
        <f>資料儲存!G122</f>
        <v>0</v>
      </c>
      <c r="O6" s="39">
        <f>資料儲存!H122</f>
        <v>0</v>
      </c>
      <c r="P6" s="39">
        <f>資料儲存!I122</f>
        <v>0</v>
      </c>
      <c r="Q6" s="39">
        <f>資料儲存!J122</f>
        <v>0</v>
      </c>
      <c r="R6" s="35"/>
      <c r="S6" s="38">
        <v>31</v>
      </c>
      <c r="T6" s="39">
        <f>資料儲存!D242</f>
        <v>0</v>
      </c>
      <c r="U6" s="39">
        <f>資料儲存!E242</f>
        <v>0</v>
      </c>
      <c r="V6" s="39">
        <f>資料儲存!F242</f>
        <v>0</v>
      </c>
      <c r="W6" s="39">
        <f>資料儲存!G242</f>
        <v>0</v>
      </c>
      <c r="X6" s="39">
        <f>資料儲存!H242</f>
        <v>0</v>
      </c>
      <c r="Y6" s="39">
        <f>資料儲存!I242</f>
        <v>0</v>
      </c>
      <c r="Z6" s="39">
        <f>資料儲存!J242</f>
        <v>0</v>
      </c>
      <c r="AA6" s="35"/>
      <c r="AB6" s="38">
        <v>31</v>
      </c>
      <c r="AC6" s="39">
        <f>資料儲存!D362</f>
        <v>0</v>
      </c>
      <c r="AD6" s="39">
        <f>資料儲存!E362</f>
        <v>0</v>
      </c>
      <c r="AE6" s="39">
        <f>資料儲存!F362</f>
        <v>0</v>
      </c>
      <c r="AF6" s="39">
        <f>資料儲存!G362</f>
        <v>0</v>
      </c>
      <c r="AG6" s="39">
        <f>資料儲存!H362</f>
        <v>0</v>
      </c>
      <c r="AH6" s="39">
        <f>資料儲存!I362</f>
        <v>0</v>
      </c>
      <c r="AI6" s="39">
        <f>資料儲存!J362</f>
        <v>0</v>
      </c>
      <c r="AJ6" s="13"/>
      <c r="AK6" s="38">
        <v>31</v>
      </c>
      <c r="AL6" s="39">
        <f>資料儲存!D482</f>
        <v>0</v>
      </c>
      <c r="AM6" s="39">
        <f>資料儲存!E482</f>
        <v>0</v>
      </c>
      <c r="AN6" s="39">
        <f>資料儲存!F482</f>
        <v>0</v>
      </c>
      <c r="AO6" s="39">
        <f>資料儲存!G482</f>
        <v>0</v>
      </c>
      <c r="AP6" s="39">
        <f>資料儲存!H482</f>
        <v>0</v>
      </c>
      <c r="AQ6" s="39">
        <f>資料儲存!I482</f>
        <v>0</v>
      </c>
      <c r="AR6" s="39">
        <f>資料儲存!J482</f>
        <v>0</v>
      </c>
      <c r="AT6" s="38">
        <v>31</v>
      </c>
      <c r="AU6" s="39">
        <f>資料儲存!D602</f>
        <v>0</v>
      </c>
      <c r="AV6" s="39">
        <f>資料儲存!E602</f>
        <v>0</v>
      </c>
      <c r="AW6" s="39">
        <f>資料儲存!F602</f>
        <v>0</v>
      </c>
      <c r="AX6" s="39">
        <f>資料儲存!G602</f>
        <v>0</v>
      </c>
      <c r="AY6" s="39">
        <f>資料儲存!H602</f>
        <v>0</v>
      </c>
      <c r="AZ6" s="39">
        <f>資料儲存!I602</f>
        <v>0</v>
      </c>
      <c r="BA6" s="39">
        <f>資料儲存!J602</f>
        <v>0</v>
      </c>
    </row>
    <row r="7" spans="1:53" ht="16" thickBot="1">
      <c r="A7" s="38">
        <v>32</v>
      </c>
      <c r="B7" s="39">
        <f>資料儲存!D3</f>
        <v>0</v>
      </c>
      <c r="C7" s="39">
        <f>資料儲存!E3</f>
        <v>0</v>
      </c>
      <c r="D7" s="39">
        <f>資料儲存!F3</f>
        <v>0</v>
      </c>
      <c r="E7" s="39">
        <f>資料儲存!G3</f>
        <v>0</v>
      </c>
      <c r="F7" s="39">
        <f>資料儲存!H3</f>
        <v>0</v>
      </c>
      <c r="G7" s="39">
        <f>資料儲存!I3</f>
        <v>0</v>
      </c>
      <c r="H7" s="39">
        <f>資料儲存!J3</f>
        <v>0</v>
      </c>
      <c r="I7" s="35"/>
      <c r="J7" s="38">
        <v>32</v>
      </c>
      <c r="K7" s="39">
        <f>資料儲存!D123</f>
        <v>0</v>
      </c>
      <c r="L7" s="39">
        <f>資料儲存!E123</f>
        <v>0</v>
      </c>
      <c r="M7" s="39">
        <f>資料儲存!F123</f>
        <v>0</v>
      </c>
      <c r="N7" s="39">
        <f>資料儲存!G123</f>
        <v>0</v>
      </c>
      <c r="O7" s="39">
        <f>資料儲存!H123</f>
        <v>0</v>
      </c>
      <c r="P7" s="39">
        <f>資料儲存!I123</f>
        <v>0</v>
      </c>
      <c r="Q7" s="39">
        <f>資料儲存!J123</f>
        <v>0</v>
      </c>
      <c r="R7" s="35"/>
      <c r="S7" s="38">
        <v>32</v>
      </c>
      <c r="T7" s="39">
        <f>資料儲存!D243</f>
        <v>0</v>
      </c>
      <c r="U7" s="39">
        <f>資料儲存!E243</f>
        <v>0</v>
      </c>
      <c r="V7" s="39">
        <f>資料儲存!F243</f>
        <v>0</v>
      </c>
      <c r="W7" s="39">
        <f>資料儲存!G243</f>
        <v>0</v>
      </c>
      <c r="X7" s="39">
        <f>資料儲存!H243</f>
        <v>0</v>
      </c>
      <c r="Y7" s="39">
        <f>資料儲存!I243</f>
        <v>0</v>
      </c>
      <c r="Z7" s="39">
        <f>資料儲存!J243</f>
        <v>0</v>
      </c>
      <c r="AA7" s="35"/>
      <c r="AB7" s="38">
        <v>32</v>
      </c>
      <c r="AC7" s="39">
        <f>資料儲存!D363</f>
        <v>0</v>
      </c>
      <c r="AD7" s="39">
        <f>資料儲存!E363</f>
        <v>0</v>
      </c>
      <c r="AE7" s="39">
        <f>資料儲存!F363</f>
        <v>0</v>
      </c>
      <c r="AF7" s="39">
        <f>資料儲存!G363</f>
        <v>0</v>
      </c>
      <c r="AG7" s="39">
        <f>資料儲存!H363</f>
        <v>0</v>
      </c>
      <c r="AH7" s="39">
        <f>資料儲存!I363</f>
        <v>0</v>
      </c>
      <c r="AI7" s="39">
        <f>資料儲存!J363</f>
        <v>0</v>
      </c>
      <c r="AJ7" s="13"/>
      <c r="AK7" s="38">
        <v>32</v>
      </c>
      <c r="AL7" s="39">
        <f>資料儲存!D483</f>
        <v>0</v>
      </c>
      <c r="AM7" s="39">
        <f>資料儲存!E483</f>
        <v>0</v>
      </c>
      <c r="AN7" s="39">
        <f>資料儲存!F483</f>
        <v>0</v>
      </c>
      <c r="AO7" s="39">
        <f>資料儲存!G483</f>
        <v>0</v>
      </c>
      <c r="AP7" s="39">
        <f>資料儲存!H483</f>
        <v>0</v>
      </c>
      <c r="AQ7" s="39">
        <f>資料儲存!I483</f>
        <v>0</v>
      </c>
      <c r="AR7" s="39">
        <f>資料儲存!J483</f>
        <v>0</v>
      </c>
      <c r="AT7" s="38">
        <v>32</v>
      </c>
      <c r="AU7" s="39">
        <f>資料儲存!D603</f>
        <v>0</v>
      </c>
      <c r="AV7" s="39">
        <f>資料儲存!E603</f>
        <v>0</v>
      </c>
      <c r="AW7" s="39">
        <f>資料儲存!F603</f>
        <v>0</v>
      </c>
      <c r="AX7" s="39">
        <f>資料儲存!G603</f>
        <v>0</v>
      </c>
      <c r="AY7" s="39">
        <f>資料儲存!H603</f>
        <v>0</v>
      </c>
      <c r="AZ7" s="39">
        <f>資料儲存!I603</f>
        <v>0</v>
      </c>
      <c r="BA7" s="39">
        <f>資料儲存!J603</f>
        <v>0</v>
      </c>
    </row>
    <row r="8" spans="1:53" ht="16" thickBot="1">
      <c r="A8" s="38">
        <v>33</v>
      </c>
      <c r="B8" s="39">
        <f>資料儲存!D4</f>
        <v>0</v>
      </c>
      <c r="C8" s="39">
        <f>資料儲存!E4</f>
        <v>0</v>
      </c>
      <c r="D8" s="39">
        <f>資料儲存!F4</f>
        <v>0</v>
      </c>
      <c r="E8" s="39">
        <f>資料儲存!G4</f>
        <v>0</v>
      </c>
      <c r="F8" s="39">
        <f>資料儲存!H4</f>
        <v>0</v>
      </c>
      <c r="G8" s="39">
        <f>資料儲存!I4</f>
        <v>0</v>
      </c>
      <c r="H8" s="39">
        <f>資料儲存!J4</f>
        <v>0</v>
      </c>
      <c r="I8" s="35"/>
      <c r="J8" s="38">
        <v>33</v>
      </c>
      <c r="K8" s="39">
        <f>資料儲存!D124</f>
        <v>0</v>
      </c>
      <c r="L8" s="39">
        <f>資料儲存!E124</f>
        <v>0</v>
      </c>
      <c r="M8" s="39">
        <f>資料儲存!F124</f>
        <v>0</v>
      </c>
      <c r="N8" s="39">
        <f>資料儲存!G124</f>
        <v>0</v>
      </c>
      <c r="O8" s="39">
        <f>資料儲存!H124</f>
        <v>0</v>
      </c>
      <c r="P8" s="39">
        <f>資料儲存!I124</f>
        <v>0</v>
      </c>
      <c r="Q8" s="39">
        <f>資料儲存!J124</f>
        <v>0</v>
      </c>
      <c r="R8" s="35"/>
      <c r="S8" s="38">
        <v>33</v>
      </c>
      <c r="T8" s="39">
        <f>資料儲存!D244</f>
        <v>0</v>
      </c>
      <c r="U8" s="39">
        <f>資料儲存!E244</f>
        <v>0</v>
      </c>
      <c r="V8" s="39">
        <f>資料儲存!F244</f>
        <v>0</v>
      </c>
      <c r="W8" s="39">
        <f>資料儲存!G244</f>
        <v>0</v>
      </c>
      <c r="X8" s="39">
        <f>資料儲存!H244</f>
        <v>0</v>
      </c>
      <c r="Y8" s="39">
        <f>資料儲存!I244</f>
        <v>0</v>
      </c>
      <c r="Z8" s="39">
        <f>資料儲存!J244</f>
        <v>0</v>
      </c>
      <c r="AA8" s="35"/>
      <c r="AB8" s="38">
        <v>33</v>
      </c>
      <c r="AC8" s="39">
        <f>資料儲存!D364</f>
        <v>0</v>
      </c>
      <c r="AD8" s="39">
        <f>資料儲存!E364</f>
        <v>0</v>
      </c>
      <c r="AE8" s="39">
        <f>資料儲存!F364</f>
        <v>0</v>
      </c>
      <c r="AF8" s="39">
        <f>資料儲存!G364</f>
        <v>0</v>
      </c>
      <c r="AG8" s="39">
        <f>資料儲存!H364</f>
        <v>0</v>
      </c>
      <c r="AH8" s="39">
        <f>資料儲存!I364</f>
        <v>0</v>
      </c>
      <c r="AI8" s="39">
        <f>資料儲存!J364</f>
        <v>0</v>
      </c>
      <c r="AJ8" s="13"/>
      <c r="AK8" s="38">
        <v>33</v>
      </c>
      <c r="AL8" s="39">
        <f>資料儲存!D484</f>
        <v>0</v>
      </c>
      <c r="AM8" s="39">
        <f>資料儲存!E484</f>
        <v>0</v>
      </c>
      <c r="AN8" s="39">
        <f>資料儲存!F484</f>
        <v>0</v>
      </c>
      <c r="AO8" s="39">
        <f>資料儲存!G484</f>
        <v>0</v>
      </c>
      <c r="AP8" s="39">
        <f>資料儲存!H484</f>
        <v>0</v>
      </c>
      <c r="AQ8" s="39">
        <f>資料儲存!I484</f>
        <v>0</v>
      </c>
      <c r="AR8" s="39">
        <f>資料儲存!J484</f>
        <v>0</v>
      </c>
      <c r="AT8" s="38">
        <v>33</v>
      </c>
      <c r="AU8" s="39">
        <f>資料儲存!D604</f>
        <v>0</v>
      </c>
      <c r="AV8" s="39">
        <f>資料儲存!E604</f>
        <v>0</v>
      </c>
      <c r="AW8" s="39">
        <f>資料儲存!F604</f>
        <v>0</v>
      </c>
      <c r="AX8" s="39">
        <f>資料儲存!G604</f>
        <v>0</v>
      </c>
      <c r="AY8" s="39">
        <f>資料儲存!H604</f>
        <v>0</v>
      </c>
      <c r="AZ8" s="39">
        <f>資料儲存!I604</f>
        <v>0</v>
      </c>
      <c r="BA8" s="39">
        <f>資料儲存!J604</f>
        <v>0</v>
      </c>
    </row>
    <row r="9" spans="1:53" ht="16" thickBot="1">
      <c r="A9" s="38">
        <v>34</v>
      </c>
      <c r="B9" s="39">
        <f>資料儲存!D5</f>
        <v>0</v>
      </c>
      <c r="C9" s="39">
        <f>資料儲存!E5</f>
        <v>0</v>
      </c>
      <c r="D9" s="39">
        <f>資料儲存!F5</f>
        <v>0</v>
      </c>
      <c r="E9" s="39">
        <f>資料儲存!G5</f>
        <v>0</v>
      </c>
      <c r="F9" s="39">
        <f>資料儲存!H5</f>
        <v>0</v>
      </c>
      <c r="G9" s="39">
        <f>資料儲存!I5</f>
        <v>0</v>
      </c>
      <c r="H9" s="39">
        <f>資料儲存!J5</f>
        <v>0</v>
      </c>
      <c r="I9" s="35"/>
      <c r="J9" s="38">
        <v>34</v>
      </c>
      <c r="K9" s="39">
        <f>資料儲存!D125</f>
        <v>0</v>
      </c>
      <c r="L9" s="39">
        <f>資料儲存!E125</f>
        <v>0</v>
      </c>
      <c r="M9" s="39">
        <f>資料儲存!F125</f>
        <v>0</v>
      </c>
      <c r="N9" s="39">
        <f>資料儲存!G125</f>
        <v>0</v>
      </c>
      <c r="O9" s="39">
        <f>資料儲存!H125</f>
        <v>0</v>
      </c>
      <c r="P9" s="39">
        <f>資料儲存!I125</f>
        <v>0</v>
      </c>
      <c r="Q9" s="39">
        <f>資料儲存!J125</f>
        <v>0</v>
      </c>
      <c r="R9" s="35"/>
      <c r="S9" s="38">
        <v>34</v>
      </c>
      <c r="T9" s="39">
        <f>資料儲存!D245</f>
        <v>0</v>
      </c>
      <c r="U9" s="39">
        <f>資料儲存!E245</f>
        <v>0</v>
      </c>
      <c r="V9" s="39">
        <f>資料儲存!F245</f>
        <v>0</v>
      </c>
      <c r="W9" s="39">
        <f>資料儲存!G245</f>
        <v>0</v>
      </c>
      <c r="X9" s="39">
        <f>資料儲存!H245</f>
        <v>0</v>
      </c>
      <c r="Y9" s="39">
        <f>資料儲存!I245</f>
        <v>0</v>
      </c>
      <c r="Z9" s="39">
        <f>資料儲存!J245</f>
        <v>0</v>
      </c>
      <c r="AA9" s="35"/>
      <c r="AB9" s="38">
        <v>34</v>
      </c>
      <c r="AC9" s="39">
        <f>資料儲存!D365</f>
        <v>0</v>
      </c>
      <c r="AD9" s="39">
        <f>資料儲存!E365</f>
        <v>0</v>
      </c>
      <c r="AE9" s="39">
        <f>資料儲存!F365</f>
        <v>0</v>
      </c>
      <c r="AF9" s="39">
        <f>資料儲存!G365</f>
        <v>0</v>
      </c>
      <c r="AG9" s="39">
        <f>資料儲存!H365</f>
        <v>0</v>
      </c>
      <c r="AH9" s="39">
        <f>資料儲存!I365</f>
        <v>0</v>
      </c>
      <c r="AI9" s="39">
        <f>資料儲存!J365</f>
        <v>0</v>
      </c>
      <c r="AJ9" s="13"/>
      <c r="AK9" s="38">
        <v>34</v>
      </c>
      <c r="AL9" s="39">
        <f>資料儲存!D485</f>
        <v>0</v>
      </c>
      <c r="AM9" s="39">
        <f>資料儲存!E485</f>
        <v>0</v>
      </c>
      <c r="AN9" s="39">
        <f>資料儲存!F485</f>
        <v>0</v>
      </c>
      <c r="AO9" s="39">
        <f>資料儲存!G485</f>
        <v>0</v>
      </c>
      <c r="AP9" s="39">
        <f>資料儲存!H485</f>
        <v>0</v>
      </c>
      <c r="AQ9" s="39">
        <f>資料儲存!I485</f>
        <v>0</v>
      </c>
      <c r="AR9" s="39">
        <f>資料儲存!J485</f>
        <v>0</v>
      </c>
      <c r="AT9" s="38">
        <v>34</v>
      </c>
      <c r="AU9" s="39">
        <f>資料儲存!D605</f>
        <v>0</v>
      </c>
      <c r="AV9" s="39">
        <f>資料儲存!E605</f>
        <v>0</v>
      </c>
      <c r="AW9" s="39">
        <f>資料儲存!F605</f>
        <v>0</v>
      </c>
      <c r="AX9" s="39">
        <f>資料儲存!G605</f>
        <v>0</v>
      </c>
      <c r="AY9" s="39">
        <f>資料儲存!H605</f>
        <v>0</v>
      </c>
      <c r="AZ9" s="39">
        <f>資料儲存!I605</f>
        <v>0</v>
      </c>
      <c r="BA9" s="39">
        <f>資料儲存!J605</f>
        <v>0</v>
      </c>
    </row>
    <row r="10" spans="1:53" ht="16" thickBot="1">
      <c r="A10" s="38">
        <v>35</v>
      </c>
      <c r="B10" s="39">
        <f>資料儲存!D6</f>
        <v>0</v>
      </c>
      <c r="C10" s="39">
        <f>資料儲存!E6</f>
        <v>0</v>
      </c>
      <c r="D10" s="39">
        <f>資料儲存!F6</f>
        <v>0</v>
      </c>
      <c r="E10" s="39">
        <f>資料儲存!G6</f>
        <v>0</v>
      </c>
      <c r="F10" s="39">
        <f>資料儲存!H6</f>
        <v>0</v>
      </c>
      <c r="G10" s="39">
        <f>資料儲存!I6</f>
        <v>0</v>
      </c>
      <c r="H10" s="39">
        <f>資料儲存!J6</f>
        <v>0</v>
      </c>
      <c r="I10" s="35"/>
      <c r="J10" s="38">
        <v>35</v>
      </c>
      <c r="K10" s="39">
        <f>資料儲存!D126</f>
        <v>0</v>
      </c>
      <c r="L10" s="39">
        <f>資料儲存!E126</f>
        <v>0</v>
      </c>
      <c r="M10" s="39">
        <f>資料儲存!F126</f>
        <v>0</v>
      </c>
      <c r="N10" s="39">
        <f>資料儲存!G126</f>
        <v>0</v>
      </c>
      <c r="O10" s="39">
        <f>資料儲存!H126</f>
        <v>0</v>
      </c>
      <c r="P10" s="39">
        <f>資料儲存!I126</f>
        <v>0</v>
      </c>
      <c r="Q10" s="39">
        <f>資料儲存!J126</f>
        <v>0</v>
      </c>
      <c r="R10" s="35"/>
      <c r="S10" s="38">
        <v>35</v>
      </c>
      <c r="T10" s="39">
        <f>資料儲存!D246</f>
        <v>0</v>
      </c>
      <c r="U10" s="39">
        <f>資料儲存!E246</f>
        <v>0</v>
      </c>
      <c r="V10" s="39">
        <f>資料儲存!F246</f>
        <v>0</v>
      </c>
      <c r="W10" s="39">
        <f>資料儲存!G246</f>
        <v>0</v>
      </c>
      <c r="X10" s="39">
        <f>資料儲存!H246</f>
        <v>0</v>
      </c>
      <c r="Y10" s="39">
        <f>資料儲存!I246</f>
        <v>0</v>
      </c>
      <c r="Z10" s="39">
        <f>資料儲存!J246</f>
        <v>0</v>
      </c>
      <c r="AA10" s="35"/>
      <c r="AB10" s="38">
        <v>35</v>
      </c>
      <c r="AC10" s="39">
        <f>資料儲存!D366</f>
        <v>0</v>
      </c>
      <c r="AD10" s="39">
        <f>資料儲存!E366</f>
        <v>0</v>
      </c>
      <c r="AE10" s="39">
        <f>資料儲存!F366</f>
        <v>0</v>
      </c>
      <c r="AF10" s="39">
        <f>資料儲存!G366</f>
        <v>0</v>
      </c>
      <c r="AG10" s="39">
        <f>資料儲存!H366</f>
        <v>0</v>
      </c>
      <c r="AH10" s="39">
        <f>資料儲存!I366</f>
        <v>0</v>
      </c>
      <c r="AI10" s="39">
        <f>資料儲存!J366</f>
        <v>0</v>
      </c>
      <c r="AJ10" s="13"/>
      <c r="AK10" s="38">
        <v>35</v>
      </c>
      <c r="AL10" s="39">
        <f>資料儲存!D486</f>
        <v>0</v>
      </c>
      <c r="AM10" s="39">
        <f>資料儲存!E486</f>
        <v>0</v>
      </c>
      <c r="AN10" s="39">
        <f>資料儲存!F486</f>
        <v>0</v>
      </c>
      <c r="AO10" s="39">
        <f>資料儲存!G486</f>
        <v>0</v>
      </c>
      <c r="AP10" s="39">
        <f>資料儲存!H486</f>
        <v>0</v>
      </c>
      <c r="AQ10" s="39">
        <f>資料儲存!I486</f>
        <v>0</v>
      </c>
      <c r="AR10" s="39">
        <f>資料儲存!J486</f>
        <v>0</v>
      </c>
      <c r="AT10" s="38">
        <v>35</v>
      </c>
      <c r="AU10" s="39">
        <f>資料儲存!D606</f>
        <v>0</v>
      </c>
      <c r="AV10" s="39">
        <f>資料儲存!E606</f>
        <v>0</v>
      </c>
      <c r="AW10" s="39">
        <f>資料儲存!F606</f>
        <v>0</v>
      </c>
      <c r="AX10" s="39">
        <f>資料儲存!G606</f>
        <v>0</v>
      </c>
      <c r="AY10" s="39">
        <f>資料儲存!H606</f>
        <v>0</v>
      </c>
      <c r="AZ10" s="39">
        <f>資料儲存!I606</f>
        <v>0</v>
      </c>
      <c r="BA10" s="39">
        <f>資料儲存!J606</f>
        <v>0</v>
      </c>
    </row>
    <row r="11" spans="1:53" ht="16" thickBot="1">
      <c r="A11" s="38">
        <v>36</v>
      </c>
      <c r="B11" s="39">
        <f>資料儲存!D7</f>
        <v>0</v>
      </c>
      <c r="C11" s="39">
        <f>資料儲存!E7</f>
        <v>0</v>
      </c>
      <c r="D11" s="39">
        <f>資料儲存!F7</f>
        <v>0</v>
      </c>
      <c r="E11" s="39">
        <f>資料儲存!G7</f>
        <v>0</v>
      </c>
      <c r="F11" s="39">
        <f>資料儲存!H7</f>
        <v>0</v>
      </c>
      <c r="G11" s="39">
        <f>資料儲存!I7</f>
        <v>0</v>
      </c>
      <c r="H11" s="39">
        <f>資料儲存!J7</f>
        <v>0</v>
      </c>
      <c r="I11" s="35"/>
      <c r="J11" s="38">
        <v>36</v>
      </c>
      <c r="K11" s="39">
        <f>資料儲存!D127</f>
        <v>0</v>
      </c>
      <c r="L11" s="39">
        <f>資料儲存!E127</f>
        <v>0</v>
      </c>
      <c r="M11" s="39">
        <f>資料儲存!F127</f>
        <v>0</v>
      </c>
      <c r="N11" s="39">
        <f>資料儲存!G127</f>
        <v>0</v>
      </c>
      <c r="O11" s="39">
        <f>資料儲存!H127</f>
        <v>0</v>
      </c>
      <c r="P11" s="39">
        <f>資料儲存!I127</f>
        <v>0</v>
      </c>
      <c r="Q11" s="39">
        <f>資料儲存!J127</f>
        <v>0</v>
      </c>
      <c r="R11" s="35"/>
      <c r="S11" s="38">
        <v>36</v>
      </c>
      <c r="T11" s="39">
        <f>資料儲存!D247</f>
        <v>0</v>
      </c>
      <c r="U11" s="39">
        <f>資料儲存!E247</f>
        <v>0</v>
      </c>
      <c r="V11" s="39">
        <f>資料儲存!F247</f>
        <v>0</v>
      </c>
      <c r="W11" s="39">
        <f>資料儲存!G247</f>
        <v>0</v>
      </c>
      <c r="X11" s="39">
        <f>資料儲存!H247</f>
        <v>0</v>
      </c>
      <c r="Y11" s="39">
        <f>資料儲存!I247</f>
        <v>0</v>
      </c>
      <c r="Z11" s="39">
        <f>資料儲存!J247</f>
        <v>0</v>
      </c>
      <c r="AA11" s="35"/>
      <c r="AB11" s="38">
        <v>36</v>
      </c>
      <c r="AC11" s="39">
        <f>資料儲存!D367</f>
        <v>0</v>
      </c>
      <c r="AD11" s="39">
        <f>資料儲存!E367</f>
        <v>0</v>
      </c>
      <c r="AE11" s="39">
        <f>資料儲存!F367</f>
        <v>0</v>
      </c>
      <c r="AF11" s="39">
        <f>資料儲存!G367</f>
        <v>0</v>
      </c>
      <c r="AG11" s="39">
        <f>資料儲存!H367</f>
        <v>0</v>
      </c>
      <c r="AH11" s="39">
        <f>資料儲存!I367</f>
        <v>0</v>
      </c>
      <c r="AI11" s="39">
        <f>資料儲存!J367</f>
        <v>0</v>
      </c>
      <c r="AJ11" s="13"/>
      <c r="AK11" s="38">
        <v>36</v>
      </c>
      <c r="AL11" s="39">
        <f>資料儲存!D487</f>
        <v>0</v>
      </c>
      <c r="AM11" s="39">
        <f>資料儲存!E487</f>
        <v>0</v>
      </c>
      <c r="AN11" s="39">
        <f>資料儲存!F487</f>
        <v>0</v>
      </c>
      <c r="AO11" s="39">
        <f>資料儲存!G487</f>
        <v>0</v>
      </c>
      <c r="AP11" s="39">
        <f>資料儲存!H487</f>
        <v>0</v>
      </c>
      <c r="AQ11" s="39">
        <f>資料儲存!I487</f>
        <v>0</v>
      </c>
      <c r="AR11" s="39">
        <f>資料儲存!J487</f>
        <v>0</v>
      </c>
      <c r="AT11" s="38">
        <v>36</v>
      </c>
      <c r="AU11" s="39">
        <f>資料儲存!D607</f>
        <v>0</v>
      </c>
      <c r="AV11" s="39">
        <f>資料儲存!E607</f>
        <v>0</v>
      </c>
      <c r="AW11" s="39">
        <f>資料儲存!F607</f>
        <v>0</v>
      </c>
      <c r="AX11" s="39">
        <f>資料儲存!G607</f>
        <v>0</v>
      </c>
      <c r="AY11" s="39">
        <f>資料儲存!H607</f>
        <v>0</v>
      </c>
      <c r="AZ11" s="39">
        <f>資料儲存!I607</f>
        <v>0</v>
      </c>
      <c r="BA11" s="39">
        <f>資料儲存!J607</f>
        <v>0</v>
      </c>
    </row>
    <row r="12" spans="1:53" ht="16" thickBot="1">
      <c r="A12" s="38">
        <v>37</v>
      </c>
      <c r="B12" s="39">
        <f>資料儲存!D8</f>
        <v>0</v>
      </c>
      <c r="C12" s="39">
        <f>資料儲存!E8</f>
        <v>0</v>
      </c>
      <c r="D12" s="39">
        <f>資料儲存!F8</f>
        <v>0</v>
      </c>
      <c r="E12" s="39">
        <f>資料儲存!G8</f>
        <v>0</v>
      </c>
      <c r="F12" s="39">
        <f>資料儲存!H8</f>
        <v>0</v>
      </c>
      <c r="G12" s="39">
        <f>資料儲存!I8</f>
        <v>0</v>
      </c>
      <c r="H12" s="39">
        <f>資料儲存!J8</f>
        <v>0</v>
      </c>
      <c r="I12" s="35"/>
      <c r="J12" s="38">
        <v>37</v>
      </c>
      <c r="K12" s="39">
        <f>資料儲存!D128</f>
        <v>0</v>
      </c>
      <c r="L12" s="39">
        <f>資料儲存!E128</f>
        <v>0</v>
      </c>
      <c r="M12" s="39">
        <f>資料儲存!F128</f>
        <v>0</v>
      </c>
      <c r="N12" s="39">
        <f>資料儲存!G128</f>
        <v>0</v>
      </c>
      <c r="O12" s="39">
        <f>資料儲存!H128</f>
        <v>0</v>
      </c>
      <c r="P12" s="39">
        <f>資料儲存!I128</f>
        <v>0</v>
      </c>
      <c r="Q12" s="39">
        <f>資料儲存!J128</f>
        <v>0</v>
      </c>
      <c r="R12" s="35"/>
      <c r="S12" s="38">
        <v>37</v>
      </c>
      <c r="T12" s="39">
        <f>資料儲存!D248</f>
        <v>0</v>
      </c>
      <c r="U12" s="39">
        <f>資料儲存!E248</f>
        <v>0</v>
      </c>
      <c r="V12" s="39">
        <f>資料儲存!F248</f>
        <v>0</v>
      </c>
      <c r="W12" s="39">
        <f>資料儲存!G248</f>
        <v>0</v>
      </c>
      <c r="X12" s="39">
        <f>資料儲存!H248</f>
        <v>0</v>
      </c>
      <c r="Y12" s="39">
        <f>資料儲存!I248</f>
        <v>0</v>
      </c>
      <c r="Z12" s="39">
        <f>資料儲存!J248</f>
        <v>0</v>
      </c>
      <c r="AA12" s="35"/>
      <c r="AB12" s="38">
        <v>37</v>
      </c>
      <c r="AC12" s="39">
        <f>資料儲存!D368</f>
        <v>0</v>
      </c>
      <c r="AD12" s="39">
        <f>資料儲存!E368</f>
        <v>0</v>
      </c>
      <c r="AE12" s="39">
        <f>資料儲存!F368</f>
        <v>0</v>
      </c>
      <c r="AF12" s="39">
        <f>資料儲存!G368</f>
        <v>0</v>
      </c>
      <c r="AG12" s="39">
        <f>資料儲存!H368</f>
        <v>0</v>
      </c>
      <c r="AH12" s="39">
        <f>資料儲存!I368</f>
        <v>0</v>
      </c>
      <c r="AI12" s="39">
        <f>資料儲存!J368</f>
        <v>0</v>
      </c>
      <c r="AJ12" s="13"/>
      <c r="AK12" s="38">
        <v>37</v>
      </c>
      <c r="AL12" s="39">
        <f>資料儲存!D488</f>
        <v>0</v>
      </c>
      <c r="AM12" s="39">
        <f>資料儲存!E488</f>
        <v>0</v>
      </c>
      <c r="AN12" s="39">
        <f>資料儲存!F488</f>
        <v>0</v>
      </c>
      <c r="AO12" s="39">
        <f>資料儲存!G488</f>
        <v>0</v>
      </c>
      <c r="AP12" s="39">
        <f>資料儲存!H488</f>
        <v>0</v>
      </c>
      <c r="AQ12" s="39">
        <f>資料儲存!I488</f>
        <v>0</v>
      </c>
      <c r="AR12" s="39">
        <f>資料儲存!J488</f>
        <v>0</v>
      </c>
      <c r="AT12" s="38">
        <v>37</v>
      </c>
      <c r="AU12" s="39">
        <f>資料儲存!D608</f>
        <v>0</v>
      </c>
      <c r="AV12" s="39">
        <f>資料儲存!E608</f>
        <v>0</v>
      </c>
      <c r="AW12" s="39">
        <f>資料儲存!F608</f>
        <v>0</v>
      </c>
      <c r="AX12" s="39">
        <f>資料儲存!G608</f>
        <v>0</v>
      </c>
      <c r="AY12" s="39">
        <f>資料儲存!H608</f>
        <v>0</v>
      </c>
      <c r="AZ12" s="39">
        <f>資料儲存!I608</f>
        <v>0</v>
      </c>
      <c r="BA12" s="39">
        <f>資料儲存!J608</f>
        <v>0</v>
      </c>
    </row>
    <row r="13" spans="1:53" ht="16" thickBot="1">
      <c r="A13" s="38">
        <v>38</v>
      </c>
      <c r="B13" s="39">
        <f>資料儲存!D9</f>
        <v>0</v>
      </c>
      <c r="C13" s="39">
        <f>資料儲存!E9</f>
        <v>0</v>
      </c>
      <c r="D13" s="39">
        <f>資料儲存!F9</f>
        <v>0</v>
      </c>
      <c r="E13" s="39">
        <f>資料儲存!G9</f>
        <v>0</v>
      </c>
      <c r="F13" s="39">
        <f>資料儲存!H9</f>
        <v>0</v>
      </c>
      <c r="G13" s="39">
        <f>資料儲存!I9</f>
        <v>0</v>
      </c>
      <c r="H13" s="39">
        <f>資料儲存!J9</f>
        <v>0</v>
      </c>
      <c r="I13" s="35"/>
      <c r="J13" s="38">
        <v>38</v>
      </c>
      <c r="K13" s="39">
        <f>資料儲存!D129</f>
        <v>0</v>
      </c>
      <c r="L13" s="39">
        <f>資料儲存!E129</f>
        <v>0</v>
      </c>
      <c r="M13" s="39">
        <f>資料儲存!F129</f>
        <v>0</v>
      </c>
      <c r="N13" s="39">
        <f>資料儲存!G129</f>
        <v>0</v>
      </c>
      <c r="O13" s="39">
        <f>資料儲存!H129</f>
        <v>0</v>
      </c>
      <c r="P13" s="39">
        <f>資料儲存!I129</f>
        <v>0</v>
      </c>
      <c r="Q13" s="39">
        <f>資料儲存!J129</f>
        <v>0</v>
      </c>
      <c r="R13" s="35"/>
      <c r="S13" s="38">
        <v>38</v>
      </c>
      <c r="T13" s="39">
        <f>資料儲存!D249</f>
        <v>0</v>
      </c>
      <c r="U13" s="39">
        <f>資料儲存!E249</f>
        <v>0</v>
      </c>
      <c r="V13" s="39">
        <f>資料儲存!F249</f>
        <v>0</v>
      </c>
      <c r="W13" s="39">
        <f>資料儲存!G249</f>
        <v>0</v>
      </c>
      <c r="X13" s="39">
        <f>資料儲存!H249</f>
        <v>0</v>
      </c>
      <c r="Y13" s="39">
        <f>資料儲存!I249</f>
        <v>0</v>
      </c>
      <c r="Z13" s="39">
        <f>資料儲存!J249</f>
        <v>0</v>
      </c>
      <c r="AA13" s="35"/>
      <c r="AB13" s="38">
        <v>38</v>
      </c>
      <c r="AC13" s="39">
        <f>資料儲存!D369</f>
        <v>0</v>
      </c>
      <c r="AD13" s="39">
        <f>資料儲存!E369</f>
        <v>0</v>
      </c>
      <c r="AE13" s="39">
        <f>資料儲存!F369</f>
        <v>0</v>
      </c>
      <c r="AF13" s="39">
        <f>資料儲存!G369</f>
        <v>0</v>
      </c>
      <c r="AG13" s="39">
        <f>資料儲存!H369</f>
        <v>0</v>
      </c>
      <c r="AH13" s="39">
        <f>資料儲存!I369</f>
        <v>0</v>
      </c>
      <c r="AI13" s="39">
        <f>資料儲存!J369</f>
        <v>0</v>
      </c>
      <c r="AJ13" s="13"/>
      <c r="AK13" s="38">
        <v>38</v>
      </c>
      <c r="AL13" s="39">
        <f>資料儲存!D489</f>
        <v>0</v>
      </c>
      <c r="AM13" s="39">
        <f>資料儲存!E489</f>
        <v>0</v>
      </c>
      <c r="AN13" s="39">
        <f>資料儲存!F489</f>
        <v>0</v>
      </c>
      <c r="AO13" s="39">
        <f>資料儲存!G489</f>
        <v>0</v>
      </c>
      <c r="AP13" s="39">
        <f>資料儲存!H489</f>
        <v>0</v>
      </c>
      <c r="AQ13" s="39">
        <f>資料儲存!I489</f>
        <v>0</v>
      </c>
      <c r="AR13" s="39">
        <f>資料儲存!J489</f>
        <v>0</v>
      </c>
      <c r="AT13" s="38">
        <v>38</v>
      </c>
      <c r="AU13" s="39">
        <f>資料儲存!D609</f>
        <v>0</v>
      </c>
      <c r="AV13" s="39">
        <f>資料儲存!E609</f>
        <v>0</v>
      </c>
      <c r="AW13" s="39">
        <f>資料儲存!F609</f>
        <v>0</v>
      </c>
      <c r="AX13" s="39">
        <f>資料儲存!G609</f>
        <v>0</v>
      </c>
      <c r="AY13" s="39">
        <f>資料儲存!H609</f>
        <v>0</v>
      </c>
      <c r="AZ13" s="39">
        <f>資料儲存!I609</f>
        <v>0</v>
      </c>
      <c r="BA13" s="39">
        <f>資料儲存!J609</f>
        <v>0</v>
      </c>
    </row>
    <row r="14" spans="1:53" ht="16" thickBot="1">
      <c r="A14" s="38">
        <v>39</v>
      </c>
      <c r="B14" s="39">
        <f>資料儲存!D10</f>
        <v>0</v>
      </c>
      <c r="C14" s="39">
        <f>資料儲存!E10</f>
        <v>0</v>
      </c>
      <c r="D14" s="39">
        <f>資料儲存!F10</f>
        <v>0</v>
      </c>
      <c r="E14" s="39">
        <f>資料儲存!G10</f>
        <v>0</v>
      </c>
      <c r="F14" s="39">
        <f>資料儲存!H10</f>
        <v>0</v>
      </c>
      <c r="G14" s="39">
        <f>資料儲存!I10</f>
        <v>0</v>
      </c>
      <c r="H14" s="39">
        <f>資料儲存!J10</f>
        <v>0</v>
      </c>
      <c r="I14" s="35"/>
      <c r="J14" s="38">
        <v>39</v>
      </c>
      <c r="K14" s="39">
        <f>資料儲存!D130</f>
        <v>0</v>
      </c>
      <c r="L14" s="39">
        <f>資料儲存!E130</f>
        <v>0</v>
      </c>
      <c r="M14" s="39">
        <f>資料儲存!F130</f>
        <v>0</v>
      </c>
      <c r="N14" s="39">
        <f>資料儲存!G130</f>
        <v>0</v>
      </c>
      <c r="O14" s="39">
        <f>資料儲存!H130</f>
        <v>0</v>
      </c>
      <c r="P14" s="39">
        <f>資料儲存!I130</f>
        <v>0</v>
      </c>
      <c r="Q14" s="39">
        <f>資料儲存!J130</f>
        <v>0</v>
      </c>
      <c r="R14" s="35"/>
      <c r="S14" s="38">
        <v>39</v>
      </c>
      <c r="T14" s="39">
        <f>資料儲存!D250</f>
        <v>0</v>
      </c>
      <c r="U14" s="39">
        <f>資料儲存!E250</f>
        <v>0</v>
      </c>
      <c r="V14" s="39">
        <f>資料儲存!F250</f>
        <v>0</v>
      </c>
      <c r="W14" s="39">
        <f>資料儲存!G250</f>
        <v>0</v>
      </c>
      <c r="X14" s="39">
        <f>資料儲存!H250</f>
        <v>0</v>
      </c>
      <c r="Y14" s="39">
        <f>資料儲存!I250</f>
        <v>0</v>
      </c>
      <c r="Z14" s="39">
        <f>資料儲存!J250</f>
        <v>0</v>
      </c>
      <c r="AA14" s="35"/>
      <c r="AB14" s="38">
        <v>39</v>
      </c>
      <c r="AC14" s="39">
        <f>資料儲存!D370</f>
        <v>0</v>
      </c>
      <c r="AD14" s="39">
        <f>資料儲存!E370</f>
        <v>0</v>
      </c>
      <c r="AE14" s="39">
        <f>資料儲存!F370</f>
        <v>0</v>
      </c>
      <c r="AF14" s="39">
        <f>資料儲存!G370</f>
        <v>0</v>
      </c>
      <c r="AG14" s="39">
        <f>資料儲存!H370</f>
        <v>0</v>
      </c>
      <c r="AH14" s="39">
        <f>資料儲存!I370</f>
        <v>0</v>
      </c>
      <c r="AI14" s="39">
        <f>資料儲存!J370</f>
        <v>0</v>
      </c>
      <c r="AJ14" s="13"/>
      <c r="AK14" s="38">
        <v>39</v>
      </c>
      <c r="AL14" s="39">
        <f>資料儲存!D490</f>
        <v>0</v>
      </c>
      <c r="AM14" s="39">
        <f>資料儲存!E490</f>
        <v>0</v>
      </c>
      <c r="AN14" s="39">
        <f>資料儲存!F490</f>
        <v>0</v>
      </c>
      <c r="AO14" s="39">
        <f>資料儲存!G490</f>
        <v>0</v>
      </c>
      <c r="AP14" s="39">
        <f>資料儲存!H490</f>
        <v>0</v>
      </c>
      <c r="AQ14" s="39">
        <f>資料儲存!I490</f>
        <v>0</v>
      </c>
      <c r="AR14" s="39">
        <f>資料儲存!J490</f>
        <v>0</v>
      </c>
      <c r="AT14" s="38">
        <v>39</v>
      </c>
      <c r="AU14" s="39">
        <f>資料儲存!D610</f>
        <v>0</v>
      </c>
      <c r="AV14" s="39">
        <f>資料儲存!E610</f>
        <v>0</v>
      </c>
      <c r="AW14" s="39">
        <f>資料儲存!F610</f>
        <v>0</v>
      </c>
      <c r="AX14" s="39">
        <f>資料儲存!G610</f>
        <v>0</v>
      </c>
      <c r="AY14" s="39">
        <f>資料儲存!H610</f>
        <v>0</v>
      </c>
      <c r="AZ14" s="39">
        <f>資料儲存!I610</f>
        <v>0</v>
      </c>
      <c r="BA14" s="39">
        <f>資料儲存!J610</f>
        <v>0</v>
      </c>
    </row>
    <row r="15" spans="1:53" ht="16" thickBot="1">
      <c r="A15" s="38">
        <v>40</v>
      </c>
      <c r="B15" s="39">
        <f>資料儲存!D11</f>
        <v>0</v>
      </c>
      <c r="C15" s="39">
        <f>資料儲存!E11</f>
        <v>0</v>
      </c>
      <c r="D15" s="39">
        <f>資料儲存!F11</f>
        <v>0</v>
      </c>
      <c r="E15" s="39">
        <f>資料儲存!G11</f>
        <v>0</v>
      </c>
      <c r="F15" s="39">
        <f>資料儲存!H11</f>
        <v>0</v>
      </c>
      <c r="G15" s="39">
        <f>資料儲存!I11</f>
        <v>0</v>
      </c>
      <c r="H15" s="39">
        <f>資料儲存!J11</f>
        <v>0</v>
      </c>
      <c r="I15" s="35"/>
      <c r="J15" s="38">
        <v>40</v>
      </c>
      <c r="K15" s="39">
        <f>資料儲存!D131</f>
        <v>0</v>
      </c>
      <c r="L15" s="39">
        <f>資料儲存!E131</f>
        <v>0</v>
      </c>
      <c r="M15" s="39">
        <f>資料儲存!F131</f>
        <v>0</v>
      </c>
      <c r="N15" s="39">
        <f>資料儲存!G131</f>
        <v>0</v>
      </c>
      <c r="O15" s="39">
        <f>資料儲存!H131</f>
        <v>0</v>
      </c>
      <c r="P15" s="39">
        <f>資料儲存!I131</f>
        <v>0</v>
      </c>
      <c r="Q15" s="39">
        <f>資料儲存!J131</f>
        <v>0</v>
      </c>
      <c r="R15" s="35"/>
      <c r="S15" s="38">
        <v>40</v>
      </c>
      <c r="T15" s="39">
        <f>資料儲存!D251</f>
        <v>0</v>
      </c>
      <c r="U15" s="39">
        <f>資料儲存!E251</f>
        <v>0</v>
      </c>
      <c r="V15" s="39">
        <f>資料儲存!F251</f>
        <v>0</v>
      </c>
      <c r="W15" s="39">
        <f>資料儲存!G251</f>
        <v>0</v>
      </c>
      <c r="X15" s="39">
        <f>資料儲存!H251</f>
        <v>0</v>
      </c>
      <c r="Y15" s="39">
        <f>資料儲存!I251</f>
        <v>0</v>
      </c>
      <c r="Z15" s="39">
        <f>資料儲存!J251</f>
        <v>0</v>
      </c>
      <c r="AA15" s="35"/>
      <c r="AB15" s="38">
        <v>40</v>
      </c>
      <c r="AC15" s="39">
        <f>資料儲存!D371</f>
        <v>0</v>
      </c>
      <c r="AD15" s="39">
        <f>資料儲存!E371</f>
        <v>0</v>
      </c>
      <c r="AE15" s="39">
        <f>資料儲存!F371</f>
        <v>0</v>
      </c>
      <c r="AF15" s="39">
        <f>資料儲存!G371</f>
        <v>0</v>
      </c>
      <c r="AG15" s="39">
        <f>資料儲存!H371</f>
        <v>0</v>
      </c>
      <c r="AH15" s="39">
        <f>資料儲存!I371</f>
        <v>0</v>
      </c>
      <c r="AI15" s="39">
        <f>資料儲存!J371</f>
        <v>0</v>
      </c>
      <c r="AJ15" s="13"/>
      <c r="AK15" s="38">
        <v>40</v>
      </c>
      <c r="AL15" s="39">
        <f>資料儲存!D491</f>
        <v>0</v>
      </c>
      <c r="AM15" s="39">
        <f>資料儲存!E491</f>
        <v>0</v>
      </c>
      <c r="AN15" s="39">
        <f>資料儲存!F491</f>
        <v>0</v>
      </c>
      <c r="AO15" s="39">
        <f>資料儲存!G491</f>
        <v>0</v>
      </c>
      <c r="AP15" s="39">
        <f>資料儲存!H491</f>
        <v>0</v>
      </c>
      <c r="AQ15" s="39">
        <f>資料儲存!I491</f>
        <v>0</v>
      </c>
      <c r="AR15" s="39">
        <f>資料儲存!J491</f>
        <v>0</v>
      </c>
      <c r="AT15" s="38">
        <v>40</v>
      </c>
      <c r="AU15" s="39">
        <f>資料儲存!D611</f>
        <v>0</v>
      </c>
      <c r="AV15" s="39">
        <f>資料儲存!E611</f>
        <v>0</v>
      </c>
      <c r="AW15" s="39">
        <f>資料儲存!F611</f>
        <v>0</v>
      </c>
      <c r="AX15" s="39">
        <f>資料儲存!G611</f>
        <v>0</v>
      </c>
      <c r="AY15" s="39">
        <f>資料儲存!H611</f>
        <v>0</v>
      </c>
      <c r="AZ15" s="39">
        <f>資料儲存!I611</f>
        <v>0</v>
      </c>
      <c r="BA15" s="39">
        <f>資料儲存!J611</f>
        <v>0</v>
      </c>
    </row>
    <row r="16" spans="1:53" ht="16" thickBot="1">
      <c r="A16" s="38">
        <v>41</v>
      </c>
      <c r="B16" s="39">
        <f>資料儲存!D12</f>
        <v>0</v>
      </c>
      <c r="C16" s="39">
        <f>資料儲存!E12</f>
        <v>0</v>
      </c>
      <c r="D16" s="39">
        <f>資料儲存!F12</f>
        <v>0</v>
      </c>
      <c r="E16" s="39">
        <f>資料儲存!G12</f>
        <v>0</v>
      </c>
      <c r="F16" s="39">
        <f>資料儲存!H12</f>
        <v>0</v>
      </c>
      <c r="G16" s="39">
        <f>資料儲存!I12</f>
        <v>0</v>
      </c>
      <c r="H16" s="39">
        <f>資料儲存!J12</f>
        <v>0</v>
      </c>
      <c r="I16" s="35"/>
      <c r="J16" s="38">
        <v>41</v>
      </c>
      <c r="K16" s="39">
        <f>資料儲存!D132</f>
        <v>0</v>
      </c>
      <c r="L16" s="39">
        <f>資料儲存!E132</f>
        <v>0</v>
      </c>
      <c r="M16" s="39">
        <f>資料儲存!F132</f>
        <v>0</v>
      </c>
      <c r="N16" s="39">
        <f>資料儲存!G132</f>
        <v>0</v>
      </c>
      <c r="O16" s="39">
        <f>資料儲存!H132</f>
        <v>0</v>
      </c>
      <c r="P16" s="39">
        <f>資料儲存!I132</f>
        <v>0</v>
      </c>
      <c r="Q16" s="39">
        <f>資料儲存!J132</f>
        <v>0</v>
      </c>
      <c r="R16" s="35"/>
      <c r="S16" s="38">
        <v>41</v>
      </c>
      <c r="T16" s="39">
        <f>資料儲存!D252</f>
        <v>0</v>
      </c>
      <c r="U16" s="39">
        <f>資料儲存!E252</f>
        <v>0</v>
      </c>
      <c r="V16" s="39">
        <f>資料儲存!F252</f>
        <v>0</v>
      </c>
      <c r="W16" s="39">
        <f>資料儲存!G252</f>
        <v>0</v>
      </c>
      <c r="X16" s="39">
        <f>資料儲存!H252</f>
        <v>0</v>
      </c>
      <c r="Y16" s="39">
        <f>資料儲存!I252</f>
        <v>0</v>
      </c>
      <c r="Z16" s="39">
        <f>資料儲存!J252</f>
        <v>0</v>
      </c>
      <c r="AA16" s="35"/>
      <c r="AB16" s="38">
        <v>41</v>
      </c>
      <c r="AC16" s="39">
        <f>資料儲存!D372</f>
        <v>0</v>
      </c>
      <c r="AD16" s="39">
        <f>資料儲存!E372</f>
        <v>0</v>
      </c>
      <c r="AE16" s="39">
        <f>資料儲存!F372</f>
        <v>0</v>
      </c>
      <c r="AF16" s="39">
        <f>資料儲存!G372</f>
        <v>0</v>
      </c>
      <c r="AG16" s="39">
        <f>資料儲存!H372</f>
        <v>0</v>
      </c>
      <c r="AH16" s="39">
        <f>資料儲存!I372</f>
        <v>0</v>
      </c>
      <c r="AI16" s="39">
        <f>資料儲存!J372</f>
        <v>0</v>
      </c>
      <c r="AJ16" s="13"/>
      <c r="AK16" s="38">
        <v>41</v>
      </c>
      <c r="AL16" s="39">
        <f>資料儲存!D492</f>
        <v>0</v>
      </c>
      <c r="AM16" s="39">
        <f>資料儲存!E492</f>
        <v>0</v>
      </c>
      <c r="AN16" s="39">
        <f>資料儲存!F492</f>
        <v>0</v>
      </c>
      <c r="AO16" s="39">
        <f>資料儲存!G492</f>
        <v>0</v>
      </c>
      <c r="AP16" s="39">
        <f>資料儲存!H492</f>
        <v>0</v>
      </c>
      <c r="AQ16" s="39">
        <f>資料儲存!I492</f>
        <v>0</v>
      </c>
      <c r="AR16" s="39">
        <f>資料儲存!J492</f>
        <v>0</v>
      </c>
      <c r="AT16" s="38">
        <v>41</v>
      </c>
      <c r="AU16" s="39">
        <f>資料儲存!D612</f>
        <v>0</v>
      </c>
      <c r="AV16" s="39">
        <f>資料儲存!E612</f>
        <v>0</v>
      </c>
      <c r="AW16" s="39">
        <f>資料儲存!F612</f>
        <v>0</v>
      </c>
      <c r="AX16" s="39">
        <f>資料儲存!G612</f>
        <v>0</v>
      </c>
      <c r="AY16" s="39">
        <f>資料儲存!H612</f>
        <v>0</v>
      </c>
      <c r="AZ16" s="39">
        <f>資料儲存!I612</f>
        <v>0</v>
      </c>
      <c r="BA16" s="39">
        <f>資料儲存!J612</f>
        <v>0</v>
      </c>
    </row>
    <row r="17" spans="1:53" ht="16" thickBot="1">
      <c r="A17" s="38">
        <v>42</v>
      </c>
      <c r="B17" s="39">
        <f>資料儲存!D13</f>
        <v>0</v>
      </c>
      <c r="C17" s="39">
        <f>資料儲存!E13</f>
        <v>0</v>
      </c>
      <c r="D17" s="39">
        <f>資料儲存!F13</f>
        <v>0</v>
      </c>
      <c r="E17" s="39">
        <f>資料儲存!G13</f>
        <v>0</v>
      </c>
      <c r="F17" s="39">
        <f>資料儲存!H13</f>
        <v>0</v>
      </c>
      <c r="G17" s="39">
        <f>資料儲存!I13</f>
        <v>0</v>
      </c>
      <c r="H17" s="39">
        <f>資料儲存!J13</f>
        <v>0</v>
      </c>
      <c r="I17" s="35"/>
      <c r="J17" s="38">
        <v>42</v>
      </c>
      <c r="K17" s="39">
        <f>資料儲存!D133</f>
        <v>0</v>
      </c>
      <c r="L17" s="39">
        <f>資料儲存!E133</f>
        <v>0</v>
      </c>
      <c r="M17" s="39">
        <f>資料儲存!F133</f>
        <v>0</v>
      </c>
      <c r="N17" s="39">
        <f>資料儲存!G133</f>
        <v>0</v>
      </c>
      <c r="O17" s="39">
        <f>資料儲存!H133</f>
        <v>0</v>
      </c>
      <c r="P17" s="39">
        <f>資料儲存!I133</f>
        <v>0</v>
      </c>
      <c r="Q17" s="39">
        <f>資料儲存!J133</f>
        <v>0</v>
      </c>
      <c r="R17" s="35"/>
      <c r="S17" s="38">
        <v>42</v>
      </c>
      <c r="T17" s="39">
        <f>資料儲存!D253</f>
        <v>0</v>
      </c>
      <c r="U17" s="39">
        <f>資料儲存!E253</f>
        <v>0</v>
      </c>
      <c r="V17" s="39">
        <f>資料儲存!F253</f>
        <v>0</v>
      </c>
      <c r="W17" s="39">
        <f>資料儲存!G253</f>
        <v>0</v>
      </c>
      <c r="X17" s="39">
        <f>資料儲存!H253</f>
        <v>0</v>
      </c>
      <c r="Y17" s="39">
        <f>資料儲存!I253</f>
        <v>0</v>
      </c>
      <c r="Z17" s="39">
        <f>資料儲存!J253</f>
        <v>0</v>
      </c>
      <c r="AA17" s="35"/>
      <c r="AB17" s="38">
        <v>42</v>
      </c>
      <c r="AC17" s="39">
        <f>資料儲存!D373</f>
        <v>0</v>
      </c>
      <c r="AD17" s="39">
        <f>資料儲存!E373</f>
        <v>0</v>
      </c>
      <c r="AE17" s="39">
        <f>資料儲存!F373</f>
        <v>0</v>
      </c>
      <c r="AF17" s="39">
        <f>資料儲存!G373</f>
        <v>0</v>
      </c>
      <c r="AG17" s="39">
        <f>資料儲存!H373</f>
        <v>0</v>
      </c>
      <c r="AH17" s="39">
        <f>資料儲存!I373</f>
        <v>0</v>
      </c>
      <c r="AI17" s="39">
        <f>資料儲存!J373</f>
        <v>0</v>
      </c>
      <c r="AJ17" s="13"/>
      <c r="AK17" s="38">
        <v>42</v>
      </c>
      <c r="AL17" s="39">
        <f>資料儲存!D493</f>
        <v>0</v>
      </c>
      <c r="AM17" s="39">
        <f>資料儲存!E493</f>
        <v>0</v>
      </c>
      <c r="AN17" s="39">
        <f>資料儲存!F493</f>
        <v>0</v>
      </c>
      <c r="AO17" s="39">
        <f>資料儲存!G493</f>
        <v>0</v>
      </c>
      <c r="AP17" s="39">
        <f>資料儲存!H493</f>
        <v>0</v>
      </c>
      <c r="AQ17" s="39">
        <f>資料儲存!I493</f>
        <v>0</v>
      </c>
      <c r="AR17" s="39">
        <f>資料儲存!J493</f>
        <v>0</v>
      </c>
      <c r="AT17" s="38">
        <v>42</v>
      </c>
      <c r="AU17" s="39">
        <f>資料儲存!D613</f>
        <v>0</v>
      </c>
      <c r="AV17" s="39">
        <f>資料儲存!E613</f>
        <v>0</v>
      </c>
      <c r="AW17" s="39">
        <f>資料儲存!F613</f>
        <v>0</v>
      </c>
      <c r="AX17" s="39">
        <f>資料儲存!G613</f>
        <v>0</v>
      </c>
      <c r="AY17" s="39">
        <f>資料儲存!H613</f>
        <v>0</v>
      </c>
      <c r="AZ17" s="39">
        <f>資料儲存!I613</f>
        <v>0</v>
      </c>
      <c r="BA17" s="39">
        <f>資料儲存!J613</f>
        <v>0</v>
      </c>
    </row>
    <row r="18" spans="1:53" ht="16" thickBot="1">
      <c r="A18" s="38">
        <v>43</v>
      </c>
      <c r="B18" s="39">
        <f>資料儲存!D14</f>
        <v>0</v>
      </c>
      <c r="C18" s="39">
        <f>資料儲存!E14</f>
        <v>0</v>
      </c>
      <c r="D18" s="39">
        <f>資料儲存!F14</f>
        <v>0</v>
      </c>
      <c r="E18" s="39">
        <f>資料儲存!G14</f>
        <v>0</v>
      </c>
      <c r="F18" s="39">
        <f>資料儲存!H14</f>
        <v>0</v>
      </c>
      <c r="G18" s="39">
        <f>資料儲存!I14</f>
        <v>0</v>
      </c>
      <c r="H18" s="39">
        <f>資料儲存!J14</f>
        <v>0</v>
      </c>
      <c r="I18" s="35"/>
      <c r="J18" s="38">
        <v>43</v>
      </c>
      <c r="K18" s="39">
        <f>資料儲存!D134</f>
        <v>0</v>
      </c>
      <c r="L18" s="39">
        <f>資料儲存!E134</f>
        <v>0</v>
      </c>
      <c r="M18" s="39">
        <f>資料儲存!F134</f>
        <v>0</v>
      </c>
      <c r="N18" s="39">
        <f>資料儲存!G134</f>
        <v>0</v>
      </c>
      <c r="O18" s="39">
        <f>資料儲存!H134</f>
        <v>0</v>
      </c>
      <c r="P18" s="39">
        <f>資料儲存!I134</f>
        <v>0</v>
      </c>
      <c r="Q18" s="39">
        <f>資料儲存!J134</f>
        <v>0</v>
      </c>
      <c r="R18" s="35"/>
      <c r="S18" s="38">
        <v>43</v>
      </c>
      <c r="T18" s="39">
        <f>資料儲存!D254</f>
        <v>0</v>
      </c>
      <c r="U18" s="39">
        <f>資料儲存!E254</f>
        <v>0</v>
      </c>
      <c r="V18" s="39">
        <f>資料儲存!F254</f>
        <v>0</v>
      </c>
      <c r="W18" s="39">
        <f>資料儲存!G254</f>
        <v>0</v>
      </c>
      <c r="X18" s="39">
        <f>資料儲存!H254</f>
        <v>0</v>
      </c>
      <c r="Y18" s="39">
        <f>資料儲存!I254</f>
        <v>0</v>
      </c>
      <c r="Z18" s="39">
        <f>資料儲存!J254</f>
        <v>0</v>
      </c>
      <c r="AA18" s="35"/>
      <c r="AB18" s="38">
        <v>43</v>
      </c>
      <c r="AC18" s="39">
        <f>資料儲存!D374</f>
        <v>0</v>
      </c>
      <c r="AD18" s="39">
        <f>資料儲存!E374</f>
        <v>0</v>
      </c>
      <c r="AE18" s="39">
        <f>資料儲存!F374</f>
        <v>0</v>
      </c>
      <c r="AF18" s="39">
        <f>資料儲存!G374</f>
        <v>0</v>
      </c>
      <c r="AG18" s="39">
        <f>資料儲存!H374</f>
        <v>0</v>
      </c>
      <c r="AH18" s="39">
        <f>資料儲存!I374</f>
        <v>0</v>
      </c>
      <c r="AI18" s="39">
        <f>資料儲存!J374</f>
        <v>0</v>
      </c>
      <c r="AJ18" s="13"/>
      <c r="AK18" s="38">
        <v>43</v>
      </c>
      <c r="AL18" s="39">
        <f>資料儲存!D494</f>
        <v>0</v>
      </c>
      <c r="AM18" s="39">
        <f>資料儲存!E494</f>
        <v>0</v>
      </c>
      <c r="AN18" s="39">
        <f>資料儲存!F494</f>
        <v>0</v>
      </c>
      <c r="AO18" s="39">
        <f>資料儲存!G494</f>
        <v>0</v>
      </c>
      <c r="AP18" s="39">
        <f>資料儲存!H494</f>
        <v>0</v>
      </c>
      <c r="AQ18" s="39">
        <f>資料儲存!I494</f>
        <v>0</v>
      </c>
      <c r="AR18" s="39">
        <f>資料儲存!J494</f>
        <v>0</v>
      </c>
      <c r="AT18" s="38">
        <v>43</v>
      </c>
      <c r="AU18" s="39">
        <f>資料儲存!D614</f>
        <v>0</v>
      </c>
      <c r="AV18" s="39">
        <f>資料儲存!E614</f>
        <v>0</v>
      </c>
      <c r="AW18" s="39">
        <f>資料儲存!F614</f>
        <v>0</v>
      </c>
      <c r="AX18" s="39">
        <f>資料儲存!G614</f>
        <v>0</v>
      </c>
      <c r="AY18" s="39">
        <f>資料儲存!H614</f>
        <v>0</v>
      </c>
      <c r="AZ18" s="39">
        <f>資料儲存!I614</f>
        <v>0</v>
      </c>
      <c r="BA18" s="39">
        <f>資料儲存!J614</f>
        <v>0</v>
      </c>
    </row>
    <row r="19" spans="1:53" ht="16" thickBot="1">
      <c r="A19" s="38">
        <v>44</v>
      </c>
      <c r="B19" s="39">
        <f>資料儲存!D15</f>
        <v>0</v>
      </c>
      <c r="C19" s="39">
        <f>資料儲存!E15</f>
        <v>0</v>
      </c>
      <c r="D19" s="39">
        <f>資料儲存!F15</f>
        <v>0</v>
      </c>
      <c r="E19" s="39">
        <f>資料儲存!G15</f>
        <v>0</v>
      </c>
      <c r="F19" s="39">
        <f>資料儲存!H15</f>
        <v>0</v>
      </c>
      <c r="G19" s="39">
        <f>資料儲存!I15</f>
        <v>0</v>
      </c>
      <c r="H19" s="39">
        <f>資料儲存!J15</f>
        <v>0</v>
      </c>
      <c r="I19" s="35"/>
      <c r="J19" s="38">
        <v>44</v>
      </c>
      <c r="K19" s="39">
        <f>資料儲存!D135</f>
        <v>0</v>
      </c>
      <c r="L19" s="39">
        <f>資料儲存!E135</f>
        <v>0</v>
      </c>
      <c r="M19" s="39">
        <f>資料儲存!F135</f>
        <v>0</v>
      </c>
      <c r="N19" s="39">
        <f>資料儲存!G135</f>
        <v>0</v>
      </c>
      <c r="O19" s="39">
        <f>資料儲存!H135</f>
        <v>0</v>
      </c>
      <c r="P19" s="39">
        <f>資料儲存!I135</f>
        <v>0</v>
      </c>
      <c r="Q19" s="39">
        <f>資料儲存!J135</f>
        <v>0</v>
      </c>
      <c r="R19" s="35"/>
      <c r="S19" s="38">
        <v>44</v>
      </c>
      <c r="T19" s="39">
        <f>資料儲存!D255</f>
        <v>0</v>
      </c>
      <c r="U19" s="39">
        <f>資料儲存!E255</f>
        <v>0</v>
      </c>
      <c r="V19" s="39">
        <f>資料儲存!F255</f>
        <v>0</v>
      </c>
      <c r="W19" s="39">
        <f>資料儲存!G255</f>
        <v>0</v>
      </c>
      <c r="X19" s="39">
        <f>資料儲存!H255</f>
        <v>0</v>
      </c>
      <c r="Y19" s="39">
        <f>資料儲存!I255</f>
        <v>0</v>
      </c>
      <c r="Z19" s="39">
        <f>資料儲存!J255</f>
        <v>0</v>
      </c>
      <c r="AA19" s="35"/>
      <c r="AB19" s="38">
        <v>44</v>
      </c>
      <c r="AC19" s="39">
        <f>資料儲存!D375</f>
        <v>0</v>
      </c>
      <c r="AD19" s="39">
        <f>資料儲存!E375</f>
        <v>0</v>
      </c>
      <c r="AE19" s="39">
        <f>資料儲存!F375</f>
        <v>0</v>
      </c>
      <c r="AF19" s="39">
        <f>資料儲存!G375</f>
        <v>0</v>
      </c>
      <c r="AG19" s="39">
        <f>資料儲存!H375</f>
        <v>0</v>
      </c>
      <c r="AH19" s="39">
        <f>資料儲存!I375</f>
        <v>0</v>
      </c>
      <c r="AI19" s="39">
        <f>資料儲存!J375</f>
        <v>0</v>
      </c>
      <c r="AJ19" s="13"/>
      <c r="AK19" s="38">
        <v>44</v>
      </c>
      <c r="AL19" s="39">
        <f>資料儲存!D495</f>
        <v>0</v>
      </c>
      <c r="AM19" s="39">
        <f>資料儲存!E495</f>
        <v>0</v>
      </c>
      <c r="AN19" s="39">
        <f>資料儲存!F495</f>
        <v>0</v>
      </c>
      <c r="AO19" s="39">
        <f>資料儲存!G495</f>
        <v>0</v>
      </c>
      <c r="AP19" s="39">
        <f>資料儲存!H495</f>
        <v>0</v>
      </c>
      <c r="AQ19" s="39">
        <f>資料儲存!I495</f>
        <v>0</v>
      </c>
      <c r="AR19" s="39">
        <f>資料儲存!J495</f>
        <v>0</v>
      </c>
      <c r="AT19" s="38">
        <v>44</v>
      </c>
      <c r="AU19" s="39">
        <f>資料儲存!D615</f>
        <v>0</v>
      </c>
      <c r="AV19" s="39">
        <f>資料儲存!E615</f>
        <v>0</v>
      </c>
      <c r="AW19" s="39">
        <f>資料儲存!F615</f>
        <v>0</v>
      </c>
      <c r="AX19" s="39">
        <f>資料儲存!G615</f>
        <v>0</v>
      </c>
      <c r="AY19" s="39">
        <f>資料儲存!H615</f>
        <v>0</v>
      </c>
      <c r="AZ19" s="39">
        <f>資料儲存!I615</f>
        <v>0</v>
      </c>
      <c r="BA19" s="39">
        <f>資料儲存!J615</f>
        <v>0</v>
      </c>
    </row>
    <row r="20" spans="1:53" ht="16" thickBot="1">
      <c r="A20" s="38">
        <v>45</v>
      </c>
      <c r="B20" s="39">
        <f>資料儲存!D16</f>
        <v>0</v>
      </c>
      <c r="C20" s="39">
        <f>資料儲存!E16</f>
        <v>0</v>
      </c>
      <c r="D20" s="39">
        <f>資料儲存!F16</f>
        <v>0</v>
      </c>
      <c r="E20" s="39">
        <f>資料儲存!G16</f>
        <v>0</v>
      </c>
      <c r="F20" s="39">
        <f>資料儲存!H16</f>
        <v>0</v>
      </c>
      <c r="G20" s="39">
        <f>資料儲存!I16</f>
        <v>0</v>
      </c>
      <c r="H20" s="39">
        <f>資料儲存!J16</f>
        <v>0</v>
      </c>
      <c r="I20" s="35"/>
      <c r="J20" s="38">
        <v>45</v>
      </c>
      <c r="K20" s="39">
        <f>資料儲存!D136</f>
        <v>0</v>
      </c>
      <c r="L20" s="39">
        <f>資料儲存!E136</f>
        <v>0</v>
      </c>
      <c r="M20" s="39">
        <f>資料儲存!F136</f>
        <v>0</v>
      </c>
      <c r="N20" s="39">
        <f>資料儲存!G136</f>
        <v>0</v>
      </c>
      <c r="O20" s="39">
        <f>資料儲存!H136</f>
        <v>0</v>
      </c>
      <c r="P20" s="39">
        <f>資料儲存!I136</f>
        <v>0</v>
      </c>
      <c r="Q20" s="39">
        <f>資料儲存!J136</f>
        <v>0</v>
      </c>
      <c r="R20" s="35"/>
      <c r="S20" s="38">
        <v>45</v>
      </c>
      <c r="T20" s="39">
        <f>資料儲存!D256</f>
        <v>0</v>
      </c>
      <c r="U20" s="39">
        <f>資料儲存!E256</f>
        <v>0</v>
      </c>
      <c r="V20" s="39">
        <f>資料儲存!F256</f>
        <v>0</v>
      </c>
      <c r="W20" s="39">
        <f>資料儲存!G256</f>
        <v>0</v>
      </c>
      <c r="X20" s="39">
        <f>資料儲存!H256</f>
        <v>0</v>
      </c>
      <c r="Y20" s="39">
        <f>資料儲存!I256</f>
        <v>0</v>
      </c>
      <c r="Z20" s="39">
        <f>資料儲存!J256</f>
        <v>0</v>
      </c>
      <c r="AA20" s="35"/>
      <c r="AB20" s="38">
        <v>45</v>
      </c>
      <c r="AC20" s="39">
        <f>資料儲存!D376</f>
        <v>0</v>
      </c>
      <c r="AD20" s="39">
        <f>資料儲存!E376</f>
        <v>0</v>
      </c>
      <c r="AE20" s="39">
        <f>資料儲存!F376</f>
        <v>0</v>
      </c>
      <c r="AF20" s="39">
        <f>資料儲存!G376</f>
        <v>0</v>
      </c>
      <c r="AG20" s="39">
        <f>資料儲存!H376</f>
        <v>0</v>
      </c>
      <c r="AH20" s="39">
        <f>資料儲存!I376</f>
        <v>0</v>
      </c>
      <c r="AI20" s="39">
        <f>資料儲存!J376</f>
        <v>0</v>
      </c>
      <c r="AJ20" s="13"/>
      <c r="AK20" s="38">
        <v>45</v>
      </c>
      <c r="AL20" s="39">
        <f>資料儲存!D496</f>
        <v>0</v>
      </c>
      <c r="AM20" s="39">
        <f>資料儲存!E496</f>
        <v>0</v>
      </c>
      <c r="AN20" s="39">
        <f>資料儲存!F496</f>
        <v>0</v>
      </c>
      <c r="AO20" s="39">
        <f>資料儲存!G496</f>
        <v>0</v>
      </c>
      <c r="AP20" s="39">
        <f>資料儲存!H496</f>
        <v>0</v>
      </c>
      <c r="AQ20" s="39">
        <f>資料儲存!I496</f>
        <v>0</v>
      </c>
      <c r="AR20" s="39">
        <f>資料儲存!J496</f>
        <v>0</v>
      </c>
      <c r="AT20" s="38">
        <v>45</v>
      </c>
      <c r="AU20" s="39">
        <f>資料儲存!D616</f>
        <v>0</v>
      </c>
      <c r="AV20" s="39">
        <f>資料儲存!E616</f>
        <v>0</v>
      </c>
      <c r="AW20" s="39">
        <f>資料儲存!F616</f>
        <v>0</v>
      </c>
      <c r="AX20" s="39">
        <f>資料儲存!G616</f>
        <v>0</v>
      </c>
      <c r="AY20" s="39">
        <f>資料儲存!H616</f>
        <v>0</v>
      </c>
      <c r="AZ20" s="39">
        <f>資料儲存!I616</f>
        <v>0</v>
      </c>
      <c r="BA20" s="39">
        <f>資料儲存!J616</f>
        <v>0</v>
      </c>
    </row>
    <row r="21" spans="1:53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13"/>
      <c r="AK21" s="40" t="s">
        <v>56</v>
      </c>
      <c r="AL21" s="39">
        <f>SUM(AL6:AO20)</f>
        <v>0</v>
      </c>
      <c r="AM21" s="37"/>
      <c r="AN21" s="37"/>
      <c r="AO21" s="37"/>
      <c r="AP21" s="39">
        <f>AP20</f>
        <v>0</v>
      </c>
      <c r="AQ21" s="39">
        <f>AQ20</f>
        <v>0</v>
      </c>
      <c r="AR21" s="39">
        <f>AR20</f>
        <v>0</v>
      </c>
      <c r="AT21" s="40" t="s">
        <v>56</v>
      </c>
      <c r="AU21" s="39">
        <f>SUM(AU6:AX20)</f>
        <v>0</v>
      </c>
      <c r="AV21" s="37"/>
      <c r="AW21" s="37"/>
      <c r="AX21" s="37"/>
      <c r="AY21" s="39">
        <f>AY20</f>
        <v>0</v>
      </c>
      <c r="AZ21" s="39">
        <f>AZ20</f>
        <v>0</v>
      </c>
      <c r="BA21" s="39">
        <f>BA20</f>
        <v>0</v>
      </c>
    </row>
    <row r="22" spans="1:53" ht="18.5" customHeight="1" thickBot="1">
      <c r="A22" s="248" t="s">
        <v>182</v>
      </c>
      <c r="B22" s="249"/>
      <c r="C22" s="249"/>
      <c r="D22" s="249"/>
      <c r="E22" s="249"/>
      <c r="F22" s="249"/>
      <c r="G22" s="249"/>
      <c r="H22" s="250"/>
      <c r="I22" s="13"/>
      <c r="J22" s="248" t="s">
        <v>182</v>
      </c>
      <c r="K22" s="249"/>
      <c r="L22" s="249"/>
      <c r="M22" s="249"/>
      <c r="N22" s="249"/>
      <c r="O22" s="249"/>
      <c r="P22" s="249"/>
      <c r="Q22" s="250"/>
      <c r="R22" s="13"/>
      <c r="S22" s="248" t="s">
        <v>182</v>
      </c>
      <c r="T22" s="249"/>
      <c r="U22" s="249"/>
      <c r="V22" s="249"/>
      <c r="W22" s="249"/>
      <c r="X22" s="249"/>
      <c r="Y22" s="249"/>
      <c r="Z22" s="250"/>
      <c r="AA22" s="13"/>
      <c r="AB22" s="248" t="s">
        <v>182</v>
      </c>
      <c r="AC22" s="249"/>
      <c r="AD22" s="249"/>
      <c r="AE22" s="249"/>
      <c r="AF22" s="249"/>
      <c r="AG22" s="249"/>
      <c r="AH22" s="249"/>
      <c r="AI22" s="250"/>
      <c r="AJ22" s="13"/>
      <c r="AK22" s="248" t="s">
        <v>182</v>
      </c>
      <c r="AL22" s="249"/>
      <c r="AM22" s="249"/>
      <c r="AN22" s="249"/>
      <c r="AO22" s="249"/>
      <c r="AP22" s="249"/>
      <c r="AQ22" s="249"/>
      <c r="AR22" s="250"/>
      <c r="AT22" s="248" t="s">
        <v>182</v>
      </c>
      <c r="AU22" s="249"/>
      <c r="AV22" s="249"/>
      <c r="AW22" s="249"/>
      <c r="AX22" s="249"/>
      <c r="AY22" s="249"/>
      <c r="AZ22" s="249"/>
      <c r="BA22" s="250"/>
    </row>
    <row r="23" spans="1:53" ht="17.25" customHeight="1" thickBot="1">
      <c r="A23" s="41" t="s">
        <v>2</v>
      </c>
      <c r="B23" s="42" t="s">
        <v>46</v>
      </c>
      <c r="C23" s="43"/>
      <c r="D23" s="43"/>
      <c r="E23" s="44"/>
      <c r="F23" s="42" t="s">
        <v>47</v>
      </c>
      <c r="G23" s="43"/>
      <c r="H23" s="44"/>
      <c r="I23" s="45"/>
      <c r="J23" s="41" t="s">
        <v>2</v>
      </c>
      <c r="K23" s="42" t="s">
        <v>46</v>
      </c>
      <c r="L23" s="43"/>
      <c r="M23" s="43"/>
      <c r="N23" s="44"/>
      <c r="O23" s="42" t="s">
        <v>47</v>
      </c>
      <c r="P23" s="43"/>
      <c r="Q23" s="44"/>
      <c r="R23" s="45"/>
      <c r="S23" s="41" t="s">
        <v>2</v>
      </c>
      <c r="T23" s="42" t="s">
        <v>46</v>
      </c>
      <c r="U23" s="43"/>
      <c r="V23" s="43"/>
      <c r="W23" s="44"/>
      <c r="X23" s="42" t="s">
        <v>47</v>
      </c>
      <c r="Y23" s="43"/>
      <c r="Z23" s="44"/>
      <c r="AA23" s="45"/>
      <c r="AB23" s="41" t="s">
        <v>2</v>
      </c>
      <c r="AC23" s="42" t="s">
        <v>46</v>
      </c>
      <c r="AD23" s="43"/>
      <c r="AE23" s="43"/>
      <c r="AF23" s="44"/>
      <c r="AG23" s="42" t="s">
        <v>47</v>
      </c>
      <c r="AH23" s="43"/>
      <c r="AI23" s="44"/>
      <c r="AJ23" s="13"/>
      <c r="AK23" s="41" t="s">
        <v>2</v>
      </c>
      <c r="AL23" s="42" t="s">
        <v>46</v>
      </c>
      <c r="AM23" s="43"/>
      <c r="AN23" s="43"/>
      <c r="AO23" s="44"/>
      <c r="AP23" s="42" t="s">
        <v>47</v>
      </c>
      <c r="AQ23" s="43"/>
      <c r="AR23" s="44"/>
      <c r="AT23" s="41" t="s">
        <v>2</v>
      </c>
      <c r="AU23" s="42" t="s">
        <v>46</v>
      </c>
      <c r="AV23" s="43"/>
      <c r="AW23" s="43"/>
      <c r="AX23" s="44"/>
      <c r="AY23" s="42" t="s">
        <v>47</v>
      </c>
      <c r="AZ23" s="43"/>
      <c r="BA23" s="44"/>
    </row>
    <row r="24" spans="1:53" ht="16" thickBot="1">
      <c r="A24" s="46">
        <v>0.28125</v>
      </c>
      <c r="B24" s="47" t="s">
        <v>49</v>
      </c>
      <c r="C24" s="47" t="s">
        <v>50</v>
      </c>
      <c r="D24" s="47" t="s">
        <v>51</v>
      </c>
      <c r="E24" s="47" t="s">
        <v>52</v>
      </c>
      <c r="F24" s="47" t="s">
        <v>53</v>
      </c>
      <c r="G24" s="47" t="s">
        <v>54</v>
      </c>
      <c r="H24" s="47" t="s">
        <v>55</v>
      </c>
      <c r="I24" s="45"/>
      <c r="J24" s="46">
        <v>0.28125</v>
      </c>
      <c r="K24" s="47" t="s">
        <v>49</v>
      </c>
      <c r="L24" s="47" t="s">
        <v>50</v>
      </c>
      <c r="M24" s="47" t="s">
        <v>51</v>
      </c>
      <c r="N24" s="47" t="s">
        <v>52</v>
      </c>
      <c r="O24" s="47" t="s">
        <v>53</v>
      </c>
      <c r="P24" s="47" t="s">
        <v>54</v>
      </c>
      <c r="Q24" s="47" t="s">
        <v>55</v>
      </c>
      <c r="R24" s="45"/>
      <c r="S24" s="46">
        <v>0.28125</v>
      </c>
      <c r="T24" s="47" t="s">
        <v>49</v>
      </c>
      <c r="U24" s="47" t="s">
        <v>50</v>
      </c>
      <c r="V24" s="47" t="s">
        <v>51</v>
      </c>
      <c r="W24" s="47" t="s">
        <v>52</v>
      </c>
      <c r="X24" s="47" t="s">
        <v>53</v>
      </c>
      <c r="Y24" s="47" t="s">
        <v>54</v>
      </c>
      <c r="Z24" s="47" t="s">
        <v>55</v>
      </c>
      <c r="AA24" s="45"/>
      <c r="AB24" s="46">
        <v>0.28125</v>
      </c>
      <c r="AC24" s="47" t="s">
        <v>49</v>
      </c>
      <c r="AD24" s="47" t="s">
        <v>50</v>
      </c>
      <c r="AE24" s="47" t="s">
        <v>51</v>
      </c>
      <c r="AF24" s="47" t="s">
        <v>52</v>
      </c>
      <c r="AG24" s="47" t="s">
        <v>53</v>
      </c>
      <c r="AH24" s="47" t="s">
        <v>54</v>
      </c>
      <c r="AI24" s="47" t="s">
        <v>55</v>
      </c>
      <c r="AJ24" s="13"/>
      <c r="AK24" s="46">
        <v>0.28125</v>
      </c>
      <c r="AL24" s="47" t="s">
        <v>49</v>
      </c>
      <c r="AM24" s="47" t="s">
        <v>50</v>
      </c>
      <c r="AN24" s="47" t="s">
        <v>51</v>
      </c>
      <c r="AO24" s="47" t="s">
        <v>52</v>
      </c>
      <c r="AP24" s="47" t="s">
        <v>53</v>
      </c>
      <c r="AQ24" s="47" t="s">
        <v>54</v>
      </c>
      <c r="AR24" s="47" t="s">
        <v>55</v>
      </c>
      <c r="AT24" s="46">
        <v>0.28125</v>
      </c>
      <c r="AU24" s="47" t="s">
        <v>49</v>
      </c>
      <c r="AV24" s="47" t="s">
        <v>50</v>
      </c>
      <c r="AW24" s="47" t="s">
        <v>51</v>
      </c>
      <c r="AX24" s="47" t="s">
        <v>52</v>
      </c>
      <c r="AY24" s="47" t="s">
        <v>53</v>
      </c>
      <c r="AZ24" s="47" t="s">
        <v>54</v>
      </c>
      <c r="BA24" s="47" t="s">
        <v>55</v>
      </c>
    </row>
    <row r="25" spans="1:53" ht="16" thickBot="1">
      <c r="A25" s="48">
        <v>46</v>
      </c>
      <c r="B25" s="49">
        <f>資料儲存!D17</f>
        <v>0</v>
      </c>
      <c r="C25" s="49">
        <f>資料儲存!E17</f>
        <v>0</v>
      </c>
      <c r="D25" s="49">
        <f>資料儲存!F17</f>
        <v>0</v>
      </c>
      <c r="E25" s="49">
        <f>資料儲存!G17</f>
        <v>0</v>
      </c>
      <c r="F25" s="49">
        <f>資料儲存!H17</f>
        <v>0</v>
      </c>
      <c r="G25" s="49">
        <f>資料儲存!I17</f>
        <v>0</v>
      </c>
      <c r="H25" s="49">
        <f>資料儲存!J17</f>
        <v>0</v>
      </c>
      <c r="I25" s="45"/>
      <c r="J25" s="48">
        <v>46</v>
      </c>
      <c r="K25" s="49">
        <f>資料儲存!D137</f>
        <v>0</v>
      </c>
      <c r="L25" s="49">
        <f>資料儲存!E137</f>
        <v>0</v>
      </c>
      <c r="M25" s="49">
        <f>資料儲存!F137</f>
        <v>0</v>
      </c>
      <c r="N25" s="49">
        <f>資料儲存!G137</f>
        <v>0</v>
      </c>
      <c r="O25" s="49">
        <f>資料儲存!H137</f>
        <v>0</v>
      </c>
      <c r="P25" s="49">
        <f>資料儲存!I137</f>
        <v>0</v>
      </c>
      <c r="Q25" s="49">
        <f>資料儲存!J137</f>
        <v>0</v>
      </c>
      <c r="R25" s="45"/>
      <c r="S25" s="48">
        <v>46</v>
      </c>
      <c r="T25" s="49">
        <f>資料儲存!D257</f>
        <v>0</v>
      </c>
      <c r="U25" s="49">
        <f>資料儲存!E257</f>
        <v>0</v>
      </c>
      <c r="V25" s="49">
        <f>資料儲存!F257</f>
        <v>0</v>
      </c>
      <c r="W25" s="49">
        <f>資料儲存!G257</f>
        <v>0</v>
      </c>
      <c r="X25" s="49">
        <f>資料儲存!H257</f>
        <v>0</v>
      </c>
      <c r="Y25" s="49">
        <f>資料儲存!I257</f>
        <v>0</v>
      </c>
      <c r="Z25" s="49">
        <f>資料儲存!J257</f>
        <v>0</v>
      </c>
      <c r="AA25" s="45"/>
      <c r="AB25" s="48">
        <v>46</v>
      </c>
      <c r="AC25" s="49">
        <f>資料儲存!D377</f>
        <v>0</v>
      </c>
      <c r="AD25" s="49">
        <f>資料儲存!E377</f>
        <v>0</v>
      </c>
      <c r="AE25" s="49">
        <f>資料儲存!F377</f>
        <v>0</v>
      </c>
      <c r="AF25" s="49">
        <f>資料儲存!G377</f>
        <v>0</v>
      </c>
      <c r="AG25" s="49">
        <f>資料儲存!H377</f>
        <v>0</v>
      </c>
      <c r="AH25" s="49">
        <f>資料儲存!I377</f>
        <v>0</v>
      </c>
      <c r="AI25" s="49">
        <f>資料儲存!J377</f>
        <v>0</v>
      </c>
      <c r="AJ25" s="13"/>
      <c r="AK25" s="48">
        <v>46</v>
      </c>
      <c r="AL25" s="49">
        <f>資料儲存!D497</f>
        <v>0</v>
      </c>
      <c r="AM25" s="49">
        <f>資料儲存!E497</f>
        <v>0</v>
      </c>
      <c r="AN25" s="49">
        <f>資料儲存!F497</f>
        <v>0</v>
      </c>
      <c r="AO25" s="49">
        <f>資料儲存!G497</f>
        <v>0</v>
      </c>
      <c r="AP25" s="49">
        <f>資料儲存!H497</f>
        <v>0</v>
      </c>
      <c r="AQ25" s="49">
        <f>資料儲存!I497</f>
        <v>0</v>
      </c>
      <c r="AR25" s="49">
        <f>資料儲存!J497</f>
        <v>0</v>
      </c>
      <c r="AT25" s="48">
        <v>46</v>
      </c>
      <c r="AU25" s="49">
        <f>資料儲存!D617</f>
        <v>0</v>
      </c>
      <c r="AV25" s="49">
        <f>資料儲存!E617</f>
        <v>0</v>
      </c>
      <c r="AW25" s="49">
        <f>資料儲存!F617</f>
        <v>0</v>
      </c>
      <c r="AX25" s="49">
        <f>資料儲存!G617</f>
        <v>0</v>
      </c>
      <c r="AY25" s="49">
        <f>資料儲存!H617</f>
        <v>0</v>
      </c>
      <c r="AZ25" s="49">
        <f>資料儲存!I617</f>
        <v>0</v>
      </c>
      <c r="BA25" s="49">
        <f>資料儲存!J617</f>
        <v>0</v>
      </c>
    </row>
    <row r="26" spans="1:53" ht="16" thickBot="1">
      <c r="A26" s="48">
        <v>47</v>
      </c>
      <c r="B26" s="49">
        <f>資料儲存!D18</f>
        <v>0</v>
      </c>
      <c r="C26" s="49">
        <f>資料儲存!E18</f>
        <v>0</v>
      </c>
      <c r="D26" s="49">
        <f>資料儲存!F18</f>
        <v>0</v>
      </c>
      <c r="E26" s="49">
        <f>資料儲存!G18</f>
        <v>0</v>
      </c>
      <c r="F26" s="49">
        <f>資料儲存!H18</f>
        <v>0</v>
      </c>
      <c r="G26" s="49">
        <f>資料儲存!I18</f>
        <v>0</v>
      </c>
      <c r="H26" s="49">
        <f>資料儲存!J18</f>
        <v>0</v>
      </c>
      <c r="I26" s="45"/>
      <c r="J26" s="48">
        <v>47</v>
      </c>
      <c r="K26" s="49">
        <f>資料儲存!D138</f>
        <v>0</v>
      </c>
      <c r="L26" s="49">
        <f>資料儲存!E138</f>
        <v>0</v>
      </c>
      <c r="M26" s="49">
        <f>資料儲存!F138</f>
        <v>0</v>
      </c>
      <c r="N26" s="49">
        <f>資料儲存!G138</f>
        <v>0</v>
      </c>
      <c r="O26" s="49">
        <f>資料儲存!H138</f>
        <v>0</v>
      </c>
      <c r="P26" s="49">
        <f>資料儲存!I138</f>
        <v>0</v>
      </c>
      <c r="Q26" s="49">
        <f>資料儲存!J138</f>
        <v>0</v>
      </c>
      <c r="R26" s="45"/>
      <c r="S26" s="48">
        <v>47</v>
      </c>
      <c r="T26" s="49">
        <f>資料儲存!D258</f>
        <v>0</v>
      </c>
      <c r="U26" s="49">
        <f>資料儲存!E258</f>
        <v>0</v>
      </c>
      <c r="V26" s="49">
        <f>資料儲存!F258</f>
        <v>0</v>
      </c>
      <c r="W26" s="49">
        <f>資料儲存!G258</f>
        <v>0</v>
      </c>
      <c r="X26" s="49">
        <f>資料儲存!H258</f>
        <v>0</v>
      </c>
      <c r="Y26" s="49">
        <f>資料儲存!I258</f>
        <v>0</v>
      </c>
      <c r="Z26" s="49">
        <f>資料儲存!J258</f>
        <v>0</v>
      </c>
      <c r="AA26" s="45"/>
      <c r="AB26" s="48">
        <v>47</v>
      </c>
      <c r="AC26" s="49">
        <f>資料儲存!D378</f>
        <v>0</v>
      </c>
      <c r="AD26" s="49">
        <f>資料儲存!E378</f>
        <v>0</v>
      </c>
      <c r="AE26" s="49">
        <f>資料儲存!F378</f>
        <v>0</v>
      </c>
      <c r="AF26" s="49">
        <f>資料儲存!G378</f>
        <v>0</v>
      </c>
      <c r="AG26" s="49">
        <f>資料儲存!H378</f>
        <v>0</v>
      </c>
      <c r="AH26" s="49">
        <f>資料儲存!I378</f>
        <v>0</v>
      </c>
      <c r="AI26" s="49">
        <f>資料儲存!J378</f>
        <v>0</v>
      </c>
      <c r="AJ26" s="13"/>
      <c r="AK26" s="48">
        <v>47</v>
      </c>
      <c r="AL26" s="49">
        <f>資料儲存!D498</f>
        <v>0</v>
      </c>
      <c r="AM26" s="49">
        <f>資料儲存!E498</f>
        <v>0</v>
      </c>
      <c r="AN26" s="49">
        <f>資料儲存!F498</f>
        <v>0</v>
      </c>
      <c r="AO26" s="49">
        <f>資料儲存!G498</f>
        <v>0</v>
      </c>
      <c r="AP26" s="49">
        <f>資料儲存!H498</f>
        <v>0</v>
      </c>
      <c r="AQ26" s="49">
        <f>資料儲存!I498</f>
        <v>0</v>
      </c>
      <c r="AR26" s="49">
        <f>資料儲存!J498</f>
        <v>0</v>
      </c>
      <c r="AT26" s="48">
        <v>47</v>
      </c>
      <c r="AU26" s="49">
        <f>資料儲存!D618</f>
        <v>0</v>
      </c>
      <c r="AV26" s="49">
        <f>資料儲存!E618</f>
        <v>0</v>
      </c>
      <c r="AW26" s="49">
        <f>資料儲存!F618</f>
        <v>0</v>
      </c>
      <c r="AX26" s="49">
        <f>資料儲存!G618</f>
        <v>0</v>
      </c>
      <c r="AY26" s="49">
        <f>資料儲存!H618</f>
        <v>0</v>
      </c>
      <c r="AZ26" s="49">
        <f>資料儲存!I618</f>
        <v>0</v>
      </c>
      <c r="BA26" s="49">
        <f>資料儲存!J618</f>
        <v>0</v>
      </c>
    </row>
    <row r="27" spans="1:53" ht="16" thickBot="1">
      <c r="A27" s="48">
        <v>48</v>
      </c>
      <c r="B27" s="49">
        <f>資料儲存!D19</f>
        <v>0</v>
      </c>
      <c r="C27" s="49">
        <f>資料儲存!E19</f>
        <v>0</v>
      </c>
      <c r="D27" s="49">
        <f>資料儲存!F19</f>
        <v>0</v>
      </c>
      <c r="E27" s="49">
        <f>資料儲存!G19</f>
        <v>0</v>
      </c>
      <c r="F27" s="49">
        <f>資料儲存!H19</f>
        <v>0</v>
      </c>
      <c r="G27" s="49">
        <f>資料儲存!I19</f>
        <v>0</v>
      </c>
      <c r="H27" s="49">
        <f>資料儲存!J19</f>
        <v>0</v>
      </c>
      <c r="I27" s="45"/>
      <c r="J27" s="48">
        <v>48</v>
      </c>
      <c r="K27" s="49">
        <f>資料儲存!D139</f>
        <v>0</v>
      </c>
      <c r="L27" s="49">
        <f>資料儲存!E139</f>
        <v>0</v>
      </c>
      <c r="M27" s="49">
        <f>資料儲存!F139</f>
        <v>0</v>
      </c>
      <c r="N27" s="49">
        <f>資料儲存!G139</f>
        <v>0</v>
      </c>
      <c r="O27" s="49">
        <f>資料儲存!H139</f>
        <v>0</v>
      </c>
      <c r="P27" s="49">
        <f>資料儲存!I139</f>
        <v>0</v>
      </c>
      <c r="Q27" s="49">
        <f>資料儲存!J139</f>
        <v>0</v>
      </c>
      <c r="R27" s="45"/>
      <c r="S27" s="48">
        <v>48</v>
      </c>
      <c r="T27" s="49">
        <f>資料儲存!D259</f>
        <v>0</v>
      </c>
      <c r="U27" s="49">
        <f>資料儲存!E259</f>
        <v>0</v>
      </c>
      <c r="V27" s="49">
        <f>資料儲存!F259</f>
        <v>0</v>
      </c>
      <c r="W27" s="49">
        <f>資料儲存!G259</f>
        <v>0</v>
      </c>
      <c r="X27" s="49">
        <f>資料儲存!H259</f>
        <v>0</v>
      </c>
      <c r="Y27" s="49">
        <f>資料儲存!I259</f>
        <v>0</v>
      </c>
      <c r="Z27" s="49">
        <f>資料儲存!J259</f>
        <v>0</v>
      </c>
      <c r="AA27" s="45"/>
      <c r="AB27" s="48">
        <v>48</v>
      </c>
      <c r="AC27" s="49">
        <f>資料儲存!D379</f>
        <v>0</v>
      </c>
      <c r="AD27" s="49">
        <f>資料儲存!E379</f>
        <v>0</v>
      </c>
      <c r="AE27" s="49">
        <f>資料儲存!F379</f>
        <v>0</v>
      </c>
      <c r="AF27" s="49">
        <f>資料儲存!G379</f>
        <v>0</v>
      </c>
      <c r="AG27" s="49">
        <f>資料儲存!H379</f>
        <v>0</v>
      </c>
      <c r="AH27" s="49">
        <f>資料儲存!I379</f>
        <v>0</v>
      </c>
      <c r="AI27" s="49">
        <f>資料儲存!J379</f>
        <v>0</v>
      </c>
      <c r="AJ27" s="13"/>
      <c r="AK27" s="48">
        <v>48</v>
      </c>
      <c r="AL27" s="49">
        <f>資料儲存!D499</f>
        <v>0</v>
      </c>
      <c r="AM27" s="49">
        <f>資料儲存!E499</f>
        <v>0</v>
      </c>
      <c r="AN27" s="49">
        <f>資料儲存!F499</f>
        <v>0</v>
      </c>
      <c r="AO27" s="49">
        <f>資料儲存!G499</f>
        <v>0</v>
      </c>
      <c r="AP27" s="49">
        <f>資料儲存!H499</f>
        <v>0</v>
      </c>
      <c r="AQ27" s="49">
        <f>資料儲存!I499</f>
        <v>0</v>
      </c>
      <c r="AR27" s="49">
        <f>資料儲存!J499</f>
        <v>0</v>
      </c>
      <c r="AT27" s="48">
        <v>48</v>
      </c>
      <c r="AU27" s="49">
        <f>資料儲存!D619</f>
        <v>0</v>
      </c>
      <c r="AV27" s="49">
        <f>資料儲存!E619</f>
        <v>0</v>
      </c>
      <c r="AW27" s="49">
        <f>資料儲存!F619</f>
        <v>0</v>
      </c>
      <c r="AX27" s="49">
        <f>資料儲存!G619</f>
        <v>0</v>
      </c>
      <c r="AY27" s="49">
        <f>資料儲存!H619</f>
        <v>0</v>
      </c>
      <c r="AZ27" s="49">
        <f>資料儲存!I619</f>
        <v>0</v>
      </c>
      <c r="BA27" s="49">
        <f>資料儲存!J619</f>
        <v>0</v>
      </c>
    </row>
    <row r="28" spans="1:53" ht="16" thickBot="1">
      <c r="A28" s="48">
        <v>49</v>
      </c>
      <c r="B28" s="49">
        <f>資料儲存!D20</f>
        <v>0</v>
      </c>
      <c r="C28" s="49">
        <f>資料儲存!E20</f>
        <v>0</v>
      </c>
      <c r="D28" s="49">
        <f>資料儲存!F20</f>
        <v>0</v>
      </c>
      <c r="E28" s="49">
        <f>資料儲存!G20</f>
        <v>0</v>
      </c>
      <c r="F28" s="49">
        <f>資料儲存!H20</f>
        <v>0</v>
      </c>
      <c r="G28" s="49">
        <f>資料儲存!I20</f>
        <v>0</v>
      </c>
      <c r="H28" s="49">
        <f>資料儲存!J20</f>
        <v>0</v>
      </c>
      <c r="I28" s="45"/>
      <c r="J28" s="48">
        <v>49</v>
      </c>
      <c r="K28" s="49">
        <f>資料儲存!D140</f>
        <v>0</v>
      </c>
      <c r="L28" s="49">
        <f>資料儲存!E140</f>
        <v>0</v>
      </c>
      <c r="M28" s="49">
        <f>資料儲存!F140</f>
        <v>0</v>
      </c>
      <c r="N28" s="49">
        <f>資料儲存!G140</f>
        <v>0</v>
      </c>
      <c r="O28" s="49">
        <f>資料儲存!H140</f>
        <v>0</v>
      </c>
      <c r="P28" s="49">
        <f>資料儲存!I140</f>
        <v>0</v>
      </c>
      <c r="Q28" s="49">
        <f>資料儲存!J140</f>
        <v>0</v>
      </c>
      <c r="R28" s="45"/>
      <c r="S28" s="48">
        <v>49</v>
      </c>
      <c r="T28" s="49">
        <f>資料儲存!D260</f>
        <v>0</v>
      </c>
      <c r="U28" s="49">
        <f>資料儲存!E260</f>
        <v>0</v>
      </c>
      <c r="V28" s="49">
        <f>資料儲存!F260</f>
        <v>0</v>
      </c>
      <c r="W28" s="49">
        <f>資料儲存!G260</f>
        <v>0</v>
      </c>
      <c r="X28" s="49">
        <f>資料儲存!H260</f>
        <v>0</v>
      </c>
      <c r="Y28" s="49">
        <f>資料儲存!I260</f>
        <v>0</v>
      </c>
      <c r="Z28" s="49">
        <f>資料儲存!J260</f>
        <v>0</v>
      </c>
      <c r="AA28" s="45"/>
      <c r="AB28" s="48">
        <v>49</v>
      </c>
      <c r="AC28" s="49">
        <f>資料儲存!D380</f>
        <v>0</v>
      </c>
      <c r="AD28" s="49">
        <f>資料儲存!E380</f>
        <v>0</v>
      </c>
      <c r="AE28" s="49">
        <f>資料儲存!F380</f>
        <v>0</v>
      </c>
      <c r="AF28" s="49">
        <f>資料儲存!G380</f>
        <v>0</v>
      </c>
      <c r="AG28" s="49">
        <f>資料儲存!H380</f>
        <v>0</v>
      </c>
      <c r="AH28" s="49">
        <f>資料儲存!I380</f>
        <v>0</v>
      </c>
      <c r="AI28" s="49">
        <f>資料儲存!J380</f>
        <v>0</v>
      </c>
      <c r="AJ28" s="13"/>
      <c r="AK28" s="48">
        <v>49</v>
      </c>
      <c r="AL28" s="49">
        <f>資料儲存!D500</f>
        <v>0</v>
      </c>
      <c r="AM28" s="49">
        <f>資料儲存!E500</f>
        <v>0</v>
      </c>
      <c r="AN28" s="49">
        <f>資料儲存!F500</f>
        <v>0</v>
      </c>
      <c r="AO28" s="49">
        <f>資料儲存!G500</f>
        <v>0</v>
      </c>
      <c r="AP28" s="49">
        <f>資料儲存!H500</f>
        <v>0</v>
      </c>
      <c r="AQ28" s="49">
        <f>資料儲存!I500</f>
        <v>0</v>
      </c>
      <c r="AR28" s="49">
        <f>資料儲存!J500</f>
        <v>0</v>
      </c>
      <c r="AT28" s="48">
        <v>49</v>
      </c>
      <c r="AU28" s="49">
        <f>資料儲存!D620</f>
        <v>0</v>
      </c>
      <c r="AV28" s="49">
        <f>資料儲存!E620</f>
        <v>0</v>
      </c>
      <c r="AW28" s="49">
        <f>資料儲存!F620</f>
        <v>0</v>
      </c>
      <c r="AX28" s="49">
        <f>資料儲存!G620</f>
        <v>0</v>
      </c>
      <c r="AY28" s="49">
        <f>資料儲存!H620</f>
        <v>0</v>
      </c>
      <c r="AZ28" s="49">
        <f>資料儲存!I620</f>
        <v>0</v>
      </c>
      <c r="BA28" s="49">
        <f>資料儲存!J620</f>
        <v>0</v>
      </c>
    </row>
    <row r="29" spans="1:53" ht="16" thickBot="1">
      <c r="A29" s="48">
        <v>50</v>
      </c>
      <c r="B29" s="49">
        <f>資料儲存!D21</f>
        <v>0</v>
      </c>
      <c r="C29" s="49">
        <f>資料儲存!E21</f>
        <v>0</v>
      </c>
      <c r="D29" s="49">
        <f>資料儲存!F21</f>
        <v>0</v>
      </c>
      <c r="E29" s="49">
        <f>資料儲存!G21</f>
        <v>0</v>
      </c>
      <c r="F29" s="49">
        <f>資料儲存!H21</f>
        <v>0</v>
      </c>
      <c r="G29" s="49">
        <f>資料儲存!I21</f>
        <v>0</v>
      </c>
      <c r="H29" s="49">
        <f>資料儲存!J21</f>
        <v>0</v>
      </c>
      <c r="I29" s="45"/>
      <c r="J29" s="48">
        <v>50</v>
      </c>
      <c r="K29" s="49">
        <f>資料儲存!D141</f>
        <v>0</v>
      </c>
      <c r="L29" s="49">
        <f>資料儲存!E141</f>
        <v>0</v>
      </c>
      <c r="M29" s="49">
        <f>資料儲存!F141</f>
        <v>0</v>
      </c>
      <c r="N29" s="49">
        <f>資料儲存!G141</f>
        <v>0</v>
      </c>
      <c r="O29" s="49">
        <f>資料儲存!H141</f>
        <v>0</v>
      </c>
      <c r="P29" s="49">
        <f>資料儲存!I141</f>
        <v>0</v>
      </c>
      <c r="Q29" s="49">
        <f>資料儲存!J141</f>
        <v>0</v>
      </c>
      <c r="R29" s="45"/>
      <c r="S29" s="48">
        <v>50</v>
      </c>
      <c r="T29" s="49">
        <f>資料儲存!D261</f>
        <v>0</v>
      </c>
      <c r="U29" s="49">
        <f>資料儲存!E261</f>
        <v>0</v>
      </c>
      <c r="V29" s="49">
        <f>資料儲存!F261</f>
        <v>0</v>
      </c>
      <c r="W29" s="49">
        <f>資料儲存!G261</f>
        <v>0</v>
      </c>
      <c r="X29" s="49">
        <f>資料儲存!H261</f>
        <v>0</v>
      </c>
      <c r="Y29" s="49">
        <f>資料儲存!I261</f>
        <v>0</v>
      </c>
      <c r="Z29" s="49">
        <f>資料儲存!J261</f>
        <v>0</v>
      </c>
      <c r="AA29" s="45"/>
      <c r="AB29" s="48">
        <v>50</v>
      </c>
      <c r="AC29" s="49">
        <f>資料儲存!D381</f>
        <v>0</v>
      </c>
      <c r="AD29" s="49">
        <f>資料儲存!E381</f>
        <v>0</v>
      </c>
      <c r="AE29" s="49">
        <f>資料儲存!F381</f>
        <v>0</v>
      </c>
      <c r="AF29" s="49">
        <f>資料儲存!G381</f>
        <v>0</v>
      </c>
      <c r="AG29" s="49">
        <f>資料儲存!H381</f>
        <v>0</v>
      </c>
      <c r="AH29" s="49">
        <f>資料儲存!I381</f>
        <v>0</v>
      </c>
      <c r="AI29" s="49">
        <f>資料儲存!J381</f>
        <v>0</v>
      </c>
      <c r="AJ29" s="13"/>
      <c r="AK29" s="48">
        <v>50</v>
      </c>
      <c r="AL29" s="49">
        <f>資料儲存!D501</f>
        <v>0</v>
      </c>
      <c r="AM29" s="49">
        <f>資料儲存!E501</f>
        <v>0</v>
      </c>
      <c r="AN29" s="49">
        <f>資料儲存!F501</f>
        <v>0</v>
      </c>
      <c r="AO29" s="49">
        <f>資料儲存!G501</f>
        <v>0</v>
      </c>
      <c r="AP29" s="49">
        <f>資料儲存!H501</f>
        <v>0</v>
      </c>
      <c r="AQ29" s="49">
        <f>資料儲存!I501</f>
        <v>0</v>
      </c>
      <c r="AR29" s="49">
        <f>資料儲存!J501</f>
        <v>0</v>
      </c>
      <c r="AT29" s="48">
        <v>50</v>
      </c>
      <c r="AU29" s="49">
        <f>資料儲存!D621</f>
        <v>0</v>
      </c>
      <c r="AV29" s="49">
        <f>資料儲存!E621</f>
        <v>0</v>
      </c>
      <c r="AW29" s="49">
        <f>資料儲存!F621</f>
        <v>0</v>
      </c>
      <c r="AX29" s="49">
        <f>資料儲存!G621</f>
        <v>0</v>
      </c>
      <c r="AY29" s="49">
        <f>資料儲存!H621</f>
        <v>0</v>
      </c>
      <c r="AZ29" s="49">
        <f>資料儲存!I621</f>
        <v>0</v>
      </c>
      <c r="BA29" s="49">
        <f>資料儲存!J621</f>
        <v>0</v>
      </c>
    </row>
    <row r="30" spans="1:53" ht="16" thickBot="1">
      <c r="A30" s="48">
        <v>51</v>
      </c>
      <c r="B30" s="49">
        <f>資料儲存!D22</f>
        <v>0</v>
      </c>
      <c r="C30" s="49">
        <f>資料儲存!E22</f>
        <v>0</v>
      </c>
      <c r="D30" s="49">
        <f>資料儲存!F22</f>
        <v>0</v>
      </c>
      <c r="E30" s="49">
        <f>資料儲存!G22</f>
        <v>0</v>
      </c>
      <c r="F30" s="49">
        <f>資料儲存!H22</f>
        <v>0</v>
      </c>
      <c r="G30" s="49">
        <f>資料儲存!I22</f>
        <v>0</v>
      </c>
      <c r="H30" s="49">
        <f>資料儲存!J22</f>
        <v>0</v>
      </c>
      <c r="I30" s="45"/>
      <c r="J30" s="48">
        <v>51</v>
      </c>
      <c r="K30" s="49">
        <f>資料儲存!D142</f>
        <v>0</v>
      </c>
      <c r="L30" s="49">
        <f>資料儲存!E142</f>
        <v>0</v>
      </c>
      <c r="M30" s="49">
        <f>資料儲存!F142</f>
        <v>0</v>
      </c>
      <c r="N30" s="49">
        <f>資料儲存!G142</f>
        <v>0</v>
      </c>
      <c r="O30" s="49">
        <f>資料儲存!H142</f>
        <v>0</v>
      </c>
      <c r="P30" s="49">
        <f>資料儲存!I142</f>
        <v>0</v>
      </c>
      <c r="Q30" s="49">
        <f>資料儲存!J142</f>
        <v>0</v>
      </c>
      <c r="R30" s="45"/>
      <c r="S30" s="48">
        <v>51</v>
      </c>
      <c r="T30" s="49">
        <f>資料儲存!D262</f>
        <v>0</v>
      </c>
      <c r="U30" s="49">
        <f>資料儲存!E262</f>
        <v>0</v>
      </c>
      <c r="V30" s="49">
        <f>資料儲存!F262</f>
        <v>0</v>
      </c>
      <c r="W30" s="49">
        <f>資料儲存!G262</f>
        <v>0</v>
      </c>
      <c r="X30" s="49">
        <f>資料儲存!H262</f>
        <v>0</v>
      </c>
      <c r="Y30" s="49">
        <f>資料儲存!I262</f>
        <v>0</v>
      </c>
      <c r="Z30" s="49">
        <f>資料儲存!J262</f>
        <v>0</v>
      </c>
      <c r="AA30" s="45"/>
      <c r="AB30" s="48">
        <v>51</v>
      </c>
      <c r="AC30" s="49">
        <f>資料儲存!D382</f>
        <v>0</v>
      </c>
      <c r="AD30" s="49">
        <f>資料儲存!E382</f>
        <v>0</v>
      </c>
      <c r="AE30" s="49">
        <f>資料儲存!F382</f>
        <v>0</v>
      </c>
      <c r="AF30" s="49">
        <f>資料儲存!G382</f>
        <v>0</v>
      </c>
      <c r="AG30" s="49">
        <f>資料儲存!H382</f>
        <v>0</v>
      </c>
      <c r="AH30" s="49">
        <f>資料儲存!I382</f>
        <v>0</v>
      </c>
      <c r="AI30" s="49">
        <f>資料儲存!J382</f>
        <v>0</v>
      </c>
      <c r="AJ30" s="13"/>
      <c r="AK30" s="48">
        <v>51</v>
      </c>
      <c r="AL30" s="49">
        <f>資料儲存!D502</f>
        <v>0</v>
      </c>
      <c r="AM30" s="49">
        <f>資料儲存!E502</f>
        <v>0</v>
      </c>
      <c r="AN30" s="49">
        <f>資料儲存!F502</f>
        <v>0</v>
      </c>
      <c r="AO30" s="49">
        <f>資料儲存!G502</f>
        <v>0</v>
      </c>
      <c r="AP30" s="49">
        <f>資料儲存!H502</f>
        <v>0</v>
      </c>
      <c r="AQ30" s="49">
        <f>資料儲存!I502</f>
        <v>0</v>
      </c>
      <c r="AR30" s="49">
        <f>資料儲存!J502</f>
        <v>0</v>
      </c>
      <c r="AT30" s="48">
        <v>51</v>
      </c>
      <c r="AU30" s="49">
        <f>資料儲存!D622</f>
        <v>0</v>
      </c>
      <c r="AV30" s="49">
        <f>資料儲存!E622</f>
        <v>0</v>
      </c>
      <c r="AW30" s="49">
        <f>資料儲存!F622</f>
        <v>0</v>
      </c>
      <c r="AX30" s="49">
        <f>資料儲存!G622</f>
        <v>0</v>
      </c>
      <c r="AY30" s="49">
        <f>資料儲存!H622</f>
        <v>0</v>
      </c>
      <c r="AZ30" s="49">
        <f>資料儲存!I622</f>
        <v>0</v>
      </c>
      <c r="BA30" s="49">
        <f>資料儲存!J622</f>
        <v>0</v>
      </c>
    </row>
    <row r="31" spans="1:53" ht="16" thickBot="1">
      <c r="A31" s="48">
        <v>52</v>
      </c>
      <c r="B31" s="49">
        <f>資料儲存!D23</f>
        <v>0</v>
      </c>
      <c r="C31" s="49">
        <f>資料儲存!E23</f>
        <v>0</v>
      </c>
      <c r="D31" s="49">
        <f>資料儲存!F23</f>
        <v>0</v>
      </c>
      <c r="E31" s="49">
        <f>資料儲存!G23</f>
        <v>0</v>
      </c>
      <c r="F31" s="49">
        <f>資料儲存!H23</f>
        <v>0</v>
      </c>
      <c r="G31" s="49">
        <f>資料儲存!I23</f>
        <v>0</v>
      </c>
      <c r="H31" s="49">
        <f>資料儲存!J23</f>
        <v>0</v>
      </c>
      <c r="I31" s="45"/>
      <c r="J31" s="48">
        <v>52</v>
      </c>
      <c r="K31" s="49">
        <f>資料儲存!D143</f>
        <v>0</v>
      </c>
      <c r="L31" s="49">
        <f>資料儲存!E143</f>
        <v>0</v>
      </c>
      <c r="M31" s="49">
        <f>資料儲存!F143</f>
        <v>0</v>
      </c>
      <c r="N31" s="49">
        <f>資料儲存!G143</f>
        <v>0</v>
      </c>
      <c r="O31" s="49">
        <f>資料儲存!H143</f>
        <v>0</v>
      </c>
      <c r="P31" s="49">
        <f>資料儲存!I143</f>
        <v>0</v>
      </c>
      <c r="Q31" s="49">
        <f>資料儲存!J143</f>
        <v>0</v>
      </c>
      <c r="R31" s="45"/>
      <c r="S31" s="48">
        <v>52</v>
      </c>
      <c r="T31" s="49">
        <f>資料儲存!D263</f>
        <v>0</v>
      </c>
      <c r="U31" s="49">
        <f>資料儲存!E263</f>
        <v>0</v>
      </c>
      <c r="V31" s="49">
        <f>資料儲存!F263</f>
        <v>0</v>
      </c>
      <c r="W31" s="49">
        <f>資料儲存!G263</f>
        <v>0</v>
      </c>
      <c r="X31" s="49">
        <f>資料儲存!H263</f>
        <v>0</v>
      </c>
      <c r="Y31" s="49">
        <f>資料儲存!I263</f>
        <v>0</v>
      </c>
      <c r="Z31" s="49">
        <f>資料儲存!J263</f>
        <v>0</v>
      </c>
      <c r="AA31" s="45"/>
      <c r="AB31" s="48">
        <v>52</v>
      </c>
      <c r="AC31" s="49">
        <f>資料儲存!D383</f>
        <v>0</v>
      </c>
      <c r="AD31" s="49">
        <f>資料儲存!E383</f>
        <v>0</v>
      </c>
      <c r="AE31" s="49">
        <f>資料儲存!F383</f>
        <v>0</v>
      </c>
      <c r="AF31" s="49">
        <f>資料儲存!G383</f>
        <v>0</v>
      </c>
      <c r="AG31" s="49">
        <f>資料儲存!H383</f>
        <v>0</v>
      </c>
      <c r="AH31" s="49">
        <f>資料儲存!I383</f>
        <v>0</v>
      </c>
      <c r="AI31" s="49">
        <f>資料儲存!J383</f>
        <v>0</v>
      </c>
      <c r="AJ31" s="13"/>
      <c r="AK31" s="48">
        <v>52</v>
      </c>
      <c r="AL31" s="49">
        <f>資料儲存!D503</f>
        <v>0</v>
      </c>
      <c r="AM31" s="49">
        <f>資料儲存!E503</f>
        <v>0</v>
      </c>
      <c r="AN31" s="49">
        <f>資料儲存!F503</f>
        <v>0</v>
      </c>
      <c r="AO31" s="49">
        <f>資料儲存!G503</f>
        <v>0</v>
      </c>
      <c r="AP31" s="49">
        <f>資料儲存!H503</f>
        <v>0</v>
      </c>
      <c r="AQ31" s="49">
        <f>資料儲存!I503</f>
        <v>0</v>
      </c>
      <c r="AR31" s="49">
        <f>資料儲存!J503</f>
        <v>0</v>
      </c>
      <c r="AT31" s="48">
        <v>52</v>
      </c>
      <c r="AU31" s="49">
        <f>資料儲存!D623</f>
        <v>0</v>
      </c>
      <c r="AV31" s="49">
        <f>資料儲存!E623</f>
        <v>0</v>
      </c>
      <c r="AW31" s="49">
        <f>資料儲存!F623</f>
        <v>0</v>
      </c>
      <c r="AX31" s="49">
        <f>資料儲存!G623</f>
        <v>0</v>
      </c>
      <c r="AY31" s="49">
        <f>資料儲存!H623</f>
        <v>0</v>
      </c>
      <c r="AZ31" s="49">
        <f>資料儲存!I623</f>
        <v>0</v>
      </c>
      <c r="BA31" s="49">
        <f>資料儲存!J623</f>
        <v>0</v>
      </c>
    </row>
    <row r="32" spans="1:53" ht="16" thickBot="1">
      <c r="A32" s="48">
        <v>53</v>
      </c>
      <c r="B32" s="49">
        <f>資料儲存!D24</f>
        <v>0</v>
      </c>
      <c r="C32" s="49">
        <f>資料儲存!E24</f>
        <v>0</v>
      </c>
      <c r="D32" s="49">
        <f>資料儲存!F24</f>
        <v>0</v>
      </c>
      <c r="E32" s="49">
        <f>資料儲存!G24</f>
        <v>0</v>
      </c>
      <c r="F32" s="49">
        <f>資料儲存!H24</f>
        <v>0</v>
      </c>
      <c r="G32" s="49">
        <f>資料儲存!I24</f>
        <v>0</v>
      </c>
      <c r="H32" s="49">
        <f>資料儲存!J24</f>
        <v>0</v>
      </c>
      <c r="I32" s="45"/>
      <c r="J32" s="48">
        <v>53</v>
      </c>
      <c r="K32" s="49">
        <f>資料儲存!D144</f>
        <v>0</v>
      </c>
      <c r="L32" s="49">
        <f>資料儲存!E144</f>
        <v>0</v>
      </c>
      <c r="M32" s="49">
        <f>資料儲存!F144</f>
        <v>0</v>
      </c>
      <c r="N32" s="49">
        <f>資料儲存!G144</f>
        <v>0</v>
      </c>
      <c r="O32" s="49">
        <f>資料儲存!H144</f>
        <v>0</v>
      </c>
      <c r="P32" s="49">
        <f>資料儲存!I144</f>
        <v>0</v>
      </c>
      <c r="Q32" s="49">
        <f>資料儲存!J144</f>
        <v>0</v>
      </c>
      <c r="R32" s="45"/>
      <c r="S32" s="48">
        <v>53</v>
      </c>
      <c r="T32" s="49">
        <f>資料儲存!D264</f>
        <v>0</v>
      </c>
      <c r="U32" s="49">
        <f>資料儲存!E264</f>
        <v>0</v>
      </c>
      <c r="V32" s="49">
        <f>資料儲存!F264</f>
        <v>0</v>
      </c>
      <c r="W32" s="49">
        <f>資料儲存!G264</f>
        <v>0</v>
      </c>
      <c r="X32" s="49">
        <f>資料儲存!H264</f>
        <v>0</v>
      </c>
      <c r="Y32" s="49">
        <f>資料儲存!I264</f>
        <v>0</v>
      </c>
      <c r="Z32" s="49">
        <f>資料儲存!J264</f>
        <v>0</v>
      </c>
      <c r="AA32" s="45"/>
      <c r="AB32" s="48">
        <v>53</v>
      </c>
      <c r="AC32" s="49">
        <f>資料儲存!D384</f>
        <v>0</v>
      </c>
      <c r="AD32" s="49">
        <f>資料儲存!E384</f>
        <v>0</v>
      </c>
      <c r="AE32" s="49">
        <f>資料儲存!F384</f>
        <v>0</v>
      </c>
      <c r="AF32" s="49">
        <f>資料儲存!G384</f>
        <v>0</v>
      </c>
      <c r="AG32" s="49">
        <f>資料儲存!H384</f>
        <v>0</v>
      </c>
      <c r="AH32" s="49">
        <f>資料儲存!I384</f>
        <v>0</v>
      </c>
      <c r="AI32" s="49">
        <f>資料儲存!J384</f>
        <v>0</v>
      </c>
      <c r="AJ32" s="13"/>
      <c r="AK32" s="48">
        <v>53</v>
      </c>
      <c r="AL32" s="49">
        <f>資料儲存!D504</f>
        <v>0</v>
      </c>
      <c r="AM32" s="49">
        <f>資料儲存!E504</f>
        <v>0</v>
      </c>
      <c r="AN32" s="49">
        <f>資料儲存!F504</f>
        <v>0</v>
      </c>
      <c r="AO32" s="49">
        <f>資料儲存!G504</f>
        <v>0</v>
      </c>
      <c r="AP32" s="49">
        <f>資料儲存!H504</f>
        <v>0</v>
      </c>
      <c r="AQ32" s="49">
        <f>資料儲存!I504</f>
        <v>0</v>
      </c>
      <c r="AR32" s="49">
        <f>資料儲存!J504</f>
        <v>0</v>
      </c>
      <c r="AT32" s="48">
        <v>53</v>
      </c>
      <c r="AU32" s="49">
        <f>資料儲存!D624</f>
        <v>0</v>
      </c>
      <c r="AV32" s="49">
        <f>資料儲存!E624</f>
        <v>0</v>
      </c>
      <c r="AW32" s="49">
        <f>資料儲存!F624</f>
        <v>0</v>
      </c>
      <c r="AX32" s="49">
        <f>資料儲存!G624</f>
        <v>0</v>
      </c>
      <c r="AY32" s="49">
        <f>資料儲存!H624</f>
        <v>0</v>
      </c>
      <c r="AZ32" s="49">
        <f>資料儲存!I624</f>
        <v>0</v>
      </c>
      <c r="BA32" s="49">
        <f>資料儲存!J624</f>
        <v>0</v>
      </c>
    </row>
    <row r="33" spans="1:53" ht="16" thickBot="1">
      <c r="A33" s="48">
        <v>54</v>
      </c>
      <c r="B33" s="49">
        <f>資料儲存!D25</f>
        <v>0</v>
      </c>
      <c r="C33" s="49">
        <f>資料儲存!E25</f>
        <v>0</v>
      </c>
      <c r="D33" s="49">
        <f>資料儲存!F25</f>
        <v>0</v>
      </c>
      <c r="E33" s="49">
        <f>資料儲存!G25</f>
        <v>0</v>
      </c>
      <c r="F33" s="49">
        <f>資料儲存!H25</f>
        <v>0</v>
      </c>
      <c r="G33" s="49">
        <f>資料儲存!I25</f>
        <v>0</v>
      </c>
      <c r="H33" s="49">
        <f>資料儲存!J25</f>
        <v>0</v>
      </c>
      <c r="I33" s="45"/>
      <c r="J33" s="48">
        <v>54</v>
      </c>
      <c r="K33" s="49">
        <f>資料儲存!D145</f>
        <v>0</v>
      </c>
      <c r="L33" s="49">
        <f>資料儲存!E145</f>
        <v>0</v>
      </c>
      <c r="M33" s="49">
        <f>資料儲存!F145</f>
        <v>0</v>
      </c>
      <c r="N33" s="49">
        <f>資料儲存!G145</f>
        <v>0</v>
      </c>
      <c r="O33" s="49">
        <f>資料儲存!H145</f>
        <v>0</v>
      </c>
      <c r="P33" s="49">
        <f>資料儲存!I145</f>
        <v>0</v>
      </c>
      <c r="Q33" s="49">
        <f>資料儲存!J145</f>
        <v>0</v>
      </c>
      <c r="R33" s="45"/>
      <c r="S33" s="48">
        <v>54</v>
      </c>
      <c r="T33" s="49">
        <f>資料儲存!D265</f>
        <v>0</v>
      </c>
      <c r="U33" s="49">
        <f>資料儲存!E265</f>
        <v>0</v>
      </c>
      <c r="V33" s="49">
        <f>資料儲存!F265</f>
        <v>0</v>
      </c>
      <c r="W33" s="49">
        <f>資料儲存!G265</f>
        <v>0</v>
      </c>
      <c r="X33" s="49">
        <f>資料儲存!H265</f>
        <v>0</v>
      </c>
      <c r="Y33" s="49">
        <f>資料儲存!I265</f>
        <v>0</v>
      </c>
      <c r="Z33" s="49">
        <f>資料儲存!J265</f>
        <v>0</v>
      </c>
      <c r="AA33" s="45"/>
      <c r="AB33" s="48">
        <v>54</v>
      </c>
      <c r="AC33" s="49">
        <f>資料儲存!D385</f>
        <v>0</v>
      </c>
      <c r="AD33" s="49">
        <f>資料儲存!E385</f>
        <v>0</v>
      </c>
      <c r="AE33" s="49">
        <f>資料儲存!F385</f>
        <v>0</v>
      </c>
      <c r="AF33" s="49">
        <f>資料儲存!G385</f>
        <v>0</v>
      </c>
      <c r="AG33" s="49">
        <f>資料儲存!H385</f>
        <v>0</v>
      </c>
      <c r="AH33" s="49">
        <f>資料儲存!I385</f>
        <v>0</v>
      </c>
      <c r="AI33" s="49">
        <f>資料儲存!J385</f>
        <v>0</v>
      </c>
      <c r="AJ33" s="13"/>
      <c r="AK33" s="48">
        <v>54</v>
      </c>
      <c r="AL33" s="49">
        <f>資料儲存!D505</f>
        <v>0</v>
      </c>
      <c r="AM33" s="49">
        <f>資料儲存!E505</f>
        <v>0</v>
      </c>
      <c r="AN33" s="49">
        <f>資料儲存!F505</f>
        <v>0</v>
      </c>
      <c r="AO33" s="49">
        <f>資料儲存!G505</f>
        <v>0</v>
      </c>
      <c r="AP33" s="49">
        <f>資料儲存!H505</f>
        <v>0</v>
      </c>
      <c r="AQ33" s="49">
        <f>資料儲存!I505</f>
        <v>0</v>
      </c>
      <c r="AR33" s="49">
        <f>資料儲存!J505</f>
        <v>0</v>
      </c>
      <c r="AT33" s="48">
        <v>54</v>
      </c>
      <c r="AU33" s="49">
        <f>資料儲存!D625</f>
        <v>0</v>
      </c>
      <c r="AV33" s="49">
        <f>資料儲存!E625</f>
        <v>0</v>
      </c>
      <c r="AW33" s="49">
        <f>資料儲存!F625</f>
        <v>0</v>
      </c>
      <c r="AX33" s="49">
        <f>資料儲存!G625</f>
        <v>0</v>
      </c>
      <c r="AY33" s="49">
        <f>資料儲存!H625</f>
        <v>0</v>
      </c>
      <c r="AZ33" s="49">
        <f>資料儲存!I625</f>
        <v>0</v>
      </c>
      <c r="BA33" s="49">
        <f>資料儲存!J625</f>
        <v>0</v>
      </c>
    </row>
    <row r="34" spans="1:53" ht="16" thickBot="1">
      <c r="A34" s="48">
        <v>55</v>
      </c>
      <c r="B34" s="49">
        <f>資料儲存!D26</f>
        <v>0</v>
      </c>
      <c r="C34" s="49">
        <f>資料儲存!E26</f>
        <v>0</v>
      </c>
      <c r="D34" s="49">
        <f>資料儲存!F26</f>
        <v>0</v>
      </c>
      <c r="E34" s="49">
        <f>資料儲存!G26</f>
        <v>0</v>
      </c>
      <c r="F34" s="49">
        <f>資料儲存!H26</f>
        <v>0</v>
      </c>
      <c r="G34" s="49">
        <f>資料儲存!I26</f>
        <v>0</v>
      </c>
      <c r="H34" s="49">
        <f>資料儲存!J26</f>
        <v>0</v>
      </c>
      <c r="I34" s="45"/>
      <c r="J34" s="48">
        <v>55</v>
      </c>
      <c r="K34" s="49">
        <f>資料儲存!D146</f>
        <v>0</v>
      </c>
      <c r="L34" s="49">
        <f>資料儲存!E146</f>
        <v>0</v>
      </c>
      <c r="M34" s="49">
        <f>資料儲存!F146</f>
        <v>0</v>
      </c>
      <c r="N34" s="49">
        <f>資料儲存!G146</f>
        <v>0</v>
      </c>
      <c r="O34" s="49">
        <f>資料儲存!H146</f>
        <v>0</v>
      </c>
      <c r="P34" s="49">
        <f>資料儲存!I146</f>
        <v>0</v>
      </c>
      <c r="Q34" s="49">
        <f>資料儲存!J146</f>
        <v>0</v>
      </c>
      <c r="R34" s="45"/>
      <c r="S34" s="48">
        <v>55</v>
      </c>
      <c r="T34" s="49">
        <f>資料儲存!D266</f>
        <v>0</v>
      </c>
      <c r="U34" s="49">
        <f>資料儲存!E266</f>
        <v>0</v>
      </c>
      <c r="V34" s="49">
        <f>資料儲存!F266</f>
        <v>0</v>
      </c>
      <c r="W34" s="49">
        <f>資料儲存!G266</f>
        <v>0</v>
      </c>
      <c r="X34" s="49">
        <f>資料儲存!H266</f>
        <v>0</v>
      </c>
      <c r="Y34" s="49">
        <f>資料儲存!I266</f>
        <v>0</v>
      </c>
      <c r="Z34" s="49">
        <f>資料儲存!J266</f>
        <v>0</v>
      </c>
      <c r="AA34" s="45"/>
      <c r="AB34" s="48">
        <v>55</v>
      </c>
      <c r="AC34" s="49">
        <f>資料儲存!D386</f>
        <v>0</v>
      </c>
      <c r="AD34" s="49">
        <f>資料儲存!E386</f>
        <v>0</v>
      </c>
      <c r="AE34" s="49">
        <f>資料儲存!F386</f>
        <v>0</v>
      </c>
      <c r="AF34" s="49">
        <f>資料儲存!G386</f>
        <v>0</v>
      </c>
      <c r="AG34" s="49">
        <f>資料儲存!H386</f>
        <v>0</v>
      </c>
      <c r="AH34" s="49">
        <f>資料儲存!I386</f>
        <v>0</v>
      </c>
      <c r="AI34" s="49">
        <f>資料儲存!J386</f>
        <v>0</v>
      </c>
      <c r="AJ34" s="13"/>
      <c r="AK34" s="48">
        <v>55</v>
      </c>
      <c r="AL34" s="49">
        <f>資料儲存!D506</f>
        <v>0</v>
      </c>
      <c r="AM34" s="49">
        <f>資料儲存!E506</f>
        <v>0</v>
      </c>
      <c r="AN34" s="49">
        <f>資料儲存!F506</f>
        <v>0</v>
      </c>
      <c r="AO34" s="49">
        <f>資料儲存!G506</f>
        <v>0</v>
      </c>
      <c r="AP34" s="49">
        <f>資料儲存!H506</f>
        <v>0</v>
      </c>
      <c r="AQ34" s="49">
        <f>資料儲存!I506</f>
        <v>0</v>
      </c>
      <c r="AR34" s="49">
        <f>資料儲存!J506</f>
        <v>0</v>
      </c>
      <c r="AT34" s="48">
        <v>55</v>
      </c>
      <c r="AU34" s="49">
        <f>資料儲存!D626</f>
        <v>0</v>
      </c>
      <c r="AV34" s="49">
        <f>資料儲存!E626</f>
        <v>0</v>
      </c>
      <c r="AW34" s="49">
        <f>資料儲存!F626</f>
        <v>0</v>
      </c>
      <c r="AX34" s="49">
        <f>資料儲存!G626</f>
        <v>0</v>
      </c>
      <c r="AY34" s="49">
        <f>資料儲存!H626</f>
        <v>0</v>
      </c>
      <c r="AZ34" s="49">
        <f>資料儲存!I626</f>
        <v>0</v>
      </c>
      <c r="BA34" s="49">
        <f>資料儲存!J626</f>
        <v>0</v>
      </c>
    </row>
    <row r="35" spans="1:53" ht="16" thickBot="1">
      <c r="A35" s="48">
        <v>56</v>
      </c>
      <c r="B35" s="49">
        <f>資料儲存!D27</f>
        <v>0</v>
      </c>
      <c r="C35" s="49">
        <f>資料儲存!E27</f>
        <v>0</v>
      </c>
      <c r="D35" s="49">
        <f>資料儲存!F27</f>
        <v>0</v>
      </c>
      <c r="E35" s="49">
        <f>資料儲存!G27</f>
        <v>0</v>
      </c>
      <c r="F35" s="49">
        <f>資料儲存!H27</f>
        <v>0</v>
      </c>
      <c r="G35" s="49">
        <f>資料儲存!I27</f>
        <v>0</v>
      </c>
      <c r="H35" s="49">
        <f>資料儲存!J27</f>
        <v>0</v>
      </c>
      <c r="I35" s="45"/>
      <c r="J35" s="48">
        <v>56</v>
      </c>
      <c r="K35" s="49">
        <f>資料儲存!D147</f>
        <v>0</v>
      </c>
      <c r="L35" s="49">
        <f>資料儲存!E147</f>
        <v>0</v>
      </c>
      <c r="M35" s="49">
        <f>資料儲存!F147</f>
        <v>0</v>
      </c>
      <c r="N35" s="49">
        <f>資料儲存!G147</f>
        <v>0</v>
      </c>
      <c r="O35" s="49">
        <f>資料儲存!H147</f>
        <v>0</v>
      </c>
      <c r="P35" s="49">
        <f>資料儲存!I147</f>
        <v>0</v>
      </c>
      <c r="Q35" s="49">
        <f>資料儲存!J147</f>
        <v>0</v>
      </c>
      <c r="R35" s="45"/>
      <c r="S35" s="48">
        <v>56</v>
      </c>
      <c r="T35" s="49">
        <f>資料儲存!D267</f>
        <v>0</v>
      </c>
      <c r="U35" s="49">
        <f>資料儲存!E267</f>
        <v>0</v>
      </c>
      <c r="V35" s="49">
        <f>資料儲存!F267</f>
        <v>0</v>
      </c>
      <c r="W35" s="49">
        <f>資料儲存!G267</f>
        <v>0</v>
      </c>
      <c r="X35" s="49">
        <f>資料儲存!H267</f>
        <v>0</v>
      </c>
      <c r="Y35" s="49">
        <f>資料儲存!I267</f>
        <v>0</v>
      </c>
      <c r="Z35" s="49">
        <f>資料儲存!J267</f>
        <v>0</v>
      </c>
      <c r="AA35" s="45"/>
      <c r="AB35" s="48">
        <v>56</v>
      </c>
      <c r="AC35" s="49">
        <f>資料儲存!D387</f>
        <v>0</v>
      </c>
      <c r="AD35" s="49">
        <f>資料儲存!E387</f>
        <v>0</v>
      </c>
      <c r="AE35" s="49">
        <f>資料儲存!F387</f>
        <v>0</v>
      </c>
      <c r="AF35" s="49">
        <f>資料儲存!G387</f>
        <v>0</v>
      </c>
      <c r="AG35" s="49">
        <f>資料儲存!H387</f>
        <v>0</v>
      </c>
      <c r="AH35" s="49">
        <f>資料儲存!I387</f>
        <v>0</v>
      </c>
      <c r="AI35" s="49">
        <f>資料儲存!J387</f>
        <v>0</v>
      </c>
      <c r="AJ35" s="13"/>
      <c r="AK35" s="48">
        <v>56</v>
      </c>
      <c r="AL35" s="49">
        <f>資料儲存!D507</f>
        <v>0</v>
      </c>
      <c r="AM35" s="49">
        <f>資料儲存!E507</f>
        <v>0</v>
      </c>
      <c r="AN35" s="49">
        <f>資料儲存!F507</f>
        <v>0</v>
      </c>
      <c r="AO35" s="49">
        <f>資料儲存!G507</f>
        <v>0</v>
      </c>
      <c r="AP35" s="49">
        <f>資料儲存!H507</f>
        <v>0</v>
      </c>
      <c r="AQ35" s="49">
        <f>資料儲存!I507</f>
        <v>0</v>
      </c>
      <c r="AR35" s="49">
        <f>資料儲存!J507</f>
        <v>0</v>
      </c>
      <c r="AT35" s="48">
        <v>56</v>
      </c>
      <c r="AU35" s="49">
        <f>資料儲存!D627</f>
        <v>0</v>
      </c>
      <c r="AV35" s="49">
        <f>資料儲存!E627</f>
        <v>0</v>
      </c>
      <c r="AW35" s="49">
        <f>資料儲存!F627</f>
        <v>0</v>
      </c>
      <c r="AX35" s="49">
        <f>資料儲存!G627</f>
        <v>0</v>
      </c>
      <c r="AY35" s="49">
        <f>資料儲存!H627</f>
        <v>0</v>
      </c>
      <c r="AZ35" s="49">
        <f>資料儲存!I627</f>
        <v>0</v>
      </c>
      <c r="BA35" s="49">
        <f>資料儲存!J627</f>
        <v>0</v>
      </c>
    </row>
    <row r="36" spans="1:53" ht="16" thickBot="1">
      <c r="A36" s="48">
        <v>57</v>
      </c>
      <c r="B36" s="49">
        <f>資料儲存!D28</f>
        <v>0</v>
      </c>
      <c r="C36" s="49">
        <f>資料儲存!E28</f>
        <v>0</v>
      </c>
      <c r="D36" s="49">
        <f>資料儲存!F28</f>
        <v>0</v>
      </c>
      <c r="E36" s="49">
        <f>資料儲存!G28</f>
        <v>0</v>
      </c>
      <c r="F36" s="49">
        <f>資料儲存!H28</f>
        <v>0</v>
      </c>
      <c r="G36" s="49">
        <f>資料儲存!I28</f>
        <v>0</v>
      </c>
      <c r="H36" s="49">
        <f>資料儲存!J28</f>
        <v>0</v>
      </c>
      <c r="I36" s="45"/>
      <c r="J36" s="48">
        <v>57</v>
      </c>
      <c r="K36" s="49">
        <f>資料儲存!D148</f>
        <v>0</v>
      </c>
      <c r="L36" s="49">
        <f>資料儲存!E148</f>
        <v>0</v>
      </c>
      <c r="M36" s="49">
        <f>資料儲存!F148</f>
        <v>0</v>
      </c>
      <c r="N36" s="49">
        <f>資料儲存!G148</f>
        <v>0</v>
      </c>
      <c r="O36" s="49">
        <f>資料儲存!H148</f>
        <v>0</v>
      </c>
      <c r="P36" s="49">
        <f>資料儲存!I148</f>
        <v>0</v>
      </c>
      <c r="Q36" s="49">
        <f>資料儲存!J148</f>
        <v>0</v>
      </c>
      <c r="R36" s="45"/>
      <c r="S36" s="48">
        <v>57</v>
      </c>
      <c r="T36" s="49">
        <f>資料儲存!D268</f>
        <v>0</v>
      </c>
      <c r="U36" s="49">
        <f>資料儲存!E268</f>
        <v>0</v>
      </c>
      <c r="V36" s="49">
        <f>資料儲存!F268</f>
        <v>0</v>
      </c>
      <c r="W36" s="49">
        <f>資料儲存!G268</f>
        <v>0</v>
      </c>
      <c r="X36" s="49">
        <f>資料儲存!H268</f>
        <v>0</v>
      </c>
      <c r="Y36" s="49">
        <f>資料儲存!I268</f>
        <v>0</v>
      </c>
      <c r="Z36" s="49">
        <f>資料儲存!J268</f>
        <v>0</v>
      </c>
      <c r="AA36" s="45"/>
      <c r="AB36" s="48">
        <v>57</v>
      </c>
      <c r="AC36" s="49">
        <f>資料儲存!D388</f>
        <v>0</v>
      </c>
      <c r="AD36" s="49">
        <f>資料儲存!E388</f>
        <v>0</v>
      </c>
      <c r="AE36" s="49">
        <f>資料儲存!F388</f>
        <v>0</v>
      </c>
      <c r="AF36" s="49">
        <f>資料儲存!G388</f>
        <v>0</v>
      </c>
      <c r="AG36" s="49">
        <f>資料儲存!H388</f>
        <v>0</v>
      </c>
      <c r="AH36" s="49">
        <f>資料儲存!I388</f>
        <v>0</v>
      </c>
      <c r="AI36" s="49">
        <f>資料儲存!J388</f>
        <v>0</v>
      </c>
      <c r="AJ36" s="13"/>
      <c r="AK36" s="48">
        <v>57</v>
      </c>
      <c r="AL36" s="49">
        <f>資料儲存!D508</f>
        <v>0</v>
      </c>
      <c r="AM36" s="49">
        <f>資料儲存!E508</f>
        <v>0</v>
      </c>
      <c r="AN36" s="49">
        <f>資料儲存!F508</f>
        <v>0</v>
      </c>
      <c r="AO36" s="49">
        <f>資料儲存!G508</f>
        <v>0</v>
      </c>
      <c r="AP36" s="49">
        <f>資料儲存!H508</f>
        <v>0</v>
      </c>
      <c r="AQ36" s="49">
        <f>資料儲存!I508</f>
        <v>0</v>
      </c>
      <c r="AR36" s="49">
        <f>資料儲存!J508</f>
        <v>0</v>
      </c>
      <c r="AT36" s="48">
        <v>57</v>
      </c>
      <c r="AU36" s="49">
        <f>資料儲存!D628</f>
        <v>0</v>
      </c>
      <c r="AV36" s="49">
        <f>資料儲存!E628</f>
        <v>0</v>
      </c>
      <c r="AW36" s="49">
        <f>資料儲存!F628</f>
        <v>0</v>
      </c>
      <c r="AX36" s="49">
        <f>資料儲存!G628</f>
        <v>0</v>
      </c>
      <c r="AY36" s="49">
        <f>資料儲存!H628</f>
        <v>0</v>
      </c>
      <c r="AZ36" s="49">
        <f>資料儲存!I628</f>
        <v>0</v>
      </c>
      <c r="BA36" s="49">
        <f>資料儲存!J628</f>
        <v>0</v>
      </c>
    </row>
    <row r="37" spans="1:53" ht="16" thickBot="1">
      <c r="A37" s="48">
        <v>58</v>
      </c>
      <c r="B37" s="49">
        <f>資料儲存!D29</f>
        <v>0</v>
      </c>
      <c r="C37" s="49">
        <f>資料儲存!E29</f>
        <v>0</v>
      </c>
      <c r="D37" s="49">
        <f>資料儲存!F29</f>
        <v>0</v>
      </c>
      <c r="E37" s="49">
        <f>資料儲存!G29</f>
        <v>0</v>
      </c>
      <c r="F37" s="49">
        <f>資料儲存!H29</f>
        <v>0</v>
      </c>
      <c r="G37" s="49">
        <f>資料儲存!I29</f>
        <v>0</v>
      </c>
      <c r="H37" s="49">
        <f>資料儲存!J29</f>
        <v>0</v>
      </c>
      <c r="I37" s="45"/>
      <c r="J37" s="48">
        <v>58</v>
      </c>
      <c r="K37" s="49">
        <f>資料儲存!D149</f>
        <v>0</v>
      </c>
      <c r="L37" s="49">
        <f>資料儲存!E149</f>
        <v>0</v>
      </c>
      <c r="M37" s="49">
        <f>資料儲存!F149</f>
        <v>0</v>
      </c>
      <c r="N37" s="49">
        <f>資料儲存!G149</f>
        <v>0</v>
      </c>
      <c r="O37" s="49">
        <f>資料儲存!H149</f>
        <v>0</v>
      </c>
      <c r="P37" s="49">
        <f>資料儲存!I149</f>
        <v>0</v>
      </c>
      <c r="Q37" s="49">
        <f>資料儲存!J149</f>
        <v>0</v>
      </c>
      <c r="R37" s="45"/>
      <c r="S37" s="48">
        <v>58</v>
      </c>
      <c r="T37" s="49">
        <f>資料儲存!D269</f>
        <v>0</v>
      </c>
      <c r="U37" s="49">
        <f>資料儲存!E269</f>
        <v>0</v>
      </c>
      <c r="V37" s="49">
        <f>資料儲存!F269</f>
        <v>0</v>
      </c>
      <c r="W37" s="49">
        <f>資料儲存!G269</f>
        <v>0</v>
      </c>
      <c r="X37" s="49">
        <f>資料儲存!H269</f>
        <v>0</v>
      </c>
      <c r="Y37" s="49">
        <f>資料儲存!I269</f>
        <v>0</v>
      </c>
      <c r="Z37" s="49">
        <f>資料儲存!J269</f>
        <v>0</v>
      </c>
      <c r="AA37" s="45"/>
      <c r="AB37" s="48">
        <v>58</v>
      </c>
      <c r="AC37" s="49">
        <f>資料儲存!D389</f>
        <v>0</v>
      </c>
      <c r="AD37" s="49">
        <f>資料儲存!E389</f>
        <v>0</v>
      </c>
      <c r="AE37" s="49">
        <f>資料儲存!F389</f>
        <v>0</v>
      </c>
      <c r="AF37" s="49">
        <f>資料儲存!G389</f>
        <v>0</v>
      </c>
      <c r="AG37" s="49">
        <f>資料儲存!H389</f>
        <v>0</v>
      </c>
      <c r="AH37" s="49">
        <f>資料儲存!I389</f>
        <v>0</v>
      </c>
      <c r="AI37" s="49">
        <f>資料儲存!J389</f>
        <v>0</v>
      </c>
      <c r="AJ37" s="13"/>
      <c r="AK37" s="48">
        <v>58</v>
      </c>
      <c r="AL37" s="49">
        <f>資料儲存!D509</f>
        <v>0</v>
      </c>
      <c r="AM37" s="49">
        <f>資料儲存!E509</f>
        <v>0</v>
      </c>
      <c r="AN37" s="49">
        <f>資料儲存!F509</f>
        <v>0</v>
      </c>
      <c r="AO37" s="49">
        <f>資料儲存!G509</f>
        <v>0</v>
      </c>
      <c r="AP37" s="49">
        <f>資料儲存!H509</f>
        <v>0</v>
      </c>
      <c r="AQ37" s="49">
        <f>資料儲存!I509</f>
        <v>0</v>
      </c>
      <c r="AR37" s="49">
        <f>資料儲存!J509</f>
        <v>0</v>
      </c>
      <c r="AT37" s="48">
        <v>58</v>
      </c>
      <c r="AU37" s="49">
        <f>資料儲存!D629</f>
        <v>0</v>
      </c>
      <c r="AV37" s="49">
        <f>資料儲存!E629</f>
        <v>0</v>
      </c>
      <c r="AW37" s="49">
        <f>資料儲存!F629</f>
        <v>0</v>
      </c>
      <c r="AX37" s="49">
        <f>資料儲存!G629</f>
        <v>0</v>
      </c>
      <c r="AY37" s="49">
        <f>資料儲存!H629</f>
        <v>0</v>
      </c>
      <c r="AZ37" s="49">
        <f>資料儲存!I629</f>
        <v>0</v>
      </c>
      <c r="BA37" s="49">
        <f>資料儲存!J629</f>
        <v>0</v>
      </c>
    </row>
    <row r="38" spans="1:53" ht="16" thickBot="1">
      <c r="A38" s="48">
        <v>59</v>
      </c>
      <c r="B38" s="49">
        <f>資料儲存!D30</f>
        <v>0</v>
      </c>
      <c r="C38" s="49">
        <f>資料儲存!E30</f>
        <v>0</v>
      </c>
      <c r="D38" s="49">
        <f>資料儲存!F30</f>
        <v>0</v>
      </c>
      <c r="E38" s="49">
        <f>資料儲存!G30</f>
        <v>0</v>
      </c>
      <c r="F38" s="49">
        <f>資料儲存!H30</f>
        <v>0</v>
      </c>
      <c r="G38" s="49">
        <f>資料儲存!I30</f>
        <v>0</v>
      </c>
      <c r="H38" s="49">
        <f>資料儲存!J30</f>
        <v>0</v>
      </c>
      <c r="I38" s="45"/>
      <c r="J38" s="48">
        <v>59</v>
      </c>
      <c r="K38" s="49">
        <f>資料儲存!D150</f>
        <v>0</v>
      </c>
      <c r="L38" s="49">
        <f>資料儲存!E150</f>
        <v>0</v>
      </c>
      <c r="M38" s="49">
        <f>資料儲存!F150</f>
        <v>0</v>
      </c>
      <c r="N38" s="49">
        <f>資料儲存!G150</f>
        <v>0</v>
      </c>
      <c r="O38" s="49">
        <f>資料儲存!H150</f>
        <v>0</v>
      </c>
      <c r="P38" s="49">
        <f>資料儲存!I150</f>
        <v>0</v>
      </c>
      <c r="Q38" s="49">
        <f>資料儲存!J150</f>
        <v>0</v>
      </c>
      <c r="R38" s="45"/>
      <c r="S38" s="48">
        <v>59</v>
      </c>
      <c r="T38" s="49">
        <f>資料儲存!D270</f>
        <v>0</v>
      </c>
      <c r="U38" s="49">
        <f>資料儲存!E270</f>
        <v>0</v>
      </c>
      <c r="V38" s="49">
        <f>資料儲存!F270</f>
        <v>0</v>
      </c>
      <c r="W38" s="49">
        <f>資料儲存!G270</f>
        <v>0</v>
      </c>
      <c r="X38" s="49">
        <f>資料儲存!H270</f>
        <v>0</v>
      </c>
      <c r="Y38" s="49">
        <f>資料儲存!I270</f>
        <v>0</v>
      </c>
      <c r="Z38" s="49">
        <f>資料儲存!J270</f>
        <v>0</v>
      </c>
      <c r="AA38" s="45"/>
      <c r="AB38" s="48">
        <v>59</v>
      </c>
      <c r="AC38" s="49">
        <f>資料儲存!D390</f>
        <v>0</v>
      </c>
      <c r="AD38" s="49">
        <f>資料儲存!E390</f>
        <v>0</v>
      </c>
      <c r="AE38" s="49">
        <f>資料儲存!F390</f>
        <v>0</v>
      </c>
      <c r="AF38" s="49">
        <f>資料儲存!G390</f>
        <v>0</v>
      </c>
      <c r="AG38" s="49">
        <f>資料儲存!H390</f>
        <v>0</v>
      </c>
      <c r="AH38" s="49">
        <f>資料儲存!I390</f>
        <v>0</v>
      </c>
      <c r="AI38" s="49">
        <f>資料儲存!J390</f>
        <v>0</v>
      </c>
      <c r="AJ38" s="13"/>
      <c r="AK38" s="48">
        <v>59</v>
      </c>
      <c r="AL38" s="49">
        <f>資料儲存!D510</f>
        <v>0</v>
      </c>
      <c r="AM38" s="49">
        <f>資料儲存!E510</f>
        <v>0</v>
      </c>
      <c r="AN38" s="49">
        <f>資料儲存!F510</f>
        <v>0</v>
      </c>
      <c r="AO38" s="49">
        <f>資料儲存!G510</f>
        <v>0</v>
      </c>
      <c r="AP38" s="49">
        <f>資料儲存!H510</f>
        <v>0</v>
      </c>
      <c r="AQ38" s="49">
        <f>資料儲存!I510</f>
        <v>0</v>
      </c>
      <c r="AR38" s="49">
        <f>資料儲存!J510</f>
        <v>0</v>
      </c>
      <c r="AT38" s="48">
        <v>59</v>
      </c>
      <c r="AU38" s="49">
        <f>資料儲存!D630</f>
        <v>0</v>
      </c>
      <c r="AV38" s="49">
        <f>資料儲存!E630</f>
        <v>0</v>
      </c>
      <c r="AW38" s="49">
        <f>資料儲存!F630</f>
        <v>0</v>
      </c>
      <c r="AX38" s="49">
        <f>資料儲存!G630</f>
        <v>0</v>
      </c>
      <c r="AY38" s="49">
        <f>資料儲存!H630</f>
        <v>0</v>
      </c>
      <c r="AZ38" s="49">
        <f>資料儲存!I630</f>
        <v>0</v>
      </c>
      <c r="BA38" s="49">
        <f>資料儲存!J630</f>
        <v>0</v>
      </c>
    </row>
    <row r="39" spans="1:53" ht="16" thickBot="1">
      <c r="A39" s="48">
        <v>60</v>
      </c>
      <c r="B39" s="49">
        <f>資料儲存!D31</f>
        <v>0</v>
      </c>
      <c r="C39" s="49">
        <f>資料儲存!E31</f>
        <v>0</v>
      </c>
      <c r="D39" s="49">
        <f>資料儲存!F31</f>
        <v>0</v>
      </c>
      <c r="E39" s="49">
        <f>資料儲存!G31</f>
        <v>0</v>
      </c>
      <c r="F39" s="49">
        <f>資料儲存!H31</f>
        <v>0</v>
      </c>
      <c r="G39" s="49">
        <f>資料儲存!I31</f>
        <v>0</v>
      </c>
      <c r="H39" s="49">
        <f>資料儲存!J31</f>
        <v>0</v>
      </c>
      <c r="I39" s="45"/>
      <c r="J39" s="48">
        <v>60</v>
      </c>
      <c r="K39" s="49">
        <f>資料儲存!D151</f>
        <v>0</v>
      </c>
      <c r="L39" s="49">
        <f>資料儲存!E151</f>
        <v>0</v>
      </c>
      <c r="M39" s="49">
        <f>資料儲存!F151</f>
        <v>0</v>
      </c>
      <c r="N39" s="49">
        <f>資料儲存!G151</f>
        <v>0</v>
      </c>
      <c r="O39" s="49">
        <f>資料儲存!H151</f>
        <v>0</v>
      </c>
      <c r="P39" s="49">
        <f>資料儲存!I151</f>
        <v>0</v>
      </c>
      <c r="Q39" s="49">
        <f>資料儲存!J151</f>
        <v>0</v>
      </c>
      <c r="R39" s="45"/>
      <c r="S39" s="48">
        <v>60</v>
      </c>
      <c r="T39" s="49">
        <f>資料儲存!D271</f>
        <v>0</v>
      </c>
      <c r="U39" s="49">
        <f>資料儲存!E271</f>
        <v>0</v>
      </c>
      <c r="V39" s="49">
        <f>資料儲存!F271</f>
        <v>0</v>
      </c>
      <c r="W39" s="49">
        <f>資料儲存!G271</f>
        <v>0</v>
      </c>
      <c r="X39" s="49">
        <f>資料儲存!H271</f>
        <v>0</v>
      </c>
      <c r="Y39" s="49">
        <f>資料儲存!I271</f>
        <v>0</v>
      </c>
      <c r="Z39" s="49">
        <f>資料儲存!J271</f>
        <v>0</v>
      </c>
      <c r="AA39" s="45"/>
      <c r="AB39" s="48">
        <v>60</v>
      </c>
      <c r="AC39" s="49">
        <f>資料儲存!D391</f>
        <v>0</v>
      </c>
      <c r="AD39" s="49">
        <f>資料儲存!E391</f>
        <v>0</v>
      </c>
      <c r="AE39" s="49">
        <f>資料儲存!F391</f>
        <v>0</v>
      </c>
      <c r="AF39" s="49">
        <f>資料儲存!G391</f>
        <v>0</v>
      </c>
      <c r="AG39" s="49">
        <f>資料儲存!H391</f>
        <v>0</v>
      </c>
      <c r="AH39" s="49">
        <f>資料儲存!I391</f>
        <v>0</v>
      </c>
      <c r="AI39" s="49">
        <f>資料儲存!J391</f>
        <v>0</v>
      </c>
      <c r="AJ39" s="13"/>
      <c r="AK39" s="48">
        <v>60</v>
      </c>
      <c r="AL39" s="49">
        <f>資料儲存!D511</f>
        <v>0</v>
      </c>
      <c r="AM39" s="49">
        <f>資料儲存!E511</f>
        <v>0</v>
      </c>
      <c r="AN39" s="49">
        <f>資料儲存!F511</f>
        <v>0</v>
      </c>
      <c r="AO39" s="49">
        <f>資料儲存!G511</f>
        <v>0</v>
      </c>
      <c r="AP39" s="49">
        <f>資料儲存!H511</f>
        <v>0</v>
      </c>
      <c r="AQ39" s="49">
        <f>資料儲存!I511</f>
        <v>0</v>
      </c>
      <c r="AR39" s="49">
        <f>資料儲存!J511</f>
        <v>0</v>
      </c>
      <c r="AT39" s="48">
        <v>60</v>
      </c>
      <c r="AU39" s="49">
        <f>資料儲存!D631</f>
        <v>0</v>
      </c>
      <c r="AV39" s="49">
        <f>資料儲存!E631</f>
        <v>0</v>
      </c>
      <c r="AW39" s="49">
        <f>資料儲存!F631</f>
        <v>0</v>
      </c>
      <c r="AX39" s="49">
        <f>資料儲存!G631</f>
        <v>0</v>
      </c>
      <c r="AY39" s="49">
        <f>資料儲存!H631</f>
        <v>0</v>
      </c>
      <c r="AZ39" s="49">
        <f>資料儲存!I631</f>
        <v>0</v>
      </c>
      <c r="BA39" s="49">
        <f>資料儲存!J631</f>
        <v>0</v>
      </c>
    </row>
    <row r="40" spans="1:53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13"/>
      <c r="AK40" s="50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  <c r="AT40" s="50" t="s">
        <v>56</v>
      </c>
      <c r="AU40" s="49">
        <f>SUM(AU25:AX39)</f>
        <v>0</v>
      </c>
      <c r="AV40" s="47"/>
      <c r="AW40" s="47"/>
      <c r="AX40" s="47"/>
      <c r="AY40" s="49">
        <f>AY39</f>
        <v>0</v>
      </c>
      <c r="AZ40" s="49">
        <f>AZ39</f>
        <v>0</v>
      </c>
      <c r="BA40" s="49">
        <f>BA39</f>
        <v>0</v>
      </c>
    </row>
    <row r="41" spans="1:53" ht="18.5" thickBot="1">
      <c r="A41" s="248" t="s">
        <v>43</v>
      </c>
      <c r="B41" s="249"/>
      <c r="C41" s="249"/>
      <c r="D41" s="249"/>
      <c r="E41" s="249"/>
      <c r="F41" s="249"/>
      <c r="G41" s="249"/>
      <c r="H41" s="250"/>
      <c r="I41" s="13"/>
      <c r="J41" s="248" t="s">
        <v>43</v>
      </c>
      <c r="K41" s="249"/>
      <c r="L41" s="249"/>
      <c r="M41" s="249"/>
      <c r="N41" s="249"/>
      <c r="O41" s="249"/>
      <c r="P41" s="249"/>
      <c r="Q41" s="250"/>
      <c r="R41" s="13"/>
      <c r="S41" s="248" t="s">
        <v>43</v>
      </c>
      <c r="T41" s="249"/>
      <c r="U41" s="249"/>
      <c r="V41" s="249"/>
      <c r="W41" s="249"/>
      <c r="X41" s="249"/>
      <c r="Y41" s="249"/>
      <c r="Z41" s="250"/>
      <c r="AA41" s="13"/>
      <c r="AB41" s="248" t="s">
        <v>43</v>
      </c>
      <c r="AC41" s="249"/>
      <c r="AD41" s="249"/>
      <c r="AE41" s="249"/>
      <c r="AF41" s="249"/>
      <c r="AG41" s="249"/>
      <c r="AH41" s="249"/>
      <c r="AI41" s="250"/>
      <c r="AJ41" s="13"/>
      <c r="AK41" s="248" t="s">
        <v>43</v>
      </c>
      <c r="AL41" s="249"/>
      <c r="AM41" s="249"/>
      <c r="AN41" s="249"/>
      <c r="AO41" s="249"/>
      <c r="AP41" s="249"/>
      <c r="AQ41" s="249"/>
      <c r="AR41" s="250"/>
      <c r="AT41" s="248" t="s">
        <v>43</v>
      </c>
      <c r="AU41" s="249"/>
      <c r="AV41" s="249"/>
      <c r="AW41" s="249"/>
      <c r="AX41" s="249"/>
      <c r="AY41" s="249"/>
      <c r="AZ41" s="249"/>
      <c r="BA41" s="250"/>
    </row>
    <row r="42" spans="1:53" ht="17.25" customHeight="1" thickBot="1">
      <c r="A42" s="31" t="s">
        <v>2</v>
      </c>
      <c r="B42" s="32" t="s">
        <v>46</v>
      </c>
      <c r="C42" s="33"/>
      <c r="D42" s="33"/>
      <c r="E42" s="34"/>
      <c r="F42" s="32" t="s">
        <v>47</v>
      </c>
      <c r="G42" s="33"/>
      <c r="H42" s="34"/>
      <c r="I42" s="35"/>
      <c r="J42" s="31" t="s">
        <v>2</v>
      </c>
      <c r="K42" s="32" t="s">
        <v>46</v>
      </c>
      <c r="L42" s="33"/>
      <c r="M42" s="33"/>
      <c r="N42" s="34"/>
      <c r="O42" s="32" t="s">
        <v>47</v>
      </c>
      <c r="P42" s="33"/>
      <c r="Q42" s="34"/>
      <c r="R42" s="35"/>
      <c r="S42" s="31" t="s">
        <v>2</v>
      </c>
      <c r="T42" s="32" t="s">
        <v>46</v>
      </c>
      <c r="U42" s="33"/>
      <c r="V42" s="33"/>
      <c r="W42" s="34"/>
      <c r="X42" s="32" t="s">
        <v>47</v>
      </c>
      <c r="Y42" s="33"/>
      <c r="Z42" s="34"/>
      <c r="AA42" s="35"/>
      <c r="AB42" s="31" t="s">
        <v>2</v>
      </c>
      <c r="AC42" s="32" t="s">
        <v>46</v>
      </c>
      <c r="AD42" s="33"/>
      <c r="AE42" s="33"/>
      <c r="AF42" s="34"/>
      <c r="AG42" s="32" t="s">
        <v>47</v>
      </c>
      <c r="AH42" s="33"/>
      <c r="AI42" s="34"/>
      <c r="AJ42" s="13"/>
      <c r="AK42" s="31" t="s">
        <v>2</v>
      </c>
      <c r="AL42" s="32" t="s">
        <v>46</v>
      </c>
      <c r="AM42" s="33"/>
      <c r="AN42" s="33"/>
      <c r="AO42" s="34"/>
      <c r="AP42" s="32" t="s">
        <v>47</v>
      </c>
      <c r="AQ42" s="33"/>
      <c r="AR42" s="34"/>
      <c r="AT42" s="31" t="s">
        <v>2</v>
      </c>
      <c r="AU42" s="32" t="s">
        <v>46</v>
      </c>
      <c r="AV42" s="33"/>
      <c r="AW42" s="33"/>
      <c r="AX42" s="34"/>
      <c r="AY42" s="32" t="s">
        <v>47</v>
      </c>
      <c r="AZ42" s="33"/>
      <c r="BA42" s="34"/>
    </row>
    <row r="43" spans="1:53" ht="16" thickBot="1">
      <c r="A43" s="36" t="s">
        <v>48</v>
      </c>
      <c r="B43" s="37" t="s">
        <v>49</v>
      </c>
      <c r="C43" s="37" t="s">
        <v>50</v>
      </c>
      <c r="D43" s="37" t="s">
        <v>51</v>
      </c>
      <c r="E43" s="37" t="s">
        <v>52</v>
      </c>
      <c r="F43" s="37" t="s">
        <v>53</v>
      </c>
      <c r="G43" s="37" t="s">
        <v>54</v>
      </c>
      <c r="H43" s="37" t="s">
        <v>55</v>
      </c>
      <c r="I43" s="35"/>
      <c r="J43" s="36" t="s">
        <v>48</v>
      </c>
      <c r="K43" s="37" t="s">
        <v>49</v>
      </c>
      <c r="L43" s="37" t="s">
        <v>50</v>
      </c>
      <c r="M43" s="37" t="s">
        <v>51</v>
      </c>
      <c r="N43" s="37" t="s">
        <v>52</v>
      </c>
      <c r="O43" s="37" t="s">
        <v>53</v>
      </c>
      <c r="P43" s="37" t="s">
        <v>54</v>
      </c>
      <c r="Q43" s="37" t="s">
        <v>55</v>
      </c>
      <c r="R43" s="35"/>
      <c r="S43" s="36" t="s">
        <v>48</v>
      </c>
      <c r="T43" s="37" t="s">
        <v>49</v>
      </c>
      <c r="U43" s="37" t="s">
        <v>50</v>
      </c>
      <c r="V43" s="37" t="s">
        <v>51</v>
      </c>
      <c r="W43" s="37" t="s">
        <v>52</v>
      </c>
      <c r="X43" s="37" t="s">
        <v>53</v>
      </c>
      <c r="Y43" s="37" t="s">
        <v>54</v>
      </c>
      <c r="Z43" s="37" t="s">
        <v>55</v>
      </c>
      <c r="AA43" s="35"/>
      <c r="AB43" s="36" t="s">
        <v>48</v>
      </c>
      <c r="AC43" s="37" t="s">
        <v>49</v>
      </c>
      <c r="AD43" s="37" t="s">
        <v>50</v>
      </c>
      <c r="AE43" s="37" t="s">
        <v>51</v>
      </c>
      <c r="AF43" s="37" t="s">
        <v>52</v>
      </c>
      <c r="AG43" s="37" t="s">
        <v>53</v>
      </c>
      <c r="AH43" s="37" t="s">
        <v>54</v>
      </c>
      <c r="AI43" s="37" t="s">
        <v>55</v>
      </c>
      <c r="AJ43" s="13"/>
      <c r="AK43" s="36" t="s">
        <v>48</v>
      </c>
      <c r="AL43" s="37" t="s">
        <v>49</v>
      </c>
      <c r="AM43" s="37" t="s">
        <v>50</v>
      </c>
      <c r="AN43" s="37" t="s">
        <v>51</v>
      </c>
      <c r="AO43" s="37" t="s">
        <v>52</v>
      </c>
      <c r="AP43" s="37" t="s">
        <v>53</v>
      </c>
      <c r="AQ43" s="37" t="s">
        <v>54</v>
      </c>
      <c r="AR43" s="37" t="s">
        <v>55</v>
      </c>
      <c r="AT43" s="36" t="s">
        <v>48</v>
      </c>
      <c r="AU43" s="37" t="s">
        <v>49</v>
      </c>
      <c r="AV43" s="37" t="s">
        <v>50</v>
      </c>
      <c r="AW43" s="37" t="s">
        <v>51</v>
      </c>
      <c r="AX43" s="37" t="s">
        <v>52</v>
      </c>
      <c r="AY43" s="37" t="s">
        <v>53</v>
      </c>
      <c r="AZ43" s="37" t="s">
        <v>54</v>
      </c>
      <c r="BA43" s="37" t="s">
        <v>55</v>
      </c>
    </row>
    <row r="44" spans="1:53" ht="16" thickBot="1">
      <c r="A44" s="38">
        <v>1</v>
      </c>
      <c r="B44" s="39">
        <f>資料儲存!D32</f>
        <v>0</v>
      </c>
      <c r="C44" s="39">
        <f>資料儲存!E32</f>
        <v>0</v>
      </c>
      <c r="D44" s="39">
        <f>資料儲存!F32</f>
        <v>0</v>
      </c>
      <c r="E44" s="39">
        <f>資料儲存!G32</f>
        <v>0</v>
      </c>
      <c r="F44" s="39">
        <f>資料儲存!H32</f>
        <v>0</v>
      </c>
      <c r="G44" s="39">
        <f>資料儲存!I32</f>
        <v>0</v>
      </c>
      <c r="H44" s="39">
        <f>資料儲存!J32</f>
        <v>0</v>
      </c>
      <c r="I44" s="35"/>
      <c r="J44" s="38">
        <v>1</v>
      </c>
      <c r="K44" s="39">
        <f>資料儲存!D152</f>
        <v>0</v>
      </c>
      <c r="L44" s="39">
        <f>資料儲存!E152</f>
        <v>0</v>
      </c>
      <c r="M44" s="39">
        <f>資料儲存!F152</f>
        <v>0</v>
      </c>
      <c r="N44" s="39">
        <f>資料儲存!G152</f>
        <v>0</v>
      </c>
      <c r="O44" s="39">
        <f>資料儲存!H152</f>
        <v>0</v>
      </c>
      <c r="P44" s="39">
        <f>資料儲存!I152</f>
        <v>0</v>
      </c>
      <c r="Q44" s="39">
        <f>資料儲存!J152</f>
        <v>0</v>
      </c>
      <c r="R44" s="35"/>
      <c r="S44" s="38">
        <v>1</v>
      </c>
      <c r="T44" s="39">
        <f>資料儲存!D272</f>
        <v>0</v>
      </c>
      <c r="U44" s="39">
        <f>資料儲存!E272</f>
        <v>0</v>
      </c>
      <c r="V44" s="39">
        <f>資料儲存!F272</f>
        <v>0</v>
      </c>
      <c r="W44" s="39">
        <f>資料儲存!G272</f>
        <v>0</v>
      </c>
      <c r="X44" s="39">
        <f>資料儲存!H272</f>
        <v>0</v>
      </c>
      <c r="Y44" s="39">
        <f>資料儲存!I272</f>
        <v>0</v>
      </c>
      <c r="Z44" s="39">
        <f>資料儲存!J272</f>
        <v>0</v>
      </c>
      <c r="AA44" s="35"/>
      <c r="AB44" s="38">
        <v>1</v>
      </c>
      <c r="AC44" s="39">
        <f>資料儲存!D392</f>
        <v>0</v>
      </c>
      <c r="AD44" s="39">
        <f>資料儲存!E392</f>
        <v>0</v>
      </c>
      <c r="AE44" s="39">
        <f>資料儲存!F392</f>
        <v>0</v>
      </c>
      <c r="AF44" s="39">
        <f>資料儲存!G392</f>
        <v>0</v>
      </c>
      <c r="AG44" s="39">
        <f>資料儲存!H392</f>
        <v>0</v>
      </c>
      <c r="AH44" s="39">
        <f>資料儲存!I392</f>
        <v>0</v>
      </c>
      <c r="AI44" s="39">
        <f>資料儲存!J392</f>
        <v>0</v>
      </c>
      <c r="AJ44" s="13"/>
      <c r="AK44" s="38">
        <v>1</v>
      </c>
      <c r="AL44" s="39">
        <f>資料儲存!D512</f>
        <v>0</v>
      </c>
      <c r="AM44" s="39">
        <f>資料儲存!E512</f>
        <v>0</v>
      </c>
      <c r="AN44" s="39">
        <f>資料儲存!F512</f>
        <v>0</v>
      </c>
      <c r="AO44" s="39">
        <f>資料儲存!G512</f>
        <v>0</v>
      </c>
      <c r="AP44" s="39">
        <f>資料儲存!H512</f>
        <v>0</v>
      </c>
      <c r="AQ44" s="39">
        <f>資料儲存!I512</f>
        <v>0</v>
      </c>
      <c r="AR44" s="39">
        <f>資料儲存!J512</f>
        <v>0</v>
      </c>
      <c r="AT44" s="38">
        <v>1</v>
      </c>
      <c r="AU44" s="39">
        <f>資料儲存!D632</f>
        <v>0</v>
      </c>
      <c r="AV44" s="39">
        <f>資料儲存!E632</f>
        <v>0</v>
      </c>
      <c r="AW44" s="39">
        <f>資料儲存!F632</f>
        <v>0</v>
      </c>
      <c r="AX44" s="39">
        <f>資料儲存!G632</f>
        <v>0</v>
      </c>
      <c r="AY44" s="39">
        <f>資料儲存!H632</f>
        <v>0</v>
      </c>
      <c r="AZ44" s="39">
        <f>資料儲存!I632</f>
        <v>0</v>
      </c>
      <c r="BA44" s="39">
        <f>資料儲存!J632</f>
        <v>0</v>
      </c>
    </row>
    <row r="45" spans="1:53" ht="16" thickBot="1">
      <c r="A45" s="38">
        <v>2</v>
      </c>
      <c r="B45" s="39">
        <f>資料儲存!D33</f>
        <v>0</v>
      </c>
      <c r="C45" s="39">
        <f>資料儲存!E33</f>
        <v>0</v>
      </c>
      <c r="D45" s="39">
        <f>資料儲存!F33</f>
        <v>0</v>
      </c>
      <c r="E45" s="39">
        <f>資料儲存!G33</f>
        <v>0</v>
      </c>
      <c r="F45" s="39">
        <f>資料儲存!H33</f>
        <v>0</v>
      </c>
      <c r="G45" s="39">
        <f>資料儲存!I33</f>
        <v>0</v>
      </c>
      <c r="H45" s="39">
        <f>資料儲存!J33</f>
        <v>0</v>
      </c>
      <c r="I45" s="35"/>
      <c r="J45" s="38">
        <v>2</v>
      </c>
      <c r="K45" s="39">
        <f>資料儲存!D153</f>
        <v>0</v>
      </c>
      <c r="L45" s="39">
        <f>資料儲存!E153</f>
        <v>0</v>
      </c>
      <c r="M45" s="39">
        <f>資料儲存!F153</f>
        <v>0</v>
      </c>
      <c r="N45" s="39">
        <f>資料儲存!G153</f>
        <v>0</v>
      </c>
      <c r="O45" s="39">
        <f>資料儲存!H153</f>
        <v>0</v>
      </c>
      <c r="P45" s="39">
        <f>資料儲存!I153</f>
        <v>0</v>
      </c>
      <c r="Q45" s="39">
        <f>資料儲存!J153</f>
        <v>0</v>
      </c>
      <c r="R45" s="35"/>
      <c r="S45" s="38">
        <v>2</v>
      </c>
      <c r="T45" s="39">
        <f>資料儲存!D273</f>
        <v>0</v>
      </c>
      <c r="U45" s="39">
        <f>資料儲存!E273</f>
        <v>0</v>
      </c>
      <c r="V45" s="39">
        <f>資料儲存!F273</f>
        <v>0</v>
      </c>
      <c r="W45" s="39">
        <f>資料儲存!G273</f>
        <v>0</v>
      </c>
      <c r="X45" s="39">
        <f>資料儲存!H273</f>
        <v>0</v>
      </c>
      <c r="Y45" s="39">
        <f>資料儲存!I273</f>
        <v>0</v>
      </c>
      <c r="Z45" s="39">
        <f>資料儲存!J273</f>
        <v>0</v>
      </c>
      <c r="AA45" s="35"/>
      <c r="AB45" s="38">
        <v>2</v>
      </c>
      <c r="AC45" s="39">
        <f>資料儲存!D393</f>
        <v>0</v>
      </c>
      <c r="AD45" s="39">
        <f>資料儲存!E393</f>
        <v>0</v>
      </c>
      <c r="AE45" s="39">
        <f>資料儲存!F393</f>
        <v>0</v>
      </c>
      <c r="AF45" s="39">
        <f>資料儲存!G393</f>
        <v>0</v>
      </c>
      <c r="AG45" s="39">
        <f>資料儲存!H393</f>
        <v>0</v>
      </c>
      <c r="AH45" s="39">
        <f>資料儲存!I393</f>
        <v>0</v>
      </c>
      <c r="AI45" s="39">
        <f>資料儲存!J393</f>
        <v>0</v>
      </c>
      <c r="AJ45" s="13"/>
      <c r="AK45" s="38">
        <v>2</v>
      </c>
      <c r="AL45" s="39">
        <f>資料儲存!D513</f>
        <v>0</v>
      </c>
      <c r="AM45" s="39">
        <f>資料儲存!E513</f>
        <v>0</v>
      </c>
      <c r="AN45" s="39">
        <f>資料儲存!F513</f>
        <v>0</v>
      </c>
      <c r="AO45" s="39">
        <f>資料儲存!G513</f>
        <v>0</v>
      </c>
      <c r="AP45" s="39">
        <f>資料儲存!H513</f>
        <v>0</v>
      </c>
      <c r="AQ45" s="39">
        <f>資料儲存!I513</f>
        <v>0</v>
      </c>
      <c r="AR45" s="39">
        <f>資料儲存!J513</f>
        <v>0</v>
      </c>
      <c r="AT45" s="38">
        <v>2</v>
      </c>
      <c r="AU45" s="39">
        <f>資料儲存!D633</f>
        <v>0</v>
      </c>
      <c r="AV45" s="39">
        <f>資料儲存!E633</f>
        <v>0</v>
      </c>
      <c r="AW45" s="39">
        <f>資料儲存!F633</f>
        <v>0</v>
      </c>
      <c r="AX45" s="39">
        <f>資料儲存!G633</f>
        <v>0</v>
      </c>
      <c r="AY45" s="39">
        <f>資料儲存!H633</f>
        <v>0</v>
      </c>
      <c r="AZ45" s="39">
        <f>資料儲存!I633</f>
        <v>0</v>
      </c>
      <c r="BA45" s="39">
        <f>資料儲存!J633</f>
        <v>0</v>
      </c>
    </row>
    <row r="46" spans="1:53" ht="16" thickBot="1">
      <c r="A46" s="38">
        <v>3</v>
      </c>
      <c r="B46" s="39">
        <f>資料儲存!D34</f>
        <v>0</v>
      </c>
      <c r="C46" s="39">
        <f>資料儲存!E34</f>
        <v>0</v>
      </c>
      <c r="D46" s="39">
        <f>資料儲存!F34</f>
        <v>0</v>
      </c>
      <c r="E46" s="39">
        <f>資料儲存!G34</f>
        <v>0</v>
      </c>
      <c r="F46" s="39">
        <f>資料儲存!H34</f>
        <v>0</v>
      </c>
      <c r="G46" s="39">
        <f>資料儲存!I34</f>
        <v>0</v>
      </c>
      <c r="H46" s="39">
        <f>資料儲存!J34</f>
        <v>0</v>
      </c>
      <c r="I46" s="35"/>
      <c r="J46" s="38">
        <v>3</v>
      </c>
      <c r="K46" s="39">
        <f>資料儲存!D154</f>
        <v>0</v>
      </c>
      <c r="L46" s="39">
        <f>資料儲存!E154</f>
        <v>0</v>
      </c>
      <c r="M46" s="39">
        <f>資料儲存!F154</f>
        <v>0</v>
      </c>
      <c r="N46" s="39">
        <f>資料儲存!G154</f>
        <v>0</v>
      </c>
      <c r="O46" s="39">
        <f>資料儲存!H154</f>
        <v>0</v>
      </c>
      <c r="P46" s="39">
        <f>資料儲存!I154</f>
        <v>0</v>
      </c>
      <c r="Q46" s="39">
        <f>資料儲存!J154</f>
        <v>0</v>
      </c>
      <c r="R46" s="35"/>
      <c r="S46" s="38">
        <v>3</v>
      </c>
      <c r="T46" s="39">
        <f>資料儲存!D274</f>
        <v>0</v>
      </c>
      <c r="U46" s="39">
        <f>資料儲存!E274</f>
        <v>0</v>
      </c>
      <c r="V46" s="39">
        <f>資料儲存!F274</f>
        <v>0</v>
      </c>
      <c r="W46" s="39">
        <f>資料儲存!G274</f>
        <v>0</v>
      </c>
      <c r="X46" s="39">
        <f>資料儲存!H274</f>
        <v>0</v>
      </c>
      <c r="Y46" s="39">
        <f>資料儲存!I274</f>
        <v>0</v>
      </c>
      <c r="Z46" s="39">
        <f>資料儲存!J274</f>
        <v>0</v>
      </c>
      <c r="AA46" s="35"/>
      <c r="AB46" s="38">
        <v>3</v>
      </c>
      <c r="AC46" s="39">
        <f>資料儲存!D394</f>
        <v>0</v>
      </c>
      <c r="AD46" s="39">
        <f>資料儲存!E394</f>
        <v>0</v>
      </c>
      <c r="AE46" s="39">
        <f>資料儲存!F394</f>
        <v>0</v>
      </c>
      <c r="AF46" s="39">
        <f>資料儲存!G394</f>
        <v>0</v>
      </c>
      <c r="AG46" s="39">
        <f>資料儲存!H394</f>
        <v>0</v>
      </c>
      <c r="AH46" s="39">
        <f>資料儲存!I394</f>
        <v>0</v>
      </c>
      <c r="AI46" s="39">
        <f>資料儲存!J394</f>
        <v>0</v>
      </c>
      <c r="AJ46" s="13"/>
      <c r="AK46" s="38">
        <v>3</v>
      </c>
      <c r="AL46" s="39">
        <f>資料儲存!D514</f>
        <v>0</v>
      </c>
      <c r="AM46" s="39">
        <f>資料儲存!E514</f>
        <v>0</v>
      </c>
      <c r="AN46" s="39">
        <f>資料儲存!F514</f>
        <v>0</v>
      </c>
      <c r="AO46" s="39">
        <f>資料儲存!G514</f>
        <v>0</v>
      </c>
      <c r="AP46" s="39">
        <f>資料儲存!H514</f>
        <v>0</v>
      </c>
      <c r="AQ46" s="39">
        <f>資料儲存!I514</f>
        <v>0</v>
      </c>
      <c r="AR46" s="39">
        <f>資料儲存!J514</f>
        <v>0</v>
      </c>
      <c r="AT46" s="38">
        <v>3</v>
      </c>
      <c r="AU46" s="39">
        <f>資料儲存!D634</f>
        <v>0</v>
      </c>
      <c r="AV46" s="39">
        <f>資料儲存!E634</f>
        <v>0</v>
      </c>
      <c r="AW46" s="39">
        <f>資料儲存!F634</f>
        <v>0</v>
      </c>
      <c r="AX46" s="39">
        <f>資料儲存!G634</f>
        <v>0</v>
      </c>
      <c r="AY46" s="39">
        <f>資料儲存!H634</f>
        <v>0</v>
      </c>
      <c r="AZ46" s="39">
        <f>資料儲存!I634</f>
        <v>0</v>
      </c>
      <c r="BA46" s="39">
        <f>資料儲存!J634</f>
        <v>0</v>
      </c>
    </row>
    <row r="47" spans="1:53" ht="16" thickBot="1">
      <c r="A47" s="38">
        <v>4</v>
      </c>
      <c r="B47" s="39">
        <f>資料儲存!D35</f>
        <v>0</v>
      </c>
      <c r="C47" s="39">
        <f>資料儲存!E35</f>
        <v>0</v>
      </c>
      <c r="D47" s="39">
        <f>資料儲存!F35</f>
        <v>0</v>
      </c>
      <c r="E47" s="39">
        <f>資料儲存!G35</f>
        <v>0</v>
      </c>
      <c r="F47" s="39">
        <f>資料儲存!H35</f>
        <v>0</v>
      </c>
      <c r="G47" s="39">
        <f>資料儲存!I35</f>
        <v>0</v>
      </c>
      <c r="H47" s="39">
        <f>資料儲存!J35</f>
        <v>0</v>
      </c>
      <c r="I47" s="35"/>
      <c r="J47" s="38">
        <v>4</v>
      </c>
      <c r="K47" s="39">
        <f>資料儲存!D155</f>
        <v>0</v>
      </c>
      <c r="L47" s="39">
        <f>資料儲存!E155</f>
        <v>0</v>
      </c>
      <c r="M47" s="39">
        <f>資料儲存!F155</f>
        <v>0</v>
      </c>
      <c r="N47" s="39">
        <f>資料儲存!G155</f>
        <v>0</v>
      </c>
      <c r="O47" s="39">
        <f>資料儲存!H155</f>
        <v>0</v>
      </c>
      <c r="P47" s="39">
        <f>資料儲存!I155</f>
        <v>0</v>
      </c>
      <c r="Q47" s="39">
        <f>資料儲存!J155</f>
        <v>0</v>
      </c>
      <c r="R47" s="35"/>
      <c r="S47" s="38">
        <v>4</v>
      </c>
      <c r="T47" s="39">
        <f>資料儲存!D275</f>
        <v>0</v>
      </c>
      <c r="U47" s="39">
        <f>資料儲存!E275</f>
        <v>0</v>
      </c>
      <c r="V47" s="39">
        <f>資料儲存!F275</f>
        <v>0</v>
      </c>
      <c r="W47" s="39">
        <f>資料儲存!G275</f>
        <v>0</v>
      </c>
      <c r="X47" s="39">
        <f>資料儲存!H275</f>
        <v>0</v>
      </c>
      <c r="Y47" s="39">
        <f>資料儲存!I275</f>
        <v>0</v>
      </c>
      <c r="Z47" s="39">
        <f>資料儲存!J275</f>
        <v>0</v>
      </c>
      <c r="AA47" s="35"/>
      <c r="AB47" s="38">
        <v>4</v>
      </c>
      <c r="AC47" s="39">
        <f>資料儲存!D395</f>
        <v>0</v>
      </c>
      <c r="AD47" s="39">
        <f>資料儲存!E395</f>
        <v>0</v>
      </c>
      <c r="AE47" s="39">
        <f>資料儲存!F395</f>
        <v>0</v>
      </c>
      <c r="AF47" s="39">
        <f>資料儲存!G395</f>
        <v>0</v>
      </c>
      <c r="AG47" s="39">
        <f>資料儲存!H395</f>
        <v>0</v>
      </c>
      <c r="AH47" s="39">
        <f>資料儲存!I395</f>
        <v>0</v>
      </c>
      <c r="AI47" s="39">
        <f>資料儲存!J395</f>
        <v>0</v>
      </c>
      <c r="AJ47" s="13"/>
      <c r="AK47" s="38">
        <v>4</v>
      </c>
      <c r="AL47" s="39">
        <f>資料儲存!D515</f>
        <v>0</v>
      </c>
      <c r="AM47" s="39">
        <f>資料儲存!E515</f>
        <v>0</v>
      </c>
      <c r="AN47" s="39">
        <f>資料儲存!F515</f>
        <v>0</v>
      </c>
      <c r="AO47" s="39">
        <f>資料儲存!G515</f>
        <v>0</v>
      </c>
      <c r="AP47" s="39">
        <f>資料儲存!H515</f>
        <v>0</v>
      </c>
      <c r="AQ47" s="39">
        <f>資料儲存!I515</f>
        <v>0</v>
      </c>
      <c r="AR47" s="39">
        <f>資料儲存!J515</f>
        <v>0</v>
      </c>
      <c r="AT47" s="38">
        <v>4</v>
      </c>
      <c r="AU47" s="39">
        <f>資料儲存!D635</f>
        <v>0</v>
      </c>
      <c r="AV47" s="39">
        <f>資料儲存!E635</f>
        <v>0</v>
      </c>
      <c r="AW47" s="39">
        <f>資料儲存!F635</f>
        <v>0</v>
      </c>
      <c r="AX47" s="39">
        <f>資料儲存!G635</f>
        <v>0</v>
      </c>
      <c r="AY47" s="39">
        <f>資料儲存!H635</f>
        <v>0</v>
      </c>
      <c r="AZ47" s="39">
        <f>資料儲存!I635</f>
        <v>0</v>
      </c>
      <c r="BA47" s="39">
        <f>資料儲存!J635</f>
        <v>0</v>
      </c>
    </row>
    <row r="48" spans="1:53" ht="16" thickBot="1">
      <c r="A48" s="38">
        <v>5</v>
      </c>
      <c r="B48" s="39">
        <f>資料儲存!D36</f>
        <v>0</v>
      </c>
      <c r="C48" s="39">
        <f>資料儲存!E36</f>
        <v>0</v>
      </c>
      <c r="D48" s="39">
        <f>資料儲存!F36</f>
        <v>0</v>
      </c>
      <c r="E48" s="39">
        <f>資料儲存!G36</f>
        <v>0</v>
      </c>
      <c r="F48" s="39">
        <f>資料儲存!H36</f>
        <v>0</v>
      </c>
      <c r="G48" s="39">
        <f>資料儲存!I36</f>
        <v>0</v>
      </c>
      <c r="H48" s="39">
        <f>資料儲存!J36</f>
        <v>0</v>
      </c>
      <c r="I48" s="35"/>
      <c r="J48" s="38">
        <v>5</v>
      </c>
      <c r="K48" s="39">
        <f>資料儲存!D156</f>
        <v>0</v>
      </c>
      <c r="L48" s="39">
        <f>資料儲存!E156</f>
        <v>0</v>
      </c>
      <c r="M48" s="39">
        <f>資料儲存!F156</f>
        <v>0</v>
      </c>
      <c r="N48" s="39">
        <f>資料儲存!G156</f>
        <v>0</v>
      </c>
      <c r="O48" s="39">
        <f>資料儲存!H156</f>
        <v>0</v>
      </c>
      <c r="P48" s="39">
        <f>資料儲存!I156</f>
        <v>0</v>
      </c>
      <c r="Q48" s="39">
        <f>資料儲存!J156</f>
        <v>0</v>
      </c>
      <c r="R48" s="35"/>
      <c r="S48" s="38">
        <v>5</v>
      </c>
      <c r="T48" s="39">
        <f>資料儲存!D276</f>
        <v>0</v>
      </c>
      <c r="U48" s="39">
        <f>資料儲存!E276</f>
        <v>0</v>
      </c>
      <c r="V48" s="39">
        <f>資料儲存!F276</f>
        <v>0</v>
      </c>
      <c r="W48" s="39">
        <f>資料儲存!G276</f>
        <v>0</v>
      </c>
      <c r="X48" s="39">
        <f>資料儲存!H276</f>
        <v>0</v>
      </c>
      <c r="Y48" s="39">
        <f>資料儲存!I276</f>
        <v>0</v>
      </c>
      <c r="Z48" s="39">
        <f>資料儲存!J276</f>
        <v>0</v>
      </c>
      <c r="AA48" s="35"/>
      <c r="AB48" s="38">
        <v>5</v>
      </c>
      <c r="AC48" s="39">
        <f>資料儲存!D396</f>
        <v>0</v>
      </c>
      <c r="AD48" s="39">
        <f>資料儲存!E396</f>
        <v>0</v>
      </c>
      <c r="AE48" s="39">
        <f>資料儲存!F396</f>
        <v>0</v>
      </c>
      <c r="AF48" s="39">
        <f>資料儲存!G396</f>
        <v>0</v>
      </c>
      <c r="AG48" s="39">
        <f>資料儲存!H396</f>
        <v>0</v>
      </c>
      <c r="AH48" s="39">
        <f>資料儲存!I396</f>
        <v>0</v>
      </c>
      <c r="AI48" s="39">
        <f>資料儲存!J396</f>
        <v>0</v>
      </c>
      <c r="AJ48" s="13"/>
      <c r="AK48" s="38">
        <v>5</v>
      </c>
      <c r="AL48" s="39">
        <f>資料儲存!D516</f>
        <v>0</v>
      </c>
      <c r="AM48" s="39">
        <f>資料儲存!E516</f>
        <v>0</v>
      </c>
      <c r="AN48" s="39">
        <f>資料儲存!F516</f>
        <v>0</v>
      </c>
      <c r="AO48" s="39">
        <f>資料儲存!G516</f>
        <v>0</v>
      </c>
      <c r="AP48" s="39">
        <f>資料儲存!H516</f>
        <v>0</v>
      </c>
      <c r="AQ48" s="39">
        <f>資料儲存!I516</f>
        <v>0</v>
      </c>
      <c r="AR48" s="39">
        <f>資料儲存!J516</f>
        <v>0</v>
      </c>
      <c r="AT48" s="38">
        <v>5</v>
      </c>
      <c r="AU48" s="39">
        <f>資料儲存!D636</f>
        <v>0</v>
      </c>
      <c r="AV48" s="39">
        <f>資料儲存!E636</f>
        <v>0</v>
      </c>
      <c r="AW48" s="39">
        <f>資料儲存!F636</f>
        <v>0</v>
      </c>
      <c r="AX48" s="39">
        <f>資料儲存!G636</f>
        <v>0</v>
      </c>
      <c r="AY48" s="39">
        <f>資料儲存!H636</f>
        <v>0</v>
      </c>
      <c r="AZ48" s="39">
        <f>資料儲存!I636</f>
        <v>0</v>
      </c>
      <c r="BA48" s="39">
        <f>資料儲存!J636</f>
        <v>0</v>
      </c>
    </row>
    <row r="49" spans="1:53" ht="16" thickBot="1">
      <c r="A49" s="38">
        <v>6</v>
      </c>
      <c r="B49" s="39">
        <f>資料儲存!D37</f>
        <v>0</v>
      </c>
      <c r="C49" s="39">
        <f>資料儲存!E37</f>
        <v>0</v>
      </c>
      <c r="D49" s="39">
        <f>資料儲存!F37</f>
        <v>0</v>
      </c>
      <c r="E49" s="39">
        <f>資料儲存!G37</f>
        <v>0</v>
      </c>
      <c r="F49" s="39">
        <f>資料儲存!H37</f>
        <v>0</v>
      </c>
      <c r="G49" s="39">
        <f>資料儲存!I37</f>
        <v>0</v>
      </c>
      <c r="H49" s="39">
        <f>資料儲存!J37</f>
        <v>0</v>
      </c>
      <c r="I49" s="35"/>
      <c r="J49" s="38">
        <v>6</v>
      </c>
      <c r="K49" s="39">
        <f>資料儲存!D157</f>
        <v>0</v>
      </c>
      <c r="L49" s="39">
        <f>資料儲存!E157</f>
        <v>0</v>
      </c>
      <c r="M49" s="39">
        <f>資料儲存!F157</f>
        <v>0</v>
      </c>
      <c r="N49" s="39">
        <f>資料儲存!G157</f>
        <v>0</v>
      </c>
      <c r="O49" s="39">
        <f>資料儲存!H157</f>
        <v>0</v>
      </c>
      <c r="P49" s="39">
        <f>資料儲存!I157</f>
        <v>0</v>
      </c>
      <c r="Q49" s="39">
        <f>資料儲存!J157</f>
        <v>0</v>
      </c>
      <c r="R49" s="35"/>
      <c r="S49" s="38">
        <v>6</v>
      </c>
      <c r="T49" s="39">
        <f>資料儲存!D277</f>
        <v>0</v>
      </c>
      <c r="U49" s="39">
        <f>資料儲存!E277</f>
        <v>0</v>
      </c>
      <c r="V49" s="39">
        <f>資料儲存!F277</f>
        <v>0</v>
      </c>
      <c r="W49" s="39">
        <f>資料儲存!G277</f>
        <v>0</v>
      </c>
      <c r="X49" s="39">
        <f>資料儲存!H277</f>
        <v>0</v>
      </c>
      <c r="Y49" s="39">
        <f>資料儲存!I277</f>
        <v>0</v>
      </c>
      <c r="Z49" s="39">
        <f>資料儲存!J277</f>
        <v>0</v>
      </c>
      <c r="AA49" s="35"/>
      <c r="AB49" s="38">
        <v>6</v>
      </c>
      <c r="AC49" s="39">
        <f>資料儲存!D397</f>
        <v>0</v>
      </c>
      <c r="AD49" s="39">
        <f>資料儲存!E397</f>
        <v>0</v>
      </c>
      <c r="AE49" s="39">
        <f>資料儲存!F397</f>
        <v>0</v>
      </c>
      <c r="AF49" s="39">
        <f>資料儲存!G397</f>
        <v>0</v>
      </c>
      <c r="AG49" s="39">
        <f>資料儲存!H397</f>
        <v>0</v>
      </c>
      <c r="AH49" s="39">
        <f>資料儲存!I397</f>
        <v>0</v>
      </c>
      <c r="AI49" s="39">
        <f>資料儲存!J397</f>
        <v>0</v>
      </c>
      <c r="AJ49" s="13"/>
      <c r="AK49" s="38">
        <v>6</v>
      </c>
      <c r="AL49" s="39">
        <f>資料儲存!D517</f>
        <v>0</v>
      </c>
      <c r="AM49" s="39">
        <f>資料儲存!E517</f>
        <v>0</v>
      </c>
      <c r="AN49" s="39">
        <f>資料儲存!F517</f>
        <v>0</v>
      </c>
      <c r="AO49" s="39">
        <f>資料儲存!G517</f>
        <v>0</v>
      </c>
      <c r="AP49" s="39">
        <f>資料儲存!H517</f>
        <v>0</v>
      </c>
      <c r="AQ49" s="39">
        <f>資料儲存!I517</f>
        <v>0</v>
      </c>
      <c r="AR49" s="39">
        <f>資料儲存!J517</f>
        <v>0</v>
      </c>
      <c r="AT49" s="38">
        <v>6</v>
      </c>
      <c r="AU49" s="39">
        <f>資料儲存!D637</f>
        <v>0</v>
      </c>
      <c r="AV49" s="39">
        <f>資料儲存!E637</f>
        <v>0</v>
      </c>
      <c r="AW49" s="39">
        <f>資料儲存!F637</f>
        <v>0</v>
      </c>
      <c r="AX49" s="39">
        <f>資料儲存!G637</f>
        <v>0</v>
      </c>
      <c r="AY49" s="39">
        <f>資料儲存!H637</f>
        <v>0</v>
      </c>
      <c r="AZ49" s="39">
        <f>資料儲存!I637</f>
        <v>0</v>
      </c>
      <c r="BA49" s="39">
        <f>資料儲存!J637</f>
        <v>0</v>
      </c>
    </row>
    <row r="50" spans="1:53" ht="16" thickBot="1">
      <c r="A50" s="38">
        <v>7</v>
      </c>
      <c r="B50" s="39">
        <f>資料儲存!D38</f>
        <v>0</v>
      </c>
      <c r="C50" s="39">
        <f>資料儲存!E38</f>
        <v>0</v>
      </c>
      <c r="D50" s="39">
        <f>資料儲存!F38</f>
        <v>0</v>
      </c>
      <c r="E50" s="39">
        <f>資料儲存!G38</f>
        <v>0</v>
      </c>
      <c r="F50" s="39">
        <f>資料儲存!H38</f>
        <v>0</v>
      </c>
      <c r="G50" s="39">
        <f>資料儲存!I38</f>
        <v>0</v>
      </c>
      <c r="H50" s="39">
        <f>資料儲存!J38</f>
        <v>0</v>
      </c>
      <c r="I50" s="35"/>
      <c r="J50" s="38">
        <v>7</v>
      </c>
      <c r="K50" s="39">
        <f>資料儲存!D158</f>
        <v>0</v>
      </c>
      <c r="L50" s="39">
        <f>資料儲存!E158</f>
        <v>0</v>
      </c>
      <c r="M50" s="39">
        <f>資料儲存!F158</f>
        <v>0</v>
      </c>
      <c r="N50" s="39">
        <f>資料儲存!G158</f>
        <v>0</v>
      </c>
      <c r="O50" s="39">
        <f>資料儲存!H158</f>
        <v>0</v>
      </c>
      <c r="P50" s="39">
        <f>資料儲存!I158</f>
        <v>0</v>
      </c>
      <c r="Q50" s="39">
        <f>資料儲存!J158</f>
        <v>0</v>
      </c>
      <c r="R50" s="35"/>
      <c r="S50" s="38">
        <v>7</v>
      </c>
      <c r="T50" s="39">
        <f>資料儲存!D278</f>
        <v>0</v>
      </c>
      <c r="U50" s="39">
        <f>資料儲存!E278</f>
        <v>0</v>
      </c>
      <c r="V50" s="39">
        <f>資料儲存!F278</f>
        <v>0</v>
      </c>
      <c r="W50" s="39">
        <f>資料儲存!G278</f>
        <v>0</v>
      </c>
      <c r="X50" s="39">
        <f>資料儲存!H278</f>
        <v>0</v>
      </c>
      <c r="Y50" s="39">
        <f>資料儲存!I278</f>
        <v>0</v>
      </c>
      <c r="Z50" s="39">
        <f>資料儲存!J278</f>
        <v>0</v>
      </c>
      <c r="AA50" s="35"/>
      <c r="AB50" s="38">
        <v>7</v>
      </c>
      <c r="AC50" s="39">
        <f>資料儲存!D398</f>
        <v>0</v>
      </c>
      <c r="AD50" s="39">
        <f>資料儲存!E398</f>
        <v>0</v>
      </c>
      <c r="AE50" s="39">
        <f>資料儲存!F398</f>
        <v>0</v>
      </c>
      <c r="AF50" s="39">
        <f>資料儲存!G398</f>
        <v>0</v>
      </c>
      <c r="AG50" s="39">
        <f>資料儲存!H398</f>
        <v>0</v>
      </c>
      <c r="AH50" s="39">
        <f>資料儲存!I398</f>
        <v>0</v>
      </c>
      <c r="AI50" s="39">
        <f>資料儲存!J398</f>
        <v>0</v>
      </c>
      <c r="AJ50" s="13"/>
      <c r="AK50" s="38">
        <v>7</v>
      </c>
      <c r="AL50" s="39">
        <f>資料儲存!D518</f>
        <v>0</v>
      </c>
      <c r="AM50" s="39">
        <f>資料儲存!E518</f>
        <v>0</v>
      </c>
      <c r="AN50" s="39">
        <f>資料儲存!F518</f>
        <v>0</v>
      </c>
      <c r="AO50" s="39">
        <f>資料儲存!G518</f>
        <v>0</v>
      </c>
      <c r="AP50" s="39">
        <f>資料儲存!H518</f>
        <v>0</v>
      </c>
      <c r="AQ50" s="39">
        <f>資料儲存!I518</f>
        <v>0</v>
      </c>
      <c r="AR50" s="39">
        <f>資料儲存!J518</f>
        <v>0</v>
      </c>
      <c r="AT50" s="38">
        <v>7</v>
      </c>
      <c r="AU50" s="39">
        <f>資料儲存!D638</f>
        <v>0</v>
      </c>
      <c r="AV50" s="39">
        <f>資料儲存!E638</f>
        <v>0</v>
      </c>
      <c r="AW50" s="39">
        <f>資料儲存!F638</f>
        <v>0</v>
      </c>
      <c r="AX50" s="39">
        <f>資料儲存!G638</f>
        <v>0</v>
      </c>
      <c r="AY50" s="39">
        <f>資料儲存!H638</f>
        <v>0</v>
      </c>
      <c r="AZ50" s="39">
        <f>資料儲存!I638</f>
        <v>0</v>
      </c>
      <c r="BA50" s="39">
        <f>資料儲存!J638</f>
        <v>0</v>
      </c>
    </row>
    <row r="51" spans="1:53" ht="16" thickBot="1">
      <c r="A51" s="38">
        <v>8</v>
      </c>
      <c r="B51" s="39">
        <f>資料儲存!D39</f>
        <v>0</v>
      </c>
      <c r="C51" s="39">
        <f>資料儲存!E39</f>
        <v>0</v>
      </c>
      <c r="D51" s="39">
        <f>資料儲存!F39</f>
        <v>0</v>
      </c>
      <c r="E51" s="39">
        <f>資料儲存!G39</f>
        <v>0</v>
      </c>
      <c r="F51" s="39">
        <f>資料儲存!H39</f>
        <v>0</v>
      </c>
      <c r="G51" s="39">
        <f>資料儲存!I39</f>
        <v>0</v>
      </c>
      <c r="H51" s="39">
        <f>資料儲存!J39</f>
        <v>0</v>
      </c>
      <c r="I51" s="35"/>
      <c r="J51" s="38">
        <v>8</v>
      </c>
      <c r="K51" s="39">
        <f>資料儲存!D159</f>
        <v>0</v>
      </c>
      <c r="L51" s="39">
        <f>資料儲存!E159</f>
        <v>0</v>
      </c>
      <c r="M51" s="39">
        <f>資料儲存!F159</f>
        <v>0</v>
      </c>
      <c r="N51" s="39">
        <f>資料儲存!G159</f>
        <v>0</v>
      </c>
      <c r="O51" s="39">
        <f>資料儲存!H159</f>
        <v>0</v>
      </c>
      <c r="P51" s="39">
        <f>資料儲存!I159</f>
        <v>0</v>
      </c>
      <c r="Q51" s="39">
        <f>資料儲存!J159</f>
        <v>0</v>
      </c>
      <c r="R51" s="35"/>
      <c r="S51" s="38">
        <v>8</v>
      </c>
      <c r="T51" s="39">
        <f>資料儲存!D279</f>
        <v>0</v>
      </c>
      <c r="U51" s="39">
        <f>資料儲存!E279</f>
        <v>0</v>
      </c>
      <c r="V51" s="39">
        <f>資料儲存!F279</f>
        <v>0</v>
      </c>
      <c r="W51" s="39">
        <f>資料儲存!G279</f>
        <v>0</v>
      </c>
      <c r="X51" s="39">
        <f>資料儲存!H279</f>
        <v>0</v>
      </c>
      <c r="Y51" s="39">
        <f>資料儲存!I279</f>
        <v>0</v>
      </c>
      <c r="Z51" s="39">
        <f>資料儲存!J279</f>
        <v>0</v>
      </c>
      <c r="AA51" s="35"/>
      <c r="AB51" s="38">
        <v>8</v>
      </c>
      <c r="AC51" s="39">
        <f>資料儲存!D399</f>
        <v>0</v>
      </c>
      <c r="AD51" s="39">
        <f>資料儲存!E399</f>
        <v>0</v>
      </c>
      <c r="AE51" s="39">
        <f>資料儲存!F399</f>
        <v>0</v>
      </c>
      <c r="AF51" s="39">
        <f>資料儲存!G399</f>
        <v>0</v>
      </c>
      <c r="AG51" s="39">
        <f>資料儲存!H399</f>
        <v>0</v>
      </c>
      <c r="AH51" s="39">
        <f>資料儲存!I399</f>
        <v>0</v>
      </c>
      <c r="AI51" s="39">
        <f>資料儲存!J399</f>
        <v>0</v>
      </c>
      <c r="AJ51" s="13"/>
      <c r="AK51" s="38">
        <v>8</v>
      </c>
      <c r="AL51" s="39">
        <f>資料儲存!D519</f>
        <v>0</v>
      </c>
      <c r="AM51" s="39">
        <f>資料儲存!E519</f>
        <v>0</v>
      </c>
      <c r="AN51" s="39">
        <f>資料儲存!F519</f>
        <v>0</v>
      </c>
      <c r="AO51" s="39">
        <f>資料儲存!G519</f>
        <v>0</v>
      </c>
      <c r="AP51" s="39">
        <f>資料儲存!H519</f>
        <v>0</v>
      </c>
      <c r="AQ51" s="39">
        <f>資料儲存!I519</f>
        <v>0</v>
      </c>
      <c r="AR51" s="39">
        <f>資料儲存!J519</f>
        <v>0</v>
      </c>
      <c r="AT51" s="38">
        <v>8</v>
      </c>
      <c r="AU51" s="39">
        <f>資料儲存!D639</f>
        <v>0</v>
      </c>
      <c r="AV51" s="39">
        <f>資料儲存!E639</f>
        <v>0</v>
      </c>
      <c r="AW51" s="39">
        <f>資料儲存!F639</f>
        <v>0</v>
      </c>
      <c r="AX51" s="39">
        <f>資料儲存!G639</f>
        <v>0</v>
      </c>
      <c r="AY51" s="39">
        <f>資料儲存!H639</f>
        <v>0</v>
      </c>
      <c r="AZ51" s="39">
        <f>資料儲存!I639</f>
        <v>0</v>
      </c>
      <c r="BA51" s="39">
        <f>資料儲存!J639</f>
        <v>0</v>
      </c>
    </row>
    <row r="52" spans="1:53" ht="16" thickBot="1">
      <c r="A52" s="38">
        <v>9</v>
      </c>
      <c r="B52" s="39">
        <f>資料儲存!D40</f>
        <v>0</v>
      </c>
      <c r="C52" s="39">
        <f>資料儲存!E40</f>
        <v>0</v>
      </c>
      <c r="D52" s="39">
        <f>資料儲存!F40</f>
        <v>0</v>
      </c>
      <c r="E52" s="39">
        <f>資料儲存!G40</f>
        <v>0</v>
      </c>
      <c r="F52" s="39">
        <f>資料儲存!H40</f>
        <v>0</v>
      </c>
      <c r="G52" s="39">
        <f>資料儲存!I40</f>
        <v>0</v>
      </c>
      <c r="H52" s="39">
        <f>資料儲存!J40</f>
        <v>0</v>
      </c>
      <c r="I52" s="35"/>
      <c r="J52" s="38">
        <v>9</v>
      </c>
      <c r="K52" s="39">
        <f>資料儲存!D160</f>
        <v>0</v>
      </c>
      <c r="L52" s="39">
        <f>資料儲存!E160</f>
        <v>0</v>
      </c>
      <c r="M52" s="39">
        <f>資料儲存!F160</f>
        <v>0</v>
      </c>
      <c r="N52" s="39">
        <f>資料儲存!G160</f>
        <v>0</v>
      </c>
      <c r="O52" s="39">
        <f>資料儲存!H160</f>
        <v>0</v>
      </c>
      <c r="P52" s="39">
        <f>資料儲存!I160</f>
        <v>0</v>
      </c>
      <c r="Q52" s="39">
        <f>資料儲存!J160</f>
        <v>0</v>
      </c>
      <c r="R52" s="35"/>
      <c r="S52" s="38">
        <v>9</v>
      </c>
      <c r="T52" s="39">
        <f>資料儲存!D280</f>
        <v>0</v>
      </c>
      <c r="U52" s="39">
        <f>資料儲存!E280</f>
        <v>0</v>
      </c>
      <c r="V52" s="39">
        <f>資料儲存!F280</f>
        <v>0</v>
      </c>
      <c r="W52" s="39">
        <f>資料儲存!G280</f>
        <v>0</v>
      </c>
      <c r="X52" s="39">
        <f>資料儲存!H280</f>
        <v>0</v>
      </c>
      <c r="Y52" s="39">
        <f>資料儲存!I280</f>
        <v>0</v>
      </c>
      <c r="Z52" s="39">
        <f>資料儲存!J280</f>
        <v>0</v>
      </c>
      <c r="AA52" s="35"/>
      <c r="AB52" s="38">
        <v>9</v>
      </c>
      <c r="AC52" s="39">
        <f>資料儲存!D400</f>
        <v>0</v>
      </c>
      <c r="AD52" s="39">
        <f>資料儲存!E400</f>
        <v>0</v>
      </c>
      <c r="AE52" s="39">
        <f>資料儲存!F400</f>
        <v>0</v>
      </c>
      <c r="AF52" s="39">
        <f>資料儲存!G400</f>
        <v>0</v>
      </c>
      <c r="AG52" s="39">
        <f>資料儲存!H400</f>
        <v>0</v>
      </c>
      <c r="AH52" s="39">
        <f>資料儲存!I400</f>
        <v>0</v>
      </c>
      <c r="AI52" s="39">
        <f>資料儲存!J400</f>
        <v>0</v>
      </c>
      <c r="AJ52" s="13"/>
      <c r="AK52" s="38">
        <v>9</v>
      </c>
      <c r="AL52" s="39">
        <f>資料儲存!D520</f>
        <v>0</v>
      </c>
      <c r="AM52" s="39">
        <f>資料儲存!E520</f>
        <v>0</v>
      </c>
      <c r="AN52" s="39">
        <f>資料儲存!F520</f>
        <v>0</v>
      </c>
      <c r="AO52" s="39">
        <f>資料儲存!G520</f>
        <v>0</v>
      </c>
      <c r="AP52" s="39">
        <f>資料儲存!H520</f>
        <v>0</v>
      </c>
      <c r="AQ52" s="39">
        <f>資料儲存!I520</f>
        <v>0</v>
      </c>
      <c r="AR52" s="39">
        <f>資料儲存!J520</f>
        <v>0</v>
      </c>
      <c r="AT52" s="38">
        <v>9</v>
      </c>
      <c r="AU52" s="39">
        <f>資料儲存!D640</f>
        <v>0</v>
      </c>
      <c r="AV52" s="39">
        <f>資料儲存!E640</f>
        <v>0</v>
      </c>
      <c r="AW52" s="39">
        <f>資料儲存!F640</f>
        <v>0</v>
      </c>
      <c r="AX52" s="39">
        <f>資料儲存!G640</f>
        <v>0</v>
      </c>
      <c r="AY52" s="39">
        <f>資料儲存!H640</f>
        <v>0</v>
      </c>
      <c r="AZ52" s="39">
        <f>資料儲存!I640</f>
        <v>0</v>
      </c>
      <c r="BA52" s="39">
        <f>資料儲存!J640</f>
        <v>0</v>
      </c>
    </row>
    <row r="53" spans="1:53" ht="16" thickBot="1">
      <c r="A53" s="38">
        <v>10</v>
      </c>
      <c r="B53" s="39">
        <f>資料儲存!D41</f>
        <v>0</v>
      </c>
      <c r="C53" s="39">
        <f>資料儲存!E41</f>
        <v>0</v>
      </c>
      <c r="D53" s="39">
        <f>資料儲存!F41</f>
        <v>0</v>
      </c>
      <c r="E53" s="39">
        <f>資料儲存!G41</f>
        <v>0</v>
      </c>
      <c r="F53" s="39">
        <f>資料儲存!H41</f>
        <v>0</v>
      </c>
      <c r="G53" s="39">
        <f>資料儲存!I41</f>
        <v>0</v>
      </c>
      <c r="H53" s="39">
        <f>資料儲存!J41</f>
        <v>0</v>
      </c>
      <c r="I53" s="35"/>
      <c r="J53" s="38">
        <v>10</v>
      </c>
      <c r="K53" s="39">
        <f>資料儲存!D161</f>
        <v>0</v>
      </c>
      <c r="L53" s="39">
        <f>資料儲存!E161</f>
        <v>0</v>
      </c>
      <c r="M53" s="39">
        <f>資料儲存!F161</f>
        <v>0</v>
      </c>
      <c r="N53" s="39">
        <f>資料儲存!G161</f>
        <v>0</v>
      </c>
      <c r="O53" s="39">
        <f>資料儲存!H161</f>
        <v>0</v>
      </c>
      <c r="P53" s="39">
        <f>資料儲存!I161</f>
        <v>0</v>
      </c>
      <c r="Q53" s="39">
        <f>資料儲存!J161</f>
        <v>0</v>
      </c>
      <c r="R53" s="35"/>
      <c r="S53" s="38">
        <v>10</v>
      </c>
      <c r="T53" s="39">
        <f>資料儲存!D281</f>
        <v>0</v>
      </c>
      <c r="U53" s="39">
        <f>資料儲存!E281</f>
        <v>0</v>
      </c>
      <c r="V53" s="39">
        <f>資料儲存!F281</f>
        <v>0</v>
      </c>
      <c r="W53" s="39">
        <f>資料儲存!G281</f>
        <v>0</v>
      </c>
      <c r="X53" s="39">
        <f>資料儲存!H281</f>
        <v>0</v>
      </c>
      <c r="Y53" s="39">
        <f>資料儲存!I281</f>
        <v>0</v>
      </c>
      <c r="Z53" s="39">
        <f>資料儲存!J281</f>
        <v>0</v>
      </c>
      <c r="AA53" s="35"/>
      <c r="AB53" s="38">
        <v>10</v>
      </c>
      <c r="AC53" s="39">
        <f>資料儲存!D401</f>
        <v>0</v>
      </c>
      <c r="AD53" s="39">
        <f>資料儲存!E401</f>
        <v>0</v>
      </c>
      <c r="AE53" s="39">
        <f>資料儲存!F401</f>
        <v>0</v>
      </c>
      <c r="AF53" s="39">
        <f>資料儲存!G401</f>
        <v>0</v>
      </c>
      <c r="AG53" s="39">
        <f>資料儲存!H401</f>
        <v>0</v>
      </c>
      <c r="AH53" s="39">
        <f>資料儲存!I401</f>
        <v>0</v>
      </c>
      <c r="AI53" s="39">
        <f>資料儲存!J401</f>
        <v>0</v>
      </c>
      <c r="AJ53" s="13"/>
      <c r="AK53" s="38">
        <v>10</v>
      </c>
      <c r="AL53" s="39">
        <f>資料儲存!D521</f>
        <v>0</v>
      </c>
      <c r="AM53" s="39">
        <f>資料儲存!E521</f>
        <v>0</v>
      </c>
      <c r="AN53" s="39">
        <f>資料儲存!F521</f>
        <v>0</v>
      </c>
      <c r="AO53" s="39">
        <f>資料儲存!G521</f>
        <v>0</v>
      </c>
      <c r="AP53" s="39">
        <f>資料儲存!H521</f>
        <v>0</v>
      </c>
      <c r="AQ53" s="39">
        <f>資料儲存!I521</f>
        <v>0</v>
      </c>
      <c r="AR53" s="39">
        <f>資料儲存!J521</f>
        <v>0</v>
      </c>
      <c r="AT53" s="38">
        <v>10</v>
      </c>
      <c r="AU53" s="39">
        <f>資料儲存!D641</f>
        <v>0</v>
      </c>
      <c r="AV53" s="39">
        <f>資料儲存!E641</f>
        <v>0</v>
      </c>
      <c r="AW53" s="39">
        <f>資料儲存!F641</f>
        <v>0</v>
      </c>
      <c r="AX53" s="39">
        <f>資料儲存!G641</f>
        <v>0</v>
      </c>
      <c r="AY53" s="39">
        <f>資料儲存!H641</f>
        <v>0</v>
      </c>
      <c r="AZ53" s="39">
        <f>資料儲存!I641</f>
        <v>0</v>
      </c>
      <c r="BA53" s="39">
        <f>資料儲存!J641</f>
        <v>0</v>
      </c>
    </row>
    <row r="54" spans="1:53" ht="16" thickBot="1">
      <c r="A54" s="38">
        <v>11</v>
      </c>
      <c r="B54" s="39">
        <f>資料儲存!D42</f>
        <v>0</v>
      </c>
      <c r="C54" s="39">
        <f>資料儲存!E42</f>
        <v>0</v>
      </c>
      <c r="D54" s="39">
        <f>資料儲存!F42</f>
        <v>0</v>
      </c>
      <c r="E54" s="39">
        <f>資料儲存!G42</f>
        <v>0</v>
      </c>
      <c r="F54" s="39">
        <f>資料儲存!H42</f>
        <v>0</v>
      </c>
      <c r="G54" s="39">
        <f>資料儲存!I42</f>
        <v>0</v>
      </c>
      <c r="H54" s="39">
        <f>資料儲存!J42</f>
        <v>0</v>
      </c>
      <c r="I54" s="35"/>
      <c r="J54" s="38">
        <v>11</v>
      </c>
      <c r="K54" s="39">
        <f>資料儲存!D162</f>
        <v>0</v>
      </c>
      <c r="L54" s="39">
        <f>資料儲存!E162</f>
        <v>0</v>
      </c>
      <c r="M54" s="39">
        <f>資料儲存!F162</f>
        <v>0</v>
      </c>
      <c r="N54" s="39">
        <f>資料儲存!G162</f>
        <v>0</v>
      </c>
      <c r="O54" s="39">
        <f>資料儲存!H162</f>
        <v>0</v>
      </c>
      <c r="P54" s="39">
        <f>資料儲存!I162</f>
        <v>0</v>
      </c>
      <c r="Q54" s="39">
        <f>資料儲存!J162</f>
        <v>0</v>
      </c>
      <c r="R54" s="35"/>
      <c r="S54" s="38">
        <v>11</v>
      </c>
      <c r="T54" s="39">
        <f>資料儲存!D282</f>
        <v>0</v>
      </c>
      <c r="U54" s="39">
        <f>資料儲存!E282</f>
        <v>0</v>
      </c>
      <c r="V54" s="39">
        <f>資料儲存!F282</f>
        <v>0</v>
      </c>
      <c r="W54" s="39">
        <f>資料儲存!G282</f>
        <v>0</v>
      </c>
      <c r="X54" s="39">
        <f>資料儲存!H282</f>
        <v>0</v>
      </c>
      <c r="Y54" s="39">
        <f>資料儲存!I282</f>
        <v>0</v>
      </c>
      <c r="Z54" s="39">
        <f>資料儲存!J282</f>
        <v>0</v>
      </c>
      <c r="AA54" s="35"/>
      <c r="AB54" s="38">
        <v>11</v>
      </c>
      <c r="AC54" s="39">
        <f>資料儲存!D402</f>
        <v>0</v>
      </c>
      <c r="AD54" s="39">
        <f>資料儲存!E402</f>
        <v>0</v>
      </c>
      <c r="AE54" s="39">
        <f>資料儲存!F402</f>
        <v>0</v>
      </c>
      <c r="AF54" s="39">
        <f>資料儲存!G402</f>
        <v>0</v>
      </c>
      <c r="AG54" s="39">
        <f>資料儲存!H402</f>
        <v>0</v>
      </c>
      <c r="AH54" s="39">
        <f>資料儲存!I402</f>
        <v>0</v>
      </c>
      <c r="AI54" s="39">
        <f>資料儲存!J402</f>
        <v>0</v>
      </c>
      <c r="AJ54" s="13"/>
      <c r="AK54" s="38">
        <v>11</v>
      </c>
      <c r="AL54" s="39">
        <f>資料儲存!D522</f>
        <v>0</v>
      </c>
      <c r="AM54" s="39">
        <f>資料儲存!E522</f>
        <v>0</v>
      </c>
      <c r="AN54" s="39">
        <f>資料儲存!F522</f>
        <v>0</v>
      </c>
      <c r="AO54" s="39">
        <f>資料儲存!G522</f>
        <v>0</v>
      </c>
      <c r="AP54" s="39">
        <f>資料儲存!H522</f>
        <v>0</v>
      </c>
      <c r="AQ54" s="39">
        <f>資料儲存!I522</f>
        <v>0</v>
      </c>
      <c r="AR54" s="39">
        <f>資料儲存!J522</f>
        <v>0</v>
      </c>
      <c r="AT54" s="38">
        <v>11</v>
      </c>
      <c r="AU54" s="39">
        <f>資料儲存!D642</f>
        <v>0</v>
      </c>
      <c r="AV54" s="39">
        <f>資料儲存!E642</f>
        <v>0</v>
      </c>
      <c r="AW54" s="39">
        <f>資料儲存!F642</f>
        <v>0</v>
      </c>
      <c r="AX54" s="39">
        <f>資料儲存!G642</f>
        <v>0</v>
      </c>
      <c r="AY54" s="39">
        <f>資料儲存!H642</f>
        <v>0</v>
      </c>
      <c r="AZ54" s="39">
        <f>資料儲存!I642</f>
        <v>0</v>
      </c>
      <c r="BA54" s="39">
        <f>資料儲存!J642</f>
        <v>0</v>
      </c>
    </row>
    <row r="55" spans="1:53" ht="16" thickBot="1">
      <c r="A55" s="38">
        <v>12</v>
      </c>
      <c r="B55" s="39">
        <f>資料儲存!D43</f>
        <v>0</v>
      </c>
      <c r="C55" s="39">
        <f>資料儲存!E43</f>
        <v>0</v>
      </c>
      <c r="D55" s="39">
        <f>資料儲存!F43</f>
        <v>0</v>
      </c>
      <c r="E55" s="39">
        <f>資料儲存!G43</f>
        <v>0</v>
      </c>
      <c r="F55" s="39">
        <f>資料儲存!H43</f>
        <v>0</v>
      </c>
      <c r="G55" s="39">
        <f>資料儲存!I43</f>
        <v>0</v>
      </c>
      <c r="H55" s="39">
        <f>資料儲存!J43</f>
        <v>0</v>
      </c>
      <c r="I55" s="35"/>
      <c r="J55" s="38">
        <v>12</v>
      </c>
      <c r="K55" s="39">
        <f>資料儲存!D163</f>
        <v>0</v>
      </c>
      <c r="L55" s="39">
        <f>資料儲存!E163</f>
        <v>0</v>
      </c>
      <c r="M55" s="39">
        <f>資料儲存!F163</f>
        <v>0</v>
      </c>
      <c r="N55" s="39">
        <f>資料儲存!G163</f>
        <v>0</v>
      </c>
      <c r="O55" s="39">
        <f>資料儲存!H163</f>
        <v>0</v>
      </c>
      <c r="P55" s="39">
        <f>資料儲存!I163</f>
        <v>0</v>
      </c>
      <c r="Q55" s="39">
        <f>資料儲存!J163</f>
        <v>0</v>
      </c>
      <c r="R55" s="35"/>
      <c r="S55" s="38">
        <v>12</v>
      </c>
      <c r="T55" s="39">
        <f>資料儲存!D283</f>
        <v>0</v>
      </c>
      <c r="U55" s="39">
        <f>資料儲存!E283</f>
        <v>0</v>
      </c>
      <c r="V55" s="39">
        <f>資料儲存!F283</f>
        <v>0</v>
      </c>
      <c r="W55" s="39">
        <f>資料儲存!G283</f>
        <v>0</v>
      </c>
      <c r="X55" s="39">
        <f>資料儲存!H283</f>
        <v>0</v>
      </c>
      <c r="Y55" s="39">
        <f>資料儲存!I283</f>
        <v>0</v>
      </c>
      <c r="Z55" s="39">
        <f>資料儲存!J283</f>
        <v>0</v>
      </c>
      <c r="AA55" s="35"/>
      <c r="AB55" s="38">
        <v>12</v>
      </c>
      <c r="AC55" s="39">
        <f>資料儲存!D403</f>
        <v>0</v>
      </c>
      <c r="AD55" s="39">
        <f>資料儲存!E403</f>
        <v>0</v>
      </c>
      <c r="AE55" s="39">
        <f>資料儲存!F403</f>
        <v>0</v>
      </c>
      <c r="AF55" s="39">
        <f>資料儲存!G403</f>
        <v>0</v>
      </c>
      <c r="AG55" s="39">
        <f>資料儲存!H403</f>
        <v>0</v>
      </c>
      <c r="AH55" s="39">
        <f>資料儲存!I403</f>
        <v>0</v>
      </c>
      <c r="AI55" s="39">
        <f>資料儲存!J403</f>
        <v>0</v>
      </c>
      <c r="AJ55" s="13"/>
      <c r="AK55" s="38">
        <v>12</v>
      </c>
      <c r="AL55" s="39">
        <f>資料儲存!D523</f>
        <v>0</v>
      </c>
      <c r="AM55" s="39">
        <f>資料儲存!E523</f>
        <v>0</v>
      </c>
      <c r="AN55" s="39">
        <f>資料儲存!F523</f>
        <v>0</v>
      </c>
      <c r="AO55" s="39">
        <f>資料儲存!G523</f>
        <v>0</v>
      </c>
      <c r="AP55" s="39">
        <f>資料儲存!H523</f>
        <v>0</v>
      </c>
      <c r="AQ55" s="39">
        <f>資料儲存!I523</f>
        <v>0</v>
      </c>
      <c r="AR55" s="39">
        <f>資料儲存!J523</f>
        <v>0</v>
      </c>
      <c r="AT55" s="38">
        <v>12</v>
      </c>
      <c r="AU55" s="39">
        <f>資料儲存!D643</f>
        <v>0</v>
      </c>
      <c r="AV55" s="39">
        <f>資料儲存!E643</f>
        <v>0</v>
      </c>
      <c r="AW55" s="39">
        <f>資料儲存!F643</f>
        <v>0</v>
      </c>
      <c r="AX55" s="39">
        <f>資料儲存!G643</f>
        <v>0</v>
      </c>
      <c r="AY55" s="39">
        <f>資料儲存!H643</f>
        <v>0</v>
      </c>
      <c r="AZ55" s="39">
        <f>資料儲存!I643</f>
        <v>0</v>
      </c>
      <c r="BA55" s="39">
        <f>資料儲存!J643</f>
        <v>0</v>
      </c>
    </row>
    <row r="56" spans="1:53" ht="16" thickBot="1">
      <c r="A56" s="38">
        <v>13</v>
      </c>
      <c r="B56" s="39">
        <f>資料儲存!D44</f>
        <v>0</v>
      </c>
      <c r="C56" s="39">
        <f>資料儲存!E44</f>
        <v>0</v>
      </c>
      <c r="D56" s="39">
        <f>資料儲存!F44</f>
        <v>0</v>
      </c>
      <c r="E56" s="39">
        <f>資料儲存!G44</f>
        <v>0</v>
      </c>
      <c r="F56" s="39">
        <f>資料儲存!H44</f>
        <v>0</v>
      </c>
      <c r="G56" s="39">
        <f>資料儲存!I44</f>
        <v>0</v>
      </c>
      <c r="H56" s="39">
        <f>資料儲存!J44</f>
        <v>0</v>
      </c>
      <c r="I56" s="35"/>
      <c r="J56" s="38">
        <v>13</v>
      </c>
      <c r="K56" s="39">
        <f>資料儲存!D164</f>
        <v>0</v>
      </c>
      <c r="L56" s="39">
        <f>資料儲存!E164</f>
        <v>0</v>
      </c>
      <c r="M56" s="39">
        <f>資料儲存!F164</f>
        <v>0</v>
      </c>
      <c r="N56" s="39">
        <f>資料儲存!G164</f>
        <v>0</v>
      </c>
      <c r="O56" s="39">
        <f>資料儲存!H164</f>
        <v>0</v>
      </c>
      <c r="P56" s="39">
        <f>資料儲存!I164</f>
        <v>0</v>
      </c>
      <c r="Q56" s="39">
        <f>資料儲存!J164</f>
        <v>0</v>
      </c>
      <c r="R56" s="35"/>
      <c r="S56" s="38">
        <v>13</v>
      </c>
      <c r="T56" s="39">
        <f>資料儲存!D284</f>
        <v>0</v>
      </c>
      <c r="U56" s="39">
        <f>資料儲存!E284</f>
        <v>0</v>
      </c>
      <c r="V56" s="39">
        <f>資料儲存!F284</f>
        <v>0</v>
      </c>
      <c r="W56" s="39">
        <f>資料儲存!G284</f>
        <v>0</v>
      </c>
      <c r="X56" s="39">
        <f>資料儲存!H284</f>
        <v>0</v>
      </c>
      <c r="Y56" s="39">
        <f>資料儲存!I284</f>
        <v>0</v>
      </c>
      <c r="Z56" s="39">
        <f>資料儲存!J284</f>
        <v>0</v>
      </c>
      <c r="AA56" s="35"/>
      <c r="AB56" s="38">
        <v>13</v>
      </c>
      <c r="AC56" s="39">
        <f>資料儲存!D404</f>
        <v>0</v>
      </c>
      <c r="AD56" s="39">
        <f>資料儲存!E404</f>
        <v>0</v>
      </c>
      <c r="AE56" s="39">
        <f>資料儲存!F404</f>
        <v>0</v>
      </c>
      <c r="AF56" s="39">
        <f>資料儲存!G404</f>
        <v>0</v>
      </c>
      <c r="AG56" s="39">
        <f>資料儲存!H404</f>
        <v>0</v>
      </c>
      <c r="AH56" s="39">
        <f>資料儲存!I404</f>
        <v>0</v>
      </c>
      <c r="AI56" s="39">
        <f>資料儲存!J404</f>
        <v>0</v>
      </c>
      <c r="AJ56" s="13"/>
      <c r="AK56" s="38">
        <v>13</v>
      </c>
      <c r="AL56" s="39">
        <f>資料儲存!D524</f>
        <v>0</v>
      </c>
      <c r="AM56" s="39">
        <f>資料儲存!E524</f>
        <v>0</v>
      </c>
      <c r="AN56" s="39">
        <f>資料儲存!F524</f>
        <v>0</v>
      </c>
      <c r="AO56" s="39">
        <f>資料儲存!G524</f>
        <v>0</v>
      </c>
      <c r="AP56" s="39">
        <f>資料儲存!H524</f>
        <v>0</v>
      </c>
      <c r="AQ56" s="39">
        <f>資料儲存!I524</f>
        <v>0</v>
      </c>
      <c r="AR56" s="39">
        <f>資料儲存!J524</f>
        <v>0</v>
      </c>
      <c r="AT56" s="38">
        <v>13</v>
      </c>
      <c r="AU56" s="39">
        <f>資料儲存!D644</f>
        <v>0</v>
      </c>
      <c r="AV56" s="39">
        <f>資料儲存!E644</f>
        <v>0</v>
      </c>
      <c r="AW56" s="39">
        <f>資料儲存!F644</f>
        <v>0</v>
      </c>
      <c r="AX56" s="39">
        <f>資料儲存!G644</f>
        <v>0</v>
      </c>
      <c r="AY56" s="39">
        <f>資料儲存!H644</f>
        <v>0</v>
      </c>
      <c r="AZ56" s="39">
        <f>資料儲存!I644</f>
        <v>0</v>
      </c>
      <c r="BA56" s="39">
        <f>資料儲存!J644</f>
        <v>0</v>
      </c>
    </row>
    <row r="57" spans="1:53" ht="16" thickBot="1">
      <c r="A57" s="38">
        <v>14</v>
      </c>
      <c r="B57" s="39">
        <f>資料儲存!D45</f>
        <v>0</v>
      </c>
      <c r="C57" s="39">
        <f>資料儲存!E45</f>
        <v>0</v>
      </c>
      <c r="D57" s="39">
        <f>資料儲存!F45</f>
        <v>0</v>
      </c>
      <c r="E57" s="39">
        <f>資料儲存!G45</f>
        <v>0</v>
      </c>
      <c r="F57" s="39">
        <f>資料儲存!H45</f>
        <v>0</v>
      </c>
      <c r="G57" s="39">
        <f>資料儲存!I45</f>
        <v>0</v>
      </c>
      <c r="H57" s="39">
        <f>資料儲存!J45</f>
        <v>0</v>
      </c>
      <c r="I57" s="35"/>
      <c r="J57" s="38">
        <v>14</v>
      </c>
      <c r="K57" s="39">
        <f>資料儲存!D165</f>
        <v>0</v>
      </c>
      <c r="L57" s="39">
        <f>資料儲存!E165</f>
        <v>0</v>
      </c>
      <c r="M57" s="39">
        <f>資料儲存!F165</f>
        <v>0</v>
      </c>
      <c r="N57" s="39">
        <f>資料儲存!G165</f>
        <v>0</v>
      </c>
      <c r="O57" s="39">
        <f>資料儲存!H165</f>
        <v>0</v>
      </c>
      <c r="P57" s="39">
        <f>資料儲存!I165</f>
        <v>0</v>
      </c>
      <c r="Q57" s="39">
        <f>資料儲存!J165</f>
        <v>0</v>
      </c>
      <c r="R57" s="35"/>
      <c r="S57" s="38">
        <v>14</v>
      </c>
      <c r="T57" s="39">
        <f>資料儲存!D285</f>
        <v>0</v>
      </c>
      <c r="U57" s="39">
        <f>資料儲存!E285</f>
        <v>0</v>
      </c>
      <c r="V57" s="39">
        <f>資料儲存!F285</f>
        <v>0</v>
      </c>
      <c r="W57" s="39">
        <f>資料儲存!G285</f>
        <v>0</v>
      </c>
      <c r="X57" s="39">
        <f>資料儲存!H285</f>
        <v>0</v>
      </c>
      <c r="Y57" s="39">
        <f>資料儲存!I285</f>
        <v>0</v>
      </c>
      <c r="Z57" s="39">
        <f>資料儲存!J285</f>
        <v>0</v>
      </c>
      <c r="AA57" s="35"/>
      <c r="AB57" s="38">
        <v>14</v>
      </c>
      <c r="AC57" s="39">
        <f>資料儲存!D405</f>
        <v>0</v>
      </c>
      <c r="AD57" s="39">
        <f>資料儲存!E405</f>
        <v>0</v>
      </c>
      <c r="AE57" s="39">
        <f>資料儲存!F405</f>
        <v>0</v>
      </c>
      <c r="AF57" s="39">
        <f>資料儲存!G405</f>
        <v>0</v>
      </c>
      <c r="AG57" s="39">
        <f>資料儲存!H405</f>
        <v>0</v>
      </c>
      <c r="AH57" s="39">
        <f>資料儲存!I405</f>
        <v>0</v>
      </c>
      <c r="AI57" s="39">
        <f>資料儲存!J405</f>
        <v>0</v>
      </c>
      <c r="AJ57" s="13"/>
      <c r="AK57" s="38">
        <v>14</v>
      </c>
      <c r="AL57" s="39">
        <f>資料儲存!D525</f>
        <v>0</v>
      </c>
      <c r="AM57" s="39">
        <f>資料儲存!E525</f>
        <v>0</v>
      </c>
      <c r="AN57" s="39">
        <f>資料儲存!F525</f>
        <v>0</v>
      </c>
      <c r="AO57" s="39">
        <f>資料儲存!G525</f>
        <v>0</v>
      </c>
      <c r="AP57" s="39">
        <f>資料儲存!H525</f>
        <v>0</v>
      </c>
      <c r="AQ57" s="39">
        <f>資料儲存!I525</f>
        <v>0</v>
      </c>
      <c r="AR57" s="39">
        <f>資料儲存!J525</f>
        <v>0</v>
      </c>
      <c r="AT57" s="38">
        <v>14</v>
      </c>
      <c r="AU57" s="39">
        <f>資料儲存!D645</f>
        <v>0</v>
      </c>
      <c r="AV57" s="39">
        <f>資料儲存!E645</f>
        <v>0</v>
      </c>
      <c r="AW57" s="39">
        <f>資料儲存!F645</f>
        <v>0</v>
      </c>
      <c r="AX57" s="39">
        <f>資料儲存!G645</f>
        <v>0</v>
      </c>
      <c r="AY57" s="39">
        <f>資料儲存!H645</f>
        <v>0</v>
      </c>
      <c r="AZ57" s="39">
        <f>資料儲存!I645</f>
        <v>0</v>
      </c>
      <c r="BA57" s="39">
        <f>資料儲存!J645</f>
        <v>0</v>
      </c>
    </row>
    <row r="58" spans="1:53" ht="16" thickBot="1">
      <c r="A58" s="38">
        <v>15</v>
      </c>
      <c r="B58" s="39">
        <f>資料儲存!D46</f>
        <v>0</v>
      </c>
      <c r="C58" s="39">
        <f>資料儲存!E46</f>
        <v>0</v>
      </c>
      <c r="D58" s="39">
        <f>資料儲存!F46</f>
        <v>0</v>
      </c>
      <c r="E58" s="39">
        <f>資料儲存!G46</f>
        <v>0</v>
      </c>
      <c r="F58" s="39">
        <f>資料儲存!H46</f>
        <v>0</v>
      </c>
      <c r="G58" s="39">
        <f>資料儲存!I46</f>
        <v>0</v>
      </c>
      <c r="H58" s="39">
        <f>資料儲存!J46</f>
        <v>0</v>
      </c>
      <c r="I58" s="35"/>
      <c r="J58" s="38">
        <v>15</v>
      </c>
      <c r="K58" s="39">
        <f>資料儲存!D166</f>
        <v>0</v>
      </c>
      <c r="L58" s="39">
        <f>資料儲存!E166</f>
        <v>0</v>
      </c>
      <c r="M58" s="39">
        <f>資料儲存!F166</f>
        <v>0</v>
      </c>
      <c r="N58" s="39">
        <f>資料儲存!G166</f>
        <v>0</v>
      </c>
      <c r="O58" s="39">
        <f>資料儲存!H166</f>
        <v>0</v>
      </c>
      <c r="P58" s="39">
        <f>資料儲存!I166</f>
        <v>0</v>
      </c>
      <c r="Q58" s="39">
        <f>資料儲存!J166</f>
        <v>0</v>
      </c>
      <c r="R58" s="35"/>
      <c r="S58" s="38">
        <v>15</v>
      </c>
      <c r="T58" s="39">
        <f>資料儲存!D286</f>
        <v>0</v>
      </c>
      <c r="U58" s="39">
        <f>資料儲存!E286</f>
        <v>0</v>
      </c>
      <c r="V58" s="39">
        <f>資料儲存!F286</f>
        <v>0</v>
      </c>
      <c r="W58" s="39">
        <f>資料儲存!G286</f>
        <v>0</v>
      </c>
      <c r="X58" s="39">
        <f>資料儲存!H286</f>
        <v>0</v>
      </c>
      <c r="Y58" s="39">
        <f>資料儲存!I286</f>
        <v>0</v>
      </c>
      <c r="Z58" s="39">
        <f>資料儲存!J286</f>
        <v>0</v>
      </c>
      <c r="AA58" s="35"/>
      <c r="AB58" s="38">
        <v>15</v>
      </c>
      <c r="AC58" s="39">
        <f>資料儲存!D406</f>
        <v>0</v>
      </c>
      <c r="AD58" s="39">
        <f>資料儲存!E406</f>
        <v>0</v>
      </c>
      <c r="AE58" s="39">
        <f>資料儲存!F406</f>
        <v>0</v>
      </c>
      <c r="AF58" s="39">
        <f>資料儲存!G406</f>
        <v>0</v>
      </c>
      <c r="AG58" s="39">
        <f>資料儲存!H406</f>
        <v>0</v>
      </c>
      <c r="AH58" s="39">
        <f>資料儲存!I406</f>
        <v>0</v>
      </c>
      <c r="AI58" s="39">
        <f>資料儲存!J406</f>
        <v>0</v>
      </c>
      <c r="AJ58" s="13"/>
      <c r="AK58" s="38">
        <v>15</v>
      </c>
      <c r="AL58" s="39">
        <f>資料儲存!D526</f>
        <v>0</v>
      </c>
      <c r="AM58" s="39">
        <f>資料儲存!E526</f>
        <v>0</v>
      </c>
      <c r="AN58" s="39">
        <f>資料儲存!F526</f>
        <v>0</v>
      </c>
      <c r="AO58" s="39">
        <f>資料儲存!G526</f>
        <v>0</v>
      </c>
      <c r="AP58" s="39">
        <f>資料儲存!H526</f>
        <v>0</v>
      </c>
      <c r="AQ58" s="39">
        <f>資料儲存!I526</f>
        <v>0</v>
      </c>
      <c r="AR58" s="39">
        <f>資料儲存!J526</f>
        <v>0</v>
      </c>
      <c r="AT58" s="38">
        <v>15</v>
      </c>
      <c r="AU58" s="39">
        <f>資料儲存!D646</f>
        <v>0</v>
      </c>
      <c r="AV58" s="39">
        <f>資料儲存!E646</f>
        <v>0</v>
      </c>
      <c r="AW58" s="39">
        <f>資料儲存!F646</f>
        <v>0</v>
      </c>
      <c r="AX58" s="39">
        <f>資料儲存!G646</f>
        <v>0</v>
      </c>
      <c r="AY58" s="39">
        <f>資料儲存!H646</f>
        <v>0</v>
      </c>
      <c r="AZ58" s="39">
        <f>資料儲存!I646</f>
        <v>0</v>
      </c>
      <c r="BA58" s="39">
        <f>資料儲存!J646</f>
        <v>0</v>
      </c>
    </row>
    <row r="59" spans="1:53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13"/>
      <c r="AK59" s="40" t="s">
        <v>56</v>
      </c>
      <c r="AL59" s="39">
        <f>SUM(AL44:AO58)</f>
        <v>0</v>
      </c>
      <c r="AM59" s="37"/>
      <c r="AN59" s="37"/>
      <c r="AO59" s="37"/>
      <c r="AP59" s="39">
        <f>AP58</f>
        <v>0</v>
      </c>
      <c r="AQ59" s="39">
        <f>AQ58</f>
        <v>0</v>
      </c>
      <c r="AR59" s="39">
        <f>AR58</f>
        <v>0</v>
      </c>
      <c r="AT59" s="40" t="s">
        <v>56</v>
      </c>
      <c r="AU59" s="39">
        <f>SUM(AU44:AX58)</f>
        <v>0</v>
      </c>
      <c r="AV59" s="37"/>
      <c r="AW59" s="37"/>
      <c r="AX59" s="37"/>
      <c r="AY59" s="39">
        <f>AY58</f>
        <v>0</v>
      </c>
      <c r="AZ59" s="39">
        <f>AZ58</f>
        <v>0</v>
      </c>
      <c r="BA59" s="39">
        <f>BA58</f>
        <v>0</v>
      </c>
    </row>
    <row r="60" spans="1:53" ht="18.5" thickBot="1">
      <c r="A60" s="248" t="s">
        <v>57</v>
      </c>
      <c r="B60" s="249"/>
      <c r="C60" s="249"/>
      <c r="D60" s="249"/>
      <c r="E60" s="249"/>
      <c r="F60" s="249"/>
      <c r="G60" s="249"/>
      <c r="H60" s="250"/>
      <c r="I60" s="13"/>
      <c r="J60" s="248" t="s">
        <v>57</v>
      </c>
      <c r="K60" s="249"/>
      <c r="L60" s="249"/>
      <c r="M60" s="249"/>
      <c r="N60" s="249"/>
      <c r="O60" s="249"/>
      <c r="P60" s="249"/>
      <c r="Q60" s="250"/>
      <c r="R60" s="13"/>
      <c r="S60" s="248" t="s">
        <v>57</v>
      </c>
      <c r="T60" s="249"/>
      <c r="U60" s="249"/>
      <c r="V60" s="249"/>
      <c r="W60" s="249"/>
      <c r="X60" s="249"/>
      <c r="Y60" s="249"/>
      <c r="Z60" s="250"/>
      <c r="AA60" s="13"/>
      <c r="AB60" s="248" t="s">
        <v>57</v>
      </c>
      <c r="AC60" s="249"/>
      <c r="AD60" s="249"/>
      <c r="AE60" s="249"/>
      <c r="AF60" s="249"/>
      <c r="AG60" s="249"/>
      <c r="AH60" s="249"/>
      <c r="AI60" s="250"/>
      <c r="AJ60" s="13"/>
      <c r="AK60" s="248" t="s">
        <v>57</v>
      </c>
      <c r="AL60" s="249"/>
      <c r="AM60" s="249"/>
      <c r="AN60" s="249"/>
      <c r="AO60" s="249"/>
      <c r="AP60" s="249"/>
      <c r="AQ60" s="249"/>
      <c r="AR60" s="250"/>
      <c r="AT60" s="248" t="s">
        <v>57</v>
      </c>
      <c r="AU60" s="249"/>
      <c r="AV60" s="249"/>
      <c r="AW60" s="249"/>
      <c r="AX60" s="249"/>
      <c r="AY60" s="249"/>
      <c r="AZ60" s="249"/>
      <c r="BA60" s="250"/>
    </row>
    <row r="61" spans="1:53" ht="17.25" customHeight="1" thickBot="1">
      <c r="A61" s="41" t="s">
        <v>2</v>
      </c>
      <c r="B61" s="42" t="s">
        <v>46</v>
      </c>
      <c r="C61" s="43"/>
      <c r="D61" s="43"/>
      <c r="E61" s="44"/>
      <c r="F61" s="42" t="s">
        <v>47</v>
      </c>
      <c r="G61" s="43"/>
      <c r="H61" s="44"/>
      <c r="I61" s="45"/>
      <c r="J61" s="41" t="s">
        <v>2</v>
      </c>
      <c r="K61" s="42" t="s">
        <v>46</v>
      </c>
      <c r="L61" s="43"/>
      <c r="M61" s="43"/>
      <c r="N61" s="44"/>
      <c r="O61" s="42" t="s">
        <v>47</v>
      </c>
      <c r="P61" s="43"/>
      <c r="Q61" s="44"/>
      <c r="R61" s="45"/>
      <c r="S61" s="41" t="s">
        <v>2</v>
      </c>
      <c r="T61" s="42" t="s">
        <v>46</v>
      </c>
      <c r="U61" s="43"/>
      <c r="V61" s="43"/>
      <c r="W61" s="44"/>
      <c r="X61" s="42" t="s">
        <v>47</v>
      </c>
      <c r="Y61" s="43"/>
      <c r="Z61" s="44"/>
      <c r="AA61" s="45"/>
      <c r="AB61" s="41" t="s">
        <v>2</v>
      </c>
      <c r="AC61" s="42" t="s">
        <v>46</v>
      </c>
      <c r="AD61" s="43"/>
      <c r="AE61" s="43"/>
      <c r="AF61" s="44"/>
      <c r="AG61" s="42" t="s">
        <v>47</v>
      </c>
      <c r="AH61" s="43"/>
      <c r="AI61" s="44"/>
      <c r="AJ61" s="13"/>
      <c r="AK61" s="41" t="s">
        <v>2</v>
      </c>
      <c r="AL61" s="42" t="s">
        <v>46</v>
      </c>
      <c r="AM61" s="43"/>
      <c r="AN61" s="43"/>
      <c r="AO61" s="44"/>
      <c r="AP61" s="42" t="s">
        <v>47</v>
      </c>
      <c r="AQ61" s="43"/>
      <c r="AR61" s="44"/>
      <c r="AT61" s="41" t="s">
        <v>2</v>
      </c>
      <c r="AU61" s="42" t="s">
        <v>46</v>
      </c>
      <c r="AV61" s="43"/>
      <c r="AW61" s="43"/>
      <c r="AX61" s="44"/>
      <c r="AY61" s="42" t="s">
        <v>47</v>
      </c>
      <c r="AZ61" s="43"/>
      <c r="BA61" s="44"/>
    </row>
    <row r="62" spans="1:53" ht="16" thickBot="1">
      <c r="A62" s="46" t="s">
        <v>58</v>
      </c>
      <c r="B62" s="47" t="s">
        <v>49</v>
      </c>
      <c r="C62" s="47" t="s">
        <v>50</v>
      </c>
      <c r="D62" s="47" t="s">
        <v>51</v>
      </c>
      <c r="E62" s="47" t="s">
        <v>52</v>
      </c>
      <c r="F62" s="47" t="s">
        <v>53</v>
      </c>
      <c r="G62" s="47" t="s">
        <v>54</v>
      </c>
      <c r="H62" s="47" t="s">
        <v>55</v>
      </c>
      <c r="I62" s="45"/>
      <c r="J62" s="46" t="s">
        <v>58</v>
      </c>
      <c r="K62" s="47" t="s">
        <v>49</v>
      </c>
      <c r="L62" s="47" t="s">
        <v>50</v>
      </c>
      <c r="M62" s="47" t="s">
        <v>51</v>
      </c>
      <c r="N62" s="47" t="s">
        <v>52</v>
      </c>
      <c r="O62" s="47" t="s">
        <v>53</v>
      </c>
      <c r="P62" s="47" t="s">
        <v>54</v>
      </c>
      <c r="Q62" s="47" t="s">
        <v>55</v>
      </c>
      <c r="R62" s="45"/>
      <c r="S62" s="46" t="s">
        <v>58</v>
      </c>
      <c r="T62" s="47" t="s">
        <v>49</v>
      </c>
      <c r="U62" s="47" t="s">
        <v>50</v>
      </c>
      <c r="V62" s="47" t="s">
        <v>51</v>
      </c>
      <c r="W62" s="47" t="s">
        <v>52</v>
      </c>
      <c r="X62" s="47" t="s">
        <v>53</v>
      </c>
      <c r="Y62" s="47" t="s">
        <v>54</v>
      </c>
      <c r="Z62" s="47" t="s">
        <v>55</v>
      </c>
      <c r="AA62" s="45"/>
      <c r="AB62" s="46" t="s">
        <v>58</v>
      </c>
      <c r="AC62" s="47" t="s">
        <v>49</v>
      </c>
      <c r="AD62" s="47" t="s">
        <v>50</v>
      </c>
      <c r="AE62" s="47" t="s">
        <v>51</v>
      </c>
      <c r="AF62" s="47" t="s">
        <v>52</v>
      </c>
      <c r="AG62" s="47" t="s">
        <v>53</v>
      </c>
      <c r="AH62" s="47" t="s">
        <v>54</v>
      </c>
      <c r="AI62" s="47" t="s">
        <v>55</v>
      </c>
      <c r="AJ62" s="13"/>
      <c r="AK62" s="46" t="s">
        <v>58</v>
      </c>
      <c r="AL62" s="47" t="s">
        <v>49</v>
      </c>
      <c r="AM62" s="47" t="s">
        <v>50</v>
      </c>
      <c r="AN62" s="47" t="s">
        <v>51</v>
      </c>
      <c r="AO62" s="47" t="s">
        <v>52</v>
      </c>
      <c r="AP62" s="47" t="s">
        <v>53</v>
      </c>
      <c r="AQ62" s="47" t="s">
        <v>54</v>
      </c>
      <c r="AR62" s="47" t="s">
        <v>55</v>
      </c>
      <c r="AT62" s="46" t="s">
        <v>58</v>
      </c>
      <c r="AU62" s="47" t="s">
        <v>49</v>
      </c>
      <c r="AV62" s="47" t="s">
        <v>50</v>
      </c>
      <c r="AW62" s="47" t="s">
        <v>51</v>
      </c>
      <c r="AX62" s="47" t="s">
        <v>52</v>
      </c>
      <c r="AY62" s="47" t="s">
        <v>53</v>
      </c>
      <c r="AZ62" s="47" t="s">
        <v>54</v>
      </c>
      <c r="BA62" s="47" t="s">
        <v>55</v>
      </c>
    </row>
    <row r="63" spans="1:53" ht="16" thickBot="1">
      <c r="A63" s="48">
        <v>16</v>
      </c>
      <c r="B63" s="49">
        <f>資料儲存!D47</f>
        <v>0</v>
      </c>
      <c r="C63" s="49">
        <f>資料儲存!E47</f>
        <v>0</v>
      </c>
      <c r="D63" s="49">
        <f>資料儲存!F47</f>
        <v>0</v>
      </c>
      <c r="E63" s="49">
        <f>資料儲存!G47</f>
        <v>0</v>
      </c>
      <c r="F63" s="49">
        <f>資料儲存!H47</f>
        <v>0</v>
      </c>
      <c r="G63" s="49">
        <f>資料儲存!I47</f>
        <v>0</v>
      </c>
      <c r="H63" s="49">
        <f>資料儲存!J47</f>
        <v>0</v>
      </c>
      <c r="I63" s="45"/>
      <c r="J63" s="48">
        <v>16</v>
      </c>
      <c r="K63" s="49">
        <f>資料儲存!D167</f>
        <v>0</v>
      </c>
      <c r="L63" s="49">
        <f>資料儲存!E167</f>
        <v>0</v>
      </c>
      <c r="M63" s="49">
        <f>資料儲存!F167</f>
        <v>0</v>
      </c>
      <c r="N63" s="49">
        <f>資料儲存!G167</f>
        <v>0</v>
      </c>
      <c r="O63" s="49">
        <f>資料儲存!H167</f>
        <v>0</v>
      </c>
      <c r="P63" s="49">
        <f>資料儲存!I167</f>
        <v>0</v>
      </c>
      <c r="Q63" s="49">
        <f>資料儲存!J167</f>
        <v>0</v>
      </c>
      <c r="R63" s="45"/>
      <c r="S63" s="48">
        <v>16</v>
      </c>
      <c r="T63" s="49">
        <f>資料儲存!D287</f>
        <v>0</v>
      </c>
      <c r="U63" s="49">
        <f>資料儲存!E287</f>
        <v>0</v>
      </c>
      <c r="V63" s="49">
        <f>資料儲存!F287</f>
        <v>0</v>
      </c>
      <c r="W63" s="49">
        <f>資料儲存!G287</f>
        <v>0</v>
      </c>
      <c r="X63" s="49">
        <f>資料儲存!H287</f>
        <v>0</v>
      </c>
      <c r="Y63" s="49">
        <f>資料儲存!I287</f>
        <v>0</v>
      </c>
      <c r="Z63" s="49">
        <f>資料儲存!J287</f>
        <v>0</v>
      </c>
      <c r="AA63" s="45"/>
      <c r="AB63" s="48">
        <v>16</v>
      </c>
      <c r="AC63" s="49">
        <f>資料儲存!D407</f>
        <v>0</v>
      </c>
      <c r="AD63" s="49">
        <f>資料儲存!E407</f>
        <v>0</v>
      </c>
      <c r="AE63" s="49">
        <f>資料儲存!F407</f>
        <v>0</v>
      </c>
      <c r="AF63" s="49">
        <f>資料儲存!G407</f>
        <v>0</v>
      </c>
      <c r="AG63" s="49">
        <f>資料儲存!H407</f>
        <v>0</v>
      </c>
      <c r="AH63" s="49">
        <f>資料儲存!I407</f>
        <v>0</v>
      </c>
      <c r="AI63" s="49">
        <f>資料儲存!J407</f>
        <v>0</v>
      </c>
      <c r="AJ63" s="13"/>
      <c r="AK63" s="48">
        <v>16</v>
      </c>
      <c r="AL63" s="49">
        <f>資料儲存!D527</f>
        <v>0</v>
      </c>
      <c r="AM63" s="49">
        <f>資料儲存!E527</f>
        <v>0</v>
      </c>
      <c r="AN63" s="49">
        <f>資料儲存!F527</f>
        <v>0</v>
      </c>
      <c r="AO63" s="49">
        <f>資料儲存!G527</f>
        <v>0</v>
      </c>
      <c r="AP63" s="49">
        <f>資料儲存!H527</f>
        <v>0</v>
      </c>
      <c r="AQ63" s="49">
        <f>資料儲存!I527</f>
        <v>0</v>
      </c>
      <c r="AR63" s="49">
        <f>資料儲存!J527</f>
        <v>0</v>
      </c>
      <c r="AT63" s="48">
        <v>16</v>
      </c>
      <c r="AU63" s="49">
        <f>資料儲存!D647</f>
        <v>0</v>
      </c>
      <c r="AV63" s="49">
        <f>資料儲存!E647</f>
        <v>0</v>
      </c>
      <c r="AW63" s="49">
        <f>資料儲存!F647</f>
        <v>0</v>
      </c>
      <c r="AX63" s="49">
        <f>資料儲存!G647</f>
        <v>0</v>
      </c>
      <c r="AY63" s="49">
        <f>資料儲存!H647</f>
        <v>0</v>
      </c>
      <c r="AZ63" s="49">
        <f>資料儲存!I647</f>
        <v>0</v>
      </c>
      <c r="BA63" s="49">
        <f>資料儲存!J647</f>
        <v>0</v>
      </c>
    </row>
    <row r="64" spans="1:53" ht="16" thickBot="1">
      <c r="A64" s="48">
        <v>17</v>
      </c>
      <c r="B64" s="49">
        <f>資料儲存!D48</f>
        <v>0</v>
      </c>
      <c r="C64" s="49">
        <f>資料儲存!E48</f>
        <v>0</v>
      </c>
      <c r="D64" s="49">
        <f>資料儲存!F48</f>
        <v>0</v>
      </c>
      <c r="E64" s="49">
        <f>資料儲存!G48</f>
        <v>0</v>
      </c>
      <c r="F64" s="49">
        <f>資料儲存!H48</f>
        <v>0</v>
      </c>
      <c r="G64" s="49">
        <f>資料儲存!I48</f>
        <v>0</v>
      </c>
      <c r="H64" s="49">
        <f>資料儲存!J48</f>
        <v>0</v>
      </c>
      <c r="I64" s="45"/>
      <c r="J64" s="48">
        <v>17</v>
      </c>
      <c r="K64" s="49">
        <f>資料儲存!D168</f>
        <v>0</v>
      </c>
      <c r="L64" s="49">
        <f>資料儲存!E168</f>
        <v>0</v>
      </c>
      <c r="M64" s="49">
        <f>資料儲存!F168</f>
        <v>0</v>
      </c>
      <c r="N64" s="49">
        <f>資料儲存!G168</f>
        <v>0</v>
      </c>
      <c r="O64" s="49">
        <f>資料儲存!H168</f>
        <v>0</v>
      </c>
      <c r="P64" s="49">
        <f>資料儲存!I168</f>
        <v>0</v>
      </c>
      <c r="Q64" s="49">
        <f>資料儲存!J168</f>
        <v>0</v>
      </c>
      <c r="R64" s="45"/>
      <c r="S64" s="48">
        <v>17</v>
      </c>
      <c r="T64" s="49">
        <f>資料儲存!D288</f>
        <v>0</v>
      </c>
      <c r="U64" s="49">
        <f>資料儲存!E288</f>
        <v>0</v>
      </c>
      <c r="V64" s="49">
        <f>資料儲存!F288</f>
        <v>0</v>
      </c>
      <c r="W64" s="49">
        <f>資料儲存!G288</f>
        <v>0</v>
      </c>
      <c r="X64" s="49">
        <f>資料儲存!H288</f>
        <v>0</v>
      </c>
      <c r="Y64" s="49">
        <f>資料儲存!I288</f>
        <v>0</v>
      </c>
      <c r="Z64" s="49">
        <f>資料儲存!J288</f>
        <v>0</v>
      </c>
      <c r="AA64" s="45"/>
      <c r="AB64" s="48">
        <v>17</v>
      </c>
      <c r="AC64" s="49">
        <f>資料儲存!D408</f>
        <v>0</v>
      </c>
      <c r="AD64" s="49">
        <f>資料儲存!E408</f>
        <v>0</v>
      </c>
      <c r="AE64" s="49">
        <f>資料儲存!F408</f>
        <v>0</v>
      </c>
      <c r="AF64" s="49">
        <f>資料儲存!G408</f>
        <v>0</v>
      </c>
      <c r="AG64" s="49">
        <f>資料儲存!H408</f>
        <v>0</v>
      </c>
      <c r="AH64" s="49">
        <f>資料儲存!I408</f>
        <v>0</v>
      </c>
      <c r="AI64" s="49">
        <f>資料儲存!J408</f>
        <v>0</v>
      </c>
      <c r="AJ64" s="13"/>
      <c r="AK64" s="48">
        <v>17</v>
      </c>
      <c r="AL64" s="49">
        <f>資料儲存!D528</f>
        <v>0</v>
      </c>
      <c r="AM64" s="49">
        <f>資料儲存!E528</f>
        <v>0</v>
      </c>
      <c r="AN64" s="49">
        <f>資料儲存!F528</f>
        <v>0</v>
      </c>
      <c r="AO64" s="49">
        <f>資料儲存!G528</f>
        <v>0</v>
      </c>
      <c r="AP64" s="49">
        <f>資料儲存!H528</f>
        <v>0</v>
      </c>
      <c r="AQ64" s="49">
        <f>資料儲存!I528</f>
        <v>0</v>
      </c>
      <c r="AR64" s="49">
        <f>資料儲存!J528</f>
        <v>0</v>
      </c>
      <c r="AT64" s="48">
        <v>17</v>
      </c>
      <c r="AU64" s="49">
        <f>資料儲存!D648</f>
        <v>0</v>
      </c>
      <c r="AV64" s="49">
        <f>資料儲存!E648</f>
        <v>0</v>
      </c>
      <c r="AW64" s="49">
        <f>資料儲存!F648</f>
        <v>0</v>
      </c>
      <c r="AX64" s="49">
        <f>資料儲存!G648</f>
        <v>0</v>
      </c>
      <c r="AY64" s="49">
        <f>資料儲存!H648</f>
        <v>0</v>
      </c>
      <c r="AZ64" s="49">
        <f>資料儲存!I648</f>
        <v>0</v>
      </c>
      <c r="BA64" s="49">
        <f>資料儲存!J648</f>
        <v>0</v>
      </c>
    </row>
    <row r="65" spans="1:53" ht="16" thickBot="1">
      <c r="A65" s="48">
        <v>18</v>
      </c>
      <c r="B65" s="49">
        <f>資料儲存!D49</f>
        <v>0</v>
      </c>
      <c r="C65" s="49">
        <f>資料儲存!E49</f>
        <v>0</v>
      </c>
      <c r="D65" s="49">
        <f>資料儲存!F49</f>
        <v>0</v>
      </c>
      <c r="E65" s="49">
        <f>資料儲存!G49</f>
        <v>0</v>
      </c>
      <c r="F65" s="49">
        <f>資料儲存!H49</f>
        <v>0</v>
      </c>
      <c r="G65" s="49">
        <f>資料儲存!I49</f>
        <v>0</v>
      </c>
      <c r="H65" s="49">
        <f>資料儲存!J49</f>
        <v>0</v>
      </c>
      <c r="I65" s="45"/>
      <c r="J65" s="48">
        <v>18</v>
      </c>
      <c r="K65" s="49">
        <f>資料儲存!D169</f>
        <v>0</v>
      </c>
      <c r="L65" s="49">
        <f>資料儲存!E169</f>
        <v>0</v>
      </c>
      <c r="M65" s="49">
        <f>資料儲存!F169</f>
        <v>0</v>
      </c>
      <c r="N65" s="49">
        <f>資料儲存!G169</f>
        <v>0</v>
      </c>
      <c r="O65" s="49">
        <f>資料儲存!H169</f>
        <v>0</v>
      </c>
      <c r="P65" s="49">
        <f>資料儲存!I169</f>
        <v>0</v>
      </c>
      <c r="Q65" s="49">
        <f>資料儲存!J169</f>
        <v>0</v>
      </c>
      <c r="R65" s="45"/>
      <c r="S65" s="48">
        <v>18</v>
      </c>
      <c r="T65" s="49">
        <f>資料儲存!D289</f>
        <v>0</v>
      </c>
      <c r="U65" s="49">
        <f>資料儲存!E289</f>
        <v>0</v>
      </c>
      <c r="V65" s="49">
        <f>資料儲存!F289</f>
        <v>0</v>
      </c>
      <c r="W65" s="49">
        <f>資料儲存!G289</f>
        <v>0</v>
      </c>
      <c r="X65" s="49">
        <f>資料儲存!H289</f>
        <v>0</v>
      </c>
      <c r="Y65" s="49">
        <f>資料儲存!I289</f>
        <v>0</v>
      </c>
      <c r="Z65" s="49">
        <f>資料儲存!J289</f>
        <v>0</v>
      </c>
      <c r="AA65" s="45"/>
      <c r="AB65" s="48">
        <v>18</v>
      </c>
      <c r="AC65" s="49">
        <f>資料儲存!D409</f>
        <v>0</v>
      </c>
      <c r="AD65" s="49">
        <f>資料儲存!E409</f>
        <v>0</v>
      </c>
      <c r="AE65" s="49">
        <f>資料儲存!F409</f>
        <v>0</v>
      </c>
      <c r="AF65" s="49">
        <f>資料儲存!G409</f>
        <v>0</v>
      </c>
      <c r="AG65" s="49">
        <f>資料儲存!H409</f>
        <v>0</v>
      </c>
      <c r="AH65" s="49">
        <f>資料儲存!I409</f>
        <v>0</v>
      </c>
      <c r="AI65" s="49">
        <f>資料儲存!J409</f>
        <v>0</v>
      </c>
      <c r="AJ65" s="13"/>
      <c r="AK65" s="48">
        <v>18</v>
      </c>
      <c r="AL65" s="49">
        <f>資料儲存!D529</f>
        <v>0</v>
      </c>
      <c r="AM65" s="49">
        <f>資料儲存!E529</f>
        <v>0</v>
      </c>
      <c r="AN65" s="49">
        <f>資料儲存!F529</f>
        <v>0</v>
      </c>
      <c r="AO65" s="49">
        <f>資料儲存!G529</f>
        <v>0</v>
      </c>
      <c r="AP65" s="49">
        <f>資料儲存!H529</f>
        <v>0</v>
      </c>
      <c r="AQ65" s="49">
        <f>資料儲存!I529</f>
        <v>0</v>
      </c>
      <c r="AR65" s="49">
        <f>資料儲存!J529</f>
        <v>0</v>
      </c>
      <c r="AT65" s="48">
        <v>18</v>
      </c>
      <c r="AU65" s="49">
        <f>資料儲存!D649</f>
        <v>0</v>
      </c>
      <c r="AV65" s="49">
        <f>資料儲存!E649</f>
        <v>0</v>
      </c>
      <c r="AW65" s="49">
        <f>資料儲存!F649</f>
        <v>0</v>
      </c>
      <c r="AX65" s="49">
        <f>資料儲存!G649</f>
        <v>0</v>
      </c>
      <c r="AY65" s="49">
        <f>資料儲存!H649</f>
        <v>0</v>
      </c>
      <c r="AZ65" s="49">
        <f>資料儲存!I649</f>
        <v>0</v>
      </c>
      <c r="BA65" s="49">
        <f>資料儲存!J649</f>
        <v>0</v>
      </c>
    </row>
    <row r="66" spans="1:53" ht="16" thickBot="1">
      <c r="A66" s="48">
        <v>19</v>
      </c>
      <c r="B66" s="49">
        <f>資料儲存!D50</f>
        <v>0</v>
      </c>
      <c r="C66" s="49">
        <f>資料儲存!E50</f>
        <v>0</v>
      </c>
      <c r="D66" s="49">
        <f>資料儲存!F50</f>
        <v>0</v>
      </c>
      <c r="E66" s="49">
        <f>資料儲存!G50</f>
        <v>0</v>
      </c>
      <c r="F66" s="49">
        <f>資料儲存!H50</f>
        <v>0</v>
      </c>
      <c r="G66" s="49">
        <f>資料儲存!I50</f>
        <v>0</v>
      </c>
      <c r="H66" s="49">
        <f>資料儲存!J50</f>
        <v>0</v>
      </c>
      <c r="I66" s="45"/>
      <c r="J66" s="48">
        <v>19</v>
      </c>
      <c r="K66" s="49">
        <f>資料儲存!D170</f>
        <v>0</v>
      </c>
      <c r="L66" s="49">
        <f>資料儲存!E170</f>
        <v>0</v>
      </c>
      <c r="M66" s="49">
        <f>資料儲存!F170</f>
        <v>0</v>
      </c>
      <c r="N66" s="49">
        <f>資料儲存!G170</f>
        <v>0</v>
      </c>
      <c r="O66" s="49">
        <f>資料儲存!H170</f>
        <v>0</v>
      </c>
      <c r="P66" s="49">
        <f>資料儲存!I170</f>
        <v>0</v>
      </c>
      <c r="Q66" s="49">
        <f>資料儲存!J170</f>
        <v>0</v>
      </c>
      <c r="R66" s="45"/>
      <c r="S66" s="48">
        <v>19</v>
      </c>
      <c r="T66" s="49">
        <f>資料儲存!D290</f>
        <v>0</v>
      </c>
      <c r="U66" s="49">
        <f>資料儲存!E290</f>
        <v>0</v>
      </c>
      <c r="V66" s="49">
        <f>資料儲存!F290</f>
        <v>0</v>
      </c>
      <c r="W66" s="49">
        <f>資料儲存!G290</f>
        <v>0</v>
      </c>
      <c r="X66" s="49">
        <f>資料儲存!H290</f>
        <v>0</v>
      </c>
      <c r="Y66" s="49">
        <f>資料儲存!I290</f>
        <v>0</v>
      </c>
      <c r="Z66" s="49">
        <f>資料儲存!J290</f>
        <v>0</v>
      </c>
      <c r="AA66" s="45"/>
      <c r="AB66" s="48">
        <v>19</v>
      </c>
      <c r="AC66" s="49">
        <f>資料儲存!D410</f>
        <v>0</v>
      </c>
      <c r="AD66" s="49">
        <f>資料儲存!E410</f>
        <v>0</v>
      </c>
      <c r="AE66" s="49">
        <f>資料儲存!F410</f>
        <v>0</v>
      </c>
      <c r="AF66" s="49">
        <f>資料儲存!G410</f>
        <v>0</v>
      </c>
      <c r="AG66" s="49">
        <f>資料儲存!H410</f>
        <v>0</v>
      </c>
      <c r="AH66" s="49">
        <f>資料儲存!I410</f>
        <v>0</v>
      </c>
      <c r="AI66" s="49">
        <f>資料儲存!J410</f>
        <v>0</v>
      </c>
      <c r="AJ66" s="13"/>
      <c r="AK66" s="48">
        <v>19</v>
      </c>
      <c r="AL66" s="49">
        <f>資料儲存!D530</f>
        <v>0</v>
      </c>
      <c r="AM66" s="49">
        <f>資料儲存!E530</f>
        <v>0</v>
      </c>
      <c r="AN66" s="49">
        <f>資料儲存!F530</f>
        <v>0</v>
      </c>
      <c r="AO66" s="49">
        <f>資料儲存!G530</f>
        <v>0</v>
      </c>
      <c r="AP66" s="49">
        <f>資料儲存!H530</f>
        <v>0</v>
      </c>
      <c r="AQ66" s="49">
        <f>資料儲存!I530</f>
        <v>0</v>
      </c>
      <c r="AR66" s="49">
        <f>資料儲存!J530</f>
        <v>0</v>
      </c>
      <c r="AT66" s="48">
        <v>19</v>
      </c>
      <c r="AU66" s="49">
        <f>資料儲存!D650</f>
        <v>0</v>
      </c>
      <c r="AV66" s="49">
        <f>資料儲存!E650</f>
        <v>0</v>
      </c>
      <c r="AW66" s="49">
        <f>資料儲存!F650</f>
        <v>0</v>
      </c>
      <c r="AX66" s="49">
        <f>資料儲存!G650</f>
        <v>0</v>
      </c>
      <c r="AY66" s="49">
        <f>資料儲存!H650</f>
        <v>0</v>
      </c>
      <c r="AZ66" s="49">
        <f>資料儲存!I650</f>
        <v>0</v>
      </c>
      <c r="BA66" s="49">
        <f>資料儲存!J650</f>
        <v>0</v>
      </c>
    </row>
    <row r="67" spans="1:53" ht="16" thickBot="1">
      <c r="A67" s="48">
        <v>20</v>
      </c>
      <c r="B67" s="49">
        <f>資料儲存!D51</f>
        <v>0</v>
      </c>
      <c r="C67" s="49">
        <f>資料儲存!E51</f>
        <v>0</v>
      </c>
      <c r="D67" s="49">
        <f>資料儲存!F51</f>
        <v>0</v>
      </c>
      <c r="E67" s="49">
        <f>資料儲存!G51</f>
        <v>0</v>
      </c>
      <c r="F67" s="49">
        <f>資料儲存!H51</f>
        <v>0</v>
      </c>
      <c r="G67" s="49">
        <f>資料儲存!I51</f>
        <v>0</v>
      </c>
      <c r="H67" s="49">
        <f>資料儲存!J51</f>
        <v>0</v>
      </c>
      <c r="I67" s="45"/>
      <c r="J67" s="48">
        <v>20</v>
      </c>
      <c r="K67" s="49">
        <f>資料儲存!D171</f>
        <v>0</v>
      </c>
      <c r="L67" s="49">
        <f>資料儲存!E171</f>
        <v>0</v>
      </c>
      <c r="M67" s="49">
        <f>資料儲存!F171</f>
        <v>0</v>
      </c>
      <c r="N67" s="49">
        <f>資料儲存!G171</f>
        <v>0</v>
      </c>
      <c r="O67" s="49">
        <f>資料儲存!H171</f>
        <v>0</v>
      </c>
      <c r="P67" s="49">
        <f>資料儲存!I171</f>
        <v>0</v>
      </c>
      <c r="Q67" s="49">
        <f>資料儲存!J171</f>
        <v>0</v>
      </c>
      <c r="R67" s="45"/>
      <c r="S67" s="48">
        <v>20</v>
      </c>
      <c r="T67" s="49">
        <f>資料儲存!D291</f>
        <v>0</v>
      </c>
      <c r="U67" s="49">
        <f>資料儲存!E291</f>
        <v>0</v>
      </c>
      <c r="V67" s="49">
        <f>資料儲存!F291</f>
        <v>0</v>
      </c>
      <c r="W67" s="49">
        <f>資料儲存!G291</f>
        <v>0</v>
      </c>
      <c r="X67" s="49">
        <f>資料儲存!H291</f>
        <v>0</v>
      </c>
      <c r="Y67" s="49">
        <f>資料儲存!I291</f>
        <v>0</v>
      </c>
      <c r="Z67" s="49">
        <f>資料儲存!J291</f>
        <v>0</v>
      </c>
      <c r="AA67" s="45"/>
      <c r="AB67" s="48">
        <v>20</v>
      </c>
      <c r="AC67" s="49">
        <f>資料儲存!D411</f>
        <v>0</v>
      </c>
      <c r="AD67" s="49">
        <f>資料儲存!E411</f>
        <v>0</v>
      </c>
      <c r="AE67" s="49">
        <f>資料儲存!F411</f>
        <v>0</v>
      </c>
      <c r="AF67" s="49">
        <f>資料儲存!G411</f>
        <v>0</v>
      </c>
      <c r="AG67" s="49">
        <f>資料儲存!H411</f>
        <v>0</v>
      </c>
      <c r="AH67" s="49">
        <f>資料儲存!I411</f>
        <v>0</v>
      </c>
      <c r="AI67" s="49">
        <f>資料儲存!J411</f>
        <v>0</v>
      </c>
      <c r="AJ67" s="13"/>
      <c r="AK67" s="48">
        <v>20</v>
      </c>
      <c r="AL67" s="49">
        <f>資料儲存!D531</f>
        <v>0</v>
      </c>
      <c r="AM67" s="49">
        <f>資料儲存!E531</f>
        <v>0</v>
      </c>
      <c r="AN67" s="49">
        <f>資料儲存!F531</f>
        <v>0</v>
      </c>
      <c r="AO67" s="49">
        <f>資料儲存!G531</f>
        <v>0</v>
      </c>
      <c r="AP67" s="49">
        <f>資料儲存!H531</f>
        <v>0</v>
      </c>
      <c r="AQ67" s="49">
        <f>資料儲存!I531</f>
        <v>0</v>
      </c>
      <c r="AR67" s="49">
        <f>資料儲存!J531</f>
        <v>0</v>
      </c>
      <c r="AT67" s="48">
        <v>20</v>
      </c>
      <c r="AU67" s="49">
        <f>資料儲存!D651</f>
        <v>0</v>
      </c>
      <c r="AV67" s="49">
        <f>資料儲存!E651</f>
        <v>0</v>
      </c>
      <c r="AW67" s="49">
        <f>資料儲存!F651</f>
        <v>0</v>
      </c>
      <c r="AX67" s="49">
        <f>資料儲存!G651</f>
        <v>0</v>
      </c>
      <c r="AY67" s="49">
        <f>資料儲存!H651</f>
        <v>0</v>
      </c>
      <c r="AZ67" s="49">
        <f>資料儲存!I651</f>
        <v>0</v>
      </c>
      <c r="BA67" s="49">
        <f>資料儲存!J651</f>
        <v>0</v>
      </c>
    </row>
    <row r="68" spans="1:53" ht="16" thickBot="1">
      <c r="A68" s="48">
        <v>21</v>
      </c>
      <c r="B68" s="49">
        <f>資料儲存!D52</f>
        <v>0</v>
      </c>
      <c r="C68" s="49">
        <f>資料儲存!E52</f>
        <v>0</v>
      </c>
      <c r="D68" s="49">
        <f>資料儲存!F52</f>
        <v>0</v>
      </c>
      <c r="E68" s="49">
        <f>資料儲存!G52</f>
        <v>0</v>
      </c>
      <c r="F68" s="49">
        <f>資料儲存!H52</f>
        <v>0</v>
      </c>
      <c r="G68" s="49">
        <f>資料儲存!I52</f>
        <v>0</v>
      </c>
      <c r="H68" s="49">
        <f>資料儲存!J52</f>
        <v>0</v>
      </c>
      <c r="I68" s="45"/>
      <c r="J68" s="48">
        <v>21</v>
      </c>
      <c r="K68" s="49">
        <f>資料儲存!D172</f>
        <v>0</v>
      </c>
      <c r="L68" s="49">
        <f>資料儲存!E172</f>
        <v>0</v>
      </c>
      <c r="M68" s="49">
        <f>資料儲存!F172</f>
        <v>0</v>
      </c>
      <c r="N68" s="49">
        <f>資料儲存!G172</f>
        <v>0</v>
      </c>
      <c r="O68" s="49">
        <f>資料儲存!H172</f>
        <v>0</v>
      </c>
      <c r="P68" s="49">
        <f>資料儲存!I172</f>
        <v>0</v>
      </c>
      <c r="Q68" s="49">
        <f>資料儲存!J172</f>
        <v>0</v>
      </c>
      <c r="R68" s="45"/>
      <c r="S68" s="48">
        <v>21</v>
      </c>
      <c r="T68" s="49">
        <f>資料儲存!D292</f>
        <v>0</v>
      </c>
      <c r="U68" s="49">
        <f>資料儲存!E292</f>
        <v>0</v>
      </c>
      <c r="V68" s="49">
        <f>資料儲存!F292</f>
        <v>0</v>
      </c>
      <c r="W68" s="49">
        <f>資料儲存!G292</f>
        <v>0</v>
      </c>
      <c r="X68" s="49">
        <f>資料儲存!H292</f>
        <v>0</v>
      </c>
      <c r="Y68" s="49">
        <f>資料儲存!I292</f>
        <v>0</v>
      </c>
      <c r="Z68" s="49">
        <f>資料儲存!J292</f>
        <v>0</v>
      </c>
      <c r="AA68" s="45"/>
      <c r="AB68" s="48">
        <v>21</v>
      </c>
      <c r="AC68" s="49">
        <f>資料儲存!D412</f>
        <v>0</v>
      </c>
      <c r="AD68" s="49">
        <f>資料儲存!E412</f>
        <v>0</v>
      </c>
      <c r="AE68" s="49">
        <f>資料儲存!F412</f>
        <v>0</v>
      </c>
      <c r="AF68" s="49">
        <f>資料儲存!G412</f>
        <v>0</v>
      </c>
      <c r="AG68" s="49">
        <f>資料儲存!H412</f>
        <v>0</v>
      </c>
      <c r="AH68" s="49">
        <f>資料儲存!I412</f>
        <v>0</v>
      </c>
      <c r="AI68" s="49">
        <f>資料儲存!J412</f>
        <v>0</v>
      </c>
      <c r="AJ68" s="13"/>
      <c r="AK68" s="48">
        <v>21</v>
      </c>
      <c r="AL68" s="49">
        <f>資料儲存!D532</f>
        <v>0</v>
      </c>
      <c r="AM68" s="49">
        <f>資料儲存!E532</f>
        <v>0</v>
      </c>
      <c r="AN68" s="49">
        <f>資料儲存!F532</f>
        <v>0</v>
      </c>
      <c r="AO68" s="49">
        <f>資料儲存!G532</f>
        <v>0</v>
      </c>
      <c r="AP68" s="49">
        <f>資料儲存!H532</f>
        <v>0</v>
      </c>
      <c r="AQ68" s="49">
        <f>資料儲存!I532</f>
        <v>0</v>
      </c>
      <c r="AR68" s="49">
        <f>資料儲存!J532</f>
        <v>0</v>
      </c>
      <c r="AT68" s="48">
        <v>21</v>
      </c>
      <c r="AU68" s="49">
        <f>資料儲存!D652</f>
        <v>0</v>
      </c>
      <c r="AV68" s="49">
        <f>資料儲存!E652</f>
        <v>0</v>
      </c>
      <c r="AW68" s="49">
        <f>資料儲存!F652</f>
        <v>0</v>
      </c>
      <c r="AX68" s="49">
        <f>資料儲存!G652</f>
        <v>0</v>
      </c>
      <c r="AY68" s="49">
        <f>資料儲存!H652</f>
        <v>0</v>
      </c>
      <c r="AZ68" s="49">
        <f>資料儲存!I652</f>
        <v>0</v>
      </c>
      <c r="BA68" s="49">
        <f>資料儲存!J652</f>
        <v>0</v>
      </c>
    </row>
    <row r="69" spans="1:53" ht="16" thickBot="1">
      <c r="A69" s="48">
        <v>22</v>
      </c>
      <c r="B69" s="49">
        <f>資料儲存!D53</f>
        <v>0</v>
      </c>
      <c r="C69" s="49">
        <f>資料儲存!E53</f>
        <v>0</v>
      </c>
      <c r="D69" s="49">
        <f>資料儲存!F53</f>
        <v>0</v>
      </c>
      <c r="E69" s="49">
        <f>資料儲存!G53</f>
        <v>0</v>
      </c>
      <c r="F69" s="49">
        <f>資料儲存!H53</f>
        <v>0</v>
      </c>
      <c r="G69" s="49">
        <f>資料儲存!I53</f>
        <v>0</v>
      </c>
      <c r="H69" s="49">
        <f>資料儲存!J53</f>
        <v>0</v>
      </c>
      <c r="I69" s="45"/>
      <c r="J69" s="48">
        <v>22</v>
      </c>
      <c r="K69" s="49">
        <f>資料儲存!D173</f>
        <v>0</v>
      </c>
      <c r="L69" s="49">
        <f>資料儲存!E173</f>
        <v>0</v>
      </c>
      <c r="M69" s="49">
        <f>資料儲存!F173</f>
        <v>0</v>
      </c>
      <c r="N69" s="49">
        <f>資料儲存!G173</f>
        <v>0</v>
      </c>
      <c r="O69" s="49">
        <f>資料儲存!H173</f>
        <v>0</v>
      </c>
      <c r="P69" s="49">
        <f>資料儲存!I173</f>
        <v>0</v>
      </c>
      <c r="Q69" s="49">
        <f>資料儲存!J173</f>
        <v>0</v>
      </c>
      <c r="R69" s="45"/>
      <c r="S69" s="48">
        <v>22</v>
      </c>
      <c r="T69" s="49">
        <f>資料儲存!D293</f>
        <v>0</v>
      </c>
      <c r="U69" s="49">
        <f>資料儲存!E293</f>
        <v>0</v>
      </c>
      <c r="V69" s="49">
        <f>資料儲存!F293</f>
        <v>0</v>
      </c>
      <c r="W69" s="49">
        <f>資料儲存!G293</f>
        <v>0</v>
      </c>
      <c r="X69" s="49">
        <f>資料儲存!H293</f>
        <v>0</v>
      </c>
      <c r="Y69" s="49">
        <f>資料儲存!I293</f>
        <v>0</v>
      </c>
      <c r="Z69" s="49">
        <f>資料儲存!J293</f>
        <v>0</v>
      </c>
      <c r="AA69" s="45"/>
      <c r="AB69" s="48">
        <v>22</v>
      </c>
      <c r="AC69" s="49">
        <f>資料儲存!D413</f>
        <v>0</v>
      </c>
      <c r="AD69" s="49">
        <f>資料儲存!E413</f>
        <v>0</v>
      </c>
      <c r="AE69" s="49">
        <f>資料儲存!F413</f>
        <v>0</v>
      </c>
      <c r="AF69" s="49">
        <f>資料儲存!G413</f>
        <v>0</v>
      </c>
      <c r="AG69" s="49">
        <f>資料儲存!H413</f>
        <v>0</v>
      </c>
      <c r="AH69" s="49">
        <f>資料儲存!I413</f>
        <v>0</v>
      </c>
      <c r="AI69" s="49">
        <f>資料儲存!J413</f>
        <v>0</v>
      </c>
      <c r="AJ69" s="13"/>
      <c r="AK69" s="48">
        <v>22</v>
      </c>
      <c r="AL69" s="49">
        <f>資料儲存!D533</f>
        <v>0</v>
      </c>
      <c r="AM69" s="49">
        <f>資料儲存!E533</f>
        <v>0</v>
      </c>
      <c r="AN69" s="49">
        <f>資料儲存!F533</f>
        <v>0</v>
      </c>
      <c r="AO69" s="49">
        <f>資料儲存!G533</f>
        <v>0</v>
      </c>
      <c r="AP69" s="49">
        <f>資料儲存!H533</f>
        <v>0</v>
      </c>
      <c r="AQ69" s="49">
        <f>資料儲存!I533</f>
        <v>0</v>
      </c>
      <c r="AR69" s="49">
        <f>資料儲存!J533</f>
        <v>0</v>
      </c>
      <c r="AT69" s="48">
        <v>22</v>
      </c>
      <c r="AU69" s="49">
        <f>資料儲存!D653</f>
        <v>0</v>
      </c>
      <c r="AV69" s="49">
        <f>資料儲存!E653</f>
        <v>0</v>
      </c>
      <c r="AW69" s="49">
        <f>資料儲存!F653</f>
        <v>0</v>
      </c>
      <c r="AX69" s="49">
        <f>資料儲存!G653</f>
        <v>0</v>
      </c>
      <c r="AY69" s="49">
        <f>資料儲存!H653</f>
        <v>0</v>
      </c>
      <c r="AZ69" s="49">
        <f>資料儲存!I653</f>
        <v>0</v>
      </c>
      <c r="BA69" s="49">
        <f>資料儲存!J653</f>
        <v>0</v>
      </c>
    </row>
    <row r="70" spans="1:53" ht="16" thickBot="1">
      <c r="A70" s="48">
        <v>23</v>
      </c>
      <c r="B70" s="49">
        <f>資料儲存!D54</f>
        <v>0</v>
      </c>
      <c r="C70" s="49">
        <f>資料儲存!E54</f>
        <v>0</v>
      </c>
      <c r="D70" s="49">
        <f>資料儲存!F54</f>
        <v>0</v>
      </c>
      <c r="E70" s="49">
        <f>資料儲存!G54</f>
        <v>0</v>
      </c>
      <c r="F70" s="49">
        <f>資料儲存!H54</f>
        <v>0</v>
      </c>
      <c r="G70" s="49">
        <f>資料儲存!I54</f>
        <v>0</v>
      </c>
      <c r="H70" s="49">
        <f>資料儲存!J54</f>
        <v>0</v>
      </c>
      <c r="I70" s="45"/>
      <c r="J70" s="48">
        <v>23</v>
      </c>
      <c r="K70" s="49">
        <f>資料儲存!D174</f>
        <v>0</v>
      </c>
      <c r="L70" s="49">
        <f>資料儲存!E174</f>
        <v>0</v>
      </c>
      <c r="M70" s="49">
        <f>資料儲存!F174</f>
        <v>0</v>
      </c>
      <c r="N70" s="49">
        <f>資料儲存!G174</f>
        <v>0</v>
      </c>
      <c r="O70" s="49">
        <f>資料儲存!H174</f>
        <v>0</v>
      </c>
      <c r="P70" s="49">
        <f>資料儲存!I174</f>
        <v>0</v>
      </c>
      <c r="Q70" s="49">
        <f>資料儲存!J174</f>
        <v>0</v>
      </c>
      <c r="R70" s="45"/>
      <c r="S70" s="48">
        <v>23</v>
      </c>
      <c r="T70" s="49">
        <f>資料儲存!D294</f>
        <v>0</v>
      </c>
      <c r="U70" s="49">
        <f>資料儲存!E294</f>
        <v>0</v>
      </c>
      <c r="V70" s="49">
        <f>資料儲存!F294</f>
        <v>0</v>
      </c>
      <c r="W70" s="49">
        <f>資料儲存!G294</f>
        <v>0</v>
      </c>
      <c r="X70" s="49">
        <f>資料儲存!H294</f>
        <v>0</v>
      </c>
      <c r="Y70" s="49">
        <f>資料儲存!I294</f>
        <v>0</v>
      </c>
      <c r="Z70" s="49">
        <f>資料儲存!J294</f>
        <v>0</v>
      </c>
      <c r="AA70" s="45"/>
      <c r="AB70" s="48">
        <v>23</v>
      </c>
      <c r="AC70" s="49">
        <f>資料儲存!D414</f>
        <v>0</v>
      </c>
      <c r="AD70" s="49">
        <f>資料儲存!E414</f>
        <v>0</v>
      </c>
      <c r="AE70" s="49">
        <f>資料儲存!F414</f>
        <v>0</v>
      </c>
      <c r="AF70" s="49">
        <f>資料儲存!G414</f>
        <v>0</v>
      </c>
      <c r="AG70" s="49">
        <f>資料儲存!H414</f>
        <v>0</v>
      </c>
      <c r="AH70" s="49">
        <f>資料儲存!I414</f>
        <v>0</v>
      </c>
      <c r="AI70" s="49">
        <f>資料儲存!J414</f>
        <v>0</v>
      </c>
      <c r="AJ70" s="13"/>
      <c r="AK70" s="48">
        <v>23</v>
      </c>
      <c r="AL70" s="49">
        <f>資料儲存!D534</f>
        <v>0</v>
      </c>
      <c r="AM70" s="49">
        <f>資料儲存!E534</f>
        <v>0</v>
      </c>
      <c r="AN70" s="49">
        <f>資料儲存!F534</f>
        <v>0</v>
      </c>
      <c r="AO70" s="49">
        <f>資料儲存!G534</f>
        <v>0</v>
      </c>
      <c r="AP70" s="49">
        <f>資料儲存!H534</f>
        <v>0</v>
      </c>
      <c r="AQ70" s="49">
        <f>資料儲存!I534</f>
        <v>0</v>
      </c>
      <c r="AR70" s="49">
        <f>資料儲存!J534</f>
        <v>0</v>
      </c>
      <c r="AT70" s="48">
        <v>23</v>
      </c>
      <c r="AU70" s="49">
        <f>資料儲存!D654</f>
        <v>0</v>
      </c>
      <c r="AV70" s="49">
        <f>資料儲存!E654</f>
        <v>0</v>
      </c>
      <c r="AW70" s="49">
        <f>資料儲存!F654</f>
        <v>0</v>
      </c>
      <c r="AX70" s="49">
        <f>資料儲存!G654</f>
        <v>0</v>
      </c>
      <c r="AY70" s="49">
        <f>資料儲存!H654</f>
        <v>0</v>
      </c>
      <c r="AZ70" s="49">
        <f>資料儲存!I654</f>
        <v>0</v>
      </c>
      <c r="BA70" s="49">
        <f>資料儲存!J654</f>
        <v>0</v>
      </c>
    </row>
    <row r="71" spans="1:53" ht="16" thickBot="1">
      <c r="A71" s="48">
        <v>24</v>
      </c>
      <c r="B71" s="49">
        <f>資料儲存!D55</f>
        <v>0</v>
      </c>
      <c r="C71" s="49">
        <f>資料儲存!E55</f>
        <v>0</v>
      </c>
      <c r="D71" s="49">
        <f>資料儲存!F55</f>
        <v>0</v>
      </c>
      <c r="E71" s="49">
        <f>資料儲存!G55</f>
        <v>0</v>
      </c>
      <c r="F71" s="49">
        <f>資料儲存!H55</f>
        <v>0</v>
      </c>
      <c r="G71" s="49">
        <f>資料儲存!I55</f>
        <v>0</v>
      </c>
      <c r="H71" s="49">
        <f>資料儲存!J55</f>
        <v>0</v>
      </c>
      <c r="I71" s="45"/>
      <c r="J71" s="48">
        <v>24</v>
      </c>
      <c r="K71" s="49">
        <f>資料儲存!D175</f>
        <v>0</v>
      </c>
      <c r="L71" s="49">
        <f>資料儲存!E175</f>
        <v>0</v>
      </c>
      <c r="M71" s="49">
        <f>資料儲存!F175</f>
        <v>0</v>
      </c>
      <c r="N71" s="49">
        <f>資料儲存!G175</f>
        <v>0</v>
      </c>
      <c r="O71" s="49">
        <f>資料儲存!H175</f>
        <v>0</v>
      </c>
      <c r="P71" s="49">
        <f>資料儲存!I175</f>
        <v>0</v>
      </c>
      <c r="Q71" s="49">
        <f>資料儲存!J175</f>
        <v>0</v>
      </c>
      <c r="R71" s="45"/>
      <c r="S71" s="48">
        <v>24</v>
      </c>
      <c r="T71" s="49">
        <f>資料儲存!D295</f>
        <v>0</v>
      </c>
      <c r="U71" s="49">
        <f>資料儲存!E295</f>
        <v>0</v>
      </c>
      <c r="V71" s="49">
        <f>資料儲存!F295</f>
        <v>0</v>
      </c>
      <c r="W71" s="49">
        <f>資料儲存!G295</f>
        <v>0</v>
      </c>
      <c r="X71" s="49">
        <f>資料儲存!H295</f>
        <v>0</v>
      </c>
      <c r="Y71" s="49">
        <f>資料儲存!I295</f>
        <v>0</v>
      </c>
      <c r="Z71" s="49">
        <f>資料儲存!J295</f>
        <v>0</v>
      </c>
      <c r="AA71" s="45"/>
      <c r="AB71" s="48">
        <v>24</v>
      </c>
      <c r="AC71" s="49">
        <f>資料儲存!D415</f>
        <v>0</v>
      </c>
      <c r="AD71" s="49">
        <f>資料儲存!E415</f>
        <v>0</v>
      </c>
      <c r="AE71" s="49">
        <f>資料儲存!F415</f>
        <v>0</v>
      </c>
      <c r="AF71" s="49">
        <f>資料儲存!G415</f>
        <v>0</v>
      </c>
      <c r="AG71" s="49">
        <f>資料儲存!H415</f>
        <v>0</v>
      </c>
      <c r="AH71" s="49">
        <f>資料儲存!I415</f>
        <v>0</v>
      </c>
      <c r="AI71" s="49">
        <f>資料儲存!J415</f>
        <v>0</v>
      </c>
      <c r="AJ71" s="13"/>
      <c r="AK71" s="48">
        <v>24</v>
      </c>
      <c r="AL71" s="49">
        <f>資料儲存!D535</f>
        <v>0</v>
      </c>
      <c r="AM71" s="49">
        <f>資料儲存!E535</f>
        <v>0</v>
      </c>
      <c r="AN71" s="49">
        <f>資料儲存!F535</f>
        <v>0</v>
      </c>
      <c r="AO71" s="49">
        <f>資料儲存!G535</f>
        <v>0</v>
      </c>
      <c r="AP71" s="49">
        <f>資料儲存!H535</f>
        <v>0</v>
      </c>
      <c r="AQ71" s="49">
        <f>資料儲存!I535</f>
        <v>0</v>
      </c>
      <c r="AR71" s="49">
        <f>資料儲存!J535</f>
        <v>0</v>
      </c>
      <c r="AT71" s="48">
        <v>24</v>
      </c>
      <c r="AU71" s="49">
        <f>資料儲存!D655</f>
        <v>0</v>
      </c>
      <c r="AV71" s="49">
        <f>資料儲存!E655</f>
        <v>0</v>
      </c>
      <c r="AW71" s="49">
        <f>資料儲存!F655</f>
        <v>0</v>
      </c>
      <c r="AX71" s="49">
        <f>資料儲存!G655</f>
        <v>0</v>
      </c>
      <c r="AY71" s="49">
        <f>資料儲存!H655</f>
        <v>0</v>
      </c>
      <c r="AZ71" s="49">
        <f>資料儲存!I655</f>
        <v>0</v>
      </c>
      <c r="BA71" s="49">
        <f>資料儲存!J655</f>
        <v>0</v>
      </c>
    </row>
    <row r="72" spans="1:53" ht="16" thickBot="1">
      <c r="A72" s="48">
        <v>25</v>
      </c>
      <c r="B72" s="49">
        <f>資料儲存!D56</f>
        <v>0</v>
      </c>
      <c r="C72" s="49">
        <f>資料儲存!E56</f>
        <v>0</v>
      </c>
      <c r="D72" s="49">
        <f>資料儲存!F56</f>
        <v>0</v>
      </c>
      <c r="E72" s="49">
        <f>資料儲存!G56</f>
        <v>0</v>
      </c>
      <c r="F72" s="49">
        <f>資料儲存!H56</f>
        <v>0</v>
      </c>
      <c r="G72" s="49">
        <f>資料儲存!I56</f>
        <v>0</v>
      </c>
      <c r="H72" s="49">
        <f>資料儲存!J56</f>
        <v>0</v>
      </c>
      <c r="I72" s="45"/>
      <c r="J72" s="48">
        <v>25</v>
      </c>
      <c r="K72" s="49">
        <f>資料儲存!D176</f>
        <v>0</v>
      </c>
      <c r="L72" s="49">
        <f>資料儲存!E176</f>
        <v>0</v>
      </c>
      <c r="M72" s="49">
        <f>資料儲存!F176</f>
        <v>0</v>
      </c>
      <c r="N72" s="49">
        <f>資料儲存!G176</f>
        <v>0</v>
      </c>
      <c r="O72" s="49">
        <f>資料儲存!H176</f>
        <v>0</v>
      </c>
      <c r="P72" s="49">
        <f>資料儲存!I176</f>
        <v>0</v>
      </c>
      <c r="Q72" s="49">
        <f>資料儲存!J176</f>
        <v>0</v>
      </c>
      <c r="R72" s="45"/>
      <c r="S72" s="48">
        <v>25</v>
      </c>
      <c r="T72" s="49">
        <f>資料儲存!D296</f>
        <v>0</v>
      </c>
      <c r="U72" s="49">
        <f>資料儲存!E296</f>
        <v>0</v>
      </c>
      <c r="V72" s="49">
        <f>資料儲存!F296</f>
        <v>0</v>
      </c>
      <c r="W72" s="49">
        <f>資料儲存!G296</f>
        <v>0</v>
      </c>
      <c r="X72" s="49">
        <f>資料儲存!H296</f>
        <v>0</v>
      </c>
      <c r="Y72" s="49">
        <f>資料儲存!I296</f>
        <v>0</v>
      </c>
      <c r="Z72" s="49">
        <f>資料儲存!J296</f>
        <v>0</v>
      </c>
      <c r="AA72" s="45"/>
      <c r="AB72" s="48">
        <v>25</v>
      </c>
      <c r="AC72" s="49">
        <f>資料儲存!D416</f>
        <v>0</v>
      </c>
      <c r="AD72" s="49">
        <f>資料儲存!E416</f>
        <v>0</v>
      </c>
      <c r="AE72" s="49">
        <f>資料儲存!F416</f>
        <v>0</v>
      </c>
      <c r="AF72" s="49">
        <f>資料儲存!G416</f>
        <v>0</v>
      </c>
      <c r="AG72" s="49">
        <f>資料儲存!H416</f>
        <v>0</v>
      </c>
      <c r="AH72" s="49">
        <f>資料儲存!I416</f>
        <v>0</v>
      </c>
      <c r="AI72" s="49">
        <f>資料儲存!J416</f>
        <v>0</v>
      </c>
      <c r="AJ72" s="13"/>
      <c r="AK72" s="48">
        <v>25</v>
      </c>
      <c r="AL72" s="49">
        <f>資料儲存!D536</f>
        <v>0</v>
      </c>
      <c r="AM72" s="49">
        <f>資料儲存!E536</f>
        <v>0</v>
      </c>
      <c r="AN72" s="49">
        <f>資料儲存!F536</f>
        <v>0</v>
      </c>
      <c r="AO72" s="49">
        <f>資料儲存!G536</f>
        <v>0</v>
      </c>
      <c r="AP72" s="49">
        <f>資料儲存!H536</f>
        <v>0</v>
      </c>
      <c r="AQ72" s="49">
        <f>資料儲存!I536</f>
        <v>0</v>
      </c>
      <c r="AR72" s="49">
        <f>資料儲存!J536</f>
        <v>0</v>
      </c>
      <c r="AT72" s="48">
        <v>25</v>
      </c>
      <c r="AU72" s="49">
        <f>資料儲存!D656</f>
        <v>0</v>
      </c>
      <c r="AV72" s="49">
        <f>資料儲存!E656</f>
        <v>0</v>
      </c>
      <c r="AW72" s="49">
        <f>資料儲存!F656</f>
        <v>0</v>
      </c>
      <c r="AX72" s="49">
        <f>資料儲存!G656</f>
        <v>0</v>
      </c>
      <c r="AY72" s="49">
        <f>資料儲存!H656</f>
        <v>0</v>
      </c>
      <c r="AZ72" s="49">
        <f>資料儲存!I656</f>
        <v>0</v>
      </c>
      <c r="BA72" s="49">
        <f>資料儲存!J656</f>
        <v>0</v>
      </c>
    </row>
    <row r="73" spans="1:53" ht="16" thickBot="1">
      <c r="A73" s="48">
        <v>26</v>
      </c>
      <c r="B73" s="49">
        <f>資料儲存!D57</f>
        <v>0</v>
      </c>
      <c r="C73" s="49">
        <f>資料儲存!E57</f>
        <v>0</v>
      </c>
      <c r="D73" s="49">
        <f>資料儲存!F57</f>
        <v>0</v>
      </c>
      <c r="E73" s="49">
        <f>資料儲存!G57</f>
        <v>0</v>
      </c>
      <c r="F73" s="49">
        <f>資料儲存!H57</f>
        <v>0</v>
      </c>
      <c r="G73" s="49">
        <f>資料儲存!I57</f>
        <v>0</v>
      </c>
      <c r="H73" s="49">
        <f>資料儲存!J57</f>
        <v>0</v>
      </c>
      <c r="I73" s="45"/>
      <c r="J73" s="48">
        <v>26</v>
      </c>
      <c r="K73" s="49">
        <f>資料儲存!D177</f>
        <v>0</v>
      </c>
      <c r="L73" s="49">
        <f>資料儲存!E177</f>
        <v>0</v>
      </c>
      <c r="M73" s="49">
        <f>資料儲存!F177</f>
        <v>0</v>
      </c>
      <c r="N73" s="49">
        <f>資料儲存!G177</f>
        <v>0</v>
      </c>
      <c r="O73" s="49">
        <f>資料儲存!H177</f>
        <v>0</v>
      </c>
      <c r="P73" s="49">
        <f>資料儲存!I177</f>
        <v>0</v>
      </c>
      <c r="Q73" s="49">
        <f>資料儲存!J177</f>
        <v>0</v>
      </c>
      <c r="R73" s="45"/>
      <c r="S73" s="48">
        <v>26</v>
      </c>
      <c r="T73" s="49">
        <f>資料儲存!D297</f>
        <v>0</v>
      </c>
      <c r="U73" s="49">
        <f>資料儲存!E297</f>
        <v>0</v>
      </c>
      <c r="V73" s="49">
        <f>資料儲存!F297</f>
        <v>0</v>
      </c>
      <c r="W73" s="49">
        <f>資料儲存!G297</f>
        <v>0</v>
      </c>
      <c r="X73" s="49">
        <f>資料儲存!H297</f>
        <v>0</v>
      </c>
      <c r="Y73" s="49">
        <f>資料儲存!I297</f>
        <v>0</v>
      </c>
      <c r="Z73" s="49">
        <f>資料儲存!J297</f>
        <v>0</v>
      </c>
      <c r="AA73" s="45"/>
      <c r="AB73" s="48">
        <v>26</v>
      </c>
      <c r="AC73" s="49">
        <f>資料儲存!D417</f>
        <v>0</v>
      </c>
      <c r="AD73" s="49">
        <f>資料儲存!E417</f>
        <v>0</v>
      </c>
      <c r="AE73" s="49">
        <f>資料儲存!F417</f>
        <v>0</v>
      </c>
      <c r="AF73" s="49">
        <f>資料儲存!G417</f>
        <v>0</v>
      </c>
      <c r="AG73" s="49">
        <f>資料儲存!H417</f>
        <v>0</v>
      </c>
      <c r="AH73" s="49">
        <f>資料儲存!I417</f>
        <v>0</v>
      </c>
      <c r="AI73" s="49">
        <f>資料儲存!J417</f>
        <v>0</v>
      </c>
      <c r="AJ73" s="13"/>
      <c r="AK73" s="48">
        <v>26</v>
      </c>
      <c r="AL73" s="49">
        <f>資料儲存!D537</f>
        <v>0</v>
      </c>
      <c r="AM73" s="49">
        <f>資料儲存!E537</f>
        <v>0</v>
      </c>
      <c r="AN73" s="49">
        <f>資料儲存!F537</f>
        <v>0</v>
      </c>
      <c r="AO73" s="49">
        <f>資料儲存!G537</f>
        <v>0</v>
      </c>
      <c r="AP73" s="49">
        <f>資料儲存!H537</f>
        <v>0</v>
      </c>
      <c r="AQ73" s="49">
        <f>資料儲存!I537</f>
        <v>0</v>
      </c>
      <c r="AR73" s="49">
        <f>資料儲存!J537</f>
        <v>0</v>
      </c>
      <c r="AT73" s="48">
        <v>26</v>
      </c>
      <c r="AU73" s="49">
        <f>資料儲存!D657</f>
        <v>0</v>
      </c>
      <c r="AV73" s="49">
        <f>資料儲存!E657</f>
        <v>0</v>
      </c>
      <c r="AW73" s="49">
        <f>資料儲存!F657</f>
        <v>0</v>
      </c>
      <c r="AX73" s="49">
        <f>資料儲存!G657</f>
        <v>0</v>
      </c>
      <c r="AY73" s="49">
        <f>資料儲存!H657</f>
        <v>0</v>
      </c>
      <c r="AZ73" s="49">
        <f>資料儲存!I657</f>
        <v>0</v>
      </c>
      <c r="BA73" s="49">
        <f>資料儲存!J657</f>
        <v>0</v>
      </c>
    </row>
    <row r="74" spans="1:53" ht="16" thickBot="1">
      <c r="A74" s="48">
        <v>27</v>
      </c>
      <c r="B74" s="49">
        <f>資料儲存!D58</f>
        <v>0</v>
      </c>
      <c r="C74" s="49">
        <f>資料儲存!E58</f>
        <v>0</v>
      </c>
      <c r="D74" s="49">
        <f>資料儲存!F58</f>
        <v>0</v>
      </c>
      <c r="E74" s="49">
        <f>資料儲存!G58</f>
        <v>0</v>
      </c>
      <c r="F74" s="49">
        <f>資料儲存!H58</f>
        <v>0</v>
      </c>
      <c r="G74" s="49">
        <f>資料儲存!I58</f>
        <v>0</v>
      </c>
      <c r="H74" s="49">
        <f>資料儲存!J58</f>
        <v>0</v>
      </c>
      <c r="I74" s="45"/>
      <c r="J74" s="48">
        <v>27</v>
      </c>
      <c r="K74" s="49">
        <f>資料儲存!D178</f>
        <v>0</v>
      </c>
      <c r="L74" s="49">
        <f>資料儲存!E178</f>
        <v>0</v>
      </c>
      <c r="M74" s="49">
        <f>資料儲存!F178</f>
        <v>0</v>
      </c>
      <c r="N74" s="49">
        <f>資料儲存!G178</f>
        <v>0</v>
      </c>
      <c r="O74" s="49">
        <f>資料儲存!H178</f>
        <v>0</v>
      </c>
      <c r="P74" s="49">
        <f>資料儲存!I178</f>
        <v>0</v>
      </c>
      <c r="Q74" s="49">
        <f>資料儲存!J178</f>
        <v>0</v>
      </c>
      <c r="R74" s="45"/>
      <c r="S74" s="48">
        <v>27</v>
      </c>
      <c r="T74" s="49">
        <f>資料儲存!D298</f>
        <v>0</v>
      </c>
      <c r="U74" s="49">
        <f>資料儲存!E298</f>
        <v>0</v>
      </c>
      <c r="V74" s="49">
        <f>資料儲存!F298</f>
        <v>0</v>
      </c>
      <c r="W74" s="49">
        <f>資料儲存!G298</f>
        <v>0</v>
      </c>
      <c r="X74" s="49">
        <f>資料儲存!H298</f>
        <v>0</v>
      </c>
      <c r="Y74" s="49">
        <f>資料儲存!I298</f>
        <v>0</v>
      </c>
      <c r="Z74" s="49">
        <f>資料儲存!J298</f>
        <v>0</v>
      </c>
      <c r="AA74" s="45"/>
      <c r="AB74" s="48">
        <v>27</v>
      </c>
      <c r="AC74" s="49">
        <f>資料儲存!D418</f>
        <v>0</v>
      </c>
      <c r="AD74" s="49">
        <f>資料儲存!E418</f>
        <v>0</v>
      </c>
      <c r="AE74" s="49">
        <f>資料儲存!F418</f>
        <v>0</v>
      </c>
      <c r="AF74" s="49">
        <f>資料儲存!G418</f>
        <v>0</v>
      </c>
      <c r="AG74" s="49">
        <f>資料儲存!H418</f>
        <v>0</v>
      </c>
      <c r="AH74" s="49">
        <f>資料儲存!I418</f>
        <v>0</v>
      </c>
      <c r="AI74" s="49">
        <f>資料儲存!J418</f>
        <v>0</v>
      </c>
      <c r="AJ74" s="13"/>
      <c r="AK74" s="48">
        <v>27</v>
      </c>
      <c r="AL74" s="49">
        <f>資料儲存!D538</f>
        <v>0</v>
      </c>
      <c r="AM74" s="49">
        <f>資料儲存!E538</f>
        <v>0</v>
      </c>
      <c r="AN74" s="49">
        <f>資料儲存!F538</f>
        <v>0</v>
      </c>
      <c r="AO74" s="49">
        <f>資料儲存!G538</f>
        <v>0</v>
      </c>
      <c r="AP74" s="49">
        <f>資料儲存!H538</f>
        <v>0</v>
      </c>
      <c r="AQ74" s="49">
        <f>資料儲存!I538</f>
        <v>0</v>
      </c>
      <c r="AR74" s="49">
        <f>資料儲存!J538</f>
        <v>0</v>
      </c>
      <c r="AT74" s="48">
        <v>27</v>
      </c>
      <c r="AU74" s="49">
        <f>資料儲存!D658</f>
        <v>0</v>
      </c>
      <c r="AV74" s="49">
        <f>資料儲存!E658</f>
        <v>0</v>
      </c>
      <c r="AW74" s="49">
        <f>資料儲存!F658</f>
        <v>0</v>
      </c>
      <c r="AX74" s="49">
        <f>資料儲存!G658</f>
        <v>0</v>
      </c>
      <c r="AY74" s="49">
        <f>資料儲存!H658</f>
        <v>0</v>
      </c>
      <c r="AZ74" s="49">
        <f>資料儲存!I658</f>
        <v>0</v>
      </c>
      <c r="BA74" s="49">
        <f>資料儲存!J658</f>
        <v>0</v>
      </c>
    </row>
    <row r="75" spans="1:53" ht="16" thickBot="1">
      <c r="A75" s="48">
        <v>28</v>
      </c>
      <c r="B75" s="49">
        <f>資料儲存!D59</f>
        <v>0</v>
      </c>
      <c r="C75" s="49">
        <f>資料儲存!E59</f>
        <v>0</v>
      </c>
      <c r="D75" s="49">
        <f>資料儲存!F59</f>
        <v>0</v>
      </c>
      <c r="E75" s="49">
        <f>資料儲存!G59</f>
        <v>0</v>
      </c>
      <c r="F75" s="49">
        <f>資料儲存!H59</f>
        <v>0</v>
      </c>
      <c r="G75" s="49">
        <f>資料儲存!I59</f>
        <v>0</v>
      </c>
      <c r="H75" s="49">
        <f>資料儲存!J59</f>
        <v>0</v>
      </c>
      <c r="I75" s="45"/>
      <c r="J75" s="48">
        <v>28</v>
      </c>
      <c r="K75" s="49">
        <f>資料儲存!D179</f>
        <v>0</v>
      </c>
      <c r="L75" s="49">
        <f>資料儲存!E179</f>
        <v>0</v>
      </c>
      <c r="M75" s="49">
        <f>資料儲存!F179</f>
        <v>0</v>
      </c>
      <c r="N75" s="49">
        <f>資料儲存!G179</f>
        <v>0</v>
      </c>
      <c r="O75" s="49">
        <f>資料儲存!H179</f>
        <v>0</v>
      </c>
      <c r="P75" s="49">
        <f>資料儲存!I179</f>
        <v>0</v>
      </c>
      <c r="Q75" s="49">
        <f>資料儲存!J179</f>
        <v>0</v>
      </c>
      <c r="R75" s="45"/>
      <c r="S75" s="48">
        <v>28</v>
      </c>
      <c r="T75" s="49">
        <f>資料儲存!D299</f>
        <v>0</v>
      </c>
      <c r="U75" s="49">
        <f>資料儲存!E299</f>
        <v>0</v>
      </c>
      <c r="V75" s="49">
        <f>資料儲存!F299</f>
        <v>0</v>
      </c>
      <c r="W75" s="49">
        <f>資料儲存!G299</f>
        <v>0</v>
      </c>
      <c r="X75" s="49">
        <f>資料儲存!H299</f>
        <v>0</v>
      </c>
      <c r="Y75" s="49">
        <f>資料儲存!I299</f>
        <v>0</v>
      </c>
      <c r="Z75" s="49">
        <f>資料儲存!J299</f>
        <v>0</v>
      </c>
      <c r="AA75" s="45"/>
      <c r="AB75" s="48">
        <v>28</v>
      </c>
      <c r="AC75" s="49">
        <f>資料儲存!D419</f>
        <v>0</v>
      </c>
      <c r="AD75" s="49">
        <f>資料儲存!E419</f>
        <v>0</v>
      </c>
      <c r="AE75" s="49">
        <f>資料儲存!F419</f>
        <v>0</v>
      </c>
      <c r="AF75" s="49">
        <f>資料儲存!G419</f>
        <v>0</v>
      </c>
      <c r="AG75" s="49">
        <f>資料儲存!H419</f>
        <v>0</v>
      </c>
      <c r="AH75" s="49">
        <f>資料儲存!I419</f>
        <v>0</v>
      </c>
      <c r="AI75" s="49">
        <f>資料儲存!J419</f>
        <v>0</v>
      </c>
      <c r="AJ75" s="13"/>
      <c r="AK75" s="48">
        <v>28</v>
      </c>
      <c r="AL75" s="49">
        <f>資料儲存!D539</f>
        <v>0</v>
      </c>
      <c r="AM75" s="49">
        <f>資料儲存!E539</f>
        <v>0</v>
      </c>
      <c r="AN75" s="49">
        <f>資料儲存!F539</f>
        <v>0</v>
      </c>
      <c r="AO75" s="49">
        <f>資料儲存!G539</f>
        <v>0</v>
      </c>
      <c r="AP75" s="49">
        <f>資料儲存!H539</f>
        <v>0</v>
      </c>
      <c r="AQ75" s="49">
        <f>資料儲存!I539</f>
        <v>0</v>
      </c>
      <c r="AR75" s="49">
        <f>資料儲存!J539</f>
        <v>0</v>
      </c>
      <c r="AT75" s="48">
        <v>28</v>
      </c>
      <c r="AU75" s="49">
        <f>資料儲存!D659</f>
        <v>0</v>
      </c>
      <c r="AV75" s="49">
        <f>資料儲存!E659</f>
        <v>0</v>
      </c>
      <c r="AW75" s="49">
        <f>資料儲存!F659</f>
        <v>0</v>
      </c>
      <c r="AX75" s="49">
        <f>資料儲存!G659</f>
        <v>0</v>
      </c>
      <c r="AY75" s="49">
        <f>資料儲存!H659</f>
        <v>0</v>
      </c>
      <c r="AZ75" s="49">
        <f>資料儲存!I659</f>
        <v>0</v>
      </c>
      <c r="BA75" s="49">
        <f>資料儲存!J659</f>
        <v>0</v>
      </c>
    </row>
    <row r="76" spans="1:53" ht="16" thickBot="1">
      <c r="A76" s="48">
        <v>29</v>
      </c>
      <c r="B76" s="49">
        <f>資料儲存!D60</f>
        <v>0</v>
      </c>
      <c r="C76" s="49">
        <f>資料儲存!E60</f>
        <v>0</v>
      </c>
      <c r="D76" s="49">
        <f>資料儲存!F60</f>
        <v>0</v>
      </c>
      <c r="E76" s="49">
        <f>資料儲存!G60</f>
        <v>0</v>
      </c>
      <c r="F76" s="49">
        <f>資料儲存!H60</f>
        <v>0</v>
      </c>
      <c r="G76" s="49">
        <f>資料儲存!I60</f>
        <v>0</v>
      </c>
      <c r="H76" s="49">
        <f>資料儲存!J60</f>
        <v>0</v>
      </c>
      <c r="I76" s="45"/>
      <c r="J76" s="48">
        <v>29</v>
      </c>
      <c r="K76" s="49">
        <f>資料儲存!D180</f>
        <v>0</v>
      </c>
      <c r="L76" s="49">
        <f>資料儲存!E180</f>
        <v>0</v>
      </c>
      <c r="M76" s="49">
        <f>資料儲存!F180</f>
        <v>0</v>
      </c>
      <c r="N76" s="49">
        <f>資料儲存!G180</f>
        <v>0</v>
      </c>
      <c r="O76" s="49">
        <f>資料儲存!H180</f>
        <v>0</v>
      </c>
      <c r="P76" s="49">
        <f>資料儲存!I180</f>
        <v>0</v>
      </c>
      <c r="Q76" s="49">
        <f>資料儲存!J180</f>
        <v>0</v>
      </c>
      <c r="R76" s="45"/>
      <c r="S76" s="48">
        <v>29</v>
      </c>
      <c r="T76" s="49">
        <f>資料儲存!D300</f>
        <v>0</v>
      </c>
      <c r="U76" s="49">
        <f>資料儲存!E300</f>
        <v>0</v>
      </c>
      <c r="V76" s="49">
        <f>資料儲存!F300</f>
        <v>0</v>
      </c>
      <c r="W76" s="49">
        <f>資料儲存!G300</f>
        <v>0</v>
      </c>
      <c r="X76" s="49">
        <f>資料儲存!H300</f>
        <v>0</v>
      </c>
      <c r="Y76" s="49">
        <f>資料儲存!I300</f>
        <v>0</v>
      </c>
      <c r="Z76" s="49">
        <f>資料儲存!J300</f>
        <v>0</v>
      </c>
      <c r="AA76" s="45"/>
      <c r="AB76" s="48">
        <v>29</v>
      </c>
      <c r="AC76" s="49">
        <f>資料儲存!D420</f>
        <v>0</v>
      </c>
      <c r="AD76" s="49">
        <f>資料儲存!E420</f>
        <v>0</v>
      </c>
      <c r="AE76" s="49">
        <f>資料儲存!F420</f>
        <v>0</v>
      </c>
      <c r="AF76" s="49">
        <f>資料儲存!G420</f>
        <v>0</v>
      </c>
      <c r="AG76" s="49">
        <f>資料儲存!H420</f>
        <v>0</v>
      </c>
      <c r="AH76" s="49">
        <f>資料儲存!I420</f>
        <v>0</v>
      </c>
      <c r="AI76" s="49">
        <f>資料儲存!J420</f>
        <v>0</v>
      </c>
      <c r="AJ76" s="13"/>
      <c r="AK76" s="48">
        <v>29</v>
      </c>
      <c r="AL76" s="49">
        <f>資料儲存!D540</f>
        <v>0</v>
      </c>
      <c r="AM76" s="49">
        <f>資料儲存!E540</f>
        <v>0</v>
      </c>
      <c r="AN76" s="49">
        <f>資料儲存!F540</f>
        <v>0</v>
      </c>
      <c r="AO76" s="49">
        <f>資料儲存!G540</f>
        <v>0</v>
      </c>
      <c r="AP76" s="49">
        <f>資料儲存!H540</f>
        <v>0</v>
      </c>
      <c r="AQ76" s="49">
        <f>資料儲存!I540</f>
        <v>0</v>
      </c>
      <c r="AR76" s="49">
        <f>資料儲存!J540</f>
        <v>0</v>
      </c>
      <c r="AT76" s="48">
        <v>29</v>
      </c>
      <c r="AU76" s="49">
        <f>資料儲存!D660</f>
        <v>0</v>
      </c>
      <c r="AV76" s="49">
        <f>資料儲存!E660</f>
        <v>0</v>
      </c>
      <c r="AW76" s="49">
        <f>資料儲存!F660</f>
        <v>0</v>
      </c>
      <c r="AX76" s="49">
        <f>資料儲存!G660</f>
        <v>0</v>
      </c>
      <c r="AY76" s="49">
        <f>資料儲存!H660</f>
        <v>0</v>
      </c>
      <c r="AZ76" s="49">
        <f>資料儲存!I660</f>
        <v>0</v>
      </c>
      <c r="BA76" s="49">
        <f>資料儲存!J660</f>
        <v>0</v>
      </c>
    </row>
    <row r="77" spans="1:53" ht="16" thickBot="1">
      <c r="A77" s="48">
        <v>30</v>
      </c>
      <c r="B77" s="49">
        <f>資料儲存!D61</f>
        <v>0</v>
      </c>
      <c r="C77" s="49">
        <f>資料儲存!E61</f>
        <v>0</v>
      </c>
      <c r="D77" s="49">
        <f>資料儲存!F61</f>
        <v>0</v>
      </c>
      <c r="E77" s="49">
        <f>資料儲存!G61</f>
        <v>0</v>
      </c>
      <c r="F77" s="49">
        <f>資料儲存!H61</f>
        <v>0</v>
      </c>
      <c r="G77" s="49">
        <f>資料儲存!I61</f>
        <v>0</v>
      </c>
      <c r="H77" s="49">
        <f>資料儲存!J61</f>
        <v>0</v>
      </c>
      <c r="I77" s="45"/>
      <c r="J77" s="48">
        <v>30</v>
      </c>
      <c r="K77" s="49">
        <f>資料儲存!D181</f>
        <v>0</v>
      </c>
      <c r="L77" s="49">
        <f>資料儲存!E181</f>
        <v>0</v>
      </c>
      <c r="M77" s="49">
        <f>資料儲存!F181</f>
        <v>0</v>
      </c>
      <c r="N77" s="49">
        <f>資料儲存!G181</f>
        <v>0</v>
      </c>
      <c r="O77" s="49">
        <f>資料儲存!H181</f>
        <v>0</v>
      </c>
      <c r="P77" s="49">
        <f>資料儲存!I181</f>
        <v>0</v>
      </c>
      <c r="Q77" s="49">
        <f>資料儲存!J181</f>
        <v>0</v>
      </c>
      <c r="R77" s="45"/>
      <c r="S77" s="48">
        <v>30</v>
      </c>
      <c r="T77" s="49">
        <f>資料儲存!D301</f>
        <v>0</v>
      </c>
      <c r="U77" s="49">
        <f>資料儲存!E301</f>
        <v>0</v>
      </c>
      <c r="V77" s="49">
        <f>資料儲存!F301</f>
        <v>0</v>
      </c>
      <c r="W77" s="49">
        <f>資料儲存!G301</f>
        <v>0</v>
      </c>
      <c r="X77" s="49">
        <f>資料儲存!H301</f>
        <v>0</v>
      </c>
      <c r="Y77" s="49">
        <f>資料儲存!I301</f>
        <v>0</v>
      </c>
      <c r="Z77" s="49">
        <f>資料儲存!J301</f>
        <v>0</v>
      </c>
      <c r="AA77" s="45"/>
      <c r="AB77" s="48">
        <v>30</v>
      </c>
      <c r="AC77" s="49">
        <f>資料儲存!D421</f>
        <v>0</v>
      </c>
      <c r="AD77" s="49">
        <f>資料儲存!E421</f>
        <v>0</v>
      </c>
      <c r="AE77" s="49">
        <f>資料儲存!F421</f>
        <v>0</v>
      </c>
      <c r="AF77" s="49">
        <f>資料儲存!G421</f>
        <v>0</v>
      </c>
      <c r="AG77" s="49">
        <f>資料儲存!H421</f>
        <v>0</v>
      </c>
      <c r="AH77" s="49">
        <f>資料儲存!I421</f>
        <v>0</v>
      </c>
      <c r="AI77" s="49">
        <f>資料儲存!J421</f>
        <v>0</v>
      </c>
      <c r="AJ77" s="13"/>
      <c r="AK77" s="48">
        <v>30</v>
      </c>
      <c r="AL77" s="49">
        <f>資料儲存!D541</f>
        <v>0</v>
      </c>
      <c r="AM77" s="49">
        <f>資料儲存!E541</f>
        <v>0</v>
      </c>
      <c r="AN77" s="49">
        <f>資料儲存!F541</f>
        <v>0</v>
      </c>
      <c r="AO77" s="49">
        <f>資料儲存!G541</f>
        <v>0</v>
      </c>
      <c r="AP77" s="49">
        <f>資料儲存!H541</f>
        <v>0</v>
      </c>
      <c r="AQ77" s="49">
        <f>資料儲存!I541</f>
        <v>0</v>
      </c>
      <c r="AR77" s="49">
        <f>資料儲存!J541</f>
        <v>0</v>
      </c>
      <c r="AT77" s="48">
        <v>30</v>
      </c>
      <c r="AU77" s="49">
        <f>資料儲存!D661</f>
        <v>0</v>
      </c>
      <c r="AV77" s="49">
        <f>資料儲存!E661</f>
        <v>0</v>
      </c>
      <c r="AW77" s="49">
        <f>資料儲存!F661</f>
        <v>0</v>
      </c>
      <c r="AX77" s="49">
        <f>資料儲存!G661</f>
        <v>0</v>
      </c>
      <c r="AY77" s="49">
        <f>資料儲存!H661</f>
        <v>0</v>
      </c>
      <c r="AZ77" s="49">
        <f>資料儲存!I661</f>
        <v>0</v>
      </c>
      <c r="BA77" s="49">
        <f>資料儲存!J661</f>
        <v>0</v>
      </c>
    </row>
    <row r="78" spans="1:53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13"/>
      <c r="AK78" s="50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  <c r="AT78" s="50" t="s">
        <v>56</v>
      </c>
      <c r="AU78" s="49">
        <f>SUM(AU63:AX77)</f>
        <v>0</v>
      </c>
      <c r="AV78" s="47"/>
      <c r="AW78" s="47"/>
      <c r="AX78" s="47"/>
      <c r="AY78" s="49">
        <f>AY77</f>
        <v>0</v>
      </c>
      <c r="AZ78" s="49">
        <f>AZ77</f>
        <v>0</v>
      </c>
      <c r="BA78" s="49">
        <f>BA77</f>
        <v>0</v>
      </c>
    </row>
    <row r="79" spans="1:53" ht="18.5" thickBot="1">
      <c r="A79" s="248" t="s">
        <v>59</v>
      </c>
      <c r="B79" s="249"/>
      <c r="C79" s="249"/>
      <c r="D79" s="249"/>
      <c r="E79" s="249"/>
      <c r="F79" s="249"/>
      <c r="G79" s="249"/>
      <c r="H79" s="250"/>
      <c r="I79" s="13"/>
      <c r="J79" s="248" t="s">
        <v>59</v>
      </c>
      <c r="K79" s="249"/>
      <c r="L79" s="249"/>
      <c r="M79" s="249"/>
      <c r="N79" s="249"/>
      <c r="O79" s="249"/>
      <c r="P79" s="249"/>
      <c r="Q79" s="250"/>
      <c r="R79" s="13"/>
      <c r="S79" s="248" t="s">
        <v>59</v>
      </c>
      <c r="T79" s="249"/>
      <c r="U79" s="249"/>
      <c r="V79" s="249"/>
      <c r="W79" s="249"/>
      <c r="X79" s="249"/>
      <c r="Y79" s="249"/>
      <c r="Z79" s="250"/>
      <c r="AA79" s="13"/>
      <c r="AB79" s="248" t="s">
        <v>59</v>
      </c>
      <c r="AC79" s="249"/>
      <c r="AD79" s="249"/>
      <c r="AE79" s="249"/>
      <c r="AF79" s="249"/>
      <c r="AG79" s="249"/>
      <c r="AH79" s="249"/>
      <c r="AI79" s="250"/>
      <c r="AJ79" s="13"/>
      <c r="AK79" s="248" t="s">
        <v>59</v>
      </c>
      <c r="AL79" s="249"/>
      <c r="AM79" s="249"/>
      <c r="AN79" s="249"/>
      <c r="AO79" s="249"/>
      <c r="AP79" s="249"/>
      <c r="AQ79" s="249"/>
      <c r="AR79" s="250"/>
      <c r="AT79" s="248" t="s">
        <v>59</v>
      </c>
      <c r="AU79" s="249"/>
      <c r="AV79" s="249"/>
      <c r="AW79" s="249"/>
      <c r="AX79" s="249"/>
      <c r="AY79" s="249"/>
      <c r="AZ79" s="249"/>
      <c r="BA79" s="250"/>
    </row>
    <row r="80" spans="1:53" ht="17.25" customHeight="1" thickBot="1">
      <c r="A80" s="31" t="s">
        <v>2</v>
      </c>
      <c r="B80" s="32" t="s">
        <v>46</v>
      </c>
      <c r="C80" s="33"/>
      <c r="D80" s="33"/>
      <c r="E80" s="34"/>
      <c r="F80" s="32" t="s">
        <v>47</v>
      </c>
      <c r="G80" s="33"/>
      <c r="H80" s="34"/>
      <c r="I80" s="35"/>
      <c r="J80" s="31" t="s">
        <v>2</v>
      </c>
      <c r="K80" s="32" t="s">
        <v>46</v>
      </c>
      <c r="L80" s="33"/>
      <c r="M80" s="33"/>
      <c r="N80" s="34"/>
      <c r="O80" s="32" t="s">
        <v>47</v>
      </c>
      <c r="P80" s="33"/>
      <c r="Q80" s="34"/>
      <c r="R80" s="35"/>
      <c r="S80" s="31" t="s">
        <v>2</v>
      </c>
      <c r="T80" s="32" t="s">
        <v>46</v>
      </c>
      <c r="U80" s="33"/>
      <c r="V80" s="33"/>
      <c r="W80" s="34"/>
      <c r="X80" s="32" t="s">
        <v>47</v>
      </c>
      <c r="Y80" s="33"/>
      <c r="Z80" s="34"/>
      <c r="AA80" s="35"/>
      <c r="AB80" s="31" t="s">
        <v>2</v>
      </c>
      <c r="AC80" s="32" t="s">
        <v>46</v>
      </c>
      <c r="AD80" s="33"/>
      <c r="AE80" s="33"/>
      <c r="AF80" s="34"/>
      <c r="AG80" s="32" t="s">
        <v>47</v>
      </c>
      <c r="AH80" s="33"/>
      <c r="AI80" s="34"/>
      <c r="AJ80" s="13"/>
      <c r="AK80" s="31" t="s">
        <v>2</v>
      </c>
      <c r="AL80" s="32" t="s">
        <v>46</v>
      </c>
      <c r="AM80" s="33"/>
      <c r="AN80" s="33"/>
      <c r="AO80" s="34"/>
      <c r="AP80" s="32" t="s">
        <v>47</v>
      </c>
      <c r="AQ80" s="33"/>
      <c r="AR80" s="34"/>
      <c r="AT80" s="31" t="s">
        <v>2</v>
      </c>
      <c r="AU80" s="32" t="s">
        <v>46</v>
      </c>
      <c r="AV80" s="33"/>
      <c r="AW80" s="33"/>
      <c r="AX80" s="34"/>
      <c r="AY80" s="32" t="s">
        <v>47</v>
      </c>
      <c r="AZ80" s="33"/>
      <c r="BA80" s="34"/>
    </row>
    <row r="81" spans="1:53" ht="16" thickBot="1">
      <c r="A81" s="36" t="s">
        <v>60</v>
      </c>
      <c r="B81" s="37" t="s">
        <v>49</v>
      </c>
      <c r="C81" s="37" t="s">
        <v>50</v>
      </c>
      <c r="D81" s="37" t="s">
        <v>51</v>
      </c>
      <c r="E81" s="37" t="s">
        <v>52</v>
      </c>
      <c r="F81" s="37" t="s">
        <v>53</v>
      </c>
      <c r="G81" s="37" t="s">
        <v>54</v>
      </c>
      <c r="H81" s="37" t="s">
        <v>55</v>
      </c>
      <c r="I81" s="35"/>
      <c r="J81" s="36" t="s">
        <v>60</v>
      </c>
      <c r="K81" s="37" t="s">
        <v>49</v>
      </c>
      <c r="L81" s="37" t="s">
        <v>50</v>
      </c>
      <c r="M81" s="37" t="s">
        <v>51</v>
      </c>
      <c r="N81" s="37" t="s">
        <v>52</v>
      </c>
      <c r="O81" s="37" t="s">
        <v>53</v>
      </c>
      <c r="P81" s="37" t="s">
        <v>54</v>
      </c>
      <c r="Q81" s="37" t="s">
        <v>55</v>
      </c>
      <c r="R81" s="35"/>
      <c r="S81" s="36" t="s">
        <v>60</v>
      </c>
      <c r="T81" s="37" t="s">
        <v>49</v>
      </c>
      <c r="U81" s="37" t="s">
        <v>50</v>
      </c>
      <c r="V81" s="37" t="s">
        <v>51</v>
      </c>
      <c r="W81" s="37" t="s">
        <v>52</v>
      </c>
      <c r="X81" s="37" t="s">
        <v>53</v>
      </c>
      <c r="Y81" s="37" t="s">
        <v>54</v>
      </c>
      <c r="Z81" s="37" t="s">
        <v>55</v>
      </c>
      <c r="AA81" s="35"/>
      <c r="AB81" s="36" t="s">
        <v>60</v>
      </c>
      <c r="AC81" s="37" t="s">
        <v>49</v>
      </c>
      <c r="AD81" s="37" t="s">
        <v>50</v>
      </c>
      <c r="AE81" s="37" t="s">
        <v>51</v>
      </c>
      <c r="AF81" s="37" t="s">
        <v>52</v>
      </c>
      <c r="AG81" s="37" t="s">
        <v>53</v>
      </c>
      <c r="AH81" s="37" t="s">
        <v>54</v>
      </c>
      <c r="AI81" s="37" t="s">
        <v>55</v>
      </c>
      <c r="AJ81" s="13"/>
      <c r="AK81" s="36" t="s">
        <v>60</v>
      </c>
      <c r="AL81" s="37" t="s">
        <v>49</v>
      </c>
      <c r="AM81" s="37" t="s">
        <v>50</v>
      </c>
      <c r="AN81" s="37" t="s">
        <v>51</v>
      </c>
      <c r="AO81" s="37" t="s">
        <v>52</v>
      </c>
      <c r="AP81" s="37" t="s">
        <v>53</v>
      </c>
      <c r="AQ81" s="37" t="s">
        <v>54</v>
      </c>
      <c r="AR81" s="37" t="s">
        <v>55</v>
      </c>
      <c r="AT81" s="36" t="s">
        <v>60</v>
      </c>
      <c r="AU81" s="37" t="s">
        <v>49</v>
      </c>
      <c r="AV81" s="37" t="s">
        <v>50</v>
      </c>
      <c r="AW81" s="37" t="s">
        <v>51</v>
      </c>
      <c r="AX81" s="37" t="s">
        <v>52</v>
      </c>
      <c r="AY81" s="37" t="s">
        <v>53</v>
      </c>
      <c r="AZ81" s="37" t="s">
        <v>54</v>
      </c>
      <c r="BA81" s="37" t="s">
        <v>55</v>
      </c>
    </row>
    <row r="82" spans="1:53" ht="16" thickBot="1">
      <c r="A82" s="38">
        <v>31</v>
      </c>
      <c r="B82" s="39">
        <f>資料儲存!D62</f>
        <v>0</v>
      </c>
      <c r="C82" s="39">
        <f>資料儲存!E62</f>
        <v>0</v>
      </c>
      <c r="D82" s="39">
        <f>資料儲存!F62</f>
        <v>0</v>
      </c>
      <c r="E82" s="39">
        <f>資料儲存!G62</f>
        <v>0</v>
      </c>
      <c r="F82" s="39">
        <f>資料儲存!H62</f>
        <v>0</v>
      </c>
      <c r="G82" s="39">
        <f>資料儲存!I62</f>
        <v>0</v>
      </c>
      <c r="H82" s="39">
        <f>資料儲存!J62</f>
        <v>0</v>
      </c>
      <c r="I82" s="35"/>
      <c r="J82" s="38">
        <v>31</v>
      </c>
      <c r="K82" s="39">
        <f>資料儲存!D182</f>
        <v>0</v>
      </c>
      <c r="L82" s="39">
        <f>資料儲存!E182</f>
        <v>0</v>
      </c>
      <c r="M82" s="39">
        <f>資料儲存!F182</f>
        <v>0</v>
      </c>
      <c r="N82" s="39">
        <f>資料儲存!G182</f>
        <v>0</v>
      </c>
      <c r="O82" s="39">
        <f>資料儲存!H182</f>
        <v>0</v>
      </c>
      <c r="P82" s="39">
        <f>資料儲存!I182</f>
        <v>0</v>
      </c>
      <c r="Q82" s="39">
        <f>資料儲存!J182</f>
        <v>0</v>
      </c>
      <c r="R82" s="35"/>
      <c r="S82" s="38">
        <v>31</v>
      </c>
      <c r="T82" s="39">
        <f>資料儲存!D302</f>
        <v>0</v>
      </c>
      <c r="U82" s="39">
        <f>資料儲存!E302</f>
        <v>0</v>
      </c>
      <c r="V82" s="39">
        <f>資料儲存!F302</f>
        <v>0</v>
      </c>
      <c r="W82" s="39">
        <f>資料儲存!G302</f>
        <v>0</v>
      </c>
      <c r="X82" s="39">
        <f>資料儲存!H302</f>
        <v>0</v>
      </c>
      <c r="Y82" s="39">
        <f>資料儲存!I302</f>
        <v>0</v>
      </c>
      <c r="Z82" s="39">
        <f>資料儲存!J302</f>
        <v>0</v>
      </c>
      <c r="AA82" s="35"/>
      <c r="AB82" s="38">
        <v>31</v>
      </c>
      <c r="AC82" s="39">
        <f>資料儲存!D422</f>
        <v>0</v>
      </c>
      <c r="AD82" s="39">
        <f>資料儲存!E422</f>
        <v>0</v>
      </c>
      <c r="AE82" s="39">
        <f>資料儲存!F422</f>
        <v>0</v>
      </c>
      <c r="AF82" s="39">
        <f>資料儲存!G422</f>
        <v>0</v>
      </c>
      <c r="AG82" s="39">
        <f>資料儲存!H422</f>
        <v>0</v>
      </c>
      <c r="AH82" s="39">
        <f>資料儲存!I422</f>
        <v>0</v>
      </c>
      <c r="AI82" s="39">
        <f>資料儲存!J422</f>
        <v>0</v>
      </c>
      <c r="AJ82" s="13"/>
      <c r="AK82" s="38">
        <v>31</v>
      </c>
      <c r="AL82" s="39">
        <f>資料儲存!D542</f>
        <v>0</v>
      </c>
      <c r="AM82" s="39">
        <f>資料儲存!E542</f>
        <v>0</v>
      </c>
      <c r="AN82" s="39">
        <f>資料儲存!F542</f>
        <v>0</v>
      </c>
      <c r="AO82" s="39">
        <f>資料儲存!G542</f>
        <v>0</v>
      </c>
      <c r="AP82" s="39">
        <f>資料儲存!H542</f>
        <v>0</v>
      </c>
      <c r="AQ82" s="39">
        <f>資料儲存!I542</f>
        <v>0</v>
      </c>
      <c r="AR82" s="39">
        <f>資料儲存!J542</f>
        <v>0</v>
      </c>
      <c r="AT82" s="38">
        <v>31</v>
      </c>
      <c r="AU82" s="39">
        <f>資料儲存!D662</f>
        <v>0</v>
      </c>
      <c r="AV82" s="39">
        <f>資料儲存!E662</f>
        <v>0</v>
      </c>
      <c r="AW82" s="39">
        <f>資料儲存!F662</f>
        <v>0</v>
      </c>
      <c r="AX82" s="39">
        <f>資料儲存!G662</f>
        <v>0</v>
      </c>
      <c r="AY82" s="39">
        <f>資料儲存!H662</f>
        <v>0</v>
      </c>
      <c r="AZ82" s="39">
        <f>資料儲存!I662</f>
        <v>0</v>
      </c>
      <c r="BA82" s="39">
        <f>資料儲存!J662</f>
        <v>0</v>
      </c>
    </row>
    <row r="83" spans="1:53" ht="16" thickBot="1">
      <c r="A83" s="38">
        <v>32</v>
      </c>
      <c r="B83" s="39">
        <f>資料儲存!D63</f>
        <v>0</v>
      </c>
      <c r="C83" s="39">
        <f>資料儲存!E63</f>
        <v>0</v>
      </c>
      <c r="D83" s="39">
        <f>資料儲存!F63</f>
        <v>0</v>
      </c>
      <c r="E83" s="39">
        <f>資料儲存!G63</f>
        <v>0</v>
      </c>
      <c r="F83" s="39">
        <f>資料儲存!H63</f>
        <v>0</v>
      </c>
      <c r="G83" s="39">
        <f>資料儲存!I63</f>
        <v>0</v>
      </c>
      <c r="H83" s="39">
        <f>資料儲存!J63</f>
        <v>0</v>
      </c>
      <c r="I83" s="35"/>
      <c r="J83" s="38">
        <v>32</v>
      </c>
      <c r="K83" s="39">
        <f>資料儲存!D183</f>
        <v>0</v>
      </c>
      <c r="L83" s="39">
        <f>資料儲存!E183</f>
        <v>0</v>
      </c>
      <c r="M83" s="39">
        <f>資料儲存!F183</f>
        <v>0</v>
      </c>
      <c r="N83" s="39">
        <f>資料儲存!G183</f>
        <v>0</v>
      </c>
      <c r="O83" s="39">
        <f>資料儲存!H183</f>
        <v>0</v>
      </c>
      <c r="P83" s="39">
        <f>資料儲存!I183</f>
        <v>0</v>
      </c>
      <c r="Q83" s="39">
        <f>資料儲存!J183</f>
        <v>0</v>
      </c>
      <c r="R83" s="35"/>
      <c r="S83" s="38">
        <v>32</v>
      </c>
      <c r="T83" s="39">
        <f>資料儲存!D303</f>
        <v>0</v>
      </c>
      <c r="U83" s="39">
        <f>資料儲存!E303</f>
        <v>0</v>
      </c>
      <c r="V83" s="39">
        <f>資料儲存!F303</f>
        <v>0</v>
      </c>
      <c r="W83" s="39">
        <f>資料儲存!G303</f>
        <v>0</v>
      </c>
      <c r="X83" s="39">
        <f>資料儲存!H303</f>
        <v>0</v>
      </c>
      <c r="Y83" s="39">
        <f>資料儲存!I303</f>
        <v>0</v>
      </c>
      <c r="Z83" s="39">
        <f>資料儲存!J303</f>
        <v>0</v>
      </c>
      <c r="AA83" s="35"/>
      <c r="AB83" s="38">
        <v>32</v>
      </c>
      <c r="AC83" s="39">
        <f>資料儲存!D423</f>
        <v>0</v>
      </c>
      <c r="AD83" s="39">
        <f>資料儲存!E423</f>
        <v>0</v>
      </c>
      <c r="AE83" s="39">
        <f>資料儲存!F423</f>
        <v>0</v>
      </c>
      <c r="AF83" s="39">
        <f>資料儲存!G423</f>
        <v>0</v>
      </c>
      <c r="AG83" s="39">
        <f>資料儲存!H423</f>
        <v>0</v>
      </c>
      <c r="AH83" s="39">
        <f>資料儲存!I423</f>
        <v>0</v>
      </c>
      <c r="AI83" s="39">
        <f>資料儲存!J423</f>
        <v>0</v>
      </c>
      <c r="AJ83" s="13"/>
      <c r="AK83" s="38">
        <v>32</v>
      </c>
      <c r="AL83" s="39">
        <f>資料儲存!D543</f>
        <v>0</v>
      </c>
      <c r="AM83" s="39">
        <f>資料儲存!E543</f>
        <v>0</v>
      </c>
      <c r="AN83" s="39">
        <f>資料儲存!F543</f>
        <v>0</v>
      </c>
      <c r="AO83" s="39">
        <f>資料儲存!G543</f>
        <v>0</v>
      </c>
      <c r="AP83" s="39">
        <f>資料儲存!H543</f>
        <v>0</v>
      </c>
      <c r="AQ83" s="39">
        <f>資料儲存!I543</f>
        <v>0</v>
      </c>
      <c r="AR83" s="39">
        <f>資料儲存!J543</f>
        <v>0</v>
      </c>
      <c r="AT83" s="38">
        <v>32</v>
      </c>
      <c r="AU83" s="39">
        <f>資料儲存!D663</f>
        <v>0</v>
      </c>
      <c r="AV83" s="39">
        <f>資料儲存!E663</f>
        <v>0</v>
      </c>
      <c r="AW83" s="39">
        <f>資料儲存!F663</f>
        <v>0</v>
      </c>
      <c r="AX83" s="39">
        <f>資料儲存!G663</f>
        <v>0</v>
      </c>
      <c r="AY83" s="39">
        <f>資料儲存!H663</f>
        <v>0</v>
      </c>
      <c r="AZ83" s="39">
        <f>資料儲存!I663</f>
        <v>0</v>
      </c>
      <c r="BA83" s="39">
        <f>資料儲存!J663</f>
        <v>0</v>
      </c>
    </row>
    <row r="84" spans="1:53" ht="16" thickBot="1">
      <c r="A84" s="38">
        <v>33</v>
      </c>
      <c r="B84" s="39">
        <f>資料儲存!D64</f>
        <v>0</v>
      </c>
      <c r="C84" s="39">
        <f>資料儲存!E64</f>
        <v>0</v>
      </c>
      <c r="D84" s="39">
        <f>資料儲存!F64</f>
        <v>0</v>
      </c>
      <c r="E84" s="39">
        <f>資料儲存!G64</f>
        <v>0</v>
      </c>
      <c r="F84" s="39">
        <f>資料儲存!H64</f>
        <v>0</v>
      </c>
      <c r="G84" s="39">
        <f>資料儲存!I64</f>
        <v>0</v>
      </c>
      <c r="H84" s="39">
        <f>資料儲存!J64</f>
        <v>0</v>
      </c>
      <c r="I84" s="35"/>
      <c r="J84" s="38">
        <v>33</v>
      </c>
      <c r="K84" s="39">
        <f>資料儲存!D184</f>
        <v>0</v>
      </c>
      <c r="L84" s="39">
        <f>資料儲存!E184</f>
        <v>0</v>
      </c>
      <c r="M84" s="39">
        <f>資料儲存!F184</f>
        <v>0</v>
      </c>
      <c r="N84" s="39">
        <f>資料儲存!G184</f>
        <v>0</v>
      </c>
      <c r="O84" s="39">
        <f>資料儲存!H184</f>
        <v>0</v>
      </c>
      <c r="P84" s="39">
        <f>資料儲存!I184</f>
        <v>0</v>
      </c>
      <c r="Q84" s="39">
        <f>資料儲存!J184</f>
        <v>0</v>
      </c>
      <c r="R84" s="35"/>
      <c r="S84" s="38">
        <v>33</v>
      </c>
      <c r="T84" s="39">
        <f>資料儲存!D304</f>
        <v>0</v>
      </c>
      <c r="U84" s="39">
        <f>資料儲存!E304</f>
        <v>0</v>
      </c>
      <c r="V84" s="39">
        <f>資料儲存!F304</f>
        <v>0</v>
      </c>
      <c r="W84" s="39">
        <f>資料儲存!G304</f>
        <v>0</v>
      </c>
      <c r="X84" s="39">
        <f>資料儲存!H304</f>
        <v>0</v>
      </c>
      <c r="Y84" s="39">
        <f>資料儲存!I304</f>
        <v>0</v>
      </c>
      <c r="Z84" s="39">
        <f>資料儲存!J304</f>
        <v>0</v>
      </c>
      <c r="AA84" s="35"/>
      <c r="AB84" s="38">
        <v>33</v>
      </c>
      <c r="AC84" s="39">
        <f>資料儲存!D424</f>
        <v>0</v>
      </c>
      <c r="AD84" s="39">
        <f>資料儲存!E424</f>
        <v>0</v>
      </c>
      <c r="AE84" s="39">
        <f>資料儲存!F424</f>
        <v>0</v>
      </c>
      <c r="AF84" s="39">
        <f>資料儲存!G424</f>
        <v>0</v>
      </c>
      <c r="AG84" s="39">
        <f>資料儲存!H424</f>
        <v>0</v>
      </c>
      <c r="AH84" s="39">
        <f>資料儲存!I424</f>
        <v>0</v>
      </c>
      <c r="AI84" s="39">
        <f>資料儲存!J424</f>
        <v>0</v>
      </c>
      <c r="AJ84" s="13"/>
      <c r="AK84" s="38">
        <v>33</v>
      </c>
      <c r="AL84" s="39">
        <f>資料儲存!D544</f>
        <v>0</v>
      </c>
      <c r="AM84" s="39">
        <f>資料儲存!E544</f>
        <v>0</v>
      </c>
      <c r="AN84" s="39">
        <f>資料儲存!F544</f>
        <v>0</v>
      </c>
      <c r="AO84" s="39">
        <f>資料儲存!G544</f>
        <v>0</v>
      </c>
      <c r="AP84" s="39">
        <f>資料儲存!H544</f>
        <v>0</v>
      </c>
      <c r="AQ84" s="39">
        <f>資料儲存!I544</f>
        <v>0</v>
      </c>
      <c r="AR84" s="39">
        <f>資料儲存!J544</f>
        <v>0</v>
      </c>
      <c r="AT84" s="38">
        <v>33</v>
      </c>
      <c r="AU84" s="39">
        <f>資料儲存!D664</f>
        <v>0</v>
      </c>
      <c r="AV84" s="39">
        <f>資料儲存!E664</f>
        <v>0</v>
      </c>
      <c r="AW84" s="39">
        <f>資料儲存!F664</f>
        <v>0</v>
      </c>
      <c r="AX84" s="39">
        <f>資料儲存!G664</f>
        <v>0</v>
      </c>
      <c r="AY84" s="39">
        <f>資料儲存!H664</f>
        <v>0</v>
      </c>
      <c r="AZ84" s="39">
        <f>資料儲存!I664</f>
        <v>0</v>
      </c>
      <c r="BA84" s="39">
        <f>資料儲存!J664</f>
        <v>0</v>
      </c>
    </row>
    <row r="85" spans="1:53" ht="16" thickBot="1">
      <c r="A85" s="38">
        <v>34</v>
      </c>
      <c r="B85" s="39">
        <f>資料儲存!D65</f>
        <v>0</v>
      </c>
      <c r="C85" s="39">
        <f>資料儲存!E65</f>
        <v>0</v>
      </c>
      <c r="D85" s="39">
        <f>資料儲存!F65</f>
        <v>0</v>
      </c>
      <c r="E85" s="39">
        <f>資料儲存!G65</f>
        <v>0</v>
      </c>
      <c r="F85" s="39">
        <f>資料儲存!H65</f>
        <v>0</v>
      </c>
      <c r="G85" s="39">
        <f>資料儲存!I65</f>
        <v>0</v>
      </c>
      <c r="H85" s="39">
        <f>資料儲存!J65</f>
        <v>0</v>
      </c>
      <c r="I85" s="35"/>
      <c r="J85" s="38">
        <v>34</v>
      </c>
      <c r="K85" s="39">
        <f>資料儲存!D185</f>
        <v>0</v>
      </c>
      <c r="L85" s="39">
        <f>資料儲存!E185</f>
        <v>0</v>
      </c>
      <c r="M85" s="39">
        <f>資料儲存!F185</f>
        <v>0</v>
      </c>
      <c r="N85" s="39">
        <f>資料儲存!G185</f>
        <v>0</v>
      </c>
      <c r="O85" s="39">
        <f>資料儲存!H185</f>
        <v>0</v>
      </c>
      <c r="P85" s="39">
        <f>資料儲存!I185</f>
        <v>0</v>
      </c>
      <c r="Q85" s="39">
        <f>資料儲存!J185</f>
        <v>0</v>
      </c>
      <c r="R85" s="35"/>
      <c r="S85" s="38">
        <v>34</v>
      </c>
      <c r="T85" s="39">
        <f>資料儲存!D305</f>
        <v>0</v>
      </c>
      <c r="U85" s="39">
        <f>資料儲存!E305</f>
        <v>0</v>
      </c>
      <c r="V85" s="39">
        <f>資料儲存!F305</f>
        <v>0</v>
      </c>
      <c r="W85" s="39">
        <f>資料儲存!G305</f>
        <v>0</v>
      </c>
      <c r="X85" s="39">
        <f>資料儲存!H305</f>
        <v>0</v>
      </c>
      <c r="Y85" s="39">
        <f>資料儲存!I305</f>
        <v>0</v>
      </c>
      <c r="Z85" s="39">
        <f>資料儲存!J305</f>
        <v>0</v>
      </c>
      <c r="AA85" s="35"/>
      <c r="AB85" s="38">
        <v>34</v>
      </c>
      <c r="AC85" s="39">
        <f>資料儲存!D425</f>
        <v>0</v>
      </c>
      <c r="AD85" s="39">
        <f>資料儲存!E425</f>
        <v>0</v>
      </c>
      <c r="AE85" s="39">
        <f>資料儲存!F425</f>
        <v>0</v>
      </c>
      <c r="AF85" s="39">
        <f>資料儲存!G425</f>
        <v>0</v>
      </c>
      <c r="AG85" s="39">
        <f>資料儲存!H425</f>
        <v>0</v>
      </c>
      <c r="AH85" s="39">
        <f>資料儲存!I425</f>
        <v>0</v>
      </c>
      <c r="AI85" s="39">
        <f>資料儲存!J425</f>
        <v>0</v>
      </c>
      <c r="AJ85" s="13"/>
      <c r="AK85" s="38">
        <v>34</v>
      </c>
      <c r="AL85" s="39">
        <f>資料儲存!D545</f>
        <v>0</v>
      </c>
      <c r="AM85" s="39">
        <f>資料儲存!E545</f>
        <v>0</v>
      </c>
      <c r="AN85" s="39">
        <f>資料儲存!F545</f>
        <v>0</v>
      </c>
      <c r="AO85" s="39">
        <f>資料儲存!G545</f>
        <v>0</v>
      </c>
      <c r="AP85" s="39">
        <f>資料儲存!H545</f>
        <v>0</v>
      </c>
      <c r="AQ85" s="39">
        <f>資料儲存!I545</f>
        <v>0</v>
      </c>
      <c r="AR85" s="39">
        <f>資料儲存!J545</f>
        <v>0</v>
      </c>
      <c r="AT85" s="38">
        <v>34</v>
      </c>
      <c r="AU85" s="39">
        <f>資料儲存!D665</f>
        <v>0</v>
      </c>
      <c r="AV85" s="39">
        <f>資料儲存!E665</f>
        <v>0</v>
      </c>
      <c r="AW85" s="39">
        <f>資料儲存!F665</f>
        <v>0</v>
      </c>
      <c r="AX85" s="39">
        <f>資料儲存!G665</f>
        <v>0</v>
      </c>
      <c r="AY85" s="39">
        <f>資料儲存!H665</f>
        <v>0</v>
      </c>
      <c r="AZ85" s="39">
        <f>資料儲存!I665</f>
        <v>0</v>
      </c>
      <c r="BA85" s="39">
        <f>資料儲存!J665</f>
        <v>0</v>
      </c>
    </row>
    <row r="86" spans="1:53" ht="16" thickBot="1">
      <c r="A86" s="38">
        <v>35</v>
      </c>
      <c r="B86" s="39">
        <f>資料儲存!D66</f>
        <v>0</v>
      </c>
      <c r="C86" s="39">
        <f>資料儲存!E66</f>
        <v>0</v>
      </c>
      <c r="D86" s="39">
        <f>資料儲存!F66</f>
        <v>0</v>
      </c>
      <c r="E86" s="39">
        <f>資料儲存!G66</f>
        <v>0</v>
      </c>
      <c r="F86" s="39">
        <f>資料儲存!H66</f>
        <v>0</v>
      </c>
      <c r="G86" s="39">
        <f>資料儲存!I66</f>
        <v>0</v>
      </c>
      <c r="H86" s="39">
        <f>資料儲存!J66</f>
        <v>0</v>
      </c>
      <c r="I86" s="35"/>
      <c r="J86" s="38">
        <v>35</v>
      </c>
      <c r="K86" s="39">
        <f>資料儲存!D186</f>
        <v>0</v>
      </c>
      <c r="L86" s="39">
        <f>資料儲存!E186</f>
        <v>0</v>
      </c>
      <c r="M86" s="39">
        <f>資料儲存!F186</f>
        <v>0</v>
      </c>
      <c r="N86" s="39">
        <f>資料儲存!G186</f>
        <v>0</v>
      </c>
      <c r="O86" s="39">
        <f>資料儲存!H186</f>
        <v>0</v>
      </c>
      <c r="P86" s="39">
        <f>資料儲存!I186</f>
        <v>0</v>
      </c>
      <c r="Q86" s="39">
        <f>資料儲存!J186</f>
        <v>0</v>
      </c>
      <c r="R86" s="35"/>
      <c r="S86" s="38">
        <v>35</v>
      </c>
      <c r="T86" s="39">
        <f>資料儲存!D306</f>
        <v>0</v>
      </c>
      <c r="U86" s="39">
        <f>資料儲存!E306</f>
        <v>0</v>
      </c>
      <c r="V86" s="39">
        <f>資料儲存!F306</f>
        <v>0</v>
      </c>
      <c r="W86" s="39">
        <f>資料儲存!G306</f>
        <v>0</v>
      </c>
      <c r="X86" s="39">
        <f>資料儲存!H306</f>
        <v>0</v>
      </c>
      <c r="Y86" s="39">
        <f>資料儲存!I306</f>
        <v>0</v>
      </c>
      <c r="Z86" s="39">
        <f>資料儲存!J306</f>
        <v>0</v>
      </c>
      <c r="AA86" s="35"/>
      <c r="AB86" s="38">
        <v>35</v>
      </c>
      <c r="AC86" s="39">
        <f>資料儲存!D426</f>
        <v>0</v>
      </c>
      <c r="AD86" s="39">
        <f>資料儲存!E426</f>
        <v>0</v>
      </c>
      <c r="AE86" s="39">
        <f>資料儲存!F426</f>
        <v>0</v>
      </c>
      <c r="AF86" s="39">
        <f>資料儲存!G426</f>
        <v>0</v>
      </c>
      <c r="AG86" s="39">
        <f>資料儲存!H426</f>
        <v>0</v>
      </c>
      <c r="AH86" s="39">
        <f>資料儲存!I426</f>
        <v>0</v>
      </c>
      <c r="AI86" s="39">
        <f>資料儲存!J426</f>
        <v>0</v>
      </c>
      <c r="AJ86" s="13"/>
      <c r="AK86" s="38">
        <v>35</v>
      </c>
      <c r="AL86" s="39">
        <f>資料儲存!D546</f>
        <v>0</v>
      </c>
      <c r="AM86" s="39">
        <f>資料儲存!E546</f>
        <v>0</v>
      </c>
      <c r="AN86" s="39">
        <f>資料儲存!F546</f>
        <v>0</v>
      </c>
      <c r="AO86" s="39">
        <f>資料儲存!G546</f>
        <v>0</v>
      </c>
      <c r="AP86" s="39">
        <f>資料儲存!H546</f>
        <v>0</v>
      </c>
      <c r="AQ86" s="39">
        <f>資料儲存!I546</f>
        <v>0</v>
      </c>
      <c r="AR86" s="39">
        <f>資料儲存!J546</f>
        <v>0</v>
      </c>
      <c r="AT86" s="38">
        <v>35</v>
      </c>
      <c r="AU86" s="39">
        <f>資料儲存!D666</f>
        <v>0</v>
      </c>
      <c r="AV86" s="39">
        <f>資料儲存!E666</f>
        <v>0</v>
      </c>
      <c r="AW86" s="39">
        <f>資料儲存!F666</f>
        <v>0</v>
      </c>
      <c r="AX86" s="39">
        <f>資料儲存!G666</f>
        <v>0</v>
      </c>
      <c r="AY86" s="39">
        <f>資料儲存!H666</f>
        <v>0</v>
      </c>
      <c r="AZ86" s="39">
        <f>資料儲存!I666</f>
        <v>0</v>
      </c>
      <c r="BA86" s="39">
        <f>資料儲存!J666</f>
        <v>0</v>
      </c>
    </row>
    <row r="87" spans="1:53" ht="16" thickBot="1">
      <c r="A87" s="38">
        <v>36</v>
      </c>
      <c r="B87" s="39">
        <f>資料儲存!D67</f>
        <v>0</v>
      </c>
      <c r="C87" s="39">
        <f>資料儲存!E67</f>
        <v>0</v>
      </c>
      <c r="D87" s="39">
        <f>資料儲存!F67</f>
        <v>0</v>
      </c>
      <c r="E87" s="39">
        <f>資料儲存!G67</f>
        <v>0</v>
      </c>
      <c r="F87" s="39">
        <f>資料儲存!H67</f>
        <v>0</v>
      </c>
      <c r="G87" s="39">
        <f>資料儲存!I67</f>
        <v>0</v>
      </c>
      <c r="H87" s="39">
        <f>資料儲存!J67</f>
        <v>0</v>
      </c>
      <c r="I87" s="35"/>
      <c r="J87" s="38">
        <v>36</v>
      </c>
      <c r="K87" s="39">
        <f>資料儲存!D187</f>
        <v>0</v>
      </c>
      <c r="L87" s="39">
        <f>資料儲存!E187</f>
        <v>0</v>
      </c>
      <c r="M87" s="39">
        <f>資料儲存!F187</f>
        <v>0</v>
      </c>
      <c r="N87" s="39">
        <f>資料儲存!G187</f>
        <v>0</v>
      </c>
      <c r="O87" s="39">
        <f>資料儲存!H187</f>
        <v>0</v>
      </c>
      <c r="P87" s="39">
        <f>資料儲存!I187</f>
        <v>0</v>
      </c>
      <c r="Q87" s="39">
        <f>資料儲存!J187</f>
        <v>0</v>
      </c>
      <c r="R87" s="35"/>
      <c r="S87" s="38">
        <v>36</v>
      </c>
      <c r="T87" s="39">
        <f>資料儲存!D307</f>
        <v>0</v>
      </c>
      <c r="U87" s="39">
        <f>資料儲存!E307</f>
        <v>0</v>
      </c>
      <c r="V87" s="39">
        <f>資料儲存!F307</f>
        <v>0</v>
      </c>
      <c r="W87" s="39">
        <f>資料儲存!G307</f>
        <v>0</v>
      </c>
      <c r="X87" s="39">
        <f>資料儲存!H307</f>
        <v>0</v>
      </c>
      <c r="Y87" s="39">
        <f>資料儲存!I307</f>
        <v>0</v>
      </c>
      <c r="Z87" s="39">
        <f>資料儲存!J307</f>
        <v>0</v>
      </c>
      <c r="AA87" s="35"/>
      <c r="AB87" s="38">
        <v>36</v>
      </c>
      <c r="AC87" s="39">
        <f>資料儲存!D427</f>
        <v>0</v>
      </c>
      <c r="AD87" s="39">
        <f>資料儲存!E427</f>
        <v>0</v>
      </c>
      <c r="AE87" s="39">
        <f>資料儲存!F427</f>
        <v>0</v>
      </c>
      <c r="AF87" s="39">
        <f>資料儲存!G427</f>
        <v>0</v>
      </c>
      <c r="AG87" s="39">
        <f>資料儲存!H427</f>
        <v>0</v>
      </c>
      <c r="AH87" s="39">
        <f>資料儲存!I427</f>
        <v>0</v>
      </c>
      <c r="AI87" s="39">
        <f>資料儲存!J427</f>
        <v>0</v>
      </c>
      <c r="AJ87" s="13"/>
      <c r="AK87" s="38">
        <v>36</v>
      </c>
      <c r="AL87" s="39">
        <f>資料儲存!D547</f>
        <v>0</v>
      </c>
      <c r="AM87" s="39">
        <f>資料儲存!E547</f>
        <v>0</v>
      </c>
      <c r="AN87" s="39">
        <f>資料儲存!F547</f>
        <v>0</v>
      </c>
      <c r="AO87" s="39">
        <f>資料儲存!G547</f>
        <v>0</v>
      </c>
      <c r="AP87" s="39">
        <f>資料儲存!H547</f>
        <v>0</v>
      </c>
      <c r="AQ87" s="39">
        <f>資料儲存!I547</f>
        <v>0</v>
      </c>
      <c r="AR87" s="39">
        <f>資料儲存!J547</f>
        <v>0</v>
      </c>
      <c r="AT87" s="38">
        <v>36</v>
      </c>
      <c r="AU87" s="39">
        <f>資料儲存!D667</f>
        <v>0</v>
      </c>
      <c r="AV87" s="39">
        <f>資料儲存!E667</f>
        <v>0</v>
      </c>
      <c r="AW87" s="39">
        <f>資料儲存!F667</f>
        <v>0</v>
      </c>
      <c r="AX87" s="39">
        <f>資料儲存!G667</f>
        <v>0</v>
      </c>
      <c r="AY87" s="39">
        <f>資料儲存!H667</f>
        <v>0</v>
      </c>
      <c r="AZ87" s="39">
        <f>資料儲存!I667</f>
        <v>0</v>
      </c>
      <c r="BA87" s="39">
        <f>資料儲存!J667</f>
        <v>0</v>
      </c>
    </row>
    <row r="88" spans="1:53" ht="16" thickBot="1">
      <c r="A88" s="38">
        <v>37</v>
      </c>
      <c r="B88" s="39">
        <f>資料儲存!D68</f>
        <v>0</v>
      </c>
      <c r="C88" s="39">
        <f>資料儲存!E68</f>
        <v>0</v>
      </c>
      <c r="D88" s="39">
        <f>資料儲存!F68</f>
        <v>0</v>
      </c>
      <c r="E88" s="39">
        <f>資料儲存!G68</f>
        <v>0</v>
      </c>
      <c r="F88" s="39">
        <f>資料儲存!H68</f>
        <v>0</v>
      </c>
      <c r="G88" s="39">
        <f>資料儲存!I68</f>
        <v>0</v>
      </c>
      <c r="H88" s="39">
        <f>資料儲存!J68</f>
        <v>0</v>
      </c>
      <c r="I88" s="35"/>
      <c r="J88" s="38">
        <v>37</v>
      </c>
      <c r="K88" s="39">
        <f>資料儲存!D188</f>
        <v>0</v>
      </c>
      <c r="L88" s="39">
        <f>資料儲存!E188</f>
        <v>0</v>
      </c>
      <c r="M88" s="39">
        <f>資料儲存!F188</f>
        <v>0</v>
      </c>
      <c r="N88" s="39">
        <f>資料儲存!G188</f>
        <v>0</v>
      </c>
      <c r="O88" s="39">
        <f>資料儲存!H188</f>
        <v>0</v>
      </c>
      <c r="P88" s="39">
        <f>資料儲存!I188</f>
        <v>0</v>
      </c>
      <c r="Q88" s="39">
        <f>資料儲存!J188</f>
        <v>0</v>
      </c>
      <c r="R88" s="35"/>
      <c r="S88" s="38">
        <v>37</v>
      </c>
      <c r="T88" s="39">
        <f>資料儲存!D308</f>
        <v>0</v>
      </c>
      <c r="U88" s="39">
        <f>資料儲存!E308</f>
        <v>0</v>
      </c>
      <c r="V88" s="39">
        <f>資料儲存!F308</f>
        <v>0</v>
      </c>
      <c r="W88" s="39">
        <f>資料儲存!G308</f>
        <v>0</v>
      </c>
      <c r="X88" s="39">
        <f>資料儲存!H308</f>
        <v>0</v>
      </c>
      <c r="Y88" s="39">
        <f>資料儲存!I308</f>
        <v>0</v>
      </c>
      <c r="Z88" s="39">
        <f>資料儲存!J308</f>
        <v>0</v>
      </c>
      <c r="AA88" s="35"/>
      <c r="AB88" s="38">
        <v>37</v>
      </c>
      <c r="AC88" s="39">
        <f>資料儲存!D428</f>
        <v>0</v>
      </c>
      <c r="AD88" s="39">
        <f>資料儲存!E428</f>
        <v>0</v>
      </c>
      <c r="AE88" s="39">
        <f>資料儲存!F428</f>
        <v>0</v>
      </c>
      <c r="AF88" s="39">
        <f>資料儲存!G428</f>
        <v>0</v>
      </c>
      <c r="AG88" s="39">
        <f>資料儲存!H428</f>
        <v>0</v>
      </c>
      <c r="AH88" s="39">
        <f>資料儲存!I428</f>
        <v>0</v>
      </c>
      <c r="AI88" s="39">
        <f>資料儲存!J428</f>
        <v>0</v>
      </c>
      <c r="AJ88" s="13"/>
      <c r="AK88" s="38">
        <v>37</v>
      </c>
      <c r="AL88" s="39">
        <f>資料儲存!D548</f>
        <v>0</v>
      </c>
      <c r="AM88" s="39">
        <f>資料儲存!E548</f>
        <v>0</v>
      </c>
      <c r="AN88" s="39">
        <f>資料儲存!F548</f>
        <v>0</v>
      </c>
      <c r="AO88" s="39">
        <f>資料儲存!G548</f>
        <v>0</v>
      </c>
      <c r="AP88" s="39">
        <f>資料儲存!H548</f>
        <v>0</v>
      </c>
      <c r="AQ88" s="39">
        <f>資料儲存!I548</f>
        <v>0</v>
      </c>
      <c r="AR88" s="39">
        <f>資料儲存!J548</f>
        <v>0</v>
      </c>
      <c r="AT88" s="38">
        <v>37</v>
      </c>
      <c r="AU88" s="39">
        <f>資料儲存!D668</f>
        <v>0</v>
      </c>
      <c r="AV88" s="39">
        <f>資料儲存!E668</f>
        <v>0</v>
      </c>
      <c r="AW88" s="39">
        <f>資料儲存!F668</f>
        <v>0</v>
      </c>
      <c r="AX88" s="39">
        <f>資料儲存!G668</f>
        <v>0</v>
      </c>
      <c r="AY88" s="39">
        <f>資料儲存!H668</f>
        <v>0</v>
      </c>
      <c r="AZ88" s="39">
        <f>資料儲存!I668</f>
        <v>0</v>
      </c>
      <c r="BA88" s="39">
        <f>資料儲存!J668</f>
        <v>0</v>
      </c>
    </row>
    <row r="89" spans="1:53" ht="16" thickBot="1">
      <c r="A89" s="38">
        <v>38</v>
      </c>
      <c r="B89" s="39">
        <f>資料儲存!D69</f>
        <v>0</v>
      </c>
      <c r="C89" s="39">
        <f>資料儲存!E69</f>
        <v>0</v>
      </c>
      <c r="D89" s="39">
        <f>資料儲存!F69</f>
        <v>0</v>
      </c>
      <c r="E89" s="39">
        <f>資料儲存!G69</f>
        <v>0</v>
      </c>
      <c r="F89" s="39">
        <f>資料儲存!H69</f>
        <v>0</v>
      </c>
      <c r="G89" s="39">
        <f>資料儲存!I69</f>
        <v>0</v>
      </c>
      <c r="H89" s="39">
        <f>資料儲存!J69</f>
        <v>0</v>
      </c>
      <c r="I89" s="35"/>
      <c r="J89" s="38">
        <v>38</v>
      </c>
      <c r="K89" s="39">
        <f>資料儲存!D189</f>
        <v>0</v>
      </c>
      <c r="L89" s="39">
        <f>資料儲存!E189</f>
        <v>0</v>
      </c>
      <c r="M89" s="39">
        <f>資料儲存!F189</f>
        <v>0</v>
      </c>
      <c r="N89" s="39">
        <f>資料儲存!G189</f>
        <v>0</v>
      </c>
      <c r="O89" s="39">
        <f>資料儲存!H189</f>
        <v>0</v>
      </c>
      <c r="P89" s="39">
        <f>資料儲存!I189</f>
        <v>0</v>
      </c>
      <c r="Q89" s="39">
        <f>資料儲存!J189</f>
        <v>0</v>
      </c>
      <c r="R89" s="35"/>
      <c r="S89" s="38">
        <v>38</v>
      </c>
      <c r="T89" s="39">
        <f>資料儲存!D309</f>
        <v>0</v>
      </c>
      <c r="U89" s="39">
        <f>資料儲存!E309</f>
        <v>0</v>
      </c>
      <c r="V89" s="39">
        <f>資料儲存!F309</f>
        <v>0</v>
      </c>
      <c r="W89" s="39">
        <f>資料儲存!G309</f>
        <v>0</v>
      </c>
      <c r="X89" s="39">
        <f>資料儲存!H309</f>
        <v>0</v>
      </c>
      <c r="Y89" s="39">
        <f>資料儲存!I309</f>
        <v>0</v>
      </c>
      <c r="Z89" s="39">
        <f>資料儲存!J309</f>
        <v>0</v>
      </c>
      <c r="AA89" s="35"/>
      <c r="AB89" s="38">
        <v>38</v>
      </c>
      <c r="AC89" s="39">
        <f>資料儲存!D429</f>
        <v>0</v>
      </c>
      <c r="AD89" s="39">
        <f>資料儲存!E429</f>
        <v>0</v>
      </c>
      <c r="AE89" s="39">
        <f>資料儲存!F429</f>
        <v>0</v>
      </c>
      <c r="AF89" s="39">
        <f>資料儲存!G429</f>
        <v>0</v>
      </c>
      <c r="AG89" s="39">
        <f>資料儲存!H429</f>
        <v>0</v>
      </c>
      <c r="AH89" s="39">
        <f>資料儲存!I429</f>
        <v>0</v>
      </c>
      <c r="AI89" s="39">
        <f>資料儲存!J429</f>
        <v>0</v>
      </c>
      <c r="AJ89" s="13"/>
      <c r="AK89" s="38">
        <v>38</v>
      </c>
      <c r="AL89" s="39">
        <f>資料儲存!D549</f>
        <v>0</v>
      </c>
      <c r="AM89" s="39">
        <f>資料儲存!E549</f>
        <v>0</v>
      </c>
      <c r="AN89" s="39">
        <f>資料儲存!F549</f>
        <v>0</v>
      </c>
      <c r="AO89" s="39">
        <f>資料儲存!G549</f>
        <v>0</v>
      </c>
      <c r="AP89" s="39">
        <f>資料儲存!H549</f>
        <v>0</v>
      </c>
      <c r="AQ89" s="39">
        <f>資料儲存!I549</f>
        <v>0</v>
      </c>
      <c r="AR89" s="39">
        <f>資料儲存!J549</f>
        <v>0</v>
      </c>
      <c r="AT89" s="38">
        <v>38</v>
      </c>
      <c r="AU89" s="39">
        <f>資料儲存!D669</f>
        <v>0</v>
      </c>
      <c r="AV89" s="39">
        <f>資料儲存!E669</f>
        <v>0</v>
      </c>
      <c r="AW89" s="39">
        <f>資料儲存!F669</f>
        <v>0</v>
      </c>
      <c r="AX89" s="39">
        <f>資料儲存!G669</f>
        <v>0</v>
      </c>
      <c r="AY89" s="39">
        <f>資料儲存!H669</f>
        <v>0</v>
      </c>
      <c r="AZ89" s="39">
        <f>資料儲存!I669</f>
        <v>0</v>
      </c>
      <c r="BA89" s="39">
        <f>資料儲存!J669</f>
        <v>0</v>
      </c>
    </row>
    <row r="90" spans="1:53" ht="16" thickBot="1">
      <c r="A90" s="38">
        <v>39</v>
      </c>
      <c r="B90" s="39">
        <f>資料儲存!D70</f>
        <v>0</v>
      </c>
      <c r="C90" s="39">
        <f>資料儲存!E70</f>
        <v>0</v>
      </c>
      <c r="D90" s="39">
        <f>資料儲存!F70</f>
        <v>0</v>
      </c>
      <c r="E90" s="39">
        <f>資料儲存!G70</f>
        <v>0</v>
      </c>
      <c r="F90" s="39">
        <f>資料儲存!H70</f>
        <v>0</v>
      </c>
      <c r="G90" s="39">
        <f>資料儲存!I70</f>
        <v>0</v>
      </c>
      <c r="H90" s="39">
        <f>資料儲存!J70</f>
        <v>0</v>
      </c>
      <c r="I90" s="35"/>
      <c r="J90" s="38">
        <v>39</v>
      </c>
      <c r="K90" s="39">
        <f>資料儲存!D190</f>
        <v>0</v>
      </c>
      <c r="L90" s="39">
        <f>資料儲存!E190</f>
        <v>0</v>
      </c>
      <c r="M90" s="39">
        <f>資料儲存!F190</f>
        <v>0</v>
      </c>
      <c r="N90" s="39">
        <f>資料儲存!G190</f>
        <v>0</v>
      </c>
      <c r="O90" s="39">
        <f>資料儲存!H190</f>
        <v>0</v>
      </c>
      <c r="P90" s="39">
        <f>資料儲存!I190</f>
        <v>0</v>
      </c>
      <c r="Q90" s="39">
        <f>資料儲存!J190</f>
        <v>0</v>
      </c>
      <c r="R90" s="35"/>
      <c r="S90" s="38">
        <v>39</v>
      </c>
      <c r="T90" s="39">
        <f>資料儲存!D310</f>
        <v>0</v>
      </c>
      <c r="U90" s="39">
        <f>資料儲存!E310</f>
        <v>0</v>
      </c>
      <c r="V90" s="39">
        <f>資料儲存!F310</f>
        <v>0</v>
      </c>
      <c r="W90" s="39">
        <f>資料儲存!G310</f>
        <v>0</v>
      </c>
      <c r="X90" s="39">
        <f>資料儲存!H310</f>
        <v>0</v>
      </c>
      <c r="Y90" s="39">
        <f>資料儲存!I310</f>
        <v>0</v>
      </c>
      <c r="Z90" s="39">
        <f>資料儲存!J310</f>
        <v>0</v>
      </c>
      <c r="AA90" s="35"/>
      <c r="AB90" s="38">
        <v>39</v>
      </c>
      <c r="AC90" s="39">
        <f>資料儲存!D430</f>
        <v>0</v>
      </c>
      <c r="AD90" s="39">
        <f>資料儲存!E430</f>
        <v>0</v>
      </c>
      <c r="AE90" s="39">
        <f>資料儲存!F430</f>
        <v>0</v>
      </c>
      <c r="AF90" s="39">
        <f>資料儲存!G430</f>
        <v>0</v>
      </c>
      <c r="AG90" s="39">
        <f>資料儲存!H430</f>
        <v>0</v>
      </c>
      <c r="AH90" s="39">
        <f>資料儲存!I430</f>
        <v>0</v>
      </c>
      <c r="AI90" s="39">
        <f>資料儲存!J430</f>
        <v>0</v>
      </c>
      <c r="AJ90" s="13"/>
      <c r="AK90" s="38">
        <v>39</v>
      </c>
      <c r="AL90" s="39">
        <f>資料儲存!D550</f>
        <v>0</v>
      </c>
      <c r="AM90" s="39">
        <f>資料儲存!E550</f>
        <v>0</v>
      </c>
      <c r="AN90" s="39">
        <f>資料儲存!F550</f>
        <v>0</v>
      </c>
      <c r="AO90" s="39">
        <f>資料儲存!G550</f>
        <v>0</v>
      </c>
      <c r="AP90" s="39">
        <f>資料儲存!H550</f>
        <v>0</v>
      </c>
      <c r="AQ90" s="39">
        <f>資料儲存!I550</f>
        <v>0</v>
      </c>
      <c r="AR90" s="39">
        <f>資料儲存!J550</f>
        <v>0</v>
      </c>
      <c r="AT90" s="38">
        <v>39</v>
      </c>
      <c r="AU90" s="39">
        <f>資料儲存!D670</f>
        <v>0</v>
      </c>
      <c r="AV90" s="39">
        <f>資料儲存!E670</f>
        <v>0</v>
      </c>
      <c r="AW90" s="39">
        <f>資料儲存!F670</f>
        <v>0</v>
      </c>
      <c r="AX90" s="39">
        <f>資料儲存!G670</f>
        <v>0</v>
      </c>
      <c r="AY90" s="39">
        <f>資料儲存!H670</f>
        <v>0</v>
      </c>
      <c r="AZ90" s="39">
        <f>資料儲存!I670</f>
        <v>0</v>
      </c>
      <c r="BA90" s="39">
        <f>資料儲存!J670</f>
        <v>0</v>
      </c>
    </row>
    <row r="91" spans="1:53" ht="16" thickBot="1">
      <c r="A91" s="38">
        <v>40</v>
      </c>
      <c r="B91" s="39">
        <f>資料儲存!D71</f>
        <v>0</v>
      </c>
      <c r="C91" s="39">
        <f>資料儲存!E71</f>
        <v>0</v>
      </c>
      <c r="D91" s="39">
        <f>資料儲存!F71</f>
        <v>0</v>
      </c>
      <c r="E91" s="39">
        <f>資料儲存!G71</f>
        <v>0</v>
      </c>
      <c r="F91" s="39">
        <f>資料儲存!H71</f>
        <v>0</v>
      </c>
      <c r="G91" s="39">
        <f>資料儲存!I71</f>
        <v>0</v>
      </c>
      <c r="H91" s="39">
        <f>資料儲存!J71</f>
        <v>0</v>
      </c>
      <c r="I91" s="35"/>
      <c r="J91" s="38">
        <v>40</v>
      </c>
      <c r="K91" s="39">
        <f>資料儲存!D191</f>
        <v>0</v>
      </c>
      <c r="L91" s="39">
        <f>資料儲存!E191</f>
        <v>0</v>
      </c>
      <c r="M91" s="39">
        <f>資料儲存!F191</f>
        <v>0</v>
      </c>
      <c r="N91" s="39">
        <f>資料儲存!G191</f>
        <v>0</v>
      </c>
      <c r="O91" s="39">
        <f>資料儲存!H191</f>
        <v>0</v>
      </c>
      <c r="P91" s="39">
        <f>資料儲存!I191</f>
        <v>0</v>
      </c>
      <c r="Q91" s="39">
        <f>資料儲存!J191</f>
        <v>0</v>
      </c>
      <c r="R91" s="35"/>
      <c r="S91" s="38">
        <v>40</v>
      </c>
      <c r="T91" s="39">
        <f>資料儲存!D311</f>
        <v>0</v>
      </c>
      <c r="U91" s="39">
        <f>資料儲存!E311</f>
        <v>0</v>
      </c>
      <c r="V91" s="39">
        <f>資料儲存!F311</f>
        <v>0</v>
      </c>
      <c r="W91" s="39">
        <f>資料儲存!G311</f>
        <v>0</v>
      </c>
      <c r="X91" s="39">
        <f>資料儲存!H311</f>
        <v>0</v>
      </c>
      <c r="Y91" s="39">
        <f>資料儲存!I311</f>
        <v>0</v>
      </c>
      <c r="Z91" s="39">
        <f>資料儲存!J311</f>
        <v>0</v>
      </c>
      <c r="AA91" s="35"/>
      <c r="AB91" s="38">
        <v>40</v>
      </c>
      <c r="AC91" s="39">
        <f>資料儲存!D431</f>
        <v>0</v>
      </c>
      <c r="AD91" s="39">
        <f>資料儲存!E431</f>
        <v>0</v>
      </c>
      <c r="AE91" s="39">
        <f>資料儲存!F431</f>
        <v>0</v>
      </c>
      <c r="AF91" s="39">
        <f>資料儲存!G431</f>
        <v>0</v>
      </c>
      <c r="AG91" s="39">
        <f>資料儲存!H431</f>
        <v>0</v>
      </c>
      <c r="AH91" s="39">
        <f>資料儲存!I431</f>
        <v>0</v>
      </c>
      <c r="AI91" s="39">
        <f>資料儲存!J431</f>
        <v>0</v>
      </c>
      <c r="AJ91" s="13"/>
      <c r="AK91" s="38">
        <v>40</v>
      </c>
      <c r="AL91" s="39">
        <f>資料儲存!D551</f>
        <v>0</v>
      </c>
      <c r="AM91" s="39">
        <f>資料儲存!E551</f>
        <v>0</v>
      </c>
      <c r="AN91" s="39">
        <f>資料儲存!F551</f>
        <v>0</v>
      </c>
      <c r="AO91" s="39">
        <f>資料儲存!G551</f>
        <v>0</v>
      </c>
      <c r="AP91" s="39">
        <f>資料儲存!H551</f>
        <v>0</v>
      </c>
      <c r="AQ91" s="39">
        <f>資料儲存!I551</f>
        <v>0</v>
      </c>
      <c r="AR91" s="39">
        <f>資料儲存!J551</f>
        <v>0</v>
      </c>
      <c r="AT91" s="38">
        <v>40</v>
      </c>
      <c r="AU91" s="39">
        <f>資料儲存!D671</f>
        <v>0</v>
      </c>
      <c r="AV91" s="39">
        <f>資料儲存!E671</f>
        <v>0</v>
      </c>
      <c r="AW91" s="39">
        <f>資料儲存!F671</f>
        <v>0</v>
      </c>
      <c r="AX91" s="39">
        <f>資料儲存!G671</f>
        <v>0</v>
      </c>
      <c r="AY91" s="39">
        <f>資料儲存!H671</f>
        <v>0</v>
      </c>
      <c r="AZ91" s="39">
        <f>資料儲存!I671</f>
        <v>0</v>
      </c>
      <c r="BA91" s="39">
        <f>資料儲存!J671</f>
        <v>0</v>
      </c>
    </row>
    <row r="92" spans="1:53" ht="16" thickBot="1">
      <c r="A92" s="38">
        <v>41</v>
      </c>
      <c r="B92" s="39">
        <f>資料儲存!D72</f>
        <v>0</v>
      </c>
      <c r="C92" s="39">
        <f>資料儲存!E72</f>
        <v>0</v>
      </c>
      <c r="D92" s="39">
        <f>資料儲存!F72</f>
        <v>0</v>
      </c>
      <c r="E92" s="39">
        <f>資料儲存!G72</f>
        <v>0</v>
      </c>
      <c r="F92" s="39">
        <f>資料儲存!H72</f>
        <v>0</v>
      </c>
      <c r="G92" s="39">
        <f>資料儲存!I72</f>
        <v>0</v>
      </c>
      <c r="H92" s="39">
        <f>資料儲存!J72</f>
        <v>0</v>
      </c>
      <c r="I92" s="35"/>
      <c r="J92" s="38">
        <v>41</v>
      </c>
      <c r="K92" s="39">
        <f>資料儲存!D192</f>
        <v>0</v>
      </c>
      <c r="L92" s="39">
        <f>資料儲存!E192</f>
        <v>0</v>
      </c>
      <c r="M92" s="39">
        <f>資料儲存!F192</f>
        <v>0</v>
      </c>
      <c r="N92" s="39">
        <f>資料儲存!G192</f>
        <v>0</v>
      </c>
      <c r="O92" s="39">
        <f>資料儲存!H192</f>
        <v>0</v>
      </c>
      <c r="P92" s="39">
        <f>資料儲存!I192</f>
        <v>0</v>
      </c>
      <c r="Q92" s="39">
        <f>資料儲存!J192</f>
        <v>0</v>
      </c>
      <c r="R92" s="35"/>
      <c r="S92" s="38">
        <v>41</v>
      </c>
      <c r="T92" s="39">
        <f>資料儲存!D312</f>
        <v>0</v>
      </c>
      <c r="U92" s="39">
        <f>資料儲存!E312</f>
        <v>0</v>
      </c>
      <c r="V92" s="39">
        <f>資料儲存!F312</f>
        <v>0</v>
      </c>
      <c r="W92" s="39">
        <f>資料儲存!G312</f>
        <v>0</v>
      </c>
      <c r="X92" s="39">
        <f>資料儲存!H312</f>
        <v>0</v>
      </c>
      <c r="Y92" s="39">
        <f>資料儲存!I312</f>
        <v>0</v>
      </c>
      <c r="Z92" s="39">
        <f>資料儲存!J312</f>
        <v>0</v>
      </c>
      <c r="AA92" s="35"/>
      <c r="AB92" s="38">
        <v>41</v>
      </c>
      <c r="AC92" s="39">
        <f>資料儲存!D432</f>
        <v>0</v>
      </c>
      <c r="AD92" s="39">
        <f>資料儲存!E432</f>
        <v>0</v>
      </c>
      <c r="AE92" s="39">
        <f>資料儲存!F432</f>
        <v>0</v>
      </c>
      <c r="AF92" s="39">
        <f>資料儲存!G432</f>
        <v>0</v>
      </c>
      <c r="AG92" s="39">
        <f>資料儲存!H432</f>
        <v>0</v>
      </c>
      <c r="AH92" s="39">
        <f>資料儲存!I432</f>
        <v>0</v>
      </c>
      <c r="AI92" s="39">
        <f>資料儲存!J432</f>
        <v>0</v>
      </c>
      <c r="AJ92" s="13"/>
      <c r="AK92" s="38">
        <v>41</v>
      </c>
      <c r="AL92" s="39">
        <f>資料儲存!D552</f>
        <v>0</v>
      </c>
      <c r="AM92" s="39">
        <f>資料儲存!E552</f>
        <v>0</v>
      </c>
      <c r="AN92" s="39">
        <f>資料儲存!F552</f>
        <v>0</v>
      </c>
      <c r="AO92" s="39">
        <f>資料儲存!G552</f>
        <v>0</v>
      </c>
      <c r="AP92" s="39">
        <f>資料儲存!H552</f>
        <v>0</v>
      </c>
      <c r="AQ92" s="39">
        <f>資料儲存!I552</f>
        <v>0</v>
      </c>
      <c r="AR92" s="39">
        <f>資料儲存!J552</f>
        <v>0</v>
      </c>
      <c r="AT92" s="38">
        <v>41</v>
      </c>
      <c r="AU92" s="39">
        <f>資料儲存!D672</f>
        <v>0</v>
      </c>
      <c r="AV92" s="39">
        <f>資料儲存!E672</f>
        <v>0</v>
      </c>
      <c r="AW92" s="39">
        <f>資料儲存!F672</f>
        <v>0</v>
      </c>
      <c r="AX92" s="39">
        <f>資料儲存!G672</f>
        <v>0</v>
      </c>
      <c r="AY92" s="39">
        <f>資料儲存!H672</f>
        <v>0</v>
      </c>
      <c r="AZ92" s="39">
        <f>資料儲存!I672</f>
        <v>0</v>
      </c>
      <c r="BA92" s="39">
        <f>資料儲存!J672</f>
        <v>0</v>
      </c>
    </row>
    <row r="93" spans="1:53" ht="16" thickBot="1">
      <c r="A93" s="38">
        <v>42</v>
      </c>
      <c r="B93" s="39">
        <f>資料儲存!D73</f>
        <v>0</v>
      </c>
      <c r="C93" s="39">
        <f>資料儲存!E73</f>
        <v>0</v>
      </c>
      <c r="D93" s="39">
        <f>資料儲存!F73</f>
        <v>0</v>
      </c>
      <c r="E93" s="39">
        <f>資料儲存!G73</f>
        <v>0</v>
      </c>
      <c r="F93" s="39">
        <f>資料儲存!H73</f>
        <v>0</v>
      </c>
      <c r="G93" s="39">
        <f>資料儲存!I73</f>
        <v>0</v>
      </c>
      <c r="H93" s="39">
        <f>資料儲存!J73</f>
        <v>0</v>
      </c>
      <c r="I93" s="35"/>
      <c r="J93" s="38">
        <v>42</v>
      </c>
      <c r="K93" s="39">
        <f>資料儲存!D193</f>
        <v>0</v>
      </c>
      <c r="L93" s="39">
        <f>資料儲存!E193</f>
        <v>0</v>
      </c>
      <c r="M93" s="39">
        <f>資料儲存!F193</f>
        <v>0</v>
      </c>
      <c r="N93" s="39">
        <f>資料儲存!G193</f>
        <v>0</v>
      </c>
      <c r="O93" s="39">
        <f>資料儲存!H193</f>
        <v>0</v>
      </c>
      <c r="P93" s="39">
        <f>資料儲存!I193</f>
        <v>0</v>
      </c>
      <c r="Q93" s="39">
        <f>資料儲存!J193</f>
        <v>0</v>
      </c>
      <c r="R93" s="35"/>
      <c r="S93" s="38">
        <v>42</v>
      </c>
      <c r="T93" s="39">
        <f>資料儲存!D313</f>
        <v>0</v>
      </c>
      <c r="U93" s="39">
        <f>資料儲存!E313</f>
        <v>0</v>
      </c>
      <c r="V93" s="39">
        <f>資料儲存!F313</f>
        <v>0</v>
      </c>
      <c r="W93" s="39">
        <f>資料儲存!G313</f>
        <v>0</v>
      </c>
      <c r="X93" s="39">
        <f>資料儲存!H313</f>
        <v>0</v>
      </c>
      <c r="Y93" s="39">
        <f>資料儲存!I313</f>
        <v>0</v>
      </c>
      <c r="Z93" s="39">
        <f>資料儲存!J313</f>
        <v>0</v>
      </c>
      <c r="AA93" s="35"/>
      <c r="AB93" s="38">
        <v>42</v>
      </c>
      <c r="AC93" s="39">
        <f>資料儲存!D433</f>
        <v>0</v>
      </c>
      <c r="AD93" s="39">
        <f>資料儲存!E433</f>
        <v>0</v>
      </c>
      <c r="AE93" s="39">
        <f>資料儲存!F433</f>
        <v>0</v>
      </c>
      <c r="AF93" s="39">
        <f>資料儲存!G433</f>
        <v>0</v>
      </c>
      <c r="AG93" s="39">
        <f>資料儲存!H433</f>
        <v>0</v>
      </c>
      <c r="AH93" s="39">
        <f>資料儲存!I433</f>
        <v>0</v>
      </c>
      <c r="AI93" s="39">
        <f>資料儲存!J433</f>
        <v>0</v>
      </c>
      <c r="AJ93" s="13"/>
      <c r="AK93" s="38">
        <v>42</v>
      </c>
      <c r="AL93" s="39">
        <f>資料儲存!D553</f>
        <v>0</v>
      </c>
      <c r="AM93" s="39">
        <f>資料儲存!E553</f>
        <v>0</v>
      </c>
      <c r="AN93" s="39">
        <f>資料儲存!F553</f>
        <v>0</v>
      </c>
      <c r="AO93" s="39">
        <f>資料儲存!G553</f>
        <v>0</v>
      </c>
      <c r="AP93" s="39">
        <f>資料儲存!H553</f>
        <v>0</v>
      </c>
      <c r="AQ93" s="39">
        <f>資料儲存!I553</f>
        <v>0</v>
      </c>
      <c r="AR93" s="39">
        <f>資料儲存!J553</f>
        <v>0</v>
      </c>
      <c r="AT93" s="38">
        <v>42</v>
      </c>
      <c r="AU93" s="39">
        <f>資料儲存!D673</f>
        <v>0</v>
      </c>
      <c r="AV93" s="39">
        <f>資料儲存!E673</f>
        <v>0</v>
      </c>
      <c r="AW93" s="39">
        <f>資料儲存!F673</f>
        <v>0</v>
      </c>
      <c r="AX93" s="39">
        <f>資料儲存!G673</f>
        <v>0</v>
      </c>
      <c r="AY93" s="39">
        <f>資料儲存!H673</f>
        <v>0</v>
      </c>
      <c r="AZ93" s="39">
        <f>資料儲存!I673</f>
        <v>0</v>
      </c>
      <c r="BA93" s="39">
        <f>資料儲存!J673</f>
        <v>0</v>
      </c>
    </row>
    <row r="94" spans="1:53" ht="16" thickBot="1">
      <c r="A94" s="38">
        <v>43</v>
      </c>
      <c r="B94" s="39">
        <f>資料儲存!D74</f>
        <v>0</v>
      </c>
      <c r="C94" s="39">
        <f>資料儲存!E74</f>
        <v>0</v>
      </c>
      <c r="D94" s="39">
        <f>資料儲存!F74</f>
        <v>0</v>
      </c>
      <c r="E94" s="39">
        <f>資料儲存!G74</f>
        <v>0</v>
      </c>
      <c r="F94" s="39">
        <f>資料儲存!H74</f>
        <v>0</v>
      </c>
      <c r="G94" s="39">
        <f>資料儲存!I74</f>
        <v>0</v>
      </c>
      <c r="H94" s="39">
        <f>資料儲存!J74</f>
        <v>0</v>
      </c>
      <c r="I94" s="35"/>
      <c r="J94" s="38">
        <v>43</v>
      </c>
      <c r="K94" s="39">
        <f>資料儲存!D194</f>
        <v>0</v>
      </c>
      <c r="L94" s="39">
        <f>資料儲存!E194</f>
        <v>0</v>
      </c>
      <c r="M94" s="39">
        <f>資料儲存!F194</f>
        <v>0</v>
      </c>
      <c r="N94" s="39">
        <f>資料儲存!G194</f>
        <v>0</v>
      </c>
      <c r="O94" s="39">
        <f>資料儲存!H194</f>
        <v>0</v>
      </c>
      <c r="P94" s="39">
        <f>資料儲存!I194</f>
        <v>0</v>
      </c>
      <c r="Q94" s="39">
        <f>資料儲存!J194</f>
        <v>0</v>
      </c>
      <c r="R94" s="35"/>
      <c r="S94" s="38">
        <v>43</v>
      </c>
      <c r="T94" s="39">
        <f>資料儲存!D314</f>
        <v>0</v>
      </c>
      <c r="U94" s="39">
        <f>資料儲存!E314</f>
        <v>0</v>
      </c>
      <c r="V94" s="39">
        <f>資料儲存!F314</f>
        <v>0</v>
      </c>
      <c r="W94" s="39">
        <f>資料儲存!G314</f>
        <v>0</v>
      </c>
      <c r="X94" s="39">
        <f>資料儲存!H314</f>
        <v>0</v>
      </c>
      <c r="Y94" s="39">
        <f>資料儲存!I314</f>
        <v>0</v>
      </c>
      <c r="Z94" s="39">
        <f>資料儲存!J314</f>
        <v>0</v>
      </c>
      <c r="AA94" s="35"/>
      <c r="AB94" s="38">
        <v>43</v>
      </c>
      <c r="AC94" s="39">
        <f>資料儲存!D434</f>
        <v>0</v>
      </c>
      <c r="AD94" s="39">
        <f>資料儲存!E434</f>
        <v>0</v>
      </c>
      <c r="AE94" s="39">
        <f>資料儲存!F434</f>
        <v>0</v>
      </c>
      <c r="AF94" s="39">
        <f>資料儲存!G434</f>
        <v>0</v>
      </c>
      <c r="AG94" s="39">
        <f>資料儲存!H434</f>
        <v>0</v>
      </c>
      <c r="AH94" s="39">
        <f>資料儲存!I434</f>
        <v>0</v>
      </c>
      <c r="AI94" s="39">
        <f>資料儲存!J434</f>
        <v>0</v>
      </c>
      <c r="AJ94" s="13"/>
      <c r="AK94" s="38">
        <v>43</v>
      </c>
      <c r="AL94" s="39">
        <f>資料儲存!D554</f>
        <v>0</v>
      </c>
      <c r="AM94" s="39">
        <f>資料儲存!E554</f>
        <v>0</v>
      </c>
      <c r="AN94" s="39">
        <f>資料儲存!F554</f>
        <v>0</v>
      </c>
      <c r="AO94" s="39">
        <f>資料儲存!G554</f>
        <v>0</v>
      </c>
      <c r="AP94" s="39">
        <f>資料儲存!H554</f>
        <v>0</v>
      </c>
      <c r="AQ94" s="39">
        <f>資料儲存!I554</f>
        <v>0</v>
      </c>
      <c r="AR94" s="39">
        <f>資料儲存!J554</f>
        <v>0</v>
      </c>
      <c r="AT94" s="38">
        <v>43</v>
      </c>
      <c r="AU94" s="39">
        <f>資料儲存!D674</f>
        <v>0</v>
      </c>
      <c r="AV94" s="39">
        <f>資料儲存!E674</f>
        <v>0</v>
      </c>
      <c r="AW94" s="39">
        <f>資料儲存!F674</f>
        <v>0</v>
      </c>
      <c r="AX94" s="39">
        <f>資料儲存!G674</f>
        <v>0</v>
      </c>
      <c r="AY94" s="39">
        <f>資料儲存!H674</f>
        <v>0</v>
      </c>
      <c r="AZ94" s="39">
        <f>資料儲存!I674</f>
        <v>0</v>
      </c>
      <c r="BA94" s="39">
        <f>資料儲存!J674</f>
        <v>0</v>
      </c>
    </row>
    <row r="95" spans="1:53" ht="16" thickBot="1">
      <c r="A95" s="38">
        <v>44</v>
      </c>
      <c r="B95" s="39">
        <f>資料儲存!D75</f>
        <v>0</v>
      </c>
      <c r="C95" s="39">
        <f>資料儲存!E75</f>
        <v>0</v>
      </c>
      <c r="D95" s="39">
        <f>資料儲存!F75</f>
        <v>0</v>
      </c>
      <c r="E95" s="39">
        <f>資料儲存!G75</f>
        <v>0</v>
      </c>
      <c r="F95" s="39">
        <f>資料儲存!H75</f>
        <v>0</v>
      </c>
      <c r="G95" s="39">
        <f>資料儲存!I75</f>
        <v>0</v>
      </c>
      <c r="H95" s="39">
        <f>資料儲存!J75</f>
        <v>0</v>
      </c>
      <c r="I95" s="35"/>
      <c r="J95" s="38">
        <v>44</v>
      </c>
      <c r="K95" s="39">
        <f>資料儲存!D195</f>
        <v>0</v>
      </c>
      <c r="L95" s="39">
        <f>資料儲存!E195</f>
        <v>0</v>
      </c>
      <c r="M95" s="39">
        <f>資料儲存!F195</f>
        <v>0</v>
      </c>
      <c r="N95" s="39">
        <f>資料儲存!G195</f>
        <v>0</v>
      </c>
      <c r="O95" s="39">
        <f>資料儲存!H195</f>
        <v>0</v>
      </c>
      <c r="P95" s="39">
        <f>資料儲存!I195</f>
        <v>0</v>
      </c>
      <c r="Q95" s="39">
        <f>資料儲存!J195</f>
        <v>0</v>
      </c>
      <c r="R95" s="35"/>
      <c r="S95" s="38">
        <v>44</v>
      </c>
      <c r="T95" s="39">
        <f>資料儲存!D315</f>
        <v>0</v>
      </c>
      <c r="U95" s="39">
        <f>資料儲存!E315</f>
        <v>0</v>
      </c>
      <c r="V95" s="39">
        <f>資料儲存!F315</f>
        <v>0</v>
      </c>
      <c r="W95" s="39">
        <f>資料儲存!G315</f>
        <v>0</v>
      </c>
      <c r="X95" s="39">
        <f>資料儲存!H315</f>
        <v>0</v>
      </c>
      <c r="Y95" s="39">
        <f>資料儲存!I315</f>
        <v>0</v>
      </c>
      <c r="Z95" s="39">
        <f>資料儲存!J315</f>
        <v>0</v>
      </c>
      <c r="AA95" s="35"/>
      <c r="AB95" s="38">
        <v>44</v>
      </c>
      <c r="AC95" s="39">
        <f>資料儲存!D435</f>
        <v>0</v>
      </c>
      <c r="AD95" s="39">
        <f>資料儲存!E435</f>
        <v>0</v>
      </c>
      <c r="AE95" s="39">
        <f>資料儲存!F435</f>
        <v>0</v>
      </c>
      <c r="AF95" s="39">
        <f>資料儲存!G435</f>
        <v>0</v>
      </c>
      <c r="AG95" s="39">
        <f>資料儲存!H435</f>
        <v>0</v>
      </c>
      <c r="AH95" s="39">
        <f>資料儲存!I435</f>
        <v>0</v>
      </c>
      <c r="AI95" s="39">
        <f>資料儲存!J435</f>
        <v>0</v>
      </c>
      <c r="AJ95" s="13"/>
      <c r="AK95" s="38">
        <v>44</v>
      </c>
      <c r="AL95" s="39">
        <f>資料儲存!D555</f>
        <v>0</v>
      </c>
      <c r="AM95" s="39">
        <f>資料儲存!E555</f>
        <v>0</v>
      </c>
      <c r="AN95" s="39">
        <f>資料儲存!F555</f>
        <v>0</v>
      </c>
      <c r="AO95" s="39">
        <f>資料儲存!G555</f>
        <v>0</v>
      </c>
      <c r="AP95" s="39">
        <f>資料儲存!H555</f>
        <v>0</v>
      </c>
      <c r="AQ95" s="39">
        <f>資料儲存!I555</f>
        <v>0</v>
      </c>
      <c r="AR95" s="39">
        <f>資料儲存!J555</f>
        <v>0</v>
      </c>
      <c r="AT95" s="38">
        <v>44</v>
      </c>
      <c r="AU95" s="39">
        <f>資料儲存!D675</f>
        <v>0</v>
      </c>
      <c r="AV95" s="39">
        <f>資料儲存!E675</f>
        <v>0</v>
      </c>
      <c r="AW95" s="39">
        <f>資料儲存!F675</f>
        <v>0</v>
      </c>
      <c r="AX95" s="39">
        <f>資料儲存!G675</f>
        <v>0</v>
      </c>
      <c r="AY95" s="39">
        <f>資料儲存!H675</f>
        <v>0</v>
      </c>
      <c r="AZ95" s="39">
        <f>資料儲存!I675</f>
        <v>0</v>
      </c>
      <c r="BA95" s="39">
        <f>資料儲存!J675</f>
        <v>0</v>
      </c>
    </row>
    <row r="96" spans="1:53" ht="16" thickBot="1">
      <c r="A96" s="38">
        <v>45</v>
      </c>
      <c r="B96" s="39">
        <f>資料儲存!D76</f>
        <v>0</v>
      </c>
      <c r="C96" s="39">
        <f>資料儲存!E76</f>
        <v>0</v>
      </c>
      <c r="D96" s="39">
        <f>資料儲存!F76</f>
        <v>0</v>
      </c>
      <c r="E96" s="39">
        <f>資料儲存!G76</f>
        <v>0</v>
      </c>
      <c r="F96" s="39">
        <f>資料儲存!H76</f>
        <v>0</v>
      </c>
      <c r="G96" s="39">
        <f>資料儲存!I76</f>
        <v>0</v>
      </c>
      <c r="H96" s="39">
        <f>資料儲存!J76</f>
        <v>0</v>
      </c>
      <c r="I96" s="35"/>
      <c r="J96" s="38">
        <v>45</v>
      </c>
      <c r="K96" s="39">
        <f>資料儲存!D196</f>
        <v>0</v>
      </c>
      <c r="L96" s="39">
        <f>資料儲存!E196</f>
        <v>0</v>
      </c>
      <c r="M96" s="39">
        <f>資料儲存!F196</f>
        <v>0</v>
      </c>
      <c r="N96" s="39">
        <f>資料儲存!G196</f>
        <v>0</v>
      </c>
      <c r="O96" s="39">
        <f>資料儲存!H196</f>
        <v>0</v>
      </c>
      <c r="P96" s="39">
        <f>資料儲存!I196</f>
        <v>0</v>
      </c>
      <c r="Q96" s="39">
        <f>資料儲存!J196</f>
        <v>0</v>
      </c>
      <c r="R96" s="35"/>
      <c r="S96" s="38">
        <v>45</v>
      </c>
      <c r="T96" s="39">
        <f>資料儲存!D316</f>
        <v>0</v>
      </c>
      <c r="U96" s="39">
        <f>資料儲存!E316</f>
        <v>0</v>
      </c>
      <c r="V96" s="39">
        <f>資料儲存!F316</f>
        <v>0</v>
      </c>
      <c r="W96" s="39">
        <f>資料儲存!G316</f>
        <v>0</v>
      </c>
      <c r="X96" s="39">
        <f>資料儲存!H316</f>
        <v>0</v>
      </c>
      <c r="Y96" s="39">
        <f>資料儲存!I316</f>
        <v>0</v>
      </c>
      <c r="Z96" s="39">
        <f>資料儲存!J316</f>
        <v>0</v>
      </c>
      <c r="AA96" s="35"/>
      <c r="AB96" s="38">
        <v>45</v>
      </c>
      <c r="AC96" s="39">
        <f>資料儲存!D436</f>
        <v>0</v>
      </c>
      <c r="AD96" s="39">
        <f>資料儲存!E436</f>
        <v>0</v>
      </c>
      <c r="AE96" s="39">
        <f>資料儲存!F436</f>
        <v>0</v>
      </c>
      <c r="AF96" s="39">
        <f>資料儲存!G436</f>
        <v>0</v>
      </c>
      <c r="AG96" s="39">
        <f>資料儲存!H436</f>
        <v>0</v>
      </c>
      <c r="AH96" s="39">
        <f>資料儲存!I436</f>
        <v>0</v>
      </c>
      <c r="AI96" s="39">
        <f>資料儲存!J436</f>
        <v>0</v>
      </c>
      <c r="AJ96" s="13"/>
      <c r="AK96" s="38">
        <v>45</v>
      </c>
      <c r="AL96" s="39">
        <f>資料儲存!D556</f>
        <v>0</v>
      </c>
      <c r="AM96" s="39">
        <f>資料儲存!E556</f>
        <v>0</v>
      </c>
      <c r="AN96" s="39">
        <f>資料儲存!F556</f>
        <v>0</v>
      </c>
      <c r="AO96" s="39">
        <f>資料儲存!G556</f>
        <v>0</v>
      </c>
      <c r="AP96" s="39">
        <f>資料儲存!H556</f>
        <v>0</v>
      </c>
      <c r="AQ96" s="39">
        <f>資料儲存!I556</f>
        <v>0</v>
      </c>
      <c r="AR96" s="39">
        <f>資料儲存!J556</f>
        <v>0</v>
      </c>
      <c r="AT96" s="38">
        <v>45</v>
      </c>
      <c r="AU96" s="39">
        <f>資料儲存!D676</f>
        <v>0</v>
      </c>
      <c r="AV96" s="39">
        <f>資料儲存!E676</f>
        <v>0</v>
      </c>
      <c r="AW96" s="39">
        <f>資料儲存!F676</f>
        <v>0</v>
      </c>
      <c r="AX96" s="39">
        <f>資料儲存!G676</f>
        <v>0</v>
      </c>
      <c r="AY96" s="39">
        <f>資料儲存!H676</f>
        <v>0</v>
      </c>
      <c r="AZ96" s="39">
        <f>資料儲存!I676</f>
        <v>0</v>
      </c>
      <c r="BA96" s="39">
        <f>資料儲存!J676</f>
        <v>0</v>
      </c>
    </row>
    <row r="97" spans="1:53" ht="17.25" customHeight="1" thickBot="1">
      <c r="A97" s="40" t="s">
        <v>56</v>
      </c>
      <c r="B97" s="39">
        <f>SUM(B82:E96)</f>
        <v>0</v>
      </c>
      <c r="C97" s="37"/>
      <c r="D97" s="37"/>
      <c r="E97" s="37"/>
      <c r="F97" s="39">
        <f>F96</f>
        <v>0</v>
      </c>
      <c r="G97" s="39">
        <f>G96</f>
        <v>0</v>
      </c>
      <c r="H97" s="39">
        <f>H96</f>
        <v>0</v>
      </c>
      <c r="I97" s="35"/>
      <c r="J97" s="40" t="s">
        <v>56</v>
      </c>
      <c r="K97" s="39">
        <f>SUM(K82:N96)</f>
        <v>0</v>
      </c>
      <c r="L97" s="37"/>
      <c r="M97" s="37"/>
      <c r="N97" s="37"/>
      <c r="O97" s="39">
        <f>O96</f>
        <v>0</v>
      </c>
      <c r="P97" s="39">
        <f>P96</f>
        <v>0</v>
      </c>
      <c r="Q97" s="39">
        <f>Q96</f>
        <v>0</v>
      </c>
      <c r="R97" s="35"/>
      <c r="S97" s="40" t="s">
        <v>56</v>
      </c>
      <c r="T97" s="39">
        <f>SUM(T82:W96)</f>
        <v>0</v>
      </c>
      <c r="U97" s="37"/>
      <c r="V97" s="37"/>
      <c r="W97" s="37"/>
      <c r="X97" s="39">
        <f>X96</f>
        <v>0</v>
      </c>
      <c r="Y97" s="39">
        <f>Y96</f>
        <v>0</v>
      </c>
      <c r="Z97" s="39">
        <f>Z96</f>
        <v>0</v>
      </c>
      <c r="AA97" s="35"/>
      <c r="AB97" s="40" t="s">
        <v>56</v>
      </c>
      <c r="AC97" s="39">
        <f>SUM(AC82:AF96)</f>
        <v>0</v>
      </c>
      <c r="AD97" s="37"/>
      <c r="AE97" s="37"/>
      <c r="AF97" s="37"/>
      <c r="AG97" s="39">
        <f>AG96</f>
        <v>0</v>
      </c>
      <c r="AH97" s="39">
        <f>AH96</f>
        <v>0</v>
      </c>
      <c r="AI97" s="39">
        <f>AI96</f>
        <v>0</v>
      </c>
      <c r="AJ97" s="13"/>
      <c r="AK97" s="40" t="s">
        <v>56</v>
      </c>
      <c r="AL97" s="39">
        <f>SUM(AL82:AO96)</f>
        <v>0</v>
      </c>
      <c r="AM97" s="37"/>
      <c r="AN97" s="37"/>
      <c r="AO97" s="37"/>
      <c r="AP97" s="39">
        <f>AP96</f>
        <v>0</v>
      </c>
      <c r="AQ97" s="39">
        <f>AQ96</f>
        <v>0</v>
      </c>
      <c r="AR97" s="39">
        <f>AR96</f>
        <v>0</v>
      </c>
      <c r="AT97" s="40" t="s">
        <v>56</v>
      </c>
      <c r="AU97" s="39">
        <f>SUM(AU82:AX96)</f>
        <v>0</v>
      </c>
      <c r="AV97" s="37"/>
      <c r="AW97" s="37"/>
      <c r="AX97" s="37"/>
      <c r="AY97" s="39">
        <f>AY96</f>
        <v>0</v>
      </c>
      <c r="AZ97" s="39">
        <f>AZ96</f>
        <v>0</v>
      </c>
      <c r="BA97" s="39">
        <f>BA96</f>
        <v>0</v>
      </c>
    </row>
    <row r="98" spans="1:53" ht="18.5" thickBot="1">
      <c r="A98" s="248" t="s">
        <v>61</v>
      </c>
      <c r="B98" s="249"/>
      <c r="C98" s="249"/>
      <c r="D98" s="249"/>
      <c r="E98" s="249"/>
      <c r="F98" s="249"/>
      <c r="G98" s="249"/>
      <c r="H98" s="250"/>
      <c r="I98" s="13"/>
      <c r="J98" s="248" t="s">
        <v>61</v>
      </c>
      <c r="K98" s="249"/>
      <c r="L98" s="249"/>
      <c r="M98" s="249"/>
      <c r="N98" s="249"/>
      <c r="O98" s="249"/>
      <c r="P98" s="249"/>
      <c r="Q98" s="250"/>
      <c r="R98" s="13"/>
      <c r="S98" s="248" t="s">
        <v>61</v>
      </c>
      <c r="T98" s="249"/>
      <c r="U98" s="249"/>
      <c r="V98" s="249"/>
      <c r="W98" s="249"/>
      <c r="X98" s="249"/>
      <c r="Y98" s="249"/>
      <c r="Z98" s="250"/>
      <c r="AA98" s="13"/>
      <c r="AB98" s="248" t="s">
        <v>61</v>
      </c>
      <c r="AC98" s="249"/>
      <c r="AD98" s="249"/>
      <c r="AE98" s="249"/>
      <c r="AF98" s="249"/>
      <c r="AG98" s="249"/>
      <c r="AH98" s="249"/>
      <c r="AI98" s="250"/>
      <c r="AJ98" s="13"/>
      <c r="AK98" s="248" t="s">
        <v>61</v>
      </c>
      <c r="AL98" s="249"/>
      <c r="AM98" s="249"/>
      <c r="AN98" s="249"/>
      <c r="AO98" s="249"/>
      <c r="AP98" s="249"/>
      <c r="AQ98" s="249"/>
      <c r="AR98" s="250"/>
      <c r="AT98" s="248" t="s">
        <v>61</v>
      </c>
      <c r="AU98" s="249"/>
      <c r="AV98" s="249"/>
      <c r="AW98" s="249"/>
      <c r="AX98" s="249"/>
      <c r="AY98" s="249"/>
      <c r="AZ98" s="249"/>
      <c r="BA98" s="250"/>
    </row>
    <row r="99" spans="1:53" ht="17.25" customHeight="1" thickBot="1">
      <c r="A99" s="41" t="s">
        <v>2</v>
      </c>
      <c r="B99" s="42" t="s">
        <v>46</v>
      </c>
      <c r="C99" s="43"/>
      <c r="D99" s="43"/>
      <c r="E99" s="44"/>
      <c r="F99" s="42" t="s">
        <v>47</v>
      </c>
      <c r="G99" s="43"/>
      <c r="H99" s="44"/>
      <c r="I99" s="45"/>
      <c r="J99" s="41" t="s">
        <v>2</v>
      </c>
      <c r="K99" s="42" t="s">
        <v>46</v>
      </c>
      <c r="L99" s="43"/>
      <c r="M99" s="43"/>
      <c r="N99" s="44"/>
      <c r="O99" s="42" t="s">
        <v>47</v>
      </c>
      <c r="P99" s="43"/>
      <c r="Q99" s="44"/>
      <c r="R99" s="45"/>
      <c r="S99" s="41" t="s">
        <v>2</v>
      </c>
      <c r="T99" s="42" t="s">
        <v>46</v>
      </c>
      <c r="U99" s="43"/>
      <c r="V99" s="43"/>
      <c r="W99" s="44"/>
      <c r="X99" s="42" t="s">
        <v>47</v>
      </c>
      <c r="Y99" s="43"/>
      <c r="Z99" s="44"/>
      <c r="AA99" s="45"/>
      <c r="AB99" s="41" t="s">
        <v>2</v>
      </c>
      <c r="AC99" s="42" t="s">
        <v>46</v>
      </c>
      <c r="AD99" s="43"/>
      <c r="AE99" s="43"/>
      <c r="AF99" s="44"/>
      <c r="AG99" s="42" t="s">
        <v>47</v>
      </c>
      <c r="AH99" s="43"/>
      <c r="AI99" s="44"/>
      <c r="AJ99" s="13"/>
      <c r="AK99" s="41" t="s">
        <v>2</v>
      </c>
      <c r="AL99" s="42" t="s">
        <v>46</v>
      </c>
      <c r="AM99" s="43"/>
      <c r="AN99" s="43"/>
      <c r="AO99" s="44"/>
      <c r="AP99" s="42" t="s">
        <v>47</v>
      </c>
      <c r="AQ99" s="43"/>
      <c r="AR99" s="44"/>
      <c r="AT99" s="41" t="s">
        <v>2</v>
      </c>
      <c r="AU99" s="42" t="s">
        <v>46</v>
      </c>
      <c r="AV99" s="43"/>
      <c r="AW99" s="43"/>
      <c r="AX99" s="44"/>
      <c r="AY99" s="42" t="s">
        <v>47</v>
      </c>
      <c r="AZ99" s="43"/>
      <c r="BA99" s="44"/>
    </row>
    <row r="100" spans="1:53" ht="16" thickBot="1">
      <c r="A100" s="46" t="s">
        <v>62</v>
      </c>
      <c r="B100" s="47" t="s">
        <v>49</v>
      </c>
      <c r="C100" s="47" t="s">
        <v>50</v>
      </c>
      <c r="D100" s="47" t="s">
        <v>51</v>
      </c>
      <c r="E100" s="47" t="s">
        <v>52</v>
      </c>
      <c r="F100" s="47" t="s">
        <v>53</v>
      </c>
      <c r="G100" s="47" t="s">
        <v>54</v>
      </c>
      <c r="H100" s="47" t="s">
        <v>55</v>
      </c>
      <c r="I100" s="45"/>
      <c r="J100" s="46" t="s">
        <v>62</v>
      </c>
      <c r="K100" s="47" t="s">
        <v>49</v>
      </c>
      <c r="L100" s="47" t="s">
        <v>50</v>
      </c>
      <c r="M100" s="47" t="s">
        <v>51</v>
      </c>
      <c r="N100" s="47" t="s">
        <v>52</v>
      </c>
      <c r="O100" s="47" t="s">
        <v>53</v>
      </c>
      <c r="P100" s="47" t="s">
        <v>54</v>
      </c>
      <c r="Q100" s="47" t="s">
        <v>55</v>
      </c>
      <c r="R100" s="45"/>
      <c r="S100" s="46" t="s">
        <v>62</v>
      </c>
      <c r="T100" s="47" t="s">
        <v>49</v>
      </c>
      <c r="U100" s="47" t="s">
        <v>50</v>
      </c>
      <c r="V100" s="47" t="s">
        <v>51</v>
      </c>
      <c r="W100" s="47" t="s">
        <v>52</v>
      </c>
      <c r="X100" s="47" t="s">
        <v>53</v>
      </c>
      <c r="Y100" s="47" t="s">
        <v>54</v>
      </c>
      <c r="Z100" s="47" t="s">
        <v>55</v>
      </c>
      <c r="AA100" s="45"/>
      <c r="AB100" s="46" t="s">
        <v>62</v>
      </c>
      <c r="AC100" s="47" t="s">
        <v>49</v>
      </c>
      <c r="AD100" s="47" t="s">
        <v>50</v>
      </c>
      <c r="AE100" s="47" t="s">
        <v>51</v>
      </c>
      <c r="AF100" s="47" t="s">
        <v>52</v>
      </c>
      <c r="AG100" s="47" t="s">
        <v>53</v>
      </c>
      <c r="AH100" s="47" t="s">
        <v>54</v>
      </c>
      <c r="AI100" s="47" t="s">
        <v>55</v>
      </c>
      <c r="AJ100" s="13"/>
      <c r="AK100" s="46" t="s">
        <v>62</v>
      </c>
      <c r="AL100" s="47" t="s">
        <v>49</v>
      </c>
      <c r="AM100" s="47" t="s">
        <v>50</v>
      </c>
      <c r="AN100" s="47" t="s">
        <v>51</v>
      </c>
      <c r="AO100" s="47" t="s">
        <v>52</v>
      </c>
      <c r="AP100" s="47" t="s">
        <v>53</v>
      </c>
      <c r="AQ100" s="47" t="s">
        <v>54</v>
      </c>
      <c r="AR100" s="47" t="s">
        <v>55</v>
      </c>
      <c r="AT100" s="46" t="s">
        <v>62</v>
      </c>
      <c r="AU100" s="47" t="s">
        <v>49</v>
      </c>
      <c r="AV100" s="47" t="s">
        <v>50</v>
      </c>
      <c r="AW100" s="47" t="s">
        <v>51</v>
      </c>
      <c r="AX100" s="47" t="s">
        <v>52</v>
      </c>
      <c r="AY100" s="47" t="s">
        <v>53</v>
      </c>
      <c r="AZ100" s="47" t="s">
        <v>54</v>
      </c>
      <c r="BA100" s="47" t="s">
        <v>55</v>
      </c>
    </row>
    <row r="101" spans="1:53" ht="16" thickBot="1">
      <c r="A101" s="48">
        <v>46</v>
      </c>
      <c r="B101" s="49">
        <f>資料儲存!D77</f>
        <v>0</v>
      </c>
      <c r="C101" s="49">
        <f>資料儲存!E77</f>
        <v>0</v>
      </c>
      <c r="D101" s="49">
        <f>資料儲存!F77</f>
        <v>0</v>
      </c>
      <c r="E101" s="49">
        <f>資料儲存!G77</f>
        <v>0</v>
      </c>
      <c r="F101" s="49">
        <f>資料儲存!H77</f>
        <v>0</v>
      </c>
      <c r="G101" s="49">
        <f>資料儲存!I77</f>
        <v>0</v>
      </c>
      <c r="H101" s="49">
        <f>資料儲存!J77</f>
        <v>0</v>
      </c>
      <c r="I101" s="49"/>
      <c r="J101" s="48">
        <v>46</v>
      </c>
      <c r="K101" s="49">
        <f>資料儲存!D197</f>
        <v>0</v>
      </c>
      <c r="L101" s="49">
        <f>資料儲存!E197</f>
        <v>0</v>
      </c>
      <c r="M101" s="49">
        <f>資料儲存!F197</f>
        <v>0</v>
      </c>
      <c r="N101" s="49">
        <f>資料儲存!G197</f>
        <v>0</v>
      </c>
      <c r="O101" s="49">
        <f>資料儲存!H197</f>
        <v>0</v>
      </c>
      <c r="P101" s="49">
        <f>資料儲存!I197</f>
        <v>0</v>
      </c>
      <c r="Q101" s="49">
        <f>資料儲存!J197</f>
        <v>0</v>
      </c>
      <c r="R101" s="45"/>
      <c r="S101" s="48">
        <v>46</v>
      </c>
      <c r="T101" s="49">
        <f>資料儲存!D317</f>
        <v>0</v>
      </c>
      <c r="U101" s="49">
        <f>資料儲存!E317</f>
        <v>0</v>
      </c>
      <c r="V101" s="49">
        <f>資料儲存!F317</f>
        <v>0</v>
      </c>
      <c r="W101" s="49">
        <f>資料儲存!G317</f>
        <v>0</v>
      </c>
      <c r="X101" s="49">
        <f>資料儲存!H317</f>
        <v>0</v>
      </c>
      <c r="Y101" s="49">
        <f>資料儲存!I317</f>
        <v>0</v>
      </c>
      <c r="Z101" s="49">
        <f>資料儲存!J317</f>
        <v>0</v>
      </c>
      <c r="AA101" s="45"/>
      <c r="AB101" s="48">
        <v>46</v>
      </c>
      <c r="AC101" s="49">
        <f>資料儲存!D437</f>
        <v>0</v>
      </c>
      <c r="AD101" s="49">
        <f>資料儲存!E437</f>
        <v>0</v>
      </c>
      <c r="AE101" s="49">
        <f>資料儲存!F437</f>
        <v>0</v>
      </c>
      <c r="AF101" s="49">
        <f>資料儲存!G437</f>
        <v>0</v>
      </c>
      <c r="AG101" s="49">
        <f>資料儲存!H437</f>
        <v>0</v>
      </c>
      <c r="AH101" s="49">
        <f>資料儲存!I437</f>
        <v>0</v>
      </c>
      <c r="AI101" s="49">
        <f>資料儲存!J437</f>
        <v>0</v>
      </c>
      <c r="AJ101" s="13"/>
      <c r="AK101" s="48">
        <v>46</v>
      </c>
      <c r="AL101" s="49">
        <f>資料儲存!D557</f>
        <v>0</v>
      </c>
      <c r="AM101" s="49">
        <f>資料儲存!E557</f>
        <v>0</v>
      </c>
      <c r="AN101" s="49">
        <f>資料儲存!F557</f>
        <v>0</v>
      </c>
      <c r="AO101" s="49">
        <f>資料儲存!G557</f>
        <v>0</v>
      </c>
      <c r="AP101" s="49">
        <f>資料儲存!H557</f>
        <v>0</v>
      </c>
      <c r="AQ101" s="49">
        <f>資料儲存!I557</f>
        <v>0</v>
      </c>
      <c r="AR101" s="49">
        <f>資料儲存!J557</f>
        <v>0</v>
      </c>
      <c r="AT101" s="48">
        <v>46</v>
      </c>
      <c r="AU101" s="49">
        <f>資料儲存!D677</f>
        <v>0</v>
      </c>
      <c r="AV101" s="49">
        <f>資料儲存!E677</f>
        <v>0</v>
      </c>
      <c r="AW101" s="49">
        <f>資料儲存!F677</f>
        <v>0</v>
      </c>
      <c r="AX101" s="49">
        <f>資料儲存!G677</f>
        <v>0</v>
      </c>
      <c r="AY101" s="49">
        <f>資料儲存!H677</f>
        <v>0</v>
      </c>
      <c r="AZ101" s="49">
        <f>資料儲存!I677</f>
        <v>0</v>
      </c>
      <c r="BA101" s="49">
        <f>資料儲存!J677</f>
        <v>0</v>
      </c>
    </row>
    <row r="102" spans="1:53" ht="16" thickBot="1">
      <c r="A102" s="48">
        <v>47</v>
      </c>
      <c r="B102" s="49">
        <f>資料儲存!D78</f>
        <v>0</v>
      </c>
      <c r="C102" s="49">
        <f>資料儲存!E78</f>
        <v>0</v>
      </c>
      <c r="D102" s="49">
        <f>資料儲存!F78</f>
        <v>0</v>
      </c>
      <c r="E102" s="49">
        <f>資料儲存!G78</f>
        <v>0</v>
      </c>
      <c r="F102" s="49">
        <f>資料儲存!H78</f>
        <v>0</v>
      </c>
      <c r="G102" s="49">
        <f>資料儲存!I78</f>
        <v>0</v>
      </c>
      <c r="H102" s="49">
        <f>資料儲存!J78</f>
        <v>0</v>
      </c>
      <c r="I102" s="45"/>
      <c r="J102" s="48">
        <v>47</v>
      </c>
      <c r="K102" s="49">
        <f>資料儲存!D198</f>
        <v>0</v>
      </c>
      <c r="L102" s="49">
        <f>資料儲存!E198</f>
        <v>0</v>
      </c>
      <c r="M102" s="49">
        <f>資料儲存!F198</f>
        <v>0</v>
      </c>
      <c r="N102" s="49">
        <f>資料儲存!G198</f>
        <v>0</v>
      </c>
      <c r="O102" s="49">
        <f>資料儲存!H198</f>
        <v>0</v>
      </c>
      <c r="P102" s="49">
        <f>資料儲存!I198</f>
        <v>0</v>
      </c>
      <c r="Q102" s="49">
        <f>資料儲存!J198</f>
        <v>0</v>
      </c>
      <c r="R102" s="45"/>
      <c r="S102" s="48">
        <v>47</v>
      </c>
      <c r="T102" s="49">
        <f>資料儲存!D318</f>
        <v>0</v>
      </c>
      <c r="U102" s="49">
        <f>資料儲存!E318</f>
        <v>0</v>
      </c>
      <c r="V102" s="49">
        <f>資料儲存!F318</f>
        <v>0</v>
      </c>
      <c r="W102" s="49">
        <f>資料儲存!G318</f>
        <v>0</v>
      </c>
      <c r="X102" s="49">
        <f>資料儲存!H318</f>
        <v>0</v>
      </c>
      <c r="Y102" s="49">
        <f>資料儲存!I318</f>
        <v>0</v>
      </c>
      <c r="Z102" s="49">
        <f>資料儲存!J318</f>
        <v>0</v>
      </c>
      <c r="AA102" s="45"/>
      <c r="AB102" s="48">
        <v>47</v>
      </c>
      <c r="AC102" s="49">
        <f>資料儲存!D438</f>
        <v>0</v>
      </c>
      <c r="AD102" s="49">
        <f>資料儲存!E438</f>
        <v>0</v>
      </c>
      <c r="AE102" s="49">
        <f>資料儲存!F438</f>
        <v>0</v>
      </c>
      <c r="AF102" s="49">
        <f>資料儲存!G438</f>
        <v>0</v>
      </c>
      <c r="AG102" s="49">
        <f>資料儲存!H438</f>
        <v>0</v>
      </c>
      <c r="AH102" s="49">
        <f>資料儲存!I438</f>
        <v>0</v>
      </c>
      <c r="AI102" s="49">
        <f>資料儲存!J438</f>
        <v>0</v>
      </c>
      <c r="AJ102" s="13"/>
      <c r="AK102" s="48">
        <v>47</v>
      </c>
      <c r="AL102" s="49">
        <f>資料儲存!D558</f>
        <v>0</v>
      </c>
      <c r="AM102" s="49">
        <f>資料儲存!E558</f>
        <v>0</v>
      </c>
      <c r="AN102" s="49">
        <f>資料儲存!F558</f>
        <v>0</v>
      </c>
      <c r="AO102" s="49">
        <f>資料儲存!G558</f>
        <v>0</v>
      </c>
      <c r="AP102" s="49">
        <f>資料儲存!H558</f>
        <v>0</v>
      </c>
      <c r="AQ102" s="49">
        <f>資料儲存!I558</f>
        <v>0</v>
      </c>
      <c r="AR102" s="49">
        <f>資料儲存!J558</f>
        <v>0</v>
      </c>
      <c r="AT102" s="48">
        <v>47</v>
      </c>
      <c r="AU102" s="49">
        <f>資料儲存!D678</f>
        <v>0</v>
      </c>
      <c r="AV102" s="49">
        <f>資料儲存!E678</f>
        <v>0</v>
      </c>
      <c r="AW102" s="49">
        <f>資料儲存!F678</f>
        <v>0</v>
      </c>
      <c r="AX102" s="49">
        <f>資料儲存!G678</f>
        <v>0</v>
      </c>
      <c r="AY102" s="49">
        <f>資料儲存!H678</f>
        <v>0</v>
      </c>
      <c r="AZ102" s="49">
        <f>資料儲存!I678</f>
        <v>0</v>
      </c>
      <c r="BA102" s="49">
        <f>資料儲存!J678</f>
        <v>0</v>
      </c>
    </row>
    <row r="103" spans="1:53" ht="16" thickBot="1">
      <c r="A103" s="48">
        <v>48</v>
      </c>
      <c r="B103" s="49">
        <f>資料儲存!D79</f>
        <v>0</v>
      </c>
      <c r="C103" s="49">
        <f>資料儲存!E79</f>
        <v>0</v>
      </c>
      <c r="D103" s="49">
        <f>資料儲存!F79</f>
        <v>0</v>
      </c>
      <c r="E103" s="49">
        <f>資料儲存!G79</f>
        <v>0</v>
      </c>
      <c r="F103" s="49">
        <f>資料儲存!H79</f>
        <v>0</v>
      </c>
      <c r="G103" s="49">
        <f>資料儲存!I79</f>
        <v>0</v>
      </c>
      <c r="H103" s="49">
        <f>資料儲存!J79</f>
        <v>0</v>
      </c>
      <c r="I103" s="45"/>
      <c r="J103" s="48">
        <v>48</v>
      </c>
      <c r="K103" s="49">
        <f>資料儲存!D199</f>
        <v>0</v>
      </c>
      <c r="L103" s="49">
        <f>資料儲存!E199</f>
        <v>0</v>
      </c>
      <c r="M103" s="49">
        <f>資料儲存!F199</f>
        <v>0</v>
      </c>
      <c r="N103" s="49">
        <f>資料儲存!G199</f>
        <v>0</v>
      </c>
      <c r="O103" s="49">
        <f>資料儲存!H199</f>
        <v>0</v>
      </c>
      <c r="P103" s="49">
        <f>資料儲存!I199</f>
        <v>0</v>
      </c>
      <c r="Q103" s="49">
        <f>資料儲存!J199</f>
        <v>0</v>
      </c>
      <c r="R103" s="45"/>
      <c r="S103" s="48">
        <v>48</v>
      </c>
      <c r="T103" s="49">
        <f>資料儲存!D319</f>
        <v>0</v>
      </c>
      <c r="U103" s="49">
        <f>資料儲存!E319</f>
        <v>0</v>
      </c>
      <c r="V103" s="49">
        <f>資料儲存!F319</f>
        <v>0</v>
      </c>
      <c r="W103" s="49">
        <f>資料儲存!G319</f>
        <v>0</v>
      </c>
      <c r="X103" s="49">
        <f>資料儲存!H319</f>
        <v>0</v>
      </c>
      <c r="Y103" s="49">
        <f>資料儲存!I319</f>
        <v>0</v>
      </c>
      <c r="Z103" s="49">
        <f>資料儲存!J319</f>
        <v>0</v>
      </c>
      <c r="AA103" s="45"/>
      <c r="AB103" s="48">
        <v>48</v>
      </c>
      <c r="AC103" s="49">
        <f>資料儲存!D439</f>
        <v>0</v>
      </c>
      <c r="AD103" s="49">
        <f>資料儲存!E439</f>
        <v>0</v>
      </c>
      <c r="AE103" s="49">
        <f>資料儲存!F439</f>
        <v>0</v>
      </c>
      <c r="AF103" s="49">
        <f>資料儲存!G439</f>
        <v>0</v>
      </c>
      <c r="AG103" s="49">
        <f>資料儲存!H439</f>
        <v>0</v>
      </c>
      <c r="AH103" s="49">
        <f>資料儲存!I439</f>
        <v>0</v>
      </c>
      <c r="AI103" s="49">
        <f>資料儲存!J439</f>
        <v>0</v>
      </c>
      <c r="AJ103" s="13"/>
      <c r="AK103" s="48">
        <v>48</v>
      </c>
      <c r="AL103" s="49">
        <f>資料儲存!D559</f>
        <v>0</v>
      </c>
      <c r="AM103" s="49">
        <f>資料儲存!E559</f>
        <v>0</v>
      </c>
      <c r="AN103" s="49">
        <f>資料儲存!F559</f>
        <v>0</v>
      </c>
      <c r="AO103" s="49">
        <f>資料儲存!G559</f>
        <v>0</v>
      </c>
      <c r="AP103" s="49">
        <f>資料儲存!H559</f>
        <v>0</v>
      </c>
      <c r="AQ103" s="49">
        <f>資料儲存!I559</f>
        <v>0</v>
      </c>
      <c r="AR103" s="49">
        <f>資料儲存!J559</f>
        <v>0</v>
      </c>
      <c r="AT103" s="48">
        <v>48</v>
      </c>
      <c r="AU103" s="49">
        <f>資料儲存!D679</f>
        <v>0</v>
      </c>
      <c r="AV103" s="49">
        <f>資料儲存!E679</f>
        <v>0</v>
      </c>
      <c r="AW103" s="49">
        <f>資料儲存!F679</f>
        <v>0</v>
      </c>
      <c r="AX103" s="49">
        <f>資料儲存!G679</f>
        <v>0</v>
      </c>
      <c r="AY103" s="49">
        <f>資料儲存!H679</f>
        <v>0</v>
      </c>
      <c r="AZ103" s="49">
        <f>資料儲存!I679</f>
        <v>0</v>
      </c>
      <c r="BA103" s="49">
        <f>資料儲存!J679</f>
        <v>0</v>
      </c>
    </row>
    <row r="104" spans="1:53" ht="16" thickBot="1">
      <c r="A104" s="48">
        <v>49</v>
      </c>
      <c r="B104" s="49">
        <f>資料儲存!D80</f>
        <v>0</v>
      </c>
      <c r="C104" s="49">
        <f>資料儲存!E80</f>
        <v>0</v>
      </c>
      <c r="D104" s="49">
        <f>資料儲存!F80</f>
        <v>0</v>
      </c>
      <c r="E104" s="49">
        <f>資料儲存!G80</f>
        <v>0</v>
      </c>
      <c r="F104" s="49">
        <f>資料儲存!H80</f>
        <v>0</v>
      </c>
      <c r="G104" s="49">
        <f>資料儲存!I80</f>
        <v>0</v>
      </c>
      <c r="H104" s="49">
        <f>資料儲存!J80</f>
        <v>0</v>
      </c>
      <c r="I104" s="45"/>
      <c r="J104" s="48">
        <v>49</v>
      </c>
      <c r="K104" s="49">
        <f>資料儲存!D200</f>
        <v>0</v>
      </c>
      <c r="L104" s="49">
        <f>資料儲存!E200</f>
        <v>0</v>
      </c>
      <c r="M104" s="49">
        <f>資料儲存!F200</f>
        <v>0</v>
      </c>
      <c r="N104" s="49">
        <f>資料儲存!G200</f>
        <v>0</v>
      </c>
      <c r="O104" s="49">
        <f>資料儲存!H200</f>
        <v>0</v>
      </c>
      <c r="P104" s="49">
        <f>資料儲存!I200</f>
        <v>0</v>
      </c>
      <c r="Q104" s="49">
        <f>資料儲存!J200</f>
        <v>0</v>
      </c>
      <c r="R104" s="45"/>
      <c r="S104" s="48">
        <v>49</v>
      </c>
      <c r="T104" s="49">
        <f>資料儲存!D320</f>
        <v>0</v>
      </c>
      <c r="U104" s="49">
        <f>資料儲存!E320</f>
        <v>0</v>
      </c>
      <c r="V104" s="49">
        <f>資料儲存!F320</f>
        <v>0</v>
      </c>
      <c r="W104" s="49">
        <f>資料儲存!G320</f>
        <v>0</v>
      </c>
      <c r="X104" s="49">
        <f>資料儲存!H320</f>
        <v>0</v>
      </c>
      <c r="Y104" s="49">
        <f>資料儲存!I320</f>
        <v>0</v>
      </c>
      <c r="Z104" s="49">
        <f>資料儲存!J320</f>
        <v>0</v>
      </c>
      <c r="AA104" s="45"/>
      <c r="AB104" s="48">
        <v>49</v>
      </c>
      <c r="AC104" s="49">
        <f>資料儲存!D440</f>
        <v>0</v>
      </c>
      <c r="AD104" s="49">
        <f>資料儲存!E440</f>
        <v>0</v>
      </c>
      <c r="AE104" s="49">
        <f>資料儲存!F440</f>
        <v>0</v>
      </c>
      <c r="AF104" s="49">
        <f>資料儲存!G440</f>
        <v>0</v>
      </c>
      <c r="AG104" s="49">
        <f>資料儲存!H440</f>
        <v>0</v>
      </c>
      <c r="AH104" s="49">
        <f>資料儲存!I440</f>
        <v>0</v>
      </c>
      <c r="AI104" s="49">
        <f>資料儲存!J440</f>
        <v>0</v>
      </c>
      <c r="AJ104" s="13"/>
      <c r="AK104" s="48">
        <v>49</v>
      </c>
      <c r="AL104" s="49">
        <f>資料儲存!D560</f>
        <v>0</v>
      </c>
      <c r="AM104" s="49">
        <f>資料儲存!E560</f>
        <v>0</v>
      </c>
      <c r="AN104" s="49">
        <f>資料儲存!F560</f>
        <v>0</v>
      </c>
      <c r="AO104" s="49">
        <f>資料儲存!G560</f>
        <v>0</v>
      </c>
      <c r="AP104" s="49">
        <f>資料儲存!H560</f>
        <v>0</v>
      </c>
      <c r="AQ104" s="49">
        <f>資料儲存!I560</f>
        <v>0</v>
      </c>
      <c r="AR104" s="49">
        <f>資料儲存!J560</f>
        <v>0</v>
      </c>
      <c r="AT104" s="48">
        <v>49</v>
      </c>
      <c r="AU104" s="49">
        <f>資料儲存!D680</f>
        <v>0</v>
      </c>
      <c r="AV104" s="49">
        <f>資料儲存!E680</f>
        <v>0</v>
      </c>
      <c r="AW104" s="49">
        <f>資料儲存!F680</f>
        <v>0</v>
      </c>
      <c r="AX104" s="49">
        <f>資料儲存!G680</f>
        <v>0</v>
      </c>
      <c r="AY104" s="49">
        <f>資料儲存!H680</f>
        <v>0</v>
      </c>
      <c r="AZ104" s="49">
        <f>資料儲存!I680</f>
        <v>0</v>
      </c>
      <c r="BA104" s="49">
        <f>資料儲存!J680</f>
        <v>0</v>
      </c>
    </row>
    <row r="105" spans="1:53" ht="16" thickBot="1">
      <c r="A105" s="48">
        <v>50</v>
      </c>
      <c r="B105" s="49">
        <f>資料儲存!D81</f>
        <v>0</v>
      </c>
      <c r="C105" s="49">
        <f>資料儲存!E81</f>
        <v>0</v>
      </c>
      <c r="D105" s="49">
        <f>資料儲存!F81</f>
        <v>0</v>
      </c>
      <c r="E105" s="49">
        <f>資料儲存!G81</f>
        <v>0</v>
      </c>
      <c r="F105" s="49">
        <f>資料儲存!H81</f>
        <v>0</v>
      </c>
      <c r="G105" s="49">
        <f>資料儲存!I81</f>
        <v>0</v>
      </c>
      <c r="H105" s="49">
        <f>資料儲存!J81</f>
        <v>0</v>
      </c>
      <c r="I105" s="45"/>
      <c r="J105" s="48">
        <v>50</v>
      </c>
      <c r="K105" s="49">
        <f>資料儲存!D201</f>
        <v>0</v>
      </c>
      <c r="L105" s="49">
        <f>資料儲存!E201</f>
        <v>0</v>
      </c>
      <c r="M105" s="49">
        <f>資料儲存!F201</f>
        <v>0</v>
      </c>
      <c r="N105" s="49">
        <f>資料儲存!G201</f>
        <v>0</v>
      </c>
      <c r="O105" s="49">
        <f>資料儲存!H201</f>
        <v>0</v>
      </c>
      <c r="P105" s="49">
        <f>資料儲存!I201</f>
        <v>0</v>
      </c>
      <c r="Q105" s="49">
        <f>資料儲存!J201</f>
        <v>0</v>
      </c>
      <c r="R105" s="45"/>
      <c r="S105" s="48">
        <v>50</v>
      </c>
      <c r="T105" s="49">
        <f>資料儲存!D321</f>
        <v>0</v>
      </c>
      <c r="U105" s="49">
        <f>資料儲存!E321</f>
        <v>0</v>
      </c>
      <c r="V105" s="49">
        <f>資料儲存!F321</f>
        <v>0</v>
      </c>
      <c r="W105" s="49">
        <f>資料儲存!G321</f>
        <v>0</v>
      </c>
      <c r="X105" s="49">
        <f>資料儲存!H321</f>
        <v>0</v>
      </c>
      <c r="Y105" s="49">
        <f>資料儲存!I321</f>
        <v>0</v>
      </c>
      <c r="Z105" s="49">
        <f>資料儲存!J321</f>
        <v>0</v>
      </c>
      <c r="AA105" s="45"/>
      <c r="AB105" s="48">
        <v>50</v>
      </c>
      <c r="AC105" s="49">
        <f>資料儲存!D441</f>
        <v>0</v>
      </c>
      <c r="AD105" s="49">
        <f>資料儲存!E441</f>
        <v>0</v>
      </c>
      <c r="AE105" s="49">
        <f>資料儲存!F441</f>
        <v>0</v>
      </c>
      <c r="AF105" s="49">
        <f>資料儲存!G441</f>
        <v>0</v>
      </c>
      <c r="AG105" s="49">
        <f>資料儲存!H441</f>
        <v>0</v>
      </c>
      <c r="AH105" s="49">
        <f>資料儲存!I441</f>
        <v>0</v>
      </c>
      <c r="AI105" s="49">
        <f>資料儲存!J441</f>
        <v>0</v>
      </c>
      <c r="AJ105" s="13"/>
      <c r="AK105" s="48">
        <v>50</v>
      </c>
      <c r="AL105" s="49">
        <f>資料儲存!D561</f>
        <v>0</v>
      </c>
      <c r="AM105" s="49">
        <f>資料儲存!E561</f>
        <v>0</v>
      </c>
      <c r="AN105" s="49">
        <f>資料儲存!F561</f>
        <v>0</v>
      </c>
      <c r="AO105" s="49">
        <f>資料儲存!G561</f>
        <v>0</v>
      </c>
      <c r="AP105" s="49">
        <f>資料儲存!H561</f>
        <v>0</v>
      </c>
      <c r="AQ105" s="49">
        <f>資料儲存!I561</f>
        <v>0</v>
      </c>
      <c r="AR105" s="49">
        <f>資料儲存!J561</f>
        <v>0</v>
      </c>
      <c r="AT105" s="48">
        <v>50</v>
      </c>
      <c r="AU105" s="49">
        <f>資料儲存!D681</f>
        <v>0</v>
      </c>
      <c r="AV105" s="49">
        <f>資料儲存!E681</f>
        <v>0</v>
      </c>
      <c r="AW105" s="49">
        <f>資料儲存!F681</f>
        <v>0</v>
      </c>
      <c r="AX105" s="49">
        <f>資料儲存!G681</f>
        <v>0</v>
      </c>
      <c r="AY105" s="49">
        <f>資料儲存!H681</f>
        <v>0</v>
      </c>
      <c r="AZ105" s="49">
        <f>資料儲存!I681</f>
        <v>0</v>
      </c>
      <c r="BA105" s="49">
        <f>資料儲存!J681</f>
        <v>0</v>
      </c>
    </row>
    <row r="106" spans="1:53" ht="16" thickBot="1">
      <c r="A106" s="48">
        <v>51</v>
      </c>
      <c r="B106" s="49">
        <f>資料儲存!D82</f>
        <v>0</v>
      </c>
      <c r="C106" s="49">
        <f>資料儲存!E82</f>
        <v>0</v>
      </c>
      <c r="D106" s="49">
        <f>資料儲存!F82</f>
        <v>0</v>
      </c>
      <c r="E106" s="49">
        <f>資料儲存!G82</f>
        <v>0</v>
      </c>
      <c r="F106" s="49">
        <f>資料儲存!H82</f>
        <v>0</v>
      </c>
      <c r="G106" s="49">
        <f>資料儲存!I82</f>
        <v>0</v>
      </c>
      <c r="H106" s="49">
        <f>資料儲存!J82</f>
        <v>0</v>
      </c>
      <c r="I106" s="45"/>
      <c r="J106" s="48">
        <v>51</v>
      </c>
      <c r="K106" s="49">
        <f>資料儲存!D202</f>
        <v>0</v>
      </c>
      <c r="L106" s="49">
        <f>資料儲存!E202</f>
        <v>0</v>
      </c>
      <c r="M106" s="49">
        <f>資料儲存!F202</f>
        <v>0</v>
      </c>
      <c r="N106" s="49">
        <f>資料儲存!G202</f>
        <v>0</v>
      </c>
      <c r="O106" s="49">
        <f>資料儲存!H202</f>
        <v>0</v>
      </c>
      <c r="P106" s="49">
        <f>資料儲存!I202</f>
        <v>0</v>
      </c>
      <c r="Q106" s="49">
        <f>資料儲存!J202</f>
        <v>0</v>
      </c>
      <c r="R106" s="45"/>
      <c r="S106" s="48">
        <v>51</v>
      </c>
      <c r="T106" s="49">
        <f>資料儲存!D322</f>
        <v>0</v>
      </c>
      <c r="U106" s="49">
        <f>資料儲存!E322</f>
        <v>0</v>
      </c>
      <c r="V106" s="49">
        <f>資料儲存!F322</f>
        <v>0</v>
      </c>
      <c r="W106" s="49">
        <f>資料儲存!G322</f>
        <v>0</v>
      </c>
      <c r="X106" s="49">
        <f>資料儲存!H322</f>
        <v>0</v>
      </c>
      <c r="Y106" s="49">
        <f>資料儲存!I322</f>
        <v>0</v>
      </c>
      <c r="Z106" s="49">
        <f>資料儲存!J322</f>
        <v>0</v>
      </c>
      <c r="AA106" s="45"/>
      <c r="AB106" s="48">
        <v>51</v>
      </c>
      <c r="AC106" s="49">
        <f>資料儲存!D442</f>
        <v>0</v>
      </c>
      <c r="AD106" s="49">
        <f>資料儲存!E442</f>
        <v>0</v>
      </c>
      <c r="AE106" s="49">
        <f>資料儲存!F442</f>
        <v>0</v>
      </c>
      <c r="AF106" s="49">
        <f>資料儲存!G442</f>
        <v>0</v>
      </c>
      <c r="AG106" s="49">
        <f>資料儲存!H442</f>
        <v>0</v>
      </c>
      <c r="AH106" s="49">
        <f>資料儲存!I442</f>
        <v>0</v>
      </c>
      <c r="AI106" s="49">
        <f>資料儲存!J442</f>
        <v>0</v>
      </c>
      <c r="AJ106" s="13"/>
      <c r="AK106" s="48">
        <v>51</v>
      </c>
      <c r="AL106" s="49">
        <f>資料儲存!D562</f>
        <v>0</v>
      </c>
      <c r="AM106" s="49">
        <f>資料儲存!E562</f>
        <v>0</v>
      </c>
      <c r="AN106" s="49">
        <f>資料儲存!F562</f>
        <v>0</v>
      </c>
      <c r="AO106" s="49">
        <f>資料儲存!G562</f>
        <v>0</v>
      </c>
      <c r="AP106" s="49">
        <f>資料儲存!H562</f>
        <v>0</v>
      </c>
      <c r="AQ106" s="49">
        <f>資料儲存!I562</f>
        <v>0</v>
      </c>
      <c r="AR106" s="49">
        <f>資料儲存!J562</f>
        <v>0</v>
      </c>
      <c r="AT106" s="48">
        <v>51</v>
      </c>
      <c r="AU106" s="49">
        <f>資料儲存!D682</f>
        <v>0</v>
      </c>
      <c r="AV106" s="49">
        <f>資料儲存!E682</f>
        <v>0</v>
      </c>
      <c r="AW106" s="49">
        <f>資料儲存!F682</f>
        <v>0</v>
      </c>
      <c r="AX106" s="49">
        <f>資料儲存!G682</f>
        <v>0</v>
      </c>
      <c r="AY106" s="49">
        <f>資料儲存!H682</f>
        <v>0</v>
      </c>
      <c r="AZ106" s="49">
        <f>資料儲存!I682</f>
        <v>0</v>
      </c>
      <c r="BA106" s="49">
        <f>資料儲存!J682</f>
        <v>0</v>
      </c>
    </row>
    <row r="107" spans="1:53" ht="16" thickBot="1">
      <c r="A107" s="48">
        <v>52</v>
      </c>
      <c r="B107" s="49">
        <f>資料儲存!D83</f>
        <v>0</v>
      </c>
      <c r="C107" s="49">
        <f>資料儲存!E83</f>
        <v>0</v>
      </c>
      <c r="D107" s="49">
        <f>資料儲存!F83</f>
        <v>0</v>
      </c>
      <c r="E107" s="49">
        <f>資料儲存!G83</f>
        <v>0</v>
      </c>
      <c r="F107" s="49">
        <f>資料儲存!H83</f>
        <v>0</v>
      </c>
      <c r="G107" s="49">
        <f>資料儲存!I83</f>
        <v>0</v>
      </c>
      <c r="H107" s="49">
        <f>資料儲存!J83</f>
        <v>0</v>
      </c>
      <c r="I107" s="45"/>
      <c r="J107" s="48">
        <v>52</v>
      </c>
      <c r="K107" s="49">
        <f>資料儲存!D203</f>
        <v>0</v>
      </c>
      <c r="L107" s="49">
        <f>資料儲存!E203</f>
        <v>0</v>
      </c>
      <c r="M107" s="49">
        <f>資料儲存!F203</f>
        <v>0</v>
      </c>
      <c r="N107" s="49">
        <f>資料儲存!G203</f>
        <v>0</v>
      </c>
      <c r="O107" s="49">
        <f>資料儲存!H203</f>
        <v>0</v>
      </c>
      <c r="P107" s="49">
        <f>資料儲存!I203</f>
        <v>0</v>
      </c>
      <c r="Q107" s="49">
        <f>資料儲存!J203</f>
        <v>0</v>
      </c>
      <c r="R107" s="45"/>
      <c r="S107" s="48">
        <v>52</v>
      </c>
      <c r="T107" s="49">
        <f>資料儲存!D323</f>
        <v>0</v>
      </c>
      <c r="U107" s="49">
        <f>資料儲存!E323</f>
        <v>0</v>
      </c>
      <c r="V107" s="49">
        <f>資料儲存!F323</f>
        <v>0</v>
      </c>
      <c r="W107" s="49">
        <f>資料儲存!G323</f>
        <v>0</v>
      </c>
      <c r="X107" s="49">
        <f>資料儲存!H323</f>
        <v>0</v>
      </c>
      <c r="Y107" s="49">
        <f>資料儲存!I323</f>
        <v>0</v>
      </c>
      <c r="Z107" s="49">
        <f>資料儲存!J323</f>
        <v>0</v>
      </c>
      <c r="AA107" s="45"/>
      <c r="AB107" s="48">
        <v>52</v>
      </c>
      <c r="AC107" s="49">
        <f>資料儲存!D443</f>
        <v>0</v>
      </c>
      <c r="AD107" s="49">
        <f>資料儲存!E443</f>
        <v>0</v>
      </c>
      <c r="AE107" s="49">
        <f>資料儲存!F443</f>
        <v>0</v>
      </c>
      <c r="AF107" s="49">
        <f>資料儲存!G443</f>
        <v>0</v>
      </c>
      <c r="AG107" s="49">
        <f>資料儲存!H443</f>
        <v>0</v>
      </c>
      <c r="AH107" s="49">
        <f>資料儲存!I443</f>
        <v>0</v>
      </c>
      <c r="AI107" s="49">
        <f>資料儲存!J443</f>
        <v>0</v>
      </c>
      <c r="AJ107" s="13"/>
      <c r="AK107" s="48">
        <v>52</v>
      </c>
      <c r="AL107" s="49">
        <f>資料儲存!D563</f>
        <v>0</v>
      </c>
      <c r="AM107" s="49">
        <f>資料儲存!E563</f>
        <v>0</v>
      </c>
      <c r="AN107" s="49">
        <f>資料儲存!F563</f>
        <v>0</v>
      </c>
      <c r="AO107" s="49">
        <f>資料儲存!G563</f>
        <v>0</v>
      </c>
      <c r="AP107" s="49">
        <f>資料儲存!H563</f>
        <v>0</v>
      </c>
      <c r="AQ107" s="49">
        <f>資料儲存!I563</f>
        <v>0</v>
      </c>
      <c r="AR107" s="49">
        <f>資料儲存!J563</f>
        <v>0</v>
      </c>
      <c r="AT107" s="48">
        <v>52</v>
      </c>
      <c r="AU107" s="49">
        <f>資料儲存!D683</f>
        <v>0</v>
      </c>
      <c r="AV107" s="49">
        <f>資料儲存!E683</f>
        <v>0</v>
      </c>
      <c r="AW107" s="49">
        <f>資料儲存!F683</f>
        <v>0</v>
      </c>
      <c r="AX107" s="49">
        <f>資料儲存!G683</f>
        <v>0</v>
      </c>
      <c r="AY107" s="49">
        <f>資料儲存!H683</f>
        <v>0</v>
      </c>
      <c r="AZ107" s="49">
        <f>資料儲存!I683</f>
        <v>0</v>
      </c>
      <c r="BA107" s="49">
        <f>資料儲存!J683</f>
        <v>0</v>
      </c>
    </row>
    <row r="108" spans="1:53" ht="16" thickBot="1">
      <c r="A108" s="48">
        <v>53</v>
      </c>
      <c r="B108" s="49">
        <f>資料儲存!D84</f>
        <v>0</v>
      </c>
      <c r="C108" s="49">
        <f>資料儲存!E84</f>
        <v>0</v>
      </c>
      <c r="D108" s="49">
        <f>資料儲存!F84</f>
        <v>0</v>
      </c>
      <c r="E108" s="49">
        <f>資料儲存!G84</f>
        <v>0</v>
      </c>
      <c r="F108" s="49">
        <f>資料儲存!H84</f>
        <v>0</v>
      </c>
      <c r="G108" s="49">
        <f>資料儲存!I84</f>
        <v>0</v>
      </c>
      <c r="H108" s="49">
        <f>資料儲存!J84</f>
        <v>0</v>
      </c>
      <c r="I108" s="45"/>
      <c r="J108" s="48">
        <v>53</v>
      </c>
      <c r="K108" s="49">
        <f>資料儲存!D204</f>
        <v>0</v>
      </c>
      <c r="L108" s="49">
        <f>資料儲存!E204</f>
        <v>0</v>
      </c>
      <c r="M108" s="49">
        <f>資料儲存!F204</f>
        <v>0</v>
      </c>
      <c r="N108" s="49">
        <f>資料儲存!G204</f>
        <v>0</v>
      </c>
      <c r="O108" s="49">
        <f>資料儲存!H204</f>
        <v>0</v>
      </c>
      <c r="P108" s="49">
        <f>資料儲存!I204</f>
        <v>0</v>
      </c>
      <c r="Q108" s="49">
        <f>資料儲存!J204</f>
        <v>0</v>
      </c>
      <c r="R108" s="45"/>
      <c r="S108" s="48">
        <v>53</v>
      </c>
      <c r="T108" s="49">
        <f>資料儲存!D324</f>
        <v>0</v>
      </c>
      <c r="U108" s="49">
        <f>資料儲存!E324</f>
        <v>0</v>
      </c>
      <c r="V108" s="49">
        <f>資料儲存!F324</f>
        <v>0</v>
      </c>
      <c r="W108" s="49">
        <f>資料儲存!G324</f>
        <v>0</v>
      </c>
      <c r="X108" s="49">
        <f>資料儲存!H324</f>
        <v>0</v>
      </c>
      <c r="Y108" s="49">
        <f>資料儲存!I324</f>
        <v>0</v>
      </c>
      <c r="Z108" s="49">
        <f>資料儲存!J324</f>
        <v>0</v>
      </c>
      <c r="AA108" s="45"/>
      <c r="AB108" s="48">
        <v>53</v>
      </c>
      <c r="AC108" s="49">
        <f>資料儲存!D444</f>
        <v>0</v>
      </c>
      <c r="AD108" s="49">
        <f>資料儲存!E444</f>
        <v>0</v>
      </c>
      <c r="AE108" s="49">
        <f>資料儲存!F444</f>
        <v>0</v>
      </c>
      <c r="AF108" s="49">
        <f>資料儲存!G444</f>
        <v>0</v>
      </c>
      <c r="AG108" s="49">
        <f>資料儲存!H444</f>
        <v>0</v>
      </c>
      <c r="AH108" s="49">
        <f>資料儲存!I444</f>
        <v>0</v>
      </c>
      <c r="AI108" s="49">
        <f>資料儲存!J444</f>
        <v>0</v>
      </c>
      <c r="AJ108" s="13"/>
      <c r="AK108" s="48">
        <v>53</v>
      </c>
      <c r="AL108" s="49">
        <f>資料儲存!D564</f>
        <v>0</v>
      </c>
      <c r="AM108" s="49">
        <f>資料儲存!E564</f>
        <v>0</v>
      </c>
      <c r="AN108" s="49">
        <f>資料儲存!F564</f>
        <v>0</v>
      </c>
      <c r="AO108" s="49">
        <f>資料儲存!G564</f>
        <v>0</v>
      </c>
      <c r="AP108" s="49">
        <f>資料儲存!H564</f>
        <v>0</v>
      </c>
      <c r="AQ108" s="49">
        <f>資料儲存!I564</f>
        <v>0</v>
      </c>
      <c r="AR108" s="49">
        <f>資料儲存!J564</f>
        <v>0</v>
      </c>
      <c r="AT108" s="48">
        <v>53</v>
      </c>
      <c r="AU108" s="49">
        <f>資料儲存!D684</f>
        <v>0</v>
      </c>
      <c r="AV108" s="49">
        <f>資料儲存!E684</f>
        <v>0</v>
      </c>
      <c r="AW108" s="49">
        <f>資料儲存!F684</f>
        <v>0</v>
      </c>
      <c r="AX108" s="49">
        <f>資料儲存!G684</f>
        <v>0</v>
      </c>
      <c r="AY108" s="49">
        <f>資料儲存!H684</f>
        <v>0</v>
      </c>
      <c r="AZ108" s="49">
        <f>資料儲存!I684</f>
        <v>0</v>
      </c>
      <c r="BA108" s="49">
        <f>資料儲存!J684</f>
        <v>0</v>
      </c>
    </row>
    <row r="109" spans="1:53" ht="16" thickBot="1">
      <c r="A109" s="48">
        <v>54</v>
      </c>
      <c r="B109" s="49">
        <f>資料儲存!D85</f>
        <v>0</v>
      </c>
      <c r="C109" s="49">
        <f>資料儲存!E85</f>
        <v>0</v>
      </c>
      <c r="D109" s="49">
        <f>資料儲存!F85</f>
        <v>0</v>
      </c>
      <c r="E109" s="49">
        <f>資料儲存!G85</f>
        <v>0</v>
      </c>
      <c r="F109" s="49">
        <f>資料儲存!H85</f>
        <v>0</v>
      </c>
      <c r="G109" s="49">
        <f>資料儲存!I85</f>
        <v>0</v>
      </c>
      <c r="H109" s="49">
        <f>資料儲存!J85</f>
        <v>0</v>
      </c>
      <c r="I109" s="45"/>
      <c r="J109" s="48">
        <v>54</v>
      </c>
      <c r="K109" s="49">
        <f>資料儲存!D205</f>
        <v>0</v>
      </c>
      <c r="L109" s="49">
        <f>資料儲存!E205</f>
        <v>0</v>
      </c>
      <c r="M109" s="49">
        <f>資料儲存!F205</f>
        <v>0</v>
      </c>
      <c r="N109" s="49">
        <f>資料儲存!G205</f>
        <v>0</v>
      </c>
      <c r="O109" s="49">
        <f>資料儲存!H205</f>
        <v>0</v>
      </c>
      <c r="P109" s="49">
        <f>資料儲存!I205</f>
        <v>0</v>
      </c>
      <c r="Q109" s="49">
        <f>資料儲存!J205</f>
        <v>0</v>
      </c>
      <c r="R109" s="45"/>
      <c r="S109" s="48">
        <v>54</v>
      </c>
      <c r="T109" s="49">
        <f>資料儲存!D325</f>
        <v>0</v>
      </c>
      <c r="U109" s="49">
        <f>資料儲存!E325</f>
        <v>0</v>
      </c>
      <c r="V109" s="49">
        <f>資料儲存!F325</f>
        <v>0</v>
      </c>
      <c r="W109" s="49">
        <f>資料儲存!G325</f>
        <v>0</v>
      </c>
      <c r="X109" s="49">
        <f>資料儲存!H325</f>
        <v>0</v>
      </c>
      <c r="Y109" s="49">
        <f>資料儲存!I325</f>
        <v>0</v>
      </c>
      <c r="Z109" s="49">
        <f>資料儲存!J325</f>
        <v>0</v>
      </c>
      <c r="AA109" s="45"/>
      <c r="AB109" s="48">
        <v>54</v>
      </c>
      <c r="AC109" s="49">
        <f>資料儲存!D445</f>
        <v>0</v>
      </c>
      <c r="AD109" s="49">
        <f>資料儲存!E445</f>
        <v>0</v>
      </c>
      <c r="AE109" s="49">
        <f>資料儲存!F445</f>
        <v>0</v>
      </c>
      <c r="AF109" s="49">
        <f>資料儲存!G445</f>
        <v>0</v>
      </c>
      <c r="AG109" s="49">
        <f>資料儲存!H445</f>
        <v>0</v>
      </c>
      <c r="AH109" s="49">
        <f>資料儲存!I445</f>
        <v>0</v>
      </c>
      <c r="AI109" s="49">
        <f>資料儲存!J445</f>
        <v>0</v>
      </c>
      <c r="AJ109" s="13"/>
      <c r="AK109" s="48">
        <v>54</v>
      </c>
      <c r="AL109" s="49">
        <f>資料儲存!D565</f>
        <v>0</v>
      </c>
      <c r="AM109" s="49">
        <f>資料儲存!E565</f>
        <v>0</v>
      </c>
      <c r="AN109" s="49">
        <f>資料儲存!F565</f>
        <v>0</v>
      </c>
      <c r="AO109" s="49">
        <f>資料儲存!G565</f>
        <v>0</v>
      </c>
      <c r="AP109" s="49">
        <f>資料儲存!H565</f>
        <v>0</v>
      </c>
      <c r="AQ109" s="49">
        <f>資料儲存!I565</f>
        <v>0</v>
      </c>
      <c r="AR109" s="49">
        <f>資料儲存!J565</f>
        <v>0</v>
      </c>
      <c r="AT109" s="48">
        <v>54</v>
      </c>
      <c r="AU109" s="49">
        <f>資料儲存!D685</f>
        <v>0</v>
      </c>
      <c r="AV109" s="49">
        <f>資料儲存!E685</f>
        <v>0</v>
      </c>
      <c r="AW109" s="49">
        <f>資料儲存!F685</f>
        <v>0</v>
      </c>
      <c r="AX109" s="49">
        <f>資料儲存!G685</f>
        <v>0</v>
      </c>
      <c r="AY109" s="49">
        <f>資料儲存!H685</f>
        <v>0</v>
      </c>
      <c r="AZ109" s="49">
        <f>資料儲存!I685</f>
        <v>0</v>
      </c>
      <c r="BA109" s="49">
        <f>資料儲存!J685</f>
        <v>0</v>
      </c>
    </row>
    <row r="110" spans="1:53" ht="16" thickBot="1">
      <c r="A110" s="48">
        <v>55</v>
      </c>
      <c r="B110" s="49">
        <f>資料儲存!D86</f>
        <v>0</v>
      </c>
      <c r="C110" s="49">
        <f>資料儲存!E86</f>
        <v>0</v>
      </c>
      <c r="D110" s="49">
        <f>資料儲存!F86</f>
        <v>0</v>
      </c>
      <c r="E110" s="49">
        <f>資料儲存!G86</f>
        <v>0</v>
      </c>
      <c r="F110" s="49">
        <f>資料儲存!H86</f>
        <v>0</v>
      </c>
      <c r="G110" s="49">
        <f>資料儲存!I86</f>
        <v>0</v>
      </c>
      <c r="H110" s="49">
        <f>資料儲存!J86</f>
        <v>0</v>
      </c>
      <c r="I110" s="45"/>
      <c r="J110" s="48">
        <v>55</v>
      </c>
      <c r="K110" s="49">
        <f>資料儲存!D206</f>
        <v>0</v>
      </c>
      <c r="L110" s="49">
        <f>資料儲存!E206</f>
        <v>0</v>
      </c>
      <c r="M110" s="49">
        <f>資料儲存!F206</f>
        <v>0</v>
      </c>
      <c r="N110" s="49">
        <f>資料儲存!G206</f>
        <v>0</v>
      </c>
      <c r="O110" s="49">
        <f>資料儲存!H206</f>
        <v>0</v>
      </c>
      <c r="P110" s="49">
        <f>資料儲存!I206</f>
        <v>0</v>
      </c>
      <c r="Q110" s="49">
        <f>資料儲存!J206</f>
        <v>0</v>
      </c>
      <c r="R110" s="45"/>
      <c r="S110" s="48">
        <v>55</v>
      </c>
      <c r="T110" s="49">
        <f>資料儲存!D326</f>
        <v>0</v>
      </c>
      <c r="U110" s="49">
        <f>資料儲存!E326</f>
        <v>0</v>
      </c>
      <c r="V110" s="49">
        <f>資料儲存!F326</f>
        <v>0</v>
      </c>
      <c r="W110" s="49">
        <f>資料儲存!G326</f>
        <v>0</v>
      </c>
      <c r="X110" s="49">
        <f>資料儲存!H326</f>
        <v>0</v>
      </c>
      <c r="Y110" s="49">
        <f>資料儲存!I326</f>
        <v>0</v>
      </c>
      <c r="Z110" s="49">
        <f>資料儲存!J326</f>
        <v>0</v>
      </c>
      <c r="AA110" s="45"/>
      <c r="AB110" s="48">
        <v>55</v>
      </c>
      <c r="AC110" s="49">
        <f>資料儲存!D446</f>
        <v>0</v>
      </c>
      <c r="AD110" s="49">
        <f>資料儲存!E446</f>
        <v>0</v>
      </c>
      <c r="AE110" s="49">
        <f>資料儲存!F446</f>
        <v>0</v>
      </c>
      <c r="AF110" s="49">
        <f>資料儲存!G446</f>
        <v>0</v>
      </c>
      <c r="AG110" s="49">
        <f>資料儲存!H446</f>
        <v>0</v>
      </c>
      <c r="AH110" s="49">
        <f>資料儲存!I446</f>
        <v>0</v>
      </c>
      <c r="AI110" s="49">
        <f>資料儲存!J446</f>
        <v>0</v>
      </c>
      <c r="AJ110" s="13"/>
      <c r="AK110" s="48">
        <v>55</v>
      </c>
      <c r="AL110" s="49">
        <f>資料儲存!D566</f>
        <v>0</v>
      </c>
      <c r="AM110" s="49">
        <f>資料儲存!E566</f>
        <v>0</v>
      </c>
      <c r="AN110" s="49">
        <f>資料儲存!F566</f>
        <v>0</v>
      </c>
      <c r="AO110" s="49">
        <f>資料儲存!G566</f>
        <v>0</v>
      </c>
      <c r="AP110" s="49">
        <f>資料儲存!H566</f>
        <v>0</v>
      </c>
      <c r="AQ110" s="49">
        <f>資料儲存!I566</f>
        <v>0</v>
      </c>
      <c r="AR110" s="49">
        <f>資料儲存!J566</f>
        <v>0</v>
      </c>
      <c r="AT110" s="48">
        <v>55</v>
      </c>
      <c r="AU110" s="49">
        <f>資料儲存!D686</f>
        <v>0</v>
      </c>
      <c r="AV110" s="49">
        <f>資料儲存!E686</f>
        <v>0</v>
      </c>
      <c r="AW110" s="49">
        <f>資料儲存!F686</f>
        <v>0</v>
      </c>
      <c r="AX110" s="49">
        <f>資料儲存!G686</f>
        <v>0</v>
      </c>
      <c r="AY110" s="49">
        <f>資料儲存!H686</f>
        <v>0</v>
      </c>
      <c r="AZ110" s="49">
        <f>資料儲存!I686</f>
        <v>0</v>
      </c>
      <c r="BA110" s="49">
        <f>資料儲存!J686</f>
        <v>0</v>
      </c>
    </row>
    <row r="111" spans="1:53" ht="16" thickBot="1">
      <c r="A111" s="48">
        <v>56</v>
      </c>
      <c r="B111" s="49">
        <f>資料儲存!D87</f>
        <v>0</v>
      </c>
      <c r="C111" s="49">
        <f>資料儲存!E87</f>
        <v>0</v>
      </c>
      <c r="D111" s="49">
        <f>資料儲存!F87</f>
        <v>0</v>
      </c>
      <c r="E111" s="49">
        <f>資料儲存!G87</f>
        <v>0</v>
      </c>
      <c r="F111" s="49">
        <f>資料儲存!H87</f>
        <v>0</v>
      </c>
      <c r="G111" s="49">
        <f>資料儲存!I87</f>
        <v>0</v>
      </c>
      <c r="H111" s="49">
        <f>資料儲存!J87</f>
        <v>0</v>
      </c>
      <c r="I111" s="45"/>
      <c r="J111" s="48">
        <v>56</v>
      </c>
      <c r="K111" s="49">
        <f>資料儲存!D207</f>
        <v>0</v>
      </c>
      <c r="L111" s="49">
        <f>資料儲存!E207</f>
        <v>0</v>
      </c>
      <c r="M111" s="49">
        <f>資料儲存!F207</f>
        <v>0</v>
      </c>
      <c r="N111" s="49">
        <f>資料儲存!G207</f>
        <v>0</v>
      </c>
      <c r="O111" s="49">
        <f>資料儲存!H207</f>
        <v>0</v>
      </c>
      <c r="P111" s="49">
        <f>資料儲存!I207</f>
        <v>0</v>
      </c>
      <c r="Q111" s="49">
        <f>資料儲存!J207</f>
        <v>0</v>
      </c>
      <c r="R111" s="45"/>
      <c r="S111" s="48">
        <v>56</v>
      </c>
      <c r="T111" s="49">
        <f>資料儲存!D327</f>
        <v>0</v>
      </c>
      <c r="U111" s="49">
        <f>資料儲存!E327</f>
        <v>0</v>
      </c>
      <c r="V111" s="49">
        <f>資料儲存!F327</f>
        <v>0</v>
      </c>
      <c r="W111" s="49">
        <f>資料儲存!G327</f>
        <v>0</v>
      </c>
      <c r="X111" s="49">
        <f>資料儲存!H327</f>
        <v>0</v>
      </c>
      <c r="Y111" s="49">
        <f>資料儲存!I327</f>
        <v>0</v>
      </c>
      <c r="Z111" s="49">
        <f>資料儲存!J327</f>
        <v>0</v>
      </c>
      <c r="AA111" s="45"/>
      <c r="AB111" s="48">
        <v>56</v>
      </c>
      <c r="AC111" s="49">
        <f>資料儲存!D447</f>
        <v>0</v>
      </c>
      <c r="AD111" s="49">
        <f>資料儲存!E447</f>
        <v>0</v>
      </c>
      <c r="AE111" s="49">
        <f>資料儲存!F447</f>
        <v>0</v>
      </c>
      <c r="AF111" s="49">
        <f>資料儲存!G447</f>
        <v>0</v>
      </c>
      <c r="AG111" s="49">
        <f>資料儲存!H447</f>
        <v>0</v>
      </c>
      <c r="AH111" s="49">
        <f>資料儲存!I447</f>
        <v>0</v>
      </c>
      <c r="AI111" s="49">
        <f>資料儲存!J447</f>
        <v>0</v>
      </c>
      <c r="AJ111" s="13"/>
      <c r="AK111" s="48">
        <v>56</v>
      </c>
      <c r="AL111" s="49">
        <f>資料儲存!D567</f>
        <v>0</v>
      </c>
      <c r="AM111" s="49">
        <f>資料儲存!E567</f>
        <v>0</v>
      </c>
      <c r="AN111" s="49">
        <f>資料儲存!F567</f>
        <v>0</v>
      </c>
      <c r="AO111" s="49">
        <f>資料儲存!G567</f>
        <v>0</v>
      </c>
      <c r="AP111" s="49">
        <f>資料儲存!H567</f>
        <v>0</v>
      </c>
      <c r="AQ111" s="49">
        <f>資料儲存!I567</f>
        <v>0</v>
      </c>
      <c r="AR111" s="49">
        <f>資料儲存!J567</f>
        <v>0</v>
      </c>
      <c r="AT111" s="48">
        <v>56</v>
      </c>
      <c r="AU111" s="49">
        <f>資料儲存!D687</f>
        <v>0</v>
      </c>
      <c r="AV111" s="49">
        <f>資料儲存!E687</f>
        <v>0</v>
      </c>
      <c r="AW111" s="49">
        <f>資料儲存!F687</f>
        <v>0</v>
      </c>
      <c r="AX111" s="49">
        <f>資料儲存!G687</f>
        <v>0</v>
      </c>
      <c r="AY111" s="49">
        <f>資料儲存!H687</f>
        <v>0</v>
      </c>
      <c r="AZ111" s="49">
        <f>資料儲存!I687</f>
        <v>0</v>
      </c>
      <c r="BA111" s="49">
        <f>資料儲存!J687</f>
        <v>0</v>
      </c>
    </row>
    <row r="112" spans="1:53" ht="16" thickBot="1">
      <c r="A112" s="48">
        <v>57</v>
      </c>
      <c r="B112" s="49">
        <f>資料儲存!D88</f>
        <v>0</v>
      </c>
      <c r="C112" s="49">
        <f>資料儲存!E88</f>
        <v>0</v>
      </c>
      <c r="D112" s="49">
        <f>資料儲存!F88</f>
        <v>0</v>
      </c>
      <c r="E112" s="49">
        <f>資料儲存!G88</f>
        <v>0</v>
      </c>
      <c r="F112" s="49">
        <f>資料儲存!H88</f>
        <v>0</v>
      </c>
      <c r="G112" s="49">
        <f>資料儲存!I88</f>
        <v>0</v>
      </c>
      <c r="H112" s="49">
        <f>資料儲存!J88</f>
        <v>0</v>
      </c>
      <c r="I112" s="45"/>
      <c r="J112" s="48">
        <v>57</v>
      </c>
      <c r="K112" s="49">
        <f>資料儲存!D208</f>
        <v>0</v>
      </c>
      <c r="L112" s="49">
        <f>資料儲存!E208</f>
        <v>0</v>
      </c>
      <c r="M112" s="49">
        <f>資料儲存!F208</f>
        <v>0</v>
      </c>
      <c r="N112" s="49">
        <f>資料儲存!G208</f>
        <v>0</v>
      </c>
      <c r="O112" s="49">
        <f>資料儲存!H208</f>
        <v>0</v>
      </c>
      <c r="P112" s="49">
        <f>資料儲存!I208</f>
        <v>0</v>
      </c>
      <c r="Q112" s="49">
        <f>資料儲存!J208</f>
        <v>0</v>
      </c>
      <c r="R112" s="45"/>
      <c r="S112" s="48">
        <v>57</v>
      </c>
      <c r="T112" s="49">
        <f>資料儲存!D328</f>
        <v>0</v>
      </c>
      <c r="U112" s="49">
        <f>資料儲存!E328</f>
        <v>0</v>
      </c>
      <c r="V112" s="49">
        <f>資料儲存!F328</f>
        <v>0</v>
      </c>
      <c r="W112" s="49">
        <f>資料儲存!G328</f>
        <v>0</v>
      </c>
      <c r="X112" s="49">
        <f>資料儲存!H328</f>
        <v>0</v>
      </c>
      <c r="Y112" s="49">
        <f>資料儲存!I328</f>
        <v>0</v>
      </c>
      <c r="Z112" s="49">
        <f>資料儲存!J328</f>
        <v>0</v>
      </c>
      <c r="AA112" s="45"/>
      <c r="AB112" s="48">
        <v>57</v>
      </c>
      <c r="AC112" s="49">
        <f>資料儲存!D448</f>
        <v>0</v>
      </c>
      <c r="AD112" s="49">
        <f>資料儲存!E448</f>
        <v>0</v>
      </c>
      <c r="AE112" s="49">
        <f>資料儲存!F448</f>
        <v>0</v>
      </c>
      <c r="AF112" s="49">
        <f>資料儲存!G448</f>
        <v>0</v>
      </c>
      <c r="AG112" s="49">
        <f>資料儲存!H448</f>
        <v>0</v>
      </c>
      <c r="AH112" s="49">
        <f>資料儲存!I448</f>
        <v>0</v>
      </c>
      <c r="AI112" s="49">
        <f>資料儲存!J448</f>
        <v>0</v>
      </c>
      <c r="AJ112" s="13"/>
      <c r="AK112" s="48">
        <v>57</v>
      </c>
      <c r="AL112" s="49">
        <f>資料儲存!D568</f>
        <v>0</v>
      </c>
      <c r="AM112" s="49">
        <f>資料儲存!E568</f>
        <v>0</v>
      </c>
      <c r="AN112" s="49">
        <f>資料儲存!F568</f>
        <v>0</v>
      </c>
      <c r="AO112" s="49">
        <f>資料儲存!G568</f>
        <v>0</v>
      </c>
      <c r="AP112" s="49">
        <f>資料儲存!H568</f>
        <v>0</v>
      </c>
      <c r="AQ112" s="49">
        <f>資料儲存!I568</f>
        <v>0</v>
      </c>
      <c r="AR112" s="49">
        <f>資料儲存!J568</f>
        <v>0</v>
      </c>
      <c r="AT112" s="48">
        <v>57</v>
      </c>
      <c r="AU112" s="49">
        <f>資料儲存!D688</f>
        <v>0</v>
      </c>
      <c r="AV112" s="49">
        <f>資料儲存!E688</f>
        <v>0</v>
      </c>
      <c r="AW112" s="49">
        <f>資料儲存!F688</f>
        <v>0</v>
      </c>
      <c r="AX112" s="49">
        <f>資料儲存!G688</f>
        <v>0</v>
      </c>
      <c r="AY112" s="49">
        <f>資料儲存!H688</f>
        <v>0</v>
      </c>
      <c r="AZ112" s="49">
        <f>資料儲存!I688</f>
        <v>0</v>
      </c>
      <c r="BA112" s="49">
        <f>資料儲存!J688</f>
        <v>0</v>
      </c>
    </row>
    <row r="113" spans="1:53" ht="16" thickBot="1">
      <c r="A113" s="48">
        <v>58</v>
      </c>
      <c r="B113" s="49">
        <f>資料儲存!D89</f>
        <v>0</v>
      </c>
      <c r="C113" s="49">
        <f>資料儲存!E89</f>
        <v>0</v>
      </c>
      <c r="D113" s="49">
        <f>資料儲存!F89</f>
        <v>0</v>
      </c>
      <c r="E113" s="49">
        <f>資料儲存!G89</f>
        <v>0</v>
      </c>
      <c r="F113" s="49">
        <f>資料儲存!H89</f>
        <v>0</v>
      </c>
      <c r="G113" s="49">
        <f>資料儲存!I89</f>
        <v>0</v>
      </c>
      <c r="H113" s="49">
        <f>資料儲存!J89</f>
        <v>0</v>
      </c>
      <c r="I113" s="45"/>
      <c r="J113" s="48">
        <v>58</v>
      </c>
      <c r="K113" s="49">
        <f>資料儲存!D209</f>
        <v>0</v>
      </c>
      <c r="L113" s="49">
        <f>資料儲存!E209</f>
        <v>0</v>
      </c>
      <c r="M113" s="49">
        <f>資料儲存!F209</f>
        <v>0</v>
      </c>
      <c r="N113" s="49">
        <f>資料儲存!G209</f>
        <v>0</v>
      </c>
      <c r="O113" s="49">
        <f>資料儲存!H209</f>
        <v>0</v>
      </c>
      <c r="P113" s="49">
        <f>資料儲存!I209</f>
        <v>0</v>
      </c>
      <c r="Q113" s="49">
        <f>資料儲存!J209</f>
        <v>0</v>
      </c>
      <c r="R113" s="45"/>
      <c r="S113" s="48">
        <v>58</v>
      </c>
      <c r="T113" s="49">
        <f>資料儲存!D329</f>
        <v>0</v>
      </c>
      <c r="U113" s="49">
        <f>資料儲存!E329</f>
        <v>0</v>
      </c>
      <c r="V113" s="49">
        <f>資料儲存!F329</f>
        <v>0</v>
      </c>
      <c r="W113" s="49">
        <f>資料儲存!G329</f>
        <v>0</v>
      </c>
      <c r="X113" s="49">
        <f>資料儲存!H329</f>
        <v>0</v>
      </c>
      <c r="Y113" s="49">
        <f>資料儲存!I329</f>
        <v>0</v>
      </c>
      <c r="Z113" s="49">
        <f>資料儲存!J329</f>
        <v>0</v>
      </c>
      <c r="AA113" s="45"/>
      <c r="AB113" s="48">
        <v>58</v>
      </c>
      <c r="AC113" s="49">
        <f>資料儲存!D449</f>
        <v>0</v>
      </c>
      <c r="AD113" s="49">
        <f>資料儲存!E449</f>
        <v>0</v>
      </c>
      <c r="AE113" s="49">
        <f>資料儲存!F449</f>
        <v>0</v>
      </c>
      <c r="AF113" s="49">
        <f>資料儲存!G449</f>
        <v>0</v>
      </c>
      <c r="AG113" s="49">
        <f>資料儲存!H449</f>
        <v>0</v>
      </c>
      <c r="AH113" s="49">
        <f>資料儲存!I449</f>
        <v>0</v>
      </c>
      <c r="AI113" s="49">
        <f>資料儲存!J449</f>
        <v>0</v>
      </c>
      <c r="AJ113" s="13"/>
      <c r="AK113" s="48">
        <v>58</v>
      </c>
      <c r="AL113" s="49">
        <f>資料儲存!D569</f>
        <v>0</v>
      </c>
      <c r="AM113" s="49">
        <f>資料儲存!E569</f>
        <v>0</v>
      </c>
      <c r="AN113" s="49">
        <f>資料儲存!F569</f>
        <v>0</v>
      </c>
      <c r="AO113" s="49">
        <f>資料儲存!G569</f>
        <v>0</v>
      </c>
      <c r="AP113" s="49">
        <f>資料儲存!H569</f>
        <v>0</v>
      </c>
      <c r="AQ113" s="49">
        <f>資料儲存!I569</f>
        <v>0</v>
      </c>
      <c r="AR113" s="49">
        <f>資料儲存!J569</f>
        <v>0</v>
      </c>
      <c r="AT113" s="48">
        <v>58</v>
      </c>
      <c r="AU113" s="49">
        <f>資料儲存!D689</f>
        <v>0</v>
      </c>
      <c r="AV113" s="49">
        <f>資料儲存!E689</f>
        <v>0</v>
      </c>
      <c r="AW113" s="49">
        <f>資料儲存!F689</f>
        <v>0</v>
      </c>
      <c r="AX113" s="49">
        <f>資料儲存!G689</f>
        <v>0</v>
      </c>
      <c r="AY113" s="49">
        <f>資料儲存!H689</f>
        <v>0</v>
      </c>
      <c r="AZ113" s="49">
        <f>資料儲存!I689</f>
        <v>0</v>
      </c>
      <c r="BA113" s="49">
        <f>資料儲存!J689</f>
        <v>0</v>
      </c>
    </row>
    <row r="114" spans="1:53" ht="16" thickBot="1">
      <c r="A114" s="48">
        <v>59</v>
      </c>
      <c r="B114" s="49">
        <f>資料儲存!D90</f>
        <v>0</v>
      </c>
      <c r="C114" s="49">
        <f>資料儲存!E90</f>
        <v>0</v>
      </c>
      <c r="D114" s="49">
        <f>資料儲存!F90</f>
        <v>0</v>
      </c>
      <c r="E114" s="49">
        <f>資料儲存!G90</f>
        <v>0</v>
      </c>
      <c r="F114" s="49">
        <f>資料儲存!H90</f>
        <v>0</v>
      </c>
      <c r="G114" s="49">
        <f>資料儲存!I90</f>
        <v>0</v>
      </c>
      <c r="H114" s="49">
        <f>資料儲存!J90</f>
        <v>0</v>
      </c>
      <c r="I114" s="45"/>
      <c r="J114" s="48">
        <v>59</v>
      </c>
      <c r="K114" s="49">
        <f>資料儲存!D210</f>
        <v>0</v>
      </c>
      <c r="L114" s="49">
        <f>資料儲存!E210</f>
        <v>0</v>
      </c>
      <c r="M114" s="49">
        <f>資料儲存!F210</f>
        <v>0</v>
      </c>
      <c r="N114" s="49">
        <f>資料儲存!G210</f>
        <v>0</v>
      </c>
      <c r="O114" s="49">
        <f>資料儲存!H210</f>
        <v>0</v>
      </c>
      <c r="P114" s="49">
        <f>資料儲存!I210</f>
        <v>0</v>
      </c>
      <c r="Q114" s="49">
        <f>資料儲存!J210</f>
        <v>0</v>
      </c>
      <c r="R114" s="45"/>
      <c r="S114" s="48">
        <v>59</v>
      </c>
      <c r="T114" s="49">
        <f>資料儲存!D330</f>
        <v>0</v>
      </c>
      <c r="U114" s="49">
        <f>資料儲存!E330</f>
        <v>0</v>
      </c>
      <c r="V114" s="49">
        <f>資料儲存!F330</f>
        <v>0</v>
      </c>
      <c r="W114" s="49">
        <f>資料儲存!G330</f>
        <v>0</v>
      </c>
      <c r="X114" s="49">
        <f>資料儲存!H330</f>
        <v>0</v>
      </c>
      <c r="Y114" s="49">
        <f>資料儲存!I330</f>
        <v>0</v>
      </c>
      <c r="Z114" s="49">
        <f>資料儲存!J330</f>
        <v>0</v>
      </c>
      <c r="AA114" s="45"/>
      <c r="AB114" s="48">
        <v>59</v>
      </c>
      <c r="AC114" s="49">
        <f>資料儲存!D450</f>
        <v>0</v>
      </c>
      <c r="AD114" s="49">
        <f>資料儲存!E450</f>
        <v>0</v>
      </c>
      <c r="AE114" s="49">
        <f>資料儲存!F450</f>
        <v>0</v>
      </c>
      <c r="AF114" s="49">
        <f>資料儲存!G450</f>
        <v>0</v>
      </c>
      <c r="AG114" s="49">
        <f>資料儲存!H450</f>
        <v>0</v>
      </c>
      <c r="AH114" s="49">
        <f>資料儲存!I450</f>
        <v>0</v>
      </c>
      <c r="AI114" s="49">
        <f>資料儲存!J450</f>
        <v>0</v>
      </c>
      <c r="AJ114" s="13"/>
      <c r="AK114" s="48">
        <v>59</v>
      </c>
      <c r="AL114" s="49">
        <f>資料儲存!D570</f>
        <v>0</v>
      </c>
      <c r="AM114" s="49">
        <f>資料儲存!E570</f>
        <v>0</v>
      </c>
      <c r="AN114" s="49">
        <f>資料儲存!F570</f>
        <v>0</v>
      </c>
      <c r="AO114" s="49">
        <f>資料儲存!G570</f>
        <v>0</v>
      </c>
      <c r="AP114" s="49">
        <f>資料儲存!H570</f>
        <v>0</v>
      </c>
      <c r="AQ114" s="49">
        <f>資料儲存!I570</f>
        <v>0</v>
      </c>
      <c r="AR114" s="49">
        <f>資料儲存!J570</f>
        <v>0</v>
      </c>
      <c r="AT114" s="48">
        <v>59</v>
      </c>
      <c r="AU114" s="49">
        <f>資料儲存!D690</f>
        <v>0</v>
      </c>
      <c r="AV114" s="49">
        <f>資料儲存!E690</f>
        <v>0</v>
      </c>
      <c r="AW114" s="49">
        <f>資料儲存!F690</f>
        <v>0</v>
      </c>
      <c r="AX114" s="49">
        <f>資料儲存!G690</f>
        <v>0</v>
      </c>
      <c r="AY114" s="49">
        <f>資料儲存!H690</f>
        <v>0</v>
      </c>
      <c r="AZ114" s="49">
        <f>資料儲存!I690</f>
        <v>0</v>
      </c>
      <c r="BA114" s="49">
        <f>資料儲存!J690</f>
        <v>0</v>
      </c>
    </row>
    <row r="115" spans="1:53" ht="16" thickBot="1">
      <c r="A115" s="48">
        <v>60</v>
      </c>
      <c r="B115" s="49">
        <f>資料儲存!D91</f>
        <v>0</v>
      </c>
      <c r="C115" s="49">
        <f>資料儲存!E91</f>
        <v>0</v>
      </c>
      <c r="D115" s="49">
        <f>資料儲存!F91</f>
        <v>0</v>
      </c>
      <c r="E115" s="49">
        <f>資料儲存!G91</f>
        <v>0</v>
      </c>
      <c r="F115" s="49">
        <f>資料儲存!H91</f>
        <v>0</v>
      </c>
      <c r="G115" s="49">
        <f>資料儲存!I91</f>
        <v>0</v>
      </c>
      <c r="H115" s="49">
        <f>資料儲存!J91</f>
        <v>0</v>
      </c>
      <c r="I115" s="45"/>
      <c r="J115" s="48">
        <v>60</v>
      </c>
      <c r="K115" s="49">
        <f>資料儲存!D211</f>
        <v>0</v>
      </c>
      <c r="L115" s="49">
        <f>資料儲存!E211</f>
        <v>0</v>
      </c>
      <c r="M115" s="49">
        <f>資料儲存!F211</f>
        <v>0</v>
      </c>
      <c r="N115" s="49">
        <f>資料儲存!G211</f>
        <v>0</v>
      </c>
      <c r="O115" s="49">
        <f>資料儲存!H211</f>
        <v>0</v>
      </c>
      <c r="P115" s="49">
        <f>資料儲存!I211</f>
        <v>0</v>
      </c>
      <c r="Q115" s="49">
        <f>資料儲存!J211</f>
        <v>0</v>
      </c>
      <c r="R115" s="45"/>
      <c r="S115" s="48">
        <v>60</v>
      </c>
      <c r="T115" s="49">
        <f>資料儲存!D331</f>
        <v>0</v>
      </c>
      <c r="U115" s="49">
        <f>資料儲存!E331</f>
        <v>0</v>
      </c>
      <c r="V115" s="49">
        <f>資料儲存!F331</f>
        <v>0</v>
      </c>
      <c r="W115" s="49">
        <f>資料儲存!G331</f>
        <v>0</v>
      </c>
      <c r="X115" s="49">
        <f>資料儲存!H331</f>
        <v>0</v>
      </c>
      <c r="Y115" s="49">
        <f>資料儲存!I331</f>
        <v>0</v>
      </c>
      <c r="Z115" s="49">
        <f>資料儲存!J331</f>
        <v>0</v>
      </c>
      <c r="AA115" s="45"/>
      <c r="AB115" s="48">
        <v>60</v>
      </c>
      <c r="AC115" s="49">
        <f>資料儲存!D451</f>
        <v>0</v>
      </c>
      <c r="AD115" s="49">
        <f>資料儲存!E451</f>
        <v>0</v>
      </c>
      <c r="AE115" s="49">
        <f>資料儲存!F451</f>
        <v>0</v>
      </c>
      <c r="AF115" s="49">
        <f>資料儲存!G451</f>
        <v>0</v>
      </c>
      <c r="AG115" s="49">
        <f>資料儲存!H451</f>
        <v>0</v>
      </c>
      <c r="AH115" s="49">
        <f>資料儲存!I451</f>
        <v>0</v>
      </c>
      <c r="AI115" s="49">
        <f>資料儲存!J451</f>
        <v>0</v>
      </c>
      <c r="AJ115" s="13"/>
      <c r="AK115" s="48">
        <v>60</v>
      </c>
      <c r="AL115" s="49">
        <f>資料儲存!D571</f>
        <v>0</v>
      </c>
      <c r="AM115" s="49">
        <f>資料儲存!E571</f>
        <v>0</v>
      </c>
      <c r="AN115" s="49">
        <f>資料儲存!F571</f>
        <v>0</v>
      </c>
      <c r="AO115" s="49">
        <f>資料儲存!G571</f>
        <v>0</v>
      </c>
      <c r="AP115" s="49">
        <f>資料儲存!H571</f>
        <v>0</v>
      </c>
      <c r="AQ115" s="49">
        <f>資料儲存!I571</f>
        <v>0</v>
      </c>
      <c r="AR115" s="49">
        <f>資料儲存!J571</f>
        <v>0</v>
      </c>
      <c r="AT115" s="48">
        <v>60</v>
      </c>
      <c r="AU115" s="49">
        <f>資料儲存!D691</f>
        <v>0</v>
      </c>
      <c r="AV115" s="49">
        <f>資料儲存!E691</f>
        <v>0</v>
      </c>
      <c r="AW115" s="49">
        <f>資料儲存!F691</f>
        <v>0</v>
      </c>
      <c r="AX115" s="49">
        <f>資料儲存!G691</f>
        <v>0</v>
      </c>
      <c r="AY115" s="49">
        <f>資料儲存!H691</f>
        <v>0</v>
      </c>
      <c r="AZ115" s="49">
        <f>資料儲存!I691</f>
        <v>0</v>
      </c>
      <c r="BA115" s="49">
        <f>資料儲存!J691</f>
        <v>0</v>
      </c>
    </row>
    <row r="116" spans="1:53" ht="17.25" customHeight="1" thickBot="1">
      <c r="A116" s="50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0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0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0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13"/>
      <c r="AK116" s="50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  <c r="AT116" s="50" t="s">
        <v>56</v>
      </c>
      <c r="AU116" s="49">
        <f>SUM(AU101:AX115)</f>
        <v>0</v>
      </c>
      <c r="AV116" s="47"/>
      <c r="AW116" s="47"/>
      <c r="AX116" s="47"/>
      <c r="AY116" s="49">
        <f>AY115</f>
        <v>0</v>
      </c>
      <c r="AZ116" s="49">
        <f>AZ115</f>
        <v>0</v>
      </c>
      <c r="BA116" s="49">
        <f>BA115</f>
        <v>0</v>
      </c>
    </row>
    <row r="117" spans="1:53" ht="18.5" thickBot="1">
      <c r="A117" s="248" t="s">
        <v>63</v>
      </c>
      <c r="B117" s="249"/>
      <c r="C117" s="249"/>
      <c r="D117" s="249"/>
      <c r="E117" s="249"/>
      <c r="F117" s="249"/>
      <c r="G117" s="249"/>
      <c r="H117" s="250"/>
      <c r="I117" s="13"/>
      <c r="J117" s="248" t="s">
        <v>63</v>
      </c>
      <c r="K117" s="249"/>
      <c r="L117" s="249"/>
      <c r="M117" s="249"/>
      <c r="N117" s="249"/>
      <c r="O117" s="249"/>
      <c r="P117" s="249"/>
      <c r="Q117" s="250"/>
      <c r="R117" s="13"/>
      <c r="S117" s="248" t="s">
        <v>63</v>
      </c>
      <c r="T117" s="249"/>
      <c r="U117" s="249"/>
      <c r="V117" s="249"/>
      <c r="W117" s="249"/>
      <c r="X117" s="249"/>
      <c r="Y117" s="249"/>
      <c r="Z117" s="250"/>
      <c r="AA117" s="13"/>
      <c r="AB117" s="248" t="s">
        <v>63</v>
      </c>
      <c r="AC117" s="249"/>
      <c r="AD117" s="249"/>
      <c r="AE117" s="249"/>
      <c r="AF117" s="249"/>
      <c r="AG117" s="249"/>
      <c r="AH117" s="249"/>
      <c r="AI117" s="250"/>
      <c r="AJ117" s="13"/>
      <c r="AK117" s="248" t="s">
        <v>63</v>
      </c>
      <c r="AL117" s="249"/>
      <c r="AM117" s="249"/>
      <c r="AN117" s="249"/>
      <c r="AO117" s="249"/>
      <c r="AP117" s="249"/>
      <c r="AQ117" s="249"/>
      <c r="AR117" s="250"/>
      <c r="AT117" s="248" t="s">
        <v>63</v>
      </c>
      <c r="AU117" s="249"/>
      <c r="AV117" s="249"/>
      <c r="AW117" s="249"/>
      <c r="AX117" s="249"/>
      <c r="AY117" s="249"/>
      <c r="AZ117" s="249"/>
      <c r="BA117" s="250"/>
    </row>
    <row r="118" spans="1:53" ht="17.25" customHeight="1" thickBot="1">
      <c r="A118" s="31" t="s">
        <v>2</v>
      </c>
      <c r="B118" s="32" t="s">
        <v>46</v>
      </c>
      <c r="C118" s="33"/>
      <c r="D118" s="33"/>
      <c r="E118" s="34"/>
      <c r="F118" s="32" t="s">
        <v>47</v>
      </c>
      <c r="G118" s="33"/>
      <c r="H118" s="34"/>
      <c r="I118" s="35"/>
      <c r="J118" s="31" t="s">
        <v>2</v>
      </c>
      <c r="K118" s="32" t="s">
        <v>46</v>
      </c>
      <c r="L118" s="33"/>
      <c r="M118" s="33"/>
      <c r="N118" s="34"/>
      <c r="O118" s="32" t="s">
        <v>47</v>
      </c>
      <c r="P118" s="33"/>
      <c r="Q118" s="34"/>
      <c r="R118" s="35"/>
      <c r="S118" s="31" t="s">
        <v>2</v>
      </c>
      <c r="T118" s="32" t="s">
        <v>46</v>
      </c>
      <c r="U118" s="33"/>
      <c r="V118" s="33"/>
      <c r="W118" s="34"/>
      <c r="X118" s="32" t="s">
        <v>47</v>
      </c>
      <c r="Y118" s="33"/>
      <c r="Z118" s="34"/>
      <c r="AA118" s="35"/>
      <c r="AB118" s="31" t="s">
        <v>2</v>
      </c>
      <c r="AC118" s="32" t="s">
        <v>46</v>
      </c>
      <c r="AD118" s="33"/>
      <c r="AE118" s="33"/>
      <c r="AF118" s="34"/>
      <c r="AG118" s="32" t="s">
        <v>47</v>
      </c>
      <c r="AH118" s="33"/>
      <c r="AI118" s="34"/>
      <c r="AJ118" s="13"/>
      <c r="AK118" s="31" t="s">
        <v>2</v>
      </c>
      <c r="AL118" s="32" t="s">
        <v>46</v>
      </c>
      <c r="AM118" s="33"/>
      <c r="AN118" s="33"/>
      <c r="AO118" s="34"/>
      <c r="AP118" s="32" t="s">
        <v>47</v>
      </c>
      <c r="AQ118" s="33"/>
      <c r="AR118" s="34"/>
      <c r="AT118" s="31" t="s">
        <v>2</v>
      </c>
      <c r="AU118" s="32" t="s">
        <v>46</v>
      </c>
      <c r="AV118" s="33"/>
      <c r="AW118" s="33"/>
      <c r="AX118" s="34"/>
      <c r="AY118" s="32" t="s">
        <v>47</v>
      </c>
      <c r="AZ118" s="33"/>
      <c r="BA118" s="34"/>
    </row>
    <row r="119" spans="1:53" ht="16" thickBot="1">
      <c r="A119" s="36" t="s">
        <v>64</v>
      </c>
      <c r="B119" s="37" t="s">
        <v>49</v>
      </c>
      <c r="C119" s="37" t="s">
        <v>50</v>
      </c>
      <c r="D119" s="37" t="s">
        <v>51</v>
      </c>
      <c r="E119" s="37" t="s">
        <v>52</v>
      </c>
      <c r="F119" s="37" t="s">
        <v>53</v>
      </c>
      <c r="G119" s="37" t="s">
        <v>54</v>
      </c>
      <c r="H119" s="37" t="s">
        <v>55</v>
      </c>
      <c r="I119" s="35"/>
      <c r="J119" s="36" t="s">
        <v>64</v>
      </c>
      <c r="K119" s="37" t="s">
        <v>49</v>
      </c>
      <c r="L119" s="37" t="s">
        <v>50</v>
      </c>
      <c r="M119" s="37" t="s">
        <v>51</v>
      </c>
      <c r="N119" s="37" t="s">
        <v>52</v>
      </c>
      <c r="O119" s="37" t="s">
        <v>53</v>
      </c>
      <c r="P119" s="37" t="s">
        <v>54</v>
      </c>
      <c r="Q119" s="37" t="s">
        <v>55</v>
      </c>
      <c r="R119" s="35"/>
      <c r="S119" s="36" t="s">
        <v>64</v>
      </c>
      <c r="T119" s="37" t="s">
        <v>49</v>
      </c>
      <c r="U119" s="37" t="s">
        <v>50</v>
      </c>
      <c r="V119" s="37" t="s">
        <v>51</v>
      </c>
      <c r="W119" s="37" t="s">
        <v>52</v>
      </c>
      <c r="X119" s="37" t="s">
        <v>53</v>
      </c>
      <c r="Y119" s="37" t="s">
        <v>54</v>
      </c>
      <c r="Z119" s="37" t="s">
        <v>55</v>
      </c>
      <c r="AA119" s="35"/>
      <c r="AB119" s="36" t="s">
        <v>64</v>
      </c>
      <c r="AC119" s="37" t="s">
        <v>49</v>
      </c>
      <c r="AD119" s="37" t="s">
        <v>50</v>
      </c>
      <c r="AE119" s="37" t="s">
        <v>51</v>
      </c>
      <c r="AF119" s="37" t="s">
        <v>52</v>
      </c>
      <c r="AG119" s="37" t="s">
        <v>53</v>
      </c>
      <c r="AH119" s="37" t="s">
        <v>54</v>
      </c>
      <c r="AI119" s="37" t="s">
        <v>55</v>
      </c>
      <c r="AJ119" s="13"/>
      <c r="AK119" s="36" t="s">
        <v>64</v>
      </c>
      <c r="AL119" s="37" t="s">
        <v>49</v>
      </c>
      <c r="AM119" s="37" t="s">
        <v>50</v>
      </c>
      <c r="AN119" s="37" t="s">
        <v>51</v>
      </c>
      <c r="AO119" s="37" t="s">
        <v>52</v>
      </c>
      <c r="AP119" s="37" t="s">
        <v>53</v>
      </c>
      <c r="AQ119" s="37" t="s">
        <v>54</v>
      </c>
      <c r="AR119" s="37" t="s">
        <v>55</v>
      </c>
      <c r="AT119" s="36" t="s">
        <v>64</v>
      </c>
      <c r="AU119" s="37" t="s">
        <v>49</v>
      </c>
      <c r="AV119" s="37" t="s">
        <v>50</v>
      </c>
      <c r="AW119" s="37" t="s">
        <v>51</v>
      </c>
      <c r="AX119" s="37" t="s">
        <v>52</v>
      </c>
      <c r="AY119" s="37" t="s">
        <v>53</v>
      </c>
      <c r="AZ119" s="37" t="s">
        <v>54</v>
      </c>
      <c r="BA119" s="37" t="s">
        <v>55</v>
      </c>
    </row>
    <row r="120" spans="1:53" ht="16" thickBot="1">
      <c r="A120" s="38">
        <v>1</v>
      </c>
      <c r="B120" s="39">
        <f>資料儲存!D92</f>
        <v>0</v>
      </c>
      <c r="C120" s="39">
        <f>資料儲存!E92</f>
        <v>0</v>
      </c>
      <c r="D120" s="39">
        <f>資料儲存!F92</f>
        <v>0</v>
      </c>
      <c r="E120" s="39">
        <f>資料儲存!G92</f>
        <v>0</v>
      </c>
      <c r="F120" s="39">
        <f>資料儲存!H92</f>
        <v>0</v>
      </c>
      <c r="G120" s="39">
        <f>資料儲存!I92</f>
        <v>0</v>
      </c>
      <c r="H120" s="39">
        <f>資料儲存!J92</f>
        <v>0</v>
      </c>
      <c r="I120" s="35"/>
      <c r="J120" s="38">
        <v>1</v>
      </c>
      <c r="K120" s="39">
        <f>資料儲存!D212</f>
        <v>0</v>
      </c>
      <c r="L120" s="39">
        <f>資料儲存!E212</f>
        <v>0</v>
      </c>
      <c r="M120" s="39">
        <f>資料儲存!F212</f>
        <v>0</v>
      </c>
      <c r="N120" s="39">
        <f>資料儲存!G212</f>
        <v>0</v>
      </c>
      <c r="O120" s="39">
        <f>資料儲存!H212</f>
        <v>0</v>
      </c>
      <c r="P120" s="39">
        <f>資料儲存!I212</f>
        <v>0</v>
      </c>
      <c r="Q120" s="39">
        <f>資料儲存!J212</f>
        <v>0</v>
      </c>
      <c r="R120" s="35"/>
      <c r="S120" s="38">
        <v>1</v>
      </c>
      <c r="T120" s="39">
        <f>資料儲存!D332</f>
        <v>0</v>
      </c>
      <c r="U120" s="39">
        <f>資料儲存!E332</f>
        <v>0</v>
      </c>
      <c r="V120" s="39">
        <f>資料儲存!F332</f>
        <v>0</v>
      </c>
      <c r="W120" s="39">
        <f>資料儲存!G332</f>
        <v>0</v>
      </c>
      <c r="X120" s="39">
        <f>資料儲存!H332</f>
        <v>0</v>
      </c>
      <c r="Y120" s="39">
        <f>資料儲存!I332</f>
        <v>0</v>
      </c>
      <c r="Z120" s="39">
        <f>資料儲存!J332</f>
        <v>0</v>
      </c>
      <c r="AA120" s="35"/>
      <c r="AB120" s="38">
        <v>1</v>
      </c>
      <c r="AC120" s="39">
        <f>資料儲存!D452</f>
        <v>0</v>
      </c>
      <c r="AD120" s="39">
        <f>資料儲存!E452</f>
        <v>0</v>
      </c>
      <c r="AE120" s="39">
        <f>資料儲存!F452</f>
        <v>0</v>
      </c>
      <c r="AF120" s="39">
        <f>資料儲存!G452</f>
        <v>0</v>
      </c>
      <c r="AG120" s="39">
        <f>資料儲存!H452</f>
        <v>0</v>
      </c>
      <c r="AH120" s="39">
        <f>資料儲存!I452</f>
        <v>0</v>
      </c>
      <c r="AI120" s="39">
        <f>資料儲存!J452</f>
        <v>0</v>
      </c>
      <c r="AJ120" s="13"/>
      <c r="AK120" s="38">
        <v>1</v>
      </c>
      <c r="AL120" s="39">
        <f>資料儲存!D572</f>
        <v>0</v>
      </c>
      <c r="AM120" s="39">
        <f>資料儲存!E572</f>
        <v>0</v>
      </c>
      <c r="AN120" s="39">
        <f>資料儲存!F572</f>
        <v>0</v>
      </c>
      <c r="AO120" s="39">
        <f>資料儲存!G572</f>
        <v>0</v>
      </c>
      <c r="AP120" s="39">
        <f>資料儲存!H572</f>
        <v>0</v>
      </c>
      <c r="AQ120" s="39">
        <f>資料儲存!I572</f>
        <v>0</v>
      </c>
      <c r="AR120" s="39">
        <f>資料儲存!J572</f>
        <v>0</v>
      </c>
      <c r="AT120" s="38">
        <v>1</v>
      </c>
      <c r="AU120" s="39">
        <f>資料儲存!D692</f>
        <v>0</v>
      </c>
      <c r="AV120" s="39">
        <f>資料儲存!E692</f>
        <v>0</v>
      </c>
      <c r="AW120" s="39">
        <f>資料儲存!F692</f>
        <v>0</v>
      </c>
      <c r="AX120" s="39">
        <f>資料儲存!G692</f>
        <v>0</v>
      </c>
      <c r="AY120" s="39">
        <f>資料儲存!H692</f>
        <v>0</v>
      </c>
      <c r="AZ120" s="39">
        <f>資料儲存!I692</f>
        <v>0</v>
      </c>
      <c r="BA120" s="39">
        <f>資料儲存!J692</f>
        <v>0</v>
      </c>
    </row>
    <row r="121" spans="1:53" ht="16" thickBot="1">
      <c r="A121" s="38">
        <v>2</v>
      </c>
      <c r="B121" s="39">
        <f>資料儲存!D93</f>
        <v>0</v>
      </c>
      <c r="C121" s="39">
        <f>資料儲存!E93</f>
        <v>0</v>
      </c>
      <c r="D121" s="39">
        <f>資料儲存!F93</f>
        <v>0</v>
      </c>
      <c r="E121" s="39">
        <f>資料儲存!G93</f>
        <v>0</v>
      </c>
      <c r="F121" s="39">
        <f>資料儲存!H93</f>
        <v>0</v>
      </c>
      <c r="G121" s="39">
        <f>資料儲存!I93</f>
        <v>0</v>
      </c>
      <c r="H121" s="39">
        <f>資料儲存!J93</f>
        <v>0</v>
      </c>
      <c r="I121" s="35"/>
      <c r="J121" s="38">
        <v>2</v>
      </c>
      <c r="K121" s="39">
        <f>資料儲存!D213</f>
        <v>0</v>
      </c>
      <c r="L121" s="39">
        <f>資料儲存!E213</f>
        <v>0</v>
      </c>
      <c r="M121" s="39">
        <f>資料儲存!F213</f>
        <v>0</v>
      </c>
      <c r="N121" s="39">
        <f>資料儲存!G213</f>
        <v>0</v>
      </c>
      <c r="O121" s="39">
        <f>資料儲存!H213</f>
        <v>0</v>
      </c>
      <c r="P121" s="39">
        <f>資料儲存!I213</f>
        <v>0</v>
      </c>
      <c r="Q121" s="39">
        <f>資料儲存!J213</f>
        <v>0</v>
      </c>
      <c r="R121" s="35"/>
      <c r="S121" s="38">
        <v>2</v>
      </c>
      <c r="T121" s="39">
        <f>資料儲存!D333</f>
        <v>0</v>
      </c>
      <c r="U121" s="39">
        <f>資料儲存!E333</f>
        <v>0</v>
      </c>
      <c r="V121" s="39">
        <f>資料儲存!F333</f>
        <v>0</v>
      </c>
      <c r="W121" s="39">
        <f>資料儲存!G333</f>
        <v>0</v>
      </c>
      <c r="X121" s="39">
        <f>資料儲存!H333</f>
        <v>0</v>
      </c>
      <c r="Y121" s="39">
        <f>資料儲存!I333</f>
        <v>0</v>
      </c>
      <c r="Z121" s="39">
        <f>資料儲存!J333</f>
        <v>0</v>
      </c>
      <c r="AA121" s="35"/>
      <c r="AB121" s="38">
        <v>2</v>
      </c>
      <c r="AC121" s="39">
        <f>資料儲存!D453</f>
        <v>0</v>
      </c>
      <c r="AD121" s="39">
        <f>資料儲存!E453</f>
        <v>0</v>
      </c>
      <c r="AE121" s="39">
        <f>資料儲存!F453</f>
        <v>0</v>
      </c>
      <c r="AF121" s="39">
        <f>資料儲存!G453</f>
        <v>0</v>
      </c>
      <c r="AG121" s="39">
        <f>資料儲存!H453</f>
        <v>0</v>
      </c>
      <c r="AH121" s="39">
        <f>資料儲存!I453</f>
        <v>0</v>
      </c>
      <c r="AI121" s="39">
        <f>資料儲存!J453</f>
        <v>0</v>
      </c>
      <c r="AJ121" s="13"/>
      <c r="AK121" s="38">
        <v>2</v>
      </c>
      <c r="AL121" s="39">
        <f>資料儲存!D573</f>
        <v>0</v>
      </c>
      <c r="AM121" s="39">
        <f>資料儲存!E573</f>
        <v>0</v>
      </c>
      <c r="AN121" s="39">
        <f>資料儲存!F573</f>
        <v>0</v>
      </c>
      <c r="AO121" s="39">
        <f>資料儲存!G573</f>
        <v>0</v>
      </c>
      <c r="AP121" s="39">
        <f>資料儲存!H573</f>
        <v>0</v>
      </c>
      <c r="AQ121" s="39">
        <f>資料儲存!I573</f>
        <v>0</v>
      </c>
      <c r="AR121" s="39">
        <f>資料儲存!J573</f>
        <v>0</v>
      </c>
      <c r="AT121" s="38">
        <v>2</v>
      </c>
      <c r="AU121" s="39">
        <f>資料儲存!D693</f>
        <v>0</v>
      </c>
      <c r="AV121" s="39">
        <f>資料儲存!E693</f>
        <v>0</v>
      </c>
      <c r="AW121" s="39">
        <f>資料儲存!F693</f>
        <v>0</v>
      </c>
      <c r="AX121" s="39">
        <f>資料儲存!G693</f>
        <v>0</v>
      </c>
      <c r="AY121" s="39">
        <f>資料儲存!H693</f>
        <v>0</v>
      </c>
      <c r="AZ121" s="39">
        <f>資料儲存!I693</f>
        <v>0</v>
      </c>
      <c r="BA121" s="39">
        <f>資料儲存!J693</f>
        <v>0</v>
      </c>
    </row>
    <row r="122" spans="1:53" ht="16" thickBot="1">
      <c r="A122" s="38">
        <v>3</v>
      </c>
      <c r="B122" s="39">
        <f>資料儲存!D94</f>
        <v>0</v>
      </c>
      <c r="C122" s="39">
        <f>資料儲存!E94</f>
        <v>0</v>
      </c>
      <c r="D122" s="39">
        <f>資料儲存!F94</f>
        <v>0</v>
      </c>
      <c r="E122" s="39">
        <f>資料儲存!G94</f>
        <v>0</v>
      </c>
      <c r="F122" s="39">
        <f>資料儲存!H94</f>
        <v>0</v>
      </c>
      <c r="G122" s="39">
        <f>資料儲存!I94</f>
        <v>0</v>
      </c>
      <c r="H122" s="39">
        <f>資料儲存!J94</f>
        <v>0</v>
      </c>
      <c r="I122" s="35"/>
      <c r="J122" s="38">
        <v>3</v>
      </c>
      <c r="K122" s="39">
        <f>資料儲存!D214</f>
        <v>0</v>
      </c>
      <c r="L122" s="39">
        <f>資料儲存!E214</f>
        <v>0</v>
      </c>
      <c r="M122" s="39">
        <f>資料儲存!F214</f>
        <v>0</v>
      </c>
      <c r="N122" s="39">
        <f>資料儲存!G214</f>
        <v>0</v>
      </c>
      <c r="O122" s="39">
        <f>資料儲存!H214</f>
        <v>0</v>
      </c>
      <c r="P122" s="39">
        <f>資料儲存!I214</f>
        <v>0</v>
      </c>
      <c r="Q122" s="39">
        <f>資料儲存!J214</f>
        <v>0</v>
      </c>
      <c r="R122" s="35"/>
      <c r="S122" s="38">
        <v>3</v>
      </c>
      <c r="T122" s="39">
        <f>資料儲存!D334</f>
        <v>0</v>
      </c>
      <c r="U122" s="39">
        <f>資料儲存!E334</f>
        <v>0</v>
      </c>
      <c r="V122" s="39">
        <f>資料儲存!F334</f>
        <v>0</v>
      </c>
      <c r="W122" s="39">
        <f>資料儲存!G334</f>
        <v>0</v>
      </c>
      <c r="X122" s="39">
        <f>資料儲存!H334</f>
        <v>0</v>
      </c>
      <c r="Y122" s="39">
        <f>資料儲存!I334</f>
        <v>0</v>
      </c>
      <c r="Z122" s="39">
        <f>資料儲存!J334</f>
        <v>0</v>
      </c>
      <c r="AA122" s="35"/>
      <c r="AB122" s="38">
        <v>3</v>
      </c>
      <c r="AC122" s="39">
        <f>資料儲存!D454</f>
        <v>0</v>
      </c>
      <c r="AD122" s="39">
        <f>資料儲存!E454</f>
        <v>0</v>
      </c>
      <c r="AE122" s="39">
        <f>資料儲存!F454</f>
        <v>0</v>
      </c>
      <c r="AF122" s="39">
        <f>資料儲存!G454</f>
        <v>0</v>
      </c>
      <c r="AG122" s="39">
        <f>資料儲存!H454</f>
        <v>0</v>
      </c>
      <c r="AH122" s="39">
        <f>資料儲存!I454</f>
        <v>0</v>
      </c>
      <c r="AI122" s="39">
        <f>資料儲存!J454</f>
        <v>0</v>
      </c>
      <c r="AJ122" s="13"/>
      <c r="AK122" s="38">
        <v>3</v>
      </c>
      <c r="AL122" s="39">
        <f>資料儲存!D574</f>
        <v>0</v>
      </c>
      <c r="AM122" s="39">
        <f>資料儲存!E574</f>
        <v>0</v>
      </c>
      <c r="AN122" s="39">
        <f>資料儲存!F574</f>
        <v>0</v>
      </c>
      <c r="AO122" s="39">
        <f>資料儲存!G574</f>
        <v>0</v>
      </c>
      <c r="AP122" s="39">
        <f>資料儲存!H574</f>
        <v>0</v>
      </c>
      <c r="AQ122" s="39">
        <f>資料儲存!I574</f>
        <v>0</v>
      </c>
      <c r="AR122" s="39">
        <f>資料儲存!J574</f>
        <v>0</v>
      </c>
      <c r="AT122" s="38">
        <v>3</v>
      </c>
      <c r="AU122" s="39">
        <f>資料儲存!D694</f>
        <v>0</v>
      </c>
      <c r="AV122" s="39">
        <f>資料儲存!E694</f>
        <v>0</v>
      </c>
      <c r="AW122" s="39">
        <f>資料儲存!F694</f>
        <v>0</v>
      </c>
      <c r="AX122" s="39">
        <f>資料儲存!G694</f>
        <v>0</v>
      </c>
      <c r="AY122" s="39">
        <f>資料儲存!H694</f>
        <v>0</v>
      </c>
      <c r="AZ122" s="39">
        <f>資料儲存!I694</f>
        <v>0</v>
      </c>
      <c r="BA122" s="39">
        <f>資料儲存!J694</f>
        <v>0</v>
      </c>
    </row>
    <row r="123" spans="1:53" ht="16" thickBot="1">
      <c r="A123" s="38">
        <v>4</v>
      </c>
      <c r="B123" s="39">
        <f>資料儲存!D95</f>
        <v>0</v>
      </c>
      <c r="C123" s="39">
        <f>資料儲存!E95</f>
        <v>0</v>
      </c>
      <c r="D123" s="39">
        <f>資料儲存!F95</f>
        <v>0</v>
      </c>
      <c r="E123" s="39">
        <f>資料儲存!G95</f>
        <v>0</v>
      </c>
      <c r="F123" s="39">
        <f>資料儲存!H95</f>
        <v>0</v>
      </c>
      <c r="G123" s="39">
        <f>資料儲存!I95</f>
        <v>0</v>
      </c>
      <c r="H123" s="39">
        <f>資料儲存!J95</f>
        <v>0</v>
      </c>
      <c r="I123" s="35"/>
      <c r="J123" s="38">
        <v>4</v>
      </c>
      <c r="K123" s="39">
        <f>資料儲存!D215</f>
        <v>0</v>
      </c>
      <c r="L123" s="39">
        <f>資料儲存!E215</f>
        <v>0</v>
      </c>
      <c r="M123" s="39">
        <f>資料儲存!F215</f>
        <v>0</v>
      </c>
      <c r="N123" s="39">
        <f>資料儲存!G215</f>
        <v>0</v>
      </c>
      <c r="O123" s="39">
        <f>資料儲存!H215</f>
        <v>0</v>
      </c>
      <c r="P123" s="39">
        <f>資料儲存!I215</f>
        <v>0</v>
      </c>
      <c r="Q123" s="39">
        <f>資料儲存!J215</f>
        <v>0</v>
      </c>
      <c r="R123" s="35"/>
      <c r="S123" s="38">
        <v>4</v>
      </c>
      <c r="T123" s="39">
        <f>資料儲存!D335</f>
        <v>0</v>
      </c>
      <c r="U123" s="39">
        <f>資料儲存!E335</f>
        <v>0</v>
      </c>
      <c r="V123" s="39">
        <f>資料儲存!F335</f>
        <v>0</v>
      </c>
      <c r="W123" s="39">
        <f>資料儲存!G335</f>
        <v>0</v>
      </c>
      <c r="X123" s="39">
        <f>資料儲存!H335</f>
        <v>0</v>
      </c>
      <c r="Y123" s="39">
        <f>資料儲存!I335</f>
        <v>0</v>
      </c>
      <c r="Z123" s="39">
        <f>資料儲存!J335</f>
        <v>0</v>
      </c>
      <c r="AA123" s="35"/>
      <c r="AB123" s="38">
        <v>4</v>
      </c>
      <c r="AC123" s="39">
        <f>資料儲存!D455</f>
        <v>0</v>
      </c>
      <c r="AD123" s="39">
        <f>資料儲存!E455</f>
        <v>0</v>
      </c>
      <c r="AE123" s="39">
        <f>資料儲存!F455</f>
        <v>0</v>
      </c>
      <c r="AF123" s="39">
        <f>資料儲存!G455</f>
        <v>0</v>
      </c>
      <c r="AG123" s="39">
        <f>資料儲存!H455</f>
        <v>0</v>
      </c>
      <c r="AH123" s="39">
        <f>資料儲存!I455</f>
        <v>0</v>
      </c>
      <c r="AI123" s="39">
        <f>資料儲存!J455</f>
        <v>0</v>
      </c>
      <c r="AJ123" s="13"/>
      <c r="AK123" s="38">
        <v>4</v>
      </c>
      <c r="AL123" s="39">
        <f>資料儲存!D575</f>
        <v>0</v>
      </c>
      <c r="AM123" s="39">
        <f>資料儲存!E575</f>
        <v>0</v>
      </c>
      <c r="AN123" s="39">
        <f>資料儲存!F575</f>
        <v>0</v>
      </c>
      <c r="AO123" s="39">
        <f>資料儲存!G575</f>
        <v>0</v>
      </c>
      <c r="AP123" s="39">
        <f>資料儲存!H575</f>
        <v>0</v>
      </c>
      <c r="AQ123" s="39">
        <f>資料儲存!I575</f>
        <v>0</v>
      </c>
      <c r="AR123" s="39">
        <f>資料儲存!J575</f>
        <v>0</v>
      </c>
      <c r="AT123" s="38">
        <v>4</v>
      </c>
      <c r="AU123" s="39">
        <f>資料儲存!D695</f>
        <v>0</v>
      </c>
      <c r="AV123" s="39">
        <f>資料儲存!E695</f>
        <v>0</v>
      </c>
      <c r="AW123" s="39">
        <f>資料儲存!F695</f>
        <v>0</v>
      </c>
      <c r="AX123" s="39">
        <f>資料儲存!G695</f>
        <v>0</v>
      </c>
      <c r="AY123" s="39">
        <f>資料儲存!H695</f>
        <v>0</v>
      </c>
      <c r="AZ123" s="39">
        <f>資料儲存!I695</f>
        <v>0</v>
      </c>
      <c r="BA123" s="39">
        <f>資料儲存!J695</f>
        <v>0</v>
      </c>
    </row>
    <row r="124" spans="1:53" ht="16" thickBot="1">
      <c r="A124" s="38">
        <v>5</v>
      </c>
      <c r="B124" s="39">
        <f>資料儲存!D96</f>
        <v>0</v>
      </c>
      <c r="C124" s="39">
        <f>資料儲存!E96</f>
        <v>0</v>
      </c>
      <c r="D124" s="39">
        <f>資料儲存!F96</f>
        <v>0</v>
      </c>
      <c r="E124" s="39">
        <f>資料儲存!G96</f>
        <v>0</v>
      </c>
      <c r="F124" s="39">
        <f>資料儲存!H96</f>
        <v>0</v>
      </c>
      <c r="G124" s="39">
        <f>資料儲存!I96</f>
        <v>0</v>
      </c>
      <c r="H124" s="39">
        <f>資料儲存!J96</f>
        <v>0</v>
      </c>
      <c r="I124" s="35"/>
      <c r="J124" s="38">
        <v>5</v>
      </c>
      <c r="K124" s="39">
        <f>資料儲存!D216</f>
        <v>0</v>
      </c>
      <c r="L124" s="39">
        <f>資料儲存!E216</f>
        <v>0</v>
      </c>
      <c r="M124" s="39">
        <f>資料儲存!F216</f>
        <v>0</v>
      </c>
      <c r="N124" s="39">
        <f>資料儲存!G216</f>
        <v>0</v>
      </c>
      <c r="O124" s="39">
        <f>資料儲存!H216</f>
        <v>0</v>
      </c>
      <c r="P124" s="39">
        <f>資料儲存!I216</f>
        <v>0</v>
      </c>
      <c r="Q124" s="39">
        <f>資料儲存!J216</f>
        <v>0</v>
      </c>
      <c r="R124" s="35"/>
      <c r="S124" s="38">
        <v>5</v>
      </c>
      <c r="T124" s="39">
        <f>資料儲存!D336</f>
        <v>0</v>
      </c>
      <c r="U124" s="39">
        <f>資料儲存!E336</f>
        <v>0</v>
      </c>
      <c r="V124" s="39">
        <f>資料儲存!F336</f>
        <v>0</v>
      </c>
      <c r="W124" s="39">
        <f>資料儲存!G336</f>
        <v>0</v>
      </c>
      <c r="X124" s="39">
        <f>資料儲存!H336</f>
        <v>0</v>
      </c>
      <c r="Y124" s="39">
        <f>資料儲存!I336</f>
        <v>0</v>
      </c>
      <c r="Z124" s="39">
        <f>資料儲存!J336</f>
        <v>0</v>
      </c>
      <c r="AA124" s="35"/>
      <c r="AB124" s="38">
        <v>5</v>
      </c>
      <c r="AC124" s="39">
        <f>資料儲存!D456</f>
        <v>0</v>
      </c>
      <c r="AD124" s="39">
        <f>資料儲存!E456</f>
        <v>0</v>
      </c>
      <c r="AE124" s="39">
        <f>資料儲存!F456</f>
        <v>0</v>
      </c>
      <c r="AF124" s="39">
        <f>資料儲存!G456</f>
        <v>0</v>
      </c>
      <c r="AG124" s="39">
        <f>資料儲存!H456</f>
        <v>0</v>
      </c>
      <c r="AH124" s="39">
        <f>資料儲存!I456</f>
        <v>0</v>
      </c>
      <c r="AI124" s="39">
        <f>資料儲存!J456</f>
        <v>0</v>
      </c>
      <c r="AJ124" s="13"/>
      <c r="AK124" s="38">
        <v>5</v>
      </c>
      <c r="AL124" s="39">
        <f>資料儲存!D576</f>
        <v>0</v>
      </c>
      <c r="AM124" s="39">
        <f>資料儲存!E576</f>
        <v>0</v>
      </c>
      <c r="AN124" s="39">
        <f>資料儲存!F576</f>
        <v>0</v>
      </c>
      <c r="AO124" s="39">
        <f>資料儲存!G576</f>
        <v>0</v>
      </c>
      <c r="AP124" s="39">
        <f>資料儲存!H576</f>
        <v>0</v>
      </c>
      <c r="AQ124" s="39">
        <f>資料儲存!I576</f>
        <v>0</v>
      </c>
      <c r="AR124" s="39">
        <f>資料儲存!J576</f>
        <v>0</v>
      </c>
      <c r="AT124" s="38">
        <v>5</v>
      </c>
      <c r="AU124" s="39">
        <f>資料儲存!D696</f>
        <v>0</v>
      </c>
      <c r="AV124" s="39">
        <f>資料儲存!E696</f>
        <v>0</v>
      </c>
      <c r="AW124" s="39">
        <f>資料儲存!F696</f>
        <v>0</v>
      </c>
      <c r="AX124" s="39">
        <f>資料儲存!G696</f>
        <v>0</v>
      </c>
      <c r="AY124" s="39">
        <f>資料儲存!H696</f>
        <v>0</v>
      </c>
      <c r="AZ124" s="39">
        <f>資料儲存!I696</f>
        <v>0</v>
      </c>
      <c r="BA124" s="39">
        <f>資料儲存!J696</f>
        <v>0</v>
      </c>
    </row>
    <row r="125" spans="1:53" ht="16" thickBot="1">
      <c r="A125" s="38">
        <v>6</v>
      </c>
      <c r="B125" s="39">
        <f>資料儲存!D97</f>
        <v>0</v>
      </c>
      <c r="C125" s="39">
        <f>資料儲存!E97</f>
        <v>0</v>
      </c>
      <c r="D125" s="39">
        <f>資料儲存!F97</f>
        <v>0</v>
      </c>
      <c r="E125" s="39">
        <f>資料儲存!G97</f>
        <v>0</v>
      </c>
      <c r="F125" s="39">
        <f>資料儲存!H97</f>
        <v>0</v>
      </c>
      <c r="G125" s="39">
        <f>資料儲存!I97</f>
        <v>0</v>
      </c>
      <c r="H125" s="39">
        <f>資料儲存!J97</f>
        <v>0</v>
      </c>
      <c r="I125" s="35"/>
      <c r="J125" s="38">
        <v>6</v>
      </c>
      <c r="K125" s="39">
        <f>資料儲存!D217</f>
        <v>0</v>
      </c>
      <c r="L125" s="39">
        <f>資料儲存!E217</f>
        <v>0</v>
      </c>
      <c r="M125" s="39">
        <f>資料儲存!F217</f>
        <v>0</v>
      </c>
      <c r="N125" s="39">
        <f>資料儲存!G217</f>
        <v>0</v>
      </c>
      <c r="O125" s="39">
        <f>資料儲存!H217</f>
        <v>0</v>
      </c>
      <c r="P125" s="39">
        <f>資料儲存!I217</f>
        <v>0</v>
      </c>
      <c r="Q125" s="39">
        <f>資料儲存!J217</f>
        <v>0</v>
      </c>
      <c r="R125" s="35"/>
      <c r="S125" s="38">
        <v>6</v>
      </c>
      <c r="T125" s="39">
        <f>資料儲存!D337</f>
        <v>0</v>
      </c>
      <c r="U125" s="39">
        <f>資料儲存!E337</f>
        <v>0</v>
      </c>
      <c r="V125" s="39">
        <f>資料儲存!F337</f>
        <v>0</v>
      </c>
      <c r="W125" s="39">
        <f>資料儲存!G337</f>
        <v>0</v>
      </c>
      <c r="X125" s="39">
        <f>資料儲存!H337</f>
        <v>0</v>
      </c>
      <c r="Y125" s="39">
        <f>資料儲存!I337</f>
        <v>0</v>
      </c>
      <c r="Z125" s="39">
        <f>資料儲存!J337</f>
        <v>0</v>
      </c>
      <c r="AA125" s="35"/>
      <c r="AB125" s="38">
        <v>6</v>
      </c>
      <c r="AC125" s="39">
        <f>資料儲存!D457</f>
        <v>0</v>
      </c>
      <c r="AD125" s="39">
        <f>資料儲存!E457</f>
        <v>0</v>
      </c>
      <c r="AE125" s="39">
        <f>資料儲存!F457</f>
        <v>0</v>
      </c>
      <c r="AF125" s="39">
        <f>資料儲存!G457</f>
        <v>0</v>
      </c>
      <c r="AG125" s="39">
        <f>資料儲存!H457</f>
        <v>0</v>
      </c>
      <c r="AH125" s="39">
        <f>資料儲存!I457</f>
        <v>0</v>
      </c>
      <c r="AI125" s="39">
        <f>資料儲存!J457</f>
        <v>0</v>
      </c>
      <c r="AJ125" s="13"/>
      <c r="AK125" s="38">
        <v>6</v>
      </c>
      <c r="AL125" s="39">
        <f>資料儲存!D577</f>
        <v>0</v>
      </c>
      <c r="AM125" s="39">
        <f>資料儲存!E577</f>
        <v>0</v>
      </c>
      <c r="AN125" s="39">
        <f>資料儲存!F577</f>
        <v>0</v>
      </c>
      <c r="AO125" s="39">
        <f>資料儲存!G577</f>
        <v>0</v>
      </c>
      <c r="AP125" s="39">
        <f>資料儲存!H577</f>
        <v>0</v>
      </c>
      <c r="AQ125" s="39">
        <f>資料儲存!I577</f>
        <v>0</v>
      </c>
      <c r="AR125" s="39">
        <f>資料儲存!J577</f>
        <v>0</v>
      </c>
      <c r="AT125" s="38">
        <v>6</v>
      </c>
      <c r="AU125" s="39">
        <f>資料儲存!D697</f>
        <v>0</v>
      </c>
      <c r="AV125" s="39">
        <f>資料儲存!E697</f>
        <v>0</v>
      </c>
      <c r="AW125" s="39">
        <f>資料儲存!F697</f>
        <v>0</v>
      </c>
      <c r="AX125" s="39">
        <f>資料儲存!G697</f>
        <v>0</v>
      </c>
      <c r="AY125" s="39">
        <f>資料儲存!H697</f>
        <v>0</v>
      </c>
      <c r="AZ125" s="39">
        <f>資料儲存!I697</f>
        <v>0</v>
      </c>
      <c r="BA125" s="39">
        <f>資料儲存!J697</f>
        <v>0</v>
      </c>
    </row>
    <row r="126" spans="1:53" ht="16" thickBot="1">
      <c r="A126" s="38">
        <v>7</v>
      </c>
      <c r="B126" s="39">
        <f>資料儲存!D98</f>
        <v>0</v>
      </c>
      <c r="C126" s="39">
        <f>資料儲存!E98</f>
        <v>0</v>
      </c>
      <c r="D126" s="39">
        <f>資料儲存!F98</f>
        <v>0</v>
      </c>
      <c r="E126" s="39">
        <f>資料儲存!G98</f>
        <v>0</v>
      </c>
      <c r="F126" s="39">
        <f>資料儲存!H98</f>
        <v>0</v>
      </c>
      <c r="G126" s="39">
        <f>資料儲存!I98</f>
        <v>0</v>
      </c>
      <c r="H126" s="39">
        <f>資料儲存!J98</f>
        <v>0</v>
      </c>
      <c r="I126" s="35"/>
      <c r="J126" s="38">
        <v>7</v>
      </c>
      <c r="K126" s="39">
        <f>資料儲存!D218</f>
        <v>0</v>
      </c>
      <c r="L126" s="39">
        <f>資料儲存!E218</f>
        <v>0</v>
      </c>
      <c r="M126" s="39">
        <f>資料儲存!F218</f>
        <v>0</v>
      </c>
      <c r="N126" s="39">
        <f>資料儲存!G218</f>
        <v>0</v>
      </c>
      <c r="O126" s="39">
        <f>資料儲存!H218</f>
        <v>0</v>
      </c>
      <c r="P126" s="39">
        <f>資料儲存!I218</f>
        <v>0</v>
      </c>
      <c r="Q126" s="39">
        <f>資料儲存!J218</f>
        <v>0</v>
      </c>
      <c r="R126" s="35"/>
      <c r="S126" s="38">
        <v>7</v>
      </c>
      <c r="T126" s="39">
        <f>資料儲存!D338</f>
        <v>0</v>
      </c>
      <c r="U126" s="39">
        <f>資料儲存!E338</f>
        <v>0</v>
      </c>
      <c r="V126" s="39">
        <f>資料儲存!F338</f>
        <v>0</v>
      </c>
      <c r="W126" s="39">
        <f>資料儲存!G338</f>
        <v>0</v>
      </c>
      <c r="X126" s="39">
        <f>資料儲存!H338</f>
        <v>0</v>
      </c>
      <c r="Y126" s="39">
        <f>資料儲存!I338</f>
        <v>0</v>
      </c>
      <c r="Z126" s="39">
        <f>資料儲存!J338</f>
        <v>0</v>
      </c>
      <c r="AA126" s="35"/>
      <c r="AB126" s="38">
        <v>7</v>
      </c>
      <c r="AC126" s="39">
        <f>資料儲存!D458</f>
        <v>0</v>
      </c>
      <c r="AD126" s="39">
        <f>資料儲存!E458</f>
        <v>0</v>
      </c>
      <c r="AE126" s="39">
        <f>資料儲存!F458</f>
        <v>0</v>
      </c>
      <c r="AF126" s="39">
        <f>資料儲存!G458</f>
        <v>0</v>
      </c>
      <c r="AG126" s="39">
        <f>資料儲存!H458</f>
        <v>0</v>
      </c>
      <c r="AH126" s="39">
        <f>資料儲存!I458</f>
        <v>0</v>
      </c>
      <c r="AI126" s="39">
        <f>資料儲存!J458</f>
        <v>0</v>
      </c>
      <c r="AJ126" s="13"/>
      <c r="AK126" s="38">
        <v>7</v>
      </c>
      <c r="AL126" s="39">
        <f>資料儲存!D578</f>
        <v>0</v>
      </c>
      <c r="AM126" s="39">
        <f>資料儲存!E578</f>
        <v>0</v>
      </c>
      <c r="AN126" s="39">
        <f>資料儲存!F578</f>
        <v>0</v>
      </c>
      <c r="AO126" s="39">
        <f>資料儲存!G578</f>
        <v>0</v>
      </c>
      <c r="AP126" s="39">
        <f>資料儲存!H578</f>
        <v>0</v>
      </c>
      <c r="AQ126" s="39">
        <f>資料儲存!I578</f>
        <v>0</v>
      </c>
      <c r="AR126" s="39">
        <f>資料儲存!J578</f>
        <v>0</v>
      </c>
      <c r="AT126" s="38">
        <v>7</v>
      </c>
      <c r="AU126" s="39">
        <f>資料儲存!D698</f>
        <v>0</v>
      </c>
      <c r="AV126" s="39">
        <f>資料儲存!E698</f>
        <v>0</v>
      </c>
      <c r="AW126" s="39">
        <f>資料儲存!F698</f>
        <v>0</v>
      </c>
      <c r="AX126" s="39">
        <f>資料儲存!G698</f>
        <v>0</v>
      </c>
      <c r="AY126" s="39">
        <f>資料儲存!H698</f>
        <v>0</v>
      </c>
      <c r="AZ126" s="39">
        <f>資料儲存!I698</f>
        <v>0</v>
      </c>
      <c r="BA126" s="39">
        <f>資料儲存!J698</f>
        <v>0</v>
      </c>
    </row>
    <row r="127" spans="1:53" ht="16" thickBot="1">
      <c r="A127" s="38">
        <v>8</v>
      </c>
      <c r="B127" s="39">
        <f>資料儲存!D99</f>
        <v>0</v>
      </c>
      <c r="C127" s="39">
        <f>資料儲存!E99</f>
        <v>0</v>
      </c>
      <c r="D127" s="39">
        <f>資料儲存!F99</f>
        <v>0</v>
      </c>
      <c r="E127" s="39">
        <f>資料儲存!G99</f>
        <v>0</v>
      </c>
      <c r="F127" s="39">
        <f>資料儲存!H99</f>
        <v>0</v>
      </c>
      <c r="G127" s="39">
        <f>資料儲存!I99</f>
        <v>0</v>
      </c>
      <c r="H127" s="39">
        <f>資料儲存!J99</f>
        <v>0</v>
      </c>
      <c r="I127" s="35"/>
      <c r="J127" s="38">
        <v>8</v>
      </c>
      <c r="K127" s="39">
        <f>資料儲存!D219</f>
        <v>0</v>
      </c>
      <c r="L127" s="39">
        <f>資料儲存!E219</f>
        <v>0</v>
      </c>
      <c r="M127" s="39">
        <f>資料儲存!F219</f>
        <v>0</v>
      </c>
      <c r="N127" s="39">
        <f>資料儲存!G219</f>
        <v>0</v>
      </c>
      <c r="O127" s="39">
        <f>資料儲存!H219</f>
        <v>0</v>
      </c>
      <c r="P127" s="39">
        <f>資料儲存!I219</f>
        <v>0</v>
      </c>
      <c r="Q127" s="39">
        <f>資料儲存!J219</f>
        <v>0</v>
      </c>
      <c r="R127" s="35"/>
      <c r="S127" s="38">
        <v>8</v>
      </c>
      <c r="T127" s="39">
        <f>資料儲存!D339</f>
        <v>0</v>
      </c>
      <c r="U127" s="39">
        <f>資料儲存!E339</f>
        <v>0</v>
      </c>
      <c r="V127" s="39">
        <f>資料儲存!F339</f>
        <v>0</v>
      </c>
      <c r="W127" s="39">
        <f>資料儲存!G339</f>
        <v>0</v>
      </c>
      <c r="X127" s="39">
        <f>資料儲存!H339</f>
        <v>0</v>
      </c>
      <c r="Y127" s="39">
        <f>資料儲存!I339</f>
        <v>0</v>
      </c>
      <c r="Z127" s="39">
        <f>資料儲存!J339</f>
        <v>0</v>
      </c>
      <c r="AA127" s="35"/>
      <c r="AB127" s="38">
        <v>8</v>
      </c>
      <c r="AC127" s="39">
        <f>資料儲存!D459</f>
        <v>0</v>
      </c>
      <c r="AD127" s="39">
        <f>資料儲存!E459</f>
        <v>0</v>
      </c>
      <c r="AE127" s="39">
        <f>資料儲存!F459</f>
        <v>0</v>
      </c>
      <c r="AF127" s="39">
        <f>資料儲存!G459</f>
        <v>0</v>
      </c>
      <c r="AG127" s="39">
        <f>資料儲存!H459</f>
        <v>0</v>
      </c>
      <c r="AH127" s="39">
        <f>資料儲存!I459</f>
        <v>0</v>
      </c>
      <c r="AI127" s="39">
        <f>資料儲存!J459</f>
        <v>0</v>
      </c>
      <c r="AJ127" s="13"/>
      <c r="AK127" s="38">
        <v>8</v>
      </c>
      <c r="AL127" s="39">
        <f>資料儲存!D579</f>
        <v>0</v>
      </c>
      <c r="AM127" s="39">
        <f>資料儲存!E579</f>
        <v>0</v>
      </c>
      <c r="AN127" s="39">
        <f>資料儲存!F579</f>
        <v>0</v>
      </c>
      <c r="AO127" s="39">
        <f>資料儲存!G579</f>
        <v>0</v>
      </c>
      <c r="AP127" s="39">
        <f>資料儲存!H579</f>
        <v>0</v>
      </c>
      <c r="AQ127" s="39">
        <f>資料儲存!I579</f>
        <v>0</v>
      </c>
      <c r="AR127" s="39">
        <f>資料儲存!J579</f>
        <v>0</v>
      </c>
      <c r="AT127" s="38">
        <v>8</v>
      </c>
      <c r="AU127" s="39">
        <f>資料儲存!D699</f>
        <v>0</v>
      </c>
      <c r="AV127" s="39">
        <f>資料儲存!E699</f>
        <v>0</v>
      </c>
      <c r="AW127" s="39">
        <f>資料儲存!F699</f>
        <v>0</v>
      </c>
      <c r="AX127" s="39">
        <f>資料儲存!G699</f>
        <v>0</v>
      </c>
      <c r="AY127" s="39">
        <f>資料儲存!H699</f>
        <v>0</v>
      </c>
      <c r="AZ127" s="39">
        <f>資料儲存!I699</f>
        <v>0</v>
      </c>
      <c r="BA127" s="39">
        <f>資料儲存!J699</f>
        <v>0</v>
      </c>
    </row>
    <row r="128" spans="1:53" ht="16" thickBot="1">
      <c r="A128" s="38">
        <v>9</v>
      </c>
      <c r="B128" s="39">
        <f>資料儲存!D100</f>
        <v>0</v>
      </c>
      <c r="C128" s="39">
        <f>資料儲存!E100</f>
        <v>0</v>
      </c>
      <c r="D128" s="39">
        <f>資料儲存!F100</f>
        <v>0</v>
      </c>
      <c r="E128" s="39">
        <f>資料儲存!G100</f>
        <v>0</v>
      </c>
      <c r="F128" s="39">
        <f>資料儲存!H100</f>
        <v>0</v>
      </c>
      <c r="G128" s="39">
        <f>資料儲存!I100</f>
        <v>0</v>
      </c>
      <c r="H128" s="39">
        <f>資料儲存!J100</f>
        <v>0</v>
      </c>
      <c r="I128" s="35"/>
      <c r="J128" s="38">
        <v>9</v>
      </c>
      <c r="K128" s="39">
        <f>資料儲存!D220</f>
        <v>0</v>
      </c>
      <c r="L128" s="39">
        <f>資料儲存!E220</f>
        <v>0</v>
      </c>
      <c r="M128" s="39">
        <f>資料儲存!F220</f>
        <v>0</v>
      </c>
      <c r="N128" s="39">
        <f>資料儲存!G220</f>
        <v>0</v>
      </c>
      <c r="O128" s="39">
        <f>資料儲存!H220</f>
        <v>0</v>
      </c>
      <c r="P128" s="39">
        <f>資料儲存!I220</f>
        <v>0</v>
      </c>
      <c r="Q128" s="39">
        <f>資料儲存!J220</f>
        <v>0</v>
      </c>
      <c r="R128" s="35"/>
      <c r="S128" s="38">
        <v>9</v>
      </c>
      <c r="T128" s="39">
        <f>資料儲存!D340</f>
        <v>0</v>
      </c>
      <c r="U128" s="39">
        <f>資料儲存!E340</f>
        <v>0</v>
      </c>
      <c r="V128" s="39">
        <f>資料儲存!F340</f>
        <v>0</v>
      </c>
      <c r="W128" s="39">
        <f>資料儲存!G340</f>
        <v>0</v>
      </c>
      <c r="X128" s="39">
        <f>資料儲存!H340</f>
        <v>0</v>
      </c>
      <c r="Y128" s="39">
        <f>資料儲存!I340</f>
        <v>0</v>
      </c>
      <c r="Z128" s="39">
        <f>資料儲存!J340</f>
        <v>0</v>
      </c>
      <c r="AA128" s="35"/>
      <c r="AB128" s="38">
        <v>9</v>
      </c>
      <c r="AC128" s="39">
        <f>資料儲存!D460</f>
        <v>0</v>
      </c>
      <c r="AD128" s="39">
        <f>資料儲存!E460</f>
        <v>0</v>
      </c>
      <c r="AE128" s="39">
        <f>資料儲存!F460</f>
        <v>0</v>
      </c>
      <c r="AF128" s="39">
        <f>資料儲存!G460</f>
        <v>0</v>
      </c>
      <c r="AG128" s="39">
        <f>資料儲存!H460</f>
        <v>0</v>
      </c>
      <c r="AH128" s="39">
        <f>資料儲存!I460</f>
        <v>0</v>
      </c>
      <c r="AI128" s="39">
        <f>資料儲存!J460</f>
        <v>0</v>
      </c>
      <c r="AJ128" s="13"/>
      <c r="AK128" s="38">
        <v>9</v>
      </c>
      <c r="AL128" s="39">
        <f>資料儲存!D580</f>
        <v>0</v>
      </c>
      <c r="AM128" s="39">
        <f>資料儲存!E580</f>
        <v>0</v>
      </c>
      <c r="AN128" s="39">
        <f>資料儲存!F580</f>
        <v>0</v>
      </c>
      <c r="AO128" s="39">
        <f>資料儲存!G580</f>
        <v>0</v>
      </c>
      <c r="AP128" s="39">
        <f>資料儲存!H580</f>
        <v>0</v>
      </c>
      <c r="AQ128" s="39">
        <f>資料儲存!I580</f>
        <v>0</v>
      </c>
      <c r="AR128" s="39">
        <f>資料儲存!J580</f>
        <v>0</v>
      </c>
      <c r="AT128" s="38">
        <v>9</v>
      </c>
      <c r="AU128" s="39">
        <f>資料儲存!D700</f>
        <v>0</v>
      </c>
      <c r="AV128" s="39">
        <f>資料儲存!E700</f>
        <v>0</v>
      </c>
      <c r="AW128" s="39">
        <f>資料儲存!F700</f>
        <v>0</v>
      </c>
      <c r="AX128" s="39">
        <f>資料儲存!G700</f>
        <v>0</v>
      </c>
      <c r="AY128" s="39">
        <f>資料儲存!H700</f>
        <v>0</v>
      </c>
      <c r="AZ128" s="39">
        <f>資料儲存!I700</f>
        <v>0</v>
      </c>
      <c r="BA128" s="39">
        <f>資料儲存!J700</f>
        <v>0</v>
      </c>
    </row>
    <row r="129" spans="1:53" ht="16" thickBot="1">
      <c r="A129" s="38">
        <v>10</v>
      </c>
      <c r="B129" s="39">
        <f>資料儲存!D101</f>
        <v>0</v>
      </c>
      <c r="C129" s="39">
        <f>資料儲存!E101</f>
        <v>0</v>
      </c>
      <c r="D129" s="39">
        <f>資料儲存!F101</f>
        <v>0</v>
      </c>
      <c r="E129" s="39">
        <f>資料儲存!G101</f>
        <v>0</v>
      </c>
      <c r="F129" s="39">
        <f>資料儲存!H101</f>
        <v>0</v>
      </c>
      <c r="G129" s="39">
        <f>資料儲存!I101</f>
        <v>0</v>
      </c>
      <c r="H129" s="39">
        <f>資料儲存!J101</f>
        <v>0</v>
      </c>
      <c r="I129" s="35"/>
      <c r="J129" s="38">
        <v>10</v>
      </c>
      <c r="K129" s="39">
        <f>資料儲存!D221</f>
        <v>0</v>
      </c>
      <c r="L129" s="39">
        <f>資料儲存!E221</f>
        <v>0</v>
      </c>
      <c r="M129" s="39">
        <f>資料儲存!F221</f>
        <v>0</v>
      </c>
      <c r="N129" s="39">
        <f>資料儲存!G221</f>
        <v>0</v>
      </c>
      <c r="O129" s="39">
        <f>資料儲存!H221</f>
        <v>0</v>
      </c>
      <c r="P129" s="39">
        <f>資料儲存!I221</f>
        <v>0</v>
      </c>
      <c r="Q129" s="39">
        <f>資料儲存!J221</f>
        <v>0</v>
      </c>
      <c r="R129" s="35"/>
      <c r="S129" s="38">
        <v>10</v>
      </c>
      <c r="T129" s="39">
        <f>資料儲存!D341</f>
        <v>0</v>
      </c>
      <c r="U129" s="39">
        <f>資料儲存!E341</f>
        <v>0</v>
      </c>
      <c r="V129" s="39">
        <f>資料儲存!F341</f>
        <v>0</v>
      </c>
      <c r="W129" s="39">
        <f>資料儲存!G341</f>
        <v>0</v>
      </c>
      <c r="X129" s="39">
        <f>資料儲存!H341</f>
        <v>0</v>
      </c>
      <c r="Y129" s="39">
        <f>資料儲存!I341</f>
        <v>0</v>
      </c>
      <c r="Z129" s="39">
        <f>資料儲存!J341</f>
        <v>0</v>
      </c>
      <c r="AA129" s="35"/>
      <c r="AB129" s="38">
        <v>10</v>
      </c>
      <c r="AC129" s="39">
        <f>資料儲存!D461</f>
        <v>0</v>
      </c>
      <c r="AD129" s="39">
        <f>資料儲存!E461</f>
        <v>0</v>
      </c>
      <c r="AE129" s="39">
        <f>資料儲存!F461</f>
        <v>0</v>
      </c>
      <c r="AF129" s="39">
        <f>資料儲存!G461</f>
        <v>0</v>
      </c>
      <c r="AG129" s="39">
        <f>資料儲存!H461</f>
        <v>0</v>
      </c>
      <c r="AH129" s="39">
        <f>資料儲存!I461</f>
        <v>0</v>
      </c>
      <c r="AI129" s="39">
        <f>資料儲存!J461</f>
        <v>0</v>
      </c>
      <c r="AJ129" s="13"/>
      <c r="AK129" s="38">
        <v>10</v>
      </c>
      <c r="AL129" s="39">
        <f>資料儲存!D581</f>
        <v>0</v>
      </c>
      <c r="AM129" s="39">
        <f>資料儲存!E581</f>
        <v>0</v>
      </c>
      <c r="AN129" s="39">
        <f>資料儲存!F581</f>
        <v>0</v>
      </c>
      <c r="AO129" s="39">
        <f>資料儲存!G581</f>
        <v>0</v>
      </c>
      <c r="AP129" s="39">
        <f>資料儲存!H581</f>
        <v>0</v>
      </c>
      <c r="AQ129" s="39">
        <f>資料儲存!I581</f>
        <v>0</v>
      </c>
      <c r="AR129" s="39">
        <f>資料儲存!J581</f>
        <v>0</v>
      </c>
      <c r="AT129" s="38">
        <v>10</v>
      </c>
      <c r="AU129" s="39">
        <f>資料儲存!D701</f>
        <v>0</v>
      </c>
      <c r="AV129" s="39">
        <f>資料儲存!E701</f>
        <v>0</v>
      </c>
      <c r="AW129" s="39">
        <f>資料儲存!F701</f>
        <v>0</v>
      </c>
      <c r="AX129" s="39">
        <f>資料儲存!G701</f>
        <v>0</v>
      </c>
      <c r="AY129" s="39">
        <f>資料儲存!H701</f>
        <v>0</v>
      </c>
      <c r="AZ129" s="39">
        <f>資料儲存!I701</f>
        <v>0</v>
      </c>
      <c r="BA129" s="39">
        <f>資料儲存!J701</f>
        <v>0</v>
      </c>
    </row>
    <row r="130" spans="1:53" ht="16" thickBot="1">
      <c r="A130" s="38">
        <v>11</v>
      </c>
      <c r="B130" s="39">
        <f>資料儲存!D102</f>
        <v>0</v>
      </c>
      <c r="C130" s="39">
        <f>資料儲存!E102</f>
        <v>0</v>
      </c>
      <c r="D130" s="39">
        <f>資料儲存!F102</f>
        <v>0</v>
      </c>
      <c r="E130" s="39">
        <f>資料儲存!G102</f>
        <v>0</v>
      </c>
      <c r="F130" s="39">
        <f>資料儲存!H102</f>
        <v>0</v>
      </c>
      <c r="G130" s="39">
        <f>資料儲存!I102</f>
        <v>0</v>
      </c>
      <c r="H130" s="39">
        <f>資料儲存!J102</f>
        <v>0</v>
      </c>
      <c r="I130" s="35"/>
      <c r="J130" s="38">
        <v>11</v>
      </c>
      <c r="K130" s="39">
        <f>資料儲存!D222</f>
        <v>0</v>
      </c>
      <c r="L130" s="39">
        <f>資料儲存!E222</f>
        <v>0</v>
      </c>
      <c r="M130" s="39">
        <f>資料儲存!F222</f>
        <v>0</v>
      </c>
      <c r="N130" s="39">
        <f>資料儲存!G222</f>
        <v>0</v>
      </c>
      <c r="O130" s="39">
        <f>資料儲存!H222</f>
        <v>0</v>
      </c>
      <c r="P130" s="39">
        <f>資料儲存!I222</f>
        <v>0</v>
      </c>
      <c r="Q130" s="39">
        <f>資料儲存!J222</f>
        <v>0</v>
      </c>
      <c r="R130" s="35"/>
      <c r="S130" s="38">
        <v>11</v>
      </c>
      <c r="T130" s="39">
        <f>資料儲存!D342</f>
        <v>0</v>
      </c>
      <c r="U130" s="39">
        <f>資料儲存!E342</f>
        <v>0</v>
      </c>
      <c r="V130" s="39">
        <f>資料儲存!F342</f>
        <v>0</v>
      </c>
      <c r="W130" s="39">
        <f>資料儲存!G342</f>
        <v>0</v>
      </c>
      <c r="X130" s="39">
        <f>資料儲存!H342</f>
        <v>0</v>
      </c>
      <c r="Y130" s="39">
        <f>資料儲存!I342</f>
        <v>0</v>
      </c>
      <c r="Z130" s="39">
        <f>資料儲存!J342</f>
        <v>0</v>
      </c>
      <c r="AA130" s="35"/>
      <c r="AB130" s="38">
        <v>11</v>
      </c>
      <c r="AC130" s="39">
        <f>資料儲存!D462</f>
        <v>0</v>
      </c>
      <c r="AD130" s="39">
        <f>資料儲存!E462</f>
        <v>0</v>
      </c>
      <c r="AE130" s="39">
        <f>資料儲存!F462</f>
        <v>0</v>
      </c>
      <c r="AF130" s="39">
        <f>資料儲存!G462</f>
        <v>0</v>
      </c>
      <c r="AG130" s="39">
        <f>資料儲存!H462</f>
        <v>0</v>
      </c>
      <c r="AH130" s="39">
        <f>資料儲存!I462</f>
        <v>0</v>
      </c>
      <c r="AI130" s="39">
        <f>資料儲存!J462</f>
        <v>0</v>
      </c>
      <c r="AJ130" s="13"/>
      <c r="AK130" s="38">
        <v>11</v>
      </c>
      <c r="AL130" s="39">
        <f>資料儲存!D582</f>
        <v>0</v>
      </c>
      <c r="AM130" s="39">
        <f>資料儲存!E582</f>
        <v>0</v>
      </c>
      <c r="AN130" s="39">
        <f>資料儲存!F582</f>
        <v>0</v>
      </c>
      <c r="AO130" s="39">
        <f>資料儲存!G582</f>
        <v>0</v>
      </c>
      <c r="AP130" s="39">
        <f>資料儲存!H582</f>
        <v>0</v>
      </c>
      <c r="AQ130" s="39">
        <f>資料儲存!I582</f>
        <v>0</v>
      </c>
      <c r="AR130" s="39">
        <f>資料儲存!J582</f>
        <v>0</v>
      </c>
      <c r="AT130" s="38">
        <v>11</v>
      </c>
      <c r="AU130" s="39">
        <f>資料儲存!D702</f>
        <v>0</v>
      </c>
      <c r="AV130" s="39">
        <f>資料儲存!E702</f>
        <v>0</v>
      </c>
      <c r="AW130" s="39">
        <f>資料儲存!F702</f>
        <v>0</v>
      </c>
      <c r="AX130" s="39">
        <f>資料儲存!G702</f>
        <v>0</v>
      </c>
      <c r="AY130" s="39">
        <f>資料儲存!H702</f>
        <v>0</v>
      </c>
      <c r="AZ130" s="39">
        <f>資料儲存!I702</f>
        <v>0</v>
      </c>
      <c r="BA130" s="39">
        <f>資料儲存!J702</f>
        <v>0</v>
      </c>
    </row>
    <row r="131" spans="1:53" ht="16" thickBot="1">
      <c r="A131" s="38">
        <v>12</v>
      </c>
      <c r="B131" s="39">
        <f>資料儲存!D103</f>
        <v>0</v>
      </c>
      <c r="C131" s="39">
        <f>資料儲存!E103</f>
        <v>0</v>
      </c>
      <c r="D131" s="39">
        <f>資料儲存!F103</f>
        <v>0</v>
      </c>
      <c r="E131" s="39">
        <f>資料儲存!G103</f>
        <v>0</v>
      </c>
      <c r="F131" s="39">
        <f>資料儲存!H103</f>
        <v>0</v>
      </c>
      <c r="G131" s="39">
        <f>資料儲存!I103</f>
        <v>0</v>
      </c>
      <c r="H131" s="39">
        <f>資料儲存!J103</f>
        <v>0</v>
      </c>
      <c r="I131" s="35"/>
      <c r="J131" s="38">
        <v>12</v>
      </c>
      <c r="K131" s="39">
        <f>資料儲存!D223</f>
        <v>0</v>
      </c>
      <c r="L131" s="39">
        <f>資料儲存!E223</f>
        <v>0</v>
      </c>
      <c r="M131" s="39">
        <f>資料儲存!F223</f>
        <v>0</v>
      </c>
      <c r="N131" s="39">
        <f>資料儲存!G223</f>
        <v>0</v>
      </c>
      <c r="O131" s="39">
        <f>資料儲存!H223</f>
        <v>0</v>
      </c>
      <c r="P131" s="39">
        <f>資料儲存!I223</f>
        <v>0</v>
      </c>
      <c r="Q131" s="39">
        <f>資料儲存!J223</f>
        <v>0</v>
      </c>
      <c r="R131" s="35"/>
      <c r="S131" s="38">
        <v>12</v>
      </c>
      <c r="T131" s="39">
        <f>資料儲存!D343</f>
        <v>0</v>
      </c>
      <c r="U131" s="39">
        <f>資料儲存!E343</f>
        <v>0</v>
      </c>
      <c r="V131" s="39">
        <f>資料儲存!F343</f>
        <v>0</v>
      </c>
      <c r="W131" s="39">
        <f>資料儲存!G343</f>
        <v>0</v>
      </c>
      <c r="X131" s="39">
        <f>資料儲存!H343</f>
        <v>0</v>
      </c>
      <c r="Y131" s="39">
        <f>資料儲存!I343</f>
        <v>0</v>
      </c>
      <c r="Z131" s="39">
        <f>資料儲存!J343</f>
        <v>0</v>
      </c>
      <c r="AA131" s="35"/>
      <c r="AB131" s="38">
        <v>12</v>
      </c>
      <c r="AC131" s="39">
        <f>資料儲存!D463</f>
        <v>0</v>
      </c>
      <c r="AD131" s="39">
        <f>資料儲存!E463</f>
        <v>0</v>
      </c>
      <c r="AE131" s="39">
        <f>資料儲存!F463</f>
        <v>0</v>
      </c>
      <c r="AF131" s="39">
        <f>資料儲存!G463</f>
        <v>0</v>
      </c>
      <c r="AG131" s="39">
        <f>資料儲存!H463</f>
        <v>0</v>
      </c>
      <c r="AH131" s="39">
        <f>資料儲存!I463</f>
        <v>0</v>
      </c>
      <c r="AI131" s="39">
        <f>資料儲存!J463</f>
        <v>0</v>
      </c>
      <c r="AJ131" s="13"/>
      <c r="AK131" s="38">
        <v>12</v>
      </c>
      <c r="AL131" s="39">
        <f>資料儲存!D583</f>
        <v>0</v>
      </c>
      <c r="AM131" s="39">
        <f>資料儲存!E583</f>
        <v>0</v>
      </c>
      <c r="AN131" s="39">
        <f>資料儲存!F583</f>
        <v>0</v>
      </c>
      <c r="AO131" s="39">
        <f>資料儲存!G583</f>
        <v>0</v>
      </c>
      <c r="AP131" s="39">
        <f>資料儲存!H583</f>
        <v>0</v>
      </c>
      <c r="AQ131" s="39">
        <f>資料儲存!I583</f>
        <v>0</v>
      </c>
      <c r="AR131" s="39">
        <f>資料儲存!J583</f>
        <v>0</v>
      </c>
      <c r="AT131" s="38">
        <v>12</v>
      </c>
      <c r="AU131" s="39">
        <f>資料儲存!D703</f>
        <v>0</v>
      </c>
      <c r="AV131" s="39">
        <f>資料儲存!E703</f>
        <v>0</v>
      </c>
      <c r="AW131" s="39">
        <f>資料儲存!F703</f>
        <v>0</v>
      </c>
      <c r="AX131" s="39">
        <f>資料儲存!G703</f>
        <v>0</v>
      </c>
      <c r="AY131" s="39">
        <f>資料儲存!H703</f>
        <v>0</v>
      </c>
      <c r="AZ131" s="39">
        <f>資料儲存!I703</f>
        <v>0</v>
      </c>
      <c r="BA131" s="39">
        <f>資料儲存!J703</f>
        <v>0</v>
      </c>
    </row>
    <row r="132" spans="1:53" ht="16" thickBot="1">
      <c r="A132" s="38">
        <v>13</v>
      </c>
      <c r="B132" s="39">
        <f>資料儲存!D104</f>
        <v>0</v>
      </c>
      <c r="C132" s="39">
        <f>資料儲存!E104</f>
        <v>0</v>
      </c>
      <c r="D132" s="39">
        <f>資料儲存!F104</f>
        <v>0</v>
      </c>
      <c r="E132" s="39">
        <f>資料儲存!G104</f>
        <v>0</v>
      </c>
      <c r="F132" s="39">
        <f>資料儲存!H104</f>
        <v>0</v>
      </c>
      <c r="G132" s="39">
        <f>資料儲存!I104</f>
        <v>0</v>
      </c>
      <c r="H132" s="39">
        <f>資料儲存!J104</f>
        <v>0</v>
      </c>
      <c r="I132" s="35"/>
      <c r="J132" s="38">
        <v>13</v>
      </c>
      <c r="K132" s="39">
        <f>資料儲存!D224</f>
        <v>0</v>
      </c>
      <c r="L132" s="39">
        <f>資料儲存!E224</f>
        <v>0</v>
      </c>
      <c r="M132" s="39">
        <f>資料儲存!F224</f>
        <v>0</v>
      </c>
      <c r="N132" s="39">
        <f>資料儲存!G224</f>
        <v>0</v>
      </c>
      <c r="O132" s="39">
        <f>資料儲存!H224</f>
        <v>0</v>
      </c>
      <c r="P132" s="39">
        <f>資料儲存!I224</f>
        <v>0</v>
      </c>
      <c r="Q132" s="39">
        <f>資料儲存!J224</f>
        <v>0</v>
      </c>
      <c r="R132" s="35"/>
      <c r="S132" s="38">
        <v>13</v>
      </c>
      <c r="T132" s="39">
        <f>資料儲存!D344</f>
        <v>0</v>
      </c>
      <c r="U132" s="39">
        <f>資料儲存!E344</f>
        <v>0</v>
      </c>
      <c r="V132" s="39">
        <f>資料儲存!F344</f>
        <v>0</v>
      </c>
      <c r="W132" s="39">
        <f>資料儲存!G344</f>
        <v>0</v>
      </c>
      <c r="X132" s="39">
        <f>資料儲存!H344</f>
        <v>0</v>
      </c>
      <c r="Y132" s="39">
        <f>資料儲存!I344</f>
        <v>0</v>
      </c>
      <c r="Z132" s="39">
        <f>資料儲存!J344</f>
        <v>0</v>
      </c>
      <c r="AA132" s="35"/>
      <c r="AB132" s="38">
        <v>13</v>
      </c>
      <c r="AC132" s="39">
        <f>資料儲存!D464</f>
        <v>0</v>
      </c>
      <c r="AD132" s="39">
        <f>資料儲存!E464</f>
        <v>0</v>
      </c>
      <c r="AE132" s="39">
        <f>資料儲存!F464</f>
        <v>0</v>
      </c>
      <c r="AF132" s="39">
        <f>資料儲存!G464</f>
        <v>0</v>
      </c>
      <c r="AG132" s="39">
        <f>資料儲存!H464</f>
        <v>0</v>
      </c>
      <c r="AH132" s="39">
        <f>資料儲存!I464</f>
        <v>0</v>
      </c>
      <c r="AI132" s="39">
        <f>資料儲存!J464</f>
        <v>0</v>
      </c>
      <c r="AJ132" s="13"/>
      <c r="AK132" s="38">
        <v>13</v>
      </c>
      <c r="AL132" s="39">
        <f>資料儲存!D584</f>
        <v>0</v>
      </c>
      <c r="AM132" s="39">
        <f>資料儲存!E584</f>
        <v>0</v>
      </c>
      <c r="AN132" s="39">
        <f>資料儲存!F584</f>
        <v>0</v>
      </c>
      <c r="AO132" s="39">
        <f>資料儲存!G584</f>
        <v>0</v>
      </c>
      <c r="AP132" s="39">
        <f>資料儲存!H584</f>
        <v>0</v>
      </c>
      <c r="AQ132" s="39">
        <f>資料儲存!I584</f>
        <v>0</v>
      </c>
      <c r="AR132" s="39">
        <f>資料儲存!J584</f>
        <v>0</v>
      </c>
      <c r="AT132" s="38">
        <v>13</v>
      </c>
      <c r="AU132" s="39">
        <f>資料儲存!D704</f>
        <v>0</v>
      </c>
      <c r="AV132" s="39">
        <f>資料儲存!E704</f>
        <v>0</v>
      </c>
      <c r="AW132" s="39">
        <f>資料儲存!F704</f>
        <v>0</v>
      </c>
      <c r="AX132" s="39">
        <f>資料儲存!G704</f>
        <v>0</v>
      </c>
      <c r="AY132" s="39">
        <f>資料儲存!H704</f>
        <v>0</v>
      </c>
      <c r="AZ132" s="39">
        <f>資料儲存!I704</f>
        <v>0</v>
      </c>
      <c r="BA132" s="39">
        <f>資料儲存!J704</f>
        <v>0</v>
      </c>
    </row>
    <row r="133" spans="1:53" ht="16" thickBot="1">
      <c r="A133" s="38">
        <v>14</v>
      </c>
      <c r="B133" s="39">
        <f>資料儲存!D105</f>
        <v>0</v>
      </c>
      <c r="C133" s="39">
        <f>資料儲存!E105</f>
        <v>0</v>
      </c>
      <c r="D133" s="39">
        <f>資料儲存!F105</f>
        <v>0</v>
      </c>
      <c r="E133" s="39">
        <f>資料儲存!G105</f>
        <v>0</v>
      </c>
      <c r="F133" s="39">
        <f>資料儲存!H105</f>
        <v>0</v>
      </c>
      <c r="G133" s="39">
        <f>資料儲存!I105</f>
        <v>0</v>
      </c>
      <c r="H133" s="39">
        <f>資料儲存!J105</f>
        <v>0</v>
      </c>
      <c r="I133" s="35"/>
      <c r="J133" s="38">
        <v>14</v>
      </c>
      <c r="K133" s="39">
        <f>資料儲存!D225</f>
        <v>0</v>
      </c>
      <c r="L133" s="39">
        <f>資料儲存!E225</f>
        <v>0</v>
      </c>
      <c r="M133" s="39">
        <f>資料儲存!F225</f>
        <v>0</v>
      </c>
      <c r="N133" s="39">
        <f>資料儲存!G225</f>
        <v>0</v>
      </c>
      <c r="O133" s="39">
        <f>資料儲存!H225</f>
        <v>0</v>
      </c>
      <c r="P133" s="39">
        <f>資料儲存!I225</f>
        <v>0</v>
      </c>
      <c r="Q133" s="39">
        <f>資料儲存!J225</f>
        <v>0</v>
      </c>
      <c r="R133" s="35"/>
      <c r="S133" s="38">
        <v>14</v>
      </c>
      <c r="T133" s="39">
        <f>資料儲存!D345</f>
        <v>0</v>
      </c>
      <c r="U133" s="39">
        <f>資料儲存!E345</f>
        <v>0</v>
      </c>
      <c r="V133" s="39">
        <f>資料儲存!F345</f>
        <v>0</v>
      </c>
      <c r="W133" s="39">
        <f>資料儲存!G345</f>
        <v>0</v>
      </c>
      <c r="X133" s="39">
        <f>資料儲存!H345</f>
        <v>0</v>
      </c>
      <c r="Y133" s="39">
        <f>資料儲存!I345</f>
        <v>0</v>
      </c>
      <c r="Z133" s="39">
        <f>資料儲存!J345</f>
        <v>0</v>
      </c>
      <c r="AA133" s="35"/>
      <c r="AB133" s="38">
        <v>14</v>
      </c>
      <c r="AC133" s="39">
        <f>資料儲存!D465</f>
        <v>0</v>
      </c>
      <c r="AD133" s="39">
        <f>資料儲存!E465</f>
        <v>0</v>
      </c>
      <c r="AE133" s="39">
        <f>資料儲存!F465</f>
        <v>0</v>
      </c>
      <c r="AF133" s="39">
        <f>資料儲存!G465</f>
        <v>0</v>
      </c>
      <c r="AG133" s="39">
        <f>資料儲存!H465</f>
        <v>0</v>
      </c>
      <c r="AH133" s="39">
        <f>資料儲存!I465</f>
        <v>0</v>
      </c>
      <c r="AI133" s="39">
        <f>資料儲存!J465</f>
        <v>0</v>
      </c>
      <c r="AJ133" s="13"/>
      <c r="AK133" s="38">
        <v>14</v>
      </c>
      <c r="AL133" s="39">
        <f>資料儲存!D585</f>
        <v>0</v>
      </c>
      <c r="AM133" s="39">
        <f>資料儲存!E585</f>
        <v>0</v>
      </c>
      <c r="AN133" s="39">
        <f>資料儲存!F585</f>
        <v>0</v>
      </c>
      <c r="AO133" s="39">
        <f>資料儲存!G585</f>
        <v>0</v>
      </c>
      <c r="AP133" s="39">
        <f>資料儲存!H585</f>
        <v>0</v>
      </c>
      <c r="AQ133" s="39">
        <f>資料儲存!I585</f>
        <v>0</v>
      </c>
      <c r="AR133" s="39">
        <f>資料儲存!J585</f>
        <v>0</v>
      </c>
      <c r="AT133" s="38">
        <v>14</v>
      </c>
      <c r="AU133" s="39">
        <f>資料儲存!D705</f>
        <v>0</v>
      </c>
      <c r="AV133" s="39">
        <f>資料儲存!E705</f>
        <v>0</v>
      </c>
      <c r="AW133" s="39">
        <f>資料儲存!F705</f>
        <v>0</v>
      </c>
      <c r="AX133" s="39">
        <f>資料儲存!G705</f>
        <v>0</v>
      </c>
      <c r="AY133" s="39">
        <f>資料儲存!H705</f>
        <v>0</v>
      </c>
      <c r="AZ133" s="39">
        <f>資料儲存!I705</f>
        <v>0</v>
      </c>
      <c r="BA133" s="39">
        <f>資料儲存!J705</f>
        <v>0</v>
      </c>
    </row>
    <row r="134" spans="1:53" ht="16" thickBot="1">
      <c r="A134" s="38">
        <v>15</v>
      </c>
      <c r="B134" s="39">
        <f>資料儲存!D106</f>
        <v>0</v>
      </c>
      <c r="C134" s="39">
        <f>資料儲存!E106</f>
        <v>0</v>
      </c>
      <c r="D134" s="39">
        <f>資料儲存!F106</f>
        <v>0</v>
      </c>
      <c r="E134" s="39">
        <f>資料儲存!G106</f>
        <v>0</v>
      </c>
      <c r="F134" s="39">
        <f>資料儲存!H106</f>
        <v>0</v>
      </c>
      <c r="G134" s="39">
        <f>資料儲存!I106</f>
        <v>0</v>
      </c>
      <c r="H134" s="39">
        <f>資料儲存!J106</f>
        <v>0</v>
      </c>
      <c r="I134" s="35"/>
      <c r="J134" s="38">
        <v>15</v>
      </c>
      <c r="K134" s="39">
        <f>資料儲存!D226</f>
        <v>0</v>
      </c>
      <c r="L134" s="39">
        <f>資料儲存!E226</f>
        <v>0</v>
      </c>
      <c r="M134" s="39">
        <f>資料儲存!F226</f>
        <v>0</v>
      </c>
      <c r="N134" s="39">
        <f>資料儲存!G226</f>
        <v>0</v>
      </c>
      <c r="O134" s="39">
        <f>資料儲存!H226</f>
        <v>0</v>
      </c>
      <c r="P134" s="39">
        <f>資料儲存!I226</f>
        <v>0</v>
      </c>
      <c r="Q134" s="39">
        <f>資料儲存!J226</f>
        <v>0</v>
      </c>
      <c r="R134" s="35"/>
      <c r="S134" s="38">
        <v>15</v>
      </c>
      <c r="T134" s="39">
        <f>資料儲存!D346</f>
        <v>0</v>
      </c>
      <c r="U134" s="39">
        <f>資料儲存!E346</f>
        <v>0</v>
      </c>
      <c r="V134" s="39">
        <f>資料儲存!F346</f>
        <v>0</v>
      </c>
      <c r="W134" s="39">
        <f>資料儲存!G346</f>
        <v>0</v>
      </c>
      <c r="X134" s="39">
        <f>資料儲存!H346</f>
        <v>0</v>
      </c>
      <c r="Y134" s="39">
        <f>資料儲存!I346</f>
        <v>0</v>
      </c>
      <c r="Z134" s="39">
        <f>資料儲存!J346</f>
        <v>0</v>
      </c>
      <c r="AA134" s="35"/>
      <c r="AB134" s="38">
        <v>15</v>
      </c>
      <c r="AC134" s="39">
        <f>資料儲存!D466</f>
        <v>0</v>
      </c>
      <c r="AD134" s="39">
        <f>資料儲存!E466</f>
        <v>0</v>
      </c>
      <c r="AE134" s="39">
        <f>資料儲存!F466</f>
        <v>0</v>
      </c>
      <c r="AF134" s="39">
        <f>資料儲存!G466</f>
        <v>0</v>
      </c>
      <c r="AG134" s="39">
        <f>資料儲存!H466</f>
        <v>0</v>
      </c>
      <c r="AH134" s="39">
        <f>資料儲存!I466</f>
        <v>0</v>
      </c>
      <c r="AI134" s="39">
        <f>資料儲存!J466</f>
        <v>0</v>
      </c>
      <c r="AJ134" s="13"/>
      <c r="AK134" s="38">
        <v>15</v>
      </c>
      <c r="AL134" s="39">
        <f>資料儲存!D586</f>
        <v>0</v>
      </c>
      <c r="AM134" s="39">
        <f>資料儲存!E586</f>
        <v>0</v>
      </c>
      <c r="AN134" s="39">
        <f>資料儲存!F586</f>
        <v>0</v>
      </c>
      <c r="AO134" s="39">
        <f>資料儲存!G586</f>
        <v>0</v>
      </c>
      <c r="AP134" s="39">
        <f>資料儲存!H586</f>
        <v>0</v>
      </c>
      <c r="AQ134" s="39">
        <f>資料儲存!I586</f>
        <v>0</v>
      </c>
      <c r="AR134" s="39">
        <f>資料儲存!J586</f>
        <v>0</v>
      </c>
      <c r="AT134" s="38">
        <v>15</v>
      </c>
      <c r="AU134" s="39">
        <f>資料儲存!D706</f>
        <v>0</v>
      </c>
      <c r="AV134" s="39">
        <f>資料儲存!E706</f>
        <v>0</v>
      </c>
      <c r="AW134" s="39">
        <f>資料儲存!F706</f>
        <v>0</v>
      </c>
      <c r="AX134" s="39">
        <f>資料儲存!G706</f>
        <v>0</v>
      </c>
      <c r="AY134" s="39">
        <f>資料儲存!H706</f>
        <v>0</v>
      </c>
      <c r="AZ134" s="39">
        <f>資料儲存!I706</f>
        <v>0</v>
      </c>
      <c r="BA134" s="39">
        <f>資料儲存!J706</f>
        <v>0</v>
      </c>
    </row>
    <row r="135" spans="1:53" ht="17.25" customHeight="1" thickBot="1">
      <c r="A135" s="40" t="s">
        <v>56</v>
      </c>
      <c r="B135" s="39">
        <f>SUM(B120:E134)</f>
        <v>0</v>
      </c>
      <c r="C135" s="37"/>
      <c r="D135" s="37"/>
      <c r="E135" s="37"/>
      <c r="F135" s="39">
        <f>F134</f>
        <v>0</v>
      </c>
      <c r="G135" s="39">
        <f>G134</f>
        <v>0</v>
      </c>
      <c r="H135" s="39">
        <f>H134</f>
        <v>0</v>
      </c>
      <c r="I135" s="35"/>
      <c r="J135" s="40" t="s">
        <v>56</v>
      </c>
      <c r="K135" s="39">
        <f>SUM(K120:N134)</f>
        <v>0</v>
      </c>
      <c r="L135" s="37"/>
      <c r="M135" s="37"/>
      <c r="N135" s="37"/>
      <c r="O135" s="39">
        <f>O134</f>
        <v>0</v>
      </c>
      <c r="P135" s="39">
        <f>P134</f>
        <v>0</v>
      </c>
      <c r="Q135" s="39">
        <f>Q134</f>
        <v>0</v>
      </c>
      <c r="R135" s="35"/>
      <c r="S135" s="40" t="s">
        <v>56</v>
      </c>
      <c r="T135" s="39">
        <f>SUM(T120:W134)</f>
        <v>0</v>
      </c>
      <c r="U135" s="37"/>
      <c r="V135" s="37"/>
      <c r="W135" s="37"/>
      <c r="X135" s="39">
        <f>X134</f>
        <v>0</v>
      </c>
      <c r="Y135" s="39">
        <f>Y134</f>
        <v>0</v>
      </c>
      <c r="Z135" s="39">
        <f>Z134</f>
        <v>0</v>
      </c>
      <c r="AA135" s="35"/>
      <c r="AB135" s="40" t="s">
        <v>56</v>
      </c>
      <c r="AC135" s="39">
        <f>SUM(AC120:AF134)</f>
        <v>0</v>
      </c>
      <c r="AD135" s="37"/>
      <c r="AE135" s="37"/>
      <c r="AF135" s="37"/>
      <c r="AG135" s="39">
        <f>AG134</f>
        <v>0</v>
      </c>
      <c r="AH135" s="39">
        <f>AH134</f>
        <v>0</v>
      </c>
      <c r="AI135" s="39">
        <f>AI134</f>
        <v>0</v>
      </c>
      <c r="AJ135" s="13"/>
      <c r="AK135" s="40" t="s">
        <v>56</v>
      </c>
      <c r="AL135" s="39">
        <f>SUM(AL120:AO134)</f>
        <v>0</v>
      </c>
      <c r="AM135" s="37"/>
      <c r="AN135" s="37"/>
      <c r="AO135" s="37"/>
      <c r="AP135" s="39">
        <f>AP134</f>
        <v>0</v>
      </c>
      <c r="AQ135" s="39">
        <f>AQ134</f>
        <v>0</v>
      </c>
      <c r="AR135" s="39">
        <f>AR134</f>
        <v>0</v>
      </c>
      <c r="AT135" s="40" t="s">
        <v>56</v>
      </c>
      <c r="AU135" s="39">
        <f>SUM(AU120:AX134)</f>
        <v>0</v>
      </c>
      <c r="AV135" s="37"/>
      <c r="AW135" s="37"/>
      <c r="AX135" s="37"/>
      <c r="AY135" s="39">
        <f>AY134</f>
        <v>0</v>
      </c>
      <c r="AZ135" s="39">
        <f>AZ134</f>
        <v>0</v>
      </c>
      <c r="BA135" s="39">
        <f>BA134</f>
        <v>0</v>
      </c>
    </row>
    <row r="136" spans="1:53" ht="18.5" thickBot="1">
      <c r="A136" s="248" t="s">
        <v>65</v>
      </c>
      <c r="B136" s="249"/>
      <c r="C136" s="249"/>
      <c r="D136" s="249"/>
      <c r="E136" s="249"/>
      <c r="F136" s="249"/>
      <c r="G136" s="249"/>
      <c r="H136" s="250"/>
      <c r="I136" s="13"/>
      <c r="J136" s="248" t="s">
        <v>65</v>
      </c>
      <c r="K136" s="249"/>
      <c r="L136" s="249"/>
      <c r="M136" s="249"/>
      <c r="N136" s="249"/>
      <c r="O136" s="249"/>
      <c r="P136" s="249"/>
      <c r="Q136" s="250"/>
      <c r="R136" s="13"/>
      <c r="S136" s="248" t="s">
        <v>65</v>
      </c>
      <c r="T136" s="249"/>
      <c r="U136" s="249"/>
      <c r="V136" s="249"/>
      <c r="W136" s="249"/>
      <c r="X136" s="249"/>
      <c r="Y136" s="249"/>
      <c r="Z136" s="250"/>
      <c r="AA136" s="13"/>
      <c r="AB136" s="248" t="s">
        <v>65</v>
      </c>
      <c r="AC136" s="249"/>
      <c r="AD136" s="249"/>
      <c r="AE136" s="249"/>
      <c r="AF136" s="249"/>
      <c r="AG136" s="249"/>
      <c r="AH136" s="249"/>
      <c r="AI136" s="250"/>
      <c r="AJ136" s="13"/>
      <c r="AK136" s="248" t="s">
        <v>65</v>
      </c>
      <c r="AL136" s="249"/>
      <c r="AM136" s="249"/>
      <c r="AN136" s="249"/>
      <c r="AO136" s="249"/>
      <c r="AP136" s="249"/>
      <c r="AQ136" s="249"/>
      <c r="AR136" s="250"/>
      <c r="AT136" s="248" t="s">
        <v>65</v>
      </c>
      <c r="AU136" s="249"/>
      <c r="AV136" s="249"/>
      <c r="AW136" s="249"/>
      <c r="AX136" s="249"/>
      <c r="AY136" s="249"/>
      <c r="AZ136" s="249"/>
      <c r="BA136" s="250"/>
    </row>
    <row r="137" spans="1:53" ht="17.25" customHeight="1" thickBot="1">
      <c r="A137" s="41" t="s">
        <v>2</v>
      </c>
      <c r="B137" s="42" t="s">
        <v>46</v>
      </c>
      <c r="C137" s="43"/>
      <c r="D137" s="43"/>
      <c r="E137" s="44"/>
      <c r="F137" s="42" t="s">
        <v>47</v>
      </c>
      <c r="G137" s="43"/>
      <c r="H137" s="44"/>
      <c r="I137" s="45"/>
      <c r="J137" s="41" t="s">
        <v>2</v>
      </c>
      <c r="K137" s="42" t="s">
        <v>46</v>
      </c>
      <c r="L137" s="43"/>
      <c r="M137" s="43"/>
      <c r="N137" s="44"/>
      <c r="O137" s="42" t="s">
        <v>47</v>
      </c>
      <c r="P137" s="43"/>
      <c r="Q137" s="44"/>
      <c r="R137" s="45"/>
      <c r="S137" s="41" t="s">
        <v>2</v>
      </c>
      <c r="T137" s="42" t="s">
        <v>46</v>
      </c>
      <c r="U137" s="43"/>
      <c r="V137" s="43"/>
      <c r="W137" s="44"/>
      <c r="X137" s="42" t="s">
        <v>47</v>
      </c>
      <c r="Y137" s="43"/>
      <c r="Z137" s="44"/>
      <c r="AA137" s="45"/>
      <c r="AB137" s="41" t="s">
        <v>2</v>
      </c>
      <c r="AC137" s="42" t="s">
        <v>46</v>
      </c>
      <c r="AD137" s="43"/>
      <c r="AE137" s="43"/>
      <c r="AF137" s="44"/>
      <c r="AG137" s="42" t="s">
        <v>47</v>
      </c>
      <c r="AH137" s="43"/>
      <c r="AI137" s="44"/>
      <c r="AJ137" s="13"/>
      <c r="AK137" s="41" t="s">
        <v>2</v>
      </c>
      <c r="AL137" s="42" t="s">
        <v>46</v>
      </c>
      <c r="AM137" s="43"/>
      <c r="AN137" s="43"/>
      <c r="AO137" s="44"/>
      <c r="AP137" s="42" t="s">
        <v>47</v>
      </c>
      <c r="AQ137" s="43"/>
      <c r="AR137" s="44"/>
      <c r="AT137" s="41" t="s">
        <v>2</v>
      </c>
      <c r="AU137" s="42" t="s">
        <v>46</v>
      </c>
      <c r="AV137" s="43"/>
      <c r="AW137" s="43"/>
      <c r="AX137" s="44"/>
      <c r="AY137" s="42" t="s">
        <v>47</v>
      </c>
      <c r="AZ137" s="43"/>
      <c r="BA137" s="44"/>
    </row>
    <row r="138" spans="1:53" ht="16" thickBot="1">
      <c r="A138" s="46" t="s">
        <v>66</v>
      </c>
      <c r="B138" s="47" t="s">
        <v>49</v>
      </c>
      <c r="C138" s="47" t="s">
        <v>50</v>
      </c>
      <c r="D138" s="47" t="s">
        <v>51</v>
      </c>
      <c r="E138" s="47" t="s">
        <v>52</v>
      </c>
      <c r="F138" s="47" t="s">
        <v>53</v>
      </c>
      <c r="G138" s="47" t="s">
        <v>54</v>
      </c>
      <c r="H138" s="47" t="s">
        <v>55</v>
      </c>
      <c r="I138" s="45"/>
      <c r="J138" s="46" t="s">
        <v>66</v>
      </c>
      <c r="K138" s="47" t="s">
        <v>49</v>
      </c>
      <c r="L138" s="47" t="s">
        <v>50</v>
      </c>
      <c r="M138" s="47" t="s">
        <v>51</v>
      </c>
      <c r="N138" s="47" t="s">
        <v>52</v>
      </c>
      <c r="O138" s="47" t="s">
        <v>53</v>
      </c>
      <c r="P138" s="47" t="s">
        <v>54</v>
      </c>
      <c r="Q138" s="47" t="s">
        <v>55</v>
      </c>
      <c r="R138" s="45"/>
      <c r="S138" s="46" t="s">
        <v>66</v>
      </c>
      <c r="T138" s="47" t="s">
        <v>49</v>
      </c>
      <c r="U138" s="47" t="s">
        <v>50</v>
      </c>
      <c r="V138" s="47" t="s">
        <v>51</v>
      </c>
      <c r="W138" s="47" t="s">
        <v>52</v>
      </c>
      <c r="X138" s="47" t="s">
        <v>53</v>
      </c>
      <c r="Y138" s="47" t="s">
        <v>54</v>
      </c>
      <c r="Z138" s="47" t="s">
        <v>55</v>
      </c>
      <c r="AA138" s="45"/>
      <c r="AB138" s="46" t="s">
        <v>66</v>
      </c>
      <c r="AC138" s="47" t="s">
        <v>49</v>
      </c>
      <c r="AD138" s="47" t="s">
        <v>50</v>
      </c>
      <c r="AE138" s="47" t="s">
        <v>51</v>
      </c>
      <c r="AF138" s="47" t="s">
        <v>52</v>
      </c>
      <c r="AG138" s="47" t="s">
        <v>53</v>
      </c>
      <c r="AH138" s="47" t="s">
        <v>54</v>
      </c>
      <c r="AI138" s="47" t="s">
        <v>55</v>
      </c>
      <c r="AJ138" s="13"/>
      <c r="AK138" s="46" t="s">
        <v>66</v>
      </c>
      <c r="AL138" s="47" t="s">
        <v>49</v>
      </c>
      <c r="AM138" s="47" t="s">
        <v>50</v>
      </c>
      <c r="AN138" s="47" t="s">
        <v>51</v>
      </c>
      <c r="AO138" s="47" t="s">
        <v>52</v>
      </c>
      <c r="AP138" s="47" t="s">
        <v>53</v>
      </c>
      <c r="AQ138" s="47" t="s">
        <v>54</v>
      </c>
      <c r="AR138" s="47" t="s">
        <v>55</v>
      </c>
      <c r="AT138" s="46" t="s">
        <v>66</v>
      </c>
      <c r="AU138" s="47" t="s">
        <v>49</v>
      </c>
      <c r="AV138" s="47" t="s">
        <v>50</v>
      </c>
      <c r="AW138" s="47" t="s">
        <v>51</v>
      </c>
      <c r="AX138" s="47" t="s">
        <v>52</v>
      </c>
      <c r="AY138" s="47" t="s">
        <v>53</v>
      </c>
      <c r="AZ138" s="47" t="s">
        <v>54</v>
      </c>
      <c r="BA138" s="47" t="s">
        <v>55</v>
      </c>
    </row>
    <row r="139" spans="1:53" ht="16" thickBot="1">
      <c r="A139" s="48">
        <v>16</v>
      </c>
      <c r="B139" s="49">
        <f>資料儲存!D107</f>
        <v>0</v>
      </c>
      <c r="C139" s="49">
        <f>資料儲存!E107</f>
        <v>0</v>
      </c>
      <c r="D139" s="49">
        <f>資料儲存!F107</f>
        <v>0</v>
      </c>
      <c r="E139" s="49">
        <f>資料儲存!G107</f>
        <v>0</v>
      </c>
      <c r="F139" s="49">
        <f>資料儲存!H107</f>
        <v>0</v>
      </c>
      <c r="G139" s="49">
        <f>資料儲存!I107</f>
        <v>0</v>
      </c>
      <c r="H139" s="49">
        <f>資料儲存!J107</f>
        <v>0</v>
      </c>
      <c r="I139" s="45"/>
      <c r="J139" s="48">
        <v>16</v>
      </c>
      <c r="K139" s="49">
        <f>資料儲存!D227</f>
        <v>0</v>
      </c>
      <c r="L139" s="49">
        <f>資料儲存!E227</f>
        <v>0</v>
      </c>
      <c r="M139" s="49">
        <f>資料儲存!F227</f>
        <v>0</v>
      </c>
      <c r="N139" s="49">
        <f>資料儲存!G227</f>
        <v>0</v>
      </c>
      <c r="O139" s="49">
        <f>資料儲存!H227</f>
        <v>0</v>
      </c>
      <c r="P139" s="49">
        <f>資料儲存!I227</f>
        <v>0</v>
      </c>
      <c r="Q139" s="49">
        <f>資料儲存!J227</f>
        <v>0</v>
      </c>
      <c r="R139" s="45"/>
      <c r="S139" s="48">
        <v>16</v>
      </c>
      <c r="T139" s="49">
        <f>資料儲存!D347</f>
        <v>0</v>
      </c>
      <c r="U139" s="49">
        <f>資料儲存!E347</f>
        <v>0</v>
      </c>
      <c r="V139" s="49">
        <f>資料儲存!F347</f>
        <v>0</v>
      </c>
      <c r="W139" s="49">
        <f>資料儲存!G347</f>
        <v>0</v>
      </c>
      <c r="X139" s="49">
        <f>資料儲存!H347</f>
        <v>0</v>
      </c>
      <c r="Y139" s="49">
        <f>資料儲存!I347</f>
        <v>0</v>
      </c>
      <c r="Z139" s="49">
        <f>資料儲存!J347</f>
        <v>0</v>
      </c>
      <c r="AA139" s="45"/>
      <c r="AB139" s="48">
        <v>16</v>
      </c>
      <c r="AC139" s="49">
        <f>資料儲存!D467</f>
        <v>0</v>
      </c>
      <c r="AD139" s="49">
        <f>資料儲存!E467</f>
        <v>0</v>
      </c>
      <c r="AE139" s="49">
        <f>資料儲存!F467</f>
        <v>0</v>
      </c>
      <c r="AF139" s="49">
        <f>資料儲存!G467</f>
        <v>0</v>
      </c>
      <c r="AG139" s="49">
        <f>資料儲存!H467</f>
        <v>0</v>
      </c>
      <c r="AH139" s="49">
        <f>資料儲存!I467</f>
        <v>0</v>
      </c>
      <c r="AI139" s="49">
        <f>資料儲存!J467</f>
        <v>0</v>
      </c>
      <c r="AJ139" s="13"/>
      <c r="AK139" s="48">
        <v>16</v>
      </c>
      <c r="AL139" s="49">
        <f>資料儲存!D587</f>
        <v>0</v>
      </c>
      <c r="AM139" s="49">
        <f>資料儲存!E587</f>
        <v>0</v>
      </c>
      <c r="AN139" s="49">
        <f>資料儲存!F587</f>
        <v>0</v>
      </c>
      <c r="AO139" s="49">
        <f>資料儲存!G587</f>
        <v>0</v>
      </c>
      <c r="AP139" s="49">
        <f>資料儲存!H587</f>
        <v>0</v>
      </c>
      <c r="AQ139" s="49">
        <f>資料儲存!I587</f>
        <v>0</v>
      </c>
      <c r="AR139" s="49">
        <f>資料儲存!J587</f>
        <v>0</v>
      </c>
      <c r="AT139" s="48">
        <v>16</v>
      </c>
      <c r="AU139" s="49">
        <f>資料儲存!D707</f>
        <v>0</v>
      </c>
      <c r="AV139" s="49">
        <f>資料儲存!E707</f>
        <v>0</v>
      </c>
      <c r="AW139" s="49">
        <f>資料儲存!F707</f>
        <v>0</v>
      </c>
      <c r="AX139" s="49">
        <f>資料儲存!G707</f>
        <v>0</v>
      </c>
      <c r="AY139" s="49">
        <f>資料儲存!H707</f>
        <v>0</v>
      </c>
      <c r="AZ139" s="49">
        <f>資料儲存!I707</f>
        <v>0</v>
      </c>
      <c r="BA139" s="49">
        <f>資料儲存!J707</f>
        <v>0</v>
      </c>
    </row>
    <row r="140" spans="1:53" ht="16" thickBot="1">
      <c r="A140" s="48">
        <v>17</v>
      </c>
      <c r="B140" s="49">
        <f>資料儲存!D108</f>
        <v>0</v>
      </c>
      <c r="C140" s="49">
        <f>資料儲存!E108</f>
        <v>0</v>
      </c>
      <c r="D140" s="49">
        <f>資料儲存!F108</f>
        <v>0</v>
      </c>
      <c r="E140" s="49">
        <f>資料儲存!G108</f>
        <v>0</v>
      </c>
      <c r="F140" s="49">
        <f>資料儲存!H108</f>
        <v>0</v>
      </c>
      <c r="G140" s="49">
        <f>資料儲存!I108</f>
        <v>0</v>
      </c>
      <c r="H140" s="49">
        <f>資料儲存!J108</f>
        <v>0</v>
      </c>
      <c r="I140" s="45"/>
      <c r="J140" s="48">
        <v>17</v>
      </c>
      <c r="K140" s="49">
        <f>資料儲存!D228</f>
        <v>0</v>
      </c>
      <c r="L140" s="49">
        <f>資料儲存!E228</f>
        <v>0</v>
      </c>
      <c r="M140" s="49">
        <f>資料儲存!F228</f>
        <v>0</v>
      </c>
      <c r="N140" s="49">
        <f>資料儲存!G228</f>
        <v>0</v>
      </c>
      <c r="O140" s="49">
        <f>資料儲存!H228</f>
        <v>0</v>
      </c>
      <c r="P140" s="49">
        <f>資料儲存!I228</f>
        <v>0</v>
      </c>
      <c r="Q140" s="49">
        <f>資料儲存!J228</f>
        <v>0</v>
      </c>
      <c r="R140" s="45"/>
      <c r="S140" s="48">
        <v>17</v>
      </c>
      <c r="T140" s="49">
        <f>資料儲存!D348</f>
        <v>0</v>
      </c>
      <c r="U140" s="49">
        <f>資料儲存!E348</f>
        <v>0</v>
      </c>
      <c r="V140" s="49">
        <f>資料儲存!F348</f>
        <v>0</v>
      </c>
      <c r="W140" s="49">
        <f>資料儲存!G348</f>
        <v>0</v>
      </c>
      <c r="X140" s="49">
        <f>資料儲存!H348</f>
        <v>0</v>
      </c>
      <c r="Y140" s="49">
        <f>資料儲存!I348</f>
        <v>0</v>
      </c>
      <c r="Z140" s="49">
        <f>資料儲存!J348</f>
        <v>0</v>
      </c>
      <c r="AA140" s="45"/>
      <c r="AB140" s="48">
        <v>17</v>
      </c>
      <c r="AC140" s="49">
        <f>資料儲存!D468</f>
        <v>0</v>
      </c>
      <c r="AD140" s="49">
        <f>資料儲存!E468</f>
        <v>0</v>
      </c>
      <c r="AE140" s="49">
        <f>資料儲存!F468</f>
        <v>0</v>
      </c>
      <c r="AF140" s="49">
        <f>資料儲存!G468</f>
        <v>0</v>
      </c>
      <c r="AG140" s="49">
        <f>資料儲存!H468</f>
        <v>0</v>
      </c>
      <c r="AH140" s="49">
        <f>資料儲存!I468</f>
        <v>0</v>
      </c>
      <c r="AI140" s="49">
        <f>資料儲存!J468</f>
        <v>0</v>
      </c>
      <c r="AJ140" s="13"/>
      <c r="AK140" s="48">
        <v>17</v>
      </c>
      <c r="AL140" s="49">
        <f>資料儲存!D588</f>
        <v>0</v>
      </c>
      <c r="AM140" s="49">
        <f>資料儲存!E588</f>
        <v>0</v>
      </c>
      <c r="AN140" s="49">
        <f>資料儲存!F588</f>
        <v>0</v>
      </c>
      <c r="AO140" s="49">
        <f>資料儲存!G588</f>
        <v>0</v>
      </c>
      <c r="AP140" s="49">
        <f>資料儲存!H588</f>
        <v>0</v>
      </c>
      <c r="AQ140" s="49">
        <f>資料儲存!I588</f>
        <v>0</v>
      </c>
      <c r="AR140" s="49">
        <f>資料儲存!J588</f>
        <v>0</v>
      </c>
      <c r="AT140" s="48">
        <v>17</v>
      </c>
      <c r="AU140" s="49">
        <f>資料儲存!D708</f>
        <v>0</v>
      </c>
      <c r="AV140" s="49">
        <f>資料儲存!E708</f>
        <v>0</v>
      </c>
      <c r="AW140" s="49">
        <f>資料儲存!F708</f>
        <v>0</v>
      </c>
      <c r="AX140" s="49">
        <f>資料儲存!G708</f>
        <v>0</v>
      </c>
      <c r="AY140" s="49">
        <f>資料儲存!H708</f>
        <v>0</v>
      </c>
      <c r="AZ140" s="49">
        <f>資料儲存!I708</f>
        <v>0</v>
      </c>
      <c r="BA140" s="49">
        <f>資料儲存!J708</f>
        <v>0</v>
      </c>
    </row>
    <row r="141" spans="1:53" ht="16" thickBot="1">
      <c r="A141" s="48">
        <v>18</v>
      </c>
      <c r="B141" s="49">
        <f>資料儲存!D109</f>
        <v>0</v>
      </c>
      <c r="C141" s="49">
        <f>資料儲存!E109</f>
        <v>0</v>
      </c>
      <c r="D141" s="49">
        <f>資料儲存!F109</f>
        <v>0</v>
      </c>
      <c r="E141" s="49">
        <f>資料儲存!G109</f>
        <v>0</v>
      </c>
      <c r="F141" s="49">
        <f>資料儲存!H109</f>
        <v>0</v>
      </c>
      <c r="G141" s="49">
        <f>資料儲存!I109</f>
        <v>0</v>
      </c>
      <c r="H141" s="49">
        <f>資料儲存!J109</f>
        <v>0</v>
      </c>
      <c r="I141" s="45"/>
      <c r="J141" s="48">
        <v>18</v>
      </c>
      <c r="K141" s="49">
        <f>資料儲存!D229</f>
        <v>0</v>
      </c>
      <c r="L141" s="49">
        <f>資料儲存!E229</f>
        <v>0</v>
      </c>
      <c r="M141" s="49">
        <f>資料儲存!F229</f>
        <v>0</v>
      </c>
      <c r="N141" s="49">
        <f>資料儲存!G229</f>
        <v>0</v>
      </c>
      <c r="O141" s="49">
        <f>資料儲存!H229</f>
        <v>0</v>
      </c>
      <c r="P141" s="49">
        <f>資料儲存!I229</f>
        <v>0</v>
      </c>
      <c r="Q141" s="49">
        <f>資料儲存!J229</f>
        <v>0</v>
      </c>
      <c r="R141" s="45"/>
      <c r="S141" s="48">
        <v>18</v>
      </c>
      <c r="T141" s="49">
        <f>資料儲存!D349</f>
        <v>0</v>
      </c>
      <c r="U141" s="49">
        <f>資料儲存!E349</f>
        <v>0</v>
      </c>
      <c r="V141" s="49">
        <f>資料儲存!F349</f>
        <v>0</v>
      </c>
      <c r="W141" s="49">
        <f>資料儲存!G349</f>
        <v>0</v>
      </c>
      <c r="X141" s="49">
        <f>資料儲存!H349</f>
        <v>0</v>
      </c>
      <c r="Y141" s="49">
        <f>資料儲存!I349</f>
        <v>0</v>
      </c>
      <c r="Z141" s="49">
        <f>資料儲存!J349</f>
        <v>0</v>
      </c>
      <c r="AA141" s="45"/>
      <c r="AB141" s="48">
        <v>18</v>
      </c>
      <c r="AC141" s="49">
        <f>資料儲存!D469</f>
        <v>0</v>
      </c>
      <c r="AD141" s="49">
        <f>資料儲存!E469</f>
        <v>0</v>
      </c>
      <c r="AE141" s="49">
        <f>資料儲存!F469</f>
        <v>0</v>
      </c>
      <c r="AF141" s="49">
        <f>資料儲存!G469</f>
        <v>0</v>
      </c>
      <c r="AG141" s="49">
        <f>資料儲存!H469</f>
        <v>0</v>
      </c>
      <c r="AH141" s="49">
        <f>資料儲存!I469</f>
        <v>0</v>
      </c>
      <c r="AI141" s="49">
        <f>資料儲存!J469</f>
        <v>0</v>
      </c>
      <c r="AJ141" s="13"/>
      <c r="AK141" s="48">
        <v>18</v>
      </c>
      <c r="AL141" s="49">
        <f>資料儲存!D589</f>
        <v>0</v>
      </c>
      <c r="AM141" s="49">
        <f>資料儲存!E589</f>
        <v>0</v>
      </c>
      <c r="AN141" s="49">
        <f>資料儲存!F589</f>
        <v>0</v>
      </c>
      <c r="AO141" s="49">
        <f>資料儲存!G589</f>
        <v>0</v>
      </c>
      <c r="AP141" s="49">
        <f>資料儲存!H589</f>
        <v>0</v>
      </c>
      <c r="AQ141" s="49">
        <f>資料儲存!I589</f>
        <v>0</v>
      </c>
      <c r="AR141" s="49">
        <f>資料儲存!J589</f>
        <v>0</v>
      </c>
      <c r="AT141" s="48">
        <v>18</v>
      </c>
      <c r="AU141" s="49">
        <f>資料儲存!D709</f>
        <v>0</v>
      </c>
      <c r="AV141" s="49">
        <f>資料儲存!E709</f>
        <v>0</v>
      </c>
      <c r="AW141" s="49">
        <f>資料儲存!F709</f>
        <v>0</v>
      </c>
      <c r="AX141" s="49">
        <f>資料儲存!G709</f>
        <v>0</v>
      </c>
      <c r="AY141" s="49">
        <f>資料儲存!H709</f>
        <v>0</v>
      </c>
      <c r="AZ141" s="49">
        <f>資料儲存!I709</f>
        <v>0</v>
      </c>
      <c r="BA141" s="49">
        <f>資料儲存!J709</f>
        <v>0</v>
      </c>
    </row>
    <row r="142" spans="1:53" ht="16" thickBot="1">
      <c r="A142" s="48">
        <v>19</v>
      </c>
      <c r="B142" s="49">
        <f>資料儲存!D110</f>
        <v>0</v>
      </c>
      <c r="C142" s="49">
        <f>資料儲存!E110</f>
        <v>0</v>
      </c>
      <c r="D142" s="49">
        <f>資料儲存!F110</f>
        <v>0</v>
      </c>
      <c r="E142" s="49">
        <f>資料儲存!G110</f>
        <v>0</v>
      </c>
      <c r="F142" s="49">
        <f>資料儲存!H110</f>
        <v>0</v>
      </c>
      <c r="G142" s="49">
        <f>資料儲存!I110</f>
        <v>0</v>
      </c>
      <c r="H142" s="49">
        <f>資料儲存!J110</f>
        <v>0</v>
      </c>
      <c r="I142" s="45"/>
      <c r="J142" s="48">
        <v>19</v>
      </c>
      <c r="K142" s="49">
        <f>資料儲存!D230</f>
        <v>0</v>
      </c>
      <c r="L142" s="49">
        <f>資料儲存!E230</f>
        <v>0</v>
      </c>
      <c r="M142" s="49">
        <f>資料儲存!F230</f>
        <v>0</v>
      </c>
      <c r="N142" s="49">
        <f>資料儲存!G230</f>
        <v>0</v>
      </c>
      <c r="O142" s="49">
        <f>資料儲存!H230</f>
        <v>0</v>
      </c>
      <c r="P142" s="49">
        <f>資料儲存!I230</f>
        <v>0</v>
      </c>
      <c r="Q142" s="49">
        <f>資料儲存!J230</f>
        <v>0</v>
      </c>
      <c r="R142" s="45"/>
      <c r="S142" s="48">
        <v>19</v>
      </c>
      <c r="T142" s="49">
        <f>資料儲存!D350</f>
        <v>0</v>
      </c>
      <c r="U142" s="49">
        <f>資料儲存!E350</f>
        <v>0</v>
      </c>
      <c r="V142" s="49">
        <f>資料儲存!F350</f>
        <v>0</v>
      </c>
      <c r="W142" s="49">
        <f>資料儲存!G350</f>
        <v>0</v>
      </c>
      <c r="X142" s="49">
        <f>資料儲存!H350</f>
        <v>0</v>
      </c>
      <c r="Y142" s="49">
        <f>資料儲存!I350</f>
        <v>0</v>
      </c>
      <c r="Z142" s="49">
        <f>資料儲存!J350</f>
        <v>0</v>
      </c>
      <c r="AA142" s="45"/>
      <c r="AB142" s="48">
        <v>19</v>
      </c>
      <c r="AC142" s="49">
        <f>資料儲存!D470</f>
        <v>0</v>
      </c>
      <c r="AD142" s="49">
        <f>資料儲存!E470</f>
        <v>0</v>
      </c>
      <c r="AE142" s="49">
        <f>資料儲存!F470</f>
        <v>0</v>
      </c>
      <c r="AF142" s="49">
        <f>資料儲存!G470</f>
        <v>0</v>
      </c>
      <c r="AG142" s="49">
        <f>資料儲存!H470</f>
        <v>0</v>
      </c>
      <c r="AH142" s="49">
        <f>資料儲存!I470</f>
        <v>0</v>
      </c>
      <c r="AI142" s="49">
        <f>資料儲存!J470</f>
        <v>0</v>
      </c>
      <c r="AJ142" s="13"/>
      <c r="AK142" s="48">
        <v>19</v>
      </c>
      <c r="AL142" s="49">
        <f>資料儲存!D590</f>
        <v>0</v>
      </c>
      <c r="AM142" s="49">
        <f>資料儲存!E590</f>
        <v>0</v>
      </c>
      <c r="AN142" s="49">
        <f>資料儲存!F590</f>
        <v>0</v>
      </c>
      <c r="AO142" s="49">
        <f>資料儲存!G590</f>
        <v>0</v>
      </c>
      <c r="AP142" s="49">
        <f>資料儲存!H590</f>
        <v>0</v>
      </c>
      <c r="AQ142" s="49">
        <f>資料儲存!I590</f>
        <v>0</v>
      </c>
      <c r="AR142" s="49">
        <f>資料儲存!J590</f>
        <v>0</v>
      </c>
      <c r="AT142" s="48">
        <v>19</v>
      </c>
      <c r="AU142" s="49">
        <f>資料儲存!D710</f>
        <v>0</v>
      </c>
      <c r="AV142" s="49">
        <f>資料儲存!E710</f>
        <v>0</v>
      </c>
      <c r="AW142" s="49">
        <f>資料儲存!F710</f>
        <v>0</v>
      </c>
      <c r="AX142" s="49">
        <f>資料儲存!G710</f>
        <v>0</v>
      </c>
      <c r="AY142" s="49">
        <f>資料儲存!H710</f>
        <v>0</v>
      </c>
      <c r="AZ142" s="49">
        <f>資料儲存!I710</f>
        <v>0</v>
      </c>
      <c r="BA142" s="49">
        <f>資料儲存!J710</f>
        <v>0</v>
      </c>
    </row>
    <row r="143" spans="1:53" ht="16" thickBot="1">
      <c r="A143" s="48">
        <v>20</v>
      </c>
      <c r="B143" s="49">
        <f>資料儲存!D111</f>
        <v>0</v>
      </c>
      <c r="C143" s="49">
        <f>資料儲存!E111</f>
        <v>0</v>
      </c>
      <c r="D143" s="49">
        <f>資料儲存!F111</f>
        <v>0</v>
      </c>
      <c r="E143" s="49">
        <f>資料儲存!G111</f>
        <v>0</v>
      </c>
      <c r="F143" s="49">
        <f>資料儲存!H111</f>
        <v>0</v>
      </c>
      <c r="G143" s="49">
        <f>資料儲存!I111</f>
        <v>0</v>
      </c>
      <c r="H143" s="49">
        <f>資料儲存!J111</f>
        <v>0</v>
      </c>
      <c r="I143" s="45"/>
      <c r="J143" s="48">
        <v>20</v>
      </c>
      <c r="K143" s="49">
        <f>資料儲存!D231</f>
        <v>0</v>
      </c>
      <c r="L143" s="49">
        <f>資料儲存!E231</f>
        <v>0</v>
      </c>
      <c r="M143" s="49">
        <f>資料儲存!F231</f>
        <v>0</v>
      </c>
      <c r="N143" s="49">
        <f>資料儲存!G231</f>
        <v>0</v>
      </c>
      <c r="O143" s="49">
        <f>資料儲存!H231</f>
        <v>0</v>
      </c>
      <c r="P143" s="49">
        <f>資料儲存!I231</f>
        <v>0</v>
      </c>
      <c r="Q143" s="49">
        <f>資料儲存!J231</f>
        <v>0</v>
      </c>
      <c r="R143" s="45"/>
      <c r="S143" s="48">
        <v>20</v>
      </c>
      <c r="T143" s="49">
        <f>資料儲存!D351</f>
        <v>0</v>
      </c>
      <c r="U143" s="49">
        <f>資料儲存!E351</f>
        <v>0</v>
      </c>
      <c r="V143" s="49">
        <f>資料儲存!F351</f>
        <v>0</v>
      </c>
      <c r="W143" s="49">
        <f>資料儲存!G351</f>
        <v>0</v>
      </c>
      <c r="X143" s="49">
        <f>資料儲存!H351</f>
        <v>0</v>
      </c>
      <c r="Y143" s="49">
        <f>資料儲存!I351</f>
        <v>0</v>
      </c>
      <c r="Z143" s="49">
        <f>資料儲存!J351</f>
        <v>0</v>
      </c>
      <c r="AA143" s="45"/>
      <c r="AB143" s="48">
        <v>20</v>
      </c>
      <c r="AC143" s="49">
        <f>資料儲存!D471</f>
        <v>0</v>
      </c>
      <c r="AD143" s="49">
        <f>資料儲存!E471</f>
        <v>0</v>
      </c>
      <c r="AE143" s="49">
        <f>資料儲存!F471</f>
        <v>0</v>
      </c>
      <c r="AF143" s="49">
        <f>資料儲存!G471</f>
        <v>0</v>
      </c>
      <c r="AG143" s="49">
        <f>資料儲存!H471</f>
        <v>0</v>
      </c>
      <c r="AH143" s="49">
        <f>資料儲存!I471</f>
        <v>0</v>
      </c>
      <c r="AI143" s="49">
        <f>資料儲存!J471</f>
        <v>0</v>
      </c>
      <c r="AJ143" s="13"/>
      <c r="AK143" s="48">
        <v>20</v>
      </c>
      <c r="AL143" s="49">
        <f>資料儲存!D591</f>
        <v>0</v>
      </c>
      <c r="AM143" s="49">
        <f>資料儲存!E591</f>
        <v>0</v>
      </c>
      <c r="AN143" s="49">
        <f>資料儲存!F591</f>
        <v>0</v>
      </c>
      <c r="AO143" s="49">
        <f>資料儲存!G591</f>
        <v>0</v>
      </c>
      <c r="AP143" s="49">
        <f>資料儲存!H591</f>
        <v>0</v>
      </c>
      <c r="AQ143" s="49">
        <f>資料儲存!I591</f>
        <v>0</v>
      </c>
      <c r="AR143" s="49">
        <f>資料儲存!J591</f>
        <v>0</v>
      </c>
      <c r="AT143" s="48">
        <v>20</v>
      </c>
      <c r="AU143" s="49">
        <f>資料儲存!D711</f>
        <v>0</v>
      </c>
      <c r="AV143" s="49">
        <f>資料儲存!E711</f>
        <v>0</v>
      </c>
      <c r="AW143" s="49">
        <f>資料儲存!F711</f>
        <v>0</v>
      </c>
      <c r="AX143" s="49">
        <f>資料儲存!G711</f>
        <v>0</v>
      </c>
      <c r="AY143" s="49">
        <f>資料儲存!H711</f>
        <v>0</v>
      </c>
      <c r="AZ143" s="49">
        <f>資料儲存!I711</f>
        <v>0</v>
      </c>
      <c r="BA143" s="49">
        <f>資料儲存!J711</f>
        <v>0</v>
      </c>
    </row>
    <row r="144" spans="1:53" ht="16" thickBot="1">
      <c r="A144" s="48">
        <v>21</v>
      </c>
      <c r="B144" s="49">
        <f>資料儲存!D112</f>
        <v>0</v>
      </c>
      <c r="C144" s="49">
        <f>資料儲存!E112</f>
        <v>0</v>
      </c>
      <c r="D144" s="49">
        <f>資料儲存!F112</f>
        <v>0</v>
      </c>
      <c r="E144" s="49">
        <f>資料儲存!G112</f>
        <v>0</v>
      </c>
      <c r="F144" s="49">
        <f>資料儲存!H112</f>
        <v>0</v>
      </c>
      <c r="G144" s="49">
        <f>資料儲存!I112</f>
        <v>0</v>
      </c>
      <c r="H144" s="49">
        <f>資料儲存!J112</f>
        <v>0</v>
      </c>
      <c r="I144" s="45"/>
      <c r="J144" s="48">
        <v>21</v>
      </c>
      <c r="K144" s="49">
        <f>資料儲存!D232</f>
        <v>0</v>
      </c>
      <c r="L144" s="49">
        <f>資料儲存!E232</f>
        <v>0</v>
      </c>
      <c r="M144" s="49">
        <f>資料儲存!F232</f>
        <v>0</v>
      </c>
      <c r="N144" s="49">
        <f>資料儲存!G232</f>
        <v>0</v>
      </c>
      <c r="O144" s="49">
        <f>資料儲存!H232</f>
        <v>0</v>
      </c>
      <c r="P144" s="49">
        <f>資料儲存!I232</f>
        <v>0</v>
      </c>
      <c r="Q144" s="49">
        <f>資料儲存!J232</f>
        <v>0</v>
      </c>
      <c r="R144" s="45"/>
      <c r="S144" s="48">
        <v>21</v>
      </c>
      <c r="T144" s="49">
        <f>資料儲存!D352</f>
        <v>0</v>
      </c>
      <c r="U144" s="49">
        <f>資料儲存!E352</f>
        <v>0</v>
      </c>
      <c r="V144" s="49">
        <f>資料儲存!F352</f>
        <v>0</v>
      </c>
      <c r="W144" s="49">
        <f>資料儲存!G352</f>
        <v>0</v>
      </c>
      <c r="X144" s="49">
        <f>資料儲存!H352</f>
        <v>0</v>
      </c>
      <c r="Y144" s="49">
        <f>資料儲存!I352</f>
        <v>0</v>
      </c>
      <c r="Z144" s="49">
        <f>資料儲存!J352</f>
        <v>0</v>
      </c>
      <c r="AA144" s="45"/>
      <c r="AB144" s="48">
        <v>21</v>
      </c>
      <c r="AC144" s="49">
        <f>資料儲存!D472</f>
        <v>0</v>
      </c>
      <c r="AD144" s="49">
        <f>資料儲存!E472</f>
        <v>0</v>
      </c>
      <c r="AE144" s="49">
        <f>資料儲存!F472</f>
        <v>0</v>
      </c>
      <c r="AF144" s="49">
        <f>資料儲存!G472</f>
        <v>0</v>
      </c>
      <c r="AG144" s="49">
        <f>資料儲存!H472</f>
        <v>0</v>
      </c>
      <c r="AH144" s="49">
        <f>資料儲存!I472</f>
        <v>0</v>
      </c>
      <c r="AI144" s="49">
        <f>資料儲存!J472</f>
        <v>0</v>
      </c>
      <c r="AJ144" s="13"/>
      <c r="AK144" s="48">
        <v>21</v>
      </c>
      <c r="AL144" s="49">
        <f>資料儲存!D592</f>
        <v>0</v>
      </c>
      <c r="AM144" s="49">
        <f>資料儲存!E592</f>
        <v>0</v>
      </c>
      <c r="AN144" s="49">
        <f>資料儲存!F592</f>
        <v>0</v>
      </c>
      <c r="AO144" s="49">
        <f>資料儲存!G592</f>
        <v>0</v>
      </c>
      <c r="AP144" s="49">
        <f>資料儲存!H592</f>
        <v>0</v>
      </c>
      <c r="AQ144" s="49">
        <f>資料儲存!I592</f>
        <v>0</v>
      </c>
      <c r="AR144" s="49">
        <f>資料儲存!J592</f>
        <v>0</v>
      </c>
      <c r="AT144" s="48">
        <v>21</v>
      </c>
      <c r="AU144" s="49">
        <f>資料儲存!D712</f>
        <v>0</v>
      </c>
      <c r="AV144" s="49">
        <f>資料儲存!E712</f>
        <v>0</v>
      </c>
      <c r="AW144" s="49">
        <f>資料儲存!F712</f>
        <v>0</v>
      </c>
      <c r="AX144" s="49">
        <f>資料儲存!G712</f>
        <v>0</v>
      </c>
      <c r="AY144" s="49">
        <f>資料儲存!H712</f>
        <v>0</v>
      </c>
      <c r="AZ144" s="49">
        <f>資料儲存!I712</f>
        <v>0</v>
      </c>
      <c r="BA144" s="49">
        <f>資料儲存!J712</f>
        <v>0</v>
      </c>
    </row>
    <row r="145" spans="1:53" ht="16" thickBot="1">
      <c r="A145" s="48">
        <v>22</v>
      </c>
      <c r="B145" s="49">
        <f>資料儲存!D113</f>
        <v>0</v>
      </c>
      <c r="C145" s="49">
        <f>資料儲存!E113</f>
        <v>0</v>
      </c>
      <c r="D145" s="49">
        <f>資料儲存!F113</f>
        <v>0</v>
      </c>
      <c r="E145" s="49">
        <f>資料儲存!G113</f>
        <v>0</v>
      </c>
      <c r="F145" s="49">
        <f>資料儲存!H113</f>
        <v>0</v>
      </c>
      <c r="G145" s="49">
        <f>資料儲存!I113</f>
        <v>0</v>
      </c>
      <c r="H145" s="49">
        <f>資料儲存!J113</f>
        <v>0</v>
      </c>
      <c r="I145" s="45"/>
      <c r="J145" s="48">
        <v>22</v>
      </c>
      <c r="K145" s="49">
        <f>資料儲存!D233</f>
        <v>0</v>
      </c>
      <c r="L145" s="49">
        <f>資料儲存!E233</f>
        <v>0</v>
      </c>
      <c r="M145" s="49">
        <f>資料儲存!F233</f>
        <v>0</v>
      </c>
      <c r="N145" s="49">
        <f>資料儲存!G233</f>
        <v>0</v>
      </c>
      <c r="O145" s="49">
        <f>資料儲存!H233</f>
        <v>0</v>
      </c>
      <c r="P145" s="49">
        <f>資料儲存!I233</f>
        <v>0</v>
      </c>
      <c r="Q145" s="49">
        <f>資料儲存!J233</f>
        <v>0</v>
      </c>
      <c r="R145" s="45"/>
      <c r="S145" s="48">
        <v>22</v>
      </c>
      <c r="T145" s="49">
        <f>資料儲存!D353</f>
        <v>0</v>
      </c>
      <c r="U145" s="49">
        <f>資料儲存!E353</f>
        <v>0</v>
      </c>
      <c r="V145" s="49">
        <f>資料儲存!F353</f>
        <v>0</v>
      </c>
      <c r="W145" s="49">
        <f>資料儲存!G353</f>
        <v>0</v>
      </c>
      <c r="X145" s="49">
        <f>資料儲存!H353</f>
        <v>0</v>
      </c>
      <c r="Y145" s="49">
        <f>資料儲存!I353</f>
        <v>0</v>
      </c>
      <c r="Z145" s="49">
        <f>資料儲存!J353</f>
        <v>0</v>
      </c>
      <c r="AA145" s="45"/>
      <c r="AB145" s="48">
        <v>22</v>
      </c>
      <c r="AC145" s="49">
        <f>資料儲存!D473</f>
        <v>0</v>
      </c>
      <c r="AD145" s="49">
        <f>資料儲存!E473</f>
        <v>0</v>
      </c>
      <c r="AE145" s="49">
        <f>資料儲存!F473</f>
        <v>0</v>
      </c>
      <c r="AF145" s="49">
        <f>資料儲存!G473</f>
        <v>0</v>
      </c>
      <c r="AG145" s="49">
        <f>資料儲存!H473</f>
        <v>0</v>
      </c>
      <c r="AH145" s="49">
        <f>資料儲存!I473</f>
        <v>0</v>
      </c>
      <c r="AI145" s="49">
        <f>資料儲存!J473</f>
        <v>0</v>
      </c>
      <c r="AJ145" s="13"/>
      <c r="AK145" s="48">
        <v>22</v>
      </c>
      <c r="AL145" s="49">
        <f>資料儲存!D593</f>
        <v>0</v>
      </c>
      <c r="AM145" s="49">
        <f>資料儲存!E593</f>
        <v>0</v>
      </c>
      <c r="AN145" s="49">
        <f>資料儲存!F593</f>
        <v>0</v>
      </c>
      <c r="AO145" s="49">
        <f>資料儲存!G593</f>
        <v>0</v>
      </c>
      <c r="AP145" s="49">
        <f>資料儲存!H593</f>
        <v>0</v>
      </c>
      <c r="AQ145" s="49">
        <f>資料儲存!I593</f>
        <v>0</v>
      </c>
      <c r="AR145" s="49">
        <f>資料儲存!J593</f>
        <v>0</v>
      </c>
      <c r="AT145" s="48">
        <v>22</v>
      </c>
      <c r="AU145" s="49">
        <f>資料儲存!D713</f>
        <v>0</v>
      </c>
      <c r="AV145" s="49">
        <f>資料儲存!E713</f>
        <v>0</v>
      </c>
      <c r="AW145" s="49">
        <f>資料儲存!F713</f>
        <v>0</v>
      </c>
      <c r="AX145" s="49">
        <f>資料儲存!G713</f>
        <v>0</v>
      </c>
      <c r="AY145" s="49">
        <f>資料儲存!H713</f>
        <v>0</v>
      </c>
      <c r="AZ145" s="49">
        <f>資料儲存!I713</f>
        <v>0</v>
      </c>
      <c r="BA145" s="49">
        <f>資料儲存!J713</f>
        <v>0</v>
      </c>
    </row>
    <row r="146" spans="1:53" ht="16" thickBot="1">
      <c r="A146" s="48">
        <v>23</v>
      </c>
      <c r="B146" s="49">
        <f>資料儲存!D114</f>
        <v>0</v>
      </c>
      <c r="C146" s="49">
        <f>資料儲存!E114</f>
        <v>0</v>
      </c>
      <c r="D146" s="49">
        <f>資料儲存!F114</f>
        <v>0</v>
      </c>
      <c r="E146" s="49">
        <f>資料儲存!G114</f>
        <v>0</v>
      </c>
      <c r="F146" s="49">
        <f>資料儲存!H114</f>
        <v>0</v>
      </c>
      <c r="G146" s="49">
        <f>資料儲存!I114</f>
        <v>0</v>
      </c>
      <c r="H146" s="49">
        <f>資料儲存!J114</f>
        <v>0</v>
      </c>
      <c r="I146" s="45"/>
      <c r="J146" s="48">
        <v>23</v>
      </c>
      <c r="K146" s="49">
        <f>資料儲存!D234</f>
        <v>0</v>
      </c>
      <c r="L146" s="49">
        <f>資料儲存!E234</f>
        <v>0</v>
      </c>
      <c r="M146" s="49">
        <f>資料儲存!F234</f>
        <v>0</v>
      </c>
      <c r="N146" s="49">
        <f>資料儲存!G234</f>
        <v>0</v>
      </c>
      <c r="O146" s="49">
        <f>資料儲存!H234</f>
        <v>0</v>
      </c>
      <c r="P146" s="49">
        <f>資料儲存!I234</f>
        <v>0</v>
      </c>
      <c r="Q146" s="49">
        <f>資料儲存!J234</f>
        <v>0</v>
      </c>
      <c r="R146" s="45"/>
      <c r="S146" s="48">
        <v>23</v>
      </c>
      <c r="T146" s="49">
        <f>資料儲存!D354</f>
        <v>0</v>
      </c>
      <c r="U146" s="49">
        <f>資料儲存!E354</f>
        <v>0</v>
      </c>
      <c r="V146" s="49">
        <f>資料儲存!F354</f>
        <v>0</v>
      </c>
      <c r="W146" s="49">
        <f>資料儲存!G354</f>
        <v>0</v>
      </c>
      <c r="X146" s="49">
        <f>資料儲存!H354</f>
        <v>0</v>
      </c>
      <c r="Y146" s="49">
        <f>資料儲存!I354</f>
        <v>0</v>
      </c>
      <c r="Z146" s="49">
        <f>資料儲存!J354</f>
        <v>0</v>
      </c>
      <c r="AA146" s="45"/>
      <c r="AB146" s="48">
        <v>23</v>
      </c>
      <c r="AC146" s="49">
        <f>資料儲存!D474</f>
        <v>0</v>
      </c>
      <c r="AD146" s="49">
        <f>資料儲存!E474</f>
        <v>0</v>
      </c>
      <c r="AE146" s="49">
        <f>資料儲存!F474</f>
        <v>0</v>
      </c>
      <c r="AF146" s="49">
        <f>資料儲存!G474</f>
        <v>0</v>
      </c>
      <c r="AG146" s="49">
        <f>資料儲存!H474</f>
        <v>0</v>
      </c>
      <c r="AH146" s="49">
        <f>資料儲存!I474</f>
        <v>0</v>
      </c>
      <c r="AI146" s="49">
        <f>資料儲存!J474</f>
        <v>0</v>
      </c>
      <c r="AJ146" s="13"/>
      <c r="AK146" s="48">
        <v>23</v>
      </c>
      <c r="AL146" s="49">
        <f>資料儲存!D594</f>
        <v>0</v>
      </c>
      <c r="AM146" s="49">
        <f>資料儲存!E594</f>
        <v>0</v>
      </c>
      <c r="AN146" s="49">
        <f>資料儲存!F594</f>
        <v>0</v>
      </c>
      <c r="AO146" s="49">
        <f>資料儲存!G594</f>
        <v>0</v>
      </c>
      <c r="AP146" s="49">
        <f>資料儲存!H594</f>
        <v>0</v>
      </c>
      <c r="AQ146" s="49">
        <f>資料儲存!I594</f>
        <v>0</v>
      </c>
      <c r="AR146" s="49">
        <f>資料儲存!J594</f>
        <v>0</v>
      </c>
      <c r="AT146" s="48">
        <v>23</v>
      </c>
      <c r="AU146" s="49">
        <f>資料儲存!D714</f>
        <v>0</v>
      </c>
      <c r="AV146" s="49">
        <f>資料儲存!E714</f>
        <v>0</v>
      </c>
      <c r="AW146" s="49">
        <f>資料儲存!F714</f>
        <v>0</v>
      </c>
      <c r="AX146" s="49">
        <f>資料儲存!G714</f>
        <v>0</v>
      </c>
      <c r="AY146" s="49">
        <f>資料儲存!H714</f>
        <v>0</v>
      </c>
      <c r="AZ146" s="49">
        <f>資料儲存!I714</f>
        <v>0</v>
      </c>
      <c r="BA146" s="49">
        <f>資料儲存!J714</f>
        <v>0</v>
      </c>
    </row>
    <row r="147" spans="1:53" ht="16" thickBot="1">
      <c r="A147" s="48">
        <v>24</v>
      </c>
      <c r="B147" s="49">
        <f>資料儲存!D115</f>
        <v>0</v>
      </c>
      <c r="C147" s="49">
        <f>資料儲存!E115</f>
        <v>0</v>
      </c>
      <c r="D147" s="49">
        <f>資料儲存!F115</f>
        <v>0</v>
      </c>
      <c r="E147" s="49">
        <f>資料儲存!G115</f>
        <v>0</v>
      </c>
      <c r="F147" s="49">
        <f>資料儲存!H115</f>
        <v>0</v>
      </c>
      <c r="G147" s="49">
        <f>資料儲存!I115</f>
        <v>0</v>
      </c>
      <c r="H147" s="49">
        <f>資料儲存!J115</f>
        <v>0</v>
      </c>
      <c r="I147" s="45"/>
      <c r="J147" s="48">
        <v>24</v>
      </c>
      <c r="K147" s="49">
        <f>資料儲存!D235</f>
        <v>0</v>
      </c>
      <c r="L147" s="49">
        <f>資料儲存!E235</f>
        <v>0</v>
      </c>
      <c r="M147" s="49">
        <f>資料儲存!F235</f>
        <v>0</v>
      </c>
      <c r="N147" s="49">
        <f>資料儲存!G235</f>
        <v>0</v>
      </c>
      <c r="O147" s="49">
        <f>資料儲存!H235</f>
        <v>0</v>
      </c>
      <c r="P147" s="49">
        <f>資料儲存!I235</f>
        <v>0</v>
      </c>
      <c r="Q147" s="49">
        <f>資料儲存!J235</f>
        <v>0</v>
      </c>
      <c r="R147" s="45"/>
      <c r="S147" s="48">
        <v>24</v>
      </c>
      <c r="T147" s="49">
        <f>資料儲存!D355</f>
        <v>0</v>
      </c>
      <c r="U147" s="49">
        <f>資料儲存!E355</f>
        <v>0</v>
      </c>
      <c r="V147" s="49">
        <f>資料儲存!F355</f>
        <v>0</v>
      </c>
      <c r="W147" s="49">
        <f>資料儲存!G355</f>
        <v>0</v>
      </c>
      <c r="X147" s="49">
        <f>資料儲存!H355</f>
        <v>0</v>
      </c>
      <c r="Y147" s="49">
        <f>資料儲存!I355</f>
        <v>0</v>
      </c>
      <c r="Z147" s="49">
        <f>資料儲存!J355</f>
        <v>0</v>
      </c>
      <c r="AA147" s="45"/>
      <c r="AB147" s="48">
        <v>24</v>
      </c>
      <c r="AC147" s="49">
        <f>資料儲存!D475</f>
        <v>0</v>
      </c>
      <c r="AD147" s="49">
        <f>資料儲存!E475</f>
        <v>0</v>
      </c>
      <c r="AE147" s="49">
        <f>資料儲存!F475</f>
        <v>0</v>
      </c>
      <c r="AF147" s="49">
        <f>資料儲存!G475</f>
        <v>0</v>
      </c>
      <c r="AG147" s="49">
        <f>資料儲存!H475</f>
        <v>0</v>
      </c>
      <c r="AH147" s="49">
        <f>資料儲存!I475</f>
        <v>0</v>
      </c>
      <c r="AI147" s="49">
        <f>資料儲存!J475</f>
        <v>0</v>
      </c>
      <c r="AJ147" s="13"/>
      <c r="AK147" s="48">
        <v>24</v>
      </c>
      <c r="AL147" s="49">
        <f>資料儲存!D595</f>
        <v>0</v>
      </c>
      <c r="AM147" s="49">
        <f>資料儲存!E595</f>
        <v>0</v>
      </c>
      <c r="AN147" s="49">
        <f>資料儲存!F595</f>
        <v>0</v>
      </c>
      <c r="AO147" s="49">
        <f>資料儲存!G595</f>
        <v>0</v>
      </c>
      <c r="AP147" s="49">
        <f>資料儲存!H595</f>
        <v>0</v>
      </c>
      <c r="AQ147" s="49">
        <f>資料儲存!I595</f>
        <v>0</v>
      </c>
      <c r="AR147" s="49">
        <f>資料儲存!J595</f>
        <v>0</v>
      </c>
      <c r="AT147" s="48">
        <v>24</v>
      </c>
      <c r="AU147" s="49">
        <f>資料儲存!D715</f>
        <v>0</v>
      </c>
      <c r="AV147" s="49">
        <f>資料儲存!E715</f>
        <v>0</v>
      </c>
      <c r="AW147" s="49">
        <f>資料儲存!F715</f>
        <v>0</v>
      </c>
      <c r="AX147" s="49">
        <f>資料儲存!G715</f>
        <v>0</v>
      </c>
      <c r="AY147" s="49">
        <f>資料儲存!H715</f>
        <v>0</v>
      </c>
      <c r="AZ147" s="49">
        <f>資料儲存!I715</f>
        <v>0</v>
      </c>
      <c r="BA147" s="49">
        <f>資料儲存!J715</f>
        <v>0</v>
      </c>
    </row>
    <row r="148" spans="1:53" ht="16" thickBot="1">
      <c r="A148" s="48">
        <v>25</v>
      </c>
      <c r="B148" s="49">
        <f>資料儲存!D116</f>
        <v>0</v>
      </c>
      <c r="C148" s="49">
        <f>資料儲存!E116</f>
        <v>0</v>
      </c>
      <c r="D148" s="49">
        <f>資料儲存!F116</f>
        <v>0</v>
      </c>
      <c r="E148" s="49">
        <f>資料儲存!G116</f>
        <v>0</v>
      </c>
      <c r="F148" s="49">
        <f>資料儲存!H116</f>
        <v>0</v>
      </c>
      <c r="G148" s="49">
        <f>資料儲存!I116</f>
        <v>0</v>
      </c>
      <c r="H148" s="49">
        <f>資料儲存!J116</f>
        <v>0</v>
      </c>
      <c r="I148" s="45"/>
      <c r="J148" s="48">
        <v>25</v>
      </c>
      <c r="K148" s="49">
        <f>資料儲存!D236</f>
        <v>0</v>
      </c>
      <c r="L148" s="49">
        <f>資料儲存!E236</f>
        <v>0</v>
      </c>
      <c r="M148" s="49">
        <f>資料儲存!F236</f>
        <v>0</v>
      </c>
      <c r="N148" s="49">
        <f>資料儲存!G236</f>
        <v>0</v>
      </c>
      <c r="O148" s="49">
        <f>資料儲存!H236</f>
        <v>0</v>
      </c>
      <c r="P148" s="49">
        <f>資料儲存!I236</f>
        <v>0</v>
      </c>
      <c r="Q148" s="49">
        <f>資料儲存!J236</f>
        <v>0</v>
      </c>
      <c r="R148" s="45"/>
      <c r="S148" s="48">
        <v>25</v>
      </c>
      <c r="T148" s="49">
        <f>資料儲存!D356</f>
        <v>0</v>
      </c>
      <c r="U148" s="49">
        <f>資料儲存!E356</f>
        <v>0</v>
      </c>
      <c r="V148" s="49">
        <f>資料儲存!F356</f>
        <v>0</v>
      </c>
      <c r="W148" s="49">
        <f>資料儲存!G356</f>
        <v>0</v>
      </c>
      <c r="X148" s="49">
        <f>資料儲存!H356</f>
        <v>0</v>
      </c>
      <c r="Y148" s="49">
        <f>資料儲存!I356</f>
        <v>0</v>
      </c>
      <c r="Z148" s="49">
        <f>資料儲存!J356</f>
        <v>0</v>
      </c>
      <c r="AA148" s="45"/>
      <c r="AB148" s="48">
        <v>25</v>
      </c>
      <c r="AC148" s="49">
        <f>資料儲存!D476</f>
        <v>0</v>
      </c>
      <c r="AD148" s="49">
        <f>資料儲存!E476</f>
        <v>0</v>
      </c>
      <c r="AE148" s="49">
        <f>資料儲存!F476</f>
        <v>0</v>
      </c>
      <c r="AF148" s="49">
        <f>資料儲存!G476</f>
        <v>0</v>
      </c>
      <c r="AG148" s="49">
        <f>資料儲存!H476</f>
        <v>0</v>
      </c>
      <c r="AH148" s="49">
        <f>資料儲存!I476</f>
        <v>0</v>
      </c>
      <c r="AI148" s="49">
        <f>資料儲存!J476</f>
        <v>0</v>
      </c>
      <c r="AJ148" s="13"/>
      <c r="AK148" s="48">
        <v>25</v>
      </c>
      <c r="AL148" s="49">
        <f>資料儲存!D596</f>
        <v>0</v>
      </c>
      <c r="AM148" s="49">
        <f>資料儲存!E596</f>
        <v>0</v>
      </c>
      <c r="AN148" s="49">
        <f>資料儲存!F596</f>
        <v>0</v>
      </c>
      <c r="AO148" s="49">
        <f>資料儲存!G596</f>
        <v>0</v>
      </c>
      <c r="AP148" s="49">
        <f>資料儲存!H596</f>
        <v>0</v>
      </c>
      <c r="AQ148" s="49">
        <f>資料儲存!I596</f>
        <v>0</v>
      </c>
      <c r="AR148" s="49">
        <f>資料儲存!J596</f>
        <v>0</v>
      </c>
      <c r="AT148" s="48">
        <v>25</v>
      </c>
      <c r="AU148" s="49">
        <f>資料儲存!D716</f>
        <v>0</v>
      </c>
      <c r="AV148" s="49">
        <f>資料儲存!E716</f>
        <v>0</v>
      </c>
      <c r="AW148" s="49">
        <f>資料儲存!F716</f>
        <v>0</v>
      </c>
      <c r="AX148" s="49">
        <f>資料儲存!G716</f>
        <v>0</v>
      </c>
      <c r="AY148" s="49">
        <f>資料儲存!H716</f>
        <v>0</v>
      </c>
      <c r="AZ148" s="49">
        <f>資料儲存!I716</f>
        <v>0</v>
      </c>
      <c r="BA148" s="49">
        <f>資料儲存!J716</f>
        <v>0</v>
      </c>
    </row>
    <row r="149" spans="1:53" ht="16" thickBot="1">
      <c r="A149" s="48">
        <v>26</v>
      </c>
      <c r="B149" s="49">
        <f>資料儲存!D117</f>
        <v>0</v>
      </c>
      <c r="C149" s="49">
        <f>資料儲存!E117</f>
        <v>0</v>
      </c>
      <c r="D149" s="49">
        <f>資料儲存!F117</f>
        <v>0</v>
      </c>
      <c r="E149" s="49">
        <f>資料儲存!G117</f>
        <v>0</v>
      </c>
      <c r="F149" s="49">
        <f>資料儲存!H117</f>
        <v>0</v>
      </c>
      <c r="G149" s="49">
        <f>資料儲存!I117</f>
        <v>0</v>
      </c>
      <c r="H149" s="49">
        <f>資料儲存!J117</f>
        <v>0</v>
      </c>
      <c r="I149" s="45"/>
      <c r="J149" s="48">
        <v>26</v>
      </c>
      <c r="K149" s="49">
        <f>資料儲存!D237</f>
        <v>0</v>
      </c>
      <c r="L149" s="49">
        <f>資料儲存!E237</f>
        <v>0</v>
      </c>
      <c r="M149" s="49">
        <f>資料儲存!F237</f>
        <v>0</v>
      </c>
      <c r="N149" s="49">
        <f>資料儲存!G237</f>
        <v>0</v>
      </c>
      <c r="O149" s="49">
        <f>資料儲存!H237</f>
        <v>0</v>
      </c>
      <c r="P149" s="49">
        <f>資料儲存!I237</f>
        <v>0</v>
      </c>
      <c r="Q149" s="49">
        <f>資料儲存!J237</f>
        <v>0</v>
      </c>
      <c r="R149" s="45"/>
      <c r="S149" s="48">
        <v>26</v>
      </c>
      <c r="T149" s="49">
        <f>資料儲存!D357</f>
        <v>0</v>
      </c>
      <c r="U149" s="49">
        <f>資料儲存!E357</f>
        <v>0</v>
      </c>
      <c r="V149" s="49">
        <f>資料儲存!F357</f>
        <v>0</v>
      </c>
      <c r="W149" s="49">
        <f>資料儲存!G357</f>
        <v>0</v>
      </c>
      <c r="X149" s="49">
        <f>資料儲存!H357</f>
        <v>0</v>
      </c>
      <c r="Y149" s="49">
        <f>資料儲存!I357</f>
        <v>0</v>
      </c>
      <c r="Z149" s="49">
        <f>資料儲存!J357</f>
        <v>0</v>
      </c>
      <c r="AA149" s="45"/>
      <c r="AB149" s="48">
        <v>26</v>
      </c>
      <c r="AC149" s="49">
        <f>資料儲存!D477</f>
        <v>0</v>
      </c>
      <c r="AD149" s="49">
        <f>資料儲存!E477</f>
        <v>0</v>
      </c>
      <c r="AE149" s="49">
        <f>資料儲存!F477</f>
        <v>0</v>
      </c>
      <c r="AF149" s="49">
        <f>資料儲存!G477</f>
        <v>0</v>
      </c>
      <c r="AG149" s="49">
        <f>資料儲存!H477</f>
        <v>0</v>
      </c>
      <c r="AH149" s="49">
        <f>資料儲存!I477</f>
        <v>0</v>
      </c>
      <c r="AI149" s="49">
        <f>資料儲存!J477</f>
        <v>0</v>
      </c>
      <c r="AJ149" s="13"/>
      <c r="AK149" s="48">
        <v>26</v>
      </c>
      <c r="AL149" s="49">
        <f>資料儲存!D597</f>
        <v>0</v>
      </c>
      <c r="AM149" s="49">
        <f>資料儲存!E597</f>
        <v>0</v>
      </c>
      <c r="AN149" s="49">
        <f>資料儲存!F597</f>
        <v>0</v>
      </c>
      <c r="AO149" s="49">
        <f>資料儲存!G597</f>
        <v>0</v>
      </c>
      <c r="AP149" s="49">
        <f>資料儲存!H597</f>
        <v>0</v>
      </c>
      <c r="AQ149" s="49">
        <f>資料儲存!I597</f>
        <v>0</v>
      </c>
      <c r="AR149" s="49">
        <f>資料儲存!J597</f>
        <v>0</v>
      </c>
      <c r="AT149" s="48">
        <v>26</v>
      </c>
      <c r="AU149" s="49">
        <f>資料儲存!D717</f>
        <v>0</v>
      </c>
      <c r="AV149" s="49">
        <f>資料儲存!E717</f>
        <v>0</v>
      </c>
      <c r="AW149" s="49">
        <f>資料儲存!F717</f>
        <v>0</v>
      </c>
      <c r="AX149" s="49">
        <f>資料儲存!G717</f>
        <v>0</v>
      </c>
      <c r="AY149" s="49">
        <f>資料儲存!H717</f>
        <v>0</v>
      </c>
      <c r="AZ149" s="49">
        <f>資料儲存!I717</f>
        <v>0</v>
      </c>
      <c r="BA149" s="49">
        <f>資料儲存!J717</f>
        <v>0</v>
      </c>
    </row>
    <row r="150" spans="1:53" ht="16" thickBot="1">
      <c r="A150" s="48">
        <v>27</v>
      </c>
      <c r="B150" s="49">
        <f>資料儲存!D118</f>
        <v>0</v>
      </c>
      <c r="C150" s="49">
        <f>資料儲存!E118</f>
        <v>0</v>
      </c>
      <c r="D150" s="49">
        <f>資料儲存!F118</f>
        <v>0</v>
      </c>
      <c r="E150" s="49">
        <f>資料儲存!G118</f>
        <v>0</v>
      </c>
      <c r="F150" s="49">
        <f>資料儲存!H118</f>
        <v>0</v>
      </c>
      <c r="G150" s="49">
        <f>資料儲存!I118</f>
        <v>0</v>
      </c>
      <c r="H150" s="49">
        <f>資料儲存!J118</f>
        <v>0</v>
      </c>
      <c r="I150" s="45"/>
      <c r="J150" s="48">
        <v>27</v>
      </c>
      <c r="K150" s="49">
        <f>資料儲存!D238</f>
        <v>0</v>
      </c>
      <c r="L150" s="49">
        <f>資料儲存!E238</f>
        <v>0</v>
      </c>
      <c r="M150" s="49">
        <f>資料儲存!F238</f>
        <v>0</v>
      </c>
      <c r="N150" s="49">
        <f>資料儲存!G238</f>
        <v>0</v>
      </c>
      <c r="O150" s="49">
        <f>資料儲存!H238</f>
        <v>0</v>
      </c>
      <c r="P150" s="49">
        <f>資料儲存!I238</f>
        <v>0</v>
      </c>
      <c r="Q150" s="49">
        <f>資料儲存!J238</f>
        <v>0</v>
      </c>
      <c r="R150" s="45"/>
      <c r="S150" s="48">
        <v>27</v>
      </c>
      <c r="T150" s="49">
        <f>資料儲存!D358</f>
        <v>0</v>
      </c>
      <c r="U150" s="49">
        <f>資料儲存!E358</f>
        <v>0</v>
      </c>
      <c r="V150" s="49">
        <f>資料儲存!F358</f>
        <v>0</v>
      </c>
      <c r="W150" s="49">
        <f>資料儲存!G358</f>
        <v>0</v>
      </c>
      <c r="X150" s="49">
        <f>資料儲存!H358</f>
        <v>0</v>
      </c>
      <c r="Y150" s="49">
        <f>資料儲存!I358</f>
        <v>0</v>
      </c>
      <c r="Z150" s="49">
        <f>資料儲存!J358</f>
        <v>0</v>
      </c>
      <c r="AA150" s="45"/>
      <c r="AB150" s="48">
        <v>27</v>
      </c>
      <c r="AC150" s="49">
        <f>資料儲存!D478</f>
        <v>0</v>
      </c>
      <c r="AD150" s="49">
        <f>資料儲存!E478</f>
        <v>0</v>
      </c>
      <c r="AE150" s="49">
        <f>資料儲存!F478</f>
        <v>0</v>
      </c>
      <c r="AF150" s="49">
        <f>資料儲存!G478</f>
        <v>0</v>
      </c>
      <c r="AG150" s="49">
        <f>資料儲存!H478</f>
        <v>0</v>
      </c>
      <c r="AH150" s="49">
        <f>資料儲存!I478</f>
        <v>0</v>
      </c>
      <c r="AI150" s="49">
        <f>資料儲存!J478</f>
        <v>0</v>
      </c>
      <c r="AJ150" s="13"/>
      <c r="AK150" s="48">
        <v>27</v>
      </c>
      <c r="AL150" s="49">
        <f>資料儲存!D598</f>
        <v>0</v>
      </c>
      <c r="AM150" s="49">
        <f>資料儲存!E598</f>
        <v>0</v>
      </c>
      <c r="AN150" s="49">
        <f>資料儲存!F598</f>
        <v>0</v>
      </c>
      <c r="AO150" s="49">
        <f>資料儲存!G598</f>
        <v>0</v>
      </c>
      <c r="AP150" s="49">
        <f>資料儲存!H598</f>
        <v>0</v>
      </c>
      <c r="AQ150" s="49">
        <f>資料儲存!I598</f>
        <v>0</v>
      </c>
      <c r="AR150" s="49">
        <f>資料儲存!J598</f>
        <v>0</v>
      </c>
      <c r="AT150" s="48">
        <v>27</v>
      </c>
      <c r="AU150" s="49">
        <f>資料儲存!D718</f>
        <v>0</v>
      </c>
      <c r="AV150" s="49">
        <f>資料儲存!E718</f>
        <v>0</v>
      </c>
      <c r="AW150" s="49">
        <f>資料儲存!F718</f>
        <v>0</v>
      </c>
      <c r="AX150" s="49">
        <f>資料儲存!G718</f>
        <v>0</v>
      </c>
      <c r="AY150" s="49">
        <f>資料儲存!H718</f>
        <v>0</v>
      </c>
      <c r="AZ150" s="49">
        <f>資料儲存!I718</f>
        <v>0</v>
      </c>
      <c r="BA150" s="49">
        <f>資料儲存!J718</f>
        <v>0</v>
      </c>
    </row>
    <row r="151" spans="1:53" ht="16" thickBot="1">
      <c r="A151" s="48">
        <v>28</v>
      </c>
      <c r="B151" s="49">
        <f>資料儲存!D119</f>
        <v>0</v>
      </c>
      <c r="C151" s="49">
        <f>資料儲存!E119</f>
        <v>0</v>
      </c>
      <c r="D151" s="49">
        <f>資料儲存!F119</f>
        <v>0</v>
      </c>
      <c r="E151" s="49">
        <f>資料儲存!G119</f>
        <v>0</v>
      </c>
      <c r="F151" s="49">
        <f>資料儲存!H119</f>
        <v>0</v>
      </c>
      <c r="G151" s="49">
        <f>資料儲存!I119</f>
        <v>0</v>
      </c>
      <c r="H151" s="49">
        <f>資料儲存!J119</f>
        <v>0</v>
      </c>
      <c r="I151" s="45"/>
      <c r="J151" s="48">
        <v>28</v>
      </c>
      <c r="K151" s="49">
        <f>資料儲存!D239</f>
        <v>0</v>
      </c>
      <c r="L151" s="49">
        <f>資料儲存!E239</f>
        <v>0</v>
      </c>
      <c r="M151" s="49">
        <f>資料儲存!F239</f>
        <v>0</v>
      </c>
      <c r="N151" s="49">
        <f>資料儲存!G239</f>
        <v>0</v>
      </c>
      <c r="O151" s="49">
        <f>資料儲存!H239</f>
        <v>0</v>
      </c>
      <c r="P151" s="49">
        <f>資料儲存!I239</f>
        <v>0</v>
      </c>
      <c r="Q151" s="49">
        <f>資料儲存!J239</f>
        <v>0</v>
      </c>
      <c r="R151" s="45"/>
      <c r="S151" s="48">
        <v>28</v>
      </c>
      <c r="T151" s="49">
        <f>資料儲存!D359</f>
        <v>0</v>
      </c>
      <c r="U151" s="49">
        <f>資料儲存!E359</f>
        <v>0</v>
      </c>
      <c r="V151" s="49">
        <f>資料儲存!F359</f>
        <v>0</v>
      </c>
      <c r="W151" s="49">
        <f>資料儲存!G359</f>
        <v>0</v>
      </c>
      <c r="X151" s="49">
        <f>資料儲存!H359</f>
        <v>0</v>
      </c>
      <c r="Y151" s="49">
        <f>資料儲存!I359</f>
        <v>0</v>
      </c>
      <c r="Z151" s="49">
        <f>資料儲存!J359</f>
        <v>0</v>
      </c>
      <c r="AA151" s="45"/>
      <c r="AB151" s="48">
        <v>28</v>
      </c>
      <c r="AC151" s="49">
        <f>資料儲存!D479</f>
        <v>0</v>
      </c>
      <c r="AD151" s="49">
        <f>資料儲存!E479</f>
        <v>0</v>
      </c>
      <c r="AE151" s="49">
        <f>資料儲存!F479</f>
        <v>0</v>
      </c>
      <c r="AF151" s="49">
        <f>資料儲存!G479</f>
        <v>0</v>
      </c>
      <c r="AG151" s="49">
        <f>資料儲存!H479</f>
        <v>0</v>
      </c>
      <c r="AH151" s="49">
        <f>資料儲存!I479</f>
        <v>0</v>
      </c>
      <c r="AI151" s="49">
        <f>資料儲存!J479</f>
        <v>0</v>
      </c>
      <c r="AJ151" s="13"/>
      <c r="AK151" s="48">
        <v>28</v>
      </c>
      <c r="AL151" s="49">
        <f>資料儲存!D599</f>
        <v>0</v>
      </c>
      <c r="AM151" s="49">
        <f>資料儲存!E599</f>
        <v>0</v>
      </c>
      <c r="AN151" s="49">
        <f>資料儲存!F599</f>
        <v>0</v>
      </c>
      <c r="AO151" s="49">
        <f>資料儲存!G599</f>
        <v>0</v>
      </c>
      <c r="AP151" s="49">
        <f>資料儲存!H599</f>
        <v>0</v>
      </c>
      <c r="AQ151" s="49">
        <f>資料儲存!I599</f>
        <v>0</v>
      </c>
      <c r="AR151" s="49">
        <f>資料儲存!J599</f>
        <v>0</v>
      </c>
      <c r="AT151" s="48">
        <v>28</v>
      </c>
      <c r="AU151" s="49">
        <f>資料儲存!D719</f>
        <v>0</v>
      </c>
      <c r="AV151" s="49">
        <f>資料儲存!E719</f>
        <v>0</v>
      </c>
      <c r="AW151" s="49">
        <f>資料儲存!F719</f>
        <v>0</v>
      </c>
      <c r="AX151" s="49">
        <f>資料儲存!G719</f>
        <v>0</v>
      </c>
      <c r="AY151" s="49">
        <f>資料儲存!H719</f>
        <v>0</v>
      </c>
      <c r="AZ151" s="49">
        <f>資料儲存!I719</f>
        <v>0</v>
      </c>
      <c r="BA151" s="49">
        <f>資料儲存!J719</f>
        <v>0</v>
      </c>
    </row>
    <row r="152" spans="1:53" ht="16" thickBot="1">
      <c r="A152" s="48">
        <v>29</v>
      </c>
      <c r="B152" s="49">
        <f>資料儲存!D120</f>
        <v>0</v>
      </c>
      <c r="C152" s="49">
        <f>資料儲存!E120</f>
        <v>0</v>
      </c>
      <c r="D152" s="49">
        <f>資料儲存!F120</f>
        <v>0</v>
      </c>
      <c r="E152" s="49">
        <f>資料儲存!G120</f>
        <v>0</v>
      </c>
      <c r="F152" s="49">
        <f>資料儲存!H120</f>
        <v>0</v>
      </c>
      <c r="G152" s="49">
        <f>資料儲存!I120</f>
        <v>0</v>
      </c>
      <c r="H152" s="49">
        <f>資料儲存!J120</f>
        <v>0</v>
      </c>
      <c r="I152" s="45"/>
      <c r="J152" s="48">
        <v>29</v>
      </c>
      <c r="K152" s="49">
        <f>資料儲存!D240</f>
        <v>0</v>
      </c>
      <c r="L152" s="49">
        <f>資料儲存!E240</f>
        <v>0</v>
      </c>
      <c r="M152" s="49">
        <f>資料儲存!F240</f>
        <v>0</v>
      </c>
      <c r="N152" s="49">
        <f>資料儲存!G240</f>
        <v>0</v>
      </c>
      <c r="O152" s="49">
        <f>資料儲存!H240</f>
        <v>0</v>
      </c>
      <c r="P152" s="49">
        <f>資料儲存!I240</f>
        <v>0</v>
      </c>
      <c r="Q152" s="49">
        <f>資料儲存!J240</f>
        <v>0</v>
      </c>
      <c r="R152" s="45"/>
      <c r="S152" s="48">
        <v>29</v>
      </c>
      <c r="T152" s="49">
        <f>資料儲存!D360</f>
        <v>0</v>
      </c>
      <c r="U152" s="49">
        <f>資料儲存!E360</f>
        <v>0</v>
      </c>
      <c r="V152" s="49">
        <f>資料儲存!F360</f>
        <v>0</v>
      </c>
      <c r="W152" s="49">
        <f>資料儲存!G360</f>
        <v>0</v>
      </c>
      <c r="X152" s="49">
        <f>資料儲存!H360</f>
        <v>0</v>
      </c>
      <c r="Y152" s="49">
        <f>資料儲存!I360</f>
        <v>0</v>
      </c>
      <c r="Z152" s="49">
        <f>資料儲存!J360</f>
        <v>0</v>
      </c>
      <c r="AA152" s="45"/>
      <c r="AB152" s="48">
        <v>29</v>
      </c>
      <c r="AC152" s="49">
        <f>資料儲存!D480</f>
        <v>0</v>
      </c>
      <c r="AD152" s="49">
        <f>資料儲存!E480</f>
        <v>0</v>
      </c>
      <c r="AE152" s="49">
        <f>資料儲存!F480</f>
        <v>0</v>
      </c>
      <c r="AF152" s="49">
        <f>資料儲存!G480</f>
        <v>0</v>
      </c>
      <c r="AG152" s="49">
        <f>資料儲存!H480</f>
        <v>0</v>
      </c>
      <c r="AH152" s="49">
        <f>資料儲存!I480</f>
        <v>0</v>
      </c>
      <c r="AI152" s="49">
        <f>資料儲存!J480</f>
        <v>0</v>
      </c>
      <c r="AJ152" s="13"/>
      <c r="AK152" s="48">
        <v>29</v>
      </c>
      <c r="AL152" s="49">
        <f>資料儲存!D600</f>
        <v>0</v>
      </c>
      <c r="AM152" s="49">
        <f>資料儲存!E600</f>
        <v>0</v>
      </c>
      <c r="AN152" s="49">
        <f>資料儲存!F600</f>
        <v>0</v>
      </c>
      <c r="AO152" s="49">
        <f>資料儲存!G600</f>
        <v>0</v>
      </c>
      <c r="AP152" s="49">
        <f>資料儲存!H600</f>
        <v>0</v>
      </c>
      <c r="AQ152" s="49">
        <f>資料儲存!I600</f>
        <v>0</v>
      </c>
      <c r="AR152" s="49">
        <f>資料儲存!J600</f>
        <v>0</v>
      </c>
      <c r="AT152" s="48">
        <v>29</v>
      </c>
      <c r="AU152" s="49">
        <f>資料儲存!D720</f>
        <v>0</v>
      </c>
      <c r="AV152" s="49">
        <f>資料儲存!E720</f>
        <v>0</v>
      </c>
      <c r="AW152" s="49">
        <f>資料儲存!F720</f>
        <v>0</v>
      </c>
      <c r="AX152" s="49">
        <f>資料儲存!G720</f>
        <v>0</v>
      </c>
      <c r="AY152" s="49">
        <f>資料儲存!H720</f>
        <v>0</v>
      </c>
      <c r="AZ152" s="49">
        <f>資料儲存!I720</f>
        <v>0</v>
      </c>
      <c r="BA152" s="49">
        <f>資料儲存!J720</f>
        <v>0</v>
      </c>
    </row>
    <row r="153" spans="1:53" ht="16" thickBot="1">
      <c r="A153" s="48">
        <v>30</v>
      </c>
      <c r="B153" s="49">
        <f>資料儲存!D121</f>
        <v>0</v>
      </c>
      <c r="C153" s="49">
        <f>資料儲存!E121</f>
        <v>0</v>
      </c>
      <c r="D153" s="49">
        <f>資料儲存!F121</f>
        <v>0</v>
      </c>
      <c r="E153" s="49">
        <f>資料儲存!G121</f>
        <v>0</v>
      </c>
      <c r="F153" s="49">
        <f>資料儲存!H121</f>
        <v>0</v>
      </c>
      <c r="G153" s="49">
        <f>資料儲存!I121</f>
        <v>0</v>
      </c>
      <c r="H153" s="49">
        <f>資料儲存!J121</f>
        <v>0</v>
      </c>
      <c r="I153" s="45"/>
      <c r="J153" s="48">
        <v>30</v>
      </c>
      <c r="K153" s="49">
        <f>資料儲存!D241</f>
        <v>0</v>
      </c>
      <c r="L153" s="49">
        <f>資料儲存!E241</f>
        <v>0</v>
      </c>
      <c r="M153" s="49">
        <f>資料儲存!F241</f>
        <v>0</v>
      </c>
      <c r="N153" s="49">
        <f>資料儲存!G241</f>
        <v>0</v>
      </c>
      <c r="O153" s="49">
        <f>資料儲存!H241</f>
        <v>0</v>
      </c>
      <c r="P153" s="49">
        <f>資料儲存!I241</f>
        <v>0</v>
      </c>
      <c r="Q153" s="49">
        <f>資料儲存!J241</f>
        <v>0</v>
      </c>
      <c r="R153" s="45"/>
      <c r="S153" s="48">
        <v>30</v>
      </c>
      <c r="T153" s="49">
        <f>資料儲存!D361</f>
        <v>0</v>
      </c>
      <c r="U153" s="49">
        <f>資料儲存!E361</f>
        <v>0</v>
      </c>
      <c r="V153" s="49">
        <f>資料儲存!F361</f>
        <v>0</v>
      </c>
      <c r="W153" s="49">
        <f>資料儲存!G361</f>
        <v>0</v>
      </c>
      <c r="X153" s="49">
        <f>資料儲存!H361</f>
        <v>0</v>
      </c>
      <c r="Y153" s="49">
        <f>資料儲存!I361</f>
        <v>0</v>
      </c>
      <c r="Z153" s="49">
        <f>資料儲存!J361</f>
        <v>0</v>
      </c>
      <c r="AA153" s="45"/>
      <c r="AB153" s="48">
        <v>30</v>
      </c>
      <c r="AC153" s="49">
        <f>資料儲存!D481</f>
        <v>0</v>
      </c>
      <c r="AD153" s="49">
        <f>資料儲存!E481</f>
        <v>0</v>
      </c>
      <c r="AE153" s="49">
        <f>資料儲存!F481</f>
        <v>0</v>
      </c>
      <c r="AF153" s="49">
        <f>資料儲存!G481</f>
        <v>0</v>
      </c>
      <c r="AG153" s="49">
        <f>資料儲存!H481</f>
        <v>0</v>
      </c>
      <c r="AH153" s="49">
        <f>資料儲存!I481</f>
        <v>0</v>
      </c>
      <c r="AI153" s="49">
        <f>資料儲存!J481</f>
        <v>0</v>
      </c>
      <c r="AJ153" s="13"/>
      <c r="AK153" s="48">
        <v>30</v>
      </c>
      <c r="AL153" s="49">
        <f>資料儲存!D601</f>
        <v>0</v>
      </c>
      <c r="AM153" s="49">
        <f>資料儲存!E601</f>
        <v>0</v>
      </c>
      <c r="AN153" s="49">
        <f>資料儲存!F601</f>
        <v>0</v>
      </c>
      <c r="AO153" s="49">
        <f>資料儲存!G601</f>
        <v>0</v>
      </c>
      <c r="AP153" s="49">
        <f>資料儲存!H601</f>
        <v>0</v>
      </c>
      <c r="AQ153" s="49">
        <f>資料儲存!I601</f>
        <v>0</v>
      </c>
      <c r="AR153" s="49">
        <f>資料儲存!J601</f>
        <v>0</v>
      </c>
      <c r="AT153" s="48">
        <v>30</v>
      </c>
      <c r="AU153" s="49">
        <f>資料儲存!D721</f>
        <v>0</v>
      </c>
      <c r="AV153" s="49">
        <f>資料儲存!E721</f>
        <v>0</v>
      </c>
      <c r="AW153" s="49">
        <f>資料儲存!F721</f>
        <v>0</v>
      </c>
      <c r="AX153" s="49">
        <f>資料儲存!G721</f>
        <v>0</v>
      </c>
      <c r="AY153" s="49">
        <f>資料儲存!H721</f>
        <v>0</v>
      </c>
      <c r="AZ153" s="49">
        <f>資料儲存!I721</f>
        <v>0</v>
      </c>
      <c r="BA153" s="49">
        <f>資料儲存!J721</f>
        <v>0</v>
      </c>
    </row>
    <row r="154" spans="1:53" ht="17.25" customHeight="1" thickBot="1">
      <c r="A154" s="50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0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0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0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13"/>
      <c r="AK154" s="50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  <c r="AT154" s="50" t="s">
        <v>56</v>
      </c>
      <c r="AU154" s="49">
        <f>SUM(AU139:AX153)</f>
        <v>0</v>
      </c>
      <c r="AV154" s="47"/>
      <c r="AW154" s="47"/>
      <c r="AX154" s="47"/>
      <c r="AY154" s="49">
        <f>AY153</f>
        <v>0</v>
      </c>
      <c r="AZ154" s="49">
        <f>AZ153</f>
        <v>0</v>
      </c>
      <c r="BA154" s="49">
        <f>BA153</f>
        <v>0</v>
      </c>
    </row>
    <row r="155" spans="1:53">
      <c r="A155" s="51" t="s">
        <v>71</v>
      </c>
      <c r="B155" s="45"/>
      <c r="C155" s="45"/>
      <c r="D155" s="45"/>
      <c r="E155" s="45"/>
      <c r="F155" s="52"/>
      <c r="G155" s="45"/>
      <c r="H155" s="45"/>
      <c r="I155" s="45"/>
      <c r="J155" s="53" t="s">
        <v>71</v>
      </c>
      <c r="K155" s="45"/>
      <c r="L155" s="45"/>
      <c r="M155" s="45"/>
      <c r="N155" s="45"/>
      <c r="O155" s="45"/>
      <c r="P155" s="45"/>
      <c r="Q155" s="45"/>
      <c r="R155" s="45"/>
      <c r="S155" s="53" t="s">
        <v>71</v>
      </c>
      <c r="T155" s="45"/>
      <c r="U155" s="45"/>
      <c r="V155" s="45"/>
      <c r="W155" s="45"/>
      <c r="X155" s="45"/>
      <c r="Y155" s="45"/>
      <c r="Z155" s="45"/>
      <c r="AA155" s="45"/>
      <c r="AB155" s="53" t="s">
        <v>71</v>
      </c>
      <c r="AC155" s="45"/>
      <c r="AD155" s="45"/>
      <c r="AE155" s="45"/>
      <c r="AF155" s="45"/>
      <c r="AG155" s="45"/>
      <c r="AH155" s="45"/>
      <c r="AI155" s="45"/>
      <c r="AJ155" s="13"/>
      <c r="AK155" s="53" t="s">
        <v>71</v>
      </c>
      <c r="AL155" s="45"/>
      <c r="AM155" s="45"/>
      <c r="AN155" s="45"/>
      <c r="AO155" s="45"/>
      <c r="AP155" s="45"/>
      <c r="AQ155" s="45"/>
      <c r="AR155" s="45"/>
      <c r="AT155" s="53" t="s">
        <v>71</v>
      </c>
      <c r="AU155" s="45"/>
      <c r="AV155" s="45"/>
      <c r="AW155" s="45"/>
      <c r="AX155" s="45"/>
      <c r="AY155" s="45"/>
      <c r="AZ155" s="45"/>
      <c r="BA155" s="45"/>
    </row>
  </sheetData>
  <mergeCells count="60">
    <mergeCell ref="AT2:BA2"/>
    <mergeCell ref="A1:H1"/>
    <mergeCell ref="J1:Q1"/>
    <mergeCell ref="S1:Z1"/>
    <mergeCell ref="AB1:AI1"/>
    <mergeCell ref="AK1:AR1"/>
    <mergeCell ref="AT1:BA1"/>
    <mergeCell ref="A2:H2"/>
    <mergeCell ref="J2:Q2"/>
    <mergeCell ref="S2:Z2"/>
    <mergeCell ref="AB2:AI2"/>
    <mergeCell ref="AK2:AR2"/>
    <mergeCell ref="AT22:BA22"/>
    <mergeCell ref="A3:H3"/>
    <mergeCell ref="J3:Q3"/>
    <mergeCell ref="S3:Z3"/>
    <mergeCell ref="AB3:AI3"/>
    <mergeCell ref="AK3:AR3"/>
    <mergeCell ref="AT3:BA3"/>
    <mergeCell ref="A22:H22"/>
    <mergeCell ref="J22:Q22"/>
    <mergeCell ref="S22:Z22"/>
    <mergeCell ref="AB22:AI22"/>
    <mergeCell ref="AK22:AR22"/>
    <mergeCell ref="AT60:BA60"/>
    <mergeCell ref="A41:H41"/>
    <mergeCell ref="J41:Q41"/>
    <mergeCell ref="S41:Z41"/>
    <mergeCell ref="AB41:AI41"/>
    <mergeCell ref="AK41:AR41"/>
    <mergeCell ref="AT41:BA41"/>
    <mergeCell ref="A60:H60"/>
    <mergeCell ref="J60:Q60"/>
    <mergeCell ref="S60:Z60"/>
    <mergeCell ref="AB60:AI60"/>
    <mergeCell ref="AK60:AR60"/>
    <mergeCell ref="AT98:BA98"/>
    <mergeCell ref="A79:H79"/>
    <mergeCell ref="J79:Q79"/>
    <mergeCell ref="S79:Z79"/>
    <mergeCell ref="AB79:AI79"/>
    <mergeCell ref="AK79:AR79"/>
    <mergeCell ref="AT79:BA79"/>
    <mergeCell ref="A98:H98"/>
    <mergeCell ref="J98:Q98"/>
    <mergeCell ref="S98:Z98"/>
    <mergeCell ref="AB98:AI98"/>
    <mergeCell ref="AK98:AR98"/>
    <mergeCell ref="AT136:BA136"/>
    <mergeCell ref="A117:H117"/>
    <mergeCell ref="J117:Q117"/>
    <mergeCell ref="S117:Z117"/>
    <mergeCell ref="AB117:AI117"/>
    <mergeCell ref="AK117:AR117"/>
    <mergeCell ref="AT117:BA117"/>
    <mergeCell ref="A136:H136"/>
    <mergeCell ref="J136:Q136"/>
    <mergeCell ref="S136:Z136"/>
    <mergeCell ref="AB136:AI136"/>
    <mergeCell ref="AK136:AR136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BA306"/>
  <sheetViews>
    <sheetView zoomScale="70" zoomScaleNormal="70" zoomScaleSheetLayoutView="70" workbookViewId="0">
      <pane ySplit="1" topLeftCell="A2" activePane="bottomLeft" state="frozen"/>
      <selection activeCell="E159" sqref="E159"/>
      <selection pane="bottomLeft" sqref="A1:H1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44" width="10.08984375" style="1"/>
    <col min="45" max="45" width="2.08984375" style="1" customWidth="1"/>
    <col min="46" max="16384" width="10.08984375" style="1"/>
  </cols>
  <sheetData>
    <row r="1" spans="1:53" s="11" customFormat="1" ht="18.5" thickBot="1">
      <c r="A1" s="254" t="str">
        <f>基本資料!L11</f>
        <v>假日(16-20)</v>
      </c>
      <c r="B1" s="255"/>
      <c r="C1" s="255"/>
      <c r="D1" s="255"/>
      <c r="E1" s="255"/>
      <c r="F1" s="255"/>
      <c r="G1" s="255"/>
      <c r="H1" s="256"/>
      <c r="J1" s="254" t="str">
        <f>基本資料!L11</f>
        <v>假日(16-20)</v>
      </c>
      <c r="K1" s="255"/>
      <c r="L1" s="255"/>
      <c r="M1" s="255"/>
      <c r="N1" s="255"/>
      <c r="O1" s="255"/>
      <c r="P1" s="255"/>
      <c r="Q1" s="256"/>
      <c r="S1" s="254" t="str">
        <f>基本資料!L11</f>
        <v>假日(16-20)</v>
      </c>
      <c r="T1" s="255"/>
      <c r="U1" s="255"/>
      <c r="V1" s="255"/>
      <c r="W1" s="255"/>
      <c r="X1" s="255"/>
      <c r="Y1" s="255"/>
      <c r="Z1" s="256"/>
      <c r="AB1" s="254" t="str">
        <f>基本資料!L11</f>
        <v>假日(16-20)</v>
      </c>
      <c r="AC1" s="255"/>
      <c r="AD1" s="255"/>
      <c r="AE1" s="255"/>
      <c r="AF1" s="255"/>
      <c r="AG1" s="255"/>
      <c r="AH1" s="255"/>
      <c r="AI1" s="256"/>
      <c r="AK1" s="254" t="str">
        <f>基本資料!L11</f>
        <v>假日(16-20)</v>
      </c>
      <c r="AL1" s="255"/>
      <c r="AM1" s="255"/>
      <c r="AN1" s="255"/>
      <c r="AO1" s="255"/>
      <c r="AP1" s="255"/>
      <c r="AQ1" s="255"/>
      <c r="AR1" s="256"/>
      <c r="AT1" s="254" t="str">
        <f>基本資料!L11</f>
        <v>假日(16-20)</v>
      </c>
      <c r="AU1" s="255"/>
      <c r="AV1" s="255"/>
      <c r="AW1" s="255"/>
      <c r="AX1" s="255"/>
      <c r="AY1" s="255"/>
      <c r="AZ1" s="255"/>
      <c r="BA1" s="256"/>
    </row>
    <row r="2" spans="1:53" ht="18.5" thickBot="1">
      <c r="A2" s="251" t="str">
        <f>CONCATENATE(基本資料!B18,"方向：",基本資料!B19,基本資料!B20)</f>
        <v>A方向：</v>
      </c>
      <c r="B2" s="252"/>
      <c r="C2" s="252"/>
      <c r="D2" s="252"/>
      <c r="E2" s="252"/>
      <c r="F2" s="252"/>
      <c r="G2" s="252"/>
      <c r="H2" s="253"/>
      <c r="I2" s="1"/>
      <c r="J2" s="251" t="str">
        <f>CONCATENATE(基本資料!C18,"方向：",基本資料!C19,基本資料!C20)</f>
        <v>B方向：</v>
      </c>
      <c r="K2" s="252"/>
      <c r="L2" s="252"/>
      <c r="M2" s="252"/>
      <c r="N2" s="252"/>
      <c r="O2" s="252"/>
      <c r="P2" s="252"/>
      <c r="Q2" s="253"/>
      <c r="R2" s="1"/>
      <c r="S2" s="251" t="str">
        <f>CONCATENATE(基本資料!D18,"方向：",基本資料!D19,基本資料!D20)</f>
        <v>C方向：</v>
      </c>
      <c r="T2" s="252"/>
      <c r="U2" s="252"/>
      <c r="V2" s="252"/>
      <c r="W2" s="252"/>
      <c r="X2" s="252"/>
      <c r="Y2" s="252"/>
      <c r="Z2" s="253"/>
      <c r="AA2" s="1"/>
      <c r="AB2" s="251" t="str">
        <f>CONCATENATE(基本資料!E18,"方向：",基本資料!E19,基本資料!E20)</f>
        <v>D方向：</v>
      </c>
      <c r="AC2" s="252"/>
      <c r="AD2" s="252"/>
      <c r="AE2" s="252"/>
      <c r="AF2" s="252"/>
      <c r="AG2" s="252"/>
      <c r="AH2" s="252"/>
      <c r="AI2" s="253"/>
      <c r="AJ2" s="1"/>
      <c r="AK2" s="251" t="str">
        <f>CONCATENATE(基本資料!F18,"方向：",基本資料!F19,基本資料!F20)</f>
        <v>E方向：</v>
      </c>
      <c r="AL2" s="252"/>
      <c r="AM2" s="252"/>
      <c r="AN2" s="252"/>
      <c r="AO2" s="252"/>
      <c r="AP2" s="252"/>
      <c r="AQ2" s="252"/>
      <c r="AR2" s="253"/>
      <c r="AT2" s="251" t="str">
        <f>CONCATENATE(基本資料!G18,"方向：",基本資料!G19,基本資料!G20)</f>
        <v>F方向：</v>
      </c>
      <c r="AU2" s="252"/>
      <c r="AV2" s="252"/>
      <c r="AW2" s="252"/>
      <c r="AX2" s="252"/>
      <c r="AY2" s="252"/>
      <c r="AZ2" s="252"/>
      <c r="BA2" s="253"/>
    </row>
    <row r="3" spans="1:53" ht="18.5" thickBot="1">
      <c r="A3" s="248" t="s">
        <v>117</v>
      </c>
      <c r="B3" s="249"/>
      <c r="C3" s="249"/>
      <c r="D3" s="249"/>
      <c r="E3" s="249"/>
      <c r="F3" s="249"/>
      <c r="G3" s="249"/>
      <c r="H3" s="250"/>
      <c r="I3" s="22"/>
      <c r="J3" s="248" t="s">
        <v>117</v>
      </c>
      <c r="K3" s="249"/>
      <c r="L3" s="249"/>
      <c r="M3" s="249"/>
      <c r="N3" s="249"/>
      <c r="O3" s="249"/>
      <c r="P3" s="249"/>
      <c r="Q3" s="250"/>
      <c r="R3" s="22"/>
      <c r="S3" s="248" t="s">
        <v>117</v>
      </c>
      <c r="T3" s="249"/>
      <c r="U3" s="249"/>
      <c r="V3" s="249"/>
      <c r="W3" s="249"/>
      <c r="X3" s="249"/>
      <c r="Y3" s="249"/>
      <c r="Z3" s="250"/>
      <c r="AA3" s="22"/>
      <c r="AB3" s="248" t="s">
        <v>117</v>
      </c>
      <c r="AC3" s="249"/>
      <c r="AD3" s="249"/>
      <c r="AE3" s="249"/>
      <c r="AF3" s="249"/>
      <c r="AG3" s="249"/>
      <c r="AH3" s="249"/>
      <c r="AI3" s="250"/>
      <c r="AJ3" s="22"/>
      <c r="AK3" s="248" t="s">
        <v>117</v>
      </c>
      <c r="AL3" s="249"/>
      <c r="AM3" s="249"/>
      <c r="AN3" s="249"/>
      <c r="AO3" s="249"/>
      <c r="AP3" s="249"/>
      <c r="AQ3" s="249"/>
      <c r="AR3" s="250"/>
      <c r="AT3" s="248" t="s">
        <v>117</v>
      </c>
      <c r="AU3" s="249"/>
      <c r="AV3" s="249"/>
      <c r="AW3" s="249"/>
      <c r="AX3" s="249"/>
      <c r="AY3" s="249"/>
      <c r="AZ3" s="249"/>
      <c r="BA3" s="250"/>
    </row>
    <row r="4" spans="1:53" s="59" customFormat="1" ht="17.25" customHeight="1" thickBot="1">
      <c r="A4" s="54" t="s">
        <v>2</v>
      </c>
      <c r="B4" s="55" t="s">
        <v>46</v>
      </c>
      <c r="C4" s="56"/>
      <c r="D4" s="56"/>
      <c r="E4" s="57"/>
      <c r="F4" s="55" t="s">
        <v>47</v>
      </c>
      <c r="G4" s="56"/>
      <c r="H4" s="57"/>
      <c r="I4" s="58"/>
      <c r="J4" s="54" t="s">
        <v>2</v>
      </c>
      <c r="K4" s="55" t="s">
        <v>46</v>
      </c>
      <c r="L4" s="56"/>
      <c r="M4" s="56"/>
      <c r="N4" s="57"/>
      <c r="O4" s="55" t="s">
        <v>47</v>
      </c>
      <c r="P4" s="56"/>
      <c r="Q4" s="57"/>
      <c r="R4" s="58"/>
      <c r="S4" s="54" t="s">
        <v>2</v>
      </c>
      <c r="T4" s="55" t="s">
        <v>46</v>
      </c>
      <c r="U4" s="56"/>
      <c r="V4" s="56"/>
      <c r="W4" s="57"/>
      <c r="X4" s="55" t="s">
        <v>47</v>
      </c>
      <c r="Y4" s="56"/>
      <c r="Z4" s="57"/>
      <c r="AA4" s="58"/>
      <c r="AB4" s="54" t="s">
        <v>2</v>
      </c>
      <c r="AC4" s="55" t="s">
        <v>46</v>
      </c>
      <c r="AD4" s="56"/>
      <c r="AE4" s="56"/>
      <c r="AF4" s="57"/>
      <c r="AG4" s="55" t="s">
        <v>47</v>
      </c>
      <c r="AH4" s="56"/>
      <c r="AI4" s="57"/>
      <c r="AJ4" s="58"/>
      <c r="AK4" s="54" t="s">
        <v>2</v>
      </c>
      <c r="AL4" s="55" t="s">
        <v>46</v>
      </c>
      <c r="AM4" s="56"/>
      <c r="AN4" s="56"/>
      <c r="AO4" s="57"/>
      <c r="AP4" s="55" t="s">
        <v>47</v>
      </c>
      <c r="AQ4" s="56"/>
      <c r="AR4" s="57"/>
      <c r="AT4" s="54" t="s">
        <v>2</v>
      </c>
      <c r="AU4" s="55" t="s">
        <v>46</v>
      </c>
      <c r="AV4" s="56"/>
      <c r="AW4" s="56"/>
      <c r="AX4" s="57"/>
      <c r="AY4" s="55" t="s">
        <v>47</v>
      </c>
      <c r="AZ4" s="56"/>
      <c r="BA4" s="57"/>
    </row>
    <row r="5" spans="1:53" s="59" customFormat="1" ht="16" thickBot="1">
      <c r="A5" s="60">
        <v>0.66666666666666663</v>
      </c>
      <c r="B5" s="61" t="s">
        <v>49</v>
      </c>
      <c r="C5" s="61" t="s">
        <v>50</v>
      </c>
      <c r="D5" s="61" t="s">
        <v>51</v>
      </c>
      <c r="E5" s="61" t="s">
        <v>52</v>
      </c>
      <c r="F5" s="61" t="s">
        <v>53</v>
      </c>
      <c r="G5" s="61" t="s">
        <v>54</v>
      </c>
      <c r="H5" s="61" t="s">
        <v>55</v>
      </c>
      <c r="I5" s="58"/>
      <c r="J5" s="60">
        <v>0.66666666666666663</v>
      </c>
      <c r="K5" s="61" t="s">
        <v>49</v>
      </c>
      <c r="L5" s="61" t="s">
        <v>50</v>
      </c>
      <c r="M5" s="61" t="s">
        <v>51</v>
      </c>
      <c r="N5" s="61" t="s">
        <v>52</v>
      </c>
      <c r="O5" s="61" t="s">
        <v>53</v>
      </c>
      <c r="P5" s="61" t="s">
        <v>54</v>
      </c>
      <c r="Q5" s="61" t="s">
        <v>55</v>
      </c>
      <c r="R5" s="58"/>
      <c r="S5" s="60">
        <v>0.66666666666666663</v>
      </c>
      <c r="T5" s="61" t="s">
        <v>49</v>
      </c>
      <c r="U5" s="61" t="s">
        <v>50</v>
      </c>
      <c r="V5" s="61" t="s">
        <v>51</v>
      </c>
      <c r="W5" s="61" t="s">
        <v>52</v>
      </c>
      <c r="X5" s="61" t="s">
        <v>53</v>
      </c>
      <c r="Y5" s="61" t="s">
        <v>54</v>
      </c>
      <c r="Z5" s="61" t="s">
        <v>55</v>
      </c>
      <c r="AA5" s="58"/>
      <c r="AB5" s="60">
        <v>0.66666666666666663</v>
      </c>
      <c r="AC5" s="61" t="s">
        <v>49</v>
      </c>
      <c r="AD5" s="61" t="s">
        <v>50</v>
      </c>
      <c r="AE5" s="61" t="s">
        <v>51</v>
      </c>
      <c r="AF5" s="61" t="s">
        <v>52</v>
      </c>
      <c r="AG5" s="61" t="s">
        <v>53</v>
      </c>
      <c r="AH5" s="61" t="s">
        <v>54</v>
      </c>
      <c r="AI5" s="61" t="s">
        <v>55</v>
      </c>
      <c r="AJ5" s="58"/>
      <c r="AK5" s="60">
        <v>0.66666666666666663</v>
      </c>
      <c r="AL5" s="61" t="s">
        <v>49</v>
      </c>
      <c r="AM5" s="61" t="s">
        <v>50</v>
      </c>
      <c r="AN5" s="61" t="s">
        <v>51</v>
      </c>
      <c r="AO5" s="61" t="s">
        <v>52</v>
      </c>
      <c r="AP5" s="61" t="s">
        <v>53</v>
      </c>
      <c r="AQ5" s="61" t="s">
        <v>54</v>
      </c>
      <c r="AR5" s="61" t="s">
        <v>55</v>
      </c>
      <c r="AT5" s="60">
        <v>0.66666666666666663</v>
      </c>
      <c r="AU5" s="61" t="s">
        <v>49</v>
      </c>
      <c r="AV5" s="61" t="s">
        <v>50</v>
      </c>
      <c r="AW5" s="61" t="s">
        <v>51</v>
      </c>
      <c r="AX5" s="61" t="s">
        <v>52</v>
      </c>
      <c r="AY5" s="61" t="s">
        <v>53</v>
      </c>
      <c r="AZ5" s="61" t="s">
        <v>54</v>
      </c>
      <c r="BA5" s="61" t="s">
        <v>55</v>
      </c>
    </row>
    <row r="6" spans="1:53" s="59" customFormat="1" ht="16" thickBot="1">
      <c r="A6" s="62">
        <v>1</v>
      </c>
      <c r="B6" s="39">
        <f>資料儲存!D6122</f>
        <v>0</v>
      </c>
      <c r="C6" s="39">
        <f>資料儲存!E6122</f>
        <v>0</v>
      </c>
      <c r="D6" s="39">
        <f>資料儲存!F6122</f>
        <v>0</v>
      </c>
      <c r="E6" s="39">
        <f>資料儲存!G6122</f>
        <v>0</v>
      </c>
      <c r="F6" s="39">
        <f>資料儲存!H6122</f>
        <v>0</v>
      </c>
      <c r="G6" s="39">
        <f>資料儲存!I6122</f>
        <v>0</v>
      </c>
      <c r="H6" s="39">
        <f>資料儲存!J6122</f>
        <v>0</v>
      </c>
      <c r="I6" s="58"/>
      <c r="J6" s="62">
        <v>1</v>
      </c>
      <c r="K6" s="39">
        <f>資料儲存!D6362</f>
        <v>0</v>
      </c>
      <c r="L6" s="39">
        <f>資料儲存!E6362</f>
        <v>0</v>
      </c>
      <c r="M6" s="39">
        <f>資料儲存!F6362</f>
        <v>0</v>
      </c>
      <c r="N6" s="39">
        <f>資料儲存!G6362</f>
        <v>0</v>
      </c>
      <c r="O6" s="39">
        <f>資料儲存!H6362</f>
        <v>0</v>
      </c>
      <c r="P6" s="39">
        <f>資料儲存!I6362</f>
        <v>0</v>
      </c>
      <c r="Q6" s="39">
        <f>資料儲存!J6362</f>
        <v>0</v>
      </c>
      <c r="R6" s="58"/>
      <c r="S6" s="62">
        <v>1</v>
      </c>
      <c r="T6" s="39">
        <f>資料儲存!D6602</f>
        <v>0</v>
      </c>
      <c r="U6" s="39">
        <f>資料儲存!E6602</f>
        <v>0</v>
      </c>
      <c r="V6" s="39">
        <f>資料儲存!F6602</f>
        <v>0</v>
      </c>
      <c r="W6" s="39">
        <f>資料儲存!G6602</f>
        <v>0</v>
      </c>
      <c r="X6" s="39">
        <f>資料儲存!H6602</f>
        <v>0</v>
      </c>
      <c r="Y6" s="39">
        <f>資料儲存!I6602</f>
        <v>0</v>
      </c>
      <c r="Z6" s="39">
        <f>資料儲存!J6602</f>
        <v>0</v>
      </c>
      <c r="AA6" s="58"/>
      <c r="AB6" s="62">
        <v>1</v>
      </c>
      <c r="AC6" s="39">
        <f>資料儲存!D6842</f>
        <v>0</v>
      </c>
      <c r="AD6" s="39">
        <f>資料儲存!E6842</f>
        <v>0</v>
      </c>
      <c r="AE6" s="39">
        <f>資料儲存!F6842</f>
        <v>0</v>
      </c>
      <c r="AF6" s="39">
        <f>資料儲存!G6842</f>
        <v>0</v>
      </c>
      <c r="AG6" s="39">
        <f>資料儲存!H6842</f>
        <v>0</v>
      </c>
      <c r="AH6" s="39">
        <f>資料儲存!I6842</f>
        <v>0</v>
      </c>
      <c r="AI6" s="39">
        <f>資料儲存!J6842</f>
        <v>0</v>
      </c>
      <c r="AJ6" s="58"/>
      <c r="AK6" s="62">
        <v>1</v>
      </c>
      <c r="AL6" s="39">
        <f>資料儲存!D7082</f>
        <v>0</v>
      </c>
      <c r="AM6" s="39">
        <f>資料儲存!E7082</f>
        <v>0</v>
      </c>
      <c r="AN6" s="39">
        <f>資料儲存!F7082</f>
        <v>0</v>
      </c>
      <c r="AO6" s="39">
        <f>資料儲存!G7082</f>
        <v>0</v>
      </c>
      <c r="AP6" s="39">
        <f>資料儲存!H7082</f>
        <v>0</v>
      </c>
      <c r="AQ6" s="39">
        <f>資料儲存!I7082</f>
        <v>0</v>
      </c>
      <c r="AR6" s="39">
        <f>資料儲存!J7082</f>
        <v>0</v>
      </c>
      <c r="AT6" s="62">
        <v>1</v>
      </c>
      <c r="AU6" s="39">
        <f>資料儲存!D7322</f>
        <v>0</v>
      </c>
      <c r="AV6" s="39">
        <f>資料儲存!E7322</f>
        <v>0</v>
      </c>
      <c r="AW6" s="39">
        <f>資料儲存!F7322</f>
        <v>0</v>
      </c>
      <c r="AX6" s="39">
        <f>資料儲存!G7322</f>
        <v>0</v>
      </c>
      <c r="AY6" s="39">
        <f>資料儲存!H7322</f>
        <v>0</v>
      </c>
      <c r="AZ6" s="39">
        <f>資料儲存!I7322</f>
        <v>0</v>
      </c>
      <c r="BA6" s="39">
        <f>資料儲存!J7322</f>
        <v>0</v>
      </c>
    </row>
    <row r="7" spans="1:53" s="59" customFormat="1" ht="16" thickBot="1">
      <c r="A7" s="62">
        <v>2</v>
      </c>
      <c r="B7" s="39">
        <f>資料儲存!D6123</f>
        <v>0</v>
      </c>
      <c r="C7" s="39">
        <f>資料儲存!E6123</f>
        <v>0</v>
      </c>
      <c r="D7" s="39">
        <f>資料儲存!F6123</f>
        <v>0</v>
      </c>
      <c r="E7" s="39">
        <f>資料儲存!G6123</f>
        <v>0</v>
      </c>
      <c r="F7" s="39">
        <f>資料儲存!H6123</f>
        <v>0</v>
      </c>
      <c r="G7" s="39">
        <f>資料儲存!I6123</f>
        <v>0</v>
      </c>
      <c r="H7" s="39">
        <f>資料儲存!J6123</f>
        <v>0</v>
      </c>
      <c r="I7" s="58"/>
      <c r="J7" s="62">
        <v>2</v>
      </c>
      <c r="K7" s="39">
        <f>資料儲存!D6363</f>
        <v>0</v>
      </c>
      <c r="L7" s="39">
        <f>資料儲存!E6363</f>
        <v>0</v>
      </c>
      <c r="M7" s="39">
        <f>資料儲存!F6363</f>
        <v>0</v>
      </c>
      <c r="N7" s="39">
        <f>資料儲存!G6363</f>
        <v>0</v>
      </c>
      <c r="O7" s="39">
        <f>資料儲存!H6363</f>
        <v>0</v>
      </c>
      <c r="P7" s="39">
        <f>資料儲存!I6363</f>
        <v>0</v>
      </c>
      <c r="Q7" s="39">
        <f>資料儲存!J6363</f>
        <v>0</v>
      </c>
      <c r="R7" s="58"/>
      <c r="S7" s="62">
        <v>2</v>
      </c>
      <c r="T7" s="39">
        <f>資料儲存!D6603</f>
        <v>0</v>
      </c>
      <c r="U7" s="39">
        <f>資料儲存!E6603</f>
        <v>0</v>
      </c>
      <c r="V7" s="39">
        <f>資料儲存!F6603</f>
        <v>0</v>
      </c>
      <c r="W7" s="39">
        <f>資料儲存!G6603</f>
        <v>0</v>
      </c>
      <c r="X7" s="39">
        <f>資料儲存!H6603</f>
        <v>0</v>
      </c>
      <c r="Y7" s="39">
        <f>資料儲存!I6603</f>
        <v>0</v>
      </c>
      <c r="Z7" s="39">
        <f>資料儲存!J6603</f>
        <v>0</v>
      </c>
      <c r="AA7" s="58"/>
      <c r="AB7" s="62">
        <v>2</v>
      </c>
      <c r="AC7" s="39">
        <f>資料儲存!D6843</f>
        <v>0</v>
      </c>
      <c r="AD7" s="39">
        <f>資料儲存!E6843</f>
        <v>0</v>
      </c>
      <c r="AE7" s="39">
        <f>資料儲存!F6843</f>
        <v>0</v>
      </c>
      <c r="AF7" s="39">
        <f>資料儲存!G6843</f>
        <v>0</v>
      </c>
      <c r="AG7" s="39">
        <f>資料儲存!H6843</f>
        <v>0</v>
      </c>
      <c r="AH7" s="39">
        <f>資料儲存!I6843</f>
        <v>0</v>
      </c>
      <c r="AI7" s="39">
        <f>資料儲存!J6843</f>
        <v>0</v>
      </c>
      <c r="AJ7" s="58"/>
      <c r="AK7" s="62">
        <v>2</v>
      </c>
      <c r="AL7" s="39">
        <f>資料儲存!D7083</f>
        <v>0</v>
      </c>
      <c r="AM7" s="39">
        <f>資料儲存!E7083</f>
        <v>0</v>
      </c>
      <c r="AN7" s="39">
        <f>資料儲存!F7083</f>
        <v>0</v>
      </c>
      <c r="AO7" s="39">
        <f>資料儲存!G7083</f>
        <v>0</v>
      </c>
      <c r="AP7" s="39">
        <f>資料儲存!H7083</f>
        <v>0</v>
      </c>
      <c r="AQ7" s="39">
        <f>資料儲存!I7083</f>
        <v>0</v>
      </c>
      <c r="AR7" s="39">
        <f>資料儲存!J7083</f>
        <v>0</v>
      </c>
      <c r="AT7" s="62">
        <v>2</v>
      </c>
      <c r="AU7" s="39">
        <f>資料儲存!D7323</f>
        <v>0</v>
      </c>
      <c r="AV7" s="39">
        <f>資料儲存!E7323</f>
        <v>0</v>
      </c>
      <c r="AW7" s="39">
        <f>資料儲存!F7323</f>
        <v>0</v>
      </c>
      <c r="AX7" s="39">
        <f>資料儲存!G7323</f>
        <v>0</v>
      </c>
      <c r="AY7" s="39">
        <f>資料儲存!H7323</f>
        <v>0</v>
      </c>
      <c r="AZ7" s="39">
        <f>資料儲存!I7323</f>
        <v>0</v>
      </c>
      <c r="BA7" s="39">
        <f>資料儲存!J7323</f>
        <v>0</v>
      </c>
    </row>
    <row r="8" spans="1:53" s="59" customFormat="1" ht="16" thickBot="1">
      <c r="A8" s="62">
        <v>3</v>
      </c>
      <c r="B8" s="39">
        <f>資料儲存!D6124</f>
        <v>0</v>
      </c>
      <c r="C8" s="39">
        <f>資料儲存!E6124</f>
        <v>0</v>
      </c>
      <c r="D8" s="39">
        <f>資料儲存!F6124</f>
        <v>0</v>
      </c>
      <c r="E8" s="39">
        <f>資料儲存!G6124</f>
        <v>0</v>
      </c>
      <c r="F8" s="39">
        <f>資料儲存!H6124</f>
        <v>0</v>
      </c>
      <c r="G8" s="39">
        <f>資料儲存!I6124</f>
        <v>0</v>
      </c>
      <c r="H8" s="39">
        <f>資料儲存!J6124</f>
        <v>0</v>
      </c>
      <c r="I8" s="58"/>
      <c r="J8" s="62">
        <v>3</v>
      </c>
      <c r="K8" s="39">
        <f>資料儲存!D6364</f>
        <v>0</v>
      </c>
      <c r="L8" s="39">
        <f>資料儲存!E6364</f>
        <v>0</v>
      </c>
      <c r="M8" s="39">
        <f>資料儲存!F6364</f>
        <v>0</v>
      </c>
      <c r="N8" s="39">
        <f>資料儲存!G6364</f>
        <v>0</v>
      </c>
      <c r="O8" s="39">
        <f>資料儲存!H6364</f>
        <v>0</v>
      </c>
      <c r="P8" s="39">
        <f>資料儲存!I6364</f>
        <v>0</v>
      </c>
      <c r="Q8" s="39">
        <f>資料儲存!J6364</f>
        <v>0</v>
      </c>
      <c r="R8" s="58"/>
      <c r="S8" s="62">
        <v>3</v>
      </c>
      <c r="T8" s="39">
        <f>資料儲存!D6604</f>
        <v>0</v>
      </c>
      <c r="U8" s="39">
        <f>資料儲存!E6604</f>
        <v>0</v>
      </c>
      <c r="V8" s="39">
        <f>資料儲存!F6604</f>
        <v>0</v>
      </c>
      <c r="W8" s="39">
        <f>資料儲存!G6604</f>
        <v>0</v>
      </c>
      <c r="X8" s="39">
        <f>資料儲存!H6604</f>
        <v>0</v>
      </c>
      <c r="Y8" s="39">
        <f>資料儲存!I6604</f>
        <v>0</v>
      </c>
      <c r="Z8" s="39">
        <f>資料儲存!J6604</f>
        <v>0</v>
      </c>
      <c r="AA8" s="58"/>
      <c r="AB8" s="62">
        <v>3</v>
      </c>
      <c r="AC8" s="39">
        <f>資料儲存!D6844</f>
        <v>0</v>
      </c>
      <c r="AD8" s="39">
        <f>資料儲存!E6844</f>
        <v>0</v>
      </c>
      <c r="AE8" s="39">
        <f>資料儲存!F6844</f>
        <v>0</v>
      </c>
      <c r="AF8" s="39">
        <f>資料儲存!G6844</f>
        <v>0</v>
      </c>
      <c r="AG8" s="39">
        <f>資料儲存!H6844</f>
        <v>0</v>
      </c>
      <c r="AH8" s="39">
        <f>資料儲存!I6844</f>
        <v>0</v>
      </c>
      <c r="AI8" s="39">
        <f>資料儲存!J6844</f>
        <v>0</v>
      </c>
      <c r="AJ8" s="58"/>
      <c r="AK8" s="62">
        <v>3</v>
      </c>
      <c r="AL8" s="39">
        <f>資料儲存!D7084</f>
        <v>0</v>
      </c>
      <c r="AM8" s="39">
        <f>資料儲存!E7084</f>
        <v>0</v>
      </c>
      <c r="AN8" s="39">
        <f>資料儲存!F7084</f>
        <v>0</v>
      </c>
      <c r="AO8" s="39">
        <f>資料儲存!G7084</f>
        <v>0</v>
      </c>
      <c r="AP8" s="39">
        <f>資料儲存!H7084</f>
        <v>0</v>
      </c>
      <c r="AQ8" s="39">
        <f>資料儲存!I7084</f>
        <v>0</v>
      </c>
      <c r="AR8" s="39">
        <f>資料儲存!J7084</f>
        <v>0</v>
      </c>
      <c r="AT8" s="62">
        <v>3</v>
      </c>
      <c r="AU8" s="39">
        <f>資料儲存!D7324</f>
        <v>0</v>
      </c>
      <c r="AV8" s="39">
        <f>資料儲存!E7324</f>
        <v>0</v>
      </c>
      <c r="AW8" s="39">
        <f>資料儲存!F7324</f>
        <v>0</v>
      </c>
      <c r="AX8" s="39">
        <f>資料儲存!G7324</f>
        <v>0</v>
      </c>
      <c r="AY8" s="39">
        <f>資料儲存!H7324</f>
        <v>0</v>
      </c>
      <c r="AZ8" s="39">
        <f>資料儲存!I7324</f>
        <v>0</v>
      </c>
      <c r="BA8" s="39">
        <f>資料儲存!J7324</f>
        <v>0</v>
      </c>
    </row>
    <row r="9" spans="1:53" s="59" customFormat="1" ht="16" thickBot="1">
      <c r="A9" s="62">
        <v>4</v>
      </c>
      <c r="B9" s="39">
        <f>資料儲存!D6125</f>
        <v>0</v>
      </c>
      <c r="C9" s="39">
        <f>資料儲存!E6125</f>
        <v>0</v>
      </c>
      <c r="D9" s="39">
        <f>資料儲存!F6125</f>
        <v>0</v>
      </c>
      <c r="E9" s="39">
        <f>資料儲存!G6125</f>
        <v>0</v>
      </c>
      <c r="F9" s="39">
        <f>資料儲存!H6125</f>
        <v>0</v>
      </c>
      <c r="G9" s="39">
        <f>資料儲存!I6125</f>
        <v>0</v>
      </c>
      <c r="H9" s="39">
        <f>資料儲存!J6125</f>
        <v>0</v>
      </c>
      <c r="I9" s="58"/>
      <c r="J9" s="62">
        <v>4</v>
      </c>
      <c r="K9" s="39">
        <f>資料儲存!D6365</f>
        <v>0</v>
      </c>
      <c r="L9" s="39">
        <f>資料儲存!E6365</f>
        <v>0</v>
      </c>
      <c r="M9" s="39">
        <f>資料儲存!F6365</f>
        <v>0</v>
      </c>
      <c r="N9" s="39">
        <f>資料儲存!G6365</f>
        <v>0</v>
      </c>
      <c r="O9" s="39">
        <f>資料儲存!H6365</f>
        <v>0</v>
      </c>
      <c r="P9" s="39">
        <f>資料儲存!I6365</f>
        <v>0</v>
      </c>
      <c r="Q9" s="39">
        <f>資料儲存!J6365</f>
        <v>0</v>
      </c>
      <c r="R9" s="58"/>
      <c r="S9" s="62">
        <v>4</v>
      </c>
      <c r="T9" s="39">
        <f>資料儲存!D6605</f>
        <v>0</v>
      </c>
      <c r="U9" s="39">
        <f>資料儲存!E6605</f>
        <v>0</v>
      </c>
      <c r="V9" s="39">
        <f>資料儲存!F6605</f>
        <v>0</v>
      </c>
      <c r="W9" s="39">
        <f>資料儲存!G6605</f>
        <v>0</v>
      </c>
      <c r="X9" s="39">
        <f>資料儲存!H6605</f>
        <v>0</v>
      </c>
      <c r="Y9" s="39">
        <f>資料儲存!I6605</f>
        <v>0</v>
      </c>
      <c r="Z9" s="39">
        <f>資料儲存!J6605</f>
        <v>0</v>
      </c>
      <c r="AA9" s="58"/>
      <c r="AB9" s="62">
        <v>4</v>
      </c>
      <c r="AC9" s="39">
        <f>資料儲存!D6845</f>
        <v>0</v>
      </c>
      <c r="AD9" s="39">
        <f>資料儲存!E6845</f>
        <v>0</v>
      </c>
      <c r="AE9" s="39">
        <f>資料儲存!F6845</f>
        <v>0</v>
      </c>
      <c r="AF9" s="39">
        <f>資料儲存!G6845</f>
        <v>0</v>
      </c>
      <c r="AG9" s="39">
        <f>資料儲存!H6845</f>
        <v>0</v>
      </c>
      <c r="AH9" s="39">
        <f>資料儲存!I6845</f>
        <v>0</v>
      </c>
      <c r="AI9" s="39">
        <f>資料儲存!J6845</f>
        <v>0</v>
      </c>
      <c r="AJ9" s="58"/>
      <c r="AK9" s="62">
        <v>4</v>
      </c>
      <c r="AL9" s="39">
        <f>資料儲存!D7085</f>
        <v>0</v>
      </c>
      <c r="AM9" s="39">
        <f>資料儲存!E7085</f>
        <v>0</v>
      </c>
      <c r="AN9" s="39">
        <f>資料儲存!F7085</f>
        <v>0</v>
      </c>
      <c r="AO9" s="39">
        <f>資料儲存!G7085</f>
        <v>0</v>
      </c>
      <c r="AP9" s="39">
        <f>資料儲存!H7085</f>
        <v>0</v>
      </c>
      <c r="AQ9" s="39">
        <f>資料儲存!I7085</f>
        <v>0</v>
      </c>
      <c r="AR9" s="39">
        <f>資料儲存!J7085</f>
        <v>0</v>
      </c>
      <c r="AT9" s="62">
        <v>4</v>
      </c>
      <c r="AU9" s="39">
        <f>資料儲存!D7325</f>
        <v>0</v>
      </c>
      <c r="AV9" s="39">
        <f>資料儲存!E7325</f>
        <v>0</v>
      </c>
      <c r="AW9" s="39">
        <f>資料儲存!F7325</f>
        <v>0</v>
      </c>
      <c r="AX9" s="39">
        <f>資料儲存!G7325</f>
        <v>0</v>
      </c>
      <c r="AY9" s="39">
        <f>資料儲存!H7325</f>
        <v>0</v>
      </c>
      <c r="AZ9" s="39">
        <f>資料儲存!I7325</f>
        <v>0</v>
      </c>
      <c r="BA9" s="39">
        <f>資料儲存!J7325</f>
        <v>0</v>
      </c>
    </row>
    <row r="10" spans="1:53" s="59" customFormat="1" ht="16" thickBot="1">
      <c r="A10" s="62">
        <v>5</v>
      </c>
      <c r="B10" s="39">
        <f>資料儲存!D6126</f>
        <v>0</v>
      </c>
      <c r="C10" s="39">
        <f>資料儲存!E6126</f>
        <v>0</v>
      </c>
      <c r="D10" s="39">
        <f>資料儲存!F6126</f>
        <v>0</v>
      </c>
      <c r="E10" s="39">
        <f>資料儲存!G6126</f>
        <v>0</v>
      </c>
      <c r="F10" s="39">
        <f>資料儲存!H6126</f>
        <v>0</v>
      </c>
      <c r="G10" s="39">
        <f>資料儲存!I6126</f>
        <v>0</v>
      </c>
      <c r="H10" s="39">
        <f>資料儲存!J6126</f>
        <v>0</v>
      </c>
      <c r="I10" s="58"/>
      <c r="J10" s="62">
        <v>5</v>
      </c>
      <c r="K10" s="39">
        <f>資料儲存!D6366</f>
        <v>0</v>
      </c>
      <c r="L10" s="39">
        <f>資料儲存!E6366</f>
        <v>0</v>
      </c>
      <c r="M10" s="39">
        <f>資料儲存!F6366</f>
        <v>0</v>
      </c>
      <c r="N10" s="39">
        <f>資料儲存!G6366</f>
        <v>0</v>
      </c>
      <c r="O10" s="39">
        <f>資料儲存!H6366</f>
        <v>0</v>
      </c>
      <c r="P10" s="39">
        <f>資料儲存!I6366</f>
        <v>0</v>
      </c>
      <c r="Q10" s="39">
        <f>資料儲存!J6366</f>
        <v>0</v>
      </c>
      <c r="R10" s="58"/>
      <c r="S10" s="62">
        <v>5</v>
      </c>
      <c r="T10" s="39">
        <f>資料儲存!D6606</f>
        <v>0</v>
      </c>
      <c r="U10" s="39">
        <f>資料儲存!E6606</f>
        <v>0</v>
      </c>
      <c r="V10" s="39">
        <f>資料儲存!F6606</f>
        <v>0</v>
      </c>
      <c r="W10" s="39">
        <f>資料儲存!G6606</f>
        <v>0</v>
      </c>
      <c r="X10" s="39">
        <f>資料儲存!H6606</f>
        <v>0</v>
      </c>
      <c r="Y10" s="39">
        <f>資料儲存!I6606</f>
        <v>0</v>
      </c>
      <c r="Z10" s="39">
        <f>資料儲存!J6606</f>
        <v>0</v>
      </c>
      <c r="AA10" s="58"/>
      <c r="AB10" s="62">
        <v>5</v>
      </c>
      <c r="AC10" s="39">
        <f>資料儲存!D6846</f>
        <v>0</v>
      </c>
      <c r="AD10" s="39">
        <f>資料儲存!E6846</f>
        <v>0</v>
      </c>
      <c r="AE10" s="39">
        <f>資料儲存!F6846</f>
        <v>0</v>
      </c>
      <c r="AF10" s="39">
        <f>資料儲存!G6846</f>
        <v>0</v>
      </c>
      <c r="AG10" s="39">
        <f>資料儲存!H6846</f>
        <v>0</v>
      </c>
      <c r="AH10" s="39">
        <f>資料儲存!I6846</f>
        <v>0</v>
      </c>
      <c r="AI10" s="39">
        <f>資料儲存!J6846</f>
        <v>0</v>
      </c>
      <c r="AJ10" s="58"/>
      <c r="AK10" s="62">
        <v>5</v>
      </c>
      <c r="AL10" s="39">
        <f>資料儲存!D7086</f>
        <v>0</v>
      </c>
      <c r="AM10" s="39">
        <f>資料儲存!E7086</f>
        <v>0</v>
      </c>
      <c r="AN10" s="39">
        <f>資料儲存!F7086</f>
        <v>0</v>
      </c>
      <c r="AO10" s="39">
        <f>資料儲存!G7086</f>
        <v>0</v>
      </c>
      <c r="AP10" s="39">
        <f>資料儲存!H7086</f>
        <v>0</v>
      </c>
      <c r="AQ10" s="39">
        <f>資料儲存!I7086</f>
        <v>0</v>
      </c>
      <c r="AR10" s="39">
        <f>資料儲存!J7086</f>
        <v>0</v>
      </c>
      <c r="AT10" s="62">
        <v>5</v>
      </c>
      <c r="AU10" s="39">
        <f>資料儲存!D7326</f>
        <v>0</v>
      </c>
      <c r="AV10" s="39">
        <f>資料儲存!E7326</f>
        <v>0</v>
      </c>
      <c r="AW10" s="39">
        <f>資料儲存!F7326</f>
        <v>0</v>
      </c>
      <c r="AX10" s="39">
        <f>資料儲存!G7326</f>
        <v>0</v>
      </c>
      <c r="AY10" s="39">
        <f>資料儲存!H7326</f>
        <v>0</v>
      </c>
      <c r="AZ10" s="39">
        <f>資料儲存!I7326</f>
        <v>0</v>
      </c>
      <c r="BA10" s="39">
        <f>資料儲存!J7326</f>
        <v>0</v>
      </c>
    </row>
    <row r="11" spans="1:53" s="59" customFormat="1" ht="16" thickBot="1">
      <c r="A11" s="62">
        <v>6</v>
      </c>
      <c r="B11" s="39">
        <f>資料儲存!D6127</f>
        <v>0</v>
      </c>
      <c r="C11" s="39">
        <f>資料儲存!E6127</f>
        <v>0</v>
      </c>
      <c r="D11" s="39">
        <f>資料儲存!F6127</f>
        <v>0</v>
      </c>
      <c r="E11" s="39">
        <f>資料儲存!G6127</f>
        <v>0</v>
      </c>
      <c r="F11" s="39">
        <f>資料儲存!H6127</f>
        <v>0</v>
      </c>
      <c r="G11" s="39">
        <f>資料儲存!I6127</f>
        <v>0</v>
      </c>
      <c r="H11" s="39">
        <f>資料儲存!J6127</f>
        <v>0</v>
      </c>
      <c r="I11" s="58"/>
      <c r="J11" s="62">
        <v>6</v>
      </c>
      <c r="K11" s="39">
        <f>資料儲存!D6367</f>
        <v>0</v>
      </c>
      <c r="L11" s="39">
        <f>資料儲存!E6367</f>
        <v>0</v>
      </c>
      <c r="M11" s="39">
        <f>資料儲存!F6367</f>
        <v>0</v>
      </c>
      <c r="N11" s="39">
        <f>資料儲存!G6367</f>
        <v>0</v>
      </c>
      <c r="O11" s="39">
        <f>資料儲存!H6367</f>
        <v>0</v>
      </c>
      <c r="P11" s="39">
        <f>資料儲存!I6367</f>
        <v>0</v>
      </c>
      <c r="Q11" s="39">
        <f>資料儲存!J6367</f>
        <v>0</v>
      </c>
      <c r="R11" s="58"/>
      <c r="S11" s="62">
        <v>6</v>
      </c>
      <c r="T11" s="39">
        <f>資料儲存!D6607</f>
        <v>0</v>
      </c>
      <c r="U11" s="39">
        <f>資料儲存!E6607</f>
        <v>0</v>
      </c>
      <c r="V11" s="39">
        <f>資料儲存!F6607</f>
        <v>0</v>
      </c>
      <c r="W11" s="39">
        <f>資料儲存!G6607</f>
        <v>0</v>
      </c>
      <c r="X11" s="39">
        <f>資料儲存!H6607</f>
        <v>0</v>
      </c>
      <c r="Y11" s="39">
        <f>資料儲存!I6607</f>
        <v>0</v>
      </c>
      <c r="Z11" s="39">
        <f>資料儲存!J6607</f>
        <v>0</v>
      </c>
      <c r="AA11" s="58"/>
      <c r="AB11" s="62">
        <v>6</v>
      </c>
      <c r="AC11" s="39">
        <f>資料儲存!D6847</f>
        <v>0</v>
      </c>
      <c r="AD11" s="39">
        <f>資料儲存!E6847</f>
        <v>0</v>
      </c>
      <c r="AE11" s="39">
        <f>資料儲存!F6847</f>
        <v>0</v>
      </c>
      <c r="AF11" s="39">
        <f>資料儲存!G6847</f>
        <v>0</v>
      </c>
      <c r="AG11" s="39">
        <f>資料儲存!H6847</f>
        <v>0</v>
      </c>
      <c r="AH11" s="39">
        <f>資料儲存!I6847</f>
        <v>0</v>
      </c>
      <c r="AI11" s="39">
        <f>資料儲存!J6847</f>
        <v>0</v>
      </c>
      <c r="AJ11" s="58"/>
      <c r="AK11" s="62">
        <v>6</v>
      </c>
      <c r="AL11" s="39">
        <f>資料儲存!D7087</f>
        <v>0</v>
      </c>
      <c r="AM11" s="39">
        <f>資料儲存!E7087</f>
        <v>0</v>
      </c>
      <c r="AN11" s="39">
        <f>資料儲存!F7087</f>
        <v>0</v>
      </c>
      <c r="AO11" s="39">
        <f>資料儲存!G7087</f>
        <v>0</v>
      </c>
      <c r="AP11" s="39">
        <f>資料儲存!H7087</f>
        <v>0</v>
      </c>
      <c r="AQ11" s="39">
        <f>資料儲存!I7087</f>
        <v>0</v>
      </c>
      <c r="AR11" s="39">
        <f>資料儲存!J7087</f>
        <v>0</v>
      </c>
      <c r="AT11" s="62">
        <v>6</v>
      </c>
      <c r="AU11" s="39">
        <f>資料儲存!D7327</f>
        <v>0</v>
      </c>
      <c r="AV11" s="39">
        <f>資料儲存!E7327</f>
        <v>0</v>
      </c>
      <c r="AW11" s="39">
        <f>資料儲存!F7327</f>
        <v>0</v>
      </c>
      <c r="AX11" s="39">
        <f>資料儲存!G7327</f>
        <v>0</v>
      </c>
      <c r="AY11" s="39">
        <f>資料儲存!H7327</f>
        <v>0</v>
      </c>
      <c r="AZ11" s="39">
        <f>資料儲存!I7327</f>
        <v>0</v>
      </c>
      <c r="BA11" s="39">
        <f>資料儲存!J7327</f>
        <v>0</v>
      </c>
    </row>
    <row r="12" spans="1:53" s="59" customFormat="1" ht="16" thickBot="1">
      <c r="A12" s="62">
        <v>7</v>
      </c>
      <c r="B12" s="39">
        <f>資料儲存!D6128</f>
        <v>0</v>
      </c>
      <c r="C12" s="39">
        <f>資料儲存!E6128</f>
        <v>0</v>
      </c>
      <c r="D12" s="39">
        <f>資料儲存!F6128</f>
        <v>0</v>
      </c>
      <c r="E12" s="39">
        <f>資料儲存!G6128</f>
        <v>0</v>
      </c>
      <c r="F12" s="39">
        <f>資料儲存!H6128</f>
        <v>0</v>
      </c>
      <c r="G12" s="39">
        <f>資料儲存!I6128</f>
        <v>0</v>
      </c>
      <c r="H12" s="39">
        <f>資料儲存!J6128</f>
        <v>0</v>
      </c>
      <c r="I12" s="58"/>
      <c r="J12" s="62">
        <v>7</v>
      </c>
      <c r="K12" s="39">
        <f>資料儲存!D6368</f>
        <v>0</v>
      </c>
      <c r="L12" s="39">
        <f>資料儲存!E6368</f>
        <v>0</v>
      </c>
      <c r="M12" s="39">
        <f>資料儲存!F6368</f>
        <v>0</v>
      </c>
      <c r="N12" s="39">
        <f>資料儲存!G6368</f>
        <v>0</v>
      </c>
      <c r="O12" s="39">
        <f>資料儲存!H6368</f>
        <v>0</v>
      </c>
      <c r="P12" s="39">
        <f>資料儲存!I6368</f>
        <v>0</v>
      </c>
      <c r="Q12" s="39">
        <f>資料儲存!J6368</f>
        <v>0</v>
      </c>
      <c r="R12" s="58"/>
      <c r="S12" s="62">
        <v>7</v>
      </c>
      <c r="T12" s="39">
        <f>資料儲存!D6608</f>
        <v>0</v>
      </c>
      <c r="U12" s="39">
        <f>資料儲存!E6608</f>
        <v>0</v>
      </c>
      <c r="V12" s="39">
        <f>資料儲存!F6608</f>
        <v>0</v>
      </c>
      <c r="W12" s="39">
        <f>資料儲存!G6608</f>
        <v>0</v>
      </c>
      <c r="X12" s="39">
        <f>資料儲存!H6608</f>
        <v>0</v>
      </c>
      <c r="Y12" s="39">
        <f>資料儲存!I6608</f>
        <v>0</v>
      </c>
      <c r="Z12" s="39">
        <f>資料儲存!J6608</f>
        <v>0</v>
      </c>
      <c r="AA12" s="58"/>
      <c r="AB12" s="62">
        <v>7</v>
      </c>
      <c r="AC12" s="39">
        <f>資料儲存!D6848</f>
        <v>0</v>
      </c>
      <c r="AD12" s="39">
        <f>資料儲存!E6848</f>
        <v>0</v>
      </c>
      <c r="AE12" s="39">
        <f>資料儲存!F6848</f>
        <v>0</v>
      </c>
      <c r="AF12" s="39">
        <f>資料儲存!G6848</f>
        <v>0</v>
      </c>
      <c r="AG12" s="39">
        <f>資料儲存!H6848</f>
        <v>0</v>
      </c>
      <c r="AH12" s="39">
        <f>資料儲存!I6848</f>
        <v>0</v>
      </c>
      <c r="AI12" s="39">
        <f>資料儲存!J6848</f>
        <v>0</v>
      </c>
      <c r="AJ12" s="58"/>
      <c r="AK12" s="62">
        <v>7</v>
      </c>
      <c r="AL12" s="39">
        <f>資料儲存!D7088</f>
        <v>0</v>
      </c>
      <c r="AM12" s="39">
        <f>資料儲存!E7088</f>
        <v>0</v>
      </c>
      <c r="AN12" s="39">
        <f>資料儲存!F7088</f>
        <v>0</v>
      </c>
      <c r="AO12" s="39">
        <f>資料儲存!G7088</f>
        <v>0</v>
      </c>
      <c r="AP12" s="39">
        <f>資料儲存!H7088</f>
        <v>0</v>
      </c>
      <c r="AQ12" s="39">
        <f>資料儲存!I7088</f>
        <v>0</v>
      </c>
      <c r="AR12" s="39">
        <f>資料儲存!J7088</f>
        <v>0</v>
      </c>
      <c r="AT12" s="62">
        <v>7</v>
      </c>
      <c r="AU12" s="39">
        <f>資料儲存!D7328</f>
        <v>0</v>
      </c>
      <c r="AV12" s="39">
        <f>資料儲存!E7328</f>
        <v>0</v>
      </c>
      <c r="AW12" s="39">
        <f>資料儲存!F7328</f>
        <v>0</v>
      </c>
      <c r="AX12" s="39">
        <f>資料儲存!G7328</f>
        <v>0</v>
      </c>
      <c r="AY12" s="39">
        <f>資料儲存!H7328</f>
        <v>0</v>
      </c>
      <c r="AZ12" s="39">
        <f>資料儲存!I7328</f>
        <v>0</v>
      </c>
      <c r="BA12" s="39">
        <f>資料儲存!J7328</f>
        <v>0</v>
      </c>
    </row>
    <row r="13" spans="1:53" s="59" customFormat="1" ht="16" thickBot="1">
      <c r="A13" s="62">
        <v>8</v>
      </c>
      <c r="B13" s="39">
        <f>資料儲存!D6129</f>
        <v>0</v>
      </c>
      <c r="C13" s="39">
        <f>資料儲存!E6129</f>
        <v>0</v>
      </c>
      <c r="D13" s="39">
        <f>資料儲存!F6129</f>
        <v>0</v>
      </c>
      <c r="E13" s="39">
        <f>資料儲存!G6129</f>
        <v>0</v>
      </c>
      <c r="F13" s="39">
        <f>資料儲存!H6129</f>
        <v>0</v>
      </c>
      <c r="G13" s="39">
        <f>資料儲存!I6129</f>
        <v>0</v>
      </c>
      <c r="H13" s="39">
        <f>資料儲存!J6129</f>
        <v>0</v>
      </c>
      <c r="I13" s="58"/>
      <c r="J13" s="62">
        <v>8</v>
      </c>
      <c r="K13" s="39">
        <f>資料儲存!D6369</f>
        <v>0</v>
      </c>
      <c r="L13" s="39">
        <f>資料儲存!E6369</f>
        <v>0</v>
      </c>
      <c r="M13" s="39">
        <f>資料儲存!F6369</f>
        <v>0</v>
      </c>
      <c r="N13" s="39">
        <f>資料儲存!G6369</f>
        <v>0</v>
      </c>
      <c r="O13" s="39">
        <f>資料儲存!H6369</f>
        <v>0</v>
      </c>
      <c r="P13" s="39">
        <f>資料儲存!I6369</f>
        <v>0</v>
      </c>
      <c r="Q13" s="39">
        <f>資料儲存!J6369</f>
        <v>0</v>
      </c>
      <c r="R13" s="58"/>
      <c r="S13" s="62">
        <v>8</v>
      </c>
      <c r="T13" s="39">
        <f>資料儲存!D6609</f>
        <v>0</v>
      </c>
      <c r="U13" s="39">
        <f>資料儲存!E6609</f>
        <v>0</v>
      </c>
      <c r="V13" s="39">
        <f>資料儲存!F6609</f>
        <v>0</v>
      </c>
      <c r="W13" s="39">
        <f>資料儲存!G6609</f>
        <v>0</v>
      </c>
      <c r="X13" s="39">
        <f>資料儲存!H6609</f>
        <v>0</v>
      </c>
      <c r="Y13" s="39">
        <f>資料儲存!I6609</f>
        <v>0</v>
      </c>
      <c r="Z13" s="39">
        <f>資料儲存!J6609</f>
        <v>0</v>
      </c>
      <c r="AA13" s="58"/>
      <c r="AB13" s="62">
        <v>8</v>
      </c>
      <c r="AC13" s="39">
        <f>資料儲存!D6849</f>
        <v>0</v>
      </c>
      <c r="AD13" s="39">
        <f>資料儲存!E6849</f>
        <v>0</v>
      </c>
      <c r="AE13" s="39">
        <f>資料儲存!F6849</f>
        <v>0</v>
      </c>
      <c r="AF13" s="39">
        <f>資料儲存!G6849</f>
        <v>0</v>
      </c>
      <c r="AG13" s="39">
        <f>資料儲存!H6849</f>
        <v>0</v>
      </c>
      <c r="AH13" s="39">
        <f>資料儲存!I6849</f>
        <v>0</v>
      </c>
      <c r="AI13" s="39">
        <f>資料儲存!J6849</f>
        <v>0</v>
      </c>
      <c r="AJ13" s="58"/>
      <c r="AK13" s="62">
        <v>8</v>
      </c>
      <c r="AL13" s="39">
        <f>資料儲存!D7089</f>
        <v>0</v>
      </c>
      <c r="AM13" s="39">
        <f>資料儲存!E7089</f>
        <v>0</v>
      </c>
      <c r="AN13" s="39">
        <f>資料儲存!F7089</f>
        <v>0</v>
      </c>
      <c r="AO13" s="39">
        <f>資料儲存!G7089</f>
        <v>0</v>
      </c>
      <c r="AP13" s="39">
        <f>資料儲存!H7089</f>
        <v>0</v>
      </c>
      <c r="AQ13" s="39">
        <f>資料儲存!I7089</f>
        <v>0</v>
      </c>
      <c r="AR13" s="39">
        <f>資料儲存!J7089</f>
        <v>0</v>
      </c>
      <c r="AT13" s="62">
        <v>8</v>
      </c>
      <c r="AU13" s="39">
        <f>資料儲存!D7329</f>
        <v>0</v>
      </c>
      <c r="AV13" s="39">
        <f>資料儲存!E7329</f>
        <v>0</v>
      </c>
      <c r="AW13" s="39">
        <f>資料儲存!F7329</f>
        <v>0</v>
      </c>
      <c r="AX13" s="39">
        <f>資料儲存!G7329</f>
        <v>0</v>
      </c>
      <c r="AY13" s="39">
        <f>資料儲存!H7329</f>
        <v>0</v>
      </c>
      <c r="AZ13" s="39">
        <f>資料儲存!I7329</f>
        <v>0</v>
      </c>
      <c r="BA13" s="39">
        <f>資料儲存!J7329</f>
        <v>0</v>
      </c>
    </row>
    <row r="14" spans="1:53" s="59" customFormat="1" ht="16" thickBot="1">
      <c r="A14" s="62">
        <v>9</v>
      </c>
      <c r="B14" s="39">
        <f>資料儲存!D6130</f>
        <v>0</v>
      </c>
      <c r="C14" s="39">
        <f>資料儲存!E6130</f>
        <v>0</v>
      </c>
      <c r="D14" s="39">
        <f>資料儲存!F6130</f>
        <v>0</v>
      </c>
      <c r="E14" s="39">
        <f>資料儲存!G6130</f>
        <v>0</v>
      </c>
      <c r="F14" s="39">
        <f>資料儲存!H6130</f>
        <v>0</v>
      </c>
      <c r="G14" s="39">
        <f>資料儲存!I6130</f>
        <v>0</v>
      </c>
      <c r="H14" s="39">
        <f>資料儲存!J6130</f>
        <v>0</v>
      </c>
      <c r="I14" s="58"/>
      <c r="J14" s="62">
        <v>9</v>
      </c>
      <c r="K14" s="39">
        <f>資料儲存!D6370</f>
        <v>0</v>
      </c>
      <c r="L14" s="39">
        <f>資料儲存!E6370</f>
        <v>0</v>
      </c>
      <c r="M14" s="39">
        <f>資料儲存!F6370</f>
        <v>0</v>
      </c>
      <c r="N14" s="39">
        <f>資料儲存!G6370</f>
        <v>0</v>
      </c>
      <c r="O14" s="39">
        <f>資料儲存!H6370</f>
        <v>0</v>
      </c>
      <c r="P14" s="39">
        <f>資料儲存!I6370</f>
        <v>0</v>
      </c>
      <c r="Q14" s="39">
        <f>資料儲存!J6370</f>
        <v>0</v>
      </c>
      <c r="R14" s="58"/>
      <c r="S14" s="62">
        <v>9</v>
      </c>
      <c r="T14" s="39">
        <f>資料儲存!D6610</f>
        <v>0</v>
      </c>
      <c r="U14" s="39">
        <f>資料儲存!E6610</f>
        <v>0</v>
      </c>
      <c r="V14" s="39">
        <f>資料儲存!F6610</f>
        <v>0</v>
      </c>
      <c r="W14" s="39">
        <f>資料儲存!G6610</f>
        <v>0</v>
      </c>
      <c r="X14" s="39">
        <f>資料儲存!H6610</f>
        <v>0</v>
      </c>
      <c r="Y14" s="39">
        <f>資料儲存!I6610</f>
        <v>0</v>
      </c>
      <c r="Z14" s="39">
        <f>資料儲存!J6610</f>
        <v>0</v>
      </c>
      <c r="AA14" s="58"/>
      <c r="AB14" s="62">
        <v>9</v>
      </c>
      <c r="AC14" s="39">
        <f>資料儲存!D6850</f>
        <v>0</v>
      </c>
      <c r="AD14" s="39">
        <f>資料儲存!E6850</f>
        <v>0</v>
      </c>
      <c r="AE14" s="39">
        <f>資料儲存!F6850</f>
        <v>0</v>
      </c>
      <c r="AF14" s="39">
        <f>資料儲存!G6850</f>
        <v>0</v>
      </c>
      <c r="AG14" s="39">
        <f>資料儲存!H6850</f>
        <v>0</v>
      </c>
      <c r="AH14" s="39">
        <f>資料儲存!I6850</f>
        <v>0</v>
      </c>
      <c r="AI14" s="39">
        <f>資料儲存!J6850</f>
        <v>0</v>
      </c>
      <c r="AJ14" s="58"/>
      <c r="AK14" s="62">
        <v>9</v>
      </c>
      <c r="AL14" s="39">
        <f>資料儲存!D7090</f>
        <v>0</v>
      </c>
      <c r="AM14" s="39">
        <f>資料儲存!E7090</f>
        <v>0</v>
      </c>
      <c r="AN14" s="39">
        <f>資料儲存!F7090</f>
        <v>0</v>
      </c>
      <c r="AO14" s="39">
        <f>資料儲存!G7090</f>
        <v>0</v>
      </c>
      <c r="AP14" s="39">
        <f>資料儲存!H7090</f>
        <v>0</v>
      </c>
      <c r="AQ14" s="39">
        <f>資料儲存!I7090</f>
        <v>0</v>
      </c>
      <c r="AR14" s="39">
        <f>資料儲存!J7090</f>
        <v>0</v>
      </c>
      <c r="AT14" s="62">
        <v>9</v>
      </c>
      <c r="AU14" s="39">
        <f>資料儲存!D7330</f>
        <v>0</v>
      </c>
      <c r="AV14" s="39">
        <f>資料儲存!E7330</f>
        <v>0</v>
      </c>
      <c r="AW14" s="39">
        <f>資料儲存!F7330</f>
        <v>0</v>
      </c>
      <c r="AX14" s="39">
        <f>資料儲存!G7330</f>
        <v>0</v>
      </c>
      <c r="AY14" s="39">
        <f>資料儲存!H7330</f>
        <v>0</v>
      </c>
      <c r="AZ14" s="39">
        <f>資料儲存!I7330</f>
        <v>0</v>
      </c>
      <c r="BA14" s="39">
        <f>資料儲存!J7330</f>
        <v>0</v>
      </c>
    </row>
    <row r="15" spans="1:53" s="59" customFormat="1" ht="16" thickBot="1">
      <c r="A15" s="62">
        <v>10</v>
      </c>
      <c r="B15" s="39">
        <f>資料儲存!D6131</f>
        <v>0</v>
      </c>
      <c r="C15" s="39">
        <f>資料儲存!E6131</f>
        <v>0</v>
      </c>
      <c r="D15" s="39">
        <f>資料儲存!F6131</f>
        <v>0</v>
      </c>
      <c r="E15" s="39">
        <f>資料儲存!G6131</f>
        <v>0</v>
      </c>
      <c r="F15" s="39">
        <f>資料儲存!H6131</f>
        <v>0</v>
      </c>
      <c r="G15" s="39">
        <f>資料儲存!I6131</f>
        <v>0</v>
      </c>
      <c r="H15" s="39">
        <f>資料儲存!J6131</f>
        <v>0</v>
      </c>
      <c r="I15" s="58"/>
      <c r="J15" s="62">
        <v>10</v>
      </c>
      <c r="K15" s="39">
        <f>資料儲存!D6371</f>
        <v>0</v>
      </c>
      <c r="L15" s="39">
        <f>資料儲存!E6371</f>
        <v>0</v>
      </c>
      <c r="M15" s="39">
        <f>資料儲存!F6371</f>
        <v>0</v>
      </c>
      <c r="N15" s="39">
        <f>資料儲存!G6371</f>
        <v>0</v>
      </c>
      <c r="O15" s="39">
        <f>資料儲存!H6371</f>
        <v>0</v>
      </c>
      <c r="P15" s="39">
        <f>資料儲存!I6371</f>
        <v>0</v>
      </c>
      <c r="Q15" s="39">
        <f>資料儲存!J6371</f>
        <v>0</v>
      </c>
      <c r="R15" s="58"/>
      <c r="S15" s="62">
        <v>10</v>
      </c>
      <c r="T15" s="39">
        <f>資料儲存!D6611</f>
        <v>0</v>
      </c>
      <c r="U15" s="39">
        <f>資料儲存!E6611</f>
        <v>0</v>
      </c>
      <c r="V15" s="39">
        <f>資料儲存!F6611</f>
        <v>0</v>
      </c>
      <c r="W15" s="39">
        <f>資料儲存!G6611</f>
        <v>0</v>
      </c>
      <c r="X15" s="39">
        <f>資料儲存!H6611</f>
        <v>0</v>
      </c>
      <c r="Y15" s="39">
        <f>資料儲存!I6611</f>
        <v>0</v>
      </c>
      <c r="Z15" s="39">
        <f>資料儲存!J6611</f>
        <v>0</v>
      </c>
      <c r="AA15" s="58"/>
      <c r="AB15" s="62">
        <v>10</v>
      </c>
      <c r="AC15" s="39">
        <f>資料儲存!D6851</f>
        <v>0</v>
      </c>
      <c r="AD15" s="39">
        <f>資料儲存!E6851</f>
        <v>0</v>
      </c>
      <c r="AE15" s="39">
        <f>資料儲存!F6851</f>
        <v>0</v>
      </c>
      <c r="AF15" s="39">
        <f>資料儲存!G6851</f>
        <v>0</v>
      </c>
      <c r="AG15" s="39">
        <f>資料儲存!H6851</f>
        <v>0</v>
      </c>
      <c r="AH15" s="39">
        <f>資料儲存!I6851</f>
        <v>0</v>
      </c>
      <c r="AI15" s="39">
        <f>資料儲存!J6851</f>
        <v>0</v>
      </c>
      <c r="AJ15" s="58"/>
      <c r="AK15" s="62">
        <v>10</v>
      </c>
      <c r="AL15" s="39">
        <f>資料儲存!D7091</f>
        <v>0</v>
      </c>
      <c r="AM15" s="39">
        <f>資料儲存!E7091</f>
        <v>0</v>
      </c>
      <c r="AN15" s="39">
        <f>資料儲存!F7091</f>
        <v>0</v>
      </c>
      <c r="AO15" s="39">
        <f>資料儲存!G7091</f>
        <v>0</v>
      </c>
      <c r="AP15" s="39">
        <f>資料儲存!H7091</f>
        <v>0</v>
      </c>
      <c r="AQ15" s="39">
        <f>資料儲存!I7091</f>
        <v>0</v>
      </c>
      <c r="AR15" s="39">
        <f>資料儲存!J7091</f>
        <v>0</v>
      </c>
      <c r="AT15" s="62">
        <v>10</v>
      </c>
      <c r="AU15" s="39">
        <f>資料儲存!D7331</f>
        <v>0</v>
      </c>
      <c r="AV15" s="39">
        <f>資料儲存!E7331</f>
        <v>0</v>
      </c>
      <c r="AW15" s="39">
        <f>資料儲存!F7331</f>
        <v>0</v>
      </c>
      <c r="AX15" s="39">
        <f>資料儲存!G7331</f>
        <v>0</v>
      </c>
      <c r="AY15" s="39">
        <f>資料儲存!H7331</f>
        <v>0</v>
      </c>
      <c r="AZ15" s="39">
        <f>資料儲存!I7331</f>
        <v>0</v>
      </c>
      <c r="BA15" s="39">
        <f>資料儲存!J7331</f>
        <v>0</v>
      </c>
    </row>
    <row r="16" spans="1:53" s="59" customFormat="1" ht="16" thickBot="1">
      <c r="A16" s="62">
        <v>11</v>
      </c>
      <c r="B16" s="39">
        <f>資料儲存!D6132</f>
        <v>0</v>
      </c>
      <c r="C16" s="39">
        <f>資料儲存!E6132</f>
        <v>0</v>
      </c>
      <c r="D16" s="39">
        <f>資料儲存!F6132</f>
        <v>0</v>
      </c>
      <c r="E16" s="39">
        <f>資料儲存!G6132</f>
        <v>0</v>
      </c>
      <c r="F16" s="39">
        <f>資料儲存!H6132</f>
        <v>0</v>
      </c>
      <c r="G16" s="39">
        <f>資料儲存!I6132</f>
        <v>0</v>
      </c>
      <c r="H16" s="39">
        <f>資料儲存!J6132</f>
        <v>0</v>
      </c>
      <c r="I16" s="58"/>
      <c r="J16" s="62">
        <v>11</v>
      </c>
      <c r="K16" s="39">
        <f>資料儲存!D6372</f>
        <v>0</v>
      </c>
      <c r="L16" s="39">
        <f>資料儲存!E6372</f>
        <v>0</v>
      </c>
      <c r="M16" s="39">
        <f>資料儲存!F6372</f>
        <v>0</v>
      </c>
      <c r="N16" s="39">
        <f>資料儲存!G6372</f>
        <v>0</v>
      </c>
      <c r="O16" s="39">
        <f>資料儲存!H6372</f>
        <v>0</v>
      </c>
      <c r="P16" s="39">
        <f>資料儲存!I6372</f>
        <v>0</v>
      </c>
      <c r="Q16" s="39">
        <f>資料儲存!J6372</f>
        <v>0</v>
      </c>
      <c r="R16" s="58"/>
      <c r="S16" s="62">
        <v>11</v>
      </c>
      <c r="T16" s="39">
        <f>資料儲存!D6612</f>
        <v>0</v>
      </c>
      <c r="U16" s="39">
        <f>資料儲存!E6612</f>
        <v>0</v>
      </c>
      <c r="V16" s="39">
        <f>資料儲存!F6612</f>
        <v>0</v>
      </c>
      <c r="W16" s="39">
        <f>資料儲存!G6612</f>
        <v>0</v>
      </c>
      <c r="X16" s="39">
        <f>資料儲存!H6612</f>
        <v>0</v>
      </c>
      <c r="Y16" s="39">
        <f>資料儲存!I6612</f>
        <v>0</v>
      </c>
      <c r="Z16" s="39">
        <f>資料儲存!J6612</f>
        <v>0</v>
      </c>
      <c r="AA16" s="58"/>
      <c r="AB16" s="62">
        <v>11</v>
      </c>
      <c r="AC16" s="39">
        <f>資料儲存!D6852</f>
        <v>0</v>
      </c>
      <c r="AD16" s="39">
        <f>資料儲存!E6852</f>
        <v>0</v>
      </c>
      <c r="AE16" s="39">
        <f>資料儲存!F6852</f>
        <v>0</v>
      </c>
      <c r="AF16" s="39">
        <f>資料儲存!G6852</f>
        <v>0</v>
      </c>
      <c r="AG16" s="39">
        <f>資料儲存!H6852</f>
        <v>0</v>
      </c>
      <c r="AH16" s="39">
        <f>資料儲存!I6852</f>
        <v>0</v>
      </c>
      <c r="AI16" s="39">
        <f>資料儲存!J6852</f>
        <v>0</v>
      </c>
      <c r="AJ16" s="58"/>
      <c r="AK16" s="62">
        <v>11</v>
      </c>
      <c r="AL16" s="39">
        <f>資料儲存!D7092</f>
        <v>0</v>
      </c>
      <c r="AM16" s="39">
        <f>資料儲存!E7092</f>
        <v>0</v>
      </c>
      <c r="AN16" s="39">
        <f>資料儲存!F7092</f>
        <v>0</v>
      </c>
      <c r="AO16" s="39">
        <f>資料儲存!G7092</f>
        <v>0</v>
      </c>
      <c r="AP16" s="39">
        <f>資料儲存!H7092</f>
        <v>0</v>
      </c>
      <c r="AQ16" s="39">
        <f>資料儲存!I7092</f>
        <v>0</v>
      </c>
      <c r="AR16" s="39">
        <f>資料儲存!J7092</f>
        <v>0</v>
      </c>
      <c r="AT16" s="62">
        <v>11</v>
      </c>
      <c r="AU16" s="39">
        <f>資料儲存!D7332</f>
        <v>0</v>
      </c>
      <c r="AV16" s="39">
        <f>資料儲存!E7332</f>
        <v>0</v>
      </c>
      <c r="AW16" s="39">
        <f>資料儲存!F7332</f>
        <v>0</v>
      </c>
      <c r="AX16" s="39">
        <f>資料儲存!G7332</f>
        <v>0</v>
      </c>
      <c r="AY16" s="39">
        <f>資料儲存!H7332</f>
        <v>0</v>
      </c>
      <c r="AZ16" s="39">
        <f>資料儲存!I7332</f>
        <v>0</v>
      </c>
      <c r="BA16" s="39">
        <f>資料儲存!J7332</f>
        <v>0</v>
      </c>
    </row>
    <row r="17" spans="1:53" s="59" customFormat="1" ht="16" thickBot="1">
      <c r="A17" s="62">
        <v>12</v>
      </c>
      <c r="B17" s="39">
        <f>資料儲存!D6133</f>
        <v>0</v>
      </c>
      <c r="C17" s="39">
        <f>資料儲存!E6133</f>
        <v>0</v>
      </c>
      <c r="D17" s="39">
        <f>資料儲存!F6133</f>
        <v>0</v>
      </c>
      <c r="E17" s="39">
        <f>資料儲存!G6133</f>
        <v>0</v>
      </c>
      <c r="F17" s="39">
        <f>資料儲存!H6133</f>
        <v>0</v>
      </c>
      <c r="G17" s="39">
        <f>資料儲存!I6133</f>
        <v>0</v>
      </c>
      <c r="H17" s="39">
        <f>資料儲存!J6133</f>
        <v>0</v>
      </c>
      <c r="I17" s="58"/>
      <c r="J17" s="62">
        <v>12</v>
      </c>
      <c r="K17" s="39">
        <f>資料儲存!D6373</f>
        <v>0</v>
      </c>
      <c r="L17" s="39">
        <f>資料儲存!E6373</f>
        <v>0</v>
      </c>
      <c r="M17" s="39">
        <f>資料儲存!F6373</f>
        <v>0</v>
      </c>
      <c r="N17" s="39">
        <f>資料儲存!G6373</f>
        <v>0</v>
      </c>
      <c r="O17" s="39">
        <f>資料儲存!H6373</f>
        <v>0</v>
      </c>
      <c r="P17" s="39">
        <f>資料儲存!I6373</f>
        <v>0</v>
      </c>
      <c r="Q17" s="39">
        <f>資料儲存!J6373</f>
        <v>0</v>
      </c>
      <c r="R17" s="58"/>
      <c r="S17" s="62">
        <v>12</v>
      </c>
      <c r="T17" s="39">
        <f>資料儲存!D6613</f>
        <v>0</v>
      </c>
      <c r="U17" s="39">
        <f>資料儲存!E6613</f>
        <v>0</v>
      </c>
      <c r="V17" s="39">
        <f>資料儲存!F6613</f>
        <v>0</v>
      </c>
      <c r="W17" s="39">
        <f>資料儲存!G6613</f>
        <v>0</v>
      </c>
      <c r="X17" s="39">
        <f>資料儲存!H6613</f>
        <v>0</v>
      </c>
      <c r="Y17" s="39">
        <f>資料儲存!I6613</f>
        <v>0</v>
      </c>
      <c r="Z17" s="39">
        <f>資料儲存!J6613</f>
        <v>0</v>
      </c>
      <c r="AA17" s="58"/>
      <c r="AB17" s="62">
        <v>12</v>
      </c>
      <c r="AC17" s="39">
        <f>資料儲存!D6853</f>
        <v>0</v>
      </c>
      <c r="AD17" s="39">
        <f>資料儲存!E6853</f>
        <v>0</v>
      </c>
      <c r="AE17" s="39">
        <f>資料儲存!F6853</f>
        <v>0</v>
      </c>
      <c r="AF17" s="39">
        <f>資料儲存!G6853</f>
        <v>0</v>
      </c>
      <c r="AG17" s="39">
        <f>資料儲存!H6853</f>
        <v>0</v>
      </c>
      <c r="AH17" s="39">
        <f>資料儲存!I6853</f>
        <v>0</v>
      </c>
      <c r="AI17" s="39">
        <f>資料儲存!J6853</f>
        <v>0</v>
      </c>
      <c r="AJ17" s="58"/>
      <c r="AK17" s="62">
        <v>12</v>
      </c>
      <c r="AL17" s="39">
        <f>資料儲存!D7093</f>
        <v>0</v>
      </c>
      <c r="AM17" s="39">
        <f>資料儲存!E7093</f>
        <v>0</v>
      </c>
      <c r="AN17" s="39">
        <f>資料儲存!F7093</f>
        <v>0</v>
      </c>
      <c r="AO17" s="39">
        <f>資料儲存!G7093</f>
        <v>0</v>
      </c>
      <c r="AP17" s="39">
        <f>資料儲存!H7093</f>
        <v>0</v>
      </c>
      <c r="AQ17" s="39">
        <f>資料儲存!I7093</f>
        <v>0</v>
      </c>
      <c r="AR17" s="39">
        <f>資料儲存!J7093</f>
        <v>0</v>
      </c>
      <c r="AT17" s="62">
        <v>12</v>
      </c>
      <c r="AU17" s="39">
        <f>資料儲存!D7333</f>
        <v>0</v>
      </c>
      <c r="AV17" s="39">
        <f>資料儲存!E7333</f>
        <v>0</v>
      </c>
      <c r="AW17" s="39">
        <f>資料儲存!F7333</f>
        <v>0</v>
      </c>
      <c r="AX17" s="39">
        <f>資料儲存!G7333</f>
        <v>0</v>
      </c>
      <c r="AY17" s="39">
        <f>資料儲存!H7333</f>
        <v>0</v>
      </c>
      <c r="AZ17" s="39">
        <f>資料儲存!I7333</f>
        <v>0</v>
      </c>
      <c r="BA17" s="39">
        <f>資料儲存!J7333</f>
        <v>0</v>
      </c>
    </row>
    <row r="18" spans="1:53" s="59" customFormat="1" ht="16" thickBot="1">
      <c r="A18" s="62">
        <v>13</v>
      </c>
      <c r="B18" s="39">
        <f>資料儲存!D6134</f>
        <v>0</v>
      </c>
      <c r="C18" s="39">
        <f>資料儲存!E6134</f>
        <v>0</v>
      </c>
      <c r="D18" s="39">
        <f>資料儲存!F6134</f>
        <v>0</v>
      </c>
      <c r="E18" s="39">
        <f>資料儲存!G6134</f>
        <v>0</v>
      </c>
      <c r="F18" s="39">
        <f>資料儲存!H6134</f>
        <v>0</v>
      </c>
      <c r="G18" s="39">
        <f>資料儲存!I6134</f>
        <v>0</v>
      </c>
      <c r="H18" s="39">
        <f>資料儲存!J6134</f>
        <v>0</v>
      </c>
      <c r="I18" s="58"/>
      <c r="J18" s="62">
        <v>13</v>
      </c>
      <c r="K18" s="39">
        <f>資料儲存!D6374</f>
        <v>0</v>
      </c>
      <c r="L18" s="39">
        <f>資料儲存!E6374</f>
        <v>0</v>
      </c>
      <c r="M18" s="39">
        <f>資料儲存!F6374</f>
        <v>0</v>
      </c>
      <c r="N18" s="39">
        <f>資料儲存!G6374</f>
        <v>0</v>
      </c>
      <c r="O18" s="39">
        <f>資料儲存!H6374</f>
        <v>0</v>
      </c>
      <c r="P18" s="39">
        <f>資料儲存!I6374</f>
        <v>0</v>
      </c>
      <c r="Q18" s="39">
        <f>資料儲存!J6374</f>
        <v>0</v>
      </c>
      <c r="R18" s="58"/>
      <c r="S18" s="62">
        <v>13</v>
      </c>
      <c r="T18" s="39">
        <f>資料儲存!D6614</f>
        <v>0</v>
      </c>
      <c r="U18" s="39">
        <f>資料儲存!E6614</f>
        <v>0</v>
      </c>
      <c r="V18" s="39">
        <f>資料儲存!F6614</f>
        <v>0</v>
      </c>
      <c r="W18" s="39">
        <f>資料儲存!G6614</f>
        <v>0</v>
      </c>
      <c r="X18" s="39">
        <f>資料儲存!H6614</f>
        <v>0</v>
      </c>
      <c r="Y18" s="39">
        <f>資料儲存!I6614</f>
        <v>0</v>
      </c>
      <c r="Z18" s="39">
        <f>資料儲存!J6614</f>
        <v>0</v>
      </c>
      <c r="AA18" s="58"/>
      <c r="AB18" s="62">
        <v>13</v>
      </c>
      <c r="AC18" s="39">
        <f>資料儲存!D6854</f>
        <v>0</v>
      </c>
      <c r="AD18" s="39">
        <f>資料儲存!E6854</f>
        <v>0</v>
      </c>
      <c r="AE18" s="39">
        <f>資料儲存!F6854</f>
        <v>0</v>
      </c>
      <c r="AF18" s="39">
        <f>資料儲存!G6854</f>
        <v>0</v>
      </c>
      <c r="AG18" s="39">
        <f>資料儲存!H6854</f>
        <v>0</v>
      </c>
      <c r="AH18" s="39">
        <f>資料儲存!I6854</f>
        <v>0</v>
      </c>
      <c r="AI18" s="39">
        <f>資料儲存!J6854</f>
        <v>0</v>
      </c>
      <c r="AJ18" s="58"/>
      <c r="AK18" s="62">
        <v>13</v>
      </c>
      <c r="AL18" s="39">
        <f>資料儲存!D7094</f>
        <v>0</v>
      </c>
      <c r="AM18" s="39">
        <f>資料儲存!E7094</f>
        <v>0</v>
      </c>
      <c r="AN18" s="39">
        <f>資料儲存!F7094</f>
        <v>0</v>
      </c>
      <c r="AO18" s="39">
        <f>資料儲存!G7094</f>
        <v>0</v>
      </c>
      <c r="AP18" s="39">
        <f>資料儲存!H7094</f>
        <v>0</v>
      </c>
      <c r="AQ18" s="39">
        <f>資料儲存!I7094</f>
        <v>0</v>
      </c>
      <c r="AR18" s="39">
        <f>資料儲存!J7094</f>
        <v>0</v>
      </c>
      <c r="AT18" s="62">
        <v>13</v>
      </c>
      <c r="AU18" s="39">
        <f>資料儲存!D7334</f>
        <v>0</v>
      </c>
      <c r="AV18" s="39">
        <f>資料儲存!E7334</f>
        <v>0</v>
      </c>
      <c r="AW18" s="39">
        <f>資料儲存!F7334</f>
        <v>0</v>
      </c>
      <c r="AX18" s="39">
        <f>資料儲存!G7334</f>
        <v>0</v>
      </c>
      <c r="AY18" s="39">
        <f>資料儲存!H7334</f>
        <v>0</v>
      </c>
      <c r="AZ18" s="39">
        <f>資料儲存!I7334</f>
        <v>0</v>
      </c>
      <c r="BA18" s="39">
        <f>資料儲存!J7334</f>
        <v>0</v>
      </c>
    </row>
    <row r="19" spans="1:53" s="59" customFormat="1" ht="16" thickBot="1">
      <c r="A19" s="62">
        <v>14</v>
      </c>
      <c r="B19" s="39">
        <f>資料儲存!D6135</f>
        <v>0</v>
      </c>
      <c r="C19" s="39">
        <f>資料儲存!E6135</f>
        <v>0</v>
      </c>
      <c r="D19" s="39">
        <f>資料儲存!F6135</f>
        <v>0</v>
      </c>
      <c r="E19" s="39">
        <f>資料儲存!G6135</f>
        <v>0</v>
      </c>
      <c r="F19" s="39">
        <f>資料儲存!H6135</f>
        <v>0</v>
      </c>
      <c r="G19" s="39">
        <f>資料儲存!I6135</f>
        <v>0</v>
      </c>
      <c r="H19" s="39">
        <f>資料儲存!J6135</f>
        <v>0</v>
      </c>
      <c r="I19" s="58"/>
      <c r="J19" s="62">
        <v>14</v>
      </c>
      <c r="K19" s="39">
        <f>資料儲存!D6375</f>
        <v>0</v>
      </c>
      <c r="L19" s="39">
        <f>資料儲存!E6375</f>
        <v>0</v>
      </c>
      <c r="M19" s="39">
        <f>資料儲存!F6375</f>
        <v>0</v>
      </c>
      <c r="N19" s="39">
        <f>資料儲存!G6375</f>
        <v>0</v>
      </c>
      <c r="O19" s="39">
        <f>資料儲存!H6375</f>
        <v>0</v>
      </c>
      <c r="P19" s="39">
        <f>資料儲存!I6375</f>
        <v>0</v>
      </c>
      <c r="Q19" s="39">
        <f>資料儲存!J6375</f>
        <v>0</v>
      </c>
      <c r="R19" s="58"/>
      <c r="S19" s="62">
        <v>14</v>
      </c>
      <c r="T19" s="39">
        <f>資料儲存!D6615</f>
        <v>0</v>
      </c>
      <c r="U19" s="39">
        <f>資料儲存!E6615</f>
        <v>0</v>
      </c>
      <c r="V19" s="39">
        <f>資料儲存!F6615</f>
        <v>0</v>
      </c>
      <c r="W19" s="39">
        <f>資料儲存!G6615</f>
        <v>0</v>
      </c>
      <c r="X19" s="39">
        <f>資料儲存!H6615</f>
        <v>0</v>
      </c>
      <c r="Y19" s="39">
        <f>資料儲存!I6615</f>
        <v>0</v>
      </c>
      <c r="Z19" s="39">
        <f>資料儲存!J6615</f>
        <v>0</v>
      </c>
      <c r="AA19" s="58"/>
      <c r="AB19" s="62">
        <v>14</v>
      </c>
      <c r="AC19" s="39">
        <f>資料儲存!D6855</f>
        <v>0</v>
      </c>
      <c r="AD19" s="39">
        <f>資料儲存!E6855</f>
        <v>0</v>
      </c>
      <c r="AE19" s="39">
        <f>資料儲存!F6855</f>
        <v>0</v>
      </c>
      <c r="AF19" s="39">
        <f>資料儲存!G6855</f>
        <v>0</v>
      </c>
      <c r="AG19" s="39">
        <f>資料儲存!H6855</f>
        <v>0</v>
      </c>
      <c r="AH19" s="39">
        <f>資料儲存!I6855</f>
        <v>0</v>
      </c>
      <c r="AI19" s="39">
        <f>資料儲存!J6855</f>
        <v>0</v>
      </c>
      <c r="AJ19" s="58"/>
      <c r="AK19" s="62">
        <v>14</v>
      </c>
      <c r="AL19" s="39">
        <f>資料儲存!D7095</f>
        <v>0</v>
      </c>
      <c r="AM19" s="39">
        <f>資料儲存!E7095</f>
        <v>0</v>
      </c>
      <c r="AN19" s="39">
        <f>資料儲存!F7095</f>
        <v>0</v>
      </c>
      <c r="AO19" s="39">
        <f>資料儲存!G7095</f>
        <v>0</v>
      </c>
      <c r="AP19" s="39">
        <f>資料儲存!H7095</f>
        <v>0</v>
      </c>
      <c r="AQ19" s="39">
        <f>資料儲存!I7095</f>
        <v>0</v>
      </c>
      <c r="AR19" s="39">
        <f>資料儲存!J7095</f>
        <v>0</v>
      </c>
      <c r="AT19" s="62">
        <v>14</v>
      </c>
      <c r="AU19" s="39">
        <f>資料儲存!D7335</f>
        <v>0</v>
      </c>
      <c r="AV19" s="39">
        <f>資料儲存!E7335</f>
        <v>0</v>
      </c>
      <c r="AW19" s="39">
        <f>資料儲存!F7335</f>
        <v>0</v>
      </c>
      <c r="AX19" s="39">
        <f>資料儲存!G7335</f>
        <v>0</v>
      </c>
      <c r="AY19" s="39">
        <f>資料儲存!H7335</f>
        <v>0</v>
      </c>
      <c r="AZ19" s="39">
        <f>資料儲存!I7335</f>
        <v>0</v>
      </c>
      <c r="BA19" s="39">
        <f>資料儲存!J7335</f>
        <v>0</v>
      </c>
    </row>
    <row r="20" spans="1:53" s="59" customFormat="1" ht="16" thickBot="1">
      <c r="A20" s="62">
        <v>15</v>
      </c>
      <c r="B20" s="39">
        <f>資料儲存!D6136</f>
        <v>0</v>
      </c>
      <c r="C20" s="39">
        <f>資料儲存!E6136</f>
        <v>0</v>
      </c>
      <c r="D20" s="39">
        <f>資料儲存!F6136</f>
        <v>0</v>
      </c>
      <c r="E20" s="39">
        <f>資料儲存!G6136</f>
        <v>0</v>
      </c>
      <c r="F20" s="39">
        <f>資料儲存!H6136</f>
        <v>0</v>
      </c>
      <c r="G20" s="39">
        <f>資料儲存!I6136</f>
        <v>0</v>
      </c>
      <c r="H20" s="39">
        <f>資料儲存!J6136</f>
        <v>0</v>
      </c>
      <c r="I20" s="58"/>
      <c r="J20" s="62">
        <v>15</v>
      </c>
      <c r="K20" s="39">
        <f>資料儲存!D6376</f>
        <v>0</v>
      </c>
      <c r="L20" s="39">
        <f>資料儲存!E6376</f>
        <v>0</v>
      </c>
      <c r="M20" s="39">
        <f>資料儲存!F6376</f>
        <v>0</v>
      </c>
      <c r="N20" s="39">
        <f>資料儲存!G6376</f>
        <v>0</v>
      </c>
      <c r="O20" s="39">
        <f>資料儲存!H6376</f>
        <v>0</v>
      </c>
      <c r="P20" s="39">
        <f>資料儲存!I6376</f>
        <v>0</v>
      </c>
      <c r="Q20" s="39">
        <f>資料儲存!J6376</f>
        <v>0</v>
      </c>
      <c r="R20" s="58"/>
      <c r="S20" s="62">
        <v>15</v>
      </c>
      <c r="T20" s="39">
        <f>資料儲存!D6616</f>
        <v>0</v>
      </c>
      <c r="U20" s="39">
        <f>資料儲存!E6616</f>
        <v>0</v>
      </c>
      <c r="V20" s="39">
        <f>資料儲存!F6616</f>
        <v>0</v>
      </c>
      <c r="W20" s="39">
        <f>資料儲存!G6616</f>
        <v>0</v>
      </c>
      <c r="X20" s="39">
        <f>資料儲存!H6616</f>
        <v>0</v>
      </c>
      <c r="Y20" s="39">
        <f>資料儲存!I6616</f>
        <v>0</v>
      </c>
      <c r="Z20" s="39">
        <f>資料儲存!J6616</f>
        <v>0</v>
      </c>
      <c r="AA20" s="58"/>
      <c r="AB20" s="62">
        <v>15</v>
      </c>
      <c r="AC20" s="39">
        <f>資料儲存!D6856</f>
        <v>0</v>
      </c>
      <c r="AD20" s="39">
        <f>資料儲存!E6856</f>
        <v>0</v>
      </c>
      <c r="AE20" s="39">
        <f>資料儲存!F6856</f>
        <v>0</v>
      </c>
      <c r="AF20" s="39">
        <f>資料儲存!G6856</f>
        <v>0</v>
      </c>
      <c r="AG20" s="39">
        <f>資料儲存!H6856</f>
        <v>0</v>
      </c>
      <c r="AH20" s="39">
        <f>資料儲存!I6856</f>
        <v>0</v>
      </c>
      <c r="AI20" s="39">
        <f>資料儲存!J6856</f>
        <v>0</v>
      </c>
      <c r="AJ20" s="58"/>
      <c r="AK20" s="62">
        <v>15</v>
      </c>
      <c r="AL20" s="39">
        <f>資料儲存!D7096</f>
        <v>0</v>
      </c>
      <c r="AM20" s="39">
        <f>資料儲存!E7096</f>
        <v>0</v>
      </c>
      <c r="AN20" s="39">
        <f>資料儲存!F7096</f>
        <v>0</v>
      </c>
      <c r="AO20" s="39">
        <f>資料儲存!G7096</f>
        <v>0</v>
      </c>
      <c r="AP20" s="39">
        <f>資料儲存!H7096</f>
        <v>0</v>
      </c>
      <c r="AQ20" s="39">
        <f>資料儲存!I7096</f>
        <v>0</v>
      </c>
      <c r="AR20" s="39">
        <f>資料儲存!J7096</f>
        <v>0</v>
      </c>
      <c r="AT20" s="62">
        <v>15</v>
      </c>
      <c r="AU20" s="39">
        <f>資料儲存!D7336</f>
        <v>0</v>
      </c>
      <c r="AV20" s="39">
        <f>資料儲存!E7336</f>
        <v>0</v>
      </c>
      <c r="AW20" s="39">
        <f>資料儲存!F7336</f>
        <v>0</v>
      </c>
      <c r="AX20" s="39">
        <f>資料儲存!G7336</f>
        <v>0</v>
      </c>
      <c r="AY20" s="39">
        <f>資料儲存!H7336</f>
        <v>0</v>
      </c>
      <c r="AZ20" s="39">
        <f>資料儲存!I7336</f>
        <v>0</v>
      </c>
      <c r="BA20" s="39">
        <f>資料儲存!J7336</f>
        <v>0</v>
      </c>
    </row>
    <row r="21" spans="1:53" s="59" customFormat="1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35"/>
      <c r="AK21" s="40" t="s">
        <v>56</v>
      </c>
      <c r="AL21" s="39">
        <f>SUM(AL6:AO20)</f>
        <v>0</v>
      </c>
      <c r="AM21" s="37"/>
      <c r="AN21" s="37"/>
      <c r="AO21" s="37"/>
      <c r="AP21" s="39">
        <f>AP20</f>
        <v>0</v>
      </c>
      <c r="AQ21" s="39">
        <f>AQ20</f>
        <v>0</v>
      </c>
      <c r="AR21" s="39">
        <f>AR20</f>
        <v>0</v>
      </c>
      <c r="AT21" s="40" t="s">
        <v>56</v>
      </c>
      <c r="AU21" s="39">
        <f>SUM(AU6:AX20)</f>
        <v>0</v>
      </c>
      <c r="AV21" s="37"/>
      <c r="AW21" s="37"/>
      <c r="AX21" s="37"/>
      <c r="AY21" s="39">
        <f>AY20</f>
        <v>0</v>
      </c>
      <c r="AZ21" s="39">
        <f>AZ20</f>
        <v>0</v>
      </c>
      <c r="BA21" s="39">
        <f>BA20</f>
        <v>0</v>
      </c>
    </row>
    <row r="22" spans="1:53" ht="18.5" thickBot="1">
      <c r="A22" s="257" t="s">
        <v>118</v>
      </c>
      <c r="B22" s="258"/>
      <c r="C22" s="258"/>
      <c r="D22" s="258"/>
      <c r="E22" s="258"/>
      <c r="F22" s="258"/>
      <c r="G22" s="258"/>
      <c r="H22" s="259"/>
      <c r="I22" s="14"/>
      <c r="J22" s="257" t="s">
        <v>118</v>
      </c>
      <c r="K22" s="258"/>
      <c r="L22" s="258"/>
      <c r="M22" s="258"/>
      <c r="N22" s="258"/>
      <c r="O22" s="258"/>
      <c r="P22" s="258"/>
      <c r="Q22" s="259"/>
      <c r="R22" s="14"/>
      <c r="S22" s="257" t="s">
        <v>118</v>
      </c>
      <c r="T22" s="258"/>
      <c r="U22" s="258"/>
      <c r="V22" s="258"/>
      <c r="W22" s="258"/>
      <c r="X22" s="258"/>
      <c r="Y22" s="258"/>
      <c r="Z22" s="259"/>
      <c r="AA22" s="14"/>
      <c r="AB22" s="257" t="s">
        <v>118</v>
      </c>
      <c r="AC22" s="258"/>
      <c r="AD22" s="258"/>
      <c r="AE22" s="258"/>
      <c r="AF22" s="258"/>
      <c r="AG22" s="258"/>
      <c r="AH22" s="258"/>
      <c r="AI22" s="259"/>
      <c r="AJ22" s="14"/>
      <c r="AK22" s="257" t="s">
        <v>118</v>
      </c>
      <c r="AL22" s="258"/>
      <c r="AM22" s="258"/>
      <c r="AN22" s="258"/>
      <c r="AO22" s="258"/>
      <c r="AP22" s="258"/>
      <c r="AQ22" s="258"/>
      <c r="AR22" s="259"/>
      <c r="AT22" s="257" t="s">
        <v>118</v>
      </c>
      <c r="AU22" s="258"/>
      <c r="AV22" s="258"/>
      <c r="AW22" s="258"/>
      <c r="AX22" s="258"/>
      <c r="AY22" s="258"/>
      <c r="AZ22" s="258"/>
      <c r="BA22" s="259"/>
    </row>
    <row r="23" spans="1:53" s="67" customFormat="1" ht="17.25" customHeight="1" thickBot="1">
      <c r="A23" s="63" t="s">
        <v>2</v>
      </c>
      <c r="B23" s="64" t="s">
        <v>46</v>
      </c>
      <c r="C23" s="65"/>
      <c r="D23" s="65"/>
      <c r="E23" s="66"/>
      <c r="F23" s="64" t="s">
        <v>47</v>
      </c>
      <c r="G23" s="65"/>
      <c r="H23" s="66"/>
      <c r="I23" s="52"/>
      <c r="J23" s="63" t="s">
        <v>2</v>
      </c>
      <c r="K23" s="64" t="s">
        <v>46</v>
      </c>
      <c r="L23" s="65"/>
      <c r="M23" s="65"/>
      <c r="N23" s="66"/>
      <c r="O23" s="64" t="s">
        <v>47</v>
      </c>
      <c r="P23" s="65"/>
      <c r="Q23" s="66"/>
      <c r="R23" s="52"/>
      <c r="S23" s="63" t="s">
        <v>2</v>
      </c>
      <c r="T23" s="64" t="s">
        <v>46</v>
      </c>
      <c r="U23" s="65"/>
      <c r="V23" s="65"/>
      <c r="W23" s="66"/>
      <c r="X23" s="64" t="s">
        <v>47</v>
      </c>
      <c r="Y23" s="65"/>
      <c r="Z23" s="66"/>
      <c r="AA23" s="52"/>
      <c r="AB23" s="63" t="s">
        <v>2</v>
      </c>
      <c r="AC23" s="64" t="s">
        <v>46</v>
      </c>
      <c r="AD23" s="65"/>
      <c r="AE23" s="65"/>
      <c r="AF23" s="66"/>
      <c r="AG23" s="64" t="s">
        <v>47</v>
      </c>
      <c r="AH23" s="65"/>
      <c r="AI23" s="66"/>
      <c r="AJ23" s="52"/>
      <c r="AK23" s="63" t="s">
        <v>2</v>
      </c>
      <c r="AL23" s="64" t="s">
        <v>46</v>
      </c>
      <c r="AM23" s="65"/>
      <c r="AN23" s="65"/>
      <c r="AO23" s="66"/>
      <c r="AP23" s="64" t="s">
        <v>47</v>
      </c>
      <c r="AQ23" s="65"/>
      <c r="AR23" s="66"/>
      <c r="AT23" s="63" t="s">
        <v>2</v>
      </c>
      <c r="AU23" s="64" t="s">
        <v>46</v>
      </c>
      <c r="AV23" s="65"/>
      <c r="AW23" s="65"/>
      <c r="AX23" s="66"/>
      <c r="AY23" s="64" t="s">
        <v>47</v>
      </c>
      <c r="AZ23" s="65"/>
      <c r="BA23" s="66"/>
    </row>
    <row r="24" spans="1:53" s="67" customFormat="1" ht="16" thickBot="1">
      <c r="A24" s="68">
        <v>0.67708333333333337</v>
      </c>
      <c r="B24" s="69" t="s">
        <v>49</v>
      </c>
      <c r="C24" s="69" t="s">
        <v>50</v>
      </c>
      <c r="D24" s="69" t="s">
        <v>51</v>
      </c>
      <c r="E24" s="69" t="s">
        <v>52</v>
      </c>
      <c r="F24" s="69" t="s">
        <v>53</v>
      </c>
      <c r="G24" s="69" t="s">
        <v>54</v>
      </c>
      <c r="H24" s="69" t="s">
        <v>55</v>
      </c>
      <c r="I24" s="52"/>
      <c r="J24" s="68">
        <v>0.67708333333333337</v>
      </c>
      <c r="K24" s="69" t="s">
        <v>49</v>
      </c>
      <c r="L24" s="69" t="s">
        <v>50</v>
      </c>
      <c r="M24" s="69" t="s">
        <v>51</v>
      </c>
      <c r="N24" s="69" t="s">
        <v>52</v>
      </c>
      <c r="O24" s="69" t="s">
        <v>53</v>
      </c>
      <c r="P24" s="69" t="s">
        <v>54</v>
      </c>
      <c r="Q24" s="69" t="s">
        <v>55</v>
      </c>
      <c r="R24" s="52"/>
      <c r="S24" s="68">
        <v>0.67708333333333337</v>
      </c>
      <c r="T24" s="69" t="s">
        <v>49</v>
      </c>
      <c r="U24" s="69" t="s">
        <v>50</v>
      </c>
      <c r="V24" s="69" t="s">
        <v>51</v>
      </c>
      <c r="W24" s="69" t="s">
        <v>52</v>
      </c>
      <c r="X24" s="69" t="s">
        <v>53</v>
      </c>
      <c r="Y24" s="69" t="s">
        <v>54</v>
      </c>
      <c r="Z24" s="69" t="s">
        <v>55</v>
      </c>
      <c r="AA24" s="52"/>
      <c r="AB24" s="68">
        <v>0.67708333333333337</v>
      </c>
      <c r="AC24" s="69" t="s">
        <v>49</v>
      </c>
      <c r="AD24" s="69" t="s">
        <v>50</v>
      </c>
      <c r="AE24" s="69" t="s">
        <v>51</v>
      </c>
      <c r="AF24" s="69" t="s">
        <v>52</v>
      </c>
      <c r="AG24" s="69" t="s">
        <v>53</v>
      </c>
      <c r="AH24" s="69" t="s">
        <v>54</v>
      </c>
      <c r="AI24" s="69" t="s">
        <v>55</v>
      </c>
      <c r="AJ24" s="52"/>
      <c r="AK24" s="68">
        <v>0.67708333333333337</v>
      </c>
      <c r="AL24" s="69" t="s">
        <v>49</v>
      </c>
      <c r="AM24" s="69" t="s">
        <v>50</v>
      </c>
      <c r="AN24" s="69" t="s">
        <v>51</v>
      </c>
      <c r="AO24" s="69" t="s">
        <v>52</v>
      </c>
      <c r="AP24" s="69" t="s">
        <v>53</v>
      </c>
      <c r="AQ24" s="69" t="s">
        <v>54</v>
      </c>
      <c r="AR24" s="69" t="s">
        <v>55</v>
      </c>
      <c r="AT24" s="68">
        <v>0.67708333333333337</v>
      </c>
      <c r="AU24" s="69" t="s">
        <v>49</v>
      </c>
      <c r="AV24" s="69" t="s">
        <v>50</v>
      </c>
      <c r="AW24" s="69" t="s">
        <v>51</v>
      </c>
      <c r="AX24" s="69" t="s">
        <v>52</v>
      </c>
      <c r="AY24" s="69" t="s">
        <v>53</v>
      </c>
      <c r="AZ24" s="69" t="s">
        <v>54</v>
      </c>
      <c r="BA24" s="69" t="s">
        <v>55</v>
      </c>
    </row>
    <row r="25" spans="1:53" s="67" customFormat="1" ht="16" thickBot="1">
      <c r="A25" s="70">
        <v>16</v>
      </c>
      <c r="B25" s="49">
        <f>資料儲存!D6137</f>
        <v>0</v>
      </c>
      <c r="C25" s="49">
        <f>資料儲存!E6137</f>
        <v>0</v>
      </c>
      <c r="D25" s="49">
        <f>資料儲存!F6137</f>
        <v>0</v>
      </c>
      <c r="E25" s="49">
        <f>資料儲存!G6137</f>
        <v>0</v>
      </c>
      <c r="F25" s="49">
        <f>資料儲存!H6137</f>
        <v>0</v>
      </c>
      <c r="G25" s="49">
        <f>資料儲存!I6137</f>
        <v>0</v>
      </c>
      <c r="H25" s="49">
        <f>資料儲存!J6137</f>
        <v>0</v>
      </c>
      <c r="I25" s="52"/>
      <c r="J25" s="70">
        <v>16</v>
      </c>
      <c r="K25" s="49">
        <f>資料儲存!D6377</f>
        <v>0</v>
      </c>
      <c r="L25" s="49">
        <f>資料儲存!E6377</f>
        <v>0</v>
      </c>
      <c r="M25" s="49">
        <f>資料儲存!F6377</f>
        <v>0</v>
      </c>
      <c r="N25" s="49">
        <f>資料儲存!G6377</f>
        <v>0</v>
      </c>
      <c r="O25" s="49">
        <f>資料儲存!H6377</f>
        <v>0</v>
      </c>
      <c r="P25" s="49">
        <f>資料儲存!I6377</f>
        <v>0</v>
      </c>
      <c r="Q25" s="49">
        <f>資料儲存!J6377</f>
        <v>0</v>
      </c>
      <c r="R25" s="52"/>
      <c r="S25" s="70">
        <v>16</v>
      </c>
      <c r="T25" s="49">
        <f>資料儲存!D6617</f>
        <v>0</v>
      </c>
      <c r="U25" s="49">
        <f>資料儲存!E6617</f>
        <v>0</v>
      </c>
      <c r="V25" s="49">
        <f>資料儲存!F6617</f>
        <v>0</v>
      </c>
      <c r="W25" s="49">
        <f>資料儲存!G6617</f>
        <v>0</v>
      </c>
      <c r="X25" s="49">
        <f>資料儲存!H6617</f>
        <v>0</v>
      </c>
      <c r="Y25" s="49">
        <f>資料儲存!I6617</f>
        <v>0</v>
      </c>
      <c r="Z25" s="49">
        <f>資料儲存!J6617</f>
        <v>0</v>
      </c>
      <c r="AA25" s="52"/>
      <c r="AB25" s="70">
        <v>16</v>
      </c>
      <c r="AC25" s="49">
        <f>資料儲存!D6857</f>
        <v>0</v>
      </c>
      <c r="AD25" s="49">
        <f>資料儲存!E6857</f>
        <v>0</v>
      </c>
      <c r="AE25" s="49">
        <f>資料儲存!F6857</f>
        <v>0</v>
      </c>
      <c r="AF25" s="49">
        <f>資料儲存!G6857</f>
        <v>0</v>
      </c>
      <c r="AG25" s="49">
        <f>資料儲存!H6857</f>
        <v>0</v>
      </c>
      <c r="AH25" s="49">
        <f>資料儲存!I6857</f>
        <v>0</v>
      </c>
      <c r="AI25" s="49">
        <f>資料儲存!J6857</f>
        <v>0</v>
      </c>
      <c r="AJ25" s="52"/>
      <c r="AK25" s="70">
        <v>16</v>
      </c>
      <c r="AL25" s="49">
        <f>資料儲存!D7097</f>
        <v>0</v>
      </c>
      <c r="AM25" s="49">
        <f>資料儲存!E7097</f>
        <v>0</v>
      </c>
      <c r="AN25" s="49">
        <f>資料儲存!F7097</f>
        <v>0</v>
      </c>
      <c r="AO25" s="49">
        <f>資料儲存!G7097</f>
        <v>0</v>
      </c>
      <c r="AP25" s="49">
        <f>資料儲存!H7097</f>
        <v>0</v>
      </c>
      <c r="AQ25" s="49">
        <f>資料儲存!I7097</f>
        <v>0</v>
      </c>
      <c r="AR25" s="49">
        <f>資料儲存!J7097</f>
        <v>0</v>
      </c>
      <c r="AT25" s="70">
        <v>16</v>
      </c>
      <c r="AU25" s="49">
        <f>資料儲存!D7337</f>
        <v>0</v>
      </c>
      <c r="AV25" s="49">
        <f>資料儲存!E7337</f>
        <v>0</v>
      </c>
      <c r="AW25" s="49">
        <f>資料儲存!F7337</f>
        <v>0</v>
      </c>
      <c r="AX25" s="49">
        <f>資料儲存!G7337</f>
        <v>0</v>
      </c>
      <c r="AY25" s="49">
        <f>資料儲存!H7337</f>
        <v>0</v>
      </c>
      <c r="AZ25" s="49">
        <f>資料儲存!I7337</f>
        <v>0</v>
      </c>
      <c r="BA25" s="49">
        <f>資料儲存!J7337</f>
        <v>0</v>
      </c>
    </row>
    <row r="26" spans="1:53" s="67" customFormat="1" ht="16" thickBot="1">
      <c r="A26" s="70">
        <v>17</v>
      </c>
      <c r="B26" s="49">
        <f>資料儲存!D6138</f>
        <v>0</v>
      </c>
      <c r="C26" s="49">
        <f>資料儲存!E6138</f>
        <v>0</v>
      </c>
      <c r="D26" s="49">
        <f>資料儲存!F6138</f>
        <v>0</v>
      </c>
      <c r="E26" s="49">
        <f>資料儲存!G6138</f>
        <v>0</v>
      </c>
      <c r="F26" s="49">
        <f>資料儲存!H6138</f>
        <v>0</v>
      </c>
      <c r="G26" s="49">
        <f>資料儲存!I6138</f>
        <v>0</v>
      </c>
      <c r="H26" s="49">
        <f>資料儲存!J6138</f>
        <v>0</v>
      </c>
      <c r="I26" s="52"/>
      <c r="J26" s="70">
        <v>17</v>
      </c>
      <c r="K26" s="49">
        <f>資料儲存!D6378</f>
        <v>0</v>
      </c>
      <c r="L26" s="49">
        <f>資料儲存!E6378</f>
        <v>0</v>
      </c>
      <c r="M26" s="49">
        <f>資料儲存!F6378</f>
        <v>0</v>
      </c>
      <c r="N26" s="49">
        <f>資料儲存!G6378</f>
        <v>0</v>
      </c>
      <c r="O26" s="49">
        <f>資料儲存!H6378</f>
        <v>0</v>
      </c>
      <c r="P26" s="49">
        <f>資料儲存!I6378</f>
        <v>0</v>
      </c>
      <c r="Q26" s="49">
        <f>資料儲存!J6378</f>
        <v>0</v>
      </c>
      <c r="R26" s="52"/>
      <c r="S26" s="70">
        <v>17</v>
      </c>
      <c r="T26" s="49">
        <f>資料儲存!D6618</f>
        <v>0</v>
      </c>
      <c r="U26" s="49">
        <f>資料儲存!E6618</f>
        <v>0</v>
      </c>
      <c r="V26" s="49">
        <f>資料儲存!F6618</f>
        <v>0</v>
      </c>
      <c r="W26" s="49">
        <f>資料儲存!G6618</f>
        <v>0</v>
      </c>
      <c r="X26" s="49">
        <f>資料儲存!H6618</f>
        <v>0</v>
      </c>
      <c r="Y26" s="49">
        <f>資料儲存!I6618</f>
        <v>0</v>
      </c>
      <c r="Z26" s="49">
        <f>資料儲存!J6618</f>
        <v>0</v>
      </c>
      <c r="AA26" s="52"/>
      <c r="AB26" s="70">
        <v>17</v>
      </c>
      <c r="AC26" s="49">
        <f>資料儲存!D6858</f>
        <v>0</v>
      </c>
      <c r="AD26" s="49">
        <f>資料儲存!E6858</f>
        <v>0</v>
      </c>
      <c r="AE26" s="49">
        <f>資料儲存!F6858</f>
        <v>0</v>
      </c>
      <c r="AF26" s="49">
        <f>資料儲存!G6858</f>
        <v>0</v>
      </c>
      <c r="AG26" s="49">
        <f>資料儲存!H6858</f>
        <v>0</v>
      </c>
      <c r="AH26" s="49">
        <f>資料儲存!I6858</f>
        <v>0</v>
      </c>
      <c r="AI26" s="49">
        <f>資料儲存!J6858</f>
        <v>0</v>
      </c>
      <c r="AJ26" s="52"/>
      <c r="AK26" s="70">
        <v>17</v>
      </c>
      <c r="AL26" s="49">
        <f>資料儲存!D7098</f>
        <v>0</v>
      </c>
      <c r="AM26" s="49">
        <f>資料儲存!E7098</f>
        <v>0</v>
      </c>
      <c r="AN26" s="49">
        <f>資料儲存!F7098</f>
        <v>0</v>
      </c>
      <c r="AO26" s="49">
        <f>資料儲存!G7098</f>
        <v>0</v>
      </c>
      <c r="AP26" s="49">
        <f>資料儲存!H7098</f>
        <v>0</v>
      </c>
      <c r="AQ26" s="49">
        <f>資料儲存!I7098</f>
        <v>0</v>
      </c>
      <c r="AR26" s="49">
        <f>資料儲存!J7098</f>
        <v>0</v>
      </c>
      <c r="AT26" s="70">
        <v>17</v>
      </c>
      <c r="AU26" s="49">
        <f>資料儲存!D7338</f>
        <v>0</v>
      </c>
      <c r="AV26" s="49">
        <f>資料儲存!E7338</f>
        <v>0</v>
      </c>
      <c r="AW26" s="49">
        <f>資料儲存!F7338</f>
        <v>0</v>
      </c>
      <c r="AX26" s="49">
        <f>資料儲存!G7338</f>
        <v>0</v>
      </c>
      <c r="AY26" s="49">
        <f>資料儲存!H7338</f>
        <v>0</v>
      </c>
      <c r="AZ26" s="49">
        <f>資料儲存!I7338</f>
        <v>0</v>
      </c>
      <c r="BA26" s="49">
        <f>資料儲存!J7338</f>
        <v>0</v>
      </c>
    </row>
    <row r="27" spans="1:53" s="67" customFormat="1" ht="16" thickBot="1">
      <c r="A27" s="70">
        <v>18</v>
      </c>
      <c r="B27" s="49">
        <f>資料儲存!D6139</f>
        <v>0</v>
      </c>
      <c r="C27" s="49">
        <f>資料儲存!E6139</f>
        <v>0</v>
      </c>
      <c r="D27" s="49">
        <f>資料儲存!F6139</f>
        <v>0</v>
      </c>
      <c r="E27" s="49">
        <f>資料儲存!G6139</f>
        <v>0</v>
      </c>
      <c r="F27" s="49">
        <f>資料儲存!H6139</f>
        <v>0</v>
      </c>
      <c r="G27" s="49">
        <f>資料儲存!I6139</f>
        <v>0</v>
      </c>
      <c r="H27" s="49">
        <f>資料儲存!J6139</f>
        <v>0</v>
      </c>
      <c r="I27" s="52"/>
      <c r="J27" s="70">
        <v>18</v>
      </c>
      <c r="K27" s="49">
        <f>資料儲存!D6379</f>
        <v>0</v>
      </c>
      <c r="L27" s="49">
        <f>資料儲存!E6379</f>
        <v>0</v>
      </c>
      <c r="M27" s="49">
        <f>資料儲存!F6379</f>
        <v>0</v>
      </c>
      <c r="N27" s="49">
        <f>資料儲存!G6379</f>
        <v>0</v>
      </c>
      <c r="O27" s="49">
        <f>資料儲存!H6379</f>
        <v>0</v>
      </c>
      <c r="P27" s="49">
        <f>資料儲存!I6379</f>
        <v>0</v>
      </c>
      <c r="Q27" s="49">
        <f>資料儲存!J6379</f>
        <v>0</v>
      </c>
      <c r="R27" s="52"/>
      <c r="S27" s="70">
        <v>18</v>
      </c>
      <c r="T27" s="49">
        <f>資料儲存!D6619</f>
        <v>0</v>
      </c>
      <c r="U27" s="49">
        <f>資料儲存!E6619</f>
        <v>0</v>
      </c>
      <c r="V27" s="49">
        <f>資料儲存!F6619</f>
        <v>0</v>
      </c>
      <c r="W27" s="49">
        <f>資料儲存!G6619</f>
        <v>0</v>
      </c>
      <c r="X27" s="49">
        <f>資料儲存!H6619</f>
        <v>0</v>
      </c>
      <c r="Y27" s="49">
        <f>資料儲存!I6619</f>
        <v>0</v>
      </c>
      <c r="Z27" s="49">
        <f>資料儲存!J6619</f>
        <v>0</v>
      </c>
      <c r="AA27" s="52"/>
      <c r="AB27" s="70">
        <v>18</v>
      </c>
      <c r="AC27" s="49">
        <f>資料儲存!D6859</f>
        <v>0</v>
      </c>
      <c r="AD27" s="49">
        <f>資料儲存!E6859</f>
        <v>0</v>
      </c>
      <c r="AE27" s="49">
        <f>資料儲存!F6859</f>
        <v>0</v>
      </c>
      <c r="AF27" s="49">
        <f>資料儲存!G6859</f>
        <v>0</v>
      </c>
      <c r="AG27" s="49">
        <f>資料儲存!H6859</f>
        <v>0</v>
      </c>
      <c r="AH27" s="49">
        <f>資料儲存!I6859</f>
        <v>0</v>
      </c>
      <c r="AI27" s="49">
        <f>資料儲存!J6859</f>
        <v>0</v>
      </c>
      <c r="AJ27" s="52"/>
      <c r="AK27" s="70">
        <v>18</v>
      </c>
      <c r="AL27" s="49">
        <f>資料儲存!D7099</f>
        <v>0</v>
      </c>
      <c r="AM27" s="49">
        <f>資料儲存!E7099</f>
        <v>0</v>
      </c>
      <c r="AN27" s="49">
        <f>資料儲存!F7099</f>
        <v>0</v>
      </c>
      <c r="AO27" s="49">
        <f>資料儲存!G7099</f>
        <v>0</v>
      </c>
      <c r="AP27" s="49">
        <f>資料儲存!H7099</f>
        <v>0</v>
      </c>
      <c r="AQ27" s="49">
        <f>資料儲存!I7099</f>
        <v>0</v>
      </c>
      <c r="AR27" s="49">
        <f>資料儲存!J7099</f>
        <v>0</v>
      </c>
      <c r="AT27" s="70">
        <v>18</v>
      </c>
      <c r="AU27" s="49">
        <f>資料儲存!D7339</f>
        <v>0</v>
      </c>
      <c r="AV27" s="49">
        <f>資料儲存!E7339</f>
        <v>0</v>
      </c>
      <c r="AW27" s="49">
        <f>資料儲存!F7339</f>
        <v>0</v>
      </c>
      <c r="AX27" s="49">
        <f>資料儲存!G7339</f>
        <v>0</v>
      </c>
      <c r="AY27" s="49">
        <f>資料儲存!H7339</f>
        <v>0</v>
      </c>
      <c r="AZ27" s="49">
        <f>資料儲存!I7339</f>
        <v>0</v>
      </c>
      <c r="BA27" s="49">
        <f>資料儲存!J7339</f>
        <v>0</v>
      </c>
    </row>
    <row r="28" spans="1:53" s="67" customFormat="1" ht="16" thickBot="1">
      <c r="A28" s="70">
        <v>19</v>
      </c>
      <c r="B28" s="49">
        <f>資料儲存!D6140</f>
        <v>0</v>
      </c>
      <c r="C28" s="49">
        <f>資料儲存!E6140</f>
        <v>0</v>
      </c>
      <c r="D28" s="49">
        <f>資料儲存!F6140</f>
        <v>0</v>
      </c>
      <c r="E28" s="49">
        <f>資料儲存!G6140</f>
        <v>0</v>
      </c>
      <c r="F28" s="49">
        <f>資料儲存!H6140</f>
        <v>0</v>
      </c>
      <c r="G28" s="49">
        <f>資料儲存!I6140</f>
        <v>0</v>
      </c>
      <c r="H28" s="49">
        <f>資料儲存!J6140</f>
        <v>0</v>
      </c>
      <c r="I28" s="52"/>
      <c r="J28" s="70">
        <v>19</v>
      </c>
      <c r="K28" s="49">
        <f>資料儲存!D6380</f>
        <v>0</v>
      </c>
      <c r="L28" s="49">
        <f>資料儲存!E6380</f>
        <v>0</v>
      </c>
      <c r="M28" s="49">
        <f>資料儲存!F6380</f>
        <v>0</v>
      </c>
      <c r="N28" s="49">
        <f>資料儲存!G6380</f>
        <v>0</v>
      </c>
      <c r="O28" s="49">
        <f>資料儲存!H6380</f>
        <v>0</v>
      </c>
      <c r="P28" s="49">
        <f>資料儲存!I6380</f>
        <v>0</v>
      </c>
      <c r="Q28" s="49">
        <f>資料儲存!J6380</f>
        <v>0</v>
      </c>
      <c r="R28" s="52"/>
      <c r="S28" s="70">
        <v>19</v>
      </c>
      <c r="T28" s="49">
        <f>資料儲存!D6620</f>
        <v>0</v>
      </c>
      <c r="U28" s="49">
        <f>資料儲存!E6620</f>
        <v>0</v>
      </c>
      <c r="V28" s="49">
        <f>資料儲存!F6620</f>
        <v>0</v>
      </c>
      <c r="W28" s="49">
        <f>資料儲存!G6620</f>
        <v>0</v>
      </c>
      <c r="X28" s="49">
        <f>資料儲存!H6620</f>
        <v>0</v>
      </c>
      <c r="Y28" s="49">
        <f>資料儲存!I6620</f>
        <v>0</v>
      </c>
      <c r="Z28" s="49">
        <f>資料儲存!J6620</f>
        <v>0</v>
      </c>
      <c r="AA28" s="52"/>
      <c r="AB28" s="70">
        <v>19</v>
      </c>
      <c r="AC28" s="49">
        <f>資料儲存!D6860</f>
        <v>0</v>
      </c>
      <c r="AD28" s="49">
        <f>資料儲存!E6860</f>
        <v>0</v>
      </c>
      <c r="AE28" s="49">
        <f>資料儲存!F6860</f>
        <v>0</v>
      </c>
      <c r="AF28" s="49">
        <f>資料儲存!G6860</f>
        <v>0</v>
      </c>
      <c r="AG28" s="49">
        <f>資料儲存!H6860</f>
        <v>0</v>
      </c>
      <c r="AH28" s="49">
        <f>資料儲存!I6860</f>
        <v>0</v>
      </c>
      <c r="AI28" s="49">
        <f>資料儲存!J6860</f>
        <v>0</v>
      </c>
      <c r="AJ28" s="52"/>
      <c r="AK28" s="70">
        <v>19</v>
      </c>
      <c r="AL28" s="49">
        <f>資料儲存!D7100</f>
        <v>0</v>
      </c>
      <c r="AM28" s="49">
        <f>資料儲存!E7100</f>
        <v>0</v>
      </c>
      <c r="AN28" s="49">
        <f>資料儲存!F7100</f>
        <v>0</v>
      </c>
      <c r="AO28" s="49">
        <f>資料儲存!G7100</f>
        <v>0</v>
      </c>
      <c r="AP28" s="49">
        <f>資料儲存!H7100</f>
        <v>0</v>
      </c>
      <c r="AQ28" s="49">
        <f>資料儲存!I7100</f>
        <v>0</v>
      </c>
      <c r="AR28" s="49">
        <f>資料儲存!J7100</f>
        <v>0</v>
      </c>
      <c r="AT28" s="70">
        <v>19</v>
      </c>
      <c r="AU28" s="49">
        <f>資料儲存!D7340</f>
        <v>0</v>
      </c>
      <c r="AV28" s="49">
        <f>資料儲存!E7340</f>
        <v>0</v>
      </c>
      <c r="AW28" s="49">
        <f>資料儲存!F7340</f>
        <v>0</v>
      </c>
      <c r="AX28" s="49">
        <f>資料儲存!G7340</f>
        <v>0</v>
      </c>
      <c r="AY28" s="49">
        <f>資料儲存!H7340</f>
        <v>0</v>
      </c>
      <c r="AZ28" s="49">
        <f>資料儲存!I7340</f>
        <v>0</v>
      </c>
      <c r="BA28" s="49">
        <f>資料儲存!J7340</f>
        <v>0</v>
      </c>
    </row>
    <row r="29" spans="1:53" s="67" customFormat="1" ht="16" thickBot="1">
      <c r="A29" s="70">
        <v>20</v>
      </c>
      <c r="B29" s="49">
        <f>資料儲存!D6141</f>
        <v>0</v>
      </c>
      <c r="C29" s="49">
        <f>資料儲存!E6141</f>
        <v>0</v>
      </c>
      <c r="D29" s="49">
        <f>資料儲存!F6141</f>
        <v>0</v>
      </c>
      <c r="E29" s="49">
        <f>資料儲存!G6141</f>
        <v>0</v>
      </c>
      <c r="F29" s="49">
        <f>資料儲存!H6141</f>
        <v>0</v>
      </c>
      <c r="G29" s="49">
        <f>資料儲存!I6141</f>
        <v>0</v>
      </c>
      <c r="H29" s="49">
        <f>資料儲存!J6141</f>
        <v>0</v>
      </c>
      <c r="I29" s="52"/>
      <c r="J29" s="70">
        <v>20</v>
      </c>
      <c r="K29" s="49">
        <f>資料儲存!D6381</f>
        <v>0</v>
      </c>
      <c r="L29" s="49">
        <f>資料儲存!E6381</f>
        <v>0</v>
      </c>
      <c r="M29" s="49">
        <f>資料儲存!F6381</f>
        <v>0</v>
      </c>
      <c r="N29" s="49">
        <f>資料儲存!G6381</f>
        <v>0</v>
      </c>
      <c r="O29" s="49">
        <f>資料儲存!H6381</f>
        <v>0</v>
      </c>
      <c r="P29" s="49">
        <f>資料儲存!I6381</f>
        <v>0</v>
      </c>
      <c r="Q29" s="49">
        <f>資料儲存!J6381</f>
        <v>0</v>
      </c>
      <c r="R29" s="52"/>
      <c r="S29" s="70">
        <v>20</v>
      </c>
      <c r="T29" s="49">
        <f>資料儲存!D6621</f>
        <v>0</v>
      </c>
      <c r="U29" s="49">
        <f>資料儲存!E6621</f>
        <v>0</v>
      </c>
      <c r="V29" s="49">
        <f>資料儲存!F6621</f>
        <v>0</v>
      </c>
      <c r="W29" s="49">
        <f>資料儲存!G6621</f>
        <v>0</v>
      </c>
      <c r="X29" s="49">
        <f>資料儲存!H6621</f>
        <v>0</v>
      </c>
      <c r="Y29" s="49">
        <f>資料儲存!I6621</f>
        <v>0</v>
      </c>
      <c r="Z29" s="49">
        <f>資料儲存!J6621</f>
        <v>0</v>
      </c>
      <c r="AA29" s="52"/>
      <c r="AB29" s="70">
        <v>20</v>
      </c>
      <c r="AC29" s="49">
        <f>資料儲存!D6861</f>
        <v>0</v>
      </c>
      <c r="AD29" s="49">
        <f>資料儲存!E6861</f>
        <v>0</v>
      </c>
      <c r="AE29" s="49">
        <f>資料儲存!F6861</f>
        <v>0</v>
      </c>
      <c r="AF29" s="49">
        <f>資料儲存!G6861</f>
        <v>0</v>
      </c>
      <c r="AG29" s="49">
        <f>資料儲存!H6861</f>
        <v>0</v>
      </c>
      <c r="AH29" s="49">
        <f>資料儲存!I6861</f>
        <v>0</v>
      </c>
      <c r="AI29" s="49">
        <f>資料儲存!J6861</f>
        <v>0</v>
      </c>
      <c r="AJ29" s="52"/>
      <c r="AK29" s="70">
        <v>20</v>
      </c>
      <c r="AL29" s="49">
        <f>資料儲存!D7101</f>
        <v>0</v>
      </c>
      <c r="AM29" s="49">
        <f>資料儲存!E7101</f>
        <v>0</v>
      </c>
      <c r="AN29" s="49">
        <f>資料儲存!F7101</f>
        <v>0</v>
      </c>
      <c r="AO29" s="49">
        <f>資料儲存!G7101</f>
        <v>0</v>
      </c>
      <c r="AP29" s="49">
        <f>資料儲存!H7101</f>
        <v>0</v>
      </c>
      <c r="AQ29" s="49">
        <f>資料儲存!I7101</f>
        <v>0</v>
      </c>
      <c r="AR29" s="49">
        <f>資料儲存!J7101</f>
        <v>0</v>
      </c>
      <c r="AT29" s="70">
        <v>20</v>
      </c>
      <c r="AU29" s="49">
        <f>資料儲存!D7341</f>
        <v>0</v>
      </c>
      <c r="AV29" s="49">
        <f>資料儲存!E7341</f>
        <v>0</v>
      </c>
      <c r="AW29" s="49">
        <f>資料儲存!F7341</f>
        <v>0</v>
      </c>
      <c r="AX29" s="49">
        <f>資料儲存!G7341</f>
        <v>0</v>
      </c>
      <c r="AY29" s="49">
        <f>資料儲存!H7341</f>
        <v>0</v>
      </c>
      <c r="AZ29" s="49">
        <f>資料儲存!I7341</f>
        <v>0</v>
      </c>
      <c r="BA29" s="49">
        <f>資料儲存!J7341</f>
        <v>0</v>
      </c>
    </row>
    <row r="30" spans="1:53" s="67" customFormat="1" ht="16" thickBot="1">
      <c r="A30" s="70">
        <v>21</v>
      </c>
      <c r="B30" s="49">
        <f>資料儲存!D6142</f>
        <v>0</v>
      </c>
      <c r="C30" s="49">
        <f>資料儲存!E6142</f>
        <v>0</v>
      </c>
      <c r="D30" s="49">
        <f>資料儲存!F6142</f>
        <v>0</v>
      </c>
      <c r="E30" s="49">
        <f>資料儲存!G6142</f>
        <v>0</v>
      </c>
      <c r="F30" s="49">
        <f>資料儲存!H6142</f>
        <v>0</v>
      </c>
      <c r="G30" s="49">
        <f>資料儲存!I6142</f>
        <v>0</v>
      </c>
      <c r="H30" s="49">
        <f>資料儲存!J6142</f>
        <v>0</v>
      </c>
      <c r="I30" s="52"/>
      <c r="J30" s="70">
        <v>21</v>
      </c>
      <c r="K30" s="49">
        <f>資料儲存!D6382</f>
        <v>0</v>
      </c>
      <c r="L30" s="49">
        <f>資料儲存!E6382</f>
        <v>0</v>
      </c>
      <c r="M30" s="49">
        <f>資料儲存!F6382</f>
        <v>0</v>
      </c>
      <c r="N30" s="49">
        <f>資料儲存!G6382</f>
        <v>0</v>
      </c>
      <c r="O30" s="49">
        <f>資料儲存!H6382</f>
        <v>0</v>
      </c>
      <c r="P30" s="49">
        <f>資料儲存!I6382</f>
        <v>0</v>
      </c>
      <c r="Q30" s="49">
        <f>資料儲存!J6382</f>
        <v>0</v>
      </c>
      <c r="R30" s="52"/>
      <c r="S30" s="70">
        <v>21</v>
      </c>
      <c r="T30" s="49">
        <f>資料儲存!D6622</f>
        <v>0</v>
      </c>
      <c r="U30" s="49">
        <f>資料儲存!E6622</f>
        <v>0</v>
      </c>
      <c r="V30" s="49">
        <f>資料儲存!F6622</f>
        <v>0</v>
      </c>
      <c r="W30" s="49">
        <f>資料儲存!G6622</f>
        <v>0</v>
      </c>
      <c r="X30" s="49">
        <f>資料儲存!H6622</f>
        <v>0</v>
      </c>
      <c r="Y30" s="49">
        <f>資料儲存!I6622</f>
        <v>0</v>
      </c>
      <c r="Z30" s="49">
        <f>資料儲存!J6622</f>
        <v>0</v>
      </c>
      <c r="AA30" s="52"/>
      <c r="AB30" s="70">
        <v>21</v>
      </c>
      <c r="AC30" s="49">
        <f>資料儲存!D6862</f>
        <v>0</v>
      </c>
      <c r="AD30" s="49">
        <f>資料儲存!E6862</f>
        <v>0</v>
      </c>
      <c r="AE30" s="49">
        <f>資料儲存!F6862</f>
        <v>0</v>
      </c>
      <c r="AF30" s="49">
        <f>資料儲存!G6862</f>
        <v>0</v>
      </c>
      <c r="AG30" s="49">
        <f>資料儲存!H6862</f>
        <v>0</v>
      </c>
      <c r="AH30" s="49">
        <f>資料儲存!I6862</f>
        <v>0</v>
      </c>
      <c r="AI30" s="49">
        <f>資料儲存!J6862</f>
        <v>0</v>
      </c>
      <c r="AJ30" s="52"/>
      <c r="AK30" s="70">
        <v>21</v>
      </c>
      <c r="AL30" s="49">
        <f>資料儲存!D7102</f>
        <v>0</v>
      </c>
      <c r="AM30" s="49">
        <f>資料儲存!E7102</f>
        <v>0</v>
      </c>
      <c r="AN30" s="49">
        <f>資料儲存!F7102</f>
        <v>0</v>
      </c>
      <c r="AO30" s="49">
        <f>資料儲存!G7102</f>
        <v>0</v>
      </c>
      <c r="AP30" s="49">
        <f>資料儲存!H7102</f>
        <v>0</v>
      </c>
      <c r="AQ30" s="49">
        <f>資料儲存!I7102</f>
        <v>0</v>
      </c>
      <c r="AR30" s="49">
        <f>資料儲存!J7102</f>
        <v>0</v>
      </c>
      <c r="AT30" s="70">
        <v>21</v>
      </c>
      <c r="AU30" s="49">
        <f>資料儲存!D7342</f>
        <v>0</v>
      </c>
      <c r="AV30" s="49">
        <f>資料儲存!E7342</f>
        <v>0</v>
      </c>
      <c r="AW30" s="49">
        <f>資料儲存!F7342</f>
        <v>0</v>
      </c>
      <c r="AX30" s="49">
        <f>資料儲存!G7342</f>
        <v>0</v>
      </c>
      <c r="AY30" s="49">
        <f>資料儲存!H7342</f>
        <v>0</v>
      </c>
      <c r="AZ30" s="49">
        <f>資料儲存!I7342</f>
        <v>0</v>
      </c>
      <c r="BA30" s="49">
        <f>資料儲存!J7342</f>
        <v>0</v>
      </c>
    </row>
    <row r="31" spans="1:53" s="67" customFormat="1" ht="16" thickBot="1">
      <c r="A31" s="70">
        <v>22</v>
      </c>
      <c r="B31" s="49">
        <f>資料儲存!D6143</f>
        <v>0</v>
      </c>
      <c r="C31" s="49">
        <f>資料儲存!E6143</f>
        <v>0</v>
      </c>
      <c r="D31" s="49">
        <f>資料儲存!F6143</f>
        <v>0</v>
      </c>
      <c r="E31" s="49">
        <f>資料儲存!G6143</f>
        <v>0</v>
      </c>
      <c r="F31" s="49">
        <f>資料儲存!H6143</f>
        <v>0</v>
      </c>
      <c r="G31" s="49">
        <f>資料儲存!I6143</f>
        <v>0</v>
      </c>
      <c r="H31" s="49">
        <f>資料儲存!J6143</f>
        <v>0</v>
      </c>
      <c r="I31" s="52"/>
      <c r="J31" s="70">
        <v>22</v>
      </c>
      <c r="K31" s="49">
        <f>資料儲存!D6383</f>
        <v>0</v>
      </c>
      <c r="L31" s="49">
        <f>資料儲存!E6383</f>
        <v>0</v>
      </c>
      <c r="M31" s="49">
        <f>資料儲存!F6383</f>
        <v>0</v>
      </c>
      <c r="N31" s="49">
        <f>資料儲存!G6383</f>
        <v>0</v>
      </c>
      <c r="O31" s="49">
        <f>資料儲存!H6383</f>
        <v>0</v>
      </c>
      <c r="P31" s="49">
        <f>資料儲存!I6383</f>
        <v>0</v>
      </c>
      <c r="Q31" s="49">
        <f>資料儲存!J6383</f>
        <v>0</v>
      </c>
      <c r="R31" s="52"/>
      <c r="S31" s="70">
        <v>22</v>
      </c>
      <c r="T31" s="49">
        <f>資料儲存!D6623</f>
        <v>0</v>
      </c>
      <c r="U31" s="49">
        <f>資料儲存!E6623</f>
        <v>0</v>
      </c>
      <c r="V31" s="49">
        <f>資料儲存!F6623</f>
        <v>0</v>
      </c>
      <c r="W31" s="49">
        <f>資料儲存!G6623</f>
        <v>0</v>
      </c>
      <c r="X31" s="49">
        <f>資料儲存!H6623</f>
        <v>0</v>
      </c>
      <c r="Y31" s="49">
        <f>資料儲存!I6623</f>
        <v>0</v>
      </c>
      <c r="Z31" s="49">
        <f>資料儲存!J6623</f>
        <v>0</v>
      </c>
      <c r="AA31" s="52"/>
      <c r="AB31" s="70">
        <v>22</v>
      </c>
      <c r="AC31" s="49">
        <f>資料儲存!D6863</f>
        <v>0</v>
      </c>
      <c r="AD31" s="49">
        <f>資料儲存!E6863</f>
        <v>0</v>
      </c>
      <c r="AE31" s="49">
        <f>資料儲存!F6863</f>
        <v>0</v>
      </c>
      <c r="AF31" s="49">
        <f>資料儲存!G6863</f>
        <v>0</v>
      </c>
      <c r="AG31" s="49">
        <f>資料儲存!H6863</f>
        <v>0</v>
      </c>
      <c r="AH31" s="49">
        <f>資料儲存!I6863</f>
        <v>0</v>
      </c>
      <c r="AI31" s="49">
        <f>資料儲存!J6863</f>
        <v>0</v>
      </c>
      <c r="AJ31" s="52"/>
      <c r="AK31" s="70">
        <v>22</v>
      </c>
      <c r="AL31" s="49">
        <f>資料儲存!D7103</f>
        <v>0</v>
      </c>
      <c r="AM31" s="49">
        <f>資料儲存!E7103</f>
        <v>0</v>
      </c>
      <c r="AN31" s="49">
        <f>資料儲存!F7103</f>
        <v>0</v>
      </c>
      <c r="AO31" s="49">
        <f>資料儲存!G7103</f>
        <v>0</v>
      </c>
      <c r="AP31" s="49">
        <f>資料儲存!H7103</f>
        <v>0</v>
      </c>
      <c r="AQ31" s="49">
        <f>資料儲存!I7103</f>
        <v>0</v>
      </c>
      <c r="AR31" s="49">
        <f>資料儲存!J7103</f>
        <v>0</v>
      </c>
      <c r="AT31" s="70">
        <v>22</v>
      </c>
      <c r="AU31" s="49">
        <f>資料儲存!D7343</f>
        <v>0</v>
      </c>
      <c r="AV31" s="49">
        <f>資料儲存!E7343</f>
        <v>0</v>
      </c>
      <c r="AW31" s="49">
        <f>資料儲存!F7343</f>
        <v>0</v>
      </c>
      <c r="AX31" s="49">
        <f>資料儲存!G7343</f>
        <v>0</v>
      </c>
      <c r="AY31" s="49">
        <f>資料儲存!H7343</f>
        <v>0</v>
      </c>
      <c r="AZ31" s="49">
        <f>資料儲存!I7343</f>
        <v>0</v>
      </c>
      <c r="BA31" s="49">
        <f>資料儲存!J7343</f>
        <v>0</v>
      </c>
    </row>
    <row r="32" spans="1:53" s="67" customFormat="1" ht="16" thickBot="1">
      <c r="A32" s="70">
        <v>23</v>
      </c>
      <c r="B32" s="49">
        <f>資料儲存!D6144</f>
        <v>0</v>
      </c>
      <c r="C32" s="49">
        <f>資料儲存!E6144</f>
        <v>0</v>
      </c>
      <c r="D32" s="49">
        <f>資料儲存!F6144</f>
        <v>0</v>
      </c>
      <c r="E32" s="49">
        <f>資料儲存!G6144</f>
        <v>0</v>
      </c>
      <c r="F32" s="49">
        <f>資料儲存!H6144</f>
        <v>0</v>
      </c>
      <c r="G32" s="49">
        <f>資料儲存!I6144</f>
        <v>0</v>
      </c>
      <c r="H32" s="49">
        <f>資料儲存!J6144</f>
        <v>0</v>
      </c>
      <c r="I32" s="52"/>
      <c r="J32" s="70">
        <v>23</v>
      </c>
      <c r="K32" s="49">
        <f>資料儲存!D6384</f>
        <v>0</v>
      </c>
      <c r="L32" s="49">
        <f>資料儲存!E6384</f>
        <v>0</v>
      </c>
      <c r="M32" s="49">
        <f>資料儲存!F6384</f>
        <v>0</v>
      </c>
      <c r="N32" s="49">
        <f>資料儲存!G6384</f>
        <v>0</v>
      </c>
      <c r="O32" s="49">
        <f>資料儲存!H6384</f>
        <v>0</v>
      </c>
      <c r="P32" s="49">
        <f>資料儲存!I6384</f>
        <v>0</v>
      </c>
      <c r="Q32" s="49">
        <f>資料儲存!J6384</f>
        <v>0</v>
      </c>
      <c r="R32" s="52"/>
      <c r="S32" s="70">
        <v>23</v>
      </c>
      <c r="T32" s="49">
        <f>資料儲存!D6624</f>
        <v>0</v>
      </c>
      <c r="U32" s="49">
        <f>資料儲存!E6624</f>
        <v>0</v>
      </c>
      <c r="V32" s="49">
        <f>資料儲存!F6624</f>
        <v>0</v>
      </c>
      <c r="W32" s="49">
        <f>資料儲存!G6624</f>
        <v>0</v>
      </c>
      <c r="X32" s="49">
        <f>資料儲存!H6624</f>
        <v>0</v>
      </c>
      <c r="Y32" s="49">
        <f>資料儲存!I6624</f>
        <v>0</v>
      </c>
      <c r="Z32" s="49">
        <f>資料儲存!J6624</f>
        <v>0</v>
      </c>
      <c r="AA32" s="52"/>
      <c r="AB32" s="70">
        <v>23</v>
      </c>
      <c r="AC32" s="49">
        <f>資料儲存!D6864</f>
        <v>0</v>
      </c>
      <c r="AD32" s="49">
        <f>資料儲存!E6864</f>
        <v>0</v>
      </c>
      <c r="AE32" s="49">
        <f>資料儲存!F6864</f>
        <v>0</v>
      </c>
      <c r="AF32" s="49">
        <f>資料儲存!G6864</f>
        <v>0</v>
      </c>
      <c r="AG32" s="49">
        <f>資料儲存!H6864</f>
        <v>0</v>
      </c>
      <c r="AH32" s="49">
        <f>資料儲存!I6864</f>
        <v>0</v>
      </c>
      <c r="AI32" s="49">
        <f>資料儲存!J6864</f>
        <v>0</v>
      </c>
      <c r="AJ32" s="52"/>
      <c r="AK32" s="70">
        <v>23</v>
      </c>
      <c r="AL32" s="49">
        <f>資料儲存!D7104</f>
        <v>0</v>
      </c>
      <c r="AM32" s="49">
        <f>資料儲存!E7104</f>
        <v>0</v>
      </c>
      <c r="AN32" s="49">
        <f>資料儲存!F7104</f>
        <v>0</v>
      </c>
      <c r="AO32" s="49">
        <f>資料儲存!G7104</f>
        <v>0</v>
      </c>
      <c r="AP32" s="49">
        <f>資料儲存!H7104</f>
        <v>0</v>
      </c>
      <c r="AQ32" s="49">
        <f>資料儲存!I7104</f>
        <v>0</v>
      </c>
      <c r="AR32" s="49">
        <f>資料儲存!J7104</f>
        <v>0</v>
      </c>
      <c r="AT32" s="70">
        <v>23</v>
      </c>
      <c r="AU32" s="49">
        <f>資料儲存!D7344</f>
        <v>0</v>
      </c>
      <c r="AV32" s="49">
        <f>資料儲存!E7344</f>
        <v>0</v>
      </c>
      <c r="AW32" s="49">
        <f>資料儲存!F7344</f>
        <v>0</v>
      </c>
      <c r="AX32" s="49">
        <f>資料儲存!G7344</f>
        <v>0</v>
      </c>
      <c r="AY32" s="49">
        <f>資料儲存!H7344</f>
        <v>0</v>
      </c>
      <c r="AZ32" s="49">
        <f>資料儲存!I7344</f>
        <v>0</v>
      </c>
      <c r="BA32" s="49">
        <f>資料儲存!J7344</f>
        <v>0</v>
      </c>
    </row>
    <row r="33" spans="1:53" s="67" customFormat="1" ht="16" thickBot="1">
      <c r="A33" s="70">
        <v>24</v>
      </c>
      <c r="B33" s="49">
        <f>資料儲存!D6145</f>
        <v>0</v>
      </c>
      <c r="C33" s="49">
        <f>資料儲存!E6145</f>
        <v>0</v>
      </c>
      <c r="D33" s="49">
        <f>資料儲存!F6145</f>
        <v>0</v>
      </c>
      <c r="E33" s="49">
        <f>資料儲存!G6145</f>
        <v>0</v>
      </c>
      <c r="F33" s="49">
        <f>資料儲存!H6145</f>
        <v>0</v>
      </c>
      <c r="G33" s="49">
        <f>資料儲存!I6145</f>
        <v>0</v>
      </c>
      <c r="H33" s="49">
        <f>資料儲存!J6145</f>
        <v>0</v>
      </c>
      <c r="I33" s="52"/>
      <c r="J33" s="70">
        <v>24</v>
      </c>
      <c r="K33" s="49">
        <f>資料儲存!D6385</f>
        <v>0</v>
      </c>
      <c r="L33" s="49">
        <f>資料儲存!E6385</f>
        <v>0</v>
      </c>
      <c r="M33" s="49">
        <f>資料儲存!F6385</f>
        <v>0</v>
      </c>
      <c r="N33" s="49">
        <f>資料儲存!G6385</f>
        <v>0</v>
      </c>
      <c r="O33" s="49">
        <f>資料儲存!H6385</f>
        <v>0</v>
      </c>
      <c r="P33" s="49">
        <f>資料儲存!I6385</f>
        <v>0</v>
      </c>
      <c r="Q33" s="49">
        <f>資料儲存!J6385</f>
        <v>0</v>
      </c>
      <c r="R33" s="52"/>
      <c r="S33" s="70">
        <v>24</v>
      </c>
      <c r="T33" s="49">
        <f>資料儲存!D6625</f>
        <v>0</v>
      </c>
      <c r="U33" s="49">
        <f>資料儲存!E6625</f>
        <v>0</v>
      </c>
      <c r="V33" s="49">
        <f>資料儲存!F6625</f>
        <v>0</v>
      </c>
      <c r="W33" s="49">
        <f>資料儲存!G6625</f>
        <v>0</v>
      </c>
      <c r="X33" s="49">
        <f>資料儲存!H6625</f>
        <v>0</v>
      </c>
      <c r="Y33" s="49">
        <f>資料儲存!I6625</f>
        <v>0</v>
      </c>
      <c r="Z33" s="49">
        <f>資料儲存!J6625</f>
        <v>0</v>
      </c>
      <c r="AA33" s="52"/>
      <c r="AB33" s="70">
        <v>24</v>
      </c>
      <c r="AC33" s="49">
        <f>資料儲存!D6865</f>
        <v>0</v>
      </c>
      <c r="AD33" s="49">
        <f>資料儲存!E6865</f>
        <v>0</v>
      </c>
      <c r="AE33" s="49">
        <f>資料儲存!F6865</f>
        <v>0</v>
      </c>
      <c r="AF33" s="49">
        <f>資料儲存!G6865</f>
        <v>0</v>
      </c>
      <c r="AG33" s="49">
        <f>資料儲存!H6865</f>
        <v>0</v>
      </c>
      <c r="AH33" s="49">
        <f>資料儲存!I6865</f>
        <v>0</v>
      </c>
      <c r="AI33" s="49">
        <f>資料儲存!J6865</f>
        <v>0</v>
      </c>
      <c r="AJ33" s="52"/>
      <c r="AK33" s="70">
        <v>24</v>
      </c>
      <c r="AL33" s="49">
        <f>資料儲存!D7105</f>
        <v>0</v>
      </c>
      <c r="AM33" s="49">
        <f>資料儲存!E7105</f>
        <v>0</v>
      </c>
      <c r="AN33" s="49">
        <f>資料儲存!F7105</f>
        <v>0</v>
      </c>
      <c r="AO33" s="49">
        <f>資料儲存!G7105</f>
        <v>0</v>
      </c>
      <c r="AP33" s="49">
        <f>資料儲存!H7105</f>
        <v>0</v>
      </c>
      <c r="AQ33" s="49">
        <f>資料儲存!I7105</f>
        <v>0</v>
      </c>
      <c r="AR33" s="49">
        <f>資料儲存!J7105</f>
        <v>0</v>
      </c>
      <c r="AT33" s="70">
        <v>24</v>
      </c>
      <c r="AU33" s="49">
        <f>資料儲存!D7345</f>
        <v>0</v>
      </c>
      <c r="AV33" s="49">
        <f>資料儲存!E7345</f>
        <v>0</v>
      </c>
      <c r="AW33" s="49">
        <f>資料儲存!F7345</f>
        <v>0</v>
      </c>
      <c r="AX33" s="49">
        <f>資料儲存!G7345</f>
        <v>0</v>
      </c>
      <c r="AY33" s="49">
        <f>資料儲存!H7345</f>
        <v>0</v>
      </c>
      <c r="AZ33" s="49">
        <f>資料儲存!I7345</f>
        <v>0</v>
      </c>
      <c r="BA33" s="49">
        <f>資料儲存!J7345</f>
        <v>0</v>
      </c>
    </row>
    <row r="34" spans="1:53" s="67" customFormat="1" ht="16" thickBot="1">
      <c r="A34" s="70">
        <v>25</v>
      </c>
      <c r="B34" s="49">
        <f>資料儲存!D6146</f>
        <v>0</v>
      </c>
      <c r="C34" s="49">
        <f>資料儲存!E6146</f>
        <v>0</v>
      </c>
      <c r="D34" s="49">
        <f>資料儲存!F6146</f>
        <v>0</v>
      </c>
      <c r="E34" s="49">
        <f>資料儲存!G6146</f>
        <v>0</v>
      </c>
      <c r="F34" s="49">
        <f>資料儲存!H6146</f>
        <v>0</v>
      </c>
      <c r="G34" s="49">
        <f>資料儲存!I6146</f>
        <v>0</v>
      </c>
      <c r="H34" s="49">
        <f>資料儲存!J6146</f>
        <v>0</v>
      </c>
      <c r="I34" s="52"/>
      <c r="J34" s="70">
        <v>25</v>
      </c>
      <c r="K34" s="49">
        <f>資料儲存!D6386</f>
        <v>0</v>
      </c>
      <c r="L34" s="49">
        <f>資料儲存!E6386</f>
        <v>0</v>
      </c>
      <c r="M34" s="49">
        <f>資料儲存!F6386</f>
        <v>0</v>
      </c>
      <c r="N34" s="49">
        <f>資料儲存!G6386</f>
        <v>0</v>
      </c>
      <c r="O34" s="49">
        <f>資料儲存!H6386</f>
        <v>0</v>
      </c>
      <c r="P34" s="49">
        <f>資料儲存!I6386</f>
        <v>0</v>
      </c>
      <c r="Q34" s="49">
        <f>資料儲存!J6386</f>
        <v>0</v>
      </c>
      <c r="R34" s="52"/>
      <c r="S34" s="70">
        <v>25</v>
      </c>
      <c r="T34" s="49">
        <f>資料儲存!D6626</f>
        <v>0</v>
      </c>
      <c r="U34" s="49">
        <f>資料儲存!E6626</f>
        <v>0</v>
      </c>
      <c r="V34" s="49">
        <f>資料儲存!F6626</f>
        <v>0</v>
      </c>
      <c r="W34" s="49">
        <f>資料儲存!G6626</f>
        <v>0</v>
      </c>
      <c r="X34" s="49">
        <f>資料儲存!H6626</f>
        <v>0</v>
      </c>
      <c r="Y34" s="49">
        <f>資料儲存!I6626</f>
        <v>0</v>
      </c>
      <c r="Z34" s="49">
        <f>資料儲存!J6626</f>
        <v>0</v>
      </c>
      <c r="AA34" s="52"/>
      <c r="AB34" s="70">
        <v>25</v>
      </c>
      <c r="AC34" s="49">
        <f>資料儲存!D6866</f>
        <v>0</v>
      </c>
      <c r="AD34" s="49">
        <f>資料儲存!E6866</f>
        <v>0</v>
      </c>
      <c r="AE34" s="49">
        <f>資料儲存!F6866</f>
        <v>0</v>
      </c>
      <c r="AF34" s="49">
        <f>資料儲存!G6866</f>
        <v>0</v>
      </c>
      <c r="AG34" s="49">
        <f>資料儲存!H6866</f>
        <v>0</v>
      </c>
      <c r="AH34" s="49">
        <f>資料儲存!I6866</f>
        <v>0</v>
      </c>
      <c r="AI34" s="49">
        <f>資料儲存!J6866</f>
        <v>0</v>
      </c>
      <c r="AJ34" s="52"/>
      <c r="AK34" s="70">
        <v>25</v>
      </c>
      <c r="AL34" s="49">
        <f>資料儲存!D7106</f>
        <v>0</v>
      </c>
      <c r="AM34" s="49">
        <f>資料儲存!E7106</f>
        <v>0</v>
      </c>
      <c r="AN34" s="49">
        <f>資料儲存!F7106</f>
        <v>0</v>
      </c>
      <c r="AO34" s="49">
        <f>資料儲存!G7106</f>
        <v>0</v>
      </c>
      <c r="AP34" s="49">
        <f>資料儲存!H7106</f>
        <v>0</v>
      </c>
      <c r="AQ34" s="49">
        <f>資料儲存!I7106</f>
        <v>0</v>
      </c>
      <c r="AR34" s="49">
        <f>資料儲存!J7106</f>
        <v>0</v>
      </c>
      <c r="AT34" s="70">
        <v>25</v>
      </c>
      <c r="AU34" s="49">
        <f>資料儲存!D7346</f>
        <v>0</v>
      </c>
      <c r="AV34" s="49">
        <f>資料儲存!E7346</f>
        <v>0</v>
      </c>
      <c r="AW34" s="49">
        <f>資料儲存!F7346</f>
        <v>0</v>
      </c>
      <c r="AX34" s="49">
        <f>資料儲存!G7346</f>
        <v>0</v>
      </c>
      <c r="AY34" s="49">
        <f>資料儲存!H7346</f>
        <v>0</v>
      </c>
      <c r="AZ34" s="49">
        <f>資料儲存!I7346</f>
        <v>0</v>
      </c>
      <c r="BA34" s="49">
        <f>資料儲存!J7346</f>
        <v>0</v>
      </c>
    </row>
    <row r="35" spans="1:53" s="67" customFormat="1" ht="16" thickBot="1">
      <c r="A35" s="70">
        <v>26</v>
      </c>
      <c r="B35" s="49">
        <f>資料儲存!D6147</f>
        <v>0</v>
      </c>
      <c r="C35" s="49">
        <f>資料儲存!E6147</f>
        <v>0</v>
      </c>
      <c r="D35" s="49">
        <f>資料儲存!F6147</f>
        <v>0</v>
      </c>
      <c r="E35" s="49">
        <f>資料儲存!G6147</f>
        <v>0</v>
      </c>
      <c r="F35" s="49">
        <f>資料儲存!H6147</f>
        <v>0</v>
      </c>
      <c r="G35" s="49">
        <f>資料儲存!I6147</f>
        <v>0</v>
      </c>
      <c r="H35" s="49">
        <f>資料儲存!J6147</f>
        <v>0</v>
      </c>
      <c r="I35" s="52"/>
      <c r="J35" s="70">
        <v>26</v>
      </c>
      <c r="K35" s="49">
        <f>資料儲存!D6387</f>
        <v>0</v>
      </c>
      <c r="L35" s="49">
        <f>資料儲存!E6387</f>
        <v>0</v>
      </c>
      <c r="M35" s="49">
        <f>資料儲存!F6387</f>
        <v>0</v>
      </c>
      <c r="N35" s="49">
        <f>資料儲存!G6387</f>
        <v>0</v>
      </c>
      <c r="O35" s="49">
        <f>資料儲存!H6387</f>
        <v>0</v>
      </c>
      <c r="P35" s="49">
        <f>資料儲存!I6387</f>
        <v>0</v>
      </c>
      <c r="Q35" s="49">
        <f>資料儲存!J6387</f>
        <v>0</v>
      </c>
      <c r="R35" s="52"/>
      <c r="S35" s="70">
        <v>26</v>
      </c>
      <c r="T35" s="49">
        <f>資料儲存!D6627</f>
        <v>0</v>
      </c>
      <c r="U35" s="49">
        <f>資料儲存!E6627</f>
        <v>0</v>
      </c>
      <c r="V35" s="49">
        <f>資料儲存!F6627</f>
        <v>0</v>
      </c>
      <c r="W35" s="49">
        <f>資料儲存!G6627</f>
        <v>0</v>
      </c>
      <c r="X35" s="49">
        <f>資料儲存!H6627</f>
        <v>0</v>
      </c>
      <c r="Y35" s="49">
        <f>資料儲存!I6627</f>
        <v>0</v>
      </c>
      <c r="Z35" s="49">
        <f>資料儲存!J6627</f>
        <v>0</v>
      </c>
      <c r="AA35" s="52"/>
      <c r="AB35" s="70">
        <v>26</v>
      </c>
      <c r="AC35" s="49">
        <f>資料儲存!D6867</f>
        <v>0</v>
      </c>
      <c r="AD35" s="49">
        <f>資料儲存!E6867</f>
        <v>0</v>
      </c>
      <c r="AE35" s="49">
        <f>資料儲存!F6867</f>
        <v>0</v>
      </c>
      <c r="AF35" s="49">
        <f>資料儲存!G6867</f>
        <v>0</v>
      </c>
      <c r="AG35" s="49">
        <f>資料儲存!H6867</f>
        <v>0</v>
      </c>
      <c r="AH35" s="49">
        <f>資料儲存!I6867</f>
        <v>0</v>
      </c>
      <c r="AI35" s="49">
        <f>資料儲存!J6867</f>
        <v>0</v>
      </c>
      <c r="AJ35" s="52"/>
      <c r="AK35" s="70">
        <v>26</v>
      </c>
      <c r="AL35" s="49">
        <f>資料儲存!D7107</f>
        <v>0</v>
      </c>
      <c r="AM35" s="49">
        <f>資料儲存!E7107</f>
        <v>0</v>
      </c>
      <c r="AN35" s="49">
        <f>資料儲存!F7107</f>
        <v>0</v>
      </c>
      <c r="AO35" s="49">
        <f>資料儲存!G7107</f>
        <v>0</v>
      </c>
      <c r="AP35" s="49">
        <f>資料儲存!H7107</f>
        <v>0</v>
      </c>
      <c r="AQ35" s="49">
        <f>資料儲存!I7107</f>
        <v>0</v>
      </c>
      <c r="AR35" s="49">
        <f>資料儲存!J7107</f>
        <v>0</v>
      </c>
      <c r="AT35" s="70">
        <v>26</v>
      </c>
      <c r="AU35" s="49">
        <f>資料儲存!D7347</f>
        <v>0</v>
      </c>
      <c r="AV35" s="49">
        <f>資料儲存!E7347</f>
        <v>0</v>
      </c>
      <c r="AW35" s="49">
        <f>資料儲存!F7347</f>
        <v>0</v>
      </c>
      <c r="AX35" s="49">
        <f>資料儲存!G7347</f>
        <v>0</v>
      </c>
      <c r="AY35" s="49">
        <f>資料儲存!H7347</f>
        <v>0</v>
      </c>
      <c r="AZ35" s="49">
        <f>資料儲存!I7347</f>
        <v>0</v>
      </c>
      <c r="BA35" s="49">
        <f>資料儲存!J7347</f>
        <v>0</v>
      </c>
    </row>
    <row r="36" spans="1:53" s="67" customFormat="1" ht="16" thickBot="1">
      <c r="A36" s="70">
        <v>27</v>
      </c>
      <c r="B36" s="49">
        <f>資料儲存!D6148</f>
        <v>0</v>
      </c>
      <c r="C36" s="49">
        <f>資料儲存!E6148</f>
        <v>0</v>
      </c>
      <c r="D36" s="49">
        <f>資料儲存!F6148</f>
        <v>0</v>
      </c>
      <c r="E36" s="49">
        <f>資料儲存!G6148</f>
        <v>0</v>
      </c>
      <c r="F36" s="49">
        <f>資料儲存!H6148</f>
        <v>0</v>
      </c>
      <c r="G36" s="49">
        <f>資料儲存!I6148</f>
        <v>0</v>
      </c>
      <c r="H36" s="49">
        <f>資料儲存!J6148</f>
        <v>0</v>
      </c>
      <c r="I36" s="52"/>
      <c r="J36" s="70">
        <v>27</v>
      </c>
      <c r="K36" s="49">
        <f>資料儲存!D6388</f>
        <v>0</v>
      </c>
      <c r="L36" s="49">
        <f>資料儲存!E6388</f>
        <v>0</v>
      </c>
      <c r="M36" s="49">
        <f>資料儲存!F6388</f>
        <v>0</v>
      </c>
      <c r="N36" s="49">
        <f>資料儲存!G6388</f>
        <v>0</v>
      </c>
      <c r="O36" s="49">
        <f>資料儲存!H6388</f>
        <v>0</v>
      </c>
      <c r="P36" s="49">
        <f>資料儲存!I6388</f>
        <v>0</v>
      </c>
      <c r="Q36" s="49">
        <f>資料儲存!J6388</f>
        <v>0</v>
      </c>
      <c r="R36" s="52"/>
      <c r="S36" s="70">
        <v>27</v>
      </c>
      <c r="T36" s="49">
        <f>資料儲存!D6628</f>
        <v>0</v>
      </c>
      <c r="U36" s="49">
        <f>資料儲存!E6628</f>
        <v>0</v>
      </c>
      <c r="V36" s="49">
        <f>資料儲存!F6628</f>
        <v>0</v>
      </c>
      <c r="W36" s="49">
        <f>資料儲存!G6628</f>
        <v>0</v>
      </c>
      <c r="X36" s="49">
        <f>資料儲存!H6628</f>
        <v>0</v>
      </c>
      <c r="Y36" s="49">
        <f>資料儲存!I6628</f>
        <v>0</v>
      </c>
      <c r="Z36" s="49">
        <f>資料儲存!J6628</f>
        <v>0</v>
      </c>
      <c r="AA36" s="52"/>
      <c r="AB36" s="70">
        <v>27</v>
      </c>
      <c r="AC36" s="49">
        <f>資料儲存!D6868</f>
        <v>0</v>
      </c>
      <c r="AD36" s="49">
        <f>資料儲存!E6868</f>
        <v>0</v>
      </c>
      <c r="AE36" s="49">
        <f>資料儲存!F6868</f>
        <v>0</v>
      </c>
      <c r="AF36" s="49">
        <f>資料儲存!G6868</f>
        <v>0</v>
      </c>
      <c r="AG36" s="49">
        <f>資料儲存!H6868</f>
        <v>0</v>
      </c>
      <c r="AH36" s="49">
        <f>資料儲存!I6868</f>
        <v>0</v>
      </c>
      <c r="AI36" s="49">
        <f>資料儲存!J6868</f>
        <v>0</v>
      </c>
      <c r="AJ36" s="52"/>
      <c r="AK36" s="70">
        <v>27</v>
      </c>
      <c r="AL36" s="49">
        <f>資料儲存!D7108</f>
        <v>0</v>
      </c>
      <c r="AM36" s="49">
        <f>資料儲存!E7108</f>
        <v>0</v>
      </c>
      <c r="AN36" s="49">
        <f>資料儲存!F7108</f>
        <v>0</v>
      </c>
      <c r="AO36" s="49">
        <f>資料儲存!G7108</f>
        <v>0</v>
      </c>
      <c r="AP36" s="49">
        <f>資料儲存!H7108</f>
        <v>0</v>
      </c>
      <c r="AQ36" s="49">
        <f>資料儲存!I7108</f>
        <v>0</v>
      </c>
      <c r="AR36" s="49">
        <f>資料儲存!J7108</f>
        <v>0</v>
      </c>
      <c r="AT36" s="70">
        <v>27</v>
      </c>
      <c r="AU36" s="49">
        <f>資料儲存!D7348</f>
        <v>0</v>
      </c>
      <c r="AV36" s="49">
        <f>資料儲存!E7348</f>
        <v>0</v>
      </c>
      <c r="AW36" s="49">
        <f>資料儲存!F7348</f>
        <v>0</v>
      </c>
      <c r="AX36" s="49">
        <f>資料儲存!G7348</f>
        <v>0</v>
      </c>
      <c r="AY36" s="49">
        <f>資料儲存!H7348</f>
        <v>0</v>
      </c>
      <c r="AZ36" s="49">
        <f>資料儲存!I7348</f>
        <v>0</v>
      </c>
      <c r="BA36" s="49">
        <f>資料儲存!J7348</f>
        <v>0</v>
      </c>
    </row>
    <row r="37" spans="1:53" s="67" customFormat="1" ht="16" thickBot="1">
      <c r="A37" s="70">
        <v>28</v>
      </c>
      <c r="B37" s="49">
        <f>資料儲存!D6149</f>
        <v>0</v>
      </c>
      <c r="C37" s="49">
        <f>資料儲存!E6149</f>
        <v>0</v>
      </c>
      <c r="D37" s="49">
        <f>資料儲存!F6149</f>
        <v>0</v>
      </c>
      <c r="E37" s="49">
        <f>資料儲存!G6149</f>
        <v>0</v>
      </c>
      <c r="F37" s="49">
        <f>資料儲存!H6149</f>
        <v>0</v>
      </c>
      <c r="G37" s="49">
        <f>資料儲存!I6149</f>
        <v>0</v>
      </c>
      <c r="H37" s="49">
        <f>資料儲存!J6149</f>
        <v>0</v>
      </c>
      <c r="I37" s="52"/>
      <c r="J37" s="70">
        <v>28</v>
      </c>
      <c r="K37" s="49">
        <f>資料儲存!D6389</f>
        <v>0</v>
      </c>
      <c r="L37" s="49">
        <f>資料儲存!E6389</f>
        <v>0</v>
      </c>
      <c r="M37" s="49">
        <f>資料儲存!F6389</f>
        <v>0</v>
      </c>
      <c r="N37" s="49">
        <f>資料儲存!G6389</f>
        <v>0</v>
      </c>
      <c r="O37" s="49">
        <f>資料儲存!H6389</f>
        <v>0</v>
      </c>
      <c r="P37" s="49">
        <f>資料儲存!I6389</f>
        <v>0</v>
      </c>
      <c r="Q37" s="49">
        <f>資料儲存!J6389</f>
        <v>0</v>
      </c>
      <c r="R37" s="52"/>
      <c r="S37" s="70">
        <v>28</v>
      </c>
      <c r="T37" s="49">
        <f>資料儲存!D6629</f>
        <v>0</v>
      </c>
      <c r="U37" s="49">
        <f>資料儲存!E6629</f>
        <v>0</v>
      </c>
      <c r="V37" s="49">
        <f>資料儲存!F6629</f>
        <v>0</v>
      </c>
      <c r="W37" s="49">
        <f>資料儲存!G6629</f>
        <v>0</v>
      </c>
      <c r="X37" s="49">
        <f>資料儲存!H6629</f>
        <v>0</v>
      </c>
      <c r="Y37" s="49">
        <f>資料儲存!I6629</f>
        <v>0</v>
      </c>
      <c r="Z37" s="49">
        <f>資料儲存!J6629</f>
        <v>0</v>
      </c>
      <c r="AA37" s="52"/>
      <c r="AB37" s="70">
        <v>28</v>
      </c>
      <c r="AC37" s="49">
        <f>資料儲存!D6869</f>
        <v>0</v>
      </c>
      <c r="AD37" s="49">
        <f>資料儲存!E6869</f>
        <v>0</v>
      </c>
      <c r="AE37" s="49">
        <f>資料儲存!F6869</f>
        <v>0</v>
      </c>
      <c r="AF37" s="49">
        <f>資料儲存!G6869</f>
        <v>0</v>
      </c>
      <c r="AG37" s="49">
        <f>資料儲存!H6869</f>
        <v>0</v>
      </c>
      <c r="AH37" s="49">
        <f>資料儲存!I6869</f>
        <v>0</v>
      </c>
      <c r="AI37" s="49">
        <f>資料儲存!J6869</f>
        <v>0</v>
      </c>
      <c r="AJ37" s="52"/>
      <c r="AK37" s="70">
        <v>28</v>
      </c>
      <c r="AL37" s="49">
        <f>資料儲存!D7109</f>
        <v>0</v>
      </c>
      <c r="AM37" s="49">
        <f>資料儲存!E7109</f>
        <v>0</v>
      </c>
      <c r="AN37" s="49">
        <f>資料儲存!F7109</f>
        <v>0</v>
      </c>
      <c r="AO37" s="49">
        <f>資料儲存!G7109</f>
        <v>0</v>
      </c>
      <c r="AP37" s="49">
        <f>資料儲存!H7109</f>
        <v>0</v>
      </c>
      <c r="AQ37" s="49">
        <f>資料儲存!I7109</f>
        <v>0</v>
      </c>
      <c r="AR37" s="49">
        <f>資料儲存!J7109</f>
        <v>0</v>
      </c>
      <c r="AT37" s="70">
        <v>28</v>
      </c>
      <c r="AU37" s="49">
        <f>資料儲存!D7349</f>
        <v>0</v>
      </c>
      <c r="AV37" s="49">
        <f>資料儲存!E7349</f>
        <v>0</v>
      </c>
      <c r="AW37" s="49">
        <f>資料儲存!F7349</f>
        <v>0</v>
      </c>
      <c r="AX37" s="49">
        <f>資料儲存!G7349</f>
        <v>0</v>
      </c>
      <c r="AY37" s="49">
        <f>資料儲存!H7349</f>
        <v>0</v>
      </c>
      <c r="AZ37" s="49">
        <f>資料儲存!I7349</f>
        <v>0</v>
      </c>
      <c r="BA37" s="49">
        <f>資料儲存!J7349</f>
        <v>0</v>
      </c>
    </row>
    <row r="38" spans="1:53" s="67" customFormat="1" ht="16" thickBot="1">
      <c r="A38" s="70">
        <v>29</v>
      </c>
      <c r="B38" s="49">
        <f>資料儲存!D6150</f>
        <v>0</v>
      </c>
      <c r="C38" s="49">
        <f>資料儲存!E6150</f>
        <v>0</v>
      </c>
      <c r="D38" s="49">
        <f>資料儲存!F6150</f>
        <v>0</v>
      </c>
      <c r="E38" s="49">
        <f>資料儲存!G6150</f>
        <v>0</v>
      </c>
      <c r="F38" s="49">
        <f>資料儲存!H6150</f>
        <v>0</v>
      </c>
      <c r="G38" s="49">
        <f>資料儲存!I6150</f>
        <v>0</v>
      </c>
      <c r="H38" s="49">
        <f>資料儲存!J6150</f>
        <v>0</v>
      </c>
      <c r="I38" s="52"/>
      <c r="J38" s="70">
        <v>29</v>
      </c>
      <c r="K38" s="49">
        <f>資料儲存!D6390</f>
        <v>0</v>
      </c>
      <c r="L38" s="49">
        <f>資料儲存!E6390</f>
        <v>0</v>
      </c>
      <c r="M38" s="49">
        <f>資料儲存!F6390</f>
        <v>0</v>
      </c>
      <c r="N38" s="49">
        <f>資料儲存!G6390</f>
        <v>0</v>
      </c>
      <c r="O38" s="49">
        <f>資料儲存!H6390</f>
        <v>0</v>
      </c>
      <c r="P38" s="49">
        <f>資料儲存!I6390</f>
        <v>0</v>
      </c>
      <c r="Q38" s="49">
        <f>資料儲存!J6390</f>
        <v>0</v>
      </c>
      <c r="R38" s="52"/>
      <c r="S38" s="70">
        <v>29</v>
      </c>
      <c r="T38" s="49">
        <f>資料儲存!D6630</f>
        <v>0</v>
      </c>
      <c r="U38" s="49">
        <f>資料儲存!E6630</f>
        <v>0</v>
      </c>
      <c r="V38" s="49">
        <f>資料儲存!F6630</f>
        <v>0</v>
      </c>
      <c r="W38" s="49">
        <f>資料儲存!G6630</f>
        <v>0</v>
      </c>
      <c r="X38" s="49">
        <f>資料儲存!H6630</f>
        <v>0</v>
      </c>
      <c r="Y38" s="49">
        <f>資料儲存!I6630</f>
        <v>0</v>
      </c>
      <c r="Z38" s="49">
        <f>資料儲存!J6630</f>
        <v>0</v>
      </c>
      <c r="AA38" s="52"/>
      <c r="AB38" s="70">
        <v>29</v>
      </c>
      <c r="AC38" s="49">
        <f>資料儲存!D6870</f>
        <v>0</v>
      </c>
      <c r="AD38" s="49">
        <f>資料儲存!E6870</f>
        <v>0</v>
      </c>
      <c r="AE38" s="49">
        <f>資料儲存!F6870</f>
        <v>0</v>
      </c>
      <c r="AF38" s="49">
        <f>資料儲存!G6870</f>
        <v>0</v>
      </c>
      <c r="AG38" s="49">
        <f>資料儲存!H6870</f>
        <v>0</v>
      </c>
      <c r="AH38" s="49">
        <f>資料儲存!I6870</f>
        <v>0</v>
      </c>
      <c r="AI38" s="49">
        <f>資料儲存!J6870</f>
        <v>0</v>
      </c>
      <c r="AJ38" s="52"/>
      <c r="AK38" s="70">
        <v>29</v>
      </c>
      <c r="AL38" s="49">
        <f>資料儲存!D7110</f>
        <v>0</v>
      </c>
      <c r="AM38" s="49">
        <f>資料儲存!E7110</f>
        <v>0</v>
      </c>
      <c r="AN38" s="49">
        <f>資料儲存!F7110</f>
        <v>0</v>
      </c>
      <c r="AO38" s="49">
        <f>資料儲存!G7110</f>
        <v>0</v>
      </c>
      <c r="AP38" s="49">
        <f>資料儲存!H7110</f>
        <v>0</v>
      </c>
      <c r="AQ38" s="49">
        <f>資料儲存!I7110</f>
        <v>0</v>
      </c>
      <c r="AR38" s="49">
        <f>資料儲存!J7110</f>
        <v>0</v>
      </c>
      <c r="AT38" s="70">
        <v>29</v>
      </c>
      <c r="AU38" s="49">
        <f>資料儲存!D7350</f>
        <v>0</v>
      </c>
      <c r="AV38" s="49">
        <f>資料儲存!E7350</f>
        <v>0</v>
      </c>
      <c r="AW38" s="49">
        <f>資料儲存!F7350</f>
        <v>0</v>
      </c>
      <c r="AX38" s="49">
        <f>資料儲存!G7350</f>
        <v>0</v>
      </c>
      <c r="AY38" s="49">
        <f>資料儲存!H7350</f>
        <v>0</v>
      </c>
      <c r="AZ38" s="49">
        <f>資料儲存!I7350</f>
        <v>0</v>
      </c>
      <c r="BA38" s="49">
        <f>資料儲存!J7350</f>
        <v>0</v>
      </c>
    </row>
    <row r="39" spans="1:53" s="67" customFormat="1" ht="16" thickBot="1">
      <c r="A39" s="70">
        <v>30</v>
      </c>
      <c r="B39" s="49">
        <f>資料儲存!D6151</f>
        <v>0</v>
      </c>
      <c r="C39" s="49">
        <f>資料儲存!E6151</f>
        <v>0</v>
      </c>
      <c r="D39" s="49">
        <f>資料儲存!F6151</f>
        <v>0</v>
      </c>
      <c r="E39" s="49">
        <f>資料儲存!G6151</f>
        <v>0</v>
      </c>
      <c r="F39" s="49">
        <f>資料儲存!H6151</f>
        <v>0</v>
      </c>
      <c r="G39" s="49">
        <f>資料儲存!I6151</f>
        <v>0</v>
      </c>
      <c r="H39" s="49">
        <f>資料儲存!J6151</f>
        <v>0</v>
      </c>
      <c r="I39" s="52"/>
      <c r="J39" s="70">
        <v>30</v>
      </c>
      <c r="K39" s="49">
        <f>資料儲存!D6391</f>
        <v>0</v>
      </c>
      <c r="L39" s="49">
        <f>資料儲存!E6391</f>
        <v>0</v>
      </c>
      <c r="M39" s="49">
        <f>資料儲存!F6391</f>
        <v>0</v>
      </c>
      <c r="N39" s="49">
        <f>資料儲存!G6391</f>
        <v>0</v>
      </c>
      <c r="O39" s="49">
        <f>資料儲存!H6391</f>
        <v>0</v>
      </c>
      <c r="P39" s="49">
        <f>資料儲存!I6391</f>
        <v>0</v>
      </c>
      <c r="Q39" s="49">
        <f>資料儲存!J6391</f>
        <v>0</v>
      </c>
      <c r="R39" s="52"/>
      <c r="S39" s="70">
        <v>30</v>
      </c>
      <c r="T39" s="49">
        <f>資料儲存!D6631</f>
        <v>0</v>
      </c>
      <c r="U39" s="49">
        <f>資料儲存!E6631</f>
        <v>0</v>
      </c>
      <c r="V39" s="49">
        <f>資料儲存!F6631</f>
        <v>0</v>
      </c>
      <c r="W39" s="49">
        <f>資料儲存!G6631</f>
        <v>0</v>
      </c>
      <c r="X39" s="49">
        <f>資料儲存!H6631</f>
        <v>0</v>
      </c>
      <c r="Y39" s="49">
        <f>資料儲存!I6631</f>
        <v>0</v>
      </c>
      <c r="Z39" s="49">
        <f>資料儲存!J6631</f>
        <v>0</v>
      </c>
      <c r="AA39" s="52"/>
      <c r="AB39" s="70">
        <v>30</v>
      </c>
      <c r="AC39" s="49">
        <f>資料儲存!D6871</f>
        <v>0</v>
      </c>
      <c r="AD39" s="49">
        <f>資料儲存!E6871</f>
        <v>0</v>
      </c>
      <c r="AE39" s="49">
        <f>資料儲存!F6871</f>
        <v>0</v>
      </c>
      <c r="AF39" s="49">
        <f>資料儲存!G6871</f>
        <v>0</v>
      </c>
      <c r="AG39" s="49">
        <f>資料儲存!H6871</f>
        <v>0</v>
      </c>
      <c r="AH39" s="49">
        <f>資料儲存!I6871</f>
        <v>0</v>
      </c>
      <c r="AI39" s="49">
        <f>資料儲存!J6871</f>
        <v>0</v>
      </c>
      <c r="AJ39" s="52"/>
      <c r="AK39" s="70">
        <v>30</v>
      </c>
      <c r="AL39" s="49">
        <f>資料儲存!D7111</f>
        <v>0</v>
      </c>
      <c r="AM39" s="49">
        <f>資料儲存!E7111</f>
        <v>0</v>
      </c>
      <c r="AN39" s="49">
        <f>資料儲存!F7111</f>
        <v>0</v>
      </c>
      <c r="AO39" s="49">
        <f>資料儲存!G7111</f>
        <v>0</v>
      </c>
      <c r="AP39" s="49">
        <f>資料儲存!H7111</f>
        <v>0</v>
      </c>
      <c r="AQ39" s="49">
        <f>資料儲存!I7111</f>
        <v>0</v>
      </c>
      <c r="AR39" s="49">
        <f>資料儲存!J7111</f>
        <v>0</v>
      </c>
      <c r="AT39" s="70">
        <v>30</v>
      </c>
      <c r="AU39" s="49">
        <f>資料儲存!D7351</f>
        <v>0</v>
      </c>
      <c r="AV39" s="49">
        <f>資料儲存!E7351</f>
        <v>0</v>
      </c>
      <c r="AW39" s="49">
        <f>資料儲存!F7351</f>
        <v>0</v>
      </c>
      <c r="AX39" s="49">
        <f>資料儲存!G7351</f>
        <v>0</v>
      </c>
      <c r="AY39" s="49">
        <f>資料儲存!H7351</f>
        <v>0</v>
      </c>
      <c r="AZ39" s="49">
        <f>資料儲存!I7351</f>
        <v>0</v>
      </c>
      <c r="BA39" s="49">
        <f>資料儲存!J7351</f>
        <v>0</v>
      </c>
    </row>
    <row r="40" spans="1:53" s="67" customFormat="1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0" t="s">
        <v>56</v>
      </c>
      <c r="AL40" s="49"/>
      <c r="AM40" s="47"/>
      <c r="AN40" s="47"/>
      <c r="AO40" s="47"/>
      <c r="AP40" s="49"/>
      <c r="AQ40" s="49"/>
      <c r="AR40" s="49"/>
      <c r="AT40" s="50" t="s">
        <v>56</v>
      </c>
      <c r="AU40" s="49">
        <f>SUM(AU25:AX39)</f>
        <v>0</v>
      </c>
      <c r="AV40" s="47"/>
      <c r="AW40" s="47"/>
      <c r="AX40" s="47"/>
      <c r="AY40" s="49">
        <f>AY39</f>
        <v>0</v>
      </c>
      <c r="AZ40" s="49">
        <f>AZ39</f>
        <v>0</v>
      </c>
      <c r="BA40" s="49">
        <f>BA39</f>
        <v>0</v>
      </c>
    </row>
    <row r="41" spans="1:53" ht="18.5" thickBot="1">
      <c r="A41" s="257" t="s">
        <v>119</v>
      </c>
      <c r="B41" s="258"/>
      <c r="C41" s="258"/>
      <c r="D41" s="258"/>
      <c r="E41" s="258"/>
      <c r="F41" s="258"/>
      <c r="G41" s="258"/>
      <c r="H41" s="259"/>
      <c r="I41" s="14"/>
      <c r="J41" s="257" t="s">
        <v>119</v>
      </c>
      <c r="K41" s="258"/>
      <c r="L41" s="258"/>
      <c r="M41" s="258"/>
      <c r="N41" s="258"/>
      <c r="O41" s="258"/>
      <c r="P41" s="258"/>
      <c r="Q41" s="259"/>
      <c r="R41" s="14"/>
      <c r="S41" s="257" t="s">
        <v>119</v>
      </c>
      <c r="T41" s="258"/>
      <c r="U41" s="258"/>
      <c r="V41" s="258"/>
      <c r="W41" s="258"/>
      <c r="X41" s="258"/>
      <c r="Y41" s="258"/>
      <c r="Z41" s="259"/>
      <c r="AA41" s="14"/>
      <c r="AB41" s="257" t="s">
        <v>119</v>
      </c>
      <c r="AC41" s="258"/>
      <c r="AD41" s="258"/>
      <c r="AE41" s="258"/>
      <c r="AF41" s="258"/>
      <c r="AG41" s="258"/>
      <c r="AH41" s="258"/>
      <c r="AI41" s="259"/>
      <c r="AJ41" s="14"/>
      <c r="AK41" s="257" t="s">
        <v>119</v>
      </c>
      <c r="AL41" s="258"/>
      <c r="AM41" s="258"/>
      <c r="AN41" s="258"/>
      <c r="AO41" s="258"/>
      <c r="AP41" s="258"/>
      <c r="AQ41" s="258"/>
      <c r="AR41" s="259"/>
      <c r="AT41" s="257" t="s">
        <v>119</v>
      </c>
      <c r="AU41" s="258"/>
      <c r="AV41" s="258"/>
      <c r="AW41" s="258"/>
      <c r="AX41" s="258"/>
      <c r="AY41" s="258"/>
      <c r="AZ41" s="258"/>
      <c r="BA41" s="259"/>
    </row>
    <row r="42" spans="1:53" s="59" customFormat="1" ht="17.25" customHeight="1" thickBot="1">
      <c r="A42" s="54" t="s">
        <v>2</v>
      </c>
      <c r="B42" s="55" t="s">
        <v>46</v>
      </c>
      <c r="C42" s="56"/>
      <c r="D42" s="56"/>
      <c r="E42" s="57"/>
      <c r="F42" s="55" t="s">
        <v>47</v>
      </c>
      <c r="G42" s="56"/>
      <c r="H42" s="57"/>
      <c r="I42" s="58"/>
      <c r="J42" s="54" t="s">
        <v>2</v>
      </c>
      <c r="K42" s="55" t="s">
        <v>46</v>
      </c>
      <c r="L42" s="56"/>
      <c r="M42" s="56"/>
      <c r="N42" s="57"/>
      <c r="O42" s="55" t="s">
        <v>47</v>
      </c>
      <c r="P42" s="56"/>
      <c r="Q42" s="57"/>
      <c r="R42" s="58"/>
      <c r="S42" s="54" t="s">
        <v>2</v>
      </c>
      <c r="T42" s="55" t="s">
        <v>46</v>
      </c>
      <c r="U42" s="56"/>
      <c r="V42" s="56"/>
      <c r="W42" s="57"/>
      <c r="X42" s="55" t="s">
        <v>47</v>
      </c>
      <c r="Y42" s="56"/>
      <c r="Z42" s="57"/>
      <c r="AA42" s="58"/>
      <c r="AB42" s="54" t="s">
        <v>2</v>
      </c>
      <c r="AC42" s="55" t="s">
        <v>46</v>
      </c>
      <c r="AD42" s="56"/>
      <c r="AE42" s="56"/>
      <c r="AF42" s="57"/>
      <c r="AG42" s="55" t="s">
        <v>47</v>
      </c>
      <c r="AH42" s="56"/>
      <c r="AI42" s="57"/>
      <c r="AJ42" s="58"/>
      <c r="AK42" s="54" t="s">
        <v>2</v>
      </c>
      <c r="AL42" s="55" t="s">
        <v>46</v>
      </c>
      <c r="AM42" s="56"/>
      <c r="AN42" s="56"/>
      <c r="AO42" s="57"/>
      <c r="AP42" s="55" t="s">
        <v>47</v>
      </c>
      <c r="AQ42" s="56"/>
      <c r="AR42" s="57"/>
      <c r="AT42" s="54" t="s">
        <v>2</v>
      </c>
      <c r="AU42" s="55" t="s">
        <v>46</v>
      </c>
      <c r="AV42" s="56"/>
      <c r="AW42" s="56"/>
      <c r="AX42" s="57"/>
      <c r="AY42" s="55" t="s">
        <v>47</v>
      </c>
      <c r="AZ42" s="56"/>
      <c r="BA42" s="57"/>
    </row>
    <row r="43" spans="1:53" s="59" customFormat="1" ht="16" thickBot="1">
      <c r="A43" s="60">
        <v>0.6875</v>
      </c>
      <c r="B43" s="61" t="s">
        <v>49</v>
      </c>
      <c r="C43" s="61" t="s">
        <v>50</v>
      </c>
      <c r="D43" s="61" t="s">
        <v>51</v>
      </c>
      <c r="E43" s="61" t="s">
        <v>52</v>
      </c>
      <c r="F43" s="61" t="s">
        <v>53</v>
      </c>
      <c r="G43" s="61" t="s">
        <v>54</v>
      </c>
      <c r="H43" s="61" t="s">
        <v>55</v>
      </c>
      <c r="I43" s="58"/>
      <c r="J43" s="60">
        <v>0.6875</v>
      </c>
      <c r="K43" s="61" t="s">
        <v>49</v>
      </c>
      <c r="L43" s="61" t="s">
        <v>50</v>
      </c>
      <c r="M43" s="61" t="s">
        <v>51</v>
      </c>
      <c r="N43" s="61" t="s">
        <v>52</v>
      </c>
      <c r="O43" s="61" t="s">
        <v>53</v>
      </c>
      <c r="P43" s="61" t="s">
        <v>54</v>
      </c>
      <c r="Q43" s="61" t="s">
        <v>55</v>
      </c>
      <c r="R43" s="58"/>
      <c r="S43" s="60">
        <v>0.6875</v>
      </c>
      <c r="T43" s="61" t="s">
        <v>49</v>
      </c>
      <c r="U43" s="61" t="s">
        <v>50</v>
      </c>
      <c r="V43" s="61" t="s">
        <v>51</v>
      </c>
      <c r="W43" s="61" t="s">
        <v>52</v>
      </c>
      <c r="X43" s="61" t="s">
        <v>53</v>
      </c>
      <c r="Y43" s="61" t="s">
        <v>54</v>
      </c>
      <c r="Z43" s="61" t="s">
        <v>55</v>
      </c>
      <c r="AA43" s="58"/>
      <c r="AB43" s="60">
        <v>0.6875</v>
      </c>
      <c r="AC43" s="61" t="s">
        <v>49</v>
      </c>
      <c r="AD43" s="61" t="s">
        <v>50</v>
      </c>
      <c r="AE43" s="61" t="s">
        <v>51</v>
      </c>
      <c r="AF43" s="61" t="s">
        <v>52</v>
      </c>
      <c r="AG43" s="61" t="s">
        <v>53</v>
      </c>
      <c r="AH43" s="61" t="s">
        <v>54</v>
      </c>
      <c r="AI43" s="61" t="s">
        <v>55</v>
      </c>
      <c r="AJ43" s="58"/>
      <c r="AK43" s="60">
        <v>0.6875</v>
      </c>
      <c r="AL43" s="61" t="s">
        <v>49</v>
      </c>
      <c r="AM43" s="61" t="s">
        <v>50</v>
      </c>
      <c r="AN43" s="61" t="s">
        <v>51</v>
      </c>
      <c r="AO43" s="61" t="s">
        <v>52</v>
      </c>
      <c r="AP43" s="61" t="s">
        <v>53</v>
      </c>
      <c r="AQ43" s="61" t="s">
        <v>54</v>
      </c>
      <c r="AR43" s="61" t="s">
        <v>55</v>
      </c>
      <c r="AT43" s="60">
        <v>0.6875</v>
      </c>
      <c r="AU43" s="61" t="s">
        <v>49</v>
      </c>
      <c r="AV43" s="61" t="s">
        <v>50</v>
      </c>
      <c r="AW43" s="61" t="s">
        <v>51</v>
      </c>
      <c r="AX43" s="61" t="s">
        <v>52</v>
      </c>
      <c r="AY43" s="61" t="s">
        <v>53</v>
      </c>
      <c r="AZ43" s="61" t="s">
        <v>54</v>
      </c>
      <c r="BA43" s="61" t="s">
        <v>55</v>
      </c>
    </row>
    <row r="44" spans="1:53" s="59" customFormat="1" ht="16" thickBot="1">
      <c r="A44" s="62">
        <v>31</v>
      </c>
      <c r="B44" s="39">
        <f>資料儲存!D6152</f>
        <v>0</v>
      </c>
      <c r="C44" s="39">
        <f>資料儲存!E6152</f>
        <v>0</v>
      </c>
      <c r="D44" s="39">
        <f>資料儲存!F6152</f>
        <v>0</v>
      </c>
      <c r="E44" s="39">
        <f>資料儲存!G6152</f>
        <v>0</v>
      </c>
      <c r="F44" s="39">
        <f>資料儲存!H6152</f>
        <v>0</v>
      </c>
      <c r="G44" s="39">
        <f>資料儲存!I6152</f>
        <v>0</v>
      </c>
      <c r="H44" s="39">
        <f>資料儲存!J6152</f>
        <v>0</v>
      </c>
      <c r="I44" s="58"/>
      <c r="J44" s="62">
        <v>31</v>
      </c>
      <c r="K44" s="39">
        <f>資料儲存!D6392</f>
        <v>0</v>
      </c>
      <c r="L44" s="39">
        <f>資料儲存!E6392</f>
        <v>0</v>
      </c>
      <c r="M44" s="39">
        <f>資料儲存!F6392</f>
        <v>0</v>
      </c>
      <c r="N44" s="39">
        <f>資料儲存!G6392</f>
        <v>0</v>
      </c>
      <c r="O44" s="39">
        <f>資料儲存!H6392</f>
        <v>0</v>
      </c>
      <c r="P44" s="39">
        <f>資料儲存!I6392</f>
        <v>0</v>
      </c>
      <c r="Q44" s="39">
        <f>資料儲存!J6392</f>
        <v>0</v>
      </c>
      <c r="R44" s="58"/>
      <c r="S44" s="62">
        <v>31</v>
      </c>
      <c r="T44" s="39">
        <f>資料儲存!D6632</f>
        <v>0</v>
      </c>
      <c r="U44" s="39">
        <f>資料儲存!E6632</f>
        <v>0</v>
      </c>
      <c r="V44" s="39">
        <f>資料儲存!F6632</f>
        <v>0</v>
      </c>
      <c r="W44" s="39">
        <f>資料儲存!G6632</f>
        <v>0</v>
      </c>
      <c r="X44" s="39">
        <f>資料儲存!H6632</f>
        <v>0</v>
      </c>
      <c r="Y44" s="39">
        <f>資料儲存!I6632</f>
        <v>0</v>
      </c>
      <c r="Z44" s="39">
        <f>資料儲存!J6632</f>
        <v>0</v>
      </c>
      <c r="AA44" s="58"/>
      <c r="AB44" s="62">
        <v>31</v>
      </c>
      <c r="AC44" s="39">
        <f>資料儲存!D6872</f>
        <v>0</v>
      </c>
      <c r="AD44" s="39">
        <f>資料儲存!E6872</f>
        <v>0</v>
      </c>
      <c r="AE44" s="39">
        <f>資料儲存!F6872</f>
        <v>0</v>
      </c>
      <c r="AF44" s="39">
        <f>資料儲存!G6872</f>
        <v>0</v>
      </c>
      <c r="AG44" s="39">
        <f>資料儲存!H6872</f>
        <v>0</v>
      </c>
      <c r="AH44" s="39">
        <f>資料儲存!I6872</f>
        <v>0</v>
      </c>
      <c r="AI44" s="39">
        <f>資料儲存!J6872</f>
        <v>0</v>
      </c>
      <c r="AJ44" s="58"/>
      <c r="AK44" s="62">
        <v>31</v>
      </c>
      <c r="AL44" s="39">
        <f>資料儲存!D7112</f>
        <v>0</v>
      </c>
      <c r="AM44" s="39">
        <f>資料儲存!E7112</f>
        <v>0</v>
      </c>
      <c r="AN44" s="39">
        <f>資料儲存!F7112</f>
        <v>0</v>
      </c>
      <c r="AO44" s="39">
        <f>資料儲存!G7112</f>
        <v>0</v>
      </c>
      <c r="AP44" s="39">
        <f>資料儲存!H7112</f>
        <v>0</v>
      </c>
      <c r="AQ44" s="39">
        <f>資料儲存!I7112</f>
        <v>0</v>
      </c>
      <c r="AR44" s="39">
        <f>資料儲存!J7112</f>
        <v>0</v>
      </c>
      <c r="AT44" s="62">
        <v>31</v>
      </c>
      <c r="AU44" s="39">
        <f>資料儲存!D7352</f>
        <v>0</v>
      </c>
      <c r="AV44" s="39">
        <f>資料儲存!E7352</f>
        <v>0</v>
      </c>
      <c r="AW44" s="39">
        <f>資料儲存!F7352</f>
        <v>0</v>
      </c>
      <c r="AX44" s="39">
        <f>資料儲存!G7352</f>
        <v>0</v>
      </c>
      <c r="AY44" s="39">
        <f>資料儲存!H7352</f>
        <v>0</v>
      </c>
      <c r="AZ44" s="39">
        <f>資料儲存!I7352</f>
        <v>0</v>
      </c>
      <c r="BA44" s="39">
        <f>資料儲存!J7352</f>
        <v>0</v>
      </c>
    </row>
    <row r="45" spans="1:53" s="59" customFormat="1" ht="16" thickBot="1">
      <c r="A45" s="62">
        <v>32</v>
      </c>
      <c r="B45" s="39">
        <f>資料儲存!D6153</f>
        <v>0</v>
      </c>
      <c r="C45" s="39">
        <f>資料儲存!E6153</f>
        <v>0</v>
      </c>
      <c r="D45" s="39">
        <f>資料儲存!F6153</f>
        <v>0</v>
      </c>
      <c r="E45" s="39">
        <f>資料儲存!G6153</f>
        <v>0</v>
      </c>
      <c r="F45" s="39">
        <f>資料儲存!H6153</f>
        <v>0</v>
      </c>
      <c r="G45" s="39">
        <f>資料儲存!I6153</f>
        <v>0</v>
      </c>
      <c r="H45" s="39">
        <f>資料儲存!J6153</f>
        <v>0</v>
      </c>
      <c r="I45" s="58"/>
      <c r="J45" s="62">
        <v>32</v>
      </c>
      <c r="K45" s="39">
        <f>資料儲存!D6393</f>
        <v>0</v>
      </c>
      <c r="L45" s="39">
        <f>資料儲存!E6393</f>
        <v>0</v>
      </c>
      <c r="M45" s="39">
        <f>資料儲存!F6393</f>
        <v>0</v>
      </c>
      <c r="N45" s="39">
        <f>資料儲存!G6393</f>
        <v>0</v>
      </c>
      <c r="O45" s="39">
        <f>資料儲存!H6393</f>
        <v>0</v>
      </c>
      <c r="P45" s="39">
        <f>資料儲存!I6393</f>
        <v>0</v>
      </c>
      <c r="Q45" s="39">
        <f>資料儲存!J6393</f>
        <v>0</v>
      </c>
      <c r="R45" s="58"/>
      <c r="S45" s="62">
        <v>32</v>
      </c>
      <c r="T45" s="39">
        <f>資料儲存!D6633</f>
        <v>0</v>
      </c>
      <c r="U45" s="39">
        <f>資料儲存!E6633</f>
        <v>0</v>
      </c>
      <c r="V45" s="39">
        <f>資料儲存!F6633</f>
        <v>0</v>
      </c>
      <c r="W45" s="39">
        <f>資料儲存!G6633</f>
        <v>0</v>
      </c>
      <c r="X45" s="39">
        <f>資料儲存!H6633</f>
        <v>0</v>
      </c>
      <c r="Y45" s="39">
        <f>資料儲存!I6633</f>
        <v>0</v>
      </c>
      <c r="Z45" s="39">
        <f>資料儲存!J6633</f>
        <v>0</v>
      </c>
      <c r="AA45" s="58"/>
      <c r="AB45" s="62">
        <v>32</v>
      </c>
      <c r="AC45" s="39">
        <f>資料儲存!D6873</f>
        <v>0</v>
      </c>
      <c r="AD45" s="39">
        <f>資料儲存!E6873</f>
        <v>0</v>
      </c>
      <c r="AE45" s="39">
        <f>資料儲存!F6873</f>
        <v>0</v>
      </c>
      <c r="AF45" s="39">
        <f>資料儲存!G6873</f>
        <v>0</v>
      </c>
      <c r="AG45" s="39">
        <f>資料儲存!H6873</f>
        <v>0</v>
      </c>
      <c r="AH45" s="39">
        <f>資料儲存!I6873</f>
        <v>0</v>
      </c>
      <c r="AI45" s="39">
        <f>資料儲存!J6873</f>
        <v>0</v>
      </c>
      <c r="AJ45" s="58"/>
      <c r="AK45" s="62">
        <v>32</v>
      </c>
      <c r="AL45" s="39">
        <f>資料儲存!D7113</f>
        <v>0</v>
      </c>
      <c r="AM45" s="39">
        <f>資料儲存!E7113</f>
        <v>0</v>
      </c>
      <c r="AN45" s="39">
        <f>資料儲存!F7113</f>
        <v>0</v>
      </c>
      <c r="AO45" s="39">
        <f>資料儲存!G7113</f>
        <v>0</v>
      </c>
      <c r="AP45" s="39">
        <f>資料儲存!H7113</f>
        <v>0</v>
      </c>
      <c r="AQ45" s="39">
        <f>資料儲存!I7113</f>
        <v>0</v>
      </c>
      <c r="AR45" s="39">
        <f>資料儲存!J7113</f>
        <v>0</v>
      </c>
      <c r="AT45" s="62">
        <v>32</v>
      </c>
      <c r="AU45" s="39">
        <f>資料儲存!D7353</f>
        <v>0</v>
      </c>
      <c r="AV45" s="39">
        <f>資料儲存!E7353</f>
        <v>0</v>
      </c>
      <c r="AW45" s="39">
        <f>資料儲存!F7353</f>
        <v>0</v>
      </c>
      <c r="AX45" s="39">
        <f>資料儲存!G7353</f>
        <v>0</v>
      </c>
      <c r="AY45" s="39">
        <f>資料儲存!H7353</f>
        <v>0</v>
      </c>
      <c r="AZ45" s="39">
        <f>資料儲存!I7353</f>
        <v>0</v>
      </c>
      <c r="BA45" s="39">
        <f>資料儲存!J7353</f>
        <v>0</v>
      </c>
    </row>
    <row r="46" spans="1:53" s="59" customFormat="1" ht="16" thickBot="1">
      <c r="A46" s="62">
        <v>33</v>
      </c>
      <c r="B46" s="39">
        <f>資料儲存!D6154</f>
        <v>0</v>
      </c>
      <c r="C46" s="39">
        <f>資料儲存!E6154</f>
        <v>0</v>
      </c>
      <c r="D46" s="39">
        <f>資料儲存!F6154</f>
        <v>0</v>
      </c>
      <c r="E46" s="39">
        <f>資料儲存!G6154</f>
        <v>0</v>
      </c>
      <c r="F46" s="39">
        <f>資料儲存!H6154</f>
        <v>0</v>
      </c>
      <c r="G46" s="39">
        <f>資料儲存!I6154</f>
        <v>0</v>
      </c>
      <c r="H46" s="39">
        <f>資料儲存!J6154</f>
        <v>0</v>
      </c>
      <c r="I46" s="58"/>
      <c r="J46" s="62">
        <v>33</v>
      </c>
      <c r="K46" s="39">
        <f>資料儲存!D6394</f>
        <v>0</v>
      </c>
      <c r="L46" s="39">
        <f>資料儲存!E6394</f>
        <v>0</v>
      </c>
      <c r="M46" s="39">
        <f>資料儲存!F6394</f>
        <v>0</v>
      </c>
      <c r="N46" s="39">
        <f>資料儲存!G6394</f>
        <v>0</v>
      </c>
      <c r="O46" s="39">
        <f>資料儲存!H6394</f>
        <v>0</v>
      </c>
      <c r="P46" s="39">
        <f>資料儲存!I6394</f>
        <v>0</v>
      </c>
      <c r="Q46" s="39">
        <f>資料儲存!J6394</f>
        <v>0</v>
      </c>
      <c r="R46" s="58"/>
      <c r="S46" s="62">
        <v>33</v>
      </c>
      <c r="T46" s="39">
        <f>資料儲存!D6634</f>
        <v>0</v>
      </c>
      <c r="U46" s="39">
        <f>資料儲存!E6634</f>
        <v>0</v>
      </c>
      <c r="V46" s="39">
        <f>資料儲存!F6634</f>
        <v>0</v>
      </c>
      <c r="W46" s="39">
        <f>資料儲存!G6634</f>
        <v>0</v>
      </c>
      <c r="X46" s="39">
        <f>資料儲存!H6634</f>
        <v>0</v>
      </c>
      <c r="Y46" s="39">
        <f>資料儲存!I6634</f>
        <v>0</v>
      </c>
      <c r="Z46" s="39">
        <f>資料儲存!J6634</f>
        <v>0</v>
      </c>
      <c r="AA46" s="58"/>
      <c r="AB46" s="62">
        <v>33</v>
      </c>
      <c r="AC46" s="39">
        <f>資料儲存!D6874</f>
        <v>0</v>
      </c>
      <c r="AD46" s="39">
        <f>資料儲存!E6874</f>
        <v>0</v>
      </c>
      <c r="AE46" s="39">
        <f>資料儲存!F6874</f>
        <v>0</v>
      </c>
      <c r="AF46" s="39">
        <f>資料儲存!G6874</f>
        <v>0</v>
      </c>
      <c r="AG46" s="39">
        <f>資料儲存!H6874</f>
        <v>0</v>
      </c>
      <c r="AH46" s="39">
        <f>資料儲存!I6874</f>
        <v>0</v>
      </c>
      <c r="AI46" s="39">
        <f>資料儲存!J6874</f>
        <v>0</v>
      </c>
      <c r="AJ46" s="58"/>
      <c r="AK46" s="62">
        <v>33</v>
      </c>
      <c r="AL46" s="39">
        <f>資料儲存!D7114</f>
        <v>0</v>
      </c>
      <c r="AM46" s="39">
        <f>資料儲存!E7114</f>
        <v>0</v>
      </c>
      <c r="AN46" s="39">
        <f>資料儲存!F7114</f>
        <v>0</v>
      </c>
      <c r="AO46" s="39">
        <f>資料儲存!G7114</f>
        <v>0</v>
      </c>
      <c r="AP46" s="39">
        <f>資料儲存!H7114</f>
        <v>0</v>
      </c>
      <c r="AQ46" s="39">
        <f>資料儲存!I7114</f>
        <v>0</v>
      </c>
      <c r="AR46" s="39">
        <f>資料儲存!J7114</f>
        <v>0</v>
      </c>
      <c r="AT46" s="62">
        <v>33</v>
      </c>
      <c r="AU46" s="39">
        <f>資料儲存!D7354</f>
        <v>0</v>
      </c>
      <c r="AV46" s="39">
        <f>資料儲存!E7354</f>
        <v>0</v>
      </c>
      <c r="AW46" s="39">
        <f>資料儲存!F7354</f>
        <v>0</v>
      </c>
      <c r="AX46" s="39">
        <f>資料儲存!G7354</f>
        <v>0</v>
      </c>
      <c r="AY46" s="39">
        <f>資料儲存!H7354</f>
        <v>0</v>
      </c>
      <c r="AZ46" s="39">
        <f>資料儲存!I7354</f>
        <v>0</v>
      </c>
      <c r="BA46" s="39">
        <f>資料儲存!J7354</f>
        <v>0</v>
      </c>
    </row>
    <row r="47" spans="1:53" s="59" customFormat="1" ht="16" thickBot="1">
      <c r="A47" s="62">
        <v>34</v>
      </c>
      <c r="B47" s="39">
        <f>資料儲存!D6155</f>
        <v>0</v>
      </c>
      <c r="C47" s="39">
        <f>資料儲存!E6155</f>
        <v>0</v>
      </c>
      <c r="D47" s="39">
        <f>資料儲存!F6155</f>
        <v>0</v>
      </c>
      <c r="E47" s="39">
        <f>資料儲存!G6155</f>
        <v>0</v>
      </c>
      <c r="F47" s="39">
        <f>資料儲存!H6155</f>
        <v>0</v>
      </c>
      <c r="G47" s="39">
        <f>資料儲存!I6155</f>
        <v>0</v>
      </c>
      <c r="H47" s="39">
        <f>資料儲存!J6155</f>
        <v>0</v>
      </c>
      <c r="I47" s="58"/>
      <c r="J47" s="62">
        <v>34</v>
      </c>
      <c r="K47" s="39">
        <f>資料儲存!D6395</f>
        <v>0</v>
      </c>
      <c r="L47" s="39">
        <f>資料儲存!E6395</f>
        <v>0</v>
      </c>
      <c r="M47" s="39">
        <f>資料儲存!F6395</f>
        <v>0</v>
      </c>
      <c r="N47" s="39">
        <f>資料儲存!G6395</f>
        <v>0</v>
      </c>
      <c r="O47" s="39">
        <f>資料儲存!H6395</f>
        <v>0</v>
      </c>
      <c r="P47" s="39">
        <f>資料儲存!I6395</f>
        <v>0</v>
      </c>
      <c r="Q47" s="39">
        <f>資料儲存!J6395</f>
        <v>0</v>
      </c>
      <c r="R47" s="58"/>
      <c r="S47" s="62">
        <v>34</v>
      </c>
      <c r="T47" s="39">
        <f>資料儲存!D6635</f>
        <v>0</v>
      </c>
      <c r="U47" s="39">
        <f>資料儲存!E6635</f>
        <v>0</v>
      </c>
      <c r="V47" s="39">
        <f>資料儲存!F6635</f>
        <v>0</v>
      </c>
      <c r="W47" s="39">
        <f>資料儲存!G6635</f>
        <v>0</v>
      </c>
      <c r="X47" s="39">
        <f>資料儲存!H6635</f>
        <v>0</v>
      </c>
      <c r="Y47" s="39">
        <f>資料儲存!I6635</f>
        <v>0</v>
      </c>
      <c r="Z47" s="39">
        <f>資料儲存!J6635</f>
        <v>0</v>
      </c>
      <c r="AA47" s="58"/>
      <c r="AB47" s="62">
        <v>34</v>
      </c>
      <c r="AC47" s="39">
        <f>資料儲存!D6875</f>
        <v>0</v>
      </c>
      <c r="AD47" s="39">
        <f>資料儲存!E6875</f>
        <v>0</v>
      </c>
      <c r="AE47" s="39">
        <f>資料儲存!F6875</f>
        <v>0</v>
      </c>
      <c r="AF47" s="39">
        <f>資料儲存!G6875</f>
        <v>0</v>
      </c>
      <c r="AG47" s="39">
        <f>資料儲存!H6875</f>
        <v>0</v>
      </c>
      <c r="AH47" s="39">
        <f>資料儲存!I6875</f>
        <v>0</v>
      </c>
      <c r="AI47" s="39">
        <f>資料儲存!J6875</f>
        <v>0</v>
      </c>
      <c r="AJ47" s="58"/>
      <c r="AK47" s="62">
        <v>34</v>
      </c>
      <c r="AL47" s="39">
        <f>資料儲存!D7115</f>
        <v>0</v>
      </c>
      <c r="AM47" s="39">
        <f>資料儲存!E7115</f>
        <v>0</v>
      </c>
      <c r="AN47" s="39">
        <f>資料儲存!F7115</f>
        <v>0</v>
      </c>
      <c r="AO47" s="39">
        <f>資料儲存!G7115</f>
        <v>0</v>
      </c>
      <c r="AP47" s="39">
        <f>資料儲存!H7115</f>
        <v>0</v>
      </c>
      <c r="AQ47" s="39">
        <f>資料儲存!I7115</f>
        <v>0</v>
      </c>
      <c r="AR47" s="39">
        <f>資料儲存!J7115</f>
        <v>0</v>
      </c>
      <c r="AT47" s="62">
        <v>34</v>
      </c>
      <c r="AU47" s="39">
        <f>資料儲存!D7355</f>
        <v>0</v>
      </c>
      <c r="AV47" s="39">
        <f>資料儲存!E7355</f>
        <v>0</v>
      </c>
      <c r="AW47" s="39">
        <f>資料儲存!F7355</f>
        <v>0</v>
      </c>
      <c r="AX47" s="39">
        <f>資料儲存!G7355</f>
        <v>0</v>
      </c>
      <c r="AY47" s="39">
        <f>資料儲存!H7355</f>
        <v>0</v>
      </c>
      <c r="AZ47" s="39">
        <f>資料儲存!I7355</f>
        <v>0</v>
      </c>
      <c r="BA47" s="39">
        <f>資料儲存!J7355</f>
        <v>0</v>
      </c>
    </row>
    <row r="48" spans="1:53" s="59" customFormat="1" ht="16" thickBot="1">
      <c r="A48" s="62">
        <v>35</v>
      </c>
      <c r="B48" s="39">
        <f>資料儲存!D6156</f>
        <v>0</v>
      </c>
      <c r="C48" s="39">
        <f>資料儲存!E6156</f>
        <v>0</v>
      </c>
      <c r="D48" s="39">
        <f>資料儲存!F6156</f>
        <v>0</v>
      </c>
      <c r="E48" s="39">
        <f>資料儲存!G6156</f>
        <v>0</v>
      </c>
      <c r="F48" s="39">
        <f>資料儲存!H6156</f>
        <v>0</v>
      </c>
      <c r="G48" s="39">
        <f>資料儲存!I6156</f>
        <v>0</v>
      </c>
      <c r="H48" s="39">
        <f>資料儲存!J6156</f>
        <v>0</v>
      </c>
      <c r="I48" s="58"/>
      <c r="J48" s="62">
        <v>35</v>
      </c>
      <c r="K48" s="39">
        <f>資料儲存!D6396</f>
        <v>0</v>
      </c>
      <c r="L48" s="39">
        <f>資料儲存!E6396</f>
        <v>0</v>
      </c>
      <c r="M48" s="39">
        <f>資料儲存!F6396</f>
        <v>0</v>
      </c>
      <c r="N48" s="39">
        <f>資料儲存!G6396</f>
        <v>0</v>
      </c>
      <c r="O48" s="39">
        <f>資料儲存!H6396</f>
        <v>0</v>
      </c>
      <c r="P48" s="39">
        <f>資料儲存!I6396</f>
        <v>0</v>
      </c>
      <c r="Q48" s="39">
        <f>資料儲存!J6396</f>
        <v>0</v>
      </c>
      <c r="R48" s="58"/>
      <c r="S48" s="62">
        <v>35</v>
      </c>
      <c r="T48" s="39">
        <f>資料儲存!D6636</f>
        <v>0</v>
      </c>
      <c r="U48" s="39">
        <f>資料儲存!E6636</f>
        <v>0</v>
      </c>
      <c r="V48" s="39">
        <f>資料儲存!F6636</f>
        <v>0</v>
      </c>
      <c r="W48" s="39">
        <f>資料儲存!G6636</f>
        <v>0</v>
      </c>
      <c r="X48" s="39">
        <f>資料儲存!H6636</f>
        <v>0</v>
      </c>
      <c r="Y48" s="39">
        <f>資料儲存!I6636</f>
        <v>0</v>
      </c>
      <c r="Z48" s="39">
        <f>資料儲存!J6636</f>
        <v>0</v>
      </c>
      <c r="AA48" s="58"/>
      <c r="AB48" s="62">
        <v>35</v>
      </c>
      <c r="AC48" s="39">
        <f>資料儲存!D6876</f>
        <v>0</v>
      </c>
      <c r="AD48" s="39">
        <f>資料儲存!E6876</f>
        <v>0</v>
      </c>
      <c r="AE48" s="39">
        <f>資料儲存!F6876</f>
        <v>0</v>
      </c>
      <c r="AF48" s="39">
        <f>資料儲存!G6876</f>
        <v>0</v>
      </c>
      <c r="AG48" s="39">
        <f>資料儲存!H6876</f>
        <v>0</v>
      </c>
      <c r="AH48" s="39">
        <f>資料儲存!I6876</f>
        <v>0</v>
      </c>
      <c r="AI48" s="39">
        <f>資料儲存!J6876</f>
        <v>0</v>
      </c>
      <c r="AJ48" s="58"/>
      <c r="AK48" s="62">
        <v>35</v>
      </c>
      <c r="AL48" s="39">
        <f>資料儲存!D7116</f>
        <v>0</v>
      </c>
      <c r="AM48" s="39">
        <f>資料儲存!E7116</f>
        <v>0</v>
      </c>
      <c r="AN48" s="39">
        <f>資料儲存!F7116</f>
        <v>0</v>
      </c>
      <c r="AO48" s="39">
        <f>資料儲存!G7116</f>
        <v>0</v>
      </c>
      <c r="AP48" s="39">
        <f>資料儲存!H7116</f>
        <v>0</v>
      </c>
      <c r="AQ48" s="39">
        <f>資料儲存!I7116</f>
        <v>0</v>
      </c>
      <c r="AR48" s="39">
        <f>資料儲存!J7116</f>
        <v>0</v>
      </c>
      <c r="AT48" s="62">
        <v>35</v>
      </c>
      <c r="AU48" s="39">
        <f>資料儲存!D7356</f>
        <v>0</v>
      </c>
      <c r="AV48" s="39">
        <f>資料儲存!E7356</f>
        <v>0</v>
      </c>
      <c r="AW48" s="39">
        <f>資料儲存!F7356</f>
        <v>0</v>
      </c>
      <c r="AX48" s="39">
        <f>資料儲存!G7356</f>
        <v>0</v>
      </c>
      <c r="AY48" s="39">
        <f>資料儲存!H7356</f>
        <v>0</v>
      </c>
      <c r="AZ48" s="39">
        <f>資料儲存!I7356</f>
        <v>0</v>
      </c>
      <c r="BA48" s="39">
        <f>資料儲存!J7356</f>
        <v>0</v>
      </c>
    </row>
    <row r="49" spans="1:53" s="59" customFormat="1" ht="16" thickBot="1">
      <c r="A49" s="62">
        <v>36</v>
      </c>
      <c r="B49" s="39">
        <f>資料儲存!D6157</f>
        <v>0</v>
      </c>
      <c r="C49" s="39">
        <f>資料儲存!E6157</f>
        <v>0</v>
      </c>
      <c r="D49" s="39">
        <f>資料儲存!F6157</f>
        <v>0</v>
      </c>
      <c r="E49" s="39">
        <f>資料儲存!G6157</f>
        <v>0</v>
      </c>
      <c r="F49" s="39">
        <f>資料儲存!H6157</f>
        <v>0</v>
      </c>
      <c r="G49" s="39">
        <f>資料儲存!I6157</f>
        <v>0</v>
      </c>
      <c r="H49" s="39">
        <f>資料儲存!J6157</f>
        <v>0</v>
      </c>
      <c r="I49" s="58"/>
      <c r="J49" s="62">
        <v>36</v>
      </c>
      <c r="K49" s="39">
        <f>資料儲存!D6397</f>
        <v>0</v>
      </c>
      <c r="L49" s="39">
        <f>資料儲存!E6397</f>
        <v>0</v>
      </c>
      <c r="M49" s="39">
        <f>資料儲存!F6397</f>
        <v>0</v>
      </c>
      <c r="N49" s="39">
        <f>資料儲存!G6397</f>
        <v>0</v>
      </c>
      <c r="O49" s="39">
        <f>資料儲存!H6397</f>
        <v>0</v>
      </c>
      <c r="P49" s="39">
        <f>資料儲存!I6397</f>
        <v>0</v>
      </c>
      <c r="Q49" s="39">
        <f>資料儲存!J6397</f>
        <v>0</v>
      </c>
      <c r="R49" s="58"/>
      <c r="S49" s="62">
        <v>36</v>
      </c>
      <c r="T49" s="39">
        <f>資料儲存!D6637</f>
        <v>0</v>
      </c>
      <c r="U49" s="39">
        <f>資料儲存!E6637</f>
        <v>0</v>
      </c>
      <c r="V49" s="39">
        <f>資料儲存!F6637</f>
        <v>0</v>
      </c>
      <c r="W49" s="39">
        <f>資料儲存!G6637</f>
        <v>0</v>
      </c>
      <c r="X49" s="39">
        <f>資料儲存!H6637</f>
        <v>0</v>
      </c>
      <c r="Y49" s="39">
        <f>資料儲存!I6637</f>
        <v>0</v>
      </c>
      <c r="Z49" s="39">
        <f>資料儲存!J6637</f>
        <v>0</v>
      </c>
      <c r="AA49" s="58"/>
      <c r="AB49" s="62">
        <v>36</v>
      </c>
      <c r="AC49" s="39">
        <f>資料儲存!D6877</f>
        <v>0</v>
      </c>
      <c r="AD49" s="39">
        <f>資料儲存!E6877</f>
        <v>0</v>
      </c>
      <c r="AE49" s="39">
        <f>資料儲存!F6877</f>
        <v>0</v>
      </c>
      <c r="AF49" s="39">
        <f>資料儲存!G6877</f>
        <v>0</v>
      </c>
      <c r="AG49" s="39">
        <f>資料儲存!H6877</f>
        <v>0</v>
      </c>
      <c r="AH49" s="39">
        <f>資料儲存!I6877</f>
        <v>0</v>
      </c>
      <c r="AI49" s="39">
        <f>資料儲存!J6877</f>
        <v>0</v>
      </c>
      <c r="AJ49" s="58"/>
      <c r="AK49" s="62">
        <v>36</v>
      </c>
      <c r="AL49" s="39">
        <f>資料儲存!D7117</f>
        <v>0</v>
      </c>
      <c r="AM49" s="39">
        <f>資料儲存!E7117</f>
        <v>0</v>
      </c>
      <c r="AN49" s="39">
        <f>資料儲存!F7117</f>
        <v>0</v>
      </c>
      <c r="AO49" s="39">
        <f>資料儲存!G7117</f>
        <v>0</v>
      </c>
      <c r="AP49" s="39">
        <f>資料儲存!H7117</f>
        <v>0</v>
      </c>
      <c r="AQ49" s="39">
        <f>資料儲存!I7117</f>
        <v>0</v>
      </c>
      <c r="AR49" s="39">
        <f>資料儲存!J7117</f>
        <v>0</v>
      </c>
      <c r="AT49" s="62">
        <v>36</v>
      </c>
      <c r="AU49" s="39">
        <f>資料儲存!D7357</f>
        <v>0</v>
      </c>
      <c r="AV49" s="39">
        <f>資料儲存!E7357</f>
        <v>0</v>
      </c>
      <c r="AW49" s="39">
        <f>資料儲存!F7357</f>
        <v>0</v>
      </c>
      <c r="AX49" s="39">
        <f>資料儲存!G7357</f>
        <v>0</v>
      </c>
      <c r="AY49" s="39">
        <f>資料儲存!H7357</f>
        <v>0</v>
      </c>
      <c r="AZ49" s="39">
        <f>資料儲存!I7357</f>
        <v>0</v>
      </c>
      <c r="BA49" s="39">
        <f>資料儲存!J7357</f>
        <v>0</v>
      </c>
    </row>
    <row r="50" spans="1:53" s="59" customFormat="1" ht="16" thickBot="1">
      <c r="A50" s="62">
        <v>37</v>
      </c>
      <c r="B50" s="39">
        <f>資料儲存!D6158</f>
        <v>0</v>
      </c>
      <c r="C50" s="39">
        <f>資料儲存!E6158</f>
        <v>0</v>
      </c>
      <c r="D50" s="39">
        <f>資料儲存!F6158</f>
        <v>0</v>
      </c>
      <c r="E50" s="39">
        <f>資料儲存!G6158</f>
        <v>0</v>
      </c>
      <c r="F50" s="39">
        <f>資料儲存!H6158</f>
        <v>0</v>
      </c>
      <c r="G50" s="39">
        <f>資料儲存!I6158</f>
        <v>0</v>
      </c>
      <c r="H50" s="39">
        <f>資料儲存!J6158</f>
        <v>0</v>
      </c>
      <c r="I50" s="58"/>
      <c r="J50" s="62">
        <v>37</v>
      </c>
      <c r="K50" s="39">
        <f>資料儲存!D6398</f>
        <v>0</v>
      </c>
      <c r="L50" s="39">
        <f>資料儲存!E6398</f>
        <v>0</v>
      </c>
      <c r="M50" s="39">
        <f>資料儲存!F6398</f>
        <v>0</v>
      </c>
      <c r="N50" s="39">
        <f>資料儲存!G6398</f>
        <v>0</v>
      </c>
      <c r="O50" s="39">
        <f>資料儲存!H6398</f>
        <v>0</v>
      </c>
      <c r="P50" s="39">
        <f>資料儲存!I6398</f>
        <v>0</v>
      </c>
      <c r="Q50" s="39">
        <f>資料儲存!J6398</f>
        <v>0</v>
      </c>
      <c r="R50" s="58"/>
      <c r="S50" s="62">
        <v>37</v>
      </c>
      <c r="T50" s="39">
        <f>資料儲存!D6638</f>
        <v>0</v>
      </c>
      <c r="U50" s="39">
        <f>資料儲存!E6638</f>
        <v>0</v>
      </c>
      <c r="V50" s="39">
        <f>資料儲存!F6638</f>
        <v>0</v>
      </c>
      <c r="W50" s="39">
        <f>資料儲存!G6638</f>
        <v>0</v>
      </c>
      <c r="X50" s="39">
        <f>資料儲存!H6638</f>
        <v>0</v>
      </c>
      <c r="Y50" s="39">
        <f>資料儲存!I6638</f>
        <v>0</v>
      </c>
      <c r="Z50" s="39">
        <f>資料儲存!J6638</f>
        <v>0</v>
      </c>
      <c r="AA50" s="58"/>
      <c r="AB50" s="62">
        <v>37</v>
      </c>
      <c r="AC50" s="39">
        <f>資料儲存!D6878</f>
        <v>0</v>
      </c>
      <c r="AD50" s="39">
        <f>資料儲存!E6878</f>
        <v>0</v>
      </c>
      <c r="AE50" s="39">
        <f>資料儲存!F6878</f>
        <v>0</v>
      </c>
      <c r="AF50" s="39">
        <f>資料儲存!G6878</f>
        <v>0</v>
      </c>
      <c r="AG50" s="39">
        <f>資料儲存!H6878</f>
        <v>0</v>
      </c>
      <c r="AH50" s="39">
        <f>資料儲存!I6878</f>
        <v>0</v>
      </c>
      <c r="AI50" s="39">
        <f>資料儲存!J6878</f>
        <v>0</v>
      </c>
      <c r="AJ50" s="58"/>
      <c r="AK50" s="62">
        <v>37</v>
      </c>
      <c r="AL50" s="39">
        <f>資料儲存!D7118</f>
        <v>0</v>
      </c>
      <c r="AM50" s="39">
        <f>資料儲存!E7118</f>
        <v>0</v>
      </c>
      <c r="AN50" s="39">
        <f>資料儲存!F7118</f>
        <v>0</v>
      </c>
      <c r="AO50" s="39">
        <f>資料儲存!G7118</f>
        <v>0</v>
      </c>
      <c r="AP50" s="39">
        <f>資料儲存!H7118</f>
        <v>0</v>
      </c>
      <c r="AQ50" s="39">
        <f>資料儲存!I7118</f>
        <v>0</v>
      </c>
      <c r="AR50" s="39">
        <f>資料儲存!J7118</f>
        <v>0</v>
      </c>
      <c r="AT50" s="62">
        <v>37</v>
      </c>
      <c r="AU50" s="39">
        <f>資料儲存!D7358</f>
        <v>0</v>
      </c>
      <c r="AV50" s="39">
        <f>資料儲存!E7358</f>
        <v>0</v>
      </c>
      <c r="AW50" s="39">
        <f>資料儲存!F7358</f>
        <v>0</v>
      </c>
      <c r="AX50" s="39">
        <f>資料儲存!G7358</f>
        <v>0</v>
      </c>
      <c r="AY50" s="39">
        <f>資料儲存!H7358</f>
        <v>0</v>
      </c>
      <c r="AZ50" s="39">
        <f>資料儲存!I7358</f>
        <v>0</v>
      </c>
      <c r="BA50" s="39">
        <f>資料儲存!J7358</f>
        <v>0</v>
      </c>
    </row>
    <row r="51" spans="1:53" s="59" customFormat="1" ht="16" thickBot="1">
      <c r="A51" s="62">
        <v>38</v>
      </c>
      <c r="B51" s="39">
        <f>資料儲存!D6159</f>
        <v>0</v>
      </c>
      <c r="C51" s="39">
        <f>資料儲存!E6159</f>
        <v>0</v>
      </c>
      <c r="D51" s="39">
        <f>資料儲存!F6159</f>
        <v>0</v>
      </c>
      <c r="E51" s="39">
        <f>資料儲存!G6159</f>
        <v>0</v>
      </c>
      <c r="F51" s="39">
        <f>資料儲存!H6159</f>
        <v>0</v>
      </c>
      <c r="G51" s="39">
        <f>資料儲存!I6159</f>
        <v>0</v>
      </c>
      <c r="H51" s="39">
        <f>資料儲存!J6159</f>
        <v>0</v>
      </c>
      <c r="I51" s="58"/>
      <c r="J51" s="62">
        <v>38</v>
      </c>
      <c r="K51" s="39">
        <f>資料儲存!D6399</f>
        <v>0</v>
      </c>
      <c r="L51" s="39">
        <f>資料儲存!E6399</f>
        <v>0</v>
      </c>
      <c r="M51" s="39">
        <f>資料儲存!F6399</f>
        <v>0</v>
      </c>
      <c r="N51" s="39">
        <f>資料儲存!G6399</f>
        <v>0</v>
      </c>
      <c r="O51" s="39">
        <f>資料儲存!H6399</f>
        <v>0</v>
      </c>
      <c r="P51" s="39">
        <f>資料儲存!I6399</f>
        <v>0</v>
      </c>
      <c r="Q51" s="39">
        <f>資料儲存!J6399</f>
        <v>0</v>
      </c>
      <c r="R51" s="58"/>
      <c r="S51" s="62">
        <v>38</v>
      </c>
      <c r="T51" s="39">
        <f>資料儲存!D6639</f>
        <v>0</v>
      </c>
      <c r="U51" s="39">
        <f>資料儲存!E6639</f>
        <v>0</v>
      </c>
      <c r="V51" s="39">
        <f>資料儲存!F6639</f>
        <v>0</v>
      </c>
      <c r="W51" s="39">
        <f>資料儲存!G6639</f>
        <v>0</v>
      </c>
      <c r="X51" s="39">
        <f>資料儲存!H6639</f>
        <v>0</v>
      </c>
      <c r="Y51" s="39">
        <f>資料儲存!I6639</f>
        <v>0</v>
      </c>
      <c r="Z51" s="39">
        <f>資料儲存!J6639</f>
        <v>0</v>
      </c>
      <c r="AA51" s="58"/>
      <c r="AB51" s="62">
        <v>38</v>
      </c>
      <c r="AC51" s="39">
        <f>資料儲存!D6879</f>
        <v>0</v>
      </c>
      <c r="AD51" s="39">
        <f>資料儲存!E6879</f>
        <v>0</v>
      </c>
      <c r="AE51" s="39">
        <f>資料儲存!F6879</f>
        <v>0</v>
      </c>
      <c r="AF51" s="39">
        <f>資料儲存!G6879</f>
        <v>0</v>
      </c>
      <c r="AG51" s="39">
        <f>資料儲存!H6879</f>
        <v>0</v>
      </c>
      <c r="AH51" s="39">
        <f>資料儲存!I6879</f>
        <v>0</v>
      </c>
      <c r="AI51" s="39">
        <f>資料儲存!J6879</f>
        <v>0</v>
      </c>
      <c r="AJ51" s="58"/>
      <c r="AK51" s="62">
        <v>38</v>
      </c>
      <c r="AL51" s="39">
        <f>資料儲存!D7119</f>
        <v>0</v>
      </c>
      <c r="AM51" s="39">
        <f>資料儲存!E7119</f>
        <v>0</v>
      </c>
      <c r="AN51" s="39">
        <f>資料儲存!F7119</f>
        <v>0</v>
      </c>
      <c r="AO51" s="39">
        <f>資料儲存!G7119</f>
        <v>0</v>
      </c>
      <c r="AP51" s="39">
        <f>資料儲存!H7119</f>
        <v>0</v>
      </c>
      <c r="AQ51" s="39">
        <f>資料儲存!I7119</f>
        <v>0</v>
      </c>
      <c r="AR51" s="39">
        <f>資料儲存!J7119</f>
        <v>0</v>
      </c>
      <c r="AT51" s="62">
        <v>38</v>
      </c>
      <c r="AU51" s="39">
        <f>資料儲存!D7359</f>
        <v>0</v>
      </c>
      <c r="AV51" s="39">
        <f>資料儲存!E7359</f>
        <v>0</v>
      </c>
      <c r="AW51" s="39">
        <f>資料儲存!F7359</f>
        <v>0</v>
      </c>
      <c r="AX51" s="39">
        <f>資料儲存!G7359</f>
        <v>0</v>
      </c>
      <c r="AY51" s="39">
        <f>資料儲存!H7359</f>
        <v>0</v>
      </c>
      <c r="AZ51" s="39">
        <f>資料儲存!I7359</f>
        <v>0</v>
      </c>
      <c r="BA51" s="39">
        <f>資料儲存!J7359</f>
        <v>0</v>
      </c>
    </row>
    <row r="52" spans="1:53" s="59" customFormat="1" ht="16" thickBot="1">
      <c r="A52" s="62">
        <v>39</v>
      </c>
      <c r="B52" s="39">
        <f>資料儲存!D6160</f>
        <v>0</v>
      </c>
      <c r="C52" s="39">
        <f>資料儲存!E6160</f>
        <v>0</v>
      </c>
      <c r="D52" s="39">
        <f>資料儲存!F6160</f>
        <v>0</v>
      </c>
      <c r="E52" s="39">
        <f>資料儲存!G6160</f>
        <v>0</v>
      </c>
      <c r="F52" s="39">
        <f>資料儲存!H6160</f>
        <v>0</v>
      </c>
      <c r="G52" s="39">
        <f>資料儲存!I6160</f>
        <v>0</v>
      </c>
      <c r="H52" s="39">
        <f>資料儲存!J6160</f>
        <v>0</v>
      </c>
      <c r="I52" s="58"/>
      <c r="J52" s="62">
        <v>39</v>
      </c>
      <c r="K52" s="39">
        <f>資料儲存!D6400</f>
        <v>0</v>
      </c>
      <c r="L52" s="39">
        <f>資料儲存!E6400</f>
        <v>0</v>
      </c>
      <c r="M52" s="39">
        <f>資料儲存!F6400</f>
        <v>0</v>
      </c>
      <c r="N52" s="39">
        <f>資料儲存!G6400</f>
        <v>0</v>
      </c>
      <c r="O52" s="39">
        <f>資料儲存!H6400</f>
        <v>0</v>
      </c>
      <c r="P52" s="39">
        <f>資料儲存!I6400</f>
        <v>0</v>
      </c>
      <c r="Q52" s="39">
        <f>資料儲存!J6400</f>
        <v>0</v>
      </c>
      <c r="R52" s="58"/>
      <c r="S52" s="62">
        <v>39</v>
      </c>
      <c r="T52" s="39">
        <f>資料儲存!D6640</f>
        <v>0</v>
      </c>
      <c r="U52" s="39">
        <f>資料儲存!E6640</f>
        <v>0</v>
      </c>
      <c r="V52" s="39">
        <f>資料儲存!F6640</f>
        <v>0</v>
      </c>
      <c r="W52" s="39">
        <f>資料儲存!G6640</f>
        <v>0</v>
      </c>
      <c r="X52" s="39">
        <f>資料儲存!H6640</f>
        <v>0</v>
      </c>
      <c r="Y52" s="39">
        <f>資料儲存!I6640</f>
        <v>0</v>
      </c>
      <c r="Z52" s="39">
        <f>資料儲存!J6640</f>
        <v>0</v>
      </c>
      <c r="AA52" s="58"/>
      <c r="AB52" s="62">
        <v>39</v>
      </c>
      <c r="AC52" s="39">
        <f>資料儲存!D6880</f>
        <v>0</v>
      </c>
      <c r="AD52" s="39">
        <f>資料儲存!E6880</f>
        <v>0</v>
      </c>
      <c r="AE52" s="39">
        <f>資料儲存!F6880</f>
        <v>0</v>
      </c>
      <c r="AF52" s="39">
        <f>資料儲存!G6880</f>
        <v>0</v>
      </c>
      <c r="AG52" s="39">
        <f>資料儲存!H6880</f>
        <v>0</v>
      </c>
      <c r="AH52" s="39">
        <f>資料儲存!I6880</f>
        <v>0</v>
      </c>
      <c r="AI52" s="39">
        <f>資料儲存!J6880</f>
        <v>0</v>
      </c>
      <c r="AJ52" s="58"/>
      <c r="AK52" s="62">
        <v>39</v>
      </c>
      <c r="AL52" s="39">
        <f>資料儲存!D7120</f>
        <v>0</v>
      </c>
      <c r="AM52" s="39">
        <f>資料儲存!E7120</f>
        <v>0</v>
      </c>
      <c r="AN52" s="39">
        <f>資料儲存!F7120</f>
        <v>0</v>
      </c>
      <c r="AO52" s="39">
        <f>資料儲存!G7120</f>
        <v>0</v>
      </c>
      <c r="AP52" s="39">
        <f>資料儲存!H7120</f>
        <v>0</v>
      </c>
      <c r="AQ52" s="39">
        <f>資料儲存!I7120</f>
        <v>0</v>
      </c>
      <c r="AR52" s="39">
        <f>資料儲存!J7120</f>
        <v>0</v>
      </c>
      <c r="AT52" s="62">
        <v>39</v>
      </c>
      <c r="AU52" s="39">
        <f>資料儲存!D7360</f>
        <v>0</v>
      </c>
      <c r="AV52" s="39">
        <f>資料儲存!E7360</f>
        <v>0</v>
      </c>
      <c r="AW52" s="39">
        <f>資料儲存!F7360</f>
        <v>0</v>
      </c>
      <c r="AX52" s="39">
        <f>資料儲存!G7360</f>
        <v>0</v>
      </c>
      <c r="AY52" s="39">
        <f>資料儲存!H7360</f>
        <v>0</v>
      </c>
      <c r="AZ52" s="39">
        <f>資料儲存!I7360</f>
        <v>0</v>
      </c>
      <c r="BA52" s="39">
        <f>資料儲存!J7360</f>
        <v>0</v>
      </c>
    </row>
    <row r="53" spans="1:53" s="59" customFormat="1" ht="16" thickBot="1">
      <c r="A53" s="62">
        <v>40</v>
      </c>
      <c r="B53" s="39">
        <f>資料儲存!D6161</f>
        <v>0</v>
      </c>
      <c r="C53" s="39">
        <f>資料儲存!E6161</f>
        <v>0</v>
      </c>
      <c r="D53" s="39">
        <f>資料儲存!F6161</f>
        <v>0</v>
      </c>
      <c r="E53" s="39">
        <f>資料儲存!G6161</f>
        <v>0</v>
      </c>
      <c r="F53" s="39">
        <f>資料儲存!H6161</f>
        <v>0</v>
      </c>
      <c r="G53" s="39">
        <f>資料儲存!I6161</f>
        <v>0</v>
      </c>
      <c r="H53" s="39">
        <f>資料儲存!J6161</f>
        <v>0</v>
      </c>
      <c r="I53" s="58"/>
      <c r="J53" s="62">
        <v>40</v>
      </c>
      <c r="K53" s="39">
        <f>資料儲存!D6401</f>
        <v>0</v>
      </c>
      <c r="L53" s="39">
        <f>資料儲存!E6401</f>
        <v>0</v>
      </c>
      <c r="M53" s="39">
        <f>資料儲存!F6401</f>
        <v>0</v>
      </c>
      <c r="N53" s="39">
        <f>資料儲存!G6401</f>
        <v>0</v>
      </c>
      <c r="O53" s="39">
        <f>資料儲存!H6401</f>
        <v>0</v>
      </c>
      <c r="P53" s="39">
        <f>資料儲存!I6401</f>
        <v>0</v>
      </c>
      <c r="Q53" s="39">
        <f>資料儲存!J6401</f>
        <v>0</v>
      </c>
      <c r="R53" s="58"/>
      <c r="S53" s="62">
        <v>40</v>
      </c>
      <c r="T53" s="39">
        <f>資料儲存!D6641</f>
        <v>0</v>
      </c>
      <c r="U53" s="39">
        <f>資料儲存!E6641</f>
        <v>0</v>
      </c>
      <c r="V53" s="39">
        <f>資料儲存!F6641</f>
        <v>0</v>
      </c>
      <c r="W53" s="39">
        <f>資料儲存!G6641</f>
        <v>0</v>
      </c>
      <c r="X53" s="39">
        <f>資料儲存!H6641</f>
        <v>0</v>
      </c>
      <c r="Y53" s="39">
        <f>資料儲存!I6641</f>
        <v>0</v>
      </c>
      <c r="Z53" s="39">
        <f>資料儲存!J6641</f>
        <v>0</v>
      </c>
      <c r="AA53" s="58"/>
      <c r="AB53" s="62">
        <v>40</v>
      </c>
      <c r="AC53" s="39">
        <f>資料儲存!D6881</f>
        <v>0</v>
      </c>
      <c r="AD53" s="39">
        <f>資料儲存!E6881</f>
        <v>0</v>
      </c>
      <c r="AE53" s="39">
        <f>資料儲存!F6881</f>
        <v>0</v>
      </c>
      <c r="AF53" s="39">
        <f>資料儲存!G6881</f>
        <v>0</v>
      </c>
      <c r="AG53" s="39">
        <f>資料儲存!H6881</f>
        <v>0</v>
      </c>
      <c r="AH53" s="39">
        <f>資料儲存!I6881</f>
        <v>0</v>
      </c>
      <c r="AI53" s="39">
        <f>資料儲存!J6881</f>
        <v>0</v>
      </c>
      <c r="AJ53" s="58"/>
      <c r="AK53" s="62">
        <v>40</v>
      </c>
      <c r="AL53" s="39">
        <f>資料儲存!D7121</f>
        <v>0</v>
      </c>
      <c r="AM53" s="39">
        <f>資料儲存!E7121</f>
        <v>0</v>
      </c>
      <c r="AN53" s="39">
        <f>資料儲存!F7121</f>
        <v>0</v>
      </c>
      <c r="AO53" s="39">
        <f>資料儲存!G7121</f>
        <v>0</v>
      </c>
      <c r="AP53" s="39">
        <f>資料儲存!H7121</f>
        <v>0</v>
      </c>
      <c r="AQ53" s="39">
        <f>資料儲存!I7121</f>
        <v>0</v>
      </c>
      <c r="AR53" s="39">
        <f>資料儲存!J7121</f>
        <v>0</v>
      </c>
      <c r="AT53" s="62">
        <v>40</v>
      </c>
      <c r="AU53" s="39">
        <f>資料儲存!D7361</f>
        <v>0</v>
      </c>
      <c r="AV53" s="39">
        <f>資料儲存!E7361</f>
        <v>0</v>
      </c>
      <c r="AW53" s="39">
        <f>資料儲存!F7361</f>
        <v>0</v>
      </c>
      <c r="AX53" s="39">
        <f>資料儲存!G7361</f>
        <v>0</v>
      </c>
      <c r="AY53" s="39">
        <f>資料儲存!H7361</f>
        <v>0</v>
      </c>
      <c r="AZ53" s="39">
        <f>資料儲存!I7361</f>
        <v>0</v>
      </c>
      <c r="BA53" s="39">
        <f>資料儲存!J7361</f>
        <v>0</v>
      </c>
    </row>
    <row r="54" spans="1:53" s="59" customFormat="1" ht="16" thickBot="1">
      <c r="A54" s="62">
        <v>41</v>
      </c>
      <c r="B54" s="39">
        <f>資料儲存!D6162</f>
        <v>0</v>
      </c>
      <c r="C54" s="39">
        <f>資料儲存!E6162</f>
        <v>0</v>
      </c>
      <c r="D54" s="39">
        <f>資料儲存!F6162</f>
        <v>0</v>
      </c>
      <c r="E54" s="39">
        <f>資料儲存!G6162</f>
        <v>0</v>
      </c>
      <c r="F54" s="39">
        <f>資料儲存!H6162</f>
        <v>0</v>
      </c>
      <c r="G54" s="39">
        <f>資料儲存!I6162</f>
        <v>0</v>
      </c>
      <c r="H54" s="39">
        <f>資料儲存!J6162</f>
        <v>0</v>
      </c>
      <c r="I54" s="58"/>
      <c r="J54" s="62">
        <v>41</v>
      </c>
      <c r="K54" s="39">
        <f>資料儲存!D6402</f>
        <v>0</v>
      </c>
      <c r="L54" s="39">
        <f>資料儲存!E6402</f>
        <v>0</v>
      </c>
      <c r="M54" s="39">
        <f>資料儲存!F6402</f>
        <v>0</v>
      </c>
      <c r="N54" s="39">
        <f>資料儲存!G6402</f>
        <v>0</v>
      </c>
      <c r="O54" s="39">
        <f>資料儲存!H6402</f>
        <v>0</v>
      </c>
      <c r="P54" s="39">
        <f>資料儲存!I6402</f>
        <v>0</v>
      </c>
      <c r="Q54" s="39">
        <f>資料儲存!J6402</f>
        <v>0</v>
      </c>
      <c r="R54" s="58"/>
      <c r="S54" s="62">
        <v>41</v>
      </c>
      <c r="T54" s="39">
        <f>資料儲存!D6642</f>
        <v>0</v>
      </c>
      <c r="U54" s="39">
        <f>資料儲存!E6642</f>
        <v>0</v>
      </c>
      <c r="V54" s="39">
        <f>資料儲存!F6642</f>
        <v>0</v>
      </c>
      <c r="W54" s="39">
        <f>資料儲存!G6642</f>
        <v>0</v>
      </c>
      <c r="X54" s="39">
        <f>資料儲存!H6642</f>
        <v>0</v>
      </c>
      <c r="Y54" s="39">
        <f>資料儲存!I6642</f>
        <v>0</v>
      </c>
      <c r="Z54" s="39">
        <f>資料儲存!J6642</f>
        <v>0</v>
      </c>
      <c r="AA54" s="58"/>
      <c r="AB54" s="62">
        <v>41</v>
      </c>
      <c r="AC54" s="39">
        <f>資料儲存!D6882</f>
        <v>0</v>
      </c>
      <c r="AD54" s="39">
        <f>資料儲存!E6882</f>
        <v>0</v>
      </c>
      <c r="AE54" s="39">
        <f>資料儲存!F6882</f>
        <v>0</v>
      </c>
      <c r="AF54" s="39">
        <f>資料儲存!G6882</f>
        <v>0</v>
      </c>
      <c r="AG54" s="39">
        <f>資料儲存!H6882</f>
        <v>0</v>
      </c>
      <c r="AH54" s="39">
        <f>資料儲存!I6882</f>
        <v>0</v>
      </c>
      <c r="AI54" s="39">
        <f>資料儲存!J6882</f>
        <v>0</v>
      </c>
      <c r="AJ54" s="58"/>
      <c r="AK54" s="62">
        <v>41</v>
      </c>
      <c r="AL54" s="39">
        <f>資料儲存!D7122</f>
        <v>0</v>
      </c>
      <c r="AM54" s="39">
        <f>資料儲存!E7122</f>
        <v>0</v>
      </c>
      <c r="AN54" s="39">
        <f>資料儲存!F7122</f>
        <v>0</v>
      </c>
      <c r="AO54" s="39">
        <f>資料儲存!G7122</f>
        <v>0</v>
      </c>
      <c r="AP54" s="39">
        <f>資料儲存!H7122</f>
        <v>0</v>
      </c>
      <c r="AQ54" s="39">
        <f>資料儲存!I7122</f>
        <v>0</v>
      </c>
      <c r="AR54" s="39">
        <f>資料儲存!J7122</f>
        <v>0</v>
      </c>
      <c r="AT54" s="62">
        <v>41</v>
      </c>
      <c r="AU54" s="39">
        <f>資料儲存!D7362</f>
        <v>0</v>
      </c>
      <c r="AV54" s="39">
        <f>資料儲存!E7362</f>
        <v>0</v>
      </c>
      <c r="AW54" s="39">
        <f>資料儲存!F7362</f>
        <v>0</v>
      </c>
      <c r="AX54" s="39">
        <f>資料儲存!G7362</f>
        <v>0</v>
      </c>
      <c r="AY54" s="39">
        <f>資料儲存!H7362</f>
        <v>0</v>
      </c>
      <c r="AZ54" s="39">
        <f>資料儲存!I7362</f>
        <v>0</v>
      </c>
      <c r="BA54" s="39">
        <f>資料儲存!J7362</f>
        <v>0</v>
      </c>
    </row>
    <row r="55" spans="1:53" s="59" customFormat="1" ht="16" thickBot="1">
      <c r="A55" s="62">
        <v>42</v>
      </c>
      <c r="B55" s="39">
        <f>資料儲存!D6163</f>
        <v>0</v>
      </c>
      <c r="C55" s="39">
        <f>資料儲存!E6163</f>
        <v>0</v>
      </c>
      <c r="D55" s="39">
        <f>資料儲存!F6163</f>
        <v>0</v>
      </c>
      <c r="E55" s="39">
        <f>資料儲存!G6163</f>
        <v>0</v>
      </c>
      <c r="F55" s="39">
        <f>資料儲存!H6163</f>
        <v>0</v>
      </c>
      <c r="G55" s="39">
        <f>資料儲存!I6163</f>
        <v>0</v>
      </c>
      <c r="H55" s="39">
        <f>資料儲存!J6163</f>
        <v>0</v>
      </c>
      <c r="I55" s="58"/>
      <c r="J55" s="62">
        <v>42</v>
      </c>
      <c r="K55" s="39">
        <f>資料儲存!D6403</f>
        <v>0</v>
      </c>
      <c r="L55" s="39">
        <f>資料儲存!E6403</f>
        <v>0</v>
      </c>
      <c r="M55" s="39">
        <f>資料儲存!F6403</f>
        <v>0</v>
      </c>
      <c r="N55" s="39">
        <f>資料儲存!G6403</f>
        <v>0</v>
      </c>
      <c r="O55" s="39">
        <f>資料儲存!H6403</f>
        <v>0</v>
      </c>
      <c r="P55" s="39">
        <f>資料儲存!I6403</f>
        <v>0</v>
      </c>
      <c r="Q55" s="39">
        <f>資料儲存!J6403</f>
        <v>0</v>
      </c>
      <c r="R55" s="58"/>
      <c r="S55" s="62">
        <v>42</v>
      </c>
      <c r="T55" s="39">
        <f>資料儲存!D6643</f>
        <v>0</v>
      </c>
      <c r="U55" s="39">
        <f>資料儲存!E6643</f>
        <v>0</v>
      </c>
      <c r="V55" s="39">
        <f>資料儲存!F6643</f>
        <v>0</v>
      </c>
      <c r="W55" s="39">
        <f>資料儲存!G6643</f>
        <v>0</v>
      </c>
      <c r="X55" s="39">
        <f>資料儲存!H6643</f>
        <v>0</v>
      </c>
      <c r="Y55" s="39">
        <f>資料儲存!I6643</f>
        <v>0</v>
      </c>
      <c r="Z55" s="39">
        <f>資料儲存!J6643</f>
        <v>0</v>
      </c>
      <c r="AA55" s="58"/>
      <c r="AB55" s="62">
        <v>42</v>
      </c>
      <c r="AC55" s="39">
        <f>資料儲存!D6883</f>
        <v>0</v>
      </c>
      <c r="AD55" s="39">
        <f>資料儲存!E6883</f>
        <v>0</v>
      </c>
      <c r="AE55" s="39">
        <f>資料儲存!F6883</f>
        <v>0</v>
      </c>
      <c r="AF55" s="39">
        <f>資料儲存!G6883</f>
        <v>0</v>
      </c>
      <c r="AG55" s="39">
        <f>資料儲存!H6883</f>
        <v>0</v>
      </c>
      <c r="AH55" s="39">
        <f>資料儲存!I6883</f>
        <v>0</v>
      </c>
      <c r="AI55" s="39">
        <f>資料儲存!J6883</f>
        <v>0</v>
      </c>
      <c r="AJ55" s="58"/>
      <c r="AK55" s="62">
        <v>42</v>
      </c>
      <c r="AL55" s="39">
        <f>資料儲存!D7123</f>
        <v>0</v>
      </c>
      <c r="AM55" s="39">
        <f>資料儲存!E7123</f>
        <v>0</v>
      </c>
      <c r="AN55" s="39">
        <f>資料儲存!F7123</f>
        <v>0</v>
      </c>
      <c r="AO55" s="39">
        <f>資料儲存!G7123</f>
        <v>0</v>
      </c>
      <c r="AP55" s="39">
        <f>資料儲存!H7123</f>
        <v>0</v>
      </c>
      <c r="AQ55" s="39">
        <f>資料儲存!I7123</f>
        <v>0</v>
      </c>
      <c r="AR55" s="39">
        <f>資料儲存!J7123</f>
        <v>0</v>
      </c>
      <c r="AT55" s="62">
        <v>42</v>
      </c>
      <c r="AU55" s="39">
        <f>資料儲存!D7363</f>
        <v>0</v>
      </c>
      <c r="AV55" s="39">
        <f>資料儲存!E7363</f>
        <v>0</v>
      </c>
      <c r="AW55" s="39">
        <f>資料儲存!F7363</f>
        <v>0</v>
      </c>
      <c r="AX55" s="39">
        <f>資料儲存!G7363</f>
        <v>0</v>
      </c>
      <c r="AY55" s="39">
        <f>資料儲存!H7363</f>
        <v>0</v>
      </c>
      <c r="AZ55" s="39">
        <f>資料儲存!I7363</f>
        <v>0</v>
      </c>
      <c r="BA55" s="39">
        <f>資料儲存!J7363</f>
        <v>0</v>
      </c>
    </row>
    <row r="56" spans="1:53" s="59" customFormat="1" ht="16" thickBot="1">
      <c r="A56" s="62">
        <v>43</v>
      </c>
      <c r="B56" s="39">
        <f>資料儲存!D6164</f>
        <v>0</v>
      </c>
      <c r="C56" s="39">
        <f>資料儲存!E6164</f>
        <v>0</v>
      </c>
      <c r="D56" s="39">
        <f>資料儲存!F6164</f>
        <v>0</v>
      </c>
      <c r="E56" s="39">
        <f>資料儲存!G6164</f>
        <v>0</v>
      </c>
      <c r="F56" s="39">
        <f>資料儲存!H6164</f>
        <v>0</v>
      </c>
      <c r="G56" s="39">
        <f>資料儲存!I6164</f>
        <v>0</v>
      </c>
      <c r="H56" s="39">
        <f>資料儲存!J6164</f>
        <v>0</v>
      </c>
      <c r="I56" s="58"/>
      <c r="J56" s="62">
        <v>43</v>
      </c>
      <c r="K56" s="39">
        <f>資料儲存!D6404</f>
        <v>0</v>
      </c>
      <c r="L56" s="39">
        <f>資料儲存!E6404</f>
        <v>0</v>
      </c>
      <c r="M56" s="39">
        <f>資料儲存!F6404</f>
        <v>0</v>
      </c>
      <c r="N56" s="39">
        <f>資料儲存!G6404</f>
        <v>0</v>
      </c>
      <c r="O56" s="39">
        <f>資料儲存!H6404</f>
        <v>0</v>
      </c>
      <c r="P56" s="39">
        <f>資料儲存!I6404</f>
        <v>0</v>
      </c>
      <c r="Q56" s="39">
        <f>資料儲存!J6404</f>
        <v>0</v>
      </c>
      <c r="R56" s="58"/>
      <c r="S56" s="62">
        <v>43</v>
      </c>
      <c r="T56" s="39">
        <f>資料儲存!D6644</f>
        <v>0</v>
      </c>
      <c r="U56" s="39">
        <f>資料儲存!E6644</f>
        <v>0</v>
      </c>
      <c r="V56" s="39">
        <f>資料儲存!F6644</f>
        <v>0</v>
      </c>
      <c r="W56" s="39">
        <f>資料儲存!G6644</f>
        <v>0</v>
      </c>
      <c r="X56" s="39">
        <f>資料儲存!H6644</f>
        <v>0</v>
      </c>
      <c r="Y56" s="39">
        <f>資料儲存!I6644</f>
        <v>0</v>
      </c>
      <c r="Z56" s="39">
        <f>資料儲存!J6644</f>
        <v>0</v>
      </c>
      <c r="AA56" s="58"/>
      <c r="AB56" s="62">
        <v>43</v>
      </c>
      <c r="AC56" s="39">
        <f>資料儲存!D6884</f>
        <v>0</v>
      </c>
      <c r="AD56" s="39">
        <f>資料儲存!E6884</f>
        <v>0</v>
      </c>
      <c r="AE56" s="39">
        <f>資料儲存!F6884</f>
        <v>0</v>
      </c>
      <c r="AF56" s="39">
        <f>資料儲存!G6884</f>
        <v>0</v>
      </c>
      <c r="AG56" s="39">
        <f>資料儲存!H6884</f>
        <v>0</v>
      </c>
      <c r="AH56" s="39">
        <f>資料儲存!I6884</f>
        <v>0</v>
      </c>
      <c r="AI56" s="39">
        <f>資料儲存!J6884</f>
        <v>0</v>
      </c>
      <c r="AJ56" s="58"/>
      <c r="AK56" s="62">
        <v>43</v>
      </c>
      <c r="AL56" s="39">
        <f>資料儲存!D7124</f>
        <v>0</v>
      </c>
      <c r="AM56" s="39">
        <f>資料儲存!E7124</f>
        <v>0</v>
      </c>
      <c r="AN56" s="39">
        <f>資料儲存!F7124</f>
        <v>0</v>
      </c>
      <c r="AO56" s="39">
        <f>資料儲存!G7124</f>
        <v>0</v>
      </c>
      <c r="AP56" s="39">
        <f>資料儲存!H7124</f>
        <v>0</v>
      </c>
      <c r="AQ56" s="39">
        <f>資料儲存!I7124</f>
        <v>0</v>
      </c>
      <c r="AR56" s="39">
        <f>資料儲存!J7124</f>
        <v>0</v>
      </c>
      <c r="AT56" s="62">
        <v>43</v>
      </c>
      <c r="AU56" s="39">
        <f>資料儲存!D7364</f>
        <v>0</v>
      </c>
      <c r="AV56" s="39">
        <f>資料儲存!E7364</f>
        <v>0</v>
      </c>
      <c r="AW56" s="39">
        <f>資料儲存!F7364</f>
        <v>0</v>
      </c>
      <c r="AX56" s="39">
        <f>資料儲存!G7364</f>
        <v>0</v>
      </c>
      <c r="AY56" s="39">
        <f>資料儲存!H7364</f>
        <v>0</v>
      </c>
      <c r="AZ56" s="39">
        <f>資料儲存!I7364</f>
        <v>0</v>
      </c>
      <c r="BA56" s="39">
        <f>資料儲存!J7364</f>
        <v>0</v>
      </c>
    </row>
    <row r="57" spans="1:53" s="59" customFormat="1" ht="16" thickBot="1">
      <c r="A57" s="62">
        <v>44</v>
      </c>
      <c r="B57" s="39">
        <f>資料儲存!D6165</f>
        <v>0</v>
      </c>
      <c r="C57" s="39">
        <f>資料儲存!E6165</f>
        <v>0</v>
      </c>
      <c r="D57" s="39">
        <f>資料儲存!F6165</f>
        <v>0</v>
      </c>
      <c r="E57" s="39">
        <f>資料儲存!G6165</f>
        <v>0</v>
      </c>
      <c r="F57" s="39">
        <f>資料儲存!H6165</f>
        <v>0</v>
      </c>
      <c r="G57" s="39">
        <f>資料儲存!I6165</f>
        <v>0</v>
      </c>
      <c r="H57" s="39">
        <f>資料儲存!J6165</f>
        <v>0</v>
      </c>
      <c r="I57" s="58"/>
      <c r="J57" s="62">
        <v>44</v>
      </c>
      <c r="K57" s="39">
        <f>資料儲存!D6405</f>
        <v>0</v>
      </c>
      <c r="L57" s="39">
        <f>資料儲存!E6405</f>
        <v>0</v>
      </c>
      <c r="M57" s="39">
        <f>資料儲存!F6405</f>
        <v>0</v>
      </c>
      <c r="N57" s="39">
        <f>資料儲存!G6405</f>
        <v>0</v>
      </c>
      <c r="O57" s="39">
        <f>資料儲存!H6405</f>
        <v>0</v>
      </c>
      <c r="P57" s="39">
        <f>資料儲存!I6405</f>
        <v>0</v>
      </c>
      <c r="Q57" s="39">
        <f>資料儲存!J6405</f>
        <v>0</v>
      </c>
      <c r="R57" s="58"/>
      <c r="S57" s="62">
        <v>44</v>
      </c>
      <c r="T57" s="39">
        <f>資料儲存!D6645</f>
        <v>0</v>
      </c>
      <c r="U57" s="39">
        <f>資料儲存!E6645</f>
        <v>0</v>
      </c>
      <c r="V57" s="39">
        <f>資料儲存!F6645</f>
        <v>0</v>
      </c>
      <c r="W57" s="39">
        <f>資料儲存!G6645</f>
        <v>0</v>
      </c>
      <c r="X57" s="39">
        <f>資料儲存!H6645</f>
        <v>0</v>
      </c>
      <c r="Y57" s="39">
        <f>資料儲存!I6645</f>
        <v>0</v>
      </c>
      <c r="Z57" s="39">
        <f>資料儲存!J6645</f>
        <v>0</v>
      </c>
      <c r="AA57" s="58"/>
      <c r="AB57" s="62">
        <v>44</v>
      </c>
      <c r="AC57" s="39">
        <f>資料儲存!D6885</f>
        <v>0</v>
      </c>
      <c r="AD57" s="39">
        <f>資料儲存!E6885</f>
        <v>0</v>
      </c>
      <c r="AE57" s="39">
        <f>資料儲存!F6885</f>
        <v>0</v>
      </c>
      <c r="AF57" s="39">
        <f>資料儲存!G6885</f>
        <v>0</v>
      </c>
      <c r="AG57" s="39">
        <f>資料儲存!H6885</f>
        <v>0</v>
      </c>
      <c r="AH57" s="39">
        <f>資料儲存!I6885</f>
        <v>0</v>
      </c>
      <c r="AI57" s="39">
        <f>資料儲存!J6885</f>
        <v>0</v>
      </c>
      <c r="AJ57" s="58"/>
      <c r="AK57" s="62">
        <v>44</v>
      </c>
      <c r="AL57" s="39">
        <f>資料儲存!D7125</f>
        <v>0</v>
      </c>
      <c r="AM57" s="39">
        <f>資料儲存!E7125</f>
        <v>0</v>
      </c>
      <c r="AN57" s="39">
        <f>資料儲存!F7125</f>
        <v>0</v>
      </c>
      <c r="AO57" s="39">
        <f>資料儲存!G7125</f>
        <v>0</v>
      </c>
      <c r="AP57" s="39">
        <f>資料儲存!H7125</f>
        <v>0</v>
      </c>
      <c r="AQ57" s="39">
        <f>資料儲存!I7125</f>
        <v>0</v>
      </c>
      <c r="AR57" s="39">
        <f>資料儲存!J7125</f>
        <v>0</v>
      </c>
      <c r="AT57" s="62">
        <v>44</v>
      </c>
      <c r="AU57" s="39">
        <f>資料儲存!D7365</f>
        <v>0</v>
      </c>
      <c r="AV57" s="39">
        <f>資料儲存!E7365</f>
        <v>0</v>
      </c>
      <c r="AW57" s="39">
        <f>資料儲存!F7365</f>
        <v>0</v>
      </c>
      <c r="AX57" s="39">
        <f>資料儲存!G7365</f>
        <v>0</v>
      </c>
      <c r="AY57" s="39">
        <f>資料儲存!H7365</f>
        <v>0</v>
      </c>
      <c r="AZ57" s="39">
        <f>資料儲存!I7365</f>
        <v>0</v>
      </c>
      <c r="BA57" s="39">
        <f>資料儲存!J7365</f>
        <v>0</v>
      </c>
    </row>
    <row r="58" spans="1:53" s="59" customFormat="1" ht="16" thickBot="1">
      <c r="A58" s="62">
        <v>45</v>
      </c>
      <c r="B58" s="39">
        <f>資料儲存!D6166</f>
        <v>0</v>
      </c>
      <c r="C58" s="39">
        <f>資料儲存!E6166</f>
        <v>0</v>
      </c>
      <c r="D58" s="39">
        <f>資料儲存!F6166</f>
        <v>0</v>
      </c>
      <c r="E58" s="39">
        <f>資料儲存!G6166</f>
        <v>0</v>
      </c>
      <c r="F58" s="39">
        <f>資料儲存!H6166</f>
        <v>0</v>
      </c>
      <c r="G58" s="39">
        <f>資料儲存!I6166</f>
        <v>0</v>
      </c>
      <c r="H58" s="39">
        <f>資料儲存!J6166</f>
        <v>0</v>
      </c>
      <c r="I58" s="58"/>
      <c r="J58" s="62">
        <v>45</v>
      </c>
      <c r="K58" s="39">
        <f>資料儲存!D6406</f>
        <v>0</v>
      </c>
      <c r="L58" s="39">
        <f>資料儲存!E6406</f>
        <v>0</v>
      </c>
      <c r="M58" s="39">
        <f>資料儲存!F6406</f>
        <v>0</v>
      </c>
      <c r="N58" s="39">
        <f>資料儲存!G6406</f>
        <v>0</v>
      </c>
      <c r="O58" s="39">
        <f>資料儲存!H6406</f>
        <v>0</v>
      </c>
      <c r="P58" s="39">
        <f>資料儲存!I6406</f>
        <v>0</v>
      </c>
      <c r="Q58" s="39">
        <f>資料儲存!J6406</f>
        <v>0</v>
      </c>
      <c r="R58" s="58"/>
      <c r="S58" s="62">
        <v>45</v>
      </c>
      <c r="T58" s="39">
        <f>資料儲存!D6646</f>
        <v>0</v>
      </c>
      <c r="U58" s="39">
        <f>資料儲存!E6646</f>
        <v>0</v>
      </c>
      <c r="V58" s="39">
        <f>資料儲存!F6646</f>
        <v>0</v>
      </c>
      <c r="W58" s="39">
        <f>資料儲存!G6646</f>
        <v>0</v>
      </c>
      <c r="X58" s="39">
        <f>資料儲存!H6646</f>
        <v>0</v>
      </c>
      <c r="Y58" s="39">
        <f>資料儲存!I6646</f>
        <v>0</v>
      </c>
      <c r="Z58" s="39">
        <f>資料儲存!J6646</f>
        <v>0</v>
      </c>
      <c r="AA58" s="58"/>
      <c r="AB58" s="62">
        <v>45</v>
      </c>
      <c r="AC58" s="39">
        <f>資料儲存!D6886</f>
        <v>0</v>
      </c>
      <c r="AD58" s="39">
        <f>資料儲存!E6886</f>
        <v>0</v>
      </c>
      <c r="AE58" s="39">
        <f>資料儲存!F6886</f>
        <v>0</v>
      </c>
      <c r="AF58" s="39">
        <f>資料儲存!G6886</f>
        <v>0</v>
      </c>
      <c r="AG58" s="39">
        <f>資料儲存!H6886</f>
        <v>0</v>
      </c>
      <c r="AH58" s="39">
        <f>資料儲存!I6886</f>
        <v>0</v>
      </c>
      <c r="AI58" s="39">
        <f>資料儲存!J6886</f>
        <v>0</v>
      </c>
      <c r="AJ58" s="58"/>
      <c r="AK58" s="62">
        <v>45</v>
      </c>
      <c r="AL58" s="39">
        <f>資料儲存!D7126</f>
        <v>0</v>
      </c>
      <c r="AM58" s="39">
        <f>資料儲存!E7126</f>
        <v>0</v>
      </c>
      <c r="AN58" s="39">
        <f>資料儲存!F7126</f>
        <v>0</v>
      </c>
      <c r="AO58" s="39">
        <f>資料儲存!G7126</f>
        <v>0</v>
      </c>
      <c r="AP58" s="39">
        <f>資料儲存!H7126</f>
        <v>0</v>
      </c>
      <c r="AQ58" s="39">
        <f>資料儲存!I7126</f>
        <v>0</v>
      </c>
      <c r="AR58" s="39">
        <f>資料儲存!J7126</f>
        <v>0</v>
      </c>
      <c r="AT58" s="62">
        <v>45</v>
      </c>
      <c r="AU58" s="39">
        <f>資料儲存!D7366</f>
        <v>0</v>
      </c>
      <c r="AV58" s="39">
        <f>資料儲存!E7366</f>
        <v>0</v>
      </c>
      <c r="AW58" s="39">
        <f>資料儲存!F7366</f>
        <v>0</v>
      </c>
      <c r="AX58" s="39">
        <f>資料儲存!G7366</f>
        <v>0</v>
      </c>
      <c r="AY58" s="39">
        <f>資料儲存!H7366</f>
        <v>0</v>
      </c>
      <c r="AZ58" s="39">
        <f>資料儲存!I7366</f>
        <v>0</v>
      </c>
      <c r="BA58" s="39">
        <f>資料儲存!J7366</f>
        <v>0</v>
      </c>
    </row>
    <row r="59" spans="1:53" s="59" customFormat="1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35"/>
      <c r="AK59" s="40" t="s">
        <v>56</v>
      </c>
      <c r="AL59" s="39">
        <f>SUM(AL44:AO58)</f>
        <v>0</v>
      </c>
      <c r="AM59" s="37"/>
      <c r="AN59" s="37"/>
      <c r="AO59" s="37"/>
      <c r="AP59" s="39">
        <f>AP58</f>
        <v>0</v>
      </c>
      <c r="AQ59" s="39">
        <f>AQ58</f>
        <v>0</v>
      </c>
      <c r="AR59" s="39">
        <f>AR58</f>
        <v>0</v>
      </c>
      <c r="AT59" s="40" t="s">
        <v>56</v>
      </c>
      <c r="AU59" s="39">
        <f>SUM(AU44:AX58)</f>
        <v>0</v>
      </c>
      <c r="AV59" s="37"/>
      <c r="AW59" s="37"/>
      <c r="AX59" s="37"/>
      <c r="AY59" s="39">
        <f>AY58</f>
        <v>0</v>
      </c>
      <c r="AZ59" s="39">
        <f>AZ58</f>
        <v>0</v>
      </c>
      <c r="BA59" s="39">
        <f>BA58</f>
        <v>0</v>
      </c>
    </row>
    <row r="60" spans="1:53" ht="18.5" thickBot="1">
      <c r="A60" s="257" t="s">
        <v>120</v>
      </c>
      <c r="B60" s="258"/>
      <c r="C60" s="258"/>
      <c r="D60" s="258"/>
      <c r="E60" s="258"/>
      <c r="F60" s="258"/>
      <c r="G60" s="258"/>
      <c r="H60" s="259"/>
      <c r="I60" s="14"/>
      <c r="J60" s="257" t="s">
        <v>120</v>
      </c>
      <c r="K60" s="258"/>
      <c r="L60" s="258"/>
      <c r="M60" s="258"/>
      <c r="N60" s="258"/>
      <c r="O60" s="258"/>
      <c r="P60" s="258"/>
      <c r="Q60" s="259"/>
      <c r="R60" s="14"/>
      <c r="S60" s="257" t="s">
        <v>120</v>
      </c>
      <c r="T60" s="258"/>
      <c r="U60" s="258"/>
      <c r="V60" s="258"/>
      <c r="W60" s="258"/>
      <c r="X60" s="258"/>
      <c r="Y60" s="258"/>
      <c r="Z60" s="259"/>
      <c r="AA60" s="14"/>
      <c r="AB60" s="257" t="s">
        <v>120</v>
      </c>
      <c r="AC60" s="258"/>
      <c r="AD60" s="258"/>
      <c r="AE60" s="258"/>
      <c r="AF60" s="258"/>
      <c r="AG60" s="258"/>
      <c r="AH60" s="258"/>
      <c r="AI60" s="259"/>
      <c r="AJ60" s="14"/>
      <c r="AK60" s="257" t="s">
        <v>120</v>
      </c>
      <c r="AL60" s="258"/>
      <c r="AM60" s="258"/>
      <c r="AN60" s="258"/>
      <c r="AO60" s="258"/>
      <c r="AP60" s="258"/>
      <c r="AQ60" s="258"/>
      <c r="AR60" s="259"/>
      <c r="AT60" s="257" t="s">
        <v>120</v>
      </c>
      <c r="AU60" s="258"/>
      <c r="AV60" s="258"/>
      <c r="AW60" s="258"/>
      <c r="AX60" s="258"/>
      <c r="AY60" s="258"/>
      <c r="AZ60" s="258"/>
      <c r="BA60" s="259"/>
    </row>
    <row r="61" spans="1:53" s="67" customFormat="1" ht="17.25" customHeight="1" thickBot="1">
      <c r="A61" s="63" t="s">
        <v>2</v>
      </c>
      <c r="B61" s="64" t="s">
        <v>46</v>
      </c>
      <c r="C61" s="65"/>
      <c r="D61" s="65"/>
      <c r="E61" s="66"/>
      <c r="F61" s="64" t="s">
        <v>47</v>
      </c>
      <c r="G61" s="65"/>
      <c r="H61" s="66"/>
      <c r="I61" s="52"/>
      <c r="J61" s="63" t="s">
        <v>2</v>
      </c>
      <c r="K61" s="64" t="s">
        <v>46</v>
      </c>
      <c r="L61" s="65"/>
      <c r="M61" s="65"/>
      <c r="N61" s="66"/>
      <c r="O61" s="64" t="s">
        <v>47</v>
      </c>
      <c r="P61" s="65"/>
      <c r="Q61" s="66"/>
      <c r="R61" s="52"/>
      <c r="S61" s="63" t="s">
        <v>2</v>
      </c>
      <c r="T61" s="64" t="s">
        <v>46</v>
      </c>
      <c r="U61" s="65"/>
      <c r="V61" s="65"/>
      <c r="W61" s="66"/>
      <c r="X61" s="64" t="s">
        <v>47</v>
      </c>
      <c r="Y61" s="65"/>
      <c r="Z61" s="66"/>
      <c r="AA61" s="52"/>
      <c r="AB61" s="63" t="s">
        <v>2</v>
      </c>
      <c r="AC61" s="64" t="s">
        <v>46</v>
      </c>
      <c r="AD61" s="65"/>
      <c r="AE61" s="65"/>
      <c r="AF61" s="66"/>
      <c r="AG61" s="64" t="s">
        <v>47</v>
      </c>
      <c r="AH61" s="65"/>
      <c r="AI61" s="66"/>
      <c r="AJ61" s="52"/>
      <c r="AK61" s="63" t="s">
        <v>2</v>
      </c>
      <c r="AL61" s="64" t="s">
        <v>46</v>
      </c>
      <c r="AM61" s="65"/>
      <c r="AN61" s="65"/>
      <c r="AO61" s="66"/>
      <c r="AP61" s="64" t="s">
        <v>47</v>
      </c>
      <c r="AQ61" s="65"/>
      <c r="AR61" s="66"/>
      <c r="AT61" s="63" t="s">
        <v>2</v>
      </c>
      <c r="AU61" s="64" t="s">
        <v>46</v>
      </c>
      <c r="AV61" s="65"/>
      <c r="AW61" s="65"/>
      <c r="AX61" s="66"/>
      <c r="AY61" s="64" t="s">
        <v>47</v>
      </c>
      <c r="AZ61" s="65"/>
      <c r="BA61" s="66"/>
    </row>
    <row r="62" spans="1:53" s="67" customFormat="1" ht="16" thickBot="1">
      <c r="A62" s="68">
        <v>0.69791666666666663</v>
      </c>
      <c r="B62" s="69" t="s">
        <v>49</v>
      </c>
      <c r="C62" s="69" t="s">
        <v>50</v>
      </c>
      <c r="D62" s="69" t="s">
        <v>51</v>
      </c>
      <c r="E62" s="69" t="s">
        <v>52</v>
      </c>
      <c r="F62" s="69" t="s">
        <v>53</v>
      </c>
      <c r="G62" s="69" t="s">
        <v>54</v>
      </c>
      <c r="H62" s="69" t="s">
        <v>55</v>
      </c>
      <c r="I62" s="52"/>
      <c r="J62" s="68">
        <v>0.69791666666666663</v>
      </c>
      <c r="K62" s="69" t="s">
        <v>49</v>
      </c>
      <c r="L62" s="69" t="s">
        <v>50</v>
      </c>
      <c r="M62" s="69" t="s">
        <v>51</v>
      </c>
      <c r="N62" s="69" t="s">
        <v>52</v>
      </c>
      <c r="O62" s="69" t="s">
        <v>53</v>
      </c>
      <c r="P62" s="69" t="s">
        <v>54</v>
      </c>
      <c r="Q62" s="69" t="s">
        <v>55</v>
      </c>
      <c r="R62" s="52"/>
      <c r="S62" s="68">
        <v>0.69791666666666663</v>
      </c>
      <c r="T62" s="69" t="s">
        <v>49</v>
      </c>
      <c r="U62" s="69" t="s">
        <v>50</v>
      </c>
      <c r="V62" s="69" t="s">
        <v>51</v>
      </c>
      <c r="W62" s="69" t="s">
        <v>52</v>
      </c>
      <c r="X62" s="69" t="s">
        <v>53</v>
      </c>
      <c r="Y62" s="69" t="s">
        <v>54</v>
      </c>
      <c r="Z62" s="69" t="s">
        <v>55</v>
      </c>
      <c r="AA62" s="52"/>
      <c r="AB62" s="68">
        <v>0.69791666666666663</v>
      </c>
      <c r="AC62" s="69" t="s">
        <v>49</v>
      </c>
      <c r="AD62" s="69" t="s">
        <v>50</v>
      </c>
      <c r="AE62" s="69" t="s">
        <v>51</v>
      </c>
      <c r="AF62" s="69" t="s">
        <v>52</v>
      </c>
      <c r="AG62" s="69" t="s">
        <v>53</v>
      </c>
      <c r="AH62" s="69" t="s">
        <v>54</v>
      </c>
      <c r="AI62" s="69" t="s">
        <v>55</v>
      </c>
      <c r="AJ62" s="52"/>
      <c r="AK62" s="68">
        <v>0.69791666666666663</v>
      </c>
      <c r="AL62" s="69" t="s">
        <v>49</v>
      </c>
      <c r="AM62" s="69" t="s">
        <v>50</v>
      </c>
      <c r="AN62" s="69" t="s">
        <v>51</v>
      </c>
      <c r="AO62" s="69" t="s">
        <v>52</v>
      </c>
      <c r="AP62" s="69" t="s">
        <v>53</v>
      </c>
      <c r="AQ62" s="69" t="s">
        <v>54</v>
      </c>
      <c r="AR62" s="69" t="s">
        <v>55</v>
      </c>
      <c r="AT62" s="68">
        <v>0.69791666666666663</v>
      </c>
      <c r="AU62" s="69" t="s">
        <v>49</v>
      </c>
      <c r="AV62" s="69" t="s">
        <v>50</v>
      </c>
      <c r="AW62" s="69" t="s">
        <v>51</v>
      </c>
      <c r="AX62" s="69" t="s">
        <v>52</v>
      </c>
      <c r="AY62" s="69" t="s">
        <v>53</v>
      </c>
      <c r="AZ62" s="69" t="s">
        <v>54</v>
      </c>
      <c r="BA62" s="69" t="s">
        <v>55</v>
      </c>
    </row>
    <row r="63" spans="1:53" s="67" customFormat="1" ht="16" thickBot="1">
      <c r="A63" s="70">
        <v>46</v>
      </c>
      <c r="B63" s="49">
        <f>資料儲存!D6167</f>
        <v>0</v>
      </c>
      <c r="C63" s="49">
        <f>資料儲存!E6167</f>
        <v>0</v>
      </c>
      <c r="D63" s="49">
        <f>資料儲存!F6167</f>
        <v>0</v>
      </c>
      <c r="E63" s="49">
        <f>資料儲存!G6167</f>
        <v>0</v>
      </c>
      <c r="F63" s="49">
        <f>資料儲存!H6167</f>
        <v>0</v>
      </c>
      <c r="G63" s="49">
        <f>資料儲存!I6167</f>
        <v>0</v>
      </c>
      <c r="H63" s="49">
        <f>資料儲存!J6167</f>
        <v>0</v>
      </c>
      <c r="I63" s="52"/>
      <c r="J63" s="70">
        <v>46</v>
      </c>
      <c r="K63" s="49">
        <f>資料儲存!D6407</f>
        <v>0</v>
      </c>
      <c r="L63" s="49">
        <f>資料儲存!E6407</f>
        <v>0</v>
      </c>
      <c r="M63" s="49">
        <f>資料儲存!F6407</f>
        <v>0</v>
      </c>
      <c r="N63" s="49">
        <f>資料儲存!G6407</f>
        <v>0</v>
      </c>
      <c r="O63" s="49">
        <f>資料儲存!H6407</f>
        <v>0</v>
      </c>
      <c r="P63" s="49">
        <f>資料儲存!I6407</f>
        <v>0</v>
      </c>
      <c r="Q63" s="49">
        <f>資料儲存!J6407</f>
        <v>0</v>
      </c>
      <c r="R63" s="52"/>
      <c r="S63" s="70">
        <v>46</v>
      </c>
      <c r="T63" s="49">
        <f>資料儲存!D6647</f>
        <v>0</v>
      </c>
      <c r="U63" s="49">
        <f>資料儲存!E6647</f>
        <v>0</v>
      </c>
      <c r="V63" s="49">
        <f>資料儲存!F6647</f>
        <v>0</v>
      </c>
      <c r="W63" s="49">
        <f>資料儲存!G6647</f>
        <v>0</v>
      </c>
      <c r="X63" s="49">
        <f>資料儲存!H6647</f>
        <v>0</v>
      </c>
      <c r="Y63" s="49">
        <f>資料儲存!I6647</f>
        <v>0</v>
      </c>
      <c r="Z63" s="49">
        <f>資料儲存!J6647</f>
        <v>0</v>
      </c>
      <c r="AA63" s="52"/>
      <c r="AB63" s="70">
        <v>46</v>
      </c>
      <c r="AC63" s="49">
        <f>資料儲存!D6887</f>
        <v>0</v>
      </c>
      <c r="AD63" s="49">
        <f>資料儲存!E6887</f>
        <v>0</v>
      </c>
      <c r="AE63" s="49">
        <f>資料儲存!F6887</f>
        <v>0</v>
      </c>
      <c r="AF63" s="49">
        <f>資料儲存!G6887</f>
        <v>0</v>
      </c>
      <c r="AG63" s="49">
        <f>資料儲存!H6887</f>
        <v>0</v>
      </c>
      <c r="AH63" s="49">
        <f>資料儲存!I6887</f>
        <v>0</v>
      </c>
      <c r="AI63" s="49">
        <f>資料儲存!J6887</f>
        <v>0</v>
      </c>
      <c r="AJ63" s="52"/>
      <c r="AK63" s="70">
        <v>46</v>
      </c>
      <c r="AL63" s="49">
        <f>資料儲存!D7127</f>
        <v>0</v>
      </c>
      <c r="AM63" s="49">
        <f>資料儲存!E7127</f>
        <v>0</v>
      </c>
      <c r="AN63" s="49">
        <f>資料儲存!F7127</f>
        <v>0</v>
      </c>
      <c r="AO63" s="49">
        <f>資料儲存!G7127</f>
        <v>0</v>
      </c>
      <c r="AP63" s="49">
        <f>資料儲存!H7127</f>
        <v>0</v>
      </c>
      <c r="AQ63" s="49">
        <f>資料儲存!I7127</f>
        <v>0</v>
      </c>
      <c r="AR63" s="49">
        <f>資料儲存!J7127</f>
        <v>0</v>
      </c>
      <c r="AT63" s="70">
        <v>46</v>
      </c>
      <c r="AU63" s="49">
        <f>資料儲存!D7367</f>
        <v>0</v>
      </c>
      <c r="AV63" s="49">
        <f>資料儲存!E7367</f>
        <v>0</v>
      </c>
      <c r="AW63" s="49">
        <f>資料儲存!F7367</f>
        <v>0</v>
      </c>
      <c r="AX63" s="49">
        <f>資料儲存!G7367</f>
        <v>0</v>
      </c>
      <c r="AY63" s="49">
        <f>資料儲存!H7367</f>
        <v>0</v>
      </c>
      <c r="AZ63" s="49">
        <f>資料儲存!I7367</f>
        <v>0</v>
      </c>
      <c r="BA63" s="49">
        <f>資料儲存!J7367</f>
        <v>0</v>
      </c>
    </row>
    <row r="64" spans="1:53" s="67" customFormat="1" ht="16" thickBot="1">
      <c r="A64" s="70">
        <v>47</v>
      </c>
      <c r="B64" s="49">
        <f>資料儲存!D6168</f>
        <v>0</v>
      </c>
      <c r="C64" s="49">
        <f>資料儲存!E6168</f>
        <v>0</v>
      </c>
      <c r="D64" s="49">
        <f>資料儲存!F6168</f>
        <v>0</v>
      </c>
      <c r="E64" s="49">
        <f>資料儲存!G6168</f>
        <v>0</v>
      </c>
      <c r="F64" s="49">
        <f>資料儲存!H6168</f>
        <v>0</v>
      </c>
      <c r="G64" s="49">
        <f>資料儲存!I6168</f>
        <v>0</v>
      </c>
      <c r="H64" s="49">
        <f>資料儲存!J6168</f>
        <v>0</v>
      </c>
      <c r="I64" s="52"/>
      <c r="J64" s="70">
        <v>47</v>
      </c>
      <c r="K64" s="49">
        <f>資料儲存!D6408</f>
        <v>0</v>
      </c>
      <c r="L64" s="49">
        <f>資料儲存!E6408</f>
        <v>0</v>
      </c>
      <c r="M64" s="49">
        <f>資料儲存!F6408</f>
        <v>0</v>
      </c>
      <c r="N64" s="49">
        <f>資料儲存!G6408</f>
        <v>0</v>
      </c>
      <c r="O64" s="49">
        <f>資料儲存!H6408</f>
        <v>0</v>
      </c>
      <c r="P64" s="49">
        <f>資料儲存!I6408</f>
        <v>0</v>
      </c>
      <c r="Q64" s="49">
        <f>資料儲存!J6408</f>
        <v>0</v>
      </c>
      <c r="R64" s="52"/>
      <c r="S64" s="70">
        <v>47</v>
      </c>
      <c r="T64" s="49">
        <f>資料儲存!D6648</f>
        <v>0</v>
      </c>
      <c r="U64" s="49">
        <f>資料儲存!E6648</f>
        <v>0</v>
      </c>
      <c r="V64" s="49">
        <f>資料儲存!F6648</f>
        <v>0</v>
      </c>
      <c r="W64" s="49">
        <f>資料儲存!G6648</f>
        <v>0</v>
      </c>
      <c r="X64" s="49">
        <f>資料儲存!H6648</f>
        <v>0</v>
      </c>
      <c r="Y64" s="49">
        <f>資料儲存!I6648</f>
        <v>0</v>
      </c>
      <c r="Z64" s="49">
        <f>資料儲存!J6648</f>
        <v>0</v>
      </c>
      <c r="AA64" s="52"/>
      <c r="AB64" s="70">
        <v>47</v>
      </c>
      <c r="AC64" s="49">
        <f>資料儲存!D6888</f>
        <v>0</v>
      </c>
      <c r="AD64" s="49">
        <f>資料儲存!E6888</f>
        <v>0</v>
      </c>
      <c r="AE64" s="49">
        <f>資料儲存!F6888</f>
        <v>0</v>
      </c>
      <c r="AF64" s="49">
        <f>資料儲存!G6888</f>
        <v>0</v>
      </c>
      <c r="AG64" s="49">
        <f>資料儲存!H6888</f>
        <v>0</v>
      </c>
      <c r="AH64" s="49">
        <f>資料儲存!I6888</f>
        <v>0</v>
      </c>
      <c r="AI64" s="49">
        <f>資料儲存!J6888</f>
        <v>0</v>
      </c>
      <c r="AJ64" s="52"/>
      <c r="AK64" s="70">
        <v>47</v>
      </c>
      <c r="AL64" s="49">
        <f>資料儲存!D7128</f>
        <v>0</v>
      </c>
      <c r="AM64" s="49">
        <f>資料儲存!E7128</f>
        <v>0</v>
      </c>
      <c r="AN64" s="49">
        <f>資料儲存!F7128</f>
        <v>0</v>
      </c>
      <c r="AO64" s="49">
        <f>資料儲存!G7128</f>
        <v>0</v>
      </c>
      <c r="AP64" s="49">
        <f>資料儲存!H7128</f>
        <v>0</v>
      </c>
      <c r="AQ64" s="49">
        <f>資料儲存!I7128</f>
        <v>0</v>
      </c>
      <c r="AR64" s="49">
        <f>資料儲存!J7128</f>
        <v>0</v>
      </c>
      <c r="AT64" s="70">
        <v>47</v>
      </c>
      <c r="AU64" s="49">
        <f>資料儲存!D7368</f>
        <v>0</v>
      </c>
      <c r="AV64" s="49">
        <f>資料儲存!E7368</f>
        <v>0</v>
      </c>
      <c r="AW64" s="49">
        <f>資料儲存!F7368</f>
        <v>0</v>
      </c>
      <c r="AX64" s="49">
        <f>資料儲存!G7368</f>
        <v>0</v>
      </c>
      <c r="AY64" s="49">
        <f>資料儲存!H7368</f>
        <v>0</v>
      </c>
      <c r="AZ64" s="49">
        <f>資料儲存!I7368</f>
        <v>0</v>
      </c>
      <c r="BA64" s="49">
        <f>資料儲存!J7368</f>
        <v>0</v>
      </c>
    </row>
    <row r="65" spans="1:53" s="67" customFormat="1" ht="16" thickBot="1">
      <c r="A65" s="70">
        <v>48</v>
      </c>
      <c r="B65" s="49">
        <f>資料儲存!D6169</f>
        <v>0</v>
      </c>
      <c r="C65" s="49">
        <f>資料儲存!E6169</f>
        <v>0</v>
      </c>
      <c r="D65" s="49">
        <f>資料儲存!F6169</f>
        <v>0</v>
      </c>
      <c r="E65" s="49">
        <f>資料儲存!G6169</f>
        <v>0</v>
      </c>
      <c r="F65" s="49">
        <f>資料儲存!H6169</f>
        <v>0</v>
      </c>
      <c r="G65" s="49">
        <f>資料儲存!I6169</f>
        <v>0</v>
      </c>
      <c r="H65" s="49">
        <f>資料儲存!J6169</f>
        <v>0</v>
      </c>
      <c r="I65" s="52"/>
      <c r="J65" s="70">
        <v>48</v>
      </c>
      <c r="K65" s="49">
        <f>資料儲存!D6409</f>
        <v>0</v>
      </c>
      <c r="L65" s="49">
        <f>資料儲存!E6409</f>
        <v>0</v>
      </c>
      <c r="M65" s="49">
        <f>資料儲存!F6409</f>
        <v>0</v>
      </c>
      <c r="N65" s="49">
        <f>資料儲存!G6409</f>
        <v>0</v>
      </c>
      <c r="O65" s="49">
        <f>資料儲存!H6409</f>
        <v>0</v>
      </c>
      <c r="P65" s="49">
        <f>資料儲存!I6409</f>
        <v>0</v>
      </c>
      <c r="Q65" s="49">
        <f>資料儲存!J6409</f>
        <v>0</v>
      </c>
      <c r="R65" s="52"/>
      <c r="S65" s="70">
        <v>48</v>
      </c>
      <c r="T65" s="49">
        <f>資料儲存!D6649</f>
        <v>0</v>
      </c>
      <c r="U65" s="49">
        <f>資料儲存!E6649</f>
        <v>0</v>
      </c>
      <c r="V65" s="49">
        <f>資料儲存!F6649</f>
        <v>0</v>
      </c>
      <c r="W65" s="49">
        <f>資料儲存!G6649</f>
        <v>0</v>
      </c>
      <c r="X65" s="49">
        <f>資料儲存!H6649</f>
        <v>0</v>
      </c>
      <c r="Y65" s="49">
        <f>資料儲存!I6649</f>
        <v>0</v>
      </c>
      <c r="Z65" s="49">
        <f>資料儲存!J6649</f>
        <v>0</v>
      </c>
      <c r="AA65" s="52"/>
      <c r="AB65" s="70">
        <v>48</v>
      </c>
      <c r="AC65" s="49">
        <f>資料儲存!D6889</f>
        <v>0</v>
      </c>
      <c r="AD65" s="49">
        <f>資料儲存!E6889</f>
        <v>0</v>
      </c>
      <c r="AE65" s="49">
        <f>資料儲存!F6889</f>
        <v>0</v>
      </c>
      <c r="AF65" s="49">
        <f>資料儲存!G6889</f>
        <v>0</v>
      </c>
      <c r="AG65" s="49">
        <f>資料儲存!H6889</f>
        <v>0</v>
      </c>
      <c r="AH65" s="49">
        <f>資料儲存!I6889</f>
        <v>0</v>
      </c>
      <c r="AI65" s="49">
        <f>資料儲存!J6889</f>
        <v>0</v>
      </c>
      <c r="AJ65" s="52"/>
      <c r="AK65" s="70">
        <v>48</v>
      </c>
      <c r="AL65" s="49">
        <f>資料儲存!D7129</f>
        <v>0</v>
      </c>
      <c r="AM65" s="49">
        <f>資料儲存!E7129</f>
        <v>0</v>
      </c>
      <c r="AN65" s="49">
        <f>資料儲存!F7129</f>
        <v>0</v>
      </c>
      <c r="AO65" s="49">
        <f>資料儲存!G7129</f>
        <v>0</v>
      </c>
      <c r="AP65" s="49">
        <f>資料儲存!H7129</f>
        <v>0</v>
      </c>
      <c r="AQ65" s="49">
        <f>資料儲存!I7129</f>
        <v>0</v>
      </c>
      <c r="AR65" s="49">
        <f>資料儲存!J7129</f>
        <v>0</v>
      </c>
      <c r="AT65" s="70">
        <v>48</v>
      </c>
      <c r="AU65" s="49">
        <f>資料儲存!D7369</f>
        <v>0</v>
      </c>
      <c r="AV65" s="49">
        <f>資料儲存!E7369</f>
        <v>0</v>
      </c>
      <c r="AW65" s="49">
        <f>資料儲存!F7369</f>
        <v>0</v>
      </c>
      <c r="AX65" s="49">
        <f>資料儲存!G7369</f>
        <v>0</v>
      </c>
      <c r="AY65" s="49">
        <f>資料儲存!H7369</f>
        <v>0</v>
      </c>
      <c r="AZ65" s="49">
        <f>資料儲存!I7369</f>
        <v>0</v>
      </c>
      <c r="BA65" s="49">
        <f>資料儲存!J7369</f>
        <v>0</v>
      </c>
    </row>
    <row r="66" spans="1:53" s="67" customFormat="1" ht="16" thickBot="1">
      <c r="A66" s="70">
        <v>49</v>
      </c>
      <c r="B66" s="49">
        <f>資料儲存!D6170</f>
        <v>0</v>
      </c>
      <c r="C66" s="49">
        <f>資料儲存!E6170</f>
        <v>0</v>
      </c>
      <c r="D66" s="49">
        <f>資料儲存!F6170</f>
        <v>0</v>
      </c>
      <c r="E66" s="49">
        <f>資料儲存!G6170</f>
        <v>0</v>
      </c>
      <c r="F66" s="49">
        <f>資料儲存!H6170</f>
        <v>0</v>
      </c>
      <c r="G66" s="49">
        <f>資料儲存!I6170</f>
        <v>0</v>
      </c>
      <c r="H66" s="49">
        <f>資料儲存!J6170</f>
        <v>0</v>
      </c>
      <c r="I66" s="52"/>
      <c r="J66" s="70">
        <v>49</v>
      </c>
      <c r="K66" s="49">
        <f>資料儲存!D6410</f>
        <v>0</v>
      </c>
      <c r="L66" s="49">
        <f>資料儲存!E6410</f>
        <v>0</v>
      </c>
      <c r="M66" s="49">
        <f>資料儲存!F6410</f>
        <v>0</v>
      </c>
      <c r="N66" s="49">
        <f>資料儲存!G6410</f>
        <v>0</v>
      </c>
      <c r="O66" s="49">
        <f>資料儲存!H6410</f>
        <v>0</v>
      </c>
      <c r="P66" s="49">
        <f>資料儲存!I6410</f>
        <v>0</v>
      </c>
      <c r="Q66" s="49">
        <f>資料儲存!J6410</f>
        <v>0</v>
      </c>
      <c r="R66" s="52"/>
      <c r="S66" s="70">
        <v>49</v>
      </c>
      <c r="T66" s="49">
        <f>資料儲存!D6650</f>
        <v>0</v>
      </c>
      <c r="U66" s="49">
        <f>資料儲存!E6650</f>
        <v>0</v>
      </c>
      <c r="V66" s="49">
        <f>資料儲存!F6650</f>
        <v>0</v>
      </c>
      <c r="W66" s="49">
        <f>資料儲存!G6650</f>
        <v>0</v>
      </c>
      <c r="X66" s="49">
        <f>資料儲存!H6650</f>
        <v>0</v>
      </c>
      <c r="Y66" s="49">
        <f>資料儲存!I6650</f>
        <v>0</v>
      </c>
      <c r="Z66" s="49">
        <f>資料儲存!J6650</f>
        <v>0</v>
      </c>
      <c r="AA66" s="52"/>
      <c r="AB66" s="70">
        <v>49</v>
      </c>
      <c r="AC66" s="49">
        <f>資料儲存!D6890</f>
        <v>0</v>
      </c>
      <c r="AD66" s="49">
        <f>資料儲存!E6890</f>
        <v>0</v>
      </c>
      <c r="AE66" s="49">
        <f>資料儲存!F6890</f>
        <v>0</v>
      </c>
      <c r="AF66" s="49">
        <f>資料儲存!G6890</f>
        <v>0</v>
      </c>
      <c r="AG66" s="49">
        <f>資料儲存!H6890</f>
        <v>0</v>
      </c>
      <c r="AH66" s="49">
        <f>資料儲存!I6890</f>
        <v>0</v>
      </c>
      <c r="AI66" s="49">
        <f>資料儲存!J6890</f>
        <v>0</v>
      </c>
      <c r="AJ66" s="52"/>
      <c r="AK66" s="70">
        <v>49</v>
      </c>
      <c r="AL66" s="49">
        <f>資料儲存!D7130</f>
        <v>0</v>
      </c>
      <c r="AM66" s="49">
        <f>資料儲存!E7130</f>
        <v>0</v>
      </c>
      <c r="AN66" s="49">
        <f>資料儲存!F7130</f>
        <v>0</v>
      </c>
      <c r="AO66" s="49">
        <f>資料儲存!G7130</f>
        <v>0</v>
      </c>
      <c r="AP66" s="49">
        <f>資料儲存!H7130</f>
        <v>0</v>
      </c>
      <c r="AQ66" s="49">
        <f>資料儲存!I7130</f>
        <v>0</v>
      </c>
      <c r="AR66" s="49">
        <f>資料儲存!J7130</f>
        <v>0</v>
      </c>
      <c r="AT66" s="70">
        <v>49</v>
      </c>
      <c r="AU66" s="49">
        <f>資料儲存!D7370</f>
        <v>0</v>
      </c>
      <c r="AV66" s="49">
        <f>資料儲存!E7370</f>
        <v>0</v>
      </c>
      <c r="AW66" s="49">
        <f>資料儲存!F7370</f>
        <v>0</v>
      </c>
      <c r="AX66" s="49">
        <f>資料儲存!G7370</f>
        <v>0</v>
      </c>
      <c r="AY66" s="49">
        <f>資料儲存!H7370</f>
        <v>0</v>
      </c>
      <c r="AZ66" s="49">
        <f>資料儲存!I7370</f>
        <v>0</v>
      </c>
      <c r="BA66" s="49">
        <f>資料儲存!J7370</f>
        <v>0</v>
      </c>
    </row>
    <row r="67" spans="1:53" s="67" customFormat="1" ht="16" thickBot="1">
      <c r="A67" s="70">
        <v>50</v>
      </c>
      <c r="B67" s="49">
        <f>資料儲存!D6171</f>
        <v>0</v>
      </c>
      <c r="C67" s="49">
        <f>資料儲存!E6171</f>
        <v>0</v>
      </c>
      <c r="D67" s="49">
        <f>資料儲存!F6171</f>
        <v>0</v>
      </c>
      <c r="E67" s="49">
        <f>資料儲存!G6171</f>
        <v>0</v>
      </c>
      <c r="F67" s="49">
        <f>資料儲存!H6171</f>
        <v>0</v>
      </c>
      <c r="G67" s="49">
        <f>資料儲存!I6171</f>
        <v>0</v>
      </c>
      <c r="H67" s="49">
        <f>資料儲存!J6171</f>
        <v>0</v>
      </c>
      <c r="I67" s="52"/>
      <c r="J67" s="70">
        <v>50</v>
      </c>
      <c r="K67" s="49">
        <f>資料儲存!D6411</f>
        <v>0</v>
      </c>
      <c r="L67" s="49">
        <f>資料儲存!E6411</f>
        <v>0</v>
      </c>
      <c r="M67" s="49">
        <f>資料儲存!F6411</f>
        <v>0</v>
      </c>
      <c r="N67" s="49">
        <f>資料儲存!G6411</f>
        <v>0</v>
      </c>
      <c r="O67" s="49">
        <f>資料儲存!H6411</f>
        <v>0</v>
      </c>
      <c r="P67" s="49">
        <f>資料儲存!I6411</f>
        <v>0</v>
      </c>
      <c r="Q67" s="49">
        <f>資料儲存!J6411</f>
        <v>0</v>
      </c>
      <c r="R67" s="52"/>
      <c r="S67" s="70">
        <v>50</v>
      </c>
      <c r="T67" s="49">
        <f>資料儲存!D6651</f>
        <v>0</v>
      </c>
      <c r="U67" s="49">
        <f>資料儲存!E6651</f>
        <v>0</v>
      </c>
      <c r="V67" s="49">
        <f>資料儲存!F6651</f>
        <v>0</v>
      </c>
      <c r="W67" s="49">
        <f>資料儲存!G6651</f>
        <v>0</v>
      </c>
      <c r="X67" s="49">
        <f>資料儲存!H6651</f>
        <v>0</v>
      </c>
      <c r="Y67" s="49">
        <f>資料儲存!I6651</f>
        <v>0</v>
      </c>
      <c r="Z67" s="49">
        <f>資料儲存!J6651</f>
        <v>0</v>
      </c>
      <c r="AA67" s="52"/>
      <c r="AB67" s="70">
        <v>50</v>
      </c>
      <c r="AC67" s="49">
        <f>資料儲存!D6891</f>
        <v>0</v>
      </c>
      <c r="AD67" s="49">
        <f>資料儲存!E6891</f>
        <v>0</v>
      </c>
      <c r="AE67" s="49">
        <f>資料儲存!F6891</f>
        <v>0</v>
      </c>
      <c r="AF67" s="49">
        <f>資料儲存!G6891</f>
        <v>0</v>
      </c>
      <c r="AG67" s="49">
        <f>資料儲存!H6891</f>
        <v>0</v>
      </c>
      <c r="AH67" s="49">
        <f>資料儲存!I6891</f>
        <v>0</v>
      </c>
      <c r="AI67" s="49">
        <f>資料儲存!J6891</f>
        <v>0</v>
      </c>
      <c r="AJ67" s="52"/>
      <c r="AK67" s="70">
        <v>50</v>
      </c>
      <c r="AL67" s="49">
        <f>資料儲存!D7131</f>
        <v>0</v>
      </c>
      <c r="AM67" s="49">
        <f>資料儲存!E7131</f>
        <v>0</v>
      </c>
      <c r="AN67" s="49">
        <f>資料儲存!F7131</f>
        <v>0</v>
      </c>
      <c r="AO67" s="49">
        <f>資料儲存!G7131</f>
        <v>0</v>
      </c>
      <c r="AP67" s="49">
        <f>資料儲存!H7131</f>
        <v>0</v>
      </c>
      <c r="AQ67" s="49">
        <f>資料儲存!I7131</f>
        <v>0</v>
      </c>
      <c r="AR67" s="49">
        <f>資料儲存!J7131</f>
        <v>0</v>
      </c>
      <c r="AT67" s="70">
        <v>50</v>
      </c>
      <c r="AU67" s="49">
        <f>資料儲存!D7371</f>
        <v>0</v>
      </c>
      <c r="AV67" s="49">
        <f>資料儲存!E7371</f>
        <v>0</v>
      </c>
      <c r="AW67" s="49">
        <f>資料儲存!F7371</f>
        <v>0</v>
      </c>
      <c r="AX67" s="49">
        <f>資料儲存!G7371</f>
        <v>0</v>
      </c>
      <c r="AY67" s="49">
        <f>資料儲存!H7371</f>
        <v>0</v>
      </c>
      <c r="AZ67" s="49">
        <f>資料儲存!I7371</f>
        <v>0</v>
      </c>
      <c r="BA67" s="49">
        <f>資料儲存!J7371</f>
        <v>0</v>
      </c>
    </row>
    <row r="68" spans="1:53" s="67" customFormat="1" ht="16" thickBot="1">
      <c r="A68" s="70">
        <v>51</v>
      </c>
      <c r="B68" s="49">
        <f>資料儲存!D6172</f>
        <v>0</v>
      </c>
      <c r="C68" s="49">
        <f>資料儲存!E6172</f>
        <v>0</v>
      </c>
      <c r="D68" s="49">
        <f>資料儲存!F6172</f>
        <v>0</v>
      </c>
      <c r="E68" s="49">
        <f>資料儲存!G6172</f>
        <v>0</v>
      </c>
      <c r="F68" s="49">
        <f>資料儲存!H6172</f>
        <v>0</v>
      </c>
      <c r="G68" s="49">
        <f>資料儲存!I6172</f>
        <v>0</v>
      </c>
      <c r="H68" s="49">
        <f>資料儲存!J6172</f>
        <v>0</v>
      </c>
      <c r="I68" s="52"/>
      <c r="J68" s="70">
        <v>51</v>
      </c>
      <c r="K68" s="49">
        <f>資料儲存!D6412</f>
        <v>0</v>
      </c>
      <c r="L68" s="49">
        <f>資料儲存!E6412</f>
        <v>0</v>
      </c>
      <c r="M68" s="49">
        <f>資料儲存!F6412</f>
        <v>0</v>
      </c>
      <c r="N68" s="49">
        <f>資料儲存!G6412</f>
        <v>0</v>
      </c>
      <c r="O68" s="49">
        <f>資料儲存!H6412</f>
        <v>0</v>
      </c>
      <c r="P68" s="49">
        <f>資料儲存!I6412</f>
        <v>0</v>
      </c>
      <c r="Q68" s="49">
        <f>資料儲存!J6412</f>
        <v>0</v>
      </c>
      <c r="R68" s="52"/>
      <c r="S68" s="70">
        <v>51</v>
      </c>
      <c r="T68" s="49">
        <f>資料儲存!D6652</f>
        <v>0</v>
      </c>
      <c r="U68" s="49">
        <f>資料儲存!E6652</f>
        <v>0</v>
      </c>
      <c r="V68" s="49">
        <f>資料儲存!F6652</f>
        <v>0</v>
      </c>
      <c r="W68" s="49">
        <f>資料儲存!G6652</f>
        <v>0</v>
      </c>
      <c r="X68" s="49">
        <f>資料儲存!H6652</f>
        <v>0</v>
      </c>
      <c r="Y68" s="49">
        <f>資料儲存!I6652</f>
        <v>0</v>
      </c>
      <c r="Z68" s="49">
        <f>資料儲存!J6652</f>
        <v>0</v>
      </c>
      <c r="AA68" s="52"/>
      <c r="AB68" s="70">
        <v>51</v>
      </c>
      <c r="AC68" s="49">
        <f>資料儲存!D6892</f>
        <v>0</v>
      </c>
      <c r="AD68" s="49">
        <f>資料儲存!E6892</f>
        <v>0</v>
      </c>
      <c r="AE68" s="49">
        <f>資料儲存!F6892</f>
        <v>0</v>
      </c>
      <c r="AF68" s="49">
        <f>資料儲存!G6892</f>
        <v>0</v>
      </c>
      <c r="AG68" s="49">
        <f>資料儲存!H6892</f>
        <v>0</v>
      </c>
      <c r="AH68" s="49">
        <f>資料儲存!I6892</f>
        <v>0</v>
      </c>
      <c r="AI68" s="49">
        <f>資料儲存!J6892</f>
        <v>0</v>
      </c>
      <c r="AJ68" s="52"/>
      <c r="AK68" s="70">
        <v>51</v>
      </c>
      <c r="AL68" s="49">
        <f>資料儲存!D7132</f>
        <v>0</v>
      </c>
      <c r="AM68" s="49">
        <f>資料儲存!E7132</f>
        <v>0</v>
      </c>
      <c r="AN68" s="49">
        <f>資料儲存!F7132</f>
        <v>0</v>
      </c>
      <c r="AO68" s="49">
        <f>資料儲存!G7132</f>
        <v>0</v>
      </c>
      <c r="AP68" s="49">
        <f>資料儲存!H7132</f>
        <v>0</v>
      </c>
      <c r="AQ68" s="49">
        <f>資料儲存!I7132</f>
        <v>0</v>
      </c>
      <c r="AR68" s="49">
        <f>資料儲存!J7132</f>
        <v>0</v>
      </c>
      <c r="AT68" s="70">
        <v>51</v>
      </c>
      <c r="AU68" s="49">
        <f>資料儲存!D7372</f>
        <v>0</v>
      </c>
      <c r="AV68" s="49">
        <f>資料儲存!E7372</f>
        <v>0</v>
      </c>
      <c r="AW68" s="49">
        <f>資料儲存!F7372</f>
        <v>0</v>
      </c>
      <c r="AX68" s="49">
        <f>資料儲存!G7372</f>
        <v>0</v>
      </c>
      <c r="AY68" s="49">
        <f>資料儲存!H7372</f>
        <v>0</v>
      </c>
      <c r="AZ68" s="49">
        <f>資料儲存!I7372</f>
        <v>0</v>
      </c>
      <c r="BA68" s="49">
        <f>資料儲存!J7372</f>
        <v>0</v>
      </c>
    </row>
    <row r="69" spans="1:53" s="67" customFormat="1" ht="16" thickBot="1">
      <c r="A69" s="70">
        <v>52</v>
      </c>
      <c r="B69" s="49">
        <f>資料儲存!D6173</f>
        <v>0</v>
      </c>
      <c r="C69" s="49">
        <f>資料儲存!E6173</f>
        <v>0</v>
      </c>
      <c r="D69" s="49">
        <f>資料儲存!F6173</f>
        <v>0</v>
      </c>
      <c r="E69" s="49">
        <f>資料儲存!G6173</f>
        <v>0</v>
      </c>
      <c r="F69" s="49">
        <f>資料儲存!H6173</f>
        <v>0</v>
      </c>
      <c r="G69" s="49">
        <f>資料儲存!I6173</f>
        <v>0</v>
      </c>
      <c r="H69" s="49">
        <f>資料儲存!J6173</f>
        <v>0</v>
      </c>
      <c r="I69" s="52"/>
      <c r="J69" s="70">
        <v>52</v>
      </c>
      <c r="K69" s="49">
        <f>資料儲存!D6413</f>
        <v>0</v>
      </c>
      <c r="L69" s="49">
        <f>資料儲存!E6413</f>
        <v>0</v>
      </c>
      <c r="M69" s="49">
        <f>資料儲存!F6413</f>
        <v>0</v>
      </c>
      <c r="N69" s="49">
        <f>資料儲存!G6413</f>
        <v>0</v>
      </c>
      <c r="O69" s="49">
        <f>資料儲存!H6413</f>
        <v>0</v>
      </c>
      <c r="P69" s="49">
        <f>資料儲存!I6413</f>
        <v>0</v>
      </c>
      <c r="Q69" s="49">
        <f>資料儲存!J6413</f>
        <v>0</v>
      </c>
      <c r="R69" s="52"/>
      <c r="S69" s="70">
        <v>52</v>
      </c>
      <c r="T69" s="49">
        <f>資料儲存!D6653</f>
        <v>0</v>
      </c>
      <c r="U69" s="49">
        <f>資料儲存!E6653</f>
        <v>0</v>
      </c>
      <c r="V69" s="49">
        <f>資料儲存!F6653</f>
        <v>0</v>
      </c>
      <c r="W69" s="49">
        <f>資料儲存!G6653</f>
        <v>0</v>
      </c>
      <c r="X69" s="49">
        <f>資料儲存!H6653</f>
        <v>0</v>
      </c>
      <c r="Y69" s="49">
        <f>資料儲存!I6653</f>
        <v>0</v>
      </c>
      <c r="Z69" s="49">
        <f>資料儲存!J6653</f>
        <v>0</v>
      </c>
      <c r="AA69" s="52"/>
      <c r="AB69" s="70">
        <v>52</v>
      </c>
      <c r="AC69" s="49">
        <f>資料儲存!D6893</f>
        <v>0</v>
      </c>
      <c r="AD69" s="49">
        <f>資料儲存!E6893</f>
        <v>0</v>
      </c>
      <c r="AE69" s="49">
        <f>資料儲存!F6893</f>
        <v>0</v>
      </c>
      <c r="AF69" s="49">
        <f>資料儲存!G6893</f>
        <v>0</v>
      </c>
      <c r="AG69" s="49">
        <f>資料儲存!H6893</f>
        <v>0</v>
      </c>
      <c r="AH69" s="49">
        <f>資料儲存!I6893</f>
        <v>0</v>
      </c>
      <c r="AI69" s="49">
        <f>資料儲存!J6893</f>
        <v>0</v>
      </c>
      <c r="AJ69" s="52"/>
      <c r="AK69" s="70">
        <v>52</v>
      </c>
      <c r="AL69" s="49">
        <f>資料儲存!D7133</f>
        <v>0</v>
      </c>
      <c r="AM69" s="49">
        <f>資料儲存!E7133</f>
        <v>0</v>
      </c>
      <c r="AN69" s="49">
        <f>資料儲存!F7133</f>
        <v>0</v>
      </c>
      <c r="AO69" s="49">
        <f>資料儲存!G7133</f>
        <v>0</v>
      </c>
      <c r="AP69" s="49">
        <f>資料儲存!H7133</f>
        <v>0</v>
      </c>
      <c r="AQ69" s="49">
        <f>資料儲存!I7133</f>
        <v>0</v>
      </c>
      <c r="AR69" s="49">
        <f>資料儲存!J7133</f>
        <v>0</v>
      </c>
      <c r="AT69" s="70">
        <v>52</v>
      </c>
      <c r="AU69" s="49">
        <f>資料儲存!D7373</f>
        <v>0</v>
      </c>
      <c r="AV69" s="49">
        <f>資料儲存!E7373</f>
        <v>0</v>
      </c>
      <c r="AW69" s="49">
        <f>資料儲存!F7373</f>
        <v>0</v>
      </c>
      <c r="AX69" s="49">
        <f>資料儲存!G7373</f>
        <v>0</v>
      </c>
      <c r="AY69" s="49">
        <f>資料儲存!H7373</f>
        <v>0</v>
      </c>
      <c r="AZ69" s="49">
        <f>資料儲存!I7373</f>
        <v>0</v>
      </c>
      <c r="BA69" s="49">
        <f>資料儲存!J7373</f>
        <v>0</v>
      </c>
    </row>
    <row r="70" spans="1:53" s="67" customFormat="1" ht="16" thickBot="1">
      <c r="A70" s="70">
        <v>53</v>
      </c>
      <c r="B70" s="49">
        <f>資料儲存!D6174</f>
        <v>0</v>
      </c>
      <c r="C70" s="49">
        <f>資料儲存!E6174</f>
        <v>0</v>
      </c>
      <c r="D70" s="49">
        <f>資料儲存!F6174</f>
        <v>0</v>
      </c>
      <c r="E70" s="49">
        <f>資料儲存!G6174</f>
        <v>0</v>
      </c>
      <c r="F70" s="49">
        <f>資料儲存!H6174</f>
        <v>0</v>
      </c>
      <c r="G70" s="49">
        <f>資料儲存!I6174</f>
        <v>0</v>
      </c>
      <c r="H70" s="49">
        <f>資料儲存!J6174</f>
        <v>0</v>
      </c>
      <c r="I70" s="52"/>
      <c r="J70" s="70">
        <v>53</v>
      </c>
      <c r="K70" s="49">
        <f>資料儲存!D6414</f>
        <v>0</v>
      </c>
      <c r="L70" s="49">
        <f>資料儲存!E6414</f>
        <v>0</v>
      </c>
      <c r="M70" s="49">
        <f>資料儲存!F6414</f>
        <v>0</v>
      </c>
      <c r="N70" s="49">
        <f>資料儲存!G6414</f>
        <v>0</v>
      </c>
      <c r="O70" s="49">
        <f>資料儲存!H6414</f>
        <v>0</v>
      </c>
      <c r="P70" s="49">
        <f>資料儲存!I6414</f>
        <v>0</v>
      </c>
      <c r="Q70" s="49">
        <f>資料儲存!J6414</f>
        <v>0</v>
      </c>
      <c r="R70" s="52"/>
      <c r="S70" s="70">
        <v>53</v>
      </c>
      <c r="T70" s="49">
        <f>資料儲存!D6654</f>
        <v>0</v>
      </c>
      <c r="U70" s="49">
        <f>資料儲存!E6654</f>
        <v>0</v>
      </c>
      <c r="V70" s="49">
        <f>資料儲存!F6654</f>
        <v>0</v>
      </c>
      <c r="W70" s="49">
        <f>資料儲存!G6654</f>
        <v>0</v>
      </c>
      <c r="X70" s="49">
        <f>資料儲存!H6654</f>
        <v>0</v>
      </c>
      <c r="Y70" s="49">
        <f>資料儲存!I6654</f>
        <v>0</v>
      </c>
      <c r="Z70" s="49">
        <f>資料儲存!J6654</f>
        <v>0</v>
      </c>
      <c r="AA70" s="52"/>
      <c r="AB70" s="70">
        <v>53</v>
      </c>
      <c r="AC70" s="49">
        <f>資料儲存!D6894</f>
        <v>0</v>
      </c>
      <c r="AD70" s="49">
        <f>資料儲存!E6894</f>
        <v>0</v>
      </c>
      <c r="AE70" s="49">
        <f>資料儲存!F6894</f>
        <v>0</v>
      </c>
      <c r="AF70" s="49">
        <f>資料儲存!G6894</f>
        <v>0</v>
      </c>
      <c r="AG70" s="49">
        <f>資料儲存!H6894</f>
        <v>0</v>
      </c>
      <c r="AH70" s="49">
        <f>資料儲存!I6894</f>
        <v>0</v>
      </c>
      <c r="AI70" s="49">
        <f>資料儲存!J6894</f>
        <v>0</v>
      </c>
      <c r="AJ70" s="52"/>
      <c r="AK70" s="70">
        <v>53</v>
      </c>
      <c r="AL70" s="49">
        <f>資料儲存!D7134</f>
        <v>0</v>
      </c>
      <c r="AM70" s="49">
        <f>資料儲存!E7134</f>
        <v>0</v>
      </c>
      <c r="AN70" s="49">
        <f>資料儲存!F7134</f>
        <v>0</v>
      </c>
      <c r="AO70" s="49">
        <f>資料儲存!G7134</f>
        <v>0</v>
      </c>
      <c r="AP70" s="49">
        <f>資料儲存!H7134</f>
        <v>0</v>
      </c>
      <c r="AQ70" s="49">
        <f>資料儲存!I7134</f>
        <v>0</v>
      </c>
      <c r="AR70" s="49">
        <f>資料儲存!J7134</f>
        <v>0</v>
      </c>
      <c r="AT70" s="70">
        <v>53</v>
      </c>
      <c r="AU70" s="49">
        <f>資料儲存!D7374</f>
        <v>0</v>
      </c>
      <c r="AV70" s="49">
        <f>資料儲存!E7374</f>
        <v>0</v>
      </c>
      <c r="AW70" s="49">
        <f>資料儲存!F7374</f>
        <v>0</v>
      </c>
      <c r="AX70" s="49">
        <f>資料儲存!G7374</f>
        <v>0</v>
      </c>
      <c r="AY70" s="49">
        <f>資料儲存!H7374</f>
        <v>0</v>
      </c>
      <c r="AZ70" s="49">
        <f>資料儲存!I7374</f>
        <v>0</v>
      </c>
      <c r="BA70" s="49">
        <f>資料儲存!J7374</f>
        <v>0</v>
      </c>
    </row>
    <row r="71" spans="1:53" s="67" customFormat="1" ht="16" thickBot="1">
      <c r="A71" s="70">
        <v>54</v>
      </c>
      <c r="B71" s="49">
        <f>資料儲存!D6175</f>
        <v>0</v>
      </c>
      <c r="C71" s="49">
        <f>資料儲存!E6175</f>
        <v>0</v>
      </c>
      <c r="D71" s="49">
        <f>資料儲存!F6175</f>
        <v>0</v>
      </c>
      <c r="E71" s="49">
        <f>資料儲存!G6175</f>
        <v>0</v>
      </c>
      <c r="F71" s="49">
        <f>資料儲存!H6175</f>
        <v>0</v>
      </c>
      <c r="G71" s="49">
        <f>資料儲存!I6175</f>
        <v>0</v>
      </c>
      <c r="H71" s="49">
        <f>資料儲存!J6175</f>
        <v>0</v>
      </c>
      <c r="I71" s="52"/>
      <c r="J71" s="70">
        <v>54</v>
      </c>
      <c r="K71" s="49">
        <f>資料儲存!D6415</f>
        <v>0</v>
      </c>
      <c r="L71" s="49">
        <f>資料儲存!E6415</f>
        <v>0</v>
      </c>
      <c r="M71" s="49">
        <f>資料儲存!F6415</f>
        <v>0</v>
      </c>
      <c r="N71" s="49">
        <f>資料儲存!G6415</f>
        <v>0</v>
      </c>
      <c r="O71" s="49">
        <f>資料儲存!H6415</f>
        <v>0</v>
      </c>
      <c r="P71" s="49">
        <f>資料儲存!I6415</f>
        <v>0</v>
      </c>
      <c r="Q71" s="49">
        <f>資料儲存!J6415</f>
        <v>0</v>
      </c>
      <c r="R71" s="52"/>
      <c r="S71" s="70">
        <v>54</v>
      </c>
      <c r="T71" s="49">
        <f>資料儲存!D6655</f>
        <v>0</v>
      </c>
      <c r="U71" s="49">
        <f>資料儲存!E6655</f>
        <v>0</v>
      </c>
      <c r="V71" s="49">
        <f>資料儲存!F6655</f>
        <v>0</v>
      </c>
      <c r="W71" s="49">
        <f>資料儲存!G6655</f>
        <v>0</v>
      </c>
      <c r="X71" s="49">
        <f>資料儲存!H6655</f>
        <v>0</v>
      </c>
      <c r="Y71" s="49">
        <f>資料儲存!I6655</f>
        <v>0</v>
      </c>
      <c r="Z71" s="49">
        <f>資料儲存!J6655</f>
        <v>0</v>
      </c>
      <c r="AA71" s="52"/>
      <c r="AB71" s="70">
        <v>54</v>
      </c>
      <c r="AC71" s="49">
        <f>資料儲存!D6895</f>
        <v>0</v>
      </c>
      <c r="AD71" s="49">
        <f>資料儲存!E6895</f>
        <v>0</v>
      </c>
      <c r="AE71" s="49">
        <f>資料儲存!F6895</f>
        <v>0</v>
      </c>
      <c r="AF71" s="49">
        <f>資料儲存!G6895</f>
        <v>0</v>
      </c>
      <c r="AG71" s="49">
        <f>資料儲存!H6895</f>
        <v>0</v>
      </c>
      <c r="AH71" s="49">
        <f>資料儲存!I6895</f>
        <v>0</v>
      </c>
      <c r="AI71" s="49">
        <f>資料儲存!J6895</f>
        <v>0</v>
      </c>
      <c r="AJ71" s="52"/>
      <c r="AK71" s="70">
        <v>54</v>
      </c>
      <c r="AL71" s="49">
        <f>資料儲存!D7135</f>
        <v>0</v>
      </c>
      <c r="AM71" s="49">
        <f>資料儲存!E7135</f>
        <v>0</v>
      </c>
      <c r="AN71" s="49">
        <f>資料儲存!F7135</f>
        <v>0</v>
      </c>
      <c r="AO71" s="49">
        <f>資料儲存!G7135</f>
        <v>0</v>
      </c>
      <c r="AP71" s="49">
        <f>資料儲存!H7135</f>
        <v>0</v>
      </c>
      <c r="AQ71" s="49">
        <f>資料儲存!I7135</f>
        <v>0</v>
      </c>
      <c r="AR71" s="49">
        <f>資料儲存!J7135</f>
        <v>0</v>
      </c>
      <c r="AT71" s="70">
        <v>54</v>
      </c>
      <c r="AU71" s="49">
        <f>資料儲存!D7375</f>
        <v>0</v>
      </c>
      <c r="AV71" s="49">
        <f>資料儲存!E7375</f>
        <v>0</v>
      </c>
      <c r="AW71" s="49">
        <f>資料儲存!F7375</f>
        <v>0</v>
      </c>
      <c r="AX71" s="49">
        <f>資料儲存!G7375</f>
        <v>0</v>
      </c>
      <c r="AY71" s="49">
        <f>資料儲存!H7375</f>
        <v>0</v>
      </c>
      <c r="AZ71" s="49">
        <f>資料儲存!I7375</f>
        <v>0</v>
      </c>
      <c r="BA71" s="49">
        <f>資料儲存!J7375</f>
        <v>0</v>
      </c>
    </row>
    <row r="72" spans="1:53" s="67" customFormat="1" ht="16" thickBot="1">
      <c r="A72" s="70">
        <v>55</v>
      </c>
      <c r="B72" s="49">
        <f>資料儲存!D6176</f>
        <v>0</v>
      </c>
      <c r="C72" s="49">
        <f>資料儲存!E6176</f>
        <v>0</v>
      </c>
      <c r="D72" s="49">
        <f>資料儲存!F6176</f>
        <v>0</v>
      </c>
      <c r="E72" s="49">
        <f>資料儲存!G6176</f>
        <v>0</v>
      </c>
      <c r="F72" s="49">
        <f>資料儲存!H6176</f>
        <v>0</v>
      </c>
      <c r="G72" s="49">
        <f>資料儲存!I6176</f>
        <v>0</v>
      </c>
      <c r="H72" s="49">
        <f>資料儲存!J6176</f>
        <v>0</v>
      </c>
      <c r="I72" s="52"/>
      <c r="J72" s="70">
        <v>55</v>
      </c>
      <c r="K72" s="49">
        <f>資料儲存!D6416</f>
        <v>0</v>
      </c>
      <c r="L72" s="49">
        <f>資料儲存!E6416</f>
        <v>0</v>
      </c>
      <c r="M72" s="49">
        <f>資料儲存!F6416</f>
        <v>0</v>
      </c>
      <c r="N72" s="49">
        <f>資料儲存!G6416</f>
        <v>0</v>
      </c>
      <c r="O72" s="49">
        <f>資料儲存!H6416</f>
        <v>0</v>
      </c>
      <c r="P72" s="49">
        <f>資料儲存!I6416</f>
        <v>0</v>
      </c>
      <c r="Q72" s="49">
        <f>資料儲存!J6416</f>
        <v>0</v>
      </c>
      <c r="R72" s="52"/>
      <c r="S72" s="70">
        <v>55</v>
      </c>
      <c r="T72" s="49">
        <f>資料儲存!D6656</f>
        <v>0</v>
      </c>
      <c r="U72" s="49">
        <f>資料儲存!E6656</f>
        <v>0</v>
      </c>
      <c r="V72" s="49">
        <f>資料儲存!F6656</f>
        <v>0</v>
      </c>
      <c r="W72" s="49">
        <f>資料儲存!G6656</f>
        <v>0</v>
      </c>
      <c r="X72" s="49">
        <f>資料儲存!H6656</f>
        <v>0</v>
      </c>
      <c r="Y72" s="49">
        <f>資料儲存!I6656</f>
        <v>0</v>
      </c>
      <c r="Z72" s="49">
        <f>資料儲存!J6656</f>
        <v>0</v>
      </c>
      <c r="AA72" s="52"/>
      <c r="AB72" s="70">
        <v>55</v>
      </c>
      <c r="AC72" s="49">
        <f>資料儲存!D6896</f>
        <v>0</v>
      </c>
      <c r="AD72" s="49">
        <f>資料儲存!E6896</f>
        <v>0</v>
      </c>
      <c r="AE72" s="49">
        <f>資料儲存!F6896</f>
        <v>0</v>
      </c>
      <c r="AF72" s="49">
        <f>資料儲存!G6896</f>
        <v>0</v>
      </c>
      <c r="AG72" s="49">
        <f>資料儲存!H6896</f>
        <v>0</v>
      </c>
      <c r="AH72" s="49">
        <f>資料儲存!I6896</f>
        <v>0</v>
      </c>
      <c r="AI72" s="49">
        <f>資料儲存!J6896</f>
        <v>0</v>
      </c>
      <c r="AJ72" s="52"/>
      <c r="AK72" s="70">
        <v>55</v>
      </c>
      <c r="AL72" s="49">
        <f>資料儲存!D7136</f>
        <v>0</v>
      </c>
      <c r="AM72" s="49">
        <f>資料儲存!E7136</f>
        <v>0</v>
      </c>
      <c r="AN72" s="49">
        <f>資料儲存!F7136</f>
        <v>0</v>
      </c>
      <c r="AO72" s="49">
        <f>資料儲存!G7136</f>
        <v>0</v>
      </c>
      <c r="AP72" s="49">
        <f>資料儲存!H7136</f>
        <v>0</v>
      </c>
      <c r="AQ72" s="49">
        <f>資料儲存!I7136</f>
        <v>0</v>
      </c>
      <c r="AR72" s="49">
        <f>資料儲存!J7136</f>
        <v>0</v>
      </c>
      <c r="AT72" s="70">
        <v>55</v>
      </c>
      <c r="AU72" s="49">
        <f>資料儲存!D7376</f>
        <v>0</v>
      </c>
      <c r="AV72" s="49">
        <f>資料儲存!E7376</f>
        <v>0</v>
      </c>
      <c r="AW72" s="49">
        <f>資料儲存!F7376</f>
        <v>0</v>
      </c>
      <c r="AX72" s="49">
        <f>資料儲存!G7376</f>
        <v>0</v>
      </c>
      <c r="AY72" s="49">
        <f>資料儲存!H7376</f>
        <v>0</v>
      </c>
      <c r="AZ72" s="49">
        <f>資料儲存!I7376</f>
        <v>0</v>
      </c>
      <c r="BA72" s="49">
        <f>資料儲存!J7376</f>
        <v>0</v>
      </c>
    </row>
    <row r="73" spans="1:53" s="67" customFormat="1" ht="16" thickBot="1">
      <c r="A73" s="70">
        <v>56</v>
      </c>
      <c r="B73" s="49">
        <f>資料儲存!D6177</f>
        <v>0</v>
      </c>
      <c r="C73" s="49">
        <f>資料儲存!E6177</f>
        <v>0</v>
      </c>
      <c r="D73" s="49">
        <f>資料儲存!F6177</f>
        <v>0</v>
      </c>
      <c r="E73" s="49">
        <f>資料儲存!G6177</f>
        <v>0</v>
      </c>
      <c r="F73" s="49">
        <f>資料儲存!H6177</f>
        <v>0</v>
      </c>
      <c r="G73" s="49">
        <f>資料儲存!I6177</f>
        <v>0</v>
      </c>
      <c r="H73" s="49">
        <f>資料儲存!J6177</f>
        <v>0</v>
      </c>
      <c r="I73" s="52"/>
      <c r="J73" s="70">
        <v>56</v>
      </c>
      <c r="K73" s="49">
        <f>資料儲存!D6417</f>
        <v>0</v>
      </c>
      <c r="L73" s="49">
        <f>資料儲存!E6417</f>
        <v>0</v>
      </c>
      <c r="M73" s="49">
        <f>資料儲存!F6417</f>
        <v>0</v>
      </c>
      <c r="N73" s="49">
        <f>資料儲存!G6417</f>
        <v>0</v>
      </c>
      <c r="O73" s="49">
        <f>資料儲存!H6417</f>
        <v>0</v>
      </c>
      <c r="P73" s="49">
        <f>資料儲存!I6417</f>
        <v>0</v>
      </c>
      <c r="Q73" s="49">
        <f>資料儲存!J6417</f>
        <v>0</v>
      </c>
      <c r="R73" s="52"/>
      <c r="S73" s="70">
        <v>56</v>
      </c>
      <c r="T73" s="49">
        <f>資料儲存!D6657</f>
        <v>0</v>
      </c>
      <c r="U73" s="49">
        <f>資料儲存!E6657</f>
        <v>0</v>
      </c>
      <c r="V73" s="49">
        <f>資料儲存!F6657</f>
        <v>0</v>
      </c>
      <c r="W73" s="49">
        <f>資料儲存!G6657</f>
        <v>0</v>
      </c>
      <c r="X73" s="49">
        <f>資料儲存!H6657</f>
        <v>0</v>
      </c>
      <c r="Y73" s="49">
        <f>資料儲存!I6657</f>
        <v>0</v>
      </c>
      <c r="Z73" s="49">
        <f>資料儲存!J6657</f>
        <v>0</v>
      </c>
      <c r="AA73" s="52"/>
      <c r="AB73" s="70">
        <v>56</v>
      </c>
      <c r="AC73" s="49">
        <f>資料儲存!D6897</f>
        <v>0</v>
      </c>
      <c r="AD73" s="49">
        <f>資料儲存!E6897</f>
        <v>0</v>
      </c>
      <c r="AE73" s="49">
        <f>資料儲存!F6897</f>
        <v>0</v>
      </c>
      <c r="AF73" s="49">
        <f>資料儲存!G6897</f>
        <v>0</v>
      </c>
      <c r="AG73" s="49">
        <f>資料儲存!H6897</f>
        <v>0</v>
      </c>
      <c r="AH73" s="49">
        <f>資料儲存!I6897</f>
        <v>0</v>
      </c>
      <c r="AI73" s="49">
        <f>資料儲存!J6897</f>
        <v>0</v>
      </c>
      <c r="AJ73" s="52"/>
      <c r="AK73" s="70">
        <v>56</v>
      </c>
      <c r="AL73" s="49">
        <f>資料儲存!D7137</f>
        <v>0</v>
      </c>
      <c r="AM73" s="49">
        <f>資料儲存!E7137</f>
        <v>0</v>
      </c>
      <c r="AN73" s="49">
        <f>資料儲存!F7137</f>
        <v>0</v>
      </c>
      <c r="AO73" s="49">
        <f>資料儲存!G7137</f>
        <v>0</v>
      </c>
      <c r="AP73" s="49">
        <f>資料儲存!H7137</f>
        <v>0</v>
      </c>
      <c r="AQ73" s="49">
        <f>資料儲存!I7137</f>
        <v>0</v>
      </c>
      <c r="AR73" s="49">
        <f>資料儲存!J7137</f>
        <v>0</v>
      </c>
      <c r="AT73" s="70">
        <v>56</v>
      </c>
      <c r="AU73" s="49">
        <f>資料儲存!D7377</f>
        <v>0</v>
      </c>
      <c r="AV73" s="49">
        <f>資料儲存!E7377</f>
        <v>0</v>
      </c>
      <c r="AW73" s="49">
        <f>資料儲存!F7377</f>
        <v>0</v>
      </c>
      <c r="AX73" s="49">
        <f>資料儲存!G7377</f>
        <v>0</v>
      </c>
      <c r="AY73" s="49">
        <f>資料儲存!H7377</f>
        <v>0</v>
      </c>
      <c r="AZ73" s="49">
        <f>資料儲存!I7377</f>
        <v>0</v>
      </c>
      <c r="BA73" s="49">
        <f>資料儲存!J7377</f>
        <v>0</v>
      </c>
    </row>
    <row r="74" spans="1:53" s="67" customFormat="1" ht="16" thickBot="1">
      <c r="A74" s="70">
        <v>57</v>
      </c>
      <c r="B74" s="49">
        <f>資料儲存!D6178</f>
        <v>0</v>
      </c>
      <c r="C74" s="49">
        <f>資料儲存!E6178</f>
        <v>0</v>
      </c>
      <c r="D74" s="49">
        <f>資料儲存!F6178</f>
        <v>0</v>
      </c>
      <c r="E74" s="49">
        <f>資料儲存!G6178</f>
        <v>0</v>
      </c>
      <c r="F74" s="49">
        <f>資料儲存!H6178</f>
        <v>0</v>
      </c>
      <c r="G74" s="49">
        <f>資料儲存!I6178</f>
        <v>0</v>
      </c>
      <c r="H74" s="49">
        <f>資料儲存!J6178</f>
        <v>0</v>
      </c>
      <c r="I74" s="52"/>
      <c r="J74" s="70">
        <v>57</v>
      </c>
      <c r="K74" s="49">
        <f>資料儲存!D6418</f>
        <v>0</v>
      </c>
      <c r="L74" s="49">
        <f>資料儲存!E6418</f>
        <v>0</v>
      </c>
      <c r="M74" s="49">
        <f>資料儲存!F6418</f>
        <v>0</v>
      </c>
      <c r="N74" s="49">
        <f>資料儲存!G6418</f>
        <v>0</v>
      </c>
      <c r="O74" s="49">
        <f>資料儲存!H6418</f>
        <v>0</v>
      </c>
      <c r="P74" s="49">
        <f>資料儲存!I6418</f>
        <v>0</v>
      </c>
      <c r="Q74" s="49">
        <f>資料儲存!J6418</f>
        <v>0</v>
      </c>
      <c r="R74" s="52"/>
      <c r="S74" s="70">
        <v>57</v>
      </c>
      <c r="T74" s="49">
        <f>資料儲存!D6658</f>
        <v>0</v>
      </c>
      <c r="U74" s="49">
        <f>資料儲存!E6658</f>
        <v>0</v>
      </c>
      <c r="V74" s="49">
        <f>資料儲存!F6658</f>
        <v>0</v>
      </c>
      <c r="W74" s="49">
        <f>資料儲存!G6658</f>
        <v>0</v>
      </c>
      <c r="X74" s="49">
        <f>資料儲存!H6658</f>
        <v>0</v>
      </c>
      <c r="Y74" s="49">
        <f>資料儲存!I6658</f>
        <v>0</v>
      </c>
      <c r="Z74" s="49">
        <f>資料儲存!J6658</f>
        <v>0</v>
      </c>
      <c r="AA74" s="52"/>
      <c r="AB74" s="70">
        <v>57</v>
      </c>
      <c r="AC74" s="49">
        <f>資料儲存!D6898</f>
        <v>0</v>
      </c>
      <c r="AD74" s="49">
        <f>資料儲存!E6898</f>
        <v>0</v>
      </c>
      <c r="AE74" s="49">
        <f>資料儲存!F6898</f>
        <v>0</v>
      </c>
      <c r="AF74" s="49">
        <f>資料儲存!G6898</f>
        <v>0</v>
      </c>
      <c r="AG74" s="49">
        <f>資料儲存!H6898</f>
        <v>0</v>
      </c>
      <c r="AH74" s="49">
        <f>資料儲存!I6898</f>
        <v>0</v>
      </c>
      <c r="AI74" s="49">
        <f>資料儲存!J6898</f>
        <v>0</v>
      </c>
      <c r="AJ74" s="52"/>
      <c r="AK74" s="70">
        <v>57</v>
      </c>
      <c r="AL74" s="49">
        <f>資料儲存!D7138</f>
        <v>0</v>
      </c>
      <c r="AM74" s="49">
        <f>資料儲存!E7138</f>
        <v>0</v>
      </c>
      <c r="AN74" s="49">
        <f>資料儲存!F7138</f>
        <v>0</v>
      </c>
      <c r="AO74" s="49">
        <f>資料儲存!G7138</f>
        <v>0</v>
      </c>
      <c r="AP74" s="49">
        <f>資料儲存!H7138</f>
        <v>0</v>
      </c>
      <c r="AQ74" s="49">
        <f>資料儲存!I7138</f>
        <v>0</v>
      </c>
      <c r="AR74" s="49">
        <f>資料儲存!J7138</f>
        <v>0</v>
      </c>
      <c r="AT74" s="70">
        <v>57</v>
      </c>
      <c r="AU74" s="49">
        <f>資料儲存!D7378</f>
        <v>0</v>
      </c>
      <c r="AV74" s="49">
        <f>資料儲存!E7378</f>
        <v>0</v>
      </c>
      <c r="AW74" s="49">
        <f>資料儲存!F7378</f>
        <v>0</v>
      </c>
      <c r="AX74" s="49">
        <f>資料儲存!G7378</f>
        <v>0</v>
      </c>
      <c r="AY74" s="49">
        <f>資料儲存!H7378</f>
        <v>0</v>
      </c>
      <c r="AZ74" s="49">
        <f>資料儲存!I7378</f>
        <v>0</v>
      </c>
      <c r="BA74" s="49">
        <f>資料儲存!J7378</f>
        <v>0</v>
      </c>
    </row>
    <row r="75" spans="1:53" s="67" customFormat="1" ht="16" thickBot="1">
      <c r="A75" s="70">
        <v>58</v>
      </c>
      <c r="B75" s="49">
        <f>資料儲存!D6179</f>
        <v>0</v>
      </c>
      <c r="C75" s="49">
        <f>資料儲存!E6179</f>
        <v>0</v>
      </c>
      <c r="D75" s="49">
        <f>資料儲存!F6179</f>
        <v>0</v>
      </c>
      <c r="E75" s="49">
        <f>資料儲存!G6179</f>
        <v>0</v>
      </c>
      <c r="F75" s="49">
        <f>資料儲存!H6179</f>
        <v>0</v>
      </c>
      <c r="G75" s="49">
        <f>資料儲存!I6179</f>
        <v>0</v>
      </c>
      <c r="H75" s="49">
        <f>資料儲存!J6179</f>
        <v>0</v>
      </c>
      <c r="I75" s="52"/>
      <c r="J75" s="70">
        <v>58</v>
      </c>
      <c r="K75" s="49">
        <f>資料儲存!D6419</f>
        <v>0</v>
      </c>
      <c r="L75" s="49">
        <f>資料儲存!E6419</f>
        <v>0</v>
      </c>
      <c r="M75" s="49">
        <f>資料儲存!F6419</f>
        <v>0</v>
      </c>
      <c r="N75" s="49">
        <f>資料儲存!G6419</f>
        <v>0</v>
      </c>
      <c r="O75" s="49">
        <f>資料儲存!H6419</f>
        <v>0</v>
      </c>
      <c r="P75" s="49">
        <f>資料儲存!I6419</f>
        <v>0</v>
      </c>
      <c r="Q75" s="49">
        <f>資料儲存!J6419</f>
        <v>0</v>
      </c>
      <c r="R75" s="52"/>
      <c r="S75" s="70">
        <v>58</v>
      </c>
      <c r="T75" s="49">
        <f>資料儲存!D6659</f>
        <v>0</v>
      </c>
      <c r="U75" s="49">
        <f>資料儲存!E6659</f>
        <v>0</v>
      </c>
      <c r="V75" s="49">
        <f>資料儲存!F6659</f>
        <v>0</v>
      </c>
      <c r="W75" s="49">
        <f>資料儲存!G6659</f>
        <v>0</v>
      </c>
      <c r="X75" s="49">
        <f>資料儲存!H6659</f>
        <v>0</v>
      </c>
      <c r="Y75" s="49">
        <f>資料儲存!I6659</f>
        <v>0</v>
      </c>
      <c r="Z75" s="49">
        <f>資料儲存!J6659</f>
        <v>0</v>
      </c>
      <c r="AA75" s="52"/>
      <c r="AB75" s="70">
        <v>58</v>
      </c>
      <c r="AC75" s="49">
        <f>資料儲存!D6899</f>
        <v>0</v>
      </c>
      <c r="AD75" s="49">
        <f>資料儲存!E6899</f>
        <v>0</v>
      </c>
      <c r="AE75" s="49">
        <f>資料儲存!F6899</f>
        <v>0</v>
      </c>
      <c r="AF75" s="49">
        <f>資料儲存!G6899</f>
        <v>0</v>
      </c>
      <c r="AG75" s="49">
        <f>資料儲存!H6899</f>
        <v>0</v>
      </c>
      <c r="AH75" s="49">
        <f>資料儲存!I6899</f>
        <v>0</v>
      </c>
      <c r="AI75" s="49">
        <f>資料儲存!J6899</f>
        <v>0</v>
      </c>
      <c r="AJ75" s="52"/>
      <c r="AK75" s="70">
        <v>58</v>
      </c>
      <c r="AL75" s="49">
        <f>資料儲存!D7139</f>
        <v>0</v>
      </c>
      <c r="AM75" s="49">
        <f>資料儲存!E7139</f>
        <v>0</v>
      </c>
      <c r="AN75" s="49">
        <f>資料儲存!F7139</f>
        <v>0</v>
      </c>
      <c r="AO75" s="49">
        <f>資料儲存!G7139</f>
        <v>0</v>
      </c>
      <c r="AP75" s="49">
        <f>資料儲存!H7139</f>
        <v>0</v>
      </c>
      <c r="AQ75" s="49">
        <f>資料儲存!I7139</f>
        <v>0</v>
      </c>
      <c r="AR75" s="49">
        <f>資料儲存!J7139</f>
        <v>0</v>
      </c>
      <c r="AT75" s="70">
        <v>58</v>
      </c>
      <c r="AU75" s="49">
        <f>資料儲存!D7379</f>
        <v>0</v>
      </c>
      <c r="AV75" s="49">
        <f>資料儲存!E7379</f>
        <v>0</v>
      </c>
      <c r="AW75" s="49">
        <f>資料儲存!F7379</f>
        <v>0</v>
      </c>
      <c r="AX75" s="49">
        <f>資料儲存!G7379</f>
        <v>0</v>
      </c>
      <c r="AY75" s="49">
        <f>資料儲存!H7379</f>
        <v>0</v>
      </c>
      <c r="AZ75" s="49">
        <f>資料儲存!I7379</f>
        <v>0</v>
      </c>
      <c r="BA75" s="49">
        <f>資料儲存!J7379</f>
        <v>0</v>
      </c>
    </row>
    <row r="76" spans="1:53" s="67" customFormat="1" ht="16" thickBot="1">
      <c r="A76" s="70">
        <v>59</v>
      </c>
      <c r="B76" s="49">
        <f>資料儲存!D6180</f>
        <v>0</v>
      </c>
      <c r="C76" s="49">
        <f>資料儲存!E6180</f>
        <v>0</v>
      </c>
      <c r="D76" s="49">
        <f>資料儲存!F6180</f>
        <v>0</v>
      </c>
      <c r="E76" s="49">
        <f>資料儲存!G6180</f>
        <v>0</v>
      </c>
      <c r="F76" s="49">
        <f>資料儲存!H6180</f>
        <v>0</v>
      </c>
      <c r="G76" s="49">
        <f>資料儲存!I6180</f>
        <v>0</v>
      </c>
      <c r="H76" s="49">
        <f>資料儲存!J6180</f>
        <v>0</v>
      </c>
      <c r="I76" s="52"/>
      <c r="J76" s="70">
        <v>59</v>
      </c>
      <c r="K76" s="49">
        <f>資料儲存!D6420</f>
        <v>0</v>
      </c>
      <c r="L76" s="49">
        <f>資料儲存!E6420</f>
        <v>0</v>
      </c>
      <c r="M76" s="49">
        <f>資料儲存!F6420</f>
        <v>0</v>
      </c>
      <c r="N76" s="49">
        <f>資料儲存!G6420</f>
        <v>0</v>
      </c>
      <c r="O76" s="49">
        <f>資料儲存!H6420</f>
        <v>0</v>
      </c>
      <c r="P76" s="49">
        <f>資料儲存!I6420</f>
        <v>0</v>
      </c>
      <c r="Q76" s="49">
        <f>資料儲存!J6420</f>
        <v>0</v>
      </c>
      <c r="R76" s="52"/>
      <c r="S76" s="70">
        <v>59</v>
      </c>
      <c r="T76" s="49">
        <f>資料儲存!D6660</f>
        <v>0</v>
      </c>
      <c r="U76" s="49">
        <f>資料儲存!E6660</f>
        <v>0</v>
      </c>
      <c r="V76" s="49">
        <f>資料儲存!F6660</f>
        <v>0</v>
      </c>
      <c r="W76" s="49">
        <f>資料儲存!G6660</f>
        <v>0</v>
      </c>
      <c r="X76" s="49">
        <f>資料儲存!H6660</f>
        <v>0</v>
      </c>
      <c r="Y76" s="49">
        <f>資料儲存!I6660</f>
        <v>0</v>
      </c>
      <c r="Z76" s="49">
        <f>資料儲存!J6660</f>
        <v>0</v>
      </c>
      <c r="AA76" s="52"/>
      <c r="AB76" s="70">
        <v>59</v>
      </c>
      <c r="AC76" s="49">
        <f>資料儲存!D6900</f>
        <v>0</v>
      </c>
      <c r="AD76" s="49">
        <f>資料儲存!E6900</f>
        <v>0</v>
      </c>
      <c r="AE76" s="49">
        <f>資料儲存!F6900</f>
        <v>0</v>
      </c>
      <c r="AF76" s="49">
        <f>資料儲存!G6900</f>
        <v>0</v>
      </c>
      <c r="AG76" s="49">
        <f>資料儲存!H6900</f>
        <v>0</v>
      </c>
      <c r="AH76" s="49">
        <f>資料儲存!I6900</f>
        <v>0</v>
      </c>
      <c r="AI76" s="49">
        <f>資料儲存!J6900</f>
        <v>0</v>
      </c>
      <c r="AJ76" s="52"/>
      <c r="AK76" s="70">
        <v>59</v>
      </c>
      <c r="AL76" s="49">
        <f>資料儲存!D7140</f>
        <v>0</v>
      </c>
      <c r="AM76" s="49">
        <f>資料儲存!E7140</f>
        <v>0</v>
      </c>
      <c r="AN76" s="49">
        <f>資料儲存!F7140</f>
        <v>0</v>
      </c>
      <c r="AO76" s="49">
        <f>資料儲存!G7140</f>
        <v>0</v>
      </c>
      <c r="AP76" s="49">
        <f>資料儲存!H7140</f>
        <v>0</v>
      </c>
      <c r="AQ76" s="49">
        <f>資料儲存!I7140</f>
        <v>0</v>
      </c>
      <c r="AR76" s="49">
        <f>資料儲存!J7140</f>
        <v>0</v>
      </c>
      <c r="AT76" s="70">
        <v>59</v>
      </c>
      <c r="AU76" s="49">
        <f>資料儲存!D7380</f>
        <v>0</v>
      </c>
      <c r="AV76" s="49">
        <f>資料儲存!E7380</f>
        <v>0</v>
      </c>
      <c r="AW76" s="49">
        <f>資料儲存!F7380</f>
        <v>0</v>
      </c>
      <c r="AX76" s="49">
        <f>資料儲存!G7380</f>
        <v>0</v>
      </c>
      <c r="AY76" s="49">
        <f>資料儲存!H7380</f>
        <v>0</v>
      </c>
      <c r="AZ76" s="49">
        <f>資料儲存!I7380</f>
        <v>0</v>
      </c>
      <c r="BA76" s="49">
        <f>資料儲存!J7380</f>
        <v>0</v>
      </c>
    </row>
    <row r="77" spans="1:53" s="67" customFormat="1" ht="16" thickBot="1">
      <c r="A77" s="70">
        <v>60</v>
      </c>
      <c r="B77" s="49">
        <f>資料儲存!D6181</f>
        <v>0</v>
      </c>
      <c r="C77" s="49">
        <f>資料儲存!E6181</f>
        <v>0</v>
      </c>
      <c r="D77" s="49">
        <f>資料儲存!F6181</f>
        <v>0</v>
      </c>
      <c r="E77" s="49">
        <f>資料儲存!G6181</f>
        <v>0</v>
      </c>
      <c r="F77" s="49">
        <f>資料儲存!H6181</f>
        <v>0</v>
      </c>
      <c r="G77" s="49">
        <f>資料儲存!I6181</f>
        <v>0</v>
      </c>
      <c r="H77" s="49">
        <f>資料儲存!J6181</f>
        <v>0</v>
      </c>
      <c r="I77" s="52"/>
      <c r="J77" s="70">
        <v>60</v>
      </c>
      <c r="K77" s="49">
        <f>資料儲存!D6421</f>
        <v>0</v>
      </c>
      <c r="L77" s="49">
        <f>資料儲存!E6421</f>
        <v>0</v>
      </c>
      <c r="M77" s="49">
        <f>資料儲存!F6421</f>
        <v>0</v>
      </c>
      <c r="N77" s="49">
        <f>資料儲存!G6421</f>
        <v>0</v>
      </c>
      <c r="O77" s="49">
        <f>資料儲存!H6421</f>
        <v>0</v>
      </c>
      <c r="P77" s="49">
        <f>資料儲存!I6421</f>
        <v>0</v>
      </c>
      <c r="Q77" s="49">
        <f>資料儲存!J6421</f>
        <v>0</v>
      </c>
      <c r="R77" s="52"/>
      <c r="S77" s="70">
        <v>60</v>
      </c>
      <c r="T77" s="49">
        <f>資料儲存!D6661</f>
        <v>0</v>
      </c>
      <c r="U77" s="49">
        <f>資料儲存!E6661</f>
        <v>0</v>
      </c>
      <c r="V77" s="49">
        <f>資料儲存!F6661</f>
        <v>0</v>
      </c>
      <c r="W77" s="49">
        <f>資料儲存!G6661</f>
        <v>0</v>
      </c>
      <c r="X77" s="49">
        <f>資料儲存!H6661</f>
        <v>0</v>
      </c>
      <c r="Y77" s="49">
        <f>資料儲存!I6661</f>
        <v>0</v>
      </c>
      <c r="Z77" s="49">
        <f>資料儲存!J6661</f>
        <v>0</v>
      </c>
      <c r="AA77" s="52"/>
      <c r="AB77" s="70">
        <v>60</v>
      </c>
      <c r="AC77" s="49">
        <f>資料儲存!D6901</f>
        <v>0</v>
      </c>
      <c r="AD77" s="49">
        <f>資料儲存!E6901</f>
        <v>0</v>
      </c>
      <c r="AE77" s="49">
        <f>資料儲存!F6901</f>
        <v>0</v>
      </c>
      <c r="AF77" s="49">
        <f>資料儲存!G6901</f>
        <v>0</v>
      </c>
      <c r="AG77" s="49">
        <f>資料儲存!H6901</f>
        <v>0</v>
      </c>
      <c r="AH77" s="49">
        <f>資料儲存!I6901</f>
        <v>0</v>
      </c>
      <c r="AI77" s="49">
        <f>資料儲存!J6901</f>
        <v>0</v>
      </c>
      <c r="AJ77" s="52"/>
      <c r="AK77" s="70">
        <v>60</v>
      </c>
      <c r="AL77" s="49">
        <f>資料儲存!D7141</f>
        <v>0</v>
      </c>
      <c r="AM77" s="49">
        <f>資料儲存!E7141</f>
        <v>0</v>
      </c>
      <c r="AN77" s="49">
        <f>資料儲存!F7141</f>
        <v>0</v>
      </c>
      <c r="AO77" s="49">
        <f>資料儲存!G7141</f>
        <v>0</v>
      </c>
      <c r="AP77" s="49">
        <f>資料儲存!H7141</f>
        <v>0</v>
      </c>
      <c r="AQ77" s="49">
        <f>資料儲存!I7141</f>
        <v>0</v>
      </c>
      <c r="AR77" s="49">
        <f>資料儲存!J7141</f>
        <v>0</v>
      </c>
      <c r="AT77" s="70">
        <v>60</v>
      </c>
      <c r="AU77" s="49">
        <f>資料儲存!D7381</f>
        <v>0</v>
      </c>
      <c r="AV77" s="49">
        <f>資料儲存!E7381</f>
        <v>0</v>
      </c>
      <c r="AW77" s="49">
        <f>資料儲存!F7381</f>
        <v>0</v>
      </c>
      <c r="AX77" s="49">
        <f>資料儲存!G7381</f>
        <v>0</v>
      </c>
      <c r="AY77" s="49">
        <f>資料儲存!H7381</f>
        <v>0</v>
      </c>
      <c r="AZ77" s="49">
        <f>資料儲存!I7381</f>
        <v>0</v>
      </c>
      <c r="BA77" s="49">
        <f>資料儲存!J7381</f>
        <v>0</v>
      </c>
    </row>
    <row r="78" spans="1:53" s="67" customFormat="1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0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  <c r="AT78" s="50" t="s">
        <v>56</v>
      </c>
      <c r="AU78" s="49">
        <f>SUM(AU63:AX77)</f>
        <v>0</v>
      </c>
      <c r="AV78" s="47"/>
      <c r="AW78" s="47"/>
      <c r="AX78" s="47"/>
      <c r="AY78" s="49">
        <f>AY77</f>
        <v>0</v>
      </c>
      <c r="AZ78" s="49">
        <f>AZ77</f>
        <v>0</v>
      </c>
      <c r="BA78" s="49">
        <f>BA77</f>
        <v>0</v>
      </c>
    </row>
    <row r="79" spans="1:53" ht="18.5" thickBot="1">
      <c r="A79" s="257" t="s">
        <v>121</v>
      </c>
      <c r="B79" s="258"/>
      <c r="C79" s="258"/>
      <c r="D79" s="258"/>
      <c r="E79" s="258"/>
      <c r="F79" s="258"/>
      <c r="G79" s="258"/>
      <c r="H79" s="259"/>
      <c r="I79" s="14"/>
      <c r="J79" s="257" t="s">
        <v>121</v>
      </c>
      <c r="K79" s="258"/>
      <c r="L79" s="258"/>
      <c r="M79" s="258"/>
      <c r="N79" s="258"/>
      <c r="O79" s="258"/>
      <c r="P79" s="258"/>
      <c r="Q79" s="259"/>
      <c r="R79" s="14"/>
      <c r="S79" s="257" t="s">
        <v>121</v>
      </c>
      <c r="T79" s="258"/>
      <c r="U79" s="258"/>
      <c r="V79" s="258"/>
      <c r="W79" s="258"/>
      <c r="X79" s="258"/>
      <c r="Y79" s="258"/>
      <c r="Z79" s="259"/>
      <c r="AA79" s="14"/>
      <c r="AB79" s="257" t="s">
        <v>121</v>
      </c>
      <c r="AC79" s="258"/>
      <c r="AD79" s="258"/>
      <c r="AE79" s="258"/>
      <c r="AF79" s="258"/>
      <c r="AG79" s="258"/>
      <c r="AH79" s="258"/>
      <c r="AI79" s="259"/>
      <c r="AJ79" s="14"/>
      <c r="AK79" s="257" t="s">
        <v>121</v>
      </c>
      <c r="AL79" s="258"/>
      <c r="AM79" s="258"/>
      <c r="AN79" s="258"/>
      <c r="AO79" s="258"/>
      <c r="AP79" s="258"/>
      <c r="AQ79" s="258"/>
      <c r="AR79" s="259"/>
      <c r="AT79" s="257" t="s">
        <v>121</v>
      </c>
      <c r="AU79" s="258"/>
      <c r="AV79" s="258"/>
      <c r="AW79" s="258"/>
      <c r="AX79" s="258"/>
      <c r="AY79" s="258"/>
      <c r="AZ79" s="258"/>
      <c r="BA79" s="259"/>
    </row>
    <row r="80" spans="1:53" s="59" customFormat="1" ht="17.25" customHeight="1" thickBot="1">
      <c r="A80" s="54" t="s">
        <v>2</v>
      </c>
      <c r="B80" s="55" t="s">
        <v>46</v>
      </c>
      <c r="C80" s="56"/>
      <c r="D80" s="56"/>
      <c r="E80" s="57"/>
      <c r="F80" s="55" t="s">
        <v>47</v>
      </c>
      <c r="G80" s="56"/>
      <c r="H80" s="57"/>
      <c r="I80" s="58"/>
      <c r="J80" s="54" t="s">
        <v>2</v>
      </c>
      <c r="K80" s="55" t="s">
        <v>46</v>
      </c>
      <c r="L80" s="56"/>
      <c r="M80" s="56"/>
      <c r="N80" s="57"/>
      <c r="O80" s="55" t="s">
        <v>47</v>
      </c>
      <c r="P80" s="56"/>
      <c r="Q80" s="57"/>
      <c r="R80" s="58"/>
      <c r="S80" s="54" t="s">
        <v>2</v>
      </c>
      <c r="T80" s="55" t="s">
        <v>46</v>
      </c>
      <c r="U80" s="56"/>
      <c r="V80" s="56"/>
      <c r="W80" s="57"/>
      <c r="X80" s="55" t="s">
        <v>47</v>
      </c>
      <c r="Y80" s="56"/>
      <c r="Z80" s="57"/>
      <c r="AA80" s="58"/>
      <c r="AB80" s="54" t="s">
        <v>2</v>
      </c>
      <c r="AC80" s="55" t="s">
        <v>46</v>
      </c>
      <c r="AD80" s="56"/>
      <c r="AE80" s="56"/>
      <c r="AF80" s="57"/>
      <c r="AG80" s="55" t="s">
        <v>47</v>
      </c>
      <c r="AH80" s="56"/>
      <c r="AI80" s="57"/>
      <c r="AJ80" s="58"/>
      <c r="AK80" s="54" t="s">
        <v>2</v>
      </c>
      <c r="AL80" s="55" t="s">
        <v>46</v>
      </c>
      <c r="AM80" s="56"/>
      <c r="AN80" s="56"/>
      <c r="AO80" s="57"/>
      <c r="AP80" s="55" t="s">
        <v>47</v>
      </c>
      <c r="AQ80" s="56"/>
      <c r="AR80" s="57"/>
      <c r="AT80" s="54" t="s">
        <v>2</v>
      </c>
      <c r="AU80" s="55" t="s">
        <v>46</v>
      </c>
      <c r="AV80" s="56"/>
      <c r="AW80" s="56"/>
      <c r="AX80" s="57"/>
      <c r="AY80" s="55" t="s">
        <v>47</v>
      </c>
      <c r="AZ80" s="56"/>
      <c r="BA80" s="57"/>
    </row>
    <row r="81" spans="1:53" s="59" customFormat="1" ht="16" thickBot="1">
      <c r="A81" s="60">
        <v>0.70833333333333337</v>
      </c>
      <c r="B81" s="61" t="s">
        <v>49</v>
      </c>
      <c r="C81" s="61" t="s">
        <v>50</v>
      </c>
      <c r="D81" s="61" t="s">
        <v>51</v>
      </c>
      <c r="E81" s="61" t="s">
        <v>52</v>
      </c>
      <c r="F81" s="61" t="s">
        <v>53</v>
      </c>
      <c r="G81" s="61" t="s">
        <v>54</v>
      </c>
      <c r="H81" s="61" t="s">
        <v>55</v>
      </c>
      <c r="I81" s="58"/>
      <c r="J81" s="60">
        <v>0.70833333333333337</v>
      </c>
      <c r="K81" s="61" t="s">
        <v>49</v>
      </c>
      <c r="L81" s="61" t="s">
        <v>50</v>
      </c>
      <c r="M81" s="61" t="s">
        <v>51</v>
      </c>
      <c r="N81" s="61" t="s">
        <v>52</v>
      </c>
      <c r="O81" s="61" t="s">
        <v>53</v>
      </c>
      <c r="P81" s="61" t="s">
        <v>54</v>
      </c>
      <c r="Q81" s="61" t="s">
        <v>55</v>
      </c>
      <c r="R81" s="58"/>
      <c r="S81" s="60">
        <v>0.70833333333333337</v>
      </c>
      <c r="T81" s="61" t="s">
        <v>49</v>
      </c>
      <c r="U81" s="61" t="s">
        <v>50</v>
      </c>
      <c r="V81" s="61" t="s">
        <v>51</v>
      </c>
      <c r="W81" s="61" t="s">
        <v>52</v>
      </c>
      <c r="X81" s="61" t="s">
        <v>53</v>
      </c>
      <c r="Y81" s="61" t="s">
        <v>54</v>
      </c>
      <c r="Z81" s="61" t="s">
        <v>55</v>
      </c>
      <c r="AA81" s="58"/>
      <c r="AB81" s="60">
        <v>0.70833333333333337</v>
      </c>
      <c r="AC81" s="61" t="s">
        <v>49</v>
      </c>
      <c r="AD81" s="61" t="s">
        <v>50</v>
      </c>
      <c r="AE81" s="61" t="s">
        <v>51</v>
      </c>
      <c r="AF81" s="61" t="s">
        <v>52</v>
      </c>
      <c r="AG81" s="61" t="s">
        <v>53</v>
      </c>
      <c r="AH81" s="61" t="s">
        <v>54</v>
      </c>
      <c r="AI81" s="61" t="s">
        <v>55</v>
      </c>
      <c r="AJ81" s="58"/>
      <c r="AK81" s="60">
        <v>0.70833333333333337</v>
      </c>
      <c r="AL81" s="61" t="s">
        <v>49</v>
      </c>
      <c r="AM81" s="61" t="s">
        <v>50</v>
      </c>
      <c r="AN81" s="61" t="s">
        <v>51</v>
      </c>
      <c r="AO81" s="61" t="s">
        <v>52</v>
      </c>
      <c r="AP81" s="61" t="s">
        <v>53</v>
      </c>
      <c r="AQ81" s="61" t="s">
        <v>54</v>
      </c>
      <c r="AR81" s="61" t="s">
        <v>55</v>
      </c>
      <c r="AT81" s="60">
        <v>0.70833333333333337</v>
      </c>
      <c r="AU81" s="61" t="s">
        <v>49</v>
      </c>
      <c r="AV81" s="61" t="s">
        <v>50</v>
      </c>
      <c r="AW81" s="61" t="s">
        <v>51</v>
      </c>
      <c r="AX81" s="61" t="s">
        <v>52</v>
      </c>
      <c r="AY81" s="61" t="s">
        <v>53</v>
      </c>
      <c r="AZ81" s="61" t="s">
        <v>54</v>
      </c>
      <c r="BA81" s="61" t="s">
        <v>55</v>
      </c>
    </row>
    <row r="82" spans="1:53" s="59" customFormat="1" ht="16" thickBot="1">
      <c r="A82" s="62">
        <v>1</v>
      </c>
      <c r="B82" s="39">
        <f>資料儲存!D6182</f>
        <v>0</v>
      </c>
      <c r="C82" s="39">
        <f>資料儲存!E6182</f>
        <v>0</v>
      </c>
      <c r="D82" s="39">
        <f>資料儲存!F6182</f>
        <v>0</v>
      </c>
      <c r="E82" s="39">
        <f>資料儲存!G6182</f>
        <v>0</v>
      </c>
      <c r="F82" s="39">
        <f>資料儲存!H6182</f>
        <v>0</v>
      </c>
      <c r="G82" s="39">
        <f>資料儲存!I6182</f>
        <v>0</v>
      </c>
      <c r="H82" s="39">
        <f>資料儲存!J6182</f>
        <v>0</v>
      </c>
      <c r="I82" s="58"/>
      <c r="J82" s="62">
        <v>1</v>
      </c>
      <c r="K82" s="39">
        <f>資料儲存!D6422</f>
        <v>0</v>
      </c>
      <c r="L82" s="39">
        <f>資料儲存!E6422</f>
        <v>0</v>
      </c>
      <c r="M82" s="39">
        <f>資料儲存!F6422</f>
        <v>0</v>
      </c>
      <c r="N82" s="39">
        <f>資料儲存!G6422</f>
        <v>0</v>
      </c>
      <c r="O82" s="39">
        <f>資料儲存!H6422</f>
        <v>0</v>
      </c>
      <c r="P82" s="39">
        <f>資料儲存!I6422</f>
        <v>0</v>
      </c>
      <c r="Q82" s="39">
        <f>資料儲存!J6422</f>
        <v>0</v>
      </c>
      <c r="R82" s="58"/>
      <c r="S82" s="62">
        <v>1</v>
      </c>
      <c r="T82" s="39">
        <f>資料儲存!D6662</f>
        <v>0</v>
      </c>
      <c r="U82" s="39">
        <f>資料儲存!E6662</f>
        <v>0</v>
      </c>
      <c r="V82" s="39">
        <f>資料儲存!F6662</f>
        <v>0</v>
      </c>
      <c r="W82" s="39">
        <f>資料儲存!G6662</f>
        <v>0</v>
      </c>
      <c r="X82" s="39">
        <f>資料儲存!H6662</f>
        <v>0</v>
      </c>
      <c r="Y82" s="39">
        <f>資料儲存!I6662</f>
        <v>0</v>
      </c>
      <c r="Z82" s="39">
        <f>資料儲存!J6662</f>
        <v>0</v>
      </c>
      <c r="AA82" s="58"/>
      <c r="AB82" s="62">
        <v>1</v>
      </c>
      <c r="AC82" s="39">
        <f>資料儲存!D6902</f>
        <v>0</v>
      </c>
      <c r="AD82" s="39">
        <f>資料儲存!E6902</f>
        <v>0</v>
      </c>
      <c r="AE82" s="39">
        <f>資料儲存!F6902</f>
        <v>0</v>
      </c>
      <c r="AF82" s="39">
        <f>資料儲存!G6902</f>
        <v>0</v>
      </c>
      <c r="AG82" s="39">
        <f>資料儲存!H6902</f>
        <v>0</v>
      </c>
      <c r="AH82" s="39">
        <f>資料儲存!I6902</f>
        <v>0</v>
      </c>
      <c r="AI82" s="39">
        <f>資料儲存!J6902</f>
        <v>0</v>
      </c>
      <c r="AJ82" s="58"/>
      <c r="AK82" s="62">
        <v>1</v>
      </c>
      <c r="AL82" s="39">
        <f>資料儲存!D7142</f>
        <v>0</v>
      </c>
      <c r="AM82" s="39">
        <f>資料儲存!E7142</f>
        <v>0</v>
      </c>
      <c r="AN82" s="39">
        <f>資料儲存!F7142</f>
        <v>0</v>
      </c>
      <c r="AO82" s="39">
        <f>資料儲存!G7142</f>
        <v>0</v>
      </c>
      <c r="AP82" s="39">
        <f>資料儲存!H7142</f>
        <v>0</v>
      </c>
      <c r="AQ82" s="39">
        <f>資料儲存!I7142</f>
        <v>0</v>
      </c>
      <c r="AR82" s="39">
        <f>資料儲存!J7142</f>
        <v>0</v>
      </c>
      <c r="AT82" s="62">
        <v>1</v>
      </c>
      <c r="AU82" s="39">
        <f>資料儲存!D7382</f>
        <v>0</v>
      </c>
      <c r="AV82" s="39">
        <f>資料儲存!E7382</f>
        <v>0</v>
      </c>
      <c r="AW82" s="39">
        <f>資料儲存!F7382</f>
        <v>0</v>
      </c>
      <c r="AX82" s="39">
        <f>資料儲存!G7382</f>
        <v>0</v>
      </c>
      <c r="AY82" s="39">
        <f>資料儲存!H7382</f>
        <v>0</v>
      </c>
      <c r="AZ82" s="39">
        <f>資料儲存!I7382</f>
        <v>0</v>
      </c>
      <c r="BA82" s="39">
        <f>資料儲存!J7382</f>
        <v>0</v>
      </c>
    </row>
    <row r="83" spans="1:53" s="59" customFormat="1" ht="16" thickBot="1">
      <c r="A83" s="62">
        <v>2</v>
      </c>
      <c r="B83" s="39">
        <f>資料儲存!D6183</f>
        <v>0</v>
      </c>
      <c r="C83" s="39">
        <f>資料儲存!E6183</f>
        <v>0</v>
      </c>
      <c r="D83" s="39">
        <f>資料儲存!F6183</f>
        <v>0</v>
      </c>
      <c r="E83" s="39">
        <f>資料儲存!G6183</f>
        <v>0</v>
      </c>
      <c r="F83" s="39">
        <f>資料儲存!H6183</f>
        <v>0</v>
      </c>
      <c r="G83" s="39">
        <f>資料儲存!I6183</f>
        <v>0</v>
      </c>
      <c r="H83" s="39">
        <f>資料儲存!J6183</f>
        <v>0</v>
      </c>
      <c r="I83" s="58"/>
      <c r="J83" s="62">
        <v>2</v>
      </c>
      <c r="K83" s="39">
        <f>資料儲存!D6423</f>
        <v>0</v>
      </c>
      <c r="L83" s="39">
        <f>資料儲存!E6423</f>
        <v>0</v>
      </c>
      <c r="M83" s="39">
        <f>資料儲存!F6423</f>
        <v>0</v>
      </c>
      <c r="N83" s="39">
        <f>資料儲存!G6423</f>
        <v>0</v>
      </c>
      <c r="O83" s="39">
        <f>資料儲存!H6423</f>
        <v>0</v>
      </c>
      <c r="P83" s="39">
        <f>資料儲存!I6423</f>
        <v>0</v>
      </c>
      <c r="Q83" s="39">
        <f>資料儲存!J6423</f>
        <v>0</v>
      </c>
      <c r="R83" s="58"/>
      <c r="S83" s="62">
        <v>2</v>
      </c>
      <c r="T83" s="39">
        <f>資料儲存!D6663</f>
        <v>0</v>
      </c>
      <c r="U83" s="39">
        <f>資料儲存!E6663</f>
        <v>0</v>
      </c>
      <c r="V83" s="39">
        <f>資料儲存!F6663</f>
        <v>0</v>
      </c>
      <c r="W83" s="39">
        <f>資料儲存!G6663</f>
        <v>0</v>
      </c>
      <c r="X83" s="39">
        <f>資料儲存!H6663</f>
        <v>0</v>
      </c>
      <c r="Y83" s="39">
        <f>資料儲存!I6663</f>
        <v>0</v>
      </c>
      <c r="Z83" s="39">
        <f>資料儲存!J6663</f>
        <v>0</v>
      </c>
      <c r="AA83" s="58"/>
      <c r="AB83" s="62">
        <v>2</v>
      </c>
      <c r="AC83" s="39">
        <f>資料儲存!D6903</f>
        <v>0</v>
      </c>
      <c r="AD83" s="39">
        <f>資料儲存!E6903</f>
        <v>0</v>
      </c>
      <c r="AE83" s="39">
        <f>資料儲存!F6903</f>
        <v>0</v>
      </c>
      <c r="AF83" s="39">
        <f>資料儲存!G6903</f>
        <v>0</v>
      </c>
      <c r="AG83" s="39">
        <f>資料儲存!H6903</f>
        <v>0</v>
      </c>
      <c r="AH83" s="39">
        <f>資料儲存!I6903</f>
        <v>0</v>
      </c>
      <c r="AI83" s="39">
        <f>資料儲存!J6903</f>
        <v>0</v>
      </c>
      <c r="AJ83" s="58"/>
      <c r="AK83" s="62">
        <v>2</v>
      </c>
      <c r="AL83" s="39">
        <f>資料儲存!D7143</f>
        <v>0</v>
      </c>
      <c r="AM83" s="39">
        <f>資料儲存!E7143</f>
        <v>0</v>
      </c>
      <c r="AN83" s="39">
        <f>資料儲存!F7143</f>
        <v>0</v>
      </c>
      <c r="AO83" s="39">
        <f>資料儲存!G7143</f>
        <v>0</v>
      </c>
      <c r="AP83" s="39">
        <f>資料儲存!H7143</f>
        <v>0</v>
      </c>
      <c r="AQ83" s="39">
        <f>資料儲存!I7143</f>
        <v>0</v>
      </c>
      <c r="AR83" s="39">
        <f>資料儲存!J7143</f>
        <v>0</v>
      </c>
      <c r="AT83" s="62">
        <v>2</v>
      </c>
      <c r="AU83" s="39">
        <f>資料儲存!D7383</f>
        <v>0</v>
      </c>
      <c r="AV83" s="39">
        <f>資料儲存!E7383</f>
        <v>0</v>
      </c>
      <c r="AW83" s="39">
        <f>資料儲存!F7383</f>
        <v>0</v>
      </c>
      <c r="AX83" s="39">
        <f>資料儲存!G7383</f>
        <v>0</v>
      </c>
      <c r="AY83" s="39">
        <f>資料儲存!H7383</f>
        <v>0</v>
      </c>
      <c r="AZ83" s="39">
        <f>資料儲存!I7383</f>
        <v>0</v>
      </c>
      <c r="BA83" s="39">
        <f>資料儲存!J7383</f>
        <v>0</v>
      </c>
    </row>
    <row r="84" spans="1:53" s="59" customFormat="1" ht="16" thickBot="1">
      <c r="A84" s="62">
        <v>3</v>
      </c>
      <c r="B84" s="39">
        <f>資料儲存!D6184</f>
        <v>0</v>
      </c>
      <c r="C84" s="39">
        <f>資料儲存!E6184</f>
        <v>0</v>
      </c>
      <c r="D84" s="39">
        <f>資料儲存!F6184</f>
        <v>0</v>
      </c>
      <c r="E84" s="39">
        <f>資料儲存!G6184</f>
        <v>0</v>
      </c>
      <c r="F84" s="39">
        <f>資料儲存!H6184</f>
        <v>0</v>
      </c>
      <c r="G84" s="39">
        <f>資料儲存!I6184</f>
        <v>0</v>
      </c>
      <c r="H84" s="39">
        <f>資料儲存!J6184</f>
        <v>0</v>
      </c>
      <c r="I84" s="58"/>
      <c r="J84" s="62">
        <v>3</v>
      </c>
      <c r="K84" s="39">
        <f>資料儲存!D6424</f>
        <v>0</v>
      </c>
      <c r="L84" s="39">
        <f>資料儲存!E6424</f>
        <v>0</v>
      </c>
      <c r="M84" s="39">
        <f>資料儲存!F6424</f>
        <v>0</v>
      </c>
      <c r="N84" s="39">
        <f>資料儲存!G6424</f>
        <v>0</v>
      </c>
      <c r="O84" s="39">
        <f>資料儲存!H6424</f>
        <v>0</v>
      </c>
      <c r="P84" s="39">
        <f>資料儲存!I6424</f>
        <v>0</v>
      </c>
      <c r="Q84" s="39">
        <f>資料儲存!J6424</f>
        <v>0</v>
      </c>
      <c r="R84" s="58"/>
      <c r="S84" s="62">
        <v>3</v>
      </c>
      <c r="T84" s="39">
        <f>資料儲存!D6664</f>
        <v>0</v>
      </c>
      <c r="U84" s="39">
        <f>資料儲存!E6664</f>
        <v>0</v>
      </c>
      <c r="V84" s="39">
        <f>資料儲存!F6664</f>
        <v>0</v>
      </c>
      <c r="W84" s="39">
        <f>資料儲存!G6664</f>
        <v>0</v>
      </c>
      <c r="X84" s="39">
        <f>資料儲存!H6664</f>
        <v>0</v>
      </c>
      <c r="Y84" s="39">
        <f>資料儲存!I6664</f>
        <v>0</v>
      </c>
      <c r="Z84" s="39">
        <f>資料儲存!J6664</f>
        <v>0</v>
      </c>
      <c r="AA84" s="58"/>
      <c r="AB84" s="62">
        <v>3</v>
      </c>
      <c r="AC84" s="39">
        <f>資料儲存!D6904</f>
        <v>0</v>
      </c>
      <c r="AD84" s="39">
        <f>資料儲存!E6904</f>
        <v>0</v>
      </c>
      <c r="AE84" s="39">
        <f>資料儲存!F6904</f>
        <v>0</v>
      </c>
      <c r="AF84" s="39">
        <f>資料儲存!G6904</f>
        <v>0</v>
      </c>
      <c r="AG84" s="39">
        <f>資料儲存!H6904</f>
        <v>0</v>
      </c>
      <c r="AH84" s="39">
        <f>資料儲存!I6904</f>
        <v>0</v>
      </c>
      <c r="AI84" s="39">
        <f>資料儲存!J6904</f>
        <v>0</v>
      </c>
      <c r="AJ84" s="58"/>
      <c r="AK84" s="62">
        <v>3</v>
      </c>
      <c r="AL84" s="39">
        <f>資料儲存!D7144</f>
        <v>0</v>
      </c>
      <c r="AM84" s="39">
        <f>資料儲存!E7144</f>
        <v>0</v>
      </c>
      <c r="AN84" s="39">
        <f>資料儲存!F7144</f>
        <v>0</v>
      </c>
      <c r="AO84" s="39">
        <f>資料儲存!G7144</f>
        <v>0</v>
      </c>
      <c r="AP84" s="39">
        <f>資料儲存!H7144</f>
        <v>0</v>
      </c>
      <c r="AQ84" s="39">
        <f>資料儲存!I7144</f>
        <v>0</v>
      </c>
      <c r="AR84" s="39">
        <f>資料儲存!J7144</f>
        <v>0</v>
      </c>
      <c r="AT84" s="62">
        <v>3</v>
      </c>
      <c r="AU84" s="39">
        <f>資料儲存!D7384</f>
        <v>0</v>
      </c>
      <c r="AV84" s="39">
        <f>資料儲存!E7384</f>
        <v>0</v>
      </c>
      <c r="AW84" s="39">
        <f>資料儲存!F7384</f>
        <v>0</v>
      </c>
      <c r="AX84" s="39">
        <f>資料儲存!G7384</f>
        <v>0</v>
      </c>
      <c r="AY84" s="39">
        <f>資料儲存!H7384</f>
        <v>0</v>
      </c>
      <c r="AZ84" s="39">
        <f>資料儲存!I7384</f>
        <v>0</v>
      </c>
      <c r="BA84" s="39">
        <f>資料儲存!J7384</f>
        <v>0</v>
      </c>
    </row>
    <row r="85" spans="1:53" s="59" customFormat="1" ht="16" thickBot="1">
      <c r="A85" s="62">
        <v>4</v>
      </c>
      <c r="B85" s="39">
        <f>資料儲存!D6185</f>
        <v>0</v>
      </c>
      <c r="C85" s="39">
        <f>資料儲存!E6185</f>
        <v>0</v>
      </c>
      <c r="D85" s="39">
        <f>資料儲存!F6185</f>
        <v>0</v>
      </c>
      <c r="E85" s="39">
        <f>資料儲存!G6185</f>
        <v>0</v>
      </c>
      <c r="F85" s="39">
        <f>資料儲存!H6185</f>
        <v>0</v>
      </c>
      <c r="G85" s="39">
        <f>資料儲存!I6185</f>
        <v>0</v>
      </c>
      <c r="H85" s="39">
        <f>資料儲存!J6185</f>
        <v>0</v>
      </c>
      <c r="I85" s="58"/>
      <c r="J85" s="62">
        <v>4</v>
      </c>
      <c r="K85" s="39">
        <f>資料儲存!D6425</f>
        <v>0</v>
      </c>
      <c r="L85" s="39">
        <f>資料儲存!E6425</f>
        <v>0</v>
      </c>
      <c r="M85" s="39">
        <f>資料儲存!F6425</f>
        <v>0</v>
      </c>
      <c r="N85" s="39">
        <f>資料儲存!G6425</f>
        <v>0</v>
      </c>
      <c r="O85" s="39">
        <f>資料儲存!H6425</f>
        <v>0</v>
      </c>
      <c r="P85" s="39">
        <f>資料儲存!I6425</f>
        <v>0</v>
      </c>
      <c r="Q85" s="39">
        <f>資料儲存!J6425</f>
        <v>0</v>
      </c>
      <c r="R85" s="58"/>
      <c r="S85" s="62">
        <v>4</v>
      </c>
      <c r="T85" s="39">
        <f>資料儲存!D6665</f>
        <v>0</v>
      </c>
      <c r="U85" s="39">
        <f>資料儲存!E6665</f>
        <v>0</v>
      </c>
      <c r="V85" s="39">
        <f>資料儲存!F6665</f>
        <v>0</v>
      </c>
      <c r="W85" s="39">
        <f>資料儲存!G6665</f>
        <v>0</v>
      </c>
      <c r="X85" s="39">
        <f>資料儲存!H6665</f>
        <v>0</v>
      </c>
      <c r="Y85" s="39">
        <f>資料儲存!I6665</f>
        <v>0</v>
      </c>
      <c r="Z85" s="39">
        <f>資料儲存!J6665</f>
        <v>0</v>
      </c>
      <c r="AA85" s="58"/>
      <c r="AB85" s="62">
        <v>4</v>
      </c>
      <c r="AC85" s="39">
        <f>資料儲存!D6905</f>
        <v>0</v>
      </c>
      <c r="AD85" s="39">
        <f>資料儲存!E6905</f>
        <v>0</v>
      </c>
      <c r="AE85" s="39">
        <f>資料儲存!F6905</f>
        <v>0</v>
      </c>
      <c r="AF85" s="39">
        <f>資料儲存!G6905</f>
        <v>0</v>
      </c>
      <c r="AG85" s="39">
        <f>資料儲存!H6905</f>
        <v>0</v>
      </c>
      <c r="AH85" s="39">
        <f>資料儲存!I6905</f>
        <v>0</v>
      </c>
      <c r="AI85" s="39">
        <f>資料儲存!J6905</f>
        <v>0</v>
      </c>
      <c r="AJ85" s="58"/>
      <c r="AK85" s="62">
        <v>4</v>
      </c>
      <c r="AL85" s="39">
        <f>資料儲存!D7145</f>
        <v>0</v>
      </c>
      <c r="AM85" s="39">
        <f>資料儲存!E7145</f>
        <v>0</v>
      </c>
      <c r="AN85" s="39">
        <f>資料儲存!F7145</f>
        <v>0</v>
      </c>
      <c r="AO85" s="39">
        <f>資料儲存!G7145</f>
        <v>0</v>
      </c>
      <c r="AP85" s="39">
        <f>資料儲存!H7145</f>
        <v>0</v>
      </c>
      <c r="AQ85" s="39">
        <f>資料儲存!I7145</f>
        <v>0</v>
      </c>
      <c r="AR85" s="39">
        <f>資料儲存!J7145</f>
        <v>0</v>
      </c>
      <c r="AT85" s="62">
        <v>4</v>
      </c>
      <c r="AU85" s="39">
        <f>資料儲存!D7385</f>
        <v>0</v>
      </c>
      <c r="AV85" s="39">
        <f>資料儲存!E7385</f>
        <v>0</v>
      </c>
      <c r="AW85" s="39">
        <f>資料儲存!F7385</f>
        <v>0</v>
      </c>
      <c r="AX85" s="39">
        <f>資料儲存!G7385</f>
        <v>0</v>
      </c>
      <c r="AY85" s="39">
        <f>資料儲存!H7385</f>
        <v>0</v>
      </c>
      <c r="AZ85" s="39">
        <f>資料儲存!I7385</f>
        <v>0</v>
      </c>
      <c r="BA85" s="39">
        <f>資料儲存!J7385</f>
        <v>0</v>
      </c>
    </row>
    <row r="86" spans="1:53" s="59" customFormat="1" ht="16" thickBot="1">
      <c r="A86" s="62">
        <v>5</v>
      </c>
      <c r="B86" s="39">
        <f>資料儲存!D6186</f>
        <v>0</v>
      </c>
      <c r="C86" s="39">
        <f>資料儲存!E6186</f>
        <v>0</v>
      </c>
      <c r="D86" s="39">
        <f>資料儲存!F6186</f>
        <v>0</v>
      </c>
      <c r="E86" s="39">
        <f>資料儲存!G6186</f>
        <v>0</v>
      </c>
      <c r="F86" s="39">
        <f>資料儲存!H6186</f>
        <v>0</v>
      </c>
      <c r="G86" s="39">
        <f>資料儲存!I6186</f>
        <v>0</v>
      </c>
      <c r="H86" s="39">
        <f>資料儲存!J6186</f>
        <v>0</v>
      </c>
      <c r="I86" s="58"/>
      <c r="J86" s="62">
        <v>5</v>
      </c>
      <c r="K86" s="39">
        <f>資料儲存!D6426</f>
        <v>0</v>
      </c>
      <c r="L86" s="39">
        <f>資料儲存!E6426</f>
        <v>0</v>
      </c>
      <c r="M86" s="39">
        <f>資料儲存!F6426</f>
        <v>0</v>
      </c>
      <c r="N86" s="39">
        <f>資料儲存!G6426</f>
        <v>0</v>
      </c>
      <c r="O86" s="39">
        <f>資料儲存!H6426</f>
        <v>0</v>
      </c>
      <c r="P86" s="39">
        <f>資料儲存!I6426</f>
        <v>0</v>
      </c>
      <c r="Q86" s="39">
        <f>資料儲存!J6426</f>
        <v>0</v>
      </c>
      <c r="R86" s="58"/>
      <c r="S86" s="62">
        <v>5</v>
      </c>
      <c r="T86" s="39">
        <f>資料儲存!D6666</f>
        <v>0</v>
      </c>
      <c r="U86" s="39">
        <f>資料儲存!E6666</f>
        <v>0</v>
      </c>
      <c r="V86" s="39">
        <f>資料儲存!F6666</f>
        <v>0</v>
      </c>
      <c r="W86" s="39">
        <f>資料儲存!G6666</f>
        <v>0</v>
      </c>
      <c r="X86" s="39">
        <f>資料儲存!H6666</f>
        <v>0</v>
      </c>
      <c r="Y86" s="39">
        <f>資料儲存!I6666</f>
        <v>0</v>
      </c>
      <c r="Z86" s="39">
        <f>資料儲存!J6666</f>
        <v>0</v>
      </c>
      <c r="AA86" s="58"/>
      <c r="AB86" s="62">
        <v>5</v>
      </c>
      <c r="AC86" s="39">
        <f>資料儲存!D6906</f>
        <v>0</v>
      </c>
      <c r="AD86" s="39">
        <f>資料儲存!E6906</f>
        <v>0</v>
      </c>
      <c r="AE86" s="39">
        <f>資料儲存!F6906</f>
        <v>0</v>
      </c>
      <c r="AF86" s="39">
        <f>資料儲存!G6906</f>
        <v>0</v>
      </c>
      <c r="AG86" s="39">
        <f>資料儲存!H6906</f>
        <v>0</v>
      </c>
      <c r="AH86" s="39">
        <f>資料儲存!I6906</f>
        <v>0</v>
      </c>
      <c r="AI86" s="39">
        <f>資料儲存!J6906</f>
        <v>0</v>
      </c>
      <c r="AJ86" s="58"/>
      <c r="AK86" s="62">
        <v>5</v>
      </c>
      <c r="AL86" s="39">
        <f>資料儲存!D7146</f>
        <v>0</v>
      </c>
      <c r="AM86" s="39">
        <f>資料儲存!E7146</f>
        <v>0</v>
      </c>
      <c r="AN86" s="39">
        <f>資料儲存!F7146</f>
        <v>0</v>
      </c>
      <c r="AO86" s="39">
        <f>資料儲存!G7146</f>
        <v>0</v>
      </c>
      <c r="AP86" s="39">
        <f>資料儲存!H7146</f>
        <v>0</v>
      </c>
      <c r="AQ86" s="39">
        <f>資料儲存!I7146</f>
        <v>0</v>
      </c>
      <c r="AR86" s="39">
        <f>資料儲存!J7146</f>
        <v>0</v>
      </c>
      <c r="AT86" s="62">
        <v>5</v>
      </c>
      <c r="AU86" s="39">
        <f>資料儲存!D7386</f>
        <v>0</v>
      </c>
      <c r="AV86" s="39">
        <f>資料儲存!E7386</f>
        <v>0</v>
      </c>
      <c r="AW86" s="39">
        <f>資料儲存!F7386</f>
        <v>0</v>
      </c>
      <c r="AX86" s="39">
        <f>資料儲存!G7386</f>
        <v>0</v>
      </c>
      <c r="AY86" s="39">
        <f>資料儲存!H7386</f>
        <v>0</v>
      </c>
      <c r="AZ86" s="39">
        <f>資料儲存!I7386</f>
        <v>0</v>
      </c>
      <c r="BA86" s="39">
        <f>資料儲存!J7386</f>
        <v>0</v>
      </c>
    </row>
    <row r="87" spans="1:53" s="59" customFormat="1" ht="16" thickBot="1">
      <c r="A87" s="62">
        <v>6</v>
      </c>
      <c r="B87" s="39">
        <f>資料儲存!D6187</f>
        <v>0</v>
      </c>
      <c r="C87" s="39">
        <f>資料儲存!E6187</f>
        <v>0</v>
      </c>
      <c r="D87" s="39">
        <f>資料儲存!F6187</f>
        <v>0</v>
      </c>
      <c r="E87" s="39">
        <f>資料儲存!G6187</f>
        <v>0</v>
      </c>
      <c r="F87" s="39">
        <f>資料儲存!H6187</f>
        <v>0</v>
      </c>
      <c r="G87" s="39">
        <f>資料儲存!I6187</f>
        <v>0</v>
      </c>
      <c r="H87" s="39">
        <f>資料儲存!J6187</f>
        <v>0</v>
      </c>
      <c r="I87" s="58"/>
      <c r="J87" s="62">
        <v>6</v>
      </c>
      <c r="K87" s="39">
        <f>資料儲存!D6427</f>
        <v>0</v>
      </c>
      <c r="L87" s="39">
        <f>資料儲存!E6427</f>
        <v>0</v>
      </c>
      <c r="M87" s="39">
        <f>資料儲存!F6427</f>
        <v>0</v>
      </c>
      <c r="N87" s="39">
        <f>資料儲存!G6427</f>
        <v>0</v>
      </c>
      <c r="O87" s="39">
        <f>資料儲存!H6427</f>
        <v>0</v>
      </c>
      <c r="P87" s="39">
        <f>資料儲存!I6427</f>
        <v>0</v>
      </c>
      <c r="Q87" s="39">
        <f>資料儲存!J6427</f>
        <v>0</v>
      </c>
      <c r="R87" s="58"/>
      <c r="S87" s="62">
        <v>6</v>
      </c>
      <c r="T87" s="39">
        <f>資料儲存!D6667</f>
        <v>0</v>
      </c>
      <c r="U87" s="39">
        <f>資料儲存!E6667</f>
        <v>0</v>
      </c>
      <c r="V87" s="39">
        <f>資料儲存!F6667</f>
        <v>0</v>
      </c>
      <c r="W87" s="39">
        <f>資料儲存!G6667</f>
        <v>0</v>
      </c>
      <c r="X87" s="39">
        <f>資料儲存!H6667</f>
        <v>0</v>
      </c>
      <c r="Y87" s="39">
        <f>資料儲存!I6667</f>
        <v>0</v>
      </c>
      <c r="Z87" s="39">
        <f>資料儲存!J6667</f>
        <v>0</v>
      </c>
      <c r="AA87" s="58"/>
      <c r="AB87" s="62">
        <v>6</v>
      </c>
      <c r="AC87" s="39">
        <f>資料儲存!D6907</f>
        <v>0</v>
      </c>
      <c r="AD87" s="39">
        <f>資料儲存!E6907</f>
        <v>0</v>
      </c>
      <c r="AE87" s="39">
        <f>資料儲存!F6907</f>
        <v>0</v>
      </c>
      <c r="AF87" s="39">
        <f>資料儲存!G6907</f>
        <v>0</v>
      </c>
      <c r="AG87" s="39">
        <f>資料儲存!H6907</f>
        <v>0</v>
      </c>
      <c r="AH87" s="39">
        <f>資料儲存!I6907</f>
        <v>0</v>
      </c>
      <c r="AI87" s="39">
        <f>資料儲存!J6907</f>
        <v>0</v>
      </c>
      <c r="AJ87" s="58"/>
      <c r="AK87" s="62">
        <v>6</v>
      </c>
      <c r="AL87" s="39">
        <f>資料儲存!D7147</f>
        <v>0</v>
      </c>
      <c r="AM87" s="39">
        <f>資料儲存!E7147</f>
        <v>0</v>
      </c>
      <c r="AN87" s="39">
        <f>資料儲存!F7147</f>
        <v>0</v>
      </c>
      <c r="AO87" s="39">
        <f>資料儲存!G7147</f>
        <v>0</v>
      </c>
      <c r="AP87" s="39">
        <f>資料儲存!H7147</f>
        <v>0</v>
      </c>
      <c r="AQ87" s="39">
        <f>資料儲存!I7147</f>
        <v>0</v>
      </c>
      <c r="AR87" s="39">
        <f>資料儲存!J7147</f>
        <v>0</v>
      </c>
      <c r="AT87" s="62">
        <v>6</v>
      </c>
      <c r="AU87" s="39">
        <f>資料儲存!D7387</f>
        <v>0</v>
      </c>
      <c r="AV87" s="39">
        <f>資料儲存!E7387</f>
        <v>0</v>
      </c>
      <c r="AW87" s="39">
        <f>資料儲存!F7387</f>
        <v>0</v>
      </c>
      <c r="AX87" s="39">
        <f>資料儲存!G7387</f>
        <v>0</v>
      </c>
      <c r="AY87" s="39">
        <f>資料儲存!H7387</f>
        <v>0</v>
      </c>
      <c r="AZ87" s="39">
        <f>資料儲存!I7387</f>
        <v>0</v>
      </c>
      <c r="BA87" s="39">
        <f>資料儲存!J7387</f>
        <v>0</v>
      </c>
    </row>
    <row r="88" spans="1:53" s="59" customFormat="1" ht="16" thickBot="1">
      <c r="A88" s="62">
        <v>7</v>
      </c>
      <c r="B88" s="39">
        <f>資料儲存!D6188</f>
        <v>0</v>
      </c>
      <c r="C88" s="39">
        <f>資料儲存!E6188</f>
        <v>0</v>
      </c>
      <c r="D88" s="39">
        <f>資料儲存!F6188</f>
        <v>0</v>
      </c>
      <c r="E88" s="39">
        <f>資料儲存!G6188</f>
        <v>0</v>
      </c>
      <c r="F88" s="39">
        <f>資料儲存!H6188</f>
        <v>0</v>
      </c>
      <c r="G88" s="39">
        <f>資料儲存!I6188</f>
        <v>0</v>
      </c>
      <c r="H88" s="39">
        <f>資料儲存!J6188</f>
        <v>0</v>
      </c>
      <c r="I88" s="58"/>
      <c r="J88" s="62">
        <v>7</v>
      </c>
      <c r="K88" s="39">
        <f>資料儲存!D6428</f>
        <v>0</v>
      </c>
      <c r="L88" s="39">
        <f>資料儲存!E6428</f>
        <v>0</v>
      </c>
      <c r="M88" s="39">
        <f>資料儲存!F6428</f>
        <v>0</v>
      </c>
      <c r="N88" s="39">
        <f>資料儲存!G6428</f>
        <v>0</v>
      </c>
      <c r="O88" s="39">
        <f>資料儲存!H6428</f>
        <v>0</v>
      </c>
      <c r="P88" s="39">
        <f>資料儲存!I6428</f>
        <v>0</v>
      </c>
      <c r="Q88" s="39">
        <f>資料儲存!J6428</f>
        <v>0</v>
      </c>
      <c r="R88" s="58"/>
      <c r="S88" s="62">
        <v>7</v>
      </c>
      <c r="T88" s="39">
        <f>資料儲存!D6668</f>
        <v>0</v>
      </c>
      <c r="U88" s="39">
        <f>資料儲存!E6668</f>
        <v>0</v>
      </c>
      <c r="V88" s="39">
        <f>資料儲存!F6668</f>
        <v>0</v>
      </c>
      <c r="W88" s="39">
        <f>資料儲存!G6668</f>
        <v>0</v>
      </c>
      <c r="X88" s="39">
        <f>資料儲存!H6668</f>
        <v>0</v>
      </c>
      <c r="Y88" s="39">
        <f>資料儲存!I6668</f>
        <v>0</v>
      </c>
      <c r="Z88" s="39">
        <f>資料儲存!J6668</f>
        <v>0</v>
      </c>
      <c r="AA88" s="58"/>
      <c r="AB88" s="62">
        <v>7</v>
      </c>
      <c r="AC88" s="39">
        <f>資料儲存!D6908</f>
        <v>0</v>
      </c>
      <c r="AD88" s="39">
        <f>資料儲存!E6908</f>
        <v>0</v>
      </c>
      <c r="AE88" s="39">
        <f>資料儲存!F6908</f>
        <v>0</v>
      </c>
      <c r="AF88" s="39">
        <f>資料儲存!G6908</f>
        <v>0</v>
      </c>
      <c r="AG88" s="39">
        <f>資料儲存!H6908</f>
        <v>0</v>
      </c>
      <c r="AH88" s="39">
        <f>資料儲存!I6908</f>
        <v>0</v>
      </c>
      <c r="AI88" s="39">
        <f>資料儲存!J6908</f>
        <v>0</v>
      </c>
      <c r="AJ88" s="58"/>
      <c r="AK88" s="62">
        <v>7</v>
      </c>
      <c r="AL88" s="39">
        <f>資料儲存!D7148</f>
        <v>0</v>
      </c>
      <c r="AM88" s="39">
        <f>資料儲存!E7148</f>
        <v>0</v>
      </c>
      <c r="AN88" s="39">
        <f>資料儲存!F7148</f>
        <v>0</v>
      </c>
      <c r="AO88" s="39">
        <f>資料儲存!G7148</f>
        <v>0</v>
      </c>
      <c r="AP88" s="39">
        <f>資料儲存!H7148</f>
        <v>0</v>
      </c>
      <c r="AQ88" s="39">
        <f>資料儲存!I7148</f>
        <v>0</v>
      </c>
      <c r="AR88" s="39">
        <f>資料儲存!J7148</f>
        <v>0</v>
      </c>
      <c r="AT88" s="62">
        <v>7</v>
      </c>
      <c r="AU88" s="39">
        <f>資料儲存!D7388</f>
        <v>0</v>
      </c>
      <c r="AV88" s="39">
        <f>資料儲存!E7388</f>
        <v>0</v>
      </c>
      <c r="AW88" s="39">
        <f>資料儲存!F7388</f>
        <v>0</v>
      </c>
      <c r="AX88" s="39">
        <f>資料儲存!G7388</f>
        <v>0</v>
      </c>
      <c r="AY88" s="39">
        <f>資料儲存!H7388</f>
        <v>0</v>
      </c>
      <c r="AZ88" s="39">
        <f>資料儲存!I7388</f>
        <v>0</v>
      </c>
      <c r="BA88" s="39">
        <f>資料儲存!J7388</f>
        <v>0</v>
      </c>
    </row>
    <row r="89" spans="1:53" s="59" customFormat="1" ht="16" thickBot="1">
      <c r="A89" s="62">
        <v>8</v>
      </c>
      <c r="B89" s="39">
        <f>資料儲存!D6189</f>
        <v>0</v>
      </c>
      <c r="C89" s="39">
        <f>資料儲存!E6189</f>
        <v>0</v>
      </c>
      <c r="D89" s="39">
        <f>資料儲存!F6189</f>
        <v>0</v>
      </c>
      <c r="E89" s="39">
        <f>資料儲存!G6189</f>
        <v>0</v>
      </c>
      <c r="F89" s="39">
        <f>資料儲存!H6189</f>
        <v>0</v>
      </c>
      <c r="G89" s="39">
        <f>資料儲存!I6189</f>
        <v>0</v>
      </c>
      <c r="H89" s="39">
        <f>資料儲存!J6189</f>
        <v>0</v>
      </c>
      <c r="I89" s="58"/>
      <c r="J89" s="62">
        <v>8</v>
      </c>
      <c r="K89" s="39">
        <f>資料儲存!D6429</f>
        <v>0</v>
      </c>
      <c r="L89" s="39">
        <f>資料儲存!E6429</f>
        <v>0</v>
      </c>
      <c r="M89" s="39">
        <f>資料儲存!F6429</f>
        <v>0</v>
      </c>
      <c r="N89" s="39">
        <f>資料儲存!G6429</f>
        <v>0</v>
      </c>
      <c r="O89" s="39">
        <f>資料儲存!H6429</f>
        <v>0</v>
      </c>
      <c r="P89" s="39">
        <f>資料儲存!I6429</f>
        <v>0</v>
      </c>
      <c r="Q89" s="39">
        <f>資料儲存!J6429</f>
        <v>0</v>
      </c>
      <c r="R89" s="58"/>
      <c r="S89" s="62">
        <v>8</v>
      </c>
      <c r="T89" s="39">
        <f>資料儲存!D6669</f>
        <v>0</v>
      </c>
      <c r="U89" s="39">
        <f>資料儲存!E6669</f>
        <v>0</v>
      </c>
      <c r="V89" s="39">
        <f>資料儲存!F6669</f>
        <v>0</v>
      </c>
      <c r="W89" s="39">
        <f>資料儲存!G6669</f>
        <v>0</v>
      </c>
      <c r="X89" s="39">
        <f>資料儲存!H6669</f>
        <v>0</v>
      </c>
      <c r="Y89" s="39">
        <f>資料儲存!I6669</f>
        <v>0</v>
      </c>
      <c r="Z89" s="39">
        <f>資料儲存!J6669</f>
        <v>0</v>
      </c>
      <c r="AA89" s="58"/>
      <c r="AB89" s="62">
        <v>8</v>
      </c>
      <c r="AC89" s="39">
        <f>資料儲存!D6909</f>
        <v>0</v>
      </c>
      <c r="AD89" s="39">
        <f>資料儲存!E6909</f>
        <v>0</v>
      </c>
      <c r="AE89" s="39">
        <f>資料儲存!F6909</f>
        <v>0</v>
      </c>
      <c r="AF89" s="39">
        <f>資料儲存!G6909</f>
        <v>0</v>
      </c>
      <c r="AG89" s="39">
        <f>資料儲存!H6909</f>
        <v>0</v>
      </c>
      <c r="AH89" s="39">
        <f>資料儲存!I6909</f>
        <v>0</v>
      </c>
      <c r="AI89" s="39">
        <f>資料儲存!J6909</f>
        <v>0</v>
      </c>
      <c r="AJ89" s="58"/>
      <c r="AK89" s="62">
        <v>8</v>
      </c>
      <c r="AL89" s="39">
        <f>資料儲存!D7149</f>
        <v>0</v>
      </c>
      <c r="AM89" s="39">
        <f>資料儲存!E7149</f>
        <v>0</v>
      </c>
      <c r="AN89" s="39">
        <f>資料儲存!F7149</f>
        <v>0</v>
      </c>
      <c r="AO89" s="39">
        <f>資料儲存!G7149</f>
        <v>0</v>
      </c>
      <c r="AP89" s="39">
        <f>資料儲存!H7149</f>
        <v>0</v>
      </c>
      <c r="AQ89" s="39">
        <f>資料儲存!I7149</f>
        <v>0</v>
      </c>
      <c r="AR89" s="39">
        <f>資料儲存!J7149</f>
        <v>0</v>
      </c>
      <c r="AT89" s="62">
        <v>8</v>
      </c>
      <c r="AU89" s="39">
        <f>資料儲存!D7389</f>
        <v>0</v>
      </c>
      <c r="AV89" s="39">
        <f>資料儲存!E7389</f>
        <v>0</v>
      </c>
      <c r="AW89" s="39">
        <f>資料儲存!F7389</f>
        <v>0</v>
      </c>
      <c r="AX89" s="39">
        <f>資料儲存!G7389</f>
        <v>0</v>
      </c>
      <c r="AY89" s="39">
        <f>資料儲存!H7389</f>
        <v>0</v>
      </c>
      <c r="AZ89" s="39">
        <f>資料儲存!I7389</f>
        <v>0</v>
      </c>
      <c r="BA89" s="39">
        <f>資料儲存!J7389</f>
        <v>0</v>
      </c>
    </row>
    <row r="90" spans="1:53" s="59" customFormat="1" ht="16" thickBot="1">
      <c r="A90" s="62">
        <v>9</v>
      </c>
      <c r="B90" s="39">
        <f>資料儲存!D6190</f>
        <v>0</v>
      </c>
      <c r="C90" s="39">
        <f>資料儲存!E6190</f>
        <v>0</v>
      </c>
      <c r="D90" s="39">
        <f>資料儲存!F6190</f>
        <v>0</v>
      </c>
      <c r="E90" s="39">
        <f>資料儲存!G6190</f>
        <v>0</v>
      </c>
      <c r="F90" s="39">
        <f>資料儲存!H6190</f>
        <v>0</v>
      </c>
      <c r="G90" s="39">
        <f>資料儲存!I6190</f>
        <v>0</v>
      </c>
      <c r="H90" s="39">
        <f>資料儲存!J6190</f>
        <v>0</v>
      </c>
      <c r="I90" s="58"/>
      <c r="J90" s="62">
        <v>9</v>
      </c>
      <c r="K90" s="39">
        <f>資料儲存!D6430</f>
        <v>0</v>
      </c>
      <c r="L90" s="39">
        <f>資料儲存!E6430</f>
        <v>0</v>
      </c>
      <c r="M90" s="39">
        <f>資料儲存!F6430</f>
        <v>0</v>
      </c>
      <c r="N90" s="39">
        <f>資料儲存!G6430</f>
        <v>0</v>
      </c>
      <c r="O90" s="39">
        <f>資料儲存!H6430</f>
        <v>0</v>
      </c>
      <c r="P90" s="39">
        <f>資料儲存!I6430</f>
        <v>0</v>
      </c>
      <c r="Q90" s="39">
        <f>資料儲存!J6430</f>
        <v>0</v>
      </c>
      <c r="R90" s="58"/>
      <c r="S90" s="62">
        <v>9</v>
      </c>
      <c r="T90" s="39">
        <f>資料儲存!D6670</f>
        <v>0</v>
      </c>
      <c r="U90" s="39">
        <f>資料儲存!E6670</f>
        <v>0</v>
      </c>
      <c r="V90" s="39">
        <f>資料儲存!F6670</f>
        <v>0</v>
      </c>
      <c r="W90" s="39">
        <f>資料儲存!G6670</f>
        <v>0</v>
      </c>
      <c r="X90" s="39">
        <f>資料儲存!H6670</f>
        <v>0</v>
      </c>
      <c r="Y90" s="39">
        <f>資料儲存!I6670</f>
        <v>0</v>
      </c>
      <c r="Z90" s="39">
        <f>資料儲存!J6670</f>
        <v>0</v>
      </c>
      <c r="AA90" s="58"/>
      <c r="AB90" s="62">
        <v>9</v>
      </c>
      <c r="AC90" s="39">
        <f>資料儲存!D6910</f>
        <v>0</v>
      </c>
      <c r="AD90" s="39">
        <f>資料儲存!E6910</f>
        <v>0</v>
      </c>
      <c r="AE90" s="39">
        <f>資料儲存!F6910</f>
        <v>0</v>
      </c>
      <c r="AF90" s="39">
        <f>資料儲存!G6910</f>
        <v>0</v>
      </c>
      <c r="AG90" s="39">
        <f>資料儲存!H6910</f>
        <v>0</v>
      </c>
      <c r="AH90" s="39">
        <f>資料儲存!I6910</f>
        <v>0</v>
      </c>
      <c r="AI90" s="39">
        <f>資料儲存!J6910</f>
        <v>0</v>
      </c>
      <c r="AJ90" s="58"/>
      <c r="AK90" s="62">
        <v>9</v>
      </c>
      <c r="AL90" s="39">
        <f>資料儲存!D7150</f>
        <v>0</v>
      </c>
      <c r="AM90" s="39">
        <f>資料儲存!E7150</f>
        <v>0</v>
      </c>
      <c r="AN90" s="39">
        <f>資料儲存!F7150</f>
        <v>0</v>
      </c>
      <c r="AO90" s="39">
        <f>資料儲存!G7150</f>
        <v>0</v>
      </c>
      <c r="AP90" s="39">
        <f>資料儲存!H7150</f>
        <v>0</v>
      </c>
      <c r="AQ90" s="39">
        <f>資料儲存!I7150</f>
        <v>0</v>
      </c>
      <c r="AR90" s="39">
        <f>資料儲存!J7150</f>
        <v>0</v>
      </c>
      <c r="AT90" s="62">
        <v>9</v>
      </c>
      <c r="AU90" s="39">
        <f>資料儲存!D7390</f>
        <v>0</v>
      </c>
      <c r="AV90" s="39">
        <f>資料儲存!E7390</f>
        <v>0</v>
      </c>
      <c r="AW90" s="39">
        <f>資料儲存!F7390</f>
        <v>0</v>
      </c>
      <c r="AX90" s="39">
        <f>資料儲存!G7390</f>
        <v>0</v>
      </c>
      <c r="AY90" s="39">
        <f>資料儲存!H7390</f>
        <v>0</v>
      </c>
      <c r="AZ90" s="39">
        <f>資料儲存!I7390</f>
        <v>0</v>
      </c>
      <c r="BA90" s="39">
        <f>資料儲存!J7390</f>
        <v>0</v>
      </c>
    </row>
    <row r="91" spans="1:53" s="59" customFormat="1" ht="16" thickBot="1">
      <c r="A91" s="62">
        <v>10</v>
      </c>
      <c r="B91" s="39">
        <f>資料儲存!D6191</f>
        <v>0</v>
      </c>
      <c r="C91" s="39">
        <f>資料儲存!E6191</f>
        <v>0</v>
      </c>
      <c r="D91" s="39">
        <f>資料儲存!F6191</f>
        <v>0</v>
      </c>
      <c r="E91" s="39">
        <f>資料儲存!G6191</f>
        <v>0</v>
      </c>
      <c r="F91" s="39">
        <f>資料儲存!H6191</f>
        <v>0</v>
      </c>
      <c r="G91" s="39">
        <f>資料儲存!I6191</f>
        <v>0</v>
      </c>
      <c r="H91" s="39">
        <f>資料儲存!J6191</f>
        <v>0</v>
      </c>
      <c r="I91" s="58"/>
      <c r="J91" s="62">
        <v>10</v>
      </c>
      <c r="K91" s="39">
        <f>資料儲存!D6431</f>
        <v>0</v>
      </c>
      <c r="L91" s="39">
        <f>資料儲存!E6431</f>
        <v>0</v>
      </c>
      <c r="M91" s="39">
        <f>資料儲存!F6431</f>
        <v>0</v>
      </c>
      <c r="N91" s="39">
        <f>資料儲存!G6431</f>
        <v>0</v>
      </c>
      <c r="O91" s="39">
        <f>資料儲存!H6431</f>
        <v>0</v>
      </c>
      <c r="P91" s="39">
        <f>資料儲存!I6431</f>
        <v>0</v>
      </c>
      <c r="Q91" s="39">
        <f>資料儲存!J6431</f>
        <v>0</v>
      </c>
      <c r="R91" s="58"/>
      <c r="S91" s="62">
        <v>10</v>
      </c>
      <c r="T91" s="39">
        <f>資料儲存!D6671</f>
        <v>0</v>
      </c>
      <c r="U91" s="39">
        <f>資料儲存!E6671</f>
        <v>0</v>
      </c>
      <c r="V91" s="39">
        <f>資料儲存!F6671</f>
        <v>0</v>
      </c>
      <c r="W91" s="39">
        <f>資料儲存!G6671</f>
        <v>0</v>
      </c>
      <c r="X91" s="39">
        <f>資料儲存!H6671</f>
        <v>0</v>
      </c>
      <c r="Y91" s="39">
        <f>資料儲存!I6671</f>
        <v>0</v>
      </c>
      <c r="Z91" s="39">
        <f>資料儲存!J6671</f>
        <v>0</v>
      </c>
      <c r="AA91" s="58"/>
      <c r="AB91" s="62">
        <v>10</v>
      </c>
      <c r="AC91" s="39">
        <f>資料儲存!D6911</f>
        <v>0</v>
      </c>
      <c r="AD91" s="39">
        <f>資料儲存!E6911</f>
        <v>0</v>
      </c>
      <c r="AE91" s="39">
        <f>資料儲存!F6911</f>
        <v>0</v>
      </c>
      <c r="AF91" s="39">
        <f>資料儲存!G6911</f>
        <v>0</v>
      </c>
      <c r="AG91" s="39">
        <f>資料儲存!H6911</f>
        <v>0</v>
      </c>
      <c r="AH91" s="39">
        <f>資料儲存!I6911</f>
        <v>0</v>
      </c>
      <c r="AI91" s="39">
        <f>資料儲存!J6911</f>
        <v>0</v>
      </c>
      <c r="AJ91" s="58"/>
      <c r="AK91" s="62">
        <v>10</v>
      </c>
      <c r="AL91" s="39">
        <f>資料儲存!D7151</f>
        <v>0</v>
      </c>
      <c r="AM91" s="39">
        <f>資料儲存!E7151</f>
        <v>0</v>
      </c>
      <c r="AN91" s="39">
        <f>資料儲存!F7151</f>
        <v>0</v>
      </c>
      <c r="AO91" s="39">
        <f>資料儲存!G7151</f>
        <v>0</v>
      </c>
      <c r="AP91" s="39">
        <f>資料儲存!H7151</f>
        <v>0</v>
      </c>
      <c r="AQ91" s="39">
        <f>資料儲存!I7151</f>
        <v>0</v>
      </c>
      <c r="AR91" s="39">
        <f>資料儲存!J7151</f>
        <v>0</v>
      </c>
      <c r="AT91" s="62">
        <v>10</v>
      </c>
      <c r="AU91" s="39">
        <f>資料儲存!D7391</f>
        <v>0</v>
      </c>
      <c r="AV91" s="39">
        <f>資料儲存!E7391</f>
        <v>0</v>
      </c>
      <c r="AW91" s="39">
        <f>資料儲存!F7391</f>
        <v>0</v>
      </c>
      <c r="AX91" s="39">
        <f>資料儲存!G7391</f>
        <v>0</v>
      </c>
      <c r="AY91" s="39">
        <f>資料儲存!H7391</f>
        <v>0</v>
      </c>
      <c r="AZ91" s="39">
        <f>資料儲存!I7391</f>
        <v>0</v>
      </c>
      <c r="BA91" s="39">
        <f>資料儲存!J7391</f>
        <v>0</v>
      </c>
    </row>
    <row r="92" spans="1:53" s="59" customFormat="1" ht="16" thickBot="1">
      <c r="A92" s="62">
        <v>11</v>
      </c>
      <c r="B92" s="39">
        <f>資料儲存!D6192</f>
        <v>0</v>
      </c>
      <c r="C92" s="39">
        <f>資料儲存!E6192</f>
        <v>0</v>
      </c>
      <c r="D92" s="39">
        <f>資料儲存!F6192</f>
        <v>0</v>
      </c>
      <c r="E92" s="39">
        <f>資料儲存!G6192</f>
        <v>0</v>
      </c>
      <c r="F92" s="39">
        <f>資料儲存!H6192</f>
        <v>0</v>
      </c>
      <c r="G92" s="39">
        <f>資料儲存!I6192</f>
        <v>0</v>
      </c>
      <c r="H92" s="39">
        <f>資料儲存!J6192</f>
        <v>0</v>
      </c>
      <c r="I92" s="58"/>
      <c r="J92" s="62">
        <v>11</v>
      </c>
      <c r="K92" s="39">
        <f>資料儲存!D6432</f>
        <v>0</v>
      </c>
      <c r="L92" s="39">
        <f>資料儲存!E6432</f>
        <v>0</v>
      </c>
      <c r="M92" s="39">
        <f>資料儲存!F6432</f>
        <v>0</v>
      </c>
      <c r="N92" s="39">
        <f>資料儲存!G6432</f>
        <v>0</v>
      </c>
      <c r="O92" s="39">
        <f>資料儲存!H6432</f>
        <v>0</v>
      </c>
      <c r="P92" s="39">
        <f>資料儲存!I6432</f>
        <v>0</v>
      </c>
      <c r="Q92" s="39">
        <f>資料儲存!J6432</f>
        <v>0</v>
      </c>
      <c r="R92" s="58"/>
      <c r="S92" s="62">
        <v>11</v>
      </c>
      <c r="T92" s="39">
        <f>資料儲存!D6672</f>
        <v>0</v>
      </c>
      <c r="U92" s="39">
        <f>資料儲存!E6672</f>
        <v>0</v>
      </c>
      <c r="V92" s="39">
        <f>資料儲存!F6672</f>
        <v>0</v>
      </c>
      <c r="W92" s="39">
        <f>資料儲存!G6672</f>
        <v>0</v>
      </c>
      <c r="X92" s="39">
        <f>資料儲存!H6672</f>
        <v>0</v>
      </c>
      <c r="Y92" s="39">
        <f>資料儲存!I6672</f>
        <v>0</v>
      </c>
      <c r="Z92" s="39">
        <f>資料儲存!J6672</f>
        <v>0</v>
      </c>
      <c r="AA92" s="58"/>
      <c r="AB92" s="62">
        <v>11</v>
      </c>
      <c r="AC92" s="39">
        <f>資料儲存!D6912</f>
        <v>0</v>
      </c>
      <c r="AD92" s="39">
        <f>資料儲存!E6912</f>
        <v>0</v>
      </c>
      <c r="AE92" s="39">
        <f>資料儲存!F6912</f>
        <v>0</v>
      </c>
      <c r="AF92" s="39">
        <f>資料儲存!G6912</f>
        <v>0</v>
      </c>
      <c r="AG92" s="39">
        <f>資料儲存!H6912</f>
        <v>0</v>
      </c>
      <c r="AH92" s="39">
        <f>資料儲存!I6912</f>
        <v>0</v>
      </c>
      <c r="AI92" s="39">
        <f>資料儲存!J6912</f>
        <v>0</v>
      </c>
      <c r="AJ92" s="58"/>
      <c r="AK92" s="62">
        <v>11</v>
      </c>
      <c r="AL92" s="39">
        <f>資料儲存!D7152</f>
        <v>0</v>
      </c>
      <c r="AM92" s="39">
        <f>資料儲存!E7152</f>
        <v>0</v>
      </c>
      <c r="AN92" s="39">
        <f>資料儲存!F7152</f>
        <v>0</v>
      </c>
      <c r="AO92" s="39">
        <f>資料儲存!G7152</f>
        <v>0</v>
      </c>
      <c r="AP92" s="39">
        <f>資料儲存!H7152</f>
        <v>0</v>
      </c>
      <c r="AQ92" s="39">
        <f>資料儲存!I7152</f>
        <v>0</v>
      </c>
      <c r="AR92" s="39">
        <f>資料儲存!J7152</f>
        <v>0</v>
      </c>
      <c r="AT92" s="62">
        <v>11</v>
      </c>
      <c r="AU92" s="39">
        <f>資料儲存!D7392</f>
        <v>0</v>
      </c>
      <c r="AV92" s="39">
        <f>資料儲存!E7392</f>
        <v>0</v>
      </c>
      <c r="AW92" s="39">
        <f>資料儲存!F7392</f>
        <v>0</v>
      </c>
      <c r="AX92" s="39">
        <f>資料儲存!G7392</f>
        <v>0</v>
      </c>
      <c r="AY92" s="39">
        <f>資料儲存!H7392</f>
        <v>0</v>
      </c>
      <c r="AZ92" s="39">
        <f>資料儲存!I7392</f>
        <v>0</v>
      </c>
      <c r="BA92" s="39">
        <f>資料儲存!J7392</f>
        <v>0</v>
      </c>
    </row>
    <row r="93" spans="1:53" s="59" customFormat="1" ht="16" thickBot="1">
      <c r="A93" s="62">
        <v>12</v>
      </c>
      <c r="B93" s="39">
        <f>資料儲存!D6193</f>
        <v>0</v>
      </c>
      <c r="C93" s="39">
        <f>資料儲存!E6193</f>
        <v>0</v>
      </c>
      <c r="D93" s="39">
        <f>資料儲存!F6193</f>
        <v>0</v>
      </c>
      <c r="E93" s="39">
        <f>資料儲存!G6193</f>
        <v>0</v>
      </c>
      <c r="F93" s="39">
        <f>資料儲存!H6193</f>
        <v>0</v>
      </c>
      <c r="G93" s="39">
        <f>資料儲存!I6193</f>
        <v>0</v>
      </c>
      <c r="H93" s="39">
        <f>資料儲存!J6193</f>
        <v>0</v>
      </c>
      <c r="I93" s="58"/>
      <c r="J93" s="62">
        <v>12</v>
      </c>
      <c r="K93" s="39">
        <f>資料儲存!D6433</f>
        <v>0</v>
      </c>
      <c r="L93" s="39">
        <f>資料儲存!E6433</f>
        <v>0</v>
      </c>
      <c r="M93" s="39">
        <f>資料儲存!F6433</f>
        <v>0</v>
      </c>
      <c r="N93" s="39">
        <f>資料儲存!G6433</f>
        <v>0</v>
      </c>
      <c r="O93" s="39">
        <f>資料儲存!H6433</f>
        <v>0</v>
      </c>
      <c r="P93" s="39">
        <f>資料儲存!I6433</f>
        <v>0</v>
      </c>
      <c r="Q93" s="39">
        <f>資料儲存!J6433</f>
        <v>0</v>
      </c>
      <c r="R93" s="58"/>
      <c r="S93" s="62">
        <v>12</v>
      </c>
      <c r="T93" s="39">
        <f>資料儲存!D6673</f>
        <v>0</v>
      </c>
      <c r="U93" s="39">
        <f>資料儲存!E6673</f>
        <v>0</v>
      </c>
      <c r="V93" s="39">
        <f>資料儲存!F6673</f>
        <v>0</v>
      </c>
      <c r="W93" s="39">
        <f>資料儲存!G6673</f>
        <v>0</v>
      </c>
      <c r="X93" s="39">
        <f>資料儲存!H6673</f>
        <v>0</v>
      </c>
      <c r="Y93" s="39">
        <f>資料儲存!I6673</f>
        <v>0</v>
      </c>
      <c r="Z93" s="39">
        <f>資料儲存!J6673</f>
        <v>0</v>
      </c>
      <c r="AA93" s="58"/>
      <c r="AB93" s="62">
        <v>12</v>
      </c>
      <c r="AC93" s="39">
        <f>資料儲存!D6913</f>
        <v>0</v>
      </c>
      <c r="AD93" s="39">
        <f>資料儲存!E6913</f>
        <v>0</v>
      </c>
      <c r="AE93" s="39">
        <f>資料儲存!F6913</f>
        <v>0</v>
      </c>
      <c r="AF93" s="39">
        <f>資料儲存!G6913</f>
        <v>0</v>
      </c>
      <c r="AG93" s="39">
        <f>資料儲存!H6913</f>
        <v>0</v>
      </c>
      <c r="AH93" s="39">
        <f>資料儲存!I6913</f>
        <v>0</v>
      </c>
      <c r="AI93" s="39">
        <f>資料儲存!J6913</f>
        <v>0</v>
      </c>
      <c r="AJ93" s="58"/>
      <c r="AK93" s="62">
        <v>12</v>
      </c>
      <c r="AL93" s="39">
        <f>資料儲存!D7153</f>
        <v>0</v>
      </c>
      <c r="AM93" s="39">
        <f>資料儲存!E7153</f>
        <v>0</v>
      </c>
      <c r="AN93" s="39">
        <f>資料儲存!F7153</f>
        <v>0</v>
      </c>
      <c r="AO93" s="39">
        <f>資料儲存!G7153</f>
        <v>0</v>
      </c>
      <c r="AP93" s="39">
        <f>資料儲存!H7153</f>
        <v>0</v>
      </c>
      <c r="AQ93" s="39">
        <f>資料儲存!I7153</f>
        <v>0</v>
      </c>
      <c r="AR93" s="39">
        <f>資料儲存!J7153</f>
        <v>0</v>
      </c>
      <c r="AT93" s="62">
        <v>12</v>
      </c>
      <c r="AU93" s="39">
        <f>資料儲存!D7393</f>
        <v>0</v>
      </c>
      <c r="AV93" s="39">
        <f>資料儲存!E7393</f>
        <v>0</v>
      </c>
      <c r="AW93" s="39">
        <f>資料儲存!F7393</f>
        <v>0</v>
      </c>
      <c r="AX93" s="39">
        <f>資料儲存!G7393</f>
        <v>0</v>
      </c>
      <c r="AY93" s="39">
        <f>資料儲存!H7393</f>
        <v>0</v>
      </c>
      <c r="AZ93" s="39">
        <f>資料儲存!I7393</f>
        <v>0</v>
      </c>
      <c r="BA93" s="39">
        <f>資料儲存!J7393</f>
        <v>0</v>
      </c>
    </row>
    <row r="94" spans="1:53" s="59" customFormat="1" ht="16" thickBot="1">
      <c r="A94" s="62">
        <v>13</v>
      </c>
      <c r="B94" s="39">
        <f>資料儲存!D6194</f>
        <v>0</v>
      </c>
      <c r="C94" s="39">
        <f>資料儲存!E6194</f>
        <v>0</v>
      </c>
      <c r="D94" s="39">
        <f>資料儲存!F6194</f>
        <v>0</v>
      </c>
      <c r="E94" s="39">
        <f>資料儲存!G6194</f>
        <v>0</v>
      </c>
      <c r="F94" s="39">
        <f>資料儲存!H6194</f>
        <v>0</v>
      </c>
      <c r="G94" s="39">
        <f>資料儲存!I6194</f>
        <v>0</v>
      </c>
      <c r="H94" s="39">
        <f>資料儲存!J6194</f>
        <v>0</v>
      </c>
      <c r="I94" s="58"/>
      <c r="J94" s="62">
        <v>13</v>
      </c>
      <c r="K94" s="39">
        <f>資料儲存!D6434</f>
        <v>0</v>
      </c>
      <c r="L94" s="39">
        <f>資料儲存!E6434</f>
        <v>0</v>
      </c>
      <c r="M94" s="39">
        <f>資料儲存!F6434</f>
        <v>0</v>
      </c>
      <c r="N94" s="39">
        <f>資料儲存!G6434</f>
        <v>0</v>
      </c>
      <c r="O94" s="39">
        <f>資料儲存!H6434</f>
        <v>0</v>
      </c>
      <c r="P94" s="39">
        <f>資料儲存!I6434</f>
        <v>0</v>
      </c>
      <c r="Q94" s="39">
        <f>資料儲存!J6434</f>
        <v>0</v>
      </c>
      <c r="R94" s="58"/>
      <c r="S94" s="62">
        <v>13</v>
      </c>
      <c r="T94" s="39">
        <f>資料儲存!D6674</f>
        <v>0</v>
      </c>
      <c r="U94" s="39">
        <f>資料儲存!E6674</f>
        <v>0</v>
      </c>
      <c r="V94" s="39">
        <f>資料儲存!F6674</f>
        <v>0</v>
      </c>
      <c r="W94" s="39">
        <f>資料儲存!G6674</f>
        <v>0</v>
      </c>
      <c r="X94" s="39">
        <f>資料儲存!H6674</f>
        <v>0</v>
      </c>
      <c r="Y94" s="39">
        <f>資料儲存!I6674</f>
        <v>0</v>
      </c>
      <c r="Z94" s="39">
        <f>資料儲存!J6674</f>
        <v>0</v>
      </c>
      <c r="AA94" s="58"/>
      <c r="AB94" s="62">
        <v>13</v>
      </c>
      <c r="AC94" s="39">
        <f>資料儲存!D6914</f>
        <v>0</v>
      </c>
      <c r="AD94" s="39">
        <f>資料儲存!E6914</f>
        <v>0</v>
      </c>
      <c r="AE94" s="39">
        <f>資料儲存!F6914</f>
        <v>0</v>
      </c>
      <c r="AF94" s="39">
        <f>資料儲存!G6914</f>
        <v>0</v>
      </c>
      <c r="AG94" s="39">
        <f>資料儲存!H6914</f>
        <v>0</v>
      </c>
      <c r="AH94" s="39">
        <f>資料儲存!I6914</f>
        <v>0</v>
      </c>
      <c r="AI94" s="39">
        <f>資料儲存!J6914</f>
        <v>0</v>
      </c>
      <c r="AJ94" s="58"/>
      <c r="AK94" s="62">
        <v>13</v>
      </c>
      <c r="AL94" s="39">
        <f>資料儲存!D7154</f>
        <v>0</v>
      </c>
      <c r="AM94" s="39">
        <f>資料儲存!E7154</f>
        <v>0</v>
      </c>
      <c r="AN94" s="39">
        <f>資料儲存!F7154</f>
        <v>0</v>
      </c>
      <c r="AO94" s="39">
        <f>資料儲存!G7154</f>
        <v>0</v>
      </c>
      <c r="AP94" s="39">
        <f>資料儲存!H7154</f>
        <v>0</v>
      </c>
      <c r="AQ94" s="39">
        <f>資料儲存!I7154</f>
        <v>0</v>
      </c>
      <c r="AR94" s="39">
        <f>資料儲存!J7154</f>
        <v>0</v>
      </c>
      <c r="AT94" s="62">
        <v>13</v>
      </c>
      <c r="AU94" s="39">
        <f>資料儲存!D7394</f>
        <v>0</v>
      </c>
      <c r="AV94" s="39">
        <f>資料儲存!E7394</f>
        <v>0</v>
      </c>
      <c r="AW94" s="39">
        <f>資料儲存!F7394</f>
        <v>0</v>
      </c>
      <c r="AX94" s="39">
        <f>資料儲存!G7394</f>
        <v>0</v>
      </c>
      <c r="AY94" s="39">
        <f>資料儲存!H7394</f>
        <v>0</v>
      </c>
      <c r="AZ94" s="39">
        <f>資料儲存!I7394</f>
        <v>0</v>
      </c>
      <c r="BA94" s="39">
        <f>資料儲存!J7394</f>
        <v>0</v>
      </c>
    </row>
    <row r="95" spans="1:53" s="59" customFormat="1" ht="16" thickBot="1">
      <c r="A95" s="62">
        <v>14</v>
      </c>
      <c r="B95" s="39">
        <f>資料儲存!D6195</f>
        <v>0</v>
      </c>
      <c r="C95" s="39">
        <f>資料儲存!E6195</f>
        <v>0</v>
      </c>
      <c r="D95" s="39">
        <f>資料儲存!F6195</f>
        <v>0</v>
      </c>
      <c r="E95" s="39">
        <f>資料儲存!G6195</f>
        <v>0</v>
      </c>
      <c r="F95" s="39">
        <f>資料儲存!H6195</f>
        <v>0</v>
      </c>
      <c r="G95" s="39">
        <f>資料儲存!I6195</f>
        <v>0</v>
      </c>
      <c r="H95" s="39">
        <f>資料儲存!J6195</f>
        <v>0</v>
      </c>
      <c r="I95" s="58"/>
      <c r="J95" s="62">
        <v>14</v>
      </c>
      <c r="K95" s="39">
        <f>資料儲存!D6435</f>
        <v>0</v>
      </c>
      <c r="L95" s="39">
        <f>資料儲存!E6435</f>
        <v>0</v>
      </c>
      <c r="M95" s="39">
        <f>資料儲存!F6435</f>
        <v>0</v>
      </c>
      <c r="N95" s="39">
        <f>資料儲存!G6435</f>
        <v>0</v>
      </c>
      <c r="O95" s="39">
        <f>資料儲存!H6435</f>
        <v>0</v>
      </c>
      <c r="P95" s="39">
        <f>資料儲存!I6435</f>
        <v>0</v>
      </c>
      <c r="Q95" s="39">
        <f>資料儲存!J6435</f>
        <v>0</v>
      </c>
      <c r="R95" s="58"/>
      <c r="S95" s="62">
        <v>14</v>
      </c>
      <c r="T95" s="39">
        <f>資料儲存!D6675</f>
        <v>0</v>
      </c>
      <c r="U95" s="39">
        <f>資料儲存!E6675</f>
        <v>0</v>
      </c>
      <c r="V95" s="39">
        <f>資料儲存!F6675</f>
        <v>0</v>
      </c>
      <c r="W95" s="39">
        <f>資料儲存!G6675</f>
        <v>0</v>
      </c>
      <c r="X95" s="39">
        <f>資料儲存!H6675</f>
        <v>0</v>
      </c>
      <c r="Y95" s="39">
        <f>資料儲存!I6675</f>
        <v>0</v>
      </c>
      <c r="Z95" s="39">
        <f>資料儲存!J6675</f>
        <v>0</v>
      </c>
      <c r="AA95" s="58"/>
      <c r="AB95" s="62">
        <v>14</v>
      </c>
      <c r="AC95" s="39">
        <f>資料儲存!D6915</f>
        <v>0</v>
      </c>
      <c r="AD95" s="39">
        <f>資料儲存!E6915</f>
        <v>0</v>
      </c>
      <c r="AE95" s="39">
        <f>資料儲存!F6915</f>
        <v>0</v>
      </c>
      <c r="AF95" s="39">
        <f>資料儲存!G6915</f>
        <v>0</v>
      </c>
      <c r="AG95" s="39">
        <f>資料儲存!H6915</f>
        <v>0</v>
      </c>
      <c r="AH95" s="39">
        <f>資料儲存!I6915</f>
        <v>0</v>
      </c>
      <c r="AI95" s="39">
        <f>資料儲存!J6915</f>
        <v>0</v>
      </c>
      <c r="AJ95" s="58"/>
      <c r="AK95" s="62">
        <v>14</v>
      </c>
      <c r="AL95" s="39">
        <f>資料儲存!D7155</f>
        <v>0</v>
      </c>
      <c r="AM95" s="39">
        <f>資料儲存!E7155</f>
        <v>0</v>
      </c>
      <c r="AN95" s="39">
        <f>資料儲存!F7155</f>
        <v>0</v>
      </c>
      <c r="AO95" s="39">
        <f>資料儲存!G7155</f>
        <v>0</v>
      </c>
      <c r="AP95" s="39">
        <f>資料儲存!H7155</f>
        <v>0</v>
      </c>
      <c r="AQ95" s="39">
        <f>資料儲存!I7155</f>
        <v>0</v>
      </c>
      <c r="AR95" s="39">
        <f>資料儲存!J7155</f>
        <v>0</v>
      </c>
      <c r="AT95" s="62">
        <v>14</v>
      </c>
      <c r="AU95" s="39">
        <f>資料儲存!D7395</f>
        <v>0</v>
      </c>
      <c r="AV95" s="39">
        <f>資料儲存!E7395</f>
        <v>0</v>
      </c>
      <c r="AW95" s="39">
        <f>資料儲存!F7395</f>
        <v>0</v>
      </c>
      <c r="AX95" s="39">
        <f>資料儲存!G7395</f>
        <v>0</v>
      </c>
      <c r="AY95" s="39">
        <f>資料儲存!H7395</f>
        <v>0</v>
      </c>
      <c r="AZ95" s="39">
        <f>資料儲存!I7395</f>
        <v>0</v>
      </c>
      <c r="BA95" s="39">
        <f>資料儲存!J7395</f>
        <v>0</v>
      </c>
    </row>
    <row r="96" spans="1:53" s="59" customFormat="1" ht="16" thickBot="1">
      <c r="A96" s="62">
        <v>15</v>
      </c>
      <c r="B96" s="39">
        <f>資料儲存!D6196</f>
        <v>0</v>
      </c>
      <c r="C96" s="39">
        <f>資料儲存!E6196</f>
        <v>0</v>
      </c>
      <c r="D96" s="39">
        <f>資料儲存!F6196</f>
        <v>0</v>
      </c>
      <c r="E96" s="39">
        <f>資料儲存!G6196</f>
        <v>0</v>
      </c>
      <c r="F96" s="39">
        <f>資料儲存!H6196</f>
        <v>0</v>
      </c>
      <c r="G96" s="39">
        <f>資料儲存!I6196</f>
        <v>0</v>
      </c>
      <c r="H96" s="39">
        <f>資料儲存!J6196</f>
        <v>0</v>
      </c>
      <c r="I96" s="58"/>
      <c r="J96" s="62">
        <v>15</v>
      </c>
      <c r="K96" s="39">
        <f>資料儲存!D6436</f>
        <v>0</v>
      </c>
      <c r="L96" s="39">
        <f>資料儲存!E6436</f>
        <v>0</v>
      </c>
      <c r="M96" s="39">
        <f>資料儲存!F6436</f>
        <v>0</v>
      </c>
      <c r="N96" s="39">
        <f>資料儲存!G6436</f>
        <v>0</v>
      </c>
      <c r="O96" s="39">
        <f>資料儲存!H6436</f>
        <v>0</v>
      </c>
      <c r="P96" s="39">
        <f>資料儲存!I6436</f>
        <v>0</v>
      </c>
      <c r="Q96" s="39">
        <f>資料儲存!J6436</f>
        <v>0</v>
      </c>
      <c r="R96" s="58"/>
      <c r="S96" s="62">
        <v>15</v>
      </c>
      <c r="T96" s="39">
        <f>資料儲存!D6676</f>
        <v>0</v>
      </c>
      <c r="U96" s="39">
        <f>資料儲存!E6676</f>
        <v>0</v>
      </c>
      <c r="V96" s="39">
        <f>資料儲存!F6676</f>
        <v>0</v>
      </c>
      <c r="W96" s="39">
        <f>資料儲存!G6676</f>
        <v>0</v>
      </c>
      <c r="X96" s="39">
        <f>資料儲存!H6676</f>
        <v>0</v>
      </c>
      <c r="Y96" s="39">
        <f>資料儲存!I6676</f>
        <v>0</v>
      </c>
      <c r="Z96" s="39">
        <f>資料儲存!J6676</f>
        <v>0</v>
      </c>
      <c r="AA96" s="58"/>
      <c r="AB96" s="62">
        <v>15</v>
      </c>
      <c r="AC96" s="39">
        <f>資料儲存!D6916</f>
        <v>0</v>
      </c>
      <c r="AD96" s="39">
        <f>資料儲存!E6916</f>
        <v>0</v>
      </c>
      <c r="AE96" s="39">
        <f>資料儲存!F6916</f>
        <v>0</v>
      </c>
      <c r="AF96" s="39">
        <f>資料儲存!G6916</f>
        <v>0</v>
      </c>
      <c r="AG96" s="39">
        <f>資料儲存!H6916</f>
        <v>0</v>
      </c>
      <c r="AH96" s="39">
        <f>資料儲存!I6916</f>
        <v>0</v>
      </c>
      <c r="AI96" s="39">
        <f>資料儲存!J6916</f>
        <v>0</v>
      </c>
      <c r="AJ96" s="58"/>
      <c r="AK96" s="62">
        <v>15</v>
      </c>
      <c r="AL96" s="39">
        <f>資料儲存!D7156</f>
        <v>0</v>
      </c>
      <c r="AM96" s="39">
        <f>資料儲存!E7156</f>
        <v>0</v>
      </c>
      <c r="AN96" s="39">
        <f>資料儲存!F7156</f>
        <v>0</v>
      </c>
      <c r="AO96" s="39">
        <f>資料儲存!G7156</f>
        <v>0</v>
      </c>
      <c r="AP96" s="39">
        <f>資料儲存!H7156</f>
        <v>0</v>
      </c>
      <c r="AQ96" s="39">
        <f>資料儲存!I7156</f>
        <v>0</v>
      </c>
      <c r="AR96" s="39">
        <f>資料儲存!J7156</f>
        <v>0</v>
      </c>
      <c r="AT96" s="62">
        <v>15</v>
      </c>
      <c r="AU96" s="39">
        <f>資料儲存!D7396</f>
        <v>0</v>
      </c>
      <c r="AV96" s="39">
        <f>資料儲存!E7396</f>
        <v>0</v>
      </c>
      <c r="AW96" s="39">
        <f>資料儲存!F7396</f>
        <v>0</v>
      </c>
      <c r="AX96" s="39">
        <f>資料儲存!G7396</f>
        <v>0</v>
      </c>
      <c r="AY96" s="39">
        <f>資料儲存!H7396</f>
        <v>0</v>
      </c>
      <c r="AZ96" s="39">
        <f>資料儲存!I7396</f>
        <v>0</v>
      </c>
      <c r="BA96" s="39">
        <f>資料儲存!J7396</f>
        <v>0</v>
      </c>
    </row>
    <row r="97" spans="1:53" s="59" customFormat="1" ht="17.25" customHeight="1" thickBot="1">
      <c r="A97" s="40" t="s">
        <v>56</v>
      </c>
      <c r="B97" s="39">
        <f>SUM(B82:E96)</f>
        <v>0</v>
      </c>
      <c r="C97" s="37"/>
      <c r="D97" s="37"/>
      <c r="E97" s="37"/>
      <c r="F97" s="39">
        <f>F96</f>
        <v>0</v>
      </c>
      <c r="G97" s="39">
        <f>G96</f>
        <v>0</v>
      </c>
      <c r="H97" s="39">
        <f>H96</f>
        <v>0</v>
      </c>
      <c r="I97" s="35"/>
      <c r="J97" s="40" t="s">
        <v>56</v>
      </c>
      <c r="K97" s="39">
        <f>SUM(K82:N96)</f>
        <v>0</v>
      </c>
      <c r="L97" s="37"/>
      <c r="M97" s="37"/>
      <c r="N97" s="37"/>
      <c r="O97" s="39">
        <f>O96</f>
        <v>0</v>
      </c>
      <c r="P97" s="39">
        <f>P96</f>
        <v>0</v>
      </c>
      <c r="Q97" s="39">
        <f>Q96</f>
        <v>0</v>
      </c>
      <c r="R97" s="35"/>
      <c r="S97" s="40" t="s">
        <v>56</v>
      </c>
      <c r="T97" s="39">
        <f>SUM(T82:W96)</f>
        <v>0</v>
      </c>
      <c r="U97" s="37"/>
      <c r="V97" s="37"/>
      <c r="W97" s="37"/>
      <c r="X97" s="39">
        <f>X96</f>
        <v>0</v>
      </c>
      <c r="Y97" s="39">
        <f>Y96</f>
        <v>0</v>
      </c>
      <c r="Z97" s="39">
        <f>Z96</f>
        <v>0</v>
      </c>
      <c r="AA97" s="35"/>
      <c r="AB97" s="40" t="s">
        <v>56</v>
      </c>
      <c r="AC97" s="39">
        <f>SUM(AC82:AF96)</f>
        <v>0</v>
      </c>
      <c r="AD97" s="37"/>
      <c r="AE97" s="37"/>
      <c r="AF97" s="37"/>
      <c r="AG97" s="39">
        <f>AG96</f>
        <v>0</v>
      </c>
      <c r="AH97" s="39">
        <f>AH96</f>
        <v>0</v>
      </c>
      <c r="AI97" s="39">
        <f>AI96</f>
        <v>0</v>
      </c>
      <c r="AJ97" s="35"/>
      <c r="AK97" s="40" t="s">
        <v>56</v>
      </c>
      <c r="AL97" s="39">
        <f>SUM(AL82:AO96)</f>
        <v>0</v>
      </c>
      <c r="AM97" s="37"/>
      <c r="AN97" s="37"/>
      <c r="AO97" s="37"/>
      <c r="AP97" s="39">
        <f>AP96</f>
        <v>0</v>
      </c>
      <c r="AQ97" s="39">
        <f>AQ96</f>
        <v>0</v>
      </c>
      <c r="AR97" s="39">
        <f>AR96</f>
        <v>0</v>
      </c>
      <c r="AT97" s="40" t="s">
        <v>56</v>
      </c>
      <c r="AU97" s="39">
        <f>SUM(AU82:AX96)</f>
        <v>0</v>
      </c>
      <c r="AV97" s="37"/>
      <c r="AW97" s="37"/>
      <c r="AX97" s="37"/>
      <c r="AY97" s="39">
        <f>AY96</f>
        <v>0</v>
      </c>
      <c r="AZ97" s="39">
        <f>AZ96</f>
        <v>0</v>
      </c>
      <c r="BA97" s="39">
        <f>BA96</f>
        <v>0</v>
      </c>
    </row>
    <row r="98" spans="1:53" ht="18.5" thickBot="1">
      <c r="A98" s="257" t="s">
        <v>122</v>
      </c>
      <c r="B98" s="258"/>
      <c r="C98" s="258"/>
      <c r="D98" s="258"/>
      <c r="E98" s="258"/>
      <c r="F98" s="258"/>
      <c r="G98" s="258"/>
      <c r="H98" s="259"/>
      <c r="I98" s="14"/>
      <c r="J98" s="257" t="s">
        <v>122</v>
      </c>
      <c r="K98" s="258"/>
      <c r="L98" s="258"/>
      <c r="M98" s="258"/>
      <c r="N98" s="258"/>
      <c r="O98" s="258"/>
      <c r="P98" s="258"/>
      <c r="Q98" s="259"/>
      <c r="R98" s="14"/>
      <c r="S98" s="257" t="s">
        <v>122</v>
      </c>
      <c r="T98" s="258"/>
      <c r="U98" s="258"/>
      <c r="V98" s="258"/>
      <c r="W98" s="258"/>
      <c r="X98" s="258"/>
      <c r="Y98" s="258"/>
      <c r="Z98" s="259"/>
      <c r="AA98" s="14"/>
      <c r="AB98" s="257" t="s">
        <v>122</v>
      </c>
      <c r="AC98" s="258"/>
      <c r="AD98" s="258"/>
      <c r="AE98" s="258"/>
      <c r="AF98" s="258"/>
      <c r="AG98" s="258"/>
      <c r="AH98" s="258"/>
      <c r="AI98" s="259"/>
      <c r="AJ98" s="14"/>
      <c r="AK98" s="257" t="s">
        <v>122</v>
      </c>
      <c r="AL98" s="258"/>
      <c r="AM98" s="258"/>
      <c r="AN98" s="258"/>
      <c r="AO98" s="258"/>
      <c r="AP98" s="258"/>
      <c r="AQ98" s="258"/>
      <c r="AR98" s="259"/>
      <c r="AT98" s="257" t="s">
        <v>122</v>
      </c>
      <c r="AU98" s="258"/>
      <c r="AV98" s="258"/>
      <c r="AW98" s="258"/>
      <c r="AX98" s="258"/>
      <c r="AY98" s="258"/>
      <c r="AZ98" s="258"/>
      <c r="BA98" s="259"/>
    </row>
    <row r="99" spans="1:53" s="67" customFormat="1" ht="17.25" customHeight="1" thickBot="1">
      <c r="A99" s="63" t="s">
        <v>2</v>
      </c>
      <c r="B99" s="64" t="s">
        <v>46</v>
      </c>
      <c r="C99" s="65"/>
      <c r="D99" s="65"/>
      <c r="E99" s="66"/>
      <c r="F99" s="64" t="s">
        <v>47</v>
      </c>
      <c r="G99" s="65"/>
      <c r="H99" s="66"/>
      <c r="I99" s="52"/>
      <c r="J99" s="63" t="s">
        <v>2</v>
      </c>
      <c r="K99" s="64" t="s">
        <v>46</v>
      </c>
      <c r="L99" s="65"/>
      <c r="M99" s="65"/>
      <c r="N99" s="66"/>
      <c r="O99" s="64" t="s">
        <v>47</v>
      </c>
      <c r="P99" s="65"/>
      <c r="Q99" s="66"/>
      <c r="R99" s="52"/>
      <c r="S99" s="63" t="s">
        <v>2</v>
      </c>
      <c r="T99" s="64" t="s">
        <v>46</v>
      </c>
      <c r="U99" s="65"/>
      <c r="V99" s="65"/>
      <c r="W99" s="66"/>
      <c r="X99" s="64" t="s">
        <v>47</v>
      </c>
      <c r="Y99" s="65"/>
      <c r="Z99" s="66"/>
      <c r="AA99" s="52"/>
      <c r="AB99" s="63" t="s">
        <v>2</v>
      </c>
      <c r="AC99" s="64" t="s">
        <v>46</v>
      </c>
      <c r="AD99" s="65"/>
      <c r="AE99" s="65"/>
      <c r="AF99" s="66"/>
      <c r="AG99" s="64" t="s">
        <v>47</v>
      </c>
      <c r="AH99" s="65"/>
      <c r="AI99" s="66"/>
      <c r="AJ99" s="52"/>
      <c r="AK99" s="63" t="s">
        <v>2</v>
      </c>
      <c r="AL99" s="64" t="s">
        <v>46</v>
      </c>
      <c r="AM99" s="65"/>
      <c r="AN99" s="65"/>
      <c r="AO99" s="66"/>
      <c r="AP99" s="64" t="s">
        <v>47</v>
      </c>
      <c r="AQ99" s="65"/>
      <c r="AR99" s="66"/>
      <c r="AT99" s="63" t="s">
        <v>2</v>
      </c>
      <c r="AU99" s="64" t="s">
        <v>46</v>
      </c>
      <c r="AV99" s="65"/>
      <c r="AW99" s="65"/>
      <c r="AX99" s="66"/>
      <c r="AY99" s="64" t="s">
        <v>47</v>
      </c>
      <c r="AZ99" s="65"/>
      <c r="BA99" s="66"/>
    </row>
    <row r="100" spans="1:53" s="67" customFormat="1" ht="16" thickBot="1">
      <c r="A100" s="68">
        <v>0.71875</v>
      </c>
      <c r="B100" s="69" t="s">
        <v>49</v>
      </c>
      <c r="C100" s="69" t="s">
        <v>50</v>
      </c>
      <c r="D100" s="69" t="s">
        <v>51</v>
      </c>
      <c r="E100" s="69" t="s">
        <v>52</v>
      </c>
      <c r="F100" s="69" t="s">
        <v>53</v>
      </c>
      <c r="G100" s="69" t="s">
        <v>54</v>
      </c>
      <c r="H100" s="69" t="s">
        <v>55</v>
      </c>
      <c r="I100" s="52"/>
      <c r="J100" s="68">
        <v>0.71875</v>
      </c>
      <c r="K100" s="69" t="s">
        <v>49</v>
      </c>
      <c r="L100" s="69" t="s">
        <v>50</v>
      </c>
      <c r="M100" s="69" t="s">
        <v>51</v>
      </c>
      <c r="N100" s="69" t="s">
        <v>52</v>
      </c>
      <c r="O100" s="69" t="s">
        <v>53</v>
      </c>
      <c r="P100" s="69" t="s">
        <v>54</v>
      </c>
      <c r="Q100" s="69" t="s">
        <v>55</v>
      </c>
      <c r="R100" s="52"/>
      <c r="S100" s="68">
        <v>0.71875</v>
      </c>
      <c r="T100" s="69" t="s">
        <v>49</v>
      </c>
      <c r="U100" s="69" t="s">
        <v>50</v>
      </c>
      <c r="V100" s="69" t="s">
        <v>51</v>
      </c>
      <c r="W100" s="69" t="s">
        <v>52</v>
      </c>
      <c r="X100" s="69" t="s">
        <v>53</v>
      </c>
      <c r="Y100" s="69" t="s">
        <v>54</v>
      </c>
      <c r="Z100" s="69" t="s">
        <v>55</v>
      </c>
      <c r="AA100" s="52"/>
      <c r="AB100" s="68">
        <v>0.71875</v>
      </c>
      <c r="AC100" s="69" t="s">
        <v>49</v>
      </c>
      <c r="AD100" s="69" t="s">
        <v>50</v>
      </c>
      <c r="AE100" s="69" t="s">
        <v>51</v>
      </c>
      <c r="AF100" s="69" t="s">
        <v>52</v>
      </c>
      <c r="AG100" s="69" t="s">
        <v>53</v>
      </c>
      <c r="AH100" s="69" t="s">
        <v>54</v>
      </c>
      <c r="AI100" s="69" t="s">
        <v>55</v>
      </c>
      <c r="AJ100" s="52"/>
      <c r="AK100" s="68">
        <v>0.71875</v>
      </c>
      <c r="AL100" s="69" t="s">
        <v>49</v>
      </c>
      <c r="AM100" s="69" t="s">
        <v>50</v>
      </c>
      <c r="AN100" s="69" t="s">
        <v>51</v>
      </c>
      <c r="AO100" s="69" t="s">
        <v>52</v>
      </c>
      <c r="AP100" s="69" t="s">
        <v>53</v>
      </c>
      <c r="AQ100" s="69" t="s">
        <v>54</v>
      </c>
      <c r="AR100" s="69" t="s">
        <v>55</v>
      </c>
      <c r="AT100" s="68">
        <v>0.71875</v>
      </c>
      <c r="AU100" s="69" t="s">
        <v>49</v>
      </c>
      <c r="AV100" s="69" t="s">
        <v>50</v>
      </c>
      <c r="AW100" s="69" t="s">
        <v>51</v>
      </c>
      <c r="AX100" s="69" t="s">
        <v>52</v>
      </c>
      <c r="AY100" s="69" t="s">
        <v>53</v>
      </c>
      <c r="AZ100" s="69" t="s">
        <v>54</v>
      </c>
      <c r="BA100" s="69" t="s">
        <v>55</v>
      </c>
    </row>
    <row r="101" spans="1:53" s="67" customFormat="1" ht="16" thickBot="1">
      <c r="A101" s="70">
        <v>16</v>
      </c>
      <c r="B101" s="49">
        <f>資料儲存!D6197</f>
        <v>0</v>
      </c>
      <c r="C101" s="49">
        <f>資料儲存!E6197</f>
        <v>0</v>
      </c>
      <c r="D101" s="49">
        <f>資料儲存!F6197</f>
        <v>0</v>
      </c>
      <c r="E101" s="49">
        <f>資料儲存!G6197</f>
        <v>0</v>
      </c>
      <c r="F101" s="49">
        <f>資料儲存!H6197</f>
        <v>0</v>
      </c>
      <c r="G101" s="49">
        <f>資料儲存!I6197</f>
        <v>0</v>
      </c>
      <c r="H101" s="49">
        <f>資料儲存!J6197</f>
        <v>0</v>
      </c>
      <c r="I101" s="52"/>
      <c r="J101" s="70">
        <v>16</v>
      </c>
      <c r="K101" s="49">
        <f>資料儲存!D6437</f>
        <v>0</v>
      </c>
      <c r="L101" s="49">
        <f>資料儲存!E6437</f>
        <v>0</v>
      </c>
      <c r="M101" s="49">
        <f>資料儲存!F6437</f>
        <v>0</v>
      </c>
      <c r="N101" s="49">
        <f>資料儲存!G6437</f>
        <v>0</v>
      </c>
      <c r="O101" s="49">
        <f>資料儲存!H6437</f>
        <v>0</v>
      </c>
      <c r="P101" s="49">
        <f>資料儲存!I6437</f>
        <v>0</v>
      </c>
      <c r="Q101" s="49">
        <f>資料儲存!J6437</f>
        <v>0</v>
      </c>
      <c r="R101" s="52"/>
      <c r="S101" s="70">
        <v>16</v>
      </c>
      <c r="T101" s="49">
        <f>資料儲存!D6677</f>
        <v>0</v>
      </c>
      <c r="U101" s="49">
        <f>資料儲存!E6677</f>
        <v>0</v>
      </c>
      <c r="V101" s="49">
        <f>資料儲存!F6677</f>
        <v>0</v>
      </c>
      <c r="W101" s="49">
        <f>資料儲存!G6677</f>
        <v>0</v>
      </c>
      <c r="X101" s="49">
        <f>資料儲存!H6677</f>
        <v>0</v>
      </c>
      <c r="Y101" s="49">
        <f>資料儲存!I6677</f>
        <v>0</v>
      </c>
      <c r="Z101" s="49">
        <f>資料儲存!J6677</f>
        <v>0</v>
      </c>
      <c r="AA101" s="52"/>
      <c r="AB101" s="70">
        <v>16</v>
      </c>
      <c r="AC101" s="49">
        <f>資料儲存!D6917</f>
        <v>0</v>
      </c>
      <c r="AD101" s="49">
        <f>資料儲存!E6917</f>
        <v>0</v>
      </c>
      <c r="AE101" s="49">
        <f>資料儲存!F6917</f>
        <v>0</v>
      </c>
      <c r="AF101" s="49">
        <f>資料儲存!G6917</f>
        <v>0</v>
      </c>
      <c r="AG101" s="49">
        <f>資料儲存!H6917</f>
        <v>0</v>
      </c>
      <c r="AH101" s="49">
        <f>資料儲存!I6917</f>
        <v>0</v>
      </c>
      <c r="AI101" s="49">
        <f>資料儲存!J6917</f>
        <v>0</v>
      </c>
      <c r="AJ101" s="52"/>
      <c r="AK101" s="70">
        <v>16</v>
      </c>
      <c r="AL101" s="49">
        <f>資料儲存!D7157</f>
        <v>0</v>
      </c>
      <c r="AM101" s="49">
        <f>資料儲存!E7157</f>
        <v>0</v>
      </c>
      <c r="AN101" s="49">
        <f>資料儲存!F7157</f>
        <v>0</v>
      </c>
      <c r="AO101" s="49">
        <f>資料儲存!G7157</f>
        <v>0</v>
      </c>
      <c r="AP101" s="49">
        <f>資料儲存!H7157</f>
        <v>0</v>
      </c>
      <c r="AQ101" s="49">
        <f>資料儲存!I7157</f>
        <v>0</v>
      </c>
      <c r="AR101" s="49">
        <f>資料儲存!J7157</f>
        <v>0</v>
      </c>
      <c r="AT101" s="70">
        <v>16</v>
      </c>
      <c r="AU101" s="49">
        <f>資料儲存!D7397</f>
        <v>0</v>
      </c>
      <c r="AV101" s="49">
        <f>資料儲存!E7397</f>
        <v>0</v>
      </c>
      <c r="AW101" s="49">
        <f>資料儲存!F7397</f>
        <v>0</v>
      </c>
      <c r="AX101" s="49">
        <f>資料儲存!G7397</f>
        <v>0</v>
      </c>
      <c r="AY101" s="49">
        <f>資料儲存!H7397</f>
        <v>0</v>
      </c>
      <c r="AZ101" s="49">
        <f>資料儲存!I7397</f>
        <v>0</v>
      </c>
      <c r="BA101" s="49">
        <f>資料儲存!J7397</f>
        <v>0</v>
      </c>
    </row>
    <row r="102" spans="1:53" s="67" customFormat="1" ht="16" thickBot="1">
      <c r="A102" s="70">
        <v>17</v>
      </c>
      <c r="B102" s="49">
        <f>資料儲存!D6198</f>
        <v>0</v>
      </c>
      <c r="C102" s="49">
        <f>資料儲存!E6198</f>
        <v>0</v>
      </c>
      <c r="D102" s="49">
        <f>資料儲存!F6198</f>
        <v>0</v>
      </c>
      <c r="E102" s="49">
        <f>資料儲存!G6198</f>
        <v>0</v>
      </c>
      <c r="F102" s="49">
        <f>資料儲存!H6198</f>
        <v>0</v>
      </c>
      <c r="G102" s="49">
        <f>資料儲存!I6198</f>
        <v>0</v>
      </c>
      <c r="H102" s="49">
        <f>資料儲存!J6198</f>
        <v>0</v>
      </c>
      <c r="I102" s="52"/>
      <c r="J102" s="70">
        <v>17</v>
      </c>
      <c r="K102" s="49">
        <f>資料儲存!D6438</f>
        <v>0</v>
      </c>
      <c r="L102" s="49">
        <f>資料儲存!E6438</f>
        <v>0</v>
      </c>
      <c r="M102" s="49">
        <f>資料儲存!F6438</f>
        <v>0</v>
      </c>
      <c r="N102" s="49">
        <f>資料儲存!G6438</f>
        <v>0</v>
      </c>
      <c r="O102" s="49">
        <f>資料儲存!H6438</f>
        <v>0</v>
      </c>
      <c r="P102" s="49">
        <f>資料儲存!I6438</f>
        <v>0</v>
      </c>
      <c r="Q102" s="49">
        <f>資料儲存!J6438</f>
        <v>0</v>
      </c>
      <c r="R102" s="52"/>
      <c r="S102" s="70">
        <v>17</v>
      </c>
      <c r="T102" s="49">
        <f>資料儲存!D6678</f>
        <v>0</v>
      </c>
      <c r="U102" s="49">
        <f>資料儲存!E6678</f>
        <v>0</v>
      </c>
      <c r="V102" s="49">
        <f>資料儲存!F6678</f>
        <v>0</v>
      </c>
      <c r="W102" s="49">
        <f>資料儲存!G6678</f>
        <v>0</v>
      </c>
      <c r="X102" s="49">
        <f>資料儲存!H6678</f>
        <v>0</v>
      </c>
      <c r="Y102" s="49">
        <f>資料儲存!I6678</f>
        <v>0</v>
      </c>
      <c r="Z102" s="49">
        <f>資料儲存!J6678</f>
        <v>0</v>
      </c>
      <c r="AA102" s="52"/>
      <c r="AB102" s="70">
        <v>17</v>
      </c>
      <c r="AC102" s="49">
        <f>資料儲存!D6918</f>
        <v>0</v>
      </c>
      <c r="AD102" s="49">
        <f>資料儲存!E6918</f>
        <v>0</v>
      </c>
      <c r="AE102" s="49">
        <f>資料儲存!F6918</f>
        <v>0</v>
      </c>
      <c r="AF102" s="49">
        <f>資料儲存!G6918</f>
        <v>0</v>
      </c>
      <c r="AG102" s="49">
        <f>資料儲存!H6918</f>
        <v>0</v>
      </c>
      <c r="AH102" s="49">
        <f>資料儲存!I6918</f>
        <v>0</v>
      </c>
      <c r="AI102" s="49">
        <f>資料儲存!J6918</f>
        <v>0</v>
      </c>
      <c r="AJ102" s="52"/>
      <c r="AK102" s="70">
        <v>17</v>
      </c>
      <c r="AL102" s="49">
        <f>資料儲存!D7158</f>
        <v>0</v>
      </c>
      <c r="AM102" s="49">
        <f>資料儲存!E7158</f>
        <v>0</v>
      </c>
      <c r="AN102" s="49">
        <f>資料儲存!F7158</f>
        <v>0</v>
      </c>
      <c r="AO102" s="49">
        <f>資料儲存!G7158</f>
        <v>0</v>
      </c>
      <c r="AP102" s="49">
        <f>資料儲存!H7158</f>
        <v>0</v>
      </c>
      <c r="AQ102" s="49">
        <f>資料儲存!I7158</f>
        <v>0</v>
      </c>
      <c r="AR102" s="49">
        <f>資料儲存!J7158</f>
        <v>0</v>
      </c>
      <c r="AT102" s="70">
        <v>17</v>
      </c>
      <c r="AU102" s="49">
        <f>資料儲存!D7398</f>
        <v>0</v>
      </c>
      <c r="AV102" s="49">
        <f>資料儲存!E7398</f>
        <v>0</v>
      </c>
      <c r="AW102" s="49">
        <f>資料儲存!F7398</f>
        <v>0</v>
      </c>
      <c r="AX102" s="49">
        <f>資料儲存!G7398</f>
        <v>0</v>
      </c>
      <c r="AY102" s="49">
        <f>資料儲存!H7398</f>
        <v>0</v>
      </c>
      <c r="AZ102" s="49">
        <f>資料儲存!I7398</f>
        <v>0</v>
      </c>
      <c r="BA102" s="49">
        <f>資料儲存!J7398</f>
        <v>0</v>
      </c>
    </row>
    <row r="103" spans="1:53" s="67" customFormat="1" ht="16" thickBot="1">
      <c r="A103" s="70">
        <v>18</v>
      </c>
      <c r="B103" s="49">
        <f>資料儲存!D6199</f>
        <v>0</v>
      </c>
      <c r="C103" s="49">
        <f>資料儲存!E6199</f>
        <v>0</v>
      </c>
      <c r="D103" s="49">
        <f>資料儲存!F6199</f>
        <v>0</v>
      </c>
      <c r="E103" s="49">
        <f>資料儲存!G6199</f>
        <v>0</v>
      </c>
      <c r="F103" s="49">
        <f>資料儲存!H6199</f>
        <v>0</v>
      </c>
      <c r="G103" s="49">
        <f>資料儲存!I6199</f>
        <v>0</v>
      </c>
      <c r="H103" s="49">
        <f>資料儲存!J6199</f>
        <v>0</v>
      </c>
      <c r="I103" s="52"/>
      <c r="J103" s="70">
        <v>18</v>
      </c>
      <c r="K103" s="49">
        <f>資料儲存!D6439</f>
        <v>0</v>
      </c>
      <c r="L103" s="49">
        <f>資料儲存!E6439</f>
        <v>0</v>
      </c>
      <c r="M103" s="49">
        <f>資料儲存!F6439</f>
        <v>0</v>
      </c>
      <c r="N103" s="49">
        <f>資料儲存!G6439</f>
        <v>0</v>
      </c>
      <c r="O103" s="49">
        <f>資料儲存!H6439</f>
        <v>0</v>
      </c>
      <c r="P103" s="49">
        <f>資料儲存!I6439</f>
        <v>0</v>
      </c>
      <c r="Q103" s="49">
        <f>資料儲存!J6439</f>
        <v>0</v>
      </c>
      <c r="R103" s="52"/>
      <c r="S103" s="70">
        <v>18</v>
      </c>
      <c r="T103" s="49">
        <f>資料儲存!D6679</f>
        <v>0</v>
      </c>
      <c r="U103" s="49">
        <f>資料儲存!E6679</f>
        <v>0</v>
      </c>
      <c r="V103" s="49">
        <f>資料儲存!F6679</f>
        <v>0</v>
      </c>
      <c r="W103" s="49">
        <f>資料儲存!G6679</f>
        <v>0</v>
      </c>
      <c r="X103" s="49">
        <f>資料儲存!H6679</f>
        <v>0</v>
      </c>
      <c r="Y103" s="49">
        <f>資料儲存!I6679</f>
        <v>0</v>
      </c>
      <c r="Z103" s="49">
        <f>資料儲存!J6679</f>
        <v>0</v>
      </c>
      <c r="AA103" s="52"/>
      <c r="AB103" s="70">
        <v>18</v>
      </c>
      <c r="AC103" s="49">
        <f>資料儲存!D6919</f>
        <v>0</v>
      </c>
      <c r="AD103" s="49">
        <f>資料儲存!E6919</f>
        <v>0</v>
      </c>
      <c r="AE103" s="49">
        <f>資料儲存!F6919</f>
        <v>0</v>
      </c>
      <c r="AF103" s="49">
        <f>資料儲存!G6919</f>
        <v>0</v>
      </c>
      <c r="AG103" s="49">
        <f>資料儲存!H6919</f>
        <v>0</v>
      </c>
      <c r="AH103" s="49">
        <f>資料儲存!I6919</f>
        <v>0</v>
      </c>
      <c r="AI103" s="49">
        <f>資料儲存!J6919</f>
        <v>0</v>
      </c>
      <c r="AJ103" s="52"/>
      <c r="AK103" s="70">
        <v>18</v>
      </c>
      <c r="AL103" s="49">
        <f>資料儲存!D7159</f>
        <v>0</v>
      </c>
      <c r="AM103" s="49">
        <f>資料儲存!E7159</f>
        <v>0</v>
      </c>
      <c r="AN103" s="49">
        <f>資料儲存!F7159</f>
        <v>0</v>
      </c>
      <c r="AO103" s="49">
        <f>資料儲存!G7159</f>
        <v>0</v>
      </c>
      <c r="AP103" s="49">
        <f>資料儲存!H7159</f>
        <v>0</v>
      </c>
      <c r="AQ103" s="49">
        <f>資料儲存!I7159</f>
        <v>0</v>
      </c>
      <c r="AR103" s="49">
        <f>資料儲存!J7159</f>
        <v>0</v>
      </c>
      <c r="AT103" s="70">
        <v>18</v>
      </c>
      <c r="AU103" s="49">
        <f>資料儲存!D7399</f>
        <v>0</v>
      </c>
      <c r="AV103" s="49">
        <f>資料儲存!E7399</f>
        <v>0</v>
      </c>
      <c r="AW103" s="49">
        <f>資料儲存!F7399</f>
        <v>0</v>
      </c>
      <c r="AX103" s="49">
        <f>資料儲存!G7399</f>
        <v>0</v>
      </c>
      <c r="AY103" s="49">
        <f>資料儲存!H7399</f>
        <v>0</v>
      </c>
      <c r="AZ103" s="49">
        <f>資料儲存!I7399</f>
        <v>0</v>
      </c>
      <c r="BA103" s="49">
        <f>資料儲存!J7399</f>
        <v>0</v>
      </c>
    </row>
    <row r="104" spans="1:53" s="67" customFormat="1" ht="16" thickBot="1">
      <c r="A104" s="70">
        <v>19</v>
      </c>
      <c r="B104" s="49">
        <f>資料儲存!D6200</f>
        <v>0</v>
      </c>
      <c r="C104" s="49">
        <f>資料儲存!E6200</f>
        <v>0</v>
      </c>
      <c r="D104" s="49">
        <f>資料儲存!F6200</f>
        <v>0</v>
      </c>
      <c r="E104" s="49">
        <f>資料儲存!G6200</f>
        <v>0</v>
      </c>
      <c r="F104" s="49">
        <f>資料儲存!H6200</f>
        <v>0</v>
      </c>
      <c r="G104" s="49">
        <f>資料儲存!I6200</f>
        <v>0</v>
      </c>
      <c r="H104" s="49">
        <f>資料儲存!J6200</f>
        <v>0</v>
      </c>
      <c r="I104" s="52"/>
      <c r="J104" s="70">
        <v>19</v>
      </c>
      <c r="K104" s="49">
        <f>資料儲存!D6440</f>
        <v>0</v>
      </c>
      <c r="L104" s="49">
        <f>資料儲存!E6440</f>
        <v>0</v>
      </c>
      <c r="M104" s="49">
        <f>資料儲存!F6440</f>
        <v>0</v>
      </c>
      <c r="N104" s="49">
        <f>資料儲存!G6440</f>
        <v>0</v>
      </c>
      <c r="O104" s="49">
        <f>資料儲存!H6440</f>
        <v>0</v>
      </c>
      <c r="P104" s="49">
        <f>資料儲存!I6440</f>
        <v>0</v>
      </c>
      <c r="Q104" s="49">
        <f>資料儲存!J6440</f>
        <v>0</v>
      </c>
      <c r="R104" s="52"/>
      <c r="S104" s="70">
        <v>19</v>
      </c>
      <c r="T104" s="49">
        <f>資料儲存!D6680</f>
        <v>0</v>
      </c>
      <c r="U104" s="49">
        <f>資料儲存!E6680</f>
        <v>0</v>
      </c>
      <c r="V104" s="49">
        <f>資料儲存!F6680</f>
        <v>0</v>
      </c>
      <c r="W104" s="49">
        <f>資料儲存!G6680</f>
        <v>0</v>
      </c>
      <c r="X104" s="49">
        <f>資料儲存!H6680</f>
        <v>0</v>
      </c>
      <c r="Y104" s="49">
        <f>資料儲存!I6680</f>
        <v>0</v>
      </c>
      <c r="Z104" s="49">
        <f>資料儲存!J6680</f>
        <v>0</v>
      </c>
      <c r="AA104" s="52"/>
      <c r="AB104" s="70">
        <v>19</v>
      </c>
      <c r="AC104" s="49">
        <f>資料儲存!D6920</f>
        <v>0</v>
      </c>
      <c r="AD104" s="49">
        <f>資料儲存!E6920</f>
        <v>0</v>
      </c>
      <c r="AE104" s="49">
        <f>資料儲存!F6920</f>
        <v>0</v>
      </c>
      <c r="AF104" s="49">
        <f>資料儲存!G6920</f>
        <v>0</v>
      </c>
      <c r="AG104" s="49">
        <f>資料儲存!H6920</f>
        <v>0</v>
      </c>
      <c r="AH104" s="49">
        <f>資料儲存!I6920</f>
        <v>0</v>
      </c>
      <c r="AI104" s="49">
        <f>資料儲存!J6920</f>
        <v>0</v>
      </c>
      <c r="AJ104" s="52"/>
      <c r="AK104" s="70">
        <v>19</v>
      </c>
      <c r="AL104" s="49">
        <f>資料儲存!D7160</f>
        <v>0</v>
      </c>
      <c r="AM104" s="49">
        <f>資料儲存!E7160</f>
        <v>0</v>
      </c>
      <c r="AN104" s="49">
        <f>資料儲存!F7160</f>
        <v>0</v>
      </c>
      <c r="AO104" s="49">
        <f>資料儲存!G7160</f>
        <v>0</v>
      </c>
      <c r="AP104" s="49">
        <f>資料儲存!H7160</f>
        <v>0</v>
      </c>
      <c r="AQ104" s="49">
        <f>資料儲存!I7160</f>
        <v>0</v>
      </c>
      <c r="AR104" s="49">
        <f>資料儲存!J7160</f>
        <v>0</v>
      </c>
      <c r="AT104" s="70">
        <v>19</v>
      </c>
      <c r="AU104" s="49">
        <f>資料儲存!D7400</f>
        <v>0</v>
      </c>
      <c r="AV104" s="49">
        <f>資料儲存!E7400</f>
        <v>0</v>
      </c>
      <c r="AW104" s="49">
        <f>資料儲存!F7400</f>
        <v>0</v>
      </c>
      <c r="AX104" s="49">
        <f>資料儲存!G7400</f>
        <v>0</v>
      </c>
      <c r="AY104" s="49">
        <f>資料儲存!H7400</f>
        <v>0</v>
      </c>
      <c r="AZ104" s="49">
        <f>資料儲存!I7400</f>
        <v>0</v>
      </c>
      <c r="BA104" s="49">
        <f>資料儲存!J7400</f>
        <v>0</v>
      </c>
    </row>
    <row r="105" spans="1:53" s="67" customFormat="1" ht="16" thickBot="1">
      <c r="A105" s="70">
        <v>20</v>
      </c>
      <c r="B105" s="49">
        <f>資料儲存!D6201</f>
        <v>0</v>
      </c>
      <c r="C105" s="49">
        <f>資料儲存!E6201</f>
        <v>0</v>
      </c>
      <c r="D105" s="49">
        <f>資料儲存!F6201</f>
        <v>0</v>
      </c>
      <c r="E105" s="49">
        <f>資料儲存!G6201</f>
        <v>0</v>
      </c>
      <c r="F105" s="49">
        <f>資料儲存!H6201</f>
        <v>0</v>
      </c>
      <c r="G105" s="49">
        <f>資料儲存!I6201</f>
        <v>0</v>
      </c>
      <c r="H105" s="49">
        <f>資料儲存!J6201</f>
        <v>0</v>
      </c>
      <c r="I105" s="52"/>
      <c r="J105" s="70">
        <v>20</v>
      </c>
      <c r="K105" s="49">
        <f>資料儲存!D6441</f>
        <v>0</v>
      </c>
      <c r="L105" s="49">
        <f>資料儲存!E6441</f>
        <v>0</v>
      </c>
      <c r="M105" s="49">
        <f>資料儲存!F6441</f>
        <v>0</v>
      </c>
      <c r="N105" s="49">
        <f>資料儲存!G6441</f>
        <v>0</v>
      </c>
      <c r="O105" s="49">
        <f>資料儲存!H6441</f>
        <v>0</v>
      </c>
      <c r="P105" s="49">
        <f>資料儲存!I6441</f>
        <v>0</v>
      </c>
      <c r="Q105" s="49">
        <f>資料儲存!J6441</f>
        <v>0</v>
      </c>
      <c r="R105" s="52"/>
      <c r="S105" s="70">
        <v>20</v>
      </c>
      <c r="T105" s="49">
        <f>資料儲存!D6681</f>
        <v>0</v>
      </c>
      <c r="U105" s="49">
        <f>資料儲存!E6681</f>
        <v>0</v>
      </c>
      <c r="V105" s="49">
        <f>資料儲存!F6681</f>
        <v>0</v>
      </c>
      <c r="W105" s="49">
        <f>資料儲存!G6681</f>
        <v>0</v>
      </c>
      <c r="X105" s="49">
        <f>資料儲存!H6681</f>
        <v>0</v>
      </c>
      <c r="Y105" s="49">
        <f>資料儲存!I6681</f>
        <v>0</v>
      </c>
      <c r="Z105" s="49">
        <f>資料儲存!J6681</f>
        <v>0</v>
      </c>
      <c r="AA105" s="52"/>
      <c r="AB105" s="70">
        <v>20</v>
      </c>
      <c r="AC105" s="49">
        <f>資料儲存!D6921</f>
        <v>0</v>
      </c>
      <c r="AD105" s="49">
        <f>資料儲存!E6921</f>
        <v>0</v>
      </c>
      <c r="AE105" s="49">
        <f>資料儲存!F6921</f>
        <v>0</v>
      </c>
      <c r="AF105" s="49">
        <f>資料儲存!G6921</f>
        <v>0</v>
      </c>
      <c r="AG105" s="49">
        <f>資料儲存!H6921</f>
        <v>0</v>
      </c>
      <c r="AH105" s="49">
        <f>資料儲存!I6921</f>
        <v>0</v>
      </c>
      <c r="AI105" s="49">
        <f>資料儲存!J6921</f>
        <v>0</v>
      </c>
      <c r="AJ105" s="52"/>
      <c r="AK105" s="70">
        <v>20</v>
      </c>
      <c r="AL105" s="49">
        <f>資料儲存!D7161</f>
        <v>0</v>
      </c>
      <c r="AM105" s="49">
        <f>資料儲存!E7161</f>
        <v>0</v>
      </c>
      <c r="AN105" s="49">
        <f>資料儲存!F7161</f>
        <v>0</v>
      </c>
      <c r="AO105" s="49">
        <f>資料儲存!G7161</f>
        <v>0</v>
      </c>
      <c r="AP105" s="49">
        <f>資料儲存!H7161</f>
        <v>0</v>
      </c>
      <c r="AQ105" s="49">
        <f>資料儲存!I7161</f>
        <v>0</v>
      </c>
      <c r="AR105" s="49">
        <f>資料儲存!J7161</f>
        <v>0</v>
      </c>
      <c r="AT105" s="70">
        <v>20</v>
      </c>
      <c r="AU105" s="49">
        <f>資料儲存!D7401</f>
        <v>0</v>
      </c>
      <c r="AV105" s="49">
        <f>資料儲存!E7401</f>
        <v>0</v>
      </c>
      <c r="AW105" s="49">
        <f>資料儲存!F7401</f>
        <v>0</v>
      </c>
      <c r="AX105" s="49">
        <f>資料儲存!G7401</f>
        <v>0</v>
      </c>
      <c r="AY105" s="49">
        <f>資料儲存!H7401</f>
        <v>0</v>
      </c>
      <c r="AZ105" s="49">
        <f>資料儲存!I7401</f>
        <v>0</v>
      </c>
      <c r="BA105" s="49">
        <f>資料儲存!J7401</f>
        <v>0</v>
      </c>
    </row>
    <row r="106" spans="1:53" s="67" customFormat="1" ht="16" thickBot="1">
      <c r="A106" s="70">
        <v>21</v>
      </c>
      <c r="B106" s="49">
        <f>資料儲存!D6202</f>
        <v>0</v>
      </c>
      <c r="C106" s="49">
        <f>資料儲存!E6202</f>
        <v>0</v>
      </c>
      <c r="D106" s="49">
        <f>資料儲存!F6202</f>
        <v>0</v>
      </c>
      <c r="E106" s="49">
        <f>資料儲存!G6202</f>
        <v>0</v>
      </c>
      <c r="F106" s="49">
        <f>資料儲存!H6202</f>
        <v>0</v>
      </c>
      <c r="G106" s="49">
        <f>資料儲存!I6202</f>
        <v>0</v>
      </c>
      <c r="H106" s="49">
        <f>資料儲存!J6202</f>
        <v>0</v>
      </c>
      <c r="I106" s="52"/>
      <c r="J106" s="70">
        <v>21</v>
      </c>
      <c r="K106" s="49">
        <f>資料儲存!D6442</f>
        <v>0</v>
      </c>
      <c r="L106" s="49">
        <f>資料儲存!E6442</f>
        <v>0</v>
      </c>
      <c r="M106" s="49">
        <f>資料儲存!F6442</f>
        <v>0</v>
      </c>
      <c r="N106" s="49">
        <f>資料儲存!G6442</f>
        <v>0</v>
      </c>
      <c r="O106" s="49">
        <f>資料儲存!H6442</f>
        <v>0</v>
      </c>
      <c r="P106" s="49">
        <f>資料儲存!I6442</f>
        <v>0</v>
      </c>
      <c r="Q106" s="49">
        <f>資料儲存!J6442</f>
        <v>0</v>
      </c>
      <c r="R106" s="52"/>
      <c r="S106" s="70">
        <v>21</v>
      </c>
      <c r="T106" s="49">
        <f>資料儲存!D6682</f>
        <v>0</v>
      </c>
      <c r="U106" s="49">
        <f>資料儲存!E6682</f>
        <v>0</v>
      </c>
      <c r="V106" s="49">
        <f>資料儲存!F6682</f>
        <v>0</v>
      </c>
      <c r="W106" s="49">
        <f>資料儲存!G6682</f>
        <v>0</v>
      </c>
      <c r="X106" s="49">
        <f>資料儲存!H6682</f>
        <v>0</v>
      </c>
      <c r="Y106" s="49">
        <f>資料儲存!I6682</f>
        <v>0</v>
      </c>
      <c r="Z106" s="49">
        <f>資料儲存!J6682</f>
        <v>0</v>
      </c>
      <c r="AA106" s="52"/>
      <c r="AB106" s="70">
        <v>21</v>
      </c>
      <c r="AC106" s="49">
        <f>資料儲存!D6922</f>
        <v>0</v>
      </c>
      <c r="AD106" s="49">
        <f>資料儲存!E6922</f>
        <v>0</v>
      </c>
      <c r="AE106" s="49">
        <f>資料儲存!F6922</f>
        <v>0</v>
      </c>
      <c r="AF106" s="49">
        <f>資料儲存!G6922</f>
        <v>0</v>
      </c>
      <c r="AG106" s="49">
        <f>資料儲存!H6922</f>
        <v>0</v>
      </c>
      <c r="AH106" s="49">
        <f>資料儲存!I6922</f>
        <v>0</v>
      </c>
      <c r="AI106" s="49">
        <f>資料儲存!J6922</f>
        <v>0</v>
      </c>
      <c r="AJ106" s="52"/>
      <c r="AK106" s="70">
        <v>21</v>
      </c>
      <c r="AL106" s="49">
        <f>資料儲存!D7162</f>
        <v>0</v>
      </c>
      <c r="AM106" s="49">
        <f>資料儲存!E7162</f>
        <v>0</v>
      </c>
      <c r="AN106" s="49">
        <f>資料儲存!F7162</f>
        <v>0</v>
      </c>
      <c r="AO106" s="49">
        <f>資料儲存!G7162</f>
        <v>0</v>
      </c>
      <c r="AP106" s="49">
        <f>資料儲存!H7162</f>
        <v>0</v>
      </c>
      <c r="AQ106" s="49">
        <f>資料儲存!I7162</f>
        <v>0</v>
      </c>
      <c r="AR106" s="49">
        <f>資料儲存!J7162</f>
        <v>0</v>
      </c>
      <c r="AT106" s="70">
        <v>21</v>
      </c>
      <c r="AU106" s="49">
        <f>資料儲存!D7402</f>
        <v>0</v>
      </c>
      <c r="AV106" s="49">
        <f>資料儲存!E7402</f>
        <v>0</v>
      </c>
      <c r="AW106" s="49">
        <f>資料儲存!F7402</f>
        <v>0</v>
      </c>
      <c r="AX106" s="49">
        <f>資料儲存!G7402</f>
        <v>0</v>
      </c>
      <c r="AY106" s="49">
        <f>資料儲存!H7402</f>
        <v>0</v>
      </c>
      <c r="AZ106" s="49">
        <f>資料儲存!I7402</f>
        <v>0</v>
      </c>
      <c r="BA106" s="49">
        <f>資料儲存!J7402</f>
        <v>0</v>
      </c>
    </row>
    <row r="107" spans="1:53" s="67" customFormat="1" ht="16" thickBot="1">
      <c r="A107" s="70">
        <v>22</v>
      </c>
      <c r="B107" s="49">
        <f>資料儲存!D6203</f>
        <v>0</v>
      </c>
      <c r="C107" s="49">
        <f>資料儲存!E6203</f>
        <v>0</v>
      </c>
      <c r="D107" s="49">
        <f>資料儲存!F6203</f>
        <v>0</v>
      </c>
      <c r="E107" s="49">
        <f>資料儲存!G6203</f>
        <v>0</v>
      </c>
      <c r="F107" s="49">
        <f>資料儲存!H6203</f>
        <v>0</v>
      </c>
      <c r="G107" s="49">
        <f>資料儲存!I6203</f>
        <v>0</v>
      </c>
      <c r="H107" s="49">
        <f>資料儲存!J6203</f>
        <v>0</v>
      </c>
      <c r="I107" s="52"/>
      <c r="J107" s="70">
        <v>22</v>
      </c>
      <c r="K107" s="49">
        <f>資料儲存!D6443</f>
        <v>0</v>
      </c>
      <c r="L107" s="49">
        <f>資料儲存!E6443</f>
        <v>0</v>
      </c>
      <c r="M107" s="49">
        <f>資料儲存!F6443</f>
        <v>0</v>
      </c>
      <c r="N107" s="49">
        <f>資料儲存!G6443</f>
        <v>0</v>
      </c>
      <c r="O107" s="49">
        <f>資料儲存!H6443</f>
        <v>0</v>
      </c>
      <c r="P107" s="49">
        <f>資料儲存!I6443</f>
        <v>0</v>
      </c>
      <c r="Q107" s="49">
        <f>資料儲存!J6443</f>
        <v>0</v>
      </c>
      <c r="R107" s="52"/>
      <c r="S107" s="70">
        <v>22</v>
      </c>
      <c r="T107" s="49">
        <f>資料儲存!D6683</f>
        <v>0</v>
      </c>
      <c r="U107" s="49">
        <f>資料儲存!E6683</f>
        <v>0</v>
      </c>
      <c r="V107" s="49">
        <f>資料儲存!F6683</f>
        <v>0</v>
      </c>
      <c r="W107" s="49">
        <f>資料儲存!G6683</f>
        <v>0</v>
      </c>
      <c r="X107" s="49">
        <f>資料儲存!H6683</f>
        <v>0</v>
      </c>
      <c r="Y107" s="49">
        <f>資料儲存!I6683</f>
        <v>0</v>
      </c>
      <c r="Z107" s="49">
        <f>資料儲存!J6683</f>
        <v>0</v>
      </c>
      <c r="AA107" s="52"/>
      <c r="AB107" s="70">
        <v>22</v>
      </c>
      <c r="AC107" s="49">
        <f>資料儲存!D6923</f>
        <v>0</v>
      </c>
      <c r="AD107" s="49">
        <f>資料儲存!E6923</f>
        <v>0</v>
      </c>
      <c r="AE107" s="49">
        <f>資料儲存!F6923</f>
        <v>0</v>
      </c>
      <c r="AF107" s="49">
        <f>資料儲存!G6923</f>
        <v>0</v>
      </c>
      <c r="AG107" s="49">
        <f>資料儲存!H6923</f>
        <v>0</v>
      </c>
      <c r="AH107" s="49">
        <f>資料儲存!I6923</f>
        <v>0</v>
      </c>
      <c r="AI107" s="49">
        <f>資料儲存!J6923</f>
        <v>0</v>
      </c>
      <c r="AJ107" s="52"/>
      <c r="AK107" s="70">
        <v>22</v>
      </c>
      <c r="AL107" s="49">
        <f>資料儲存!D7163</f>
        <v>0</v>
      </c>
      <c r="AM107" s="49">
        <f>資料儲存!E7163</f>
        <v>0</v>
      </c>
      <c r="AN107" s="49">
        <f>資料儲存!F7163</f>
        <v>0</v>
      </c>
      <c r="AO107" s="49">
        <f>資料儲存!G7163</f>
        <v>0</v>
      </c>
      <c r="AP107" s="49">
        <f>資料儲存!H7163</f>
        <v>0</v>
      </c>
      <c r="AQ107" s="49">
        <f>資料儲存!I7163</f>
        <v>0</v>
      </c>
      <c r="AR107" s="49">
        <f>資料儲存!J7163</f>
        <v>0</v>
      </c>
      <c r="AT107" s="70">
        <v>22</v>
      </c>
      <c r="AU107" s="49">
        <f>資料儲存!D7403</f>
        <v>0</v>
      </c>
      <c r="AV107" s="49">
        <f>資料儲存!E7403</f>
        <v>0</v>
      </c>
      <c r="AW107" s="49">
        <f>資料儲存!F7403</f>
        <v>0</v>
      </c>
      <c r="AX107" s="49">
        <f>資料儲存!G7403</f>
        <v>0</v>
      </c>
      <c r="AY107" s="49">
        <f>資料儲存!H7403</f>
        <v>0</v>
      </c>
      <c r="AZ107" s="49">
        <f>資料儲存!I7403</f>
        <v>0</v>
      </c>
      <c r="BA107" s="49">
        <f>資料儲存!J7403</f>
        <v>0</v>
      </c>
    </row>
    <row r="108" spans="1:53" s="67" customFormat="1" ht="16" thickBot="1">
      <c r="A108" s="70">
        <v>23</v>
      </c>
      <c r="B108" s="49">
        <f>資料儲存!D6204</f>
        <v>0</v>
      </c>
      <c r="C108" s="49">
        <f>資料儲存!E6204</f>
        <v>0</v>
      </c>
      <c r="D108" s="49">
        <f>資料儲存!F6204</f>
        <v>0</v>
      </c>
      <c r="E108" s="49">
        <f>資料儲存!G6204</f>
        <v>0</v>
      </c>
      <c r="F108" s="49">
        <f>資料儲存!H6204</f>
        <v>0</v>
      </c>
      <c r="G108" s="49">
        <f>資料儲存!I6204</f>
        <v>0</v>
      </c>
      <c r="H108" s="49">
        <f>資料儲存!J6204</f>
        <v>0</v>
      </c>
      <c r="I108" s="52"/>
      <c r="J108" s="70">
        <v>23</v>
      </c>
      <c r="K108" s="49">
        <f>資料儲存!D6444</f>
        <v>0</v>
      </c>
      <c r="L108" s="49">
        <f>資料儲存!E6444</f>
        <v>0</v>
      </c>
      <c r="M108" s="49">
        <f>資料儲存!F6444</f>
        <v>0</v>
      </c>
      <c r="N108" s="49">
        <f>資料儲存!G6444</f>
        <v>0</v>
      </c>
      <c r="O108" s="49">
        <f>資料儲存!H6444</f>
        <v>0</v>
      </c>
      <c r="P108" s="49">
        <f>資料儲存!I6444</f>
        <v>0</v>
      </c>
      <c r="Q108" s="49">
        <f>資料儲存!J6444</f>
        <v>0</v>
      </c>
      <c r="R108" s="52"/>
      <c r="S108" s="70">
        <v>23</v>
      </c>
      <c r="T108" s="49">
        <f>資料儲存!D6684</f>
        <v>0</v>
      </c>
      <c r="U108" s="49">
        <f>資料儲存!E6684</f>
        <v>0</v>
      </c>
      <c r="V108" s="49">
        <f>資料儲存!F6684</f>
        <v>0</v>
      </c>
      <c r="W108" s="49">
        <f>資料儲存!G6684</f>
        <v>0</v>
      </c>
      <c r="X108" s="49">
        <f>資料儲存!H6684</f>
        <v>0</v>
      </c>
      <c r="Y108" s="49">
        <f>資料儲存!I6684</f>
        <v>0</v>
      </c>
      <c r="Z108" s="49">
        <f>資料儲存!J6684</f>
        <v>0</v>
      </c>
      <c r="AA108" s="52"/>
      <c r="AB108" s="70">
        <v>23</v>
      </c>
      <c r="AC108" s="49">
        <f>資料儲存!D6924</f>
        <v>0</v>
      </c>
      <c r="AD108" s="49">
        <f>資料儲存!E6924</f>
        <v>0</v>
      </c>
      <c r="AE108" s="49">
        <f>資料儲存!F6924</f>
        <v>0</v>
      </c>
      <c r="AF108" s="49">
        <f>資料儲存!G6924</f>
        <v>0</v>
      </c>
      <c r="AG108" s="49">
        <f>資料儲存!H6924</f>
        <v>0</v>
      </c>
      <c r="AH108" s="49">
        <f>資料儲存!I6924</f>
        <v>0</v>
      </c>
      <c r="AI108" s="49">
        <f>資料儲存!J6924</f>
        <v>0</v>
      </c>
      <c r="AJ108" s="52"/>
      <c r="AK108" s="70">
        <v>23</v>
      </c>
      <c r="AL108" s="49">
        <f>資料儲存!D7164</f>
        <v>0</v>
      </c>
      <c r="AM108" s="49">
        <f>資料儲存!E7164</f>
        <v>0</v>
      </c>
      <c r="AN108" s="49">
        <f>資料儲存!F7164</f>
        <v>0</v>
      </c>
      <c r="AO108" s="49">
        <f>資料儲存!G7164</f>
        <v>0</v>
      </c>
      <c r="AP108" s="49">
        <f>資料儲存!H7164</f>
        <v>0</v>
      </c>
      <c r="AQ108" s="49">
        <f>資料儲存!I7164</f>
        <v>0</v>
      </c>
      <c r="AR108" s="49">
        <f>資料儲存!J7164</f>
        <v>0</v>
      </c>
      <c r="AT108" s="70">
        <v>23</v>
      </c>
      <c r="AU108" s="49">
        <f>資料儲存!D7404</f>
        <v>0</v>
      </c>
      <c r="AV108" s="49">
        <f>資料儲存!E7404</f>
        <v>0</v>
      </c>
      <c r="AW108" s="49">
        <f>資料儲存!F7404</f>
        <v>0</v>
      </c>
      <c r="AX108" s="49">
        <f>資料儲存!G7404</f>
        <v>0</v>
      </c>
      <c r="AY108" s="49">
        <f>資料儲存!H7404</f>
        <v>0</v>
      </c>
      <c r="AZ108" s="49">
        <f>資料儲存!I7404</f>
        <v>0</v>
      </c>
      <c r="BA108" s="49">
        <f>資料儲存!J7404</f>
        <v>0</v>
      </c>
    </row>
    <row r="109" spans="1:53" s="67" customFormat="1" ht="16" thickBot="1">
      <c r="A109" s="70">
        <v>24</v>
      </c>
      <c r="B109" s="49">
        <f>資料儲存!D6205</f>
        <v>0</v>
      </c>
      <c r="C109" s="49">
        <f>資料儲存!E6205</f>
        <v>0</v>
      </c>
      <c r="D109" s="49">
        <f>資料儲存!F6205</f>
        <v>0</v>
      </c>
      <c r="E109" s="49">
        <f>資料儲存!G6205</f>
        <v>0</v>
      </c>
      <c r="F109" s="49">
        <f>資料儲存!H6205</f>
        <v>0</v>
      </c>
      <c r="G109" s="49">
        <f>資料儲存!I6205</f>
        <v>0</v>
      </c>
      <c r="H109" s="49">
        <f>資料儲存!J6205</f>
        <v>0</v>
      </c>
      <c r="I109" s="52"/>
      <c r="J109" s="70">
        <v>24</v>
      </c>
      <c r="K109" s="49">
        <f>資料儲存!D6445</f>
        <v>0</v>
      </c>
      <c r="L109" s="49">
        <f>資料儲存!E6445</f>
        <v>0</v>
      </c>
      <c r="M109" s="49">
        <f>資料儲存!F6445</f>
        <v>0</v>
      </c>
      <c r="N109" s="49">
        <f>資料儲存!G6445</f>
        <v>0</v>
      </c>
      <c r="O109" s="49">
        <f>資料儲存!H6445</f>
        <v>0</v>
      </c>
      <c r="P109" s="49">
        <f>資料儲存!I6445</f>
        <v>0</v>
      </c>
      <c r="Q109" s="49">
        <f>資料儲存!J6445</f>
        <v>0</v>
      </c>
      <c r="R109" s="52"/>
      <c r="S109" s="70">
        <v>24</v>
      </c>
      <c r="T109" s="49">
        <f>資料儲存!D6685</f>
        <v>0</v>
      </c>
      <c r="U109" s="49">
        <f>資料儲存!E6685</f>
        <v>0</v>
      </c>
      <c r="V109" s="49">
        <f>資料儲存!F6685</f>
        <v>0</v>
      </c>
      <c r="W109" s="49">
        <f>資料儲存!G6685</f>
        <v>0</v>
      </c>
      <c r="X109" s="49">
        <f>資料儲存!H6685</f>
        <v>0</v>
      </c>
      <c r="Y109" s="49">
        <f>資料儲存!I6685</f>
        <v>0</v>
      </c>
      <c r="Z109" s="49">
        <f>資料儲存!J6685</f>
        <v>0</v>
      </c>
      <c r="AA109" s="52"/>
      <c r="AB109" s="70">
        <v>24</v>
      </c>
      <c r="AC109" s="49">
        <f>資料儲存!D6925</f>
        <v>0</v>
      </c>
      <c r="AD109" s="49">
        <f>資料儲存!E6925</f>
        <v>0</v>
      </c>
      <c r="AE109" s="49">
        <f>資料儲存!F6925</f>
        <v>0</v>
      </c>
      <c r="AF109" s="49">
        <f>資料儲存!G6925</f>
        <v>0</v>
      </c>
      <c r="AG109" s="49">
        <f>資料儲存!H6925</f>
        <v>0</v>
      </c>
      <c r="AH109" s="49">
        <f>資料儲存!I6925</f>
        <v>0</v>
      </c>
      <c r="AI109" s="49">
        <f>資料儲存!J6925</f>
        <v>0</v>
      </c>
      <c r="AJ109" s="52"/>
      <c r="AK109" s="70">
        <v>24</v>
      </c>
      <c r="AL109" s="49">
        <f>資料儲存!D7165</f>
        <v>0</v>
      </c>
      <c r="AM109" s="49">
        <f>資料儲存!E7165</f>
        <v>0</v>
      </c>
      <c r="AN109" s="49">
        <f>資料儲存!F7165</f>
        <v>0</v>
      </c>
      <c r="AO109" s="49">
        <f>資料儲存!G7165</f>
        <v>0</v>
      </c>
      <c r="AP109" s="49">
        <f>資料儲存!H7165</f>
        <v>0</v>
      </c>
      <c r="AQ109" s="49">
        <f>資料儲存!I7165</f>
        <v>0</v>
      </c>
      <c r="AR109" s="49">
        <f>資料儲存!J7165</f>
        <v>0</v>
      </c>
      <c r="AT109" s="70">
        <v>24</v>
      </c>
      <c r="AU109" s="49">
        <f>資料儲存!D7405</f>
        <v>0</v>
      </c>
      <c r="AV109" s="49">
        <f>資料儲存!E7405</f>
        <v>0</v>
      </c>
      <c r="AW109" s="49">
        <f>資料儲存!F7405</f>
        <v>0</v>
      </c>
      <c r="AX109" s="49">
        <f>資料儲存!G7405</f>
        <v>0</v>
      </c>
      <c r="AY109" s="49">
        <f>資料儲存!H7405</f>
        <v>0</v>
      </c>
      <c r="AZ109" s="49">
        <f>資料儲存!I7405</f>
        <v>0</v>
      </c>
      <c r="BA109" s="49">
        <f>資料儲存!J7405</f>
        <v>0</v>
      </c>
    </row>
    <row r="110" spans="1:53" s="67" customFormat="1" ht="16" thickBot="1">
      <c r="A110" s="70">
        <v>25</v>
      </c>
      <c r="B110" s="49">
        <f>資料儲存!D6206</f>
        <v>0</v>
      </c>
      <c r="C110" s="49">
        <f>資料儲存!E6206</f>
        <v>0</v>
      </c>
      <c r="D110" s="49">
        <f>資料儲存!F6206</f>
        <v>0</v>
      </c>
      <c r="E110" s="49">
        <f>資料儲存!G6206</f>
        <v>0</v>
      </c>
      <c r="F110" s="49">
        <f>資料儲存!H6206</f>
        <v>0</v>
      </c>
      <c r="G110" s="49">
        <f>資料儲存!I6206</f>
        <v>0</v>
      </c>
      <c r="H110" s="49">
        <f>資料儲存!J6206</f>
        <v>0</v>
      </c>
      <c r="I110" s="52"/>
      <c r="J110" s="70">
        <v>25</v>
      </c>
      <c r="K110" s="49">
        <f>資料儲存!D6446</f>
        <v>0</v>
      </c>
      <c r="L110" s="49">
        <f>資料儲存!E6446</f>
        <v>0</v>
      </c>
      <c r="M110" s="49">
        <f>資料儲存!F6446</f>
        <v>0</v>
      </c>
      <c r="N110" s="49">
        <f>資料儲存!G6446</f>
        <v>0</v>
      </c>
      <c r="O110" s="49">
        <f>資料儲存!H6446</f>
        <v>0</v>
      </c>
      <c r="P110" s="49">
        <f>資料儲存!I6446</f>
        <v>0</v>
      </c>
      <c r="Q110" s="49">
        <f>資料儲存!J6446</f>
        <v>0</v>
      </c>
      <c r="R110" s="52"/>
      <c r="S110" s="70">
        <v>25</v>
      </c>
      <c r="T110" s="49">
        <f>資料儲存!D6686</f>
        <v>0</v>
      </c>
      <c r="U110" s="49">
        <f>資料儲存!E6686</f>
        <v>0</v>
      </c>
      <c r="V110" s="49">
        <f>資料儲存!F6686</f>
        <v>0</v>
      </c>
      <c r="W110" s="49">
        <f>資料儲存!G6686</f>
        <v>0</v>
      </c>
      <c r="X110" s="49">
        <f>資料儲存!H6686</f>
        <v>0</v>
      </c>
      <c r="Y110" s="49">
        <f>資料儲存!I6686</f>
        <v>0</v>
      </c>
      <c r="Z110" s="49">
        <f>資料儲存!J6686</f>
        <v>0</v>
      </c>
      <c r="AA110" s="52"/>
      <c r="AB110" s="70">
        <v>25</v>
      </c>
      <c r="AC110" s="49">
        <f>資料儲存!D6926</f>
        <v>0</v>
      </c>
      <c r="AD110" s="49">
        <f>資料儲存!E6926</f>
        <v>0</v>
      </c>
      <c r="AE110" s="49">
        <f>資料儲存!F6926</f>
        <v>0</v>
      </c>
      <c r="AF110" s="49">
        <f>資料儲存!G6926</f>
        <v>0</v>
      </c>
      <c r="AG110" s="49">
        <f>資料儲存!H6926</f>
        <v>0</v>
      </c>
      <c r="AH110" s="49">
        <f>資料儲存!I6926</f>
        <v>0</v>
      </c>
      <c r="AI110" s="49">
        <f>資料儲存!J6926</f>
        <v>0</v>
      </c>
      <c r="AJ110" s="52"/>
      <c r="AK110" s="70">
        <v>25</v>
      </c>
      <c r="AL110" s="49">
        <f>資料儲存!D7166</f>
        <v>0</v>
      </c>
      <c r="AM110" s="49">
        <f>資料儲存!E7166</f>
        <v>0</v>
      </c>
      <c r="AN110" s="49">
        <f>資料儲存!F7166</f>
        <v>0</v>
      </c>
      <c r="AO110" s="49">
        <f>資料儲存!G7166</f>
        <v>0</v>
      </c>
      <c r="AP110" s="49">
        <f>資料儲存!H7166</f>
        <v>0</v>
      </c>
      <c r="AQ110" s="49">
        <f>資料儲存!I7166</f>
        <v>0</v>
      </c>
      <c r="AR110" s="49">
        <f>資料儲存!J7166</f>
        <v>0</v>
      </c>
      <c r="AT110" s="70">
        <v>25</v>
      </c>
      <c r="AU110" s="49">
        <f>資料儲存!D7406</f>
        <v>0</v>
      </c>
      <c r="AV110" s="49">
        <f>資料儲存!E7406</f>
        <v>0</v>
      </c>
      <c r="AW110" s="49">
        <f>資料儲存!F7406</f>
        <v>0</v>
      </c>
      <c r="AX110" s="49">
        <f>資料儲存!G7406</f>
        <v>0</v>
      </c>
      <c r="AY110" s="49">
        <f>資料儲存!H7406</f>
        <v>0</v>
      </c>
      <c r="AZ110" s="49">
        <f>資料儲存!I7406</f>
        <v>0</v>
      </c>
      <c r="BA110" s="49">
        <f>資料儲存!J7406</f>
        <v>0</v>
      </c>
    </row>
    <row r="111" spans="1:53" s="67" customFormat="1" ht="16" thickBot="1">
      <c r="A111" s="70">
        <v>26</v>
      </c>
      <c r="B111" s="49">
        <f>資料儲存!D6207</f>
        <v>0</v>
      </c>
      <c r="C111" s="49">
        <f>資料儲存!E6207</f>
        <v>0</v>
      </c>
      <c r="D111" s="49">
        <f>資料儲存!F6207</f>
        <v>0</v>
      </c>
      <c r="E111" s="49">
        <f>資料儲存!G6207</f>
        <v>0</v>
      </c>
      <c r="F111" s="49">
        <f>資料儲存!H6207</f>
        <v>0</v>
      </c>
      <c r="G111" s="49">
        <f>資料儲存!I6207</f>
        <v>0</v>
      </c>
      <c r="H111" s="49">
        <f>資料儲存!J6207</f>
        <v>0</v>
      </c>
      <c r="I111" s="52"/>
      <c r="J111" s="70">
        <v>26</v>
      </c>
      <c r="K111" s="49">
        <f>資料儲存!D6447</f>
        <v>0</v>
      </c>
      <c r="L111" s="49">
        <f>資料儲存!E6447</f>
        <v>0</v>
      </c>
      <c r="M111" s="49">
        <f>資料儲存!F6447</f>
        <v>0</v>
      </c>
      <c r="N111" s="49">
        <f>資料儲存!G6447</f>
        <v>0</v>
      </c>
      <c r="O111" s="49">
        <f>資料儲存!H6447</f>
        <v>0</v>
      </c>
      <c r="P111" s="49">
        <f>資料儲存!I6447</f>
        <v>0</v>
      </c>
      <c r="Q111" s="49">
        <f>資料儲存!J6447</f>
        <v>0</v>
      </c>
      <c r="R111" s="52"/>
      <c r="S111" s="70">
        <v>26</v>
      </c>
      <c r="T111" s="49">
        <f>資料儲存!D6687</f>
        <v>0</v>
      </c>
      <c r="U111" s="49">
        <f>資料儲存!E6687</f>
        <v>0</v>
      </c>
      <c r="V111" s="49">
        <f>資料儲存!F6687</f>
        <v>0</v>
      </c>
      <c r="W111" s="49">
        <f>資料儲存!G6687</f>
        <v>0</v>
      </c>
      <c r="X111" s="49">
        <f>資料儲存!H6687</f>
        <v>0</v>
      </c>
      <c r="Y111" s="49">
        <f>資料儲存!I6687</f>
        <v>0</v>
      </c>
      <c r="Z111" s="49">
        <f>資料儲存!J6687</f>
        <v>0</v>
      </c>
      <c r="AA111" s="52"/>
      <c r="AB111" s="70">
        <v>26</v>
      </c>
      <c r="AC111" s="49">
        <f>資料儲存!D6927</f>
        <v>0</v>
      </c>
      <c r="AD111" s="49">
        <f>資料儲存!E6927</f>
        <v>0</v>
      </c>
      <c r="AE111" s="49">
        <f>資料儲存!F6927</f>
        <v>0</v>
      </c>
      <c r="AF111" s="49">
        <f>資料儲存!G6927</f>
        <v>0</v>
      </c>
      <c r="AG111" s="49">
        <f>資料儲存!H6927</f>
        <v>0</v>
      </c>
      <c r="AH111" s="49">
        <f>資料儲存!I6927</f>
        <v>0</v>
      </c>
      <c r="AI111" s="49">
        <f>資料儲存!J6927</f>
        <v>0</v>
      </c>
      <c r="AJ111" s="52"/>
      <c r="AK111" s="70">
        <v>26</v>
      </c>
      <c r="AL111" s="49">
        <f>資料儲存!D7167</f>
        <v>0</v>
      </c>
      <c r="AM111" s="49">
        <f>資料儲存!E7167</f>
        <v>0</v>
      </c>
      <c r="AN111" s="49">
        <f>資料儲存!F7167</f>
        <v>0</v>
      </c>
      <c r="AO111" s="49">
        <f>資料儲存!G7167</f>
        <v>0</v>
      </c>
      <c r="AP111" s="49">
        <f>資料儲存!H7167</f>
        <v>0</v>
      </c>
      <c r="AQ111" s="49">
        <f>資料儲存!I7167</f>
        <v>0</v>
      </c>
      <c r="AR111" s="49">
        <f>資料儲存!J7167</f>
        <v>0</v>
      </c>
      <c r="AT111" s="70">
        <v>26</v>
      </c>
      <c r="AU111" s="49">
        <f>資料儲存!D7407</f>
        <v>0</v>
      </c>
      <c r="AV111" s="49">
        <f>資料儲存!E7407</f>
        <v>0</v>
      </c>
      <c r="AW111" s="49">
        <f>資料儲存!F7407</f>
        <v>0</v>
      </c>
      <c r="AX111" s="49">
        <f>資料儲存!G7407</f>
        <v>0</v>
      </c>
      <c r="AY111" s="49">
        <f>資料儲存!H7407</f>
        <v>0</v>
      </c>
      <c r="AZ111" s="49">
        <f>資料儲存!I7407</f>
        <v>0</v>
      </c>
      <c r="BA111" s="49">
        <f>資料儲存!J7407</f>
        <v>0</v>
      </c>
    </row>
    <row r="112" spans="1:53" s="67" customFormat="1" ht="16" thickBot="1">
      <c r="A112" s="70">
        <v>27</v>
      </c>
      <c r="B112" s="49">
        <f>資料儲存!D6208</f>
        <v>0</v>
      </c>
      <c r="C112" s="49">
        <f>資料儲存!E6208</f>
        <v>0</v>
      </c>
      <c r="D112" s="49">
        <f>資料儲存!F6208</f>
        <v>0</v>
      </c>
      <c r="E112" s="49">
        <f>資料儲存!G6208</f>
        <v>0</v>
      </c>
      <c r="F112" s="49">
        <f>資料儲存!H6208</f>
        <v>0</v>
      </c>
      <c r="G112" s="49">
        <f>資料儲存!I6208</f>
        <v>0</v>
      </c>
      <c r="H112" s="49">
        <f>資料儲存!J6208</f>
        <v>0</v>
      </c>
      <c r="I112" s="52"/>
      <c r="J112" s="70">
        <v>27</v>
      </c>
      <c r="K112" s="49">
        <f>資料儲存!D6448</f>
        <v>0</v>
      </c>
      <c r="L112" s="49">
        <f>資料儲存!E6448</f>
        <v>0</v>
      </c>
      <c r="M112" s="49">
        <f>資料儲存!F6448</f>
        <v>0</v>
      </c>
      <c r="N112" s="49">
        <f>資料儲存!G6448</f>
        <v>0</v>
      </c>
      <c r="O112" s="49">
        <f>資料儲存!H6448</f>
        <v>0</v>
      </c>
      <c r="P112" s="49">
        <f>資料儲存!I6448</f>
        <v>0</v>
      </c>
      <c r="Q112" s="49">
        <f>資料儲存!J6448</f>
        <v>0</v>
      </c>
      <c r="R112" s="52"/>
      <c r="S112" s="70">
        <v>27</v>
      </c>
      <c r="T112" s="49">
        <f>資料儲存!D6688</f>
        <v>0</v>
      </c>
      <c r="U112" s="49">
        <f>資料儲存!E6688</f>
        <v>0</v>
      </c>
      <c r="V112" s="49">
        <f>資料儲存!F6688</f>
        <v>0</v>
      </c>
      <c r="W112" s="49">
        <f>資料儲存!G6688</f>
        <v>0</v>
      </c>
      <c r="X112" s="49">
        <f>資料儲存!H6688</f>
        <v>0</v>
      </c>
      <c r="Y112" s="49">
        <f>資料儲存!I6688</f>
        <v>0</v>
      </c>
      <c r="Z112" s="49">
        <f>資料儲存!J6688</f>
        <v>0</v>
      </c>
      <c r="AA112" s="52"/>
      <c r="AB112" s="70">
        <v>27</v>
      </c>
      <c r="AC112" s="49">
        <f>資料儲存!D6928</f>
        <v>0</v>
      </c>
      <c r="AD112" s="49">
        <f>資料儲存!E6928</f>
        <v>0</v>
      </c>
      <c r="AE112" s="49">
        <f>資料儲存!F6928</f>
        <v>0</v>
      </c>
      <c r="AF112" s="49">
        <f>資料儲存!G6928</f>
        <v>0</v>
      </c>
      <c r="AG112" s="49">
        <f>資料儲存!H6928</f>
        <v>0</v>
      </c>
      <c r="AH112" s="49">
        <f>資料儲存!I6928</f>
        <v>0</v>
      </c>
      <c r="AI112" s="49">
        <f>資料儲存!J6928</f>
        <v>0</v>
      </c>
      <c r="AJ112" s="52"/>
      <c r="AK112" s="70">
        <v>27</v>
      </c>
      <c r="AL112" s="49">
        <f>資料儲存!D7168</f>
        <v>0</v>
      </c>
      <c r="AM112" s="49">
        <f>資料儲存!E7168</f>
        <v>0</v>
      </c>
      <c r="AN112" s="49">
        <f>資料儲存!F7168</f>
        <v>0</v>
      </c>
      <c r="AO112" s="49">
        <f>資料儲存!G7168</f>
        <v>0</v>
      </c>
      <c r="AP112" s="49">
        <f>資料儲存!H7168</f>
        <v>0</v>
      </c>
      <c r="AQ112" s="49">
        <f>資料儲存!I7168</f>
        <v>0</v>
      </c>
      <c r="AR112" s="49">
        <f>資料儲存!J7168</f>
        <v>0</v>
      </c>
      <c r="AT112" s="70">
        <v>27</v>
      </c>
      <c r="AU112" s="49">
        <f>資料儲存!D7408</f>
        <v>0</v>
      </c>
      <c r="AV112" s="49">
        <f>資料儲存!E7408</f>
        <v>0</v>
      </c>
      <c r="AW112" s="49">
        <f>資料儲存!F7408</f>
        <v>0</v>
      </c>
      <c r="AX112" s="49">
        <f>資料儲存!G7408</f>
        <v>0</v>
      </c>
      <c r="AY112" s="49">
        <f>資料儲存!H7408</f>
        <v>0</v>
      </c>
      <c r="AZ112" s="49">
        <f>資料儲存!I7408</f>
        <v>0</v>
      </c>
      <c r="BA112" s="49">
        <f>資料儲存!J7408</f>
        <v>0</v>
      </c>
    </row>
    <row r="113" spans="1:53" s="67" customFormat="1" ht="16" thickBot="1">
      <c r="A113" s="70">
        <v>28</v>
      </c>
      <c r="B113" s="49">
        <f>資料儲存!D6209</f>
        <v>0</v>
      </c>
      <c r="C113" s="49">
        <f>資料儲存!E6209</f>
        <v>0</v>
      </c>
      <c r="D113" s="49">
        <f>資料儲存!F6209</f>
        <v>0</v>
      </c>
      <c r="E113" s="49">
        <f>資料儲存!G6209</f>
        <v>0</v>
      </c>
      <c r="F113" s="49">
        <f>資料儲存!H6209</f>
        <v>0</v>
      </c>
      <c r="G113" s="49">
        <f>資料儲存!I6209</f>
        <v>0</v>
      </c>
      <c r="H113" s="49">
        <f>資料儲存!J6209</f>
        <v>0</v>
      </c>
      <c r="I113" s="52"/>
      <c r="J113" s="70">
        <v>28</v>
      </c>
      <c r="K113" s="49">
        <f>資料儲存!D6449</f>
        <v>0</v>
      </c>
      <c r="L113" s="49">
        <f>資料儲存!E6449</f>
        <v>0</v>
      </c>
      <c r="M113" s="49">
        <f>資料儲存!F6449</f>
        <v>0</v>
      </c>
      <c r="N113" s="49">
        <f>資料儲存!G6449</f>
        <v>0</v>
      </c>
      <c r="O113" s="49">
        <f>資料儲存!H6449</f>
        <v>0</v>
      </c>
      <c r="P113" s="49">
        <f>資料儲存!I6449</f>
        <v>0</v>
      </c>
      <c r="Q113" s="49">
        <f>資料儲存!J6449</f>
        <v>0</v>
      </c>
      <c r="R113" s="52"/>
      <c r="S113" s="70">
        <v>28</v>
      </c>
      <c r="T113" s="49">
        <f>資料儲存!D6689</f>
        <v>0</v>
      </c>
      <c r="U113" s="49">
        <f>資料儲存!E6689</f>
        <v>0</v>
      </c>
      <c r="V113" s="49">
        <f>資料儲存!F6689</f>
        <v>0</v>
      </c>
      <c r="W113" s="49">
        <f>資料儲存!G6689</f>
        <v>0</v>
      </c>
      <c r="X113" s="49">
        <f>資料儲存!H6689</f>
        <v>0</v>
      </c>
      <c r="Y113" s="49">
        <f>資料儲存!I6689</f>
        <v>0</v>
      </c>
      <c r="Z113" s="49">
        <f>資料儲存!J6689</f>
        <v>0</v>
      </c>
      <c r="AA113" s="52"/>
      <c r="AB113" s="70">
        <v>28</v>
      </c>
      <c r="AC113" s="49">
        <f>資料儲存!D6929</f>
        <v>0</v>
      </c>
      <c r="AD113" s="49">
        <f>資料儲存!E6929</f>
        <v>0</v>
      </c>
      <c r="AE113" s="49">
        <f>資料儲存!F6929</f>
        <v>0</v>
      </c>
      <c r="AF113" s="49">
        <f>資料儲存!G6929</f>
        <v>0</v>
      </c>
      <c r="AG113" s="49">
        <f>資料儲存!H6929</f>
        <v>0</v>
      </c>
      <c r="AH113" s="49">
        <f>資料儲存!I6929</f>
        <v>0</v>
      </c>
      <c r="AI113" s="49">
        <f>資料儲存!J6929</f>
        <v>0</v>
      </c>
      <c r="AJ113" s="52"/>
      <c r="AK113" s="70">
        <v>28</v>
      </c>
      <c r="AL113" s="49">
        <f>資料儲存!D7169</f>
        <v>0</v>
      </c>
      <c r="AM113" s="49">
        <f>資料儲存!E7169</f>
        <v>0</v>
      </c>
      <c r="AN113" s="49">
        <f>資料儲存!F7169</f>
        <v>0</v>
      </c>
      <c r="AO113" s="49">
        <f>資料儲存!G7169</f>
        <v>0</v>
      </c>
      <c r="AP113" s="49">
        <f>資料儲存!H7169</f>
        <v>0</v>
      </c>
      <c r="AQ113" s="49">
        <f>資料儲存!I7169</f>
        <v>0</v>
      </c>
      <c r="AR113" s="49">
        <f>資料儲存!J7169</f>
        <v>0</v>
      </c>
      <c r="AT113" s="70">
        <v>28</v>
      </c>
      <c r="AU113" s="49">
        <f>資料儲存!D7409</f>
        <v>0</v>
      </c>
      <c r="AV113" s="49">
        <f>資料儲存!E7409</f>
        <v>0</v>
      </c>
      <c r="AW113" s="49">
        <f>資料儲存!F7409</f>
        <v>0</v>
      </c>
      <c r="AX113" s="49">
        <f>資料儲存!G7409</f>
        <v>0</v>
      </c>
      <c r="AY113" s="49">
        <f>資料儲存!H7409</f>
        <v>0</v>
      </c>
      <c r="AZ113" s="49">
        <f>資料儲存!I7409</f>
        <v>0</v>
      </c>
      <c r="BA113" s="49">
        <f>資料儲存!J7409</f>
        <v>0</v>
      </c>
    </row>
    <row r="114" spans="1:53" s="67" customFormat="1" ht="16" thickBot="1">
      <c r="A114" s="70">
        <v>29</v>
      </c>
      <c r="B114" s="49">
        <f>資料儲存!D6210</f>
        <v>0</v>
      </c>
      <c r="C114" s="49">
        <f>資料儲存!E6210</f>
        <v>0</v>
      </c>
      <c r="D114" s="49">
        <f>資料儲存!F6210</f>
        <v>0</v>
      </c>
      <c r="E114" s="49">
        <f>資料儲存!G6210</f>
        <v>0</v>
      </c>
      <c r="F114" s="49">
        <f>資料儲存!H6210</f>
        <v>0</v>
      </c>
      <c r="G114" s="49">
        <f>資料儲存!I6210</f>
        <v>0</v>
      </c>
      <c r="H114" s="49">
        <f>資料儲存!J6210</f>
        <v>0</v>
      </c>
      <c r="I114" s="52"/>
      <c r="J114" s="70">
        <v>29</v>
      </c>
      <c r="K114" s="49">
        <f>資料儲存!D6450</f>
        <v>0</v>
      </c>
      <c r="L114" s="49">
        <f>資料儲存!E6450</f>
        <v>0</v>
      </c>
      <c r="M114" s="49">
        <f>資料儲存!F6450</f>
        <v>0</v>
      </c>
      <c r="N114" s="49">
        <f>資料儲存!G6450</f>
        <v>0</v>
      </c>
      <c r="O114" s="49">
        <f>資料儲存!H6450</f>
        <v>0</v>
      </c>
      <c r="P114" s="49">
        <f>資料儲存!I6450</f>
        <v>0</v>
      </c>
      <c r="Q114" s="49">
        <f>資料儲存!J6450</f>
        <v>0</v>
      </c>
      <c r="R114" s="52"/>
      <c r="S114" s="70">
        <v>29</v>
      </c>
      <c r="T114" s="49">
        <f>資料儲存!D6690</f>
        <v>0</v>
      </c>
      <c r="U114" s="49">
        <f>資料儲存!E6690</f>
        <v>0</v>
      </c>
      <c r="V114" s="49">
        <f>資料儲存!F6690</f>
        <v>0</v>
      </c>
      <c r="W114" s="49">
        <f>資料儲存!G6690</f>
        <v>0</v>
      </c>
      <c r="X114" s="49">
        <f>資料儲存!H6690</f>
        <v>0</v>
      </c>
      <c r="Y114" s="49">
        <f>資料儲存!I6690</f>
        <v>0</v>
      </c>
      <c r="Z114" s="49">
        <f>資料儲存!J6690</f>
        <v>0</v>
      </c>
      <c r="AA114" s="52"/>
      <c r="AB114" s="70">
        <v>29</v>
      </c>
      <c r="AC114" s="49">
        <f>資料儲存!D6930</f>
        <v>0</v>
      </c>
      <c r="AD114" s="49">
        <f>資料儲存!E6930</f>
        <v>0</v>
      </c>
      <c r="AE114" s="49">
        <f>資料儲存!F6930</f>
        <v>0</v>
      </c>
      <c r="AF114" s="49">
        <f>資料儲存!G6930</f>
        <v>0</v>
      </c>
      <c r="AG114" s="49">
        <f>資料儲存!H6930</f>
        <v>0</v>
      </c>
      <c r="AH114" s="49">
        <f>資料儲存!I6930</f>
        <v>0</v>
      </c>
      <c r="AI114" s="49">
        <f>資料儲存!J6930</f>
        <v>0</v>
      </c>
      <c r="AJ114" s="52"/>
      <c r="AK114" s="70">
        <v>29</v>
      </c>
      <c r="AL114" s="49">
        <f>資料儲存!D7170</f>
        <v>0</v>
      </c>
      <c r="AM114" s="49">
        <f>資料儲存!E7170</f>
        <v>0</v>
      </c>
      <c r="AN114" s="49">
        <f>資料儲存!F7170</f>
        <v>0</v>
      </c>
      <c r="AO114" s="49">
        <f>資料儲存!G7170</f>
        <v>0</v>
      </c>
      <c r="AP114" s="49">
        <f>資料儲存!H7170</f>
        <v>0</v>
      </c>
      <c r="AQ114" s="49">
        <f>資料儲存!I7170</f>
        <v>0</v>
      </c>
      <c r="AR114" s="49">
        <f>資料儲存!J7170</f>
        <v>0</v>
      </c>
      <c r="AT114" s="70">
        <v>29</v>
      </c>
      <c r="AU114" s="49">
        <f>資料儲存!D7410</f>
        <v>0</v>
      </c>
      <c r="AV114" s="49">
        <f>資料儲存!E7410</f>
        <v>0</v>
      </c>
      <c r="AW114" s="49">
        <f>資料儲存!F7410</f>
        <v>0</v>
      </c>
      <c r="AX114" s="49">
        <f>資料儲存!G7410</f>
        <v>0</v>
      </c>
      <c r="AY114" s="49">
        <f>資料儲存!H7410</f>
        <v>0</v>
      </c>
      <c r="AZ114" s="49">
        <f>資料儲存!I7410</f>
        <v>0</v>
      </c>
      <c r="BA114" s="49">
        <f>資料儲存!J7410</f>
        <v>0</v>
      </c>
    </row>
    <row r="115" spans="1:53" s="67" customFormat="1" ht="16" thickBot="1">
      <c r="A115" s="70">
        <v>30</v>
      </c>
      <c r="B115" s="49">
        <f>資料儲存!D6211</f>
        <v>0</v>
      </c>
      <c r="C115" s="49">
        <f>資料儲存!E6211</f>
        <v>0</v>
      </c>
      <c r="D115" s="49">
        <f>資料儲存!F6211</f>
        <v>0</v>
      </c>
      <c r="E115" s="49">
        <f>資料儲存!G6211</f>
        <v>0</v>
      </c>
      <c r="F115" s="49">
        <f>資料儲存!H6211</f>
        <v>0</v>
      </c>
      <c r="G115" s="49">
        <f>資料儲存!I6211</f>
        <v>0</v>
      </c>
      <c r="H115" s="49">
        <f>資料儲存!J6211</f>
        <v>0</v>
      </c>
      <c r="I115" s="52"/>
      <c r="J115" s="70">
        <v>30</v>
      </c>
      <c r="K115" s="49">
        <f>資料儲存!D6451</f>
        <v>0</v>
      </c>
      <c r="L115" s="49">
        <f>資料儲存!E6451</f>
        <v>0</v>
      </c>
      <c r="M115" s="49">
        <f>資料儲存!F6451</f>
        <v>0</v>
      </c>
      <c r="N115" s="49">
        <f>資料儲存!G6451</f>
        <v>0</v>
      </c>
      <c r="O115" s="49">
        <f>資料儲存!H6451</f>
        <v>0</v>
      </c>
      <c r="P115" s="49">
        <f>資料儲存!I6451</f>
        <v>0</v>
      </c>
      <c r="Q115" s="49">
        <f>資料儲存!J6451</f>
        <v>0</v>
      </c>
      <c r="R115" s="52"/>
      <c r="S115" s="70">
        <v>30</v>
      </c>
      <c r="T115" s="49">
        <f>資料儲存!D6691</f>
        <v>0</v>
      </c>
      <c r="U115" s="49">
        <f>資料儲存!E6691</f>
        <v>0</v>
      </c>
      <c r="V115" s="49">
        <f>資料儲存!F6691</f>
        <v>0</v>
      </c>
      <c r="W115" s="49">
        <f>資料儲存!G6691</f>
        <v>0</v>
      </c>
      <c r="X115" s="49">
        <f>資料儲存!H6691</f>
        <v>0</v>
      </c>
      <c r="Y115" s="49">
        <f>資料儲存!I6691</f>
        <v>0</v>
      </c>
      <c r="Z115" s="49">
        <f>資料儲存!J6691</f>
        <v>0</v>
      </c>
      <c r="AA115" s="52"/>
      <c r="AB115" s="70">
        <v>30</v>
      </c>
      <c r="AC115" s="49">
        <f>資料儲存!D6931</f>
        <v>0</v>
      </c>
      <c r="AD115" s="49">
        <f>資料儲存!E6931</f>
        <v>0</v>
      </c>
      <c r="AE115" s="49">
        <f>資料儲存!F6931</f>
        <v>0</v>
      </c>
      <c r="AF115" s="49">
        <f>資料儲存!G6931</f>
        <v>0</v>
      </c>
      <c r="AG115" s="49">
        <f>資料儲存!H6931</f>
        <v>0</v>
      </c>
      <c r="AH115" s="49">
        <f>資料儲存!I6931</f>
        <v>0</v>
      </c>
      <c r="AI115" s="49">
        <f>資料儲存!J6931</f>
        <v>0</v>
      </c>
      <c r="AJ115" s="52"/>
      <c r="AK115" s="70">
        <v>30</v>
      </c>
      <c r="AL115" s="49">
        <f>資料儲存!D7171</f>
        <v>0</v>
      </c>
      <c r="AM115" s="49">
        <f>資料儲存!E7171</f>
        <v>0</v>
      </c>
      <c r="AN115" s="49">
        <f>資料儲存!F7171</f>
        <v>0</v>
      </c>
      <c r="AO115" s="49">
        <f>資料儲存!G7171</f>
        <v>0</v>
      </c>
      <c r="AP115" s="49">
        <f>資料儲存!H7171</f>
        <v>0</v>
      </c>
      <c r="AQ115" s="49">
        <f>資料儲存!I7171</f>
        <v>0</v>
      </c>
      <c r="AR115" s="49">
        <f>資料儲存!J7171</f>
        <v>0</v>
      </c>
      <c r="AT115" s="70">
        <v>30</v>
      </c>
      <c r="AU115" s="49">
        <f>資料儲存!D7411</f>
        <v>0</v>
      </c>
      <c r="AV115" s="49">
        <f>資料儲存!E7411</f>
        <v>0</v>
      </c>
      <c r="AW115" s="49">
        <f>資料儲存!F7411</f>
        <v>0</v>
      </c>
      <c r="AX115" s="49">
        <f>資料儲存!G7411</f>
        <v>0</v>
      </c>
      <c r="AY115" s="49">
        <f>資料儲存!H7411</f>
        <v>0</v>
      </c>
      <c r="AZ115" s="49">
        <f>資料儲存!I7411</f>
        <v>0</v>
      </c>
      <c r="BA115" s="49">
        <f>資料儲存!J7411</f>
        <v>0</v>
      </c>
    </row>
    <row r="116" spans="1:53" s="67" customFormat="1" ht="17.25" customHeight="1" thickBot="1">
      <c r="A116" s="50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0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0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0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45"/>
      <c r="AK116" s="50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  <c r="AT116" s="50" t="s">
        <v>56</v>
      </c>
      <c r="AU116" s="49">
        <f>SUM(AU101:AX115)</f>
        <v>0</v>
      </c>
      <c r="AV116" s="47"/>
      <c r="AW116" s="47"/>
      <c r="AX116" s="47"/>
      <c r="AY116" s="49">
        <f>AY115</f>
        <v>0</v>
      </c>
      <c r="AZ116" s="49">
        <f>AZ115</f>
        <v>0</v>
      </c>
      <c r="BA116" s="49">
        <f>BA115</f>
        <v>0</v>
      </c>
    </row>
    <row r="117" spans="1:53" ht="18.5" thickBot="1">
      <c r="A117" s="257" t="s">
        <v>113</v>
      </c>
      <c r="B117" s="258"/>
      <c r="C117" s="258"/>
      <c r="D117" s="258"/>
      <c r="E117" s="258"/>
      <c r="F117" s="258"/>
      <c r="G117" s="258"/>
      <c r="H117" s="259"/>
      <c r="I117" s="14"/>
      <c r="J117" s="257" t="s">
        <v>113</v>
      </c>
      <c r="K117" s="258"/>
      <c r="L117" s="258"/>
      <c r="M117" s="258"/>
      <c r="N117" s="258"/>
      <c r="O117" s="258"/>
      <c r="P117" s="258"/>
      <c r="Q117" s="259"/>
      <c r="R117" s="14"/>
      <c r="S117" s="257" t="s">
        <v>113</v>
      </c>
      <c r="T117" s="258"/>
      <c r="U117" s="258"/>
      <c r="V117" s="258"/>
      <c r="W117" s="258"/>
      <c r="X117" s="258"/>
      <c r="Y117" s="258"/>
      <c r="Z117" s="259"/>
      <c r="AA117" s="14"/>
      <c r="AB117" s="257" t="s">
        <v>113</v>
      </c>
      <c r="AC117" s="258"/>
      <c r="AD117" s="258"/>
      <c r="AE117" s="258"/>
      <c r="AF117" s="258"/>
      <c r="AG117" s="258"/>
      <c r="AH117" s="258"/>
      <c r="AI117" s="259"/>
      <c r="AJ117" s="14"/>
      <c r="AK117" s="257" t="s">
        <v>113</v>
      </c>
      <c r="AL117" s="258"/>
      <c r="AM117" s="258"/>
      <c r="AN117" s="258"/>
      <c r="AO117" s="258"/>
      <c r="AP117" s="258"/>
      <c r="AQ117" s="258"/>
      <c r="AR117" s="259"/>
      <c r="AT117" s="257" t="s">
        <v>113</v>
      </c>
      <c r="AU117" s="258"/>
      <c r="AV117" s="258"/>
      <c r="AW117" s="258"/>
      <c r="AX117" s="258"/>
      <c r="AY117" s="258"/>
      <c r="AZ117" s="258"/>
      <c r="BA117" s="259"/>
    </row>
    <row r="118" spans="1:53" s="59" customFormat="1" ht="17.25" customHeight="1" thickBot="1">
      <c r="A118" s="54" t="s">
        <v>2</v>
      </c>
      <c r="B118" s="55" t="s">
        <v>46</v>
      </c>
      <c r="C118" s="56"/>
      <c r="D118" s="56"/>
      <c r="E118" s="57"/>
      <c r="F118" s="55" t="s">
        <v>47</v>
      </c>
      <c r="G118" s="56"/>
      <c r="H118" s="57"/>
      <c r="I118" s="58"/>
      <c r="J118" s="54" t="s">
        <v>2</v>
      </c>
      <c r="K118" s="55" t="s">
        <v>46</v>
      </c>
      <c r="L118" s="56"/>
      <c r="M118" s="56"/>
      <c r="N118" s="57"/>
      <c r="O118" s="55" t="s">
        <v>47</v>
      </c>
      <c r="P118" s="56"/>
      <c r="Q118" s="57"/>
      <c r="R118" s="58"/>
      <c r="S118" s="54" t="s">
        <v>2</v>
      </c>
      <c r="T118" s="55" t="s">
        <v>46</v>
      </c>
      <c r="U118" s="56"/>
      <c r="V118" s="56"/>
      <c r="W118" s="57"/>
      <c r="X118" s="55" t="s">
        <v>47</v>
      </c>
      <c r="Y118" s="56"/>
      <c r="Z118" s="57"/>
      <c r="AA118" s="58"/>
      <c r="AB118" s="54" t="s">
        <v>2</v>
      </c>
      <c r="AC118" s="55" t="s">
        <v>46</v>
      </c>
      <c r="AD118" s="56"/>
      <c r="AE118" s="56"/>
      <c r="AF118" s="57"/>
      <c r="AG118" s="55" t="s">
        <v>47</v>
      </c>
      <c r="AH118" s="56"/>
      <c r="AI118" s="57"/>
      <c r="AJ118" s="58"/>
      <c r="AK118" s="54" t="s">
        <v>2</v>
      </c>
      <c r="AL118" s="55" t="s">
        <v>46</v>
      </c>
      <c r="AM118" s="56"/>
      <c r="AN118" s="56"/>
      <c r="AO118" s="57"/>
      <c r="AP118" s="55" t="s">
        <v>47</v>
      </c>
      <c r="AQ118" s="56"/>
      <c r="AR118" s="57"/>
      <c r="AT118" s="54" t="s">
        <v>2</v>
      </c>
      <c r="AU118" s="55" t="s">
        <v>46</v>
      </c>
      <c r="AV118" s="56"/>
      <c r="AW118" s="56"/>
      <c r="AX118" s="57"/>
      <c r="AY118" s="55" t="s">
        <v>47</v>
      </c>
      <c r="AZ118" s="56"/>
      <c r="BA118" s="57"/>
    </row>
    <row r="119" spans="1:53" s="59" customFormat="1" ht="16" thickBot="1">
      <c r="A119" s="60">
        <v>0.72916666666666663</v>
      </c>
      <c r="B119" s="61" t="s">
        <v>49</v>
      </c>
      <c r="C119" s="61" t="s">
        <v>50</v>
      </c>
      <c r="D119" s="61" t="s">
        <v>51</v>
      </c>
      <c r="E119" s="61" t="s">
        <v>52</v>
      </c>
      <c r="F119" s="61" t="s">
        <v>53</v>
      </c>
      <c r="G119" s="61" t="s">
        <v>54</v>
      </c>
      <c r="H119" s="61" t="s">
        <v>55</v>
      </c>
      <c r="I119" s="58"/>
      <c r="J119" s="60">
        <v>0.72916666666666663</v>
      </c>
      <c r="K119" s="61" t="s">
        <v>49</v>
      </c>
      <c r="L119" s="61" t="s">
        <v>50</v>
      </c>
      <c r="M119" s="61" t="s">
        <v>51</v>
      </c>
      <c r="N119" s="61" t="s">
        <v>52</v>
      </c>
      <c r="O119" s="61" t="s">
        <v>53</v>
      </c>
      <c r="P119" s="61" t="s">
        <v>54</v>
      </c>
      <c r="Q119" s="61" t="s">
        <v>55</v>
      </c>
      <c r="R119" s="58"/>
      <c r="S119" s="60">
        <v>0.72916666666666663</v>
      </c>
      <c r="T119" s="61" t="s">
        <v>49</v>
      </c>
      <c r="U119" s="61" t="s">
        <v>50</v>
      </c>
      <c r="V119" s="61" t="s">
        <v>51</v>
      </c>
      <c r="W119" s="61" t="s">
        <v>52</v>
      </c>
      <c r="X119" s="61" t="s">
        <v>53</v>
      </c>
      <c r="Y119" s="61" t="s">
        <v>54</v>
      </c>
      <c r="Z119" s="61" t="s">
        <v>55</v>
      </c>
      <c r="AA119" s="58"/>
      <c r="AB119" s="60">
        <v>0.72916666666666663</v>
      </c>
      <c r="AC119" s="61" t="s">
        <v>49</v>
      </c>
      <c r="AD119" s="61" t="s">
        <v>50</v>
      </c>
      <c r="AE119" s="61" t="s">
        <v>51</v>
      </c>
      <c r="AF119" s="61" t="s">
        <v>52</v>
      </c>
      <c r="AG119" s="61" t="s">
        <v>53</v>
      </c>
      <c r="AH119" s="61" t="s">
        <v>54</v>
      </c>
      <c r="AI119" s="61" t="s">
        <v>55</v>
      </c>
      <c r="AJ119" s="58"/>
      <c r="AK119" s="60">
        <v>0.72916666666666663</v>
      </c>
      <c r="AL119" s="61" t="s">
        <v>49</v>
      </c>
      <c r="AM119" s="61" t="s">
        <v>50</v>
      </c>
      <c r="AN119" s="61" t="s">
        <v>51</v>
      </c>
      <c r="AO119" s="61" t="s">
        <v>52</v>
      </c>
      <c r="AP119" s="61" t="s">
        <v>53</v>
      </c>
      <c r="AQ119" s="61" t="s">
        <v>54</v>
      </c>
      <c r="AR119" s="61" t="s">
        <v>55</v>
      </c>
      <c r="AT119" s="60">
        <v>0.72916666666666663</v>
      </c>
      <c r="AU119" s="61" t="s">
        <v>49</v>
      </c>
      <c r="AV119" s="61" t="s">
        <v>50</v>
      </c>
      <c r="AW119" s="61" t="s">
        <v>51</v>
      </c>
      <c r="AX119" s="61" t="s">
        <v>52</v>
      </c>
      <c r="AY119" s="61" t="s">
        <v>53</v>
      </c>
      <c r="AZ119" s="61" t="s">
        <v>54</v>
      </c>
      <c r="BA119" s="61" t="s">
        <v>55</v>
      </c>
    </row>
    <row r="120" spans="1:53" s="59" customFormat="1" ht="16" thickBot="1">
      <c r="A120" s="62">
        <v>31</v>
      </c>
      <c r="B120" s="39">
        <f>資料儲存!D6212</f>
        <v>0</v>
      </c>
      <c r="C120" s="39">
        <f>資料儲存!E6212</f>
        <v>0</v>
      </c>
      <c r="D120" s="39">
        <f>資料儲存!F6212</f>
        <v>0</v>
      </c>
      <c r="E120" s="39">
        <f>資料儲存!G6212</f>
        <v>0</v>
      </c>
      <c r="F120" s="39">
        <f>資料儲存!H6212</f>
        <v>0</v>
      </c>
      <c r="G120" s="39">
        <f>資料儲存!I6212</f>
        <v>0</v>
      </c>
      <c r="H120" s="39">
        <f>資料儲存!J6212</f>
        <v>0</v>
      </c>
      <c r="I120" s="58"/>
      <c r="J120" s="62">
        <v>31</v>
      </c>
      <c r="K120" s="39">
        <f>資料儲存!D6452</f>
        <v>0</v>
      </c>
      <c r="L120" s="39">
        <f>資料儲存!E6452</f>
        <v>0</v>
      </c>
      <c r="M120" s="39">
        <f>資料儲存!F6452</f>
        <v>0</v>
      </c>
      <c r="N120" s="39">
        <f>資料儲存!G6452</f>
        <v>0</v>
      </c>
      <c r="O120" s="39">
        <f>資料儲存!H6452</f>
        <v>0</v>
      </c>
      <c r="P120" s="39">
        <f>資料儲存!I6452</f>
        <v>0</v>
      </c>
      <c r="Q120" s="39">
        <f>資料儲存!J6452</f>
        <v>0</v>
      </c>
      <c r="R120" s="58"/>
      <c r="S120" s="62">
        <v>31</v>
      </c>
      <c r="T120" s="39">
        <f>資料儲存!D6692</f>
        <v>0</v>
      </c>
      <c r="U120" s="39">
        <f>資料儲存!E6692</f>
        <v>0</v>
      </c>
      <c r="V120" s="39">
        <f>資料儲存!F6692</f>
        <v>0</v>
      </c>
      <c r="W120" s="39">
        <f>資料儲存!G6692</f>
        <v>0</v>
      </c>
      <c r="X120" s="39">
        <f>資料儲存!H6692</f>
        <v>0</v>
      </c>
      <c r="Y120" s="39">
        <f>資料儲存!I6692</f>
        <v>0</v>
      </c>
      <c r="Z120" s="39">
        <f>資料儲存!J6692</f>
        <v>0</v>
      </c>
      <c r="AA120" s="58"/>
      <c r="AB120" s="62">
        <v>31</v>
      </c>
      <c r="AC120" s="39">
        <f>資料儲存!D6932</f>
        <v>0</v>
      </c>
      <c r="AD120" s="39">
        <f>資料儲存!E6932</f>
        <v>0</v>
      </c>
      <c r="AE120" s="39">
        <f>資料儲存!F6932</f>
        <v>0</v>
      </c>
      <c r="AF120" s="39">
        <f>資料儲存!G6932</f>
        <v>0</v>
      </c>
      <c r="AG120" s="39">
        <f>資料儲存!H6932</f>
        <v>0</v>
      </c>
      <c r="AH120" s="39">
        <f>資料儲存!I6932</f>
        <v>0</v>
      </c>
      <c r="AI120" s="39">
        <f>資料儲存!J6932</f>
        <v>0</v>
      </c>
      <c r="AJ120" s="58"/>
      <c r="AK120" s="62">
        <v>31</v>
      </c>
      <c r="AL120" s="39">
        <f>資料儲存!D7172</f>
        <v>0</v>
      </c>
      <c r="AM120" s="39">
        <f>資料儲存!E7172</f>
        <v>0</v>
      </c>
      <c r="AN120" s="39">
        <f>資料儲存!F7172</f>
        <v>0</v>
      </c>
      <c r="AO120" s="39">
        <f>資料儲存!G7172</f>
        <v>0</v>
      </c>
      <c r="AP120" s="39">
        <f>資料儲存!H7172</f>
        <v>0</v>
      </c>
      <c r="AQ120" s="39">
        <f>資料儲存!I7172</f>
        <v>0</v>
      </c>
      <c r="AR120" s="39">
        <f>資料儲存!J7172</f>
        <v>0</v>
      </c>
      <c r="AT120" s="62">
        <v>31</v>
      </c>
      <c r="AU120" s="39">
        <f>資料儲存!D7412</f>
        <v>0</v>
      </c>
      <c r="AV120" s="39">
        <f>資料儲存!E7412</f>
        <v>0</v>
      </c>
      <c r="AW120" s="39">
        <f>資料儲存!F7412</f>
        <v>0</v>
      </c>
      <c r="AX120" s="39">
        <f>資料儲存!G7412</f>
        <v>0</v>
      </c>
      <c r="AY120" s="39">
        <f>資料儲存!H7412</f>
        <v>0</v>
      </c>
      <c r="AZ120" s="39">
        <f>資料儲存!I7412</f>
        <v>0</v>
      </c>
      <c r="BA120" s="39">
        <f>資料儲存!J7412</f>
        <v>0</v>
      </c>
    </row>
    <row r="121" spans="1:53" s="59" customFormat="1" ht="16" thickBot="1">
      <c r="A121" s="62">
        <v>32</v>
      </c>
      <c r="B121" s="39">
        <f>資料儲存!D6213</f>
        <v>0</v>
      </c>
      <c r="C121" s="39">
        <f>資料儲存!E6213</f>
        <v>0</v>
      </c>
      <c r="D121" s="39">
        <f>資料儲存!F6213</f>
        <v>0</v>
      </c>
      <c r="E121" s="39">
        <f>資料儲存!G6213</f>
        <v>0</v>
      </c>
      <c r="F121" s="39">
        <f>資料儲存!H6213</f>
        <v>0</v>
      </c>
      <c r="G121" s="39">
        <f>資料儲存!I6213</f>
        <v>0</v>
      </c>
      <c r="H121" s="39">
        <f>資料儲存!J6213</f>
        <v>0</v>
      </c>
      <c r="I121" s="58"/>
      <c r="J121" s="62">
        <v>32</v>
      </c>
      <c r="K121" s="39">
        <f>資料儲存!D6453</f>
        <v>0</v>
      </c>
      <c r="L121" s="39">
        <f>資料儲存!E6453</f>
        <v>0</v>
      </c>
      <c r="M121" s="39">
        <f>資料儲存!F6453</f>
        <v>0</v>
      </c>
      <c r="N121" s="39">
        <f>資料儲存!G6453</f>
        <v>0</v>
      </c>
      <c r="O121" s="39">
        <f>資料儲存!H6453</f>
        <v>0</v>
      </c>
      <c r="P121" s="39">
        <f>資料儲存!I6453</f>
        <v>0</v>
      </c>
      <c r="Q121" s="39">
        <f>資料儲存!J6453</f>
        <v>0</v>
      </c>
      <c r="R121" s="58"/>
      <c r="S121" s="62">
        <v>32</v>
      </c>
      <c r="T121" s="39">
        <f>資料儲存!D6693</f>
        <v>0</v>
      </c>
      <c r="U121" s="39">
        <f>資料儲存!E6693</f>
        <v>0</v>
      </c>
      <c r="V121" s="39">
        <f>資料儲存!F6693</f>
        <v>0</v>
      </c>
      <c r="W121" s="39">
        <f>資料儲存!G6693</f>
        <v>0</v>
      </c>
      <c r="X121" s="39">
        <f>資料儲存!H6693</f>
        <v>0</v>
      </c>
      <c r="Y121" s="39">
        <f>資料儲存!I6693</f>
        <v>0</v>
      </c>
      <c r="Z121" s="39">
        <f>資料儲存!J6693</f>
        <v>0</v>
      </c>
      <c r="AA121" s="58"/>
      <c r="AB121" s="62">
        <v>32</v>
      </c>
      <c r="AC121" s="39">
        <f>資料儲存!D6933</f>
        <v>0</v>
      </c>
      <c r="AD121" s="39">
        <f>資料儲存!E6933</f>
        <v>0</v>
      </c>
      <c r="AE121" s="39">
        <f>資料儲存!F6933</f>
        <v>0</v>
      </c>
      <c r="AF121" s="39">
        <f>資料儲存!G6933</f>
        <v>0</v>
      </c>
      <c r="AG121" s="39">
        <f>資料儲存!H6933</f>
        <v>0</v>
      </c>
      <c r="AH121" s="39">
        <f>資料儲存!I6933</f>
        <v>0</v>
      </c>
      <c r="AI121" s="39">
        <f>資料儲存!J6933</f>
        <v>0</v>
      </c>
      <c r="AJ121" s="58"/>
      <c r="AK121" s="62">
        <v>32</v>
      </c>
      <c r="AL121" s="39">
        <f>資料儲存!D7173</f>
        <v>0</v>
      </c>
      <c r="AM121" s="39">
        <f>資料儲存!E7173</f>
        <v>0</v>
      </c>
      <c r="AN121" s="39">
        <f>資料儲存!F7173</f>
        <v>0</v>
      </c>
      <c r="AO121" s="39">
        <f>資料儲存!G7173</f>
        <v>0</v>
      </c>
      <c r="AP121" s="39">
        <f>資料儲存!H7173</f>
        <v>0</v>
      </c>
      <c r="AQ121" s="39">
        <f>資料儲存!I7173</f>
        <v>0</v>
      </c>
      <c r="AR121" s="39">
        <f>資料儲存!J7173</f>
        <v>0</v>
      </c>
      <c r="AT121" s="62">
        <v>32</v>
      </c>
      <c r="AU121" s="39">
        <f>資料儲存!D7413</f>
        <v>0</v>
      </c>
      <c r="AV121" s="39">
        <f>資料儲存!E7413</f>
        <v>0</v>
      </c>
      <c r="AW121" s="39">
        <f>資料儲存!F7413</f>
        <v>0</v>
      </c>
      <c r="AX121" s="39">
        <f>資料儲存!G7413</f>
        <v>0</v>
      </c>
      <c r="AY121" s="39">
        <f>資料儲存!H7413</f>
        <v>0</v>
      </c>
      <c r="AZ121" s="39">
        <f>資料儲存!I7413</f>
        <v>0</v>
      </c>
      <c r="BA121" s="39">
        <f>資料儲存!J7413</f>
        <v>0</v>
      </c>
    </row>
    <row r="122" spans="1:53" s="59" customFormat="1" ht="16" thickBot="1">
      <c r="A122" s="62">
        <v>33</v>
      </c>
      <c r="B122" s="39">
        <f>資料儲存!D6214</f>
        <v>0</v>
      </c>
      <c r="C122" s="39">
        <f>資料儲存!E6214</f>
        <v>0</v>
      </c>
      <c r="D122" s="39">
        <f>資料儲存!F6214</f>
        <v>0</v>
      </c>
      <c r="E122" s="39">
        <f>資料儲存!G6214</f>
        <v>0</v>
      </c>
      <c r="F122" s="39">
        <f>資料儲存!H6214</f>
        <v>0</v>
      </c>
      <c r="G122" s="39">
        <f>資料儲存!I6214</f>
        <v>0</v>
      </c>
      <c r="H122" s="39">
        <f>資料儲存!J6214</f>
        <v>0</v>
      </c>
      <c r="I122" s="58"/>
      <c r="J122" s="62">
        <v>33</v>
      </c>
      <c r="K122" s="39">
        <f>資料儲存!D6454</f>
        <v>0</v>
      </c>
      <c r="L122" s="39">
        <f>資料儲存!E6454</f>
        <v>0</v>
      </c>
      <c r="M122" s="39">
        <f>資料儲存!F6454</f>
        <v>0</v>
      </c>
      <c r="N122" s="39">
        <f>資料儲存!G6454</f>
        <v>0</v>
      </c>
      <c r="O122" s="39">
        <f>資料儲存!H6454</f>
        <v>0</v>
      </c>
      <c r="P122" s="39">
        <f>資料儲存!I6454</f>
        <v>0</v>
      </c>
      <c r="Q122" s="39">
        <f>資料儲存!J6454</f>
        <v>0</v>
      </c>
      <c r="R122" s="58"/>
      <c r="S122" s="62">
        <v>33</v>
      </c>
      <c r="T122" s="39">
        <f>資料儲存!D6694</f>
        <v>0</v>
      </c>
      <c r="U122" s="39">
        <f>資料儲存!E6694</f>
        <v>0</v>
      </c>
      <c r="V122" s="39">
        <f>資料儲存!F6694</f>
        <v>0</v>
      </c>
      <c r="W122" s="39">
        <f>資料儲存!G6694</f>
        <v>0</v>
      </c>
      <c r="X122" s="39">
        <f>資料儲存!H6694</f>
        <v>0</v>
      </c>
      <c r="Y122" s="39">
        <f>資料儲存!I6694</f>
        <v>0</v>
      </c>
      <c r="Z122" s="39">
        <f>資料儲存!J6694</f>
        <v>0</v>
      </c>
      <c r="AA122" s="58"/>
      <c r="AB122" s="62">
        <v>33</v>
      </c>
      <c r="AC122" s="39">
        <f>資料儲存!D6934</f>
        <v>0</v>
      </c>
      <c r="AD122" s="39">
        <f>資料儲存!E6934</f>
        <v>0</v>
      </c>
      <c r="AE122" s="39">
        <f>資料儲存!F6934</f>
        <v>0</v>
      </c>
      <c r="AF122" s="39">
        <f>資料儲存!G6934</f>
        <v>0</v>
      </c>
      <c r="AG122" s="39">
        <f>資料儲存!H6934</f>
        <v>0</v>
      </c>
      <c r="AH122" s="39">
        <f>資料儲存!I6934</f>
        <v>0</v>
      </c>
      <c r="AI122" s="39">
        <f>資料儲存!J6934</f>
        <v>0</v>
      </c>
      <c r="AJ122" s="58"/>
      <c r="AK122" s="62">
        <v>33</v>
      </c>
      <c r="AL122" s="39">
        <f>資料儲存!D7174</f>
        <v>0</v>
      </c>
      <c r="AM122" s="39">
        <f>資料儲存!E7174</f>
        <v>0</v>
      </c>
      <c r="AN122" s="39">
        <f>資料儲存!F7174</f>
        <v>0</v>
      </c>
      <c r="AO122" s="39">
        <f>資料儲存!G7174</f>
        <v>0</v>
      </c>
      <c r="AP122" s="39">
        <f>資料儲存!H7174</f>
        <v>0</v>
      </c>
      <c r="AQ122" s="39">
        <f>資料儲存!I7174</f>
        <v>0</v>
      </c>
      <c r="AR122" s="39">
        <f>資料儲存!J7174</f>
        <v>0</v>
      </c>
      <c r="AT122" s="62">
        <v>33</v>
      </c>
      <c r="AU122" s="39">
        <f>資料儲存!D7414</f>
        <v>0</v>
      </c>
      <c r="AV122" s="39">
        <f>資料儲存!E7414</f>
        <v>0</v>
      </c>
      <c r="AW122" s="39">
        <f>資料儲存!F7414</f>
        <v>0</v>
      </c>
      <c r="AX122" s="39">
        <f>資料儲存!G7414</f>
        <v>0</v>
      </c>
      <c r="AY122" s="39">
        <f>資料儲存!H7414</f>
        <v>0</v>
      </c>
      <c r="AZ122" s="39">
        <f>資料儲存!I7414</f>
        <v>0</v>
      </c>
      <c r="BA122" s="39">
        <f>資料儲存!J7414</f>
        <v>0</v>
      </c>
    </row>
    <row r="123" spans="1:53" s="59" customFormat="1" ht="16" thickBot="1">
      <c r="A123" s="62">
        <v>34</v>
      </c>
      <c r="B123" s="39">
        <f>資料儲存!D6215</f>
        <v>0</v>
      </c>
      <c r="C123" s="39">
        <f>資料儲存!E6215</f>
        <v>0</v>
      </c>
      <c r="D123" s="39">
        <f>資料儲存!F6215</f>
        <v>0</v>
      </c>
      <c r="E123" s="39">
        <f>資料儲存!G6215</f>
        <v>0</v>
      </c>
      <c r="F123" s="39">
        <f>資料儲存!H6215</f>
        <v>0</v>
      </c>
      <c r="G123" s="39">
        <f>資料儲存!I6215</f>
        <v>0</v>
      </c>
      <c r="H123" s="39">
        <f>資料儲存!J6215</f>
        <v>0</v>
      </c>
      <c r="I123" s="58"/>
      <c r="J123" s="62">
        <v>34</v>
      </c>
      <c r="K123" s="39">
        <f>資料儲存!D6455</f>
        <v>0</v>
      </c>
      <c r="L123" s="39">
        <f>資料儲存!E6455</f>
        <v>0</v>
      </c>
      <c r="M123" s="39">
        <f>資料儲存!F6455</f>
        <v>0</v>
      </c>
      <c r="N123" s="39">
        <f>資料儲存!G6455</f>
        <v>0</v>
      </c>
      <c r="O123" s="39">
        <f>資料儲存!H6455</f>
        <v>0</v>
      </c>
      <c r="P123" s="39">
        <f>資料儲存!I6455</f>
        <v>0</v>
      </c>
      <c r="Q123" s="39">
        <f>資料儲存!J6455</f>
        <v>0</v>
      </c>
      <c r="R123" s="58"/>
      <c r="S123" s="62">
        <v>34</v>
      </c>
      <c r="T123" s="39">
        <f>資料儲存!D6695</f>
        <v>0</v>
      </c>
      <c r="U123" s="39">
        <f>資料儲存!E6695</f>
        <v>0</v>
      </c>
      <c r="V123" s="39">
        <f>資料儲存!F6695</f>
        <v>0</v>
      </c>
      <c r="W123" s="39">
        <f>資料儲存!G6695</f>
        <v>0</v>
      </c>
      <c r="X123" s="39">
        <f>資料儲存!H6695</f>
        <v>0</v>
      </c>
      <c r="Y123" s="39">
        <f>資料儲存!I6695</f>
        <v>0</v>
      </c>
      <c r="Z123" s="39">
        <f>資料儲存!J6695</f>
        <v>0</v>
      </c>
      <c r="AA123" s="58"/>
      <c r="AB123" s="62">
        <v>34</v>
      </c>
      <c r="AC123" s="39">
        <f>資料儲存!D6935</f>
        <v>0</v>
      </c>
      <c r="AD123" s="39">
        <f>資料儲存!E6935</f>
        <v>0</v>
      </c>
      <c r="AE123" s="39">
        <f>資料儲存!F6935</f>
        <v>0</v>
      </c>
      <c r="AF123" s="39">
        <f>資料儲存!G6935</f>
        <v>0</v>
      </c>
      <c r="AG123" s="39">
        <f>資料儲存!H6935</f>
        <v>0</v>
      </c>
      <c r="AH123" s="39">
        <f>資料儲存!I6935</f>
        <v>0</v>
      </c>
      <c r="AI123" s="39">
        <f>資料儲存!J6935</f>
        <v>0</v>
      </c>
      <c r="AJ123" s="58"/>
      <c r="AK123" s="62">
        <v>34</v>
      </c>
      <c r="AL123" s="39">
        <f>資料儲存!D7175</f>
        <v>0</v>
      </c>
      <c r="AM123" s="39">
        <f>資料儲存!E7175</f>
        <v>0</v>
      </c>
      <c r="AN123" s="39">
        <f>資料儲存!F7175</f>
        <v>0</v>
      </c>
      <c r="AO123" s="39">
        <f>資料儲存!G7175</f>
        <v>0</v>
      </c>
      <c r="AP123" s="39">
        <f>資料儲存!H7175</f>
        <v>0</v>
      </c>
      <c r="AQ123" s="39">
        <f>資料儲存!I7175</f>
        <v>0</v>
      </c>
      <c r="AR123" s="39">
        <f>資料儲存!J7175</f>
        <v>0</v>
      </c>
      <c r="AT123" s="62">
        <v>34</v>
      </c>
      <c r="AU123" s="39">
        <f>資料儲存!D7415</f>
        <v>0</v>
      </c>
      <c r="AV123" s="39">
        <f>資料儲存!E7415</f>
        <v>0</v>
      </c>
      <c r="AW123" s="39">
        <f>資料儲存!F7415</f>
        <v>0</v>
      </c>
      <c r="AX123" s="39">
        <f>資料儲存!G7415</f>
        <v>0</v>
      </c>
      <c r="AY123" s="39">
        <f>資料儲存!H7415</f>
        <v>0</v>
      </c>
      <c r="AZ123" s="39">
        <f>資料儲存!I7415</f>
        <v>0</v>
      </c>
      <c r="BA123" s="39">
        <f>資料儲存!J7415</f>
        <v>0</v>
      </c>
    </row>
    <row r="124" spans="1:53" s="59" customFormat="1" ht="16" thickBot="1">
      <c r="A124" s="62">
        <v>35</v>
      </c>
      <c r="B124" s="39">
        <f>資料儲存!D6216</f>
        <v>0</v>
      </c>
      <c r="C124" s="39">
        <f>資料儲存!E6216</f>
        <v>0</v>
      </c>
      <c r="D124" s="39">
        <f>資料儲存!F6216</f>
        <v>0</v>
      </c>
      <c r="E124" s="39">
        <f>資料儲存!G6216</f>
        <v>0</v>
      </c>
      <c r="F124" s="39">
        <f>資料儲存!H6216</f>
        <v>0</v>
      </c>
      <c r="G124" s="39">
        <f>資料儲存!I6216</f>
        <v>0</v>
      </c>
      <c r="H124" s="39">
        <f>資料儲存!J6216</f>
        <v>0</v>
      </c>
      <c r="I124" s="58"/>
      <c r="J124" s="62">
        <v>35</v>
      </c>
      <c r="K124" s="39">
        <f>資料儲存!D6456</f>
        <v>0</v>
      </c>
      <c r="L124" s="39">
        <f>資料儲存!E6456</f>
        <v>0</v>
      </c>
      <c r="M124" s="39">
        <f>資料儲存!F6456</f>
        <v>0</v>
      </c>
      <c r="N124" s="39">
        <f>資料儲存!G6456</f>
        <v>0</v>
      </c>
      <c r="O124" s="39">
        <f>資料儲存!H6456</f>
        <v>0</v>
      </c>
      <c r="P124" s="39">
        <f>資料儲存!I6456</f>
        <v>0</v>
      </c>
      <c r="Q124" s="39">
        <f>資料儲存!J6456</f>
        <v>0</v>
      </c>
      <c r="R124" s="58"/>
      <c r="S124" s="62">
        <v>35</v>
      </c>
      <c r="T124" s="39">
        <f>資料儲存!D6696</f>
        <v>0</v>
      </c>
      <c r="U124" s="39">
        <f>資料儲存!E6696</f>
        <v>0</v>
      </c>
      <c r="V124" s="39">
        <f>資料儲存!F6696</f>
        <v>0</v>
      </c>
      <c r="W124" s="39">
        <f>資料儲存!G6696</f>
        <v>0</v>
      </c>
      <c r="X124" s="39">
        <f>資料儲存!H6696</f>
        <v>0</v>
      </c>
      <c r="Y124" s="39">
        <f>資料儲存!I6696</f>
        <v>0</v>
      </c>
      <c r="Z124" s="39">
        <f>資料儲存!J6696</f>
        <v>0</v>
      </c>
      <c r="AA124" s="58"/>
      <c r="AB124" s="62">
        <v>35</v>
      </c>
      <c r="AC124" s="39">
        <f>資料儲存!D6936</f>
        <v>0</v>
      </c>
      <c r="AD124" s="39">
        <f>資料儲存!E6936</f>
        <v>0</v>
      </c>
      <c r="AE124" s="39">
        <f>資料儲存!F6936</f>
        <v>0</v>
      </c>
      <c r="AF124" s="39">
        <f>資料儲存!G6936</f>
        <v>0</v>
      </c>
      <c r="AG124" s="39">
        <f>資料儲存!H6936</f>
        <v>0</v>
      </c>
      <c r="AH124" s="39">
        <f>資料儲存!I6936</f>
        <v>0</v>
      </c>
      <c r="AI124" s="39">
        <f>資料儲存!J6936</f>
        <v>0</v>
      </c>
      <c r="AJ124" s="58"/>
      <c r="AK124" s="62">
        <v>35</v>
      </c>
      <c r="AL124" s="39">
        <f>資料儲存!D7176</f>
        <v>0</v>
      </c>
      <c r="AM124" s="39">
        <f>資料儲存!E7176</f>
        <v>0</v>
      </c>
      <c r="AN124" s="39">
        <f>資料儲存!F7176</f>
        <v>0</v>
      </c>
      <c r="AO124" s="39">
        <f>資料儲存!G7176</f>
        <v>0</v>
      </c>
      <c r="AP124" s="39">
        <f>資料儲存!H7176</f>
        <v>0</v>
      </c>
      <c r="AQ124" s="39">
        <f>資料儲存!I7176</f>
        <v>0</v>
      </c>
      <c r="AR124" s="39">
        <f>資料儲存!J7176</f>
        <v>0</v>
      </c>
      <c r="AT124" s="62">
        <v>35</v>
      </c>
      <c r="AU124" s="39">
        <f>資料儲存!D7416</f>
        <v>0</v>
      </c>
      <c r="AV124" s="39">
        <f>資料儲存!E7416</f>
        <v>0</v>
      </c>
      <c r="AW124" s="39">
        <f>資料儲存!F7416</f>
        <v>0</v>
      </c>
      <c r="AX124" s="39">
        <f>資料儲存!G7416</f>
        <v>0</v>
      </c>
      <c r="AY124" s="39">
        <f>資料儲存!H7416</f>
        <v>0</v>
      </c>
      <c r="AZ124" s="39">
        <f>資料儲存!I7416</f>
        <v>0</v>
      </c>
      <c r="BA124" s="39">
        <f>資料儲存!J7416</f>
        <v>0</v>
      </c>
    </row>
    <row r="125" spans="1:53" s="59" customFormat="1" ht="16" thickBot="1">
      <c r="A125" s="62">
        <v>36</v>
      </c>
      <c r="B125" s="39">
        <f>資料儲存!D6217</f>
        <v>0</v>
      </c>
      <c r="C125" s="39">
        <f>資料儲存!E6217</f>
        <v>0</v>
      </c>
      <c r="D125" s="39">
        <f>資料儲存!F6217</f>
        <v>0</v>
      </c>
      <c r="E125" s="39">
        <f>資料儲存!G6217</f>
        <v>0</v>
      </c>
      <c r="F125" s="39">
        <f>資料儲存!H6217</f>
        <v>0</v>
      </c>
      <c r="G125" s="39">
        <f>資料儲存!I6217</f>
        <v>0</v>
      </c>
      <c r="H125" s="39">
        <f>資料儲存!J6217</f>
        <v>0</v>
      </c>
      <c r="I125" s="58"/>
      <c r="J125" s="62">
        <v>36</v>
      </c>
      <c r="K125" s="39">
        <f>資料儲存!D6457</f>
        <v>0</v>
      </c>
      <c r="L125" s="39">
        <f>資料儲存!E6457</f>
        <v>0</v>
      </c>
      <c r="M125" s="39">
        <f>資料儲存!F6457</f>
        <v>0</v>
      </c>
      <c r="N125" s="39">
        <f>資料儲存!G6457</f>
        <v>0</v>
      </c>
      <c r="O125" s="39">
        <f>資料儲存!H6457</f>
        <v>0</v>
      </c>
      <c r="P125" s="39">
        <f>資料儲存!I6457</f>
        <v>0</v>
      </c>
      <c r="Q125" s="39">
        <f>資料儲存!J6457</f>
        <v>0</v>
      </c>
      <c r="R125" s="58"/>
      <c r="S125" s="62">
        <v>36</v>
      </c>
      <c r="T125" s="39">
        <f>資料儲存!D6697</f>
        <v>0</v>
      </c>
      <c r="U125" s="39">
        <f>資料儲存!E6697</f>
        <v>0</v>
      </c>
      <c r="V125" s="39">
        <f>資料儲存!F6697</f>
        <v>0</v>
      </c>
      <c r="W125" s="39">
        <f>資料儲存!G6697</f>
        <v>0</v>
      </c>
      <c r="X125" s="39">
        <f>資料儲存!H6697</f>
        <v>0</v>
      </c>
      <c r="Y125" s="39">
        <f>資料儲存!I6697</f>
        <v>0</v>
      </c>
      <c r="Z125" s="39">
        <f>資料儲存!J6697</f>
        <v>0</v>
      </c>
      <c r="AA125" s="58"/>
      <c r="AB125" s="62">
        <v>36</v>
      </c>
      <c r="AC125" s="39">
        <f>資料儲存!D6937</f>
        <v>0</v>
      </c>
      <c r="AD125" s="39">
        <f>資料儲存!E6937</f>
        <v>0</v>
      </c>
      <c r="AE125" s="39">
        <f>資料儲存!F6937</f>
        <v>0</v>
      </c>
      <c r="AF125" s="39">
        <f>資料儲存!G6937</f>
        <v>0</v>
      </c>
      <c r="AG125" s="39">
        <f>資料儲存!H6937</f>
        <v>0</v>
      </c>
      <c r="AH125" s="39">
        <f>資料儲存!I6937</f>
        <v>0</v>
      </c>
      <c r="AI125" s="39">
        <f>資料儲存!J6937</f>
        <v>0</v>
      </c>
      <c r="AJ125" s="58"/>
      <c r="AK125" s="62">
        <v>36</v>
      </c>
      <c r="AL125" s="39">
        <f>資料儲存!D7177</f>
        <v>0</v>
      </c>
      <c r="AM125" s="39">
        <f>資料儲存!E7177</f>
        <v>0</v>
      </c>
      <c r="AN125" s="39">
        <f>資料儲存!F7177</f>
        <v>0</v>
      </c>
      <c r="AO125" s="39">
        <f>資料儲存!G7177</f>
        <v>0</v>
      </c>
      <c r="AP125" s="39">
        <f>資料儲存!H7177</f>
        <v>0</v>
      </c>
      <c r="AQ125" s="39">
        <f>資料儲存!I7177</f>
        <v>0</v>
      </c>
      <c r="AR125" s="39">
        <f>資料儲存!J7177</f>
        <v>0</v>
      </c>
      <c r="AT125" s="62">
        <v>36</v>
      </c>
      <c r="AU125" s="39">
        <f>資料儲存!D7417</f>
        <v>0</v>
      </c>
      <c r="AV125" s="39">
        <f>資料儲存!E7417</f>
        <v>0</v>
      </c>
      <c r="AW125" s="39">
        <f>資料儲存!F7417</f>
        <v>0</v>
      </c>
      <c r="AX125" s="39">
        <f>資料儲存!G7417</f>
        <v>0</v>
      </c>
      <c r="AY125" s="39">
        <f>資料儲存!H7417</f>
        <v>0</v>
      </c>
      <c r="AZ125" s="39">
        <f>資料儲存!I7417</f>
        <v>0</v>
      </c>
      <c r="BA125" s="39">
        <f>資料儲存!J7417</f>
        <v>0</v>
      </c>
    </row>
    <row r="126" spans="1:53" s="59" customFormat="1" ht="16" thickBot="1">
      <c r="A126" s="62">
        <v>37</v>
      </c>
      <c r="B126" s="39">
        <f>資料儲存!D6218</f>
        <v>0</v>
      </c>
      <c r="C126" s="39">
        <f>資料儲存!E6218</f>
        <v>0</v>
      </c>
      <c r="D126" s="39">
        <f>資料儲存!F6218</f>
        <v>0</v>
      </c>
      <c r="E126" s="39">
        <f>資料儲存!G6218</f>
        <v>0</v>
      </c>
      <c r="F126" s="39">
        <f>資料儲存!H6218</f>
        <v>0</v>
      </c>
      <c r="G126" s="39">
        <f>資料儲存!I6218</f>
        <v>0</v>
      </c>
      <c r="H126" s="39">
        <f>資料儲存!J6218</f>
        <v>0</v>
      </c>
      <c r="I126" s="58"/>
      <c r="J126" s="62">
        <v>37</v>
      </c>
      <c r="K126" s="39">
        <f>資料儲存!D6458</f>
        <v>0</v>
      </c>
      <c r="L126" s="39">
        <f>資料儲存!E6458</f>
        <v>0</v>
      </c>
      <c r="M126" s="39">
        <f>資料儲存!F6458</f>
        <v>0</v>
      </c>
      <c r="N126" s="39">
        <f>資料儲存!G6458</f>
        <v>0</v>
      </c>
      <c r="O126" s="39">
        <f>資料儲存!H6458</f>
        <v>0</v>
      </c>
      <c r="P126" s="39">
        <f>資料儲存!I6458</f>
        <v>0</v>
      </c>
      <c r="Q126" s="39">
        <f>資料儲存!J6458</f>
        <v>0</v>
      </c>
      <c r="R126" s="58"/>
      <c r="S126" s="62">
        <v>37</v>
      </c>
      <c r="T126" s="39">
        <f>資料儲存!D6698</f>
        <v>0</v>
      </c>
      <c r="U126" s="39">
        <f>資料儲存!E6698</f>
        <v>0</v>
      </c>
      <c r="V126" s="39">
        <f>資料儲存!F6698</f>
        <v>0</v>
      </c>
      <c r="W126" s="39">
        <f>資料儲存!G6698</f>
        <v>0</v>
      </c>
      <c r="X126" s="39">
        <f>資料儲存!H6698</f>
        <v>0</v>
      </c>
      <c r="Y126" s="39">
        <f>資料儲存!I6698</f>
        <v>0</v>
      </c>
      <c r="Z126" s="39">
        <f>資料儲存!J6698</f>
        <v>0</v>
      </c>
      <c r="AA126" s="58"/>
      <c r="AB126" s="62">
        <v>37</v>
      </c>
      <c r="AC126" s="39">
        <f>資料儲存!D6938</f>
        <v>0</v>
      </c>
      <c r="AD126" s="39">
        <f>資料儲存!E6938</f>
        <v>0</v>
      </c>
      <c r="AE126" s="39">
        <f>資料儲存!F6938</f>
        <v>0</v>
      </c>
      <c r="AF126" s="39">
        <f>資料儲存!G6938</f>
        <v>0</v>
      </c>
      <c r="AG126" s="39">
        <f>資料儲存!H6938</f>
        <v>0</v>
      </c>
      <c r="AH126" s="39">
        <f>資料儲存!I6938</f>
        <v>0</v>
      </c>
      <c r="AI126" s="39">
        <f>資料儲存!J6938</f>
        <v>0</v>
      </c>
      <c r="AJ126" s="58"/>
      <c r="AK126" s="62">
        <v>37</v>
      </c>
      <c r="AL126" s="39">
        <f>資料儲存!D7178</f>
        <v>0</v>
      </c>
      <c r="AM126" s="39">
        <f>資料儲存!E7178</f>
        <v>0</v>
      </c>
      <c r="AN126" s="39">
        <f>資料儲存!F7178</f>
        <v>0</v>
      </c>
      <c r="AO126" s="39">
        <f>資料儲存!G7178</f>
        <v>0</v>
      </c>
      <c r="AP126" s="39">
        <f>資料儲存!H7178</f>
        <v>0</v>
      </c>
      <c r="AQ126" s="39">
        <f>資料儲存!I7178</f>
        <v>0</v>
      </c>
      <c r="AR126" s="39">
        <f>資料儲存!J7178</f>
        <v>0</v>
      </c>
      <c r="AT126" s="62">
        <v>37</v>
      </c>
      <c r="AU126" s="39">
        <f>資料儲存!D7418</f>
        <v>0</v>
      </c>
      <c r="AV126" s="39">
        <f>資料儲存!E7418</f>
        <v>0</v>
      </c>
      <c r="AW126" s="39">
        <f>資料儲存!F7418</f>
        <v>0</v>
      </c>
      <c r="AX126" s="39">
        <f>資料儲存!G7418</f>
        <v>0</v>
      </c>
      <c r="AY126" s="39">
        <f>資料儲存!H7418</f>
        <v>0</v>
      </c>
      <c r="AZ126" s="39">
        <f>資料儲存!I7418</f>
        <v>0</v>
      </c>
      <c r="BA126" s="39">
        <f>資料儲存!J7418</f>
        <v>0</v>
      </c>
    </row>
    <row r="127" spans="1:53" s="59" customFormat="1" ht="16" thickBot="1">
      <c r="A127" s="62">
        <v>38</v>
      </c>
      <c r="B127" s="39">
        <f>資料儲存!D6219</f>
        <v>0</v>
      </c>
      <c r="C127" s="39">
        <f>資料儲存!E6219</f>
        <v>0</v>
      </c>
      <c r="D127" s="39">
        <f>資料儲存!F6219</f>
        <v>0</v>
      </c>
      <c r="E127" s="39">
        <f>資料儲存!G6219</f>
        <v>0</v>
      </c>
      <c r="F127" s="39">
        <f>資料儲存!H6219</f>
        <v>0</v>
      </c>
      <c r="G127" s="39">
        <f>資料儲存!I6219</f>
        <v>0</v>
      </c>
      <c r="H127" s="39">
        <f>資料儲存!J6219</f>
        <v>0</v>
      </c>
      <c r="I127" s="58"/>
      <c r="J127" s="62">
        <v>38</v>
      </c>
      <c r="K127" s="39">
        <f>資料儲存!D6459</f>
        <v>0</v>
      </c>
      <c r="L127" s="39">
        <f>資料儲存!E6459</f>
        <v>0</v>
      </c>
      <c r="M127" s="39">
        <f>資料儲存!F6459</f>
        <v>0</v>
      </c>
      <c r="N127" s="39">
        <f>資料儲存!G6459</f>
        <v>0</v>
      </c>
      <c r="O127" s="39">
        <f>資料儲存!H6459</f>
        <v>0</v>
      </c>
      <c r="P127" s="39">
        <f>資料儲存!I6459</f>
        <v>0</v>
      </c>
      <c r="Q127" s="39">
        <f>資料儲存!J6459</f>
        <v>0</v>
      </c>
      <c r="R127" s="58"/>
      <c r="S127" s="62">
        <v>38</v>
      </c>
      <c r="T127" s="39">
        <f>資料儲存!D6699</f>
        <v>0</v>
      </c>
      <c r="U127" s="39">
        <f>資料儲存!E6699</f>
        <v>0</v>
      </c>
      <c r="V127" s="39">
        <f>資料儲存!F6699</f>
        <v>0</v>
      </c>
      <c r="W127" s="39">
        <f>資料儲存!G6699</f>
        <v>0</v>
      </c>
      <c r="X127" s="39">
        <f>資料儲存!H6699</f>
        <v>0</v>
      </c>
      <c r="Y127" s="39">
        <f>資料儲存!I6699</f>
        <v>0</v>
      </c>
      <c r="Z127" s="39">
        <f>資料儲存!J6699</f>
        <v>0</v>
      </c>
      <c r="AA127" s="58"/>
      <c r="AB127" s="62">
        <v>38</v>
      </c>
      <c r="AC127" s="39">
        <f>資料儲存!D6939</f>
        <v>0</v>
      </c>
      <c r="AD127" s="39">
        <f>資料儲存!E6939</f>
        <v>0</v>
      </c>
      <c r="AE127" s="39">
        <f>資料儲存!F6939</f>
        <v>0</v>
      </c>
      <c r="AF127" s="39">
        <f>資料儲存!G6939</f>
        <v>0</v>
      </c>
      <c r="AG127" s="39">
        <f>資料儲存!H6939</f>
        <v>0</v>
      </c>
      <c r="AH127" s="39">
        <f>資料儲存!I6939</f>
        <v>0</v>
      </c>
      <c r="AI127" s="39">
        <f>資料儲存!J6939</f>
        <v>0</v>
      </c>
      <c r="AJ127" s="58"/>
      <c r="AK127" s="62">
        <v>38</v>
      </c>
      <c r="AL127" s="39">
        <f>資料儲存!D7179</f>
        <v>0</v>
      </c>
      <c r="AM127" s="39">
        <f>資料儲存!E7179</f>
        <v>0</v>
      </c>
      <c r="AN127" s="39">
        <f>資料儲存!F7179</f>
        <v>0</v>
      </c>
      <c r="AO127" s="39">
        <f>資料儲存!G7179</f>
        <v>0</v>
      </c>
      <c r="AP127" s="39">
        <f>資料儲存!H7179</f>
        <v>0</v>
      </c>
      <c r="AQ127" s="39">
        <f>資料儲存!I7179</f>
        <v>0</v>
      </c>
      <c r="AR127" s="39">
        <f>資料儲存!J7179</f>
        <v>0</v>
      </c>
      <c r="AT127" s="62">
        <v>38</v>
      </c>
      <c r="AU127" s="39">
        <f>資料儲存!D7419</f>
        <v>0</v>
      </c>
      <c r="AV127" s="39">
        <f>資料儲存!E7419</f>
        <v>0</v>
      </c>
      <c r="AW127" s="39">
        <f>資料儲存!F7419</f>
        <v>0</v>
      </c>
      <c r="AX127" s="39">
        <f>資料儲存!G7419</f>
        <v>0</v>
      </c>
      <c r="AY127" s="39">
        <f>資料儲存!H7419</f>
        <v>0</v>
      </c>
      <c r="AZ127" s="39">
        <f>資料儲存!I7419</f>
        <v>0</v>
      </c>
      <c r="BA127" s="39">
        <f>資料儲存!J7419</f>
        <v>0</v>
      </c>
    </row>
    <row r="128" spans="1:53" s="59" customFormat="1" ht="16" thickBot="1">
      <c r="A128" s="62">
        <v>39</v>
      </c>
      <c r="B128" s="39">
        <f>資料儲存!D6220</f>
        <v>0</v>
      </c>
      <c r="C128" s="39">
        <f>資料儲存!E6220</f>
        <v>0</v>
      </c>
      <c r="D128" s="39">
        <f>資料儲存!F6220</f>
        <v>0</v>
      </c>
      <c r="E128" s="39">
        <f>資料儲存!G6220</f>
        <v>0</v>
      </c>
      <c r="F128" s="39">
        <f>資料儲存!H6220</f>
        <v>0</v>
      </c>
      <c r="G128" s="39">
        <f>資料儲存!I6220</f>
        <v>0</v>
      </c>
      <c r="H128" s="39">
        <f>資料儲存!J6220</f>
        <v>0</v>
      </c>
      <c r="I128" s="58"/>
      <c r="J128" s="62">
        <v>39</v>
      </c>
      <c r="K128" s="39">
        <f>資料儲存!D6460</f>
        <v>0</v>
      </c>
      <c r="L128" s="39">
        <f>資料儲存!E6460</f>
        <v>0</v>
      </c>
      <c r="M128" s="39">
        <f>資料儲存!F6460</f>
        <v>0</v>
      </c>
      <c r="N128" s="39">
        <f>資料儲存!G6460</f>
        <v>0</v>
      </c>
      <c r="O128" s="39">
        <f>資料儲存!H6460</f>
        <v>0</v>
      </c>
      <c r="P128" s="39">
        <f>資料儲存!I6460</f>
        <v>0</v>
      </c>
      <c r="Q128" s="39">
        <f>資料儲存!J6460</f>
        <v>0</v>
      </c>
      <c r="R128" s="58"/>
      <c r="S128" s="62">
        <v>39</v>
      </c>
      <c r="T128" s="39">
        <f>資料儲存!D6700</f>
        <v>0</v>
      </c>
      <c r="U128" s="39">
        <f>資料儲存!E6700</f>
        <v>0</v>
      </c>
      <c r="V128" s="39">
        <f>資料儲存!F6700</f>
        <v>0</v>
      </c>
      <c r="W128" s="39">
        <f>資料儲存!G6700</f>
        <v>0</v>
      </c>
      <c r="X128" s="39">
        <f>資料儲存!H6700</f>
        <v>0</v>
      </c>
      <c r="Y128" s="39">
        <f>資料儲存!I6700</f>
        <v>0</v>
      </c>
      <c r="Z128" s="39">
        <f>資料儲存!J6700</f>
        <v>0</v>
      </c>
      <c r="AA128" s="58"/>
      <c r="AB128" s="62">
        <v>39</v>
      </c>
      <c r="AC128" s="39">
        <f>資料儲存!D6940</f>
        <v>0</v>
      </c>
      <c r="AD128" s="39">
        <f>資料儲存!E6940</f>
        <v>0</v>
      </c>
      <c r="AE128" s="39">
        <f>資料儲存!F6940</f>
        <v>0</v>
      </c>
      <c r="AF128" s="39">
        <f>資料儲存!G6940</f>
        <v>0</v>
      </c>
      <c r="AG128" s="39">
        <f>資料儲存!H6940</f>
        <v>0</v>
      </c>
      <c r="AH128" s="39">
        <f>資料儲存!I6940</f>
        <v>0</v>
      </c>
      <c r="AI128" s="39">
        <f>資料儲存!J6940</f>
        <v>0</v>
      </c>
      <c r="AJ128" s="58"/>
      <c r="AK128" s="62">
        <v>39</v>
      </c>
      <c r="AL128" s="39">
        <f>資料儲存!D7180</f>
        <v>0</v>
      </c>
      <c r="AM128" s="39">
        <f>資料儲存!E7180</f>
        <v>0</v>
      </c>
      <c r="AN128" s="39">
        <f>資料儲存!F7180</f>
        <v>0</v>
      </c>
      <c r="AO128" s="39">
        <f>資料儲存!G7180</f>
        <v>0</v>
      </c>
      <c r="AP128" s="39">
        <f>資料儲存!H7180</f>
        <v>0</v>
      </c>
      <c r="AQ128" s="39">
        <f>資料儲存!I7180</f>
        <v>0</v>
      </c>
      <c r="AR128" s="39">
        <f>資料儲存!J7180</f>
        <v>0</v>
      </c>
      <c r="AT128" s="62">
        <v>39</v>
      </c>
      <c r="AU128" s="39">
        <f>資料儲存!D7420</f>
        <v>0</v>
      </c>
      <c r="AV128" s="39">
        <f>資料儲存!E7420</f>
        <v>0</v>
      </c>
      <c r="AW128" s="39">
        <f>資料儲存!F7420</f>
        <v>0</v>
      </c>
      <c r="AX128" s="39">
        <f>資料儲存!G7420</f>
        <v>0</v>
      </c>
      <c r="AY128" s="39">
        <f>資料儲存!H7420</f>
        <v>0</v>
      </c>
      <c r="AZ128" s="39">
        <f>資料儲存!I7420</f>
        <v>0</v>
      </c>
      <c r="BA128" s="39">
        <f>資料儲存!J7420</f>
        <v>0</v>
      </c>
    </row>
    <row r="129" spans="1:53" s="59" customFormat="1" ht="16" thickBot="1">
      <c r="A129" s="62">
        <v>40</v>
      </c>
      <c r="B129" s="39">
        <f>資料儲存!D6221</f>
        <v>0</v>
      </c>
      <c r="C129" s="39">
        <f>資料儲存!E6221</f>
        <v>0</v>
      </c>
      <c r="D129" s="39">
        <f>資料儲存!F6221</f>
        <v>0</v>
      </c>
      <c r="E129" s="39">
        <f>資料儲存!G6221</f>
        <v>0</v>
      </c>
      <c r="F129" s="39">
        <f>資料儲存!H6221</f>
        <v>0</v>
      </c>
      <c r="G129" s="39">
        <f>資料儲存!I6221</f>
        <v>0</v>
      </c>
      <c r="H129" s="39">
        <f>資料儲存!J6221</f>
        <v>0</v>
      </c>
      <c r="I129" s="58"/>
      <c r="J129" s="62">
        <v>40</v>
      </c>
      <c r="K129" s="39">
        <f>資料儲存!D6461</f>
        <v>0</v>
      </c>
      <c r="L129" s="39">
        <f>資料儲存!E6461</f>
        <v>0</v>
      </c>
      <c r="M129" s="39">
        <f>資料儲存!F6461</f>
        <v>0</v>
      </c>
      <c r="N129" s="39">
        <f>資料儲存!G6461</f>
        <v>0</v>
      </c>
      <c r="O129" s="39">
        <f>資料儲存!H6461</f>
        <v>0</v>
      </c>
      <c r="P129" s="39">
        <f>資料儲存!I6461</f>
        <v>0</v>
      </c>
      <c r="Q129" s="39">
        <f>資料儲存!J6461</f>
        <v>0</v>
      </c>
      <c r="R129" s="58"/>
      <c r="S129" s="62">
        <v>40</v>
      </c>
      <c r="T129" s="39">
        <f>資料儲存!D6701</f>
        <v>0</v>
      </c>
      <c r="U129" s="39">
        <f>資料儲存!E6701</f>
        <v>0</v>
      </c>
      <c r="V129" s="39">
        <f>資料儲存!F6701</f>
        <v>0</v>
      </c>
      <c r="W129" s="39">
        <f>資料儲存!G6701</f>
        <v>0</v>
      </c>
      <c r="X129" s="39">
        <f>資料儲存!H6701</f>
        <v>0</v>
      </c>
      <c r="Y129" s="39">
        <f>資料儲存!I6701</f>
        <v>0</v>
      </c>
      <c r="Z129" s="39">
        <f>資料儲存!J6701</f>
        <v>0</v>
      </c>
      <c r="AA129" s="58"/>
      <c r="AB129" s="62">
        <v>40</v>
      </c>
      <c r="AC129" s="39">
        <f>資料儲存!D6941</f>
        <v>0</v>
      </c>
      <c r="AD129" s="39">
        <f>資料儲存!E6941</f>
        <v>0</v>
      </c>
      <c r="AE129" s="39">
        <f>資料儲存!F6941</f>
        <v>0</v>
      </c>
      <c r="AF129" s="39">
        <f>資料儲存!G6941</f>
        <v>0</v>
      </c>
      <c r="AG129" s="39">
        <f>資料儲存!H6941</f>
        <v>0</v>
      </c>
      <c r="AH129" s="39">
        <f>資料儲存!I6941</f>
        <v>0</v>
      </c>
      <c r="AI129" s="39">
        <f>資料儲存!J6941</f>
        <v>0</v>
      </c>
      <c r="AJ129" s="58"/>
      <c r="AK129" s="62">
        <v>40</v>
      </c>
      <c r="AL129" s="39">
        <f>資料儲存!D7181</f>
        <v>0</v>
      </c>
      <c r="AM129" s="39">
        <f>資料儲存!E7181</f>
        <v>0</v>
      </c>
      <c r="AN129" s="39">
        <f>資料儲存!F7181</f>
        <v>0</v>
      </c>
      <c r="AO129" s="39">
        <f>資料儲存!G7181</f>
        <v>0</v>
      </c>
      <c r="AP129" s="39">
        <f>資料儲存!H7181</f>
        <v>0</v>
      </c>
      <c r="AQ129" s="39">
        <f>資料儲存!I7181</f>
        <v>0</v>
      </c>
      <c r="AR129" s="39">
        <f>資料儲存!J7181</f>
        <v>0</v>
      </c>
      <c r="AT129" s="62">
        <v>40</v>
      </c>
      <c r="AU129" s="39">
        <f>資料儲存!D7421</f>
        <v>0</v>
      </c>
      <c r="AV129" s="39">
        <f>資料儲存!E7421</f>
        <v>0</v>
      </c>
      <c r="AW129" s="39">
        <f>資料儲存!F7421</f>
        <v>0</v>
      </c>
      <c r="AX129" s="39">
        <f>資料儲存!G7421</f>
        <v>0</v>
      </c>
      <c r="AY129" s="39">
        <f>資料儲存!H7421</f>
        <v>0</v>
      </c>
      <c r="AZ129" s="39">
        <f>資料儲存!I7421</f>
        <v>0</v>
      </c>
      <c r="BA129" s="39">
        <f>資料儲存!J7421</f>
        <v>0</v>
      </c>
    </row>
    <row r="130" spans="1:53" s="59" customFormat="1" ht="16" thickBot="1">
      <c r="A130" s="62">
        <v>41</v>
      </c>
      <c r="B130" s="39">
        <f>資料儲存!D6222</f>
        <v>0</v>
      </c>
      <c r="C130" s="39">
        <f>資料儲存!E6222</f>
        <v>0</v>
      </c>
      <c r="D130" s="39">
        <f>資料儲存!F6222</f>
        <v>0</v>
      </c>
      <c r="E130" s="39">
        <f>資料儲存!G6222</f>
        <v>0</v>
      </c>
      <c r="F130" s="39">
        <f>資料儲存!H6222</f>
        <v>0</v>
      </c>
      <c r="G130" s="39">
        <f>資料儲存!I6222</f>
        <v>0</v>
      </c>
      <c r="H130" s="39">
        <f>資料儲存!J6222</f>
        <v>0</v>
      </c>
      <c r="I130" s="58"/>
      <c r="J130" s="62">
        <v>41</v>
      </c>
      <c r="K130" s="39">
        <f>資料儲存!D6462</f>
        <v>0</v>
      </c>
      <c r="L130" s="39">
        <f>資料儲存!E6462</f>
        <v>0</v>
      </c>
      <c r="M130" s="39">
        <f>資料儲存!F6462</f>
        <v>0</v>
      </c>
      <c r="N130" s="39">
        <f>資料儲存!G6462</f>
        <v>0</v>
      </c>
      <c r="O130" s="39">
        <f>資料儲存!H6462</f>
        <v>0</v>
      </c>
      <c r="P130" s="39">
        <f>資料儲存!I6462</f>
        <v>0</v>
      </c>
      <c r="Q130" s="39">
        <f>資料儲存!J6462</f>
        <v>0</v>
      </c>
      <c r="R130" s="58"/>
      <c r="S130" s="62">
        <v>41</v>
      </c>
      <c r="T130" s="39">
        <f>資料儲存!D6702</f>
        <v>0</v>
      </c>
      <c r="U130" s="39">
        <f>資料儲存!E6702</f>
        <v>0</v>
      </c>
      <c r="V130" s="39">
        <f>資料儲存!F6702</f>
        <v>0</v>
      </c>
      <c r="W130" s="39">
        <f>資料儲存!G6702</f>
        <v>0</v>
      </c>
      <c r="X130" s="39">
        <f>資料儲存!H6702</f>
        <v>0</v>
      </c>
      <c r="Y130" s="39">
        <f>資料儲存!I6702</f>
        <v>0</v>
      </c>
      <c r="Z130" s="39">
        <f>資料儲存!J6702</f>
        <v>0</v>
      </c>
      <c r="AA130" s="58"/>
      <c r="AB130" s="62">
        <v>41</v>
      </c>
      <c r="AC130" s="39">
        <f>資料儲存!D6942</f>
        <v>0</v>
      </c>
      <c r="AD130" s="39">
        <f>資料儲存!E6942</f>
        <v>0</v>
      </c>
      <c r="AE130" s="39">
        <f>資料儲存!F6942</f>
        <v>0</v>
      </c>
      <c r="AF130" s="39">
        <f>資料儲存!G6942</f>
        <v>0</v>
      </c>
      <c r="AG130" s="39">
        <f>資料儲存!H6942</f>
        <v>0</v>
      </c>
      <c r="AH130" s="39">
        <f>資料儲存!I6942</f>
        <v>0</v>
      </c>
      <c r="AI130" s="39">
        <f>資料儲存!J6942</f>
        <v>0</v>
      </c>
      <c r="AJ130" s="58"/>
      <c r="AK130" s="62">
        <v>41</v>
      </c>
      <c r="AL130" s="39">
        <f>資料儲存!D7182</f>
        <v>0</v>
      </c>
      <c r="AM130" s="39">
        <f>資料儲存!E7182</f>
        <v>0</v>
      </c>
      <c r="AN130" s="39">
        <f>資料儲存!F7182</f>
        <v>0</v>
      </c>
      <c r="AO130" s="39">
        <f>資料儲存!G7182</f>
        <v>0</v>
      </c>
      <c r="AP130" s="39">
        <f>資料儲存!H7182</f>
        <v>0</v>
      </c>
      <c r="AQ130" s="39">
        <f>資料儲存!I7182</f>
        <v>0</v>
      </c>
      <c r="AR130" s="39">
        <f>資料儲存!J7182</f>
        <v>0</v>
      </c>
      <c r="AT130" s="62">
        <v>41</v>
      </c>
      <c r="AU130" s="39">
        <f>資料儲存!D7422</f>
        <v>0</v>
      </c>
      <c r="AV130" s="39">
        <f>資料儲存!E7422</f>
        <v>0</v>
      </c>
      <c r="AW130" s="39">
        <f>資料儲存!F7422</f>
        <v>0</v>
      </c>
      <c r="AX130" s="39">
        <f>資料儲存!G7422</f>
        <v>0</v>
      </c>
      <c r="AY130" s="39">
        <f>資料儲存!H7422</f>
        <v>0</v>
      </c>
      <c r="AZ130" s="39">
        <f>資料儲存!I7422</f>
        <v>0</v>
      </c>
      <c r="BA130" s="39">
        <f>資料儲存!J7422</f>
        <v>0</v>
      </c>
    </row>
    <row r="131" spans="1:53" s="59" customFormat="1" ht="16" thickBot="1">
      <c r="A131" s="62">
        <v>42</v>
      </c>
      <c r="B131" s="39">
        <f>資料儲存!D6223</f>
        <v>0</v>
      </c>
      <c r="C131" s="39">
        <f>資料儲存!E6223</f>
        <v>0</v>
      </c>
      <c r="D131" s="39">
        <f>資料儲存!F6223</f>
        <v>0</v>
      </c>
      <c r="E131" s="39">
        <f>資料儲存!G6223</f>
        <v>0</v>
      </c>
      <c r="F131" s="39">
        <f>資料儲存!H6223</f>
        <v>0</v>
      </c>
      <c r="G131" s="39">
        <f>資料儲存!I6223</f>
        <v>0</v>
      </c>
      <c r="H131" s="39">
        <f>資料儲存!J6223</f>
        <v>0</v>
      </c>
      <c r="I131" s="58"/>
      <c r="J131" s="62">
        <v>42</v>
      </c>
      <c r="K131" s="39">
        <f>資料儲存!D6463</f>
        <v>0</v>
      </c>
      <c r="L131" s="39">
        <f>資料儲存!E6463</f>
        <v>0</v>
      </c>
      <c r="M131" s="39">
        <f>資料儲存!F6463</f>
        <v>0</v>
      </c>
      <c r="N131" s="39">
        <f>資料儲存!G6463</f>
        <v>0</v>
      </c>
      <c r="O131" s="39">
        <f>資料儲存!H6463</f>
        <v>0</v>
      </c>
      <c r="P131" s="39">
        <f>資料儲存!I6463</f>
        <v>0</v>
      </c>
      <c r="Q131" s="39">
        <f>資料儲存!J6463</f>
        <v>0</v>
      </c>
      <c r="R131" s="58"/>
      <c r="S131" s="62">
        <v>42</v>
      </c>
      <c r="T131" s="39">
        <f>資料儲存!D6703</f>
        <v>0</v>
      </c>
      <c r="U131" s="39">
        <f>資料儲存!E6703</f>
        <v>0</v>
      </c>
      <c r="V131" s="39">
        <f>資料儲存!F6703</f>
        <v>0</v>
      </c>
      <c r="W131" s="39">
        <f>資料儲存!G6703</f>
        <v>0</v>
      </c>
      <c r="X131" s="39">
        <f>資料儲存!H6703</f>
        <v>0</v>
      </c>
      <c r="Y131" s="39">
        <f>資料儲存!I6703</f>
        <v>0</v>
      </c>
      <c r="Z131" s="39">
        <f>資料儲存!J6703</f>
        <v>0</v>
      </c>
      <c r="AA131" s="58"/>
      <c r="AB131" s="62">
        <v>42</v>
      </c>
      <c r="AC131" s="39">
        <f>資料儲存!D6943</f>
        <v>0</v>
      </c>
      <c r="AD131" s="39">
        <f>資料儲存!E6943</f>
        <v>0</v>
      </c>
      <c r="AE131" s="39">
        <f>資料儲存!F6943</f>
        <v>0</v>
      </c>
      <c r="AF131" s="39">
        <f>資料儲存!G6943</f>
        <v>0</v>
      </c>
      <c r="AG131" s="39">
        <f>資料儲存!H6943</f>
        <v>0</v>
      </c>
      <c r="AH131" s="39">
        <f>資料儲存!I6943</f>
        <v>0</v>
      </c>
      <c r="AI131" s="39">
        <f>資料儲存!J6943</f>
        <v>0</v>
      </c>
      <c r="AJ131" s="58"/>
      <c r="AK131" s="62">
        <v>42</v>
      </c>
      <c r="AL131" s="39">
        <f>資料儲存!D7183</f>
        <v>0</v>
      </c>
      <c r="AM131" s="39">
        <f>資料儲存!E7183</f>
        <v>0</v>
      </c>
      <c r="AN131" s="39">
        <f>資料儲存!F7183</f>
        <v>0</v>
      </c>
      <c r="AO131" s="39">
        <f>資料儲存!G7183</f>
        <v>0</v>
      </c>
      <c r="AP131" s="39">
        <f>資料儲存!H7183</f>
        <v>0</v>
      </c>
      <c r="AQ131" s="39">
        <f>資料儲存!I7183</f>
        <v>0</v>
      </c>
      <c r="AR131" s="39">
        <f>資料儲存!J7183</f>
        <v>0</v>
      </c>
      <c r="AT131" s="62">
        <v>42</v>
      </c>
      <c r="AU131" s="39">
        <f>資料儲存!D7423</f>
        <v>0</v>
      </c>
      <c r="AV131" s="39">
        <f>資料儲存!E7423</f>
        <v>0</v>
      </c>
      <c r="AW131" s="39">
        <f>資料儲存!F7423</f>
        <v>0</v>
      </c>
      <c r="AX131" s="39">
        <f>資料儲存!G7423</f>
        <v>0</v>
      </c>
      <c r="AY131" s="39">
        <f>資料儲存!H7423</f>
        <v>0</v>
      </c>
      <c r="AZ131" s="39">
        <f>資料儲存!I7423</f>
        <v>0</v>
      </c>
      <c r="BA131" s="39">
        <f>資料儲存!J7423</f>
        <v>0</v>
      </c>
    </row>
    <row r="132" spans="1:53" s="59" customFormat="1" ht="16" thickBot="1">
      <c r="A132" s="62">
        <v>43</v>
      </c>
      <c r="B132" s="39">
        <f>資料儲存!D6224</f>
        <v>0</v>
      </c>
      <c r="C132" s="39">
        <f>資料儲存!E6224</f>
        <v>0</v>
      </c>
      <c r="D132" s="39">
        <f>資料儲存!F6224</f>
        <v>0</v>
      </c>
      <c r="E132" s="39">
        <f>資料儲存!G6224</f>
        <v>0</v>
      </c>
      <c r="F132" s="39">
        <f>資料儲存!H6224</f>
        <v>0</v>
      </c>
      <c r="G132" s="39">
        <f>資料儲存!I6224</f>
        <v>0</v>
      </c>
      <c r="H132" s="39">
        <f>資料儲存!J6224</f>
        <v>0</v>
      </c>
      <c r="I132" s="58"/>
      <c r="J132" s="62">
        <v>43</v>
      </c>
      <c r="K132" s="39">
        <f>資料儲存!D6464</f>
        <v>0</v>
      </c>
      <c r="L132" s="39">
        <f>資料儲存!E6464</f>
        <v>0</v>
      </c>
      <c r="M132" s="39">
        <f>資料儲存!F6464</f>
        <v>0</v>
      </c>
      <c r="N132" s="39">
        <f>資料儲存!G6464</f>
        <v>0</v>
      </c>
      <c r="O132" s="39">
        <f>資料儲存!H6464</f>
        <v>0</v>
      </c>
      <c r="P132" s="39">
        <f>資料儲存!I6464</f>
        <v>0</v>
      </c>
      <c r="Q132" s="39">
        <f>資料儲存!J6464</f>
        <v>0</v>
      </c>
      <c r="R132" s="58"/>
      <c r="S132" s="62">
        <v>43</v>
      </c>
      <c r="T132" s="39">
        <f>資料儲存!D6704</f>
        <v>0</v>
      </c>
      <c r="U132" s="39">
        <f>資料儲存!E6704</f>
        <v>0</v>
      </c>
      <c r="V132" s="39">
        <f>資料儲存!F6704</f>
        <v>0</v>
      </c>
      <c r="W132" s="39">
        <f>資料儲存!G6704</f>
        <v>0</v>
      </c>
      <c r="X132" s="39">
        <f>資料儲存!H6704</f>
        <v>0</v>
      </c>
      <c r="Y132" s="39">
        <f>資料儲存!I6704</f>
        <v>0</v>
      </c>
      <c r="Z132" s="39">
        <f>資料儲存!J6704</f>
        <v>0</v>
      </c>
      <c r="AA132" s="58"/>
      <c r="AB132" s="62">
        <v>43</v>
      </c>
      <c r="AC132" s="39">
        <f>資料儲存!D6944</f>
        <v>0</v>
      </c>
      <c r="AD132" s="39">
        <f>資料儲存!E6944</f>
        <v>0</v>
      </c>
      <c r="AE132" s="39">
        <f>資料儲存!F6944</f>
        <v>0</v>
      </c>
      <c r="AF132" s="39">
        <f>資料儲存!G6944</f>
        <v>0</v>
      </c>
      <c r="AG132" s="39">
        <f>資料儲存!H6944</f>
        <v>0</v>
      </c>
      <c r="AH132" s="39">
        <f>資料儲存!I6944</f>
        <v>0</v>
      </c>
      <c r="AI132" s="39">
        <f>資料儲存!J6944</f>
        <v>0</v>
      </c>
      <c r="AJ132" s="58"/>
      <c r="AK132" s="62">
        <v>43</v>
      </c>
      <c r="AL132" s="39">
        <f>資料儲存!D7184</f>
        <v>0</v>
      </c>
      <c r="AM132" s="39">
        <f>資料儲存!E7184</f>
        <v>0</v>
      </c>
      <c r="AN132" s="39">
        <f>資料儲存!F7184</f>
        <v>0</v>
      </c>
      <c r="AO132" s="39">
        <f>資料儲存!G7184</f>
        <v>0</v>
      </c>
      <c r="AP132" s="39">
        <f>資料儲存!H7184</f>
        <v>0</v>
      </c>
      <c r="AQ132" s="39">
        <f>資料儲存!I7184</f>
        <v>0</v>
      </c>
      <c r="AR132" s="39">
        <f>資料儲存!J7184</f>
        <v>0</v>
      </c>
      <c r="AT132" s="62">
        <v>43</v>
      </c>
      <c r="AU132" s="39">
        <f>資料儲存!D7424</f>
        <v>0</v>
      </c>
      <c r="AV132" s="39">
        <f>資料儲存!E7424</f>
        <v>0</v>
      </c>
      <c r="AW132" s="39">
        <f>資料儲存!F7424</f>
        <v>0</v>
      </c>
      <c r="AX132" s="39">
        <f>資料儲存!G7424</f>
        <v>0</v>
      </c>
      <c r="AY132" s="39">
        <f>資料儲存!H7424</f>
        <v>0</v>
      </c>
      <c r="AZ132" s="39">
        <f>資料儲存!I7424</f>
        <v>0</v>
      </c>
      <c r="BA132" s="39">
        <f>資料儲存!J7424</f>
        <v>0</v>
      </c>
    </row>
    <row r="133" spans="1:53" s="59" customFormat="1" ht="16" thickBot="1">
      <c r="A133" s="62">
        <v>44</v>
      </c>
      <c r="B133" s="39">
        <f>資料儲存!D6225</f>
        <v>0</v>
      </c>
      <c r="C133" s="39">
        <f>資料儲存!E6225</f>
        <v>0</v>
      </c>
      <c r="D133" s="39">
        <f>資料儲存!F6225</f>
        <v>0</v>
      </c>
      <c r="E133" s="39">
        <f>資料儲存!G6225</f>
        <v>0</v>
      </c>
      <c r="F133" s="39">
        <f>資料儲存!H6225</f>
        <v>0</v>
      </c>
      <c r="G133" s="39">
        <f>資料儲存!I6225</f>
        <v>0</v>
      </c>
      <c r="H133" s="39">
        <f>資料儲存!J6225</f>
        <v>0</v>
      </c>
      <c r="I133" s="58"/>
      <c r="J133" s="62">
        <v>44</v>
      </c>
      <c r="K133" s="39">
        <f>資料儲存!D6465</f>
        <v>0</v>
      </c>
      <c r="L133" s="39">
        <f>資料儲存!E6465</f>
        <v>0</v>
      </c>
      <c r="M133" s="39">
        <f>資料儲存!F6465</f>
        <v>0</v>
      </c>
      <c r="N133" s="39">
        <f>資料儲存!G6465</f>
        <v>0</v>
      </c>
      <c r="O133" s="39">
        <f>資料儲存!H6465</f>
        <v>0</v>
      </c>
      <c r="P133" s="39">
        <f>資料儲存!I6465</f>
        <v>0</v>
      </c>
      <c r="Q133" s="39">
        <f>資料儲存!J6465</f>
        <v>0</v>
      </c>
      <c r="R133" s="58"/>
      <c r="S133" s="62">
        <v>44</v>
      </c>
      <c r="T133" s="39">
        <f>資料儲存!D6705</f>
        <v>0</v>
      </c>
      <c r="U133" s="39">
        <f>資料儲存!E6705</f>
        <v>0</v>
      </c>
      <c r="V133" s="39">
        <f>資料儲存!F6705</f>
        <v>0</v>
      </c>
      <c r="W133" s="39">
        <f>資料儲存!G6705</f>
        <v>0</v>
      </c>
      <c r="X133" s="39">
        <f>資料儲存!H6705</f>
        <v>0</v>
      </c>
      <c r="Y133" s="39">
        <f>資料儲存!I6705</f>
        <v>0</v>
      </c>
      <c r="Z133" s="39">
        <f>資料儲存!J6705</f>
        <v>0</v>
      </c>
      <c r="AA133" s="58"/>
      <c r="AB133" s="62">
        <v>44</v>
      </c>
      <c r="AC133" s="39">
        <f>資料儲存!D6945</f>
        <v>0</v>
      </c>
      <c r="AD133" s="39">
        <f>資料儲存!E6945</f>
        <v>0</v>
      </c>
      <c r="AE133" s="39">
        <f>資料儲存!F6945</f>
        <v>0</v>
      </c>
      <c r="AF133" s="39">
        <f>資料儲存!G6945</f>
        <v>0</v>
      </c>
      <c r="AG133" s="39">
        <f>資料儲存!H6945</f>
        <v>0</v>
      </c>
      <c r="AH133" s="39">
        <f>資料儲存!I6945</f>
        <v>0</v>
      </c>
      <c r="AI133" s="39">
        <f>資料儲存!J6945</f>
        <v>0</v>
      </c>
      <c r="AJ133" s="58"/>
      <c r="AK133" s="62">
        <v>44</v>
      </c>
      <c r="AL133" s="39">
        <f>資料儲存!D7185</f>
        <v>0</v>
      </c>
      <c r="AM133" s="39">
        <f>資料儲存!E7185</f>
        <v>0</v>
      </c>
      <c r="AN133" s="39">
        <f>資料儲存!F7185</f>
        <v>0</v>
      </c>
      <c r="AO133" s="39">
        <f>資料儲存!G7185</f>
        <v>0</v>
      </c>
      <c r="AP133" s="39">
        <f>資料儲存!H7185</f>
        <v>0</v>
      </c>
      <c r="AQ133" s="39">
        <f>資料儲存!I7185</f>
        <v>0</v>
      </c>
      <c r="AR133" s="39">
        <f>資料儲存!J7185</f>
        <v>0</v>
      </c>
      <c r="AT133" s="62">
        <v>44</v>
      </c>
      <c r="AU133" s="39">
        <f>資料儲存!D7425</f>
        <v>0</v>
      </c>
      <c r="AV133" s="39">
        <f>資料儲存!E7425</f>
        <v>0</v>
      </c>
      <c r="AW133" s="39">
        <f>資料儲存!F7425</f>
        <v>0</v>
      </c>
      <c r="AX133" s="39">
        <f>資料儲存!G7425</f>
        <v>0</v>
      </c>
      <c r="AY133" s="39">
        <f>資料儲存!H7425</f>
        <v>0</v>
      </c>
      <c r="AZ133" s="39">
        <f>資料儲存!I7425</f>
        <v>0</v>
      </c>
      <c r="BA133" s="39">
        <f>資料儲存!J7425</f>
        <v>0</v>
      </c>
    </row>
    <row r="134" spans="1:53" s="59" customFormat="1" ht="16" thickBot="1">
      <c r="A134" s="62">
        <v>45</v>
      </c>
      <c r="B134" s="39">
        <f>資料儲存!D6226</f>
        <v>0</v>
      </c>
      <c r="C134" s="39">
        <f>資料儲存!E6226</f>
        <v>0</v>
      </c>
      <c r="D134" s="39">
        <f>資料儲存!F6226</f>
        <v>0</v>
      </c>
      <c r="E134" s="39">
        <f>資料儲存!G6226</f>
        <v>0</v>
      </c>
      <c r="F134" s="39">
        <f>資料儲存!H6226</f>
        <v>0</v>
      </c>
      <c r="G134" s="39">
        <f>資料儲存!I6226</f>
        <v>0</v>
      </c>
      <c r="H134" s="39">
        <f>資料儲存!J6226</f>
        <v>0</v>
      </c>
      <c r="I134" s="58"/>
      <c r="J134" s="62">
        <v>45</v>
      </c>
      <c r="K134" s="39">
        <f>資料儲存!D6466</f>
        <v>0</v>
      </c>
      <c r="L134" s="39">
        <f>資料儲存!E6466</f>
        <v>0</v>
      </c>
      <c r="M134" s="39">
        <f>資料儲存!F6466</f>
        <v>0</v>
      </c>
      <c r="N134" s="39">
        <f>資料儲存!G6466</f>
        <v>0</v>
      </c>
      <c r="O134" s="39">
        <f>資料儲存!H6466</f>
        <v>0</v>
      </c>
      <c r="P134" s="39">
        <f>資料儲存!I6466</f>
        <v>0</v>
      </c>
      <c r="Q134" s="39">
        <f>資料儲存!J6466</f>
        <v>0</v>
      </c>
      <c r="R134" s="58"/>
      <c r="S134" s="62">
        <v>45</v>
      </c>
      <c r="T134" s="39">
        <f>資料儲存!D6706</f>
        <v>0</v>
      </c>
      <c r="U134" s="39">
        <f>資料儲存!E6706</f>
        <v>0</v>
      </c>
      <c r="V134" s="39">
        <f>資料儲存!F6706</f>
        <v>0</v>
      </c>
      <c r="W134" s="39">
        <f>資料儲存!G6706</f>
        <v>0</v>
      </c>
      <c r="X134" s="39">
        <f>資料儲存!H6706</f>
        <v>0</v>
      </c>
      <c r="Y134" s="39">
        <f>資料儲存!I6706</f>
        <v>0</v>
      </c>
      <c r="Z134" s="39">
        <f>資料儲存!J6706</f>
        <v>0</v>
      </c>
      <c r="AA134" s="58"/>
      <c r="AB134" s="62">
        <v>45</v>
      </c>
      <c r="AC134" s="39">
        <f>資料儲存!D6946</f>
        <v>0</v>
      </c>
      <c r="AD134" s="39">
        <f>資料儲存!E6946</f>
        <v>0</v>
      </c>
      <c r="AE134" s="39">
        <f>資料儲存!F6946</f>
        <v>0</v>
      </c>
      <c r="AF134" s="39">
        <f>資料儲存!G6946</f>
        <v>0</v>
      </c>
      <c r="AG134" s="39">
        <f>資料儲存!H6946</f>
        <v>0</v>
      </c>
      <c r="AH134" s="39">
        <f>資料儲存!I6946</f>
        <v>0</v>
      </c>
      <c r="AI134" s="39">
        <f>資料儲存!J6946</f>
        <v>0</v>
      </c>
      <c r="AJ134" s="58"/>
      <c r="AK134" s="62">
        <v>45</v>
      </c>
      <c r="AL134" s="39">
        <f>資料儲存!D7186</f>
        <v>0</v>
      </c>
      <c r="AM134" s="39">
        <f>資料儲存!E7186</f>
        <v>0</v>
      </c>
      <c r="AN134" s="39">
        <f>資料儲存!F7186</f>
        <v>0</v>
      </c>
      <c r="AO134" s="39">
        <f>資料儲存!G7186</f>
        <v>0</v>
      </c>
      <c r="AP134" s="39">
        <f>資料儲存!H7186</f>
        <v>0</v>
      </c>
      <c r="AQ134" s="39">
        <f>資料儲存!I7186</f>
        <v>0</v>
      </c>
      <c r="AR134" s="39">
        <f>資料儲存!J7186</f>
        <v>0</v>
      </c>
      <c r="AT134" s="62">
        <v>45</v>
      </c>
      <c r="AU134" s="39">
        <f>資料儲存!D7426</f>
        <v>0</v>
      </c>
      <c r="AV134" s="39">
        <f>資料儲存!E7426</f>
        <v>0</v>
      </c>
      <c r="AW134" s="39">
        <f>資料儲存!F7426</f>
        <v>0</v>
      </c>
      <c r="AX134" s="39">
        <f>資料儲存!G7426</f>
        <v>0</v>
      </c>
      <c r="AY134" s="39">
        <f>資料儲存!H7426</f>
        <v>0</v>
      </c>
      <c r="AZ134" s="39">
        <f>資料儲存!I7426</f>
        <v>0</v>
      </c>
      <c r="BA134" s="39">
        <f>資料儲存!J7426</f>
        <v>0</v>
      </c>
    </row>
    <row r="135" spans="1:53" s="59" customFormat="1" ht="17.25" customHeight="1" thickBot="1">
      <c r="A135" s="40" t="s">
        <v>56</v>
      </c>
      <c r="B135" s="39">
        <f>SUM(B120:E134)</f>
        <v>0</v>
      </c>
      <c r="C135" s="37"/>
      <c r="D135" s="37"/>
      <c r="E135" s="37"/>
      <c r="F135" s="39">
        <f>F134</f>
        <v>0</v>
      </c>
      <c r="G135" s="39">
        <f>G134</f>
        <v>0</v>
      </c>
      <c r="H135" s="39">
        <f>H134</f>
        <v>0</v>
      </c>
      <c r="I135" s="35"/>
      <c r="J135" s="40" t="s">
        <v>56</v>
      </c>
      <c r="K135" s="39">
        <f>SUM(K120:N134)</f>
        <v>0</v>
      </c>
      <c r="L135" s="37"/>
      <c r="M135" s="37"/>
      <c r="N135" s="37"/>
      <c r="O135" s="39">
        <f>O134</f>
        <v>0</v>
      </c>
      <c r="P135" s="39">
        <f>P134</f>
        <v>0</v>
      </c>
      <c r="Q135" s="39">
        <f>Q134</f>
        <v>0</v>
      </c>
      <c r="R135" s="35"/>
      <c r="S135" s="40" t="s">
        <v>56</v>
      </c>
      <c r="T135" s="39">
        <f>SUM(T120:W134)</f>
        <v>0</v>
      </c>
      <c r="U135" s="37"/>
      <c r="V135" s="37"/>
      <c r="W135" s="37"/>
      <c r="X135" s="39">
        <f>X134</f>
        <v>0</v>
      </c>
      <c r="Y135" s="39">
        <f>Y134</f>
        <v>0</v>
      </c>
      <c r="Z135" s="39">
        <f>Z134</f>
        <v>0</v>
      </c>
      <c r="AA135" s="35"/>
      <c r="AB135" s="40" t="s">
        <v>56</v>
      </c>
      <c r="AC135" s="39">
        <f>SUM(AC120:AF134)</f>
        <v>0</v>
      </c>
      <c r="AD135" s="37"/>
      <c r="AE135" s="37"/>
      <c r="AF135" s="37"/>
      <c r="AG135" s="39">
        <f>AG134</f>
        <v>0</v>
      </c>
      <c r="AH135" s="39">
        <f>AH134</f>
        <v>0</v>
      </c>
      <c r="AI135" s="39">
        <f>AI134</f>
        <v>0</v>
      </c>
      <c r="AJ135" s="35"/>
      <c r="AK135" s="40" t="s">
        <v>56</v>
      </c>
      <c r="AL135" s="39">
        <f>SUM(AL120:AO134)</f>
        <v>0</v>
      </c>
      <c r="AM135" s="37"/>
      <c r="AN135" s="37"/>
      <c r="AO135" s="37"/>
      <c r="AP135" s="39">
        <f>AP134</f>
        <v>0</v>
      </c>
      <c r="AQ135" s="39">
        <f>AQ134</f>
        <v>0</v>
      </c>
      <c r="AR135" s="39">
        <f>AR134</f>
        <v>0</v>
      </c>
      <c r="AT135" s="40" t="s">
        <v>56</v>
      </c>
      <c r="AU135" s="39">
        <f>SUM(AU120:AX134)</f>
        <v>0</v>
      </c>
      <c r="AV135" s="37"/>
      <c r="AW135" s="37"/>
      <c r="AX135" s="37"/>
      <c r="AY135" s="39">
        <f>AY134</f>
        <v>0</v>
      </c>
      <c r="AZ135" s="39">
        <f>AZ134</f>
        <v>0</v>
      </c>
      <c r="BA135" s="39">
        <f>BA134</f>
        <v>0</v>
      </c>
    </row>
    <row r="136" spans="1:53" ht="18.5" thickBot="1">
      <c r="A136" s="257" t="s">
        <v>114</v>
      </c>
      <c r="B136" s="258"/>
      <c r="C136" s="258"/>
      <c r="D136" s="258"/>
      <c r="E136" s="258"/>
      <c r="F136" s="258"/>
      <c r="G136" s="258"/>
      <c r="H136" s="259"/>
      <c r="I136" s="14"/>
      <c r="J136" s="257" t="s">
        <v>114</v>
      </c>
      <c r="K136" s="258"/>
      <c r="L136" s="258"/>
      <c r="M136" s="258"/>
      <c r="N136" s="258"/>
      <c r="O136" s="258"/>
      <c r="P136" s="258"/>
      <c r="Q136" s="259"/>
      <c r="R136" s="14"/>
      <c r="S136" s="257" t="s">
        <v>114</v>
      </c>
      <c r="T136" s="258"/>
      <c r="U136" s="258"/>
      <c r="V136" s="258"/>
      <c r="W136" s="258"/>
      <c r="X136" s="258"/>
      <c r="Y136" s="258"/>
      <c r="Z136" s="259"/>
      <c r="AA136" s="14"/>
      <c r="AB136" s="257" t="s">
        <v>114</v>
      </c>
      <c r="AC136" s="258"/>
      <c r="AD136" s="258"/>
      <c r="AE136" s="258"/>
      <c r="AF136" s="258"/>
      <c r="AG136" s="258"/>
      <c r="AH136" s="258"/>
      <c r="AI136" s="259"/>
      <c r="AJ136" s="14"/>
      <c r="AK136" s="257" t="s">
        <v>114</v>
      </c>
      <c r="AL136" s="258"/>
      <c r="AM136" s="258"/>
      <c r="AN136" s="258"/>
      <c r="AO136" s="258"/>
      <c r="AP136" s="258"/>
      <c r="AQ136" s="258"/>
      <c r="AR136" s="259"/>
      <c r="AT136" s="257" t="s">
        <v>114</v>
      </c>
      <c r="AU136" s="258"/>
      <c r="AV136" s="258"/>
      <c r="AW136" s="258"/>
      <c r="AX136" s="258"/>
      <c r="AY136" s="258"/>
      <c r="AZ136" s="258"/>
      <c r="BA136" s="259"/>
    </row>
    <row r="137" spans="1:53" s="67" customFormat="1" ht="17.25" customHeight="1" thickBot="1">
      <c r="A137" s="63" t="s">
        <v>2</v>
      </c>
      <c r="B137" s="64" t="s">
        <v>46</v>
      </c>
      <c r="C137" s="65"/>
      <c r="D137" s="65"/>
      <c r="E137" s="66"/>
      <c r="F137" s="64" t="s">
        <v>47</v>
      </c>
      <c r="G137" s="65"/>
      <c r="H137" s="66"/>
      <c r="I137" s="52"/>
      <c r="J137" s="63" t="s">
        <v>2</v>
      </c>
      <c r="K137" s="64" t="s">
        <v>46</v>
      </c>
      <c r="L137" s="65"/>
      <c r="M137" s="65"/>
      <c r="N137" s="66"/>
      <c r="O137" s="64" t="s">
        <v>47</v>
      </c>
      <c r="P137" s="65"/>
      <c r="Q137" s="66"/>
      <c r="R137" s="52"/>
      <c r="S137" s="63" t="s">
        <v>2</v>
      </c>
      <c r="T137" s="64" t="s">
        <v>46</v>
      </c>
      <c r="U137" s="65"/>
      <c r="V137" s="65"/>
      <c r="W137" s="66"/>
      <c r="X137" s="64" t="s">
        <v>47</v>
      </c>
      <c r="Y137" s="65"/>
      <c r="Z137" s="66"/>
      <c r="AA137" s="52"/>
      <c r="AB137" s="63" t="s">
        <v>2</v>
      </c>
      <c r="AC137" s="64" t="s">
        <v>46</v>
      </c>
      <c r="AD137" s="65"/>
      <c r="AE137" s="65"/>
      <c r="AF137" s="66"/>
      <c r="AG137" s="64" t="s">
        <v>47</v>
      </c>
      <c r="AH137" s="65"/>
      <c r="AI137" s="66"/>
      <c r="AJ137" s="52"/>
      <c r="AK137" s="63" t="s">
        <v>2</v>
      </c>
      <c r="AL137" s="64" t="s">
        <v>46</v>
      </c>
      <c r="AM137" s="65"/>
      <c r="AN137" s="65"/>
      <c r="AO137" s="66"/>
      <c r="AP137" s="64" t="s">
        <v>47</v>
      </c>
      <c r="AQ137" s="65"/>
      <c r="AR137" s="66"/>
      <c r="AT137" s="63" t="s">
        <v>2</v>
      </c>
      <c r="AU137" s="64" t="s">
        <v>46</v>
      </c>
      <c r="AV137" s="65"/>
      <c r="AW137" s="65"/>
      <c r="AX137" s="66"/>
      <c r="AY137" s="64" t="s">
        <v>47</v>
      </c>
      <c r="AZ137" s="65"/>
      <c r="BA137" s="66"/>
    </row>
    <row r="138" spans="1:53" s="67" customFormat="1" ht="16" thickBot="1">
      <c r="A138" s="68">
        <v>0.73958333333333337</v>
      </c>
      <c r="B138" s="69" t="s">
        <v>49</v>
      </c>
      <c r="C138" s="69" t="s">
        <v>50</v>
      </c>
      <c r="D138" s="69" t="s">
        <v>51</v>
      </c>
      <c r="E138" s="69" t="s">
        <v>52</v>
      </c>
      <c r="F138" s="69" t="s">
        <v>53</v>
      </c>
      <c r="G138" s="69" t="s">
        <v>54</v>
      </c>
      <c r="H138" s="69" t="s">
        <v>55</v>
      </c>
      <c r="I138" s="52"/>
      <c r="J138" s="68">
        <v>0.73958333333333337</v>
      </c>
      <c r="K138" s="69" t="s">
        <v>49</v>
      </c>
      <c r="L138" s="69" t="s">
        <v>50</v>
      </c>
      <c r="M138" s="69" t="s">
        <v>51</v>
      </c>
      <c r="N138" s="69" t="s">
        <v>52</v>
      </c>
      <c r="O138" s="69" t="s">
        <v>53</v>
      </c>
      <c r="P138" s="69" t="s">
        <v>54</v>
      </c>
      <c r="Q138" s="69" t="s">
        <v>55</v>
      </c>
      <c r="R138" s="52"/>
      <c r="S138" s="68">
        <v>0.73958333333333337</v>
      </c>
      <c r="T138" s="69" t="s">
        <v>49</v>
      </c>
      <c r="U138" s="69" t="s">
        <v>50</v>
      </c>
      <c r="V138" s="69" t="s">
        <v>51</v>
      </c>
      <c r="W138" s="69" t="s">
        <v>52</v>
      </c>
      <c r="X138" s="69" t="s">
        <v>53</v>
      </c>
      <c r="Y138" s="69" t="s">
        <v>54</v>
      </c>
      <c r="Z138" s="69" t="s">
        <v>55</v>
      </c>
      <c r="AA138" s="52"/>
      <c r="AB138" s="68">
        <v>0.73958333333333337</v>
      </c>
      <c r="AC138" s="69" t="s">
        <v>49</v>
      </c>
      <c r="AD138" s="69" t="s">
        <v>50</v>
      </c>
      <c r="AE138" s="69" t="s">
        <v>51</v>
      </c>
      <c r="AF138" s="69" t="s">
        <v>52</v>
      </c>
      <c r="AG138" s="69" t="s">
        <v>53</v>
      </c>
      <c r="AH138" s="69" t="s">
        <v>54</v>
      </c>
      <c r="AI138" s="69" t="s">
        <v>55</v>
      </c>
      <c r="AJ138" s="52"/>
      <c r="AK138" s="68">
        <v>0.73958333333333337</v>
      </c>
      <c r="AL138" s="69" t="s">
        <v>49</v>
      </c>
      <c r="AM138" s="69" t="s">
        <v>50</v>
      </c>
      <c r="AN138" s="69" t="s">
        <v>51</v>
      </c>
      <c r="AO138" s="69" t="s">
        <v>52</v>
      </c>
      <c r="AP138" s="69" t="s">
        <v>53</v>
      </c>
      <c r="AQ138" s="69" t="s">
        <v>54</v>
      </c>
      <c r="AR138" s="69" t="s">
        <v>55</v>
      </c>
      <c r="AT138" s="68">
        <v>0.73958333333333337</v>
      </c>
      <c r="AU138" s="69" t="s">
        <v>49</v>
      </c>
      <c r="AV138" s="69" t="s">
        <v>50</v>
      </c>
      <c r="AW138" s="69" t="s">
        <v>51</v>
      </c>
      <c r="AX138" s="69" t="s">
        <v>52</v>
      </c>
      <c r="AY138" s="69" t="s">
        <v>53</v>
      </c>
      <c r="AZ138" s="69" t="s">
        <v>54</v>
      </c>
      <c r="BA138" s="69" t="s">
        <v>55</v>
      </c>
    </row>
    <row r="139" spans="1:53" s="67" customFormat="1" ht="16" thickBot="1">
      <c r="A139" s="70">
        <v>46</v>
      </c>
      <c r="B139" s="49">
        <f>資料儲存!D6227</f>
        <v>0</v>
      </c>
      <c r="C139" s="49">
        <f>資料儲存!E6227</f>
        <v>0</v>
      </c>
      <c r="D139" s="49">
        <f>資料儲存!F6227</f>
        <v>0</v>
      </c>
      <c r="E139" s="49">
        <f>資料儲存!G6227</f>
        <v>0</v>
      </c>
      <c r="F139" s="49">
        <f>資料儲存!H6227</f>
        <v>0</v>
      </c>
      <c r="G139" s="49">
        <f>資料儲存!I6227</f>
        <v>0</v>
      </c>
      <c r="H139" s="49">
        <f>資料儲存!J6227</f>
        <v>0</v>
      </c>
      <c r="I139" s="52"/>
      <c r="J139" s="70">
        <v>46</v>
      </c>
      <c r="K139" s="49">
        <f>資料儲存!D6467</f>
        <v>0</v>
      </c>
      <c r="L139" s="49">
        <f>資料儲存!E6467</f>
        <v>0</v>
      </c>
      <c r="M139" s="49">
        <f>資料儲存!F6467</f>
        <v>0</v>
      </c>
      <c r="N139" s="49">
        <f>資料儲存!G6467</f>
        <v>0</v>
      </c>
      <c r="O139" s="49">
        <f>資料儲存!H6467</f>
        <v>0</v>
      </c>
      <c r="P139" s="49">
        <f>資料儲存!I6467</f>
        <v>0</v>
      </c>
      <c r="Q139" s="49">
        <f>資料儲存!J6467</f>
        <v>0</v>
      </c>
      <c r="R139" s="52"/>
      <c r="S139" s="70">
        <v>46</v>
      </c>
      <c r="T139" s="49">
        <f>資料儲存!D6707</f>
        <v>0</v>
      </c>
      <c r="U139" s="49">
        <f>資料儲存!E6707</f>
        <v>0</v>
      </c>
      <c r="V139" s="49">
        <f>資料儲存!F6707</f>
        <v>0</v>
      </c>
      <c r="W139" s="49">
        <f>資料儲存!G6707</f>
        <v>0</v>
      </c>
      <c r="X139" s="49">
        <f>資料儲存!H6707</f>
        <v>0</v>
      </c>
      <c r="Y139" s="49">
        <f>資料儲存!I6707</f>
        <v>0</v>
      </c>
      <c r="Z139" s="49">
        <f>資料儲存!J6707</f>
        <v>0</v>
      </c>
      <c r="AA139" s="52"/>
      <c r="AB139" s="70">
        <v>46</v>
      </c>
      <c r="AC139" s="49">
        <f>資料儲存!D6947</f>
        <v>0</v>
      </c>
      <c r="AD139" s="49">
        <f>資料儲存!E6947</f>
        <v>0</v>
      </c>
      <c r="AE139" s="49">
        <f>資料儲存!F6947</f>
        <v>0</v>
      </c>
      <c r="AF139" s="49">
        <f>資料儲存!G6947</f>
        <v>0</v>
      </c>
      <c r="AG139" s="49">
        <f>資料儲存!H6947</f>
        <v>0</v>
      </c>
      <c r="AH139" s="49">
        <f>資料儲存!I6947</f>
        <v>0</v>
      </c>
      <c r="AI139" s="49">
        <f>資料儲存!J6947</f>
        <v>0</v>
      </c>
      <c r="AJ139" s="52"/>
      <c r="AK139" s="70">
        <v>46</v>
      </c>
      <c r="AL139" s="49">
        <f>資料儲存!D7187</f>
        <v>0</v>
      </c>
      <c r="AM139" s="49">
        <f>資料儲存!E7187</f>
        <v>0</v>
      </c>
      <c r="AN139" s="49">
        <f>資料儲存!F7187</f>
        <v>0</v>
      </c>
      <c r="AO139" s="49">
        <f>資料儲存!G7187</f>
        <v>0</v>
      </c>
      <c r="AP139" s="49">
        <f>資料儲存!H7187</f>
        <v>0</v>
      </c>
      <c r="AQ139" s="49">
        <f>資料儲存!I7187</f>
        <v>0</v>
      </c>
      <c r="AR139" s="49">
        <f>資料儲存!J7187</f>
        <v>0</v>
      </c>
      <c r="AT139" s="70">
        <v>46</v>
      </c>
      <c r="AU139" s="49">
        <f>資料儲存!D7427</f>
        <v>0</v>
      </c>
      <c r="AV139" s="49">
        <f>資料儲存!E7427</f>
        <v>0</v>
      </c>
      <c r="AW139" s="49">
        <f>資料儲存!F7427</f>
        <v>0</v>
      </c>
      <c r="AX139" s="49">
        <f>資料儲存!G7427</f>
        <v>0</v>
      </c>
      <c r="AY139" s="49">
        <f>資料儲存!H7427</f>
        <v>0</v>
      </c>
      <c r="AZ139" s="49">
        <f>資料儲存!I7427</f>
        <v>0</v>
      </c>
      <c r="BA139" s="49">
        <f>資料儲存!J7427</f>
        <v>0</v>
      </c>
    </row>
    <row r="140" spans="1:53" s="67" customFormat="1" ht="16" thickBot="1">
      <c r="A140" s="70">
        <v>47</v>
      </c>
      <c r="B140" s="49">
        <f>資料儲存!D6228</f>
        <v>0</v>
      </c>
      <c r="C140" s="49">
        <f>資料儲存!E6228</f>
        <v>0</v>
      </c>
      <c r="D140" s="49">
        <f>資料儲存!F6228</f>
        <v>0</v>
      </c>
      <c r="E140" s="49">
        <f>資料儲存!G6228</f>
        <v>0</v>
      </c>
      <c r="F140" s="49">
        <f>資料儲存!H6228</f>
        <v>0</v>
      </c>
      <c r="G140" s="49">
        <f>資料儲存!I6228</f>
        <v>0</v>
      </c>
      <c r="H140" s="49">
        <f>資料儲存!J6228</f>
        <v>0</v>
      </c>
      <c r="I140" s="52"/>
      <c r="J140" s="70">
        <v>47</v>
      </c>
      <c r="K140" s="49">
        <f>資料儲存!D6468</f>
        <v>0</v>
      </c>
      <c r="L140" s="49">
        <f>資料儲存!E6468</f>
        <v>0</v>
      </c>
      <c r="M140" s="49">
        <f>資料儲存!F6468</f>
        <v>0</v>
      </c>
      <c r="N140" s="49">
        <f>資料儲存!G6468</f>
        <v>0</v>
      </c>
      <c r="O140" s="49">
        <f>資料儲存!H6468</f>
        <v>0</v>
      </c>
      <c r="P140" s="49">
        <f>資料儲存!I6468</f>
        <v>0</v>
      </c>
      <c r="Q140" s="49">
        <f>資料儲存!J6468</f>
        <v>0</v>
      </c>
      <c r="R140" s="52"/>
      <c r="S140" s="70">
        <v>47</v>
      </c>
      <c r="T140" s="49">
        <f>資料儲存!D6708</f>
        <v>0</v>
      </c>
      <c r="U140" s="49">
        <f>資料儲存!E6708</f>
        <v>0</v>
      </c>
      <c r="V140" s="49">
        <f>資料儲存!F6708</f>
        <v>0</v>
      </c>
      <c r="W140" s="49">
        <f>資料儲存!G6708</f>
        <v>0</v>
      </c>
      <c r="X140" s="49">
        <f>資料儲存!H6708</f>
        <v>0</v>
      </c>
      <c r="Y140" s="49">
        <f>資料儲存!I6708</f>
        <v>0</v>
      </c>
      <c r="Z140" s="49">
        <f>資料儲存!J6708</f>
        <v>0</v>
      </c>
      <c r="AA140" s="52"/>
      <c r="AB140" s="70">
        <v>47</v>
      </c>
      <c r="AC140" s="49">
        <f>資料儲存!D6948</f>
        <v>0</v>
      </c>
      <c r="AD140" s="49">
        <f>資料儲存!E6948</f>
        <v>0</v>
      </c>
      <c r="AE140" s="49">
        <f>資料儲存!F6948</f>
        <v>0</v>
      </c>
      <c r="AF140" s="49">
        <f>資料儲存!G6948</f>
        <v>0</v>
      </c>
      <c r="AG140" s="49">
        <f>資料儲存!H6948</f>
        <v>0</v>
      </c>
      <c r="AH140" s="49">
        <f>資料儲存!I6948</f>
        <v>0</v>
      </c>
      <c r="AI140" s="49">
        <f>資料儲存!J6948</f>
        <v>0</v>
      </c>
      <c r="AJ140" s="52"/>
      <c r="AK140" s="70">
        <v>47</v>
      </c>
      <c r="AL140" s="49">
        <f>資料儲存!D7188</f>
        <v>0</v>
      </c>
      <c r="AM140" s="49">
        <f>資料儲存!E7188</f>
        <v>0</v>
      </c>
      <c r="AN140" s="49">
        <f>資料儲存!F7188</f>
        <v>0</v>
      </c>
      <c r="AO140" s="49">
        <f>資料儲存!G7188</f>
        <v>0</v>
      </c>
      <c r="AP140" s="49">
        <f>資料儲存!H7188</f>
        <v>0</v>
      </c>
      <c r="AQ140" s="49">
        <f>資料儲存!I7188</f>
        <v>0</v>
      </c>
      <c r="AR140" s="49">
        <f>資料儲存!J7188</f>
        <v>0</v>
      </c>
      <c r="AT140" s="70">
        <v>47</v>
      </c>
      <c r="AU140" s="49">
        <f>資料儲存!D7428</f>
        <v>0</v>
      </c>
      <c r="AV140" s="49">
        <f>資料儲存!E7428</f>
        <v>0</v>
      </c>
      <c r="AW140" s="49">
        <f>資料儲存!F7428</f>
        <v>0</v>
      </c>
      <c r="AX140" s="49">
        <f>資料儲存!G7428</f>
        <v>0</v>
      </c>
      <c r="AY140" s="49">
        <f>資料儲存!H7428</f>
        <v>0</v>
      </c>
      <c r="AZ140" s="49">
        <f>資料儲存!I7428</f>
        <v>0</v>
      </c>
      <c r="BA140" s="49">
        <f>資料儲存!J7428</f>
        <v>0</v>
      </c>
    </row>
    <row r="141" spans="1:53" s="67" customFormat="1" ht="16" thickBot="1">
      <c r="A141" s="70">
        <v>48</v>
      </c>
      <c r="B141" s="49">
        <f>資料儲存!D6229</f>
        <v>0</v>
      </c>
      <c r="C141" s="49">
        <f>資料儲存!E6229</f>
        <v>0</v>
      </c>
      <c r="D141" s="49">
        <f>資料儲存!F6229</f>
        <v>0</v>
      </c>
      <c r="E141" s="49">
        <f>資料儲存!G6229</f>
        <v>0</v>
      </c>
      <c r="F141" s="49">
        <f>資料儲存!H6229</f>
        <v>0</v>
      </c>
      <c r="G141" s="49">
        <f>資料儲存!I6229</f>
        <v>0</v>
      </c>
      <c r="H141" s="49">
        <f>資料儲存!J6229</f>
        <v>0</v>
      </c>
      <c r="I141" s="52"/>
      <c r="J141" s="70">
        <v>48</v>
      </c>
      <c r="K141" s="49">
        <f>資料儲存!D6469</f>
        <v>0</v>
      </c>
      <c r="L141" s="49">
        <f>資料儲存!E6469</f>
        <v>0</v>
      </c>
      <c r="M141" s="49">
        <f>資料儲存!F6469</f>
        <v>0</v>
      </c>
      <c r="N141" s="49">
        <f>資料儲存!G6469</f>
        <v>0</v>
      </c>
      <c r="O141" s="49">
        <f>資料儲存!H6469</f>
        <v>0</v>
      </c>
      <c r="P141" s="49">
        <f>資料儲存!I6469</f>
        <v>0</v>
      </c>
      <c r="Q141" s="49">
        <f>資料儲存!J6469</f>
        <v>0</v>
      </c>
      <c r="R141" s="52"/>
      <c r="S141" s="70">
        <v>48</v>
      </c>
      <c r="T141" s="49">
        <f>資料儲存!D6709</f>
        <v>0</v>
      </c>
      <c r="U141" s="49">
        <f>資料儲存!E6709</f>
        <v>0</v>
      </c>
      <c r="V141" s="49">
        <f>資料儲存!F6709</f>
        <v>0</v>
      </c>
      <c r="W141" s="49">
        <f>資料儲存!G6709</f>
        <v>0</v>
      </c>
      <c r="X141" s="49">
        <f>資料儲存!H6709</f>
        <v>0</v>
      </c>
      <c r="Y141" s="49">
        <f>資料儲存!I6709</f>
        <v>0</v>
      </c>
      <c r="Z141" s="49">
        <f>資料儲存!J6709</f>
        <v>0</v>
      </c>
      <c r="AA141" s="52"/>
      <c r="AB141" s="70">
        <v>48</v>
      </c>
      <c r="AC141" s="49">
        <f>資料儲存!D6949</f>
        <v>0</v>
      </c>
      <c r="AD141" s="49">
        <f>資料儲存!E6949</f>
        <v>0</v>
      </c>
      <c r="AE141" s="49">
        <f>資料儲存!F6949</f>
        <v>0</v>
      </c>
      <c r="AF141" s="49">
        <f>資料儲存!G6949</f>
        <v>0</v>
      </c>
      <c r="AG141" s="49">
        <f>資料儲存!H6949</f>
        <v>0</v>
      </c>
      <c r="AH141" s="49">
        <f>資料儲存!I6949</f>
        <v>0</v>
      </c>
      <c r="AI141" s="49">
        <f>資料儲存!J6949</f>
        <v>0</v>
      </c>
      <c r="AJ141" s="52"/>
      <c r="AK141" s="70">
        <v>48</v>
      </c>
      <c r="AL141" s="49">
        <f>資料儲存!D7189</f>
        <v>0</v>
      </c>
      <c r="AM141" s="49">
        <f>資料儲存!E7189</f>
        <v>0</v>
      </c>
      <c r="AN141" s="49">
        <f>資料儲存!F7189</f>
        <v>0</v>
      </c>
      <c r="AO141" s="49">
        <f>資料儲存!G7189</f>
        <v>0</v>
      </c>
      <c r="AP141" s="49">
        <f>資料儲存!H7189</f>
        <v>0</v>
      </c>
      <c r="AQ141" s="49">
        <f>資料儲存!I7189</f>
        <v>0</v>
      </c>
      <c r="AR141" s="49">
        <f>資料儲存!J7189</f>
        <v>0</v>
      </c>
      <c r="AT141" s="70">
        <v>48</v>
      </c>
      <c r="AU141" s="49">
        <f>資料儲存!D7429</f>
        <v>0</v>
      </c>
      <c r="AV141" s="49">
        <f>資料儲存!E7429</f>
        <v>0</v>
      </c>
      <c r="AW141" s="49">
        <f>資料儲存!F7429</f>
        <v>0</v>
      </c>
      <c r="AX141" s="49">
        <f>資料儲存!G7429</f>
        <v>0</v>
      </c>
      <c r="AY141" s="49">
        <f>資料儲存!H7429</f>
        <v>0</v>
      </c>
      <c r="AZ141" s="49">
        <f>資料儲存!I7429</f>
        <v>0</v>
      </c>
      <c r="BA141" s="49">
        <f>資料儲存!J7429</f>
        <v>0</v>
      </c>
    </row>
    <row r="142" spans="1:53" s="67" customFormat="1" ht="16" thickBot="1">
      <c r="A142" s="70">
        <v>49</v>
      </c>
      <c r="B142" s="49">
        <f>資料儲存!D6230</f>
        <v>0</v>
      </c>
      <c r="C142" s="49">
        <f>資料儲存!E6230</f>
        <v>0</v>
      </c>
      <c r="D142" s="49">
        <f>資料儲存!F6230</f>
        <v>0</v>
      </c>
      <c r="E142" s="49">
        <f>資料儲存!G6230</f>
        <v>0</v>
      </c>
      <c r="F142" s="49">
        <f>資料儲存!H6230</f>
        <v>0</v>
      </c>
      <c r="G142" s="49">
        <f>資料儲存!I6230</f>
        <v>0</v>
      </c>
      <c r="H142" s="49">
        <f>資料儲存!J6230</f>
        <v>0</v>
      </c>
      <c r="I142" s="52"/>
      <c r="J142" s="70">
        <v>49</v>
      </c>
      <c r="K142" s="49">
        <f>資料儲存!D6470</f>
        <v>0</v>
      </c>
      <c r="L142" s="49">
        <f>資料儲存!E6470</f>
        <v>0</v>
      </c>
      <c r="M142" s="49">
        <f>資料儲存!F6470</f>
        <v>0</v>
      </c>
      <c r="N142" s="49">
        <f>資料儲存!G6470</f>
        <v>0</v>
      </c>
      <c r="O142" s="49">
        <f>資料儲存!H6470</f>
        <v>0</v>
      </c>
      <c r="P142" s="49">
        <f>資料儲存!I6470</f>
        <v>0</v>
      </c>
      <c r="Q142" s="49">
        <f>資料儲存!J6470</f>
        <v>0</v>
      </c>
      <c r="R142" s="52"/>
      <c r="S142" s="70">
        <v>49</v>
      </c>
      <c r="T142" s="49">
        <f>資料儲存!D6710</f>
        <v>0</v>
      </c>
      <c r="U142" s="49">
        <f>資料儲存!E6710</f>
        <v>0</v>
      </c>
      <c r="V142" s="49">
        <f>資料儲存!F6710</f>
        <v>0</v>
      </c>
      <c r="W142" s="49">
        <f>資料儲存!G6710</f>
        <v>0</v>
      </c>
      <c r="X142" s="49">
        <f>資料儲存!H6710</f>
        <v>0</v>
      </c>
      <c r="Y142" s="49">
        <f>資料儲存!I6710</f>
        <v>0</v>
      </c>
      <c r="Z142" s="49">
        <f>資料儲存!J6710</f>
        <v>0</v>
      </c>
      <c r="AA142" s="52"/>
      <c r="AB142" s="70">
        <v>49</v>
      </c>
      <c r="AC142" s="49">
        <f>資料儲存!D6950</f>
        <v>0</v>
      </c>
      <c r="AD142" s="49">
        <f>資料儲存!E6950</f>
        <v>0</v>
      </c>
      <c r="AE142" s="49">
        <f>資料儲存!F6950</f>
        <v>0</v>
      </c>
      <c r="AF142" s="49">
        <f>資料儲存!G6950</f>
        <v>0</v>
      </c>
      <c r="AG142" s="49">
        <f>資料儲存!H6950</f>
        <v>0</v>
      </c>
      <c r="AH142" s="49">
        <f>資料儲存!I6950</f>
        <v>0</v>
      </c>
      <c r="AI142" s="49">
        <f>資料儲存!J6950</f>
        <v>0</v>
      </c>
      <c r="AJ142" s="52"/>
      <c r="AK142" s="70">
        <v>49</v>
      </c>
      <c r="AL142" s="49">
        <f>資料儲存!D7190</f>
        <v>0</v>
      </c>
      <c r="AM142" s="49">
        <f>資料儲存!E7190</f>
        <v>0</v>
      </c>
      <c r="AN142" s="49">
        <f>資料儲存!F7190</f>
        <v>0</v>
      </c>
      <c r="AO142" s="49">
        <f>資料儲存!G7190</f>
        <v>0</v>
      </c>
      <c r="AP142" s="49">
        <f>資料儲存!H7190</f>
        <v>0</v>
      </c>
      <c r="AQ142" s="49">
        <f>資料儲存!I7190</f>
        <v>0</v>
      </c>
      <c r="AR142" s="49">
        <f>資料儲存!J7190</f>
        <v>0</v>
      </c>
      <c r="AT142" s="70">
        <v>49</v>
      </c>
      <c r="AU142" s="49">
        <f>資料儲存!D7430</f>
        <v>0</v>
      </c>
      <c r="AV142" s="49">
        <f>資料儲存!E7430</f>
        <v>0</v>
      </c>
      <c r="AW142" s="49">
        <f>資料儲存!F7430</f>
        <v>0</v>
      </c>
      <c r="AX142" s="49">
        <f>資料儲存!G7430</f>
        <v>0</v>
      </c>
      <c r="AY142" s="49">
        <f>資料儲存!H7430</f>
        <v>0</v>
      </c>
      <c r="AZ142" s="49">
        <f>資料儲存!I7430</f>
        <v>0</v>
      </c>
      <c r="BA142" s="49">
        <f>資料儲存!J7430</f>
        <v>0</v>
      </c>
    </row>
    <row r="143" spans="1:53" s="67" customFormat="1" ht="16" thickBot="1">
      <c r="A143" s="70">
        <v>50</v>
      </c>
      <c r="B143" s="49">
        <f>資料儲存!D6231</f>
        <v>0</v>
      </c>
      <c r="C143" s="49">
        <f>資料儲存!E6231</f>
        <v>0</v>
      </c>
      <c r="D143" s="49">
        <f>資料儲存!F6231</f>
        <v>0</v>
      </c>
      <c r="E143" s="49">
        <f>資料儲存!G6231</f>
        <v>0</v>
      </c>
      <c r="F143" s="49">
        <f>資料儲存!H6231</f>
        <v>0</v>
      </c>
      <c r="G143" s="49">
        <f>資料儲存!I6231</f>
        <v>0</v>
      </c>
      <c r="H143" s="49">
        <f>資料儲存!J6231</f>
        <v>0</v>
      </c>
      <c r="I143" s="52"/>
      <c r="J143" s="70">
        <v>50</v>
      </c>
      <c r="K143" s="49">
        <f>資料儲存!D6471</f>
        <v>0</v>
      </c>
      <c r="L143" s="49">
        <f>資料儲存!E6471</f>
        <v>0</v>
      </c>
      <c r="M143" s="49">
        <f>資料儲存!F6471</f>
        <v>0</v>
      </c>
      <c r="N143" s="49">
        <f>資料儲存!G6471</f>
        <v>0</v>
      </c>
      <c r="O143" s="49">
        <f>資料儲存!H6471</f>
        <v>0</v>
      </c>
      <c r="P143" s="49">
        <f>資料儲存!I6471</f>
        <v>0</v>
      </c>
      <c r="Q143" s="49">
        <f>資料儲存!J6471</f>
        <v>0</v>
      </c>
      <c r="R143" s="52"/>
      <c r="S143" s="70">
        <v>50</v>
      </c>
      <c r="T143" s="49">
        <f>資料儲存!D6711</f>
        <v>0</v>
      </c>
      <c r="U143" s="49">
        <f>資料儲存!E6711</f>
        <v>0</v>
      </c>
      <c r="V143" s="49">
        <f>資料儲存!F6711</f>
        <v>0</v>
      </c>
      <c r="W143" s="49">
        <f>資料儲存!G6711</f>
        <v>0</v>
      </c>
      <c r="X143" s="49">
        <f>資料儲存!H6711</f>
        <v>0</v>
      </c>
      <c r="Y143" s="49">
        <f>資料儲存!I6711</f>
        <v>0</v>
      </c>
      <c r="Z143" s="49">
        <f>資料儲存!J6711</f>
        <v>0</v>
      </c>
      <c r="AA143" s="52"/>
      <c r="AB143" s="70">
        <v>50</v>
      </c>
      <c r="AC143" s="49">
        <f>資料儲存!D6951</f>
        <v>0</v>
      </c>
      <c r="AD143" s="49">
        <f>資料儲存!E6951</f>
        <v>0</v>
      </c>
      <c r="AE143" s="49">
        <f>資料儲存!F6951</f>
        <v>0</v>
      </c>
      <c r="AF143" s="49">
        <f>資料儲存!G6951</f>
        <v>0</v>
      </c>
      <c r="AG143" s="49">
        <f>資料儲存!H6951</f>
        <v>0</v>
      </c>
      <c r="AH143" s="49">
        <f>資料儲存!I6951</f>
        <v>0</v>
      </c>
      <c r="AI143" s="49">
        <f>資料儲存!J6951</f>
        <v>0</v>
      </c>
      <c r="AJ143" s="52"/>
      <c r="AK143" s="70">
        <v>50</v>
      </c>
      <c r="AL143" s="49">
        <f>資料儲存!D7191</f>
        <v>0</v>
      </c>
      <c r="AM143" s="49">
        <f>資料儲存!E7191</f>
        <v>0</v>
      </c>
      <c r="AN143" s="49">
        <f>資料儲存!F7191</f>
        <v>0</v>
      </c>
      <c r="AO143" s="49">
        <f>資料儲存!G7191</f>
        <v>0</v>
      </c>
      <c r="AP143" s="49">
        <f>資料儲存!H7191</f>
        <v>0</v>
      </c>
      <c r="AQ143" s="49">
        <f>資料儲存!I7191</f>
        <v>0</v>
      </c>
      <c r="AR143" s="49">
        <f>資料儲存!J7191</f>
        <v>0</v>
      </c>
      <c r="AT143" s="70">
        <v>50</v>
      </c>
      <c r="AU143" s="49">
        <f>資料儲存!D7431</f>
        <v>0</v>
      </c>
      <c r="AV143" s="49">
        <f>資料儲存!E7431</f>
        <v>0</v>
      </c>
      <c r="AW143" s="49">
        <f>資料儲存!F7431</f>
        <v>0</v>
      </c>
      <c r="AX143" s="49">
        <f>資料儲存!G7431</f>
        <v>0</v>
      </c>
      <c r="AY143" s="49">
        <f>資料儲存!H7431</f>
        <v>0</v>
      </c>
      <c r="AZ143" s="49">
        <f>資料儲存!I7431</f>
        <v>0</v>
      </c>
      <c r="BA143" s="49">
        <f>資料儲存!J7431</f>
        <v>0</v>
      </c>
    </row>
    <row r="144" spans="1:53" s="67" customFormat="1" ht="16" thickBot="1">
      <c r="A144" s="70">
        <v>51</v>
      </c>
      <c r="B144" s="49">
        <f>資料儲存!D6232</f>
        <v>0</v>
      </c>
      <c r="C144" s="49">
        <f>資料儲存!E6232</f>
        <v>0</v>
      </c>
      <c r="D144" s="49">
        <f>資料儲存!F6232</f>
        <v>0</v>
      </c>
      <c r="E144" s="49">
        <f>資料儲存!G6232</f>
        <v>0</v>
      </c>
      <c r="F144" s="49">
        <f>資料儲存!H6232</f>
        <v>0</v>
      </c>
      <c r="G144" s="49">
        <f>資料儲存!I6232</f>
        <v>0</v>
      </c>
      <c r="H144" s="49">
        <f>資料儲存!J6232</f>
        <v>0</v>
      </c>
      <c r="I144" s="52"/>
      <c r="J144" s="70">
        <v>51</v>
      </c>
      <c r="K144" s="49">
        <f>資料儲存!D6472</f>
        <v>0</v>
      </c>
      <c r="L144" s="49">
        <f>資料儲存!E6472</f>
        <v>0</v>
      </c>
      <c r="M144" s="49">
        <f>資料儲存!F6472</f>
        <v>0</v>
      </c>
      <c r="N144" s="49">
        <f>資料儲存!G6472</f>
        <v>0</v>
      </c>
      <c r="O144" s="49">
        <f>資料儲存!H6472</f>
        <v>0</v>
      </c>
      <c r="P144" s="49">
        <f>資料儲存!I6472</f>
        <v>0</v>
      </c>
      <c r="Q144" s="49">
        <f>資料儲存!J6472</f>
        <v>0</v>
      </c>
      <c r="R144" s="52"/>
      <c r="S144" s="70">
        <v>51</v>
      </c>
      <c r="T144" s="49">
        <f>資料儲存!D6712</f>
        <v>0</v>
      </c>
      <c r="U144" s="49">
        <f>資料儲存!E6712</f>
        <v>0</v>
      </c>
      <c r="V144" s="49">
        <f>資料儲存!F6712</f>
        <v>0</v>
      </c>
      <c r="W144" s="49">
        <f>資料儲存!G6712</f>
        <v>0</v>
      </c>
      <c r="X144" s="49">
        <f>資料儲存!H6712</f>
        <v>0</v>
      </c>
      <c r="Y144" s="49">
        <f>資料儲存!I6712</f>
        <v>0</v>
      </c>
      <c r="Z144" s="49">
        <f>資料儲存!J6712</f>
        <v>0</v>
      </c>
      <c r="AA144" s="52"/>
      <c r="AB144" s="70">
        <v>51</v>
      </c>
      <c r="AC144" s="49">
        <f>資料儲存!D6952</f>
        <v>0</v>
      </c>
      <c r="AD144" s="49">
        <f>資料儲存!E6952</f>
        <v>0</v>
      </c>
      <c r="AE144" s="49">
        <f>資料儲存!F6952</f>
        <v>0</v>
      </c>
      <c r="AF144" s="49">
        <f>資料儲存!G6952</f>
        <v>0</v>
      </c>
      <c r="AG144" s="49">
        <f>資料儲存!H6952</f>
        <v>0</v>
      </c>
      <c r="AH144" s="49">
        <f>資料儲存!I6952</f>
        <v>0</v>
      </c>
      <c r="AI144" s="49">
        <f>資料儲存!J6952</f>
        <v>0</v>
      </c>
      <c r="AJ144" s="52"/>
      <c r="AK144" s="70">
        <v>51</v>
      </c>
      <c r="AL144" s="49">
        <f>資料儲存!D7192</f>
        <v>0</v>
      </c>
      <c r="AM144" s="49">
        <f>資料儲存!E7192</f>
        <v>0</v>
      </c>
      <c r="AN144" s="49">
        <f>資料儲存!F7192</f>
        <v>0</v>
      </c>
      <c r="AO144" s="49">
        <f>資料儲存!G7192</f>
        <v>0</v>
      </c>
      <c r="AP144" s="49">
        <f>資料儲存!H7192</f>
        <v>0</v>
      </c>
      <c r="AQ144" s="49">
        <f>資料儲存!I7192</f>
        <v>0</v>
      </c>
      <c r="AR144" s="49">
        <f>資料儲存!J7192</f>
        <v>0</v>
      </c>
      <c r="AT144" s="70">
        <v>51</v>
      </c>
      <c r="AU144" s="49">
        <f>資料儲存!D7432</f>
        <v>0</v>
      </c>
      <c r="AV144" s="49">
        <f>資料儲存!E7432</f>
        <v>0</v>
      </c>
      <c r="AW144" s="49">
        <f>資料儲存!F7432</f>
        <v>0</v>
      </c>
      <c r="AX144" s="49">
        <f>資料儲存!G7432</f>
        <v>0</v>
      </c>
      <c r="AY144" s="49">
        <f>資料儲存!H7432</f>
        <v>0</v>
      </c>
      <c r="AZ144" s="49">
        <f>資料儲存!I7432</f>
        <v>0</v>
      </c>
      <c r="BA144" s="49">
        <f>資料儲存!J7432</f>
        <v>0</v>
      </c>
    </row>
    <row r="145" spans="1:53" s="67" customFormat="1" ht="16" thickBot="1">
      <c r="A145" s="70">
        <v>52</v>
      </c>
      <c r="B145" s="49">
        <f>資料儲存!D6233</f>
        <v>0</v>
      </c>
      <c r="C145" s="49">
        <f>資料儲存!E6233</f>
        <v>0</v>
      </c>
      <c r="D145" s="49">
        <f>資料儲存!F6233</f>
        <v>0</v>
      </c>
      <c r="E145" s="49">
        <f>資料儲存!G6233</f>
        <v>0</v>
      </c>
      <c r="F145" s="49">
        <f>資料儲存!H6233</f>
        <v>0</v>
      </c>
      <c r="G145" s="49">
        <f>資料儲存!I6233</f>
        <v>0</v>
      </c>
      <c r="H145" s="49">
        <f>資料儲存!J6233</f>
        <v>0</v>
      </c>
      <c r="I145" s="52"/>
      <c r="J145" s="70">
        <v>52</v>
      </c>
      <c r="K145" s="49">
        <f>資料儲存!D6473</f>
        <v>0</v>
      </c>
      <c r="L145" s="49">
        <f>資料儲存!E6473</f>
        <v>0</v>
      </c>
      <c r="M145" s="49">
        <f>資料儲存!F6473</f>
        <v>0</v>
      </c>
      <c r="N145" s="49">
        <f>資料儲存!G6473</f>
        <v>0</v>
      </c>
      <c r="O145" s="49">
        <f>資料儲存!H6473</f>
        <v>0</v>
      </c>
      <c r="P145" s="49">
        <f>資料儲存!I6473</f>
        <v>0</v>
      </c>
      <c r="Q145" s="49">
        <f>資料儲存!J6473</f>
        <v>0</v>
      </c>
      <c r="R145" s="52"/>
      <c r="S145" s="70">
        <v>52</v>
      </c>
      <c r="T145" s="49">
        <f>資料儲存!D6713</f>
        <v>0</v>
      </c>
      <c r="U145" s="49">
        <f>資料儲存!E6713</f>
        <v>0</v>
      </c>
      <c r="V145" s="49">
        <f>資料儲存!F6713</f>
        <v>0</v>
      </c>
      <c r="W145" s="49">
        <f>資料儲存!G6713</f>
        <v>0</v>
      </c>
      <c r="X145" s="49">
        <f>資料儲存!H6713</f>
        <v>0</v>
      </c>
      <c r="Y145" s="49">
        <f>資料儲存!I6713</f>
        <v>0</v>
      </c>
      <c r="Z145" s="49">
        <f>資料儲存!J6713</f>
        <v>0</v>
      </c>
      <c r="AA145" s="52"/>
      <c r="AB145" s="70">
        <v>52</v>
      </c>
      <c r="AC145" s="49">
        <f>資料儲存!D6953</f>
        <v>0</v>
      </c>
      <c r="AD145" s="49">
        <f>資料儲存!E6953</f>
        <v>0</v>
      </c>
      <c r="AE145" s="49">
        <f>資料儲存!F6953</f>
        <v>0</v>
      </c>
      <c r="AF145" s="49">
        <f>資料儲存!G6953</f>
        <v>0</v>
      </c>
      <c r="AG145" s="49">
        <f>資料儲存!H6953</f>
        <v>0</v>
      </c>
      <c r="AH145" s="49">
        <f>資料儲存!I6953</f>
        <v>0</v>
      </c>
      <c r="AI145" s="49">
        <f>資料儲存!J6953</f>
        <v>0</v>
      </c>
      <c r="AJ145" s="52"/>
      <c r="AK145" s="70">
        <v>52</v>
      </c>
      <c r="AL145" s="49">
        <f>資料儲存!D7193</f>
        <v>0</v>
      </c>
      <c r="AM145" s="49">
        <f>資料儲存!E7193</f>
        <v>0</v>
      </c>
      <c r="AN145" s="49">
        <f>資料儲存!F7193</f>
        <v>0</v>
      </c>
      <c r="AO145" s="49">
        <f>資料儲存!G7193</f>
        <v>0</v>
      </c>
      <c r="AP145" s="49">
        <f>資料儲存!H7193</f>
        <v>0</v>
      </c>
      <c r="AQ145" s="49">
        <f>資料儲存!I7193</f>
        <v>0</v>
      </c>
      <c r="AR145" s="49">
        <f>資料儲存!J7193</f>
        <v>0</v>
      </c>
      <c r="AT145" s="70">
        <v>52</v>
      </c>
      <c r="AU145" s="49">
        <f>資料儲存!D7433</f>
        <v>0</v>
      </c>
      <c r="AV145" s="49">
        <f>資料儲存!E7433</f>
        <v>0</v>
      </c>
      <c r="AW145" s="49">
        <f>資料儲存!F7433</f>
        <v>0</v>
      </c>
      <c r="AX145" s="49">
        <f>資料儲存!G7433</f>
        <v>0</v>
      </c>
      <c r="AY145" s="49">
        <f>資料儲存!H7433</f>
        <v>0</v>
      </c>
      <c r="AZ145" s="49">
        <f>資料儲存!I7433</f>
        <v>0</v>
      </c>
      <c r="BA145" s="49">
        <f>資料儲存!J7433</f>
        <v>0</v>
      </c>
    </row>
    <row r="146" spans="1:53" s="67" customFormat="1" ht="16" thickBot="1">
      <c r="A146" s="70">
        <v>53</v>
      </c>
      <c r="B146" s="49">
        <f>資料儲存!D6234</f>
        <v>0</v>
      </c>
      <c r="C146" s="49">
        <f>資料儲存!E6234</f>
        <v>0</v>
      </c>
      <c r="D146" s="49">
        <f>資料儲存!F6234</f>
        <v>0</v>
      </c>
      <c r="E146" s="49">
        <f>資料儲存!G6234</f>
        <v>0</v>
      </c>
      <c r="F146" s="49">
        <f>資料儲存!H6234</f>
        <v>0</v>
      </c>
      <c r="G146" s="49">
        <f>資料儲存!I6234</f>
        <v>0</v>
      </c>
      <c r="H146" s="49">
        <f>資料儲存!J6234</f>
        <v>0</v>
      </c>
      <c r="I146" s="52"/>
      <c r="J146" s="70">
        <v>53</v>
      </c>
      <c r="K146" s="49">
        <f>資料儲存!D6474</f>
        <v>0</v>
      </c>
      <c r="L146" s="49">
        <f>資料儲存!E6474</f>
        <v>0</v>
      </c>
      <c r="M146" s="49">
        <f>資料儲存!F6474</f>
        <v>0</v>
      </c>
      <c r="N146" s="49">
        <f>資料儲存!G6474</f>
        <v>0</v>
      </c>
      <c r="O146" s="49">
        <f>資料儲存!H6474</f>
        <v>0</v>
      </c>
      <c r="P146" s="49">
        <f>資料儲存!I6474</f>
        <v>0</v>
      </c>
      <c r="Q146" s="49">
        <f>資料儲存!J6474</f>
        <v>0</v>
      </c>
      <c r="R146" s="52"/>
      <c r="S146" s="70">
        <v>53</v>
      </c>
      <c r="T146" s="49">
        <f>資料儲存!D6714</f>
        <v>0</v>
      </c>
      <c r="U146" s="49">
        <f>資料儲存!E6714</f>
        <v>0</v>
      </c>
      <c r="V146" s="49">
        <f>資料儲存!F6714</f>
        <v>0</v>
      </c>
      <c r="W146" s="49">
        <f>資料儲存!G6714</f>
        <v>0</v>
      </c>
      <c r="X146" s="49">
        <f>資料儲存!H6714</f>
        <v>0</v>
      </c>
      <c r="Y146" s="49">
        <f>資料儲存!I6714</f>
        <v>0</v>
      </c>
      <c r="Z146" s="49">
        <f>資料儲存!J6714</f>
        <v>0</v>
      </c>
      <c r="AA146" s="52"/>
      <c r="AB146" s="70">
        <v>53</v>
      </c>
      <c r="AC146" s="49">
        <f>資料儲存!D6954</f>
        <v>0</v>
      </c>
      <c r="AD146" s="49">
        <f>資料儲存!E6954</f>
        <v>0</v>
      </c>
      <c r="AE146" s="49">
        <f>資料儲存!F6954</f>
        <v>0</v>
      </c>
      <c r="AF146" s="49">
        <f>資料儲存!G6954</f>
        <v>0</v>
      </c>
      <c r="AG146" s="49">
        <f>資料儲存!H6954</f>
        <v>0</v>
      </c>
      <c r="AH146" s="49">
        <f>資料儲存!I6954</f>
        <v>0</v>
      </c>
      <c r="AI146" s="49">
        <f>資料儲存!J6954</f>
        <v>0</v>
      </c>
      <c r="AJ146" s="52"/>
      <c r="AK146" s="70">
        <v>53</v>
      </c>
      <c r="AL146" s="49">
        <f>資料儲存!D7194</f>
        <v>0</v>
      </c>
      <c r="AM146" s="49">
        <f>資料儲存!E7194</f>
        <v>0</v>
      </c>
      <c r="AN146" s="49">
        <f>資料儲存!F7194</f>
        <v>0</v>
      </c>
      <c r="AO146" s="49">
        <f>資料儲存!G7194</f>
        <v>0</v>
      </c>
      <c r="AP146" s="49">
        <f>資料儲存!H7194</f>
        <v>0</v>
      </c>
      <c r="AQ146" s="49">
        <f>資料儲存!I7194</f>
        <v>0</v>
      </c>
      <c r="AR146" s="49">
        <f>資料儲存!J7194</f>
        <v>0</v>
      </c>
      <c r="AT146" s="70">
        <v>53</v>
      </c>
      <c r="AU146" s="49">
        <f>資料儲存!D7434</f>
        <v>0</v>
      </c>
      <c r="AV146" s="49">
        <f>資料儲存!E7434</f>
        <v>0</v>
      </c>
      <c r="AW146" s="49">
        <f>資料儲存!F7434</f>
        <v>0</v>
      </c>
      <c r="AX146" s="49">
        <f>資料儲存!G7434</f>
        <v>0</v>
      </c>
      <c r="AY146" s="49">
        <f>資料儲存!H7434</f>
        <v>0</v>
      </c>
      <c r="AZ146" s="49">
        <f>資料儲存!I7434</f>
        <v>0</v>
      </c>
      <c r="BA146" s="49">
        <f>資料儲存!J7434</f>
        <v>0</v>
      </c>
    </row>
    <row r="147" spans="1:53" s="67" customFormat="1" ht="16" thickBot="1">
      <c r="A147" s="70">
        <v>54</v>
      </c>
      <c r="B147" s="49">
        <f>資料儲存!D6235</f>
        <v>0</v>
      </c>
      <c r="C147" s="49">
        <f>資料儲存!E6235</f>
        <v>0</v>
      </c>
      <c r="D147" s="49">
        <f>資料儲存!F6235</f>
        <v>0</v>
      </c>
      <c r="E147" s="49">
        <f>資料儲存!G6235</f>
        <v>0</v>
      </c>
      <c r="F147" s="49">
        <f>資料儲存!H6235</f>
        <v>0</v>
      </c>
      <c r="G147" s="49">
        <f>資料儲存!I6235</f>
        <v>0</v>
      </c>
      <c r="H147" s="49">
        <f>資料儲存!J6235</f>
        <v>0</v>
      </c>
      <c r="I147" s="52"/>
      <c r="J147" s="70">
        <v>54</v>
      </c>
      <c r="K147" s="49">
        <f>資料儲存!D6475</f>
        <v>0</v>
      </c>
      <c r="L147" s="49">
        <f>資料儲存!E6475</f>
        <v>0</v>
      </c>
      <c r="M147" s="49">
        <f>資料儲存!F6475</f>
        <v>0</v>
      </c>
      <c r="N147" s="49">
        <f>資料儲存!G6475</f>
        <v>0</v>
      </c>
      <c r="O147" s="49">
        <f>資料儲存!H6475</f>
        <v>0</v>
      </c>
      <c r="P147" s="49">
        <f>資料儲存!I6475</f>
        <v>0</v>
      </c>
      <c r="Q147" s="49">
        <f>資料儲存!J6475</f>
        <v>0</v>
      </c>
      <c r="R147" s="52"/>
      <c r="S147" s="70">
        <v>54</v>
      </c>
      <c r="T147" s="49">
        <f>資料儲存!D6715</f>
        <v>0</v>
      </c>
      <c r="U147" s="49">
        <f>資料儲存!E6715</f>
        <v>0</v>
      </c>
      <c r="V147" s="49">
        <f>資料儲存!F6715</f>
        <v>0</v>
      </c>
      <c r="W147" s="49">
        <f>資料儲存!G6715</f>
        <v>0</v>
      </c>
      <c r="X147" s="49">
        <f>資料儲存!H6715</f>
        <v>0</v>
      </c>
      <c r="Y147" s="49">
        <f>資料儲存!I6715</f>
        <v>0</v>
      </c>
      <c r="Z147" s="49">
        <f>資料儲存!J6715</f>
        <v>0</v>
      </c>
      <c r="AA147" s="52"/>
      <c r="AB147" s="70">
        <v>54</v>
      </c>
      <c r="AC147" s="49">
        <f>資料儲存!D6955</f>
        <v>0</v>
      </c>
      <c r="AD147" s="49">
        <f>資料儲存!E6955</f>
        <v>0</v>
      </c>
      <c r="AE147" s="49">
        <f>資料儲存!F6955</f>
        <v>0</v>
      </c>
      <c r="AF147" s="49">
        <f>資料儲存!G6955</f>
        <v>0</v>
      </c>
      <c r="AG147" s="49">
        <f>資料儲存!H6955</f>
        <v>0</v>
      </c>
      <c r="AH147" s="49">
        <f>資料儲存!I6955</f>
        <v>0</v>
      </c>
      <c r="AI147" s="49">
        <f>資料儲存!J6955</f>
        <v>0</v>
      </c>
      <c r="AJ147" s="52"/>
      <c r="AK147" s="70">
        <v>54</v>
      </c>
      <c r="AL147" s="49">
        <f>資料儲存!D7195</f>
        <v>0</v>
      </c>
      <c r="AM147" s="49">
        <f>資料儲存!E7195</f>
        <v>0</v>
      </c>
      <c r="AN147" s="49">
        <f>資料儲存!F7195</f>
        <v>0</v>
      </c>
      <c r="AO147" s="49">
        <f>資料儲存!G7195</f>
        <v>0</v>
      </c>
      <c r="AP147" s="49">
        <f>資料儲存!H7195</f>
        <v>0</v>
      </c>
      <c r="AQ147" s="49">
        <f>資料儲存!I7195</f>
        <v>0</v>
      </c>
      <c r="AR147" s="49">
        <f>資料儲存!J7195</f>
        <v>0</v>
      </c>
      <c r="AT147" s="70">
        <v>54</v>
      </c>
      <c r="AU147" s="49">
        <f>資料儲存!D7435</f>
        <v>0</v>
      </c>
      <c r="AV147" s="49">
        <f>資料儲存!E7435</f>
        <v>0</v>
      </c>
      <c r="AW147" s="49">
        <f>資料儲存!F7435</f>
        <v>0</v>
      </c>
      <c r="AX147" s="49">
        <f>資料儲存!G7435</f>
        <v>0</v>
      </c>
      <c r="AY147" s="49">
        <f>資料儲存!H7435</f>
        <v>0</v>
      </c>
      <c r="AZ147" s="49">
        <f>資料儲存!I7435</f>
        <v>0</v>
      </c>
      <c r="BA147" s="49">
        <f>資料儲存!J7435</f>
        <v>0</v>
      </c>
    </row>
    <row r="148" spans="1:53" s="67" customFormat="1" ht="16" thickBot="1">
      <c r="A148" s="70">
        <v>55</v>
      </c>
      <c r="B148" s="49">
        <f>資料儲存!D6236</f>
        <v>0</v>
      </c>
      <c r="C148" s="49">
        <f>資料儲存!E6236</f>
        <v>0</v>
      </c>
      <c r="D148" s="49">
        <f>資料儲存!F6236</f>
        <v>0</v>
      </c>
      <c r="E148" s="49">
        <f>資料儲存!G6236</f>
        <v>0</v>
      </c>
      <c r="F148" s="49">
        <f>資料儲存!H6236</f>
        <v>0</v>
      </c>
      <c r="G148" s="49">
        <f>資料儲存!I6236</f>
        <v>0</v>
      </c>
      <c r="H148" s="49">
        <f>資料儲存!J6236</f>
        <v>0</v>
      </c>
      <c r="I148" s="52"/>
      <c r="J148" s="70">
        <v>55</v>
      </c>
      <c r="K148" s="49">
        <f>資料儲存!D6476</f>
        <v>0</v>
      </c>
      <c r="L148" s="49">
        <f>資料儲存!E6476</f>
        <v>0</v>
      </c>
      <c r="M148" s="49">
        <f>資料儲存!F6476</f>
        <v>0</v>
      </c>
      <c r="N148" s="49">
        <f>資料儲存!G6476</f>
        <v>0</v>
      </c>
      <c r="O148" s="49">
        <f>資料儲存!H6476</f>
        <v>0</v>
      </c>
      <c r="P148" s="49">
        <f>資料儲存!I6476</f>
        <v>0</v>
      </c>
      <c r="Q148" s="49">
        <f>資料儲存!J6476</f>
        <v>0</v>
      </c>
      <c r="R148" s="52"/>
      <c r="S148" s="70">
        <v>55</v>
      </c>
      <c r="T148" s="49">
        <f>資料儲存!D6716</f>
        <v>0</v>
      </c>
      <c r="U148" s="49">
        <f>資料儲存!E6716</f>
        <v>0</v>
      </c>
      <c r="V148" s="49">
        <f>資料儲存!F6716</f>
        <v>0</v>
      </c>
      <c r="W148" s="49">
        <f>資料儲存!G6716</f>
        <v>0</v>
      </c>
      <c r="X148" s="49">
        <f>資料儲存!H6716</f>
        <v>0</v>
      </c>
      <c r="Y148" s="49">
        <f>資料儲存!I6716</f>
        <v>0</v>
      </c>
      <c r="Z148" s="49">
        <f>資料儲存!J6716</f>
        <v>0</v>
      </c>
      <c r="AA148" s="52"/>
      <c r="AB148" s="70">
        <v>55</v>
      </c>
      <c r="AC148" s="49">
        <f>資料儲存!D6956</f>
        <v>0</v>
      </c>
      <c r="AD148" s="49">
        <f>資料儲存!E6956</f>
        <v>0</v>
      </c>
      <c r="AE148" s="49">
        <f>資料儲存!F6956</f>
        <v>0</v>
      </c>
      <c r="AF148" s="49">
        <f>資料儲存!G6956</f>
        <v>0</v>
      </c>
      <c r="AG148" s="49">
        <f>資料儲存!H6956</f>
        <v>0</v>
      </c>
      <c r="AH148" s="49">
        <f>資料儲存!I6956</f>
        <v>0</v>
      </c>
      <c r="AI148" s="49">
        <f>資料儲存!J6956</f>
        <v>0</v>
      </c>
      <c r="AJ148" s="52"/>
      <c r="AK148" s="70">
        <v>55</v>
      </c>
      <c r="AL148" s="49">
        <f>資料儲存!D7196</f>
        <v>0</v>
      </c>
      <c r="AM148" s="49">
        <f>資料儲存!E7196</f>
        <v>0</v>
      </c>
      <c r="AN148" s="49">
        <f>資料儲存!F7196</f>
        <v>0</v>
      </c>
      <c r="AO148" s="49">
        <f>資料儲存!G7196</f>
        <v>0</v>
      </c>
      <c r="AP148" s="49">
        <f>資料儲存!H7196</f>
        <v>0</v>
      </c>
      <c r="AQ148" s="49">
        <f>資料儲存!I7196</f>
        <v>0</v>
      </c>
      <c r="AR148" s="49">
        <f>資料儲存!J7196</f>
        <v>0</v>
      </c>
      <c r="AT148" s="70">
        <v>55</v>
      </c>
      <c r="AU148" s="49">
        <f>資料儲存!D7436</f>
        <v>0</v>
      </c>
      <c r="AV148" s="49">
        <f>資料儲存!E7436</f>
        <v>0</v>
      </c>
      <c r="AW148" s="49">
        <f>資料儲存!F7436</f>
        <v>0</v>
      </c>
      <c r="AX148" s="49">
        <f>資料儲存!G7436</f>
        <v>0</v>
      </c>
      <c r="AY148" s="49">
        <f>資料儲存!H7436</f>
        <v>0</v>
      </c>
      <c r="AZ148" s="49">
        <f>資料儲存!I7436</f>
        <v>0</v>
      </c>
      <c r="BA148" s="49">
        <f>資料儲存!J7436</f>
        <v>0</v>
      </c>
    </row>
    <row r="149" spans="1:53" s="67" customFormat="1" ht="16" thickBot="1">
      <c r="A149" s="70">
        <v>56</v>
      </c>
      <c r="B149" s="49">
        <f>資料儲存!D6237</f>
        <v>0</v>
      </c>
      <c r="C149" s="49">
        <f>資料儲存!E6237</f>
        <v>0</v>
      </c>
      <c r="D149" s="49">
        <f>資料儲存!F6237</f>
        <v>0</v>
      </c>
      <c r="E149" s="49">
        <f>資料儲存!G6237</f>
        <v>0</v>
      </c>
      <c r="F149" s="49">
        <f>資料儲存!H6237</f>
        <v>0</v>
      </c>
      <c r="G149" s="49">
        <f>資料儲存!I6237</f>
        <v>0</v>
      </c>
      <c r="H149" s="49">
        <f>資料儲存!J6237</f>
        <v>0</v>
      </c>
      <c r="I149" s="52"/>
      <c r="J149" s="70">
        <v>56</v>
      </c>
      <c r="K149" s="49">
        <f>資料儲存!D6477</f>
        <v>0</v>
      </c>
      <c r="L149" s="49">
        <f>資料儲存!E6477</f>
        <v>0</v>
      </c>
      <c r="M149" s="49">
        <f>資料儲存!F6477</f>
        <v>0</v>
      </c>
      <c r="N149" s="49">
        <f>資料儲存!G6477</f>
        <v>0</v>
      </c>
      <c r="O149" s="49">
        <f>資料儲存!H6477</f>
        <v>0</v>
      </c>
      <c r="P149" s="49">
        <f>資料儲存!I6477</f>
        <v>0</v>
      </c>
      <c r="Q149" s="49">
        <f>資料儲存!J6477</f>
        <v>0</v>
      </c>
      <c r="R149" s="52"/>
      <c r="S149" s="70">
        <v>56</v>
      </c>
      <c r="T149" s="49">
        <f>資料儲存!D6717</f>
        <v>0</v>
      </c>
      <c r="U149" s="49">
        <f>資料儲存!E6717</f>
        <v>0</v>
      </c>
      <c r="V149" s="49">
        <f>資料儲存!F6717</f>
        <v>0</v>
      </c>
      <c r="W149" s="49">
        <f>資料儲存!G6717</f>
        <v>0</v>
      </c>
      <c r="X149" s="49">
        <f>資料儲存!H6717</f>
        <v>0</v>
      </c>
      <c r="Y149" s="49">
        <f>資料儲存!I6717</f>
        <v>0</v>
      </c>
      <c r="Z149" s="49">
        <f>資料儲存!J6717</f>
        <v>0</v>
      </c>
      <c r="AA149" s="52"/>
      <c r="AB149" s="70">
        <v>56</v>
      </c>
      <c r="AC149" s="49">
        <f>資料儲存!D6957</f>
        <v>0</v>
      </c>
      <c r="AD149" s="49">
        <f>資料儲存!E6957</f>
        <v>0</v>
      </c>
      <c r="AE149" s="49">
        <f>資料儲存!F6957</f>
        <v>0</v>
      </c>
      <c r="AF149" s="49">
        <f>資料儲存!G6957</f>
        <v>0</v>
      </c>
      <c r="AG149" s="49">
        <f>資料儲存!H6957</f>
        <v>0</v>
      </c>
      <c r="AH149" s="49">
        <f>資料儲存!I6957</f>
        <v>0</v>
      </c>
      <c r="AI149" s="49">
        <f>資料儲存!J6957</f>
        <v>0</v>
      </c>
      <c r="AJ149" s="52"/>
      <c r="AK149" s="70">
        <v>56</v>
      </c>
      <c r="AL149" s="49">
        <f>資料儲存!D7197</f>
        <v>0</v>
      </c>
      <c r="AM149" s="49">
        <f>資料儲存!E7197</f>
        <v>0</v>
      </c>
      <c r="AN149" s="49">
        <f>資料儲存!F7197</f>
        <v>0</v>
      </c>
      <c r="AO149" s="49">
        <f>資料儲存!G7197</f>
        <v>0</v>
      </c>
      <c r="AP149" s="49">
        <f>資料儲存!H7197</f>
        <v>0</v>
      </c>
      <c r="AQ149" s="49">
        <f>資料儲存!I7197</f>
        <v>0</v>
      </c>
      <c r="AR149" s="49">
        <f>資料儲存!J7197</f>
        <v>0</v>
      </c>
      <c r="AT149" s="70">
        <v>56</v>
      </c>
      <c r="AU149" s="49">
        <f>資料儲存!D7437</f>
        <v>0</v>
      </c>
      <c r="AV149" s="49">
        <f>資料儲存!E7437</f>
        <v>0</v>
      </c>
      <c r="AW149" s="49">
        <f>資料儲存!F7437</f>
        <v>0</v>
      </c>
      <c r="AX149" s="49">
        <f>資料儲存!G7437</f>
        <v>0</v>
      </c>
      <c r="AY149" s="49">
        <f>資料儲存!H7437</f>
        <v>0</v>
      </c>
      <c r="AZ149" s="49">
        <f>資料儲存!I7437</f>
        <v>0</v>
      </c>
      <c r="BA149" s="49">
        <f>資料儲存!J7437</f>
        <v>0</v>
      </c>
    </row>
    <row r="150" spans="1:53" s="67" customFormat="1" ht="16" thickBot="1">
      <c r="A150" s="70">
        <v>57</v>
      </c>
      <c r="B150" s="49">
        <f>資料儲存!D6238</f>
        <v>0</v>
      </c>
      <c r="C150" s="49">
        <f>資料儲存!E6238</f>
        <v>0</v>
      </c>
      <c r="D150" s="49">
        <f>資料儲存!F6238</f>
        <v>0</v>
      </c>
      <c r="E150" s="49">
        <f>資料儲存!G6238</f>
        <v>0</v>
      </c>
      <c r="F150" s="49">
        <f>資料儲存!H6238</f>
        <v>0</v>
      </c>
      <c r="G150" s="49">
        <f>資料儲存!I6238</f>
        <v>0</v>
      </c>
      <c r="H150" s="49">
        <f>資料儲存!J6238</f>
        <v>0</v>
      </c>
      <c r="I150" s="52"/>
      <c r="J150" s="70">
        <v>57</v>
      </c>
      <c r="K150" s="49">
        <f>資料儲存!D6478</f>
        <v>0</v>
      </c>
      <c r="L150" s="49">
        <f>資料儲存!E6478</f>
        <v>0</v>
      </c>
      <c r="M150" s="49">
        <f>資料儲存!F6478</f>
        <v>0</v>
      </c>
      <c r="N150" s="49">
        <f>資料儲存!G6478</f>
        <v>0</v>
      </c>
      <c r="O150" s="49">
        <f>資料儲存!H6478</f>
        <v>0</v>
      </c>
      <c r="P150" s="49">
        <f>資料儲存!I6478</f>
        <v>0</v>
      </c>
      <c r="Q150" s="49">
        <f>資料儲存!J6478</f>
        <v>0</v>
      </c>
      <c r="R150" s="52"/>
      <c r="S150" s="70">
        <v>57</v>
      </c>
      <c r="T150" s="49">
        <f>資料儲存!D6718</f>
        <v>0</v>
      </c>
      <c r="U150" s="49">
        <f>資料儲存!E6718</f>
        <v>0</v>
      </c>
      <c r="V150" s="49">
        <f>資料儲存!F6718</f>
        <v>0</v>
      </c>
      <c r="W150" s="49">
        <f>資料儲存!G6718</f>
        <v>0</v>
      </c>
      <c r="X150" s="49">
        <f>資料儲存!H6718</f>
        <v>0</v>
      </c>
      <c r="Y150" s="49">
        <f>資料儲存!I6718</f>
        <v>0</v>
      </c>
      <c r="Z150" s="49">
        <f>資料儲存!J6718</f>
        <v>0</v>
      </c>
      <c r="AA150" s="52"/>
      <c r="AB150" s="70">
        <v>57</v>
      </c>
      <c r="AC150" s="49">
        <f>資料儲存!D6958</f>
        <v>0</v>
      </c>
      <c r="AD150" s="49">
        <f>資料儲存!E6958</f>
        <v>0</v>
      </c>
      <c r="AE150" s="49">
        <f>資料儲存!F6958</f>
        <v>0</v>
      </c>
      <c r="AF150" s="49">
        <f>資料儲存!G6958</f>
        <v>0</v>
      </c>
      <c r="AG150" s="49">
        <f>資料儲存!H6958</f>
        <v>0</v>
      </c>
      <c r="AH150" s="49">
        <f>資料儲存!I6958</f>
        <v>0</v>
      </c>
      <c r="AI150" s="49">
        <f>資料儲存!J6958</f>
        <v>0</v>
      </c>
      <c r="AJ150" s="52"/>
      <c r="AK150" s="70">
        <v>57</v>
      </c>
      <c r="AL150" s="49">
        <f>資料儲存!D7198</f>
        <v>0</v>
      </c>
      <c r="AM150" s="49">
        <f>資料儲存!E7198</f>
        <v>0</v>
      </c>
      <c r="AN150" s="49">
        <f>資料儲存!F7198</f>
        <v>0</v>
      </c>
      <c r="AO150" s="49">
        <f>資料儲存!G7198</f>
        <v>0</v>
      </c>
      <c r="AP150" s="49">
        <f>資料儲存!H7198</f>
        <v>0</v>
      </c>
      <c r="AQ150" s="49">
        <f>資料儲存!I7198</f>
        <v>0</v>
      </c>
      <c r="AR150" s="49">
        <f>資料儲存!J7198</f>
        <v>0</v>
      </c>
      <c r="AT150" s="70">
        <v>57</v>
      </c>
      <c r="AU150" s="49">
        <f>資料儲存!D7438</f>
        <v>0</v>
      </c>
      <c r="AV150" s="49">
        <f>資料儲存!E7438</f>
        <v>0</v>
      </c>
      <c r="AW150" s="49">
        <f>資料儲存!F7438</f>
        <v>0</v>
      </c>
      <c r="AX150" s="49">
        <f>資料儲存!G7438</f>
        <v>0</v>
      </c>
      <c r="AY150" s="49">
        <f>資料儲存!H7438</f>
        <v>0</v>
      </c>
      <c r="AZ150" s="49">
        <f>資料儲存!I7438</f>
        <v>0</v>
      </c>
      <c r="BA150" s="49">
        <f>資料儲存!J7438</f>
        <v>0</v>
      </c>
    </row>
    <row r="151" spans="1:53" s="67" customFormat="1" ht="16" thickBot="1">
      <c r="A151" s="70">
        <v>58</v>
      </c>
      <c r="B151" s="49">
        <f>資料儲存!D6239</f>
        <v>0</v>
      </c>
      <c r="C151" s="49">
        <f>資料儲存!E6239</f>
        <v>0</v>
      </c>
      <c r="D151" s="49">
        <f>資料儲存!F6239</f>
        <v>0</v>
      </c>
      <c r="E151" s="49">
        <f>資料儲存!G6239</f>
        <v>0</v>
      </c>
      <c r="F151" s="49">
        <f>資料儲存!H6239</f>
        <v>0</v>
      </c>
      <c r="G151" s="49">
        <f>資料儲存!I6239</f>
        <v>0</v>
      </c>
      <c r="H151" s="49">
        <f>資料儲存!J6239</f>
        <v>0</v>
      </c>
      <c r="I151" s="52"/>
      <c r="J151" s="70">
        <v>58</v>
      </c>
      <c r="K151" s="49">
        <f>資料儲存!D6479</f>
        <v>0</v>
      </c>
      <c r="L151" s="49">
        <f>資料儲存!E6479</f>
        <v>0</v>
      </c>
      <c r="M151" s="49">
        <f>資料儲存!F6479</f>
        <v>0</v>
      </c>
      <c r="N151" s="49">
        <f>資料儲存!G6479</f>
        <v>0</v>
      </c>
      <c r="O151" s="49">
        <f>資料儲存!H6479</f>
        <v>0</v>
      </c>
      <c r="P151" s="49">
        <f>資料儲存!I6479</f>
        <v>0</v>
      </c>
      <c r="Q151" s="49">
        <f>資料儲存!J6479</f>
        <v>0</v>
      </c>
      <c r="R151" s="52"/>
      <c r="S151" s="70">
        <v>58</v>
      </c>
      <c r="T151" s="49">
        <f>資料儲存!D6719</f>
        <v>0</v>
      </c>
      <c r="U151" s="49">
        <f>資料儲存!E6719</f>
        <v>0</v>
      </c>
      <c r="V151" s="49">
        <f>資料儲存!F6719</f>
        <v>0</v>
      </c>
      <c r="W151" s="49">
        <f>資料儲存!G6719</f>
        <v>0</v>
      </c>
      <c r="X151" s="49">
        <f>資料儲存!H6719</f>
        <v>0</v>
      </c>
      <c r="Y151" s="49">
        <f>資料儲存!I6719</f>
        <v>0</v>
      </c>
      <c r="Z151" s="49">
        <f>資料儲存!J6719</f>
        <v>0</v>
      </c>
      <c r="AA151" s="52"/>
      <c r="AB151" s="70">
        <v>58</v>
      </c>
      <c r="AC151" s="49">
        <f>資料儲存!D6959</f>
        <v>0</v>
      </c>
      <c r="AD151" s="49">
        <f>資料儲存!E6959</f>
        <v>0</v>
      </c>
      <c r="AE151" s="49">
        <f>資料儲存!F6959</f>
        <v>0</v>
      </c>
      <c r="AF151" s="49">
        <f>資料儲存!G6959</f>
        <v>0</v>
      </c>
      <c r="AG151" s="49">
        <f>資料儲存!H6959</f>
        <v>0</v>
      </c>
      <c r="AH151" s="49">
        <f>資料儲存!I6959</f>
        <v>0</v>
      </c>
      <c r="AI151" s="49">
        <f>資料儲存!J6959</f>
        <v>0</v>
      </c>
      <c r="AJ151" s="52"/>
      <c r="AK151" s="70">
        <v>58</v>
      </c>
      <c r="AL151" s="49">
        <f>資料儲存!D7199</f>
        <v>0</v>
      </c>
      <c r="AM151" s="49">
        <f>資料儲存!E7199</f>
        <v>0</v>
      </c>
      <c r="AN151" s="49">
        <f>資料儲存!F7199</f>
        <v>0</v>
      </c>
      <c r="AO151" s="49">
        <f>資料儲存!G7199</f>
        <v>0</v>
      </c>
      <c r="AP151" s="49">
        <f>資料儲存!H7199</f>
        <v>0</v>
      </c>
      <c r="AQ151" s="49">
        <f>資料儲存!I7199</f>
        <v>0</v>
      </c>
      <c r="AR151" s="49">
        <f>資料儲存!J7199</f>
        <v>0</v>
      </c>
      <c r="AT151" s="70">
        <v>58</v>
      </c>
      <c r="AU151" s="49">
        <f>資料儲存!D7439</f>
        <v>0</v>
      </c>
      <c r="AV151" s="49">
        <f>資料儲存!E7439</f>
        <v>0</v>
      </c>
      <c r="AW151" s="49">
        <f>資料儲存!F7439</f>
        <v>0</v>
      </c>
      <c r="AX151" s="49">
        <f>資料儲存!G7439</f>
        <v>0</v>
      </c>
      <c r="AY151" s="49">
        <f>資料儲存!H7439</f>
        <v>0</v>
      </c>
      <c r="AZ151" s="49">
        <f>資料儲存!I7439</f>
        <v>0</v>
      </c>
      <c r="BA151" s="49">
        <f>資料儲存!J7439</f>
        <v>0</v>
      </c>
    </row>
    <row r="152" spans="1:53" s="67" customFormat="1" ht="16" thickBot="1">
      <c r="A152" s="70">
        <v>59</v>
      </c>
      <c r="B152" s="49">
        <f>資料儲存!D6240</f>
        <v>0</v>
      </c>
      <c r="C152" s="49">
        <f>資料儲存!E6240</f>
        <v>0</v>
      </c>
      <c r="D152" s="49">
        <f>資料儲存!F6240</f>
        <v>0</v>
      </c>
      <c r="E152" s="49">
        <f>資料儲存!G6240</f>
        <v>0</v>
      </c>
      <c r="F152" s="49">
        <f>資料儲存!H6240</f>
        <v>0</v>
      </c>
      <c r="G152" s="49">
        <f>資料儲存!I6240</f>
        <v>0</v>
      </c>
      <c r="H152" s="49">
        <f>資料儲存!J6240</f>
        <v>0</v>
      </c>
      <c r="I152" s="52"/>
      <c r="J152" s="70">
        <v>59</v>
      </c>
      <c r="K152" s="49">
        <f>資料儲存!D6480</f>
        <v>0</v>
      </c>
      <c r="L152" s="49">
        <f>資料儲存!E6480</f>
        <v>0</v>
      </c>
      <c r="M152" s="49">
        <f>資料儲存!F6480</f>
        <v>0</v>
      </c>
      <c r="N152" s="49">
        <f>資料儲存!G6480</f>
        <v>0</v>
      </c>
      <c r="O152" s="49">
        <f>資料儲存!H6480</f>
        <v>0</v>
      </c>
      <c r="P152" s="49">
        <f>資料儲存!I6480</f>
        <v>0</v>
      </c>
      <c r="Q152" s="49">
        <f>資料儲存!J6480</f>
        <v>0</v>
      </c>
      <c r="R152" s="52"/>
      <c r="S152" s="70">
        <v>59</v>
      </c>
      <c r="T152" s="49">
        <f>資料儲存!D6720</f>
        <v>0</v>
      </c>
      <c r="U152" s="49">
        <f>資料儲存!E6720</f>
        <v>0</v>
      </c>
      <c r="V152" s="49">
        <f>資料儲存!F6720</f>
        <v>0</v>
      </c>
      <c r="W152" s="49">
        <f>資料儲存!G6720</f>
        <v>0</v>
      </c>
      <c r="X152" s="49">
        <f>資料儲存!H6720</f>
        <v>0</v>
      </c>
      <c r="Y152" s="49">
        <f>資料儲存!I6720</f>
        <v>0</v>
      </c>
      <c r="Z152" s="49">
        <f>資料儲存!J6720</f>
        <v>0</v>
      </c>
      <c r="AA152" s="52"/>
      <c r="AB152" s="70">
        <v>59</v>
      </c>
      <c r="AC152" s="49">
        <f>資料儲存!D6960</f>
        <v>0</v>
      </c>
      <c r="AD152" s="49">
        <f>資料儲存!E6960</f>
        <v>0</v>
      </c>
      <c r="AE152" s="49">
        <f>資料儲存!F6960</f>
        <v>0</v>
      </c>
      <c r="AF152" s="49">
        <f>資料儲存!G6960</f>
        <v>0</v>
      </c>
      <c r="AG152" s="49">
        <f>資料儲存!H6960</f>
        <v>0</v>
      </c>
      <c r="AH152" s="49">
        <f>資料儲存!I6960</f>
        <v>0</v>
      </c>
      <c r="AI152" s="49">
        <f>資料儲存!J6960</f>
        <v>0</v>
      </c>
      <c r="AJ152" s="52"/>
      <c r="AK152" s="70">
        <v>59</v>
      </c>
      <c r="AL152" s="49">
        <f>資料儲存!D7200</f>
        <v>0</v>
      </c>
      <c r="AM152" s="49">
        <f>資料儲存!E7200</f>
        <v>0</v>
      </c>
      <c r="AN152" s="49">
        <f>資料儲存!F7200</f>
        <v>0</v>
      </c>
      <c r="AO152" s="49">
        <f>資料儲存!G7200</f>
        <v>0</v>
      </c>
      <c r="AP152" s="49">
        <f>資料儲存!H7200</f>
        <v>0</v>
      </c>
      <c r="AQ152" s="49">
        <f>資料儲存!I7200</f>
        <v>0</v>
      </c>
      <c r="AR152" s="49">
        <f>資料儲存!J7200</f>
        <v>0</v>
      </c>
      <c r="AT152" s="70">
        <v>59</v>
      </c>
      <c r="AU152" s="49">
        <f>資料儲存!D7440</f>
        <v>0</v>
      </c>
      <c r="AV152" s="49">
        <f>資料儲存!E7440</f>
        <v>0</v>
      </c>
      <c r="AW152" s="49">
        <f>資料儲存!F7440</f>
        <v>0</v>
      </c>
      <c r="AX152" s="49">
        <f>資料儲存!G7440</f>
        <v>0</v>
      </c>
      <c r="AY152" s="49">
        <f>資料儲存!H7440</f>
        <v>0</v>
      </c>
      <c r="AZ152" s="49">
        <f>資料儲存!I7440</f>
        <v>0</v>
      </c>
      <c r="BA152" s="49">
        <f>資料儲存!J7440</f>
        <v>0</v>
      </c>
    </row>
    <row r="153" spans="1:53" s="67" customFormat="1" ht="16" thickBot="1">
      <c r="A153" s="70">
        <v>60</v>
      </c>
      <c r="B153" s="49">
        <f>資料儲存!D6241</f>
        <v>0</v>
      </c>
      <c r="C153" s="49">
        <f>資料儲存!E6241</f>
        <v>0</v>
      </c>
      <c r="D153" s="49">
        <f>資料儲存!F6241</f>
        <v>0</v>
      </c>
      <c r="E153" s="49">
        <f>資料儲存!G6241</f>
        <v>0</v>
      </c>
      <c r="F153" s="49">
        <f>資料儲存!H6241</f>
        <v>0</v>
      </c>
      <c r="G153" s="49">
        <f>資料儲存!I6241</f>
        <v>0</v>
      </c>
      <c r="H153" s="49">
        <f>資料儲存!J6241</f>
        <v>0</v>
      </c>
      <c r="I153" s="52"/>
      <c r="J153" s="70">
        <v>60</v>
      </c>
      <c r="K153" s="49">
        <f>資料儲存!D6481</f>
        <v>0</v>
      </c>
      <c r="L153" s="49">
        <f>資料儲存!E6481</f>
        <v>0</v>
      </c>
      <c r="M153" s="49">
        <f>資料儲存!F6481</f>
        <v>0</v>
      </c>
      <c r="N153" s="49">
        <f>資料儲存!G6481</f>
        <v>0</v>
      </c>
      <c r="O153" s="49">
        <f>資料儲存!H6481</f>
        <v>0</v>
      </c>
      <c r="P153" s="49">
        <f>資料儲存!I6481</f>
        <v>0</v>
      </c>
      <c r="Q153" s="49">
        <f>資料儲存!J6481</f>
        <v>0</v>
      </c>
      <c r="R153" s="52"/>
      <c r="S153" s="70">
        <v>60</v>
      </c>
      <c r="T153" s="49">
        <f>資料儲存!D6721</f>
        <v>0</v>
      </c>
      <c r="U153" s="49">
        <f>資料儲存!E6721</f>
        <v>0</v>
      </c>
      <c r="V153" s="49">
        <f>資料儲存!F6721</f>
        <v>0</v>
      </c>
      <c r="W153" s="49">
        <f>資料儲存!G6721</f>
        <v>0</v>
      </c>
      <c r="X153" s="49">
        <f>資料儲存!H6721</f>
        <v>0</v>
      </c>
      <c r="Y153" s="49">
        <f>資料儲存!I6721</f>
        <v>0</v>
      </c>
      <c r="Z153" s="49">
        <f>資料儲存!J6721</f>
        <v>0</v>
      </c>
      <c r="AA153" s="52"/>
      <c r="AB153" s="70">
        <v>60</v>
      </c>
      <c r="AC153" s="49">
        <f>資料儲存!D6961</f>
        <v>0</v>
      </c>
      <c r="AD153" s="49">
        <f>資料儲存!E6961</f>
        <v>0</v>
      </c>
      <c r="AE153" s="49">
        <f>資料儲存!F6961</f>
        <v>0</v>
      </c>
      <c r="AF153" s="49">
        <f>資料儲存!G6961</f>
        <v>0</v>
      </c>
      <c r="AG153" s="49">
        <f>資料儲存!H6961</f>
        <v>0</v>
      </c>
      <c r="AH153" s="49">
        <f>資料儲存!I6961</f>
        <v>0</v>
      </c>
      <c r="AI153" s="49">
        <f>資料儲存!J6961</f>
        <v>0</v>
      </c>
      <c r="AJ153" s="52"/>
      <c r="AK153" s="70">
        <v>60</v>
      </c>
      <c r="AL153" s="49">
        <f>資料儲存!D7201</f>
        <v>0</v>
      </c>
      <c r="AM153" s="49">
        <f>資料儲存!E7201</f>
        <v>0</v>
      </c>
      <c r="AN153" s="49">
        <f>資料儲存!F7201</f>
        <v>0</v>
      </c>
      <c r="AO153" s="49">
        <f>資料儲存!G7201</f>
        <v>0</v>
      </c>
      <c r="AP153" s="49">
        <f>資料儲存!H7201</f>
        <v>0</v>
      </c>
      <c r="AQ153" s="49">
        <f>資料儲存!I7201</f>
        <v>0</v>
      </c>
      <c r="AR153" s="49">
        <f>資料儲存!J7201</f>
        <v>0</v>
      </c>
      <c r="AT153" s="70">
        <v>60</v>
      </c>
      <c r="AU153" s="49">
        <f>資料儲存!D7441</f>
        <v>0</v>
      </c>
      <c r="AV153" s="49">
        <f>資料儲存!E7441</f>
        <v>0</v>
      </c>
      <c r="AW153" s="49">
        <f>資料儲存!F7441</f>
        <v>0</v>
      </c>
      <c r="AX153" s="49">
        <f>資料儲存!G7441</f>
        <v>0</v>
      </c>
      <c r="AY153" s="49">
        <f>資料儲存!H7441</f>
        <v>0</v>
      </c>
      <c r="AZ153" s="49">
        <f>資料儲存!I7441</f>
        <v>0</v>
      </c>
      <c r="BA153" s="49">
        <f>資料儲存!J7441</f>
        <v>0</v>
      </c>
    </row>
    <row r="154" spans="1:53" s="67" customFormat="1" ht="17.25" customHeight="1" thickBot="1">
      <c r="A154" s="50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0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0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0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45"/>
      <c r="AK154" s="50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  <c r="AT154" s="50" t="s">
        <v>56</v>
      </c>
      <c r="AU154" s="49">
        <f>SUM(AU139:AX153)</f>
        <v>0</v>
      </c>
      <c r="AV154" s="47"/>
      <c r="AW154" s="47"/>
      <c r="AX154" s="47"/>
      <c r="AY154" s="49">
        <f>AY153</f>
        <v>0</v>
      </c>
      <c r="AZ154" s="49">
        <f>AZ153</f>
        <v>0</v>
      </c>
      <c r="BA154" s="49">
        <f>BA153</f>
        <v>0</v>
      </c>
    </row>
    <row r="155" spans="1:53" ht="18.5" thickBot="1">
      <c r="A155" s="257" t="s">
        <v>115</v>
      </c>
      <c r="B155" s="258"/>
      <c r="C155" s="258"/>
      <c r="D155" s="258"/>
      <c r="E155" s="258"/>
      <c r="F155" s="258"/>
      <c r="G155" s="258"/>
      <c r="H155" s="259"/>
      <c r="I155" s="14"/>
      <c r="J155" s="257" t="s">
        <v>115</v>
      </c>
      <c r="K155" s="258"/>
      <c r="L155" s="258"/>
      <c r="M155" s="258"/>
      <c r="N155" s="258"/>
      <c r="O155" s="258"/>
      <c r="P155" s="258"/>
      <c r="Q155" s="259"/>
      <c r="R155" s="14"/>
      <c r="S155" s="257" t="s">
        <v>115</v>
      </c>
      <c r="T155" s="258"/>
      <c r="U155" s="258"/>
      <c r="V155" s="258"/>
      <c r="W155" s="258"/>
      <c r="X155" s="258"/>
      <c r="Y155" s="258"/>
      <c r="Z155" s="259"/>
      <c r="AA155" s="14"/>
      <c r="AB155" s="257" t="s">
        <v>115</v>
      </c>
      <c r="AC155" s="258"/>
      <c r="AD155" s="258"/>
      <c r="AE155" s="258"/>
      <c r="AF155" s="258"/>
      <c r="AG155" s="258"/>
      <c r="AH155" s="258"/>
      <c r="AI155" s="259"/>
      <c r="AJ155" s="14"/>
      <c r="AK155" s="257" t="s">
        <v>115</v>
      </c>
      <c r="AL155" s="258"/>
      <c r="AM155" s="258"/>
      <c r="AN155" s="258"/>
      <c r="AO155" s="258"/>
      <c r="AP155" s="258"/>
      <c r="AQ155" s="258"/>
      <c r="AR155" s="259"/>
      <c r="AT155" s="257" t="s">
        <v>115</v>
      </c>
      <c r="AU155" s="258"/>
      <c r="AV155" s="258"/>
      <c r="AW155" s="258"/>
      <c r="AX155" s="258"/>
      <c r="AY155" s="258"/>
      <c r="AZ155" s="258"/>
      <c r="BA155" s="259"/>
    </row>
    <row r="156" spans="1:53" ht="17.25" customHeight="1" thickBot="1">
      <c r="A156" s="54" t="s">
        <v>2</v>
      </c>
      <c r="B156" s="55" t="s">
        <v>46</v>
      </c>
      <c r="C156" s="56"/>
      <c r="D156" s="56"/>
      <c r="E156" s="57"/>
      <c r="F156" s="55" t="s">
        <v>47</v>
      </c>
      <c r="G156" s="56"/>
      <c r="H156" s="57"/>
      <c r="I156" s="58"/>
      <c r="J156" s="54" t="s">
        <v>2</v>
      </c>
      <c r="K156" s="55" t="s">
        <v>46</v>
      </c>
      <c r="L156" s="56"/>
      <c r="M156" s="56"/>
      <c r="N156" s="57"/>
      <c r="O156" s="55" t="s">
        <v>47</v>
      </c>
      <c r="P156" s="56"/>
      <c r="Q156" s="57"/>
      <c r="R156" s="58"/>
      <c r="S156" s="54" t="s">
        <v>2</v>
      </c>
      <c r="T156" s="55" t="s">
        <v>46</v>
      </c>
      <c r="U156" s="56"/>
      <c r="V156" s="56"/>
      <c r="W156" s="57"/>
      <c r="X156" s="55" t="s">
        <v>47</v>
      </c>
      <c r="Y156" s="56"/>
      <c r="Z156" s="57"/>
      <c r="AA156" s="58"/>
      <c r="AB156" s="54" t="s">
        <v>2</v>
      </c>
      <c r="AC156" s="55" t="s">
        <v>46</v>
      </c>
      <c r="AD156" s="56"/>
      <c r="AE156" s="56"/>
      <c r="AF156" s="57"/>
      <c r="AG156" s="55" t="s">
        <v>47</v>
      </c>
      <c r="AH156" s="56"/>
      <c r="AI156" s="57"/>
      <c r="AJ156" s="58"/>
      <c r="AK156" s="54" t="s">
        <v>2</v>
      </c>
      <c r="AL156" s="55" t="s">
        <v>46</v>
      </c>
      <c r="AM156" s="56"/>
      <c r="AN156" s="56"/>
      <c r="AO156" s="57"/>
      <c r="AP156" s="55" t="s">
        <v>47</v>
      </c>
      <c r="AQ156" s="56"/>
      <c r="AR156" s="57"/>
      <c r="AS156" s="59"/>
      <c r="AT156" s="54" t="s">
        <v>2</v>
      </c>
      <c r="AU156" s="55" t="s">
        <v>46</v>
      </c>
      <c r="AV156" s="56"/>
      <c r="AW156" s="56"/>
      <c r="AX156" s="57"/>
      <c r="AY156" s="55" t="s">
        <v>47</v>
      </c>
      <c r="AZ156" s="56"/>
      <c r="BA156" s="57"/>
    </row>
    <row r="157" spans="1:53" ht="16" thickBot="1">
      <c r="A157" s="60">
        <v>0.75</v>
      </c>
      <c r="B157" s="61" t="s">
        <v>49</v>
      </c>
      <c r="C157" s="61" t="s">
        <v>50</v>
      </c>
      <c r="D157" s="61" t="s">
        <v>51</v>
      </c>
      <c r="E157" s="61" t="s">
        <v>52</v>
      </c>
      <c r="F157" s="61" t="s">
        <v>53</v>
      </c>
      <c r="G157" s="61" t="s">
        <v>54</v>
      </c>
      <c r="H157" s="61" t="s">
        <v>55</v>
      </c>
      <c r="I157" s="58"/>
      <c r="J157" s="60">
        <v>0.75</v>
      </c>
      <c r="K157" s="61" t="s">
        <v>49</v>
      </c>
      <c r="L157" s="61" t="s">
        <v>50</v>
      </c>
      <c r="M157" s="61" t="s">
        <v>51</v>
      </c>
      <c r="N157" s="61" t="s">
        <v>52</v>
      </c>
      <c r="O157" s="61" t="s">
        <v>53</v>
      </c>
      <c r="P157" s="61" t="s">
        <v>54</v>
      </c>
      <c r="Q157" s="61" t="s">
        <v>55</v>
      </c>
      <c r="R157" s="58"/>
      <c r="S157" s="60">
        <v>0.75</v>
      </c>
      <c r="T157" s="61" t="s">
        <v>49</v>
      </c>
      <c r="U157" s="61" t="s">
        <v>50</v>
      </c>
      <c r="V157" s="61" t="s">
        <v>51</v>
      </c>
      <c r="W157" s="61" t="s">
        <v>52</v>
      </c>
      <c r="X157" s="61" t="s">
        <v>53</v>
      </c>
      <c r="Y157" s="61" t="s">
        <v>54</v>
      </c>
      <c r="Z157" s="61" t="s">
        <v>55</v>
      </c>
      <c r="AA157" s="58"/>
      <c r="AB157" s="60">
        <v>0.75</v>
      </c>
      <c r="AC157" s="61" t="s">
        <v>49</v>
      </c>
      <c r="AD157" s="61" t="s">
        <v>50</v>
      </c>
      <c r="AE157" s="61" t="s">
        <v>51</v>
      </c>
      <c r="AF157" s="61" t="s">
        <v>52</v>
      </c>
      <c r="AG157" s="61" t="s">
        <v>53</v>
      </c>
      <c r="AH157" s="61" t="s">
        <v>54</v>
      </c>
      <c r="AI157" s="61" t="s">
        <v>55</v>
      </c>
      <c r="AJ157" s="58"/>
      <c r="AK157" s="60">
        <v>0.75</v>
      </c>
      <c r="AL157" s="61" t="s">
        <v>49</v>
      </c>
      <c r="AM157" s="61" t="s">
        <v>50</v>
      </c>
      <c r="AN157" s="61" t="s">
        <v>51</v>
      </c>
      <c r="AO157" s="61" t="s">
        <v>52</v>
      </c>
      <c r="AP157" s="61" t="s">
        <v>53</v>
      </c>
      <c r="AQ157" s="61" t="s">
        <v>54</v>
      </c>
      <c r="AR157" s="61" t="s">
        <v>55</v>
      </c>
      <c r="AS157" s="59"/>
      <c r="AT157" s="60">
        <v>0.75</v>
      </c>
      <c r="AU157" s="61" t="s">
        <v>49</v>
      </c>
      <c r="AV157" s="61" t="s">
        <v>50</v>
      </c>
      <c r="AW157" s="61" t="s">
        <v>51</v>
      </c>
      <c r="AX157" s="61" t="s">
        <v>52</v>
      </c>
      <c r="AY157" s="61" t="s">
        <v>53</v>
      </c>
      <c r="AZ157" s="61" t="s">
        <v>54</v>
      </c>
      <c r="BA157" s="61" t="s">
        <v>55</v>
      </c>
    </row>
    <row r="158" spans="1:53" ht="16" thickBot="1">
      <c r="A158" s="62">
        <v>1</v>
      </c>
      <c r="B158" s="39">
        <f>資料儲存!D6242</f>
        <v>0</v>
      </c>
      <c r="C158" s="39">
        <f>資料儲存!E6242</f>
        <v>0</v>
      </c>
      <c r="D158" s="39">
        <f>資料儲存!F6242</f>
        <v>0</v>
      </c>
      <c r="E158" s="39">
        <f>資料儲存!G6242</f>
        <v>0</v>
      </c>
      <c r="F158" s="39">
        <f>資料儲存!H6242</f>
        <v>0</v>
      </c>
      <c r="G158" s="39">
        <f>資料儲存!I6242</f>
        <v>0</v>
      </c>
      <c r="H158" s="39">
        <f>資料儲存!J6242</f>
        <v>0</v>
      </c>
      <c r="I158" s="58"/>
      <c r="J158" s="62">
        <v>1</v>
      </c>
      <c r="K158" s="39">
        <f>資料儲存!D6482</f>
        <v>0</v>
      </c>
      <c r="L158" s="39">
        <f>資料儲存!E6482</f>
        <v>0</v>
      </c>
      <c r="M158" s="39">
        <f>資料儲存!F6482</f>
        <v>0</v>
      </c>
      <c r="N158" s="39">
        <f>資料儲存!G6482</f>
        <v>0</v>
      </c>
      <c r="O158" s="39">
        <f>資料儲存!H6482</f>
        <v>0</v>
      </c>
      <c r="P158" s="39">
        <f>資料儲存!I6482</f>
        <v>0</v>
      </c>
      <c r="Q158" s="39">
        <f>資料儲存!J6482</f>
        <v>0</v>
      </c>
      <c r="R158" s="58"/>
      <c r="S158" s="62">
        <v>1</v>
      </c>
      <c r="T158" s="39">
        <f>資料儲存!D6722</f>
        <v>0</v>
      </c>
      <c r="U158" s="39">
        <f>資料儲存!E6722</f>
        <v>0</v>
      </c>
      <c r="V158" s="39">
        <f>資料儲存!F6722</f>
        <v>0</v>
      </c>
      <c r="W158" s="39">
        <f>資料儲存!G6722</f>
        <v>0</v>
      </c>
      <c r="X158" s="39">
        <f>資料儲存!H6722</f>
        <v>0</v>
      </c>
      <c r="Y158" s="39">
        <f>資料儲存!I6722</f>
        <v>0</v>
      </c>
      <c r="Z158" s="39">
        <f>資料儲存!J6722</f>
        <v>0</v>
      </c>
      <c r="AA158" s="58"/>
      <c r="AB158" s="62">
        <v>1</v>
      </c>
      <c r="AC158" s="39">
        <f>資料儲存!D6962</f>
        <v>0</v>
      </c>
      <c r="AD158" s="39">
        <f>資料儲存!E6962</f>
        <v>0</v>
      </c>
      <c r="AE158" s="39">
        <f>資料儲存!F6962</f>
        <v>0</v>
      </c>
      <c r="AF158" s="39">
        <f>資料儲存!G6962</f>
        <v>0</v>
      </c>
      <c r="AG158" s="39">
        <f>資料儲存!H6962</f>
        <v>0</v>
      </c>
      <c r="AH158" s="39">
        <f>資料儲存!I6962</f>
        <v>0</v>
      </c>
      <c r="AI158" s="39">
        <f>資料儲存!J6962</f>
        <v>0</v>
      </c>
      <c r="AJ158" s="58"/>
      <c r="AK158" s="62">
        <v>1</v>
      </c>
      <c r="AL158" s="39">
        <f>資料儲存!D7202</f>
        <v>0</v>
      </c>
      <c r="AM158" s="39">
        <f>資料儲存!E7202</f>
        <v>0</v>
      </c>
      <c r="AN158" s="39">
        <f>資料儲存!F7202</f>
        <v>0</v>
      </c>
      <c r="AO158" s="39">
        <f>資料儲存!G7202</f>
        <v>0</v>
      </c>
      <c r="AP158" s="39">
        <f>資料儲存!H7202</f>
        <v>0</v>
      </c>
      <c r="AQ158" s="39">
        <f>資料儲存!I7202</f>
        <v>0</v>
      </c>
      <c r="AR158" s="39">
        <f>資料儲存!J7202</f>
        <v>0</v>
      </c>
      <c r="AS158" s="59"/>
      <c r="AT158" s="62">
        <v>1</v>
      </c>
      <c r="AU158" s="39">
        <f>資料儲存!D7442</f>
        <v>0</v>
      </c>
      <c r="AV158" s="39">
        <f>資料儲存!E7442</f>
        <v>0</v>
      </c>
      <c r="AW158" s="39">
        <f>資料儲存!F7442</f>
        <v>0</v>
      </c>
      <c r="AX158" s="39">
        <f>資料儲存!G7442</f>
        <v>0</v>
      </c>
      <c r="AY158" s="39">
        <f>資料儲存!H7442</f>
        <v>0</v>
      </c>
      <c r="AZ158" s="39">
        <f>資料儲存!I7442</f>
        <v>0</v>
      </c>
      <c r="BA158" s="39">
        <f>資料儲存!J7442</f>
        <v>0</v>
      </c>
    </row>
    <row r="159" spans="1:53" ht="16" thickBot="1">
      <c r="A159" s="62">
        <v>2</v>
      </c>
      <c r="B159" s="39">
        <f>資料儲存!D6243</f>
        <v>0</v>
      </c>
      <c r="C159" s="39">
        <f>資料儲存!E6243</f>
        <v>0</v>
      </c>
      <c r="D159" s="39">
        <f>資料儲存!F6243</f>
        <v>0</v>
      </c>
      <c r="E159" s="39">
        <f>資料儲存!G6243</f>
        <v>0</v>
      </c>
      <c r="F159" s="39">
        <f>資料儲存!H6243</f>
        <v>0</v>
      </c>
      <c r="G159" s="39">
        <f>資料儲存!I6243</f>
        <v>0</v>
      </c>
      <c r="H159" s="39">
        <f>資料儲存!J6243</f>
        <v>0</v>
      </c>
      <c r="I159" s="58"/>
      <c r="J159" s="62">
        <v>2</v>
      </c>
      <c r="K159" s="39">
        <f>資料儲存!D6483</f>
        <v>0</v>
      </c>
      <c r="L159" s="39">
        <f>資料儲存!E6483</f>
        <v>0</v>
      </c>
      <c r="M159" s="39">
        <f>資料儲存!F6483</f>
        <v>0</v>
      </c>
      <c r="N159" s="39">
        <f>資料儲存!G6483</f>
        <v>0</v>
      </c>
      <c r="O159" s="39">
        <f>資料儲存!H6483</f>
        <v>0</v>
      </c>
      <c r="P159" s="39">
        <f>資料儲存!I6483</f>
        <v>0</v>
      </c>
      <c r="Q159" s="39">
        <f>資料儲存!J6483</f>
        <v>0</v>
      </c>
      <c r="R159" s="58"/>
      <c r="S159" s="62">
        <v>2</v>
      </c>
      <c r="T159" s="39">
        <f>資料儲存!D6723</f>
        <v>0</v>
      </c>
      <c r="U159" s="39">
        <f>資料儲存!E6723</f>
        <v>0</v>
      </c>
      <c r="V159" s="39">
        <f>資料儲存!F6723</f>
        <v>0</v>
      </c>
      <c r="W159" s="39">
        <f>資料儲存!G6723</f>
        <v>0</v>
      </c>
      <c r="X159" s="39">
        <f>資料儲存!H6723</f>
        <v>0</v>
      </c>
      <c r="Y159" s="39">
        <f>資料儲存!I6723</f>
        <v>0</v>
      </c>
      <c r="Z159" s="39">
        <f>資料儲存!J6723</f>
        <v>0</v>
      </c>
      <c r="AA159" s="58"/>
      <c r="AB159" s="62">
        <v>2</v>
      </c>
      <c r="AC159" s="39">
        <f>資料儲存!D6963</f>
        <v>0</v>
      </c>
      <c r="AD159" s="39">
        <f>資料儲存!E6963</f>
        <v>0</v>
      </c>
      <c r="AE159" s="39">
        <f>資料儲存!F6963</f>
        <v>0</v>
      </c>
      <c r="AF159" s="39">
        <f>資料儲存!G6963</f>
        <v>0</v>
      </c>
      <c r="AG159" s="39">
        <f>資料儲存!H6963</f>
        <v>0</v>
      </c>
      <c r="AH159" s="39">
        <f>資料儲存!I6963</f>
        <v>0</v>
      </c>
      <c r="AI159" s="39">
        <f>資料儲存!J6963</f>
        <v>0</v>
      </c>
      <c r="AJ159" s="58"/>
      <c r="AK159" s="62">
        <v>2</v>
      </c>
      <c r="AL159" s="39">
        <f>資料儲存!D7203</f>
        <v>0</v>
      </c>
      <c r="AM159" s="39">
        <f>資料儲存!E7203</f>
        <v>0</v>
      </c>
      <c r="AN159" s="39">
        <f>資料儲存!F7203</f>
        <v>0</v>
      </c>
      <c r="AO159" s="39">
        <f>資料儲存!G7203</f>
        <v>0</v>
      </c>
      <c r="AP159" s="39">
        <f>資料儲存!H7203</f>
        <v>0</v>
      </c>
      <c r="AQ159" s="39">
        <f>資料儲存!I7203</f>
        <v>0</v>
      </c>
      <c r="AR159" s="39">
        <f>資料儲存!J7203</f>
        <v>0</v>
      </c>
      <c r="AS159" s="59"/>
      <c r="AT159" s="62">
        <v>2</v>
      </c>
      <c r="AU159" s="39">
        <f>資料儲存!D7443</f>
        <v>0</v>
      </c>
      <c r="AV159" s="39">
        <f>資料儲存!E7443</f>
        <v>0</v>
      </c>
      <c r="AW159" s="39">
        <f>資料儲存!F7443</f>
        <v>0</v>
      </c>
      <c r="AX159" s="39">
        <f>資料儲存!G7443</f>
        <v>0</v>
      </c>
      <c r="AY159" s="39">
        <f>資料儲存!H7443</f>
        <v>0</v>
      </c>
      <c r="AZ159" s="39">
        <f>資料儲存!I7443</f>
        <v>0</v>
      </c>
      <c r="BA159" s="39">
        <f>資料儲存!J7443</f>
        <v>0</v>
      </c>
    </row>
    <row r="160" spans="1:53" ht="16" thickBot="1">
      <c r="A160" s="62">
        <v>3</v>
      </c>
      <c r="B160" s="39">
        <f>資料儲存!D6244</f>
        <v>0</v>
      </c>
      <c r="C160" s="39">
        <f>資料儲存!E6244</f>
        <v>0</v>
      </c>
      <c r="D160" s="39">
        <f>資料儲存!F6244</f>
        <v>0</v>
      </c>
      <c r="E160" s="39">
        <f>資料儲存!G6244</f>
        <v>0</v>
      </c>
      <c r="F160" s="39">
        <f>資料儲存!H6244</f>
        <v>0</v>
      </c>
      <c r="G160" s="39">
        <f>資料儲存!I6244</f>
        <v>0</v>
      </c>
      <c r="H160" s="39">
        <f>資料儲存!J6244</f>
        <v>0</v>
      </c>
      <c r="I160" s="58"/>
      <c r="J160" s="62">
        <v>3</v>
      </c>
      <c r="K160" s="39">
        <f>資料儲存!D6484</f>
        <v>0</v>
      </c>
      <c r="L160" s="39">
        <f>資料儲存!E6484</f>
        <v>0</v>
      </c>
      <c r="M160" s="39">
        <f>資料儲存!F6484</f>
        <v>0</v>
      </c>
      <c r="N160" s="39">
        <f>資料儲存!G6484</f>
        <v>0</v>
      </c>
      <c r="O160" s="39">
        <f>資料儲存!H6484</f>
        <v>0</v>
      </c>
      <c r="P160" s="39">
        <f>資料儲存!I6484</f>
        <v>0</v>
      </c>
      <c r="Q160" s="39">
        <f>資料儲存!J6484</f>
        <v>0</v>
      </c>
      <c r="R160" s="58"/>
      <c r="S160" s="62">
        <v>3</v>
      </c>
      <c r="T160" s="39">
        <f>資料儲存!D6724</f>
        <v>0</v>
      </c>
      <c r="U160" s="39">
        <f>資料儲存!E6724</f>
        <v>0</v>
      </c>
      <c r="V160" s="39">
        <f>資料儲存!F6724</f>
        <v>0</v>
      </c>
      <c r="W160" s="39">
        <f>資料儲存!G6724</f>
        <v>0</v>
      </c>
      <c r="X160" s="39">
        <f>資料儲存!H6724</f>
        <v>0</v>
      </c>
      <c r="Y160" s="39">
        <f>資料儲存!I6724</f>
        <v>0</v>
      </c>
      <c r="Z160" s="39">
        <f>資料儲存!J6724</f>
        <v>0</v>
      </c>
      <c r="AA160" s="58"/>
      <c r="AB160" s="62">
        <v>3</v>
      </c>
      <c r="AC160" s="39">
        <f>資料儲存!D6964</f>
        <v>0</v>
      </c>
      <c r="AD160" s="39">
        <f>資料儲存!E6964</f>
        <v>0</v>
      </c>
      <c r="AE160" s="39">
        <f>資料儲存!F6964</f>
        <v>0</v>
      </c>
      <c r="AF160" s="39">
        <f>資料儲存!G6964</f>
        <v>0</v>
      </c>
      <c r="AG160" s="39">
        <f>資料儲存!H6964</f>
        <v>0</v>
      </c>
      <c r="AH160" s="39">
        <f>資料儲存!I6964</f>
        <v>0</v>
      </c>
      <c r="AI160" s="39">
        <f>資料儲存!J6964</f>
        <v>0</v>
      </c>
      <c r="AJ160" s="58"/>
      <c r="AK160" s="62">
        <v>3</v>
      </c>
      <c r="AL160" s="39">
        <f>資料儲存!D7204</f>
        <v>0</v>
      </c>
      <c r="AM160" s="39">
        <f>資料儲存!E7204</f>
        <v>0</v>
      </c>
      <c r="AN160" s="39">
        <f>資料儲存!F7204</f>
        <v>0</v>
      </c>
      <c r="AO160" s="39">
        <f>資料儲存!G7204</f>
        <v>0</v>
      </c>
      <c r="AP160" s="39">
        <f>資料儲存!H7204</f>
        <v>0</v>
      </c>
      <c r="AQ160" s="39">
        <f>資料儲存!I7204</f>
        <v>0</v>
      </c>
      <c r="AR160" s="39">
        <f>資料儲存!J7204</f>
        <v>0</v>
      </c>
      <c r="AS160" s="59"/>
      <c r="AT160" s="62">
        <v>3</v>
      </c>
      <c r="AU160" s="39">
        <f>資料儲存!D7444</f>
        <v>0</v>
      </c>
      <c r="AV160" s="39">
        <f>資料儲存!E7444</f>
        <v>0</v>
      </c>
      <c r="AW160" s="39">
        <f>資料儲存!F7444</f>
        <v>0</v>
      </c>
      <c r="AX160" s="39">
        <f>資料儲存!G7444</f>
        <v>0</v>
      </c>
      <c r="AY160" s="39">
        <f>資料儲存!H7444</f>
        <v>0</v>
      </c>
      <c r="AZ160" s="39">
        <f>資料儲存!I7444</f>
        <v>0</v>
      </c>
      <c r="BA160" s="39">
        <f>資料儲存!J7444</f>
        <v>0</v>
      </c>
    </row>
    <row r="161" spans="1:53" ht="16" thickBot="1">
      <c r="A161" s="62">
        <v>4</v>
      </c>
      <c r="B161" s="39">
        <f>資料儲存!D6245</f>
        <v>0</v>
      </c>
      <c r="C161" s="39">
        <f>資料儲存!E6245</f>
        <v>0</v>
      </c>
      <c r="D161" s="39">
        <f>資料儲存!F6245</f>
        <v>0</v>
      </c>
      <c r="E161" s="39">
        <f>資料儲存!G6245</f>
        <v>0</v>
      </c>
      <c r="F161" s="39">
        <f>資料儲存!H6245</f>
        <v>0</v>
      </c>
      <c r="G161" s="39">
        <f>資料儲存!I6245</f>
        <v>0</v>
      </c>
      <c r="H161" s="39">
        <f>資料儲存!J6245</f>
        <v>0</v>
      </c>
      <c r="I161" s="58"/>
      <c r="J161" s="62">
        <v>4</v>
      </c>
      <c r="K161" s="39">
        <f>資料儲存!D6485</f>
        <v>0</v>
      </c>
      <c r="L161" s="39">
        <f>資料儲存!E6485</f>
        <v>0</v>
      </c>
      <c r="M161" s="39">
        <f>資料儲存!F6485</f>
        <v>0</v>
      </c>
      <c r="N161" s="39">
        <f>資料儲存!G6485</f>
        <v>0</v>
      </c>
      <c r="O161" s="39">
        <f>資料儲存!H6485</f>
        <v>0</v>
      </c>
      <c r="P161" s="39">
        <f>資料儲存!I6485</f>
        <v>0</v>
      </c>
      <c r="Q161" s="39">
        <f>資料儲存!J6485</f>
        <v>0</v>
      </c>
      <c r="R161" s="58"/>
      <c r="S161" s="62">
        <v>4</v>
      </c>
      <c r="T161" s="39">
        <f>資料儲存!D6725</f>
        <v>0</v>
      </c>
      <c r="U161" s="39">
        <f>資料儲存!E6725</f>
        <v>0</v>
      </c>
      <c r="V161" s="39">
        <f>資料儲存!F6725</f>
        <v>0</v>
      </c>
      <c r="W161" s="39">
        <f>資料儲存!G6725</f>
        <v>0</v>
      </c>
      <c r="X161" s="39">
        <f>資料儲存!H6725</f>
        <v>0</v>
      </c>
      <c r="Y161" s="39">
        <f>資料儲存!I6725</f>
        <v>0</v>
      </c>
      <c r="Z161" s="39">
        <f>資料儲存!J6725</f>
        <v>0</v>
      </c>
      <c r="AA161" s="58"/>
      <c r="AB161" s="62">
        <v>4</v>
      </c>
      <c r="AC161" s="39">
        <f>資料儲存!D6965</f>
        <v>0</v>
      </c>
      <c r="AD161" s="39">
        <f>資料儲存!E6965</f>
        <v>0</v>
      </c>
      <c r="AE161" s="39">
        <f>資料儲存!F6965</f>
        <v>0</v>
      </c>
      <c r="AF161" s="39">
        <f>資料儲存!G6965</f>
        <v>0</v>
      </c>
      <c r="AG161" s="39">
        <f>資料儲存!H6965</f>
        <v>0</v>
      </c>
      <c r="AH161" s="39">
        <f>資料儲存!I6965</f>
        <v>0</v>
      </c>
      <c r="AI161" s="39">
        <f>資料儲存!J6965</f>
        <v>0</v>
      </c>
      <c r="AJ161" s="58"/>
      <c r="AK161" s="62">
        <v>4</v>
      </c>
      <c r="AL161" s="39">
        <f>資料儲存!D7205</f>
        <v>0</v>
      </c>
      <c r="AM161" s="39">
        <f>資料儲存!E7205</f>
        <v>0</v>
      </c>
      <c r="AN161" s="39">
        <f>資料儲存!F7205</f>
        <v>0</v>
      </c>
      <c r="AO161" s="39">
        <f>資料儲存!G7205</f>
        <v>0</v>
      </c>
      <c r="AP161" s="39">
        <f>資料儲存!H7205</f>
        <v>0</v>
      </c>
      <c r="AQ161" s="39">
        <f>資料儲存!I7205</f>
        <v>0</v>
      </c>
      <c r="AR161" s="39">
        <f>資料儲存!J7205</f>
        <v>0</v>
      </c>
      <c r="AS161" s="59"/>
      <c r="AT161" s="62">
        <v>4</v>
      </c>
      <c r="AU161" s="39">
        <f>資料儲存!D7445</f>
        <v>0</v>
      </c>
      <c r="AV161" s="39">
        <f>資料儲存!E7445</f>
        <v>0</v>
      </c>
      <c r="AW161" s="39">
        <f>資料儲存!F7445</f>
        <v>0</v>
      </c>
      <c r="AX161" s="39">
        <f>資料儲存!G7445</f>
        <v>0</v>
      </c>
      <c r="AY161" s="39">
        <f>資料儲存!H7445</f>
        <v>0</v>
      </c>
      <c r="AZ161" s="39">
        <f>資料儲存!I7445</f>
        <v>0</v>
      </c>
      <c r="BA161" s="39">
        <f>資料儲存!J7445</f>
        <v>0</v>
      </c>
    </row>
    <row r="162" spans="1:53" ht="16" thickBot="1">
      <c r="A162" s="62">
        <v>5</v>
      </c>
      <c r="B162" s="39">
        <f>資料儲存!D6246</f>
        <v>0</v>
      </c>
      <c r="C162" s="39">
        <f>資料儲存!E6246</f>
        <v>0</v>
      </c>
      <c r="D162" s="39">
        <f>資料儲存!F6246</f>
        <v>0</v>
      </c>
      <c r="E162" s="39">
        <f>資料儲存!G6246</f>
        <v>0</v>
      </c>
      <c r="F162" s="39">
        <f>資料儲存!H6246</f>
        <v>0</v>
      </c>
      <c r="G162" s="39">
        <f>資料儲存!I6246</f>
        <v>0</v>
      </c>
      <c r="H162" s="39">
        <f>資料儲存!J6246</f>
        <v>0</v>
      </c>
      <c r="I162" s="58"/>
      <c r="J162" s="62">
        <v>5</v>
      </c>
      <c r="K162" s="39">
        <f>資料儲存!D6486</f>
        <v>0</v>
      </c>
      <c r="L162" s="39">
        <f>資料儲存!E6486</f>
        <v>0</v>
      </c>
      <c r="M162" s="39">
        <f>資料儲存!F6486</f>
        <v>0</v>
      </c>
      <c r="N162" s="39">
        <f>資料儲存!G6486</f>
        <v>0</v>
      </c>
      <c r="O162" s="39">
        <f>資料儲存!H6486</f>
        <v>0</v>
      </c>
      <c r="P162" s="39">
        <f>資料儲存!I6486</f>
        <v>0</v>
      </c>
      <c r="Q162" s="39">
        <f>資料儲存!J6486</f>
        <v>0</v>
      </c>
      <c r="R162" s="58"/>
      <c r="S162" s="62">
        <v>5</v>
      </c>
      <c r="T162" s="39">
        <f>資料儲存!D6726</f>
        <v>0</v>
      </c>
      <c r="U162" s="39">
        <f>資料儲存!E6726</f>
        <v>0</v>
      </c>
      <c r="V162" s="39">
        <f>資料儲存!F6726</f>
        <v>0</v>
      </c>
      <c r="W162" s="39">
        <f>資料儲存!G6726</f>
        <v>0</v>
      </c>
      <c r="X162" s="39">
        <f>資料儲存!H6726</f>
        <v>0</v>
      </c>
      <c r="Y162" s="39">
        <f>資料儲存!I6726</f>
        <v>0</v>
      </c>
      <c r="Z162" s="39">
        <f>資料儲存!J6726</f>
        <v>0</v>
      </c>
      <c r="AA162" s="58"/>
      <c r="AB162" s="62">
        <v>5</v>
      </c>
      <c r="AC162" s="39">
        <f>資料儲存!D6966</f>
        <v>0</v>
      </c>
      <c r="AD162" s="39">
        <f>資料儲存!E6966</f>
        <v>0</v>
      </c>
      <c r="AE162" s="39">
        <f>資料儲存!F6966</f>
        <v>0</v>
      </c>
      <c r="AF162" s="39">
        <f>資料儲存!G6966</f>
        <v>0</v>
      </c>
      <c r="AG162" s="39">
        <f>資料儲存!H6966</f>
        <v>0</v>
      </c>
      <c r="AH162" s="39">
        <f>資料儲存!I6966</f>
        <v>0</v>
      </c>
      <c r="AI162" s="39">
        <f>資料儲存!J6966</f>
        <v>0</v>
      </c>
      <c r="AJ162" s="58"/>
      <c r="AK162" s="62">
        <v>5</v>
      </c>
      <c r="AL162" s="39">
        <f>資料儲存!D7206</f>
        <v>0</v>
      </c>
      <c r="AM162" s="39">
        <f>資料儲存!E7206</f>
        <v>0</v>
      </c>
      <c r="AN162" s="39">
        <f>資料儲存!F7206</f>
        <v>0</v>
      </c>
      <c r="AO162" s="39">
        <f>資料儲存!G7206</f>
        <v>0</v>
      </c>
      <c r="AP162" s="39">
        <f>資料儲存!H7206</f>
        <v>0</v>
      </c>
      <c r="AQ162" s="39">
        <f>資料儲存!I7206</f>
        <v>0</v>
      </c>
      <c r="AR162" s="39">
        <f>資料儲存!J7206</f>
        <v>0</v>
      </c>
      <c r="AS162" s="59"/>
      <c r="AT162" s="62">
        <v>5</v>
      </c>
      <c r="AU162" s="39">
        <f>資料儲存!D7446</f>
        <v>0</v>
      </c>
      <c r="AV162" s="39">
        <f>資料儲存!E7446</f>
        <v>0</v>
      </c>
      <c r="AW162" s="39">
        <f>資料儲存!F7446</f>
        <v>0</v>
      </c>
      <c r="AX162" s="39">
        <f>資料儲存!G7446</f>
        <v>0</v>
      </c>
      <c r="AY162" s="39">
        <f>資料儲存!H7446</f>
        <v>0</v>
      </c>
      <c r="AZ162" s="39">
        <f>資料儲存!I7446</f>
        <v>0</v>
      </c>
      <c r="BA162" s="39">
        <f>資料儲存!J7446</f>
        <v>0</v>
      </c>
    </row>
    <row r="163" spans="1:53" ht="16" thickBot="1">
      <c r="A163" s="62">
        <v>6</v>
      </c>
      <c r="B163" s="39">
        <f>資料儲存!D6247</f>
        <v>0</v>
      </c>
      <c r="C163" s="39">
        <f>資料儲存!E6247</f>
        <v>0</v>
      </c>
      <c r="D163" s="39">
        <f>資料儲存!F6247</f>
        <v>0</v>
      </c>
      <c r="E163" s="39">
        <f>資料儲存!G6247</f>
        <v>0</v>
      </c>
      <c r="F163" s="39">
        <f>資料儲存!H6247</f>
        <v>0</v>
      </c>
      <c r="G163" s="39">
        <f>資料儲存!I6247</f>
        <v>0</v>
      </c>
      <c r="H163" s="39">
        <f>資料儲存!J6247</f>
        <v>0</v>
      </c>
      <c r="I163" s="58"/>
      <c r="J163" s="62">
        <v>6</v>
      </c>
      <c r="K163" s="39">
        <f>資料儲存!D6487</f>
        <v>0</v>
      </c>
      <c r="L163" s="39">
        <f>資料儲存!E6487</f>
        <v>0</v>
      </c>
      <c r="M163" s="39">
        <f>資料儲存!F6487</f>
        <v>0</v>
      </c>
      <c r="N163" s="39">
        <f>資料儲存!G6487</f>
        <v>0</v>
      </c>
      <c r="O163" s="39">
        <f>資料儲存!H6487</f>
        <v>0</v>
      </c>
      <c r="P163" s="39">
        <f>資料儲存!I6487</f>
        <v>0</v>
      </c>
      <c r="Q163" s="39">
        <f>資料儲存!J6487</f>
        <v>0</v>
      </c>
      <c r="R163" s="58"/>
      <c r="S163" s="62">
        <v>6</v>
      </c>
      <c r="T163" s="39">
        <f>資料儲存!D6727</f>
        <v>0</v>
      </c>
      <c r="U163" s="39">
        <f>資料儲存!E6727</f>
        <v>0</v>
      </c>
      <c r="V163" s="39">
        <f>資料儲存!F6727</f>
        <v>0</v>
      </c>
      <c r="W163" s="39">
        <f>資料儲存!G6727</f>
        <v>0</v>
      </c>
      <c r="X163" s="39">
        <f>資料儲存!H6727</f>
        <v>0</v>
      </c>
      <c r="Y163" s="39">
        <f>資料儲存!I6727</f>
        <v>0</v>
      </c>
      <c r="Z163" s="39">
        <f>資料儲存!J6727</f>
        <v>0</v>
      </c>
      <c r="AA163" s="58"/>
      <c r="AB163" s="62">
        <v>6</v>
      </c>
      <c r="AC163" s="39">
        <f>資料儲存!D6967</f>
        <v>0</v>
      </c>
      <c r="AD163" s="39">
        <f>資料儲存!E6967</f>
        <v>0</v>
      </c>
      <c r="AE163" s="39">
        <f>資料儲存!F6967</f>
        <v>0</v>
      </c>
      <c r="AF163" s="39">
        <f>資料儲存!G6967</f>
        <v>0</v>
      </c>
      <c r="AG163" s="39">
        <f>資料儲存!H6967</f>
        <v>0</v>
      </c>
      <c r="AH163" s="39">
        <f>資料儲存!I6967</f>
        <v>0</v>
      </c>
      <c r="AI163" s="39">
        <f>資料儲存!J6967</f>
        <v>0</v>
      </c>
      <c r="AJ163" s="58"/>
      <c r="AK163" s="62">
        <v>6</v>
      </c>
      <c r="AL163" s="39">
        <f>資料儲存!D7207</f>
        <v>0</v>
      </c>
      <c r="AM163" s="39">
        <f>資料儲存!E7207</f>
        <v>0</v>
      </c>
      <c r="AN163" s="39">
        <f>資料儲存!F7207</f>
        <v>0</v>
      </c>
      <c r="AO163" s="39">
        <f>資料儲存!G7207</f>
        <v>0</v>
      </c>
      <c r="AP163" s="39">
        <f>資料儲存!H7207</f>
        <v>0</v>
      </c>
      <c r="AQ163" s="39">
        <f>資料儲存!I7207</f>
        <v>0</v>
      </c>
      <c r="AR163" s="39">
        <f>資料儲存!J7207</f>
        <v>0</v>
      </c>
      <c r="AS163" s="59"/>
      <c r="AT163" s="62">
        <v>6</v>
      </c>
      <c r="AU163" s="39">
        <f>資料儲存!D7447</f>
        <v>0</v>
      </c>
      <c r="AV163" s="39">
        <f>資料儲存!E7447</f>
        <v>0</v>
      </c>
      <c r="AW163" s="39">
        <f>資料儲存!F7447</f>
        <v>0</v>
      </c>
      <c r="AX163" s="39">
        <f>資料儲存!G7447</f>
        <v>0</v>
      </c>
      <c r="AY163" s="39">
        <f>資料儲存!H7447</f>
        <v>0</v>
      </c>
      <c r="AZ163" s="39">
        <f>資料儲存!I7447</f>
        <v>0</v>
      </c>
      <c r="BA163" s="39">
        <f>資料儲存!J7447</f>
        <v>0</v>
      </c>
    </row>
    <row r="164" spans="1:53" ht="16" thickBot="1">
      <c r="A164" s="62">
        <v>7</v>
      </c>
      <c r="B164" s="39">
        <f>資料儲存!D6248</f>
        <v>0</v>
      </c>
      <c r="C164" s="39">
        <f>資料儲存!E6248</f>
        <v>0</v>
      </c>
      <c r="D164" s="39">
        <f>資料儲存!F6248</f>
        <v>0</v>
      </c>
      <c r="E164" s="39">
        <f>資料儲存!G6248</f>
        <v>0</v>
      </c>
      <c r="F164" s="39">
        <f>資料儲存!H6248</f>
        <v>0</v>
      </c>
      <c r="G164" s="39">
        <f>資料儲存!I6248</f>
        <v>0</v>
      </c>
      <c r="H164" s="39">
        <f>資料儲存!J6248</f>
        <v>0</v>
      </c>
      <c r="I164" s="58"/>
      <c r="J164" s="62">
        <v>7</v>
      </c>
      <c r="K164" s="39">
        <f>資料儲存!D6488</f>
        <v>0</v>
      </c>
      <c r="L164" s="39">
        <f>資料儲存!E6488</f>
        <v>0</v>
      </c>
      <c r="M164" s="39">
        <f>資料儲存!F6488</f>
        <v>0</v>
      </c>
      <c r="N164" s="39">
        <f>資料儲存!G6488</f>
        <v>0</v>
      </c>
      <c r="O164" s="39">
        <f>資料儲存!H6488</f>
        <v>0</v>
      </c>
      <c r="P164" s="39">
        <f>資料儲存!I6488</f>
        <v>0</v>
      </c>
      <c r="Q164" s="39">
        <f>資料儲存!J6488</f>
        <v>0</v>
      </c>
      <c r="R164" s="58"/>
      <c r="S164" s="62">
        <v>7</v>
      </c>
      <c r="T164" s="39">
        <f>資料儲存!D6728</f>
        <v>0</v>
      </c>
      <c r="U164" s="39">
        <f>資料儲存!E6728</f>
        <v>0</v>
      </c>
      <c r="V164" s="39">
        <f>資料儲存!F6728</f>
        <v>0</v>
      </c>
      <c r="W164" s="39">
        <f>資料儲存!G6728</f>
        <v>0</v>
      </c>
      <c r="X164" s="39">
        <f>資料儲存!H6728</f>
        <v>0</v>
      </c>
      <c r="Y164" s="39">
        <f>資料儲存!I6728</f>
        <v>0</v>
      </c>
      <c r="Z164" s="39">
        <f>資料儲存!J6728</f>
        <v>0</v>
      </c>
      <c r="AA164" s="58"/>
      <c r="AB164" s="62">
        <v>7</v>
      </c>
      <c r="AC164" s="39">
        <f>資料儲存!D6968</f>
        <v>0</v>
      </c>
      <c r="AD164" s="39">
        <f>資料儲存!E6968</f>
        <v>0</v>
      </c>
      <c r="AE164" s="39">
        <f>資料儲存!F6968</f>
        <v>0</v>
      </c>
      <c r="AF164" s="39">
        <f>資料儲存!G6968</f>
        <v>0</v>
      </c>
      <c r="AG164" s="39">
        <f>資料儲存!H6968</f>
        <v>0</v>
      </c>
      <c r="AH164" s="39">
        <f>資料儲存!I6968</f>
        <v>0</v>
      </c>
      <c r="AI164" s="39">
        <f>資料儲存!J6968</f>
        <v>0</v>
      </c>
      <c r="AJ164" s="58"/>
      <c r="AK164" s="62">
        <v>7</v>
      </c>
      <c r="AL164" s="39">
        <f>資料儲存!D7208</f>
        <v>0</v>
      </c>
      <c r="AM164" s="39">
        <f>資料儲存!E7208</f>
        <v>0</v>
      </c>
      <c r="AN164" s="39">
        <f>資料儲存!F7208</f>
        <v>0</v>
      </c>
      <c r="AO164" s="39">
        <f>資料儲存!G7208</f>
        <v>0</v>
      </c>
      <c r="AP164" s="39">
        <f>資料儲存!H7208</f>
        <v>0</v>
      </c>
      <c r="AQ164" s="39">
        <f>資料儲存!I7208</f>
        <v>0</v>
      </c>
      <c r="AR164" s="39">
        <f>資料儲存!J7208</f>
        <v>0</v>
      </c>
      <c r="AS164" s="59"/>
      <c r="AT164" s="62">
        <v>7</v>
      </c>
      <c r="AU164" s="39">
        <f>資料儲存!D7448</f>
        <v>0</v>
      </c>
      <c r="AV164" s="39">
        <f>資料儲存!E7448</f>
        <v>0</v>
      </c>
      <c r="AW164" s="39">
        <f>資料儲存!F7448</f>
        <v>0</v>
      </c>
      <c r="AX164" s="39">
        <f>資料儲存!G7448</f>
        <v>0</v>
      </c>
      <c r="AY164" s="39">
        <f>資料儲存!H7448</f>
        <v>0</v>
      </c>
      <c r="AZ164" s="39">
        <f>資料儲存!I7448</f>
        <v>0</v>
      </c>
      <c r="BA164" s="39">
        <f>資料儲存!J7448</f>
        <v>0</v>
      </c>
    </row>
    <row r="165" spans="1:53" ht="16" thickBot="1">
      <c r="A165" s="62">
        <v>8</v>
      </c>
      <c r="B165" s="39">
        <f>資料儲存!D6249</f>
        <v>0</v>
      </c>
      <c r="C165" s="39">
        <f>資料儲存!E6249</f>
        <v>0</v>
      </c>
      <c r="D165" s="39">
        <f>資料儲存!F6249</f>
        <v>0</v>
      </c>
      <c r="E165" s="39">
        <f>資料儲存!G6249</f>
        <v>0</v>
      </c>
      <c r="F165" s="39">
        <f>資料儲存!H6249</f>
        <v>0</v>
      </c>
      <c r="G165" s="39">
        <f>資料儲存!I6249</f>
        <v>0</v>
      </c>
      <c r="H165" s="39">
        <f>資料儲存!J6249</f>
        <v>0</v>
      </c>
      <c r="I165" s="58"/>
      <c r="J165" s="62">
        <v>8</v>
      </c>
      <c r="K165" s="39">
        <f>資料儲存!D6489</f>
        <v>0</v>
      </c>
      <c r="L165" s="39">
        <f>資料儲存!E6489</f>
        <v>0</v>
      </c>
      <c r="M165" s="39">
        <f>資料儲存!F6489</f>
        <v>0</v>
      </c>
      <c r="N165" s="39">
        <f>資料儲存!G6489</f>
        <v>0</v>
      </c>
      <c r="O165" s="39">
        <f>資料儲存!H6489</f>
        <v>0</v>
      </c>
      <c r="P165" s="39">
        <f>資料儲存!I6489</f>
        <v>0</v>
      </c>
      <c r="Q165" s="39">
        <f>資料儲存!J6489</f>
        <v>0</v>
      </c>
      <c r="R165" s="58"/>
      <c r="S165" s="62">
        <v>8</v>
      </c>
      <c r="T165" s="39">
        <f>資料儲存!D6729</f>
        <v>0</v>
      </c>
      <c r="U165" s="39">
        <f>資料儲存!E6729</f>
        <v>0</v>
      </c>
      <c r="V165" s="39">
        <f>資料儲存!F6729</f>
        <v>0</v>
      </c>
      <c r="W165" s="39">
        <f>資料儲存!G6729</f>
        <v>0</v>
      </c>
      <c r="X165" s="39">
        <f>資料儲存!H6729</f>
        <v>0</v>
      </c>
      <c r="Y165" s="39">
        <f>資料儲存!I6729</f>
        <v>0</v>
      </c>
      <c r="Z165" s="39">
        <f>資料儲存!J6729</f>
        <v>0</v>
      </c>
      <c r="AA165" s="58"/>
      <c r="AB165" s="62">
        <v>8</v>
      </c>
      <c r="AC165" s="39">
        <f>資料儲存!D6969</f>
        <v>0</v>
      </c>
      <c r="AD165" s="39">
        <f>資料儲存!E6969</f>
        <v>0</v>
      </c>
      <c r="AE165" s="39">
        <f>資料儲存!F6969</f>
        <v>0</v>
      </c>
      <c r="AF165" s="39">
        <f>資料儲存!G6969</f>
        <v>0</v>
      </c>
      <c r="AG165" s="39">
        <f>資料儲存!H6969</f>
        <v>0</v>
      </c>
      <c r="AH165" s="39">
        <f>資料儲存!I6969</f>
        <v>0</v>
      </c>
      <c r="AI165" s="39">
        <f>資料儲存!J6969</f>
        <v>0</v>
      </c>
      <c r="AJ165" s="58"/>
      <c r="AK165" s="62">
        <v>8</v>
      </c>
      <c r="AL165" s="39">
        <f>資料儲存!D7209</f>
        <v>0</v>
      </c>
      <c r="AM165" s="39">
        <f>資料儲存!E7209</f>
        <v>0</v>
      </c>
      <c r="AN165" s="39">
        <f>資料儲存!F7209</f>
        <v>0</v>
      </c>
      <c r="AO165" s="39">
        <f>資料儲存!G7209</f>
        <v>0</v>
      </c>
      <c r="AP165" s="39">
        <f>資料儲存!H7209</f>
        <v>0</v>
      </c>
      <c r="AQ165" s="39">
        <f>資料儲存!I7209</f>
        <v>0</v>
      </c>
      <c r="AR165" s="39">
        <f>資料儲存!J7209</f>
        <v>0</v>
      </c>
      <c r="AS165" s="59"/>
      <c r="AT165" s="62">
        <v>8</v>
      </c>
      <c r="AU165" s="39">
        <f>資料儲存!D7449</f>
        <v>0</v>
      </c>
      <c r="AV165" s="39">
        <f>資料儲存!E7449</f>
        <v>0</v>
      </c>
      <c r="AW165" s="39">
        <f>資料儲存!F7449</f>
        <v>0</v>
      </c>
      <c r="AX165" s="39">
        <f>資料儲存!G7449</f>
        <v>0</v>
      </c>
      <c r="AY165" s="39">
        <f>資料儲存!H7449</f>
        <v>0</v>
      </c>
      <c r="AZ165" s="39">
        <f>資料儲存!I7449</f>
        <v>0</v>
      </c>
      <c r="BA165" s="39">
        <f>資料儲存!J7449</f>
        <v>0</v>
      </c>
    </row>
    <row r="166" spans="1:53" ht="16" thickBot="1">
      <c r="A166" s="62">
        <v>9</v>
      </c>
      <c r="B166" s="39">
        <f>資料儲存!D6250</f>
        <v>0</v>
      </c>
      <c r="C166" s="39">
        <f>資料儲存!E6250</f>
        <v>0</v>
      </c>
      <c r="D166" s="39">
        <f>資料儲存!F6250</f>
        <v>0</v>
      </c>
      <c r="E166" s="39">
        <f>資料儲存!G6250</f>
        <v>0</v>
      </c>
      <c r="F166" s="39">
        <f>資料儲存!H6250</f>
        <v>0</v>
      </c>
      <c r="G166" s="39">
        <f>資料儲存!I6250</f>
        <v>0</v>
      </c>
      <c r="H166" s="39">
        <f>資料儲存!J6250</f>
        <v>0</v>
      </c>
      <c r="I166" s="58"/>
      <c r="J166" s="62">
        <v>9</v>
      </c>
      <c r="K166" s="39">
        <f>資料儲存!D6490</f>
        <v>0</v>
      </c>
      <c r="L166" s="39">
        <f>資料儲存!E6490</f>
        <v>0</v>
      </c>
      <c r="M166" s="39">
        <f>資料儲存!F6490</f>
        <v>0</v>
      </c>
      <c r="N166" s="39">
        <f>資料儲存!G6490</f>
        <v>0</v>
      </c>
      <c r="O166" s="39">
        <f>資料儲存!H6490</f>
        <v>0</v>
      </c>
      <c r="P166" s="39">
        <f>資料儲存!I6490</f>
        <v>0</v>
      </c>
      <c r="Q166" s="39">
        <f>資料儲存!J6490</f>
        <v>0</v>
      </c>
      <c r="R166" s="58"/>
      <c r="S166" s="62">
        <v>9</v>
      </c>
      <c r="T166" s="39">
        <f>資料儲存!D6730</f>
        <v>0</v>
      </c>
      <c r="U166" s="39">
        <f>資料儲存!E6730</f>
        <v>0</v>
      </c>
      <c r="V166" s="39">
        <f>資料儲存!F6730</f>
        <v>0</v>
      </c>
      <c r="W166" s="39">
        <f>資料儲存!G6730</f>
        <v>0</v>
      </c>
      <c r="X166" s="39">
        <f>資料儲存!H6730</f>
        <v>0</v>
      </c>
      <c r="Y166" s="39">
        <f>資料儲存!I6730</f>
        <v>0</v>
      </c>
      <c r="Z166" s="39">
        <f>資料儲存!J6730</f>
        <v>0</v>
      </c>
      <c r="AA166" s="58"/>
      <c r="AB166" s="62">
        <v>9</v>
      </c>
      <c r="AC166" s="39">
        <f>資料儲存!D6970</f>
        <v>0</v>
      </c>
      <c r="AD166" s="39">
        <f>資料儲存!E6970</f>
        <v>0</v>
      </c>
      <c r="AE166" s="39">
        <f>資料儲存!F6970</f>
        <v>0</v>
      </c>
      <c r="AF166" s="39">
        <f>資料儲存!G6970</f>
        <v>0</v>
      </c>
      <c r="AG166" s="39">
        <f>資料儲存!H6970</f>
        <v>0</v>
      </c>
      <c r="AH166" s="39">
        <f>資料儲存!I6970</f>
        <v>0</v>
      </c>
      <c r="AI166" s="39">
        <f>資料儲存!J6970</f>
        <v>0</v>
      </c>
      <c r="AJ166" s="58"/>
      <c r="AK166" s="62">
        <v>9</v>
      </c>
      <c r="AL166" s="39">
        <f>資料儲存!D7210</f>
        <v>0</v>
      </c>
      <c r="AM166" s="39">
        <f>資料儲存!E7210</f>
        <v>0</v>
      </c>
      <c r="AN166" s="39">
        <f>資料儲存!F7210</f>
        <v>0</v>
      </c>
      <c r="AO166" s="39">
        <f>資料儲存!G7210</f>
        <v>0</v>
      </c>
      <c r="AP166" s="39">
        <f>資料儲存!H7210</f>
        <v>0</v>
      </c>
      <c r="AQ166" s="39">
        <f>資料儲存!I7210</f>
        <v>0</v>
      </c>
      <c r="AR166" s="39">
        <f>資料儲存!J7210</f>
        <v>0</v>
      </c>
      <c r="AS166" s="59"/>
      <c r="AT166" s="62">
        <v>9</v>
      </c>
      <c r="AU166" s="39">
        <f>資料儲存!D7450</f>
        <v>0</v>
      </c>
      <c r="AV166" s="39">
        <f>資料儲存!E7450</f>
        <v>0</v>
      </c>
      <c r="AW166" s="39">
        <f>資料儲存!F7450</f>
        <v>0</v>
      </c>
      <c r="AX166" s="39">
        <f>資料儲存!G7450</f>
        <v>0</v>
      </c>
      <c r="AY166" s="39">
        <f>資料儲存!H7450</f>
        <v>0</v>
      </c>
      <c r="AZ166" s="39">
        <f>資料儲存!I7450</f>
        <v>0</v>
      </c>
      <c r="BA166" s="39">
        <f>資料儲存!J7450</f>
        <v>0</v>
      </c>
    </row>
    <row r="167" spans="1:53" ht="16" thickBot="1">
      <c r="A167" s="62">
        <v>10</v>
      </c>
      <c r="B167" s="39">
        <f>資料儲存!D6251</f>
        <v>0</v>
      </c>
      <c r="C167" s="39">
        <f>資料儲存!E6251</f>
        <v>0</v>
      </c>
      <c r="D167" s="39">
        <f>資料儲存!F6251</f>
        <v>0</v>
      </c>
      <c r="E167" s="39">
        <f>資料儲存!G6251</f>
        <v>0</v>
      </c>
      <c r="F167" s="39">
        <f>資料儲存!H6251</f>
        <v>0</v>
      </c>
      <c r="G167" s="39">
        <f>資料儲存!I6251</f>
        <v>0</v>
      </c>
      <c r="H167" s="39">
        <f>資料儲存!J6251</f>
        <v>0</v>
      </c>
      <c r="I167" s="58"/>
      <c r="J167" s="62">
        <v>10</v>
      </c>
      <c r="K167" s="39">
        <f>資料儲存!D6491</f>
        <v>0</v>
      </c>
      <c r="L167" s="39">
        <f>資料儲存!E6491</f>
        <v>0</v>
      </c>
      <c r="M167" s="39">
        <f>資料儲存!F6491</f>
        <v>0</v>
      </c>
      <c r="N167" s="39">
        <f>資料儲存!G6491</f>
        <v>0</v>
      </c>
      <c r="O167" s="39">
        <f>資料儲存!H6491</f>
        <v>0</v>
      </c>
      <c r="P167" s="39">
        <f>資料儲存!I6491</f>
        <v>0</v>
      </c>
      <c r="Q167" s="39">
        <f>資料儲存!J6491</f>
        <v>0</v>
      </c>
      <c r="R167" s="58"/>
      <c r="S167" s="62">
        <v>10</v>
      </c>
      <c r="T167" s="39">
        <f>資料儲存!D6731</f>
        <v>0</v>
      </c>
      <c r="U167" s="39">
        <f>資料儲存!E6731</f>
        <v>0</v>
      </c>
      <c r="V167" s="39">
        <f>資料儲存!F6731</f>
        <v>0</v>
      </c>
      <c r="W167" s="39">
        <f>資料儲存!G6731</f>
        <v>0</v>
      </c>
      <c r="X167" s="39">
        <f>資料儲存!H6731</f>
        <v>0</v>
      </c>
      <c r="Y167" s="39">
        <f>資料儲存!I6731</f>
        <v>0</v>
      </c>
      <c r="Z167" s="39">
        <f>資料儲存!J6731</f>
        <v>0</v>
      </c>
      <c r="AA167" s="58"/>
      <c r="AB167" s="62">
        <v>10</v>
      </c>
      <c r="AC167" s="39">
        <f>資料儲存!D6971</f>
        <v>0</v>
      </c>
      <c r="AD167" s="39">
        <f>資料儲存!E6971</f>
        <v>0</v>
      </c>
      <c r="AE167" s="39">
        <f>資料儲存!F6971</f>
        <v>0</v>
      </c>
      <c r="AF167" s="39">
        <f>資料儲存!G6971</f>
        <v>0</v>
      </c>
      <c r="AG167" s="39">
        <f>資料儲存!H6971</f>
        <v>0</v>
      </c>
      <c r="AH167" s="39">
        <f>資料儲存!I6971</f>
        <v>0</v>
      </c>
      <c r="AI167" s="39">
        <f>資料儲存!J6971</f>
        <v>0</v>
      </c>
      <c r="AJ167" s="58"/>
      <c r="AK167" s="62">
        <v>10</v>
      </c>
      <c r="AL167" s="39">
        <f>資料儲存!D7211</f>
        <v>0</v>
      </c>
      <c r="AM167" s="39">
        <f>資料儲存!E7211</f>
        <v>0</v>
      </c>
      <c r="AN167" s="39">
        <f>資料儲存!F7211</f>
        <v>0</v>
      </c>
      <c r="AO167" s="39">
        <f>資料儲存!G7211</f>
        <v>0</v>
      </c>
      <c r="AP167" s="39">
        <f>資料儲存!H7211</f>
        <v>0</v>
      </c>
      <c r="AQ167" s="39">
        <f>資料儲存!I7211</f>
        <v>0</v>
      </c>
      <c r="AR167" s="39">
        <f>資料儲存!J7211</f>
        <v>0</v>
      </c>
      <c r="AS167" s="59"/>
      <c r="AT167" s="62">
        <v>10</v>
      </c>
      <c r="AU167" s="39">
        <f>資料儲存!D7451</f>
        <v>0</v>
      </c>
      <c r="AV167" s="39">
        <f>資料儲存!E7451</f>
        <v>0</v>
      </c>
      <c r="AW167" s="39">
        <f>資料儲存!F7451</f>
        <v>0</v>
      </c>
      <c r="AX167" s="39">
        <f>資料儲存!G7451</f>
        <v>0</v>
      </c>
      <c r="AY167" s="39">
        <f>資料儲存!H7451</f>
        <v>0</v>
      </c>
      <c r="AZ167" s="39">
        <f>資料儲存!I7451</f>
        <v>0</v>
      </c>
      <c r="BA167" s="39">
        <f>資料儲存!J7451</f>
        <v>0</v>
      </c>
    </row>
    <row r="168" spans="1:53" ht="16" thickBot="1">
      <c r="A168" s="62">
        <v>11</v>
      </c>
      <c r="B168" s="39">
        <f>資料儲存!D6252</f>
        <v>0</v>
      </c>
      <c r="C168" s="39">
        <f>資料儲存!E6252</f>
        <v>0</v>
      </c>
      <c r="D168" s="39">
        <f>資料儲存!F6252</f>
        <v>0</v>
      </c>
      <c r="E168" s="39">
        <f>資料儲存!G6252</f>
        <v>0</v>
      </c>
      <c r="F168" s="39">
        <f>資料儲存!H6252</f>
        <v>0</v>
      </c>
      <c r="G168" s="39">
        <f>資料儲存!I6252</f>
        <v>0</v>
      </c>
      <c r="H168" s="39">
        <f>資料儲存!J6252</f>
        <v>0</v>
      </c>
      <c r="I168" s="58"/>
      <c r="J168" s="62">
        <v>11</v>
      </c>
      <c r="K168" s="39">
        <f>資料儲存!D6492</f>
        <v>0</v>
      </c>
      <c r="L168" s="39">
        <f>資料儲存!E6492</f>
        <v>0</v>
      </c>
      <c r="M168" s="39">
        <f>資料儲存!F6492</f>
        <v>0</v>
      </c>
      <c r="N168" s="39">
        <f>資料儲存!G6492</f>
        <v>0</v>
      </c>
      <c r="O168" s="39">
        <f>資料儲存!H6492</f>
        <v>0</v>
      </c>
      <c r="P168" s="39">
        <f>資料儲存!I6492</f>
        <v>0</v>
      </c>
      <c r="Q168" s="39">
        <f>資料儲存!J6492</f>
        <v>0</v>
      </c>
      <c r="R168" s="58"/>
      <c r="S168" s="62">
        <v>11</v>
      </c>
      <c r="T168" s="39">
        <f>資料儲存!D6732</f>
        <v>0</v>
      </c>
      <c r="U168" s="39">
        <f>資料儲存!E6732</f>
        <v>0</v>
      </c>
      <c r="V168" s="39">
        <f>資料儲存!F6732</f>
        <v>0</v>
      </c>
      <c r="W168" s="39">
        <f>資料儲存!G6732</f>
        <v>0</v>
      </c>
      <c r="X168" s="39">
        <f>資料儲存!H6732</f>
        <v>0</v>
      </c>
      <c r="Y168" s="39">
        <f>資料儲存!I6732</f>
        <v>0</v>
      </c>
      <c r="Z168" s="39">
        <f>資料儲存!J6732</f>
        <v>0</v>
      </c>
      <c r="AA168" s="58"/>
      <c r="AB168" s="62">
        <v>11</v>
      </c>
      <c r="AC168" s="39">
        <f>資料儲存!D6972</f>
        <v>0</v>
      </c>
      <c r="AD168" s="39">
        <f>資料儲存!E6972</f>
        <v>0</v>
      </c>
      <c r="AE168" s="39">
        <f>資料儲存!F6972</f>
        <v>0</v>
      </c>
      <c r="AF168" s="39">
        <f>資料儲存!G6972</f>
        <v>0</v>
      </c>
      <c r="AG168" s="39">
        <f>資料儲存!H6972</f>
        <v>0</v>
      </c>
      <c r="AH168" s="39">
        <f>資料儲存!I6972</f>
        <v>0</v>
      </c>
      <c r="AI168" s="39">
        <f>資料儲存!J6972</f>
        <v>0</v>
      </c>
      <c r="AJ168" s="58"/>
      <c r="AK168" s="62">
        <v>11</v>
      </c>
      <c r="AL168" s="39">
        <f>資料儲存!D7212</f>
        <v>0</v>
      </c>
      <c r="AM168" s="39">
        <f>資料儲存!E7212</f>
        <v>0</v>
      </c>
      <c r="AN168" s="39">
        <f>資料儲存!F7212</f>
        <v>0</v>
      </c>
      <c r="AO168" s="39">
        <f>資料儲存!G7212</f>
        <v>0</v>
      </c>
      <c r="AP168" s="39">
        <f>資料儲存!H7212</f>
        <v>0</v>
      </c>
      <c r="AQ168" s="39">
        <f>資料儲存!I7212</f>
        <v>0</v>
      </c>
      <c r="AR168" s="39">
        <f>資料儲存!J7212</f>
        <v>0</v>
      </c>
      <c r="AS168" s="59"/>
      <c r="AT168" s="62">
        <v>11</v>
      </c>
      <c r="AU168" s="39">
        <f>資料儲存!D7452</f>
        <v>0</v>
      </c>
      <c r="AV168" s="39">
        <f>資料儲存!E7452</f>
        <v>0</v>
      </c>
      <c r="AW168" s="39">
        <f>資料儲存!F7452</f>
        <v>0</v>
      </c>
      <c r="AX168" s="39">
        <f>資料儲存!G7452</f>
        <v>0</v>
      </c>
      <c r="AY168" s="39">
        <f>資料儲存!H7452</f>
        <v>0</v>
      </c>
      <c r="AZ168" s="39">
        <f>資料儲存!I7452</f>
        <v>0</v>
      </c>
      <c r="BA168" s="39">
        <f>資料儲存!J7452</f>
        <v>0</v>
      </c>
    </row>
    <row r="169" spans="1:53" ht="16" thickBot="1">
      <c r="A169" s="62">
        <v>12</v>
      </c>
      <c r="B169" s="39">
        <f>資料儲存!D6253</f>
        <v>0</v>
      </c>
      <c r="C169" s="39">
        <f>資料儲存!E6253</f>
        <v>0</v>
      </c>
      <c r="D169" s="39">
        <f>資料儲存!F6253</f>
        <v>0</v>
      </c>
      <c r="E169" s="39">
        <f>資料儲存!G6253</f>
        <v>0</v>
      </c>
      <c r="F169" s="39">
        <f>資料儲存!H6253</f>
        <v>0</v>
      </c>
      <c r="G169" s="39">
        <f>資料儲存!I6253</f>
        <v>0</v>
      </c>
      <c r="H169" s="39">
        <f>資料儲存!J6253</f>
        <v>0</v>
      </c>
      <c r="I169" s="58"/>
      <c r="J169" s="62">
        <v>12</v>
      </c>
      <c r="K169" s="39">
        <f>資料儲存!D6493</f>
        <v>0</v>
      </c>
      <c r="L169" s="39">
        <f>資料儲存!E6493</f>
        <v>0</v>
      </c>
      <c r="M169" s="39">
        <f>資料儲存!F6493</f>
        <v>0</v>
      </c>
      <c r="N169" s="39">
        <f>資料儲存!G6493</f>
        <v>0</v>
      </c>
      <c r="O169" s="39">
        <f>資料儲存!H6493</f>
        <v>0</v>
      </c>
      <c r="P169" s="39">
        <f>資料儲存!I6493</f>
        <v>0</v>
      </c>
      <c r="Q169" s="39">
        <f>資料儲存!J6493</f>
        <v>0</v>
      </c>
      <c r="R169" s="58"/>
      <c r="S169" s="62">
        <v>12</v>
      </c>
      <c r="T169" s="39">
        <f>資料儲存!D6733</f>
        <v>0</v>
      </c>
      <c r="U169" s="39">
        <f>資料儲存!E6733</f>
        <v>0</v>
      </c>
      <c r="V169" s="39">
        <f>資料儲存!F6733</f>
        <v>0</v>
      </c>
      <c r="W169" s="39">
        <f>資料儲存!G6733</f>
        <v>0</v>
      </c>
      <c r="X169" s="39">
        <f>資料儲存!H6733</f>
        <v>0</v>
      </c>
      <c r="Y169" s="39">
        <f>資料儲存!I6733</f>
        <v>0</v>
      </c>
      <c r="Z169" s="39">
        <f>資料儲存!J6733</f>
        <v>0</v>
      </c>
      <c r="AA169" s="58"/>
      <c r="AB169" s="62">
        <v>12</v>
      </c>
      <c r="AC169" s="39">
        <f>資料儲存!D6973</f>
        <v>0</v>
      </c>
      <c r="AD169" s="39">
        <f>資料儲存!E6973</f>
        <v>0</v>
      </c>
      <c r="AE169" s="39">
        <f>資料儲存!F6973</f>
        <v>0</v>
      </c>
      <c r="AF169" s="39">
        <f>資料儲存!G6973</f>
        <v>0</v>
      </c>
      <c r="AG169" s="39">
        <f>資料儲存!H6973</f>
        <v>0</v>
      </c>
      <c r="AH169" s="39">
        <f>資料儲存!I6973</f>
        <v>0</v>
      </c>
      <c r="AI169" s="39">
        <f>資料儲存!J6973</f>
        <v>0</v>
      </c>
      <c r="AJ169" s="58"/>
      <c r="AK169" s="62">
        <v>12</v>
      </c>
      <c r="AL169" s="39">
        <f>資料儲存!D7213</f>
        <v>0</v>
      </c>
      <c r="AM169" s="39">
        <f>資料儲存!E7213</f>
        <v>0</v>
      </c>
      <c r="AN169" s="39">
        <f>資料儲存!F7213</f>
        <v>0</v>
      </c>
      <c r="AO169" s="39">
        <f>資料儲存!G7213</f>
        <v>0</v>
      </c>
      <c r="AP169" s="39">
        <f>資料儲存!H7213</f>
        <v>0</v>
      </c>
      <c r="AQ169" s="39">
        <f>資料儲存!I7213</f>
        <v>0</v>
      </c>
      <c r="AR169" s="39">
        <f>資料儲存!J7213</f>
        <v>0</v>
      </c>
      <c r="AS169" s="59"/>
      <c r="AT169" s="62">
        <v>12</v>
      </c>
      <c r="AU169" s="39">
        <f>資料儲存!D7453</f>
        <v>0</v>
      </c>
      <c r="AV169" s="39">
        <f>資料儲存!E7453</f>
        <v>0</v>
      </c>
      <c r="AW169" s="39">
        <f>資料儲存!F7453</f>
        <v>0</v>
      </c>
      <c r="AX169" s="39">
        <f>資料儲存!G7453</f>
        <v>0</v>
      </c>
      <c r="AY169" s="39">
        <f>資料儲存!H7453</f>
        <v>0</v>
      </c>
      <c r="AZ169" s="39">
        <f>資料儲存!I7453</f>
        <v>0</v>
      </c>
      <c r="BA169" s="39">
        <f>資料儲存!J7453</f>
        <v>0</v>
      </c>
    </row>
    <row r="170" spans="1:53" ht="16" thickBot="1">
      <c r="A170" s="62">
        <v>13</v>
      </c>
      <c r="B170" s="39">
        <f>資料儲存!D6254</f>
        <v>0</v>
      </c>
      <c r="C170" s="39">
        <f>資料儲存!E6254</f>
        <v>0</v>
      </c>
      <c r="D170" s="39">
        <f>資料儲存!F6254</f>
        <v>0</v>
      </c>
      <c r="E170" s="39">
        <f>資料儲存!G6254</f>
        <v>0</v>
      </c>
      <c r="F170" s="39">
        <f>資料儲存!H6254</f>
        <v>0</v>
      </c>
      <c r="G170" s="39">
        <f>資料儲存!I6254</f>
        <v>0</v>
      </c>
      <c r="H170" s="39">
        <f>資料儲存!J6254</f>
        <v>0</v>
      </c>
      <c r="I170" s="58"/>
      <c r="J170" s="62">
        <v>13</v>
      </c>
      <c r="K170" s="39">
        <f>資料儲存!D6494</f>
        <v>0</v>
      </c>
      <c r="L170" s="39">
        <f>資料儲存!E6494</f>
        <v>0</v>
      </c>
      <c r="M170" s="39">
        <f>資料儲存!F6494</f>
        <v>0</v>
      </c>
      <c r="N170" s="39">
        <f>資料儲存!G6494</f>
        <v>0</v>
      </c>
      <c r="O170" s="39">
        <f>資料儲存!H6494</f>
        <v>0</v>
      </c>
      <c r="P170" s="39">
        <f>資料儲存!I6494</f>
        <v>0</v>
      </c>
      <c r="Q170" s="39">
        <f>資料儲存!J6494</f>
        <v>0</v>
      </c>
      <c r="R170" s="58"/>
      <c r="S170" s="62">
        <v>13</v>
      </c>
      <c r="T170" s="39">
        <f>資料儲存!D6734</f>
        <v>0</v>
      </c>
      <c r="U170" s="39">
        <f>資料儲存!E6734</f>
        <v>0</v>
      </c>
      <c r="V170" s="39">
        <f>資料儲存!F6734</f>
        <v>0</v>
      </c>
      <c r="W170" s="39">
        <f>資料儲存!G6734</f>
        <v>0</v>
      </c>
      <c r="X170" s="39">
        <f>資料儲存!H6734</f>
        <v>0</v>
      </c>
      <c r="Y170" s="39">
        <f>資料儲存!I6734</f>
        <v>0</v>
      </c>
      <c r="Z170" s="39">
        <f>資料儲存!J6734</f>
        <v>0</v>
      </c>
      <c r="AA170" s="58"/>
      <c r="AB170" s="62">
        <v>13</v>
      </c>
      <c r="AC170" s="39">
        <f>資料儲存!D6974</f>
        <v>0</v>
      </c>
      <c r="AD170" s="39">
        <f>資料儲存!E6974</f>
        <v>0</v>
      </c>
      <c r="AE170" s="39">
        <f>資料儲存!F6974</f>
        <v>0</v>
      </c>
      <c r="AF170" s="39">
        <f>資料儲存!G6974</f>
        <v>0</v>
      </c>
      <c r="AG170" s="39">
        <f>資料儲存!H6974</f>
        <v>0</v>
      </c>
      <c r="AH170" s="39">
        <f>資料儲存!I6974</f>
        <v>0</v>
      </c>
      <c r="AI170" s="39">
        <f>資料儲存!J6974</f>
        <v>0</v>
      </c>
      <c r="AJ170" s="58"/>
      <c r="AK170" s="62">
        <v>13</v>
      </c>
      <c r="AL170" s="39">
        <f>資料儲存!D7214</f>
        <v>0</v>
      </c>
      <c r="AM170" s="39">
        <f>資料儲存!E7214</f>
        <v>0</v>
      </c>
      <c r="AN170" s="39">
        <f>資料儲存!F7214</f>
        <v>0</v>
      </c>
      <c r="AO170" s="39">
        <f>資料儲存!G7214</f>
        <v>0</v>
      </c>
      <c r="AP170" s="39">
        <f>資料儲存!H7214</f>
        <v>0</v>
      </c>
      <c r="AQ170" s="39">
        <f>資料儲存!I7214</f>
        <v>0</v>
      </c>
      <c r="AR170" s="39">
        <f>資料儲存!J7214</f>
        <v>0</v>
      </c>
      <c r="AS170" s="59"/>
      <c r="AT170" s="62">
        <v>13</v>
      </c>
      <c r="AU170" s="39">
        <f>資料儲存!D7454</f>
        <v>0</v>
      </c>
      <c r="AV170" s="39">
        <f>資料儲存!E7454</f>
        <v>0</v>
      </c>
      <c r="AW170" s="39">
        <f>資料儲存!F7454</f>
        <v>0</v>
      </c>
      <c r="AX170" s="39">
        <f>資料儲存!G7454</f>
        <v>0</v>
      </c>
      <c r="AY170" s="39">
        <f>資料儲存!H7454</f>
        <v>0</v>
      </c>
      <c r="AZ170" s="39">
        <f>資料儲存!I7454</f>
        <v>0</v>
      </c>
      <c r="BA170" s="39">
        <f>資料儲存!J7454</f>
        <v>0</v>
      </c>
    </row>
    <row r="171" spans="1:53" ht="16" thickBot="1">
      <c r="A171" s="62">
        <v>14</v>
      </c>
      <c r="B171" s="39">
        <f>資料儲存!D6255</f>
        <v>0</v>
      </c>
      <c r="C171" s="39">
        <f>資料儲存!E6255</f>
        <v>0</v>
      </c>
      <c r="D171" s="39">
        <f>資料儲存!F6255</f>
        <v>0</v>
      </c>
      <c r="E171" s="39">
        <f>資料儲存!G6255</f>
        <v>0</v>
      </c>
      <c r="F171" s="39">
        <f>資料儲存!H6255</f>
        <v>0</v>
      </c>
      <c r="G171" s="39">
        <f>資料儲存!I6255</f>
        <v>0</v>
      </c>
      <c r="H171" s="39">
        <f>資料儲存!J6255</f>
        <v>0</v>
      </c>
      <c r="I171" s="58"/>
      <c r="J171" s="62">
        <v>14</v>
      </c>
      <c r="K171" s="39">
        <f>資料儲存!D6495</f>
        <v>0</v>
      </c>
      <c r="L171" s="39">
        <f>資料儲存!E6495</f>
        <v>0</v>
      </c>
      <c r="M171" s="39">
        <f>資料儲存!F6495</f>
        <v>0</v>
      </c>
      <c r="N171" s="39">
        <f>資料儲存!G6495</f>
        <v>0</v>
      </c>
      <c r="O171" s="39">
        <f>資料儲存!H6495</f>
        <v>0</v>
      </c>
      <c r="P171" s="39">
        <f>資料儲存!I6495</f>
        <v>0</v>
      </c>
      <c r="Q171" s="39">
        <f>資料儲存!J6495</f>
        <v>0</v>
      </c>
      <c r="R171" s="58"/>
      <c r="S171" s="62">
        <v>14</v>
      </c>
      <c r="T171" s="39">
        <f>資料儲存!D6735</f>
        <v>0</v>
      </c>
      <c r="U171" s="39">
        <f>資料儲存!E6735</f>
        <v>0</v>
      </c>
      <c r="V171" s="39">
        <f>資料儲存!F6735</f>
        <v>0</v>
      </c>
      <c r="W171" s="39">
        <f>資料儲存!G6735</f>
        <v>0</v>
      </c>
      <c r="X171" s="39">
        <f>資料儲存!H6735</f>
        <v>0</v>
      </c>
      <c r="Y171" s="39">
        <f>資料儲存!I6735</f>
        <v>0</v>
      </c>
      <c r="Z171" s="39">
        <f>資料儲存!J6735</f>
        <v>0</v>
      </c>
      <c r="AA171" s="58"/>
      <c r="AB171" s="62">
        <v>14</v>
      </c>
      <c r="AC171" s="39">
        <f>資料儲存!D6975</f>
        <v>0</v>
      </c>
      <c r="AD171" s="39">
        <f>資料儲存!E6975</f>
        <v>0</v>
      </c>
      <c r="AE171" s="39">
        <f>資料儲存!F6975</f>
        <v>0</v>
      </c>
      <c r="AF171" s="39">
        <f>資料儲存!G6975</f>
        <v>0</v>
      </c>
      <c r="AG171" s="39">
        <f>資料儲存!H6975</f>
        <v>0</v>
      </c>
      <c r="AH171" s="39">
        <f>資料儲存!I6975</f>
        <v>0</v>
      </c>
      <c r="AI171" s="39">
        <f>資料儲存!J6975</f>
        <v>0</v>
      </c>
      <c r="AJ171" s="58"/>
      <c r="AK171" s="62">
        <v>14</v>
      </c>
      <c r="AL171" s="39">
        <f>資料儲存!D7215</f>
        <v>0</v>
      </c>
      <c r="AM171" s="39">
        <f>資料儲存!E7215</f>
        <v>0</v>
      </c>
      <c r="AN171" s="39">
        <f>資料儲存!F7215</f>
        <v>0</v>
      </c>
      <c r="AO171" s="39">
        <f>資料儲存!G7215</f>
        <v>0</v>
      </c>
      <c r="AP171" s="39">
        <f>資料儲存!H7215</f>
        <v>0</v>
      </c>
      <c r="AQ171" s="39">
        <f>資料儲存!I7215</f>
        <v>0</v>
      </c>
      <c r="AR171" s="39">
        <f>資料儲存!J7215</f>
        <v>0</v>
      </c>
      <c r="AS171" s="59"/>
      <c r="AT171" s="62">
        <v>14</v>
      </c>
      <c r="AU171" s="39">
        <f>資料儲存!D7455</f>
        <v>0</v>
      </c>
      <c r="AV171" s="39">
        <f>資料儲存!E7455</f>
        <v>0</v>
      </c>
      <c r="AW171" s="39">
        <f>資料儲存!F7455</f>
        <v>0</v>
      </c>
      <c r="AX171" s="39">
        <f>資料儲存!G7455</f>
        <v>0</v>
      </c>
      <c r="AY171" s="39">
        <f>資料儲存!H7455</f>
        <v>0</v>
      </c>
      <c r="AZ171" s="39">
        <f>資料儲存!I7455</f>
        <v>0</v>
      </c>
      <c r="BA171" s="39">
        <f>資料儲存!J7455</f>
        <v>0</v>
      </c>
    </row>
    <row r="172" spans="1:53" ht="16" thickBot="1">
      <c r="A172" s="62">
        <v>15</v>
      </c>
      <c r="B172" s="39">
        <f>資料儲存!D6256</f>
        <v>0</v>
      </c>
      <c r="C172" s="39">
        <f>資料儲存!E6256</f>
        <v>0</v>
      </c>
      <c r="D172" s="39">
        <f>資料儲存!F6256</f>
        <v>0</v>
      </c>
      <c r="E172" s="39">
        <f>資料儲存!G6256</f>
        <v>0</v>
      </c>
      <c r="F172" s="39">
        <f>資料儲存!H6256</f>
        <v>0</v>
      </c>
      <c r="G172" s="39">
        <f>資料儲存!I6256</f>
        <v>0</v>
      </c>
      <c r="H172" s="39">
        <f>資料儲存!J6256</f>
        <v>0</v>
      </c>
      <c r="I172" s="58"/>
      <c r="J172" s="62">
        <v>15</v>
      </c>
      <c r="K172" s="39">
        <f>資料儲存!D6496</f>
        <v>0</v>
      </c>
      <c r="L172" s="39">
        <f>資料儲存!E6496</f>
        <v>0</v>
      </c>
      <c r="M172" s="39">
        <f>資料儲存!F6496</f>
        <v>0</v>
      </c>
      <c r="N172" s="39">
        <f>資料儲存!G6496</f>
        <v>0</v>
      </c>
      <c r="O172" s="39">
        <f>資料儲存!H6496</f>
        <v>0</v>
      </c>
      <c r="P172" s="39">
        <f>資料儲存!I6496</f>
        <v>0</v>
      </c>
      <c r="Q172" s="39">
        <f>資料儲存!J6496</f>
        <v>0</v>
      </c>
      <c r="R172" s="58"/>
      <c r="S172" s="62">
        <v>15</v>
      </c>
      <c r="T172" s="39">
        <f>資料儲存!D6736</f>
        <v>0</v>
      </c>
      <c r="U172" s="39">
        <f>資料儲存!E6736</f>
        <v>0</v>
      </c>
      <c r="V172" s="39">
        <f>資料儲存!F6736</f>
        <v>0</v>
      </c>
      <c r="W172" s="39">
        <f>資料儲存!G6736</f>
        <v>0</v>
      </c>
      <c r="X172" s="39">
        <f>資料儲存!H6736</f>
        <v>0</v>
      </c>
      <c r="Y172" s="39">
        <f>資料儲存!I6736</f>
        <v>0</v>
      </c>
      <c r="Z172" s="39">
        <f>資料儲存!J6736</f>
        <v>0</v>
      </c>
      <c r="AA172" s="58"/>
      <c r="AB172" s="62">
        <v>15</v>
      </c>
      <c r="AC172" s="39">
        <f>資料儲存!D6976</f>
        <v>0</v>
      </c>
      <c r="AD172" s="39">
        <f>資料儲存!E6976</f>
        <v>0</v>
      </c>
      <c r="AE172" s="39">
        <f>資料儲存!F6976</f>
        <v>0</v>
      </c>
      <c r="AF172" s="39">
        <f>資料儲存!G6976</f>
        <v>0</v>
      </c>
      <c r="AG172" s="39">
        <f>資料儲存!H6976</f>
        <v>0</v>
      </c>
      <c r="AH172" s="39">
        <f>資料儲存!I6976</f>
        <v>0</v>
      </c>
      <c r="AI172" s="39">
        <f>資料儲存!J6976</f>
        <v>0</v>
      </c>
      <c r="AJ172" s="58"/>
      <c r="AK172" s="62">
        <v>15</v>
      </c>
      <c r="AL172" s="39">
        <f>資料儲存!D7216</f>
        <v>0</v>
      </c>
      <c r="AM172" s="39">
        <f>資料儲存!E7216</f>
        <v>0</v>
      </c>
      <c r="AN172" s="39">
        <f>資料儲存!F7216</f>
        <v>0</v>
      </c>
      <c r="AO172" s="39">
        <f>資料儲存!G7216</f>
        <v>0</v>
      </c>
      <c r="AP172" s="39">
        <f>資料儲存!H7216</f>
        <v>0</v>
      </c>
      <c r="AQ172" s="39">
        <f>資料儲存!I7216</f>
        <v>0</v>
      </c>
      <c r="AR172" s="39">
        <f>資料儲存!J7216</f>
        <v>0</v>
      </c>
      <c r="AS172" s="59"/>
      <c r="AT172" s="62">
        <v>15</v>
      </c>
      <c r="AU172" s="39">
        <f>資料儲存!D7456</f>
        <v>0</v>
      </c>
      <c r="AV172" s="39">
        <f>資料儲存!E7456</f>
        <v>0</v>
      </c>
      <c r="AW172" s="39">
        <f>資料儲存!F7456</f>
        <v>0</v>
      </c>
      <c r="AX172" s="39">
        <f>資料儲存!G7456</f>
        <v>0</v>
      </c>
      <c r="AY172" s="39">
        <f>資料儲存!H7456</f>
        <v>0</v>
      </c>
      <c r="AZ172" s="39">
        <f>資料儲存!I7456</f>
        <v>0</v>
      </c>
      <c r="BA172" s="39">
        <f>資料儲存!J7456</f>
        <v>0</v>
      </c>
    </row>
    <row r="173" spans="1:53" ht="17.25" customHeight="1" thickBot="1">
      <c r="A173" s="40" t="s">
        <v>56</v>
      </c>
      <c r="B173" s="39">
        <f>SUM(B158:E172)</f>
        <v>0</v>
      </c>
      <c r="C173" s="37"/>
      <c r="D173" s="37"/>
      <c r="E173" s="37"/>
      <c r="F173" s="39">
        <f>F172</f>
        <v>0</v>
      </c>
      <c r="G173" s="39">
        <f>G172</f>
        <v>0</v>
      </c>
      <c r="H173" s="39">
        <f>H172</f>
        <v>0</v>
      </c>
      <c r="I173" s="35"/>
      <c r="J173" s="40" t="s">
        <v>56</v>
      </c>
      <c r="K173" s="39">
        <f>SUM(K158:N172)</f>
        <v>0</v>
      </c>
      <c r="L173" s="37"/>
      <c r="M173" s="37"/>
      <c r="N173" s="37"/>
      <c r="O173" s="39">
        <f>O172</f>
        <v>0</v>
      </c>
      <c r="P173" s="39">
        <f>P172</f>
        <v>0</v>
      </c>
      <c r="Q173" s="39">
        <f>Q172</f>
        <v>0</v>
      </c>
      <c r="R173" s="35"/>
      <c r="S173" s="40" t="s">
        <v>56</v>
      </c>
      <c r="T173" s="39">
        <f>SUM(T158:W172)</f>
        <v>0</v>
      </c>
      <c r="U173" s="37"/>
      <c r="V173" s="37"/>
      <c r="W173" s="37"/>
      <c r="X173" s="39">
        <f>X172</f>
        <v>0</v>
      </c>
      <c r="Y173" s="39">
        <f>Y172</f>
        <v>0</v>
      </c>
      <c r="Z173" s="39">
        <f>Z172</f>
        <v>0</v>
      </c>
      <c r="AA173" s="35"/>
      <c r="AB173" s="40" t="s">
        <v>56</v>
      </c>
      <c r="AC173" s="39">
        <f>SUM(AC158:AF172)</f>
        <v>0</v>
      </c>
      <c r="AD173" s="37"/>
      <c r="AE173" s="37"/>
      <c r="AF173" s="37"/>
      <c r="AG173" s="39">
        <f>AG172</f>
        <v>0</v>
      </c>
      <c r="AH173" s="39">
        <f>AH172</f>
        <v>0</v>
      </c>
      <c r="AI173" s="39">
        <f>AI172</f>
        <v>0</v>
      </c>
      <c r="AJ173" s="35"/>
      <c r="AK173" s="40" t="s">
        <v>56</v>
      </c>
      <c r="AL173" s="39">
        <f>SUM(AL158:AO172)</f>
        <v>0</v>
      </c>
      <c r="AM173" s="37"/>
      <c r="AN173" s="37"/>
      <c r="AO173" s="37"/>
      <c r="AP173" s="39">
        <f>AP172</f>
        <v>0</v>
      </c>
      <c r="AQ173" s="39">
        <f>AQ172</f>
        <v>0</v>
      </c>
      <c r="AR173" s="39">
        <f>AR172</f>
        <v>0</v>
      </c>
      <c r="AS173" s="59"/>
      <c r="AT173" s="40" t="s">
        <v>56</v>
      </c>
      <c r="AU173" s="39">
        <f>SUM(AU158:AX172)</f>
        <v>0</v>
      </c>
      <c r="AV173" s="37"/>
      <c r="AW173" s="37"/>
      <c r="AX173" s="37"/>
      <c r="AY173" s="39">
        <f>AY172</f>
        <v>0</v>
      </c>
      <c r="AZ173" s="39">
        <f>AZ172</f>
        <v>0</v>
      </c>
      <c r="BA173" s="39">
        <f>BA172</f>
        <v>0</v>
      </c>
    </row>
    <row r="174" spans="1:53" ht="18.5" thickBot="1">
      <c r="A174" s="257" t="s">
        <v>116</v>
      </c>
      <c r="B174" s="258"/>
      <c r="C174" s="258"/>
      <c r="D174" s="258"/>
      <c r="E174" s="258"/>
      <c r="F174" s="258"/>
      <c r="G174" s="258"/>
      <c r="H174" s="259"/>
      <c r="I174" s="14"/>
      <c r="J174" s="257" t="s">
        <v>116</v>
      </c>
      <c r="K174" s="258"/>
      <c r="L174" s="258"/>
      <c r="M174" s="258"/>
      <c r="N174" s="258"/>
      <c r="O174" s="258"/>
      <c r="P174" s="258"/>
      <c r="Q174" s="259"/>
      <c r="R174" s="14"/>
      <c r="S174" s="257" t="s">
        <v>116</v>
      </c>
      <c r="T174" s="258"/>
      <c r="U174" s="258"/>
      <c r="V174" s="258"/>
      <c r="W174" s="258"/>
      <c r="X174" s="258"/>
      <c r="Y174" s="258"/>
      <c r="Z174" s="259"/>
      <c r="AA174" s="14"/>
      <c r="AB174" s="257" t="s">
        <v>116</v>
      </c>
      <c r="AC174" s="258"/>
      <c r="AD174" s="258"/>
      <c r="AE174" s="258"/>
      <c r="AF174" s="258"/>
      <c r="AG174" s="258"/>
      <c r="AH174" s="258"/>
      <c r="AI174" s="259"/>
      <c r="AJ174" s="14"/>
      <c r="AK174" s="257" t="s">
        <v>116</v>
      </c>
      <c r="AL174" s="258"/>
      <c r="AM174" s="258"/>
      <c r="AN174" s="258"/>
      <c r="AO174" s="258"/>
      <c r="AP174" s="258"/>
      <c r="AQ174" s="258"/>
      <c r="AR174" s="259"/>
      <c r="AT174" s="257" t="s">
        <v>116</v>
      </c>
      <c r="AU174" s="258"/>
      <c r="AV174" s="258"/>
      <c r="AW174" s="258"/>
      <c r="AX174" s="258"/>
      <c r="AY174" s="258"/>
      <c r="AZ174" s="258"/>
      <c r="BA174" s="259"/>
    </row>
    <row r="175" spans="1:53" ht="17.25" customHeight="1" thickBot="1">
      <c r="A175" s="63" t="s">
        <v>2</v>
      </c>
      <c r="B175" s="64" t="s">
        <v>46</v>
      </c>
      <c r="C175" s="65"/>
      <c r="D175" s="65"/>
      <c r="E175" s="66"/>
      <c r="F175" s="64" t="s">
        <v>47</v>
      </c>
      <c r="G175" s="65"/>
      <c r="H175" s="66"/>
      <c r="I175" s="52"/>
      <c r="J175" s="63" t="s">
        <v>2</v>
      </c>
      <c r="K175" s="64" t="s">
        <v>46</v>
      </c>
      <c r="L175" s="65"/>
      <c r="M175" s="65"/>
      <c r="N175" s="66"/>
      <c r="O175" s="64" t="s">
        <v>47</v>
      </c>
      <c r="P175" s="65"/>
      <c r="Q175" s="66"/>
      <c r="R175" s="52"/>
      <c r="S175" s="63" t="s">
        <v>2</v>
      </c>
      <c r="T175" s="64" t="s">
        <v>46</v>
      </c>
      <c r="U175" s="65"/>
      <c r="V175" s="65"/>
      <c r="W175" s="66"/>
      <c r="X175" s="64" t="s">
        <v>47</v>
      </c>
      <c r="Y175" s="65"/>
      <c r="Z175" s="66"/>
      <c r="AA175" s="52"/>
      <c r="AB175" s="63" t="s">
        <v>2</v>
      </c>
      <c r="AC175" s="64" t="s">
        <v>46</v>
      </c>
      <c r="AD175" s="65"/>
      <c r="AE175" s="65"/>
      <c r="AF175" s="66"/>
      <c r="AG175" s="64" t="s">
        <v>47</v>
      </c>
      <c r="AH175" s="65"/>
      <c r="AI175" s="66"/>
      <c r="AJ175" s="52"/>
      <c r="AK175" s="63" t="s">
        <v>2</v>
      </c>
      <c r="AL175" s="64" t="s">
        <v>46</v>
      </c>
      <c r="AM175" s="65"/>
      <c r="AN175" s="65"/>
      <c r="AO175" s="66"/>
      <c r="AP175" s="64" t="s">
        <v>47</v>
      </c>
      <c r="AQ175" s="65"/>
      <c r="AR175" s="66"/>
      <c r="AS175" s="67"/>
      <c r="AT175" s="63" t="s">
        <v>2</v>
      </c>
      <c r="AU175" s="64" t="s">
        <v>46</v>
      </c>
      <c r="AV175" s="65"/>
      <c r="AW175" s="65"/>
      <c r="AX175" s="66"/>
      <c r="AY175" s="64" t="s">
        <v>47</v>
      </c>
      <c r="AZ175" s="65"/>
      <c r="BA175" s="66"/>
    </row>
    <row r="176" spans="1:53" ht="16" thickBot="1">
      <c r="A176" s="68">
        <v>0.76041666666666663</v>
      </c>
      <c r="B176" s="69" t="s">
        <v>49</v>
      </c>
      <c r="C176" s="69" t="s">
        <v>50</v>
      </c>
      <c r="D176" s="69" t="s">
        <v>51</v>
      </c>
      <c r="E176" s="69" t="s">
        <v>52</v>
      </c>
      <c r="F176" s="69" t="s">
        <v>53</v>
      </c>
      <c r="G176" s="69" t="s">
        <v>54</v>
      </c>
      <c r="H176" s="69" t="s">
        <v>55</v>
      </c>
      <c r="I176" s="52"/>
      <c r="J176" s="68">
        <v>0.76041666666666663</v>
      </c>
      <c r="K176" s="69" t="s">
        <v>49</v>
      </c>
      <c r="L176" s="69" t="s">
        <v>50</v>
      </c>
      <c r="M176" s="69" t="s">
        <v>51</v>
      </c>
      <c r="N176" s="69" t="s">
        <v>52</v>
      </c>
      <c r="O176" s="69" t="s">
        <v>53</v>
      </c>
      <c r="P176" s="69" t="s">
        <v>54</v>
      </c>
      <c r="Q176" s="69" t="s">
        <v>55</v>
      </c>
      <c r="R176" s="52"/>
      <c r="S176" s="68">
        <v>0.76041666666666663</v>
      </c>
      <c r="T176" s="69" t="s">
        <v>49</v>
      </c>
      <c r="U176" s="69" t="s">
        <v>50</v>
      </c>
      <c r="V176" s="69" t="s">
        <v>51</v>
      </c>
      <c r="W176" s="69" t="s">
        <v>52</v>
      </c>
      <c r="X176" s="69" t="s">
        <v>53</v>
      </c>
      <c r="Y176" s="69" t="s">
        <v>54</v>
      </c>
      <c r="Z176" s="69" t="s">
        <v>55</v>
      </c>
      <c r="AA176" s="52"/>
      <c r="AB176" s="68">
        <v>0.76041666666666663</v>
      </c>
      <c r="AC176" s="69" t="s">
        <v>49</v>
      </c>
      <c r="AD176" s="69" t="s">
        <v>50</v>
      </c>
      <c r="AE176" s="69" t="s">
        <v>51</v>
      </c>
      <c r="AF176" s="69" t="s">
        <v>52</v>
      </c>
      <c r="AG176" s="69" t="s">
        <v>53</v>
      </c>
      <c r="AH176" s="69" t="s">
        <v>54</v>
      </c>
      <c r="AI176" s="69" t="s">
        <v>55</v>
      </c>
      <c r="AJ176" s="52"/>
      <c r="AK176" s="68">
        <v>0.76041666666666663</v>
      </c>
      <c r="AL176" s="69" t="s">
        <v>49</v>
      </c>
      <c r="AM176" s="69" t="s">
        <v>50</v>
      </c>
      <c r="AN176" s="69" t="s">
        <v>51</v>
      </c>
      <c r="AO176" s="69" t="s">
        <v>52</v>
      </c>
      <c r="AP176" s="69" t="s">
        <v>53</v>
      </c>
      <c r="AQ176" s="69" t="s">
        <v>54</v>
      </c>
      <c r="AR176" s="69" t="s">
        <v>55</v>
      </c>
      <c r="AS176" s="67"/>
      <c r="AT176" s="68">
        <v>0.76041666666666663</v>
      </c>
      <c r="AU176" s="69" t="s">
        <v>49</v>
      </c>
      <c r="AV176" s="69" t="s">
        <v>50</v>
      </c>
      <c r="AW176" s="69" t="s">
        <v>51</v>
      </c>
      <c r="AX176" s="69" t="s">
        <v>52</v>
      </c>
      <c r="AY176" s="69" t="s">
        <v>53</v>
      </c>
      <c r="AZ176" s="69" t="s">
        <v>54</v>
      </c>
      <c r="BA176" s="69" t="s">
        <v>55</v>
      </c>
    </row>
    <row r="177" spans="1:53" ht="16" thickBot="1">
      <c r="A177" s="70">
        <v>16</v>
      </c>
      <c r="B177" s="49">
        <f>資料儲存!D6257</f>
        <v>0</v>
      </c>
      <c r="C177" s="49">
        <f>資料儲存!E6257</f>
        <v>0</v>
      </c>
      <c r="D177" s="49">
        <f>資料儲存!F6257</f>
        <v>0</v>
      </c>
      <c r="E177" s="49">
        <f>資料儲存!G6257</f>
        <v>0</v>
      </c>
      <c r="F177" s="49">
        <f>資料儲存!H6257</f>
        <v>0</v>
      </c>
      <c r="G177" s="49">
        <f>資料儲存!I6257</f>
        <v>0</v>
      </c>
      <c r="H177" s="49">
        <f>資料儲存!J6257</f>
        <v>0</v>
      </c>
      <c r="I177" s="52"/>
      <c r="J177" s="70">
        <v>16</v>
      </c>
      <c r="K177" s="49">
        <f>資料儲存!D6497</f>
        <v>0</v>
      </c>
      <c r="L177" s="49">
        <f>資料儲存!E6497</f>
        <v>0</v>
      </c>
      <c r="M177" s="49">
        <f>資料儲存!F6497</f>
        <v>0</v>
      </c>
      <c r="N177" s="49">
        <f>資料儲存!G6497</f>
        <v>0</v>
      </c>
      <c r="O177" s="49">
        <f>資料儲存!H6497</f>
        <v>0</v>
      </c>
      <c r="P177" s="49">
        <f>資料儲存!I6497</f>
        <v>0</v>
      </c>
      <c r="Q177" s="49">
        <f>資料儲存!J6497</f>
        <v>0</v>
      </c>
      <c r="R177" s="52"/>
      <c r="S177" s="70">
        <v>16</v>
      </c>
      <c r="T177" s="49">
        <f>資料儲存!D6737</f>
        <v>0</v>
      </c>
      <c r="U177" s="49">
        <f>資料儲存!E6737</f>
        <v>0</v>
      </c>
      <c r="V177" s="49">
        <f>資料儲存!F6737</f>
        <v>0</v>
      </c>
      <c r="W177" s="49">
        <f>資料儲存!G6737</f>
        <v>0</v>
      </c>
      <c r="X177" s="49">
        <f>資料儲存!H6737</f>
        <v>0</v>
      </c>
      <c r="Y177" s="49">
        <f>資料儲存!I6737</f>
        <v>0</v>
      </c>
      <c r="Z177" s="49">
        <f>資料儲存!J6737</f>
        <v>0</v>
      </c>
      <c r="AA177" s="52"/>
      <c r="AB177" s="70">
        <v>16</v>
      </c>
      <c r="AC177" s="49">
        <f>資料儲存!D6977</f>
        <v>0</v>
      </c>
      <c r="AD177" s="49">
        <f>資料儲存!E6977</f>
        <v>0</v>
      </c>
      <c r="AE177" s="49">
        <f>資料儲存!F6977</f>
        <v>0</v>
      </c>
      <c r="AF177" s="49">
        <f>資料儲存!G6977</f>
        <v>0</v>
      </c>
      <c r="AG177" s="49">
        <f>資料儲存!H6977</f>
        <v>0</v>
      </c>
      <c r="AH177" s="49">
        <f>資料儲存!I6977</f>
        <v>0</v>
      </c>
      <c r="AI177" s="49">
        <f>資料儲存!J6977</f>
        <v>0</v>
      </c>
      <c r="AJ177" s="52"/>
      <c r="AK177" s="70">
        <v>16</v>
      </c>
      <c r="AL177" s="49">
        <f>資料儲存!D7217</f>
        <v>0</v>
      </c>
      <c r="AM177" s="49">
        <f>資料儲存!E7217</f>
        <v>0</v>
      </c>
      <c r="AN177" s="49">
        <f>資料儲存!F7217</f>
        <v>0</v>
      </c>
      <c r="AO177" s="49">
        <f>資料儲存!G7217</f>
        <v>0</v>
      </c>
      <c r="AP177" s="49">
        <f>資料儲存!H7217</f>
        <v>0</v>
      </c>
      <c r="AQ177" s="49">
        <f>資料儲存!I7217</f>
        <v>0</v>
      </c>
      <c r="AR177" s="49">
        <f>資料儲存!J7217</f>
        <v>0</v>
      </c>
      <c r="AS177" s="67"/>
      <c r="AT177" s="70">
        <v>16</v>
      </c>
      <c r="AU177" s="49">
        <f>資料儲存!D7457</f>
        <v>0</v>
      </c>
      <c r="AV177" s="49">
        <f>資料儲存!E7457</f>
        <v>0</v>
      </c>
      <c r="AW177" s="49">
        <f>資料儲存!F7457</f>
        <v>0</v>
      </c>
      <c r="AX177" s="49">
        <f>資料儲存!G7457</f>
        <v>0</v>
      </c>
      <c r="AY177" s="49">
        <f>資料儲存!H7457</f>
        <v>0</v>
      </c>
      <c r="AZ177" s="49">
        <f>資料儲存!I7457</f>
        <v>0</v>
      </c>
      <c r="BA177" s="49">
        <f>資料儲存!J7457</f>
        <v>0</v>
      </c>
    </row>
    <row r="178" spans="1:53" ht="16" thickBot="1">
      <c r="A178" s="70">
        <v>17</v>
      </c>
      <c r="B178" s="49">
        <f>資料儲存!D6258</f>
        <v>0</v>
      </c>
      <c r="C178" s="49">
        <f>資料儲存!E6258</f>
        <v>0</v>
      </c>
      <c r="D178" s="49">
        <f>資料儲存!F6258</f>
        <v>0</v>
      </c>
      <c r="E178" s="49">
        <f>資料儲存!G6258</f>
        <v>0</v>
      </c>
      <c r="F178" s="49">
        <f>資料儲存!H6258</f>
        <v>0</v>
      </c>
      <c r="G178" s="49">
        <f>資料儲存!I6258</f>
        <v>0</v>
      </c>
      <c r="H178" s="49">
        <f>資料儲存!J6258</f>
        <v>0</v>
      </c>
      <c r="I178" s="52"/>
      <c r="J178" s="70">
        <v>17</v>
      </c>
      <c r="K178" s="49">
        <f>資料儲存!D6498</f>
        <v>0</v>
      </c>
      <c r="L178" s="49">
        <f>資料儲存!E6498</f>
        <v>0</v>
      </c>
      <c r="M178" s="49">
        <f>資料儲存!F6498</f>
        <v>0</v>
      </c>
      <c r="N178" s="49">
        <f>資料儲存!G6498</f>
        <v>0</v>
      </c>
      <c r="O178" s="49">
        <f>資料儲存!H6498</f>
        <v>0</v>
      </c>
      <c r="P178" s="49">
        <f>資料儲存!I6498</f>
        <v>0</v>
      </c>
      <c r="Q178" s="49">
        <f>資料儲存!J6498</f>
        <v>0</v>
      </c>
      <c r="R178" s="52"/>
      <c r="S178" s="70">
        <v>17</v>
      </c>
      <c r="T178" s="49">
        <f>資料儲存!D6738</f>
        <v>0</v>
      </c>
      <c r="U178" s="49">
        <f>資料儲存!E6738</f>
        <v>0</v>
      </c>
      <c r="V178" s="49">
        <f>資料儲存!F6738</f>
        <v>0</v>
      </c>
      <c r="W178" s="49">
        <f>資料儲存!G6738</f>
        <v>0</v>
      </c>
      <c r="X178" s="49">
        <f>資料儲存!H6738</f>
        <v>0</v>
      </c>
      <c r="Y178" s="49">
        <f>資料儲存!I6738</f>
        <v>0</v>
      </c>
      <c r="Z178" s="49">
        <f>資料儲存!J6738</f>
        <v>0</v>
      </c>
      <c r="AA178" s="52"/>
      <c r="AB178" s="70">
        <v>17</v>
      </c>
      <c r="AC178" s="49">
        <f>資料儲存!D6978</f>
        <v>0</v>
      </c>
      <c r="AD178" s="49">
        <f>資料儲存!E6978</f>
        <v>0</v>
      </c>
      <c r="AE178" s="49">
        <f>資料儲存!F6978</f>
        <v>0</v>
      </c>
      <c r="AF178" s="49">
        <f>資料儲存!G6978</f>
        <v>0</v>
      </c>
      <c r="AG178" s="49">
        <f>資料儲存!H6978</f>
        <v>0</v>
      </c>
      <c r="AH178" s="49">
        <f>資料儲存!I6978</f>
        <v>0</v>
      </c>
      <c r="AI178" s="49">
        <f>資料儲存!J6978</f>
        <v>0</v>
      </c>
      <c r="AJ178" s="52"/>
      <c r="AK178" s="70">
        <v>17</v>
      </c>
      <c r="AL178" s="49">
        <f>資料儲存!D7218</f>
        <v>0</v>
      </c>
      <c r="AM178" s="49">
        <f>資料儲存!E7218</f>
        <v>0</v>
      </c>
      <c r="AN178" s="49">
        <f>資料儲存!F7218</f>
        <v>0</v>
      </c>
      <c r="AO178" s="49">
        <f>資料儲存!G7218</f>
        <v>0</v>
      </c>
      <c r="AP178" s="49">
        <f>資料儲存!H7218</f>
        <v>0</v>
      </c>
      <c r="AQ178" s="49">
        <f>資料儲存!I7218</f>
        <v>0</v>
      </c>
      <c r="AR178" s="49">
        <f>資料儲存!J7218</f>
        <v>0</v>
      </c>
      <c r="AS178" s="67"/>
      <c r="AT178" s="70">
        <v>17</v>
      </c>
      <c r="AU178" s="49">
        <f>資料儲存!D7458</f>
        <v>0</v>
      </c>
      <c r="AV178" s="49">
        <f>資料儲存!E7458</f>
        <v>0</v>
      </c>
      <c r="AW178" s="49">
        <f>資料儲存!F7458</f>
        <v>0</v>
      </c>
      <c r="AX178" s="49">
        <f>資料儲存!G7458</f>
        <v>0</v>
      </c>
      <c r="AY178" s="49">
        <f>資料儲存!H7458</f>
        <v>0</v>
      </c>
      <c r="AZ178" s="49">
        <f>資料儲存!I7458</f>
        <v>0</v>
      </c>
      <c r="BA178" s="49">
        <f>資料儲存!J7458</f>
        <v>0</v>
      </c>
    </row>
    <row r="179" spans="1:53" ht="16" thickBot="1">
      <c r="A179" s="70">
        <v>18</v>
      </c>
      <c r="B179" s="49">
        <f>資料儲存!D6259</f>
        <v>0</v>
      </c>
      <c r="C179" s="49">
        <f>資料儲存!E6259</f>
        <v>0</v>
      </c>
      <c r="D179" s="49">
        <f>資料儲存!F6259</f>
        <v>0</v>
      </c>
      <c r="E179" s="49">
        <f>資料儲存!G6259</f>
        <v>0</v>
      </c>
      <c r="F179" s="49">
        <f>資料儲存!H6259</f>
        <v>0</v>
      </c>
      <c r="G179" s="49">
        <f>資料儲存!I6259</f>
        <v>0</v>
      </c>
      <c r="H179" s="49">
        <f>資料儲存!J6259</f>
        <v>0</v>
      </c>
      <c r="I179" s="52"/>
      <c r="J179" s="70">
        <v>18</v>
      </c>
      <c r="K179" s="49">
        <f>資料儲存!D6499</f>
        <v>0</v>
      </c>
      <c r="L179" s="49">
        <f>資料儲存!E6499</f>
        <v>0</v>
      </c>
      <c r="M179" s="49">
        <f>資料儲存!F6499</f>
        <v>0</v>
      </c>
      <c r="N179" s="49">
        <f>資料儲存!G6499</f>
        <v>0</v>
      </c>
      <c r="O179" s="49">
        <f>資料儲存!H6499</f>
        <v>0</v>
      </c>
      <c r="P179" s="49">
        <f>資料儲存!I6499</f>
        <v>0</v>
      </c>
      <c r="Q179" s="49">
        <f>資料儲存!J6499</f>
        <v>0</v>
      </c>
      <c r="R179" s="52"/>
      <c r="S179" s="70">
        <v>18</v>
      </c>
      <c r="T179" s="49">
        <f>資料儲存!D6739</f>
        <v>0</v>
      </c>
      <c r="U179" s="49">
        <f>資料儲存!E6739</f>
        <v>0</v>
      </c>
      <c r="V179" s="49">
        <f>資料儲存!F6739</f>
        <v>0</v>
      </c>
      <c r="W179" s="49">
        <f>資料儲存!G6739</f>
        <v>0</v>
      </c>
      <c r="X179" s="49">
        <f>資料儲存!H6739</f>
        <v>0</v>
      </c>
      <c r="Y179" s="49">
        <f>資料儲存!I6739</f>
        <v>0</v>
      </c>
      <c r="Z179" s="49">
        <f>資料儲存!J6739</f>
        <v>0</v>
      </c>
      <c r="AA179" s="52"/>
      <c r="AB179" s="70">
        <v>18</v>
      </c>
      <c r="AC179" s="49">
        <f>資料儲存!D6979</f>
        <v>0</v>
      </c>
      <c r="AD179" s="49">
        <f>資料儲存!E6979</f>
        <v>0</v>
      </c>
      <c r="AE179" s="49">
        <f>資料儲存!F6979</f>
        <v>0</v>
      </c>
      <c r="AF179" s="49">
        <f>資料儲存!G6979</f>
        <v>0</v>
      </c>
      <c r="AG179" s="49">
        <f>資料儲存!H6979</f>
        <v>0</v>
      </c>
      <c r="AH179" s="49">
        <f>資料儲存!I6979</f>
        <v>0</v>
      </c>
      <c r="AI179" s="49">
        <f>資料儲存!J6979</f>
        <v>0</v>
      </c>
      <c r="AJ179" s="52"/>
      <c r="AK179" s="70">
        <v>18</v>
      </c>
      <c r="AL179" s="49">
        <f>資料儲存!D7219</f>
        <v>0</v>
      </c>
      <c r="AM179" s="49">
        <f>資料儲存!E7219</f>
        <v>0</v>
      </c>
      <c r="AN179" s="49">
        <f>資料儲存!F7219</f>
        <v>0</v>
      </c>
      <c r="AO179" s="49">
        <f>資料儲存!G7219</f>
        <v>0</v>
      </c>
      <c r="AP179" s="49">
        <f>資料儲存!H7219</f>
        <v>0</v>
      </c>
      <c r="AQ179" s="49">
        <f>資料儲存!I7219</f>
        <v>0</v>
      </c>
      <c r="AR179" s="49">
        <f>資料儲存!J7219</f>
        <v>0</v>
      </c>
      <c r="AS179" s="67"/>
      <c r="AT179" s="70">
        <v>18</v>
      </c>
      <c r="AU179" s="49">
        <f>資料儲存!D7459</f>
        <v>0</v>
      </c>
      <c r="AV179" s="49">
        <f>資料儲存!E7459</f>
        <v>0</v>
      </c>
      <c r="AW179" s="49">
        <f>資料儲存!F7459</f>
        <v>0</v>
      </c>
      <c r="AX179" s="49">
        <f>資料儲存!G7459</f>
        <v>0</v>
      </c>
      <c r="AY179" s="49">
        <f>資料儲存!H7459</f>
        <v>0</v>
      </c>
      <c r="AZ179" s="49">
        <f>資料儲存!I7459</f>
        <v>0</v>
      </c>
      <c r="BA179" s="49">
        <f>資料儲存!J7459</f>
        <v>0</v>
      </c>
    </row>
    <row r="180" spans="1:53" ht="16" thickBot="1">
      <c r="A180" s="70">
        <v>19</v>
      </c>
      <c r="B180" s="49">
        <f>資料儲存!D6260</f>
        <v>0</v>
      </c>
      <c r="C180" s="49">
        <f>資料儲存!E6260</f>
        <v>0</v>
      </c>
      <c r="D180" s="49">
        <f>資料儲存!F6260</f>
        <v>0</v>
      </c>
      <c r="E180" s="49">
        <f>資料儲存!G6260</f>
        <v>0</v>
      </c>
      <c r="F180" s="49">
        <f>資料儲存!H6260</f>
        <v>0</v>
      </c>
      <c r="G180" s="49">
        <f>資料儲存!I6260</f>
        <v>0</v>
      </c>
      <c r="H180" s="49">
        <f>資料儲存!J6260</f>
        <v>0</v>
      </c>
      <c r="I180" s="52"/>
      <c r="J180" s="70">
        <v>19</v>
      </c>
      <c r="K180" s="49">
        <f>資料儲存!D6500</f>
        <v>0</v>
      </c>
      <c r="L180" s="49">
        <f>資料儲存!E6500</f>
        <v>0</v>
      </c>
      <c r="M180" s="49">
        <f>資料儲存!F6500</f>
        <v>0</v>
      </c>
      <c r="N180" s="49">
        <f>資料儲存!G6500</f>
        <v>0</v>
      </c>
      <c r="O180" s="49">
        <f>資料儲存!H6500</f>
        <v>0</v>
      </c>
      <c r="P180" s="49">
        <f>資料儲存!I6500</f>
        <v>0</v>
      </c>
      <c r="Q180" s="49">
        <f>資料儲存!J6500</f>
        <v>0</v>
      </c>
      <c r="R180" s="52"/>
      <c r="S180" s="70">
        <v>19</v>
      </c>
      <c r="T180" s="49">
        <f>資料儲存!D6740</f>
        <v>0</v>
      </c>
      <c r="U180" s="49">
        <f>資料儲存!E6740</f>
        <v>0</v>
      </c>
      <c r="V180" s="49">
        <f>資料儲存!F6740</f>
        <v>0</v>
      </c>
      <c r="W180" s="49">
        <f>資料儲存!G6740</f>
        <v>0</v>
      </c>
      <c r="X180" s="49">
        <f>資料儲存!H6740</f>
        <v>0</v>
      </c>
      <c r="Y180" s="49">
        <f>資料儲存!I6740</f>
        <v>0</v>
      </c>
      <c r="Z180" s="49">
        <f>資料儲存!J6740</f>
        <v>0</v>
      </c>
      <c r="AA180" s="52"/>
      <c r="AB180" s="70">
        <v>19</v>
      </c>
      <c r="AC180" s="49">
        <f>資料儲存!D6980</f>
        <v>0</v>
      </c>
      <c r="AD180" s="49">
        <f>資料儲存!E6980</f>
        <v>0</v>
      </c>
      <c r="AE180" s="49">
        <f>資料儲存!F6980</f>
        <v>0</v>
      </c>
      <c r="AF180" s="49">
        <f>資料儲存!G6980</f>
        <v>0</v>
      </c>
      <c r="AG180" s="49">
        <f>資料儲存!H6980</f>
        <v>0</v>
      </c>
      <c r="AH180" s="49">
        <f>資料儲存!I6980</f>
        <v>0</v>
      </c>
      <c r="AI180" s="49">
        <f>資料儲存!J6980</f>
        <v>0</v>
      </c>
      <c r="AJ180" s="52"/>
      <c r="AK180" s="70">
        <v>19</v>
      </c>
      <c r="AL180" s="49">
        <f>資料儲存!D7220</f>
        <v>0</v>
      </c>
      <c r="AM180" s="49">
        <f>資料儲存!E7220</f>
        <v>0</v>
      </c>
      <c r="AN180" s="49">
        <f>資料儲存!F7220</f>
        <v>0</v>
      </c>
      <c r="AO180" s="49">
        <f>資料儲存!G7220</f>
        <v>0</v>
      </c>
      <c r="AP180" s="49">
        <f>資料儲存!H7220</f>
        <v>0</v>
      </c>
      <c r="AQ180" s="49">
        <f>資料儲存!I7220</f>
        <v>0</v>
      </c>
      <c r="AR180" s="49">
        <f>資料儲存!J7220</f>
        <v>0</v>
      </c>
      <c r="AS180" s="67"/>
      <c r="AT180" s="70">
        <v>19</v>
      </c>
      <c r="AU180" s="49">
        <f>資料儲存!D7460</f>
        <v>0</v>
      </c>
      <c r="AV180" s="49">
        <f>資料儲存!E7460</f>
        <v>0</v>
      </c>
      <c r="AW180" s="49">
        <f>資料儲存!F7460</f>
        <v>0</v>
      </c>
      <c r="AX180" s="49">
        <f>資料儲存!G7460</f>
        <v>0</v>
      </c>
      <c r="AY180" s="49">
        <f>資料儲存!H7460</f>
        <v>0</v>
      </c>
      <c r="AZ180" s="49">
        <f>資料儲存!I7460</f>
        <v>0</v>
      </c>
      <c r="BA180" s="49">
        <f>資料儲存!J7460</f>
        <v>0</v>
      </c>
    </row>
    <row r="181" spans="1:53" ht="16" thickBot="1">
      <c r="A181" s="70">
        <v>20</v>
      </c>
      <c r="B181" s="49">
        <f>資料儲存!D6261</f>
        <v>0</v>
      </c>
      <c r="C181" s="49">
        <f>資料儲存!E6261</f>
        <v>0</v>
      </c>
      <c r="D181" s="49">
        <f>資料儲存!F6261</f>
        <v>0</v>
      </c>
      <c r="E181" s="49">
        <f>資料儲存!G6261</f>
        <v>0</v>
      </c>
      <c r="F181" s="49">
        <f>資料儲存!H6261</f>
        <v>0</v>
      </c>
      <c r="G181" s="49">
        <f>資料儲存!I6261</f>
        <v>0</v>
      </c>
      <c r="H181" s="49">
        <f>資料儲存!J6261</f>
        <v>0</v>
      </c>
      <c r="I181" s="52"/>
      <c r="J181" s="70">
        <v>20</v>
      </c>
      <c r="K181" s="49">
        <f>資料儲存!D6501</f>
        <v>0</v>
      </c>
      <c r="L181" s="49">
        <f>資料儲存!E6501</f>
        <v>0</v>
      </c>
      <c r="M181" s="49">
        <f>資料儲存!F6501</f>
        <v>0</v>
      </c>
      <c r="N181" s="49">
        <f>資料儲存!G6501</f>
        <v>0</v>
      </c>
      <c r="O181" s="49">
        <f>資料儲存!H6501</f>
        <v>0</v>
      </c>
      <c r="P181" s="49">
        <f>資料儲存!I6501</f>
        <v>0</v>
      </c>
      <c r="Q181" s="49">
        <f>資料儲存!J6501</f>
        <v>0</v>
      </c>
      <c r="R181" s="52"/>
      <c r="S181" s="70">
        <v>20</v>
      </c>
      <c r="T181" s="49">
        <f>資料儲存!D6741</f>
        <v>0</v>
      </c>
      <c r="U181" s="49">
        <f>資料儲存!E6741</f>
        <v>0</v>
      </c>
      <c r="V181" s="49">
        <f>資料儲存!F6741</f>
        <v>0</v>
      </c>
      <c r="W181" s="49">
        <f>資料儲存!G6741</f>
        <v>0</v>
      </c>
      <c r="X181" s="49">
        <f>資料儲存!H6741</f>
        <v>0</v>
      </c>
      <c r="Y181" s="49">
        <f>資料儲存!I6741</f>
        <v>0</v>
      </c>
      <c r="Z181" s="49">
        <f>資料儲存!J6741</f>
        <v>0</v>
      </c>
      <c r="AA181" s="52"/>
      <c r="AB181" s="70">
        <v>20</v>
      </c>
      <c r="AC181" s="49">
        <f>資料儲存!D6981</f>
        <v>0</v>
      </c>
      <c r="AD181" s="49">
        <f>資料儲存!E6981</f>
        <v>0</v>
      </c>
      <c r="AE181" s="49">
        <f>資料儲存!F6981</f>
        <v>0</v>
      </c>
      <c r="AF181" s="49">
        <f>資料儲存!G6981</f>
        <v>0</v>
      </c>
      <c r="AG181" s="49">
        <f>資料儲存!H6981</f>
        <v>0</v>
      </c>
      <c r="AH181" s="49">
        <f>資料儲存!I6981</f>
        <v>0</v>
      </c>
      <c r="AI181" s="49">
        <f>資料儲存!J6981</f>
        <v>0</v>
      </c>
      <c r="AJ181" s="52"/>
      <c r="AK181" s="70">
        <v>20</v>
      </c>
      <c r="AL181" s="49">
        <f>資料儲存!D7221</f>
        <v>0</v>
      </c>
      <c r="AM181" s="49">
        <f>資料儲存!E7221</f>
        <v>0</v>
      </c>
      <c r="AN181" s="49">
        <f>資料儲存!F7221</f>
        <v>0</v>
      </c>
      <c r="AO181" s="49">
        <f>資料儲存!G7221</f>
        <v>0</v>
      </c>
      <c r="AP181" s="49">
        <f>資料儲存!H7221</f>
        <v>0</v>
      </c>
      <c r="AQ181" s="49">
        <f>資料儲存!I7221</f>
        <v>0</v>
      </c>
      <c r="AR181" s="49">
        <f>資料儲存!J7221</f>
        <v>0</v>
      </c>
      <c r="AS181" s="67"/>
      <c r="AT181" s="70">
        <v>20</v>
      </c>
      <c r="AU181" s="49">
        <f>資料儲存!D7461</f>
        <v>0</v>
      </c>
      <c r="AV181" s="49">
        <f>資料儲存!E7461</f>
        <v>0</v>
      </c>
      <c r="AW181" s="49">
        <f>資料儲存!F7461</f>
        <v>0</v>
      </c>
      <c r="AX181" s="49">
        <f>資料儲存!G7461</f>
        <v>0</v>
      </c>
      <c r="AY181" s="49">
        <f>資料儲存!H7461</f>
        <v>0</v>
      </c>
      <c r="AZ181" s="49">
        <f>資料儲存!I7461</f>
        <v>0</v>
      </c>
      <c r="BA181" s="49">
        <f>資料儲存!J7461</f>
        <v>0</v>
      </c>
    </row>
    <row r="182" spans="1:53" ht="16" thickBot="1">
      <c r="A182" s="70">
        <v>21</v>
      </c>
      <c r="B182" s="49">
        <f>資料儲存!D6262</f>
        <v>0</v>
      </c>
      <c r="C182" s="49">
        <f>資料儲存!E6262</f>
        <v>0</v>
      </c>
      <c r="D182" s="49">
        <f>資料儲存!F6262</f>
        <v>0</v>
      </c>
      <c r="E182" s="49">
        <f>資料儲存!G6262</f>
        <v>0</v>
      </c>
      <c r="F182" s="49">
        <f>資料儲存!H6262</f>
        <v>0</v>
      </c>
      <c r="G182" s="49">
        <f>資料儲存!I6262</f>
        <v>0</v>
      </c>
      <c r="H182" s="49">
        <f>資料儲存!J6262</f>
        <v>0</v>
      </c>
      <c r="I182" s="52"/>
      <c r="J182" s="70">
        <v>21</v>
      </c>
      <c r="K182" s="49">
        <f>資料儲存!D6502</f>
        <v>0</v>
      </c>
      <c r="L182" s="49">
        <f>資料儲存!E6502</f>
        <v>0</v>
      </c>
      <c r="M182" s="49">
        <f>資料儲存!F6502</f>
        <v>0</v>
      </c>
      <c r="N182" s="49">
        <f>資料儲存!G6502</f>
        <v>0</v>
      </c>
      <c r="O182" s="49">
        <f>資料儲存!H6502</f>
        <v>0</v>
      </c>
      <c r="P182" s="49">
        <f>資料儲存!I6502</f>
        <v>0</v>
      </c>
      <c r="Q182" s="49">
        <f>資料儲存!J6502</f>
        <v>0</v>
      </c>
      <c r="R182" s="52"/>
      <c r="S182" s="70">
        <v>21</v>
      </c>
      <c r="T182" s="49">
        <f>資料儲存!D6742</f>
        <v>0</v>
      </c>
      <c r="U182" s="49">
        <f>資料儲存!E6742</f>
        <v>0</v>
      </c>
      <c r="V182" s="49">
        <f>資料儲存!F6742</f>
        <v>0</v>
      </c>
      <c r="W182" s="49">
        <f>資料儲存!G6742</f>
        <v>0</v>
      </c>
      <c r="X182" s="49">
        <f>資料儲存!H6742</f>
        <v>0</v>
      </c>
      <c r="Y182" s="49">
        <f>資料儲存!I6742</f>
        <v>0</v>
      </c>
      <c r="Z182" s="49">
        <f>資料儲存!J6742</f>
        <v>0</v>
      </c>
      <c r="AA182" s="52"/>
      <c r="AB182" s="70">
        <v>21</v>
      </c>
      <c r="AC182" s="49">
        <f>資料儲存!D6982</f>
        <v>0</v>
      </c>
      <c r="AD182" s="49">
        <f>資料儲存!E6982</f>
        <v>0</v>
      </c>
      <c r="AE182" s="49">
        <f>資料儲存!F6982</f>
        <v>0</v>
      </c>
      <c r="AF182" s="49">
        <f>資料儲存!G6982</f>
        <v>0</v>
      </c>
      <c r="AG182" s="49">
        <f>資料儲存!H6982</f>
        <v>0</v>
      </c>
      <c r="AH182" s="49">
        <f>資料儲存!I6982</f>
        <v>0</v>
      </c>
      <c r="AI182" s="49">
        <f>資料儲存!J6982</f>
        <v>0</v>
      </c>
      <c r="AJ182" s="52"/>
      <c r="AK182" s="70">
        <v>21</v>
      </c>
      <c r="AL182" s="49">
        <f>資料儲存!D7222</f>
        <v>0</v>
      </c>
      <c r="AM182" s="49">
        <f>資料儲存!E7222</f>
        <v>0</v>
      </c>
      <c r="AN182" s="49">
        <f>資料儲存!F7222</f>
        <v>0</v>
      </c>
      <c r="AO182" s="49">
        <f>資料儲存!G7222</f>
        <v>0</v>
      </c>
      <c r="AP182" s="49">
        <f>資料儲存!H7222</f>
        <v>0</v>
      </c>
      <c r="AQ182" s="49">
        <f>資料儲存!I7222</f>
        <v>0</v>
      </c>
      <c r="AR182" s="49">
        <f>資料儲存!J7222</f>
        <v>0</v>
      </c>
      <c r="AS182" s="67"/>
      <c r="AT182" s="70">
        <v>21</v>
      </c>
      <c r="AU182" s="49">
        <f>資料儲存!D7462</f>
        <v>0</v>
      </c>
      <c r="AV182" s="49">
        <f>資料儲存!E7462</f>
        <v>0</v>
      </c>
      <c r="AW182" s="49">
        <f>資料儲存!F7462</f>
        <v>0</v>
      </c>
      <c r="AX182" s="49">
        <f>資料儲存!G7462</f>
        <v>0</v>
      </c>
      <c r="AY182" s="49">
        <f>資料儲存!H7462</f>
        <v>0</v>
      </c>
      <c r="AZ182" s="49">
        <f>資料儲存!I7462</f>
        <v>0</v>
      </c>
      <c r="BA182" s="49">
        <f>資料儲存!J7462</f>
        <v>0</v>
      </c>
    </row>
    <row r="183" spans="1:53" ht="16" thickBot="1">
      <c r="A183" s="70">
        <v>22</v>
      </c>
      <c r="B183" s="49">
        <f>資料儲存!D6263</f>
        <v>0</v>
      </c>
      <c r="C183" s="49">
        <f>資料儲存!E6263</f>
        <v>0</v>
      </c>
      <c r="D183" s="49">
        <f>資料儲存!F6263</f>
        <v>0</v>
      </c>
      <c r="E183" s="49">
        <f>資料儲存!G6263</f>
        <v>0</v>
      </c>
      <c r="F183" s="49">
        <f>資料儲存!H6263</f>
        <v>0</v>
      </c>
      <c r="G183" s="49">
        <f>資料儲存!I6263</f>
        <v>0</v>
      </c>
      <c r="H183" s="49">
        <f>資料儲存!J6263</f>
        <v>0</v>
      </c>
      <c r="I183" s="52"/>
      <c r="J183" s="70">
        <v>22</v>
      </c>
      <c r="K183" s="49">
        <f>資料儲存!D6503</f>
        <v>0</v>
      </c>
      <c r="L183" s="49">
        <f>資料儲存!E6503</f>
        <v>0</v>
      </c>
      <c r="M183" s="49">
        <f>資料儲存!F6503</f>
        <v>0</v>
      </c>
      <c r="N183" s="49">
        <f>資料儲存!G6503</f>
        <v>0</v>
      </c>
      <c r="O183" s="49">
        <f>資料儲存!H6503</f>
        <v>0</v>
      </c>
      <c r="P183" s="49">
        <f>資料儲存!I6503</f>
        <v>0</v>
      </c>
      <c r="Q183" s="49">
        <f>資料儲存!J6503</f>
        <v>0</v>
      </c>
      <c r="R183" s="52"/>
      <c r="S183" s="70">
        <v>22</v>
      </c>
      <c r="T183" s="49">
        <f>資料儲存!D6743</f>
        <v>0</v>
      </c>
      <c r="U183" s="49">
        <f>資料儲存!E6743</f>
        <v>0</v>
      </c>
      <c r="V183" s="49">
        <f>資料儲存!F6743</f>
        <v>0</v>
      </c>
      <c r="W183" s="49">
        <f>資料儲存!G6743</f>
        <v>0</v>
      </c>
      <c r="X183" s="49">
        <f>資料儲存!H6743</f>
        <v>0</v>
      </c>
      <c r="Y183" s="49">
        <f>資料儲存!I6743</f>
        <v>0</v>
      </c>
      <c r="Z183" s="49">
        <f>資料儲存!J6743</f>
        <v>0</v>
      </c>
      <c r="AA183" s="52"/>
      <c r="AB183" s="70">
        <v>22</v>
      </c>
      <c r="AC183" s="49">
        <f>資料儲存!D6983</f>
        <v>0</v>
      </c>
      <c r="AD183" s="49">
        <f>資料儲存!E6983</f>
        <v>0</v>
      </c>
      <c r="AE183" s="49">
        <f>資料儲存!F6983</f>
        <v>0</v>
      </c>
      <c r="AF183" s="49">
        <f>資料儲存!G6983</f>
        <v>0</v>
      </c>
      <c r="AG183" s="49">
        <f>資料儲存!H6983</f>
        <v>0</v>
      </c>
      <c r="AH183" s="49">
        <f>資料儲存!I6983</f>
        <v>0</v>
      </c>
      <c r="AI183" s="49">
        <f>資料儲存!J6983</f>
        <v>0</v>
      </c>
      <c r="AJ183" s="52"/>
      <c r="AK183" s="70">
        <v>22</v>
      </c>
      <c r="AL183" s="49">
        <f>資料儲存!D7223</f>
        <v>0</v>
      </c>
      <c r="AM183" s="49">
        <f>資料儲存!E7223</f>
        <v>0</v>
      </c>
      <c r="AN183" s="49">
        <f>資料儲存!F7223</f>
        <v>0</v>
      </c>
      <c r="AO183" s="49">
        <f>資料儲存!G7223</f>
        <v>0</v>
      </c>
      <c r="AP183" s="49">
        <f>資料儲存!H7223</f>
        <v>0</v>
      </c>
      <c r="AQ183" s="49">
        <f>資料儲存!I7223</f>
        <v>0</v>
      </c>
      <c r="AR183" s="49">
        <f>資料儲存!J7223</f>
        <v>0</v>
      </c>
      <c r="AS183" s="67"/>
      <c r="AT183" s="70">
        <v>22</v>
      </c>
      <c r="AU183" s="49">
        <f>資料儲存!D7463</f>
        <v>0</v>
      </c>
      <c r="AV183" s="49">
        <f>資料儲存!E7463</f>
        <v>0</v>
      </c>
      <c r="AW183" s="49">
        <f>資料儲存!F7463</f>
        <v>0</v>
      </c>
      <c r="AX183" s="49">
        <f>資料儲存!G7463</f>
        <v>0</v>
      </c>
      <c r="AY183" s="49">
        <f>資料儲存!H7463</f>
        <v>0</v>
      </c>
      <c r="AZ183" s="49">
        <f>資料儲存!I7463</f>
        <v>0</v>
      </c>
      <c r="BA183" s="49">
        <f>資料儲存!J7463</f>
        <v>0</v>
      </c>
    </row>
    <row r="184" spans="1:53" ht="16" thickBot="1">
      <c r="A184" s="70">
        <v>23</v>
      </c>
      <c r="B184" s="49">
        <f>資料儲存!D6264</f>
        <v>0</v>
      </c>
      <c r="C184" s="49">
        <f>資料儲存!E6264</f>
        <v>0</v>
      </c>
      <c r="D184" s="49">
        <f>資料儲存!F6264</f>
        <v>0</v>
      </c>
      <c r="E184" s="49">
        <f>資料儲存!G6264</f>
        <v>0</v>
      </c>
      <c r="F184" s="49">
        <f>資料儲存!H6264</f>
        <v>0</v>
      </c>
      <c r="G184" s="49">
        <f>資料儲存!I6264</f>
        <v>0</v>
      </c>
      <c r="H184" s="49">
        <f>資料儲存!J6264</f>
        <v>0</v>
      </c>
      <c r="I184" s="52"/>
      <c r="J184" s="70">
        <v>23</v>
      </c>
      <c r="K184" s="49">
        <f>資料儲存!D6504</f>
        <v>0</v>
      </c>
      <c r="L184" s="49">
        <f>資料儲存!E6504</f>
        <v>0</v>
      </c>
      <c r="M184" s="49">
        <f>資料儲存!F6504</f>
        <v>0</v>
      </c>
      <c r="N184" s="49">
        <f>資料儲存!G6504</f>
        <v>0</v>
      </c>
      <c r="O184" s="49">
        <f>資料儲存!H6504</f>
        <v>0</v>
      </c>
      <c r="P184" s="49">
        <f>資料儲存!I6504</f>
        <v>0</v>
      </c>
      <c r="Q184" s="49">
        <f>資料儲存!J6504</f>
        <v>0</v>
      </c>
      <c r="R184" s="52"/>
      <c r="S184" s="70">
        <v>23</v>
      </c>
      <c r="T184" s="49">
        <f>資料儲存!D6744</f>
        <v>0</v>
      </c>
      <c r="U184" s="49">
        <f>資料儲存!E6744</f>
        <v>0</v>
      </c>
      <c r="V184" s="49">
        <f>資料儲存!F6744</f>
        <v>0</v>
      </c>
      <c r="W184" s="49">
        <f>資料儲存!G6744</f>
        <v>0</v>
      </c>
      <c r="X184" s="49">
        <f>資料儲存!H6744</f>
        <v>0</v>
      </c>
      <c r="Y184" s="49">
        <f>資料儲存!I6744</f>
        <v>0</v>
      </c>
      <c r="Z184" s="49">
        <f>資料儲存!J6744</f>
        <v>0</v>
      </c>
      <c r="AA184" s="52"/>
      <c r="AB184" s="70">
        <v>23</v>
      </c>
      <c r="AC184" s="49">
        <f>資料儲存!D6984</f>
        <v>0</v>
      </c>
      <c r="AD184" s="49">
        <f>資料儲存!E6984</f>
        <v>0</v>
      </c>
      <c r="AE184" s="49">
        <f>資料儲存!F6984</f>
        <v>0</v>
      </c>
      <c r="AF184" s="49">
        <f>資料儲存!G6984</f>
        <v>0</v>
      </c>
      <c r="AG184" s="49">
        <f>資料儲存!H6984</f>
        <v>0</v>
      </c>
      <c r="AH184" s="49">
        <f>資料儲存!I6984</f>
        <v>0</v>
      </c>
      <c r="AI184" s="49">
        <f>資料儲存!J6984</f>
        <v>0</v>
      </c>
      <c r="AJ184" s="52"/>
      <c r="AK184" s="70">
        <v>23</v>
      </c>
      <c r="AL184" s="49">
        <f>資料儲存!D7224</f>
        <v>0</v>
      </c>
      <c r="AM184" s="49">
        <f>資料儲存!E7224</f>
        <v>0</v>
      </c>
      <c r="AN184" s="49">
        <f>資料儲存!F7224</f>
        <v>0</v>
      </c>
      <c r="AO184" s="49">
        <f>資料儲存!G7224</f>
        <v>0</v>
      </c>
      <c r="AP184" s="49">
        <f>資料儲存!H7224</f>
        <v>0</v>
      </c>
      <c r="AQ184" s="49">
        <f>資料儲存!I7224</f>
        <v>0</v>
      </c>
      <c r="AR184" s="49">
        <f>資料儲存!J7224</f>
        <v>0</v>
      </c>
      <c r="AS184" s="67"/>
      <c r="AT184" s="70">
        <v>23</v>
      </c>
      <c r="AU184" s="49">
        <f>資料儲存!D7464</f>
        <v>0</v>
      </c>
      <c r="AV184" s="49">
        <f>資料儲存!E7464</f>
        <v>0</v>
      </c>
      <c r="AW184" s="49">
        <f>資料儲存!F7464</f>
        <v>0</v>
      </c>
      <c r="AX184" s="49">
        <f>資料儲存!G7464</f>
        <v>0</v>
      </c>
      <c r="AY184" s="49">
        <f>資料儲存!H7464</f>
        <v>0</v>
      </c>
      <c r="AZ184" s="49">
        <f>資料儲存!I7464</f>
        <v>0</v>
      </c>
      <c r="BA184" s="49">
        <f>資料儲存!J7464</f>
        <v>0</v>
      </c>
    </row>
    <row r="185" spans="1:53" ht="16" thickBot="1">
      <c r="A185" s="70">
        <v>24</v>
      </c>
      <c r="B185" s="49">
        <f>資料儲存!D6265</f>
        <v>0</v>
      </c>
      <c r="C185" s="49">
        <f>資料儲存!E6265</f>
        <v>0</v>
      </c>
      <c r="D185" s="49">
        <f>資料儲存!F6265</f>
        <v>0</v>
      </c>
      <c r="E185" s="49">
        <f>資料儲存!G6265</f>
        <v>0</v>
      </c>
      <c r="F185" s="49">
        <f>資料儲存!H6265</f>
        <v>0</v>
      </c>
      <c r="G185" s="49">
        <f>資料儲存!I6265</f>
        <v>0</v>
      </c>
      <c r="H185" s="49">
        <f>資料儲存!J6265</f>
        <v>0</v>
      </c>
      <c r="I185" s="52"/>
      <c r="J185" s="70">
        <v>24</v>
      </c>
      <c r="K185" s="49">
        <f>資料儲存!D6505</f>
        <v>0</v>
      </c>
      <c r="L185" s="49">
        <f>資料儲存!E6505</f>
        <v>0</v>
      </c>
      <c r="M185" s="49">
        <f>資料儲存!F6505</f>
        <v>0</v>
      </c>
      <c r="N185" s="49">
        <f>資料儲存!G6505</f>
        <v>0</v>
      </c>
      <c r="O185" s="49">
        <f>資料儲存!H6505</f>
        <v>0</v>
      </c>
      <c r="P185" s="49">
        <f>資料儲存!I6505</f>
        <v>0</v>
      </c>
      <c r="Q185" s="49">
        <f>資料儲存!J6505</f>
        <v>0</v>
      </c>
      <c r="R185" s="52"/>
      <c r="S185" s="70">
        <v>24</v>
      </c>
      <c r="T185" s="49">
        <f>資料儲存!D6745</f>
        <v>0</v>
      </c>
      <c r="U185" s="49">
        <f>資料儲存!E6745</f>
        <v>0</v>
      </c>
      <c r="V185" s="49">
        <f>資料儲存!F6745</f>
        <v>0</v>
      </c>
      <c r="W185" s="49">
        <f>資料儲存!G6745</f>
        <v>0</v>
      </c>
      <c r="X185" s="49">
        <f>資料儲存!H6745</f>
        <v>0</v>
      </c>
      <c r="Y185" s="49">
        <f>資料儲存!I6745</f>
        <v>0</v>
      </c>
      <c r="Z185" s="49">
        <f>資料儲存!J6745</f>
        <v>0</v>
      </c>
      <c r="AA185" s="52"/>
      <c r="AB185" s="70">
        <v>24</v>
      </c>
      <c r="AC185" s="49">
        <f>資料儲存!D6985</f>
        <v>0</v>
      </c>
      <c r="AD185" s="49">
        <f>資料儲存!E6985</f>
        <v>0</v>
      </c>
      <c r="AE185" s="49">
        <f>資料儲存!F6985</f>
        <v>0</v>
      </c>
      <c r="AF185" s="49">
        <f>資料儲存!G6985</f>
        <v>0</v>
      </c>
      <c r="AG185" s="49">
        <f>資料儲存!H6985</f>
        <v>0</v>
      </c>
      <c r="AH185" s="49">
        <f>資料儲存!I6985</f>
        <v>0</v>
      </c>
      <c r="AI185" s="49">
        <f>資料儲存!J6985</f>
        <v>0</v>
      </c>
      <c r="AJ185" s="52"/>
      <c r="AK185" s="70">
        <v>24</v>
      </c>
      <c r="AL185" s="49">
        <f>資料儲存!D7225</f>
        <v>0</v>
      </c>
      <c r="AM185" s="49">
        <f>資料儲存!E7225</f>
        <v>0</v>
      </c>
      <c r="AN185" s="49">
        <f>資料儲存!F7225</f>
        <v>0</v>
      </c>
      <c r="AO185" s="49">
        <f>資料儲存!G7225</f>
        <v>0</v>
      </c>
      <c r="AP185" s="49">
        <f>資料儲存!H7225</f>
        <v>0</v>
      </c>
      <c r="AQ185" s="49">
        <f>資料儲存!I7225</f>
        <v>0</v>
      </c>
      <c r="AR185" s="49">
        <f>資料儲存!J7225</f>
        <v>0</v>
      </c>
      <c r="AS185" s="67"/>
      <c r="AT185" s="70">
        <v>24</v>
      </c>
      <c r="AU185" s="49">
        <f>資料儲存!D7465</f>
        <v>0</v>
      </c>
      <c r="AV185" s="49">
        <f>資料儲存!E7465</f>
        <v>0</v>
      </c>
      <c r="AW185" s="49">
        <f>資料儲存!F7465</f>
        <v>0</v>
      </c>
      <c r="AX185" s="49">
        <f>資料儲存!G7465</f>
        <v>0</v>
      </c>
      <c r="AY185" s="49">
        <f>資料儲存!H7465</f>
        <v>0</v>
      </c>
      <c r="AZ185" s="49">
        <f>資料儲存!I7465</f>
        <v>0</v>
      </c>
      <c r="BA185" s="49">
        <f>資料儲存!J7465</f>
        <v>0</v>
      </c>
    </row>
    <row r="186" spans="1:53" ht="16" thickBot="1">
      <c r="A186" s="70">
        <v>25</v>
      </c>
      <c r="B186" s="49">
        <f>資料儲存!D6266</f>
        <v>0</v>
      </c>
      <c r="C186" s="49">
        <f>資料儲存!E6266</f>
        <v>0</v>
      </c>
      <c r="D186" s="49">
        <f>資料儲存!F6266</f>
        <v>0</v>
      </c>
      <c r="E186" s="49">
        <f>資料儲存!G6266</f>
        <v>0</v>
      </c>
      <c r="F186" s="49">
        <f>資料儲存!H6266</f>
        <v>0</v>
      </c>
      <c r="G186" s="49">
        <f>資料儲存!I6266</f>
        <v>0</v>
      </c>
      <c r="H186" s="49">
        <f>資料儲存!J6266</f>
        <v>0</v>
      </c>
      <c r="I186" s="52"/>
      <c r="J186" s="70">
        <v>25</v>
      </c>
      <c r="K186" s="49">
        <f>資料儲存!D6506</f>
        <v>0</v>
      </c>
      <c r="L186" s="49">
        <f>資料儲存!E6506</f>
        <v>0</v>
      </c>
      <c r="M186" s="49">
        <f>資料儲存!F6506</f>
        <v>0</v>
      </c>
      <c r="N186" s="49">
        <f>資料儲存!G6506</f>
        <v>0</v>
      </c>
      <c r="O186" s="49">
        <f>資料儲存!H6506</f>
        <v>0</v>
      </c>
      <c r="P186" s="49">
        <f>資料儲存!I6506</f>
        <v>0</v>
      </c>
      <c r="Q186" s="49">
        <f>資料儲存!J6506</f>
        <v>0</v>
      </c>
      <c r="R186" s="52"/>
      <c r="S186" s="70">
        <v>25</v>
      </c>
      <c r="T186" s="49">
        <f>資料儲存!D6746</f>
        <v>0</v>
      </c>
      <c r="U186" s="49">
        <f>資料儲存!E6746</f>
        <v>0</v>
      </c>
      <c r="V186" s="49">
        <f>資料儲存!F6746</f>
        <v>0</v>
      </c>
      <c r="W186" s="49">
        <f>資料儲存!G6746</f>
        <v>0</v>
      </c>
      <c r="X186" s="49">
        <f>資料儲存!H6746</f>
        <v>0</v>
      </c>
      <c r="Y186" s="49">
        <f>資料儲存!I6746</f>
        <v>0</v>
      </c>
      <c r="Z186" s="49">
        <f>資料儲存!J6746</f>
        <v>0</v>
      </c>
      <c r="AA186" s="52"/>
      <c r="AB186" s="70">
        <v>25</v>
      </c>
      <c r="AC186" s="49">
        <f>資料儲存!D6986</f>
        <v>0</v>
      </c>
      <c r="AD186" s="49">
        <f>資料儲存!E6986</f>
        <v>0</v>
      </c>
      <c r="AE186" s="49">
        <f>資料儲存!F6986</f>
        <v>0</v>
      </c>
      <c r="AF186" s="49">
        <f>資料儲存!G6986</f>
        <v>0</v>
      </c>
      <c r="AG186" s="49">
        <f>資料儲存!H6986</f>
        <v>0</v>
      </c>
      <c r="AH186" s="49">
        <f>資料儲存!I6986</f>
        <v>0</v>
      </c>
      <c r="AI186" s="49">
        <f>資料儲存!J6986</f>
        <v>0</v>
      </c>
      <c r="AJ186" s="52"/>
      <c r="AK186" s="70">
        <v>25</v>
      </c>
      <c r="AL186" s="49">
        <f>資料儲存!D7226</f>
        <v>0</v>
      </c>
      <c r="AM186" s="49">
        <f>資料儲存!E7226</f>
        <v>0</v>
      </c>
      <c r="AN186" s="49">
        <f>資料儲存!F7226</f>
        <v>0</v>
      </c>
      <c r="AO186" s="49">
        <f>資料儲存!G7226</f>
        <v>0</v>
      </c>
      <c r="AP186" s="49">
        <f>資料儲存!H7226</f>
        <v>0</v>
      </c>
      <c r="AQ186" s="49">
        <f>資料儲存!I7226</f>
        <v>0</v>
      </c>
      <c r="AR186" s="49">
        <f>資料儲存!J7226</f>
        <v>0</v>
      </c>
      <c r="AS186" s="67"/>
      <c r="AT186" s="70">
        <v>25</v>
      </c>
      <c r="AU186" s="49">
        <f>資料儲存!D7466</f>
        <v>0</v>
      </c>
      <c r="AV186" s="49">
        <f>資料儲存!E7466</f>
        <v>0</v>
      </c>
      <c r="AW186" s="49">
        <f>資料儲存!F7466</f>
        <v>0</v>
      </c>
      <c r="AX186" s="49">
        <f>資料儲存!G7466</f>
        <v>0</v>
      </c>
      <c r="AY186" s="49">
        <f>資料儲存!H7466</f>
        <v>0</v>
      </c>
      <c r="AZ186" s="49">
        <f>資料儲存!I7466</f>
        <v>0</v>
      </c>
      <c r="BA186" s="49">
        <f>資料儲存!J7466</f>
        <v>0</v>
      </c>
    </row>
    <row r="187" spans="1:53" ht="16" thickBot="1">
      <c r="A187" s="70">
        <v>26</v>
      </c>
      <c r="B187" s="49">
        <f>資料儲存!D6267</f>
        <v>0</v>
      </c>
      <c r="C187" s="49">
        <f>資料儲存!E6267</f>
        <v>0</v>
      </c>
      <c r="D187" s="49">
        <f>資料儲存!F6267</f>
        <v>0</v>
      </c>
      <c r="E187" s="49">
        <f>資料儲存!G6267</f>
        <v>0</v>
      </c>
      <c r="F187" s="49">
        <f>資料儲存!H6267</f>
        <v>0</v>
      </c>
      <c r="G187" s="49">
        <f>資料儲存!I6267</f>
        <v>0</v>
      </c>
      <c r="H187" s="49">
        <f>資料儲存!J6267</f>
        <v>0</v>
      </c>
      <c r="I187" s="52"/>
      <c r="J187" s="70">
        <v>26</v>
      </c>
      <c r="K187" s="49">
        <f>資料儲存!D6507</f>
        <v>0</v>
      </c>
      <c r="L187" s="49">
        <f>資料儲存!E6507</f>
        <v>0</v>
      </c>
      <c r="M187" s="49">
        <f>資料儲存!F6507</f>
        <v>0</v>
      </c>
      <c r="N187" s="49">
        <f>資料儲存!G6507</f>
        <v>0</v>
      </c>
      <c r="O187" s="49">
        <f>資料儲存!H6507</f>
        <v>0</v>
      </c>
      <c r="P187" s="49">
        <f>資料儲存!I6507</f>
        <v>0</v>
      </c>
      <c r="Q187" s="49">
        <f>資料儲存!J6507</f>
        <v>0</v>
      </c>
      <c r="R187" s="52"/>
      <c r="S187" s="70">
        <v>26</v>
      </c>
      <c r="T187" s="49">
        <f>資料儲存!D6747</f>
        <v>0</v>
      </c>
      <c r="U187" s="49">
        <f>資料儲存!E6747</f>
        <v>0</v>
      </c>
      <c r="V187" s="49">
        <f>資料儲存!F6747</f>
        <v>0</v>
      </c>
      <c r="W187" s="49">
        <f>資料儲存!G6747</f>
        <v>0</v>
      </c>
      <c r="X187" s="49">
        <f>資料儲存!H6747</f>
        <v>0</v>
      </c>
      <c r="Y187" s="49">
        <f>資料儲存!I6747</f>
        <v>0</v>
      </c>
      <c r="Z187" s="49">
        <f>資料儲存!J6747</f>
        <v>0</v>
      </c>
      <c r="AA187" s="52"/>
      <c r="AB187" s="70">
        <v>26</v>
      </c>
      <c r="AC187" s="49">
        <f>資料儲存!D6987</f>
        <v>0</v>
      </c>
      <c r="AD187" s="49">
        <f>資料儲存!E6987</f>
        <v>0</v>
      </c>
      <c r="AE187" s="49">
        <f>資料儲存!F6987</f>
        <v>0</v>
      </c>
      <c r="AF187" s="49">
        <f>資料儲存!G6987</f>
        <v>0</v>
      </c>
      <c r="AG187" s="49">
        <f>資料儲存!H6987</f>
        <v>0</v>
      </c>
      <c r="AH187" s="49">
        <f>資料儲存!I6987</f>
        <v>0</v>
      </c>
      <c r="AI187" s="49">
        <f>資料儲存!J6987</f>
        <v>0</v>
      </c>
      <c r="AJ187" s="52"/>
      <c r="AK187" s="70">
        <v>26</v>
      </c>
      <c r="AL187" s="49">
        <f>資料儲存!D7227</f>
        <v>0</v>
      </c>
      <c r="AM187" s="49">
        <f>資料儲存!E7227</f>
        <v>0</v>
      </c>
      <c r="AN187" s="49">
        <f>資料儲存!F7227</f>
        <v>0</v>
      </c>
      <c r="AO187" s="49">
        <f>資料儲存!G7227</f>
        <v>0</v>
      </c>
      <c r="AP187" s="49">
        <f>資料儲存!H7227</f>
        <v>0</v>
      </c>
      <c r="AQ187" s="49">
        <f>資料儲存!I7227</f>
        <v>0</v>
      </c>
      <c r="AR187" s="49">
        <f>資料儲存!J7227</f>
        <v>0</v>
      </c>
      <c r="AS187" s="67"/>
      <c r="AT187" s="70">
        <v>26</v>
      </c>
      <c r="AU187" s="49">
        <f>資料儲存!D7467</f>
        <v>0</v>
      </c>
      <c r="AV187" s="49">
        <f>資料儲存!E7467</f>
        <v>0</v>
      </c>
      <c r="AW187" s="49">
        <f>資料儲存!F7467</f>
        <v>0</v>
      </c>
      <c r="AX187" s="49">
        <f>資料儲存!G7467</f>
        <v>0</v>
      </c>
      <c r="AY187" s="49">
        <f>資料儲存!H7467</f>
        <v>0</v>
      </c>
      <c r="AZ187" s="49">
        <f>資料儲存!I7467</f>
        <v>0</v>
      </c>
      <c r="BA187" s="49">
        <f>資料儲存!J7467</f>
        <v>0</v>
      </c>
    </row>
    <row r="188" spans="1:53" ht="16" thickBot="1">
      <c r="A188" s="70">
        <v>27</v>
      </c>
      <c r="B188" s="49">
        <f>資料儲存!D6268</f>
        <v>0</v>
      </c>
      <c r="C188" s="49">
        <f>資料儲存!E6268</f>
        <v>0</v>
      </c>
      <c r="D188" s="49">
        <f>資料儲存!F6268</f>
        <v>0</v>
      </c>
      <c r="E188" s="49">
        <f>資料儲存!G6268</f>
        <v>0</v>
      </c>
      <c r="F188" s="49">
        <f>資料儲存!H6268</f>
        <v>0</v>
      </c>
      <c r="G188" s="49">
        <f>資料儲存!I6268</f>
        <v>0</v>
      </c>
      <c r="H188" s="49">
        <f>資料儲存!J6268</f>
        <v>0</v>
      </c>
      <c r="I188" s="52"/>
      <c r="J188" s="70">
        <v>27</v>
      </c>
      <c r="K188" s="49">
        <f>資料儲存!D6508</f>
        <v>0</v>
      </c>
      <c r="L188" s="49">
        <f>資料儲存!E6508</f>
        <v>0</v>
      </c>
      <c r="M188" s="49">
        <f>資料儲存!F6508</f>
        <v>0</v>
      </c>
      <c r="N188" s="49">
        <f>資料儲存!G6508</f>
        <v>0</v>
      </c>
      <c r="O188" s="49">
        <f>資料儲存!H6508</f>
        <v>0</v>
      </c>
      <c r="P188" s="49">
        <f>資料儲存!I6508</f>
        <v>0</v>
      </c>
      <c r="Q188" s="49">
        <f>資料儲存!J6508</f>
        <v>0</v>
      </c>
      <c r="R188" s="52"/>
      <c r="S188" s="70">
        <v>27</v>
      </c>
      <c r="T188" s="49">
        <f>資料儲存!D6748</f>
        <v>0</v>
      </c>
      <c r="U188" s="49">
        <f>資料儲存!E6748</f>
        <v>0</v>
      </c>
      <c r="V188" s="49">
        <f>資料儲存!F6748</f>
        <v>0</v>
      </c>
      <c r="W188" s="49">
        <f>資料儲存!G6748</f>
        <v>0</v>
      </c>
      <c r="X188" s="49">
        <f>資料儲存!H6748</f>
        <v>0</v>
      </c>
      <c r="Y188" s="49">
        <f>資料儲存!I6748</f>
        <v>0</v>
      </c>
      <c r="Z188" s="49">
        <f>資料儲存!J6748</f>
        <v>0</v>
      </c>
      <c r="AA188" s="52"/>
      <c r="AB188" s="70">
        <v>27</v>
      </c>
      <c r="AC188" s="49">
        <f>資料儲存!D6988</f>
        <v>0</v>
      </c>
      <c r="AD188" s="49">
        <f>資料儲存!E6988</f>
        <v>0</v>
      </c>
      <c r="AE188" s="49">
        <f>資料儲存!F6988</f>
        <v>0</v>
      </c>
      <c r="AF188" s="49">
        <f>資料儲存!G6988</f>
        <v>0</v>
      </c>
      <c r="AG188" s="49">
        <f>資料儲存!H6988</f>
        <v>0</v>
      </c>
      <c r="AH188" s="49">
        <f>資料儲存!I6988</f>
        <v>0</v>
      </c>
      <c r="AI188" s="49">
        <f>資料儲存!J6988</f>
        <v>0</v>
      </c>
      <c r="AJ188" s="52"/>
      <c r="AK188" s="70">
        <v>27</v>
      </c>
      <c r="AL188" s="49">
        <f>資料儲存!D7228</f>
        <v>0</v>
      </c>
      <c r="AM188" s="49">
        <f>資料儲存!E7228</f>
        <v>0</v>
      </c>
      <c r="AN188" s="49">
        <f>資料儲存!F7228</f>
        <v>0</v>
      </c>
      <c r="AO188" s="49">
        <f>資料儲存!G7228</f>
        <v>0</v>
      </c>
      <c r="AP188" s="49">
        <f>資料儲存!H7228</f>
        <v>0</v>
      </c>
      <c r="AQ188" s="49">
        <f>資料儲存!I7228</f>
        <v>0</v>
      </c>
      <c r="AR188" s="49">
        <f>資料儲存!J7228</f>
        <v>0</v>
      </c>
      <c r="AS188" s="67"/>
      <c r="AT188" s="70">
        <v>27</v>
      </c>
      <c r="AU188" s="49">
        <f>資料儲存!D7468</f>
        <v>0</v>
      </c>
      <c r="AV188" s="49">
        <f>資料儲存!E7468</f>
        <v>0</v>
      </c>
      <c r="AW188" s="49">
        <f>資料儲存!F7468</f>
        <v>0</v>
      </c>
      <c r="AX188" s="49">
        <f>資料儲存!G7468</f>
        <v>0</v>
      </c>
      <c r="AY188" s="49">
        <f>資料儲存!H7468</f>
        <v>0</v>
      </c>
      <c r="AZ188" s="49">
        <f>資料儲存!I7468</f>
        <v>0</v>
      </c>
      <c r="BA188" s="49">
        <f>資料儲存!J7468</f>
        <v>0</v>
      </c>
    </row>
    <row r="189" spans="1:53" ht="16" thickBot="1">
      <c r="A189" s="70">
        <v>28</v>
      </c>
      <c r="B189" s="49">
        <f>資料儲存!D6269</f>
        <v>0</v>
      </c>
      <c r="C189" s="49">
        <f>資料儲存!E6269</f>
        <v>0</v>
      </c>
      <c r="D189" s="49">
        <f>資料儲存!F6269</f>
        <v>0</v>
      </c>
      <c r="E189" s="49">
        <f>資料儲存!G6269</f>
        <v>0</v>
      </c>
      <c r="F189" s="49">
        <f>資料儲存!H6269</f>
        <v>0</v>
      </c>
      <c r="G189" s="49">
        <f>資料儲存!I6269</f>
        <v>0</v>
      </c>
      <c r="H189" s="49">
        <f>資料儲存!J6269</f>
        <v>0</v>
      </c>
      <c r="I189" s="52"/>
      <c r="J189" s="70">
        <v>28</v>
      </c>
      <c r="K189" s="49">
        <f>資料儲存!D6509</f>
        <v>0</v>
      </c>
      <c r="L189" s="49">
        <f>資料儲存!E6509</f>
        <v>0</v>
      </c>
      <c r="M189" s="49">
        <f>資料儲存!F6509</f>
        <v>0</v>
      </c>
      <c r="N189" s="49">
        <f>資料儲存!G6509</f>
        <v>0</v>
      </c>
      <c r="O189" s="49">
        <f>資料儲存!H6509</f>
        <v>0</v>
      </c>
      <c r="P189" s="49">
        <f>資料儲存!I6509</f>
        <v>0</v>
      </c>
      <c r="Q189" s="49">
        <f>資料儲存!J6509</f>
        <v>0</v>
      </c>
      <c r="R189" s="52"/>
      <c r="S189" s="70">
        <v>28</v>
      </c>
      <c r="T189" s="49">
        <f>資料儲存!D6749</f>
        <v>0</v>
      </c>
      <c r="U189" s="49">
        <f>資料儲存!E6749</f>
        <v>0</v>
      </c>
      <c r="V189" s="49">
        <f>資料儲存!F6749</f>
        <v>0</v>
      </c>
      <c r="W189" s="49">
        <f>資料儲存!G6749</f>
        <v>0</v>
      </c>
      <c r="X189" s="49">
        <f>資料儲存!H6749</f>
        <v>0</v>
      </c>
      <c r="Y189" s="49">
        <f>資料儲存!I6749</f>
        <v>0</v>
      </c>
      <c r="Z189" s="49">
        <f>資料儲存!J6749</f>
        <v>0</v>
      </c>
      <c r="AA189" s="52"/>
      <c r="AB189" s="70">
        <v>28</v>
      </c>
      <c r="AC189" s="49">
        <f>資料儲存!D6989</f>
        <v>0</v>
      </c>
      <c r="AD189" s="49">
        <f>資料儲存!E6989</f>
        <v>0</v>
      </c>
      <c r="AE189" s="49">
        <f>資料儲存!F6989</f>
        <v>0</v>
      </c>
      <c r="AF189" s="49">
        <f>資料儲存!G6989</f>
        <v>0</v>
      </c>
      <c r="AG189" s="49">
        <f>資料儲存!H6989</f>
        <v>0</v>
      </c>
      <c r="AH189" s="49">
        <f>資料儲存!I6989</f>
        <v>0</v>
      </c>
      <c r="AI189" s="49">
        <f>資料儲存!J6989</f>
        <v>0</v>
      </c>
      <c r="AJ189" s="52"/>
      <c r="AK189" s="70">
        <v>28</v>
      </c>
      <c r="AL189" s="49">
        <f>資料儲存!D7229</f>
        <v>0</v>
      </c>
      <c r="AM189" s="49">
        <f>資料儲存!E7229</f>
        <v>0</v>
      </c>
      <c r="AN189" s="49">
        <f>資料儲存!F7229</f>
        <v>0</v>
      </c>
      <c r="AO189" s="49">
        <f>資料儲存!G7229</f>
        <v>0</v>
      </c>
      <c r="AP189" s="49">
        <f>資料儲存!H7229</f>
        <v>0</v>
      </c>
      <c r="AQ189" s="49">
        <f>資料儲存!I7229</f>
        <v>0</v>
      </c>
      <c r="AR189" s="49">
        <f>資料儲存!J7229</f>
        <v>0</v>
      </c>
      <c r="AS189" s="67"/>
      <c r="AT189" s="70">
        <v>28</v>
      </c>
      <c r="AU189" s="49">
        <f>資料儲存!D7469</f>
        <v>0</v>
      </c>
      <c r="AV189" s="49">
        <f>資料儲存!E7469</f>
        <v>0</v>
      </c>
      <c r="AW189" s="49">
        <f>資料儲存!F7469</f>
        <v>0</v>
      </c>
      <c r="AX189" s="49">
        <f>資料儲存!G7469</f>
        <v>0</v>
      </c>
      <c r="AY189" s="49">
        <f>資料儲存!H7469</f>
        <v>0</v>
      </c>
      <c r="AZ189" s="49">
        <f>資料儲存!I7469</f>
        <v>0</v>
      </c>
      <c r="BA189" s="49">
        <f>資料儲存!J7469</f>
        <v>0</v>
      </c>
    </row>
    <row r="190" spans="1:53" ht="16" thickBot="1">
      <c r="A190" s="70">
        <v>29</v>
      </c>
      <c r="B190" s="49">
        <f>資料儲存!D6270</f>
        <v>0</v>
      </c>
      <c r="C190" s="49">
        <f>資料儲存!E6270</f>
        <v>0</v>
      </c>
      <c r="D190" s="49">
        <f>資料儲存!F6270</f>
        <v>0</v>
      </c>
      <c r="E190" s="49">
        <f>資料儲存!G6270</f>
        <v>0</v>
      </c>
      <c r="F190" s="49">
        <f>資料儲存!H6270</f>
        <v>0</v>
      </c>
      <c r="G190" s="49">
        <f>資料儲存!I6270</f>
        <v>0</v>
      </c>
      <c r="H190" s="49">
        <f>資料儲存!J6270</f>
        <v>0</v>
      </c>
      <c r="I190" s="52"/>
      <c r="J190" s="70">
        <v>29</v>
      </c>
      <c r="K190" s="49">
        <f>資料儲存!D6510</f>
        <v>0</v>
      </c>
      <c r="L190" s="49">
        <f>資料儲存!E6510</f>
        <v>0</v>
      </c>
      <c r="M190" s="49">
        <f>資料儲存!F6510</f>
        <v>0</v>
      </c>
      <c r="N190" s="49">
        <f>資料儲存!G6510</f>
        <v>0</v>
      </c>
      <c r="O190" s="49">
        <f>資料儲存!H6510</f>
        <v>0</v>
      </c>
      <c r="P190" s="49">
        <f>資料儲存!I6510</f>
        <v>0</v>
      </c>
      <c r="Q190" s="49">
        <f>資料儲存!J6510</f>
        <v>0</v>
      </c>
      <c r="R190" s="52"/>
      <c r="S190" s="70">
        <v>29</v>
      </c>
      <c r="T190" s="49">
        <f>資料儲存!D6750</f>
        <v>0</v>
      </c>
      <c r="U190" s="49">
        <f>資料儲存!E6750</f>
        <v>0</v>
      </c>
      <c r="V190" s="49">
        <f>資料儲存!F6750</f>
        <v>0</v>
      </c>
      <c r="W190" s="49">
        <f>資料儲存!G6750</f>
        <v>0</v>
      </c>
      <c r="X190" s="49">
        <f>資料儲存!H6750</f>
        <v>0</v>
      </c>
      <c r="Y190" s="49">
        <f>資料儲存!I6750</f>
        <v>0</v>
      </c>
      <c r="Z190" s="49">
        <f>資料儲存!J6750</f>
        <v>0</v>
      </c>
      <c r="AA190" s="52"/>
      <c r="AB190" s="70">
        <v>29</v>
      </c>
      <c r="AC190" s="49">
        <f>資料儲存!D6990</f>
        <v>0</v>
      </c>
      <c r="AD190" s="49">
        <f>資料儲存!E6990</f>
        <v>0</v>
      </c>
      <c r="AE190" s="49">
        <f>資料儲存!F6990</f>
        <v>0</v>
      </c>
      <c r="AF190" s="49">
        <f>資料儲存!G6990</f>
        <v>0</v>
      </c>
      <c r="AG190" s="49">
        <f>資料儲存!H6990</f>
        <v>0</v>
      </c>
      <c r="AH190" s="49">
        <f>資料儲存!I6990</f>
        <v>0</v>
      </c>
      <c r="AI190" s="49">
        <f>資料儲存!J6990</f>
        <v>0</v>
      </c>
      <c r="AJ190" s="52"/>
      <c r="AK190" s="70">
        <v>29</v>
      </c>
      <c r="AL190" s="49">
        <f>資料儲存!D7230</f>
        <v>0</v>
      </c>
      <c r="AM190" s="49">
        <f>資料儲存!E7230</f>
        <v>0</v>
      </c>
      <c r="AN190" s="49">
        <f>資料儲存!F7230</f>
        <v>0</v>
      </c>
      <c r="AO190" s="49">
        <f>資料儲存!G7230</f>
        <v>0</v>
      </c>
      <c r="AP190" s="49">
        <f>資料儲存!H7230</f>
        <v>0</v>
      </c>
      <c r="AQ190" s="49">
        <f>資料儲存!I7230</f>
        <v>0</v>
      </c>
      <c r="AR190" s="49">
        <f>資料儲存!J7230</f>
        <v>0</v>
      </c>
      <c r="AS190" s="67"/>
      <c r="AT190" s="70">
        <v>29</v>
      </c>
      <c r="AU190" s="49">
        <f>資料儲存!D7470</f>
        <v>0</v>
      </c>
      <c r="AV190" s="49">
        <f>資料儲存!E7470</f>
        <v>0</v>
      </c>
      <c r="AW190" s="49">
        <f>資料儲存!F7470</f>
        <v>0</v>
      </c>
      <c r="AX190" s="49">
        <f>資料儲存!G7470</f>
        <v>0</v>
      </c>
      <c r="AY190" s="49">
        <f>資料儲存!H7470</f>
        <v>0</v>
      </c>
      <c r="AZ190" s="49">
        <f>資料儲存!I7470</f>
        <v>0</v>
      </c>
      <c r="BA190" s="49">
        <f>資料儲存!J7470</f>
        <v>0</v>
      </c>
    </row>
    <row r="191" spans="1:53" ht="16" thickBot="1">
      <c r="A191" s="70">
        <v>30</v>
      </c>
      <c r="B191" s="49">
        <f>資料儲存!D6271</f>
        <v>0</v>
      </c>
      <c r="C191" s="49">
        <f>資料儲存!E6271</f>
        <v>0</v>
      </c>
      <c r="D191" s="49">
        <f>資料儲存!F6271</f>
        <v>0</v>
      </c>
      <c r="E191" s="49">
        <f>資料儲存!G6271</f>
        <v>0</v>
      </c>
      <c r="F191" s="49">
        <f>資料儲存!H6271</f>
        <v>0</v>
      </c>
      <c r="G191" s="49">
        <f>資料儲存!I6271</f>
        <v>0</v>
      </c>
      <c r="H191" s="49">
        <f>資料儲存!J6271</f>
        <v>0</v>
      </c>
      <c r="I191" s="52"/>
      <c r="J191" s="70">
        <v>30</v>
      </c>
      <c r="K191" s="49">
        <f>資料儲存!D6511</f>
        <v>0</v>
      </c>
      <c r="L191" s="49">
        <f>資料儲存!E6511</f>
        <v>0</v>
      </c>
      <c r="M191" s="49">
        <f>資料儲存!F6511</f>
        <v>0</v>
      </c>
      <c r="N191" s="49">
        <f>資料儲存!G6511</f>
        <v>0</v>
      </c>
      <c r="O191" s="49">
        <f>資料儲存!H6511</f>
        <v>0</v>
      </c>
      <c r="P191" s="49">
        <f>資料儲存!I6511</f>
        <v>0</v>
      </c>
      <c r="Q191" s="49">
        <f>資料儲存!J6511</f>
        <v>0</v>
      </c>
      <c r="R191" s="52"/>
      <c r="S191" s="70">
        <v>30</v>
      </c>
      <c r="T191" s="49">
        <f>資料儲存!D6751</f>
        <v>0</v>
      </c>
      <c r="U191" s="49">
        <f>資料儲存!E6751</f>
        <v>0</v>
      </c>
      <c r="V191" s="49">
        <f>資料儲存!F6751</f>
        <v>0</v>
      </c>
      <c r="W191" s="49">
        <f>資料儲存!G6751</f>
        <v>0</v>
      </c>
      <c r="X191" s="49">
        <f>資料儲存!H6751</f>
        <v>0</v>
      </c>
      <c r="Y191" s="49">
        <f>資料儲存!I6751</f>
        <v>0</v>
      </c>
      <c r="Z191" s="49">
        <f>資料儲存!J6751</f>
        <v>0</v>
      </c>
      <c r="AA191" s="52"/>
      <c r="AB191" s="70">
        <v>30</v>
      </c>
      <c r="AC191" s="49">
        <f>資料儲存!D6991</f>
        <v>0</v>
      </c>
      <c r="AD191" s="49">
        <f>資料儲存!E6991</f>
        <v>0</v>
      </c>
      <c r="AE191" s="49">
        <f>資料儲存!F6991</f>
        <v>0</v>
      </c>
      <c r="AF191" s="49">
        <f>資料儲存!G6991</f>
        <v>0</v>
      </c>
      <c r="AG191" s="49">
        <f>資料儲存!H6991</f>
        <v>0</v>
      </c>
      <c r="AH191" s="49">
        <f>資料儲存!I6991</f>
        <v>0</v>
      </c>
      <c r="AI191" s="49">
        <f>資料儲存!J6991</f>
        <v>0</v>
      </c>
      <c r="AJ191" s="52"/>
      <c r="AK191" s="70">
        <v>30</v>
      </c>
      <c r="AL191" s="49">
        <f>資料儲存!D7231</f>
        <v>0</v>
      </c>
      <c r="AM191" s="49">
        <f>資料儲存!E7231</f>
        <v>0</v>
      </c>
      <c r="AN191" s="49">
        <f>資料儲存!F7231</f>
        <v>0</v>
      </c>
      <c r="AO191" s="49">
        <f>資料儲存!G7231</f>
        <v>0</v>
      </c>
      <c r="AP191" s="49">
        <f>資料儲存!H7231</f>
        <v>0</v>
      </c>
      <c r="AQ191" s="49">
        <f>資料儲存!I7231</f>
        <v>0</v>
      </c>
      <c r="AR191" s="49">
        <f>資料儲存!J7231</f>
        <v>0</v>
      </c>
      <c r="AS191" s="67"/>
      <c r="AT191" s="70">
        <v>30</v>
      </c>
      <c r="AU191" s="49">
        <f>資料儲存!D7471</f>
        <v>0</v>
      </c>
      <c r="AV191" s="49">
        <f>資料儲存!E7471</f>
        <v>0</v>
      </c>
      <c r="AW191" s="49">
        <f>資料儲存!F7471</f>
        <v>0</v>
      </c>
      <c r="AX191" s="49">
        <f>資料儲存!G7471</f>
        <v>0</v>
      </c>
      <c r="AY191" s="49">
        <f>資料儲存!H7471</f>
        <v>0</v>
      </c>
      <c r="AZ191" s="49">
        <f>資料儲存!I7471</f>
        <v>0</v>
      </c>
      <c r="BA191" s="49">
        <f>資料儲存!J7471</f>
        <v>0</v>
      </c>
    </row>
    <row r="192" spans="1:53" ht="17.25" customHeight="1" thickBot="1">
      <c r="A192" s="50" t="s">
        <v>56</v>
      </c>
      <c r="B192" s="49">
        <f>SUM(B177:E191)</f>
        <v>0</v>
      </c>
      <c r="C192" s="47"/>
      <c r="D192" s="47"/>
      <c r="E192" s="47"/>
      <c r="F192" s="49">
        <f>F191</f>
        <v>0</v>
      </c>
      <c r="G192" s="49">
        <f>G191</f>
        <v>0</v>
      </c>
      <c r="H192" s="49">
        <f>H191</f>
        <v>0</v>
      </c>
      <c r="I192" s="45"/>
      <c r="J192" s="50" t="s">
        <v>56</v>
      </c>
      <c r="K192" s="49">
        <f>SUM(K177:N191)</f>
        <v>0</v>
      </c>
      <c r="L192" s="47"/>
      <c r="M192" s="47"/>
      <c r="N192" s="47"/>
      <c r="O192" s="49">
        <f>O191</f>
        <v>0</v>
      </c>
      <c r="P192" s="49">
        <f>P191</f>
        <v>0</v>
      </c>
      <c r="Q192" s="49">
        <f>Q191</f>
        <v>0</v>
      </c>
      <c r="R192" s="45"/>
      <c r="S192" s="50" t="s">
        <v>56</v>
      </c>
      <c r="T192" s="49">
        <f>SUM(T177:W191)</f>
        <v>0</v>
      </c>
      <c r="U192" s="47"/>
      <c r="V192" s="47"/>
      <c r="W192" s="47"/>
      <c r="X192" s="49">
        <f>X191</f>
        <v>0</v>
      </c>
      <c r="Y192" s="49">
        <f>Y191</f>
        <v>0</v>
      </c>
      <c r="Z192" s="49">
        <f>Z191</f>
        <v>0</v>
      </c>
      <c r="AA192" s="45"/>
      <c r="AB192" s="50" t="s">
        <v>56</v>
      </c>
      <c r="AC192" s="49">
        <f>SUM(AC177:AF191)</f>
        <v>0</v>
      </c>
      <c r="AD192" s="47"/>
      <c r="AE192" s="47"/>
      <c r="AF192" s="47"/>
      <c r="AG192" s="49">
        <f>AG191</f>
        <v>0</v>
      </c>
      <c r="AH192" s="49">
        <f>AH191</f>
        <v>0</v>
      </c>
      <c r="AI192" s="49">
        <f>AI191</f>
        <v>0</v>
      </c>
      <c r="AJ192" s="45"/>
      <c r="AK192" s="50" t="s">
        <v>56</v>
      </c>
      <c r="AL192" s="49">
        <f>SUM(AL177:AO191)</f>
        <v>0</v>
      </c>
      <c r="AM192" s="47"/>
      <c r="AN192" s="47"/>
      <c r="AO192" s="47"/>
      <c r="AP192" s="49">
        <f>AP191</f>
        <v>0</v>
      </c>
      <c r="AQ192" s="49">
        <f>AQ191</f>
        <v>0</v>
      </c>
      <c r="AR192" s="49">
        <f>AR191</f>
        <v>0</v>
      </c>
      <c r="AS192" s="67"/>
      <c r="AT192" s="50" t="s">
        <v>56</v>
      </c>
      <c r="AU192" s="49">
        <f>SUM(AU177:AX191)</f>
        <v>0</v>
      </c>
      <c r="AV192" s="47"/>
      <c r="AW192" s="47"/>
      <c r="AX192" s="47"/>
      <c r="AY192" s="49">
        <f>AY191</f>
        <v>0</v>
      </c>
      <c r="AZ192" s="49">
        <f>AZ191</f>
        <v>0</v>
      </c>
      <c r="BA192" s="49">
        <f>BA191</f>
        <v>0</v>
      </c>
    </row>
    <row r="193" spans="1:53" ht="18.5" thickBot="1">
      <c r="A193" s="257" t="s">
        <v>183</v>
      </c>
      <c r="B193" s="258"/>
      <c r="C193" s="258"/>
      <c r="D193" s="258"/>
      <c r="E193" s="258"/>
      <c r="F193" s="258"/>
      <c r="G193" s="258"/>
      <c r="H193" s="259"/>
      <c r="I193" s="14"/>
      <c r="J193" s="257" t="s">
        <v>183</v>
      </c>
      <c r="K193" s="258"/>
      <c r="L193" s="258"/>
      <c r="M193" s="258"/>
      <c r="N193" s="258"/>
      <c r="O193" s="258"/>
      <c r="P193" s="258"/>
      <c r="Q193" s="259"/>
      <c r="R193" s="14"/>
      <c r="S193" s="257" t="s">
        <v>183</v>
      </c>
      <c r="T193" s="258"/>
      <c r="U193" s="258"/>
      <c r="V193" s="258"/>
      <c r="W193" s="258"/>
      <c r="X193" s="258"/>
      <c r="Y193" s="258"/>
      <c r="Z193" s="259"/>
      <c r="AA193" s="14"/>
      <c r="AB193" s="257" t="s">
        <v>183</v>
      </c>
      <c r="AC193" s="258"/>
      <c r="AD193" s="258"/>
      <c r="AE193" s="258"/>
      <c r="AF193" s="258"/>
      <c r="AG193" s="258"/>
      <c r="AH193" s="258"/>
      <c r="AI193" s="259"/>
      <c r="AJ193" s="14"/>
      <c r="AK193" s="257" t="s">
        <v>183</v>
      </c>
      <c r="AL193" s="258"/>
      <c r="AM193" s="258"/>
      <c r="AN193" s="258"/>
      <c r="AO193" s="258"/>
      <c r="AP193" s="258"/>
      <c r="AQ193" s="258"/>
      <c r="AR193" s="259"/>
      <c r="AT193" s="257" t="s">
        <v>183</v>
      </c>
      <c r="AU193" s="258"/>
      <c r="AV193" s="258"/>
      <c r="AW193" s="258"/>
      <c r="AX193" s="258"/>
      <c r="AY193" s="258"/>
      <c r="AZ193" s="258"/>
      <c r="BA193" s="259"/>
    </row>
    <row r="194" spans="1:53" ht="17.25" customHeight="1" thickBot="1">
      <c r="A194" s="54" t="s">
        <v>2</v>
      </c>
      <c r="B194" s="55" t="s">
        <v>46</v>
      </c>
      <c r="C194" s="56"/>
      <c r="D194" s="56"/>
      <c r="E194" s="57"/>
      <c r="F194" s="55" t="s">
        <v>47</v>
      </c>
      <c r="G194" s="56"/>
      <c r="H194" s="57"/>
      <c r="I194" s="58"/>
      <c r="J194" s="54" t="s">
        <v>2</v>
      </c>
      <c r="K194" s="55" t="s">
        <v>46</v>
      </c>
      <c r="L194" s="56"/>
      <c r="M194" s="56"/>
      <c r="N194" s="57"/>
      <c r="O194" s="55" t="s">
        <v>47</v>
      </c>
      <c r="P194" s="56"/>
      <c r="Q194" s="57"/>
      <c r="R194" s="58"/>
      <c r="S194" s="54" t="s">
        <v>2</v>
      </c>
      <c r="T194" s="55" t="s">
        <v>46</v>
      </c>
      <c r="U194" s="56"/>
      <c r="V194" s="56"/>
      <c r="W194" s="57"/>
      <c r="X194" s="55" t="s">
        <v>47</v>
      </c>
      <c r="Y194" s="56"/>
      <c r="Z194" s="57"/>
      <c r="AA194" s="58"/>
      <c r="AB194" s="54" t="s">
        <v>2</v>
      </c>
      <c r="AC194" s="55" t="s">
        <v>46</v>
      </c>
      <c r="AD194" s="56"/>
      <c r="AE194" s="56"/>
      <c r="AF194" s="57"/>
      <c r="AG194" s="55" t="s">
        <v>47</v>
      </c>
      <c r="AH194" s="56"/>
      <c r="AI194" s="57"/>
      <c r="AJ194" s="58"/>
      <c r="AK194" s="54" t="s">
        <v>2</v>
      </c>
      <c r="AL194" s="55" t="s">
        <v>46</v>
      </c>
      <c r="AM194" s="56"/>
      <c r="AN194" s="56"/>
      <c r="AO194" s="57"/>
      <c r="AP194" s="55" t="s">
        <v>47</v>
      </c>
      <c r="AQ194" s="56"/>
      <c r="AR194" s="57"/>
      <c r="AS194" s="59"/>
      <c r="AT194" s="54" t="s">
        <v>2</v>
      </c>
      <c r="AU194" s="55" t="s">
        <v>46</v>
      </c>
      <c r="AV194" s="56"/>
      <c r="AW194" s="56"/>
      <c r="AX194" s="57"/>
      <c r="AY194" s="55" t="s">
        <v>47</v>
      </c>
      <c r="AZ194" s="56"/>
      <c r="BA194" s="57"/>
    </row>
    <row r="195" spans="1:53" ht="16" thickBot="1">
      <c r="A195" s="60">
        <v>0.77083333333333337</v>
      </c>
      <c r="B195" s="61" t="s">
        <v>49</v>
      </c>
      <c r="C195" s="61" t="s">
        <v>50</v>
      </c>
      <c r="D195" s="61" t="s">
        <v>51</v>
      </c>
      <c r="E195" s="61" t="s">
        <v>52</v>
      </c>
      <c r="F195" s="61" t="s">
        <v>53</v>
      </c>
      <c r="G195" s="61" t="s">
        <v>54</v>
      </c>
      <c r="H195" s="61" t="s">
        <v>55</v>
      </c>
      <c r="I195" s="58"/>
      <c r="J195" s="60">
        <v>0.77083333333333337</v>
      </c>
      <c r="K195" s="61" t="s">
        <v>49</v>
      </c>
      <c r="L195" s="61" t="s">
        <v>50</v>
      </c>
      <c r="M195" s="61" t="s">
        <v>51</v>
      </c>
      <c r="N195" s="61" t="s">
        <v>52</v>
      </c>
      <c r="O195" s="61" t="s">
        <v>53</v>
      </c>
      <c r="P195" s="61" t="s">
        <v>54</v>
      </c>
      <c r="Q195" s="61" t="s">
        <v>55</v>
      </c>
      <c r="R195" s="58"/>
      <c r="S195" s="60">
        <v>0.77083333333333337</v>
      </c>
      <c r="T195" s="61" t="s">
        <v>49</v>
      </c>
      <c r="U195" s="61" t="s">
        <v>50</v>
      </c>
      <c r="V195" s="61" t="s">
        <v>51</v>
      </c>
      <c r="W195" s="61" t="s">
        <v>52</v>
      </c>
      <c r="X195" s="61" t="s">
        <v>53</v>
      </c>
      <c r="Y195" s="61" t="s">
        <v>54</v>
      </c>
      <c r="Z195" s="61" t="s">
        <v>55</v>
      </c>
      <c r="AA195" s="58"/>
      <c r="AB195" s="60">
        <v>0.77083333333333337</v>
      </c>
      <c r="AC195" s="61" t="s">
        <v>49</v>
      </c>
      <c r="AD195" s="61" t="s">
        <v>50</v>
      </c>
      <c r="AE195" s="61" t="s">
        <v>51</v>
      </c>
      <c r="AF195" s="61" t="s">
        <v>52</v>
      </c>
      <c r="AG195" s="61" t="s">
        <v>53</v>
      </c>
      <c r="AH195" s="61" t="s">
        <v>54</v>
      </c>
      <c r="AI195" s="61" t="s">
        <v>55</v>
      </c>
      <c r="AJ195" s="58"/>
      <c r="AK195" s="60">
        <v>0.77083333333333337</v>
      </c>
      <c r="AL195" s="61" t="s">
        <v>49</v>
      </c>
      <c r="AM195" s="61" t="s">
        <v>50</v>
      </c>
      <c r="AN195" s="61" t="s">
        <v>51</v>
      </c>
      <c r="AO195" s="61" t="s">
        <v>52</v>
      </c>
      <c r="AP195" s="61" t="s">
        <v>53</v>
      </c>
      <c r="AQ195" s="61" t="s">
        <v>54</v>
      </c>
      <c r="AR195" s="61" t="s">
        <v>55</v>
      </c>
      <c r="AS195" s="59"/>
      <c r="AT195" s="60">
        <v>0.77083333333333337</v>
      </c>
      <c r="AU195" s="61" t="s">
        <v>49</v>
      </c>
      <c r="AV195" s="61" t="s">
        <v>50</v>
      </c>
      <c r="AW195" s="61" t="s">
        <v>51</v>
      </c>
      <c r="AX195" s="61" t="s">
        <v>52</v>
      </c>
      <c r="AY195" s="61" t="s">
        <v>53</v>
      </c>
      <c r="AZ195" s="61" t="s">
        <v>54</v>
      </c>
      <c r="BA195" s="61" t="s">
        <v>55</v>
      </c>
    </row>
    <row r="196" spans="1:53" ht="16" thickBot="1">
      <c r="A196" s="62">
        <v>31</v>
      </c>
      <c r="B196" s="39">
        <f>資料儲存!D6272</f>
        <v>0</v>
      </c>
      <c r="C196" s="39">
        <f>資料儲存!E6272</f>
        <v>0</v>
      </c>
      <c r="D196" s="39">
        <f>資料儲存!F6272</f>
        <v>0</v>
      </c>
      <c r="E196" s="39">
        <f>資料儲存!G6272</f>
        <v>0</v>
      </c>
      <c r="F196" s="39">
        <f>資料儲存!H6272</f>
        <v>0</v>
      </c>
      <c r="G196" s="39">
        <f>資料儲存!I6272</f>
        <v>0</v>
      </c>
      <c r="H196" s="39">
        <f>資料儲存!J6272</f>
        <v>0</v>
      </c>
      <c r="I196" s="58"/>
      <c r="J196" s="62">
        <v>31</v>
      </c>
      <c r="K196" s="39">
        <f>資料儲存!D6512</f>
        <v>0</v>
      </c>
      <c r="L196" s="39">
        <f>資料儲存!E6512</f>
        <v>0</v>
      </c>
      <c r="M196" s="39">
        <f>資料儲存!F6512</f>
        <v>0</v>
      </c>
      <c r="N196" s="39">
        <f>資料儲存!G6512</f>
        <v>0</v>
      </c>
      <c r="O196" s="39">
        <f>資料儲存!H6512</f>
        <v>0</v>
      </c>
      <c r="P196" s="39">
        <f>資料儲存!I6512</f>
        <v>0</v>
      </c>
      <c r="Q196" s="39">
        <f>資料儲存!J6512</f>
        <v>0</v>
      </c>
      <c r="R196" s="58"/>
      <c r="S196" s="62">
        <v>31</v>
      </c>
      <c r="T196" s="39">
        <f>資料儲存!D6752</f>
        <v>0</v>
      </c>
      <c r="U196" s="39">
        <f>資料儲存!E6752</f>
        <v>0</v>
      </c>
      <c r="V196" s="39">
        <f>資料儲存!F6752</f>
        <v>0</v>
      </c>
      <c r="W196" s="39">
        <f>資料儲存!G6752</f>
        <v>0</v>
      </c>
      <c r="X196" s="39">
        <f>資料儲存!H6752</f>
        <v>0</v>
      </c>
      <c r="Y196" s="39">
        <f>資料儲存!I6752</f>
        <v>0</v>
      </c>
      <c r="Z196" s="39">
        <f>資料儲存!J6752</f>
        <v>0</v>
      </c>
      <c r="AA196" s="58"/>
      <c r="AB196" s="62">
        <v>31</v>
      </c>
      <c r="AC196" s="39">
        <f>資料儲存!D6992</f>
        <v>0</v>
      </c>
      <c r="AD196" s="39">
        <f>資料儲存!E6992</f>
        <v>0</v>
      </c>
      <c r="AE196" s="39">
        <f>資料儲存!F6992</f>
        <v>0</v>
      </c>
      <c r="AF196" s="39">
        <f>資料儲存!G6992</f>
        <v>0</v>
      </c>
      <c r="AG196" s="39">
        <f>資料儲存!H6992</f>
        <v>0</v>
      </c>
      <c r="AH196" s="39">
        <f>資料儲存!I6992</f>
        <v>0</v>
      </c>
      <c r="AI196" s="39">
        <f>資料儲存!J6992</f>
        <v>0</v>
      </c>
      <c r="AJ196" s="58"/>
      <c r="AK196" s="62">
        <v>31</v>
      </c>
      <c r="AL196" s="39">
        <f>資料儲存!D7232</f>
        <v>0</v>
      </c>
      <c r="AM196" s="39">
        <f>資料儲存!E7232</f>
        <v>0</v>
      </c>
      <c r="AN196" s="39">
        <f>資料儲存!F7232</f>
        <v>0</v>
      </c>
      <c r="AO196" s="39">
        <f>資料儲存!G7232</f>
        <v>0</v>
      </c>
      <c r="AP196" s="39">
        <f>資料儲存!H7232</f>
        <v>0</v>
      </c>
      <c r="AQ196" s="39">
        <f>資料儲存!I7232</f>
        <v>0</v>
      </c>
      <c r="AR196" s="39">
        <f>資料儲存!J7232</f>
        <v>0</v>
      </c>
      <c r="AS196" s="59"/>
      <c r="AT196" s="62">
        <v>31</v>
      </c>
      <c r="AU196" s="39">
        <f>資料儲存!D7472</f>
        <v>0</v>
      </c>
      <c r="AV196" s="39">
        <f>資料儲存!E7472</f>
        <v>0</v>
      </c>
      <c r="AW196" s="39">
        <f>資料儲存!F7472</f>
        <v>0</v>
      </c>
      <c r="AX196" s="39">
        <f>資料儲存!G7472</f>
        <v>0</v>
      </c>
      <c r="AY196" s="39">
        <f>資料儲存!H7472</f>
        <v>0</v>
      </c>
      <c r="AZ196" s="39">
        <f>資料儲存!I7472</f>
        <v>0</v>
      </c>
      <c r="BA196" s="39">
        <f>資料儲存!J7472</f>
        <v>0</v>
      </c>
    </row>
    <row r="197" spans="1:53" ht="16" thickBot="1">
      <c r="A197" s="62">
        <v>32</v>
      </c>
      <c r="B197" s="39">
        <f>資料儲存!D6273</f>
        <v>0</v>
      </c>
      <c r="C197" s="39">
        <f>資料儲存!E6273</f>
        <v>0</v>
      </c>
      <c r="D197" s="39">
        <f>資料儲存!F6273</f>
        <v>0</v>
      </c>
      <c r="E197" s="39">
        <f>資料儲存!G6273</f>
        <v>0</v>
      </c>
      <c r="F197" s="39">
        <f>資料儲存!H6273</f>
        <v>0</v>
      </c>
      <c r="G197" s="39">
        <f>資料儲存!I6273</f>
        <v>0</v>
      </c>
      <c r="H197" s="39">
        <f>資料儲存!J6273</f>
        <v>0</v>
      </c>
      <c r="I197" s="58"/>
      <c r="J197" s="62">
        <v>32</v>
      </c>
      <c r="K197" s="39">
        <f>資料儲存!D6513</f>
        <v>0</v>
      </c>
      <c r="L197" s="39">
        <f>資料儲存!E6513</f>
        <v>0</v>
      </c>
      <c r="M197" s="39">
        <f>資料儲存!F6513</f>
        <v>0</v>
      </c>
      <c r="N197" s="39">
        <f>資料儲存!G6513</f>
        <v>0</v>
      </c>
      <c r="O197" s="39">
        <f>資料儲存!H6513</f>
        <v>0</v>
      </c>
      <c r="P197" s="39">
        <f>資料儲存!I6513</f>
        <v>0</v>
      </c>
      <c r="Q197" s="39">
        <f>資料儲存!J6513</f>
        <v>0</v>
      </c>
      <c r="R197" s="58"/>
      <c r="S197" s="62">
        <v>32</v>
      </c>
      <c r="T197" s="39">
        <f>資料儲存!D6753</f>
        <v>0</v>
      </c>
      <c r="U197" s="39">
        <f>資料儲存!E6753</f>
        <v>0</v>
      </c>
      <c r="V197" s="39">
        <f>資料儲存!F6753</f>
        <v>0</v>
      </c>
      <c r="W197" s="39">
        <f>資料儲存!G6753</f>
        <v>0</v>
      </c>
      <c r="X197" s="39">
        <f>資料儲存!H6753</f>
        <v>0</v>
      </c>
      <c r="Y197" s="39">
        <f>資料儲存!I6753</f>
        <v>0</v>
      </c>
      <c r="Z197" s="39">
        <f>資料儲存!J6753</f>
        <v>0</v>
      </c>
      <c r="AA197" s="58"/>
      <c r="AB197" s="62">
        <v>32</v>
      </c>
      <c r="AC197" s="39">
        <f>資料儲存!D6993</f>
        <v>0</v>
      </c>
      <c r="AD197" s="39">
        <f>資料儲存!E6993</f>
        <v>0</v>
      </c>
      <c r="AE197" s="39">
        <f>資料儲存!F6993</f>
        <v>0</v>
      </c>
      <c r="AF197" s="39">
        <f>資料儲存!G6993</f>
        <v>0</v>
      </c>
      <c r="AG197" s="39">
        <f>資料儲存!H6993</f>
        <v>0</v>
      </c>
      <c r="AH197" s="39">
        <f>資料儲存!I6993</f>
        <v>0</v>
      </c>
      <c r="AI197" s="39">
        <f>資料儲存!J6993</f>
        <v>0</v>
      </c>
      <c r="AJ197" s="58"/>
      <c r="AK197" s="62">
        <v>32</v>
      </c>
      <c r="AL197" s="39">
        <f>資料儲存!D7233</f>
        <v>0</v>
      </c>
      <c r="AM197" s="39">
        <f>資料儲存!E7233</f>
        <v>0</v>
      </c>
      <c r="AN197" s="39">
        <f>資料儲存!F7233</f>
        <v>0</v>
      </c>
      <c r="AO197" s="39">
        <f>資料儲存!G7233</f>
        <v>0</v>
      </c>
      <c r="AP197" s="39">
        <f>資料儲存!H7233</f>
        <v>0</v>
      </c>
      <c r="AQ197" s="39">
        <f>資料儲存!I7233</f>
        <v>0</v>
      </c>
      <c r="AR197" s="39">
        <f>資料儲存!J7233</f>
        <v>0</v>
      </c>
      <c r="AS197" s="59"/>
      <c r="AT197" s="62">
        <v>32</v>
      </c>
      <c r="AU197" s="39">
        <f>資料儲存!D7473</f>
        <v>0</v>
      </c>
      <c r="AV197" s="39">
        <f>資料儲存!E7473</f>
        <v>0</v>
      </c>
      <c r="AW197" s="39">
        <f>資料儲存!F7473</f>
        <v>0</v>
      </c>
      <c r="AX197" s="39">
        <f>資料儲存!G7473</f>
        <v>0</v>
      </c>
      <c r="AY197" s="39">
        <f>資料儲存!H7473</f>
        <v>0</v>
      </c>
      <c r="AZ197" s="39">
        <f>資料儲存!I7473</f>
        <v>0</v>
      </c>
      <c r="BA197" s="39">
        <f>資料儲存!J7473</f>
        <v>0</v>
      </c>
    </row>
    <row r="198" spans="1:53" ht="16" thickBot="1">
      <c r="A198" s="62">
        <v>33</v>
      </c>
      <c r="B198" s="39">
        <f>資料儲存!D6274</f>
        <v>0</v>
      </c>
      <c r="C198" s="39">
        <f>資料儲存!E6274</f>
        <v>0</v>
      </c>
      <c r="D198" s="39">
        <f>資料儲存!F6274</f>
        <v>0</v>
      </c>
      <c r="E198" s="39">
        <f>資料儲存!G6274</f>
        <v>0</v>
      </c>
      <c r="F198" s="39">
        <f>資料儲存!H6274</f>
        <v>0</v>
      </c>
      <c r="G198" s="39">
        <f>資料儲存!I6274</f>
        <v>0</v>
      </c>
      <c r="H198" s="39">
        <f>資料儲存!J6274</f>
        <v>0</v>
      </c>
      <c r="I198" s="58"/>
      <c r="J198" s="62">
        <v>33</v>
      </c>
      <c r="K198" s="39">
        <f>資料儲存!D6514</f>
        <v>0</v>
      </c>
      <c r="L198" s="39">
        <f>資料儲存!E6514</f>
        <v>0</v>
      </c>
      <c r="M198" s="39">
        <f>資料儲存!F6514</f>
        <v>0</v>
      </c>
      <c r="N198" s="39">
        <f>資料儲存!G6514</f>
        <v>0</v>
      </c>
      <c r="O198" s="39">
        <f>資料儲存!H6514</f>
        <v>0</v>
      </c>
      <c r="P198" s="39">
        <f>資料儲存!I6514</f>
        <v>0</v>
      </c>
      <c r="Q198" s="39">
        <f>資料儲存!J6514</f>
        <v>0</v>
      </c>
      <c r="R198" s="58"/>
      <c r="S198" s="62">
        <v>33</v>
      </c>
      <c r="T198" s="39">
        <f>資料儲存!D6754</f>
        <v>0</v>
      </c>
      <c r="U198" s="39">
        <f>資料儲存!E6754</f>
        <v>0</v>
      </c>
      <c r="V198" s="39">
        <f>資料儲存!F6754</f>
        <v>0</v>
      </c>
      <c r="W198" s="39">
        <f>資料儲存!G6754</f>
        <v>0</v>
      </c>
      <c r="X198" s="39">
        <f>資料儲存!H6754</f>
        <v>0</v>
      </c>
      <c r="Y198" s="39">
        <f>資料儲存!I6754</f>
        <v>0</v>
      </c>
      <c r="Z198" s="39">
        <f>資料儲存!J6754</f>
        <v>0</v>
      </c>
      <c r="AA198" s="58"/>
      <c r="AB198" s="62">
        <v>33</v>
      </c>
      <c r="AC198" s="39">
        <f>資料儲存!D6994</f>
        <v>0</v>
      </c>
      <c r="AD198" s="39">
        <f>資料儲存!E6994</f>
        <v>0</v>
      </c>
      <c r="AE198" s="39">
        <f>資料儲存!F6994</f>
        <v>0</v>
      </c>
      <c r="AF198" s="39">
        <f>資料儲存!G6994</f>
        <v>0</v>
      </c>
      <c r="AG198" s="39">
        <f>資料儲存!H6994</f>
        <v>0</v>
      </c>
      <c r="AH198" s="39">
        <f>資料儲存!I6994</f>
        <v>0</v>
      </c>
      <c r="AI198" s="39">
        <f>資料儲存!J6994</f>
        <v>0</v>
      </c>
      <c r="AJ198" s="58"/>
      <c r="AK198" s="62">
        <v>33</v>
      </c>
      <c r="AL198" s="39">
        <f>資料儲存!D7234</f>
        <v>0</v>
      </c>
      <c r="AM198" s="39">
        <f>資料儲存!E7234</f>
        <v>0</v>
      </c>
      <c r="AN198" s="39">
        <f>資料儲存!F7234</f>
        <v>0</v>
      </c>
      <c r="AO198" s="39">
        <f>資料儲存!G7234</f>
        <v>0</v>
      </c>
      <c r="AP198" s="39">
        <f>資料儲存!H7234</f>
        <v>0</v>
      </c>
      <c r="AQ198" s="39">
        <f>資料儲存!I7234</f>
        <v>0</v>
      </c>
      <c r="AR198" s="39">
        <f>資料儲存!J7234</f>
        <v>0</v>
      </c>
      <c r="AS198" s="59"/>
      <c r="AT198" s="62">
        <v>33</v>
      </c>
      <c r="AU198" s="39">
        <f>資料儲存!D7474</f>
        <v>0</v>
      </c>
      <c r="AV198" s="39">
        <f>資料儲存!E7474</f>
        <v>0</v>
      </c>
      <c r="AW198" s="39">
        <f>資料儲存!F7474</f>
        <v>0</v>
      </c>
      <c r="AX198" s="39">
        <f>資料儲存!G7474</f>
        <v>0</v>
      </c>
      <c r="AY198" s="39">
        <f>資料儲存!H7474</f>
        <v>0</v>
      </c>
      <c r="AZ198" s="39">
        <f>資料儲存!I7474</f>
        <v>0</v>
      </c>
      <c r="BA198" s="39">
        <f>資料儲存!J7474</f>
        <v>0</v>
      </c>
    </row>
    <row r="199" spans="1:53" ht="16" thickBot="1">
      <c r="A199" s="62">
        <v>34</v>
      </c>
      <c r="B199" s="39">
        <f>資料儲存!D6275</f>
        <v>0</v>
      </c>
      <c r="C199" s="39">
        <f>資料儲存!E6275</f>
        <v>0</v>
      </c>
      <c r="D199" s="39">
        <f>資料儲存!F6275</f>
        <v>0</v>
      </c>
      <c r="E199" s="39">
        <f>資料儲存!G6275</f>
        <v>0</v>
      </c>
      <c r="F199" s="39">
        <f>資料儲存!H6275</f>
        <v>0</v>
      </c>
      <c r="G199" s="39">
        <f>資料儲存!I6275</f>
        <v>0</v>
      </c>
      <c r="H199" s="39">
        <f>資料儲存!J6275</f>
        <v>0</v>
      </c>
      <c r="I199" s="58"/>
      <c r="J199" s="62">
        <v>34</v>
      </c>
      <c r="K199" s="39">
        <f>資料儲存!D6515</f>
        <v>0</v>
      </c>
      <c r="L199" s="39">
        <f>資料儲存!E6515</f>
        <v>0</v>
      </c>
      <c r="M199" s="39">
        <f>資料儲存!F6515</f>
        <v>0</v>
      </c>
      <c r="N199" s="39">
        <f>資料儲存!G6515</f>
        <v>0</v>
      </c>
      <c r="O199" s="39">
        <f>資料儲存!H6515</f>
        <v>0</v>
      </c>
      <c r="P199" s="39">
        <f>資料儲存!I6515</f>
        <v>0</v>
      </c>
      <c r="Q199" s="39">
        <f>資料儲存!J6515</f>
        <v>0</v>
      </c>
      <c r="R199" s="58"/>
      <c r="S199" s="62">
        <v>34</v>
      </c>
      <c r="T199" s="39">
        <f>資料儲存!D6755</f>
        <v>0</v>
      </c>
      <c r="U199" s="39">
        <f>資料儲存!E6755</f>
        <v>0</v>
      </c>
      <c r="V199" s="39">
        <f>資料儲存!F6755</f>
        <v>0</v>
      </c>
      <c r="W199" s="39">
        <f>資料儲存!G6755</f>
        <v>0</v>
      </c>
      <c r="X199" s="39">
        <f>資料儲存!H6755</f>
        <v>0</v>
      </c>
      <c r="Y199" s="39">
        <f>資料儲存!I6755</f>
        <v>0</v>
      </c>
      <c r="Z199" s="39">
        <f>資料儲存!J6755</f>
        <v>0</v>
      </c>
      <c r="AA199" s="58"/>
      <c r="AB199" s="62">
        <v>34</v>
      </c>
      <c r="AC199" s="39">
        <f>資料儲存!D6995</f>
        <v>0</v>
      </c>
      <c r="AD199" s="39">
        <f>資料儲存!E6995</f>
        <v>0</v>
      </c>
      <c r="AE199" s="39">
        <f>資料儲存!F6995</f>
        <v>0</v>
      </c>
      <c r="AF199" s="39">
        <f>資料儲存!G6995</f>
        <v>0</v>
      </c>
      <c r="AG199" s="39">
        <f>資料儲存!H6995</f>
        <v>0</v>
      </c>
      <c r="AH199" s="39">
        <f>資料儲存!I6995</f>
        <v>0</v>
      </c>
      <c r="AI199" s="39">
        <f>資料儲存!J6995</f>
        <v>0</v>
      </c>
      <c r="AJ199" s="58"/>
      <c r="AK199" s="62">
        <v>34</v>
      </c>
      <c r="AL199" s="39">
        <f>資料儲存!D7235</f>
        <v>0</v>
      </c>
      <c r="AM199" s="39">
        <f>資料儲存!E7235</f>
        <v>0</v>
      </c>
      <c r="AN199" s="39">
        <f>資料儲存!F7235</f>
        <v>0</v>
      </c>
      <c r="AO199" s="39">
        <f>資料儲存!G7235</f>
        <v>0</v>
      </c>
      <c r="AP199" s="39">
        <f>資料儲存!H7235</f>
        <v>0</v>
      </c>
      <c r="AQ199" s="39">
        <f>資料儲存!I7235</f>
        <v>0</v>
      </c>
      <c r="AR199" s="39">
        <f>資料儲存!J7235</f>
        <v>0</v>
      </c>
      <c r="AS199" s="59"/>
      <c r="AT199" s="62">
        <v>34</v>
      </c>
      <c r="AU199" s="39">
        <f>資料儲存!D7475</f>
        <v>0</v>
      </c>
      <c r="AV199" s="39">
        <f>資料儲存!E7475</f>
        <v>0</v>
      </c>
      <c r="AW199" s="39">
        <f>資料儲存!F7475</f>
        <v>0</v>
      </c>
      <c r="AX199" s="39">
        <f>資料儲存!G7475</f>
        <v>0</v>
      </c>
      <c r="AY199" s="39">
        <f>資料儲存!H7475</f>
        <v>0</v>
      </c>
      <c r="AZ199" s="39">
        <f>資料儲存!I7475</f>
        <v>0</v>
      </c>
      <c r="BA199" s="39">
        <f>資料儲存!J7475</f>
        <v>0</v>
      </c>
    </row>
    <row r="200" spans="1:53" ht="16" thickBot="1">
      <c r="A200" s="62">
        <v>35</v>
      </c>
      <c r="B200" s="39">
        <f>資料儲存!D6276</f>
        <v>0</v>
      </c>
      <c r="C200" s="39">
        <f>資料儲存!E6276</f>
        <v>0</v>
      </c>
      <c r="D200" s="39">
        <f>資料儲存!F6276</f>
        <v>0</v>
      </c>
      <c r="E200" s="39">
        <f>資料儲存!G6276</f>
        <v>0</v>
      </c>
      <c r="F200" s="39">
        <f>資料儲存!H6276</f>
        <v>0</v>
      </c>
      <c r="G200" s="39">
        <f>資料儲存!I6276</f>
        <v>0</v>
      </c>
      <c r="H200" s="39">
        <f>資料儲存!J6276</f>
        <v>0</v>
      </c>
      <c r="I200" s="58"/>
      <c r="J200" s="62">
        <v>35</v>
      </c>
      <c r="K200" s="39">
        <f>資料儲存!D6516</f>
        <v>0</v>
      </c>
      <c r="L200" s="39">
        <f>資料儲存!E6516</f>
        <v>0</v>
      </c>
      <c r="M200" s="39">
        <f>資料儲存!F6516</f>
        <v>0</v>
      </c>
      <c r="N200" s="39">
        <f>資料儲存!G6516</f>
        <v>0</v>
      </c>
      <c r="O200" s="39">
        <f>資料儲存!H6516</f>
        <v>0</v>
      </c>
      <c r="P200" s="39">
        <f>資料儲存!I6516</f>
        <v>0</v>
      </c>
      <c r="Q200" s="39">
        <f>資料儲存!J6516</f>
        <v>0</v>
      </c>
      <c r="R200" s="58"/>
      <c r="S200" s="62">
        <v>35</v>
      </c>
      <c r="T200" s="39">
        <f>資料儲存!D6756</f>
        <v>0</v>
      </c>
      <c r="U200" s="39">
        <f>資料儲存!E6756</f>
        <v>0</v>
      </c>
      <c r="V200" s="39">
        <f>資料儲存!F6756</f>
        <v>0</v>
      </c>
      <c r="W200" s="39">
        <f>資料儲存!G6756</f>
        <v>0</v>
      </c>
      <c r="X200" s="39">
        <f>資料儲存!H6756</f>
        <v>0</v>
      </c>
      <c r="Y200" s="39">
        <f>資料儲存!I6756</f>
        <v>0</v>
      </c>
      <c r="Z200" s="39">
        <f>資料儲存!J6756</f>
        <v>0</v>
      </c>
      <c r="AA200" s="58"/>
      <c r="AB200" s="62">
        <v>35</v>
      </c>
      <c r="AC200" s="39">
        <f>資料儲存!D6996</f>
        <v>0</v>
      </c>
      <c r="AD200" s="39">
        <f>資料儲存!E6996</f>
        <v>0</v>
      </c>
      <c r="AE200" s="39">
        <f>資料儲存!F6996</f>
        <v>0</v>
      </c>
      <c r="AF200" s="39">
        <f>資料儲存!G6996</f>
        <v>0</v>
      </c>
      <c r="AG200" s="39">
        <f>資料儲存!H6996</f>
        <v>0</v>
      </c>
      <c r="AH200" s="39">
        <f>資料儲存!I6996</f>
        <v>0</v>
      </c>
      <c r="AI200" s="39">
        <f>資料儲存!J6996</f>
        <v>0</v>
      </c>
      <c r="AJ200" s="58"/>
      <c r="AK200" s="62">
        <v>35</v>
      </c>
      <c r="AL200" s="39">
        <f>資料儲存!D7236</f>
        <v>0</v>
      </c>
      <c r="AM200" s="39">
        <f>資料儲存!E7236</f>
        <v>0</v>
      </c>
      <c r="AN200" s="39">
        <f>資料儲存!F7236</f>
        <v>0</v>
      </c>
      <c r="AO200" s="39">
        <f>資料儲存!G7236</f>
        <v>0</v>
      </c>
      <c r="AP200" s="39">
        <f>資料儲存!H7236</f>
        <v>0</v>
      </c>
      <c r="AQ200" s="39">
        <f>資料儲存!I7236</f>
        <v>0</v>
      </c>
      <c r="AR200" s="39">
        <f>資料儲存!J7236</f>
        <v>0</v>
      </c>
      <c r="AS200" s="59"/>
      <c r="AT200" s="62">
        <v>35</v>
      </c>
      <c r="AU200" s="39">
        <f>資料儲存!D7476</f>
        <v>0</v>
      </c>
      <c r="AV200" s="39">
        <f>資料儲存!E7476</f>
        <v>0</v>
      </c>
      <c r="AW200" s="39">
        <f>資料儲存!F7476</f>
        <v>0</v>
      </c>
      <c r="AX200" s="39">
        <f>資料儲存!G7476</f>
        <v>0</v>
      </c>
      <c r="AY200" s="39">
        <f>資料儲存!H7476</f>
        <v>0</v>
      </c>
      <c r="AZ200" s="39">
        <f>資料儲存!I7476</f>
        <v>0</v>
      </c>
      <c r="BA200" s="39">
        <f>資料儲存!J7476</f>
        <v>0</v>
      </c>
    </row>
    <row r="201" spans="1:53" ht="16" thickBot="1">
      <c r="A201" s="62">
        <v>36</v>
      </c>
      <c r="B201" s="39">
        <f>資料儲存!D6277</f>
        <v>0</v>
      </c>
      <c r="C201" s="39">
        <f>資料儲存!E6277</f>
        <v>0</v>
      </c>
      <c r="D201" s="39">
        <f>資料儲存!F6277</f>
        <v>0</v>
      </c>
      <c r="E201" s="39">
        <f>資料儲存!G6277</f>
        <v>0</v>
      </c>
      <c r="F201" s="39">
        <f>資料儲存!H6277</f>
        <v>0</v>
      </c>
      <c r="G201" s="39">
        <f>資料儲存!I6277</f>
        <v>0</v>
      </c>
      <c r="H201" s="39">
        <f>資料儲存!J6277</f>
        <v>0</v>
      </c>
      <c r="I201" s="58"/>
      <c r="J201" s="62">
        <v>36</v>
      </c>
      <c r="K201" s="39">
        <f>資料儲存!D6517</f>
        <v>0</v>
      </c>
      <c r="L201" s="39">
        <f>資料儲存!E6517</f>
        <v>0</v>
      </c>
      <c r="M201" s="39">
        <f>資料儲存!F6517</f>
        <v>0</v>
      </c>
      <c r="N201" s="39">
        <f>資料儲存!G6517</f>
        <v>0</v>
      </c>
      <c r="O201" s="39">
        <f>資料儲存!H6517</f>
        <v>0</v>
      </c>
      <c r="P201" s="39">
        <f>資料儲存!I6517</f>
        <v>0</v>
      </c>
      <c r="Q201" s="39">
        <f>資料儲存!J6517</f>
        <v>0</v>
      </c>
      <c r="R201" s="58"/>
      <c r="S201" s="62">
        <v>36</v>
      </c>
      <c r="T201" s="39">
        <f>資料儲存!D6757</f>
        <v>0</v>
      </c>
      <c r="U201" s="39">
        <f>資料儲存!E6757</f>
        <v>0</v>
      </c>
      <c r="V201" s="39">
        <f>資料儲存!F6757</f>
        <v>0</v>
      </c>
      <c r="W201" s="39">
        <f>資料儲存!G6757</f>
        <v>0</v>
      </c>
      <c r="X201" s="39">
        <f>資料儲存!H6757</f>
        <v>0</v>
      </c>
      <c r="Y201" s="39">
        <f>資料儲存!I6757</f>
        <v>0</v>
      </c>
      <c r="Z201" s="39">
        <f>資料儲存!J6757</f>
        <v>0</v>
      </c>
      <c r="AA201" s="58"/>
      <c r="AB201" s="62">
        <v>36</v>
      </c>
      <c r="AC201" s="39">
        <f>資料儲存!D6997</f>
        <v>0</v>
      </c>
      <c r="AD201" s="39">
        <f>資料儲存!E6997</f>
        <v>0</v>
      </c>
      <c r="AE201" s="39">
        <f>資料儲存!F6997</f>
        <v>0</v>
      </c>
      <c r="AF201" s="39">
        <f>資料儲存!G6997</f>
        <v>0</v>
      </c>
      <c r="AG201" s="39">
        <f>資料儲存!H6997</f>
        <v>0</v>
      </c>
      <c r="AH201" s="39">
        <f>資料儲存!I6997</f>
        <v>0</v>
      </c>
      <c r="AI201" s="39">
        <f>資料儲存!J6997</f>
        <v>0</v>
      </c>
      <c r="AJ201" s="58"/>
      <c r="AK201" s="62">
        <v>36</v>
      </c>
      <c r="AL201" s="39">
        <f>資料儲存!D7237</f>
        <v>0</v>
      </c>
      <c r="AM201" s="39">
        <f>資料儲存!E7237</f>
        <v>0</v>
      </c>
      <c r="AN201" s="39">
        <f>資料儲存!F7237</f>
        <v>0</v>
      </c>
      <c r="AO201" s="39">
        <f>資料儲存!G7237</f>
        <v>0</v>
      </c>
      <c r="AP201" s="39">
        <f>資料儲存!H7237</f>
        <v>0</v>
      </c>
      <c r="AQ201" s="39">
        <f>資料儲存!I7237</f>
        <v>0</v>
      </c>
      <c r="AR201" s="39">
        <f>資料儲存!J7237</f>
        <v>0</v>
      </c>
      <c r="AS201" s="59"/>
      <c r="AT201" s="62">
        <v>36</v>
      </c>
      <c r="AU201" s="39">
        <f>資料儲存!D7477</f>
        <v>0</v>
      </c>
      <c r="AV201" s="39">
        <f>資料儲存!E7477</f>
        <v>0</v>
      </c>
      <c r="AW201" s="39">
        <f>資料儲存!F7477</f>
        <v>0</v>
      </c>
      <c r="AX201" s="39">
        <f>資料儲存!G7477</f>
        <v>0</v>
      </c>
      <c r="AY201" s="39">
        <f>資料儲存!H7477</f>
        <v>0</v>
      </c>
      <c r="AZ201" s="39">
        <f>資料儲存!I7477</f>
        <v>0</v>
      </c>
      <c r="BA201" s="39">
        <f>資料儲存!J7477</f>
        <v>0</v>
      </c>
    </row>
    <row r="202" spans="1:53" ht="16" thickBot="1">
      <c r="A202" s="62">
        <v>37</v>
      </c>
      <c r="B202" s="39">
        <f>資料儲存!D6278</f>
        <v>0</v>
      </c>
      <c r="C202" s="39">
        <f>資料儲存!E6278</f>
        <v>0</v>
      </c>
      <c r="D202" s="39">
        <f>資料儲存!F6278</f>
        <v>0</v>
      </c>
      <c r="E202" s="39">
        <f>資料儲存!G6278</f>
        <v>0</v>
      </c>
      <c r="F202" s="39">
        <f>資料儲存!H6278</f>
        <v>0</v>
      </c>
      <c r="G202" s="39">
        <f>資料儲存!I6278</f>
        <v>0</v>
      </c>
      <c r="H202" s="39">
        <f>資料儲存!J6278</f>
        <v>0</v>
      </c>
      <c r="I202" s="58"/>
      <c r="J202" s="62">
        <v>37</v>
      </c>
      <c r="K202" s="39">
        <f>資料儲存!D6518</f>
        <v>0</v>
      </c>
      <c r="L202" s="39">
        <f>資料儲存!E6518</f>
        <v>0</v>
      </c>
      <c r="M202" s="39">
        <f>資料儲存!F6518</f>
        <v>0</v>
      </c>
      <c r="N202" s="39">
        <f>資料儲存!G6518</f>
        <v>0</v>
      </c>
      <c r="O202" s="39">
        <f>資料儲存!H6518</f>
        <v>0</v>
      </c>
      <c r="P202" s="39">
        <f>資料儲存!I6518</f>
        <v>0</v>
      </c>
      <c r="Q202" s="39">
        <f>資料儲存!J6518</f>
        <v>0</v>
      </c>
      <c r="R202" s="58"/>
      <c r="S202" s="62">
        <v>37</v>
      </c>
      <c r="T202" s="39">
        <f>資料儲存!D6758</f>
        <v>0</v>
      </c>
      <c r="U202" s="39">
        <f>資料儲存!E6758</f>
        <v>0</v>
      </c>
      <c r="V202" s="39">
        <f>資料儲存!F6758</f>
        <v>0</v>
      </c>
      <c r="W202" s="39">
        <f>資料儲存!G6758</f>
        <v>0</v>
      </c>
      <c r="X202" s="39">
        <f>資料儲存!H6758</f>
        <v>0</v>
      </c>
      <c r="Y202" s="39">
        <f>資料儲存!I6758</f>
        <v>0</v>
      </c>
      <c r="Z202" s="39">
        <f>資料儲存!J6758</f>
        <v>0</v>
      </c>
      <c r="AA202" s="58"/>
      <c r="AB202" s="62">
        <v>37</v>
      </c>
      <c r="AC202" s="39">
        <f>資料儲存!D6998</f>
        <v>0</v>
      </c>
      <c r="AD202" s="39">
        <f>資料儲存!E6998</f>
        <v>0</v>
      </c>
      <c r="AE202" s="39">
        <f>資料儲存!F6998</f>
        <v>0</v>
      </c>
      <c r="AF202" s="39">
        <f>資料儲存!G6998</f>
        <v>0</v>
      </c>
      <c r="AG202" s="39">
        <f>資料儲存!H6998</f>
        <v>0</v>
      </c>
      <c r="AH202" s="39">
        <f>資料儲存!I6998</f>
        <v>0</v>
      </c>
      <c r="AI202" s="39">
        <f>資料儲存!J6998</f>
        <v>0</v>
      </c>
      <c r="AJ202" s="58"/>
      <c r="AK202" s="62">
        <v>37</v>
      </c>
      <c r="AL202" s="39">
        <f>資料儲存!D7238</f>
        <v>0</v>
      </c>
      <c r="AM202" s="39">
        <f>資料儲存!E7238</f>
        <v>0</v>
      </c>
      <c r="AN202" s="39">
        <f>資料儲存!F7238</f>
        <v>0</v>
      </c>
      <c r="AO202" s="39">
        <f>資料儲存!G7238</f>
        <v>0</v>
      </c>
      <c r="AP202" s="39">
        <f>資料儲存!H7238</f>
        <v>0</v>
      </c>
      <c r="AQ202" s="39">
        <f>資料儲存!I7238</f>
        <v>0</v>
      </c>
      <c r="AR202" s="39">
        <f>資料儲存!J7238</f>
        <v>0</v>
      </c>
      <c r="AS202" s="59"/>
      <c r="AT202" s="62">
        <v>37</v>
      </c>
      <c r="AU202" s="39">
        <f>資料儲存!D7478</f>
        <v>0</v>
      </c>
      <c r="AV202" s="39">
        <f>資料儲存!E7478</f>
        <v>0</v>
      </c>
      <c r="AW202" s="39">
        <f>資料儲存!F7478</f>
        <v>0</v>
      </c>
      <c r="AX202" s="39">
        <f>資料儲存!G7478</f>
        <v>0</v>
      </c>
      <c r="AY202" s="39">
        <f>資料儲存!H7478</f>
        <v>0</v>
      </c>
      <c r="AZ202" s="39">
        <f>資料儲存!I7478</f>
        <v>0</v>
      </c>
      <c r="BA202" s="39">
        <f>資料儲存!J7478</f>
        <v>0</v>
      </c>
    </row>
    <row r="203" spans="1:53" ht="16" thickBot="1">
      <c r="A203" s="62">
        <v>38</v>
      </c>
      <c r="B203" s="39">
        <f>資料儲存!D6279</f>
        <v>0</v>
      </c>
      <c r="C203" s="39">
        <f>資料儲存!E6279</f>
        <v>0</v>
      </c>
      <c r="D203" s="39">
        <f>資料儲存!F6279</f>
        <v>0</v>
      </c>
      <c r="E203" s="39">
        <f>資料儲存!G6279</f>
        <v>0</v>
      </c>
      <c r="F203" s="39">
        <f>資料儲存!H6279</f>
        <v>0</v>
      </c>
      <c r="G203" s="39">
        <f>資料儲存!I6279</f>
        <v>0</v>
      </c>
      <c r="H203" s="39">
        <f>資料儲存!J6279</f>
        <v>0</v>
      </c>
      <c r="I203" s="58"/>
      <c r="J203" s="62">
        <v>38</v>
      </c>
      <c r="K203" s="39">
        <f>資料儲存!D6519</f>
        <v>0</v>
      </c>
      <c r="L203" s="39">
        <f>資料儲存!E6519</f>
        <v>0</v>
      </c>
      <c r="M203" s="39">
        <f>資料儲存!F6519</f>
        <v>0</v>
      </c>
      <c r="N203" s="39">
        <f>資料儲存!G6519</f>
        <v>0</v>
      </c>
      <c r="O203" s="39">
        <f>資料儲存!H6519</f>
        <v>0</v>
      </c>
      <c r="P203" s="39">
        <f>資料儲存!I6519</f>
        <v>0</v>
      </c>
      <c r="Q203" s="39">
        <f>資料儲存!J6519</f>
        <v>0</v>
      </c>
      <c r="R203" s="58"/>
      <c r="S203" s="62">
        <v>38</v>
      </c>
      <c r="T203" s="39">
        <f>資料儲存!D6759</f>
        <v>0</v>
      </c>
      <c r="U203" s="39">
        <f>資料儲存!E6759</f>
        <v>0</v>
      </c>
      <c r="V203" s="39">
        <f>資料儲存!F6759</f>
        <v>0</v>
      </c>
      <c r="W203" s="39">
        <f>資料儲存!G6759</f>
        <v>0</v>
      </c>
      <c r="X203" s="39">
        <f>資料儲存!H6759</f>
        <v>0</v>
      </c>
      <c r="Y203" s="39">
        <f>資料儲存!I6759</f>
        <v>0</v>
      </c>
      <c r="Z203" s="39">
        <f>資料儲存!J6759</f>
        <v>0</v>
      </c>
      <c r="AA203" s="58"/>
      <c r="AB203" s="62">
        <v>38</v>
      </c>
      <c r="AC203" s="39">
        <f>資料儲存!D6999</f>
        <v>0</v>
      </c>
      <c r="AD203" s="39">
        <f>資料儲存!E6999</f>
        <v>0</v>
      </c>
      <c r="AE203" s="39">
        <f>資料儲存!F6999</f>
        <v>0</v>
      </c>
      <c r="AF203" s="39">
        <f>資料儲存!G6999</f>
        <v>0</v>
      </c>
      <c r="AG203" s="39">
        <f>資料儲存!H6999</f>
        <v>0</v>
      </c>
      <c r="AH203" s="39">
        <f>資料儲存!I6999</f>
        <v>0</v>
      </c>
      <c r="AI203" s="39">
        <f>資料儲存!J6999</f>
        <v>0</v>
      </c>
      <c r="AJ203" s="58"/>
      <c r="AK203" s="62">
        <v>38</v>
      </c>
      <c r="AL203" s="39">
        <f>資料儲存!D7239</f>
        <v>0</v>
      </c>
      <c r="AM203" s="39">
        <f>資料儲存!E7239</f>
        <v>0</v>
      </c>
      <c r="AN203" s="39">
        <f>資料儲存!F7239</f>
        <v>0</v>
      </c>
      <c r="AO203" s="39">
        <f>資料儲存!G7239</f>
        <v>0</v>
      </c>
      <c r="AP203" s="39">
        <f>資料儲存!H7239</f>
        <v>0</v>
      </c>
      <c r="AQ203" s="39">
        <f>資料儲存!I7239</f>
        <v>0</v>
      </c>
      <c r="AR203" s="39">
        <f>資料儲存!J7239</f>
        <v>0</v>
      </c>
      <c r="AS203" s="59"/>
      <c r="AT203" s="62">
        <v>38</v>
      </c>
      <c r="AU203" s="39">
        <f>資料儲存!D7479</f>
        <v>0</v>
      </c>
      <c r="AV203" s="39">
        <f>資料儲存!E7479</f>
        <v>0</v>
      </c>
      <c r="AW203" s="39">
        <f>資料儲存!F7479</f>
        <v>0</v>
      </c>
      <c r="AX203" s="39">
        <f>資料儲存!G7479</f>
        <v>0</v>
      </c>
      <c r="AY203" s="39">
        <f>資料儲存!H7479</f>
        <v>0</v>
      </c>
      <c r="AZ203" s="39">
        <f>資料儲存!I7479</f>
        <v>0</v>
      </c>
      <c r="BA203" s="39">
        <f>資料儲存!J7479</f>
        <v>0</v>
      </c>
    </row>
    <row r="204" spans="1:53" ht="16" thickBot="1">
      <c r="A204" s="62">
        <v>39</v>
      </c>
      <c r="B204" s="39">
        <f>資料儲存!D6280</f>
        <v>0</v>
      </c>
      <c r="C204" s="39">
        <f>資料儲存!E6280</f>
        <v>0</v>
      </c>
      <c r="D204" s="39">
        <f>資料儲存!F6280</f>
        <v>0</v>
      </c>
      <c r="E204" s="39">
        <f>資料儲存!G6280</f>
        <v>0</v>
      </c>
      <c r="F204" s="39">
        <f>資料儲存!H6280</f>
        <v>0</v>
      </c>
      <c r="G204" s="39">
        <f>資料儲存!I6280</f>
        <v>0</v>
      </c>
      <c r="H204" s="39">
        <f>資料儲存!J6280</f>
        <v>0</v>
      </c>
      <c r="I204" s="58"/>
      <c r="J204" s="62">
        <v>39</v>
      </c>
      <c r="K204" s="39">
        <f>資料儲存!D6520</f>
        <v>0</v>
      </c>
      <c r="L204" s="39">
        <f>資料儲存!E6520</f>
        <v>0</v>
      </c>
      <c r="M204" s="39">
        <f>資料儲存!F6520</f>
        <v>0</v>
      </c>
      <c r="N204" s="39">
        <f>資料儲存!G6520</f>
        <v>0</v>
      </c>
      <c r="O204" s="39">
        <f>資料儲存!H6520</f>
        <v>0</v>
      </c>
      <c r="P204" s="39">
        <f>資料儲存!I6520</f>
        <v>0</v>
      </c>
      <c r="Q204" s="39">
        <f>資料儲存!J6520</f>
        <v>0</v>
      </c>
      <c r="R204" s="58"/>
      <c r="S204" s="62">
        <v>39</v>
      </c>
      <c r="T204" s="39">
        <f>資料儲存!D6760</f>
        <v>0</v>
      </c>
      <c r="U204" s="39">
        <f>資料儲存!E6760</f>
        <v>0</v>
      </c>
      <c r="V204" s="39">
        <f>資料儲存!F6760</f>
        <v>0</v>
      </c>
      <c r="W204" s="39">
        <f>資料儲存!G6760</f>
        <v>0</v>
      </c>
      <c r="X204" s="39">
        <f>資料儲存!H6760</f>
        <v>0</v>
      </c>
      <c r="Y204" s="39">
        <f>資料儲存!I6760</f>
        <v>0</v>
      </c>
      <c r="Z204" s="39">
        <f>資料儲存!J6760</f>
        <v>0</v>
      </c>
      <c r="AA204" s="58"/>
      <c r="AB204" s="62">
        <v>39</v>
      </c>
      <c r="AC204" s="39">
        <f>資料儲存!D7000</f>
        <v>0</v>
      </c>
      <c r="AD204" s="39">
        <f>資料儲存!E7000</f>
        <v>0</v>
      </c>
      <c r="AE204" s="39">
        <f>資料儲存!F7000</f>
        <v>0</v>
      </c>
      <c r="AF204" s="39">
        <f>資料儲存!G7000</f>
        <v>0</v>
      </c>
      <c r="AG204" s="39">
        <f>資料儲存!H7000</f>
        <v>0</v>
      </c>
      <c r="AH204" s="39">
        <f>資料儲存!I7000</f>
        <v>0</v>
      </c>
      <c r="AI204" s="39">
        <f>資料儲存!J7000</f>
        <v>0</v>
      </c>
      <c r="AJ204" s="58"/>
      <c r="AK204" s="62">
        <v>39</v>
      </c>
      <c r="AL204" s="39">
        <f>資料儲存!D7240</f>
        <v>0</v>
      </c>
      <c r="AM204" s="39">
        <f>資料儲存!E7240</f>
        <v>0</v>
      </c>
      <c r="AN204" s="39">
        <f>資料儲存!F7240</f>
        <v>0</v>
      </c>
      <c r="AO204" s="39">
        <f>資料儲存!G7240</f>
        <v>0</v>
      </c>
      <c r="AP204" s="39">
        <f>資料儲存!H7240</f>
        <v>0</v>
      </c>
      <c r="AQ204" s="39">
        <f>資料儲存!I7240</f>
        <v>0</v>
      </c>
      <c r="AR204" s="39">
        <f>資料儲存!J7240</f>
        <v>0</v>
      </c>
      <c r="AS204" s="59"/>
      <c r="AT204" s="62">
        <v>39</v>
      </c>
      <c r="AU204" s="39">
        <f>資料儲存!D7480</f>
        <v>0</v>
      </c>
      <c r="AV204" s="39">
        <f>資料儲存!E7480</f>
        <v>0</v>
      </c>
      <c r="AW204" s="39">
        <f>資料儲存!F7480</f>
        <v>0</v>
      </c>
      <c r="AX204" s="39">
        <f>資料儲存!G7480</f>
        <v>0</v>
      </c>
      <c r="AY204" s="39">
        <f>資料儲存!H7480</f>
        <v>0</v>
      </c>
      <c r="AZ204" s="39">
        <f>資料儲存!I7480</f>
        <v>0</v>
      </c>
      <c r="BA204" s="39">
        <f>資料儲存!J7480</f>
        <v>0</v>
      </c>
    </row>
    <row r="205" spans="1:53" ht="16" thickBot="1">
      <c r="A205" s="62">
        <v>40</v>
      </c>
      <c r="B205" s="39">
        <f>資料儲存!D6281</f>
        <v>0</v>
      </c>
      <c r="C205" s="39">
        <f>資料儲存!E6281</f>
        <v>0</v>
      </c>
      <c r="D205" s="39">
        <f>資料儲存!F6281</f>
        <v>0</v>
      </c>
      <c r="E205" s="39">
        <f>資料儲存!G6281</f>
        <v>0</v>
      </c>
      <c r="F205" s="39">
        <f>資料儲存!H6281</f>
        <v>0</v>
      </c>
      <c r="G205" s="39">
        <f>資料儲存!I6281</f>
        <v>0</v>
      </c>
      <c r="H205" s="39">
        <f>資料儲存!J6281</f>
        <v>0</v>
      </c>
      <c r="I205" s="58"/>
      <c r="J205" s="62">
        <v>40</v>
      </c>
      <c r="K205" s="39">
        <f>資料儲存!D6521</f>
        <v>0</v>
      </c>
      <c r="L205" s="39">
        <f>資料儲存!E6521</f>
        <v>0</v>
      </c>
      <c r="M205" s="39">
        <f>資料儲存!F6521</f>
        <v>0</v>
      </c>
      <c r="N205" s="39">
        <f>資料儲存!G6521</f>
        <v>0</v>
      </c>
      <c r="O205" s="39">
        <f>資料儲存!H6521</f>
        <v>0</v>
      </c>
      <c r="P205" s="39">
        <f>資料儲存!I6521</f>
        <v>0</v>
      </c>
      <c r="Q205" s="39">
        <f>資料儲存!J6521</f>
        <v>0</v>
      </c>
      <c r="R205" s="58"/>
      <c r="S205" s="62">
        <v>40</v>
      </c>
      <c r="T205" s="39">
        <f>資料儲存!D6761</f>
        <v>0</v>
      </c>
      <c r="U205" s="39">
        <f>資料儲存!E6761</f>
        <v>0</v>
      </c>
      <c r="V205" s="39">
        <f>資料儲存!F6761</f>
        <v>0</v>
      </c>
      <c r="W205" s="39">
        <f>資料儲存!G6761</f>
        <v>0</v>
      </c>
      <c r="X205" s="39">
        <f>資料儲存!H6761</f>
        <v>0</v>
      </c>
      <c r="Y205" s="39">
        <f>資料儲存!I6761</f>
        <v>0</v>
      </c>
      <c r="Z205" s="39">
        <f>資料儲存!J6761</f>
        <v>0</v>
      </c>
      <c r="AA205" s="58"/>
      <c r="AB205" s="62">
        <v>40</v>
      </c>
      <c r="AC205" s="39">
        <f>資料儲存!D7001</f>
        <v>0</v>
      </c>
      <c r="AD205" s="39">
        <f>資料儲存!E7001</f>
        <v>0</v>
      </c>
      <c r="AE205" s="39">
        <f>資料儲存!F7001</f>
        <v>0</v>
      </c>
      <c r="AF205" s="39">
        <f>資料儲存!G7001</f>
        <v>0</v>
      </c>
      <c r="AG205" s="39">
        <f>資料儲存!H7001</f>
        <v>0</v>
      </c>
      <c r="AH205" s="39">
        <f>資料儲存!I7001</f>
        <v>0</v>
      </c>
      <c r="AI205" s="39">
        <f>資料儲存!J7001</f>
        <v>0</v>
      </c>
      <c r="AJ205" s="58"/>
      <c r="AK205" s="62">
        <v>40</v>
      </c>
      <c r="AL205" s="39">
        <f>資料儲存!D7241</f>
        <v>0</v>
      </c>
      <c r="AM205" s="39">
        <f>資料儲存!E7241</f>
        <v>0</v>
      </c>
      <c r="AN205" s="39">
        <f>資料儲存!F7241</f>
        <v>0</v>
      </c>
      <c r="AO205" s="39">
        <f>資料儲存!G7241</f>
        <v>0</v>
      </c>
      <c r="AP205" s="39">
        <f>資料儲存!H7241</f>
        <v>0</v>
      </c>
      <c r="AQ205" s="39">
        <f>資料儲存!I7241</f>
        <v>0</v>
      </c>
      <c r="AR205" s="39">
        <f>資料儲存!J7241</f>
        <v>0</v>
      </c>
      <c r="AS205" s="59"/>
      <c r="AT205" s="62">
        <v>40</v>
      </c>
      <c r="AU205" s="39">
        <f>資料儲存!D7481</f>
        <v>0</v>
      </c>
      <c r="AV205" s="39">
        <f>資料儲存!E7481</f>
        <v>0</v>
      </c>
      <c r="AW205" s="39">
        <f>資料儲存!F7481</f>
        <v>0</v>
      </c>
      <c r="AX205" s="39">
        <f>資料儲存!G7481</f>
        <v>0</v>
      </c>
      <c r="AY205" s="39">
        <f>資料儲存!H7481</f>
        <v>0</v>
      </c>
      <c r="AZ205" s="39">
        <f>資料儲存!I7481</f>
        <v>0</v>
      </c>
      <c r="BA205" s="39">
        <f>資料儲存!J7481</f>
        <v>0</v>
      </c>
    </row>
    <row r="206" spans="1:53" ht="16" thickBot="1">
      <c r="A206" s="62">
        <v>41</v>
      </c>
      <c r="B206" s="39">
        <f>資料儲存!D6282</f>
        <v>0</v>
      </c>
      <c r="C206" s="39">
        <f>資料儲存!E6282</f>
        <v>0</v>
      </c>
      <c r="D206" s="39">
        <f>資料儲存!F6282</f>
        <v>0</v>
      </c>
      <c r="E206" s="39">
        <f>資料儲存!G6282</f>
        <v>0</v>
      </c>
      <c r="F206" s="39">
        <f>資料儲存!H6282</f>
        <v>0</v>
      </c>
      <c r="G206" s="39">
        <f>資料儲存!I6282</f>
        <v>0</v>
      </c>
      <c r="H206" s="39">
        <f>資料儲存!J6282</f>
        <v>0</v>
      </c>
      <c r="I206" s="58"/>
      <c r="J206" s="62">
        <v>41</v>
      </c>
      <c r="K206" s="39">
        <f>資料儲存!D6522</f>
        <v>0</v>
      </c>
      <c r="L206" s="39">
        <f>資料儲存!E6522</f>
        <v>0</v>
      </c>
      <c r="M206" s="39">
        <f>資料儲存!F6522</f>
        <v>0</v>
      </c>
      <c r="N206" s="39">
        <f>資料儲存!G6522</f>
        <v>0</v>
      </c>
      <c r="O206" s="39">
        <f>資料儲存!H6522</f>
        <v>0</v>
      </c>
      <c r="P206" s="39">
        <f>資料儲存!I6522</f>
        <v>0</v>
      </c>
      <c r="Q206" s="39">
        <f>資料儲存!J6522</f>
        <v>0</v>
      </c>
      <c r="R206" s="58"/>
      <c r="S206" s="62">
        <v>41</v>
      </c>
      <c r="T206" s="39">
        <f>資料儲存!D6762</f>
        <v>0</v>
      </c>
      <c r="U206" s="39">
        <f>資料儲存!E6762</f>
        <v>0</v>
      </c>
      <c r="V206" s="39">
        <f>資料儲存!F6762</f>
        <v>0</v>
      </c>
      <c r="W206" s="39">
        <f>資料儲存!G6762</f>
        <v>0</v>
      </c>
      <c r="X206" s="39">
        <f>資料儲存!H6762</f>
        <v>0</v>
      </c>
      <c r="Y206" s="39">
        <f>資料儲存!I6762</f>
        <v>0</v>
      </c>
      <c r="Z206" s="39">
        <f>資料儲存!J6762</f>
        <v>0</v>
      </c>
      <c r="AA206" s="58"/>
      <c r="AB206" s="62">
        <v>41</v>
      </c>
      <c r="AC206" s="39">
        <f>資料儲存!D7002</f>
        <v>0</v>
      </c>
      <c r="AD206" s="39">
        <f>資料儲存!E7002</f>
        <v>0</v>
      </c>
      <c r="AE206" s="39">
        <f>資料儲存!F7002</f>
        <v>0</v>
      </c>
      <c r="AF206" s="39">
        <f>資料儲存!G7002</f>
        <v>0</v>
      </c>
      <c r="AG206" s="39">
        <f>資料儲存!H7002</f>
        <v>0</v>
      </c>
      <c r="AH206" s="39">
        <f>資料儲存!I7002</f>
        <v>0</v>
      </c>
      <c r="AI206" s="39">
        <f>資料儲存!J7002</f>
        <v>0</v>
      </c>
      <c r="AJ206" s="58"/>
      <c r="AK206" s="62">
        <v>41</v>
      </c>
      <c r="AL206" s="39">
        <f>資料儲存!D7242</f>
        <v>0</v>
      </c>
      <c r="AM206" s="39">
        <f>資料儲存!E7242</f>
        <v>0</v>
      </c>
      <c r="AN206" s="39">
        <f>資料儲存!F7242</f>
        <v>0</v>
      </c>
      <c r="AO206" s="39">
        <f>資料儲存!G7242</f>
        <v>0</v>
      </c>
      <c r="AP206" s="39">
        <f>資料儲存!H7242</f>
        <v>0</v>
      </c>
      <c r="AQ206" s="39">
        <f>資料儲存!I7242</f>
        <v>0</v>
      </c>
      <c r="AR206" s="39">
        <f>資料儲存!J7242</f>
        <v>0</v>
      </c>
      <c r="AS206" s="59"/>
      <c r="AT206" s="62">
        <v>41</v>
      </c>
      <c r="AU206" s="39">
        <f>資料儲存!D7482</f>
        <v>0</v>
      </c>
      <c r="AV206" s="39">
        <f>資料儲存!E7482</f>
        <v>0</v>
      </c>
      <c r="AW206" s="39">
        <f>資料儲存!F7482</f>
        <v>0</v>
      </c>
      <c r="AX206" s="39">
        <f>資料儲存!G7482</f>
        <v>0</v>
      </c>
      <c r="AY206" s="39">
        <f>資料儲存!H7482</f>
        <v>0</v>
      </c>
      <c r="AZ206" s="39">
        <f>資料儲存!I7482</f>
        <v>0</v>
      </c>
      <c r="BA206" s="39">
        <f>資料儲存!J7482</f>
        <v>0</v>
      </c>
    </row>
    <row r="207" spans="1:53" ht="16" thickBot="1">
      <c r="A207" s="62">
        <v>42</v>
      </c>
      <c r="B207" s="39">
        <f>資料儲存!D6283</f>
        <v>0</v>
      </c>
      <c r="C207" s="39">
        <f>資料儲存!E6283</f>
        <v>0</v>
      </c>
      <c r="D207" s="39">
        <f>資料儲存!F6283</f>
        <v>0</v>
      </c>
      <c r="E207" s="39">
        <f>資料儲存!G6283</f>
        <v>0</v>
      </c>
      <c r="F207" s="39">
        <f>資料儲存!H6283</f>
        <v>0</v>
      </c>
      <c r="G207" s="39">
        <f>資料儲存!I6283</f>
        <v>0</v>
      </c>
      <c r="H207" s="39">
        <f>資料儲存!J6283</f>
        <v>0</v>
      </c>
      <c r="I207" s="58"/>
      <c r="J207" s="62">
        <v>42</v>
      </c>
      <c r="K207" s="39">
        <f>資料儲存!D6523</f>
        <v>0</v>
      </c>
      <c r="L207" s="39">
        <f>資料儲存!E6523</f>
        <v>0</v>
      </c>
      <c r="M207" s="39">
        <f>資料儲存!F6523</f>
        <v>0</v>
      </c>
      <c r="N207" s="39">
        <f>資料儲存!G6523</f>
        <v>0</v>
      </c>
      <c r="O207" s="39">
        <f>資料儲存!H6523</f>
        <v>0</v>
      </c>
      <c r="P207" s="39">
        <f>資料儲存!I6523</f>
        <v>0</v>
      </c>
      <c r="Q207" s="39">
        <f>資料儲存!J6523</f>
        <v>0</v>
      </c>
      <c r="R207" s="58"/>
      <c r="S207" s="62">
        <v>42</v>
      </c>
      <c r="T207" s="39">
        <f>資料儲存!D6763</f>
        <v>0</v>
      </c>
      <c r="U207" s="39">
        <f>資料儲存!E6763</f>
        <v>0</v>
      </c>
      <c r="V207" s="39">
        <f>資料儲存!F6763</f>
        <v>0</v>
      </c>
      <c r="W207" s="39">
        <f>資料儲存!G6763</f>
        <v>0</v>
      </c>
      <c r="X207" s="39">
        <f>資料儲存!H6763</f>
        <v>0</v>
      </c>
      <c r="Y207" s="39">
        <f>資料儲存!I6763</f>
        <v>0</v>
      </c>
      <c r="Z207" s="39">
        <f>資料儲存!J6763</f>
        <v>0</v>
      </c>
      <c r="AA207" s="58"/>
      <c r="AB207" s="62">
        <v>42</v>
      </c>
      <c r="AC207" s="39">
        <f>資料儲存!D7003</f>
        <v>0</v>
      </c>
      <c r="AD207" s="39">
        <f>資料儲存!E7003</f>
        <v>0</v>
      </c>
      <c r="AE207" s="39">
        <f>資料儲存!F7003</f>
        <v>0</v>
      </c>
      <c r="AF207" s="39">
        <f>資料儲存!G7003</f>
        <v>0</v>
      </c>
      <c r="AG207" s="39">
        <f>資料儲存!H7003</f>
        <v>0</v>
      </c>
      <c r="AH207" s="39">
        <f>資料儲存!I7003</f>
        <v>0</v>
      </c>
      <c r="AI207" s="39">
        <f>資料儲存!J7003</f>
        <v>0</v>
      </c>
      <c r="AJ207" s="58"/>
      <c r="AK207" s="62">
        <v>42</v>
      </c>
      <c r="AL207" s="39">
        <f>資料儲存!D7243</f>
        <v>0</v>
      </c>
      <c r="AM207" s="39">
        <f>資料儲存!E7243</f>
        <v>0</v>
      </c>
      <c r="AN207" s="39">
        <f>資料儲存!F7243</f>
        <v>0</v>
      </c>
      <c r="AO207" s="39">
        <f>資料儲存!G7243</f>
        <v>0</v>
      </c>
      <c r="AP207" s="39">
        <f>資料儲存!H7243</f>
        <v>0</v>
      </c>
      <c r="AQ207" s="39">
        <f>資料儲存!I7243</f>
        <v>0</v>
      </c>
      <c r="AR207" s="39">
        <f>資料儲存!J7243</f>
        <v>0</v>
      </c>
      <c r="AS207" s="59"/>
      <c r="AT207" s="62">
        <v>42</v>
      </c>
      <c r="AU207" s="39">
        <f>資料儲存!D7483</f>
        <v>0</v>
      </c>
      <c r="AV207" s="39">
        <f>資料儲存!E7483</f>
        <v>0</v>
      </c>
      <c r="AW207" s="39">
        <f>資料儲存!F7483</f>
        <v>0</v>
      </c>
      <c r="AX207" s="39">
        <f>資料儲存!G7483</f>
        <v>0</v>
      </c>
      <c r="AY207" s="39">
        <f>資料儲存!H7483</f>
        <v>0</v>
      </c>
      <c r="AZ207" s="39">
        <f>資料儲存!I7483</f>
        <v>0</v>
      </c>
      <c r="BA207" s="39">
        <f>資料儲存!J7483</f>
        <v>0</v>
      </c>
    </row>
    <row r="208" spans="1:53" ht="16" thickBot="1">
      <c r="A208" s="62">
        <v>43</v>
      </c>
      <c r="B208" s="39">
        <f>資料儲存!D6284</f>
        <v>0</v>
      </c>
      <c r="C208" s="39">
        <f>資料儲存!E6284</f>
        <v>0</v>
      </c>
      <c r="D208" s="39">
        <f>資料儲存!F6284</f>
        <v>0</v>
      </c>
      <c r="E208" s="39">
        <f>資料儲存!G6284</f>
        <v>0</v>
      </c>
      <c r="F208" s="39">
        <f>資料儲存!H6284</f>
        <v>0</v>
      </c>
      <c r="G208" s="39">
        <f>資料儲存!I6284</f>
        <v>0</v>
      </c>
      <c r="H208" s="39">
        <f>資料儲存!J6284</f>
        <v>0</v>
      </c>
      <c r="I208" s="58"/>
      <c r="J208" s="62">
        <v>43</v>
      </c>
      <c r="K208" s="39">
        <f>資料儲存!D6524</f>
        <v>0</v>
      </c>
      <c r="L208" s="39">
        <f>資料儲存!E6524</f>
        <v>0</v>
      </c>
      <c r="M208" s="39">
        <f>資料儲存!F6524</f>
        <v>0</v>
      </c>
      <c r="N208" s="39">
        <f>資料儲存!G6524</f>
        <v>0</v>
      </c>
      <c r="O208" s="39">
        <f>資料儲存!H6524</f>
        <v>0</v>
      </c>
      <c r="P208" s="39">
        <f>資料儲存!I6524</f>
        <v>0</v>
      </c>
      <c r="Q208" s="39">
        <f>資料儲存!J6524</f>
        <v>0</v>
      </c>
      <c r="R208" s="58"/>
      <c r="S208" s="62">
        <v>43</v>
      </c>
      <c r="T208" s="39">
        <f>資料儲存!D6764</f>
        <v>0</v>
      </c>
      <c r="U208" s="39">
        <f>資料儲存!E6764</f>
        <v>0</v>
      </c>
      <c r="V208" s="39">
        <f>資料儲存!F6764</f>
        <v>0</v>
      </c>
      <c r="W208" s="39">
        <f>資料儲存!G6764</f>
        <v>0</v>
      </c>
      <c r="X208" s="39">
        <f>資料儲存!H6764</f>
        <v>0</v>
      </c>
      <c r="Y208" s="39">
        <f>資料儲存!I6764</f>
        <v>0</v>
      </c>
      <c r="Z208" s="39">
        <f>資料儲存!J6764</f>
        <v>0</v>
      </c>
      <c r="AA208" s="58"/>
      <c r="AB208" s="62">
        <v>43</v>
      </c>
      <c r="AC208" s="39">
        <f>資料儲存!D7004</f>
        <v>0</v>
      </c>
      <c r="AD208" s="39">
        <f>資料儲存!E7004</f>
        <v>0</v>
      </c>
      <c r="AE208" s="39">
        <f>資料儲存!F7004</f>
        <v>0</v>
      </c>
      <c r="AF208" s="39">
        <f>資料儲存!G7004</f>
        <v>0</v>
      </c>
      <c r="AG208" s="39">
        <f>資料儲存!H7004</f>
        <v>0</v>
      </c>
      <c r="AH208" s="39">
        <f>資料儲存!I7004</f>
        <v>0</v>
      </c>
      <c r="AI208" s="39">
        <f>資料儲存!J7004</f>
        <v>0</v>
      </c>
      <c r="AJ208" s="58"/>
      <c r="AK208" s="62">
        <v>43</v>
      </c>
      <c r="AL208" s="39">
        <f>資料儲存!D7244</f>
        <v>0</v>
      </c>
      <c r="AM208" s="39">
        <f>資料儲存!E7244</f>
        <v>0</v>
      </c>
      <c r="AN208" s="39">
        <f>資料儲存!F7244</f>
        <v>0</v>
      </c>
      <c r="AO208" s="39">
        <f>資料儲存!G7244</f>
        <v>0</v>
      </c>
      <c r="AP208" s="39">
        <f>資料儲存!H7244</f>
        <v>0</v>
      </c>
      <c r="AQ208" s="39">
        <f>資料儲存!I7244</f>
        <v>0</v>
      </c>
      <c r="AR208" s="39">
        <f>資料儲存!J7244</f>
        <v>0</v>
      </c>
      <c r="AS208" s="59"/>
      <c r="AT208" s="62">
        <v>43</v>
      </c>
      <c r="AU208" s="39">
        <f>資料儲存!D7484</f>
        <v>0</v>
      </c>
      <c r="AV208" s="39">
        <f>資料儲存!E7484</f>
        <v>0</v>
      </c>
      <c r="AW208" s="39">
        <f>資料儲存!F7484</f>
        <v>0</v>
      </c>
      <c r="AX208" s="39">
        <f>資料儲存!G7484</f>
        <v>0</v>
      </c>
      <c r="AY208" s="39">
        <f>資料儲存!H7484</f>
        <v>0</v>
      </c>
      <c r="AZ208" s="39">
        <f>資料儲存!I7484</f>
        <v>0</v>
      </c>
      <c r="BA208" s="39">
        <f>資料儲存!J7484</f>
        <v>0</v>
      </c>
    </row>
    <row r="209" spans="1:53" ht="16" thickBot="1">
      <c r="A209" s="62">
        <v>44</v>
      </c>
      <c r="B209" s="39">
        <f>資料儲存!D6285</f>
        <v>0</v>
      </c>
      <c r="C209" s="39">
        <f>資料儲存!E6285</f>
        <v>0</v>
      </c>
      <c r="D209" s="39">
        <f>資料儲存!F6285</f>
        <v>0</v>
      </c>
      <c r="E209" s="39">
        <f>資料儲存!G6285</f>
        <v>0</v>
      </c>
      <c r="F209" s="39">
        <f>資料儲存!H6285</f>
        <v>0</v>
      </c>
      <c r="G209" s="39">
        <f>資料儲存!I6285</f>
        <v>0</v>
      </c>
      <c r="H209" s="39">
        <f>資料儲存!J6285</f>
        <v>0</v>
      </c>
      <c r="I209" s="58"/>
      <c r="J209" s="62">
        <v>44</v>
      </c>
      <c r="K209" s="39">
        <f>資料儲存!D6525</f>
        <v>0</v>
      </c>
      <c r="L209" s="39">
        <f>資料儲存!E6525</f>
        <v>0</v>
      </c>
      <c r="M209" s="39">
        <f>資料儲存!F6525</f>
        <v>0</v>
      </c>
      <c r="N209" s="39">
        <f>資料儲存!G6525</f>
        <v>0</v>
      </c>
      <c r="O209" s="39">
        <f>資料儲存!H6525</f>
        <v>0</v>
      </c>
      <c r="P209" s="39">
        <f>資料儲存!I6525</f>
        <v>0</v>
      </c>
      <c r="Q209" s="39">
        <f>資料儲存!J6525</f>
        <v>0</v>
      </c>
      <c r="R209" s="58"/>
      <c r="S209" s="62">
        <v>44</v>
      </c>
      <c r="T209" s="39">
        <f>資料儲存!D6765</f>
        <v>0</v>
      </c>
      <c r="U209" s="39">
        <f>資料儲存!E6765</f>
        <v>0</v>
      </c>
      <c r="V209" s="39">
        <f>資料儲存!F6765</f>
        <v>0</v>
      </c>
      <c r="W209" s="39">
        <f>資料儲存!G6765</f>
        <v>0</v>
      </c>
      <c r="X209" s="39">
        <f>資料儲存!H6765</f>
        <v>0</v>
      </c>
      <c r="Y209" s="39">
        <f>資料儲存!I6765</f>
        <v>0</v>
      </c>
      <c r="Z209" s="39">
        <f>資料儲存!J6765</f>
        <v>0</v>
      </c>
      <c r="AA209" s="58"/>
      <c r="AB209" s="62">
        <v>44</v>
      </c>
      <c r="AC209" s="39">
        <f>資料儲存!D7005</f>
        <v>0</v>
      </c>
      <c r="AD209" s="39">
        <f>資料儲存!E7005</f>
        <v>0</v>
      </c>
      <c r="AE209" s="39">
        <f>資料儲存!F7005</f>
        <v>0</v>
      </c>
      <c r="AF209" s="39">
        <f>資料儲存!G7005</f>
        <v>0</v>
      </c>
      <c r="AG209" s="39">
        <f>資料儲存!H7005</f>
        <v>0</v>
      </c>
      <c r="AH209" s="39">
        <f>資料儲存!I7005</f>
        <v>0</v>
      </c>
      <c r="AI209" s="39">
        <f>資料儲存!J7005</f>
        <v>0</v>
      </c>
      <c r="AJ209" s="58"/>
      <c r="AK209" s="62">
        <v>44</v>
      </c>
      <c r="AL209" s="39">
        <f>資料儲存!D7245</f>
        <v>0</v>
      </c>
      <c r="AM209" s="39">
        <f>資料儲存!E7245</f>
        <v>0</v>
      </c>
      <c r="AN209" s="39">
        <f>資料儲存!F7245</f>
        <v>0</v>
      </c>
      <c r="AO209" s="39">
        <f>資料儲存!G7245</f>
        <v>0</v>
      </c>
      <c r="AP209" s="39">
        <f>資料儲存!H7245</f>
        <v>0</v>
      </c>
      <c r="AQ209" s="39">
        <f>資料儲存!I7245</f>
        <v>0</v>
      </c>
      <c r="AR209" s="39">
        <f>資料儲存!J7245</f>
        <v>0</v>
      </c>
      <c r="AS209" s="59"/>
      <c r="AT209" s="62">
        <v>44</v>
      </c>
      <c r="AU209" s="39">
        <f>資料儲存!D7485</f>
        <v>0</v>
      </c>
      <c r="AV209" s="39">
        <f>資料儲存!E7485</f>
        <v>0</v>
      </c>
      <c r="AW209" s="39">
        <f>資料儲存!F7485</f>
        <v>0</v>
      </c>
      <c r="AX209" s="39">
        <f>資料儲存!G7485</f>
        <v>0</v>
      </c>
      <c r="AY209" s="39">
        <f>資料儲存!H7485</f>
        <v>0</v>
      </c>
      <c r="AZ209" s="39">
        <f>資料儲存!I7485</f>
        <v>0</v>
      </c>
      <c r="BA209" s="39">
        <f>資料儲存!J7485</f>
        <v>0</v>
      </c>
    </row>
    <row r="210" spans="1:53" ht="16" thickBot="1">
      <c r="A210" s="62">
        <v>45</v>
      </c>
      <c r="B210" s="39">
        <f>資料儲存!D6286</f>
        <v>0</v>
      </c>
      <c r="C210" s="39">
        <f>資料儲存!E6286</f>
        <v>0</v>
      </c>
      <c r="D210" s="39">
        <f>資料儲存!F6286</f>
        <v>0</v>
      </c>
      <c r="E210" s="39">
        <f>資料儲存!G6286</f>
        <v>0</v>
      </c>
      <c r="F210" s="39">
        <f>資料儲存!H6286</f>
        <v>0</v>
      </c>
      <c r="G210" s="39">
        <f>資料儲存!I6286</f>
        <v>0</v>
      </c>
      <c r="H210" s="39">
        <f>資料儲存!J6286</f>
        <v>0</v>
      </c>
      <c r="I210" s="58"/>
      <c r="J210" s="62">
        <v>45</v>
      </c>
      <c r="K210" s="39">
        <f>資料儲存!D6526</f>
        <v>0</v>
      </c>
      <c r="L210" s="39">
        <f>資料儲存!E6526</f>
        <v>0</v>
      </c>
      <c r="M210" s="39">
        <f>資料儲存!F6526</f>
        <v>0</v>
      </c>
      <c r="N210" s="39">
        <f>資料儲存!G6526</f>
        <v>0</v>
      </c>
      <c r="O210" s="39">
        <f>資料儲存!H6526</f>
        <v>0</v>
      </c>
      <c r="P210" s="39">
        <f>資料儲存!I6526</f>
        <v>0</v>
      </c>
      <c r="Q210" s="39">
        <f>資料儲存!J6526</f>
        <v>0</v>
      </c>
      <c r="R210" s="58"/>
      <c r="S210" s="62">
        <v>45</v>
      </c>
      <c r="T210" s="39">
        <f>資料儲存!D6766</f>
        <v>0</v>
      </c>
      <c r="U210" s="39">
        <f>資料儲存!E6766</f>
        <v>0</v>
      </c>
      <c r="V210" s="39">
        <f>資料儲存!F6766</f>
        <v>0</v>
      </c>
      <c r="W210" s="39">
        <f>資料儲存!G6766</f>
        <v>0</v>
      </c>
      <c r="X210" s="39">
        <f>資料儲存!H6766</f>
        <v>0</v>
      </c>
      <c r="Y210" s="39">
        <f>資料儲存!I6766</f>
        <v>0</v>
      </c>
      <c r="Z210" s="39">
        <f>資料儲存!J6766</f>
        <v>0</v>
      </c>
      <c r="AA210" s="58"/>
      <c r="AB210" s="62">
        <v>45</v>
      </c>
      <c r="AC210" s="39">
        <f>資料儲存!D7006</f>
        <v>0</v>
      </c>
      <c r="AD210" s="39">
        <f>資料儲存!E7006</f>
        <v>0</v>
      </c>
      <c r="AE210" s="39">
        <f>資料儲存!F7006</f>
        <v>0</v>
      </c>
      <c r="AF210" s="39">
        <f>資料儲存!G7006</f>
        <v>0</v>
      </c>
      <c r="AG210" s="39">
        <f>資料儲存!H7006</f>
        <v>0</v>
      </c>
      <c r="AH210" s="39">
        <f>資料儲存!I7006</f>
        <v>0</v>
      </c>
      <c r="AI210" s="39">
        <f>資料儲存!J7006</f>
        <v>0</v>
      </c>
      <c r="AJ210" s="58"/>
      <c r="AK210" s="62">
        <v>45</v>
      </c>
      <c r="AL210" s="39">
        <f>資料儲存!D7246</f>
        <v>0</v>
      </c>
      <c r="AM210" s="39">
        <f>資料儲存!E7246</f>
        <v>0</v>
      </c>
      <c r="AN210" s="39">
        <f>資料儲存!F7246</f>
        <v>0</v>
      </c>
      <c r="AO210" s="39">
        <f>資料儲存!G7246</f>
        <v>0</v>
      </c>
      <c r="AP210" s="39">
        <f>資料儲存!H7246</f>
        <v>0</v>
      </c>
      <c r="AQ210" s="39">
        <f>資料儲存!I7246</f>
        <v>0</v>
      </c>
      <c r="AR210" s="39">
        <f>資料儲存!J7246</f>
        <v>0</v>
      </c>
      <c r="AS210" s="59"/>
      <c r="AT210" s="62">
        <v>45</v>
      </c>
      <c r="AU210" s="39">
        <f>資料儲存!D7486</f>
        <v>0</v>
      </c>
      <c r="AV210" s="39">
        <f>資料儲存!E7486</f>
        <v>0</v>
      </c>
      <c r="AW210" s="39">
        <f>資料儲存!F7486</f>
        <v>0</v>
      </c>
      <c r="AX210" s="39">
        <f>資料儲存!G7486</f>
        <v>0</v>
      </c>
      <c r="AY210" s="39">
        <f>資料儲存!H7486</f>
        <v>0</v>
      </c>
      <c r="AZ210" s="39">
        <f>資料儲存!I7486</f>
        <v>0</v>
      </c>
      <c r="BA210" s="39">
        <f>資料儲存!J7486</f>
        <v>0</v>
      </c>
    </row>
    <row r="211" spans="1:53" ht="17.25" customHeight="1" thickBot="1">
      <c r="A211" s="40" t="s">
        <v>56</v>
      </c>
      <c r="B211" s="39">
        <f>SUM(B196:E210)</f>
        <v>0</v>
      </c>
      <c r="C211" s="37"/>
      <c r="D211" s="37"/>
      <c r="E211" s="37"/>
      <c r="F211" s="39">
        <f>F210</f>
        <v>0</v>
      </c>
      <c r="G211" s="39">
        <f>G210</f>
        <v>0</v>
      </c>
      <c r="H211" s="39">
        <f>H210</f>
        <v>0</v>
      </c>
      <c r="I211" s="35"/>
      <c r="J211" s="40" t="s">
        <v>56</v>
      </c>
      <c r="K211" s="39">
        <f>SUM(K196:N210)</f>
        <v>0</v>
      </c>
      <c r="L211" s="37"/>
      <c r="M211" s="37"/>
      <c r="N211" s="37"/>
      <c r="O211" s="39">
        <f>O210</f>
        <v>0</v>
      </c>
      <c r="P211" s="39">
        <f>P210</f>
        <v>0</v>
      </c>
      <c r="Q211" s="39">
        <f>Q210</f>
        <v>0</v>
      </c>
      <c r="R211" s="35"/>
      <c r="S211" s="40" t="s">
        <v>56</v>
      </c>
      <c r="T211" s="39">
        <f>SUM(T196:W210)</f>
        <v>0</v>
      </c>
      <c r="U211" s="37"/>
      <c r="V211" s="37"/>
      <c r="W211" s="37"/>
      <c r="X211" s="39">
        <f>X210</f>
        <v>0</v>
      </c>
      <c r="Y211" s="39">
        <f>Y210</f>
        <v>0</v>
      </c>
      <c r="Z211" s="39">
        <f>Z210</f>
        <v>0</v>
      </c>
      <c r="AA211" s="35"/>
      <c r="AB211" s="40" t="s">
        <v>56</v>
      </c>
      <c r="AC211" s="39">
        <f>SUM(AC196:AF210)</f>
        <v>0</v>
      </c>
      <c r="AD211" s="37"/>
      <c r="AE211" s="37"/>
      <c r="AF211" s="37"/>
      <c r="AG211" s="39">
        <f>AG210</f>
        <v>0</v>
      </c>
      <c r="AH211" s="39">
        <f>AH210</f>
        <v>0</v>
      </c>
      <c r="AI211" s="39">
        <f>AI210</f>
        <v>0</v>
      </c>
      <c r="AJ211" s="35"/>
      <c r="AK211" s="40" t="s">
        <v>56</v>
      </c>
      <c r="AL211" s="39">
        <f>SUM(AL196:AO210)</f>
        <v>0</v>
      </c>
      <c r="AM211" s="37"/>
      <c r="AN211" s="37"/>
      <c r="AO211" s="37"/>
      <c r="AP211" s="39">
        <f>AP210</f>
        <v>0</v>
      </c>
      <c r="AQ211" s="39">
        <f>AQ210</f>
        <v>0</v>
      </c>
      <c r="AR211" s="39">
        <f>AR210</f>
        <v>0</v>
      </c>
      <c r="AS211" s="59"/>
      <c r="AT211" s="40" t="s">
        <v>56</v>
      </c>
      <c r="AU211" s="39">
        <f>SUM(AU196:AX210)</f>
        <v>0</v>
      </c>
      <c r="AV211" s="37"/>
      <c r="AW211" s="37"/>
      <c r="AX211" s="37"/>
      <c r="AY211" s="39">
        <f>AY210</f>
        <v>0</v>
      </c>
      <c r="AZ211" s="39">
        <f>AZ210</f>
        <v>0</v>
      </c>
      <c r="BA211" s="39">
        <f>BA210</f>
        <v>0</v>
      </c>
    </row>
    <row r="212" spans="1:53" ht="18.5" thickBot="1">
      <c r="A212" s="257" t="s">
        <v>184</v>
      </c>
      <c r="B212" s="258"/>
      <c r="C212" s="258"/>
      <c r="D212" s="258"/>
      <c r="E212" s="258"/>
      <c r="F212" s="258"/>
      <c r="G212" s="258"/>
      <c r="H212" s="259"/>
      <c r="I212" s="14"/>
      <c r="J212" s="257" t="s">
        <v>184</v>
      </c>
      <c r="K212" s="258"/>
      <c r="L212" s="258"/>
      <c r="M212" s="258"/>
      <c r="N212" s="258"/>
      <c r="O212" s="258"/>
      <c r="P212" s="258"/>
      <c r="Q212" s="259"/>
      <c r="R212" s="14"/>
      <c r="S212" s="257" t="s">
        <v>184</v>
      </c>
      <c r="T212" s="258"/>
      <c r="U212" s="258"/>
      <c r="V212" s="258"/>
      <c r="W212" s="258"/>
      <c r="X212" s="258"/>
      <c r="Y212" s="258"/>
      <c r="Z212" s="259"/>
      <c r="AA212" s="14"/>
      <c r="AB212" s="257" t="s">
        <v>184</v>
      </c>
      <c r="AC212" s="258"/>
      <c r="AD212" s="258"/>
      <c r="AE212" s="258"/>
      <c r="AF212" s="258"/>
      <c r="AG212" s="258"/>
      <c r="AH212" s="258"/>
      <c r="AI212" s="259"/>
      <c r="AJ212" s="14"/>
      <c r="AK212" s="257" t="s">
        <v>184</v>
      </c>
      <c r="AL212" s="258"/>
      <c r="AM212" s="258"/>
      <c r="AN212" s="258"/>
      <c r="AO212" s="258"/>
      <c r="AP212" s="258"/>
      <c r="AQ212" s="258"/>
      <c r="AR212" s="259"/>
      <c r="AT212" s="257" t="s">
        <v>184</v>
      </c>
      <c r="AU212" s="258"/>
      <c r="AV212" s="258"/>
      <c r="AW212" s="258"/>
      <c r="AX212" s="258"/>
      <c r="AY212" s="258"/>
      <c r="AZ212" s="258"/>
      <c r="BA212" s="259"/>
    </row>
    <row r="213" spans="1:53" ht="17.25" customHeight="1" thickBot="1">
      <c r="A213" s="63" t="s">
        <v>2</v>
      </c>
      <c r="B213" s="64" t="s">
        <v>46</v>
      </c>
      <c r="C213" s="65"/>
      <c r="D213" s="65"/>
      <c r="E213" s="66"/>
      <c r="F213" s="64" t="s">
        <v>47</v>
      </c>
      <c r="G213" s="65"/>
      <c r="H213" s="66"/>
      <c r="I213" s="52"/>
      <c r="J213" s="63" t="s">
        <v>2</v>
      </c>
      <c r="K213" s="64" t="s">
        <v>46</v>
      </c>
      <c r="L213" s="65"/>
      <c r="M213" s="65"/>
      <c r="N213" s="66"/>
      <c r="O213" s="64" t="s">
        <v>47</v>
      </c>
      <c r="P213" s="65"/>
      <c r="Q213" s="66"/>
      <c r="R213" s="52"/>
      <c r="S213" s="63" t="s">
        <v>2</v>
      </c>
      <c r="T213" s="64" t="s">
        <v>46</v>
      </c>
      <c r="U213" s="65"/>
      <c r="V213" s="65"/>
      <c r="W213" s="66"/>
      <c r="X213" s="64" t="s">
        <v>47</v>
      </c>
      <c r="Y213" s="65"/>
      <c r="Z213" s="66"/>
      <c r="AA213" s="52"/>
      <c r="AB213" s="63" t="s">
        <v>2</v>
      </c>
      <c r="AC213" s="64" t="s">
        <v>46</v>
      </c>
      <c r="AD213" s="65"/>
      <c r="AE213" s="65"/>
      <c r="AF213" s="66"/>
      <c r="AG213" s="64" t="s">
        <v>47</v>
      </c>
      <c r="AH213" s="65"/>
      <c r="AI213" s="66"/>
      <c r="AJ213" s="52"/>
      <c r="AK213" s="63" t="s">
        <v>2</v>
      </c>
      <c r="AL213" s="64" t="s">
        <v>46</v>
      </c>
      <c r="AM213" s="65"/>
      <c r="AN213" s="65"/>
      <c r="AO213" s="66"/>
      <c r="AP213" s="64" t="s">
        <v>47</v>
      </c>
      <c r="AQ213" s="65"/>
      <c r="AR213" s="66"/>
      <c r="AS213" s="67"/>
      <c r="AT213" s="63" t="s">
        <v>2</v>
      </c>
      <c r="AU213" s="64" t="s">
        <v>46</v>
      </c>
      <c r="AV213" s="65"/>
      <c r="AW213" s="65"/>
      <c r="AX213" s="66"/>
      <c r="AY213" s="64" t="s">
        <v>47</v>
      </c>
      <c r="AZ213" s="65"/>
      <c r="BA213" s="66"/>
    </row>
    <row r="214" spans="1:53" ht="16" thickBot="1">
      <c r="A214" s="68">
        <v>0.78125</v>
      </c>
      <c r="B214" s="69" t="s">
        <v>49</v>
      </c>
      <c r="C214" s="69" t="s">
        <v>50</v>
      </c>
      <c r="D214" s="69" t="s">
        <v>51</v>
      </c>
      <c r="E214" s="69" t="s">
        <v>52</v>
      </c>
      <c r="F214" s="69" t="s">
        <v>53</v>
      </c>
      <c r="G214" s="69" t="s">
        <v>54</v>
      </c>
      <c r="H214" s="69" t="s">
        <v>55</v>
      </c>
      <c r="I214" s="52"/>
      <c r="J214" s="68">
        <v>0.78125</v>
      </c>
      <c r="K214" s="69" t="s">
        <v>49</v>
      </c>
      <c r="L214" s="69" t="s">
        <v>50</v>
      </c>
      <c r="M214" s="69" t="s">
        <v>51</v>
      </c>
      <c r="N214" s="69" t="s">
        <v>52</v>
      </c>
      <c r="O214" s="69" t="s">
        <v>53</v>
      </c>
      <c r="P214" s="69" t="s">
        <v>54</v>
      </c>
      <c r="Q214" s="69" t="s">
        <v>55</v>
      </c>
      <c r="R214" s="52"/>
      <c r="S214" s="68">
        <v>0.78125</v>
      </c>
      <c r="T214" s="69" t="s">
        <v>49</v>
      </c>
      <c r="U214" s="69" t="s">
        <v>50</v>
      </c>
      <c r="V214" s="69" t="s">
        <v>51</v>
      </c>
      <c r="W214" s="69" t="s">
        <v>52</v>
      </c>
      <c r="X214" s="69" t="s">
        <v>53</v>
      </c>
      <c r="Y214" s="69" t="s">
        <v>54</v>
      </c>
      <c r="Z214" s="69" t="s">
        <v>55</v>
      </c>
      <c r="AA214" s="52"/>
      <c r="AB214" s="68">
        <v>0.78125</v>
      </c>
      <c r="AC214" s="69" t="s">
        <v>49</v>
      </c>
      <c r="AD214" s="69" t="s">
        <v>50</v>
      </c>
      <c r="AE214" s="69" t="s">
        <v>51</v>
      </c>
      <c r="AF214" s="69" t="s">
        <v>52</v>
      </c>
      <c r="AG214" s="69" t="s">
        <v>53</v>
      </c>
      <c r="AH214" s="69" t="s">
        <v>54</v>
      </c>
      <c r="AI214" s="69" t="s">
        <v>55</v>
      </c>
      <c r="AJ214" s="52"/>
      <c r="AK214" s="68">
        <v>0.78125</v>
      </c>
      <c r="AL214" s="69" t="s">
        <v>49</v>
      </c>
      <c r="AM214" s="69" t="s">
        <v>50</v>
      </c>
      <c r="AN214" s="69" t="s">
        <v>51</v>
      </c>
      <c r="AO214" s="69" t="s">
        <v>52</v>
      </c>
      <c r="AP214" s="69" t="s">
        <v>53</v>
      </c>
      <c r="AQ214" s="69" t="s">
        <v>54</v>
      </c>
      <c r="AR214" s="69" t="s">
        <v>55</v>
      </c>
      <c r="AS214" s="67"/>
      <c r="AT214" s="68">
        <v>0.78125</v>
      </c>
      <c r="AU214" s="69" t="s">
        <v>49</v>
      </c>
      <c r="AV214" s="69" t="s">
        <v>50</v>
      </c>
      <c r="AW214" s="69" t="s">
        <v>51</v>
      </c>
      <c r="AX214" s="69" t="s">
        <v>52</v>
      </c>
      <c r="AY214" s="69" t="s">
        <v>53</v>
      </c>
      <c r="AZ214" s="69" t="s">
        <v>54</v>
      </c>
      <c r="BA214" s="69" t="s">
        <v>55</v>
      </c>
    </row>
    <row r="215" spans="1:53" ht="16" thickBot="1">
      <c r="A215" s="70">
        <v>46</v>
      </c>
      <c r="B215" s="49">
        <f>資料儲存!D6287</f>
        <v>0</v>
      </c>
      <c r="C215" s="49">
        <f>資料儲存!E6287</f>
        <v>0</v>
      </c>
      <c r="D215" s="49">
        <f>資料儲存!F6287</f>
        <v>0</v>
      </c>
      <c r="E215" s="49">
        <f>資料儲存!G6287</f>
        <v>0</v>
      </c>
      <c r="F215" s="49">
        <f>資料儲存!H6287</f>
        <v>0</v>
      </c>
      <c r="G215" s="49">
        <f>資料儲存!I6287</f>
        <v>0</v>
      </c>
      <c r="H215" s="49">
        <f>資料儲存!J6287</f>
        <v>0</v>
      </c>
      <c r="I215" s="52"/>
      <c r="J215" s="70">
        <v>46</v>
      </c>
      <c r="K215" s="49">
        <f>資料儲存!D6527</f>
        <v>0</v>
      </c>
      <c r="L215" s="49">
        <f>資料儲存!E6527</f>
        <v>0</v>
      </c>
      <c r="M215" s="49">
        <f>資料儲存!F6527</f>
        <v>0</v>
      </c>
      <c r="N215" s="49">
        <f>資料儲存!G6527</f>
        <v>0</v>
      </c>
      <c r="O215" s="49">
        <f>資料儲存!H6527</f>
        <v>0</v>
      </c>
      <c r="P215" s="49">
        <f>資料儲存!I6527</f>
        <v>0</v>
      </c>
      <c r="Q215" s="49">
        <f>資料儲存!J6527</f>
        <v>0</v>
      </c>
      <c r="R215" s="52"/>
      <c r="S215" s="70">
        <v>46</v>
      </c>
      <c r="T215" s="49">
        <f>資料儲存!D6767</f>
        <v>0</v>
      </c>
      <c r="U215" s="49">
        <f>資料儲存!E6767</f>
        <v>0</v>
      </c>
      <c r="V215" s="49">
        <f>資料儲存!F6767</f>
        <v>0</v>
      </c>
      <c r="W215" s="49">
        <f>資料儲存!G6767</f>
        <v>0</v>
      </c>
      <c r="X215" s="49">
        <f>資料儲存!H6767</f>
        <v>0</v>
      </c>
      <c r="Y215" s="49">
        <f>資料儲存!I6767</f>
        <v>0</v>
      </c>
      <c r="Z215" s="49">
        <f>資料儲存!J6767</f>
        <v>0</v>
      </c>
      <c r="AA215" s="52"/>
      <c r="AB215" s="70">
        <v>46</v>
      </c>
      <c r="AC215" s="49">
        <f>資料儲存!D7007</f>
        <v>0</v>
      </c>
      <c r="AD215" s="49">
        <f>資料儲存!E7007</f>
        <v>0</v>
      </c>
      <c r="AE215" s="49">
        <f>資料儲存!F7007</f>
        <v>0</v>
      </c>
      <c r="AF215" s="49">
        <f>資料儲存!G7007</f>
        <v>0</v>
      </c>
      <c r="AG215" s="49">
        <f>資料儲存!H7007</f>
        <v>0</v>
      </c>
      <c r="AH215" s="49">
        <f>資料儲存!I7007</f>
        <v>0</v>
      </c>
      <c r="AI215" s="49">
        <f>資料儲存!J7007</f>
        <v>0</v>
      </c>
      <c r="AJ215" s="52"/>
      <c r="AK215" s="70">
        <v>46</v>
      </c>
      <c r="AL215" s="49">
        <f>資料儲存!D7247</f>
        <v>0</v>
      </c>
      <c r="AM215" s="49">
        <f>資料儲存!E7247</f>
        <v>0</v>
      </c>
      <c r="AN215" s="49">
        <f>資料儲存!F7247</f>
        <v>0</v>
      </c>
      <c r="AO215" s="49">
        <f>資料儲存!G7247</f>
        <v>0</v>
      </c>
      <c r="AP215" s="49">
        <f>資料儲存!H7247</f>
        <v>0</v>
      </c>
      <c r="AQ215" s="49">
        <f>資料儲存!I7247</f>
        <v>0</v>
      </c>
      <c r="AR215" s="49">
        <f>資料儲存!J7247</f>
        <v>0</v>
      </c>
      <c r="AS215" s="67"/>
      <c r="AT215" s="70">
        <v>46</v>
      </c>
      <c r="AU215" s="49">
        <f>資料儲存!D7487</f>
        <v>0</v>
      </c>
      <c r="AV215" s="49">
        <f>資料儲存!E7487</f>
        <v>0</v>
      </c>
      <c r="AW215" s="49">
        <f>資料儲存!F7487</f>
        <v>0</v>
      </c>
      <c r="AX215" s="49">
        <f>資料儲存!G7487</f>
        <v>0</v>
      </c>
      <c r="AY215" s="49">
        <f>資料儲存!H7487</f>
        <v>0</v>
      </c>
      <c r="AZ215" s="49">
        <f>資料儲存!I7487</f>
        <v>0</v>
      </c>
      <c r="BA215" s="49">
        <f>資料儲存!J7487</f>
        <v>0</v>
      </c>
    </row>
    <row r="216" spans="1:53" ht="16" thickBot="1">
      <c r="A216" s="70">
        <v>47</v>
      </c>
      <c r="B216" s="49">
        <f>資料儲存!D6288</f>
        <v>0</v>
      </c>
      <c r="C216" s="49">
        <f>資料儲存!E6288</f>
        <v>0</v>
      </c>
      <c r="D216" s="49">
        <f>資料儲存!F6288</f>
        <v>0</v>
      </c>
      <c r="E216" s="49">
        <f>資料儲存!G6288</f>
        <v>0</v>
      </c>
      <c r="F216" s="49">
        <f>資料儲存!H6288</f>
        <v>0</v>
      </c>
      <c r="G216" s="49">
        <f>資料儲存!I6288</f>
        <v>0</v>
      </c>
      <c r="H216" s="49">
        <f>資料儲存!J6288</f>
        <v>0</v>
      </c>
      <c r="I216" s="52"/>
      <c r="J216" s="70">
        <v>47</v>
      </c>
      <c r="K216" s="49">
        <f>資料儲存!D6528</f>
        <v>0</v>
      </c>
      <c r="L216" s="49">
        <f>資料儲存!E6528</f>
        <v>0</v>
      </c>
      <c r="M216" s="49">
        <f>資料儲存!F6528</f>
        <v>0</v>
      </c>
      <c r="N216" s="49">
        <f>資料儲存!G6528</f>
        <v>0</v>
      </c>
      <c r="O216" s="49">
        <f>資料儲存!H6528</f>
        <v>0</v>
      </c>
      <c r="P216" s="49">
        <f>資料儲存!I6528</f>
        <v>0</v>
      </c>
      <c r="Q216" s="49">
        <f>資料儲存!J6528</f>
        <v>0</v>
      </c>
      <c r="R216" s="52"/>
      <c r="S216" s="70">
        <v>47</v>
      </c>
      <c r="T216" s="49">
        <f>資料儲存!D6768</f>
        <v>0</v>
      </c>
      <c r="U216" s="49">
        <f>資料儲存!E6768</f>
        <v>0</v>
      </c>
      <c r="V216" s="49">
        <f>資料儲存!F6768</f>
        <v>0</v>
      </c>
      <c r="W216" s="49">
        <f>資料儲存!G6768</f>
        <v>0</v>
      </c>
      <c r="X216" s="49">
        <f>資料儲存!H6768</f>
        <v>0</v>
      </c>
      <c r="Y216" s="49">
        <f>資料儲存!I6768</f>
        <v>0</v>
      </c>
      <c r="Z216" s="49">
        <f>資料儲存!J6768</f>
        <v>0</v>
      </c>
      <c r="AA216" s="52"/>
      <c r="AB216" s="70">
        <v>47</v>
      </c>
      <c r="AC216" s="49">
        <f>資料儲存!D7008</f>
        <v>0</v>
      </c>
      <c r="AD216" s="49">
        <f>資料儲存!E7008</f>
        <v>0</v>
      </c>
      <c r="AE216" s="49">
        <f>資料儲存!F7008</f>
        <v>0</v>
      </c>
      <c r="AF216" s="49">
        <f>資料儲存!G7008</f>
        <v>0</v>
      </c>
      <c r="AG216" s="49">
        <f>資料儲存!H7008</f>
        <v>0</v>
      </c>
      <c r="AH216" s="49">
        <f>資料儲存!I7008</f>
        <v>0</v>
      </c>
      <c r="AI216" s="49">
        <f>資料儲存!J7008</f>
        <v>0</v>
      </c>
      <c r="AJ216" s="52"/>
      <c r="AK216" s="70">
        <v>47</v>
      </c>
      <c r="AL216" s="49">
        <f>資料儲存!D7248</f>
        <v>0</v>
      </c>
      <c r="AM216" s="49">
        <f>資料儲存!E7248</f>
        <v>0</v>
      </c>
      <c r="AN216" s="49">
        <f>資料儲存!F7248</f>
        <v>0</v>
      </c>
      <c r="AO216" s="49">
        <f>資料儲存!G7248</f>
        <v>0</v>
      </c>
      <c r="AP216" s="49">
        <f>資料儲存!H7248</f>
        <v>0</v>
      </c>
      <c r="AQ216" s="49">
        <f>資料儲存!I7248</f>
        <v>0</v>
      </c>
      <c r="AR216" s="49">
        <f>資料儲存!J7248</f>
        <v>0</v>
      </c>
      <c r="AS216" s="67"/>
      <c r="AT216" s="70">
        <v>47</v>
      </c>
      <c r="AU216" s="49">
        <f>資料儲存!D7488</f>
        <v>0</v>
      </c>
      <c r="AV216" s="49">
        <f>資料儲存!E7488</f>
        <v>0</v>
      </c>
      <c r="AW216" s="49">
        <f>資料儲存!F7488</f>
        <v>0</v>
      </c>
      <c r="AX216" s="49">
        <f>資料儲存!G7488</f>
        <v>0</v>
      </c>
      <c r="AY216" s="49">
        <f>資料儲存!H7488</f>
        <v>0</v>
      </c>
      <c r="AZ216" s="49">
        <f>資料儲存!I7488</f>
        <v>0</v>
      </c>
      <c r="BA216" s="49">
        <f>資料儲存!J7488</f>
        <v>0</v>
      </c>
    </row>
    <row r="217" spans="1:53" ht="16" thickBot="1">
      <c r="A217" s="70">
        <v>48</v>
      </c>
      <c r="B217" s="49">
        <f>資料儲存!D6289</f>
        <v>0</v>
      </c>
      <c r="C217" s="49">
        <f>資料儲存!E6289</f>
        <v>0</v>
      </c>
      <c r="D217" s="49">
        <f>資料儲存!F6289</f>
        <v>0</v>
      </c>
      <c r="E217" s="49">
        <f>資料儲存!G6289</f>
        <v>0</v>
      </c>
      <c r="F217" s="49">
        <f>資料儲存!H6289</f>
        <v>0</v>
      </c>
      <c r="G217" s="49">
        <f>資料儲存!I6289</f>
        <v>0</v>
      </c>
      <c r="H217" s="49">
        <f>資料儲存!J6289</f>
        <v>0</v>
      </c>
      <c r="I217" s="52"/>
      <c r="J217" s="70">
        <v>48</v>
      </c>
      <c r="K217" s="49">
        <f>資料儲存!D6529</f>
        <v>0</v>
      </c>
      <c r="L217" s="49">
        <f>資料儲存!E6529</f>
        <v>0</v>
      </c>
      <c r="M217" s="49">
        <f>資料儲存!F6529</f>
        <v>0</v>
      </c>
      <c r="N217" s="49">
        <f>資料儲存!G6529</f>
        <v>0</v>
      </c>
      <c r="O217" s="49">
        <f>資料儲存!H6529</f>
        <v>0</v>
      </c>
      <c r="P217" s="49">
        <f>資料儲存!I6529</f>
        <v>0</v>
      </c>
      <c r="Q217" s="49">
        <f>資料儲存!J6529</f>
        <v>0</v>
      </c>
      <c r="R217" s="52"/>
      <c r="S217" s="70">
        <v>48</v>
      </c>
      <c r="T217" s="49">
        <f>資料儲存!D6769</f>
        <v>0</v>
      </c>
      <c r="U217" s="49">
        <f>資料儲存!E6769</f>
        <v>0</v>
      </c>
      <c r="V217" s="49">
        <f>資料儲存!F6769</f>
        <v>0</v>
      </c>
      <c r="W217" s="49">
        <f>資料儲存!G6769</f>
        <v>0</v>
      </c>
      <c r="X217" s="49">
        <f>資料儲存!H6769</f>
        <v>0</v>
      </c>
      <c r="Y217" s="49">
        <f>資料儲存!I6769</f>
        <v>0</v>
      </c>
      <c r="Z217" s="49">
        <f>資料儲存!J6769</f>
        <v>0</v>
      </c>
      <c r="AA217" s="52"/>
      <c r="AB217" s="70">
        <v>48</v>
      </c>
      <c r="AC217" s="49">
        <f>資料儲存!D7009</f>
        <v>0</v>
      </c>
      <c r="AD217" s="49">
        <f>資料儲存!E7009</f>
        <v>0</v>
      </c>
      <c r="AE217" s="49">
        <f>資料儲存!F7009</f>
        <v>0</v>
      </c>
      <c r="AF217" s="49">
        <f>資料儲存!G7009</f>
        <v>0</v>
      </c>
      <c r="AG217" s="49">
        <f>資料儲存!H7009</f>
        <v>0</v>
      </c>
      <c r="AH217" s="49">
        <f>資料儲存!I7009</f>
        <v>0</v>
      </c>
      <c r="AI217" s="49">
        <f>資料儲存!J7009</f>
        <v>0</v>
      </c>
      <c r="AJ217" s="52"/>
      <c r="AK217" s="70">
        <v>48</v>
      </c>
      <c r="AL217" s="49">
        <f>資料儲存!D7249</f>
        <v>0</v>
      </c>
      <c r="AM217" s="49">
        <f>資料儲存!E7249</f>
        <v>0</v>
      </c>
      <c r="AN217" s="49">
        <f>資料儲存!F7249</f>
        <v>0</v>
      </c>
      <c r="AO217" s="49">
        <f>資料儲存!G7249</f>
        <v>0</v>
      </c>
      <c r="AP217" s="49">
        <f>資料儲存!H7249</f>
        <v>0</v>
      </c>
      <c r="AQ217" s="49">
        <f>資料儲存!I7249</f>
        <v>0</v>
      </c>
      <c r="AR217" s="49">
        <f>資料儲存!J7249</f>
        <v>0</v>
      </c>
      <c r="AS217" s="67"/>
      <c r="AT217" s="70">
        <v>48</v>
      </c>
      <c r="AU217" s="49">
        <f>資料儲存!D7489</f>
        <v>0</v>
      </c>
      <c r="AV217" s="49">
        <f>資料儲存!E7489</f>
        <v>0</v>
      </c>
      <c r="AW217" s="49">
        <f>資料儲存!F7489</f>
        <v>0</v>
      </c>
      <c r="AX217" s="49">
        <f>資料儲存!G7489</f>
        <v>0</v>
      </c>
      <c r="AY217" s="49">
        <f>資料儲存!H7489</f>
        <v>0</v>
      </c>
      <c r="AZ217" s="49">
        <f>資料儲存!I7489</f>
        <v>0</v>
      </c>
      <c r="BA217" s="49">
        <f>資料儲存!J7489</f>
        <v>0</v>
      </c>
    </row>
    <row r="218" spans="1:53" ht="16" thickBot="1">
      <c r="A218" s="70">
        <v>49</v>
      </c>
      <c r="B218" s="49">
        <f>資料儲存!D6290</f>
        <v>0</v>
      </c>
      <c r="C218" s="49">
        <f>資料儲存!E6290</f>
        <v>0</v>
      </c>
      <c r="D218" s="49">
        <f>資料儲存!F6290</f>
        <v>0</v>
      </c>
      <c r="E218" s="49">
        <f>資料儲存!G6290</f>
        <v>0</v>
      </c>
      <c r="F218" s="49">
        <f>資料儲存!H6290</f>
        <v>0</v>
      </c>
      <c r="G218" s="49">
        <f>資料儲存!I6290</f>
        <v>0</v>
      </c>
      <c r="H218" s="49">
        <f>資料儲存!J6290</f>
        <v>0</v>
      </c>
      <c r="I218" s="52"/>
      <c r="J218" s="70">
        <v>49</v>
      </c>
      <c r="K218" s="49">
        <f>資料儲存!D6530</f>
        <v>0</v>
      </c>
      <c r="L218" s="49">
        <f>資料儲存!E6530</f>
        <v>0</v>
      </c>
      <c r="M218" s="49">
        <f>資料儲存!F6530</f>
        <v>0</v>
      </c>
      <c r="N218" s="49">
        <f>資料儲存!G6530</f>
        <v>0</v>
      </c>
      <c r="O218" s="49">
        <f>資料儲存!H6530</f>
        <v>0</v>
      </c>
      <c r="P218" s="49">
        <f>資料儲存!I6530</f>
        <v>0</v>
      </c>
      <c r="Q218" s="49">
        <f>資料儲存!J6530</f>
        <v>0</v>
      </c>
      <c r="R218" s="52"/>
      <c r="S218" s="70">
        <v>49</v>
      </c>
      <c r="T218" s="49">
        <f>資料儲存!D6770</f>
        <v>0</v>
      </c>
      <c r="U218" s="49">
        <f>資料儲存!E6770</f>
        <v>0</v>
      </c>
      <c r="V218" s="49">
        <f>資料儲存!F6770</f>
        <v>0</v>
      </c>
      <c r="W218" s="49">
        <f>資料儲存!G6770</f>
        <v>0</v>
      </c>
      <c r="X218" s="49">
        <f>資料儲存!H6770</f>
        <v>0</v>
      </c>
      <c r="Y218" s="49">
        <f>資料儲存!I6770</f>
        <v>0</v>
      </c>
      <c r="Z218" s="49">
        <f>資料儲存!J6770</f>
        <v>0</v>
      </c>
      <c r="AA218" s="52"/>
      <c r="AB218" s="70">
        <v>49</v>
      </c>
      <c r="AC218" s="49">
        <f>資料儲存!D7010</f>
        <v>0</v>
      </c>
      <c r="AD218" s="49">
        <f>資料儲存!E7010</f>
        <v>0</v>
      </c>
      <c r="AE218" s="49">
        <f>資料儲存!F7010</f>
        <v>0</v>
      </c>
      <c r="AF218" s="49">
        <f>資料儲存!G7010</f>
        <v>0</v>
      </c>
      <c r="AG218" s="49">
        <f>資料儲存!H7010</f>
        <v>0</v>
      </c>
      <c r="AH218" s="49">
        <f>資料儲存!I7010</f>
        <v>0</v>
      </c>
      <c r="AI218" s="49">
        <f>資料儲存!J7010</f>
        <v>0</v>
      </c>
      <c r="AJ218" s="52"/>
      <c r="AK218" s="70">
        <v>49</v>
      </c>
      <c r="AL218" s="49">
        <f>資料儲存!D7250</f>
        <v>0</v>
      </c>
      <c r="AM218" s="49">
        <f>資料儲存!E7250</f>
        <v>0</v>
      </c>
      <c r="AN218" s="49">
        <f>資料儲存!F7250</f>
        <v>0</v>
      </c>
      <c r="AO218" s="49">
        <f>資料儲存!G7250</f>
        <v>0</v>
      </c>
      <c r="AP218" s="49">
        <f>資料儲存!H7250</f>
        <v>0</v>
      </c>
      <c r="AQ218" s="49">
        <f>資料儲存!I7250</f>
        <v>0</v>
      </c>
      <c r="AR218" s="49">
        <f>資料儲存!J7250</f>
        <v>0</v>
      </c>
      <c r="AS218" s="67"/>
      <c r="AT218" s="70">
        <v>49</v>
      </c>
      <c r="AU218" s="49">
        <f>資料儲存!D7490</f>
        <v>0</v>
      </c>
      <c r="AV218" s="49">
        <f>資料儲存!E7490</f>
        <v>0</v>
      </c>
      <c r="AW218" s="49">
        <f>資料儲存!F7490</f>
        <v>0</v>
      </c>
      <c r="AX218" s="49">
        <f>資料儲存!G7490</f>
        <v>0</v>
      </c>
      <c r="AY218" s="49">
        <f>資料儲存!H7490</f>
        <v>0</v>
      </c>
      <c r="AZ218" s="49">
        <f>資料儲存!I7490</f>
        <v>0</v>
      </c>
      <c r="BA218" s="49">
        <f>資料儲存!J7490</f>
        <v>0</v>
      </c>
    </row>
    <row r="219" spans="1:53" ht="16" thickBot="1">
      <c r="A219" s="70">
        <v>50</v>
      </c>
      <c r="B219" s="49">
        <f>資料儲存!D6291</f>
        <v>0</v>
      </c>
      <c r="C219" s="49">
        <f>資料儲存!E6291</f>
        <v>0</v>
      </c>
      <c r="D219" s="49">
        <f>資料儲存!F6291</f>
        <v>0</v>
      </c>
      <c r="E219" s="49">
        <f>資料儲存!G6291</f>
        <v>0</v>
      </c>
      <c r="F219" s="49">
        <f>資料儲存!H6291</f>
        <v>0</v>
      </c>
      <c r="G219" s="49">
        <f>資料儲存!I6291</f>
        <v>0</v>
      </c>
      <c r="H219" s="49">
        <f>資料儲存!J6291</f>
        <v>0</v>
      </c>
      <c r="I219" s="52"/>
      <c r="J219" s="70">
        <v>50</v>
      </c>
      <c r="K219" s="49">
        <f>資料儲存!D6531</f>
        <v>0</v>
      </c>
      <c r="L219" s="49">
        <f>資料儲存!E6531</f>
        <v>0</v>
      </c>
      <c r="M219" s="49">
        <f>資料儲存!F6531</f>
        <v>0</v>
      </c>
      <c r="N219" s="49">
        <f>資料儲存!G6531</f>
        <v>0</v>
      </c>
      <c r="O219" s="49">
        <f>資料儲存!H6531</f>
        <v>0</v>
      </c>
      <c r="P219" s="49">
        <f>資料儲存!I6531</f>
        <v>0</v>
      </c>
      <c r="Q219" s="49">
        <f>資料儲存!J6531</f>
        <v>0</v>
      </c>
      <c r="R219" s="52"/>
      <c r="S219" s="70">
        <v>50</v>
      </c>
      <c r="T219" s="49">
        <f>資料儲存!D6771</f>
        <v>0</v>
      </c>
      <c r="U219" s="49">
        <f>資料儲存!E6771</f>
        <v>0</v>
      </c>
      <c r="V219" s="49">
        <f>資料儲存!F6771</f>
        <v>0</v>
      </c>
      <c r="W219" s="49">
        <f>資料儲存!G6771</f>
        <v>0</v>
      </c>
      <c r="X219" s="49">
        <f>資料儲存!H6771</f>
        <v>0</v>
      </c>
      <c r="Y219" s="49">
        <f>資料儲存!I6771</f>
        <v>0</v>
      </c>
      <c r="Z219" s="49">
        <f>資料儲存!J6771</f>
        <v>0</v>
      </c>
      <c r="AA219" s="52"/>
      <c r="AB219" s="70">
        <v>50</v>
      </c>
      <c r="AC219" s="49">
        <f>資料儲存!D7011</f>
        <v>0</v>
      </c>
      <c r="AD219" s="49">
        <f>資料儲存!E7011</f>
        <v>0</v>
      </c>
      <c r="AE219" s="49">
        <f>資料儲存!F7011</f>
        <v>0</v>
      </c>
      <c r="AF219" s="49">
        <f>資料儲存!G7011</f>
        <v>0</v>
      </c>
      <c r="AG219" s="49">
        <f>資料儲存!H7011</f>
        <v>0</v>
      </c>
      <c r="AH219" s="49">
        <f>資料儲存!I7011</f>
        <v>0</v>
      </c>
      <c r="AI219" s="49">
        <f>資料儲存!J7011</f>
        <v>0</v>
      </c>
      <c r="AJ219" s="52"/>
      <c r="AK219" s="70">
        <v>50</v>
      </c>
      <c r="AL219" s="49">
        <f>資料儲存!D7251</f>
        <v>0</v>
      </c>
      <c r="AM219" s="49">
        <f>資料儲存!E7251</f>
        <v>0</v>
      </c>
      <c r="AN219" s="49">
        <f>資料儲存!F7251</f>
        <v>0</v>
      </c>
      <c r="AO219" s="49">
        <f>資料儲存!G7251</f>
        <v>0</v>
      </c>
      <c r="AP219" s="49">
        <f>資料儲存!H7251</f>
        <v>0</v>
      </c>
      <c r="AQ219" s="49">
        <f>資料儲存!I7251</f>
        <v>0</v>
      </c>
      <c r="AR219" s="49">
        <f>資料儲存!J7251</f>
        <v>0</v>
      </c>
      <c r="AS219" s="67"/>
      <c r="AT219" s="70">
        <v>50</v>
      </c>
      <c r="AU219" s="49">
        <f>資料儲存!D7491</f>
        <v>0</v>
      </c>
      <c r="AV219" s="49">
        <f>資料儲存!E7491</f>
        <v>0</v>
      </c>
      <c r="AW219" s="49">
        <f>資料儲存!F7491</f>
        <v>0</v>
      </c>
      <c r="AX219" s="49">
        <f>資料儲存!G7491</f>
        <v>0</v>
      </c>
      <c r="AY219" s="49">
        <f>資料儲存!H7491</f>
        <v>0</v>
      </c>
      <c r="AZ219" s="49">
        <f>資料儲存!I7491</f>
        <v>0</v>
      </c>
      <c r="BA219" s="49">
        <f>資料儲存!J7491</f>
        <v>0</v>
      </c>
    </row>
    <row r="220" spans="1:53" ht="16" thickBot="1">
      <c r="A220" s="70">
        <v>51</v>
      </c>
      <c r="B220" s="49">
        <f>資料儲存!D6292</f>
        <v>0</v>
      </c>
      <c r="C220" s="49">
        <f>資料儲存!E6292</f>
        <v>0</v>
      </c>
      <c r="D220" s="49">
        <f>資料儲存!F6292</f>
        <v>0</v>
      </c>
      <c r="E220" s="49">
        <f>資料儲存!G6292</f>
        <v>0</v>
      </c>
      <c r="F220" s="49">
        <f>資料儲存!H6292</f>
        <v>0</v>
      </c>
      <c r="G220" s="49">
        <f>資料儲存!I6292</f>
        <v>0</v>
      </c>
      <c r="H220" s="49">
        <f>資料儲存!J6292</f>
        <v>0</v>
      </c>
      <c r="I220" s="52"/>
      <c r="J220" s="70">
        <v>51</v>
      </c>
      <c r="K220" s="49">
        <f>資料儲存!D6532</f>
        <v>0</v>
      </c>
      <c r="L220" s="49">
        <f>資料儲存!E6532</f>
        <v>0</v>
      </c>
      <c r="M220" s="49">
        <f>資料儲存!F6532</f>
        <v>0</v>
      </c>
      <c r="N220" s="49">
        <f>資料儲存!G6532</f>
        <v>0</v>
      </c>
      <c r="O220" s="49">
        <f>資料儲存!H6532</f>
        <v>0</v>
      </c>
      <c r="P220" s="49">
        <f>資料儲存!I6532</f>
        <v>0</v>
      </c>
      <c r="Q220" s="49">
        <f>資料儲存!J6532</f>
        <v>0</v>
      </c>
      <c r="R220" s="52"/>
      <c r="S220" s="70">
        <v>51</v>
      </c>
      <c r="T220" s="49">
        <f>資料儲存!D6772</f>
        <v>0</v>
      </c>
      <c r="U220" s="49">
        <f>資料儲存!E6772</f>
        <v>0</v>
      </c>
      <c r="V220" s="49">
        <f>資料儲存!F6772</f>
        <v>0</v>
      </c>
      <c r="W220" s="49">
        <f>資料儲存!G6772</f>
        <v>0</v>
      </c>
      <c r="X220" s="49">
        <f>資料儲存!H6772</f>
        <v>0</v>
      </c>
      <c r="Y220" s="49">
        <f>資料儲存!I6772</f>
        <v>0</v>
      </c>
      <c r="Z220" s="49">
        <f>資料儲存!J6772</f>
        <v>0</v>
      </c>
      <c r="AA220" s="52"/>
      <c r="AB220" s="70">
        <v>51</v>
      </c>
      <c r="AC220" s="49">
        <f>資料儲存!D7012</f>
        <v>0</v>
      </c>
      <c r="AD220" s="49">
        <f>資料儲存!E7012</f>
        <v>0</v>
      </c>
      <c r="AE220" s="49">
        <f>資料儲存!F7012</f>
        <v>0</v>
      </c>
      <c r="AF220" s="49">
        <f>資料儲存!G7012</f>
        <v>0</v>
      </c>
      <c r="AG220" s="49">
        <f>資料儲存!H7012</f>
        <v>0</v>
      </c>
      <c r="AH220" s="49">
        <f>資料儲存!I7012</f>
        <v>0</v>
      </c>
      <c r="AI220" s="49">
        <f>資料儲存!J7012</f>
        <v>0</v>
      </c>
      <c r="AJ220" s="52"/>
      <c r="AK220" s="70">
        <v>51</v>
      </c>
      <c r="AL220" s="49">
        <f>資料儲存!D7252</f>
        <v>0</v>
      </c>
      <c r="AM220" s="49">
        <f>資料儲存!E7252</f>
        <v>0</v>
      </c>
      <c r="AN220" s="49">
        <f>資料儲存!F7252</f>
        <v>0</v>
      </c>
      <c r="AO220" s="49">
        <f>資料儲存!G7252</f>
        <v>0</v>
      </c>
      <c r="AP220" s="49">
        <f>資料儲存!H7252</f>
        <v>0</v>
      </c>
      <c r="AQ220" s="49">
        <f>資料儲存!I7252</f>
        <v>0</v>
      </c>
      <c r="AR220" s="49">
        <f>資料儲存!J7252</f>
        <v>0</v>
      </c>
      <c r="AS220" s="67"/>
      <c r="AT220" s="70">
        <v>51</v>
      </c>
      <c r="AU220" s="49">
        <f>資料儲存!D7492</f>
        <v>0</v>
      </c>
      <c r="AV220" s="49">
        <f>資料儲存!E7492</f>
        <v>0</v>
      </c>
      <c r="AW220" s="49">
        <f>資料儲存!F7492</f>
        <v>0</v>
      </c>
      <c r="AX220" s="49">
        <f>資料儲存!G7492</f>
        <v>0</v>
      </c>
      <c r="AY220" s="49">
        <f>資料儲存!H7492</f>
        <v>0</v>
      </c>
      <c r="AZ220" s="49">
        <f>資料儲存!I7492</f>
        <v>0</v>
      </c>
      <c r="BA220" s="49">
        <f>資料儲存!J7492</f>
        <v>0</v>
      </c>
    </row>
    <row r="221" spans="1:53" ht="16" thickBot="1">
      <c r="A221" s="70">
        <v>52</v>
      </c>
      <c r="B221" s="49">
        <f>資料儲存!D6293</f>
        <v>0</v>
      </c>
      <c r="C221" s="49">
        <f>資料儲存!E6293</f>
        <v>0</v>
      </c>
      <c r="D221" s="49">
        <f>資料儲存!F6293</f>
        <v>0</v>
      </c>
      <c r="E221" s="49">
        <f>資料儲存!G6293</f>
        <v>0</v>
      </c>
      <c r="F221" s="49">
        <f>資料儲存!H6293</f>
        <v>0</v>
      </c>
      <c r="G221" s="49">
        <f>資料儲存!I6293</f>
        <v>0</v>
      </c>
      <c r="H221" s="49">
        <f>資料儲存!J6293</f>
        <v>0</v>
      </c>
      <c r="I221" s="52"/>
      <c r="J221" s="70">
        <v>52</v>
      </c>
      <c r="K221" s="49">
        <f>資料儲存!D6533</f>
        <v>0</v>
      </c>
      <c r="L221" s="49">
        <f>資料儲存!E6533</f>
        <v>0</v>
      </c>
      <c r="M221" s="49">
        <f>資料儲存!F6533</f>
        <v>0</v>
      </c>
      <c r="N221" s="49">
        <f>資料儲存!G6533</f>
        <v>0</v>
      </c>
      <c r="O221" s="49">
        <f>資料儲存!H6533</f>
        <v>0</v>
      </c>
      <c r="P221" s="49">
        <f>資料儲存!I6533</f>
        <v>0</v>
      </c>
      <c r="Q221" s="49">
        <f>資料儲存!J6533</f>
        <v>0</v>
      </c>
      <c r="R221" s="52"/>
      <c r="S221" s="70">
        <v>52</v>
      </c>
      <c r="T221" s="49">
        <f>資料儲存!D6773</f>
        <v>0</v>
      </c>
      <c r="U221" s="49">
        <f>資料儲存!E6773</f>
        <v>0</v>
      </c>
      <c r="V221" s="49">
        <f>資料儲存!F6773</f>
        <v>0</v>
      </c>
      <c r="W221" s="49">
        <f>資料儲存!G6773</f>
        <v>0</v>
      </c>
      <c r="X221" s="49">
        <f>資料儲存!H6773</f>
        <v>0</v>
      </c>
      <c r="Y221" s="49">
        <f>資料儲存!I6773</f>
        <v>0</v>
      </c>
      <c r="Z221" s="49">
        <f>資料儲存!J6773</f>
        <v>0</v>
      </c>
      <c r="AA221" s="52"/>
      <c r="AB221" s="70">
        <v>52</v>
      </c>
      <c r="AC221" s="49">
        <f>資料儲存!D7013</f>
        <v>0</v>
      </c>
      <c r="AD221" s="49">
        <f>資料儲存!E7013</f>
        <v>0</v>
      </c>
      <c r="AE221" s="49">
        <f>資料儲存!F7013</f>
        <v>0</v>
      </c>
      <c r="AF221" s="49">
        <f>資料儲存!G7013</f>
        <v>0</v>
      </c>
      <c r="AG221" s="49">
        <f>資料儲存!H7013</f>
        <v>0</v>
      </c>
      <c r="AH221" s="49">
        <f>資料儲存!I7013</f>
        <v>0</v>
      </c>
      <c r="AI221" s="49">
        <f>資料儲存!J7013</f>
        <v>0</v>
      </c>
      <c r="AJ221" s="52"/>
      <c r="AK221" s="70">
        <v>52</v>
      </c>
      <c r="AL221" s="49">
        <f>資料儲存!D7253</f>
        <v>0</v>
      </c>
      <c r="AM221" s="49">
        <f>資料儲存!E7253</f>
        <v>0</v>
      </c>
      <c r="AN221" s="49">
        <f>資料儲存!F7253</f>
        <v>0</v>
      </c>
      <c r="AO221" s="49">
        <f>資料儲存!G7253</f>
        <v>0</v>
      </c>
      <c r="AP221" s="49">
        <f>資料儲存!H7253</f>
        <v>0</v>
      </c>
      <c r="AQ221" s="49">
        <f>資料儲存!I7253</f>
        <v>0</v>
      </c>
      <c r="AR221" s="49">
        <f>資料儲存!J7253</f>
        <v>0</v>
      </c>
      <c r="AS221" s="67"/>
      <c r="AT221" s="70">
        <v>52</v>
      </c>
      <c r="AU221" s="49">
        <f>資料儲存!D7493</f>
        <v>0</v>
      </c>
      <c r="AV221" s="49">
        <f>資料儲存!E7493</f>
        <v>0</v>
      </c>
      <c r="AW221" s="49">
        <f>資料儲存!F7493</f>
        <v>0</v>
      </c>
      <c r="AX221" s="49">
        <f>資料儲存!G7493</f>
        <v>0</v>
      </c>
      <c r="AY221" s="49">
        <f>資料儲存!H7493</f>
        <v>0</v>
      </c>
      <c r="AZ221" s="49">
        <f>資料儲存!I7493</f>
        <v>0</v>
      </c>
      <c r="BA221" s="49">
        <f>資料儲存!J7493</f>
        <v>0</v>
      </c>
    </row>
    <row r="222" spans="1:53" ht="16" thickBot="1">
      <c r="A222" s="70">
        <v>53</v>
      </c>
      <c r="B222" s="49">
        <f>資料儲存!D6294</f>
        <v>0</v>
      </c>
      <c r="C222" s="49">
        <f>資料儲存!E6294</f>
        <v>0</v>
      </c>
      <c r="D222" s="49">
        <f>資料儲存!F6294</f>
        <v>0</v>
      </c>
      <c r="E222" s="49">
        <f>資料儲存!G6294</f>
        <v>0</v>
      </c>
      <c r="F222" s="49">
        <f>資料儲存!H6294</f>
        <v>0</v>
      </c>
      <c r="G222" s="49">
        <f>資料儲存!I6294</f>
        <v>0</v>
      </c>
      <c r="H222" s="49">
        <f>資料儲存!J6294</f>
        <v>0</v>
      </c>
      <c r="I222" s="52"/>
      <c r="J222" s="70">
        <v>53</v>
      </c>
      <c r="K222" s="49">
        <f>資料儲存!D6534</f>
        <v>0</v>
      </c>
      <c r="L222" s="49">
        <f>資料儲存!E6534</f>
        <v>0</v>
      </c>
      <c r="M222" s="49">
        <f>資料儲存!F6534</f>
        <v>0</v>
      </c>
      <c r="N222" s="49">
        <f>資料儲存!G6534</f>
        <v>0</v>
      </c>
      <c r="O222" s="49">
        <f>資料儲存!H6534</f>
        <v>0</v>
      </c>
      <c r="P222" s="49">
        <f>資料儲存!I6534</f>
        <v>0</v>
      </c>
      <c r="Q222" s="49">
        <f>資料儲存!J6534</f>
        <v>0</v>
      </c>
      <c r="R222" s="52"/>
      <c r="S222" s="70">
        <v>53</v>
      </c>
      <c r="T222" s="49">
        <f>資料儲存!D6774</f>
        <v>0</v>
      </c>
      <c r="U222" s="49">
        <f>資料儲存!E6774</f>
        <v>0</v>
      </c>
      <c r="V222" s="49">
        <f>資料儲存!F6774</f>
        <v>0</v>
      </c>
      <c r="W222" s="49">
        <f>資料儲存!G6774</f>
        <v>0</v>
      </c>
      <c r="X222" s="49">
        <f>資料儲存!H6774</f>
        <v>0</v>
      </c>
      <c r="Y222" s="49">
        <f>資料儲存!I6774</f>
        <v>0</v>
      </c>
      <c r="Z222" s="49">
        <f>資料儲存!J6774</f>
        <v>0</v>
      </c>
      <c r="AA222" s="52"/>
      <c r="AB222" s="70">
        <v>53</v>
      </c>
      <c r="AC222" s="49">
        <f>資料儲存!D7014</f>
        <v>0</v>
      </c>
      <c r="AD222" s="49">
        <f>資料儲存!E7014</f>
        <v>0</v>
      </c>
      <c r="AE222" s="49">
        <f>資料儲存!F7014</f>
        <v>0</v>
      </c>
      <c r="AF222" s="49">
        <f>資料儲存!G7014</f>
        <v>0</v>
      </c>
      <c r="AG222" s="49">
        <f>資料儲存!H7014</f>
        <v>0</v>
      </c>
      <c r="AH222" s="49">
        <f>資料儲存!I7014</f>
        <v>0</v>
      </c>
      <c r="AI222" s="49">
        <f>資料儲存!J7014</f>
        <v>0</v>
      </c>
      <c r="AJ222" s="52"/>
      <c r="AK222" s="70">
        <v>53</v>
      </c>
      <c r="AL222" s="49">
        <f>資料儲存!D7254</f>
        <v>0</v>
      </c>
      <c r="AM222" s="49">
        <f>資料儲存!E7254</f>
        <v>0</v>
      </c>
      <c r="AN222" s="49">
        <f>資料儲存!F7254</f>
        <v>0</v>
      </c>
      <c r="AO222" s="49">
        <f>資料儲存!G7254</f>
        <v>0</v>
      </c>
      <c r="AP222" s="49">
        <f>資料儲存!H7254</f>
        <v>0</v>
      </c>
      <c r="AQ222" s="49">
        <f>資料儲存!I7254</f>
        <v>0</v>
      </c>
      <c r="AR222" s="49">
        <f>資料儲存!J7254</f>
        <v>0</v>
      </c>
      <c r="AS222" s="67"/>
      <c r="AT222" s="70">
        <v>53</v>
      </c>
      <c r="AU222" s="49">
        <f>資料儲存!D7494</f>
        <v>0</v>
      </c>
      <c r="AV222" s="49">
        <f>資料儲存!E7494</f>
        <v>0</v>
      </c>
      <c r="AW222" s="49">
        <f>資料儲存!F7494</f>
        <v>0</v>
      </c>
      <c r="AX222" s="49">
        <f>資料儲存!G7494</f>
        <v>0</v>
      </c>
      <c r="AY222" s="49">
        <f>資料儲存!H7494</f>
        <v>0</v>
      </c>
      <c r="AZ222" s="49">
        <f>資料儲存!I7494</f>
        <v>0</v>
      </c>
      <c r="BA222" s="49">
        <f>資料儲存!J7494</f>
        <v>0</v>
      </c>
    </row>
    <row r="223" spans="1:53" ht="16" thickBot="1">
      <c r="A223" s="70">
        <v>54</v>
      </c>
      <c r="B223" s="49">
        <f>資料儲存!D6295</f>
        <v>0</v>
      </c>
      <c r="C223" s="49">
        <f>資料儲存!E6295</f>
        <v>0</v>
      </c>
      <c r="D223" s="49">
        <f>資料儲存!F6295</f>
        <v>0</v>
      </c>
      <c r="E223" s="49">
        <f>資料儲存!G6295</f>
        <v>0</v>
      </c>
      <c r="F223" s="49">
        <f>資料儲存!H6295</f>
        <v>0</v>
      </c>
      <c r="G223" s="49">
        <f>資料儲存!I6295</f>
        <v>0</v>
      </c>
      <c r="H223" s="49">
        <f>資料儲存!J6295</f>
        <v>0</v>
      </c>
      <c r="I223" s="52"/>
      <c r="J223" s="70">
        <v>54</v>
      </c>
      <c r="K223" s="49">
        <f>資料儲存!D6535</f>
        <v>0</v>
      </c>
      <c r="L223" s="49">
        <f>資料儲存!E6535</f>
        <v>0</v>
      </c>
      <c r="M223" s="49">
        <f>資料儲存!F6535</f>
        <v>0</v>
      </c>
      <c r="N223" s="49">
        <f>資料儲存!G6535</f>
        <v>0</v>
      </c>
      <c r="O223" s="49">
        <f>資料儲存!H6535</f>
        <v>0</v>
      </c>
      <c r="P223" s="49">
        <f>資料儲存!I6535</f>
        <v>0</v>
      </c>
      <c r="Q223" s="49">
        <f>資料儲存!J6535</f>
        <v>0</v>
      </c>
      <c r="R223" s="52"/>
      <c r="S223" s="70">
        <v>54</v>
      </c>
      <c r="T223" s="49">
        <f>資料儲存!D6775</f>
        <v>0</v>
      </c>
      <c r="U223" s="49">
        <f>資料儲存!E6775</f>
        <v>0</v>
      </c>
      <c r="V223" s="49">
        <f>資料儲存!F6775</f>
        <v>0</v>
      </c>
      <c r="W223" s="49">
        <f>資料儲存!G6775</f>
        <v>0</v>
      </c>
      <c r="X223" s="49">
        <f>資料儲存!H6775</f>
        <v>0</v>
      </c>
      <c r="Y223" s="49">
        <f>資料儲存!I6775</f>
        <v>0</v>
      </c>
      <c r="Z223" s="49">
        <f>資料儲存!J6775</f>
        <v>0</v>
      </c>
      <c r="AA223" s="52"/>
      <c r="AB223" s="70">
        <v>54</v>
      </c>
      <c r="AC223" s="49">
        <f>資料儲存!D7015</f>
        <v>0</v>
      </c>
      <c r="AD223" s="49">
        <f>資料儲存!E7015</f>
        <v>0</v>
      </c>
      <c r="AE223" s="49">
        <f>資料儲存!F7015</f>
        <v>0</v>
      </c>
      <c r="AF223" s="49">
        <f>資料儲存!G7015</f>
        <v>0</v>
      </c>
      <c r="AG223" s="49">
        <f>資料儲存!H7015</f>
        <v>0</v>
      </c>
      <c r="AH223" s="49">
        <f>資料儲存!I7015</f>
        <v>0</v>
      </c>
      <c r="AI223" s="49">
        <f>資料儲存!J7015</f>
        <v>0</v>
      </c>
      <c r="AJ223" s="52"/>
      <c r="AK223" s="70">
        <v>54</v>
      </c>
      <c r="AL223" s="49">
        <f>資料儲存!D7255</f>
        <v>0</v>
      </c>
      <c r="AM223" s="49">
        <f>資料儲存!E7255</f>
        <v>0</v>
      </c>
      <c r="AN223" s="49">
        <f>資料儲存!F7255</f>
        <v>0</v>
      </c>
      <c r="AO223" s="49">
        <f>資料儲存!G7255</f>
        <v>0</v>
      </c>
      <c r="AP223" s="49">
        <f>資料儲存!H7255</f>
        <v>0</v>
      </c>
      <c r="AQ223" s="49">
        <f>資料儲存!I7255</f>
        <v>0</v>
      </c>
      <c r="AR223" s="49">
        <f>資料儲存!J7255</f>
        <v>0</v>
      </c>
      <c r="AS223" s="67"/>
      <c r="AT223" s="70">
        <v>54</v>
      </c>
      <c r="AU223" s="49">
        <f>資料儲存!D7495</f>
        <v>0</v>
      </c>
      <c r="AV223" s="49">
        <f>資料儲存!E7495</f>
        <v>0</v>
      </c>
      <c r="AW223" s="49">
        <f>資料儲存!F7495</f>
        <v>0</v>
      </c>
      <c r="AX223" s="49">
        <f>資料儲存!G7495</f>
        <v>0</v>
      </c>
      <c r="AY223" s="49">
        <f>資料儲存!H7495</f>
        <v>0</v>
      </c>
      <c r="AZ223" s="49">
        <f>資料儲存!I7495</f>
        <v>0</v>
      </c>
      <c r="BA223" s="49">
        <f>資料儲存!J7495</f>
        <v>0</v>
      </c>
    </row>
    <row r="224" spans="1:53" ht="16" thickBot="1">
      <c r="A224" s="70">
        <v>55</v>
      </c>
      <c r="B224" s="49">
        <f>資料儲存!D6296</f>
        <v>0</v>
      </c>
      <c r="C224" s="49">
        <f>資料儲存!E6296</f>
        <v>0</v>
      </c>
      <c r="D224" s="49">
        <f>資料儲存!F6296</f>
        <v>0</v>
      </c>
      <c r="E224" s="49">
        <f>資料儲存!G6296</f>
        <v>0</v>
      </c>
      <c r="F224" s="49">
        <f>資料儲存!H6296</f>
        <v>0</v>
      </c>
      <c r="G224" s="49">
        <f>資料儲存!I6296</f>
        <v>0</v>
      </c>
      <c r="H224" s="49">
        <f>資料儲存!J6296</f>
        <v>0</v>
      </c>
      <c r="I224" s="52"/>
      <c r="J224" s="70">
        <v>55</v>
      </c>
      <c r="K224" s="49">
        <f>資料儲存!D6536</f>
        <v>0</v>
      </c>
      <c r="L224" s="49">
        <f>資料儲存!E6536</f>
        <v>0</v>
      </c>
      <c r="M224" s="49">
        <f>資料儲存!F6536</f>
        <v>0</v>
      </c>
      <c r="N224" s="49">
        <f>資料儲存!G6536</f>
        <v>0</v>
      </c>
      <c r="O224" s="49">
        <f>資料儲存!H6536</f>
        <v>0</v>
      </c>
      <c r="P224" s="49">
        <f>資料儲存!I6536</f>
        <v>0</v>
      </c>
      <c r="Q224" s="49">
        <f>資料儲存!J6536</f>
        <v>0</v>
      </c>
      <c r="R224" s="52"/>
      <c r="S224" s="70">
        <v>55</v>
      </c>
      <c r="T224" s="49">
        <f>資料儲存!D6776</f>
        <v>0</v>
      </c>
      <c r="U224" s="49">
        <f>資料儲存!E6776</f>
        <v>0</v>
      </c>
      <c r="V224" s="49">
        <f>資料儲存!F6776</f>
        <v>0</v>
      </c>
      <c r="W224" s="49">
        <f>資料儲存!G6776</f>
        <v>0</v>
      </c>
      <c r="X224" s="49">
        <f>資料儲存!H6776</f>
        <v>0</v>
      </c>
      <c r="Y224" s="49">
        <f>資料儲存!I6776</f>
        <v>0</v>
      </c>
      <c r="Z224" s="49">
        <f>資料儲存!J6776</f>
        <v>0</v>
      </c>
      <c r="AA224" s="52"/>
      <c r="AB224" s="70">
        <v>55</v>
      </c>
      <c r="AC224" s="49">
        <f>資料儲存!D7016</f>
        <v>0</v>
      </c>
      <c r="AD224" s="49">
        <f>資料儲存!E7016</f>
        <v>0</v>
      </c>
      <c r="AE224" s="49">
        <f>資料儲存!F7016</f>
        <v>0</v>
      </c>
      <c r="AF224" s="49">
        <f>資料儲存!G7016</f>
        <v>0</v>
      </c>
      <c r="AG224" s="49">
        <f>資料儲存!H7016</f>
        <v>0</v>
      </c>
      <c r="AH224" s="49">
        <f>資料儲存!I7016</f>
        <v>0</v>
      </c>
      <c r="AI224" s="49">
        <f>資料儲存!J7016</f>
        <v>0</v>
      </c>
      <c r="AJ224" s="52"/>
      <c r="AK224" s="70">
        <v>55</v>
      </c>
      <c r="AL224" s="49">
        <f>資料儲存!D7256</f>
        <v>0</v>
      </c>
      <c r="AM224" s="49">
        <f>資料儲存!E7256</f>
        <v>0</v>
      </c>
      <c r="AN224" s="49">
        <f>資料儲存!F7256</f>
        <v>0</v>
      </c>
      <c r="AO224" s="49">
        <f>資料儲存!G7256</f>
        <v>0</v>
      </c>
      <c r="AP224" s="49">
        <f>資料儲存!H7256</f>
        <v>0</v>
      </c>
      <c r="AQ224" s="49">
        <f>資料儲存!I7256</f>
        <v>0</v>
      </c>
      <c r="AR224" s="49">
        <f>資料儲存!J7256</f>
        <v>0</v>
      </c>
      <c r="AS224" s="67"/>
      <c r="AT224" s="70">
        <v>55</v>
      </c>
      <c r="AU224" s="49">
        <f>資料儲存!D7496</f>
        <v>0</v>
      </c>
      <c r="AV224" s="49">
        <f>資料儲存!E7496</f>
        <v>0</v>
      </c>
      <c r="AW224" s="49">
        <f>資料儲存!F7496</f>
        <v>0</v>
      </c>
      <c r="AX224" s="49">
        <f>資料儲存!G7496</f>
        <v>0</v>
      </c>
      <c r="AY224" s="49">
        <f>資料儲存!H7496</f>
        <v>0</v>
      </c>
      <c r="AZ224" s="49">
        <f>資料儲存!I7496</f>
        <v>0</v>
      </c>
      <c r="BA224" s="49">
        <f>資料儲存!J7496</f>
        <v>0</v>
      </c>
    </row>
    <row r="225" spans="1:53" ht="16" thickBot="1">
      <c r="A225" s="70">
        <v>56</v>
      </c>
      <c r="B225" s="49">
        <f>資料儲存!D6297</f>
        <v>0</v>
      </c>
      <c r="C225" s="49">
        <f>資料儲存!E6297</f>
        <v>0</v>
      </c>
      <c r="D225" s="49">
        <f>資料儲存!F6297</f>
        <v>0</v>
      </c>
      <c r="E225" s="49">
        <f>資料儲存!G6297</f>
        <v>0</v>
      </c>
      <c r="F225" s="49">
        <f>資料儲存!H6297</f>
        <v>0</v>
      </c>
      <c r="G225" s="49">
        <f>資料儲存!I6297</f>
        <v>0</v>
      </c>
      <c r="H225" s="49">
        <f>資料儲存!J6297</f>
        <v>0</v>
      </c>
      <c r="I225" s="52"/>
      <c r="J225" s="70">
        <v>56</v>
      </c>
      <c r="K225" s="49">
        <f>資料儲存!D6537</f>
        <v>0</v>
      </c>
      <c r="L225" s="49">
        <f>資料儲存!E6537</f>
        <v>0</v>
      </c>
      <c r="M225" s="49">
        <f>資料儲存!F6537</f>
        <v>0</v>
      </c>
      <c r="N225" s="49">
        <f>資料儲存!G6537</f>
        <v>0</v>
      </c>
      <c r="O225" s="49">
        <f>資料儲存!H6537</f>
        <v>0</v>
      </c>
      <c r="P225" s="49">
        <f>資料儲存!I6537</f>
        <v>0</v>
      </c>
      <c r="Q225" s="49">
        <f>資料儲存!J6537</f>
        <v>0</v>
      </c>
      <c r="R225" s="52"/>
      <c r="S225" s="70">
        <v>56</v>
      </c>
      <c r="T225" s="49">
        <f>資料儲存!D6777</f>
        <v>0</v>
      </c>
      <c r="U225" s="49">
        <f>資料儲存!E6777</f>
        <v>0</v>
      </c>
      <c r="V225" s="49">
        <f>資料儲存!F6777</f>
        <v>0</v>
      </c>
      <c r="W225" s="49">
        <f>資料儲存!G6777</f>
        <v>0</v>
      </c>
      <c r="X225" s="49">
        <f>資料儲存!H6777</f>
        <v>0</v>
      </c>
      <c r="Y225" s="49">
        <f>資料儲存!I6777</f>
        <v>0</v>
      </c>
      <c r="Z225" s="49">
        <f>資料儲存!J6777</f>
        <v>0</v>
      </c>
      <c r="AA225" s="52"/>
      <c r="AB225" s="70">
        <v>56</v>
      </c>
      <c r="AC225" s="49">
        <f>資料儲存!D7017</f>
        <v>0</v>
      </c>
      <c r="AD225" s="49">
        <f>資料儲存!E7017</f>
        <v>0</v>
      </c>
      <c r="AE225" s="49">
        <f>資料儲存!F7017</f>
        <v>0</v>
      </c>
      <c r="AF225" s="49">
        <f>資料儲存!G7017</f>
        <v>0</v>
      </c>
      <c r="AG225" s="49">
        <f>資料儲存!H7017</f>
        <v>0</v>
      </c>
      <c r="AH225" s="49">
        <f>資料儲存!I7017</f>
        <v>0</v>
      </c>
      <c r="AI225" s="49">
        <f>資料儲存!J7017</f>
        <v>0</v>
      </c>
      <c r="AJ225" s="52"/>
      <c r="AK225" s="70">
        <v>56</v>
      </c>
      <c r="AL225" s="49">
        <f>資料儲存!D7257</f>
        <v>0</v>
      </c>
      <c r="AM225" s="49">
        <f>資料儲存!E7257</f>
        <v>0</v>
      </c>
      <c r="AN225" s="49">
        <f>資料儲存!F7257</f>
        <v>0</v>
      </c>
      <c r="AO225" s="49">
        <f>資料儲存!G7257</f>
        <v>0</v>
      </c>
      <c r="AP225" s="49">
        <f>資料儲存!H7257</f>
        <v>0</v>
      </c>
      <c r="AQ225" s="49">
        <f>資料儲存!I7257</f>
        <v>0</v>
      </c>
      <c r="AR225" s="49">
        <f>資料儲存!J7257</f>
        <v>0</v>
      </c>
      <c r="AS225" s="67"/>
      <c r="AT225" s="70">
        <v>56</v>
      </c>
      <c r="AU225" s="49">
        <f>資料儲存!D7497</f>
        <v>0</v>
      </c>
      <c r="AV225" s="49">
        <f>資料儲存!E7497</f>
        <v>0</v>
      </c>
      <c r="AW225" s="49">
        <f>資料儲存!F7497</f>
        <v>0</v>
      </c>
      <c r="AX225" s="49">
        <f>資料儲存!G7497</f>
        <v>0</v>
      </c>
      <c r="AY225" s="49">
        <f>資料儲存!H7497</f>
        <v>0</v>
      </c>
      <c r="AZ225" s="49">
        <f>資料儲存!I7497</f>
        <v>0</v>
      </c>
      <c r="BA225" s="49">
        <f>資料儲存!J7497</f>
        <v>0</v>
      </c>
    </row>
    <row r="226" spans="1:53" ht="16" thickBot="1">
      <c r="A226" s="70">
        <v>57</v>
      </c>
      <c r="B226" s="49">
        <f>資料儲存!D6298</f>
        <v>0</v>
      </c>
      <c r="C226" s="49">
        <f>資料儲存!E6298</f>
        <v>0</v>
      </c>
      <c r="D226" s="49">
        <f>資料儲存!F6298</f>
        <v>0</v>
      </c>
      <c r="E226" s="49">
        <f>資料儲存!G6298</f>
        <v>0</v>
      </c>
      <c r="F226" s="49">
        <f>資料儲存!H6298</f>
        <v>0</v>
      </c>
      <c r="G226" s="49">
        <f>資料儲存!I6298</f>
        <v>0</v>
      </c>
      <c r="H226" s="49">
        <f>資料儲存!J6298</f>
        <v>0</v>
      </c>
      <c r="I226" s="52"/>
      <c r="J226" s="70">
        <v>57</v>
      </c>
      <c r="K226" s="49">
        <f>資料儲存!D6538</f>
        <v>0</v>
      </c>
      <c r="L226" s="49">
        <f>資料儲存!E6538</f>
        <v>0</v>
      </c>
      <c r="M226" s="49">
        <f>資料儲存!F6538</f>
        <v>0</v>
      </c>
      <c r="N226" s="49">
        <f>資料儲存!G6538</f>
        <v>0</v>
      </c>
      <c r="O226" s="49">
        <f>資料儲存!H6538</f>
        <v>0</v>
      </c>
      <c r="P226" s="49">
        <f>資料儲存!I6538</f>
        <v>0</v>
      </c>
      <c r="Q226" s="49">
        <f>資料儲存!J6538</f>
        <v>0</v>
      </c>
      <c r="R226" s="52"/>
      <c r="S226" s="70">
        <v>57</v>
      </c>
      <c r="T226" s="49">
        <f>資料儲存!D6778</f>
        <v>0</v>
      </c>
      <c r="U226" s="49">
        <f>資料儲存!E6778</f>
        <v>0</v>
      </c>
      <c r="V226" s="49">
        <f>資料儲存!F6778</f>
        <v>0</v>
      </c>
      <c r="W226" s="49">
        <f>資料儲存!G6778</f>
        <v>0</v>
      </c>
      <c r="X226" s="49">
        <f>資料儲存!H6778</f>
        <v>0</v>
      </c>
      <c r="Y226" s="49">
        <f>資料儲存!I6778</f>
        <v>0</v>
      </c>
      <c r="Z226" s="49">
        <f>資料儲存!J6778</f>
        <v>0</v>
      </c>
      <c r="AA226" s="52"/>
      <c r="AB226" s="70">
        <v>57</v>
      </c>
      <c r="AC226" s="49">
        <f>資料儲存!D7018</f>
        <v>0</v>
      </c>
      <c r="AD226" s="49">
        <f>資料儲存!E7018</f>
        <v>0</v>
      </c>
      <c r="AE226" s="49">
        <f>資料儲存!F7018</f>
        <v>0</v>
      </c>
      <c r="AF226" s="49">
        <f>資料儲存!G7018</f>
        <v>0</v>
      </c>
      <c r="AG226" s="49">
        <f>資料儲存!H7018</f>
        <v>0</v>
      </c>
      <c r="AH226" s="49">
        <f>資料儲存!I7018</f>
        <v>0</v>
      </c>
      <c r="AI226" s="49">
        <f>資料儲存!J7018</f>
        <v>0</v>
      </c>
      <c r="AJ226" s="52"/>
      <c r="AK226" s="70">
        <v>57</v>
      </c>
      <c r="AL226" s="49">
        <f>資料儲存!D7258</f>
        <v>0</v>
      </c>
      <c r="AM226" s="49">
        <f>資料儲存!E7258</f>
        <v>0</v>
      </c>
      <c r="AN226" s="49">
        <f>資料儲存!F7258</f>
        <v>0</v>
      </c>
      <c r="AO226" s="49">
        <f>資料儲存!G7258</f>
        <v>0</v>
      </c>
      <c r="AP226" s="49">
        <f>資料儲存!H7258</f>
        <v>0</v>
      </c>
      <c r="AQ226" s="49">
        <f>資料儲存!I7258</f>
        <v>0</v>
      </c>
      <c r="AR226" s="49">
        <f>資料儲存!J7258</f>
        <v>0</v>
      </c>
      <c r="AS226" s="67"/>
      <c r="AT226" s="70">
        <v>57</v>
      </c>
      <c r="AU226" s="49">
        <f>資料儲存!D7498</f>
        <v>0</v>
      </c>
      <c r="AV226" s="49">
        <f>資料儲存!E7498</f>
        <v>0</v>
      </c>
      <c r="AW226" s="49">
        <f>資料儲存!F7498</f>
        <v>0</v>
      </c>
      <c r="AX226" s="49">
        <f>資料儲存!G7498</f>
        <v>0</v>
      </c>
      <c r="AY226" s="49">
        <f>資料儲存!H7498</f>
        <v>0</v>
      </c>
      <c r="AZ226" s="49">
        <f>資料儲存!I7498</f>
        <v>0</v>
      </c>
      <c r="BA226" s="49">
        <f>資料儲存!J7498</f>
        <v>0</v>
      </c>
    </row>
    <row r="227" spans="1:53" ht="16" thickBot="1">
      <c r="A227" s="70">
        <v>58</v>
      </c>
      <c r="B227" s="49">
        <f>資料儲存!D6299</f>
        <v>0</v>
      </c>
      <c r="C227" s="49">
        <f>資料儲存!E6299</f>
        <v>0</v>
      </c>
      <c r="D227" s="49">
        <f>資料儲存!F6299</f>
        <v>0</v>
      </c>
      <c r="E227" s="49">
        <f>資料儲存!G6299</f>
        <v>0</v>
      </c>
      <c r="F227" s="49">
        <f>資料儲存!H6299</f>
        <v>0</v>
      </c>
      <c r="G227" s="49">
        <f>資料儲存!I6299</f>
        <v>0</v>
      </c>
      <c r="H227" s="49">
        <f>資料儲存!J6299</f>
        <v>0</v>
      </c>
      <c r="I227" s="52"/>
      <c r="J227" s="70">
        <v>58</v>
      </c>
      <c r="K227" s="49">
        <f>資料儲存!D6539</f>
        <v>0</v>
      </c>
      <c r="L227" s="49">
        <f>資料儲存!E6539</f>
        <v>0</v>
      </c>
      <c r="M227" s="49">
        <f>資料儲存!F6539</f>
        <v>0</v>
      </c>
      <c r="N227" s="49">
        <f>資料儲存!G6539</f>
        <v>0</v>
      </c>
      <c r="O227" s="49">
        <f>資料儲存!H6539</f>
        <v>0</v>
      </c>
      <c r="P227" s="49">
        <f>資料儲存!I6539</f>
        <v>0</v>
      </c>
      <c r="Q227" s="49">
        <f>資料儲存!J6539</f>
        <v>0</v>
      </c>
      <c r="R227" s="52"/>
      <c r="S227" s="70">
        <v>58</v>
      </c>
      <c r="T227" s="49">
        <f>資料儲存!D6779</f>
        <v>0</v>
      </c>
      <c r="U227" s="49">
        <f>資料儲存!E6779</f>
        <v>0</v>
      </c>
      <c r="V227" s="49">
        <f>資料儲存!F6779</f>
        <v>0</v>
      </c>
      <c r="W227" s="49">
        <f>資料儲存!G6779</f>
        <v>0</v>
      </c>
      <c r="X227" s="49">
        <f>資料儲存!H6779</f>
        <v>0</v>
      </c>
      <c r="Y227" s="49">
        <f>資料儲存!I6779</f>
        <v>0</v>
      </c>
      <c r="Z227" s="49">
        <f>資料儲存!J6779</f>
        <v>0</v>
      </c>
      <c r="AA227" s="52"/>
      <c r="AB227" s="70">
        <v>58</v>
      </c>
      <c r="AC227" s="49">
        <f>資料儲存!D7019</f>
        <v>0</v>
      </c>
      <c r="AD227" s="49">
        <f>資料儲存!E7019</f>
        <v>0</v>
      </c>
      <c r="AE227" s="49">
        <f>資料儲存!F7019</f>
        <v>0</v>
      </c>
      <c r="AF227" s="49">
        <f>資料儲存!G7019</f>
        <v>0</v>
      </c>
      <c r="AG227" s="49">
        <f>資料儲存!H7019</f>
        <v>0</v>
      </c>
      <c r="AH227" s="49">
        <f>資料儲存!I7019</f>
        <v>0</v>
      </c>
      <c r="AI227" s="49">
        <f>資料儲存!J7019</f>
        <v>0</v>
      </c>
      <c r="AJ227" s="52"/>
      <c r="AK227" s="70">
        <v>58</v>
      </c>
      <c r="AL227" s="49">
        <f>資料儲存!D7259</f>
        <v>0</v>
      </c>
      <c r="AM227" s="49">
        <f>資料儲存!E7259</f>
        <v>0</v>
      </c>
      <c r="AN227" s="49">
        <f>資料儲存!F7259</f>
        <v>0</v>
      </c>
      <c r="AO227" s="49">
        <f>資料儲存!G7259</f>
        <v>0</v>
      </c>
      <c r="AP227" s="49">
        <f>資料儲存!H7259</f>
        <v>0</v>
      </c>
      <c r="AQ227" s="49">
        <f>資料儲存!I7259</f>
        <v>0</v>
      </c>
      <c r="AR227" s="49">
        <f>資料儲存!J7259</f>
        <v>0</v>
      </c>
      <c r="AS227" s="67"/>
      <c r="AT227" s="70">
        <v>58</v>
      </c>
      <c r="AU227" s="49">
        <f>資料儲存!D7499</f>
        <v>0</v>
      </c>
      <c r="AV227" s="49">
        <f>資料儲存!E7499</f>
        <v>0</v>
      </c>
      <c r="AW227" s="49">
        <f>資料儲存!F7499</f>
        <v>0</v>
      </c>
      <c r="AX227" s="49">
        <f>資料儲存!G7499</f>
        <v>0</v>
      </c>
      <c r="AY227" s="49">
        <f>資料儲存!H7499</f>
        <v>0</v>
      </c>
      <c r="AZ227" s="49">
        <f>資料儲存!I7499</f>
        <v>0</v>
      </c>
      <c r="BA227" s="49">
        <f>資料儲存!J7499</f>
        <v>0</v>
      </c>
    </row>
    <row r="228" spans="1:53" ht="16" thickBot="1">
      <c r="A228" s="70">
        <v>59</v>
      </c>
      <c r="B228" s="49">
        <f>資料儲存!D6300</f>
        <v>0</v>
      </c>
      <c r="C228" s="49">
        <f>資料儲存!E6300</f>
        <v>0</v>
      </c>
      <c r="D228" s="49">
        <f>資料儲存!F6300</f>
        <v>0</v>
      </c>
      <c r="E228" s="49">
        <f>資料儲存!G6300</f>
        <v>0</v>
      </c>
      <c r="F228" s="49">
        <f>資料儲存!H6300</f>
        <v>0</v>
      </c>
      <c r="G228" s="49">
        <f>資料儲存!I6300</f>
        <v>0</v>
      </c>
      <c r="H228" s="49">
        <f>資料儲存!J6300</f>
        <v>0</v>
      </c>
      <c r="I228" s="52"/>
      <c r="J228" s="70">
        <v>59</v>
      </c>
      <c r="K228" s="49">
        <f>資料儲存!D6540</f>
        <v>0</v>
      </c>
      <c r="L228" s="49">
        <f>資料儲存!E6540</f>
        <v>0</v>
      </c>
      <c r="M228" s="49">
        <f>資料儲存!F6540</f>
        <v>0</v>
      </c>
      <c r="N228" s="49">
        <f>資料儲存!G6540</f>
        <v>0</v>
      </c>
      <c r="O228" s="49">
        <f>資料儲存!H6540</f>
        <v>0</v>
      </c>
      <c r="P228" s="49">
        <f>資料儲存!I6540</f>
        <v>0</v>
      </c>
      <c r="Q228" s="49">
        <f>資料儲存!J6540</f>
        <v>0</v>
      </c>
      <c r="R228" s="52"/>
      <c r="S228" s="70">
        <v>59</v>
      </c>
      <c r="T228" s="49">
        <f>資料儲存!D6780</f>
        <v>0</v>
      </c>
      <c r="U228" s="49">
        <f>資料儲存!E6780</f>
        <v>0</v>
      </c>
      <c r="V228" s="49">
        <f>資料儲存!F6780</f>
        <v>0</v>
      </c>
      <c r="W228" s="49">
        <f>資料儲存!G6780</f>
        <v>0</v>
      </c>
      <c r="X228" s="49">
        <f>資料儲存!H6780</f>
        <v>0</v>
      </c>
      <c r="Y228" s="49">
        <f>資料儲存!I6780</f>
        <v>0</v>
      </c>
      <c r="Z228" s="49">
        <f>資料儲存!J6780</f>
        <v>0</v>
      </c>
      <c r="AA228" s="52"/>
      <c r="AB228" s="70">
        <v>59</v>
      </c>
      <c r="AC228" s="49">
        <f>資料儲存!D7020</f>
        <v>0</v>
      </c>
      <c r="AD228" s="49">
        <f>資料儲存!E7020</f>
        <v>0</v>
      </c>
      <c r="AE228" s="49">
        <f>資料儲存!F7020</f>
        <v>0</v>
      </c>
      <c r="AF228" s="49">
        <f>資料儲存!G7020</f>
        <v>0</v>
      </c>
      <c r="AG228" s="49">
        <f>資料儲存!H7020</f>
        <v>0</v>
      </c>
      <c r="AH228" s="49">
        <f>資料儲存!I7020</f>
        <v>0</v>
      </c>
      <c r="AI228" s="49">
        <f>資料儲存!J7020</f>
        <v>0</v>
      </c>
      <c r="AJ228" s="52"/>
      <c r="AK228" s="70">
        <v>59</v>
      </c>
      <c r="AL228" s="49">
        <f>資料儲存!D7260</f>
        <v>0</v>
      </c>
      <c r="AM228" s="49">
        <f>資料儲存!E7260</f>
        <v>0</v>
      </c>
      <c r="AN228" s="49">
        <f>資料儲存!F7260</f>
        <v>0</v>
      </c>
      <c r="AO228" s="49">
        <f>資料儲存!G7260</f>
        <v>0</v>
      </c>
      <c r="AP228" s="49">
        <f>資料儲存!H7260</f>
        <v>0</v>
      </c>
      <c r="AQ228" s="49">
        <f>資料儲存!I7260</f>
        <v>0</v>
      </c>
      <c r="AR228" s="49">
        <f>資料儲存!J7260</f>
        <v>0</v>
      </c>
      <c r="AS228" s="67"/>
      <c r="AT228" s="70">
        <v>59</v>
      </c>
      <c r="AU228" s="49">
        <f>資料儲存!D7500</f>
        <v>0</v>
      </c>
      <c r="AV228" s="49">
        <f>資料儲存!E7500</f>
        <v>0</v>
      </c>
      <c r="AW228" s="49">
        <f>資料儲存!F7500</f>
        <v>0</v>
      </c>
      <c r="AX228" s="49">
        <f>資料儲存!G7500</f>
        <v>0</v>
      </c>
      <c r="AY228" s="49">
        <f>資料儲存!H7500</f>
        <v>0</v>
      </c>
      <c r="AZ228" s="49">
        <f>資料儲存!I7500</f>
        <v>0</v>
      </c>
      <c r="BA228" s="49">
        <f>資料儲存!J7500</f>
        <v>0</v>
      </c>
    </row>
    <row r="229" spans="1:53" ht="16" thickBot="1">
      <c r="A229" s="70">
        <v>60</v>
      </c>
      <c r="B229" s="49">
        <f>資料儲存!D6301</f>
        <v>0</v>
      </c>
      <c r="C229" s="49">
        <f>資料儲存!E6301</f>
        <v>0</v>
      </c>
      <c r="D229" s="49">
        <f>資料儲存!F6301</f>
        <v>0</v>
      </c>
      <c r="E229" s="49">
        <f>資料儲存!G6301</f>
        <v>0</v>
      </c>
      <c r="F229" s="49">
        <f>資料儲存!H6301</f>
        <v>0</v>
      </c>
      <c r="G229" s="49">
        <f>資料儲存!I6301</f>
        <v>0</v>
      </c>
      <c r="H229" s="49">
        <f>資料儲存!J6301</f>
        <v>0</v>
      </c>
      <c r="I229" s="52"/>
      <c r="J229" s="70">
        <v>60</v>
      </c>
      <c r="K229" s="49">
        <f>資料儲存!D6541</f>
        <v>0</v>
      </c>
      <c r="L229" s="49">
        <f>資料儲存!E6541</f>
        <v>0</v>
      </c>
      <c r="M229" s="49">
        <f>資料儲存!F6541</f>
        <v>0</v>
      </c>
      <c r="N229" s="49">
        <f>資料儲存!G6541</f>
        <v>0</v>
      </c>
      <c r="O229" s="49">
        <f>資料儲存!H6541</f>
        <v>0</v>
      </c>
      <c r="P229" s="49">
        <f>資料儲存!I6541</f>
        <v>0</v>
      </c>
      <c r="Q229" s="49">
        <f>資料儲存!J6541</f>
        <v>0</v>
      </c>
      <c r="R229" s="52"/>
      <c r="S229" s="70">
        <v>60</v>
      </c>
      <c r="T229" s="49">
        <f>資料儲存!D6781</f>
        <v>0</v>
      </c>
      <c r="U229" s="49">
        <f>資料儲存!E6781</f>
        <v>0</v>
      </c>
      <c r="V229" s="49">
        <f>資料儲存!F6781</f>
        <v>0</v>
      </c>
      <c r="W229" s="49">
        <f>資料儲存!G6781</f>
        <v>0</v>
      </c>
      <c r="X229" s="49">
        <f>資料儲存!H6781</f>
        <v>0</v>
      </c>
      <c r="Y229" s="49">
        <f>資料儲存!I6781</f>
        <v>0</v>
      </c>
      <c r="Z229" s="49">
        <f>資料儲存!J6781</f>
        <v>0</v>
      </c>
      <c r="AA229" s="52"/>
      <c r="AB229" s="70">
        <v>60</v>
      </c>
      <c r="AC229" s="49">
        <f>資料儲存!D7021</f>
        <v>0</v>
      </c>
      <c r="AD229" s="49">
        <f>資料儲存!E7021</f>
        <v>0</v>
      </c>
      <c r="AE229" s="49">
        <f>資料儲存!F7021</f>
        <v>0</v>
      </c>
      <c r="AF229" s="49">
        <f>資料儲存!G7021</f>
        <v>0</v>
      </c>
      <c r="AG229" s="49">
        <f>資料儲存!H7021</f>
        <v>0</v>
      </c>
      <c r="AH229" s="49">
        <f>資料儲存!I7021</f>
        <v>0</v>
      </c>
      <c r="AI229" s="49">
        <f>資料儲存!J7021</f>
        <v>0</v>
      </c>
      <c r="AJ229" s="52"/>
      <c r="AK229" s="70">
        <v>60</v>
      </c>
      <c r="AL229" s="49">
        <f>資料儲存!D7261</f>
        <v>0</v>
      </c>
      <c r="AM229" s="49">
        <f>資料儲存!E7261</f>
        <v>0</v>
      </c>
      <c r="AN229" s="49">
        <f>資料儲存!F7261</f>
        <v>0</v>
      </c>
      <c r="AO229" s="49">
        <f>資料儲存!G7261</f>
        <v>0</v>
      </c>
      <c r="AP229" s="49">
        <f>資料儲存!H7261</f>
        <v>0</v>
      </c>
      <c r="AQ229" s="49">
        <f>資料儲存!I7261</f>
        <v>0</v>
      </c>
      <c r="AR229" s="49">
        <f>資料儲存!J7261</f>
        <v>0</v>
      </c>
      <c r="AS229" s="67"/>
      <c r="AT229" s="70">
        <v>60</v>
      </c>
      <c r="AU229" s="49">
        <f>資料儲存!D7501</f>
        <v>0</v>
      </c>
      <c r="AV229" s="49">
        <f>資料儲存!E7501</f>
        <v>0</v>
      </c>
      <c r="AW229" s="49">
        <f>資料儲存!F7501</f>
        <v>0</v>
      </c>
      <c r="AX229" s="49">
        <f>資料儲存!G7501</f>
        <v>0</v>
      </c>
      <c r="AY229" s="49">
        <f>資料儲存!H7501</f>
        <v>0</v>
      </c>
      <c r="AZ229" s="49">
        <f>資料儲存!I7501</f>
        <v>0</v>
      </c>
      <c r="BA229" s="49">
        <f>資料儲存!J7501</f>
        <v>0</v>
      </c>
    </row>
    <row r="230" spans="1:53" ht="17.25" customHeight="1" thickBot="1">
      <c r="A230" s="50" t="s">
        <v>56</v>
      </c>
      <c r="B230" s="49">
        <f>SUM(B215:E229)</f>
        <v>0</v>
      </c>
      <c r="C230" s="47"/>
      <c r="D230" s="47"/>
      <c r="E230" s="47"/>
      <c r="F230" s="49">
        <f>F229</f>
        <v>0</v>
      </c>
      <c r="G230" s="49">
        <f>G229</f>
        <v>0</v>
      </c>
      <c r="H230" s="49">
        <f>H229</f>
        <v>0</v>
      </c>
      <c r="I230" s="45"/>
      <c r="J230" s="50" t="s">
        <v>56</v>
      </c>
      <c r="K230" s="49">
        <f>SUM(K215:N229)</f>
        <v>0</v>
      </c>
      <c r="L230" s="47"/>
      <c r="M230" s="47"/>
      <c r="N230" s="47"/>
      <c r="O230" s="49">
        <f>O229</f>
        <v>0</v>
      </c>
      <c r="P230" s="49">
        <f>P229</f>
        <v>0</v>
      </c>
      <c r="Q230" s="49">
        <f>Q229</f>
        <v>0</v>
      </c>
      <c r="R230" s="45"/>
      <c r="S230" s="50" t="s">
        <v>56</v>
      </c>
      <c r="T230" s="49">
        <f>SUM(T215:W229)</f>
        <v>0</v>
      </c>
      <c r="U230" s="47"/>
      <c r="V230" s="47"/>
      <c r="W230" s="47"/>
      <c r="X230" s="49">
        <f>X229</f>
        <v>0</v>
      </c>
      <c r="Y230" s="49">
        <f>Y229</f>
        <v>0</v>
      </c>
      <c r="Z230" s="49">
        <f>Z229</f>
        <v>0</v>
      </c>
      <c r="AA230" s="45"/>
      <c r="AB230" s="50" t="s">
        <v>56</v>
      </c>
      <c r="AC230" s="49">
        <f>SUM(AC215:AF229)</f>
        <v>0</v>
      </c>
      <c r="AD230" s="47"/>
      <c r="AE230" s="47"/>
      <c r="AF230" s="47"/>
      <c r="AG230" s="49">
        <f>AG229</f>
        <v>0</v>
      </c>
      <c r="AH230" s="49">
        <f>AH229</f>
        <v>0</v>
      </c>
      <c r="AI230" s="49">
        <f>AI229</f>
        <v>0</v>
      </c>
      <c r="AJ230" s="45"/>
      <c r="AK230" s="50" t="s">
        <v>56</v>
      </c>
      <c r="AL230" s="49">
        <f>SUM(AL215:AO229)</f>
        <v>0</v>
      </c>
      <c r="AM230" s="47"/>
      <c r="AN230" s="47"/>
      <c r="AO230" s="47"/>
      <c r="AP230" s="49">
        <f>AP229</f>
        <v>0</v>
      </c>
      <c r="AQ230" s="49">
        <f>AQ229</f>
        <v>0</v>
      </c>
      <c r="AR230" s="49">
        <f>AR229</f>
        <v>0</v>
      </c>
      <c r="AS230" s="67"/>
      <c r="AT230" s="50" t="s">
        <v>56</v>
      </c>
      <c r="AU230" s="49">
        <f>SUM(AU215:AX229)</f>
        <v>0</v>
      </c>
      <c r="AV230" s="47"/>
      <c r="AW230" s="47"/>
      <c r="AX230" s="47"/>
      <c r="AY230" s="49">
        <f>AY229</f>
        <v>0</v>
      </c>
      <c r="AZ230" s="49">
        <f>AZ229</f>
        <v>0</v>
      </c>
      <c r="BA230" s="49">
        <f>BA229</f>
        <v>0</v>
      </c>
    </row>
    <row r="231" spans="1:53" ht="18.5" thickBot="1">
      <c r="A231" s="257" t="s">
        <v>185</v>
      </c>
      <c r="B231" s="258"/>
      <c r="C231" s="258"/>
      <c r="D231" s="258"/>
      <c r="E231" s="258"/>
      <c r="F231" s="258"/>
      <c r="G231" s="258"/>
      <c r="H231" s="259"/>
      <c r="I231" s="14"/>
      <c r="J231" s="257" t="s">
        <v>185</v>
      </c>
      <c r="K231" s="258"/>
      <c r="L231" s="258"/>
      <c r="M231" s="258"/>
      <c r="N231" s="258"/>
      <c r="O231" s="258"/>
      <c r="P231" s="258"/>
      <c r="Q231" s="259"/>
      <c r="R231" s="14"/>
      <c r="S231" s="257" t="s">
        <v>185</v>
      </c>
      <c r="T231" s="258"/>
      <c r="U231" s="258"/>
      <c r="V231" s="258"/>
      <c r="W231" s="258"/>
      <c r="X231" s="258"/>
      <c r="Y231" s="258"/>
      <c r="Z231" s="259"/>
      <c r="AA231" s="14"/>
      <c r="AB231" s="257" t="s">
        <v>185</v>
      </c>
      <c r="AC231" s="258"/>
      <c r="AD231" s="258"/>
      <c r="AE231" s="258"/>
      <c r="AF231" s="258"/>
      <c r="AG231" s="258"/>
      <c r="AH231" s="258"/>
      <c r="AI231" s="259"/>
      <c r="AJ231" s="14"/>
      <c r="AK231" s="257" t="s">
        <v>185</v>
      </c>
      <c r="AL231" s="258"/>
      <c r="AM231" s="258"/>
      <c r="AN231" s="258"/>
      <c r="AO231" s="258"/>
      <c r="AP231" s="258"/>
      <c r="AQ231" s="258"/>
      <c r="AR231" s="259"/>
      <c r="AT231" s="257" t="s">
        <v>185</v>
      </c>
      <c r="AU231" s="258"/>
      <c r="AV231" s="258"/>
      <c r="AW231" s="258"/>
      <c r="AX231" s="258"/>
      <c r="AY231" s="258"/>
      <c r="AZ231" s="258"/>
      <c r="BA231" s="259"/>
    </row>
    <row r="232" spans="1:53" ht="17.25" customHeight="1" thickBot="1">
      <c r="A232" s="54" t="s">
        <v>2</v>
      </c>
      <c r="B232" s="55" t="s">
        <v>46</v>
      </c>
      <c r="C232" s="56"/>
      <c r="D232" s="56"/>
      <c r="E232" s="57"/>
      <c r="F232" s="55" t="s">
        <v>47</v>
      </c>
      <c r="G232" s="56"/>
      <c r="H232" s="57"/>
      <c r="I232" s="58"/>
      <c r="J232" s="54" t="s">
        <v>2</v>
      </c>
      <c r="K232" s="55" t="s">
        <v>46</v>
      </c>
      <c r="L232" s="56"/>
      <c r="M232" s="56"/>
      <c r="N232" s="57"/>
      <c r="O232" s="55" t="s">
        <v>47</v>
      </c>
      <c r="P232" s="56"/>
      <c r="Q232" s="57"/>
      <c r="R232" s="58"/>
      <c r="S232" s="54" t="s">
        <v>2</v>
      </c>
      <c r="T232" s="55" t="s">
        <v>46</v>
      </c>
      <c r="U232" s="56"/>
      <c r="V232" s="56"/>
      <c r="W232" s="57"/>
      <c r="X232" s="55" t="s">
        <v>47</v>
      </c>
      <c r="Y232" s="56"/>
      <c r="Z232" s="57"/>
      <c r="AA232" s="58"/>
      <c r="AB232" s="54" t="s">
        <v>2</v>
      </c>
      <c r="AC232" s="55" t="s">
        <v>46</v>
      </c>
      <c r="AD232" s="56"/>
      <c r="AE232" s="56"/>
      <c r="AF232" s="57"/>
      <c r="AG232" s="55" t="s">
        <v>47</v>
      </c>
      <c r="AH232" s="56"/>
      <c r="AI232" s="57"/>
      <c r="AJ232" s="58"/>
      <c r="AK232" s="54" t="s">
        <v>2</v>
      </c>
      <c r="AL232" s="55" t="s">
        <v>46</v>
      </c>
      <c r="AM232" s="56"/>
      <c r="AN232" s="56"/>
      <c r="AO232" s="57"/>
      <c r="AP232" s="55" t="s">
        <v>47</v>
      </c>
      <c r="AQ232" s="56"/>
      <c r="AR232" s="57"/>
      <c r="AS232" s="59"/>
      <c r="AT232" s="54" t="s">
        <v>2</v>
      </c>
      <c r="AU232" s="55" t="s">
        <v>46</v>
      </c>
      <c r="AV232" s="56"/>
      <c r="AW232" s="56"/>
      <c r="AX232" s="57"/>
      <c r="AY232" s="55" t="s">
        <v>47</v>
      </c>
      <c r="AZ232" s="56"/>
      <c r="BA232" s="57"/>
    </row>
    <row r="233" spans="1:53" ht="16" thickBot="1">
      <c r="A233" s="60">
        <v>0.79166666666666663</v>
      </c>
      <c r="B233" s="61" t="s">
        <v>49</v>
      </c>
      <c r="C233" s="61" t="s">
        <v>50</v>
      </c>
      <c r="D233" s="61" t="s">
        <v>51</v>
      </c>
      <c r="E233" s="61" t="s">
        <v>52</v>
      </c>
      <c r="F233" s="61" t="s">
        <v>53</v>
      </c>
      <c r="G233" s="61" t="s">
        <v>54</v>
      </c>
      <c r="H233" s="61" t="s">
        <v>55</v>
      </c>
      <c r="I233" s="58"/>
      <c r="J233" s="60">
        <v>0.79166666666666663</v>
      </c>
      <c r="K233" s="61" t="s">
        <v>49</v>
      </c>
      <c r="L233" s="61" t="s">
        <v>50</v>
      </c>
      <c r="M233" s="61" t="s">
        <v>51</v>
      </c>
      <c r="N233" s="61" t="s">
        <v>52</v>
      </c>
      <c r="O233" s="61" t="s">
        <v>53</v>
      </c>
      <c r="P233" s="61" t="s">
        <v>54</v>
      </c>
      <c r="Q233" s="61" t="s">
        <v>55</v>
      </c>
      <c r="R233" s="58"/>
      <c r="S233" s="60">
        <v>0.79166666666666663</v>
      </c>
      <c r="T233" s="61" t="s">
        <v>49</v>
      </c>
      <c r="U233" s="61" t="s">
        <v>50</v>
      </c>
      <c r="V233" s="61" t="s">
        <v>51</v>
      </c>
      <c r="W233" s="61" t="s">
        <v>52</v>
      </c>
      <c r="X233" s="61" t="s">
        <v>53</v>
      </c>
      <c r="Y233" s="61" t="s">
        <v>54</v>
      </c>
      <c r="Z233" s="61" t="s">
        <v>55</v>
      </c>
      <c r="AA233" s="58"/>
      <c r="AB233" s="60">
        <v>0.79166666666666663</v>
      </c>
      <c r="AC233" s="61" t="s">
        <v>49</v>
      </c>
      <c r="AD233" s="61" t="s">
        <v>50</v>
      </c>
      <c r="AE233" s="61" t="s">
        <v>51</v>
      </c>
      <c r="AF233" s="61" t="s">
        <v>52</v>
      </c>
      <c r="AG233" s="61" t="s">
        <v>53</v>
      </c>
      <c r="AH233" s="61" t="s">
        <v>54</v>
      </c>
      <c r="AI233" s="61" t="s">
        <v>55</v>
      </c>
      <c r="AJ233" s="58"/>
      <c r="AK233" s="60">
        <v>0.79166666666666663</v>
      </c>
      <c r="AL233" s="61" t="s">
        <v>49</v>
      </c>
      <c r="AM233" s="61" t="s">
        <v>50</v>
      </c>
      <c r="AN233" s="61" t="s">
        <v>51</v>
      </c>
      <c r="AO233" s="61" t="s">
        <v>52</v>
      </c>
      <c r="AP233" s="61" t="s">
        <v>53</v>
      </c>
      <c r="AQ233" s="61" t="s">
        <v>54</v>
      </c>
      <c r="AR233" s="61" t="s">
        <v>55</v>
      </c>
      <c r="AS233" s="59"/>
      <c r="AT233" s="60">
        <v>0.79166666666666663</v>
      </c>
      <c r="AU233" s="61" t="s">
        <v>49</v>
      </c>
      <c r="AV233" s="61" t="s">
        <v>50</v>
      </c>
      <c r="AW233" s="61" t="s">
        <v>51</v>
      </c>
      <c r="AX233" s="61" t="s">
        <v>52</v>
      </c>
      <c r="AY233" s="61" t="s">
        <v>53</v>
      </c>
      <c r="AZ233" s="61" t="s">
        <v>54</v>
      </c>
      <c r="BA233" s="61" t="s">
        <v>55</v>
      </c>
    </row>
    <row r="234" spans="1:53" ht="16" thickBot="1">
      <c r="A234" s="62">
        <v>1</v>
      </c>
      <c r="B234" s="39">
        <f>資料儲存!D6302</f>
        <v>0</v>
      </c>
      <c r="C234" s="39">
        <f>資料儲存!E6302</f>
        <v>0</v>
      </c>
      <c r="D234" s="39">
        <f>資料儲存!F6302</f>
        <v>0</v>
      </c>
      <c r="E234" s="39">
        <f>資料儲存!G6302</f>
        <v>0</v>
      </c>
      <c r="F234" s="39">
        <f>資料儲存!H6302</f>
        <v>0</v>
      </c>
      <c r="G234" s="39">
        <f>資料儲存!I6302</f>
        <v>0</v>
      </c>
      <c r="H234" s="39">
        <f>資料儲存!J6302</f>
        <v>0</v>
      </c>
      <c r="I234" s="58"/>
      <c r="J234" s="62">
        <v>1</v>
      </c>
      <c r="K234" s="39">
        <f>資料儲存!D6542</f>
        <v>0</v>
      </c>
      <c r="L234" s="39">
        <f>資料儲存!E6542</f>
        <v>0</v>
      </c>
      <c r="M234" s="39">
        <f>資料儲存!F6542</f>
        <v>0</v>
      </c>
      <c r="N234" s="39">
        <f>資料儲存!G6542</f>
        <v>0</v>
      </c>
      <c r="O234" s="39">
        <f>資料儲存!H6542</f>
        <v>0</v>
      </c>
      <c r="P234" s="39">
        <f>資料儲存!I6542</f>
        <v>0</v>
      </c>
      <c r="Q234" s="39">
        <f>資料儲存!J6542</f>
        <v>0</v>
      </c>
      <c r="R234" s="58"/>
      <c r="S234" s="62">
        <v>1</v>
      </c>
      <c r="T234" s="39">
        <f>資料儲存!D6782</f>
        <v>0</v>
      </c>
      <c r="U234" s="39">
        <f>資料儲存!E6782</f>
        <v>0</v>
      </c>
      <c r="V234" s="39">
        <f>資料儲存!F6782</f>
        <v>0</v>
      </c>
      <c r="W234" s="39">
        <f>資料儲存!G6782</f>
        <v>0</v>
      </c>
      <c r="X234" s="39">
        <f>資料儲存!H6782</f>
        <v>0</v>
      </c>
      <c r="Y234" s="39">
        <f>資料儲存!I6782</f>
        <v>0</v>
      </c>
      <c r="Z234" s="39">
        <f>資料儲存!J6782</f>
        <v>0</v>
      </c>
      <c r="AA234" s="58"/>
      <c r="AB234" s="62">
        <v>1</v>
      </c>
      <c r="AC234" s="39">
        <f>資料儲存!D7022</f>
        <v>0</v>
      </c>
      <c r="AD234" s="39">
        <f>資料儲存!E7022</f>
        <v>0</v>
      </c>
      <c r="AE234" s="39">
        <f>資料儲存!F7022</f>
        <v>0</v>
      </c>
      <c r="AF234" s="39">
        <f>資料儲存!G7022</f>
        <v>0</v>
      </c>
      <c r="AG234" s="39">
        <f>資料儲存!H7022</f>
        <v>0</v>
      </c>
      <c r="AH234" s="39">
        <f>資料儲存!I7022</f>
        <v>0</v>
      </c>
      <c r="AI234" s="39">
        <f>資料儲存!J7022</f>
        <v>0</v>
      </c>
      <c r="AJ234" s="58"/>
      <c r="AK234" s="62">
        <v>1</v>
      </c>
      <c r="AL234" s="39">
        <f>資料儲存!D7262</f>
        <v>0</v>
      </c>
      <c r="AM234" s="39">
        <f>資料儲存!E7262</f>
        <v>0</v>
      </c>
      <c r="AN234" s="39">
        <f>資料儲存!F7262</f>
        <v>0</v>
      </c>
      <c r="AO234" s="39">
        <f>資料儲存!G7262</f>
        <v>0</v>
      </c>
      <c r="AP234" s="39">
        <f>資料儲存!H7262</f>
        <v>0</v>
      </c>
      <c r="AQ234" s="39">
        <f>資料儲存!I7262</f>
        <v>0</v>
      </c>
      <c r="AR234" s="39">
        <f>資料儲存!J7262</f>
        <v>0</v>
      </c>
      <c r="AS234" s="59"/>
      <c r="AT234" s="62">
        <v>1</v>
      </c>
      <c r="AU234" s="39">
        <f>資料儲存!D7502</f>
        <v>0</v>
      </c>
      <c r="AV234" s="39">
        <f>資料儲存!E7502</f>
        <v>0</v>
      </c>
      <c r="AW234" s="39">
        <f>資料儲存!F7502</f>
        <v>0</v>
      </c>
      <c r="AX234" s="39">
        <f>資料儲存!G7502</f>
        <v>0</v>
      </c>
      <c r="AY234" s="39">
        <f>資料儲存!H7502</f>
        <v>0</v>
      </c>
      <c r="AZ234" s="39">
        <f>資料儲存!I7502</f>
        <v>0</v>
      </c>
      <c r="BA234" s="39">
        <f>資料儲存!J7502</f>
        <v>0</v>
      </c>
    </row>
    <row r="235" spans="1:53" ht="16" thickBot="1">
      <c r="A235" s="62">
        <v>2</v>
      </c>
      <c r="B235" s="39">
        <f>資料儲存!D6303</f>
        <v>0</v>
      </c>
      <c r="C235" s="39">
        <f>資料儲存!E6303</f>
        <v>0</v>
      </c>
      <c r="D235" s="39">
        <f>資料儲存!F6303</f>
        <v>0</v>
      </c>
      <c r="E235" s="39">
        <f>資料儲存!G6303</f>
        <v>0</v>
      </c>
      <c r="F235" s="39">
        <f>資料儲存!H6303</f>
        <v>0</v>
      </c>
      <c r="G235" s="39">
        <f>資料儲存!I6303</f>
        <v>0</v>
      </c>
      <c r="H235" s="39">
        <f>資料儲存!J6303</f>
        <v>0</v>
      </c>
      <c r="I235" s="58"/>
      <c r="J235" s="62">
        <v>2</v>
      </c>
      <c r="K235" s="39">
        <f>資料儲存!D6543</f>
        <v>0</v>
      </c>
      <c r="L235" s="39">
        <f>資料儲存!E6543</f>
        <v>0</v>
      </c>
      <c r="M235" s="39">
        <f>資料儲存!F6543</f>
        <v>0</v>
      </c>
      <c r="N235" s="39">
        <f>資料儲存!G6543</f>
        <v>0</v>
      </c>
      <c r="O235" s="39">
        <f>資料儲存!H6543</f>
        <v>0</v>
      </c>
      <c r="P235" s="39">
        <f>資料儲存!I6543</f>
        <v>0</v>
      </c>
      <c r="Q235" s="39">
        <f>資料儲存!J6543</f>
        <v>0</v>
      </c>
      <c r="R235" s="58"/>
      <c r="S235" s="62">
        <v>2</v>
      </c>
      <c r="T235" s="39">
        <f>資料儲存!D6783</f>
        <v>0</v>
      </c>
      <c r="U235" s="39">
        <f>資料儲存!E6783</f>
        <v>0</v>
      </c>
      <c r="V235" s="39">
        <f>資料儲存!F6783</f>
        <v>0</v>
      </c>
      <c r="W235" s="39">
        <f>資料儲存!G6783</f>
        <v>0</v>
      </c>
      <c r="X235" s="39">
        <f>資料儲存!H6783</f>
        <v>0</v>
      </c>
      <c r="Y235" s="39">
        <f>資料儲存!I6783</f>
        <v>0</v>
      </c>
      <c r="Z235" s="39">
        <f>資料儲存!J6783</f>
        <v>0</v>
      </c>
      <c r="AA235" s="58"/>
      <c r="AB235" s="62">
        <v>2</v>
      </c>
      <c r="AC235" s="39">
        <f>資料儲存!D7023</f>
        <v>0</v>
      </c>
      <c r="AD235" s="39">
        <f>資料儲存!E7023</f>
        <v>0</v>
      </c>
      <c r="AE235" s="39">
        <f>資料儲存!F7023</f>
        <v>0</v>
      </c>
      <c r="AF235" s="39">
        <f>資料儲存!G7023</f>
        <v>0</v>
      </c>
      <c r="AG235" s="39">
        <f>資料儲存!H7023</f>
        <v>0</v>
      </c>
      <c r="AH235" s="39">
        <f>資料儲存!I7023</f>
        <v>0</v>
      </c>
      <c r="AI235" s="39">
        <f>資料儲存!J7023</f>
        <v>0</v>
      </c>
      <c r="AJ235" s="58"/>
      <c r="AK235" s="62">
        <v>2</v>
      </c>
      <c r="AL235" s="39">
        <f>資料儲存!D7263</f>
        <v>0</v>
      </c>
      <c r="AM235" s="39">
        <f>資料儲存!E7263</f>
        <v>0</v>
      </c>
      <c r="AN235" s="39">
        <f>資料儲存!F7263</f>
        <v>0</v>
      </c>
      <c r="AO235" s="39">
        <f>資料儲存!G7263</f>
        <v>0</v>
      </c>
      <c r="AP235" s="39">
        <f>資料儲存!H7263</f>
        <v>0</v>
      </c>
      <c r="AQ235" s="39">
        <f>資料儲存!I7263</f>
        <v>0</v>
      </c>
      <c r="AR235" s="39">
        <f>資料儲存!J7263</f>
        <v>0</v>
      </c>
      <c r="AS235" s="59"/>
      <c r="AT235" s="62">
        <v>2</v>
      </c>
      <c r="AU235" s="39">
        <f>資料儲存!D7503</f>
        <v>0</v>
      </c>
      <c r="AV235" s="39">
        <f>資料儲存!E7503</f>
        <v>0</v>
      </c>
      <c r="AW235" s="39">
        <f>資料儲存!F7503</f>
        <v>0</v>
      </c>
      <c r="AX235" s="39">
        <f>資料儲存!G7503</f>
        <v>0</v>
      </c>
      <c r="AY235" s="39">
        <f>資料儲存!H7503</f>
        <v>0</v>
      </c>
      <c r="AZ235" s="39">
        <f>資料儲存!I7503</f>
        <v>0</v>
      </c>
      <c r="BA235" s="39">
        <f>資料儲存!J7503</f>
        <v>0</v>
      </c>
    </row>
    <row r="236" spans="1:53" ht="16" thickBot="1">
      <c r="A236" s="62">
        <v>3</v>
      </c>
      <c r="B236" s="39">
        <f>資料儲存!D6304</f>
        <v>0</v>
      </c>
      <c r="C236" s="39">
        <f>資料儲存!E6304</f>
        <v>0</v>
      </c>
      <c r="D236" s="39">
        <f>資料儲存!F6304</f>
        <v>0</v>
      </c>
      <c r="E236" s="39">
        <f>資料儲存!G6304</f>
        <v>0</v>
      </c>
      <c r="F236" s="39">
        <f>資料儲存!H6304</f>
        <v>0</v>
      </c>
      <c r="G236" s="39">
        <f>資料儲存!I6304</f>
        <v>0</v>
      </c>
      <c r="H236" s="39">
        <f>資料儲存!J6304</f>
        <v>0</v>
      </c>
      <c r="I236" s="58"/>
      <c r="J236" s="62">
        <v>3</v>
      </c>
      <c r="K236" s="39">
        <f>資料儲存!D6544</f>
        <v>0</v>
      </c>
      <c r="L236" s="39">
        <f>資料儲存!E6544</f>
        <v>0</v>
      </c>
      <c r="M236" s="39">
        <f>資料儲存!F6544</f>
        <v>0</v>
      </c>
      <c r="N236" s="39">
        <f>資料儲存!G6544</f>
        <v>0</v>
      </c>
      <c r="O236" s="39">
        <f>資料儲存!H6544</f>
        <v>0</v>
      </c>
      <c r="P236" s="39">
        <f>資料儲存!I6544</f>
        <v>0</v>
      </c>
      <c r="Q236" s="39">
        <f>資料儲存!J6544</f>
        <v>0</v>
      </c>
      <c r="R236" s="58"/>
      <c r="S236" s="62">
        <v>3</v>
      </c>
      <c r="T236" s="39">
        <f>資料儲存!D6784</f>
        <v>0</v>
      </c>
      <c r="U236" s="39">
        <f>資料儲存!E6784</f>
        <v>0</v>
      </c>
      <c r="V236" s="39">
        <f>資料儲存!F6784</f>
        <v>0</v>
      </c>
      <c r="W236" s="39">
        <f>資料儲存!G6784</f>
        <v>0</v>
      </c>
      <c r="X236" s="39">
        <f>資料儲存!H6784</f>
        <v>0</v>
      </c>
      <c r="Y236" s="39">
        <f>資料儲存!I6784</f>
        <v>0</v>
      </c>
      <c r="Z236" s="39">
        <f>資料儲存!J6784</f>
        <v>0</v>
      </c>
      <c r="AA236" s="58"/>
      <c r="AB236" s="62">
        <v>3</v>
      </c>
      <c r="AC236" s="39">
        <f>資料儲存!D7024</f>
        <v>0</v>
      </c>
      <c r="AD236" s="39">
        <f>資料儲存!E7024</f>
        <v>0</v>
      </c>
      <c r="AE236" s="39">
        <f>資料儲存!F7024</f>
        <v>0</v>
      </c>
      <c r="AF236" s="39">
        <f>資料儲存!G7024</f>
        <v>0</v>
      </c>
      <c r="AG236" s="39">
        <f>資料儲存!H7024</f>
        <v>0</v>
      </c>
      <c r="AH236" s="39">
        <f>資料儲存!I7024</f>
        <v>0</v>
      </c>
      <c r="AI236" s="39">
        <f>資料儲存!J7024</f>
        <v>0</v>
      </c>
      <c r="AJ236" s="58"/>
      <c r="AK236" s="62">
        <v>3</v>
      </c>
      <c r="AL236" s="39">
        <f>資料儲存!D7264</f>
        <v>0</v>
      </c>
      <c r="AM236" s="39">
        <f>資料儲存!E7264</f>
        <v>0</v>
      </c>
      <c r="AN236" s="39">
        <f>資料儲存!F7264</f>
        <v>0</v>
      </c>
      <c r="AO236" s="39">
        <f>資料儲存!G7264</f>
        <v>0</v>
      </c>
      <c r="AP236" s="39">
        <f>資料儲存!H7264</f>
        <v>0</v>
      </c>
      <c r="AQ236" s="39">
        <f>資料儲存!I7264</f>
        <v>0</v>
      </c>
      <c r="AR236" s="39">
        <f>資料儲存!J7264</f>
        <v>0</v>
      </c>
      <c r="AS236" s="59"/>
      <c r="AT236" s="62">
        <v>3</v>
      </c>
      <c r="AU236" s="39">
        <f>資料儲存!D7504</f>
        <v>0</v>
      </c>
      <c r="AV236" s="39">
        <f>資料儲存!E7504</f>
        <v>0</v>
      </c>
      <c r="AW236" s="39">
        <f>資料儲存!F7504</f>
        <v>0</v>
      </c>
      <c r="AX236" s="39">
        <f>資料儲存!G7504</f>
        <v>0</v>
      </c>
      <c r="AY236" s="39">
        <f>資料儲存!H7504</f>
        <v>0</v>
      </c>
      <c r="AZ236" s="39">
        <f>資料儲存!I7504</f>
        <v>0</v>
      </c>
      <c r="BA236" s="39">
        <f>資料儲存!J7504</f>
        <v>0</v>
      </c>
    </row>
    <row r="237" spans="1:53" ht="16" thickBot="1">
      <c r="A237" s="62">
        <v>4</v>
      </c>
      <c r="B237" s="39">
        <f>資料儲存!D6305</f>
        <v>0</v>
      </c>
      <c r="C237" s="39">
        <f>資料儲存!E6305</f>
        <v>0</v>
      </c>
      <c r="D237" s="39">
        <f>資料儲存!F6305</f>
        <v>0</v>
      </c>
      <c r="E237" s="39">
        <f>資料儲存!G6305</f>
        <v>0</v>
      </c>
      <c r="F237" s="39">
        <f>資料儲存!H6305</f>
        <v>0</v>
      </c>
      <c r="G237" s="39">
        <f>資料儲存!I6305</f>
        <v>0</v>
      </c>
      <c r="H237" s="39">
        <f>資料儲存!J6305</f>
        <v>0</v>
      </c>
      <c r="I237" s="58"/>
      <c r="J237" s="62">
        <v>4</v>
      </c>
      <c r="K237" s="39">
        <f>資料儲存!D6545</f>
        <v>0</v>
      </c>
      <c r="L237" s="39">
        <f>資料儲存!E6545</f>
        <v>0</v>
      </c>
      <c r="M237" s="39">
        <f>資料儲存!F6545</f>
        <v>0</v>
      </c>
      <c r="N237" s="39">
        <f>資料儲存!G6545</f>
        <v>0</v>
      </c>
      <c r="O237" s="39">
        <f>資料儲存!H6545</f>
        <v>0</v>
      </c>
      <c r="P237" s="39">
        <f>資料儲存!I6545</f>
        <v>0</v>
      </c>
      <c r="Q237" s="39">
        <f>資料儲存!J6545</f>
        <v>0</v>
      </c>
      <c r="R237" s="58"/>
      <c r="S237" s="62">
        <v>4</v>
      </c>
      <c r="T237" s="39">
        <f>資料儲存!D6785</f>
        <v>0</v>
      </c>
      <c r="U237" s="39">
        <f>資料儲存!E6785</f>
        <v>0</v>
      </c>
      <c r="V237" s="39">
        <f>資料儲存!F6785</f>
        <v>0</v>
      </c>
      <c r="W237" s="39">
        <f>資料儲存!G6785</f>
        <v>0</v>
      </c>
      <c r="X237" s="39">
        <f>資料儲存!H6785</f>
        <v>0</v>
      </c>
      <c r="Y237" s="39">
        <f>資料儲存!I6785</f>
        <v>0</v>
      </c>
      <c r="Z237" s="39">
        <f>資料儲存!J6785</f>
        <v>0</v>
      </c>
      <c r="AA237" s="58"/>
      <c r="AB237" s="62">
        <v>4</v>
      </c>
      <c r="AC237" s="39">
        <f>資料儲存!D7025</f>
        <v>0</v>
      </c>
      <c r="AD237" s="39">
        <f>資料儲存!E7025</f>
        <v>0</v>
      </c>
      <c r="AE237" s="39">
        <f>資料儲存!F7025</f>
        <v>0</v>
      </c>
      <c r="AF237" s="39">
        <f>資料儲存!G7025</f>
        <v>0</v>
      </c>
      <c r="AG237" s="39">
        <f>資料儲存!H7025</f>
        <v>0</v>
      </c>
      <c r="AH237" s="39">
        <f>資料儲存!I7025</f>
        <v>0</v>
      </c>
      <c r="AI237" s="39">
        <f>資料儲存!J7025</f>
        <v>0</v>
      </c>
      <c r="AJ237" s="58"/>
      <c r="AK237" s="62">
        <v>4</v>
      </c>
      <c r="AL237" s="39">
        <f>資料儲存!D7265</f>
        <v>0</v>
      </c>
      <c r="AM237" s="39">
        <f>資料儲存!E7265</f>
        <v>0</v>
      </c>
      <c r="AN237" s="39">
        <f>資料儲存!F7265</f>
        <v>0</v>
      </c>
      <c r="AO237" s="39">
        <f>資料儲存!G7265</f>
        <v>0</v>
      </c>
      <c r="AP237" s="39">
        <f>資料儲存!H7265</f>
        <v>0</v>
      </c>
      <c r="AQ237" s="39">
        <f>資料儲存!I7265</f>
        <v>0</v>
      </c>
      <c r="AR237" s="39">
        <f>資料儲存!J7265</f>
        <v>0</v>
      </c>
      <c r="AS237" s="59"/>
      <c r="AT237" s="62">
        <v>4</v>
      </c>
      <c r="AU237" s="39">
        <f>資料儲存!D7505</f>
        <v>0</v>
      </c>
      <c r="AV237" s="39">
        <f>資料儲存!E7505</f>
        <v>0</v>
      </c>
      <c r="AW237" s="39">
        <f>資料儲存!F7505</f>
        <v>0</v>
      </c>
      <c r="AX237" s="39">
        <f>資料儲存!G7505</f>
        <v>0</v>
      </c>
      <c r="AY237" s="39">
        <f>資料儲存!H7505</f>
        <v>0</v>
      </c>
      <c r="AZ237" s="39">
        <f>資料儲存!I7505</f>
        <v>0</v>
      </c>
      <c r="BA237" s="39">
        <f>資料儲存!J7505</f>
        <v>0</v>
      </c>
    </row>
    <row r="238" spans="1:53" ht="16" thickBot="1">
      <c r="A238" s="62">
        <v>5</v>
      </c>
      <c r="B238" s="39">
        <f>資料儲存!D6306</f>
        <v>0</v>
      </c>
      <c r="C238" s="39">
        <f>資料儲存!E6306</f>
        <v>0</v>
      </c>
      <c r="D238" s="39">
        <f>資料儲存!F6306</f>
        <v>0</v>
      </c>
      <c r="E238" s="39">
        <f>資料儲存!G6306</f>
        <v>0</v>
      </c>
      <c r="F238" s="39">
        <f>資料儲存!H6306</f>
        <v>0</v>
      </c>
      <c r="G238" s="39">
        <f>資料儲存!I6306</f>
        <v>0</v>
      </c>
      <c r="H238" s="39">
        <f>資料儲存!J6306</f>
        <v>0</v>
      </c>
      <c r="I238" s="58"/>
      <c r="J238" s="62">
        <v>5</v>
      </c>
      <c r="K238" s="39">
        <f>資料儲存!D6546</f>
        <v>0</v>
      </c>
      <c r="L238" s="39">
        <f>資料儲存!E6546</f>
        <v>0</v>
      </c>
      <c r="M238" s="39">
        <f>資料儲存!F6546</f>
        <v>0</v>
      </c>
      <c r="N238" s="39">
        <f>資料儲存!G6546</f>
        <v>0</v>
      </c>
      <c r="O238" s="39">
        <f>資料儲存!H6546</f>
        <v>0</v>
      </c>
      <c r="P238" s="39">
        <f>資料儲存!I6546</f>
        <v>0</v>
      </c>
      <c r="Q238" s="39">
        <f>資料儲存!J6546</f>
        <v>0</v>
      </c>
      <c r="R238" s="58"/>
      <c r="S238" s="62">
        <v>5</v>
      </c>
      <c r="T238" s="39">
        <f>資料儲存!D6786</f>
        <v>0</v>
      </c>
      <c r="U238" s="39">
        <f>資料儲存!E6786</f>
        <v>0</v>
      </c>
      <c r="V238" s="39">
        <f>資料儲存!F6786</f>
        <v>0</v>
      </c>
      <c r="W238" s="39">
        <f>資料儲存!G6786</f>
        <v>0</v>
      </c>
      <c r="X238" s="39">
        <f>資料儲存!H6786</f>
        <v>0</v>
      </c>
      <c r="Y238" s="39">
        <f>資料儲存!I6786</f>
        <v>0</v>
      </c>
      <c r="Z238" s="39">
        <f>資料儲存!J6786</f>
        <v>0</v>
      </c>
      <c r="AA238" s="58"/>
      <c r="AB238" s="62">
        <v>5</v>
      </c>
      <c r="AC238" s="39">
        <f>資料儲存!D7026</f>
        <v>0</v>
      </c>
      <c r="AD238" s="39">
        <f>資料儲存!E7026</f>
        <v>0</v>
      </c>
      <c r="AE238" s="39">
        <f>資料儲存!F7026</f>
        <v>0</v>
      </c>
      <c r="AF238" s="39">
        <f>資料儲存!G7026</f>
        <v>0</v>
      </c>
      <c r="AG238" s="39">
        <f>資料儲存!H7026</f>
        <v>0</v>
      </c>
      <c r="AH238" s="39">
        <f>資料儲存!I7026</f>
        <v>0</v>
      </c>
      <c r="AI238" s="39">
        <f>資料儲存!J7026</f>
        <v>0</v>
      </c>
      <c r="AJ238" s="58"/>
      <c r="AK238" s="62">
        <v>5</v>
      </c>
      <c r="AL238" s="39">
        <f>資料儲存!D7266</f>
        <v>0</v>
      </c>
      <c r="AM238" s="39">
        <f>資料儲存!E7266</f>
        <v>0</v>
      </c>
      <c r="AN238" s="39">
        <f>資料儲存!F7266</f>
        <v>0</v>
      </c>
      <c r="AO238" s="39">
        <f>資料儲存!G7266</f>
        <v>0</v>
      </c>
      <c r="AP238" s="39">
        <f>資料儲存!H7266</f>
        <v>0</v>
      </c>
      <c r="AQ238" s="39">
        <f>資料儲存!I7266</f>
        <v>0</v>
      </c>
      <c r="AR238" s="39">
        <f>資料儲存!J7266</f>
        <v>0</v>
      </c>
      <c r="AS238" s="59"/>
      <c r="AT238" s="62">
        <v>5</v>
      </c>
      <c r="AU238" s="39">
        <f>資料儲存!D7506</f>
        <v>0</v>
      </c>
      <c r="AV238" s="39">
        <f>資料儲存!E7506</f>
        <v>0</v>
      </c>
      <c r="AW238" s="39">
        <f>資料儲存!F7506</f>
        <v>0</v>
      </c>
      <c r="AX238" s="39">
        <f>資料儲存!G7506</f>
        <v>0</v>
      </c>
      <c r="AY238" s="39">
        <f>資料儲存!H7506</f>
        <v>0</v>
      </c>
      <c r="AZ238" s="39">
        <f>資料儲存!I7506</f>
        <v>0</v>
      </c>
      <c r="BA238" s="39">
        <f>資料儲存!J7506</f>
        <v>0</v>
      </c>
    </row>
    <row r="239" spans="1:53" ht="16" thickBot="1">
      <c r="A239" s="62">
        <v>6</v>
      </c>
      <c r="B239" s="39">
        <f>資料儲存!D6307</f>
        <v>0</v>
      </c>
      <c r="C239" s="39">
        <f>資料儲存!E6307</f>
        <v>0</v>
      </c>
      <c r="D239" s="39">
        <f>資料儲存!F6307</f>
        <v>0</v>
      </c>
      <c r="E239" s="39">
        <f>資料儲存!G6307</f>
        <v>0</v>
      </c>
      <c r="F239" s="39">
        <f>資料儲存!H6307</f>
        <v>0</v>
      </c>
      <c r="G239" s="39">
        <f>資料儲存!I6307</f>
        <v>0</v>
      </c>
      <c r="H239" s="39">
        <f>資料儲存!J6307</f>
        <v>0</v>
      </c>
      <c r="I239" s="58"/>
      <c r="J239" s="62">
        <v>6</v>
      </c>
      <c r="K239" s="39">
        <f>資料儲存!D6547</f>
        <v>0</v>
      </c>
      <c r="L239" s="39">
        <f>資料儲存!E6547</f>
        <v>0</v>
      </c>
      <c r="M239" s="39">
        <f>資料儲存!F6547</f>
        <v>0</v>
      </c>
      <c r="N239" s="39">
        <f>資料儲存!G6547</f>
        <v>0</v>
      </c>
      <c r="O239" s="39">
        <f>資料儲存!H6547</f>
        <v>0</v>
      </c>
      <c r="P239" s="39">
        <f>資料儲存!I6547</f>
        <v>0</v>
      </c>
      <c r="Q239" s="39">
        <f>資料儲存!J6547</f>
        <v>0</v>
      </c>
      <c r="R239" s="58"/>
      <c r="S239" s="62">
        <v>6</v>
      </c>
      <c r="T239" s="39">
        <f>資料儲存!D6787</f>
        <v>0</v>
      </c>
      <c r="U239" s="39">
        <f>資料儲存!E6787</f>
        <v>0</v>
      </c>
      <c r="V239" s="39">
        <f>資料儲存!F6787</f>
        <v>0</v>
      </c>
      <c r="W239" s="39">
        <f>資料儲存!G6787</f>
        <v>0</v>
      </c>
      <c r="X239" s="39">
        <f>資料儲存!H6787</f>
        <v>0</v>
      </c>
      <c r="Y239" s="39">
        <f>資料儲存!I6787</f>
        <v>0</v>
      </c>
      <c r="Z239" s="39">
        <f>資料儲存!J6787</f>
        <v>0</v>
      </c>
      <c r="AA239" s="58"/>
      <c r="AB239" s="62">
        <v>6</v>
      </c>
      <c r="AC239" s="39">
        <f>資料儲存!D7027</f>
        <v>0</v>
      </c>
      <c r="AD239" s="39">
        <f>資料儲存!E7027</f>
        <v>0</v>
      </c>
      <c r="AE239" s="39">
        <f>資料儲存!F7027</f>
        <v>0</v>
      </c>
      <c r="AF239" s="39">
        <f>資料儲存!G7027</f>
        <v>0</v>
      </c>
      <c r="AG239" s="39">
        <f>資料儲存!H7027</f>
        <v>0</v>
      </c>
      <c r="AH239" s="39">
        <f>資料儲存!I7027</f>
        <v>0</v>
      </c>
      <c r="AI239" s="39">
        <f>資料儲存!J7027</f>
        <v>0</v>
      </c>
      <c r="AJ239" s="58"/>
      <c r="AK239" s="62">
        <v>6</v>
      </c>
      <c r="AL239" s="39">
        <f>資料儲存!D7267</f>
        <v>0</v>
      </c>
      <c r="AM239" s="39">
        <f>資料儲存!E7267</f>
        <v>0</v>
      </c>
      <c r="AN239" s="39">
        <f>資料儲存!F7267</f>
        <v>0</v>
      </c>
      <c r="AO239" s="39">
        <f>資料儲存!G7267</f>
        <v>0</v>
      </c>
      <c r="AP239" s="39">
        <f>資料儲存!H7267</f>
        <v>0</v>
      </c>
      <c r="AQ239" s="39">
        <f>資料儲存!I7267</f>
        <v>0</v>
      </c>
      <c r="AR239" s="39">
        <f>資料儲存!J7267</f>
        <v>0</v>
      </c>
      <c r="AS239" s="59"/>
      <c r="AT239" s="62">
        <v>6</v>
      </c>
      <c r="AU239" s="39">
        <f>資料儲存!D7507</f>
        <v>0</v>
      </c>
      <c r="AV239" s="39">
        <f>資料儲存!E7507</f>
        <v>0</v>
      </c>
      <c r="AW239" s="39">
        <f>資料儲存!F7507</f>
        <v>0</v>
      </c>
      <c r="AX239" s="39">
        <f>資料儲存!G7507</f>
        <v>0</v>
      </c>
      <c r="AY239" s="39">
        <f>資料儲存!H7507</f>
        <v>0</v>
      </c>
      <c r="AZ239" s="39">
        <f>資料儲存!I7507</f>
        <v>0</v>
      </c>
      <c r="BA239" s="39">
        <f>資料儲存!J7507</f>
        <v>0</v>
      </c>
    </row>
    <row r="240" spans="1:53" ht="16" thickBot="1">
      <c r="A240" s="62">
        <v>7</v>
      </c>
      <c r="B240" s="39">
        <f>資料儲存!D6308</f>
        <v>0</v>
      </c>
      <c r="C240" s="39">
        <f>資料儲存!E6308</f>
        <v>0</v>
      </c>
      <c r="D240" s="39">
        <f>資料儲存!F6308</f>
        <v>0</v>
      </c>
      <c r="E240" s="39">
        <f>資料儲存!G6308</f>
        <v>0</v>
      </c>
      <c r="F240" s="39">
        <f>資料儲存!H6308</f>
        <v>0</v>
      </c>
      <c r="G240" s="39">
        <f>資料儲存!I6308</f>
        <v>0</v>
      </c>
      <c r="H240" s="39">
        <f>資料儲存!J6308</f>
        <v>0</v>
      </c>
      <c r="I240" s="58"/>
      <c r="J240" s="62">
        <v>7</v>
      </c>
      <c r="K240" s="39">
        <f>資料儲存!D6548</f>
        <v>0</v>
      </c>
      <c r="L240" s="39">
        <f>資料儲存!E6548</f>
        <v>0</v>
      </c>
      <c r="M240" s="39">
        <f>資料儲存!F6548</f>
        <v>0</v>
      </c>
      <c r="N240" s="39">
        <f>資料儲存!G6548</f>
        <v>0</v>
      </c>
      <c r="O240" s="39">
        <f>資料儲存!H6548</f>
        <v>0</v>
      </c>
      <c r="P240" s="39">
        <f>資料儲存!I6548</f>
        <v>0</v>
      </c>
      <c r="Q240" s="39">
        <f>資料儲存!J6548</f>
        <v>0</v>
      </c>
      <c r="R240" s="58"/>
      <c r="S240" s="62">
        <v>7</v>
      </c>
      <c r="T240" s="39">
        <f>資料儲存!D6788</f>
        <v>0</v>
      </c>
      <c r="U240" s="39">
        <f>資料儲存!E6788</f>
        <v>0</v>
      </c>
      <c r="V240" s="39">
        <f>資料儲存!F6788</f>
        <v>0</v>
      </c>
      <c r="W240" s="39">
        <f>資料儲存!G6788</f>
        <v>0</v>
      </c>
      <c r="X240" s="39">
        <f>資料儲存!H6788</f>
        <v>0</v>
      </c>
      <c r="Y240" s="39">
        <f>資料儲存!I6788</f>
        <v>0</v>
      </c>
      <c r="Z240" s="39">
        <f>資料儲存!J6788</f>
        <v>0</v>
      </c>
      <c r="AA240" s="58"/>
      <c r="AB240" s="62">
        <v>7</v>
      </c>
      <c r="AC240" s="39">
        <f>資料儲存!D7028</f>
        <v>0</v>
      </c>
      <c r="AD240" s="39">
        <f>資料儲存!E7028</f>
        <v>0</v>
      </c>
      <c r="AE240" s="39">
        <f>資料儲存!F7028</f>
        <v>0</v>
      </c>
      <c r="AF240" s="39">
        <f>資料儲存!G7028</f>
        <v>0</v>
      </c>
      <c r="AG240" s="39">
        <f>資料儲存!H7028</f>
        <v>0</v>
      </c>
      <c r="AH240" s="39">
        <f>資料儲存!I7028</f>
        <v>0</v>
      </c>
      <c r="AI240" s="39">
        <f>資料儲存!J7028</f>
        <v>0</v>
      </c>
      <c r="AJ240" s="58"/>
      <c r="AK240" s="62">
        <v>7</v>
      </c>
      <c r="AL240" s="39">
        <f>資料儲存!D7268</f>
        <v>0</v>
      </c>
      <c r="AM240" s="39">
        <f>資料儲存!E7268</f>
        <v>0</v>
      </c>
      <c r="AN240" s="39">
        <f>資料儲存!F7268</f>
        <v>0</v>
      </c>
      <c r="AO240" s="39">
        <f>資料儲存!G7268</f>
        <v>0</v>
      </c>
      <c r="AP240" s="39">
        <f>資料儲存!H7268</f>
        <v>0</v>
      </c>
      <c r="AQ240" s="39">
        <f>資料儲存!I7268</f>
        <v>0</v>
      </c>
      <c r="AR240" s="39">
        <f>資料儲存!J7268</f>
        <v>0</v>
      </c>
      <c r="AS240" s="59"/>
      <c r="AT240" s="62">
        <v>7</v>
      </c>
      <c r="AU240" s="39">
        <f>資料儲存!D7508</f>
        <v>0</v>
      </c>
      <c r="AV240" s="39">
        <f>資料儲存!E7508</f>
        <v>0</v>
      </c>
      <c r="AW240" s="39">
        <f>資料儲存!F7508</f>
        <v>0</v>
      </c>
      <c r="AX240" s="39">
        <f>資料儲存!G7508</f>
        <v>0</v>
      </c>
      <c r="AY240" s="39">
        <f>資料儲存!H7508</f>
        <v>0</v>
      </c>
      <c r="AZ240" s="39">
        <f>資料儲存!I7508</f>
        <v>0</v>
      </c>
      <c r="BA240" s="39">
        <f>資料儲存!J7508</f>
        <v>0</v>
      </c>
    </row>
    <row r="241" spans="1:53" ht="16" thickBot="1">
      <c r="A241" s="62">
        <v>8</v>
      </c>
      <c r="B241" s="39">
        <f>資料儲存!D6309</f>
        <v>0</v>
      </c>
      <c r="C241" s="39">
        <f>資料儲存!E6309</f>
        <v>0</v>
      </c>
      <c r="D241" s="39">
        <f>資料儲存!F6309</f>
        <v>0</v>
      </c>
      <c r="E241" s="39">
        <f>資料儲存!G6309</f>
        <v>0</v>
      </c>
      <c r="F241" s="39">
        <f>資料儲存!H6309</f>
        <v>0</v>
      </c>
      <c r="G241" s="39">
        <f>資料儲存!I6309</f>
        <v>0</v>
      </c>
      <c r="H241" s="39">
        <f>資料儲存!J6309</f>
        <v>0</v>
      </c>
      <c r="I241" s="58"/>
      <c r="J241" s="62">
        <v>8</v>
      </c>
      <c r="K241" s="39">
        <f>資料儲存!D6549</f>
        <v>0</v>
      </c>
      <c r="L241" s="39">
        <f>資料儲存!E6549</f>
        <v>0</v>
      </c>
      <c r="M241" s="39">
        <f>資料儲存!F6549</f>
        <v>0</v>
      </c>
      <c r="N241" s="39">
        <f>資料儲存!G6549</f>
        <v>0</v>
      </c>
      <c r="O241" s="39">
        <f>資料儲存!H6549</f>
        <v>0</v>
      </c>
      <c r="P241" s="39">
        <f>資料儲存!I6549</f>
        <v>0</v>
      </c>
      <c r="Q241" s="39">
        <f>資料儲存!J6549</f>
        <v>0</v>
      </c>
      <c r="R241" s="58"/>
      <c r="S241" s="62">
        <v>8</v>
      </c>
      <c r="T241" s="39">
        <f>資料儲存!D6789</f>
        <v>0</v>
      </c>
      <c r="U241" s="39">
        <f>資料儲存!E6789</f>
        <v>0</v>
      </c>
      <c r="V241" s="39">
        <f>資料儲存!F6789</f>
        <v>0</v>
      </c>
      <c r="W241" s="39">
        <f>資料儲存!G6789</f>
        <v>0</v>
      </c>
      <c r="X241" s="39">
        <f>資料儲存!H6789</f>
        <v>0</v>
      </c>
      <c r="Y241" s="39">
        <f>資料儲存!I6789</f>
        <v>0</v>
      </c>
      <c r="Z241" s="39">
        <f>資料儲存!J6789</f>
        <v>0</v>
      </c>
      <c r="AA241" s="58"/>
      <c r="AB241" s="62">
        <v>8</v>
      </c>
      <c r="AC241" s="39">
        <f>資料儲存!D7029</f>
        <v>0</v>
      </c>
      <c r="AD241" s="39">
        <f>資料儲存!E7029</f>
        <v>0</v>
      </c>
      <c r="AE241" s="39">
        <f>資料儲存!F7029</f>
        <v>0</v>
      </c>
      <c r="AF241" s="39">
        <f>資料儲存!G7029</f>
        <v>0</v>
      </c>
      <c r="AG241" s="39">
        <f>資料儲存!H7029</f>
        <v>0</v>
      </c>
      <c r="AH241" s="39">
        <f>資料儲存!I7029</f>
        <v>0</v>
      </c>
      <c r="AI241" s="39">
        <f>資料儲存!J7029</f>
        <v>0</v>
      </c>
      <c r="AJ241" s="58"/>
      <c r="AK241" s="62">
        <v>8</v>
      </c>
      <c r="AL241" s="39">
        <f>資料儲存!D7269</f>
        <v>0</v>
      </c>
      <c r="AM241" s="39">
        <f>資料儲存!E7269</f>
        <v>0</v>
      </c>
      <c r="AN241" s="39">
        <f>資料儲存!F7269</f>
        <v>0</v>
      </c>
      <c r="AO241" s="39">
        <f>資料儲存!G7269</f>
        <v>0</v>
      </c>
      <c r="AP241" s="39">
        <f>資料儲存!H7269</f>
        <v>0</v>
      </c>
      <c r="AQ241" s="39">
        <f>資料儲存!I7269</f>
        <v>0</v>
      </c>
      <c r="AR241" s="39">
        <f>資料儲存!J7269</f>
        <v>0</v>
      </c>
      <c r="AS241" s="59"/>
      <c r="AT241" s="62">
        <v>8</v>
      </c>
      <c r="AU241" s="39">
        <f>資料儲存!D7509</f>
        <v>0</v>
      </c>
      <c r="AV241" s="39">
        <f>資料儲存!E7509</f>
        <v>0</v>
      </c>
      <c r="AW241" s="39">
        <f>資料儲存!F7509</f>
        <v>0</v>
      </c>
      <c r="AX241" s="39">
        <f>資料儲存!G7509</f>
        <v>0</v>
      </c>
      <c r="AY241" s="39">
        <f>資料儲存!H7509</f>
        <v>0</v>
      </c>
      <c r="AZ241" s="39">
        <f>資料儲存!I7509</f>
        <v>0</v>
      </c>
      <c r="BA241" s="39">
        <f>資料儲存!J7509</f>
        <v>0</v>
      </c>
    </row>
    <row r="242" spans="1:53" ht="16" thickBot="1">
      <c r="A242" s="62">
        <v>9</v>
      </c>
      <c r="B242" s="39">
        <f>資料儲存!D6310</f>
        <v>0</v>
      </c>
      <c r="C242" s="39">
        <f>資料儲存!E6310</f>
        <v>0</v>
      </c>
      <c r="D242" s="39">
        <f>資料儲存!F6310</f>
        <v>0</v>
      </c>
      <c r="E242" s="39">
        <f>資料儲存!G6310</f>
        <v>0</v>
      </c>
      <c r="F242" s="39">
        <f>資料儲存!H6310</f>
        <v>0</v>
      </c>
      <c r="G242" s="39">
        <f>資料儲存!I6310</f>
        <v>0</v>
      </c>
      <c r="H242" s="39">
        <f>資料儲存!J6310</f>
        <v>0</v>
      </c>
      <c r="I242" s="58"/>
      <c r="J242" s="62">
        <v>9</v>
      </c>
      <c r="K242" s="39">
        <f>資料儲存!D6550</f>
        <v>0</v>
      </c>
      <c r="L242" s="39">
        <f>資料儲存!E6550</f>
        <v>0</v>
      </c>
      <c r="M242" s="39">
        <f>資料儲存!F6550</f>
        <v>0</v>
      </c>
      <c r="N242" s="39">
        <f>資料儲存!G6550</f>
        <v>0</v>
      </c>
      <c r="O242" s="39">
        <f>資料儲存!H6550</f>
        <v>0</v>
      </c>
      <c r="P242" s="39">
        <f>資料儲存!I6550</f>
        <v>0</v>
      </c>
      <c r="Q242" s="39">
        <f>資料儲存!J6550</f>
        <v>0</v>
      </c>
      <c r="R242" s="58"/>
      <c r="S242" s="62">
        <v>9</v>
      </c>
      <c r="T242" s="39">
        <f>資料儲存!D6790</f>
        <v>0</v>
      </c>
      <c r="U242" s="39">
        <f>資料儲存!E6790</f>
        <v>0</v>
      </c>
      <c r="V242" s="39">
        <f>資料儲存!F6790</f>
        <v>0</v>
      </c>
      <c r="W242" s="39">
        <f>資料儲存!G6790</f>
        <v>0</v>
      </c>
      <c r="X242" s="39">
        <f>資料儲存!H6790</f>
        <v>0</v>
      </c>
      <c r="Y242" s="39">
        <f>資料儲存!I6790</f>
        <v>0</v>
      </c>
      <c r="Z242" s="39">
        <f>資料儲存!J6790</f>
        <v>0</v>
      </c>
      <c r="AA242" s="58"/>
      <c r="AB242" s="62">
        <v>9</v>
      </c>
      <c r="AC242" s="39">
        <f>資料儲存!D7030</f>
        <v>0</v>
      </c>
      <c r="AD242" s="39">
        <f>資料儲存!E7030</f>
        <v>0</v>
      </c>
      <c r="AE242" s="39">
        <f>資料儲存!F7030</f>
        <v>0</v>
      </c>
      <c r="AF242" s="39">
        <f>資料儲存!G7030</f>
        <v>0</v>
      </c>
      <c r="AG242" s="39">
        <f>資料儲存!H7030</f>
        <v>0</v>
      </c>
      <c r="AH242" s="39">
        <f>資料儲存!I7030</f>
        <v>0</v>
      </c>
      <c r="AI242" s="39">
        <f>資料儲存!J7030</f>
        <v>0</v>
      </c>
      <c r="AJ242" s="58"/>
      <c r="AK242" s="62">
        <v>9</v>
      </c>
      <c r="AL242" s="39">
        <f>資料儲存!D7270</f>
        <v>0</v>
      </c>
      <c r="AM242" s="39">
        <f>資料儲存!E7270</f>
        <v>0</v>
      </c>
      <c r="AN242" s="39">
        <f>資料儲存!F7270</f>
        <v>0</v>
      </c>
      <c r="AO242" s="39">
        <f>資料儲存!G7270</f>
        <v>0</v>
      </c>
      <c r="AP242" s="39">
        <f>資料儲存!H7270</f>
        <v>0</v>
      </c>
      <c r="AQ242" s="39">
        <f>資料儲存!I7270</f>
        <v>0</v>
      </c>
      <c r="AR242" s="39">
        <f>資料儲存!J7270</f>
        <v>0</v>
      </c>
      <c r="AS242" s="59"/>
      <c r="AT242" s="62">
        <v>9</v>
      </c>
      <c r="AU242" s="39">
        <f>資料儲存!D7510</f>
        <v>0</v>
      </c>
      <c r="AV242" s="39">
        <f>資料儲存!E7510</f>
        <v>0</v>
      </c>
      <c r="AW242" s="39">
        <f>資料儲存!F7510</f>
        <v>0</v>
      </c>
      <c r="AX242" s="39">
        <f>資料儲存!G7510</f>
        <v>0</v>
      </c>
      <c r="AY242" s="39">
        <f>資料儲存!H7510</f>
        <v>0</v>
      </c>
      <c r="AZ242" s="39">
        <f>資料儲存!I7510</f>
        <v>0</v>
      </c>
      <c r="BA242" s="39">
        <f>資料儲存!J7510</f>
        <v>0</v>
      </c>
    </row>
    <row r="243" spans="1:53" ht="16" thickBot="1">
      <c r="A243" s="62">
        <v>10</v>
      </c>
      <c r="B243" s="39">
        <f>資料儲存!D6311</f>
        <v>0</v>
      </c>
      <c r="C243" s="39">
        <f>資料儲存!E6311</f>
        <v>0</v>
      </c>
      <c r="D243" s="39">
        <f>資料儲存!F6311</f>
        <v>0</v>
      </c>
      <c r="E243" s="39">
        <f>資料儲存!G6311</f>
        <v>0</v>
      </c>
      <c r="F243" s="39">
        <f>資料儲存!H6311</f>
        <v>0</v>
      </c>
      <c r="G243" s="39">
        <f>資料儲存!I6311</f>
        <v>0</v>
      </c>
      <c r="H243" s="39">
        <f>資料儲存!J6311</f>
        <v>0</v>
      </c>
      <c r="I243" s="58"/>
      <c r="J243" s="62">
        <v>10</v>
      </c>
      <c r="K243" s="39">
        <f>資料儲存!D6551</f>
        <v>0</v>
      </c>
      <c r="L243" s="39">
        <f>資料儲存!E6551</f>
        <v>0</v>
      </c>
      <c r="M243" s="39">
        <f>資料儲存!F6551</f>
        <v>0</v>
      </c>
      <c r="N243" s="39">
        <f>資料儲存!G6551</f>
        <v>0</v>
      </c>
      <c r="O243" s="39">
        <f>資料儲存!H6551</f>
        <v>0</v>
      </c>
      <c r="P243" s="39">
        <f>資料儲存!I6551</f>
        <v>0</v>
      </c>
      <c r="Q243" s="39">
        <f>資料儲存!J6551</f>
        <v>0</v>
      </c>
      <c r="R243" s="58"/>
      <c r="S243" s="62">
        <v>10</v>
      </c>
      <c r="T243" s="39">
        <f>資料儲存!D6791</f>
        <v>0</v>
      </c>
      <c r="U243" s="39">
        <f>資料儲存!E6791</f>
        <v>0</v>
      </c>
      <c r="V243" s="39">
        <f>資料儲存!F6791</f>
        <v>0</v>
      </c>
      <c r="W243" s="39">
        <f>資料儲存!G6791</f>
        <v>0</v>
      </c>
      <c r="X243" s="39">
        <f>資料儲存!H6791</f>
        <v>0</v>
      </c>
      <c r="Y243" s="39">
        <f>資料儲存!I6791</f>
        <v>0</v>
      </c>
      <c r="Z243" s="39">
        <f>資料儲存!J6791</f>
        <v>0</v>
      </c>
      <c r="AA243" s="58"/>
      <c r="AB243" s="62">
        <v>10</v>
      </c>
      <c r="AC243" s="39">
        <f>資料儲存!D7031</f>
        <v>0</v>
      </c>
      <c r="AD243" s="39">
        <f>資料儲存!E7031</f>
        <v>0</v>
      </c>
      <c r="AE243" s="39">
        <f>資料儲存!F7031</f>
        <v>0</v>
      </c>
      <c r="AF243" s="39">
        <f>資料儲存!G7031</f>
        <v>0</v>
      </c>
      <c r="AG243" s="39">
        <f>資料儲存!H7031</f>
        <v>0</v>
      </c>
      <c r="AH243" s="39">
        <f>資料儲存!I7031</f>
        <v>0</v>
      </c>
      <c r="AI243" s="39">
        <f>資料儲存!J7031</f>
        <v>0</v>
      </c>
      <c r="AJ243" s="58"/>
      <c r="AK243" s="62">
        <v>10</v>
      </c>
      <c r="AL243" s="39">
        <f>資料儲存!D7271</f>
        <v>0</v>
      </c>
      <c r="AM243" s="39">
        <f>資料儲存!E7271</f>
        <v>0</v>
      </c>
      <c r="AN243" s="39">
        <f>資料儲存!F7271</f>
        <v>0</v>
      </c>
      <c r="AO243" s="39">
        <f>資料儲存!G7271</f>
        <v>0</v>
      </c>
      <c r="AP243" s="39">
        <f>資料儲存!H7271</f>
        <v>0</v>
      </c>
      <c r="AQ243" s="39">
        <f>資料儲存!I7271</f>
        <v>0</v>
      </c>
      <c r="AR243" s="39">
        <f>資料儲存!J7271</f>
        <v>0</v>
      </c>
      <c r="AS243" s="59"/>
      <c r="AT243" s="62">
        <v>10</v>
      </c>
      <c r="AU243" s="39">
        <f>資料儲存!D7511</f>
        <v>0</v>
      </c>
      <c r="AV243" s="39">
        <f>資料儲存!E7511</f>
        <v>0</v>
      </c>
      <c r="AW243" s="39">
        <f>資料儲存!F7511</f>
        <v>0</v>
      </c>
      <c r="AX243" s="39">
        <f>資料儲存!G7511</f>
        <v>0</v>
      </c>
      <c r="AY243" s="39">
        <f>資料儲存!H7511</f>
        <v>0</v>
      </c>
      <c r="AZ243" s="39">
        <f>資料儲存!I7511</f>
        <v>0</v>
      </c>
      <c r="BA243" s="39">
        <f>資料儲存!J7511</f>
        <v>0</v>
      </c>
    </row>
    <row r="244" spans="1:53" ht="16" thickBot="1">
      <c r="A244" s="62">
        <v>11</v>
      </c>
      <c r="B244" s="39">
        <f>資料儲存!D6312</f>
        <v>0</v>
      </c>
      <c r="C244" s="39">
        <f>資料儲存!E6312</f>
        <v>0</v>
      </c>
      <c r="D244" s="39">
        <f>資料儲存!F6312</f>
        <v>0</v>
      </c>
      <c r="E244" s="39">
        <f>資料儲存!G6312</f>
        <v>0</v>
      </c>
      <c r="F244" s="39">
        <f>資料儲存!H6312</f>
        <v>0</v>
      </c>
      <c r="G244" s="39">
        <f>資料儲存!I6312</f>
        <v>0</v>
      </c>
      <c r="H244" s="39">
        <f>資料儲存!J6312</f>
        <v>0</v>
      </c>
      <c r="I244" s="58"/>
      <c r="J244" s="62">
        <v>11</v>
      </c>
      <c r="K244" s="39">
        <f>資料儲存!D6552</f>
        <v>0</v>
      </c>
      <c r="L244" s="39">
        <f>資料儲存!E6552</f>
        <v>0</v>
      </c>
      <c r="M244" s="39">
        <f>資料儲存!F6552</f>
        <v>0</v>
      </c>
      <c r="N244" s="39">
        <f>資料儲存!G6552</f>
        <v>0</v>
      </c>
      <c r="O244" s="39">
        <f>資料儲存!H6552</f>
        <v>0</v>
      </c>
      <c r="P244" s="39">
        <f>資料儲存!I6552</f>
        <v>0</v>
      </c>
      <c r="Q244" s="39">
        <f>資料儲存!J6552</f>
        <v>0</v>
      </c>
      <c r="R244" s="58"/>
      <c r="S244" s="62">
        <v>11</v>
      </c>
      <c r="T244" s="39">
        <f>資料儲存!D6792</f>
        <v>0</v>
      </c>
      <c r="U244" s="39">
        <f>資料儲存!E6792</f>
        <v>0</v>
      </c>
      <c r="V244" s="39">
        <f>資料儲存!F6792</f>
        <v>0</v>
      </c>
      <c r="W244" s="39">
        <f>資料儲存!G6792</f>
        <v>0</v>
      </c>
      <c r="X244" s="39">
        <f>資料儲存!H6792</f>
        <v>0</v>
      </c>
      <c r="Y244" s="39">
        <f>資料儲存!I6792</f>
        <v>0</v>
      </c>
      <c r="Z244" s="39">
        <f>資料儲存!J6792</f>
        <v>0</v>
      </c>
      <c r="AA244" s="58"/>
      <c r="AB244" s="62">
        <v>11</v>
      </c>
      <c r="AC244" s="39">
        <f>資料儲存!D7032</f>
        <v>0</v>
      </c>
      <c r="AD244" s="39">
        <f>資料儲存!E7032</f>
        <v>0</v>
      </c>
      <c r="AE244" s="39">
        <f>資料儲存!F7032</f>
        <v>0</v>
      </c>
      <c r="AF244" s="39">
        <f>資料儲存!G7032</f>
        <v>0</v>
      </c>
      <c r="AG244" s="39">
        <f>資料儲存!H7032</f>
        <v>0</v>
      </c>
      <c r="AH244" s="39">
        <f>資料儲存!I7032</f>
        <v>0</v>
      </c>
      <c r="AI244" s="39">
        <f>資料儲存!J7032</f>
        <v>0</v>
      </c>
      <c r="AJ244" s="58"/>
      <c r="AK244" s="62">
        <v>11</v>
      </c>
      <c r="AL244" s="39">
        <f>資料儲存!D7272</f>
        <v>0</v>
      </c>
      <c r="AM244" s="39">
        <f>資料儲存!E7272</f>
        <v>0</v>
      </c>
      <c r="AN244" s="39">
        <f>資料儲存!F7272</f>
        <v>0</v>
      </c>
      <c r="AO244" s="39">
        <f>資料儲存!G7272</f>
        <v>0</v>
      </c>
      <c r="AP244" s="39">
        <f>資料儲存!H7272</f>
        <v>0</v>
      </c>
      <c r="AQ244" s="39">
        <f>資料儲存!I7272</f>
        <v>0</v>
      </c>
      <c r="AR244" s="39">
        <f>資料儲存!J7272</f>
        <v>0</v>
      </c>
      <c r="AS244" s="59"/>
      <c r="AT244" s="62">
        <v>11</v>
      </c>
      <c r="AU244" s="39">
        <f>資料儲存!D7512</f>
        <v>0</v>
      </c>
      <c r="AV244" s="39">
        <f>資料儲存!E7512</f>
        <v>0</v>
      </c>
      <c r="AW244" s="39">
        <f>資料儲存!F7512</f>
        <v>0</v>
      </c>
      <c r="AX244" s="39">
        <f>資料儲存!G7512</f>
        <v>0</v>
      </c>
      <c r="AY244" s="39">
        <f>資料儲存!H7512</f>
        <v>0</v>
      </c>
      <c r="AZ244" s="39">
        <f>資料儲存!I7512</f>
        <v>0</v>
      </c>
      <c r="BA244" s="39">
        <f>資料儲存!J7512</f>
        <v>0</v>
      </c>
    </row>
    <row r="245" spans="1:53" ht="16" thickBot="1">
      <c r="A245" s="62">
        <v>12</v>
      </c>
      <c r="B245" s="39">
        <f>資料儲存!D6313</f>
        <v>0</v>
      </c>
      <c r="C245" s="39">
        <f>資料儲存!E6313</f>
        <v>0</v>
      </c>
      <c r="D245" s="39">
        <f>資料儲存!F6313</f>
        <v>0</v>
      </c>
      <c r="E245" s="39">
        <f>資料儲存!G6313</f>
        <v>0</v>
      </c>
      <c r="F245" s="39">
        <f>資料儲存!H6313</f>
        <v>0</v>
      </c>
      <c r="G245" s="39">
        <f>資料儲存!I6313</f>
        <v>0</v>
      </c>
      <c r="H245" s="39">
        <f>資料儲存!J6313</f>
        <v>0</v>
      </c>
      <c r="I245" s="58"/>
      <c r="J245" s="62">
        <v>12</v>
      </c>
      <c r="K245" s="39">
        <f>資料儲存!D6553</f>
        <v>0</v>
      </c>
      <c r="L245" s="39">
        <f>資料儲存!E6553</f>
        <v>0</v>
      </c>
      <c r="M245" s="39">
        <f>資料儲存!F6553</f>
        <v>0</v>
      </c>
      <c r="N245" s="39">
        <f>資料儲存!G6553</f>
        <v>0</v>
      </c>
      <c r="O245" s="39">
        <f>資料儲存!H6553</f>
        <v>0</v>
      </c>
      <c r="P245" s="39">
        <f>資料儲存!I6553</f>
        <v>0</v>
      </c>
      <c r="Q245" s="39">
        <f>資料儲存!J6553</f>
        <v>0</v>
      </c>
      <c r="R245" s="58"/>
      <c r="S245" s="62">
        <v>12</v>
      </c>
      <c r="T245" s="39">
        <f>資料儲存!D6793</f>
        <v>0</v>
      </c>
      <c r="U245" s="39">
        <f>資料儲存!E6793</f>
        <v>0</v>
      </c>
      <c r="V245" s="39">
        <f>資料儲存!F6793</f>
        <v>0</v>
      </c>
      <c r="W245" s="39">
        <f>資料儲存!G6793</f>
        <v>0</v>
      </c>
      <c r="X245" s="39">
        <f>資料儲存!H6793</f>
        <v>0</v>
      </c>
      <c r="Y245" s="39">
        <f>資料儲存!I6793</f>
        <v>0</v>
      </c>
      <c r="Z245" s="39">
        <f>資料儲存!J6793</f>
        <v>0</v>
      </c>
      <c r="AA245" s="58"/>
      <c r="AB245" s="62">
        <v>12</v>
      </c>
      <c r="AC245" s="39">
        <f>資料儲存!D7033</f>
        <v>0</v>
      </c>
      <c r="AD245" s="39">
        <f>資料儲存!E7033</f>
        <v>0</v>
      </c>
      <c r="AE245" s="39">
        <f>資料儲存!F7033</f>
        <v>0</v>
      </c>
      <c r="AF245" s="39">
        <f>資料儲存!G7033</f>
        <v>0</v>
      </c>
      <c r="AG245" s="39">
        <f>資料儲存!H7033</f>
        <v>0</v>
      </c>
      <c r="AH245" s="39">
        <f>資料儲存!I7033</f>
        <v>0</v>
      </c>
      <c r="AI245" s="39">
        <f>資料儲存!J7033</f>
        <v>0</v>
      </c>
      <c r="AJ245" s="58"/>
      <c r="AK245" s="62">
        <v>12</v>
      </c>
      <c r="AL245" s="39">
        <f>資料儲存!D7273</f>
        <v>0</v>
      </c>
      <c r="AM245" s="39">
        <f>資料儲存!E7273</f>
        <v>0</v>
      </c>
      <c r="AN245" s="39">
        <f>資料儲存!F7273</f>
        <v>0</v>
      </c>
      <c r="AO245" s="39">
        <f>資料儲存!G7273</f>
        <v>0</v>
      </c>
      <c r="AP245" s="39">
        <f>資料儲存!H7273</f>
        <v>0</v>
      </c>
      <c r="AQ245" s="39">
        <f>資料儲存!I7273</f>
        <v>0</v>
      </c>
      <c r="AR245" s="39">
        <f>資料儲存!J7273</f>
        <v>0</v>
      </c>
      <c r="AS245" s="59"/>
      <c r="AT245" s="62">
        <v>12</v>
      </c>
      <c r="AU245" s="39">
        <f>資料儲存!D7513</f>
        <v>0</v>
      </c>
      <c r="AV245" s="39">
        <f>資料儲存!E7513</f>
        <v>0</v>
      </c>
      <c r="AW245" s="39">
        <f>資料儲存!F7513</f>
        <v>0</v>
      </c>
      <c r="AX245" s="39">
        <f>資料儲存!G7513</f>
        <v>0</v>
      </c>
      <c r="AY245" s="39">
        <f>資料儲存!H7513</f>
        <v>0</v>
      </c>
      <c r="AZ245" s="39">
        <f>資料儲存!I7513</f>
        <v>0</v>
      </c>
      <c r="BA245" s="39">
        <f>資料儲存!J7513</f>
        <v>0</v>
      </c>
    </row>
    <row r="246" spans="1:53" ht="16" thickBot="1">
      <c r="A246" s="62">
        <v>13</v>
      </c>
      <c r="B246" s="39">
        <f>資料儲存!D6314</f>
        <v>0</v>
      </c>
      <c r="C246" s="39">
        <f>資料儲存!E6314</f>
        <v>0</v>
      </c>
      <c r="D246" s="39">
        <f>資料儲存!F6314</f>
        <v>0</v>
      </c>
      <c r="E246" s="39">
        <f>資料儲存!G6314</f>
        <v>0</v>
      </c>
      <c r="F246" s="39">
        <f>資料儲存!H6314</f>
        <v>0</v>
      </c>
      <c r="G246" s="39">
        <f>資料儲存!I6314</f>
        <v>0</v>
      </c>
      <c r="H246" s="39">
        <f>資料儲存!J6314</f>
        <v>0</v>
      </c>
      <c r="I246" s="58"/>
      <c r="J246" s="62">
        <v>13</v>
      </c>
      <c r="K246" s="39">
        <f>資料儲存!D6554</f>
        <v>0</v>
      </c>
      <c r="L246" s="39">
        <f>資料儲存!E6554</f>
        <v>0</v>
      </c>
      <c r="M246" s="39">
        <f>資料儲存!F6554</f>
        <v>0</v>
      </c>
      <c r="N246" s="39">
        <f>資料儲存!G6554</f>
        <v>0</v>
      </c>
      <c r="O246" s="39">
        <f>資料儲存!H6554</f>
        <v>0</v>
      </c>
      <c r="P246" s="39">
        <f>資料儲存!I6554</f>
        <v>0</v>
      </c>
      <c r="Q246" s="39">
        <f>資料儲存!J6554</f>
        <v>0</v>
      </c>
      <c r="R246" s="58"/>
      <c r="S246" s="62">
        <v>13</v>
      </c>
      <c r="T246" s="39">
        <f>資料儲存!D6794</f>
        <v>0</v>
      </c>
      <c r="U246" s="39">
        <f>資料儲存!E6794</f>
        <v>0</v>
      </c>
      <c r="V246" s="39">
        <f>資料儲存!F6794</f>
        <v>0</v>
      </c>
      <c r="W246" s="39">
        <f>資料儲存!G6794</f>
        <v>0</v>
      </c>
      <c r="X246" s="39">
        <f>資料儲存!H6794</f>
        <v>0</v>
      </c>
      <c r="Y246" s="39">
        <f>資料儲存!I6794</f>
        <v>0</v>
      </c>
      <c r="Z246" s="39">
        <f>資料儲存!J6794</f>
        <v>0</v>
      </c>
      <c r="AA246" s="58"/>
      <c r="AB246" s="62">
        <v>13</v>
      </c>
      <c r="AC246" s="39">
        <f>資料儲存!D7034</f>
        <v>0</v>
      </c>
      <c r="AD246" s="39">
        <f>資料儲存!E7034</f>
        <v>0</v>
      </c>
      <c r="AE246" s="39">
        <f>資料儲存!F7034</f>
        <v>0</v>
      </c>
      <c r="AF246" s="39">
        <f>資料儲存!G7034</f>
        <v>0</v>
      </c>
      <c r="AG246" s="39">
        <f>資料儲存!H7034</f>
        <v>0</v>
      </c>
      <c r="AH246" s="39">
        <f>資料儲存!I7034</f>
        <v>0</v>
      </c>
      <c r="AI246" s="39">
        <f>資料儲存!J7034</f>
        <v>0</v>
      </c>
      <c r="AJ246" s="58"/>
      <c r="AK246" s="62">
        <v>13</v>
      </c>
      <c r="AL246" s="39">
        <f>資料儲存!D7274</f>
        <v>0</v>
      </c>
      <c r="AM246" s="39">
        <f>資料儲存!E7274</f>
        <v>0</v>
      </c>
      <c r="AN246" s="39">
        <f>資料儲存!F7274</f>
        <v>0</v>
      </c>
      <c r="AO246" s="39">
        <f>資料儲存!G7274</f>
        <v>0</v>
      </c>
      <c r="AP246" s="39">
        <f>資料儲存!H7274</f>
        <v>0</v>
      </c>
      <c r="AQ246" s="39">
        <f>資料儲存!I7274</f>
        <v>0</v>
      </c>
      <c r="AR246" s="39">
        <f>資料儲存!J7274</f>
        <v>0</v>
      </c>
      <c r="AS246" s="59"/>
      <c r="AT246" s="62">
        <v>13</v>
      </c>
      <c r="AU246" s="39">
        <f>資料儲存!D7514</f>
        <v>0</v>
      </c>
      <c r="AV246" s="39">
        <f>資料儲存!E7514</f>
        <v>0</v>
      </c>
      <c r="AW246" s="39">
        <f>資料儲存!F7514</f>
        <v>0</v>
      </c>
      <c r="AX246" s="39">
        <f>資料儲存!G7514</f>
        <v>0</v>
      </c>
      <c r="AY246" s="39">
        <f>資料儲存!H7514</f>
        <v>0</v>
      </c>
      <c r="AZ246" s="39">
        <f>資料儲存!I7514</f>
        <v>0</v>
      </c>
      <c r="BA246" s="39">
        <f>資料儲存!J7514</f>
        <v>0</v>
      </c>
    </row>
    <row r="247" spans="1:53" ht="16" thickBot="1">
      <c r="A247" s="62">
        <v>14</v>
      </c>
      <c r="B247" s="39">
        <f>資料儲存!D6315</f>
        <v>0</v>
      </c>
      <c r="C247" s="39">
        <f>資料儲存!E6315</f>
        <v>0</v>
      </c>
      <c r="D247" s="39">
        <f>資料儲存!F6315</f>
        <v>0</v>
      </c>
      <c r="E247" s="39">
        <f>資料儲存!G6315</f>
        <v>0</v>
      </c>
      <c r="F247" s="39">
        <f>資料儲存!H6315</f>
        <v>0</v>
      </c>
      <c r="G247" s="39">
        <f>資料儲存!I6315</f>
        <v>0</v>
      </c>
      <c r="H247" s="39">
        <f>資料儲存!J6315</f>
        <v>0</v>
      </c>
      <c r="I247" s="58"/>
      <c r="J247" s="62">
        <v>14</v>
      </c>
      <c r="K247" s="39">
        <f>資料儲存!D6555</f>
        <v>0</v>
      </c>
      <c r="L247" s="39">
        <f>資料儲存!E6555</f>
        <v>0</v>
      </c>
      <c r="M247" s="39">
        <f>資料儲存!F6555</f>
        <v>0</v>
      </c>
      <c r="N247" s="39">
        <f>資料儲存!G6555</f>
        <v>0</v>
      </c>
      <c r="O247" s="39">
        <f>資料儲存!H6555</f>
        <v>0</v>
      </c>
      <c r="P247" s="39">
        <f>資料儲存!I6555</f>
        <v>0</v>
      </c>
      <c r="Q247" s="39">
        <f>資料儲存!J6555</f>
        <v>0</v>
      </c>
      <c r="R247" s="58"/>
      <c r="S247" s="62">
        <v>14</v>
      </c>
      <c r="T247" s="39">
        <f>資料儲存!D6795</f>
        <v>0</v>
      </c>
      <c r="U247" s="39">
        <f>資料儲存!E6795</f>
        <v>0</v>
      </c>
      <c r="V247" s="39">
        <f>資料儲存!F6795</f>
        <v>0</v>
      </c>
      <c r="W247" s="39">
        <f>資料儲存!G6795</f>
        <v>0</v>
      </c>
      <c r="X247" s="39">
        <f>資料儲存!H6795</f>
        <v>0</v>
      </c>
      <c r="Y247" s="39">
        <f>資料儲存!I6795</f>
        <v>0</v>
      </c>
      <c r="Z247" s="39">
        <f>資料儲存!J6795</f>
        <v>0</v>
      </c>
      <c r="AA247" s="58"/>
      <c r="AB247" s="62">
        <v>14</v>
      </c>
      <c r="AC247" s="39">
        <f>資料儲存!D7035</f>
        <v>0</v>
      </c>
      <c r="AD247" s="39">
        <f>資料儲存!E7035</f>
        <v>0</v>
      </c>
      <c r="AE247" s="39">
        <f>資料儲存!F7035</f>
        <v>0</v>
      </c>
      <c r="AF247" s="39">
        <f>資料儲存!G7035</f>
        <v>0</v>
      </c>
      <c r="AG247" s="39">
        <f>資料儲存!H7035</f>
        <v>0</v>
      </c>
      <c r="AH247" s="39">
        <f>資料儲存!I7035</f>
        <v>0</v>
      </c>
      <c r="AI247" s="39">
        <f>資料儲存!J7035</f>
        <v>0</v>
      </c>
      <c r="AJ247" s="58"/>
      <c r="AK247" s="62">
        <v>14</v>
      </c>
      <c r="AL247" s="39">
        <f>資料儲存!D7275</f>
        <v>0</v>
      </c>
      <c r="AM247" s="39">
        <f>資料儲存!E7275</f>
        <v>0</v>
      </c>
      <c r="AN247" s="39">
        <f>資料儲存!F7275</f>
        <v>0</v>
      </c>
      <c r="AO247" s="39">
        <f>資料儲存!G7275</f>
        <v>0</v>
      </c>
      <c r="AP247" s="39">
        <f>資料儲存!H7275</f>
        <v>0</v>
      </c>
      <c r="AQ247" s="39">
        <f>資料儲存!I7275</f>
        <v>0</v>
      </c>
      <c r="AR247" s="39">
        <f>資料儲存!J7275</f>
        <v>0</v>
      </c>
      <c r="AS247" s="59"/>
      <c r="AT247" s="62">
        <v>14</v>
      </c>
      <c r="AU247" s="39">
        <f>資料儲存!D7515</f>
        <v>0</v>
      </c>
      <c r="AV247" s="39">
        <f>資料儲存!E7515</f>
        <v>0</v>
      </c>
      <c r="AW247" s="39">
        <f>資料儲存!F7515</f>
        <v>0</v>
      </c>
      <c r="AX247" s="39">
        <f>資料儲存!G7515</f>
        <v>0</v>
      </c>
      <c r="AY247" s="39">
        <f>資料儲存!H7515</f>
        <v>0</v>
      </c>
      <c r="AZ247" s="39">
        <f>資料儲存!I7515</f>
        <v>0</v>
      </c>
      <c r="BA247" s="39">
        <f>資料儲存!J7515</f>
        <v>0</v>
      </c>
    </row>
    <row r="248" spans="1:53" ht="16" thickBot="1">
      <c r="A248" s="62">
        <v>15</v>
      </c>
      <c r="B248" s="39">
        <f>資料儲存!D6316</f>
        <v>0</v>
      </c>
      <c r="C248" s="39">
        <f>資料儲存!E6316</f>
        <v>0</v>
      </c>
      <c r="D248" s="39">
        <f>資料儲存!F6316</f>
        <v>0</v>
      </c>
      <c r="E248" s="39">
        <f>資料儲存!G6316</f>
        <v>0</v>
      </c>
      <c r="F248" s="39">
        <f>資料儲存!H6316</f>
        <v>0</v>
      </c>
      <c r="G248" s="39">
        <f>資料儲存!I6316</f>
        <v>0</v>
      </c>
      <c r="H248" s="39">
        <f>資料儲存!J6316</f>
        <v>0</v>
      </c>
      <c r="I248" s="58"/>
      <c r="J248" s="62">
        <v>15</v>
      </c>
      <c r="K248" s="39">
        <f>資料儲存!D6556</f>
        <v>0</v>
      </c>
      <c r="L248" s="39">
        <f>資料儲存!E6556</f>
        <v>0</v>
      </c>
      <c r="M248" s="39">
        <f>資料儲存!F6556</f>
        <v>0</v>
      </c>
      <c r="N248" s="39">
        <f>資料儲存!G6556</f>
        <v>0</v>
      </c>
      <c r="O248" s="39">
        <f>資料儲存!H6556</f>
        <v>0</v>
      </c>
      <c r="P248" s="39">
        <f>資料儲存!I6556</f>
        <v>0</v>
      </c>
      <c r="Q248" s="39">
        <f>資料儲存!J6556</f>
        <v>0</v>
      </c>
      <c r="R248" s="58"/>
      <c r="S248" s="62">
        <v>15</v>
      </c>
      <c r="T248" s="39">
        <f>資料儲存!D6796</f>
        <v>0</v>
      </c>
      <c r="U248" s="39">
        <f>資料儲存!E6796</f>
        <v>0</v>
      </c>
      <c r="V248" s="39">
        <f>資料儲存!F6796</f>
        <v>0</v>
      </c>
      <c r="W248" s="39">
        <f>資料儲存!G6796</f>
        <v>0</v>
      </c>
      <c r="X248" s="39">
        <f>資料儲存!H6796</f>
        <v>0</v>
      </c>
      <c r="Y248" s="39">
        <f>資料儲存!I6796</f>
        <v>0</v>
      </c>
      <c r="Z248" s="39">
        <f>資料儲存!J6796</f>
        <v>0</v>
      </c>
      <c r="AA248" s="58"/>
      <c r="AB248" s="62">
        <v>15</v>
      </c>
      <c r="AC248" s="39">
        <f>資料儲存!D7036</f>
        <v>0</v>
      </c>
      <c r="AD248" s="39">
        <f>資料儲存!E7036</f>
        <v>0</v>
      </c>
      <c r="AE248" s="39">
        <f>資料儲存!F7036</f>
        <v>0</v>
      </c>
      <c r="AF248" s="39">
        <f>資料儲存!G7036</f>
        <v>0</v>
      </c>
      <c r="AG248" s="39">
        <f>資料儲存!H7036</f>
        <v>0</v>
      </c>
      <c r="AH248" s="39">
        <f>資料儲存!I7036</f>
        <v>0</v>
      </c>
      <c r="AI248" s="39">
        <f>資料儲存!J7036</f>
        <v>0</v>
      </c>
      <c r="AJ248" s="58"/>
      <c r="AK248" s="62">
        <v>15</v>
      </c>
      <c r="AL248" s="39">
        <f>資料儲存!D7276</f>
        <v>0</v>
      </c>
      <c r="AM248" s="39">
        <f>資料儲存!E7276</f>
        <v>0</v>
      </c>
      <c r="AN248" s="39">
        <f>資料儲存!F7276</f>
        <v>0</v>
      </c>
      <c r="AO248" s="39">
        <f>資料儲存!G7276</f>
        <v>0</v>
      </c>
      <c r="AP248" s="39">
        <f>資料儲存!H7276</f>
        <v>0</v>
      </c>
      <c r="AQ248" s="39">
        <f>資料儲存!I7276</f>
        <v>0</v>
      </c>
      <c r="AR248" s="39">
        <f>資料儲存!J7276</f>
        <v>0</v>
      </c>
      <c r="AS248" s="59"/>
      <c r="AT248" s="62">
        <v>15</v>
      </c>
      <c r="AU248" s="39">
        <f>資料儲存!D7516</f>
        <v>0</v>
      </c>
      <c r="AV248" s="39">
        <f>資料儲存!E7516</f>
        <v>0</v>
      </c>
      <c r="AW248" s="39">
        <f>資料儲存!F7516</f>
        <v>0</v>
      </c>
      <c r="AX248" s="39">
        <f>資料儲存!G7516</f>
        <v>0</v>
      </c>
      <c r="AY248" s="39">
        <f>資料儲存!H7516</f>
        <v>0</v>
      </c>
      <c r="AZ248" s="39">
        <f>資料儲存!I7516</f>
        <v>0</v>
      </c>
      <c r="BA248" s="39">
        <f>資料儲存!J7516</f>
        <v>0</v>
      </c>
    </row>
    <row r="249" spans="1:53" ht="17.25" customHeight="1" thickBot="1">
      <c r="A249" s="40" t="s">
        <v>56</v>
      </c>
      <c r="B249" s="39">
        <f>SUM(B234:E248)</f>
        <v>0</v>
      </c>
      <c r="C249" s="37"/>
      <c r="D249" s="37"/>
      <c r="E249" s="37"/>
      <c r="F249" s="39">
        <f>F248</f>
        <v>0</v>
      </c>
      <c r="G249" s="39">
        <f>G248</f>
        <v>0</v>
      </c>
      <c r="H249" s="39">
        <f>H248</f>
        <v>0</v>
      </c>
      <c r="I249" s="35"/>
      <c r="J249" s="40" t="s">
        <v>56</v>
      </c>
      <c r="K249" s="39">
        <f>SUM(K234:N248)</f>
        <v>0</v>
      </c>
      <c r="L249" s="37"/>
      <c r="M249" s="37"/>
      <c r="N249" s="37"/>
      <c r="O249" s="39">
        <f>O248</f>
        <v>0</v>
      </c>
      <c r="P249" s="39">
        <f>P248</f>
        <v>0</v>
      </c>
      <c r="Q249" s="39">
        <f>Q248</f>
        <v>0</v>
      </c>
      <c r="R249" s="35"/>
      <c r="S249" s="40" t="s">
        <v>56</v>
      </c>
      <c r="T249" s="39">
        <f>SUM(T234:W248)</f>
        <v>0</v>
      </c>
      <c r="U249" s="37"/>
      <c r="V249" s="37"/>
      <c r="W249" s="37"/>
      <c r="X249" s="39">
        <f>X248</f>
        <v>0</v>
      </c>
      <c r="Y249" s="39">
        <f>Y248</f>
        <v>0</v>
      </c>
      <c r="Z249" s="39">
        <f>Z248</f>
        <v>0</v>
      </c>
      <c r="AA249" s="35"/>
      <c r="AB249" s="40" t="s">
        <v>56</v>
      </c>
      <c r="AC249" s="39">
        <f>SUM(AC234:AF248)</f>
        <v>0</v>
      </c>
      <c r="AD249" s="37"/>
      <c r="AE249" s="37"/>
      <c r="AF249" s="37"/>
      <c r="AG249" s="39">
        <f>AG248</f>
        <v>0</v>
      </c>
      <c r="AH249" s="39">
        <f>AH248</f>
        <v>0</v>
      </c>
      <c r="AI249" s="39">
        <f>AI248</f>
        <v>0</v>
      </c>
      <c r="AJ249" s="35"/>
      <c r="AK249" s="40" t="s">
        <v>56</v>
      </c>
      <c r="AL249" s="39">
        <f>SUM(AL234:AO248)</f>
        <v>0</v>
      </c>
      <c r="AM249" s="37"/>
      <c r="AN249" s="37"/>
      <c r="AO249" s="37"/>
      <c r="AP249" s="39">
        <f>AP248</f>
        <v>0</v>
      </c>
      <c r="AQ249" s="39">
        <f>AQ248</f>
        <v>0</v>
      </c>
      <c r="AR249" s="39">
        <f>AR248</f>
        <v>0</v>
      </c>
      <c r="AS249" s="59"/>
      <c r="AT249" s="40" t="s">
        <v>56</v>
      </c>
      <c r="AU249" s="39">
        <f>SUM(AU234:AX248)</f>
        <v>0</v>
      </c>
      <c r="AV249" s="37"/>
      <c r="AW249" s="37"/>
      <c r="AX249" s="37"/>
      <c r="AY249" s="39">
        <f>AY248</f>
        <v>0</v>
      </c>
      <c r="AZ249" s="39">
        <f>AZ248</f>
        <v>0</v>
      </c>
      <c r="BA249" s="39">
        <f>BA248</f>
        <v>0</v>
      </c>
    </row>
    <row r="250" spans="1:53" ht="18.5" thickBot="1">
      <c r="A250" s="257" t="s">
        <v>186</v>
      </c>
      <c r="B250" s="258"/>
      <c r="C250" s="258"/>
      <c r="D250" s="258"/>
      <c r="E250" s="258"/>
      <c r="F250" s="258"/>
      <c r="G250" s="258"/>
      <c r="H250" s="259"/>
      <c r="I250" s="14"/>
      <c r="J250" s="257" t="s">
        <v>186</v>
      </c>
      <c r="K250" s="258"/>
      <c r="L250" s="258"/>
      <c r="M250" s="258"/>
      <c r="N250" s="258"/>
      <c r="O250" s="258"/>
      <c r="P250" s="258"/>
      <c r="Q250" s="259"/>
      <c r="R250" s="14"/>
      <c r="S250" s="257" t="s">
        <v>186</v>
      </c>
      <c r="T250" s="258"/>
      <c r="U250" s="258"/>
      <c r="V250" s="258"/>
      <c r="W250" s="258"/>
      <c r="X250" s="258"/>
      <c r="Y250" s="258"/>
      <c r="Z250" s="259"/>
      <c r="AA250" s="14"/>
      <c r="AB250" s="257" t="s">
        <v>186</v>
      </c>
      <c r="AC250" s="258"/>
      <c r="AD250" s="258"/>
      <c r="AE250" s="258"/>
      <c r="AF250" s="258"/>
      <c r="AG250" s="258"/>
      <c r="AH250" s="258"/>
      <c r="AI250" s="259"/>
      <c r="AJ250" s="14"/>
      <c r="AK250" s="257" t="s">
        <v>186</v>
      </c>
      <c r="AL250" s="258"/>
      <c r="AM250" s="258"/>
      <c r="AN250" s="258"/>
      <c r="AO250" s="258"/>
      <c r="AP250" s="258"/>
      <c r="AQ250" s="258"/>
      <c r="AR250" s="259"/>
      <c r="AT250" s="257" t="s">
        <v>186</v>
      </c>
      <c r="AU250" s="258"/>
      <c r="AV250" s="258"/>
      <c r="AW250" s="258"/>
      <c r="AX250" s="258"/>
      <c r="AY250" s="258"/>
      <c r="AZ250" s="258"/>
      <c r="BA250" s="259"/>
    </row>
    <row r="251" spans="1:53" ht="17.25" customHeight="1" thickBot="1">
      <c r="A251" s="63" t="s">
        <v>2</v>
      </c>
      <c r="B251" s="64" t="s">
        <v>46</v>
      </c>
      <c r="C251" s="65"/>
      <c r="D251" s="65"/>
      <c r="E251" s="66"/>
      <c r="F251" s="64" t="s">
        <v>47</v>
      </c>
      <c r="G251" s="65"/>
      <c r="H251" s="66"/>
      <c r="I251" s="52"/>
      <c r="J251" s="63" t="s">
        <v>2</v>
      </c>
      <c r="K251" s="64" t="s">
        <v>46</v>
      </c>
      <c r="L251" s="65"/>
      <c r="M251" s="65"/>
      <c r="N251" s="66"/>
      <c r="O251" s="64" t="s">
        <v>47</v>
      </c>
      <c r="P251" s="65"/>
      <c r="Q251" s="66"/>
      <c r="R251" s="52"/>
      <c r="S251" s="63" t="s">
        <v>2</v>
      </c>
      <c r="T251" s="64" t="s">
        <v>46</v>
      </c>
      <c r="U251" s="65"/>
      <c r="V251" s="65"/>
      <c r="W251" s="66"/>
      <c r="X251" s="64" t="s">
        <v>47</v>
      </c>
      <c r="Y251" s="65"/>
      <c r="Z251" s="66"/>
      <c r="AA251" s="52"/>
      <c r="AB251" s="63" t="s">
        <v>2</v>
      </c>
      <c r="AC251" s="64" t="s">
        <v>46</v>
      </c>
      <c r="AD251" s="65"/>
      <c r="AE251" s="65"/>
      <c r="AF251" s="66"/>
      <c r="AG251" s="64" t="s">
        <v>47</v>
      </c>
      <c r="AH251" s="65"/>
      <c r="AI251" s="66"/>
      <c r="AJ251" s="52"/>
      <c r="AK251" s="63" t="s">
        <v>2</v>
      </c>
      <c r="AL251" s="64" t="s">
        <v>46</v>
      </c>
      <c r="AM251" s="65"/>
      <c r="AN251" s="65"/>
      <c r="AO251" s="66"/>
      <c r="AP251" s="64" t="s">
        <v>47</v>
      </c>
      <c r="AQ251" s="65"/>
      <c r="AR251" s="66"/>
      <c r="AS251" s="67"/>
      <c r="AT251" s="63" t="s">
        <v>2</v>
      </c>
      <c r="AU251" s="64" t="s">
        <v>46</v>
      </c>
      <c r="AV251" s="65"/>
      <c r="AW251" s="65"/>
      <c r="AX251" s="66"/>
      <c r="AY251" s="64" t="s">
        <v>47</v>
      </c>
      <c r="AZ251" s="65"/>
      <c r="BA251" s="66"/>
    </row>
    <row r="252" spans="1:53" ht="16" thickBot="1">
      <c r="A252" s="68">
        <v>0.80208333333333337</v>
      </c>
      <c r="B252" s="69" t="s">
        <v>49</v>
      </c>
      <c r="C252" s="69" t="s">
        <v>50</v>
      </c>
      <c r="D252" s="69" t="s">
        <v>51</v>
      </c>
      <c r="E252" s="69" t="s">
        <v>52</v>
      </c>
      <c r="F252" s="69" t="s">
        <v>53</v>
      </c>
      <c r="G252" s="69" t="s">
        <v>54</v>
      </c>
      <c r="H252" s="69" t="s">
        <v>55</v>
      </c>
      <c r="I252" s="52"/>
      <c r="J252" s="68">
        <v>0.80208333333333337</v>
      </c>
      <c r="K252" s="69" t="s">
        <v>49</v>
      </c>
      <c r="L252" s="69" t="s">
        <v>50</v>
      </c>
      <c r="M252" s="69" t="s">
        <v>51</v>
      </c>
      <c r="N252" s="69" t="s">
        <v>52</v>
      </c>
      <c r="O252" s="69" t="s">
        <v>53</v>
      </c>
      <c r="P252" s="69" t="s">
        <v>54</v>
      </c>
      <c r="Q252" s="69" t="s">
        <v>55</v>
      </c>
      <c r="R252" s="52"/>
      <c r="S252" s="68">
        <v>0.80208333333333337</v>
      </c>
      <c r="T252" s="69" t="s">
        <v>49</v>
      </c>
      <c r="U252" s="69" t="s">
        <v>50</v>
      </c>
      <c r="V252" s="69" t="s">
        <v>51</v>
      </c>
      <c r="W252" s="69" t="s">
        <v>52</v>
      </c>
      <c r="X252" s="69" t="s">
        <v>53</v>
      </c>
      <c r="Y252" s="69" t="s">
        <v>54</v>
      </c>
      <c r="Z252" s="69" t="s">
        <v>55</v>
      </c>
      <c r="AA252" s="52"/>
      <c r="AB252" s="68">
        <v>0.80208333333333337</v>
      </c>
      <c r="AC252" s="69" t="s">
        <v>49</v>
      </c>
      <c r="AD252" s="69" t="s">
        <v>50</v>
      </c>
      <c r="AE252" s="69" t="s">
        <v>51</v>
      </c>
      <c r="AF252" s="69" t="s">
        <v>52</v>
      </c>
      <c r="AG252" s="69" t="s">
        <v>53</v>
      </c>
      <c r="AH252" s="69" t="s">
        <v>54</v>
      </c>
      <c r="AI252" s="69" t="s">
        <v>55</v>
      </c>
      <c r="AJ252" s="52"/>
      <c r="AK252" s="68">
        <v>0.80208333333333337</v>
      </c>
      <c r="AL252" s="69" t="s">
        <v>49</v>
      </c>
      <c r="AM252" s="69" t="s">
        <v>50</v>
      </c>
      <c r="AN252" s="69" t="s">
        <v>51</v>
      </c>
      <c r="AO252" s="69" t="s">
        <v>52</v>
      </c>
      <c r="AP252" s="69" t="s">
        <v>53</v>
      </c>
      <c r="AQ252" s="69" t="s">
        <v>54</v>
      </c>
      <c r="AR252" s="69" t="s">
        <v>55</v>
      </c>
      <c r="AS252" s="67"/>
      <c r="AT252" s="68">
        <v>0.80208333333333337</v>
      </c>
      <c r="AU252" s="69" t="s">
        <v>49</v>
      </c>
      <c r="AV252" s="69" t="s">
        <v>50</v>
      </c>
      <c r="AW252" s="69" t="s">
        <v>51</v>
      </c>
      <c r="AX252" s="69" t="s">
        <v>52</v>
      </c>
      <c r="AY252" s="69" t="s">
        <v>53</v>
      </c>
      <c r="AZ252" s="69" t="s">
        <v>54</v>
      </c>
      <c r="BA252" s="69" t="s">
        <v>55</v>
      </c>
    </row>
    <row r="253" spans="1:53" ht="16" thickBot="1">
      <c r="A253" s="70">
        <v>16</v>
      </c>
      <c r="B253" s="49">
        <f>資料儲存!D6317</f>
        <v>0</v>
      </c>
      <c r="C253" s="49">
        <f>資料儲存!E6317</f>
        <v>0</v>
      </c>
      <c r="D253" s="49">
        <f>資料儲存!F6317</f>
        <v>0</v>
      </c>
      <c r="E253" s="49">
        <f>資料儲存!G6317</f>
        <v>0</v>
      </c>
      <c r="F253" s="49">
        <f>資料儲存!H6317</f>
        <v>0</v>
      </c>
      <c r="G253" s="49">
        <f>資料儲存!I6317</f>
        <v>0</v>
      </c>
      <c r="H253" s="49">
        <f>資料儲存!J6317</f>
        <v>0</v>
      </c>
      <c r="I253" s="52"/>
      <c r="J253" s="70">
        <v>16</v>
      </c>
      <c r="K253" s="49">
        <f>資料儲存!D6557</f>
        <v>0</v>
      </c>
      <c r="L253" s="49">
        <f>資料儲存!E6557</f>
        <v>0</v>
      </c>
      <c r="M253" s="49">
        <f>資料儲存!F6557</f>
        <v>0</v>
      </c>
      <c r="N253" s="49">
        <f>資料儲存!G6557</f>
        <v>0</v>
      </c>
      <c r="O253" s="49">
        <f>資料儲存!H6557</f>
        <v>0</v>
      </c>
      <c r="P253" s="49">
        <f>資料儲存!I6557</f>
        <v>0</v>
      </c>
      <c r="Q253" s="49">
        <f>資料儲存!J6557</f>
        <v>0</v>
      </c>
      <c r="R253" s="52"/>
      <c r="S253" s="70">
        <v>16</v>
      </c>
      <c r="T253" s="49">
        <f>資料儲存!D6797</f>
        <v>0</v>
      </c>
      <c r="U253" s="49">
        <f>資料儲存!E6797</f>
        <v>0</v>
      </c>
      <c r="V253" s="49">
        <f>資料儲存!F6797</f>
        <v>0</v>
      </c>
      <c r="W253" s="49">
        <f>資料儲存!G6797</f>
        <v>0</v>
      </c>
      <c r="X253" s="49">
        <f>資料儲存!H6797</f>
        <v>0</v>
      </c>
      <c r="Y253" s="49">
        <f>資料儲存!I6797</f>
        <v>0</v>
      </c>
      <c r="Z253" s="49">
        <f>資料儲存!J6797</f>
        <v>0</v>
      </c>
      <c r="AA253" s="52"/>
      <c r="AB253" s="70">
        <v>16</v>
      </c>
      <c r="AC253" s="49">
        <f>資料儲存!D7037</f>
        <v>0</v>
      </c>
      <c r="AD253" s="49">
        <f>資料儲存!E7037</f>
        <v>0</v>
      </c>
      <c r="AE253" s="49">
        <f>資料儲存!F7037</f>
        <v>0</v>
      </c>
      <c r="AF253" s="49">
        <f>資料儲存!G7037</f>
        <v>0</v>
      </c>
      <c r="AG253" s="49">
        <f>資料儲存!H7037</f>
        <v>0</v>
      </c>
      <c r="AH253" s="49">
        <f>資料儲存!I7037</f>
        <v>0</v>
      </c>
      <c r="AI253" s="49">
        <f>資料儲存!J7037</f>
        <v>0</v>
      </c>
      <c r="AJ253" s="52"/>
      <c r="AK253" s="70">
        <v>16</v>
      </c>
      <c r="AL253" s="49">
        <f>資料儲存!D7277</f>
        <v>0</v>
      </c>
      <c r="AM253" s="49">
        <f>資料儲存!E7277</f>
        <v>0</v>
      </c>
      <c r="AN253" s="49">
        <f>資料儲存!F7277</f>
        <v>0</v>
      </c>
      <c r="AO253" s="49">
        <f>資料儲存!G7277</f>
        <v>0</v>
      </c>
      <c r="AP253" s="49">
        <f>資料儲存!H7277</f>
        <v>0</v>
      </c>
      <c r="AQ253" s="49">
        <f>資料儲存!I7277</f>
        <v>0</v>
      </c>
      <c r="AR253" s="49">
        <f>資料儲存!J7277</f>
        <v>0</v>
      </c>
      <c r="AS253" s="67"/>
      <c r="AT253" s="70">
        <v>16</v>
      </c>
      <c r="AU253" s="49">
        <f>資料儲存!D7517</f>
        <v>0</v>
      </c>
      <c r="AV253" s="49">
        <f>資料儲存!E7517</f>
        <v>0</v>
      </c>
      <c r="AW253" s="49">
        <f>資料儲存!F7517</f>
        <v>0</v>
      </c>
      <c r="AX253" s="49">
        <f>資料儲存!G7517</f>
        <v>0</v>
      </c>
      <c r="AY253" s="49">
        <f>資料儲存!H7517</f>
        <v>0</v>
      </c>
      <c r="AZ253" s="49">
        <f>資料儲存!I7517</f>
        <v>0</v>
      </c>
      <c r="BA253" s="49">
        <f>資料儲存!J7517</f>
        <v>0</v>
      </c>
    </row>
    <row r="254" spans="1:53" ht="16" thickBot="1">
      <c r="A254" s="70">
        <v>17</v>
      </c>
      <c r="B254" s="49">
        <f>資料儲存!D6318</f>
        <v>0</v>
      </c>
      <c r="C254" s="49">
        <f>資料儲存!E6318</f>
        <v>0</v>
      </c>
      <c r="D254" s="49">
        <f>資料儲存!F6318</f>
        <v>0</v>
      </c>
      <c r="E254" s="49">
        <f>資料儲存!G6318</f>
        <v>0</v>
      </c>
      <c r="F254" s="49">
        <f>資料儲存!H6318</f>
        <v>0</v>
      </c>
      <c r="G254" s="49">
        <f>資料儲存!I6318</f>
        <v>0</v>
      </c>
      <c r="H254" s="49">
        <f>資料儲存!J6318</f>
        <v>0</v>
      </c>
      <c r="I254" s="52"/>
      <c r="J254" s="70">
        <v>17</v>
      </c>
      <c r="K254" s="49">
        <f>資料儲存!D6558</f>
        <v>0</v>
      </c>
      <c r="L254" s="49">
        <f>資料儲存!E6558</f>
        <v>0</v>
      </c>
      <c r="M254" s="49">
        <f>資料儲存!F6558</f>
        <v>0</v>
      </c>
      <c r="N254" s="49">
        <f>資料儲存!G6558</f>
        <v>0</v>
      </c>
      <c r="O254" s="49">
        <f>資料儲存!H6558</f>
        <v>0</v>
      </c>
      <c r="P254" s="49">
        <f>資料儲存!I6558</f>
        <v>0</v>
      </c>
      <c r="Q254" s="49">
        <f>資料儲存!J6558</f>
        <v>0</v>
      </c>
      <c r="R254" s="52"/>
      <c r="S254" s="70">
        <v>17</v>
      </c>
      <c r="T254" s="49">
        <f>資料儲存!D6798</f>
        <v>0</v>
      </c>
      <c r="U254" s="49">
        <f>資料儲存!E6798</f>
        <v>0</v>
      </c>
      <c r="V254" s="49">
        <f>資料儲存!F6798</f>
        <v>0</v>
      </c>
      <c r="W254" s="49">
        <f>資料儲存!G6798</f>
        <v>0</v>
      </c>
      <c r="X254" s="49">
        <f>資料儲存!H6798</f>
        <v>0</v>
      </c>
      <c r="Y254" s="49">
        <f>資料儲存!I6798</f>
        <v>0</v>
      </c>
      <c r="Z254" s="49">
        <f>資料儲存!J6798</f>
        <v>0</v>
      </c>
      <c r="AA254" s="52"/>
      <c r="AB254" s="70">
        <v>17</v>
      </c>
      <c r="AC254" s="49">
        <f>資料儲存!D7038</f>
        <v>0</v>
      </c>
      <c r="AD254" s="49">
        <f>資料儲存!E7038</f>
        <v>0</v>
      </c>
      <c r="AE254" s="49">
        <f>資料儲存!F7038</f>
        <v>0</v>
      </c>
      <c r="AF254" s="49">
        <f>資料儲存!G7038</f>
        <v>0</v>
      </c>
      <c r="AG254" s="49">
        <f>資料儲存!H7038</f>
        <v>0</v>
      </c>
      <c r="AH254" s="49">
        <f>資料儲存!I7038</f>
        <v>0</v>
      </c>
      <c r="AI254" s="49">
        <f>資料儲存!J7038</f>
        <v>0</v>
      </c>
      <c r="AJ254" s="52"/>
      <c r="AK254" s="70">
        <v>17</v>
      </c>
      <c r="AL254" s="49">
        <f>資料儲存!D7278</f>
        <v>0</v>
      </c>
      <c r="AM254" s="49">
        <f>資料儲存!E7278</f>
        <v>0</v>
      </c>
      <c r="AN254" s="49">
        <f>資料儲存!F7278</f>
        <v>0</v>
      </c>
      <c r="AO254" s="49">
        <f>資料儲存!G7278</f>
        <v>0</v>
      </c>
      <c r="AP254" s="49">
        <f>資料儲存!H7278</f>
        <v>0</v>
      </c>
      <c r="AQ254" s="49">
        <f>資料儲存!I7278</f>
        <v>0</v>
      </c>
      <c r="AR254" s="49">
        <f>資料儲存!J7278</f>
        <v>0</v>
      </c>
      <c r="AS254" s="67"/>
      <c r="AT254" s="70">
        <v>17</v>
      </c>
      <c r="AU254" s="49">
        <f>資料儲存!D7518</f>
        <v>0</v>
      </c>
      <c r="AV254" s="49">
        <f>資料儲存!E7518</f>
        <v>0</v>
      </c>
      <c r="AW254" s="49">
        <f>資料儲存!F7518</f>
        <v>0</v>
      </c>
      <c r="AX254" s="49">
        <f>資料儲存!G7518</f>
        <v>0</v>
      </c>
      <c r="AY254" s="49">
        <f>資料儲存!H7518</f>
        <v>0</v>
      </c>
      <c r="AZ254" s="49">
        <f>資料儲存!I7518</f>
        <v>0</v>
      </c>
      <c r="BA254" s="49">
        <f>資料儲存!J7518</f>
        <v>0</v>
      </c>
    </row>
    <row r="255" spans="1:53" ht="16" thickBot="1">
      <c r="A255" s="70">
        <v>18</v>
      </c>
      <c r="B255" s="49">
        <f>資料儲存!D6319</f>
        <v>0</v>
      </c>
      <c r="C255" s="49">
        <f>資料儲存!E6319</f>
        <v>0</v>
      </c>
      <c r="D255" s="49">
        <f>資料儲存!F6319</f>
        <v>0</v>
      </c>
      <c r="E255" s="49">
        <f>資料儲存!G6319</f>
        <v>0</v>
      </c>
      <c r="F255" s="49">
        <f>資料儲存!H6319</f>
        <v>0</v>
      </c>
      <c r="G255" s="49">
        <f>資料儲存!I6319</f>
        <v>0</v>
      </c>
      <c r="H255" s="49">
        <f>資料儲存!J6319</f>
        <v>0</v>
      </c>
      <c r="I255" s="52"/>
      <c r="J255" s="70">
        <v>18</v>
      </c>
      <c r="K255" s="49">
        <f>資料儲存!D6559</f>
        <v>0</v>
      </c>
      <c r="L255" s="49">
        <f>資料儲存!E6559</f>
        <v>0</v>
      </c>
      <c r="M255" s="49">
        <f>資料儲存!F6559</f>
        <v>0</v>
      </c>
      <c r="N255" s="49">
        <f>資料儲存!G6559</f>
        <v>0</v>
      </c>
      <c r="O255" s="49">
        <f>資料儲存!H6559</f>
        <v>0</v>
      </c>
      <c r="P255" s="49">
        <f>資料儲存!I6559</f>
        <v>0</v>
      </c>
      <c r="Q255" s="49">
        <f>資料儲存!J6559</f>
        <v>0</v>
      </c>
      <c r="R255" s="52"/>
      <c r="S255" s="70">
        <v>18</v>
      </c>
      <c r="T255" s="49">
        <f>資料儲存!D6799</f>
        <v>0</v>
      </c>
      <c r="U255" s="49">
        <f>資料儲存!E6799</f>
        <v>0</v>
      </c>
      <c r="V255" s="49">
        <f>資料儲存!F6799</f>
        <v>0</v>
      </c>
      <c r="W255" s="49">
        <f>資料儲存!G6799</f>
        <v>0</v>
      </c>
      <c r="X255" s="49">
        <f>資料儲存!H6799</f>
        <v>0</v>
      </c>
      <c r="Y255" s="49">
        <f>資料儲存!I6799</f>
        <v>0</v>
      </c>
      <c r="Z255" s="49">
        <f>資料儲存!J6799</f>
        <v>0</v>
      </c>
      <c r="AA255" s="52"/>
      <c r="AB255" s="70">
        <v>18</v>
      </c>
      <c r="AC255" s="49">
        <f>資料儲存!D7039</f>
        <v>0</v>
      </c>
      <c r="AD255" s="49">
        <f>資料儲存!E7039</f>
        <v>0</v>
      </c>
      <c r="AE255" s="49">
        <f>資料儲存!F7039</f>
        <v>0</v>
      </c>
      <c r="AF255" s="49">
        <f>資料儲存!G7039</f>
        <v>0</v>
      </c>
      <c r="AG255" s="49">
        <f>資料儲存!H7039</f>
        <v>0</v>
      </c>
      <c r="AH255" s="49">
        <f>資料儲存!I7039</f>
        <v>0</v>
      </c>
      <c r="AI255" s="49">
        <f>資料儲存!J7039</f>
        <v>0</v>
      </c>
      <c r="AJ255" s="52"/>
      <c r="AK255" s="70">
        <v>18</v>
      </c>
      <c r="AL255" s="49">
        <f>資料儲存!D7279</f>
        <v>0</v>
      </c>
      <c r="AM255" s="49">
        <f>資料儲存!E7279</f>
        <v>0</v>
      </c>
      <c r="AN255" s="49">
        <f>資料儲存!F7279</f>
        <v>0</v>
      </c>
      <c r="AO255" s="49">
        <f>資料儲存!G7279</f>
        <v>0</v>
      </c>
      <c r="AP255" s="49">
        <f>資料儲存!H7279</f>
        <v>0</v>
      </c>
      <c r="AQ255" s="49">
        <f>資料儲存!I7279</f>
        <v>0</v>
      </c>
      <c r="AR255" s="49">
        <f>資料儲存!J7279</f>
        <v>0</v>
      </c>
      <c r="AS255" s="67"/>
      <c r="AT255" s="70">
        <v>18</v>
      </c>
      <c r="AU255" s="49">
        <f>資料儲存!D7519</f>
        <v>0</v>
      </c>
      <c r="AV255" s="49">
        <f>資料儲存!E7519</f>
        <v>0</v>
      </c>
      <c r="AW255" s="49">
        <f>資料儲存!F7519</f>
        <v>0</v>
      </c>
      <c r="AX255" s="49">
        <f>資料儲存!G7519</f>
        <v>0</v>
      </c>
      <c r="AY255" s="49">
        <f>資料儲存!H7519</f>
        <v>0</v>
      </c>
      <c r="AZ255" s="49">
        <f>資料儲存!I7519</f>
        <v>0</v>
      </c>
      <c r="BA255" s="49">
        <f>資料儲存!J7519</f>
        <v>0</v>
      </c>
    </row>
    <row r="256" spans="1:53" ht="16" thickBot="1">
      <c r="A256" s="70">
        <v>19</v>
      </c>
      <c r="B256" s="49">
        <f>資料儲存!D6320</f>
        <v>0</v>
      </c>
      <c r="C256" s="49">
        <f>資料儲存!E6320</f>
        <v>0</v>
      </c>
      <c r="D256" s="49">
        <f>資料儲存!F6320</f>
        <v>0</v>
      </c>
      <c r="E256" s="49">
        <f>資料儲存!G6320</f>
        <v>0</v>
      </c>
      <c r="F256" s="49">
        <f>資料儲存!H6320</f>
        <v>0</v>
      </c>
      <c r="G256" s="49">
        <f>資料儲存!I6320</f>
        <v>0</v>
      </c>
      <c r="H256" s="49">
        <f>資料儲存!J6320</f>
        <v>0</v>
      </c>
      <c r="I256" s="52"/>
      <c r="J256" s="70">
        <v>19</v>
      </c>
      <c r="K256" s="49">
        <f>資料儲存!D6560</f>
        <v>0</v>
      </c>
      <c r="L256" s="49">
        <f>資料儲存!E6560</f>
        <v>0</v>
      </c>
      <c r="M256" s="49">
        <f>資料儲存!F6560</f>
        <v>0</v>
      </c>
      <c r="N256" s="49">
        <f>資料儲存!G6560</f>
        <v>0</v>
      </c>
      <c r="O256" s="49">
        <f>資料儲存!H6560</f>
        <v>0</v>
      </c>
      <c r="P256" s="49">
        <f>資料儲存!I6560</f>
        <v>0</v>
      </c>
      <c r="Q256" s="49">
        <f>資料儲存!J6560</f>
        <v>0</v>
      </c>
      <c r="R256" s="52"/>
      <c r="S256" s="70">
        <v>19</v>
      </c>
      <c r="T256" s="49">
        <f>資料儲存!D6800</f>
        <v>0</v>
      </c>
      <c r="U256" s="49">
        <f>資料儲存!E6800</f>
        <v>0</v>
      </c>
      <c r="V256" s="49">
        <f>資料儲存!F6800</f>
        <v>0</v>
      </c>
      <c r="W256" s="49">
        <f>資料儲存!G6800</f>
        <v>0</v>
      </c>
      <c r="X256" s="49">
        <f>資料儲存!H6800</f>
        <v>0</v>
      </c>
      <c r="Y256" s="49">
        <f>資料儲存!I6800</f>
        <v>0</v>
      </c>
      <c r="Z256" s="49">
        <f>資料儲存!J6800</f>
        <v>0</v>
      </c>
      <c r="AA256" s="52"/>
      <c r="AB256" s="70">
        <v>19</v>
      </c>
      <c r="AC256" s="49">
        <f>資料儲存!D7040</f>
        <v>0</v>
      </c>
      <c r="AD256" s="49">
        <f>資料儲存!E7040</f>
        <v>0</v>
      </c>
      <c r="AE256" s="49">
        <f>資料儲存!F7040</f>
        <v>0</v>
      </c>
      <c r="AF256" s="49">
        <f>資料儲存!G7040</f>
        <v>0</v>
      </c>
      <c r="AG256" s="49">
        <f>資料儲存!H7040</f>
        <v>0</v>
      </c>
      <c r="AH256" s="49">
        <f>資料儲存!I7040</f>
        <v>0</v>
      </c>
      <c r="AI256" s="49">
        <f>資料儲存!J7040</f>
        <v>0</v>
      </c>
      <c r="AJ256" s="52"/>
      <c r="AK256" s="70">
        <v>19</v>
      </c>
      <c r="AL256" s="49">
        <f>資料儲存!D7280</f>
        <v>0</v>
      </c>
      <c r="AM256" s="49">
        <f>資料儲存!E7280</f>
        <v>0</v>
      </c>
      <c r="AN256" s="49">
        <f>資料儲存!F7280</f>
        <v>0</v>
      </c>
      <c r="AO256" s="49">
        <f>資料儲存!G7280</f>
        <v>0</v>
      </c>
      <c r="AP256" s="49">
        <f>資料儲存!H7280</f>
        <v>0</v>
      </c>
      <c r="AQ256" s="49">
        <f>資料儲存!I7280</f>
        <v>0</v>
      </c>
      <c r="AR256" s="49">
        <f>資料儲存!J7280</f>
        <v>0</v>
      </c>
      <c r="AS256" s="67"/>
      <c r="AT256" s="70">
        <v>19</v>
      </c>
      <c r="AU256" s="49">
        <f>資料儲存!D7520</f>
        <v>0</v>
      </c>
      <c r="AV256" s="49">
        <f>資料儲存!E7520</f>
        <v>0</v>
      </c>
      <c r="AW256" s="49">
        <f>資料儲存!F7520</f>
        <v>0</v>
      </c>
      <c r="AX256" s="49">
        <f>資料儲存!G7520</f>
        <v>0</v>
      </c>
      <c r="AY256" s="49">
        <f>資料儲存!H7520</f>
        <v>0</v>
      </c>
      <c r="AZ256" s="49">
        <f>資料儲存!I7520</f>
        <v>0</v>
      </c>
      <c r="BA256" s="49">
        <f>資料儲存!J7520</f>
        <v>0</v>
      </c>
    </row>
    <row r="257" spans="1:53" ht="16" thickBot="1">
      <c r="A257" s="70">
        <v>20</v>
      </c>
      <c r="B257" s="49">
        <f>資料儲存!D6321</f>
        <v>0</v>
      </c>
      <c r="C257" s="49">
        <f>資料儲存!E6321</f>
        <v>0</v>
      </c>
      <c r="D257" s="49">
        <f>資料儲存!F6321</f>
        <v>0</v>
      </c>
      <c r="E257" s="49">
        <f>資料儲存!G6321</f>
        <v>0</v>
      </c>
      <c r="F257" s="49">
        <f>資料儲存!H6321</f>
        <v>0</v>
      </c>
      <c r="G257" s="49">
        <f>資料儲存!I6321</f>
        <v>0</v>
      </c>
      <c r="H257" s="49">
        <f>資料儲存!J6321</f>
        <v>0</v>
      </c>
      <c r="I257" s="52"/>
      <c r="J257" s="70">
        <v>20</v>
      </c>
      <c r="K257" s="49">
        <f>資料儲存!D6561</f>
        <v>0</v>
      </c>
      <c r="L257" s="49">
        <f>資料儲存!E6561</f>
        <v>0</v>
      </c>
      <c r="M257" s="49">
        <f>資料儲存!F6561</f>
        <v>0</v>
      </c>
      <c r="N257" s="49">
        <f>資料儲存!G6561</f>
        <v>0</v>
      </c>
      <c r="O257" s="49">
        <f>資料儲存!H6561</f>
        <v>0</v>
      </c>
      <c r="P257" s="49">
        <f>資料儲存!I6561</f>
        <v>0</v>
      </c>
      <c r="Q257" s="49">
        <f>資料儲存!J6561</f>
        <v>0</v>
      </c>
      <c r="R257" s="52"/>
      <c r="S257" s="70">
        <v>20</v>
      </c>
      <c r="T257" s="49">
        <f>資料儲存!D6801</f>
        <v>0</v>
      </c>
      <c r="U257" s="49">
        <f>資料儲存!E6801</f>
        <v>0</v>
      </c>
      <c r="V257" s="49">
        <f>資料儲存!F6801</f>
        <v>0</v>
      </c>
      <c r="W257" s="49">
        <f>資料儲存!G6801</f>
        <v>0</v>
      </c>
      <c r="X257" s="49">
        <f>資料儲存!H6801</f>
        <v>0</v>
      </c>
      <c r="Y257" s="49">
        <f>資料儲存!I6801</f>
        <v>0</v>
      </c>
      <c r="Z257" s="49">
        <f>資料儲存!J6801</f>
        <v>0</v>
      </c>
      <c r="AA257" s="52"/>
      <c r="AB257" s="70">
        <v>20</v>
      </c>
      <c r="AC257" s="49">
        <f>資料儲存!D7041</f>
        <v>0</v>
      </c>
      <c r="AD257" s="49">
        <f>資料儲存!E7041</f>
        <v>0</v>
      </c>
      <c r="AE257" s="49">
        <f>資料儲存!F7041</f>
        <v>0</v>
      </c>
      <c r="AF257" s="49">
        <f>資料儲存!G7041</f>
        <v>0</v>
      </c>
      <c r="AG257" s="49">
        <f>資料儲存!H7041</f>
        <v>0</v>
      </c>
      <c r="AH257" s="49">
        <f>資料儲存!I7041</f>
        <v>0</v>
      </c>
      <c r="AI257" s="49">
        <f>資料儲存!J7041</f>
        <v>0</v>
      </c>
      <c r="AJ257" s="52"/>
      <c r="AK257" s="70">
        <v>20</v>
      </c>
      <c r="AL257" s="49">
        <f>資料儲存!D7281</f>
        <v>0</v>
      </c>
      <c r="AM257" s="49">
        <f>資料儲存!E7281</f>
        <v>0</v>
      </c>
      <c r="AN257" s="49">
        <f>資料儲存!F7281</f>
        <v>0</v>
      </c>
      <c r="AO257" s="49">
        <f>資料儲存!G7281</f>
        <v>0</v>
      </c>
      <c r="AP257" s="49">
        <f>資料儲存!H7281</f>
        <v>0</v>
      </c>
      <c r="AQ257" s="49">
        <f>資料儲存!I7281</f>
        <v>0</v>
      </c>
      <c r="AR257" s="49">
        <f>資料儲存!J7281</f>
        <v>0</v>
      </c>
      <c r="AS257" s="67"/>
      <c r="AT257" s="70">
        <v>20</v>
      </c>
      <c r="AU257" s="49">
        <f>資料儲存!D7521</f>
        <v>0</v>
      </c>
      <c r="AV257" s="49">
        <f>資料儲存!E7521</f>
        <v>0</v>
      </c>
      <c r="AW257" s="49">
        <f>資料儲存!F7521</f>
        <v>0</v>
      </c>
      <c r="AX257" s="49">
        <f>資料儲存!G7521</f>
        <v>0</v>
      </c>
      <c r="AY257" s="49">
        <f>資料儲存!H7521</f>
        <v>0</v>
      </c>
      <c r="AZ257" s="49">
        <f>資料儲存!I7521</f>
        <v>0</v>
      </c>
      <c r="BA257" s="49">
        <f>資料儲存!J7521</f>
        <v>0</v>
      </c>
    </row>
    <row r="258" spans="1:53" ht="16" thickBot="1">
      <c r="A258" s="70">
        <v>21</v>
      </c>
      <c r="B258" s="49">
        <f>資料儲存!D6322</f>
        <v>0</v>
      </c>
      <c r="C258" s="49">
        <f>資料儲存!E6322</f>
        <v>0</v>
      </c>
      <c r="D258" s="49">
        <f>資料儲存!F6322</f>
        <v>0</v>
      </c>
      <c r="E258" s="49">
        <f>資料儲存!G6322</f>
        <v>0</v>
      </c>
      <c r="F258" s="49">
        <f>資料儲存!H6322</f>
        <v>0</v>
      </c>
      <c r="G258" s="49">
        <f>資料儲存!I6322</f>
        <v>0</v>
      </c>
      <c r="H258" s="49">
        <f>資料儲存!J6322</f>
        <v>0</v>
      </c>
      <c r="I258" s="52"/>
      <c r="J258" s="70">
        <v>21</v>
      </c>
      <c r="K258" s="49">
        <f>資料儲存!D6562</f>
        <v>0</v>
      </c>
      <c r="L258" s="49">
        <f>資料儲存!E6562</f>
        <v>0</v>
      </c>
      <c r="M258" s="49">
        <f>資料儲存!F6562</f>
        <v>0</v>
      </c>
      <c r="N258" s="49">
        <f>資料儲存!G6562</f>
        <v>0</v>
      </c>
      <c r="O258" s="49">
        <f>資料儲存!H6562</f>
        <v>0</v>
      </c>
      <c r="P258" s="49">
        <f>資料儲存!I6562</f>
        <v>0</v>
      </c>
      <c r="Q258" s="49">
        <f>資料儲存!J6562</f>
        <v>0</v>
      </c>
      <c r="R258" s="52"/>
      <c r="S258" s="70">
        <v>21</v>
      </c>
      <c r="T258" s="49">
        <f>資料儲存!D6802</f>
        <v>0</v>
      </c>
      <c r="U258" s="49">
        <f>資料儲存!E6802</f>
        <v>0</v>
      </c>
      <c r="V258" s="49">
        <f>資料儲存!F6802</f>
        <v>0</v>
      </c>
      <c r="W258" s="49">
        <f>資料儲存!G6802</f>
        <v>0</v>
      </c>
      <c r="X258" s="49">
        <f>資料儲存!H6802</f>
        <v>0</v>
      </c>
      <c r="Y258" s="49">
        <f>資料儲存!I6802</f>
        <v>0</v>
      </c>
      <c r="Z258" s="49">
        <f>資料儲存!J6802</f>
        <v>0</v>
      </c>
      <c r="AA258" s="52"/>
      <c r="AB258" s="70">
        <v>21</v>
      </c>
      <c r="AC258" s="49">
        <f>資料儲存!D7042</f>
        <v>0</v>
      </c>
      <c r="AD258" s="49">
        <f>資料儲存!E7042</f>
        <v>0</v>
      </c>
      <c r="AE258" s="49">
        <f>資料儲存!F7042</f>
        <v>0</v>
      </c>
      <c r="AF258" s="49">
        <f>資料儲存!G7042</f>
        <v>0</v>
      </c>
      <c r="AG258" s="49">
        <f>資料儲存!H7042</f>
        <v>0</v>
      </c>
      <c r="AH258" s="49">
        <f>資料儲存!I7042</f>
        <v>0</v>
      </c>
      <c r="AI258" s="49">
        <f>資料儲存!J7042</f>
        <v>0</v>
      </c>
      <c r="AJ258" s="52"/>
      <c r="AK258" s="70">
        <v>21</v>
      </c>
      <c r="AL258" s="49">
        <f>資料儲存!D7282</f>
        <v>0</v>
      </c>
      <c r="AM258" s="49">
        <f>資料儲存!E7282</f>
        <v>0</v>
      </c>
      <c r="AN258" s="49">
        <f>資料儲存!F7282</f>
        <v>0</v>
      </c>
      <c r="AO258" s="49">
        <f>資料儲存!G7282</f>
        <v>0</v>
      </c>
      <c r="AP258" s="49">
        <f>資料儲存!H7282</f>
        <v>0</v>
      </c>
      <c r="AQ258" s="49">
        <f>資料儲存!I7282</f>
        <v>0</v>
      </c>
      <c r="AR258" s="49">
        <f>資料儲存!J7282</f>
        <v>0</v>
      </c>
      <c r="AS258" s="67"/>
      <c r="AT258" s="70">
        <v>21</v>
      </c>
      <c r="AU258" s="49">
        <f>資料儲存!D7522</f>
        <v>0</v>
      </c>
      <c r="AV258" s="49">
        <f>資料儲存!E7522</f>
        <v>0</v>
      </c>
      <c r="AW258" s="49">
        <f>資料儲存!F7522</f>
        <v>0</v>
      </c>
      <c r="AX258" s="49">
        <f>資料儲存!G7522</f>
        <v>0</v>
      </c>
      <c r="AY258" s="49">
        <f>資料儲存!H7522</f>
        <v>0</v>
      </c>
      <c r="AZ258" s="49">
        <f>資料儲存!I7522</f>
        <v>0</v>
      </c>
      <c r="BA258" s="49">
        <f>資料儲存!J7522</f>
        <v>0</v>
      </c>
    </row>
    <row r="259" spans="1:53" ht="16" thickBot="1">
      <c r="A259" s="70">
        <v>22</v>
      </c>
      <c r="B259" s="49">
        <f>資料儲存!D6323</f>
        <v>0</v>
      </c>
      <c r="C259" s="49">
        <f>資料儲存!E6323</f>
        <v>0</v>
      </c>
      <c r="D259" s="49">
        <f>資料儲存!F6323</f>
        <v>0</v>
      </c>
      <c r="E259" s="49">
        <f>資料儲存!G6323</f>
        <v>0</v>
      </c>
      <c r="F259" s="49">
        <f>資料儲存!H6323</f>
        <v>0</v>
      </c>
      <c r="G259" s="49">
        <f>資料儲存!I6323</f>
        <v>0</v>
      </c>
      <c r="H259" s="49">
        <f>資料儲存!J6323</f>
        <v>0</v>
      </c>
      <c r="I259" s="52"/>
      <c r="J259" s="70">
        <v>22</v>
      </c>
      <c r="K259" s="49">
        <f>資料儲存!D6563</f>
        <v>0</v>
      </c>
      <c r="L259" s="49">
        <f>資料儲存!E6563</f>
        <v>0</v>
      </c>
      <c r="M259" s="49">
        <f>資料儲存!F6563</f>
        <v>0</v>
      </c>
      <c r="N259" s="49">
        <f>資料儲存!G6563</f>
        <v>0</v>
      </c>
      <c r="O259" s="49">
        <f>資料儲存!H6563</f>
        <v>0</v>
      </c>
      <c r="P259" s="49">
        <f>資料儲存!I6563</f>
        <v>0</v>
      </c>
      <c r="Q259" s="49">
        <f>資料儲存!J6563</f>
        <v>0</v>
      </c>
      <c r="R259" s="52"/>
      <c r="S259" s="70">
        <v>22</v>
      </c>
      <c r="T259" s="49">
        <f>資料儲存!D6803</f>
        <v>0</v>
      </c>
      <c r="U259" s="49">
        <f>資料儲存!E6803</f>
        <v>0</v>
      </c>
      <c r="V259" s="49">
        <f>資料儲存!F6803</f>
        <v>0</v>
      </c>
      <c r="W259" s="49">
        <f>資料儲存!G6803</f>
        <v>0</v>
      </c>
      <c r="X259" s="49">
        <f>資料儲存!H6803</f>
        <v>0</v>
      </c>
      <c r="Y259" s="49">
        <f>資料儲存!I6803</f>
        <v>0</v>
      </c>
      <c r="Z259" s="49">
        <f>資料儲存!J6803</f>
        <v>0</v>
      </c>
      <c r="AA259" s="52"/>
      <c r="AB259" s="70">
        <v>22</v>
      </c>
      <c r="AC259" s="49">
        <f>資料儲存!D7043</f>
        <v>0</v>
      </c>
      <c r="AD259" s="49">
        <f>資料儲存!E7043</f>
        <v>0</v>
      </c>
      <c r="AE259" s="49">
        <f>資料儲存!F7043</f>
        <v>0</v>
      </c>
      <c r="AF259" s="49">
        <f>資料儲存!G7043</f>
        <v>0</v>
      </c>
      <c r="AG259" s="49">
        <f>資料儲存!H7043</f>
        <v>0</v>
      </c>
      <c r="AH259" s="49">
        <f>資料儲存!I7043</f>
        <v>0</v>
      </c>
      <c r="AI259" s="49">
        <f>資料儲存!J7043</f>
        <v>0</v>
      </c>
      <c r="AJ259" s="52"/>
      <c r="AK259" s="70">
        <v>22</v>
      </c>
      <c r="AL259" s="49">
        <f>資料儲存!D7283</f>
        <v>0</v>
      </c>
      <c r="AM259" s="49">
        <f>資料儲存!E7283</f>
        <v>0</v>
      </c>
      <c r="AN259" s="49">
        <f>資料儲存!F7283</f>
        <v>0</v>
      </c>
      <c r="AO259" s="49">
        <f>資料儲存!G7283</f>
        <v>0</v>
      </c>
      <c r="AP259" s="49">
        <f>資料儲存!H7283</f>
        <v>0</v>
      </c>
      <c r="AQ259" s="49">
        <f>資料儲存!I7283</f>
        <v>0</v>
      </c>
      <c r="AR259" s="49">
        <f>資料儲存!J7283</f>
        <v>0</v>
      </c>
      <c r="AS259" s="67"/>
      <c r="AT259" s="70">
        <v>22</v>
      </c>
      <c r="AU259" s="49">
        <f>資料儲存!D7523</f>
        <v>0</v>
      </c>
      <c r="AV259" s="49">
        <f>資料儲存!E7523</f>
        <v>0</v>
      </c>
      <c r="AW259" s="49">
        <f>資料儲存!F7523</f>
        <v>0</v>
      </c>
      <c r="AX259" s="49">
        <f>資料儲存!G7523</f>
        <v>0</v>
      </c>
      <c r="AY259" s="49">
        <f>資料儲存!H7523</f>
        <v>0</v>
      </c>
      <c r="AZ259" s="49">
        <f>資料儲存!I7523</f>
        <v>0</v>
      </c>
      <c r="BA259" s="49">
        <f>資料儲存!J7523</f>
        <v>0</v>
      </c>
    </row>
    <row r="260" spans="1:53" ht="16" thickBot="1">
      <c r="A260" s="70">
        <v>23</v>
      </c>
      <c r="B260" s="49">
        <f>資料儲存!D6324</f>
        <v>0</v>
      </c>
      <c r="C260" s="49">
        <f>資料儲存!E6324</f>
        <v>0</v>
      </c>
      <c r="D260" s="49">
        <f>資料儲存!F6324</f>
        <v>0</v>
      </c>
      <c r="E260" s="49">
        <f>資料儲存!G6324</f>
        <v>0</v>
      </c>
      <c r="F260" s="49">
        <f>資料儲存!H6324</f>
        <v>0</v>
      </c>
      <c r="G260" s="49">
        <f>資料儲存!I6324</f>
        <v>0</v>
      </c>
      <c r="H260" s="49">
        <f>資料儲存!J6324</f>
        <v>0</v>
      </c>
      <c r="I260" s="52"/>
      <c r="J260" s="70">
        <v>23</v>
      </c>
      <c r="K260" s="49">
        <f>資料儲存!D6564</f>
        <v>0</v>
      </c>
      <c r="L260" s="49">
        <f>資料儲存!E6564</f>
        <v>0</v>
      </c>
      <c r="M260" s="49">
        <f>資料儲存!F6564</f>
        <v>0</v>
      </c>
      <c r="N260" s="49">
        <f>資料儲存!G6564</f>
        <v>0</v>
      </c>
      <c r="O260" s="49">
        <f>資料儲存!H6564</f>
        <v>0</v>
      </c>
      <c r="P260" s="49">
        <f>資料儲存!I6564</f>
        <v>0</v>
      </c>
      <c r="Q260" s="49">
        <f>資料儲存!J6564</f>
        <v>0</v>
      </c>
      <c r="R260" s="52"/>
      <c r="S260" s="70">
        <v>23</v>
      </c>
      <c r="T260" s="49">
        <f>資料儲存!D6804</f>
        <v>0</v>
      </c>
      <c r="U260" s="49">
        <f>資料儲存!E6804</f>
        <v>0</v>
      </c>
      <c r="V260" s="49">
        <f>資料儲存!F6804</f>
        <v>0</v>
      </c>
      <c r="W260" s="49">
        <f>資料儲存!G6804</f>
        <v>0</v>
      </c>
      <c r="X260" s="49">
        <f>資料儲存!H6804</f>
        <v>0</v>
      </c>
      <c r="Y260" s="49">
        <f>資料儲存!I6804</f>
        <v>0</v>
      </c>
      <c r="Z260" s="49">
        <f>資料儲存!J6804</f>
        <v>0</v>
      </c>
      <c r="AA260" s="52"/>
      <c r="AB260" s="70">
        <v>23</v>
      </c>
      <c r="AC260" s="49">
        <f>資料儲存!D7044</f>
        <v>0</v>
      </c>
      <c r="AD260" s="49">
        <f>資料儲存!E7044</f>
        <v>0</v>
      </c>
      <c r="AE260" s="49">
        <f>資料儲存!F7044</f>
        <v>0</v>
      </c>
      <c r="AF260" s="49">
        <f>資料儲存!G7044</f>
        <v>0</v>
      </c>
      <c r="AG260" s="49">
        <f>資料儲存!H7044</f>
        <v>0</v>
      </c>
      <c r="AH260" s="49">
        <f>資料儲存!I7044</f>
        <v>0</v>
      </c>
      <c r="AI260" s="49">
        <f>資料儲存!J7044</f>
        <v>0</v>
      </c>
      <c r="AJ260" s="52"/>
      <c r="AK260" s="70">
        <v>23</v>
      </c>
      <c r="AL260" s="49">
        <f>資料儲存!D7284</f>
        <v>0</v>
      </c>
      <c r="AM260" s="49">
        <f>資料儲存!E7284</f>
        <v>0</v>
      </c>
      <c r="AN260" s="49">
        <f>資料儲存!F7284</f>
        <v>0</v>
      </c>
      <c r="AO260" s="49">
        <f>資料儲存!G7284</f>
        <v>0</v>
      </c>
      <c r="AP260" s="49">
        <f>資料儲存!H7284</f>
        <v>0</v>
      </c>
      <c r="AQ260" s="49">
        <f>資料儲存!I7284</f>
        <v>0</v>
      </c>
      <c r="AR260" s="49">
        <f>資料儲存!J7284</f>
        <v>0</v>
      </c>
      <c r="AS260" s="67"/>
      <c r="AT260" s="70">
        <v>23</v>
      </c>
      <c r="AU260" s="49">
        <f>資料儲存!D7524</f>
        <v>0</v>
      </c>
      <c r="AV260" s="49">
        <f>資料儲存!E7524</f>
        <v>0</v>
      </c>
      <c r="AW260" s="49">
        <f>資料儲存!F7524</f>
        <v>0</v>
      </c>
      <c r="AX260" s="49">
        <f>資料儲存!G7524</f>
        <v>0</v>
      </c>
      <c r="AY260" s="49">
        <f>資料儲存!H7524</f>
        <v>0</v>
      </c>
      <c r="AZ260" s="49">
        <f>資料儲存!I7524</f>
        <v>0</v>
      </c>
      <c r="BA260" s="49">
        <f>資料儲存!J7524</f>
        <v>0</v>
      </c>
    </row>
    <row r="261" spans="1:53" ht="16" thickBot="1">
      <c r="A261" s="70">
        <v>24</v>
      </c>
      <c r="B261" s="49">
        <f>資料儲存!D6325</f>
        <v>0</v>
      </c>
      <c r="C261" s="49">
        <f>資料儲存!E6325</f>
        <v>0</v>
      </c>
      <c r="D261" s="49">
        <f>資料儲存!F6325</f>
        <v>0</v>
      </c>
      <c r="E261" s="49">
        <f>資料儲存!G6325</f>
        <v>0</v>
      </c>
      <c r="F261" s="49">
        <f>資料儲存!H6325</f>
        <v>0</v>
      </c>
      <c r="G261" s="49">
        <f>資料儲存!I6325</f>
        <v>0</v>
      </c>
      <c r="H261" s="49">
        <f>資料儲存!J6325</f>
        <v>0</v>
      </c>
      <c r="I261" s="52"/>
      <c r="J261" s="70">
        <v>24</v>
      </c>
      <c r="K261" s="49">
        <f>資料儲存!D6565</f>
        <v>0</v>
      </c>
      <c r="L261" s="49">
        <f>資料儲存!E6565</f>
        <v>0</v>
      </c>
      <c r="M261" s="49">
        <f>資料儲存!F6565</f>
        <v>0</v>
      </c>
      <c r="N261" s="49">
        <f>資料儲存!G6565</f>
        <v>0</v>
      </c>
      <c r="O261" s="49">
        <f>資料儲存!H6565</f>
        <v>0</v>
      </c>
      <c r="P261" s="49">
        <f>資料儲存!I6565</f>
        <v>0</v>
      </c>
      <c r="Q261" s="49">
        <f>資料儲存!J6565</f>
        <v>0</v>
      </c>
      <c r="R261" s="52"/>
      <c r="S261" s="70">
        <v>24</v>
      </c>
      <c r="T261" s="49">
        <f>資料儲存!D6805</f>
        <v>0</v>
      </c>
      <c r="U261" s="49">
        <f>資料儲存!E6805</f>
        <v>0</v>
      </c>
      <c r="V261" s="49">
        <f>資料儲存!F6805</f>
        <v>0</v>
      </c>
      <c r="W261" s="49">
        <f>資料儲存!G6805</f>
        <v>0</v>
      </c>
      <c r="X261" s="49">
        <f>資料儲存!H6805</f>
        <v>0</v>
      </c>
      <c r="Y261" s="49">
        <f>資料儲存!I6805</f>
        <v>0</v>
      </c>
      <c r="Z261" s="49">
        <f>資料儲存!J6805</f>
        <v>0</v>
      </c>
      <c r="AA261" s="52"/>
      <c r="AB261" s="70">
        <v>24</v>
      </c>
      <c r="AC261" s="49">
        <f>資料儲存!D7045</f>
        <v>0</v>
      </c>
      <c r="AD261" s="49">
        <f>資料儲存!E7045</f>
        <v>0</v>
      </c>
      <c r="AE261" s="49">
        <f>資料儲存!F7045</f>
        <v>0</v>
      </c>
      <c r="AF261" s="49">
        <f>資料儲存!G7045</f>
        <v>0</v>
      </c>
      <c r="AG261" s="49">
        <f>資料儲存!H7045</f>
        <v>0</v>
      </c>
      <c r="AH261" s="49">
        <f>資料儲存!I7045</f>
        <v>0</v>
      </c>
      <c r="AI261" s="49">
        <f>資料儲存!J7045</f>
        <v>0</v>
      </c>
      <c r="AJ261" s="52"/>
      <c r="AK261" s="70">
        <v>24</v>
      </c>
      <c r="AL261" s="49">
        <f>資料儲存!D7285</f>
        <v>0</v>
      </c>
      <c r="AM261" s="49">
        <f>資料儲存!E7285</f>
        <v>0</v>
      </c>
      <c r="AN261" s="49">
        <f>資料儲存!F7285</f>
        <v>0</v>
      </c>
      <c r="AO261" s="49">
        <f>資料儲存!G7285</f>
        <v>0</v>
      </c>
      <c r="AP261" s="49">
        <f>資料儲存!H7285</f>
        <v>0</v>
      </c>
      <c r="AQ261" s="49">
        <f>資料儲存!I7285</f>
        <v>0</v>
      </c>
      <c r="AR261" s="49">
        <f>資料儲存!J7285</f>
        <v>0</v>
      </c>
      <c r="AS261" s="67"/>
      <c r="AT261" s="70">
        <v>24</v>
      </c>
      <c r="AU261" s="49">
        <f>資料儲存!D7525</f>
        <v>0</v>
      </c>
      <c r="AV261" s="49">
        <f>資料儲存!E7525</f>
        <v>0</v>
      </c>
      <c r="AW261" s="49">
        <f>資料儲存!F7525</f>
        <v>0</v>
      </c>
      <c r="AX261" s="49">
        <f>資料儲存!G7525</f>
        <v>0</v>
      </c>
      <c r="AY261" s="49">
        <f>資料儲存!H7525</f>
        <v>0</v>
      </c>
      <c r="AZ261" s="49">
        <f>資料儲存!I7525</f>
        <v>0</v>
      </c>
      <c r="BA261" s="49">
        <f>資料儲存!J7525</f>
        <v>0</v>
      </c>
    </row>
    <row r="262" spans="1:53" ht="16" thickBot="1">
      <c r="A262" s="70">
        <v>25</v>
      </c>
      <c r="B262" s="49">
        <f>資料儲存!D6326</f>
        <v>0</v>
      </c>
      <c r="C262" s="49">
        <f>資料儲存!E6326</f>
        <v>0</v>
      </c>
      <c r="D262" s="49">
        <f>資料儲存!F6326</f>
        <v>0</v>
      </c>
      <c r="E262" s="49">
        <f>資料儲存!G6326</f>
        <v>0</v>
      </c>
      <c r="F262" s="49">
        <f>資料儲存!H6326</f>
        <v>0</v>
      </c>
      <c r="G262" s="49">
        <f>資料儲存!I6326</f>
        <v>0</v>
      </c>
      <c r="H262" s="49">
        <f>資料儲存!J6326</f>
        <v>0</v>
      </c>
      <c r="I262" s="52"/>
      <c r="J262" s="70">
        <v>25</v>
      </c>
      <c r="K262" s="49">
        <f>資料儲存!D6566</f>
        <v>0</v>
      </c>
      <c r="L262" s="49">
        <f>資料儲存!E6566</f>
        <v>0</v>
      </c>
      <c r="M262" s="49">
        <f>資料儲存!F6566</f>
        <v>0</v>
      </c>
      <c r="N262" s="49">
        <f>資料儲存!G6566</f>
        <v>0</v>
      </c>
      <c r="O262" s="49">
        <f>資料儲存!H6566</f>
        <v>0</v>
      </c>
      <c r="P262" s="49">
        <f>資料儲存!I6566</f>
        <v>0</v>
      </c>
      <c r="Q262" s="49">
        <f>資料儲存!J6566</f>
        <v>0</v>
      </c>
      <c r="R262" s="52"/>
      <c r="S262" s="70">
        <v>25</v>
      </c>
      <c r="T262" s="49">
        <f>資料儲存!D6806</f>
        <v>0</v>
      </c>
      <c r="U262" s="49">
        <f>資料儲存!E6806</f>
        <v>0</v>
      </c>
      <c r="V262" s="49">
        <f>資料儲存!F6806</f>
        <v>0</v>
      </c>
      <c r="W262" s="49">
        <f>資料儲存!G6806</f>
        <v>0</v>
      </c>
      <c r="X262" s="49">
        <f>資料儲存!H6806</f>
        <v>0</v>
      </c>
      <c r="Y262" s="49">
        <f>資料儲存!I6806</f>
        <v>0</v>
      </c>
      <c r="Z262" s="49">
        <f>資料儲存!J6806</f>
        <v>0</v>
      </c>
      <c r="AA262" s="52"/>
      <c r="AB262" s="70">
        <v>25</v>
      </c>
      <c r="AC262" s="49">
        <f>資料儲存!D7046</f>
        <v>0</v>
      </c>
      <c r="AD262" s="49">
        <f>資料儲存!E7046</f>
        <v>0</v>
      </c>
      <c r="AE262" s="49">
        <f>資料儲存!F7046</f>
        <v>0</v>
      </c>
      <c r="AF262" s="49">
        <f>資料儲存!G7046</f>
        <v>0</v>
      </c>
      <c r="AG262" s="49">
        <f>資料儲存!H7046</f>
        <v>0</v>
      </c>
      <c r="AH262" s="49">
        <f>資料儲存!I7046</f>
        <v>0</v>
      </c>
      <c r="AI262" s="49">
        <f>資料儲存!J7046</f>
        <v>0</v>
      </c>
      <c r="AJ262" s="52"/>
      <c r="AK262" s="70">
        <v>25</v>
      </c>
      <c r="AL262" s="49">
        <f>資料儲存!D7286</f>
        <v>0</v>
      </c>
      <c r="AM262" s="49">
        <f>資料儲存!E7286</f>
        <v>0</v>
      </c>
      <c r="AN262" s="49">
        <f>資料儲存!F7286</f>
        <v>0</v>
      </c>
      <c r="AO262" s="49">
        <f>資料儲存!G7286</f>
        <v>0</v>
      </c>
      <c r="AP262" s="49">
        <f>資料儲存!H7286</f>
        <v>0</v>
      </c>
      <c r="AQ262" s="49">
        <f>資料儲存!I7286</f>
        <v>0</v>
      </c>
      <c r="AR262" s="49">
        <f>資料儲存!J7286</f>
        <v>0</v>
      </c>
      <c r="AS262" s="67"/>
      <c r="AT262" s="70">
        <v>25</v>
      </c>
      <c r="AU262" s="49">
        <f>資料儲存!D7526</f>
        <v>0</v>
      </c>
      <c r="AV262" s="49">
        <f>資料儲存!E7526</f>
        <v>0</v>
      </c>
      <c r="AW262" s="49">
        <f>資料儲存!F7526</f>
        <v>0</v>
      </c>
      <c r="AX262" s="49">
        <f>資料儲存!G7526</f>
        <v>0</v>
      </c>
      <c r="AY262" s="49">
        <f>資料儲存!H7526</f>
        <v>0</v>
      </c>
      <c r="AZ262" s="49">
        <f>資料儲存!I7526</f>
        <v>0</v>
      </c>
      <c r="BA262" s="49">
        <f>資料儲存!J7526</f>
        <v>0</v>
      </c>
    </row>
    <row r="263" spans="1:53" ht="16" thickBot="1">
      <c r="A263" s="70">
        <v>26</v>
      </c>
      <c r="B263" s="49">
        <f>資料儲存!D6327</f>
        <v>0</v>
      </c>
      <c r="C263" s="49">
        <f>資料儲存!E6327</f>
        <v>0</v>
      </c>
      <c r="D263" s="49">
        <f>資料儲存!F6327</f>
        <v>0</v>
      </c>
      <c r="E263" s="49">
        <f>資料儲存!G6327</f>
        <v>0</v>
      </c>
      <c r="F263" s="49">
        <f>資料儲存!H6327</f>
        <v>0</v>
      </c>
      <c r="G263" s="49">
        <f>資料儲存!I6327</f>
        <v>0</v>
      </c>
      <c r="H263" s="49">
        <f>資料儲存!J6327</f>
        <v>0</v>
      </c>
      <c r="I263" s="52"/>
      <c r="J263" s="70">
        <v>26</v>
      </c>
      <c r="K263" s="49">
        <f>資料儲存!D6567</f>
        <v>0</v>
      </c>
      <c r="L263" s="49">
        <f>資料儲存!E6567</f>
        <v>0</v>
      </c>
      <c r="M263" s="49">
        <f>資料儲存!F6567</f>
        <v>0</v>
      </c>
      <c r="N263" s="49">
        <f>資料儲存!G6567</f>
        <v>0</v>
      </c>
      <c r="O263" s="49">
        <f>資料儲存!H6567</f>
        <v>0</v>
      </c>
      <c r="P263" s="49">
        <f>資料儲存!I6567</f>
        <v>0</v>
      </c>
      <c r="Q263" s="49">
        <f>資料儲存!J6567</f>
        <v>0</v>
      </c>
      <c r="R263" s="52"/>
      <c r="S263" s="70">
        <v>26</v>
      </c>
      <c r="T263" s="49">
        <f>資料儲存!D6807</f>
        <v>0</v>
      </c>
      <c r="U263" s="49">
        <f>資料儲存!E6807</f>
        <v>0</v>
      </c>
      <c r="V263" s="49">
        <f>資料儲存!F6807</f>
        <v>0</v>
      </c>
      <c r="W263" s="49">
        <f>資料儲存!G6807</f>
        <v>0</v>
      </c>
      <c r="X263" s="49">
        <f>資料儲存!H6807</f>
        <v>0</v>
      </c>
      <c r="Y263" s="49">
        <f>資料儲存!I6807</f>
        <v>0</v>
      </c>
      <c r="Z263" s="49">
        <f>資料儲存!J6807</f>
        <v>0</v>
      </c>
      <c r="AA263" s="52"/>
      <c r="AB263" s="70">
        <v>26</v>
      </c>
      <c r="AC263" s="49">
        <f>資料儲存!D7047</f>
        <v>0</v>
      </c>
      <c r="AD263" s="49">
        <f>資料儲存!E7047</f>
        <v>0</v>
      </c>
      <c r="AE263" s="49">
        <f>資料儲存!F7047</f>
        <v>0</v>
      </c>
      <c r="AF263" s="49">
        <f>資料儲存!G7047</f>
        <v>0</v>
      </c>
      <c r="AG263" s="49">
        <f>資料儲存!H7047</f>
        <v>0</v>
      </c>
      <c r="AH263" s="49">
        <f>資料儲存!I7047</f>
        <v>0</v>
      </c>
      <c r="AI263" s="49">
        <f>資料儲存!J7047</f>
        <v>0</v>
      </c>
      <c r="AJ263" s="52"/>
      <c r="AK263" s="70">
        <v>26</v>
      </c>
      <c r="AL263" s="49">
        <f>資料儲存!D7287</f>
        <v>0</v>
      </c>
      <c r="AM263" s="49">
        <f>資料儲存!E7287</f>
        <v>0</v>
      </c>
      <c r="AN263" s="49">
        <f>資料儲存!F7287</f>
        <v>0</v>
      </c>
      <c r="AO263" s="49">
        <f>資料儲存!G7287</f>
        <v>0</v>
      </c>
      <c r="AP263" s="49">
        <f>資料儲存!H7287</f>
        <v>0</v>
      </c>
      <c r="AQ263" s="49">
        <f>資料儲存!I7287</f>
        <v>0</v>
      </c>
      <c r="AR263" s="49">
        <f>資料儲存!J7287</f>
        <v>0</v>
      </c>
      <c r="AS263" s="67"/>
      <c r="AT263" s="70">
        <v>26</v>
      </c>
      <c r="AU263" s="49">
        <f>資料儲存!D7527</f>
        <v>0</v>
      </c>
      <c r="AV263" s="49">
        <f>資料儲存!E7527</f>
        <v>0</v>
      </c>
      <c r="AW263" s="49">
        <f>資料儲存!F7527</f>
        <v>0</v>
      </c>
      <c r="AX263" s="49">
        <f>資料儲存!G7527</f>
        <v>0</v>
      </c>
      <c r="AY263" s="49">
        <f>資料儲存!H7527</f>
        <v>0</v>
      </c>
      <c r="AZ263" s="49">
        <f>資料儲存!I7527</f>
        <v>0</v>
      </c>
      <c r="BA263" s="49">
        <f>資料儲存!J7527</f>
        <v>0</v>
      </c>
    </row>
    <row r="264" spans="1:53" ht="16" thickBot="1">
      <c r="A264" s="70">
        <v>27</v>
      </c>
      <c r="B264" s="49">
        <f>資料儲存!D6328</f>
        <v>0</v>
      </c>
      <c r="C264" s="49">
        <f>資料儲存!E6328</f>
        <v>0</v>
      </c>
      <c r="D264" s="49">
        <f>資料儲存!F6328</f>
        <v>0</v>
      </c>
      <c r="E264" s="49">
        <f>資料儲存!G6328</f>
        <v>0</v>
      </c>
      <c r="F264" s="49">
        <f>資料儲存!H6328</f>
        <v>0</v>
      </c>
      <c r="G264" s="49">
        <f>資料儲存!I6328</f>
        <v>0</v>
      </c>
      <c r="H264" s="49">
        <f>資料儲存!J6328</f>
        <v>0</v>
      </c>
      <c r="I264" s="52"/>
      <c r="J264" s="70">
        <v>27</v>
      </c>
      <c r="K264" s="49">
        <f>資料儲存!D6568</f>
        <v>0</v>
      </c>
      <c r="L264" s="49">
        <f>資料儲存!E6568</f>
        <v>0</v>
      </c>
      <c r="M264" s="49">
        <f>資料儲存!F6568</f>
        <v>0</v>
      </c>
      <c r="N264" s="49">
        <f>資料儲存!G6568</f>
        <v>0</v>
      </c>
      <c r="O264" s="49">
        <f>資料儲存!H6568</f>
        <v>0</v>
      </c>
      <c r="P264" s="49">
        <f>資料儲存!I6568</f>
        <v>0</v>
      </c>
      <c r="Q264" s="49">
        <f>資料儲存!J6568</f>
        <v>0</v>
      </c>
      <c r="R264" s="52"/>
      <c r="S264" s="70">
        <v>27</v>
      </c>
      <c r="T264" s="49">
        <f>資料儲存!D6808</f>
        <v>0</v>
      </c>
      <c r="U264" s="49">
        <f>資料儲存!E6808</f>
        <v>0</v>
      </c>
      <c r="V264" s="49">
        <f>資料儲存!F6808</f>
        <v>0</v>
      </c>
      <c r="W264" s="49">
        <f>資料儲存!G6808</f>
        <v>0</v>
      </c>
      <c r="X264" s="49">
        <f>資料儲存!H6808</f>
        <v>0</v>
      </c>
      <c r="Y264" s="49">
        <f>資料儲存!I6808</f>
        <v>0</v>
      </c>
      <c r="Z264" s="49">
        <f>資料儲存!J6808</f>
        <v>0</v>
      </c>
      <c r="AA264" s="52"/>
      <c r="AB264" s="70">
        <v>27</v>
      </c>
      <c r="AC264" s="49">
        <f>資料儲存!D7048</f>
        <v>0</v>
      </c>
      <c r="AD264" s="49">
        <f>資料儲存!E7048</f>
        <v>0</v>
      </c>
      <c r="AE264" s="49">
        <f>資料儲存!F7048</f>
        <v>0</v>
      </c>
      <c r="AF264" s="49">
        <f>資料儲存!G7048</f>
        <v>0</v>
      </c>
      <c r="AG264" s="49">
        <f>資料儲存!H7048</f>
        <v>0</v>
      </c>
      <c r="AH264" s="49">
        <f>資料儲存!I7048</f>
        <v>0</v>
      </c>
      <c r="AI264" s="49">
        <f>資料儲存!J7048</f>
        <v>0</v>
      </c>
      <c r="AJ264" s="52"/>
      <c r="AK264" s="70">
        <v>27</v>
      </c>
      <c r="AL264" s="49">
        <f>資料儲存!D7288</f>
        <v>0</v>
      </c>
      <c r="AM264" s="49">
        <f>資料儲存!E7288</f>
        <v>0</v>
      </c>
      <c r="AN264" s="49">
        <f>資料儲存!F7288</f>
        <v>0</v>
      </c>
      <c r="AO264" s="49">
        <f>資料儲存!G7288</f>
        <v>0</v>
      </c>
      <c r="AP264" s="49">
        <f>資料儲存!H7288</f>
        <v>0</v>
      </c>
      <c r="AQ264" s="49">
        <f>資料儲存!I7288</f>
        <v>0</v>
      </c>
      <c r="AR264" s="49">
        <f>資料儲存!J7288</f>
        <v>0</v>
      </c>
      <c r="AS264" s="67"/>
      <c r="AT264" s="70">
        <v>27</v>
      </c>
      <c r="AU264" s="49">
        <f>資料儲存!D7528</f>
        <v>0</v>
      </c>
      <c r="AV264" s="49">
        <f>資料儲存!E7528</f>
        <v>0</v>
      </c>
      <c r="AW264" s="49">
        <f>資料儲存!F7528</f>
        <v>0</v>
      </c>
      <c r="AX264" s="49">
        <f>資料儲存!G7528</f>
        <v>0</v>
      </c>
      <c r="AY264" s="49">
        <f>資料儲存!H7528</f>
        <v>0</v>
      </c>
      <c r="AZ264" s="49">
        <f>資料儲存!I7528</f>
        <v>0</v>
      </c>
      <c r="BA264" s="49">
        <f>資料儲存!J7528</f>
        <v>0</v>
      </c>
    </row>
    <row r="265" spans="1:53" ht="16" thickBot="1">
      <c r="A265" s="70">
        <v>28</v>
      </c>
      <c r="B265" s="49">
        <f>資料儲存!D6329</f>
        <v>0</v>
      </c>
      <c r="C265" s="49">
        <f>資料儲存!E6329</f>
        <v>0</v>
      </c>
      <c r="D265" s="49">
        <f>資料儲存!F6329</f>
        <v>0</v>
      </c>
      <c r="E265" s="49">
        <f>資料儲存!G6329</f>
        <v>0</v>
      </c>
      <c r="F265" s="49">
        <f>資料儲存!H6329</f>
        <v>0</v>
      </c>
      <c r="G265" s="49">
        <f>資料儲存!I6329</f>
        <v>0</v>
      </c>
      <c r="H265" s="49">
        <f>資料儲存!J6329</f>
        <v>0</v>
      </c>
      <c r="I265" s="52"/>
      <c r="J265" s="70">
        <v>28</v>
      </c>
      <c r="K265" s="49">
        <f>資料儲存!D6569</f>
        <v>0</v>
      </c>
      <c r="L265" s="49">
        <f>資料儲存!E6569</f>
        <v>0</v>
      </c>
      <c r="M265" s="49">
        <f>資料儲存!F6569</f>
        <v>0</v>
      </c>
      <c r="N265" s="49">
        <f>資料儲存!G6569</f>
        <v>0</v>
      </c>
      <c r="O265" s="49">
        <f>資料儲存!H6569</f>
        <v>0</v>
      </c>
      <c r="P265" s="49">
        <f>資料儲存!I6569</f>
        <v>0</v>
      </c>
      <c r="Q265" s="49">
        <f>資料儲存!J6569</f>
        <v>0</v>
      </c>
      <c r="R265" s="52"/>
      <c r="S265" s="70">
        <v>28</v>
      </c>
      <c r="T265" s="49">
        <f>資料儲存!D6809</f>
        <v>0</v>
      </c>
      <c r="U265" s="49">
        <f>資料儲存!E6809</f>
        <v>0</v>
      </c>
      <c r="V265" s="49">
        <f>資料儲存!F6809</f>
        <v>0</v>
      </c>
      <c r="W265" s="49">
        <f>資料儲存!G6809</f>
        <v>0</v>
      </c>
      <c r="X265" s="49">
        <f>資料儲存!H6809</f>
        <v>0</v>
      </c>
      <c r="Y265" s="49">
        <f>資料儲存!I6809</f>
        <v>0</v>
      </c>
      <c r="Z265" s="49">
        <f>資料儲存!J6809</f>
        <v>0</v>
      </c>
      <c r="AA265" s="52"/>
      <c r="AB265" s="70">
        <v>28</v>
      </c>
      <c r="AC265" s="49">
        <f>資料儲存!D7049</f>
        <v>0</v>
      </c>
      <c r="AD265" s="49">
        <f>資料儲存!E7049</f>
        <v>0</v>
      </c>
      <c r="AE265" s="49">
        <f>資料儲存!F7049</f>
        <v>0</v>
      </c>
      <c r="AF265" s="49">
        <f>資料儲存!G7049</f>
        <v>0</v>
      </c>
      <c r="AG265" s="49">
        <f>資料儲存!H7049</f>
        <v>0</v>
      </c>
      <c r="AH265" s="49">
        <f>資料儲存!I7049</f>
        <v>0</v>
      </c>
      <c r="AI265" s="49">
        <f>資料儲存!J7049</f>
        <v>0</v>
      </c>
      <c r="AJ265" s="52"/>
      <c r="AK265" s="70">
        <v>28</v>
      </c>
      <c r="AL265" s="49">
        <f>資料儲存!D7289</f>
        <v>0</v>
      </c>
      <c r="AM265" s="49">
        <f>資料儲存!E7289</f>
        <v>0</v>
      </c>
      <c r="AN265" s="49">
        <f>資料儲存!F7289</f>
        <v>0</v>
      </c>
      <c r="AO265" s="49">
        <f>資料儲存!G7289</f>
        <v>0</v>
      </c>
      <c r="AP265" s="49">
        <f>資料儲存!H7289</f>
        <v>0</v>
      </c>
      <c r="AQ265" s="49">
        <f>資料儲存!I7289</f>
        <v>0</v>
      </c>
      <c r="AR265" s="49">
        <f>資料儲存!J7289</f>
        <v>0</v>
      </c>
      <c r="AS265" s="67"/>
      <c r="AT265" s="70">
        <v>28</v>
      </c>
      <c r="AU265" s="49">
        <f>資料儲存!D7529</f>
        <v>0</v>
      </c>
      <c r="AV265" s="49">
        <f>資料儲存!E7529</f>
        <v>0</v>
      </c>
      <c r="AW265" s="49">
        <f>資料儲存!F7529</f>
        <v>0</v>
      </c>
      <c r="AX265" s="49">
        <f>資料儲存!G7529</f>
        <v>0</v>
      </c>
      <c r="AY265" s="49">
        <f>資料儲存!H7529</f>
        <v>0</v>
      </c>
      <c r="AZ265" s="49">
        <f>資料儲存!I7529</f>
        <v>0</v>
      </c>
      <c r="BA265" s="49">
        <f>資料儲存!J7529</f>
        <v>0</v>
      </c>
    </row>
    <row r="266" spans="1:53" ht="16" thickBot="1">
      <c r="A266" s="70">
        <v>29</v>
      </c>
      <c r="B266" s="49">
        <f>資料儲存!D6330</f>
        <v>0</v>
      </c>
      <c r="C266" s="49">
        <f>資料儲存!E6330</f>
        <v>0</v>
      </c>
      <c r="D266" s="49">
        <f>資料儲存!F6330</f>
        <v>0</v>
      </c>
      <c r="E266" s="49">
        <f>資料儲存!G6330</f>
        <v>0</v>
      </c>
      <c r="F266" s="49">
        <f>資料儲存!H6330</f>
        <v>0</v>
      </c>
      <c r="G266" s="49">
        <f>資料儲存!I6330</f>
        <v>0</v>
      </c>
      <c r="H266" s="49">
        <f>資料儲存!J6330</f>
        <v>0</v>
      </c>
      <c r="I266" s="52"/>
      <c r="J266" s="70">
        <v>29</v>
      </c>
      <c r="K266" s="49">
        <f>資料儲存!D6570</f>
        <v>0</v>
      </c>
      <c r="L266" s="49">
        <f>資料儲存!E6570</f>
        <v>0</v>
      </c>
      <c r="M266" s="49">
        <f>資料儲存!F6570</f>
        <v>0</v>
      </c>
      <c r="N266" s="49">
        <f>資料儲存!G6570</f>
        <v>0</v>
      </c>
      <c r="O266" s="49">
        <f>資料儲存!H6570</f>
        <v>0</v>
      </c>
      <c r="P266" s="49">
        <f>資料儲存!I6570</f>
        <v>0</v>
      </c>
      <c r="Q266" s="49">
        <f>資料儲存!J6570</f>
        <v>0</v>
      </c>
      <c r="R266" s="52"/>
      <c r="S266" s="70">
        <v>29</v>
      </c>
      <c r="T266" s="49">
        <f>資料儲存!D6810</f>
        <v>0</v>
      </c>
      <c r="U266" s="49">
        <f>資料儲存!E6810</f>
        <v>0</v>
      </c>
      <c r="V266" s="49">
        <f>資料儲存!F6810</f>
        <v>0</v>
      </c>
      <c r="W266" s="49">
        <f>資料儲存!G6810</f>
        <v>0</v>
      </c>
      <c r="X266" s="49">
        <f>資料儲存!H6810</f>
        <v>0</v>
      </c>
      <c r="Y266" s="49">
        <f>資料儲存!I6810</f>
        <v>0</v>
      </c>
      <c r="Z266" s="49">
        <f>資料儲存!J6810</f>
        <v>0</v>
      </c>
      <c r="AA266" s="52"/>
      <c r="AB266" s="70">
        <v>29</v>
      </c>
      <c r="AC266" s="49">
        <f>資料儲存!D7050</f>
        <v>0</v>
      </c>
      <c r="AD266" s="49">
        <f>資料儲存!E7050</f>
        <v>0</v>
      </c>
      <c r="AE266" s="49">
        <f>資料儲存!F7050</f>
        <v>0</v>
      </c>
      <c r="AF266" s="49">
        <f>資料儲存!G7050</f>
        <v>0</v>
      </c>
      <c r="AG266" s="49">
        <f>資料儲存!H7050</f>
        <v>0</v>
      </c>
      <c r="AH266" s="49">
        <f>資料儲存!I7050</f>
        <v>0</v>
      </c>
      <c r="AI266" s="49">
        <f>資料儲存!J7050</f>
        <v>0</v>
      </c>
      <c r="AJ266" s="52"/>
      <c r="AK266" s="70">
        <v>29</v>
      </c>
      <c r="AL266" s="49">
        <f>資料儲存!D7290</f>
        <v>0</v>
      </c>
      <c r="AM266" s="49">
        <f>資料儲存!E7290</f>
        <v>0</v>
      </c>
      <c r="AN266" s="49">
        <f>資料儲存!F7290</f>
        <v>0</v>
      </c>
      <c r="AO266" s="49">
        <f>資料儲存!G7290</f>
        <v>0</v>
      </c>
      <c r="AP266" s="49">
        <f>資料儲存!H7290</f>
        <v>0</v>
      </c>
      <c r="AQ266" s="49">
        <f>資料儲存!I7290</f>
        <v>0</v>
      </c>
      <c r="AR266" s="49">
        <f>資料儲存!J7290</f>
        <v>0</v>
      </c>
      <c r="AS266" s="67"/>
      <c r="AT266" s="70">
        <v>29</v>
      </c>
      <c r="AU266" s="49">
        <f>資料儲存!D7530</f>
        <v>0</v>
      </c>
      <c r="AV266" s="49">
        <f>資料儲存!E7530</f>
        <v>0</v>
      </c>
      <c r="AW266" s="49">
        <f>資料儲存!F7530</f>
        <v>0</v>
      </c>
      <c r="AX266" s="49">
        <f>資料儲存!G7530</f>
        <v>0</v>
      </c>
      <c r="AY266" s="49">
        <f>資料儲存!H7530</f>
        <v>0</v>
      </c>
      <c r="AZ266" s="49">
        <f>資料儲存!I7530</f>
        <v>0</v>
      </c>
      <c r="BA266" s="49">
        <f>資料儲存!J7530</f>
        <v>0</v>
      </c>
    </row>
    <row r="267" spans="1:53" ht="16" thickBot="1">
      <c r="A267" s="70">
        <v>30</v>
      </c>
      <c r="B267" s="49">
        <f>資料儲存!D6331</f>
        <v>0</v>
      </c>
      <c r="C267" s="49">
        <f>資料儲存!E6331</f>
        <v>0</v>
      </c>
      <c r="D267" s="49">
        <f>資料儲存!F6331</f>
        <v>0</v>
      </c>
      <c r="E267" s="49">
        <f>資料儲存!G6331</f>
        <v>0</v>
      </c>
      <c r="F267" s="49">
        <f>資料儲存!H6331</f>
        <v>0</v>
      </c>
      <c r="G267" s="49">
        <f>資料儲存!I6331</f>
        <v>0</v>
      </c>
      <c r="H267" s="49">
        <f>資料儲存!J6331</f>
        <v>0</v>
      </c>
      <c r="I267" s="52"/>
      <c r="J267" s="70">
        <v>30</v>
      </c>
      <c r="K267" s="49">
        <f>資料儲存!D6571</f>
        <v>0</v>
      </c>
      <c r="L267" s="49">
        <f>資料儲存!E6571</f>
        <v>0</v>
      </c>
      <c r="M267" s="49">
        <f>資料儲存!F6571</f>
        <v>0</v>
      </c>
      <c r="N267" s="49">
        <f>資料儲存!G6571</f>
        <v>0</v>
      </c>
      <c r="O267" s="49">
        <f>資料儲存!H6571</f>
        <v>0</v>
      </c>
      <c r="P267" s="49">
        <f>資料儲存!I6571</f>
        <v>0</v>
      </c>
      <c r="Q267" s="49">
        <f>資料儲存!J6571</f>
        <v>0</v>
      </c>
      <c r="R267" s="52"/>
      <c r="S267" s="70">
        <v>30</v>
      </c>
      <c r="T267" s="49">
        <f>資料儲存!D6811</f>
        <v>0</v>
      </c>
      <c r="U267" s="49">
        <f>資料儲存!E6811</f>
        <v>0</v>
      </c>
      <c r="V267" s="49">
        <f>資料儲存!F6811</f>
        <v>0</v>
      </c>
      <c r="W267" s="49">
        <f>資料儲存!G6811</f>
        <v>0</v>
      </c>
      <c r="X267" s="49">
        <f>資料儲存!H6811</f>
        <v>0</v>
      </c>
      <c r="Y267" s="49">
        <f>資料儲存!I6811</f>
        <v>0</v>
      </c>
      <c r="Z267" s="49">
        <f>資料儲存!J6811</f>
        <v>0</v>
      </c>
      <c r="AA267" s="52"/>
      <c r="AB267" s="70">
        <v>30</v>
      </c>
      <c r="AC267" s="49">
        <f>資料儲存!D7051</f>
        <v>0</v>
      </c>
      <c r="AD267" s="49">
        <f>資料儲存!E7051</f>
        <v>0</v>
      </c>
      <c r="AE267" s="49">
        <f>資料儲存!F7051</f>
        <v>0</v>
      </c>
      <c r="AF267" s="49">
        <f>資料儲存!G7051</f>
        <v>0</v>
      </c>
      <c r="AG267" s="49">
        <f>資料儲存!H7051</f>
        <v>0</v>
      </c>
      <c r="AH267" s="49">
        <f>資料儲存!I7051</f>
        <v>0</v>
      </c>
      <c r="AI267" s="49">
        <f>資料儲存!J7051</f>
        <v>0</v>
      </c>
      <c r="AJ267" s="52"/>
      <c r="AK267" s="70">
        <v>30</v>
      </c>
      <c r="AL267" s="49">
        <f>資料儲存!D7291</f>
        <v>0</v>
      </c>
      <c r="AM267" s="49">
        <f>資料儲存!E7291</f>
        <v>0</v>
      </c>
      <c r="AN267" s="49">
        <f>資料儲存!F7291</f>
        <v>0</v>
      </c>
      <c r="AO267" s="49">
        <f>資料儲存!G7291</f>
        <v>0</v>
      </c>
      <c r="AP267" s="49">
        <f>資料儲存!H7291</f>
        <v>0</v>
      </c>
      <c r="AQ267" s="49">
        <f>資料儲存!I7291</f>
        <v>0</v>
      </c>
      <c r="AR267" s="49">
        <f>資料儲存!J7291</f>
        <v>0</v>
      </c>
      <c r="AS267" s="67"/>
      <c r="AT267" s="70">
        <v>30</v>
      </c>
      <c r="AU267" s="49">
        <f>資料儲存!D7531</f>
        <v>0</v>
      </c>
      <c r="AV267" s="49">
        <f>資料儲存!E7531</f>
        <v>0</v>
      </c>
      <c r="AW267" s="49">
        <f>資料儲存!F7531</f>
        <v>0</v>
      </c>
      <c r="AX267" s="49">
        <f>資料儲存!G7531</f>
        <v>0</v>
      </c>
      <c r="AY267" s="49">
        <f>資料儲存!H7531</f>
        <v>0</v>
      </c>
      <c r="AZ267" s="49">
        <f>資料儲存!I7531</f>
        <v>0</v>
      </c>
      <c r="BA267" s="49">
        <f>資料儲存!J7531</f>
        <v>0</v>
      </c>
    </row>
    <row r="268" spans="1:53" ht="17.25" customHeight="1" thickBot="1">
      <c r="A268" s="50" t="s">
        <v>56</v>
      </c>
      <c r="B268" s="49">
        <f>SUM(B253:E267)</f>
        <v>0</v>
      </c>
      <c r="C268" s="47"/>
      <c r="D268" s="47"/>
      <c r="E268" s="47"/>
      <c r="F268" s="49">
        <f>F267</f>
        <v>0</v>
      </c>
      <c r="G268" s="49">
        <f>G267</f>
        <v>0</v>
      </c>
      <c r="H268" s="49">
        <f>H267</f>
        <v>0</v>
      </c>
      <c r="I268" s="45"/>
      <c r="J268" s="50" t="s">
        <v>56</v>
      </c>
      <c r="K268" s="49">
        <f>SUM(K253:N267)</f>
        <v>0</v>
      </c>
      <c r="L268" s="47"/>
      <c r="M268" s="47"/>
      <c r="N268" s="47"/>
      <c r="O268" s="49">
        <f>O267</f>
        <v>0</v>
      </c>
      <c r="P268" s="49">
        <f>P267</f>
        <v>0</v>
      </c>
      <c r="Q268" s="49">
        <f>Q267</f>
        <v>0</v>
      </c>
      <c r="R268" s="45"/>
      <c r="S268" s="50" t="s">
        <v>56</v>
      </c>
      <c r="T268" s="49">
        <f>SUM(T253:W267)</f>
        <v>0</v>
      </c>
      <c r="U268" s="47"/>
      <c r="V268" s="47"/>
      <c r="W268" s="47"/>
      <c r="X268" s="49">
        <f>X267</f>
        <v>0</v>
      </c>
      <c r="Y268" s="49">
        <f>Y267</f>
        <v>0</v>
      </c>
      <c r="Z268" s="49">
        <f>Z267</f>
        <v>0</v>
      </c>
      <c r="AA268" s="45"/>
      <c r="AB268" s="50" t="s">
        <v>56</v>
      </c>
      <c r="AC268" s="49">
        <f>SUM(AC253:AF267)</f>
        <v>0</v>
      </c>
      <c r="AD268" s="47"/>
      <c r="AE268" s="47"/>
      <c r="AF268" s="47"/>
      <c r="AG268" s="49">
        <f>AG267</f>
        <v>0</v>
      </c>
      <c r="AH268" s="49">
        <f>AH267</f>
        <v>0</v>
      </c>
      <c r="AI268" s="49">
        <f>AI267</f>
        <v>0</v>
      </c>
      <c r="AJ268" s="45"/>
      <c r="AK268" s="50" t="s">
        <v>56</v>
      </c>
      <c r="AL268" s="49">
        <f>SUM(AL253:AO267)</f>
        <v>0</v>
      </c>
      <c r="AM268" s="47"/>
      <c r="AN268" s="47"/>
      <c r="AO268" s="47"/>
      <c r="AP268" s="49">
        <f>AP267</f>
        <v>0</v>
      </c>
      <c r="AQ268" s="49">
        <f>AQ267</f>
        <v>0</v>
      </c>
      <c r="AR268" s="49">
        <f>AR267</f>
        <v>0</v>
      </c>
      <c r="AS268" s="67"/>
      <c r="AT268" s="50" t="s">
        <v>56</v>
      </c>
      <c r="AU268" s="49">
        <f>SUM(AU253:AX267)</f>
        <v>0</v>
      </c>
      <c r="AV268" s="47"/>
      <c r="AW268" s="47"/>
      <c r="AX268" s="47"/>
      <c r="AY268" s="49">
        <f>AY267</f>
        <v>0</v>
      </c>
      <c r="AZ268" s="49">
        <f>AZ267</f>
        <v>0</v>
      </c>
      <c r="BA268" s="49">
        <f>BA267</f>
        <v>0</v>
      </c>
    </row>
    <row r="269" spans="1:53" ht="18.5" thickBot="1">
      <c r="A269" s="257" t="s">
        <v>187</v>
      </c>
      <c r="B269" s="258"/>
      <c r="C269" s="258"/>
      <c r="D269" s="258"/>
      <c r="E269" s="258"/>
      <c r="F269" s="258"/>
      <c r="G269" s="258"/>
      <c r="H269" s="259"/>
      <c r="I269" s="14"/>
      <c r="J269" s="257" t="s">
        <v>187</v>
      </c>
      <c r="K269" s="258"/>
      <c r="L269" s="258"/>
      <c r="M269" s="258"/>
      <c r="N269" s="258"/>
      <c r="O269" s="258"/>
      <c r="P269" s="258"/>
      <c r="Q269" s="259"/>
      <c r="R269" s="14"/>
      <c r="S269" s="257" t="s">
        <v>187</v>
      </c>
      <c r="T269" s="258"/>
      <c r="U269" s="258"/>
      <c r="V269" s="258"/>
      <c r="W269" s="258"/>
      <c r="X269" s="258"/>
      <c r="Y269" s="258"/>
      <c r="Z269" s="259"/>
      <c r="AA269" s="14"/>
      <c r="AB269" s="257" t="s">
        <v>187</v>
      </c>
      <c r="AC269" s="258"/>
      <c r="AD269" s="258"/>
      <c r="AE269" s="258"/>
      <c r="AF269" s="258"/>
      <c r="AG269" s="258"/>
      <c r="AH269" s="258"/>
      <c r="AI269" s="259"/>
      <c r="AJ269" s="14"/>
      <c r="AK269" s="257" t="s">
        <v>187</v>
      </c>
      <c r="AL269" s="258"/>
      <c r="AM269" s="258"/>
      <c r="AN269" s="258"/>
      <c r="AO269" s="258"/>
      <c r="AP269" s="258"/>
      <c r="AQ269" s="258"/>
      <c r="AR269" s="259"/>
      <c r="AT269" s="257" t="s">
        <v>187</v>
      </c>
      <c r="AU269" s="258"/>
      <c r="AV269" s="258"/>
      <c r="AW269" s="258"/>
      <c r="AX269" s="258"/>
      <c r="AY269" s="258"/>
      <c r="AZ269" s="258"/>
      <c r="BA269" s="259"/>
    </row>
    <row r="270" spans="1:53" ht="17.25" customHeight="1" thickBot="1">
      <c r="A270" s="54" t="s">
        <v>2</v>
      </c>
      <c r="B270" s="55" t="s">
        <v>46</v>
      </c>
      <c r="C270" s="56"/>
      <c r="D270" s="56"/>
      <c r="E270" s="57"/>
      <c r="F270" s="55" t="s">
        <v>47</v>
      </c>
      <c r="G270" s="56"/>
      <c r="H270" s="57"/>
      <c r="I270" s="58"/>
      <c r="J270" s="54" t="s">
        <v>2</v>
      </c>
      <c r="K270" s="55" t="s">
        <v>46</v>
      </c>
      <c r="L270" s="56"/>
      <c r="M270" s="56"/>
      <c r="N270" s="57"/>
      <c r="O270" s="55" t="s">
        <v>47</v>
      </c>
      <c r="P270" s="56"/>
      <c r="Q270" s="57"/>
      <c r="R270" s="58"/>
      <c r="S270" s="54" t="s">
        <v>2</v>
      </c>
      <c r="T270" s="55" t="s">
        <v>46</v>
      </c>
      <c r="U270" s="56"/>
      <c r="V270" s="56"/>
      <c r="W270" s="57"/>
      <c r="X270" s="55" t="s">
        <v>47</v>
      </c>
      <c r="Y270" s="56"/>
      <c r="Z270" s="57"/>
      <c r="AA270" s="58"/>
      <c r="AB270" s="54" t="s">
        <v>2</v>
      </c>
      <c r="AC270" s="55" t="s">
        <v>46</v>
      </c>
      <c r="AD270" s="56"/>
      <c r="AE270" s="56"/>
      <c r="AF270" s="57"/>
      <c r="AG270" s="55" t="s">
        <v>47</v>
      </c>
      <c r="AH270" s="56"/>
      <c r="AI270" s="57"/>
      <c r="AJ270" s="58"/>
      <c r="AK270" s="54" t="s">
        <v>2</v>
      </c>
      <c r="AL270" s="55" t="s">
        <v>46</v>
      </c>
      <c r="AM270" s="56"/>
      <c r="AN270" s="56"/>
      <c r="AO270" s="57"/>
      <c r="AP270" s="55" t="s">
        <v>47</v>
      </c>
      <c r="AQ270" s="56"/>
      <c r="AR270" s="57"/>
      <c r="AS270" s="59"/>
      <c r="AT270" s="54" t="s">
        <v>2</v>
      </c>
      <c r="AU270" s="55" t="s">
        <v>46</v>
      </c>
      <c r="AV270" s="56"/>
      <c r="AW270" s="56"/>
      <c r="AX270" s="57"/>
      <c r="AY270" s="55" t="s">
        <v>47</v>
      </c>
      <c r="AZ270" s="56"/>
      <c r="BA270" s="57"/>
    </row>
    <row r="271" spans="1:53" ht="16" thickBot="1">
      <c r="A271" s="60">
        <v>0.8125</v>
      </c>
      <c r="B271" s="61" t="s">
        <v>49</v>
      </c>
      <c r="C271" s="61" t="s">
        <v>50</v>
      </c>
      <c r="D271" s="61" t="s">
        <v>51</v>
      </c>
      <c r="E271" s="61" t="s">
        <v>52</v>
      </c>
      <c r="F271" s="61" t="s">
        <v>53</v>
      </c>
      <c r="G271" s="61" t="s">
        <v>54</v>
      </c>
      <c r="H271" s="61" t="s">
        <v>55</v>
      </c>
      <c r="I271" s="58"/>
      <c r="J271" s="60">
        <v>0.8125</v>
      </c>
      <c r="K271" s="61" t="s">
        <v>49</v>
      </c>
      <c r="L271" s="61" t="s">
        <v>50</v>
      </c>
      <c r="M271" s="61" t="s">
        <v>51</v>
      </c>
      <c r="N271" s="61" t="s">
        <v>52</v>
      </c>
      <c r="O271" s="61" t="s">
        <v>53</v>
      </c>
      <c r="P271" s="61" t="s">
        <v>54</v>
      </c>
      <c r="Q271" s="61" t="s">
        <v>55</v>
      </c>
      <c r="R271" s="58"/>
      <c r="S271" s="60">
        <v>0.8125</v>
      </c>
      <c r="T271" s="61" t="s">
        <v>49</v>
      </c>
      <c r="U271" s="61" t="s">
        <v>50</v>
      </c>
      <c r="V271" s="61" t="s">
        <v>51</v>
      </c>
      <c r="W271" s="61" t="s">
        <v>52</v>
      </c>
      <c r="X271" s="61" t="s">
        <v>53</v>
      </c>
      <c r="Y271" s="61" t="s">
        <v>54</v>
      </c>
      <c r="Z271" s="61" t="s">
        <v>55</v>
      </c>
      <c r="AA271" s="58"/>
      <c r="AB271" s="60">
        <v>0.8125</v>
      </c>
      <c r="AC271" s="61" t="s">
        <v>49</v>
      </c>
      <c r="AD271" s="61" t="s">
        <v>50</v>
      </c>
      <c r="AE271" s="61" t="s">
        <v>51</v>
      </c>
      <c r="AF271" s="61" t="s">
        <v>52</v>
      </c>
      <c r="AG271" s="61" t="s">
        <v>53</v>
      </c>
      <c r="AH271" s="61" t="s">
        <v>54</v>
      </c>
      <c r="AI271" s="61" t="s">
        <v>55</v>
      </c>
      <c r="AJ271" s="58"/>
      <c r="AK271" s="60">
        <v>0.8125</v>
      </c>
      <c r="AL271" s="61" t="s">
        <v>49</v>
      </c>
      <c r="AM271" s="61" t="s">
        <v>50</v>
      </c>
      <c r="AN271" s="61" t="s">
        <v>51</v>
      </c>
      <c r="AO271" s="61" t="s">
        <v>52</v>
      </c>
      <c r="AP271" s="61" t="s">
        <v>53</v>
      </c>
      <c r="AQ271" s="61" t="s">
        <v>54</v>
      </c>
      <c r="AR271" s="61" t="s">
        <v>55</v>
      </c>
      <c r="AS271" s="59"/>
      <c r="AT271" s="60">
        <v>0.8125</v>
      </c>
      <c r="AU271" s="61" t="s">
        <v>49</v>
      </c>
      <c r="AV271" s="61" t="s">
        <v>50</v>
      </c>
      <c r="AW271" s="61" t="s">
        <v>51</v>
      </c>
      <c r="AX271" s="61" t="s">
        <v>52</v>
      </c>
      <c r="AY271" s="61" t="s">
        <v>53</v>
      </c>
      <c r="AZ271" s="61" t="s">
        <v>54</v>
      </c>
      <c r="BA271" s="61" t="s">
        <v>55</v>
      </c>
    </row>
    <row r="272" spans="1:53" ht="16" thickBot="1">
      <c r="A272" s="62">
        <v>31</v>
      </c>
      <c r="B272" s="39">
        <f>資料儲存!D6332</f>
        <v>0</v>
      </c>
      <c r="C272" s="39">
        <f>資料儲存!E6332</f>
        <v>0</v>
      </c>
      <c r="D272" s="39">
        <f>資料儲存!F6332</f>
        <v>0</v>
      </c>
      <c r="E272" s="39">
        <f>資料儲存!G6332</f>
        <v>0</v>
      </c>
      <c r="F272" s="39">
        <f>資料儲存!H6332</f>
        <v>0</v>
      </c>
      <c r="G272" s="39">
        <f>資料儲存!I6332</f>
        <v>0</v>
      </c>
      <c r="H272" s="39">
        <f>資料儲存!J6332</f>
        <v>0</v>
      </c>
      <c r="I272" s="58"/>
      <c r="J272" s="62">
        <v>31</v>
      </c>
      <c r="K272" s="39">
        <f>資料儲存!D6572</f>
        <v>0</v>
      </c>
      <c r="L272" s="39">
        <f>資料儲存!E6572</f>
        <v>0</v>
      </c>
      <c r="M272" s="39">
        <f>資料儲存!F6572</f>
        <v>0</v>
      </c>
      <c r="N272" s="39">
        <f>資料儲存!G6572</f>
        <v>0</v>
      </c>
      <c r="O272" s="39">
        <f>資料儲存!H6572</f>
        <v>0</v>
      </c>
      <c r="P272" s="39">
        <f>資料儲存!I6572</f>
        <v>0</v>
      </c>
      <c r="Q272" s="39">
        <f>資料儲存!J6572</f>
        <v>0</v>
      </c>
      <c r="R272" s="58"/>
      <c r="S272" s="62">
        <v>31</v>
      </c>
      <c r="T272" s="39">
        <f>資料儲存!D6812</f>
        <v>0</v>
      </c>
      <c r="U272" s="39">
        <f>資料儲存!E6812</f>
        <v>0</v>
      </c>
      <c r="V272" s="39">
        <f>資料儲存!F6812</f>
        <v>0</v>
      </c>
      <c r="W272" s="39">
        <f>資料儲存!G6812</f>
        <v>0</v>
      </c>
      <c r="X272" s="39">
        <f>資料儲存!H6812</f>
        <v>0</v>
      </c>
      <c r="Y272" s="39">
        <f>資料儲存!I6812</f>
        <v>0</v>
      </c>
      <c r="Z272" s="39">
        <f>資料儲存!J6812</f>
        <v>0</v>
      </c>
      <c r="AA272" s="58"/>
      <c r="AB272" s="62">
        <v>31</v>
      </c>
      <c r="AC272" s="39">
        <f>資料儲存!D7052</f>
        <v>0</v>
      </c>
      <c r="AD272" s="39">
        <f>資料儲存!E7052</f>
        <v>0</v>
      </c>
      <c r="AE272" s="39">
        <f>資料儲存!F7052</f>
        <v>0</v>
      </c>
      <c r="AF272" s="39">
        <f>資料儲存!G7052</f>
        <v>0</v>
      </c>
      <c r="AG272" s="39">
        <f>資料儲存!H7052</f>
        <v>0</v>
      </c>
      <c r="AH272" s="39">
        <f>資料儲存!I7052</f>
        <v>0</v>
      </c>
      <c r="AI272" s="39">
        <f>資料儲存!J7052</f>
        <v>0</v>
      </c>
      <c r="AJ272" s="58"/>
      <c r="AK272" s="62">
        <v>31</v>
      </c>
      <c r="AL272" s="39">
        <f>資料儲存!D7292</f>
        <v>0</v>
      </c>
      <c r="AM272" s="39">
        <f>資料儲存!E7292</f>
        <v>0</v>
      </c>
      <c r="AN272" s="39">
        <f>資料儲存!F7292</f>
        <v>0</v>
      </c>
      <c r="AO272" s="39">
        <f>資料儲存!G7292</f>
        <v>0</v>
      </c>
      <c r="AP272" s="39">
        <f>資料儲存!H7292</f>
        <v>0</v>
      </c>
      <c r="AQ272" s="39">
        <f>資料儲存!I7292</f>
        <v>0</v>
      </c>
      <c r="AR272" s="39">
        <f>資料儲存!J7292</f>
        <v>0</v>
      </c>
      <c r="AS272" s="59"/>
      <c r="AT272" s="62">
        <v>31</v>
      </c>
      <c r="AU272" s="39">
        <f>資料儲存!D7532</f>
        <v>0</v>
      </c>
      <c r="AV272" s="39">
        <f>資料儲存!E7532</f>
        <v>0</v>
      </c>
      <c r="AW272" s="39">
        <f>資料儲存!F7532</f>
        <v>0</v>
      </c>
      <c r="AX272" s="39">
        <f>資料儲存!G7532</f>
        <v>0</v>
      </c>
      <c r="AY272" s="39">
        <f>資料儲存!H7532</f>
        <v>0</v>
      </c>
      <c r="AZ272" s="39">
        <f>資料儲存!I7532</f>
        <v>0</v>
      </c>
      <c r="BA272" s="39">
        <f>資料儲存!J7532</f>
        <v>0</v>
      </c>
    </row>
    <row r="273" spans="1:53" ht="16" thickBot="1">
      <c r="A273" s="62">
        <v>32</v>
      </c>
      <c r="B273" s="39">
        <f>資料儲存!D6333</f>
        <v>0</v>
      </c>
      <c r="C273" s="39">
        <f>資料儲存!E6333</f>
        <v>0</v>
      </c>
      <c r="D273" s="39">
        <f>資料儲存!F6333</f>
        <v>0</v>
      </c>
      <c r="E273" s="39">
        <f>資料儲存!G6333</f>
        <v>0</v>
      </c>
      <c r="F273" s="39">
        <f>資料儲存!H6333</f>
        <v>0</v>
      </c>
      <c r="G273" s="39">
        <f>資料儲存!I6333</f>
        <v>0</v>
      </c>
      <c r="H273" s="39">
        <f>資料儲存!J6333</f>
        <v>0</v>
      </c>
      <c r="I273" s="58"/>
      <c r="J273" s="62">
        <v>32</v>
      </c>
      <c r="K273" s="39">
        <f>資料儲存!D6573</f>
        <v>0</v>
      </c>
      <c r="L273" s="39">
        <f>資料儲存!E6573</f>
        <v>0</v>
      </c>
      <c r="M273" s="39">
        <f>資料儲存!F6573</f>
        <v>0</v>
      </c>
      <c r="N273" s="39">
        <f>資料儲存!G6573</f>
        <v>0</v>
      </c>
      <c r="O273" s="39">
        <f>資料儲存!H6573</f>
        <v>0</v>
      </c>
      <c r="P273" s="39">
        <f>資料儲存!I6573</f>
        <v>0</v>
      </c>
      <c r="Q273" s="39">
        <f>資料儲存!J6573</f>
        <v>0</v>
      </c>
      <c r="R273" s="58"/>
      <c r="S273" s="62">
        <v>32</v>
      </c>
      <c r="T273" s="39">
        <f>資料儲存!D6813</f>
        <v>0</v>
      </c>
      <c r="U273" s="39">
        <f>資料儲存!E6813</f>
        <v>0</v>
      </c>
      <c r="V273" s="39">
        <f>資料儲存!F6813</f>
        <v>0</v>
      </c>
      <c r="W273" s="39">
        <f>資料儲存!G6813</f>
        <v>0</v>
      </c>
      <c r="X273" s="39">
        <f>資料儲存!H6813</f>
        <v>0</v>
      </c>
      <c r="Y273" s="39">
        <f>資料儲存!I6813</f>
        <v>0</v>
      </c>
      <c r="Z273" s="39">
        <f>資料儲存!J6813</f>
        <v>0</v>
      </c>
      <c r="AA273" s="58"/>
      <c r="AB273" s="62">
        <v>32</v>
      </c>
      <c r="AC273" s="39">
        <f>資料儲存!D7053</f>
        <v>0</v>
      </c>
      <c r="AD273" s="39">
        <f>資料儲存!E7053</f>
        <v>0</v>
      </c>
      <c r="AE273" s="39">
        <f>資料儲存!F7053</f>
        <v>0</v>
      </c>
      <c r="AF273" s="39">
        <f>資料儲存!G7053</f>
        <v>0</v>
      </c>
      <c r="AG273" s="39">
        <f>資料儲存!H7053</f>
        <v>0</v>
      </c>
      <c r="AH273" s="39">
        <f>資料儲存!I7053</f>
        <v>0</v>
      </c>
      <c r="AI273" s="39">
        <f>資料儲存!J7053</f>
        <v>0</v>
      </c>
      <c r="AJ273" s="58"/>
      <c r="AK273" s="62">
        <v>32</v>
      </c>
      <c r="AL273" s="39">
        <f>資料儲存!D7293</f>
        <v>0</v>
      </c>
      <c r="AM273" s="39">
        <f>資料儲存!E7293</f>
        <v>0</v>
      </c>
      <c r="AN273" s="39">
        <f>資料儲存!F7293</f>
        <v>0</v>
      </c>
      <c r="AO273" s="39">
        <f>資料儲存!G7293</f>
        <v>0</v>
      </c>
      <c r="AP273" s="39">
        <f>資料儲存!H7293</f>
        <v>0</v>
      </c>
      <c r="AQ273" s="39">
        <f>資料儲存!I7293</f>
        <v>0</v>
      </c>
      <c r="AR273" s="39">
        <f>資料儲存!J7293</f>
        <v>0</v>
      </c>
      <c r="AS273" s="59"/>
      <c r="AT273" s="62">
        <v>32</v>
      </c>
      <c r="AU273" s="39">
        <f>資料儲存!D7533</f>
        <v>0</v>
      </c>
      <c r="AV273" s="39">
        <f>資料儲存!E7533</f>
        <v>0</v>
      </c>
      <c r="AW273" s="39">
        <f>資料儲存!F7533</f>
        <v>0</v>
      </c>
      <c r="AX273" s="39">
        <f>資料儲存!G7533</f>
        <v>0</v>
      </c>
      <c r="AY273" s="39">
        <f>資料儲存!H7533</f>
        <v>0</v>
      </c>
      <c r="AZ273" s="39">
        <f>資料儲存!I7533</f>
        <v>0</v>
      </c>
      <c r="BA273" s="39">
        <f>資料儲存!J7533</f>
        <v>0</v>
      </c>
    </row>
    <row r="274" spans="1:53" ht="16" thickBot="1">
      <c r="A274" s="62">
        <v>33</v>
      </c>
      <c r="B274" s="39">
        <f>資料儲存!D6334</f>
        <v>0</v>
      </c>
      <c r="C274" s="39">
        <f>資料儲存!E6334</f>
        <v>0</v>
      </c>
      <c r="D274" s="39">
        <f>資料儲存!F6334</f>
        <v>0</v>
      </c>
      <c r="E274" s="39">
        <f>資料儲存!G6334</f>
        <v>0</v>
      </c>
      <c r="F274" s="39">
        <f>資料儲存!H6334</f>
        <v>0</v>
      </c>
      <c r="G274" s="39">
        <f>資料儲存!I6334</f>
        <v>0</v>
      </c>
      <c r="H274" s="39">
        <f>資料儲存!J6334</f>
        <v>0</v>
      </c>
      <c r="I274" s="58"/>
      <c r="J274" s="62">
        <v>33</v>
      </c>
      <c r="K274" s="39">
        <f>資料儲存!D6574</f>
        <v>0</v>
      </c>
      <c r="L274" s="39">
        <f>資料儲存!E6574</f>
        <v>0</v>
      </c>
      <c r="M274" s="39">
        <f>資料儲存!F6574</f>
        <v>0</v>
      </c>
      <c r="N274" s="39">
        <f>資料儲存!G6574</f>
        <v>0</v>
      </c>
      <c r="O274" s="39">
        <f>資料儲存!H6574</f>
        <v>0</v>
      </c>
      <c r="P274" s="39">
        <f>資料儲存!I6574</f>
        <v>0</v>
      </c>
      <c r="Q274" s="39">
        <f>資料儲存!J6574</f>
        <v>0</v>
      </c>
      <c r="R274" s="58"/>
      <c r="S274" s="62">
        <v>33</v>
      </c>
      <c r="T274" s="39">
        <f>資料儲存!D6814</f>
        <v>0</v>
      </c>
      <c r="U274" s="39">
        <f>資料儲存!E6814</f>
        <v>0</v>
      </c>
      <c r="V274" s="39">
        <f>資料儲存!F6814</f>
        <v>0</v>
      </c>
      <c r="W274" s="39">
        <f>資料儲存!G6814</f>
        <v>0</v>
      </c>
      <c r="X274" s="39">
        <f>資料儲存!H6814</f>
        <v>0</v>
      </c>
      <c r="Y274" s="39">
        <f>資料儲存!I6814</f>
        <v>0</v>
      </c>
      <c r="Z274" s="39">
        <f>資料儲存!J6814</f>
        <v>0</v>
      </c>
      <c r="AA274" s="58"/>
      <c r="AB274" s="62">
        <v>33</v>
      </c>
      <c r="AC274" s="39">
        <f>資料儲存!D7054</f>
        <v>0</v>
      </c>
      <c r="AD274" s="39">
        <f>資料儲存!E7054</f>
        <v>0</v>
      </c>
      <c r="AE274" s="39">
        <f>資料儲存!F7054</f>
        <v>0</v>
      </c>
      <c r="AF274" s="39">
        <f>資料儲存!G7054</f>
        <v>0</v>
      </c>
      <c r="AG274" s="39">
        <f>資料儲存!H7054</f>
        <v>0</v>
      </c>
      <c r="AH274" s="39">
        <f>資料儲存!I7054</f>
        <v>0</v>
      </c>
      <c r="AI274" s="39">
        <f>資料儲存!J7054</f>
        <v>0</v>
      </c>
      <c r="AJ274" s="58"/>
      <c r="AK274" s="62">
        <v>33</v>
      </c>
      <c r="AL274" s="39">
        <f>資料儲存!D7294</f>
        <v>0</v>
      </c>
      <c r="AM274" s="39">
        <f>資料儲存!E7294</f>
        <v>0</v>
      </c>
      <c r="AN274" s="39">
        <f>資料儲存!F7294</f>
        <v>0</v>
      </c>
      <c r="AO274" s="39">
        <f>資料儲存!G7294</f>
        <v>0</v>
      </c>
      <c r="AP274" s="39">
        <f>資料儲存!H7294</f>
        <v>0</v>
      </c>
      <c r="AQ274" s="39">
        <f>資料儲存!I7294</f>
        <v>0</v>
      </c>
      <c r="AR274" s="39">
        <f>資料儲存!J7294</f>
        <v>0</v>
      </c>
      <c r="AS274" s="59"/>
      <c r="AT274" s="62">
        <v>33</v>
      </c>
      <c r="AU274" s="39">
        <f>資料儲存!D7534</f>
        <v>0</v>
      </c>
      <c r="AV274" s="39">
        <f>資料儲存!E7534</f>
        <v>0</v>
      </c>
      <c r="AW274" s="39">
        <f>資料儲存!F7534</f>
        <v>0</v>
      </c>
      <c r="AX274" s="39">
        <f>資料儲存!G7534</f>
        <v>0</v>
      </c>
      <c r="AY274" s="39">
        <f>資料儲存!H7534</f>
        <v>0</v>
      </c>
      <c r="AZ274" s="39">
        <f>資料儲存!I7534</f>
        <v>0</v>
      </c>
      <c r="BA274" s="39">
        <f>資料儲存!J7534</f>
        <v>0</v>
      </c>
    </row>
    <row r="275" spans="1:53" ht="16" thickBot="1">
      <c r="A275" s="62">
        <v>34</v>
      </c>
      <c r="B275" s="39">
        <f>資料儲存!D6335</f>
        <v>0</v>
      </c>
      <c r="C275" s="39">
        <f>資料儲存!E6335</f>
        <v>0</v>
      </c>
      <c r="D275" s="39">
        <f>資料儲存!F6335</f>
        <v>0</v>
      </c>
      <c r="E275" s="39">
        <f>資料儲存!G6335</f>
        <v>0</v>
      </c>
      <c r="F275" s="39">
        <f>資料儲存!H6335</f>
        <v>0</v>
      </c>
      <c r="G275" s="39">
        <f>資料儲存!I6335</f>
        <v>0</v>
      </c>
      <c r="H275" s="39">
        <f>資料儲存!J6335</f>
        <v>0</v>
      </c>
      <c r="I275" s="58"/>
      <c r="J275" s="62">
        <v>34</v>
      </c>
      <c r="K275" s="39">
        <f>資料儲存!D6575</f>
        <v>0</v>
      </c>
      <c r="L275" s="39">
        <f>資料儲存!E6575</f>
        <v>0</v>
      </c>
      <c r="M275" s="39">
        <f>資料儲存!F6575</f>
        <v>0</v>
      </c>
      <c r="N275" s="39">
        <f>資料儲存!G6575</f>
        <v>0</v>
      </c>
      <c r="O275" s="39">
        <f>資料儲存!H6575</f>
        <v>0</v>
      </c>
      <c r="P275" s="39">
        <f>資料儲存!I6575</f>
        <v>0</v>
      </c>
      <c r="Q275" s="39">
        <f>資料儲存!J6575</f>
        <v>0</v>
      </c>
      <c r="R275" s="58"/>
      <c r="S275" s="62">
        <v>34</v>
      </c>
      <c r="T275" s="39">
        <f>資料儲存!D6815</f>
        <v>0</v>
      </c>
      <c r="U275" s="39">
        <f>資料儲存!E6815</f>
        <v>0</v>
      </c>
      <c r="V275" s="39">
        <f>資料儲存!F6815</f>
        <v>0</v>
      </c>
      <c r="W275" s="39">
        <f>資料儲存!G6815</f>
        <v>0</v>
      </c>
      <c r="X275" s="39">
        <f>資料儲存!H6815</f>
        <v>0</v>
      </c>
      <c r="Y275" s="39">
        <f>資料儲存!I6815</f>
        <v>0</v>
      </c>
      <c r="Z275" s="39">
        <f>資料儲存!J6815</f>
        <v>0</v>
      </c>
      <c r="AA275" s="58"/>
      <c r="AB275" s="62">
        <v>34</v>
      </c>
      <c r="AC275" s="39">
        <f>資料儲存!D7055</f>
        <v>0</v>
      </c>
      <c r="AD275" s="39">
        <f>資料儲存!E7055</f>
        <v>0</v>
      </c>
      <c r="AE275" s="39">
        <f>資料儲存!F7055</f>
        <v>0</v>
      </c>
      <c r="AF275" s="39">
        <f>資料儲存!G7055</f>
        <v>0</v>
      </c>
      <c r="AG275" s="39">
        <f>資料儲存!H7055</f>
        <v>0</v>
      </c>
      <c r="AH275" s="39">
        <f>資料儲存!I7055</f>
        <v>0</v>
      </c>
      <c r="AI275" s="39">
        <f>資料儲存!J7055</f>
        <v>0</v>
      </c>
      <c r="AJ275" s="58"/>
      <c r="AK275" s="62">
        <v>34</v>
      </c>
      <c r="AL275" s="39">
        <f>資料儲存!D7295</f>
        <v>0</v>
      </c>
      <c r="AM275" s="39">
        <f>資料儲存!E7295</f>
        <v>0</v>
      </c>
      <c r="AN275" s="39">
        <f>資料儲存!F7295</f>
        <v>0</v>
      </c>
      <c r="AO275" s="39">
        <f>資料儲存!G7295</f>
        <v>0</v>
      </c>
      <c r="AP275" s="39">
        <f>資料儲存!H7295</f>
        <v>0</v>
      </c>
      <c r="AQ275" s="39">
        <f>資料儲存!I7295</f>
        <v>0</v>
      </c>
      <c r="AR275" s="39">
        <f>資料儲存!J7295</f>
        <v>0</v>
      </c>
      <c r="AS275" s="59"/>
      <c r="AT275" s="62">
        <v>34</v>
      </c>
      <c r="AU275" s="39">
        <f>資料儲存!D7535</f>
        <v>0</v>
      </c>
      <c r="AV275" s="39">
        <f>資料儲存!E7535</f>
        <v>0</v>
      </c>
      <c r="AW275" s="39">
        <f>資料儲存!F7535</f>
        <v>0</v>
      </c>
      <c r="AX275" s="39">
        <f>資料儲存!G7535</f>
        <v>0</v>
      </c>
      <c r="AY275" s="39">
        <f>資料儲存!H7535</f>
        <v>0</v>
      </c>
      <c r="AZ275" s="39">
        <f>資料儲存!I7535</f>
        <v>0</v>
      </c>
      <c r="BA275" s="39">
        <f>資料儲存!J7535</f>
        <v>0</v>
      </c>
    </row>
    <row r="276" spans="1:53" ht="16" thickBot="1">
      <c r="A276" s="62">
        <v>35</v>
      </c>
      <c r="B276" s="39">
        <f>資料儲存!D6336</f>
        <v>0</v>
      </c>
      <c r="C276" s="39">
        <f>資料儲存!E6336</f>
        <v>0</v>
      </c>
      <c r="D276" s="39">
        <f>資料儲存!F6336</f>
        <v>0</v>
      </c>
      <c r="E276" s="39">
        <f>資料儲存!G6336</f>
        <v>0</v>
      </c>
      <c r="F276" s="39">
        <f>資料儲存!H6336</f>
        <v>0</v>
      </c>
      <c r="G276" s="39">
        <f>資料儲存!I6336</f>
        <v>0</v>
      </c>
      <c r="H276" s="39">
        <f>資料儲存!J6336</f>
        <v>0</v>
      </c>
      <c r="I276" s="58"/>
      <c r="J276" s="62">
        <v>35</v>
      </c>
      <c r="K276" s="39">
        <f>資料儲存!D6576</f>
        <v>0</v>
      </c>
      <c r="L276" s="39">
        <f>資料儲存!E6576</f>
        <v>0</v>
      </c>
      <c r="M276" s="39">
        <f>資料儲存!F6576</f>
        <v>0</v>
      </c>
      <c r="N276" s="39">
        <f>資料儲存!G6576</f>
        <v>0</v>
      </c>
      <c r="O276" s="39">
        <f>資料儲存!H6576</f>
        <v>0</v>
      </c>
      <c r="P276" s="39">
        <f>資料儲存!I6576</f>
        <v>0</v>
      </c>
      <c r="Q276" s="39">
        <f>資料儲存!J6576</f>
        <v>0</v>
      </c>
      <c r="R276" s="58"/>
      <c r="S276" s="62">
        <v>35</v>
      </c>
      <c r="T276" s="39">
        <f>資料儲存!D6816</f>
        <v>0</v>
      </c>
      <c r="U276" s="39">
        <f>資料儲存!E6816</f>
        <v>0</v>
      </c>
      <c r="V276" s="39">
        <f>資料儲存!F6816</f>
        <v>0</v>
      </c>
      <c r="W276" s="39">
        <f>資料儲存!G6816</f>
        <v>0</v>
      </c>
      <c r="X276" s="39">
        <f>資料儲存!H6816</f>
        <v>0</v>
      </c>
      <c r="Y276" s="39">
        <f>資料儲存!I6816</f>
        <v>0</v>
      </c>
      <c r="Z276" s="39">
        <f>資料儲存!J6816</f>
        <v>0</v>
      </c>
      <c r="AA276" s="58"/>
      <c r="AB276" s="62">
        <v>35</v>
      </c>
      <c r="AC276" s="39">
        <f>資料儲存!D7056</f>
        <v>0</v>
      </c>
      <c r="AD276" s="39">
        <f>資料儲存!E7056</f>
        <v>0</v>
      </c>
      <c r="AE276" s="39">
        <f>資料儲存!F7056</f>
        <v>0</v>
      </c>
      <c r="AF276" s="39">
        <f>資料儲存!G7056</f>
        <v>0</v>
      </c>
      <c r="AG276" s="39">
        <f>資料儲存!H7056</f>
        <v>0</v>
      </c>
      <c r="AH276" s="39">
        <f>資料儲存!I7056</f>
        <v>0</v>
      </c>
      <c r="AI276" s="39">
        <f>資料儲存!J7056</f>
        <v>0</v>
      </c>
      <c r="AJ276" s="58"/>
      <c r="AK276" s="62">
        <v>35</v>
      </c>
      <c r="AL276" s="39">
        <f>資料儲存!D7296</f>
        <v>0</v>
      </c>
      <c r="AM276" s="39">
        <f>資料儲存!E7296</f>
        <v>0</v>
      </c>
      <c r="AN276" s="39">
        <f>資料儲存!F7296</f>
        <v>0</v>
      </c>
      <c r="AO276" s="39">
        <f>資料儲存!G7296</f>
        <v>0</v>
      </c>
      <c r="AP276" s="39">
        <f>資料儲存!H7296</f>
        <v>0</v>
      </c>
      <c r="AQ276" s="39">
        <f>資料儲存!I7296</f>
        <v>0</v>
      </c>
      <c r="AR276" s="39">
        <f>資料儲存!J7296</f>
        <v>0</v>
      </c>
      <c r="AS276" s="59"/>
      <c r="AT276" s="62">
        <v>35</v>
      </c>
      <c r="AU276" s="39">
        <f>資料儲存!D7536</f>
        <v>0</v>
      </c>
      <c r="AV276" s="39">
        <f>資料儲存!E7536</f>
        <v>0</v>
      </c>
      <c r="AW276" s="39">
        <f>資料儲存!F7536</f>
        <v>0</v>
      </c>
      <c r="AX276" s="39">
        <f>資料儲存!G7536</f>
        <v>0</v>
      </c>
      <c r="AY276" s="39">
        <f>資料儲存!H7536</f>
        <v>0</v>
      </c>
      <c r="AZ276" s="39">
        <f>資料儲存!I7536</f>
        <v>0</v>
      </c>
      <c r="BA276" s="39">
        <f>資料儲存!J7536</f>
        <v>0</v>
      </c>
    </row>
    <row r="277" spans="1:53" ht="16" thickBot="1">
      <c r="A277" s="62">
        <v>36</v>
      </c>
      <c r="B277" s="39">
        <f>資料儲存!D6337</f>
        <v>0</v>
      </c>
      <c r="C277" s="39">
        <f>資料儲存!E6337</f>
        <v>0</v>
      </c>
      <c r="D277" s="39">
        <f>資料儲存!F6337</f>
        <v>0</v>
      </c>
      <c r="E277" s="39">
        <f>資料儲存!G6337</f>
        <v>0</v>
      </c>
      <c r="F277" s="39">
        <f>資料儲存!H6337</f>
        <v>0</v>
      </c>
      <c r="G277" s="39">
        <f>資料儲存!I6337</f>
        <v>0</v>
      </c>
      <c r="H277" s="39">
        <f>資料儲存!J6337</f>
        <v>0</v>
      </c>
      <c r="I277" s="58"/>
      <c r="J277" s="62">
        <v>36</v>
      </c>
      <c r="K277" s="39">
        <f>資料儲存!D6577</f>
        <v>0</v>
      </c>
      <c r="L277" s="39">
        <f>資料儲存!E6577</f>
        <v>0</v>
      </c>
      <c r="M277" s="39">
        <f>資料儲存!F6577</f>
        <v>0</v>
      </c>
      <c r="N277" s="39">
        <f>資料儲存!G6577</f>
        <v>0</v>
      </c>
      <c r="O277" s="39">
        <f>資料儲存!H6577</f>
        <v>0</v>
      </c>
      <c r="P277" s="39">
        <f>資料儲存!I6577</f>
        <v>0</v>
      </c>
      <c r="Q277" s="39">
        <f>資料儲存!J6577</f>
        <v>0</v>
      </c>
      <c r="R277" s="58"/>
      <c r="S277" s="62">
        <v>36</v>
      </c>
      <c r="T277" s="39">
        <f>資料儲存!D6817</f>
        <v>0</v>
      </c>
      <c r="U277" s="39">
        <f>資料儲存!E6817</f>
        <v>0</v>
      </c>
      <c r="V277" s="39">
        <f>資料儲存!F6817</f>
        <v>0</v>
      </c>
      <c r="W277" s="39">
        <f>資料儲存!G6817</f>
        <v>0</v>
      </c>
      <c r="X277" s="39">
        <f>資料儲存!H6817</f>
        <v>0</v>
      </c>
      <c r="Y277" s="39">
        <f>資料儲存!I6817</f>
        <v>0</v>
      </c>
      <c r="Z277" s="39">
        <f>資料儲存!J6817</f>
        <v>0</v>
      </c>
      <c r="AA277" s="58"/>
      <c r="AB277" s="62">
        <v>36</v>
      </c>
      <c r="AC277" s="39">
        <f>資料儲存!D7057</f>
        <v>0</v>
      </c>
      <c r="AD277" s="39">
        <f>資料儲存!E7057</f>
        <v>0</v>
      </c>
      <c r="AE277" s="39">
        <f>資料儲存!F7057</f>
        <v>0</v>
      </c>
      <c r="AF277" s="39">
        <f>資料儲存!G7057</f>
        <v>0</v>
      </c>
      <c r="AG277" s="39">
        <f>資料儲存!H7057</f>
        <v>0</v>
      </c>
      <c r="AH277" s="39">
        <f>資料儲存!I7057</f>
        <v>0</v>
      </c>
      <c r="AI277" s="39">
        <f>資料儲存!J7057</f>
        <v>0</v>
      </c>
      <c r="AJ277" s="58"/>
      <c r="AK277" s="62">
        <v>36</v>
      </c>
      <c r="AL277" s="39">
        <f>資料儲存!D7297</f>
        <v>0</v>
      </c>
      <c r="AM277" s="39">
        <f>資料儲存!E7297</f>
        <v>0</v>
      </c>
      <c r="AN277" s="39">
        <f>資料儲存!F7297</f>
        <v>0</v>
      </c>
      <c r="AO277" s="39">
        <f>資料儲存!G7297</f>
        <v>0</v>
      </c>
      <c r="AP277" s="39">
        <f>資料儲存!H7297</f>
        <v>0</v>
      </c>
      <c r="AQ277" s="39">
        <f>資料儲存!I7297</f>
        <v>0</v>
      </c>
      <c r="AR277" s="39">
        <f>資料儲存!J7297</f>
        <v>0</v>
      </c>
      <c r="AS277" s="59"/>
      <c r="AT277" s="62">
        <v>36</v>
      </c>
      <c r="AU277" s="39">
        <f>資料儲存!D7537</f>
        <v>0</v>
      </c>
      <c r="AV277" s="39">
        <f>資料儲存!E7537</f>
        <v>0</v>
      </c>
      <c r="AW277" s="39">
        <f>資料儲存!F7537</f>
        <v>0</v>
      </c>
      <c r="AX277" s="39">
        <f>資料儲存!G7537</f>
        <v>0</v>
      </c>
      <c r="AY277" s="39">
        <f>資料儲存!H7537</f>
        <v>0</v>
      </c>
      <c r="AZ277" s="39">
        <f>資料儲存!I7537</f>
        <v>0</v>
      </c>
      <c r="BA277" s="39">
        <f>資料儲存!J7537</f>
        <v>0</v>
      </c>
    </row>
    <row r="278" spans="1:53" ht="16" thickBot="1">
      <c r="A278" s="62">
        <v>37</v>
      </c>
      <c r="B278" s="39">
        <f>資料儲存!D6338</f>
        <v>0</v>
      </c>
      <c r="C278" s="39">
        <f>資料儲存!E6338</f>
        <v>0</v>
      </c>
      <c r="D278" s="39">
        <f>資料儲存!F6338</f>
        <v>0</v>
      </c>
      <c r="E278" s="39">
        <f>資料儲存!G6338</f>
        <v>0</v>
      </c>
      <c r="F278" s="39">
        <f>資料儲存!H6338</f>
        <v>0</v>
      </c>
      <c r="G278" s="39">
        <f>資料儲存!I6338</f>
        <v>0</v>
      </c>
      <c r="H278" s="39">
        <f>資料儲存!J6338</f>
        <v>0</v>
      </c>
      <c r="I278" s="58"/>
      <c r="J278" s="62">
        <v>37</v>
      </c>
      <c r="K278" s="39">
        <f>資料儲存!D6578</f>
        <v>0</v>
      </c>
      <c r="L278" s="39">
        <f>資料儲存!E6578</f>
        <v>0</v>
      </c>
      <c r="M278" s="39">
        <f>資料儲存!F6578</f>
        <v>0</v>
      </c>
      <c r="N278" s="39">
        <f>資料儲存!G6578</f>
        <v>0</v>
      </c>
      <c r="O278" s="39">
        <f>資料儲存!H6578</f>
        <v>0</v>
      </c>
      <c r="P278" s="39">
        <f>資料儲存!I6578</f>
        <v>0</v>
      </c>
      <c r="Q278" s="39">
        <f>資料儲存!J6578</f>
        <v>0</v>
      </c>
      <c r="R278" s="58"/>
      <c r="S278" s="62">
        <v>37</v>
      </c>
      <c r="T278" s="39">
        <f>資料儲存!D6818</f>
        <v>0</v>
      </c>
      <c r="U278" s="39">
        <f>資料儲存!E6818</f>
        <v>0</v>
      </c>
      <c r="V278" s="39">
        <f>資料儲存!F6818</f>
        <v>0</v>
      </c>
      <c r="W278" s="39">
        <f>資料儲存!G6818</f>
        <v>0</v>
      </c>
      <c r="X278" s="39">
        <f>資料儲存!H6818</f>
        <v>0</v>
      </c>
      <c r="Y278" s="39">
        <f>資料儲存!I6818</f>
        <v>0</v>
      </c>
      <c r="Z278" s="39">
        <f>資料儲存!J6818</f>
        <v>0</v>
      </c>
      <c r="AA278" s="58"/>
      <c r="AB278" s="62">
        <v>37</v>
      </c>
      <c r="AC278" s="39">
        <f>資料儲存!D7058</f>
        <v>0</v>
      </c>
      <c r="AD278" s="39">
        <f>資料儲存!E7058</f>
        <v>0</v>
      </c>
      <c r="AE278" s="39">
        <f>資料儲存!F7058</f>
        <v>0</v>
      </c>
      <c r="AF278" s="39">
        <f>資料儲存!G7058</f>
        <v>0</v>
      </c>
      <c r="AG278" s="39">
        <f>資料儲存!H7058</f>
        <v>0</v>
      </c>
      <c r="AH278" s="39">
        <f>資料儲存!I7058</f>
        <v>0</v>
      </c>
      <c r="AI278" s="39">
        <f>資料儲存!J7058</f>
        <v>0</v>
      </c>
      <c r="AJ278" s="58"/>
      <c r="AK278" s="62">
        <v>37</v>
      </c>
      <c r="AL278" s="39">
        <f>資料儲存!D7298</f>
        <v>0</v>
      </c>
      <c r="AM278" s="39">
        <f>資料儲存!E7298</f>
        <v>0</v>
      </c>
      <c r="AN278" s="39">
        <f>資料儲存!F7298</f>
        <v>0</v>
      </c>
      <c r="AO278" s="39">
        <f>資料儲存!G7298</f>
        <v>0</v>
      </c>
      <c r="AP278" s="39">
        <f>資料儲存!H7298</f>
        <v>0</v>
      </c>
      <c r="AQ278" s="39">
        <f>資料儲存!I7298</f>
        <v>0</v>
      </c>
      <c r="AR278" s="39">
        <f>資料儲存!J7298</f>
        <v>0</v>
      </c>
      <c r="AS278" s="59"/>
      <c r="AT278" s="62">
        <v>37</v>
      </c>
      <c r="AU278" s="39">
        <f>資料儲存!D7538</f>
        <v>0</v>
      </c>
      <c r="AV278" s="39">
        <f>資料儲存!E7538</f>
        <v>0</v>
      </c>
      <c r="AW278" s="39">
        <f>資料儲存!F7538</f>
        <v>0</v>
      </c>
      <c r="AX278" s="39">
        <f>資料儲存!G7538</f>
        <v>0</v>
      </c>
      <c r="AY278" s="39">
        <f>資料儲存!H7538</f>
        <v>0</v>
      </c>
      <c r="AZ278" s="39">
        <f>資料儲存!I7538</f>
        <v>0</v>
      </c>
      <c r="BA278" s="39">
        <f>資料儲存!J7538</f>
        <v>0</v>
      </c>
    </row>
    <row r="279" spans="1:53" ht="16" thickBot="1">
      <c r="A279" s="62">
        <v>38</v>
      </c>
      <c r="B279" s="39">
        <f>資料儲存!D6339</f>
        <v>0</v>
      </c>
      <c r="C279" s="39">
        <f>資料儲存!E6339</f>
        <v>0</v>
      </c>
      <c r="D279" s="39">
        <f>資料儲存!F6339</f>
        <v>0</v>
      </c>
      <c r="E279" s="39">
        <f>資料儲存!G6339</f>
        <v>0</v>
      </c>
      <c r="F279" s="39">
        <f>資料儲存!H6339</f>
        <v>0</v>
      </c>
      <c r="G279" s="39">
        <f>資料儲存!I6339</f>
        <v>0</v>
      </c>
      <c r="H279" s="39">
        <f>資料儲存!J6339</f>
        <v>0</v>
      </c>
      <c r="I279" s="58"/>
      <c r="J279" s="62">
        <v>38</v>
      </c>
      <c r="K279" s="39">
        <f>資料儲存!D6579</f>
        <v>0</v>
      </c>
      <c r="L279" s="39">
        <f>資料儲存!E6579</f>
        <v>0</v>
      </c>
      <c r="M279" s="39">
        <f>資料儲存!F6579</f>
        <v>0</v>
      </c>
      <c r="N279" s="39">
        <f>資料儲存!G6579</f>
        <v>0</v>
      </c>
      <c r="O279" s="39">
        <f>資料儲存!H6579</f>
        <v>0</v>
      </c>
      <c r="P279" s="39">
        <f>資料儲存!I6579</f>
        <v>0</v>
      </c>
      <c r="Q279" s="39">
        <f>資料儲存!J6579</f>
        <v>0</v>
      </c>
      <c r="R279" s="58"/>
      <c r="S279" s="62">
        <v>38</v>
      </c>
      <c r="T279" s="39">
        <f>資料儲存!D6819</f>
        <v>0</v>
      </c>
      <c r="U279" s="39">
        <f>資料儲存!E6819</f>
        <v>0</v>
      </c>
      <c r="V279" s="39">
        <f>資料儲存!F6819</f>
        <v>0</v>
      </c>
      <c r="W279" s="39">
        <f>資料儲存!G6819</f>
        <v>0</v>
      </c>
      <c r="X279" s="39">
        <f>資料儲存!H6819</f>
        <v>0</v>
      </c>
      <c r="Y279" s="39">
        <f>資料儲存!I6819</f>
        <v>0</v>
      </c>
      <c r="Z279" s="39">
        <f>資料儲存!J6819</f>
        <v>0</v>
      </c>
      <c r="AA279" s="58"/>
      <c r="AB279" s="62">
        <v>38</v>
      </c>
      <c r="AC279" s="39">
        <f>資料儲存!D7059</f>
        <v>0</v>
      </c>
      <c r="AD279" s="39">
        <f>資料儲存!E7059</f>
        <v>0</v>
      </c>
      <c r="AE279" s="39">
        <f>資料儲存!F7059</f>
        <v>0</v>
      </c>
      <c r="AF279" s="39">
        <f>資料儲存!G7059</f>
        <v>0</v>
      </c>
      <c r="AG279" s="39">
        <f>資料儲存!H7059</f>
        <v>0</v>
      </c>
      <c r="AH279" s="39">
        <f>資料儲存!I7059</f>
        <v>0</v>
      </c>
      <c r="AI279" s="39">
        <f>資料儲存!J7059</f>
        <v>0</v>
      </c>
      <c r="AJ279" s="58"/>
      <c r="AK279" s="62">
        <v>38</v>
      </c>
      <c r="AL279" s="39">
        <f>資料儲存!D7299</f>
        <v>0</v>
      </c>
      <c r="AM279" s="39">
        <f>資料儲存!E7299</f>
        <v>0</v>
      </c>
      <c r="AN279" s="39">
        <f>資料儲存!F7299</f>
        <v>0</v>
      </c>
      <c r="AO279" s="39">
        <f>資料儲存!G7299</f>
        <v>0</v>
      </c>
      <c r="AP279" s="39">
        <f>資料儲存!H7299</f>
        <v>0</v>
      </c>
      <c r="AQ279" s="39">
        <f>資料儲存!I7299</f>
        <v>0</v>
      </c>
      <c r="AR279" s="39">
        <f>資料儲存!J7299</f>
        <v>0</v>
      </c>
      <c r="AS279" s="59"/>
      <c r="AT279" s="62">
        <v>38</v>
      </c>
      <c r="AU279" s="39">
        <f>資料儲存!D7539</f>
        <v>0</v>
      </c>
      <c r="AV279" s="39">
        <f>資料儲存!E7539</f>
        <v>0</v>
      </c>
      <c r="AW279" s="39">
        <f>資料儲存!F7539</f>
        <v>0</v>
      </c>
      <c r="AX279" s="39">
        <f>資料儲存!G7539</f>
        <v>0</v>
      </c>
      <c r="AY279" s="39">
        <f>資料儲存!H7539</f>
        <v>0</v>
      </c>
      <c r="AZ279" s="39">
        <f>資料儲存!I7539</f>
        <v>0</v>
      </c>
      <c r="BA279" s="39">
        <f>資料儲存!J7539</f>
        <v>0</v>
      </c>
    </row>
    <row r="280" spans="1:53" ht="16" thickBot="1">
      <c r="A280" s="62">
        <v>39</v>
      </c>
      <c r="B280" s="39">
        <f>資料儲存!D6340</f>
        <v>0</v>
      </c>
      <c r="C280" s="39">
        <f>資料儲存!E6340</f>
        <v>0</v>
      </c>
      <c r="D280" s="39">
        <f>資料儲存!F6340</f>
        <v>0</v>
      </c>
      <c r="E280" s="39">
        <f>資料儲存!G6340</f>
        <v>0</v>
      </c>
      <c r="F280" s="39">
        <f>資料儲存!H6340</f>
        <v>0</v>
      </c>
      <c r="G280" s="39">
        <f>資料儲存!I6340</f>
        <v>0</v>
      </c>
      <c r="H280" s="39">
        <f>資料儲存!J6340</f>
        <v>0</v>
      </c>
      <c r="I280" s="58"/>
      <c r="J280" s="62">
        <v>39</v>
      </c>
      <c r="K280" s="39">
        <f>資料儲存!D6580</f>
        <v>0</v>
      </c>
      <c r="L280" s="39">
        <f>資料儲存!E6580</f>
        <v>0</v>
      </c>
      <c r="M280" s="39">
        <f>資料儲存!F6580</f>
        <v>0</v>
      </c>
      <c r="N280" s="39">
        <f>資料儲存!G6580</f>
        <v>0</v>
      </c>
      <c r="O280" s="39">
        <f>資料儲存!H6580</f>
        <v>0</v>
      </c>
      <c r="P280" s="39">
        <f>資料儲存!I6580</f>
        <v>0</v>
      </c>
      <c r="Q280" s="39">
        <f>資料儲存!J6580</f>
        <v>0</v>
      </c>
      <c r="R280" s="58"/>
      <c r="S280" s="62">
        <v>39</v>
      </c>
      <c r="T280" s="39">
        <f>資料儲存!D6820</f>
        <v>0</v>
      </c>
      <c r="U280" s="39">
        <f>資料儲存!E6820</f>
        <v>0</v>
      </c>
      <c r="V280" s="39">
        <f>資料儲存!F6820</f>
        <v>0</v>
      </c>
      <c r="W280" s="39">
        <f>資料儲存!G6820</f>
        <v>0</v>
      </c>
      <c r="X280" s="39">
        <f>資料儲存!H6820</f>
        <v>0</v>
      </c>
      <c r="Y280" s="39">
        <f>資料儲存!I6820</f>
        <v>0</v>
      </c>
      <c r="Z280" s="39">
        <f>資料儲存!J6820</f>
        <v>0</v>
      </c>
      <c r="AA280" s="58"/>
      <c r="AB280" s="62">
        <v>39</v>
      </c>
      <c r="AC280" s="39">
        <f>資料儲存!D7060</f>
        <v>0</v>
      </c>
      <c r="AD280" s="39">
        <f>資料儲存!E7060</f>
        <v>0</v>
      </c>
      <c r="AE280" s="39">
        <f>資料儲存!F7060</f>
        <v>0</v>
      </c>
      <c r="AF280" s="39">
        <f>資料儲存!G7060</f>
        <v>0</v>
      </c>
      <c r="AG280" s="39">
        <f>資料儲存!H7060</f>
        <v>0</v>
      </c>
      <c r="AH280" s="39">
        <f>資料儲存!I7060</f>
        <v>0</v>
      </c>
      <c r="AI280" s="39">
        <f>資料儲存!J7060</f>
        <v>0</v>
      </c>
      <c r="AJ280" s="58"/>
      <c r="AK280" s="62">
        <v>39</v>
      </c>
      <c r="AL280" s="39">
        <f>資料儲存!D7300</f>
        <v>0</v>
      </c>
      <c r="AM280" s="39">
        <f>資料儲存!E7300</f>
        <v>0</v>
      </c>
      <c r="AN280" s="39">
        <f>資料儲存!F7300</f>
        <v>0</v>
      </c>
      <c r="AO280" s="39">
        <f>資料儲存!G7300</f>
        <v>0</v>
      </c>
      <c r="AP280" s="39">
        <f>資料儲存!H7300</f>
        <v>0</v>
      </c>
      <c r="AQ280" s="39">
        <f>資料儲存!I7300</f>
        <v>0</v>
      </c>
      <c r="AR280" s="39">
        <f>資料儲存!J7300</f>
        <v>0</v>
      </c>
      <c r="AS280" s="59"/>
      <c r="AT280" s="62">
        <v>39</v>
      </c>
      <c r="AU280" s="39">
        <f>資料儲存!D7540</f>
        <v>0</v>
      </c>
      <c r="AV280" s="39">
        <f>資料儲存!E7540</f>
        <v>0</v>
      </c>
      <c r="AW280" s="39">
        <f>資料儲存!F7540</f>
        <v>0</v>
      </c>
      <c r="AX280" s="39">
        <f>資料儲存!G7540</f>
        <v>0</v>
      </c>
      <c r="AY280" s="39">
        <f>資料儲存!H7540</f>
        <v>0</v>
      </c>
      <c r="AZ280" s="39">
        <f>資料儲存!I7540</f>
        <v>0</v>
      </c>
      <c r="BA280" s="39">
        <f>資料儲存!J7540</f>
        <v>0</v>
      </c>
    </row>
    <row r="281" spans="1:53" ht="16" thickBot="1">
      <c r="A281" s="62">
        <v>40</v>
      </c>
      <c r="B281" s="39">
        <f>資料儲存!D6341</f>
        <v>0</v>
      </c>
      <c r="C281" s="39">
        <f>資料儲存!E6341</f>
        <v>0</v>
      </c>
      <c r="D281" s="39">
        <f>資料儲存!F6341</f>
        <v>0</v>
      </c>
      <c r="E281" s="39">
        <f>資料儲存!G6341</f>
        <v>0</v>
      </c>
      <c r="F281" s="39">
        <f>資料儲存!H6341</f>
        <v>0</v>
      </c>
      <c r="G281" s="39">
        <f>資料儲存!I6341</f>
        <v>0</v>
      </c>
      <c r="H281" s="39">
        <f>資料儲存!J6341</f>
        <v>0</v>
      </c>
      <c r="I281" s="58"/>
      <c r="J281" s="62">
        <v>40</v>
      </c>
      <c r="K281" s="39">
        <f>資料儲存!D6581</f>
        <v>0</v>
      </c>
      <c r="L281" s="39">
        <f>資料儲存!E6581</f>
        <v>0</v>
      </c>
      <c r="M281" s="39">
        <f>資料儲存!F6581</f>
        <v>0</v>
      </c>
      <c r="N281" s="39">
        <f>資料儲存!G6581</f>
        <v>0</v>
      </c>
      <c r="O281" s="39">
        <f>資料儲存!H6581</f>
        <v>0</v>
      </c>
      <c r="P281" s="39">
        <f>資料儲存!I6581</f>
        <v>0</v>
      </c>
      <c r="Q281" s="39">
        <f>資料儲存!J6581</f>
        <v>0</v>
      </c>
      <c r="R281" s="58"/>
      <c r="S281" s="62">
        <v>40</v>
      </c>
      <c r="T281" s="39">
        <f>資料儲存!D6821</f>
        <v>0</v>
      </c>
      <c r="U281" s="39">
        <f>資料儲存!E6821</f>
        <v>0</v>
      </c>
      <c r="V281" s="39">
        <f>資料儲存!F6821</f>
        <v>0</v>
      </c>
      <c r="W281" s="39">
        <f>資料儲存!G6821</f>
        <v>0</v>
      </c>
      <c r="X281" s="39">
        <f>資料儲存!H6821</f>
        <v>0</v>
      </c>
      <c r="Y281" s="39">
        <f>資料儲存!I6821</f>
        <v>0</v>
      </c>
      <c r="Z281" s="39">
        <f>資料儲存!J6821</f>
        <v>0</v>
      </c>
      <c r="AA281" s="58"/>
      <c r="AB281" s="62">
        <v>40</v>
      </c>
      <c r="AC281" s="39">
        <f>資料儲存!D7061</f>
        <v>0</v>
      </c>
      <c r="AD281" s="39">
        <f>資料儲存!E7061</f>
        <v>0</v>
      </c>
      <c r="AE281" s="39">
        <f>資料儲存!F7061</f>
        <v>0</v>
      </c>
      <c r="AF281" s="39">
        <f>資料儲存!G7061</f>
        <v>0</v>
      </c>
      <c r="AG281" s="39">
        <f>資料儲存!H7061</f>
        <v>0</v>
      </c>
      <c r="AH281" s="39">
        <f>資料儲存!I7061</f>
        <v>0</v>
      </c>
      <c r="AI281" s="39">
        <f>資料儲存!J7061</f>
        <v>0</v>
      </c>
      <c r="AJ281" s="58"/>
      <c r="AK281" s="62">
        <v>40</v>
      </c>
      <c r="AL281" s="39">
        <f>資料儲存!D7301</f>
        <v>0</v>
      </c>
      <c r="AM281" s="39">
        <f>資料儲存!E7301</f>
        <v>0</v>
      </c>
      <c r="AN281" s="39">
        <f>資料儲存!F7301</f>
        <v>0</v>
      </c>
      <c r="AO281" s="39">
        <f>資料儲存!G7301</f>
        <v>0</v>
      </c>
      <c r="AP281" s="39">
        <f>資料儲存!H7301</f>
        <v>0</v>
      </c>
      <c r="AQ281" s="39">
        <f>資料儲存!I7301</f>
        <v>0</v>
      </c>
      <c r="AR281" s="39">
        <f>資料儲存!J7301</f>
        <v>0</v>
      </c>
      <c r="AS281" s="59"/>
      <c r="AT281" s="62">
        <v>40</v>
      </c>
      <c r="AU281" s="39">
        <f>資料儲存!D7541</f>
        <v>0</v>
      </c>
      <c r="AV281" s="39">
        <f>資料儲存!E7541</f>
        <v>0</v>
      </c>
      <c r="AW281" s="39">
        <f>資料儲存!F7541</f>
        <v>0</v>
      </c>
      <c r="AX281" s="39">
        <f>資料儲存!G7541</f>
        <v>0</v>
      </c>
      <c r="AY281" s="39">
        <f>資料儲存!H7541</f>
        <v>0</v>
      </c>
      <c r="AZ281" s="39">
        <f>資料儲存!I7541</f>
        <v>0</v>
      </c>
      <c r="BA281" s="39">
        <f>資料儲存!J7541</f>
        <v>0</v>
      </c>
    </row>
    <row r="282" spans="1:53" ht="16" thickBot="1">
      <c r="A282" s="62">
        <v>41</v>
      </c>
      <c r="B282" s="39">
        <f>資料儲存!D6342</f>
        <v>0</v>
      </c>
      <c r="C282" s="39">
        <f>資料儲存!E6342</f>
        <v>0</v>
      </c>
      <c r="D282" s="39">
        <f>資料儲存!F6342</f>
        <v>0</v>
      </c>
      <c r="E282" s="39">
        <f>資料儲存!G6342</f>
        <v>0</v>
      </c>
      <c r="F282" s="39">
        <f>資料儲存!H6342</f>
        <v>0</v>
      </c>
      <c r="G282" s="39">
        <f>資料儲存!I6342</f>
        <v>0</v>
      </c>
      <c r="H282" s="39">
        <f>資料儲存!J6342</f>
        <v>0</v>
      </c>
      <c r="I282" s="58"/>
      <c r="J282" s="62">
        <v>41</v>
      </c>
      <c r="K282" s="39">
        <f>資料儲存!D6582</f>
        <v>0</v>
      </c>
      <c r="L282" s="39">
        <f>資料儲存!E6582</f>
        <v>0</v>
      </c>
      <c r="M282" s="39">
        <f>資料儲存!F6582</f>
        <v>0</v>
      </c>
      <c r="N282" s="39">
        <f>資料儲存!G6582</f>
        <v>0</v>
      </c>
      <c r="O282" s="39">
        <f>資料儲存!H6582</f>
        <v>0</v>
      </c>
      <c r="P282" s="39">
        <f>資料儲存!I6582</f>
        <v>0</v>
      </c>
      <c r="Q282" s="39">
        <f>資料儲存!J6582</f>
        <v>0</v>
      </c>
      <c r="R282" s="58"/>
      <c r="S282" s="62">
        <v>41</v>
      </c>
      <c r="T282" s="39">
        <f>資料儲存!D6822</f>
        <v>0</v>
      </c>
      <c r="U282" s="39">
        <f>資料儲存!E6822</f>
        <v>0</v>
      </c>
      <c r="V282" s="39">
        <f>資料儲存!F6822</f>
        <v>0</v>
      </c>
      <c r="W282" s="39">
        <f>資料儲存!G6822</f>
        <v>0</v>
      </c>
      <c r="X282" s="39">
        <f>資料儲存!H6822</f>
        <v>0</v>
      </c>
      <c r="Y282" s="39">
        <f>資料儲存!I6822</f>
        <v>0</v>
      </c>
      <c r="Z282" s="39">
        <f>資料儲存!J6822</f>
        <v>0</v>
      </c>
      <c r="AA282" s="58"/>
      <c r="AB282" s="62">
        <v>41</v>
      </c>
      <c r="AC282" s="39">
        <f>資料儲存!D7062</f>
        <v>0</v>
      </c>
      <c r="AD282" s="39">
        <f>資料儲存!E7062</f>
        <v>0</v>
      </c>
      <c r="AE282" s="39">
        <f>資料儲存!F7062</f>
        <v>0</v>
      </c>
      <c r="AF282" s="39">
        <f>資料儲存!G7062</f>
        <v>0</v>
      </c>
      <c r="AG282" s="39">
        <f>資料儲存!H7062</f>
        <v>0</v>
      </c>
      <c r="AH282" s="39">
        <f>資料儲存!I7062</f>
        <v>0</v>
      </c>
      <c r="AI282" s="39">
        <f>資料儲存!J7062</f>
        <v>0</v>
      </c>
      <c r="AJ282" s="58"/>
      <c r="AK282" s="62">
        <v>41</v>
      </c>
      <c r="AL282" s="39">
        <f>資料儲存!D7302</f>
        <v>0</v>
      </c>
      <c r="AM282" s="39">
        <f>資料儲存!E7302</f>
        <v>0</v>
      </c>
      <c r="AN282" s="39">
        <f>資料儲存!F7302</f>
        <v>0</v>
      </c>
      <c r="AO282" s="39">
        <f>資料儲存!G7302</f>
        <v>0</v>
      </c>
      <c r="AP282" s="39">
        <f>資料儲存!H7302</f>
        <v>0</v>
      </c>
      <c r="AQ282" s="39">
        <f>資料儲存!I7302</f>
        <v>0</v>
      </c>
      <c r="AR282" s="39">
        <f>資料儲存!J7302</f>
        <v>0</v>
      </c>
      <c r="AS282" s="59"/>
      <c r="AT282" s="62">
        <v>41</v>
      </c>
      <c r="AU282" s="39">
        <f>資料儲存!D7542</f>
        <v>0</v>
      </c>
      <c r="AV282" s="39">
        <f>資料儲存!E7542</f>
        <v>0</v>
      </c>
      <c r="AW282" s="39">
        <f>資料儲存!F7542</f>
        <v>0</v>
      </c>
      <c r="AX282" s="39">
        <f>資料儲存!G7542</f>
        <v>0</v>
      </c>
      <c r="AY282" s="39">
        <f>資料儲存!H7542</f>
        <v>0</v>
      </c>
      <c r="AZ282" s="39">
        <f>資料儲存!I7542</f>
        <v>0</v>
      </c>
      <c r="BA282" s="39">
        <f>資料儲存!J7542</f>
        <v>0</v>
      </c>
    </row>
    <row r="283" spans="1:53" ht="16" thickBot="1">
      <c r="A283" s="62">
        <v>42</v>
      </c>
      <c r="B283" s="39">
        <f>資料儲存!D6343</f>
        <v>0</v>
      </c>
      <c r="C283" s="39">
        <f>資料儲存!E6343</f>
        <v>0</v>
      </c>
      <c r="D283" s="39">
        <f>資料儲存!F6343</f>
        <v>0</v>
      </c>
      <c r="E283" s="39">
        <f>資料儲存!G6343</f>
        <v>0</v>
      </c>
      <c r="F283" s="39">
        <f>資料儲存!H6343</f>
        <v>0</v>
      </c>
      <c r="G283" s="39">
        <f>資料儲存!I6343</f>
        <v>0</v>
      </c>
      <c r="H283" s="39">
        <f>資料儲存!J6343</f>
        <v>0</v>
      </c>
      <c r="I283" s="58"/>
      <c r="J283" s="62">
        <v>42</v>
      </c>
      <c r="K283" s="39">
        <f>資料儲存!D6583</f>
        <v>0</v>
      </c>
      <c r="L283" s="39">
        <f>資料儲存!E6583</f>
        <v>0</v>
      </c>
      <c r="M283" s="39">
        <f>資料儲存!F6583</f>
        <v>0</v>
      </c>
      <c r="N283" s="39">
        <f>資料儲存!G6583</f>
        <v>0</v>
      </c>
      <c r="O283" s="39">
        <f>資料儲存!H6583</f>
        <v>0</v>
      </c>
      <c r="P283" s="39">
        <f>資料儲存!I6583</f>
        <v>0</v>
      </c>
      <c r="Q283" s="39">
        <f>資料儲存!J6583</f>
        <v>0</v>
      </c>
      <c r="R283" s="58"/>
      <c r="S283" s="62">
        <v>42</v>
      </c>
      <c r="T283" s="39">
        <f>資料儲存!D6823</f>
        <v>0</v>
      </c>
      <c r="U283" s="39">
        <f>資料儲存!E6823</f>
        <v>0</v>
      </c>
      <c r="V283" s="39">
        <f>資料儲存!F6823</f>
        <v>0</v>
      </c>
      <c r="W283" s="39">
        <f>資料儲存!G6823</f>
        <v>0</v>
      </c>
      <c r="X283" s="39">
        <f>資料儲存!H6823</f>
        <v>0</v>
      </c>
      <c r="Y283" s="39">
        <f>資料儲存!I6823</f>
        <v>0</v>
      </c>
      <c r="Z283" s="39">
        <f>資料儲存!J6823</f>
        <v>0</v>
      </c>
      <c r="AA283" s="58"/>
      <c r="AB283" s="62">
        <v>42</v>
      </c>
      <c r="AC283" s="39">
        <f>資料儲存!D7063</f>
        <v>0</v>
      </c>
      <c r="AD283" s="39">
        <f>資料儲存!E7063</f>
        <v>0</v>
      </c>
      <c r="AE283" s="39">
        <f>資料儲存!F7063</f>
        <v>0</v>
      </c>
      <c r="AF283" s="39">
        <f>資料儲存!G7063</f>
        <v>0</v>
      </c>
      <c r="AG283" s="39">
        <f>資料儲存!H7063</f>
        <v>0</v>
      </c>
      <c r="AH283" s="39">
        <f>資料儲存!I7063</f>
        <v>0</v>
      </c>
      <c r="AI283" s="39">
        <f>資料儲存!J7063</f>
        <v>0</v>
      </c>
      <c r="AJ283" s="58"/>
      <c r="AK283" s="62">
        <v>42</v>
      </c>
      <c r="AL283" s="39">
        <f>資料儲存!D7303</f>
        <v>0</v>
      </c>
      <c r="AM283" s="39">
        <f>資料儲存!E7303</f>
        <v>0</v>
      </c>
      <c r="AN283" s="39">
        <f>資料儲存!F7303</f>
        <v>0</v>
      </c>
      <c r="AO283" s="39">
        <f>資料儲存!G7303</f>
        <v>0</v>
      </c>
      <c r="AP283" s="39">
        <f>資料儲存!H7303</f>
        <v>0</v>
      </c>
      <c r="AQ283" s="39">
        <f>資料儲存!I7303</f>
        <v>0</v>
      </c>
      <c r="AR283" s="39">
        <f>資料儲存!J7303</f>
        <v>0</v>
      </c>
      <c r="AS283" s="59"/>
      <c r="AT283" s="62">
        <v>42</v>
      </c>
      <c r="AU283" s="39">
        <f>資料儲存!D7543</f>
        <v>0</v>
      </c>
      <c r="AV283" s="39">
        <f>資料儲存!E7543</f>
        <v>0</v>
      </c>
      <c r="AW283" s="39">
        <f>資料儲存!F7543</f>
        <v>0</v>
      </c>
      <c r="AX283" s="39">
        <f>資料儲存!G7543</f>
        <v>0</v>
      </c>
      <c r="AY283" s="39">
        <f>資料儲存!H7543</f>
        <v>0</v>
      </c>
      <c r="AZ283" s="39">
        <f>資料儲存!I7543</f>
        <v>0</v>
      </c>
      <c r="BA283" s="39">
        <f>資料儲存!J7543</f>
        <v>0</v>
      </c>
    </row>
    <row r="284" spans="1:53" ht="16" thickBot="1">
      <c r="A284" s="62">
        <v>43</v>
      </c>
      <c r="B284" s="39">
        <f>資料儲存!D6344</f>
        <v>0</v>
      </c>
      <c r="C284" s="39">
        <f>資料儲存!E6344</f>
        <v>0</v>
      </c>
      <c r="D284" s="39">
        <f>資料儲存!F6344</f>
        <v>0</v>
      </c>
      <c r="E284" s="39">
        <f>資料儲存!G6344</f>
        <v>0</v>
      </c>
      <c r="F284" s="39">
        <f>資料儲存!H6344</f>
        <v>0</v>
      </c>
      <c r="G284" s="39">
        <f>資料儲存!I6344</f>
        <v>0</v>
      </c>
      <c r="H284" s="39">
        <f>資料儲存!J6344</f>
        <v>0</v>
      </c>
      <c r="I284" s="58"/>
      <c r="J284" s="62">
        <v>43</v>
      </c>
      <c r="K284" s="39">
        <f>資料儲存!D6584</f>
        <v>0</v>
      </c>
      <c r="L284" s="39">
        <f>資料儲存!E6584</f>
        <v>0</v>
      </c>
      <c r="M284" s="39">
        <f>資料儲存!F6584</f>
        <v>0</v>
      </c>
      <c r="N284" s="39">
        <f>資料儲存!G6584</f>
        <v>0</v>
      </c>
      <c r="O284" s="39">
        <f>資料儲存!H6584</f>
        <v>0</v>
      </c>
      <c r="P284" s="39">
        <f>資料儲存!I6584</f>
        <v>0</v>
      </c>
      <c r="Q284" s="39">
        <f>資料儲存!J6584</f>
        <v>0</v>
      </c>
      <c r="R284" s="58"/>
      <c r="S284" s="62">
        <v>43</v>
      </c>
      <c r="T284" s="39">
        <f>資料儲存!D6824</f>
        <v>0</v>
      </c>
      <c r="U284" s="39">
        <f>資料儲存!E6824</f>
        <v>0</v>
      </c>
      <c r="V284" s="39">
        <f>資料儲存!F6824</f>
        <v>0</v>
      </c>
      <c r="W284" s="39">
        <f>資料儲存!G6824</f>
        <v>0</v>
      </c>
      <c r="X284" s="39">
        <f>資料儲存!H6824</f>
        <v>0</v>
      </c>
      <c r="Y284" s="39">
        <f>資料儲存!I6824</f>
        <v>0</v>
      </c>
      <c r="Z284" s="39">
        <f>資料儲存!J6824</f>
        <v>0</v>
      </c>
      <c r="AA284" s="58"/>
      <c r="AB284" s="62">
        <v>43</v>
      </c>
      <c r="AC284" s="39">
        <f>資料儲存!D7064</f>
        <v>0</v>
      </c>
      <c r="AD284" s="39">
        <f>資料儲存!E7064</f>
        <v>0</v>
      </c>
      <c r="AE284" s="39">
        <f>資料儲存!F7064</f>
        <v>0</v>
      </c>
      <c r="AF284" s="39">
        <f>資料儲存!G7064</f>
        <v>0</v>
      </c>
      <c r="AG284" s="39">
        <f>資料儲存!H7064</f>
        <v>0</v>
      </c>
      <c r="AH284" s="39">
        <f>資料儲存!I7064</f>
        <v>0</v>
      </c>
      <c r="AI284" s="39">
        <f>資料儲存!J7064</f>
        <v>0</v>
      </c>
      <c r="AJ284" s="58"/>
      <c r="AK284" s="62">
        <v>43</v>
      </c>
      <c r="AL284" s="39">
        <f>資料儲存!D7304</f>
        <v>0</v>
      </c>
      <c r="AM284" s="39">
        <f>資料儲存!E7304</f>
        <v>0</v>
      </c>
      <c r="AN284" s="39">
        <f>資料儲存!F7304</f>
        <v>0</v>
      </c>
      <c r="AO284" s="39">
        <f>資料儲存!G7304</f>
        <v>0</v>
      </c>
      <c r="AP284" s="39">
        <f>資料儲存!H7304</f>
        <v>0</v>
      </c>
      <c r="AQ284" s="39">
        <f>資料儲存!I7304</f>
        <v>0</v>
      </c>
      <c r="AR284" s="39">
        <f>資料儲存!J7304</f>
        <v>0</v>
      </c>
      <c r="AS284" s="59"/>
      <c r="AT284" s="62">
        <v>43</v>
      </c>
      <c r="AU284" s="39">
        <f>資料儲存!D7544</f>
        <v>0</v>
      </c>
      <c r="AV284" s="39">
        <f>資料儲存!E7544</f>
        <v>0</v>
      </c>
      <c r="AW284" s="39">
        <f>資料儲存!F7544</f>
        <v>0</v>
      </c>
      <c r="AX284" s="39">
        <f>資料儲存!G7544</f>
        <v>0</v>
      </c>
      <c r="AY284" s="39">
        <f>資料儲存!H7544</f>
        <v>0</v>
      </c>
      <c r="AZ284" s="39">
        <f>資料儲存!I7544</f>
        <v>0</v>
      </c>
      <c r="BA284" s="39">
        <f>資料儲存!J7544</f>
        <v>0</v>
      </c>
    </row>
    <row r="285" spans="1:53" ht="16" thickBot="1">
      <c r="A285" s="62">
        <v>44</v>
      </c>
      <c r="B285" s="39">
        <f>資料儲存!D6345</f>
        <v>0</v>
      </c>
      <c r="C285" s="39">
        <f>資料儲存!E6345</f>
        <v>0</v>
      </c>
      <c r="D285" s="39">
        <f>資料儲存!F6345</f>
        <v>0</v>
      </c>
      <c r="E285" s="39">
        <f>資料儲存!G6345</f>
        <v>0</v>
      </c>
      <c r="F285" s="39">
        <f>資料儲存!H6345</f>
        <v>0</v>
      </c>
      <c r="G285" s="39">
        <f>資料儲存!I6345</f>
        <v>0</v>
      </c>
      <c r="H285" s="39">
        <f>資料儲存!J6345</f>
        <v>0</v>
      </c>
      <c r="I285" s="58"/>
      <c r="J285" s="62">
        <v>44</v>
      </c>
      <c r="K285" s="39">
        <f>資料儲存!D6585</f>
        <v>0</v>
      </c>
      <c r="L285" s="39">
        <f>資料儲存!E6585</f>
        <v>0</v>
      </c>
      <c r="M285" s="39">
        <f>資料儲存!F6585</f>
        <v>0</v>
      </c>
      <c r="N285" s="39">
        <f>資料儲存!G6585</f>
        <v>0</v>
      </c>
      <c r="O285" s="39">
        <f>資料儲存!H6585</f>
        <v>0</v>
      </c>
      <c r="P285" s="39">
        <f>資料儲存!I6585</f>
        <v>0</v>
      </c>
      <c r="Q285" s="39">
        <f>資料儲存!J6585</f>
        <v>0</v>
      </c>
      <c r="R285" s="58"/>
      <c r="S285" s="62">
        <v>44</v>
      </c>
      <c r="T285" s="39">
        <f>資料儲存!D6825</f>
        <v>0</v>
      </c>
      <c r="U285" s="39">
        <f>資料儲存!E6825</f>
        <v>0</v>
      </c>
      <c r="V285" s="39">
        <f>資料儲存!F6825</f>
        <v>0</v>
      </c>
      <c r="W285" s="39">
        <f>資料儲存!G6825</f>
        <v>0</v>
      </c>
      <c r="X285" s="39">
        <f>資料儲存!H6825</f>
        <v>0</v>
      </c>
      <c r="Y285" s="39">
        <f>資料儲存!I6825</f>
        <v>0</v>
      </c>
      <c r="Z285" s="39">
        <f>資料儲存!J6825</f>
        <v>0</v>
      </c>
      <c r="AA285" s="58"/>
      <c r="AB285" s="62">
        <v>44</v>
      </c>
      <c r="AC285" s="39">
        <f>資料儲存!D7065</f>
        <v>0</v>
      </c>
      <c r="AD285" s="39">
        <f>資料儲存!E7065</f>
        <v>0</v>
      </c>
      <c r="AE285" s="39">
        <f>資料儲存!F7065</f>
        <v>0</v>
      </c>
      <c r="AF285" s="39">
        <f>資料儲存!G7065</f>
        <v>0</v>
      </c>
      <c r="AG285" s="39">
        <f>資料儲存!H7065</f>
        <v>0</v>
      </c>
      <c r="AH285" s="39">
        <f>資料儲存!I7065</f>
        <v>0</v>
      </c>
      <c r="AI285" s="39">
        <f>資料儲存!J7065</f>
        <v>0</v>
      </c>
      <c r="AJ285" s="58"/>
      <c r="AK285" s="62">
        <v>44</v>
      </c>
      <c r="AL285" s="39">
        <f>資料儲存!D7305</f>
        <v>0</v>
      </c>
      <c r="AM285" s="39">
        <f>資料儲存!E7305</f>
        <v>0</v>
      </c>
      <c r="AN285" s="39">
        <f>資料儲存!F7305</f>
        <v>0</v>
      </c>
      <c r="AO285" s="39">
        <f>資料儲存!G7305</f>
        <v>0</v>
      </c>
      <c r="AP285" s="39">
        <f>資料儲存!H7305</f>
        <v>0</v>
      </c>
      <c r="AQ285" s="39">
        <f>資料儲存!I7305</f>
        <v>0</v>
      </c>
      <c r="AR285" s="39">
        <f>資料儲存!J7305</f>
        <v>0</v>
      </c>
      <c r="AS285" s="59"/>
      <c r="AT285" s="62">
        <v>44</v>
      </c>
      <c r="AU285" s="39">
        <f>資料儲存!D7545</f>
        <v>0</v>
      </c>
      <c r="AV285" s="39">
        <f>資料儲存!E7545</f>
        <v>0</v>
      </c>
      <c r="AW285" s="39">
        <f>資料儲存!F7545</f>
        <v>0</v>
      </c>
      <c r="AX285" s="39">
        <f>資料儲存!G7545</f>
        <v>0</v>
      </c>
      <c r="AY285" s="39">
        <f>資料儲存!H7545</f>
        <v>0</v>
      </c>
      <c r="AZ285" s="39">
        <f>資料儲存!I7545</f>
        <v>0</v>
      </c>
      <c r="BA285" s="39">
        <f>資料儲存!J7545</f>
        <v>0</v>
      </c>
    </row>
    <row r="286" spans="1:53" ht="16" thickBot="1">
      <c r="A286" s="62">
        <v>45</v>
      </c>
      <c r="B286" s="39">
        <f>資料儲存!D6346</f>
        <v>0</v>
      </c>
      <c r="C286" s="39">
        <f>資料儲存!E6346</f>
        <v>0</v>
      </c>
      <c r="D286" s="39">
        <f>資料儲存!F6346</f>
        <v>0</v>
      </c>
      <c r="E286" s="39">
        <f>資料儲存!G6346</f>
        <v>0</v>
      </c>
      <c r="F286" s="39">
        <f>資料儲存!H6346</f>
        <v>0</v>
      </c>
      <c r="G286" s="39">
        <f>資料儲存!I6346</f>
        <v>0</v>
      </c>
      <c r="H286" s="39">
        <f>資料儲存!J6346</f>
        <v>0</v>
      </c>
      <c r="I286" s="58"/>
      <c r="J286" s="62">
        <v>45</v>
      </c>
      <c r="K286" s="39">
        <f>資料儲存!D6586</f>
        <v>0</v>
      </c>
      <c r="L286" s="39">
        <f>資料儲存!E6586</f>
        <v>0</v>
      </c>
      <c r="M286" s="39">
        <f>資料儲存!F6586</f>
        <v>0</v>
      </c>
      <c r="N286" s="39">
        <f>資料儲存!G6586</f>
        <v>0</v>
      </c>
      <c r="O286" s="39">
        <f>資料儲存!H6586</f>
        <v>0</v>
      </c>
      <c r="P286" s="39">
        <f>資料儲存!I6586</f>
        <v>0</v>
      </c>
      <c r="Q286" s="39">
        <f>資料儲存!J6586</f>
        <v>0</v>
      </c>
      <c r="R286" s="58"/>
      <c r="S286" s="62">
        <v>45</v>
      </c>
      <c r="T286" s="39">
        <f>資料儲存!D6826</f>
        <v>0</v>
      </c>
      <c r="U286" s="39">
        <f>資料儲存!E6826</f>
        <v>0</v>
      </c>
      <c r="V286" s="39">
        <f>資料儲存!F6826</f>
        <v>0</v>
      </c>
      <c r="W286" s="39">
        <f>資料儲存!G6826</f>
        <v>0</v>
      </c>
      <c r="X286" s="39">
        <f>資料儲存!H6826</f>
        <v>0</v>
      </c>
      <c r="Y286" s="39">
        <f>資料儲存!I6826</f>
        <v>0</v>
      </c>
      <c r="Z286" s="39">
        <f>資料儲存!J6826</f>
        <v>0</v>
      </c>
      <c r="AA286" s="58"/>
      <c r="AB286" s="62">
        <v>45</v>
      </c>
      <c r="AC286" s="39">
        <f>資料儲存!D7066</f>
        <v>0</v>
      </c>
      <c r="AD286" s="39">
        <f>資料儲存!E7066</f>
        <v>0</v>
      </c>
      <c r="AE286" s="39">
        <f>資料儲存!F7066</f>
        <v>0</v>
      </c>
      <c r="AF286" s="39">
        <f>資料儲存!G7066</f>
        <v>0</v>
      </c>
      <c r="AG286" s="39">
        <f>資料儲存!H7066</f>
        <v>0</v>
      </c>
      <c r="AH286" s="39">
        <f>資料儲存!I7066</f>
        <v>0</v>
      </c>
      <c r="AI286" s="39">
        <f>資料儲存!J7066</f>
        <v>0</v>
      </c>
      <c r="AJ286" s="58"/>
      <c r="AK286" s="62">
        <v>45</v>
      </c>
      <c r="AL286" s="39">
        <f>資料儲存!D7306</f>
        <v>0</v>
      </c>
      <c r="AM286" s="39">
        <f>資料儲存!E7306</f>
        <v>0</v>
      </c>
      <c r="AN286" s="39">
        <f>資料儲存!F7306</f>
        <v>0</v>
      </c>
      <c r="AO286" s="39">
        <f>資料儲存!G7306</f>
        <v>0</v>
      </c>
      <c r="AP286" s="39">
        <f>資料儲存!H7306</f>
        <v>0</v>
      </c>
      <c r="AQ286" s="39">
        <f>資料儲存!I7306</f>
        <v>0</v>
      </c>
      <c r="AR286" s="39">
        <f>資料儲存!J7306</f>
        <v>0</v>
      </c>
      <c r="AS286" s="59"/>
      <c r="AT286" s="62">
        <v>45</v>
      </c>
      <c r="AU286" s="39">
        <f>資料儲存!D7546</f>
        <v>0</v>
      </c>
      <c r="AV286" s="39">
        <f>資料儲存!E7546</f>
        <v>0</v>
      </c>
      <c r="AW286" s="39">
        <f>資料儲存!F7546</f>
        <v>0</v>
      </c>
      <c r="AX286" s="39">
        <f>資料儲存!G7546</f>
        <v>0</v>
      </c>
      <c r="AY286" s="39">
        <f>資料儲存!H7546</f>
        <v>0</v>
      </c>
      <c r="AZ286" s="39">
        <f>資料儲存!I7546</f>
        <v>0</v>
      </c>
      <c r="BA286" s="39">
        <f>資料儲存!J7546</f>
        <v>0</v>
      </c>
    </row>
    <row r="287" spans="1:53" ht="17.25" customHeight="1" thickBot="1">
      <c r="A287" s="40" t="s">
        <v>56</v>
      </c>
      <c r="B287" s="39">
        <f>SUM(B272:E286)</f>
        <v>0</v>
      </c>
      <c r="C287" s="37"/>
      <c r="D287" s="37"/>
      <c r="E287" s="37"/>
      <c r="F287" s="39">
        <f>F286</f>
        <v>0</v>
      </c>
      <c r="G287" s="39">
        <f>G286</f>
        <v>0</v>
      </c>
      <c r="H287" s="39">
        <f>H286</f>
        <v>0</v>
      </c>
      <c r="I287" s="35"/>
      <c r="J287" s="40" t="s">
        <v>56</v>
      </c>
      <c r="K287" s="39">
        <f>SUM(K272:N286)</f>
        <v>0</v>
      </c>
      <c r="L287" s="37"/>
      <c r="M287" s="37"/>
      <c r="N287" s="37"/>
      <c r="O287" s="39">
        <f>O286</f>
        <v>0</v>
      </c>
      <c r="P287" s="39">
        <f>P286</f>
        <v>0</v>
      </c>
      <c r="Q287" s="39">
        <f>Q286</f>
        <v>0</v>
      </c>
      <c r="R287" s="35"/>
      <c r="S287" s="40" t="s">
        <v>56</v>
      </c>
      <c r="T287" s="39">
        <f>SUM(T272:W286)</f>
        <v>0</v>
      </c>
      <c r="U287" s="37"/>
      <c r="V287" s="37"/>
      <c r="W287" s="37"/>
      <c r="X287" s="39">
        <f>X286</f>
        <v>0</v>
      </c>
      <c r="Y287" s="39">
        <f>Y286</f>
        <v>0</v>
      </c>
      <c r="Z287" s="39">
        <f>Z286</f>
        <v>0</v>
      </c>
      <c r="AA287" s="35"/>
      <c r="AB287" s="40" t="s">
        <v>56</v>
      </c>
      <c r="AC287" s="39">
        <f>SUM(AC272:AF286)</f>
        <v>0</v>
      </c>
      <c r="AD287" s="37"/>
      <c r="AE287" s="37"/>
      <c r="AF287" s="37"/>
      <c r="AG287" s="39">
        <f>AG286</f>
        <v>0</v>
      </c>
      <c r="AH287" s="39">
        <f>AH286</f>
        <v>0</v>
      </c>
      <c r="AI287" s="39">
        <f>AI286</f>
        <v>0</v>
      </c>
      <c r="AJ287" s="35"/>
      <c r="AK287" s="40" t="s">
        <v>56</v>
      </c>
      <c r="AL287" s="39">
        <f>SUM(AL272:AO286)</f>
        <v>0</v>
      </c>
      <c r="AM287" s="37"/>
      <c r="AN287" s="37"/>
      <c r="AO287" s="37"/>
      <c r="AP287" s="39">
        <f>AP286</f>
        <v>0</v>
      </c>
      <c r="AQ287" s="39">
        <f>AQ286</f>
        <v>0</v>
      </c>
      <c r="AR287" s="39">
        <f>AR286</f>
        <v>0</v>
      </c>
      <c r="AS287" s="59"/>
      <c r="AT287" s="40" t="s">
        <v>56</v>
      </c>
      <c r="AU287" s="39">
        <f>SUM(AU272:AX286)</f>
        <v>0</v>
      </c>
      <c r="AV287" s="37"/>
      <c r="AW287" s="37"/>
      <c r="AX287" s="37"/>
      <c r="AY287" s="39">
        <f>AY286</f>
        <v>0</v>
      </c>
      <c r="AZ287" s="39">
        <f>AZ286</f>
        <v>0</v>
      </c>
      <c r="BA287" s="39">
        <f>BA286</f>
        <v>0</v>
      </c>
    </row>
    <row r="288" spans="1:53" ht="18.5" thickBot="1">
      <c r="A288" s="257" t="s">
        <v>188</v>
      </c>
      <c r="B288" s="258"/>
      <c r="C288" s="258"/>
      <c r="D288" s="258"/>
      <c r="E288" s="258"/>
      <c r="F288" s="258"/>
      <c r="G288" s="258"/>
      <c r="H288" s="259"/>
      <c r="I288" s="14"/>
      <c r="J288" s="257" t="s">
        <v>188</v>
      </c>
      <c r="K288" s="258"/>
      <c r="L288" s="258"/>
      <c r="M288" s="258"/>
      <c r="N288" s="258"/>
      <c r="O288" s="258"/>
      <c r="P288" s="258"/>
      <c r="Q288" s="259"/>
      <c r="R288" s="14"/>
      <c r="S288" s="257" t="s">
        <v>188</v>
      </c>
      <c r="T288" s="258"/>
      <c r="U288" s="258"/>
      <c r="V288" s="258"/>
      <c r="W288" s="258"/>
      <c r="X288" s="258"/>
      <c r="Y288" s="258"/>
      <c r="Z288" s="259"/>
      <c r="AA288" s="14"/>
      <c r="AB288" s="257" t="s">
        <v>188</v>
      </c>
      <c r="AC288" s="258"/>
      <c r="AD288" s="258"/>
      <c r="AE288" s="258"/>
      <c r="AF288" s="258"/>
      <c r="AG288" s="258"/>
      <c r="AH288" s="258"/>
      <c r="AI288" s="259"/>
      <c r="AJ288" s="14"/>
      <c r="AK288" s="257" t="s">
        <v>188</v>
      </c>
      <c r="AL288" s="258"/>
      <c r="AM288" s="258"/>
      <c r="AN288" s="258"/>
      <c r="AO288" s="258"/>
      <c r="AP288" s="258"/>
      <c r="AQ288" s="258"/>
      <c r="AR288" s="259"/>
      <c r="AT288" s="257" t="s">
        <v>188</v>
      </c>
      <c r="AU288" s="258"/>
      <c r="AV288" s="258"/>
      <c r="AW288" s="258"/>
      <c r="AX288" s="258"/>
      <c r="AY288" s="258"/>
      <c r="AZ288" s="258"/>
      <c r="BA288" s="259"/>
    </row>
    <row r="289" spans="1:53" ht="17.25" customHeight="1" thickBot="1">
      <c r="A289" s="63" t="s">
        <v>2</v>
      </c>
      <c r="B289" s="64" t="s">
        <v>46</v>
      </c>
      <c r="C289" s="65"/>
      <c r="D289" s="65"/>
      <c r="E289" s="66"/>
      <c r="F289" s="64" t="s">
        <v>47</v>
      </c>
      <c r="G289" s="65"/>
      <c r="H289" s="66"/>
      <c r="I289" s="52"/>
      <c r="J289" s="63" t="s">
        <v>2</v>
      </c>
      <c r="K289" s="64" t="s">
        <v>46</v>
      </c>
      <c r="L289" s="65"/>
      <c r="M289" s="65"/>
      <c r="N289" s="66"/>
      <c r="O289" s="64" t="s">
        <v>47</v>
      </c>
      <c r="P289" s="65"/>
      <c r="Q289" s="66"/>
      <c r="R289" s="52"/>
      <c r="S289" s="63" t="s">
        <v>2</v>
      </c>
      <c r="T289" s="64" t="s">
        <v>46</v>
      </c>
      <c r="U289" s="65"/>
      <c r="V289" s="65"/>
      <c r="W289" s="66"/>
      <c r="X289" s="64" t="s">
        <v>47</v>
      </c>
      <c r="Y289" s="65"/>
      <c r="Z289" s="66"/>
      <c r="AA289" s="52"/>
      <c r="AB289" s="63" t="s">
        <v>2</v>
      </c>
      <c r="AC289" s="64" t="s">
        <v>46</v>
      </c>
      <c r="AD289" s="65"/>
      <c r="AE289" s="65"/>
      <c r="AF289" s="66"/>
      <c r="AG289" s="64" t="s">
        <v>47</v>
      </c>
      <c r="AH289" s="65"/>
      <c r="AI289" s="66"/>
      <c r="AJ289" s="52"/>
      <c r="AK289" s="63" t="s">
        <v>2</v>
      </c>
      <c r="AL289" s="64" t="s">
        <v>46</v>
      </c>
      <c r="AM289" s="65"/>
      <c r="AN289" s="65"/>
      <c r="AO289" s="66"/>
      <c r="AP289" s="64" t="s">
        <v>47</v>
      </c>
      <c r="AQ289" s="65"/>
      <c r="AR289" s="66"/>
      <c r="AS289" s="67"/>
      <c r="AT289" s="63" t="s">
        <v>2</v>
      </c>
      <c r="AU289" s="64" t="s">
        <v>46</v>
      </c>
      <c r="AV289" s="65"/>
      <c r="AW289" s="65"/>
      <c r="AX289" s="66"/>
      <c r="AY289" s="64" t="s">
        <v>47</v>
      </c>
      <c r="AZ289" s="65"/>
      <c r="BA289" s="66"/>
    </row>
    <row r="290" spans="1:53" ht="16" thickBot="1">
      <c r="A290" s="68">
        <v>0.82291666666666663</v>
      </c>
      <c r="B290" s="69" t="s">
        <v>49</v>
      </c>
      <c r="C290" s="69" t="s">
        <v>50</v>
      </c>
      <c r="D290" s="69" t="s">
        <v>51</v>
      </c>
      <c r="E290" s="69" t="s">
        <v>52</v>
      </c>
      <c r="F290" s="69" t="s">
        <v>53</v>
      </c>
      <c r="G290" s="69" t="s">
        <v>54</v>
      </c>
      <c r="H290" s="69" t="s">
        <v>55</v>
      </c>
      <c r="I290" s="52"/>
      <c r="J290" s="68">
        <v>0.82291666666666663</v>
      </c>
      <c r="K290" s="69" t="s">
        <v>49</v>
      </c>
      <c r="L290" s="69" t="s">
        <v>50</v>
      </c>
      <c r="M290" s="69" t="s">
        <v>51</v>
      </c>
      <c r="N290" s="69" t="s">
        <v>52</v>
      </c>
      <c r="O290" s="69" t="s">
        <v>53</v>
      </c>
      <c r="P290" s="69" t="s">
        <v>54</v>
      </c>
      <c r="Q290" s="69" t="s">
        <v>55</v>
      </c>
      <c r="R290" s="52"/>
      <c r="S290" s="68">
        <v>0.82291666666666663</v>
      </c>
      <c r="T290" s="69" t="s">
        <v>49</v>
      </c>
      <c r="U290" s="69" t="s">
        <v>50</v>
      </c>
      <c r="V290" s="69" t="s">
        <v>51</v>
      </c>
      <c r="W290" s="69" t="s">
        <v>52</v>
      </c>
      <c r="X290" s="69" t="s">
        <v>53</v>
      </c>
      <c r="Y290" s="69" t="s">
        <v>54</v>
      </c>
      <c r="Z290" s="69" t="s">
        <v>55</v>
      </c>
      <c r="AA290" s="52"/>
      <c r="AB290" s="68">
        <v>0.82291666666666663</v>
      </c>
      <c r="AC290" s="69" t="s">
        <v>49</v>
      </c>
      <c r="AD290" s="69" t="s">
        <v>50</v>
      </c>
      <c r="AE290" s="69" t="s">
        <v>51</v>
      </c>
      <c r="AF290" s="69" t="s">
        <v>52</v>
      </c>
      <c r="AG290" s="69" t="s">
        <v>53</v>
      </c>
      <c r="AH290" s="69" t="s">
        <v>54</v>
      </c>
      <c r="AI290" s="69" t="s">
        <v>55</v>
      </c>
      <c r="AJ290" s="52"/>
      <c r="AK290" s="68">
        <v>0.82291666666666663</v>
      </c>
      <c r="AL290" s="69" t="s">
        <v>49</v>
      </c>
      <c r="AM290" s="69" t="s">
        <v>50</v>
      </c>
      <c r="AN290" s="69" t="s">
        <v>51</v>
      </c>
      <c r="AO290" s="69" t="s">
        <v>52</v>
      </c>
      <c r="AP290" s="69" t="s">
        <v>53</v>
      </c>
      <c r="AQ290" s="69" t="s">
        <v>54</v>
      </c>
      <c r="AR290" s="69" t="s">
        <v>55</v>
      </c>
      <c r="AS290" s="67"/>
      <c r="AT290" s="68">
        <v>0.82291666666666663</v>
      </c>
      <c r="AU290" s="69" t="s">
        <v>49</v>
      </c>
      <c r="AV290" s="69" t="s">
        <v>50</v>
      </c>
      <c r="AW290" s="69" t="s">
        <v>51</v>
      </c>
      <c r="AX290" s="69" t="s">
        <v>52</v>
      </c>
      <c r="AY290" s="69" t="s">
        <v>53</v>
      </c>
      <c r="AZ290" s="69" t="s">
        <v>54</v>
      </c>
      <c r="BA290" s="69" t="s">
        <v>55</v>
      </c>
    </row>
    <row r="291" spans="1:53" ht="16" thickBot="1">
      <c r="A291" s="70">
        <v>46</v>
      </c>
      <c r="B291" s="49">
        <f>資料儲存!D6347</f>
        <v>0</v>
      </c>
      <c r="C291" s="49">
        <f>資料儲存!E6347</f>
        <v>0</v>
      </c>
      <c r="D291" s="49">
        <f>資料儲存!F6347</f>
        <v>0</v>
      </c>
      <c r="E291" s="49">
        <f>資料儲存!G6347</f>
        <v>0</v>
      </c>
      <c r="F291" s="49">
        <f>資料儲存!H6347</f>
        <v>0</v>
      </c>
      <c r="G291" s="49">
        <f>資料儲存!I6347</f>
        <v>0</v>
      </c>
      <c r="H291" s="49">
        <f>資料儲存!J6347</f>
        <v>0</v>
      </c>
      <c r="I291" s="52"/>
      <c r="J291" s="70">
        <v>46</v>
      </c>
      <c r="K291" s="49">
        <f>資料儲存!D6587</f>
        <v>0</v>
      </c>
      <c r="L291" s="49">
        <f>資料儲存!E6587</f>
        <v>0</v>
      </c>
      <c r="M291" s="49">
        <f>資料儲存!F6587</f>
        <v>0</v>
      </c>
      <c r="N291" s="49">
        <f>資料儲存!G6587</f>
        <v>0</v>
      </c>
      <c r="O291" s="49">
        <f>資料儲存!H6587</f>
        <v>0</v>
      </c>
      <c r="P291" s="49">
        <f>資料儲存!I6587</f>
        <v>0</v>
      </c>
      <c r="Q291" s="49">
        <f>資料儲存!J6587</f>
        <v>0</v>
      </c>
      <c r="R291" s="52"/>
      <c r="S291" s="70">
        <v>46</v>
      </c>
      <c r="T291" s="49">
        <f>資料儲存!D6827</f>
        <v>0</v>
      </c>
      <c r="U291" s="49">
        <f>資料儲存!E6827</f>
        <v>0</v>
      </c>
      <c r="V291" s="49">
        <f>資料儲存!F6827</f>
        <v>0</v>
      </c>
      <c r="W291" s="49">
        <f>資料儲存!G6827</f>
        <v>0</v>
      </c>
      <c r="X291" s="49">
        <f>資料儲存!H6827</f>
        <v>0</v>
      </c>
      <c r="Y291" s="49">
        <f>資料儲存!I6827</f>
        <v>0</v>
      </c>
      <c r="Z291" s="49">
        <f>資料儲存!J6827</f>
        <v>0</v>
      </c>
      <c r="AA291" s="52"/>
      <c r="AB291" s="70">
        <v>46</v>
      </c>
      <c r="AC291" s="49">
        <f>資料儲存!D7067</f>
        <v>0</v>
      </c>
      <c r="AD291" s="49">
        <f>資料儲存!E7067</f>
        <v>0</v>
      </c>
      <c r="AE291" s="49">
        <f>資料儲存!F7067</f>
        <v>0</v>
      </c>
      <c r="AF291" s="49">
        <f>資料儲存!G7067</f>
        <v>0</v>
      </c>
      <c r="AG291" s="49">
        <f>資料儲存!H7067</f>
        <v>0</v>
      </c>
      <c r="AH291" s="49">
        <f>資料儲存!I7067</f>
        <v>0</v>
      </c>
      <c r="AI291" s="49">
        <f>資料儲存!J7067</f>
        <v>0</v>
      </c>
      <c r="AJ291" s="52"/>
      <c r="AK291" s="70">
        <v>46</v>
      </c>
      <c r="AL291" s="49">
        <f>資料儲存!D7307</f>
        <v>0</v>
      </c>
      <c r="AM291" s="49">
        <f>資料儲存!E7307</f>
        <v>0</v>
      </c>
      <c r="AN291" s="49">
        <f>資料儲存!F7307</f>
        <v>0</v>
      </c>
      <c r="AO291" s="49">
        <f>資料儲存!G7307</f>
        <v>0</v>
      </c>
      <c r="AP291" s="49">
        <f>資料儲存!H7307</f>
        <v>0</v>
      </c>
      <c r="AQ291" s="49">
        <f>資料儲存!I7307</f>
        <v>0</v>
      </c>
      <c r="AR291" s="49">
        <f>資料儲存!J7307</f>
        <v>0</v>
      </c>
      <c r="AS291" s="67"/>
      <c r="AT291" s="70">
        <v>46</v>
      </c>
      <c r="AU291" s="49">
        <f>資料儲存!D7547</f>
        <v>0</v>
      </c>
      <c r="AV291" s="49">
        <f>資料儲存!E7547</f>
        <v>0</v>
      </c>
      <c r="AW291" s="49">
        <f>資料儲存!F7547</f>
        <v>0</v>
      </c>
      <c r="AX291" s="49">
        <f>資料儲存!G7547</f>
        <v>0</v>
      </c>
      <c r="AY291" s="49">
        <f>資料儲存!H7547</f>
        <v>0</v>
      </c>
      <c r="AZ291" s="49">
        <f>資料儲存!I7547</f>
        <v>0</v>
      </c>
      <c r="BA291" s="49">
        <f>資料儲存!J7547</f>
        <v>0</v>
      </c>
    </row>
    <row r="292" spans="1:53" ht="16" thickBot="1">
      <c r="A292" s="70">
        <v>47</v>
      </c>
      <c r="B292" s="49">
        <f>資料儲存!D6348</f>
        <v>0</v>
      </c>
      <c r="C292" s="49">
        <f>資料儲存!E6348</f>
        <v>0</v>
      </c>
      <c r="D292" s="49">
        <f>資料儲存!F6348</f>
        <v>0</v>
      </c>
      <c r="E292" s="49">
        <f>資料儲存!G6348</f>
        <v>0</v>
      </c>
      <c r="F292" s="49">
        <f>資料儲存!H6348</f>
        <v>0</v>
      </c>
      <c r="G292" s="49">
        <f>資料儲存!I6348</f>
        <v>0</v>
      </c>
      <c r="H292" s="49">
        <f>資料儲存!J6348</f>
        <v>0</v>
      </c>
      <c r="I292" s="52"/>
      <c r="J292" s="70">
        <v>47</v>
      </c>
      <c r="K292" s="49">
        <f>資料儲存!D6588</f>
        <v>0</v>
      </c>
      <c r="L292" s="49">
        <f>資料儲存!E6588</f>
        <v>0</v>
      </c>
      <c r="M292" s="49">
        <f>資料儲存!F6588</f>
        <v>0</v>
      </c>
      <c r="N292" s="49">
        <f>資料儲存!G6588</f>
        <v>0</v>
      </c>
      <c r="O292" s="49">
        <f>資料儲存!H6588</f>
        <v>0</v>
      </c>
      <c r="P292" s="49">
        <f>資料儲存!I6588</f>
        <v>0</v>
      </c>
      <c r="Q292" s="49">
        <f>資料儲存!J6588</f>
        <v>0</v>
      </c>
      <c r="R292" s="52"/>
      <c r="S292" s="70">
        <v>47</v>
      </c>
      <c r="T292" s="49">
        <f>資料儲存!D6828</f>
        <v>0</v>
      </c>
      <c r="U292" s="49">
        <f>資料儲存!E6828</f>
        <v>0</v>
      </c>
      <c r="V292" s="49">
        <f>資料儲存!F6828</f>
        <v>0</v>
      </c>
      <c r="W292" s="49">
        <f>資料儲存!G6828</f>
        <v>0</v>
      </c>
      <c r="X292" s="49">
        <f>資料儲存!H6828</f>
        <v>0</v>
      </c>
      <c r="Y292" s="49">
        <f>資料儲存!I6828</f>
        <v>0</v>
      </c>
      <c r="Z292" s="49">
        <f>資料儲存!J6828</f>
        <v>0</v>
      </c>
      <c r="AA292" s="52"/>
      <c r="AB292" s="70">
        <v>47</v>
      </c>
      <c r="AC292" s="49">
        <f>資料儲存!D7068</f>
        <v>0</v>
      </c>
      <c r="AD292" s="49">
        <f>資料儲存!E7068</f>
        <v>0</v>
      </c>
      <c r="AE292" s="49">
        <f>資料儲存!F7068</f>
        <v>0</v>
      </c>
      <c r="AF292" s="49">
        <f>資料儲存!G7068</f>
        <v>0</v>
      </c>
      <c r="AG292" s="49">
        <f>資料儲存!H7068</f>
        <v>0</v>
      </c>
      <c r="AH292" s="49">
        <f>資料儲存!I7068</f>
        <v>0</v>
      </c>
      <c r="AI292" s="49">
        <f>資料儲存!J7068</f>
        <v>0</v>
      </c>
      <c r="AJ292" s="52"/>
      <c r="AK292" s="70">
        <v>47</v>
      </c>
      <c r="AL292" s="49">
        <f>資料儲存!D7308</f>
        <v>0</v>
      </c>
      <c r="AM292" s="49">
        <f>資料儲存!E7308</f>
        <v>0</v>
      </c>
      <c r="AN292" s="49">
        <f>資料儲存!F7308</f>
        <v>0</v>
      </c>
      <c r="AO292" s="49">
        <f>資料儲存!G7308</f>
        <v>0</v>
      </c>
      <c r="AP292" s="49">
        <f>資料儲存!H7308</f>
        <v>0</v>
      </c>
      <c r="AQ292" s="49">
        <f>資料儲存!I7308</f>
        <v>0</v>
      </c>
      <c r="AR292" s="49">
        <f>資料儲存!J7308</f>
        <v>0</v>
      </c>
      <c r="AS292" s="67"/>
      <c r="AT292" s="70">
        <v>47</v>
      </c>
      <c r="AU292" s="49">
        <f>資料儲存!D7548</f>
        <v>0</v>
      </c>
      <c r="AV292" s="49">
        <f>資料儲存!E7548</f>
        <v>0</v>
      </c>
      <c r="AW292" s="49">
        <f>資料儲存!F7548</f>
        <v>0</v>
      </c>
      <c r="AX292" s="49">
        <f>資料儲存!G7548</f>
        <v>0</v>
      </c>
      <c r="AY292" s="49">
        <f>資料儲存!H7548</f>
        <v>0</v>
      </c>
      <c r="AZ292" s="49">
        <f>資料儲存!I7548</f>
        <v>0</v>
      </c>
      <c r="BA292" s="49">
        <f>資料儲存!J7548</f>
        <v>0</v>
      </c>
    </row>
    <row r="293" spans="1:53" ht="16" thickBot="1">
      <c r="A293" s="70">
        <v>48</v>
      </c>
      <c r="B293" s="49">
        <f>資料儲存!D6349</f>
        <v>0</v>
      </c>
      <c r="C293" s="49">
        <f>資料儲存!E6349</f>
        <v>0</v>
      </c>
      <c r="D293" s="49">
        <f>資料儲存!F6349</f>
        <v>0</v>
      </c>
      <c r="E293" s="49">
        <f>資料儲存!G6349</f>
        <v>0</v>
      </c>
      <c r="F293" s="49">
        <f>資料儲存!H6349</f>
        <v>0</v>
      </c>
      <c r="G293" s="49">
        <f>資料儲存!I6349</f>
        <v>0</v>
      </c>
      <c r="H293" s="49">
        <f>資料儲存!J6349</f>
        <v>0</v>
      </c>
      <c r="I293" s="52"/>
      <c r="J293" s="70">
        <v>48</v>
      </c>
      <c r="K293" s="49">
        <f>資料儲存!D6589</f>
        <v>0</v>
      </c>
      <c r="L293" s="49">
        <f>資料儲存!E6589</f>
        <v>0</v>
      </c>
      <c r="M293" s="49">
        <f>資料儲存!F6589</f>
        <v>0</v>
      </c>
      <c r="N293" s="49">
        <f>資料儲存!G6589</f>
        <v>0</v>
      </c>
      <c r="O293" s="49">
        <f>資料儲存!H6589</f>
        <v>0</v>
      </c>
      <c r="P293" s="49">
        <f>資料儲存!I6589</f>
        <v>0</v>
      </c>
      <c r="Q293" s="49">
        <f>資料儲存!J6589</f>
        <v>0</v>
      </c>
      <c r="R293" s="52"/>
      <c r="S293" s="70">
        <v>48</v>
      </c>
      <c r="T293" s="49">
        <f>資料儲存!D6829</f>
        <v>0</v>
      </c>
      <c r="U293" s="49">
        <f>資料儲存!E6829</f>
        <v>0</v>
      </c>
      <c r="V293" s="49">
        <f>資料儲存!F6829</f>
        <v>0</v>
      </c>
      <c r="W293" s="49">
        <f>資料儲存!G6829</f>
        <v>0</v>
      </c>
      <c r="X293" s="49">
        <f>資料儲存!H6829</f>
        <v>0</v>
      </c>
      <c r="Y293" s="49">
        <f>資料儲存!I6829</f>
        <v>0</v>
      </c>
      <c r="Z293" s="49">
        <f>資料儲存!J6829</f>
        <v>0</v>
      </c>
      <c r="AA293" s="52"/>
      <c r="AB293" s="70">
        <v>48</v>
      </c>
      <c r="AC293" s="49">
        <f>資料儲存!D7069</f>
        <v>0</v>
      </c>
      <c r="AD293" s="49">
        <f>資料儲存!E7069</f>
        <v>0</v>
      </c>
      <c r="AE293" s="49">
        <f>資料儲存!F7069</f>
        <v>0</v>
      </c>
      <c r="AF293" s="49">
        <f>資料儲存!G7069</f>
        <v>0</v>
      </c>
      <c r="AG293" s="49">
        <f>資料儲存!H7069</f>
        <v>0</v>
      </c>
      <c r="AH293" s="49">
        <f>資料儲存!I7069</f>
        <v>0</v>
      </c>
      <c r="AI293" s="49">
        <f>資料儲存!J7069</f>
        <v>0</v>
      </c>
      <c r="AJ293" s="52"/>
      <c r="AK293" s="70">
        <v>48</v>
      </c>
      <c r="AL293" s="49">
        <f>資料儲存!D7309</f>
        <v>0</v>
      </c>
      <c r="AM293" s="49">
        <f>資料儲存!E7309</f>
        <v>0</v>
      </c>
      <c r="AN293" s="49">
        <f>資料儲存!F7309</f>
        <v>0</v>
      </c>
      <c r="AO293" s="49">
        <f>資料儲存!G7309</f>
        <v>0</v>
      </c>
      <c r="AP293" s="49">
        <f>資料儲存!H7309</f>
        <v>0</v>
      </c>
      <c r="AQ293" s="49">
        <f>資料儲存!I7309</f>
        <v>0</v>
      </c>
      <c r="AR293" s="49">
        <f>資料儲存!J7309</f>
        <v>0</v>
      </c>
      <c r="AS293" s="67"/>
      <c r="AT293" s="70">
        <v>48</v>
      </c>
      <c r="AU293" s="49">
        <f>資料儲存!D7549</f>
        <v>0</v>
      </c>
      <c r="AV293" s="49">
        <f>資料儲存!E7549</f>
        <v>0</v>
      </c>
      <c r="AW293" s="49">
        <f>資料儲存!F7549</f>
        <v>0</v>
      </c>
      <c r="AX293" s="49">
        <f>資料儲存!G7549</f>
        <v>0</v>
      </c>
      <c r="AY293" s="49">
        <f>資料儲存!H7549</f>
        <v>0</v>
      </c>
      <c r="AZ293" s="49">
        <f>資料儲存!I7549</f>
        <v>0</v>
      </c>
      <c r="BA293" s="49">
        <f>資料儲存!J7549</f>
        <v>0</v>
      </c>
    </row>
    <row r="294" spans="1:53" ht="16" thickBot="1">
      <c r="A294" s="70">
        <v>49</v>
      </c>
      <c r="B294" s="49">
        <f>資料儲存!D6350</f>
        <v>0</v>
      </c>
      <c r="C294" s="49">
        <f>資料儲存!E6350</f>
        <v>0</v>
      </c>
      <c r="D294" s="49">
        <f>資料儲存!F6350</f>
        <v>0</v>
      </c>
      <c r="E294" s="49">
        <f>資料儲存!G6350</f>
        <v>0</v>
      </c>
      <c r="F294" s="49">
        <f>資料儲存!H6350</f>
        <v>0</v>
      </c>
      <c r="G294" s="49">
        <f>資料儲存!I6350</f>
        <v>0</v>
      </c>
      <c r="H294" s="49">
        <f>資料儲存!J6350</f>
        <v>0</v>
      </c>
      <c r="I294" s="52"/>
      <c r="J294" s="70">
        <v>49</v>
      </c>
      <c r="K294" s="49">
        <f>資料儲存!D6590</f>
        <v>0</v>
      </c>
      <c r="L294" s="49">
        <f>資料儲存!E6590</f>
        <v>0</v>
      </c>
      <c r="M294" s="49">
        <f>資料儲存!F6590</f>
        <v>0</v>
      </c>
      <c r="N294" s="49">
        <f>資料儲存!G6590</f>
        <v>0</v>
      </c>
      <c r="O294" s="49">
        <f>資料儲存!H6590</f>
        <v>0</v>
      </c>
      <c r="P294" s="49">
        <f>資料儲存!I6590</f>
        <v>0</v>
      </c>
      <c r="Q294" s="49">
        <f>資料儲存!J6590</f>
        <v>0</v>
      </c>
      <c r="R294" s="52"/>
      <c r="S294" s="70">
        <v>49</v>
      </c>
      <c r="T294" s="49">
        <f>資料儲存!D6830</f>
        <v>0</v>
      </c>
      <c r="U294" s="49">
        <f>資料儲存!E6830</f>
        <v>0</v>
      </c>
      <c r="V294" s="49">
        <f>資料儲存!F6830</f>
        <v>0</v>
      </c>
      <c r="W294" s="49">
        <f>資料儲存!G6830</f>
        <v>0</v>
      </c>
      <c r="X294" s="49">
        <f>資料儲存!H6830</f>
        <v>0</v>
      </c>
      <c r="Y294" s="49">
        <f>資料儲存!I6830</f>
        <v>0</v>
      </c>
      <c r="Z294" s="49">
        <f>資料儲存!J6830</f>
        <v>0</v>
      </c>
      <c r="AA294" s="52"/>
      <c r="AB294" s="70">
        <v>49</v>
      </c>
      <c r="AC294" s="49">
        <f>資料儲存!D7070</f>
        <v>0</v>
      </c>
      <c r="AD294" s="49">
        <f>資料儲存!E7070</f>
        <v>0</v>
      </c>
      <c r="AE294" s="49">
        <f>資料儲存!F7070</f>
        <v>0</v>
      </c>
      <c r="AF294" s="49">
        <f>資料儲存!G7070</f>
        <v>0</v>
      </c>
      <c r="AG294" s="49">
        <f>資料儲存!H7070</f>
        <v>0</v>
      </c>
      <c r="AH294" s="49">
        <f>資料儲存!I7070</f>
        <v>0</v>
      </c>
      <c r="AI294" s="49">
        <f>資料儲存!J7070</f>
        <v>0</v>
      </c>
      <c r="AJ294" s="52"/>
      <c r="AK294" s="70">
        <v>49</v>
      </c>
      <c r="AL294" s="49">
        <f>資料儲存!D7310</f>
        <v>0</v>
      </c>
      <c r="AM294" s="49">
        <f>資料儲存!E7310</f>
        <v>0</v>
      </c>
      <c r="AN294" s="49">
        <f>資料儲存!F7310</f>
        <v>0</v>
      </c>
      <c r="AO294" s="49">
        <f>資料儲存!G7310</f>
        <v>0</v>
      </c>
      <c r="AP294" s="49">
        <f>資料儲存!H7310</f>
        <v>0</v>
      </c>
      <c r="AQ294" s="49">
        <f>資料儲存!I7310</f>
        <v>0</v>
      </c>
      <c r="AR294" s="49">
        <f>資料儲存!J7310</f>
        <v>0</v>
      </c>
      <c r="AS294" s="67"/>
      <c r="AT294" s="70">
        <v>49</v>
      </c>
      <c r="AU294" s="49">
        <f>資料儲存!D7550</f>
        <v>0</v>
      </c>
      <c r="AV294" s="49">
        <f>資料儲存!E7550</f>
        <v>0</v>
      </c>
      <c r="AW294" s="49">
        <f>資料儲存!F7550</f>
        <v>0</v>
      </c>
      <c r="AX294" s="49">
        <f>資料儲存!G7550</f>
        <v>0</v>
      </c>
      <c r="AY294" s="49">
        <f>資料儲存!H7550</f>
        <v>0</v>
      </c>
      <c r="AZ294" s="49">
        <f>資料儲存!I7550</f>
        <v>0</v>
      </c>
      <c r="BA294" s="49">
        <f>資料儲存!J7550</f>
        <v>0</v>
      </c>
    </row>
    <row r="295" spans="1:53" ht="16" thickBot="1">
      <c r="A295" s="70">
        <v>50</v>
      </c>
      <c r="B295" s="49">
        <f>資料儲存!D6351</f>
        <v>0</v>
      </c>
      <c r="C295" s="49">
        <f>資料儲存!E6351</f>
        <v>0</v>
      </c>
      <c r="D295" s="49">
        <f>資料儲存!F6351</f>
        <v>0</v>
      </c>
      <c r="E295" s="49">
        <f>資料儲存!G6351</f>
        <v>0</v>
      </c>
      <c r="F295" s="49">
        <f>資料儲存!H6351</f>
        <v>0</v>
      </c>
      <c r="G295" s="49">
        <f>資料儲存!I6351</f>
        <v>0</v>
      </c>
      <c r="H295" s="49">
        <f>資料儲存!J6351</f>
        <v>0</v>
      </c>
      <c r="I295" s="52"/>
      <c r="J295" s="70">
        <v>50</v>
      </c>
      <c r="K295" s="49">
        <f>資料儲存!D6591</f>
        <v>0</v>
      </c>
      <c r="L295" s="49">
        <f>資料儲存!E6591</f>
        <v>0</v>
      </c>
      <c r="M295" s="49">
        <f>資料儲存!F6591</f>
        <v>0</v>
      </c>
      <c r="N295" s="49">
        <f>資料儲存!G6591</f>
        <v>0</v>
      </c>
      <c r="O295" s="49">
        <f>資料儲存!H6591</f>
        <v>0</v>
      </c>
      <c r="P295" s="49">
        <f>資料儲存!I6591</f>
        <v>0</v>
      </c>
      <c r="Q295" s="49">
        <f>資料儲存!J6591</f>
        <v>0</v>
      </c>
      <c r="R295" s="52"/>
      <c r="S295" s="70">
        <v>50</v>
      </c>
      <c r="T295" s="49">
        <f>資料儲存!D6831</f>
        <v>0</v>
      </c>
      <c r="U295" s="49">
        <f>資料儲存!E6831</f>
        <v>0</v>
      </c>
      <c r="V295" s="49">
        <f>資料儲存!F6831</f>
        <v>0</v>
      </c>
      <c r="W295" s="49">
        <f>資料儲存!G6831</f>
        <v>0</v>
      </c>
      <c r="X295" s="49">
        <f>資料儲存!H6831</f>
        <v>0</v>
      </c>
      <c r="Y295" s="49">
        <f>資料儲存!I6831</f>
        <v>0</v>
      </c>
      <c r="Z295" s="49">
        <f>資料儲存!J6831</f>
        <v>0</v>
      </c>
      <c r="AA295" s="52"/>
      <c r="AB295" s="70">
        <v>50</v>
      </c>
      <c r="AC295" s="49">
        <f>資料儲存!D7071</f>
        <v>0</v>
      </c>
      <c r="AD295" s="49">
        <f>資料儲存!E7071</f>
        <v>0</v>
      </c>
      <c r="AE295" s="49">
        <f>資料儲存!F7071</f>
        <v>0</v>
      </c>
      <c r="AF295" s="49">
        <f>資料儲存!G7071</f>
        <v>0</v>
      </c>
      <c r="AG295" s="49">
        <f>資料儲存!H7071</f>
        <v>0</v>
      </c>
      <c r="AH295" s="49">
        <f>資料儲存!I7071</f>
        <v>0</v>
      </c>
      <c r="AI295" s="49">
        <f>資料儲存!J7071</f>
        <v>0</v>
      </c>
      <c r="AJ295" s="52"/>
      <c r="AK295" s="70">
        <v>50</v>
      </c>
      <c r="AL295" s="49">
        <f>資料儲存!D7311</f>
        <v>0</v>
      </c>
      <c r="AM295" s="49">
        <f>資料儲存!E7311</f>
        <v>0</v>
      </c>
      <c r="AN295" s="49">
        <f>資料儲存!F7311</f>
        <v>0</v>
      </c>
      <c r="AO295" s="49">
        <f>資料儲存!G7311</f>
        <v>0</v>
      </c>
      <c r="AP295" s="49">
        <f>資料儲存!H7311</f>
        <v>0</v>
      </c>
      <c r="AQ295" s="49">
        <f>資料儲存!I7311</f>
        <v>0</v>
      </c>
      <c r="AR295" s="49">
        <f>資料儲存!J7311</f>
        <v>0</v>
      </c>
      <c r="AS295" s="67"/>
      <c r="AT295" s="70">
        <v>50</v>
      </c>
      <c r="AU295" s="49">
        <f>資料儲存!D7551</f>
        <v>0</v>
      </c>
      <c r="AV295" s="49">
        <f>資料儲存!E7551</f>
        <v>0</v>
      </c>
      <c r="AW295" s="49">
        <f>資料儲存!F7551</f>
        <v>0</v>
      </c>
      <c r="AX295" s="49">
        <f>資料儲存!G7551</f>
        <v>0</v>
      </c>
      <c r="AY295" s="49">
        <f>資料儲存!H7551</f>
        <v>0</v>
      </c>
      <c r="AZ295" s="49">
        <f>資料儲存!I7551</f>
        <v>0</v>
      </c>
      <c r="BA295" s="49">
        <f>資料儲存!J7551</f>
        <v>0</v>
      </c>
    </row>
    <row r="296" spans="1:53" ht="16" thickBot="1">
      <c r="A296" s="70">
        <v>51</v>
      </c>
      <c r="B296" s="49">
        <f>資料儲存!D6352</f>
        <v>0</v>
      </c>
      <c r="C296" s="49">
        <f>資料儲存!E6352</f>
        <v>0</v>
      </c>
      <c r="D296" s="49">
        <f>資料儲存!F6352</f>
        <v>0</v>
      </c>
      <c r="E296" s="49">
        <f>資料儲存!G6352</f>
        <v>0</v>
      </c>
      <c r="F296" s="49">
        <f>資料儲存!H6352</f>
        <v>0</v>
      </c>
      <c r="G296" s="49">
        <f>資料儲存!I6352</f>
        <v>0</v>
      </c>
      <c r="H296" s="49">
        <f>資料儲存!J6352</f>
        <v>0</v>
      </c>
      <c r="I296" s="52"/>
      <c r="J296" s="70">
        <v>51</v>
      </c>
      <c r="K296" s="49">
        <f>資料儲存!D6592</f>
        <v>0</v>
      </c>
      <c r="L296" s="49">
        <f>資料儲存!E6592</f>
        <v>0</v>
      </c>
      <c r="M296" s="49">
        <f>資料儲存!F6592</f>
        <v>0</v>
      </c>
      <c r="N296" s="49">
        <f>資料儲存!G6592</f>
        <v>0</v>
      </c>
      <c r="O296" s="49">
        <f>資料儲存!H6592</f>
        <v>0</v>
      </c>
      <c r="P296" s="49">
        <f>資料儲存!I6592</f>
        <v>0</v>
      </c>
      <c r="Q296" s="49">
        <f>資料儲存!J6592</f>
        <v>0</v>
      </c>
      <c r="R296" s="52"/>
      <c r="S296" s="70">
        <v>51</v>
      </c>
      <c r="T296" s="49">
        <f>資料儲存!D6832</f>
        <v>0</v>
      </c>
      <c r="U296" s="49">
        <f>資料儲存!E6832</f>
        <v>0</v>
      </c>
      <c r="V296" s="49">
        <f>資料儲存!F6832</f>
        <v>0</v>
      </c>
      <c r="W296" s="49">
        <f>資料儲存!G6832</f>
        <v>0</v>
      </c>
      <c r="X296" s="49">
        <f>資料儲存!H6832</f>
        <v>0</v>
      </c>
      <c r="Y296" s="49">
        <f>資料儲存!I6832</f>
        <v>0</v>
      </c>
      <c r="Z296" s="49">
        <f>資料儲存!J6832</f>
        <v>0</v>
      </c>
      <c r="AA296" s="52"/>
      <c r="AB296" s="70">
        <v>51</v>
      </c>
      <c r="AC296" s="49">
        <f>資料儲存!D7072</f>
        <v>0</v>
      </c>
      <c r="AD296" s="49">
        <f>資料儲存!E7072</f>
        <v>0</v>
      </c>
      <c r="AE296" s="49">
        <f>資料儲存!F7072</f>
        <v>0</v>
      </c>
      <c r="AF296" s="49">
        <f>資料儲存!G7072</f>
        <v>0</v>
      </c>
      <c r="AG296" s="49">
        <f>資料儲存!H7072</f>
        <v>0</v>
      </c>
      <c r="AH296" s="49">
        <f>資料儲存!I7072</f>
        <v>0</v>
      </c>
      <c r="AI296" s="49">
        <f>資料儲存!J7072</f>
        <v>0</v>
      </c>
      <c r="AJ296" s="52"/>
      <c r="AK296" s="70">
        <v>51</v>
      </c>
      <c r="AL296" s="49">
        <f>資料儲存!D7312</f>
        <v>0</v>
      </c>
      <c r="AM296" s="49">
        <f>資料儲存!E7312</f>
        <v>0</v>
      </c>
      <c r="AN296" s="49">
        <f>資料儲存!F7312</f>
        <v>0</v>
      </c>
      <c r="AO296" s="49">
        <f>資料儲存!G7312</f>
        <v>0</v>
      </c>
      <c r="AP296" s="49">
        <f>資料儲存!H7312</f>
        <v>0</v>
      </c>
      <c r="AQ296" s="49">
        <f>資料儲存!I7312</f>
        <v>0</v>
      </c>
      <c r="AR296" s="49">
        <f>資料儲存!J7312</f>
        <v>0</v>
      </c>
      <c r="AS296" s="67"/>
      <c r="AT296" s="70">
        <v>51</v>
      </c>
      <c r="AU296" s="49">
        <f>資料儲存!D7552</f>
        <v>0</v>
      </c>
      <c r="AV296" s="49">
        <f>資料儲存!E7552</f>
        <v>0</v>
      </c>
      <c r="AW296" s="49">
        <f>資料儲存!F7552</f>
        <v>0</v>
      </c>
      <c r="AX296" s="49">
        <f>資料儲存!G7552</f>
        <v>0</v>
      </c>
      <c r="AY296" s="49">
        <f>資料儲存!H7552</f>
        <v>0</v>
      </c>
      <c r="AZ296" s="49">
        <f>資料儲存!I7552</f>
        <v>0</v>
      </c>
      <c r="BA296" s="49">
        <f>資料儲存!J7552</f>
        <v>0</v>
      </c>
    </row>
    <row r="297" spans="1:53" ht="16" thickBot="1">
      <c r="A297" s="70">
        <v>52</v>
      </c>
      <c r="B297" s="49">
        <f>資料儲存!D6353</f>
        <v>0</v>
      </c>
      <c r="C297" s="49">
        <f>資料儲存!E6353</f>
        <v>0</v>
      </c>
      <c r="D297" s="49">
        <f>資料儲存!F6353</f>
        <v>0</v>
      </c>
      <c r="E297" s="49">
        <f>資料儲存!G6353</f>
        <v>0</v>
      </c>
      <c r="F297" s="49">
        <f>資料儲存!H6353</f>
        <v>0</v>
      </c>
      <c r="G297" s="49">
        <f>資料儲存!I6353</f>
        <v>0</v>
      </c>
      <c r="H297" s="49">
        <f>資料儲存!J6353</f>
        <v>0</v>
      </c>
      <c r="I297" s="52"/>
      <c r="J297" s="70">
        <v>52</v>
      </c>
      <c r="K297" s="49">
        <f>資料儲存!D6593</f>
        <v>0</v>
      </c>
      <c r="L297" s="49">
        <f>資料儲存!E6593</f>
        <v>0</v>
      </c>
      <c r="M297" s="49">
        <f>資料儲存!F6593</f>
        <v>0</v>
      </c>
      <c r="N297" s="49">
        <f>資料儲存!G6593</f>
        <v>0</v>
      </c>
      <c r="O297" s="49">
        <f>資料儲存!H6593</f>
        <v>0</v>
      </c>
      <c r="P297" s="49">
        <f>資料儲存!I6593</f>
        <v>0</v>
      </c>
      <c r="Q297" s="49">
        <f>資料儲存!J6593</f>
        <v>0</v>
      </c>
      <c r="R297" s="52"/>
      <c r="S297" s="70">
        <v>52</v>
      </c>
      <c r="T297" s="49">
        <f>資料儲存!D6833</f>
        <v>0</v>
      </c>
      <c r="U297" s="49">
        <f>資料儲存!E6833</f>
        <v>0</v>
      </c>
      <c r="V297" s="49">
        <f>資料儲存!F6833</f>
        <v>0</v>
      </c>
      <c r="W297" s="49">
        <f>資料儲存!G6833</f>
        <v>0</v>
      </c>
      <c r="X297" s="49">
        <f>資料儲存!H6833</f>
        <v>0</v>
      </c>
      <c r="Y297" s="49">
        <f>資料儲存!I6833</f>
        <v>0</v>
      </c>
      <c r="Z297" s="49">
        <f>資料儲存!J6833</f>
        <v>0</v>
      </c>
      <c r="AA297" s="52"/>
      <c r="AB297" s="70">
        <v>52</v>
      </c>
      <c r="AC297" s="49">
        <f>資料儲存!D7073</f>
        <v>0</v>
      </c>
      <c r="AD297" s="49">
        <f>資料儲存!E7073</f>
        <v>0</v>
      </c>
      <c r="AE297" s="49">
        <f>資料儲存!F7073</f>
        <v>0</v>
      </c>
      <c r="AF297" s="49">
        <f>資料儲存!G7073</f>
        <v>0</v>
      </c>
      <c r="AG297" s="49">
        <f>資料儲存!H7073</f>
        <v>0</v>
      </c>
      <c r="AH297" s="49">
        <f>資料儲存!I7073</f>
        <v>0</v>
      </c>
      <c r="AI297" s="49">
        <f>資料儲存!J7073</f>
        <v>0</v>
      </c>
      <c r="AJ297" s="52"/>
      <c r="AK297" s="70">
        <v>52</v>
      </c>
      <c r="AL297" s="49">
        <f>資料儲存!D7313</f>
        <v>0</v>
      </c>
      <c r="AM297" s="49">
        <f>資料儲存!E7313</f>
        <v>0</v>
      </c>
      <c r="AN297" s="49">
        <f>資料儲存!F7313</f>
        <v>0</v>
      </c>
      <c r="AO297" s="49">
        <f>資料儲存!G7313</f>
        <v>0</v>
      </c>
      <c r="AP297" s="49">
        <f>資料儲存!H7313</f>
        <v>0</v>
      </c>
      <c r="AQ297" s="49">
        <f>資料儲存!I7313</f>
        <v>0</v>
      </c>
      <c r="AR297" s="49">
        <f>資料儲存!J7313</f>
        <v>0</v>
      </c>
      <c r="AS297" s="67"/>
      <c r="AT297" s="70">
        <v>52</v>
      </c>
      <c r="AU297" s="49">
        <f>資料儲存!D7553</f>
        <v>0</v>
      </c>
      <c r="AV297" s="49">
        <f>資料儲存!E7553</f>
        <v>0</v>
      </c>
      <c r="AW297" s="49">
        <f>資料儲存!F7553</f>
        <v>0</v>
      </c>
      <c r="AX297" s="49">
        <f>資料儲存!G7553</f>
        <v>0</v>
      </c>
      <c r="AY297" s="49">
        <f>資料儲存!H7553</f>
        <v>0</v>
      </c>
      <c r="AZ297" s="49">
        <f>資料儲存!I7553</f>
        <v>0</v>
      </c>
      <c r="BA297" s="49">
        <f>資料儲存!J7553</f>
        <v>0</v>
      </c>
    </row>
    <row r="298" spans="1:53" ht="16" thickBot="1">
      <c r="A298" s="70">
        <v>53</v>
      </c>
      <c r="B298" s="49">
        <f>資料儲存!D6354</f>
        <v>0</v>
      </c>
      <c r="C298" s="49">
        <f>資料儲存!E6354</f>
        <v>0</v>
      </c>
      <c r="D298" s="49">
        <f>資料儲存!F6354</f>
        <v>0</v>
      </c>
      <c r="E298" s="49">
        <f>資料儲存!G6354</f>
        <v>0</v>
      </c>
      <c r="F298" s="49">
        <f>資料儲存!H6354</f>
        <v>0</v>
      </c>
      <c r="G298" s="49">
        <f>資料儲存!I6354</f>
        <v>0</v>
      </c>
      <c r="H298" s="49">
        <f>資料儲存!J6354</f>
        <v>0</v>
      </c>
      <c r="I298" s="52"/>
      <c r="J298" s="70">
        <v>53</v>
      </c>
      <c r="K298" s="49">
        <f>資料儲存!D6594</f>
        <v>0</v>
      </c>
      <c r="L298" s="49">
        <f>資料儲存!E6594</f>
        <v>0</v>
      </c>
      <c r="M298" s="49">
        <f>資料儲存!F6594</f>
        <v>0</v>
      </c>
      <c r="N298" s="49">
        <f>資料儲存!G6594</f>
        <v>0</v>
      </c>
      <c r="O298" s="49">
        <f>資料儲存!H6594</f>
        <v>0</v>
      </c>
      <c r="P298" s="49">
        <f>資料儲存!I6594</f>
        <v>0</v>
      </c>
      <c r="Q298" s="49">
        <f>資料儲存!J6594</f>
        <v>0</v>
      </c>
      <c r="R298" s="52"/>
      <c r="S298" s="70">
        <v>53</v>
      </c>
      <c r="T298" s="49">
        <f>資料儲存!D6834</f>
        <v>0</v>
      </c>
      <c r="U298" s="49">
        <f>資料儲存!E6834</f>
        <v>0</v>
      </c>
      <c r="V298" s="49">
        <f>資料儲存!F6834</f>
        <v>0</v>
      </c>
      <c r="W298" s="49">
        <f>資料儲存!G6834</f>
        <v>0</v>
      </c>
      <c r="X298" s="49">
        <f>資料儲存!H6834</f>
        <v>0</v>
      </c>
      <c r="Y298" s="49">
        <f>資料儲存!I6834</f>
        <v>0</v>
      </c>
      <c r="Z298" s="49">
        <f>資料儲存!J6834</f>
        <v>0</v>
      </c>
      <c r="AA298" s="52"/>
      <c r="AB298" s="70">
        <v>53</v>
      </c>
      <c r="AC298" s="49">
        <f>資料儲存!D7074</f>
        <v>0</v>
      </c>
      <c r="AD298" s="49">
        <f>資料儲存!E7074</f>
        <v>0</v>
      </c>
      <c r="AE298" s="49">
        <f>資料儲存!F7074</f>
        <v>0</v>
      </c>
      <c r="AF298" s="49">
        <f>資料儲存!G7074</f>
        <v>0</v>
      </c>
      <c r="AG298" s="49">
        <f>資料儲存!H7074</f>
        <v>0</v>
      </c>
      <c r="AH298" s="49">
        <f>資料儲存!I7074</f>
        <v>0</v>
      </c>
      <c r="AI298" s="49">
        <f>資料儲存!J7074</f>
        <v>0</v>
      </c>
      <c r="AJ298" s="52"/>
      <c r="AK298" s="70">
        <v>53</v>
      </c>
      <c r="AL298" s="49">
        <f>資料儲存!D7314</f>
        <v>0</v>
      </c>
      <c r="AM298" s="49">
        <f>資料儲存!E7314</f>
        <v>0</v>
      </c>
      <c r="AN298" s="49">
        <f>資料儲存!F7314</f>
        <v>0</v>
      </c>
      <c r="AO298" s="49">
        <f>資料儲存!G7314</f>
        <v>0</v>
      </c>
      <c r="AP298" s="49">
        <f>資料儲存!H7314</f>
        <v>0</v>
      </c>
      <c r="AQ298" s="49">
        <f>資料儲存!I7314</f>
        <v>0</v>
      </c>
      <c r="AR298" s="49">
        <f>資料儲存!J7314</f>
        <v>0</v>
      </c>
      <c r="AS298" s="67"/>
      <c r="AT298" s="70">
        <v>53</v>
      </c>
      <c r="AU298" s="49">
        <f>資料儲存!D7554</f>
        <v>0</v>
      </c>
      <c r="AV298" s="49">
        <f>資料儲存!E7554</f>
        <v>0</v>
      </c>
      <c r="AW298" s="49">
        <f>資料儲存!F7554</f>
        <v>0</v>
      </c>
      <c r="AX298" s="49">
        <f>資料儲存!G7554</f>
        <v>0</v>
      </c>
      <c r="AY298" s="49">
        <f>資料儲存!H7554</f>
        <v>0</v>
      </c>
      <c r="AZ298" s="49">
        <f>資料儲存!I7554</f>
        <v>0</v>
      </c>
      <c r="BA298" s="49">
        <f>資料儲存!J7554</f>
        <v>0</v>
      </c>
    </row>
    <row r="299" spans="1:53" ht="16" thickBot="1">
      <c r="A299" s="70">
        <v>54</v>
      </c>
      <c r="B299" s="49">
        <f>資料儲存!D6355</f>
        <v>0</v>
      </c>
      <c r="C299" s="49">
        <f>資料儲存!E6355</f>
        <v>0</v>
      </c>
      <c r="D299" s="49">
        <f>資料儲存!F6355</f>
        <v>0</v>
      </c>
      <c r="E299" s="49">
        <f>資料儲存!G6355</f>
        <v>0</v>
      </c>
      <c r="F299" s="49">
        <f>資料儲存!H6355</f>
        <v>0</v>
      </c>
      <c r="G299" s="49">
        <f>資料儲存!I6355</f>
        <v>0</v>
      </c>
      <c r="H299" s="49">
        <f>資料儲存!J6355</f>
        <v>0</v>
      </c>
      <c r="I299" s="52"/>
      <c r="J299" s="70">
        <v>54</v>
      </c>
      <c r="K299" s="49">
        <f>資料儲存!D6595</f>
        <v>0</v>
      </c>
      <c r="L299" s="49">
        <f>資料儲存!E6595</f>
        <v>0</v>
      </c>
      <c r="M299" s="49">
        <f>資料儲存!F6595</f>
        <v>0</v>
      </c>
      <c r="N299" s="49">
        <f>資料儲存!G6595</f>
        <v>0</v>
      </c>
      <c r="O299" s="49">
        <f>資料儲存!H6595</f>
        <v>0</v>
      </c>
      <c r="P299" s="49">
        <f>資料儲存!I6595</f>
        <v>0</v>
      </c>
      <c r="Q299" s="49">
        <f>資料儲存!J6595</f>
        <v>0</v>
      </c>
      <c r="R299" s="52"/>
      <c r="S299" s="70">
        <v>54</v>
      </c>
      <c r="T299" s="49">
        <f>資料儲存!D6835</f>
        <v>0</v>
      </c>
      <c r="U299" s="49">
        <f>資料儲存!E6835</f>
        <v>0</v>
      </c>
      <c r="V299" s="49">
        <f>資料儲存!F6835</f>
        <v>0</v>
      </c>
      <c r="W299" s="49">
        <f>資料儲存!G6835</f>
        <v>0</v>
      </c>
      <c r="X299" s="49">
        <f>資料儲存!H6835</f>
        <v>0</v>
      </c>
      <c r="Y299" s="49">
        <f>資料儲存!I6835</f>
        <v>0</v>
      </c>
      <c r="Z299" s="49">
        <f>資料儲存!J6835</f>
        <v>0</v>
      </c>
      <c r="AA299" s="52"/>
      <c r="AB299" s="70">
        <v>54</v>
      </c>
      <c r="AC299" s="49">
        <f>資料儲存!D7075</f>
        <v>0</v>
      </c>
      <c r="AD299" s="49">
        <f>資料儲存!E7075</f>
        <v>0</v>
      </c>
      <c r="AE299" s="49">
        <f>資料儲存!F7075</f>
        <v>0</v>
      </c>
      <c r="AF299" s="49">
        <f>資料儲存!G7075</f>
        <v>0</v>
      </c>
      <c r="AG299" s="49">
        <f>資料儲存!H7075</f>
        <v>0</v>
      </c>
      <c r="AH299" s="49">
        <f>資料儲存!I7075</f>
        <v>0</v>
      </c>
      <c r="AI299" s="49">
        <f>資料儲存!J7075</f>
        <v>0</v>
      </c>
      <c r="AJ299" s="52"/>
      <c r="AK299" s="70">
        <v>54</v>
      </c>
      <c r="AL299" s="49">
        <f>資料儲存!D7315</f>
        <v>0</v>
      </c>
      <c r="AM299" s="49">
        <f>資料儲存!E7315</f>
        <v>0</v>
      </c>
      <c r="AN299" s="49">
        <f>資料儲存!F7315</f>
        <v>0</v>
      </c>
      <c r="AO299" s="49">
        <f>資料儲存!G7315</f>
        <v>0</v>
      </c>
      <c r="AP299" s="49">
        <f>資料儲存!H7315</f>
        <v>0</v>
      </c>
      <c r="AQ299" s="49">
        <f>資料儲存!I7315</f>
        <v>0</v>
      </c>
      <c r="AR299" s="49">
        <f>資料儲存!J7315</f>
        <v>0</v>
      </c>
      <c r="AS299" s="67"/>
      <c r="AT299" s="70">
        <v>54</v>
      </c>
      <c r="AU299" s="49">
        <f>資料儲存!D7555</f>
        <v>0</v>
      </c>
      <c r="AV299" s="49">
        <f>資料儲存!E7555</f>
        <v>0</v>
      </c>
      <c r="AW299" s="49">
        <f>資料儲存!F7555</f>
        <v>0</v>
      </c>
      <c r="AX299" s="49">
        <f>資料儲存!G7555</f>
        <v>0</v>
      </c>
      <c r="AY299" s="49">
        <f>資料儲存!H7555</f>
        <v>0</v>
      </c>
      <c r="AZ299" s="49">
        <f>資料儲存!I7555</f>
        <v>0</v>
      </c>
      <c r="BA299" s="49">
        <f>資料儲存!J7555</f>
        <v>0</v>
      </c>
    </row>
    <row r="300" spans="1:53" ht="16" thickBot="1">
      <c r="A300" s="70">
        <v>55</v>
      </c>
      <c r="B300" s="49">
        <f>資料儲存!D6356</f>
        <v>0</v>
      </c>
      <c r="C300" s="49">
        <f>資料儲存!E6356</f>
        <v>0</v>
      </c>
      <c r="D300" s="49">
        <f>資料儲存!F6356</f>
        <v>0</v>
      </c>
      <c r="E300" s="49">
        <f>資料儲存!G6356</f>
        <v>0</v>
      </c>
      <c r="F300" s="49">
        <f>資料儲存!H6356</f>
        <v>0</v>
      </c>
      <c r="G300" s="49">
        <f>資料儲存!I6356</f>
        <v>0</v>
      </c>
      <c r="H300" s="49">
        <f>資料儲存!J6356</f>
        <v>0</v>
      </c>
      <c r="I300" s="52"/>
      <c r="J300" s="70">
        <v>55</v>
      </c>
      <c r="K300" s="49">
        <f>資料儲存!D6596</f>
        <v>0</v>
      </c>
      <c r="L300" s="49">
        <f>資料儲存!E6596</f>
        <v>0</v>
      </c>
      <c r="M300" s="49">
        <f>資料儲存!F6596</f>
        <v>0</v>
      </c>
      <c r="N300" s="49">
        <f>資料儲存!G6596</f>
        <v>0</v>
      </c>
      <c r="O300" s="49">
        <f>資料儲存!H6596</f>
        <v>0</v>
      </c>
      <c r="P300" s="49">
        <f>資料儲存!I6596</f>
        <v>0</v>
      </c>
      <c r="Q300" s="49">
        <f>資料儲存!J6596</f>
        <v>0</v>
      </c>
      <c r="R300" s="52"/>
      <c r="S300" s="70">
        <v>55</v>
      </c>
      <c r="T300" s="49">
        <f>資料儲存!D6836</f>
        <v>0</v>
      </c>
      <c r="U300" s="49">
        <f>資料儲存!E6836</f>
        <v>0</v>
      </c>
      <c r="V300" s="49">
        <f>資料儲存!F6836</f>
        <v>0</v>
      </c>
      <c r="W300" s="49">
        <f>資料儲存!G6836</f>
        <v>0</v>
      </c>
      <c r="X300" s="49">
        <f>資料儲存!H6836</f>
        <v>0</v>
      </c>
      <c r="Y300" s="49">
        <f>資料儲存!I6836</f>
        <v>0</v>
      </c>
      <c r="Z300" s="49">
        <f>資料儲存!J6836</f>
        <v>0</v>
      </c>
      <c r="AA300" s="52"/>
      <c r="AB300" s="70">
        <v>55</v>
      </c>
      <c r="AC300" s="49">
        <f>資料儲存!D7076</f>
        <v>0</v>
      </c>
      <c r="AD300" s="49">
        <f>資料儲存!E7076</f>
        <v>0</v>
      </c>
      <c r="AE300" s="49">
        <f>資料儲存!F7076</f>
        <v>0</v>
      </c>
      <c r="AF300" s="49">
        <f>資料儲存!G7076</f>
        <v>0</v>
      </c>
      <c r="AG300" s="49">
        <f>資料儲存!H7076</f>
        <v>0</v>
      </c>
      <c r="AH300" s="49">
        <f>資料儲存!I7076</f>
        <v>0</v>
      </c>
      <c r="AI300" s="49">
        <f>資料儲存!J7076</f>
        <v>0</v>
      </c>
      <c r="AJ300" s="52"/>
      <c r="AK300" s="70">
        <v>55</v>
      </c>
      <c r="AL300" s="49">
        <f>資料儲存!D7316</f>
        <v>0</v>
      </c>
      <c r="AM300" s="49">
        <f>資料儲存!E7316</f>
        <v>0</v>
      </c>
      <c r="AN300" s="49">
        <f>資料儲存!F7316</f>
        <v>0</v>
      </c>
      <c r="AO300" s="49">
        <f>資料儲存!G7316</f>
        <v>0</v>
      </c>
      <c r="AP300" s="49">
        <f>資料儲存!H7316</f>
        <v>0</v>
      </c>
      <c r="AQ300" s="49">
        <f>資料儲存!I7316</f>
        <v>0</v>
      </c>
      <c r="AR300" s="49">
        <f>資料儲存!J7316</f>
        <v>0</v>
      </c>
      <c r="AS300" s="67"/>
      <c r="AT300" s="70">
        <v>55</v>
      </c>
      <c r="AU300" s="49">
        <f>資料儲存!D7556</f>
        <v>0</v>
      </c>
      <c r="AV300" s="49">
        <f>資料儲存!E7556</f>
        <v>0</v>
      </c>
      <c r="AW300" s="49">
        <f>資料儲存!F7556</f>
        <v>0</v>
      </c>
      <c r="AX300" s="49">
        <f>資料儲存!G7556</f>
        <v>0</v>
      </c>
      <c r="AY300" s="49">
        <f>資料儲存!H7556</f>
        <v>0</v>
      </c>
      <c r="AZ300" s="49">
        <f>資料儲存!I7556</f>
        <v>0</v>
      </c>
      <c r="BA300" s="49">
        <f>資料儲存!J7556</f>
        <v>0</v>
      </c>
    </row>
    <row r="301" spans="1:53" ht="16" thickBot="1">
      <c r="A301" s="70">
        <v>56</v>
      </c>
      <c r="B301" s="49">
        <f>資料儲存!D6357</f>
        <v>0</v>
      </c>
      <c r="C301" s="49">
        <f>資料儲存!E6357</f>
        <v>0</v>
      </c>
      <c r="D301" s="49">
        <f>資料儲存!F6357</f>
        <v>0</v>
      </c>
      <c r="E301" s="49">
        <f>資料儲存!G6357</f>
        <v>0</v>
      </c>
      <c r="F301" s="49">
        <f>資料儲存!H6357</f>
        <v>0</v>
      </c>
      <c r="G301" s="49">
        <f>資料儲存!I6357</f>
        <v>0</v>
      </c>
      <c r="H301" s="49">
        <f>資料儲存!J6357</f>
        <v>0</v>
      </c>
      <c r="I301" s="52"/>
      <c r="J301" s="70">
        <v>56</v>
      </c>
      <c r="K301" s="49">
        <f>資料儲存!D6597</f>
        <v>0</v>
      </c>
      <c r="L301" s="49">
        <f>資料儲存!E6597</f>
        <v>0</v>
      </c>
      <c r="M301" s="49">
        <f>資料儲存!F6597</f>
        <v>0</v>
      </c>
      <c r="N301" s="49">
        <f>資料儲存!G6597</f>
        <v>0</v>
      </c>
      <c r="O301" s="49">
        <f>資料儲存!H6597</f>
        <v>0</v>
      </c>
      <c r="P301" s="49">
        <f>資料儲存!I6597</f>
        <v>0</v>
      </c>
      <c r="Q301" s="49">
        <f>資料儲存!J6597</f>
        <v>0</v>
      </c>
      <c r="R301" s="52"/>
      <c r="S301" s="70">
        <v>56</v>
      </c>
      <c r="T301" s="49">
        <f>資料儲存!D6837</f>
        <v>0</v>
      </c>
      <c r="U301" s="49">
        <f>資料儲存!E6837</f>
        <v>0</v>
      </c>
      <c r="V301" s="49">
        <f>資料儲存!F6837</f>
        <v>0</v>
      </c>
      <c r="W301" s="49">
        <f>資料儲存!G6837</f>
        <v>0</v>
      </c>
      <c r="X301" s="49">
        <f>資料儲存!H6837</f>
        <v>0</v>
      </c>
      <c r="Y301" s="49">
        <f>資料儲存!I6837</f>
        <v>0</v>
      </c>
      <c r="Z301" s="49">
        <f>資料儲存!J6837</f>
        <v>0</v>
      </c>
      <c r="AA301" s="52"/>
      <c r="AB301" s="70">
        <v>56</v>
      </c>
      <c r="AC301" s="49">
        <f>資料儲存!D7077</f>
        <v>0</v>
      </c>
      <c r="AD301" s="49">
        <f>資料儲存!E7077</f>
        <v>0</v>
      </c>
      <c r="AE301" s="49">
        <f>資料儲存!F7077</f>
        <v>0</v>
      </c>
      <c r="AF301" s="49">
        <f>資料儲存!G7077</f>
        <v>0</v>
      </c>
      <c r="AG301" s="49">
        <f>資料儲存!H7077</f>
        <v>0</v>
      </c>
      <c r="AH301" s="49">
        <f>資料儲存!I7077</f>
        <v>0</v>
      </c>
      <c r="AI301" s="49">
        <f>資料儲存!J7077</f>
        <v>0</v>
      </c>
      <c r="AJ301" s="52"/>
      <c r="AK301" s="70">
        <v>56</v>
      </c>
      <c r="AL301" s="49">
        <f>資料儲存!D7317</f>
        <v>0</v>
      </c>
      <c r="AM301" s="49">
        <f>資料儲存!E7317</f>
        <v>0</v>
      </c>
      <c r="AN301" s="49">
        <f>資料儲存!F7317</f>
        <v>0</v>
      </c>
      <c r="AO301" s="49">
        <f>資料儲存!G7317</f>
        <v>0</v>
      </c>
      <c r="AP301" s="49">
        <f>資料儲存!H7317</f>
        <v>0</v>
      </c>
      <c r="AQ301" s="49">
        <f>資料儲存!I7317</f>
        <v>0</v>
      </c>
      <c r="AR301" s="49">
        <f>資料儲存!J7317</f>
        <v>0</v>
      </c>
      <c r="AS301" s="67"/>
      <c r="AT301" s="70">
        <v>56</v>
      </c>
      <c r="AU301" s="49">
        <f>資料儲存!D7557</f>
        <v>0</v>
      </c>
      <c r="AV301" s="49">
        <f>資料儲存!E7557</f>
        <v>0</v>
      </c>
      <c r="AW301" s="49">
        <f>資料儲存!F7557</f>
        <v>0</v>
      </c>
      <c r="AX301" s="49">
        <f>資料儲存!G7557</f>
        <v>0</v>
      </c>
      <c r="AY301" s="49">
        <f>資料儲存!H7557</f>
        <v>0</v>
      </c>
      <c r="AZ301" s="49">
        <f>資料儲存!I7557</f>
        <v>0</v>
      </c>
      <c r="BA301" s="49">
        <f>資料儲存!J7557</f>
        <v>0</v>
      </c>
    </row>
    <row r="302" spans="1:53" ht="16" thickBot="1">
      <c r="A302" s="70">
        <v>57</v>
      </c>
      <c r="B302" s="49">
        <f>資料儲存!D6358</f>
        <v>0</v>
      </c>
      <c r="C302" s="49">
        <f>資料儲存!E6358</f>
        <v>0</v>
      </c>
      <c r="D302" s="49">
        <f>資料儲存!F6358</f>
        <v>0</v>
      </c>
      <c r="E302" s="49">
        <f>資料儲存!G6358</f>
        <v>0</v>
      </c>
      <c r="F302" s="49">
        <f>資料儲存!H6358</f>
        <v>0</v>
      </c>
      <c r="G302" s="49">
        <f>資料儲存!I6358</f>
        <v>0</v>
      </c>
      <c r="H302" s="49">
        <f>資料儲存!J6358</f>
        <v>0</v>
      </c>
      <c r="I302" s="52"/>
      <c r="J302" s="70">
        <v>57</v>
      </c>
      <c r="K302" s="49">
        <f>資料儲存!D6598</f>
        <v>0</v>
      </c>
      <c r="L302" s="49">
        <f>資料儲存!E6598</f>
        <v>0</v>
      </c>
      <c r="M302" s="49">
        <f>資料儲存!F6598</f>
        <v>0</v>
      </c>
      <c r="N302" s="49">
        <f>資料儲存!G6598</f>
        <v>0</v>
      </c>
      <c r="O302" s="49">
        <f>資料儲存!H6598</f>
        <v>0</v>
      </c>
      <c r="P302" s="49">
        <f>資料儲存!I6598</f>
        <v>0</v>
      </c>
      <c r="Q302" s="49">
        <f>資料儲存!J6598</f>
        <v>0</v>
      </c>
      <c r="R302" s="52"/>
      <c r="S302" s="70">
        <v>57</v>
      </c>
      <c r="T302" s="49">
        <f>資料儲存!D6838</f>
        <v>0</v>
      </c>
      <c r="U302" s="49">
        <f>資料儲存!E6838</f>
        <v>0</v>
      </c>
      <c r="V302" s="49">
        <f>資料儲存!F6838</f>
        <v>0</v>
      </c>
      <c r="W302" s="49">
        <f>資料儲存!G6838</f>
        <v>0</v>
      </c>
      <c r="X302" s="49">
        <f>資料儲存!H6838</f>
        <v>0</v>
      </c>
      <c r="Y302" s="49">
        <f>資料儲存!I6838</f>
        <v>0</v>
      </c>
      <c r="Z302" s="49">
        <f>資料儲存!J6838</f>
        <v>0</v>
      </c>
      <c r="AA302" s="52"/>
      <c r="AB302" s="70">
        <v>57</v>
      </c>
      <c r="AC302" s="49">
        <f>資料儲存!D7078</f>
        <v>0</v>
      </c>
      <c r="AD302" s="49">
        <f>資料儲存!E7078</f>
        <v>0</v>
      </c>
      <c r="AE302" s="49">
        <f>資料儲存!F7078</f>
        <v>0</v>
      </c>
      <c r="AF302" s="49">
        <f>資料儲存!G7078</f>
        <v>0</v>
      </c>
      <c r="AG302" s="49">
        <f>資料儲存!H7078</f>
        <v>0</v>
      </c>
      <c r="AH302" s="49">
        <f>資料儲存!I7078</f>
        <v>0</v>
      </c>
      <c r="AI302" s="49">
        <f>資料儲存!J7078</f>
        <v>0</v>
      </c>
      <c r="AJ302" s="52"/>
      <c r="AK302" s="70">
        <v>57</v>
      </c>
      <c r="AL302" s="49">
        <f>資料儲存!D7318</f>
        <v>0</v>
      </c>
      <c r="AM302" s="49">
        <f>資料儲存!E7318</f>
        <v>0</v>
      </c>
      <c r="AN302" s="49">
        <f>資料儲存!F7318</f>
        <v>0</v>
      </c>
      <c r="AO302" s="49">
        <f>資料儲存!G7318</f>
        <v>0</v>
      </c>
      <c r="AP302" s="49">
        <f>資料儲存!H7318</f>
        <v>0</v>
      </c>
      <c r="AQ302" s="49">
        <f>資料儲存!I7318</f>
        <v>0</v>
      </c>
      <c r="AR302" s="49">
        <f>資料儲存!J7318</f>
        <v>0</v>
      </c>
      <c r="AS302" s="67"/>
      <c r="AT302" s="70">
        <v>57</v>
      </c>
      <c r="AU302" s="49">
        <f>資料儲存!D7558</f>
        <v>0</v>
      </c>
      <c r="AV302" s="49">
        <f>資料儲存!E7558</f>
        <v>0</v>
      </c>
      <c r="AW302" s="49">
        <f>資料儲存!F7558</f>
        <v>0</v>
      </c>
      <c r="AX302" s="49">
        <f>資料儲存!G7558</f>
        <v>0</v>
      </c>
      <c r="AY302" s="49">
        <f>資料儲存!H7558</f>
        <v>0</v>
      </c>
      <c r="AZ302" s="49">
        <f>資料儲存!I7558</f>
        <v>0</v>
      </c>
      <c r="BA302" s="49">
        <f>資料儲存!J7558</f>
        <v>0</v>
      </c>
    </row>
    <row r="303" spans="1:53" ht="16" thickBot="1">
      <c r="A303" s="70">
        <v>58</v>
      </c>
      <c r="B303" s="49">
        <f>資料儲存!D6359</f>
        <v>0</v>
      </c>
      <c r="C303" s="49">
        <f>資料儲存!E6359</f>
        <v>0</v>
      </c>
      <c r="D303" s="49">
        <f>資料儲存!F6359</f>
        <v>0</v>
      </c>
      <c r="E303" s="49">
        <f>資料儲存!G6359</f>
        <v>0</v>
      </c>
      <c r="F303" s="49">
        <f>資料儲存!H6359</f>
        <v>0</v>
      </c>
      <c r="G303" s="49">
        <f>資料儲存!I6359</f>
        <v>0</v>
      </c>
      <c r="H303" s="49">
        <f>資料儲存!J6359</f>
        <v>0</v>
      </c>
      <c r="I303" s="52"/>
      <c r="J303" s="70">
        <v>58</v>
      </c>
      <c r="K303" s="49">
        <f>資料儲存!D6599</f>
        <v>0</v>
      </c>
      <c r="L303" s="49">
        <f>資料儲存!E6599</f>
        <v>0</v>
      </c>
      <c r="M303" s="49">
        <f>資料儲存!F6599</f>
        <v>0</v>
      </c>
      <c r="N303" s="49">
        <f>資料儲存!G6599</f>
        <v>0</v>
      </c>
      <c r="O303" s="49">
        <f>資料儲存!H6599</f>
        <v>0</v>
      </c>
      <c r="P303" s="49">
        <f>資料儲存!I6599</f>
        <v>0</v>
      </c>
      <c r="Q303" s="49">
        <f>資料儲存!J6599</f>
        <v>0</v>
      </c>
      <c r="R303" s="52"/>
      <c r="S303" s="70">
        <v>58</v>
      </c>
      <c r="T303" s="49">
        <f>資料儲存!D6839</f>
        <v>0</v>
      </c>
      <c r="U303" s="49">
        <f>資料儲存!E6839</f>
        <v>0</v>
      </c>
      <c r="V303" s="49">
        <f>資料儲存!F6839</f>
        <v>0</v>
      </c>
      <c r="W303" s="49">
        <f>資料儲存!G6839</f>
        <v>0</v>
      </c>
      <c r="X303" s="49">
        <f>資料儲存!H6839</f>
        <v>0</v>
      </c>
      <c r="Y303" s="49">
        <f>資料儲存!I6839</f>
        <v>0</v>
      </c>
      <c r="Z303" s="49">
        <f>資料儲存!J6839</f>
        <v>0</v>
      </c>
      <c r="AA303" s="52"/>
      <c r="AB303" s="70">
        <v>58</v>
      </c>
      <c r="AC303" s="49">
        <f>資料儲存!D7079</f>
        <v>0</v>
      </c>
      <c r="AD303" s="49">
        <f>資料儲存!E7079</f>
        <v>0</v>
      </c>
      <c r="AE303" s="49">
        <f>資料儲存!F7079</f>
        <v>0</v>
      </c>
      <c r="AF303" s="49">
        <f>資料儲存!G7079</f>
        <v>0</v>
      </c>
      <c r="AG303" s="49">
        <f>資料儲存!H7079</f>
        <v>0</v>
      </c>
      <c r="AH303" s="49">
        <f>資料儲存!I7079</f>
        <v>0</v>
      </c>
      <c r="AI303" s="49">
        <f>資料儲存!J7079</f>
        <v>0</v>
      </c>
      <c r="AJ303" s="52"/>
      <c r="AK303" s="70">
        <v>58</v>
      </c>
      <c r="AL303" s="49">
        <f>資料儲存!D7319</f>
        <v>0</v>
      </c>
      <c r="AM303" s="49">
        <f>資料儲存!E7319</f>
        <v>0</v>
      </c>
      <c r="AN303" s="49">
        <f>資料儲存!F7319</f>
        <v>0</v>
      </c>
      <c r="AO303" s="49">
        <f>資料儲存!G7319</f>
        <v>0</v>
      </c>
      <c r="AP303" s="49">
        <f>資料儲存!H7319</f>
        <v>0</v>
      </c>
      <c r="AQ303" s="49">
        <f>資料儲存!I7319</f>
        <v>0</v>
      </c>
      <c r="AR303" s="49">
        <f>資料儲存!J7319</f>
        <v>0</v>
      </c>
      <c r="AS303" s="67"/>
      <c r="AT303" s="70">
        <v>58</v>
      </c>
      <c r="AU303" s="49">
        <f>資料儲存!D7559</f>
        <v>0</v>
      </c>
      <c r="AV303" s="49">
        <f>資料儲存!E7559</f>
        <v>0</v>
      </c>
      <c r="AW303" s="49">
        <f>資料儲存!F7559</f>
        <v>0</v>
      </c>
      <c r="AX303" s="49">
        <f>資料儲存!G7559</f>
        <v>0</v>
      </c>
      <c r="AY303" s="49">
        <f>資料儲存!H7559</f>
        <v>0</v>
      </c>
      <c r="AZ303" s="49">
        <f>資料儲存!I7559</f>
        <v>0</v>
      </c>
      <c r="BA303" s="49">
        <f>資料儲存!J7559</f>
        <v>0</v>
      </c>
    </row>
    <row r="304" spans="1:53" ht="16" thickBot="1">
      <c r="A304" s="70">
        <v>59</v>
      </c>
      <c r="B304" s="49">
        <f>資料儲存!D6360</f>
        <v>0</v>
      </c>
      <c r="C304" s="49">
        <f>資料儲存!E6360</f>
        <v>0</v>
      </c>
      <c r="D304" s="49">
        <f>資料儲存!F6360</f>
        <v>0</v>
      </c>
      <c r="E304" s="49">
        <f>資料儲存!G6360</f>
        <v>0</v>
      </c>
      <c r="F304" s="49">
        <f>資料儲存!H6360</f>
        <v>0</v>
      </c>
      <c r="G304" s="49">
        <f>資料儲存!I6360</f>
        <v>0</v>
      </c>
      <c r="H304" s="49">
        <f>資料儲存!J6360</f>
        <v>0</v>
      </c>
      <c r="I304" s="52"/>
      <c r="J304" s="70">
        <v>59</v>
      </c>
      <c r="K304" s="49">
        <f>資料儲存!D6600</f>
        <v>0</v>
      </c>
      <c r="L304" s="49">
        <f>資料儲存!E6600</f>
        <v>0</v>
      </c>
      <c r="M304" s="49">
        <f>資料儲存!F6600</f>
        <v>0</v>
      </c>
      <c r="N304" s="49">
        <f>資料儲存!G6600</f>
        <v>0</v>
      </c>
      <c r="O304" s="49">
        <f>資料儲存!H6600</f>
        <v>0</v>
      </c>
      <c r="P304" s="49">
        <f>資料儲存!I6600</f>
        <v>0</v>
      </c>
      <c r="Q304" s="49">
        <f>資料儲存!J6600</f>
        <v>0</v>
      </c>
      <c r="R304" s="52"/>
      <c r="S304" s="70">
        <v>59</v>
      </c>
      <c r="T304" s="49">
        <f>資料儲存!D6840</f>
        <v>0</v>
      </c>
      <c r="U304" s="49">
        <f>資料儲存!E6840</f>
        <v>0</v>
      </c>
      <c r="V304" s="49">
        <f>資料儲存!F6840</f>
        <v>0</v>
      </c>
      <c r="W304" s="49">
        <f>資料儲存!G6840</f>
        <v>0</v>
      </c>
      <c r="X304" s="49">
        <f>資料儲存!H6840</f>
        <v>0</v>
      </c>
      <c r="Y304" s="49">
        <f>資料儲存!I6840</f>
        <v>0</v>
      </c>
      <c r="Z304" s="49">
        <f>資料儲存!J6840</f>
        <v>0</v>
      </c>
      <c r="AA304" s="52"/>
      <c r="AB304" s="70">
        <v>59</v>
      </c>
      <c r="AC304" s="49">
        <f>資料儲存!D7080</f>
        <v>0</v>
      </c>
      <c r="AD304" s="49">
        <f>資料儲存!E7080</f>
        <v>0</v>
      </c>
      <c r="AE304" s="49">
        <f>資料儲存!F7080</f>
        <v>0</v>
      </c>
      <c r="AF304" s="49">
        <f>資料儲存!G7080</f>
        <v>0</v>
      </c>
      <c r="AG304" s="49">
        <f>資料儲存!H7080</f>
        <v>0</v>
      </c>
      <c r="AH304" s="49">
        <f>資料儲存!I7080</f>
        <v>0</v>
      </c>
      <c r="AI304" s="49">
        <f>資料儲存!J7080</f>
        <v>0</v>
      </c>
      <c r="AJ304" s="52"/>
      <c r="AK304" s="70">
        <v>59</v>
      </c>
      <c r="AL304" s="49">
        <f>資料儲存!D7320</f>
        <v>0</v>
      </c>
      <c r="AM304" s="49">
        <f>資料儲存!E7320</f>
        <v>0</v>
      </c>
      <c r="AN304" s="49">
        <f>資料儲存!F7320</f>
        <v>0</v>
      </c>
      <c r="AO304" s="49">
        <f>資料儲存!G7320</f>
        <v>0</v>
      </c>
      <c r="AP304" s="49">
        <f>資料儲存!H7320</f>
        <v>0</v>
      </c>
      <c r="AQ304" s="49">
        <f>資料儲存!I7320</f>
        <v>0</v>
      </c>
      <c r="AR304" s="49">
        <f>資料儲存!J7320</f>
        <v>0</v>
      </c>
      <c r="AS304" s="67"/>
      <c r="AT304" s="70">
        <v>59</v>
      </c>
      <c r="AU304" s="49">
        <f>資料儲存!D7560</f>
        <v>0</v>
      </c>
      <c r="AV304" s="49">
        <f>資料儲存!E7560</f>
        <v>0</v>
      </c>
      <c r="AW304" s="49">
        <f>資料儲存!F7560</f>
        <v>0</v>
      </c>
      <c r="AX304" s="49">
        <f>資料儲存!G7560</f>
        <v>0</v>
      </c>
      <c r="AY304" s="49">
        <f>資料儲存!H7560</f>
        <v>0</v>
      </c>
      <c r="AZ304" s="49">
        <f>資料儲存!I7560</f>
        <v>0</v>
      </c>
      <c r="BA304" s="49">
        <f>資料儲存!J7560</f>
        <v>0</v>
      </c>
    </row>
    <row r="305" spans="1:53" ht="16" thickBot="1">
      <c r="A305" s="70">
        <v>60</v>
      </c>
      <c r="B305" s="49">
        <f>資料儲存!D6361</f>
        <v>0</v>
      </c>
      <c r="C305" s="49">
        <f>資料儲存!E6361</f>
        <v>0</v>
      </c>
      <c r="D305" s="49">
        <f>資料儲存!F6361</f>
        <v>0</v>
      </c>
      <c r="E305" s="49">
        <f>資料儲存!G6361</f>
        <v>0</v>
      </c>
      <c r="F305" s="49">
        <f>資料儲存!H6361</f>
        <v>0</v>
      </c>
      <c r="G305" s="49">
        <f>資料儲存!I6361</f>
        <v>0</v>
      </c>
      <c r="H305" s="49">
        <f>資料儲存!J6361</f>
        <v>0</v>
      </c>
      <c r="I305" s="52"/>
      <c r="J305" s="70">
        <v>60</v>
      </c>
      <c r="K305" s="49">
        <f>資料儲存!D6601</f>
        <v>0</v>
      </c>
      <c r="L305" s="49">
        <f>資料儲存!E6601</f>
        <v>0</v>
      </c>
      <c r="M305" s="49">
        <f>資料儲存!F6601</f>
        <v>0</v>
      </c>
      <c r="N305" s="49">
        <f>資料儲存!G6601</f>
        <v>0</v>
      </c>
      <c r="O305" s="49">
        <f>資料儲存!H6601</f>
        <v>0</v>
      </c>
      <c r="P305" s="49">
        <f>資料儲存!I6601</f>
        <v>0</v>
      </c>
      <c r="Q305" s="49">
        <f>資料儲存!J6601</f>
        <v>0</v>
      </c>
      <c r="R305" s="52"/>
      <c r="S305" s="70">
        <v>60</v>
      </c>
      <c r="T305" s="49">
        <f>資料儲存!D6841</f>
        <v>0</v>
      </c>
      <c r="U305" s="49">
        <f>資料儲存!E6841</f>
        <v>0</v>
      </c>
      <c r="V305" s="49">
        <f>資料儲存!F6841</f>
        <v>0</v>
      </c>
      <c r="W305" s="49">
        <f>資料儲存!G6841</f>
        <v>0</v>
      </c>
      <c r="X305" s="49">
        <f>資料儲存!H6841</f>
        <v>0</v>
      </c>
      <c r="Y305" s="49">
        <f>資料儲存!I6841</f>
        <v>0</v>
      </c>
      <c r="Z305" s="49">
        <f>資料儲存!J6841</f>
        <v>0</v>
      </c>
      <c r="AA305" s="52"/>
      <c r="AB305" s="70">
        <v>60</v>
      </c>
      <c r="AC305" s="49">
        <f>資料儲存!D7081</f>
        <v>0</v>
      </c>
      <c r="AD305" s="49">
        <f>資料儲存!E7081</f>
        <v>0</v>
      </c>
      <c r="AE305" s="49">
        <f>資料儲存!F7081</f>
        <v>0</v>
      </c>
      <c r="AF305" s="49">
        <f>資料儲存!G7081</f>
        <v>0</v>
      </c>
      <c r="AG305" s="49">
        <f>資料儲存!H7081</f>
        <v>0</v>
      </c>
      <c r="AH305" s="49">
        <f>資料儲存!I7081</f>
        <v>0</v>
      </c>
      <c r="AI305" s="49">
        <f>資料儲存!J7081</f>
        <v>0</v>
      </c>
      <c r="AJ305" s="52"/>
      <c r="AK305" s="70">
        <v>60</v>
      </c>
      <c r="AL305" s="49">
        <f>資料儲存!D7321</f>
        <v>0</v>
      </c>
      <c r="AM305" s="49">
        <f>資料儲存!E7321</f>
        <v>0</v>
      </c>
      <c r="AN305" s="49">
        <f>資料儲存!F7321</f>
        <v>0</v>
      </c>
      <c r="AO305" s="49">
        <f>資料儲存!G7321</f>
        <v>0</v>
      </c>
      <c r="AP305" s="49">
        <f>資料儲存!H7321</f>
        <v>0</v>
      </c>
      <c r="AQ305" s="49">
        <f>資料儲存!I7321</f>
        <v>0</v>
      </c>
      <c r="AR305" s="49">
        <f>資料儲存!J7321</f>
        <v>0</v>
      </c>
      <c r="AS305" s="67"/>
      <c r="AT305" s="70">
        <v>60</v>
      </c>
      <c r="AU305" s="49">
        <f>資料儲存!D7561</f>
        <v>0</v>
      </c>
      <c r="AV305" s="49">
        <f>資料儲存!E7561</f>
        <v>0</v>
      </c>
      <c r="AW305" s="49">
        <f>資料儲存!F7561</f>
        <v>0</v>
      </c>
      <c r="AX305" s="49">
        <f>資料儲存!G7561</f>
        <v>0</v>
      </c>
      <c r="AY305" s="49">
        <f>資料儲存!H7561</f>
        <v>0</v>
      </c>
      <c r="AZ305" s="49">
        <f>資料儲存!I7561</f>
        <v>0</v>
      </c>
      <c r="BA305" s="49">
        <f>資料儲存!J7561</f>
        <v>0</v>
      </c>
    </row>
    <row r="306" spans="1:53" ht="17.25" customHeight="1" thickBot="1">
      <c r="A306" s="50" t="s">
        <v>56</v>
      </c>
      <c r="B306" s="49">
        <f>SUM(B291:E305)</f>
        <v>0</v>
      </c>
      <c r="C306" s="47"/>
      <c r="D306" s="47"/>
      <c r="E306" s="47"/>
      <c r="F306" s="49">
        <f>F305</f>
        <v>0</v>
      </c>
      <c r="G306" s="49">
        <f>G305</f>
        <v>0</v>
      </c>
      <c r="H306" s="49">
        <f>H305</f>
        <v>0</v>
      </c>
      <c r="I306" s="45"/>
      <c r="J306" s="50" t="s">
        <v>56</v>
      </c>
      <c r="K306" s="49">
        <f>SUM(K291:N305)</f>
        <v>0</v>
      </c>
      <c r="L306" s="47"/>
      <c r="M306" s="47"/>
      <c r="N306" s="47"/>
      <c r="O306" s="49">
        <f>O305</f>
        <v>0</v>
      </c>
      <c r="P306" s="49">
        <f>P305</f>
        <v>0</v>
      </c>
      <c r="Q306" s="49">
        <f>Q305</f>
        <v>0</v>
      </c>
      <c r="R306" s="45"/>
      <c r="S306" s="50" t="s">
        <v>56</v>
      </c>
      <c r="T306" s="49">
        <f>SUM(T291:W305)</f>
        <v>0</v>
      </c>
      <c r="U306" s="47"/>
      <c r="V306" s="47"/>
      <c r="W306" s="47"/>
      <c r="X306" s="49">
        <f>X305</f>
        <v>0</v>
      </c>
      <c r="Y306" s="49">
        <f>Y305</f>
        <v>0</v>
      </c>
      <c r="Z306" s="49">
        <f>Z305</f>
        <v>0</v>
      </c>
      <c r="AA306" s="45"/>
      <c r="AB306" s="50" t="s">
        <v>56</v>
      </c>
      <c r="AC306" s="49">
        <f>SUM(AC291:AF305)</f>
        <v>0</v>
      </c>
      <c r="AD306" s="47"/>
      <c r="AE306" s="47"/>
      <c r="AF306" s="47"/>
      <c r="AG306" s="49">
        <f>AG305</f>
        <v>0</v>
      </c>
      <c r="AH306" s="49">
        <f>AH305</f>
        <v>0</v>
      </c>
      <c r="AI306" s="49">
        <f>AI305</f>
        <v>0</v>
      </c>
      <c r="AJ306" s="45"/>
      <c r="AK306" s="50" t="s">
        <v>56</v>
      </c>
      <c r="AL306" s="49">
        <f>SUM(AL291:AO305)</f>
        <v>0</v>
      </c>
      <c r="AM306" s="47"/>
      <c r="AN306" s="47"/>
      <c r="AO306" s="47"/>
      <c r="AP306" s="49">
        <f>AP305</f>
        <v>0</v>
      </c>
      <c r="AQ306" s="49">
        <f>AQ305</f>
        <v>0</v>
      </c>
      <c r="AR306" s="49">
        <f>AR305</f>
        <v>0</v>
      </c>
      <c r="AS306" s="67"/>
      <c r="AT306" s="50" t="s">
        <v>56</v>
      </c>
      <c r="AU306" s="49">
        <f>SUM(AU291:AX305)</f>
        <v>0</v>
      </c>
      <c r="AV306" s="47"/>
      <c r="AW306" s="47"/>
      <c r="AX306" s="47"/>
      <c r="AY306" s="49">
        <f>AY305</f>
        <v>0</v>
      </c>
      <c r="AZ306" s="49">
        <f>AZ305</f>
        <v>0</v>
      </c>
      <c r="BA306" s="49">
        <f>BA305</f>
        <v>0</v>
      </c>
    </row>
  </sheetData>
  <mergeCells count="108">
    <mergeCell ref="A2:H2"/>
    <mergeCell ref="J2:Q2"/>
    <mergeCell ref="S2:Z2"/>
    <mergeCell ref="AB2:AI2"/>
    <mergeCell ref="AK2:AR2"/>
    <mergeCell ref="AT2:BA2"/>
    <mergeCell ref="A1:H1"/>
    <mergeCell ref="J1:Q1"/>
    <mergeCell ref="S1:Z1"/>
    <mergeCell ref="AB1:AI1"/>
    <mergeCell ref="AK1:AR1"/>
    <mergeCell ref="AT1:BA1"/>
    <mergeCell ref="A22:H22"/>
    <mergeCell ref="J22:Q22"/>
    <mergeCell ref="S22:Z22"/>
    <mergeCell ref="AB22:AI22"/>
    <mergeCell ref="AK22:AR22"/>
    <mergeCell ref="AT22:BA22"/>
    <mergeCell ref="A3:H3"/>
    <mergeCell ref="J3:Q3"/>
    <mergeCell ref="S3:Z3"/>
    <mergeCell ref="AB3:AI3"/>
    <mergeCell ref="AK3:AR3"/>
    <mergeCell ref="AT3:BA3"/>
    <mergeCell ref="A60:H60"/>
    <mergeCell ref="J60:Q60"/>
    <mergeCell ref="S60:Z60"/>
    <mergeCell ref="AB60:AI60"/>
    <mergeCell ref="AK60:AR60"/>
    <mergeCell ref="AT60:BA60"/>
    <mergeCell ref="A41:H41"/>
    <mergeCell ref="J41:Q41"/>
    <mergeCell ref="S41:Z41"/>
    <mergeCell ref="AB41:AI41"/>
    <mergeCell ref="AK41:AR41"/>
    <mergeCell ref="AT41:BA41"/>
    <mergeCell ref="A98:H98"/>
    <mergeCell ref="J98:Q98"/>
    <mergeCell ref="S98:Z98"/>
    <mergeCell ref="AB98:AI98"/>
    <mergeCell ref="AK98:AR98"/>
    <mergeCell ref="AT98:BA98"/>
    <mergeCell ref="A79:H79"/>
    <mergeCell ref="J79:Q79"/>
    <mergeCell ref="S79:Z79"/>
    <mergeCell ref="AB79:AI79"/>
    <mergeCell ref="AK79:AR79"/>
    <mergeCell ref="AT79:BA79"/>
    <mergeCell ref="A136:H136"/>
    <mergeCell ref="J136:Q136"/>
    <mergeCell ref="S136:Z136"/>
    <mergeCell ref="AB136:AI136"/>
    <mergeCell ref="AK136:AR136"/>
    <mergeCell ref="AT136:BA136"/>
    <mergeCell ref="A117:H117"/>
    <mergeCell ref="J117:Q117"/>
    <mergeCell ref="S117:Z117"/>
    <mergeCell ref="AB117:AI117"/>
    <mergeCell ref="AK117:AR117"/>
    <mergeCell ref="AT117:BA117"/>
    <mergeCell ref="A174:H174"/>
    <mergeCell ref="J174:Q174"/>
    <mergeCell ref="S174:Z174"/>
    <mergeCell ref="AB174:AI174"/>
    <mergeCell ref="AK174:AR174"/>
    <mergeCell ref="AT174:BA174"/>
    <mergeCell ref="A155:H155"/>
    <mergeCell ref="J155:Q155"/>
    <mergeCell ref="S155:Z155"/>
    <mergeCell ref="AB155:AI155"/>
    <mergeCell ref="AK155:AR155"/>
    <mergeCell ref="AT155:BA155"/>
    <mergeCell ref="A212:H212"/>
    <mergeCell ref="J212:Q212"/>
    <mergeCell ref="S212:Z212"/>
    <mergeCell ref="AB212:AI212"/>
    <mergeCell ref="AK212:AR212"/>
    <mergeCell ref="AT212:BA212"/>
    <mergeCell ref="A193:H193"/>
    <mergeCell ref="J193:Q193"/>
    <mergeCell ref="S193:Z193"/>
    <mergeCell ref="AB193:AI193"/>
    <mergeCell ref="AK193:AR193"/>
    <mergeCell ref="AT193:BA193"/>
    <mergeCell ref="A250:H250"/>
    <mergeCell ref="J250:Q250"/>
    <mergeCell ref="S250:Z250"/>
    <mergeCell ref="AB250:AI250"/>
    <mergeCell ref="AK250:AR250"/>
    <mergeCell ref="AT250:BA250"/>
    <mergeCell ref="A231:H231"/>
    <mergeCell ref="J231:Q231"/>
    <mergeCell ref="S231:Z231"/>
    <mergeCell ref="AB231:AI231"/>
    <mergeCell ref="AK231:AR231"/>
    <mergeCell ref="AT231:BA231"/>
    <mergeCell ref="A288:H288"/>
    <mergeCell ref="J288:Q288"/>
    <mergeCell ref="S288:Z288"/>
    <mergeCell ref="AB288:AI288"/>
    <mergeCell ref="AK288:AR288"/>
    <mergeCell ref="AT288:BA288"/>
    <mergeCell ref="A269:H269"/>
    <mergeCell ref="J269:Q269"/>
    <mergeCell ref="S269:Z269"/>
    <mergeCell ref="AB269:AI269"/>
    <mergeCell ref="AK269:AR269"/>
    <mergeCell ref="AT269:BA269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BY120"/>
  <sheetViews>
    <sheetView zoomScale="90" zoomScaleNormal="90" workbookViewId="0">
      <pane xSplit="8" ySplit="1" topLeftCell="I2" activePane="bottomRight" state="frozen"/>
      <selection activeCell="E4" sqref="E4"/>
      <selection pane="topRight" activeCell="E4" sqref="E4"/>
      <selection pane="bottomLeft" activeCell="E4" sqref="E4"/>
      <selection pane="bottomRight"/>
    </sheetView>
  </sheetViews>
  <sheetFormatPr defaultColWidth="14.90625" defaultRowHeight="15.5"/>
  <cols>
    <col min="1" max="1" width="2.08984375" style="10" customWidth="1"/>
    <col min="2" max="2" width="26.6328125" style="10" bestFit="1" customWidth="1"/>
    <col min="3" max="3" width="10.36328125" style="10" bestFit="1" customWidth="1"/>
    <col min="4" max="4" width="15.1796875" style="10" bestFit="1" customWidth="1"/>
    <col min="5" max="5" width="11.1796875" style="10" bestFit="1" customWidth="1"/>
    <col min="6" max="6" width="10.453125" style="10" bestFit="1" customWidth="1"/>
    <col min="7" max="7" width="12.90625" style="10" bestFit="1" customWidth="1"/>
    <col min="8" max="8" width="2.08984375" style="10" customWidth="1"/>
    <col min="9" max="9" width="25.90625" style="10" customWidth="1"/>
    <col min="10" max="14" width="14.90625" style="10" customWidth="1"/>
    <col min="15" max="15" width="2.08984375" style="10" customWidth="1"/>
    <col min="16" max="16" width="25.90625" style="10" customWidth="1"/>
    <col min="17" max="21" width="14.90625" style="10" customWidth="1"/>
    <col min="22" max="22" width="2.08984375" style="10" customWidth="1"/>
    <col min="23" max="23" width="25.90625" style="10" customWidth="1"/>
    <col min="24" max="28" width="14.90625" style="10" customWidth="1"/>
    <col min="29" max="29" width="2.08984375" style="10" customWidth="1"/>
    <col min="30" max="30" width="25.90625" style="10" customWidth="1"/>
    <col min="31" max="35" width="14.90625" style="10" customWidth="1"/>
    <col min="36" max="36" width="2.08984375" style="10" customWidth="1"/>
    <col min="37" max="37" width="25.90625" style="10" customWidth="1"/>
    <col min="38" max="39" width="14.90625" style="10"/>
    <col min="40" max="42" width="14.90625" style="10" customWidth="1"/>
    <col min="43" max="43" width="2.08984375" style="10" customWidth="1"/>
    <col min="44" max="44" width="25.6328125" style="10" bestFit="1" customWidth="1"/>
    <col min="45" max="49" width="14.90625" style="10"/>
    <col min="50" max="50" width="2.08984375" style="10" customWidth="1"/>
    <col min="51" max="51" width="25.6328125" style="10" bestFit="1" customWidth="1"/>
    <col min="52" max="56" width="14.90625" style="10"/>
    <col min="57" max="57" width="2.08984375" style="10" customWidth="1"/>
    <col min="58" max="58" width="25.6328125" style="10" bestFit="1" customWidth="1"/>
    <col min="59" max="63" width="14.90625" style="10"/>
    <col min="64" max="64" width="2.08984375" style="10" customWidth="1"/>
    <col min="65" max="65" width="25.6328125" style="10" bestFit="1" customWidth="1"/>
    <col min="66" max="70" width="14.90625" style="10"/>
    <col min="71" max="71" width="2.08984375" style="10" customWidth="1"/>
    <col min="72" max="72" width="25.6328125" style="10" bestFit="1" customWidth="1"/>
    <col min="73" max="16384" width="14.90625" style="10"/>
  </cols>
  <sheetData>
    <row r="1" spans="2:77">
      <c r="B1" s="260" t="s">
        <v>178</v>
      </c>
      <c r="C1" s="260"/>
      <c r="D1" s="260"/>
      <c r="E1" s="260"/>
      <c r="F1" s="260"/>
      <c r="G1" s="260"/>
      <c r="I1" s="262" t="s">
        <v>99</v>
      </c>
      <c r="J1" s="262"/>
      <c r="K1" s="262"/>
      <c r="L1" s="262"/>
      <c r="M1" s="262"/>
      <c r="N1" s="262"/>
      <c r="P1" s="262" t="s">
        <v>100</v>
      </c>
      <c r="Q1" s="262"/>
      <c r="R1" s="262"/>
      <c r="S1" s="262"/>
      <c r="T1" s="262"/>
      <c r="U1" s="262"/>
      <c r="W1" s="262" t="s">
        <v>166</v>
      </c>
      <c r="X1" s="262"/>
      <c r="Y1" s="262"/>
      <c r="Z1" s="262"/>
      <c r="AA1" s="262"/>
      <c r="AB1" s="262"/>
      <c r="AD1" s="262" t="s">
        <v>101</v>
      </c>
      <c r="AE1" s="262"/>
      <c r="AF1" s="262"/>
      <c r="AG1" s="262"/>
      <c r="AH1" s="262"/>
      <c r="AI1" s="262"/>
      <c r="AK1" s="262" t="s">
        <v>102</v>
      </c>
      <c r="AL1" s="262"/>
      <c r="AM1" s="262"/>
      <c r="AN1" s="262"/>
      <c r="AO1" s="262"/>
      <c r="AP1" s="262"/>
      <c r="AR1" s="262" t="s">
        <v>127</v>
      </c>
      <c r="AS1" s="262"/>
      <c r="AT1" s="262"/>
      <c r="AU1" s="262"/>
      <c r="AV1" s="262"/>
      <c r="AW1" s="262"/>
      <c r="AY1" s="262" t="s">
        <v>128</v>
      </c>
      <c r="AZ1" s="262"/>
      <c r="BA1" s="262"/>
      <c r="BB1" s="262"/>
      <c r="BC1" s="262"/>
      <c r="BD1" s="262"/>
      <c r="BF1" s="262" t="s">
        <v>107</v>
      </c>
      <c r="BG1" s="262"/>
      <c r="BH1" s="262"/>
      <c r="BI1" s="262"/>
      <c r="BJ1" s="262"/>
      <c r="BK1" s="262"/>
      <c r="BM1" s="262" t="s">
        <v>108</v>
      </c>
      <c r="BN1" s="262"/>
      <c r="BO1" s="262"/>
      <c r="BP1" s="262"/>
      <c r="BQ1" s="262"/>
      <c r="BR1" s="262"/>
      <c r="BT1" s="260" t="s">
        <v>179</v>
      </c>
      <c r="BU1" s="260"/>
      <c r="BV1" s="260"/>
      <c r="BW1" s="260"/>
      <c r="BX1" s="260"/>
      <c r="BY1" s="260"/>
    </row>
    <row r="2" spans="2:77">
      <c r="B2" s="261" t="str">
        <f>'平日晨峰(07-09)'!$A$2</f>
        <v>A方向：</v>
      </c>
      <c r="C2" s="261"/>
      <c r="D2" s="261"/>
      <c r="E2" s="261"/>
      <c r="F2" s="261"/>
      <c r="G2" s="261"/>
      <c r="I2" s="261" t="str">
        <f>'平日晨峰(07-09)'!$A$2</f>
        <v>A方向：</v>
      </c>
      <c r="J2" s="261"/>
      <c r="K2" s="261"/>
      <c r="L2" s="261"/>
      <c r="M2" s="261"/>
      <c r="N2" s="261"/>
      <c r="P2" s="261" t="str">
        <f>'平日中午(11-13)'!$A$2</f>
        <v>A方向：</v>
      </c>
      <c r="Q2" s="261"/>
      <c r="R2" s="261"/>
      <c r="S2" s="261"/>
      <c r="T2" s="261"/>
      <c r="U2" s="261"/>
      <c r="W2" s="261" t="str">
        <f>'平日中午(12-14)'!$A$2</f>
        <v>A方向：</v>
      </c>
      <c r="X2" s="261"/>
      <c r="Y2" s="261"/>
      <c r="Z2" s="261"/>
      <c r="AA2" s="261"/>
      <c r="AB2" s="261"/>
      <c r="AD2" s="261" t="str">
        <f>'平日昏峰(17-19)'!$A$2</f>
        <v>A方向：</v>
      </c>
      <c r="AE2" s="261"/>
      <c r="AF2" s="261"/>
      <c r="AG2" s="261"/>
      <c r="AH2" s="261"/>
      <c r="AI2" s="261"/>
      <c r="AK2" s="261" t="str">
        <f>'假日(11-12)'!$A$2</f>
        <v>A方向：</v>
      </c>
      <c r="AL2" s="261"/>
      <c r="AM2" s="261"/>
      <c r="AN2" s="261"/>
      <c r="AO2" s="261"/>
      <c r="AP2" s="261"/>
      <c r="AR2" s="261" t="str">
        <f>'假日(1430-1530)'!$A$2</f>
        <v>A方向：</v>
      </c>
      <c r="AS2" s="261"/>
      <c r="AT2" s="261"/>
      <c r="AU2" s="261"/>
      <c r="AV2" s="261"/>
      <c r="AW2" s="261"/>
      <c r="AY2" s="261" t="str">
        <f>'假日(1730-1830)'!$A$2</f>
        <v>A方向：</v>
      </c>
      <c r="AZ2" s="261"/>
      <c r="BA2" s="261"/>
      <c r="BB2" s="261"/>
      <c r="BC2" s="261"/>
      <c r="BD2" s="261"/>
      <c r="BF2" s="261" t="str">
        <f>'假日(16-18)'!$A$2</f>
        <v>A方向：</v>
      </c>
      <c r="BG2" s="261"/>
      <c r="BH2" s="261"/>
      <c r="BI2" s="261"/>
      <c r="BJ2" s="261"/>
      <c r="BK2" s="261"/>
      <c r="BM2" s="261" t="str">
        <f>'假日(17-19)'!$A$2</f>
        <v>A方向：</v>
      </c>
      <c r="BN2" s="261"/>
      <c r="BO2" s="261"/>
      <c r="BP2" s="261"/>
      <c r="BQ2" s="261"/>
      <c r="BR2" s="261"/>
      <c r="BT2" s="261" t="str">
        <f>'假日(16-18)'!$A$2</f>
        <v>A方向：</v>
      </c>
      <c r="BU2" s="261"/>
      <c r="BV2" s="261"/>
      <c r="BW2" s="261"/>
      <c r="BX2" s="261"/>
      <c r="BY2" s="261"/>
    </row>
    <row r="3" spans="2:77">
      <c r="B3" s="172" t="s">
        <v>129</v>
      </c>
      <c r="C3" s="173" t="s">
        <v>130</v>
      </c>
      <c r="D3" s="174" t="s">
        <v>131</v>
      </c>
      <c r="E3" s="173" t="s">
        <v>132</v>
      </c>
      <c r="F3" s="173" t="s">
        <v>133</v>
      </c>
      <c r="G3" s="173" t="s">
        <v>134</v>
      </c>
      <c r="I3" s="172" t="s">
        <v>129</v>
      </c>
      <c r="J3" s="173" t="s">
        <v>130</v>
      </c>
      <c r="K3" s="174"/>
      <c r="L3" s="173" t="s">
        <v>132</v>
      </c>
      <c r="M3" s="173" t="s">
        <v>133</v>
      </c>
      <c r="N3" s="173" t="s">
        <v>134</v>
      </c>
      <c r="P3" s="172" t="s">
        <v>129</v>
      </c>
      <c r="Q3" s="173" t="s">
        <v>135</v>
      </c>
      <c r="R3" s="174" t="s">
        <v>131</v>
      </c>
      <c r="S3" s="173" t="s">
        <v>132</v>
      </c>
      <c r="T3" s="173" t="s">
        <v>133</v>
      </c>
      <c r="U3" s="173" t="s">
        <v>134</v>
      </c>
      <c r="W3" s="172" t="s">
        <v>129</v>
      </c>
      <c r="X3" s="173" t="s">
        <v>135</v>
      </c>
      <c r="Y3" s="174" t="s">
        <v>131</v>
      </c>
      <c r="Z3" s="173" t="s">
        <v>132</v>
      </c>
      <c r="AA3" s="173" t="s">
        <v>133</v>
      </c>
      <c r="AB3" s="173" t="s">
        <v>134</v>
      </c>
      <c r="AD3" s="172" t="s">
        <v>129</v>
      </c>
      <c r="AE3" s="173" t="s">
        <v>135</v>
      </c>
      <c r="AF3" s="174" t="s">
        <v>131</v>
      </c>
      <c r="AG3" s="173" t="s">
        <v>132</v>
      </c>
      <c r="AH3" s="173" t="s">
        <v>133</v>
      </c>
      <c r="AI3" s="173" t="s">
        <v>134</v>
      </c>
      <c r="AK3" s="172" t="s">
        <v>129</v>
      </c>
      <c r="AL3" s="173" t="s">
        <v>135</v>
      </c>
      <c r="AM3" s="174" t="s">
        <v>131</v>
      </c>
      <c r="AN3" s="173" t="s">
        <v>132</v>
      </c>
      <c r="AO3" s="173" t="s">
        <v>133</v>
      </c>
      <c r="AP3" s="173" t="s">
        <v>134</v>
      </c>
      <c r="AR3" s="172" t="s">
        <v>129</v>
      </c>
      <c r="AS3" s="173" t="s">
        <v>135</v>
      </c>
      <c r="AT3" s="174" t="s">
        <v>131</v>
      </c>
      <c r="AU3" s="173" t="s">
        <v>132</v>
      </c>
      <c r="AV3" s="173" t="s">
        <v>133</v>
      </c>
      <c r="AW3" s="173" t="s">
        <v>134</v>
      </c>
      <c r="AY3" s="172" t="s">
        <v>129</v>
      </c>
      <c r="AZ3" s="173" t="s">
        <v>135</v>
      </c>
      <c r="BA3" s="174" t="s">
        <v>131</v>
      </c>
      <c r="BB3" s="173" t="s">
        <v>132</v>
      </c>
      <c r="BC3" s="173" t="s">
        <v>133</v>
      </c>
      <c r="BD3" s="173" t="s">
        <v>134</v>
      </c>
      <c r="BF3" s="172" t="s">
        <v>129</v>
      </c>
      <c r="BG3" s="173" t="s">
        <v>135</v>
      </c>
      <c r="BH3" s="174" t="s">
        <v>131</v>
      </c>
      <c r="BI3" s="173" t="s">
        <v>132</v>
      </c>
      <c r="BJ3" s="173" t="s">
        <v>133</v>
      </c>
      <c r="BK3" s="173" t="s">
        <v>134</v>
      </c>
      <c r="BM3" s="172" t="s">
        <v>129</v>
      </c>
      <c r="BN3" s="173" t="s">
        <v>135</v>
      </c>
      <c r="BO3" s="174" t="s">
        <v>131</v>
      </c>
      <c r="BP3" s="173" t="s">
        <v>132</v>
      </c>
      <c r="BQ3" s="173" t="s">
        <v>133</v>
      </c>
      <c r="BR3" s="173" t="s">
        <v>134</v>
      </c>
      <c r="BT3" s="172" t="s">
        <v>129</v>
      </c>
      <c r="BU3" s="173" t="s">
        <v>135</v>
      </c>
      <c r="BV3" s="174" t="s">
        <v>131</v>
      </c>
      <c r="BW3" s="173" t="s">
        <v>132</v>
      </c>
      <c r="BX3" s="173" t="s">
        <v>133</v>
      </c>
      <c r="BY3" s="173" t="s">
        <v>134</v>
      </c>
    </row>
    <row r="4" spans="2:77">
      <c r="B4" s="175" t="s">
        <v>193</v>
      </c>
      <c r="C4" s="176" t="str">
        <f>IF(ISERROR($E4/F4),"-",$E4/F4)</f>
        <v>-</v>
      </c>
      <c r="D4" s="176" t="str">
        <f>IF(ISERROR($E4/G4),"-",$E4/G4)</f>
        <v>-</v>
      </c>
      <c r="E4" s="175">
        <f>('平日晨峰(0630-0830)'!$B$21+'平日晨峰(0630-0830)'!$B$40+'平日晨峰(0630-0830)'!$B$59+'平日晨峰(0630-0830)'!$B$78)*15</f>
        <v>0</v>
      </c>
      <c r="F4" s="175">
        <f>'平日晨峰(0630-0830)'!$F$21+'平日晨峰(0630-0830)'!$F$40+'平日晨峰(0630-0830)'!$F$59+'平日晨峰(0630-0830)'!$F$78</f>
        <v>0</v>
      </c>
      <c r="G4" s="175">
        <f>'平日晨峰(0630-0830)'!$H$21+'平日晨峰(0630-0830)'!$H$40+'平日晨峰(0630-0830)'!$H$59+'平日晨峰(0630-0830)'!$H$78</f>
        <v>0</v>
      </c>
      <c r="I4" s="175" t="s">
        <v>136</v>
      </c>
      <c r="J4" s="176" t="str">
        <f t="shared" ref="J4:K8" si="0">IF(ISERROR($L4/M4),"-",$L4/M4)</f>
        <v>-</v>
      </c>
      <c r="K4" s="176" t="str">
        <f t="shared" si="0"/>
        <v>-</v>
      </c>
      <c r="L4" s="175">
        <f>('平日晨峰(07-09)'!$B$21+'平日晨峰(07-09)'!$B$40+'平日晨峰(07-09)'!$B$59+'平日晨峰(07-09)'!$B$78)*15</f>
        <v>0</v>
      </c>
      <c r="M4" s="175">
        <f>'平日晨峰(07-09)'!$F$21+'平日晨峰(07-09)'!$F$40+'平日晨峰(07-09)'!$F$59+'平日晨峰(07-09)'!$F$78</f>
        <v>0</v>
      </c>
      <c r="N4" s="175">
        <f>'平日晨峰(07-09)'!$H$21+'平日晨峰(07-09)'!$H$40+'平日晨峰(07-09)'!$H$59+'平日晨峰(07-09)'!$H$78</f>
        <v>0</v>
      </c>
      <c r="P4" s="175" t="s">
        <v>137</v>
      </c>
      <c r="Q4" s="176" t="str">
        <f>IF(ISERROR($S4/T4),"-",$S4/T4)</f>
        <v>-</v>
      </c>
      <c r="R4" s="176" t="str">
        <f>IF(ISERROR($T4/U4),"-",$T4/U4)</f>
        <v>-</v>
      </c>
      <c r="S4" s="175">
        <f>('平日中午(11-13)'!$B$21+'平日中午(11-13)'!$B$40+'平日中午(11-13)'!$B$59+'平日中午(11-13)'!$B$78)*15</f>
        <v>0</v>
      </c>
      <c r="T4" s="175">
        <f>'平日中午(11-13)'!$F$21+'平日中午(11-13)'!$F$40+'平日中午(11-13)'!$F$59+'平日中午(11-13)'!$F$78</f>
        <v>0</v>
      </c>
      <c r="U4" s="175">
        <f>'平日中午(11-13)'!$H$21+'平日中午(11-13)'!$H$40+'平日中午(11-13)'!$H$59+'平日中午(11-13)'!$H$78</f>
        <v>0</v>
      </c>
      <c r="W4" s="175" t="s">
        <v>171</v>
      </c>
      <c r="X4" s="176" t="str">
        <f t="shared" ref="X4:Y8" si="1">IF(ISERROR($Z4/AA4),"-",$Z4/AA4)</f>
        <v>-</v>
      </c>
      <c r="Y4" s="176" t="str">
        <f t="shared" si="1"/>
        <v>-</v>
      </c>
      <c r="Z4" s="175">
        <f>('平日中午(12-14)'!$B$21+'平日中午(12-14)'!$B$40+'平日中午(12-14)'!$B$59+'平日中午(12-14)'!$B$78)*15</f>
        <v>0</v>
      </c>
      <c r="AA4" s="175">
        <f>'平日中午(12-14)'!$F$21+'平日中午(12-14)'!$F$40+'平日中午(12-14)'!$F$59+'平日中午(12-14)'!$F$78</f>
        <v>0</v>
      </c>
      <c r="AB4" s="175">
        <f>'平日中午(12-14)'!$H$21+'平日中午(12-14)'!$H$40+'平日中午(12-14)'!$H$59+'平日中午(12-14)'!$H$78</f>
        <v>0</v>
      </c>
      <c r="AD4" s="175" t="s">
        <v>138</v>
      </c>
      <c r="AE4" s="176" t="str">
        <f t="shared" ref="AE4:AF8" si="2">IF(ISERROR($AG4/AH4),"-",$AG4/AH4)</f>
        <v>-</v>
      </c>
      <c r="AF4" s="176" t="str">
        <f t="shared" si="2"/>
        <v>-</v>
      </c>
      <c r="AG4" s="175">
        <f>('平日昏峰(17-19)'!$B$21+'平日昏峰(17-19)'!$B$40+'平日昏峰(17-19)'!$B$59+'平日昏峰(17-19)'!$B$78)*15</f>
        <v>0</v>
      </c>
      <c r="AH4" s="175">
        <f>'平日昏峰(17-19)'!$F$21+'平日昏峰(17-19)'!$F$40+'平日昏峰(17-19)'!$F$59+'平日昏峰(17-19)'!$F$78</f>
        <v>0</v>
      </c>
      <c r="AI4" s="175">
        <f>'平日昏峰(17-19)'!$H$21+'平日昏峰(17-19)'!$H$40+'平日昏峰(17-19)'!$H$59+'平日昏峰(17-19)'!$H$78</f>
        <v>0</v>
      </c>
      <c r="AK4" s="175" t="s">
        <v>137</v>
      </c>
      <c r="AL4" s="176" t="str">
        <f t="shared" ref="AL4:AM8" si="3">IF(ISERROR($AN4/AO4),"-",$AN4/AO4)</f>
        <v>-</v>
      </c>
      <c r="AM4" s="176" t="str">
        <f t="shared" si="3"/>
        <v>-</v>
      </c>
      <c r="AN4" s="175">
        <f>('假日(11-12)'!$B$21+'假日(11-12)'!$B$40+'假日(11-12)'!$B$59+'假日(11-12)'!$B$78)*15</f>
        <v>0</v>
      </c>
      <c r="AO4" s="175">
        <f>'假日(11-12)'!$F$21+'假日(11-12)'!$F$40+'假日(11-12)'!$F$59+'假日(11-12)'!$F$78</f>
        <v>0</v>
      </c>
      <c r="AP4" s="175">
        <f>'假日(11-12)'!$H$21+'假日(11-12)'!$H$40+'假日(11-12)'!$H$59+'假日(11-12)'!$H$78</f>
        <v>0</v>
      </c>
      <c r="AR4" s="175" t="s">
        <v>139</v>
      </c>
      <c r="AS4" s="176" t="str">
        <f t="shared" ref="AS4:AT8" si="4">IF(ISERROR($AU4/AV4),"-",$AU4/AV4)</f>
        <v>-</v>
      </c>
      <c r="AT4" s="176" t="str">
        <f t="shared" si="4"/>
        <v>-</v>
      </c>
      <c r="AU4" s="175">
        <f>('假日(1430-1530)'!$B$21+'假日(1430-1530)'!$B$40+'假日(1430-1530)'!$B$59+'假日(1430-1530)'!$B$78)*15</f>
        <v>0</v>
      </c>
      <c r="AV4" s="175">
        <f>'假日(1430-1530)'!$F$21+'假日(1430-1530)'!$F$40+'假日(1430-1530)'!$F$59+'假日(1430-1530)'!$F$78</f>
        <v>0</v>
      </c>
      <c r="AW4" s="175">
        <f>'假日(1430-1530)'!$H$21+'假日(1430-1530)'!$H$40+'假日(1430-1530)'!$H$59+'假日(1430-1530)'!$H$78</f>
        <v>0</v>
      </c>
      <c r="AY4" s="175" t="s">
        <v>140</v>
      </c>
      <c r="AZ4" s="176" t="str">
        <f t="shared" ref="AZ4:BA8" si="5">IF(ISERROR($BB4/BC4),"-",$BB4/BC4)</f>
        <v>-</v>
      </c>
      <c r="BA4" s="176" t="str">
        <f t="shared" si="5"/>
        <v>-</v>
      </c>
      <c r="BB4" s="175">
        <f>('假日(1730-1830)'!$B$21+'假日(1730-1830)'!$B$40+'假日(1730-1830)'!$B$59+'假日(1730-1830)'!$B$78)*15</f>
        <v>0</v>
      </c>
      <c r="BC4" s="175">
        <f>'假日(1730-1830)'!$F$21+'假日(1730-1830)'!$F$40+'假日(1730-1830)'!$F$59+'假日(1730-1830)'!$F$78</f>
        <v>0</v>
      </c>
      <c r="BD4" s="175">
        <f>'假日(1730-1830)'!$H$21+'假日(1730-1830)'!$H$40+'假日(1730-1830)'!$H$59+'假日(1730-1830)'!$H$78</f>
        <v>0</v>
      </c>
      <c r="BF4" s="175" t="s">
        <v>141</v>
      </c>
      <c r="BG4" s="176" t="str">
        <f t="shared" ref="BG4:BH8" si="6">IF(ISERROR($BI4/BJ4),"-",$BI4/BJ4)</f>
        <v>-</v>
      </c>
      <c r="BH4" s="176" t="str">
        <f t="shared" si="6"/>
        <v>-</v>
      </c>
      <c r="BI4" s="175">
        <f>('假日(16-18)'!$B$21+'假日(16-18)'!$B$40+'假日(16-18)'!$B$59+'假日(16-18)'!$B$78)*15</f>
        <v>0</v>
      </c>
      <c r="BJ4" s="175">
        <f>'假日(16-18)'!$F$21+'假日(16-18)'!$F$40+'假日(16-18)'!$F$59+'假日(16-18)'!$F$78</f>
        <v>0</v>
      </c>
      <c r="BK4" s="175">
        <f>'假日(16-18)'!$H$21+'假日(16-18)'!$H$40+'假日(16-18)'!$H$59+'假日(16-18)'!$H$78</f>
        <v>0</v>
      </c>
      <c r="BM4" s="175" t="s">
        <v>138</v>
      </c>
      <c r="BN4" s="176" t="str">
        <f>IF(ISERROR($BP4/BQ4),"-",$BP4/BQ4)</f>
        <v>-</v>
      </c>
      <c r="BO4" s="176" t="str">
        <f t="shared" ref="BN4:BO8" si="7">IF(ISERROR($BP4/BR4),"-",$BP4/BR4)</f>
        <v>-</v>
      </c>
      <c r="BP4" s="175">
        <f>('假日(17-19)'!$B$21+'假日(17-19)'!$B$40+'假日(17-19)'!$B$59+'假日(17-19)'!$B$78)*15</f>
        <v>0</v>
      </c>
      <c r="BQ4" s="175">
        <f>'假日(17-19)'!$F$21+'假日(17-19)'!$F$40+'假日(17-19)'!$F$59+'假日(17-19)'!$F$78</f>
        <v>0</v>
      </c>
      <c r="BR4" s="175">
        <f>'假日(17-19)'!$H$21+'假日(17-19)'!$H$40+'假日(17-19)'!$H$59+'假日(17-19)'!$H$78</f>
        <v>0</v>
      </c>
      <c r="BT4" s="175" t="s">
        <v>141</v>
      </c>
      <c r="BU4" s="176" t="str">
        <f>IF(ISERROR($BW4/BX4),"-",$BW4/BX4)</f>
        <v>-</v>
      </c>
      <c r="BV4" s="176" t="str">
        <f>IF(ISERROR($BW4/BY4),"-",$BW4/BY4)</f>
        <v>-</v>
      </c>
      <c r="BW4" s="175">
        <f>('假日(16-20)'!$B$21+'假日(16-20)'!$B$40+'假日(16-20)'!$B$59+'假日(16-20)'!$B$78)*15</f>
        <v>0</v>
      </c>
      <c r="BX4" s="175">
        <f>'假日(16-20)'!$F$21+'假日(16-20)'!$F$40+'假日(16-20)'!$F$59+'假日(16-20)'!$F$78</f>
        <v>0</v>
      </c>
      <c r="BY4" s="175">
        <f>'假日(16-20)'!$H$21+'假日(16-20)'!$H$40+'假日(16-20)'!$H$59+'假日(16-20)'!$H$78</f>
        <v>0</v>
      </c>
    </row>
    <row r="5" spans="2:77">
      <c r="B5" s="175" t="s">
        <v>194</v>
      </c>
      <c r="C5" s="176" t="str">
        <f t="shared" ref="C4:D8" si="8">IF(ISERROR($E5/F5),"-",$E5/F5)</f>
        <v>-</v>
      </c>
      <c r="D5" s="176" t="str">
        <f t="shared" si="8"/>
        <v>-</v>
      </c>
      <c r="E5" s="175">
        <f>('平日晨峰(0630-0830)'!$B$40+'平日晨峰(0630-0830)'!$B$59+'平日晨峰(0630-0830)'!$B$78+'平日晨峰(0630-0830)'!$B$97)*15</f>
        <v>0</v>
      </c>
      <c r="F5" s="175">
        <f>'平日晨峰(0630-0830)'!$F$40+'平日晨峰(0630-0830)'!$F$59+'平日晨峰(0630-0830)'!$F$78+'平日晨峰(0630-0830)'!$F$97</f>
        <v>0</v>
      </c>
      <c r="G5" s="175">
        <f>'平日晨峰(0630-0830)'!$H$40+'平日晨峰(0630-0830)'!$H$59+'平日晨峰(0630-0830)'!$H$78+'平日晨峰(0630-0830)'!$H$97</f>
        <v>0</v>
      </c>
      <c r="I5" s="175" t="s">
        <v>142</v>
      </c>
      <c r="J5" s="176" t="str">
        <f t="shared" si="0"/>
        <v>-</v>
      </c>
      <c r="K5" s="176" t="str">
        <f t="shared" si="0"/>
        <v>-</v>
      </c>
      <c r="L5" s="175">
        <f>('平日晨峰(07-09)'!$B$40+'平日晨峰(07-09)'!$B$59+'平日晨峰(07-09)'!$B$78+'平日晨峰(07-09)'!$B$97)*15</f>
        <v>0</v>
      </c>
      <c r="M5" s="175">
        <f>'平日晨峰(07-09)'!$F$40+'平日晨峰(07-09)'!$F$59+'平日晨峰(07-09)'!$F$78+'平日晨峰(07-09)'!$F$97</f>
        <v>0</v>
      </c>
      <c r="N5" s="175">
        <f>'平日晨峰(07-09)'!$H$40+'平日晨峰(07-09)'!$H$59+'平日晨峰(07-09)'!$H$78+'平日晨峰(07-09)'!$H$97</f>
        <v>0</v>
      </c>
      <c r="P5" s="175" t="s">
        <v>143</v>
      </c>
      <c r="Q5" s="176" t="str">
        <f>IF(ISERROR($S5/T5),"-",$S5/T5)</f>
        <v>-</v>
      </c>
      <c r="R5" s="176" t="str">
        <f>IF(ISERROR($T5/U5),"-",$T5/U5)</f>
        <v>-</v>
      </c>
      <c r="S5" s="175">
        <f>('平日中午(11-13)'!$B$40+'平日中午(11-13)'!$B$59+'平日中午(11-13)'!$B$78+'平日中午(11-13)'!$B$97)*15</f>
        <v>0</v>
      </c>
      <c r="T5" s="175">
        <f>'平日中午(11-13)'!$F$40+'平日中午(11-13)'!$F$59+'平日中午(11-13)'!$F$78+'平日中午(11-13)'!$F$97</f>
        <v>0</v>
      </c>
      <c r="U5" s="175">
        <f>'平日中午(11-13)'!$H$40+'平日中午(11-13)'!$H$59+'平日中午(11-13)'!$H$78+'平日中午(11-13)'!$H$97</f>
        <v>0</v>
      </c>
      <c r="W5" s="175" t="s">
        <v>172</v>
      </c>
      <c r="X5" s="176" t="str">
        <f t="shared" si="1"/>
        <v>-</v>
      </c>
      <c r="Y5" s="176" t="str">
        <f t="shared" si="1"/>
        <v>-</v>
      </c>
      <c r="Z5" s="175">
        <f>('平日中午(12-14)'!$B$40+'平日中午(12-14)'!$B$59+'平日中午(12-14)'!$B$78+'平日中午(12-14)'!$B$97)*15</f>
        <v>0</v>
      </c>
      <c r="AA5" s="175">
        <f>'平日中午(12-14)'!$F$40+'平日中午(12-14)'!$F$59+'平日中午(12-14)'!$F$78+'平日中午(12-14)'!$F$97</f>
        <v>0</v>
      </c>
      <c r="AB5" s="175">
        <f>'平日中午(12-14)'!$H$40+'平日中午(12-14)'!$H$59+'平日中午(12-14)'!$H$78+'平日中午(12-14)'!$H$97</f>
        <v>0</v>
      </c>
      <c r="AD5" s="175" t="s">
        <v>144</v>
      </c>
      <c r="AE5" s="176" t="str">
        <f t="shared" si="2"/>
        <v>-</v>
      </c>
      <c r="AF5" s="176" t="str">
        <f t="shared" si="2"/>
        <v>-</v>
      </c>
      <c r="AG5" s="175">
        <f>('平日昏峰(17-19)'!$B$40+'平日昏峰(17-19)'!$B$59+'平日昏峰(17-19)'!$B$78+'平日昏峰(17-19)'!$B$97)*15</f>
        <v>0</v>
      </c>
      <c r="AH5" s="175">
        <f>'平日昏峰(17-19)'!$F$40+'平日昏峰(17-19)'!$F$59+'平日昏峰(17-19)'!$F$78+'平日昏峰(17-19)'!$F$97</f>
        <v>0</v>
      </c>
      <c r="AI5" s="175">
        <f>'平日昏峰(17-19)'!$H$40+'平日昏峰(17-19)'!$H$59+'平日昏峰(17-19)'!$H$78+'平日昏峰(17-19)'!$H$97</f>
        <v>0</v>
      </c>
      <c r="AK5" s="175"/>
      <c r="AL5" s="176" t="str">
        <f t="shared" si="3"/>
        <v>-</v>
      </c>
      <c r="AM5" s="176" t="str">
        <f t="shared" si="3"/>
        <v>-</v>
      </c>
      <c r="AN5" s="175"/>
      <c r="AO5" s="175"/>
      <c r="AP5" s="175"/>
      <c r="AR5" s="175"/>
      <c r="AS5" s="176" t="str">
        <f t="shared" si="4"/>
        <v>-</v>
      </c>
      <c r="AT5" s="176" t="str">
        <f t="shared" si="4"/>
        <v>-</v>
      </c>
      <c r="AU5" s="175"/>
      <c r="AV5" s="175"/>
      <c r="AW5" s="175"/>
      <c r="AY5" s="175"/>
      <c r="AZ5" s="176" t="str">
        <f t="shared" si="5"/>
        <v>-</v>
      </c>
      <c r="BA5" s="176" t="str">
        <f t="shared" si="5"/>
        <v>-</v>
      </c>
      <c r="BB5" s="175"/>
      <c r="BC5" s="175"/>
      <c r="BD5" s="175"/>
      <c r="BF5" s="175" t="s">
        <v>145</v>
      </c>
      <c r="BG5" s="176" t="str">
        <f t="shared" si="6"/>
        <v>-</v>
      </c>
      <c r="BH5" s="176" t="str">
        <f t="shared" si="6"/>
        <v>-</v>
      </c>
      <c r="BI5" s="175">
        <f>('假日(16-18)'!$B$40+'假日(16-18)'!$B$59+'假日(16-18)'!$B$78+'假日(16-18)'!$B$97)*15</f>
        <v>0</v>
      </c>
      <c r="BJ5" s="175">
        <f>'假日(16-18)'!$F$40+'假日(16-18)'!$F$59+'假日(16-18)'!$F$78+'假日(16-18)'!$F$97</f>
        <v>0</v>
      </c>
      <c r="BK5" s="175">
        <f>'假日(16-18)'!$H$40+'假日(16-18)'!$H$59+'假日(16-18)'!$H$78+'假日(16-18)'!$H$97</f>
        <v>0</v>
      </c>
      <c r="BM5" s="175" t="s">
        <v>144</v>
      </c>
      <c r="BN5" s="176" t="str">
        <f t="shared" si="7"/>
        <v>-</v>
      </c>
      <c r="BO5" s="176" t="str">
        <f t="shared" si="7"/>
        <v>-</v>
      </c>
      <c r="BP5" s="175">
        <f>('假日(17-19)'!$B$40+'假日(17-19)'!$B$59+'假日(17-19)'!$B$78+'假日(17-19)'!$B$97)*15</f>
        <v>0</v>
      </c>
      <c r="BQ5" s="175">
        <f>'假日(17-19)'!$F$40+'假日(17-19)'!$F$59+'假日(17-19)'!$F$78+'假日(17-19)'!$F$97</f>
        <v>0</v>
      </c>
      <c r="BR5" s="175">
        <f>'假日(17-19)'!$H$40+'假日(17-19)'!$H$59+'假日(17-19)'!$H$78+'假日(17-19)'!$H$97</f>
        <v>0</v>
      </c>
      <c r="BT5" s="175" t="s">
        <v>145</v>
      </c>
      <c r="BU5" s="176" t="str">
        <f>IF(ISERROR($BW5/BX5),"-",$BW5/BX5)</f>
        <v>-</v>
      </c>
      <c r="BV5" s="176" t="str">
        <f>IF(ISERROR($BW5/BY5),"-",$BW5/BY5)</f>
        <v>-</v>
      </c>
      <c r="BW5" s="175">
        <f>('假日(16-20)'!$B$40+'假日(16-20)'!$B$59+'假日(16-20)'!$B$78+'假日(16-20)'!$B$97)*15</f>
        <v>0</v>
      </c>
      <c r="BX5" s="175">
        <f>'假日(16-20)'!$F$40+'假日(16-20)'!$F$59+'假日(16-20)'!$F$78+'假日(16-20)'!$F$97</f>
        <v>0</v>
      </c>
      <c r="BY5" s="175">
        <f>'假日(16-20)'!$H$40+'假日(16-20)'!$H$59+'假日(16-20)'!$H$78+'假日(16-20)'!$H$97</f>
        <v>0</v>
      </c>
    </row>
    <row r="6" spans="2:77">
      <c r="B6" s="175" t="s">
        <v>195</v>
      </c>
      <c r="C6" s="176" t="str">
        <f t="shared" si="8"/>
        <v>-</v>
      </c>
      <c r="D6" s="176" t="str">
        <f t="shared" si="8"/>
        <v>-</v>
      </c>
      <c r="E6" s="175">
        <f>('平日晨峰(0630-0830)'!$B$59+'平日晨峰(0630-0830)'!$B$78+'平日晨峰(0630-0830)'!$B$97+'平日晨峰(0630-0830)'!$B$116)*15</f>
        <v>0</v>
      </c>
      <c r="F6" s="175">
        <f>'平日晨峰(0630-0830)'!$F$59+'平日晨峰(0630-0830)'!$F$78+'平日晨峰(0630-0830)'!$F$97+'平日晨峰(0630-0830)'!$F$116</f>
        <v>0</v>
      </c>
      <c r="G6" s="175">
        <f>'平日晨峰(0630-0830)'!$H$59+'平日晨峰(0630-0830)'!$H$78+'平日晨峰(0630-0830)'!$H$97+'平日晨峰(0630-0830)'!$H$116</f>
        <v>0</v>
      </c>
      <c r="I6" s="175" t="s">
        <v>146</v>
      </c>
      <c r="J6" s="176" t="str">
        <f t="shared" si="0"/>
        <v>-</v>
      </c>
      <c r="K6" s="176" t="str">
        <f t="shared" si="0"/>
        <v>-</v>
      </c>
      <c r="L6" s="175">
        <f>('平日晨峰(07-09)'!$B$59+'平日晨峰(07-09)'!$B$78+'平日晨峰(07-09)'!$B$97+'平日晨峰(07-09)'!$B$116)*15</f>
        <v>0</v>
      </c>
      <c r="M6" s="175">
        <f>'平日晨峰(07-09)'!$F$59+'平日晨峰(07-09)'!$F$78+'平日晨峰(07-09)'!$F$97+'平日晨峰(07-09)'!$F$116</f>
        <v>0</v>
      </c>
      <c r="N6" s="175">
        <f>'平日晨峰(07-09)'!$H$59+'平日晨峰(07-09)'!$H$78+'平日晨峰(07-09)'!$H$97+'平日晨峰(07-09)'!$H$116</f>
        <v>0</v>
      </c>
      <c r="P6" s="175" t="s">
        <v>147</v>
      </c>
      <c r="Q6" s="176" t="str">
        <f>IF(ISERROR($S6/T6),"-",$S6/T6)</f>
        <v>-</v>
      </c>
      <c r="R6" s="176" t="str">
        <f>IF(ISERROR($T6/U6),"-",$T6/U6)</f>
        <v>-</v>
      </c>
      <c r="S6" s="175">
        <f>('平日中午(11-13)'!$B$59+'平日中午(11-13)'!$B$78+'平日中午(11-13)'!$B$97+'平日中午(11-13)'!$B$116)*15</f>
        <v>0</v>
      </c>
      <c r="T6" s="175">
        <f>'平日中午(11-13)'!$F$59+'平日中午(11-13)'!$F$78+'平日中午(11-13)'!$F$97+'平日中午(11-13)'!$F$116</f>
        <v>0</v>
      </c>
      <c r="U6" s="175">
        <f>'平日中午(11-13)'!$H$59+'平日中午(11-13)'!$H$78+'平日中午(11-13)'!$H$97+'平日中午(11-13)'!$H$116</f>
        <v>0</v>
      </c>
      <c r="W6" s="175" t="s">
        <v>173</v>
      </c>
      <c r="X6" s="176" t="str">
        <f t="shared" si="1"/>
        <v>-</v>
      </c>
      <c r="Y6" s="176" t="str">
        <f t="shared" si="1"/>
        <v>-</v>
      </c>
      <c r="Z6" s="175">
        <f>('平日中午(12-14)'!$B$59+'平日中午(12-14)'!$B$78+'平日中午(12-14)'!$B$97+'平日中午(12-14)'!$B$116)*15</f>
        <v>0</v>
      </c>
      <c r="AA6" s="175">
        <f>'平日中午(12-14)'!$F$59+'平日中午(12-14)'!$F$78+'平日中午(12-14)'!$F$97+'平日中午(12-14)'!$F$116</f>
        <v>0</v>
      </c>
      <c r="AB6" s="175">
        <f>'平日中午(12-14)'!$H$59+'平日中午(12-14)'!$H$78+'平日中午(12-14)'!$H$97+'平日中午(12-14)'!$H$116</f>
        <v>0</v>
      </c>
      <c r="AD6" s="175" t="s">
        <v>140</v>
      </c>
      <c r="AE6" s="176" t="str">
        <f t="shared" si="2"/>
        <v>-</v>
      </c>
      <c r="AF6" s="176" t="str">
        <f t="shared" si="2"/>
        <v>-</v>
      </c>
      <c r="AG6" s="175">
        <f>('平日昏峰(17-19)'!$B$59+'平日昏峰(17-19)'!$B$78+'平日昏峰(17-19)'!$B$97+'平日昏峰(17-19)'!$B$116)*15</f>
        <v>0</v>
      </c>
      <c r="AH6" s="175">
        <f>'平日昏峰(17-19)'!$F$59+'平日昏峰(17-19)'!$F$78+'平日昏峰(17-19)'!$F$97+'平日昏峰(17-19)'!$F$116</f>
        <v>0</v>
      </c>
      <c r="AI6" s="175">
        <f>'平日昏峰(17-19)'!$H$59+'平日昏峰(17-19)'!$H$78+'平日昏峰(17-19)'!$H$97+'平日昏峰(17-19)'!$H$116</f>
        <v>0</v>
      </c>
      <c r="AK6" s="175"/>
      <c r="AL6" s="176" t="str">
        <f t="shared" si="3"/>
        <v>-</v>
      </c>
      <c r="AM6" s="176" t="str">
        <f t="shared" si="3"/>
        <v>-</v>
      </c>
      <c r="AN6" s="175"/>
      <c r="AO6" s="175"/>
      <c r="AP6" s="175"/>
      <c r="AR6" s="175"/>
      <c r="AS6" s="176" t="str">
        <f t="shared" si="4"/>
        <v>-</v>
      </c>
      <c r="AT6" s="176" t="str">
        <f t="shared" si="4"/>
        <v>-</v>
      </c>
      <c r="AU6" s="175"/>
      <c r="AV6" s="175"/>
      <c r="AW6" s="175"/>
      <c r="AY6" s="175"/>
      <c r="AZ6" s="176" t="str">
        <f t="shared" si="5"/>
        <v>-</v>
      </c>
      <c r="BA6" s="176" t="str">
        <f t="shared" si="5"/>
        <v>-</v>
      </c>
      <c r="BB6" s="175"/>
      <c r="BC6" s="175"/>
      <c r="BD6" s="175"/>
      <c r="BF6" s="175" t="s">
        <v>148</v>
      </c>
      <c r="BG6" s="176" t="str">
        <f t="shared" si="6"/>
        <v>-</v>
      </c>
      <c r="BH6" s="176" t="str">
        <f t="shared" si="6"/>
        <v>-</v>
      </c>
      <c r="BI6" s="175">
        <f>('假日(16-18)'!$B$59+'假日(16-18)'!$B$78+'假日(16-18)'!$B$97+'假日(16-18)'!$B$116)*15</f>
        <v>0</v>
      </c>
      <c r="BJ6" s="175">
        <f>'假日(16-18)'!$F$59+'假日(16-18)'!$F$78+'假日(16-18)'!$F$97+'假日(16-18)'!$F$116</f>
        <v>0</v>
      </c>
      <c r="BK6" s="175">
        <f>'假日(16-18)'!$H$59+'假日(16-18)'!$H$78+'假日(16-18)'!$H$97+'假日(16-18)'!$H$116</f>
        <v>0</v>
      </c>
      <c r="BM6" s="175" t="s">
        <v>140</v>
      </c>
      <c r="BN6" s="176" t="str">
        <f t="shared" si="7"/>
        <v>-</v>
      </c>
      <c r="BO6" s="176" t="str">
        <f t="shared" si="7"/>
        <v>-</v>
      </c>
      <c r="BP6" s="175">
        <f>('假日(17-19)'!$B$59+'假日(17-19)'!$B$78+'假日(17-19)'!$B$97+'假日(17-19)'!$B$116)*15</f>
        <v>0</v>
      </c>
      <c r="BQ6" s="175">
        <f>'假日(17-19)'!$F$59+'假日(17-19)'!$F$78+'假日(17-19)'!$F$97+'假日(17-19)'!$F$116</f>
        <v>0</v>
      </c>
      <c r="BR6" s="175">
        <f>'假日(17-19)'!$H$59+'假日(17-19)'!$H$78+'假日(17-19)'!$H$97+'假日(17-19)'!$H$116</f>
        <v>0</v>
      </c>
      <c r="BT6" s="175" t="s">
        <v>148</v>
      </c>
      <c r="BU6" s="176" t="str">
        <f>IF(ISERROR($BW6/BX6),"-",$BW6/BX6)</f>
        <v>-</v>
      </c>
      <c r="BV6" s="176" t="str">
        <f>IF(ISERROR($BW6/BY6),"-",$BW6/BY6)</f>
        <v>-</v>
      </c>
      <c r="BW6" s="175">
        <f>('假日(16-20)'!$B$59+'假日(16-20)'!$B$78+'假日(16-20)'!$B$97+'假日(16-20)'!$B$116)*15</f>
        <v>0</v>
      </c>
      <c r="BX6" s="175">
        <f>'假日(16-20)'!$F$59+'假日(16-20)'!$F$78+'假日(16-20)'!$F$97+'假日(16-20)'!$F$116</f>
        <v>0</v>
      </c>
      <c r="BY6" s="175">
        <f>'假日(16-20)'!$H$59+'假日(16-20)'!$H$78+'假日(16-20)'!$H$97+'假日(16-20)'!$H$116</f>
        <v>0</v>
      </c>
    </row>
    <row r="7" spans="2:77">
      <c r="B7" s="175" t="s">
        <v>196</v>
      </c>
      <c r="C7" s="176" t="str">
        <f t="shared" si="8"/>
        <v>-</v>
      </c>
      <c r="D7" s="176" t="str">
        <f t="shared" si="8"/>
        <v>-</v>
      </c>
      <c r="E7" s="175">
        <f>('平日晨峰(0630-0830)'!$B$78+'平日晨峰(0630-0830)'!$B$97+'平日晨峰(0630-0830)'!$B$116+'平日晨峰(0630-0830)'!$B$135)*15</f>
        <v>0</v>
      </c>
      <c r="F7" s="175">
        <f>'平日晨峰(0630-0830)'!$F$78+'平日晨峰(0630-0830)'!$F$97+'平日晨峰(0630-0830)'!$F$116+'平日晨峰(0630-0830)'!$F$135</f>
        <v>0</v>
      </c>
      <c r="G7" s="175">
        <f>'平日晨峰(0630-0830)'!$H$78+'平日晨峰(0630-0830)'!$H$97+'平日晨峰(0630-0830)'!$H$116+'平日晨峰(0630-0830)'!$H$135</f>
        <v>0</v>
      </c>
      <c r="I7" s="175" t="s">
        <v>149</v>
      </c>
      <c r="J7" s="176" t="str">
        <f t="shared" si="0"/>
        <v>-</v>
      </c>
      <c r="K7" s="176" t="str">
        <f t="shared" si="0"/>
        <v>-</v>
      </c>
      <c r="L7" s="175">
        <f>('平日晨峰(07-09)'!$B$78+'平日晨峰(07-09)'!$B$97+'平日晨峰(07-09)'!$B$116+'平日晨峰(07-09)'!$B$135)*15</f>
        <v>0</v>
      </c>
      <c r="M7" s="175">
        <f>'平日晨峰(07-09)'!$F$78+'平日晨峰(07-09)'!$F$97+'平日晨峰(07-09)'!$F$116+'平日晨峰(07-09)'!$F$135</f>
        <v>0</v>
      </c>
      <c r="N7" s="175">
        <f>'平日晨峰(07-09)'!$H$78+'平日晨峰(07-09)'!$H$97+'平日晨峰(07-09)'!$H$116+'平日晨峰(07-09)'!$H$135</f>
        <v>0</v>
      </c>
      <c r="P7" s="175" t="s">
        <v>150</v>
      </c>
      <c r="Q7" s="176" t="str">
        <f>IF(ISERROR($S7/T7),"-",$S7/T7)</f>
        <v>-</v>
      </c>
      <c r="R7" s="176" t="str">
        <f>IF(ISERROR($T7/U7),"-",$T7/U7)</f>
        <v>-</v>
      </c>
      <c r="S7" s="175">
        <f>('平日中午(11-13)'!$B$78+'平日中午(11-13)'!$B$97+'平日中午(11-13)'!$B$116+'平日中午(11-13)'!$B$135)*15</f>
        <v>0</v>
      </c>
      <c r="T7" s="175">
        <f>'平日中午(11-13)'!$F$78+'平日中午(11-13)'!$F$97+'平日中午(11-13)'!$F$116+'平日中午(11-13)'!$F$135</f>
        <v>0</v>
      </c>
      <c r="U7" s="175">
        <f>'平日中午(11-13)'!$H$78+'平日中午(11-13)'!$H$97+'平日中午(11-13)'!$H$116+'平日中午(11-13)'!$H$135</f>
        <v>0</v>
      </c>
      <c r="W7" s="175" t="s">
        <v>174</v>
      </c>
      <c r="X7" s="176" t="str">
        <f t="shared" si="1"/>
        <v>-</v>
      </c>
      <c r="Y7" s="176" t="str">
        <f t="shared" si="1"/>
        <v>-</v>
      </c>
      <c r="Z7" s="175">
        <f>('平日中午(12-14)'!$B$78+'平日中午(12-14)'!$B$97+'平日中午(12-14)'!$B$116+'平日中午(12-14)'!$B$135)*15</f>
        <v>0</v>
      </c>
      <c r="AA7" s="175">
        <f>'平日中午(12-14)'!$F$78+'平日中午(12-14)'!$F$97+'平日中午(12-14)'!$F$116+'平日中午(12-14)'!$F$135</f>
        <v>0</v>
      </c>
      <c r="AB7" s="175">
        <f>'平日中午(12-14)'!$H$78+'平日中午(12-14)'!$H$97+'平日中午(12-14)'!$H$116+'平日中午(12-14)'!$H$135</f>
        <v>0</v>
      </c>
      <c r="AD7" s="175" t="s">
        <v>151</v>
      </c>
      <c r="AE7" s="176" t="str">
        <f t="shared" si="2"/>
        <v>-</v>
      </c>
      <c r="AF7" s="176" t="str">
        <f t="shared" si="2"/>
        <v>-</v>
      </c>
      <c r="AG7" s="175">
        <f>('平日昏峰(17-19)'!$B$78+'平日昏峰(17-19)'!$B$97+'平日昏峰(17-19)'!$B$116+'平日昏峰(17-19)'!$B$135)*15</f>
        <v>0</v>
      </c>
      <c r="AH7" s="175">
        <f>'平日昏峰(17-19)'!$F$78+'平日昏峰(17-19)'!$F$97+'平日昏峰(17-19)'!$F$116+'平日昏峰(17-19)'!$F$135</f>
        <v>0</v>
      </c>
      <c r="AI7" s="175">
        <f>'平日昏峰(17-19)'!$H$78+'平日昏峰(17-19)'!$H$97+'平日昏峰(17-19)'!$H$116+'平日昏峰(17-19)'!$H$135</f>
        <v>0</v>
      </c>
      <c r="AK7" s="175"/>
      <c r="AL7" s="176" t="str">
        <f t="shared" si="3"/>
        <v>-</v>
      </c>
      <c r="AM7" s="176" t="str">
        <f t="shared" si="3"/>
        <v>-</v>
      </c>
      <c r="AN7" s="175"/>
      <c r="AO7" s="175"/>
      <c r="AP7" s="175"/>
      <c r="AR7" s="175"/>
      <c r="AS7" s="176" t="str">
        <f t="shared" si="4"/>
        <v>-</v>
      </c>
      <c r="AT7" s="176" t="str">
        <f t="shared" si="4"/>
        <v>-</v>
      </c>
      <c r="AU7" s="175"/>
      <c r="AV7" s="175"/>
      <c r="AW7" s="175"/>
      <c r="AY7" s="175"/>
      <c r="AZ7" s="176" t="str">
        <f t="shared" si="5"/>
        <v>-</v>
      </c>
      <c r="BA7" s="176" t="str">
        <f t="shared" si="5"/>
        <v>-</v>
      </c>
      <c r="BB7" s="175"/>
      <c r="BC7" s="175"/>
      <c r="BD7" s="175"/>
      <c r="BF7" s="175" t="s">
        <v>152</v>
      </c>
      <c r="BG7" s="176" t="str">
        <f t="shared" si="6"/>
        <v>-</v>
      </c>
      <c r="BH7" s="176" t="str">
        <f t="shared" si="6"/>
        <v>-</v>
      </c>
      <c r="BI7" s="175">
        <f>('假日(16-18)'!$B$78+'假日(16-18)'!$B$97+'假日(16-18)'!$B$116+'假日(16-18)'!$B$135)*15</f>
        <v>0</v>
      </c>
      <c r="BJ7" s="175">
        <f>'假日(16-18)'!$F$78+'假日(16-18)'!$F$97+'假日(16-18)'!$F$116+'假日(16-18)'!$F$135</f>
        <v>0</v>
      </c>
      <c r="BK7" s="175">
        <f>'假日(16-18)'!$H$78+'假日(16-18)'!$H$97+'假日(16-18)'!$H$116+'假日(16-18)'!$H$135</f>
        <v>0</v>
      </c>
      <c r="BM7" s="175" t="s">
        <v>151</v>
      </c>
      <c r="BN7" s="176" t="str">
        <f t="shared" si="7"/>
        <v>-</v>
      </c>
      <c r="BO7" s="176" t="str">
        <f t="shared" si="7"/>
        <v>-</v>
      </c>
      <c r="BP7" s="175">
        <f>('假日(17-19)'!$B$78+'假日(17-19)'!$B$97+'假日(17-19)'!$B$116+'假日(17-19)'!$B$135)*15</f>
        <v>0</v>
      </c>
      <c r="BQ7" s="175">
        <f>'假日(17-19)'!$F$78+'假日(17-19)'!$F$97+'假日(17-19)'!$F$116+'假日(17-19)'!$F$135</f>
        <v>0</v>
      </c>
      <c r="BR7" s="175">
        <f>'假日(17-19)'!$H$78+'假日(17-19)'!$H$97+'假日(17-19)'!$H$116+'假日(17-19)'!$H$135</f>
        <v>0</v>
      </c>
      <c r="BT7" s="175" t="s">
        <v>152</v>
      </c>
      <c r="BU7" s="176" t="str">
        <f>IF(ISERROR($BW7/BX7),"-",$BW7/BX7)</f>
        <v>-</v>
      </c>
      <c r="BV7" s="176" t="str">
        <f>IF(ISERROR($BW7/BY7),"-",$BW7/BY7)</f>
        <v>-</v>
      </c>
      <c r="BW7" s="175">
        <f>('假日(16-20)'!$B$78+'假日(16-20)'!$B$97+'假日(16-20)'!$B$116+'假日(16-20)'!$B$135)*15</f>
        <v>0</v>
      </c>
      <c r="BX7" s="175">
        <f>'假日(16-20)'!$F$78+'假日(16-20)'!$F$97+'假日(16-20)'!$F$116+'假日(16-20)'!$F$135</f>
        <v>0</v>
      </c>
      <c r="BY7" s="175">
        <f>'假日(16-20)'!$H$78+'假日(16-20)'!$H$97+'假日(16-20)'!$H$116+'假日(16-20)'!$H$135</f>
        <v>0</v>
      </c>
    </row>
    <row r="8" spans="2:77">
      <c r="B8" s="175" t="s">
        <v>197</v>
      </c>
      <c r="C8" s="176" t="str">
        <f t="shared" si="8"/>
        <v>-</v>
      </c>
      <c r="D8" s="176" t="str">
        <f>IF(ISERROR($E8/G8),"-",$E8/G8)</f>
        <v>-</v>
      </c>
      <c r="E8" s="175">
        <f>('平日晨峰(0630-0830)'!$B$97+'平日晨峰(0630-0830)'!$B$116+'平日晨峰(0630-0830)'!$B$135+'平日晨峰(0630-0830)'!$B$154)*15</f>
        <v>0</v>
      </c>
      <c r="F8" s="175">
        <f>'平日晨峰(0630-0830)'!$F$97+'平日晨峰(0630-0830)'!$F$116+'平日晨峰(0630-0830)'!$F$135+'平日晨峰(0630-0830)'!$F$154</f>
        <v>0</v>
      </c>
      <c r="G8" s="175">
        <f>'平日晨峰(0630-0830)'!$H$97+'平日晨峰(0630-0830)'!$H$116+'平日晨峰(0630-0830)'!$H$135+'平日晨峰(0630-0830)'!$H$154</f>
        <v>0</v>
      </c>
      <c r="I8" s="175" t="s">
        <v>153</v>
      </c>
      <c r="J8" s="176" t="str">
        <f t="shared" si="0"/>
        <v>-</v>
      </c>
      <c r="K8" s="176" t="str">
        <f t="shared" si="0"/>
        <v>-</v>
      </c>
      <c r="L8" s="175">
        <f>('平日晨峰(07-09)'!$B$97+'平日晨峰(07-09)'!$B$116+'平日晨峰(07-09)'!$B$135+'平日晨峰(07-09)'!$B$154)*15</f>
        <v>0</v>
      </c>
      <c r="M8" s="175">
        <f>'平日晨峰(07-09)'!$F$97+'平日晨峰(07-09)'!$F$116+'平日晨峰(07-09)'!$F$135+'平日晨峰(07-09)'!$F$154</f>
        <v>0</v>
      </c>
      <c r="N8" s="175">
        <f>'平日晨峰(07-09)'!$H$97+'平日晨峰(07-09)'!$H$116+'平日晨峰(07-09)'!$H$135+'平日晨峰(07-09)'!$H$154</f>
        <v>0</v>
      </c>
      <c r="P8" s="175" t="s">
        <v>154</v>
      </c>
      <c r="Q8" s="176" t="str">
        <f>IF(ISERROR($S8/T8),"-",$S8/T8)</f>
        <v>-</v>
      </c>
      <c r="R8" s="176" t="str">
        <f>IF(ISERROR($T8/U8),"-",$T8/U8)</f>
        <v>-</v>
      </c>
      <c r="S8" s="175">
        <f>('平日中午(11-13)'!$B$97+'平日中午(11-13)'!$B$116+'平日中午(11-13)'!$B$135+'平日中午(11-13)'!$B$154)*15</f>
        <v>0</v>
      </c>
      <c r="T8" s="175">
        <f>'平日中午(11-13)'!$F$97+'平日中午(11-13)'!$F$116+'平日中午(11-13)'!$F$135+'平日中午(11-13)'!$F$154</f>
        <v>0</v>
      </c>
      <c r="U8" s="175">
        <f>'平日中午(11-13)'!$H$97+'平日中午(11-13)'!$H$116+'平日中午(11-13)'!$H$135+'平日中午(11-13)'!$H$154</f>
        <v>0</v>
      </c>
      <c r="W8" s="175" t="s">
        <v>175</v>
      </c>
      <c r="X8" s="176" t="str">
        <f t="shared" si="1"/>
        <v>-</v>
      </c>
      <c r="Y8" s="176" t="str">
        <f t="shared" si="1"/>
        <v>-</v>
      </c>
      <c r="Z8" s="175">
        <f>('平日中午(12-14)'!$B$97+'平日中午(12-14)'!$B$116+'平日中午(12-14)'!$B$135+'平日中午(12-14)'!$B$154)*15</f>
        <v>0</v>
      </c>
      <c r="AA8" s="175">
        <f>'平日中午(12-14)'!$F$97+'平日中午(12-14)'!$F$116+'平日中午(12-14)'!$F$135+'平日中午(12-14)'!$F$154</f>
        <v>0</v>
      </c>
      <c r="AB8" s="175">
        <f>'平日中午(12-14)'!$H$97+'平日中午(12-14)'!$H$116+'平日中午(12-14)'!$H$135+'平日中午(12-14)'!$H$154</f>
        <v>0</v>
      </c>
      <c r="AD8" s="175" t="s">
        <v>155</v>
      </c>
      <c r="AE8" s="176" t="str">
        <f t="shared" si="2"/>
        <v>-</v>
      </c>
      <c r="AF8" s="176" t="str">
        <f t="shared" si="2"/>
        <v>-</v>
      </c>
      <c r="AG8" s="175">
        <f>('平日昏峰(17-19)'!$B$97+'平日昏峰(17-19)'!$B$116+'平日昏峰(17-19)'!$B$135+'平日昏峰(17-19)'!$B$154)*15</f>
        <v>0</v>
      </c>
      <c r="AH8" s="175">
        <f>'平日昏峰(17-19)'!$F$97+'平日昏峰(17-19)'!$F$116+'平日昏峰(17-19)'!$F$135+'平日昏峰(17-19)'!$F$154</f>
        <v>0</v>
      </c>
      <c r="AI8" s="175">
        <f>'平日昏峰(17-19)'!$H$97+'平日昏峰(17-19)'!$H$116+'平日昏峰(17-19)'!$H$135+'平日昏峰(17-19)'!$H$154</f>
        <v>0</v>
      </c>
      <c r="AK8" s="175"/>
      <c r="AL8" s="176" t="str">
        <f t="shared" si="3"/>
        <v>-</v>
      </c>
      <c r="AM8" s="176" t="str">
        <f t="shared" si="3"/>
        <v>-</v>
      </c>
      <c r="AN8" s="175"/>
      <c r="AO8" s="175"/>
      <c r="AP8" s="175"/>
      <c r="AR8" s="175"/>
      <c r="AS8" s="176" t="str">
        <f t="shared" si="4"/>
        <v>-</v>
      </c>
      <c r="AT8" s="176" t="str">
        <f t="shared" si="4"/>
        <v>-</v>
      </c>
      <c r="AU8" s="175"/>
      <c r="AV8" s="175"/>
      <c r="AW8" s="175"/>
      <c r="AY8" s="175"/>
      <c r="AZ8" s="176" t="str">
        <f t="shared" si="5"/>
        <v>-</v>
      </c>
      <c r="BA8" s="176" t="str">
        <f t="shared" si="5"/>
        <v>-</v>
      </c>
      <c r="BB8" s="175"/>
      <c r="BC8" s="175"/>
      <c r="BD8" s="175"/>
      <c r="BF8" s="175" t="s">
        <v>138</v>
      </c>
      <c r="BG8" s="176" t="str">
        <f t="shared" si="6"/>
        <v>-</v>
      </c>
      <c r="BH8" s="176" t="str">
        <f t="shared" si="6"/>
        <v>-</v>
      </c>
      <c r="BI8" s="175">
        <f>('假日(16-18)'!$B$97+'假日(16-18)'!$B$116+'假日(16-18)'!$B$135+'假日(16-18)'!$B$154)*15</f>
        <v>0</v>
      </c>
      <c r="BJ8" s="175">
        <f>'假日(16-18)'!$F$97+'假日(16-18)'!$F$116+'假日(16-18)'!$F$135+'假日(16-18)'!$F$154</f>
        <v>0</v>
      </c>
      <c r="BK8" s="175">
        <f>'假日(16-18)'!$H$97+'假日(16-18)'!$H$116+'假日(16-18)'!$H$135+'假日(16-18)'!$H$154</f>
        <v>0</v>
      </c>
      <c r="BM8" s="175" t="s">
        <v>155</v>
      </c>
      <c r="BN8" s="176" t="str">
        <f t="shared" si="7"/>
        <v>-</v>
      </c>
      <c r="BO8" s="176" t="str">
        <f t="shared" si="7"/>
        <v>-</v>
      </c>
      <c r="BP8" s="175">
        <f>('假日(17-19)'!$B$97+'假日(17-19)'!$B$116+'假日(17-19)'!$B$135+'假日(17-19)'!$B$154)*15</f>
        <v>0</v>
      </c>
      <c r="BQ8" s="175">
        <f>'假日(17-19)'!$F$97+'假日(17-19)'!$F$116+'假日(17-19)'!$F$135+'假日(17-19)'!$F$154</f>
        <v>0</v>
      </c>
      <c r="BR8" s="175">
        <f>'假日(17-19)'!$H$97+'假日(17-19)'!$H$116+'假日(17-19)'!$H$135+'假日(17-19)'!$H$154</f>
        <v>0</v>
      </c>
      <c r="BT8" s="175" t="s">
        <v>138</v>
      </c>
      <c r="BU8" s="176" t="str">
        <f>IF(ISERROR($BW8/BX8),"-",$BW8/BX8)</f>
        <v>-</v>
      </c>
      <c r="BV8" s="176" t="str">
        <f>IF(ISERROR($BW8/BY8),"-",$BW8/BY8)</f>
        <v>-</v>
      </c>
      <c r="BW8" s="175">
        <f>('假日(16-20)'!$B$97+'假日(16-20)'!$B$116+'假日(16-20)'!$B$135+'假日(16-20)'!$B$154)*15</f>
        <v>0</v>
      </c>
      <c r="BX8" s="175">
        <f>'假日(16-20)'!$F$97+'假日(16-20)'!$F$116+'假日(16-20)'!$F$135+'假日(16-20)'!$F$154</f>
        <v>0</v>
      </c>
      <c r="BY8" s="175">
        <f>'假日(16-20)'!$H$97+'假日(16-20)'!$H$116+'假日(16-20)'!$H$135+'假日(16-20)'!$H$154</f>
        <v>0</v>
      </c>
    </row>
    <row r="9" spans="2:77">
      <c r="B9" s="172" t="str">
        <f>CONCATENATE(基本資料!$B$18,"方向","平均延滯")</f>
        <v>A方向平均延滯</v>
      </c>
      <c r="C9" s="177" t="str">
        <f>IF(ISERROR(VLOOKUP($F$63,B4:C8,2,1)),"-",VLOOKUP($F$63,B4:C8,2,1))</f>
        <v>-</v>
      </c>
      <c r="D9" s="177"/>
      <c r="E9" s="172"/>
      <c r="F9" s="172"/>
      <c r="G9" s="172"/>
      <c r="I9" s="172" t="str">
        <f>CONCATENATE(基本資料!$B$18,"方向","平均延滯")</f>
        <v>A方向平均延滯</v>
      </c>
      <c r="J9" s="177" t="str">
        <f>IF(ISERROR(VLOOKUP($M$63,I4:J8,2,1)),"-",VLOOKUP($M$63,I4:J8,2,1))</f>
        <v>-</v>
      </c>
      <c r="K9" s="177"/>
      <c r="L9" s="172"/>
      <c r="M9" s="172"/>
      <c r="N9" s="172"/>
      <c r="P9" s="172" t="str">
        <f>CONCATENATE(基本資料!$B$18,"方向","平均延滯")</f>
        <v>A方向平均延滯</v>
      </c>
      <c r="Q9" s="177" t="str">
        <f>IF(ISERROR(VLOOKUP($T$63,P4:Q8,2,1)),"-",VLOOKUP($T$63,P4:Q8,2,1))</f>
        <v>-</v>
      </c>
      <c r="R9" s="177"/>
      <c r="S9" s="172"/>
      <c r="T9" s="172"/>
      <c r="U9" s="172"/>
      <c r="W9" s="172" t="str">
        <f>CONCATENATE(基本資料!$B$18,"方向","平均延滯")</f>
        <v>A方向平均延滯</v>
      </c>
      <c r="X9" s="177" t="str">
        <f>IF(ISERROR(VLOOKUP($AA$63,W4:X8,2,1)),"-",VLOOKUP($AA$63,W4:X8,2,1))</f>
        <v>-</v>
      </c>
      <c r="Y9" s="177"/>
      <c r="Z9" s="172"/>
      <c r="AA9" s="172"/>
      <c r="AB9" s="172"/>
      <c r="AD9" s="172" t="str">
        <f>CONCATENATE(基本資料!$B$18,"方向","平均延滯")</f>
        <v>A方向平均延滯</v>
      </c>
      <c r="AE9" s="177" t="str">
        <f>IF(ISERROR(VLOOKUP($AH$63,AD4:AE8,2,1)),"-",VLOOKUP($AH$63,AD4:AE8,2,1))</f>
        <v>-</v>
      </c>
      <c r="AF9" s="177"/>
      <c r="AG9" s="172"/>
      <c r="AH9" s="172"/>
      <c r="AI9" s="172"/>
      <c r="AK9" s="172" t="str">
        <f>CONCATENATE(基本資料!$B$18,"方向","平均延滯")</f>
        <v>A方向平均延滯</v>
      </c>
      <c r="AL9" s="177" t="str">
        <f>IF(ISERROR(VLOOKUP($AO$63,AK4:AL8,2,1)),"-",VLOOKUP($AO$63,AK4:AL8,2,1))</f>
        <v>-</v>
      </c>
      <c r="AM9" s="177"/>
      <c r="AN9" s="172"/>
      <c r="AO9" s="172"/>
      <c r="AP9" s="172"/>
      <c r="AR9" s="172" t="str">
        <f>CONCATENATE(基本資料!$B$18,"方向","平均延滯")</f>
        <v>A方向平均延滯</v>
      </c>
      <c r="AS9" s="177" t="str">
        <f>IF(ISERROR(VLOOKUP($AV$63,AR4:AS8,2,1)),"-",VLOOKUP($AV$63,AR4:AS8,2,1))</f>
        <v>-</v>
      </c>
      <c r="AT9" s="177"/>
      <c r="AU9" s="172"/>
      <c r="AV9" s="172"/>
      <c r="AW9" s="172"/>
      <c r="AY9" s="172" t="str">
        <f>CONCATENATE(基本資料!$B$18,"方向","平均延滯")</f>
        <v>A方向平均延滯</v>
      </c>
      <c r="AZ9" s="177" t="str">
        <f>IF(ISERROR(VLOOKUP($BC$63,AY4:AZ8,2,1)),"-",VLOOKUP($BC$63,AY4:AZ8,2,1))</f>
        <v>-</v>
      </c>
      <c r="BA9" s="177"/>
      <c r="BB9" s="172"/>
      <c r="BC9" s="172"/>
      <c r="BD9" s="172"/>
      <c r="BF9" s="172" t="str">
        <f>CONCATENATE(基本資料!$B$18,"方向","平均延滯")</f>
        <v>A方向平均延滯</v>
      </c>
      <c r="BG9" s="177" t="str">
        <f>IF(ISERROR(VLOOKUP($BJ$63,BF4:BG8,2,1)),"-",VLOOKUP($BJ$63,BF4:BG8,2,1))</f>
        <v>-</v>
      </c>
      <c r="BH9" s="177"/>
      <c r="BI9" s="172"/>
      <c r="BJ9" s="172"/>
      <c r="BK9" s="172"/>
      <c r="BM9" s="172" t="str">
        <f>CONCATENATE(基本資料!$B$18,"方向","平均延滯")</f>
        <v>A方向平均延滯</v>
      </c>
      <c r="BN9" s="177" t="str">
        <f>IF(ISERROR(VLOOKUP($BQ$63,BM4:BN8,2,1)),"-",VLOOKUP($BQ$63,BM4:BN8,2,1))</f>
        <v>-</v>
      </c>
      <c r="BO9" s="177"/>
      <c r="BP9" s="172"/>
      <c r="BQ9" s="172"/>
      <c r="BR9" s="172"/>
      <c r="BT9" s="175" t="s">
        <v>144</v>
      </c>
      <c r="BU9" s="176" t="str">
        <f>IF(ISERROR($BW9/BX9),"-",$BW9/BX9)</f>
        <v>-</v>
      </c>
      <c r="BV9" s="176" t="str">
        <f>IF(ISERROR($BW9/BY9),"-",$BW9/BY9)</f>
        <v>-</v>
      </c>
      <c r="BW9" s="175">
        <f>('假日(16-20)'!$B$116+'假日(16-20)'!$B$135+'假日(16-20)'!$B$154+'假日(16-20)'!$B$173)*15</f>
        <v>0</v>
      </c>
      <c r="BX9" s="175">
        <f>'假日(16-20)'!$F$116+'假日(16-20)'!$F$135+'假日(16-20)'!$F$154+'假日(16-20)'!$F$173</f>
        <v>0</v>
      </c>
      <c r="BY9" s="175">
        <f>'假日(16-20)'!$H$116+'假日(16-20)'!$H$135+'假日(16-20)'!$H$154+'假日(16-20)'!$H$173</f>
        <v>0</v>
      </c>
    </row>
    <row r="10" spans="2:77">
      <c r="B10" s="172" t="str">
        <f>CONCATENATE(基本資料!$B$18,"方向","平均停等車輛延滯")</f>
        <v>A方向平均停等車輛延滯</v>
      </c>
      <c r="C10" s="177"/>
      <c r="D10" s="177" t="str">
        <f>IF(ISERROR(VLOOKUP($F$64,B4:D8,3,1)),"-",VLOOKUP($F$64,B4:D8,3,1))</f>
        <v>-</v>
      </c>
      <c r="E10" s="172"/>
      <c r="F10" s="172"/>
      <c r="G10" s="172"/>
      <c r="I10" s="172" t="str">
        <f>CONCATENATE(基本資料!$B$18,"方向","平均停等車輛延滯")</f>
        <v>A方向平均停等車輛延滯</v>
      </c>
      <c r="J10" s="177"/>
      <c r="K10" s="177" t="str">
        <f>IF(ISERROR(VLOOKUP($M$64,I4:K8,3,1)),"-",VLOOKUP($M$64,I4:K8,3,1))</f>
        <v>-</v>
      </c>
      <c r="L10" s="172"/>
      <c r="M10" s="172"/>
      <c r="N10" s="172"/>
      <c r="P10" s="172" t="str">
        <f>CONCATENATE(基本資料!$B$18,"方向","平均停等車輛延滯")</f>
        <v>A方向平均停等車輛延滯</v>
      </c>
      <c r="Q10" s="177"/>
      <c r="R10" s="177" t="str">
        <f>IF(ISERROR(VLOOKUP($T$64,P4:R8,3,1)),"-",VLOOKUP($T$64,P4:R8,3,1))</f>
        <v>-</v>
      </c>
      <c r="S10" s="172"/>
      <c r="T10" s="172"/>
      <c r="U10" s="172"/>
      <c r="W10" s="172" t="str">
        <f>CONCATENATE(基本資料!$B$18,"方向","平均停等車輛延滯")</f>
        <v>A方向平均停等車輛延滯</v>
      </c>
      <c r="X10" s="177"/>
      <c r="Y10" s="177" t="str">
        <f>IF(ISERROR(VLOOKUP($AA$64,W4:Y8,3,1)),"-",VLOOKUP($AA$64,W4:Y8,3,1))</f>
        <v>-</v>
      </c>
      <c r="Z10" s="172"/>
      <c r="AA10" s="172"/>
      <c r="AB10" s="172"/>
      <c r="AD10" s="172" t="str">
        <f>CONCATENATE(基本資料!$B$18,"方向","平均停等車輛延滯")</f>
        <v>A方向平均停等車輛延滯</v>
      </c>
      <c r="AE10" s="177"/>
      <c r="AF10" s="177" t="str">
        <f>IF(ISERROR(VLOOKUP($AH$64,AD4:AF8,3,1)),"-",VLOOKUP($AH$64,AD4:AF8,3,1))</f>
        <v>-</v>
      </c>
      <c r="AG10" s="172"/>
      <c r="AH10" s="172"/>
      <c r="AI10" s="172"/>
      <c r="AK10" s="172" t="str">
        <f>CONCATENATE(基本資料!$B$18,"方向","平均停等車輛延滯")</f>
        <v>A方向平均停等車輛延滯</v>
      </c>
      <c r="AL10" s="177"/>
      <c r="AM10" s="177" t="str">
        <f>IF(ISERROR(VLOOKUP($AO$64,AK4:AM8,3,1)),"-",VLOOKUP($AO$64,AK4:AM8,3,1))</f>
        <v>-</v>
      </c>
      <c r="AN10" s="172"/>
      <c r="AO10" s="172"/>
      <c r="AP10" s="172"/>
      <c r="AR10" s="172" t="str">
        <f>CONCATENATE(基本資料!$B$18,"方向","平均停等車輛延滯")</f>
        <v>A方向平均停等車輛延滯</v>
      </c>
      <c r="AS10" s="177"/>
      <c r="AT10" s="177" t="str">
        <f>IF(ISERROR(VLOOKUP($AV$64,AR4:AT8,3,1)),"-",VLOOKUP($AV$64,AR4:AT8,3,1))</f>
        <v>-</v>
      </c>
      <c r="AU10" s="172"/>
      <c r="AV10" s="172"/>
      <c r="AW10" s="172"/>
      <c r="AY10" s="172" t="str">
        <f>CONCATENATE(基本資料!$B$18,"方向","平均停等車輛延滯")</f>
        <v>A方向平均停等車輛延滯</v>
      </c>
      <c r="AZ10" s="177"/>
      <c r="BA10" s="177" t="str">
        <f>IF(ISERROR(VLOOKUP($BC$64,AY4:BA8,3,1)),"-",VLOOKUP($BC$64,AY4:BA8,3,1))</f>
        <v>-</v>
      </c>
      <c r="BB10" s="172"/>
      <c r="BC10" s="172"/>
      <c r="BD10" s="172"/>
      <c r="BF10" s="172" t="str">
        <f>CONCATENATE(基本資料!$B$18,"方向","平均停等車輛延滯")</f>
        <v>A方向平均停等車輛延滯</v>
      </c>
      <c r="BG10" s="177"/>
      <c r="BH10" s="177" t="str">
        <f>IF(ISERROR(VLOOKUP($BJ$64,BF4:BH8,3,1)),"-",VLOOKUP($BJ$64,BF4:BH8,3,1))</f>
        <v>-</v>
      </c>
      <c r="BI10" s="172"/>
      <c r="BJ10" s="172"/>
      <c r="BK10" s="172"/>
      <c r="BM10" s="172" t="str">
        <f>CONCATENATE(基本資料!$B$18,"方向","平均停等車輛延滯")</f>
        <v>A方向平均停等車輛延滯</v>
      </c>
      <c r="BN10" s="177"/>
      <c r="BO10" s="177" t="str">
        <f>IF(ISERROR(VLOOKUP($BQ$64,BM4:BO8,3,1)),"-",VLOOKUP($BQ$64,BM4:BO8,3,1))</f>
        <v>-</v>
      </c>
      <c r="BP10" s="172"/>
      <c r="BQ10" s="172"/>
      <c r="BR10" s="172"/>
      <c r="BT10" s="175" t="s">
        <v>140</v>
      </c>
      <c r="BU10" s="176" t="str">
        <f>IF(ISERROR($BW10/BX10),"-",$BW10/BX10)</f>
        <v>-</v>
      </c>
      <c r="BV10" s="176" t="str">
        <f>IF(ISERROR($BW10/BY10),"-",$BW10/BY10)</f>
        <v>-</v>
      </c>
      <c r="BW10" s="175">
        <f>('假日(16-20)'!$B$135+'假日(16-20)'!$B$154+'假日(16-20)'!$B$173+'假日(16-20)'!$B$192)*15</f>
        <v>0</v>
      </c>
      <c r="BX10" s="175">
        <f>'假日(16-20)'!$F$135+'假日(16-20)'!$F$154+'假日(16-20)'!$F$173+'假日(16-20)'!$F$192</f>
        <v>0</v>
      </c>
      <c r="BY10" s="175">
        <f>'假日(16-20)'!$H$135+'假日(16-20)'!$H$154+'假日(16-20)'!$H$173+'假日(16-20)'!$H$192</f>
        <v>0</v>
      </c>
    </row>
    <row r="11" spans="2:77">
      <c r="B11" s="261" t="str">
        <f>'平日晨峰(07-09)'!$J$2</f>
        <v>B方向：</v>
      </c>
      <c r="C11" s="261"/>
      <c r="D11" s="261"/>
      <c r="E11" s="261"/>
      <c r="F11" s="261"/>
      <c r="G11" s="261"/>
      <c r="I11" s="261" t="str">
        <f>'平日晨峰(07-09)'!$J$2</f>
        <v>B方向：</v>
      </c>
      <c r="J11" s="261"/>
      <c r="K11" s="261"/>
      <c r="L11" s="261"/>
      <c r="M11" s="261"/>
      <c r="N11" s="261"/>
      <c r="P11" s="261" t="str">
        <f>'平日中午(11-13)'!$J$2</f>
        <v>B方向：</v>
      </c>
      <c r="Q11" s="261"/>
      <c r="R11" s="261"/>
      <c r="S11" s="261"/>
      <c r="T11" s="261"/>
      <c r="U11" s="261"/>
      <c r="W11" s="261" t="str">
        <f>'平日中午(11-13)'!$J$2</f>
        <v>B方向：</v>
      </c>
      <c r="X11" s="261"/>
      <c r="Y11" s="261"/>
      <c r="Z11" s="261"/>
      <c r="AA11" s="261"/>
      <c r="AB11" s="261"/>
      <c r="AD11" s="261" t="str">
        <f>'平日昏峰(17-19)'!$J$2</f>
        <v>B方向：</v>
      </c>
      <c r="AE11" s="261"/>
      <c r="AF11" s="261"/>
      <c r="AG11" s="261"/>
      <c r="AH11" s="261"/>
      <c r="AI11" s="261"/>
      <c r="AK11" s="261" t="str">
        <f>'假日(11-12)'!$J$2</f>
        <v>B方向：</v>
      </c>
      <c r="AL11" s="261"/>
      <c r="AM11" s="261"/>
      <c r="AN11" s="261"/>
      <c r="AO11" s="261"/>
      <c r="AP11" s="261"/>
      <c r="AR11" s="261" t="str">
        <f>'假日(1430-1530)'!$J$2</f>
        <v>B方向：</v>
      </c>
      <c r="AS11" s="261"/>
      <c r="AT11" s="261"/>
      <c r="AU11" s="261"/>
      <c r="AV11" s="261"/>
      <c r="AW11" s="261"/>
      <c r="AY11" s="261" t="str">
        <f>'假日(1730-1830)'!$J$2</f>
        <v>B方向：</v>
      </c>
      <c r="AZ11" s="261"/>
      <c r="BA11" s="261"/>
      <c r="BB11" s="261"/>
      <c r="BC11" s="261"/>
      <c r="BD11" s="261"/>
      <c r="BF11" s="261" t="str">
        <f>'假日(16-18)'!$J$2</f>
        <v>B方向：</v>
      </c>
      <c r="BG11" s="261"/>
      <c r="BH11" s="261"/>
      <c r="BI11" s="261"/>
      <c r="BJ11" s="261"/>
      <c r="BK11" s="261"/>
      <c r="BM11" s="261" t="str">
        <f>'假日(17-19)'!$J$2</f>
        <v>B方向：</v>
      </c>
      <c r="BN11" s="261"/>
      <c r="BO11" s="261"/>
      <c r="BP11" s="261"/>
      <c r="BQ11" s="261"/>
      <c r="BR11" s="261"/>
      <c r="BT11" s="175" t="s">
        <v>151</v>
      </c>
      <c r="BU11" s="176" t="str">
        <f>IF(ISERROR($BW11/BX11),"-",$BW11/BX11)</f>
        <v>-</v>
      </c>
      <c r="BV11" s="176" t="str">
        <f>IF(ISERROR($BW11/BY11),"-",$BW11/BY11)</f>
        <v>-</v>
      </c>
      <c r="BW11" s="175">
        <f>('假日(16-20)'!$B$154+'假日(16-20)'!$B$173+'假日(16-20)'!$B$192+'假日(16-20)'!$B$211)*15</f>
        <v>0</v>
      </c>
      <c r="BX11" s="175">
        <f>'假日(16-20)'!$F$154+'假日(16-20)'!$F$173+'假日(16-20)'!$F$192+'假日(16-20)'!$F$211</f>
        <v>0</v>
      </c>
      <c r="BY11" s="175">
        <f>'假日(16-20)'!$H$154+'假日(16-20)'!$H$173+'假日(16-20)'!$H$192+'假日(16-20)'!$H$211</f>
        <v>0</v>
      </c>
    </row>
    <row r="12" spans="2:77">
      <c r="B12" s="172" t="s">
        <v>129</v>
      </c>
      <c r="C12" s="173" t="s">
        <v>135</v>
      </c>
      <c r="D12" s="174" t="s">
        <v>131</v>
      </c>
      <c r="E12" s="173" t="s">
        <v>132</v>
      </c>
      <c r="F12" s="173" t="s">
        <v>133</v>
      </c>
      <c r="G12" s="173" t="s">
        <v>134</v>
      </c>
      <c r="I12" s="172" t="s">
        <v>129</v>
      </c>
      <c r="J12" s="173" t="s">
        <v>135</v>
      </c>
      <c r="K12" s="174" t="s">
        <v>131</v>
      </c>
      <c r="L12" s="173" t="s">
        <v>132</v>
      </c>
      <c r="M12" s="173" t="s">
        <v>133</v>
      </c>
      <c r="N12" s="173" t="s">
        <v>134</v>
      </c>
      <c r="P12" s="172" t="s">
        <v>129</v>
      </c>
      <c r="Q12" s="173" t="s">
        <v>135</v>
      </c>
      <c r="R12" s="174" t="s">
        <v>131</v>
      </c>
      <c r="S12" s="173" t="s">
        <v>132</v>
      </c>
      <c r="T12" s="173" t="s">
        <v>133</v>
      </c>
      <c r="U12" s="173" t="s">
        <v>134</v>
      </c>
      <c r="W12" s="172" t="s">
        <v>129</v>
      </c>
      <c r="X12" s="173" t="s">
        <v>135</v>
      </c>
      <c r="Y12" s="174" t="s">
        <v>131</v>
      </c>
      <c r="Z12" s="173" t="s">
        <v>132</v>
      </c>
      <c r="AA12" s="173" t="s">
        <v>133</v>
      </c>
      <c r="AB12" s="173" t="s">
        <v>134</v>
      </c>
      <c r="AD12" s="172" t="s">
        <v>129</v>
      </c>
      <c r="AE12" s="173" t="s">
        <v>135</v>
      </c>
      <c r="AF12" s="174" t="s">
        <v>131</v>
      </c>
      <c r="AG12" s="173" t="s">
        <v>132</v>
      </c>
      <c r="AH12" s="173" t="s">
        <v>133</v>
      </c>
      <c r="AI12" s="173" t="s">
        <v>134</v>
      </c>
      <c r="AK12" s="172" t="s">
        <v>129</v>
      </c>
      <c r="AL12" s="173" t="s">
        <v>135</v>
      </c>
      <c r="AM12" s="174" t="s">
        <v>131</v>
      </c>
      <c r="AN12" s="173" t="s">
        <v>132</v>
      </c>
      <c r="AO12" s="173" t="s">
        <v>133</v>
      </c>
      <c r="AP12" s="173" t="s">
        <v>134</v>
      </c>
      <c r="AR12" s="172" t="s">
        <v>129</v>
      </c>
      <c r="AS12" s="173" t="s">
        <v>135</v>
      </c>
      <c r="AT12" s="174" t="s">
        <v>131</v>
      </c>
      <c r="AU12" s="173" t="s">
        <v>132</v>
      </c>
      <c r="AV12" s="173" t="s">
        <v>133</v>
      </c>
      <c r="AW12" s="173" t="s">
        <v>134</v>
      </c>
      <c r="AY12" s="172" t="s">
        <v>129</v>
      </c>
      <c r="AZ12" s="173" t="s">
        <v>135</v>
      </c>
      <c r="BA12" s="174" t="s">
        <v>131</v>
      </c>
      <c r="BB12" s="173" t="s">
        <v>132</v>
      </c>
      <c r="BC12" s="173" t="s">
        <v>133</v>
      </c>
      <c r="BD12" s="173" t="s">
        <v>134</v>
      </c>
      <c r="BF12" s="172" t="s">
        <v>129</v>
      </c>
      <c r="BG12" s="173" t="s">
        <v>135</v>
      </c>
      <c r="BH12" s="174" t="s">
        <v>131</v>
      </c>
      <c r="BI12" s="173" t="s">
        <v>132</v>
      </c>
      <c r="BJ12" s="173" t="s">
        <v>133</v>
      </c>
      <c r="BK12" s="173" t="s">
        <v>134</v>
      </c>
      <c r="BM12" s="172" t="s">
        <v>129</v>
      </c>
      <c r="BN12" s="173" t="s">
        <v>135</v>
      </c>
      <c r="BO12" s="174" t="s">
        <v>131</v>
      </c>
      <c r="BP12" s="173" t="s">
        <v>132</v>
      </c>
      <c r="BQ12" s="173" t="s">
        <v>133</v>
      </c>
      <c r="BR12" s="173" t="s">
        <v>134</v>
      </c>
      <c r="BT12" s="175" t="s">
        <v>155</v>
      </c>
      <c r="BU12" s="176" t="str">
        <f>IF(ISERROR($BW12/BX12),"-",$BW12/BX12)</f>
        <v>-</v>
      </c>
      <c r="BV12" s="176" t="str">
        <f>IF(ISERROR($BW12/BY12),"-",$BW12/BY12)</f>
        <v>-</v>
      </c>
      <c r="BW12" s="175">
        <f>('假日(16-20)'!$B$173+'假日(16-20)'!$B$192+'假日(16-20)'!$B$211+'假日(16-20)'!$B$230)*15</f>
        <v>0</v>
      </c>
      <c r="BX12" s="175">
        <f>'假日(16-20)'!$F$173+'假日(16-20)'!$F$192+'假日(16-20)'!$F$211+'假日(16-20)'!$F$230</f>
        <v>0</v>
      </c>
      <c r="BY12" s="175">
        <f>'假日(16-20)'!$H$173+'假日(16-20)'!$H$192+'假日(16-20)'!$H$211+'假日(16-20)'!$H$230</f>
        <v>0</v>
      </c>
    </row>
    <row r="13" spans="2:77">
      <c r="B13" s="175" t="s">
        <v>193</v>
      </c>
      <c r="C13" s="176" t="str">
        <f t="shared" ref="C13:D17" si="9">IF(ISERROR($E13/F13),"-",$E13/F13)</f>
        <v>-</v>
      </c>
      <c r="D13" s="176" t="str">
        <f t="shared" si="9"/>
        <v>-</v>
      </c>
      <c r="E13" s="175">
        <f>('平日晨峰(0630-0830)'!$K$21+'平日晨峰(0630-0830)'!$K$40+'平日晨峰(0630-0830)'!$K$59+'平日晨峰(0630-0830)'!$K$78)*15</f>
        <v>0</v>
      </c>
      <c r="F13" s="175">
        <f>'平日晨峰(0630-0830)'!$O$21+'平日晨峰(0630-0830)'!$O$40+'平日晨峰(0630-0830)'!$O$59+'平日晨峰(0630-0830)'!$O$78</f>
        <v>0</v>
      </c>
      <c r="G13" s="175">
        <f>'平日晨峰(0630-0830)'!$Q$21+'平日晨峰(0630-0830)'!$Q$40+'平日晨峰(0630-0830)'!$Q$59+'平日晨峰(0630-0830)'!$Q$78</f>
        <v>0</v>
      </c>
      <c r="I13" s="175" t="str">
        <f>$I$4</f>
        <v>07:00~08:00</v>
      </c>
      <c r="J13" s="176" t="str">
        <f t="shared" ref="J13:K17" si="10">IF(ISERROR($L13/M13),"-",$L13/M13)</f>
        <v>-</v>
      </c>
      <c r="K13" s="176" t="str">
        <f t="shared" si="10"/>
        <v>-</v>
      </c>
      <c r="L13" s="175">
        <f>('平日晨峰(07-09)'!$K$21+'平日晨峰(07-09)'!$K$40+'平日晨峰(07-09)'!$K$59+'平日晨峰(07-09)'!$K$78)*15</f>
        <v>0</v>
      </c>
      <c r="M13" s="175">
        <f>'平日晨峰(07-09)'!$O$21+'平日晨峰(07-09)'!$O$40+'平日晨峰(07-09)'!$O$59+'平日晨峰(07-09)'!$O$78</f>
        <v>0</v>
      </c>
      <c r="N13" s="175">
        <f>'平日晨峰(07-09)'!$Q$21+'平日晨峰(07-09)'!$Q$40+'平日晨峰(07-09)'!$Q$59+'平日晨峰(07-09)'!$Q$78</f>
        <v>0</v>
      </c>
      <c r="P13" s="175" t="str">
        <f>P4</f>
        <v>11:00~12:00</v>
      </c>
      <c r="Q13" s="176" t="str">
        <f>IF(ISERROR($S13/T13),"-",$S13/T13)</f>
        <v>-</v>
      </c>
      <c r="R13" s="176" t="str">
        <f>IF(ISERROR($T13/U13),"-",$T13/U13)</f>
        <v>-</v>
      </c>
      <c r="S13" s="175">
        <f>('平日中午(11-13)'!$K$21+'平日中午(11-13)'!$K$40+'平日中午(11-13)'!$K$59+'平日中午(11-13)'!$K$78)*15</f>
        <v>0</v>
      </c>
      <c r="T13" s="175">
        <f>'平日中午(11-13)'!$O$21+'平日中午(11-13)'!$O$40+'平日中午(11-13)'!$O$59+'平日中午(11-13)'!$O$78</f>
        <v>0</v>
      </c>
      <c r="U13" s="175">
        <f>'平日中午(11-13)'!$Q$21+'平日中午(11-13)'!$Q$40+'平日中午(11-13)'!$Q$59+'平日中午(11-13)'!$Q$78</f>
        <v>0</v>
      </c>
      <c r="W13" s="175" t="str">
        <f>W4</f>
        <v>1200~13:00</v>
      </c>
      <c r="X13" s="176" t="str">
        <f t="shared" ref="X13:Y17" si="11">IF(ISERROR($Z13/AA13),"-",$Z13/AA13)</f>
        <v>-</v>
      </c>
      <c r="Y13" s="176" t="str">
        <f t="shared" si="11"/>
        <v>-</v>
      </c>
      <c r="Z13" s="175">
        <f>('平日中午(12-14)'!$K$21+'平日中午(12-14)'!$K$40+'平日中午(12-14)'!$K$59+'平日中午(12-14)'!$K$78)*15</f>
        <v>0</v>
      </c>
      <c r="AA13" s="175">
        <f>'平日中午(12-14)'!$O$21+'平日中午(12-14)'!$O$40+'平日中午(12-14)'!$O$59+'平日中午(12-14)'!$O$78</f>
        <v>0</v>
      </c>
      <c r="AB13" s="175">
        <f>'平日中午(12-14)'!$Q$21+'平日中午(12-14)'!$Q$40+'平日中午(12-14)'!$Q$59+'平日中午(12-14)'!$Q$78</f>
        <v>0</v>
      </c>
      <c r="AD13" s="175" t="str">
        <f>$AD$4</f>
        <v>17:00~18:00</v>
      </c>
      <c r="AE13" s="176" t="str">
        <f t="shared" ref="AE13:AF17" si="12">IF(ISERROR($AG13/AH13),"-",$AG13/AH13)</f>
        <v>-</v>
      </c>
      <c r="AF13" s="176" t="str">
        <f t="shared" si="12"/>
        <v>-</v>
      </c>
      <c r="AG13" s="175">
        <f>('平日昏峰(17-19)'!$K$21+'平日昏峰(17-19)'!$K$40+'平日昏峰(17-19)'!$K$59+'平日昏峰(17-19)'!$K$78)*15</f>
        <v>0</v>
      </c>
      <c r="AH13" s="175">
        <f>'平日昏峰(17-19)'!$O$21+'平日昏峰(17-19)'!$O$40+'平日昏峰(17-19)'!$O$59+'平日昏峰(17-19)'!$O$78</f>
        <v>0</v>
      </c>
      <c r="AI13" s="175">
        <f>'平日昏峰(17-19)'!$Q$21+'平日昏峰(17-19)'!$Q$40+'平日昏峰(17-19)'!$Q$59+'平日昏峰(17-19)'!$Q$78</f>
        <v>0</v>
      </c>
      <c r="AK13" s="175" t="str">
        <f>$AK$4</f>
        <v>11:00~12:00</v>
      </c>
      <c r="AL13" s="176" t="str">
        <f t="shared" ref="AL13:AM17" si="13">IF(ISERROR($AN13/AO13),"-",$AN13/AO13)</f>
        <v>-</v>
      </c>
      <c r="AM13" s="176" t="str">
        <f t="shared" si="13"/>
        <v>-</v>
      </c>
      <c r="AN13" s="175">
        <f>('假日(11-12)'!$K$21+'假日(11-12)'!$K$40+'假日(11-12)'!$K$59+'假日(11-12)'!$K$78)*15</f>
        <v>0</v>
      </c>
      <c r="AO13" s="175">
        <f>'假日(11-12)'!$O$21+'假日(11-12)'!$O$40+'假日(11-12)'!$O$59+'假日(11-12)'!$O$78</f>
        <v>0</v>
      </c>
      <c r="AP13" s="175">
        <f>'假日(11-12)'!$Q$21+'假日(11-12)'!$Q$40+'假日(11-12)'!$Q$59+'假日(11-12)'!$Q$78</f>
        <v>0</v>
      </c>
      <c r="AR13" s="175" t="str">
        <f>$AR$4</f>
        <v>14:30~15:30</v>
      </c>
      <c r="AS13" s="176" t="str">
        <f t="shared" ref="AS13:AT17" si="14">IF(ISERROR($AU13/AV13),"-",$AU13/AV13)</f>
        <v>-</v>
      </c>
      <c r="AT13" s="176" t="str">
        <f t="shared" si="14"/>
        <v>-</v>
      </c>
      <c r="AU13" s="175">
        <f>('假日(1430-1530)'!$K$21+'假日(1430-1530)'!$K$40+'假日(1430-1530)'!$K$59+'假日(1430-1530)'!$K$78)*15</f>
        <v>0</v>
      </c>
      <c r="AV13" s="175">
        <f>'假日(1430-1530)'!$O$21+'假日(1430-1530)'!$O$40+'假日(1430-1530)'!$O$59+'假日(1430-1530)'!$O$78</f>
        <v>0</v>
      </c>
      <c r="AW13" s="175">
        <f>'假日(1430-1530)'!$Q$21+'假日(1430-1530)'!$Q$40+'假日(1430-1530)'!$Q$59+'假日(1430-1530)'!$Q$78</f>
        <v>0</v>
      </c>
      <c r="AY13" s="175" t="str">
        <f>AY4</f>
        <v>17:30~18:30</v>
      </c>
      <c r="AZ13" s="176" t="str">
        <f t="shared" ref="AZ13:BA17" si="15">IF(ISERROR($BB13/BC13),"-",$BB13/BC13)</f>
        <v>-</v>
      </c>
      <c r="BA13" s="176" t="str">
        <f t="shared" si="15"/>
        <v>-</v>
      </c>
      <c r="BB13" s="175">
        <f>('假日(1730-1830)'!$K$21+'假日(1730-1830)'!$K$40+'假日(1730-1830)'!$K$59+'假日(1730-1830)'!$K$78)*15</f>
        <v>0</v>
      </c>
      <c r="BC13" s="175">
        <f>'假日(1730-1830)'!$O$21+'假日(1730-1830)'!$O$40+'假日(1730-1830)'!$O$59+'假日(1730-1830)'!$O$78</f>
        <v>0</v>
      </c>
      <c r="BD13" s="175">
        <f>'假日(1730-1830)'!$Q$21+'假日(1730-1830)'!$Q$40+'假日(1730-1830)'!$Q$59+'假日(1730-1830)'!$Q$78</f>
        <v>0</v>
      </c>
      <c r="BF13" s="175" t="str">
        <f>BF4</f>
        <v>16:00~17:00</v>
      </c>
      <c r="BG13" s="176" t="str">
        <f t="shared" ref="BG13:BH17" si="16">IF(ISERROR($BI13/BJ13),"-",$BI13/BJ13)</f>
        <v>-</v>
      </c>
      <c r="BH13" s="176" t="str">
        <f t="shared" si="16"/>
        <v>-</v>
      </c>
      <c r="BI13" s="175">
        <f>('假日(16-18)'!$K$21+'假日(16-18)'!$K$40+'假日(16-18)'!$K$59+'假日(16-18)'!$K$78)*15</f>
        <v>0</v>
      </c>
      <c r="BJ13" s="175">
        <f>'假日(16-18)'!$O$21+'假日(16-18)'!$O$40+'假日(16-18)'!$O$59+'假日(16-18)'!$O$78</f>
        <v>0</v>
      </c>
      <c r="BK13" s="175">
        <f>'假日(16-18)'!$Q$21+'假日(16-18)'!$Q$40+'假日(16-18)'!$Q$59+'假日(16-18)'!$Q$78</f>
        <v>0</v>
      </c>
      <c r="BM13" s="175" t="str">
        <f>BM4</f>
        <v>17:00~18:00</v>
      </c>
      <c r="BN13" s="176" t="str">
        <f t="shared" ref="BN13:BO17" si="17">IF(ISERROR($BP13/BQ13),"-",$BP13/BQ13)</f>
        <v>-</v>
      </c>
      <c r="BO13" s="176" t="str">
        <f t="shared" si="17"/>
        <v>-</v>
      </c>
      <c r="BP13" s="175">
        <f>('假日(17-19)'!$K$21+'假日(17-19)'!$K$40+'假日(17-19)'!$K$59+'假日(17-19)'!$K$78)*15</f>
        <v>0</v>
      </c>
      <c r="BQ13" s="175">
        <f>'假日(17-19)'!$O$21+'假日(17-19)'!$O$40+'假日(17-19)'!$O$59+'假日(17-19)'!$O$78</f>
        <v>0</v>
      </c>
      <c r="BR13" s="175">
        <f>'假日(17-19)'!$Q$21+'假日(17-19)'!$Q$40+'假日(17-19)'!$Q$59+'假日(17-19)'!$Q$78</f>
        <v>0</v>
      </c>
      <c r="BT13" s="175" t="s">
        <v>189</v>
      </c>
      <c r="BU13" s="176" t="str">
        <f>IF(ISERROR($BW13/BX13),"-",$BW13/BX13)</f>
        <v>-</v>
      </c>
      <c r="BV13" s="176" t="str">
        <f>IF(ISERROR($BW13/BY13),"-",$BW13/BY13)</f>
        <v>-</v>
      </c>
      <c r="BW13" s="175">
        <f>('假日(16-20)'!$B$192+'假日(16-20)'!$B$211+'假日(16-20)'!$B$230+'假日(16-20)'!$B$249)*15</f>
        <v>0</v>
      </c>
      <c r="BX13" s="175">
        <f>'假日(16-20)'!$F$192+'假日(16-20)'!$F$211+'假日(16-20)'!$F$230+'假日(16-20)'!$F$249</f>
        <v>0</v>
      </c>
      <c r="BY13" s="175">
        <f>'假日(16-20)'!$H$192+'假日(16-20)'!$H$211+'假日(16-20)'!$H$230+'假日(16-20)'!$H$249</f>
        <v>0</v>
      </c>
    </row>
    <row r="14" spans="2:77">
      <c r="B14" s="175" t="s">
        <v>194</v>
      </c>
      <c r="C14" s="176" t="str">
        <f t="shared" si="9"/>
        <v>-</v>
      </c>
      <c r="D14" s="176" t="str">
        <f t="shared" si="9"/>
        <v>-</v>
      </c>
      <c r="E14" s="175">
        <f>('平日晨峰(0630-0830)'!$K$40+'平日晨峰(0630-0830)'!$K$59+'平日晨峰(0630-0830)'!$K$78+'平日晨峰(0630-0830)'!$K$97)*15</f>
        <v>0</v>
      </c>
      <c r="F14" s="175">
        <f>'平日晨峰(0630-0830)'!$O$40+'平日晨峰(0630-0830)'!$O$59+'平日晨峰(0630-0830)'!$O$78+'平日晨峰(0630-0830)'!$O$97</f>
        <v>0</v>
      </c>
      <c r="G14" s="175">
        <f>'平日晨峰(0630-0830)'!$Q$40+'平日晨峰(0630-0830)'!$Q$59+'平日晨峰(0630-0830)'!$Q$78+'平日晨峰(0630-0830)'!$Q$97</f>
        <v>0</v>
      </c>
      <c r="I14" s="175" t="str">
        <f>$I$5</f>
        <v>07:15~08:15</v>
      </c>
      <c r="J14" s="176" t="str">
        <f t="shared" si="10"/>
        <v>-</v>
      </c>
      <c r="K14" s="176" t="str">
        <f t="shared" si="10"/>
        <v>-</v>
      </c>
      <c r="L14" s="175">
        <f>('平日晨峰(07-09)'!$K$40+'平日晨峰(07-09)'!$K$59+'平日晨峰(07-09)'!$K$78+'平日晨峰(07-09)'!$K$97)*15</f>
        <v>0</v>
      </c>
      <c r="M14" s="175">
        <f>'平日晨峰(07-09)'!$O$40+'平日晨峰(07-09)'!$O$59+'平日晨峰(07-09)'!$O$78+'平日晨峰(07-09)'!$O$97</f>
        <v>0</v>
      </c>
      <c r="N14" s="175">
        <f>'平日晨峰(07-09)'!$Q$40+'平日晨峰(07-09)'!$Q$59+'平日晨峰(07-09)'!$Q$78+'平日晨峰(07-09)'!$Q$97</f>
        <v>0</v>
      </c>
      <c r="P14" s="175" t="str">
        <f>P5</f>
        <v>11:15~12:15</v>
      </c>
      <c r="Q14" s="176" t="str">
        <f>IF(ISERROR($S14/T14),"-",$S14/T14)</f>
        <v>-</v>
      </c>
      <c r="R14" s="176" t="str">
        <f>IF(ISERROR($T14/U14),"-",$T14/U14)</f>
        <v>-</v>
      </c>
      <c r="S14" s="175">
        <f>('平日中午(11-13)'!$K$40+'平日中午(11-13)'!$K$59+'平日中午(11-13)'!$K$78+'平日中午(11-13)'!$K$97)*15</f>
        <v>0</v>
      </c>
      <c r="T14" s="175">
        <f>'平日中午(11-13)'!$O$40+'平日中午(11-13)'!$O$59+'平日中午(11-13)'!$O$78+'平日中午(11-13)'!$O$97</f>
        <v>0</v>
      </c>
      <c r="U14" s="175">
        <f>'平日中午(11-13)'!$Q$40+'平日中午(11-13)'!$Q$59+'平日中午(11-13)'!$Q$78+'平日中午(11-13)'!$Q$97</f>
        <v>0</v>
      </c>
      <c r="W14" s="175" t="str">
        <f>W5</f>
        <v>12:15~13:15</v>
      </c>
      <c r="X14" s="176" t="str">
        <f t="shared" si="11"/>
        <v>-</v>
      </c>
      <c r="Y14" s="176" t="str">
        <f t="shared" si="11"/>
        <v>-</v>
      </c>
      <c r="Z14" s="175">
        <f>('平日中午(12-14)'!$K$40+'平日中午(12-14)'!$K$59+'平日中午(12-14)'!$K$78+'平日中午(12-14)'!$K$97)*15</f>
        <v>0</v>
      </c>
      <c r="AA14" s="175">
        <f>'平日中午(12-14)'!$O$40+'平日中午(12-14)'!$O$59+'平日中午(12-14)'!$O$78+'平日中午(12-14)'!$O$97</f>
        <v>0</v>
      </c>
      <c r="AB14" s="175">
        <f>'平日中午(12-14)'!$Q$40+'平日中午(12-14)'!$Q$59+'平日中午(12-14)'!$Q$78+'平日中午(12-14)'!$Q$97</f>
        <v>0</v>
      </c>
      <c r="AD14" s="175" t="str">
        <f>$AD$5</f>
        <v>17:15~18:15</v>
      </c>
      <c r="AE14" s="176" t="str">
        <f t="shared" si="12"/>
        <v>-</v>
      </c>
      <c r="AF14" s="176" t="str">
        <f t="shared" si="12"/>
        <v>-</v>
      </c>
      <c r="AG14" s="175">
        <f>('平日昏峰(17-19)'!$K$40+'平日昏峰(17-19)'!$K$59+'平日昏峰(17-19)'!$K$78+'平日昏峰(17-19)'!$K$97)*15</f>
        <v>0</v>
      </c>
      <c r="AH14" s="175">
        <f>'平日昏峰(17-19)'!$O$40+'平日昏峰(17-19)'!$O$59+'平日昏峰(17-19)'!$O$78+'平日昏峰(17-19)'!$O$97</f>
        <v>0</v>
      </c>
      <c r="AI14" s="175">
        <f>'平日昏峰(17-19)'!$Q$40+'平日昏峰(17-19)'!$Q$59+'平日昏峰(17-19)'!$Q$78+'平日昏峰(17-19)'!$Q$97</f>
        <v>0</v>
      </c>
      <c r="AK14" s="175">
        <f>$AK$5</f>
        <v>0</v>
      </c>
      <c r="AL14" s="176" t="str">
        <f t="shared" si="13"/>
        <v>-</v>
      </c>
      <c r="AM14" s="176" t="str">
        <f t="shared" si="13"/>
        <v>-</v>
      </c>
      <c r="AN14" s="175"/>
      <c r="AO14" s="175"/>
      <c r="AP14" s="175"/>
      <c r="AR14" s="175">
        <f>$AR$5</f>
        <v>0</v>
      </c>
      <c r="AS14" s="176" t="str">
        <f t="shared" si="14"/>
        <v>-</v>
      </c>
      <c r="AT14" s="176" t="str">
        <f t="shared" si="14"/>
        <v>-</v>
      </c>
      <c r="AU14" s="175"/>
      <c r="AV14" s="175"/>
      <c r="AW14" s="175"/>
      <c r="AY14" s="175">
        <f>AY5</f>
        <v>0</v>
      </c>
      <c r="AZ14" s="176" t="str">
        <f t="shared" si="15"/>
        <v>-</v>
      </c>
      <c r="BA14" s="176" t="str">
        <f t="shared" si="15"/>
        <v>-</v>
      </c>
      <c r="BB14" s="175"/>
      <c r="BC14" s="175"/>
      <c r="BD14" s="175"/>
      <c r="BF14" s="175" t="str">
        <f>BF5</f>
        <v>16:15~17:15</v>
      </c>
      <c r="BG14" s="176" t="str">
        <f t="shared" si="16"/>
        <v>-</v>
      </c>
      <c r="BH14" s="176" t="str">
        <f t="shared" si="16"/>
        <v>-</v>
      </c>
      <c r="BI14" s="175">
        <f>('假日(16-18)'!$K$40+'假日(16-18)'!$K$59+'假日(16-18)'!$K$78+'假日(16-18)'!$K$97)*15</f>
        <v>0</v>
      </c>
      <c r="BJ14" s="175">
        <f>'假日(16-18)'!$O$40+'假日(16-18)'!$O$59+'假日(16-18)'!$O$78+'假日(16-18)'!$O$97</f>
        <v>0</v>
      </c>
      <c r="BK14" s="175">
        <f>'假日(16-18)'!$Q$40+'假日(16-18)'!$Q$59+'假日(16-18)'!$Q$78+'假日(16-18)'!$Q$97</f>
        <v>0</v>
      </c>
      <c r="BM14" s="175" t="str">
        <f>BM5</f>
        <v>17:15~18:15</v>
      </c>
      <c r="BN14" s="176" t="str">
        <f t="shared" si="17"/>
        <v>-</v>
      </c>
      <c r="BO14" s="176" t="str">
        <f t="shared" si="17"/>
        <v>-</v>
      </c>
      <c r="BP14" s="175">
        <f>('假日(17-19)'!$K$40+'假日(17-19)'!$K$59+'假日(17-19)'!$K$78+'假日(17-19)'!$K$97)*15</f>
        <v>0</v>
      </c>
      <c r="BQ14" s="175">
        <f>'假日(17-19)'!$O$40+'假日(17-19)'!$O$59+'假日(17-19)'!$O$78+'假日(17-19)'!$O$97</f>
        <v>0</v>
      </c>
      <c r="BR14" s="175">
        <f>'假日(17-19)'!$Q$40+'假日(17-19)'!$Q$59+'假日(17-19)'!$Q$78+'假日(17-19)'!$Q$97</f>
        <v>0</v>
      </c>
      <c r="BT14" s="175" t="s">
        <v>190</v>
      </c>
      <c r="BU14" s="176" t="str">
        <f>IF(ISERROR($BW14/BX14),"-",$BW14/BX14)</f>
        <v>-</v>
      </c>
      <c r="BV14" s="176" t="str">
        <f>IF(ISERROR($BW14/BY14),"-",$BW14/BY14)</f>
        <v>-</v>
      </c>
      <c r="BW14" s="175">
        <f>('假日(16-20)'!$B$211+'假日(16-20)'!$B$230+'假日(16-20)'!$B$249+'假日(16-20)'!$B$268)*15</f>
        <v>0</v>
      </c>
      <c r="BX14" s="175">
        <f>'假日(16-20)'!$F$211+'假日(16-20)'!$F$230+'假日(16-20)'!$F$249+'假日(16-20)'!$F$268</f>
        <v>0</v>
      </c>
      <c r="BY14" s="175">
        <f>'假日(16-20)'!$H$211+'假日(16-20)'!$H$230+'假日(16-20)'!$H$249+'假日(16-20)'!$H$268</f>
        <v>0</v>
      </c>
    </row>
    <row r="15" spans="2:77">
      <c r="B15" s="175" t="s">
        <v>195</v>
      </c>
      <c r="C15" s="176" t="str">
        <f t="shared" si="9"/>
        <v>-</v>
      </c>
      <c r="D15" s="176" t="str">
        <f t="shared" si="9"/>
        <v>-</v>
      </c>
      <c r="E15" s="175">
        <f>('平日晨峰(0630-0830)'!$K$59+'平日晨峰(0630-0830)'!$K$78+'平日晨峰(0630-0830)'!$K$97+'平日晨峰(0630-0830)'!$K$116)*15</f>
        <v>0</v>
      </c>
      <c r="F15" s="175">
        <f>'平日晨峰(0630-0830)'!$O$59+'平日晨峰(0630-0830)'!$O$78+'平日晨峰(0630-0830)'!$O$97+'平日晨峰(0630-0830)'!$O$116</f>
        <v>0</v>
      </c>
      <c r="G15" s="175">
        <f>'平日晨峰(0630-0830)'!$Q$59+'平日晨峰(0630-0830)'!$Q$78+'平日晨峰(0630-0830)'!$Q$97+'平日晨峰(0630-0830)'!$Q$116</f>
        <v>0</v>
      </c>
      <c r="I15" s="175" t="str">
        <f>$I$6</f>
        <v>07:30~08:30</v>
      </c>
      <c r="J15" s="176" t="str">
        <f t="shared" si="10"/>
        <v>-</v>
      </c>
      <c r="K15" s="176" t="str">
        <f t="shared" si="10"/>
        <v>-</v>
      </c>
      <c r="L15" s="175">
        <f>('平日晨峰(07-09)'!$K$59+'平日晨峰(07-09)'!$K$78+'平日晨峰(07-09)'!$K$97+'平日晨峰(07-09)'!$K$116)*15</f>
        <v>0</v>
      </c>
      <c r="M15" s="175">
        <f>'平日晨峰(07-09)'!$O$59+'平日晨峰(07-09)'!$O$78+'平日晨峰(07-09)'!$O$97+'平日晨峰(07-09)'!$O$116</f>
        <v>0</v>
      </c>
      <c r="N15" s="175">
        <f>'平日晨峰(07-09)'!$Q$59+'平日晨峰(07-09)'!$Q$78+'平日晨峰(07-09)'!$Q$97+'平日晨峰(07-09)'!$Q$116</f>
        <v>0</v>
      </c>
      <c r="P15" s="175" t="str">
        <f>P6</f>
        <v>11:30~12:30</v>
      </c>
      <c r="Q15" s="176" t="str">
        <f>IF(ISERROR($S15/T15),"-",$S15/T15)</f>
        <v>-</v>
      </c>
      <c r="R15" s="176" t="str">
        <f>IF(ISERROR($T15/U15),"-",$T15/U15)</f>
        <v>-</v>
      </c>
      <c r="S15" s="175">
        <f>('平日中午(11-13)'!$K$59+'平日中午(11-13)'!$K$78+'平日中午(11-13)'!$K$97+'平日中午(11-13)'!$K$116)*15</f>
        <v>0</v>
      </c>
      <c r="T15" s="175">
        <f>'平日中午(11-13)'!$O$59+'平日中午(11-13)'!$O$78+'平日中午(11-13)'!$O$97+'平日中午(11-13)'!$O$116</f>
        <v>0</v>
      </c>
      <c r="U15" s="175">
        <f>'平日中午(11-13)'!$Q$59+'平日中午(11-13)'!$Q$78+'平日中午(11-13)'!$Q$97+'平日中午(11-13)'!$Q$116</f>
        <v>0</v>
      </c>
      <c r="W15" s="175" t="str">
        <f>W6</f>
        <v>12:30~13:30</v>
      </c>
      <c r="X15" s="176" t="str">
        <f t="shared" si="11"/>
        <v>-</v>
      </c>
      <c r="Y15" s="176" t="str">
        <f t="shared" si="11"/>
        <v>-</v>
      </c>
      <c r="Z15" s="175">
        <f>('平日中午(12-14)'!$K$59+'平日中午(12-14)'!$K$78+'平日中午(12-14)'!$K$97+'平日中午(12-14)'!$K$116)*15</f>
        <v>0</v>
      </c>
      <c r="AA15" s="175">
        <f>'平日中午(12-14)'!$O$59+'平日中午(12-14)'!$O$78+'平日中午(12-14)'!$O$97+'平日中午(12-14)'!$O$116</f>
        <v>0</v>
      </c>
      <c r="AB15" s="175">
        <f>'平日中午(12-14)'!$Q$59+'平日中午(12-14)'!$Q$78+'平日中午(12-14)'!$Q$97+'平日中午(12-14)'!$Q$116</f>
        <v>0</v>
      </c>
      <c r="AD15" s="175" t="str">
        <f>$AD$6</f>
        <v>17:30~18:30</v>
      </c>
      <c r="AE15" s="176" t="str">
        <f t="shared" si="12"/>
        <v>-</v>
      </c>
      <c r="AF15" s="176" t="str">
        <f t="shared" si="12"/>
        <v>-</v>
      </c>
      <c r="AG15" s="175">
        <f>('平日昏峰(17-19)'!$K$59+'平日昏峰(17-19)'!$K$78+'平日昏峰(17-19)'!$K$97+'平日昏峰(17-19)'!$K$116)*15</f>
        <v>0</v>
      </c>
      <c r="AH15" s="175">
        <f>'平日昏峰(17-19)'!$O$59+'平日昏峰(17-19)'!$O$78+'平日昏峰(17-19)'!$O$97+'平日昏峰(17-19)'!$O$116</f>
        <v>0</v>
      </c>
      <c r="AI15" s="175">
        <f>'平日昏峰(17-19)'!$Q$59+'平日昏峰(17-19)'!$Q$78+'平日昏峰(17-19)'!$Q$97+'平日昏峰(17-19)'!$Q$116</f>
        <v>0</v>
      </c>
      <c r="AK15" s="175">
        <f>$AK$6</f>
        <v>0</v>
      </c>
      <c r="AL15" s="176" t="str">
        <f t="shared" si="13"/>
        <v>-</v>
      </c>
      <c r="AM15" s="176" t="str">
        <f t="shared" si="13"/>
        <v>-</v>
      </c>
      <c r="AN15" s="175"/>
      <c r="AO15" s="175"/>
      <c r="AP15" s="175"/>
      <c r="AR15" s="175">
        <f>$AR$6</f>
        <v>0</v>
      </c>
      <c r="AS15" s="176" t="str">
        <f t="shared" si="14"/>
        <v>-</v>
      </c>
      <c r="AT15" s="176" t="str">
        <f t="shared" si="14"/>
        <v>-</v>
      </c>
      <c r="AU15" s="175"/>
      <c r="AV15" s="175"/>
      <c r="AW15" s="175"/>
      <c r="AY15" s="175">
        <f>AY6</f>
        <v>0</v>
      </c>
      <c r="AZ15" s="176" t="str">
        <f t="shared" si="15"/>
        <v>-</v>
      </c>
      <c r="BA15" s="176" t="str">
        <f t="shared" si="15"/>
        <v>-</v>
      </c>
      <c r="BB15" s="175"/>
      <c r="BC15" s="175"/>
      <c r="BD15" s="175"/>
      <c r="BF15" s="175" t="str">
        <f>BF6</f>
        <v>16:30~17:30</v>
      </c>
      <c r="BG15" s="176" t="str">
        <f t="shared" si="16"/>
        <v>-</v>
      </c>
      <c r="BH15" s="176" t="str">
        <f t="shared" si="16"/>
        <v>-</v>
      </c>
      <c r="BI15" s="175">
        <f>('假日(16-18)'!$K$59+'假日(16-18)'!$K$78+'假日(16-18)'!$K$97+'假日(16-18)'!$K$116)*15</f>
        <v>0</v>
      </c>
      <c r="BJ15" s="175">
        <f>'假日(16-18)'!$O$59+'假日(16-18)'!$O$78+'假日(16-18)'!$O$97+'假日(16-18)'!$O$116</f>
        <v>0</v>
      </c>
      <c r="BK15" s="175">
        <f>'假日(16-18)'!$Q$59+'假日(16-18)'!$Q$78+'假日(16-18)'!$Q$97+'假日(16-18)'!$Q$116</f>
        <v>0</v>
      </c>
      <c r="BM15" s="175" t="str">
        <f>BM6</f>
        <v>17:30~18:30</v>
      </c>
      <c r="BN15" s="176" t="str">
        <f t="shared" si="17"/>
        <v>-</v>
      </c>
      <c r="BO15" s="176" t="str">
        <f t="shared" si="17"/>
        <v>-</v>
      </c>
      <c r="BP15" s="175">
        <f>('假日(17-19)'!$K$59+'假日(17-19)'!$K$78+'假日(17-19)'!$K$97+'假日(17-19)'!$K$116)*15</f>
        <v>0</v>
      </c>
      <c r="BQ15" s="175">
        <f>'假日(17-19)'!$O$59+'假日(17-19)'!$O$78+'假日(17-19)'!$O$97+'假日(17-19)'!$O$116</f>
        <v>0</v>
      </c>
      <c r="BR15" s="175">
        <f>'假日(17-19)'!$Q$59+'假日(17-19)'!$Q$78+'假日(17-19)'!$Q$97+'假日(17-19)'!$Q$116</f>
        <v>0</v>
      </c>
      <c r="BT15" s="175" t="s">
        <v>191</v>
      </c>
      <c r="BU15" s="176" t="str">
        <f>IF(ISERROR($BW15/BX15),"-",$BW15/BX15)</f>
        <v>-</v>
      </c>
      <c r="BV15" s="176" t="str">
        <f>IF(ISERROR($BW15/BY15),"-",$BW15/BY15)</f>
        <v>-</v>
      </c>
      <c r="BW15" s="175">
        <f>('假日(16-20)'!$B$230+'假日(16-20)'!$B$249+'假日(16-20)'!$B$268+'假日(16-20)'!$B$287)*15</f>
        <v>0</v>
      </c>
      <c r="BX15" s="175">
        <f>'假日(16-20)'!$F$230+'假日(16-20)'!$F$249+'假日(16-20)'!$F$268+'假日(16-20)'!$F$287</f>
        <v>0</v>
      </c>
      <c r="BY15" s="175">
        <f>'假日(16-20)'!$H$230+'假日(16-20)'!$H$249+'假日(16-20)'!$H$268+'假日(16-20)'!$H$287</f>
        <v>0</v>
      </c>
    </row>
    <row r="16" spans="2:77">
      <c r="B16" s="175" t="s">
        <v>196</v>
      </c>
      <c r="C16" s="176" t="str">
        <f t="shared" si="9"/>
        <v>-</v>
      </c>
      <c r="D16" s="176" t="str">
        <f t="shared" si="9"/>
        <v>-</v>
      </c>
      <c r="E16" s="175">
        <f>('平日晨峰(0630-0830)'!$K$78+'平日晨峰(0630-0830)'!$K$97+'平日晨峰(0630-0830)'!$K$116+'平日晨峰(0630-0830)'!$K$135)*15</f>
        <v>0</v>
      </c>
      <c r="F16" s="175">
        <f>'平日晨峰(0630-0830)'!$O$78+'平日晨峰(0630-0830)'!$O$97+'平日晨峰(0630-0830)'!$O$116+'平日晨峰(0630-0830)'!$O$135</f>
        <v>0</v>
      </c>
      <c r="G16" s="175">
        <f>'平日晨峰(0630-0830)'!$Q$78+'平日晨峰(0630-0830)'!$Q$97+'平日晨峰(0630-0830)'!$Q$116+'平日晨峰(0630-0830)'!$Q$135</f>
        <v>0</v>
      </c>
      <c r="I16" s="175" t="str">
        <f>$I$7</f>
        <v>07:45~08:45</v>
      </c>
      <c r="J16" s="176" t="str">
        <f t="shared" si="10"/>
        <v>-</v>
      </c>
      <c r="K16" s="176" t="str">
        <f t="shared" si="10"/>
        <v>-</v>
      </c>
      <c r="L16" s="175">
        <f>('平日晨峰(07-09)'!$K$78+'平日晨峰(07-09)'!$K$97+'平日晨峰(07-09)'!$K$116+'平日晨峰(07-09)'!$K$135)*15</f>
        <v>0</v>
      </c>
      <c r="M16" s="175">
        <f>'平日晨峰(07-09)'!$O$78+'平日晨峰(07-09)'!$O$97+'平日晨峰(07-09)'!$O$116+'平日晨峰(07-09)'!$O$135</f>
        <v>0</v>
      </c>
      <c r="N16" s="175">
        <f>'平日晨峰(07-09)'!$Q$78+'平日晨峰(07-09)'!$Q$97+'平日晨峰(07-09)'!$Q$116+'平日晨峰(07-09)'!$Q$135</f>
        <v>0</v>
      </c>
      <c r="P16" s="175" t="str">
        <f>P7</f>
        <v>11:45~12:45</v>
      </c>
      <c r="Q16" s="176" t="str">
        <f>IF(ISERROR($S16/T16),"-",$S16/T16)</f>
        <v>-</v>
      </c>
      <c r="R16" s="176" t="str">
        <f>IF(ISERROR($T16/U16),"-",$T16/U16)</f>
        <v>-</v>
      </c>
      <c r="S16" s="175">
        <f>('平日中午(11-13)'!$K$78+'平日中午(11-13)'!$K$97+'平日中午(11-13)'!$K$116+'平日中午(11-13)'!$K$135)*15</f>
        <v>0</v>
      </c>
      <c r="T16" s="175">
        <f>'平日中午(11-13)'!$O$78+'平日中午(11-13)'!$O$97+'平日中午(11-13)'!$O$116+'平日中午(11-13)'!$O$135</f>
        <v>0</v>
      </c>
      <c r="U16" s="175">
        <f>'平日中午(11-13)'!$Q$78+'平日中午(11-13)'!$Q$97+'平日中午(11-13)'!$Q$116+'平日中午(11-13)'!$Q$135</f>
        <v>0</v>
      </c>
      <c r="W16" s="175" t="str">
        <f>W7</f>
        <v>12:45~13:45</v>
      </c>
      <c r="X16" s="176" t="str">
        <f t="shared" si="11"/>
        <v>-</v>
      </c>
      <c r="Y16" s="176" t="str">
        <f t="shared" si="11"/>
        <v>-</v>
      </c>
      <c r="Z16" s="175">
        <f>('平日中午(12-14)'!$K$78+'平日中午(12-14)'!$K$97+'平日中午(12-14)'!$K$116+'平日中午(12-14)'!$K$135)*15</f>
        <v>0</v>
      </c>
      <c r="AA16" s="175">
        <f>'平日中午(12-14)'!$O$78+'平日中午(12-14)'!$O$97+'平日中午(12-14)'!$O$116+'平日中午(12-14)'!$O$135</f>
        <v>0</v>
      </c>
      <c r="AB16" s="175">
        <f>'平日中午(12-14)'!$Q$78+'平日中午(12-14)'!$Q$97+'平日中午(12-14)'!$Q$116+'平日中午(12-14)'!$Q$135</f>
        <v>0</v>
      </c>
      <c r="AD16" s="175" t="str">
        <f>$AD$7</f>
        <v>17:45~18:45</v>
      </c>
      <c r="AE16" s="176" t="str">
        <f t="shared" si="12"/>
        <v>-</v>
      </c>
      <c r="AF16" s="176" t="str">
        <f t="shared" si="12"/>
        <v>-</v>
      </c>
      <c r="AG16" s="175">
        <f>('平日昏峰(17-19)'!$K$78+'平日昏峰(17-19)'!$K$97+'平日昏峰(17-19)'!$K$116+'平日昏峰(17-19)'!$K$135)*15</f>
        <v>0</v>
      </c>
      <c r="AH16" s="175">
        <f>'平日昏峰(17-19)'!$O$78+'平日昏峰(17-19)'!$O$97+'平日昏峰(17-19)'!$O$116+'平日昏峰(17-19)'!$O$135</f>
        <v>0</v>
      </c>
      <c r="AI16" s="175">
        <f>'平日昏峰(17-19)'!$Q$78+'平日昏峰(17-19)'!$Q$97+'平日昏峰(17-19)'!$Q$116+'平日昏峰(17-19)'!$Q$135</f>
        <v>0</v>
      </c>
      <c r="AK16" s="175">
        <f>$AK$7</f>
        <v>0</v>
      </c>
      <c r="AL16" s="176" t="str">
        <f t="shared" si="13"/>
        <v>-</v>
      </c>
      <c r="AM16" s="176" t="str">
        <f t="shared" si="13"/>
        <v>-</v>
      </c>
      <c r="AN16" s="175"/>
      <c r="AO16" s="175"/>
      <c r="AP16" s="175"/>
      <c r="AR16" s="175">
        <f>$AR$7</f>
        <v>0</v>
      </c>
      <c r="AS16" s="176" t="str">
        <f t="shared" si="14"/>
        <v>-</v>
      </c>
      <c r="AT16" s="176" t="str">
        <f t="shared" si="14"/>
        <v>-</v>
      </c>
      <c r="AU16" s="175"/>
      <c r="AV16" s="175"/>
      <c r="AW16" s="175"/>
      <c r="AY16" s="175">
        <f>AY7</f>
        <v>0</v>
      </c>
      <c r="AZ16" s="176" t="str">
        <f t="shared" si="15"/>
        <v>-</v>
      </c>
      <c r="BA16" s="176" t="str">
        <f t="shared" si="15"/>
        <v>-</v>
      </c>
      <c r="BB16" s="175"/>
      <c r="BC16" s="175"/>
      <c r="BD16" s="175"/>
      <c r="BF16" s="175" t="str">
        <f>BF7</f>
        <v>16:45~17:45</v>
      </c>
      <c r="BG16" s="176" t="str">
        <f t="shared" si="16"/>
        <v>-</v>
      </c>
      <c r="BH16" s="176" t="str">
        <f t="shared" si="16"/>
        <v>-</v>
      </c>
      <c r="BI16" s="175">
        <f>('假日(16-18)'!$K$78+'假日(16-18)'!$K$97+'假日(16-18)'!$K$116+'假日(16-18)'!$K$135)*15</f>
        <v>0</v>
      </c>
      <c r="BJ16" s="175">
        <f>'假日(16-18)'!$O$78+'假日(16-18)'!$O$97+'假日(16-18)'!$O$116+'假日(16-18)'!$O$135</f>
        <v>0</v>
      </c>
      <c r="BK16" s="175">
        <f>'假日(16-18)'!$Q$78+'假日(16-18)'!$Q$97+'假日(16-18)'!$Q$116+'假日(16-18)'!$Q$135</f>
        <v>0</v>
      </c>
      <c r="BM16" s="175" t="str">
        <f>BM7</f>
        <v>17:45~18:45</v>
      </c>
      <c r="BN16" s="176" t="str">
        <f t="shared" si="17"/>
        <v>-</v>
      </c>
      <c r="BO16" s="176" t="str">
        <f t="shared" si="17"/>
        <v>-</v>
      </c>
      <c r="BP16" s="175">
        <f>('假日(17-19)'!$K$78+'假日(17-19)'!$K$97+'假日(17-19)'!$K$116+'假日(17-19)'!$K$135)*15</f>
        <v>0</v>
      </c>
      <c r="BQ16" s="175">
        <f>'假日(17-19)'!$O$78+'假日(17-19)'!$O$97+'假日(17-19)'!$O$116+'假日(17-19)'!$O$135</f>
        <v>0</v>
      </c>
      <c r="BR16" s="175">
        <f>'假日(17-19)'!$Q$78+'假日(17-19)'!$Q$97+'假日(17-19)'!$Q$116+'假日(17-19)'!$Q$135</f>
        <v>0</v>
      </c>
      <c r="BT16" s="175" t="s">
        <v>192</v>
      </c>
      <c r="BU16" s="176" t="str">
        <f>IF(ISERROR($BW16/BX16),"-",$BW16/BX16)</f>
        <v>-</v>
      </c>
      <c r="BV16" s="176" t="str">
        <f>IF(ISERROR($BW16/BY16),"-",$BW16/BY16)</f>
        <v>-</v>
      </c>
      <c r="BW16" s="175">
        <f>('假日(16-20)'!$B$249+'假日(16-20)'!$B$268+'假日(16-20)'!$B$287+'假日(16-20)'!$B$306)*15</f>
        <v>0</v>
      </c>
      <c r="BX16" s="175">
        <f>'假日(16-20)'!$F$249+'假日(16-20)'!$F$268+'假日(16-20)'!$F$287+'假日(16-20)'!$F$306</f>
        <v>0</v>
      </c>
      <c r="BY16" s="175">
        <f>'假日(16-20)'!$H$249+'假日(16-20)'!$H$268+'假日(16-20)'!$H$287+'假日(16-20)'!$H$306</f>
        <v>0</v>
      </c>
    </row>
    <row r="17" spans="2:77">
      <c r="B17" s="175" t="s">
        <v>197</v>
      </c>
      <c r="C17" s="176" t="str">
        <f t="shared" si="9"/>
        <v>-</v>
      </c>
      <c r="D17" s="176" t="str">
        <f t="shared" si="9"/>
        <v>-</v>
      </c>
      <c r="E17" s="175">
        <f>('平日晨峰(0630-0830)'!$K$97+'平日晨峰(0630-0830)'!$K$116+'平日晨峰(0630-0830)'!$K$135+'平日晨峰(0630-0830)'!$K$154)*15</f>
        <v>0</v>
      </c>
      <c r="F17" s="175">
        <f>'平日晨峰(0630-0830)'!$O$97+'平日晨峰(0630-0830)'!$O$116+'平日晨峰(0630-0830)'!$O$135+'平日晨峰(0630-0830)'!$O$154</f>
        <v>0</v>
      </c>
      <c r="G17" s="175">
        <f>'平日晨峰(0630-0830)'!$Q$97+'平日晨峰(0630-0830)'!$Q$116+'平日晨峰(0630-0830)'!$Q$135+'平日晨峰(0630-0830)'!$Q$154</f>
        <v>0</v>
      </c>
      <c r="I17" s="175" t="str">
        <f>$I$8</f>
        <v>08:00~09:00</v>
      </c>
      <c r="J17" s="176" t="str">
        <f t="shared" si="10"/>
        <v>-</v>
      </c>
      <c r="K17" s="176" t="str">
        <f t="shared" si="10"/>
        <v>-</v>
      </c>
      <c r="L17" s="175">
        <f>('平日晨峰(07-09)'!$K$97+'平日晨峰(07-09)'!$K$116+'平日晨峰(07-09)'!$K$135+'平日晨峰(07-09)'!$K$154)*15</f>
        <v>0</v>
      </c>
      <c r="M17" s="175">
        <f>'平日晨峰(07-09)'!$O$97+'平日晨峰(07-09)'!$O$116+'平日晨峰(07-09)'!$O$135+'平日晨峰(07-09)'!$O$154</f>
        <v>0</v>
      </c>
      <c r="N17" s="175">
        <f>'平日晨峰(07-09)'!$Q$97+'平日晨峰(07-09)'!$Q$116+'平日晨峰(07-09)'!$Q$135+'平日晨峰(07-09)'!$Q$154</f>
        <v>0</v>
      </c>
      <c r="P17" s="175" t="str">
        <f>P8</f>
        <v>12:00~13:00</v>
      </c>
      <c r="Q17" s="176" t="str">
        <f>IF(ISERROR($S17/T17),"-",$S17/T17)</f>
        <v>-</v>
      </c>
      <c r="R17" s="176" t="str">
        <f>IF(ISERROR($T17/U17),"-",$T17/U17)</f>
        <v>-</v>
      </c>
      <c r="S17" s="175">
        <f>('平日中午(11-13)'!$K$97+'平日中午(11-13)'!$K$116+'平日中午(11-13)'!$K$135+'平日中午(11-13)'!$K$154)*15</f>
        <v>0</v>
      </c>
      <c r="T17" s="175">
        <f>'平日中午(11-13)'!$O$97+'平日中午(11-13)'!$O$116+'平日中午(11-13)'!$O$135+'平日中午(11-13)'!$O$154</f>
        <v>0</v>
      </c>
      <c r="U17" s="175">
        <f>'平日中午(11-13)'!$Q$97+'平日中午(11-13)'!$Q$116+'平日中午(11-13)'!$Q$135+'平日中午(11-13)'!$Q$154</f>
        <v>0</v>
      </c>
      <c r="W17" s="175" t="str">
        <f>W8</f>
        <v>13:00~14:00</v>
      </c>
      <c r="X17" s="176" t="str">
        <f t="shared" si="11"/>
        <v>-</v>
      </c>
      <c r="Y17" s="176" t="str">
        <f t="shared" si="11"/>
        <v>-</v>
      </c>
      <c r="Z17" s="175">
        <f>('平日中午(12-14)'!$K$97+'平日中午(12-14)'!$K$116+'平日中午(12-14)'!$K$135+'平日中午(12-14)'!$K$154)*15</f>
        <v>0</v>
      </c>
      <c r="AA17" s="175">
        <f>'平日中午(12-14)'!$O$97+'平日中午(12-14)'!$O$116+'平日中午(12-14)'!$O$135+'平日中午(12-14)'!$O$154</f>
        <v>0</v>
      </c>
      <c r="AB17" s="175">
        <f>'平日中午(12-14)'!$Q$97+'平日中午(12-14)'!$Q$116+'平日中午(12-14)'!$Q$135+'平日中午(12-14)'!$Q$154</f>
        <v>0</v>
      </c>
      <c r="AD17" s="175" t="str">
        <f>$AD$8</f>
        <v>18:00~19:00</v>
      </c>
      <c r="AE17" s="176" t="str">
        <f t="shared" si="12"/>
        <v>-</v>
      </c>
      <c r="AF17" s="176" t="str">
        <f t="shared" si="12"/>
        <v>-</v>
      </c>
      <c r="AG17" s="175">
        <f>('平日昏峰(17-19)'!$K$97+'平日昏峰(17-19)'!$K$116+'平日昏峰(17-19)'!$K$135+'平日昏峰(17-19)'!$K$154)*15</f>
        <v>0</v>
      </c>
      <c r="AH17" s="175">
        <f>'平日昏峰(17-19)'!$O$97+'平日昏峰(17-19)'!$O$116+'平日昏峰(17-19)'!$O$135+'平日昏峰(17-19)'!$O$154</f>
        <v>0</v>
      </c>
      <c r="AI17" s="175">
        <f>'平日昏峰(17-19)'!$Q$97+'平日昏峰(17-19)'!$Q$116+'平日昏峰(17-19)'!$Q$135+'平日昏峰(17-19)'!$Q$154</f>
        <v>0</v>
      </c>
      <c r="AK17" s="175">
        <f>$AK$8</f>
        <v>0</v>
      </c>
      <c r="AL17" s="176" t="str">
        <f t="shared" si="13"/>
        <v>-</v>
      </c>
      <c r="AM17" s="176" t="str">
        <f t="shared" si="13"/>
        <v>-</v>
      </c>
      <c r="AN17" s="175"/>
      <c r="AO17" s="175"/>
      <c r="AP17" s="175"/>
      <c r="AR17" s="175">
        <f>$AR$8</f>
        <v>0</v>
      </c>
      <c r="AS17" s="176" t="str">
        <f t="shared" si="14"/>
        <v>-</v>
      </c>
      <c r="AT17" s="176" t="str">
        <f t="shared" si="14"/>
        <v>-</v>
      </c>
      <c r="AU17" s="175"/>
      <c r="AV17" s="175"/>
      <c r="AW17" s="175"/>
      <c r="AY17" s="175">
        <f>AY8</f>
        <v>0</v>
      </c>
      <c r="AZ17" s="176" t="str">
        <f t="shared" si="15"/>
        <v>-</v>
      </c>
      <c r="BA17" s="176" t="str">
        <f t="shared" si="15"/>
        <v>-</v>
      </c>
      <c r="BB17" s="175"/>
      <c r="BC17" s="175"/>
      <c r="BD17" s="175"/>
      <c r="BF17" s="175" t="str">
        <f>BF8</f>
        <v>17:00~18:00</v>
      </c>
      <c r="BG17" s="176" t="str">
        <f t="shared" si="16"/>
        <v>-</v>
      </c>
      <c r="BH17" s="176" t="str">
        <f t="shared" si="16"/>
        <v>-</v>
      </c>
      <c r="BI17" s="175">
        <f>('假日(16-18)'!$K$97+'假日(16-18)'!$K$116+'假日(16-18)'!$K$135+'假日(16-18)'!$K$154)*15</f>
        <v>0</v>
      </c>
      <c r="BJ17" s="175">
        <f>'假日(16-18)'!$O$97+'假日(16-18)'!$O$116+'假日(16-18)'!$O$135+'假日(16-18)'!$O$154</f>
        <v>0</v>
      </c>
      <c r="BK17" s="175">
        <f>'假日(16-18)'!$Q$97+'假日(16-18)'!$Q$116+'假日(16-18)'!$Q$135+'假日(16-18)'!$Q$154</f>
        <v>0</v>
      </c>
      <c r="BM17" s="175" t="str">
        <f>BM8</f>
        <v>18:00~19:00</v>
      </c>
      <c r="BN17" s="176" t="str">
        <f t="shared" si="17"/>
        <v>-</v>
      </c>
      <c r="BO17" s="176" t="str">
        <f t="shared" si="17"/>
        <v>-</v>
      </c>
      <c r="BP17" s="175">
        <f>('假日(17-19)'!$K$97+'假日(17-19)'!$K$116+'假日(17-19)'!$K$135+'假日(17-19)'!$K$154)*15</f>
        <v>0</v>
      </c>
      <c r="BQ17" s="175">
        <f>'假日(17-19)'!$O$97+'假日(17-19)'!$O$116+'假日(17-19)'!$O$135+'假日(17-19)'!$O$154</f>
        <v>0</v>
      </c>
      <c r="BR17" s="175">
        <f>'假日(17-19)'!$Q$97+'假日(17-19)'!$Q$116+'假日(17-19)'!$Q$135+'假日(17-19)'!$Q$154</f>
        <v>0</v>
      </c>
      <c r="BT17" s="172" t="str">
        <f>CONCATENATE(基本資料!$B$18,"方向","平均延滯")</f>
        <v>A方向平均延滯</v>
      </c>
      <c r="BU17" s="177" t="str">
        <f>IF(ISERROR(VLOOKUP($BX$119,資料分析!BT4:BU16,2,1)),"-",VLOOKUP($BX$119,BT4:BU16,2,1))</f>
        <v>-</v>
      </c>
      <c r="BV17" s="177"/>
      <c r="BW17" s="172"/>
      <c r="BX17" s="172"/>
      <c r="BY17" s="172"/>
    </row>
    <row r="18" spans="2:77">
      <c r="B18" s="172" t="str">
        <f>CONCATENATE(基本資料!$C$18,"方向","平均延滯")</f>
        <v>B方向平均延滯</v>
      </c>
      <c r="C18" s="177" t="str">
        <f>IF(ISERROR(VLOOKUP($F$63,B13:C17,2,1)),"-",VLOOKUP($F$63,B13:C17,2,1))</f>
        <v>-</v>
      </c>
      <c r="D18" s="177"/>
      <c r="E18" s="172"/>
      <c r="F18" s="172"/>
      <c r="G18" s="172"/>
      <c r="I18" s="172" t="str">
        <f>CONCATENATE(基本資料!$C$18,"方向","平均延滯")</f>
        <v>B方向平均延滯</v>
      </c>
      <c r="J18" s="177" t="str">
        <f>IF(ISERROR(VLOOKUP($M$63,I13:J17,2,1)),"-",VLOOKUP($M$63,I13:J17,2,1))</f>
        <v>-</v>
      </c>
      <c r="K18" s="177"/>
      <c r="L18" s="172"/>
      <c r="M18" s="172"/>
      <c r="N18" s="172"/>
      <c r="P18" s="172" t="str">
        <f>CONCATENATE(基本資料!$C$18,"方向","平均延滯")</f>
        <v>B方向平均延滯</v>
      </c>
      <c r="Q18" s="177" t="str">
        <f>IF(ISERROR(VLOOKUP($T$63,P13:Q17,2,1)),"-",VLOOKUP($T$63,P13:Q17,2,1))</f>
        <v>-</v>
      </c>
      <c r="R18" s="177"/>
      <c r="S18" s="172"/>
      <c r="T18" s="172"/>
      <c r="U18" s="172"/>
      <c r="W18" s="172" t="str">
        <f>CONCATENATE(基本資料!$C$18,"方向","平均延滯")</f>
        <v>B方向平均延滯</v>
      </c>
      <c r="X18" s="177" t="str">
        <f>IF(ISERROR(VLOOKUP($AA$63,W13:X17,2,1)),"-",VLOOKUP($AA$63,W13:X17,2,1))</f>
        <v>-</v>
      </c>
      <c r="Y18" s="177"/>
      <c r="Z18" s="172"/>
      <c r="AA18" s="172"/>
      <c r="AB18" s="172"/>
      <c r="AD18" s="172" t="str">
        <f>CONCATENATE(基本資料!$C$18,"方向","平均延滯")</f>
        <v>B方向平均延滯</v>
      </c>
      <c r="AE18" s="177" t="str">
        <f>IF(ISERROR(VLOOKUP($AH$63,AD13:AE17,2,1)),"-",VLOOKUP($AH$63,AD13:AE17,2,1))</f>
        <v>-</v>
      </c>
      <c r="AF18" s="177"/>
      <c r="AG18" s="172"/>
      <c r="AH18" s="172"/>
      <c r="AI18" s="172"/>
      <c r="AK18" s="172" t="str">
        <f>CONCATENATE(基本資料!$C$18,"方向","平均延滯")</f>
        <v>B方向平均延滯</v>
      </c>
      <c r="AL18" s="177" t="str">
        <f>IF(ISERROR(VLOOKUP($AO$63,AK13:AL17,2,1)),"-",VLOOKUP($AO$63,AK13:AL17,2,1))</f>
        <v>-</v>
      </c>
      <c r="AM18" s="177"/>
      <c r="AN18" s="172"/>
      <c r="AO18" s="172"/>
      <c r="AP18" s="172"/>
      <c r="AR18" s="172" t="str">
        <f>CONCATENATE(基本資料!$C$18,"方向","平均延滯")</f>
        <v>B方向平均延滯</v>
      </c>
      <c r="AS18" s="177" t="str">
        <f>IF(ISERROR(VLOOKUP($AV$63,AR13:AS17,2,1)),"-",VLOOKUP($AV$63,AR13:AS17,2,1))</f>
        <v>-</v>
      </c>
      <c r="AT18" s="177"/>
      <c r="AU18" s="172"/>
      <c r="AV18" s="172"/>
      <c r="AW18" s="172"/>
      <c r="AY18" s="172" t="str">
        <f>CONCATENATE(基本資料!$C$18,"方向","平均延滯")</f>
        <v>B方向平均延滯</v>
      </c>
      <c r="AZ18" s="177" t="str">
        <f>IF(ISERROR(VLOOKUP($BC$63,AY13:AZ17,2,1)),"-",VLOOKUP($BC$63,AY13:AZ17,2,1))</f>
        <v>-</v>
      </c>
      <c r="BA18" s="177"/>
      <c r="BB18" s="172"/>
      <c r="BC18" s="172"/>
      <c r="BD18" s="172"/>
      <c r="BF18" s="172" t="str">
        <f>CONCATENATE(基本資料!$C$18,"方向","平均延滯")</f>
        <v>B方向平均延滯</v>
      </c>
      <c r="BG18" s="177" t="str">
        <f>IF(ISERROR(VLOOKUP($BJ$63,BF13:BG17,2,1)),"-",VLOOKUP($BJ$63,BF13:BG17,2,1))</f>
        <v>-</v>
      </c>
      <c r="BH18" s="177"/>
      <c r="BI18" s="172"/>
      <c r="BJ18" s="172"/>
      <c r="BK18" s="172"/>
      <c r="BM18" s="172" t="str">
        <f>CONCATENATE(基本資料!$C$18,"方向","平均延滯")</f>
        <v>B方向平均延滯</v>
      </c>
      <c r="BN18" s="177" t="str">
        <f>IF(ISERROR(VLOOKUP($BQ$63,BM13:BN17,2,1)),"-",VLOOKUP($BQ$63,BM13:BN17,2,1))</f>
        <v>-</v>
      </c>
      <c r="BO18" s="177"/>
      <c r="BP18" s="172"/>
      <c r="BQ18" s="172"/>
      <c r="BR18" s="172"/>
      <c r="BT18" s="172" t="str">
        <f>CONCATENATE(基本資料!$B$18,"方向","平均停等車輛延滯")</f>
        <v>A方向平均停等車輛延滯</v>
      </c>
      <c r="BU18" s="177"/>
      <c r="BV18" s="177" t="str">
        <f>IF(ISERROR(VLOOKUP($BX$120,BT4:BV16,3,1)),"-",VLOOKUP($BX$120,BT4:BV16,3,1))</f>
        <v>-</v>
      </c>
      <c r="BW18" s="172"/>
      <c r="BX18" s="172"/>
      <c r="BY18" s="172"/>
    </row>
    <row r="19" spans="2:77">
      <c r="B19" s="172" t="str">
        <f>CONCATENATE(基本資料!$C$18,"方向","平均停等車輛延滯")</f>
        <v>B方向平均停等車輛延滯</v>
      </c>
      <c r="C19" s="177"/>
      <c r="D19" s="177" t="str">
        <f>IF(ISERROR(VLOOKUP($F$64,B13:D17,3,1)),"-",VLOOKUP($F$64,B13:D17,3,1))</f>
        <v>-</v>
      </c>
      <c r="E19" s="172"/>
      <c r="F19" s="172"/>
      <c r="G19" s="172"/>
      <c r="I19" s="172" t="str">
        <f>CONCATENATE(基本資料!$C$18,"方向","平均停等車輛延滯")</f>
        <v>B方向平均停等車輛延滯</v>
      </c>
      <c r="J19" s="177"/>
      <c r="K19" s="177" t="str">
        <f>IF(ISERROR(VLOOKUP($M$64,I13:K17,3,1)),"-",VLOOKUP($M$64,I13:K17,3,1))</f>
        <v>-</v>
      </c>
      <c r="L19" s="172"/>
      <c r="M19" s="172"/>
      <c r="N19" s="172"/>
      <c r="P19" s="172" t="str">
        <f>CONCATENATE(基本資料!$C$18,"方向","平均停等車輛延滯")</f>
        <v>B方向平均停等車輛延滯</v>
      </c>
      <c r="Q19" s="177"/>
      <c r="R19" s="177" t="str">
        <f>IF(ISERROR(VLOOKUP($T$64,P13:R17,3,1)),"-",VLOOKUP($T$64,P13:R17,3,1))</f>
        <v>-</v>
      </c>
      <c r="S19" s="172"/>
      <c r="T19" s="172"/>
      <c r="U19" s="172"/>
      <c r="W19" s="172" t="str">
        <f>CONCATENATE(基本資料!$C$18,"方向","平均停等車輛延滯")</f>
        <v>B方向平均停等車輛延滯</v>
      </c>
      <c r="X19" s="177"/>
      <c r="Y19" s="177" t="str">
        <f>IF(ISERROR(VLOOKUP($AA$64,W13:Y17,3,1)),"-",VLOOKUP($AA$64,W13:Y17,3,1))</f>
        <v>-</v>
      </c>
      <c r="Z19" s="172"/>
      <c r="AA19" s="172"/>
      <c r="AB19" s="172"/>
      <c r="AD19" s="172" t="str">
        <f>CONCATENATE(基本資料!$C$18,"方向","平均停等車輛延滯")</f>
        <v>B方向平均停等車輛延滯</v>
      </c>
      <c r="AE19" s="177"/>
      <c r="AF19" s="177" t="str">
        <f>IF(ISERROR(VLOOKUP($AH$64,AD13:AF17,3,1)),"-",VLOOKUP($AH$64,AD13:AF17,3,1))</f>
        <v>-</v>
      </c>
      <c r="AG19" s="172"/>
      <c r="AH19" s="172"/>
      <c r="AI19" s="172"/>
      <c r="AK19" s="172" t="str">
        <f>CONCATENATE(基本資料!$C$18,"方向","平均停等車輛延滯")</f>
        <v>B方向平均停等車輛延滯</v>
      </c>
      <c r="AL19" s="177"/>
      <c r="AM19" s="177" t="str">
        <f>IF(ISERROR(VLOOKUP($AO$64,AK13:AM17,3,1)),"-",VLOOKUP($AO$64,AK13:AM17,3,1))</f>
        <v>-</v>
      </c>
      <c r="AN19" s="172"/>
      <c r="AO19" s="172"/>
      <c r="AP19" s="172"/>
      <c r="AR19" s="172" t="str">
        <f>CONCATENATE(基本資料!$C$18,"方向","平均停等車輛延滯")</f>
        <v>B方向平均停等車輛延滯</v>
      </c>
      <c r="AS19" s="177"/>
      <c r="AT19" s="177" t="str">
        <f>IF(ISERROR(VLOOKUP($AV$64,AR13:AT17,3,1)),"-",VLOOKUP($AV$64,AR13:AT17,3,1))</f>
        <v>-</v>
      </c>
      <c r="AU19" s="172"/>
      <c r="AV19" s="172"/>
      <c r="AW19" s="172"/>
      <c r="AY19" s="172" t="str">
        <f>CONCATENATE(基本資料!$C$18,"方向","平均停等車輛延滯")</f>
        <v>B方向平均停等車輛延滯</v>
      </c>
      <c r="AZ19" s="177"/>
      <c r="BA19" s="177" t="str">
        <f>IF(ISERROR(VLOOKUP($BC$64,AY13:BA17,3,1)),"-",VLOOKUP($BC$64,AY13:BA17,3,1))</f>
        <v>-</v>
      </c>
      <c r="BB19" s="172"/>
      <c r="BC19" s="172"/>
      <c r="BD19" s="172"/>
      <c r="BF19" s="172" t="str">
        <f>CONCATENATE(基本資料!$C$18,"方向","平均停等車輛延滯")</f>
        <v>B方向平均停等車輛延滯</v>
      </c>
      <c r="BG19" s="177"/>
      <c r="BH19" s="177" t="str">
        <f>IF(ISERROR(VLOOKUP($BJ$64,BF13:BH17,3,1)),"-",VLOOKUP($BJ$64,BF13:BH17,3,1))</f>
        <v>-</v>
      </c>
      <c r="BI19" s="172"/>
      <c r="BJ19" s="172"/>
      <c r="BK19" s="172"/>
      <c r="BM19" s="172" t="str">
        <f>CONCATENATE(基本資料!$C$18,"方向","平均停等車輛延滯")</f>
        <v>B方向平均停等車輛延滯</v>
      </c>
      <c r="BN19" s="177"/>
      <c r="BO19" s="177" t="str">
        <f>IF(ISERROR(VLOOKUP($BQ$64,BM13:BO17,3,1)),"-",VLOOKUP($BQ$64,BM13:BO17,3,1))</f>
        <v>-</v>
      </c>
      <c r="BP19" s="172"/>
      <c r="BQ19" s="172"/>
      <c r="BR19" s="172"/>
      <c r="BT19" s="263" t="str">
        <f>'假日(16-18)'!$J$2</f>
        <v>B方向：</v>
      </c>
      <c r="BU19" s="264"/>
      <c r="BV19" s="264"/>
      <c r="BW19" s="264"/>
      <c r="BX19" s="264"/>
      <c r="BY19" s="265"/>
    </row>
    <row r="20" spans="2:77">
      <c r="B20" s="261" t="str">
        <f>'平日晨峰(07-09)'!$S$2</f>
        <v>C方向：</v>
      </c>
      <c r="C20" s="261"/>
      <c r="D20" s="261"/>
      <c r="E20" s="261"/>
      <c r="F20" s="261"/>
      <c r="G20" s="261"/>
      <c r="I20" s="261" t="str">
        <f>'平日晨峰(07-09)'!$S$2</f>
        <v>C方向：</v>
      </c>
      <c r="J20" s="261"/>
      <c r="K20" s="261"/>
      <c r="L20" s="261"/>
      <c r="M20" s="261"/>
      <c r="N20" s="261"/>
      <c r="P20" s="261" t="str">
        <f>'平日中午(11-13)'!$S$2</f>
        <v>C方向：</v>
      </c>
      <c r="Q20" s="261"/>
      <c r="R20" s="261"/>
      <c r="S20" s="261"/>
      <c r="T20" s="261"/>
      <c r="U20" s="261"/>
      <c r="W20" s="261" t="str">
        <f>'平日中午(11-13)'!$S$2</f>
        <v>C方向：</v>
      </c>
      <c r="X20" s="261"/>
      <c r="Y20" s="261"/>
      <c r="Z20" s="261"/>
      <c r="AA20" s="261"/>
      <c r="AB20" s="261"/>
      <c r="AD20" s="261" t="str">
        <f>'平日昏峰(17-19)'!$S$2</f>
        <v>C方向：</v>
      </c>
      <c r="AE20" s="261"/>
      <c r="AF20" s="261"/>
      <c r="AG20" s="261"/>
      <c r="AH20" s="261"/>
      <c r="AI20" s="261"/>
      <c r="AK20" s="261" t="str">
        <f>'假日(11-12)'!$S$2</f>
        <v>C方向：</v>
      </c>
      <c r="AL20" s="261"/>
      <c r="AM20" s="261"/>
      <c r="AN20" s="261"/>
      <c r="AO20" s="261"/>
      <c r="AP20" s="261"/>
      <c r="AR20" s="261" t="str">
        <f>'假日(1430-1530)'!$S$2</f>
        <v>C方向：</v>
      </c>
      <c r="AS20" s="261"/>
      <c r="AT20" s="261"/>
      <c r="AU20" s="261"/>
      <c r="AV20" s="261"/>
      <c r="AW20" s="261"/>
      <c r="AY20" s="261" t="str">
        <f>'假日(1730-1830)'!$S$2</f>
        <v>C方向：</v>
      </c>
      <c r="AZ20" s="261"/>
      <c r="BA20" s="261"/>
      <c r="BB20" s="261"/>
      <c r="BC20" s="261"/>
      <c r="BD20" s="261"/>
      <c r="BF20" s="261" t="str">
        <f>'假日(16-18)'!$S$2</f>
        <v>C方向：</v>
      </c>
      <c r="BG20" s="261"/>
      <c r="BH20" s="261"/>
      <c r="BI20" s="261"/>
      <c r="BJ20" s="261"/>
      <c r="BK20" s="261"/>
      <c r="BM20" s="261" t="str">
        <f>'假日(17-19)'!$S$2</f>
        <v>C方向：</v>
      </c>
      <c r="BN20" s="261"/>
      <c r="BO20" s="261"/>
      <c r="BP20" s="261"/>
      <c r="BQ20" s="261"/>
      <c r="BR20" s="261"/>
      <c r="BT20" s="172" t="s">
        <v>129</v>
      </c>
      <c r="BU20" s="173" t="s">
        <v>135</v>
      </c>
      <c r="BV20" s="174" t="s">
        <v>131</v>
      </c>
      <c r="BW20" s="173" t="s">
        <v>132</v>
      </c>
      <c r="BX20" s="173" t="s">
        <v>133</v>
      </c>
      <c r="BY20" s="173" t="s">
        <v>134</v>
      </c>
    </row>
    <row r="21" spans="2:77">
      <c r="B21" s="172" t="s">
        <v>129</v>
      </c>
      <c r="C21" s="173" t="s">
        <v>135</v>
      </c>
      <c r="D21" s="174" t="s">
        <v>131</v>
      </c>
      <c r="E21" s="173" t="s">
        <v>132</v>
      </c>
      <c r="F21" s="173" t="s">
        <v>133</v>
      </c>
      <c r="G21" s="173" t="s">
        <v>134</v>
      </c>
      <c r="I21" s="172" t="s">
        <v>129</v>
      </c>
      <c r="J21" s="173" t="s">
        <v>135</v>
      </c>
      <c r="K21" s="174" t="s">
        <v>131</v>
      </c>
      <c r="L21" s="173" t="s">
        <v>132</v>
      </c>
      <c r="M21" s="173" t="s">
        <v>133</v>
      </c>
      <c r="N21" s="173" t="s">
        <v>134</v>
      </c>
      <c r="P21" s="172" t="s">
        <v>129</v>
      </c>
      <c r="Q21" s="173" t="s">
        <v>135</v>
      </c>
      <c r="R21" s="174" t="s">
        <v>131</v>
      </c>
      <c r="S21" s="173" t="s">
        <v>132</v>
      </c>
      <c r="T21" s="173" t="s">
        <v>133</v>
      </c>
      <c r="U21" s="173" t="s">
        <v>134</v>
      </c>
      <c r="W21" s="172" t="s">
        <v>129</v>
      </c>
      <c r="X21" s="173" t="s">
        <v>135</v>
      </c>
      <c r="Y21" s="174" t="s">
        <v>131</v>
      </c>
      <c r="Z21" s="173" t="s">
        <v>132</v>
      </c>
      <c r="AA21" s="173" t="s">
        <v>133</v>
      </c>
      <c r="AB21" s="173" t="s">
        <v>134</v>
      </c>
      <c r="AD21" s="172" t="s">
        <v>129</v>
      </c>
      <c r="AE21" s="173" t="s">
        <v>135</v>
      </c>
      <c r="AF21" s="174" t="s">
        <v>131</v>
      </c>
      <c r="AG21" s="173" t="s">
        <v>132</v>
      </c>
      <c r="AH21" s="173" t="s">
        <v>133</v>
      </c>
      <c r="AI21" s="173" t="s">
        <v>134</v>
      </c>
      <c r="AK21" s="172" t="s">
        <v>129</v>
      </c>
      <c r="AL21" s="173" t="s">
        <v>135</v>
      </c>
      <c r="AM21" s="174" t="s">
        <v>131</v>
      </c>
      <c r="AN21" s="173" t="s">
        <v>132</v>
      </c>
      <c r="AO21" s="173" t="s">
        <v>133</v>
      </c>
      <c r="AP21" s="173" t="s">
        <v>134</v>
      </c>
      <c r="AR21" s="172" t="s">
        <v>129</v>
      </c>
      <c r="AS21" s="173" t="s">
        <v>135</v>
      </c>
      <c r="AT21" s="174" t="s">
        <v>131</v>
      </c>
      <c r="AU21" s="173" t="s">
        <v>132</v>
      </c>
      <c r="AV21" s="173" t="s">
        <v>133</v>
      </c>
      <c r="AW21" s="173" t="s">
        <v>134</v>
      </c>
      <c r="AY21" s="172" t="s">
        <v>129</v>
      </c>
      <c r="AZ21" s="173" t="s">
        <v>135</v>
      </c>
      <c r="BA21" s="174" t="s">
        <v>131</v>
      </c>
      <c r="BB21" s="173" t="s">
        <v>132</v>
      </c>
      <c r="BC21" s="173" t="s">
        <v>133</v>
      </c>
      <c r="BD21" s="173" t="s">
        <v>134</v>
      </c>
      <c r="BF21" s="172" t="s">
        <v>129</v>
      </c>
      <c r="BG21" s="173" t="s">
        <v>135</v>
      </c>
      <c r="BH21" s="174" t="s">
        <v>131</v>
      </c>
      <c r="BI21" s="173" t="s">
        <v>132</v>
      </c>
      <c r="BJ21" s="173" t="s">
        <v>133</v>
      </c>
      <c r="BK21" s="173" t="s">
        <v>134</v>
      </c>
      <c r="BM21" s="172" t="s">
        <v>129</v>
      </c>
      <c r="BN21" s="173" t="s">
        <v>135</v>
      </c>
      <c r="BO21" s="174" t="s">
        <v>131</v>
      </c>
      <c r="BP21" s="173" t="s">
        <v>132</v>
      </c>
      <c r="BQ21" s="173" t="s">
        <v>133</v>
      </c>
      <c r="BR21" s="173" t="s">
        <v>134</v>
      </c>
      <c r="BT21" s="175" t="s">
        <v>141</v>
      </c>
      <c r="BU21" s="176" t="str">
        <f>IF(ISERROR($BW21/BX21),"-",$BW21/BX21)</f>
        <v>-</v>
      </c>
      <c r="BV21" s="176" t="str">
        <f>IF(ISERROR($BW21/BY21),"-",$BW21/BY21)</f>
        <v>-</v>
      </c>
      <c r="BW21" s="175">
        <f>('假日(16-20)'!$K$21+'假日(16-20)'!$K$40+'假日(16-20)'!$K$59+'假日(16-20)'!$K$78)*15</f>
        <v>0</v>
      </c>
      <c r="BX21" s="175">
        <f>'假日(16-20)'!$O$21+'假日(16-20)'!$O$40+'假日(16-20)'!$O$59+'假日(16-20)'!$O$78</f>
        <v>0</v>
      </c>
      <c r="BY21" s="175">
        <f>'假日(16-20)'!$Q$21+'假日(16-20)'!$Q$40+'假日(16-20)'!$Q$59+'假日(16-20)'!$Q$78</f>
        <v>0</v>
      </c>
    </row>
    <row r="22" spans="2:77">
      <c r="B22" s="175" t="s">
        <v>193</v>
      </c>
      <c r="C22" s="176" t="str">
        <f t="shared" ref="C22:D26" si="18">IF(ISERROR($E22/F22),"-",$E22/F22)</f>
        <v>-</v>
      </c>
      <c r="D22" s="176" t="str">
        <f t="shared" si="18"/>
        <v>-</v>
      </c>
      <c r="E22" s="175">
        <f>('平日晨峰(0630-0830)'!$T$21+'平日晨峰(0630-0830)'!$T$40+'平日晨峰(0630-0830)'!$T$59+'平日晨峰(0630-0830)'!$T$78)*15</f>
        <v>0</v>
      </c>
      <c r="F22" s="175">
        <f>'平日晨峰(0630-0830)'!$X$21+'平日晨峰(0630-0830)'!$X$40+'平日晨峰(0630-0830)'!$X$59+'平日晨峰(0630-0830)'!$X$78</f>
        <v>0</v>
      </c>
      <c r="G22" s="175">
        <f>'平日晨峰(0630-0830)'!$Z$21+'平日晨峰(0630-0830)'!$Z$40+'平日晨峰(0630-0830)'!$Z$59+'平日晨峰(0630-0830)'!$Z$78</f>
        <v>0</v>
      </c>
      <c r="I22" s="175" t="str">
        <f>$I$4</f>
        <v>07:00~08:00</v>
      </c>
      <c r="J22" s="176" t="str">
        <f t="shared" ref="J22:K26" si="19">IF(ISERROR($L22/M22),"-",$L22/M22)</f>
        <v>-</v>
      </c>
      <c r="K22" s="176" t="str">
        <f t="shared" si="19"/>
        <v>-</v>
      </c>
      <c r="L22" s="175">
        <f>('平日晨峰(07-09)'!$T$21+'平日晨峰(07-09)'!$T$40+'平日晨峰(07-09)'!$T$59+'平日晨峰(07-09)'!$T$78)*15</f>
        <v>0</v>
      </c>
      <c r="M22" s="175">
        <f>'平日晨峰(07-09)'!$X$21+'平日晨峰(07-09)'!$X$40+'平日晨峰(07-09)'!$X$59+'平日晨峰(07-09)'!$X$78</f>
        <v>0</v>
      </c>
      <c r="N22" s="175">
        <f>'平日晨峰(07-09)'!$Z$21+'平日晨峰(07-09)'!$Z$40+'平日晨峰(07-09)'!$Z$59+'平日晨峰(07-09)'!$Z$78</f>
        <v>0</v>
      </c>
      <c r="P22" s="175" t="str">
        <f>P13</f>
        <v>11:00~12:00</v>
      </c>
      <c r="Q22" s="176" t="str">
        <f>IF(ISERROR($S22/T22),"-",$S22/T22)</f>
        <v>-</v>
      </c>
      <c r="R22" s="176" t="str">
        <f>IF(ISERROR($T22/U22),"-",$T22/U22)</f>
        <v>-</v>
      </c>
      <c r="S22" s="175">
        <f>('平日中午(11-13)'!$T$21+'平日中午(11-13)'!$T$40+'平日中午(11-13)'!$T$59+'平日中午(11-13)'!$T$78)*15</f>
        <v>0</v>
      </c>
      <c r="T22" s="175">
        <f>'平日中午(11-13)'!$X$21+'平日中午(11-13)'!$X$40+'平日中午(11-13)'!$X$59+'平日中午(11-13)'!$X$78</f>
        <v>0</v>
      </c>
      <c r="U22" s="175">
        <f>'平日中午(11-13)'!$Z$21+'平日中午(11-13)'!$Z$40+'平日中午(11-13)'!$Z$59+'平日中午(11-13)'!$Z$78</f>
        <v>0</v>
      </c>
      <c r="W22" s="175" t="str">
        <f>W13</f>
        <v>1200~13:00</v>
      </c>
      <c r="X22" s="176" t="str">
        <f t="shared" ref="X22:Y26" si="20">IF(ISERROR($Z22/AA22),"-",$Z22/AA22)</f>
        <v>-</v>
      </c>
      <c r="Y22" s="176" t="str">
        <f t="shared" si="20"/>
        <v>-</v>
      </c>
      <c r="Z22" s="175">
        <f>('平日中午(12-14)'!$T$21+'平日中午(12-14)'!$T$40+'平日中午(12-14)'!$T$59+'平日中午(12-14)'!$T$78)*15</f>
        <v>0</v>
      </c>
      <c r="AA22" s="175">
        <f>'平日中午(12-14)'!$X$21+'平日中午(12-14)'!$X$40+'平日中午(12-14)'!$X$59+'平日中午(12-14)'!$X$78</f>
        <v>0</v>
      </c>
      <c r="AB22" s="175">
        <f>'平日中午(12-14)'!$Z$21+'平日中午(12-14)'!$Z$40+'平日中午(12-14)'!$Z$59+'平日中午(12-14)'!$Z$78</f>
        <v>0</v>
      </c>
      <c r="AD22" s="175" t="str">
        <f>$AD$4</f>
        <v>17:00~18:00</v>
      </c>
      <c r="AE22" s="176" t="str">
        <f t="shared" ref="AE22:AF26" si="21">IF(ISERROR($AG22/AH22),"-",$AG22/AH22)</f>
        <v>-</v>
      </c>
      <c r="AF22" s="176" t="str">
        <f t="shared" si="21"/>
        <v>-</v>
      </c>
      <c r="AG22" s="175">
        <f>('平日昏峰(17-19)'!$T$21+'平日昏峰(17-19)'!$T$40+'平日昏峰(17-19)'!$T$59+'平日昏峰(17-19)'!$T$78)*15</f>
        <v>0</v>
      </c>
      <c r="AH22" s="175">
        <f>'平日昏峰(17-19)'!$X$21+'平日昏峰(17-19)'!$X$40+'平日昏峰(17-19)'!$X$59+'平日昏峰(17-19)'!$X$78</f>
        <v>0</v>
      </c>
      <c r="AI22" s="175">
        <f>'平日昏峰(17-19)'!$Z$21+'平日昏峰(17-19)'!$Z$40+'平日昏峰(17-19)'!$Z$59+'平日昏峰(17-19)'!$Z$78</f>
        <v>0</v>
      </c>
      <c r="AK22" s="175" t="str">
        <f>$AK$4</f>
        <v>11:00~12:00</v>
      </c>
      <c r="AL22" s="176" t="str">
        <f t="shared" ref="AL22:AM26" si="22">IF(ISERROR($AN22/AO22),"-",$AN22/AO22)</f>
        <v>-</v>
      </c>
      <c r="AM22" s="176" t="str">
        <f t="shared" si="22"/>
        <v>-</v>
      </c>
      <c r="AN22" s="175">
        <f>('假日(11-12)'!$T$21+'假日(11-12)'!$T$40+'假日(11-12)'!$T$59+'假日(11-12)'!$T$78)*15</f>
        <v>0</v>
      </c>
      <c r="AO22" s="175">
        <f>'假日(11-12)'!$X$21+'假日(11-12)'!$X$40+'假日(11-12)'!$X$59+'假日(11-12)'!$X$78</f>
        <v>0</v>
      </c>
      <c r="AP22" s="175">
        <f>'假日(11-12)'!$Z$21+'假日(11-12)'!$Z$40+'假日(11-12)'!$Z$59+'假日(11-12)'!$Z$78</f>
        <v>0</v>
      </c>
      <c r="AR22" s="175" t="str">
        <f>$AR$4</f>
        <v>14:30~15:30</v>
      </c>
      <c r="AS22" s="176" t="str">
        <f t="shared" ref="AS22:AT26" si="23">IF(ISERROR($AU22/AV22),"-",$AU22/AV22)</f>
        <v>-</v>
      </c>
      <c r="AT22" s="176" t="str">
        <f t="shared" si="23"/>
        <v>-</v>
      </c>
      <c r="AU22" s="175">
        <f>('假日(1430-1530)'!$T$21+'假日(1430-1530)'!$T$40+'假日(1430-1530)'!$T$59+'假日(1430-1530)'!$T$78)*15</f>
        <v>0</v>
      </c>
      <c r="AV22" s="175">
        <f>'假日(1430-1530)'!$X$21+'假日(1430-1530)'!$X$40+'假日(1430-1530)'!$X$59+'假日(1430-1530)'!$X$78</f>
        <v>0</v>
      </c>
      <c r="AW22" s="175">
        <f>'假日(1430-1530)'!$Z$21+'假日(1430-1530)'!$Z$40+'假日(1430-1530)'!$Z$59+'假日(1430-1530)'!$Z$78</f>
        <v>0</v>
      </c>
      <c r="AY22" s="175" t="str">
        <f>AY13</f>
        <v>17:30~18:30</v>
      </c>
      <c r="AZ22" s="176" t="str">
        <f t="shared" ref="AZ22:BA26" si="24">IF(ISERROR($BB22/BC22),"-",$BB22/BC22)</f>
        <v>-</v>
      </c>
      <c r="BA22" s="176" t="str">
        <f t="shared" si="24"/>
        <v>-</v>
      </c>
      <c r="BB22" s="175">
        <f>('假日(1730-1830)'!$T$21+'假日(1730-1830)'!$T$40+'假日(1730-1830)'!$T$59+'假日(1730-1830)'!$T$78)*15</f>
        <v>0</v>
      </c>
      <c r="BC22" s="175">
        <f>'假日(1730-1830)'!$X$21+'假日(1730-1830)'!$X$40+'假日(1730-1830)'!$X$59+'假日(1730-1830)'!$X$78</f>
        <v>0</v>
      </c>
      <c r="BD22" s="175">
        <f>'假日(1730-1830)'!$Z$21+'假日(1730-1830)'!$Z$40+'假日(1730-1830)'!$Z$59+'假日(1730-1830)'!$Z$78</f>
        <v>0</v>
      </c>
      <c r="BF22" s="175" t="str">
        <f>BF13</f>
        <v>16:00~17:00</v>
      </c>
      <c r="BG22" s="176" t="str">
        <f t="shared" ref="BG22:BH26" si="25">IF(ISERROR($BI22/BJ22),"-",$BI22/BJ22)</f>
        <v>-</v>
      </c>
      <c r="BH22" s="176" t="str">
        <f t="shared" si="25"/>
        <v>-</v>
      </c>
      <c r="BI22" s="175">
        <f>('假日(16-18)'!$T$21+'假日(16-18)'!$T$40+'假日(16-18)'!$T$59+'假日(16-18)'!$T$78)*15</f>
        <v>0</v>
      </c>
      <c r="BJ22" s="175">
        <f>'假日(16-18)'!$X$21+'假日(16-18)'!$X$40+'假日(16-18)'!$X$59+'假日(16-18)'!$X$78</f>
        <v>0</v>
      </c>
      <c r="BK22" s="175">
        <f>'假日(16-18)'!$Z$21+'假日(16-18)'!$Z$40+'假日(16-18)'!$Z$59+'假日(16-18)'!$Z$78</f>
        <v>0</v>
      </c>
      <c r="BM22" s="175" t="str">
        <f>BM13</f>
        <v>17:00~18:00</v>
      </c>
      <c r="BN22" s="176" t="str">
        <f t="shared" ref="BN22:BO26" si="26">IF(ISERROR($BP22/BQ22),"-",$BP22/BQ22)</f>
        <v>-</v>
      </c>
      <c r="BO22" s="176" t="str">
        <f t="shared" si="26"/>
        <v>-</v>
      </c>
      <c r="BP22" s="175">
        <f>('假日(17-19)'!$T$21+'假日(17-19)'!$T$40+'假日(17-19)'!$T$59+'假日(17-19)'!$T$78)*15</f>
        <v>0</v>
      </c>
      <c r="BQ22" s="175">
        <f>'假日(17-19)'!$X$21+'假日(17-19)'!$X$40+'假日(17-19)'!$X$59+'假日(17-19)'!$X$78</f>
        <v>0</v>
      </c>
      <c r="BR22" s="175">
        <f>'假日(17-19)'!$Z$21+'假日(17-19)'!$Z$40+'假日(17-19)'!$Z$59+'假日(17-19)'!$Z$78</f>
        <v>0</v>
      </c>
      <c r="BT22" s="175" t="s">
        <v>145</v>
      </c>
      <c r="BU22" s="176" t="str">
        <f>IF(ISERROR($BW22/BX22),"-",$BW22/BX22)</f>
        <v>-</v>
      </c>
      <c r="BV22" s="176" t="str">
        <f>IF(ISERROR($BW22/BY22),"-",$BW22/BY22)</f>
        <v>-</v>
      </c>
      <c r="BW22" s="175">
        <f>('假日(16-20)'!$K$40+'假日(16-20)'!$K$59+'假日(16-20)'!$K$78+'假日(16-20)'!$K$97)*15</f>
        <v>0</v>
      </c>
      <c r="BX22" s="175">
        <f>'假日(16-20)'!$O$40+'假日(16-20)'!$O$59+'假日(16-20)'!$O$78+'假日(16-20)'!$O$97</f>
        <v>0</v>
      </c>
      <c r="BY22" s="175">
        <f>'假日(16-20)'!$Q$40+'假日(16-20)'!$Q$59+'假日(16-20)'!$Q$78+'假日(16-20)'!$Q$97</f>
        <v>0</v>
      </c>
    </row>
    <row r="23" spans="2:77">
      <c r="B23" s="175" t="s">
        <v>194</v>
      </c>
      <c r="C23" s="176" t="str">
        <f t="shared" si="18"/>
        <v>-</v>
      </c>
      <c r="D23" s="176" t="str">
        <f t="shared" si="18"/>
        <v>-</v>
      </c>
      <c r="E23" s="175">
        <f>('平日晨峰(0630-0830)'!$T$40+'平日晨峰(0630-0830)'!$T$59+'平日晨峰(0630-0830)'!$T$78+'平日晨峰(0630-0830)'!$T$97)*15</f>
        <v>0</v>
      </c>
      <c r="F23" s="175">
        <f>'平日晨峰(0630-0830)'!$X$40+'平日晨峰(0630-0830)'!$X$59+'平日晨峰(0630-0830)'!$X$78+'平日晨峰(0630-0830)'!$X$97</f>
        <v>0</v>
      </c>
      <c r="G23" s="175">
        <f>'平日晨峰(0630-0830)'!$Z$40+'平日晨峰(0630-0830)'!$Z$59+'平日晨峰(0630-0830)'!$Z$78+'平日晨峰(0630-0830)'!$Z$97</f>
        <v>0</v>
      </c>
      <c r="I23" s="175" t="str">
        <f>$I$5</f>
        <v>07:15~08:15</v>
      </c>
      <c r="J23" s="176" t="str">
        <f t="shared" si="19"/>
        <v>-</v>
      </c>
      <c r="K23" s="176" t="str">
        <f t="shared" si="19"/>
        <v>-</v>
      </c>
      <c r="L23" s="175">
        <f>('平日晨峰(07-09)'!$T$40+'平日晨峰(07-09)'!$T$59+'平日晨峰(07-09)'!$T$78+'平日晨峰(07-09)'!$T$97)*15</f>
        <v>0</v>
      </c>
      <c r="M23" s="175">
        <f>'平日晨峰(07-09)'!$X$40+'平日晨峰(07-09)'!$X$59+'平日晨峰(07-09)'!$X$78+'平日晨峰(07-09)'!$X$97</f>
        <v>0</v>
      </c>
      <c r="N23" s="175">
        <f>'平日晨峰(07-09)'!$Z$40+'平日晨峰(07-09)'!$Z$59+'平日晨峰(07-09)'!$Z$78+'平日晨峰(07-09)'!$Z$97</f>
        <v>0</v>
      </c>
      <c r="P23" s="175" t="str">
        <f>P14</f>
        <v>11:15~12:15</v>
      </c>
      <c r="Q23" s="176" t="str">
        <f>IF(ISERROR($S23/T23),"-",$S23/T23)</f>
        <v>-</v>
      </c>
      <c r="R23" s="176" t="str">
        <f>IF(ISERROR($T23/U23),"-",$T23/U23)</f>
        <v>-</v>
      </c>
      <c r="S23" s="175">
        <f>('平日中午(11-13)'!$T$40+'平日中午(11-13)'!$T$59+'平日中午(11-13)'!$T$78+'平日中午(11-13)'!$T$97)*15</f>
        <v>0</v>
      </c>
      <c r="T23" s="175">
        <f>'平日中午(11-13)'!$X$40+'平日中午(11-13)'!$X$59+'平日中午(11-13)'!$X$78+'平日中午(11-13)'!$X$97</f>
        <v>0</v>
      </c>
      <c r="U23" s="175">
        <f>'平日中午(11-13)'!$Z$40+'平日中午(11-13)'!$Z$59+'平日中午(11-13)'!$Z$78+'平日中午(11-13)'!$Z$97</f>
        <v>0</v>
      </c>
      <c r="W23" s="175" t="str">
        <f>W14</f>
        <v>12:15~13:15</v>
      </c>
      <c r="X23" s="176" t="str">
        <f t="shared" si="20"/>
        <v>-</v>
      </c>
      <c r="Y23" s="176" t="str">
        <f t="shared" si="20"/>
        <v>-</v>
      </c>
      <c r="Z23" s="175">
        <f>('平日中午(12-14)'!$T$40+'平日中午(12-14)'!$T$59+'平日中午(12-14)'!$T$78+'平日中午(12-14)'!$T$97)*15</f>
        <v>0</v>
      </c>
      <c r="AA23" s="175">
        <f>'平日中午(12-14)'!$X$40+'平日中午(12-14)'!$X$59+'平日中午(12-14)'!$X$78+'平日中午(12-14)'!$X$97</f>
        <v>0</v>
      </c>
      <c r="AB23" s="175">
        <f>'平日中午(12-14)'!$Z$40+'平日中午(12-14)'!$Z$59+'平日中午(12-14)'!$Z$78+'平日中午(12-14)'!$Z$97</f>
        <v>0</v>
      </c>
      <c r="AD23" s="175" t="str">
        <f>$AD$5</f>
        <v>17:15~18:15</v>
      </c>
      <c r="AE23" s="176" t="str">
        <f t="shared" si="21"/>
        <v>-</v>
      </c>
      <c r="AF23" s="176" t="str">
        <f t="shared" si="21"/>
        <v>-</v>
      </c>
      <c r="AG23" s="175">
        <f>('平日昏峰(17-19)'!$T$40+'平日昏峰(17-19)'!$T$59+'平日昏峰(17-19)'!$T$78+'平日昏峰(17-19)'!$T$97)*15</f>
        <v>0</v>
      </c>
      <c r="AH23" s="175">
        <f>'平日昏峰(17-19)'!$X$40+'平日昏峰(17-19)'!$X$59+'平日昏峰(17-19)'!$X$78+'平日昏峰(17-19)'!$X$97</f>
        <v>0</v>
      </c>
      <c r="AI23" s="175">
        <f>'平日昏峰(17-19)'!$Z$40+'平日昏峰(17-19)'!$Z$59+'平日昏峰(17-19)'!$Z$78+'平日昏峰(17-19)'!$Z$97</f>
        <v>0</v>
      </c>
      <c r="AK23" s="175">
        <f>$AK$5</f>
        <v>0</v>
      </c>
      <c r="AL23" s="176" t="str">
        <f t="shared" si="22"/>
        <v>-</v>
      </c>
      <c r="AM23" s="176" t="str">
        <f t="shared" si="22"/>
        <v>-</v>
      </c>
      <c r="AN23" s="175"/>
      <c r="AO23" s="175"/>
      <c r="AP23" s="175"/>
      <c r="AR23" s="175">
        <f>$AR$5</f>
        <v>0</v>
      </c>
      <c r="AS23" s="176" t="str">
        <f t="shared" si="23"/>
        <v>-</v>
      </c>
      <c r="AT23" s="176" t="str">
        <f t="shared" si="23"/>
        <v>-</v>
      </c>
      <c r="AU23" s="175"/>
      <c r="AV23" s="175"/>
      <c r="AW23" s="175"/>
      <c r="AY23" s="175">
        <f>AY14</f>
        <v>0</v>
      </c>
      <c r="AZ23" s="176" t="str">
        <f t="shared" si="24"/>
        <v>-</v>
      </c>
      <c r="BA23" s="176" t="str">
        <f t="shared" si="24"/>
        <v>-</v>
      </c>
      <c r="BB23" s="175"/>
      <c r="BC23" s="175"/>
      <c r="BD23" s="175"/>
      <c r="BF23" s="175" t="str">
        <f>BF14</f>
        <v>16:15~17:15</v>
      </c>
      <c r="BG23" s="176" t="str">
        <f t="shared" si="25"/>
        <v>-</v>
      </c>
      <c r="BH23" s="176" t="str">
        <f t="shared" si="25"/>
        <v>-</v>
      </c>
      <c r="BI23" s="175">
        <f>('假日(16-18)'!$T$40+'假日(16-18)'!$T$59+'假日(16-18)'!$T$78+'假日(16-18)'!$T$97)*15</f>
        <v>0</v>
      </c>
      <c r="BJ23" s="175">
        <f>'假日(16-18)'!$X$40+'假日(16-18)'!$X$59+'假日(16-18)'!$X$78+'假日(16-18)'!$X$97</f>
        <v>0</v>
      </c>
      <c r="BK23" s="175">
        <f>'假日(16-18)'!$Z$40+'假日(16-18)'!$Z$59+'假日(16-18)'!$Z$78+'假日(16-18)'!$Z$97</f>
        <v>0</v>
      </c>
      <c r="BM23" s="175" t="str">
        <f>BM14</f>
        <v>17:15~18:15</v>
      </c>
      <c r="BN23" s="176" t="str">
        <f t="shared" si="26"/>
        <v>-</v>
      </c>
      <c r="BO23" s="176" t="str">
        <f t="shared" si="26"/>
        <v>-</v>
      </c>
      <c r="BP23" s="175">
        <f>('假日(17-19)'!$T$40+'假日(17-19)'!$T$59+'假日(17-19)'!$T$78+'假日(17-19)'!$T$97)*15</f>
        <v>0</v>
      </c>
      <c r="BQ23" s="175">
        <f>'假日(17-19)'!$X$40+'假日(17-19)'!$X$59+'假日(17-19)'!$X$78+'假日(17-19)'!$X$97</f>
        <v>0</v>
      </c>
      <c r="BR23" s="175">
        <f>'假日(17-19)'!$Z$40+'假日(17-19)'!$Z$59+'假日(17-19)'!$Z$78+'假日(17-19)'!$Z$97</f>
        <v>0</v>
      </c>
      <c r="BT23" s="175" t="s">
        <v>148</v>
      </c>
      <c r="BU23" s="176" t="str">
        <f>IF(ISERROR($BW23/BX23),"-",$BW23/BX23)</f>
        <v>-</v>
      </c>
      <c r="BV23" s="176" t="str">
        <f>IF(ISERROR($BW23/BY23),"-",$BW23/BY23)</f>
        <v>-</v>
      </c>
      <c r="BW23" s="175">
        <f>('假日(16-20)'!$K$59+'假日(16-20)'!$K$78+'假日(16-20)'!$K$97+'假日(16-20)'!$K$116)*15</f>
        <v>0</v>
      </c>
      <c r="BX23" s="175">
        <f>'假日(16-20)'!$O$59+'假日(16-20)'!$O$78+'假日(16-20)'!$O$97+'假日(16-20)'!$O$116</f>
        <v>0</v>
      </c>
      <c r="BY23" s="175">
        <f>'假日(16-20)'!$Q$59+'假日(16-20)'!$Q$78+'假日(16-20)'!$Q$97+'假日(16-20)'!$Q$116</f>
        <v>0</v>
      </c>
    </row>
    <row r="24" spans="2:77">
      <c r="B24" s="175" t="s">
        <v>195</v>
      </c>
      <c r="C24" s="176" t="str">
        <f t="shared" si="18"/>
        <v>-</v>
      </c>
      <c r="D24" s="176" t="str">
        <f t="shared" si="18"/>
        <v>-</v>
      </c>
      <c r="E24" s="175">
        <f>('平日晨峰(0630-0830)'!$T$59+'平日晨峰(0630-0830)'!$T$78+'平日晨峰(0630-0830)'!$T$97+'平日晨峰(0630-0830)'!$T$116)*15</f>
        <v>0</v>
      </c>
      <c r="F24" s="175">
        <f>'平日晨峰(0630-0830)'!$X$59+'平日晨峰(0630-0830)'!$X$78+'平日晨峰(0630-0830)'!$X$97+'平日晨峰(0630-0830)'!$X$116</f>
        <v>0</v>
      </c>
      <c r="G24" s="175">
        <f>'平日晨峰(0630-0830)'!$Z$59+'平日晨峰(0630-0830)'!$Z$78+'平日晨峰(0630-0830)'!$Z$97+'平日晨峰(0630-0830)'!$Z$116</f>
        <v>0</v>
      </c>
      <c r="I24" s="175" t="str">
        <f>$I$6</f>
        <v>07:30~08:30</v>
      </c>
      <c r="J24" s="176" t="str">
        <f t="shared" si="19"/>
        <v>-</v>
      </c>
      <c r="K24" s="176" t="str">
        <f t="shared" si="19"/>
        <v>-</v>
      </c>
      <c r="L24" s="175">
        <f>('平日晨峰(07-09)'!$T$59+'平日晨峰(07-09)'!$T$78+'平日晨峰(07-09)'!$T$97+'平日晨峰(07-09)'!$T$116)*15</f>
        <v>0</v>
      </c>
      <c r="M24" s="175">
        <f>'平日晨峰(07-09)'!$X$59+'平日晨峰(07-09)'!$X$78+'平日晨峰(07-09)'!$X$97+'平日晨峰(07-09)'!$X$116</f>
        <v>0</v>
      </c>
      <c r="N24" s="175">
        <f>'平日晨峰(07-09)'!$Z$59+'平日晨峰(07-09)'!$Z$78+'平日晨峰(07-09)'!$Z$97+'平日晨峰(07-09)'!$Z$116</f>
        <v>0</v>
      </c>
      <c r="P24" s="175" t="str">
        <f>P15</f>
        <v>11:30~12:30</v>
      </c>
      <c r="Q24" s="176" t="str">
        <f>IF(ISERROR($S24/T24),"-",$S24/T24)</f>
        <v>-</v>
      </c>
      <c r="R24" s="176" t="str">
        <f>IF(ISERROR($T24/U24),"-",$T24/U24)</f>
        <v>-</v>
      </c>
      <c r="S24" s="175">
        <f>('平日中午(11-13)'!$T$59+'平日中午(11-13)'!$T$78+'平日中午(11-13)'!$T$97+'平日中午(11-13)'!$T$116)*15</f>
        <v>0</v>
      </c>
      <c r="T24" s="175">
        <f>'平日中午(11-13)'!$X$59+'平日中午(11-13)'!$X$78+'平日中午(11-13)'!$X$97+'平日中午(11-13)'!$X$116</f>
        <v>0</v>
      </c>
      <c r="U24" s="175">
        <f>'平日中午(11-13)'!$Z$59+'平日中午(11-13)'!$Z$78+'平日中午(11-13)'!$Z$97+'平日中午(11-13)'!$Z$116</f>
        <v>0</v>
      </c>
      <c r="W24" s="175" t="str">
        <f>W15</f>
        <v>12:30~13:30</v>
      </c>
      <c r="X24" s="176" t="str">
        <f t="shared" si="20"/>
        <v>-</v>
      </c>
      <c r="Y24" s="176" t="str">
        <f t="shared" si="20"/>
        <v>-</v>
      </c>
      <c r="Z24" s="175">
        <f>('平日中午(12-14)'!$T$59+'平日中午(12-14)'!$T$78+'平日中午(12-14)'!$T$97+'平日中午(12-14)'!$T$116)*15</f>
        <v>0</v>
      </c>
      <c r="AA24" s="175">
        <f>'平日中午(12-14)'!$X$59+'平日中午(12-14)'!$X$78+'平日中午(12-14)'!$X$97+'平日中午(12-14)'!$X$116</f>
        <v>0</v>
      </c>
      <c r="AB24" s="175">
        <f>'平日中午(12-14)'!$Z$59+'平日中午(12-14)'!$Z$78+'平日中午(12-14)'!$Z$97+'平日中午(12-14)'!$Z$116</f>
        <v>0</v>
      </c>
      <c r="AD24" s="175" t="str">
        <f>$AD$6</f>
        <v>17:30~18:30</v>
      </c>
      <c r="AE24" s="176" t="str">
        <f t="shared" si="21"/>
        <v>-</v>
      </c>
      <c r="AF24" s="176" t="str">
        <f t="shared" si="21"/>
        <v>-</v>
      </c>
      <c r="AG24" s="175">
        <f>('平日昏峰(17-19)'!$T$59+'平日昏峰(17-19)'!$T$78+'平日昏峰(17-19)'!$T$97+'平日昏峰(17-19)'!$T$116)*15</f>
        <v>0</v>
      </c>
      <c r="AH24" s="175">
        <f>'平日昏峰(17-19)'!$X$59+'平日昏峰(17-19)'!$X$78+'平日昏峰(17-19)'!$X$97+'平日昏峰(17-19)'!$X$116</f>
        <v>0</v>
      </c>
      <c r="AI24" s="175">
        <f>'平日昏峰(17-19)'!$Z$59+'平日昏峰(17-19)'!$Z$78+'平日昏峰(17-19)'!$Z$97+'平日昏峰(17-19)'!$Z$116</f>
        <v>0</v>
      </c>
      <c r="AK24" s="175">
        <f>$AK$6</f>
        <v>0</v>
      </c>
      <c r="AL24" s="176" t="str">
        <f t="shared" si="22"/>
        <v>-</v>
      </c>
      <c r="AM24" s="176" t="str">
        <f t="shared" si="22"/>
        <v>-</v>
      </c>
      <c r="AN24" s="175"/>
      <c r="AO24" s="175"/>
      <c r="AP24" s="175"/>
      <c r="AR24" s="175">
        <f>$AR$6</f>
        <v>0</v>
      </c>
      <c r="AS24" s="176" t="str">
        <f t="shared" si="23"/>
        <v>-</v>
      </c>
      <c r="AT24" s="176" t="str">
        <f t="shared" si="23"/>
        <v>-</v>
      </c>
      <c r="AU24" s="175"/>
      <c r="AV24" s="175"/>
      <c r="AW24" s="175"/>
      <c r="AY24" s="175">
        <f>AY15</f>
        <v>0</v>
      </c>
      <c r="AZ24" s="176" t="str">
        <f t="shared" si="24"/>
        <v>-</v>
      </c>
      <c r="BA24" s="176" t="str">
        <f t="shared" si="24"/>
        <v>-</v>
      </c>
      <c r="BB24" s="175"/>
      <c r="BC24" s="175"/>
      <c r="BD24" s="175"/>
      <c r="BF24" s="175" t="str">
        <f>BF15</f>
        <v>16:30~17:30</v>
      </c>
      <c r="BG24" s="176" t="str">
        <f t="shared" si="25"/>
        <v>-</v>
      </c>
      <c r="BH24" s="176" t="str">
        <f t="shared" si="25"/>
        <v>-</v>
      </c>
      <c r="BI24" s="175">
        <f>('假日(16-18)'!$T$59+'假日(16-18)'!$T$78+'假日(16-18)'!$T$97+'假日(16-18)'!$T$116)*15</f>
        <v>0</v>
      </c>
      <c r="BJ24" s="175">
        <f>'假日(16-18)'!$X$59+'假日(16-18)'!$X$78+'假日(16-18)'!$X$97+'假日(16-18)'!$X$116</f>
        <v>0</v>
      </c>
      <c r="BK24" s="175">
        <f>'假日(16-18)'!$Z$59+'假日(16-18)'!$Z$78+'假日(16-18)'!$Z$97+'假日(16-18)'!$Z$116</f>
        <v>0</v>
      </c>
      <c r="BM24" s="175" t="str">
        <f>BM15</f>
        <v>17:30~18:30</v>
      </c>
      <c r="BN24" s="176" t="str">
        <f t="shared" si="26"/>
        <v>-</v>
      </c>
      <c r="BO24" s="176" t="str">
        <f t="shared" si="26"/>
        <v>-</v>
      </c>
      <c r="BP24" s="175">
        <f>('假日(17-19)'!$T$59+'假日(17-19)'!$T$78+'假日(17-19)'!$T$97+'假日(17-19)'!$T$116)*15</f>
        <v>0</v>
      </c>
      <c r="BQ24" s="175">
        <f>'假日(17-19)'!$X$59+'假日(17-19)'!$X$78+'假日(17-19)'!$X$97+'假日(17-19)'!$X$116</f>
        <v>0</v>
      </c>
      <c r="BR24" s="175">
        <f>'假日(17-19)'!$Z$59+'假日(17-19)'!$Z$78+'假日(17-19)'!$Z$97+'假日(17-19)'!$Z$116</f>
        <v>0</v>
      </c>
      <c r="BT24" s="175" t="s">
        <v>152</v>
      </c>
      <c r="BU24" s="176" t="str">
        <f>IF(ISERROR($BW24/BX24),"-",$BW24/BX24)</f>
        <v>-</v>
      </c>
      <c r="BV24" s="176" t="str">
        <f>IF(ISERROR($BW24/BY24),"-",$BW24/BY24)</f>
        <v>-</v>
      </c>
      <c r="BW24" s="175">
        <f>('假日(16-20)'!$K$78+'假日(16-20)'!$K$97+'假日(16-20)'!$K$116+'假日(16-20)'!$K$135)*15</f>
        <v>0</v>
      </c>
      <c r="BX24" s="175">
        <f>'假日(16-20)'!$O$78+'假日(16-20)'!$O$97+'假日(16-20)'!$O$116+'假日(16-20)'!$O$135</f>
        <v>0</v>
      </c>
      <c r="BY24" s="175">
        <f>'假日(16-20)'!$Q$78+'假日(16-20)'!$Q$97+'假日(16-20)'!$Q$116+'假日(16-20)'!$Q$135</f>
        <v>0</v>
      </c>
    </row>
    <row r="25" spans="2:77">
      <c r="B25" s="175" t="s">
        <v>196</v>
      </c>
      <c r="C25" s="176" t="str">
        <f t="shared" si="18"/>
        <v>-</v>
      </c>
      <c r="D25" s="176" t="str">
        <f t="shared" si="18"/>
        <v>-</v>
      </c>
      <c r="E25" s="175">
        <f>('平日晨峰(0630-0830)'!$T$78+'平日晨峰(0630-0830)'!$T$97+'平日晨峰(0630-0830)'!$T$116+'平日晨峰(0630-0830)'!$T$135)*15</f>
        <v>0</v>
      </c>
      <c r="F25" s="175">
        <f>'平日晨峰(0630-0830)'!$X$78+'平日晨峰(0630-0830)'!$X$97+'平日晨峰(0630-0830)'!$X$116+'平日晨峰(0630-0830)'!$X$135</f>
        <v>0</v>
      </c>
      <c r="G25" s="175">
        <f>'平日晨峰(0630-0830)'!$Z$78+'平日晨峰(0630-0830)'!$Z$97+'平日晨峰(0630-0830)'!$Z$116+'平日晨峰(0630-0830)'!$Z$135</f>
        <v>0</v>
      </c>
      <c r="I25" s="175" t="str">
        <f>$I$7</f>
        <v>07:45~08:45</v>
      </c>
      <c r="J25" s="176" t="str">
        <f t="shared" si="19"/>
        <v>-</v>
      </c>
      <c r="K25" s="176" t="str">
        <f t="shared" si="19"/>
        <v>-</v>
      </c>
      <c r="L25" s="175">
        <f>('平日晨峰(07-09)'!$T$78+'平日晨峰(07-09)'!$T$97+'平日晨峰(07-09)'!$T$116+'平日晨峰(07-09)'!$T$135)*15</f>
        <v>0</v>
      </c>
      <c r="M25" s="175">
        <f>'平日晨峰(07-09)'!$X$78+'平日晨峰(07-09)'!$X$97+'平日晨峰(07-09)'!$X$116+'平日晨峰(07-09)'!$X$135</f>
        <v>0</v>
      </c>
      <c r="N25" s="175">
        <f>'平日晨峰(07-09)'!$Z$78+'平日晨峰(07-09)'!$Z$97+'平日晨峰(07-09)'!$Z$116+'平日晨峰(07-09)'!$Z$135</f>
        <v>0</v>
      </c>
      <c r="P25" s="175" t="str">
        <f>P16</f>
        <v>11:45~12:45</v>
      </c>
      <c r="Q25" s="176" t="str">
        <f>IF(ISERROR($S25/T25),"-",$S25/T25)</f>
        <v>-</v>
      </c>
      <c r="R25" s="176" t="str">
        <f>IF(ISERROR($T25/U25),"-",$T25/U25)</f>
        <v>-</v>
      </c>
      <c r="S25" s="175">
        <f>('平日中午(11-13)'!$T$78+'平日中午(11-13)'!$T$97+'平日中午(11-13)'!$T$116+'平日中午(11-13)'!$T$135)*15</f>
        <v>0</v>
      </c>
      <c r="T25" s="175">
        <f>'平日中午(11-13)'!$X$78+'平日中午(11-13)'!$X$97+'平日中午(11-13)'!$X$116+'平日中午(11-13)'!$X$135</f>
        <v>0</v>
      </c>
      <c r="U25" s="175">
        <f>'平日中午(11-13)'!$Z$78+'平日中午(11-13)'!$Z$97+'平日中午(11-13)'!$Z$116+'平日中午(11-13)'!$Z$135</f>
        <v>0</v>
      </c>
      <c r="W25" s="175" t="str">
        <f>W16</f>
        <v>12:45~13:45</v>
      </c>
      <c r="X25" s="176" t="str">
        <f t="shared" si="20"/>
        <v>-</v>
      </c>
      <c r="Y25" s="176" t="str">
        <f t="shared" si="20"/>
        <v>-</v>
      </c>
      <c r="Z25" s="175">
        <f>('平日中午(12-14)'!$T$78+'平日中午(12-14)'!$T$97+'平日中午(12-14)'!$T$116+'平日中午(12-14)'!$T$135)*15</f>
        <v>0</v>
      </c>
      <c r="AA25" s="175">
        <f>'平日中午(12-14)'!$X$78+'平日中午(12-14)'!$X$97+'平日中午(12-14)'!$X$116+'平日中午(12-14)'!$X$135</f>
        <v>0</v>
      </c>
      <c r="AB25" s="175">
        <f>'平日中午(12-14)'!$Z$78+'平日中午(12-14)'!$Z$97+'平日中午(12-14)'!$Z$116+'平日中午(12-14)'!$Z$135</f>
        <v>0</v>
      </c>
      <c r="AD25" s="175" t="str">
        <f>$AD$7</f>
        <v>17:45~18:45</v>
      </c>
      <c r="AE25" s="176" t="str">
        <f t="shared" si="21"/>
        <v>-</v>
      </c>
      <c r="AF25" s="176" t="str">
        <f t="shared" si="21"/>
        <v>-</v>
      </c>
      <c r="AG25" s="175">
        <f>('平日昏峰(17-19)'!$T$78+'平日昏峰(17-19)'!$T$97+'平日昏峰(17-19)'!$T$116+'平日昏峰(17-19)'!$T$135)*15</f>
        <v>0</v>
      </c>
      <c r="AH25" s="175">
        <f>'平日昏峰(17-19)'!$X$78+'平日昏峰(17-19)'!$X$97+'平日昏峰(17-19)'!$X$116+'平日昏峰(17-19)'!$X$135</f>
        <v>0</v>
      </c>
      <c r="AI25" s="175">
        <f>'平日昏峰(17-19)'!$Z$78+'平日昏峰(17-19)'!$Z$97+'平日昏峰(17-19)'!$Z$116+'平日昏峰(17-19)'!$Z$135</f>
        <v>0</v>
      </c>
      <c r="AK25" s="175">
        <f>$AK$7</f>
        <v>0</v>
      </c>
      <c r="AL25" s="176" t="str">
        <f t="shared" si="22"/>
        <v>-</v>
      </c>
      <c r="AM25" s="176" t="str">
        <f t="shared" si="22"/>
        <v>-</v>
      </c>
      <c r="AN25" s="175"/>
      <c r="AO25" s="175"/>
      <c r="AP25" s="175"/>
      <c r="AR25" s="175">
        <f>$AR$7</f>
        <v>0</v>
      </c>
      <c r="AS25" s="176" t="str">
        <f t="shared" si="23"/>
        <v>-</v>
      </c>
      <c r="AT25" s="176" t="str">
        <f t="shared" si="23"/>
        <v>-</v>
      </c>
      <c r="AU25" s="175"/>
      <c r="AV25" s="175"/>
      <c r="AW25" s="175"/>
      <c r="AY25" s="175">
        <f>AY16</f>
        <v>0</v>
      </c>
      <c r="AZ25" s="176" t="str">
        <f t="shared" si="24"/>
        <v>-</v>
      </c>
      <c r="BA25" s="176" t="str">
        <f t="shared" si="24"/>
        <v>-</v>
      </c>
      <c r="BB25" s="175"/>
      <c r="BC25" s="175"/>
      <c r="BD25" s="175"/>
      <c r="BF25" s="175" t="str">
        <f>BF16</f>
        <v>16:45~17:45</v>
      </c>
      <c r="BG25" s="176" t="str">
        <f t="shared" si="25"/>
        <v>-</v>
      </c>
      <c r="BH25" s="176" t="str">
        <f t="shared" si="25"/>
        <v>-</v>
      </c>
      <c r="BI25" s="175">
        <f>('假日(16-18)'!$T$78+'假日(16-18)'!$T$97+'假日(16-18)'!$T$116+'假日(16-18)'!$T$135)*15</f>
        <v>0</v>
      </c>
      <c r="BJ25" s="175">
        <f>'假日(16-18)'!$X$78+'假日(16-18)'!$X$97+'假日(16-18)'!$X$116+'假日(16-18)'!$X$135</f>
        <v>0</v>
      </c>
      <c r="BK25" s="175">
        <f>'假日(16-18)'!$Z$78+'假日(16-18)'!$Z$97+'假日(16-18)'!$Z$116+'假日(16-18)'!$Z$135</f>
        <v>0</v>
      </c>
      <c r="BM25" s="175" t="str">
        <f>BM16</f>
        <v>17:45~18:45</v>
      </c>
      <c r="BN25" s="176" t="str">
        <f t="shared" si="26"/>
        <v>-</v>
      </c>
      <c r="BO25" s="176" t="str">
        <f t="shared" si="26"/>
        <v>-</v>
      </c>
      <c r="BP25" s="175">
        <f>('假日(17-19)'!$T$78+'假日(17-19)'!$T$97+'假日(17-19)'!$T$116+'假日(17-19)'!$T$135)*15</f>
        <v>0</v>
      </c>
      <c r="BQ25" s="175">
        <f>'假日(17-19)'!$X$78+'假日(17-19)'!$X$97+'假日(17-19)'!$X$116+'假日(17-19)'!$X$135</f>
        <v>0</v>
      </c>
      <c r="BR25" s="175">
        <f>'假日(17-19)'!$Z$78+'假日(17-19)'!$Z$97+'假日(17-19)'!$Z$116+'假日(17-19)'!$Z$135</f>
        <v>0</v>
      </c>
      <c r="BT25" s="175" t="s">
        <v>138</v>
      </c>
      <c r="BU25" s="176" t="str">
        <f>IF(ISERROR($BW25/BX25),"-",$BW25/BX25)</f>
        <v>-</v>
      </c>
      <c r="BV25" s="176" t="str">
        <f>IF(ISERROR($BW25/BY25),"-",$BW25/BY25)</f>
        <v>-</v>
      </c>
      <c r="BW25" s="175">
        <f>('假日(16-20)'!$K$97+'假日(16-20)'!$K$116+'假日(16-20)'!$K$135+'假日(16-20)'!$K$154)*15</f>
        <v>0</v>
      </c>
      <c r="BX25" s="175">
        <f>'假日(16-20)'!$O$97+'假日(16-20)'!$O$116+'假日(16-20)'!$O$135+'假日(16-20)'!$O$154</f>
        <v>0</v>
      </c>
      <c r="BY25" s="175">
        <f>'假日(16-20)'!$Q$97+'假日(16-20)'!$Q$116+'假日(16-20)'!$Q$135+'假日(16-20)'!$Q$154</f>
        <v>0</v>
      </c>
    </row>
    <row r="26" spans="2:77">
      <c r="B26" s="175" t="s">
        <v>197</v>
      </c>
      <c r="C26" s="176" t="str">
        <f t="shared" si="18"/>
        <v>-</v>
      </c>
      <c r="D26" s="176" t="str">
        <f t="shared" si="18"/>
        <v>-</v>
      </c>
      <c r="E26" s="175">
        <f>('平日晨峰(0630-0830)'!$T$97+'平日晨峰(0630-0830)'!$T$116+'平日晨峰(0630-0830)'!$T$135+'平日晨峰(0630-0830)'!$T$154)*15</f>
        <v>0</v>
      </c>
      <c r="F26" s="175">
        <f>'平日晨峰(0630-0830)'!$X$97+'平日晨峰(0630-0830)'!$X$116+'平日晨峰(0630-0830)'!$X$135+'平日晨峰(0630-0830)'!$X$154</f>
        <v>0</v>
      </c>
      <c r="G26" s="175">
        <f>'平日晨峰(0630-0830)'!$Z$97+'平日晨峰(0630-0830)'!$Z$116+'平日晨峰(0630-0830)'!$Z$135+'平日晨峰(0630-0830)'!$Z$154</f>
        <v>0</v>
      </c>
      <c r="I26" s="175" t="str">
        <f>$I$8</f>
        <v>08:00~09:00</v>
      </c>
      <c r="J26" s="176" t="str">
        <f t="shared" si="19"/>
        <v>-</v>
      </c>
      <c r="K26" s="176" t="str">
        <f t="shared" si="19"/>
        <v>-</v>
      </c>
      <c r="L26" s="175">
        <f>('平日晨峰(07-09)'!$T$97+'平日晨峰(07-09)'!$T$116+'平日晨峰(07-09)'!$T$135+'平日晨峰(07-09)'!$T$154)*15</f>
        <v>0</v>
      </c>
      <c r="M26" s="175">
        <f>'平日晨峰(07-09)'!$X$97+'平日晨峰(07-09)'!$X$116+'平日晨峰(07-09)'!$X$135+'平日晨峰(07-09)'!$X$154</f>
        <v>0</v>
      </c>
      <c r="N26" s="175">
        <f>'平日晨峰(07-09)'!$Z$97+'平日晨峰(07-09)'!$Z$116+'平日晨峰(07-09)'!$Z$135+'平日晨峰(07-09)'!$Z$154</f>
        <v>0</v>
      </c>
      <c r="P26" s="175" t="str">
        <f>P17</f>
        <v>12:00~13:00</v>
      </c>
      <c r="Q26" s="176" t="str">
        <f>IF(ISERROR($S26/T26),"-",$S26/T26)</f>
        <v>-</v>
      </c>
      <c r="R26" s="176" t="str">
        <f>IF(ISERROR($T26/U26),"-",$T26/U26)</f>
        <v>-</v>
      </c>
      <c r="S26" s="175">
        <f>('平日中午(11-13)'!$T$97+'平日中午(11-13)'!$T$116+'平日中午(11-13)'!$T$135+'平日中午(11-13)'!$T$154)*15</f>
        <v>0</v>
      </c>
      <c r="T26" s="175">
        <f>'平日中午(11-13)'!$X$97+'平日中午(11-13)'!$X$116+'平日中午(11-13)'!$X$135+'平日中午(11-13)'!$X$154</f>
        <v>0</v>
      </c>
      <c r="U26" s="175">
        <f>'平日中午(11-13)'!$Z$97+'平日中午(11-13)'!$Z$116+'平日中午(11-13)'!$Z$135+'平日中午(11-13)'!$Z$154</f>
        <v>0</v>
      </c>
      <c r="W26" s="175" t="str">
        <f>W17</f>
        <v>13:00~14:00</v>
      </c>
      <c r="X26" s="176" t="str">
        <f t="shared" si="20"/>
        <v>-</v>
      </c>
      <c r="Y26" s="176" t="str">
        <f t="shared" si="20"/>
        <v>-</v>
      </c>
      <c r="Z26" s="175">
        <f>('平日中午(12-14)'!$T$97+'平日中午(12-14)'!$T$116+'平日中午(12-14)'!$T$135+'平日中午(12-14)'!$T$154)*15</f>
        <v>0</v>
      </c>
      <c r="AA26" s="175">
        <f>'平日中午(12-14)'!$X$97+'平日中午(12-14)'!$X$116+'平日中午(12-14)'!$X$135+'平日中午(12-14)'!$X$154</f>
        <v>0</v>
      </c>
      <c r="AB26" s="175">
        <f>'平日中午(12-14)'!$Z$97+'平日中午(12-14)'!$Z$116+'平日中午(12-14)'!$Z$135+'平日中午(12-14)'!$Z$154</f>
        <v>0</v>
      </c>
      <c r="AD26" s="175" t="str">
        <f>$AD$8</f>
        <v>18:00~19:00</v>
      </c>
      <c r="AE26" s="176" t="str">
        <f t="shared" si="21"/>
        <v>-</v>
      </c>
      <c r="AF26" s="176" t="str">
        <f t="shared" si="21"/>
        <v>-</v>
      </c>
      <c r="AG26" s="175">
        <f>('平日昏峰(17-19)'!$T$97+'平日昏峰(17-19)'!$T$116+'平日昏峰(17-19)'!$T$135+'平日昏峰(17-19)'!$T$154)*15</f>
        <v>0</v>
      </c>
      <c r="AH26" s="175">
        <f>'平日昏峰(17-19)'!$X$97+'平日昏峰(17-19)'!$X$116+'平日昏峰(17-19)'!$X$135+'平日昏峰(17-19)'!$X$154</f>
        <v>0</v>
      </c>
      <c r="AI26" s="175">
        <f>'平日昏峰(17-19)'!$Z$97+'平日昏峰(17-19)'!$Z$116+'平日昏峰(17-19)'!$Z$135+'平日昏峰(17-19)'!$Z$154</f>
        <v>0</v>
      </c>
      <c r="AK26" s="175">
        <f>$AK$8</f>
        <v>0</v>
      </c>
      <c r="AL26" s="176" t="str">
        <f t="shared" si="22"/>
        <v>-</v>
      </c>
      <c r="AM26" s="176" t="str">
        <f t="shared" si="22"/>
        <v>-</v>
      </c>
      <c r="AN26" s="175"/>
      <c r="AO26" s="175"/>
      <c r="AP26" s="175"/>
      <c r="AR26" s="175">
        <f>$AR$8</f>
        <v>0</v>
      </c>
      <c r="AS26" s="176" t="str">
        <f t="shared" si="23"/>
        <v>-</v>
      </c>
      <c r="AT26" s="176" t="str">
        <f t="shared" si="23"/>
        <v>-</v>
      </c>
      <c r="AU26" s="175"/>
      <c r="AV26" s="175"/>
      <c r="AW26" s="175"/>
      <c r="AY26" s="175">
        <f>AY17</f>
        <v>0</v>
      </c>
      <c r="AZ26" s="176" t="str">
        <f t="shared" si="24"/>
        <v>-</v>
      </c>
      <c r="BA26" s="176" t="str">
        <f t="shared" si="24"/>
        <v>-</v>
      </c>
      <c r="BB26" s="175"/>
      <c r="BC26" s="175"/>
      <c r="BD26" s="175"/>
      <c r="BF26" s="175" t="str">
        <f>BF17</f>
        <v>17:00~18:00</v>
      </c>
      <c r="BG26" s="176" t="str">
        <f t="shared" si="25"/>
        <v>-</v>
      </c>
      <c r="BH26" s="176" t="str">
        <f t="shared" si="25"/>
        <v>-</v>
      </c>
      <c r="BI26" s="175">
        <f>('假日(16-18)'!$T$97+'假日(16-18)'!$T$116+'假日(16-18)'!$T$135+'假日(16-18)'!$T$154)*15</f>
        <v>0</v>
      </c>
      <c r="BJ26" s="175">
        <f>'假日(16-18)'!$X$97+'假日(16-18)'!$X$116+'假日(16-18)'!$X$135+'假日(16-18)'!$X$154</f>
        <v>0</v>
      </c>
      <c r="BK26" s="175">
        <f>'假日(16-18)'!$Z$97+'假日(16-18)'!$Z$116+'假日(16-18)'!$Z$135+'假日(16-18)'!$Z$154</f>
        <v>0</v>
      </c>
      <c r="BM26" s="175" t="str">
        <f>BM17</f>
        <v>18:00~19:00</v>
      </c>
      <c r="BN26" s="176" t="str">
        <f t="shared" si="26"/>
        <v>-</v>
      </c>
      <c r="BO26" s="176" t="str">
        <f t="shared" si="26"/>
        <v>-</v>
      </c>
      <c r="BP26" s="175">
        <f>('假日(17-19)'!$T$97+'假日(17-19)'!$T$116+'假日(17-19)'!$T$135+'假日(17-19)'!$T$154)*15</f>
        <v>0</v>
      </c>
      <c r="BQ26" s="175">
        <f>'假日(17-19)'!$X$97+'假日(17-19)'!$X$116+'假日(17-19)'!$X$135+'假日(17-19)'!$X$154</f>
        <v>0</v>
      </c>
      <c r="BR26" s="175">
        <f>'假日(17-19)'!$Z$97+'假日(17-19)'!$Z$116+'假日(17-19)'!$Z$135+'假日(17-19)'!$Z$154</f>
        <v>0</v>
      </c>
      <c r="BT26" s="175" t="s">
        <v>144</v>
      </c>
      <c r="BU26" s="176" t="str">
        <f>IF(ISERROR($BW26/BX26),"-",$BW26/BX26)</f>
        <v>-</v>
      </c>
      <c r="BV26" s="176" t="str">
        <f>IF(ISERROR($BW26/BY26),"-",$BW26/BY26)</f>
        <v>-</v>
      </c>
      <c r="BW26" s="175">
        <f>('假日(16-20)'!$K$116+'假日(16-20)'!$K$135+'假日(16-20)'!$K$154+'假日(16-20)'!$K$173)*15</f>
        <v>0</v>
      </c>
      <c r="BX26" s="175">
        <f>'假日(16-20)'!$O$116+'假日(16-20)'!$O$135+'假日(16-20)'!$O$154+'假日(16-20)'!$O$173</f>
        <v>0</v>
      </c>
      <c r="BY26" s="175">
        <f>'假日(16-20)'!$Q$116+'假日(16-20)'!$Q$135+'假日(16-20)'!$Q$154+'假日(16-20)'!$Q$173</f>
        <v>0</v>
      </c>
    </row>
    <row r="27" spans="2:77">
      <c r="B27" s="172" t="str">
        <f>CONCATENATE(基本資料!$D$18,"方向","平均延滯")</f>
        <v>C方向平均延滯</v>
      </c>
      <c r="C27" s="177" t="str">
        <f>IF(ISERROR(VLOOKUP($F$63,B22:C26,2,1)),"-",VLOOKUP($F$63,B22:C26,2,1))</f>
        <v>-</v>
      </c>
      <c r="D27" s="177"/>
      <c r="E27" s="172"/>
      <c r="F27" s="172"/>
      <c r="G27" s="172"/>
      <c r="I27" s="172" t="str">
        <f>CONCATENATE(基本資料!$D$18,"方向","平均延滯")</f>
        <v>C方向平均延滯</v>
      </c>
      <c r="J27" s="177" t="str">
        <f>IF(ISERROR(VLOOKUP($M$63,I22:J26,2,1)),"-",VLOOKUP($M$63,I22:J26,2,1))</f>
        <v>-</v>
      </c>
      <c r="K27" s="177"/>
      <c r="L27" s="172"/>
      <c r="M27" s="172"/>
      <c r="N27" s="172"/>
      <c r="P27" s="172" t="str">
        <f>CONCATENATE(基本資料!$D$18,"方向","平均延滯")</f>
        <v>C方向平均延滯</v>
      </c>
      <c r="Q27" s="177" t="str">
        <f>IF(ISERROR(VLOOKUP($T$63,P22:Q26,2,1)),"-",VLOOKUP($T$63,P22:Q26,2,1))</f>
        <v>-</v>
      </c>
      <c r="R27" s="177"/>
      <c r="S27" s="172"/>
      <c r="T27" s="172"/>
      <c r="U27" s="172"/>
      <c r="W27" s="172" t="str">
        <f>CONCATENATE(基本資料!$D$18,"方向","平均延滯")</f>
        <v>C方向平均延滯</v>
      </c>
      <c r="X27" s="177" t="str">
        <f>IF(ISERROR(VLOOKUP($AA$63,W22:X26,2,1)),"-",VLOOKUP($AA$63,W22:X26,2,1))</f>
        <v>-</v>
      </c>
      <c r="Y27" s="177"/>
      <c r="Z27" s="172"/>
      <c r="AA27" s="172"/>
      <c r="AB27" s="172"/>
      <c r="AD27" s="172" t="str">
        <f>CONCATENATE(基本資料!$D$18,"方向","平均延滯")</f>
        <v>C方向平均延滯</v>
      </c>
      <c r="AE27" s="177" t="str">
        <f>IF(ISERROR(VLOOKUP($AH$63,AD22:AE26,2,1)),"-",VLOOKUP($AH$63,AD22:AE26,2,1))</f>
        <v>-</v>
      </c>
      <c r="AF27" s="177"/>
      <c r="AG27" s="172"/>
      <c r="AH27" s="172"/>
      <c r="AI27" s="172"/>
      <c r="AK27" s="172" t="str">
        <f>CONCATENATE(基本資料!$D$18,"方向","平均延滯")</f>
        <v>C方向平均延滯</v>
      </c>
      <c r="AL27" s="177" t="str">
        <f>IF(ISERROR(VLOOKUP($AO$63,AK22:AL26,2,1)),"-",VLOOKUP($AO$63,AK22:AL26,2,1))</f>
        <v>-</v>
      </c>
      <c r="AM27" s="177"/>
      <c r="AN27" s="172"/>
      <c r="AO27" s="172"/>
      <c r="AP27" s="172"/>
      <c r="AR27" s="172" t="str">
        <f>CONCATENATE(基本資料!$D$18,"方向","平均延滯")</f>
        <v>C方向平均延滯</v>
      </c>
      <c r="AS27" s="177" t="str">
        <f>IF(ISERROR(VLOOKUP($AV$63,AR22:AS26,2,1)),"-",VLOOKUP($AV$63,AR22:AS26,2,1))</f>
        <v>-</v>
      </c>
      <c r="AT27" s="177"/>
      <c r="AU27" s="172"/>
      <c r="AV27" s="172"/>
      <c r="AW27" s="172"/>
      <c r="AY27" s="172" t="str">
        <f>CONCATENATE(基本資料!$D$18,"方向","平均延滯")</f>
        <v>C方向平均延滯</v>
      </c>
      <c r="AZ27" s="177" t="str">
        <f>IF(ISERROR(VLOOKUP($BC$63,AY22:AZ26,2,1)),"-",VLOOKUP($BC$63,AY22:AZ26,2,1))</f>
        <v>-</v>
      </c>
      <c r="BA27" s="177"/>
      <c r="BB27" s="172"/>
      <c r="BC27" s="172"/>
      <c r="BD27" s="172"/>
      <c r="BF27" s="172" t="str">
        <f>CONCATENATE(基本資料!$D$18,"方向","平均延滯")</f>
        <v>C方向平均延滯</v>
      </c>
      <c r="BG27" s="177" t="str">
        <f>IF(ISERROR(VLOOKUP($BJ$63,BF22:BG26,2,1)),"-",VLOOKUP($BJ$63,BF22:BG26,2,1))</f>
        <v>-</v>
      </c>
      <c r="BH27" s="177"/>
      <c r="BI27" s="172"/>
      <c r="BJ27" s="172"/>
      <c r="BK27" s="172"/>
      <c r="BM27" s="172" t="str">
        <f>CONCATENATE(基本資料!$D$18,"方向","平均延滯")</f>
        <v>C方向平均延滯</v>
      </c>
      <c r="BN27" s="177" t="str">
        <f>IF(ISERROR(VLOOKUP($BQ$63,BM22:BN26,2,1)),"-",VLOOKUP($BQ$63,BM22:BN26,2,1))</f>
        <v>-</v>
      </c>
      <c r="BO27" s="177"/>
      <c r="BP27" s="172"/>
      <c r="BQ27" s="172"/>
      <c r="BR27" s="172"/>
      <c r="BT27" s="175" t="s">
        <v>140</v>
      </c>
      <c r="BU27" s="176" t="str">
        <f>IF(ISERROR($BW27/BX27),"-",$BW27/BX27)</f>
        <v>-</v>
      </c>
      <c r="BV27" s="176" t="str">
        <f>IF(ISERROR($BW27/BY27),"-",$BW27/BY27)</f>
        <v>-</v>
      </c>
      <c r="BW27" s="175">
        <f>('假日(16-20)'!$K$135+'假日(16-20)'!$K$154+'假日(16-20)'!$K$173+'假日(16-20)'!$K$192)*15</f>
        <v>0</v>
      </c>
      <c r="BX27" s="175">
        <f>'假日(16-20)'!$O$135+'假日(16-20)'!$O$154+'假日(16-20)'!$O$173+'假日(16-20)'!$O$192</f>
        <v>0</v>
      </c>
      <c r="BY27" s="175">
        <f>'假日(16-20)'!$Q$135+'假日(16-20)'!$Q$154+'假日(16-20)'!$Q$173+'假日(16-20)'!$Q$192</f>
        <v>0</v>
      </c>
    </row>
    <row r="28" spans="2:77">
      <c r="B28" s="172" t="str">
        <f>CONCATENATE(基本資料!$D$18,"方向","平均停等車輛延滯")</f>
        <v>C方向平均停等車輛延滯</v>
      </c>
      <c r="C28" s="177"/>
      <c r="D28" s="177" t="str">
        <f>IF(ISERROR(VLOOKUP($F$64,B22:D26,3,1)),"-",VLOOKUP($F$64,B22:D26,3,1))</f>
        <v>-</v>
      </c>
      <c r="E28" s="172"/>
      <c r="F28" s="172"/>
      <c r="G28" s="172"/>
      <c r="I28" s="172" t="str">
        <f>CONCATENATE(基本資料!$D$18,"方向","平均停等車輛延滯")</f>
        <v>C方向平均停等車輛延滯</v>
      </c>
      <c r="J28" s="177"/>
      <c r="K28" s="177" t="str">
        <f>IF(ISERROR(VLOOKUP($M$64,I22:K26,3,1)),"-",VLOOKUP($M$64,I22:K26,3,1))</f>
        <v>-</v>
      </c>
      <c r="L28" s="172"/>
      <c r="M28" s="172"/>
      <c r="N28" s="172"/>
      <c r="P28" s="172" t="str">
        <f>CONCATENATE(基本資料!$D$18,"方向","平均停等車輛延滯")</f>
        <v>C方向平均停等車輛延滯</v>
      </c>
      <c r="Q28" s="177"/>
      <c r="R28" s="177" t="str">
        <f>IF(ISERROR(VLOOKUP($T$64,P22:R26,3,1)),"-",VLOOKUP($T$64,P22:R26,3,1))</f>
        <v>-</v>
      </c>
      <c r="S28" s="172"/>
      <c r="T28" s="172"/>
      <c r="U28" s="172"/>
      <c r="W28" s="172" t="str">
        <f>CONCATENATE(基本資料!$D$18,"方向","平均停等車輛延滯")</f>
        <v>C方向平均停等車輛延滯</v>
      </c>
      <c r="X28" s="177"/>
      <c r="Y28" s="177" t="str">
        <f>IF(ISERROR(VLOOKUP($AA$64,W22:Y26,3,1)),"-",VLOOKUP($AA$64,W22:Y26,3,1))</f>
        <v>-</v>
      </c>
      <c r="Z28" s="172"/>
      <c r="AA28" s="172"/>
      <c r="AB28" s="172"/>
      <c r="AD28" s="172" t="str">
        <f>CONCATENATE(基本資料!$D$18,"方向","平均停等車輛延滯")</f>
        <v>C方向平均停等車輛延滯</v>
      </c>
      <c r="AE28" s="177"/>
      <c r="AF28" s="177" t="str">
        <f>IF(ISERROR(VLOOKUP($AH$64,AD22:AF26,3,1)),"-",VLOOKUP($AH$64,AD22:AF26,3,1))</f>
        <v>-</v>
      </c>
      <c r="AG28" s="172"/>
      <c r="AH28" s="172"/>
      <c r="AI28" s="172"/>
      <c r="AK28" s="172" t="str">
        <f>CONCATENATE(基本資料!$D$18,"方向","平均停等車輛延滯")</f>
        <v>C方向平均停等車輛延滯</v>
      </c>
      <c r="AL28" s="177"/>
      <c r="AM28" s="177" t="str">
        <f>IF(ISERROR(VLOOKUP($AO$64,AK22:AM26,3,1)),"-",VLOOKUP($AO$64,AK22:AM26,3,1))</f>
        <v>-</v>
      </c>
      <c r="AN28" s="172"/>
      <c r="AO28" s="172"/>
      <c r="AP28" s="172"/>
      <c r="AR28" s="172" t="str">
        <f>CONCATENATE(基本資料!$D$18,"方向","平均停等車輛延滯")</f>
        <v>C方向平均停等車輛延滯</v>
      </c>
      <c r="AS28" s="177"/>
      <c r="AT28" s="177" t="str">
        <f>IF(ISERROR(VLOOKUP($AV$64,AR22:AT26,3,1)),"-",VLOOKUP($AV$64,AR22:AT26,3,1))</f>
        <v>-</v>
      </c>
      <c r="AU28" s="172"/>
      <c r="AV28" s="172"/>
      <c r="AW28" s="172"/>
      <c r="AY28" s="172" t="str">
        <f>CONCATENATE(基本資料!$D$18,"方向","平均停等車輛延滯")</f>
        <v>C方向平均停等車輛延滯</v>
      </c>
      <c r="AZ28" s="177"/>
      <c r="BA28" s="177" t="str">
        <f>IF(ISERROR(VLOOKUP($BC$64,AY22:BA26,3,1)),"-",VLOOKUP($BC$64,AY22:BA26,3,1))</f>
        <v>-</v>
      </c>
      <c r="BB28" s="172"/>
      <c r="BC28" s="172"/>
      <c r="BD28" s="172"/>
      <c r="BF28" s="172" t="str">
        <f>CONCATENATE(基本資料!$D$18,"方向","平均停等車輛延滯")</f>
        <v>C方向平均停等車輛延滯</v>
      </c>
      <c r="BG28" s="177"/>
      <c r="BH28" s="177" t="str">
        <f>IF(ISERROR(VLOOKUP($BJ$64,BF22:BH26,3,1)),"-",VLOOKUP($BJ$64,BF22:BH26,3,1))</f>
        <v>-</v>
      </c>
      <c r="BI28" s="172"/>
      <c r="BJ28" s="172"/>
      <c r="BK28" s="172"/>
      <c r="BM28" s="172" t="str">
        <f>CONCATENATE(基本資料!$D$18,"方向","平均停等車輛延滯")</f>
        <v>C方向平均停等車輛延滯</v>
      </c>
      <c r="BN28" s="177"/>
      <c r="BO28" s="177" t="str">
        <f>IF(ISERROR(VLOOKUP($BQ$64,BM22:BO26,3,1)),"-",VLOOKUP($BQ$64,BM22:BO26,3,1))</f>
        <v>-</v>
      </c>
      <c r="BP28" s="172"/>
      <c r="BQ28" s="172"/>
      <c r="BR28" s="172"/>
      <c r="BT28" s="175" t="s">
        <v>151</v>
      </c>
      <c r="BU28" s="176" t="str">
        <f>IF(ISERROR($BW28/BX28),"-",$BW28/BX28)</f>
        <v>-</v>
      </c>
      <c r="BV28" s="176" t="str">
        <f>IF(ISERROR($BW28/BY28),"-",$BW28/BY28)</f>
        <v>-</v>
      </c>
      <c r="BW28" s="175">
        <f>('假日(16-20)'!$K$154+'假日(16-20)'!$K$173+'假日(16-20)'!$K$192+'假日(16-20)'!$K$211)*15</f>
        <v>0</v>
      </c>
      <c r="BX28" s="175">
        <f>'假日(16-20)'!$O$154+'假日(16-20)'!$O$173+'假日(16-20)'!$O$192+'假日(16-20)'!$O$211</f>
        <v>0</v>
      </c>
      <c r="BY28" s="175">
        <f>'假日(16-20)'!$Q$154+'假日(16-20)'!$Q$173+'假日(16-20)'!$Q$192+'假日(16-20)'!$Q$211</f>
        <v>0</v>
      </c>
    </row>
    <row r="29" spans="2:77">
      <c r="B29" s="261" t="str">
        <f>'平日晨峰(07-09)'!$AB$2</f>
        <v>D方向：</v>
      </c>
      <c r="C29" s="261"/>
      <c r="D29" s="261"/>
      <c r="E29" s="261"/>
      <c r="F29" s="261"/>
      <c r="G29" s="261"/>
      <c r="I29" s="261" t="str">
        <f>'平日晨峰(07-09)'!$AB$2</f>
        <v>D方向：</v>
      </c>
      <c r="J29" s="261"/>
      <c r="K29" s="261"/>
      <c r="L29" s="261"/>
      <c r="M29" s="261"/>
      <c r="N29" s="261"/>
      <c r="P29" s="261" t="str">
        <f>'平日中午(11-13)'!$AB$2</f>
        <v>D方向：</v>
      </c>
      <c r="Q29" s="261"/>
      <c r="R29" s="261"/>
      <c r="S29" s="261"/>
      <c r="T29" s="261"/>
      <c r="U29" s="261"/>
      <c r="W29" s="261" t="str">
        <f>'平日中午(11-13)'!$AB$2</f>
        <v>D方向：</v>
      </c>
      <c r="X29" s="261"/>
      <c r="Y29" s="261"/>
      <c r="Z29" s="261"/>
      <c r="AA29" s="261"/>
      <c r="AB29" s="261"/>
      <c r="AD29" s="261" t="str">
        <f>'平日昏峰(17-19)'!$AB$2</f>
        <v>D方向：</v>
      </c>
      <c r="AE29" s="261"/>
      <c r="AF29" s="261"/>
      <c r="AG29" s="261"/>
      <c r="AH29" s="261"/>
      <c r="AI29" s="261"/>
      <c r="AK29" s="261" t="str">
        <f>'假日(11-12)'!$AB$2</f>
        <v>D方向：</v>
      </c>
      <c r="AL29" s="261"/>
      <c r="AM29" s="261"/>
      <c r="AN29" s="261"/>
      <c r="AO29" s="261"/>
      <c r="AP29" s="261"/>
      <c r="AR29" s="261" t="str">
        <f>'假日(1430-1530)'!$AB$2</f>
        <v>D方向：</v>
      </c>
      <c r="AS29" s="261"/>
      <c r="AT29" s="261"/>
      <c r="AU29" s="261"/>
      <c r="AV29" s="261"/>
      <c r="AW29" s="261"/>
      <c r="AY29" s="261" t="str">
        <f>'假日(1730-1830)'!$AB$2</f>
        <v>D方向：</v>
      </c>
      <c r="AZ29" s="261"/>
      <c r="BA29" s="261"/>
      <c r="BB29" s="261"/>
      <c r="BC29" s="261"/>
      <c r="BD29" s="261"/>
      <c r="BF29" s="261" t="str">
        <f>'假日(16-18)'!$AB$2</f>
        <v>D方向：</v>
      </c>
      <c r="BG29" s="261"/>
      <c r="BH29" s="261"/>
      <c r="BI29" s="261"/>
      <c r="BJ29" s="261"/>
      <c r="BK29" s="261"/>
      <c r="BM29" s="261" t="str">
        <f>'假日(17-19)'!$AB$2</f>
        <v>D方向：</v>
      </c>
      <c r="BN29" s="261"/>
      <c r="BO29" s="261"/>
      <c r="BP29" s="261"/>
      <c r="BQ29" s="261"/>
      <c r="BR29" s="261"/>
      <c r="BT29" s="175" t="s">
        <v>155</v>
      </c>
      <c r="BU29" s="176" t="str">
        <f>IF(ISERROR($BW29/BX29),"-",$BW29/BX29)</f>
        <v>-</v>
      </c>
      <c r="BV29" s="176" t="str">
        <f>IF(ISERROR($BW29/BY29),"-",$BW29/BY29)</f>
        <v>-</v>
      </c>
      <c r="BW29" s="175">
        <f>('假日(16-20)'!$K$173+'假日(16-20)'!$K$192+'假日(16-20)'!$K$211+'假日(16-20)'!$K$230)*15</f>
        <v>0</v>
      </c>
      <c r="BX29" s="175">
        <f>'假日(16-20)'!$O$173+'假日(16-20)'!$O$192+'假日(16-20)'!$O$211+'假日(16-20)'!$O$230</f>
        <v>0</v>
      </c>
      <c r="BY29" s="175">
        <f>'假日(16-20)'!$Q$173+'假日(16-20)'!$Q$192+'假日(16-20)'!$Q$211+'假日(16-20)'!$Q$230</f>
        <v>0</v>
      </c>
    </row>
    <row r="30" spans="2:77">
      <c r="B30" s="172" t="s">
        <v>129</v>
      </c>
      <c r="C30" s="173" t="s">
        <v>135</v>
      </c>
      <c r="D30" s="174" t="s">
        <v>131</v>
      </c>
      <c r="E30" s="173" t="s">
        <v>132</v>
      </c>
      <c r="F30" s="173" t="s">
        <v>133</v>
      </c>
      <c r="G30" s="173" t="s">
        <v>134</v>
      </c>
      <c r="I30" s="172" t="s">
        <v>129</v>
      </c>
      <c r="J30" s="173" t="s">
        <v>135</v>
      </c>
      <c r="K30" s="174" t="s">
        <v>131</v>
      </c>
      <c r="L30" s="173" t="s">
        <v>132</v>
      </c>
      <c r="M30" s="173" t="s">
        <v>133</v>
      </c>
      <c r="N30" s="173" t="s">
        <v>134</v>
      </c>
      <c r="P30" s="172" t="s">
        <v>129</v>
      </c>
      <c r="Q30" s="173" t="s">
        <v>135</v>
      </c>
      <c r="R30" s="174" t="s">
        <v>131</v>
      </c>
      <c r="S30" s="173" t="s">
        <v>132</v>
      </c>
      <c r="T30" s="173" t="s">
        <v>133</v>
      </c>
      <c r="U30" s="173" t="s">
        <v>134</v>
      </c>
      <c r="W30" s="172" t="s">
        <v>129</v>
      </c>
      <c r="X30" s="173" t="s">
        <v>135</v>
      </c>
      <c r="Y30" s="174" t="s">
        <v>131</v>
      </c>
      <c r="Z30" s="173" t="s">
        <v>132</v>
      </c>
      <c r="AA30" s="173" t="s">
        <v>133</v>
      </c>
      <c r="AB30" s="173" t="s">
        <v>134</v>
      </c>
      <c r="AD30" s="172" t="s">
        <v>129</v>
      </c>
      <c r="AE30" s="173" t="s">
        <v>135</v>
      </c>
      <c r="AF30" s="174" t="s">
        <v>131</v>
      </c>
      <c r="AG30" s="173" t="s">
        <v>132</v>
      </c>
      <c r="AH30" s="173" t="s">
        <v>133</v>
      </c>
      <c r="AI30" s="173" t="s">
        <v>134</v>
      </c>
      <c r="AK30" s="172" t="s">
        <v>129</v>
      </c>
      <c r="AL30" s="173" t="s">
        <v>135</v>
      </c>
      <c r="AM30" s="174" t="s">
        <v>131</v>
      </c>
      <c r="AN30" s="173" t="s">
        <v>132</v>
      </c>
      <c r="AO30" s="173" t="s">
        <v>133</v>
      </c>
      <c r="AP30" s="173" t="s">
        <v>134</v>
      </c>
      <c r="AR30" s="172" t="s">
        <v>129</v>
      </c>
      <c r="AS30" s="173" t="s">
        <v>135</v>
      </c>
      <c r="AT30" s="174" t="s">
        <v>131</v>
      </c>
      <c r="AU30" s="173" t="s">
        <v>132</v>
      </c>
      <c r="AV30" s="173" t="s">
        <v>133</v>
      </c>
      <c r="AW30" s="173" t="s">
        <v>134</v>
      </c>
      <c r="AY30" s="172" t="s">
        <v>129</v>
      </c>
      <c r="AZ30" s="173" t="s">
        <v>135</v>
      </c>
      <c r="BA30" s="174" t="s">
        <v>131</v>
      </c>
      <c r="BB30" s="173" t="s">
        <v>132</v>
      </c>
      <c r="BC30" s="173" t="s">
        <v>133</v>
      </c>
      <c r="BD30" s="173" t="s">
        <v>134</v>
      </c>
      <c r="BF30" s="172" t="s">
        <v>129</v>
      </c>
      <c r="BG30" s="173" t="s">
        <v>135</v>
      </c>
      <c r="BH30" s="174" t="s">
        <v>131</v>
      </c>
      <c r="BI30" s="173" t="s">
        <v>132</v>
      </c>
      <c r="BJ30" s="173" t="s">
        <v>133</v>
      </c>
      <c r="BK30" s="173" t="s">
        <v>134</v>
      </c>
      <c r="BM30" s="172" t="s">
        <v>129</v>
      </c>
      <c r="BN30" s="173" t="s">
        <v>135</v>
      </c>
      <c r="BO30" s="174" t="s">
        <v>131</v>
      </c>
      <c r="BP30" s="173" t="s">
        <v>132</v>
      </c>
      <c r="BQ30" s="173" t="s">
        <v>133</v>
      </c>
      <c r="BR30" s="173" t="s">
        <v>134</v>
      </c>
      <c r="BT30" s="175" t="s">
        <v>189</v>
      </c>
      <c r="BU30" s="176" t="str">
        <f>IF(ISERROR($BW30/BX30),"-",$BW30/BX30)</f>
        <v>-</v>
      </c>
      <c r="BV30" s="176" t="str">
        <f>IF(ISERROR($BW30/BY30),"-",$BW30/BY30)</f>
        <v>-</v>
      </c>
      <c r="BW30" s="175">
        <f>('假日(16-20)'!$K$192+'假日(16-20)'!$K$211+'假日(16-20)'!$K$230+'假日(16-20)'!$K$249)*15</f>
        <v>0</v>
      </c>
      <c r="BX30" s="175">
        <f>'假日(16-20)'!$O$192+'假日(16-20)'!$O$211+'假日(16-20)'!$O$230+'假日(16-20)'!$O$249</f>
        <v>0</v>
      </c>
      <c r="BY30" s="175">
        <f>'假日(16-20)'!$Q$192+'假日(16-20)'!$Q$211+'假日(16-20)'!$Q$230+'假日(16-20)'!$Q$249</f>
        <v>0</v>
      </c>
    </row>
    <row r="31" spans="2:77">
      <c r="B31" s="175" t="s">
        <v>193</v>
      </c>
      <c r="C31" s="176" t="str">
        <f t="shared" ref="C31:D35" si="27">IF(ISERROR($E31/F31),"-",$E31/F31)</f>
        <v>-</v>
      </c>
      <c r="D31" s="176" t="str">
        <f t="shared" si="27"/>
        <v>-</v>
      </c>
      <c r="E31" s="175">
        <f>('平日晨峰(0630-0830)'!$AC$21+'平日晨峰(0630-0830)'!$AC$40+'平日晨峰(0630-0830)'!$AC$59+'平日晨峰(0630-0830)'!$AC$78)*15</f>
        <v>0</v>
      </c>
      <c r="F31" s="175">
        <f>'平日晨峰(0630-0830)'!$AG$21+'平日晨峰(0630-0830)'!$AG$40+'平日晨峰(0630-0830)'!$AG$59+'平日晨峰(0630-0830)'!$AG$78</f>
        <v>0</v>
      </c>
      <c r="G31" s="175">
        <f>'平日晨峰(0630-0830)'!$AI$21+'平日晨峰(0630-0830)'!$AI$40+'平日晨峰(0630-0830)'!$AI$59+'平日晨峰(0630-0830)'!$AI$78</f>
        <v>0</v>
      </c>
      <c r="I31" s="175" t="str">
        <f>$I$4</f>
        <v>07:00~08:00</v>
      </c>
      <c r="J31" s="176" t="str">
        <f t="shared" ref="J31:K35" si="28">IF(ISERROR($L31/M31),"-",$L31/M31)</f>
        <v>-</v>
      </c>
      <c r="K31" s="176" t="str">
        <f t="shared" si="28"/>
        <v>-</v>
      </c>
      <c r="L31" s="175">
        <f>('平日晨峰(07-09)'!$AC$21+'平日晨峰(07-09)'!$AC$40+'平日晨峰(07-09)'!$AC$59+'平日晨峰(07-09)'!$AC$78)*15</f>
        <v>0</v>
      </c>
      <c r="M31" s="175">
        <f>'平日晨峰(07-09)'!$AG$21+'平日晨峰(07-09)'!$AG$40+'平日晨峰(07-09)'!$AG$59+'平日晨峰(07-09)'!$AG$78</f>
        <v>0</v>
      </c>
      <c r="N31" s="175">
        <f>'平日晨峰(07-09)'!$AI$21+'平日晨峰(07-09)'!$AI$40+'平日晨峰(07-09)'!$AI$59+'平日晨峰(07-09)'!$AI$78</f>
        <v>0</v>
      </c>
      <c r="P31" s="175" t="str">
        <f>P22</f>
        <v>11:00~12:00</v>
      </c>
      <c r="Q31" s="176" t="str">
        <f>IF(ISERROR($S31/T31),"-",$S31/T31)</f>
        <v>-</v>
      </c>
      <c r="R31" s="176" t="str">
        <f>IF(ISERROR($T31/U31),"-",$T31/U31)</f>
        <v>-</v>
      </c>
      <c r="S31" s="175">
        <f>('平日中午(11-13)'!$AC$21+'平日中午(11-13)'!$AC$40+'平日中午(11-13)'!$AC$59+'平日中午(11-13)'!$AC$78)*15</f>
        <v>0</v>
      </c>
      <c r="T31" s="175">
        <f>'平日中午(11-13)'!$AG$21+'平日中午(11-13)'!$AG$40+'平日中午(11-13)'!$AG$59+'平日中午(11-13)'!$AG$78</f>
        <v>0</v>
      </c>
      <c r="U31" s="175">
        <f>'平日中午(11-13)'!$AI$21+'平日中午(11-13)'!$AI$40+'平日中午(11-13)'!$AI$59+'平日中午(11-13)'!$AI$78</f>
        <v>0</v>
      </c>
      <c r="W31" s="175" t="str">
        <f>W22</f>
        <v>1200~13:00</v>
      </c>
      <c r="X31" s="176" t="str">
        <f t="shared" ref="X31:Y35" si="29">IF(ISERROR($Z31/AA31),"-",$Z31/AA31)</f>
        <v>-</v>
      </c>
      <c r="Y31" s="176" t="str">
        <f t="shared" si="29"/>
        <v>-</v>
      </c>
      <c r="Z31" s="175">
        <f>('平日中午(12-14)'!$AC$21+'平日中午(12-14)'!$AC$40+'平日中午(12-14)'!$AC$59+'平日中午(12-14)'!$AC$78)*15</f>
        <v>0</v>
      </c>
      <c r="AA31" s="175">
        <f>'平日中午(12-14)'!$AG$21+'平日中午(12-14)'!$AG$40+'平日中午(12-14)'!$AG$59+'平日中午(12-14)'!$AG$78</f>
        <v>0</v>
      </c>
      <c r="AB31" s="175">
        <f>'平日中午(12-14)'!$AI$21+'平日中午(12-14)'!$AI$40+'平日中午(12-14)'!$AI$59+'平日中午(12-14)'!$AI$78</f>
        <v>0</v>
      </c>
      <c r="AD31" s="175" t="str">
        <f>$AD$4</f>
        <v>17:00~18:00</v>
      </c>
      <c r="AE31" s="176" t="str">
        <f t="shared" ref="AE31:AF35" si="30">IF(ISERROR($AG31/AH31),"-",$AG31/AH31)</f>
        <v>-</v>
      </c>
      <c r="AF31" s="176" t="str">
        <f t="shared" si="30"/>
        <v>-</v>
      </c>
      <c r="AG31" s="175">
        <f>('平日昏峰(17-19)'!$AC$21+'平日昏峰(17-19)'!$AC$40+'平日昏峰(17-19)'!$AC$59+'平日昏峰(17-19)'!$AC$78)*15</f>
        <v>0</v>
      </c>
      <c r="AH31" s="175">
        <f>'平日昏峰(17-19)'!$AG$21+'平日昏峰(17-19)'!$AG$40+'平日昏峰(17-19)'!$AG$59+'平日昏峰(17-19)'!$AG$78</f>
        <v>0</v>
      </c>
      <c r="AI31" s="175">
        <f>'平日昏峰(17-19)'!$AI$21+'平日昏峰(17-19)'!$AI$40+'平日昏峰(17-19)'!$AI$59+'平日昏峰(17-19)'!$AI$78</f>
        <v>0</v>
      </c>
      <c r="AK31" s="175" t="str">
        <f>$AK$4</f>
        <v>11:00~12:00</v>
      </c>
      <c r="AL31" s="176" t="str">
        <f t="shared" ref="AL31:AM35" si="31">IF(ISERROR($AN31/AO31),"-",$AN31/AO31)</f>
        <v>-</v>
      </c>
      <c r="AM31" s="176" t="str">
        <f t="shared" si="31"/>
        <v>-</v>
      </c>
      <c r="AN31" s="175">
        <f>('假日(11-12)'!$AC$21+'假日(11-12)'!$AC$40+'假日(11-12)'!$AC$59+'假日(11-12)'!$AC$78)*15</f>
        <v>0</v>
      </c>
      <c r="AO31" s="175">
        <f>'假日(11-12)'!$AG$21+'假日(11-12)'!$AG$40+'假日(11-12)'!$AG$59+'假日(11-12)'!$AG$78</f>
        <v>0</v>
      </c>
      <c r="AP31" s="175">
        <f>'假日(11-12)'!$AI$21+'假日(11-12)'!$AI$40+'假日(11-12)'!$AI$59+'假日(11-12)'!$AI$78</f>
        <v>0</v>
      </c>
      <c r="AR31" s="175" t="str">
        <f>$AR$4</f>
        <v>14:30~15:30</v>
      </c>
      <c r="AS31" s="176" t="str">
        <f t="shared" ref="AS31:AT35" si="32">IF(ISERROR($AU31/AV31),"-",$AU31/AV31)</f>
        <v>-</v>
      </c>
      <c r="AT31" s="176" t="str">
        <f t="shared" si="32"/>
        <v>-</v>
      </c>
      <c r="AU31" s="175">
        <f>('假日(1430-1530)'!$AC$21+'假日(1430-1530)'!$AC$40+'假日(1430-1530)'!$AC$59+'假日(1430-1530)'!$AC$78)*15</f>
        <v>0</v>
      </c>
      <c r="AV31" s="175">
        <f>'假日(1430-1530)'!$AG$21+'假日(1430-1530)'!$AG$40+'假日(1430-1530)'!$AG$59+'假日(1430-1530)'!$AG$78</f>
        <v>0</v>
      </c>
      <c r="AW31" s="175">
        <f>'假日(1430-1530)'!$AI$21+'假日(1430-1530)'!$AI$40+'假日(1430-1530)'!$AI$59+'假日(1430-1530)'!$AI$78</f>
        <v>0</v>
      </c>
      <c r="AY31" s="175" t="str">
        <f>AY22</f>
        <v>17:30~18:30</v>
      </c>
      <c r="AZ31" s="176" t="str">
        <f t="shared" ref="AZ31:BA35" si="33">IF(ISERROR($BB31/BC31),"-",$BB31/BC31)</f>
        <v>-</v>
      </c>
      <c r="BA31" s="176" t="str">
        <f t="shared" si="33"/>
        <v>-</v>
      </c>
      <c r="BB31" s="175">
        <f>('假日(1730-1830)'!$AC$21+'假日(1730-1830)'!$AC$40+'假日(1730-1830)'!$AC$59+'假日(1730-1830)'!$AC$78)*15</f>
        <v>0</v>
      </c>
      <c r="BC31" s="175">
        <f>'假日(1730-1830)'!$AG$21+'假日(1730-1830)'!$AG$40+'假日(1730-1830)'!$AG$59+'假日(1730-1830)'!$AG$78</f>
        <v>0</v>
      </c>
      <c r="BD31" s="175">
        <f>'假日(1730-1830)'!$AI$21+'假日(1730-1830)'!$AI$40+'假日(1730-1830)'!$AI$59+'假日(1730-1830)'!$AI$78</f>
        <v>0</v>
      </c>
      <c r="BF31" s="175" t="str">
        <f>BF22</f>
        <v>16:00~17:00</v>
      </c>
      <c r="BG31" s="176" t="str">
        <f t="shared" ref="BG31:BH35" si="34">IF(ISERROR($BI31/BJ31),"-",$BI31/BJ31)</f>
        <v>-</v>
      </c>
      <c r="BH31" s="176" t="str">
        <f t="shared" si="34"/>
        <v>-</v>
      </c>
      <c r="BI31" s="175">
        <f>('假日(16-18)'!$AC$21+'假日(16-18)'!$AC$40+'假日(16-18)'!$AC$59+'假日(16-18)'!$AC$78)*15</f>
        <v>0</v>
      </c>
      <c r="BJ31" s="175">
        <f>'假日(16-18)'!$AG$21+'假日(16-18)'!$AG$40+'假日(16-18)'!$AG$59+'假日(16-18)'!$AG$78</f>
        <v>0</v>
      </c>
      <c r="BK31" s="175">
        <f>'假日(16-18)'!$AI$21+'假日(16-18)'!$AI$40+'假日(16-18)'!$AI$59+'假日(16-18)'!$AI$78</f>
        <v>0</v>
      </c>
      <c r="BM31" s="175" t="str">
        <f>BM22</f>
        <v>17:00~18:00</v>
      </c>
      <c r="BN31" s="176" t="str">
        <f t="shared" ref="BN31:BO35" si="35">IF(ISERROR($BP31/BQ31),"-",$BP31/BQ31)</f>
        <v>-</v>
      </c>
      <c r="BO31" s="176" t="str">
        <f t="shared" si="35"/>
        <v>-</v>
      </c>
      <c r="BP31" s="175">
        <f>('假日(17-19)'!$AC$21+'假日(17-19)'!$AC$40+'假日(17-19)'!$AC$59+'假日(17-19)'!$AC$78)*15</f>
        <v>0</v>
      </c>
      <c r="BQ31" s="175">
        <f>'假日(17-19)'!$AG$21+'假日(17-19)'!$AG$40+'假日(17-19)'!$AG$59+'假日(17-19)'!$AG$78</f>
        <v>0</v>
      </c>
      <c r="BR31" s="175">
        <f>'假日(17-19)'!$AI$21+'假日(17-19)'!$AI$40+'假日(17-19)'!$AI$59+'假日(17-19)'!$AI$78</f>
        <v>0</v>
      </c>
      <c r="BT31" s="175" t="s">
        <v>190</v>
      </c>
      <c r="BU31" s="176" t="str">
        <f>IF(ISERROR($BW31/BX31),"-",$BW31/BX31)</f>
        <v>-</v>
      </c>
      <c r="BV31" s="176" t="str">
        <f>IF(ISERROR($BW31/BY31),"-",$BW31/BY31)</f>
        <v>-</v>
      </c>
      <c r="BW31" s="175">
        <f>('假日(16-20)'!$K$211+'假日(16-20)'!$K$230+'假日(16-20)'!$K$249+'假日(16-20)'!$K$268)*15</f>
        <v>0</v>
      </c>
      <c r="BX31" s="175">
        <f>'假日(16-20)'!$O$211+'假日(16-20)'!$O$230+'假日(16-20)'!$O$249+'假日(16-20)'!$O$268</f>
        <v>0</v>
      </c>
      <c r="BY31" s="175">
        <f>'假日(16-20)'!$Q$211+'假日(16-20)'!$Q$230+'假日(16-20)'!$Q$249+'假日(16-20)'!$Q$268</f>
        <v>0</v>
      </c>
    </row>
    <row r="32" spans="2:77">
      <c r="B32" s="175" t="s">
        <v>194</v>
      </c>
      <c r="C32" s="176" t="str">
        <f t="shared" si="27"/>
        <v>-</v>
      </c>
      <c r="D32" s="176" t="str">
        <f t="shared" si="27"/>
        <v>-</v>
      </c>
      <c r="E32" s="175">
        <f>('平日晨峰(0630-0830)'!$AC$40+'平日晨峰(0630-0830)'!$AC$59+'平日晨峰(0630-0830)'!$AC$78+'平日晨峰(0630-0830)'!$AC$97)*15</f>
        <v>0</v>
      </c>
      <c r="F32" s="175">
        <f>'平日晨峰(0630-0830)'!$AG$40+'平日晨峰(0630-0830)'!$AG$59+'平日晨峰(0630-0830)'!$AG$78+'平日晨峰(0630-0830)'!$AG$97</f>
        <v>0</v>
      </c>
      <c r="G32" s="175">
        <f>'平日晨峰(0630-0830)'!$AI$40+'平日晨峰(0630-0830)'!$AI$59+'平日晨峰(0630-0830)'!$AI$78+'平日晨峰(0630-0830)'!$AI$97</f>
        <v>0</v>
      </c>
      <c r="I32" s="175" t="str">
        <f>$I$5</f>
        <v>07:15~08:15</v>
      </c>
      <c r="J32" s="176" t="str">
        <f t="shared" si="28"/>
        <v>-</v>
      </c>
      <c r="K32" s="176" t="str">
        <f t="shared" si="28"/>
        <v>-</v>
      </c>
      <c r="L32" s="175">
        <f>('平日晨峰(07-09)'!$AC$40+'平日晨峰(07-09)'!$AC$59+'平日晨峰(07-09)'!$AC$78+'平日晨峰(07-09)'!$AC$97)*15</f>
        <v>0</v>
      </c>
      <c r="M32" s="175">
        <f>'平日晨峰(07-09)'!$AG$40+'平日晨峰(07-09)'!$AG$59+'平日晨峰(07-09)'!$AG$78+'平日晨峰(07-09)'!$AG$97</f>
        <v>0</v>
      </c>
      <c r="N32" s="175">
        <f>'平日晨峰(07-09)'!$AI$40+'平日晨峰(07-09)'!$AI$59+'平日晨峰(07-09)'!$AI$78+'平日晨峰(07-09)'!$AI$97</f>
        <v>0</v>
      </c>
      <c r="P32" s="175" t="str">
        <f>P23</f>
        <v>11:15~12:15</v>
      </c>
      <c r="Q32" s="176" t="str">
        <f>IF(ISERROR($S32/T32),"-",$S32/T32)</f>
        <v>-</v>
      </c>
      <c r="R32" s="176" t="str">
        <f>IF(ISERROR($T32/U32),"-",$T32/U32)</f>
        <v>-</v>
      </c>
      <c r="S32" s="175">
        <f>('平日中午(11-13)'!$AC$40+'平日中午(11-13)'!$AC$59+'平日中午(11-13)'!$AC$78+'平日中午(11-13)'!$AC$97)*15</f>
        <v>0</v>
      </c>
      <c r="T32" s="175">
        <f>'平日中午(11-13)'!$AG$40+'平日中午(11-13)'!$AG$59+'平日中午(11-13)'!$AG$78+'平日中午(11-13)'!$AG$97</f>
        <v>0</v>
      </c>
      <c r="U32" s="175">
        <f>'平日中午(11-13)'!$AI$40+'平日中午(11-13)'!$AI$59+'平日中午(11-13)'!$AI$78+'平日中午(11-13)'!$AI$97</f>
        <v>0</v>
      </c>
      <c r="W32" s="175" t="str">
        <f>W23</f>
        <v>12:15~13:15</v>
      </c>
      <c r="X32" s="176" t="str">
        <f t="shared" si="29"/>
        <v>-</v>
      </c>
      <c r="Y32" s="176" t="str">
        <f t="shared" si="29"/>
        <v>-</v>
      </c>
      <c r="Z32" s="175">
        <f>('平日中午(12-14)'!$AC$40+'平日中午(12-14)'!$AC$59+'平日中午(12-14)'!$AC$78+'平日中午(12-14)'!$AC$97)*15</f>
        <v>0</v>
      </c>
      <c r="AA32" s="175">
        <f>'平日中午(12-14)'!$AG$40+'平日中午(12-14)'!$AG$59+'平日中午(12-14)'!$AG$78+'平日中午(12-14)'!$AG$97</f>
        <v>0</v>
      </c>
      <c r="AB32" s="175">
        <f>'平日中午(12-14)'!$AI$40+'平日中午(12-14)'!$AI$59+'平日中午(12-14)'!$AI$78+'平日中午(12-14)'!$AI$97</f>
        <v>0</v>
      </c>
      <c r="AD32" s="175" t="str">
        <f>$AD$5</f>
        <v>17:15~18:15</v>
      </c>
      <c r="AE32" s="176" t="str">
        <f t="shared" si="30"/>
        <v>-</v>
      </c>
      <c r="AF32" s="176" t="str">
        <f t="shared" si="30"/>
        <v>-</v>
      </c>
      <c r="AG32" s="175">
        <f>('平日昏峰(17-19)'!$AC$40+'平日昏峰(17-19)'!$AC$59+'平日昏峰(17-19)'!$AC$78+'平日昏峰(17-19)'!$AC$97)*15</f>
        <v>0</v>
      </c>
      <c r="AH32" s="175">
        <f>'平日昏峰(17-19)'!$AG$40+'平日昏峰(17-19)'!$AG$59+'平日昏峰(17-19)'!$AG$78+'平日昏峰(17-19)'!$AG$97</f>
        <v>0</v>
      </c>
      <c r="AI32" s="175">
        <f>'平日昏峰(17-19)'!$AI$40+'平日昏峰(17-19)'!$AI$59+'平日昏峰(17-19)'!$AI$78+'平日昏峰(17-19)'!$AI$97</f>
        <v>0</v>
      </c>
      <c r="AK32" s="175">
        <f>$AK$5</f>
        <v>0</v>
      </c>
      <c r="AL32" s="176" t="str">
        <f t="shared" si="31"/>
        <v>-</v>
      </c>
      <c r="AM32" s="176" t="str">
        <f t="shared" si="31"/>
        <v>-</v>
      </c>
      <c r="AN32" s="175"/>
      <c r="AO32" s="175"/>
      <c r="AP32" s="175"/>
      <c r="AR32" s="175">
        <f>$AR$5</f>
        <v>0</v>
      </c>
      <c r="AS32" s="176" t="str">
        <f t="shared" si="32"/>
        <v>-</v>
      </c>
      <c r="AT32" s="176" t="str">
        <f t="shared" si="32"/>
        <v>-</v>
      </c>
      <c r="AU32" s="175"/>
      <c r="AV32" s="175"/>
      <c r="AW32" s="175"/>
      <c r="AY32" s="175">
        <f>AY23</f>
        <v>0</v>
      </c>
      <c r="AZ32" s="176" t="str">
        <f t="shared" si="33"/>
        <v>-</v>
      </c>
      <c r="BA32" s="176" t="str">
        <f t="shared" si="33"/>
        <v>-</v>
      </c>
      <c r="BB32" s="175"/>
      <c r="BC32" s="175"/>
      <c r="BD32" s="175"/>
      <c r="BF32" s="175" t="str">
        <f>BF23</f>
        <v>16:15~17:15</v>
      </c>
      <c r="BG32" s="176" t="str">
        <f t="shared" si="34"/>
        <v>-</v>
      </c>
      <c r="BH32" s="176" t="str">
        <f t="shared" si="34"/>
        <v>-</v>
      </c>
      <c r="BI32" s="175">
        <f>('假日(16-18)'!$AC$40+'假日(16-18)'!$AC$59+'假日(16-18)'!$AC$78+'假日(16-18)'!$AC$97)*15</f>
        <v>0</v>
      </c>
      <c r="BJ32" s="175">
        <f>'假日(16-18)'!$AG$40+'假日(16-18)'!$AG$59+'假日(16-18)'!$AG$78+'假日(16-18)'!$AG$97</f>
        <v>0</v>
      </c>
      <c r="BK32" s="175">
        <f>'假日(16-18)'!$AI$40+'假日(16-18)'!$AI$59+'假日(16-18)'!$AI$78+'假日(16-18)'!$AI$97</f>
        <v>0</v>
      </c>
      <c r="BM32" s="175" t="str">
        <f>BM23</f>
        <v>17:15~18:15</v>
      </c>
      <c r="BN32" s="176" t="str">
        <f t="shared" si="35"/>
        <v>-</v>
      </c>
      <c r="BO32" s="176" t="str">
        <f t="shared" si="35"/>
        <v>-</v>
      </c>
      <c r="BP32" s="175">
        <f>('假日(17-19)'!$AC$40+'假日(17-19)'!$AC$59+'假日(17-19)'!$AC$78+'假日(17-19)'!$AC$97)*15</f>
        <v>0</v>
      </c>
      <c r="BQ32" s="175">
        <f>'假日(17-19)'!$AG$40+'假日(17-19)'!$AG$59+'假日(17-19)'!$AG$78+'假日(17-19)'!$AG$97</f>
        <v>0</v>
      </c>
      <c r="BR32" s="175">
        <f>'假日(17-19)'!$AI$40+'假日(17-19)'!$AI$59+'假日(17-19)'!$AI$78+'假日(17-19)'!$AI$97</f>
        <v>0</v>
      </c>
      <c r="BT32" s="175" t="s">
        <v>191</v>
      </c>
      <c r="BU32" s="176" t="str">
        <f>IF(ISERROR($BW32/BX32),"-",$BW32/BX32)</f>
        <v>-</v>
      </c>
      <c r="BV32" s="176" t="str">
        <f>IF(ISERROR($BW32/BY32),"-",$BW32/BY32)</f>
        <v>-</v>
      </c>
      <c r="BW32" s="175">
        <f>('假日(16-20)'!$K$230+'假日(16-20)'!$K$249+'假日(16-20)'!$K$268+'假日(16-20)'!$K$287)*15</f>
        <v>0</v>
      </c>
      <c r="BX32" s="175">
        <f>'假日(16-20)'!$O$230+'假日(16-20)'!$O$249+'假日(16-20)'!$O$268+'假日(16-20)'!$O$287</f>
        <v>0</v>
      </c>
      <c r="BY32" s="175">
        <f>'假日(16-20)'!$Q$230+'假日(16-20)'!$Q$249+'假日(16-20)'!$Q$268+'假日(16-20)'!$Q$287</f>
        <v>0</v>
      </c>
    </row>
    <row r="33" spans="2:77">
      <c r="B33" s="175" t="s">
        <v>195</v>
      </c>
      <c r="C33" s="176" t="str">
        <f t="shared" si="27"/>
        <v>-</v>
      </c>
      <c r="D33" s="176" t="str">
        <f t="shared" si="27"/>
        <v>-</v>
      </c>
      <c r="E33" s="175">
        <f>('平日晨峰(0630-0830)'!$AC$59+'平日晨峰(0630-0830)'!$AC$78+'平日晨峰(0630-0830)'!$AC$97+'平日晨峰(0630-0830)'!$AC$116)*15</f>
        <v>0</v>
      </c>
      <c r="F33" s="175">
        <f>'平日晨峰(0630-0830)'!$AG$59+'平日晨峰(0630-0830)'!$AG$78+'平日晨峰(0630-0830)'!$AG$97+'平日晨峰(0630-0830)'!$AG$116</f>
        <v>0</v>
      </c>
      <c r="G33" s="175">
        <f>'平日晨峰(0630-0830)'!$AI$59+'平日晨峰(0630-0830)'!$AI$78+'平日晨峰(0630-0830)'!$AI$97+'平日晨峰(0630-0830)'!$AI$116</f>
        <v>0</v>
      </c>
      <c r="I33" s="175" t="str">
        <f>$I$6</f>
        <v>07:30~08:30</v>
      </c>
      <c r="J33" s="176" t="str">
        <f t="shared" si="28"/>
        <v>-</v>
      </c>
      <c r="K33" s="176" t="str">
        <f t="shared" si="28"/>
        <v>-</v>
      </c>
      <c r="L33" s="175">
        <f>('平日晨峰(07-09)'!$AC$59+'平日晨峰(07-09)'!$AC$78+'平日晨峰(07-09)'!$AC$97+'平日晨峰(07-09)'!$AC$116)*15</f>
        <v>0</v>
      </c>
      <c r="M33" s="175">
        <f>'平日晨峰(07-09)'!$AG$59+'平日晨峰(07-09)'!$AG$78+'平日晨峰(07-09)'!$AG$97+'平日晨峰(07-09)'!$AG$116</f>
        <v>0</v>
      </c>
      <c r="N33" s="175">
        <f>'平日晨峰(07-09)'!$AI$59+'平日晨峰(07-09)'!$AI$78+'平日晨峰(07-09)'!$AI$97+'平日晨峰(07-09)'!$AI$116</f>
        <v>0</v>
      </c>
      <c r="P33" s="175" t="str">
        <f>P24</f>
        <v>11:30~12:30</v>
      </c>
      <c r="Q33" s="176" t="str">
        <f>IF(ISERROR($S33/T33),"-",$S33/T33)</f>
        <v>-</v>
      </c>
      <c r="R33" s="176" t="str">
        <f>IF(ISERROR($T33/U33),"-",$T33/U33)</f>
        <v>-</v>
      </c>
      <c r="S33" s="175">
        <f>('平日中午(11-13)'!$AC$59+'平日中午(11-13)'!$AC$78+'平日中午(11-13)'!$AC$97+'平日中午(11-13)'!$AC$116)*15</f>
        <v>0</v>
      </c>
      <c r="T33" s="175">
        <f>'平日中午(11-13)'!$AG$59+'平日中午(11-13)'!$AG$78+'平日中午(11-13)'!$AG$97+'平日中午(11-13)'!$AG$116</f>
        <v>0</v>
      </c>
      <c r="U33" s="175">
        <f>'平日中午(11-13)'!$AI$59+'平日中午(11-13)'!$AI$78+'平日中午(11-13)'!$AI$97+'平日中午(11-13)'!$AI$116</f>
        <v>0</v>
      </c>
      <c r="W33" s="175" t="str">
        <f>W24</f>
        <v>12:30~13:30</v>
      </c>
      <c r="X33" s="176" t="str">
        <f t="shared" si="29"/>
        <v>-</v>
      </c>
      <c r="Y33" s="176" t="str">
        <f t="shared" si="29"/>
        <v>-</v>
      </c>
      <c r="Z33" s="175">
        <f>('平日中午(12-14)'!$AC$59+'平日中午(12-14)'!$AC$78+'平日中午(12-14)'!$AC$97+'平日中午(12-14)'!$AC$116)*15</f>
        <v>0</v>
      </c>
      <c r="AA33" s="175">
        <f>'平日中午(12-14)'!$AG$59+'平日中午(12-14)'!$AG$78+'平日中午(12-14)'!$AG$97+'平日中午(12-14)'!$AG$116</f>
        <v>0</v>
      </c>
      <c r="AB33" s="175">
        <f>'平日中午(12-14)'!$AI$59+'平日中午(12-14)'!$AI$78+'平日中午(12-14)'!$AI$97+'平日中午(12-14)'!$AI$116</f>
        <v>0</v>
      </c>
      <c r="AD33" s="175" t="str">
        <f>$AD$6</f>
        <v>17:30~18:30</v>
      </c>
      <c r="AE33" s="176" t="str">
        <f t="shared" si="30"/>
        <v>-</v>
      </c>
      <c r="AF33" s="176" t="str">
        <f t="shared" si="30"/>
        <v>-</v>
      </c>
      <c r="AG33" s="175">
        <f>('平日昏峰(17-19)'!$AC$59+'平日昏峰(17-19)'!$AC$78+'平日昏峰(17-19)'!$AC$97+'平日昏峰(17-19)'!$AC$116)*15</f>
        <v>0</v>
      </c>
      <c r="AH33" s="175">
        <f>'平日昏峰(17-19)'!$AG$59+'平日昏峰(17-19)'!$AG$78+'平日昏峰(17-19)'!$AG$97+'平日昏峰(17-19)'!$AG$116</f>
        <v>0</v>
      </c>
      <c r="AI33" s="175">
        <f>'平日昏峰(17-19)'!$AI$59+'平日昏峰(17-19)'!$AI$78+'平日昏峰(17-19)'!$AI$97+'平日昏峰(17-19)'!$AI$116</f>
        <v>0</v>
      </c>
      <c r="AK33" s="175">
        <f>$AK$6</f>
        <v>0</v>
      </c>
      <c r="AL33" s="176" t="str">
        <f t="shared" si="31"/>
        <v>-</v>
      </c>
      <c r="AM33" s="176" t="str">
        <f t="shared" si="31"/>
        <v>-</v>
      </c>
      <c r="AN33" s="175"/>
      <c r="AO33" s="175"/>
      <c r="AP33" s="175"/>
      <c r="AR33" s="175">
        <f>$AR$6</f>
        <v>0</v>
      </c>
      <c r="AS33" s="176" t="str">
        <f t="shared" si="32"/>
        <v>-</v>
      </c>
      <c r="AT33" s="176" t="str">
        <f t="shared" si="32"/>
        <v>-</v>
      </c>
      <c r="AU33" s="175"/>
      <c r="AV33" s="175"/>
      <c r="AW33" s="175"/>
      <c r="AY33" s="175">
        <f>AY24</f>
        <v>0</v>
      </c>
      <c r="AZ33" s="176" t="str">
        <f t="shared" si="33"/>
        <v>-</v>
      </c>
      <c r="BA33" s="176" t="str">
        <f t="shared" si="33"/>
        <v>-</v>
      </c>
      <c r="BB33" s="175"/>
      <c r="BC33" s="175"/>
      <c r="BD33" s="175"/>
      <c r="BF33" s="175" t="str">
        <f>BF24</f>
        <v>16:30~17:30</v>
      </c>
      <c r="BG33" s="176" t="str">
        <f t="shared" si="34"/>
        <v>-</v>
      </c>
      <c r="BH33" s="176" t="str">
        <f t="shared" si="34"/>
        <v>-</v>
      </c>
      <c r="BI33" s="175">
        <f>('假日(16-18)'!$AC$59+'假日(16-18)'!$AC$78+'假日(16-18)'!$AC$97+'假日(16-18)'!$AC$116)*15</f>
        <v>0</v>
      </c>
      <c r="BJ33" s="175">
        <f>'假日(16-18)'!$AG$59+'假日(16-18)'!$AG$78+'假日(16-18)'!$AG$97+'假日(16-18)'!$AG$116</f>
        <v>0</v>
      </c>
      <c r="BK33" s="175">
        <f>'假日(16-18)'!$AI$59+'假日(16-18)'!$AI$78+'假日(16-18)'!$AI$97+'假日(16-18)'!$AI$116</f>
        <v>0</v>
      </c>
      <c r="BM33" s="175" t="str">
        <f>BM24</f>
        <v>17:30~18:30</v>
      </c>
      <c r="BN33" s="176" t="str">
        <f t="shared" si="35"/>
        <v>-</v>
      </c>
      <c r="BO33" s="176" t="str">
        <f t="shared" si="35"/>
        <v>-</v>
      </c>
      <c r="BP33" s="175">
        <f>('假日(17-19)'!$AC$59+'假日(17-19)'!$AC$78+'假日(17-19)'!$AC$97+'假日(17-19)'!$AC$116)*15</f>
        <v>0</v>
      </c>
      <c r="BQ33" s="175">
        <f>'假日(17-19)'!$AG$59+'假日(17-19)'!$AG$78+'假日(17-19)'!$AG$97+'假日(17-19)'!$AG$116</f>
        <v>0</v>
      </c>
      <c r="BR33" s="175">
        <f>'假日(17-19)'!$AI$59+'假日(17-19)'!$AI$78+'假日(17-19)'!$AI$97+'假日(17-19)'!$AI$116</f>
        <v>0</v>
      </c>
      <c r="BT33" s="175" t="s">
        <v>192</v>
      </c>
      <c r="BU33" s="176" t="str">
        <f>IF(ISERROR($BW33/BX33),"-",$BW33/BX33)</f>
        <v>-</v>
      </c>
      <c r="BV33" s="176" t="str">
        <f>IF(ISERROR($BW33/BY33),"-",$BW33/BY33)</f>
        <v>-</v>
      </c>
      <c r="BW33" s="175">
        <f>('假日(16-20)'!$K$249+'假日(16-20)'!$K$268+'假日(16-20)'!$K$287+'假日(16-20)'!$K$306)*15</f>
        <v>0</v>
      </c>
      <c r="BX33" s="175">
        <f>'假日(16-20)'!$O$249+'假日(16-20)'!$O$268+'假日(16-20)'!$O$287+'假日(16-20)'!$O$306</f>
        <v>0</v>
      </c>
      <c r="BY33" s="175">
        <f>'假日(16-20)'!$Q$249+'假日(16-20)'!$Q$268+'假日(16-20)'!$Q$287+'假日(16-20)'!$Q$306</f>
        <v>0</v>
      </c>
    </row>
    <row r="34" spans="2:77">
      <c r="B34" s="175" t="s">
        <v>196</v>
      </c>
      <c r="C34" s="176" t="str">
        <f t="shared" si="27"/>
        <v>-</v>
      </c>
      <c r="D34" s="176" t="str">
        <f t="shared" si="27"/>
        <v>-</v>
      </c>
      <c r="E34" s="175">
        <f>('平日晨峰(0630-0830)'!$AC$78+'平日晨峰(0630-0830)'!$AC$97+'平日晨峰(0630-0830)'!$AC$116+'平日晨峰(0630-0830)'!$AC$135)*15</f>
        <v>0</v>
      </c>
      <c r="F34" s="175">
        <f>'平日晨峰(0630-0830)'!$AG$78+'平日晨峰(0630-0830)'!$AG$97+'平日晨峰(0630-0830)'!$AG$116+'平日晨峰(0630-0830)'!$AG$135</f>
        <v>0</v>
      </c>
      <c r="G34" s="175">
        <f>'平日晨峰(0630-0830)'!$AI$78+'平日晨峰(0630-0830)'!$AI$97+'平日晨峰(0630-0830)'!$AI$116+'平日晨峰(0630-0830)'!$AI$135</f>
        <v>0</v>
      </c>
      <c r="I34" s="175" t="str">
        <f>$I$7</f>
        <v>07:45~08:45</v>
      </c>
      <c r="J34" s="176" t="str">
        <f t="shared" si="28"/>
        <v>-</v>
      </c>
      <c r="K34" s="176" t="str">
        <f t="shared" si="28"/>
        <v>-</v>
      </c>
      <c r="L34" s="175">
        <f>('平日晨峰(07-09)'!$AC$78+'平日晨峰(07-09)'!$AC$97+'平日晨峰(07-09)'!$AC$116+'平日晨峰(07-09)'!$AC$135)*15</f>
        <v>0</v>
      </c>
      <c r="M34" s="175">
        <f>'平日晨峰(07-09)'!$AG$78+'平日晨峰(07-09)'!$AG$97+'平日晨峰(07-09)'!$AG$116+'平日晨峰(07-09)'!$AG$135</f>
        <v>0</v>
      </c>
      <c r="N34" s="175">
        <f>'平日晨峰(07-09)'!$AI$78+'平日晨峰(07-09)'!$AI$97+'平日晨峰(07-09)'!$AI$116+'平日晨峰(07-09)'!$AI$135</f>
        <v>0</v>
      </c>
      <c r="P34" s="175" t="str">
        <f>P25</f>
        <v>11:45~12:45</v>
      </c>
      <c r="Q34" s="176" t="str">
        <f>IF(ISERROR($S34/T34),"-",$S34/T34)</f>
        <v>-</v>
      </c>
      <c r="R34" s="176" t="str">
        <f>IF(ISERROR($T34/U34),"-",$T34/U34)</f>
        <v>-</v>
      </c>
      <c r="S34" s="175">
        <f>('平日中午(11-13)'!$AC$78+'平日中午(11-13)'!$AC$97+'平日中午(11-13)'!$AC$116+'平日中午(11-13)'!$AC$135)*15</f>
        <v>0</v>
      </c>
      <c r="T34" s="175">
        <f>'平日中午(11-13)'!$AG$78+'平日中午(11-13)'!$AG$97+'平日中午(11-13)'!$AG$116+'平日中午(11-13)'!$AG$135</f>
        <v>0</v>
      </c>
      <c r="U34" s="175">
        <f>'平日中午(11-13)'!$AI$78+'平日中午(11-13)'!$AI$97+'平日中午(11-13)'!$AI$116+'平日中午(11-13)'!$AI$135</f>
        <v>0</v>
      </c>
      <c r="W34" s="175" t="str">
        <f>W25</f>
        <v>12:45~13:45</v>
      </c>
      <c r="X34" s="176" t="str">
        <f t="shared" si="29"/>
        <v>-</v>
      </c>
      <c r="Y34" s="176" t="str">
        <f t="shared" si="29"/>
        <v>-</v>
      </c>
      <c r="Z34" s="175">
        <f>('平日中午(12-14)'!$AC$78+'平日中午(12-14)'!$AC$97+'平日中午(12-14)'!$AC$116+'平日中午(12-14)'!$AC$135)*15</f>
        <v>0</v>
      </c>
      <c r="AA34" s="175">
        <f>'平日中午(12-14)'!$AG$78+'平日中午(12-14)'!$AG$97+'平日中午(12-14)'!$AG$116+'平日中午(12-14)'!$AG$135</f>
        <v>0</v>
      </c>
      <c r="AB34" s="175">
        <f>'平日中午(12-14)'!$AI$78+'平日中午(12-14)'!$AI$97+'平日中午(12-14)'!$AI$116+'平日中午(12-14)'!$AI$135</f>
        <v>0</v>
      </c>
      <c r="AD34" s="175" t="str">
        <f>$AD$7</f>
        <v>17:45~18:45</v>
      </c>
      <c r="AE34" s="176" t="str">
        <f t="shared" si="30"/>
        <v>-</v>
      </c>
      <c r="AF34" s="176" t="str">
        <f t="shared" si="30"/>
        <v>-</v>
      </c>
      <c r="AG34" s="175">
        <f>('平日昏峰(17-19)'!$AC$78+'平日昏峰(17-19)'!$AC$97+'平日昏峰(17-19)'!$AC$116+'平日昏峰(17-19)'!$AC$135)*15</f>
        <v>0</v>
      </c>
      <c r="AH34" s="175">
        <f>'平日昏峰(17-19)'!$AG$78+'平日昏峰(17-19)'!$AG$97+'平日昏峰(17-19)'!$AG$116+'平日昏峰(17-19)'!$AG$135</f>
        <v>0</v>
      </c>
      <c r="AI34" s="175">
        <f>'平日昏峰(17-19)'!$AI$78+'平日昏峰(17-19)'!$AI$97+'平日昏峰(17-19)'!$AI$116+'平日昏峰(17-19)'!$AI$135</f>
        <v>0</v>
      </c>
      <c r="AK34" s="175">
        <f>$AK$7</f>
        <v>0</v>
      </c>
      <c r="AL34" s="176" t="str">
        <f t="shared" si="31"/>
        <v>-</v>
      </c>
      <c r="AM34" s="176" t="str">
        <f t="shared" si="31"/>
        <v>-</v>
      </c>
      <c r="AN34" s="175"/>
      <c r="AO34" s="175"/>
      <c r="AP34" s="175"/>
      <c r="AR34" s="175">
        <f>$AR$7</f>
        <v>0</v>
      </c>
      <c r="AS34" s="176" t="str">
        <f t="shared" si="32"/>
        <v>-</v>
      </c>
      <c r="AT34" s="176" t="str">
        <f t="shared" si="32"/>
        <v>-</v>
      </c>
      <c r="AU34" s="175"/>
      <c r="AV34" s="175"/>
      <c r="AW34" s="175"/>
      <c r="AY34" s="175">
        <f>AY25</f>
        <v>0</v>
      </c>
      <c r="AZ34" s="176" t="str">
        <f t="shared" si="33"/>
        <v>-</v>
      </c>
      <c r="BA34" s="176" t="str">
        <f t="shared" si="33"/>
        <v>-</v>
      </c>
      <c r="BB34" s="175"/>
      <c r="BC34" s="175"/>
      <c r="BD34" s="175"/>
      <c r="BF34" s="175" t="str">
        <f>BF25</f>
        <v>16:45~17:45</v>
      </c>
      <c r="BG34" s="176" t="str">
        <f t="shared" si="34"/>
        <v>-</v>
      </c>
      <c r="BH34" s="176" t="str">
        <f t="shared" si="34"/>
        <v>-</v>
      </c>
      <c r="BI34" s="175">
        <f>('假日(16-18)'!$AC$78+'假日(16-18)'!$AC$97+'假日(16-18)'!$AC$116+'假日(16-18)'!$AC$135)*15</f>
        <v>0</v>
      </c>
      <c r="BJ34" s="175">
        <f>'假日(16-18)'!$AG$78+'假日(16-18)'!$AG$97+'假日(16-18)'!$AG$116+'假日(16-18)'!$AG$135</f>
        <v>0</v>
      </c>
      <c r="BK34" s="175">
        <f>'假日(16-18)'!$AI$78+'假日(16-18)'!$AI$97+'假日(16-18)'!$AI$116+'假日(16-18)'!$AI$135</f>
        <v>0</v>
      </c>
      <c r="BM34" s="175" t="str">
        <f>BM25</f>
        <v>17:45~18:45</v>
      </c>
      <c r="BN34" s="176" t="str">
        <f t="shared" si="35"/>
        <v>-</v>
      </c>
      <c r="BO34" s="176" t="str">
        <f t="shared" si="35"/>
        <v>-</v>
      </c>
      <c r="BP34" s="175">
        <f>('假日(17-19)'!$AC$78+'假日(17-19)'!$AC$97+'假日(17-19)'!$AC$116+'假日(17-19)'!$AC$135)*15</f>
        <v>0</v>
      </c>
      <c r="BQ34" s="175">
        <f>'假日(17-19)'!$AG$78+'假日(17-19)'!$AG$97+'假日(17-19)'!$AG$116+'假日(17-19)'!$AG$135</f>
        <v>0</v>
      </c>
      <c r="BR34" s="175">
        <f>'假日(17-19)'!$AI$78+'假日(17-19)'!$AI$97+'假日(17-19)'!$AI$116+'假日(17-19)'!$AI$135</f>
        <v>0</v>
      </c>
      <c r="BT34" s="172" t="str">
        <f>CONCATENATE(基本資料!$C$18,"方向","平均延滯")</f>
        <v>B方向平均延滯</v>
      </c>
      <c r="BU34" s="177" t="str">
        <f>IF(ISERROR(VLOOKUP($BX$119,BT21:BU33,2,1)),"-",VLOOKUP($BX$119,BT21:BU33,2,1))</f>
        <v>-</v>
      </c>
      <c r="BV34" s="177"/>
      <c r="BW34" s="172"/>
      <c r="BX34" s="172"/>
      <c r="BY34" s="172"/>
    </row>
    <row r="35" spans="2:77">
      <c r="B35" s="175" t="s">
        <v>197</v>
      </c>
      <c r="C35" s="176" t="str">
        <f t="shared" si="27"/>
        <v>-</v>
      </c>
      <c r="D35" s="176" t="str">
        <f t="shared" si="27"/>
        <v>-</v>
      </c>
      <c r="E35" s="175">
        <f>('平日晨峰(0630-0830)'!$AC$97+'平日晨峰(0630-0830)'!$AC$116+'平日晨峰(0630-0830)'!$AC$135+'平日晨峰(0630-0830)'!$AC$154)*15</f>
        <v>0</v>
      </c>
      <c r="F35" s="175">
        <f>'平日晨峰(0630-0830)'!$AG$97+'平日晨峰(0630-0830)'!$AG$116+'平日晨峰(0630-0830)'!$AG$135+'平日晨峰(0630-0830)'!$AG$154</f>
        <v>0</v>
      </c>
      <c r="G35" s="175">
        <f>'平日晨峰(0630-0830)'!$AI$97+'平日晨峰(0630-0830)'!$AI$116+'平日晨峰(0630-0830)'!$AI$135+'平日晨峰(0630-0830)'!$AI$154</f>
        <v>0</v>
      </c>
      <c r="I35" s="175" t="str">
        <f>$I$8</f>
        <v>08:00~09:00</v>
      </c>
      <c r="J35" s="176" t="str">
        <f t="shared" si="28"/>
        <v>-</v>
      </c>
      <c r="K35" s="176" t="str">
        <f t="shared" si="28"/>
        <v>-</v>
      </c>
      <c r="L35" s="175">
        <f>('平日晨峰(07-09)'!$AC$97+'平日晨峰(07-09)'!$AC$116+'平日晨峰(07-09)'!$AC$135+'平日晨峰(07-09)'!$AC$154)*15</f>
        <v>0</v>
      </c>
      <c r="M35" s="175">
        <f>'平日晨峰(07-09)'!$AG$97+'平日晨峰(07-09)'!$AG$116+'平日晨峰(07-09)'!$AG$135+'平日晨峰(07-09)'!$AG$154</f>
        <v>0</v>
      </c>
      <c r="N35" s="175">
        <f>'平日晨峰(07-09)'!$AI$97+'平日晨峰(07-09)'!$AI$116+'平日晨峰(07-09)'!$AI$135+'平日晨峰(07-09)'!$AI$154</f>
        <v>0</v>
      </c>
      <c r="P35" s="175" t="str">
        <f>P26</f>
        <v>12:00~13:00</v>
      </c>
      <c r="Q35" s="176" t="str">
        <f>IF(ISERROR($S35/T35),"-",$S35/T35)</f>
        <v>-</v>
      </c>
      <c r="R35" s="176" t="str">
        <f>IF(ISERROR($T35/U35),"-",$T35/U35)</f>
        <v>-</v>
      </c>
      <c r="S35" s="175">
        <f>('平日中午(11-13)'!$AC$97+'平日中午(11-13)'!$AC$116+'平日中午(11-13)'!$AC$135+'平日中午(11-13)'!$AC$154)*15</f>
        <v>0</v>
      </c>
      <c r="T35" s="175">
        <f>'平日中午(11-13)'!$AG$97+'平日中午(11-13)'!$AG$116+'平日中午(11-13)'!$AG$135+'平日中午(11-13)'!$AG$154</f>
        <v>0</v>
      </c>
      <c r="U35" s="175">
        <f>'平日中午(11-13)'!$AI$97+'平日中午(11-13)'!$AI$116+'平日中午(11-13)'!$AI$135+'平日中午(11-13)'!$AI$154</f>
        <v>0</v>
      </c>
      <c r="W35" s="175" t="str">
        <f>W26</f>
        <v>13:00~14:00</v>
      </c>
      <c r="X35" s="176" t="str">
        <f t="shared" si="29"/>
        <v>-</v>
      </c>
      <c r="Y35" s="176" t="str">
        <f t="shared" si="29"/>
        <v>-</v>
      </c>
      <c r="Z35" s="175">
        <f>('平日中午(12-14)'!$AC$97+'平日中午(12-14)'!$AC$116+'平日中午(12-14)'!$AC$135+'平日中午(12-14)'!$AC$154)*15</f>
        <v>0</v>
      </c>
      <c r="AA35" s="175">
        <f>'平日中午(12-14)'!$AG$97+'平日中午(12-14)'!$AG$116+'平日中午(12-14)'!$AG$135+'平日中午(12-14)'!$AG$154</f>
        <v>0</v>
      </c>
      <c r="AB35" s="175">
        <f>'平日中午(12-14)'!$AI$97+'平日中午(12-14)'!$AI$116+'平日中午(12-14)'!$AI$135+'平日中午(12-14)'!$AI$154</f>
        <v>0</v>
      </c>
      <c r="AD35" s="175" t="str">
        <f>$AD$8</f>
        <v>18:00~19:00</v>
      </c>
      <c r="AE35" s="176" t="str">
        <f t="shared" si="30"/>
        <v>-</v>
      </c>
      <c r="AF35" s="176" t="str">
        <f t="shared" si="30"/>
        <v>-</v>
      </c>
      <c r="AG35" s="175">
        <f>('平日昏峰(17-19)'!$AC$97+'平日昏峰(17-19)'!$AC$116+'平日昏峰(17-19)'!$AC$135+'平日昏峰(17-19)'!$AC$154)*15</f>
        <v>0</v>
      </c>
      <c r="AH35" s="175">
        <f>'平日昏峰(17-19)'!$AG$97+'平日昏峰(17-19)'!$AG$116+'平日昏峰(17-19)'!$AG$135+'平日昏峰(17-19)'!$AG$154</f>
        <v>0</v>
      </c>
      <c r="AI35" s="175">
        <f>'平日昏峰(17-19)'!$AI$97+'平日昏峰(17-19)'!$AI$116+'平日昏峰(17-19)'!$AI$135+'平日昏峰(17-19)'!$AI$154</f>
        <v>0</v>
      </c>
      <c r="AK35" s="175">
        <f>$AK$8</f>
        <v>0</v>
      </c>
      <c r="AL35" s="176" t="str">
        <f t="shared" si="31"/>
        <v>-</v>
      </c>
      <c r="AM35" s="176" t="str">
        <f t="shared" si="31"/>
        <v>-</v>
      </c>
      <c r="AN35" s="175"/>
      <c r="AO35" s="175"/>
      <c r="AP35" s="175"/>
      <c r="AR35" s="175">
        <f>$AR$8</f>
        <v>0</v>
      </c>
      <c r="AS35" s="176" t="str">
        <f t="shared" si="32"/>
        <v>-</v>
      </c>
      <c r="AT35" s="176" t="str">
        <f t="shared" si="32"/>
        <v>-</v>
      </c>
      <c r="AU35" s="175"/>
      <c r="AV35" s="175"/>
      <c r="AW35" s="175"/>
      <c r="AY35" s="175">
        <f>AY26</f>
        <v>0</v>
      </c>
      <c r="AZ35" s="176" t="str">
        <f t="shared" si="33"/>
        <v>-</v>
      </c>
      <c r="BA35" s="176" t="str">
        <f t="shared" si="33"/>
        <v>-</v>
      </c>
      <c r="BB35" s="175"/>
      <c r="BC35" s="175"/>
      <c r="BD35" s="175"/>
      <c r="BF35" s="175" t="str">
        <f>BF26</f>
        <v>17:00~18:00</v>
      </c>
      <c r="BG35" s="176" t="str">
        <f t="shared" si="34"/>
        <v>-</v>
      </c>
      <c r="BH35" s="176" t="str">
        <f t="shared" si="34"/>
        <v>-</v>
      </c>
      <c r="BI35" s="175">
        <f>('假日(16-18)'!$AC$97+'假日(16-18)'!$AC$116+'假日(16-18)'!$AC$135+'假日(16-18)'!$AC$154)*15</f>
        <v>0</v>
      </c>
      <c r="BJ35" s="175">
        <f>'假日(16-18)'!$AG$97+'假日(16-18)'!$AG$116+'假日(16-18)'!$AG$135+'假日(16-18)'!$AG$154</f>
        <v>0</v>
      </c>
      <c r="BK35" s="175">
        <f>'假日(16-18)'!$AI$97+'假日(16-18)'!$AI$116+'假日(16-18)'!$AI$135+'假日(16-18)'!$AI$154</f>
        <v>0</v>
      </c>
      <c r="BM35" s="175" t="str">
        <f>BM26</f>
        <v>18:00~19:00</v>
      </c>
      <c r="BN35" s="176" t="str">
        <f t="shared" si="35"/>
        <v>-</v>
      </c>
      <c r="BO35" s="176" t="str">
        <f t="shared" si="35"/>
        <v>-</v>
      </c>
      <c r="BP35" s="175">
        <f>('假日(17-19)'!$AC$97+'假日(17-19)'!$AC$116+'假日(17-19)'!$AC$135+'假日(17-19)'!$AC$154)*15</f>
        <v>0</v>
      </c>
      <c r="BQ35" s="175">
        <f>'假日(17-19)'!$AG$97+'假日(17-19)'!$AG$116+'假日(17-19)'!$AG$135+'假日(17-19)'!$AG$154</f>
        <v>0</v>
      </c>
      <c r="BR35" s="175">
        <f>'假日(17-19)'!$AI$97+'假日(17-19)'!$AI$116+'假日(17-19)'!$AI$135+'假日(17-19)'!$AI$154</f>
        <v>0</v>
      </c>
      <c r="BT35" s="172" t="str">
        <f>CONCATENATE(基本資料!$C$18,"方向","平均停等車輛延滯")</f>
        <v>B方向平均停等車輛延滯</v>
      </c>
      <c r="BU35" s="177"/>
      <c r="BV35" s="177" t="str">
        <f>IF(ISERROR(VLOOKUP($BX$120,BT21:BV33,3,1)),"-",VLOOKUP($BX$120,BT21:BV33,3,1))</f>
        <v>-</v>
      </c>
      <c r="BW35" s="172"/>
      <c r="BX35" s="172"/>
      <c r="BY35" s="172"/>
    </row>
    <row r="36" spans="2:77">
      <c r="B36" s="172" t="str">
        <f>CONCATENATE(基本資料!$E$18,"方向","平均延滯")</f>
        <v>D方向平均延滯</v>
      </c>
      <c r="C36" s="177" t="str">
        <f>IF(ISERROR(VLOOKUP($F$63,B31:C35,2,1)),"-",VLOOKUP($F$63,B31:C35,2,1))</f>
        <v>-</v>
      </c>
      <c r="D36" s="177"/>
      <c r="E36" s="172"/>
      <c r="F36" s="172"/>
      <c r="G36" s="172"/>
      <c r="I36" s="172" t="str">
        <f>CONCATENATE(基本資料!$E$18,"方向","平均延滯")</f>
        <v>D方向平均延滯</v>
      </c>
      <c r="J36" s="177" t="str">
        <f>IF(ISERROR(VLOOKUP($M$63,I31:J35,2,1)),"-",VLOOKUP($M$63,I31:J35,2,1))</f>
        <v>-</v>
      </c>
      <c r="K36" s="177"/>
      <c r="L36" s="172"/>
      <c r="M36" s="172"/>
      <c r="N36" s="172"/>
      <c r="P36" s="172" t="str">
        <f>CONCATENATE(基本資料!$E$18,"方向","平均延滯")</f>
        <v>D方向平均延滯</v>
      </c>
      <c r="Q36" s="177" t="str">
        <f>IF(ISERROR(VLOOKUP($T$63,P31:Q35,2,1)),"-",VLOOKUP($T$63,P31:Q35,2,1))</f>
        <v>-</v>
      </c>
      <c r="R36" s="177"/>
      <c r="S36" s="172"/>
      <c r="T36" s="172"/>
      <c r="U36" s="172"/>
      <c r="W36" s="172" t="str">
        <f>CONCATENATE(基本資料!$E$18,"方向","平均延滯")</f>
        <v>D方向平均延滯</v>
      </c>
      <c r="X36" s="177" t="str">
        <f>IF(ISERROR(VLOOKUP($AA$63,W31:X35,2,1)),"-",VLOOKUP($AA$63,W31:X35,2,1))</f>
        <v>-</v>
      </c>
      <c r="Y36" s="177"/>
      <c r="Z36" s="172"/>
      <c r="AA36" s="172"/>
      <c r="AB36" s="172"/>
      <c r="AD36" s="172" t="str">
        <f>CONCATENATE(基本資料!$E$18,"方向","平均延滯")</f>
        <v>D方向平均延滯</v>
      </c>
      <c r="AE36" s="177" t="str">
        <f>IF(ISERROR(VLOOKUP($AH$63,AD31:AE35,2,1)),"-",VLOOKUP($AH$63,AD31:AE35,2,1))</f>
        <v>-</v>
      </c>
      <c r="AF36" s="177"/>
      <c r="AG36" s="172"/>
      <c r="AH36" s="172"/>
      <c r="AI36" s="172"/>
      <c r="AK36" s="172" t="str">
        <f>CONCATENATE(基本資料!$E$18,"方向","平均延滯")</f>
        <v>D方向平均延滯</v>
      </c>
      <c r="AL36" s="177" t="str">
        <f>IF(ISERROR(VLOOKUP($AO$63,AK31:AL35,2,1)),"-",VLOOKUP($AO$63,AK31:AL35,2,1))</f>
        <v>-</v>
      </c>
      <c r="AM36" s="177"/>
      <c r="AN36" s="172"/>
      <c r="AO36" s="172"/>
      <c r="AP36" s="172"/>
      <c r="AR36" s="172" t="str">
        <f>CONCATENATE(基本資料!$E$18,"方向","平均延滯")</f>
        <v>D方向平均延滯</v>
      </c>
      <c r="AS36" s="177" t="str">
        <f>IF(ISERROR(VLOOKUP($AV$63,AR31:AS35,2,1)),"-",VLOOKUP($AV$63,AR31:AS35,2,1))</f>
        <v>-</v>
      </c>
      <c r="AT36" s="177"/>
      <c r="AU36" s="172"/>
      <c r="AV36" s="172"/>
      <c r="AW36" s="172"/>
      <c r="AY36" s="172" t="str">
        <f>CONCATENATE(基本資料!$E$18,"方向","平均延滯")</f>
        <v>D方向平均延滯</v>
      </c>
      <c r="AZ36" s="177" t="str">
        <f>IF(ISERROR(VLOOKUP($BC$63,AY31:AZ35,2,1)),"-",VLOOKUP($BC$63,AY31:AZ35,2,1))</f>
        <v>-</v>
      </c>
      <c r="BA36" s="177"/>
      <c r="BB36" s="172"/>
      <c r="BC36" s="172"/>
      <c r="BD36" s="172"/>
      <c r="BF36" s="172" t="str">
        <f>CONCATENATE(基本資料!$E$18,"方向","平均延滯")</f>
        <v>D方向平均延滯</v>
      </c>
      <c r="BG36" s="177" t="str">
        <f>IF(ISERROR(VLOOKUP($BJ$63,BF31:BG35,2,1)),"-",VLOOKUP($BJ$63,BF31:BG35,2,1))</f>
        <v>-</v>
      </c>
      <c r="BH36" s="177"/>
      <c r="BI36" s="172"/>
      <c r="BJ36" s="172"/>
      <c r="BK36" s="172"/>
      <c r="BM36" s="172" t="str">
        <f>CONCATENATE(基本資料!$E$18,"方向","平均延滯")</f>
        <v>D方向平均延滯</v>
      </c>
      <c r="BN36" s="177" t="str">
        <f>IF(ISERROR(VLOOKUP($BQ$63,BM31:BN35,2,1)),"-",VLOOKUP($BQ$63,BM31:BN35,2,1))</f>
        <v>-</v>
      </c>
      <c r="BO36" s="177"/>
      <c r="BP36" s="172"/>
      <c r="BQ36" s="172"/>
      <c r="BR36" s="172"/>
      <c r="BT36" s="263" t="str">
        <f>'假日(16-18)'!$S$2</f>
        <v>C方向：</v>
      </c>
      <c r="BU36" s="264"/>
      <c r="BV36" s="264"/>
      <c r="BW36" s="264"/>
      <c r="BX36" s="264"/>
      <c r="BY36" s="265"/>
    </row>
    <row r="37" spans="2:77">
      <c r="B37" s="172" t="str">
        <f>CONCATENATE(基本資料!$E$18,"方向","平均停等車輛延滯")</f>
        <v>D方向平均停等車輛延滯</v>
      </c>
      <c r="C37" s="177"/>
      <c r="D37" s="177" t="str">
        <f>IF(ISERROR(VLOOKUP($F$64,B31:D35,3,1)),"-",VLOOKUP($F$64,B31:D35,3,1))</f>
        <v>-</v>
      </c>
      <c r="E37" s="172"/>
      <c r="F37" s="172"/>
      <c r="G37" s="172"/>
      <c r="I37" s="172" t="str">
        <f>CONCATENATE(基本資料!$E$18,"方向","平均停等車輛延滯")</f>
        <v>D方向平均停等車輛延滯</v>
      </c>
      <c r="J37" s="177"/>
      <c r="K37" s="177" t="str">
        <f>IF(ISERROR(VLOOKUP($M$64,I31:K35,3,1)),"-",VLOOKUP($M$64,I31:K35,3,1))</f>
        <v>-</v>
      </c>
      <c r="L37" s="172"/>
      <c r="M37" s="172"/>
      <c r="N37" s="172"/>
      <c r="P37" s="172" t="str">
        <f>CONCATENATE(基本資料!$E$18,"方向","平均停等車輛延滯")</f>
        <v>D方向平均停等車輛延滯</v>
      </c>
      <c r="Q37" s="177"/>
      <c r="R37" s="177" t="str">
        <f>IF(ISERROR(VLOOKUP($T$64,P31:R35,3,1)),"-",VLOOKUP($T$64,P31:R35,3,1))</f>
        <v>-</v>
      </c>
      <c r="S37" s="172"/>
      <c r="T37" s="172"/>
      <c r="U37" s="172"/>
      <c r="W37" s="172" t="str">
        <f>CONCATENATE(基本資料!$E$18,"方向","平均停等車輛延滯")</f>
        <v>D方向平均停等車輛延滯</v>
      </c>
      <c r="X37" s="177"/>
      <c r="Y37" s="177" t="str">
        <f>IF(ISERROR(VLOOKUP($AA$64,W31:Y35,3,1)),"-",VLOOKUP($AA$64,W31:Y35,3,1))</f>
        <v>-</v>
      </c>
      <c r="Z37" s="172"/>
      <c r="AA37" s="172"/>
      <c r="AB37" s="172"/>
      <c r="AD37" s="172" t="str">
        <f>CONCATENATE(基本資料!$E$18,"方向","平均停等車輛延滯")</f>
        <v>D方向平均停等車輛延滯</v>
      </c>
      <c r="AE37" s="177"/>
      <c r="AF37" s="177" t="str">
        <f>IF(ISERROR(VLOOKUP($AH$64,AD31:AF35,3,1)),"-",VLOOKUP($AH$64,AD31:AF35,3,1))</f>
        <v>-</v>
      </c>
      <c r="AG37" s="172"/>
      <c r="AH37" s="172"/>
      <c r="AI37" s="172"/>
      <c r="AK37" s="172" t="str">
        <f>CONCATENATE(基本資料!$E$18,"方向","平均停等車輛延滯")</f>
        <v>D方向平均停等車輛延滯</v>
      </c>
      <c r="AL37" s="177"/>
      <c r="AM37" s="177" t="str">
        <f>IF(ISERROR(VLOOKUP($AO$64,AK31:AM35,3,1)),"-",VLOOKUP($AO$64,AK31:AM35,3,1))</f>
        <v>-</v>
      </c>
      <c r="AN37" s="172"/>
      <c r="AO37" s="172"/>
      <c r="AP37" s="172"/>
      <c r="AR37" s="172" t="str">
        <f>CONCATENATE(基本資料!$E$18,"方向","平均停等車輛延滯")</f>
        <v>D方向平均停等車輛延滯</v>
      </c>
      <c r="AS37" s="177"/>
      <c r="AT37" s="177" t="str">
        <f>IF(ISERROR(VLOOKUP($AV$64,AR31:AT35,3,1)),"-",VLOOKUP($AV$64,AR31:AT35,3,1))</f>
        <v>-</v>
      </c>
      <c r="AU37" s="172"/>
      <c r="AV37" s="172"/>
      <c r="AW37" s="172"/>
      <c r="AY37" s="172" t="str">
        <f>CONCATENATE(基本資料!$E$18,"方向","平均停等車輛延滯")</f>
        <v>D方向平均停等車輛延滯</v>
      </c>
      <c r="AZ37" s="177"/>
      <c r="BA37" s="177" t="str">
        <f>IF(ISERROR(VLOOKUP($BC$64,AY31:BA35,3,1)),"-",VLOOKUP($BC$64,AY31:BA35,3,1))</f>
        <v>-</v>
      </c>
      <c r="BB37" s="172"/>
      <c r="BC37" s="172"/>
      <c r="BD37" s="172"/>
      <c r="BF37" s="172" t="str">
        <f>CONCATENATE(基本資料!$E$18,"方向","平均停等車輛延滯")</f>
        <v>D方向平均停等車輛延滯</v>
      </c>
      <c r="BG37" s="177"/>
      <c r="BH37" s="177" t="str">
        <f>IF(ISERROR(VLOOKUP($BJ$64,BF31:BH35,3,1)),"-",VLOOKUP($BJ$64,BF31:BH35,3,1))</f>
        <v>-</v>
      </c>
      <c r="BI37" s="172"/>
      <c r="BJ37" s="172"/>
      <c r="BK37" s="172"/>
      <c r="BM37" s="172" t="str">
        <f>CONCATENATE(基本資料!$E$18,"方向","平均停等車輛延滯")</f>
        <v>D方向平均停等車輛延滯</v>
      </c>
      <c r="BN37" s="177"/>
      <c r="BO37" s="177" t="str">
        <f>IF(ISERROR(VLOOKUP($BQ$64,BM31:BO35,3,1)),"-",VLOOKUP($BQ$64,BM31:BO35,3,1))</f>
        <v>-</v>
      </c>
      <c r="BP37" s="172"/>
      <c r="BQ37" s="172"/>
      <c r="BR37" s="172"/>
      <c r="BT37" s="172" t="s">
        <v>129</v>
      </c>
      <c r="BU37" s="173" t="s">
        <v>135</v>
      </c>
      <c r="BV37" s="174" t="s">
        <v>131</v>
      </c>
      <c r="BW37" s="173" t="s">
        <v>132</v>
      </c>
      <c r="BX37" s="173" t="s">
        <v>133</v>
      </c>
      <c r="BY37" s="173" t="s">
        <v>134</v>
      </c>
    </row>
    <row r="38" spans="2:77">
      <c r="B38" s="261" t="str">
        <f>'平日晨峰(07-09)'!$AK$2</f>
        <v>E方向：</v>
      </c>
      <c r="C38" s="261"/>
      <c r="D38" s="261"/>
      <c r="E38" s="261"/>
      <c r="F38" s="261"/>
      <c r="G38" s="261"/>
      <c r="I38" s="261" t="str">
        <f>'平日晨峰(07-09)'!$AK$2</f>
        <v>E方向：</v>
      </c>
      <c r="J38" s="261"/>
      <c r="K38" s="261"/>
      <c r="L38" s="261"/>
      <c r="M38" s="261"/>
      <c r="N38" s="261"/>
      <c r="P38" s="261" t="str">
        <f>'平日中午(11-13)'!$AK$2</f>
        <v>E方向：</v>
      </c>
      <c r="Q38" s="261"/>
      <c r="R38" s="261"/>
      <c r="S38" s="261"/>
      <c r="T38" s="261"/>
      <c r="U38" s="261"/>
      <c r="W38" s="261" t="str">
        <f>'平日中午(11-13)'!$AK$2</f>
        <v>E方向：</v>
      </c>
      <c r="X38" s="261"/>
      <c r="Y38" s="261"/>
      <c r="Z38" s="261"/>
      <c r="AA38" s="261"/>
      <c r="AB38" s="261"/>
      <c r="AD38" s="261" t="str">
        <f>'平日昏峰(17-19)'!$AK$2</f>
        <v>E方向：</v>
      </c>
      <c r="AE38" s="261"/>
      <c r="AF38" s="261"/>
      <c r="AG38" s="261"/>
      <c r="AH38" s="261"/>
      <c r="AI38" s="261"/>
      <c r="AK38" s="261" t="str">
        <f>'假日(11-12)'!$AK$2</f>
        <v>E方向：</v>
      </c>
      <c r="AL38" s="261"/>
      <c r="AM38" s="261"/>
      <c r="AN38" s="261"/>
      <c r="AO38" s="261"/>
      <c r="AP38" s="261"/>
      <c r="AR38" s="261" t="str">
        <f>'假日(1430-1530)'!$AK$2</f>
        <v>E方向：</v>
      </c>
      <c r="AS38" s="261"/>
      <c r="AT38" s="261"/>
      <c r="AU38" s="261"/>
      <c r="AV38" s="261"/>
      <c r="AW38" s="261"/>
      <c r="AY38" s="261" t="str">
        <f>'假日(1730-1830)'!$AK$2</f>
        <v>E方向：</v>
      </c>
      <c r="AZ38" s="261"/>
      <c r="BA38" s="261"/>
      <c r="BB38" s="261"/>
      <c r="BC38" s="261"/>
      <c r="BD38" s="261"/>
      <c r="BF38" s="261" t="str">
        <f>'假日(16-18)'!$AK$2</f>
        <v>E方向：</v>
      </c>
      <c r="BG38" s="261"/>
      <c r="BH38" s="261"/>
      <c r="BI38" s="261"/>
      <c r="BJ38" s="261"/>
      <c r="BK38" s="261"/>
      <c r="BM38" s="261" t="str">
        <f>'假日(17-19)'!$AK$2</f>
        <v>E方向：</v>
      </c>
      <c r="BN38" s="261"/>
      <c r="BO38" s="261"/>
      <c r="BP38" s="261"/>
      <c r="BQ38" s="261"/>
      <c r="BR38" s="261"/>
      <c r="BT38" s="175" t="str">
        <f>BT21</f>
        <v>16:00~17:00</v>
      </c>
      <c r="BU38" s="176" t="str">
        <f>IF(ISERROR($BW38/BX38),"-",$BW38/BX38)</f>
        <v>-</v>
      </c>
      <c r="BV38" s="176" t="str">
        <f>IF(ISERROR($BW38/BY38),"-",$BW38/BY38)</f>
        <v>-</v>
      </c>
      <c r="BW38" s="175">
        <f>('假日(16-20)'!$T$21+'假日(16-20)'!$T$40+'假日(16-20)'!$T$59+'假日(16-20)'!$T$78)*15</f>
        <v>0</v>
      </c>
      <c r="BX38" s="175">
        <f>'假日(16-20)'!$X$21+'假日(16-20)'!$X$40+'假日(16-20)'!$X$59+'假日(16-20)'!$X$78</f>
        <v>0</v>
      </c>
      <c r="BY38" s="175">
        <f>'假日(16-20)'!$Z$21+'假日(16-20)'!$Z$40+'假日(16-20)'!$Z$59+'假日(16-20)'!$Z$78</f>
        <v>0</v>
      </c>
    </row>
    <row r="39" spans="2:77">
      <c r="B39" s="172" t="s">
        <v>129</v>
      </c>
      <c r="C39" s="173" t="s">
        <v>135</v>
      </c>
      <c r="D39" s="174" t="s">
        <v>131</v>
      </c>
      <c r="E39" s="173" t="s">
        <v>132</v>
      </c>
      <c r="F39" s="173" t="s">
        <v>133</v>
      </c>
      <c r="G39" s="173" t="s">
        <v>134</v>
      </c>
      <c r="I39" s="172" t="s">
        <v>129</v>
      </c>
      <c r="J39" s="173" t="s">
        <v>135</v>
      </c>
      <c r="K39" s="174" t="s">
        <v>131</v>
      </c>
      <c r="L39" s="173" t="s">
        <v>132</v>
      </c>
      <c r="M39" s="173" t="s">
        <v>133</v>
      </c>
      <c r="N39" s="173" t="s">
        <v>134</v>
      </c>
      <c r="P39" s="172" t="s">
        <v>129</v>
      </c>
      <c r="Q39" s="173" t="s">
        <v>135</v>
      </c>
      <c r="R39" s="174" t="s">
        <v>131</v>
      </c>
      <c r="S39" s="173" t="s">
        <v>132</v>
      </c>
      <c r="T39" s="173" t="s">
        <v>133</v>
      </c>
      <c r="U39" s="173" t="s">
        <v>134</v>
      </c>
      <c r="W39" s="172" t="s">
        <v>129</v>
      </c>
      <c r="X39" s="173" t="s">
        <v>135</v>
      </c>
      <c r="Y39" s="174" t="s">
        <v>131</v>
      </c>
      <c r="Z39" s="173" t="s">
        <v>132</v>
      </c>
      <c r="AA39" s="173" t="s">
        <v>133</v>
      </c>
      <c r="AB39" s="173" t="s">
        <v>134</v>
      </c>
      <c r="AD39" s="172" t="s">
        <v>129</v>
      </c>
      <c r="AE39" s="173" t="s">
        <v>135</v>
      </c>
      <c r="AF39" s="174" t="s">
        <v>131</v>
      </c>
      <c r="AG39" s="173" t="s">
        <v>132</v>
      </c>
      <c r="AH39" s="173" t="s">
        <v>133</v>
      </c>
      <c r="AI39" s="173" t="s">
        <v>134</v>
      </c>
      <c r="AK39" s="172" t="s">
        <v>129</v>
      </c>
      <c r="AL39" s="173" t="s">
        <v>135</v>
      </c>
      <c r="AM39" s="174" t="s">
        <v>131</v>
      </c>
      <c r="AN39" s="173" t="s">
        <v>132</v>
      </c>
      <c r="AO39" s="173" t="s">
        <v>133</v>
      </c>
      <c r="AP39" s="173" t="s">
        <v>134</v>
      </c>
      <c r="AR39" s="172" t="s">
        <v>129</v>
      </c>
      <c r="AS39" s="173" t="s">
        <v>135</v>
      </c>
      <c r="AT39" s="174" t="s">
        <v>131</v>
      </c>
      <c r="AU39" s="173" t="s">
        <v>132</v>
      </c>
      <c r="AV39" s="173" t="s">
        <v>133</v>
      </c>
      <c r="AW39" s="173" t="s">
        <v>134</v>
      </c>
      <c r="AY39" s="172" t="s">
        <v>129</v>
      </c>
      <c r="AZ39" s="173" t="s">
        <v>135</v>
      </c>
      <c r="BA39" s="174" t="s">
        <v>131</v>
      </c>
      <c r="BB39" s="173" t="s">
        <v>132</v>
      </c>
      <c r="BC39" s="173" t="s">
        <v>133</v>
      </c>
      <c r="BD39" s="173" t="s">
        <v>134</v>
      </c>
      <c r="BF39" s="172" t="s">
        <v>129</v>
      </c>
      <c r="BG39" s="173" t="s">
        <v>135</v>
      </c>
      <c r="BH39" s="174" t="s">
        <v>131</v>
      </c>
      <c r="BI39" s="173" t="s">
        <v>132</v>
      </c>
      <c r="BJ39" s="173" t="s">
        <v>133</v>
      </c>
      <c r="BK39" s="173" t="s">
        <v>134</v>
      </c>
      <c r="BM39" s="172" t="s">
        <v>129</v>
      </c>
      <c r="BN39" s="173" t="s">
        <v>135</v>
      </c>
      <c r="BO39" s="174" t="s">
        <v>131</v>
      </c>
      <c r="BP39" s="173" t="s">
        <v>132</v>
      </c>
      <c r="BQ39" s="173" t="s">
        <v>133</v>
      </c>
      <c r="BR39" s="173" t="s">
        <v>134</v>
      </c>
      <c r="BT39" s="175" t="str">
        <f>BT22</f>
        <v>16:15~17:15</v>
      </c>
      <c r="BU39" s="176" t="str">
        <f>IF(ISERROR($BW39/BX39),"-",$BW39/BX39)</f>
        <v>-</v>
      </c>
      <c r="BV39" s="176" t="str">
        <f>IF(ISERROR($BW39/BY39),"-",$BW39/BY39)</f>
        <v>-</v>
      </c>
      <c r="BW39" s="175">
        <f>('假日(16-20)'!$T$40+'假日(16-20)'!$T$59+'假日(16-20)'!$T$78+'假日(16-20)'!$T$97)*15</f>
        <v>0</v>
      </c>
      <c r="BX39" s="175">
        <f>'假日(16-20)'!$X$40+'假日(16-20)'!$X$59+'假日(16-20)'!$X$78+'假日(16-20)'!$X$97</f>
        <v>0</v>
      </c>
      <c r="BY39" s="175">
        <f>'假日(16-20)'!$Z$40+'假日(16-20)'!$Z$59+'假日(16-20)'!$Z$78+'假日(16-20)'!$Z$97</f>
        <v>0</v>
      </c>
    </row>
    <row r="40" spans="2:77">
      <c r="B40" s="175" t="s">
        <v>193</v>
      </c>
      <c r="C40" s="176" t="str">
        <f>IF(ISERROR($E40/F40),"-",$E40/F40)</f>
        <v>-</v>
      </c>
      <c r="D40" s="176" t="str">
        <f>IF(ISERROR($E40/G40),"-",$E40/G40)</f>
        <v>-</v>
      </c>
      <c r="E40" s="175">
        <f>('平日晨峰(0630-0830)'!$AL$21+'平日晨峰(0630-0830)'!$AL$40+'平日晨峰(0630-0830)'!$AL$59+'平日晨峰(0630-0830)'!$AL$78)*15</f>
        <v>0</v>
      </c>
      <c r="F40" s="175">
        <f>'平日晨峰(0630-0830)'!$AP$21+'平日晨峰(0630-0830)'!$AP$40+'平日晨峰(0630-0830)'!$AP$59+'平日晨峰(0630-0830)'!$AP$78</f>
        <v>0</v>
      </c>
      <c r="G40" s="175">
        <f>'平日晨峰(0630-0830)'!$AR$21+'平日晨峰(0630-0830)'!$AR$40+'平日晨峰(0630-0830)'!$AR$59+'平日晨峰(0630-0830)'!$AR$78</f>
        <v>0</v>
      </c>
      <c r="I40" s="175" t="str">
        <f>$I$4</f>
        <v>07:00~08:00</v>
      </c>
      <c r="J40" s="176" t="str">
        <f t="shared" ref="J40:K44" si="36">IF(ISERROR($L40/M40),"-",$L40/M40)</f>
        <v>-</v>
      </c>
      <c r="K40" s="176" t="str">
        <f t="shared" si="36"/>
        <v>-</v>
      </c>
      <c r="L40" s="175">
        <f>('平日晨峰(07-09)'!$AL$21+'平日晨峰(07-09)'!$AL$40+'平日晨峰(07-09)'!$AL$59+'平日晨峰(07-09)'!$AL$78)*15</f>
        <v>0</v>
      </c>
      <c r="M40" s="175">
        <f>'平日晨峰(07-09)'!$AP$21+'平日晨峰(07-09)'!$AP$40+'平日晨峰(07-09)'!$AP$59+'平日晨峰(07-09)'!$AP$78</f>
        <v>0</v>
      </c>
      <c r="N40" s="175">
        <f>'平日晨峰(07-09)'!$AR$21+'平日晨峰(07-09)'!$AR$40+'平日晨峰(07-09)'!$AR$59+'平日晨峰(07-09)'!$AR$78</f>
        <v>0</v>
      </c>
      <c r="P40" s="175" t="str">
        <f>P31</f>
        <v>11:00~12:00</v>
      </c>
      <c r="Q40" s="176" t="str">
        <f>IF(ISERROR($S40/T40),"-",$S40/T40)</f>
        <v>-</v>
      </c>
      <c r="R40" s="176" t="str">
        <f>IF(ISERROR($T40/U40),"-",$T40/U40)</f>
        <v>-</v>
      </c>
      <c r="S40" s="175">
        <f>('平日中午(11-13)'!$AL$21+'平日中午(11-13)'!$AL$40+'平日中午(11-13)'!$AL$59+'平日中午(11-13)'!$AL$78)*15</f>
        <v>0</v>
      </c>
      <c r="T40" s="175">
        <f>'平日中午(11-13)'!$AP$21+'平日中午(11-13)'!$AP$40+'平日中午(11-13)'!$AP$59+'平日中午(11-13)'!$AP$78</f>
        <v>0</v>
      </c>
      <c r="U40" s="175">
        <f>'平日中午(11-13)'!$AR$21+'平日中午(11-13)'!$AR$40+'平日中午(11-13)'!$AR$59+'平日中午(11-13)'!$AR$78</f>
        <v>0</v>
      </c>
      <c r="W40" s="175" t="str">
        <f>W31</f>
        <v>1200~13:00</v>
      </c>
      <c r="X40" s="176" t="str">
        <f t="shared" ref="X40:Y44" si="37">IF(ISERROR($Z40/AA40),"-",$Z40/AA40)</f>
        <v>-</v>
      </c>
      <c r="Y40" s="176" t="str">
        <f t="shared" si="37"/>
        <v>-</v>
      </c>
      <c r="Z40" s="175">
        <f>('平日中午(12-14)'!$AL$21+'平日中午(12-14)'!$AL$40+'平日中午(12-14)'!$AL$59+'平日中午(12-14)'!$AL$78)*15</f>
        <v>0</v>
      </c>
      <c r="AA40" s="175">
        <f>'平日中午(12-14)'!$AP$21+'平日中午(12-14)'!$AP$40+'平日中午(12-14)'!$AP$59+'平日中午(12-14)'!$AP$78</f>
        <v>0</v>
      </c>
      <c r="AB40" s="175">
        <f>'平日中午(12-14)'!$AR$21+'平日中午(12-14)'!$AR$40+'平日中午(12-14)'!$AR$59+'平日中午(12-14)'!$AR$78</f>
        <v>0</v>
      </c>
      <c r="AD40" s="175" t="str">
        <f>$AD$4</f>
        <v>17:00~18:00</v>
      </c>
      <c r="AE40" s="176" t="str">
        <f t="shared" ref="AE40:AF44" si="38">IF(ISERROR($AG40/AH40),"-",$AG40/AH40)</f>
        <v>-</v>
      </c>
      <c r="AF40" s="176" t="str">
        <f t="shared" si="38"/>
        <v>-</v>
      </c>
      <c r="AG40" s="175">
        <f>('平日昏峰(17-19)'!$AL$21+'平日昏峰(17-19)'!$AL$40+'平日昏峰(17-19)'!$AL$59+'平日昏峰(17-19)'!$AL$78)*15</f>
        <v>0</v>
      </c>
      <c r="AH40" s="175">
        <f>'平日昏峰(17-19)'!$AP$21+'平日昏峰(17-19)'!$AP$40+'平日昏峰(17-19)'!$AP$59+'平日昏峰(17-19)'!$AP$78</f>
        <v>0</v>
      </c>
      <c r="AI40" s="175">
        <f>'平日昏峰(17-19)'!$AR$21+'平日昏峰(17-19)'!$AR$40+'平日昏峰(17-19)'!$AR$59+'平日昏峰(17-19)'!$AR$78</f>
        <v>0</v>
      </c>
      <c r="AK40" s="175" t="str">
        <f>$AK$4</f>
        <v>11:00~12:00</v>
      </c>
      <c r="AL40" s="176" t="str">
        <f t="shared" ref="AL40:AM44" si="39">IF(ISERROR($AN40/AO40),"-",$AN40/AO40)</f>
        <v>-</v>
      </c>
      <c r="AM40" s="176" t="str">
        <f t="shared" si="39"/>
        <v>-</v>
      </c>
      <c r="AN40" s="175">
        <f>('假日(11-12)'!$AL$21+'假日(11-12)'!$AL$40+'假日(11-12)'!$AL$59+'假日(11-12)'!$AL$78)*15</f>
        <v>0</v>
      </c>
      <c r="AO40" s="175">
        <f>'假日(11-12)'!$AP$21+'假日(11-12)'!$AP$40+'假日(11-12)'!$AP$59+'假日(11-12)'!$AP$78</f>
        <v>0</v>
      </c>
      <c r="AP40" s="175">
        <f>'假日(11-12)'!$AR$21+'假日(11-12)'!$AR$40+'假日(11-12)'!$AR$59+'假日(11-12)'!$AR$78</f>
        <v>0</v>
      </c>
      <c r="AR40" s="175" t="str">
        <f>$AR$4</f>
        <v>14:30~15:30</v>
      </c>
      <c r="AS40" s="176" t="str">
        <f t="shared" ref="AS40:AT44" si="40">IF(ISERROR($AU40/AV40),"-",$AU40/AV40)</f>
        <v>-</v>
      </c>
      <c r="AT40" s="176" t="str">
        <f t="shared" si="40"/>
        <v>-</v>
      </c>
      <c r="AU40" s="175">
        <f>('假日(1430-1530)'!$AL$21+'假日(1430-1530)'!$AL$40+'假日(1430-1530)'!$AL$59+'假日(1430-1530)'!$AL$78)*15</f>
        <v>0</v>
      </c>
      <c r="AV40" s="175">
        <f>'假日(1430-1530)'!$AP$21+'假日(1430-1530)'!$AP$40+'假日(1430-1530)'!$AP$59+'假日(1430-1530)'!$AP$78</f>
        <v>0</v>
      </c>
      <c r="AW40" s="175">
        <f>'假日(1430-1530)'!$AR$21+'假日(1430-1530)'!$AR$40+'假日(1430-1530)'!$AR$59+'假日(1430-1530)'!$AR$78</f>
        <v>0</v>
      </c>
      <c r="AY40" s="175" t="str">
        <f>AY31</f>
        <v>17:30~18:30</v>
      </c>
      <c r="AZ40" s="176" t="str">
        <f t="shared" ref="AZ40:BA44" si="41">IF(ISERROR($BB40/BC40),"-",$BB40/BC40)</f>
        <v>-</v>
      </c>
      <c r="BA40" s="176" t="str">
        <f t="shared" si="41"/>
        <v>-</v>
      </c>
      <c r="BB40" s="175">
        <f>('假日(1730-1830)'!$AL$21+'假日(1730-1830)'!$AL$40+'假日(1730-1830)'!$AL$59+'假日(1730-1830)'!$AL$78)*15</f>
        <v>0</v>
      </c>
      <c r="BC40" s="175">
        <f>'假日(1730-1830)'!$AP$21+'假日(1730-1830)'!$AP$40+'假日(1730-1830)'!$AP$59+'假日(1730-1830)'!$AP$78</f>
        <v>0</v>
      </c>
      <c r="BD40" s="175">
        <f>'假日(1730-1830)'!$AR$21+'假日(1730-1830)'!$AR$40+'假日(1730-1830)'!$AR$59+'假日(1730-1830)'!$AR$78</f>
        <v>0</v>
      </c>
      <c r="BF40" s="175" t="str">
        <f>BF31</f>
        <v>16:00~17:00</v>
      </c>
      <c r="BG40" s="176" t="str">
        <f t="shared" ref="BG40:BH44" si="42">IF(ISERROR($BI40/BJ40),"-",$BI40/BJ40)</f>
        <v>-</v>
      </c>
      <c r="BH40" s="176" t="str">
        <f t="shared" si="42"/>
        <v>-</v>
      </c>
      <c r="BI40" s="175">
        <f>('假日(16-18)'!$AL$21+'假日(16-18)'!$AL$40+'假日(16-18)'!$AL$59+'假日(16-18)'!$AL$78)*15</f>
        <v>0</v>
      </c>
      <c r="BJ40" s="175">
        <f>'假日(16-18)'!$AP$21+'假日(16-18)'!$AP$40+'假日(16-18)'!$AP$59+'假日(16-18)'!$AP$78</f>
        <v>0</v>
      </c>
      <c r="BK40" s="175">
        <f>'假日(16-18)'!$AR$21+'假日(16-18)'!$AR$40+'假日(16-18)'!$AR$59+'假日(16-18)'!$AR$78</f>
        <v>0</v>
      </c>
      <c r="BM40" s="175" t="str">
        <f>BM31</f>
        <v>17:00~18:00</v>
      </c>
      <c r="BN40" s="176" t="str">
        <f t="shared" ref="BN40:BO44" si="43">IF(ISERROR($BP40/BQ40),"-",$BP40/BQ40)</f>
        <v>-</v>
      </c>
      <c r="BO40" s="176" t="str">
        <f t="shared" si="43"/>
        <v>-</v>
      </c>
      <c r="BP40" s="175">
        <f>('假日(17-19)'!AL21+'假日(17-19)'!AL40+'假日(17-19)'!AL59+'假日(17-19)'!AL78)*15</f>
        <v>0</v>
      </c>
      <c r="BQ40" s="175">
        <f>'假日(17-19)'!$AP$21+'假日(17-19)'!$AP$40+'假日(17-19)'!$AP$59+'假日(17-19)'!$AP$78</f>
        <v>0</v>
      </c>
      <c r="BR40" s="175">
        <f>'假日(17-19)'!$AR$21+'假日(17-19)'!$AR$40+'假日(17-19)'!$AR$59+'假日(17-19)'!$AR$78</f>
        <v>0</v>
      </c>
      <c r="BT40" s="175" t="str">
        <f>BT23</f>
        <v>16:30~17:30</v>
      </c>
      <c r="BU40" s="176" t="str">
        <f>IF(ISERROR($BW40/BX40),"-",$BW40/BX40)</f>
        <v>-</v>
      </c>
      <c r="BV40" s="176" t="str">
        <f>IF(ISERROR($BW40/BY40),"-",$BW40/BY40)</f>
        <v>-</v>
      </c>
      <c r="BW40" s="175">
        <f>('假日(16-20)'!$T$59+'假日(16-20)'!$T$78+'假日(16-20)'!$T$97+'假日(16-20)'!$T$116)*15</f>
        <v>0</v>
      </c>
      <c r="BX40" s="175">
        <f>'假日(16-20)'!$X$59+'假日(16-20)'!$X$78+'假日(16-20)'!$X$97+'假日(16-20)'!$X$116</f>
        <v>0</v>
      </c>
      <c r="BY40" s="175">
        <f>'假日(16-20)'!$Z$59+'假日(16-20)'!$Z$78+'假日(16-20)'!$Z$97+'假日(16-20)'!$Z$116</f>
        <v>0</v>
      </c>
    </row>
    <row r="41" spans="2:77">
      <c r="B41" s="175" t="s">
        <v>194</v>
      </c>
      <c r="C41" s="176" t="str">
        <f t="shared" ref="C40:D44" si="44">IF(ISERROR($E41/F41),"-",$E41/F41)</f>
        <v>-</v>
      </c>
      <c r="D41" s="176" t="str">
        <f t="shared" si="44"/>
        <v>-</v>
      </c>
      <c r="E41" s="175">
        <f>('平日晨峰(0630-0830)'!$AL$40+'平日晨峰(0630-0830)'!$AL$59+'平日晨峰(0630-0830)'!$AL$78+'平日晨峰(0630-0830)'!$AL$97)*15</f>
        <v>0</v>
      </c>
      <c r="F41" s="175">
        <f>'平日晨峰(0630-0830)'!$AP$40+'平日晨峰(0630-0830)'!$AP$59+'平日晨峰(0630-0830)'!$AP$78+'平日晨峰(0630-0830)'!$AP$97</f>
        <v>0</v>
      </c>
      <c r="G41" s="175">
        <f>'平日晨峰(0630-0830)'!$AR$40+'平日晨峰(0630-0830)'!$AR$59+'平日晨峰(0630-0830)'!$AR$78+'平日晨峰(0630-0830)'!$AR$97</f>
        <v>0</v>
      </c>
      <c r="I41" s="175" t="str">
        <f>$I$5</f>
        <v>07:15~08:15</v>
      </c>
      <c r="J41" s="176" t="str">
        <f t="shared" si="36"/>
        <v>-</v>
      </c>
      <c r="K41" s="176" t="str">
        <f t="shared" si="36"/>
        <v>-</v>
      </c>
      <c r="L41" s="175">
        <f>('平日晨峰(07-09)'!$AL$40+'平日晨峰(07-09)'!$AL$59+'平日晨峰(07-09)'!$AL$78+'平日晨峰(07-09)'!$AL$97)*15</f>
        <v>0</v>
      </c>
      <c r="M41" s="175">
        <f>'平日晨峰(07-09)'!$AP$40+'平日晨峰(07-09)'!$AP$59+'平日晨峰(07-09)'!$AP$78+'平日晨峰(07-09)'!$AP$97</f>
        <v>0</v>
      </c>
      <c r="N41" s="175">
        <f>'平日晨峰(07-09)'!$AR$40+'平日晨峰(07-09)'!$AR$59+'平日晨峰(07-09)'!$AR$78+'平日晨峰(07-09)'!$AR$97</f>
        <v>0</v>
      </c>
      <c r="P41" s="175" t="str">
        <f>P32</f>
        <v>11:15~12:15</v>
      </c>
      <c r="Q41" s="176" t="str">
        <f>IF(ISERROR($S41/T41),"-",$S41/T41)</f>
        <v>-</v>
      </c>
      <c r="R41" s="176" t="str">
        <f>IF(ISERROR($T41/U41),"-",$T41/U41)</f>
        <v>-</v>
      </c>
      <c r="S41" s="175">
        <f>('平日中午(11-13)'!$AL$40+'平日中午(11-13)'!$AL$59+'平日中午(11-13)'!$AL$78+'平日中午(11-13)'!$AL$97)*15</f>
        <v>0</v>
      </c>
      <c r="T41" s="175">
        <f>'平日中午(11-13)'!$AP$40+'平日中午(11-13)'!$AP$59+'平日中午(11-13)'!$AP$78+'平日中午(11-13)'!$AP$97</f>
        <v>0</v>
      </c>
      <c r="U41" s="175">
        <f>'平日中午(11-13)'!$AR$40+'平日中午(11-13)'!$AR$59+'平日中午(11-13)'!$AR$78+'平日中午(11-13)'!$AR$97</f>
        <v>0</v>
      </c>
      <c r="W41" s="175" t="str">
        <f>W32</f>
        <v>12:15~13:15</v>
      </c>
      <c r="X41" s="176" t="str">
        <f t="shared" si="37"/>
        <v>-</v>
      </c>
      <c r="Y41" s="176" t="str">
        <f t="shared" si="37"/>
        <v>-</v>
      </c>
      <c r="Z41" s="175">
        <f>('平日中午(12-14)'!$AL$40+'平日中午(12-14)'!$AL$59+'平日中午(12-14)'!$AL$78+'平日中午(12-14)'!$AL$97)*15</f>
        <v>0</v>
      </c>
      <c r="AA41" s="175">
        <f>'平日中午(12-14)'!$AP$40+'平日中午(12-14)'!$AP$59+'平日中午(12-14)'!$AP$78+'平日中午(12-14)'!$AP$97</f>
        <v>0</v>
      </c>
      <c r="AB41" s="175">
        <f>'平日中午(12-14)'!$AR$40+'平日中午(12-14)'!$AR$59+'平日中午(12-14)'!$AR$78+'平日中午(12-14)'!$AR$97</f>
        <v>0</v>
      </c>
      <c r="AD41" s="175" t="str">
        <f>$AD$5</f>
        <v>17:15~18:15</v>
      </c>
      <c r="AE41" s="176" t="str">
        <f t="shared" si="38"/>
        <v>-</v>
      </c>
      <c r="AF41" s="176" t="str">
        <f t="shared" si="38"/>
        <v>-</v>
      </c>
      <c r="AG41" s="175">
        <f>('平日昏峰(17-19)'!$AL$40+'平日昏峰(17-19)'!$AL$59+'平日昏峰(17-19)'!$AL$78+'平日昏峰(17-19)'!$AL$97)*15</f>
        <v>0</v>
      </c>
      <c r="AH41" s="175">
        <f>'平日昏峰(17-19)'!$AP$40+'平日昏峰(17-19)'!$AP$59+'平日昏峰(17-19)'!$AP$78+'平日昏峰(17-19)'!$AP$97</f>
        <v>0</v>
      </c>
      <c r="AI41" s="175">
        <f>'平日昏峰(17-19)'!$AR$40+'平日昏峰(17-19)'!$AR$59+'平日昏峰(17-19)'!$AR$78+'平日昏峰(17-19)'!$AR$97</f>
        <v>0</v>
      </c>
      <c r="AK41" s="175">
        <f>$AK$5</f>
        <v>0</v>
      </c>
      <c r="AL41" s="176" t="str">
        <f t="shared" si="39"/>
        <v>-</v>
      </c>
      <c r="AM41" s="176" t="str">
        <f t="shared" si="39"/>
        <v>-</v>
      </c>
      <c r="AN41" s="175"/>
      <c r="AO41" s="175"/>
      <c r="AP41" s="175"/>
      <c r="AR41" s="175">
        <f>$AR$5</f>
        <v>0</v>
      </c>
      <c r="AS41" s="176" t="str">
        <f t="shared" si="40"/>
        <v>-</v>
      </c>
      <c r="AT41" s="176" t="str">
        <f t="shared" si="40"/>
        <v>-</v>
      </c>
      <c r="AU41" s="175"/>
      <c r="AV41" s="175"/>
      <c r="AW41" s="175"/>
      <c r="AY41" s="175">
        <f>AY32</f>
        <v>0</v>
      </c>
      <c r="AZ41" s="176" t="str">
        <f t="shared" si="41"/>
        <v>-</v>
      </c>
      <c r="BA41" s="176" t="str">
        <f t="shared" si="41"/>
        <v>-</v>
      </c>
      <c r="BB41" s="175"/>
      <c r="BC41" s="175"/>
      <c r="BD41" s="175"/>
      <c r="BF41" s="175" t="str">
        <f>BF32</f>
        <v>16:15~17:15</v>
      </c>
      <c r="BG41" s="176" t="str">
        <f t="shared" si="42"/>
        <v>-</v>
      </c>
      <c r="BH41" s="176" t="str">
        <f t="shared" si="42"/>
        <v>-</v>
      </c>
      <c r="BI41" s="175">
        <f>('假日(16-18)'!$AL$40+'假日(16-18)'!$AL$59+'假日(16-18)'!$AL$78+'假日(16-18)'!$AL$97)*15</f>
        <v>0</v>
      </c>
      <c r="BJ41" s="175">
        <f>'假日(16-18)'!$AP$40+'假日(16-18)'!$AP$59+'假日(16-18)'!$AP$78+'假日(16-18)'!$AP$97</f>
        <v>0</v>
      </c>
      <c r="BK41" s="175">
        <f>'假日(16-18)'!$AR$40+'假日(16-18)'!$AR$59+'假日(16-18)'!$AR$78+'假日(16-18)'!$AR$97</f>
        <v>0</v>
      </c>
      <c r="BM41" s="175" t="str">
        <f>BM32</f>
        <v>17:15~18:15</v>
      </c>
      <c r="BN41" s="176" t="str">
        <f t="shared" si="43"/>
        <v>-</v>
      </c>
      <c r="BO41" s="176" t="str">
        <f t="shared" si="43"/>
        <v>-</v>
      </c>
      <c r="BP41" s="175">
        <f>('假日(17-19)'!$AL$40+'假日(17-19)'!$AL$59+'假日(17-19)'!$AL$78+'假日(17-19)'!$AL$97)*15</f>
        <v>0</v>
      </c>
      <c r="BQ41" s="175">
        <f>'假日(17-19)'!$AP$40+'假日(17-19)'!$AP$59+'假日(17-19)'!$AP$78+'假日(17-19)'!$AP$97</f>
        <v>0</v>
      </c>
      <c r="BR41" s="175">
        <f>'假日(17-19)'!$AR$40+'假日(17-19)'!$AR$59+'假日(17-19)'!$AR$78+'假日(17-19)'!$AR$97</f>
        <v>0</v>
      </c>
      <c r="BT41" s="175" t="str">
        <f>BT24</f>
        <v>16:45~17:45</v>
      </c>
      <c r="BU41" s="176" t="str">
        <f>IF(ISERROR($BW41/BX41),"-",$BW41/BX41)</f>
        <v>-</v>
      </c>
      <c r="BV41" s="176" t="str">
        <f>IF(ISERROR($BW41/BY41),"-",$BW41/BY41)</f>
        <v>-</v>
      </c>
      <c r="BW41" s="175">
        <f>('假日(16-20)'!$T$78+'假日(16-20)'!$T$97+'假日(16-20)'!$T$116+'假日(16-20)'!$T$135)*15</f>
        <v>0</v>
      </c>
      <c r="BX41" s="175">
        <f>'假日(16-20)'!$X$78+'假日(16-20)'!$X$97+'假日(16-20)'!$X$116+'假日(16-20)'!$X$135</f>
        <v>0</v>
      </c>
      <c r="BY41" s="175">
        <f>'假日(16-20)'!$Z$78+'假日(16-20)'!$Z$97+'假日(16-20)'!$Z$116+'假日(16-20)'!$Z$135</f>
        <v>0</v>
      </c>
    </row>
    <row r="42" spans="2:77">
      <c r="B42" s="175" t="s">
        <v>195</v>
      </c>
      <c r="C42" s="176" t="str">
        <f t="shared" si="44"/>
        <v>-</v>
      </c>
      <c r="D42" s="176" t="str">
        <f t="shared" si="44"/>
        <v>-</v>
      </c>
      <c r="E42" s="175">
        <f>('平日晨峰(0630-0830)'!$AL$59+'平日晨峰(0630-0830)'!$AL$78+'平日晨峰(0630-0830)'!$AL$97+'平日晨峰(0630-0830)'!$AL$116)*15</f>
        <v>0</v>
      </c>
      <c r="F42" s="175">
        <f>'平日晨峰(0630-0830)'!$AP$59+'平日晨峰(0630-0830)'!$AP$78+'平日晨峰(0630-0830)'!$AP$97+'平日晨峰(0630-0830)'!$AP$116</f>
        <v>0</v>
      </c>
      <c r="G42" s="175">
        <f>'平日晨峰(0630-0830)'!$AR$59+'平日晨峰(0630-0830)'!$AR$78+'平日晨峰(0630-0830)'!$AR$97+'平日晨峰(0630-0830)'!$AR$116</f>
        <v>0</v>
      </c>
      <c r="I42" s="175" t="str">
        <f>$I$6</f>
        <v>07:30~08:30</v>
      </c>
      <c r="J42" s="176" t="str">
        <f t="shared" si="36"/>
        <v>-</v>
      </c>
      <c r="K42" s="176" t="str">
        <f t="shared" si="36"/>
        <v>-</v>
      </c>
      <c r="L42" s="175">
        <f>('平日晨峰(07-09)'!$AL$59+'平日晨峰(07-09)'!$AL$78+'平日晨峰(07-09)'!$AL$97+'平日晨峰(07-09)'!$AL$116)*15</f>
        <v>0</v>
      </c>
      <c r="M42" s="175">
        <f>'平日晨峰(07-09)'!$AP$59+'平日晨峰(07-09)'!$AP$78+'平日晨峰(07-09)'!$AP$97+'平日晨峰(07-09)'!$AP$116</f>
        <v>0</v>
      </c>
      <c r="N42" s="175">
        <f>'平日晨峰(07-09)'!$AR$59+'平日晨峰(07-09)'!$AR$78+'平日晨峰(07-09)'!$AR$97+'平日晨峰(07-09)'!$AR$116</f>
        <v>0</v>
      </c>
      <c r="P42" s="175" t="str">
        <f>P33</f>
        <v>11:30~12:30</v>
      </c>
      <c r="Q42" s="176" t="str">
        <f>IF(ISERROR($S42/T42),"-",$S42/T42)</f>
        <v>-</v>
      </c>
      <c r="R42" s="176" t="str">
        <f>IF(ISERROR($T42/U42),"-",$T42/U42)</f>
        <v>-</v>
      </c>
      <c r="S42" s="175">
        <f>('平日中午(11-13)'!$AL$59+'平日中午(11-13)'!$AL$78+'平日中午(11-13)'!$AL$97+'平日中午(11-13)'!$AL$116)*15</f>
        <v>0</v>
      </c>
      <c r="T42" s="175">
        <f>'平日中午(11-13)'!$AP$59+'平日中午(11-13)'!$AP$78+'平日中午(11-13)'!$AP$97+'平日中午(11-13)'!$AP$116</f>
        <v>0</v>
      </c>
      <c r="U42" s="175">
        <f>'平日中午(11-13)'!$AR$59+'平日中午(11-13)'!$AR$78+'平日中午(11-13)'!$AR$97+'平日中午(11-13)'!$AR$116</f>
        <v>0</v>
      </c>
      <c r="W42" s="175" t="str">
        <f>W33</f>
        <v>12:30~13:30</v>
      </c>
      <c r="X42" s="176" t="str">
        <f t="shared" si="37"/>
        <v>-</v>
      </c>
      <c r="Y42" s="176" t="str">
        <f t="shared" si="37"/>
        <v>-</v>
      </c>
      <c r="Z42" s="175">
        <f>('平日中午(12-14)'!$AL$59+'平日中午(12-14)'!$AL$78+'平日中午(12-14)'!$AL$97+'平日中午(12-14)'!$AL$116)*15</f>
        <v>0</v>
      </c>
      <c r="AA42" s="175">
        <f>'平日中午(12-14)'!$AP$59+'平日中午(12-14)'!$AP$78+'平日中午(12-14)'!$AP$97+'平日中午(12-14)'!$AP$116</f>
        <v>0</v>
      </c>
      <c r="AB42" s="175">
        <f>'平日中午(12-14)'!$AR$59+'平日中午(12-14)'!$AR$78+'平日中午(12-14)'!$AR$97+'平日中午(12-14)'!$AR$116</f>
        <v>0</v>
      </c>
      <c r="AD42" s="175" t="str">
        <f>$AD$6</f>
        <v>17:30~18:30</v>
      </c>
      <c r="AE42" s="176" t="str">
        <f t="shared" si="38"/>
        <v>-</v>
      </c>
      <c r="AF42" s="176" t="str">
        <f t="shared" si="38"/>
        <v>-</v>
      </c>
      <c r="AG42" s="175">
        <f>('平日昏峰(17-19)'!$AL$59+'平日昏峰(17-19)'!$AL$78+'平日昏峰(17-19)'!$AL$97+'平日昏峰(17-19)'!$AL$116)*15</f>
        <v>0</v>
      </c>
      <c r="AH42" s="175">
        <f>'平日昏峰(17-19)'!$AP$59+'平日昏峰(17-19)'!$AP$78+'平日昏峰(17-19)'!$AP$97+'平日昏峰(17-19)'!$AP$116</f>
        <v>0</v>
      </c>
      <c r="AI42" s="175">
        <f>'平日昏峰(17-19)'!$AR$59+'平日昏峰(17-19)'!$AR$78+'平日昏峰(17-19)'!$AR$97+'平日昏峰(17-19)'!$AR$116</f>
        <v>0</v>
      </c>
      <c r="AK42" s="175">
        <f>$AK$6</f>
        <v>0</v>
      </c>
      <c r="AL42" s="176" t="str">
        <f t="shared" si="39"/>
        <v>-</v>
      </c>
      <c r="AM42" s="176" t="str">
        <f t="shared" si="39"/>
        <v>-</v>
      </c>
      <c r="AN42" s="175"/>
      <c r="AO42" s="175"/>
      <c r="AP42" s="175"/>
      <c r="AR42" s="175">
        <f>$AR$6</f>
        <v>0</v>
      </c>
      <c r="AS42" s="176" t="str">
        <f t="shared" si="40"/>
        <v>-</v>
      </c>
      <c r="AT42" s="176" t="str">
        <f t="shared" si="40"/>
        <v>-</v>
      </c>
      <c r="AU42" s="175"/>
      <c r="AV42" s="175"/>
      <c r="AW42" s="175"/>
      <c r="AY42" s="175">
        <f>AY33</f>
        <v>0</v>
      </c>
      <c r="AZ42" s="176" t="str">
        <f t="shared" si="41"/>
        <v>-</v>
      </c>
      <c r="BA42" s="176" t="str">
        <f t="shared" si="41"/>
        <v>-</v>
      </c>
      <c r="BB42" s="175"/>
      <c r="BC42" s="175"/>
      <c r="BD42" s="175"/>
      <c r="BF42" s="175" t="str">
        <f>BF33</f>
        <v>16:30~17:30</v>
      </c>
      <c r="BG42" s="176" t="str">
        <f t="shared" si="42"/>
        <v>-</v>
      </c>
      <c r="BH42" s="176" t="str">
        <f t="shared" si="42"/>
        <v>-</v>
      </c>
      <c r="BI42" s="175">
        <f>('假日(16-18)'!$AL$59+'假日(16-18)'!$AL$78+'假日(16-18)'!$AL$97+'假日(16-18)'!$AL$116)*15</f>
        <v>0</v>
      </c>
      <c r="BJ42" s="175">
        <f>'假日(16-18)'!$AP$59+'假日(16-18)'!$AP$78+'假日(16-18)'!$AP$97+'假日(16-18)'!$AP$116</f>
        <v>0</v>
      </c>
      <c r="BK42" s="175">
        <f>'假日(16-18)'!$AR$59+'假日(16-18)'!$AR$78+'假日(16-18)'!$AR$97+'假日(16-18)'!$AR$116</f>
        <v>0</v>
      </c>
      <c r="BM42" s="175" t="str">
        <f>BM33</f>
        <v>17:30~18:30</v>
      </c>
      <c r="BN42" s="176" t="str">
        <f t="shared" si="43"/>
        <v>-</v>
      </c>
      <c r="BO42" s="176" t="str">
        <f t="shared" si="43"/>
        <v>-</v>
      </c>
      <c r="BP42" s="175">
        <f>('假日(17-19)'!$AL$59+'假日(17-19)'!$AL$78+'假日(17-19)'!$AL$97+'假日(17-19)'!$AL$116)*15</f>
        <v>0</v>
      </c>
      <c r="BQ42" s="175">
        <f>'假日(17-19)'!$AP$59+'假日(17-19)'!$AP$78+'假日(17-19)'!$AP$97+'假日(17-19)'!$AP$116</f>
        <v>0</v>
      </c>
      <c r="BR42" s="175">
        <f>'假日(17-19)'!$AR$59+'假日(17-19)'!$AR$78+'假日(17-19)'!$AR$97+'假日(17-19)'!$AR$116</f>
        <v>0</v>
      </c>
      <c r="BT42" s="175" t="str">
        <f>BT25</f>
        <v>17:00~18:00</v>
      </c>
      <c r="BU42" s="176" t="str">
        <f>IF(ISERROR($BW42/BX42),"-",$BW42/BX42)</f>
        <v>-</v>
      </c>
      <c r="BV42" s="176" t="str">
        <f>IF(ISERROR($BW42/BY42),"-",$BW42/BY42)</f>
        <v>-</v>
      </c>
      <c r="BW42" s="175">
        <f>('假日(16-20)'!$T$97+'假日(16-20)'!$T$116+'假日(16-20)'!$T$135+'假日(16-20)'!$T$154)*15</f>
        <v>0</v>
      </c>
      <c r="BX42" s="175">
        <f>'假日(16-20)'!$X$97+'假日(16-20)'!$X$116+'假日(16-20)'!$X$135+'假日(16-20)'!$X$154</f>
        <v>0</v>
      </c>
      <c r="BY42" s="175">
        <f>'假日(16-20)'!$Z$97+'假日(16-20)'!$Z$116+'假日(16-20)'!$Z$135+'假日(16-20)'!$Z$154</f>
        <v>0</v>
      </c>
    </row>
    <row r="43" spans="2:77">
      <c r="B43" s="175" t="s">
        <v>196</v>
      </c>
      <c r="C43" s="176" t="str">
        <f t="shared" si="44"/>
        <v>-</v>
      </c>
      <c r="D43" s="176" t="str">
        <f t="shared" si="44"/>
        <v>-</v>
      </c>
      <c r="E43" s="175">
        <f>('平日晨峰(0630-0830)'!$AL$78+'平日晨峰(0630-0830)'!$AL$97+'平日晨峰(0630-0830)'!$AL$116+'平日晨峰(0630-0830)'!$AL$135)*15</f>
        <v>0</v>
      </c>
      <c r="F43" s="175">
        <f>'平日晨峰(0630-0830)'!$AP$78+'平日晨峰(0630-0830)'!$AP$97+'平日晨峰(0630-0830)'!$AP$116+'平日晨峰(0630-0830)'!$AP$135</f>
        <v>0</v>
      </c>
      <c r="G43" s="175">
        <f>'平日晨峰(0630-0830)'!$AR$78+'平日晨峰(0630-0830)'!$AR$97+'平日晨峰(0630-0830)'!$AR$116+'平日晨峰(0630-0830)'!$AR$135</f>
        <v>0</v>
      </c>
      <c r="I43" s="175" t="str">
        <f>$I$7</f>
        <v>07:45~08:45</v>
      </c>
      <c r="J43" s="176" t="str">
        <f t="shared" si="36"/>
        <v>-</v>
      </c>
      <c r="K43" s="176" t="str">
        <f t="shared" si="36"/>
        <v>-</v>
      </c>
      <c r="L43" s="175">
        <f>('平日晨峰(07-09)'!$AL$78+'平日晨峰(07-09)'!$AL$97+'平日晨峰(07-09)'!$AL$116+'平日晨峰(07-09)'!$AL$135)*15</f>
        <v>0</v>
      </c>
      <c r="M43" s="175">
        <f>'平日晨峰(07-09)'!$AP$78+'平日晨峰(07-09)'!$AP$97+'平日晨峰(07-09)'!$AP$116+'平日晨峰(07-09)'!$AP$135</f>
        <v>0</v>
      </c>
      <c r="N43" s="175">
        <f>'平日晨峰(07-09)'!$AR$78+'平日晨峰(07-09)'!$AR$97+'平日晨峰(07-09)'!$AR$116+'平日晨峰(07-09)'!$AR$135</f>
        <v>0</v>
      </c>
      <c r="P43" s="175" t="str">
        <f>P34</f>
        <v>11:45~12:45</v>
      </c>
      <c r="Q43" s="176" t="str">
        <f>IF(ISERROR($S43/T43),"-",$S43/T43)</f>
        <v>-</v>
      </c>
      <c r="R43" s="176" t="str">
        <f>IF(ISERROR($T43/U43),"-",$T43/U43)</f>
        <v>-</v>
      </c>
      <c r="S43" s="175">
        <f>('平日中午(11-13)'!$AL$78+'平日中午(11-13)'!$AL$97+'平日中午(11-13)'!$AL$116+'平日中午(11-13)'!$AL$135)*15</f>
        <v>0</v>
      </c>
      <c r="T43" s="175">
        <f>'平日中午(11-13)'!$AP$78+'平日中午(11-13)'!$AP$97+'平日中午(11-13)'!$AP$116+'平日中午(11-13)'!$AP$135</f>
        <v>0</v>
      </c>
      <c r="U43" s="175">
        <f>'平日中午(11-13)'!$AR$78+'平日中午(11-13)'!$AR$97+'平日中午(11-13)'!$AR$116+'平日中午(11-13)'!$AR$135</f>
        <v>0</v>
      </c>
      <c r="W43" s="175" t="str">
        <f>W34</f>
        <v>12:45~13:45</v>
      </c>
      <c r="X43" s="176" t="str">
        <f t="shared" si="37"/>
        <v>-</v>
      </c>
      <c r="Y43" s="176" t="str">
        <f t="shared" si="37"/>
        <v>-</v>
      </c>
      <c r="Z43" s="175">
        <f>('平日中午(12-14)'!$AL$78+'平日中午(12-14)'!$AL$97+'平日中午(12-14)'!$AL$116+'平日中午(12-14)'!$AL$135)*15</f>
        <v>0</v>
      </c>
      <c r="AA43" s="175">
        <f>'平日中午(12-14)'!$AP$78+'平日中午(12-14)'!$AP$97+'平日中午(12-14)'!$AP$116+'平日中午(12-14)'!$AP$135</f>
        <v>0</v>
      </c>
      <c r="AB43" s="175">
        <f>'平日中午(12-14)'!$AR$78+'平日中午(12-14)'!$AR$97+'平日中午(12-14)'!$AR$116+'平日中午(12-14)'!$AR$135</f>
        <v>0</v>
      </c>
      <c r="AD43" s="175" t="str">
        <f>$AD$7</f>
        <v>17:45~18:45</v>
      </c>
      <c r="AE43" s="176" t="str">
        <f t="shared" si="38"/>
        <v>-</v>
      </c>
      <c r="AF43" s="176" t="str">
        <f t="shared" si="38"/>
        <v>-</v>
      </c>
      <c r="AG43" s="175">
        <f>('平日昏峰(17-19)'!$AL$78+'平日昏峰(17-19)'!$AL$97+'平日昏峰(17-19)'!$AL$116+'平日昏峰(17-19)'!$AL$135)*15</f>
        <v>0</v>
      </c>
      <c r="AH43" s="175">
        <f>'平日昏峰(17-19)'!$AP$78+'平日昏峰(17-19)'!$AP$97+'平日昏峰(17-19)'!$AP$116+'平日昏峰(17-19)'!$AP$135</f>
        <v>0</v>
      </c>
      <c r="AI43" s="175">
        <f>'平日昏峰(17-19)'!$AR$78+'平日昏峰(17-19)'!$AR$97+'平日昏峰(17-19)'!$AR$116+'平日昏峰(17-19)'!$AR$135</f>
        <v>0</v>
      </c>
      <c r="AK43" s="175">
        <f>$AK$7</f>
        <v>0</v>
      </c>
      <c r="AL43" s="176" t="str">
        <f t="shared" si="39"/>
        <v>-</v>
      </c>
      <c r="AM43" s="176" t="str">
        <f t="shared" si="39"/>
        <v>-</v>
      </c>
      <c r="AN43" s="175"/>
      <c r="AO43" s="175"/>
      <c r="AP43" s="175"/>
      <c r="AR43" s="175">
        <f>$AR$7</f>
        <v>0</v>
      </c>
      <c r="AS43" s="176" t="str">
        <f t="shared" si="40"/>
        <v>-</v>
      </c>
      <c r="AT43" s="176" t="str">
        <f t="shared" si="40"/>
        <v>-</v>
      </c>
      <c r="AU43" s="175"/>
      <c r="AV43" s="175"/>
      <c r="AW43" s="175"/>
      <c r="AY43" s="175">
        <f>AY34</f>
        <v>0</v>
      </c>
      <c r="AZ43" s="176" t="str">
        <f t="shared" si="41"/>
        <v>-</v>
      </c>
      <c r="BA43" s="176" t="str">
        <f t="shared" si="41"/>
        <v>-</v>
      </c>
      <c r="BB43" s="175"/>
      <c r="BC43" s="175"/>
      <c r="BD43" s="175"/>
      <c r="BF43" s="175" t="str">
        <f>BF34</f>
        <v>16:45~17:45</v>
      </c>
      <c r="BG43" s="176" t="str">
        <f t="shared" si="42"/>
        <v>-</v>
      </c>
      <c r="BH43" s="176" t="str">
        <f t="shared" si="42"/>
        <v>-</v>
      </c>
      <c r="BI43" s="175">
        <f>('假日(16-18)'!$AL$78+'假日(16-18)'!$AL$97+'假日(16-18)'!$AL$116+'假日(16-18)'!$AL$135)*15</f>
        <v>0</v>
      </c>
      <c r="BJ43" s="175">
        <f>'假日(16-18)'!$AP$78+'假日(16-18)'!$AP$97+'假日(16-18)'!$AP$116+'假日(16-18)'!$AP$135</f>
        <v>0</v>
      </c>
      <c r="BK43" s="175">
        <f>'假日(16-18)'!$AR$78+'假日(16-18)'!$AR$97+'假日(16-18)'!$AR$116+'假日(16-18)'!$AR$135</f>
        <v>0</v>
      </c>
      <c r="BM43" s="175" t="str">
        <f>BM34</f>
        <v>17:45~18:45</v>
      </c>
      <c r="BN43" s="176" t="str">
        <f t="shared" si="43"/>
        <v>-</v>
      </c>
      <c r="BO43" s="176" t="str">
        <f t="shared" si="43"/>
        <v>-</v>
      </c>
      <c r="BP43" s="175">
        <f>('假日(17-19)'!$AL$78+'假日(17-19)'!$AL$97+'假日(17-19)'!$AL$116+'假日(17-19)'!$AL$135)*15</f>
        <v>0</v>
      </c>
      <c r="BQ43" s="175">
        <f>'假日(17-19)'!$AP$78+'假日(17-19)'!$AP$97+'假日(17-19)'!$AP$116+'假日(17-19)'!$AP$135</f>
        <v>0</v>
      </c>
      <c r="BR43" s="175">
        <f>'假日(17-19)'!$AR$78+'假日(17-19)'!$AR$97+'假日(17-19)'!$AR$116+'假日(17-19)'!$AR$135</f>
        <v>0</v>
      </c>
      <c r="BT43" s="175" t="s">
        <v>144</v>
      </c>
      <c r="BU43" s="176" t="str">
        <f>IF(ISERROR($BW43/BX43),"-",$BW43/BX43)</f>
        <v>-</v>
      </c>
      <c r="BV43" s="176" t="str">
        <f>IF(ISERROR($BW43/BY43),"-",$BW43/BY43)</f>
        <v>-</v>
      </c>
      <c r="BW43" s="175">
        <f>('假日(16-20)'!$T$116+'假日(16-20)'!$T$135+'假日(16-20)'!$T$154+'假日(16-20)'!$T$173)*15</f>
        <v>0</v>
      </c>
      <c r="BX43" s="175">
        <f>'假日(16-20)'!$X$116+'假日(16-20)'!$X$135+'假日(16-20)'!$X$154+'假日(16-20)'!$X$173</f>
        <v>0</v>
      </c>
      <c r="BY43" s="175">
        <f>'假日(16-20)'!$Z$116+'假日(16-20)'!$Z$135+'假日(16-20)'!$Z$154+'假日(16-20)'!$Z$173</f>
        <v>0</v>
      </c>
    </row>
    <row r="44" spans="2:77">
      <c r="B44" s="175" t="s">
        <v>197</v>
      </c>
      <c r="C44" s="176" t="str">
        <f t="shared" si="44"/>
        <v>-</v>
      </c>
      <c r="D44" s="176" t="str">
        <f t="shared" si="44"/>
        <v>-</v>
      </c>
      <c r="E44" s="175">
        <f>('平日晨峰(0630-0830)'!$AL$97+'平日晨峰(0630-0830)'!$AL$116+'平日晨峰(0630-0830)'!$AL$135+'平日晨峰(0630-0830)'!$AL$154)*15</f>
        <v>0</v>
      </c>
      <c r="F44" s="175">
        <f>'平日晨峰(0630-0830)'!$AP$97+'平日晨峰(0630-0830)'!$AP$116+'平日晨峰(0630-0830)'!$AP$135+'平日晨峰(0630-0830)'!$AP$154</f>
        <v>0</v>
      </c>
      <c r="G44" s="175">
        <f>'平日晨峰(0630-0830)'!$AR$97+'平日晨峰(0630-0830)'!$AR$116+'平日晨峰(0630-0830)'!$AR$135+'平日晨峰(0630-0830)'!$AR$154</f>
        <v>0</v>
      </c>
      <c r="I44" s="175" t="str">
        <f>$I$8</f>
        <v>08:00~09:00</v>
      </c>
      <c r="J44" s="176" t="str">
        <f t="shared" si="36"/>
        <v>-</v>
      </c>
      <c r="K44" s="176" t="str">
        <f t="shared" si="36"/>
        <v>-</v>
      </c>
      <c r="L44" s="175">
        <f>('平日晨峰(07-09)'!$AL$97+'平日晨峰(07-09)'!$AL$116+'平日晨峰(07-09)'!$AL$135+'平日晨峰(07-09)'!$AL$154)*15</f>
        <v>0</v>
      </c>
      <c r="M44" s="175">
        <f>'平日晨峰(07-09)'!$AP$97+'平日晨峰(07-09)'!$AP$116+'平日晨峰(07-09)'!$AP$135+'平日晨峰(07-09)'!$AP$154</f>
        <v>0</v>
      </c>
      <c r="N44" s="175">
        <f>'平日晨峰(07-09)'!$AR$97+'平日晨峰(07-09)'!$AR$116+'平日晨峰(07-09)'!$AR$135+'平日晨峰(07-09)'!$AR$154</f>
        <v>0</v>
      </c>
      <c r="P44" s="175" t="str">
        <f>P35</f>
        <v>12:00~13:00</v>
      </c>
      <c r="Q44" s="176" t="str">
        <f>IF(ISERROR($S44/T44),"-",$S44/T44)</f>
        <v>-</v>
      </c>
      <c r="R44" s="176" t="str">
        <f>IF(ISERROR($T44/U44),"-",$T44/U44)</f>
        <v>-</v>
      </c>
      <c r="S44" s="175">
        <f>('平日中午(11-13)'!$AL$97+'平日中午(11-13)'!$AL$116+'平日中午(11-13)'!$AL$135+'平日中午(11-13)'!$AL$154)*15</f>
        <v>0</v>
      </c>
      <c r="T44" s="175">
        <f>'平日中午(11-13)'!$AP$97+'平日中午(11-13)'!$AP$116+'平日中午(11-13)'!$AP$135+'平日中午(11-13)'!$AP$154</f>
        <v>0</v>
      </c>
      <c r="U44" s="175">
        <f>'平日中午(11-13)'!$AR$97+'平日中午(11-13)'!$AR$116+'平日中午(11-13)'!$AR$135+'平日中午(11-13)'!$AR$154</f>
        <v>0</v>
      </c>
      <c r="W44" s="175" t="str">
        <f>W35</f>
        <v>13:00~14:00</v>
      </c>
      <c r="X44" s="176" t="str">
        <f t="shared" si="37"/>
        <v>-</v>
      </c>
      <c r="Y44" s="176" t="str">
        <f t="shared" si="37"/>
        <v>-</v>
      </c>
      <c r="Z44" s="175">
        <f>('平日中午(12-14)'!$AL$97+'平日中午(12-14)'!$AL$116+'平日中午(12-14)'!$AL$135+'平日中午(12-14)'!$AL$154)*15</f>
        <v>0</v>
      </c>
      <c r="AA44" s="175">
        <f>'平日中午(12-14)'!$AP$97+'平日中午(12-14)'!$AP$116+'平日中午(12-14)'!$AP$135+'平日中午(12-14)'!$AP$154</f>
        <v>0</v>
      </c>
      <c r="AB44" s="175">
        <f>'平日中午(12-14)'!$AR$97+'平日中午(12-14)'!$AR$116+'平日中午(12-14)'!$AR$135+'平日中午(12-14)'!$AR$154</f>
        <v>0</v>
      </c>
      <c r="AD44" s="175" t="str">
        <f>$AD$8</f>
        <v>18:00~19:00</v>
      </c>
      <c r="AE44" s="176" t="str">
        <f t="shared" si="38"/>
        <v>-</v>
      </c>
      <c r="AF44" s="176" t="str">
        <f t="shared" si="38"/>
        <v>-</v>
      </c>
      <c r="AG44" s="175">
        <f>('平日昏峰(17-19)'!$AL$97+'平日昏峰(17-19)'!$AL$116+'平日昏峰(17-19)'!$AL$135+'平日昏峰(17-19)'!$AL$154)*15</f>
        <v>0</v>
      </c>
      <c r="AH44" s="175">
        <f>'平日昏峰(17-19)'!$AP$97+'平日昏峰(17-19)'!$AP$116+'平日昏峰(17-19)'!$AP$135+'平日昏峰(17-19)'!$AP$154</f>
        <v>0</v>
      </c>
      <c r="AI44" s="175">
        <f>'平日昏峰(17-19)'!$AR$97+'平日昏峰(17-19)'!$AR$116+'平日昏峰(17-19)'!$AR$135+'平日昏峰(17-19)'!$AR$154</f>
        <v>0</v>
      </c>
      <c r="AK44" s="175">
        <f>$AK$8</f>
        <v>0</v>
      </c>
      <c r="AL44" s="176" t="str">
        <f t="shared" si="39"/>
        <v>-</v>
      </c>
      <c r="AM44" s="176" t="str">
        <f t="shared" si="39"/>
        <v>-</v>
      </c>
      <c r="AN44" s="175"/>
      <c r="AO44" s="175"/>
      <c r="AP44" s="175"/>
      <c r="AR44" s="175">
        <f>$AR$8</f>
        <v>0</v>
      </c>
      <c r="AS44" s="176" t="str">
        <f t="shared" si="40"/>
        <v>-</v>
      </c>
      <c r="AT44" s="176" t="str">
        <f t="shared" si="40"/>
        <v>-</v>
      </c>
      <c r="AU44" s="175"/>
      <c r="AV44" s="175"/>
      <c r="AW44" s="175"/>
      <c r="AY44" s="175">
        <f>AY35</f>
        <v>0</v>
      </c>
      <c r="AZ44" s="176" t="str">
        <f t="shared" si="41"/>
        <v>-</v>
      </c>
      <c r="BA44" s="176" t="str">
        <f t="shared" si="41"/>
        <v>-</v>
      </c>
      <c r="BB44" s="175"/>
      <c r="BC44" s="175"/>
      <c r="BD44" s="175"/>
      <c r="BF44" s="175" t="str">
        <f>BF35</f>
        <v>17:00~18:00</v>
      </c>
      <c r="BG44" s="176" t="str">
        <f t="shared" si="42"/>
        <v>-</v>
      </c>
      <c r="BH44" s="176" t="str">
        <f t="shared" si="42"/>
        <v>-</v>
      </c>
      <c r="BI44" s="175">
        <f>('假日(16-18)'!$AL$97+'假日(16-18)'!$AL$116+'假日(16-18)'!$AL$135+'假日(16-18)'!$AL$154)*15</f>
        <v>0</v>
      </c>
      <c r="BJ44" s="175">
        <f>'假日(16-18)'!$AP$97+'假日(16-18)'!$AP$116+'假日(16-18)'!$AP$135+'假日(16-18)'!$AP$154</f>
        <v>0</v>
      </c>
      <c r="BK44" s="175">
        <f>'假日(16-18)'!$AR$97+'假日(16-18)'!$AR$116+'假日(16-18)'!$AR$135+'假日(16-18)'!$AR$154</f>
        <v>0</v>
      </c>
      <c r="BM44" s="175" t="str">
        <f>BM35</f>
        <v>18:00~19:00</v>
      </c>
      <c r="BN44" s="176" t="str">
        <f t="shared" si="43"/>
        <v>-</v>
      </c>
      <c r="BO44" s="176" t="str">
        <f t="shared" si="43"/>
        <v>-</v>
      </c>
      <c r="BP44" s="175">
        <f>('假日(17-19)'!$AL$97+'假日(17-19)'!$AL$116+'假日(17-19)'!$AL$135+'假日(17-19)'!$AL$154)*15</f>
        <v>0</v>
      </c>
      <c r="BQ44" s="175">
        <f>'假日(17-19)'!$AP$97+'假日(17-19)'!$AP$116+'假日(17-19)'!$AP$135+'假日(17-19)'!$AP$154</f>
        <v>0</v>
      </c>
      <c r="BR44" s="175">
        <f>'假日(17-19)'!$AR$97+'假日(17-19)'!$AR$116+'假日(17-19)'!$AR$135+'假日(17-19)'!$AR$154</f>
        <v>0</v>
      </c>
      <c r="BT44" s="175" t="s">
        <v>140</v>
      </c>
      <c r="BU44" s="176" t="str">
        <f>IF(ISERROR($BW44/BX44),"-",$BW44/BX44)</f>
        <v>-</v>
      </c>
      <c r="BV44" s="176" t="str">
        <f>IF(ISERROR($BW44/BY44),"-",$BW44/BY44)</f>
        <v>-</v>
      </c>
      <c r="BW44" s="175">
        <f>('假日(16-20)'!$T$135+'假日(16-20)'!$T$154+'假日(16-20)'!$T$173+'假日(16-20)'!$T$192)*15</f>
        <v>0</v>
      </c>
      <c r="BX44" s="175">
        <f>'假日(16-20)'!$X$135+'假日(16-20)'!$X$154+'假日(16-20)'!$X$173+'假日(16-20)'!$X$192</f>
        <v>0</v>
      </c>
      <c r="BY44" s="175">
        <f>'假日(16-20)'!$Z$135+'假日(16-20)'!$Z$154+'假日(16-20)'!$Z$173+'假日(16-20)'!$Z$192</f>
        <v>0</v>
      </c>
    </row>
    <row r="45" spans="2:77">
      <c r="B45" s="172" t="str">
        <f>CONCATENATE(基本資料!$F$18,"方向","平均延滯")</f>
        <v>E方向平均延滯</v>
      </c>
      <c r="C45" s="177" t="str">
        <f>IF(ISERROR(VLOOKUP($F$63,B40:C44,2,1)),"-",VLOOKUP($F$63,B40:C44,2,1))</f>
        <v>-</v>
      </c>
      <c r="D45" s="177"/>
      <c r="E45" s="172"/>
      <c r="F45" s="172"/>
      <c r="G45" s="172"/>
      <c r="I45" s="172" t="str">
        <f>CONCATENATE(基本資料!$F$18,"方向","平均延滯")</f>
        <v>E方向平均延滯</v>
      </c>
      <c r="J45" s="177" t="str">
        <f>IF(ISERROR(VLOOKUP($M$63,I40:J44,2,1)),"-",VLOOKUP($M$63,I40:J44,2,1))</f>
        <v>-</v>
      </c>
      <c r="K45" s="177"/>
      <c r="L45" s="172"/>
      <c r="M45" s="172"/>
      <c r="N45" s="172"/>
      <c r="P45" s="172" t="str">
        <f>CONCATENATE(基本資料!$F$18,"方向","平均延滯")</f>
        <v>E方向平均延滯</v>
      </c>
      <c r="Q45" s="177" t="str">
        <f>IF(ISERROR(VLOOKUP($T$63,P40:Q44,2,1)),"-",VLOOKUP($T$63,P40:Q44,2,1))</f>
        <v>-</v>
      </c>
      <c r="R45" s="177"/>
      <c r="S45" s="172"/>
      <c r="T45" s="172"/>
      <c r="U45" s="172"/>
      <c r="W45" s="172" t="str">
        <f>CONCATENATE(基本資料!$F$18,"方向","平均延滯")</f>
        <v>E方向平均延滯</v>
      </c>
      <c r="X45" s="177" t="str">
        <f>IF(ISERROR(VLOOKUP($AA$63,W40:X44,2,1)),"-",VLOOKUP($AA$63,W40:X44,2,1))</f>
        <v>-</v>
      </c>
      <c r="Y45" s="177"/>
      <c r="Z45" s="172"/>
      <c r="AA45" s="172"/>
      <c r="AB45" s="172"/>
      <c r="AD45" s="172" t="str">
        <f>CONCATENATE(基本資料!$F$18,"方向","平均延滯")</f>
        <v>E方向平均延滯</v>
      </c>
      <c r="AE45" s="177" t="str">
        <f>IF(ISERROR(VLOOKUP($AH$63,AD40:AE44,2,1)),"-",VLOOKUP($AH$63,AD40:AE44,2,1))</f>
        <v>-</v>
      </c>
      <c r="AF45" s="177"/>
      <c r="AG45" s="172"/>
      <c r="AH45" s="172"/>
      <c r="AI45" s="172"/>
      <c r="AK45" s="172" t="str">
        <f>CONCATENATE(基本資料!$F$18,"方向","平均延滯")</f>
        <v>E方向平均延滯</v>
      </c>
      <c r="AL45" s="177" t="str">
        <f>IF(ISERROR(VLOOKUP($AO$63,AK40:AL44,2,1)),"-",VLOOKUP($AO$63,AK40:AL44,2,1))</f>
        <v>-</v>
      </c>
      <c r="AM45" s="177"/>
      <c r="AN45" s="172"/>
      <c r="AO45" s="172"/>
      <c r="AP45" s="172"/>
      <c r="AR45" s="172" t="str">
        <f>CONCATENATE(基本資料!$F$18,"方向","平均延滯")</f>
        <v>E方向平均延滯</v>
      </c>
      <c r="AS45" s="177" t="str">
        <f>IF(ISERROR(VLOOKUP($AV$63,AR40:AS44,2,1)),"-",VLOOKUP($AV$63,AR40:AS44,2,1))</f>
        <v>-</v>
      </c>
      <c r="AT45" s="177"/>
      <c r="AU45" s="172"/>
      <c r="AV45" s="172"/>
      <c r="AW45" s="172"/>
      <c r="AY45" s="172" t="str">
        <f>CONCATENATE(基本資料!$F$18,"方向","平均延滯")</f>
        <v>E方向平均延滯</v>
      </c>
      <c r="AZ45" s="177" t="str">
        <f>IF(ISERROR(VLOOKUP($BC$63,AY40:AZ44,2,1)),"-",VLOOKUP($BC$63,AY40:AZ44,2,1))</f>
        <v>-</v>
      </c>
      <c r="BA45" s="177"/>
      <c r="BB45" s="172"/>
      <c r="BC45" s="172"/>
      <c r="BD45" s="172"/>
      <c r="BF45" s="172" t="str">
        <f>CONCATENATE(基本資料!$F$18,"方向","平均延滯")</f>
        <v>E方向平均延滯</v>
      </c>
      <c r="BG45" s="177" t="str">
        <f>IF(ISERROR(VLOOKUP($BJ$63,BF40:BG44,2,1)),"-",VLOOKUP($BJ$63,BF40:BG44,2,1))</f>
        <v>-</v>
      </c>
      <c r="BH45" s="177"/>
      <c r="BI45" s="172"/>
      <c r="BJ45" s="172"/>
      <c r="BK45" s="172"/>
      <c r="BM45" s="172" t="str">
        <f>CONCATENATE(基本資料!$F$18,"方向","平均延滯")</f>
        <v>E方向平均延滯</v>
      </c>
      <c r="BN45" s="177" t="str">
        <f>IF(ISERROR(VLOOKUP($BQ$63,BM40:BN44,2,1)),"-",VLOOKUP($BQ$63,BM40:BN44,2,1))</f>
        <v>-</v>
      </c>
      <c r="BO45" s="177"/>
      <c r="BP45" s="172"/>
      <c r="BQ45" s="172"/>
      <c r="BR45" s="172"/>
      <c r="BT45" s="175" t="s">
        <v>151</v>
      </c>
      <c r="BU45" s="176" t="str">
        <f>IF(ISERROR($BW45/BX45),"-",$BW45/BX45)</f>
        <v>-</v>
      </c>
      <c r="BV45" s="176" t="str">
        <f t="shared" ref="BV39:BV50" si="45">IF(ISERROR($BW45/BY45),"-",$BW45/BY45)</f>
        <v>-</v>
      </c>
      <c r="BW45" s="175">
        <f>('假日(16-20)'!$T$154+'假日(16-20)'!$T$173+'假日(16-20)'!$T$192+'假日(16-20)'!$T$211)*15</f>
        <v>0</v>
      </c>
      <c r="BX45" s="175">
        <f>'假日(16-20)'!$X$154+'假日(16-20)'!$X$173+'假日(16-20)'!$X$192+'假日(16-20)'!$X$211</f>
        <v>0</v>
      </c>
      <c r="BY45" s="175">
        <f>'假日(16-20)'!$Z$154+'假日(16-20)'!$Z$173+'假日(16-20)'!$Z$192+'假日(16-20)'!$Z$211</f>
        <v>0</v>
      </c>
    </row>
    <row r="46" spans="2:77">
      <c r="B46" s="172" t="str">
        <f>CONCATENATE(基本資料!$F$18,"方向","平均停等車輛延滯")</f>
        <v>E方向平均停等車輛延滯</v>
      </c>
      <c r="C46" s="177"/>
      <c r="D46" s="177" t="str">
        <f>IF(ISERROR(VLOOKUP($F$64,B40:D44,3,1)),"-",VLOOKUP($F$64,B40:D44,3,1))</f>
        <v>-</v>
      </c>
      <c r="E46" s="172"/>
      <c r="F46" s="172"/>
      <c r="G46" s="172"/>
      <c r="I46" s="172" t="str">
        <f>CONCATENATE(基本資料!$F$18,"方向","平均停等車輛延滯")</f>
        <v>E方向平均停等車輛延滯</v>
      </c>
      <c r="J46" s="177"/>
      <c r="K46" s="177" t="str">
        <f>IF(ISERROR(VLOOKUP($M$64,I40:K44,3,1)),"-",VLOOKUP($M$64,I40:K44,3,1))</f>
        <v>-</v>
      </c>
      <c r="L46" s="172"/>
      <c r="M46" s="172"/>
      <c r="N46" s="172"/>
      <c r="P46" s="172" t="str">
        <f>CONCATENATE(基本資料!$F$18,"方向","平均停等車輛延滯")</f>
        <v>E方向平均停等車輛延滯</v>
      </c>
      <c r="Q46" s="177"/>
      <c r="R46" s="177" t="str">
        <f>IF(ISERROR(VLOOKUP($T$64,P40:R44,3,1)),"-",VLOOKUP($T$64,P40:R44,3,1))</f>
        <v>-</v>
      </c>
      <c r="S46" s="172"/>
      <c r="T46" s="172"/>
      <c r="U46" s="172"/>
      <c r="W46" s="172" t="str">
        <f>CONCATENATE(基本資料!$F$18,"方向","平均停等車輛延滯")</f>
        <v>E方向平均停等車輛延滯</v>
      </c>
      <c r="X46" s="177"/>
      <c r="Y46" s="177" t="str">
        <f>IF(ISERROR(VLOOKUP($AA$64,W40:Y44,3,1)),"-",VLOOKUP($AA$64,W40:Y44,3,1))</f>
        <v>-</v>
      </c>
      <c r="Z46" s="172"/>
      <c r="AA46" s="172"/>
      <c r="AB46" s="172"/>
      <c r="AD46" s="172" t="str">
        <f>CONCATENATE(基本資料!$F$18,"方向","平均停等車輛延滯")</f>
        <v>E方向平均停等車輛延滯</v>
      </c>
      <c r="AE46" s="177"/>
      <c r="AF46" s="177" t="str">
        <f>IF(ISERROR(VLOOKUP($AH$64,AD40:AF44,3,1)),"-",VLOOKUP($AH$64,AD40:AF44,3,1))</f>
        <v>-</v>
      </c>
      <c r="AG46" s="172"/>
      <c r="AH46" s="172"/>
      <c r="AI46" s="172"/>
      <c r="AK46" s="172" t="str">
        <f>CONCATENATE(基本資料!$F$18,"方向","平均停等車輛延滯")</f>
        <v>E方向平均停等車輛延滯</v>
      </c>
      <c r="AL46" s="177"/>
      <c r="AM46" s="177" t="str">
        <f>IF(ISERROR(VLOOKUP($AO$64,AK40:AM44,3,1)),"-",VLOOKUP($AO$64,AK40:AM44,3,1))</f>
        <v>-</v>
      </c>
      <c r="AN46" s="172"/>
      <c r="AO46" s="172"/>
      <c r="AP46" s="172"/>
      <c r="AR46" s="172" t="str">
        <f>CONCATENATE(基本資料!$F$18,"方向","平均停等車輛延滯")</f>
        <v>E方向平均停等車輛延滯</v>
      </c>
      <c r="AS46" s="177"/>
      <c r="AT46" s="177" t="str">
        <f>IF(ISERROR(VLOOKUP($AV$64,AR40:AT44,3,1)),"-",VLOOKUP($AV$64,AR40:AT44,3,1))</f>
        <v>-</v>
      </c>
      <c r="AU46" s="172"/>
      <c r="AV46" s="172"/>
      <c r="AW46" s="172"/>
      <c r="AY46" s="172" t="str">
        <f>CONCATENATE(基本資料!$F$18,"方向","平均停等車輛延滯")</f>
        <v>E方向平均停等車輛延滯</v>
      </c>
      <c r="AZ46" s="177"/>
      <c r="BA46" s="177" t="str">
        <f>IF(ISERROR(VLOOKUP($BC$64,AY40:BA44,3,1)),"-",VLOOKUP($BC$64,AY40:BA44,3,1))</f>
        <v>-</v>
      </c>
      <c r="BB46" s="172"/>
      <c r="BC46" s="172"/>
      <c r="BD46" s="172"/>
      <c r="BF46" s="172" t="str">
        <f>CONCATENATE(基本資料!$F$18,"方向","平均停等車輛延滯")</f>
        <v>E方向平均停等車輛延滯</v>
      </c>
      <c r="BG46" s="177"/>
      <c r="BH46" s="177" t="str">
        <f>IF(ISERROR(VLOOKUP($BJ$64,BF40:BH44,3,1)),"-",VLOOKUP($BJ$64,BF40:BH44,3,1))</f>
        <v>-</v>
      </c>
      <c r="BI46" s="172"/>
      <c r="BJ46" s="172"/>
      <c r="BK46" s="172"/>
      <c r="BM46" s="172" t="str">
        <f>CONCATENATE(基本資料!$F$18,"方向","平均停等車輛延滯")</f>
        <v>E方向平均停等車輛延滯</v>
      </c>
      <c r="BN46" s="177"/>
      <c r="BO46" s="177" t="str">
        <f>IF(ISERROR(VLOOKUP($BQ$64,BM40:BO44,3,1)),"-",VLOOKUP($BQ$64,BM40:BO44,3,1))</f>
        <v>-</v>
      </c>
      <c r="BP46" s="172"/>
      <c r="BQ46" s="172"/>
      <c r="BR46" s="172"/>
      <c r="BT46" s="175" t="s">
        <v>155</v>
      </c>
      <c r="BU46" s="176" t="str">
        <f>IF(ISERROR($BW46/BX46),"-",$BW46/BX46)</f>
        <v>-</v>
      </c>
      <c r="BV46" s="176" t="str">
        <f>IF(ISERROR($BW46/BY46),"-",$BW46/BY46)</f>
        <v>-</v>
      </c>
      <c r="BW46" s="175">
        <f>('假日(16-20)'!$T$173+'假日(16-20)'!$T$192+'假日(16-20)'!$T$211+'假日(16-20)'!$T$230)*15</f>
        <v>0</v>
      </c>
      <c r="BX46" s="175">
        <f>'假日(16-20)'!$X$173+'假日(16-20)'!$X$192+'假日(16-20)'!$X$211+'假日(16-20)'!$X$230</f>
        <v>0</v>
      </c>
      <c r="BY46" s="175">
        <f>'假日(16-20)'!$Z$173+'假日(16-20)'!$Z$192+'假日(16-20)'!$Z$211+'假日(16-20)'!$Z$230</f>
        <v>0</v>
      </c>
    </row>
    <row r="47" spans="2:77">
      <c r="B47" s="261" t="str">
        <f>'平日晨峰(07-09)'!$AT$2</f>
        <v>F方向：</v>
      </c>
      <c r="C47" s="261"/>
      <c r="D47" s="261"/>
      <c r="E47" s="261"/>
      <c r="F47" s="261"/>
      <c r="G47" s="261"/>
      <c r="I47" s="261" t="str">
        <f>'平日晨峰(07-09)'!$AT$2</f>
        <v>F方向：</v>
      </c>
      <c r="J47" s="261"/>
      <c r="K47" s="261"/>
      <c r="L47" s="261"/>
      <c r="M47" s="261"/>
      <c r="N47" s="261"/>
      <c r="P47" s="261" t="str">
        <f>'平日中午(11-13)'!$AT$2</f>
        <v>F方向：</v>
      </c>
      <c r="Q47" s="261"/>
      <c r="R47" s="261"/>
      <c r="S47" s="261"/>
      <c r="T47" s="261"/>
      <c r="U47" s="261"/>
      <c r="W47" s="261" t="str">
        <f>'平日中午(11-13)'!$AT$2</f>
        <v>F方向：</v>
      </c>
      <c r="X47" s="261"/>
      <c r="Y47" s="261"/>
      <c r="Z47" s="261"/>
      <c r="AA47" s="261"/>
      <c r="AB47" s="261"/>
      <c r="AD47" s="261" t="str">
        <f>'平日昏峰(17-19)'!$AT$2</f>
        <v>F方向：</v>
      </c>
      <c r="AE47" s="261"/>
      <c r="AF47" s="261"/>
      <c r="AG47" s="261"/>
      <c r="AH47" s="261"/>
      <c r="AI47" s="261"/>
      <c r="AK47" s="261" t="str">
        <f>'假日(11-12)'!$AT$2</f>
        <v>F方向：</v>
      </c>
      <c r="AL47" s="261"/>
      <c r="AM47" s="261"/>
      <c r="AN47" s="261"/>
      <c r="AO47" s="261"/>
      <c r="AP47" s="261"/>
      <c r="AR47" s="261" t="str">
        <f>'假日(1430-1530)'!$AT$2</f>
        <v>F方向：</v>
      </c>
      <c r="AS47" s="261"/>
      <c r="AT47" s="261"/>
      <c r="AU47" s="261"/>
      <c r="AV47" s="261"/>
      <c r="AW47" s="261"/>
      <c r="AY47" s="261" t="str">
        <f>'假日(1730-1830)'!$AT$2</f>
        <v>F方向：</v>
      </c>
      <c r="AZ47" s="261"/>
      <c r="BA47" s="261"/>
      <c r="BB47" s="261"/>
      <c r="BC47" s="261"/>
      <c r="BD47" s="261"/>
      <c r="BF47" s="261" t="str">
        <f>'假日(16-18)'!$AT$2</f>
        <v>F方向：</v>
      </c>
      <c r="BG47" s="261"/>
      <c r="BH47" s="261"/>
      <c r="BI47" s="261"/>
      <c r="BJ47" s="261"/>
      <c r="BK47" s="261"/>
      <c r="BM47" s="261" t="str">
        <f>'假日(17-19)'!$AT$2</f>
        <v>F方向：</v>
      </c>
      <c r="BN47" s="261"/>
      <c r="BO47" s="261"/>
      <c r="BP47" s="261"/>
      <c r="BQ47" s="261"/>
      <c r="BR47" s="261"/>
      <c r="BT47" s="175" t="s">
        <v>189</v>
      </c>
      <c r="BU47" s="176" t="str">
        <f>IF(ISERROR($BW47/BX47),"-",$BW47/BX47)</f>
        <v>-</v>
      </c>
      <c r="BV47" s="176" t="str">
        <f>IF(ISERROR($BW47/BY47),"-",$BW47/BY47)</f>
        <v>-</v>
      </c>
      <c r="BW47" s="175">
        <f>('假日(16-20)'!$T$192+'假日(16-20)'!$T$211+'假日(16-20)'!$T$230+'假日(16-20)'!$T$249)*15</f>
        <v>0</v>
      </c>
      <c r="BX47" s="175">
        <f>'假日(16-20)'!$X$192+'假日(16-20)'!$X$211+'假日(16-20)'!$X$230+'假日(16-20)'!$X$249</f>
        <v>0</v>
      </c>
      <c r="BY47" s="175">
        <f>'假日(16-20)'!$Z$192+'假日(16-20)'!$Z$211+'假日(16-20)'!$Z$230+'假日(16-20)'!$Z$249</f>
        <v>0</v>
      </c>
    </row>
    <row r="48" spans="2:77">
      <c r="B48" s="172" t="s">
        <v>129</v>
      </c>
      <c r="C48" s="173" t="s">
        <v>135</v>
      </c>
      <c r="D48" s="174" t="s">
        <v>131</v>
      </c>
      <c r="E48" s="173" t="s">
        <v>132</v>
      </c>
      <c r="F48" s="173" t="s">
        <v>133</v>
      </c>
      <c r="G48" s="173" t="s">
        <v>134</v>
      </c>
      <c r="I48" s="172" t="s">
        <v>129</v>
      </c>
      <c r="J48" s="173" t="s">
        <v>135</v>
      </c>
      <c r="K48" s="174" t="s">
        <v>131</v>
      </c>
      <c r="L48" s="173" t="s">
        <v>132</v>
      </c>
      <c r="M48" s="173" t="s">
        <v>133</v>
      </c>
      <c r="N48" s="173" t="s">
        <v>134</v>
      </c>
      <c r="P48" s="172" t="s">
        <v>129</v>
      </c>
      <c r="Q48" s="173" t="s">
        <v>135</v>
      </c>
      <c r="R48" s="174" t="s">
        <v>131</v>
      </c>
      <c r="S48" s="173" t="s">
        <v>132</v>
      </c>
      <c r="T48" s="173" t="s">
        <v>133</v>
      </c>
      <c r="U48" s="173" t="s">
        <v>134</v>
      </c>
      <c r="W48" s="172" t="s">
        <v>129</v>
      </c>
      <c r="X48" s="173" t="s">
        <v>135</v>
      </c>
      <c r="Y48" s="174" t="s">
        <v>131</v>
      </c>
      <c r="Z48" s="173" t="s">
        <v>132</v>
      </c>
      <c r="AA48" s="173" t="s">
        <v>133</v>
      </c>
      <c r="AB48" s="173" t="s">
        <v>134</v>
      </c>
      <c r="AD48" s="172" t="s">
        <v>129</v>
      </c>
      <c r="AE48" s="173" t="s">
        <v>135</v>
      </c>
      <c r="AF48" s="174" t="s">
        <v>131</v>
      </c>
      <c r="AG48" s="173" t="s">
        <v>132</v>
      </c>
      <c r="AH48" s="173" t="s">
        <v>133</v>
      </c>
      <c r="AI48" s="173" t="s">
        <v>134</v>
      </c>
      <c r="AK48" s="172" t="s">
        <v>129</v>
      </c>
      <c r="AL48" s="173" t="s">
        <v>135</v>
      </c>
      <c r="AM48" s="174" t="s">
        <v>131</v>
      </c>
      <c r="AN48" s="173" t="s">
        <v>132</v>
      </c>
      <c r="AO48" s="173" t="s">
        <v>133</v>
      </c>
      <c r="AP48" s="173" t="s">
        <v>134</v>
      </c>
      <c r="AR48" s="172" t="s">
        <v>129</v>
      </c>
      <c r="AS48" s="173" t="s">
        <v>135</v>
      </c>
      <c r="AT48" s="174" t="s">
        <v>131</v>
      </c>
      <c r="AU48" s="173" t="s">
        <v>132</v>
      </c>
      <c r="AV48" s="173" t="s">
        <v>133</v>
      </c>
      <c r="AW48" s="173" t="s">
        <v>134</v>
      </c>
      <c r="AY48" s="172" t="s">
        <v>129</v>
      </c>
      <c r="AZ48" s="173" t="s">
        <v>135</v>
      </c>
      <c r="BA48" s="174" t="s">
        <v>131</v>
      </c>
      <c r="BB48" s="173" t="s">
        <v>132</v>
      </c>
      <c r="BC48" s="173" t="s">
        <v>133</v>
      </c>
      <c r="BD48" s="173" t="s">
        <v>134</v>
      </c>
      <c r="BF48" s="172" t="s">
        <v>129</v>
      </c>
      <c r="BG48" s="173" t="s">
        <v>135</v>
      </c>
      <c r="BH48" s="174" t="s">
        <v>131</v>
      </c>
      <c r="BI48" s="173" t="s">
        <v>132</v>
      </c>
      <c r="BJ48" s="173" t="s">
        <v>133</v>
      </c>
      <c r="BK48" s="173" t="s">
        <v>134</v>
      </c>
      <c r="BM48" s="172" t="s">
        <v>129</v>
      </c>
      <c r="BN48" s="173" t="s">
        <v>135</v>
      </c>
      <c r="BO48" s="174" t="s">
        <v>131</v>
      </c>
      <c r="BP48" s="173" t="s">
        <v>132</v>
      </c>
      <c r="BQ48" s="173" t="s">
        <v>133</v>
      </c>
      <c r="BR48" s="173" t="s">
        <v>134</v>
      </c>
      <c r="BT48" s="175" t="s">
        <v>190</v>
      </c>
      <c r="BU48" s="176" t="str">
        <f>IF(ISERROR($BW48/BX48),"-",$BW48/BX48)</f>
        <v>-</v>
      </c>
      <c r="BV48" s="176" t="str">
        <f>IF(ISERROR($BW48/BY48),"-",$BW48/BY48)</f>
        <v>-</v>
      </c>
      <c r="BW48" s="175">
        <f>('假日(16-20)'!$T$211+'假日(16-20)'!$T$230+'假日(16-20)'!$T$249+'假日(16-20)'!$T$268)*15</f>
        <v>0</v>
      </c>
      <c r="BX48" s="175">
        <f>'假日(16-20)'!$X$211+'假日(16-20)'!$X$230+'假日(16-20)'!$X$249+'假日(16-20)'!$X$268</f>
        <v>0</v>
      </c>
      <c r="BY48" s="175">
        <f>'假日(16-20)'!$Z$211+'假日(16-20)'!$Z$230+'假日(16-20)'!$Z$249+'假日(16-20)'!$Z$268</f>
        <v>0</v>
      </c>
    </row>
    <row r="49" spans="2:77">
      <c r="B49" s="175" t="s">
        <v>193</v>
      </c>
      <c r="C49" s="176" t="str">
        <f t="shared" ref="C49:D53" si="46">IF(ISERROR($E49/F49),"-",$E49/F49)</f>
        <v>-</v>
      </c>
      <c r="D49" s="176" t="str">
        <f t="shared" si="46"/>
        <v>-</v>
      </c>
      <c r="E49" s="175">
        <f>('平日晨峰(0630-0830)'!$AU$21+'平日晨峰(0630-0830)'!$AU$40+'平日晨峰(0630-0830)'!$AU$59+'平日晨峰(0630-0830)'!$AU$78)*15</f>
        <v>0</v>
      </c>
      <c r="F49" s="175">
        <f>'平日晨峰(0630-0830)'!$AY$21+'平日晨峰(0630-0830)'!$AY$40+'平日晨峰(0630-0830)'!$AY$59+'平日晨峰(0630-0830)'!$AY$78</f>
        <v>0</v>
      </c>
      <c r="G49" s="175">
        <f>'平日晨峰(0630-0830)'!$BA$21+'平日晨峰(0630-0830)'!$BA$40+'平日晨峰(0630-0830)'!$BA$59+'平日晨峰(0630-0830)'!$BA$78</f>
        <v>0</v>
      </c>
      <c r="I49" s="175" t="str">
        <f>$I$4</f>
        <v>07:00~08:00</v>
      </c>
      <c r="J49" s="176" t="str">
        <f t="shared" ref="J49:K53" si="47">IF(ISERROR($L49/M49),"-",$L49/M49)</f>
        <v>-</v>
      </c>
      <c r="K49" s="176" t="str">
        <f t="shared" si="47"/>
        <v>-</v>
      </c>
      <c r="L49" s="175">
        <f>('平日晨峰(07-09)'!$AU$21+'平日晨峰(07-09)'!$AU$40+'平日晨峰(07-09)'!$AU$59+'平日晨峰(07-09)'!$AU$78)*15</f>
        <v>0</v>
      </c>
      <c r="M49" s="175">
        <f>'平日晨峰(07-09)'!$AY$21+'平日晨峰(07-09)'!$AY$40+'平日晨峰(07-09)'!$AY$59+'平日晨峰(07-09)'!$AY$78</f>
        <v>0</v>
      </c>
      <c r="N49" s="175">
        <f>'平日晨峰(07-09)'!$BA$21+'平日晨峰(07-09)'!$BA$40+'平日晨峰(07-09)'!$BA$59+'平日晨峰(07-09)'!$BA$78</f>
        <v>0</v>
      </c>
      <c r="P49" s="175" t="str">
        <f>P40</f>
        <v>11:00~12:00</v>
      </c>
      <c r="Q49" s="176" t="str">
        <f>IF(ISERROR($S49/T49),"-",$S49/T49)</f>
        <v>-</v>
      </c>
      <c r="R49" s="176" t="str">
        <f>IF(ISERROR($T49/U49),"-",$T49/U49)</f>
        <v>-</v>
      </c>
      <c r="S49" s="175">
        <f>('平日中午(11-13)'!$AU$21+'平日中午(11-13)'!$AU$40+'平日中午(11-13)'!$AU$59+'平日中午(11-13)'!$AU$78)*15</f>
        <v>0</v>
      </c>
      <c r="T49" s="175">
        <f>'平日中午(11-13)'!$AY$21+'平日中午(11-13)'!$AY$40+'平日中午(11-13)'!$AY$59+'平日中午(11-13)'!$AY$78</f>
        <v>0</v>
      </c>
      <c r="U49" s="175">
        <f>'平日中午(11-13)'!$BA$21+'平日中午(11-13)'!$BA$40+'平日中午(11-13)'!$BA$59+'平日中午(11-13)'!$BA$78</f>
        <v>0</v>
      </c>
      <c r="W49" s="175" t="str">
        <f>W40</f>
        <v>1200~13:00</v>
      </c>
      <c r="X49" s="176" t="str">
        <f t="shared" ref="X49:Y53" si="48">IF(ISERROR($Z49/AA49),"-",$Z49/AA49)</f>
        <v>-</v>
      </c>
      <c r="Y49" s="176" t="str">
        <f t="shared" si="48"/>
        <v>-</v>
      </c>
      <c r="Z49" s="175">
        <f>('平日中午(12-14)'!$AU$21+'平日中午(12-14)'!$AU$40+'平日中午(12-14)'!$AU$59+'平日中午(12-14)'!$AU$78)*15</f>
        <v>0</v>
      </c>
      <c r="AA49" s="175">
        <f>'平日中午(12-14)'!$AY$21+'平日中午(12-14)'!$AY$40+'平日中午(12-14)'!$AY$59+'平日中午(12-14)'!$AY$78</f>
        <v>0</v>
      </c>
      <c r="AB49" s="175">
        <f>'平日中午(12-14)'!$BA$21+'平日中午(12-14)'!$BA$40+'平日中午(12-14)'!$BA$59+'平日中午(12-14)'!$BA$78</f>
        <v>0</v>
      </c>
      <c r="AD49" s="175" t="str">
        <f>$AD$4</f>
        <v>17:00~18:00</v>
      </c>
      <c r="AE49" s="176" t="str">
        <f t="shared" ref="AE49:AF53" si="49">IF(ISERROR($AG49/AH49),"-",$AG49/AH49)</f>
        <v>-</v>
      </c>
      <c r="AF49" s="176" t="str">
        <f t="shared" si="49"/>
        <v>-</v>
      </c>
      <c r="AG49" s="175">
        <f>('平日昏峰(17-19)'!$AU$21+'平日昏峰(17-19)'!$AU$40+'平日昏峰(17-19)'!$AU$59+'平日昏峰(17-19)'!$AU$78)*15</f>
        <v>0</v>
      </c>
      <c r="AH49" s="175">
        <f>'平日昏峰(17-19)'!$AY$21+'平日昏峰(17-19)'!$AY$40+'平日昏峰(17-19)'!$AY$59+'平日昏峰(17-19)'!$AY$78</f>
        <v>0</v>
      </c>
      <c r="AI49" s="175">
        <f>'平日昏峰(17-19)'!$BA$21+'平日昏峰(17-19)'!$BA$40+'平日昏峰(17-19)'!$BA$59+'平日昏峰(17-19)'!$BA$78</f>
        <v>0</v>
      </c>
      <c r="AK49" s="175" t="str">
        <f>$AK$4</f>
        <v>11:00~12:00</v>
      </c>
      <c r="AL49" s="176" t="str">
        <f t="shared" ref="AL49:AM53" si="50">IF(ISERROR($AN49/AO49),"-",$AN49/AO49)</f>
        <v>-</v>
      </c>
      <c r="AM49" s="176" t="str">
        <f t="shared" si="50"/>
        <v>-</v>
      </c>
      <c r="AN49" s="175">
        <f>('假日(11-12)'!$AU$21+'假日(11-12)'!$AU$40+'假日(11-12)'!$AU$59+'假日(11-12)'!$AU$78)*15</f>
        <v>0</v>
      </c>
      <c r="AO49" s="175">
        <f>'假日(11-12)'!$AY$21+'假日(11-12)'!$AY$40+'假日(11-12)'!$AY$59+'假日(11-12)'!$AY$78</f>
        <v>0</v>
      </c>
      <c r="AP49" s="175">
        <f>'假日(11-12)'!$BA$21+'假日(11-12)'!$BA$40+'假日(11-12)'!$BA$59+'假日(11-12)'!$BA$78</f>
        <v>0</v>
      </c>
      <c r="AR49" s="175" t="str">
        <f>$AR$4</f>
        <v>14:30~15:30</v>
      </c>
      <c r="AS49" s="176" t="str">
        <f t="shared" ref="AS49:AT53" si="51">IF(ISERROR($AU49/AV49),"-",$AU49/AV49)</f>
        <v>-</v>
      </c>
      <c r="AT49" s="176" t="str">
        <f t="shared" si="51"/>
        <v>-</v>
      </c>
      <c r="AU49" s="175">
        <f>('假日(1430-1530)'!$AU$21+'假日(1430-1530)'!$AU$40+'假日(1430-1530)'!$AU$59+'假日(1430-1530)'!$AU$78)*15</f>
        <v>0</v>
      </c>
      <c r="AV49" s="175">
        <f>'假日(1430-1530)'!$AY$21+'假日(1430-1530)'!$AY$40+'假日(1430-1530)'!$AY$59+'假日(1430-1530)'!$AY$78</f>
        <v>0</v>
      </c>
      <c r="AW49" s="175">
        <f>'假日(1430-1530)'!$BA$21+'假日(1430-1530)'!$BA$40+'假日(1430-1530)'!$BA$59+'假日(1430-1530)'!$BA$78</f>
        <v>0</v>
      </c>
      <c r="AY49" s="175" t="str">
        <f>AY40</f>
        <v>17:30~18:30</v>
      </c>
      <c r="AZ49" s="176" t="str">
        <f t="shared" ref="AZ49:BA53" si="52">IF(ISERROR($BB49/BC49),"-",$BB49/BC49)</f>
        <v>-</v>
      </c>
      <c r="BA49" s="176" t="str">
        <f t="shared" si="52"/>
        <v>-</v>
      </c>
      <c r="BB49" s="175">
        <f>('假日(1730-1830)'!$AU$21+'假日(1730-1830)'!$AU$40+'假日(1730-1830)'!$AU$59+'假日(1730-1830)'!$AU$78)*15</f>
        <v>0</v>
      </c>
      <c r="BC49" s="175">
        <f>'假日(1730-1830)'!$AY$21+'假日(1730-1830)'!$AY$40+'假日(1730-1830)'!$AY$59+'假日(1730-1830)'!$AY$78</f>
        <v>0</v>
      </c>
      <c r="BD49" s="175">
        <f>'假日(1730-1830)'!$BA$21+'假日(1730-1830)'!$BA$40+'假日(1730-1830)'!$BA$59+'假日(1730-1830)'!$BA$78</f>
        <v>0</v>
      </c>
      <c r="BF49" s="175" t="str">
        <f>BF40</f>
        <v>16:00~17:00</v>
      </c>
      <c r="BG49" s="176" t="str">
        <f t="shared" ref="BG49:BH53" si="53">IF(ISERROR($BI49/BJ49),"-",$BI49/BJ49)</f>
        <v>-</v>
      </c>
      <c r="BH49" s="176" t="str">
        <f t="shared" si="53"/>
        <v>-</v>
      </c>
      <c r="BI49" s="175">
        <f>('假日(16-18)'!$AU$21+'假日(16-18)'!$AU$40+'假日(16-18)'!$AU$59+'假日(16-18)'!$AU$78)*15</f>
        <v>0</v>
      </c>
      <c r="BJ49" s="175">
        <f>'假日(16-18)'!$AY$21+'假日(16-18)'!$AY$40+'假日(16-18)'!$AY$59+'假日(16-18)'!$AY$78</f>
        <v>0</v>
      </c>
      <c r="BK49" s="175">
        <f>'假日(16-18)'!$BA$21+'假日(16-18)'!$BA$40+'假日(16-18)'!$BA$59+'假日(16-18)'!$BA$78</f>
        <v>0</v>
      </c>
      <c r="BM49" s="175" t="str">
        <f>BM40</f>
        <v>17:00~18:00</v>
      </c>
      <c r="BN49" s="176" t="str">
        <f t="shared" ref="BN49:BO52" si="54">IF(ISERROR($BP49/BQ49),"-",$BP49/BQ49)</f>
        <v>-</v>
      </c>
      <c r="BO49" s="176" t="str">
        <f t="shared" si="54"/>
        <v>-</v>
      </c>
      <c r="BP49" s="175">
        <f>('假日(17-19)'!$AU$21+'假日(17-19)'!$AU$40+'假日(17-19)'!$AU$59+'假日(17-19)'!$AU$78)*15</f>
        <v>0</v>
      </c>
      <c r="BQ49" s="175">
        <f>'假日(17-19)'!$AY$21+'假日(17-19)'!$AY$40+'假日(17-19)'!$AY$59+'假日(17-19)'!$AY$78</f>
        <v>0</v>
      </c>
      <c r="BR49" s="175">
        <f>'假日(17-19)'!$BA$21+'假日(17-19)'!$BA$40+'假日(17-19)'!$BA$59+'假日(17-19)'!$BA$78</f>
        <v>0</v>
      </c>
      <c r="BT49" s="175" t="s">
        <v>191</v>
      </c>
      <c r="BU49" s="176" t="str">
        <f>IF(ISERROR($BW49/BX49),"-",$BW49/BX49)</f>
        <v>-</v>
      </c>
      <c r="BV49" s="176" t="str">
        <f>IF(ISERROR($BW49/BY49),"-",$BW49/BY49)</f>
        <v>-</v>
      </c>
      <c r="BW49" s="175">
        <f>('假日(16-20)'!$T$230+'假日(16-20)'!$T$249+'假日(16-20)'!$T$268+'假日(16-20)'!$T$287)*15</f>
        <v>0</v>
      </c>
      <c r="BX49" s="175">
        <f>'假日(16-20)'!$X$230+'假日(16-20)'!$X$249+'假日(16-20)'!$X$268+'假日(16-20)'!$X$287</f>
        <v>0</v>
      </c>
      <c r="BY49" s="175">
        <f>'假日(16-20)'!$Z$230+'假日(16-20)'!$Z$249+'假日(16-20)'!$Z$268+'假日(16-20)'!$Z$287</f>
        <v>0</v>
      </c>
    </row>
    <row r="50" spans="2:77">
      <c r="B50" s="175" t="s">
        <v>194</v>
      </c>
      <c r="C50" s="176" t="str">
        <f t="shared" si="46"/>
        <v>-</v>
      </c>
      <c r="D50" s="176" t="str">
        <f t="shared" si="46"/>
        <v>-</v>
      </c>
      <c r="E50" s="175">
        <f>('平日晨峰(0630-0830)'!$AU$40+'平日晨峰(0630-0830)'!$AU$59+'平日晨峰(0630-0830)'!$AU$78+'平日晨峰(0630-0830)'!$AU$97)*15</f>
        <v>0</v>
      </c>
      <c r="F50" s="175">
        <f>'平日晨峰(0630-0830)'!$AY$40+'平日晨峰(0630-0830)'!$AY$59+'平日晨峰(0630-0830)'!$AY$78+'平日晨峰(0630-0830)'!$AY$97</f>
        <v>0</v>
      </c>
      <c r="G50" s="175">
        <f>'平日晨峰(0630-0830)'!$BA$40+'平日晨峰(0630-0830)'!$BA$59+'平日晨峰(0630-0830)'!$BA$78+'平日晨峰(0630-0830)'!$BA$97</f>
        <v>0</v>
      </c>
      <c r="I50" s="175" t="str">
        <f>$I$5</f>
        <v>07:15~08:15</v>
      </c>
      <c r="J50" s="176" t="str">
        <f t="shared" si="47"/>
        <v>-</v>
      </c>
      <c r="K50" s="176" t="str">
        <f t="shared" si="47"/>
        <v>-</v>
      </c>
      <c r="L50" s="175">
        <f>('平日晨峰(07-09)'!$AU$40+'平日晨峰(07-09)'!$AU$59+'平日晨峰(07-09)'!$AU$78+'平日晨峰(07-09)'!$AU$97)*15</f>
        <v>0</v>
      </c>
      <c r="M50" s="175">
        <f>'平日晨峰(07-09)'!$AY$40+'平日晨峰(07-09)'!$AY$59+'平日晨峰(07-09)'!$AY$78+'平日晨峰(07-09)'!$AY$97</f>
        <v>0</v>
      </c>
      <c r="N50" s="175">
        <f>'平日晨峰(07-09)'!$BA$40+'平日晨峰(07-09)'!$BA$59+'平日晨峰(07-09)'!$BA$78+'平日晨峰(07-09)'!$BA$97</f>
        <v>0</v>
      </c>
      <c r="P50" s="175" t="str">
        <f>P41</f>
        <v>11:15~12:15</v>
      </c>
      <c r="Q50" s="176" t="str">
        <f>IF(ISERROR($S50/T50),"-",$S50/T50)</f>
        <v>-</v>
      </c>
      <c r="R50" s="176" t="str">
        <f>IF(ISERROR($T50/U50),"-",$T50/U50)</f>
        <v>-</v>
      </c>
      <c r="S50" s="175">
        <f>('平日中午(11-13)'!$AU$40+'平日中午(11-13)'!$AU$59+'平日中午(11-13)'!$AU$78+'平日中午(11-13)'!$AU$97)*15</f>
        <v>0</v>
      </c>
      <c r="T50" s="175">
        <f>'平日中午(11-13)'!$AY$40+'平日中午(11-13)'!$AY$59+'平日中午(11-13)'!$AY$78+'平日中午(11-13)'!$AY$97</f>
        <v>0</v>
      </c>
      <c r="U50" s="175">
        <f>'平日中午(11-13)'!$BA$40+'平日中午(11-13)'!$BA$59+'平日中午(11-13)'!$BA$78+'平日中午(11-13)'!$BA$97</f>
        <v>0</v>
      </c>
      <c r="W50" s="175" t="str">
        <f>W41</f>
        <v>12:15~13:15</v>
      </c>
      <c r="X50" s="176" t="str">
        <f t="shared" si="48"/>
        <v>-</v>
      </c>
      <c r="Y50" s="176" t="str">
        <f t="shared" si="48"/>
        <v>-</v>
      </c>
      <c r="Z50" s="175">
        <f>('平日中午(12-14)'!$AU$40+'平日中午(12-14)'!$AU$59+'平日中午(12-14)'!$AU$78+'平日中午(12-14)'!$AU$97)*15</f>
        <v>0</v>
      </c>
      <c r="AA50" s="175">
        <f>'平日中午(12-14)'!$AY$40+'平日中午(12-14)'!$AY$59+'平日中午(12-14)'!$AY$78+'平日中午(12-14)'!$AY$97</f>
        <v>0</v>
      </c>
      <c r="AB50" s="175">
        <f>'平日中午(12-14)'!$BA$40+'平日中午(12-14)'!$BA$59+'平日中午(12-14)'!$BA$78+'平日中午(12-14)'!$BA$97</f>
        <v>0</v>
      </c>
      <c r="AD50" s="175" t="str">
        <f>$AD$5</f>
        <v>17:15~18:15</v>
      </c>
      <c r="AE50" s="176" t="str">
        <f t="shared" si="49"/>
        <v>-</v>
      </c>
      <c r="AF50" s="176" t="str">
        <f t="shared" si="49"/>
        <v>-</v>
      </c>
      <c r="AG50" s="175">
        <f>('平日昏峰(17-19)'!$AU$40+'平日昏峰(17-19)'!$AU$59+'平日昏峰(17-19)'!$AU$78+'平日昏峰(17-19)'!$AU$97)*15</f>
        <v>0</v>
      </c>
      <c r="AH50" s="175">
        <f>'平日昏峰(17-19)'!$AY$40+'平日昏峰(17-19)'!$AY$59+'平日昏峰(17-19)'!$AY$78+'平日昏峰(17-19)'!$AY$97</f>
        <v>0</v>
      </c>
      <c r="AI50" s="175">
        <f>'平日昏峰(17-19)'!$BA$40+'平日昏峰(17-19)'!$BA$59+'平日昏峰(17-19)'!$BA$78+'平日昏峰(17-19)'!$BA$97</f>
        <v>0</v>
      </c>
      <c r="AK50" s="175">
        <f>$AK$5</f>
        <v>0</v>
      </c>
      <c r="AL50" s="176" t="str">
        <f t="shared" si="50"/>
        <v>-</v>
      </c>
      <c r="AM50" s="176" t="str">
        <f t="shared" si="50"/>
        <v>-</v>
      </c>
      <c r="AN50" s="175"/>
      <c r="AO50" s="175"/>
      <c r="AP50" s="175"/>
      <c r="AR50" s="175">
        <f>$AR$5</f>
        <v>0</v>
      </c>
      <c r="AS50" s="176" t="str">
        <f t="shared" si="51"/>
        <v>-</v>
      </c>
      <c r="AT50" s="176" t="str">
        <f t="shared" si="51"/>
        <v>-</v>
      </c>
      <c r="AU50" s="175"/>
      <c r="AV50" s="175"/>
      <c r="AW50" s="175"/>
      <c r="AY50" s="175">
        <f>AY41</f>
        <v>0</v>
      </c>
      <c r="AZ50" s="176" t="str">
        <f t="shared" si="52"/>
        <v>-</v>
      </c>
      <c r="BA50" s="176" t="str">
        <f t="shared" si="52"/>
        <v>-</v>
      </c>
      <c r="BB50" s="175"/>
      <c r="BC50" s="175"/>
      <c r="BD50" s="175"/>
      <c r="BF50" s="175" t="str">
        <f>BF41</f>
        <v>16:15~17:15</v>
      </c>
      <c r="BG50" s="176" t="str">
        <f t="shared" si="53"/>
        <v>-</v>
      </c>
      <c r="BH50" s="176" t="str">
        <f t="shared" si="53"/>
        <v>-</v>
      </c>
      <c r="BI50" s="175">
        <f>('假日(16-18)'!$AU$40+'假日(16-18)'!$AU$59+'假日(16-18)'!$AU$78+'假日(16-18)'!$AU$97)*15</f>
        <v>0</v>
      </c>
      <c r="BJ50" s="175">
        <f>'假日(16-18)'!$AY$40+'假日(16-18)'!$AY$59+'假日(16-18)'!$AY$78+'假日(16-18)'!$AY$97</f>
        <v>0</v>
      </c>
      <c r="BK50" s="175">
        <f>'假日(16-18)'!$BA$40+'假日(16-18)'!$BA$59+'假日(16-18)'!$BA$78+'假日(16-18)'!$BA$97</f>
        <v>0</v>
      </c>
      <c r="BM50" s="175" t="str">
        <f>BM41</f>
        <v>17:15~18:15</v>
      </c>
      <c r="BN50" s="176" t="str">
        <f t="shared" si="54"/>
        <v>-</v>
      </c>
      <c r="BO50" s="176" t="str">
        <f t="shared" si="54"/>
        <v>-</v>
      </c>
      <c r="BP50" s="175">
        <f>('假日(17-19)'!$AU$40+'假日(17-19)'!$AU$59+'假日(17-19)'!$AU$78+'假日(17-19)'!$AU$97)*15</f>
        <v>0</v>
      </c>
      <c r="BQ50" s="175">
        <f>'假日(17-19)'!$AY$40+'假日(17-19)'!$AY$59+'假日(17-19)'!$AY$78+'假日(17-19)'!$AY$97</f>
        <v>0</v>
      </c>
      <c r="BR50" s="175">
        <f>'假日(17-19)'!$BA$40+'假日(17-19)'!$BA$59+'假日(17-19)'!$BA$78+'假日(17-19)'!$BA$97</f>
        <v>0</v>
      </c>
      <c r="BT50" s="175" t="s">
        <v>192</v>
      </c>
      <c r="BU50" s="176" t="str">
        <f>IF(ISERROR($BW50/BX50),"-",$BW50/BX50)</f>
        <v>-</v>
      </c>
      <c r="BV50" s="176" t="str">
        <f>IF(ISERROR($BW50/BY50),"-",$BW50/BY50)</f>
        <v>-</v>
      </c>
      <c r="BW50" s="175">
        <f>('假日(16-20)'!$T$249+'假日(16-20)'!$T$268+'假日(16-20)'!$T$287+'假日(16-20)'!$T$306)*15</f>
        <v>0</v>
      </c>
      <c r="BX50" s="175">
        <f>'假日(16-20)'!$X$249+'假日(16-20)'!$X$268+'假日(16-20)'!$X$287+'假日(16-20)'!$X$306</f>
        <v>0</v>
      </c>
      <c r="BY50" s="175">
        <f>'假日(16-20)'!$Z$249+'假日(16-20)'!$Z$268+'假日(16-20)'!$Z$287+'假日(16-20)'!$Z$306</f>
        <v>0</v>
      </c>
    </row>
    <row r="51" spans="2:77">
      <c r="B51" s="175" t="s">
        <v>195</v>
      </c>
      <c r="C51" s="176" t="str">
        <f t="shared" si="46"/>
        <v>-</v>
      </c>
      <c r="D51" s="176" t="str">
        <f t="shared" si="46"/>
        <v>-</v>
      </c>
      <c r="E51" s="175">
        <f>('平日晨峰(0630-0830)'!$AU$59+'平日晨峰(0630-0830)'!$AU$78+'平日晨峰(0630-0830)'!$AU$97+'平日晨峰(0630-0830)'!$AU$116)*15</f>
        <v>0</v>
      </c>
      <c r="F51" s="175">
        <f>'平日晨峰(0630-0830)'!$AY$59+'平日晨峰(0630-0830)'!$AY$78+'平日晨峰(0630-0830)'!$AY$97+'平日晨峰(0630-0830)'!$AY$116</f>
        <v>0</v>
      </c>
      <c r="G51" s="175">
        <f>'平日晨峰(0630-0830)'!$BA$59+'平日晨峰(0630-0830)'!$BA$78+'平日晨峰(0630-0830)'!$BA$97+'平日晨峰(0630-0830)'!$BA$116</f>
        <v>0</v>
      </c>
      <c r="I51" s="175" t="str">
        <f>$I$6</f>
        <v>07:30~08:30</v>
      </c>
      <c r="J51" s="176" t="str">
        <f t="shared" si="47"/>
        <v>-</v>
      </c>
      <c r="K51" s="176" t="str">
        <f t="shared" si="47"/>
        <v>-</v>
      </c>
      <c r="L51" s="175">
        <f>('平日晨峰(07-09)'!$AU$59+'平日晨峰(07-09)'!$AU$78+'平日晨峰(07-09)'!$AU$97+'平日晨峰(07-09)'!$AU$116)*15</f>
        <v>0</v>
      </c>
      <c r="M51" s="175">
        <f>'平日晨峰(07-09)'!$AY$59+'平日晨峰(07-09)'!$AY$78+'平日晨峰(07-09)'!$AY$97+'平日晨峰(07-09)'!$AY$116</f>
        <v>0</v>
      </c>
      <c r="N51" s="175">
        <f>'平日晨峰(07-09)'!$BA$59+'平日晨峰(07-09)'!$BA$78+'平日晨峰(07-09)'!$BA$97+'平日晨峰(07-09)'!$BA$116</f>
        <v>0</v>
      </c>
      <c r="P51" s="175" t="str">
        <f>P42</f>
        <v>11:30~12:30</v>
      </c>
      <c r="Q51" s="176" t="str">
        <f>IF(ISERROR($S51/T51),"-",$S51/T51)</f>
        <v>-</v>
      </c>
      <c r="R51" s="176" t="str">
        <f>IF(ISERROR($T51/U51),"-",$T51/U51)</f>
        <v>-</v>
      </c>
      <c r="S51" s="175">
        <f>('平日中午(11-13)'!$AU$59+'平日中午(11-13)'!$AU$78+'平日中午(11-13)'!$AU$97+'平日中午(11-13)'!$AU$116)*15</f>
        <v>0</v>
      </c>
      <c r="T51" s="175">
        <f>'平日中午(11-13)'!$AY$59+'平日中午(11-13)'!$AY$78+'平日中午(11-13)'!$AY$97+'平日中午(11-13)'!$AY$116</f>
        <v>0</v>
      </c>
      <c r="U51" s="175">
        <f>'平日中午(11-13)'!$BA$59+'平日中午(11-13)'!$BA$78+'平日中午(11-13)'!$BA$97+'平日中午(11-13)'!$BA$116</f>
        <v>0</v>
      </c>
      <c r="W51" s="175" t="str">
        <f>W42</f>
        <v>12:30~13:30</v>
      </c>
      <c r="X51" s="176" t="str">
        <f t="shared" si="48"/>
        <v>-</v>
      </c>
      <c r="Y51" s="176" t="str">
        <f t="shared" si="48"/>
        <v>-</v>
      </c>
      <c r="Z51" s="175">
        <f>('平日中午(12-14)'!$AU$59+'平日中午(12-14)'!$AU$78+'平日中午(12-14)'!$AU$97+'平日中午(12-14)'!$AU$116)*15</f>
        <v>0</v>
      </c>
      <c r="AA51" s="175">
        <f>'平日中午(12-14)'!$AY$59+'平日中午(12-14)'!$AY$78+'平日中午(12-14)'!$AY$97+'平日中午(12-14)'!$AY$116</f>
        <v>0</v>
      </c>
      <c r="AB51" s="175">
        <f>'平日中午(12-14)'!$BA$59+'平日中午(12-14)'!$BA$78+'平日中午(12-14)'!$BA$97+'平日中午(12-14)'!$BA$116</f>
        <v>0</v>
      </c>
      <c r="AD51" s="175" t="str">
        <f>$AD$6</f>
        <v>17:30~18:30</v>
      </c>
      <c r="AE51" s="176" t="str">
        <f t="shared" si="49"/>
        <v>-</v>
      </c>
      <c r="AF51" s="176" t="str">
        <f t="shared" si="49"/>
        <v>-</v>
      </c>
      <c r="AG51" s="175">
        <f>('平日昏峰(17-19)'!$AU$59+'平日昏峰(17-19)'!$AU$78+'平日昏峰(17-19)'!$AU$97+'平日昏峰(17-19)'!$AU$116)*15</f>
        <v>0</v>
      </c>
      <c r="AH51" s="175">
        <f>'平日昏峰(17-19)'!$AY$59+'平日昏峰(17-19)'!$AY$78+'平日昏峰(17-19)'!$AY$97+'平日昏峰(17-19)'!$AY$116</f>
        <v>0</v>
      </c>
      <c r="AI51" s="175">
        <f>'平日昏峰(17-19)'!$BA$59+'平日昏峰(17-19)'!$BA$78+'平日昏峰(17-19)'!$BA$97+'平日昏峰(17-19)'!$BA$116</f>
        <v>0</v>
      </c>
      <c r="AK51" s="175">
        <f>$AK$6</f>
        <v>0</v>
      </c>
      <c r="AL51" s="176" t="str">
        <f t="shared" si="50"/>
        <v>-</v>
      </c>
      <c r="AM51" s="176" t="str">
        <f t="shared" si="50"/>
        <v>-</v>
      </c>
      <c r="AN51" s="175"/>
      <c r="AO51" s="175"/>
      <c r="AP51" s="175"/>
      <c r="AR51" s="175">
        <f>$AR$6</f>
        <v>0</v>
      </c>
      <c r="AS51" s="176" t="str">
        <f t="shared" si="51"/>
        <v>-</v>
      </c>
      <c r="AT51" s="176" t="str">
        <f t="shared" si="51"/>
        <v>-</v>
      </c>
      <c r="AU51" s="175"/>
      <c r="AV51" s="175"/>
      <c r="AW51" s="175"/>
      <c r="AY51" s="175">
        <f>AY42</f>
        <v>0</v>
      </c>
      <c r="AZ51" s="176" t="str">
        <f t="shared" si="52"/>
        <v>-</v>
      </c>
      <c r="BA51" s="176" t="str">
        <f t="shared" si="52"/>
        <v>-</v>
      </c>
      <c r="BB51" s="175"/>
      <c r="BC51" s="175"/>
      <c r="BD51" s="175"/>
      <c r="BF51" s="175" t="str">
        <f>BF42</f>
        <v>16:30~17:30</v>
      </c>
      <c r="BG51" s="176" t="str">
        <f t="shared" si="53"/>
        <v>-</v>
      </c>
      <c r="BH51" s="176" t="str">
        <f t="shared" si="53"/>
        <v>-</v>
      </c>
      <c r="BI51" s="175">
        <f>('假日(16-18)'!$AU$59+'假日(16-18)'!$AU$78+'假日(16-18)'!$AU$97+'假日(16-18)'!$AU$116)*15</f>
        <v>0</v>
      </c>
      <c r="BJ51" s="175">
        <f>'假日(16-18)'!$AY$59+'假日(16-18)'!$AY$78+'假日(16-18)'!$AY$97+'假日(16-18)'!$AY$116</f>
        <v>0</v>
      </c>
      <c r="BK51" s="175">
        <f>'假日(16-18)'!$BA$59+'假日(16-18)'!$BA$78+'假日(16-18)'!$BA$97+'假日(16-18)'!$BA$116</f>
        <v>0</v>
      </c>
      <c r="BM51" s="175" t="str">
        <f>BM42</f>
        <v>17:30~18:30</v>
      </c>
      <c r="BN51" s="176" t="str">
        <f t="shared" si="54"/>
        <v>-</v>
      </c>
      <c r="BO51" s="176" t="str">
        <f t="shared" si="54"/>
        <v>-</v>
      </c>
      <c r="BP51" s="175">
        <f>('假日(17-19)'!$AU$59+'假日(17-19)'!$AU$78+'假日(17-19)'!$AU$97+'假日(17-19)'!$AU$116)*15</f>
        <v>0</v>
      </c>
      <c r="BQ51" s="175">
        <f>'假日(17-19)'!$AY$59+'假日(17-19)'!$AY$78+'假日(17-19)'!$AY$97+'假日(17-19)'!$AY$116</f>
        <v>0</v>
      </c>
      <c r="BR51" s="175">
        <f>'假日(17-19)'!$BA$59+'假日(17-19)'!$BA$78+'假日(17-19)'!$BA$97+'假日(17-19)'!$BA$116</f>
        <v>0</v>
      </c>
      <c r="BT51" s="172" t="str">
        <f>CONCATENATE(基本資料!$D$18,"方向","平均延滯")</f>
        <v>C方向平均延滯</v>
      </c>
      <c r="BU51" s="177" t="str">
        <f>IF(ISERROR(VLOOKUP($BX$119,BT38:BU50,2,1)),"-",VLOOKUP($BX$119,BT38:BU50,2,1))</f>
        <v>-</v>
      </c>
      <c r="BV51" s="177"/>
      <c r="BW51" s="172"/>
      <c r="BX51" s="172"/>
      <c r="BY51" s="172"/>
    </row>
    <row r="52" spans="2:77">
      <c r="B52" s="175" t="s">
        <v>196</v>
      </c>
      <c r="C52" s="176" t="str">
        <f t="shared" si="46"/>
        <v>-</v>
      </c>
      <c r="D52" s="176" t="str">
        <f t="shared" si="46"/>
        <v>-</v>
      </c>
      <c r="E52" s="175">
        <f>('平日晨峰(0630-0830)'!$AU$78+'平日晨峰(0630-0830)'!$AU$97+'平日晨峰(0630-0830)'!$AU$116+'平日晨峰(0630-0830)'!$AU$135)*15</f>
        <v>0</v>
      </c>
      <c r="F52" s="175">
        <f>'平日晨峰(0630-0830)'!$AY$78+'平日晨峰(0630-0830)'!$AY$97+'平日晨峰(0630-0830)'!$AY$116+'平日晨峰(0630-0830)'!$AY$135</f>
        <v>0</v>
      </c>
      <c r="G52" s="175">
        <f>'平日晨峰(0630-0830)'!$BA$78+'平日晨峰(0630-0830)'!$BA$97+'平日晨峰(0630-0830)'!$BA$116+'平日晨峰(0630-0830)'!$BA$135</f>
        <v>0</v>
      </c>
      <c r="I52" s="175" t="str">
        <f>$I$7</f>
        <v>07:45~08:45</v>
      </c>
      <c r="J52" s="176" t="str">
        <f t="shared" si="47"/>
        <v>-</v>
      </c>
      <c r="K52" s="176" t="str">
        <f t="shared" si="47"/>
        <v>-</v>
      </c>
      <c r="L52" s="175">
        <f>('平日晨峰(07-09)'!$AU$78+'平日晨峰(07-09)'!$AU$97+'平日晨峰(07-09)'!$AU$116+'平日晨峰(07-09)'!$AU$135)*15</f>
        <v>0</v>
      </c>
      <c r="M52" s="175">
        <f>'平日晨峰(07-09)'!$AY$78+'平日晨峰(07-09)'!$AY$97+'平日晨峰(07-09)'!$AY$116+'平日晨峰(07-09)'!$AY$135</f>
        <v>0</v>
      </c>
      <c r="N52" s="175">
        <f>'平日晨峰(07-09)'!$BA$78+'平日晨峰(07-09)'!$BA$97+'平日晨峰(07-09)'!$BA$116+'平日晨峰(07-09)'!$BA$135</f>
        <v>0</v>
      </c>
      <c r="P52" s="175" t="str">
        <f>P43</f>
        <v>11:45~12:45</v>
      </c>
      <c r="Q52" s="176" t="str">
        <f>IF(ISERROR($S52/T52),"-",$S52/T52)</f>
        <v>-</v>
      </c>
      <c r="R52" s="176" t="str">
        <f>IF(ISERROR($T52/U52),"-",$T52/U52)</f>
        <v>-</v>
      </c>
      <c r="S52" s="175">
        <f>('平日中午(11-13)'!$AU$78+'平日中午(11-13)'!$AU$97+'平日中午(11-13)'!$AU$116+'平日中午(11-13)'!$AU$135)*15</f>
        <v>0</v>
      </c>
      <c r="T52" s="175">
        <f>'平日中午(11-13)'!$AY$78+'平日中午(11-13)'!$AY$97+'平日中午(11-13)'!$AY$116+'平日中午(11-13)'!$AY$135</f>
        <v>0</v>
      </c>
      <c r="U52" s="175">
        <f>'平日中午(11-13)'!$BA$78+'平日中午(11-13)'!$BA$97+'平日中午(11-13)'!$BA$116+'平日中午(11-13)'!$BA$135</f>
        <v>0</v>
      </c>
      <c r="W52" s="175" t="str">
        <f>W43</f>
        <v>12:45~13:45</v>
      </c>
      <c r="X52" s="176" t="str">
        <f t="shared" si="48"/>
        <v>-</v>
      </c>
      <c r="Y52" s="176" t="str">
        <f t="shared" si="48"/>
        <v>-</v>
      </c>
      <c r="Z52" s="175">
        <f>('平日中午(12-14)'!$AU$78+'平日中午(12-14)'!$AU$97+'平日中午(12-14)'!$AU$116+'平日中午(12-14)'!$AU$135)*15</f>
        <v>0</v>
      </c>
      <c r="AA52" s="175">
        <f>'平日中午(12-14)'!$AY$78+'平日中午(12-14)'!$AY$97+'平日中午(12-14)'!$AY$116+'平日中午(12-14)'!$AY$135</f>
        <v>0</v>
      </c>
      <c r="AB52" s="175">
        <f>'平日中午(12-14)'!$BA$78+'平日中午(12-14)'!$BA$97+'平日中午(12-14)'!$BA$116+'平日中午(12-14)'!$BA$135</f>
        <v>0</v>
      </c>
      <c r="AD52" s="175" t="str">
        <f>$AD$7</f>
        <v>17:45~18:45</v>
      </c>
      <c r="AE52" s="176" t="str">
        <f t="shared" si="49"/>
        <v>-</v>
      </c>
      <c r="AF52" s="176" t="str">
        <f t="shared" si="49"/>
        <v>-</v>
      </c>
      <c r="AG52" s="175">
        <f>('平日昏峰(17-19)'!$AU$78+'平日昏峰(17-19)'!$AU$97+'平日昏峰(17-19)'!$AU$116+'平日昏峰(17-19)'!$AU$135)*15</f>
        <v>0</v>
      </c>
      <c r="AH52" s="175">
        <f>'平日昏峰(17-19)'!$AY$78+'平日昏峰(17-19)'!$AY$97+'平日昏峰(17-19)'!$AY$116+'平日昏峰(17-19)'!$AY$135</f>
        <v>0</v>
      </c>
      <c r="AI52" s="175">
        <f>'平日昏峰(17-19)'!$BA$78+'平日昏峰(17-19)'!$BA$97+'平日昏峰(17-19)'!$BA$116+'平日昏峰(17-19)'!$BA$135</f>
        <v>0</v>
      </c>
      <c r="AK52" s="175">
        <f>$AK$7</f>
        <v>0</v>
      </c>
      <c r="AL52" s="176" t="str">
        <f t="shared" si="50"/>
        <v>-</v>
      </c>
      <c r="AM52" s="176" t="str">
        <f t="shared" si="50"/>
        <v>-</v>
      </c>
      <c r="AN52" s="175"/>
      <c r="AO52" s="175"/>
      <c r="AP52" s="175"/>
      <c r="AR52" s="175">
        <f>$AR$7</f>
        <v>0</v>
      </c>
      <c r="AS52" s="176" t="str">
        <f t="shared" si="51"/>
        <v>-</v>
      </c>
      <c r="AT52" s="176" t="str">
        <f t="shared" si="51"/>
        <v>-</v>
      </c>
      <c r="AU52" s="175"/>
      <c r="AV52" s="175"/>
      <c r="AW52" s="175"/>
      <c r="AY52" s="175">
        <f>AY43</f>
        <v>0</v>
      </c>
      <c r="AZ52" s="176" t="str">
        <f t="shared" si="52"/>
        <v>-</v>
      </c>
      <c r="BA52" s="176" t="str">
        <f t="shared" si="52"/>
        <v>-</v>
      </c>
      <c r="BB52" s="175"/>
      <c r="BC52" s="175"/>
      <c r="BD52" s="175"/>
      <c r="BF52" s="175" t="str">
        <f>BF43</f>
        <v>16:45~17:45</v>
      </c>
      <c r="BG52" s="176" t="str">
        <f t="shared" si="53"/>
        <v>-</v>
      </c>
      <c r="BH52" s="176" t="str">
        <f t="shared" si="53"/>
        <v>-</v>
      </c>
      <c r="BI52" s="175">
        <f>('假日(16-18)'!$AU$78+'假日(16-18)'!$AU$97+'假日(16-18)'!$AU$116+'假日(16-18)'!$AU$135)*15</f>
        <v>0</v>
      </c>
      <c r="BJ52" s="175">
        <f>'假日(16-18)'!$AY$78+'假日(16-18)'!$AY$97+'假日(16-18)'!$AY$116+'假日(16-18)'!$AY$135</f>
        <v>0</v>
      </c>
      <c r="BK52" s="175">
        <f>'假日(16-18)'!$BA$78+'假日(16-18)'!$BA$97+'假日(16-18)'!$BA$116+'假日(16-18)'!$BA$135</f>
        <v>0</v>
      </c>
      <c r="BM52" s="175" t="str">
        <f>BM43</f>
        <v>17:45~18:45</v>
      </c>
      <c r="BN52" s="176" t="str">
        <f t="shared" si="54"/>
        <v>-</v>
      </c>
      <c r="BO52" s="176" t="str">
        <f t="shared" si="54"/>
        <v>-</v>
      </c>
      <c r="BP52" s="175">
        <f>('假日(17-19)'!$AU$78+'假日(17-19)'!$AU$97+'假日(17-19)'!$AU$116+'假日(17-19)'!$AU$135)*15</f>
        <v>0</v>
      </c>
      <c r="BQ52" s="175">
        <f>'假日(17-19)'!$AY$78+'假日(17-19)'!$AY$97+'假日(17-19)'!$AY$116+'假日(17-19)'!$AY$135</f>
        <v>0</v>
      </c>
      <c r="BR52" s="175">
        <f>'假日(17-19)'!$BA$78+'假日(17-19)'!$BA$97+'假日(17-19)'!$BA$116+'假日(17-19)'!$BA$135</f>
        <v>0</v>
      </c>
      <c r="BT52" s="172" t="str">
        <f>CONCATENATE(基本資料!$D$18,"方向","平均停等車輛延滯")</f>
        <v>C方向平均停等車輛延滯</v>
      </c>
      <c r="BU52" s="177"/>
      <c r="BV52" s="177" t="str">
        <f>IF(ISERROR(VLOOKUP($BX$120,BT38:BV50,3,1)),"-",VLOOKUP($BX$120,BT38:BV50,3,1))</f>
        <v>-</v>
      </c>
      <c r="BW52" s="172"/>
      <c r="BX52" s="172"/>
      <c r="BY52" s="172"/>
    </row>
    <row r="53" spans="2:77">
      <c r="B53" s="175" t="s">
        <v>197</v>
      </c>
      <c r="C53" s="176" t="str">
        <f t="shared" si="46"/>
        <v>-</v>
      </c>
      <c r="D53" s="176" t="str">
        <f t="shared" si="46"/>
        <v>-</v>
      </c>
      <c r="E53" s="175">
        <f>('平日晨峰(0630-0830)'!$AU$97+'平日晨峰(0630-0830)'!$AU$116+'平日晨峰(0630-0830)'!$AU$135+'平日晨峰(0630-0830)'!$AU$154)*15</f>
        <v>0</v>
      </c>
      <c r="F53" s="175">
        <f>'平日晨峰(0630-0830)'!$AY$97+'平日晨峰(0630-0830)'!$AY$116+'平日晨峰(0630-0830)'!$AY$135+'平日晨峰(0630-0830)'!$AY$154</f>
        <v>0</v>
      </c>
      <c r="G53" s="175">
        <f>'平日晨峰(0630-0830)'!$BA$97+'平日晨峰(0630-0830)'!$BA$116+'平日晨峰(0630-0830)'!$BA$135+'平日晨峰(0630-0830)'!$BA$154</f>
        <v>0</v>
      </c>
      <c r="I53" s="175" t="str">
        <f>$I$8</f>
        <v>08:00~09:00</v>
      </c>
      <c r="J53" s="176" t="str">
        <f t="shared" si="47"/>
        <v>-</v>
      </c>
      <c r="K53" s="176" t="str">
        <f t="shared" si="47"/>
        <v>-</v>
      </c>
      <c r="L53" s="175">
        <f>('平日晨峰(07-09)'!$AU$97+'平日晨峰(07-09)'!$AU$116+'平日晨峰(07-09)'!$AU$135+'平日晨峰(07-09)'!$AU$154)*15</f>
        <v>0</v>
      </c>
      <c r="M53" s="175">
        <f>'平日晨峰(07-09)'!$AY$97+'平日晨峰(07-09)'!$AY$116+'平日晨峰(07-09)'!$AY$135+'平日晨峰(07-09)'!$AY$154</f>
        <v>0</v>
      </c>
      <c r="N53" s="175">
        <f>'平日晨峰(07-09)'!$BA$97+'平日晨峰(07-09)'!$BA$116+'平日晨峰(07-09)'!$BA$135+'平日晨峰(07-09)'!$BA$154</f>
        <v>0</v>
      </c>
      <c r="P53" s="175" t="str">
        <f>P44</f>
        <v>12:00~13:00</v>
      </c>
      <c r="Q53" s="176" t="str">
        <f>IF(ISERROR($S53/T53),"-",$S53/T53)</f>
        <v>-</v>
      </c>
      <c r="R53" s="176" t="str">
        <f>IF(ISERROR($T53/U53),"-",$T53/U53)</f>
        <v>-</v>
      </c>
      <c r="S53" s="175">
        <f>('平日中午(11-13)'!$AU$97+'平日中午(11-13)'!$AU$116+'平日中午(11-13)'!$AU$135+'平日中午(11-13)'!$AU$154)*15</f>
        <v>0</v>
      </c>
      <c r="T53" s="175">
        <f>'平日中午(11-13)'!$AY$97+'平日中午(11-13)'!$AY$116+'平日中午(11-13)'!$AY$135+'平日中午(11-13)'!$AY$154</f>
        <v>0</v>
      </c>
      <c r="U53" s="175">
        <f>'平日中午(11-13)'!$BA$97+'平日中午(11-13)'!$BA$116+'平日中午(11-13)'!$BA$135+'平日中午(11-13)'!$BA$154</f>
        <v>0</v>
      </c>
      <c r="W53" s="175" t="str">
        <f>W44</f>
        <v>13:00~14:00</v>
      </c>
      <c r="X53" s="176" t="str">
        <f t="shared" si="48"/>
        <v>-</v>
      </c>
      <c r="Y53" s="176" t="str">
        <f t="shared" si="48"/>
        <v>-</v>
      </c>
      <c r="Z53" s="175">
        <f>('平日中午(12-14)'!$AU$97+'平日中午(12-14)'!$AU$116+'平日中午(12-14)'!$AU$135+'平日中午(12-14)'!$AU$154)*15</f>
        <v>0</v>
      </c>
      <c r="AA53" s="175">
        <f>'平日中午(12-14)'!$AY$97+'平日中午(12-14)'!$AY$116+'平日中午(12-14)'!$AY$135+'平日中午(12-14)'!$AY$154</f>
        <v>0</v>
      </c>
      <c r="AB53" s="175">
        <f>'平日中午(12-14)'!$BA$97+'平日中午(12-14)'!$BA$116+'平日中午(12-14)'!$BA$135+'平日中午(12-14)'!$BA$154</f>
        <v>0</v>
      </c>
      <c r="AD53" s="175" t="str">
        <f>$AD$8</f>
        <v>18:00~19:00</v>
      </c>
      <c r="AE53" s="176" t="str">
        <f t="shared" si="49"/>
        <v>-</v>
      </c>
      <c r="AF53" s="176" t="str">
        <f t="shared" si="49"/>
        <v>-</v>
      </c>
      <c r="AG53" s="175">
        <f>('平日昏峰(17-19)'!$AU$97+'平日昏峰(17-19)'!$AU$116+'平日昏峰(17-19)'!$AU$135+'平日昏峰(17-19)'!$AU$154)*15</f>
        <v>0</v>
      </c>
      <c r="AH53" s="175">
        <f>'平日昏峰(17-19)'!$AY$97+'平日昏峰(17-19)'!$AY$116+'平日昏峰(17-19)'!$AY$135+'平日昏峰(17-19)'!$AY$154</f>
        <v>0</v>
      </c>
      <c r="AI53" s="175">
        <f>'平日昏峰(17-19)'!$BA$97+'平日昏峰(17-19)'!$BA$116+'平日昏峰(17-19)'!$BA$135+'平日昏峰(17-19)'!$BA$154</f>
        <v>0</v>
      </c>
      <c r="AK53" s="175">
        <f>$AK$8</f>
        <v>0</v>
      </c>
      <c r="AL53" s="176" t="str">
        <f t="shared" si="50"/>
        <v>-</v>
      </c>
      <c r="AM53" s="176" t="str">
        <f t="shared" si="50"/>
        <v>-</v>
      </c>
      <c r="AN53" s="175"/>
      <c r="AO53" s="175"/>
      <c r="AP53" s="175"/>
      <c r="AR53" s="175">
        <f>$AR$8</f>
        <v>0</v>
      </c>
      <c r="AS53" s="176" t="str">
        <f t="shared" si="51"/>
        <v>-</v>
      </c>
      <c r="AT53" s="176" t="str">
        <f t="shared" si="51"/>
        <v>-</v>
      </c>
      <c r="AU53" s="175"/>
      <c r="AV53" s="175"/>
      <c r="AW53" s="175"/>
      <c r="AY53" s="175">
        <f>AY44</f>
        <v>0</v>
      </c>
      <c r="AZ53" s="176" t="str">
        <f t="shared" si="52"/>
        <v>-</v>
      </c>
      <c r="BA53" s="176" t="str">
        <f t="shared" si="52"/>
        <v>-</v>
      </c>
      <c r="BB53" s="175"/>
      <c r="BC53" s="175"/>
      <c r="BD53" s="175"/>
      <c r="BF53" s="175" t="str">
        <f>BF44</f>
        <v>17:00~18:00</v>
      </c>
      <c r="BG53" s="176" t="str">
        <f t="shared" si="53"/>
        <v>-</v>
      </c>
      <c r="BH53" s="176" t="str">
        <f t="shared" si="53"/>
        <v>-</v>
      </c>
      <c r="BI53" s="175">
        <f>('假日(16-18)'!$AU$97+'假日(16-18)'!$AU$116+'假日(16-18)'!$AU$135+'假日(16-18)'!$AU$154)*15</f>
        <v>0</v>
      </c>
      <c r="BJ53" s="175">
        <f>'假日(16-18)'!$AY$97+'假日(16-18)'!$AY$116+'假日(16-18)'!$AY$135+'假日(16-18)'!$AY$154</f>
        <v>0</v>
      </c>
      <c r="BK53" s="175">
        <f>'假日(16-18)'!$BA$97+'假日(16-18)'!$BA$116+'假日(16-18)'!$BA$135+'假日(16-18)'!$BA$154</f>
        <v>0</v>
      </c>
      <c r="BM53" s="172" t="str">
        <f>CONCATENATE(基本資料!$G$18,"方向","平均延滯")</f>
        <v>F方向平均延滯</v>
      </c>
      <c r="BN53" s="176" t="str">
        <f t="shared" ref="BN53" si="55">IF(ISERROR($BP53/BQ53),"-",$BP53/BQ53)</f>
        <v>-</v>
      </c>
      <c r="BO53" s="176" t="str">
        <f>IF(ISERROR($BP53/BR53),"-",$BP53/BR53)</f>
        <v>-</v>
      </c>
      <c r="BP53" s="175">
        <f>('假日(17-19)'!$AU$97+'假日(17-19)'!$AU$116+'假日(17-19)'!$AU$135+'假日(17-19)'!$AU$154)*15</f>
        <v>0</v>
      </c>
      <c r="BQ53" s="175">
        <f>'假日(17-19)'!$AY$97+'假日(17-19)'!$AY$116+'假日(17-19)'!$AY$135+'假日(17-19)'!$AY$154</f>
        <v>0</v>
      </c>
      <c r="BR53" s="175">
        <f>'假日(17-19)'!$BA$97+'假日(17-19)'!$BA$116+'假日(17-19)'!$BA$135+'假日(17-19)'!$BA$154</f>
        <v>0</v>
      </c>
      <c r="BT53" s="263" t="str">
        <f>'假日(16-18)'!$AB$2</f>
        <v>D方向：</v>
      </c>
      <c r="BU53" s="264"/>
      <c r="BV53" s="264"/>
      <c r="BW53" s="264"/>
      <c r="BX53" s="264"/>
      <c r="BY53" s="265"/>
    </row>
    <row r="54" spans="2:77">
      <c r="B54" s="172" t="str">
        <f>CONCATENATE(基本資料!$G$18,"方向","平均延滯")</f>
        <v>F方向平均延滯</v>
      </c>
      <c r="C54" s="177" t="str">
        <f>IF(ISERROR(VLOOKUP($F$63,B49:C53,2,1)),"-",VLOOKUP($F$63,B49:C53,2,1))</f>
        <v>-</v>
      </c>
      <c r="D54" s="177"/>
      <c r="E54" s="172"/>
      <c r="F54" s="172"/>
      <c r="G54" s="172"/>
      <c r="I54" s="172" t="str">
        <f>CONCATENATE(基本資料!$G$18,"方向","平均延滯")</f>
        <v>F方向平均延滯</v>
      </c>
      <c r="J54" s="177" t="str">
        <f>IF(ISERROR(VLOOKUP($M$63,I49:J53,2,1)),"-",VLOOKUP($M$63,I49:J53,2,1))</f>
        <v>-</v>
      </c>
      <c r="K54" s="177"/>
      <c r="L54" s="172"/>
      <c r="M54" s="172"/>
      <c r="N54" s="172"/>
      <c r="P54" s="172" t="str">
        <f>CONCATENATE(基本資料!$G$18,"方向","平均延滯")</f>
        <v>F方向平均延滯</v>
      </c>
      <c r="Q54" s="177" t="str">
        <f>IF(ISERROR(VLOOKUP($T$63,P49:Q53,2,1)),"-",VLOOKUP($T$63,P49:Q53,2,1))</f>
        <v>-</v>
      </c>
      <c r="R54" s="177"/>
      <c r="S54" s="172"/>
      <c r="T54" s="172"/>
      <c r="U54" s="172"/>
      <c r="W54" s="172" t="str">
        <f>CONCATENATE(基本資料!$G$18,"方向","平均延滯")</f>
        <v>F方向平均延滯</v>
      </c>
      <c r="X54" s="177" t="str">
        <f>IF(ISERROR(VLOOKUP($AA$63,W49:X53,2,1)),"-",VLOOKUP($AA$63,W49:X53,2,1))</f>
        <v>-</v>
      </c>
      <c r="Y54" s="177"/>
      <c r="Z54" s="172"/>
      <c r="AA54" s="172"/>
      <c r="AB54" s="172"/>
      <c r="AD54" s="172" t="str">
        <f>CONCATENATE(基本資料!$G$18,"方向","平均延滯")</f>
        <v>F方向平均延滯</v>
      </c>
      <c r="AE54" s="177" t="str">
        <f>IF(ISERROR(VLOOKUP($AH$63,AD49:AE53,2,1)),"-",VLOOKUP($AH$63,AD49:AE53,2,1))</f>
        <v>-</v>
      </c>
      <c r="AF54" s="177"/>
      <c r="AG54" s="172"/>
      <c r="AH54" s="172"/>
      <c r="AI54" s="172"/>
      <c r="AK54" s="172" t="str">
        <f>CONCATENATE(基本資料!$G$18,"方向","平均延滯")</f>
        <v>F方向平均延滯</v>
      </c>
      <c r="AL54" s="177" t="str">
        <f>IF(ISERROR(VLOOKUP($AO$63,AK49:AL53,2,1)),"-",VLOOKUP($AO$63,AK49:AL53,2,1))</f>
        <v>-</v>
      </c>
      <c r="AM54" s="177"/>
      <c r="AN54" s="172"/>
      <c r="AO54" s="172"/>
      <c r="AP54" s="172"/>
      <c r="AR54" s="172" t="str">
        <f>CONCATENATE(基本資料!$G$18,"方向","平均延滯")</f>
        <v>F方向平均延滯</v>
      </c>
      <c r="AS54" s="177" t="str">
        <f>IF(ISERROR(VLOOKUP($AV$63,AR49:AS53,2,1)),"-",VLOOKUP($AV$63,AR49:AS53,2,1))</f>
        <v>-</v>
      </c>
      <c r="AT54" s="177"/>
      <c r="AU54" s="172"/>
      <c r="AV54" s="172"/>
      <c r="AW54" s="172"/>
      <c r="AY54" s="172" t="str">
        <f>CONCATENATE(基本資料!$G$18,"方向","平均延滯")</f>
        <v>F方向平均延滯</v>
      </c>
      <c r="AZ54" s="177" t="str">
        <f>IF(ISERROR(VLOOKUP($BC$63,AY49:AZ53,2,1)),"-",VLOOKUP($BC$63,AY49:AZ53,2,1))</f>
        <v>-</v>
      </c>
      <c r="BA54" s="177"/>
      <c r="BB54" s="172"/>
      <c r="BC54" s="172"/>
      <c r="BD54" s="172"/>
      <c r="BF54" s="172" t="str">
        <f>CONCATENATE(基本資料!$G$18,"方向","平均延滯")</f>
        <v>F方向平均延滯</v>
      </c>
      <c r="BG54" s="177" t="str">
        <f>IF(ISERROR(VLOOKUP($BJ$63,BF49:BG53,2,1)),"-",VLOOKUP($BJ$63,BF49:BG53,2,1))</f>
        <v>-</v>
      </c>
      <c r="BH54" s="177"/>
      <c r="BI54" s="172"/>
      <c r="BJ54" s="172"/>
      <c r="BK54" s="172"/>
      <c r="BM54" s="172" t="str">
        <f>CONCATENATE(基本資料!$G$18,"方向","平均停等車輛延滯")</f>
        <v>F方向平均停等車輛延滯</v>
      </c>
      <c r="BN54" s="177" t="str">
        <f>IF(ISERROR(VLOOKUP($BQ$63,BM49:BN53,2,1)),"-",VLOOKUP($BQ$63,BM49:BN53,2,1))</f>
        <v>-</v>
      </c>
      <c r="BO54" s="177"/>
      <c r="BP54" s="172"/>
      <c r="BQ54" s="172"/>
      <c r="BR54" s="172"/>
      <c r="BT54" s="172" t="s">
        <v>129</v>
      </c>
      <c r="BU54" s="173" t="s">
        <v>135</v>
      </c>
      <c r="BV54" s="174" t="s">
        <v>131</v>
      </c>
      <c r="BW54" s="173" t="s">
        <v>132</v>
      </c>
      <c r="BX54" s="173" t="s">
        <v>133</v>
      </c>
      <c r="BY54" s="173" t="s">
        <v>134</v>
      </c>
    </row>
    <row r="55" spans="2:77">
      <c r="B55" s="172" t="str">
        <f>CONCATENATE(基本資料!$G$18,"方向","平均停等車輛延滯")</f>
        <v>F方向平均停等車輛延滯</v>
      </c>
      <c r="C55" s="177"/>
      <c r="D55" s="177" t="str">
        <f>IF(ISERROR(VLOOKUP($F$64,B49:D53,3,1)),"-",VLOOKUP($F$64,B49:D53,3,1))</f>
        <v>-</v>
      </c>
      <c r="E55" s="172"/>
      <c r="F55" s="172"/>
      <c r="G55" s="172"/>
      <c r="I55" s="172" t="str">
        <f>CONCATENATE(基本資料!$G$18,"方向","平均停等車輛延滯")</f>
        <v>F方向平均停等車輛延滯</v>
      </c>
      <c r="J55" s="177"/>
      <c r="K55" s="177" t="str">
        <f>IF(ISERROR(VLOOKUP($M$64,I49:K53,3,1)),"-",VLOOKUP($M$64,I49:K53,3,1))</f>
        <v>-</v>
      </c>
      <c r="L55" s="172"/>
      <c r="M55" s="172"/>
      <c r="N55" s="172"/>
      <c r="P55" s="172" t="str">
        <f>CONCATENATE(基本資料!$G$18,"方向","平均停等車輛延滯")</f>
        <v>F方向平均停等車輛延滯</v>
      </c>
      <c r="Q55" s="177"/>
      <c r="R55" s="177" t="str">
        <f>IF(ISERROR(VLOOKUP($T$64,P49:R53,3,1)),"-",VLOOKUP($T$64,P49:R53,3,1))</f>
        <v>-</v>
      </c>
      <c r="S55" s="172"/>
      <c r="T55" s="172"/>
      <c r="U55" s="172"/>
      <c r="W55" s="172" t="str">
        <f>CONCATENATE(基本資料!$G$18,"方向","平均停等車輛延滯")</f>
        <v>F方向平均停等車輛延滯</v>
      </c>
      <c r="X55" s="177"/>
      <c r="Y55" s="177" t="str">
        <f>IF(ISERROR(VLOOKUP($AA$64,W49:Y53,3,1)),"-",VLOOKUP($AA$64,W49:Y53,3,1))</f>
        <v>-</v>
      </c>
      <c r="Z55" s="172"/>
      <c r="AA55" s="172"/>
      <c r="AB55" s="172"/>
      <c r="AD55" s="172" t="str">
        <f>CONCATENATE(基本資料!$G$18,"方向","平均停等車輛延滯")</f>
        <v>F方向平均停等車輛延滯</v>
      </c>
      <c r="AE55" s="177"/>
      <c r="AF55" s="177" t="str">
        <f>IF(ISERROR(VLOOKUP($AH$64,AD49:AF53,3,1)),"-",VLOOKUP($AH$64,AD49:AF53,3,1))</f>
        <v>-</v>
      </c>
      <c r="AG55" s="172"/>
      <c r="AH55" s="172"/>
      <c r="AI55" s="172"/>
      <c r="AK55" s="172" t="str">
        <f>CONCATENATE(基本資料!$G$18,"方向","平均停等車輛延滯")</f>
        <v>F方向平均停等車輛延滯</v>
      </c>
      <c r="AL55" s="177"/>
      <c r="AM55" s="177" t="str">
        <f>IF(ISERROR(VLOOKUP($AO$64,AK49:AM53,3,1)),"-",VLOOKUP($AO$64,AK49:AM53,3,1))</f>
        <v>-</v>
      </c>
      <c r="AN55" s="172"/>
      <c r="AO55" s="172"/>
      <c r="AP55" s="172"/>
      <c r="AR55" s="172" t="str">
        <f>CONCATENATE(基本資料!$G$18,"方向","平均停等車輛延滯")</f>
        <v>F方向平均停等車輛延滯</v>
      </c>
      <c r="AS55" s="177"/>
      <c r="AT55" s="177" t="str">
        <f>IF(ISERROR(VLOOKUP($AV$64,AR49:AT53,3,1)),"-",VLOOKUP($AV$64,AR49:AT53,3,1))</f>
        <v>-</v>
      </c>
      <c r="AU55" s="172"/>
      <c r="AV55" s="172"/>
      <c r="AW55" s="172"/>
      <c r="AY55" s="172" t="str">
        <f>CONCATENATE(基本資料!$G$18,"方向","平均停等車輛延滯")</f>
        <v>F方向平均停等車輛延滯</v>
      </c>
      <c r="AZ55" s="177"/>
      <c r="BA55" s="177" t="str">
        <f>IF(ISERROR(VLOOKUP($BC$64,AY49:BA53,3,1)),"-",VLOOKUP($BC$64,AY49:BA53,3,1))</f>
        <v>-</v>
      </c>
      <c r="BB55" s="172"/>
      <c r="BC55" s="172"/>
      <c r="BD55" s="172"/>
      <c r="BF55" s="172" t="str">
        <f>CONCATENATE(基本資料!$G$18,"方向","平均停等車輛延滯")</f>
        <v>F方向平均停等車輛延滯</v>
      </c>
      <c r="BG55" s="177"/>
      <c r="BH55" s="177" t="str">
        <f>IF(ISERROR(VLOOKUP($BJ$64,BF49:BH53,3,1)),"-",VLOOKUP($BJ$64,BF49:BH53,3,1))</f>
        <v>-</v>
      </c>
      <c r="BI55" s="172"/>
      <c r="BJ55" s="172"/>
      <c r="BK55" s="172"/>
      <c r="BM55" s="172" t="str">
        <f>CONCATENATE(基本資料!$E$18,"方向","平均停等車輛延滯")</f>
        <v>D方向平均停等車輛延滯</v>
      </c>
      <c r="BN55" s="177"/>
      <c r="BO55" s="177" t="str">
        <f>IF(ISERROR(VLOOKUP($BQ$64,BM49:BO53,3,1)),"-",VLOOKUP($BQ$64,BM49:BO53,3,1))</f>
        <v>-</v>
      </c>
      <c r="BP55" s="172"/>
      <c r="BQ55" s="172"/>
      <c r="BR55" s="172"/>
      <c r="BT55" s="175" t="str">
        <f>BT38</f>
        <v>16:00~17:00</v>
      </c>
      <c r="BU55" s="176" t="str">
        <f>IF(ISERROR($BW55/BX55),"-",$BW55/BX55)</f>
        <v>-</v>
      </c>
      <c r="BV55" s="176" t="str">
        <f>IF(ISERROR($BW55/BY55),"-",$BW55/BY55)</f>
        <v>-</v>
      </c>
      <c r="BW55" s="175">
        <f>('假日(16-20)'!$AC$21+'假日(16-20)'!$AC$40+'假日(16-20)'!$AC$59+'假日(16-20)'!$AC$78)*15</f>
        <v>0</v>
      </c>
      <c r="BX55" s="175">
        <f>'假日(16-20)'!$AG$21+'假日(16-20)'!$AG$40+'假日(16-20)'!$AG$59+'假日(16-20)'!$AG$78</f>
        <v>0</v>
      </c>
      <c r="BY55" s="175">
        <f>'假日(16-20)'!$AI$21+'假日(16-20)'!$AI$40+'假日(16-20)'!$AI$59+'假日(16-20)'!$AI$78</f>
        <v>0</v>
      </c>
    </row>
    <row r="56" spans="2:77">
      <c r="B56" s="261" t="s">
        <v>156</v>
      </c>
      <c r="C56" s="261"/>
      <c r="D56" s="261"/>
      <c r="E56" s="261"/>
      <c r="F56" s="261"/>
      <c r="G56" s="261"/>
      <c r="I56" s="261" t="s">
        <v>198</v>
      </c>
      <c r="J56" s="261"/>
      <c r="K56" s="261"/>
      <c r="L56" s="261"/>
      <c r="M56" s="261"/>
      <c r="N56" s="261"/>
      <c r="P56" s="261" t="s">
        <v>156</v>
      </c>
      <c r="Q56" s="261"/>
      <c r="R56" s="261"/>
      <c r="S56" s="261"/>
      <c r="T56" s="261"/>
      <c r="U56" s="261"/>
      <c r="W56" s="261" t="s">
        <v>156</v>
      </c>
      <c r="X56" s="261"/>
      <c r="Y56" s="261"/>
      <c r="Z56" s="261"/>
      <c r="AA56" s="261"/>
      <c r="AB56" s="261"/>
      <c r="AD56" s="261" t="s">
        <v>156</v>
      </c>
      <c r="AE56" s="261"/>
      <c r="AF56" s="261"/>
      <c r="AG56" s="261"/>
      <c r="AH56" s="261"/>
      <c r="AI56" s="261"/>
      <c r="AK56" s="261" t="s">
        <v>156</v>
      </c>
      <c r="AL56" s="261"/>
      <c r="AM56" s="261"/>
      <c r="AN56" s="261"/>
      <c r="AO56" s="261"/>
      <c r="AP56" s="261"/>
      <c r="AR56" s="261" t="s">
        <v>156</v>
      </c>
      <c r="AS56" s="261"/>
      <c r="AT56" s="261"/>
      <c r="AU56" s="261"/>
      <c r="AV56" s="261"/>
      <c r="AW56" s="261"/>
      <c r="AY56" s="261" t="s">
        <v>156</v>
      </c>
      <c r="AZ56" s="261"/>
      <c r="BA56" s="261"/>
      <c r="BB56" s="261"/>
      <c r="BC56" s="261"/>
      <c r="BD56" s="261"/>
      <c r="BF56" s="261" t="s">
        <v>156</v>
      </c>
      <c r="BG56" s="261"/>
      <c r="BH56" s="261"/>
      <c r="BI56" s="261"/>
      <c r="BJ56" s="261"/>
      <c r="BK56" s="261"/>
      <c r="BM56" s="261" t="s">
        <v>156</v>
      </c>
      <c r="BN56" s="261"/>
      <c r="BO56" s="261"/>
      <c r="BP56" s="261"/>
      <c r="BQ56" s="261"/>
      <c r="BR56" s="261"/>
      <c r="BT56" s="175" t="str">
        <f>BT39</f>
        <v>16:15~17:15</v>
      </c>
      <c r="BU56" s="176" t="str">
        <f>IF(ISERROR($BW56/BX56),"-",$BW56/BX56)</f>
        <v>-</v>
      </c>
      <c r="BV56" s="176" t="str">
        <f>IF(ISERROR($BW56/BY56),"-",$BW56/BY56)</f>
        <v>-</v>
      </c>
      <c r="BW56" s="175">
        <f>('假日(16-20)'!$AC$40+'假日(16-20)'!$AC$59+'假日(16-20)'!$AC$78+'假日(16-20)'!$AC$97)*15</f>
        <v>0</v>
      </c>
      <c r="BX56" s="175">
        <f>'假日(16-20)'!$AG$40+'假日(16-20)'!$AG$59+'假日(16-20)'!$AG$78+'假日(16-20)'!$AG$97</f>
        <v>0</v>
      </c>
      <c r="BY56" s="175">
        <f>'假日(16-20)'!$AI$40+'假日(16-20)'!$AI$59+'假日(16-20)'!$AI$78+'假日(16-20)'!$AI$97</f>
        <v>0</v>
      </c>
    </row>
    <row r="57" spans="2:77">
      <c r="B57" s="172" t="s">
        <v>129</v>
      </c>
      <c r="C57" s="173" t="s">
        <v>135</v>
      </c>
      <c r="D57" s="174" t="s">
        <v>131</v>
      </c>
      <c r="E57" s="173" t="s">
        <v>132</v>
      </c>
      <c r="F57" s="173" t="s">
        <v>133</v>
      </c>
      <c r="G57" s="173" t="s">
        <v>134</v>
      </c>
      <c r="I57" s="172" t="s">
        <v>129</v>
      </c>
      <c r="J57" s="173" t="s">
        <v>135</v>
      </c>
      <c r="K57" s="174" t="s">
        <v>131</v>
      </c>
      <c r="L57" s="173" t="s">
        <v>132</v>
      </c>
      <c r="M57" s="173" t="s">
        <v>133</v>
      </c>
      <c r="N57" s="173" t="s">
        <v>134</v>
      </c>
      <c r="P57" s="172" t="s">
        <v>129</v>
      </c>
      <c r="Q57" s="173" t="s">
        <v>135</v>
      </c>
      <c r="R57" s="174" t="s">
        <v>131</v>
      </c>
      <c r="S57" s="173" t="s">
        <v>132</v>
      </c>
      <c r="T57" s="173" t="s">
        <v>133</v>
      </c>
      <c r="U57" s="173" t="s">
        <v>134</v>
      </c>
      <c r="W57" s="172" t="s">
        <v>129</v>
      </c>
      <c r="X57" s="173" t="s">
        <v>135</v>
      </c>
      <c r="Y57" s="174" t="s">
        <v>131</v>
      </c>
      <c r="Z57" s="173" t="s">
        <v>132</v>
      </c>
      <c r="AA57" s="173" t="s">
        <v>133</v>
      </c>
      <c r="AB57" s="173" t="s">
        <v>134</v>
      </c>
      <c r="AD57" s="172" t="s">
        <v>129</v>
      </c>
      <c r="AE57" s="173" t="s">
        <v>135</v>
      </c>
      <c r="AF57" s="174" t="s">
        <v>131</v>
      </c>
      <c r="AG57" s="173" t="s">
        <v>132</v>
      </c>
      <c r="AH57" s="173" t="s">
        <v>133</v>
      </c>
      <c r="AI57" s="173" t="s">
        <v>134</v>
      </c>
      <c r="AK57" s="172" t="s">
        <v>129</v>
      </c>
      <c r="AL57" s="173" t="s">
        <v>135</v>
      </c>
      <c r="AM57" s="174" t="s">
        <v>131</v>
      </c>
      <c r="AN57" s="173" t="s">
        <v>132</v>
      </c>
      <c r="AO57" s="173" t="s">
        <v>133</v>
      </c>
      <c r="AP57" s="173" t="s">
        <v>134</v>
      </c>
      <c r="AR57" s="172" t="s">
        <v>129</v>
      </c>
      <c r="AS57" s="173" t="s">
        <v>135</v>
      </c>
      <c r="AT57" s="174" t="s">
        <v>131</v>
      </c>
      <c r="AU57" s="173" t="s">
        <v>132</v>
      </c>
      <c r="AV57" s="173" t="s">
        <v>133</v>
      </c>
      <c r="AW57" s="173" t="s">
        <v>134</v>
      </c>
      <c r="AY57" s="172" t="s">
        <v>129</v>
      </c>
      <c r="AZ57" s="173" t="s">
        <v>135</v>
      </c>
      <c r="BA57" s="174" t="s">
        <v>131</v>
      </c>
      <c r="BB57" s="173" t="s">
        <v>132</v>
      </c>
      <c r="BC57" s="173" t="s">
        <v>133</v>
      </c>
      <c r="BD57" s="173" t="s">
        <v>134</v>
      </c>
      <c r="BF57" s="172" t="s">
        <v>129</v>
      </c>
      <c r="BG57" s="173" t="s">
        <v>135</v>
      </c>
      <c r="BH57" s="174" t="s">
        <v>131</v>
      </c>
      <c r="BI57" s="173" t="s">
        <v>132</v>
      </c>
      <c r="BJ57" s="173" t="s">
        <v>133</v>
      </c>
      <c r="BK57" s="173" t="s">
        <v>134</v>
      </c>
      <c r="BM57" s="172" t="s">
        <v>129</v>
      </c>
      <c r="BN57" s="173" t="s">
        <v>135</v>
      </c>
      <c r="BO57" s="174" t="s">
        <v>131</v>
      </c>
      <c r="BP57" s="173" t="s">
        <v>132</v>
      </c>
      <c r="BQ57" s="173" t="s">
        <v>133</v>
      </c>
      <c r="BR57" s="173" t="s">
        <v>134</v>
      </c>
      <c r="BT57" s="175" t="str">
        <f>BT40</f>
        <v>16:30~17:30</v>
      </c>
      <c r="BU57" s="176" t="str">
        <f>IF(ISERROR($BW57/BX57),"-",$BW57/BX57)</f>
        <v>-</v>
      </c>
      <c r="BV57" s="176" t="str">
        <f t="shared" ref="BV56:BV67" si="56">IF(ISERROR($BW57/BY57),"-",$BW57/BY57)</f>
        <v>-</v>
      </c>
      <c r="BW57" s="175">
        <f>('假日(16-20)'!$AC$59+'假日(16-20)'!$AC$78+'假日(16-20)'!$AC$97+'假日(16-20)'!$AC$116)*15</f>
        <v>0</v>
      </c>
      <c r="BX57" s="175">
        <f>'假日(16-20)'!$AG$59+'假日(16-20)'!$AG$78+'假日(16-20)'!$AG$97+'假日(16-20)'!$AG$116</f>
        <v>0</v>
      </c>
      <c r="BY57" s="175">
        <f>'假日(16-20)'!$AI$59+'假日(16-20)'!$AI$78+'假日(16-20)'!$AI$97+'假日(16-20)'!$AI$116</f>
        <v>0</v>
      </c>
    </row>
    <row r="58" spans="2:77">
      <c r="B58" s="175" t="s">
        <v>193</v>
      </c>
      <c r="C58" s="176" t="str">
        <f>IF(ISERROR($E58/F58),"-",$E58/F58)</f>
        <v>-</v>
      </c>
      <c r="D58" s="176" t="str">
        <f t="shared" ref="C58:D62" si="57">IF(ISERROR($E58/G58),"-",$E58/G58)</f>
        <v>-</v>
      </c>
      <c r="E58" s="175">
        <f>E4+E13+E22+E31+E40+E49</f>
        <v>0</v>
      </c>
      <c r="F58" s="175">
        <f t="shared" ref="E58:G62" si="58">F4+F13+F22+F31+F40+F49</f>
        <v>0</v>
      </c>
      <c r="G58" s="175">
        <f t="shared" si="58"/>
        <v>0</v>
      </c>
      <c r="I58" s="175" t="str">
        <f>$I$4</f>
        <v>07:00~08:00</v>
      </c>
      <c r="J58" s="176" t="str">
        <f t="shared" ref="J58:K62" si="59">IF(ISERROR($L58/M58),"-",$L58/M58)</f>
        <v>-</v>
      </c>
      <c r="K58" s="176" t="str">
        <f t="shared" si="59"/>
        <v>-</v>
      </c>
      <c r="L58" s="175">
        <f>L4+L13+L22+L31+L40+L49</f>
        <v>0</v>
      </c>
      <c r="M58" s="175">
        <f>M4+M13+M22+M31+M40+M49</f>
        <v>0</v>
      </c>
      <c r="N58" s="175">
        <f>N4+N13+N22+N31+N40+N49</f>
        <v>0</v>
      </c>
      <c r="P58" s="175" t="str">
        <f>P31</f>
        <v>11:00~12:00</v>
      </c>
      <c r="Q58" s="176" t="str">
        <f>IF(ISERROR($S58/T58),"-",$S58/T58)</f>
        <v>-</v>
      </c>
      <c r="R58" s="176" t="str">
        <f>IF(ISERROR($T58/U58),"-",$T58/U58)</f>
        <v>-</v>
      </c>
      <c r="S58" s="175">
        <f t="shared" ref="S58:U62" si="60">S4+S13+S22+S31+S40+S49</f>
        <v>0</v>
      </c>
      <c r="T58" s="175">
        <f t="shared" si="60"/>
        <v>0</v>
      </c>
      <c r="U58" s="175">
        <f t="shared" si="60"/>
        <v>0</v>
      </c>
      <c r="W58" s="175" t="str">
        <f>W31</f>
        <v>1200~13:00</v>
      </c>
      <c r="X58" s="176" t="str">
        <f t="shared" ref="X58:Y62" si="61">IF(ISERROR($Z58/AA58),"-",$Z58/AA58)</f>
        <v>-</v>
      </c>
      <c r="Y58" s="176" t="str">
        <f t="shared" si="61"/>
        <v>-</v>
      </c>
      <c r="Z58" s="175">
        <f t="shared" ref="Z58:AB62" si="62">Z4+Z13+Z22+Z31+Z40+Z49</f>
        <v>0</v>
      </c>
      <c r="AA58" s="175">
        <f t="shared" si="62"/>
        <v>0</v>
      </c>
      <c r="AB58" s="175">
        <f t="shared" si="62"/>
        <v>0</v>
      </c>
      <c r="AD58" s="175" t="str">
        <f>$AD$4</f>
        <v>17:00~18:00</v>
      </c>
      <c r="AE58" s="176" t="str">
        <f t="shared" ref="AE58:AF62" si="63">IF(ISERROR($AG58/AH58),"-",$AG58/AH58)</f>
        <v>-</v>
      </c>
      <c r="AF58" s="176" t="str">
        <f t="shared" si="63"/>
        <v>-</v>
      </c>
      <c r="AG58" s="175">
        <f t="shared" ref="AG58:AI62" si="64">AG4+AG13+AG22+AG31+AG40+AG49</f>
        <v>0</v>
      </c>
      <c r="AH58" s="175">
        <f t="shared" si="64"/>
        <v>0</v>
      </c>
      <c r="AI58" s="175">
        <f t="shared" si="64"/>
        <v>0</v>
      </c>
      <c r="AK58" s="175" t="str">
        <f>$AK$4</f>
        <v>11:00~12:00</v>
      </c>
      <c r="AL58" s="176" t="str">
        <f t="shared" ref="AL58:AM62" si="65">IF(ISERROR($AN58/AO58),"-",$AN58/AO58)</f>
        <v>-</v>
      </c>
      <c r="AM58" s="176" t="str">
        <f t="shared" si="65"/>
        <v>-</v>
      </c>
      <c r="AN58" s="175">
        <f t="shared" ref="AN58:AP62" si="66">AN4+AN13+AN22+AN31+AN40+AN49</f>
        <v>0</v>
      </c>
      <c r="AO58" s="175">
        <f t="shared" si="66"/>
        <v>0</v>
      </c>
      <c r="AP58" s="175">
        <f t="shared" si="66"/>
        <v>0</v>
      </c>
      <c r="AR58" s="175" t="str">
        <f>$AR$4</f>
        <v>14:30~15:30</v>
      </c>
      <c r="AS58" s="176" t="str">
        <f t="shared" ref="AS58:AT61" si="67">IF(ISERROR($AU58/AV58),"-",$AU58/AV58)</f>
        <v>-</v>
      </c>
      <c r="AT58" s="176" t="str">
        <f t="shared" si="67"/>
        <v>-</v>
      </c>
      <c r="AU58" s="175">
        <f>AU4+AU13+AU22+AU31+AU40+AU49</f>
        <v>0</v>
      </c>
      <c r="AV58" s="175">
        <f>AV4+AV13+AV22+AV31+AV40+AV49</f>
        <v>0</v>
      </c>
      <c r="AW58" s="175">
        <f>AW4+AW13+AW22+AW31+AW40+AW49</f>
        <v>0</v>
      </c>
      <c r="AY58" s="175" t="str">
        <f>AY31</f>
        <v>17:30~18:30</v>
      </c>
      <c r="AZ58" s="176" t="str">
        <f t="shared" ref="AZ58:BA62" si="68">IF(ISERROR($BB58/BC58),"-",$BB58/BC58)</f>
        <v>-</v>
      </c>
      <c r="BA58" s="176" t="str">
        <f t="shared" si="68"/>
        <v>-</v>
      </c>
      <c r="BB58" s="175">
        <f t="shared" ref="BB58:BD62" si="69">BB4+BB13+BB22+BB31+BB40+BB49</f>
        <v>0</v>
      </c>
      <c r="BC58" s="175">
        <f t="shared" si="69"/>
        <v>0</v>
      </c>
      <c r="BD58" s="175">
        <f t="shared" si="69"/>
        <v>0</v>
      </c>
      <c r="BF58" s="175" t="str">
        <f>BF31</f>
        <v>16:00~17:00</v>
      </c>
      <c r="BG58" s="176" t="str">
        <f t="shared" ref="BG58:BH62" si="70">IF(ISERROR($BI58/BJ58),"-",$BI58/BJ58)</f>
        <v>-</v>
      </c>
      <c r="BH58" s="176" t="str">
        <f t="shared" si="70"/>
        <v>-</v>
      </c>
      <c r="BI58" s="175">
        <f>BI4+BI13+BI22+BI31+BI40+BI49</f>
        <v>0</v>
      </c>
      <c r="BJ58" s="175">
        <f>BJ4+BJ13+BJ22+BJ31+BJ40+BJ49</f>
        <v>0</v>
      </c>
      <c r="BK58" s="175">
        <f>BK4+BK13+BK22+BK31+BK40+BK49</f>
        <v>0</v>
      </c>
      <c r="BM58" s="175" t="str">
        <f>BM31</f>
        <v>17:00~18:00</v>
      </c>
      <c r="BN58" s="176" t="str">
        <f t="shared" ref="BN58:BO61" si="71">IF(ISERROR($BP58/BQ58),"-",$BP58/BQ58)</f>
        <v>-</v>
      </c>
      <c r="BO58" s="176" t="str">
        <f t="shared" si="71"/>
        <v>-</v>
      </c>
      <c r="BP58" s="175">
        <f t="shared" ref="BP58:BR62" si="72">BP4+BP13+BP22+BP31+BP40+BP49</f>
        <v>0</v>
      </c>
      <c r="BQ58" s="175">
        <f t="shared" si="72"/>
        <v>0</v>
      </c>
      <c r="BR58" s="175">
        <f t="shared" si="72"/>
        <v>0</v>
      </c>
      <c r="BT58" s="175" t="str">
        <f>BT41</f>
        <v>16:45~17:45</v>
      </c>
      <c r="BU58" s="176" t="str">
        <f>IF(ISERROR($BW58/BX58),"-",$BW58/BX58)</f>
        <v>-</v>
      </c>
      <c r="BV58" s="176" t="str">
        <f>IF(ISERROR($BW58/BY58),"-",$BW58/BY58)</f>
        <v>-</v>
      </c>
      <c r="BW58" s="175">
        <f>('假日(16-20)'!$AC$78+'假日(16-20)'!$AC$97+'假日(16-20)'!$AC$116+'假日(16-20)'!$AC$135)*15</f>
        <v>0</v>
      </c>
      <c r="BX58" s="175">
        <f>'假日(16-20)'!$AG$78+'假日(16-20)'!$AG$97+'假日(16-20)'!$AG$116+'假日(16-20)'!$AG$135</f>
        <v>0</v>
      </c>
      <c r="BY58" s="175">
        <f>'假日(16-20)'!$AI$78+'假日(16-20)'!$AI$97+'假日(16-20)'!$AI$116+'假日(16-20)'!$AI$135</f>
        <v>0</v>
      </c>
    </row>
    <row r="59" spans="2:77">
      <c r="B59" s="175" t="s">
        <v>194</v>
      </c>
      <c r="C59" s="176" t="str">
        <f>IF(ISERROR($E59/F59),"-",$E59/F59)</f>
        <v>-</v>
      </c>
      <c r="D59" s="176" t="str">
        <f t="shared" si="57"/>
        <v>-</v>
      </c>
      <c r="E59" s="175">
        <f t="shared" si="58"/>
        <v>0</v>
      </c>
      <c r="F59" s="175">
        <f t="shared" si="58"/>
        <v>0</v>
      </c>
      <c r="G59" s="175">
        <f t="shared" si="58"/>
        <v>0</v>
      </c>
      <c r="I59" s="175" t="str">
        <f>$I$5</f>
        <v>07:15~08:15</v>
      </c>
      <c r="J59" s="176" t="str">
        <f t="shared" si="59"/>
        <v>-</v>
      </c>
      <c r="K59" s="176" t="str">
        <f t="shared" si="59"/>
        <v>-</v>
      </c>
      <c r="L59" s="175">
        <f>L5+L14+L23+L32+L41+L50</f>
        <v>0</v>
      </c>
      <c r="M59" s="175">
        <f t="shared" ref="M59" si="73">M5+M14+M23+M32+M41+M50</f>
        <v>0</v>
      </c>
      <c r="N59" s="175">
        <f>N5+N14+N23+N32+N41+N50</f>
        <v>0</v>
      </c>
      <c r="P59" s="175" t="str">
        <f>P32</f>
        <v>11:15~12:15</v>
      </c>
      <c r="Q59" s="176" t="str">
        <f>IF(ISERROR($S59/T59),"-",$S59/T59)</f>
        <v>-</v>
      </c>
      <c r="R59" s="176" t="str">
        <f>IF(ISERROR($T59/U59),"-",$T59/U59)</f>
        <v>-</v>
      </c>
      <c r="S59" s="175">
        <f t="shared" si="60"/>
        <v>0</v>
      </c>
      <c r="T59" s="175">
        <f t="shared" si="60"/>
        <v>0</v>
      </c>
      <c r="U59" s="175">
        <f t="shared" si="60"/>
        <v>0</v>
      </c>
      <c r="W59" s="175" t="str">
        <f>W32</f>
        <v>12:15~13:15</v>
      </c>
      <c r="X59" s="176" t="str">
        <f t="shared" si="61"/>
        <v>-</v>
      </c>
      <c r="Y59" s="176" t="str">
        <f t="shared" si="61"/>
        <v>-</v>
      </c>
      <c r="Z59" s="175">
        <f t="shared" si="62"/>
        <v>0</v>
      </c>
      <c r="AA59" s="175">
        <f t="shared" si="62"/>
        <v>0</v>
      </c>
      <c r="AB59" s="175">
        <f t="shared" si="62"/>
        <v>0</v>
      </c>
      <c r="AD59" s="175" t="str">
        <f>$AD$5</f>
        <v>17:15~18:15</v>
      </c>
      <c r="AE59" s="176" t="str">
        <f t="shared" si="63"/>
        <v>-</v>
      </c>
      <c r="AF59" s="176" t="str">
        <f t="shared" si="63"/>
        <v>-</v>
      </c>
      <c r="AG59" s="175">
        <f t="shared" si="64"/>
        <v>0</v>
      </c>
      <c r="AH59" s="175">
        <f t="shared" si="64"/>
        <v>0</v>
      </c>
      <c r="AI59" s="175">
        <f t="shared" si="64"/>
        <v>0</v>
      </c>
      <c r="AK59" s="175">
        <f>$AK$5</f>
        <v>0</v>
      </c>
      <c r="AL59" s="176" t="str">
        <f t="shared" si="65"/>
        <v>-</v>
      </c>
      <c r="AM59" s="176" t="str">
        <f t="shared" si="65"/>
        <v>-</v>
      </c>
      <c r="AN59" s="175">
        <f t="shared" si="66"/>
        <v>0</v>
      </c>
      <c r="AO59" s="175">
        <f t="shared" si="66"/>
        <v>0</v>
      </c>
      <c r="AP59" s="175">
        <f t="shared" si="66"/>
        <v>0</v>
      </c>
      <c r="AR59" s="175">
        <f>$AR$5</f>
        <v>0</v>
      </c>
      <c r="AS59" s="176" t="str">
        <f t="shared" si="67"/>
        <v>-</v>
      </c>
      <c r="AT59" s="176" t="str">
        <f t="shared" si="67"/>
        <v>-</v>
      </c>
      <c r="AU59" s="175">
        <f t="shared" ref="AU59:AW62" si="74">AU5+AU14+AU23+AU32+AU41</f>
        <v>0</v>
      </c>
      <c r="AV59" s="175">
        <f t="shared" si="74"/>
        <v>0</v>
      </c>
      <c r="AW59" s="175">
        <f t="shared" si="74"/>
        <v>0</v>
      </c>
      <c r="AY59" s="175">
        <f>AY32</f>
        <v>0</v>
      </c>
      <c r="AZ59" s="176" t="str">
        <f t="shared" si="68"/>
        <v>-</v>
      </c>
      <c r="BA59" s="176" t="str">
        <f t="shared" si="68"/>
        <v>-</v>
      </c>
      <c r="BB59" s="175">
        <f t="shared" si="69"/>
        <v>0</v>
      </c>
      <c r="BC59" s="175">
        <f t="shared" si="69"/>
        <v>0</v>
      </c>
      <c r="BD59" s="175">
        <f t="shared" si="69"/>
        <v>0</v>
      </c>
      <c r="BF59" s="175" t="str">
        <f>BF32</f>
        <v>16:15~17:15</v>
      </c>
      <c r="BG59" s="176" t="str">
        <f t="shared" si="70"/>
        <v>-</v>
      </c>
      <c r="BH59" s="176" t="str">
        <f t="shared" si="70"/>
        <v>-</v>
      </c>
      <c r="BI59" s="175">
        <f t="shared" ref="BI59:BK59" si="75">BI5+BI14+BI23+BI32+BI41+BI50</f>
        <v>0</v>
      </c>
      <c r="BJ59" s="175">
        <f t="shared" si="75"/>
        <v>0</v>
      </c>
      <c r="BK59" s="175">
        <f t="shared" si="75"/>
        <v>0</v>
      </c>
      <c r="BM59" s="175" t="str">
        <f>BM32</f>
        <v>17:15~18:15</v>
      </c>
      <c r="BN59" s="176" t="str">
        <f t="shared" si="71"/>
        <v>-</v>
      </c>
      <c r="BO59" s="176" t="str">
        <f t="shared" si="71"/>
        <v>-</v>
      </c>
      <c r="BP59" s="175">
        <f t="shared" si="72"/>
        <v>0</v>
      </c>
      <c r="BQ59" s="175">
        <f t="shared" si="72"/>
        <v>0</v>
      </c>
      <c r="BR59" s="175">
        <f t="shared" si="72"/>
        <v>0</v>
      </c>
      <c r="BT59" s="175" t="str">
        <f>BT42</f>
        <v>17:00~18:00</v>
      </c>
      <c r="BU59" s="176" t="str">
        <f>IF(ISERROR($BW59/BX59),"-",$BW59/BX59)</f>
        <v>-</v>
      </c>
      <c r="BV59" s="176" t="str">
        <f>IF(ISERROR($BW59/BY59),"-",$BW59/BY59)</f>
        <v>-</v>
      </c>
      <c r="BW59" s="175">
        <f>('假日(16-20)'!$AC$97+'假日(16-20)'!$AC$116+'假日(16-20)'!$AC$135+'假日(16-20)'!$AC$154)*15</f>
        <v>0</v>
      </c>
      <c r="BX59" s="175">
        <f>'假日(16-20)'!$AG$97+'假日(16-20)'!$AG$116+'假日(16-20)'!$AG$135+'假日(16-20)'!$AG$154</f>
        <v>0</v>
      </c>
      <c r="BY59" s="175">
        <f>'假日(16-20)'!$AI$97+'假日(16-20)'!$AI$116+'假日(16-20)'!$AI$135+'假日(16-20)'!$AI$154</f>
        <v>0</v>
      </c>
    </row>
    <row r="60" spans="2:77">
      <c r="B60" s="175" t="s">
        <v>195</v>
      </c>
      <c r="C60" s="176" t="str">
        <f>IF(ISERROR($E60/F60),"-",$E60/F60)</f>
        <v>-</v>
      </c>
      <c r="D60" s="176" t="str">
        <f t="shared" si="57"/>
        <v>-</v>
      </c>
      <c r="E60" s="175">
        <f t="shared" si="58"/>
        <v>0</v>
      </c>
      <c r="F60" s="175">
        <f t="shared" si="58"/>
        <v>0</v>
      </c>
      <c r="G60" s="175">
        <f t="shared" si="58"/>
        <v>0</v>
      </c>
      <c r="I60" s="175" t="str">
        <f>$I$6</f>
        <v>07:30~08:30</v>
      </c>
      <c r="J60" s="176" t="str">
        <f t="shared" si="59"/>
        <v>-</v>
      </c>
      <c r="K60" s="176" t="str">
        <f t="shared" si="59"/>
        <v>-</v>
      </c>
      <c r="L60" s="175">
        <f>L6+L15+L24+L33+L42+L51</f>
        <v>0</v>
      </c>
      <c r="M60" s="175">
        <f>M6+M15+M24+M33+M42+M51</f>
        <v>0</v>
      </c>
      <c r="N60" s="175">
        <f>N6+N15+N24+N33+N42+N51</f>
        <v>0</v>
      </c>
      <c r="P60" s="175" t="str">
        <f>P33</f>
        <v>11:30~12:30</v>
      </c>
      <c r="Q60" s="176" t="str">
        <f>IF(ISERROR($S60/T60),"-",$S60/T60)</f>
        <v>-</v>
      </c>
      <c r="R60" s="176" t="str">
        <f>IF(ISERROR($T60/U60),"-",$T60/U60)</f>
        <v>-</v>
      </c>
      <c r="S60" s="175">
        <f t="shared" si="60"/>
        <v>0</v>
      </c>
      <c r="T60" s="175">
        <f t="shared" si="60"/>
        <v>0</v>
      </c>
      <c r="U60" s="175">
        <f t="shared" si="60"/>
        <v>0</v>
      </c>
      <c r="W60" s="175" t="str">
        <f>W33</f>
        <v>12:30~13:30</v>
      </c>
      <c r="X60" s="176" t="str">
        <f t="shared" si="61"/>
        <v>-</v>
      </c>
      <c r="Y60" s="176" t="str">
        <f t="shared" si="61"/>
        <v>-</v>
      </c>
      <c r="Z60" s="175">
        <f t="shared" si="62"/>
        <v>0</v>
      </c>
      <c r="AA60" s="175">
        <f t="shared" si="62"/>
        <v>0</v>
      </c>
      <c r="AB60" s="175">
        <f t="shared" si="62"/>
        <v>0</v>
      </c>
      <c r="AD60" s="175" t="str">
        <f>$AD$6</f>
        <v>17:30~18:30</v>
      </c>
      <c r="AE60" s="176" t="str">
        <f t="shared" si="63"/>
        <v>-</v>
      </c>
      <c r="AF60" s="176" t="str">
        <f t="shared" si="63"/>
        <v>-</v>
      </c>
      <c r="AG60" s="175">
        <f t="shared" si="64"/>
        <v>0</v>
      </c>
      <c r="AH60" s="175">
        <f t="shared" si="64"/>
        <v>0</v>
      </c>
      <c r="AI60" s="175">
        <f t="shared" si="64"/>
        <v>0</v>
      </c>
      <c r="AK60" s="175">
        <f>$AK$6</f>
        <v>0</v>
      </c>
      <c r="AL60" s="176" t="str">
        <f t="shared" si="65"/>
        <v>-</v>
      </c>
      <c r="AM60" s="176" t="str">
        <f t="shared" si="65"/>
        <v>-</v>
      </c>
      <c r="AN60" s="175">
        <f t="shared" si="66"/>
        <v>0</v>
      </c>
      <c r="AO60" s="175">
        <f t="shared" si="66"/>
        <v>0</v>
      </c>
      <c r="AP60" s="175">
        <f t="shared" si="66"/>
        <v>0</v>
      </c>
      <c r="AR60" s="175">
        <f>$AR$6</f>
        <v>0</v>
      </c>
      <c r="AS60" s="176" t="str">
        <f t="shared" si="67"/>
        <v>-</v>
      </c>
      <c r="AT60" s="176" t="str">
        <f t="shared" si="67"/>
        <v>-</v>
      </c>
      <c r="AU60" s="175">
        <f t="shared" si="74"/>
        <v>0</v>
      </c>
      <c r="AV60" s="175">
        <f t="shared" si="74"/>
        <v>0</v>
      </c>
      <c r="AW60" s="175">
        <f t="shared" si="74"/>
        <v>0</v>
      </c>
      <c r="AY60" s="175">
        <f>AY33</f>
        <v>0</v>
      </c>
      <c r="AZ60" s="176" t="str">
        <f t="shared" si="68"/>
        <v>-</v>
      </c>
      <c r="BA60" s="176" t="str">
        <f t="shared" si="68"/>
        <v>-</v>
      </c>
      <c r="BB60" s="175">
        <f t="shared" si="69"/>
        <v>0</v>
      </c>
      <c r="BC60" s="175">
        <f t="shared" si="69"/>
        <v>0</v>
      </c>
      <c r="BD60" s="175">
        <f t="shared" si="69"/>
        <v>0</v>
      </c>
      <c r="BF60" s="175" t="str">
        <f>BF33</f>
        <v>16:30~17:30</v>
      </c>
      <c r="BG60" s="176" t="str">
        <f t="shared" si="70"/>
        <v>-</v>
      </c>
      <c r="BH60" s="176" t="str">
        <f t="shared" si="70"/>
        <v>-</v>
      </c>
      <c r="BI60" s="175">
        <f t="shared" ref="BI60:BK60" si="76">BI6+BI15+BI24+BI33+BI42+BI51</f>
        <v>0</v>
      </c>
      <c r="BJ60" s="175">
        <f t="shared" si="76"/>
        <v>0</v>
      </c>
      <c r="BK60" s="175">
        <f t="shared" si="76"/>
        <v>0</v>
      </c>
      <c r="BM60" s="175" t="str">
        <f>BM33</f>
        <v>17:30~18:30</v>
      </c>
      <c r="BN60" s="176" t="str">
        <f t="shared" si="71"/>
        <v>-</v>
      </c>
      <c r="BO60" s="176" t="str">
        <f t="shared" si="71"/>
        <v>-</v>
      </c>
      <c r="BP60" s="175">
        <f t="shared" si="72"/>
        <v>0</v>
      </c>
      <c r="BQ60" s="175">
        <f t="shared" si="72"/>
        <v>0</v>
      </c>
      <c r="BR60" s="175">
        <f t="shared" si="72"/>
        <v>0</v>
      </c>
      <c r="BT60" s="175" t="s">
        <v>144</v>
      </c>
      <c r="BU60" s="176" t="str">
        <f>IF(ISERROR($BW60/BX60),"-",$BW60/BX60)</f>
        <v>-</v>
      </c>
      <c r="BV60" s="176" t="str">
        <f>IF(ISERROR($BW60/BY60),"-",$BW60/BY60)</f>
        <v>-</v>
      </c>
      <c r="BW60" s="175">
        <f>('假日(16-20)'!$AC$116+'假日(16-20)'!$AC$135+'假日(16-20)'!$AC$154+'假日(16-20)'!$AC$173)*15</f>
        <v>0</v>
      </c>
      <c r="BX60" s="175">
        <f>'假日(16-20)'!$AG$116+'假日(16-20)'!$AG$135+'假日(16-20)'!$AG$154+'假日(16-20)'!$AG$173</f>
        <v>0</v>
      </c>
      <c r="BY60" s="175">
        <f>'假日(16-20)'!$AI$116+'假日(16-20)'!$AI$135+'假日(16-20)'!$AI$154+'假日(16-20)'!$AI$173</f>
        <v>0</v>
      </c>
    </row>
    <row r="61" spans="2:77">
      <c r="B61" s="175" t="s">
        <v>196</v>
      </c>
      <c r="C61" s="176" t="str">
        <f>IF(ISERROR($E61/F61),"-",$E61/F61)</f>
        <v>-</v>
      </c>
      <c r="D61" s="176" t="str">
        <f t="shared" si="57"/>
        <v>-</v>
      </c>
      <c r="E61" s="175">
        <f t="shared" si="58"/>
        <v>0</v>
      </c>
      <c r="F61" s="175">
        <f t="shared" si="58"/>
        <v>0</v>
      </c>
      <c r="G61" s="175">
        <f t="shared" si="58"/>
        <v>0</v>
      </c>
      <c r="I61" s="175" t="str">
        <f>$I$7</f>
        <v>07:45~08:45</v>
      </c>
      <c r="J61" s="176" t="str">
        <f t="shared" si="59"/>
        <v>-</v>
      </c>
      <c r="K61" s="176" t="str">
        <f t="shared" si="59"/>
        <v>-</v>
      </c>
      <c r="L61" s="175">
        <f>L7+L16+L25+L34+L43+L52</f>
        <v>0</v>
      </c>
      <c r="M61" s="175">
        <f>M7+M16+M25+M34+M43+M52</f>
        <v>0</v>
      </c>
      <c r="N61" s="175">
        <f>N7+N16+N25+N34+N43+N52</f>
        <v>0</v>
      </c>
      <c r="P61" s="175" t="str">
        <f>P34</f>
        <v>11:45~12:45</v>
      </c>
      <c r="Q61" s="176" t="str">
        <f>IF(ISERROR($S61/T61),"-",$S61/T61)</f>
        <v>-</v>
      </c>
      <c r="R61" s="176" t="str">
        <f>IF(ISERROR($T61/U61),"-",$T61/U61)</f>
        <v>-</v>
      </c>
      <c r="S61" s="175">
        <f t="shared" si="60"/>
        <v>0</v>
      </c>
      <c r="T61" s="175">
        <f t="shared" si="60"/>
        <v>0</v>
      </c>
      <c r="U61" s="175">
        <f t="shared" si="60"/>
        <v>0</v>
      </c>
      <c r="W61" s="175" t="str">
        <f>W34</f>
        <v>12:45~13:45</v>
      </c>
      <c r="X61" s="176" t="str">
        <f t="shared" si="61"/>
        <v>-</v>
      </c>
      <c r="Y61" s="176" t="str">
        <f t="shared" si="61"/>
        <v>-</v>
      </c>
      <c r="Z61" s="175">
        <f t="shared" si="62"/>
        <v>0</v>
      </c>
      <c r="AA61" s="175">
        <f t="shared" si="62"/>
        <v>0</v>
      </c>
      <c r="AB61" s="175">
        <f t="shared" si="62"/>
        <v>0</v>
      </c>
      <c r="AD61" s="175" t="str">
        <f>$AD$7</f>
        <v>17:45~18:45</v>
      </c>
      <c r="AE61" s="176" t="str">
        <f t="shared" si="63"/>
        <v>-</v>
      </c>
      <c r="AF61" s="176" t="str">
        <f t="shared" si="63"/>
        <v>-</v>
      </c>
      <c r="AG61" s="175">
        <f t="shared" si="64"/>
        <v>0</v>
      </c>
      <c r="AH61" s="175">
        <f t="shared" si="64"/>
        <v>0</v>
      </c>
      <c r="AI61" s="175">
        <f t="shared" si="64"/>
        <v>0</v>
      </c>
      <c r="AK61" s="175">
        <f>$AK$7</f>
        <v>0</v>
      </c>
      <c r="AL61" s="176" t="str">
        <f t="shared" si="65"/>
        <v>-</v>
      </c>
      <c r="AM61" s="176" t="str">
        <f t="shared" si="65"/>
        <v>-</v>
      </c>
      <c r="AN61" s="175">
        <f t="shared" si="66"/>
        <v>0</v>
      </c>
      <c r="AO61" s="175">
        <f t="shared" si="66"/>
        <v>0</v>
      </c>
      <c r="AP61" s="175">
        <f t="shared" si="66"/>
        <v>0</v>
      </c>
      <c r="AR61" s="175">
        <f>$AR$7</f>
        <v>0</v>
      </c>
      <c r="AS61" s="176" t="str">
        <f t="shared" si="67"/>
        <v>-</v>
      </c>
      <c r="AT61" s="176" t="str">
        <f t="shared" si="67"/>
        <v>-</v>
      </c>
      <c r="AU61" s="175">
        <f t="shared" si="74"/>
        <v>0</v>
      </c>
      <c r="AV61" s="175">
        <f t="shared" si="74"/>
        <v>0</v>
      </c>
      <c r="AW61" s="175">
        <f t="shared" si="74"/>
        <v>0</v>
      </c>
      <c r="AY61" s="175">
        <f>AY34</f>
        <v>0</v>
      </c>
      <c r="AZ61" s="176" t="str">
        <f t="shared" si="68"/>
        <v>-</v>
      </c>
      <c r="BA61" s="176" t="str">
        <f t="shared" si="68"/>
        <v>-</v>
      </c>
      <c r="BB61" s="175">
        <f t="shared" si="69"/>
        <v>0</v>
      </c>
      <c r="BC61" s="175">
        <f t="shared" si="69"/>
        <v>0</v>
      </c>
      <c r="BD61" s="175">
        <f t="shared" si="69"/>
        <v>0</v>
      </c>
      <c r="BF61" s="175" t="str">
        <f>BF34</f>
        <v>16:45~17:45</v>
      </c>
      <c r="BG61" s="176" t="str">
        <f t="shared" si="70"/>
        <v>-</v>
      </c>
      <c r="BH61" s="176" t="str">
        <f t="shared" si="70"/>
        <v>-</v>
      </c>
      <c r="BI61" s="175">
        <f t="shared" ref="BI61:BK61" si="77">BI7+BI16+BI25+BI34+BI43+BI52</f>
        <v>0</v>
      </c>
      <c r="BJ61" s="175">
        <f t="shared" si="77"/>
        <v>0</v>
      </c>
      <c r="BK61" s="175">
        <f t="shared" si="77"/>
        <v>0</v>
      </c>
      <c r="BM61" s="175" t="str">
        <f>BM34</f>
        <v>17:45~18:45</v>
      </c>
      <c r="BN61" s="176" t="str">
        <f t="shared" si="71"/>
        <v>-</v>
      </c>
      <c r="BO61" s="176" t="str">
        <f t="shared" si="71"/>
        <v>-</v>
      </c>
      <c r="BP61" s="175">
        <f t="shared" si="72"/>
        <v>0</v>
      </c>
      <c r="BQ61" s="175">
        <f t="shared" si="72"/>
        <v>0</v>
      </c>
      <c r="BR61" s="175">
        <f t="shared" si="72"/>
        <v>0</v>
      </c>
      <c r="BT61" s="175" t="s">
        <v>140</v>
      </c>
      <c r="BU61" s="176" t="str">
        <f>IF(ISERROR($BW61/BX61),"-",$BW61/BX61)</f>
        <v>-</v>
      </c>
      <c r="BV61" s="176" t="str">
        <f t="shared" si="56"/>
        <v>-</v>
      </c>
      <c r="BW61" s="175">
        <f>('假日(16-20)'!$AC$135+'假日(16-20)'!$AC$154+'假日(16-20)'!$AC$173+'假日(16-20)'!$AC$192)*15</f>
        <v>0</v>
      </c>
      <c r="BX61" s="175">
        <f>'假日(16-20)'!$AG$135+'假日(16-20)'!$AG$154+'假日(16-20)'!$AG$173+'假日(16-20)'!$AG$192</f>
        <v>0</v>
      </c>
      <c r="BY61" s="175">
        <f>'假日(16-20)'!$AI$135+'假日(16-20)'!$AI$154+'假日(16-20)'!$AI$173+'假日(16-20)'!$AI$192</f>
        <v>0</v>
      </c>
    </row>
    <row r="62" spans="2:77">
      <c r="B62" s="175" t="s">
        <v>197</v>
      </c>
      <c r="C62" s="176" t="str">
        <f t="shared" si="57"/>
        <v>-</v>
      </c>
      <c r="D62" s="176" t="str">
        <f>IF(ISERROR($E62/G62),"-",$E62/G62)</f>
        <v>-</v>
      </c>
      <c r="E62" s="175">
        <f t="shared" si="58"/>
        <v>0</v>
      </c>
      <c r="F62" s="175">
        <f t="shared" si="58"/>
        <v>0</v>
      </c>
      <c r="G62" s="175">
        <f t="shared" si="58"/>
        <v>0</v>
      </c>
      <c r="I62" s="175" t="str">
        <f>$I$8</f>
        <v>08:00~09:00</v>
      </c>
      <c r="J62" s="176" t="str">
        <f t="shared" si="59"/>
        <v>-</v>
      </c>
      <c r="K62" s="176" t="str">
        <f t="shared" si="59"/>
        <v>-</v>
      </c>
      <c r="L62" s="175">
        <f>L8+L17+L26+L35+L44+L53</f>
        <v>0</v>
      </c>
      <c r="M62" s="175">
        <f>M8+M17+M26+M35+M44+M53</f>
        <v>0</v>
      </c>
      <c r="N62" s="175">
        <f>N8+N17+N26+N35+N44+N53</f>
        <v>0</v>
      </c>
      <c r="P62" s="175" t="str">
        <f>P35</f>
        <v>12:00~13:00</v>
      </c>
      <c r="Q62" s="176" t="str">
        <f>IF(ISERROR($S62/T62),"-",$S62/T62)</f>
        <v>-</v>
      </c>
      <c r="R62" s="176" t="str">
        <f>IF(ISERROR($T62/U62),"-",$T62/U62)</f>
        <v>-</v>
      </c>
      <c r="S62" s="175">
        <f t="shared" si="60"/>
        <v>0</v>
      </c>
      <c r="T62" s="175">
        <f t="shared" si="60"/>
        <v>0</v>
      </c>
      <c r="U62" s="175">
        <f t="shared" si="60"/>
        <v>0</v>
      </c>
      <c r="W62" s="175" t="str">
        <f>W35</f>
        <v>13:00~14:00</v>
      </c>
      <c r="X62" s="176" t="str">
        <f t="shared" si="61"/>
        <v>-</v>
      </c>
      <c r="Y62" s="176" t="str">
        <f t="shared" si="61"/>
        <v>-</v>
      </c>
      <c r="Z62" s="175">
        <f t="shared" si="62"/>
        <v>0</v>
      </c>
      <c r="AA62" s="175">
        <f t="shared" si="62"/>
        <v>0</v>
      </c>
      <c r="AB62" s="175">
        <f t="shared" si="62"/>
        <v>0</v>
      </c>
      <c r="AD62" s="175" t="str">
        <f>$AD$8</f>
        <v>18:00~19:00</v>
      </c>
      <c r="AE62" s="176" t="str">
        <f t="shared" si="63"/>
        <v>-</v>
      </c>
      <c r="AF62" s="176" t="str">
        <f t="shared" si="63"/>
        <v>-</v>
      </c>
      <c r="AG62" s="175">
        <f t="shared" si="64"/>
        <v>0</v>
      </c>
      <c r="AH62" s="175">
        <f t="shared" si="64"/>
        <v>0</v>
      </c>
      <c r="AI62" s="175">
        <f t="shared" si="64"/>
        <v>0</v>
      </c>
      <c r="AK62" s="175">
        <f>$AK$8</f>
        <v>0</v>
      </c>
      <c r="AL62" s="176" t="str">
        <f t="shared" si="65"/>
        <v>-</v>
      </c>
      <c r="AM62" s="176" t="str">
        <f t="shared" si="65"/>
        <v>-</v>
      </c>
      <c r="AN62" s="175">
        <f t="shared" si="66"/>
        <v>0</v>
      </c>
      <c r="AO62" s="175">
        <f t="shared" si="66"/>
        <v>0</v>
      </c>
      <c r="AP62" s="175">
        <f t="shared" si="66"/>
        <v>0</v>
      </c>
      <c r="AR62" s="175">
        <f>$AR$8</f>
        <v>0</v>
      </c>
      <c r="AS62" s="176" t="str">
        <f t="shared" ref="AS62" si="78">IF(ISERROR($AU62/AV62),"-",$AU62/AV62)</f>
        <v>-</v>
      </c>
      <c r="AT62" s="176" t="str">
        <f>IF(ISERROR($AU62/AW62),"-",$AU62/AW62)</f>
        <v>-</v>
      </c>
      <c r="AU62" s="175">
        <f t="shared" si="74"/>
        <v>0</v>
      </c>
      <c r="AV62" s="175">
        <f t="shared" si="74"/>
        <v>0</v>
      </c>
      <c r="AW62" s="175">
        <f t="shared" si="74"/>
        <v>0</v>
      </c>
      <c r="AY62" s="175">
        <f>AY35</f>
        <v>0</v>
      </c>
      <c r="AZ62" s="176" t="str">
        <f t="shared" si="68"/>
        <v>-</v>
      </c>
      <c r="BA62" s="176" t="str">
        <f t="shared" si="68"/>
        <v>-</v>
      </c>
      <c r="BB62" s="175">
        <f t="shared" si="69"/>
        <v>0</v>
      </c>
      <c r="BC62" s="175">
        <f t="shared" si="69"/>
        <v>0</v>
      </c>
      <c r="BD62" s="175">
        <f t="shared" si="69"/>
        <v>0</v>
      </c>
      <c r="BF62" s="175" t="str">
        <f>BF35</f>
        <v>17:00~18:00</v>
      </c>
      <c r="BG62" s="176" t="str">
        <f t="shared" si="70"/>
        <v>-</v>
      </c>
      <c r="BH62" s="176" t="str">
        <f t="shared" si="70"/>
        <v>-</v>
      </c>
      <c r="BI62" s="175">
        <f t="shared" ref="BI62:BK62" si="79">BI8+BI17+BI26+BI35+BI44+BI53</f>
        <v>0</v>
      </c>
      <c r="BJ62" s="175">
        <f t="shared" si="79"/>
        <v>0</v>
      </c>
      <c r="BK62" s="175">
        <f t="shared" si="79"/>
        <v>0</v>
      </c>
      <c r="BM62" s="175" t="str">
        <f>BM35</f>
        <v>18:00~19:00</v>
      </c>
      <c r="BN62" s="176" t="str">
        <f t="shared" ref="BN62" si="80">IF(ISERROR($BP62/BQ62),"-",$BP62/BQ62)</f>
        <v>-</v>
      </c>
      <c r="BO62" s="176" t="str">
        <f>IF(ISERROR($BP62/BR62),"-",$BP62/BR62)</f>
        <v>-</v>
      </c>
      <c r="BP62" s="175">
        <f t="shared" si="72"/>
        <v>0</v>
      </c>
      <c r="BQ62" s="175">
        <f t="shared" si="72"/>
        <v>0</v>
      </c>
      <c r="BR62" s="175">
        <f t="shared" si="72"/>
        <v>0</v>
      </c>
      <c r="BT62" s="175" t="s">
        <v>151</v>
      </c>
      <c r="BU62" s="176" t="str">
        <f>IF(ISERROR($BW62/BX62),"-",$BW62/BX62)</f>
        <v>-</v>
      </c>
      <c r="BV62" s="176" t="str">
        <f>IF(ISERROR($BW62/BY62),"-",$BW62/BY62)</f>
        <v>-</v>
      </c>
      <c r="BW62" s="175">
        <f>('假日(16-20)'!$AC$154+'假日(16-20)'!$AC$173+'假日(16-20)'!$AC$192+'假日(16-20)'!$AC$211)*15</f>
        <v>0</v>
      </c>
      <c r="BX62" s="175">
        <f>'假日(16-20)'!$AG$154+'假日(16-20)'!$AG$173+'假日(16-20)'!$AG$192+'假日(16-20)'!$AG$211</f>
        <v>0</v>
      </c>
      <c r="BY62" s="175">
        <f>'假日(16-20)'!$AI$154+'假日(16-20)'!$AI$173+'假日(16-20)'!$AI$192+'假日(16-20)'!$AI$211</f>
        <v>0</v>
      </c>
    </row>
    <row r="63" spans="2:77">
      <c r="B63" s="172" t="s">
        <v>157</v>
      </c>
      <c r="C63" s="177">
        <f>MAX(C58:C62)</f>
        <v>0</v>
      </c>
      <c r="D63" s="177"/>
      <c r="E63" s="172" t="s">
        <v>158</v>
      </c>
      <c r="F63" s="172" t="str">
        <f>IF(C63=C58,B$58,IF(C63=C59,B$59,IF(C63=C60,B$60,IF(C63=C61,B$61,IF(C63=C62,B$62,"-")))))</f>
        <v>-</v>
      </c>
      <c r="G63" s="172"/>
      <c r="I63" s="172" t="s">
        <v>157</v>
      </c>
      <c r="J63" s="177">
        <f>MAX(J58:J62)</f>
        <v>0</v>
      </c>
      <c r="K63" s="177"/>
      <c r="L63" s="172" t="s">
        <v>158</v>
      </c>
      <c r="M63" s="172" t="str">
        <f>IF(J63=J58,I$58,IF(J63=J59,I$59,IF(J63=J60,I$60,IF(J63=J61,I$61,IF(J63=J62,I$62,"-")))))</f>
        <v>-</v>
      </c>
      <c r="N63" s="172"/>
      <c r="P63" s="172" t="s">
        <v>157</v>
      </c>
      <c r="Q63" s="177">
        <f>MAX(Q58:Q62)</f>
        <v>0</v>
      </c>
      <c r="R63" s="177"/>
      <c r="S63" s="172" t="s">
        <v>158</v>
      </c>
      <c r="T63" s="172" t="str">
        <f>IF(Q63=Q58,P$58,IF(Q63=Q59,P$59,IF(Q63=Q60,P$60,IF(Q63=Q61,P$61,IF(Q63=Q62,P$62,"-")))))</f>
        <v>-</v>
      </c>
      <c r="U63" s="172"/>
      <c r="W63" s="172" t="s">
        <v>157</v>
      </c>
      <c r="X63" s="177">
        <f>MAX(X58:X62)</f>
        <v>0</v>
      </c>
      <c r="Y63" s="177"/>
      <c r="Z63" s="172" t="s">
        <v>158</v>
      </c>
      <c r="AA63" s="172" t="str">
        <f>IF(X63=X58,W$58,IF(X63=X59,W$59,IF(X63=X60,W$60,IF(X63=X61,W$61,IF(X63=X62,W$62,"-")))))</f>
        <v>-</v>
      </c>
      <c r="AB63" s="172"/>
      <c r="AD63" s="172" t="s">
        <v>157</v>
      </c>
      <c r="AE63" s="177">
        <f>MAX(AE58:AE62)</f>
        <v>0</v>
      </c>
      <c r="AF63" s="177"/>
      <c r="AG63" s="172" t="s">
        <v>158</v>
      </c>
      <c r="AH63" s="172" t="str">
        <f>IF(AE63=AE58,AD$58,IF(AE63=AE59,AD$59,IF(AE63=AE60,AD$60,IF(AE63=AE61,AD$61,IF(AE63=AE62,AD$62,"-")))))</f>
        <v>-</v>
      </c>
      <c r="AI63" s="172"/>
      <c r="AK63" s="172" t="s">
        <v>157</v>
      </c>
      <c r="AL63" s="177">
        <f>MAX(AL58:AL62)</f>
        <v>0</v>
      </c>
      <c r="AM63" s="177"/>
      <c r="AN63" s="172" t="s">
        <v>158</v>
      </c>
      <c r="AO63" s="172" t="str">
        <f>IF(AL63=AL58,AK$58,IF(AL63=AL59,AK$59,IF(AL63=AL60,AK$60,IF(AL63=AL61,AK$61,IF(AL63=AL62,AK$62,"-")))))</f>
        <v>-</v>
      </c>
      <c r="AP63" s="172"/>
      <c r="AR63" s="172" t="s">
        <v>157</v>
      </c>
      <c r="AS63" s="177">
        <f>MAX(AS58:AS62)</f>
        <v>0</v>
      </c>
      <c r="AT63" s="177"/>
      <c r="AU63" s="172" t="s">
        <v>158</v>
      </c>
      <c r="AV63" s="172" t="str">
        <f>IF(AS63=AS58,AR$58,IF(AS63=AS59,AR$59,IF(AS63=AS60,AR$60,IF(AS63=AS61,AR$61,IF(AS63=AS62,AR$62,"-")))))</f>
        <v>-</v>
      </c>
      <c r="AW63" s="172"/>
      <c r="AY63" s="172" t="s">
        <v>157</v>
      </c>
      <c r="AZ63" s="177">
        <f>MAX(AZ58:AZ62)</f>
        <v>0</v>
      </c>
      <c r="BA63" s="177"/>
      <c r="BB63" s="172" t="s">
        <v>158</v>
      </c>
      <c r="BC63" s="172" t="str">
        <f>IF(AZ63=AZ58,AY$58,IF(AZ63=AZ59,AY$59,IF(AZ63=AZ60,AY$60,IF(AZ63=AZ61,AY$61,IF(AZ63=AZ62,AY$62,"-")))))</f>
        <v>-</v>
      </c>
      <c r="BD63" s="172"/>
      <c r="BF63" s="172" t="s">
        <v>157</v>
      </c>
      <c r="BG63" s="177">
        <f>MAX(BG58:BG62)</f>
        <v>0</v>
      </c>
      <c r="BH63" s="177"/>
      <c r="BI63" s="172" t="s">
        <v>158</v>
      </c>
      <c r="BJ63" s="172" t="str">
        <f>IF(BG63=BG58,BF$58,IF(BG63=BG59,BF$59,IF(BG63=BG60,BF$60,IF(BG63=BG61,BF$61,IF(BG63=BG62,BF$62,"-")))))</f>
        <v>-</v>
      </c>
      <c r="BK63" s="172"/>
      <c r="BM63" s="172" t="s">
        <v>157</v>
      </c>
      <c r="BN63" s="177">
        <f>MAX(BN58:BN62)</f>
        <v>0</v>
      </c>
      <c r="BO63" s="177"/>
      <c r="BP63" s="172" t="s">
        <v>158</v>
      </c>
      <c r="BQ63" s="172" t="str">
        <f>IF(BN63=BN58,BM$58,IF(BN63=BN59,BM$59,IF(BN63=BN60,BM$60,IF(BN63=BN61,BM$61,IF(BN63=BN62,BM$62,"-")))))</f>
        <v>-</v>
      </c>
      <c r="BR63" s="172"/>
      <c r="BT63" s="175" t="s">
        <v>155</v>
      </c>
      <c r="BU63" s="176" t="str">
        <f>IF(ISERROR($BW63/BX63),"-",$BW63/BX63)</f>
        <v>-</v>
      </c>
      <c r="BV63" s="176" t="str">
        <f>IF(ISERROR($BW63/BY63),"-",$BW63/BY63)</f>
        <v>-</v>
      </c>
      <c r="BW63" s="175">
        <f>('假日(16-20)'!$AC$173+'假日(16-20)'!$AC$192+'假日(16-20)'!$AC$211+'假日(16-20)'!$AC$230)*15</f>
        <v>0</v>
      </c>
      <c r="BX63" s="175">
        <f>'假日(16-20)'!$AG$173+'假日(16-20)'!$AG$192+'假日(16-20)'!$AG$211+'假日(16-20)'!$AG$230</f>
        <v>0</v>
      </c>
      <c r="BY63" s="175">
        <f>'假日(16-20)'!$AI$173+'假日(16-20)'!$AI$192+'假日(16-20)'!$AI$211+'假日(16-20)'!$AI$230</f>
        <v>0</v>
      </c>
    </row>
    <row r="64" spans="2:77">
      <c r="B64" s="172" t="s">
        <v>159</v>
      </c>
      <c r="C64" s="177"/>
      <c r="D64" s="177">
        <f>MAX(D58:D62)</f>
        <v>0</v>
      </c>
      <c r="E64" s="172" t="s">
        <v>158</v>
      </c>
      <c r="F64" s="172" t="str">
        <f>IF(D64=D58,B$58,IF(D64=D59,B$59,IF(D64=D60,B$60,IF(D64=D61,B$61,IF(D64=D62,B$62,"-")))))</f>
        <v>-</v>
      </c>
      <c r="G64" s="172"/>
      <c r="I64" s="172" t="s">
        <v>159</v>
      </c>
      <c r="J64" s="177"/>
      <c r="K64" s="177">
        <f>MAX(K58:K62)</f>
        <v>0</v>
      </c>
      <c r="L64" s="172" t="s">
        <v>158</v>
      </c>
      <c r="M64" s="172" t="str">
        <f>IF(K64=K58,I$58,IF(K64=K59,I$59,IF(K64=K60,I$60,IF(K64=K61,I$61,IF(K64=K62,I$62,"-")))))</f>
        <v>-</v>
      </c>
      <c r="N64" s="172"/>
      <c r="P64" s="172" t="s">
        <v>159</v>
      </c>
      <c r="Q64" s="177"/>
      <c r="R64" s="177">
        <f>MAX(R58:R62)</f>
        <v>0</v>
      </c>
      <c r="S64" s="172" t="s">
        <v>158</v>
      </c>
      <c r="T64" s="172" t="str">
        <f>IF(R64=R58,P$58,IF(R64=R59,P$59,IF(R64=R60,P$60,IF(R64=R61,P$61,IF(R64=R62,P$62,"-")))))</f>
        <v>-</v>
      </c>
      <c r="U64" s="172"/>
      <c r="W64" s="172" t="s">
        <v>159</v>
      </c>
      <c r="X64" s="177"/>
      <c r="Y64" s="177">
        <f>MAX(Y58:Y62)</f>
        <v>0</v>
      </c>
      <c r="Z64" s="172" t="s">
        <v>158</v>
      </c>
      <c r="AA64" s="172" t="str">
        <f>IF(Y64=Y58,W$58,IF(Y64=Y59,W$59,IF(Y64=Y60,W$60,IF(Y64=Y61,W$61,IF(Y64=Y62,W$62,"-")))))</f>
        <v>-</v>
      </c>
      <c r="AB64" s="172"/>
      <c r="AD64" s="172" t="s">
        <v>159</v>
      </c>
      <c r="AE64" s="177"/>
      <c r="AF64" s="177">
        <f>MAX(AF58:AF62)</f>
        <v>0</v>
      </c>
      <c r="AG64" s="172" t="s">
        <v>158</v>
      </c>
      <c r="AH64" s="172" t="str">
        <f>IF(AF64=AF58,AD$58,IF(AF64=AF59,AD$59,IF(AF64=AF60,AD$60,IF(AF64=AF61,AD$61,IF(AF64=AF62,AD$62,"-")))))</f>
        <v>-</v>
      </c>
      <c r="AI64" s="172"/>
      <c r="AK64" s="172" t="s">
        <v>159</v>
      </c>
      <c r="AL64" s="177"/>
      <c r="AM64" s="177">
        <f>MAX(AM58:AM62)</f>
        <v>0</v>
      </c>
      <c r="AN64" s="172" t="s">
        <v>158</v>
      </c>
      <c r="AO64" s="172" t="str">
        <f>IF(AM64=AM58,AK$58,IF(AM64=AM59,AK$59,IF(AM64=AM60,AK$60,IF(AM64=AM61,AK$61,IF(AM64=AM62,AK$62,"-")))))</f>
        <v>-</v>
      </c>
      <c r="AP64" s="172"/>
      <c r="AR64" s="172" t="s">
        <v>159</v>
      </c>
      <c r="AS64" s="177"/>
      <c r="AT64" s="177">
        <f>MAX(AT58:AT62)</f>
        <v>0</v>
      </c>
      <c r="AU64" s="172" t="s">
        <v>158</v>
      </c>
      <c r="AV64" s="172" t="str">
        <f>IF(AT64=AT58,AR$58,IF(AT64=AT59,AR$59,IF(AT64=AT60,AR$60,IF(AT64=AT61,AR$61,IF(AT64=AT62,AR$62,"-")))))</f>
        <v>-</v>
      </c>
      <c r="AW64" s="172"/>
      <c r="AY64" s="172" t="s">
        <v>159</v>
      </c>
      <c r="AZ64" s="177"/>
      <c r="BA64" s="177">
        <f>MAX(BA58:BA62)</f>
        <v>0</v>
      </c>
      <c r="BB64" s="172" t="s">
        <v>158</v>
      </c>
      <c r="BC64" s="172" t="str">
        <f>IF(BA64=BA58,AY$58,IF(BA64=BA59,AY$59,IF(BA64=BA60,AY$60,IF(BA64=BA61,AY$61,IF(BA64=BA62,AY$62,"-")))))</f>
        <v>-</v>
      </c>
      <c r="BD64" s="172"/>
      <c r="BF64" s="172" t="s">
        <v>159</v>
      </c>
      <c r="BG64" s="177"/>
      <c r="BH64" s="177">
        <f>MAX(BH58:BH62)</f>
        <v>0</v>
      </c>
      <c r="BI64" s="172" t="s">
        <v>158</v>
      </c>
      <c r="BJ64" s="172" t="str">
        <f>IF(BH64=BH58,BF$58,IF(BH64=BH59,BF$59,IF(BH64=BH60,BF$60,IF(BH64=BH61,BF$61,IF(BH64=BH62,BF$62,"-")))))</f>
        <v>-</v>
      </c>
      <c r="BK64" s="172"/>
      <c r="BM64" s="172" t="s">
        <v>159</v>
      </c>
      <c r="BN64" s="177"/>
      <c r="BO64" s="177">
        <f>MAX(BO58:BO62)</f>
        <v>0</v>
      </c>
      <c r="BP64" s="172" t="s">
        <v>158</v>
      </c>
      <c r="BQ64" s="172" t="str">
        <f>IF(BO64=BO58,BM$58,IF(BO64=BO59,BM$59,IF(BO64=BO60,BM$60,IF(BO64=BO61,BM$61,IF(BO64=BO62,BM$62,"-")))))</f>
        <v>-</v>
      </c>
      <c r="BR64" s="172"/>
      <c r="BT64" s="175" t="s">
        <v>189</v>
      </c>
      <c r="BU64" s="176" t="str">
        <f>IF(ISERROR($BW64/BX64),"-",$BW64/BX64)</f>
        <v>-</v>
      </c>
      <c r="BV64" s="176" t="str">
        <f t="shared" si="56"/>
        <v>-</v>
      </c>
      <c r="BW64" s="175">
        <f>('假日(16-20)'!$AC$192+'假日(16-20)'!$AC$211+'假日(16-20)'!$AC$230+'假日(16-20)'!$AC$249)*15</f>
        <v>0</v>
      </c>
      <c r="BX64" s="175">
        <f>'假日(16-20)'!$AG$192+'假日(16-20)'!$AG$211+'假日(16-20)'!$AG$230+'假日(16-20)'!$AG$249</f>
        <v>0</v>
      </c>
      <c r="BY64" s="175">
        <f>'假日(16-20)'!$AI$192+'假日(16-20)'!$AI$211+'假日(16-20)'!$AI$230+'假日(16-20)'!$AI$249</f>
        <v>0</v>
      </c>
    </row>
    <row r="65" spans="72:77">
      <c r="BT65" s="175" t="s">
        <v>190</v>
      </c>
      <c r="BU65" s="176" t="str">
        <f>IF(ISERROR($BW65/BX65),"-",$BW65/BX65)</f>
        <v>-</v>
      </c>
      <c r="BV65" s="176" t="str">
        <f>IF(ISERROR($BW65/BY65),"-",$BW65/BY65)</f>
        <v>-</v>
      </c>
      <c r="BW65" s="175">
        <f>('假日(16-20)'!$AC$211+'假日(16-20)'!$AC$230+'假日(16-20)'!$AC$249+'假日(16-20)'!$AC$268)*15</f>
        <v>0</v>
      </c>
      <c r="BX65" s="175">
        <f>'假日(16-20)'!$AG$211+'假日(16-20)'!$AG$230+'假日(16-20)'!$AG$249+'假日(16-20)'!$AG$268</f>
        <v>0</v>
      </c>
      <c r="BY65" s="175">
        <f>'假日(16-20)'!$AI$211+'假日(16-20)'!$AI$230+'假日(16-20)'!$AI$249+'假日(16-20)'!$AI$268</f>
        <v>0</v>
      </c>
    </row>
    <row r="66" spans="72:77">
      <c r="BT66" s="175" t="s">
        <v>191</v>
      </c>
      <c r="BU66" s="176" t="str">
        <f>IF(ISERROR($BW66/BX66),"-",$BW66/BX66)</f>
        <v>-</v>
      </c>
      <c r="BV66" s="176" t="str">
        <f>IF(ISERROR($BW66/BY66),"-",$BW66/BY66)</f>
        <v>-</v>
      </c>
      <c r="BW66" s="175">
        <f>('假日(16-20)'!$AC$230+'假日(16-20)'!$AC$249+'假日(16-20)'!$AC$268+'假日(16-20)'!$AC$287)*15</f>
        <v>0</v>
      </c>
      <c r="BX66" s="175">
        <f>'假日(16-20)'!$AG$230+'假日(16-20)'!$AG$249+'假日(16-20)'!$AG$268+'假日(16-20)'!$AG$287</f>
        <v>0</v>
      </c>
      <c r="BY66" s="175">
        <f>'假日(16-20)'!$AI$230+'假日(16-20)'!$AI$249+'假日(16-20)'!$AI$268+'假日(16-20)'!$AI$287</f>
        <v>0</v>
      </c>
    </row>
    <row r="67" spans="72:77">
      <c r="BT67" s="175" t="s">
        <v>192</v>
      </c>
      <c r="BU67" s="176" t="str">
        <f>IF(ISERROR($BW67/BX67),"-",$BW67/BX67)</f>
        <v>-</v>
      </c>
      <c r="BV67" s="176" t="str">
        <f>IF(ISERROR($BW67/BY67),"-",$BW67/BY67)</f>
        <v>-</v>
      </c>
      <c r="BW67" s="175">
        <f>('假日(16-20)'!$AC$249+'假日(16-20)'!$AC$268+'假日(16-20)'!$AC$287+'假日(16-20)'!$AC$306)*15</f>
        <v>0</v>
      </c>
      <c r="BX67" s="175">
        <f>'假日(16-20)'!$AG$249+'假日(16-20)'!$AG$268+'假日(16-20)'!$AG$287+'假日(16-20)'!$AG$306</f>
        <v>0</v>
      </c>
      <c r="BY67" s="175">
        <f>'假日(16-20)'!$AI$249+'假日(16-20)'!$AI$268+'假日(16-20)'!$AI$287+'假日(16-20)'!$AI$306</f>
        <v>0</v>
      </c>
    </row>
    <row r="68" spans="72:77">
      <c r="BT68" s="172" t="str">
        <f>CONCATENATE(基本資料!$E$18,"方向","平均延滯")</f>
        <v>D方向平均延滯</v>
      </c>
      <c r="BU68" s="177" t="str">
        <f>IF(ISERROR(VLOOKUP($BX$119,BT55:BU67,2,1)),"-",VLOOKUP($BX$119,BT55:BU67,2,1))</f>
        <v>-</v>
      </c>
      <c r="BV68" s="177"/>
      <c r="BW68" s="172"/>
      <c r="BX68" s="172"/>
      <c r="BY68" s="172"/>
    </row>
    <row r="69" spans="72:77">
      <c r="BT69" s="172" t="str">
        <f>CONCATENATE(基本資料!$E$18,"方向","平均停等車輛延滯")</f>
        <v>D方向平均停等車輛延滯</v>
      </c>
      <c r="BU69" s="177"/>
      <c r="BV69" s="177" t="str">
        <f>IF(ISERROR(VLOOKUP($BX$120,BT55:BV67,3,1)),"-",VLOOKUP($BX$120,BT55:BV67,3,1))</f>
        <v>-</v>
      </c>
      <c r="BW69" s="172"/>
      <c r="BX69" s="172"/>
      <c r="BY69" s="172"/>
    </row>
    <row r="70" spans="72:77">
      <c r="BT70" s="263" t="str">
        <f>'假日(16-18)'!$AK$2</f>
        <v>E方向：</v>
      </c>
      <c r="BU70" s="264"/>
      <c r="BV70" s="264"/>
      <c r="BW70" s="264"/>
      <c r="BX70" s="264"/>
      <c r="BY70" s="265"/>
    </row>
    <row r="71" spans="72:77">
      <c r="BT71" s="172" t="s">
        <v>129</v>
      </c>
      <c r="BU71" s="173" t="s">
        <v>135</v>
      </c>
      <c r="BV71" s="174" t="s">
        <v>131</v>
      </c>
      <c r="BW71" s="173" t="s">
        <v>132</v>
      </c>
      <c r="BX71" s="173" t="s">
        <v>133</v>
      </c>
      <c r="BY71" s="173" t="s">
        <v>134</v>
      </c>
    </row>
    <row r="72" spans="72:77">
      <c r="BT72" s="175" t="str">
        <f>BT55</f>
        <v>16:00~17:00</v>
      </c>
      <c r="BU72" s="176" t="str">
        <f>IF(ISERROR($BW72/BX72),"-",$BW72/BX72)</f>
        <v>-</v>
      </c>
      <c r="BV72" s="176" t="str">
        <f>IF(ISERROR($BW72/BY72),"-",$BW72/BY72)</f>
        <v>-</v>
      </c>
      <c r="BW72" s="175">
        <f>('假日(16-20)'!$AL$21+'假日(16-20)'!$AL$40+'假日(16-20)'!$AL$59+'假日(16-20)'!$AL$78)*15</f>
        <v>0</v>
      </c>
      <c r="BX72" s="175">
        <f>'假日(16-20)'!$AP$21+'假日(16-20)'!$AP$40+'假日(16-20)'!$AP$59+'假日(16-20)'!$AP$78</f>
        <v>0</v>
      </c>
      <c r="BY72" s="175">
        <f>'假日(16-20)'!$AR$21+'假日(16-20)'!$AR$40+'假日(16-20)'!$AR$59+'假日(16-20)'!$AR$78</f>
        <v>0</v>
      </c>
    </row>
    <row r="73" spans="72:77">
      <c r="BT73" s="175" t="str">
        <f>BT56</f>
        <v>16:15~17:15</v>
      </c>
      <c r="BU73" s="176" t="str">
        <f>IF(ISERROR($BW73/BX73),"-",$BW73/BX73)</f>
        <v>-</v>
      </c>
      <c r="BV73" s="176" t="str">
        <f>IF(ISERROR($BW73/BY73),"-",$BW73/BY73)</f>
        <v>-</v>
      </c>
      <c r="BW73" s="175">
        <f>('假日(16-20)'!$AL$40+'假日(16-20)'!$AL$59+'假日(16-20)'!$AL$78+'假日(16-20)'!$AL$97)*15</f>
        <v>0</v>
      </c>
      <c r="BX73" s="175">
        <f>'假日(16-20)'!$AP$40+'假日(16-20)'!$AP$59+'假日(16-20)'!$AP$78+'假日(16-20)'!$AP$97</f>
        <v>0</v>
      </c>
      <c r="BY73" s="175">
        <f>'假日(16-20)'!$AR$40+'假日(16-20)'!$AR$59+'假日(16-20)'!$AR$78+'假日(16-20)'!$AR$97</f>
        <v>0</v>
      </c>
    </row>
    <row r="74" spans="72:77">
      <c r="BT74" s="175" t="str">
        <f>BT57</f>
        <v>16:30~17:30</v>
      </c>
      <c r="BU74" s="176" t="str">
        <f t="shared" ref="BU73:BU84" si="81">IF(ISERROR($BW74/BX74),"-",$BW74/BX74)</f>
        <v>-</v>
      </c>
      <c r="BV74" s="176" t="str">
        <f t="shared" ref="BV73:BV84" si="82">IF(ISERROR($BW74/BY74),"-",$BW74/BY74)</f>
        <v>-</v>
      </c>
      <c r="BW74" s="175">
        <f>('假日(16-20)'!$AL$59+'假日(16-20)'!$AL$78+'假日(16-20)'!$AL$97+'假日(16-20)'!$AL$116)*15</f>
        <v>0</v>
      </c>
      <c r="BX74" s="175">
        <f>'假日(16-20)'!$AP$59+'假日(16-20)'!$AP$78+'假日(16-20)'!$AP$97+'假日(16-20)'!$AP$116</f>
        <v>0</v>
      </c>
      <c r="BY74" s="175">
        <f>'假日(16-20)'!$AR$59+'假日(16-20)'!$AR$78+'假日(16-20)'!$AR$97+'假日(16-20)'!$AR$116</f>
        <v>0</v>
      </c>
    </row>
    <row r="75" spans="72:77">
      <c r="BT75" s="175" t="str">
        <f>BT58</f>
        <v>16:45~17:45</v>
      </c>
      <c r="BU75" s="176" t="str">
        <f>IF(ISERROR($BW75/BX75),"-",$BW75/BX75)</f>
        <v>-</v>
      </c>
      <c r="BV75" s="176" t="str">
        <f t="shared" si="82"/>
        <v>-</v>
      </c>
      <c r="BW75" s="175">
        <f>('假日(16-20)'!$AL$78+'假日(16-20)'!$AL$97+'假日(16-20)'!$AL$116+'假日(16-20)'!$AL$135)*15</f>
        <v>0</v>
      </c>
      <c r="BX75" s="175">
        <f>'假日(16-20)'!$AP$78+'假日(16-20)'!$AP$97+'假日(16-20)'!$AP$116+'假日(16-20)'!$AP$135</f>
        <v>0</v>
      </c>
      <c r="BY75" s="175">
        <f>'假日(16-20)'!$AR$78+'假日(16-20)'!$AR$97+'假日(16-20)'!$AR$116+'假日(16-20)'!$AR$135</f>
        <v>0</v>
      </c>
    </row>
    <row r="76" spans="72:77">
      <c r="BT76" s="175" t="str">
        <f>BT59</f>
        <v>17:00~18:00</v>
      </c>
      <c r="BU76" s="176" t="str">
        <f>IF(ISERROR($BW76/BX76),"-",$BW76/BX76)</f>
        <v>-</v>
      </c>
      <c r="BV76" s="176" t="str">
        <f t="shared" si="82"/>
        <v>-</v>
      </c>
      <c r="BW76" s="175">
        <f>('假日(16-20)'!$AL$97+'假日(16-20)'!$AL$116+'假日(16-20)'!$AL$135+'假日(16-20)'!$AL$154)*15</f>
        <v>0</v>
      </c>
      <c r="BX76" s="175">
        <f>'假日(16-20)'!$AP$97+'假日(16-20)'!$AP$116+'假日(16-20)'!$AP$135+'假日(16-20)'!$AP$154</f>
        <v>0</v>
      </c>
      <c r="BY76" s="175">
        <f>'假日(16-20)'!$AR$97+'假日(16-20)'!$AR$116+'假日(16-20)'!$AR$135+'假日(16-20)'!$AR$154</f>
        <v>0</v>
      </c>
    </row>
    <row r="77" spans="72:77">
      <c r="BT77" s="175" t="s">
        <v>144</v>
      </c>
      <c r="BU77" s="176" t="str">
        <f t="shared" si="81"/>
        <v>-</v>
      </c>
      <c r="BV77" s="176" t="str">
        <f t="shared" si="82"/>
        <v>-</v>
      </c>
      <c r="BW77" s="175">
        <f>('假日(16-20)'!$AL$116+'假日(16-20)'!$AL$135+'假日(16-20)'!$AL$154+'假日(16-20)'!$AL$173)*15</f>
        <v>0</v>
      </c>
      <c r="BX77" s="175">
        <f>'假日(16-20)'!$AP$116+'假日(16-20)'!$AP$135+'假日(16-20)'!$AP$154+'假日(16-20)'!$AP$173</f>
        <v>0</v>
      </c>
      <c r="BY77" s="175">
        <f>'假日(16-20)'!$AR$116+'假日(16-20)'!$AR$135+'假日(16-20)'!$AR$154+'假日(16-20)'!$AR$173</f>
        <v>0</v>
      </c>
    </row>
    <row r="78" spans="72:77">
      <c r="BT78" s="175" t="s">
        <v>140</v>
      </c>
      <c r="BU78" s="176" t="str">
        <f>IF(ISERROR($BW78/BX78),"-",$BW78/BX78)</f>
        <v>-</v>
      </c>
      <c r="BV78" s="176" t="str">
        <f>IF(ISERROR($BW78/BY78),"-",$BW78/BY78)</f>
        <v>-</v>
      </c>
      <c r="BW78" s="175">
        <f>('假日(16-20)'!$AL$135+'假日(16-20)'!$AL$154+'假日(16-20)'!$AL$173+'假日(16-20)'!$AL$192)*15</f>
        <v>0</v>
      </c>
      <c r="BX78" s="175">
        <f>'假日(16-20)'!$AP$135+'假日(16-20)'!$AP$154+'假日(16-20)'!$AP$173+'假日(16-20)'!$AP$192</f>
        <v>0</v>
      </c>
      <c r="BY78" s="175">
        <f>'假日(16-20)'!$AR$135+'假日(16-20)'!$AR$154+'假日(16-20)'!$AR$173+'假日(16-20)'!$AR$192</f>
        <v>0</v>
      </c>
    </row>
    <row r="79" spans="72:77">
      <c r="BT79" s="175" t="s">
        <v>151</v>
      </c>
      <c r="BU79" s="176" t="str">
        <f>IF(ISERROR($BW79/BX79),"-",$BW79/BX79)</f>
        <v>-</v>
      </c>
      <c r="BV79" s="176" t="str">
        <f t="shared" si="82"/>
        <v>-</v>
      </c>
      <c r="BW79" s="175">
        <f>('假日(16-20)'!$AL$154+'假日(16-20)'!$AL$173+'假日(16-20)'!$AL$192+'假日(16-20)'!$AL$211)*15</f>
        <v>0</v>
      </c>
      <c r="BX79" s="175">
        <f>'假日(16-20)'!$AP$154+'假日(16-20)'!$AP$173+'假日(16-20)'!$AP$192+'假日(16-20)'!$AP$211</f>
        <v>0</v>
      </c>
      <c r="BY79" s="175">
        <f>'假日(16-20)'!$AR$154+'假日(16-20)'!$AR$173+'假日(16-20)'!$AR$192+'假日(16-20)'!$AR$211</f>
        <v>0</v>
      </c>
    </row>
    <row r="80" spans="72:77">
      <c r="BT80" s="175" t="s">
        <v>155</v>
      </c>
      <c r="BU80" s="176" t="str">
        <f>IF(ISERROR($BW80/BX80),"-",$BW80/BX80)</f>
        <v>-</v>
      </c>
      <c r="BV80" s="176" t="str">
        <f t="shared" si="82"/>
        <v>-</v>
      </c>
      <c r="BW80" s="175">
        <f>('假日(16-20)'!$AL$173+'假日(16-20)'!$AL$192+'假日(16-20)'!$AL$211+'假日(16-20)'!$AL$230)*15</f>
        <v>0</v>
      </c>
      <c r="BX80" s="175">
        <f>'假日(16-20)'!$AP$173+'假日(16-20)'!$AP$192+'假日(16-20)'!$AP$211+'假日(16-20)'!$AP$230</f>
        <v>0</v>
      </c>
      <c r="BY80" s="175">
        <f>'假日(16-20)'!$AR$173+'假日(16-20)'!$AR$192+'假日(16-20)'!$AR$211+'假日(16-20)'!$AR$230</f>
        <v>0</v>
      </c>
    </row>
    <row r="81" spans="72:77">
      <c r="BT81" s="175" t="s">
        <v>189</v>
      </c>
      <c r="BU81" s="176" t="str">
        <f>IF(ISERROR($BW81/BX81),"-",$BW81/BX81)</f>
        <v>-</v>
      </c>
      <c r="BV81" s="176" t="str">
        <f t="shared" si="82"/>
        <v>-</v>
      </c>
      <c r="BW81" s="175">
        <f>('假日(16-20)'!$AL$192+'假日(16-20)'!$AL$211+'假日(16-20)'!$AL$230+'假日(16-20)'!$AL$249)*15</f>
        <v>0</v>
      </c>
      <c r="BX81" s="175">
        <f>'假日(16-20)'!$AP$192+'假日(16-20)'!$AP$211+'假日(16-20)'!$AP$230+'假日(16-20)'!$AP$249</f>
        <v>0</v>
      </c>
      <c r="BY81" s="175">
        <f>'假日(16-20)'!$AR$192+'假日(16-20)'!$AR$211+'假日(16-20)'!$AR$230+'假日(16-20)'!$AR$249</f>
        <v>0</v>
      </c>
    </row>
    <row r="82" spans="72:77">
      <c r="BT82" s="175" t="s">
        <v>190</v>
      </c>
      <c r="BU82" s="176" t="str">
        <f>IF(ISERROR($BW82/BX82),"-",$BW82/BX82)</f>
        <v>-</v>
      </c>
      <c r="BV82" s="176" t="str">
        <f>IF(ISERROR($BW82/BY82),"-",$BW82/BY82)</f>
        <v>-</v>
      </c>
      <c r="BW82" s="175">
        <f>('假日(16-20)'!$AL$211+'假日(16-20)'!$AL$230+'假日(16-20)'!$AL$249+'假日(16-20)'!$AL$268)*15</f>
        <v>0</v>
      </c>
      <c r="BX82" s="175">
        <f>'假日(16-20)'!$AP$211+'假日(16-20)'!$AP$230+'假日(16-20)'!$AP$249+'假日(16-20)'!$AP$268</f>
        <v>0</v>
      </c>
      <c r="BY82" s="175">
        <f>'假日(16-20)'!$AR$211+'假日(16-20)'!$AR$230+'假日(16-20)'!$AR$249+'假日(16-20)'!$AR$268</f>
        <v>0</v>
      </c>
    </row>
    <row r="83" spans="72:77">
      <c r="BT83" s="175" t="s">
        <v>191</v>
      </c>
      <c r="BU83" s="176" t="str">
        <f>IF(ISERROR($BW83/BX83),"-",$BW83/BX83)</f>
        <v>-</v>
      </c>
      <c r="BV83" s="176" t="str">
        <f t="shared" si="82"/>
        <v>-</v>
      </c>
      <c r="BW83" s="175">
        <f>('假日(16-20)'!$AL$230+'假日(16-20)'!$AL$249+'假日(16-20)'!$AL$268+'假日(16-20)'!$AL$287)*15</f>
        <v>0</v>
      </c>
      <c r="BX83" s="175">
        <f>'假日(16-20)'!$AP$230+'假日(16-20)'!$AP$249+'假日(16-20)'!$AP$268+'假日(16-20)'!$AP$287</f>
        <v>0</v>
      </c>
      <c r="BY83" s="175">
        <f>'假日(16-20)'!$AR$230+'假日(16-20)'!$AR$249+'假日(16-20)'!$AR$268+'假日(16-20)'!$AR$287</f>
        <v>0</v>
      </c>
    </row>
    <row r="84" spans="72:77">
      <c r="BT84" s="175" t="s">
        <v>192</v>
      </c>
      <c r="BU84" s="176" t="str">
        <f>IF(ISERROR($BW84/BX84),"-",$BW84/BX84)</f>
        <v>-</v>
      </c>
      <c r="BV84" s="176" t="str">
        <f>IF(ISERROR($BW84/BY84),"-",$BW84/BY84)</f>
        <v>-</v>
      </c>
      <c r="BW84" s="175">
        <f>('假日(16-20)'!$AL$249+'假日(16-20)'!$AL$268+'假日(16-20)'!$AL$287+'假日(16-20)'!$AL$306)*15</f>
        <v>0</v>
      </c>
      <c r="BX84" s="175">
        <f>'假日(16-20)'!$AP$249+'假日(16-20)'!$AP$268+'假日(16-20)'!$AP$287+'假日(16-20)'!$AP$306</f>
        <v>0</v>
      </c>
      <c r="BY84" s="175">
        <f>'假日(16-20)'!$AR$249+'假日(16-20)'!$AR$268+'假日(16-20)'!$AR$287+'假日(16-20)'!$AR$306</f>
        <v>0</v>
      </c>
    </row>
    <row r="85" spans="72:77">
      <c r="BT85" s="172" t="str">
        <f>CONCATENATE(基本資料!$F$18,"方向","平均延滯")</f>
        <v>E方向平均延滯</v>
      </c>
      <c r="BU85" s="177" t="str">
        <f>IF(ISERROR(VLOOKUP($BX$119,BT72:BU84,2,1)),"-",VLOOKUP($BX$119,BT72:BU84,2,1))</f>
        <v>-</v>
      </c>
      <c r="BV85" s="177"/>
      <c r="BW85" s="172"/>
      <c r="BX85" s="172"/>
      <c r="BY85" s="172"/>
    </row>
    <row r="86" spans="72:77">
      <c r="BT86" s="172" t="str">
        <f>CONCATENATE(基本資料!$F$18,"方向","平均停等車輛延滯")</f>
        <v>E方向平均停等車輛延滯</v>
      </c>
      <c r="BU86" s="177"/>
      <c r="BV86" s="177" t="str">
        <f>IF(ISERROR(VLOOKUP($BX$120,BT72:BV84,3,1)),"-",VLOOKUP($BX$120,BT72:BV84,3,1))</f>
        <v>-</v>
      </c>
      <c r="BW86" s="172"/>
      <c r="BX86" s="172"/>
      <c r="BY86" s="172"/>
    </row>
    <row r="87" spans="72:77">
      <c r="BT87" s="263" t="str">
        <f>'假日(16-18)'!$AT$2</f>
        <v>F方向：</v>
      </c>
      <c r="BU87" s="264"/>
      <c r="BV87" s="264"/>
      <c r="BW87" s="264"/>
      <c r="BX87" s="264"/>
      <c r="BY87" s="265"/>
    </row>
    <row r="88" spans="72:77">
      <c r="BT88" s="172" t="s">
        <v>129</v>
      </c>
      <c r="BU88" s="173" t="s">
        <v>135</v>
      </c>
      <c r="BV88" s="174" t="s">
        <v>131</v>
      </c>
      <c r="BW88" s="173" t="s">
        <v>132</v>
      </c>
      <c r="BX88" s="173" t="s">
        <v>133</v>
      </c>
      <c r="BY88" s="173" t="s">
        <v>134</v>
      </c>
    </row>
    <row r="89" spans="72:77">
      <c r="BT89" s="175" t="str">
        <f>BT72</f>
        <v>16:00~17:00</v>
      </c>
      <c r="BU89" s="176" t="str">
        <f>IF(ISERROR($BW89/BX89),"-",$BW89/BX89)</f>
        <v>-</v>
      </c>
      <c r="BV89" s="176" t="str">
        <f>IF(ISERROR($BW89/BY89),"-",$BW89/BY89)</f>
        <v>-</v>
      </c>
      <c r="BW89" s="175">
        <f>('假日(16-20)'!$AU$21+'假日(16-20)'!$AU$40+'假日(16-20)'!$AU$59+'假日(16-20)'!$AU$78)*15</f>
        <v>0</v>
      </c>
      <c r="BX89" s="175">
        <f>'假日(16-20)'!$AY$21+'假日(16-20)'!$AY$40+'假日(16-20)'!$AY$59+'假日(16-20)'!$AY$78</f>
        <v>0</v>
      </c>
      <c r="BY89" s="175">
        <f>'假日(16-20)'!$BA$21+'假日(16-20)'!$BA$40+'假日(16-20)'!$BA$59+'假日(16-20)'!$BA$78</f>
        <v>0</v>
      </c>
    </row>
    <row r="90" spans="72:77">
      <c r="BT90" s="175" t="str">
        <f>BT73</f>
        <v>16:15~17:15</v>
      </c>
      <c r="BU90" s="176" t="str">
        <f>IF(ISERROR($BW90/BX90),"-",$BW90/BX90)</f>
        <v>-</v>
      </c>
      <c r="BV90" s="176" t="str">
        <f>IF(ISERROR($BW90/BY90),"-",$BW90/BY90)</f>
        <v>-</v>
      </c>
      <c r="BW90" s="175">
        <f>('假日(16-20)'!$AU$40+'假日(16-20)'!$AU$59+'假日(16-20)'!$AU$78+'假日(16-20)'!$AU$97)*15</f>
        <v>0</v>
      </c>
      <c r="BX90" s="175">
        <f>'假日(16-20)'!$AY$40+'假日(16-20)'!$AY$59+'假日(16-20)'!$AY$78+'假日(16-20)'!$AY$97</f>
        <v>0</v>
      </c>
      <c r="BY90" s="175">
        <f>'假日(16-20)'!$BA$40+'假日(16-20)'!$BA$59+'假日(16-20)'!$BA$78+'假日(16-20)'!$BA$97</f>
        <v>0</v>
      </c>
    </row>
    <row r="91" spans="72:77">
      <c r="BT91" s="175" t="str">
        <f>BT74</f>
        <v>16:30~17:30</v>
      </c>
      <c r="BU91" s="176" t="str">
        <f>IF(ISERROR($BW91/BX91),"-",$BW91/BX91)</f>
        <v>-</v>
      </c>
      <c r="BV91" s="176" t="str">
        <f>IF(ISERROR($BW91/BY91),"-",$BW91/BY91)</f>
        <v>-</v>
      </c>
      <c r="BW91" s="175">
        <f>('假日(16-20)'!$AU$59+'假日(16-20)'!$AU$78+'假日(16-20)'!$AU$97+'假日(16-20)'!$AU$116)*15</f>
        <v>0</v>
      </c>
      <c r="BX91" s="175">
        <f>'假日(16-20)'!$AY$59+'假日(16-20)'!$AY$78+'假日(16-20)'!$AY$97+'假日(16-20)'!$AY$116</f>
        <v>0</v>
      </c>
      <c r="BY91" s="175">
        <f>'假日(16-20)'!$BA$59+'假日(16-20)'!$BA$78+'假日(16-20)'!$BA$97+'假日(16-20)'!$BA$116</f>
        <v>0</v>
      </c>
    </row>
    <row r="92" spans="72:77">
      <c r="BT92" s="175" t="str">
        <f>BT75</f>
        <v>16:45~17:45</v>
      </c>
      <c r="BU92" s="176" t="str">
        <f>IF(ISERROR($BW92/BX92),"-",$BW92/BX92)</f>
        <v>-</v>
      </c>
      <c r="BV92" s="176" t="str">
        <f>IF(ISERROR($BW92/BY92),"-",$BW92/BY92)</f>
        <v>-</v>
      </c>
      <c r="BW92" s="175">
        <f>('假日(16-20)'!$AU$78+'假日(16-20)'!$AU$97+'假日(16-20)'!$AU$116+'假日(16-20)'!$AU$135)*15</f>
        <v>0</v>
      </c>
      <c r="BX92" s="175">
        <f>'假日(16-20)'!$AY$78+'假日(16-20)'!$AY$97+'假日(16-20)'!$AY$116+'假日(16-20)'!$AY$135</f>
        <v>0</v>
      </c>
      <c r="BY92" s="175">
        <f>'假日(16-20)'!$BA$78+'假日(16-20)'!$BA$97+'假日(16-20)'!$BA$116+'假日(16-20)'!$BA$135</f>
        <v>0</v>
      </c>
    </row>
    <row r="93" spans="72:77">
      <c r="BT93" s="175" t="str">
        <f>BT76</f>
        <v>17:00~18:00</v>
      </c>
      <c r="BU93" s="176" t="str">
        <f>IF(ISERROR($BW93/BX93),"-",$BW93/BX93)</f>
        <v>-</v>
      </c>
      <c r="BV93" s="176" t="str">
        <f>IF(ISERROR($BW93/BY93),"-",$BW93/BY93)</f>
        <v>-</v>
      </c>
      <c r="BW93" s="175">
        <f>('假日(16-20)'!$AU$97+'假日(16-20)'!$AU$116+'假日(16-20)'!$AU$135+'假日(16-20)'!$AU$154)*15</f>
        <v>0</v>
      </c>
      <c r="BX93" s="175">
        <f>'假日(16-20)'!$AY$97+'假日(16-20)'!$AY$116+'假日(16-20)'!$AY$135+'假日(16-20)'!$AY$154</f>
        <v>0</v>
      </c>
      <c r="BY93" s="175">
        <f>'假日(16-20)'!$BA$97+'假日(16-20)'!$BA$116+'假日(16-20)'!$BA$135+'假日(16-20)'!$BA$154</f>
        <v>0</v>
      </c>
    </row>
    <row r="94" spans="72:77">
      <c r="BT94" s="175" t="s">
        <v>144</v>
      </c>
      <c r="BU94" s="176" t="str">
        <f>IF(ISERROR($BW94/BX94),"-",$BW94/BX94)</f>
        <v>-</v>
      </c>
      <c r="BV94" s="176" t="str">
        <f>IF(ISERROR($BW94/BY94),"-",$BW94/BY94)</f>
        <v>-</v>
      </c>
      <c r="BW94" s="175">
        <f>('假日(16-20)'!$AU$116+'假日(16-20)'!$AU$135+'假日(16-20)'!$AU$154+'假日(16-20)'!$AU$173)*15</f>
        <v>0</v>
      </c>
      <c r="BX94" s="175">
        <f>'假日(16-20)'!$AY$116+'假日(16-20)'!$AY$135+'假日(16-20)'!$AY$154+'假日(16-20)'!$AY$173</f>
        <v>0</v>
      </c>
      <c r="BY94" s="175">
        <f>'假日(16-20)'!$BA$116+'假日(16-20)'!$BA$135+'假日(16-20)'!$BA$154+'假日(16-20)'!$BA$173</f>
        <v>0</v>
      </c>
    </row>
    <row r="95" spans="72:77">
      <c r="BT95" s="175" t="s">
        <v>140</v>
      </c>
      <c r="BU95" s="176" t="str">
        <f>IF(ISERROR($BW95/BX95),"-",$BW95/BX95)</f>
        <v>-</v>
      </c>
      <c r="BV95" s="176" t="str">
        <f>IF(ISERROR($BW95/BY95),"-",$BW95/BY95)</f>
        <v>-</v>
      </c>
      <c r="BW95" s="175">
        <f>('假日(16-20)'!$AU$135+'假日(16-20)'!$AU$154+'假日(16-20)'!$AU$173+'假日(16-20)'!$AU$192)*15</f>
        <v>0</v>
      </c>
      <c r="BX95" s="175">
        <f>'假日(16-20)'!$AY$135+'假日(16-20)'!$AY$154+'假日(16-20)'!$AY$173+'假日(16-20)'!$AY$192</f>
        <v>0</v>
      </c>
      <c r="BY95" s="175">
        <f>'假日(16-20)'!$BA$135+'假日(16-20)'!$BA$154+'假日(16-20)'!$BA$173+'假日(16-20)'!$BA$192</f>
        <v>0</v>
      </c>
    </row>
    <row r="96" spans="72:77">
      <c r="BT96" s="175" t="s">
        <v>151</v>
      </c>
      <c r="BU96" s="176" t="str">
        <f>IF(ISERROR($BW96/BX96),"-",$BW96/BX96)</f>
        <v>-</v>
      </c>
      <c r="BV96" s="176" t="str">
        <f>IF(ISERROR($BW96/BY96),"-",$BW96/BY96)</f>
        <v>-</v>
      </c>
      <c r="BW96" s="175">
        <f>('假日(16-20)'!$AU$154+'假日(16-20)'!$AU$173+'假日(16-20)'!$AU$192+'假日(16-20)'!$AU$211)*15</f>
        <v>0</v>
      </c>
      <c r="BX96" s="175">
        <f>'假日(16-20)'!$AY$154+'假日(16-20)'!$AY$173+'假日(16-20)'!$AY$192+'假日(16-20)'!$AY$211</f>
        <v>0</v>
      </c>
      <c r="BY96" s="175">
        <f>'假日(16-20)'!$BA$154+'假日(16-20)'!$BA$173+'假日(16-20)'!$BA$192+'假日(16-20)'!$BA$211</f>
        <v>0</v>
      </c>
    </row>
    <row r="97" spans="72:77">
      <c r="BT97" s="175" t="s">
        <v>155</v>
      </c>
      <c r="BU97" s="176" t="str">
        <f>IF(ISERROR($BW97/BX97),"-",$BW97/BX97)</f>
        <v>-</v>
      </c>
      <c r="BV97" s="176" t="str">
        <f>IF(ISERROR($BW97/BY97),"-",$BW97/BY97)</f>
        <v>-</v>
      </c>
      <c r="BW97" s="175">
        <f>('假日(16-20)'!$AU$173+'假日(16-20)'!$AU$192+'假日(16-20)'!$AU$211+'假日(16-20)'!$AU$230)*15</f>
        <v>0</v>
      </c>
      <c r="BX97" s="175">
        <f>'假日(16-20)'!$AY$173+'假日(16-20)'!$AY$192+'假日(16-20)'!$AY$211+'假日(16-20)'!$AY$230</f>
        <v>0</v>
      </c>
      <c r="BY97" s="175">
        <f>'假日(16-20)'!$BA$173+'假日(16-20)'!$BA$192+'假日(16-20)'!$BA$211+'假日(16-20)'!$BA$230</f>
        <v>0</v>
      </c>
    </row>
    <row r="98" spans="72:77">
      <c r="BT98" s="175" t="s">
        <v>189</v>
      </c>
      <c r="BU98" s="176" t="str">
        <f>IF(ISERROR($BW98/BX98),"-",$BW98/BX98)</f>
        <v>-</v>
      </c>
      <c r="BV98" s="176" t="str">
        <f>IF(ISERROR($BW98/BY98),"-",$BW98/BY98)</f>
        <v>-</v>
      </c>
      <c r="BW98" s="175">
        <f>('假日(16-20)'!$AU$192+'假日(16-20)'!$AU$211+'假日(16-20)'!$AU$230+'假日(16-20)'!$AU$249)*15</f>
        <v>0</v>
      </c>
      <c r="BX98" s="175">
        <f>'假日(16-20)'!$AY$192+'假日(16-20)'!$AY$211+'假日(16-20)'!$AY$230+'假日(16-20)'!$AY$249</f>
        <v>0</v>
      </c>
      <c r="BY98" s="175">
        <f>'假日(16-20)'!$BA$192+'假日(16-20)'!$BA$211+'假日(16-20)'!$BA$230+'假日(16-20)'!$BA$249</f>
        <v>0</v>
      </c>
    </row>
    <row r="99" spans="72:77">
      <c r="BT99" s="175" t="s">
        <v>190</v>
      </c>
      <c r="BU99" s="176" t="str">
        <f>IF(ISERROR($BW99/BX99),"-",$BW99/BX99)</f>
        <v>-</v>
      </c>
      <c r="BV99" s="176" t="str">
        <f>IF(ISERROR($BW99/BY99),"-",$BW99/BY99)</f>
        <v>-</v>
      </c>
      <c r="BW99" s="175">
        <f>('假日(16-20)'!$AU$211+'假日(16-20)'!$AU$230+'假日(16-20)'!$AU$249+'假日(16-20)'!$AU$268)*15</f>
        <v>0</v>
      </c>
      <c r="BX99" s="175">
        <f>'假日(16-20)'!$AY$211+'假日(16-20)'!$AY$230+'假日(16-20)'!$AY$249+'假日(16-20)'!$AY$268</f>
        <v>0</v>
      </c>
      <c r="BY99" s="175">
        <f>'假日(16-20)'!$BA$211+'假日(16-20)'!$BA$230+'假日(16-20)'!$BA$249+'假日(16-20)'!$BA$268</f>
        <v>0</v>
      </c>
    </row>
    <row r="100" spans="72:77">
      <c r="BT100" s="175" t="s">
        <v>191</v>
      </c>
      <c r="BU100" s="176" t="str">
        <f>IF(ISERROR($BW100/BX100),"-",$BW100/BX100)</f>
        <v>-</v>
      </c>
      <c r="BV100" s="176" t="str">
        <f>IF(ISERROR($BW100/BY100),"-",$BW100/BY100)</f>
        <v>-</v>
      </c>
      <c r="BW100" s="175">
        <f>('假日(16-20)'!$AU$230+'假日(16-20)'!$AU$249+'假日(16-20)'!$AU$268+'假日(16-20)'!$AU$287)*15</f>
        <v>0</v>
      </c>
      <c r="BX100" s="175">
        <f>'假日(16-20)'!$AY$230+'假日(16-20)'!$AY$249+'假日(16-20)'!$AY$268+'假日(16-20)'!$AY$287</f>
        <v>0</v>
      </c>
      <c r="BY100" s="175">
        <f>'假日(16-20)'!$BA$230+'假日(16-20)'!$BA$249+'假日(16-20)'!$BA$268+'假日(16-20)'!$BA$287</f>
        <v>0</v>
      </c>
    </row>
    <row r="101" spans="72:77">
      <c r="BT101" s="175" t="s">
        <v>192</v>
      </c>
      <c r="BU101" s="176" t="str">
        <f>IF(ISERROR($BW101/BX101),"-",$BW101/BX101)</f>
        <v>-</v>
      </c>
      <c r="BV101" s="176" t="str">
        <f>IF(ISERROR($BW101/BY101),"-",$BW101/BY101)</f>
        <v>-</v>
      </c>
      <c r="BW101" s="175">
        <f>('假日(16-20)'!$AU$249+'假日(16-20)'!$AU$268+'假日(16-20)'!$AU$287+'假日(16-20)'!$AU$306)*15</f>
        <v>0</v>
      </c>
      <c r="BX101" s="175">
        <f>'假日(16-20)'!$AY$249+'假日(16-20)'!$AY$268+'假日(16-20)'!$AY$287+'假日(16-20)'!$AY$306</f>
        <v>0</v>
      </c>
      <c r="BY101" s="175">
        <f>'假日(16-20)'!$BA$249+'假日(16-20)'!$BA$268+'假日(16-20)'!$BA$287+'假日(16-20)'!$BA$306</f>
        <v>0</v>
      </c>
    </row>
    <row r="102" spans="72:77">
      <c r="BT102" s="172" t="str">
        <f>CONCATENATE(基本資料!$G$18,"方向","平均延滯")</f>
        <v>F方向平均延滯</v>
      </c>
      <c r="BU102" s="177" t="str">
        <f>IF(ISERROR(VLOOKUP($BX$119,BT89:BU101,2,1)),"-",VLOOKUP($BX$119,BT89:BU101,2,1))</f>
        <v>-</v>
      </c>
      <c r="BV102" s="177"/>
      <c r="BW102" s="172"/>
      <c r="BX102" s="172"/>
      <c r="BY102" s="172"/>
    </row>
    <row r="103" spans="72:77">
      <c r="BT103" s="172" t="str">
        <f>CONCATENATE(基本資料!$G$18,"方向","平均停等車輛延滯")</f>
        <v>F方向平均停等車輛延滯</v>
      </c>
      <c r="BU103" s="177"/>
      <c r="BV103" s="177" t="str">
        <f>IF(ISERROR(VLOOKUP($BX$120,BT89:BV101,3,1)),"-",VLOOKUP($BX$120,BT89:BV101,3,1))</f>
        <v>-</v>
      </c>
      <c r="BW103" s="172"/>
      <c r="BX103" s="172"/>
      <c r="BY103" s="172"/>
    </row>
    <row r="104" spans="72:77">
      <c r="BT104" s="263" t="s">
        <v>156</v>
      </c>
      <c r="BU104" s="264"/>
      <c r="BV104" s="264"/>
      <c r="BW104" s="264"/>
      <c r="BX104" s="264"/>
      <c r="BY104" s="265"/>
    </row>
    <row r="105" spans="72:77">
      <c r="BT105" s="172" t="s">
        <v>129</v>
      </c>
      <c r="BU105" s="173" t="s">
        <v>135</v>
      </c>
      <c r="BV105" s="174" t="s">
        <v>131</v>
      </c>
      <c r="BW105" s="173" t="s">
        <v>132</v>
      </c>
      <c r="BX105" s="173" t="s">
        <v>133</v>
      </c>
      <c r="BY105" s="173" t="s">
        <v>134</v>
      </c>
    </row>
    <row r="106" spans="72:77">
      <c r="BT106" s="175" t="str">
        <f>BT55</f>
        <v>16:00~17:00</v>
      </c>
      <c r="BU106" s="176" t="str">
        <f>IF(ISERROR($BW106/BX106),"-",$BW106/BX106)</f>
        <v>-</v>
      </c>
      <c r="BV106" s="176" t="str">
        <f>IF(ISERROR($BW106/BY106),"-",$BW106/BY106)</f>
        <v>-</v>
      </c>
      <c r="BW106" s="175">
        <f>BW4+BW21+BW38+BW55+BW72+BW89</f>
        <v>0</v>
      </c>
      <c r="BX106" s="175">
        <f>BX4+BX21+BX38+BX55+BX72+BX89</f>
        <v>0</v>
      </c>
      <c r="BY106" s="175">
        <f>BY4+BY21+BY38+BY55+BY72+BY89</f>
        <v>0</v>
      </c>
    </row>
    <row r="107" spans="72:77">
      <c r="BT107" s="175" t="str">
        <f>BT56</f>
        <v>16:15~17:15</v>
      </c>
      <c r="BU107" s="176" t="str">
        <f>IF(ISERROR($BW107/BX107),"-",$BW107/BX107)</f>
        <v>-</v>
      </c>
      <c r="BV107" s="176" t="str">
        <f t="shared" ref="BV107:BV118" si="83">IF(ISERROR($BW107/BY107),"-",$BW107/BY107)</f>
        <v>-</v>
      </c>
      <c r="BW107" s="175">
        <f>BW5+BW22+BW39+BW56+BW73+BW90</f>
        <v>0</v>
      </c>
      <c r="BX107" s="175">
        <f>BX5+BX22+BX39+BX56+BX73+BX90</f>
        <v>0</v>
      </c>
      <c r="BY107" s="175">
        <f t="shared" ref="BW106:BY110" si="84">BY5+BY22+BY39+BY56+BY73+BY90</f>
        <v>0</v>
      </c>
    </row>
    <row r="108" spans="72:77">
      <c r="BT108" s="175" t="str">
        <f>BT57</f>
        <v>16:30~17:30</v>
      </c>
      <c r="BU108" s="176" t="str">
        <f>IF(ISERROR($BW108/BX108),"-",$BW108/BX108)</f>
        <v>-</v>
      </c>
      <c r="BV108" s="176" t="str">
        <f t="shared" si="83"/>
        <v>-</v>
      </c>
      <c r="BW108" s="175">
        <f>BW6+BW23+BW40+BW57+BW74+BW91</f>
        <v>0</v>
      </c>
      <c r="BX108" s="175">
        <f>BX6+BX23+BX40+BX57+BX74+BX91</f>
        <v>0</v>
      </c>
      <c r="BY108" s="175">
        <f>BY6+BY23+BY40+BY57+BY74+BY91</f>
        <v>0</v>
      </c>
    </row>
    <row r="109" spans="72:77">
      <c r="BT109" s="175" t="str">
        <f>BT58</f>
        <v>16:45~17:45</v>
      </c>
      <c r="BU109" s="176" t="str">
        <f>IF(ISERROR($BW109/BX109),"-",$BW109/BX109)</f>
        <v>-</v>
      </c>
      <c r="BV109" s="176" t="str">
        <f>IF(ISERROR($BW109/BY109),"-",$BW109/BY109)</f>
        <v>-</v>
      </c>
      <c r="BW109" s="175">
        <f>BW7+BW24+BW41+BW58+BW75+BW92</f>
        <v>0</v>
      </c>
      <c r="BX109" s="175">
        <f>BX7+BX24+BX41+BX58+BX75+BX92</f>
        <v>0</v>
      </c>
      <c r="BY109" s="175">
        <f>BY7+BY24+BY41+BY58+BY75+BY92</f>
        <v>0</v>
      </c>
    </row>
    <row r="110" spans="72:77">
      <c r="BT110" s="175" t="str">
        <f>BT59</f>
        <v>17:00~18:00</v>
      </c>
      <c r="BU110" s="176" t="str">
        <f t="shared" ref="BU107:BU118" si="85">IF(ISERROR($BW110/BX110),"-",$BW110/BX110)</f>
        <v>-</v>
      </c>
      <c r="BV110" s="176" t="str">
        <f>IF(ISERROR($BW110/BY110),"-",$BW110/BY110)</f>
        <v>-</v>
      </c>
      <c r="BW110" s="175">
        <f>BW8+BW25+BW42+BW59+BW76+BW93</f>
        <v>0</v>
      </c>
      <c r="BX110" s="175">
        <f>BX8+BX25+BX42+BX59+BX76+BX93</f>
        <v>0</v>
      </c>
      <c r="BY110" s="175">
        <f>BY8+BY25+BY42+BY59+BY76+BY93</f>
        <v>0</v>
      </c>
    </row>
    <row r="111" spans="72:77">
      <c r="BT111" s="175" t="s">
        <v>144</v>
      </c>
      <c r="BU111" s="176" t="str">
        <f>IF(ISERROR($BW111/BX111),"-",$BW111/BX111)</f>
        <v>-</v>
      </c>
      <c r="BV111" s="176" t="str">
        <f t="shared" si="83"/>
        <v>-</v>
      </c>
      <c r="BW111" s="175">
        <f>BW9+BW26+BW43+BW60+BW77+BW94</f>
        <v>0</v>
      </c>
      <c r="BX111" s="175">
        <f>BX9+BX26+BX43+BX60+BX77+BX94</f>
        <v>0</v>
      </c>
      <c r="BY111" s="175">
        <f>BY9+BY26+BY43+BY60+BY77+BY94</f>
        <v>0</v>
      </c>
    </row>
    <row r="112" spans="72:77">
      <c r="BT112" s="175" t="s">
        <v>140</v>
      </c>
      <c r="BU112" s="176" t="str">
        <f>IF(ISERROR($BW112/BX112),"-",$BW112/BX112)</f>
        <v>-</v>
      </c>
      <c r="BV112" s="176" t="str">
        <f>IF(ISERROR($BW112/BY112),"-",$BW112/BY112)</f>
        <v>-</v>
      </c>
      <c r="BW112" s="175">
        <f>BW10+BW27+BW44+BW61+BW78+BW95</f>
        <v>0</v>
      </c>
      <c r="BX112" s="175">
        <f>BX10+BX27+BX44+BX61+BX78+BX95</f>
        <v>0</v>
      </c>
      <c r="BY112" s="175">
        <f>BY10+BY27+BY44+BY61+BY78+BY95</f>
        <v>0</v>
      </c>
    </row>
    <row r="113" spans="72:77">
      <c r="BT113" s="175" t="s">
        <v>151</v>
      </c>
      <c r="BU113" s="176" t="str">
        <f t="shared" si="85"/>
        <v>-</v>
      </c>
      <c r="BV113" s="176" t="str">
        <f t="shared" si="83"/>
        <v>-</v>
      </c>
      <c r="BW113" s="175">
        <f>BW11+BW28+BW45+BW62+BW79+BW96</f>
        <v>0</v>
      </c>
      <c r="BX113" s="175">
        <f>BX11+BX28+BX45+BX62+BX79+BX96</f>
        <v>0</v>
      </c>
      <c r="BY113" s="175">
        <f>BY11+BY28+BY45+BY62+BY79+BY96</f>
        <v>0</v>
      </c>
    </row>
    <row r="114" spans="72:77">
      <c r="BT114" s="175" t="s">
        <v>155</v>
      </c>
      <c r="BU114" s="176" t="str">
        <f>IF(ISERROR($BW114/BX114),"-",$BW114/BX114)</f>
        <v>-</v>
      </c>
      <c r="BV114" s="176" t="str">
        <f t="shared" si="83"/>
        <v>-</v>
      </c>
      <c r="BW114" s="175">
        <f>BW12+BW29+BW46+BW63+BW80+BW97</f>
        <v>0</v>
      </c>
      <c r="BX114" s="175">
        <f>BX12+BX29+BX46+BX63+BX80+BX97</f>
        <v>0</v>
      </c>
      <c r="BY114" s="175">
        <f>BY12+BY29+BY46+BY63+BY80+BY97</f>
        <v>0</v>
      </c>
    </row>
    <row r="115" spans="72:77">
      <c r="BT115" s="175" t="s">
        <v>189</v>
      </c>
      <c r="BU115" s="176" t="str">
        <f t="shared" si="85"/>
        <v>-</v>
      </c>
      <c r="BV115" s="176" t="str">
        <f>IF(ISERROR($BW115/BY115),"-",$BW115/BY115)</f>
        <v>-</v>
      </c>
      <c r="BW115" s="175">
        <f>BW13+BW30+BW47+BW64+BW81+BW98</f>
        <v>0</v>
      </c>
      <c r="BX115" s="175">
        <f>BX13+BX30+BX47+BX64+BX81+BX98</f>
        <v>0</v>
      </c>
      <c r="BY115" s="175">
        <f>BY13+BY30+BY47+BY64+BY81+BY98</f>
        <v>0</v>
      </c>
    </row>
    <row r="116" spans="72:77">
      <c r="BT116" s="175" t="s">
        <v>190</v>
      </c>
      <c r="BU116" s="176" t="str">
        <f>IF(ISERROR($BW116/BX116),"-",$BW116/BX116)</f>
        <v>-</v>
      </c>
      <c r="BV116" s="176" t="str">
        <f>IF(ISERROR($BW116/BY116),"-",$BW116/BY116)</f>
        <v>-</v>
      </c>
      <c r="BW116" s="175">
        <f>BW14+BW31+BW48+BW65+BW82+BW99</f>
        <v>0</v>
      </c>
      <c r="BX116" s="175">
        <f>BX14+BX31+BX48+BX65+BX82+BX99</f>
        <v>0</v>
      </c>
      <c r="BY116" s="175">
        <f>BY14+BY31+BY48+BY65+BY82+BY99</f>
        <v>0</v>
      </c>
    </row>
    <row r="117" spans="72:77">
      <c r="BT117" s="175" t="s">
        <v>191</v>
      </c>
      <c r="BU117" s="176" t="str">
        <f t="shared" si="85"/>
        <v>-</v>
      </c>
      <c r="BV117" s="176" t="str">
        <f t="shared" si="83"/>
        <v>-</v>
      </c>
      <c r="BW117" s="175">
        <f>BW15+BW32+BW49+BW66+BW83+BW100</f>
        <v>0</v>
      </c>
      <c r="BX117" s="175">
        <f>BX15+BX32+BX49+BX66+BX83+BX100</f>
        <v>0</v>
      </c>
      <c r="BY117" s="175">
        <f>BY15+BY32+BY49+BY66+BY83+BY100</f>
        <v>0</v>
      </c>
    </row>
    <row r="118" spans="72:77">
      <c r="BT118" s="175" t="s">
        <v>192</v>
      </c>
      <c r="BU118" s="176" t="str">
        <f>IF(ISERROR($BW118/BX118),"-",$BW118/BX118)</f>
        <v>-</v>
      </c>
      <c r="BV118" s="176" t="str">
        <f>IF(ISERROR($BW118/BY118),"-",$BW118/BY118)</f>
        <v>-</v>
      </c>
      <c r="BW118" s="175">
        <f>BW16+BW33+BW50+BW67+BW84+BW101</f>
        <v>0</v>
      </c>
      <c r="BX118" s="175">
        <f>BX16+BX33+BX50+BX67+BX84+BX101</f>
        <v>0</v>
      </c>
      <c r="BY118" s="175">
        <f>BY16+BY33+BY50+BY67+BY84+BY101</f>
        <v>0</v>
      </c>
    </row>
    <row r="119" spans="72:77">
      <c r="BT119" s="172" t="s">
        <v>157</v>
      </c>
      <c r="BU119" s="177">
        <f>MAX(BU106:BU118)</f>
        <v>0</v>
      </c>
      <c r="BV119" s="177"/>
      <c r="BW119" s="172" t="s">
        <v>158</v>
      </c>
      <c r="BX119" s="172" t="str">
        <f>IF(BU119=BU106,BT$106,IF(BU119=BU107,BT$107,IF(BU119=BU108,BT$108,IF(BU119=BU109,BT$109,IF(BU119=BU110,BT$110,IF(BU119=BU111,BT$111,IF(BU119=BU112,BT$112,IF(BU119=BU113,BT$113,IF(BU119=BU114,BT$114,IF(BU119=BU115,BT$115,IF(BU119=BU116,BT$116,IF(BU119=BU117,BT$117,IF(BU119=BU118,BT$118,"-")))))))))))))</f>
        <v>-</v>
      </c>
      <c r="BY119" s="172"/>
    </row>
    <row r="120" spans="72:77">
      <c r="BT120" s="172" t="s">
        <v>159</v>
      </c>
      <c r="BU120" s="177"/>
      <c r="BV120" s="177">
        <f>MAX(BV106:BV118)</f>
        <v>0</v>
      </c>
      <c r="BW120" s="172" t="s">
        <v>158</v>
      </c>
      <c r="BX120" s="172" t="str">
        <f>IF(BV120=BV106,BT$106,IF(BV120=BV107,BT$107,IF(BV120=BV108,BT$108,IF(BV120=BV109,BT$109,IF(BV120=BV110,BT$110,IF(BV120=BV111,BT$111,IF(BV120=BV112,BT$112,IF(BV120=BV113,BT$113,IF(BV120=BV114,BT$114,IF(BV120=BV115,BT$115,IF(BV120=BV116,BT$116,IF(BV120=BV117,BT$117,IF(BV120=BV118,BT$118,"-")))))))))))))</f>
        <v>-</v>
      </c>
      <c r="BY120" s="172"/>
    </row>
  </sheetData>
  <mergeCells count="88">
    <mergeCell ref="BT87:BY87"/>
    <mergeCell ref="BT104:BY104"/>
    <mergeCell ref="BT19:BY19"/>
    <mergeCell ref="BT36:BY36"/>
    <mergeCell ref="BT53:BY53"/>
    <mergeCell ref="BT70:BY70"/>
    <mergeCell ref="W1:AB1"/>
    <mergeCell ref="W2:AB2"/>
    <mergeCell ref="W11:AB11"/>
    <mergeCell ref="W20:AB20"/>
    <mergeCell ref="W29:AB29"/>
    <mergeCell ref="BF1:BK1"/>
    <mergeCell ref="BM1:BR1"/>
    <mergeCell ref="I2:N2"/>
    <mergeCell ref="P2:U2"/>
    <mergeCell ref="AD2:AI2"/>
    <mergeCell ref="AK2:AP2"/>
    <mergeCell ref="AR2:AW2"/>
    <mergeCell ref="AY2:BD2"/>
    <mergeCell ref="BF2:BK2"/>
    <mergeCell ref="BM2:BR2"/>
    <mergeCell ref="I1:N1"/>
    <mergeCell ref="P1:U1"/>
    <mergeCell ref="AD1:AI1"/>
    <mergeCell ref="AK1:AP1"/>
    <mergeCell ref="AR1:AW1"/>
    <mergeCell ref="AY1:BD1"/>
    <mergeCell ref="BF11:BK11"/>
    <mergeCell ref="BM11:BR11"/>
    <mergeCell ref="I20:N20"/>
    <mergeCell ref="P20:U20"/>
    <mergeCell ref="AD20:AI20"/>
    <mergeCell ref="AK20:AP20"/>
    <mergeCell ref="AR20:AW20"/>
    <mergeCell ref="AY20:BD20"/>
    <mergeCell ref="BF20:BK20"/>
    <mergeCell ref="BM20:BR20"/>
    <mergeCell ref="I11:N11"/>
    <mergeCell ref="P11:U11"/>
    <mergeCell ref="AD11:AI11"/>
    <mergeCell ref="AK11:AP11"/>
    <mergeCell ref="AR11:AW11"/>
    <mergeCell ref="AY11:BD11"/>
    <mergeCell ref="BM29:BR29"/>
    <mergeCell ref="I38:N38"/>
    <mergeCell ref="P38:U38"/>
    <mergeCell ref="AD38:AI38"/>
    <mergeCell ref="AK38:AP38"/>
    <mergeCell ref="AR38:AW38"/>
    <mergeCell ref="AY38:BD38"/>
    <mergeCell ref="BF38:BK38"/>
    <mergeCell ref="BM38:BR38"/>
    <mergeCell ref="I29:N29"/>
    <mergeCell ref="P29:U29"/>
    <mergeCell ref="AD29:AI29"/>
    <mergeCell ref="AK29:AP29"/>
    <mergeCell ref="AR29:AW29"/>
    <mergeCell ref="W38:AB38"/>
    <mergeCell ref="AY29:BD29"/>
    <mergeCell ref="P56:U56"/>
    <mergeCell ref="AD56:AI56"/>
    <mergeCell ref="AK56:AP56"/>
    <mergeCell ref="AR56:AW56"/>
    <mergeCell ref="BF29:BK29"/>
    <mergeCell ref="W47:AB47"/>
    <mergeCell ref="W56:AB56"/>
    <mergeCell ref="AY56:BD56"/>
    <mergeCell ref="B2:G2"/>
    <mergeCell ref="B11:G11"/>
    <mergeCell ref="B20:G20"/>
    <mergeCell ref="B29:G29"/>
    <mergeCell ref="I56:N56"/>
    <mergeCell ref="BT1:BY1"/>
    <mergeCell ref="BT2:BY2"/>
    <mergeCell ref="B38:G38"/>
    <mergeCell ref="B47:G47"/>
    <mergeCell ref="B56:G56"/>
    <mergeCell ref="BF56:BK56"/>
    <mergeCell ref="BM56:BR56"/>
    <mergeCell ref="I47:N47"/>
    <mergeCell ref="P47:U47"/>
    <mergeCell ref="AD47:AI47"/>
    <mergeCell ref="AK47:AP47"/>
    <mergeCell ref="AR47:AW47"/>
    <mergeCell ref="AY47:BD47"/>
    <mergeCell ref="BF47:BK47"/>
    <mergeCell ref="BM47:BR47"/>
    <mergeCell ref="B1:G1"/>
  </mergeCells>
  <phoneticPr fontId="20" type="noConversion"/>
  <pageMargins left="0.7" right="0.7" top="0.75" bottom="0.75" header="0.3" footer="0.3"/>
  <pageSetup paperSize="9" scale="54" orientation="portrait" r:id="rId1"/>
  <colBreaks count="3" manualBreakCount="3">
    <brk id="21" max="1048575" man="1"/>
    <brk id="35" max="1048575" man="1"/>
    <brk id="4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39"/>
  <sheetViews>
    <sheetView zoomScale="85" zoomScaleNormal="85" workbookViewId="0"/>
  </sheetViews>
  <sheetFormatPr defaultColWidth="12.08984375" defaultRowHeight="15.5"/>
  <cols>
    <col min="1" max="1" width="18.08984375" style="1" bestFit="1" customWidth="1"/>
    <col min="2" max="2" width="18.08984375" style="1" customWidth="1"/>
    <col min="3" max="16384" width="12.08984375" style="1"/>
  </cols>
  <sheetData>
    <row r="1" spans="1:20">
      <c r="A1" s="178" t="s">
        <v>160</v>
      </c>
      <c r="B1" s="178"/>
    </row>
    <row r="2" spans="1:20" ht="15.5" customHeight="1">
      <c r="A2" s="266" t="s">
        <v>161</v>
      </c>
      <c r="B2" s="267"/>
      <c r="C2" s="270" t="str">
        <f>資料分析!B1</f>
        <v>平日晨峰(0630-0830)</v>
      </c>
      <c r="D2" s="270"/>
      <c r="E2" s="270"/>
      <c r="F2" s="270" t="str">
        <f>資料分析!I1</f>
        <v>平日晨峰(07-09)</v>
      </c>
      <c r="G2" s="270"/>
      <c r="H2" s="270"/>
      <c r="I2" s="271" t="str">
        <f>資料分析!P1</f>
        <v>平日中午(11-13)</v>
      </c>
      <c r="J2" s="272"/>
      <c r="K2" s="273"/>
      <c r="L2" s="271" t="str">
        <f>資料分析!W1</f>
        <v>平日中午(12-14)</v>
      </c>
      <c r="M2" s="272"/>
      <c r="N2" s="273"/>
      <c r="O2" s="271" t="str">
        <f>資料分析!AD1</f>
        <v>平日昏峰(17-19)</v>
      </c>
      <c r="P2" s="272"/>
      <c r="Q2" s="273"/>
    </row>
    <row r="3" spans="1:20">
      <c r="A3" s="268"/>
      <c r="B3" s="269"/>
      <c r="C3" s="179" t="s">
        <v>162</v>
      </c>
      <c r="D3" s="179" t="s">
        <v>163</v>
      </c>
      <c r="E3" s="180" t="s">
        <v>135</v>
      </c>
      <c r="F3" s="179" t="s">
        <v>162</v>
      </c>
      <c r="G3" s="179" t="s">
        <v>163</v>
      </c>
      <c r="H3" s="180" t="s">
        <v>135</v>
      </c>
      <c r="I3" s="179" t="s">
        <v>162</v>
      </c>
      <c r="J3" s="179" t="s">
        <v>163</v>
      </c>
      <c r="K3" s="181" t="s">
        <v>135</v>
      </c>
      <c r="L3" s="179" t="s">
        <v>162</v>
      </c>
      <c r="M3" s="179" t="s">
        <v>163</v>
      </c>
      <c r="N3" s="181" t="s">
        <v>135</v>
      </c>
      <c r="O3" s="179" t="s">
        <v>162</v>
      </c>
      <c r="P3" s="179" t="s">
        <v>163</v>
      </c>
      <c r="Q3" s="181" t="s">
        <v>135</v>
      </c>
    </row>
    <row r="4" spans="1:20">
      <c r="A4" s="182" t="s">
        <v>34</v>
      </c>
      <c r="B4" s="183" t="str">
        <f>CONCATENATE(基本資料!B19,基本資料!B20)</f>
        <v/>
      </c>
      <c r="C4" s="243" t="str">
        <f>IF(資料分析!C9=0,"-",資料分析!C9)</f>
        <v>-</v>
      </c>
      <c r="D4" s="185" t="str">
        <f>IF(C4="-","-",IF(C4&lt;=15,"A",IF(C4&lt;=30,"B",IF(C4&lt;=45,"C",IF(C4&lt;=60,"D",IF(C4&lt;=80,"E","F"))))))</f>
        <v>-</v>
      </c>
      <c r="E4" s="245" t="str">
        <f>IF(資料分析!C63=0,"-",資料分析!C63)</f>
        <v>-</v>
      </c>
      <c r="F4" s="184" t="str">
        <f>IF(資料分析!J9=0,"-",資料分析!J9)</f>
        <v>-</v>
      </c>
      <c r="G4" s="185" t="str">
        <f>IF(F4="-","-",IF(F4&lt;=15,"A",IF(F4&lt;=30,"B",IF(F4&lt;=45,"C",IF(F4&lt;=60,"D",IF(F4&lt;=80,"E","F"))))))</f>
        <v>-</v>
      </c>
      <c r="H4" s="186" t="str">
        <f>IF(資料分析!J63=0,"-",資料分析!J63)</f>
        <v>-</v>
      </c>
      <c r="I4" s="187" t="str">
        <f>IF(資料分析!Q9=0,"-",資料分析!Q9)</f>
        <v>-</v>
      </c>
      <c r="J4" s="185" t="str">
        <f>IF(I4="-","-",IF(I4&lt;=15,"A",IF(I4&lt;=30,"B",IF(I4&lt;=45,"C",IF(I4&lt;=60,"D",IF(I4&lt;=80,"E","F"))))))</f>
        <v>-</v>
      </c>
      <c r="K4" s="186" t="str">
        <f>IF(資料分析!Q63=0,"-",資料分析!Q63)</f>
        <v>-</v>
      </c>
      <c r="L4" s="187" t="str">
        <f>IF(資料分析!X9=0,"-",資料分析!X9)</f>
        <v>-</v>
      </c>
      <c r="M4" s="185" t="str">
        <f>IF(L4="-","-",IF(L4&lt;=15,"A",IF(L4&lt;=30,"B",IF(L4&lt;=45,"C",IF(L4&lt;=60,"D",IF(L4&lt;=80,"E","F"))))))</f>
        <v>-</v>
      </c>
      <c r="N4" s="186" t="str">
        <f>IF(資料分析!X63=0,"-",資料分析!X63)</f>
        <v>-</v>
      </c>
      <c r="O4" s="187" t="str">
        <f>IF(資料分析!AE9=0,"-",資料分析!AE9)</f>
        <v>-</v>
      </c>
      <c r="P4" s="185" t="str">
        <f>IF(O4="-","-",IF(O4&lt;=15,"A",IF(O4&lt;=30,"B",IF(O4&lt;=45,"C",IF(O4&lt;=60,"D",IF(O4&lt;=80,"E","F"))))))</f>
        <v>-</v>
      </c>
      <c r="Q4" s="186" t="str">
        <f>IF(資料分析!AE63=0,"-",資料分析!AE63)</f>
        <v>-</v>
      </c>
    </row>
    <row r="5" spans="1:20">
      <c r="A5" s="188" t="s">
        <v>35</v>
      </c>
      <c r="B5" s="183" t="str">
        <f>CONCATENATE(基本資料!C19,基本資料!C20)</f>
        <v/>
      </c>
      <c r="C5" s="244" t="str">
        <f>IF(資料分析!C18=0,"-",資料分析!C18)</f>
        <v>-</v>
      </c>
      <c r="D5" s="190" t="str">
        <f>IF(C5="-","-",IF(C5&lt;=15,"A",IF(C5&lt;=30,"B",IF(C5&lt;=45,"C",IF(C5&lt;=60,"D",IF(C5&lt;=80,"E","F"))))))</f>
        <v>-</v>
      </c>
      <c r="E5" s="191" t="str">
        <f>IF(E4="-","-",IF(E4&lt;=15,"A",IF(E4&lt;=30,"B",IF(E4&lt;=45,"C",IF(E4&lt;=60,"D",IF(E4&lt;=80,"E","F"))))))</f>
        <v>-</v>
      </c>
      <c r="F5" s="189" t="str">
        <f>IF(資料分析!J18=0,"-",資料分析!J18)</f>
        <v>-</v>
      </c>
      <c r="G5" s="190" t="str">
        <f>IF(F5="-","-",IF(F5&lt;=15,"A",IF(F5&lt;=30,"B",IF(F5&lt;=45,"C",IF(F5&lt;=60,"D",IF(F5&lt;=80,"E","F"))))))</f>
        <v>-</v>
      </c>
      <c r="H5" s="191" t="str">
        <f>IF(H4="-","-",IF(H4&lt;=15,"A",IF(H4&lt;=30,"B",IF(H4&lt;=45,"C",IF(H4&lt;=60,"D",IF(H4&lt;=80,"E","F"))))))</f>
        <v>-</v>
      </c>
      <c r="I5" s="192" t="str">
        <f>IF(資料分析!Q18=0,"-",資料分析!Q18)</f>
        <v>-</v>
      </c>
      <c r="J5" s="185" t="str">
        <f>IF(I5="-","-",IF(I5&lt;=15,"A",IF(I5&lt;=30,"B",IF(I5&lt;=45,"C",IF(I5&lt;=60,"D",IF(I5&lt;=80,"E","F"))))))</f>
        <v>-</v>
      </c>
      <c r="K5" s="191" t="str">
        <f>IF(K4="-","-",IF(K4&lt;=15,"A",IF(K4&lt;=30,"B",IF(K4&lt;=45,"C",IF(K4&lt;=60,"D",IF(K4&lt;=80,"E","F"))))))</f>
        <v>-</v>
      </c>
      <c r="L5" s="192" t="str">
        <f>IF(資料分析!X18=0,"-",資料分析!X18)</f>
        <v>-</v>
      </c>
      <c r="M5" s="185" t="str">
        <f>IF(L5="-","-",IF(L5&lt;=15,"A",IF(L5&lt;=30,"B",IF(L5&lt;=45,"C",IF(L5&lt;=60,"D",IF(L5&lt;=80,"E","F"))))))</f>
        <v>-</v>
      </c>
      <c r="N5" s="191" t="str">
        <f>IF(N4="-","-",IF(N4&lt;=15,"A",IF(N4&lt;=30,"B",IF(N4&lt;=45,"C",IF(N4&lt;=60,"D",IF(N4&lt;=80,"E","F"))))))</f>
        <v>-</v>
      </c>
      <c r="O5" s="192" t="str">
        <f>IF(資料分析!AE18=0,"-",資料分析!AE18)</f>
        <v>-</v>
      </c>
      <c r="P5" s="185" t="str">
        <f>IF(O5="-","-",IF(O5&lt;=15,"A",IF(O5&lt;=30,"B",IF(O5&lt;=45,"C",IF(O5&lt;=60,"D",IF(O5&lt;=80,"E","F"))))))</f>
        <v>-</v>
      </c>
      <c r="Q5" s="191" t="str">
        <f>IF(Q4="-","-",IF(Q4&lt;=15,"A",IF(Q4&lt;=30,"B",IF(Q4&lt;=45,"C",IF(Q4&lt;=60,"D",IF(Q4&lt;=80,"E","F"))))))</f>
        <v>-</v>
      </c>
    </row>
    <row r="6" spans="1:20">
      <c r="A6" s="188" t="s">
        <v>36</v>
      </c>
      <c r="B6" s="183" t="str">
        <f>CONCATENATE(基本資料!D19,基本資料!D20)</f>
        <v/>
      </c>
      <c r="C6" s="244" t="str">
        <f>IF(資料分析!C27=0,"-",資料分析!C27)</f>
        <v>-</v>
      </c>
      <c r="D6" s="190" t="str">
        <f>IF(C6="-","-",IF(C6&lt;=15,"A",IF(C6&lt;=30,"B",IF(C6&lt;=45,"C",IF(C6&lt;=60,"D",IF(C6&lt;=80,"E","F"))))))</f>
        <v>-</v>
      </c>
      <c r="E6" s="193"/>
      <c r="F6" s="189" t="str">
        <f>IF(資料分析!J27=0,"-",資料分析!J27)</f>
        <v>-</v>
      </c>
      <c r="G6" s="190" t="str">
        <f>IF(F6="-","-",IF(F6&lt;=15,"A",IF(F6&lt;=30,"B",IF(F6&lt;=45,"C",IF(F6&lt;=60,"D",IF(F6&lt;=80,"E","F"))))))</f>
        <v>-</v>
      </c>
      <c r="H6" s="193"/>
      <c r="I6" s="192" t="str">
        <f>IF(資料分析!Q27=0,"-",資料分析!Q27)</f>
        <v>-</v>
      </c>
      <c r="J6" s="185" t="str">
        <f>IF(I6="-","-",IF(I6&lt;=15,"A",IF(I6&lt;=30,"B",IF(I6&lt;=45,"C",IF(I6&lt;=60,"D",IF(I6&lt;=80,"E","F"))))))</f>
        <v>-</v>
      </c>
      <c r="K6" s="193"/>
      <c r="L6" s="192" t="str">
        <f>IF(資料分析!X27=0,"-",資料分析!X27)</f>
        <v>-</v>
      </c>
      <c r="M6" s="185" t="str">
        <f>IF(L6="-","-",IF(L6&lt;=15,"A",IF(L6&lt;=30,"B",IF(L6&lt;=45,"C",IF(L6&lt;=60,"D",IF(L6&lt;=80,"E","F"))))))</f>
        <v>-</v>
      </c>
      <c r="N6" s="193"/>
      <c r="O6" s="192" t="str">
        <f>IF(資料分析!AE27=0,"-",資料分析!AE27)</f>
        <v>-</v>
      </c>
      <c r="P6" s="185" t="str">
        <f>IF(O6="-","-",IF(O6&lt;=15,"A",IF(O6&lt;=30,"B",IF(O6&lt;=45,"C",IF(O6&lt;=60,"D",IF(O6&lt;=80,"E","F"))))))</f>
        <v>-</v>
      </c>
      <c r="Q6" s="193"/>
    </row>
    <row r="7" spans="1:20">
      <c r="A7" s="188" t="s">
        <v>37</v>
      </c>
      <c r="B7" s="183" t="str">
        <f>CONCATENATE(基本資料!E19,基本資料!E20)</f>
        <v/>
      </c>
      <c r="C7" s="244" t="str">
        <f>IF(資料分析!C36=0,"-",資料分析!C36)</f>
        <v>-</v>
      </c>
      <c r="D7" s="190" t="str">
        <f>IF(C7="-","-",IF(C7&lt;=15,"A",IF(C7&lt;=30,"B",IF(C7&lt;=45,"C",IF(C7&lt;=60,"D",IF(C7&lt;=80,"E","F"))))))</f>
        <v>-</v>
      </c>
      <c r="E7" s="193"/>
      <c r="F7" s="189" t="str">
        <f>IF(資料分析!J36=0,"-",資料分析!J36)</f>
        <v>-</v>
      </c>
      <c r="G7" s="190" t="str">
        <f>IF(F7="-","-",IF(F7&lt;=15,"A",IF(F7&lt;=30,"B",IF(F7&lt;=45,"C",IF(F7&lt;=60,"D",IF(F7&lt;=80,"E","F"))))))</f>
        <v>-</v>
      </c>
      <c r="H7" s="193"/>
      <c r="I7" s="192" t="str">
        <f>IF(資料分析!Q36=0,"-",資料分析!Q36)</f>
        <v>-</v>
      </c>
      <c r="J7" s="185" t="str">
        <f t="shared" ref="J4:J9" si="0">IF(I7="-","-",IF(I7&lt;=15,"A",IF(I7&lt;=30,"B",IF(I7&lt;=45,"C",IF(I7&lt;=60,"D",IF(I7&lt;=80,"E","F"))))))</f>
        <v>-</v>
      </c>
      <c r="K7" s="193"/>
      <c r="L7" s="192" t="str">
        <f>IF(資料分析!X36=0,"-",資料分析!X36)</f>
        <v>-</v>
      </c>
      <c r="M7" s="185" t="str">
        <f>IF(L7="-","-",IF(L7&lt;=15,"A",IF(L7&lt;=30,"B",IF(L7&lt;=45,"C",IF(L7&lt;=60,"D",IF(L7&lt;=80,"E","F"))))))</f>
        <v>-</v>
      </c>
      <c r="N7" s="193"/>
      <c r="O7" s="192" t="str">
        <f>IF(資料分析!AE36=0,"-",資料分析!AE36)</f>
        <v>-</v>
      </c>
      <c r="P7" s="185" t="str">
        <f>IF(O7="-","-",IF(O7&lt;=15,"A",IF(O7&lt;=30,"B",IF(O7&lt;=45,"C",IF(O7&lt;=60,"D",IF(O7&lt;=80,"E","F"))))))</f>
        <v>-</v>
      </c>
      <c r="Q7" s="193"/>
    </row>
    <row r="8" spans="1:20">
      <c r="A8" s="188" t="s">
        <v>124</v>
      </c>
      <c r="B8" s="183" t="str">
        <f>CONCATENATE(基本資料!F19,基本資料!F20)</f>
        <v/>
      </c>
      <c r="C8" s="244" t="str">
        <f>IF(資料分析!C45=0,"-",資料分析!C45)</f>
        <v>-</v>
      </c>
      <c r="D8" s="190" t="str">
        <f>IF(C8="-","-",IF(C8&lt;=15,"A",IF(C8&lt;=30,"B",IF(C8&lt;=45,"C",IF(C8&lt;=60,"D",IF(C8&lt;=80,"E","F"))))))</f>
        <v>-</v>
      </c>
      <c r="E8" s="193"/>
      <c r="F8" s="189" t="str">
        <f>IF(資料分析!J45=0,"-",資料分析!J45)</f>
        <v>-</v>
      </c>
      <c r="G8" s="190" t="str">
        <f>IF(F8="-","-",IF(F8&lt;=15,"A",IF(F8&lt;=30,"B",IF(F8&lt;=45,"C",IF(F8&lt;=60,"D",IF(F8&lt;=80,"E","F"))))))</f>
        <v>-</v>
      </c>
      <c r="H8" s="193"/>
      <c r="I8" s="192" t="str">
        <f>IF(資料分析!Q45=0,"-",資料分析!Q45)</f>
        <v>-</v>
      </c>
      <c r="J8" s="185" t="str">
        <f>IF(I8="-","-",IF(I8&lt;=15,"A",IF(I8&lt;=30,"B",IF(I8&lt;=45,"C",IF(I8&lt;=60,"D",IF(I8&lt;=80,"E","F"))))))</f>
        <v>-</v>
      </c>
      <c r="K8" s="193"/>
      <c r="L8" s="192" t="str">
        <f>IF(資料分析!X45=0,"-",資料分析!X45)</f>
        <v>-</v>
      </c>
      <c r="M8" s="185" t="str">
        <f>IF(L8="-","-",IF(L8&lt;=15,"A",IF(L8&lt;=30,"B",IF(L8&lt;=45,"C",IF(L8&lt;=60,"D",IF(L8&lt;=80,"E","F"))))))</f>
        <v>-</v>
      </c>
      <c r="N8" s="193"/>
      <c r="O8" s="192" t="str">
        <f>IF(資料分析!AE45=0,"-",資料分析!AE45)</f>
        <v>-</v>
      </c>
      <c r="P8" s="185" t="str">
        <f>IF(O8="-","-",IF(O8&lt;=15,"A",IF(O8&lt;=30,"B",IF(O8&lt;=45,"C",IF(O8&lt;=60,"D",IF(O8&lt;=80,"E","F"))))))</f>
        <v>-</v>
      </c>
      <c r="Q8" s="193"/>
    </row>
    <row r="9" spans="1:20">
      <c r="A9" s="188" t="s">
        <v>126</v>
      </c>
      <c r="B9" s="183" t="str">
        <f>CONCATENATE(基本資料!G19,基本資料!G20)</f>
        <v/>
      </c>
      <c r="C9" s="244" t="str">
        <f>IF(資料分析!C54=0,"-",資料分析!C54)</f>
        <v>-</v>
      </c>
      <c r="D9" s="190" t="str">
        <f>IF(C9="-","-",IF(C9&lt;=15,"A",IF(C9&lt;=30,"B",IF(C9&lt;=45,"C",IF(C9&lt;=60,"D",IF(C9&lt;=80,"E","F"))))))</f>
        <v>-</v>
      </c>
      <c r="E9" s="194"/>
      <c r="F9" s="189" t="str">
        <f>IF(資料分析!J54=0,"-",資料分析!J54)</f>
        <v>-</v>
      </c>
      <c r="G9" s="190" t="str">
        <f>IF(F9="-","-",IF(F9&lt;=15,"A",IF(F9&lt;=30,"B",IF(F9&lt;=45,"C",IF(F9&lt;=60,"D",IF(F9&lt;=80,"E","F"))))))</f>
        <v>-</v>
      </c>
      <c r="H9" s="194"/>
      <c r="I9" s="192" t="str">
        <f>IF(資料分析!Q54=0,"-",資料分析!Q54)</f>
        <v>-</v>
      </c>
      <c r="J9" s="185" t="str">
        <f>IF(I9="-","-",IF(I9&lt;=15,"A",IF(I9&lt;=30,"B",IF(I9&lt;=45,"C",IF(I9&lt;=60,"D",IF(I9&lt;=80,"E","F"))))))</f>
        <v>-</v>
      </c>
      <c r="K9" s="194"/>
      <c r="L9" s="192" t="str">
        <f>IF(資料分析!X54=0,"-",資料分析!X54)</f>
        <v>-</v>
      </c>
      <c r="M9" s="185" t="str">
        <f>IF(L9="-","-",IF(L9&lt;=15,"A",IF(L9&lt;=30,"B",IF(L9&lt;=45,"C",IF(L9&lt;=60,"D",IF(L9&lt;=80,"E","F"))))))</f>
        <v>-</v>
      </c>
      <c r="N9" s="194"/>
      <c r="O9" s="192" t="str">
        <f>IF(資料分析!AE54=0,"-",資料分析!AE54)</f>
        <v>-</v>
      </c>
      <c r="P9" s="185" t="str">
        <f t="shared" ref="P4:P9" si="1">IF(O9="-","-",IF(O9&lt;=15,"A",IF(O9&lt;=30,"B",IF(O9&lt;=45,"C",IF(O9&lt;=60,"D",IF(O9&lt;=80,"E","F"))))))</f>
        <v>-</v>
      </c>
      <c r="Q9" s="194"/>
    </row>
    <row r="11" spans="1:20">
      <c r="A11" s="178" t="s">
        <v>160</v>
      </c>
      <c r="B11" s="178"/>
    </row>
    <row r="12" spans="1:20">
      <c r="A12" s="266" t="s">
        <v>161</v>
      </c>
      <c r="B12" s="267"/>
      <c r="C12" s="270" t="str">
        <f>資料分析!AK1</f>
        <v>假日(11-12)</v>
      </c>
      <c r="D12" s="270"/>
      <c r="E12" s="270"/>
      <c r="F12" s="270" t="str">
        <f>資料分析!AR1</f>
        <v>假日(1430~1530)</v>
      </c>
      <c r="G12" s="270"/>
      <c r="H12" s="270"/>
      <c r="I12" s="270" t="str">
        <f>資料分析!AY1</f>
        <v>假日(1730~1830)</v>
      </c>
      <c r="J12" s="270"/>
      <c r="K12" s="270"/>
      <c r="L12" s="270" t="str">
        <f>資料分析!BF1</f>
        <v>假日(16-18)</v>
      </c>
      <c r="M12" s="270"/>
      <c r="N12" s="270"/>
      <c r="O12" s="270" t="str">
        <f>資料分析!BM1</f>
        <v>假日(17-19)</v>
      </c>
      <c r="P12" s="270"/>
      <c r="Q12" s="270"/>
      <c r="R12" s="274" t="str">
        <f>資料分析!BT1</f>
        <v>假日(16-20)</v>
      </c>
      <c r="S12" s="274"/>
      <c r="T12" s="274"/>
    </row>
    <row r="13" spans="1:20">
      <c r="A13" s="268"/>
      <c r="B13" s="269"/>
      <c r="C13" s="179" t="s">
        <v>162</v>
      </c>
      <c r="D13" s="179" t="s">
        <v>163</v>
      </c>
      <c r="E13" s="180" t="s">
        <v>135</v>
      </c>
      <c r="F13" s="179" t="s">
        <v>162</v>
      </c>
      <c r="G13" s="179" t="s">
        <v>163</v>
      </c>
      <c r="H13" s="180" t="s">
        <v>135</v>
      </c>
      <c r="I13" s="179" t="s">
        <v>162</v>
      </c>
      <c r="J13" s="179" t="s">
        <v>163</v>
      </c>
      <c r="K13" s="180" t="s">
        <v>135</v>
      </c>
      <c r="L13" s="179" t="s">
        <v>162</v>
      </c>
      <c r="M13" s="179" t="s">
        <v>163</v>
      </c>
      <c r="N13" s="180" t="s">
        <v>135</v>
      </c>
      <c r="O13" s="179" t="s">
        <v>162</v>
      </c>
      <c r="P13" s="179" t="s">
        <v>163</v>
      </c>
      <c r="Q13" s="180" t="s">
        <v>135</v>
      </c>
      <c r="R13" s="179" t="s">
        <v>162</v>
      </c>
      <c r="S13" s="179" t="s">
        <v>163</v>
      </c>
      <c r="T13" s="180" t="s">
        <v>135</v>
      </c>
    </row>
    <row r="14" spans="1:20">
      <c r="A14" s="188" t="s">
        <v>34</v>
      </c>
      <c r="B14" s="195" t="str">
        <f t="shared" ref="B14:B19" si="2">B4</f>
        <v/>
      </c>
      <c r="C14" s="189" t="str">
        <f>IF(資料分析!AL9=0,"-",資料分析!AL9)</f>
        <v>-</v>
      </c>
      <c r="D14" s="190" t="str">
        <f>IF(C14="-","-",IF(C14&lt;=15,"A",IF(C14&lt;=30,"B",IF(C14&lt;=45,"C",IF(C14&lt;=60,"D",IF(C14&lt;=80,"E","F"))))))</f>
        <v>-</v>
      </c>
      <c r="E14" s="186" t="str">
        <f>IF(資料分析!AL63=0,"-",資料分析!AL63)</f>
        <v>-</v>
      </c>
      <c r="F14" s="192" t="str">
        <f>IF(資料分析!AS9=0,"-",資料分析!AS9)</f>
        <v>-</v>
      </c>
      <c r="G14" s="190" t="str">
        <f>IF(F14="-","-",IF(F14&lt;=15,"A",IF(F14&lt;=30,"B",IF(F14&lt;=45,"C",IF(F14&lt;=60,"D",IF(F14&lt;=80,"E","F"))))))</f>
        <v>-</v>
      </c>
      <c r="H14" s="186" t="str">
        <f>IF(資料分析!AS63=0,"-",資料分析!AS63)</f>
        <v>-</v>
      </c>
      <c r="I14" s="192" t="str">
        <f>IF(資料分析!AZ9=0,"-",資料分析!AZ9)</f>
        <v>-</v>
      </c>
      <c r="J14" s="190" t="str">
        <f>IF(I14="-","-",IF(I14&lt;=15,"A",IF(I14&lt;=30,"B",IF(I14&lt;=45,"C",IF(I14&lt;=60,"D",IF(I14&lt;=80,"E","F"))))))</f>
        <v>-</v>
      </c>
      <c r="K14" s="186" t="str">
        <f>IF(資料分析!AZ63=0,"-",資料分析!AZ63)</f>
        <v>-</v>
      </c>
      <c r="L14" s="192" t="str">
        <f>IF(資料分析!BG9=0,"-",資料分析!BG9)</f>
        <v>-</v>
      </c>
      <c r="M14" s="190" t="str">
        <f>IF(L14="-","-",IF(L14&lt;=15,"A",IF(L14&lt;=30,"B",IF(L14&lt;=45,"C",IF(L14&lt;=60,"D",IF(L14&lt;=80,"E","F"))))))</f>
        <v>-</v>
      </c>
      <c r="N14" s="186" t="str">
        <f>IF(資料分析!BG63=0,"-",資料分析!BG63)</f>
        <v>-</v>
      </c>
      <c r="O14" s="192" t="str">
        <f>IF(資料分析!BN9=0,"-",資料分析!BN9)</f>
        <v>-</v>
      </c>
      <c r="P14" s="190" t="str">
        <f>IF(O14="-","-",IF(O14&lt;=15,"A",IF(O14&lt;=30,"B",IF(O14&lt;=45,"C",IF(O14&lt;=60,"D",IF(O14&lt;=80,"E","F"))))))</f>
        <v>-</v>
      </c>
      <c r="Q14" s="186" t="str">
        <f>IF(資料分析!BN63=0,"-",資料分析!BN63)</f>
        <v>-</v>
      </c>
      <c r="R14" s="246" t="str">
        <f>IF(資料分析!BU17=0,"-",資料分析!BU17)</f>
        <v>-</v>
      </c>
      <c r="S14" s="190" t="str">
        <f>IF(R14="-","-",IF(R14&lt;=15,"A",IF(R14&lt;=30,"B",IF(R14&lt;=45,"C",IF(R14&lt;=60,"D",IF(R14&lt;=80,"E","F"))))))</f>
        <v>-</v>
      </c>
      <c r="T14" s="245" t="str">
        <f>IF(資料分析!BU119=0,"-",資料分析!BU119)</f>
        <v>-</v>
      </c>
    </row>
    <row r="15" spans="1:20">
      <c r="A15" s="188" t="s">
        <v>35</v>
      </c>
      <c r="B15" s="195" t="str">
        <f t="shared" si="2"/>
        <v/>
      </c>
      <c r="C15" s="189" t="str">
        <f>IF(資料分析!AL18=0,"-",資料分析!AL18)</f>
        <v>-</v>
      </c>
      <c r="D15" s="190" t="str">
        <f>IF(C15="-","-",IF(C15&lt;=15,"A",IF(C15&lt;=30,"B",IF(C15&lt;=45,"C",IF(C15&lt;=60,"D",IF(C15&lt;=80,"E","F"))))))</f>
        <v>-</v>
      </c>
      <c r="E15" s="191" t="str">
        <f>IF(E14="-","-",IF(E14&lt;=15,"A",IF(E14&lt;=30,"B",IF(E14&lt;=45,"C",IF(E14&lt;=60,"D",IF(E14&lt;=80,"E","F"))))))</f>
        <v>-</v>
      </c>
      <c r="F15" s="192" t="str">
        <f>IF(資料分析!AS18=0,"-",資料分析!AS18)</f>
        <v>-</v>
      </c>
      <c r="G15" s="190" t="str">
        <f>IF(F15="-","-",IF(F15&lt;=15,"A",IF(F15&lt;=30,"B",IF(F15&lt;=45,"C",IF(F15&lt;=60,"D",IF(F15&lt;=80,"E","F"))))))</f>
        <v>-</v>
      </c>
      <c r="H15" s="191" t="str">
        <f>IF(H14="-","-",IF(H14&lt;=15,"A",IF(H14&lt;=30,"B",IF(H14&lt;=45,"C",IF(H14&lt;=60,"D",IF(H14&lt;=80,"E","F"))))))</f>
        <v>-</v>
      </c>
      <c r="I15" s="192" t="str">
        <f>IF(資料分析!AZ18=0,"-",資料分析!AZ18)</f>
        <v>-</v>
      </c>
      <c r="J15" s="190" t="str">
        <f>IF(I15="-","-",IF(I15&lt;=15,"A",IF(I15&lt;=30,"B",IF(I15&lt;=45,"C",IF(I15&lt;=60,"D",IF(I15&lt;=80,"E","F"))))))</f>
        <v>-</v>
      </c>
      <c r="K15" s="191" t="str">
        <f>IF(K14="-","-",IF(K14&lt;=15,"A",IF(K14&lt;=30,"B",IF(K14&lt;=45,"C",IF(K14&lt;=60,"D",IF(K14&lt;=80,"E","F"))))))</f>
        <v>-</v>
      </c>
      <c r="L15" s="192" t="str">
        <f>IF(資料分析!BG18=0,"-",資料分析!BG18)</f>
        <v>-</v>
      </c>
      <c r="M15" s="190" t="str">
        <f>IF(L15="-","-",IF(L15&lt;=15,"A",IF(L15&lt;=30,"B",IF(L15&lt;=45,"C",IF(L15&lt;=60,"D",IF(L15&lt;=80,"E","F"))))))</f>
        <v>-</v>
      </c>
      <c r="N15" s="191" t="str">
        <f>IF(N14="-","-",IF(N14&lt;=15,"A",IF(N14&lt;=30,"B",IF(N14&lt;=45,"C",IF(N14&lt;=60,"D",IF(N14&lt;=80,"E","F"))))))</f>
        <v>-</v>
      </c>
      <c r="O15" s="192" t="str">
        <f>IF(資料分析!BN18=0,"-",資料分析!BN18)</f>
        <v>-</v>
      </c>
      <c r="P15" s="190" t="str">
        <f>IF(O15="-","-",IF(O15&lt;=15,"A",IF(O15&lt;=30,"B",IF(O15&lt;=45,"C",IF(O15&lt;=60,"D",IF(O15&lt;=80,"E","F"))))))</f>
        <v>-</v>
      </c>
      <c r="Q15" s="191" t="str">
        <f>IF(Q14="-","-",IF(Q14&lt;=15,"A",IF(Q14&lt;=30,"B",IF(Q14&lt;=45,"C",IF(Q14&lt;=60,"D",IF(Q14&lt;=80,"E","F"))))))</f>
        <v>-</v>
      </c>
      <c r="R15" s="246" t="str">
        <f>IF(資料分析!BU34=0,"-",資料分析!BU34)</f>
        <v>-</v>
      </c>
      <c r="S15" s="190" t="str">
        <f>IF(R15="-","-",IF(R15&lt;=15,"A",IF(R15&lt;=30,"B",IF(R15&lt;=45,"C",IF(R15&lt;=60,"D",IF(R15&lt;=80,"E","F"))))))</f>
        <v>-</v>
      </c>
      <c r="T15" s="191" t="str">
        <f>IF(T14="-","-",IF(T14&lt;=15,"A",IF(T14&lt;=30,"B",IF(T14&lt;=45,"C",IF(T14&lt;=60,"D",IF(T14&lt;=80,"E","F"))))))</f>
        <v>-</v>
      </c>
    </row>
    <row r="16" spans="1:20">
      <c r="A16" s="188" t="s">
        <v>36</v>
      </c>
      <c r="B16" s="195" t="str">
        <f t="shared" si="2"/>
        <v/>
      </c>
      <c r="C16" s="189" t="str">
        <f>IF(資料分析!AL27=0,"-",資料分析!AL27)</f>
        <v>-</v>
      </c>
      <c r="D16" s="190" t="str">
        <f>IF(C16="-","-",IF(C16&lt;=15,"A",IF(C16&lt;=30,"B",IF(C16&lt;=45,"C",IF(C16&lt;=60,"D",IF(C16&lt;=80,"E","F"))))))</f>
        <v>-</v>
      </c>
      <c r="E16" s="193"/>
      <c r="F16" s="192" t="str">
        <f>IF(資料分析!AS27=0,"-",資料分析!AS27)</f>
        <v>-</v>
      </c>
      <c r="G16" s="190" t="str">
        <f>IF(F16="-","-",IF(F16&lt;=15,"A",IF(F16&lt;=30,"B",IF(F16&lt;=45,"C",IF(F16&lt;=60,"D",IF(F16&lt;=80,"E","F"))))))</f>
        <v>-</v>
      </c>
      <c r="H16" s="193"/>
      <c r="I16" s="192" t="str">
        <f>IF(資料分析!AZ27=0,"-",資料分析!AZ27)</f>
        <v>-</v>
      </c>
      <c r="J16" s="190" t="str">
        <f>IF(I16="-","-",IF(I16&lt;=15,"A",IF(I16&lt;=30,"B",IF(I16&lt;=45,"C",IF(I16&lt;=60,"D",IF(I16&lt;=80,"E","F"))))))</f>
        <v>-</v>
      </c>
      <c r="K16" s="193"/>
      <c r="L16" s="192" t="str">
        <f>IF(資料分析!BG27=0,"-",資料分析!BG27)</f>
        <v>-</v>
      </c>
      <c r="M16" s="190" t="str">
        <f>IF(L16="-","-",IF(L16&lt;=15,"A",IF(L16&lt;=30,"B",IF(L16&lt;=45,"C",IF(L16&lt;=60,"D",IF(L16&lt;=80,"E","F"))))))</f>
        <v>-</v>
      </c>
      <c r="N16" s="193"/>
      <c r="O16" s="192" t="str">
        <f>IF(資料分析!BN27=0,"-",資料分析!BN27)</f>
        <v>-</v>
      </c>
      <c r="P16" s="190" t="str">
        <f>IF(O16="-","-",IF(O16&lt;=15,"A",IF(O16&lt;=30,"B",IF(O16&lt;=45,"C",IF(O16&lt;=60,"D",IF(O16&lt;=80,"E","F"))))))</f>
        <v>-</v>
      </c>
      <c r="Q16" s="193"/>
      <c r="R16" s="246" t="str">
        <f>IF(資料分析!BU51=0,"-",資料分析!BU51)</f>
        <v>-</v>
      </c>
      <c r="S16" s="190" t="str">
        <f>IF(R16="-","-",IF(R16&lt;=15,"A",IF(R16&lt;=30,"B",IF(R16&lt;=45,"C",IF(R16&lt;=60,"D",IF(R16&lt;=80,"E","F"))))))</f>
        <v>-</v>
      </c>
      <c r="T16" s="193"/>
    </row>
    <row r="17" spans="1:20">
      <c r="A17" s="188" t="s">
        <v>37</v>
      </c>
      <c r="B17" s="195" t="str">
        <f t="shared" si="2"/>
        <v/>
      </c>
      <c r="C17" s="189" t="str">
        <f>IF(資料分析!AL36=0,"-",資料分析!AL36)</f>
        <v>-</v>
      </c>
      <c r="D17" s="190" t="str">
        <f>IF(C17="-","-",IF(C17&lt;=15,"A",IF(C17&lt;=30,"B",IF(C17&lt;=45,"C",IF(C17&lt;=60,"D",IF(C17&lt;=80,"E","F"))))))</f>
        <v>-</v>
      </c>
      <c r="E17" s="193"/>
      <c r="F17" s="192" t="str">
        <f>IF(資料分析!AS36=0,"-",資料分析!AS36)</f>
        <v>-</v>
      </c>
      <c r="G17" s="190" t="str">
        <f>IF(F17="-","-",IF(F17&lt;=15,"A",IF(F17&lt;=30,"B",IF(F17&lt;=45,"C",IF(F17&lt;=60,"D",IF(F17&lt;=80,"E","F"))))))</f>
        <v>-</v>
      </c>
      <c r="H17" s="193"/>
      <c r="I17" s="192" t="str">
        <f>IF(資料分析!AZ36=0,"-",資料分析!AZ36)</f>
        <v>-</v>
      </c>
      <c r="J17" s="190" t="str">
        <f>IF(I17="-","-",IF(I17&lt;=15,"A",IF(I17&lt;=30,"B",IF(I17&lt;=45,"C",IF(I17&lt;=60,"D",IF(I17&lt;=80,"E","F"))))))</f>
        <v>-</v>
      </c>
      <c r="K17" s="193"/>
      <c r="L17" s="192" t="str">
        <f>IF(資料分析!BG36=0,"-",資料分析!BG36)</f>
        <v>-</v>
      </c>
      <c r="M17" s="190" t="str">
        <f>IF(L17="-","-",IF(L17&lt;=15,"A",IF(L17&lt;=30,"B",IF(L17&lt;=45,"C",IF(L17&lt;=60,"D",IF(L17&lt;=80,"E","F"))))))</f>
        <v>-</v>
      </c>
      <c r="N17" s="193"/>
      <c r="O17" s="192" t="str">
        <f>IF(資料分析!BN36=0,"-",資料分析!BN36)</f>
        <v>-</v>
      </c>
      <c r="P17" s="190" t="str">
        <f>IF(O17="-","-",IF(O17&lt;=15,"A",IF(O17&lt;=30,"B",IF(O17&lt;=45,"C",IF(O17&lt;=60,"D",IF(O17&lt;=80,"E","F"))))))</f>
        <v>-</v>
      </c>
      <c r="Q17" s="193"/>
      <c r="R17" s="246" t="str">
        <f>IF(資料分析!BU68=0,"-",資料分析!BU68)</f>
        <v>-</v>
      </c>
      <c r="S17" s="190" t="str">
        <f>IF(R17="-","-",IF(R17&lt;=15,"A",IF(R17&lt;=30,"B",IF(R17&lt;=45,"C",IF(R17&lt;=60,"D",IF(R17&lt;=80,"E","F"))))))</f>
        <v>-</v>
      </c>
      <c r="T17" s="193"/>
    </row>
    <row r="18" spans="1:20">
      <c r="A18" s="188" t="s">
        <v>124</v>
      </c>
      <c r="B18" s="195" t="str">
        <f t="shared" si="2"/>
        <v/>
      </c>
      <c r="C18" s="189" t="str">
        <f>IF(資料分析!AL45=0,"-",資料分析!AL45)</f>
        <v>-</v>
      </c>
      <c r="D18" s="190" t="str">
        <f>IF(C18="-","-",IF(C18&lt;=15,"A",IF(C18&lt;=30,"B",IF(C18&lt;=45,"C",IF(C18&lt;=60,"D",IF(C18&lt;=80,"E","F"))))))</f>
        <v>-</v>
      </c>
      <c r="E18" s="193"/>
      <c r="F18" s="192" t="str">
        <f>IF(資料分析!AS45=0,"-",資料分析!AS45)</f>
        <v>-</v>
      </c>
      <c r="G18" s="190" t="str">
        <f>IF(F18="-","-",IF(F18&lt;=15,"A",IF(F18&lt;=30,"B",IF(F18&lt;=45,"C",IF(F18&lt;=60,"D",IF(F18&lt;=80,"E","F"))))))</f>
        <v>-</v>
      </c>
      <c r="H18" s="193"/>
      <c r="I18" s="192" t="str">
        <f>IF(資料分析!AZ45=0,"-",資料分析!AZ45)</f>
        <v>-</v>
      </c>
      <c r="J18" s="190" t="str">
        <f>IF(I18="-","-",IF(I18&lt;=15,"A",IF(I18&lt;=30,"B",IF(I18&lt;=45,"C",IF(I18&lt;=60,"D",IF(I18&lt;=80,"E","F"))))))</f>
        <v>-</v>
      </c>
      <c r="K18" s="193"/>
      <c r="L18" s="192" t="str">
        <f>IF(資料分析!BG45=0,"-",資料分析!BG45)</f>
        <v>-</v>
      </c>
      <c r="M18" s="190" t="str">
        <f>IF(L18="-","-",IF(L18&lt;=15,"A",IF(L18&lt;=30,"B",IF(L18&lt;=45,"C",IF(L18&lt;=60,"D",IF(L18&lt;=80,"E","F"))))))</f>
        <v>-</v>
      </c>
      <c r="N18" s="193"/>
      <c r="O18" s="192" t="str">
        <f>IF(資料分析!BN45=0,"-",資料分析!BN45)</f>
        <v>-</v>
      </c>
      <c r="P18" s="190" t="str">
        <f>IF(O18="-","-",IF(O18&lt;=15,"A",IF(O18&lt;=30,"B",IF(O18&lt;=45,"C",IF(O18&lt;=60,"D",IF(O18&lt;=80,"E","F"))))))</f>
        <v>-</v>
      </c>
      <c r="Q18" s="193"/>
      <c r="R18" s="246" t="str">
        <f>IF(資料分析!BU85=0,"-",資料分析!BU85)</f>
        <v>-</v>
      </c>
      <c r="S18" s="190" t="str">
        <f>IF(R18="-","-",IF(R18&lt;=15,"A",IF(R18&lt;=30,"B",IF(R18&lt;=45,"C",IF(R18&lt;=60,"D",IF(R18&lt;=80,"E","F"))))))</f>
        <v>-</v>
      </c>
      <c r="T18" s="193"/>
    </row>
    <row r="19" spans="1:20">
      <c r="A19" s="188" t="s">
        <v>126</v>
      </c>
      <c r="B19" s="195" t="str">
        <f t="shared" si="2"/>
        <v/>
      </c>
      <c r="C19" s="189" t="str">
        <f>IF(資料分析!AL54=0,"-",資料分析!AL54)</f>
        <v>-</v>
      </c>
      <c r="D19" s="190" t="str">
        <f>IF(C19="-","-",IF(C19&lt;=15,"A",IF(C19&lt;=30,"B",IF(C19&lt;=45,"C",IF(C19&lt;=60,"D",IF(C19&lt;=80,"E","F"))))))</f>
        <v>-</v>
      </c>
      <c r="E19" s="194"/>
      <c r="F19" s="192" t="str">
        <f>IF(資料分析!AS54=0,"-",資料分析!AS54)</f>
        <v>-</v>
      </c>
      <c r="G19" s="190" t="str">
        <f>IF(F19="-","-",IF(F19&lt;=15,"A",IF(F19&lt;=30,"B",IF(F19&lt;=45,"C",IF(F19&lt;=60,"D",IF(F19&lt;=80,"E","F"))))))</f>
        <v>-</v>
      </c>
      <c r="H19" s="194"/>
      <c r="I19" s="192" t="str">
        <f>IF(資料分析!AZ54=0,"-",資料分析!AZ54)</f>
        <v>-</v>
      </c>
      <c r="J19" s="190" t="str">
        <f>IF(I19="-","-",IF(I19&lt;=15,"A",IF(I19&lt;=30,"B",IF(I19&lt;=45,"C",IF(I19&lt;=60,"D",IF(I19&lt;=80,"E","F"))))))</f>
        <v>-</v>
      </c>
      <c r="K19" s="194"/>
      <c r="L19" s="192" t="str">
        <f>IF(資料分析!BG54=0,"-",資料分析!BG54)</f>
        <v>-</v>
      </c>
      <c r="M19" s="190" t="str">
        <f>IF(L19="-","-",IF(L19&lt;=15,"A",IF(L19&lt;=30,"B",IF(L19&lt;=45,"C",IF(L19&lt;=60,"D",IF(L19&lt;=80,"E","F"))))))</f>
        <v>-</v>
      </c>
      <c r="N19" s="194"/>
      <c r="O19" s="192" t="str">
        <f>IF(資料分析!BN54=0,"-",資料分析!BN54)</f>
        <v>-</v>
      </c>
      <c r="P19" s="190" t="str">
        <f>IF(O19="-","-",IF(O19&lt;=15,"A",IF(O19&lt;=30,"B",IF(O19&lt;=45,"C",IF(O19&lt;=60,"D",IF(O19&lt;=80,"E","F"))))))</f>
        <v>-</v>
      </c>
      <c r="Q19" s="194"/>
      <c r="R19" s="246" t="str">
        <f>IF(資料分析!BU102=0,"-",資料分析!BU102)</f>
        <v>-</v>
      </c>
      <c r="S19" s="190" t="str">
        <f>IF(R19="-","-",IF(R19&lt;=15,"A",IF(R19&lt;=30,"B",IF(R19&lt;=45,"C",IF(R19&lt;=60,"D",IF(R19&lt;=80,"E","F"))))))</f>
        <v>-</v>
      </c>
      <c r="T19" s="194"/>
    </row>
    <row r="20" spans="1:20">
      <c r="C20" s="196"/>
      <c r="D20" s="197"/>
      <c r="E20" s="198"/>
    </row>
    <row r="21" spans="1:20">
      <c r="A21" s="178" t="s">
        <v>164</v>
      </c>
      <c r="B21" s="178"/>
    </row>
    <row r="22" spans="1:20">
      <c r="A22" s="266" t="s">
        <v>161</v>
      </c>
      <c r="B22" s="267"/>
      <c r="C22" s="270" t="str">
        <f>C2</f>
        <v>平日晨峰(0630-0830)</v>
      </c>
      <c r="D22" s="270"/>
      <c r="E22" s="270"/>
      <c r="F22" s="270" t="str">
        <f>F2</f>
        <v>平日晨峰(07-09)</v>
      </c>
      <c r="G22" s="270"/>
      <c r="H22" s="270"/>
      <c r="I22" s="270" t="str">
        <f>I2</f>
        <v>平日中午(11-13)</v>
      </c>
      <c r="J22" s="270"/>
      <c r="K22" s="270"/>
      <c r="L22" s="270" t="str">
        <f>L2</f>
        <v>平日中午(12-14)</v>
      </c>
      <c r="M22" s="270"/>
      <c r="N22" s="270"/>
      <c r="O22" s="270" t="str">
        <f>O2</f>
        <v>平日昏峰(17-19)</v>
      </c>
      <c r="P22" s="270"/>
      <c r="Q22" s="270"/>
    </row>
    <row r="23" spans="1:20">
      <c r="A23" s="268"/>
      <c r="B23" s="269"/>
      <c r="C23" s="179" t="s">
        <v>162</v>
      </c>
      <c r="D23" s="179" t="s">
        <v>163</v>
      </c>
      <c r="E23" s="180" t="s">
        <v>135</v>
      </c>
      <c r="F23" s="179" t="s">
        <v>162</v>
      </c>
      <c r="G23" s="179" t="s">
        <v>163</v>
      </c>
      <c r="H23" s="180" t="s">
        <v>135</v>
      </c>
      <c r="I23" s="179" t="s">
        <v>162</v>
      </c>
      <c r="J23" s="179" t="s">
        <v>163</v>
      </c>
      <c r="K23" s="181" t="s">
        <v>135</v>
      </c>
      <c r="L23" s="179" t="s">
        <v>162</v>
      </c>
      <c r="M23" s="179" t="s">
        <v>163</v>
      </c>
      <c r="N23" s="181" t="s">
        <v>135</v>
      </c>
      <c r="O23" s="179" t="s">
        <v>162</v>
      </c>
      <c r="P23" s="179" t="s">
        <v>163</v>
      </c>
      <c r="Q23" s="181" t="s">
        <v>135</v>
      </c>
    </row>
    <row r="24" spans="1:20">
      <c r="A24" s="182" t="s">
        <v>34</v>
      </c>
      <c r="B24" s="199" t="str">
        <f t="shared" ref="B24:B29" si="3">B4</f>
        <v/>
      </c>
      <c r="C24" s="243" t="str">
        <f>IF(資料分析!D10=0,"-",資料分析!D10)</f>
        <v>-</v>
      </c>
      <c r="D24" s="190" t="str">
        <f>IF(C24="-","-",IF(C24&lt;=15,"A",IF(C24&lt;=30,"B",IF(C24&lt;=45,"C",IF(C24&lt;=60,"D",IF(C24&lt;=80,"E","F"))))))</f>
        <v>-</v>
      </c>
      <c r="E24" s="245" t="str">
        <f>IF(資料分析!D64=0,"-",資料分析!D64)</f>
        <v>-</v>
      </c>
      <c r="F24" s="200" t="str">
        <f>IF(資料分析!K10=0,"-",資料分析!K10)</f>
        <v>-</v>
      </c>
      <c r="G24" s="190" t="str">
        <f>IF(F24="-","-",IF(F24&lt;=15,"A",IF(F24&lt;=30,"B",IF(F24&lt;=45,"C",IF(F24&lt;=60,"D",IF(F24&lt;=80,"E","F"))))))</f>
        <v>-</v>
      </c>
      <c r="H24" s="201" t="str">
        <f>IF(資料分析!K64=0,"-",資料分析!K64)</f>
        <v>-</v>
      </c>
      <c r="I24" s="202" t="str">
        <f>IF(資料分析!R10=0,"-",資料分析!R10)</f>
        <v>-</v>
      </c>
      <c r="J24" s="190" t="str">
        <f>IF(I24="-","-",IF(I24&lt;=15,"A",IF(I24&lt;=30,"B",IF(I24&lt;=45,"C",IF(I24&lt;=60,"D",IF(I24&lt;=80,"E","F"))))))</f>
        <v>-</v>
      </c>
      <c r="K24" s="201" t="str">
        <f>IF(資料分析!R64=0,"-",資料分析!R64)</f>
        <v>-</v>
      </c>
      <c r="L24" s="202" t="str">
        <f>IF(資料分析!Y10=0,"-",資料分析!Y10)</f>
        <v>-</v>
      </c>
      <c r="M24" s="190" t="str">
        <f>IF(L24="-","-",IF(L24&lt;=15,"A",IF(L24&lt;=30,"B",IF(L24&lt;=45,"C",IF(L24&lt;=60,"D",IF(L24&lt;=80,"E","F"))))))</f>
        <v>-</v>
      </c>
      <c r="N24" s="201" t="str">
        <f>IF(資料分析!Y64=0,"-",資料分析!Y64)</f>
        <v>-</v>
      </c>
      <c r="O24" s="202" t="str">
        <f>IF(資料分析!AF10=0,"-",資料分析!AF10)</f>
        <v>-</v>
      </c>
      <c r="P24" s="190" t="str">
        <f>IF(O24="-","-",IF(O24&lt;=15,"A",IF(O24&lt;=30,"B",IF(O24&lt;=45,"C",IF(O24&lt;=60,"D",IF(O24&lt;=80,"E","F"))))))</f>
        <v>-</v>
      </c>
      <c r="Q24" s="201" t="str">
        <f>IF(資料分析!AF64=0,"-",資料分析!AF64)</f>
        <v>-</v>
      </c>
    </row>
    <row r="25" spans="1:20">
      <c r="A25" s="188" t="s">
        <v>35</v>
      </c>
      <c r="B25" s="199" t="str">
        <f t="shared" si="3"/>
        <v/>
      </c>
      <c r="C25" s="244" t="str">
        <f>IF(資料分析!D19=0,"-",資料分析!D19)</f>
        <v>-</v>
      </c>
      <c r="D25" s="190" t="str">
        <f>IF(C25="-","-",IF(C25&lt;=15,"A",IF(C25&lt;=30,"B",IF(C25&lt;=45,"C",IF(C25&lt;=60,"D",IF(C25&lt;=80,"E","F"))))))</f>
        <v>-</v>
      </c>
      <c r="E25" s="191" t="str">
        <f>IF(E24="-","-",IF(E24&lt;=15,"A",IF(E24&lt;=30,"B",IF(E24&lt;=45,"C",IF(E24&lt;=60,"D",IF(E24&lt;=80,"E","F"))))))</f>
        <v>-</v>
      </c>
      <c r="F25" s="203" t="str">
        <f>IF(資料分析!K19=0,"-",資料分析!K19)</f>
        <v>-</v>
      </c>
      <c r="G25" s="190" t="str">
        <f>IF(F25="-","-",IF(F25&lt;=15,"A",IF(F25&lt;=30,"B",IF(F25&lt;=45,"C",IF(F25&lt;=60,"D",IF(F25&lt;=80,"E","F"))))))</f>
        <v>-</v>
      </c>
      <c r="H25" s="191" t="str">
        <f>IF(H24="-","-",IF(H24&lt;=15,"A",IF(H24&lt;=30,"B",IF(H24&lt;=45,"C",IF(H24&lt;=60,"D",IF(H24&lt;=80,"E","F"))))))</f>
        <v>-</v>
      </c>
      <c r="I25" s="204" t="str">
        <f>IF(資料分析!R19=0,"-",資料分析!R19)</f>
        <v>-</v>
      </c>
      <c r="J25" s="190" t="str">
        <f>IF(I25="-","-",IF(I25&lt;=15,"A",IF(I25&lt;=30,"B",IF(I25&lt;=45,"C",IF(I25&lt;=60,"D",IF(I25&lt;=80,"E","F"))))))</f>
        <v>-</v>
      </c>
      <c r="K25" s="191" t="str">
        <f>IF(K24="-","-",IF(K24&lt;=15,"A",IF(K24&lt;=30,"B",IF(K24&lt;=45,"C",IF(K24&lt;=60,"D",IF(K24&lt;=80,"E","F"))))))</f>
        <v>-</v>
      </c>
      <c r="L25" s="204" t="str">
        <f>IF(資料分析!Y19=0,"-",資料分析!Y19)</f>
        <v>-</v>
      </c>
      <c r="M25" s="190" t="str">
        <f>IF(L25="-","-",IF(L25&lt;=15,"A",IF(L25&lt;=30,"B",IF(L25&lt;=45,"C",IF(L25&lt;=60,"D",IF(L25&lt;=80,"E","F"))))))</f>
        <v>-</v>
      </c>
      <c r="N25" s="191" t="str">
        <f>IF(N24="-","-",IF(N24&lt;=15,"A",IF(N24&lt;=30,"B",IF(N24&lt;=45,"C",IF(N24&lt;=60,"D",IF(N24&lt;=80,"E","F"))))))</f>
        <v>-</v>
      </c>
      <c r="O25" s="204" t="str">
        <f>IF(資料分析!AF19=0,"-",資料分析!AF19)</f>
        <v>-</v>
      </c>
      <c r="P25" s="190" t="str">
        <f>IF(O25="-","-",IF(O25&lt;=15,"A",IF(O25&lt;=30,"B",IF(O25&lt;=45,"C",IF(O25&lt;=60,"D",IF(O25&lt;=80,"E","F"))))))</f>
        <v>-</v>
      </c>
      <c r="Q25" s="191" t="str">
        <f>IF(Q24="-","-",IF(Q24&lt;=15,"A",IF(Q24&lt;=30,"B",IF(Q24&lt;=45,"C",IF(Q24&lt;=60,"D",IF(Q24&lt;=80,"E","F"))))))</f>
        <v>-</v>
      </c>
    </row>
    <row r="26" spans="1:20">
      <c r="A26" s="181" t="s">
        <v>36</v>
      </c>
      <c r="B26" s="205" t="str">
        <f t="shared" si="3"/>
        <v/>
      </c>
      <c r="C26" s="245" t="str">
        <f>IF(資料分析!D28=0,"-",資料分析!D28)</f>
        <v>-</v>
      </c>
      <c r="D26" s="190" t="str">
        <f>IF(C26="-","-",IF(C26&lt;=15,"A",IF(C26&lt;=30,"B",IF(C26&lt;=45,"C",IF(C26&lt;=60,"D",IF(C26&lt;=80,"E","F"))))))</f>
        <v>-</v>
      </c>
      <c r="E26" s="193"/>
      <c r="F26" s="201" t="str">
        <f>IF(資料分析!K28=0,"-",資料分析!K28)</f>
        <v>-</v>
      </c>
      <c r="G26" s="190" t="str">
        <f>IF(F26="-","-",IF(F26&lt;=15,"A",IF(F26&lt;=30,"B",IF(F26&lt;=45,"C",IF(F26&lt;=60,"D",IF(F26&lt;=80,"E","F"))))))</f>
        <v>-</v>
      </c>
      <c r="H26" s="193"/>
      <c r="I26" s="206" t="str">
        <f>IF(資料分析!R28=0,"-",資料分析!R28)</f>
        <v>-</v>
      </c>
      <c r="J26" s="190" t="str">
        <f>IF(I26="-","-",IF(I26&lt;=15,"A",IF(I26&lt;=30,"B",IF(I26&lt;=45,"C",IF(I26&lt;=60,"D",IF(I26&lt;=80,"E","F"))))))</f>
        <v>-</v>
      </c>
      <c r="K26" s="193"/>
      <c r="L26" s="206" t="str">
        <f>IF(資料分析!Y28=0,"-",資料分析!Y28)</f>
        <v>-</v>
      </c>
      <c r="M26" s="190" t="str">
        <f>IF(L26="-","-",IF(L26&lt;=15,"A",IF(L26&lt;=30,"B",IF(L26&lt;=45,"C",IF(L26&lt;=60,"D",IF(L26&lt;=80,"E","F"))))))</f>
        <v>-</v>
      </c>
      <c r="N26" s="193"/>
      <c r="O26" s="206" t="str">
        <f>IF(資料分析!AF28=0,"-",資料分析!AF28)</f>
        <v>-</v>
      </c>
      <c r="P26" s="190" t="str">
        <f>IF(O26="-","-",IF(O26&lt;=15,"A",IF(O26&lt;=30,"B",IF(O26&lt;=45,"C",IF(O26&lt;=60,"D",IF(O26&lt;=80,"E","F"))))))</f>
        <v>-</v>
      </c>
      <c r="Q26" s="193"/>
    </row>
    <row r="27" spans="1:20">
      <c r="A27" s="188" t="s">
        <v>37</v>
      </c>
      <c r="B27" s="207" t="str">
        <f t="shared" si="3"/>
        <v/>
      </c>
      <c r="C27" s="244" t="str">
        <f>IF(資料分析!D37=0,"-",資料分析!D37)</f>
        <v>-</v>
      </c>
      <c r="D27" s="190" t="str">
        <f t="shared" ref="D24:D29" si="4">IF(C27="-","-",IF(C27&lt;=15,"A",IF(C27&lt;=30,"B",IF(C27&lt;=45,"C",IF(C27&lt;=60,"D",IF(C27&lt;=80,"E","F"))))))</f>
        <v>-</v>
      </c>
      <c r="E27" s="193"/>
      <c r="F27" s="203" t="str">
        <f>IF(資料分析!K37=0,"-",資料分析!K37)</f>
        <v>-</v>
      </c>
      <c r="G27" s="190" t="str">
        <f>IF(F27="-","-",IF(F27&lt;=15,"A",IF(F27&lt;=30,"B",IF(F27&lt;=45,"C",IF(F27&lt;=60,"D",IF(F27&lt;=80,"E","F"))))))</f>
        <v>-</v>
      </c>
      <c r="H27" s="193"/>
      <c r="I27" s="204" t="str">
        <f>IF(資料分析!R37=0,"-",資料分析!R37)</f>
        <v>-</v>
      </c>
      <c r="J27" s="190" t="str">
        <f>IF(I27="-","-",IF(I27&lt;=15,"A",IF(I27&lt;=30,"B",IF(I27&lt;=45,"C",IF(I27&lt;=60,"D",IF(I27&lt;=80,"E","F"))))))</f>
        <v>-</v>
      </c>
      <c r="K27" s="193"/>
      <c r="L27" s="204" t="str">
        <f>IF(資料分析!Y37=0,"-",資料分析!Y37)</f>
        <v>-</v>
      </c>
      <c r="M27" s="190" t="str">
        <f>IF(L27="-","-",IF(L27&lt;=15,"A",IF(L27&lt;=30,"B",IF(L27&lt;=45,"C",IF(L27&lt;=60,"D",IF(L27&lt;=80,"E","F"))))))</f>
        <v>-</v>
      </c>
      <c r="N27" s="193"/>
      <c r="O27" s="204" t="str">
        <f>IF(資料分析!AF37=0,"-",資料分析!AF37)</f>
        <v>-</v>
      </c>
      <c r="P27" s="190" t="str">
        <f>IF(O27="-","-",IF(O27&lt;=15,"A",IF(O27&lt;=30,"B",IF(O27&lt;=45,"C",IF(O27&lt;=60,"D",IF(O27&lt;=80,"E","F"))))))</f>
        <v>-</v>
      </c>
      <c r="Q27" s="193"/>
    </row>
    <row r="28" spans="1:20">
      <c r="A28" s="188" t="s">
        <v>124</v>
      </c>
      <c r="B28" s="207" t="str">
        <f t="shared" si="3"/>
        <v/>
      </c>
      <c r="C28" s="244" t="str">
        <f>IF(資料分析!D46=0,"-",資料分析!D46)</f>
        <v>-</v>
      </c>
      <c r="D28" s="190" t="str">
        <f t="shared" si="4"/>
        <v>-</v>
      </c>
      <c r="E28" s="193"/>
      <c r="F28" s="203" t="str">
        <f>IF(資料分析!K46=0,"-",資料分析!K46)</f>
        <v>-</v>
      </c>
      <c r="G28" s="190" t="str">
        <f>IF(F28="-","-",IF(F28&lt;=15,"A",IF(F28&lt;=30,"B",IF(F28&lt;=45,"C",IF(F28&lt;=60,"D",IF(F28&lt;=80,"E","F"))))))</f>
        <v>-</v>
      </c>
      <c r="H28" s="193"/>
      <c r="I28" s="204" t="str">
        <f>IF(資料分析!R46=0,"-",資料分析!R46)</f>
        <v>-</v>
      </c>
      <c r="J28" s="190" t="str">
        <f>IF(I28="-","-",IF(I28&lt;=15,"A",IF(I28&lt;=30,"B",IF(I28&lt;=45,"C",IF(I28&lt;=60,"D",IF(I28&lt;=80,"E","F"))))))</f>
        <v>-</v>
      </c>
      <c r="K28" s="193"/>
      <c r="L28" s="204" t="str">
        <f>IF(資料分析!Y46=0,"-",資料分析!Y46)</f>
        <v>-</v>
      </c>
      <c r="M28" s="190" t="str">
        <f t="shared" ref="M28:M29" si="5">IF(L28="-","-",IF(L28&lt;=15,"A",IF(L28&lt;=30,"B",IF(L28&lt;=45,"C",IF(L28&lt;=60,"D",IF(L28&lt;=80,"E","F"))))))</f>
        <v>-</v>
      </c>
      <c r="N28" s="193"/>
      <c r="O28" s="204" t="str">
        <f>IF(資料分析!AF46=0,"-",資料分析!AF46)</f>
        <v>-</v>
      </c>
      <c r="P28" s="190" t="str">
        <f>IF(O28="-","-",IF(O28&lt;=15,"A",IF(O28&lt;=30,"B",IF(O28&lt;=45,"C",IF(O28&lt;=60,"D",IF(O28&lt;=80,"E","F"))))))</f>
        <v>-</v>
      </c>
      <c r="Q28" s="193"/>
    </row>
    <row r="29" spans="1:20">
      <c r="A29" s="188" t="s">
        <v>126</v>
      </c>
      <c r="B29" s="207" t="str">
        <f t="shared" si="3"/>
        <v/>
      </c>
      <c r="C29" s="244" t="str">
        <f>IF(資料分析!D55=0,"-",資料分析!D55)</f>
        <v>-</v>
      </c>
      <c r="D29" s="190" t="str">
        <f t="shared" si="4"/>
        <v>-</v>
      </c>
      <c r="E29" s="194"/>
      <c r="F29" s="203" t="str">
        <f>IF(資料分析!K55=0,"-",資料分析!K55)</f>
        <v>-</v>
      </c>
      <c r="G29" s="190" t="str">
        <f t="shared" ref="G24:G29" si="6">IF(F29="-","-",IF(F29&lt;=15,"A",IF(F29&lt;=30,"B",IF(F29&lt;=45,"C",IF(F29&lt;=60,"D",IF(F29&lt;=80,"E","F"))))))</f>
        <v>-</v>
      </c>
      <c r="H29" s="194"/>
      <c r="I29" s="204" t="str">
        <f>IF(資料分析!R55=0,"-",資料分析!R55)</f>
        <v>-</v>
      </c>
      <c r="J29" s="190" t="str">
        <f t="shared" ref="J28:J29" si="7">IF(I29="-","-",IF(I29&lt;=15,"A",IF(I29&lt;=30,"B",IF(I29&lt;=45,"C",IF(I29&lt;=60,"D",IF(I29&lt;=80,"E","F"))))))</f>
        <v>-</v>
      </c>
      <c r="K29" s="194"/>
      <c r="L29" s="204" t="str">
        <f>IF(資料分析!Y55=0,"-",資料分析!Y55)</f>
        <v>-</v>
      </c>
      <c r="M29" s="190" t="str">
        <f>IF(L29="-","-",IF(L29&lt;=15,"A",IF(L29&lt;=30,"B",IF(L29&lt;=45,"C",IF(L29&lt;=60,"D",IF(L29&lt;=80,"E","F"))))))</f>
        <v>-</v>
      </c>
      <c r="N29" s="194"/>
      <c r="O29" s="204" t="str">
        <f>IF(資料分析!AF55=0,"-",資料分析!AF55)</f>
        <v>-</v>
      </c>
      <c r="P29" s="190" t="str">
        <f>IF(O29="-","-",IF(O29&lt;=15,"A",IF(O29&lt;=30,"B",IF(O29&lt;=45,"C",IF(O29&lt;=60,"D",IF(O29&lt;=80,"E","F"))))))</f>
        <v>-</v>
      </c>
      <c r="Q29" s="194"/>
    </row>
    <row r="31" spans="1:20">
      <c r="A31" s="178" t="s">
        <v>164</v>
      </c>
      <c r="B31" s="178"/>
    </row>
    <row r="32" spans="1:20">
      <c r="A32" s="266" t="s">
        <v>161</v>
      </c>
      <c r="B32" s="267"/>
      <c r="C32" s="270" t="str">
        <f>C12</f>
        <v>假日(11-12)</v>
      </c>
      <c r="D32" s="270"/>
      <c r="E32" s="270"/>
      <c r="F32" s="270" t="str">
        <f>F12</f>
        <v>假日(1430~1530)</v>
      </c>
      <c r="G32" s="270"/>
      <c r="H32" s="270"/>
      <c r="I32" s="270" t="str">
        <f>I12</f>
        <v>假日(1730~1830)</v>
      </c>
      <c r="J32" s="270"/>
      <c r="K32" s="270"/>
      <c r="L32" s="270" t="str">
        <f>L12</f>
        <v>假日(16-18)</v>
      </c>
      <c r="M32" s="270"/>
      <c r="N32" s="270"/>
      <c r="O32" s="270" t="str">
        <f>O12</f>
        <v>假日(17-19)</v>
      </c>
      <c r="P32" s="270"/>
      <c r="Q32" s="270"/>
      <c r="R32" s="274" t="str">
        <f>R12</f>
        <v>假日(16-20)</v>
      </c>
      <c r="S32" s="274"/>
      <c r="T32" s="274"/>
    </row>
    <row r="33" spans="1:20">
      <c r="A33" s="268"/>
      <c r="B33" s="269"/>
      <c r="C33" s="179" t="s">
        <v>162</v>
      </c>
      <c r="D33" s="179" t="s">
        <v>163</v>
      </c>
      <c r="E33" s="180" t="s">
        <v>135</v>
      </c>
      <c r="F33" s="179" t="s">
        <v>162</v>
      </c>
      <c r="G33" s="179" t="s">
        <v>163</v>
      </c>
      <c r="H33" s="180" t="s">
        <v>135</v>
      </c>
      <c r="I33" s="179" t="s">
        <v>162</v>
      </c>
      <c r="J33" s="179" t="s">
        <v>163</v>
      </c>
      <c r="K33" s="180" t="s">
        <v>135</v>
      </c>
      <c r="L33" s="179" t="s">
        <v>162</v>
      </c>
      <c r="M33" s="179" t="s">
        <v>163</v>
      </c>
      <c r="N33" s="180" t="s">
        <v>135</v>
      </c>
      <c r="O33" s="179" t="s">
        <v>162</v>
      </c>
      <c r="P33" s="179" t="s">
        <v>163</v>
      </c>
      <c r="Q33" s="180" t="s">
        <v>135</v>
      </c>
      <c r="R33" s="179" t="s">
        <v>162</v>
      </c>
      <c r="S33" s="179" t="s">
        <v>163</v>
      </c>
      <c r="T33" s="180" t="s">
        <v>135</v>
      </c>
    </row>
    <row r="34" spans="1:20">
      <c r="A34" s="182" t="s">
        <v>34</v>
      </c>
      <c r="B34" s="199" t="str">
        <f t="shared" ref="B34:B39" si="8">B14</f>
        <v/>
      </c>
      <c r="C34" s="200" t="str">
        <f>IF(資料分析!AM10=0,"-",資料分析!AM10)</f>
        <v>-</v>
      </c>
      <c r="D34" s="190" t="str">
        <f>IF(C34="-","-",IF(C34&lt;=15,"A",IF(C34&lt;=30,"B",IF(C34&lt;=45,"C",IF(C34&lt;=60,"D",IF(C34&lt;=80,"E","F"))))))</f>
        <v>-</v>
      </c>
      <c r="E34" s="201" t="str">
        <f>IF(資料分析!AM64=0,"-",資料分析!AM64)</f>
        <v>-</v>
      </c>
      <c r="F34" s="202" t="str">
        <f>IF(資料分析!AT10=0,"-",資料分析!AT10)</f>
        <v>-</v>
      </c>
      <c r="G34" s="190" t="str">
        <f>IF(F34="-","-",IF(F34&lt;=15,"A",IF(F34&lt;=30,"B",IF(F34&lt;=45,"C",IF(F34&lt;=60,"D",IF(F34&lt;=80,"E","F"))))))</f>
        <v>-</v>
      </c>
      <c r="H34" s="201" t="str">
        <f>IF(資料分析!AT64=0,"-",資料分析!AT64)</f>
        <v>-</v>
      </c>
      <c r="I34" s="202" t="str">
        <f>IF(資料分析!BA10=0,"-",資料分析!BA10)</f>
        <v>-</v>
      </c>
      <c r="J34" s="190" t="str">
        <f>IF(I34="-","-",IF(I34&lt;=15,"A",IF(I34&lt;=30,"B",IF(I34&lt;=45,"C",IF(I34&lt;=60,"D",IF(I34&lt;=80,"E","F"))))))</f>
        <v>-</v>
      </c>
      <c r="K34" s="201" t="str">
        <f>IF(資料分析!BA64=0,"-",資料分析!BA64)</f>
        <v>-</v>
      </c>
      <c r="L34" s="202" t="str">
        <f>IF(資料分析!BH10=0,"-",資料分析!BH10)</f>
        <v>-</v>
      </c>
      <c r="M34" s="190" t="str">
        <f>IF(L34="-","-",IF(L34&lt;=15,"A",IF(L34&lt;=30,"B",IF(L34&lt;=45,"C",IF(L34&lt;=60,"D",IF(L34&lt;=80,"E","F"))))))</f>
        <v>-</v>
      </c>
      <c r="N34" s="201" t="str">
        <f>IF(資料分析!BH64=0,"-",資料分析!BH64)</f>
        <v>-</v>
      </c>
      <c r="O34" s="202" t="str">
        <f>IF(資料分析!BO10=0,"-",資料分析!BO10)</f>
        <v>-</v>
      </c>
      <c r="P34" s="190" t="str">
        <f>IF(O34="-","-",IF(O34&lt;=15,"A",IF(O34&lt;=30,"B",IF(O34&lt;=45,"C",IF(O34&lt;=60,"D",IF(O34&lt;=80,"E","F"))))))</f>
        <v>-</v>
      </c>
      <c r="Q34" s="201" t="str">
        <f>IF(資料分析!BO64=0,"-",資料分析!BO64)</f>
        <v>-</v>
      </c>
      <c r="R34" s="247" t="str">
        <f>IF(資料分析!BV18=0,"-",資料分析!BV18)</f>
        <v>-</v>
      </c>
      <c r="S34" s="190" t="str">
        <f>IF(R34="-","-",IF(R34&lt;=15,"A",IF(R34&lt;=30,"B",IF(R34&lt;=45,"C",IF(R34&lt;=60,"D",IF(R34&lt;=80,"E","F"))))))</f>
        <v>-</v>
      </c>
      <c r="T34" s="245" t="str">
        <f>IF(資料分析!BV120=0,"-",資料分析!BV120)</f>
        <v>-</v>
      </c>
    </row>
    <row r="35" spans="1:20">
      <c r="A35" s="188" t="s">
        <v>35</v>
      </c>
      <c r="B35" s="199" t="str">
        <f t="shared" si="8"/>
        <v/>
      </c>
      <c r="C35" s="203" t="str">
        <f>IF(資料分析!AM19=0,"-",資料分析!AM19)</f>
        <v>-</v>
      </c>
      <c r="D35" s="190" t="str">
        <f>IF(C35="-","-",IF(C35&lt;=15,"A",IF(C35&lt;=30,"B",IF(C35&lt;=45,"C",IF(C35&lt;=60,"D",IF(C35&lt;=80,"E","F"))))))</f>
        <v>-</v>
      </c>
      <c r="E35" s="191" t="str">
        <f>IF(E34="-","-",IF(E34&lt;=15,"A",IF(E34&lt;=30,"B",IF(E34&lt;=45,"C",IF(E34&lt;=60,"D",IF(E34&lt;=80,"E","F"))))))</f>
        <v>-</v>
      </c>
      <c r="F35" s="204" t="str">
        <f>IF(資料分析!AT19=0,"-",資料分析!AT19)</f>
        <v>-</v>
      </c>
      <c r="G35" s="190" t="str">
        <f>IF(F35="-","-",IF(F35&lt;=15,"A",IF(F35&lt;=30,"B",IF(F35&lt;=45,"C",IF(F35&lt;=60,"D",IF(F35&lt;=80,"E","F"))))))</f>
        <v>-</v>
      </c>
      <c r="H35" s="191" t="str">
        <f>IF(H34="-","-",IF(H34&lt;=15,"A",IF(H34&lt;=30,"B",IF(H34&lt;=45,"C",IF(H34&lt;=60,"D",IF(H34&lt;=80,"E","F"))))))</f>
        <v>-</v>
      </c>
      <c r="I35" s="204" t="str">
        <f>IF(資料分析!BA19=0,"-",資料分析!BA19)</f>
        <v>-</v>
      </c>
      <c r="J35" s="190" t="str">
        <f>IF(I35="-","-",IF(I35&lt;=15,"A",IF(I35&lt;=30,"B",IF(I35&lt;=45,"C",IF(I35&lt;=60,"D",IF(I35&lt;=80,"E","F"))))))</f>
        <v>-</v>
      </c>
      <c r="K35" s="191" t="str">
        <f>IF(K34="-","-",IF(K34&lt;=15,"A",IF(K34&lt;=30,"B",IF(K34&lt;=45,"C",IF(K34&lt;=60,"D",IF(K34&lt;=80,"E","F"))))))</f>
        <v>-</v>
      </c>
      <c r="L35" s="204" t="str">
        <f>IF(資料分析!BH19=0,"-",資料分析!BH19)</f>
        <v>-</v>
      </c>
      <c r="M35" s="190" t="str">
        <f>IF(L35="-","-",IF(L35&lt;=15,"A",IF(L35&lt;=30,"B",IF(L35&lt;=45,"C",IF(L35&lt;=60,"D",IF(L35&lt;=80,"E","F"))))))</f>
        <v>-</v>
      </c>
      <c r="N35" s="191" t="str">
        <f>IF(N34="-","-",IF(N34&lt;=15,"A",IF(N34&lt;=30,"B",IF(N34&lt;=45,"C",IF(N34&lt;=60,"D",IF(N34&lt;=80,"E","F"))))))</f>
        <v>-</v>
      </c>
      <c r="O35" s="204" t="str">
        <f>IF(資料分析!BO19=0,"-",資料分析!BO19)</f>
        <v>-</v>
      </c>
      <c r="P35" s="190" t="str">
        <f>IF(O35="-","-",IF(O35&lt;=15,"A",IF(O35&lt;=30,"B",IF(O35&lt;=45,"C",IF(O35&lt;=60,"D",IF(O35&lt;=80,"E","F"))))))</f>
        <v>-</v>
      </c>
      <c r="Q35" s="191" t="str">
        <f>IF(Q34="-","-",IF(Q34&lt;=15,"A",IF(Q34&lt;=30,"B",IF(Q34&lt;=45,"C",IF(Q34&lt;=60,"D",IF(Q34&lt;=80,"E","F"))))))</f>
        <v>-</v>
      </c>
      <c r="R35" s="247" t="str">
        <f>IF(資料分析!BV35=0,"-",資料分析!BV35)</f>
        <v>-</v>
      </c>
      <c r="S35" s="190" t="str">
        <f>IF(R35="-","-",IF(R35&lt;=15,"A",IF(R35&lt;=30,"B",IF(R35&lt;=45,"C",IF(R35&lt;=60,"D",IF(R35&lt;=80,"E","F"))))))</f>
        <v>-</v>
      </c>
      <c r="T35" s="191" t="str">
        <f>IF(T34="-","-",IF(T34&lt;=15,"A",IF(T34&lt;=30,"B",IF(T34&lt;=45,"C",IF(T34&lt;=60,"D",IF(T34&lt;=80,"E","F"))))))</f>
        <v>-</v>
      </c>
    </row>
    <row r="36" spans="1:20">
      <c r="A36" s="188" t="s">
        <v>36</v>
      </c>
      <c r="B36" s="199" t="str">
        <f t="shared" si="8"/>
        <v/>
      </c>
      <c r="C36" s="203" t="str">
        <f>IF(資料分析!AM28=0,"-",資料分析!AM28)</f>
        <v>-</v>
      </c>
      <c r="D36" s="190" t="str">
        <f>IF(C36="-","-",IF(C36&lt;=15,"A",IF(C36&lt;=30,"B",IF(C36&lt;=45,"C",IF(C36&lt;=60,"D",IF(C36&lt;=80,"E","F"))))))</f>
        <v>-</v>
      </c>
      <c r="E36" s="193"/>
      <c r="F36" s="204" t="str">
        <f>IF(資料分析!AT28=0,"-",資料分析!AT28)</f>
        <v>-</v>
      </c>
      <c r="G36" s="190" t="str">
        <f>IF(F36="-","-",IF(F36&lt;=15,"A",IF(F36&lt;=30,"B",IF(F36&lt;=45,"C",IF(F36&lt;=60,"D",IF(F36&lt;=80,"E","F"))))))</f>
        <v>-</v>
      </c>
      <c r="H36" s="193"/>
      <c r="I36" s="204" t="str">
        <f>IF(資料分析!BA28=0,"-",資料分析!BA28)</f>
        <v>-</v>
      </c>
      <c r="J36" s="190" t="str">
        <f>IF(I36="-","-",IF(I36&lt;=15,"A",IF(I36&lt;=30,"B",IF(I36&lt;=45,"C",IF(I36&lt;=60,"D",IF(I36&lt;=80,"E","F"))))))</f>
        <v>-</v>
      </c>
      <c r="K36" s="193"/>
      <c r="L36" s="204" t="str">
        <f>IF(資料分析!BH28=0,"-",資料分析!BH28)</f>
        <v>-</v>
      </c>
      <c r="M36" s="190" t="str">
        <f>IF(L36="-","-",IF(L36&lt;=15,"A",IF(L36&lt;=30,"B",IF(L36&lt;=45,"C",IF(L36&lt;=60,"D",IF(L36&lt;=80,"E","F"))))))</f>
        <v>-</v>
      </c>
      <c r="N36" s="193"/>
      <c r="O36" s="204" t="str">
        <f>IF(資料分析!BO28=0,"-",資料分析!BO28)</f>
        <v>-</v>
      </c>
      <c r="P36" s="190" t="str">
        <f>IF(O36="-","-",IF(O36&lt;=15,"A",IF(O36&lt;=30,"B",IF(O36&lt;=45,"C",IF(O36&lt;=60,"D",IF(O36&lt;=80,"E","F"))))))</f>
        <v>-</v>
      </c>
      <c r="Q36" s="193"/>
      <c r="R36" s="247" t="str">
        <f>IF(資料分析!BV52=0,"-",資料分析!BV52)</f>
        <v>-</v>
      </c>
      <c r="S36" s="190" t="str">
        <f>IF(R36="-","-",IF(R36&lt;=15,"A",IF(R36&lt;=30,"B",IF(R36&lt;=45,"C",IF(R36&lt;=60,"D",IF(R36&lt;=80,"E","F"))))))</f>
        <v>-</v>
      </c>
      <c r="T36" s="193"/>
    </row>
    <row r="37" spans="1:20">
      <c r="A37" s="188" t="s">
        <v>37</v>
      </c>
      <c r="B37" s="199" t="str">
        <f t="shared" si="8"/>
        <v/>
      </c>
      <c r="C37" s="203" t="str">
        <f>IF(資料分析!AM37=0,"-",資料分析!AM37)</f>
        <v>-</v>
      </c>
      <c r="D37" s="190" t="str">
        <f>IF(C37="-","-",IF(C37&lt;=15,"A",IF(C37&lt;=30,"B",IF(C37&lt;=45,"C",IF(C37&lt;=60,"D",IF(C37&lt;=80,"E","F"))))))</f>
        <v>-</v>
      </c>
      <c r="E37" s="193"/>
      <c r="F37" s="204" t="str">
        <f>IF(資料分析!AT37=0,"-",資料分析!AT37)</f>
        <v>-</v>
      </c>
      <c r="G37" s="190" t="str">
        <f>IF(F37="-","-",IF(F37&lt;=15,"A",IF(F37&lt;=30,"B",IF(F37&lt;=45,"C",IF(F37&lt;=60,"D",IF(F37&lt;=80,"E","F"))))))</f>
        <v>-</v>
      </c>
      <c r="H37" s="193"/>
      <c r="I37" s="204" t="str">
        <f>IF(資料分析!BA37=0,"-",資料分析!BA37)</f>
        <v>-</v>
      </c>
      <c r="J37" s="190" t="str">
        <f>IF(I37="-","-",IF(I37&lt;=15,"A",IF(I37&lt;=30,"B",IF(I37&lt;=45,"C",IF(I37&lt;=60,"D",IF(I37&lt;=80,"E","F"))))))</f>
        <v>-</v>
      </c>
      <c r="K37" s="193"/>
      <c r="L37" s="204" t="str">
        <f>IF(資料分析!BH37=0,"-",資料分析!BH37)</f>
        <v>-</v>
      </c>
      <c r="M37" s="190" t="str">
        <f>IF(L37="-","-",IF(L37&lt;=15,"A",IF(L37&lt;=30,"B",IF(L37&lt;=45,"C",IF(L37&lt;=60,"D",IF(L37&lt;=80,"E","F"))))))</f>
        <v>-</v>
      </c>
      <c r="N37" s="193"/>
      <c r="O37" s="204" t="str">
        <f>IF(資料分析!BO37=0,"-",資料分析!BO37)</f>
        <v>-</v>
      </c>
      <c r="P37" s="190" t="str">
        <f>IF(O37="-","-",IF(O37&lt;=15,"A",IF(O37&lt;=30,"B",IF(O37&lt;=45,"C",IF(O37&lt;=60,"D",IF(O37&lt;=80,"E","F"))))))</f>
        <v>-</v>
      </c>
      <c r="Q37" s="193"/>
      <c r="R37" s="247" t="str">
        <f>IF(資料分析!BV69=0,"-",資料分析!BV69)</f>
        <v>-</v>
      </c>
      <c r="S37" s="190" t="str">
        <f>IF(R37="-","-",IF(R37&lt;=15,"A",IF(R37&lt;=30,"B",IF(R37&lt;=45,"C",IF(R37&lt;=60,"D",IF(R37&lt;=80,"E","F"))))))</f>
        <v>-</v>
      </c>
      <c r="T37" s="193"/>
    </row>
    <row r="38" spans="1:20">
      <c r="A38" s="188" t="s">
        <v>124</v>
      </c>
      <c r="B38" s="199" t="str">
        <f t="shared" si="8"/>
        <v/>
      </c>
      <c r="C38" s="203" t="str">
        <f>IF(資料分析!AM46=0,"-",資料分析!AM46)</f>
        <v>-</v>
      </c>
      <c r="D38" s="190" t="str">
        <f t="shared" ref="D38:D39" si="9">IF(C38="-","-",IF(C38&lt;=15,"A",IF(C38&lt;=30,"B",IF(C38&lt;=45,"C",IF(C38&lt;=60,"D",IF(C38&lt;=80,"E","F"))))))</f>
        <v>-</v>
      </c>
      <c r="E38" s="193"/>
      <c r="F38" s="204" t="str">
        <f>IF(資料分析!AT46=0,"-",資料分析!AT46)</f>
        <v>-</v>
      </c>
      <c r="G38" s="190" t="str">
        <f>IF(F38="-","-",IF(F38&lt;=15,"A",IF(F38&lt;=30,"B",IF(F38&lt;=45,"C",IF(F38&lt;=60,"D",IF(F38&lt;=80,"E","F"))))))</f>
        <v>-</v>
      </c>
      <c r="H38" s="193"/>
      <c r="I38" s="204" t="str">
        <f>IF(資料分析!BA46=0,"-",資料分析!BA46)</f>
        <v>-</v>
      </c>
      <c r="J38" s="190" t="str">
        <f t="shared" ref="J38:J39" si="10">IF(I38="-","-",IF(I38&lt;=15,"A",IF(I38&lt;=30,"B",IF(I38&lt;=45,"C",IF(I38&lt;=60,"D",IF(I38&lt;=80,"E","F"))))))</f>
        <v>-</v>
      </c>
      <c r="K38" s="193"/>
      <c r="L38" s="204" t="str">
        <f>IF(資料分析!BH46=0,"-",資料分析!BH46)</f>
        <v>-</v>
      </c>
      <c r="M38" s="190" t="str">
        <f>IF(L38="-","-",IF(L38&lt;=15,"A",IF(L38&lt;=30,"B",IF(L38&lt;=45,"C",IF(L38&lt;=60,"D",IF(L38&lt;=80,"E","F"))))))</f>
        <v>-</v>
      </c>
      <c r="N38" s="193"/>
      <c r="O38" s="204" t="str">
        <f>IF(資料分析!BO46=0,"-",資料分析!BO46)</f>
        <v>-</v>
      </c>
      <c r="P38" s="190" t="str">
        <f t="shared" ref="P38:P39" si="11">IF(O38="-","-",IF(O38&lt;=15,"A",IF(O38&lt;=30,"B",IF(O38&lt;=45,"C",IF(O38&lt;=60,"D",IF(O38&lt;=80,"E","F"))))))</f>
        <v>-</v>
      </c>
      <c r="Q38" s="193"/>
      <c r="R38" s="247" t="str">
        <f>IF(資料分析!BV86=0,"-",資料分析!BV86)</f>
        <v>-</v>
      </c>
      <c r="S38" s="190" t="str">
        <f>IF(R38="-","-",IF(R38&lt;=15,"A",IF(R38&lt;=30,"B",IF(R38&lt;=45,"C",IF(R38&lt;=60,"D",IF(R38&lt;=80,"E","F"))))))</f>
        <v>-</v>
      </c>
      <c r="T38" s="193"/>
    </row>
    <row r="39" spans="1:20">
      <c r="A39" s="188" t="s">
        <v>126</v>
      </c>
      <c r="B39" s="199" t="str">
        <f t="shared" si="8"/>
        <v/>
      </c>
      <c r="C39" s="203" t="str">
        <f>IF(資料分析!AM55=0,"-",資料分析!AM55)</f>
        <v>-</v>
      </c>
      <c r="D39" s="190" t="str">
        <f>IF(C39="-","-",IF(C39&lt;=15,"A",IF(C39&lt;=30,"B",IF(C39&lt;=45,"C",IF(C39&lt;=60,"D",IF(C39&lt;=80,"E","F"))))))</f>
        <v>-</v>
      </c>
      <c r="E39" s="194"/>
      <c r="F39" s="204" t="str">
        <f>IF(資料分析!AT55=0,"-",資料分析!AT55)</f>
        <v>-</v>
      </c>
      <c r="G39" s="190" t="str">
        <f>IF(F39="-","-",IF(F39&lt;=15,"A",IF(F39&lt;=30,"B",IF(F39&lt;=45,"C",IF(F39&lt;=60,"D",IF(F39&lt;=80,"E","F"))))))</f>
        <v>-</v>
      </c>
      <c r="H39" s="194"/>
      <c r="I39" s="204" t="str">
        <f>IF(資料分析!BA55=0,"-",資料分析!BA55)</f>
        <v>-</v>
      </c>
      <c r="J39" s="190" t="str">
        <f>IF(I39="-","-",IF(I39&lt;=15,"A",IF(I39&lt;=30,"B",IF(I39&lt;=45,"C",IF(I39&lt;=60,"D",IF(I39&lt;=80,"E","F"))))))</f>
        <v>-</v>
      </c>
      <c r="K39" s="194"/>
      <c r="L39" s="204" t="str">
        <f>IF(資料分析!BH55=0,"-",資料分析!BH55)</f>
        <v>-</v>
      </c>
      <c r="M39" s="190" t="str">
        <f>IF(L39="-","-",IF(L39&lt;=15,"A",IF(L39&lt;=30,"B",IF(L39&lt;=45,"C",IF(L39&lt;=60,"D",IF(L39&lt;=80,"E","F"))))))</f>
        <v>-</v>
      </c>
      <c r="N39" s="194"/>
      <c r="O39" s="204" t="str">
        <f>IF(資料分析!BO55=0,"-",資料分析!BO55)</f>
        <v>-</v>
      </c>
      <c r="P39" s="190" t="str">
        <f>IF(O39="-","-",IF(O39&lt;=15,"A",IF(O39&lt;=30,"B",IF(O39&lt;=45,"C",IF(O39&lt;=60,"D",IF(O39&lt;=80,"E","F"))))))</f>
        <v>-</v>
      </c>
      <c r="Q39" s="194"/>
      <c r="R39" s="247" t="str">
        <f>IF(資料分析!BV103=0,"-",資料分析!BV103)</f>
        <v>-</v>
      </c>
      <c r="S39" s="190" t="str">
        <f>IF(R39="-","-",IF(R39&lt;=15,"A",IF(R39&lt;=30,"B",IF(R39&lt;=45,"C",IF(R39&lt;=60,"D",IF(R39&lt;=80,"E","F"))))))</f>
        <v>-</v>
      </c>
      <c r="T39" s="194"/>
    </row>
  </sheetData>
  <autoFilter ref="L5:L9"/>
  <mergeCells count="26">
    <mergeCell ref="O2:Q2"/>
    <mergeCell ref="C2:E2"/>
    <mergeCell ref="R12:T12"/>
    <mergeCell ref="C22:E22"/>
    <mergeCell ref="R32:T32"/>
    <mergeCell ref="L2:N2"/>
    <mergeCell ref="O32:Q32"/>
    <mergeCell ref="L12:N12"/>
    <mergeCell ref="O12:Q12"/>
    <mergeCell ref="A2:B3"/>
    <mergeCell ref="F2:H2"/>
    <mergeCell ref="I2:K2"/>
    <mergeCell ref="A12:B13"/>
    <mergeCell ref="C12:E12"/>
    <mergeCell ref="F12:H12"/>
    <mergeCell ref="I12:K12"/>
    <mergeCell ref="A22:B23"/>
    <mergeCell ref="F22:H22"/>
    <mergeCell ref="I22:K22"/>
    <mergeCell ref="O22:Q22"/>
    <mergeCell ref="A32:B33"/>
    <mergeCell ref="C32:E32"/>
    <mergeCell ref="F32:H32"/>
    <mergeCell ref="I32:K32"/>
    <mergeCell ref="L32:N32"/>
    <mergeCell ref="L22:N22"/>
  </mergeCells>
  <phoneticPr fontId="20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7" tint="0.39997558519241921"/>
  </sheetPr>
  <dimension ref="A1:BA155"/>
  <sheetViews>
    <sheetView zoomScale="70" zoomScaleNormal="70" zoomScaleSheetLayoutView="70" workbookViewId="0">
      <pane ySplit="2" topLeftCell="A3" activePane="bottomLeft" state="frozen"/>
      <selection pane="bottomLeft" sqref="A1:H1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44" width="10.08984375" style="1"/>
    <col min="45" max="45" width="2.08984375" style="1" customWidth="1"/>
    <col min="46" max="16384" width="10.08984375" style="1"/>
  </cols>
  <sheetData>
    <row r="1" spans="1:53" s="11" customFormat="1" ht="18.5" thickBot="1">
      <c r="A1" s="254" t="str">
        <f>基本資料!$C$11</f>
        <v>平日晨峰(07-09)</v>
      </c>
      <c r="B1" s="255"/>
      <c r="C1" s="255"/>
      <c r="D1" s="255"/>
      <c r="E1" s="255"/>
      <c r="F1" s="255"/>
      <c r="G1" s="255"/>
      <c r="H1" s="256"/>
      <c r="J1" s="254" t="str">
        <f>基本資料!$C$11</f>
        <v>平日晨峰(07-09)</v>
      </c>
      <c r="K1" s="255"/>
      <c r="L1" s="255"/>
      <c r="M1" s="255"/>
      <c r="N1" s="255"/>
      <c r="O1" s="255"/>
      <c r="P1" s="255"/>
      <c r="Q1" s="256"/>
      <c r="S1" s="254" t="str">
        <f>基本資料!$C$11</f>
        <v>平日晨峰(07-09)</v>
      </c>
      <c r="T1" s="255"/>
      <c r="U1" s="255"/>
      <c r="V1" s="255"/>
      <c r="W1" s="255"/>
      <c r="X1" s="255"/>
      <c r="Y1" s="255"/>
      <c r="Z1" s="256"/>
      <c r="AB1" s="254" t="str">
        <f>基本資料!$C$11</f>
        <v>平日晨峰(07-09)</v>
      </c>
      <c r="AC1" s="255"/>
      <c r="AD1" s="255"/>
      <c r="AE1" s="255"/>
      <c r="AF1" s="255"/>
      <c r="AG1" s="255"/>
      <c r="AH1" s="255"/>
      <c r="AI1" s="256"/>
      <c r="AK1" s="254" t="str">
        <f>基本資料!$C$11</f>
        <v>平日晨峰(07-09)</v>
      </c>
      <c r="AL1" s="255"/>
      <c r="AM1" s="255"/>
      <c r="AN1" s="255"/>
      <c r="AO1" s="255"/>
      <c r="AP1" s="255"/>
      <c r="AQ1" s="255"/>
      <c r="AR1" s="256"/>
      <c r="AT1" s="254" t="str">
        <f>基本資料!$C$11</f>
        <v>平日晨峰(07-09)</v>
      </c>
      <c r="AU1" s="255"/>
      <c r="AV1" s="255"/>
      <c r="AW1" s="255"/>
      <c r="AX1" s="255"/>
      <c r="AY1" s="255"/>
      <c r="AZ1" s="255"/>
      <c r="BA1" s="256"/>
    </row>
    <row r="2" spans="1:53" ht="18.5" thickBot="1">
      <c r="A2" s="251" t="str">
        <f>CONCATENATE(基本資料!B18,"方向：",基本資料!B19,基本資料!B20)</f>
        <v>A方向：</v>
      </c>
      <c r="B2" s="252"/>
      <c r="C2" s="252"/>
      <c r="D2" s="252"/>
      <c r="E2" s="252"/>
      <c r="F2" s="252"/>
      <c r="G2" s="252"/>
      <c r="H2" s="253"/>
      <c r="I2" s="1"/>
      <c r="J2" s="251" t="str">
        <f>CONCATENATE(基本資料!C18,"方向：",基本資料!C19,基本資料!C20)</f>
        <v>B方向：</v>
      </c>
      <c r="K2" s="252"/>
      <c r="L2" s="252"/>
      <c r="M2" s="252"/>
      <c r="N2" s="252"/>
      <c r="O2" s="252"/>
      <c r="P2" s="252"/>
      <c r="Q2" s="253"/>
      <c r="R2" s="1"/>
      <c r="S2" s="251" t="str">
        <f>CONCATENATE(基本資料!D18,"方向：",基本資料!D19,基本資料!D20)</f>
        <v>C方向：</v>
      </c>
      <c r="T2" s="252"/>
      <c r="U2" s="252"/>
      <c r="V2" s="252"/>
      <c r="W2" s="252"/>
      <c r="X2" s="252"/>
      <c r="Y2" s="252"/>
      <c r="Z2" s="253"/>
      <c r="AA2" s="1"/>
      <c r="AB2" s="251" t="str">
        <f>CONCATENATE(基本資料!E18,"方向：",基本資料!E19,基本資料!E20)</f>
        <v>D方向：</v>
      </c>
      <c r="AC2" s="252"/>
      <c r="AD2" s="252"/>
      <c r="AE2" s="252"/>
      <c r="AF2" s="252"/>
      <c r="AG2" s="252"/>
      <c r="AH2" s="252"/>
      <c r="AI2" s="253"/>
      <c r="AJ2" s="1"/>
      <c r="AK2" s="251" t="str">
        <f>CONCATENATE(基本資料!F18,"方向：",基本資料!F19,基本資料!F20)</f>
        <v>E方向：</v>
      </c>
      <c r="AL2" s="252"/>
      <c r="AM2" s="252"/>
      <c r="AN2" s="252"/>
      <c r="AO2" s="252"/>
      <c r="AP2" s="252"/>
      <c r="AQ2" s="252"/>
      <c r="AR2" s="253"/>
      <c r="AT2" s="251" t="str">
        <f>CONCATENATE(基本資料!G18,"方向：",基本資料!G19,基本資料!G20)</f>
        <v>F方向：</v>
      </c>
      <c r="AU2" s="252"/>
      <c r="AV2" s="252"/>
      <c r="AW2" s="252"/>
      <c r="AX2" s="252"/>
      <c r="AY2" s="252"/>
      <c r="AZ2" s="252"/>
      <c r="BA2" s="253"/>
    </row>
    <row r="3" spans="1:53" ht="18.5" thickBot="1">
      <c r="A3" s="248" t="s">
        <v>43</v>
      </c>
      <c r="B3" s="249"/>
      <c r="C3" s="249"/>
      <c r="D3" s="249"/>
      <c r="E3" s="249"/>
      <c r="F3" s="249"/>
      <c r="G3" s="249"/>
      <c r="H3" s="250"/>
      <c r="I3" s="13"/>
      <c r="J3" s="248" t="s">
        <v>43</v>
      </c>
      <c r="K3" s="249"/>
      <c r="L3" s="249"/>
      <c r="M3" s="249"/>
      <c r="N3" s="249"/>
      <c r="O3" s="249"/>
      <c r="P3" s="249"/>
      <c r="Q3" s="250"/>
      <c r="R3" s="13"/>
      <c r="S3" s="248" t="s">
        <v>43</v>
      </c>
      <c r="T3" s="249"/>
      <c r="U3" s="249"/>
      <c r="V3" s="249"/>
      <c r="W3" s="249"/>
      <c r="X3" s="249"/>
      <c r="Y3" s="249"/>
      <c r="Z3" s="250"/>
      <c r="AA3" s="13"/>
      <c r="AB3" s="248" t="s">
        <v>43</v>
      </c>
      <c r="AC3" s="249"/>
      <c r="AD3" s="249"/>
      <c r="AE3" s="249"/>
      <c r="AF3" s="249"/>
      <c r="AG3" s="249"/>
      <c r="AH3" s="249"/>
      <c r="AI3" s="250"/>
      <c r="AJ3" s="13"/>
      <c r="AK3" s="248" t="s">
        <v>43</v>
      </c>
      <c r="AL3" s="249"/>
      <c r="AM3" s="249"/>
      <c r="AN3" s="249"/>
      <c r="AO3" s="249"/>
      <c r="AP3" s="249"/>
      <c r="AQ3" s="249"/>
      <c r="AR3" s="250"/>
      <c r="AT3" s="248" t="s">
        <v>43</v>
      </c>
      <c r="AU3" s="249"/>
      <c r="AV3" s="249"/>
      <c r="AW3" s="249"/>
      <c r="AX3" s="249"/>
      <c r="AY3" s="249"/>
      <c r="AZ3" s="249"/>
      <c r="BA3" s="250"/>
    </row>
    <row r="4" spans="1:53" ht="17.25" customHeight="1" thickBot="1">
      <c r="A4" s="31" t="s">
        <v>2</v>
      </c>
      <c r="B4" s="32" t="s">
        <v>44</v>
      </c>
      <c r="C4" s="33"/>
      <c r="D4" s="33"/>
      <c r="E4" s="34"/>
      <c r="F4" s="32" t="s">
        <v>45</v>
      </c>
      <c r="G4" s="33"/>
      <c r="H4" s="34"/>
      <c r="I4" s="35"/>
      <c r="J4" s="31" t="s">
        <v>2</v>
      </c>
      <c r="K4" s="32" t="s">
        <v>46</v>
      </c>
      <c r="L4" s="33"/>
      <c r="M4" s="33"/>
      <c r="N4" s="34"/>
      <c r="O4" s="32" t="s">
        <v>47</v>
      </c>
      <c r="P4" s="33"/>
      <c r="Q4" s="34"/>
      <c r="R4" s="35"/>
      <c r="S4" s="31" t="s">
        <v>2</v>
      </c>
      <c r="T4" s="32" t="s">
        <v>46</v>
      </c>
      <c r="U4" s="33"/>
      <c r="V4" s="33"/>
      <c r="W4" s="34"/>
      <c r="X4" s="32" t="s">
        <v>47</v>
      </c>
      <c r="Y4" s="33"/>
      <c r="Z4" s="34"/>
      <c r="AA4" s="35"/>
      <c r="AB4" s="31" t="s">
        <v>2</v>
      </c>
      <c r="AC4" s="32" t="s">
        <v>46</v>
      </c>
      <c r="AD4" s="33"/>
      <c r="AE4" s="33"/>
      <c r="AF4" s="34"/>
      <c r="AG4" s="32" t="s">
        <v>47</v>
      </c>
      <c r="AH4" s="33"/>
      <c r="AI4" s="34"/>
      <c r="AJ4" s="13"/>
      <c r="AK4" s="31" t="s">
        <v>2</v>
      </c>
      <c r="AL4" s="32" t="s">
        <v>46</v>
      </c>
      <c r="AM4" s="33"/>
      <c r="AN4" s="33"/>
      <c r="AO4" s="34"/>
      <c r="AP4" s="32" t="s">
        <v>47</v>
      </c>
      <c r="AQ4" s="33"/>
      <c r="AR4" s="34"/>
      <c r="AT4" s="31" t="s">
        <v>2</v>
      </c>
      <c r="AU4" s="32" t="s">
        <v>46</v>
      </c>
      <c r="AV4" s="33"/>
      <c r="AW4" s="33"/>
      <c r="AX4" s="34"/>
      <c r="AY4" s="32" t="s">
        <v>47</v>
      </c>
      <c r="AZ4" s="33"/>
      <c r="BA4" s="34"/>
    </row>
    <row r="5" spans="1:53" ht="16" thickBot="1">
      <c r="A5" s="36" t="s">
        <v>48</v>
      </c>
      <c r="B5" s="37" t="s">
        <v>49</v>
      </c>
      <c r="C5" s="37" t="s">
        <v>50</v>
      </c>
      <c r="D5" s="37" t="s">
        <v>51</v>
      </c>
      <c r="E5" s="37" t="s">
        <v>52</v>
      </c>
      <c r="F5" s="37" t="s">
        <v>53</v>
      </c>
      <c r="G5" s="37" t="s">
        <v>54</v>
      </c>
      <c r="H5" s="37" t="s">
        <v>55</v>
      </c>
      <c r="I5" s="35"/>
      <c r="J5" s="36" t="s">
        <v>48</v>
      </c>
      <c r="K5" s="37" t="s">
        <v>49</v>
      </c>
      <c r="L5" s="37" t="s">
        <v>50</v>
      </c>
      <c r="M5" s="37" t="s">
        <v>51</v>
      </c>
      <c r="N5" s="37" t="s">
        <v>52</v>
      </c>
      <c r="O5" s="37" t="s">
        <v>53</v>
      </c>
      <c r="P5" s="37" t="s">
        <v>54</v>
      </c>
      <c r="Q5" s="37" t="s">
        <v>55</v>
      </c>
      <c r="R5" s="35"/>
      <c r="S5" s="36" t="s">
        <v>48</v>
      </c>
      <c r="T5" s="37" t="s">
        <v>49</v>
      </c>
      <c r="U5" s="37" t="s">
        <v>50</v>
      </c>
      <c r="V5" s="37" t="s">
        <v>51</v>
      </c>
      <c r="W5" s="37" t="s">
        <v>52</v>
      </c>
      <c r="X5" s="37" t="s">
        <v>53</v>
      </c>
      <c r="Y5" s="37" t="s">
        <v>54</v>
      </c>
      <c r="Z5" s="37" t="s">
        <v>55</v>
      </c>
      <c r="AA5" s="35"/>
      <c r="AB5" s="36" t="s">
        <v>48</v>
      </c>
      <c r="AC5" s="37" t="s">
        <v>49</v>
      </c>
      <c r="AD5" s="37" t="s">
        <v>50</v>
      </c>
      <c r="AE5" s="37" t="s">
        <v>51</v>
      </c>
      <c r="AF5" s="37" t="s">
        <v>52</v>
      </c>
      <c r="AG5" s="37" t="s">
        <v>53</v>
      </c>
      <c r="AH5" s="37" t="s">
        <v>54</v>
      </c>
      <c r="AI5" s="37" t="s">
        <v>55</v>
      </c>
      <c r="AJ5" s="13"/>
      <c r="AK5" s="36" t="s">
        <v>48</v>
      </c>
      <c r="AL5" s="37" t="s">
        <v>49</v>
      </c>
      <c r="AM5" s="37" t="s">
        <v>50</v>
      </c>
      <c r="AN5" s="37" t="s">
        <v>51</v>
      </c>
      <c r="AO5" s="37" t="s">
        <v>52</v>
      </c>
      <c r="AP5" s="37" t="s">
        <v>53</v>
      </c>
      <c r="AQ5" s="37" t="s">
        <v>54</v>
      </c>
      <c r="AR5" s="37" t="s">
        <v>55</v>
      </c>
      <c r="AT5" s="36" t="s">
        <v>48</v>
      </c>
      <c r="AU5" s="37" t="s">
        <v>49</v>
      </c>
      <c r="AV5" s="37" t="s">
        <v>50</v>
      </c>
      <c r="AW5" s="37" t="s">
        <v>51</v>
      </c>
      <c r="AX5" s="37" t="s">
        <v>52</v>
      </c>
      <c r="AY5" s="37" t="s">
        <v>53</v>
      </c>
      <c r="AZ5" s="37" t="s">
        <v>54</v>
      </c>
      <c r="BA5" s="37" t="s">
        <v>55</v>
      </c>
    </row>
    <row r="6" spans="1:53" ht="16" thickBot="1">
      <c r="A6" s="38">
        <v>1</v>
      </c>
      <c r="B6" s="39">
        <f>資料儲存!D722</f>
        <v>0</v>
      </c>
      <c r="C6" s="39">
        <f>資料儲存!E722</f>
        <v>0</v>
      </c>
      <c r="D6" s="39">
        <f>資料儲存!F722</f>
        <v>0</v>
      </c>
      <c r="E6" s="39">
        <f>資料儲存!G722</f>
        <v>0</v>
      </c>
      <c r="F6" s="39">
        <f>資料儲存!H722</f>
        <v>0</v>
      </c>
      <c r="G6" s="39">
        <f>資料儲存!I722</f>
        <v>0</v>
      </c>
      <c r="H6" s="39">
        <f>資料儲存!J722</f>
        <v>0</v>
      </c>
      <c r="I6" s="35"/>
      <c r="J6" s="38">
        <v>1</v>
      </c>
      <c r="K6" s="39">
        <f>資料儲存!D842</f>
        <v>0</v>
      </c>
      <c r="L6" s="39">
        <f>資料儲存!E842</f>
        <v>0</v>
      </c>
      <c r="M6" s="39">
        <f>資料儲存!F842</f>
        <v>0</v>
      </c>
      <c r="N6" s="39">
        <f>資料儲存!G842</f>
        <v>0</v>
      </c>
      <c r="O6" s="39">
        <f>資料儲存!H842</f>
        <v>0</v>
      </c>
      <c r="P6" s="39">
        <f>資料儲存!I842</f>
        <v>0</v>
      </c>
      <c r="Q6" s="39">
        <f>資料儲存!J842</f>
        <v>0</v>
      </c>
      <c r="R6" s="35"/>
      <c r="S6" s="38">
        <v>1</v>
      </c>
      <c r="T6" s="39">
        <f>資料儲存!D962</f>
        <v>0</v>
      </c>
      <c r="U6" s="39">
        <f>資料儲存!E962</f>
        <v>0</v>
      </c>
      <c r="V6" s="39">
        <f>資料儲存!F962</f>
        <v>0</v>
      </c>
      <c r="W6" s="39">
        <f>資料儲存!G962</f>
        <v>0</v>
      </c>
      <c r="X6" s="39">
        <f>資料儲存!H962</f>
        <v>0</v>
      </c>
      <c r="Y6" s="39">
        <f>資料儲存!I962</f>
        <v>0</v>
      </c>
      <c r="Z6" s="39">
        <f>資料儲存!J962</f>
        <v>0</v>
      </c>
      <c r="AA6" s="35"/>
      <c r="AB6" s="38">
        <v>1</v>
      </c>
      <c r="AC6" s="39">
        <f>資料儲存!D1082</f>
        <v>0</v>
      </c>
      <c r="AD6" s="39">
        <f>資料儲存!E1082</f>
        <v>0</v>
      </c>
      <c r="AE6" s="39">
        <f>資料儲存!F1082</f>
        <v>0</v>
      </c>
      <c r="AF6" s="39">
        <f>資料儲存!G1082</f>
        <v>0</v>
      </c>
      <c r="AG6" s="39">
        <f>資料儲存!H1082</f>
        <v>0</v>
      </c>
      <c r="AH6" s="39">
        <f>資料儲存!I1082</f>
        <v>0</v>
      </c>
      <c r="AI6" s="39">
        <f>資料儲存!J1082</f>
        <v>0</v>
      </c>
      <c r="AJ6" s="13"/>
      <c r="AK6" s="38">
        <v>1</v>
      </c>
      <c r="AL6" s="39">
        <f>資料儲存!D1202</f>
        <v>0</v>
      </c>
      <c r="AM6" s="39">
        <f>資料儲存!E1202</f>
        <v>0</v>
      </c>
      <c r="AN6" s="39">
        <f>資料儲存!F1202</f>
        <v>0</v>
      </c>
      <c r="AO6" s="39">
        <f>資料儲存!G1202</f>
        <v>0</v>
      </c>
      <c r="AP6" s="39">
        <f>資料儲存!H1202</f>
        <v>0</v>
      </c>
      <c r="AQ6" s="39">
        <f>資料儲存!I1202</f>
        <v>0</v>
      </c>
      <c r="AR6" s="39">
        <f>資料儲存!J1202</f>
        <v>0</v>
      </c>
      <c r="AT6" s="38">
        <v>1</v>
      </c>
      <c r="AU6" s="39">
        <f>資料儲存!D1322</f>
        <v>0</v>
      </c>
      <c r="AV6" s="39">
        <f>資料儲存!E1322</f>
        <v>0</v>
      </c>
      <c r="AW6" s="39">
        <f>資料儲存!F1322</f>
        <v>0</v>
      </c>
      <c r="AX6" s="39">
        <f>資料儲存!G1322</f>
        <v>0</v>
      </c>
      <c r="AY6" s="39">
        <f>資料儲存!H1322</f>
        <v>0</v>
      </c>
      <c r="AZ6" s="39">
        <f>資料儲存!I1322</f>
        <v>0</v>
      </c>
      <c r="BA6" s="39">
        <f>資料儲存!J1322</f>
        <v>0</v>
      </c>
    </row>
    <row r="7" spans="1:53" ht="16" thickBot="1">
      <c r="A7" s="38">
        <v>2</v>
      </c>
      <c r="B7" s="39">
        <f>資料儲存!D723</f>
        <v>0</v>
      </c>
      <c r="C7" s="39">
        <f>資料儲存!E723</f>
        <v>0</v>
      </c>
      <c r="D7" s="39">
        <f>資料儲存!F723</f>
        <v>0</v>
      </c>
      <c r="E7" s="39">
        <f>資料儲存!G723</f>
        <v>0</v>
      </c>
      <c r="F7" s="39">
        <f>資料儲存!H723</f>
        <v>0</v>
      </c>
      <c r="G7" s="39">
        <f>資料儲存!I723</f>
        <v>0</v>
      </c>
      <c r="H7" s="39">
        <f>資料儲存!J723</f>
        <v>0</v>
      </c>
      <c r="I7" s="35"/>
      <c r="J7" s="38">
        <v>2</v>
      </c>
      <c r="K7" s="39">
        <f>資料儲存!D843</f>
        <v>0</v>
      </c>
      <c r="L7" s="39">
        <f>資料儲存!E843</f>
        <v>0</v>
      </c>
      <c r="M7" s="39">
        <f>資料儲存!F843</f>
        <v>0</v>
      </c>
      <c r="N7" s="39">
        <f>資料儲存!G843</f>
        <v>0</v>
      </c>
      <c r="O7" s="39">
        <f>資料儲存!H843</f>
        <v>0</v>
      </c>
      <c r="P7" s="39">
        <f>資料儲存!I843</f>
        <v>0</v>
      </c>
      <c r="Q7" s="39">
        <f>資料儲存!J843</f>
        <v>0</v>
      </c>
      <c r="R7" s="35"/>
      <c r="S7" s="38">
        <v>2</v>
      </c>
      <c r="T7" s="39">
        <f>資料儲存!D963</f>
        <v>0</v>
      </c>
      <c r="U7" s="39">
        <f>資料儲存!E963</f>
        <v>0</v>
      </c>
      <c r="V7" s="39">
        <f>資料儲存!F963</f>
        <v>0</v>
      </c>
      <c r="W7" s="39">
        <f>資料儲存!G963</f>
        <v>0</v>
      </c>
      <c r="X7" s="39">
        <f>資料儲存!H963</f>
        <v>0</v>
      </c>
      <c r="Y7" s="39">
        <f>資料儲存!I963</f>
        <v>0</v>
      </c>
      <c r="Z7" s="39">
        <f>資料儲存!J963</f>
        <v>0</v>
      </c>
      <c r="AA7" s="35"/>
      <c r="AB7" s="38">
        <v>2</v>
      </c>
      <c r="AC7" s="39">
        <f>資料儲存!D1083</f>
        <v>0</v>
      </c>
      <c r="AD7" s="39">
        <f>資料儲存!E1083</f>
        <v>0</v>
      </c>
      <c r="AE7" s="39">
        <f>資料儲存!F1083</f>
        <v>0</v>
      </c>
      <c r="AF7" s="39">
        <f>資料儲存!G1083</f>
        <v>0</v>
      </c>
      <c r="AG7" s="39">
        <f>資料儲存!H1083</f>
        <v>0</v>
      </c>
      <c r="AH7" s="39">
        <f>資料儲存!I1083</f>
        <v>0</v>
      </c>
      <c r="AI7" s="39">
        <f>資料儲存!J1083</f>
        <v>0</v>
      </c>
      <c r="AJ7" s="13"/>
      <c r="AK7" s="38">
        <v>2</v>
      </c>
      <c r="AL7" s="39">
        <f>資料儲存!D1203</f>
        <v>0</v>
      </c>
      <c r="AM7" s="39">
        <f>資料儲存!E1203</f>
        <v>0</v>
      </c>
      <c r="AN7" s="39">
        <f>資料儲存!F1203</f>
        <v>0</v>
      </c>
      <c r="AO7" s="39">
        <f>資料儲存!G1203</f>
        <v>0</v>
      </c>
      <c r="AP7" s="39">
        <f>資料儲存!H1203</f>
        <v>0</v>
      </c>
      <c r="AQ7" s="39">
        <f>資料儲存!I1203</f>
        <v>0</v>
      </c>
      <c r="AR7" s="39">
        <f>資料儲存!J1203</f>
        <v>0</v>
      </c>
      <c r="AT7" s="38">
        <v>2</v>
      </c>
      <c r="AU7" s="39">
        <f>資料儲存!D1323</f>
        <v>0</v>
      </c>
      <c r="AV7" s="39">
        <f>資料儲存!E1323</f>
        <v>0</v>
      </c>
      <c r="AW7" s="39">
        <f>資料儲存!F1323</f>
        <v>0</v>
      </c>
      <c r="AX7" s="39">
        <f>資料儲存!G1323</f>
        <v>0</v>
      </c>
      <c r="AY7" s="39">
        <f>資料儲存!H1323</f>
        <v>0</v>
      </c>
      <c r="AZ7" s="39">
        <f>資料儲存!I1323</f>
        <v>0</v>
      </c>
      <c r="BA7" s="39">
        <f>資料儲存!J1323</f>
        <v>0</v>
      </c>
    </row>
    <row r="8" spans="1:53" ht="16" thickBot="1">
      <c r="A8" s="38">
        <v>3</v>
      </c>
      <c r="B8" s="39">
        <f>資料儲存!D724</f>
        <v>0</v>
      </c>
      <c r="C8" s="39">
        <f>資料儲存!E724</f>
        <v>0</v>
      </c>
      <c r="D8" s="39">
        <f>資料儲存!F724</f>
        <v>0</v>
      </c>
      <c r="E8" s="39">
        <f>資料儲存!G724</f>
        <v>0</v>
      </c>
      <c r="F8" s="39">
        <f>資料儲存!H724</f>
        <v>0</v>
      </c>
      <c r="G8" s="39">
        <f>資料儲存!I724</f>
        <v>0</v>
      </c>
      <c r="H8" s="39">
        <f>資料儲存!J724</f>
        <v>0</v>
      </c>
      <c r="I8" s="35"/>
      <c r="J8" s="38">
        <v>3</v>
      </c>
      <c r="K8" s="39">
        <f>資料儲存!D844</f>
        <v>0</v>
      </c>
      <c r="L8" s="39">
        <f>資料儲存!E844</f>
        <v>0</v>
      </c>
      <c r="M8" s="39">
        <f>資料儲存!F844</f>
        <v>0</v>
      </c>
      <c r="N8" s="39">
        <f>資料儲存!G844</f>
        <v>0</v>
      </c>
      <c r="O8" s="39">
        <f>資料儲存!H844</f>
        <v>0</v>
      </c>
      <c r="P8" s="39">
        <f>資料儲存!I844</f>
        <v>0</v>
      </c>
      <c r="Q8" s="39">
        <f>資料儲存!J844</f>
        <v>0</v>
      </c>
      <c r="R8" s="35"/>
      <c r="S8" s="38">
        <v>3</v>
      </c>
      <c r="T8" s="39">
        <f>資料儲存!D964</f>
        <v>0</v>
      </c>
      <c r="U8" s="39">
        <f>資料儲存!E964</f>
        <v>0</v>
      </c>
      <c r="V8" s="39">
        <f>資料儲存!F964</f>
        <v>0</v>
      </c>
      <c r="W8" s="39">
        <f>資料儲存!G964</f>
        <v>0</v>
      </c>
      <c r="X8" s="39">
        <f>資料儲存!H964</f>
        <v>0</v>
      </c>
      <c r="Y8" s="39">
        <f>資料儲存!I964</f>
        <v>0</v>
      </c>
      <c r="Z8" s="39">
        <f>資料儲存!J964</f>
        <v>0</v>
      </c>
      <c r="AA8" s="35"/>
      <c r="AB8" s="38">
        <v>3</v>
      </c>
      <c r="AC8" s="39">
        <f>資料儲存!D1084</f>
        <v>0</v>
      </c>
      <c r="AD8" s="39">
        <f>資料儲存!E1084</f>
        <v>0</v>
      </c>
      <c r="AE8" s="39">
        <f>資料儲存!F1084</f>
        <v>0</v>
      </c>
      <c r="AF8" s="39">
        <f>資料儲存!G1084</f>
        <v>0</v>
      </c>
      <c r="AG8" s="39">
        <f>資料儲存!H1084</f>
        <v>0</v>
      </c>
      <c r="AH8" s="39">
        <f>資料儲存!I1084</f>
        <v>0</v>
      </c>
      <c r="AI8" s="39">
        <f>資料儲存!J1084</f>
        <v>0</v>
      </c>
      <c r="AJ8" s="13"/>
      <c r="AK8" s="38">
        <v>3</v>
      </c>
      <c r="AL8" s="39">
        <f>資料儲存!D1204</f>
        <v>0</v>
      </c>
      <c r="AM8" s="39">
        <f>資料儲存!E1204</f>
        <v>0</v>
      </c>
      <c r="AN8" s="39">
        <f>資料儲存!F1204</f>
        <v>0</v>
      </c>
      <c r="AO8" s="39">
        <f>資料儲存!G1204</f>
        <v>0</v>
      </c>
      <c r="AP8" s="39">
        <f>資料儲存!H1204</f>
        <v>0</v>
      </c>
      <c r="AQ8" s="39">
        <f>資料儲存!I1204</f>
        <v>0</v>
      </c>
      <c r="AR8" s="39">
        <f>資料儲存!J1204</f>
        <v>0</v>
      </c>
      <c r="AT8" s="38">
        <v>3</v>
      </c>
      <c r="AU8" s="39">
        <f>資料儲存!D1324</f>
        <v>0</v>
      </c>
      <c r="AV8" s="39">
        <f>資料儲存!E1324</f>
        <v>0</v>
      </c>
      <c r="AW8" s="39">
        <f>資料儲存!F1324</f>
        <v>0</v>
      </c>
      <c r="AX8" s="39">
        <f>資料儲存!G1324</f>
        <v>0</v>
      </c>
      <c r="AY8" s="39">
        <f>資料儲存!H1324</f>
        <v>0</v>
      </c>
      <c r="AZ8" s="39">
        <f>資料儲存!I1324</f>
        <v>0</v>
      </c>
      <c r="BA8" s="39">
        <f>資料儲存!J1324</f>
        <v>0</v>
      </c>
    </row>
    <row r="9" spans="1:53" ht="16" thickBot="1">
      <c r="A9" s="38">
        <v>4</v>
      </c>
      <c r="B9" s="39">
        <f>資料儲存!D725</f>
        <v>0</v>
      </c>
      <c r="C9" s="39">
        <f>資料儲存!E725</f>
        <v>0</v>
      </c>
      <c r="D9" s="39">
        <f>資料儲存!F725</f>
        <v>0</v>
      </c>
      <c r="E9" s="39">
        <f>資料儲存!G725</f>
        <v>0</v>
      </c>
      <c r="F9" s="39">
        <f>資料儲存!H725</f>
        <v>0</v>
      </c>
      <c r="G9" s="39">
        <f>資料儲存!I725</f>
        <v>0</v>
      </c>
      <c r="H9" s="39">
        <f>資料儲存!J725</f>
        <v>0</v>
      </c>
      <c r="I9" s="35"/>
      <c r="J9" s="38">
        <v>4</v>
      </c>
      <c r="K9" s="39">
        <f>資料儲存!D845</f>
        <v>0</v>
      </c>
      <c r="L9" s="39">
        <f>資料儲存!E845</f>
        <v>0</v>
      </c>
      <c r="M9" s="39">
        <f>資料儲存!F845</f>
        <v>0</v>
      </c>
      <c r="N9" s="39">
        <f>資料儲存!G845</f>
        <v>0</v>
      </c>
      <c r="O9" s="39">
        <f>資料儲存!H845</f>
        <v>0</v>
      </c>
      <c r="P9" s="39">
        <f>資料儲存!I845</f>
        <v>0</v>
      </c>
      <c r="Q9" s="39">
        <f>資料儲存!J845</f>
        <v>0</v>
      </c>
      <c r="R9" s="35"/>
      <c r="S9" s="38">
        <v>4</v>
      </c>
      <c r="T9" s="39">
        <f>資料儲存!D965</f>
        <v>0</v>
      </c>
      <c r="U9" s="39">
        <f>資料儲存!E965</f>
        <v>0</v>
      </c>
      <c r="V9" s="39">
        <f>資料儲存!F965</f>
        <v>0</v>
      </c>
      <c r="W9" s="39">
        <f>資料儲存!G965</f>
        <v>0</v>
      </c>
      <c r="X9" s="39">
        <f>資料儲存!H965</f>
        <v>0</v>
      </c>
      <c r="Y9" s="39">
        <f>資料儲存!I965</f>
        <v>0</v>
      </c>
      <c r="Z9" s="39">
        <f>資料儲存!J965</f>
        <v>0</v>
      </c>
      <c r="AA9" s="35"/>
      <c r="AB9" s="38">
        <v>4</v>
      </c>
      <c r="AC9" s="39">
        <f>資料儲存!D1085</f>
        <v>0</v>
      </c>
      <c r="AD9" s="39">
        <f>資料儲存!E1085</f>
        <v>0</v>
      </c>
      <c r="AE9" s="39">
        <f>資料儲存!F1085</f>
        <v>0</v>
      </c>
      <c r="AF9" s="39">
        <f>資料儲存!G1085</f>
        <v>0</v>
      </c>
      <c r="AG9" s="39">
        <f>資料儲存!H1085</f>
        <v>0</v>
      </c>
      <c r="AH9" s="39">
        <f>資料儲存!I1085</f>
        <v>0</v>
      </c>
      <c r="AI9" s="39">
        <f>資料儲存!J1085</f>
        <v>0</v>
      </c>
      <c r="AJ9" s="13"/>
      <c r="AK9" s="38">
        <v>4</v>
      </c>
      <c r="AL9" s="39">
        <f>資料儲存!D1205</f>
        <v>0</v>
      </c>
      <c r="AM9" s="39">
        <f>資料儲存!E1205</f>
        <v>0</v>
      </c>
      <c r="AN9" s="39">
        <f>資料儲存!F1205</f>
        <v>0</v>
      </c>
      <c r="AO9" s="39">
        <f>資料儲存!G1205</f>
        <v>0</v>
      </c>
      <c r="AP9" s="39">
        <f>資料儲存!H1205</f>
        <v>0</v>
      </c>
      <c r="AQ9" s="39">
        <f>資料儲存!I1205</f>
        <v>0</v>
      </c>
      <c r="AR9" s="39">
        <f>資料儲存!J1205</f>
        <v>0</v>
      </c>
      <c r="AT9" s="38">
        <v>4</v>
      </c>
      <c r="AU9" s="39">
        <f>資料儲存!D1325</f>
        <v>0</v>
      </c>
      <c r="AV9" s="39">
        <f>資料儲存!E1325</f>
        <v>0</v>
      </c>
      <c r="AW9" s="39">
        <f>資料儲存!F1325</f>
        <v>0</v>
      </c>
      <c r="AX9" s="39">
        <f>資料儲存!G1325</f>
        <v>0</v>
      </c>
      <c r="AY9" s="39">
        <f>資料儲存!H1325</f>
        <v>0</v>
      </c>
      <c r="AZ9" s="39">
        <f>資料儲存!I1325</f>
        <v>0</v>
      </c>
      <c r="BA9" s="39">
        <f>資料儲存!J1325</f>
        <v>0</v>
      </c>
    </row>
    <row r="10" spans="1:53" ht="16" thickBot="1">
      <c r="A10" s="38">
        <v>5</v>
      </c>
      <c r="B10" s="39">
        <f>資料儲存!D726</f>
        <v>0</v>
      </c>
      <c r="C10" s="39">
        <f>資料儲存!E726</f>
        <v>0</v>
      </c>
      <c r="D10" s="39">
        <f>資料儲存!F726</f>
        <v>0</v>
      </c>
      <c r="E10" s="39">
        <f>資料儲存!G726</f>
        <v>0</v>
      </c>
      <c r="F10" s="39">
        <f>資料儲存!H726</f>
        <v>0</v>
      </c>
      <c r="G10" s="39">
        <f>資料儲存!I726</f>
        <v>0</v>
      </c>
      <c r="H10" s="39">
        <f>資料儲存!J726</f>
        <v>0</v>
      </c>
      <c r="I10" s="35"/>
      <c r="J10" s="38">
        <v>5</v>
      </c>
      <c r="K10" s="39">
        <f>資料儲存!D846</f>
        <v>0</v>
      </c>
      <c r="L10" s="39">
        <f>資料儲存!E846</f>
        <v>0</v>
      </c>
      <c r="M10" s="39">
        <f>資料儲存!F846</f>
        <v>0</v>
      </c>
      <c r="N10" s="39">
        <f>資料儲存!G846</f>
        <v>0</v>
      </c>
      <c r="O10" s="39">
        <f>資料儲存!H846</f>
        <v>0</v>
      </c>
      <c r="P10" s="39">
        <f>資料儲存!I846</f>
        <v>0</v>
      </c>
      <c r="Q10" s="39">
        <f>資料儲存!J846</f>
        <v>0</v>
      </c>
      <c r="R10" s="35"/>
      <c r="S10" s="38">
        <v>5</v>
      </c>
      <c r="T10" s="39">
        <f>資料儲存!D966</f>
        <v>0</v>
      </c>
      <c r="U10" s="39">
        <f>資料儲存!E966</f>
        <v>0</v>
      </c>
      <c r="V10" s="39">
        <f>資料儲存!F966</f>
        <v>0</v>
      </c>
      <c r="W10" s="39">
        <f>資料儲存!G966</f>
        <v>0</v>
      </c>
      <c r="X10" s="39">
        <f>資料儲存!H966</f>
        <v>0</v>
      </c>
      <c r="Y10" s="39">
        <f>資料儲存!I966</f>
        <v>0</v>
      </c>
      <c r="Z10" s="39">
        <f>資料儲存!J966</f>
        <v>0</v>
      </c>
      <c r="AA10" s="35"/>
      <c r="AB10" s="38">
        <v>5</v>
      </c>
      <c r="AC10" s="39">
        <f>資料儲存!D1086</f>
        <v>0</v>
      </c>
      <c r="AD10" s="39">
        <f>資料儲存!E1086</f>
        <v>0</v>
      </c>
      <c r="AE10" s="39">
        <f>資料儲存!F1086</f>
        <v>0</v>
      </c>
      <c r="AF10" s="39">
        <f>資料儲存!G1086</f>
        <v>0</v>
      </c>
      <c r="AG10" s="39">
        <f>資料儲存!H1086</f>
        <v>0</v>
      </c>
      <c r="AH10" s="39">
        <f>資料儲存!I1086</f>
        <v>0</v>
      </c>
      <c r="AI10" s="39">
        <f>資料儲存!J1086</f>
        <v>0</v>
      </c>
      <c r="AJ10" s="13"/>
      <c r="AK10" s="38">
        <v>5</v>
      </c>
      <c r="AL10" s="39">
        <f>資料儲存!D1206</f>
        <v>0</v>
      </c>
      <c r="AM10" s="39">
        <f>資料儲存!E1206</f>
        <v>0</v>
      </c>
      <c r="AN10" s="39">
        <f>資料儲存!F1206</f>
        <v>0</v>
      </c>
      <c r="AO10" s="39">
        <f>資料儲存!G1206</f>
        <v>0</v>
      </c>
      <c r="AP10" s="39">
        <f>資料儲存!H1206</f>
        <v>0</v>
      </c>
      <c r="AQ10" s="39">
        <f>資料儲存!I1206</f>
        <v>0</v>
      </c>
      <c r="AR10" s="39">
        <f>資料儲存!J1206</f>
        <v>0</v>
      </c>
      <c r="AT10" s="38">
        <v>5</v>
      </c>
      <c r="AU10" s="39">
        <f>資料儲存!D1326</f>
        <v>0</v>
      </c>
      <c r="AV10" s="39">
        <f>資料儲存!E1326</f>
        <v>0</v>
      </c>
      <c r="AW10" s="39">
        <f>資料儲存!F1326</f>
        <v>0</v>
      </c>
      <c r="AX10" s="39">
        <f>資料儲存!G1326</f>
        <v>0</v>
      </c>
      <c r="AY10" s="39">
        <f>資料儲存!H1326</f>
        <v>0</v>
      </c>
      <c r="AZ10" s="39">
        <f>資料儲存!I1326</f>
        <v>0</v>
      </c>
      <c r="BA10" s="39">
        <f>資料儲存!J1326</f>
        <v>0</v>
      </c>
    </row>
    <row r="11" spans="1:53" ht="16" thickBot="1">
      <c r="A11" s="38">
        <v>6</v>
      </c>
      <c r="B11" s="39">
        <f>資料儲存!D727</f>
        <v>0</v>
      </c>
      <c r="C11" s="39">
        <f>資料儲存!E727</f>
        <v>0</v>
      </c>
      <c r="D11" s="39">
        <f>資料儲存!F727</f>
        <v>0</v>
      </c>
      <c r="E11" s="39">
        <f>資料儲存!G727</f>
        <v>0</v>
      </c>
      <c r="F11" s="39">
        <f>資料儲存!H727</f>
        <v>0</v>
      </c>
      <c r="G11" s="39">
        <f>資料儲存!I727</f>
        <v>0</v>
      </c>
      <c r="H11" s="39">
        <f>資料儲存!J727</f>
        <v>0</v>
      </c>
      <c r="I11" s="35"/>
      <c r="J11" s="38">
        <v>6</v>
      </c>
      <c r="K11" s="39">
        <f>資料儲存!D847</f>
        <v>0</v>
      </c>
      <c r="L11" s="39">
        <f>資料儲存!E847</f>
        <v>0</v>
      </c>
      <c r="M11" s="39">
        <f>資料儲存!F847</f>
        <v>0</v>
      </c>
      <c r="N11" s="39">
        <f>資料儲存!G847</f>
        <v>0</v>
      </c>
      <c r="O11" s="39">
        <f>資料儲存!H847</f>
        <v>0</v>
      </c>
      <c r="P11" s="39">
        <f>資料儲存!I847</f>
        <v>0</v>
      </c>
      <c r="Q11" s="39">
        <f>資料儲存!J847</f>
        <v>0</v>
      </c>
      <c r="R11" s="35"/>
      <c r="S11" s="38">
        <v>6</v>
      </c>
      <c r="T11" s="39">
        <f>資料儲存!D967</f>
        <v>0</v>
      </c>
      <c r="U11" s="39">
        <f>資料儲存!E967</f>
        <v>0</v>
      </c>
      <c r="V11" s="39">
        <f>資料儲存!F967</f>
        <v>0</v>
      </c>
      <c r="W11" s="39">
        <f>資料儲存!G967</f>
        <v>0</v>
      </c>
      <c r="X11" s="39">
        <f>資料儲存!H967</f>
        <v>0</v>
      </c>
      <c r="Y11" s="39">
        <f>資料儲存!I967</f>
        <v>0</v>
      </c>
      <c r="Z11" s="39">
        <f>資料儲存!J967</f>
        <v>0</v>
      </c>
      <c r="AA11" s="35"/>
      <c r="AB11" s="38">
        <v>6</v>
      </c>
      <c r="AC11" s="39">
        <f>資料儲存!D1087</f>
        <v>0</v>
      </c>
      <c r="AD11" s="39">
        <f>資料儲存!E1087</f>
        <v>0</v>
      </c>
      <c r="AE11" s="39">
        <f>資料儲存!F1087</f>
        <v>0</v>
      </c>
      <c r="AF11" s="39">
        <f>資料儲存!G1087</f>
        <v>0</v>
      </c>
      <c r="AG11" s="39">
        <f>資料儲存!H1087</f>
        <v>0</v>
      </c>
      <c r="AH11" s="39">
        <f>資料儲存!I1087</f>
        <v>0</v>
      </c>
      <c r="AI11" s="39">
        <f>資料儲存!J1087</f>
        <v>0</v>
      </c>
      <c r="AJ11" s="13"/>
      <c r="AK11" s="38">
        <v>6</v>
      </c>
      <c r="AL11" s="39">
        <f>資料儲存!D1207</f>
        <v>0</v>
      </c>
      <c r="AM11" s="39">
        <f>資料儲存!E1207</f>
        <v>0</v>
      </c>
      <c r="AN11" s="39">
        <f>資料儲存!F1207</f>
        <v>0</v>
      </c>
      <c r="AO11" s="39">
        <f>資料儲存!G1207</f>
        <v>0</v>
      </c>
      <c r="AP11" s="39">
        <f>資料儲存!H1207</f>
        <v>0</v>
      </c>
      <c r="AQ11" s="39">
        <f>資料儲存!I1207</f>
        <v>0</v>
      </c>
      <c r="AR11" s="39">
        <f>資料儲存!J1207</f>
        <v>0</v>
      </c>
      <c r="AT11" s="38">
        <v>6</v>
      </c>
      <c r="AU11" s="39">
        <f>資料儲存!D1327</f>
        <v>0</v>
      </c>
      <c r="AV11" s="39">
        <f>資料儲存!E1327</f>
        <v>0</v>
      </c>
      <c r="AW11" s="39">
        <f>資料儲存!F1327</f>
        <v>0</v>
      </c>
      <c r="AX11" s="39">
        <f>資料儲存!G1327</f>
        <v>0</v>
      </c>
      <c r="AY11" s="39">
        <f>資料儲存!H1327</f>
        <v>0</v>
      </c>
      <c r="AZ11" s="39">
        <f>資料儲存!I1327</f>
        <v>0</v>
      </c>
      <c r="BA11" s="39">
        <f>資料儲存!J1327</f>
        <v>0</v>
      </c>
    </row>
    <row r="12" spans="1:53" ht="16" thickBot="1">
      <c r="A12" s="38">
        <v>7</v>
      </c>
      <c r="B12" s="39">
        <f>資料儲存!D728</f>
        <v>0</v>
      </c>
      <c r="C12" s="39">
        <f>資料儲存!E728</f>
        <v>0</v>
      </c>
      <c r="D12" s="39">
        <f>資料儲存!F728</f>
        <v>0</v>
      </c>
      <c r="E12" s="39">
        <f>資料儲存!G728</f>
        <v>0</v>
      </c>
      <c r="F12" s="39">
        <f>資料儲存!H728</f>
        <v>0</v>
      </c>
      <c r="G12" s="39">
        <f>資料儲存!I728</f>
        <v>0</v>
      </c>
      <c r="H12" s="39">
        <f>資料儲存!J728</f>
        <v>0</v>
      </c>
      <c r="I12" s="35"/>
      <c r="J12" s="38">
        <v>7</v>
      </c>
      <c r="K12" s="39">
        <f>資料儲存!D848</f>
        <v>0</v>
      </c>
      <c r="L12" s="39">
        <f>資料儲存!E848</f>
        <v>0</v>
      </c>
      <c r="M12" s="39">
        <f>資料儲存!F848</f>
        <v>0</v>
      </c>
      <c r="N12" s="39">
        <f>資料儲存!G848</f>
        <v>0</v>
      </c>
      <c r="O12" s="39">
        <f>資料儲存!H848</f>
        <v>0</v>
      </c>
      <c r="P12" s="39">
        <f>資料儲存!I848</f>
        <v>0</v>
      </c>
      <c r="Q12" s="39">
        <f>資料儲存!J848</f>
        <v>0</v>
      </c>
      <c r="R12" s="35"/>
      <c r="S12" s="38">
        <v>7</v>
      </c>
      <c r="T12" s="39">
        <f>資料儲存!D968</f>
        <v>0</v>
      </c>
      <c r="U12" s="39">
        <f>資料儲存!E968</f>
        <v>0</v>
      </c>
      <c r="V12" s="39">
        <f>資料儲存!F968</f>
        <v>0</v>
      </c>
      <c r="W12" s="39">
        <f>資料儲存!G968</f>
        <v>0</v>
      </c>
      <c r="X12" s="39">
        <f>資料儲存!H968</f>
        <v>0</v>
      </c>
      <c r="Y12" s="39">
        <f>資料儲存!I968</f>
        <v>0</v>
      </c>
      <c r="Z12" s="39">
        <f>資料儲存!J968</f>
        <v>0</v>
      </c>
      <c r="AA12" s="35"/>
      <c r="AB12" s="38">
        <v>7</v>
      </c>
      <c r="AC12" s="39">
        <f>資料儲存!D1088</f>
        <v>0</v>
      </c>
      <c r="AD12" s="39">
        <f>資料儲存!E1088</f>
        <v>0</v>
      </c>
      <c r="AE12" s="39">
        <f>資料儲存!F1088</f>
        <v>0</v>
      </c>
      <c r="AF12" s="39">
        <f>資料儲存!G1088</f>
        <v>0</v>
      </c>
      <c r="AG12" s="39">
        <f>資料儲存!H1088</f>
        <v>0</v>
      </c>
      <c r="AH12" s="39">
        <f>資料儲存!I1088</f>
        <v>0</v>
      </c>
      <c r="AI12" s="39">
        <f>資料儲存!J1088</f>
        <v>0</v>
      </c>
      <c r="AJ12" s="13"/>
      <c r="AK12" s="38">
        <v>7</v>
      </c>
      <c r="AL12" s="39">
        <f>資料儲存!D1208</f>
        <v>0</v>
      </c>
      <c r="AM12" s="39">
        <f>資料儲存!E1208</f>
        <v>0</v>
      </c>
      <c r="AN12" s="39">
        <f>資料儲存!F1208</f>
        <v>0</v>
      </c>
      <c r="AO12" s="39">
        <f>資料儲存!G1208</f>
        <v>0</v>
      </c>
      <c r="AP12" s="39">
        <f>資料儲存!H1208</f>
        <v>0</v>
      </c>
      <c r="AQ12" s="39">
        <f>資料儲存!I1208</f>
        <v>0</v>
      </c>
      <c r="AR12" s="39">
        <f>資料儲存!J1208</f>
        <v>0</v>
      </c>
      <c r="AT12" s="38">
        <v>7</v>
      </c>
      <c r="AU12" s="39">
        <f>資料儲存!D1328</f>
        <v>0</v>
      </c>
      <c r="AV12" s="39">
        <f>資料儲存!E1328</f>
        <v>0</v>
      </c>
      <c r="AW12" s="39">
        <f>資料儲存!F1328</f>
        <v>0</v>
      </c>
      <c r="AX12" s="39">
        <f>資料儲存!G1328</f>
        <v>0</v>
      </c>
      <c r="AY12" s="39">
        <f>資料儲存!H1328</f>
        <v>0</v>
      </c>
      <c r="AZ12" s="39">
        <f>資料儲存!I1328</f>
        <v>0</v>
      </c>
      <c r="BA12" s="39">
        <f>資料儲存!J1328</f>
        <v>0</v>
      </c>
    </row>
    <row r="13" spans="1:53" ht="16" thickBot="1">
      <c r="A13" s="38">
        <v>8</v>
      </c>
      <c r="B13" s="39">
        <f>資料儲存!D729</f>
        <v>0</v>
      </c>
      <c r="C13" s="39">
        <f>資料儲存!E729</f>
        <v>0</v>
      </c>
      <c r="D13" s="39">
        <f>資料儲存!F729</f>
        <v>0</v>
      </c>
      <c r="E13" s="39">
        <f>資料儲存!G729</f>
        <v>0</v>
      </c>
      <c r="F13" s="39">
        <f>資料儲存!H729</f>
        <v>0</v>
      </c>
      <c r="G13" s="39">
        <f>資料儲存!I729</f>
        <v>0</v>
      </c>
      <c r="H13" s="39">
        <f>資料儲存!J729</f>
        <v>0</v>
      </c>
      <c r="I13" s="35"/>
      <c r="J13" s="38">
        <v>8</v>
      </c>
      <c r="K13" s="39">
        <f>資料儲存!D849</f>
        <v>0</v>
      </c>
      <c r="L13" s="39">
        <f>資料儲存!E849</f>
        <v>0</v>
      </c>
      <c r="M13" s="39">
        <f>資料儲存!F849</f>
        <v>0</v>
      </c>
      <c r="N13" s="39">
        <f>資料儲存!G849</f>
        <v>0</v>
      </c>
      <c r="O13" s="39">
        <f>資料儲存!H849</f>
        <v>0</v>
      </c>
      <c r="P13" s="39">
        <f>資料儲存!I849</f>
        <v>0</v>
      </c>
      <c r="Q13" s="39">
        <f>資料儲存!J849</f>
        <v>0</v>
      </c>
      <c r="R13" s="35"/>
      <c r="S13" s="38">
        <v>8</v>
      </c>
      <c r="T13" s="39">
        <f>資料儲存!D969</f>
        <v>0</v>
      </c>
      <c r="U13" s="39">
        <f>資料儲存!E969</f>
        <v>0</v>
      </c>
      <c r="V13" s="39">
        <f>資料儲存!F969</f>
        <v>0</v>
      </c>
      <c r="W13" s="39">
        <f>資料儲存!G969</f>
        <v>0</v>
      </c>
      <c r="X13" s="39">
        <f>資料儲存!H969</f>
        <v>0</v>
      </c>
      <c r="Y13" s="39">
        <f>資料儲存!I969</f>
        <v>0</v>
      </c>
      <c r="Z13" s="39">
        <f>資料儲存!J969</f>
        <v>0</v>
      </c>
      <c r="AA13" s="35"/>
      <c r="AB13" s="38">
        <v>8</v>
      </c>
      <c r="AC13" s="39">
        <f>資料儲存!D1089</f>
        <v>0</v>
      </c>
      <c r="AD13" s="39">
        <f>資料儲存!E1089</f>
        <v>0</v>
      </c>
      <c r="AE13" s="39">
        <f>資料儲存!F1089</f>
        <v>0</v>
      </c>
      <c r="AF13" s="39">
        <f>資料儲存!G1089</f>
        <v>0</v>
      </c>
      <c r="AG13" s="39">
        <f>資料儲存!H1089</f>
        <v>0</v>
      </c>
      <c r="AH13" s="39">
        <f>資料儲存!I1089</f>
        <v>0</v>
      </c>
      <c r="AI13" s="39">
        <f>資料儲存!J1089</f>
        <v>0</v>
      </c>
      <c r="AJ13" s="13"/>
      <c r="AK13" s="38">
        <v>8</v>
      </c>
      <c r="AL13" s="39">
        <f>資料儲存!D1209</f>
        <v>0</v>
      </c>
      <c r="AM13" s="39">
        <f>資料儲存!E1209</f>
        <v>0</v>
      </c>
      <c r="AN13" s="39">
        <f>資料儲存!F1209</f>
        <v>0</v>
      </c>
      <c r="AO13" s="39">
        <f>資料儲存!G1209</f>
        <v>0</v>
      </c>
      <c r="AP13" s="39">
        <f>資料儲存!H1209</f>
        <v>0</v>
      </c>
      <c r="AQ13" s="39">
        <f>資料儲存!I1209</f>
        <v>0</v>
      </c>
      <c r="AR13" s="39">
        <f>資料儲存!J1209</f>
        <v>0</v>
      </c>
      <c r="AT13" s="38">
        <v>8</v>
      </c>
      <c r="AU13" s="39">
        <f>資料儲存!D1329</f>
        <v>0</v>
      </c>
      <c r="AV13" s="39">
        <f>資料儲存!E1329</f>
        <v>0</v>
      </c>
      <c r="AW13" s="39">
        <f>資料儲存!F1329</f>
        <v>0</v>
      </c>
      <c r="AX13" s="39">
        <f>資料儲存!G1329</f>
        <v>0</v>
      </c>
      <c r="AY13" s="39">
        <f>資料儲存!H1329</f>
        <v>0</v>
      </c>
      <c r="AZ13" s="39">
        <f>資料儲存!I1329</f>
        <v>0</v>
      </c>
      <c r="BA13" s="39">
        <f>資料儲存!J1329</f>
        <v>0</v>
      </c>
    </row>
    <row r="14" spans="1:53" ht="16" thickBot="1">
      <c r="A14" s="38">
        <v>9</v>
      </c>
      <c r="B14" s="39">
        <f>資料儲存!D730</f>
        <v>0</v>
      </c>
      <c r="C14" s="39">
        <f>資料儲存!E730</f>
        <v>0</v>
      </c>
      <c r="D14" s="39">
        <f>資料儲存!F730</f>
        <v>0</v>
      </c>
      <c r="E14" s="39">
        <f>資料儲存!G730</f>
        <v>0</v>
      </c>
      <c r="F14" s="39">
        <f>資料儲存!H730</f>
        <v>0</v>
      </c>
      <c r="G14" s="39">
        <f>資料儲存!I730</f>
        <v>0</v>
      </c>
      <c r="H14" s="39">
        <f>資料儲存!J730</f>
        <v>0</v>
      </c>
      <c r="I14" s="35"/>
      <c r="J14" s="38">
        <v>9</v>
      </c>
      <c r="K14" s="39">
        <f>資料儲存!D850</f>
        <v>0</v>
      </c>
      <c r="L14" s="39">
        <f>資料儲存!E850</f>
        <v>0</v>
      </c>
      <c r="M14" s="39">
        <f>資料儲存!F850</f>
        <v>0</v>
      </c>
      <c r="N14" s="39">
        <f>資料儲存!G850</f>
        <v>0</v>
      </c>
      <c r="O14" s="39">
        <f>資料儲存!H850</f>
        <v>0</v>
      </c>
      <c r="P14" s="39">
        <f>資料儲存!I850</f>
        <v>0</v>
      </c>
      <c r="Q14" s="39">
        <f>資料儲存!J850</f>
        <v>0</v>
      </c>
      <c r="R14" s="35"/>
      <c r="S14" s="38">
        <v>9</v>
      </c>
      <c r="T14" s="39">
        <f>資料儲存!D970</f>
        <v>0</v>
      </c>
      <c r="U14" s="39">
        <f>資料儲存!E970</f>
        <v>0</v>
      </c>
      <c r="V14" s="39">
        <f>資料儲存!F970</f>
        <v>0</v>
      </c>
      <c r="W14" s="39">
        <f>資料儲存!G970</f>
        <v>0</v>
      </c>
      <c r="X14" s="39">
        <f>資料儲存!H970</f>
        <v>0</v>
      </c>
      <c r="Y14" s="39">
        <f>資料儲存!I970</f>
        <v>0</v>
      </c>
      <c r="Z14" s="39">
        <f>資料儲存!J970</f>
        <v>0</v>
      </c>
      <c r="AA14" s="35"/>
      <c r="AB14" s="38">
        <v>9</v>
      </c>
      <c r="AC14" s="39">
        <f>資料儲存!D1090</f>
        <v>0</v>
      </c>
      <c r="AD14" s="39">
        <f>資料儲存!E1090</f>
        <v>0</v>
      </c>
      <c r="AE14" s="39">
        <f>資料儲存!F1090</f>
        <v>0</v>
      </c>
      <c r="AF14" s="39">
        <f>資料儲存!G1090</f>
        <v>0</v>
      </c>
      <c r="AG14" s="39">
        <f>資料儲存!H1090</f>
        <v>0</v>
      </c>
      <c r="AH14" s="39">
        <f>資料儲存!I1090</f>
        <v>0</v>
      </c>
      <c r="AI14" s="39">
        <f>資料儲存!J1090</f>
        <v>0</v>
      </c>
      <c r="AJ14" s="13"/>
      <c r="AK14" s="38">
        <v>9</v>
      </c>
      <c r="AL14" s="39">
        <f>資料儲存!D1210</f>
        <v>0</v>
      </c>
      <c r="AM14" s="39">
        <f>資料儲存!E1210</f>
        <v>0</v>
      </c>
      <c r="AN14" s="39">
        <f>資料儲存!F1210</f>
        <v>0</v>
      </c>
      <c r="AO14" s="39">
        <f>資料儲存!G1210</f>
        <v>0</v>
      </c>
      <c r="AP14" s="39">
        <f>資料儲存!H1210</f>
        <v>0</v>
      </c>
      <c r="AQ14" s="39">
        <f>資料儲存!I1210</f>
        <v>0</v>
      </c>
      <c r="AR14" s="39">
        <f>資料儲存!J1210</f>
        <v>0</v>
      </c>
      <c r="AT14" s="38">
        <v>9</v>
      </c>
      <c r="AU14" s="39">
        <f>資料儲存!D1330</f>
        <v>0</v>
      </c>
      <c r="AV14" s="39">
        <f>資料儲存!E1330</f>
        <v>0</v>
      </c>
      <c r="AW14" s="39">
        <f>資料儲存!F1330</f>
        <v>0</v>
      </c>
      <c r="AX14" s="39">
        <f>資料儲存!G1330</f>
        <v>0</v>
      </c>
      <c r="AY14" s="39">
        <f>資料儲存!H1330</f>
        <v>0</v>
      </c>
      <c r="AZ14" s="39">
        <f>資料儲存!I1330</f>
        <v>0</v>
      </c>
      <c r="BA14" s="39">
        <f>資料儲存!J1330</f>
        <v>0</v>
      </c>
    </row>
    <row r="15" spans="1:53" ht="16" thickBot="1">
      <c r="A15" s="38">
        <v>10</v>
      </c>
      <c r="B15" s="39">
        <f>資料儲存!D731</f>
        <v>0</v>
      </c>
      <c r="C15" s="39">
        <f>資料儲存!E731</f>
        <v>0</v>
      </c>
      <c r="D15" s="39">
        <f>資料儲存!F731</f>
        <v>0</v>
      </c>
      <c r="E15" s="39">
        <f>資料儲存!G731</f>
        <v>0</v>
      </c>
      <c r="F15" s="39">
        <f>資料儲存!H731</f>
        <v>0</v>
      </c>
      <c r="G15" s="39">
        <f>資料儲存!I731</f>
        <v>0</v>
      </c>
      <c r="H15" s="39">
        <f>資料儲存!J731</f>
        <v>0</v>
      </c>
      <c r="I15" s="35"/>
      <c r="J15" s="38">
        <v>10</v>
      </c>
      <c r="K15" s="39">
        <f>資料儲存!D851</f>
        <v>0</v>
      </c>
      <c r="L15" s="39">
        <f>資料儲存!E851</f>
        <v>0</v>
      </c>
      <c r="M15" s="39">
        <f>資料儲存!F851</f>
        <v>0</v>
      </c>
      <c r="N15" s="39">
        <f>資料儲存!G851</f>
        <v>0</v>
      </c>
      <c r="O15" s="39">
        <f>資料儲存!H851</f>
        <v>0</v>
      </c>
      <c r="P15" s="39">
        <f>資料儲存!I851</f>
        <v>0</v>
      </c>
      <c r="Q15" s="39">
        <f>資料儲存!J851</f>
        <v>0</v>
      </c>
      <c r="R15" s="35"/>
      <c r="S15" s="38">
        <v>10</v>
      </c>
      <c r="T15" s="39">
        <f>資料儲存!D971</f>
        <v>0</v>
      </c>
      <c r="U15" s="39">
        <f>資料儲存!E971</f>
        <v>0</v>
      </c>
      <c r="V15" s="39">
        <f>資料儲存!F971</f>
        <v>0</v>
      </c>
      <c r="W15" s="39">
        <f>資料儲存!G971</f>
        <v>0</v>
      </c>
      <c r="X15" s="39">
        <f>資料儲存!H971</f>
        <v>0</v>
      </c>
      <c r="Y15" s="39">
        <f>資料儲存!I971</f>
        <v>0</v>
      </c>
      <c r="Z15" s="39">
        <f>資料儲存!J971</f>
        <v>0</v>
      </c>
      <c r="AA15" s="35"/>
      <c r="AB15" s="38">
        <v>10</v>
      </c>
      <c r="AC15" s="39">
        <f>資料儲存!D1091</f>
        <v>0</v>
      </c>
      <c r="AD15" s="39">
        <f>資料儲存!E1091</f>
        <v>0</v>
      </c>
      <c r="AE15" s="39">
        <f>資料儲存!F1091</f>
        <v>0</v>
      </c>
      <c r="AF15" s="39">
        <f>資料儲存!G1091</f>
        <v>0</v>
      </c>
      <c r="AG15" s="39">
        <f>資料儲存!H1091</f>
        <v>0</v>
      </c>
      <c r="AH15" s="39">
        <f>資料儲存!I1091</f>
        <v>0</v>
      </c>
      <c r="AI15" s="39">
        <f>資料儲存!J1091</f>
        <v>0</v>
      </c>
      <c r="AJ15" s="13"/>
      <c r="AK15" s="38">
        <v>10</v>
      </c>
      <c r="AL15" s="39">
        <f>資料儲存!D1211</f>
        <v>0</v>
      </c>
      <c r="AM15" s="39">
        <f>資料儲存!E1211</f>
        <v>0</v>
      </c>
      <c r="AN15" s="39">
        <f>資料儲存!F1211</f>
        <v>0</v>
      </c>
      <c r="AO15" s="39">
        <f>資料儲存!G1211</f>
        <v>0</v>
      </c>
      <c r="AP15" s="39">
        <f>資料儲存!H1211</f>
        <v>0</v>
      </c>
      <c r="AQ15" s="39">
        <f>資料儲存!I1211</f>
        <v>0</v>
      </c>
      <c r="AR15" s="39">
        <f>資料儲存!J1211</f>
        <v>0</v>
      </c>
      <c r="AT15" s="38">
        <v>10</v>
      </c>
      <c r="AU15" s="39">
        <f>資料儲存!D1331</f>
        <v>0</v>
      </c>
      <c r="AV15" s="39">
        <f>資料儲存!E1331</f>
        <v>0</v>
      </c>
      <c r="AW15" s="39">
        <f>資料儲存!F1331</f>
        <v>0</v>
      </c>
      <c r="AX15" s="39">
        <f>資料儲存!G1331</f>
        <v>0</v>
      </c>
      <c r="AY15" s="39">
        <f>資料儲存!H1331</f>
        <v>0</v>
      </c>
      <c r="AZ15" s="39">
        <f>資料儲存!I1331</f>
        <v>0</v>
      </c>
      <c r="BA15" s="39">
        <f>資料儲存!J1331</f>
        <v>0</v>
      </c>
    </row>
    <row r="16" spans="1:53" ht="16" thickBot="1">
      <c r="A16" s="38">
        <v>11</v>
      </c>
      <c r="B16" s="39">
        <f>資料儲存!D732</f>
        <v>0</v>
      </c>
      <c r="C16" s="39">
        <f>資料儲存!E732</f>
        <v>0</v>
      </c>
      <c r="D16" s="39">
        <f>資料儲存!F732</f>
        <v>0</v>
      </c>
      <c r="E16" s="39">
        <f>資料儲存!G732</f>
        <v>0</v>
      </c>
      <c r="F16" s="39">
        <f>資料儲存!H732</f>
        <v>0</v>
      </c>
      <c r="G16" s="39">
        <f>資料儲存!I732</f>
        <v>0</v>
      </c>
      <c r="H16" s="39">
        <f>資料儲存!J732</f>
        <v>0</v>
      </c>
      <c r="I16" s="35"/>
      <c r="J16" s="38">
        <v>11</v>
      </c>
      <c r="K16" s="39">
        <f>資料儲存!D852</f>
        <v>0</v>
      </c>
      <c r="L16" s="39">
        <f>資料儲存!E852</f>
        <v>0</v>
      </c>
      <c r="M16" s="39">
        <f>資料儲存!F852</f>
        <v>0</v>
      </c>
      <c r="N16" s="39">
        <f>資料儲存!G852</f>
        <v>0</v>
      </c>
      <c r="O16" s="39">
        <f>資料儲存!H852</f>
        <v>0</v>
      </c>
      <c r="P16" s="39">
        <f>資料儲存!I852</f>
        <v>0</v>
      </c>
      <c r="Q16" s="39">
        <f>資料儲存!J852</f>
        <v>0</v>
      </c>
      <c r="R16" s="35"/>
      <c r="S16" s="38">
        <v>11</v>
      </c>
      <c r="T16" s="39">
        <f>資料儲存!D972</f>
        <v>0</v>
      </c>
      <c r="U16" s="39">
        <f>資料儲存!E972</f>
        <v>0</v>
      </c>
      <c r="V16" s="39">
        <f>資料儲存!F972</f>
        <v>0</v>
      </c>
      <c r="W16" s="39">
        <f>資料儲存!G972</f>
        <v>0</v>
      </c>
      <c r="X16" s="39">
        <f>資料儲存!H972</f>
        <v>0</v>
      </c>
      <c r="Y16" s="39">
        <f>資料儲存!I972</f>
        <v>0</v>
      </c>
      <c r="Z16" s="39">
        <f>資料儲存!J972</f>
        <v>0</v>
      </c>
      <c r="AA16" s="35"/>
      <c r="AB16" s="38">
        <v>11</v>
      </c>
      <c r="AC16" s="39">
        <f>資料儲存!D1092</f>
        <v>0</v>
      </c>
      <c r="AD16" s="39">
        <f>資料儲存!E1092</f>
        <v>0</v>
      </c>
      <c r="AE16" s="39">
        <f>資料儲存!F1092</f>
        <v>0</v>
      </c>
      <c r="AF16" s="39">
        <f>資料儲存!G1092</f>
        <v>0</v>
      </c>
      <c r="AG16" s="39">
        <f>資料儲存!H1092</f>
        <v>0</v>
      </c>
      <c r="AH16" s="39">
        <f>資料儲存!I1092</f>
        <v>0</v>
      </c>
      <c r="AI16" s="39">
        <f>資料儲存!J1092</f>
        <v>0</v>
      </c>
      <c r="AJ16" s="13"/>
      <c r="AK16" s="38">
        <v>11</v>
      </c>
      <c r="AL16" s="39">
        <f>資料儲存!D1212</f>
        <v>0</v>
      </c>
      <c r="AM16" s="39">
        <f>資料儲存!E1212</f>
        <v>0</v>
      </c>
      <c r="AN16" s="39">
        <f>資料儲存!F1212</f>
        <v>0</v>
      </c>
      <c r="AO16" s="39">
        <f>資料儲存!G1212</f>
        <v>0</v>
      </c>
      <c r="AP16" s="39">
        <f>資料儲存!H1212</f>
        <v>0</v>
      </c>
      <c r="AQ16" s="39">
        <f>資料儲存!I1212</f>
        <v>0</v>
      </c>
      <c r="AR16" s="39">
        <f>資料儲存!J1212</f>
        <v>0</v>
      </c>
      <c r="AT16" s="38">
        <v>11</v>
      </c>
      <c r="AU16" s="39">
        <f>資料儲存!D1332</f>
        <v>0</v>
      </c>
      <c r="AV16" s="39">
        <f>資料儲存!E1332</f>
        <v>0</v>
      </c>
      <c r="AW16" s="39">
        <f>資料儲存!F1332</f>
        <v>0</v>
      </c>
      <c r="AX16" s="39">
        <f>資料儲存!G1332</f>
        <v>0</v>
      </c>
      <c r="AY16" s="39">
        <f>資料儲存!H1332</f>
        <v>0</v>
      </c>
      <c r="AZ16" s="39">
        <f>資料儲存!I1332</f>
        <v>0</v>
      </c>
      <c r="BA16" s="39">
        <f>資料儲存!J1332</f>
        <v>0</v>
      </c>
    </row>
    <row r="17" spans="1:53" ht="16" thickBot="1">
      <c r="A17" s="38">
        <v>12</v>
      </c>
      <c r="B17" s="39">
        <f>資料儲存!D733</f>
        <v>0</v>
      </c>
      <c r="C17" s="39">
        <f>資料儲存!E733</f>
        <v>0</v>
      </c>
      <c r="D17" s="39">
        <f>資料儲存!F733</f>
        <v>0</v>
      </c>
      <c r="E17" s="39">
        <f>資料儲存!G733</f>
        <v>0</v>
      </c>
      <c r="F17" s="39">
        <f>資料儲存!H733</f>
        <v>0</v>
      </c>
      <c r="G17" s="39">
        <f>資料儲存!I733</f>
        <v>0</v>
      </c>
      <c r="H17" s="39">
        <f>資料儲存!J733</f>
        <v>0</v>
      </c>
      <c r="I17" s="35"/>
      <c r="J17" s="38">
        <v>12</v>
      </c>
      <c r="K17" s="39">
        <f>資料儲存!D853</f>
        <v>0</v>
      </c>
      <c r="L17" s="39">
        <f>資料儲存!E853</f>
        <v>0</v>
      </c>
      <c r="M17" s="39">
        <f>資料儲存!F853</f>
        <v>0</v>
      </c>
      <c r="N17" s="39">
        <f>資料儲存!G853</f>
        <v>0</v>
      </c>
      <c r="O17" s="39">
        <f>資料儲存!H853</f>
        <v>0</v>
      </c>
      <c r="P17" s="39">
        <f>資料儲存!I853</f>
        <v>0</v>
      </c>
      <c r="Q17" s="39">
        <f>資料儲存!J853</f>
        <v>0</v>
      </c>
      <c r="R17" s="35"/>
      <c r="S17" s="38">
        <v>12</v>
      </c>
      <c r="T17" s="39">
        <f>資料儲存!D973</f>
        <v>0</v>
      </c>
      <c r="U17" s="39">
        <f>資料儲存!E973</f>
        <v>0</v>
      </c>
      <c r="V17" s="39">
        <f>資料儲存!F973</f>
        <v>0</v>
      </c>
      <c r="W17" s="39">
        <f>資料儲存!G973</f>
        <v>0</v>
      </c>
      <c r="X17" s="39">
        <f>資料儲存!H973</f>
        <v>0</v>
      </c>
      <c r="Y17" s="39">
        <f>資料儲存!I973</f>
        <v>0</v>
      </c>
      <c r="Z17" s="39">
        <f>資料儲存!J973</f>
        <v>0</v>
      </c>
      <c r="AA17" s="35"/>
      <c r="AB17" s="38">
        <v>12</v>
      </c>
      <c r="AC17" s="39">
        <f>資料儲存!D1093</f>
        <v>0</v>
      </c>
      <c r="AD17" s="39">
        <f>資料儲存!E1093</f>
        <v>0</v>
      </c>
      <c r="AE17" s="39">
        <f>資料儲存!F1093</f>
        <v>0</v>
      </c>
      <c r="AF17" s="39">
        <f>資料儲存!G1093</f>
        <v>0</v>
      </c>
      <c r="AG17" s="39">
        <f>資料儲存!H1093</f>
        <v>0</v>
      </c>
      <c r="AH17" s="39">
        <f>資料儲存!I1093</f>
        <v>0</v>
      </c>
      <c r="AI17" s="39">
        <f>資料儲存!J1093</f>
        <v>0</v>
      </c>
      <c r="AJ17" s="13"/>
      <c r="AK17" s="38">
        <v>12</v>
      </c>
      <c r="AL17" s="39">
        <f>資料儲存!D1213</f>
        <v>0</v>
      </c>
      <c r="AM17" s="39">
        <f>資料儲存!E1213</f>
        <v>0</v>
      </c>
      <c r="AN17" s="39">
        <f>資料儲存!F1213</f>
        <v>0</v>
      </c>
      <c r="AO17" s="39">
        <f>資料儲存!G1213</f>
        <v>0</v>
      </c>
      <c r="AP17" s="39">
        <f>資料儲存!H1213</f>
        <v>0</v>
      </c>
      <c r="AQ17" s="39">
        <f>資料儲存!I1213</f>
        <v>0</v>
      </c>
      <c r="AR17" s="39">
        <f>資料儲存!J1213</f>
        <v>0</v>
      </c>
      <c r="AT17" s="38">
        <v>12</v>
      </c>
      <c r="AU17" s="39">
        <f>資料儲存!D1333</f>
        <v>0</v>
      </c>
      <c r="AV17" s="39">
        <f>資料儲存!E1333</f>
        <v>0</v>
      </c>
      <c r="AW17" s="39">
        <f>資料儲存!F1333</f>
        <v>0</v>
      </c>
      <c r="AX17" s="39">
        <f>資料儲存!G1333</f>
        <v>0</v>
      </c>
      <c r="AY17" s="39">
        <f>資料儲存!H1333</f>
        <v>0</v>
      </c>
      <c r="AZ17" s="39">
        <f>資料儲存!I1333</f>
        <v>0</v>
      </c>
      <c r="BA17" s="39">
        <f>資料儲存!J1333</f>
        <v>0</v>
      </c>
    </row>
    <row r="18" spans="1:53" ht="16" thickBot="1">
      <c r="A18" s="38">
        <v>13</v>
      </c>
      <c r="B18" s="39">
        <f>資料儲存!D734</f>
        <v>0</v>
      </c>
      <c r="C18" s="39">
        <f>資料儲存!E734</f>
        <v>0</v>
      </c>
      <c r="D18" s="39">
        <f>資料儲存!F734</f>
        <v>0</v>
      </c>
      <c r="E18" s="39">
        <f>資料儲存!G734</f>
        <v>0</v>
      </c>
      <c r="F18" s="39">
        <f>資料儲存!H734</f>
        <v>0</v>
      </c>
      <c r="G18" s="39">
        <f>資料儲存!I734</f>
        <v>0</v>
      </c>
      <c r="H18" s="39">
        <f>資料儲存!J734</f>
        <v>0</v>
      </c>
      <c r="I18" s="35"/>
      <c r="J18" s="38">
        <v>13</v>
      </c>
      <c r="K18" s="39">
        <f>資料儲存!D854</f>
        <v>0</v>
      </c>
      <c r="L18" s="39">
        <f>資料儲存!E854</f>
        <v>0</v>
      </c>
      <c r="M18" s="39">
        <f>資料儲存!F854</f>
        <v>0</v>
      </c>
      <c r="N18" s="39">
        <f>資料儲存!G854</f>
        <v>0</v>
      </c>
      <c r="O18" s="39">
        <f>資料儲存!H854</f>
        <v>0</v>
      </c>
      <c r="P18" s="39">
        <f>資料儲存!I854</f>
        <v>0</v>
      </c>
      <c r="Q18" s="39">
        <f>資料儲存!J854</f>
        <v>0</v>
      </c>
      <c r="R18" s="35"/>
      <c r="S18" s="38">
        <v>13</v>
      </c>
      <c r="T18" s="39">
        <f>資料儲存!D974</f>
        <v>0</v>
      </c>
      <c r="U18" s="39">
        <f>資料儲存!E974</f>
        <v>0</v>
      </c>
      <c r="V18" s="39">
        <f>資料儲存!F974</f>
        <v>0</v>
      </c>
      <c r="W18" s="39">
        <f>資料儲存!G974</f>
        <v>0</v>
      </c>
      <c r="X18" s="39">
        <f>資料儲存!H974</f>
        <v>0</v>
      </c>
      <c r="Y18" s="39">
        <f>資料儲存!I974</f>
        <v>0</v>
      </c>
      <c r="Z18" s="39">
        <f>資料儲存!J974</f>
        <v>0</v>
      </c>
      <c r="AA18" s="35"/>
      <c r="AB18" s="38">
        <v>13</v>
      </c>
      <c r="AC18" s="39">
        <f>資料儲存!D1094</f>
        <v>0</v>
      </c>
      <c r="AD18" s="39">
        <f>資料儲存!E1094</f>
        <v>0</v>
      </c>
      <c r="AE18" s="39">
        <f>資料儲存!F1094</f>
        <v>0</v>
      </c>
      <c r="AF18" s="39">
        <f>資料儲存!G1094</f>
        <v>0</v>
      </c>
      <c r="AG18" s="39">
        <f>資料儲存!H1094</f>
        <v>0</v>
      </c>
      <c r="AH18" s="39">
        <f>資料儲存!I1094</f>
        <v>0</v>
      </c>
      <c r="AI18" s="39">
        <f>資料儲存!J1094</f>
        <v>0</v>
      </c>
      <c r="AJ18" s="13"/>
      <c r="AK18" s="38">
        <v>13</v>
      </c>
      <c r="AL18" s="39">
        <f>資料儲存!D1214</f>
        <v>0</v>
      </c>
      <c r="AM18" s="39">
        <f>資料儲存!E1214</f>
        <v>0</v>
      </c>
      <c r="AN18" s="39">
        <f>資料儲存!F1214</f>
        <v>0</v>
      </c>
      <c r="AO18" s="39">
        <f>資料儲存!G1214</f>
        <v>0</v>
      </c>
      <c r="AP18" s="39">
        <f>資料儲存!H1214</f>
        <v>0</v>
      </c>
      <c r="AQ18" s="39">
        <f>資料儲存!I1214</f>
        <v>0</v>
      </c>
      <c r="AR18" s="39">
        <f>資料儲存!J1214</f>
        <v>0</v>
      </c>
      <c r="AT18" s="38">
        <v>13</v>
      </c>
      <c r="AU18" s="39">
        <f>資料儲存!D1334</f>
        <v>0</v>
      </c>
      <c r="AV18" s="39">
        <f>資料儲存!E1334</f>
        <v>0</v>
      </c>
      <c r="AW18" s="39">
        <f>資料儲存!F1334</f>
        <v>0</v>
      </c>
      <c r="AX18" s="39">
        <f>資料儲存!G1334</f>
        <v>0</v>
      </c>
      <c r="AY18" s="39">
        <f>資料儲存!H1334</f>
        <v>0</v>
      </c>
      <c r="AZ18" s="39">
        <f>資料儲存!I1334</f>
        <v>0</v>
      </c>
      <c r="BA18" s="39">
        <f>資料儲存!J1334</f>
        <v>0</v>
      </c>
    </row>
    <row r="19" spans="1:53" ht="16" thickBot="1">
      <c r="A19" s="38">
        <v>14</v>
      </c>
      <c r="B19" s="39">
        <f>資料儲存!D735</f>
        <v>0</v>
      </c>
      <c r="C19" s="39">
        <f>資料儲存!E735</f>
        <v>0</v>
      </c>
      <c r="D19" s="39">
        <f>資料儲存!F735</f>
        <v>0</v>
      </c>
      <c r="E19" s="39">
        <f>資料儲存!G735</f>
        <v>0</v>
      </c>
      <c r="F19" s="39">
        <f>資料儲存!H735</f>
        <v>0</v>
      </c>
      <c r="G19" s="39">
        <f>資料儲存!I735</f>
        <v>0</v>
      </c>
      <c r="H19" s="39">
        <f>資料儲存!J735</f>
        <v>0</v>
      </c>
      <c r="I19" s="35"/>
      <c r="J19" s="38">
        <v>14</v>
      </c>
      <c r="K19" s="39">
        <f>資料儲存!D855</f>
        <v>0</v>
      </c>
      <c r="L19" s="39">
        <f>資料儲存!E855</f>
        <v>0</v>
      </c>
      <c r="M19" s="39">
        <f>資料儲存!F855</f>
        <v>0</v>
      </c>
      <c r="N19" s="39">
        <f>資料儲存!G855</f>
        <v>0</v>
      </c>
      <c r="O19" s="39">
        <f>資料儲存!H855</f>
        <v>0</v>
      </c>
      <c r="P19" s="39">
        <f>資料儲存!I855</f>
        <v>0</v>
      </c>
      <c r="Q19" s="39">
        <f>資料儲存!J855</f>
        <v>0</v>
      </c>
      <c r="R19" s="35"/>
      <c r="S19" s="38">
        <v>14</v>
      </c>
      <c r="T19" s="39">
        <f>資料儲存!D975</f>
        <v>0</v>
      </c>
      <c r="U19" s="39">
        <f>資料儲存!E975</f>
        <v>0</v>
      </c>
      <c r="V19" s="39">
        <f>資料儲存!F975</f>
        <v>0</v>
      </c>
      <c r="W19" s="39">
        <f>資料儲存!G975</f>
        <v>0</v>
      </c>
      <c r="X19" s="39">
        <f>資料儲存!H975</f>
        <v>0</v>
      </c>
      <c r="Y19" s="39">
        <f>資料儲存!I975</f>
        <v>0</v>
      </c>
      <c r="Z19" s="39">
        <f>資料儲存!J975</f>
        <v>0</v>
      </c>
      <c r="AA19" s="35"/>
      <c r="AB19" s="38">
        <v>14</v>
      </c>
      <c r="AC19" s="39">
        <f>資料儲存!D1095</f>
        <v>0</v>
      </c>
      <c r="AD19" s="39">
        <f>資料儲存!E1095</f>
        <v>0</v>
      </c>
      <c r="AE19" s="39">
        <f>資料儲存!F1095</f>
        <v>0</v>
      </c>
      <c r="AF19" s="39">
        <f>資料儲存!G1095</f>
        <v>0</v>
      </c>
      <c r="AG19" s="39">
        <f>資料儲存!H1095</f>
        <v>0</v>
      </c>
      <c r="AH19" s="39">
        <f>資料儲存!I1095</f>
        <v>0</v>
      </c>
      <c r="AI19" s="39">
        <f>資料儲存!J1095</f>
        <v>0</v>
      </c>
      <c r="AJ19" s="13"/>
      <c r="AK19" s="38">
        <v>14</v>
      </c>
      <c r="AL19" s="39">
        <f>資料儲存!D1215</f>
        <v>0</v>
      </c>
      <c r="AM19" s="39">
        <f>資料儲存!E1215</f>
        <v>0</v>
      </c>
      <c r="AN19" s="39">
        <f>資料儲存!F1215</f>
        <v>0</v>
      </c>
      <c r="AO19" s="39">
        <f>資料儲存!G1215</f>
        <v>0</v>
      </c>
      <c r="AP19" s="39">
        <f>資料儲存!H1215</f>
        <v>0</v>
      </c>
      <c r="AQ19" s="39">
        <f>資料儲存!I1215</f>
        <v>0</v>
      </c>
      <c r="AR19" s="39">
        <f>資料儲存!J1215</f>
        <v>0</v>
      </c>
      <c r="AT19" s="38">
        <v>14</v>
      </c>
      <c r="AU19" s="39">
        <f>資料儲存!D1335</f>
        <v>0</v>
      </c>
      <c r="AV19" s="39">
        <f>資料儲存!E1335</f>
        <v>0</v>
      </c>
      <c r="AW19" s="39">
        <f>資料儲存!F1335</f>
        <v>0</v>
      </c>
      <c r="AX19" s="39">
        <f>資料儲存!G1335</f>
        <v>0</v>
      </c>
      <c r="AY19" s="39">
        <f>資料儲存!H1335</f>
        <v>0</v>
      </c>
      <c r="AZ19" s="39">
        <f>資料儲存!I1335</f>
        <v>0</v>
      </c>
      <c r="BA19" s="39">
        <f>資料儲存!J1335</f>
        <v>0</v>
      </c>
    </row>
    <row r="20" spans="1:53" ht="16" thickBot="1">
      <c r="A20" s="38">
        <v>15</v>
      </c>
      <c r="B20" s="39">
        <f>資料儲存!D736</f>
        <v>0</v>
      </c>
      <c r="C20" s="39">
        <f>資料儲存!E736</f>
        <v>0</v>
      </c>
      <c r="D20" s="39">
        <f>資料儲存!F736</f>
        <v>0</v>
      </c>
      <c r="E20" s="39">
        <f>資料儲存!G736</f>
        <v>0</v>
      </c>
      <c r="F20" s="39">
        <f>資料儲存!H736</f>
        <v>0</v>
      </c>
      <c r="G20" s="39">
        <f>資料儲存!I736</f>
        <v>0</v>
      </c>
      <c r="H20" s="39">
        <f>資料儲存!J736</f>
        <v>0</v>
      </c>
      <c r="I20" s="35"/>
      <c r="J20" s="38">
        <v>15</v>
      </c>
      <c r="K20" s="39">
        <f>資料儲存!D856</f>
        <v>0</v>
      </c>
      <c r="L20" s="39">
        <f>資料儲存!E856</f>
        <v>0</v>
      </c>
      <c r="M20" s="39">
        <f>資料儲存!F856</f>
        <v>0</v>
      </c>
      <c r="N20" s="39">
        <f>資料儲存!G856</f>
        <v>0</v>
      </c>
      <c r="O20" s="39">
        <f>資料儲存!H856</f>
        <v>0</v>
      </c>
      <c r="P20" s="39">
        <f>資料儲存!I856</f>
        <v>0</v>
      </c>
      <c r="Q20" s="39">
        <f>資料儲存!J856</f>
        <v>0</v>
      </c>
      <c r="R20" s="35"/>
      <c r="S20" s="38">
        <v>15</v>
      </c>
      <c r="T20" s="39">
        <f>資料儲存!D976</f>
        <v>0</v>
      </c>
      <c r="U20" s="39">
        <f>資料儲存!E976</f>
        <v>0</v>
      </c>
      <c r="V20" s="39">
        <f>資料儲存!F976</f>
        <v>0</v>
      </c>
      <c r="W20" s="39">
        <f>資料儲存!G976</f>
        <v>0</v>
      </c>
      <c r="X20" s="39">
        <f>資料儲存!H976</f>
        <v>0</v>
      </c>
      <c r="Y20" s="39">
        <f>資料儲存!I976</f>
        <v>0</v>
      </c>
      <c r="Z20" s="39">
        <f>資料儲存!J976</f>
        <v>0</v>
      </c>
      <c r="AA20" s="35"/>
      <c r="AB20" s="38">
        <v>15</v>
      </c>
      <c r="AC20" s="39">
        <f>資料儲存!D1096</f>
        <v>0</v>
      </c>
      <c r="AD20" s="39">
        <f>資料儲存!E1096</f>
        <v>0</v>
      </c>
      <c r="AE20" s="39">
        <f>資料儲存!F1096</f>
        <v>0</v>
      </c>
      <c r="AF20" s="39">
        <f>資料儲存!G1096</f>
        <v>0</v>
      </c>
      <c r="AG20" s="39">
        <f>資料儲存!H1096</f>
        <v>0</v>
      </c>
      <c r="AH20" s="39">
        <f>資料儲存!I1096</f>
        <v>0</v>
      </c>
      <c r="AI20" s="39">
        <f>資料儲存!J1096</f>
        <v>0</v>
      </c>
      <c r="AJ20" s="13"/>
      <c r="AK20" s="38">
        <v>15</v>
      </c>
      <c r="AL20" s="39">
        <f>資料儲存!D1216</f>
        <v>0</v>
      </c>
      <c r="AM20" s="39">
        <f>資料儲存!E1216</f>
        <v>0</v>
      </c>
      <c r="AN20" s="39">
        <f>資料儲存!F1216</f>
        <v>0</v>
      </c>
      <c r="AO20" s="39">
        <f>資料儲存!G1216</f>
        <v>0</v>
      </c>
      <c r="AP20" s="39">
        <f>資料儲存!H1216</f>
        <v>0</v>
      </c>
      <c r="AQ20" s="39">
        <f>資料儲存!I1216</f>
        <v>0</v>
      </c>
      <c r="AR20" s="39">
        <f>資料儲存!J1216</f>
        <v>0</v>
      </c>
      <c r="AT20" s="38">
        <v>15</v>
      </c>
      <c r="AU20" s="39">
        <f>資料儲存!D1336</f>
        <v>0</v>
      </c>
      <c r="AV20" s="39">
        <f>資料儲存!E1336</f>
        <v>0</v>
      </c>
      <c r="AW20" s="39">
        <f>資料儲存!F1336</f>
        <v>0</v>
      </c>
      <c r="AX20" s="39">
        <f>資料儲存!G1336</f>
        <v>0</v>
      </c>
      <c r="AY20" s="39">
        <f>資料儲存!H1336</f>
        <v>0</v>
      </c>
      <c r="AZ20" s="39">
        <f>資料儲存!I1336</f>
        <v>0</v>
      </c>
      <c r="BA20" s="39">
        <f>資料儲存!J1336</f>
        <v>0</v>
      </c>
    </row>
    <row r="21" spans="1:53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13"/>
      <c r="AK21" s="40" t="s">
        <v>56</v>
      </c>
      <c r="AL21" s="39">
        <f>SUM(AL6:AO20)</f>
        <v>0</v>
      </c>
      <c r="AM21" s="37"/>
      <c r="AN21" s="37"/>
      <c r="AO21" s="37"/>
      <c r="AP21" s="39">
        <f>AP20</f>
        <v>0</v>
      </c>
      <c r="AQ21" s="39">
        <f>AQ20</f>
        <v>0</v>
      </c>
      <c r="AR21" s="39">
        <f>AR20</f>
        <v>0</v>
      </c>
      <c r="AT21" s="40" t="s">
        <v>56</v>
      </c>
      <c r="AU21" s="39">
        <f>SUM(AU6:AX20)</f>
        <v>0</v>
      </c>
      <c r="AV21" s="37"/>
      <c r="AW21" s="37"/>
      <c r="AX21" s="37"/>
      <c r="AY21" s="39">
        <f>AY20</f>
        <v>0</v>
      </c>
      <c r="AZ21" s="39">
        <f>AZ20</f>
        <v>0</v>
      </c>
      <c r="BA21" s="39">
        <f>BA20</f>
        <v>0</v>
      </c>
    </row>
    <row r="22" spans="1:53" ht="18.5" thickBot="1">
      <c r="A22" s="248" t="s">
        <v>57</v>
      </c>
      <c r="B22" s="249"/>
      <c r="C22" s="249"/>
      <c r="D22" s="249"/>
      <c r="E22" s="249"/>
      <c r="F22" s="249"/>
      <c r="G22" s="249"/>
      <c r="H22" s="250"/>
      <c r="I22" s="13"/>
      <c r="J22" s="248" t="s">
        <v>57</v>
      </c>
      <c r="K22" s="249"/>
      <c r="L22" s="249"/>
      <c r="M22" s="249"/>
      <c r="N22" s="249"/>
      <c r="O22" s="249"/>
      <c r="P22" s="249"/>
      <c r="Q22" s="250"/>
      <c r="R22" s="13"/>
      <c r="S22" s="248" t="s">
        <v>57</v>
      </c>
      <c r="T22" s="249"/>
      <c r="U22" s="249"/>
      <c r="V22" s="249"/>
      <c r="W22" s="249"/>
      <c r="X22" s="249"/>
      <c r="Y22" s="249"/>
      <c r="Z22" s="250"/>
      <c r="AA22" s="13"/>
      <c r="AB22" s="248" t="s">
        <v>57</v>
      </c>
      <c r="AC22" s="249"/>
      <c r="AD22" s="249"/>
      <c r="AE22" s="249"/>
      <c r="AF22" s="249"/>
      <c r="AG22" s="249"/>
      <c r="AH22" s="249"/>
      <c r="AI22" s="250"/>
      <c r="AJ22" s="13"/>
      <c r="AK22" s="248" t="s">
        <v>57</v>
      </c>
      <c r="AL22" s="249"/>
      <c r="AM22" s="249"/>
      <c r="AN22" s="249"/>
      <c r="AO22" s="249"/>
      <c r="AP22" s="249"/>
      <c r="AQ22" s="249"/>
      <c r="AR22" s="250"/>
      <c r="AT22" s="248" t="s">
        <v>57</v>
      </c>
      <c r="AU22" s="249"/>
      <c r="AV22" s="249"/>
      <c r="AW22" s="249"/>
      <c r="AX22" s="249"/>
      <c r="AY22" s="249"/>
      <c r="AZ22" s="249"/>
      <c r="BA22" s="250"/>
    </row>
    <row r="23" spans="1:53" ht="17.25" customHeight="1" thickBot="1">
      <c r="A23" s="41" t="s">
        <v>2</v>
      </c>
      <c r="B23" s="42" t="s">
        <v>46</v>
      </c>
      <c r="C23" s="43"/>
      <c r="D23" s="43"/>
      <c r="E23" s="44"/>
      <c r="F23" s="42" t="s">
        <v>47</v>
      </c>
      <c r="G23" s="43"/>
      <c r="H23" s="44"/>
      <c r="I23" s="45"/>
      <c r="J23" s="41" t="s">
        <v>2</v>
      </c>
      <c r="K23" s="42" t="s">
        <v>46</v>
      </c>
      <c r="L23" s="43"/>
      <c r="M23" s="43"/>
      <c r="N23" s="44"/>
      <c r="O23" s="42" t="s">
        <v>47</v>
      </c>
      <c r="P23" s="43"/>
      <c r="Q23" s="44"/>
      <c r="R23" s="45"/>
      <c r="S23" s="41" t="s">
        <v>2</v>
      </c>
      <c r="T23" s="42" t="s">
        <v>46</v>
      </c>
      <c r="U23" s="43"/>
      <c r="V23" s="43"/>
      <c r="W23" s="44"/>
      <c r="X23" s="42" t="s">
        <v>47</v>
      </c>
      <c r="Y23" s="43"/>
      <c r="Z23" s="44"/>
      <c r="AA23" s="45"/>
      <c r="AB23" s="41" t="s">
        <v>2</v>
      </c>
      <c r="AC23" s="42" t="s">
        <v>46</v>
      </c>
      <c r="AD23" s="43"/>
      <c r="AE23" s="43"/>
      <c r="AF23" s="44"/>
      <c r="AG23" s="42" t="s">
        <v>47</v>
      </c>
      <c r="AH23" s="43"/>
      <c r="AI23" s="44"/>
      <c r="AJ23" s="13"/>
      <c r="AK23" s="41" t="s">
        <v>2</v>
      </c>
      <c r="AL23" s="42" t="s">
        <v>46</v>
      </c>
      <c r="AM23" s="43"/>
      <c r="AN23" s="43"/>
      <c r="AO23" s="44"/>
      <c r="AP23" s="42" t="s">
        <v>47</v>
      </c>
      <c r="AQ23" s="43"/>
      <c r="AR23" s="44"/>
      <c r="AT23" s="41" t="s">
        <v>2</v>
      </c>
      <c r="AU23" s="42" t="s">
        <v>46</v>
      </c>
      <c r="AV23" s="43"/>
      <c r="AW23" s="43"/>
      <c r="AX23" s="44"/>
      <c r="AY23" s="42" t="s">
        <v>47</v>
      </c>
      <c r="AZ23" s="43"/>
      <c r="BA23" s="44"/>
    </row>
    <row r="24" spans="1:53" ht="16" thickBot="1">
      <c r="A24" s="46" t="s">
        <v>58</v>
      </c>
      <c r="B24" s="47" t="s">
        <v>49</v>
      </c>
      <c r="C24" s="47" t="s">
        <v>50</v>
      </c>
      <c r="D24" s="47" t="s">
        <v>51</v>
      </c>
      <c r="E24" s="47" t="s">
        <v>52</v>
      </c>
      <c r="F24" s="47" t="s">
        <v>53</v>
      </c>
      <c r="G24" s="47" t="s">
        <v>54</v>
      </c>
      <c r="H24" s="47" t="s">
        <v>55</v>
      </c>
      <c r="I24" s="45"/>
      <c r="J24" s="46" t="s">
        <v>58</v>
      </c>
      <c r="K24" s="47" t="s">
        <v>49</v>
      </c>
      <c r="L24" s="47" t="s">
        <v>50</v>
      </c>
      <c r="M24" s="47" t="s">
        <v>51</v>
      </c>
      <c r="N24" s="47" t="s">
        <v>52</v>
      </c>
      <c r="O24" s="47" t="s">
        <v>53</v>
      </c>
      <c r="P24" s="47" t="s">
        <v>54</v>
      </c>
      <c r="Q24" s="47" t="s">
        <v>55</v>
      </c>
      <c r="R24" s="45"/>
      <c r="S24" s="46" t="s">
        <v>58</v>
      </c>
      <c r="T24" s="47" t="s">
        <v>49</v>
      </c>
      <c r="U24" s="47" t="s">
        <v>50</v>
      </c>
      <c r="V24" s="47" t="s">
        <v>51</v>
      </c>
      <c r="W24" s="47" t="s">
        <v>52</v>
      </c>
      <c r="X24" s="47" t="s">
        <v>53</v>
      </c>
      <c r="Y24" s="47" t="s">
        <v>54</v>
      </c>
      <c r="Z24" s="47" t="s">
        <v>55</v>
      </c>
      <c r="AA24" s="45"/>
      <c r="AB24" s="46" t="s">
        <v>58</v>
      </c>
      <c r="AC24" s="47" t="s">
        <v>49</v>
      </c>
      <c r="AD24" s="47" t="s">
        <v>50</v>
      </c>
      <c r="AE24" s="47" t="s">
        <v>51</v>
      </c>
      <c r="AF24" s="47" t="s">
        <v>52</v>
      </c>
      <c r="AG24" s="47" t="s">
        <v>53</v>
      </c>
      <c r="AH24" s="47" t="s">
        <v>54</v>
      </c>
      <c r="AI24" s="47" t="s">
        <v>55</v>
      </c>
      <c r="AJ24" s="13"/>
      <c r="AK24" s="46" t="s">
        <v>58</v>
      </c>
      <c r="AL24" s="47" t="s">
        <v>49</v>
      </c>
      <c r="AM24" s="47" t="s">
        <v>50</v>
      </c>
      <c r="AN24" s="47" t="s">
        <v>51</v>
      </c>
      <c r="AO24" s="47" t="s">
        <v>52</v>
      </c>
      <c r="AP24" s="47" t="s">
        <v>53</v>
      </c>
      <c r="AQ24" s="47" t="s">
        <v>54</v>
      </c>
      <c r="AR24" s="47" t="s">
        <v>55</v>
      </c>
      <c r="AT24" s="46" t="s">
        <v>58</v>
      </c>
      <c r="AU24" s="47" t="s">
        <v>49</v>
      </c>
      <c r="AV24" s="47" t="s">
        <v>50</v>
      </c>
      <c r="AW24" s="47" t="s">
        <v>51</v>
      </c>
      <c r="AX24" s="47" t="s">
        <v>52</v>
      </c>
      <c r="AY24" s="47" t="s">
        <v>53</v>
      </c>
      <c r="AZ24" s="47" t="s">
        <v>54</v>
      </c>
      <c r="BA24" s="47" t="s">
        <v>55</v>
      </c>
    </row>
    <row r="25" spans="1:53" ht="16" thickBot="1">
      <c r="A25" s="48">
        <v>16</v>
      </c>
      <c r="B25" s="49">
        <f>資料儲存!D737</f>
        <v>0</v>
      </c>
      <c r="C25" s="49">
        <f>資料儲存!E737</f>
        <v>0</v>
      </c>
      <c r="D25" s="49">
        <f>資料儲存!F737</f>
        <v>0</v>
      </c>
      <c r="E25" s="49">
        <f>資料儲存!G737</f>
        <v>0</v>
      </c>
      <c r="F25" s="49">
        <f>資料儲存!H737</f>
        <v>0</v>
      </c>
      <c r="G25" s="49">
        <f>資料儲存!I737</f>
        <v>0</v>
      </c>
      <c r="H25" s="49">
        <f>資料儲存!J737</f>
        <v>0</v>
      </c>
      <c r="I25" s="45"/>
      <c r="J25" s="48">
        <v>16</v>
      </c>
      <c r="K25" s="49">
        <f>資料儲存!D857</f>
        <v>0</v>
      </c>
      <c r="L25" s="49">
        <f>資料儲存!E857</f>
        <v>0</v>
      </c>
      <c r="M25" s="49">
        <f>資料儲存!F857</f>
        <v>0</v>
      </c>
      <c r="N25" s="49">
        <f>資料儲存!G857</f>
        <v>0</v>
      </c>
      <c r="O25" s="49">
        <f>資料儲存!H857</f>
        <v>0</v>
      </c>
      <c r="P25" s="49">
        <f>資料儲存!I857</f>
        <v>0</v>
      </c>
      <c r="Q25" s="49">
        <f>資料儲存!J857</f>
        <v>0</v>
      </c>
      <c r="R25" s="45"/>
      <c r="S25" s="48">
        <v>16</v>
      </c>
      <c r="T25" s="49">
        <f>資料儲存!D977</f>
        <v>0</v>
      </c>
      <c r="U25" s="49">
        <f>資料儲存!E977</f>
        <v>0</v>
      </c>
      <c r="V25" s="49">
        <f>資料儲存!F977</f>
        <v>0</v>
      </c>
      <c r="W25" s="49">
        <f>資料儲存!G977</f>
        <v>0</v>
      </c>
      <c r="X25" s="49">
        <f>資料儲存!H977</f>
        <v>0</v>
      </c>
      <c r="Y25" s="49">
        <f>資料儲存!I977</f>
        <v>0</v>
      </c>
      <c r="Z25" s="49">
        <f>資料儲存!J977</f>
        <v>0</v>
      </c>
      <c r="AA25" s="45"/>
      <c r="AB25" s="48">
        <v>16</v>
      </c>
      <c r="AC25" s="49">
        <f>資料儲存!D1097</f>
        <v>0</v>
      </c>
      <c r="AD25" s="49">
        <f>資料儲存!E1097</f>
        <v>0</v>
      </c>
      <c r="AE25" s="49">
        <f>資料儲存!F1097</f>
        <v>0</v>
      </c>
      <c r="AF25" s="49">
        <f>資料儲存!G1097</f>
        <v>0</v>
      </c>
      <c r="AG25" s="49">
        <f>資料儲存!H1097</f>
        <v>0</v>
      </c>
      <c r="AH25" s="49">
        <f>資料儲存!I1097</f>
        <v>0</v>
      </c>
      <c r="AI25" s="49">
        <f>資料儲存!J1097</f>
        <v>0</v>
      </c>
      <c r="AJ25" s="13"/>
      <c r="AK25" s="48">
        <v>16</v>
      </c>
      <c r="AL25" s="49">
        <f>資料儲存!D1217</f>
        <v>0</v>
      </c>
      <c r="AM25" s="49">
        <f>資料儲存!E1217</f>
        <v>0</v>
      </c>
      <c r="AN25" s="49">
        <f>資料儲存!F1217</f>
        <v>0</v>
      </c>
      <c r="AO25" s="49">
        <f>資料儲存!G1217</f>
        <v>0</v>
      </c>
      <c r="AP25" s="49">
        <f>資料儲存!H1217</f>
        <v>0</v>
      </c>
      <c r="AQ25" s="49">
        <f>資料儲存!I1217</f>
        <v>0</v>
      </c>
      <c r="AR25" s="49">
        <f>資料儲存!J1217</f>
        <v>0</v>
      </c>
      <c r="AT25" s="48">
        <v>16</v>
      </c>
      <c r="AU25" s="49">
        <f>資料儲存!D1337</f>
        <v>0</v>
      </c>
      <c r="AV25" s="49">
        <f>資料儲存!E1337</f>
        <v>0</v>
      </c>
      <c r="AW25" s="49">
        <f>資料儲存!F1337</f>
        <v>0</v>
      </c>
      <c r="AX25" s="49">
        <f>資料儲存!G1337</f>
        <v>0</v>
      </c>
      <c r="AY25" s="49">
        <f>資料儲存!H1337</f>
        <v>0</v>
      </c>
      <c r="AZ25" s="49">
        <f>資料儲存!I1337</f>
        <v>0</v>
      </c>
      <c r="BA25" s="49">
        <f>資料儲存!J1337</f>
        <v>0</v>
      </c>
    </row>
    <row r="26" spans="1:53" ht="16" thickBot="1">
      <c r="A26" s="48">
        <v>17</v>
      </c>
      <c r="B26" s="49">
        <f>資料儲存!D738</f>
        <v>0</v>
      </c>
      <c r="C26" s="49">
        <f>資料儲存!E738</f>
        <v>0</v>
      </c>
      <c r="D26" s="49">
        <f>資料儲存!F738</f>
        <v>0</v>
      </c>
      <c r="E26" s="49">
        <f>資料儲存!G738</f>
        <v>0</v>
      </c>
      <c r="F26" s="49">
        <f>資料儲存!H738</f>
        <v>0</v>
      </c>
      <c r="G26" s="49">
        <f>資料儲存!I738</f>
        <v>0</v>
      </c>
      <c r="H26" s="49">
        <f>資料儲存!J738</f>
        <v>0</v>
      </c>
      <c r="I26" s="45"/>
      <c r="J26" s="48">
        <v>17</v>
      </c>
      <c r="K26" s="49">
        <f>資料儲存!D858</f>
        <v>0</v>
      </c>
      <c r="L26" s="49">
        <f>資料儲存!E858</f>
        <v>0</v>
      </c>
      <c r="M26" s="49">
        <f>資料儲存!F858</f>
        <v>0</v>
      </c>
      <c r="N26" s="49">
        <f>資料儲存!G858</f>
        <v>0</v>
      </c>
      <c r="O26" s="49">
        <f>資料儲存!H858</f>
        <v>0</v>
      </c>
      <c r="P26" s="49">
        <f>資料儲存!I858</f>
        <v>0</v>
      </c>
      <c r="Q26" s="49">
        <f>資料儲存!J858</f>
        <v>0</v>
      </c>
      <c r="R26" s="45"/>
      <c r="S26" s="48">
        <v>17</v>
      </c>
      <c r="T26" s="49">
        <f>資料儲存!D978</f>
        <v>0</v>
      </c>
      <c r="U26" s="49">
        <f>資料儲存!E978</f>
        <v>0</v>
      </c>
      <c r="V26" s="49">
        <f>資料儲存!F978</f>
        <v>0</v>
      </c>
      <c r="W26" s="49">
        <f>資料儲存!G978</f>
        <v>0</v>
      </c>
      <c r="X26" s="49">
        <f>資料儲存!H978</f>
        <v>0</v>
      </c>
      <c r="Y26" s="49">
        <f>資料儲存!I978</f>
        <v>0</v>
      </c>
      <c r="Z26" s="49">
        <f>資料儲存!J978</f>
        <v>0</v>
      </c>
      <c r="AA26" s="45"/>
      <c r="AB26" s="48">
        <v>17</v>
      </c>
      <c r="AC26" s="49">
        <f>資料儲存!D1098</f>
        <v>0</v>
      </c>
      <c r="AD26" s="49">
        <f>資料儲存!E1098</f>
        <v>0</v>
      </c>
      <c r="AE26" s="49">
        <f>資料儲存!F1098</f>
        <v>0</v>
      </c>
      <c r="AF26" s="49">
        <f>資料儲存!G1098</f>
        <v>0</v>
      </c>
      <c r="AG26" s="49">
        <f>資料儲存!H1098</f>
        <v>0</v>
      </c>
      <c r="AH26" s="49">
        <f>資料儲存!I1098</f>
        <v>0</v>
      </c>
      <c r="AI26" s="49">
        <f>資料儲存!J1098</f>
        <v>0</v>
      </c>
      <c r="AJ26" s="13"/>
      <c r="AK26" s="48">
        <v>17</v>
      </c>
      <c r="AL26" s="49">
        <f>資料儲存!D1218</f>
        <v>0</v>
      </c>
      <c r="AM26" s="49">
        <f>資料儲存!E1218</f>
        <v>0</v>
      </c>
      <c r="AN26" s="49">
        <f>資料儲存!F1218</f>
        <v>0</v>
      </c>
      <c r="AO26" s="49">
        <f>資料儲存!G1218</f>
        <v>0</v>
      </c>
      <c r="AP26" s="49">
        <f>資料儲存!H1218</f>
        <v>0</v>
      </c>
      <c r="AQ26" s="49">
        <f>資料儲存!I1218</f>
        <v>0</v>
      </c>
      <c r="AR26" s="49">
        <f>資料儲存!J1218</f>
        <v>0</v>
      </c>
      <c r="AT26" s="48">
        <v>17</v>
      </c>
      <c r="AU26" s="49">
        <f>資料儲存!D1338</f>
        <v>0</v>
      </c>
      <c r="AV26" s="49">
        <f>資料儲存!E1338</f>
        <v>0</v>
      </c>
      <c r="AW26" s="49">
        <f>資料儲存!F1338</f>
        <v>0</v>
      </c>
      <c r="AX26" s="49">
        <f>資料儲存!G1338</f>
        <v>0</v>
      </c>
      <c r="AY26" s="49">
        <f>資料儲存!H1338</f>
        <v>0</v>
      </c>
      <c r="AZ26" s="49">
        <f>資料儲存!I1338</f>
        <v>0</v>
      </c>
      <c r="BA26" s="49">
        <f>資料儲存!J1338</f>
        <v>0</v>
      </c>
    </row>
    <row r="27" spans="1:53" ht="16" thickBot="1">
      <c r="A27" s="48">
        <v>18</v>
      </c>
      <c r="B27" s="49">
        <f>資料儲存!D739</f>
        <v>0</v>
      </c>
      <c r="C27" s="49">
        <f>資料儲存!E739</f>
        <v>0</v>
      </c>
      <c r="D27" s="49">
        <f>資料儲存!F739</f>
        <v>0</v>
      </c>
      <c r="E27" s="49">
        <f>資料儲存!G739</f>
        <v>0</v>
      </c>
      <c r="F27" s="49">
        <f>資料儲存!H739</f>
        <v>0</v>
      </c>
      <c r="G27" s="49">
        <f>資料儲存!I739</f>
        <v>0</v>
      </c>
      <c r="H27" s="49">
        <f>資料儲存!J739</f>
        <v>0</v>
      </c>
      <c r="I27" s="45"/>
      <c r="J27" s="48">
        <v>18</v>
      </c>
      <c r="K27" s="49">
        <f>資料儲存!D859</f>
        <v>0</v>
      </c>
      <c r="L27" s="49">
        <f>資料儲存!E859</f>
        <v>0</v>
      </c>
      <c r="M27" s="49">
        <f>資料儲存!F859</f>
        <v>0</v>
      </c>
      <c r="N27" s="49">
        <f>資料儲存!G859</f>
        <v>0</v>
      </c>
      <c r="O27" s="49">
        <f>資料儲存!H859</f>
        <v>0</v>
      </c>
      <c r="P27" s="49">
        <f>資料儲存!I859</f>
        <v>0</v>
      </c>
      <c r="Q27" s="49">
        <f>資料儲存!J859</f>
        <v>0</v>
      </c>
      <c r="R27" s="45"/>
      <c r="S27" s="48">
        <v>18</v>
      </c>
      <c r="T27" s="49">
        <f>資料儲存!D979</f>
        <v>0</v>
      </c>
      <c r="U27" s="49">
        <f>資料儲存!E979</f>
        <v>0</v>
      </c>
      <c r="V27" s="49">
        <f>資料儲存!F979</f>
        <v>0</v>
      </c>
      <c r="W27" s="49">
        <f>資料儲存!G979</f>
        <v>0</v>
      </c>
      <c r="X27" s="49">
        <f>資料儲存!H979</f>
        <v>0</v>
      </c>
      <c r="Y27" s="49">
        <f>資料儲存!I979</f>
        <v>0</v>
      </c>
      <c r="Z27" s="49">
        <f>資料儲存!J979</f>
        <v>0</v>
      </c>
      <c r="AA27" s="45"/>
      <c r="AB27" s="48">
        <v>18</v>
      </c>
      <c r="AC27" s="49">
        <f>資料儲存!D1099</f>
        <v>0</v>
      </c>
      <c r="AD27" s="49">
        <f>資料儲存!E1099</f>
        <v>0</v>
      </c>
      <c r="AE27" s="49">
        <f>資料儲存!F1099</f>
        <v>0</v>
      </c>
      <c r="AF27" s="49">
        <f>資料儲存!G1099</f>
        <v>0</v>
      </c>
      <c r="AG27" s="49">
        <f>資料儲存!H1099</f>
        <v>0</v>
      </c>
      <c r="AH27" s="49">
        <f>資料儲存!I1099</f>
        <v>0</v>
      </c>
      <c r="AI27" s="49">
        <f>資料儲存!J1099</f>
        <v>0</v>
      </c>
      <c r="AJ27" s="13"/>
      <c r="AK27" s="48">
        <v>18</v>
      </c>
      <c r="AL27" s="49">
        <f>資料儲存!D1219</f>
        <v>0</v>
      </c>
      <c r="AM27" s="49">
        <f>資料儲存!E1219</f>
        <v>0</v>
      </c>
      <c r="AN27" s="49">
        <f>資料儲存!F1219</f>
        <v>0</v>
      </c>
      <c r="AO27" s="49">
        <f>資料儲存!G1219</f>
        <v>0</v>
      </c>
      <c r="AP27" s="49">
        <f>資料儲存!H1219</f>
        <v>0</v>
      </c>
      <c r="AQ27" s="49">
        <f>資料儲存!I1219</f>
        <v>0</v>
      </c>
      <c r="AR27" s="49">
        <f>資料儲存!J1219</f>
        <v>0</v>
      </c>
      <c r="AT27" s="48">
        <v>18</v>
      </c>
      <c r="AU27" s="49">
        <f>資料儲存!D1339</f>
        <v>0</v>
      </c>
      <c r="AV27" s="49">
        <f>資料儲存!E1339</f>
        <v>0</v>
      </c>
      <c r="AW27" s="49">
        <f>資料儲存!F1339</f>
        <v>0</v>
      </c>
      <c r="AX27" s="49">
        <f>資料儲存!G1339</f>
        <v>0</v>
      </c>
      <c r="AY27" s="49">
        <f>資料儲存!H1339</f>
        <v>0</v>
      </c>
      <c r="AZ27" s="49">
        <f>資料儲存!I1339</f>
        <v>0</v>
      </c>
      <c r="BA27" s="49">
        <f>資料儲存!J1339</f>
        <v>0</v>
      </c>
    </row>
    <row r="28" spans="1:53" ht="16" thickBot="1">
      <c r="A28" s="48">
        <v>19</v>
      </c>
      <c r="B28" s="49">
        <f>資料儲存!D740</f>
        <v>0</v>
      </c>
      <c r="C28" s="49">
        <f>資料儲存!E740</f>
        <v>0</v>
      </c>
      <c r="D28" s="49">
        <f>資料儲存!F740</f>
        <v>0</v>
      </c>
      <c r="E28" s="49">
        <f>資料儲存!G740</f>
        <v>0</v>
      </c>
      <c r="F28" s="49">
        <f>資料儲存!H740</f>
        <v>0</v>
      </c>
      <c r="G28" s="49">
        <f>資料儲存!I740</f>
        <v>0</v>
      </c>
      <c r="H28" s="49">
        <f>資料儲存!J740</f>
        <v>0</v>
      </c>
      <c r="I28" s="45"/>
      <c r="J28" s="48">
        <v>19</v>
      </c>
      <c r="K28" s="49">
        <f>資料儲存!D860</f>
        <v>0</v>
      </c>
      <c r="L28" s="49">
        <f>資料儲存!E860</f>
        <v>0</v>
      </c>
      <c r="M28" s="49">
        <f>資料儲存!F860</f>
        <v>0</v>
      </c>
      <c r="N28" s="49">
        <f>資料儲存!G860</f>
        <v>0</v>
      </c>
      <c r="O28" s="49">
        <f>資料儲存!H860</f>
        <v>0</v>
      </c>
      <c r="P28" s="49">
        <f>資料儲存!I860</f>
        <v>0</v>
      </c>
      <c r="Q28" s="49">
        <f>資料儲存!J860</f>
        <v>0</v>
      </c>
      <c r="R28" s="45"/>
      <c r="S28" s="48">
        <v>19</v>
      </c>
      <c r="T28" s="49">
        <f>資料儲存!D980</f>
        <v>0</v>
      </c>
      <c r="U28" s="49">
        <f>資料儲存!E980</f>
        <v>0</v>
      </c>
      <c r="V28" s="49">
        <f>資料儲存!F980</f>
        <v>0</v>
      </c>
      <c r="W28" s="49">
        <f>資料儲存!G980</f>
        <v>0</v>
      </c>
      <c r="X28" s="49">
        <f>資料儲存!H980</f>
        <v>0</v>
      </c>
      <c r="Y28" s="49">
        <f>資料儲存!I980</f>
        <v>0</v>
      </c>
      <c r="Z28" s="49">
        <f>資料儲存!J980</f>
        <v>0</v>
      </c>
      <c r="AA28" s="45"/>
      <c r="AB28" s="48">
        <v>19</v>
      </c>
      <c r="AC28" s="49">
        <f>資料儲存!D1100</f>
        <v>0</v>
      </c>
      <c r="AD28" s="49">
        <f>資料儲存!E1100</f>
        <v>0</v>
      </c>
      <c r="AE28" s="49">
        <f>資料儲存!F1100</f>
        <v>0</v>
      </c>
      <c r="AF28" s="49">
        <f>資料儲存!G1100</f>
        <v>0</v>
      </c>
      <c r="AG28" s="49">
        <f>資料儲存!H1100</f>
        <v>0</v>
      </c>
      <c r="AH28" s="49">
        <f>資料儲存!I1100</f>
        <v>0</v>
      </c>
      <c r="AI28" s="49">
        <f>資料儲存!J1100</f>
        <v>0</v>
      </c>
      <c r="AJ28" s="13"/>
      <c r="AK28" s="48">
        <v>19</v>
      </c>
      <c r="AL28" s="49">
        <f>資料儲存!D1220</f>
        <v>0</v>
      </c>
      <c r="AM28" s="49">
        <f>資料儲存!E1220</f>
        <v>0</v>
      </c>
      <c r="AN28" s="49">
        <f>資料儲存!F1220</f>
        <v>0</v>
      </c>
      <c r="AO28" s="49">
        <f>資料儲存!G1220</f>
        <v>0</v>
      </c>
      <c r="AP28" s="49">
        <f>資料儲存!H1220</f>
        <v>0</v>
      </c>
      <c r="AQ28" s="49">
        <f>資料儲存!I1220</f>
        <v>0</v>
      </c>
      <c r="AR28" s="49">
        <f>資料儲存!J1220</f>
        <v>0</v>
      </c>
      <c r="AT28" s="48">
        <v>19</v>
      </c>
      <c r="AU28" s="49">
        <f>資料儲存!D1340</f>
        <v>0</v>
      </c>
      <c r="AV28" s="49">
        <f>資料儲存!E1340</f>
        <v>0</v>
      </c>
      <c r="AW28" s="49">
        <f>資料儲存!F1340</f>
        <v>0</v>
      </c>
      <c r="AX28" s="49">
        <f>資料儲存!G1340</f>
        <v>0</v>
      </c>
      <c r="AY28" s="49">
        <f>資料儲存!H1340</f>
        <v>0</v>
      </c>
      <c r="AZ28" s="49">
        <f>資料儲存!I1340</f>
        <v>0</v>
      </c>
      <c r="BA28" s="49">
        <f>資料儲存!J1340</f>
        <v>0</v>
      </c>
    </row>
    <row r="29" spans="1:53" ht="16" thickBot="1">
      <c r="A29" s="48">
        <v>20</v>
      </c>
      <c r="B29" s="49">
        <f>資料儲存!D741</f>
        <v>0</v>
      </c>
      <c r="C29" s="49">
        <f>資料儲存!E741</f>
        <v>0</v>
      </c>
      <c r="D29" s="49">
        <f>資料儲存!F741</f>
        <v>0</v>
      </c>
      <c r="E29" s="49">
        <f>資料儲存!G741</f>
        <v>0</v>
      </c>
      <c r="F29" s="49">
        <f>資料儲存!H741</f>
        <v>0</v>
      </c>
      <c r="G29" s="49">
        <f>資料儲存!I741</f>
        <v>0</v>
      </c>
      <c r="H29" s="49">
        <f>資料儲存!J741</f>
        <v>0</v>
      </c>
      <c r="I29" s="45"/>
      <c r="J29" s="48">
        <v>20</v>
      </c>
      <c r="K29" s="49">
        <f>資料儲存!D861</f>
        <v>0</v>
      </c>
      <c r="L29" s="49">
        <f>資料儲存!E861</f>
        <v>0</v>
      </c>
      <c r="M29" s="49">
        <f>資料儲存!F861</f>
        <v>0</v>
      </c>
      <c r="N29" s="49">
        <f>資料儲存!G861</f>
        <v>0</v>
      </c>
      <c r="O29" s="49">
        <f>資料儲存!H861</f>
        <v>0</v>
      </c>
      <c r="P29" s="49">
        <f>資料儲存!I861</f>
        <v>0</v>
      </c>
      <c r="Q29" s="49">
        <f>資料儲存!J861</f>
        <v>0</v>
      </c>
      <c r="R29" s="45"/>
      <c r="S29" s="48">
        <v>20</v>
      </c>
      <c r="T29" s="49">
        <f>資料儲存!D981</f>
        <v>0</v>
      </c>
      <c r="U29" s="49">
        <f>資料儲存!E981</f>
        <v>0</v>
      </c>
      <c r="V29" s="49">
        <f>資料儲存!F981</f>
        <v>0</v>
      </c>
      <c r="W29" s="49">
        <f>資料儲存!G981</f>
        <v>0</v>
      </c>
      <c r="X29" s="49">
        <f>資料儲存!H981</f>
        <v>0</v>
      </c>
      <c r="Y29" s="49">
        <f>資料儲存!I981</f>
        <v>0</v>
      </c>
      <c r="Z29" s="49">
        <f>資料儲存!J981</f>
        <v>0</v>
      </c>
      <c r="AA29" s="45"/>
      <c r="AB29" s="48">
        <v>20</v>
      </c>
      <c r="AC29" s="49">
        <f>資料儲存!D1101</f>
        <v>0</v>
      </c>
      <c r="AD29" s="49">
        <f>資料儲存!E1101</f>
        <v>0</v>
      </c>
      <c r="AE29" s="49">
        <f>資料儲存!F1101</f>
        <v>0</v>
      </c>
      <c r="AF29" s="49">
        <f>資料儲存!G1101</f>
        <v>0</v>
      </c>
      <c r="AG29" s="49">
        <f>資料儲存!H1101</f>
        <v>0</v>
      </c>
      <c r="AH29" s="49">
        <f>資料儲存!I1101</f>
        <v>0</v>
      </c>
      <c r="AI29" s="49">
        <f>資料儲存!J1101</f>
        <v>0</v>
      </c>
      <c r="AJ29" s="13"/>
      <c r="AK29" s="48">
        <v>20</v>
      </c>
      <c r="AL29" s="49">
        <f>資料儲存!D1221</f>
        <v>0</v>
      </c>
      <c r="AM29" s="49">
        <f>資料儲存!E1221</f>
        <v>0</v>
      </c>
      <c r="AN29" s="49">
        <f>資料儲存!F1221</f>
        <v>0</v>
      </c>
      <c r="AO29" s="49">
        <f>資料儲存!G1221</f>
        <v>0</v>
      </c>
      <c r="AP29" s="49">
        <f>資料儲存!H1221</f>
        <v>0</v>
      </c>
      <c r="AQ29" s="49">
        <f>資料儲存!I1221</f>
        <v>0</v>
      </c>
      <c r="AR29" s="49">
        <f>資料儲存!J1221</f>
        <v>0</v>
      </c>
      <c r="AT29" s="48">
        <v>20</v>
      </c>
      <c r="AU29" s="49">
        <f>資料儲存!D1341</f>
        <v>0</v>
      </c>
      <c r="AV29" s="49">
        <f>資料儲存!E1341</f>
        <v>0</v>
      </c>
      <c r="AW29" s="49">
        <f>資料儲存!F1341</f>
        <v>0</v>
      </c>
      <c r="AX29" s="49">
        <f>資料儲存!G1341</f>
        <v>0</v>
      </c>
      <c r="AY29" s="49">
        <f>資料儲存!H1341</f>
        <v>0</v>
      </c>
      <c r="AZ29" s="49">
        <f>資料儲存!I1341</f>
        <v>0</v>
      </c>
      <c r="BA29" s="49">
        <f>資料儲存!J1341</f>
        <v>0</v>
      </c>
    </row>
    <row r="30" spans="1:53" ht="16" thickBot="1">
      <c r="A30" s="48">
        <v>21</v>
      </c>
      <c r="B30" s="49">
        <f>資料儲存!D742</f>
        <v>0</v>
      </c>
      <c r="C30" s="49">
        <f>資料儲存!E742</f>
        <v>0</v>
      </c>
      <c r="D30" s="49">
        <f>資料儲存!F742</f>
        <v>0</v>
      </c>
      <c r="E30" s="49">
        <f>資料儲存!G742</f>
        <v>0</v>
      </c>
      <c r="F30" s="49">
        <f>資料儲存!H742</f>
        <v>0</v>
      </c>
      <c r="G30" s="49">
        <f>資料儲存!I742</f>
        <v>0</v>
      </c>
      <c r="H30" s="49">
        <f>資料儲存!J742</f>
        <v>0</v>
      </c>
      <c r="I30" s="45"/>
      <c r="J30" s="48">
        <v>21</v>
      </c>
      <c r="K30" s="49">
        <f>資料儲存!D862</f>
        <v>0</v>
      </c>
      <c r="L30" s="49">
        <f>資料儲存!E862</f>
        <v>0</v>
      </c>
      <c r="M30" s="49">
        <f>資料儲存!F862</f>
        <v>0</v>
      </c>
      <c r="N30" s="49">
        <f>資料儲存!G862</f>
        <v>0</v>
      </c>
      <c r="O30" s="49">
        <f>資料儲存!H862</f>
        <v>0</v>
      </c>
      <c r="P30" s="49">
        <f>資料儲存!I862</f>
        <v>0</v>
      </c>
      <c r="Q30" s="49">
        <f>資料儲存!J862</f>
        <v>0</v>
      </c>
      <c r="R30" s="45"/>
      <c r="S30" s="48">
        <v>21</v>
      </c>
      <c r="T30" s="49">
        <f>資料儲存!D982</f>
        <v>0</v>
      </c>
      <c r="U30" s="49">
        <f>資料儲存!E982</f>
        <v>0</v>
      </c>
      <c r="V30" s="49">
        <f>資料儲存!F982</f>
        <v>0</v>
      </c>
      <c r="W30" s="49">
        <f>資料儲存!G982</f>
        <v>0</v>
      </c>
      <c r="X30" s="49">
        <f>資料儲存!H982</f>
        <v>0</v>
      </c>
      <c r="Y30" s="49">
        <f>資料儲存!I982</f>
        <v>0</v>
      </c>
      <c r="Z30" s="49">
        <f>資料儲存!J982</f>
        <v>0</v>
      </c>
      <c r="AA30" s="45"/>
      <c r="AB30" s="48">
        <v>21</v>
      </c>
      <c r="AC30" s="49">
        <f>資料儲存!D1102</f>
        <v>0</v>
      </c>
      <c r="AD30" s="49">
        <f>資料儲存!E1102</f>
        <v>0</v>
      </c>
      <c r="AE30" s="49">
        <f>資料儲存!F1102</f>
        <v>0</v>
      </c>
      <c r="AF30" s="49">
        <f>資料儲存!G1102</f>
        <v>0</v>
      </c>
      <c r="AG30" s="49">
        <f>資料儲存!H1102</f>
        <v>0</v>
      </c>
      <c r="AH30" s="49">
        <f>資料儲存!I1102</f>
        <v>0</v>
      </c>
      <c r="AI30" s="49">
        <f>資料儲存!J1102</f>
        <v>0</v>
      </c>
      <c r="AJ30" s="13"/>
      <c r="AK30" s="48">
        <v>21</v>
      </c>
      <c r="AL30" s="49">
        <f>資料儲存!D1222</f>
        <v>0</v>
      </c>
      <c r="AM30" s="49">
        <f>資料儲存!E1222</f>
        <v>0</v>
      </c>
      <c r="AN30" s="49">
        <f>資料儲存!F1222</f>
        <v>0</v>
      </c>
      <c r="AO30" s="49">
        <f>資料儲存!G1222</f>
        <v>0</v>
      </c>
      <c r="AP30" s="49">
        <f>資料儲存!H1222</f>
        <v>0</v>
      </c>
      <c r="AQ30" s="49">
        <f>資料儲存!I1222</f>
        <v>0</v>
      </c>
      <c r="AR30" s="49">
        <f>資料儲存!J1222</f>
        <v>0</v>
      </c>
      <c r="AT30" s="48">
        <v>21</v>
      </c>
      <c r="AU30" s="49">
        <f>資料儲存!D1342</f>
        <v>0</v>
      </c>
      <c r="AV30" s="49">
        <f>資料儲存!E1342</f>
        <v>0</v>
      </c>
      <c r="AW30" s="49">
        <f>資料儲存!F1342</f>
        <v>0</v>
      </c>
      <c r="AX30" s="49">
        <f>資料儲存!G1342</f>
        <v>0</v>
      </c>
      <c r="AY30" s="49">
        <f>資料儲存!H1342</f>
        <v>0</v>
      </c>
      <c r="AZ30" s="49">
        <f>資料儲存!I1342</f>
        <v>0</v>
      </c>
      <c r="BA30" s="49">
        <f>資料儲存!J1342</f>
        <v>0</v>
      </c>
    </row>
    <row r="31" spans="1:53" ht="16" thickBot="1">
      <c r="A31" s="48">
        <v>22</v>
      </c>
      <c r="B31" s="49">
        <f>資料儲存!D743</f>
        <v>0</v>
      </c>
      <c r="C31" s="49">
        <f>資料儲存!E743</f>
        <v>0</v>
      </c>
      <c r="D31" s="49">
        <f>資料儲存!F743</f>
        <v>0</v>
      </c>
      <c r="E31" s="49">
        <f>資料儲存!G743</f>
        <v>0</v>
      </c>
      <c r="F31" s="49">
        <f>資料儲存!H743</f>
        <v>0</v>
      </c>
      <c r="G31" s="49">
        <f>資料儲存!I743</f>
        <v>0</v>
      </c>
      <c r="H31" s="49">
        <f>資料儲存!J743</f>
        <v>0</v>
      </c>
      <c r="I31" s="45"/>
      <c r="J31" s="48">
        <v>22</v>
      </c>
      <c r="K31" s="49">
        <f>資料儲存!D863</f>
        <v>0</v>
      </c>
      <c r="L31" s="49">
        <f>資料儲存!E863</f>
        <v>0</v>
      </c>
      <c r="M31" s="49">
        <f>資料儲存!F863</f>
        <v>0</v>
      </c>
      <c r="N31" s="49">
        <f>資料儲存!G863</f>
        <v>0</v>
      </c>
      <c r="O31" s="49">
        <f>資料儲存!H863</f>
        <v>0</v>
      </c>
      <c r="P31" s="49">
        <f>資料儲存!I863</f>
        <v>0</v>
      </c>
      <c r="Q31" s="49">
        <f>資料儲存!J863</f>
        <v>0</v>
      </c>
      <c r="R31" s="45"/>
      <c r="S31" s="48">
        <v>22</v>
      </c>
      <c r="T31" s="49">
        <f>資料儲存!D983</f>
        <v>0</v>
      </c>
      <c r="U31" s="49">
        <f>資料儲存!E983</f>
        <v>0</v>
      </c>
      <c r="V31" s="49">
        <f>資料儲存!F983</f>
        <v>0</v>
      </c>
      <c r="W31" s="49">
        <f>資料儲存!G983</f>
        <v>0</v>
      </c>
      <c r="X31" s="49">
        <f>資料儲存!H983</f>
        <v>0</v>
      </c>
      <c r="Y31" s="49">
        <f>資料儲存!I983</f>
        <v>0</v>
      </c>
      <c r="Z31" s="49">
        <f>資料儲存!J983</f>
        <v>0</v>
      </c>
      <c r="AA31" s="45"/>
      <c r="AB31" s="48">
        <v>22</v>
      </c>
      <c r="AC31" s="49">
        <f>資料儲存!D1103</f>
        <v>0</v>
      </c>
      <c r="AD31" s="49">
        <f>資料儲存!E1103</f>
        <v>0</v>
      </c>
      <c r="AE31" s="49">
        <f>資料儲存!F1103</f>
        <v>0</v>
      </c>
      <c r="AF31" s="49">
        <f>資料儲存!G1103</f>
        <v>0</v>
      </c>
      <c r="AG31" s="49">
        <f>資料儲存!H1103</f>
        <v>0</v>
      </c>
      <c r="AH31" s="49">
        <f>資料儲存!I1103</f>
        <v>0</v>
      </c>
      <c r="AI31" s="49">
        <f>資料儲存!J1103</f>
        <v>0</v>
      </c>
      <c r="AJ31" s="13"/>
      <c r="AK31" s="48">
        <v>22</v>
      </c>
      <c r="AL31" s="49">
        <f>資料儲存!D1223</f>
        <v>0</v>
      </c>
      <c r="AM31" s="49">
        <f>資料儲存!E1223</f>
        <v>0</v>
      </c>
      <c r="AN31" s="49">
        <f>資料儲存!F1223</f>
        <v>0</v>
      </c>
      <c r="AO31" s="49">
        <f>資料儲存!G1223</f>
        <v>0</v>
      </c>
      <c r="AP31" s="49">
        <f>資料儲存!H1223</f>
        <v>0</v>
      </c>
      <c r="AQ31" s="49">
        <f>資料儲存!I1223</f>
        <v>0</v>
      </c>
      <c r="AR31" s="49">
        <f>資料儲存!J1223</f>
        <v>0</v>
      </c>
      <c r="AT31" s="48">
        <v>22</v>
      </c>
      <c r="AU31" s="49">
        <f>資料儲存!D1343</f>
        <v>0</v>
      </c>
      <c r="AV31" s="49">
        <f>資料儲存!E1343</f>
        <v>0</v>
      </c>
      <c r="AW31" s="49">
        <f>資料儲存!F1343</f>
        <v>0</v>
      </c>
      <c r="AX31" s="49">
        <f>資料儲存!G1343</f>
        <v>0</v>
      </c>
      <c r="AY31" s="49">
        <f>資料儲存!H1343</f>
        <v>0</v>
      </c>
      <c r="AZ31" s="49">
        <f>資料儲存!I1343</f>
        <v>0</v>
      </c>
      <c r="BA31" s="49">
        <f>資料儲存!J1343</f>
        <v>0</v>
      </c>
    </row>
    <row r="32" spans="1:53" ht="16" thickBot="1">
      <c r="A32" s="48">
        <v>23</v>
      </c>
      <c r="B32" s="49">
        <f>資料儲存!D744</f>
        <v>0</v>
      </c>
      <c r="C32" s="49">
        <f>資料儲存!E744</f>
        <v>0</v>
      </c>
      <c r="D32" s="49">
        <f>資料儲存!F744</f>
        <v>0</v>
      </c>
      <c r="E32" s="49">
        <f>資料儲存!G744</f>
        <v>0</v>
      </c>
      <c r="F32" s="49">
        <f>資料儲存!H744</f>
        <v>0</v>
      </c>
      <c r="G32" s="49">
        <f>資料儲存!I744</f>
        <v>0</v>
      </c>
      <c r="H32" s="49">
        <f>資料儲存!J744</f>
        <v>0</v>
      </c>
      <c r="I32" s="45"/>
      <c r="J32" s="48">
        <v>23</v>
      </c>
      <c r="K32" s="49">
        <f>資料儲存!D864</f>
        <v>0</v>
      </c>
      <c r="L32" s="49">
        <f>資料儲存!E864</f>
        <v>0</v>
      </c>
      <c r="M32" s="49">
        <f>資料儲存!F864</f>
        <v>0</v>
      </c>
      <c r="N32" s="49">
        <f>資料儲存!G864</f>
        <v>0</v>
      </c>
      <c r="O32" s="49">
        <f>資料儲存!H864</f>
        <v>0</v>
      </c>
      <c r="P32" s="49">
        <f>資料儲存!I864</f>
        <v>0</v>
      </c>
      <c r="Q32" s="49">
        <f>資料儲存!J864</f>
        <v>0</v>
      </c>
      <c r="R32" s="45"/>
      <c r="S32" s="48">
        <v>23</v>
      </c>
      <c r="T32" s="49">
        <f>資料儲存!D984</f>
        <v>0</v>
      </c>
      <c r="U32" s="49">
        <f>資料儲存!E984</f>
        <v>0</v>
      </c>
      <c r="V32" s="49">
        <f>資料儲存!F984</f>
        <v>0</v>
      </c>
      <c r="W32" s="49">
        <f>資料儲存!G984</f>
        <v>0</v>
      </c>
      <c r="X32" s="49">
        <f>資料儲存!H984</f>
        <v>0</v>
      </c>
      <c r="Y32" s="49">
        <f>資料儲存!I984</f>
        <v>0</v>
      </c>
      <c r="Z32" s="49">
        <f>資料儲存!J984</f>
        <v>0</v>
      </c>
      <c r="AA32" s="45"/>
      <c r="AB32" s="48">
        <v>23</v>
      </c>
      <c r="AC32" s="49">
        <f>資料儲存!D1104</f>
        <v>0</v>
      </c>
      <c r="AD32" s="49">
        <f>資料儲存!E1104</f>
        <v>0</v>
      </c>
      <c r="AE32" s="49">
        <f>資料儲存!F1104</f>
        <v>0</v>
      </c>
      <c r="AF32" s="49">
        <f>資料儲存!G1104</f>
        <v>0</v>
      </c>
      <c r="AG32" s="49">
        <f>資料儲存!H1104</f>
        <v>0</v>
      </c>
      <c r="AH32" s="49">
        <f>資料儲存!I1104</f>
        <v>0</v>
      </c>
      <c r="AI32" s="49">
        <f>資料儲存!J1104</f>
        <v>0</v>
      </c>
      <c r="AJ32" s="13"/>
      <c r="AK32" s="48">
        <v>23</v>
      </c>
      <c r="AL32" s="49">
        <f>資料儲存!D1224</f>
        <v>0</v>
      </c>
      <c r="AM32" s="49">
        <f>資料儲存!E1224</f>
        <v>0</v>
      </c>
      <c r="AN32" s="49">
        <f>資料儲存!F1224</f>
        <v>0</v>
      </c>
      <c r="AO32" s="49">
        <f>資料儲存!G1224</f>
        <v>0</v>
      </c>
      <c r="AP32" s="49">
        <f>資料儲存!H1224</f>
        <v>0</v>
      </c>
      <c r="AQ32" s="49">
        <f>資料儲存!I1224</f>
        <v>0</v>
      </c>
      <c r="AR32" s="49">
        <f>資料儲存!J1224</f>
        <v>0</v>
      </c>
      <c r="AT32" s="48">
        <v>23</v>
      </c>
      <c r="AU32" s="49">
        <f>資料儲存!D1344</f>
        <v>0</v>
      </c>
      <c r="AV32" s="49">
        <f>資料儲存!E1344</f>
        <v>0</v>
      </c>
      <c r="AW32" s="49">
        <f>資料儲存!F1344</f>
        <v>0</v>
      </c>
      <c r="AX32" s="49">
        <f>資料儲存!G1344</f>
        <v>0</v>
      </c>
      <c r="AY32" s="49">
        <f>資料儲存!H1344</f>
        <v>0</v>
      </c>
      <c r="AZ32" s="49">
        <f>資料儲存!I1344</f>
        <v>0</v>
      </c>
      <c r="BA32" s="49">
        <f>資料儲存!J1344</f>
        <v>0</v>
      </c>
    </row>
    <row r="33" spans="1:53" ht="16" thickBot="1">
      <c r="A33" s="48">
        <v>24</v>
      </c>
      <c r="B33" s="49">
        <f>資料儲存!D745</f>
        <v>0</v>
      </c>
      <c r="C33" s="49">
        <f>資料儲存!E745</f>
        <v>0</v>
      </c>
      <c r="D33" s="49">
        <f>資料儲存!F745</f>
        <v>0</v>
      </c>
      <c r="E33" s="49">
        <f>資料儲存!G745</f>
        <v>0</v>
      </c>
      <c r="F33" s="49">
        <f>資料儲存!H745</f>
        <v>0</v>
      </c>
      <c r="G33" s="49">
        <f>資料儲存!I745</f>
        <v>0</v>
      </c>
      <c r="H33" s="49">
        <f>資料儲存!J745</f>
        <v>0</v>
      </c>
      <c r="I33" s="45"/>
      <c r="J33" s="48">
        <v>24</v>
      </c>
      <c r="K33" s="49">
        <f>資料儲存!D865</f>
        <v>0</v>
      </c>
      <c r="L33" s="49">
        <f>資料儲存!E865</f>
        <v>0</v>
      </c>
      <c r="M33" s="49">
        <f>資料儲存!F865</f>
        <v>0</v>
      </c>
      <c r="N33" s="49">
        <f>資料儲存!G865</f>
        <v>0</v>
      </c>
      <c r="O33" s="49">
        <f>資料儲存!H865</f>
        <v>0</v>
      </c>
      <c r="P33" s="49">
        <f>資料儲存!I865</f>
        <v>0</v>
      </c>
      <c r="Q33" s="49">
        <f>資料儲存!J865</f>
        <v>0</v>
      </c>
      <c r="R33" s="45"/>
      <c r="S33" s="48">
        <v>24</v>
      </c>
      <c r="T33" s="49">
        <f>資料儲存!D985</f>
        <v>0</v>
      </c>
      <c r="U33" s="49">
        <f>資料儲存!E985</f>
        <v>0</v>
      </c>
      <c r="V33" s="49">
        <f>資料儲存!F985</f>
        <v>0</v>
      </c>
      <c r="W33" s="49">
        <f>資料儲存!G985</f>
        <v>0</v>
      </c>
      <c r="X33" s="49">
        <f>資料儲存!H985</f>
        <v>0</v>
      </c>
      <c r="Y33" s="49">
        <f>資料儲存!I985</f>
        <v>0</v>
      </c>
      <c r="Z33" s="49">
        <f>資料儲存!J985</f>
        <v>0</v>
      </c>
      <c r="AA33" s="45"/>
      <c r="AB33" s="48">
        <v>24</v>
      </c>
      <c r="AC33" s="49">
        <f>資料儲存!D1105</f>
        <v>0</v>
      </c>
      <c r="AD33" s="49">
        <f>資料儲存!E1105</f>
        <v>0</v>
      </c>
      <c r="AE33" s="49">
        <f>資料儲存!F1105</f>
        <v>0</v>
      </c>
      <c r="AF33" s="49">
        <f>資料儲存!G1105</f>
        <v>0</v>
      </c>
      <c r="AG33" s="49">
        <f>資料儲存!H1105</f>
        <v>0</v>
      </c>
      <c r="AH33" s="49">
        <f>資料儲存!I1105</f>
        <v>0</v>
      </c>
      <c r="AI33" s="49">
        <f>資料儲存!J1105</f>
        <v>0</v>
      </c>
      <c r="AJ33" s="13"/>
      <c r="AK33" s="48">
        <v>24</v>
      </c>
      <c r="AL33" s="49">
        <f>資料儲存!D1225</f>
        <v>0</v>
      </c>
      <c r="AM33" s="49">
        <f>資料儲存!E1225</f>
        <v>0</v>
      </c>
      <c r="AN33" s="49">
        <f>資料儲存!F1225</f>
        <v>0</v>
      </c>
      <c r="AO33" s="49">
        <f>資料儲存!G1225</f>
        <v>0</v>
      </c>
      <c r="AP33" s="49">
        <f>資料儲存!H1225</f>
        <v>0</v>
      </c>
      <c r="AQ33" s="49">
        <f>資料儲存!I1225</f>
        <v>0</v>
      </c>
      <c r="AR33" s="49">
        <f>資料儲存!J1225</f>
        <v>0</v>
      </c>
      <c r="AT33" s="48">
        <v>24</v>
      </c>
      <c r="AU33" s="49">
        <f>資料儲存!D1345</f>
        <v>0</v>
      </c>
      <c r="AV33" s="49">
        <f>資料儲存!E1345</f>
        <v>0</v>
      </c>
      <c r="AW33" s="49">
        <f>資料儲存!F1345</f>
        <v>0</v>
      </c>
      <c r="AX33" s="49">
        <f>資料儲存!G1345</f>
        <v>0</v>
      </c>
      <c r="AY33" s="49">
        <f>資料儲存!H1345</f>
        <v>0</v>
      </c>
      <c r="AZ33" s="49">
        <f>資料儲存!I1345</f>
        <v>0</v>
      </c>
      <c r="BA33" s="49">
        <f>資料儲存!J1345</f>
        <v>0</v>
      </c>
    </row>
    <row r="34" spans="1:53" ht="16" thickBot="1">
      <c r="A34" s="48">
        <v>25</v>
      </c>
      <c r="B34" s="49">
        <f>資料儲存!D746</f>
        <v>0</v>
      </c>
      <c r="C34" s="49">
        <f>資料儲存!E746</f>
        <v>0</v>
      </c>
      <c r="D34" s="49">
        <f>資料儲存!F746</f>
        <v>0</v>
      </c>
      <c r="E34" s="49">
        <f>資料儲存!G746</f>
        <v>0</v>
      </c>
      <c r="F34" s="49">
        <f>資料儲存!H746</f>
        <v>0</v>
      </c>
      <c r="G34" s="49">
        <f>資料儲存!I746</f>
        <v>0</v>
      </c>
      <c r="H34" s="49">
        <f>資料儲存!J746</f>
        <v>0</v>
      </c>
      <c r="I34" s="45"/>
      <c r="J34" s="48">
        <v>25</v>
      </c>
      <c r="K34" s="49">
        <f>資料儲存!D866</f>
        <v>0</v>
      </c>
      <c r="L34" s="49">
        <f>資料儲存!E866</f>
        <v>0</v>
      </c>
      <c r="M34" s="49">
        <f>資料儲存!F866</f>
        <v>0</v>
      </c>
      <c r="N34" s="49">
        <f>資料儲存!G866</f>
        <v>0</v>
      </c>
      <c r="O34" s="49">
        <f>資料儲存!H866</f>
        <v>0</v>
      </c>
      <c r="P34" s="49">
        <f>資料儲存!I866</f>
        <v>0</v>
      </c>
      <c r="Q34" s="49">
        <f>資料儲存!J866</f>
        <v>0</v>
      </c>
      <c r="R34" s="45"/>
      <c r="S34" s="48">
        <v>25</v>
      </c>
      <c r="T34" s="49">
        <f>資料儲存!D986</f>
        <v>0</v>
      </c>
      <c r="U34" s="49">
        <f>資料儲存!E986</f>
        <v>0</v>
      </c>
      <c r="V34" s="49">
        <f>資料儲存!F986</f>
        <v>0</v>
      </c>
      <c r="W34" s="49">
        <f>資料儲存!G986</f>
        <v>0</v>
      </c>
      <c r="X34" s="49">
        <f>資料儲存!H986</f>
        <v>0</v>
      </c>
      <c r="Y34" s="49">
        <f>資料儲存!I986</f>
        <v>0</v>
      </c>
      <c r="Z34" s="49">
        <f>資料儲存!J986</f>
        <v>0</v>
      </c>
      <c r="AA34" s="45"/>
      <c r="AB34" s="48">
        <v>25</v>
      </c>
      <c r="AC34" s="49">
        <f>資料儲存!D1106</f>
        <v>0</v>
      </c>
      <c r="AD34" s="49">
        <f>資料儲存!E1106</f>
        <v>0</v>
      </c>
      <c r="AE34" s="49">
        <f>資料儲存!F1106</f>
        <v>0</v>
      </c>
      <c r="AF34" s="49">
        <f>資料儲存!G1106</f>
        <v>0</v>
      </c>
      <c r="AG34" s="49">
        <f>資料儲存!H1106</f>
        <v>0</v>
      </c>
      <c r="AH34" s="49">
        <f>資料儲存!I1106</f>
        <v>0</v>
      </c>
      <c r="AI34" s="49">
        <f>資料儲存!J1106</f>
        <v>0</v>
      </c>
      <c r="AJ34" s="13"/>
      <c r="AK34" s="48">
        <v>25</v>
      </c>
      <c r="AL34" s="49">
        <f>資料儲存!D1226</f>
        <v>0</v>
      </c>
      <c r="AM34" s="49">
        <f>資料儲存!E1226</f>
        <v>0</v>
      </c>
      <c r="AN34" s="49">
        <f>資料儲存!F1226</f>
        <v>0</v>
      </c>
      <c r="AO34" s="49">
        <f>資料儲存!G1226</f>
        <v>0</v>
      </c>
      <c r="AP34" s="49">
        <f>資料儲存!H1226</f>
        <v>0</v>
      </c>
      <c r="AQ34" s="49">
        <f>資料儲存!I1226</f>
        <v>0</v>
      </c>
      <c r="AR34" s="49">
        <f>資料儲存!J1226</f>
        <v>0</v>
      </c>
      <c r="AT34" s="48">
        <v>25</v>
      </c>
      <c r="AU34" s="49">
        <f>資料儲存!D1346</f>
        <v>0</v>
      </c>
      <c r="AV34" s="49">
        <f>資料儲存!E1346</f>
        <v>0</v>
      </c>
      <c r="AW34" s="49">
        <f>資料儲存!F1346</f>
        <v>0</v>
      </c>
      <c r="AX34" s="49">
        <f>資料儲存!G1346</f>
        <v>0</v>
      </c>
      <c r="AY34" s="49">
        <f>資料儲存!H1346</f>
        <v>0</v>
      </c>
      <c r="AZ34" s="49">
        <f>資料儲存!I1346</f>
        <v>0</v>
      </c>
      <c r="BA34" s="49">
        <f>資料儲存!J1346</f>
        <v>0</v>
      </c>
    </row>
    <row r="35" spans="1:53" ht="16" thickBot="1">
      <c r="A35" s="48">
        <v>26</v>
      </c>
      <c r="B35" s="49">
        <f>資料儲存!D747</f>
        <v>0</v>
      </c>
      <c r="C35" s="49">
        <f>資料儲存!E747</f>
        <v>0</v>
      </c>
      <c r="D35" s="49">
        <f>資料儲存!F747</f>
        <v>0</v>
      </c>
      <c r="E35" s="49">
        <f>資料儲存!G747</f>
        <v>0</v>
      </c>
      <c r="F35" s="49">
        <f>資料儲存!H747</f>
        <v>0</v>
      </c>
      <c r="G35" s="49">
        <f>資料儲存!I747</f>
        <v>0</v>
      </c>
      <c r="H35" s="49">
        <f>資料儲存!J747</f>
        <v>0</v>
      </c>
      <c r="I35" s="45"/>
      <c r="J35" s="48">
        <v>26</v>
      </c>
      <c r="K35" s="49">
        <f>資料儲存!D867</f>
        <v>0</v>
      </c>
      <c r="L35" s="49">
        <f>資料儲存!E867</f>
        <v>0</v>
      </c>
      <c r="M35" s="49">
        <f>資料儲存!F867</f>
        <v>0</v>
      </c>
      <c r="N35" s="49">
        <f>資料儲存!G867</f>
        <v>0</v>
      </c>
      <c r="O35" s="49">
        <f>資料儲存!H867</f>
        <v>0</v>
      </c>
      <c r="P35" s="49">
        <f>資料儲存!I867</f>
        <v>0</v>
      </c>
      <c r="Q35" s="49">
        <f>資料儲存!J867</f>
        <v>0</v>
      </c>
      <c r="R35" s="45"/>
      <c r="S35" s="48">
        <v>26</v>
      </c>
      <c r="T35" s="49">
        <f>資料儲存!D987</f>
        <v>0</v>
      </c>
      <c r="U35" s="49">
        <f>資料儲存!E987</f>
        <v>0</v>
      </c>
      <c r="V35" s="49">
        <f>資料儲存!F987</f>
        <v>0</v>
      </c>
      <c r="W35" s="49">
        <f>資料儲存!G987</f>
        <v>0</v>
      </c>
      <c r="X35" s="49">
        <f>資料儲存!H987</f>
        <v>0</v>
      </c>
      <c r="Y35" s="49">
        <f>資料儲存!I987</f>
        <v>0</v>
      </c>
      <c r="Z35" s="49">
        <f>資料儲存!J987</f>
        <v>0</v>
      </c>
      <c r="AA35" s="45"/>
      <c r="AB35" s="48">
        <v>26</v>
      </c>
      <c r="AC35" s="49">
        <f>資料儲存!D1107</f>
        <v>0</v>
      </c>
      <c r="AD35" s="49">
        <f>資料儲存!E1107</f>
        <v>0</v>
      </c>
      <c r="AE35" s="49">
        <f>資料儲存!F1107</f>
        <v>0</v>
      </c>
      <c r="AF35" s="49">
        <f>資料儲存!G1107</f>
        <v>0</v>
      </c>
      <c r="AG35" s="49">
        <f>資料儲存!H1107</f>
        <v>0</v>
      </c>
      <c r="AH35" s="49">
        <f>資料儲存!I1107</f>
        <v>0</v>
      </c>
      <c r="AI35" s="49">
        <f>資料儲存!J1107</f>
        <v>0</v>
      </c>
      <c r="AJ35" s="13"/>
      <c r="AK35" s="48">
        <v>26</v>
      </c>
      <c r="AL35" s="49">
        <f>資料儲存!D1227</f>
        <v>0</v>
      </c>
      <c r="AM35" s="49">
        <f>資料儲存!E1227</f>
        <v>0</v>
      </c>
      <c r="AN35" s="49">
        <f>資料儲存!F1227</f>
        <v>0</v>
      </c>
      <c r="AO35" s="49">
        <f>資料儲存!G1227</f>
        <v>0</v>
      </c>
      <c r="AP35" s="49">
        <f>資料儲存!H1227</f>
        <v>0</v>
      </c>
      <c r="AQ35" s="49">
        <f>資料儲存!I1227</f>
        <v>0</v>
      </c>
      <c r="AR35" s="49">
        <f>資料儲存!J1227</f>
        <v>0</v>
      </c>
      <c r="AT35" s="48">
        <v>26</v>
      </c>
      <c r="AU35" s="49">
        <f>資料儲存!D1347</f>
        <v>0</v>
      </c>
      <c r="AV35" s="49">
        <f>資料儲存!E1347</f>
        <v>0</v>
      </c>
      <c r="AW35" s="49">
        <f>資料儲存!F1347</f>
        <v>0</v>
      </c>
      <c r="AX35" s="49">
        <f>資料儲存!G1347</f>
        <v>0</v>
      </c>
      <c r="AY35" s="49">
        <f>資料儲存!H1347</f>
        <v>0</v>
      </c>
      <c r="AZ35" s="49">
        <f>資料儲存!I1347</f>
        <v>0</v>
      </c>
      <c r="BA35" s="49">
        <f>資料儲存!J1347</f>
        <v>0</v>
      </c>
    </row>
    <row r="36" spans="1:53" ht="16" thickBot="1">
      <c r="A36" s="48">
        <v>27</v>
      </c>
      <c r="B36" s="49">
        <f>資料儲存!D748</f>
        <v>0</v>
      </c>
      <c r="C36" s="49">
        <f>資料儲存!E748</f>
        <v>0</v>
      </c>
      <c r="D36" s="49">
        <f>資料儲存!F748</f>
        <v>0</v>
      </c>
      <c r="E36" s="49">
        <f>資料儲存!G748</f>
        <v>0</v>
      </c>
      <c r="F36" s="49">
        <f>資料儲存!H748</f>
        <v>0</v>
      </c>
      <c r="G36" s="49">
        <f>資料儲存!I748</f>
        <v>0</v>
      </c>
      <c r="H36" s="49">
        <f>資料儲存!J748</f>
        <v>0</v>
      </c>
      <c r="I36" s="45"/>
      <c r="J36" s="48">
        <v>27</v>
      </c>
      <c r="K36" s="49">
        <f>資料儲存!D868</f>
        <v>0</v>
      </c>
      <c r="L36" s="49">
        <f>資料儲存!E868</f>
        <v>0</v>
      </c>
      <c r="M36" s="49">
        <f>資料儲存!F868</f>
        <v>0</v>
      </c>
      <c r="N36" s="49">
        <f>資料儲存!G868</f>
        <v>0</v>
      </c>
      <c r="O36" s="49">
        <f>資料儲存!H868</f>
        <v>0</v>
      </c>
      <c r="P36" s="49">
        <f>資料儲存!I868</f>
        <v>0</v>
      </c>
      <c r="Q36" s="49">
        <f>資料儲存!J868</f>
        <v>0</v>
      </c>
      <c r="R36" s="45"/>
      <c r="S36" s="48">
        <v>27</v>
      </c>
      <c r="T36" s="49">
        <f>資料儲存!D988</f>
        <v>0</v>
      </c>
      <c r="U36" s="49">
        <f>資料儲存!E988</f>
        <v>0</v>
      </c>
      <c r="V36" s="49">
        <f>資料儲存!F988</f>
        <v>0</v>
      </c>
      <c r="W36" s="49">
        <f>資料儲存!G988</f>
        <v>0</v>
      </c>
      <c r="X36" s="49">
        <f>資料儲存!H988</f>
        <v>0</v>
      </c>
      <c r="Y36" s="49">
        <f>資料儲存!I988</f>
        <v>0</v>
      </c>
      <c r="Z36" s="49">
        <f>資料儲存!J988</f>
        <v>0</v>
      </c>
      <c r="AA36" s="45"/>
      <c r="AB36" s="48">
        <v>27</v>
      </c>
      <c r="AC36" s="49">
        <f>資料儲存!D1108</f>
        <v>0</v>
      </c>
      <c r="AD36" s="49">
        <f>資料儲存!E1108</f>
        <v>0</v>
      </c>
      <c r="AE36" s="49">
        <f>資料儲存!F1108</f>
        <v>0</v>
      </c>
      <c r="AF36" s="49">
        <f>資料儲存!G1108</f>
        <v>0</v>
      </c>
      <c r="AG36" s="49">
        <f>資料儲存!H1108</f>
        <v>0</v>
      </c>
      <c r="AH36" s="49">
        <f>資料儲存!I1108</f>
        <v>0</v>
      </c>
      <c r="AI36" s="49">
        <f>資料儲存!J1108</f>
        <v>0</v>
      </c>
      <c r="AJ36" s="13"/>
      <c r="AK36" s="48">
        <v>27</v>
      </c>
      <c r="AL36" s="49">
        <f>資料儲存!D1228</f>
        <v>0</v>
      </c>
      <c r="AM36" s="49">
        <f>資料儲存!E1228</f>
        <v>0</v>
      </c>
      <c r="AN36" s="49">
        <f>資料儲存!F1228</f>
        <v>0</v>
      </c>
      <c r="AO36" s="49">
        <f>資料儲存!G1228</f>
        <v>0</v>
      </c>
      <c r="AP36" s="49">
        <f>資料儲存!H1228</f>
        <v>0</v>
      </c>
      <c r="AQ36" s="49">
        <f>資料儲存!I1228</f>
        <v>0</v>
      </c>
      <c r="AR36" s="49">
        <f>資料儲存!J1228</f>
        <v>0</v>
      </c>
      <c r="AT36" s="48">
        <v>27</v>
      </c>
      <c r="AU36" s="49">
        <f>資料儲存!D1348</f>
        <v>0</v>
      </c>
      <c r="AV36" s="49">
        <f>資料儲存!E1348</f>
        <v>0</v>
      </c>
      <c r="AW36" s="49">
        <f>資料儲存!F1348</f>
        <v>0</v>
      </c>
      <c r="AX36" s="49">
        <f>資料儲存!G1348</f>
        <v>0</v>
      </c>
      <c r="AY36" s="49">
        <f>資料儲存!H1348</f>
        <v>0</v>
      </c>
      <c r="AZ36" s="49">
        <f>資料儲存!I1348</f>
        <v>0</v>
      </c>
      <c r="BA36" s="49">
        <f>資料儲存!J1348</f>
        <v>0</v>
      </c>
    </row>
    <row r="37" spans="1:53" ht="16" thickBot="1">
      <c r="A37" s="48">
        <v>28</v>
      </c>
      <c r="B37" s="49">
        <f>資料儲存!D749</f>
        <v>0</v>
      </c>
      <c r="C37" s="49">
        <f>資料儲存!E749</f>
        <v>0</v>
      </c>
      <c r="D37" s="49">
        <f>資料儲存!F749</f>
        <v>0</v>
      </c>
      <c r="E37" s="49">
        <f>資料儲存!G749</f>
        <v>0</v>
      </c>
      <c r="F37" s="49">
        <f>資料儲存!H749</f>
        <v>0</v>
      </c>
      <c r="G37" s="49">
        <f>資料儲存!I749</f>
        <v>0</v>
      </c>
      <c r="H37" s="49">
        <f>資料儲存!J749</f>
        <v>0</v>
      </c>
      <c r="I37" s="45"/>
      <c r="J37" s="48">
        <v>28</v>
      </c>
      <c r="K37" s="49">
        <f>資料儲存!D869</f>
        <v>0</v>
      </c>
      <c r="L37" s="49">
        <f>資料儲存!E869</f>
        <v>0</v>
      </c>
      <c r="M37" s="49">
        <f>資料儲存!F869</f>
        <v>0</v>
      </c>
      <c r="N37" s="49">
        <f>資料儲存!G869</f>
        <v>0</v>
      </c>
      <c r="O37" s="49">
        <f>資料儲存!H869</f>
        <v>0</v>
      </c>
      <c r="P37" s="49">
        <f>資料儲存!I869</f>
        <v>0</v>
      </c>
      <c r="Q37" s="49">
        <f>資料儲存!J869</f>
        <v>0</v>
      </c>
      <c r="R37" s="45"/>
      <c r="S37" s="48">
        <v>28</v>
      </c>
      <c r="T37" s="49">
        <f>資料儲存!D989</f>
        <v>0</v>
      </c>
      <c r="U37" s="49">
        <f>資料儲存!E989</f>
        <v>0</v>
      </c>
      <c r="V37" s="49">
        <f>資料儲存!F989</f>
        <v>0</v>
      </c>
      <c r="W37" s="49">
        <f>資料儲存!G989</f>
        <v>0</v>
      </c>
      <c r="X37" s="49">
        <f>資料儲存!H989</f>
        <v>0</v>
      </c>
      <c r="Y37" s="49">
        <f>資料儲存!I989</f>
        <v>0</v>
      </c>
      <c r="Z37" s="49">
        <f>資料儲存!J989</f>
        <v>0</v>
      </c>
      <c r="AA37" s="45"/>
      <c r="AB37" s="48">
        <v>28</v>
      </c>
      <c r="AC37" s="49">
        <f>資料儲存!D1109</f>
        <v>0</v>
      </c>
      <c r="AD37" s="49">
        <f>資料儲存!E1109</f>
        <v>0</v>
      </c>
      <c r="AE37" s="49">
        <f>資料儲存!F1109</f>
        <v>0</v>
      </c>
      <c r="AF37" s="49">
        <f>資料儲存!G1109</f>
        <v>0</v>
      </c>
      <c r="AG37" s="49">
        <f>資料儲存!H1109</f>
        <v>0</v>
      </c>
      <c r="AH37" s="49">
        <f>資料儲存!I1109</f>
        <v>0</v>
      </c>
      <c r="AI37" s="49">
        <f>資料儲存!J1109</f>
        <v>0</v>
      </c>
      <c r="AJ37" s="13"/>
      <c r="AK37" s="48">
        <v>28</v>
      </c>
      <c r="AL37" s="49">
        <f>資料儲存!D1229</f>
        <v>0</v>
      </c>
      <c r="AM37" s="49">
        <f>資料儲存!E1229</f>
        <v>0</v>
      </c>
      <c r="AN37" s="49">
        <f>資料儲存!F1229</f>
        <v>0</v>
      </c>
      <c r="AO37" s="49">
        <f>資料儲存!G1229</f>
        <v>0</v>
      </c>
      <c r="AP37" s="49">
        <f>資料儲存!H1229</f>
        <v>0</v>
      </c>
      <c r="AQ37" s="49">
        <f>資料儲存!I1229</f>
        <v>0</v>
      </c>
      <c r="AR37" s="49">
        <f>資料儲存!J1229</f>
        <v>0</v>
      </c>
      <c r="AT37" s="48">
        <v>28</v>
      </c>
      <c r="AU37" s="49">
        <f>資料儲存!D1349</f>
        <v>0</v>
      </c>
      <c r="AV37" s="49">
        <f>資料儲存!E1349</f>
        <v>0</v>
      </c>
      <c r="AW37" s="49">
        <f>資料儲存!F1349</f>
        <v>0</v>
      </c>
      <c r="AX37" s="49">
        <f>資料儲存!G1349</f>
        <v>0</v>
      </c>
      <c r="AY37" s="49">
        <f>資料儲存!H1349</f>
        <v>0</v>
      </c>
      <c r="AZ37" s="49">
        <f>資料儲存!I1349</f>
        <v>0</v>
      </c>
      <c r="BA37" s="49">
        <f>資料儲存!J1349</f>
        <v>0</v>
      </c>
    </row>
    <row r="38" spans="1:53" ht="16" thickBot="1">
      <c r="A38" s="48">
        <v>29</v>
      </c>
      <c r="B38" s="49">
        <f>資料儲存!D750</f>
        <v>0</v>
      </c>
      <c r="C38" s="49">
        <f>資料儲存!E750</f>
        <v>0</v>
      </c>
      <c r="D38" s="49">
        <f>資料儲存!F750</f>
        <v>0</v>
      </c>
      <c r="E38" s="49">
        <f>資料儲存!G750</f>
        <v>0</v>
      </c>
      <c r="F38" s="49">
        <f>資料儲存!H750</f>
        <v>0</v>
      </c>
      <c r="G38" s="49">
        <f>資料儲存!I750</f>
        <v>0</v>
      </c>
      <c r="H38" s="49">
        <f>資料儲存!J750</f>
        <v>0</v>
      </c>
      <c r="I38" s="45"/>
      <c r="J38" s="48">
        <v>29</v>
      </c>
      <c r="K38" s="49">
        <f>資料儲存!D870</f>
        <v>0</v>
      </c>
      <c r="L38" s="49">
        <f>資料儲存!E870</f>
        <v>0</v>
      </c>
      <c r="M38" s="49">
        <f>資料儲存!F870</f>
        <v>0</v>
      </c>
      <c r="N38" s="49">
        <f>資料儲存!G870</f>
        <v>0</v>
      </c>
      <c r="O38" s="49">
        <f>資料儲存!H870</f>
        <v>0</v>
      </c>
      <c r="P38" s="49">
        <f>資料儲存!I870</f>
        <v>0</v>
      </c>
      <c r="Q38" s="49">
        <f>資料儲存!J870</f>
        <v>0</v>
      </c>
      <c r="R38" s="45"/>
      <c r="S38" s="48">
        <v>29</v>
      </c>
      <c r="T38" s="49">
        <f>資料儲存!D990</f>
        <v>0</v>
      </c>
      <c r="U38" s="49">
        <f>資料儲存!E990</f>
        <v>0</v>
      </c>
      <c r="V38" s="49">
        <f>資料儲存!F990</f>
        <v>0</v>
      </c>
      <c r="W38" s="49">
        <f>資料儲存!G990</f>
        <v>0</v>
      </c>
      <c r="X38" s="49">
        <f>資料儲存!H990</f>
        <v>0</v>
      </c>
      <c r="Y38" s="49">
        <f>資料儲存!I990</f>
        <v>0</v>
      </c>
      <c r="Z38" s="49">
        <f>資料儲存!J990</f>
        <v>0</v>
      </c>
      <c r="AA38" s="45"/>
      <c r="AB38" s="48">
        <v>29</v>
      </c>
      <c r="AC38" s="49">
        <f>資料儲存!D1110</f>
        <v>0</v>
      </c>
      <c r="AD38" s="49">
        <f>資料儲存!E1110</f>
        <v>0</v>
      </c>
      <c r="AE38" s="49">
        <f>資料儲存!F1110</f>
        <v>0</v>
      </c>
      <c r="AF38" s="49">
        <f>資料儲存!G1110</f>
        <v>0</v>
      </c>
      <c r="AG38" s="49">
        <f>資料儲存!H1110</f>
        <v>0</v>
      </c>
      <c r="AH38" s="49">
        <f>資料儲存!I1110</f>
        <v>0</v>
      </c>
      <c r="AI38" s="49">
        <f>資料儲存!J1110</f>
        <v>0</v>
      </c>
      <c r="AJ38" s="13"/>
      <c r="AK38" s="48">
        <v>29</v>
      </c>
      <c r="AL38" s="49">
        <f>資料儲存!D1230</f>
        <v>0</v>
      </c>
      <c r="AM38" s="49">
        <f>資料儲存!E1230</f>
        <v>0</v>
      </c>
      <c r="AN38" s="49">
        <f>資料儲存!F1230</f>
        <v>0</v>
      </c>
      <c r="AO38" s="49">
        <f>資料儲存!G1230</f>
        <v>0</v>
      </c>
      <c r="AP38" s="49">
        <f>資料儲存!H1230</f>
        <v>0</v>
      </c>
      <c r="AQ38" s="49">
        <f>資料儲存!I1230</f>
        <v>0</v>
      </c>
      <c r="AR38" s="49">
        <f>資料儲存!J1230</f>
        <v>0</v>
      </c>
      <c r="AT38" s="48">
        <v>29</v>
      </c>
      <c r="AU38" s="49">
        <f>資料儲存!D1350</f>
        <v>0</v>
      </c>
      <c r="AV38" s="49">
        <f>資料儲存!E1350</f>
        <v>0</v>
      </c>
      <c r="AW38" s="49">
        <f>資料儲存!F1350</f>
        <v>0</v>
      </c>
      <c r="AX38" s="49">
        <f>資料儲存!G1350</f>
        <v>0</v>
      </c>
      <c r="AY38" s="49">
        <f>資料儲存!H1350</f>
        <v>0</v>
      </c>
      <c r="AZ38" s="49">
        <f>資料儲存!I1350</f>
        <v>0</v>
      </c>
      <c r="BA38" s="49">
        <f>資料儲存!J1350</f>
        <v>0</v>
      </c>
    </row>
    <row r="39" spans="1:53" ht="16" thickBot="1">
      <c r="A39" s="48">
        <v>30</v>
      </c>
      <c r="B39" s="49">
        <f>資料儲存!D751</f>
        <v>0</v>
      </c>
      <c r="C39" s="49">
        <f>資料儲存!E751</f>
        <v>0</v>
      </c>
      <c r="D39" s="49">
        <f>資料儲存!F751</f>
        <v>0</v>
      </c>
      <c r="E39" s="49">
        <f>資料儲存!G751</f>
        <v>0</v>
      </c>
      <c r="F39" s="49">
        <f>資料儲存!H751</f>
        <v>0</v>
      </c>
      <c r="G39" s="49">
        <f>資料儲存!I751</f>
        <v>0</v>
      </c>
      <c r="H39" s="49">
        <f>資料儲存!J751</f>
        <v>0</v>
      </c>
      <c r="I39" s="45"/>
      <c r="J39" s="48">
        <v>30</v>
      </c>
      <c r="K39" s="49">
        <f>資料儲存!D871</f>
        <v>0</v>
      </c>
      <c r="L39" s="49">
        <f>資料儲存!E871</f>
        <v>0</v>
      </c>
      <c r="M39" s="49">
        <f>資料儲存!F871</f>
        <v>0</v>
      </c>
      <c r="N39" s="49">
        <f>資料儲存!G871</f>
        <v>0</v>
      </c>
      <c r="O39" s="49">
        <f>資料儲存!H871</f>
        <v>0</v>
      </c>
      <c r="P39" s="49">
        <f>資料儲存!I871</f>
        <v>0</v>
      </c>
      <c r="Q39" s="49">
        <f>資料儲存!J871</f>
        <v>0</v>
      </c>
      <c r="R39" s="45"/>
      <c r="S39" s="48">
        <v>30</v>
      </c>
      <c r="T39" s="49">
        <f>資料儲存!D991</f>
        <v>0</v>
      </c>
      <c r="U39" s="49">
        <f>資料儲存!E991</f>
        <v>0</v>
      </c>
      <c r="V39" s="49">
        <f>資料儲存!F991</f>
        <v>0</v>
      </c>
      <c r="W39" s="49">
        <f>資料儲存!G991</f>
        <v>0</v>
      </c>
      <c r="X39" s="49">
        <f>資料儲存!H991</f>
        <v>0</v>
      </c>
      <c r="Y39" s="49">
        <f>資料儲存!I991</f>
        <v>0</v>
      </c>
      <c r="Z39" s="49">
        <f>資料儲存!J991</f>
        <v>0</v>
      </c>
      <c r="AA39" s="45"/>
      <c r="AB39" s="48">
        <v>30</v>
      </c>
      <c r="AC39" s="49">
        <f>資料儲存!D1111</f>
        <v>0</v>
      </c>
      <c r="AD39" s="49">
        <f>資料儲存!E1111</f>
        <v>0</v>
      </c>
      <c r="AE39" s="49">
        <f>資料儲存!F1111</f>
        <v>0</v>
      </c>
      <c r="AF39" s="49">
        <f>資料儲存!G1111</f>
        <v>0</v>
      </c>
      <c r="AG39" s="49">
        <f>資料儲存!H1111</f>
        <v>0</v>
      </c>
      <c r="AH39" s="49">
        <f>資料儲存!I1111</f>
        <v>0</v>
      </c>
      <c r="AI39" s="49">
        <f>資料儲存!J1111</f>
        <v>0</v>
      </c>
      <c r="AJ39" s="13"/>
      <c r="AK39" s="48">
        <v>30</v>
      </c>
      <c r="AL39" s="49">
        <f>資料儲存!D1231</f>
        <v>0</v>
      </c>
      <c r="AM39" s="49">
        <f>資料儲存!E1231</f>
        <v>0</v>
      </c>
      <c r="AN39" s="49">
        <f>資料儲存!F1231</f>
        <v>0</v>
      </c>
      <c r="AO39" s="49">
        <f>資料儲存!G1231</f>
        <v>0</v>
      </c>
      <c r="AP39" s="49">
        <f>資料儲存!H1231</f>
        <v>0</v>
      </c>
      <c r="AQ39" s="49">
        <f>資料儲存!I1231</f>
        <v>0</v>
      </c>
      <c r="AR39" s="49">
        <f>資料儲存!J1231</f>
        <v>0</v>
      </c>
      <c r="AT39" s="48">
        <v>30</v>
      </c>
      <c r="AU39" s="49">
        <f>資料儲存!D1351</f>
        <v>0</v>
      </c>
      <c r="AV39" s="49">
        <f>資料儲存!E1351</f>
        <v>0</v>
      </c>
      <c r="AW39" s="49">
        <f>資料儲存!F1351</f>
        <v>0</v>
      </c>
      <c r="AX39" s="49">
        <f>資料儲存!G1351</f>
        <v>0</v>
      </c>
      <c r="AY39" s="49">
        <f>資料儲存!H1351</f>
        <v>0</v>
      </c>
      <c r="AZ39" s="49">
        <f>資料儲存!I1351</f>
        <v>0</v>
      </c>
      <c r="BA39" s="49">
        <f>資料儲存!J1351</f>
        <v>0</v>
      </c>
    </row>
    <row r="40" spans="1:53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13"/>
      <c r="AK40" s="50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  <c r="AT40" s="50" t="s">
        <v>56</v>
      </c>
      <c r="AU40" s="49">
        <f>SUM(AU25:AX39)</f>
        <v>0</v>
      </c>
      <c r="AV40" s="47"/>
      <c r="AW40" s="47"/>
      <c r="AX40" s="47"/>
      <c r="AY40" s="49">
        <f>AY39</f>
        <v>0</v>
      </c>
      <c r="AZ40" s="49">
        <f>AZ39</f>
        <v>0</v>
      </c>
      <c r="BA40" s="49">
        <f>BA39</f>
        <v>0</v>
      </c>
    </row>
    <row r="41" spans="1:53" ht="18.5" thickBot="1">
      <c r="A41" s="248" t="s">
        <v>59</v>
      </c>
      <c r="B41" s="249"/>
      <c r="C41" s="249"/>
      <c r="D41" s="249"/>
      <c r="E41" s="249"/>
      <c r="F41" s="249"/>
      <c r="G41" s="249"/>
      <c r="H41" s="250"/>
      <c r="I41" s="13"/>
      <c r="J41" s="248" t="s">
        <v>59</v>
      </c>
      <c r="K41" s="249"/>
      <c r="L41" s="249"/>
      <c r="M41" s="249"/>
      <c r="N41" s="249"/>
      <c r="O41" s="249"/>
      <c r="P41" s="249"/>
      <c r="Q41" s="250"/>
      <c r="R41" s="13"/>
      <c r="S41" s="248" t="s">
        <v>59</v>
      </c>
      <c r="T41" s="249"/>
      <c r="U41" s="249"/>
      <c r="V41" s="249"/>
      <c r="W41" s="249"/>
      <c r="X41" s="249"/>
      <c r="Y41" s="249"/>
      <c r="Z41" s="250"/>
      <c r="AA41" s="13"/>
      <c r="AB41" s="248" t="s">
        <v>59</v>
      </c>
      <c r="AC41" s="249"/>
      <c r="AD41" s="249"/>
      <c r="AE41" s="249"/>
      <c r="AF41" s="249"/>
      <c r="AG41" s="249"/>
      <c r="AH41" s="249"/>
      <c r="AI41" s="250"/>
      <c r="AJ41" s="13"/>
      <c r="AK41" s="248" t="s">
        <v>59</v>
      </c>
      <c r="AL41" s="249"/>
      <c r="AM41" s="249"/>
      <c r="AN41" s="249"/>
      <c r="AO41" s="249"/>
      <c r="AP41" s="249"/>
      <c r="AQ41" s="249"/>
      <c r="AR41" s="250"/>
      <c r="AT41" s="248" t="s">
        <v>59</v>
      </c>
      <c r="AU41" s="249"/>
      <c r="AV41" s="249"/>
      <c r="AW41" s="249"/>
      <c r="AX41" s="249"/>
      <c r="AY41" s="249"/>
      <c r="AZ41" s="249"/>
      <c r="BA41" s="250"/>
    </row>
    <row r="42" spans="1:53" ht="17.25" customHeight="1" thickBot="1">
      <c r="A42" s="31" t="s">
        <v>2</v>
      </c>
      <c r="B42" s="32" t="s">
        <v>46</v>
      </c>
      <c r="C42" s="33"/>
      <c r="D42" s="33"/>
      <c r="E42" s="34"/>
      <c r="F42" s="32" t="s">
        <v>47</v>
      </c>
      <c r="G42" s="33"/>
      <c r="H42" s="34"/>
      <c r="I42" s="35"/>
      <c r="J42" s="31" t="s">
        <v>2</v>
      </c>
      <c r="K42" s="32" t="s">
        <v>46</v>
      </c>
      <c r="L42" s="33"/>
      <c r="M42" s="33"/>
      <c r="N42" s="34"/>
      <c r="O42" s="32" t="s">
        <v>47</v>
      </c>
      <c r="P42" s="33"/>
      <c r="Q42" s="34"/>
      <c r="R42" s="35"/>
      <c r="S42" s="31" t="s">
        <v>2</v>
      </c>
      <c r="T42" s="32" t="s">
        <v>46</v>
      </c>
      <c r="U42" s="33"/>
      <c r="V42" s="33"/>
      <c r="W42" s="34"/>
      <c r="X42" s="32" t="s">
        <v>47</v>
      </c>
      <c r="Y42" s="33"/>
      <c r="Z42" s="34"/>
      <c r="AA42" s="35"/>
      <c r="AB42" s="31" t="s">
        <v>2</v>
      </c>
      <c r="AC42" s="32" t="s">
        <v>46</v>
      </c>
      <c r="AD42" s="33"/>
      <c r="AE42" s="33"/>
      <c r="AF42" s="34"/>
      <c r="AG42" s="32" t="s">
        <v>47</v>
      </c>
      <c r="AH42" s="33"/>
      <c r="AI42" s="34"/>
      <c r="AJ42" s="13"/>
      <c r="AK42" s="31" t="s">
        <v>2</v>
      </c>
      <c r="AL42" s="32" t="s">
        <v>46</v>
      </c>
      <c r="AM42" s="33"/>
      <c r="AN42" s="33"/>
      <c r="AO42" s="34"/>
      <c r="AP42" s="32" t="s">
        <v>47</v>
      </c>
      <c r="AQ42" s="33"/>
      <c r="AR42" s="34"/>
      <c r="AT42" s="31" t="s">
        <v>2</v>
      </c>
      <c r="AU42" s="32" t="s">
        <v>46</v>
      </c>
      <c r="AV42" s="33"/>
      <c r="AW42" s="33"/>
      <c r="AX42" s="34"/>
      <c r="AY42" s="32" t="s">
        <v>47</v>
      </c>
      <c r="AZ42" s="33"/>
      <c r="BA42" s="34"/>
    </row>
    <row r="43" spans="1:53" ht="16" thickBot="1">
      <c r="A43" s="36" t="s">
        <v>60</v>
      </c>
      <c r="B43" s="37" t="s">
        <v>49</v>
      </c>
      <c r="C43" s="37" t="s">
        <v>50</v>
      </c>
      <c r="D43" s="37" t="s">
        <v>51</v>
      </c>
      <c r="E43" s="37" t="s">
        <v>52</v>
      </c>
      <c r="F43" s="37" t="s">
        <v>53</v>
      </c>
      <c r="G43" s="37" t="s">
        <v>54</v>
      </c>
      <c r="H43" s="37" t="s">
        <v>55</v>
      </c>
      <c r="I43" s="35"/>
      <c r="J43" s="36" t="s">
        <v>60</v>
      </c>
      <c r="K43" s="37" t="s">
        <v>49</v>
      </c>
      <c r="L43" s="37" t="s">
        <v>50</v>
      </c>
      <c r="M43" s="37" t="s">
        <v>51</v>
      </c>
      <c r="N43" s="37" t="s">
        <v>52</v>
      </c>
      <c r="O43" s="37" t="s">
        <v>53</v>
      </c>
      <c r="P43" s="37" t="s">
        <v>54</v>
      </c>
      <c r="Q43" s="37" t="s">
        <v>55</v>
      </c>
      <c r="R43" s="35"/>
      <c r="S43" s="36" t="s">
        <v>60</v>
      </c>
      <c r="T43" s="37" t="s">
        <v>49</v>
      </c>
      <c r="U43" s="37" t="s">
        <v>50</v>
      </c>
      <c r="V43" s="37" t="s">
        <v>51</v>
      </c>
      <c r="W43" s="37" t="s">
        <v>52</v>
      </c>
      <c r="X43" s="37" t="s">
        <v>53</v>
      </c>
      <c r="Y43" s="37" t="s">
        <v>54</v>
      </c>
      <c r="Z43" s="37" t="s">
        <v>55</v>
      </c>
      <c r="AA43" s="35"/>
      <c r="AB43" s="36" t="s">
        <v>60</v>
      </c>
      <c r="AC43" s="37" t="s">
        <v>49</v>
      </c>
      <c r="AD43" s="37" t="s">
        <v>50</v>
      </c>
      <c r="AE43" s="37" t="s">
        <v>51</v>
      </c>
      <c r="AF43" s="37" t="s">
        <v>52</v>
      </c>
      <c r="AG43" s="37" t="s">
        <v>53</v>
      </c>
      <c r="AH43" s="37" t="s">
        <v>54</v>
      </c>
      <c r="AI43" s="37" t="s">
        <v>55</v>
      </c>
      <c r="AJ43" s="13"/>
      <c r="AK43" s="36" t="s">
        <v>60</v>
      </c>
      <c r="AL43" s="37" t="s">
        <v>49</v>
      </c>
      <c r="AM43" s="37" t="s">
        <v>50</v>
      </c>
      <c r="AN43" s="37" t="s">
        <v>51</v>
      </c>
      <c r="AO43" s="37" t="s">
        <v>52</v>
      </c>
      <c r="AP43" s="37" t="s">
        <v>53</v>
      </c>
      <c r="AQ43" s="37" t="s">
        <v>54</v>
      </c>
      <c r="AR43" s="37" t="s">
        <v>55</v>
      </c>
      <c r="AT43" s="36" t="s">
        <v>60</v>
      </c>
      <c r="AU43" s="37" t="s">
        <v>49</v>
      </c>
      <c r="AV43" s="37" t="s">
        <v>50</v>
      </c>
      <c r="AW43" s="37" t="s">
        <v>51</v>
      </c>
      <c r="AX43" s="37" t="s">
        <v>52</v>
      </c>
      <c r="AY43" s="37" t="s">
        <v>53</v>
      </c>
      <c r="AZ43" s="37" t="s">
        <v>54</v>
      </c>
      <c r="BA43" s="37" t="s">
        <v>55</v>
      </c>
    </row>
    <row r="44" spans="1:53" ht="16" thickBot="1">
      <c r="A44" s="38">
        <v>31</v>
      </c>
      <c r="B44" s="39">
        <f>資料儲存!D752</f>
        <v>0</v>
      </c>
      <c r="C44" s="39">
        <f>資料儲存!E752</f>
        <v>0</v>
      </c>
      <c r="D44" s="39">
        <f>資料儲存!F752</f>
        <v>0</v>
      </c>
      <c r="E44" s="39">
        <f>資料儲存!G752</f>
        <v>0</v>
      </c>
      <c r="F44" s="39">
        <f>資料儲存!H752</f>
        <v>0</v>
      </c>
      <c r="G44" s="39">
        <f>資料儲存!I752</f>
        <v>0</v>
      </c>
      <c r="H44" s="39">
        <f>資料儲存!J752</f>
        <v>0</v>
      </c>
      <c r="I44" s="35"/>
      <c r="J44" s="38">
        <v>31</v>
      </c>
      <c r="K44" s="39">
        <f>資料儲存!D872</f>
        <v>0</v>
      </c>
      <c r="L44" s="39">
        <f>資料儲存!E872</f>
        <v>0</v>
      </c>
      <c r="M44" s="39">
        <f>資料儲存!F872</f>
        <v>0</v>
      </c>
      <c r="N44" s="39">
        <f>資料儲存!G872</f>
        <v>0</v>
      </c>
      <c r="O44" s="39">
        <f>資料儲存!H872</f>
        <v>0</v>
      </c>
      <c r="P44" s="39">
        <f>資料儲存!I872</f>
        <v>0</v>
      </c>
      <c r="Q44" s="39">
        <f>資料儲存!J872</f>
        <v>0</v>
      </c>
      <c r="R44" s="35"/>
      <c r="S44" s="38">
        <v>31</v>
      </c>
      <c r="T44" s="39">
        <f>資料儲存!D992</f>
        <v>0</v>
      </c>
      <c r="U44" s="39">
        <f>資料儲存!E992</f>
        <v>0</v>
      </c>
      <c r="V44" s="39">
        <f>資料儲存!F992</f>
        <v>0</v>
      </c>
      <c r="W44" s="39">
        <f>資料儲存!G992</f>
        <v>0</v>
      </c>
      <c r="X44" s="39">
        <f>資料儲存!H992</f>
        <v>0</v>
      </c>
      <c r="Y44" s="39">
        <f>資料儲存!I992</f>
        <v>0</v>
      </c>
      <c r="Z44" s="39">
        <f>資料儲存!J992</f>
        <v>0</v>
      </c>
      <c r="AA44" s="35"/>
      <c r="AB44" s="38">
        <v>31</v>
      </c>
      <c r="AC44" s="39">
        <f>資料儲存!D1112</f>
        <v>0</v>
      </c>
      <c r="AD44" s="39">
        <f>資料儲存!E1112</f>
        <v>0</v>
      </c>
      <c r="AE44" s="39">
        <f>資料儲存!F1112</f>
        <v>0</v>
      </c>
      <c r="AF44" s="39">
        <f>資料儲存!G1112</f>
        <v>0</v>
      </c>
      <c r="AG44" s="39">
        <f>資料儲存!H1112</f>
        <v>0</v>
      </c>
      <c r="AH44" s="39">
        <f>資料儲存!I1112</f>
        <v>0</v>
      </c>
      <c r="AI44" s="39">
        <f>資料儲存!J1112</f>
        <v>0</v>
      </c>
      <c r="AJ44" s="13"/>
      <c r="AK44" s="38">
        <v>31</v>
      </c>
      <c r="AL44" s="39">
        <f>資料儲存!D1232</f>
        <v>0</v>
      </c>
      <c r="AM44" s="39">
        <f>資料儲存!E1232</f>
        <v>0</v>
      </c>
      <c r="AN44" s="39">
        <f>資料儲存!F1232</f>
        <v>0</v>
      </c>
      <c r="AO44" s="39">
        <f>資料儲存!G1232</f>
        <v>0</v>
      </c>
      <c r="AP44" s="39">
        <f>資料儲存!H1232</f>
        <v>0</v>
      </c>
      <c r="AQ44" s="39">
        <f>資料儲存!I1232</f>
        <v>0</v>
      </c>
      <c r="AR44" s="39">
        <f>資料儲存!J1232</f>
        <v>0</v>
      </c>
      <c r="AT44" s="38">
        <v>31</v>
      </c>
      <c r="AU44" s="39">
        <f>資料儲存!D1352</f>
        <v>0</v>
      </c>
      <c r="AV44" s="39">
        <f>資料儲存!E1352</f>
        <v>0</v>
      </c>
      <c r="AW44" s="39">
        <f>資料儲存!F1352</f>
        <v>0</v>
      </c>
      <c r="AX44" s="39">
        <f>資料儲存!G1352</f>
        <v>0</v>
      </c>
      <c r="AY44" s="39">
        <f>資料儲存!H1352</f>
        <v>0</v>
      </c>
      <c r="AZ44" s="39">
        <f>資料儲存!I1352</f>
        <v>0</v>
      </c>
      <c r="BA44" s="39">
        <f>資料儲存!J1352</f>
        <v>0</v>
      </c>
    </row>
    <row r="45" spans="1:53" ht="16" thickBot="1">
      <c r="A45" s="38">
        <v>32</v>
      </c>
      <c r="B45" s="39">
        <f>資料儲存!D753</f>
        <v>0</v>
      </c>
      <c r="C45" s="39">
        <f>資料儲存!E753</f>
        <v>0</v>
      </c>
      <c r="D45" s="39">
        <f>資料儲存!F753</f>
        <v>0</v>
      </c>
      <c r="E45" s="39">
        <f>資料儲存!G753</f>
        <v>0</v>
      </c>
      <c r="F45" s="39">
        <f>資料儲存!H753</f>
        <v>0</v>
      </c>
      <c r="G45" s="39">
        <f>資料儲存!I753</f>
        <v>0</v>
      </c>
      <c r="H45" s="39">
        <f>資料儲存!J753</f>
        <v>0</v>
      </c>
      <c r="I45" s="35"/>
      <c r="J45" s="38">
        <v>32</v>
      </c>
      <c r="K45" s="39">
        <f>資料儲存!D873</f>
        <v>0</v>
      </c>
      <c r="L45" s="39">
        <f>資料儲存!E873</f>
        <v>0</v>
      </c>
      <c r="M45" s="39">
        <f>資料儲存!F873</f>
        <v>0</v>
      </c>
      <c r="N45" s="39">
        <f>資料儲存!G873</f>
        <v>0</v>
      </c>
      <c r="O45" s="39">
        <f>資料儲存!H873</f>
        <v>0</v>
      </c>
      <c r="P45" s="39">
        <f>資料儲存!I873</f>
        <v>0</v>
      </c>
      <c r="Q45" s="39">
        <f>資料儲存!J873</f>
        <v>0</v>
      </c>
      <c r="R45" s="35"/>
      <c r="S45" s="38">
        <v>32</v>
      </c>
      <c r="T45" s="39">
        <f>資料儲存!D993</f>
        <v>0</v>
      </c>
      <c r="U45" s="39">
        <f>資料儲存!E993</f>
        <v>0</v>
      </c>
      <c r="V45" s="39">
        <f>資料儲存!F993</f>
        <v>0</v>
      </c>
      <c r="W45" s="39">
        <f>資料儲存!G993</f>
        <v>0</v>
      </c>
      <c r="X45" s="39">
        <f>資料儲存!H993</f>
        <v>0</v>
      </c>
      <c r="Y45" s="39">
        <f>資料儲存!I993</f>
        <v>0</v>
      </c>
      <c r="Z45" s="39">
        <f>資料儲存!J993</f>
        <v>0</v>
      </c>
      <c r="AA45" s="35"/>
      <c r="AB45" s="38">
        <v>32</v>
      </c>
      <c r="AC45" s="39">
        <f>資料儲存!D1113</f>
        <v>0</v>
      </c>
      <c r="AD45" s="39">
        <f>資料儲存!E1113</f>
        <v>0</v>
      </c>
      <c r="AE45" s="39">
        <f>資料儲存!F1113</f>
        <v>0</v>
      </c>
      <c r="AF45" s="39">
        <f>資料儲存!G1113</f>
        <v>0</v>
      </c>
      <c r="AG45" s="39">
        <f>資料儲存!H1113</f>
        <v>0</v>
      </c>
      <c r="AH45" s="39">
        <f>資料儲存!I1113</f>
        <v>0</v>
      </c>
      <c r="AI45" s="39">
        <f>資料儲存!J1113</f>
        <v>0</v>
      </c>
      <c r="AJ45" s="13"/>
      <c r="AK45" s="38">
        <v>32</v>
      </c>
      <c r="AL45" s="39">
        <f>資料儲存!D1233</f>
        <v>0</v>
      </c>
      <c r="AM45" s="39">
        <f>資料儲存!E1233</f>
        <v>0</v>
      </c>
      <c r="AN45" s="39">
        <f>資料儲存!F1233</f>
        <v>0</v>
      </c>
      <c r="AO45" s="39">
        <f>資料儲存!G1233</f>
        <v>0</v>
      </c>
      <c r="AP45" s="39">
        <f>資料儲存!H1233</f>
        <v>0</v>
      </c>
      <c r="AQ45" s="39">
        <f>資料儲存!I1233</f>
        <v>0</v>
      </c>
      <c r="AR45" s="39">
        <f>資料儲存!J1233</f>
        <v>0</v>
      </c>
      <c r="AT45" s="38">
        <v>32</v>
      </c>
      <c r="AU45" s="39">
        <f>資料儲存!D1353</f>
        <v>0</v>
      </c>
      <c r="AV45" s="39">
        <f>資料儲存!E1353</f>
        <v>0</v>
      </c>
      <c r="AW45" s="39">
        <f>資料儲存!F1353</f>
        <v>0</v>
      </c>
      <c r="AX45" s="39">
        <f>資料儲存!G1353</f>
        <v>0</v>
      </c>
      <c r="AY45" s="39">
        <f>資料儲存!H1353</f>
        <v>0</v>
      </c>
      <c r="AZ45" s="39">
        <f>資料儲存!I1353</f>
        <v>0</v>
      </c>
      <c r="BA45" s="39">
        <f>資料儲存!J1353</f>
        <v>0</v>
      </c>
    </row>
    <row r="46" spans="1:53" ht="16" thickBot="1">
      <c r="A46" s="38">
        <v>33</v>
      </c>
      <c r="B46" s="39">
        <f>資料儲存!D754</f>
        <v>0</v>
      </c>
      <c r="C46" s="39">
        <f>資料儲存!E754</f>
        <v>0</v>
      </c>
      <c r="D46" s="39">
        <f>資料儲存!F754</f>
        <v>0</v>
      </c>
      <c r="E46" s="39">
        <f>資料儲存!G754</f>
        <v>0</v>
      </c>
      <c r="F46" s="39">
        <f>資料儲存!H754</f>
        <v>0</v>
      </c>
      <c r="G46" s="39">
        <f>資料儲存!I754</f>
        <v>0</v>
      </c>
      <c r="H46" s="39">
        <f>資料儲存!J754</f>
        <v>0</v>
      </c>
      <c r="I46" s="35"/>
      <c r="J46" s="38">
        <v>33</v>
      </c>
      <c r="K46" s="39">
        <f>資料儲存!D874</f>
        <v>0</v>
      </c>
      <c r="L46" s="39">
        <f>資料儲存!E874</f>
        <v>0</v>
      </c>
      <c r="M46" s="39">
        <f>資料儲存!F874</f>
        <v>0</v>
      </c>
      <c r="N46" s="39">
        <f>資料儲存!G874</f>
        <v>0</v>
      </c>
      <c r="O46" s="39">
        <f>資料儲存!H874</f>
        <v>0</v>
      </c>
      <c r="P46" s="39">
        <f>資料儲存!I874</f>
        <v>0</v>
      </c>
      <c r="Q46" s="39">
        <f>資料儲存!J874</f>
        <v>0</v>
      </c>
      <c r="R46" s="35"/>
      <c r="S46" s="38">
        <v>33</v>
      </c>
      <c r="T46" s="39">
        <f>資料儲存!D994</f>
        <v>0</v>
      </c>
      <c r="U46" s="39">
        <f>資料儲存!E994</f>
        <v>0</v>
      </c>
      <c r="V46" s="39">
        <f>資料儲存!F994</f>
        <v>0</v>
      </c>
      <c r="W46" s="39">
        <f>資料儲存!G994</f>
        <v>0</v>
      </c>
      <c r="X46" s="39">
        <f>資料儲存!H994</f>
        <v>0</v>
      </c>
      <c r="Y46" s="39">
        <f>資料儲存!I994</f>
        <v>0</v>
      </c>
      <c r="Z46" s="39">
        <f>資料儲存!J994</f>
        <v>0</v>
      </c>
      <c r="AA46" s="35"/>
      <c r="AB46" s="38">
        <v>33</v>
      </c>
      <c r="AC46" s="39">
        <f>資料儲存!D1114</f>
        <v>0</v>
      </c>
      <c r="AD46" s="39">
        <f>資料儲存!E1114</f>
        <v>0</v>
      </c>
      <c r="AE46" s="39">
        <f>資料儲存!F1114</f>
        <v>0</v>
      </c>
      <c r="AF46" s="39">
        <f>資料儲存!G1114</f>
        <v>0</v>
      </c>
      <c r="AG46" s="39">
        <f>資料儲存!H1114</f>
        <v>0</v>
      </c>
      <c r="AH46" s="39">
        <f>資料儲存!I1114</f>
        <v>0</v>
      </c>
      <c r="AI46" s="39">
        <f>資料儲存!J1114</f>
        <v>0</v>
      </c>
      <c r="AJ46" s="13"/>
      <c r="AK46" s="38">
        <v>33</v>
      </c>
      <c r="AL46" s="39">
        <f>資料儲存!D1234</f>
        <v>0</v>
      </c>
      <c r="AM46" s="39">
        <f>資料儲存!E1234</f>
        <v>0</v>
      </c>
      <c r="AN46" s="39">
        <f>資料儲存!F1234</f>
        <v>0</v>
      </c>
      <c r="AO46" s="39">
        <f>資料儲存!G1234</f>
        <v>0</v>
      </c>
      <c r="AP46" s="39">
        <f>資料儲存!H1234</f>
        <v>0</v>
      </c>
      <c r="AQ46" s="39">
        <f>資料儲存!I1234</f>
        <v>0</v>
      </c>
      <c r="AR46" s="39">
        <f>資料儲存!J1234</f>
        <v>0</v>
      </c>
      <c r="AT46" s="38">
        <v>33</v>
      </c>
      <c r="AU46" s="39">
        <f>資料儲存!D1354</f>
        <v>0</v>
      </c>
      <c r="AV46" s="39">
        <f>資料儲存!E1354</f>
        <v>0</v>
      </c>
      <c r="AW46" s="39">
        <f>資料儲存!F1354</f>
        <v>0</v>
      </c>
      <c r="AX46" s="39">
        <f>資料儲存!G1354</f>
        <v>0</v>
      </c>
      <c r="AY46" s="39">
        <f>資料儲存!H1354</f>
        <v>0</v>
      </c>
      <c r="AZ46" s="39">
        <f>資料儲存!I1354</f>
        <v>0</v>
      </c>
      <c r="BA46" s="39">
        <f>資料儲存!J1354</f>
        <v>0</v>
      </c>
    </row>
    <row r="47" spans="1:53" ht="16" thickBot="1">
      <c r="A47" s="38">
        <v>34</v>
      </c>
      <c r="B47" s="39">
        <f>資料儲存!D755</f>
        <v>0</v>
      </c>
      <c r="C47" s="39">
        <f>資料儲存!E755</f>
        <v>0</v>
      </c>
      <c r="D47" s="39">
        <f>資料儲存!F755</f>
        <v>0</v>
      </c>
      <c r="E47" s="39">
        <f>資料儲存!G755</f>
        <v>0</v>
      </c>
      <c r="F47" s="39">
        <f>資料儲存!H755</f>
        <v>0</v>
      </c>
      <c r="G47" s="39">
        <f>資料儲存!I755</f>
        <v>0</v>
      </c>
      <c r="H47" s="39">
        <f>資料儲存!J755</f>
        <v>0</v>
      </c>
      <c r="I47" s="35"/>
      <c r="J47" s="38">
        <v>34</v>
      </c>
      <c r="K47" s="39">
        <f>資料儲存!D875</f>
        <v>0</v>
      </c>
      <c r="L47" s="39">
        <f>資料儲存!E875</f>
        <v>0</v>
      </c>
      <c r="M47" s="39">
        <f>資料儲存!F875</f>
        <v>0</v>
      </c>
      <c r="N47" s="39">
        <f>資料儲存!G875</f>
        <v>0</v>
      </c>
      <c r="O47" s="39">
        <f>資料儲存!H875</f>
        <v>0</v>
      </c>
      <c r="P47" s="39">
        <f>資料儲存!I875</f>
        <v>0</v>
      </c>
      <c r="Q47" s="39">
        <f>資料儲存!J875</f>
        <v>0</v>
      </c>
      <c r="R47" s="35"/>
      <c r="S47" s="38">
        <v>34</v>
      </c>
      <c r="T47" s="39">
        <f>資料儲存!D995</f>
        <v>0</v>
      </c>
      <c r="U47" s="39">
        <f>資料儲存!E995</f>
        <v>0</v>
      </c>
      <c r="V47" s="39">
        <f>資料儲存!F995</f>
        <v>0</v>
      </c>
      <c r="W47" s="39">
        <f>資料儲存!G995</f>
        <v>0</v>
      </c>
      <c r="X47" s="39">
        <f>資料儲存!H995</f>
        <v>0</v>
      </c>
      <c r="Y47" s="39">
        <f>資料儲存!I995</f>
        <v>0</v>
      </c>
      <c r="Z47" s="39">
        <f>資料儲存!J995</f>
        <v>0</v>
      </c>
      <c r="AA47" s="35"/>
      <c r="AB47" s="38">
        <v>34</v>
      </c>
      <c r="AC47" s="39">
        <f>資料儲存!D1115</f>
        <v>0</v>
      </c>
      <c r="AD47" s="39">
        <f>資料儲存!E1115</f>
        <v>0</v>
      </c>
      <c r="AE47" s="39">
        <f>資料儲存!F1115</f>
        <v>0</v>
      </c>
      <c r="AF47" s="39">
        <f>資料儲存!G1115</f>
        <v>0</v>
      </c>
      <c r="AG47" s="39">
        <f>資料儲存!H1115</f>
        <v>0</v>
      </c>
      <c r="AH47" s="39">
        <f>資料儲存!I1115</f>
        <v>0</v>
      </c>
      <c r="AI47" s="39">
        <f>資料儲存!J1115</f>
        <v>0</v>
      </c>
      <c r="AJ47" s="13"/>
      <c r="AK47" s="38">
        <v>34</v>
      </c>
      <c r="AL47" s="39">
        <f>資料儲存!D1235</f>
        <v>0</v>
      </c>
      <c r="AM47" s="39">
        <f>資料儲存!E1235</f>
        <v>0</v>
      </c>
      <c r="AN47" s="39">
        <f>資料儲存!F1235</f>
        <v>0</v>
      </c>
      <c r="AO47" s="39">
        <f>資料儲存!G1235</f>
        <v>0</v>
      </c>
      <c r="AP47" s="39">
        <f>資料儲存!H1235</f>
        <v>0</v>
      </c>
      <c r="AQ47" s="39">
        <f>資料儲存!I1235</f>
        <v>0</v>
      </c>
      <c r="AR47" s="39">
        <f>資料儲存!J1235</f>
        <v>0</v>
      </c>
      <c r="AT47" s="38">
        <v>34</v>
      </c>
      <c r="AU47" s="39">
        <f>資料儲存!D1355</f>
        <v>0</v>
      </c>
      <c r="AV47" s="39">
        <f>資料儲存!E1355</f>
        <v>0</v>
      </c>
      <c r="AW47" s="39">
        <f>資料儲存!F1355</f>
        <v>0</v>
      </c>
      <c r="AX47" s="39">
        <f>資料儲存!G1355</f>
        <v>0</v>
      </c>
      <c r="AY47" s="39">
        <f>資料儲存!H1355</f>
        <v>0</v>
      </c>
      <c r="AZ47" s="39">
        <f>資料儲存!I1355</f>
        <v>0</v>
      </c>
      <c r="BA47" s="39">
        <f>資料儲存!J1355</f>
        <v>0</v>
      </c>
    </row>
    <row r="48" spans="1:53" ht="16" thickBot="1">
      <c r="A48" s="38">
        <v>35</v>
      </c>
      <c r="B48" s="39">
        <f>資料儲存!D756</f>
        <v>0</v>
      </c>
      <c r="C48" s="39">
        <f>資料儲存!E756</f>
        <v>0</v>
      </c>
      <c r="D48" s="39">
        <f>資料儲存!F756</f>
        <v>0</v>
      </c>
      <c r="E48" s="39">
        <f>資料儲存!G756</f>
        <v>0</v>
      </c>
      <c r="F48" s="39">
        <f>資料儲存!H756</f>
        <v>0</v>
      </c>
      <c r="G48" s="39">
        <f>資料儲存!I756</f>
        <v>0</v>
      </c>
      <c r="H48" s="39">
        <f>資料儲存!J756</f>
        <v>0</v>
      </c>
      <c r="I48" s="35"/>
      <c r="J48" s="38">
        <v>35</v>
      </c>
      <c r="K48" s="39">
        <f>資料儲存!D876</f>
        <v>0</v>
      </c>
      <c r="L48" s="39">
        <f>資料儲存!E876</f>
        <v>0</v>
      </c>
      <c r="M48" s="39">
        <f>資料儲存!F876</f>
        <v>0</v>
      </c>
      <c r="N48" s="39">
        <f>資料儲存!G876</f>
        <v>0</v>
      </c>
      <c r="O48" s="39">
        <f>資料儲存!H876</f>
        <v>0</v>
      </c>
      <c r="P48" s="39">
        <f>資料儲存!I876</f>
        <v>0</v>
      </c>
      <c r="Q48" s="39">
        <f>資料儲存!J876</f>
        <v>0</v>
      </c>
      <c r="R48" s="35"/>
      <c r="S48" s="38">
        <v>35</v>
      </c>
      <c r="T48" s="39">
        <f>資料儲存!D996</f>
        <v>0</v>
      </c>
      <c r="U48" s="39">
        <f>資料儲存!E996</f>
        <v>0</v>
      </c>
      <c r="V48" s="39">
        <f>資料儲存!F996</f>
        <v>0</v>
      </c>
      <c r="W48" s="39">
        <f>資料儲存!G996</f>
        <v>0</v>
      </c>
      <c r="X48" s="39">
        <f>資料儲存!H996</f>
        <v>0</v>
      </c>
      <c r="Y48" s="39">
        <f>資料儲存!I996</f>
        <v>0</v>
      </c>
      <c r="Z48" s="39">
        <f>資料儲存!J996</f>
        <v>0</v>
      </c>
      <c r="AA48" s="35"/>
      <c r="AB48" s="38">
        <v>35</v>
      </c>
      <c r="AC48" s="39">
        <f>資料儲存!D1116</f>
        <v>0</v>
      </c>
      <c r="AD48" s="39">
        <f>資料儲存!E1116</f>
        <v>0</v>
      </c>
      <c r="AE48" s="39">
        <f>資料儲存!F1116</f>
        <v>0</v>
      </c>
      <c r="AF48" s="39">
        <f>資料儲存!G1116</f>
        <v>0</v>
      </c>
      <c r="AG48" s="39">
        <f>資料儲存!H1116</f>
        <v>0</v>
      </c>
      <c r="AH48" s="39">
        <f>資料儲存!I1116</f>
        <v>0</v>
      </c>
      <c r="AI48" s="39">
        <f>資料儲存!J1116</f>
        <v>0</v>
      </c>
      <c r="AJ48" s="13"/>
      <c r="AK48" s="38">
        <v>35</v>
      </c>
      <c r="AL48" s="39">
        <f>資料儲存!D1236</f>
        <v>0</v>
      </c>
      <c r="AM48" s="39">
        <f>資料儲存!E1236</f>
        <v>0</v>
      </c>
      <c r="AN48" s="39">
        <f>資料儲存!F1236</f>
        <v>0</v>
      </c>
      <c r="AO48" s="39">
        <f>資料儲存!G1236</f>
        <v>0</v>
      </c>
      <c r="AP48" s="39">
        <f>資料儲存!H1236</f>
        <v>0</v>
      </c>
      <c r="AQ48" s="39">
        <f>資料儲存!I1236</f>
        <v>0</v>
      </c>
      <c r="AR48" s="39">
        <f>資料儲存!J1236</f>
        <v>0</v>
      </c>
      <c r="AT48" s="38">
        <v>35</v>
      </c>
      <c r="AU48" s="39">
        <f>資料儲存!D1356</f>
        <v>0</v>
      </c>
      <c r="AV48" s="39">
        <f>資料儲存!E1356</f>
        <v>0</v>
      </c>
      <c r="AW48" s="39">
        <f>資料儲存!F1356</f>
        <v>0</v>
      </c>
      <c r="AX48" s="39">
        <f>資料儲存!G1356</f>
        <v>0</v>
      </c>
      <c r="AY48" s="39">
        <f>資料儲存!H1356</f>
        <v>0</v>
      </c>
      <c r="AZ48" s="39">
        <f>資料儲存!I1356</f>
        <v>0</v>
      </c>
      <c r="BA48" s="39">
        <f>資料儲存!J1356</f>
        <v>0</v>
      </c>
    </row>
    <row r="49" spans="1:53" ht="16" thickBot="1">
      <c r="A49" s="38">
        <v>36</v>
      </c>
      <c r="B49" s="39">
        <f>資料儲存!D757</f>
        <v>0</v>
      </c>
      <c r="C49" s="39">
        <f>資料儲存!E757</f>
        <v>0</v>
      </c>
      <c r="D49" s="39">
        <f>資料儲存!F757</f>
        <v>0</v>
      </c>
      <c r="E49" s="39">
        <f>資料儲存!G757</f>
        <v>0</v>
      </c>
      <c r="F49" s="39">
        <f>資料儲存!H757</f>
        <v>0</v>
      </c>
      <c r="G49" s="39">
        <f>資料儲存!I757</f>
        <v>0</v>
      </c>
      <c r="H49" s="39">
        <f>資料儲存!J757</f>
        <v>0</v>
      </c>
      <c r="I49" s="35"/>
      <c r="J49" s="38">
        <v>36</v>
      </c>
      <c r="K49" s="39">
        <f>資料儲存!D877</f>
        <v>0</v>
      </c>
      <c r="L49" s="39">
        <f>資料儲存!E877</f>
        <v>0</v>
      </c>
      <c r="M49" s="39">
        <f>資料儲存!F877</f>
        <v>0</v>
      </c>
      <c r="N49" s="39">
        <f>資料儲存!G877</f>
        <v>0</v>
      </c>
      <c r="O49" s="39">
        <f>資料儲存!H877</f>
        <v>0</v>
      </c>
      <c r="P49" s="39">
        <f>資料儲存!I877</f>
        <v>0</v>
      </c>
      <c r="Q49" s="39">
        <f>資料儲存!J877</f>
        <v>0</v>
      </c>
      <c r="R49" s="35"/>
      <c r="S49" s="38">
        <v>36</v>
      </c>
      <c r="T49" s="39">
        <f>資料儲存!D997</f>
        <v>0</v>
      </c>
      <c r="U49" s="39">
        <f>資料儲存!E997</f>
        <v>0</v>
      </c>
      <c r="V49" s="39">
        <f>資料儲存!F997</f>
        <v>0</v>
      </c>
      <c r="W49" s="39">
        <f>資料儲存!G997</f>
        <v>0</v>
      </c>
      <c r="X49" s="39">
        <f>資料儲存!H997</f>
        <v>0</v>
      </c>
      <c r="Y49" s="39">
        <f>資料儲存!I997</f>
        <v>0</v>
      </c>
      <c r="Z49" s="39">
        <f>資料儲存!J997</f>
        <v>0</v>
      </c>
      <c r="AA49" s="35"/>
      <c r="AB49" s="38">
        <v>36</v>
      </c>
      <c r="AC49" s="39">
        <f>資料儲存!D1117</f>
        <v>0</v>
      </c>
      <c r="AD49" s="39">
        <f>資料儲存!E1117</f>
        <v>0</v>
      </c>
      <c r="AE49" s="39">
        <f>資料儲存!F1117</f>
        <v>0</v>
      </c>
      <c r="AF49" s="39">
        <f>資料儲存!G1117</f>
        <v>0</v>
      </c>
      <c r="AG49" s="39">
        <f>資料儲存!H1117</f>
        <v>0</v>
      </c>
      <c r="AH49" s="39">
        <f>資料儲存!I1117</f>
        <v>0</v>
      </c>
      <c r="AI49" s="39">
        <f>資料儲存!J1117</f>
        <v>0</v>
      </c>
      <c r="AJ49" s="13"/>
      <c r="AK49" s="38">
        <v>36</v>
      </c>
      <c r="AL49" s="39">
        <f>資料儲存!D1237</f>
        <v>0</v>
      </c>
      <c r="AM49" s="39">
        <f>資料儲存!E1237</f>
        <v>0</v>
      </c>
      <c r="AN49" s="39">
        <f>資料儲存!F1237</f>
        <v>0</v>
      </c>
      <c r="AO49" s="39">
        <f>資料儲存!G1237</f>
        <v>0</v>
      </c>
      <c r="AP49" s="39">
        <f>資料儲存!H1237</f>
        <v>0</v>
      </c>
      <c r="AQ49" s="39">
        <f>資料儲存!I1237</f>
        <v>0</v>
      </c>
      <c r="AR49" s="39">
        <f>資料儲存!J1237</f>
        <v>0</v>
      </c>
      <c r="AT49" s="38">
        <v>36</v>
      </c>
      <c r="AU49" s="39">
        <f>資料儲存!D1357</f>
        <v>0</v>
      </c>
      <c r="AV49" s="39">
        <f>資料儲存!E1357</f>
        <v>0</v>
      </c>
      <c r="AW49" s="39">
        <f>資料儲存!F1357</f>
        <v>0</v>
      </c>
      <c r="AX49" s="39">
        <f>資料儲存!G1357</f>
        <v>0</v>
      </c>
      <c r="AY49" s="39">
        <f>資料儲存!H1357</f>
        <v>0</v>
      </c>
      <c r="AZ49" s="39">
        <f>資料儲存!I1357</f>
        <v>0</v>
      </c>
      <c r="BA49" s="39">
        <f>資料儲存!J1357</f>
        <v>0</v>
      </c>
    </row>
    <row r="50" spans="1:53" ht="16" thickBot="1">
      <c r="A50" s="38">
        <v>37</v>
      </c>
      <c r="B50" s="39">
        <f>資料儲存!D758</f>
        <v>0</v>
      </c>
      <c r="C50" s="39">
        <f>資料儲存!E758</f>
        <v>0</v>
      </c>
      <c r="D50" s="39">
        <f>資料儲存!F758</f>
        <v>0</v>
      </c>
      <c r="E50" s="39">
        <f>資料儲存!G758</f>
        <v>0</v>
      </c>
      <c r="F50" s="39">
        <f>資料儲存!H758</f>
        <v>0</v>
      </c>
      <c r="G50" s="39">
        <f>資料儲存!I758</f>
        <v>0</v>
      </c>
      <c r="H50" s="39">
        <f>資料儲存!J758</f>
        <v>0</v>
      </c>
      <c r="I50" s="35"/>
      <c r="J50" s="38">
        <v>37</v>
      </c>
      <c r="K50" s="39">
        <f>資料儲存!D878</f>
        <v>0</v>
      </c>
      <c r="L50" s="39">
        <f>資料儲存!E878</f>
        <v>0</v>
      </c>
      <c r="M50" s="39">
        <f>資料儲存!F878</f>
        <v>0</v>
      </c>
      <c r="N50" s="39">
        <f>資料儲存!G878</f>
        <v>0</v>
      </c>
      <c r="O50" s="39">
        <f>資料儲存!H878</f>
        <v>0</v>
      </c>
      <c r="P50" s="39">
        <f>資料儲存!I878</f>
        <v>0</v>
      </c>
      <c r="Q50" s="39">
        <f>資料儲存!J878</f>
        <v>0</v>
      </c>
      <c r="R50" s="35"/>
      <c r="S50" s="38">
        <v>37</v>
      </c>
      <c r="T50" s="39">
        <f>資料儲存!D998</f>
        <v>0</v>
      </c>
      <c r="U50" s="39">
        <f>資料儲存!E998</f>
        <v>0</v>
      </c>
      <c r="V50" s="39">
        <f>資料儲存!F998</f>
        <v>0</v>
      </c>
      <c r="W50" s="39">
        <f>資料儲存!G998</f>
        <v>0</v>
      </c>
      <c r="X50" s="39">
        <f>資料儲存!H998</f>
        <v>0</v>
      </c>
      <c r="Y50" s="39">
        <f>資料儲存!I998</f>
        <v>0</v>
      </c>
      <c r="Z50" s="39">
        <f>資料儲存!J998</f>
        <v>0</v>
      </c>
      <c r="AA50" s="35"/>
      <c r="AB50" s="38">
        <v>37</v>
      </c>
      <c r="AC50" s="39">
        <f>資料儲存!D1118</f>
        <v>0</v>
      </c>
      <c r="AD50" s="39">
        <f>資料儲存!E1118</f>
        <v>0</v>
      </c>
      <c r="AE50" s="39">
        <f>資料儲存!F1118</f>
        <v>0</v>
      </c>
      <c r="AF50" s="39">
        <f>資料儲存!G1118</f>
        <v>0</v>
      </c>
      <c r="AG50" s="39">
        <f>資料儲存!H1118</f>
        <v>0</v>
      </c>
      <c r="AH50" s="39">
        <f>資料儲存!I1118</f>
        <v>0</v>
      </c>
      <c r="AI50" s="39">
        <f>資料儲存!J1118</f>
        <v>0</v>
      </c>
      <c r="AJ50" s="13"/>
      <c r="AK50" s="38">
        <v>37</v>
      </c>
      <c r="AL50" s="39">
        <f>資料儲存!D1238</f>
        <v>0</v>
      </c>
      <c r="AM50" s="39">
        <f>資料儲存!E1238</f>
        <v>0</v>
      </c>
      <c r="AN50" s="39">
        <f>資料儲存!F1238</f>
        <v>0</v>
      </c>
      <c r="AO50" s="39">
        <f>資料儲存!G1238</f>
        <v>0</v>
      </c>
      <c r="AP50" s="39">
        <f>資料儲存!H1238</f>
        <v>0</v>
      </c>
      <c r="AQ50" s="39">
        <f>資料儲存!I1238</f>
        <v>0</v>
      </c>
      <c r="AR50" s="39">
        <f>資料儲存!J1238</f>
        <v>0</v>
      </c>
      <c r="AT50" s="38">
        <v>37</v>
      </c>
      <c r="AU50" s="39">
        <f>資料儲存!D1358</f>
        <v>0</v>
      </c>
      <c r="AV50" s="39">
        <f>資料儲存!E1358</f>
        <v>0</v>
      </c>
      <c r="AW50" s="39">
        <f>資料儲存!F1358</f>
        <v>0</v>
      </c>
      <c r="AX50" s="39">
        <f>資料儲存!G1358</f>
        <v>0</v>
      </c>
      <c r="AY50" s="39">
        <f>資料儲存!H1358</f>
        <v>0</v>
      </c>
      <c r="AZ50" s="39">
        <f>資料儲存!I1358</f>
        <v>0</v>
      </c>
      <c r="BA50" s="39">
        <f>資料儲存!J1358</f>
        <v>0</v>
      </c>
    </row>
    <row r="51" spans="1:53" ht="16" thickBot="1">
      <c r="A51" s="38">
        <v>38</v>
      </c>
      <c r="B51" s="39">
        <f>資料儲存!D759</f>
        <v>0</v>
      </c>
      <c r="C51" s="39">
        <f>資料儲存!E759</f>
        <v>0</v>
      </c>
      <c r="D51" s="39">
        <f>資料儲存!F759</f>
        <v>0</v>
      </c>
      <c r="E51" s="39">
        <f>資料儲存!G759</f>
        <v>0</v>
      </c>
      <c r="F51" s="39">
        <f>資料儲存!H759</f>
        <v>0</v>
      </c>
      <c r="G51" s="39">
        <f>資料儲存!I759</f>
        <v>0</v>
      </c>
      <c r="H51" s="39">
        <f>資料儲存!J759</f>
        <v>0</v>
      </c>
      <c r="I51" s="35"/>
      <c r="J51" s="38">
        <v>38</v>
      </c>
      <c r="K51" s="39">
        <f>資料儲存!D879</f>
        <v>0</v>
      </c>
      <c r="L51" s="39">
        <f>資料儲存!E879</f>
        <v>0</v>
      </c>
      <c r="M51" s="39">
        <f>資料儲存!F879</f>
        <v>0</v>
      </c>
      <c r="N51" s="39">
        <f>資料儲存!G879</f>
        <v>0</v>
      </c>
      <c r="O51" s="39">
        <f>資料儲存!H879</f>
        <v>0</v>
      </c>
      <c r="P51" s="39">
        <f>資料儲存!I879</f>
        <v>0</v>
      </c>
      <c r="Q51" s="39">
        <f>資料儲存!J879</f>
        <v>0</v>
      </c>
      <c r="R51" s="35"/>
      <c r="S51" s="38">
        <v>38</v>
      </c>
      <c r="T51" s="39">
        <f>資料儲存!D999</f>
        <v>0</v>
      </c>
      <c r="U51" s="39">
        <f>資料儲存!E999</f>
        <v>0</v>
      </c>
      <c r="V51" s="39">
        <f>資料儲存!F999</f>
        <v>0</v>
      </c>
      <c r="W51" s="39">
        <f>資料儲存!G999</f>
        <v>0</v>
      </c>
      <c r="X51" s="39">
        <f>資料儲存!H999</f>
        <v>0</v>
      </c>
      <c r="Y51" s="39">
        <f>資料儲存!I999</f>
        <v>0</v>
      </c>
      <c r="Z51" s="39">
        <f>資料儲存!J999</f>
        <v>0</v>
      </c>
      <c r="AA51" s="35"/>
      <c r="AB51" s="38">
        <v>38</v>
      </c>
      <c r="AC51" s="39">
        <f>資料儲存!D1119</f>
        <v>0</v>
      </c>
      <c r="AD51" s="39">
        <f>資料儲存!E1119</f>
        <v>0</v>
      </c>
      <c r="AE51" s="39">
        <f>資料儲存!F1119</f>
        <v>0</v>
      </c>
      <c r="AF51" s="39">
        <f>資料儲存!G1119</f>
        <v>0</v>
      </c>
      <c r="AG51" s="39">
        <f>資料儲存!H1119</f>
        <v>0</v>
      </c>
      <c r="AH51" s="39">
        <f>資料儲存!I1119</f>
        <v>0</v>
      </c>
      <c r="AI51" s="39">
        <f>資料儲存!J1119</f>
        <v>0</v>
      </c>
      <c r="AJ51" s="13"/>
      <c r="AK51" s="38">
        <v>38</v>
      </c>
      <c r="AL51" s="39">
        <f>資料儲存!D1239</f>
        <v>0</v>
      </c>
      <c r="AM51" s="39">
        <f>資料儲存!E1239</f>
        <v>0</v>
      </c>
      <c r="AN51" s="39">
        <f>資料儲存!F1239</f>
        <v>0</v>
      </c>
      <c r="AO51" s="39">
        <f>資料儲存!G1239</f>
        <v>0</v>
      </c>
      <c r="AP51" s="39">
        <f>資料儲存!H1239</f>
        <v>0</v>
      </c>
      <c r="AQ51" s="39">
        <f>資料儲存!I1239</f>
        <v>0</v>
      </c>
      <c r="AR51" s="39">
        <f>資料儲存!J1239</f>
        <v>0</v>
      </c>
      <c r="AT51" s="38">
        <v>38</v>
      </c>
      <c r="AU51" s="39">
        <f>資料儲存!D1359</f>
        <v>0</v>
      </c>
      <c r="AV51" s="39">
        <f>資料儲存!E1359</f>
        <v>0</v>
      </c>
      <c r="AW51" s="39">
        <f>資料儲存!F1359</f>
        <v>0</v>
      </c>
      <c r="AX51" s="39">
        <f>資料儲存!G1359</f>
        <v>0</v>
      </c>
      <c r="AY51" s="39">
        <f>資料儲存!H1359</f>
        <v>0</v>
      </c>
      <c r="AZ51" s="39">
        <f>資料儲存!I1359</f>
        <v>0</v>
      </c>
      <c r="BA51" s="39">
        <f>資料儲存!J1359</f>
        <v>0</v>
      </c>
    </row>
    <row r="52" spans="1:53" ht="16" thickBot="1">
      <c r="A52" s="38">
        <v>39</v>
      </c>
      <c r="B52" s="39">
        <f>資料儲存!D760</f>
        <v>0</v>
      </c>
      <c r="C52" s="39">
        <f>資料儲存!E760</f>
        <v>0</v>
      </c>
      <c r="D52" s="39">
        <f>資料儲存!F760</f>
        <v>0</v>
      </c>
      <c r="E52" s="39">
        <f>資料儲存!G760</f>
        <v>0</v>
      </c>
      <c r="F52" s="39">
        <f>資料儲存!H760</f>
        <v>0</v>
      </c>
      <c r="G52" s="39">
        <f>資料儲存!I760</f>
        <v>0</v>
      </c>
      <c r="H52" s="39">
        <f>資料儲存!J760</f>
        <v>0</v>
      </c>
      <c r="I52" s="35"/>
      <c r="J52" s="38">
        <v>39</v>
      </c>
      <c r="K52" s="39">
        <f>資料儲存!D880</f>
        <v>0</v>
      </c>
      <c r="L52" s="39">
        <f>資料儲存!E880</f>
        <v>0</v>
      </c>
      <c r="M52" s="39">
        <f>資料儲存!F880</f>
        <v>0</v>
      </c>
      <c r="N52" s="39">
        <f>資料儲存!G880</f>
        <v>0</v>
      </c>
      <c r="O52" s="39">
        <f>資料儲存!H880</f>
        <v>0</v>
      </c>
      <c r="P52" s="39">
        <f>資料儲存!I880</f>
        <v>0</v>
      </c>
      <c r="Q52" s="39">
        <f>資料儲存!J880</f>
        <v>0</v>
      </c>
      <c r="R52" s="35"/>
      <c r="S52" s="38">
        <v>39</v>
      </c>
      <c r="T52" s="39">
        <f>資料儲存!D1000</f>
        <v>0</v>
      </c>
      <c r="U52" s="39">
        <f>資料儲存!E1000</f>
        <v>0</v>
      </c>
      <c r="V52" s="39">
        <f>資料儲存!F1000</f>
        <v>0</v>
      </c>
      <c r="W52" s="39">
        <f>資料儲存!G1000</f>
        <v>0</v>
      </c>
      <c r="X52" s="39">
        <f>資料儲存!H1000</f>
        <v>0</v>
      </c>
      <c r="Y52" s="39">
        <f>資料儲存!I1000</f>
        <v>0</v>
      </c>
      <c r="Z52" s="39">
        <f>資料儲存!J1000</f>
        <v>0</v>
      </c>
      <c r="AA52" s="35"/>
      <c r="AB52" s="38">
        <v>39</v>
      </c>
      <c r="AC52" s="39">
        <f>資料儲存!D1120</f>
        <v>0</v>
      </c>
      <c r="AD52" s="39">
        <f>資料儲存!E1120</f>
        <v>0</v>
      </c>
      <c r="AE52" s="39">
        <f>資料儲存!F1120</f>
        <v>0</v>
      </c>
      <c r="AF52" s="39">
        <f>資料儲存!G1120</f>
        <v>0</v>
      </c>
      <c r="AG52" s="39">
        <f>資料儲存!H1120</f>
        <v>0</v>
      </c>
      <c r="AH52" s="39">
        <f>資料儲存!I1120</f>
        <v>0</v>
      </c>
      <c r="AI52" s="39">
        <f>資料儲存!J1120</f>
        <v>0</v>
      </c>
      <c r="AJ52" s="13"/>
      <c r="AK52" s="38">
        <v>39</v>
      </c>
      <c r="AL52" s="39">
        <f>資料儲存!D1240</f>
        <v>0</v>
      </c>
      <c r="AM52" s="39">
        <f>資料儲存!E1240</f>
        <v>0</v>
      </c>
      <c r="AN52" s="39">
        <f>資料儲存!F1240</f>
        <v>0</v>
      </c>
      <c r="AO52" s="39">
        <f>資料儲存!G1240</f>
        <v>0</v>
      </c>
      <c r="AP52" s="39">
        <f>資料儲存!H1240</f>
        <v>0</v>
      </c>
      <c r="AQ52" s="39">
        <f>資料儲存!I1240</f>
        <v>0</v>
      </c>
      <c r="AR52" s="39">
        <f>資料儲存!J1240</f>
        <v>0</v>
      </c>
      <c r="AT52" s="38">
        <v>39</v>
      </c>
      <c r="AU52" s="39">
        <f>資料儲存!D1360</f>
        <v>0</v>
      </c>
      <c r="AV52" s="39">
        <f>資料儲存!E1360</f>
        <v>0</v>
      </c>
      <c r="AW52" s="39">
        <f>資料儲存!F1360</f>
        <v>0</v>
      </c>
      <c r="AX52" s="39">
        <f>資料儲存!G1360</f>
        <v>0</v>
      </c>
      <c r="AY52" s="39">
        <f>資料儲存!H1360</f>
        <v>0</v>
      </c>
      <c r="AZ52" s="39">
        <f>資料儲存!I1360</f>
        <v>0</v>
      </c>
      <c r="BA52" s="39">
        <f>資料儲存!J1360</f>
        <v>0</v>
      </c>
    </row>
    <row r="53" spans="1:53" ht="16" thickBot="1">
      <c r="A53" s="38">
        <v>40</v>
      </c>
      <c r="B53" s="39">
        <f>資料儲存!D761</f>
        <v>0</v>
      </c>
      <c r="C53" s="39">
        <f>資料儲存!E761</f>
        <v>0</v>
      </c>
      <c r="D53" s="39">
        <f>資料儲存!F761</f>
        <v>0</v>
      </c>
      <c r="E53" s="39">
        <f>資料儲存!G761</f>
        <v>0</v>
      </c>
      <c r="F53" s="39">
        <f>資料儲存!H761</f>
        <v>0</v>
      </c>
      <c r="G53" s="39">
        <f>資料儲存!I761</f>
        <v>0</v>
      </c>
      <c r="H53" s="39">
        <f>資料儲存!J761</f>
        <v>0</v>
      </c>
      <c r="I53" s="35"/>
      <c r="J53" s="38">
        <v>40</v>
      </c>
      <c r="K53" s="39">
        <f>資料儲存!D881</f>
        <v>0</v>
      </c>
      <c r="L53" s="39">
        <f>資料儲存!E881</f>
        <v>0</v>
      </c>
      <c r="M53" s="39">
        <f>資料儲存!F881</f>
        <v>0</v>
      </c>
      <c r="N53" s="39">
        <f>資料儲存!G881</f>
        <v>0</v>
      </c>
      <c r="O53" s="39">
        <f>資料儲存!H881</f>
        <v>0</v>
      </c>
      <c r="P53" s="39">
        <f>資料儲存!I881</f>
        <v>0</v>
      </c>
      <c r="Q53" s="39">
        <f>資料儲存!J881</f>
        <v>0</v>
      </c>
      <c r="R53" s="35"/>
      <c r="S53" s="38">
        <v>40</v>
      </c>
      <c r="T53" s="39">
        <f>資料儲存!D1001</f>
        <v>0</v>
      </c>
      <c r="U53" s="39">
        <f>資料儲存!E1001</f>
        <v>0</v>
      </c>
      <c r="V53" s="39">
        <f>資料儲存!F1001</f>
        <v>0</v>
      </c>
      <c r="W53" s="39">
        <f>資料儲存!G1001</f>
        <v>0</v>
      </c>
      <c r="X53" s="39">
        <f>資料儲存!H1001</f>
        <v>0</v>
      </c>
      <c r="Y53" s="39">
        <f>資料儲存!I1001</f>
        <v>0</v>
      </c>
      <c r="Z53" s="39">
        <f>資料儲存!J1001</f>
        <v>0</v>
      </c>
      <c r="AA53" s="35"/>
      <c r="AB53" s="38">
        <v>40</v>
      </c>
      <c r="AC53" s="39">
        <f>資料儲存!D1121</f>
        <v>0</v>
      </c>
      <c r="AD53" s="39">
        <f>資料儲存!E1121</f>
        <v>0</v>
      </c>
      <c r="AE53" s="39">
        <f>資料儲存!F1121</f>
        <v>0</v>
      </c>
      <c r="AF53" s="39">
        <f>資料儲存!G1121</f>
        <v>0</v>
      </c>
      <c r="AG53" s="39">
        <f>資料儲存!H1121</f>
        <v>0</v>
      </c>
      <c r="AH53" s="39">
        <f>資料儲存!I1121</f>
        <v>0</v>
      </c>
      <c r="AI53" s="39">
        <f>資料儲存!J1121</f>
        <v>0</v>
      </c>
      <c r="AJ53" s="13"/>
      <c r="AK53" s="38">
        <v>40</v>
      </c>
      <c r="AL53" s="39">
        <f>資料儲存!D1241</f>
        <v>0</v>
      </c>
      <c r="AM53" s="39">
        <f>資料儲存!E1241</f>
        <v>0</v>
      </c>
      <c r="AN53" s="39">
        <f>資料儲存!F1241</f>
        <v>0</v>
      </c>
      <c r="AO53" s="39">
        <f>資料儲存!G1241</f>
        <v>0</v>
      </c>
      <c r="AP53" s="39">
        <f>資料儲存!H1241</f>
        <v>0</v>
      </c>
      <c r="AQ53" s="39">
        <f>資料儲存!I1241</f>
        <v>0</v>
      </c>
      <c r="AR53" s="39">
        <f>資料儲存!J1241</f>
        <v>0</v>
      </c>
      <c r="AT53" s="38">
        <v>40</v>
      </c>
      <c r="AU53" s="39">
        <f>資料儲存!D1361</f>
        <v>0</v>
      </c>
      <c r="AV53" s="39">
        <f>資料儲存!E1361</f>
        <v>0</v>
      </c>
      <c r="AW53" s="39">
        <f>資料儲存!F1361</f>
        <v>0</v>
      </c>
      <c r="AX53" s="39">
        <f>資料儲存!G1361</f>
        <v>0</v>
      </c>
      <c r="AY53" s="39">
        <f>資料儲存!H1361</f>
        <v>0</v>
      </c>
      <c r="AZ53" s="39">
        <f>資料儲存!I1361</f>
        <v>0</v>
      </c>
      <c r="BA53" s="39">
        <f>資料儲存!J1361</f>
        <v>0</v>
      </c>
    </row>
    <row r="54" spans="1:53" ht="16" thickBot="1">
      <c r="A54" s="38">
        <v>41</v>
      </c>
      <c r="B54" s="39">
        <f>資料儲存!D762</f>
        <v>0</v>
      </c>
      <c r="C54" s="39">
        <f>資料儲存!E762</f>
        <v>0</v>
      </c>
      <c r="D54" s="39">
        <f>資料儲存!F762</f>
        <v>0</v>
      </c>
      <c r="E54" s="39">
        <f>資料儲存!G762</f>
        <v>0</v>
      </c>
      <c r="F54" s="39">
        <f>資料儲存!H762</f>
        <v>0</v>
      </c>
      <c r="G54" s="39">
        <f>資料儲存!I762</f>
        <v>0</v>
      </c>
      <c r="H54" s="39">
        <f>資料儲存!J762</f>
        <v>0</v>
      </c>
      <c r="I54" s="35"/>
      <c r="J54" s="38">
        <v>41</v>
      </c>
      <c r="K54" s="39">
        <f>資料儲存!D882</f>
        <v>0</v>
      </c>
      <c r="L54" s="39">
        <f>資料儲存!E882</f>
        <v>0</v>
      </c>
      <c r="M54" s="39">
        <f>資料儲存!F882</f>
        <v>0</v>
      </c>
      <c r="N54" s="39">
        <f>資料儲存!G882</f>
        <v>0</v>
      </c>
      <c r="O54" s="39">
        <f>資料儲存!H882</f>
        <v>0</v>
      </c>
      <c r="P54" s="39">
        <f>資料儲存!I882</f>
        <v>0</v>
      </c>
      <c r="Q54" s="39">
        <f>資料儲存!J882</f>
        <v>0</v>
      </c>
      <c r="R54" s="35"/>
      <c r="S54" s="38">
        <v>41</v>
      </c>
      <c r="T54" s="39">
        <f>資料儲存!D1002</f>
        <v>0</v>
      </c>
      <c r="U54" s="39">
        <f>資料儲存!E1002</f>
        <v>0</v>
      </c>
      <c r="V54" s="39">
        <f>資料儲存!F1002</f>
        <v>0</v>
      </c>
      <c r="W54" s="39">
        <f>資料儲存!G1002</f>
        <v>0</v>
      </c>
      <c r="X54" s="39">
        <f>資料儲存!H1002</f>
        <v>0</v>
      </c>
      <c r="Y54" s="39">
        <f>資料儲存!I1002</f>
        <v>0</v>
      </c>
      <c r="Z54" s="39">
        <f>資料儲存!J1002</f>
        <v>0</v>
      </c>
      <c r="AA54" s="35"/>
      <c r="AB54" s="38">
        <v>41</v>
      </c>
      <c r="AC54" s="39">
        <f>資料儲存!D1122</f>
        <v>0</v>
      </c>
      <c r="AD54" s="39">
        <f>資料儲存!E1122</f>
        <v>0</v>
      </c>
      <c r="AE54" s="39">
        <f>資料儲存!F1122</f>
        <v>0</v>
      </c>
      <c r="AF54" s="39">
        <f>資料儲存!G1122</f>
        <v>0</v>
      </c>
      <c r="AG54" s="39">
        <f>資料儲存!H1122</f>
        <v>0</v>
      </c>
      <c r="AH54" s="39">
        <f>資料儲存!I1122</f>
        <v>0</v>
      </c>
      <c r="AI54" s="39">
        <f>資料儲存!J1122</f>
        <v>0</v>
      </c>
      <c r="AJ54" s="13"/>
      <c r="AK54" s="38">
        <v>41</v>
      </c>
      <c r="AL54" s="39">
        <f>資料儲存!D1242</f>
        <v>0</v>
      </c>
      <c r="AM54" s="39">
        <f>資料儲存!E1242</f>
        <v>0</v>
      </c>
      <c r="AN54" s="39">
        <f>資料儲存!F1242</f>
        <v>0</v>
      </c>
      <c r="AO54" s="39">
        <f>資料儲存!G1242</f>
        <v>0</v>
      </c>
      <c r="AP54" s="39">
        <f>資料儲存!H1242</f>
        <v>0</v>
      </c>
      <c r="AQ54" s="39">
        <f>資料儲存!I1242</f>
        <v>0</v>
      </c>
      <c r="AR54" s="39">
        <f>資料儲存!J1242</f>
        <v>0</v>
      </c>
      <c r="AT54" s="38">
        <v>41</v>
      </c>
      <c r="AU54" s="39">
        <f>資料儲存!D1362</f>
        <v>0</v>
      </c>
      <c r="AV54" s="39">
        <f>資料儲存!E1362</f>
        <v>0</v>
      </c>
      <c r="AW54" s="39">
        <f>資料儲存!F1362</f>
        <v>0</v>
      </c>
      <c r="AX54" s="39">
        <f>資料儲存!G1362</f>
        <v>0</v>
      </c>
      <c r="AY54" s="39">
        <f>資料儲存!H1362</f>
        <v>0</v>
      </c>
      <c r="AZ54" s="39">
        <f>資料儲存!I1362</f>
        <v>0</v>
      </c>
      <c r="BA54" s="39">
        <f>資料儲存!J1362</f>
        <v>0</v>
      </c>
    </row>
    <row r="55" spans="1:53" ht="16" thickBot="1">
      <c r="A55" s="38">
        <v>42</v>
      </c>
      <c r="B55" s="39">
        <f>資料儲存!D763</f>
        <v>0</v>
      </c>
      <c r="C55" s="39">
        <f>資料儲存!E763</f>
        <v>0</v>
      </c>
      <c r="D55" s="39">
        <f>資料儲存!F763</f>
        <v>0</v>
      </c>
      <c r="E55" s="39">
        <f>資料儲存!G763</f>
        <v>0</v>
      </c>
      <c r="F55" s="39">
        <f>資料儲存!H763</f>
        <v>0</v>
      </c>
      <c r="G55" s="39">
        <f>資料儲存!I763</f>
        <v>0</v>
      </c>
      <c r="H55" s="39">
        <f>資料儲存!J763</f>
        <v>0</v>
      </c>
      <c r="I55" s="35"/>
      <c r="J55" s="38">
        <v>42</v>
      </c>
      <c r="K55" s="39">
        <f>資料儲存!D883</f>
        <v>0</v>
      </c>
      <c r="L55" s="39">
        <f>資料儲存!E883</f>
        <v>0</v>
      </c>
      <c r="M55" s="39">
        <f>資料儲存!F883</f>
        <v>0</v>
      </c>
      <c r="N55" s="39">
        <f>資料儲存!G883</f>
        <v>0</v>
      </c>
      <c r="O55" s="39">
        <f>資料儲存!H883</f>
        <v>0</v>
      </c>
      <c r="P55" s="39">
        <f>資料儲存!I883</f>
        <v>0</v>
      </c>
      <c r="Q55" s="39">
        <f>資料儲存!J883</f>
        <v>0</v>
      </c>
      <c r="R55" s="35"/>
      <c r="S55" s="38">
        <v>42</v>
      </c>
      <c r="T55" s="39">
        <f>資料儲存!D1003</f>
        <v>0</v>
      </c>
      <c r="U55" s="39">
        <f>資料儲存!E1003</f>
        <v>0</v>
      </c>
      <c r="V55" s="39">
        <f>資料儲存!F1003</f>
        <v>0</v>
      </c>
      <c r="W55" s="39">
        <f>資料儲存!G1003</f>
        <v>0</v>
      </c>
      <c r="X55" s="39">
        <f>資料儲存!H1003</f>
        <v>0</v>
      </c>
      <c r="Y55" s="39">
        <f>資料儲存!I1003</f>
        <v>0</v>
      </c>
      <c r="Z55" s="39">
        <f>資料儲存!J1003</f>
        <v>0</v>
      </c>
      <c r="AA55" s="35"/>
      <c r="AB55" s="38">
        <v>42</v>
      </c>
      <c r="AC55" s="39">
        <f>資料儲存!D1123</f>
        <v>0</v>
      </c>
      <c r="AD55" s="39">
        <f>資料儲存!E1123</f>
        <v>0</v>
      </c>
      <c r="AE55" s="39">
        <f>資料儲存!F1123</f>
        <v>0</v>
      </c>
      <c r="AF55" s="39">
        <f>資料儲存!G1123</f>
        <v>0</v>
      </c>
      <c r="AG55" s="39">
        <f>資料儲存!H1123</f>
        <v>0</v>
      </c>
      <c r="AH55" s="39">
        <f>資料儲存!I1123</f>
        <v>0</v>
      </c>
      <c r="AI55" s="39">
        <f>資料儲存!J1123</f>
        <v>0</v>
      </c>
      <c r="AJ55" s="13"/>
      <c r="AK55" s="38">
        <v>42</v>
      </c>
      <c r="AL55" s="39">
        <f>資料儲存!D1243</f>
        <v>0</v>
      </c>
      <c r="AM55" s="39">
        <f>資料儲存!E1243</f>
        <v>0</v>
      </c>
      <c r="AN55" s="39">
        <f>資料儲存!F1243</f>
        <v>0</v>
      </c>
      <c r="AO55" s="39">
        <f>資料儲存!G1243</f>
        <v>0</v>
      </c>
      <c r="AP55" s="39">
        <f>資料儲存!H1243</f>
        <v>0</v>
      </c>
      <c r="AQ55" s="39">
        <f>資料儲存!I1243</f>
        <v>0</v>
      </c>
      <c r="AR55" s="39">
        <f>資料儲存!J1243</f>
        <v>0</v>
      </c>
      <c r="AT55" s="38">
        <v>42</v>
      </c>
      <c r="AU55" s="39">
        <f>資料儲存!D1363</f>
        <v>0</v>
      </c>
      <c r="AV55" s="39">
        <f>資料儲存!E1363</f>
        <v>0</v>
      </c>
      <c r="AW55" s="39">
        <f>資料儲存!F1363</f>
        <v>0</v>
      </c>
      <c r="AX55" s="39">
        <f>資料儲存!G1363</f>
        <v>0</v>
      </c>
      <c r="AY55" s="39">
        <f>資料儲存!H1363</f>
        <v>0</v>
      </c>
      <c r="AZ55" s="39">
        <f>資料儲存!I1363</f>
        <v>0</v>
      </c>
      <c r="BA55" s="39">
        <f>資料儲存!J1363</f>
        <v>0</v>
      </c>
    </row>
    <row r="56" spans="1:53" ht="16" thickBot="1">
      <c r="A56" s="38">
        <v>43</v>
      </c>
      <c r="B56" s="39">
        <f>資料儲存!D764</f>
        <v>0</v>
      </c>
      <c r="C56" s="39">
        <f>資料儲存!E764</f>
        <v>0</v>
      </c>
      <c r="D56" s="39">
        <f>資料儲存!F764</f>
        <v>0</v>
      </c>
      <c r="E56" s="39">
        <f>資料儲存!G764</f>
        <v>0</v>
      </c>
      <c r="F56" s="39">
        <f>資料儲存!H764</f>
        <v>0</v>
      </c>
      <c r="G56" s="39">
        <f>資料儲存!I764</f>
        <v>0</v>
      </c>
      <c r="H56" s="39">
        <f>資料儲存!J764</f>
        <v>0</v>
      </c>
      <c r="I56" s="35"/>
      <c r="J56" s="38">
        <v>43</v>
      </c>
      <c r="K56" s="39">
        <f>資料儲存!D884</f>
        <v>0</v>
      </c>
      <c r="L56" s="39">
        <f>資料儲存!E884</f>
        <v>0</v>
      </c>
      <c r="M56" s="39">
        <f>資料儲存!F884</f>
        <v>0</v>
      </c>
      <c r="N56" s="39">
        <f>資料儲存!G884</f>
        <v>0</v>
      </c>
      <c r="O56" s="39">
        <f>資料儲存!H884</f>
        <v>0</v>
      </c>
      <c r="P56" s="39">
        <f>資料儲存!I884</f>
        <v>0</v>
      </c>
      <c r="Q56" s="39">
        <f>資料儲存!J884</f>
        <v>0</v>
      </c>
      <c r="R56" s="35"/>
      <c r="S56" s="38">
        <v>43</v>
      </c>
      <c r="T56" s="39">
        <f>資料儲存!D1004</f>
        <v>0</v>
      </c>
      <c r="U56" s="39">
        <f>資料儲存!E1004</f>
        <v>0</v>
      </c>
      <c r="V56" s="39">
        <f>資料儲存!F1004</f>
        <v>0</v>
      </c>
      <c r="W56" s="39">
        <f>資料儲存!G1004</f>
        <v>0</v>
      </c>
      <c r="X56" s="39">
        <f>資料儲存!H1004</f>
        <v>0</v>
      </c>
      <c r="Y56" s="39">
        <f>資料儲存!I1004</f>
        <v>0</v>
      </c>
      <c r="Z56" s="39">
        <f>資料儲存!J1004</f>
        <v>0</v>
      </c>
      <c r="AA56" s="35"/>
      <c r="AB56" s="38">
        <v>43</v>
      </c>
      <c r="AC56" s="39">
        <f>資料儲存!D1124</f>
        <v>0</v>
      </c>
      <c r="AD56" s="39">
        <f>資料儲存!E1124</f>
        <v>0</v>
      </c>
      <c r="AE56" s="39">
        <f>資料儲存!F1124</f>
        <v>0</v>
      </c>
      <c r="AF56" s="39">
        <f>資料儲存!G1124</f>
        <v>0</v>
      </c>
      <c r="AG56" s="39">
        <f>資料儲存!H1124</f>
        <v>0</v>
      </c>
      <c r="AH56" s="39">
        <f>資料儲存!I1124</f>
        <v>0</v>
      </c>
      <c r="AI56" s="39">
        <f>資料儲存!J1124</f>
        <v>0</v>
      </c>
      <c r="AJ56" s="13"/>
      <c r="AK56" s="38">
        <v>43</v>
      </c>
      <c r="AL56" s="39">
        <f>資料儲存!D1244</f>
        <v>0</v>
      </c>
      <c r="AM56" s="39">
        <f>資料儲存!E1244</f>
        <v>0</v>
      </c>
      <c r="AN56" s="39">
        <f>資料儲存!F1244</f>
        <v>0</v>
      </c>
      <c r="AO56" s="39">
        <f>資料儲存!G1244</f>
        <v>0</v>
      </c>
      <c r="AP56" s="39">
        <f>資料儲存!H1244</f>
        <v>0</v>
      </c>
      <c r="AQ56" s="39">
        <f>資料儲存!I1244</f>
        <v>0</v>
      </c>
      <c r="AR56" s="39">
        <f>資料儲存!J1244</f>
        <v>0</v>
      </c>
      <c r="AT56" s="38">
        <v>43</v>
      </c>
      <c r="AU56" s="39">
        <f>資料儲存!D1364</f>
        <v>0</v>
      </c>
      <c r="AV56" s="39">
        <f>資料儲存!E1364</f>
        <v>0</v>
      </c>
      <c r="AW56" s="39">
        <f>資料儲存!F1364</f>
        <v>0</v>
      </c>
      <c r="AX56" s="39">
        <f>資料儲存!G1364</f>
        <v>0</v>
      </c>
      <c r="AY56" s="39">
        <f>資料儲存!H1364</f>
        <v>0</v>
      </c>
      <c r="AZ56" s="39">
        <f>資料儲存!I1364</f>
        <v>0</v>
      </c>
      <c r="BA56" s="39">
        <f>資料儲存!J1364</f>
        <v>0</v>
      </c>
    </row>
    <row r="57" spans="1:53" ht="16" thickBot="1">
      <c r="A57" s="38">
        <v>44</v>
      </c>
      <c r="B57" s="39">
        <f>資料儲存!D765</f>
        <v>0</v>
      </c>
      <c r="C57" s="39">
        <f>資料儲存!E765</f>
        <v>0</v>
      </c>
      <c r="D57" s="39">
        <f>資料儲存!F765</f>
        <v>0</v>
      </c>
      <c r="E57" s="39">
        <f>資料儲存!G765</f>
        <v>0</v>
      </c>
      <c r="F57" s="39">
        <f>資料儲存!H765</f>
        <v>0</v>
      </c>
      <c r="G57" s="39">
        <f>資料儲存!I765</f>
        <v>0</v>
      </c>
      <c r="H57" s="39">
        <f>資料儲存!J765</f>
        <v>0</v>
      </c>
      <c r="I57" s="35"/>
      <c r="J57" s="38">
        <v>44</v>
      </c>
      <c r="K57" s="39">
        <f>資料儲存!D885</f>
        <v>0</v>
      </c>
      <c r="L57" s="39">
        <f>資料儲存!E885</f>
        <v>0</v>
      </c>
      <c r="M57" s="39">
        <f>資料儲存!F885</f>
        <v>0</v>
      </c>
      <c r="N57" s="39">
        <f>資料儲存!G885</f>
        <v>0</v>
      </c>
      <c r="O57" s="39">
        <f>資料儲存!H885</f>
        <v>0</v>
      </c>
      <c r="P57" s="39">
        <f>資料儲存!I885</f>
        <v>0</v>
      </c>
      <c r="Q57" s="39">
        <f>資料儲存!J885</f>
        <v>0</v>
      </c>
      <c r="R57" s="35"/>
      <c r="S57" s="38">
        <v>44</v>
      </c>
      <c r="T57" s="39">
        <f>資料儲存!D1005</f>
        <v>0</v>
      </c>
      <c r="U57" s="39">
        <f>資料儲存!E1005</f>
        <v>0</v>
      </c>
      <c r="V57" s="39">
        <f>資料儲存!F1005</f>
        <v>0</v>
      </c>
      <c r="W57" s="39">
        <f>資料儲存!G1005</f>
        <v>0</v>
      </c>
      <c r="X57" s="39">
        <f>資料儲存!H1005</f>
        <v>0</v>
      </c>
      <c r="Y57" s="39">
        <f>資料儲存!I1005</f>
        <v>0</v>
      </c>
      <c r="Z57" s="39">
        <f>資料儲存!J1005</f>
        <v>0</v>
      </c>
      <c r="AA57" s="35"/>
      <c r="AB57" s="38">
        <v>44</v>
      </c>
      <c r="AC57" s="39">
        <f>資料儲存!D1125</f>
        <v>0</v>
      </c>
      <c r="AD57" s="39">
        <f>資料儲存!E1125</f>
        <v>0</v>
      </c>
      <c r="AE57" s="39">
        <f>資料儲存!F1125</f>
        <v>0</v>
      </c>
      <c r="AF57" s="39">
        <f>資料儲存!G1125</f>
        <v>0</v>
      </c>
      <c r="AG57" s="39">
        <f>資料儲存!H1125</f>
        <v>0</v>
      </c>
      <c r="AH57" s="39">
        <f>資料儲存!I1125</f>
        <v>0</v>
      </c>
      <c r="AI57" s="39">
        <f>資料儲存!J1125</f>
        <v>0</v>
      </c>
      <c r="AJ57" s="13"/>
      <c r="AK57" s="38">
        <v>44</v>
      </c>
      <c r="AL57" s="39">
        <f>資料儲存!D1245</f>
        <v>0</v>
      </c>
      <c r="AM57" s="39">
        <f>資料儲存!E1245</f>
        <v>0</v>
      </c>
      <c r="AN57" s="39">
        <f>資料儲存!F1245</f>
        <v>0</v>
      </c>
      <c r="AO57" s="39">
        <f>資料儲存!G1245</f>
        <v>0</v>
      </c>
      <c r="AP57" s="39">
        <f>資料儲存!H1245</f>
        <v>0</v>
      </c>
      <c r="AQ57" s="39">
        <f>資料儲存!I1245</f>
        <v>0</v>
      </c>
      <c r="AR57" s="39">
        <f>資料儲存!J1245</f>
        <v>0</v>
      </c>
      <c r="AT57" s="38">
        <v>44</v>
      </c>
      <c r="AU57" s="39">
        <f>資料儲存!D1365</f>
        <v>0</v>
      </c>
      <c r="AV57" s="39">
        <f>資料儲存!E1365</f>
        <v>0</v>
      </c>
      <c r="AW57" s="39">
        <f>資料儲存!F1365</f>
        <v>0</v>
      </c>
      <c r="AX57" s="39">
        <f>資料儲存!G1365</f>
        <v>0</v>
      </c>
      <c r="AY57" s="39">
        <f>資料儲存!H1365</f>
        <v>0</v>
      </c>
      <c r="AZ57" s="39">
        <f>資料儲存!I1365</f>
        <v>0</v>
      </c>
      <c r="BA57" s="39">
        <f>資料儲存!J1365</f>
        <v>0</v>
      </c>
    </row>
    <row r="58" spans="1:53" ht="16" thickBot="1">
      <c r="A58" s="38">
        <v>45</v>
      </c>
      <c r="B58" s="39">
        <f>資料儲存!D766</f>
        <v>0</v>
      </c>
      <c r="C58" s="39">
        <f>資料儲存!E766</f>
        <v>0</v>
      </c>
      <c r="D58" s="39">
        <f>資料儲存!F766</f>
        <v>0</v>
      </c>
      <c r="E58" s="39">
        <f>資料儲存!G766</f>
        <v>0</v>
      </c>
      <c r="F58" s="39">
        <f>資料儲存!H766</f>
        <v>0</v>
      </c>
      <c r="G58" s="39">
        <f>資料儲存!I766</f>
        <v>0</v>
      </c>
      <c r="H58" s="39">
        <f>資料儲存!J766</f>
        <v>0</v>
      </c>
      <c r="I58" s="35"/>
      <c r="J58" s="38">
        <v>45</v>
      </c>
      <c r="K58" s="39">
        <f>資料儲存!D886</f>
        <v>0</v>
      </c>
      <c r="L58" s="39">
        <f>資料儲存!E886</f>
        <v>0</v>
      </c>
      <c r="M58" s="39">
        <f>資料儲存!F886</f>
        <v>0</v>
      </c>
      <c r="N58" s="39">
        <f>資料儲存!G886</f>
        <v>0</v>
      </c>
      <c r="O58" s="39">
        <f>資料儲存!H886</f>
        <v>0</v>
      </c>
      <c r="P58" s="39">
        <f>資料儲存!I886</f>
        <v>0</v>
      </c>
      <c r="Q58" s="39">
        <f>資料儲存!J886</f>
        <v>0</v>
      </c>
      <c r="R58" s="35"/>
      <c r="S58" s="38">
        <v>45</v>
      </c>
      <c r="T58" s="39">
        <f>資料儲存!D1006</f>
        <v>0</v>
      </c>
      <c r="U58" s="39">
        <f>資料儲存!E1006</f>
        <v>0</v>
      </c>
      <c r="V58" s="39">
        <f>資料儲存!F1006</f>
        <v>0</v>
      </c>
      <c r="W58" s="39">
        <f>資料儲存!G1006</f>
        <v>0</v>
      </c>
      <c r="X58" s="39">
        <f>資料儲存!H1006</f>
        <v>0</v>
      </c>
      <c r="Y58" s="39">
        <f>資料儲存!I1006</f>
        <v>0</v>
      </c>
      <c r="Z58" s="39">
        <f>資料儲存!J1006</f>
        <v>0</v>
      </c>
      <c r="AA58" s="35"/>
      <c r="AB58" s="38">
        <v>45</v>
      </c>
      <c r="AC58" s="39">
        <f>資料儲存!D1126</f>
        <v>0</v>
      </c>
      <c r="AD58" s="39">
        <f>資料儲存!E1126</f>
        <v>0</v>
      </c>
      <c r="AE58" s="39">
        <f>資料儲存!F1126</f>
        <v>0</v>
      </c>
      <c r="AF58" s="39">
        <f>資料儲存!G1126</f>
        <v>0</v>
      </c>
      <c r="AG58" s="39">
        <f>資料儲存!H1126</f>
        <v>0</v>
      </c>
      <c r="AH58" s="39">
        <f>資料儲存!I1126</f>
        <v>0</v>
      </c>
      <c r="AI58" s="39">
        <f>資料儲存!J1126</f>
        <v>0</v>
      </c>
      <c r="AJ58" s="13"/>
      <c r="AK58" s="38">
        <v>45</v>
      </c>
      <c r="AL58" s="39">
        <f>資料儲存!D1246</f>
        <v>0</v>
      </c>
      <c r="AM58" s="39">
        <f>資料儲存!E1246</f>
        <v>0</v>
      </c>
      <c r="AN58" s="39">
        <f>資料儲存!F1246</f>
        <v>0</v>
      </c>
      <c r="AO58" s="39">
        <f>資料儲存!G1246</f>
        <v>0</v>
      </c>
      <c r="AP58" s="39">
        <f>資料儲存!H1246</f>
        <v>0</v>
      </c>
      <c r="AQ58" s="39">
        <f>資料儲存!I1246</f>
        <v>0</v>
      </c>
      <c r="AR58" s="39">
        <f>資料儲存!J1246</f>
        <v>0</v>
      </c>
      <c r="AT58" s="38">
        <v>45</v>
      </c>
      <c r="AU58" s="39">
        <f>資料儲存!D1366</f>
        <v>0</v>
      </c>
      <c r="AV58" s="39">
        <f>資料儲存!E1366</f>
        <v>0</v>
      </c>
      <c r="AW58" s="39">
        <f>資料儲存!F1366</f>
        <v>0</v>
      </c>
      <c r="AX58" s="39">
        <f>資料儲存!G1366</f>
        <v>0</v>
      </c>
      <c r="AY58" s="39">
        <f>資料儲存!H1366</f>
        <v>0</v>
      </c>
      <c r="AZ58" s="39">
        <f>資料儲存!I1366</f>
        <v>0</v>
      </c>
      <c r="BA58" s="39">
        <f>資料儲存!J1366</f>
        <v>0</v>
      </c>
    </row>
    <row r="59" spans="1:53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13"/>
      <c r="AK59" s="40" t="s">
        <v>56</v>
      </c>
      <c r="AL59" s="39">
        <f>SUM(AL44:AO58)</f>
        <v>0</v>
      </c>
      <c r="AM59" s="37"/>
      <c r="AN59" s="37"/>
      <c r="AO59" s="37"/>
      <c r="AP59" s="39">
        <f>AP58</f>
        <v>0</v>
      </c>
      <c r="AQ59" s="39">
        <f>AQ58</f>
        <v>0</v>
      </c>
      <c r="AR59" s="39">
        <f>AR58</f>
        <v>0</v>
      </c>
      <c r="AT59" s="40" t="s">
        <v>56</v>
      </c>
      <c r="AU59" s="39">
        <f>SUM(AU44:AX58)</f>
        <v>0</v>
      </c>
      <c r="AV59" s="37"/>
      <c r="AW59" s="37"/>
      <c r="AX59" s="37"/>
      <c r="AY59" s="39">
        <f>AY58</f>
        <v>0</v>
      </c>
      <c r="AZ59" s="39">
        <f>AZ58</f>
        <v>0</v>
      </c>
      <c r="BA59" s="39">
        <f>BA58</f>
        <v>0</v>
      </c>
    </row>
    <row r="60" spans="1:53" ht="18.5" thickBot="1">
      <c r="A60" s="248" t="s">
        <v>61</v>
      </c>
      <c r="B60" s="249"/>
      <c r="C60" s="249"/>
      <c r="D60" s="249"/>
      <c r="E60" s="249"/>
      <c r="F60" s="249"/>
      <c r="G60" s="249"/>
      <c r="H60" s="250"/>
      <c r="I60" s="13"/>
      <c r="J60" s="248" t="s">
        <v>61</v>
      </c>
      <c r="K60" s="249"/>
      <c r="L60" s="249"/>
      <c r="M60" s="249"/>
      <c r="N60" s="249"/>
      <c r="O60" s="249"/>
      <c r="P60" s="249"/>
      <c r="Q60" s="250"/>
      <c r="R60" s="13"/>
      <c r="S60" s="248" t="s">
        <v>61</v>
      </c>
      <c r="T60" s="249"/>
      <c r="U60" s="249"/>
      <c r="V60" s="249"/>
      <c r="W60" s="249"/>
      <c r="X60" s="249"/>
      <c r="Y60" s="249"/>
      <c r="Z60" s="250"/>
      <c r="AA60" s="13"/>
      <c r="AB60" s="248" t="s">
        <v>61</v>
      </c>
      <c r="AC60" s="249"/>
      <c r="AD60" s="249"/>
      <c r="AE60" s="249"/>
      <c r="AF60" s="249"/>
      <c r="AG60" s="249"/>
      <c r="AH60" s="249"/>
      <c r="AI60" s="250"/>
      <c r="AJ60" s="13"/>
      <c r="AK60" s="248" t="s">
        <v>61</v>
      </c>
      <c r="AL60" s="249"/>
      <c r="AM60" s="249"/>
      <c r="AN60" s="249"/>
      <c r="AO60" s="249"/>
      <c r="AP60" s="249"/>
      <c r="AQ60" s="249"/>
      <c r="AR60" s="250"/>
      <c r="AT60" s="248" t="s">
        <v>61</v>
      </c>
      <c r="AU60" s="249"/>
      <c r="AV60" s="249"/>
      <c r="AW60" s="249"/>
      <c r="AX60" s="249"/>
      <c r="AY60" s="249"/>
      <c r="AZ60" s="249"/>
      <c r="BA60" s="250"/>
    </row>
    <row r="61" spans="1:53" ht="17.25" customHeight="1" thickBot="1">
      <c r="A61" s="41" t="s">
        <v>2</v>
      </c>
      <c r="B61" s="42" t="s">
        <v>46</v>
      </c>
      <c r="C61" s="43"/>
      <c r="D61" s="43"/>
      <c r="E61" s="44"/>
      <c r="F61" s="42" t="s">
        <v>47</v>
      </c>
      <c r="G61" s="43"/>
      <c r="H61" s="44"/>
      <c r="I61" s="45"/>
      <c r="J61" s="41" t="s">
        <v>2</v>
      </c>
      <c r="K61" s="42" t="s">
        <v>46</v>
      </c>
      <c r="L61" s="43"/>
      <c r="M61" s="43"/>
      <c r="N61" s="44"/>
      <c r="O61" s="42" t="s">
        <v>47</v>
      </c>
      <c r="P61" s="43"/>
      <c r="Q61" s="44"/>
      <c r="R61" s="45"/>
      <c r="S61" s="41" t="s">
        <v>2</v>
      </c>
      <c r="T61" s="42" t="s">
        <v>46</v>
      </c>
      <c r="U61" s="43"/>
      <c r="V61" s="43"/>
      <c r="W61" s="44"/>
      <c r="X61" s="42" t="s">
        <v>47</v>
      </c>
      <c r="Y61" s="43"/>
      <c r="Z61" s="44"/>
      <c r="AA61" s="45"/>
      <c r="AB61" s="41" t="s">
        <v>2</v>
      </c>
      <c r="AC61" s="42" t="s">
        <v>46</v>
      </c>
      <c r="AD61" s="43"/>
      <c r="AE61" s="43"/>
      <c r="AF61" s="44"/>
      <c r="AG61" s="42" t="s">
        <v>47</v>
      </c>
      <c r="AH61" s="43"/>
      <c r="AI61" s="44"/>
      <c r="AJ61" s="13"/>
      <c r="AK61" s="41" t="s">
        <v>2</v>
      </c>
      <c r="AL61" s="42" t="s">
        <v>46</v>
      </c>
      <c r="AM61" s="43"/>
      <c r="AN61" s="43"/>
      <c r="AO61" s="44"/>
      <c r="AP61" s="42" t="s">
        <v>47</v>
      </c>
      <c r="AQ61" s="43"/>
      <c r="AR61" s="44"/>
      <c r="AT61" s="41" t="s">
        <v>2</v>
      </c>
      <c r="AU61" s="42" t="s">
        <v>46</v>
      </c>
      <c r="AV61" s="43"/>
      <c r="AW61" s="43"/>
      <c r="AX61" s="44"/>
      <c r="AY61" s="42" t="s">
        <v>47</v>
      </c>
      <c r="AZ61" s="43"/>
      <c r="BA61" s="44"/>
    </row>
    <row r="62" spans="1:53" ht="16" thickBot="1">
      <c r="A62" s="46" t="s">
        <v>62</v>
      </c>
      <c r="B62" s="47" t="s">
        <v>49</v>
      </c>
      <c r="C62" s="47" t="s">
        <v>50</v>
      </c>
      <c r="D62" s="47" t="s">
        <v>51</v>
      </c>
      <c r="E62" s="47" t="s">
        <v>52</v>
      </c>
      <c r="F62" s="47" t="s">
        <v>53</v>
      </c>
      <c r="G62" s="47" t="s">
        <v>54</v>
      </c>
      <c r="H62" s="47" t="s">
        <v>55</v>
      </c>
      <c r="I62" s="45"/>
      <c r="J62" s="46" t="s">
        <v>62</v>
      </c>
      <c r="K62" s="47" t="s">
        <v>49</v>
      </c>
      <c r="L62" s="47" t="s">
        <v>50</v>
      </c>
      <c r="M62" s="47" t="s">
        <v>51</v>
      </c>
      <c r="N62" s="47" t="s">
        <v>52</v>
      </c>
      <c r="O62" s="47" t="s">
        <v>53</v>
      </c>
      <c r="P62" s="47" t="s">
        <v>54</v>
      </c>
      <c r="Q62" s="47" t="s">
        <v>55</v>
      </c>
      <c r="R62" s="45"/>
      <c r="S62" s="46" t="s">
        <v>62</v>
      </c>
      <c r="T62" s="47" t="s">
        <v>49</v>
      </c>
      <c r="U62" s="47" t="s">
        <v>50</v>
      </c>
      <c r="V62" s="47" t="s">
        <v>51</v>
      </c>
      <c r="W62" s="47" t="s">
        <v>52</v>
      </c>
      <c r="X62" s="47" t="s">
        <v>53</v>
      </c>
      <c r="Y62" s="47" t="s">
        <v>54</v>
      </c>
      <c r="Z62" s="47" t="s">
        <v>55</v>
      </c>
      <c r="AA62" s="45"/>
      <c r="AB62" s="46" t="s">
        <v>62</v>
      </c>
      <c r="AC62" s="47" t="s">
        <v>49</v>
      </c>
      <c r="AD62" s="47" t="s">
        <v>50</v>
      </c>
      <c r="AE62" s="47" t="s">
        <v>51</v>
      </c>
      <c r="AF62" s="47" t="s">
        <v>52</v>
      </c>
      <c r="AG62" s="47" t="s">
        <v>53</v>
      </c>
      <c r="AH62" s="47" t="s">
        <v>54</v>
      </c>
      <c r="AI62" s="47" t="s">
        <v>55</v>
      </c>
      <c r="AJ62" s="13"/>
      <c r="AK62" s="46" t="s">
        <v>62</v>
      </c>
      <c r="AL62" s="47" t="s">
        <v>49</v>
      </c>
      <c r="AM62" s="47" t="s">
        <v>50</v>
      </c>
      <c r="AN62" s="47" t="s">
        <v>51</v>
      </c>
      <c r="AO62" s="47" t="s">
        <v>52</v>
      </c>
      <c r="AP62" s="47" t="s">
        <v>53</v>
      </c>
      <c r="AQ62" s="47" t="s">
        <v>54</v>
      </c>
      <c r="AR62" s="47" t="s">
        <v>55</v>
      </c>
      <c r="AT62" s="46" t="s">
        <v>62</v>
      </c>
      <c r="AU62" s="47" t="s">
        <v>49</v>
      </c>
      <c r="AV62" s="47" t="s">
        <v>50</v>
      </c>
      <c r="AW62" s="47" t="s">
        <v>51</v>
      </c>
      <c r="AX62" s="47" t="s">
        <v>52</v>
      </c>
      <c r="AY62" s="47" t="s">
        <v>53</v>
      </c>
      <c r="AZ62" s="47" t="s">
        <v>54</v>
      </c>
      <c r="BA62" s="47" t="s">
        <v>55</v>
      </c>
    </row>
    <row r="63" spans="1:53" ht="16" thickBot="1">
      <c r="A63" s="48">
        <v>46</v>
      </c>
      <c r="B63" s="49">
        <f>資料儲存!D767</f>
        <v>0</v>
      </c>
      <c r="C63" s="49">
        <f>資料儲存!E767</f>
        <v>0</v>
      </c>
      <c r="D63" s="49">
        <f>資料儲存!F767</f>
        <v>0</v>
      </c>
      <c r="E63" s="49">
        <f>資料儲存!G767</f>
        <v>0</v>
      </c>
      <c r="F63" s="49">
        <f>資料儲存!H767</f>
        <v>0</v>
      </c>
      <c r="G63" s="49">
        <f>資料儲存!I767</f>
        <v>0</v>
      </c>
      <c r="H63" s="49">
        <f>資料儲存!J767</f>
        <v>0</v>
      </c>
      <c r="I63" s="45"/>
      <c r="J63" s="48">
        <v>46</v>
      </c>
      <c r="K63" s="49">
        <f>資料儲存!D887</f>
        <v>0</v>
      </c>
      <c r="L63" s="49">
        <f>資料儲存!E887</f>
        <v>0</v>
      </c>
      <c r="M63" s="49">
        <f>資料儲存!F887</f>
        <v>0</v>
      </c>
      <c r="N63" s="49">
        <f>資料儲存!G887</f>
        <v>0</v>
      </c>
      <c r="O63" s="49">
        <f>資料儲存!H887</f>
        <v>0</v>
      </c>
      <c r="P63" s="49">
        <f>資料儲存!I887</f>
        <v>0</v>
      </c>
      <c r="Q63" s="49">
        <f>資料儲存!J887</f>
        <v>0</v>
      </c>
      <c r="R63" s="45"/>
      <c r="S63" s="48">
        <v>46</v>
      </c>
      <c r="T63" s="49">
        <f>資料儲存!D1007</f>
        <v>0</v>
      </c>
      <c r="U63" s="49">
        <f>資料儲存!E1007</f>
        <v>0</v>
      </c>
      <c r="V63" s="49">
        <f>資料儲存!F1007</f>
        <v>0</v>
      </c>
      <c r="W63" s="49">
        <f>資料儲存!G1007</f>
        <v>0</v>
      </c>
      <c r="X63" s="49">
        <f>資料儲存!H1007</f>
        <v>0</v>
      </c>
      <c r="Y63" s="49">
        <f>資料儲存!I1007</f>
        <v>0</v>
      </c>
      <c r="Z63" s="49">
        <f>資料儲存!J1007</f>
        <v>0</v>
      </c>
      <c r="AA63" s="45"/>
      <c r="AB63" s="48">
        <v>46</v>
      </c>
      <c r="AC63" s="49">
        <f>資料儲存!D1127</f>
        <v>0</v>
      </c>
      <c r="AD63" s="49">
        <f>資料儲存!E1127</f>
        <v>0</v>
      </c>
      <c r="AE63" s="49">
        <f>資料儲存!F1127</f>
        <v>0</v>
      </c>
      <c r="AF63" s="49">
        <f>資料儲存!G1127</f>
        <v>0</v>
      </c>
      <c r="AG63" s="49">
        <f>資料儲存!H1127</f>
        <v>0</v>
      </c>
      <c r="AH63" s="49">
        <f>資料儲存!I1127</f>
        <v>0</v>
      </c>
      <c r="AI63" s="49">
        <f>資料儲存!J1127</f>
        <v>0</v>
      </c>
      <c r="AJ63" s="13"/>
      <c r="AK63" s="48">
        <v>46</v>
      </c>
      <c r="AL63" s="49">
        <f>資料儲存!D1247</f>
        <v>0</v>
      </c>
      <c r="AM63" s="49">
        <f>資料儲存!E1247</f>
        <v>0</v>
      </c>
      <c r="AN63" s="49">
        <f>資料儲存!F1247</f>
        <v>0</v>
      </c>
      <c r="AO63" s="49">
        <f>資料儲存!G1247</f>
        <v>0</v>
      </c>
      <c r="AP63" s="49">
        <f>資料儲存!H1247</f>
        <v>0</v>
      </c>
      <c r="AQ63" s="49">
        <f>資料儲存!I1247</f>
        <v>0</v>
      </c>
      <c r="AR63" s="49">
        <f>資料儲存!J1247</f>
        <v>0</v>
      </c>
      <c r="AT63" s="48">
        <v>46</v>
      </c>
      <c r="AU63" s="49">
        <f>資料儲存!D1367</f>
        <v>0</v>
      </c>
      <c r="AV63" s="49">
        <f>資料儲存!E1367</f>
        <v>0</v>
      </c>
      <c r="AW63" s="49">
        <f>資料儲存!F1367</f>
        <v>0</v>
      </c>
      <c r="AX63" s="49">
        <f>資料儲存!G1367</f>
        <v>0</v>
      </c>
      <c r="AY63" s="49">
        <f>資料儲存!H1367</f>
        <v>0</v>
      </c>
      <c r="AZ63" s="49">
        <f>資料儲存!I1367</f>
        <v>0</v>
      </c>
      <c r="BA63" s="49">
        <f>資料儲存!J1367</f>
        <v>0</v>
      </c>
    </row>
    <row r="64" spans="1:53" ht="16" thickBot="1">
      <c r="A64" s="48">
        <v>47</v>
      </c>
      <c r="B64" s="49">
        <f>資料儲存!D768</f>
        <v>0</v>
      </c>
      <c r="C64" s="49">
        <f>資料儲存!E768</f>
        <v>0</v>
      </c>
      <c r="D64" s="49">
        <f>資料儲存!F768</f>
        <v>0</v>
      </c>
      <c r="E64" s="49">
        <f>資料儲存!G768</f>
        <v>0</v>
      </c>
      <c r="F64" s="49">
        <f>資料儲存!H768</f>
        <v>0</v>
      </c>
      <c r="G64" s="49">
        <f>資料儲存!I768</f>
        <v>0</v>
      </c>
      <c r="H64" s="49">
        <f>資料儲存!J768</f>
        <v>0</v>
      </c>
      <c r="I64" s="45"/>
      <c r="J64" s="48">
        <v>47</v>
      </c>
      <c r="K64" s="49">
        <f>資料儲存!D888</f>
        <v>0</v>
      </c>
      <c r="L64" s="49">
        <f>資料儲存!E888</f>
        <v>0</v>
      </c>
      <c r="M64" s="49">
        <f>資料儲存!F888</f>
        <v>0</v>
      </c>
      <c r="N64" s="49">
        <f>資料儲存!G888</f>
        <v>0</v>
      </c>
      <c r="O64" s="49">
        <f>資料儲存!H888</f>
        <v>0</v>
      </c>
      <c r="P64" s="49">
        <f>資料儲存!I888</f>
        <v>0</v>
      </c>
      <c r="Q64" s="49">
        <f>資料儲存!J888</f>
        <v>0</v>
      </c>
      <c r="R64" s="45"/>
      <c r="S64" s="48">
        <v>47</v>
      </c>
      <c r="T64" s="49">
        <f>資料儲存!D1008</f>
        <v>0</v>
      </c>
      <c r="U64" s="49">
        <f>資料儲存!E1008</f>
        <v>0</v>
      </c>
      <c r="V64" s="49">
        <f>資料儲存!F1008</f>
        <v>0</v>
      </c>
      <c r="W64" s="49">
        <f>資料儲存!G1008</f>
        <v>0</v>
      </c>
      <c r="X64" s="49">
        <f>資料儲存!H1008</f>
        <v>0</v>
      </c>
      <c r="Y64" s="49">
        <f>資料儲存!I1008</f>
        <v>0</v>
      </c>
      <c r="Z64" s="49">
        <f>資料儲存!J1008</f>
        <v>0</v>
      </c>
      <c r="AA64" s="45"/>
      <c r="AB64" s="48">
        <v>47</v>
      </c>
      <c r="AC64" s="49">
        <f>資料儲存!D1128</f>
        <v>0</v>
      </c>
      <c r="AD64" s="49">
        <f>資料儲存!E1128</f>
        <v>0</v>
      </c>
      <c r="AE64" s="49">
        <f>資料儲存!F1128</f>
        <v>0</v>
      </c>
      <c r="AF64" s="49">
        <f>資料儲存!G1128</f>
        <v>0</v>
      </c>
      <c r="AG64" s="49">
        <f>資料儲存!H1128</f>
        <v>0</v>
      </c>
      <c r="AH64" s="49">
        <f>資料儲存!I1128</f>
        <v>0</v>
      </c>
      <c r="AI64" s="49">
        <f>資料儲存!J1128</f>
        <v>0</v>
      </c>
      <c r="AJ64" s="13"/>
      <c r="AK64" s="48">
        <v>47</v>
      </c>
      <c r="AL64" s="49">
        <f>資料儲存!D1248</f>
        <v>0</v>
      </c>
      <c r="AM64" s="49">
        <f>資料儲存!E1248</f>
        <v>0</v>
      </c>
      <c r="AN64" s="49">
        <f>資料儲存!F1248</f>
        <v>0</v>
      </c>
      <c r="AO64" s="49">
        <f>資料儲存!G1248</f>
        <v>0</v>
      </c>
      <c r="AP64" s="49">
        <f>資料儲存!H1248</f>
        <v>0</v>
      </c>
      <c r="AQ64" s="49">
        <f>資料儲存!I1248</f>
        <v>0</v>
      </c>
      <c r="AR64" s="49">
        <f>資料儲存!J1248</f>
        <v>0</v>
      </c>
      <c r="AT64" s="48">
        <v>47</v>
      </c>
      <c r="AU64" s="49">
        <f>資料儲存!D1368</f>
        <v>0</v>
      </c>
      <c r="AV64" s="49">
        <f>資料儲存!E1368</f>
        <v>0</v>
      </c>
      <c r="AW64" s="49">
        <f>資料儲存!F1368</f>
        <v>0</v>
      </c>
      <c r="AX64" s="49">
        <f>資料儲存!G1368</f>
        <v>0</v>
      </c>
      <c r="AY64" s="49">
        <f>資料儲存!H1368</f>
        <v>0</v>
      </c>
      <c r="AZ64" s="49">
        <f>資料儲存!I1368</f>
        <v>0</v>
      </c>
      <c r="BA64" s="49">
        <f>資料儲存!J1368</f>
        <v>0</v>
      </c>
    </row>
    <row r="65" spans="1:53" ht="16" thickBot="1">
      <c r="A65" s="48">
        <v>48</v>
      </c>
      <c r="B65" s="49">
        <f>資料儲存!D769</f>
        <v>0</v>
      </c>
      <c r="C65" s="49">
        <f>資料儲存!E769</f>
        <v>0</v>
      </c>
      <c r="D65" s="49">
        <f>資料儲存!F769</f>
        <v>0</v>
      </c>
      <c r="E65" s="49">
        <f>資料儲存!G769</f>
        <v>0</v>
      </c>
      <c r="F65" s="49">
        <f>資料儲存!H769</f>
        <v>0</v>
      </c>
      <c r="G65" s="49">
        <f>資料儲存!I769</f>
        <v>0</v>
      </c>
      <c r="H65" s="49">
        <f>資料儲存!J769</f>
        <v>0</v>
      </c>
      <c r="I65" s="45"/>
      <c r="J65" s="48">
        <v>48</v>
      </c>
      <c r="K65" s="49">
        <f>資料儲存!D889</f>
        <v>0</v>
      </c>
      <c r="L65" s="49">
        <f>資料儲存!E889</f>
        <v>0</v>
      </c>
      <c r="M65" s="49">
        <f>資料儲存!F889</f>
        <v>0</v>
      </c>
      <c r="N65" s="49">
        <f>資料儲存!G889</f>
        <v>0</v>
      </c>
      <c r="O65" s="49">
        <f>資料儲存!H889</f>
        <v>0</v>
      </c>
      <c r="P65" s="49">
        <f>資料儲存!I889</f>
        <v>0</v>
      </c>
      <c r="Q65" s="49">
        <f>資料儲存!J889</f>
        <v>0</v>
      </c>
      <c r="R65" s="45"/>
      <c r="S65" s="48">
        <v>48</v>
      </c>
      <c r="T65" s="49">
        <f>資料儲存!D1009</f>
        <v>0</v>
      </c>
      <c r="U65" s="49">
        <f>資料儲存!E1009</f>
        <v>0</v>
      </c>
      <c r="V65" s="49">
        <f>資料儲存!F1009</f>
        <v>0</v>
      </c>
      <c r="W65" s="49">
        <f>資料儲存!G1009</f>
        <v>0</v>
      </c>
      <c r="X65" s="49">
        <f>資料儲存!H1009</f>
        <v>0</v>
      </c>
      <c r="Y65" s="49">
        <f>資料儲存!I1009</f>
        <v>0</v>
      </c>
      <c r="Z65" s="49">
        <f>資料儲存!J1009</f>
        <v>0</v>
      </c>
      <c r="AA65" s="45"/>
      <c r="AB65" s="48">
        <v>48</v>
      </c>
      <c r="AC65" s="49">
        <f>資料儲存!D1129</f>
        <v>0</v>
      </c>
      <c r="AD65" s="49">
        <f>資料儲存!E1129</f>
        <v>0</v>
      </c>
      <c r="AE65" s="49">
        <f>資料儲存!F1129</f>
        <v>0</v>
      </c>
      <c r="AF65" s="49">
        <f>資料儲存!G1129</f>
        <v>0</v>
      </c>
      <c r="AG65" s="49">
        <f>資料儲存!H1129</f>
        <v>0</v>
      </c>
      <c r="AH65" s="49">
        <f>資料儲存!I1129</f>
        <v>0</v>
      </c>
      <c r="AI65" s="49">
        <f>資料儲存!J1129</f>
        <v>0</v>
      </c>
      <c r="AJ65" s="13"/>
      <c r="AK65" s="48">
        <v>48</v>
      </c>
      <c r="AL65" s="49">
        <f>資料儲存!D1249</f>
        <v>0</v>
      </c>
      <c r="AM65" s="49">
        <f>資料儲存!E1249</f>
        <v>0</v>
      </c>
      <c r="AN65" s="49">
        <f>資料儲存!F1249</f>
        <v>0</v>
      </c>
      <c r="AO65" s="49">
        <f>資料儲存!G1249</f>
        <v>0</v>
      </c>
      <c r="AP65" s="49">
        <f>資料儲存!H1249</f>
        <v>0</v>
      </c>
      <c r="AQ65" s="49">
        <f>資料儲存!I1249</f>
        <v>0</v>
      </c>
      <c r="AR65" s="49">
        <f>資料儲存!J1249</f>
        <v>0</v>
      </c>
      <c r="AT65" s="48">
        <v>48</v>
      </c>
      <c r="AU65" s="49">
        <f>資料儲存!D1369</f>
        <v>0</v>
      </c>
      <c r="AV65" s="49">
        <f>資料儲存!E1369</f>
        <v>0</v>
      </c>
      <c r="AW65" s="49">
        <f>資料儲存!F1369</f>
        <v>0</v>
      </c>
      <c r="AX65" s="49">
        <f>資料儲存!G1369</f>
        <v>0</v>
      </c>
      <c r="AY65" s="49">
        <f>資料儲存!H1369</f>
        <v>0</v>
      </c>
      <c r="AZ65" s="49">
        <f>資料儲存!I1369</f>
        <v>0</v>
      </c>
      <c r="BA65" s="49">
        <f>資料儲存!J1369</f>
        <v>0</v>
      </c>
    </row>
    <row r="66" spans="1:53" ht="16" thickBot="1">
      <c r="A66" s="48">
        <v>49</v>
      </c>
      <c r="B66" s="49">
        <f>資料儲存!D770</f>
        <v>0</v>
      </c>
      <c r="C66" s="49">
        <f>資料儲存!E770</f>
        <v>0</v>
      </c>
      <c r="D66" s="49">
        <f>資料儲存!F770</f>
        <v>0</v>
      </c>
      <c r="E66" s="49">
        <f>資料儲存!G770</f>
        <v>0</v>
      </c>
      <c r="F66" s="49">
        <f>資料儲存!H770</f>
        <v>0</v>
      </c>
      <c r="G66" s="49">
        <f>資料儲存!I770</f>
        <v>0</v>
      </c>
      <c r="H66" s="49">
        <f>資料儲存!J770</f>
        <v>0</v>
      </c>
      <c r="I66" s="45"/>
      <c r="J66" s="48">
        <v>49</v>
      </c>
      <c r="K66" s="49">
        <f>資料儲存!D890</f>
        <v>0</v>
      </c>
      <c r="L66" s="49">
        <f>資料儲存!E890</f>
        <v>0</v>
      </c>
      <c r="M66" s="49">
        <f>資料儲存!F890</f>
        <v>0</v>
      </c>
      <c r="N66" s="49">
        <f>資料儲存!G890</f>
        <v>0</v>
      </c>
      <c r="O66" s="49">
        <f>資料儲存!H890</f>
        <v>0</v>
      </c>
      <c r="P66" s="49">
        <f>資料儲存!I890</f>
        <v>0</v>
      </c>
      <c r="Q66" s="49">
        <f>資料儲存!J890</f>
        <v>0</v>
      </c>
      <c r="R66" s="45"/>
      <c r="S66" s="48">
        <v>49</v>
      </c>
      <c r="T66" s="49">
        <f>資料儲存!D1010</f>
        <v>0</v>
      </c>
      <c r="U66" s="49">
        <f>資料儲存!E1010</f>
        <v>0</v>
      </c>
      <c r="V66" s="49">
        <f>資料儲存!F1010</f>
        <v>0</v>
      </c>
      <c r="W66" s="49">
        <f>資料儲存!G1010</f>
        <v>0</v>
      </c>
      <c r="X66" s="49">
        <f>資料儲存!H1010</f>
        <v>0</v>
      </c>
      <c r="Y66" s="49">
        <f>資料儲存!I1010</f>
        <v>0</v>
      </c>
      <c r="Z66" s="49">
        <f>資料儲存!J1010</f>
        <v>0</v>
      </c>
      <c r="AA66" s="45"/>
      <c r="AB66" s="48">
        <v>49</v>
      </c>
      <c r="AC66" s="49">
        <f>資料儲存!D1130</f>
        <v>0</v>
      </c>
      <c r="AD66" s="49">
        <f>資料儲存!E1130</f>
        <v>0</v>
      </c>
      <c r="AE66" s="49">
        <f>資料儲存!F1130</f>
        <v>0</v>
      </c>
      <c r="AF66" s="49">
        <f>資料儲存!G1130</f>
        <v>0</v>
      </c>
      <c r="AG66" s="49">
        <f>資料儲存!H1130</f>
        <v>0</v>
      </c>
      <c r="AH66" s="49">
        <f>資料儲存!I1130</f>
        <v>0</v>
      </c>
      <c r="AI66" s="49">
        <f>資料儲存!J1130</f>
        <v>0</v>
      </c>
      <c r="AJ66" s="13"/>
      <c r="AK66" s="48">
        <v>49</v>
      </c>
      <c r="AL66" s="49">
        <f>資料儲存!D1250</f>
        <v>0</v>
      </c>
      <c r="AM66" s="49">
        <f>資料儲存!E1250</f>
        <v>0</v>
      </c>
      <c r="AN66" s="49">
        <f>資料儲存!F1250</f>
        <v>0</v>
      </c>
      <c r="AO66" s="49">
        <f>資料儲存!G1250</f>
        <v>0</v>
      </c>
      <c r="AP66" s="49">
        <f>資料儲存!H1250</f>
        <v>0</v>
      </c>
      <c r="AQ66" s="49">
        <f>資料儲存!I1250</f>
        <v>0</v>
      </c>
      <c r="AR66" s="49">
        <f>資料儲存!J1250</f>
        <v>0</v>
      </c>
      <c r="AT66" s="48">
        <v>49</v>
      </c>
      <c r="AU66" s="49">
        <f>資料儲存!D1370</f>
        <v>0</v>
      </c>
      <c r="AV66" s="49">
        <f>資料儲存!E1370</f>
        <v>0</v>
      </c>
      <c r="AW66" s="49">
        <f>資料儲存!F1370</f>
        <v>0</v>
      </c>
      <c r="AX66" s="49">
        <f>資料儲存!G1370</f>
        <v>0</v>
      </c>
      <c r="AY66" s="49">
        <f>資料儲存!H1370</f>
        <v>0</v>
      </c>
      <c r="AZ66" s="49">
        <f>資料儲存!I1370</f>
        <v>0</v>
      </c>
      <c r="BA66" s="49">
        <f>資料儲存!J1370</f>
        <v>0</v>
      </c>
    </row>
    <row r="67" spans="1:53" ht="16" thickBot="1">
      <c r="A67" s="48">
        <v>50</v>
      </c>
      <c r="B67" s="49">
        <f>資料儲存!D771</f>
        <v>0</v>
      </c>
      <c r="C67" s="49">
        <f>資料儲存!E771</f>
        <v>0</v>
      </c>
      <c r="D67" s="49">
        <f>資料儲存!F771</f>
        <v>0</v>
      </c>
      <c r="E67" s="49">
        <f>資料儲存!G771</f>
        <v>0</v>
      </c>
      <c r="F67" s="49">
        <f>資料儲存!H771</f>
        <v>0</v>
      </c>
      <c r="G67" s="49">
        <f>資料儲存!I771</f>
        <v>0</v>
      </c>
      <c r="H67" s="49">
        <f>資料儲存!J771</f>
        <v>0</v>
      </c>
      <c r="I67" s="45"/>
      <c r="J67" s="48">
        <v>50</v>
      </c>
      <c r="K67" s="49">
        <f>資料儲存!D891</f>
        <v>0</v>
      </c>
      <c r="L67" s="49">
        <f>資料儲存!E891</f>
        <v>0</v>
      </c>
      <c r="M67" s="49">
        <f>資料儲存!F891</f>
        <v>0</v>
      </c>
      <c r="N67" s="49">
        <f>資料儲存!G891</f>
        <v>0</v>
      </c>
      <c r="O67" s="49">
        <f>資料儲存!H891</f>
        <v>0</v>
      </c>
      <c r="P67" s="49">
        <f>資料儲存!I891</f>
        <v>0</v>
      </c>
      <c r="Q67" s="49">
        <f>資料儲存!J891</f>
        <v>0</v>
      </c>
      <c r="R67" s="45"/>
      <c r="S67" s="48">
        <v>50</v>
      </c>
      <c r="T67" s="49">
        <f>資料儲存!D1011</f>
        <v>0</v>
      </c>
      <c r="U67" s="49">
        <f>資料儲存!E1011</f>
        <v>0</v>
      </c>
      <c r="V67" s="49">
        <f>資料儲存!F1011</f>
        <v>0</v>
      </c>
      <c r="W67" s="49">
        <f>資料儲存!G1011</f>
        <v>0</v>
      </c>
      <c r="X67" s="49">
        <f>資料儲存!H1011</f>
        <v>0</v>
      </c>
      <c r="Y67" s="49">
        <f>資料儲存!I1011</f>
        <v>0</v>
      </c>
      <c r="Z67" s="49">
        <f>資料儲存!J1011</f>
        <v>0</v>
      </c>
      <c r="AA67" s="45"/>
      <c r="AB67" s="48">
        <v>50</v>
      </c>
      <c r="AC67" s="49">
        <f>資料儲存!D1131</f>
        <v>0</v>
      </c>
      <c r="AD67" s="49">
        <f>資料儲存!E1131</f>
        <v>0</v>
      </c>
      <c r="AE67" s="49">
        <f>資料儲存!F1131</f>
        <v>0</v>
      </c>
      <c r="AF67" s="49">
        <f>資料儲存!G1131</f>
        <v>0</v>
      </c>
      <c r="AG67" s="49">
        <f>資料儲存!H1131</f>
        <v>0</v>
      </c>
      <c r="AH67" s="49">
        <f>資料儲存!I1131</f>
        <v>0</v>
      </c>
      <c r="AI67" s="49">
        <f>資料儲存!J1131</f>
        <v>0</v>
      </c>
      <c r="AJ67" s="13"/>
      <c r="AK67" s="48">
        <v>50</v>
      </c>
      <c r="AL67" s="49">
        <f>資料儲存!D1251</f>
        <v>0</v>
      </c>
      <c r="AM67" s="49">
        <f>資料儲存!E1251</f>
        <v>0</v>
      </c>
      <c r="AN67" s="49">
        <f>資料儲存!F1251</f>
        <v>0</v>
      </c>
      <c r="AO67" s="49">
        <f>資料儲存!G1251</f>
        <v>0</v>
      </c>
      <c r="AP67" s="49">
        <f>資料儲存!H1251</f>
        <v>0</v>
      </c>
      <c r="AQ67" s="49">
        <f>資料儲存!I1251</f>
        <v>0</v>
      </c>
      <c r="AR67" s="49">
        <f>資料儲存!J1251</f>
        <v>0</v>
      </c>
      <c r="AT67" s="48">
        <v>50</v>
      </c>
      <c r="AU67" s="49">
        <f>資料儲存!D1371</f>
        <v>0</v>
      </c>
      <c r="AV67" s="49">
        <f>資料儲存!E1371</f>
        <v>0</v>
      </c>
      <c r="AW67" s="49">
        <f>資料儲存!F1371</f>
        <v>0</v>
      </c>
      <c r="AX67" s="49">
        <f>資料儲存!G1371</f>
        <v>0</v>
      </c>
      <c r="AY67" s="49">
        <f>資料儲存!H1371</f>
        <v>0</v>
      </c>
      <c r="AZ67" s="49">
        <f>資料儲存!I1371</f>
        <v>0</v>
      </c>
      <c r="BA67" s="49">
        <f>資料儲存!J1371</f>
        <v>0</v>
      </c>
    </row>
    <row r="68" spans="1:53" ht="16" thickBot="1">
      <c r="A68" s="48">
        <v>51</v>
      </c>
      <c r="B68" s="49">
        <f>資料儲存!D772</f>
        <v>0</v>
      </c>
      <c r="C68" s="49">
        <f>資料儲存!E772</f>
        <v>0</v>
      </c>
      <c r="D68" s="49">
        <f>資料儲存!F772</f>
        <v>0</v>
      </c>
      <c r="E68" s="49">
        <f>資料儲存!G772</f>
        <v>0</v>
      </c>
      <c r="F68" s="49">
        <f>資料儲存!H772</f>
        <v>0</v>
      </c>
      <c r="G68" s="49">
        <f>資料儲存!I772</f>
        <v>0</v>
      </c>
      <c r="H68" s="49">
        <f>資料儲存!J772</f>
        <v>0</v>
      </c>
      <c r="I68" s="45"/>
      <c r="J68" s="48">
        <v>51</v>
      </c>
      <c r="K68" s="49">
        <f>資料儲存!D892</f>
        <v>0</v>
      </c>
      <c r="L68" s="49">
        <f>資料儲存!E892</f>
        <v>0</v>
      </c>
      <c r="M68" s="49">
        <f>資料儲存!F892</f>
        <v>0</v>
      </c>
      <c r="N68" s="49">
        <f>資料儲存!G892</f>
        <v>0</v>
      </c>
      <c r="O68" s="49">
        <f>資料儲存!H892</f>
        <v>0</v>
      </c>
      <c r="P68" s="49">
        <f>資料儲存!I892</f>
        <v>0</v>
      </c>
      <c r="Q68" s="49">
        <f>資料儲存!J892</f>
        <v>0</v>
      </c>
      <c r="R68" s="45"/>
      <c r="S68" s="48">
        <v>51</v>
      </c>
      <c r="T68" s="49">
        <f>資料儲存!D1012</f>
        <v>0</v>
      </c>
      <c r="U68" s="49">
        <f>資料儲存!E1012</f>
        <v>0</v>
      </c>
      <c r="V68" s="49">
        <f>資料儲存!F1012</f>
        <v>0</v>
      </c>
      <c r="W68" s="49">
        <f>資料儲存!G1012</f>
        <v>0</v>
      </c>
      <c r="X68" s="49">
        <f>資料儲存!H1012</f>
        <v>0</v>
      </c>
      <c r="Y68" s="49">
        <f>資料儲存!I1012</f>
        <v>0</v>
      </c>
      <c r="Z68" s="49">
        <f>資料儲存!J1012</f>
        <v>0</v>
      </c>
      <c r="AA68" s="45"/>
      <c r="AB68" s="48">
        <v>51</v>
      </c>
      <c r="AC68" s="49">
        <f>資料儲存!D1132</f>
        <v>0</v>
      </c>
      <c r="AD68" s="49">
        <f>資料儲存!E1132</f>
        <v>0</v>
      </c>
      <c r="AE68" s="49">
        <f>資料儲存!F1132</f>
        <v>0</v>
      </c>
      <c r="AF68" s="49">
        <f>資料儲存!G1132</f>
        <v>0</v>
      </c>
      <c r="AG68" s="49">
        <f>資料儲存!H1132</f>
        <v>0</v>
      </c>
      <c r="AH68" s="49">
        <f>資料儲存!I1132</f>
        <v>0</v>
      </c>
      <c r="AI68" s="49">
        <f>資料儲存!J1132</f>
        <v>0</v>
      </c>
      <c r="AJ68" s="13"/>
      <c r="AK68" s="48">
        <v>51</v>
      </c>
      <c r="AL68" s="49">
        <f>資料儲存!D1252</f>
        <v>0</v>
      </c>
      <c r="AM68" s="49">
        <f>資料儲存!E1252</f>
        <v>0</v>
      </c>
      <c r="AN68" s="49">
        <f>資料儲存!F1252</f>
        <v>0</v>
      </c>
      <c r="AO68" s="49">
        <f>資料儲存!G1252</f>
        <v>0</v>
      </c>
      <c r="AP68" s="49">
        <f>資料儲存!H1252</f>
        <v>0</v>
      </c>
      <c r="AQ68" s="49">
        <f>資料儲存!I1252</f>
        <v>0</v>
      </c>
      <c r="AR68" s="49">
        <f>資料儲存!J1252</f>
        <v>0</v>
      </c>
      <c r="AT68" s="48">
        <v>51</v>
      </c>
      <c r="AU68" s="49">
        <f>資料儲存!D1372</f>
        <v>0</v>
      </c>
      <c r="AV68" s="49">
        <f>資料儲存!E1372</f>
        <v>0</v>
      </c>
      <c r="AW68" s="49">
        <f>資料儲存!F1372</f>
        <v>0</v>
      </c>
      <c r="AX68" s="49">
        <f>資料儲存!G1372</f>
        <v>0</v>
      </c>
      <c r="AY68" s="49">
        <f>資料儲存!H1372</f>
        <v>0</v>
      </c>
      <c r="AZ68" s="49">
        <f>資料儲存!I1372</f>
        <v>0</v>
      </c>
      <c r="BA68" s="49">
        <f>資料儲存!J1372</f>
        <v>0</v>
      </c>
    </row>
    <row r="69" spans="1:53" ht="16" thickBot="1">
      <c r="A69" s="48">
        <v>52</v>
      </c>
      <c r="B69" s="49">
        <f>資料儲存!D773</f>
        <v>0</v>
      </c>
      <c r="C69" s="49">
        <f>資料儲存!E773</f>
        <v>0</v>
      </c>
      <c r="D69" s="49">
        <f>資料儲存!F773</f>
        <v>0</v>
      </c>
      <c r="E69" s="49">
        <f>資料儲存!G773</f>
        <v>0</v>
      </c>
      <c r="F69" s="49">
        <f>資料儲存!H773</f>
        <v>0</v>
      </c>
      <c r="G69" s="49">
        <f>資料儲存!I773</f>
        <v>0</v>
      </c>
      <c r="H69" s="49">
        <f>資料儲存!J773</f>
        <v>0</v>
      </c>
      <c r="I69" s="45"/>
      <c r="J69" s="48">
        <v>52</v>
      </c>
      <c r="K69" s="49">
        <f>資料儲存!D893</f>
        <v>0</v>
      </c>
      <c r="L69" s="49">
        <f>資料儲存!E893</f>
        <v>0</v>
      </c>
      <c r="M69" s="49">
        <f>資料儲存!F893</f>
        <v>0</v>
      </c>
      <c r="N69" s="49">
        <f>資料儲存!G893</f>
        <v>0</v>
      </c>
      <c r="O69" s="49">
        <f>資料儲存!H893</f>
        <v>0</v>
      </c>
      <c r="P69" s="49">
        <f>資料儲存!I893</f>
        <v>0</v>
      </c>
      <c r="Q69" s="49">
        <f>資料儲存!J893</f>
        <v>0</v>
      </c>
      <c r="R69" s="45"/>
      <c r="S69" s="48">
        <v>52</v>
      </c>
      <c r="T69" s="49">
        <f>資料儲存!D1013</f>
        <v>0</v>
      </c>
      <c r="U69" s="49">
        <f>資料儲存!E1013</f>
        <v>0</v>
      </c>
      <c r="V69" s="49">
        <f>資料儲存!F1013</f>
        <v>0</v>
      </c>
      <c r="W69" s="49">
        <f>資料儲存!G1013</f>
        <v>0</v>
      </c>
      <c r="X69" s="49">
        <f>資料儲存!H1013</f>
        <v>0</v>
      </c>
      <c r="Y69" s="49">
        <f>資料儲存!I1013</f>
        <v>0</v>
      </c>
      <c r="Z69" s="49">
        <f>資料儲存!J1013</f>
        <v>0</v>
      </c>
      <c r="AA69" s="45"/>
      <c r="AB69" s="48">
        <v>52</v>
      </c>
      <c r="AC69" s="49">
        <f>資料儲存!D1133</f>
        <v>0</v>
      </c>
      <c r="AD69" s="49">
        <f>資料儲存!E1133</f>
        <v>0</v>
      </c>
      <c r="AE69" s="49">
        <f>資料儲存!F1133</f>
        <v>0</v>
      </c>
      <c r="AF69" s="49">
        <f>資料儲存!G1133</f>
        <v>0</v>
      </c>
      <c r="AG69" s="49">
        <f>資料儲存!H1133</f>
        <v>0</v>
      </c>
      <c r="AH69" s="49">
        <f>資料儲存!I1133</f>
        <v>0</v>
      </c>
      <c r="AI69" s="49">
        <f>資料儲存!J1133</f>
        <v>0</v>
      </c>
      <c r="AJ69" s="13"/>
      <c r="AK69" s="48">
        <v>52</v>
      </c>
      <c r="AL69" s="49">
        <f>資料儲存!D1253</f>
        <v>0</v>
      </c>
      <c r="AM69" s="49">
        <f>資料儲存!E1253</f>
        <v>0</v>
      </c>
      <c r="AN69" s="49">
        <f>資料儲存!F1253</f>
        <v>0</v>
      </c>
      <c r="AO69" s="49">
        <f>資料儲存!G1253</f>
        <v>0</v>
      </c>
      <c r="AP69" s="49">
        <f>資料儲存!H1253</f>
        <v>0</v>
      </c>
      <c r="AQ69" s="49">
        <f>資料儲存!I1253</f>
        <v>0</v>
      </c>
      <c r="AR69" s="49">
        <f>資料儲存!J1253</f>
        <v>0</v>
      </c>
      <c r="AT69" s="48">
        <v>52</v>
      </c>
      <c r="AU69" s="49">
        <f>資料儲存!D1373</f>
        <v>0</v>
      </c>
      <c r="AV69" s="49">
        <f>資料儲存!E1373</f>
        <v>0</v>
      </c>
      <c r="AW69" s="49">
        <f>資料儲存!F1373</f>
        <v>0</v>
      </c>
      <c r="AX69" s="49">
        <f>資料儲存!G1373</f>
        <v>0</v>
      </c>
      <c r="AY69" s="49">
        <f>資料儲存!H1373</f>
        <v>0</v>
      </c>
      <c r="AZ69" s="49">
        <f>資料儲存!I1373</f>
        <v>0</v>
      </c>
      <c r="BA69" s="49">
        <f>資料儲存!J1373</f>
        <v>0</v>
      </c>
    </row>
    <row r="70" spans="1:53" ht="16" thickBot="1">
      <c r="A70" s="48">
        <v>53</v>
      </c>
      <c r="B70" s="49">
        <f>資料儲存!D774</f>
        <v>0</v>
      </c>
      <c r="C70" s="49">
        <f>資料儲存!E774</f>
        <v>0</v>
      </c>
      <c r="D70" s="49">
        <f>資料儲存!F774</f>
        <v>0</v>
      </c>
      <c r="E70" s="49">
        <f>資料儲存!G774</f>
        <v>0</v>
      </c>
      <c r="F70" s="49">
        <f>資料儲存!H774</f>
        <v>0</v>
      </c>
      <c r="G70" s="49">
        <f>資料儲存!I774</f>
        <v>0</v>
      </c>
      <c r="H70" s="49">
        <f>資料儲存!J774</f>
        <v>0</v>
      </c>
      <c r="I70" s="45"/>
      <c r="J70" s="48">
        <v>53</v>
      </c>
      <c r="K70" s="49">
        <f>資料儲存!D894</f>
        <v>0</v>
      </c>
      <c r="L70" s="49">
        <f>資料儲存!E894</f>
        <v>0</v>
      </c>
      <c r="M70" s="49">
        <f>資料儲存!F894</f>
        <v>0</v>
      </c>
      <c r="N70" s="49">
        <f>資料儲存!G894</f>
        <v>0</v>
      </c>
      <c r="O70" s="49">
        <f>資料儲存!H894</f>
        <v>0</v>
      </c>
      <c r="P70" s="49">
        <f>資料儲存!I894</f>
        <v>0</v>
      </c>
      <c r="Q70" s="49">
        <f>資料儲存!J894</f>
        <v>0</v>
      </c>
      <c r="R70" s="45"/>
      <c r="S70" s="48">
        <v>53</v>
      </c>
      <c r="T70" s="49">
        <f>資料儲存!D1014</f>
        <v>0</v>
      </c>
      <c r="U70" s="49">
        <f>資料儲存!E1014</f>
        <v>0</v>
      </c>
      <c r="V70" s="49">
        <f>資料儲存!F1014</f>
        <v>0</v>
      </c>
      <c r="W70" s="49">
        <f>資料儲存!G1014</f>
        <v>0</v>
      </c>
      <c r="X70" s="49">
        <f>資料儲存!H1014</f>
        <v>0</v>
      </c>
      <c r="Y70" s="49">
        <f>資料儲存!I1014</f>
        <v>0</v>
      </c>
      <c r="Z70" s="49">
        <f>資料儲存!J1014</f>
        <v>0</v>
      </c>
      <c r="AA70" s="45"/>
      <c r="AB70" s="48">
        <v>53</v>
      </c>
      <c r="AC70" s="49">
        <f>資料儲存!D1134</f>
        <v>0</v>
      </c>
      <c r="AD70" s="49">
        <f>資料儲存!E1134</f>
        <v>0</v>
      </c>
      <c r="AE70" s="49">
        <f>資料儲存!F1134</f>
        <v>0</v>
      </c>
      <c r="AF70" s="49">
        <f>資料儲存!G1134</f>
        <v>0</v>
      </c>
      <c r="AG70" s="49">
        <f>資料儲存!H1134</f>
        <v>0</v>
      </c>
      <c r="AH70" s="49">
        <f>資料儲存!I1134</f>
        <v>0</v>
      </c>
      <c r="AI70" s="49">
        <f>資料儲存!J1134</f>
        <v>0</v>
      </c>
      <c r="AJ70" s="13"/>
      <c r="AK70" s="48">
        <v>53</v>
      </c>
      <c r="AL70" s="49">
        <f>資料儲存!D1254</f>
        <v>0</v>
      </c>
      <c r="AM70" s="49">
        <f>資料儲存!E1254</f>
        <v>0</v>
      </c>
      <c r="AN70" s="49">
        <f>資料儲存!F1254</f>
        <v>0</v>
      </c>
      <c r="AO70" s="49">
        <f>資料儲存!G1254</f>
        <v>0</v>
      </c>
      <c r="AP70" s="49">
        <f>資料儲存!H1254</f>
        <v>0</v>
      </c>
      <c r="AQ70" s="49">
        <f>資料儲存!I1254</f>
        <v>0</v>
      </c>
      <c r="AR70" s="49">
        <f>資料儲存!J1254</f>
        <v>0</v>
      </c>
      <c r="AT70" s="48">
        <v>53</v>
      </c>
      <c r="AU70" s="49">
        <f>資料儲存!D1374</f>
        <v>0</v>
      </c>
      <c r="AV70" s="49">
        <f>資料儲存!E1374</f>
        <v>0</v>
      </c>
      <c r="AW70" s="49">
        <f>資料儲存!F1374</f>
        <v>0</v>
      </c>
      <c r="AX70" s="49">
        <f>資料儲存!G1374</f>
        <v>0</v>
      </c>
      <c r="AY70" s="49">
        <f>資料儲存!H1374</f>
        <v>0</v>
      </c>
      <c r="AZ70" s="49">
        <f>資料儲存!I1374</f>
        <v>0</v>
      </c>
      <c r="BA70" s="49">
        <f>資料儲存!J1374</f>
        <v>0</v>
      </c>
    </row>
    <row r="71" spans="1:53" ht="16" thickBot="1">
      <c r="A71" s="48">
        <v>54</v>
      </c>
      <c r="B71" s="49">
        <f>資料儲存!D775</f>
        <v>0</v>
      </c>
      <c r="C71" s="49">
        <f>資料儲存!E775</f>
        <v>0</v>
      </c>
      <c r="D71" s="49">
        <f>資料儲存!F775</f>
        <v>0</v>
      </c>
      <c r="E71" s="49">
        <f>資料儲存!G775</f>
        <v>0</v>
      </c>
      <c r="F71" s="49">
        <f>資料儲存!H775</f>
        <v>0</v>
      </c>
      <c r="G71" s="49">
        <f>資料儲存!I775</f>
        <v>0</v>
      </c>
      <c r="H71" s="49">
        <f>資料儲存!J775</f>
        <v>0</v>
      </c>
      <c r="I71" s="45"/>
      <c r="J71" s="48">
        <v>54</v>
      </c>
      <c r="K71" s="49">
        <f>資料儲存!D895</f>
        <v>0</v>
      </c>
      <c r="L71" s="49">
        <f>資料儲存!E895</f>
        <v>0</v>
      </c>
      <c r="M71" s="49">
        <f>資料儲存!F895</f>
        <v>0</v>
      </c>
      <c r="N71" s="49">
        <f>資料儲存!G895</f>
        <v>0</v>
      </c>
      <c r="O71" s="49">
        <f>資料儲存!H895</f>
        <v>0</v>
      </c>
      <c r="P71" s="49">
        <f>資料儲存!I895</f>
        <v>0</v>
      </c>
      <c r="Q71" s="49">
        <f>資料儲存!J895</f>
        <v>0</v>
      </c>
      <c r="R71" s="45"/>
      <c r="S71" s="48">
        <v>54</v>
      </c>
      <c r="T71" s="49">
        <f>資料儲存!D1015</f>
        <v>0</v>
      </c>
      <c r="U71" s="49">
        <f>資料儲存!E1015</f>
        <v>0</v>
      </c>
      <c r="V71" s="49">
        <f>資料儲存!F1015</f>
        <v>0</v>
      </c>
      <c r="W71" s="49">
        <f>資料儲存!G1015</f>
        <v>0</v>
      </c>
      <c r="X71" s="49">
        <f>資料儲存!H1015</f>
        <v>0</v>
      </c>
      <c r="Y71" s="49">
        <f>資料儲存!I1015</f>
        <v>0</v>
      </c>
      <c r="Z71" s="49">
        <f>資料儲存!J1015</f>
        <v>0</v>
      </c>
      <c r="AA71" s="45"/>
      <c r="AB71" s="48">
        <v>54</v>
      </c>
      <c r="AC71" s="49">
        <f>資料儲存!D1135</f>
        <v>0</v>
      </c>
      <c r="AD71" s="49">
        <f>資料儲存!E1135</f>
        <v>0</v>
      </c>
      <c r="AE71" s="49">
        <f>資料儲存!F1135</f>
        <v>0</v>
      </c>
      <c r="AF71" s="49">
        <f>資料儲存!G1135</f>
        <v>0</v>
      </c>
      <c r="AG71" s="49">
        <f>資料儲存!H1135</f>
        <v>0</v>
      </c>
      <c r="AH71" s="49">
        <f>資料儲存!I1135</f>
        <v>0</v>
      </c>
      <c r="AI71" s="49">
        <f>資料儲存!J1135</f>
        <v>0</v>
      </c>
      <c r="AJ71" s="13"/>
      <c r="AK71" s="48">
        <v>54</v>
      </c>
      <c r="AL71" s="49">
        <f>資料儲存!D1255</f>
        <v>0</v>
      </c>
      <c r="AM71" s="49">
        <f>資料儲存!E1255</f>
        <v>0</v>
      </c>
      <c r="AN71" s="49">
        <f>資料儲存!F1255</f>
        <v>0</v>
      </c>
      <c r="AO71" s="49">
        <f>資料儲存!G1255</f>
        <v>0</v>
      </c>
      <c r="AP71" s="49">
        <f>資料儲存!H1255</f>
        <v>0</v>
      </c>
      <c r="AQ71" s="49">
        <f>資料儲存!I1255</f>
        <v>0</v>
      </c>
      <c r="AR71" s="49">
        <f>資料儲存!J1255</f>
        <v>0</v>
      </c>
      <c r="AT71" s="48">
        <v>54</v>
      </c>
      <c r="AU71" s="49">
        <f>資料儲存!D1375</f>
        <v>0</v>
      </c>
      <c r="AV71" s="49">
        <f>資料儲存!E1375</f>
        <v>0</v>
      </c>
      <c r="AW71" s="49">
        <f>資料儲存!F1375</f>
        <v>0</v>
      </c>
      <c r="AX71" s="49">
        <f>資料儲存!G1375</f>
        <v>0</v>
      </c>
      <c r="AY71" s="49">
        <f>資料儲存!H1375</f>
        <v>0</v>
      </c>
      <c r="AZ71" s="49">
        <f>資料儲存!I1375</f>
        <v>0</v>
      </c>
      <c r="BA71" s="49">
        <f>資料儲存!J1375</f>
        <v>0</v>
      </c>
    </row>
    <row r="72" spans="1:53" ht="16" thickBot="1">
      <c r="A72" s="48">
        <v>55</v>
      </c>
      <c r="B72" s="49">
        <f>資料儲存!D776</f>
        <v>0</v>
      </c>
      <c r="C72" s="49">
        <f>資料儲存!E776</f>
        <v>0</v>
      </c>
      <c r="D72" s="49">
        <f>資料儲存!F776</f>
        <v>0</v>
      </c>
      <c r="E72" s="49">
        <f>資料儲存!G776</f>
        <v>0</v>
      </c>
      <c r="F72" s="49">
        <f>資料儲存!H776</f>
        <v>0</v>
      </c>
      <c r="G72" s="49">
        <f>資料儲存!I776</f>
        <v>0</v>
      </c>
      <c r="H72" s="49">
        <f>資料儲存!J776</f>
        <v>0</v>
      </c>
      <c r="I72" s="45"/>
      <c r="J72" s="48">
        <v>55</v>
      </c>
      <c r="K72" s="49">
        <f>資料儲存!D896</f>
        <v>0</v>
      </c>
      <c r="L72" s="49">
        <f>資料儲存!E896</f>
        <v>0</v>
      </c>
      <c r="M72" s="49">
        <f>資料儲存!F896</f>
        <v>0</v>
      </c>
      <c r="N72" s="49">
        <f>資料儲存!G896</f>
        <v>0</v>
      </c>
      <c r="O72" s="49">
        <f>資料儲存!H896</f>
        <v>0</v>
      </c>
      <c r="P72" s="49">
        <f>資料儲存!I896</f>
        <v>0</v>
      </c>
      <c r="Q72" s="49">
        <f>資料儲存!J896</f>
        <v>0</v>
      </c>
      <c r="R72" s="45"/>
      <c r="S72" s="48">
        <v>55</v>
      </c>
      <c r="T72" s="49">
        <f>資料儲存!D1016</f>
        <v>0</v>
      </c>
      <c r="U72" s="49">
        <f>資料儲存!E1016</f>
        <v>0</v>
      </c>
      <c r="V72" s="49">
        <f>資料儲存!F1016</f>
        <v>0</v>
      </c>
      <c r="W72" s="49">
        <f>資料儲存!G1016</f>
        <v>0</v>
      </c>
      <c r="X72" s="49">
        <f>資料儲存!H1016</f>
        <v>0</v>
      </c>
      <c r="Y72" s="49">
        <f>資料儲存!I1016</f>
        <v>0</v>
      </c>
      <c r="Z72" s="49">
        <f>資料儲存!J1016</f>
        <v>0</v>
      </c>
      <c r="AA72" s="45"/>
      <c r="AB72" s="48">
        <v>55</v>
      </c>
      <c r="AC72" s="49">
        <f>資料儲存!D1136</f>
        <v>0</v>
      </c>
      <c r="AD72" s="49">
        <f>資料儲存!E1136</f>
        <v>0</v>
      </c>
      <c r="AE72" s="49">
        <f>資料儲存!F1136</f>
        <v>0</v>
      </c>
      <c r="AF72" s="49">
        <f>資料儲存!G1136</f>
        <v>0</v>
      </c>
      <c r="AG72" s="49">
        <f>資料儲存!H1136</f>
        <v>0</v>
      </c>
      <c r="AH72" s="49">
        <f>資料儲存!I1136</f>
        <v>0</v>
      </c>
      <c r="AI72" s="49">
        <f>資料儲存!J1136</f>
        <v>0</v>
      </c>
      <c r="AJ72" s="13"/>
      <c r="AK72" s="48">
        <v>55</v>
      </c>
      <c r="AL72" s="49">
        <f>資料儲存!D1256</f>
        <v>0</v>
      </c>
      <c r="AM72" s="49">
        <f>資料儲存!E1256</f>
        <v>0</v>
      </c>
      <c r="AN72" s="49">
        <f>資料儲存!F1256</f>
        <v>0</v>
      </c>
      <c r="AO72" s="49">
        <f>資料儲存!G1256</f>
        <v>0</v>
      </c>
      <c r="AP72" s="49">
        <f>資料儲存!H1256</f>
        <v>0</v>
      </c>
      <c r="AQ72" s="49">
        <f>資料儲存!I1256</f>
        <v>0</v>
      </c>
      <c r="AR72" s="49">
        <f>資料儲存!J1256</f>
        <v>0</v>
      </c>
      <c r="AT72" s="48">
        <v>55</v>
      </c>
      <c r="AU72" s="49">
        <f>資料儲存!D1376</f>
        <v>0</v>
      </c>
      <c r="AV72" s="49">
        <f>資料儲存!E1376</f>
        <v>0</v>
      </c>
      <c r="AW72" s="49">
        <f>資料儲存!F1376</f>
        <v>0</v>
      </c>
      <c r="AX72" s="49">
        <f>資料儲存!G1376</f>
        <v>0</v>
      </c>
      <c r="AY72" s="49">
        <f>資料儲存!H1376</f>
        <v>0</v>
      </c>
      <c r="AZ72" s="49">
        <f>資料儲存!I1376</f>
        <v>0</v>
      </c>
      <c r="BA72" s="49">
        <f>資料儲存!J1376</f>
        <v>0</v>
      </c>
    </row>
    <row r="73" spans="1:53" ht="16" thickBot="1">
      <c r="A73" s="48">
        <v>56</v>
      </c>
      <c r="B73" s="49">
        <f>資料儲存!D777</f>
        <v>0</v>
      </c>
      <c r="C73" s="49">
        <f>資料儲存!E777</f>
        <v>0</v>
      </c>
      <c r="D73" s="49">
        <f>資料儲存!F777</f>
        <v>0</v>
      </c>
      <c r="E73" s="49">
        <f>資料儲存!G777</f>
        <v>0</v>
      </c>
      <c r="F73" s="49">
        <f>資料儲存!H777</f>
        <v>0</v>
      </c>
      <c r="G73" s="49">
        <f>資料儲存!I777</f>
        <v>0</v>
      </c>
      <c r="H73" s="49">
        <f>資料儲存!J777</f>
        <v>0</v>
      </c>
      <c r="I73" s="45"/>
      <c r="J73" s="48">
        <v>56</v>
      </c>
      <c r="K73" s="49">
        <f>資料儲存!D897</f>
        <v>0</v>
      </c>
      <c r="L73" s="49">
        <f>資料儲存!E897</f>
        <v>0</v>
      </c>
      <c r="M73" s="49">
        <f>資料儲存!F897</f>
        <v>0</v>
      </c>
      <c r="N73" s="49">
        <f>資料儲存!G897</f>
        <v>0</v>
      </c>
      <c r="O73" s="49">
        <f>資料儲存!H897</f>
        <v>0</v>
      </c>
      <c r="P73" s="49">
        <f>資料儲存!I897</f>
        <v>0</v>
      </c>
      <c r="Q73" s="49">
        <f>資料儲存!J897</f>
        <v>0</v>
      </c>
      <c r="R73" s="45"/>
      <c r="S73" s="48">
        <v>56</v>
      </c>
      <c r="T73" s="49">
        <f>資料儲存!D1017</f>
        <v>0</v>
      </c>
      <c r="U73" s="49">
        <f>資料儲存!E1017</f>
        <v>0</v>
      </c>
      <c r="V73" s="49">
        <f>資料儲存!F1017</f>
        <v>0</v>
      </c>
      <c r="W73" s="49">
        <f>資料儲存!G1017</f>
        <v>0</v>
      </c>
      <c r="X73" s="49">
        <f>資料儲存!H1017</f>
        <v>0</v>
      </c>
      <c r="Y73" s="49">
        <f>資料儲存!I1017</f>
        <v>0</v>
      </c>
      <c r="Z73" s="49">
        <f>資料儲存!J1017</f>
        <v>0</v>
      </c>
      <c r="AA73" s="45"/>
      <c r="AB73" s="48">
        <v>56</v>
      </c>
      <c r="AC73" s="49">
        <f>資料儲存!D1137</f>
        <v>0</v>
      </c>
      <c r="AD73" s="49">
        <f>資料儲存!E1137</f>
        <v>0</v>
      </c>
      <c r="AE73" s="49">
        <f>資料儲存!F1137</f>
        <v>0</v>
      </c>
      <c r="AF73" s="49">
        <f>資料儲存!G1137</f>
        <v>0</v>
      </c>
      <c r="AG73" s="49">
        <f>資料儲存!H1137</f>
        <v>0</v>
      </c>
      <c r="AH73" s="49">
        <f>資料儲存!I1137</f>
        <v>0</v>
      </c>
      <c r="AI73" s="49">
        <f>資料儲存!J1137</f>
        <v>0</v>
      </c>
      <c r="AJ73" s="13"/>
      <c r="AK73" s="48">
        <v>56</v>
      </c>
      <c r="AL73" s="49">
        <f>資料儲存!D1257</f>
        <v>0</v>
      </c>
      <c r="AM73" s="49">
        <f>資料儲存!E1257</f>
        <v>0</v>
      </c>
      <c r="AN73" s="49">
        <f>資料儲存!F1257</f>
        <v>0</v>
      </c>
      <c r="AO73" s="49">
        <f>資料儲存!G1257</f>
        <v>0</v>
      </c>
      <c r="AP73" s="49">
        <f>資料儲存!H1257</f>
        <v>0</v>
      </c>
      <c r="AQ73" s="49">
        <f>資料儲存!I1257</f>
        <v>0</v>
      </c>
      <c r="AR73" s="49">
        <f>資料儲存!J1257</f>
        <v>0</v>
      </c>
      <c r="AT73" s="48">
        <v>56</v>
      </c>
      <c r="AU73" s="49">
        <f>資料儲存!D1377</f>
        <v>0</v>
      </c>
      <c r="AV73" s="49">
        <f>資料儲存!E1377</f>
        <v>0</v>
      </c>
      <c r="AW73" s="49">
        <f>資料儲存!F1377</f>
        <v>0</v>
      </c>
      <c r="AX73" s="49">
        <f>資料儲存!G1377</f>
        <v>0</v>
      </c>
      <c r="AY73" s="49">
        <f>資料儲存!H1377</f>
        <v>0</v>
      </c>
      <c r="AZ73" s="49">
        <f>資料儲存!I1377</f>
        <v>0</v>
      </c>
      <c r="BA73" s="49">
        <f>資料儲存!J1377</f>
        <v>0</v>
      </c>
    </row>
    <row r="74" spans="1:53" ht="16" thickBot="1">
      <c r="A74" s="48">
        <v>57</v>
      </c>
      <c r="B74" s="49">
        <f>資料儲存!D778</f>
        <v>0</v>
      </c>
      <c r="C74" s="49">
        <f>資料儲存!E778</f>
        <v>0</v>
      </c>
      <c r="D74" s="49">
        <f>資料儲存!F778</f>
        <v>0</v>
      </c>
      <c r="E74" s="49">
        <f>資料儲存!G778</f>
        <v>0</v>
      </c>
      <c r="F74" s="49">
        <f>資料儲存!H778</f>
        <v>0</v>
      </c>
      <c r="G74" s="49">
        <f>資料儲存!I778</f>
        <v>0</v>
      </c>
      <c r="H74" s="49">
        <f>資料儲存!J778</f>
        <v>0</v>
      </c>
      <c r="I74" s="45"/>
      <c r="J74" s="48">
        <v>57</v>
      </c>
      <c r="K74" s="49">
        <f>資料儲存!D898</f>
        <v>0</v>
      </c>
      <c r="L74" s="49">
        <f>資料儲存!E898</f>
        <v>0</v>
      </c>
      <c r="M74" s="49">
        <f>資料儲存!F898</f>
        <v>0</v>
      </c>
      <c r="N74" s="49">
        <f>資料儲存!G898</f>
        <v>0</v>
      </c>
      <c r="O74" s="49">
        <f>資料儲存!H898</f>
        <v>0</v>
      </c>
      <c r="P74" s="49">
        <f>資料儲存!I898</f>
        <v>0</v>
      </c>
      <c r="Q74" s="49">
        <f>資料儲存!J898</f>
        <v>0</v>
      </c>
      <c r="R74" s="45"/>
      <c r="S74" s="48">
        <v>57</v>
      </c>
      <c r="T74" s="49">
        <f>資料儲存!D1018</f>
        <v>0</v>
      </c>
      <c r="U74" s="49">
        <f>資料儲存!E1018</f>
        <v>0</v>
      </c>
      <c r="V74" s="49">
        <f>資料儲存!F1018</f>
        <v>0</v>
      </c>
      <c r="W74" s="49">
        <f>資料儲存!G1018</f>
        <v>0</v>
      </c>
      <c r="X74" s="49">
        <f>資料儲存!H1018</f>
        <v>0</v>
      </c>
      <c r="Y74" s="49">
        <f>資料儲存!I1018</f>
        <v>0</v>
      </c>
      <c r="Z74" s="49">
        <f>資料儲存!J1018</f>
        <v>0</v>
      </c>
      <c r="AA74" s="45"/>
      <c r="AB74" s="48">
        <v>57</v>
      </c>
      <c r="AC74" s="49">
        <f>資料儲存!D1138</f>
        <v>0</v>
      </c>
      <c r="AD74" s="49">
        <f>資料儲存!E1138</f>
        <v>0</v>
      </c>
      <c r="AE74" s="49">
        <f>資料儲存!F1138</f>
        <v>0</v>
      </c>
      <c r="AF74" s="49">
        <f>資料儲存!G1138</f>
        <v>0</v>
      </c>
      <c r="AG74" s="49">
        <f>資料儲存!H1138</f>
        <v>0</v>
      </c>
      <c r="AH74" s="49">
        <f>資料儲存!I1138</f>
        <v>0</v>
      </c>
      <c r="AI74" s="49">
        <f>資料儲存!J1138</f>
        <v>0</v>
      </c>
      <c r="AJ74" s="13"/>
      <c r="AK74" s="48">
        <v>57</v>
      </c>
      <c r="AL74" s="49">
        <f>資料儲存!D1258</f>
        <v>0</v>
      </c>
      <c r="AM74" s="49">
        <f>資料儲存!E1258</f>
        <v>0</v>
      </c>
      <c r="AN74" s="49">
        <f>資料儲存!F1258</f>
        <v>0</v>
      </c>
      <c r="AO74" s="49">
        <f>資料儲存!G1258</f>
        <v>0</v>
      </c>
      <c r="AP74" s="49">
        <f>資料儲存!H1258</f>
        <v>0</v>
      </c>
      <c r="AQ74" s="49">
        <f>資料儲存!I1258</f>
        <v>0</v>
      </c>
      <c r="AR74" s="49">
        <f>資料儲存!J1258</f>
        <v>0</v>
      </c>
      <c r="AT74" s="48">
        <v>57</v>
      </c>
      <c r="AU74" s="49">
        <f>資料儲存!D1378</f>
        <v>0</v>
      </c>
      <c r="AV74" s="49">
        <f>資料儲存!E1378</f>
        <v>0</v>
      </c>
      <c r="AW74" s="49">
        <f>資料儲存!F1378</f>
        <v>0</v>
      </c>
      <c r="AX74" s="49">
        <f>資料儲存!G1378</f>
        <v>0</v>
      </c>
      <c r="AY74" s="49">
        <f>資料儲存!H1378</f>
        <v>0</v>
      </c>
      <c r="AZ74" s="49">
        <f>資料儲存!I1378</f>
        <v>0</v>
      </c>
      <c r="BA74" s="49">
        <f>資料儲存!J1378</f>
        <v>0</v>
      </c>
    </row>
    <row r="75" spans="1:53" ht="16" thickBot="1">
      <c r="A75" s="48">
        <v>58</v>
      </c>
      <c r="B75" s="49">
        <f>資料儲存!D779</f>
        <v>0</v>
      </c>
      <c r="C75" s="49">
        <f>資料儲存!E779</f>
        <v>0</v>
      </c>
      <c r="D75" s="49">
        <f>資料儲存!F779</f>
        <v>0</v>
      </c>
      <c r="E75" s="49">
        <f>資料儲存!G779</f>
        <v>0</v>
      </c>
      <c r="F75" s="49">
        <f>資料儲存!H779</f>
        <v>0</v>
      </c>
      <c r="G75" s="49">
        <f>資料儲存!I779</f>
        <v>0</v>
      </c>
      <c r="H75" s="49">
        <f>資料儲存!J779</f>
        <v>0</v>
      </c>
      <c r="I75" s="45"/>
      <c r="J75" s="48">
        <v>58</v>
      </c>
      <c r="K75" s="49">
        <f>資料儲存!D899</f>
        <v>0</v>
      </c>
      <c r="L75" s="49">
        <f>資料儲存!E899</f>
        <v>0</v>
      </c>
      <c r="M75" s="49">
        <f>資料儲存!F899</f>
        <v>0</v>
      </c>
      <c r="N75" s="49">
        <f>資料儲存!G899</f>
        <v>0</v>
      </c>
      <c r="O75" s="49">
        <f>資料儲存!H899</f>
        <v>0</v>
      </c>
      <c r="P75" s="49">
        <f>資料儲存!I899</f>
        <v>0</v>
      </c>
      <c r="Q75" s="49">
        <f>資料儲存!J899</f>
        <v>0</v>
      </c>
      <c r="R75" s="45"/>
      <c r="S75" s="48">
        <v>58</v>
      </c>
      <c r="T75" s="49">
        <f>資料儲存!D1019</f>
        <v>0</v>
      </c>
      <c r="U75" s="49">
        <f>資料儲存!E1019</f>
        <v>0</v>
      </c>
      <c r="V75" s="49">
        <f>資料儲存!F1019</f>
        <v>0</v>
      </c>
      <c r="W75" s="49">
        <f>資料儲存!G1019</f>
        <v>0</v>
      </c>
      <c r="X75" s="49">
        <f>資料儲存!H1019</f>
        <v>0</v>
      </c>
      <c r="Y75" s="49">
        <f>資料儲存!I1019</f>
        <v>0</v>
      </c>
      <c r="Z75" s="49">
        <f>資料儲存!J1019</f>
        <v>0</v>
      </c>
      <c r="AA75" s="45"/>
      <c r="AB75" s="48">
        <v>58</v>
      </c>
      <c r="AC75" s="49">
        <f>資料儲存!D1139</f>
        <v>0</v>
      </c>
      <c r="AD75" s="49">
        <f>資料儲存!E1139</f>
        <v>0</v>
      </c>
      <c r="AE75" s="49">
        <f>資料儲存!F1139</f>
        <v>0</v>
      </c>
      <c r="AF75" s="49">
        <f>資料儲存!G1139</f>
        <v>0</v>
      </c>
      <c r="AG75" s="49">
        <f>資料儲存!H1139</f>
        <v>0</v>
      </c>
      <c r="AH75" s="49">
        <f>資料儲存!I1139</f>
        <v>0</v>
      </c>
      <c r="AI75" s="49">
        <f>資料儲存!J1139</f>
        <v>0</v>
      </c>
      <c r="AJ75" s="13"/>
      <c r="AK75" s="48">
        <v>58</v>
      </c>
      <c r="AL75" s="49">
        <f>資料儲存!D1259</f>
        <v>0</v>
      </c>
      <c r="AM75" s="49">
        <f>資料儲存!E1259</f>
        <v>0</v>
      </c>
      <c r="AN75" s="49">
        <f>資料儲存!F1259</f>
        <v>0</v>
      </c>
      <c r="AO75" s="49">
        <f>資料儲存!G1259</f>
        <v>0</v>
      </c>
      <c r="AP75" s="49">
        <f>資料儲存!H1259</f>
        <v>0</v>
      </c>
      <c r="AQ75" s="49">
        <f>資料儲存!I1259</f>
        <v>0</v>
      </c>
      <c r="AR75" s="49">
        <f>資料儲存!J1259</f>
        <v>0</v>
      </c>
      <c r="AT75" s="48">
        <v>58</v>
      </c>
      <c r="AU75" s="49">
        <f>資料儲存!D1379</f>
        <v>0</v>
      </c>
      <c r="AV75" s="49">
        <f>資料儲存!E1379</f>
        <v>0</v>
      </c>
      <c r="AW75" s="49">
        <f>資料儲存!F1379</f>
        <v>0</v>
      </c>
      <c r="AX75" s="49">
        <f>資料儲存!G1379</f>
        <v>0</v>
      </c>
      <c r="AY75" s="49">
        <f>資料儲存!H1379</f>
        <v>0</v>
      </c>
      <c r="AZ75" s="49">
        <f>資料儲存!I1379</f>
        <v>0</v>
      </c>
      <c r="BA75" s="49">
        <f>資料儲存!J1379</f>
        <v>0</v>
      </c>
    </row>
    <row r="76" spans="1:53" ht="16" thickBot="1">
      <c r="A76" s="48">
        <v>59</v>
      </c>
      <c r="B76" s="49">
        <f>資料儲存!D780</f>
        <v>0</v>
      </c>
      <c r="C76" s="49">
        <f>資料儲存!E780</f>
        <v>0</v>
      </c>
      <c r="D76" s="49">
        <f>資料儲存!F780</f>
        <v>0</v>
      </c>
      <c r="E76" s="49">
        <f>資料儲存!G780</f>
        <v>0</v>
      </c>
      <c r="F76" s="49">
        <f>資料儲存!H780</f>
        <v>0</v>
      </c>
      <c r="G76" s="49">
        <f>資料儲存!I780</f>
        <v>0</v>
      </c>
      <c r="H76" s="49">
        <f>資料儲存!J780</f>
        <v>0</v>
      </c>
      <c r="I76" s="45"/>
      <c r="J76" s="48">
        <v>59</v>
      </c>
      <c r="K76" s="49">
        <f>資料儲存!D900</f>
        <v>0</v>
      </c>
      <c r="L76" s="49">
        <f>資料儲存!E900</f>
        <v>0</v>
      </c>
      <c r="M76" s="49">
        <f>資料儲存!F900</f>
        <v>0</v>
      </c>
      <c r="N76" s="49">
        <f>資料儲存!G900</f>
        <v>0</v>
      </c>
      <c r="O76" s="49">
        <f>資料儲存!H900</f>
        <v>0</v>
      </c>
      <c r="P76" s="49">
        <f>資料儲存!I900</f>
        <v>0</v>
      </c>
      <c r="Q76" s="49">
        <f>資料儲存!J900</f>
        <v>0</v>
      </c>
      <c r="R76" s="45"/>
      <c r="S76" s="48">
        <v>59</v>
      </c>
      <c r="T76" s="49">
        <f>資料儲存!D1020</f>
        <v>0</v>
      </c>
      <c r="U76" s="49">
        <f>資料儲存!E1020</f>
        <v>0</v>
      </c>
      <c r="V76" s="49">
        <f>資料儲存!F1020</f>
        <v>0</v>
      </c>
      <c r="W76" s="49">
        <f>資料儲存!G1020</f>
        <v>0</v>
      </c>
      <c r="X76" s="49">
        <f>資料儲存!H1020</f>
        <v>0</v>
      </c>
      <c r="Y76" s="49">
        <f>資料儲存!I1020</f>
        <v>0</v>
      </c>
      <c r="Z76" s="49">
        <f>資料儲存!J1020</f>
        <v>0</v>
      </c>
      <c r="AA76" s="45"/>
      <c r="AB76" s="48">
        <v>59</v>
      </c>
      <c r="AC76" s="49">
        <f>資料儲存!D1140</f>
        <v>0</v>
      </c>
      <c r="AD76" s="49">
        <f>資料儲存!E1140</f>
        <v>0</v>
      </c>
      <c r="AE76" s="49">
        <f>資料儲存!F1140</f>
        <v>0</v>
      </c>
      <c r="AF76" s="49">
        <f>資料儲存!G1140</f>
        <v>0</v>
      </c>
      <c r="AG76" s="49">
        <f>資料儲存!H1140</f>
        <v>0</v>
      </c>
      <c r="AH76" s="49">
        <f>資料儲存!I1140</f>
        <v>0</v>
      </c>
      <c r="AI76" s="49">
        <f>資料儲存!J1140</f>
        <v>0</v>
      </c>
      <c r="AJ76" s="13"/>
      <c r="AK76" s="48">
        <v>59</v>
      </c>
      <c r="AL76" s="49">
        <f>資料儲存!D1260</f>
        <v>0</v>
      </c>
      <c r="AM76" s="49">
        <f>資料儲存!E1260</f>
        <v>0</v>
      </c>
      <c r="AN76" s="49">
        <f>資料儲存!F1260</f>
        <v>0</v>
      </c>
      <c r="AO76" s="49">
        <f>資料儲存!G1260</f>
        <v>0</v>
      </c>
      <c r="AP76" s="49">
        <f>資料儲存!H1260</f>
        <v>0</v>
      </c>
      <c r="AQ76" s="49">
        <f>資料儲存!I1260</f>
        <v>0</v>
      </c>
      <c r="AR76" s="49">
        <f>資料儲存!J1260</f>
        <v>0</v>
      </c>
      <c r="AT76" s="48">
        <v>59</v>
      </c>
      <c r="AU76" s="49">
        <f>資料儲存!D1380</f>
        <v>0</v>
      </c>
      <c r="AV76" s="49">
        <f>資料儲存!E1380</f>
        <v>0</v>
      </c>
      <c r="AW76" s="49">
        <f>資料儲存!F1380</f>
        <v>0</v>
      </c>
      <c r="AX76" s="49">
        <f>資料儲存!G1380</f>
        <v>0</v>
      </c>
      <c r="AY76" s="49">
        <f>資料儲存!H1380</f>
        <v>0</v>
      </c>
      <c r="AZ76" s="49">
        <f>資料儲存!I1380</f>
        <v>0</v>
      </c>
      <c r="BA76" s="49">
        <f>資料儲存!J1380</f>
        <v>0</v>
      </c>
    </row>
    <row r="77" spans="1:53" ht="16" thickBot="1">
      <c r="A77" s="48">
        <v>60</v>
      </c>
      <c r="B77" s="49">
        <f>資料儲存!D781</f>
        <v>0</v>
      </c>
      <c r="C77" s="49">
        <f>資料儲存!E781</f>
        <v>0</v>
      </c>
      <c r="D77" s="49">
        <f>資料儲存!F781</f>
        <v>0</v>
      </c>
      <c r="E77" s="49">
        <f>資料儲存!G781</f>
        <v>0</v>
      </c>
      <c r="F77" s="49">
        <f>資料儲存!H781</f>
        <v>0</v>
      </c>
      <c r="G77" s="49">
        <f>資料儲存!I781</f>
        <v>0</v>
      </c>
      <c r="H77" s="49">
        <f>資料儲存!J781</f>
        <v>0</v>
      </c>
      <c r="I77" s="45"/>
      <c r="J77" s="48">
        <v>60</v>
      </c>
      <c r="K77" s="49">
        <f>資料儲存!D901</f>
        <v>0</v>
      </c>
      <c r="L77" s="49">
        <f>資料儲存!E901</f>
        <v>0</v>
      </c>
      <c r="M77" s="49">
        <f>資料儲存!F901</f>
        <v>0</v>
      </c>
      <c r="N77" s="49">
        <f>資料儲存!G901</f>
        <v>0</v>
      </c>
      <c r="O77" s="49">
        <f>資料儲存!H901</f>
        <v>0</v>
      </c>
      <c r="P77" s="49">
        <f>資料儲存!I901</f>
        <v>0</v>
      </c>
      <c r="Q77" s="49">
        <f>資料儲存!J901</f>
        <v>0</v>
      </c>
      <c r="R77" s="45"/>
      <c r="S77" s="48">
        <v>60</v>
      </c>
      <c r="T77" s="49">
        <f>資料儲存!D1021</f>
        <v>0</v>
      </c>
      <c r="U77" s="49">
        <f>資料儲存!E1021</f>
        <v>0</v>
      </c>
      <c r="V77" s="49">
        <f>資料儲存!F1021</f>
        <v>0</v>
      </c>
      <c r="W77" s="49">
        <f>資料儲存!G1021</f>
        <v>0</v>
      </c>
      <c r="X77" s="49">
        <f>資料儲存!H1021</f>
        <v>0</v>
      </c>
      <c r="Y77" s="49">
        <f>資料儲存!I1021</f>
        <v>0</v>
      </c>
      <c r="Z77" s="49">
        <f>資料儲存!J1021</f>
        <v>0</v>
      </c>
      <c r="AA77" s="45"/>
      <c r="AB77" s="48">
        <v>60</v>
      </c>
      <c r="AC77" s="49">
        <f>資料儲存!D1141</f>
        <v>0</v>
      </c>
      <c r="AD77" s="49">
        <f>資料儲存!E1141</f>
        <v>0</v>
      </c>
      <c r="AE77" s="49">
        <f>資料儲存!F1141</f>
        <v>0</v>
      </c>
      <c r="AF77" s="49">
        <f>資料儲存!G1141</f>
        <v>0</v>
      </c>
      <c r="AG77" s="49">
        <f>資料儲存!H1141</f>
        <v>0</v>
      </c>
      <c r="AH77" s="49">
        <f>資料儲存!I1141</f>
        <v>0</v>
      </c>
      <c r="AI77" s="49">
        <f>資料儲存!J1141</f>
        <v>0</v>
      </c>
      <c r="AJ77" s="13"/>
      <c r="AK77" s="48">
        <v>60</v>
      </c>
      <c r="AL77" s="49">
        <f>資料儲存!D1261</f>
        <v>0</v>
      </c>
      <c r="AM77" s="49">
        <f>資料儲存!E1261</f>
        <v>0</v>
      </c>
      <c r="AN77" s="49">
        <f>資料儲存!F1261</f>
        <v>0</v>
      </c>
      <c r="AO77" s="49">
        <f>資料儲存!G1261</f>
        <v>0</v>
      </c>
      <c r="AP77" s="49">
        <f>資料儲存!H1261</f>
        <v>0</v>
      </c>
      <c r="AQ77" s="49">
        <f>資料儲存!I1261</f>
        <v>0</v>
      </c>
      <c r="AR77" s="49">
        <f>資料儲存!J1261</f>
        <v>0</v>
      </c>
      <c r="AT77" s="48">
        <v>60</v>
      </c>
      <c r="AU77" s="49">
        <f>資料儲存!D1381</f>
        <v>0</v>
      </c>
      <c r="AV77" s="49">
        <f>資料儲存!E1381</f>
        <v>0</v>
      </c>
      <c r="AW77" s="49">
        <f>資料儲存!F1381</f>
        <v>0</v>
      </c>
      <c r="AX77" s="49">
        <f>資料儲存!G1381</f>
        <v>0</v>
      </c>
      <c r="AY77" s="49">
        <f>資料儲存!H1381</f>
        <v>0</v>
      </c>
      <c r="AZ77" s="49">
        <f>資料儲存!I1381</f>
        <v>0</v>
      </c>
      <c r="BA77" s="49">
        <f>資料儲存!J1381</f>
        <v>0</v>
      </c>
    </row>
    <row r="78" spans="1:53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13"/>
      <c r="AK78" s="50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  <c r="AT78" s="50" t="s">
        <v>56</v>
      </c>
      <c r="AU78" s="49">
        <f>SUM(AU63:AX77)</f>
        <v>0</v>
      </c>
      <c r="AV78" s="47"/>
      <c r="AW78" s="47"/>
      <c r="AX78" s="47"/>
      <c r="AY78" s="49">
        <f>AY77</f>
        <v>0</v>
      </c>
      <c r="AZ78" s="49">
        <f>AZ77</f>
        <v>0</v>
      </c>
      <c r="BA78" s="49">
        <f>BA77</f>
        <v>0</v>
      </c>
    </row>
    <row r="79" spans="1:53" ht="18.5" thickBot="1">
      <c r="A79" s="248" t="s">
        <v>63</v>
      </c>
      <c r="B79" s="249"/>
      <c r="C79" s="249"/>
      <c r="D79" s="249"/>
      <c r="E79" s="249"/>
      <c r="F79" s="249"/>
      <c r="G79" s="249"/>
      <c r="H79" s="250"/>
      <c r="I79" s="13"/>
      <c r="J79" s="248" t="s">
        <v>63</v>
      </c>
      <c r="K79" s="249"/>
      <c r="L79" s="249"/>
      <c r="M79" s="249"/>
      <c r="N79" s="249"/>
      <c r="O79" s="249"/>
      <c r="P79" s="249"/>
      <c r="Q79" s="250"/>
      <c r="R79" s="13"/>
      <c r="S79" s="248" t="s">
        <v>63</v>
      </c>
      <c r="T79" s="249"/>
      <c r="U79" s="249"/>
      <c r="V79" s="249"/>
      <c r="W79" s="249"/>
      <c r="X79" s="249"/>
      <c r="Y79" s="249"/>
      <c r="Z79" s="250"/>
      <c r="AA79" s="13"/>
      <c r="AB79" s="248" t="s">
        <v>63</v>
      </c>
      <c r="AC79" s="249"/>
      <c r="AD79" s="249"/>
      <c r="AE79" s="249"/>
      <c r="AF79" s="249"/>
      <c r="AG79" s="249"/>
      <c r="AH79" s="249"/>
      <c r="AI79" s="250"/>
      <c r="AJ79" s="13"/>
      <c r="AK79" s="248" t="s">
        <v>63</v>
      </c>
      <c r="AL79" s="249"/>
      <c r="AM79" s="249"/>
      <c r="AN79" s="249"/>
      <c r="AO79" s="249"/>
      <c r="AP79" s="249"/>
      <c r="AQ79" s="249"/>
      <c r="AR79" s="250"/>
      <c r="AT79" s="248" t="s">
        <v>63</v>
      </c>
      <c r="AU79" s="249"/>
      <c r="AV79" s="249"/>
      <c r="AW79" s="249"/>
      <c r="AX79" s="249"/>
      <c r="AY79" s="249"/>
      <c r="AZ79" s="249"/>
      <c r="BA79" s="250"/>
    </row>
    <row r="80" spans="1:53" ht="17.25" customHeight="1" thickBot="1">
      <c r="A80" s="31" t="s">
        <v>2</v>
      </c>
      <c r="B80" s="32" t="s">
        <v>46</v>
      </c>
      <c r="C80" s="33"/>
      <c r="D80" s="33"/>
      <c r="E80" s="34"/>
      <c r="F80" s="32" t="s">
        <v>47</v>
      </c>
      <c r="G80" s="33"/>
      <c r="H80" s="34"/>
      <c r="I80" s="35"/>
      <c r="J80" s="31" t="s">
        <v>2</v>
      </c>
      <c r="K80" s="32" t="s">
        <v>46</v>
      </c>
      <c r="L80" s="33"/>
      <c r="M80" s="33"/>
      <c r="N80" s="34"/>
      <c r="O80" s="32" t="s">
        <v>47</v>
      </c>
      <c r="P80" s="33"/>
      <c r="Q80" s="34"/>
      <c r="R80" s="35"/>
      <c r="S80" s="31" t="s">
        <v>2</v>
      </c>
      <c r="T80" s="32" t="s">
        <v>46</v>
      </c>
      <c r="U80" s="33"/>
      <c r="V80" s="33"/>
      <c r="W80" s="34"/>
      <c r="X80" s="32" t="s">
        <v>47</v>
      </c>
      <c r="Y80" s="33"/>
      <c r="Z80" s="34"/>
      <c r="AA80" s="35"/>
      <c r="AB80" s="31" t="s">
        <v>2</v>
      </c>
      <c r="AC80" s="32" t="s">
        <v>46</v>
      </c>
      <c r="AD80" s="33"/>
      <c r="AE80" s="33"/>
      <c r="AF80" s="34"/>
      <c r="AG80" s="32" t="s">
        <v>47</v>
      </c>
      <c r="AH80" s="33"/>
      <c r="AI80" s="34"/>
      <c r="AJ80" s="13"/>
      <c r="AK80" s="31" t="s">
        <v>2</v>
      </c>
      <c r="AL80" s="32" t="s">
        <v>46</v>
      </c>
      <c r="AM80" s="33"/>
      <c r="AN80" s="33"/>
      <c r="AO80" s="34"/>
      <c r="AP80" s="32" t="s">
        <v>47</v>
      </c>
      <c r="AQ80" s="33"/>
      <c r="AR80" s="34"/>
      <c r="AT80" s="31" t="s">
        <v>2</v>
      </c>
      <c r="AU80" s="32" t="s">
        <v>46</v>
      </c>
      <c r="AV80" s="33"/>
      <c r="AW80" s="33"/>
      <c r="AX80" s="34"/>
      <c r="AY80" s="32" t="s">
        <v>47</v>
      </c>
      <c r="AZ80" s="33"/>
      <c r="BA80" s="34"/>
    </row>
    <row r="81" spans="1:53" ht="16" thickBot="1">
      <c r="A81" s="36" t="s">
        <v>64</v>
      </c>
      <c r="B81" s="37" t="s">
        <v>49</v>
      </c>
      <c r="C81" s="37" t="s">
        <v>50</v>
      </c>
      <c r="D81" s="37" t="s">
        <v>51</v>
      </c>
      <c r="E81" s="37" t="s">
        <v>52</v>
      </c>
      <c r="F81" s="37" t="s">
        <v>53</v>
      </c>
      <c r="G81" s="37" t="s">
        <v>54</v>
      </c>
      <c r="H81" s="37" t="s">
        <v>55</v>
      </c>
      <c r="I81" s="35"/>
      <c r="J81" s="36" t="s">
        <v>64</v>
      </c>
      <c r="K81" s="37" t="s">
        <v>49</v>
      </c>
      <c r="L81" s="37" t="s">
        <v>50</v>
      </c>
      <c r="M81" s="37" t="s">
        <v>51</v>
      </c>
      <c r="N81" s="37" t="s">
        <v>52</v>
      </c>
      <c r="O81" s="37" t="s">
        <v>53</v>
      </c>
      <c r="P81" s="37" t="s">
        <v>54</v>
      </c>
      <c r="Q81" s="37" t="s">
        <v>55</v>
      </c>
      <c r="R81" s="35"/>
      <c r="S81" s="36" t="s">
        <v>64</v>
      </c>
      <c r="T81" s="37" t="s">
        <v>49</v>
      </c>
      <c r="U81" s="37" t="s">
        <v>50</v>
      </c>
      <c r="V81" s="37" t="s">
        <v>51</v>
      </c>
      <c r="W81" s="37" t="s">
        <v>52</v>
      </c>
      <c r="X81" s="37" t="s">
        <v>53</v>
      </c>
      <c r="Y81" s="37" t="s">
        <v>54</v>
      </c>
      <c r="Z81" s="37" t="s">
        <v>55</v>
      </c>
      <c r="AA81" s="35"/>
      <c r="AB81" s="36" t="s">
        <v>64</v>
      </c>
      <c r="AC81" s="37" t="s">
        <v>49</v>
      </c>
      <c r="AD81" s="37" t="s">
        <v>50</v>
      </c>
      <c r="AE81" s="37" t="s">
        <v>51</v>
      </c>
      <c r="AF81" s="37" t="s">
        <v>52</v>
      </c>
      <c r="AG81" s="37" t="s">
        <v>53</v>
      </c>
      <c r="AH81" s="37" t="s">
        <v>54</v>
      </c>
      <c r="AI81" s="37" t="s">
        <v>55</v>
      </c>
      <c r="AJ81" s="13"/>
      <c r="AK81" s="36" t="s">
        <v>64</v>
      </c>
      <c r="AL81" s="37" t="s">
        <v>49</v>
      </c>
      <c r="AM81" s="37" t="s">
        <v>50</v>
      </c>
      <c r="AN81" s="37" t="s">
        <v>51</v>
      </c>
      <c r="AO81" s="37" t="s">
        <v>52</v>
      </c>
      <c r="AP81" s="37" t="s">
        <v>53</v>
      </c>
      <c r="AQ81" s="37" t="s">
        <v>54</v>
      </c>
      <c r="AR81" s="37" t="s">
        <v>55</v>
      </c>
      <c r="AT81" s="36" t="s">
        <v>64</v>
      </c>
      <c r="AU81" s="37" t="s">
        <v>49</v>
      </c>
      <c r="AV81" s="37" t="s">
        <v>50</v>
      </c>
      <c r="AW81" s="37" t="s">
        <v>51</v>
      </c>
      <c r="AX81" s="37" t="s">
        <v>52</v>
      </c>
      <c r="AY81" s="37" t="s">
        <v>53</v>
      </c>
      <c r="AZ81" s="37" t="s">
        <v>54</v>
      </c>
      <c r="BA81" s="37" t="s">
        <v>55</v>
      </c>
    </row>
    <row r="82" spans="1:53" ht="16" thickBot="1">
      <c r="A82" s="38">
        <v>1</v>
      </c>
      <c r="B82" s="39">
        <f>資料儲存!D782</f>
        <v>0</v>
      </c>
      <c r="C82" s="39">
        <f>資料儲存!E782</f>
        <v>0</v>
      </c>
      <c r="D82" s="39">
        <f>資料儲存!F782</f>
        <v>0</v>
      </c>
      <c r="E82" s="39">
        <f>資料儲存!G782</f>
        <v>0</v>
      </c>
      <c r="F82" s="39">
        <f>資料儲存!H782</f>
        <v>0</v>
      </c>
      <c r="G82" s="39">
        <f>資料儲存!I782</f>
        <v>0</v>
      </c>
      <c r="H82" s="39">
        <f>資料儲存!J782</f>
        <v>0</v>
      </c>
      <c r="I82" s="35"/>
      <c r="J82" s="38">
        <v>1</v>
      </c>
      <c r="K82" s="39">
        <f>資料儲存!D902</f>
        <v>0</v>
      </c>
      <c r="L82" s="39">
        <f>資料儲存!E902</f>
        <v>0</v>
      </c>
      <c r="M82" s="39">
        <f>資料儲存!F902</f>
        <v>0</v>
      </c>
      <c r="N82" s="39">
        <f>資料儲存!G902</f>
        <v>0</v>
      </c>
      <c r="O82" s="39">
        <f>資料儲存!H902</f>
        <v>0</v>
      </c>
      <c r="P82" s="39">
        <f>資料儲存!I902</f>
        <v>0</v>
      </c>
      <c r="Q82" s="39">
        <f>資料儲存!J902</f>
        <v>0</v>
      </c>
      <c r="R82" s="35"/>
      <c r="S82" s="38">
        <v>1</v>
      </c>
      <c r="T82" s="39">
        <f>資料儲存!D1022</f>
        <v>0</v>
      </c>
      <c r="U82" s="39">
        <f>資料儲存!E1022</f>
        <v>0</v>
      </c>
      <c r="V82" s="39">
        <f>資料儲存!F1022</f>
        <v>0</v>
      </c>
      <c r="W82" s="39">
        <f>資料儲存!G1022</f>
        <v>0</v>
      </c>
      <c r="X82" s="39">
        <f>資料儲存!H1022</f>
        <v>0</v>
      </c>
      <c r="Y82" s="39">
        <f>資料儲存!I1022</f>
        <v>0</v>
      </c>
      <c r="Z82" s="39">
        <f>資料儲存!J1022</f>
        <v>0</v>
      </c>
      <c r="AA82" s="35"/>
      <c r="AB82" s="38">
        <v>1</v>
      </c>
      <c r="AC82" s="39">
        <f>資料儲存!D1142</f>
        <v>0</v>
      </c>
      <c r="AD82" s="39">
        <f>資料儲存!E1142</f>
        <v>0</v>
      </c>
      <c r="AE82" s="39">
        <f>資料儲存!F1142</f>
        <v>0</v>
      </c>
      <c r="AF82" s="39">
        <f>資料儲存!G1142</f>
        <v>0</v>
      </c>
      <c r="AG82" s="39">
        <f>資料儲存!H1142</f>
        <v>0</v>
      </c>
      <c r="AH82" s="39">
        <f>資料儲存!I1142</f>
        <v>0</v>
      </c>
      <c r="AI82" s="39">
        <f>資料儲存!J1142</f>
        <v>0</v>
      </c>
      <c r="AJ82" s="13"/>
      <c r="AK82" s="38">
        <v>1</v>
      </c>
      <c r="AL82" s="39">
        <f>資料儲存!D1262</f>
        <v>0</v>
      </c>
      <c r="AM82" s="39">
        <f>資料儲存!E1262</f>
        <v>0</v>
      </c>
      <c r="AN82" s="39">
        <f>資料儲存!F1262</f>
        <v>0</v>
      </c>
      <c r="AO82" s="39">
        <f>資料儲存!G1262</f>
        <v>0</v>
      </c>
      <c r="AP82" s="39">
        <f>資料儲存!H1262</f>
        <v>0</v>
      </c>
      <c r="AQ82" s="39">
        <f>資料儲存!I1262</f>
        <v>0</v>
      </c>
      <c r="AR82" s="39">
        <f>資料儲存!J1262</f>
        <v>0</v>
      </c>
      <c r="AT82" s="38">
        <v>1</v>
      </c>
      <c r="AU82" s="39">
        <f>資料儲存!D1382</f>
        <v>0</v>
      </c>
      <c r="AV82" s="39">
        <f>資料儲存!E1382</f>
        <v>0</v>
      </c>
      <c r="AW82" s="39">
        <f>資料儲存!F1382</f>
        <v>0</v>
      </c>
      <c r="AX82" s="39">
        <f>資料儲存!G1382</f>
        <v>0</v>
      </c>
      <c r="AY82" s="39">
        <f>資料儲存!H1382</f>
        <v>0</v>
      </c>
      <c r="AZ82" s="39">
        <f>資料儲存!I1382</f>
        <v>0</v>
      </c>
      <c r="BA82" s="39">
        <f>資料儲存!J1382</f>
        <v>0</v>
      </c>
    </row>
    <row r="83" spans="1:53" ht="16" thickBot="1">
      <c r="A83" s="38">
        <v>2</v>
      </c>
      <c r="B83" s="39">
        <f>資料儲存!D783</f>
        <v>0</v>
      </c>
      <c r="C83" s="39">
        <f>資料儲存!E783</f>
        <v>0</v>
      </c>
      <c r="D83" s="39">
        <f>資料儲存!F783</f>
        <v>0</v>
      </c>
      <c r="E83" s="39">
        <f>資料儲存!G783</f>
        <v>0</v>
      </c>
      <c r="F83" s="39">
        <f>資料儲存!H783</f>
        <v>0</v>
      </c>
      <c r="G83" s="39">
        <f>資料儲存!I783</f>
        <v>0</v>
      </c>
      <c r="H83" s="39">
        <f>資料儲存!J783</f>
        <v>0</v>
      </c>
      <c r="I83" s="35"/>
      <c r="J83" s="38">
        <v>2</v>
      </c>
      <c r="K83" s="39">
        <f>資料儲存!D903</f>
        <v>0</v>
      </c>
      <c r="L83" s="39">
        <f>資料儲存!E903</f>
        <v>0</v>
      </c>
      <c r="M83" s="39">
        <f>資料儲存!F903</f>
        <v>0</v>
      </c>
      <c r="N83" s="39">
        <f>資料儲存!G903</f>
        <v>0</v>
      </c>
      <c r="O83" s="39">
        <f>資料儲存!H903</f>
        <v>0</v>
      </c>
      <c r="P83" s="39">
        <f>資料儲存!I903</f>
        <v>0</v>
      </c>
      <c r="Q83" s="39">
        <f>資料儲存!J903</f>
        <v>0</v>
      </c>
      <c r="R83" s="35"/>
      <c r="S83" s="38">
        <v>2</v>
      </c>
      <c r="T83" s="39">
        <f>資料儲存!D1023</f>
        <v>0</v>
      </c>
      <c r="U83" s="39">
        <f>資料儲存!E1023</f>
        <v>0</v>
      </c>
      <c r="V83" s="39">
        <f>資料儲存!F1023</f>
        <v>0</v>
      </c>
      <c r="W83" s="39">
        <f>資料儲存!G1023</f>
        <v>0</v>
      </c>
      <c r="X83" s="39">
        <f>資料儲存!H1023</f>
        <v>0</v>
      </c>
      <c r="Y83" s="39">
        <f>資料儲存!I1023</f>
        <v>0</v>
      </c>
      <c r="Z83" s="39">
        <f>資料儲存!J1023</f>
        <v>0</v>
      </c>
      <c r="AA83" s="35"/>
      <c r="AB83" s="38">
        <v>2</v>
      </c>
      <c r="AC83" s="39">
        <f>資料儲存!D1143</f>
        <v>0</v>
      </c>
      <c r="AD83" s="39">
        <f>資料儲存!E1143</f>
        <v>0</v>
      </c>
      <c r="AE83" s="39">
        <f>資料儲存!F1143</f>
        <v>0</v>
      </c>
      <c r="AF83" s="39">
        <f>資料儲存!G1143</f>
        <v>0</v>
      </c>
      <c r="AG83" s="39">
        <f>資料儲存!H1143</f>
        <v>0</v>
      </c>
      <c r="AH83" s="39">
        <f>資料儲存!I1143</f>
        <v>0</v>
      </c>
      <c r="AI83" s="39">
        <f>資料儲存!J1143</f>
        <v>0</v>
      </c>
      <c r="AJ83" s="13"/>
      <c r="AK83" s="38">
        <v>2</v>
      </c>
      <c r="AL83" s="39">
        <f>資料儲存!D1263</f>
        <v>0</v>
      </c>
      <c r="AM83" s="39">
        <f>資料儲存!E1263</f>
        <v>0</v>
      </c>
      <c r="AN83" s="39">
        <f>資料儲存!F1263</f>
        <v>0</v>
      </c>
      <c r="AO83" s="39">
        <f>資料儲存!G1263</f>
        <v>0</v>
      </c>
      <c r="AP83" s="39">
        <f>資料儲存!H1263</f>
        <v>0</v>
      </c>
      <c r="AQ83" s="39">
        <f>資料儲存!I1263</f>
        <v>0</v>
      </c>
      <c r="AR83" s="39">
        <f>資料儲存!J1263</f>
        <v>0</v>
      </c>
      <c r="AT83" s="38">
        <v>2</v>
      </c>
      <c r="AU83" s="39">
        <f>資料儲存!D1383</f>
        <v>0</v>
      </c>
      <c r="AV83" s="39">
        <f>資料儲存!E1383</f>
        <v>0</v>
      </c>
      <c r="AW83" s="39">
        <f>資料儲存!F1383</f>
        <v>0</v>
      </c>
      <c r="AX83" s="39">
        <f>資料儲存!G1383</f>
        <v>0</v>
      </c>
      <c r="AY83" s="39">
        <f>資料儲存!H1383</f>
        <v>0</v>
      </c>
      <c r="AZ83" s="39">
        <f>資料儲存!I1383</f>
        <v>0</v>
      </c>
      <c r="BA83" s="39">
        <f>資料儲存!J1383</f>
        <v>0</v>
      </c>
    </row>
    <row r="84" spans="1:53" ht="16" thickBot="1">
      <c r="A84" s="38">
        <v>3</v>
      </c>
      <c r="B84" s="39">
        <f>資料儲存!D784</f>
        <v>0</v>
      </c>
      <c r="C84" s="39">
        <f>資料儲存!E784</f>
        <v>0</v>
      </c>
      <c r="D84" s="39">
        <f>資料儲存!F784</f>
        <v>0</v>
      </c>
      <c r="E84" s="39">
        <f>資料儲存!G784</f>
        <v>0</v>
      </c>
      <c r="F84" s="39">
        <f>資料儲存!H784</f>
        <v>0</v>
      </c>
      <c r="G84" s="39">
        <f>資料儲存!I784</f>
        <v>0</v>
      </c>
      <c r="H84" s="39">
        <f>資料儲存!J784</f>
        <v>0</v>
      </c>
      <c r="I84" s="35"/>
      <c r="J84" s="38">
        <v>3</v>
      </c>
      <c r="K84" s="39">
        <f>資料儲存!D904</f>
        <v>0</v>
      </c>
      <c r="L84" s="39">
        <f>資料儲存!E904</f>
        <v>0</v>
      </c>
      <c r="M84" s="39">
        <f>資料儲存!F904</f>
        <v>0</v>
      </c>
      <c r="N84" s="39">
        <f>資料儲存!G904</f>
        <v>0</v>
      </c>
      <c r="O84" s="39">
        <f>資料儲存!H904</f>
        <v>0</v>
      </c>
      <c r="P84" s="39">
        <f>資料儲存!I904</f>
        <v>0</v>
      </c>
      <c r="Q84" s="39">
        <f>資料儲存!J904</f>
        <v>0</v>
      </c>
      <c r="R84" s="35"/>
      <c r="S84" s="38">
        <v>3</v>
      </c>
      <c r="T84" s="39">
        <f>資料儲存!D1024</f>
        <v>0</v>
      </c>
      <c r="U84" s="39">
        <f>資料儲存!E1024</f>
        <v>0</v>
      </c>
      <c r="V84" s="39">
        <f>資料儲存!F1024</f>
        <v>0</v>
      </c>
      <c r="W84" s="39">
        <f>資料儲存!G1024</f>
        <v>0</v>
      </c>
      <c r="X84" s="39">
        <f>資料儲存!H1024</f>
        <v>0</v>
      </c>
      <c r="Y84" s="39">
        <f>資料儲存!I1024</f>
        <v>0</v>
      </c>
      <c r="Z84" s="39">
        <f>資料儲存!J1024</f>
        <v>0</v>
      </c>
      <c r="AA84" s="35"/>
      <c r="AB84" s="38">
        <v>3</v>
      </c>
      <c r="AC84" s="39">
        <f>資料儲存!D1144</f>
        <v>0</v>
      </c>
      <c r="AD84" s="39">
        <f>資料儲存!E1144</f>
        <v>0</v>
      </c>
      <c r="AE84" s="39">
        <f>資料儲存!F1144</f>
        <v>0</v>
      </c>
      <c r="AF84" s="39">
        <f>資料儲存!G1144</f>
        <v>0</v>
      </c>
      <c r="AG84" s="39">
        <f>資料儲存!H1144</f>
        <v>0</v>
      </c>
      <c r="AH84" s="39">
        <f>資料儲存!I1144</f>
        <v>0</v>
      </c>
      <c r="AI84" s="39">
        <f>資料儲存!J1144</f>
        <v>0</v>
      </c>
      <c r="AJ84" s="13"/>
      <c r="AK84" s="38">
        <v>3</v>
      </c>
      <c r="AL84" s="39">
        <f>資料儲存!D1264</f>
        <v>0</v>
      </c>
      <c r="AM84" s="39">
        <f>資料儲存!E1264</f>
        <v>0</v>
      </c>
      <c r="AN84" s="39">
        <f>資料儲存!F1264</f>
        <v>0</v>
      </c>
      <c r="AO84" s="39">
        <f>資料儲存!G1264</f>
        <v>0</v>
      </c>
      <c r="AP84" s="39">
        <f>資料儲存!H1264</f>
        <v>0</v>
      </c>
      <c r="AQ84" s="39">
        <f>資料儲存!I1264</f>
        <v>0</v>
      </c>
      <c r="AR84" s="39">
        <f>資料儲存!J1264</f>
        <v>0</v>
      </c>
      <c r="AT84" s="38">
        <v>3</v>
      </c>
      <c r="AU84" s="39">
        <f>資料儲存!D1384</f>
        <v>0</v>
      </c>
      <c r="AV84" s="39">
        <f>資料儲存!E1384</f>
        <v>0</v>
      </c>
      <c r="AW84" s="39">
        <f>資料儲存!F1384</f>
        <v>0</v>
      </c>
      <c r="AX84" s="39">
        <f>資料儲存!G1384</f>
        <v>0</v>
      </c>
      <c r="AY84" s="39">
        <f>資料儲存!H1384</f>
        <v>0</v>
      </c>
      <c r="AZ84" s="39">
        <f>資料儲存!I1384</f>
        <v>0</v>
      </c>
      <c r="BA84" s="39">
        <f>資料儲存!J1384</f>
        <v>0</v>
      </c>
    </row>
    <row r="85" spans="1:53" ht="16" thickBot="1">
      <c r="A85" s="38">
        <v>4</v>
      </c>
      <c r="B85" s="39">
        <f>資料儲存!D785</f>
        <v>0</v>
      </c>
      <c r="C85" s="39">
        <f>資料儲存!E785</f>
        <v>0</v>
      </c>
      <c r="D85" s="39">
        <f>資料儲存!F785</f>
        <v>0</v>
      </c>
      <c r="E85" s="39">
        <f>資料儲存!G785</f>
        <v>0</v>
      </c>
      <c r="F85" s="39">
        <f>資料儲存!H785</f>
        <v>0</v>
      </c>
      <c r="G85" s="39">
        <f>資料儲存!I785</f>
        <v>0</v>
      </c>
      <c r="H85" s="39">
        <f>資料儲存!J785</f>
        <v>0</v>
      </c>
      <c r="I85" s="35"/>
      <c r="J85" s="38">
        <v>4</v>
      </c>
      <c r="K85" s="39">
        <f>資料儲存!D905</f>
        <v>0</v>
      </c>
      <c r="L85" s="39">
        <f>資料儲存!E905</f>
        <v>0</v>
      </c>
      <c r="M85" s="39">
        <f>資料儲存!F905</f>
        <v>0</v>
      </c>
      <c r="N85" s="39">
        <f>資料儲存!G905</f>
        <v>0</v>
      </c>
      <c r="O85" s="39">
        <f>資料儲存!H905</f>
        <v>0</v>
      </c>
      <c r="P85" s="39">
        <f>資料儲存!I905</f>
        <v>0</v>
      </c>
      <c r="Q85" s="39">
        <f>資料儲存!J905</f>
        <v>0</v>
      </c>
      <c r="R85" s="35"/>
      <c r="S85" s="38">
        <v>4</v>
      </c>
      <c r="T85" s="39">
        <f>資料儲存!D1025</f>
        <v>0</v>
      </c>
      <c r="U85" s="39">
        <f>資料儲存!E1025</f>
        <v>0</v>
      </c>
      <c r="V85" s="39">
        <f>資料儲存!F1025</f>
        <v>0</v>
      </c>
      <c r="W85" s="39">
        <f>資料儲存!G1025</f>
        <v>0</v>
      </c>
      <c r="X85" s="39">
        <f>資料儲存!H1025</f>
        <v>0</v>
      </c>
      <c r="Y85" s="39">
        <f>資料儲存!I1025</f>
        <v>0</v>
      </c>
      <c r="Z85" s="39">
        <f>資料儲存!J1025</f>
        <v>0</v>
      </c>
      <c r="AA85" s="35"/>
      <c r="AB85" s="38">
        <v>4</v>
      </c>
      <c r="AC85" s="39">
        <f>資料儲存!D1145</f>
        <v>0</v>
      </c>
      <c r="AD85" s="39">
        <f>資料儲存!E1145</f>
        <v>0</v>
      </c>
      <c r="AE85" s="39">
        <f>資料儲存!F1145</f>
        <v>0</v>
      </c>
      <c r="AF85" s="39">
        <f>資料儲存!G1145</f>
        <v>0</v>
      </c>
      <c r="AG85" s="39">
        <f>資料儲存!H1145</f>
        <v>0</v>
      </c>
      <c r="AH85" s="39">
        <f>資料儲存!I1145</f>
        <v>0</v>
      </c>
      <c r="AI85" s="39">
        <f>資料儲存!J1145</f>
        <v>0</v>
      </c>
      <c r="AJ85" s="13"/>
      <c r="AK85" s="38">
        <v>4</v>
      </c>
      <c r="AL85" s="39">
        <f>資料儲存!D1265</f>
        <v>0</v>
      </c>
      <c r="AM85" s="39">
        <f>資料儲存!E1265</f>
        <v>0</v>
      </c>
      <c r="AN85" s="39">
        <f>資料儲存!F1265</f>
        <v>0</v>
      </c>
      <c r="AO85" s="39">
        <f>資料儲存!G1265</f>
        <v>0</v>
      </c>
      <c r="AP85" s="39">
        <f>資料儲存!H1265</f>
        <v>0</v>
      </c>
      <c r="AQ85" s="39">
        <f>資料儲存!I1265</f>
        <v>0</v>
      </c>
      <c r="AR85" s="39">
        <f>資料儲存!J1265</f>
        <v>0</v>
      </c>
      <c r="AT85" s="38">
        <v>4</v>
      </c>
      <c r="AU85" s="39">
        <f>資料儲存!D1385</f>
        <v>0</v>
      </c>
      <c r="AV85" s="39">
        <f>資料儲存!E1385</f>
        <v>0</v>
      </c>
      <c r="AW85" s="39">
        <f>資料儲存!F1385</f>
        <v>0</v>
      </c>
      <c r="AX85" s="39">
        <f>資料儲存!G1385</f>
        <v>0</v>
      </c>
      <c r="AY85" s="39">
        <f>資料儲存!H1385</f>
        <v>0</v>
      </c>
      <c r="AZ85" s="39">
        <f>資料儲存!I1385</f>
        <v>0</v>
      </c>
      <c r="BA85" s="39">
        <f>資料儲存!J1385</f>
        <v>0</v>
      </c>
    </row>
    <row r="86" spans="1:53" ht="16" thickBot="1">
      <c r="A86" s="38">
        <v>5</v>
      </c>
      <c r="B86" s="39">
        <f>資料儲存!D786</f>
        <v>0</v>
      </c>
      <c r="C86" s="39">
        <f>資料儲存!E786</f>
        <v>0</v>
      </c>
      <c r="D86" s="39">
        <f>資料儲存!F786</f>
        <v>0</v>
      </c>
      <c r="E86" s="39">
        <f>資料儲存!G786</f>
        <v>0</v>
      </c>
      <c r="F86" s="39">
        <f>資料儲存!H786</f>
        <v>0</v>
      </c>
      <c r="G86" s="39">
        <f>資料儲存!I786</f>
        <v>0</v>
      </c>
      <c r="H86" s="39">
        <f>資料儲存!J786</f>
        <v>0</v>
      </c>
      <c r="I86" s="35"/>
      <c r="J86" s="38">
        <v>5</v>
      </c>
      <c r="K86" s="39">
        <f>資料儲存!D906</f>
        <v>0</v>
      </c>
      <c r="L86" s="39">
        <f>資料儲存!E906</f>
        <v>0</v>
      </c>
      <c r="M86" s="39">
        <f>資料儲存!F906</f>
        <v>0</v>
      </c>
      <c r="N86" s="39">
        <f>資料儲存!G906</f>
        <v>0</v>
      </c>
      <c r="O86" s="39">
        <f>資料儲存!H906</f>
        <v>0</v>
      </c>
      <c r="P86" s="39">
        <f>資料儲存!I906</f>
        <v>0</v>
      </c>
      <c r="Q86" s="39">
        <f>資料儲存!J906</f>
        <v>0</v>
      </c>
      <c r="R86" s="35"/>
      <c r="S86" s="38">
        <v>5</v>
      </c>
      <c r="T86" s="39">
        <f>資料儲存!D1026</f>
        <v>0</v>
      </c>
      <c r="U86" s="39">
        <f>資料儲存!E1026</f>
        <v>0</v>
      </c>
      <c r="V86" s="39">
        <f>資料儲存!F1026</f>
        <v>0</v>
      </c>
      <c r="W86" s="39">
        <f>資料儲存!G1026</f>
        <v>0</v>
      </c>
      <c r="X86" s="39">
        <f>資料儲存!H1026</f>
        <v>0</v>
      </c>
      <c r="Y86" s="39">
        <f>資料儲存!I1026</f>
        <v>0</v>
      </c>
      <c r="Z86" s="39">
        <f>資料儲存!J1026</f>
        <v>0</v>
      </c>
      <c r="AA86" s="35"/>
      <c r="AB86" s="38">
        <v>5</v>
      </c>
      <c r="AC86" s="39">
        <f>資料儲存!D1146</f>
        <v>0</v>
      </c>
      <c r="AD86" s="39">
        <f>資料儲存!E1146</f>
        <v>0</v>
      </c>
      <c r="AE86" s="39">
        <f>資料儲存!F1146</f>
        <v>0</v>
      </c>
      <c r="AF86" s="39">
        <f>資料儲存!G1146</f>
        <v>0</v>
      </c>
      <c r="AG86" s="39">
        <f>資料儲存!H1146</f>
        <v>0</v>
      </c>
      <c r="AH86" s="39">
        <f>資料儲存!I1146</f>
        <v>0</v>
      </c>
      <c r="AI86" s="39">
        <f>資料儲存!J1146</f>
        <v>0</v>
      </c>
      <c r="AJ86" s="13"/>
      <c r="AK86" s="38">
        <v>5</v>
      </c>
      <c r="AL86" s="39">
        <f>資料儲存!D1266</f>
        <v>0</v>
      </c>
      <c r="AM86" s="39">
        <f>資料儲存!E1266</f>
        <v>0</v>
      </c>
      <c r="AN86" s="39">
        <f>資料儲存!F1266</f>
        <v>0</v>
      </c>
      <c r="AO86" s="39">
        <f>資料儲存!G1266</f>
        <v>0</v>
      </c>
      <c r="AP86" s="39">
        <f>資料儲存!H1266</f>
        <v>0</v>
      </c>
      <c r="AQ86" s="39">
        <f>資料儲存!I1266</f>
        <v>0</v>
      </c>
      <c r="AR86" s="39">
        <f>資料儲存!J1266</f>
        <v>0</v>
      </c>
      <c r="AT86" s="38">
        <v>5</v>
      </c>
      <c r="AU86" s="39">
        <f>資料儲存!D1386</f>
        <v>0</v>
      </c>
      <c r="AV86" s="39">
        <f>資料儲存!E1386</f>
        <v>0</v>
      </c>
      <c r="AW86" s="39">
        <f>資料儲存!F1386</f>
        <v>0</v>
      </c>
      <c r="AX86" s="39">
        <f>資料儲存!G1386</f>
        <v>0</v>
      </c>
      <c r="AY86" s="39">
        <f>資料儲存!H1386</f>
        <v>0</v>
      </c>
      <c r="AZ86" s="39">
        <f>資料儲存!I1386</f>
        <v>0</v>
      </c>
      <c r="BA86" s="39">
        <f>資料儲存!J1386</f>
        <v>0</v>
      </c>
    </row>
    <row r="87" spans="1:53" ht="16" thickBot="1">
      <c r="A87" s="38">
        <v>6</v>
      </c>
      <c r="B87" s="39">
        <f>資料儲存!D787</f>
        <v>0</v>
      </c>
      <c r="C87" s="39">
        <f>資料儲存!E787</f>
        <v>0</v>
      </c>
      <c r="D87" s="39">
        <f>資料儲存!F787</f>
        <v>0</v>
      </c>
      <c r="E87" s="39">
        <f>資料儲存!G787</f>
        <v>0</v>
      </c>
      <c r="F87" s="39">
        <f>資料儲存!H787</f>
        <v>0</v>
      </c>
      <c r="G87" s="39">
        <f>資料儲存!I787</f>
        <v>0</v>
      </c>
      <c r="H87" s="39">
        <f>資料儲存!J787</f>
        <v>0</v>
      </c>
      <c r="I87" s="35"/>
      <c r="J87" s="38">
        <v>6</v>
      </c>
      <c r="K87" s="39">
        <f>資料儲存!D907</f>
        <v>0</v>
      </c>
      <c r="L87" s="39">
        <f>資料儲存!E907</f>
        <v>0</v>
      </c>
      <c r="M87" s="39">
        <f>資料儲存!F907</f>
        <v>0</v>
      </c>
      <c r="N87" s="39">
        <f>資料儲存!G907</f>
        <v>0</v>
      </c>
      <c r="O87" s="39">
        <f>資料儲存!H907</f>
        <v>0</v>
      </c>
      <c r="P87" s="39">
        <f>資料儲存!I907</f>
        <v>0</v>
      </c>
      <c r="Q87" s="39">
        <f>資料儲存!J907</f>
        <v>0</v>
      </c>
      <c r="R87" s="35"/>
      <c r="S87" s="38">
        <v>6</v>
      </c>
      <c r="T87" s="39">
        <f>資料儲存!D1027</f>
        <v>0</v>
      </c>
      <c r="U87" s="39">
        <f>資料儲存!E1027</f>
        <v>0</v>
      </c>
      <c r="V87" s="39">
        <f>資料儲存!F1027</f>
        <v>0</v>
      </c>
      <c r="W87" s="39">
        <f>資料儲存!G1027</f>
        <v>0</v>
      </c>
      <c r="X87" s="39">
        <f>資料儲存!H1027</f>
        <v>0</v>
      </c>
      <c r="Y87" s="39">
        <f>資料儲存!I1027</f>
        <v>0</v>
      </c>
      <c r="Z87" s="39">
        <f>資料儲存!J1027</f>
        <v>0</v>
      </c>
      <c r="AA87" s="35"/>
      <c r="AB87" s="38">
        <v>6</v>
      </c>
      <c r="AC87" s="39">
        <f>資料儲存!D1147</f>
        <v>0</v>
      </c>
      <c r="AD87" s="39">
        <f>資料儲存!E1147</f>
        <v>0</v>
      </c>
      <c r="AE87" s="39">
        <f>資料儲存!F1147</f>
        <v>0</v>
      </c>
      <c r="AF87" s="39">
        <f>資料儲存!G1147</f>
        <v>0</v>
      </c>
      <c r="AG87" s="39">
        <f>資料儲存!H1147</f>
        <v>0</v>
      </c>
      <c r="AH87" s="39">
        <f>資料儲存!I1147</f>
        <v>0</v>
      </c>
      <c r="AI87" s="39">
        <f>資料儲存!J1147</f>
        <v>0</v>
      </c>
      <c r="AJ87" s="13"/>
      <c r="AK87" s="38">
        <v>6</v>
      </c>
      <c r="AL87" s="39">
        <f>資料儲存!D1267</f>
        <v>0</v>
      </c>
      <c r="AM87" s="39">
        <f>資料儲存!E1267</f>
        <v>0</v>
      </c>
      <c r="AN87" s="39">
        <f>資料儲存!F1267</f>
        <v>0</v>
      </c>
      <c r="AO87" s="39">
        <f>資料儲存!G1267</f>
        <v>0</v>
      </c>
      <c r="AP87" s="39">
        <f>資料儲存!H1267</f>
        <v>0</v>
      </c>
      <c r="AQ87" s="39">
        <f>資料儲存!I1267</f>
        <v>0</v>
      </c>
      <c r="AR87" s="39">
        <f>資料儲存!J1267</f>
        <v>0</v>
      </c>
      <c r="AT87" s="38">
        <v>6</v>
      </c>
      <c r="AU87" s="39">
        <f>資料儲存!D1387</f>
        <v>0</v>
      </c>
      <c r="AV87" s="39">
        <f>資料儲存!E1387</f>
        <v>0</v>
      </c>
      <c r="AW87" s="39">
        <f>資料儲存!F1387</f>
        <v>0</v>
      </c>
      <c r="AX87" s="39">
        <f>資料儲存!G1387</f>
        <v>0</v>
      </c>
      <c r="AY87" s="39">
        <f>資料儲存!H1387</f>
        <v>0</v>
      </c>
      <c r="AZ87" s="39">
        <f>資料儲存!I1387</f>
        <v>0</v>
      </c>
      <c r="BA87" s="39">
        <f>資料儲存!J1387</f>
        <v>0</v>
      </c>
    </row>
    <row r="88" spans="1:53" ht="16" thickBot="1">
      <c r="A88" s="38">
        <v>7</v>
      </c>
      <c r="B88" s="39">
        <f>資料儲存!D788</f>
        <v>0</v>
      </c>
      <c r="C88" s="39">
        <f>資料儲存!E788</f>
        <v>0</v>
      </c>
      <c r="D88" s="39">
        <f>資料儲存!F788</f>
        <v>0</v>
      </c>
      <c r="E88" s="39">
        <f>資料儲存!G788</f>
        <v>0</v>
      </c>
      <c r="F88" s="39">
        <f>資料儲存!H788</f>
        <v>0</v>
      </c>
      <c r="G88" s="39">
        <f>資料儲存!I788</f>
        <v>0</v>
      </c>
      <c r="H88" s="39">
        <f>資料儲存!J788</f>
        <v>0</v>
      </c>
      <c r="I88" s="35"/>
      <c r="J88" s="38">
        <v>7</v>
      </c>
      <c r="K88" s="39">
        <f>資料儲存!D908</f>
        <v>0</v>
      </c>
      <c r="L88" s="39">
        <f>資料儲存!E908</f>
        <v>0</v>
      </c>
      <c r="M88" s="39">
        <f>資料儲存!F908</f>
        <v>0</v>
      </c>
      <c r="N88" s="39">
        <f>資料儲存!G908</f>
        <v>0</v>
      </c>
      <c r="O88" s="39">
        <f>資料儲存!H908</f>
        <v>0</v>
      </c>
      <c r="P88" s="39">
        <f>資料儲存!I908</f>
        <v>0</v>
      </c>
      <c r="Q88" s="39">
        <f>資料儲存!J908</f>
        <v>0</v>
      </c>
      <c r="R88" s="35"/>
      <c r="S88" s="38">
        <v>7</v>
      </c>
      <c r="T88" s="39">
        <f>資料儲存!D1028</f>
        <v>0</v>
      </c>
      <c r="U88" s="39">
        <f>資料儲存!E1028</f>
        <v>0</v>
      </c>
      <c r="V88" s="39">
        <f>資料儲存!F1028</f>
        <v>0</v>
      </c>
      <c r="W88" s="39">
        <f>資料儲存!G1028</f>
        <v>0</v>
      </c>
      <c r="X88" s="39">
        <f>資料儲存!H1028</f>
        <v>0</v>
      </c>
      <c r="Y88" s="39">
        <f>資料儲存!I1028</f>
        <v>0</v>
      </c>
      <c r="Z88" s="39">
        <f>資料儲存!J1028</f>
        <v>0</v>
      </c>
      <c r="AA88" s="35"/>
      <c r="AB88" s="38">
        <v>7</v>
      </c>
      <c r="AC88" s="39">
        <f>資料儲存!D1148</f>
        <v>0</v>
      </c>
      <c r="AD88" s="39">
        <f>資料儲存!E1148</f>
        <v>0</v>
      </c>
      <c r="AE88" s="39">
        <f>資料儲存!F1148</f>
        <v>0</v>
      </c>
      <c r="AF88" s="39">
        <f>資料儲存!G1148</f>
        <v>0</v>
      </c>
      <c r="AG88" s="39">
        <f>資料儲存!H1148</f>
        <v>0</v>
      </c>
      <c r="AH88" s="39">
        <f>資料儲存!I1148</f>
        <v>0</v>
      </c>
      <c r="AI88" s="39">
        <f>資料儲存!J1148</f>
        <v>0</v>
      </c>
      <c r="AJ88" s="13"/>
      <c r="AK88" s="38">
        <v>7</v>
      </c>
      <c r="AL88" s="39">
        <f>資料儲存!D1268</f>
        <v>0</v>
      </c>
      <c r="AM88" s="39">
        <f>資料儲存!E1268</f>
        <v>0</v>
      </c>
      <c r="AN88" s="39">
        <f>資料儲存!F1268</f>
        <v>0</v>
      </c>
      <c r="AO88" s="39">
        <f>資料儲存!G1268</f>
        <v>0</v>
      </c>
      <c r="AP88" s="39">
        <f>資料儲存!H1268</f>
        <v>0</v>
      </c>
      <c r="AQ88" s="39">
        <f>資料儲存!I1268</f>
        <v>0</v>
      </c>
      <c r="AR88" s="39">
        <f>資料儲存!J1268</f>
        <v>0</v>
      </c>
      <c r="AT88" s="38">
        <v>7</v>
      </c>
      <c r="AU88" s="39">
        <f>資料儲存!D1388</f>
        <v>0</v>
      </c>
      <c r="AV88" s="39">
        <f>資料儲存!E1388</f>
        <v>0</v>
      </c>
      <c r="AW88" s="39">
        <f>資料儲存!F1388</f>
        <v>0</v>
      </c>
      <c r="AX88" s="39">
        <f>資料儲存!G1388</f>
        <v>0</v>
      </c>
      <c r="AY88" s="39">
        <f>資料儲存!H1388</f>
        <v>0</v>
      </c>
      <c r="AZ88" s="39">
        <f>資料儲存!I1388</f>
        <v>0</v>
      </c>
      <c r="BA88" s="39">
        <f>資料儲存!J1388</f>
        <v>0</v>
      </c>
    </row>
    <row r="89" spans="1:53" ht="16" thickBot="1">
      <c r="A89" s="38">
        <v>8</v>
      </c>
      <c r="B89" s="39">
        <f>資料儲存!D789</f>
        <v>0</v>
      </c>
      <c r="C89" s="39">
        <f>資料儲存!E789</f>
        <v>0</v>
      </c>
      <c r="D89" s="39">
        <f>資料儲存!F789</f>
        <v>0</v>
      </c>
      <c r="E89" s="39">
        <f>資料儲存!G789</f>
        <v>0</v>
      </c>
      <c r="F89" s="39">
        <f>資料儲存!H789</f>
        <v>0</v>
      </c>
      <c r="G89" s="39">
        <f>資料儲存!I789</f>
        <v>0</v>
      </c>
      <c r="H89" s="39">
        <f>資料儲存!J789</f>
        <v>0</v>
      </c>
      <c r="I89" s="35"/>
      <c r="J89" s="38">
        <v>8</v>
      </c>
      <c r="K89" s="39">
        <f>資料儲存!D909</f>
        <v>0</v>
      </c>
      <c r="L89" s="39">
        <f>資料儲存!E909</f>
        <v>0</v>
      </c>
      <c r="M89" s="39">
        <f>資料儲存!F909</f>
        <v>0</v>
      </c>
      <c r="N89" s="39">
        <f>資料儲存!G909</f>
        <v>0</v>
      </c>
      <c r="O89" s="39">
        <f>資料儲存!H909</f>
        <v>0</v>
      </c>
      <c r="P89" s="39">
        <f>資料儲存!I909</f>
        <v>0</v>
      </c>
      <c r="Q89" s="39">
        <f>資料儲存!J909</f>
        <v>0</v>
      </c>
      <c r="R89" s="35"/>
      <c r="S89" s="38">
        <v>8</v>
      </c>
      <c r="T89" s="39">
        <f>資料儲存!D1029</f>
        <v>0</v>
      </c>
      <c r="U89" s="39">
        <f>資料儲存!E1029</f>
        <v>0</v>
      </c>
      <c r="V89" s="39">
        <f>資料儲存!F1029</f>
        <v>0</v>
      </c>
      <c r="W89" s="39">
        <f>資料儲存!G1029</f>
        <v>0</v>
      </c>
      <c r="X89" s="39">
        <f>資料儲存!H1029</f>
        <v>0</v>
      </c>
      <c r="Y89" s="39">
        <f>資料儲存!I1029</f>
        <v>0</v>
      </c>
      <c r="Z89" s="39">
        <f>資料儲存!J1029</f>
        <v>0</v>
      </c>
      <c r="AA89" s="35"/>
      <c r="AB89" s="38">
        <v>8</v>
      </c>
      <c r="AC89" s="39">
        <f>資料儲存!D1149</f>
        <v>0</v>
      </c>
      <c r="AD89" s="39">
        <f>資料儲存!E1149</f>
        <v>0</v>
      </c>
      <c r="AE89" s="39">
        <f>資料儲存!F1149</f>
        <v>0</v>
      </c>
      <c r="AF89" s="39">
        <f>資料儲存!G1149</f>
        <v>0</v>
      </c>
      <c r="AG89" s="39">
        <f>資料儲存!H1149</f>
        <v>0</v>
      </c>
      <c r="AH89" s="39">
        <f>資料儲存!I1149</f>
        <v>0</v>
      </c>
      <c r="AI89" s="39">
        <f>資料儲存!J1149</f>
        <v>0</v>
      </c>
      <c r="AJ89" s="13"/>
      <c r="AK89" s="38">
        <v>8</v>
      </c>
      <c r="AL89" s="39">
        <f>資料儲存!D1269</f>
        <v>0</v>
      </c>
      <c r="AM89" s="39">
        <f>資料儲存!E1269</f>
        <v>0</v>
      </c>
      <c r="AN89" s="39">
        <f>資料儲存!F1269</f>
        <v>0</v>
      </c>
      <c r="AO89" s="39">
        <f>資料儲存!G1269</f>
        <v>0</v>
      </c>
      <c r="AP89" s="39">
        <f>資料儲存!H1269</f>
        <v>0</v>
      </c>
      <c r="AQ89" s="39">
        <f>資料儲存!I1269</f>
        <v>0</v>
      </c>
      <c r="AR89" s="39">
        <f>資料儲存!J1269</f>
        <v>0</v>
      </c>
      <c r="AT89" s="38">
        <v>8</v>
      </c>
      <c r="AU89" s="39">
        <f>資料儲存!D1389</f>
        <v>0</v>
      </c>
      <c r="AV89" s="39">
        <f>資料儲存!E1389</f>
        <v>0</v>
      </c>
      <c r="AW89" s="39">
        <f>資料儲存!F1389</f>
        <v>0</v>
      </c>
      <c r="AX89" s="39">
        <f>資料儲存!G1389</f>
        <v>0</v>
      </c>
      <c r="AY89" s="39">
        <f>資料儲存!H1389</f>
        <v>0</v>
      </c>
      <c r="AZ89" s="39">
        <f>資料儲存!I1389</f>
        <v>0</v>
      </c>
      <c r="BA89" s="39">
        <f>資料儲存!J1389</f>
        <v>0</v>
      </c>
    </row>
    <row r="90" spans="1:53" ht="16" thickBot="1">
      <c r="A90" s="38">
        <v>9</v>
      </c>
      <c r="B90" s="39">
        <f>資料儲存!D790</f>
        <v>0</v>
      </c>
      <c r="C90" s="39">
        <f>資料儲存!E790</f>
        <v>0</v>
      </c>
      <c r="D90" s="39">
        <f>資料儲存!F790</f>
        <v>0</v>
      </c>
      <c r="E90" s="39">
        <f>資料儲存!G790</f>
        <v>0</v>
      </c>
      <c r="F90" s="39">
        <f>資料儲存!H790</f>
        <v>0</v>
      </c>
      <c r="G90" s="39">
        <f>資料儲存!I790</f>
        <v>0</v>
      </c>
      <c r="H90" s="39">
        <f>資料儲存!J790</f>
        <v>0</v>
      </c>
      <c r="I90" s="35"/>
      <c r="J90" s="38">
        <v>9</v>
      </c>
      <c r="K90" s="39">
        <f>資料儲存!D910</f>
        <v>0</v>
      </c>
      <c r="L90" s="39">
        <f>資料儲存!E910</f>
        <v>0</v>
      </c>
      <c r="M90" s="39">
        <f>資料儲存!F910</f>
        <v>0</v>
      </c>
      <c r="N90" s="39">
        <f>資料儲存!G910</f>
        <v>0</v>
      </c>
      <c r="O90" s="39">
        <f>資料儲存!H910</f>
        <v>0</v>
      </c>
      <c r="P90" s="39">
        <f>資料儲存!I910</f>
        <v>0</v>
      </c>
      <c r="Q90" s="39">
        <f>資料儲存!J910</f>
        <v>0</v>
      </c>
      <c r="R90" s="35"/>
      <c r="S90" s="38">
        <v>9</v>
      </c>
      <c r="T90" s="39">
        <f>資料儲存!D1030</f>
        <v>0</v>
      </c>
      <c r="U90" s="39">
        <f>資料儲存!E1030</f>
        <v>0</v>
      </c>
      <c r="V90" s="39">
        <f>資料儲存!F1030</f>
        <v>0</v>
      </c>
      <c r="W90" s="39">
        <f>資料儲存!G1030</f>
        <v>0</v>
      </c>
      <c r="X90" s="39">
        <f>資料儲存!H1030</f>
        <v>0</v>
      </c>
      <c r="Y90" s="39">
        <f>資料儲存!I1030</f>
        <v>0</v>
      </c>
      <c r="Z90" s="39">
        <f>資料儲存!J1030</f>
        <v>0</v>
      </c>
      <c r="AA90" s="35"/>
      <c r="AB90" s="38">
        <v>9</v>
      </c>
      <c r="AC90" s="39">
        <f>資料儲存!D1150</f>
        <v>0</v>
      </c>
      <c r="AD90" s="39">
        <f>資料儲存!E1150</f>
        <v>0</v>
      </c>
      <c r="AE90" s="39">
        <f>資料儲存!F1150</f>
        <v>0</v>
      </c>
      <c r="AF90" s="39">
        <f>資料儲存!G1150</f>
        <v>0</v>
      </c>
      <c r="AG90" s="39">
        <f>資料儲存!H1150</f>
        <v>0</v>
      </c>
      <c r="AH90" s="39">
        <f>資料儲存!I1150</f>
        <v>0</v>
      </c>
      <c r="AI90" s="39">
        <f>資料儲存!J1150</f>
        <v>0</v>
      </c>
      <c r="AJ90" s="13"/>
      <c r="AK90" s="38">
        <v>9</v>
      </c>
      <c r="AL90" s="39">
        <f>資料儲存!D1270</f>
        <v>0</v>
      </c>
      <c r="AM90" s="39">
        <f>資料儲存!E1270</f>
        <v>0</v>
      </c>
      <c r="AN90" s="39">
        <f>資料儲存!F1270</f>
        <v>0</v>
      </c>
      <c r="AO90" s="39">
        <f>資料儲存!G1270</f>
        <v>0</v>
      </c>
      <c r="AP90" s="39">
        <f>資料儲存!H1270</f>
        <v>0</v>
      </c>
      <c r="AQ90" s="39">
        <f>資料儲存!I1270</f>
        <v>0</v>
      </c>
      <c r="AR90" s="39">
        <f>資料儲存!J1270</f>
        <v>0</v>
      </c>
      <c r="AT90" s="38">
        <v>9</v>
      </c>
      <c r="AU90" s="39">
        <f>資料儲存!D1390</f>
        <v>0</v>
      </c>
      <c r="AV90" s="39">
        <f>資料儲存!E1390</f>
        <v>0</v>
      </c>
      <c r="AW90" s="39">
        <f>資料儲存!F1390</f>
        <v>0</v>
      </c>
      <c r="AX90" s="39">
        <f>資料儲存!G1390</f>
        <v>0</v>
      </c>
      <c r="AY90" s="39">
        <f>資料儲存!H1390</f>
        <v>0</v>
      </c>
      <c r="AZ90" s="39">
        <f>資料儲存!I1390</f>
        <v>0</v>
      </c>
      <c r="BA90" s="39">
        <f>資料儲存!J1390</f>
        <v>0</v>
      </c>
    </row>
    <row r="91" spans="1:53" ht="16" thickBot="1">
      <c r="A91" s="38">
        <v>10</v>
      </c>
      <c r="B91" s="39">
        <f>資料儲存!D791</f>
        <v>0</v>
      </c>
      <c r="C91" s="39">
        <f>資料儲存!E791</f>
        <v>0</v>
      </c>
      <c r="D91" s="39">
        <f>資料儲存!F791</f>
        <v>0</v>
      </c>
      <c r="E91" s="39">
        <f>資料儲存!G791</f>
        <v>0</v>
      </c>
      <c r="F91" s="39">
        <f>資料儲存!H791</f>
        <v>0</v>
      </c>
      <c r="G91" s="39">
        <f>資料儲存!I791</f>
        <v>0</v>
      </c>
      <c r="H91" s="39">
        <f>資料儲存!J791</f>
        <v>0</v>
      </c>
      <c r="I91" s="35"/>
      <c r="J91" s="38">
        <v>10</v>
      </c>
      <c r="K91" s="39">
        <f>資料儲存!D911</f>
        <v>0</v>
      </c>
      <c r="L91" s="39">
        <f>資料儲存!E911</f>
        <v>0</v>
      </c>
      <c r="M91" s="39">
        <f>資料儲存!F911</f>
        <v>0</v>
      </c>
      <c r="N91" s="39">
        <f>資料儲存!G911</f>
        <v>0</v>
      </c>
      <c r="O91" s="39">
        <f>資料儲存!H911</f>
        <v>0</v>
      </c>
      <c r="P91" s="39">
        <f>資料儲存!I911</f>
        <v>0</v>
      </c>
      <c r="Q91" s="39">
        <f>資料儲存!J911</f>
        <v>0</v>
      </c>
      <c r="R91" s="35"/>
      <c r="S91" s="38">
        <v>10</v>
      </c>
      <c r="T91" s="39">
        <f>資料儲存!D1031</f>
        <v>0</v>
      </c>
      <c r="U91" s="39">
        <f>資料儲存!E1031</f>
        <v>0</v>
      </c>
      <c r="V91" s="39">
        <f>資料儲存!F1031</f>
        <v>0</v>
      </c>
      <c r="W91" s="39">
        <f>資料儲存!G1031</f>
        <v>0</v>
      </c>
      <c r="X91" s="39">
        <f>資料儲存!H1031</f>
        <v>0</v>
      </c>
      <c r="Y91" s="39">
        <f>資料儲存!I1031</f>
        <v>0</v>
      </c>
      <c r="Z91" s="39">
        <f>資料儲存!J1031</f>
        <v>0</v>
      </c>
      <c r="AA91" s="35"/>
      <c r="AB91" s="38">
        <v>10</v>
      </c>
      <c r="AC91" s="39">
        <f>資料儲存!D1151</f>
        <v>0</v>
      </c>
      <c r="AD91" s="39">
        <f>資料儲存!E1151</f>
        <v>0</v>
      </c>
      <c r="AE91" s="39">
        <f>資料儲存!F1151</f>
        <v>0</v>
      </c>
      <c r="AF91" s="39">
        <f>資料儲存!G1151</f>
        <v>0</v>
      </c>
      <c r="AG91" s="39">
        <f>資料儲存!H1151</f>
        <v>0</v>
      </c>
      <c r="AH91" s="39">
        <f>資料儲存!I1151</f>
        <v>0</v>
      </c>
      <c r="AI91" s="39">
        <f>資料儲存!J1151</f>
        <v>0</v>
      </c>
      <c r="AJ91" s="13"/>
      <c r="AK91" s="38">
        <v>10</v>
      </c>
      <c r="AL91" s="39">
        <f>資料儲存!D1271</f>
        <v>0</v>
      </c>
      <c r="AM91" s="39">
        <f>資料儲存!E1271</f>
        <v>0</v>
      </c>
      <c r="AN91" s="39">
        <f>資料儲存!F1271</f>
        <v>0</v>
      </c>
      <c r="AO91" s="39">
        <f>資料儲存!G1271</f>
        <v>0</v>
      </c>
      <c r="AP91" s="39">
        <f>資料儲存!H1271</f>
        <v>0</v>
      </c>
      <c r="AQ91" s="39">
        <f>資料儲存!I1271</f>
        <v>0</v>
      </c>
      <c r="AR91" s="39">
        <f>資料儲存!J1271</f>
        <v>0</v>
      </c>
      <c r="AT91" s="38">
        <v>10</v>
      </c>
      <c r="AU91" s="39">
        <f>資料儲存!D1391</f>
        <v>0</v>
      </c>
      <c r="AV91" s="39">
        <f>資料儲存!E1391</f>
        <v>0</v>
      </c>
      <c r="AW91" s="39">
        <f>資料儲存!F1391</f>
        <v>0</v>
      </c>
      <c r="AX91" s="39">
        <f>資料儲存!G1391</f>
        <v>0</v>
      </c>
      <c r="AY91" s="39">
        <f>資料儲存!H1391</f>
        <v>0</v>
      </c>
      <c r="AZ91" s="39">
        <f>資料儲存!I1391</f>
        <v>0</v>
      </c>
      <c r="BA91" s="39">
        <f>資料儲存!J1391</f>
        <v>0</v>
      </c>
    </row>
    <row r="92" spans="1:53" ht="16" thickBot="1">
      <c r="A92" s="38">
        <v>11</v>
      </c>
      <c r="B92" s="39">
        <f>資料儲存!D792</f>
        <v>0</v>
      </c>
      <c r="C92" s="39">
        <f>資料儲存!E792</f>
        <v>0</v>
      </c>
      <c r="D92" s="39">
        <f>資料儲存!F792</f>
        <v>0</v>
      </c>
      <c r="E92" s="39">
        <f>資料儲存!G792</f>
        <v>0</v>
      </c>
      <c r="F92" s="39">
        <f>資料儲存!H792</f>
        <v>0</v>
      </c>
      <c r="G92" s="39">
        <f>資料儲存!I792</f>
        <v>0</v>
      </c>
      <c r="H92" s="39">
        <f>資料儲存!J792</f>
        <v>0</v>
      </c>
      <c r="I92" s="35"/>
      <c r="J92" s="38">
        <v>11</v>
      </c>
      <c r="K92" s="39">
        <f>資料儲存!D912</f>
        <v>0</v>
      </c>
      <c r="L92" s="39">
        <f>資料儲存!E912</f>
        <v>0</v>
      </c>
      <c r="M92" s="39">
        <f>資料儲存!F912</f>
        <v>0</v>
      </c>
      <c r="N92" s="39">
        <f>資料儲存!G912</f>
        <v>0</v>
      </c>
      <c r="O92" s="39">
        <f>資料儲存!H912</f>
        <v>0</v>
      </c>
      <c r="P92" s="39">
        <f>資料儲存!I912</f>
        <v>0</v>
      </c>
      <c r="Q92" s="39">
        <f>資料儲存!J912</f>
        <v>0</v>
      </c>
      <c r="R92" s="35"/>
      <c r="S92" s="38">
        <v>11</v>
      </c>
      <c r="T92" s="39">
        <f>資料儲存!D1032</f>
        <v>0</v>
      </c>
      <c r="U92" s="39">
        <f>資料儲存!E1032</f>
        <v>0</v>
      </c>
      <c r="V92" s="39">
        <f>資料儲存!F1032</f>
        <v>0</v>
      </c>
      <c r="W92" s="39">
        <f>資料儲存!G1032</f>
        <v>0</v>
      </c>
      <c r="X92" s="39">
        <f>資料儲存!H1032</f>
        <v>0</v>
      </c>
      <c r="Y92" s="39">
        <f>資料儲存!I1032</f>
        <v>0</v>
      </c>
      <c r="Z92" s="39">
        <f>資料儲存!J1032</f>
        <v>0</v>
      </c>
      <c r="AA92" s="35"/>
      <c r="AB92" s="38">
        <v>11</v>
      </c>
      <c r="AC92" s="39">
        <f>資料儲存!D1152</f>
        <v>0</v>
      </c>
      <c r="AD92" s="39">
        <f>資料儲存!E1152</f>
        <v>0</v>
      </c>
      <c r="AE92" s="39">
        <f>資料儲存!F1152</f>
        <v>0</v>
      </c>
      <c r="AF92" s="39">
        <f>資料儲存!G1152</f>
        <v>0</v>
      </c>
      <c r="AG92" s="39">
        <f>資料儲存!H1152</f>
        <v>0</v>
      </c>
      <c r="AH92" s="39">
        <f>資料儲存!I1152</f>
        <v>0</v>
      </c>
      <c r="AI92" s="39">
        <f>資料儲存!J1152</f>
        <v>0</v>
      </c>
      <c r="AJ92" s="13"/>
      <c r="AK92" s="38">
        <v>11</v>
      </c>
      <c r="AL92" s="39">
        <f>資料儲存!D1272</f>
        <v>0</v>
      </c>
      <c r="AM92" s="39">
        <f>資料儲存!E1272</f>
        <v>0</v>
      </c>
      <c r="AN92" s="39">
        <f>資料儲存!F1272</f>
        <v>0</v>
      </c>
      <c r="AO92" s="39">
        <f>資料儲存!G1272</f>
        <v>0</v>
      </c>
      <c r="AP92" s="39">
        <f>資料儲存!H1272</f>
        <v>0</v>
      </c>
      <c r="AQ92" s="39">
        <f>資料儲存!I1272</f>
        <v>0</v>
      </c>
      <c r="AR92" s="39">
        <f>資料儲存!J1272</f>
        <v>0</v>
      </c>
      <c r="AT92" s="38">
        <v>11</v>
      </c>
      <c r="AU92" s="39">
        <f>資料儲存!D1392</f>
        <v>0</v>
      </c>
      <c r="AV92" s="39">
        <f>資料儲存!E1392</f>
        <v>0</v>
      </c>
      <c r="AW92" s="39">
        <f>資料儲存!F1392</f>
        <v>0</v>
      </c>
      <c r="AX92" s="39">
        <f>資料儲存!G1392</f>
        <v>0</v>
      </c>
      <c r="AY92" s="39">
        <f>資料儲存!H1392</f>
        <v>0</v>
      </c>
      <c r="AZ92" s="39">
        <f>資料儲存!I1392</f>
        <v>0</v>
      </c>
      <c r="BA92" s="39">
        <f>資料儲存!J1392</f>
        <v>0</v>
      </c>
    </row>
    <row r="93" spans="1:53" ht="16" thickBot="1">
      <c r="A93" s="38">
        <v>12</v>
      </c>
      <c r="B93" s="39">
        <f>資料儲存!D793</f>
        <v>0</v>
      </c>
      <c r="C93" s="39">
        <f>資料儲存!E793</f>
        <v>0</v>
      </c>
      <c r="D93" s="39">
        <f>資料儲存!F793</f>
        <v>0</v>
      </c>
      <c r="E93" s="39">
        <f>資料儲存!G793</f>
        <v>0</v>
      </c>
      <c r="F93" s="39">
        <f>資料儲存!H793</f>
        <v>0</v>
      </c>
      <c r="G93" s="39">
        <f>資料儲存!I793</f>
        <v>0</v>
      </c>
      <c r="H93" s="39">
        <f>資料儲存!J793</f>
        <v>0</v>
      </c>
      <c r="I93" s="35"/>
      <c r="J93" s="38">
        <v>12</v>
      </c>
      <c r="K93" s="39">
        <f>資料儲存!D913</f>
        <v>0</v>
      </c>
      <c r="L93" s="39">
        <f>資料儲存!E913</f>
        <v>0</v>
      </c>
      <c r="M93" s="39">
        <f>資料儲存!F913</f>
        <v>0</v>
      </c>
      <c r="N93" s="39">
        <f>資料儲存!G913</f>
        <v>0</v>
      </c>
      <c r="O93" s="39">
        <f>資料儲存!H913</f>
        <v>0</v>
      </c>
      <c r="P93" s="39">
        <f>資料儲存!I913</f>
        <v>0</v>
      </c>
      <c r="Q93" s="39">
        <f>資料儲存!J913</f>
        <v>0</v>
      </c>
      <c r="R93" s="35"/>
      <c r="S93" s="38">
        <v>12</v>
      </c>
      <c r="T93" s="39">
        <f>資料儲存!D1033</f>
        <v>0</v>
      </c>
      <c r="U93" s="39">
        <f>資料儲存!E1033</f>
        <v>0</v>
      </c>
      <c r="V93" s="39">
        <f>資料儲存!F1033</f>
        <v>0</v>
      </c>
      <c r="W93" s="39">
        <f>資料儲存!G1033</f>
        <v>0</v>
      </c>
      <c r="X93" s="39">
        <f>資料儲存!H1033</f>
        <v>0</v>
      </c>
      <c r="Y93" s="39">
        <f>資料儲存!I1033</f>
        <v>0</v>
      </c>
      <c r="Z93" s="39">
        <f>資料儲存!J1033</f>
        <v>0</v>
      </c>
      <c r="AA93" s="35"/>
      <c r="AB93" s="38">
        <v>12</v>
      </c>
      <c r="AC93" s="39">
        <f>資料儲存!D1153</f>
        <v>0</v>
      </c>
      <c r="AD93" s="39">
        <f>資料儲存!E1153</f>
        <v>0</v>
      </c>
      <c r="AE93" s="39">
        <f>資料儲存!F1153</f>
        <v>0</v>
      </c>
      <c r="AF93" s="39">
        <f>資料儲存!G1153</f>
        <v>0</v>
      </c>
      <c r="AG93" s="39">
        <f>資料儲存!H1153</f>
        <v>0</v>
      </c>
      <c r="AH93" s="39">
        <f>資料儲存!I1153</f>
        <v>0</v>
      </c>
      <c r="AI93" s="39">
        <f>資料儲存!J1153</f>
        <v>0</v>
      </c>
      <c r="AJ93" s="13"/>
      <c r="AK93" s="38">
        <v>12</v>
      </c>
      <c r="AL93" s="39">
        <f>資料儲存!D1273</f>
        <v>0</v>
      </c>
      <c r="AM93" s="39">
        <f>資料儲存!E1273</f>
        <v>0</v>
      </c>
      <c r="AN93" s="39">
        <f>資料儲存!F1273</f>
        <v>0</v>
      </c>
      <c r="AO93" s="39">
        <f>資料儲存!G1273</f>
        <v>0</v>
      </c>
      <c r="AP93" s="39">
        <f>資料儲存!H1273</f>
        <v>0</v>
      </c>
      <c r="AQ93" s="39">
        <f>資料儲存!I1273</f>
        <v>0</v>
      </c>
      <c r="AR93" s="39">
        <f>資料儲存!J1273</f>
        <v>0</v>
      </c>
      <c r="AT93" s="38">
        <v>12</v>
      </c>
      <c r="AU93" s="39">
        <f>資料儲存!D1393</f>
        <v>0</v>
      </c>
      <c r="AV93" s="39">
        <f>資料儲存!E1393</f>
        <v>0</v>
      </c>
      <c r="AW93" s="39">
        <f>資料儲存!F1393</f>
        <v>0</v>
      </c>
      <c r="AX93" s="39">
        <f>資料儲存!G1393</f>
        <v>0</v>
      </c>
      <c r="AY93" s="39">
        <f>資料儲存!H1393</f>
        <v>0</v>
      </c>
      <c r="AZ93" s="39">
        <f>資料儲存!I1393</f>
        <v>0</v>
      </c>
      <c r="BA93" s="39">
        <f>資料儲存!J1393</f>
        <v>0</v>
      </c>
    </row>
    <row r="94" spans="1:53" ht="16" thickBot="1">
      <c r="A94" s="38">
        <v>13</v>
      </c>
      <c r="B94" s="39">
        <f>資料儲存!D794</f>
        <v>0</v>
      </c>
      <c r="C94" s="39">
        <f>資料儲存!E794</f>
        <v>0</v>
      </c>
      <c r="D94" s="39">
        <f>資料儲存!F794</f>
        <v>0</v>
      </c>
      <c r="E94" s="39">
        <f>資料儲存!G794</f>
        <v>0</v>
      </c>
      <c r="F94" s="39">
        <f>資料儲存!H794</f>
        <v>0</v>
      </c>
      <c r="G94" s="39">
        <f>資料儲存!I794</f>
        <v>0</v>
      </c>
      <c r="H94" s="39">
        <f>資料儲存!J794</f>
        <v>0</v>
      </c>
      <c r="I94" s="35"/>
      <c r="J94" s="38">
        <v>13</v>
      </c>
      <c r="K94" s="39">
        <f>資料儲存!D914</f>
        <v>0</v>
      </c>
      <c r="L94" s="39">
        <f>資料儲存!E914</f>
        <v>0</v>
      </c>
      <c r="M94" s="39">
        <f>資料儲存!F914</f>
        <v>0</v>
      </c>
      <c r="N94" s="39">
        <f>資料儲存!G914</f>
        <v>0</v>
      </c>
      <c r="O94" s="39">
        <f>資料儲存!H914</f>
        <v>0</v>
      </c>
      <c r="P94" s="39">
        <f>資料儲存!I914</f>
        <v>0</v>
      </c>
      <c r="Q94" s="39">
        <f>資料儲存!J914</f>
        <v>0</v>
      </c>
      <c r="R94" s="35"/>
      <c r="S94" s="38">
        <v>13</v>
      </c>
      <c r="T94" s="39">
        <f>資料儲存!D1034</f>
        <v>0</v>
      </c>
      <c r="U94" s="39">
        <f>資料儲存!E1034</f>
        <v>0</v>
      </c>
      <c r="V94" s="39">
        <f>資料儲存!F1034</f>
        <v>0</v>
      </c>
      <c r="W94" s="39">
        <f>資料儲存!G1034</f>
        <v>0</v>
      </c>
      <c r="X94" s="39">
        <f>資料儲存!H1034</f>
        <v>0</v>
      </c>
      <c r="Y94" s="39">
        <f>資料儲存!I1034</f>
        <v>0</v>
      </c>
      <c r="Z94" s="39">
        <f>資料儲存!J1034</f>
        <v>0</v>
      </c>
      <c r="AA94" s="35"/>
      <c r="AB94" s="38">
        <v>13</v>
      </c>
      <c r="AC94" s="39">
        <f>資料儲存!D1154</f>
        <v>0</v>
      </c>
      <c r="AD94" s="39">
        <f>資料儲存!E1154</f>
        <v>0</v>
      </c>
      <c r="AE94" s="39">
        <f>資料儲存!F1154</f>
        <v>0</v>
      </c>
      <c r="AF94" s="39">
        <f>資料儲存!G1154</f>
        <v>0</v>
      </c>
      <c r="AG94" s="39">
        <f>資料儲存!H1154</f>
        <v>0</v>
      </c>
      <c r="AH94" s="39">
        <f>資料儲存!I1154</f>
        <v>0</v>
      </c>
      <c r="AI94" s="39">
        <f>資料儲存!J1154</f>
        <v>0</v>
      </c>
      <c r="AJ94" s="13"/>
      <c r="AK94" s="38">
        <v>13</v>
      </c>
      <c r="AL94" s="39">
        <f>資料儲存!D1274</f>
        <v>0</v>
      </c>
      <c r="AM94" s="39">
        <f>資料儲存!E1274</f>
        <v>0</v>
      </c>
      <c r="AN94" s="39">
        <f>資料儲存!F1274</f>
        <v>0</v>
      </c>
      <c r="AO94" s="39">
        <f>資料儲存!G1274</f>
        <v>0</v>
      </c>
      <c r="AP94" s="39">
        <f>資料儲存!H1274</f>
        <v>0</v>
      </c>
      <c r="AQ94" s="39">
        <f>資料儲存!I1274</f>
        <v>0</v>
      </c>
      <c r="AR94" s="39">
        <f>資料儲存!J1274</f>
        <v>0</v>
      </c>
      <c r="AT94" s="38">
        <v>13</v>
      </c>
      <c r="AU94" s="39">
        <f>資料儲存!D1394</f>
        <v>0</v>
      </c>
      <c r="AV94" s="39">
        <f>資料儲存!E1394</f>
        <v>0</v>
      </c>
      <c r="AW94" s="39">
        <f>資料儲存!F1394</f>
        <v>0</v>
      </c>
      <c r="AX94" s="39">
        <f>資料儲存!G1394</f>
        <v>0</v>
      </c>
      <c r="AY94" s="39">
        <f>資料儲存!H1394</f>
        <v>0</v>
      </c>
      <c r="AZ94" s="39">
        <f>資料儲存!I1394</f>
        <v>0</v>
      </c>
      <c r="BA94" s="39">
        <f>資料儲存!J1394</f>
        <v>0</v>
      </c>
    </row>
    <row r="95" spans="1:53" ht="16" thickBot="1">
      <c r="A95" s="38">
        <v>14</v>
      </c>
      <c r="B95" s="39">
        <f>資料儲存!D795</f>
        <v>0</v>
      </c>
      <c r="C95" s="39">
        <f>資料儲存!E795</f>
        <v>0</v>
      </c>
      <c r="D95" s="39">
        <f>資料儲存!F795</f>
        <v>0</v>
      </c>
      <c r="E95" s="39">
        <f>資料儲存!G795</f>
        <v>0</v>
      </c>
      <c r="F95" s="39">
        <f>資料儲存!H795</f>
        <v>0</v>
      </c>
      <c r="G95" s="39">
        <f>資料儲存!I795</f>
        <v>0</v>
      </c>
      <c r="H95" s="39">
        <f>資料儲存!J795</f>
        <v>0</v>
      </c>
      <c r="I95" s="35"/>
      <c r="J95" s="38">
        <v>14</v>
      </c>
      <c r="K95" s="39">
        <f>資料儲存!D915</f>
        <v>0</v>
      </c>
      <c r="L95" s="39">
        <f>資料儲存!E915</f>
        <v>0</v>
      </c>
      <c r="M95" s="39">
        <f>資料儲存!F915</f>
        <v>0</v>
      </c>
      <c r="N95" s="39">
        <f>資料儲存!G915</f>
        <v>0</v>
      </c>
      <c r="O95" s="39">
        <f>資料儲存!H915</f>
        <v>0</v>
      </c>
      <c r="P95" s="39">
        <f>資料儲存!I915</f>
        <v>0</v>
      </c>
      <c r="Q95" s="39">
        <f>資料儲存!J915</f>
        <v>0</v>
      </c>
      <c r="R95" s="35"/>
      <c r="S95" s="38">
        <v>14</v>
      </c>
      <c r="T95" s="39">
        <f>資料儲存!D1035</f>
        <v>0</v>
      </c>
      <c r="U95" s="39">
        <f>資料儲存!E1035</f>
        <v>0</v>
      </c>
      <c r="V95" s="39">
        <f>資料儲存!F1035</f>
        <v>0</v>
      </c>
      <c r="W95" s="39">
        <f>資料儲存!G1035</f>
        <v>0</v>
      </c>
      <c r="X95" s="39">
        <f>資料儲存!H1035</f>
        <v>0</v>
      </c>
      <c r="Y95" s="39">
        <f>資料儲存!I1035</f>
        <v>0</v>
      </c>
      <c r="Z95" s="39">
        <f>資料儲存!J1035</f>
        <v>0</v>
      </c>
      <c r="AA95" s="35"/>
      <c r="AB95" s="38">
        <v>14</v>
      </c>
      <c r="AC95" s="39">
        <f>資料儲存!D1155</f>
        <v>0</v>
      </c>
      <c r="AD95" s="39">
        <f>資料儲存!E1155</f>
        <v>0</v>
      </c>
      <c r="AE95" s="39">
        <f>資料儲存!F1155</f>
        <v>0</v>
      </c>
      <c r="AF95" s="39">
        <f>資料儲存!G1155</f>
        <v>0</v>
      </c>
      <c r="AG95" s="39">
        <f>資料儲存!H1155</f>
        <v>0</v>
      </c>
      <c r="AH95" s="39">
        <f>資料儲存!I1155</f>
        <v>0</v>
      </c>
      <c r="AI95" s="39">
        <f>資料儲存!J1155</f>
        <v>0</v>
      </c>
      <c r="AJ95" s="13"/>
      <c r="AK95" s="38">
        <v>14</v>
      </c>
      <c r="AL95" s="39">
        <f>資料儲存!D1275</f>
        <v>0</v>
      </c>
      <c r="AM95" s="39">
        <f>資料儲存!E1275</f>
        <v>0</v>
      </c>
      <c r="AN95" s="39">
        <f>資料儲存!F1275</f>
        <v>0</v>
      </c>
      <c r="AO95" s="39">
        <f>資料儲存!G1275</f>
        <v>0</v>
      </c>
      <c r="AP95" s="39">
        <f>資料儲存!H1275</f>
        <v>0</v>
      </c>
      <c r="AQ95" s="39">
        <f>資料儲存!I1275</f>
        <v>0</v>
      </c>
      <c r="AR95" s="39">
        <f>資料儲存!J1275</f>
        <v>0</v>
      </c>
      <c r="AT95" s="38">
        <v>14</v>
      </c>
      <c r="AU95" s="39">
        <f>資料儲存!D1395</f>
        <v>0</v>
      </c>
      <c r="AV95" s="39">
        <f>資料儲存!E1395</f>
        <v>0</v>
      </c>
      <c r="AW95" s="39">
        <f>資料儲存!F1395</f>
        <v>0</v>
      </c>
      <c r="AX95" s="39">
        <f>資料儲存!G1395</f>
        <v>0</v>
      </c>
      <c r="AY95" s="39">
        <f>資料儲存!H1395</f>
        <v>0</v>
      </c>
      <c r="AZ95" s="39">
        <f>資料儲存!I1395</f>
        <v>0</v>
      </c>
      <c r="BA95" s="39">
        <f>資料儲存!J1395</f>
        <v>0</v>
      </c>
    </row>
    <row r="96" spans="1:53" ht="16" thickBot="1">
      <c r="A96" s="38">
        <v>15</v>
      </c>
      <c r="B96" s="39">
        <f>資料儲存!D796</f>
        <v>0</v>
      </c>
      <c r="C96" s="39">
        <f>資料儲存!E796</f>
        <v>0</v>
      </c>
      <c r="D96" s="39">
        <f>資料儲存!F796</f>
        <v>0</v>
      </c>
      <c r="E96" s="39">
        <f>資料儲存!G796</f>
        <v>0</v>
      </c>
      <c r="F96" s="39">
        <f>資料儲存!H796</f>
        <v>0</v>
      </c>
      <c r="G96" s="39">
        <f>資料儲存!I796</f>
        <v>0</v>
      </c>
      <c r="H96" s="39">
        <f>資料儲存!J796</f>
        <v>0</v>
      </c>
      <c r="I96" s="35"/>
      <c r="J96" s="38">
        <v>15</v>
      </c>
      <c r="K96" s="39">
        <f>資料儲存!D916</f>
        <v>0</v>
      </c>
      <c r="L96" s="39">
        <f>資料儲存!E916</f>
        <v>0</v>
      </c>
      <c r="M96" s="39">
        <f>資料儲存!F916</f>
        <v>0</v>
      </c>
      <c r="N96" s="39">
        <f>資料儲存!G916</f>
        <v>0</v>
      </c>
      <c r="O96" s="39">
        <f>資料儲存!H916</f>
        <v>0</v>
      </c>
      <c r="P96" s="39">
        <f>資料儲存!I916</f>
        <v>0</v>
      </c>
      <c r="Q96" s="39">
        <f>資料儲存!J916</f>
        <v>0</v>
      </c>
      <c r="R96" s="35"/>
      <c r="S96" s="38">
        <v>15</v>
      </c>
      <c r="T96" s="39">
        <f>資料儲存!D1036</f>
        <v>0</v>
      </c>
      <c r="U96" s="39">
        <f>資料儲存!E1036</f>
        <v>0</v>
      </c>
      <c r="V96" s="39">
        <f>資料儲存!F1036</f>
        <v>0</v>
      </c>
      <c r="W96" s="39">
        <f>資料儲存!G1036</f>
        <v>0</v>
      </c>
      <c r="X96" s="39">
        <f>資料儲存!H1036</f>
        <v>0</v>
      </c>
      <c r="Y96" s="39">
        <f>資料儲存!I1036</f>
        <v>0</v>
      </c>
      <c r="Z96" s="39">
        <f>資料儲存!J1036</f>
        <v>0</v>
      </c>
      <c r="AA96" s="35"/>
      <c r="AB96" s="38">
        <v>15</v>
      </c>
      <c r="AC96" s="39">
        <f>資料儲存!D1156</f>
        <v>0</v>
      </c>
      <c r="AD96" s="39">
        <f>資料儲存!E1156</f>
        <v>0</v>
      </c>
      <c r="AE96" s="39">
        <f>資料儲存!F1156</f>
        <v>0</v>
      </c>
      <c r="AF96" s="39">
        <f>資料儲存!G1156</f>
        <v>0</v>
      </c>
      <c r="AG96" s="39">
        <f>資料儲存!H1156</f>
        <v>0</v>
      </c>
      <c r="AH96" s="39">
        <f>資料儲存!I1156</f>
        <v>0</v>
      </c>
      <c r="AI96" s="39">
        <f>資料儲存!J1156</f>
        <v>0</v>
      </c>
      <c r="AJ96" s="13"/>
      <c r="AK96" s="38">
        <v>15</v>
      </c>
      <c r="AL96" s="39">
        <f>資料儲存!D1276</f>
        <v>0</v>
      </c>
      <c r="AM96" s="39">
        <f>資料儲存!E1276</f>
        <v>0</v>
      </c>
      <c r="AN96" s="39">
        <f>資料儲存!F1276</f>
        <v>0</v>
      </c>
      <c r="AO96" s="39">
        <f>資料儲存!G1276</f>
        <v>0</v>
      </c>
      <c r="AP96" s="39">
        <f>資料儲存!H1276</f>
        <v>0</v>
      </c>
      <c r="AQ96" s="39">
        <f>資料儲存!I1276</f>
        <v>0</v>
      </c>
      <c r="AR96" s="39">
        <f>資料儲存!J1276</f>
        <v>0</v>
      </c>
      <c r="AT96" s="38">
        <v>15</v>
      </c>
      <c r="AU96" s="39">
        <f>資料儲存!D1396</f>
        <v>0</v>
      </c>
      <c r="AV96" s="39">
        <f>資料儲存!E1396</f>
        <v>0</v>
      </c>
      <c r="AW96" s="39">
        <f>資料儲存!F1396</f>
        <v>0</v>
      </c>
      <c r="AX96" s="39">
        <f>資料儲存!G1396</f>
        <v>0</v>
      </c>
      <c r="AY96" s="39">
        <f>資料儲存!H1396</f>
        <v>0</v>
      </c>
      <c r="AZ96" s="39">
        <f>資料儲存!I1396</f>
        <v>0</v>
      </c>
      <c r="BA96" s="39">
        <f>資料儲存!J1396</f>
        <v>0</v>
      </c>
    </row>
    <row r="97" spans="1:53" ht="17.25" customHeight="1" thickBot="1">
      <c r="A97" s="40" t="s">
        <v>56</v>
      </c>
      <c r="B97" s="39">
        <f>SUM(B82:E96)</f>
        <v>0</v>
      </c>
      <c r="C97" s="37"/>
      <c r="D97" s="37"/>
      <c r="E97" s="37"/>
      <c r="F97" s="39">
        <f>F96</f>
        <v>0</v>
      </c>
      <c r="G97" s="39">
        <f>G96</f>
        <v>0</v>
      </c>
      <c r="H97" s="39">
        <f>H96</f>
        <v>0</v>
      </c>
      <c r="I97" s="35"/>
      <c r="J97" s="40" t="s">
        <v>56</v>
      </c>
      <c r="K97" s="39">
        <f>SUM(K82:N96)</f>
        <v>0</v>
      </c>
      <c r="L97" s="37"/>
      <c r="M97" s="37"/>
      <c r="N97" s="37"/>
      <c r="O97" s="39">
        <f>O96</f>
        <v>0</v>
      </c>
      <c r="P97" s="39">
        <f>P96</f>
        <v>0</v>
      </c>
      <c r="Q97" s="39">
        <f>Q96</f>
        <v>0</v>
      </c>
      <c r="R97" s="35"/>
      <c r="S97" s="40" t="s">
        <v>56</v>
      </c>
      <c r="T97" s="39">
        <f>SUM(T82:W96)</f>
        <v>0</v>
      </c>
      <c r="U97" s="37"/>
      <c r="V97" s="37"/>
      <c r="W97" s="37"/>
      <c r="X97" s="39">
        <f>X96</f>
        <v>0</v>
      </c>
      <c r="Y97" s="39">
        <f>Y96</f>
        <v>0</v>
      </c>
      <c r="Z97" s="39">
        <f>Z96</f>
        <v>0</v>
      </c>
      <c r="AA97" s="35"/>
      <c r="AB97" s="40" t="s">
        <v>56</v>
      </c>
      <c r="AC97" s="39">
        <f>SUM(AC82:AF96)</f>
        <v>0</v>
      </c>
      <c r="AD97" s="37"/>
      <c r="AE97" s="37"/>
      <c r="AF97" s="37"/>
      <c r="AG97" s="39">
        <f>AG96</f>
        <v>0</v>
      </c>
      <c r="AH97" s="39">
        <f>AH96</f>
        <v>0</v>
      </c>
      <c r="AI97" s="39">
        <f>AI96</f>
        <v>0</v>
      </c>
      <c r="AJ97" s="13"/>
      <c r="AK97" s="40" t="s">
        <v>56</v>
      </c>
      <c r="AL97" s="39">
        <f>SUM(AL82:AO96)</f>
        <v>0</v>
      </c>
      <c r="AM97" s="37"/>
      <c r="AN97" s="37"/>
      <c r="AO97" s="37"/>
      <c r="AP97" s="39">
        <f>AP96</f>
        <v>0</v>
      </c>
      <c r="AQ97" s="39">
        <f>AQ96</f>
        <v>0</v>
      </c>
      <c r="AR97" s="39">
        <f>AR96</f>
        <v>0</v>
      </c>
      <c r="AT97" s="40" t="s">
        <v>56</v>
      </c>
      <c r="AU97" s="39">
        <f>SUM(AU82:AX96)</f>
        <v>0</v>
      </c>
      <c r="AV97" s="37"/>
      <c r="AW97" s="37"/>
      <c r="AX97" s="37"/>
      <c r="AY97" s="39">
        <f>AY96</f>
        <v>0</v>
      </c>
      <c r="AZ97" s="39">
        <f>AZ96</f>
        <v>0</v>
      </c>
      <c r="BA97" s="39">
        <f>BA96</f>
        <v>0</v>
      </c>
    </row>
    <row r="98" spans="1:53" ht="18.5" thickBot="1">
      <c r="A98" s="248" t="s">
        <v>65</v>
      </c>
      <c r="B98" s="249"/>
      <c r="C98" s="249"/>
      <c r="D98" s="249"/>
      <c r="E98" s="249"/>
      <c r="F98" s="249"/>
      <c r="G98" s="249"/>
      <c r="H98" s="250"/>
      <c r="I98" s="13"/>
      <c r="J98" s="248" t="s">
        <v>65</v>
      </c>
      <c r="K98" s="249"/>
      <c r="L98" s="249"/>
      <c r="M98" s="249"/>
      <c r="N98" s="249"/>
      <c r="O98" s="249"/>
      <c r="P98" s="249"/>
      <c r="Q98" s="250"/>
      <c r="R98" s="13"/>
      <c r="S98" s="248" t="s">
        <v>65</v>
      </c>
      <c r="T98" s="249"/>
      <c r="U98" s="249"/>
      <c r="V98" s="249"/>
      <c r="W98" s="249"/>
      <c r="X98" s="249"/>
      <c r="Y98" s="249"/>
      <c r="Z98" s="250"/>
      <c r="AA98" s="13"/>
      <c r="AB98" s="248" t="s">
        <v>65</v>
      </c>
      <c r="AC98" s="249"/>
      <c r="AD98" s="249"/>
      <c r="AE98" s="249"/>
      <c r="AF98" s="249"/>
      <c r="AG98" s="249"/>
      <c r="AH98" s="249"/>
      <c r="AI98" s="250"/>
      <c r="AJ98" s="13"/>
      <c r="AK98" s="248" t="s">
        <v>65</v>
      </c>
      <c r="AL98" s="249"/>
      <c r="AM98" s="249"/>
      <c r="AN98" s="249"/>
      <c r="AO98" s="249"/>
      <c r="AP98" s="249"/>
      <c r="AQ98" s="249"/>
      <c r="AR98" s="250"/>
      <c r="AT98" s="248" t="s">
        <v>65</v>
      </c>
      <c r="AU98" s="249"/>
      <c r="AV98" s="249"/>
      <c r="AW98" s="249"/>
      <c r="AX98" s="249"/>
      <c r="AY98" s="249"/>
      <c r="AZ98" s="249"/>
      <c r="BA98" s="250"/>
    </row>
    <row r="99" spans="1:53" ht="17.25" customHeight="1" thickBot="1">
      <c r="A99" s="41" t="s">
        <v>2</v>
      </c>
      <c r="B99" s="42" t="s">
        <v>46</v>
      </c>
      <c r="C99" s="43"/>
      <c r="D99" s="43"/>
      <c r="E99" s="44"/>
      <c r="F99" s="42" t="s">
        <v>47</v>
      </c>
      <c r="G99" s="43"/>
      <c r="H99" s="44"/>
      <c r="I99" s="45"/>
      <c r="J99" s="41" t="s">
        <v>2</v>
      </c>
      <c r="K99" s="42" t="s">
        <v>46</v>
      </c>
      <c r="L99" s="43"/>
      <c r="M99" s="43"/>
      <c r="N99" s="44"/>
      <c r="O99" s="42" t="s">
        <v>47</v>
      </c>
      <c r="P99" s="43"/>
      <c r="Q99" s="44"/>
      <c r="R99" s="45"/>
      <c r="S99" s="41" t="s">
        <v>2</v>
      </c>
      <c r="T99" s="42" t="s">
        <v>46</v>
      </c>
      <c r="U99" s="43"/>
      <c r="V99" s="43"/>
      <c r="W99" s="44"/>
      <c r="X99" s="42" t="s">
        <v>47</v>
      </c>
      <c r="Y99" s="43"/>
      <c r="Z99" s="44"/>
      <c r="AA99" s="45"/>
      <c r="AB99" s="41" t="s">
        <v>2</v>
      </c>
      <c r="AC99" s="42" t="s">
        <v>46</v>
      </c>
      <c r="AD99" s="43"/>
      <c r="AE99" s="43"/>
      <c r="AF99" s="44"/>
      <c r="AG99" s="42" t="s">
        <v>47</v>
      </c>
      <c r="AH99" s="43"/>
      <c r="AI99" s="44"/>
      <c r="AJ99" s="13"/>
      <c r="AK99" s="41" t="s">
        <v>2</v>
      </c>
      <c r="AL99" s="42" t="s">
        <v>46</v>
      </c>
      <c r="AM99" s="43"/>
      <c r="AN99" s="43"/>
      <c r="AO99" s="44"/>
      <c r="AP99" s="42" t="s">
        <v>47</v>
      </c>
      <c r="AQ99" s="43"/>
      <c r="AR99" s="44"/>
      <c r="AT99" s="41" t="s">
        <v>2</v>
      </c>
      <c r="AU99" s="42" t="s">
        <v>46</v>
      </c>
      <c r="AV99" s="43"/>
      <c r="AW99" s="43"/>
      <c r="AX99" s="44"/>
      <c r="AY99" s="42" t="s">
        <v>47</v>
      </c>
      <c r="AZ99" s="43"/>
      <c r="BA99" s="44"/>
    </row>
    <row r="100" spans="1:53" ht="16" thickBot="1">
      <c r="A100" s="46" t="s">
        <v>66</v>
      </c>
      <c r="B100" s="47" t="s">
        <v>49</v>
      </c>
      <c r="C100" s="47" t="s">
        <v>50</v>
      </c>
      <c r="D100" s="47" t="s">
        <v>51</v>
      </c>
      <c r="E100" s="47" t="s">
        <v>52</v>
      </c>
      <c r="F100" s="47" t="s">
        <v>53</v>
      </c>
      <c r="G100" s="47" t="s">
        <v>54</v>
      </c>
      <c r="H100" s="47" t="s">
        <v>55</v>
      </c>
      <c r="I100" s="45"/>
      <c r="J100" s="46" t="s">
        <v>66</v>
      </c>
      <c r="K100" s="47" t="s">
        <v>49</v>
      </c>
      <c r="L100" s="47" t="s">
        <v>50</v>
      </c>
      <c r="M100" s="47" t="s">
        <v>51</v>
      </c>
      <c r="N100" s="47" t="s">
        <v>52</v>
      </c>
      <c r="O100" s="47" t="s">
        <v>53</v>
      </c>
      <c r="P100" s="47" t="s">
        <v>54</v>
      </c>
      <c r="Q100" s="47" t="s">
        <v>55</v>
      </c>
      <c r="R100" s="45"/>
      <c r="S100" s="46" t="s">
        <v>66</v>
      </c>
      <c r="T100" s="47" t="s">
        <v>49</v>
      </c>
      <c r="U100" s="47" t="s">
        <v>50</v>
      </c>
      <c r="V100" s="47" t="s">
        <v>51</v>
      </c>
      <c r="W100" s="47" t="s">
        <v>52</v>
      </c>
      <c r="X100" s="47" t="s">
        <v>53</v>
      </c>
      <c r="Y100" s="47" t="s">
        <v>54</v>
      </c>
      <c r="Z100" s="47" t="s">
        <v>55</v>
      </c>
      <c r="AA100" s="45"/>
      <c r="AB100" s="46" t="s">
        <v>66</v>
      </c>
      <c r="AC100" s="47" t="s">
        <v>49</v>
      </c>
      <c r="AD100" s="47" t="s">
        <v>50</v>
      </c>
      <c r="AE100" s="47" t="s">
        <v>51</v>
      </c>
      <c r="AF100" s="47" t="s">
        <v>52</v>
      </c>
      <c r="AG100" s="47" t="s">
        <v>53</v>
      </c>
      <c r="AH100" s="47" t="s">
        <v>54</v>
      </c>
      <c r="AI100" s="47" t="s">
        <v>55</v>
      </c>
      <c r="AJ100" s="13"/>
      <c r="AK100" s="46" t="s">
        <v>66</v>
      </c>
      <c r="AL100" s="47" t="s">
        <v>49</v>
      </c>
      <c r="AM100" s="47" t="s">
        <v>50</v>
      </c>
      <c r="AN100" s="47" t="s">
        <v>51</v>
      </c>
      <c r="AO100" s="47" t="s">
        <v>52</v>
      </c>
      <c r="AP100" s="47" t="s">
        <v>53</v>
      </c>
      <c r="AQ100" s="47" t="s">
        <v>54</v>
      </c>
      <c r="AR100" s="47" t="s">
        <v>55</v>
      </c>
      <c r="AT100" s="46" t="s">
        <v>66</v>
      </c>
      <c r="AU100" s="47" t="s">
        <v>49</v>
      </c>
      <c r="AV100" s="47" t="s">
        <v>50</v>
      </c>
      <c r="AW100" s="47" t="s">
        <v>51</v>
      </c>
      <c r="AX100" s="47" t="s">
        <v>52</v>
      </c>
      <c r="AY100" s="47" t="s">
        <v>53</v>
      </c>
      <c r="AZ100" s="47" t="s">
        <v>54</v>
      </c>
      <c r="BA100" s="47" t="s">
        <v>55</v>
      </c>
    </row>
    <row r="101" spans="1:53" ht="16" thickBot="1">
      <c r="A101" s="48">
        <v>16</v>
      </c>
      <c r="B101" s="49">
        <f>資料儲存!D797</f>
        <v>0</v>
      </c>
      <c r="C101" s="49">
        <f>資料儲存!E797</f>
        <v>0</v>
      </c>
      <c r="D101" s="49">
        <f>資料儲存!F797</f>
        <v>0</v>
      </c>
      <c r="E101" s="49">
        <f>資料儲存!G797</f>
        <v>0</v>
      </c>
      <c r="F101" s="49">
        <f>資料儲存!H797</f>
        <v>0</v>
      </c>
      <c r="G101" s="49">
        <f>資料儲存!I797</f>
        <v>0</v>
      </c>
      <c r="H101" s="49">
        <f>資料儲存!J797</f>
        <v>0</v>
      </c>
      <c r="I101" s="49"/>
      <c r="J101" s="48">
        <v>16</v>
      </c>
      <c r="K101" s="49">
        <f>資料儲存!D917</f>
        <v>0</v>
      </c>
      <c r="L101" s="49">
        <f>資料儲存!E917</f>
        <v>0</v>
      </c>
      <c r="M101" s="49">
        <f>資料儲存!F917</f>
        <v>0</v>
      </c>
      <c r="N101" s="49">
        <f>資料儲存!G917</f>
        <v>0</v>
      </c>
      <c r="O101" s="49">
        <f>資料儲存!H917</f>
        <v>0</v>
      </c>
      <c r="P101" s="49">
        <f>資料儲存!I917</f>
        <v>0</v>
      </c>
      <c r="Q101" s="49">
        <f>資料儲存!J917</f>
        <v>0</v>
      </c>
      <c r="R101" s="45"/>
      <c r="S101" s="48">
        <v>16</v>
      </c>
      <c r="T101" s="49">
        <f>資料儲存!D1037</f>
        <v>0</v>
      </c>
      <c r="U101" s="49">
        <f>資料儲存!E1037</f>
        <v>0</v>
      </c>
      <c r="V101" s="49">
        <f>資料儲存!F1037</f>
        <v>0</v>
      </c>
      <c r="W101" s="49">
        <f>資料儲存!G1037</f>
        <v>0</v>
      </c>
      <c r="X101" s="49">
        <f>資料儲存!H1037</f>
        <v>0</v>
      </c>
      <c r="Y101" s="49">
        <f>資料儲存!I1037</f>
        <v>0</v>
      </c>
      <c r="Z101" s="49">
        <f>資料儲存!J1037</f>
        <v>0</v>
      </c>
      <c r="AA101" s="45"/>
      <c r="AB101" s="48">
        <v>16</v>
      </c>
      <c r="AC101" s="49">
        <f>資料儲存!D1157</f>
        <v>0</v>
      </c>
      <c r="AD101" s="49">
        <f>資料儲存!E1157</f>
        <v>0</v>
      </c>
      <c r="AE101" s="49">
        <f>資料儲存!F1157</f>
        <v>0</v>
      </c>
      <c r="AF101" s="49">
        <f>資料儲存!G1157</f>
        <v>0</v>
      </c>
      <c r="AG101" s="49">
        <f>資料儲存!H1157</f>
        <v>0</v>
      </c>
      <c r="AH101" s="49">
        <f>資料儲存!I1157</f>
        <v>0</v>
      </c>
      <c r="AI101" s="49">
        <f>資料儲存!J1157</f>
        <v>0</v>
      </c>
      <c r="AJ101" s="13"/>
      <c r="AK101" s="48">
        <v>16</v>
      </c>
      <c r="AL101" s="49">
        <f>資料儲存!D1277</f>
        <v>0</v>
      </c>
      <c r="AM101" s="49">
        <f>資料儲存!E1277</f>
        <v>0</v>
      </c>
      <c r="AN101" s="49">
        <f>資料儲存!F1277</f>
        <v>0</v>
      </c>
      <c r="AO101" s="49">
        <f>資料儲存!G1277</f>
        <v>0</v>
      </c>
      <c r="AP101" s="49">
        <f>資料儲存!H1277</f>
        <v>0</v>
      </c>
      <c r="AQ101" s="49">
        <f>資料儲存!I1277</f>
        <v>0</v>
      </c>
      <c r="AR101" s="49">
        <f>資料儲存!J1277</f>
        <v>0</v>
      </c>
      <c r="AT101" s="48">
        <v>16</v>
      </c>
      <c r="AU101" s="49">
        <f>資料儲存!D1397</f>
        <v>0</v>
      </c>
      <c r="AV101" s="49">
        <f>資料儲存!E1397</f>
        <v>0</v>
      </c>
      <c r="AW101" s="49">
        <f>資料儲存!F1397</f>
        <v>0</v>
      </c>
      <c r="AX101" s="49">
        <f>資料儲存!G1397</f>
        <v>0</v>
      </c>
      <c r="AY101" s="49">
        <f>資料儲存!H1397</f>
        <v>0</v>
      </c>
      <c r="AZ101" s="49">
        <f>資料儲存!I1397</f>
        <v>0</v>
      </c>
      <c r="BA101" s="49">
        <f>資料儲存!J1397</f>
        <v>0</v>
      </c>
    </row>
    <row r="102" spans="1:53" ht="16" thickBot="1">
      <c r="A102" s="48">
        <v>17</v>
      </c>
      <c r="B102" s="49">
        <f>資料儲存!D798</f>
        <v>0</v>
      </c>
      <c r="C102" s="49">
        <f>資料儲存!E798</f>
        <v>0</v>
      </c>
      <c r="D102" s="49">
        <f>資料儲存!F798</f>
        <v>0</v>
      </c>
      <c r="E102" s="49">
        <f>資料儲存!G798</f>
        <v>0</v>
      </c>
      <c r="F102" s="49">
        <f>資料儲存!H798</f>
        <v>0</v>
      </c>
      <c r="G102" s="49">
        <f>資料儲存!I798</f>
        <v>0</v>
      </c>
      <c r="H102" s="49">
        <f>資料儲存!J798</f>
        <v>0</v>
      </c>
      <c r="I102" s="45"/>
      <c r="J102" s="48">
        <v>17</v>
      </c>
      <c r="K102" s="49">
        <f>資料儲存!D918</f>
        <v>0</v>
      </c>
      <c r="L102" s="49">
        <f>資料儲存!E918</f>
        <v>0</v>
      </c>
      <c r="M102" s="49">
        <f>資料儲存!F918</f>
        <v>0</v>
      </c>
      <c r="N102" s="49">
        <f>資料儲存!G918</f>
        <v>0</v>
      </c>
      <c r="O102" s="49">
        <f>資料儲存!H918</f>
        <v>0</v>
      </c>
      <c r="P102" s="49">
        <f>資料儲存!I918</f>
        <v>0</v>
      </c>
      <c r="Q102" s="49">
        <f>資料儲存!J918</f>
        <v>0</v>
      </c>
      <c r="R102" s="45"/>
      <c r="S102" s="48">
        <v>17</v>
      </c>
      <c r="T102" s="49">
        <f>資料儲存!D1038</f>
        <v>0</v>
      </c>
      <c r="U102" s="49">
        <f>資料儲存!E1038</f>
        <v>0</v>
      </c>
      <c r="V102" s="49">
        <f>資料儲存!F1038</f>
        <v>0</v>
      </c>
      <c r="W102" s="49">
        <f>資料儲存!G1038</f>
        <v>0</v>
      </c>
      <c r="X102" s="49">
        <f>資料儲存!H1038</f>
        <v>0</v>
      </c>
      <c r="Y102" s="49">
        <f>資料儲存!I1038</f>
        <v>0</v>
      </c>
      <c r="Z102" s="49">
        <f>資料儲存!J1038</f>
        <v>0</v>
      </c>
      <c r="AA102" s="45"/>
      <c r="AB102" s="48">
        <v>17</v>
      </c>
      <c r="AC102" s="49">
        <f>資料儲存!D1158</f>
        <v>0</v>
      </c>
      <c r="AD102" s="49">
        <f>資料儲存!E1158</f>
        <v>0</v>
      </c>
      <c r="AE102" s="49">
        <f>資料儲存!F1158</f>
        <v>0</v>
      </c>
      <c r="AF102" s="49">
        <f>資料儲存!G1158</f>
        <v>0</v>
      </c>
      <c r="AG102" s="49">
        <f>資料儲存!H1158</f>
        <v>0</v>
      </c>
      <c r="AH102" s="49">
        <f>資料儲存!I1158</f>
        <v>0</v>
      </c>
      <c r="AI102" s="49">
        <f>資料儲存!J1158</f>
        <v>0</v>
      </c>
      <c r="AJ102" s="13"/>
      <c r="AK102" s="48">
        <v>17</v>
      </c>
      <c r="AL102" s="49">
        <f>資料儲存!D1278</f>
        <v>0</v>
      </c>
      <c r="AM102" s="49">
        <f>資料儲存!E1278</f>
        <v>0</v>
      </c>
      <c r="AN102" s="49">
        <f>資料儲存!F1278</f>
        <v>0</v>
      </c>
      <c r="AO102" s="49">
        <f>資料儲存!G1278</f>
        <v>0</v>
      </c>
      <c r="AP102" s="49">
        <f>資料儲存!H1278</f>
        <v>0</v>
      </c>
      <c r="AQ102" s="49">
        <f>資料儲存!I1278</f>
        <v>0</v>
      </c>
      <c r="AR102" s="49">
        <f>資料儲存!J1278</f>
        <v>0</v>
      </c>
      <c r="AT102" s="48">
        <v>17</v>
      </c>
      <c r="AU102" s="49">
        <f>資料儲存!D1398</f>
        <v>0</v>
      </c>
      <c r="AV102" s="49">
        <f>資料儲存!E1398</f>
        <v>0</v>
      </c>
      <c r="AW102" s="49">
        <f>資料儲存!F1398</f>
        <v>0</v>
      </c>
      <c r="AX102" s="49">
        <f>資料儲存!G1398</f>
        <v>0</v>
      </c>
      <c r="AY102" s="49">
        <f>資料儲存!H1398</f>
        <v>0</v>
      </c>
      <c r="AZ102" s="49">
        <f>資料儲存!I1398</f>
        <v>0</v>
      </c>
      <c r="BA102" s="49">
        <f>資料儲存!J1398</f>
        <v>0</v>
      </c>
    </row>
    <row r="103" spans="1:53" ht="16" thickBot="1">
      <c r="A103" s="48">
        <v>18</v>
      </c>
      <c r="B103" s="49">
        <f>資料儲存!D799</f>
        <v>0</v>
      </c>
      <c r="C103" s="49">
        <f>資料儲存!E799</f>
        <v>0</v>
      </c>
      <c r="D103" s="49">
        <f>資料儲存!F799</f>
        <v>0</v>
      </c>
      <c r="E103" s="49">
        <f>資料儲存!G799</f>
        <v>0</v>
      </c>
      <c r="F103" s="49">
        <f>資料儲存!H799</f>
        <v>0</v>
      </c>
      <c r="G103" s="49">
        <f>資料儲存!I799</f>
        <v>0</v>
      </c>
      <c r="H103" s="49">
        <f>資料儲存!J799</f>
        <v>0</v>
      </c>
      <c r="I103" s="45"/>
      <c r="J103" s="48">
        <v>18</v>
      </c>
      <c r="K103" s="49">
        <f>資料儲存!D919</f>
        <v>0</v>
      </c>
      <c r="L103" s="49">
        <f>資料儲存!E919</f>
        <v>0</v>
      </c>
      <c r="M103" s="49">
        <f>資料儲存!F919</f>
        <v>0</v>
      </c>
      <c r="N103" s="49">
        <f>資料儲存!G919</f>
        <v>0</v>
      </c>
      <c r="O103" s="49">
        <f>資料儲存!H919</f>
        <v>0</v>
      </c>
      <c r="P103" s="49">
        <f>資料儲存!I919</f>
        <v>0</v>
      </c>
      <c r="Q103" s="49">
        <f>資料儲存!J919</f>
        <v>0</v>
      </c>
      <c r="R103" s="45"/>
      <c r="S103" s="48">
        <v>18</v>
      </c>
      <c r="T103" s="49">
        <f>資料儲存!D1039</f>
        <v>0</v>
      </c>
      <c r="U103" s="49">
        <f>資料儲存!E1039</f>
        <v>0</v>
      </c>
      <c r="V103" s="49">
        <f>資料儲存!F1039</f>
        <v>0</v>
      </c>
      <c r="W103" s="49">
        <f>資料儲存!G1039</f>
        <v>0</v>
      </c>
      <c r="X103" s="49">
        <f>資料儲存!H1039</f>
        <v>0</v>
      </c>
      <c r="Y103" s="49">
        <f>資料儲存!I1039</f>
        <v>0</v>
      </c>
      <c r="Z103" s="49">
        <f>資料儲存!J1039</f>
        <v>0</v>
      </c>
      <c r="AA103" s="45"/>
      <c r="AB103" s="48">
        <v>18</v>
      </c>
      <c r="AC103" s="49">
        <f>資料儲存!D1159</f>
        <v>0</v>
      </c>
      <c r="AD103" s="49">
        <f>資料儲存!E1159</f>
        <v>0</v>
      </c>
      <c r="AE103" s="49">
        <f>資料儲存!F1159</f>
        <v>0</v>
      </c>
      <c r="AF103" s="49">
        <f>資料儲存!G1159</f>
        <v>0</v>
      </c>
      <c r="AG103" s="49">
        <f>資料儲存!H1159</f>
        <v>0</v>
      </c>
      <c r="AH103" s="49">
        <f>資料儲存!I1159</f>
        <v>0</v>
      </c>
      <c r="AI103" s="49">
        <f>資料儲存!J1159</f>
        <v>0</v>
      </c>
      <c r="AJ103" s="13"/>
      <c r="AK103" s="48">
        <v>18</v>
      </c>
      <c r="AL103" s="49">
        <f>資料儲存!D1279</f>
        <v>0</v>
      </c>
      <c r="AM103" s="49">
        <f>資料儲存!E1279</f>
        <v>0</v>
      </c>
      <c r="AN103" s="49">
        <f>資料儲存!F1279</f>
        <v>0</v>
      </c>
      <c r="AO103" s="49">
        <f>資料儲存!G1279</f>
        <v>0</v>
      </c>
      <c r="AP103" s="49">
        <f>資料儲存!H1279</f>
        <v>0</v>
      </c>
      <c r="AQ103" s="49">
        <f>資料儲存!I1279</f>
        <v>0</v>
      </c>
      <c r="AR103" s="49">
        <f>資料儲存!J1279</f>
        <v>0</v>
      </c>
      <c r="AT103" s="48">
        <v>18</v>
      </c>
      <c r="AU103" s="49">
        <f>資料儲存!D1399</f>
        <v>0</v>
      </c>
      <c r="AV103" s="49">
        <f>資料儲存!E1399</f>
        <v>0</v>
      </c>
      <c r="AW103" s="49">
        <f>資料儲存!F1399</f>
        <v>0</v>
      </c>
      <c r="AX103" s="49">
        <f>資料儲存!G1399</f>
        <v>0</v>
      </c>
      <c r="AY103" s="49">
        <f>資料儲存!H1399</f>
        <v>0</v>
      </c>
      <c r="AZ103" s="49">
        <f>資料儲存!I1399</f>
        <v>0</v>
      </c>
      <c r="BA103" s="49">
        <f>資料儲存!J1399</f>
        <v>0</v>
      </c>
    </row>
    <row r="104" spans="1:53" ht="16" thickBot="1">
      <c r="A104" s="48">
        <v>19</v>
      </c>
      <c r="B104" s="49">
        <f>資料儲存!D800</f>
        <v>0</v>
      </c>
      <c r="C104" s="49">
        <f>資料儲存!E800</f>
        <v>0</v>
      </c>
      <c r="D104" s="49">
        <f>資料儲存!F800</f>
        <v>0</v>
      </c>
      <c r="E104" s="49">
        <f>資料儲存!G800</f>
        <v>0</v>
      </c>
      <c r="F104" s="49">
        <f>資料儲存!H800</f>
        <v>0</v>
      </c>
      <c r="G104" s="49">
        <f>資料儲存!I800</f>
        <v>0</v>
      </c>
      <c r="H104" s="49">
        <f>資料儲存!J800</f>
        <v>0</v>
      </c>
      <c r="I104" s="45"/>
      <c r="J104" s="48">
        <v>19</v>
      </c>
      <c r="K104" s="49">
        <f>資料儲存!D920</f>
        <v>0</v>
      </c>
      <c r="L104" s="49">
        <f>資料儲存!E920</f>
        <v>0</v>
      </c>
      <c r="M104" s="49">
        <f>資料儲存!F920</f>
        <v>0</v>
      </c>
      <c r="N104" s="49">
        <f>資料儲存!G920</f>
        <v>0</v>
      </c>
      <c r="O104" s="49">
        <f>資料儲存!H920</f>
        <v>0</v>
      </c>
      <c r="P104" s="49">
        <f>資料儲存!I920</f>
        <v>0</v>
      </c>
      <c r="Q104" s="49">
        <f>資料儲存!J920</f>
        <v>0</v>
      </c>
      <c r="R104" s="45"/>
      <c r="S104" s="48">
        <v>19</v>
      </c>
      <c r="T104" s="49">
        <f>資料儲存!D1040</f>
        <v>0</v>
      </c>
      <c r="U104" s="49">
        <f>資料儲存!E1040</f>
        <v>0</v>
      </c>
      <c r="V104" s="49">
        <f>資料儲存!F1040</f>
        <v>0</v>
      </c>
      <c r="W104" s="49">
        <f>資料儲存!G1040</f>
        <v>0</v>
      </c>
      <c r="X104" s="49">
        <f>資料儲存!H1040</f>
        <v>0</v>
      </c>
      <c r="Y104" s="49">
        <f>資料儲存!I1040</f>
        <v>0</v>
      </c>
      <c r="Z104" s="49">
        <f>資料儲存!J1040</f>
        <v>0</v>
      </c>
      <c r="AA104" s="45"/>
      <c r="AB104" s="48">
        <v>19</v>
      </c>
      <c r="AC104" s="49">
        <f>資料儲存!D1160</f>
        <v>0</v>
      </c>
      <c r="AD104" s="49">
        <f>資料儲存!E1160</f>
        <v>0</v>
      </c>
      <c r="AE104" s="49">
        <f>資料儲存!F1160</f>
        <v>0</v>
      </c>
      <c r="AF104" s="49">
        <f>資料儲存!G1160</f>
        <v>0</v>
      </c>
      <c r="AG104" s="49">
        <f>資料儲存!H1160</f>
        <v>0</v>
      </c>
      <c r="AH104" s="49">
        <f>資料儲存!I1160</f>
        <v>0</v>
      </c>
      <c r="AI104" s="49">
        <f>資料儲存!J1160</f>
        <v>0</v>
      </c>
      <c r="AJ104" s="13"/>
      <c r="AK104" s="48">
        <v>19</v>
      </c>
      <c r="AL104" s="49">
        <f>資料儲存!D1280</f>
        <v>0</v>
      </c>
      <c r="AM104" s="49">
        <f>資料儲存!E1280</f>
        <v>0</v>
      </c>
      <c r="AN104" s="49">
        <f>資料儲存!F1280</f>
        <v>0</v>
      </c>
      <c r="AO104" s="49">
        <f>資料儲存!G1280</f>
        <v>0</v>
      </c>
      <c r="AP104" s="49">
        <f>資料儲存!H1280</f>
        <v>0</v>
      </c>
      <c r="AQ104" s="49">
        <f>資料儲存!I1280</f>
        <v>0</v>
      </c>
      <c r="AR104" s="49">
        <f>資料儲存!J1280</f>
        <v>0</v>
      </c>
      <c r="AT104" s="48">
        <v>19</v>
      </c>
      <c r="AU104" s="49">
        <f>資料儲存!D1400</f>
        <v>0</v>
      </c>
      <c r="AV104" s="49">
        <f>資料儲存!E1400</f>
        <v>0</v>
      </c>
      <c r="AW104" s="49">
        <f>資料儲存!F1400</f>
        <v>0</v>
      </c>
      <c r="AX104" s="49">
        <f>資料儲存!G1400</f>
        <v>0</v>
      </c>
      <c r="AY104" s="49">
        <f>資料儲存!H1400</f>
        <v>0</v>
      </c>
      <c r="AZ104" s="49">
        <f>資料儲存!I1400</f>
        <v>0</v>
      </c>
      <c r="BA104" s="49">
        <f>資料儲存!J1400</f>
        <v>0</v>
      </c>
    </row>
    <row r="105" spans="1:53" ht="16" thickBot="1">
      <c r="A105" s="48">
        <v>20</v>
      </c>
      <c r="B105" s="49">
        <f>資料儲存!D801</f>
        <v>0</v>
      </c>
      <c r="C105" s="49">
        <f>資料儲存!E801</f>
        <v>0</v>
      </c>
      <c r="D105" s="49">
        <f>資料儲存!F801</f>
        <v>0</v>
      </c>
      <c r="E105" s="49">
        <f>資料儲存!G801</f>
        <v>0</v>
      </c>
      <c r="F105" s="49">
        <f>資料儲存!H801</f>
        <v>0</v>
      </c>
      <c r="G105" s="49">
        <f>資料儲存!I801</f>
        <v>0</v>
      </c>
      <c r="H105" s="49">
        <f>資料儲存!J801</f>
        <v>0</v>
      </c>
      <c r="I105" s="45"/>
      <c r="J105" s="48">
        <v>20</v>
      </c>
      <c r="K105" s="49">
        <f>資料儲存!D921</f>
        <v>0</v>
      </c>
      <c r="L105" s="49">
        <f>資料儲存!E921</f>
        <v>0</v>
      </c>
      <c r="M105" s="49">
        <f>資料儲存!F921</f>
        <v>0</v>
      </c>
      <c r="N105" s="49">
        <f>資料儲存!G921</f>
        <v>0</v>
      </c>
      <c r="O105" s="49">
        <f>資料儲存!H921</f>
        <v>0</v>
      </c>
      <c r="P105" s="49">
        <f>資料儲存!I921</f>
        <v>0</v>
      </c>
      <c r="Q105" s="49">
        <f>資料儲存!J921</f>
        <v>0</v>
      </c>
      <c r="R105" s="45"/>
      <c r="S105" s="48">
        <v>20</v>
      </c>
      <c r="T105" s="49">
        <f>資料儲存!D1041</f>
        <v>0</v>
      </c>
      <c r="U105" s="49">
        <f>資料儲存!E1041</f>
        <v>0</v>
      </c>
      <c r="V105" s="49">
        <f>資料儲存!F1041</f>
        <v>0</v>
      </c>
      <c r="W105" s="49">
        <f>資料儲存!G1041</f>
        <v>0</v>
      </c>
      <c r="X105" s="49">
        <f>資料儲存!H1041</f>
        <v>0</v>
      </c>
      <c r="Y105" s="49">
        <f>資料儲存!I1041</f>
        <v>0</v>
      </c>
      <c r="Z105" s="49">
        <f>資料儲存!J1041</f>
        <v>0</v>
      </c>
      <c r="AA105" s="45"/>
      <c r="AB105" s="48">
        <v>20</v>
      </c>
      <c r="AC105" s="49">
        <f>資料儲存!D1161</f>
        <v>0</v>
      </c>
      <c r="AD105" s="49">
        <f>資料儲存!E1161</f>
        <v>0</v>
      </c>
      <c r="AE105" s="49">
        <f>資料儲存!F1161</f>
        <v>0</v>
      </c>
      <c r="AF105" s="49">
        <f>資料儲存!G1161</f>
        <v>0</v>
      </c>
      <c r="AG105" s="49">
        <f>資料儲存!H1161</f>
        <v>0</v>
      </c>
      <c r="AH105" s="49">
        <f>資料儲存!I1161</f>
        <v>0</v>
      </c>
      <c r="AI105" s="49">
        <f>資料儲存!J1161</f>
        <v>0</v>
      </c>
      <c r="AJ105" s="13"/>
      <c r="AK105" s="48">
        <v>20</v>
      </c>
      <c r="AL105" s="49">
        <f>資料儲存!D1281</f>
        <v>0</v>
      </c>
      <c r="AM105" s="49">
        <f>資料儲存!E1281</f>
        <v>0</v>
      </c>
      <c r="AN105" s="49">
        <f>資料儲存!F1281</f>
        <v>0</v>
      </c>
      <c r="AO105" s="49">
        <f>資料儲存!G1281</f>
        <v>0</v>
      </c>
      <c r="AP105" s="49">
        <f>資料儲存!H1281</f>
        <v>0</v>
      </c>
      <c r="AQ105" s="49">
        <f>資料儲存!I1281</f>
        <v>0</v>
      </c>
      <c r="AR105" s="49">
        <f>資料儲存!J1281</f>
        <v>0</v>
      </c>
      <c r="AT105" s="48">
        <v>20</v>
      </c>
      <c r="AU105" s="49">
        <f>資料儲存!D1401</f>
        <v>0</v>
      </c>
      <c r="AV105" s="49">
        <f>資料儲存!E1401</f>
        <v>0</v>
      </c>
      <c r="AW105" s="49">
        <f>資料儲存!F1401</f>
        <v>0</v>
      </c>
      <c r="AX105" s="49">
        <f>資料儲存!G1401</f>
        <v>0</v>
      </c>
      <c r="AY105" s="49">
        <f>資料儲存!H1401</f>
        <v>0</v>
      </c>
      <c r="AZ105" s="49">
        <f>資料儲存!I1401</f>
        <v>0</v>
      </c>
      <c r="BA105" s="49">
        <f>資料儲存!J1401</f>
        <v>0</v>
      </c>
    </row>
    <row r="106" spans="1:53" ht="16" thickBot="1">
      <c r="A106" s="48">
        <v>21</v>
      </c>
      <c r="B106" s="49">
        <f>資料儲存!D802</f>
        <v>0</v>
      </c>
      <c r="C106" s="49">
        <f>資料儲存!E802</f>
        <v>0</v>
      </c>
      <c r="D106" s="49">
        <f>資料儲存!F802</f>
        <v>0</v>
      </c>
      <c r="E106" s="49">
        <f>資料儲存!G802</f>
        <v>0</v>
      </c>
      <c r="F106" s="49">
        <f>資料儲存!H802</f>
        <v>0</v>
      </c>
      <c r="G106" s="49">
        <f>資料儲存!I802</f>
        <v>0</v>
      </c>
      <c r="H106" s="49">
        <f>資料儲存!J802</f>
        <v>0</v>
      </c>
      <c r="I106" s="45"/>
      <c r="J106" s="48">
        <v>21</v>
      </c>
      <c r="K106" s="49">
        <f>資料儲存!D922</f>
        <v>0</v>
      </c>
      <c r="L106" s="49">
        <f>資料儲存!E922</f>
        <v>0</v>
      </c>
      <c r="M106" s="49">
        <f>資料儲存!F922</f>
        <v>0</v>
      </c>
      <c r="N106" s="49">
        <f>資料儲存!G922</f>
        <v>0</v>
      </c>
      <c r="O106" s="49">
        <f>資料儲存!H922</f>
        <v>0</v>
      </c>
      <c r="P106" s="49">
        <f>資料儲存!I922</f>
        <v>0</v>
      </c>
      <c r="Q106" s="49">
        <f>資料儲存!J922</f>
        <v>0</v>
      </c>
      <c r="R106" s="45"/>
      <c r="S106" s="48">
        <v>21</v>
      </c>
      <c r="T106" s="49">
        <f>資料儲存!D1042</f>
        <v>0</v>
      </c>
      <c r="U106" s="49">
        <f>資料儲存!E1042</f>
        <v>0</v>
      </c>
      <c r="V106" s="49">
        <f>資料儲存!F1042</f>
        <v>0</v>
      </c>
      <c r="W106" s="49">
        <f>資料儲存!G1042</f>
        <v>0</v>
      </c>
      <c r="X106" s="49">
        <f>資料儲存!H1042</f>
        <v>0</v>
      </c>
      <c r="Y106" s="49">
        <f>資料儲存!I1042</f>
        <v>0</v>
      </c>
      <c r="Z106" s="49">
        <f>資料儲存!J1042</f>
        <v>0</v>
      </c>
      <c r="AA106" s="45"/>
      <c r="AB106" s="48">
        <v>21</v>
      </c>
      <c r="AC106" s="49">
        <f>資料儲存!D1162</f>
        <v>0</v>
      </c>
      <c r="AD106" s="49">
        <f>資料儲存!E1162</f>
        <v>0</v>
      </c>
      <c r="AE106" s="49">
        <f>資料儲存!F1162</f>
        <v>0</v>
      </c>
      <c r="AF106" s="49">
        <f>資料儲存!G1162</f>
        <v>0</v>
      </c>
      <c r="AG106" s="49">
        <f>資料儲存!H1162</f>
        <v>0</v>
      </c>
      <c r="AH106" s="49">
        <f>資料儲存!I1162</f>
        <v>0</v>
      </c>
      <c r="AI106" s="49">
        <f>資料儲存!J1162</f>
        <v>0</v>
      </c>
      <c r="AJ106" s="13"/>
      <c r="AK106" s="48">
        <v>21</v>
      </c>
      <c r="AL106" s="49">
        <f>資料儲存!D1282</f>
        <v>0</v>
      </c>
      <c r="AM106" s="49">
        <f>資料儲存!E1282</f>
        <v>0</v>
      </c>
      <c r="AN106" s="49">
        <f>資料儲存!F1282</f>
        <v>0</v>
      </c>
      <c r="AO106" s="49">
        <f>資料儲存!G1282</f>
        <v>0</v>
      </c>
      <c r="AP106" s="49">
        <f>資料儲存!H1282</f>
        <v>0</v>
      </c>
      <c r="AQ106" s="49">
        <f>資料儲存!I1282</f>
        <v>0</v>
      </c>
      <c r="AR106" s="49">
        <f>資料儲存!J1282</f>
        <v>0</v>
      </c>
      <c r="AT106" s="48">
        <v>21</v>
      </c>
      <c r="AU106" s="49">
        <f>資料儲存!D1402</f>
        <v>0</v>
      </c>
      <c r="AV106" s="49">
        <f>資料儲存!E1402</f>
        <v>0</v>
      </c>
      <c r="AW106" s="49">
        <f>資料儲存!F1402</f>
        <v>0</v>
      </c>
      <c r="AX106" s="49">
        <f>資料儲存!G1402</f>
        <v>0</v>
      </c>
      <c r="AY106" s="49">
        <f>資料儲存!H1402</f>
        <v>0</v>
      </c>
      <c r="AZ106" s="49">
        <f>資料儲存!I1402</f>
        <v>0</v>
      </c>
      <c r="BA106" s="49">
        <f>資料儲存!J1402</f>
        <v>0</v>
      </c>
    </row>
    <row r="107" spans="1:53" ht="16" thickBot="1">
      <c r="A107" s="48">
        <v>22</v>
      </c>
      <c r="B107" s="49">
        <f>資料儲存!D803</f>
        <v>0</v>
      </c>
      <c r="C107" s="49">
        <f>資料儲存!E803</f>
        <v>0</v>
      </c>
      <c r="D107" s="49">
        <f>資料儲存!F803</f>
        <v>0</v>
      </c>
      <c r="E107" s="49">
        <f>資料儲存!G803</f>
        <v>0</v>
      </c>
      <c r="F107" s="49">
        <f>資料儲存!H803</f>
        <v>0</v>
      </c>
      <c r="G107" s="49">
        <f>資料儲存!I803</f>
        <v>0</v>
      </c>
      <c r="H107" s="49">
        <f>資料儲存!J803</f>
        <v>0</v>
      </c>
      <c r="I107" s="45"/>
      <c r="J107" s="48">
        <v>22</v>
      </c>
      <c r="K107" s="49">
        <f>資料儲存!D923</f>
        <v>0</v>
      </c>
      <c r="L107" s="49">
        <f>資料儲存!E923</f>
        <v>0</v>
      </c>
      <c r="M107" s="49">
        <f>資料儲存!F923</f>
        <v>0</v>
      </c>
      <c r="N107" s="49">
        <f>資料儲存!G923</f>
        <v>0</v>
      </c>
      <c r="O107" s="49">
        <f>資料儲存!H923</f>
        <v>0</v>
      </c>
      <c r="P107" s="49">
        <f>資料儲存!I923</f>
        <v>0</v>
      </c>
      <c r="Q107" s="49">
        <f>資料儲存!J923</f>
        <v>0</v>
      </c>
      <c r="R107" s="45"/>
      <c r="S107" s="48">
        <v>22</v>
      </c>
      <c r="T107" s="49">
        <f>資料儲存!D1043</f>
        <v>0</v>
      </c>
      <c r="U107" s="49">
        <f>資料儲存!E1043</f>
        <v>0</v>
      </c>
      <c r="V107" s="49">
        <f>資料儲存!F1043</f>
        <v>0</v>
      </c>
      <c r="W107" s="49">
        <f>資料儲存!G1043</f>
        <v>0</v>
      </c>
      <c r="X107" s="49">
        <f>資料儲存!H1043</f>
        <v>0</v>
      </c>
      <c r="Y107" s="49">
        <f>資料儲存!I1043</f>
        <v>0</v>
      </c>
      <c r="Z107" s="49">
        <f>資料儲存!J1043</f>
        <v>0</v>
      </c>
      <c r="AA107" s="45"/>
      <c r="AB107" s="48">
        <v>22</v>
      </c>
      <c r="AC107" s="49">
        <f>資料儲存!D1163</f>
        <v>0</v>
      </c>
      <c r="AD107" s="49">
        <f>資料儲存!E1163</f>
        <v>0</v>
      </c>
      <c r="AE107" s="49">
        <f>資料儲存!F1163</f>
        <v>0</v>
      </c>
      <c r="AF107" s="49">
        <f>資料儲存!G1163</f>
        <v>0</v>
      </c>
      <c r="AG107" s="49">
        <f>資料儲存!H1163</f>
        <v>0</v>
      </c>
      <c r="AH107" s="49">
        <f>資料儲存!I1163</f>
        <v>0</v>
      </c>
      <c r="AI107" s="49">
        <f>資料儲存!J1163</f>
        <v>0</v>
      </c>
      <c r="AJ107" s="13"/>
      <c r="AK107" s="48">
        <v>22</v>
      </c>
      <c r="AL107" s="49">
        <f>資料儲存!D1283</f>
        <v>0</v>
      </c>
      <c r="AM107" s="49">
        <f>資料儲存!E1283</f>
        <v>0</v>
      </c>
      <c r="AN107" s="49">
        <f>資料儲存!F1283</f>
        <v>0</v>
      </c>
      <c r="AO107" s="49">
        <f>資料儲存!G1283</f>
        <v>0</v>
      </c>
      <c r="AP107" s="49">
        <f>資料儲存!H1283</f>
        <v>0</v>
      </c>
      <c r="AQ107" s="49">
        <f>資料儲存!I1283</f>
        <v>0</v>
      </c>
      <c r="AR107" s="49">
        <f>資料儲存!J1283</f>
        <v>0</v>
      </c>
      <c r="AT107" s="48">
        <v>22</v>
      </c>
      <c r="AU107" s="49">
        <f>資料儲存!D1403</f>
        <v>0</v>
      </c>
      <c r="AV107" s="49">
        <f>資料儲存!E1403</f>
        <v>0</v>
      </c>
      <c r="AW107" s="49">
        <f>資料儲存!F1403</f>
        <v>0</v>
      </c>
      <c r="AX107" s="49">
        <f>資料儲存!G1403</f>
        <v>0</v>
      </c>
      <c r="AY107" s="49">
        <f>資料儲存!H1403</f>
        <v>0</v>
      </c>
      <c r="AZ107" s="49">
        <f>資料儲存!I1403</f>
        <v>0</v>
      </c>
      <c r="BA107" s="49">
        <f>資料儲存!J1403</f>
        <v>0</v>
      </c>
    </row>
    <row r="108" spans="1:53" ht="16" thickBot="1">
      <c r="A108" s="48">
        <v>23</v>
      </c>
      <c r="B108" s="49">
        <f>資料儲存!D804</f>
        <v>0</v>
      </c>
      <c r="C108" s="49">
        <f>資料儲存!E804</f>
        <v>0</v>
      </c>
      <c r="D108" s="49">
        <f>資料儲存!F804</f>
        <v>0</v>
      </c>
      <c r="E108" s="49">
        <f>資料儲存!G804</f>
        <v>0</v>
      </c>
      <c r="F108" s="49">
        <f>資料儲存!H804</f>
        <v>0</v>
      </c>
      <c r="G108" s="49">
        <f>資料儲存!I804</f>
        <v>0</v>
      </c>
      <c r="H108" s="49">
        <f>資料儲存!J804</f>
        <v>0</v>
      </c>
      <c r="I108" s="45"/>
      <c r="J108" s="48">
        <v>23</v>
      </c>
      <c r="K108" s="49">
        <f>資料儲存!D924</f>
        <v>0</v>
      </c>
      <c r="L108" s="49">
        <f>資料儲存!E924</f>
        <v>0</v>
      </c>
      <c r="M108" s="49">
        <f>資料儲存!F924</f>
        <v>0</v>
      </c>
      <c r="N108" s="49">
        <f>資料儲存!G924</f>
        <v>0</v>
      </c>
      <c r="O108" s="49">
        <f>資料儲存!H924</f>
        <v>0</v>
      </c>
      <c r="P108" s="49">
        <f>資料儲存!I924</f>
        <v>0</v>
      </c>
      <c r="Q108" s="49">
        <f>資料儲存!J924</f>
        <v>0</v>
      </c>
      <c r="R108" s="45"/>
      <c r="S108" s="48">
        <v>23</v>
      </c>
      <c r="T108" s="49">
        <f>資料儲存!D1044</f>
        <v>0</v>
      </c>
      <c r="U108" s="49">
        <f>資料儲存!E1044</f>
        <v>0</v>
      </c>
      <c r="V108" s="49">
        <f>資料儲存!F1044</f>
        <v>0</v>
      </c>
      <c r="W108" s="49">
        <f>資料儲存!G1044</f>
        <v>0</v>
      </c>
      <c r="X108" s="49">
        <f>資料儲存!H1044</f>
        <v>0</v>
      </c>
      <c r="Y108" s="49">
        <f>資料儲存!I1044</f>
        <v>0</v>
      </c>
      <c r="Z108" s="49">
        <f>資料儲存!J1044</f>
        <v>0</v>
      </c>
      <c r="AA108" s="45"/>
      <c r="AB108" s="48">
        <v>23</v>
      </c>
      <c r="AC108" s="49">
        <f>資料儲存!D1164</f>
        <v>0</v>
      </c>
      <c r="AD108" s="49">
        <f>資料儲存!E1164</f>
        <v>0</v>
      </c>
      <c r="AE108" s="49">
        <f>資料儲存!F1164</f>
        <v>0</v>
      </c>
      <c r="AF108" s="49">
        <f>資料儲存!G1164</f>
        <v>0</v>
      </c>
      <c r="AG108" s="49">
        <f>資料儲存!H1164</f>
        <v>0</v>
      </c>
      <c r="AH108" s="49">
        <f>資料儲存!I1164</f>
        <v>0</v>
      </c>
      <c r="AI108" s="49">
        <f>資料儲存!J1164</f>
        <v>0</v>
      </c>
      <c r="AJ108" s="13"/>
      <c r="AK108" s="48">
        <v>23</v>
      </c>
      <c r="AL108" s="49">
        <f>資料儲存!D1284</f>
        <v>0</v>
      </c>
      <c r="AM108" s="49">
        <f>資料儲存!E1284</f>
        <v>0</v>
      </c>
      <c r="AN108" s="49">
        <f>資料儲存!F1284</f>
        <v>0</v>
      </c>
      <c r="AO108" s="49">
        <f>資料儲存!G1284</f>
        <v>0</v>
      </c>
      <c r="AP108" s="49">
        <f>資料儲存!H1284</f>
        <v>0</v>
      </c>
      <c r="AQ108" s="49">
        <f>資料儲存!I1284</f>
        <v>0</v>
      </c>
      <c r="AR108" s="49">
        <f>資料儲存!J1284</f>
        <v>0</v>
      </c>
      <c r="AT108" s="48">
        <v>23</v>
      </c>
      <c r="AU108" s="49">
        <f>資料儲存!D1404</f>
        <v>0</v>
      </c>
      <c r="AV108" s="49">
        <f>資料儲存!E1404</f>
        <v>0</v>
      </c>
      <c r="AW108" s="49">
        <f>資料儲存!F1404</f>
        <v>0</v>
      </c>
      <c r="AX108" s="49">
        <f>資料儲存!G1404</f>
        <v>0</v>
      </c>
      <c r="AY108" s="49">
        <f>資料儲存!H1404</f>
        <v>0</v>
      </c>
      <c r="AZ108" s="49">
        <f>資料儲存!I1404</f>
        <v>0</v>
      </c>
      <c r="BA108" s="49">
        <f>資料儲存!J1404</f>
        <v>0</v>
      </c>
    </row>
    <row r="109" spans="1:53" ht="16" thickBot="1">
      <c r="A109" s="48">
        <v>24</v>
      </c>
      <c r="B109" s="49">
        <f>資料儲存!D805</f>
        <v>0</v>
      </c>
      <c r="C109" s="49">
        <f>資料儲存!E805</f>
        <v>0</v>
      </c>
      <c r="D109" s="49">
        <f>資料儲存!F805</f>
        <v>0</v>
      </c>
      <c r="E109" s="49">
        <f>資料儲存!G805</f>
        <v>0</v>
      </c>
      <c r="F109" s="49">
        <f>資料儲存!H805</f>
        <v>0</v>
      </c>
      <c r="G109" s="49">
        <f>資料儲存!I805</f>
        <v>0</v>
      </c>
      <c r="H109" s="49">
        <f>資料儲存!J805</f>
        <v>0</v>
      </c>
      <c r="I109" s="45"/>
      <c r="J109" s="48">
        <v>24</v>
      </c>
      <c r="K109" s="49">
        <f>資料儲存!D925</f>
        <v>0</v>
      </c>
      <c r="L109" s="49">
        <f>資料儲存!E925</f>
        <v>0</v>
      </c>
      <c r="M109" s="49">
        <f>資料儲存!F925</f>
        <v>0</v>
      </c>
      <c r="N109" s="49">
        <f>資料儲存!G925</f>
        <v>0</v>
      </c>
      <c r="O109" s="49">
        <f>資料儲存!H925</f>
        <v>0</v>
      </c>
      <c r="P109" s="49">
        <f>資料儲存!I925</f>
        <v>0</v>
      </c>
      <c r="Q109" s="49">
        <f>資料儲存!J925</f>
        <v>0</v>
      </c>
      <c r="R109" s="45"/>
      <c r="S109" s="48">
        <v>24</v>
      </c>
      <c r="T109" s="49">
        <f>資料儲存!D1045</f>
        <v>0</v>
      </c>
      <c r="U109" s="49">
        <f>資料儲存!E1045</f>
        <v>0</v>
      </c>
      <c r="V109" s="49">
        <f>資料儲存!F1045</f>
        <v>0</v>
      </c>
      <c r="W109" s="49">
        <f>資料儲存!G1045</f>
        <v>0</v>
      </c>
      <c r="X109" s="49">
        <f>資料儲存!H1045</f>
        <v>0</v>
      </c>
      <c r="Y109" s="49">
        <f>資料儲存!I1045</f>
        <v>0</v>
      </c>
      <c r="Z109" s="49">
        <f>資料儲存!J1045</f>
        <v>0</v>
      </c>
      <c r="AA109" s="45"/>
      <c r="AB109" s="48">
        <v>24</v>
      </c>
      <c r="AC109" s="49">
        <f>資料儲存!D1165</f>
        <v>0</v>
      </c>
      <c r="AD109" s="49">
        <f>資料儲存!E1165</f>
        <v>0</v>
      </c>
      <c r="AE109" s="49">
        <f>資料儲存!F1165</f>
        <v>0</v>
      </c>
      <c r="AF109" s="49">
        <f>資料儲存!G1165</f>
        <v>0</v>
      </c>
      <c r="AG109" s="49">
        <f>資料儲存!H1165</f>
        <v>0</v>
      </c>
      <c r="AH109" s="49">
        <f>資料儲存!I1165</f>
        <v>0</v>
      </c>
      <c r="AI109" s="49">
        <f>資料儲存!J1165</f>
        <v>0</v>
      </c>
      <c r="AJ109" s="13"/>
      <c r="AK109" s="48">
        <v>24</v>
      </c>
      <c r="AL109" s="49">
        <f>資料儲存!D1285</f>
        <v>0</v>
      </c>
      <c r="AM109" s="49">
        <f>資料儲存!E1285</f>
        <v>0</v>
      </c>
      <c r="AN109" s="49">
        <f>資料儲存!F1285</f>
        <v>0</v>
      </c>
      <c r="AO109" s="49">
        <f>資料儲存!G1285</f>
        <v>0</v>
      </c>
      <c r="AP109" s="49">
        <f>資料儲存!H1285</f>
        <v>0</v>
      </c>
      <c r="AQ109" s="49">
        <f>資料儲存!I1285</f>
        <v>0</v>
      </c>
      <c r="AR109" s="49">
        <f>資料儲存!J1285</f>
        <v>0</v>
      </c>
      <c r="AT109" s="48">
        <v>24</v>
      </c>
      <c r="AU109" s="49">
        <f>資料儲存!D1405</f>
        <v>0</v>
      </c>
      <c r="AV109" s="49">
        <f>資料儲存!E1405</f>
        <v>0</v>
      </c>
      <c r="AW109" s="49">
        <f>資料儲存!F1405</f>
        <v>0</v>
      </c>
      <c r="AX109" s="49">
        <f>資料儲存!G1405</f>
        <v>0</v>
      </c>
      <c r="AY109" s="49">
        <f>資料儲存!H1405</f>
        <v>0</v>
      </c>
      <c r="AZ109" s="49">
        <f>資料儲存!I1405</f>
        <v>0</v>
      </c>
      <c r="BA109" s="49">
        <f>資料儲存!J1405</f>
        <v>0</v>
      </c>
    </row>
    <row r="110" spans="1:53" ht="16" thickBot="1">
      <c r="A110" s="48">
        <v>25</v>
      </c>
      <c r="B110" s="49">
        <f>資料儲存!D806</f>
        <v>0</v>
      </c>
      <c r="C110" s="49">
        <f>資料儲存!E806</f>
        <v>0</v>
      </c>
      <c r="D110" s="49">
        <f>資料儲存!F806</f>
        <v>0</v>
      </c>
      <c r="E110" s="49">
        <f>資料儲存!G806</f>
        <v>0</v>
      </c>
      <c r="F110" s="49">
        <f>資料儲存!H806</f>
        <v>0</v>
      </c>
      <c r="G110" s="49">
        <f>資料儲存!I806</f>
        <v>0</v>
      </c>
      <c r="H110" s="49">
        <f>資料儲存!J806</f>
        <v>0</v>
      </c>
      <c r="I110" s="45"/>
      <c r="J110" s="48">
        <v>25</v>
      </c>
      <c r="K110" s="49">
        <f>資料儲存!D926</f>
        <v>0</v>
      </c>
      <c r="L110" s="49">
        <f>資料儲存!E926</f>
        <v>0</v>
      </c>
      <c r="M110" s="49">
        <f>資料儲存!F926</f>
        <v>0</v>
      </c>
      <c r="N110" s="49">
        <f>資料儲存!G926</f>
        <v>0</v>
      </c>
      <c r="O110" s="49">
        <f>資料儲存!H926</f>
        <v>0</v>
      </c>
      <c r="P110" s="49">
        <f>資料儲存!I926</f>
        <v>0</v>
      </c>
      <c r="Q110" s="49">
        <f>資料儲存!J926</f>
        <v>0</v>
      </c>
      <c r="R110" s="45"/>
      <c r="S110" s="48">
        <v>25</v>
      </c>
      <c r="T110" s="49">
        <f>資料儲存!D1046</f>
        <v>0</v>
      </c>
      <c r="U110" s="49">
        <f>資料儲存!E1046</f>
        <v>0</v>
      </c>
      <c r="V110" s="49">
        <f>資料儲存!F1046</f>
        <v>0</v>
      </c>
      <c r="W110" s="49">
        <f>資料儲存!G1046</f>
        <v>0</v>
      </c>
      <c r="X110" s="49">
        <f>資料儲存!H1046</f>
        <v>0</v>
      </c>
      <c r="Y110" s="49">
        <f>資料儲存!I1046</f>
        <v>0</v>
      </c>
      <c r="Z110" s="49">
        <f>資料儲存!J1046</f>
        <v>0</v>
      </c>
      <c r="AA110" s="45"/>
      <c r="AB110" s="48">
        <v>25</v>
      </c>
      <c r="AC110" s="49">
        <f>資料儲存!D1166</f>
        <v>0</v>
      </c>
      <c r="AD110" s="49">
        <f>資料儲存!E1166</f>
        <v>0</v>
      </c>
      <c r="AE110" s="49">
        <f>資料儲存!F1166</f>
        <v>0</v>
      </c>
      <c r="AF110" s="49">
        <f>資料儲存!G1166</f>
        <v>0</v>
      </c>
      <c r="AG110" s="49">
        <f>資料儲存!H1166</f>
        <v>0</v>
      </c>
      <c r="AH110" s="49">
        <f>資料儲存!I1166</f>
        <v>0</v>
      </c>
      <c r="AI110" s="49">
        <f>資料儲存!J1166</f>
        <v>0</v>
      </c>
      <c r="AJ110" s="13"/>
      <c r="AK110" s="48">
        <v>25</v>
      </c>
      <c r="AL110" s="49">
        <f>資料儲存!D1286</f>
        <v>0</v>
      </c>
      <c r="AM110" s="49">
        <f>資料儲存!E1286</f>
        <v>0</v>
      </c>
      <c r="AN110" s="49">
        <f>資料儲存!F1286</f>
        <v>0</v>
      </c>
      <c r="AO110" s="49">
        <f>資料儲存!G1286</f>
        <v>0</v>
      </c>
      <c r="AP110" s="49">
        <f>資料儲存!H1286</f>
        <v>0</v>
      </c>
      <c r="AQ110" s="49">
        <f>資料儲存!I1286</f>
        <v>0</v>
      </c>
      <c r="AR110" s="49">
        <f>資料儲存!J1286</f>
        <v>0</v>
      </c>
      <c r="AT110" s="48">
        <v>25</v>
      </c>
      <c r="AU110" s="49">
        <f>資料儲存!D1406</f>
        <v>0</v>
      </c>
      <c r="AV110" s="49">
        <f>資料儲存!E1406</f>
        <v>0</v>
      </c>
      <c r="AW110" s="49">
        <f>資料儲存!F1406</f>
        <v>0</v>
      </c>
      <c r="AX110" s="49">
        <f>資料儲存!G1406</f>
        <v>0</v>
      </c>
      <c r="AY110" s="49">
        <f>資料儲存!H1406</f>
        <v>0</v>
      </c>
      <c r="AZ110" s="49">
        <f>資料儲存!I1406</f>
        <v>0</v>
      </c>
      <c r="BA110" s="49">
        <f>資料儲存!J1406</f>
        <v>0</v>
      </c>
    </row>
    <row r="111" spans="1:53" ht="16" thickBot="1">
      <c r="A111" s="48">
        <v>26</v>
      </c>
      <c r="B111" s="49">
        <f>資料儲存!D807</f>
        <v>0</v>
      </c>
      <c r="C111" s="49">
        <f>資料儲存!E807</f>
        <v>0</v>
      </c>
      <c r="D111" s="49">
        <f>資料儲存!F807</f>
        <v>0</v>
      </c>
      <c r="E111" s="49">
        <f>資料儲存!G807</f>
        <v>0</v>
      </c>
      <c r="F111" s="49">
        <f>資料儲存!H807</f>
        <v>0</v>
      </c>
      <c r="G111" s="49">
        <f>資料儲存!I807</f>
        <v>0</v>
      </c>
      <c r="H111" s="49">
        <f>資料儲存!J807</f>
        <v>0</v>
      </c>
      <c r="I111" s="45"/>
      <c r="J111" s="48">
        <v>26</v>
      </c>
      <c r="K111" s="49">
        <f>資料儲存!D927</f>
        <v>0</v>
      </c>
      <c r="L111" s="49">
        <f>資料儲存!E927</f>
        <v>0</v>
      </c>
      <c r="M111" s="49">
        <f>資料儲存!F927</f>
        <v>0</v>
      </c>
      <c r="N111" s="49">
        <f>資料儲存!G927</f>
        <v>0</v>
      </c>
      <c r="O111" s="49">
        <f>資料儲存!H927</f>
        <v>0</v>
      </c>
      <c r="P111" s="49">
        <f>資料儲存!I927</f>
        <v>0</v>
      </c>
      <c r="Q111" s="49">
        <f>資料儲存!J927</f>
        <v>0</v>
      </c>
      <c r="R111" s="45"/>
      <c r="S111" s="48">
        <v>26</v>
      </c>
      <c r="T111" s="49">
        <f>資料儲存!D1047</f>
        <v>0</v>
      </c>
      <c r="U111" s="49">
        <f>資料儲存!E1047</f>
        <v>0</v>
      </c>
      <c r="V111" s="49">
        <f>資料儲存!F1047</f>
        <v>0</v>
      </c>
      <c r="W111" s="49">
        <f>資料儲存!G1047</f>
        <v>0</v>
      </c>
      <c r="X111" s="49">
        <f>資料儲存!H1047</f>
        <v>0</v>
      </c>
      <c r="Y111" s="49">
        <f>資料儲存!I1047</f>
        <v>0</v>
      </c>
      <c r="Z111" s="49">
        <f>資料儲存!J1047</f>
        <v>0</v>
      </c>
      <c r="AA111" s="45"/>
      <c r="AB111" s="48">
        <v>26</v>
      </c>
      <c r="AC111" s="49">
        <f>資料儲存!D1167</f>
        <v>0</v>
      </c>
      <c r="AD111" s="49">
        <f>資料儲存!E1167</f>
        <v>0</v>
      </c>
      <c r="AE111" s="49">
        <f>資料儲存!F1167</f>
        <v>0</v>
      </c>
      <c r="AF111" s="49">
        <f>資料儲存!G1167</f>
        <v>0</v>
      </c>
      <c r="AG111" s="49">
        <f>資料儲存!H1167</f>
        <v>0</v>
      </c>
      <c r="AH111" s="49">
        <f>資料儲存!I1167</f>
        <v>0</v>
      </c>
      <c r="AI111" s="49">
        <f>資料儲存!J1167</f>
        <v>0</v>
      </c>
      <c r="AJ111" s="13"/>
      <c r="AK111" s="48">
        <v>26</v>
      </c>
      <c r="AL111" s="49">
        <f>資料儲存!D1287</f>
        <v>0</v>
      </c>
      <c r="AM111" s="49">
        <f>資料儲存!E1287</f>
        <v>0</v>
      </c>
      <c r="AN111" s="49">
        <f>資料儲存!F1287</f>
        <v>0</v>
      </c>
      <c r="AO111" s="49">
        <f>資料儲存!G1287</f>
        <v>0</v>
      </c>
      <c r="AP111" s="49">
        <f>資料儲存!H1287</f>
        <v>0</v>
      </c>
      <c r="AQ111" s="49">
        <f>資料儲存!I1287</f>
        <v>0</v>
      </c>
      <c r="AR111" s="49">
        <f>資料儲存!J1287</f>
        <v>0</v>
      </c>
      <c r="AT111" s="48">
        <v>26</v>
      </c>
      <c r="AU111" s="49">
        <f>資料儲存!D1407</f>
        <v>0</v>
      </c>
      <c r="AV111" s="49">
        <f>資料儲存!E1407</f>
        <v>0</v>
      </c>
      <c r="AW111" s="49">
        <f>資料儲存!F1407</f>
        <v>0</v>
      </c>
      <c r="AX111" s="49">
        <f>資料儲存!G1407</f>
        <v>0</v>
      </c>
      <c r="AY111" s="49">
        <f>資料儲存!H1407</f>
        <v>0</v>
      </c>
      <c r="AZ111" s="49">
        <f>資料儲存!I1407</f>
        <v>0</v>
      </c>
      <c r="BA111" s="49">
        <f>資料儲存!J1407</f>
        <v>0</v>
      </c>
    </row>
    <row r="112" spans="1:53" ht="16" thickBot="1">
      <c r="A112" s="48">
        <v>27</v>
      </c>
      <c r="B112" s="49">
        <f>資料儲存!D808</f>
        <v>0</v>
      </c>
      <c r="C112" s="49">
        <f>資料儲存!E808</f>
        <v>0</v>
      </c>
      <c r="D112" s="49">
        <f>資料儲存!F808</f>
        <v>0</v>
      </c>
      <c r="E112" s="49">
        <f>資料儲存!G808</f>
        <v>0</v>
      </c>
      <c r="F112" s="49">
        <f>資料儲存!H808</f>
        <v>0</v>
      </c>
      <c r="G112" s="49">
        <f>資料儲存!I808</f>
        <v>0</v>
      </c>
      <c r="H112" s="49">
        <f>資料儲存!J808</f>
        <v>0</v>
      </c>
      <c r="I112" s="45"/>
      <c r="J112" s="48">
        <v>27</v>
      </c>
      <c r="K112" s="49">
        <f>資料儲存!D928</f>
        <v>0</v>
      </c>
      <c r="L112" s="49">
        <f>資料儲存!E928</f>
        <v>0</v>
      </c>
      <c r="M112" s="49">
        <f>資料儲存!F928</f>
        <v>0</v>
      </c>
      <c r="N112" s="49">
        <f>資料儲存!G928</f>
        <v>0</v>
      </c>
      <c r="O112" s="49">
        <f>資料儲存!H928</f>
        <v>0</v>
      </c>
      <c r="P112" s="49">
        <f>資料儲存!I928</f>
        <v>0</v>
      </c>
      <c r="Q112" s="49">
        <f>資料儲存!J928</f>
        <v>0</v>
      </c>
      <c r="R112" s="45"/>
      <c r="S112" s="48">
        <v>27</v>
      </c>
      <c r="T112" s="49">
        <f>資料儲存!D1048</f>
        <v>0</v>
      </c>
      <c r="U112" s="49">
        <f>資料儲存!E1048</f>
        <v>0</v>
      </c>
      <c r="V112" s="49">
        <f>資料儲存!F1048</f>
        <v>0</v>
      </c>
      <c r="W112" s="49">
        <f>資料儲存!G1048</f>
        <v>0</v>
      </c>
      <c r="X112" s="49">
        <f>資料儲存!H1048</f>
        <v>0</v>
      </c>
      <c r="Y112" s="49">
        <f>資料儲存!I1048</f>
        <v>0</v>
      </c>
      <c r="Z112" s="49">
        <f>資料儲存!J1048</f>
        <v>0</v>
      </c>
      <c r="AA112" s="45"/>
      <c r="AB112" s="48">
        <v>27</v>
      </c>
      <c r="AC112" s="49">
        <f>資料儲存!D1168</f>
        <v>0</v>
      </c>
      <c r="AD112" s="49">
        <f>資料儲存!E1168</f>
        <v>0</v>
      </c>
      <c r="AE112" s="49">
        <f>資料儲存!F1168</f>
        <v>0</v>
      </c>
      <c r="AF112" s="49">
        <f>資料儲存!G1168</f>
        <v>0</v>
      </c>
      <c r="AG112" s="49">
        <f>資料儲存!H1168</f>
        <v>0</v>
      </c>
      <c r="AH112" s="49">
        <f>資料儲存!I1168</f>
        <v>0</v>
      </c>
      <c r="AI112" s="49">
        <f>資料儲存!J1168</f>
        <v>0</v>
      </c>
      <c r="AJ112" s="13"/>
      <c r="AK112" s="48">
        <v>27</v>
      </c>
      <c r="AL112" s="49">
        <f>資料儲存!D1288</f>
        <v>0</v>
      </c>
      <c r="AM112" s="49">
        <f>資料儲存!E1288</f>
        <v>0</v>
      </c>
      <c r="AN112" s="49">
        <f>資料儲存!F1288</f>
        <v>0</v>
      </c>
      <c r="AO112" s="49">
        <f>資料儲存!G1288</f>
        <v>0</v>
      </c>
      <c r="AP112" s="49">
        <f>資料儲存!H1288</f>
        <v>0</v>
      </c>
      <c r="AQ112" s="49">
        <f>資料儲存!I1288</f>
        <v>0</v>
      </c>
      <c r="AR112" s="49">
        <f>資料儲存!J1288</f>
        <v>0</v>
      </c>
      <c r="AT112" s="48">
        <v>27</v>
      </c>
      <c r="AU112" s="49">
        <f>資料儲存!D1408</f>
        <v>0</v>
      </c>
      <c r="AV112" s="49">
        <f>資料儲存!E1408</f>
        <v>0</v>
      </c>
      <c r="AW112" s="49">
        <f>資料儲存!F1408</f>
        <v>0</v>
      </c>
      <c r="AX112" s="49">
        <f>資料儲存!G1408</f>
        <v>0</v>
      </c>
      <c r="AY112" s="49">
        <f>資料儲存!H1408</f>
        <v>0</v>
      </c>
      <c r="AZ112" s="49">
        <f>資料儲存!I1408</f>
        <v>0</v>
      </c>
      <c r="BA112" s="49">
        <f>資料儲存!J1408</f>
        <v>0</v>
      </c>
    </row>
    <row r="113" spans="1:53" ht="16" thickBot="1">
      <c r="A113" s="48">
        <v>28</v>
      </c>
      <c r="B113" s="49">
        <f>資料儲存!D809</f>
        <v>0</v>
      </c>
      <c r="C113" s="49">
        <f>資料儲存!E809</f>
        <v>0</v>
      </c>
      <c r="D113" s="49">
        <f>資料儲存!F809</f>
        <v>0</v>
      </c>
      <c r="E113" s="49">
        <f>資料儲存!G809</f>
        <v>0</v>
      </c>
      <c r="F113" s="49">
        <f>資料儲存!H809</f>
        <v>0</v>
      </c>
      <c r="G113" s="49">
        <f>資料儲存!I809</f>
        <v>0</v>
      </c>
      <c r="H113" s="49">
        <f>資料儲存!J809</f>
        <v>0</v>
      </c>
      <c r="I113" s="45"/>
      <c r="J113" s="48">
        <v>28</v>
      </c>
      <c r="K113" s="49">
        <f>資料儲存!D929</f>
        <v>0</v>
      </c>
      <c r="L113" s="49">
        <f>資料儲存!E929</f>
        <v>0</v>
      </c>
      <c r="M113" s="49">
        <f>資料儲存!F929</f>
        <v>0</v>
      </c>
      <c r="N113" s="49">
        <f>資料儲存!G929</f>
        <v>0</v>
      </c>
      <c r="O113" s="49">
        <f>資料儲存!H929</f>
        <v>0</v>
      </c>
      <c r="P113" s="49">
        <f>資料儲存!I929</f>
        <v>0</v>
      </c>
      <c r="Q113" s="49">
        <f>資料儲存!J929</f>
        <v>0</v>
      </c>
      <c r="R113" s="45"/>
      <c r="S113" s="48">
        <v>28</v>
      </c>
      <c r="T113" s="49">
        <f>資料儲存!D1049</f>
        <v>0</v>
      </c>
      <c r="U113" s="49">
        <f>資料儲存!E1049</f>
        <v>0</v>
      </c>
      <c r="V113" s="49">
        <f>資料儲存!F1049</f>
        <v>0</v>
      </c>
      <c r="W113" s="49">
        <f>資料儲存!G1049</f>
        <v>0</v>
      </c>
      <c r="X113" s="49">
        <f>資料儲存!H1049</f>
        <v>0</v>
      </c>
      <c r="Y113" s="49">
        <f>資料儲存!I1049</f>
        <v>0</v>
      </c>
      <c r="Z113" s="49">
        <f>資料儲存!J1049</f>
        <v>0</v>
      </c>
      <c r="AA113" s="45"/>
      <c r="AB113" s="48">
        <v>28</v>
      </c>
      <c r="AC113" s="49">
        <f>資料儲存!D1169</f>
        <v>0</v>
      </c>
      <c r="AD113" s="49">
        <f>資料儲存!E1169</f>
        <v>0</v>
      </c>
      <c r="AE113" s="49">
        <f>資料儲存!F1169</f>
        <v>0</v>
      </c>
      <c r="AF113" s="49">
        <f>資料儲存!G1169</f>
        <v>0</v>
      </c>
      <c r="AG113" s="49">
        <f>資料儲存!H1169</f>
        <v>0</v>
      </c>
      <c r="AH113" s="49">
        <f>資料儲存!I1169</f>
        <v>0</v>
      </c>
      <c r="AI113" s="49">
        <f>資料儲存!J1169</f>
        <v>0</v>
      </c>
      <c r="AJ113" s="13"/>
      <c r="AK113" s="48">
        <v>28</v>
      </c>
      <c r="AL113" s="49">
        <f>資料儲存!D1289</f>
        <v>0</v>
      </c>
      <c r="AM113" s="49">
        <f>資料儲存!E1289</f>
        <v>0</v>
      </c>
      <c r="AN113" s="49">
        <f>資料儲存!F1289</f>
        <v>0</v>
      </c>
      <c r="AO113" s="49">
        <f>資料儲存!G1289</f>
        <v>0</v>
      </c>
      <c r="AP113" s="49">
        <f>資料儲存!H1289</f>
        <v>0</v>
      </c>
      <c r="AQ113" s="49">
        <f>資料儲存!I1289</f>
        <v>0</v>
      </c>
      <c r="AR113" s="49">
        <f>資料儲存!J1289</f>
        <v>0</v>
      </c>
      <c r="AT113" s="48">
        <v>28</v>
      </c>
      <c r="AU113" s="49">
        <f>資料儲存!D1409</f>
        <v>0</v>
      </c>
      <c r="AV113" s="49">
        <f>資料儲存!E1409</f>
        <v>0</v>
      </c>
      <c r="AW113" s="49">
        <f>資料儲存!F1409</f>
        <v>0</v>
      </c>
      <c r="AX113" s="49">
        <f>資料儲存!G1409</f>
        <v>0</v>
      </c>
      <c r="AY113" s="49">
        <f>資料儲存!H1409</f>
        <v>0</v>
      </c>
      <c r="AZ113" s="49">
        <f>資料儲存!I1409</f>
        <v>0</v>
      </c>
      <c r="BA113" s="49">
        <f>資料儲存!J1409</f>
        <v>0</v>
      </c>
    </row>
    <row r="114" spans="1:53" ht="16" thickBot="1">
      <c r="A114" s="48">
        <v>29</v>
      </c>
      <c r="B114" s="49">
        <f>資料儲存!D810</f>
        <v>0</v>
      </c>
      <c r="C114" s="49">
        <f>資料儲存!E810</f>
        <v>0</v>
      </c>
      <c r="D114" s="49">
        <f>資料儲存!F810</f>
        <v>0</v>
      </c>
      <c r="E114" s="49">
        <f>資料儲存!G810</f>
        <v>0</v>
      </c>
      <c r="F114" s="49">
        <f>資料儲存!H810</f>
        <v>0</v>
      </c>
      <c r="G114" s="49">
        <f>資料儲存!I810</f>
        <v>0</v>
      </c>
      <c r="H114" s="49">
        <f>資料儲存!J810</f>
        <v>0</v>
      </c>
      <c r="I114" s="45"/>
      <c r="J114" s="48">
        <v>29</v>
      </c>
      <c r="K114" s="49">
        <f>資料儲存!D930</f>
        <v>0</v>
      </c>
      <c r="L114" s="49">
        <f>資料儲存!E930</f>
        <v>0</v>
      </c>
      <c r="M114" s="49">
        <f>資料儲存!F930</f>
        <v>0</v>
      </c>
      <c r="N114" s="49">
        <f>資料儲存!G930</f>
        <v>0</v>
      </c>
      <c r="O114" s="49">
        <f>資料儲存!H930</f>
        <v>0</v>
      </c>
      <c r="P114" s="49">
        <f>資料儲存!I930</f>
        <v>0</v>
      </c>
      <c r="Q114" s="49">
        <f>資料儲存!J930</f>
        <v>0</v>
      </c>
      <c r="R114" s="45"/>
      <c r="S114" s="48">
        <v>29</v>
      </c>
      <c r="T114" s="49">
        <f>資料儲存!D1050</f>
        <v>0</v>
      </c>
      <c r="U114" s="49">
        <f>資料儲存!E1050</f>
        <v>0</v>
      </c>
      <c r="V114" s="49">
        <f>資料儲存!F1050</f>
        <v>0</v>
      </c>
      <c r="W114" s="49">
        <f>資料儲存!G1050</f>
        <v>0</v>
      </c>
      <c r="X114" s="49">
        <f>資料儲存!H1050</f>
        <v>0</v>
      </c>
      <c r="Y114" s="49">
        <f>資料儲存!I1050</f>
        <v>0</v>
      </c>
      <c r="Z114" s="49">
        <f>資料儲存!J1050</f>
        <v>0</v>
      </c>
      <c r="AA114" s="45"/>
      <c r="AB114" s="48">
        <v>29</v>
      </c>
      <c r="AC114" s="49">
        <f>資料儲存!D1170</f>
        <v>0</v>
      </c>
      <c r="AD114" s="49">
        <f>資料儲存!E1170</f>
        <v>0</v>
      </c>
      <c r="AE114" s="49">
        <f>資料儲存!F1170</f>
        <v>0</v>
      </c>
      <c r="AF114" s="49">
        <f>資料儲存!G1170</f>
        <v>0</v>
      </c>
      <c r="AG114" s="49">
        <f>資料儲存!H1170</f>
        <v>0</v>
      </c>
      <c r="AH114" s="49">
        <f>資料儲存!I1170</f>
        <v>0</v>
      </c>
      <c r="AI114" s="49">
        <f>資料儲存!J1170</f>
        <v>0</v>
      </c>
      <c r="AJ114" s="13"/>
      <c r="AK114" s="48">
        <v>29</v>
      </c>
      <c r="AL114" s="49">
        <f>資料儲存!D1290</f>
        <v>0</v>
      </c>
      <c r="AM114" s="49">
        <f>資料儲存!E1290</f>
        <v>0</v>
      </c>
      <c r="AN114" s="49">
        <f>資料儲存!F1290</f>
        <v>0</v>
      </c>
      <c r="AO114" s="49">
        <f>資料儲存!G1290</f>
        <v>0</v>
      </c>
      <c r="AP114" s="49">
        <f>資料儲存!H1290</f>
        <v>0</v>
      </c>
      <c r="AQ114" s="49">
        <f>資料儲存!I1290</f>
        <v>0</v>
      </c>
      <c r="AR114" s="49">
        <f>資料儲存!J1290</f>
        <v>0</v>
      </c>
      <c r="AT114" s="48">
        <v>29</v>
      </c>
      <c r="AU114" s="49">
        <f>資料儲存!D1410</f>
        <v>0</v>
      </c>
      <c r="AV114" s="49">
        <f>資料儲存!E1410</f>
        <v>0</v>
      </c>
      <c r="AW114" s="49">
        <f>資料儲存!F1410</f>
        <v>0</v>
      </c>
      <c r="AX114" s="49">
        <f>資料儲存!G1410</f>
        <v>0</v>
      </c>
      <c r="AY114" s="49">
        <f>資料儲存!H1410</f>
        <v>0</v>
      </c>
      <c r="AZ114" s="49">
        <f>資料儲存!I1410</f>
        <v>0</v>
      </c>
      <c r="BA114" s="49">
        <f>資料儲存!J1410</f>
        <v>0</v>
      </c>
    </row>
    <row r="115" spans="1:53" ht="16" thickBot="1">
      <c r="A115" s="48">
        <v>30</v>
      </c>
      <c r="B115" s="49">
        <f>資料儲存!D811</f>
        <v>0</v>
      </c>
      <c r="C115" s="49">
        <f>資料儲存!E811</f>
        <v>0</v>
      </c>
      <c r="D115" s="49">
        <f>資料儲存!F811</f>
        <v>0</v>
      </c>
      <c r="E115" s="49">
        <f>資料儲存!G811</f>
        <v>0</v>
      </c>
      <c r="F115" s="49">
        <f>資料儲存!H811</f>
        <v>0</v>
      </c>
      <c r="G115" s="49">
        <f>資料儲存!I811</f>
        <v>0</v>
      </c>
      <c r="H115" s="49">
        <f>資料儲存!J811</f>
        <v>0</v>
      </c>
      <c r="I115" s="45"/>
      <c r="J115" s="48">
        <v>30</v>
      </c>
      <c r="K115" s="49">
        <f>資料儲存!D931</f>
        <v>0</v>
      </c>
      <c r="L115" s="49">
        <f>資料儲存!E931</f>
        <v>0</v>
      </c>
      <c r="M115" s="49">
        <f>資料儲存!F931</f>
        <v>0</v>
      </c>
      <c r="N115" s="49">
        <f>資料儲存!G931</f>
        <v>0</v>
      </c>
      <c r="O115" s="49">
        <f>資料儲存!H931</f>
        <v>0</v>
      </c>
      <c r="P115" s="49">
        <f>資料儲存!I931</f>
        <v>0</v>
      </c>
      <c r="Q115" s="49">
        <f>資料儲存!J931</f>
        <v>0</v>
      </c>
      <c r="R115" s="45"/>
      <c r="S115" s="48">
        <v>30</v>
      </c>
      <c r="T115" s="49">
        <f>資料儲存!D1051</f>
        <v>0</v>
      </c>
      <c r="U115" s="49">
        <f>資料儲存!E1051</f>
        <v>0</v>
      </c>
      <c r="V115" s="49">
        <f>資料儲存!F1051</f>
        <v>0</v>
      </c>
      <c r="W115" s="49">
        <f>資料儲存!G1051</f>
        <v>0</v>
      </c>
      <c r="X115" s="49">
        <f>資料儲存!H1051</f>
        <v>0</v>
      </c>
      <c r="Y115" s="49">
        <f>資料儲存!I1051</f>
        <v>0</v>
      </c>
      <c r="Z115" s="49">
        <f>資料儲存!J1051</f>
        <v>0</v>
      </c>
      <c r="AA115" s="45"/>
      <c r="AB115" s="48">
        <v>30</v>
      </c>
      <c r="AC115" s="49">
        <f>資料儲存!D1171</f>
        <v>0</v>
      </c>
      <c r="AD115" s="49">
        <f>資料儲存!E1171</f>
        <v>0</v>
      </c>
      <c r="AE115" s="49">
        <f>資料儲存!F1171</f>
        <v>0</v>
      </c>
      <c r="AF115" s="49">
        <f>資料儲存!G1171</f>
        <v>0</v>
      </c>
      <c r="AG115" s="49">
        <f>資料儲存!H1171</f>
        <v>0</v>
      </c>
      <c r="AH115" s="49">
        <f>資料儲存!I1171</f>
        <v>0</v>
      </c>
      <c r="AI115" s="49">
        <f>資料儲存!J1171</f>
        <v>0</v>
      </c>
      <c r="AJ115" s="13"/>
      <c r="AK115" s="48">
        <v>30</v>
      </c>
      <c r="AL115" s="49">
        <f>資料儲存!D1291</f>
        <v>0</v>
      </c>
      <c r="AM115" s="49">
        <f>資料儲存!E1291</f>
        <v>0</v>
      </c>
      <c r="AN115" s="49">
        <f>資料儲存!F1291</f>
        <v>0</v>
      </c>
      <c r="AO115" s="49">
        <f>資料儲存!G1291</f>
        <v>0</v>
      </c>
      <c r="AP115" s="49">
        <f>資料儲存!H1291</f>
        <v>0</v>
      </c>
      <c r="AQ115" s="49">
        <f>資料儲存!I1291</f>
        <v>0</v>
      </c>
      <c r="AR115" s="49">
        <f>資料儲存!J1291</f>
        <v>0</v>
      </c>
      <c r="AT115" s="48">
        <v>30</v>
      </c>
      <c r="AU115" s="49">
        <f>資料儲存!D1411</f>
        <v>0</v>
      </c>
      <c r="AV115" s="49">
        <f>資料儲存!E1411</f>
        <v>0</v>
      </c>
      <c r="AW115" s="49">
        <f>資料儲存!F1411</f>
        <v>0</v>
      </c>
      <c r="AX115" s="49">
        <f>資料儲存!G1411</f>
        <v>0</v>
      </c>
      <c r="AY115" s="49">
        <f>資料儲存!H1411</f>
        <v>0</v>
      </c>
      <c r="AZ115" s="49">
        <f>資料儲存!I1411</f>
        <v>0</v>
      </c>
      <c r="BA115" s="49">
        <f>資料儲存!J1411</f>
        <v>0</v>
      </c>
    </row>
    <row r="116" spans="1:53" ht="17.25" customHeight="1" thickBot="1">
      <c r="A116" s="50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0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0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0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13"/>
      <c r="AK116" s="50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  <c r="AT116" s="50" t="s">
        <v>56</v>
      </c>
      <c r="AU116" s="49">
        <f>SUM(AU101:AX115)</f>
        <v>0</v>
      </c>
      <c r="AV116" s="47"/>
      <c r="AW116" s="47"/>
      <c r="AX116" s="47"/>
      <c r="AY116" s="49">
        <f>AY115</f>
        <v>0</v>
      </c>
      <c r="AZ116" s="49">
        <f>AZ115</f>
        <v>0</v>
      </c>
      <c r="BA116" s="49">
        <f>BA115</f>
        <v>0</v>
      </c>
    </row>
    <row r="117" spans="1:53" ht="18.5" thickBot="1">
      <c r="A117" s="248" t="s">
        <v>67</v>
      </c>
      <c r="B117" s="249"/>
      <c r="C117" s="249"/>
      <c r="D117" s="249"/>
      <c r="E117" s="249"/>
      <c r="F117" s="249"/>
      <c r="G117" s="249"/>
      <c r="H117" s="250"/>
      <c r="I117" s="13"/>
      <c r="J117" s="248" t="s">
        <v>67</v>
      </c>
      <c r="K117" s="249"/>
      <c r="L117" s="249"/>
      <c r="M117" s="249"/>
      <c r="N117" s="249"/>
      <c r="O117" s="249"/>
      <c r="P117" s="249"/>
      <c r="Q117" s="250"/>
      <c r="R117" s="13"/>
      <c r="S117" s="248" t="s">
        <v>67</v>
      </c>
      <c r="T117" s="249"/>
      <c r="U117" s="249"/>
      <c r="V117" s="249"/>
      <c r="W117" s="249"/>
      <c r="X117" s="249"/>
      <c r="Y117" s="249"/>
      <c r="Z117" s="250"/>
      <c r="AA117" s="13"/>
      <c r="AB117" s="248" t="s">
        <v>67</v>
      </c>
      <c r="AC117" s="249"/>
      <c r="AD117" s="249"/>
      <c r="AE117" s="249"/>
      <c r="AF117" s="249"/>
      <c r="AG117" s="249"/>
      <c r="AH117" s="249"/>
      <c r="AI117" s="250"/>
      <c r="AJ117" s="13"/>
      <c r="AK117" s="248" t="s">
        <v>67</v>
      </c>
      <c r="AL117" s="249"/>
      <c r="AM117" s="249"/>
      <c r="AN117" s="249"/>
      <c r="AO117" s="249"/>
      <c r="AP117" s="249"/>
      <c r="AQ117" s="249"/>
      <c r="AR117" s="250"/>
      <c r="AT117" s="248" t="s">
        <v>67</v>
      </c>
      <c r="AU117" s="249"/>
      <c r="AV117" s="249"/>
      <c r="AW117" s="249"/>
      <c r="AX117" s="249"/>
      <c r="AY117" s="249"/>
      <c r="AZ117" s="249"/>
      <c r="BA117" s="250"/>
    </row>
    <row r="118" spans="1:53" ht="17.25" customHeight="1" thickBot="1">
      <c r="A118" s="31" t="s">
        <v>2</v>
      </c>
      <c r="B118" s="32" t="s">
        <v>46</v>
      </c>
      <c r="C118" s="33"/>
      <c r="D118" s="33"/>
      <c r="E118" s="34"/>
      <c r="F118" s="32" t="s">
        <v>47</v>
      </c>
      <c r="G118" s="33"/>
      <c r="H118" s="34"/>
      <c r="I118" s="35"/>
      <c r="J118" s="31" t="s">
        <v>2</v>
      </c>
      <c r="K118" s="32" t="s">
        <v>46</v>
      </c>
      <c r="L118" s="33"/>
      <c r="M118" s="33"/>
      <c r="N118" s="34"/>
      <c r="O118" s="32" t="s">
        <v>47</v>
      </c>
      <c r="P118" s="33"/>
      <c r="Q118" s="34"/>
      <c r="R118" s="35"/>
      <c r="S118" s="31" t="s">
        <v>2</v>
      </c>
      <c r="T118" s="32" t="s">
        <v>46</v>
      </c>
      <c r="U118" s="33"/>
      <c r="V118" s="33"/>
      <c r="W118" s="34"/>
      <c r="X118" s="32" t="s">
        <v>47</v>
      </c>
      <c r="Y118" s="33"/>
      <c r="Z118" s="34"/>
      <c r="AA118" s="35"/>
      <c r="AB118" s="31" t="s">
        <v>2</v>
      </c>
      <c r="AC118" s="32" t="s">
        <v>46</v>
      </c>
      <c r="AD118" s="33"/>
      <c r="AE118" s="33"/>
      <c r="AF118" s="34"/>
      <c r="AG118" s="32" t="s">
        <v>47</v>
      </c>
      <c r="AH118" s="33"/>
      <c r="AI118" s="34"/>
      <c r="AJ118" s="13"/>
      <c r="AK118" s="31" t="s">
        <v>2</v>
      </c>
      <c r="AL118" s="32" t="s">
        <v>46</v>
      </c>
      <c r="AM118" s="33"/>
      <c r="AN118" s="33"/>
      <c r="AO118" s="34"/>
      <c r="AP118" s="32" t="s">
        <v>47</v>
      </c>
      <c r="AQ118" s="33"/>
      <c r="AR118" s="34"/>
      <c r="AT118" s="31" t="s">
        <v>2</v>
      </c>
      <c r="AU118" s="32" t="s">
        <v>46</v>
      </c>
      <c r="AV118" s="33"/>
      <c r="AW118" s="33"/>
      <c r="AX118" s="34"/>
      <c r="AY118" s="32" t="s">
        <v>47</v>
      </c>
      <c r="AZ118" s="33"/>
      <c r="BA118" s="34"/>
    </row>
    <row r="119" spans="1:53" ht="16" thickBot="1">
      <c r="A119" s="36" t="s">
        <v>68</v>
      </c>
      <c r="B119" s="37" t="s">
        <v>49</v>
      </c>
      <c r="C119" s="37" t="s">
        <v>50</v>
      </c>
      <c r="D119" s="37" t="s">
        <v>51</v>
      </c>
      <c r="E119" s="37" t="s">
        <v>52</v>
      </c>
      <c r="F119" s="37" t="s">
        <v>53</v>
      </c>
      <c r="G119" s="37" t="s">
        <v>54</v>
      </c>
      <c r="H119" s="37" t="s">
        <v>55</v>
      </c>
      <c r="I119" s="35"/>
      <c r="J119" s="36" t="s">
        <v>68</v>
      </c>
      <c r="K119" s="37" t="s">
        <v>49</v>
      </c>
      <c r="L119" s="37" t="s">
        <v>50</v>
      </c>
      <c r="M119" s="37" t="s">
        <v>51</v>
      </c>
      <c r="N119" s="37" t="s">
        <v>52</v>
      </c>
      <c r="O119" s="37" t="s">
        <v>53</v>
      </c>
      <c r="P119" s="37" t="s">
        <v>54</v>
      </c>
      <c r="Q119" s="37" t="s">
        <v>55</v>
      </c>
      <c r="R119" s="35"/>
      <c r="S119" s="36" t="s">
        <v>68</v>
      </c>
      <c r="T119" s="37" t="s">
        <v>49</v>
      </c>
      <c r="U119" s="37" t="s">
        <v>50</v>
      </c>
      <c r="V119" s="37" t="s">
        <v>51</v>
      </c>
      <c r="W119" s="37" t="s">
        <v>52</v>
      </c>
      <c r="X119" s="37" t="s">
        <v>53</v>
      </c>
      <c r="Y119" s="37" t="s">
        <v>54</v>
      </c>
      <c r="Z119" s="37" t="s">
        <v>55</v>
      </c>
      <c r="AA119" s="35"/>
      <c r="AB119" s="36" t="s">
        <v>68</v>
      </c>
      <c r="AC119" s="37" t="s">
        <v>49</v>
      </c>
      <c r="AD119" s="37" t="s">
        <v>50</v>
      </c>
      <c r="AE119" s="37" t="s">
        <v>51</v>
      </c>
      <c r="AF119" s="37" t="s">
        <v>52</v>
      </c>
      <c r="AG119" s="37" t="s">
        <v>53</v>
      </c>
      <c r="AH119" s="37" t="s">
        <v>54</v>
      </c>
      <c r="AI119" s="37" t="s">
        <v>55</v>
      </c>
      <c r="AJ119" s="13"/>
      <c r="AK119" s="36" t="s">
        <v>68</v>
      </c>
      <c r="AL119" s="37" t="s">
        <v>49</v>
      </c>
      <c r="AM119" s="37" t="s">
        <v>50</v>
      </c>
      <c r="AN119" s="37" t="s">
        <v>51</v>
      </c>
      <c r="AO119" s="37" t="s">
        <v>52</v>
      </c>
      <c r="AP119" s="37" t="s">
        <v>53</v>
      </c>
      <c r="AQ119" s="37" t="s">
        <v>54</v>
      </c>
      <c r="AR119" s="37" t="s">
        <v>55</v>
      </c>
      <c r="AT119" s="36" t="s">
        <v>68</v>
      </c>
      <c r="AU119" s="37" t="s">
        <v>49</v>
      </c>
      <c r="AV119" s="37" t="s">
        <v>50</v>
      </c>
      <c r="AW119" s="37" t="s">
        <v>51</v>
      </c>
      <c r="AX119" s="37" t="s">
        <v>52</v>
      </c>
      <c r="AY119" s="37" t="s">
        <v>53</v>
      </c>
      <c r="AZ119" s="37" t="s">
        <v>54</v>
      </c>
      <c r="BA119" s="37" t="s">
        <v>55</v>
      </c>
    </row>
    <row r="120" spans="1:53" ht="16" thickBot="1">
      <c r="A120" s="38">
        <v>31</v>
      </c>
      <c r="B120" s="39">
        <f>資料儲存!D812</f>
        <v>0</v>
      </c>
      <c r="C120" s="39">
        <f>資料儲存!E812</f>
        <v>0</v>
      </c>
      <c r="D120" s="39">
        <f>資料儲存!F812</f>
        <v>0</v>
      </c>
      <c r="E120" s="39">
        <f>資料儲存!G812</f>
        <v>0</v>
      </c>
      <c r="F120" s="39">
        <f>資料儲存!H812</f>
        <v>0</v>
      </c>
      <c r="G120" s="39">
        <f>資料儲存!I812</f>
        <v>0</v>
      </c>
      <c r="H120" s="39">
        <f>資料儲存!J812</f>
        <v>0</v>
      </c>
      <c r="I120" s="35"/>
      <c r="J120" s="38">
        <v>31</v>
      </c>
      <c r="K120" s="39">
        <f>資料儲存!D932</f>
        <v>0</v>
      </c>
      <c r="L120" s="39">
        <f>資料儲存!E932</f>
        <v>0</v>
      </c>
      <c r="M120" s="39">
        <f>資料儲存!F932</f>
        <v>0</v>
      </c>
      <c r="N120" s="39">
        <f>資料儲存!G932</f>
        <v>0</v>
      </c>
      <c r="O120" s="39">
        <f>資料儲存!H932</f>
        <v>0</v>
      </c>
      <c r="P120" s="39">
        <f>資料儲存!I932</f>
        <v>0</v>
      </c>
      <c r="Q120" s="39">
        <f>資料儲存!J932</f>
        <v>0</v>
      </c>
      <c r="R120" s="35"/>
      <c r="S120" s="38">
        <v>31</v>
      </c>
      <c r="T120" s="39">
        <f>資料儲存!D1052</f>
        <v>0</v>
      </c>
      <c r="U120" s="39">
        <f>資料儲存!E1052</f>
        <v>0</v>
      </c>
      <c r="V120" s="39">
        <f>資料儲存!F1052</f>
        <v>0</v>
      </c>
      <c r="W120" s="39">
        <f>資料儲存!G1052</f>
        <v>0</v>
      </c>
      <c r="X120" s="39">
        <f>資料儲存!H1052</f>
        <v>0</v>
      </c>
      <c r="Y120" s="39">
        <f>資料儲存!I1052</f>
        <v>0</v>
      </c>
      <c r="Z120" s="39">
        <f>資料儲存!J1052</f>
        <v>0</v>
      </c>
      <c r="AA120" s="35"/>
      <c r="AB120" s="38">
        <v>31</v>
      </c>
      <c r="AC120" s="39">
        <f>資料儲存!D1172</f>
        <v>0</v>
      </c>
      <c r="AD120" s="39">
        <f>資料儲存!E1172</f>
        <v>0</v>
      </c>
      <c r="AE120" s="39">
        <f>資料儲存!F1172</f>
        <v>0</v>
      </c>
      <c r="AF120" s="39">
        <f>資料儲存!G1172</f>
        <v>0</v>
      </c>
      <c r="AG120" s="39">
        <f>資料儲存!H1172</f>
        <v>0</v>
      </c>
      <c r="AH120" s="39">
        <f>資料儲存!I1172</f>
        <v>0</v>
      </c>
      <c r="AI120" s="39">
        <f>資料儲存!J1172</f>
        <v>0</v>
      </c>
      <c r="AJ120" s="13"/>
      <c r="AK120" s="38">
        <v>31</v>
      </c>
      <c r="AL120" s="39">
        <f>資料儲存!D1292</f>
        <v>0</v>
      </c>
      <c r="AM120" s="39">
        <f>資料儲存!E1292</f>
        <v>0</v>
      </c>
      <c r="AN120" s="39">
        <f>資料儲存!F1292</f>
        <v>0</v>
      </c>
      <c r="AO120" s="39">
        <f>資料儲存!G1292</f>
        <v>0</v>
      </c>
      <c r="AP120" s="39">
        <f>資料儲存!H1292</f>
        <v>0</v>
      </c>
      <c r="AQ120" s="39">
        <f>資料儲存!I1292</f>
        <v>0</v>
      </c>
      <c r="AR120" s="39">
        <f>資料儲存!J1292</f>
        <v>0</v>
      </c>
      <c r="AT120" s="38">
        <v>31</v>
      </c>
      <c r="AU120" s="39">
        <f>資料儲存!D1412</f>
        <v>0</v>
      </c>
      <c r="AV120" s="39">
        <f>資料儲存!E1412</f>
        <v>0</v>
      </c>
      <c r="AW120" s="39">
        <f>資料儲存!F1412</f>
        <v>0</v>
      </c>
      <c r="AX120" s="39">
        <f>資料儲存!G1412</f>
        <v>0</v>
      </c>
      <c r="AY120" s="39">
        <f>資料儲存!H1412</f>
        <v>0</v>
      </c>
      <c r="AZ120" s="39">
        <f>資料儲存!I1412</f>
        <v>0</v>
      </c>
      <c r="BA120" s="39">
        <f>資料儲存!J1412</f>
        <v>0</v>
      </c>
    </row>
    <row r="121" spans="1:53" ht="16" thickBot="1">
      <c r="A121" s="38">
        <v>32</v>
      </c>
      <c r="B121" s="39">
        <f>資料儲存!D813</f>
        <v>0</v>
      </c>
      <c r="C121" s="39">
        <f>資料儲存!E813</f>
        <v>0</v>
      </c>
      <c r="D121" s="39">
        <f>資料儲存!F813</f>
        <v>0</v>
      </c>
      <c r="E121" s="39">
        <f>資料儲存!G813</f>
        <v>0</v>
      </c>
      <c r="F121" s="39">
        <f>資料儲存!H813</f>
        <v>0</v>
      </c>
      <c r="G121" s="39">
        <f>資料儲存!I813</f>
        <v>0</v>
      </c>
      <c r="H121" s="39">
        <f>資料儲存!J813</f>
        <v>0</v>
      </c>
      <c r="I121" s="35"/>
      <c r="J121" s="38">
        <v>32</v>
      </c>
      <c r="K121" s="39">
        <f>資料儲存!D933</f>
        <v>0</v>
      </c>
      <c r="L121" s="39">
        <f>資料儲存!E933</f>
        <v>0</v>
      </c>
      <c r="M121" s="39">
        <f>資料儲存!F933</f>
        <v>0</v>
      </c>
      <c r="N121" s="39">
        <f>資料儲存!G933</f>
        <v>0</v>
      </c>
      <c r="O121" s="39">
        <f>資料儲存!H933</f>
        <v>0</v>
      </c>
      <c r="P121" s="39">
        <f>資料儲存!I933</f>
        <v>0</v>
      </c>
      <c r="Q121" s="39">
        <f>資料儲存!J933</f>
        <v>0</v>
      </c>
      <c r="R121" s="35"/>
      <c r="S121" s="38">
        <v>32</v>
      </c>
      <c r="T121" s="39">
        <f>資料儲存!D1053</f>
        <v>0</v>
      </c>
      <c r="U121" s="39">
        <f>資料儲存!E1053</f>
        <v>0</v>
      </c>
      <c r="V121" s="39">
        <f>資料儲存!F1053</f>
        <v>0</v>
      </c>
      <c r="W121" s="39">
        <f>資料儲存!G1053</f>
        <v>0</v>
      </c>
      <c r="X121" s="39">
        <f>資料儲存!H1053</f>
        <v>0</v>
      </c>
      <c r="Y121" s="39">
        <f>資料儲存!I1053</f>
        <v>0</v>
      </c>
      <c r="Z121" s="39">
        <f>資料儲存!J1053</f>
        <v>0</v>
      </c>
      <c r="AA121" s="35"/>
      <c r="AB121" s="38">
        <v>32</v>
      </c>
      <c r="AC121" s="39">
        <f>資料儲存!D1173</f>
        <v>0</v>
      </c>
      <c r="AD121" s="39">
        <f>資料儲存!E1173</f>
        <v>0</v>
      </c>
      <c r="AE121" s="39">
        <f>資料儲存!F1173</f>
        <v>0</v>
      </c>
      <c r="AF121" s="39">
        <f>資料儲存!G1173</f>
        <v>0</v>
      </c>
      <c r="AG121" s="39">
        <f>資料儲存!H1173</f>
        <v>0</v>
      </c>
      <c r="AH121" s="39">
        <f>資料儲存!I1173</f>
        <v>0</v>
      </c>
      <c r="AI121" s="39">
        <f>資料儲存!J1173</f>
        <v>0</v>
      </c>
      <c r="AJ121" s="13"/>
      <c r="AK121" s="38">
        <v>32</v>
      </c>
      <c r="AL121" s="39">
        <f>資料儲存!D1293</f>
        <v>0</v>
      </c>
      <c r="AM121" s="39">
        <f>資料儲存!E1293</f>
        <v>0</v>
      </c>
      <c r="AN121" s="39">
        <f>資料儲存!F1293</f>
        <v>0</v>
      </c>
      <c r="AO121" s="39">
        <f>資料儲存!G1293</f>
        <v>0</v>
      </c>
      <c r="AP121" s="39">
        <f>資料儲存!H1293</f>
        <v>0</v>
      </c>
      <c r="AQ121" s="39">
        <f>資料儲存!I1293</f>
        <v>0</v>
      </c>
      <c r="AR121" s="39">
        <f>資料儲存!J1293</f>
        <v>0</v>
      </c>
      <c r="AT121" s="38">
        <v>32</v>
      </c>
      <c r="AU121" s="39">
        <f>資料儲存!D1413</f>
        <v>0</v>
      </c>
      <c r="AV121" s="39">
        <f>資料儲存!E1413</f>
        <v>0</v>
      </c>
      <c r="AW121" s="39">
        <f>資料儲存!F1413</f>
        <v>0</v>
      </c>
      <c r="AX121" s="39">
        <f>資料儲存!G1413</f>
        <v>0</v>
      </c>
      <c r="AY121" s="39">
        <f>資料儲存!H1413</f>
        <v>0</v>
      </c>
      <c r="AZ121" s="39">
        <f>資料儲存!I1413</f>
        <v>0</v>
      </c>
      <c r="BA121" s="39">
        <f>資料儲存!J1413</f>
        <v>0</v>
      </c>
    </row>
    <row r="122" spans="1:53" ht="16" thickBot="1">
      <c r="A122" s="38">
        <v>33</v>
      </c>
      <c r="B122" s="39">
        <f>資料儲存!D814</f>
        <v>0</v>
      </c>
      <c r="C122" s="39">
        <f>資料儲存!E814</f>
        <v>0</v>
      </c>
      <c r="D122" s="39">
        <f>資料儲存!F814</f>
        <v>0</v>
      </c>
      <c r="E122" s="39">
        <f>資料儲存!G814</f>
        <v>0</v>
      </c>
      <c r="F122" s="39">
        <f>資料儲存!H814</f>
        <v>0</v>
      </c>
      <c r="G122" s="39">
        <f>資料儲存!I814</f>
        <v>0</v>
      </c>
      <c r="H122" s="39">
        <f>資料儲存!J814</f>
        <v>0</v>
      </c>
      <c r="I122" s="35"/>
      <c r="J122" s="38">
        <v>33</v>
      </c>
      <c r="K122" s="39">
        <f>資料儲存!D934</f>
        <v>0</v>
      </c>
      <c r="L122" s="39">
        <f>資料儲存!E934</f>
        <v>0</v>
      </c>
      <c r="M122" s="39">
        <f>資料儲存!F934</f>
        <v>0</v>
      </c>
      <c r="N122" s="39">
        <f>資料儲存!G934</f>
        <v>0</v>
      </c>
      <c r="O122" s="39">
        <f>資料儲存!H934</f>
        <v>0</v>
      </c>
      <c r="P122" s="39">
        <f>資料儲存!I934</f>
        <v>0</v>
      </c>
      <c r="Q122" s="39">
        <f>資料儲存!J934</f>
        <v>0</v>
      </c>
      <c r="R122" s="35"/>
      <c r="S122" s="38">
        <v>33</v>
      </c>
      <c r="T122" s="39">
        <f>資料儲存!D1054</f>
        <v>0</v>
      </c>
      <c r="U122" s="39">
        <f>資料儲存!E1054</f>
        <v>0</v>
      </c>
      <c r="V122" s="39">
        <f>資料儲存!F1054</f>
        <v>0</v>
      </c>
      <c r="W122" s="39">
        <f>資料儲存!G1054</f>
        <v>0</v>
      </c>
      <c r="X122" s="39">
        <f>資料儲存!H1054</f>
        <v>0</v>
      </c>
      <c r="Y122" s="39">
        <f>資料儲存!I1054</f>
        <v>0</v>
      </c>
      <c r="Z122" s="39">
        <f>資料儲存!J1054</f>
        <v>0</v>
      </c>
      <c r="AA122" s="35"/>
      <c r="AB122" s="38">
        <v>33</v>
      </c>
      <c r="AC122" s="39">
        <f>資料儲存!D1174</f>
        <v>0</v>
      </c>
      <c r="AD122" s="39">
        <f>資料儲存!E1174</f>
        <v>0</v>
      </c>
      <c r="AE122" s="39">
        <f>資料儲存!F1174</f>
        <v>0</v>
      </c>
      <c r="AF122" s="39">
        <f>資料儲存!G1174</f>
        <v>0</v>
      </c>
      <c r="AG122" s="39">
        <f>資料儲存!H1174</f>
        <v>0</v>
      </c>
      <c r="AH122" s="39">
        <f>資料儲存!I1174</f>
        <v>0</v>
      </c>
      <c r="AI122" s="39">
        <f>資料儲存!J1174</f>
        <v>0</v>
      </c>
      <c r="AJ122" s="13"/>
      <c r="AK122" s="38">
        <v>33</v>
      </c>
      <c r="AL122" s="39">
        <f>資料儲存!D1294</f>
        <v>0</v>
      </c>
      <c r="AM122" s="39">
        <f>資料儲存!E1294</f>
        <v>0</v>
      </c>
      <c r="AN122" s="39">
        <f>資料儲存!F1294</f>
        <v>0</v>
      </c>
      <c r="AO122" s="39">
        <f>資料儲存!G1294</f>
        <v>0</v>
      </c>
      <c r="AP122" s="39">
        <f>資料儲存!H1294</f>
        <v>0</v>
      </c>
      <c r="AQ122" s="39">
        <f>資料儲存!I1294</f>
        <v>0</v>
      </c>
      <c r="AR122" s="39">
        <f>資料儲存!J1294</f>
        <v>0</v>
      </c>
      <c r="AT122" s="38">
        <v>33</v>
      </c>
      <c r="AU122" s="39">
        <f>資料儲存!D1414</f>
        <v>0</v>
      </c>
      <c r="AV122" s="39">
        <f>資料儲存!E1414</f>
        <v>0</v>
      </c>
      <c r="AW122" s="39">
        <f>資料儲存!F1414</f>
        <v>0</v>
      </c>
      <c r="AX122" s="39">
        <f>資料儲存!G1414</f>
        <v>0</v>
      </c>
      <c r="AY122" s="39">
        <f>資料儲存!H1414</f>
        <v>0</v>
      </c>
      <c r="AZ122" s="39">
        <f>資料儲存!I1414</f>
        <v>0</v>
      </c>
      <c r="BA122" s="39">
        <f>資料儲存!J1414</f>
        <v>0</v>
      </c>
    </row>
    <row r="123" spans="1:53" ht="16" thickBot="1">
      <c r="A123" s="38">
        <v>34</v>
      </c>
      <c r="B123" s="39">
        <f>資料儲存!D815</f>
        <v>0</v>
      </c>
      <c r="C123" s="39">
        <f>資料儲存!E815</f>
        <v>0</v>
      </c>
      <c r="D123" s="39">
        <f>資料儲存!F815</f>
        <v>0</v>
      </c>
      <c r="E123" s="39">
        <f>資料儲存!G815</f>
        <v>0</v>
      </c>
      <c r="F123" s="39">
        <f>資料儲存!H815</f>
        <v>0</v>
      </c>
      <c r="G123" s="39">
        <f>資料儲存!I815</f>
        <v>0</v>
      </c>
      <c r="H123" s="39">
        <f>資料儲存!J815</f>
        <v>0</v>
      </c>
      <c r="I123" s="35"/>
      <c r="J123" s="38">
        <v>34</v>
      </c>
      <c r="K123" s="39">
        <f>資料儲存!D935</f>
        <v>0</v>
      </c>
      <c r="L123" s="39">
        <f>資料儲存!E935</f>
        <v>0</v>
      </c>
      <c r="M123" s="39">
        <f>資料儲存!F935</f>
        <v>0</v>
      </c>
      <c r="N123" s="39">
        <f>資料儲存!G935</f>
        <v>0</v>
      </c>
      <c r="O123" s="39">
        <f>資料儲存!H935</f>
        <v>0</v>
      </c>
      <c r="P123" s="39">
        <f>資料儲存!I935</f>
        <v>0</v>
      </c>
      <c r="Q123" s="39">
        <f>資料儲存!J935</f>
        <v>0</v>
      </c>
      <c r="R123" s="35"/>
      <c r="S123" s="38">
        <v>34</v>
      </c>
      <c r="T123" s="39">
        <f>資料儲存!D1055</f>
        <v>0</v>
      </c>
      <c r="U123" s="39">
        <f>資料儲存!E1055</f>
        <v>0</v>
      </c>
      <c r="V123" s="39">
        <f>資料儲存!F1055</f>
        <v>0</v>
      </c>
      <c r="W123" s="39">
        <f>資料儲存!G1055</f>
        <v>0</v>
      </c>
      <c r="X123" s="39">
        <f>資料儲存!H1055</f>
        <v>0</v>
      </c>
      <c r="Y123" s="39">
        <f>資料儲存!I1055</f>
        <v>0</v>
      </c>
      <c r="Z123" s="39">
        <f>資料儲存!J1055</f>
        <v>0</v>
      </c>
      <c r="AA123" s="35"/>
      <c r="AB123" s="38">
        <v>34</v>
      </c>
      <c r="AC123" s="39">
        <f>資料儲存!D1175</f>
        <v>0</v>
      </c>
      <c r="AD123" s="39">
        <f>資料儲存!E1175</f>
        <v>0</v>
      </c>
      <c r="AE123" s="39">
        <f>資料儲存!F1175</f>
        <v>0</v>
      </c>
      <c r="AF123" s="39">
        <f>資料儲存!G1175</f>
        <v>0</v>
      </c>
      <c r="AG123" s="39">
        <f>資料儲存!H1175</f>
        <v>0</v>
      </c>
      <c r="AH123" s="39">
        <f>資料儲存!I1175</f>
        <v>0</v>
      </c>
      <c r="AI123" s="39">
        <f>資料儲存!J1175</f>
        <v>0</v>
      </c>
      <c r="AJ123" s="13"/>
      <c r="AK123" s="38">
        <v>34</v>
      </c>
      <c r="AL123" s="39">
        <f>資料儲存!D1295</f>
        <v>0</v>
      </c>
      <c r="AM123" s="39">
        <f>資料儲存!E1295</f>
        <v>0</v>
      </c>
      <c r="AN123" s="39">
        <f>資料儲存!F1295</f>
        <v>0</v>
      </c>
      <c r="AO123" s="39">
        <f>資料儲存!G1295</f>
        <v>0</v>
      </c>
      <c r="AP123" s="39">
        <f>資料儲存!H1295</f>
        <v>0</v>
      </c>
      <c r="AQ123" s="39">
        <f>資料儲存!I1295</f>
        <v>0</v>
      </c>
      <c r="AR123" s="39">
        <f>資料儲存!J1295</f>
        <v>0</v>
      </c>
      <c r="AT123" s="38">
        <v>34</v>
      </c>
      <c r="AU123" s="39">
        <f>資料儲存!D1415</f>
        <v>0</v>
      </c>
      <c r="AV123" s="39">
        <f>資料儲存!E1415</f>
        <v>0</v>
      </c>
      <c r="AW123" s="39">
        <f>資料儲存!F1415</f>
        <v>0</v>
      </c>
      <c r="AX123" s="39">
        <f>資料儲存!G1415</f>
        <v>0</v>
      </c>
      <c r="AY123" s="39">
        <f>資料儲存!H1415</f>
        <v>0</v>
      </c>
      <c r="AZ123" s="39">
        <f>資料儲存!I1415</f>
        <v>0</v>
      </c>
      <c r="BA123" s="39">
        <f>資料儲存!J1415</f>
        <v>0</v>
      </c>
    </row>
    <row r="124" spans="1:53" ht="16" thickBot="1">
      <c r="A124" s="38">
        <v>35</v>
      </c>
      <c r="B124" s="39">
        <f>資料儲存!D816</f>
        <v>0</v>
      </c>
      <c r="C124" s="39">
        <f>資料儲存!E816</f>
        <v>0</v>
      </c>
      <c r="D124" s="39">
        <f>資料儲存!F816</f>
        <v>0</v>
      </c>
      <c r="E124" s="39">
        <f>資料儲存!G816</f>
        <v>0</v>
      </c>
      <c r="F124" s="39">
        <f>資料儲存!H816</f>
        <v>0</v>
      </c>
      <c r="G124" s="39">
        <f>資料儲存!I816</f>
        <v>0</v>
      </c>
      <c r="H124" s="39">
        <f>資料儲存!J816</f>
        <v>0</v>
      </c>
      <c r="I124" s="35"/>
      <c r="J124" s="38">
        <v>35</v>
      </c>
      <c r="K124" s="39">
        <f>資料儲存!D936</f>
        <v>0</v>
      </c>
      <c r="L124" s="39">
        <f>資料儲存!E936</f>
        <v>0</v>
      </c>
      <c r="M124" s="39">
        <f>資料儲存!F936</f>
        <v>0</v>
      </c>
      <c r="N124" s="39">
        <f>資料儲存!G936</f>
        <v>0</v>
      </c>
      <c r="O124" s="39">
        <f>資料儲存!H936</f>
        <v>0</v>
      </c>
      <c r="P124" s="39">
        <f>資料儲存!I936</f>
        <v>0</v>
      </c>
      <c r="Q124" s="39">
        <f>資料儲存!J936</f>
        <v>0</v>
      </c>
      <c r="R124" s="35"/>
      <c r="S124" s="38">
        <v>35</v>
      </c>
      <c r="T124" s="39">
        <f>資料儲存!D1056</f>
        <v>0</v>
      </c>
      <c r="U124" s="39">
        <f>資料儲存!E1056</f>
        <v>0</v>
      </c>
      <c r="V124" s="39">
        <f>資料儲存!F1056</f>
        <v>0</v>
      </c>
      <c r="W124" s="39">
        <f>資料儲存!G1056</f>
        <v>0</v>
      </c>
      <c r="X124" s="39">
        <f>資料儲存!H1056</f>
        <v>0</v>
      </c>
      <c r="Y124" s="39">
        <f>資料儲存!I1056</f>
        <v>0</v>
      </c>
      <c r="Z124" s="39">
        <f>資料儲存!J1056</f>
        <v>0</v>
      </c>
      <c r="AA124" s="35"/>
      <c r="AB124" s="38">
        <v>35</v>
      </c>
      <c r="AC124" s="39">
        <f>資料儲存!D1176</f>
        <v>0</v>
      </c>
      <c r="AD124" s="39">
        <f>資料儲存!E1176</f>
        <v>0</v>
      </c>
      <c r="AE124" s="39">
        <f>資料儲存!F1176</f>
        <v>0</v>
      </c>
      <c r="AF124" s="39">
        <f>資料儲存!G1176</f>
        <v>0</v>
      </c>
      <c r="AG124" s="39">
        <f>資料儲存!H1176</f>
        <v>0</v>
      </c>
      <c r="AH124" s="39">
        <f>資料儲存!I1176</f>
        <v>0</v>
      </c>
      <c r="AI124" s="39">
        <f>資料儲存!J1176</f>
        <v>0</v>
      </c>
      <c r="AJ124" s="13"/>
      <c r="AK124" s="38">
        <v>35</v>
      </c>
      <c r="AL124" s="39">
        <f>資料儲存!D1296</f>
        <v>0</v>
      </c>
      <c r="AM124" s="39">
        <f>資料儲存!E1296</f>
        <v>0</v>
      </c>
      <c r="AN124" s="39">
        <f>資料儲存!F1296</f>
        <v>0</v>
      </c>
      <c r="AO124" s="39">
        <f>資料儲存!G1296</f>
        <v>0</v>
      </c>
      <c r="AP124" s="39">
        <f>資料儲存!H1296</f>
        <v>0</v>
      </c>
      <c r="AQ124" s="39">
        <f>資料儲存!I1296</f>
        <v>0</v>
      </c>
      <c r="AR124" s="39">
        <f>資料儲存!J1296</f>
        <v>0</v>
      </c>
      <c r="AT124" s="38">
        <v>35</v>
      </c>
      <c r="AU124" s="39">
        <f>資料儲存!D1416</f>
        <v>0</v>
      </c>
      <c r="AV124" s="39">
        <f>資料儲存!E1416</f>
        <v>0</v>
      </c>
      <c r="AW124" s="39">
        <f>資料儲存!F1416</f>
        <v>0</v>
      </c>
      <c r="AX124" s="39">
        <f>資料儲存!G1416</f>
        <v>0</v>
      </c>
      <c r="AY124" s="39">
        <f>資料儲存!H1416</f>
        <v>0</v>
      </c>
      <c r="AZ124" s="39">
        <f>資料儲存!I1416</f>
        <v>0</v>
      </c>
      <c r="BA124" s="39">
        <f>資料儲存!J1416</f>
        <v>0</v>
      </c>
    </row>
    <row r="125" spans="1:53" ht="16" thickBot="1">
      <c r="A125" s="38">
        <v>36</v>
      </c>
      <c r="B125" s="39">
        <f>資料儲存!D817</f>
        <v>0</v>
      </c>
      <c r="C125" s="39">
        <f>資料儲存!E817</f>
        <v>0</v>
      </c>
      <c r="D125" s="39">
        <f>資料儲存!F817</f>
        <v>0</v>
      </c>
      <c r="E125" s="39">
        <f>資料儲存!G817</f>
        <v>0</v>
      </c>
      <c r="F125" s="39">
        <f>資料儲存!H817</f>
        <v>0</v>
      </c>
      <c r="G125" s="39">
        <f>資料儲存!I817</f>
        <v>0</v>
      </c>
      <c r="H125" s="39">
        <f>資料儲存!J817</f>
        <v>0</v>
      </c>
      <c r="I125" s="35"/>
      <c r="J125" s="38">
        <v>36</v>
      </c>
      <c r="K125" s="39">
        <f>資料儲存!D937</f>
        <v>0</v>
      </c>
      <c r="L125" s="39">
        <f>資料儲存!E937</f>
        <v>0</v>
      </c>
      <c r="M125" s="39">
        <f>資料儲存!F937</f>
        <v>0</v>
      </c>
      <c r="N125" s="39">
        <f>資料儲存!G937</f>
        <v>0</v>
      </c>
      <c r="O125" s="39">
        <f>資料儲存!H937</f>
        <v>0</v>
      </c>
      <c r="P125" s="39">
        <f>資料儲存!I937</f>
        <v>0</v>
      </c>
      <c r="Q125" s="39">
        <f>資料儲存!J937</f>
        <v>0</v>
      </c>
      <c r="R125" s="35"/>
      <c r="S125" s="38">
        <v>36</v>
      </c>
      <c r="T125" s="39">
        <f>資料儲存!D1057</f>
        <v>0</v>
      </c>
      <c r="U125" s="39">
        <f>資料儲存!E1057</f>
        <v>0</v>
      </c>
      <c r="V125" s="39">
        <f>資料儲存!F1057</f>
        <v>0</v>
      </c>
      <c r="W125" s="39">
        <f>資料儲存!G1057</f>
        <v>0</v>
      </c>
      <c r="X125" s="39">
        <f>資料儲存!H1057</f>
        <v>0</v>
      </c>
      <c r="Y125" s="39">
        <f>資料儲存!I1057</f>
        <v>0</v>
      </c>
      <c r="Z125" s="39">
        <f>資料儲存!J1057</f>
        <v>0</v>
      </c>
      <c r="AA125" s="35"/>
      <c r="AB125" s="38">
        <v>36</v>
      </c>
      <c r="AC125" s="39">
        <f>資料儲存!D1177</f>
        <v>0</v>
      </c>
      <c r="AD125" s="39">
        <f>資料儲存!E1177</f>
        <v>0</v>
      </c>
      <c r="AE125" s="39">
        <f>資料儲存!F1177</f>
        <v>0</v>
      </c>
      <c r="AF125" s="39">
        <f>資料儲存!G1177</f>
        <v>0</v>
      </c>
      <c r="AG125" s="39">
        <f>資料儲存!H1177</f>
        <v>0</v>
      </c>
      <c r="AH125" s="39">
        <f>資料儲存!I1177</f>
        <v>0</v>
      </c>
      <c r="AI125" s="39">
        <f>資料儲存!J1177</f>
        <v>0</v>
      </c>
      <c r="AJ125" s="13"/>
      <c r="AK125" s="38">
        <v>36</v>
      </c>
      <c r="AL125" s="39">
        <f>資料儲存!D1297</f>
        <v>0</v>
      </c>
      <c r="AM125" s="39">
        <f>資料儲存!E1297</f>
        <v>0</v>
      </c>
      <c r="AN125" s="39">
        <f>資料儲存!F1297</f>
        <v>0</v>
      </c>
      <c r="AO125" s="39">
        <f>資料儲存!G1297</f>
        <v>0</v>
      </c>
      <c r="AP125" s="39">
        <f>資料儲存!H1297</f>
        <v>0</v>
      </c>
      <c r="AQ125" s="39">
        <f>資料儲存!I1297</f>
        <v>0</v>
      </c>
      <c r="AR125" s="39">
        <f>資料儲存!J1297</f>
        <v>0</v>
      </c>
      <c r="AT125" s="38">
        <v>36</v>
      </c>
      <c r="AU125" s="39">
        <f>資料儲存!D1417</f>
        <v>0</v>
      </c>
      <c r="AV125" s="39">
        <f>資料儲存!E1417</f>
        <v>0</v>
      </c>
      <c r="AW125" s="39">
        <f>資料儲存!F1417</f>
        <v>0</v>
      </c>
      <c r="AX125" s="39">
        <f>資料儲存!G1417</f>
        <v>0</v>
      </c>
      <c r="AY125" s="39">
        <f>資料儲存!H1417</f>
        <v>0</v>
      </c>
      <c r="AZ125" s="39">
        <f>資料儲存!I1417</f>
        <v>0</v>
      </c>
      <c r="BA125" s="39">
        <f>資料儲存!J1417</f>
        <v>0</v>
      </c>
    </row>
    <row r="126" spans="1:53" ht="16" thickBot="1">
      <c r="A126" s="38">
        <v>37</v>
      </c>
      <c r="B126" s="39">
        <f>資料儲存!D818</f>
        <v>0</v>
      </c>
      <c r="C126" s="39">
        <f>資料儲存!E818</f>
        <v>0</v>
      </c>
      <c r="D126" s="39">
        <f>資料儲存!F818</f>
        <v>0</v>
      </c>
      <c r="E126" s="39">
        <f>資料儲存!G818</f>
        <v>0</v>
      </c>
      <c r="F126" s="39">
        <f>資料儲存!H818</f>
        <v>0</v>
      </c>
      <c r="G126" s="39">
        <f>資料儲存!I818</f>
        <v>0</v>
      </c>
      <c r="H126" s="39">
        <f>資料儲存!J818</f>
        <v>0</v>
      </c>
      <c r="I126" s="35"/>
      <c r="J126" s="38">
        <v>37</v>
      </c>
      <c r="K126" s="39">
        <f>資料儲存!D938</f>
        <v>0</v>
      </c>
      <c r="L126" s="39">
        <f>資料儲存!E938</f>
        <v>0</v>
      </c>
      <c r="M126" s="39">
        <f>資料儲存!F938</f>
        <v>0</v>
      </c>
      <c r="N126" s="39">
        <f>資料儲存!G938</f>
        <v>0</v>
      </c>
      <c r="O126" s="39">
        <f>資料儲存!H938</f>
        <v>0</v>
      </c>
      <c r="P126" s="39">
        <f>資料儲存!I938</f>
        <v>0</v>
      </c>
      <c r="Q126" s="39">
        <f>資料儲存!J938</f>
        <v>0</v>
      </c>
      <c r="R126" s="35"/>
      <c r="S126" s="38">
        <v>37</v>
      </c>
      <c r="T126" s="39">
        <f>資料儲存!D1058</f>
        <v>0</v>
      </c>
      <c r="U126" s="39">
        <f>資料儲存!E1058</f>
        <v>0</v>
      </c>
      <c r="V126" s="39">
        <f>資料儲存!F1058</f>
        <v>0</v>
      </c>
      <c r="W126" s="39">
        <f>資料儲存!G1058</f>
        <v>0</v>
      </c>
      <c r="X126" s="39">
        <f>資料儲存!H1058</f>
        <v>0</v>
      </c>
      <c r="Y126" s="39">
        <f>資料儲存!I1058</f>
        <v>0</v>
      </c>
      <c r="Z126" s="39">
        <f>資料儲存!J1058</f>
        <v>0</v>
      </c>
      <c r="AA126" s="35"/>
      <c r="AB126" s="38">
        <v>37</v>
      </c>
      <c r="AC126" s="39">
        <f>資料儲存!D1178</f>
        <v>0</v>
      </c>
      <c r="AD126" s="39">
        <f>資料儲存!E1178</f>
        <v>0</v>
      </c>
      <c r="AE126" s="39">
        <f>資料儲存!F1178</f>
        <v>0</v>
      </c>
      <c r="AF126" s="39">
        <f>資料儲存!G1178</f>
        <v>0</v>
      </c>
      <c r="AG126" s="39">
        <f>資料儲存!H1178</f>
        <v>0</v>
      </c>
      <c r="AH126" s="39">
        <f>資料儲存!I1178</f>
        <v>0</v>
      </c>
      <c r="AI126" s="39">
        <f>資料儲存!J1178</f>
        <v>0</v>
      </c>
      <c r="AJ126" s="13"/>
      <c r="AK126" s="38">
        <v>37</v>
      </c>
      <c r="AL126" s="39">
        <f>資料儲存!D1298</f>
        <v>0</v>
      </c>
      <c r="AM126" s="39">
        <f>資料儲存!E1298</f>
        <v>0</v>
      </c>
      <c r="AN126" s="39">
        <f>資料儲存!F1298</f>
        <v>0</v>
      </c>
      <c r="AO126" s="39">
        <f>資料儲存!G1298</f>
        <v>0</v>
      </c>
      <c r="AP126" s="39">
        <f>資料儲存!H1298</f>
        <v>0</v>
      </c>
      <c r="AQ126" s="39">
        <f>資料儲存!I1298</f>
        <v>0</v>
      </c>
      <c r="AR126" s="39">
        <f>資料儲存!J1298</f>
        <v>0</v>
      </c>
      <c r="AT126" s="38">
        <v>37</v>
      </c>
      <c r="AU126" s="39">
        <f>資料儲存!D1418</f>
        <v>0</v>
      </c>
      <c r="AV126" s="39">
        <f>資料儲存!E1418</f>
        <v>0</v>
      </c>
      <c r="AW126" s="39">
        <f>資料儲存!F1418</f>
        <v>0</v>
      </c>
      <c r="AX126" s="39">
        <f>資料儲存!G1418</f>
        <v>0</v>
      </c>
      <c r="AY126" s="39">
        <f>資料儲存!H1418</f>
        <v>0</v>
      </c>
      <c r="AZ126" s="39">
        <f>資料儲存!I1418</f>
        <v>0</v>
      </c>
      <c r="BA126" s="39">
        <f>資料儲存!J1418</f>
        <v>0</v>
      </c>
    </row>
    <row r="127" spans="1:53" ht="16" thickBot="1">
      <c r="A127" s="38">
        <v>38</v>
      </c>
      <c r="B127" s="39">
        <f>資料儲存!D819</f>
        <v>0</v>
      </c>
      <c r="C127" s="39">
        <f>資料儲存!E819</f>
        <v>0</v>
      </c>
      <c r="D127" s="39">
        <f>資料儲存!F819</f>
        <v>0</v>
      </c>
      <c r="E127" s="39">
        <f>資料儲存!G819</f>
        <v>0</v>
      </c>
      <c r="F127" s="39">
        <f>資料儲存!H819</f>
        <v>0</v>
      </c>
      <c r="G127" s="39">
        <f>資料儲存!I819</f>
        <v>0</v>
      </c>
      <c r="H127" s="39">
        <f>資料儲存!J819</f>
        <v>0</v>
      </c>
      <c r="I127" s="35"/>
      <c r="J127" s="38">
        <v>38</v>
      </c>
      <c r="K127" s="39">
        <f>資料儲存!D939</f>
        <v>0</v>
      </c>
      <c r="L127" s="39">
        <f>資料儲存!E939</f>
        <v>0</v>
      </c>
      <c r="M127" s="39">
        <f>資料儲存!F939</f>
        <v>0</v>
      </c>
      <c r="N127" s="39">
        <f>資料儲存!G939</f>
        <v>0</v>
      </c>
      <c r="O127" s="39">
        <f>資料儲存!H939</f>
        <v>0</v>
      </c>
      <c r="P127" s="39">
        <f>資料儲存!I939</f>
        <v>0</v>
      </c>
      <c r="Q127" s="39">
        <f>資料儲存!J939</f>
        <v>0</v>
      </c>
      <c r="R127" s="35"/>
      <c r="S127" s="38">
        <v>38</v>
      </c>
      <c r="T127" s="39">
        <f>資料儲存!D1059</f>
        <v>0</v>
      </c>
      <c r="U127" s="39">
        <f>資料儲存!E1059</f>
        <v>0</v>
      </c>
      <c r="V127" s="39">
        <f>資料儲存!F1059</f>
        <v>0</v>
      </c>
      <c r="W127" s="39">
        <f>資料儲存!G1059</f>
        <v>0</v>
      </c>
      <c r="X127" s="39">
        <f>資料儲存!H1059</f>
        <v>0</v>
      </c>
      <c r="Y127" s="39">
        <f>資料儲存!I1059</f>
        <v>0</v>
      </c>
      <c r="Z127" s="39">
        <f>資料儲存!J1059</f>
        <v>0</v>
      </c>
      <c r="AA127" s="35"/>
      <c r="AB127" s="38">
        <v>38</v>
      </c>
      <c r="AC127" s="39">
        <f>資料儲存!D1179</f>
        <v>0</v>
      </c>
      <c r="AD127" s="39">
        <f>資料儲存!E1179</f>
        <v>0</v>
      </c>
      <c r="AE127" s="39">
        <f>資料儲存!F1179</f>
        <v>0</v>
      </c>
      <c r="AF127" s="39">
        <f>資料儲存!G1179</f>
        <v>0</v>
      </c>
      <c r="AG127" s="39">
        <f>資料儲存!H1179</f>
        <v>0</v>
      </c>
      <c r="AH127" s="39">
        <f>資料儲存!I1179</f>
        <v>0</v>
      </c>
      <c r="AI127" s="39">
        <f>資料儲存!J1179</f>
        <v>0</v>
      </c>
      <c r="AJ127" s="13"/>
      <c r="AK127" s="38">
        <v>38</v>
      </c>
      <c r="AL127" s="39">
        <f>資料儲存!D1299</f>
        <v>0</v>
      </c>
      <c r="AM127" s="39">
        <f>資料儲存!E1299</f>
        <v>0</v>
      </c>
      <c r="AN127" s="39">
        <f>資料儲存!F1299</f>
        <v>0</v>
      </c>
      <c r="AO127" s="39">
        <f>資料儲存!G1299</f>
        <v>0</v>
      </c>
      <c r="AP127" s="39">
        <f>資料儲存!H1299</f>
        <v>0</v>
      </c>
      <c r="AQ127" s="39">
        <f>資料儲存!I1299</f>
        <v>0</v>
      </c>
      <c r="AR127" s="39">
        <f>資料儲存!J1299</f>
        <v>0</v>
      </c>
      <c r="AT127" s="38">
        <v>38</v>
      </c>
      <c r="AU127" s="39">
        <f>資料儲存!D1419</f>
        <v>0</v>
      </c>
      <c r="AV127" s="39">
        <f>資料儲存!E1419</f>
        <v>0</v>
      </c>
      <c r="AW127" s="39">
        <f>資料儲存!F1419</f>
        <v>0</v>
      </c>
      <c r="AX127" s="39">
        <f>資料儲存!G1419</f>
        <v>0</v>
      </c>
      <c r="AY127" s="39">
        <f>資料儲存!H1419</f>
        <v>0</v>
      </c>
      <c r="AZ127" s="39">
        <f>資料儲存!I1419</f>
        <v>0</v>
      </c>
      <c r="BA127" s="39">
        <f>資料儲存!J1419</f>
        <v>0</v>
      </c>
    </row>
    <row r="128" spans="1:53" ht="16" thickBot="1">
      <c r="A128" s="38">
        <v>39</v>
      </c>
      <c r="B128" s="39">
        <f>資料儲存!D820</f>
        <v>0</v>
      </c>
      <c r="C128" s="39">
        <f>資料儲存!E820</f>
        <v>0</v>
      </c>
      <c r="D128" s="39">
        <f>資料儲存!F820</f>
        <v>0</v>
      </c>
      <c r="E128" s="39">
        <f>資料儲存!G820</f>
        <v>0</v>
      </c>
      <c r="F128" s="39">
        <f>資料儲存!H820</f>
        <v>0</v>
      </c>
      <c r="G128" s="39">
        <f>資料儲存!I820</f>
        <v>0</v>
      </c>
      <c r="H128" s="39">
        <f>資料儲存!J820</f>
        <v>0</v>
      </c>
      <c r="I128" s="35"/>
      <c r="J128" s="38">
        <v>39</v>
      </c>
      <c r="K128" s="39">
        <f>資料儲存!D940</f>
        <v>0</v>
      </c>
      <c r="L128" s="39">
        <f>資料儲存!E940</f>
        <v>0</v>
      </c>
      <c r="M128" s="39">
        <f>資料儲存!F940</f>
        <v>0</v>
      </c>
      <c r="N128" s="39">
        <f>資料儲存!G940</f>
        <v>0</v>
      </c>
      <c r="O128" s="39">
        <f>資料儲存!H940</f>
        <v>0</v>
      </c>
      <c r="P128" s="39">
        <f>資料儲存!I940</f>
        <v>0</v>
      </c>
      <c r="Q128" s="39">
        <f>資料儲存!J940</f>
        <v>0</v>
      </c>
      <c r="R128" s="35"/>
      <c r="S128" s="38">
        <v>39</v>
      </c>
      <c r="T128" s="39">
        <f>資料儲存!D1060</f>
        <v>0</v>
      </c>
      <c r="U128" s="39">
        <f>資料儲存!E1060</f>
        <v>0</v>
      </c>
      <c r="V128" s="39">
        <f>資料儲存!F1060</f>
        <v>0</v>
      </c>
      <c r="W128" s="39">
        <f>資料儲存!G1060</f>
        <v>0</v>
      </c>
      <c r="X128" s="39">
        <f>資料儲存!H1060</f>
        <v>0</v>
      </c>
      <c r="Y128" s="39">
        <f>資料儲存!I1060</f>
        <v>0</v>
      </c>
      <c r="Z128" s="39">
        <f>資料儲存!J1060</f>
        <v>0</v>
      </c>
      <c r="AA128" s="35"/>
      <c r="AB128" s="38">
        <v>39</v>
      </c>
      <c r="AC128" s="39">
        <f>資料儲存!D1180</f>
        <v>0</v>
      </c>
      <c r="AD128" s="39">
        <f>資料儲存!E1180</f>
        <v>0</v>
      </c>
      <c r="AE128" s="39">
        <f>資料儲存!F1180</f>
        <v>0</v>
      </c>
      <c r="AF128" s="39">
        <f>資料儲存!G1180</f>
        <v>0</v>
      </c>
      <c r="AG128" s="39">
        <f>資料儲存!H1180</f>
        <v>0</v>
      </c>
      <c r="AH128" s="39">
        <f>資料儲存!I1180</f>
        <v>0</v>
      </c>
      <c r="AI128" s="39">
        <f>資料儲存!J1180</f>
        <v>0</v>
      </c>
      <c r="AJ128" s="13"/>
      <c r="AK128" s="38">
        <v>39</v>
      </c>
      <c r="AL128" s="39">
        <f>資料儲存!D1300</f>
        <v>0</v>
      </c>
      <c r="AM128" s="39">
        <f>資料儲存!E1300</f>
        <v>0</v>
      </c>
      <c r="AN128" s="39">
        <f>資料儲存!F1300</f>
        <v>0</v>
      </c>
      <c r="AO128" s="39">
        <f>資料儲存!G1300</f>
        <v>0</v>
      </c>
      <c r="AP128" s="39">
        <f>資料儲存!H1300</f>
        <v>0</v>
      </c>
      <c r="AQ128" s="39">
        <f>資料儲存!I1300</f>
        <v>0</v>
      </c>
      <c r="AR128" s="39">
        <f>資料儲存!J1300</f>
        <v>0</v>
      </c>
      <c r="AT128" s="38">
        <v>39</v>
      </c>
      <c r="AU128" s="39">
        <f>資料儲存!D1420</f>
        <v>0</v>
      </c>
      <c r="AV128" s="39">
        <f>資料儲存!E1420</f>
        <v>0</v>
      </c>
      <c r="AW128" s="39">
        <f>資料儲存!F1420</f>
        <v>0</v>
      </c>
      <c r="AX128" s="39">
        <f>資料儲存!G1420</f>
        <v>0</v>
      </c>
      <c r="AY128" s="39">
        <f>資料儲存!H1420</f>
        <v>0</v>
      </c>
      <c r="AZ128" s="39">
        <f>資料儲存!I1420</f>
        <v>0</v>
      </c>
      <c r="BA128" s="39">
        <f>資料儲存!J1420</f>
        <v>0</v>
      </c>
    </row>
    <row r="129" spans="1:53" ht="16" thickBot="1">
      <c r="A129" s="38">
        <v>40</v>
      </c>
      <c r="B129" s="39">
        <f>資料儲存!D821</f>
        <v>0</v>
      </c>
      <c r="C129" s="39">
        <f>資料儲存!E821</f>
        <v>0</v>
      </c>
      <c r="D129" s="39">
        <f>資料儲存!F821</f>
        <v>0</v>
      </c>
      <c r="E129" s="39">
        <f>資料儲存!G821</f>
        <v>0</v>
      </c>
      <c r="F129" s="39">
        <f>資料儲存!H821</f>
        <v>0</v>
      </c>
      <c r="G129" s="39">
        <f>資料儲存!I821</f>
        <v>0</v>
      </c>
      <c r="H129" s="39">
        <f>資料儲存!J821</f>
        <v>0</v>
      </c>
      <c r="I129" s="35"/>
      <c r="J129" s="38">
        <v>40</v>
      </c>
      <c r="K129" s="39">
        <f>資料儲存!D941</f>
        <v>0</v>
      </c>
      <c r="L129" s="39">
        <f>資料儲存!E941</f>
        <v>0</v>
      </c>
      <c r="M129" s="39">
        <f>資料儲存!F941</f>
        <v>0</v>
      </c>
      <c r="N129" s="39">
        <f>資料儲存!G941</f>
        <v>0</v>
      </c>
      <c r="O129" s="39">
        <f>資料儲存!H941</f>
        <v>0</v>
      </c>
      <c r="P129" s="39">
        <f>資料儲存!I941</f>
        <v>0</v>
      </c>
      <c r="Q129" s="39">
        <f>資料儲存!J941</f>
        <v>0</v>
      </c>
      <c r="R129" s="35"/>
      <c r="S129" s="38">
        <v>40</v>
      </c>
      <c r="T129" s="39">
        <f>資料儲存!D1061</f>
        <v>0</v>
      </c>
      <c r="U129" s="39">
        <f>資料儲存!E1061</f>
        <v>0</v>
      </c>
      <c r="V129" s="39">
        <f>資料儲存!F1061</f>
        <v>0</v>
      </c>
      <c r="W129" s="39">
        <f>資料儲存!G1061</f>
        <v>0</v>
      </c>
      <c r="X129" s="39">
        <f>資料儲存!H1061</f>
        <v>0</v>
      </c>
      <c r="Y129" s="39">
        <f>資料儲存!I1061</f>
        <v>0</v>
      </c>
      <c r="Z129" s="39">
        <f>資料儲存!J1061</f>
        <v>0</v>
      </c>
      <c r="AA129" s="35"/>
      <c r="AB129" s="38">
        <v>40</v>
      </c>
      <c r="AC129" s="39">
        <f>資料儲存!D1181</f>
        <v>0</v>
      </c>
      <c r="AD129" s="39">
        <f>資料儲存!E1181</f>
        <v>0</v>
      </c>
      <c r="AE129" s="39">
        <f>資料儲存!F1181</f>
        <v>0</v>
      </c>
      <c r="AF129" s="39">
        <f>資料儲存!G1181</f>
        <v>0</v>
      </c>
      <c r="AG129" s="39">
        <f>資料儲存!H1181</f>
        <v>0</v>
      </c>
      <c r="AH129" s="39">
        <f>資料儲存!I1181</f>
        <v>0</v>
      </c>
      <c r="AI129" s="39">
        <f>資料儲存!J1181</f>
        <v>0</v>
      </c>
      <c r="AJ129" s="13"/>
      <c r="AK129" s="38">
        <v>40</v>
      </c>
      <c r="AL129" s="39">
        <f>資料儲存!D1301</f>
        <v>0</v>
      </c>
      <c r="AM129" s="39">
        <f>資料儲存!E1301</f>
        <v>0</v>
      </c>
      <c r="AN129" s="39">
        <f>資料儲存!F1301</f>
        <v>0</v>
      </c>
      <c r="AO129" s="39">
        <f>資料儲存!G1301</f>
        <v>0</v>
      </c>
      <c r="AP129" s="39">
        <f>資料儲存!H1301</f>
        <v>0</v>
      </c>
      <c r="AQ129" s="39">
        <f>資料儲存!I1301</f>
        <v>0</v>
      </c>
      <c r="AR129" s="39">
        <f>資料儲存!J1301</f>
        <v>0</v>
      </c>
      <c r="AT129" s="38">
        <v>40</v>
      </c>
      <c r="AU129" s="39">
        <f>資料儲存!D1421</f>
        <v>0</v>
      </c>
      <c r="AV129" s="39">
        <f>資料儲存!E1421</f>
        <v>0</v>
      </c>
      <c r="AW129" s="39">
        <f>資料儲存!F1421</f>
        <v>0</v>
      </c>
      <c r="AX129" s="39">
        <f>資料儲存!G1421</f>
        <v>0</v>
      </c>
      <c r="AY129" s="39">
        <f>資料儲存!H1421</f>
        <v>0</v>
      </c>
      <c r="AZ129" s="39">
        <f>資料儲存!I1421</f>
        <v>0</v>
      </c>
      <c r="BA129" s="39">
        <f>資料儲存!J1421</f>
        <v>0</v>
      </c>
    </row>
    <row r="130" spans="1:53" ht="16" thickBot="1">
      <c r="A130" s="38">
        <v>41</v>
      </c>
      <c r="B130" s="39">
        <f>資料儲存!D822</f>
        <v>0</v>
      </c>
      <c r="C130" s="39">
        <f>資料儲存!E822</f>
        <v>0</v>
      </c>
      <c r="D130" s="39">
        <f>資料儲存!F822</f>
        <v>0</v>
      </c>
      <c r="E130" s="39">
        <f>資料儲存!G822</f>
        <v>0</v>
      </c>
      <c r="F130" s="39">
        <f>資料儲存!H822</f>
        <v>0</v>
      </c>
      <c r="G130" s="39">
        <f>資料儲存!I822</f>
        <v>0</v>
      </c>
      <c r="H130" s="39">
        <f>資料儲存!J822</f>
        <v>0</v>
      </c>
      <c r="I130" s="35"/>
      <c r="J130" s="38">
        <v>41</v>
      </c>
      <c r="K130" s="39">
        <f>資料儲存!D942</f>
        <v>0</v>
      </c>
      <c r="L130" s="39">
        <f>資料儲存!E942</f>
        <v>0</v>
      </c>
      <c r="M130" s="39">
        <f>資料儲存!F942</f>
        <v>0</v>
      </c>
      <c r="N130" s="39">
        <f>資料儲存!G942</f>
        <v>0</v>
      </c>
      <c r="O130" s="39">
        <f>資料儲存!H942</f>
        <v>0</v>
      </c>
      <c r="P130" s="39">
        <f>資料儲存!I942</f>
        <v>0</v>
      </c>
      <c r="Q130" s="39">
        <f>資料儲存!J942</f>
        <v>0</v>
      </c>
      <c r="R130" s="35"/>
      <c r="S130" s="38">
        <v>41</v>
      </c>
      <c r="T130" s="39">
        <f>資料儲存!D1062</f>
        <v>0</v>
      </c>
      <c r="U130" s="39">
        <f>資料儲存!E1062</f>
        <v>0</v>
      </c>
      <c r="V130" s="39">
        <f>資料儲存!F1062</f>
        <v>0</v>
      </c>
      <c r="W130" s="39">
        <f>資料儲存!G1062</f>
        <v>0</v>
      </c>
      <c r="X130" s="39">
        <f>資料儲存!H1062</f>
        <v>0</v>
      </c>
      <c r="Y130" s="39">
        <f>資料儲存!I1062</f>
        <v>0</v>
      </c>
      <c r="Z130" s="39">
        <f>資料儲存!J1062</f>
        <v>0</v>
      </c>
      <c r="AA130" s="35"/>
      <c r="AB130" s="38">
        <v>41</v>
      </c>
      <c r="AC130" s="39">
        <f>資料儲存!D1182</f>
        <v>0</v>
      </c>
      <c r="AD130" s="39">
        <f>資料儲存!E1182</f>
        <v>0</v>
      </c>
      <c r="AE130" s="39">
        <f>資料儲存!F1182</f>
        <v>0</v>
      </c>
      <c r="AF130" s="39">
        <f>資料儲存!G1182</f>
        <v>0</v>
      </c>
      <c r="AG130" s="39">
        <f>資料儲存!H1182</f>
        <v>0</v>
      </c>
      <c r="AH130" s="39">
        <f>資料儲存!I1182</f>
        <v>0</v>
      </c>
      <c r="AI130" s="39">
        <f>資料儲存!J1182</f>
        <v>0</v>
      </c>
      <c r="AJ130" s="13"/>
      <c r="AK130" s="38">
        <v>41</v>
      </c>
      <c r="AL130" s="39">
        <f>資料儲存!D1302</f>
        <v>0</v>
      </c>
      <c r="AM130" s="39">
        <f>資料儲存!E1302</f>
        <v>0</v>
      </c>
      <c r="AN130" s="39">
        <f>資料儲存!F1302</f>
        <v>0</v>
      </c>
      <c r="AO130" s="39">
        <f>資料儲存!G1302</f>
        <v>0</v>
      </c>
      <c r="AP130" s="39">
        <f>資料儲存!H1302</f>
        <v>0</v>
      </c>
      <c r="AQ130" s="39">
        <f>資料儲存!I1302</f>
        <v>0</v>
      </c>
      <c r="AR130" s="39">
        <f>資料儲存!J1302</f>
        <v>0</v>
      </c>
      <c r="AT130" s="38">
        <v>41</v>
      </c>
      <c r="AU130" s="39">
        <f>資料儲存!D1422</f>
        <v>0</v>
      </c>
      <c r="AV130" s="39">
        <f>資料儲存!E1422</f>
        <v>0</v>
      </c>
      <c r="AW130" s="39">
        <f>資料儲存!F1422</f>
        <v>0</v>
      </c>
      <c r="AX130" s="39">
        <f>資料儲存!G1422</f>
        <v>0</v>
      </c>
      <c r="AY130" s="39">
        <f>資料儲存!H1422</f>
        <v>0</v>
      </c>
      <c r="AZ130" s="39">
        <f>資料儲存!I1422</f>
        <v>0</v>
      </c>
      <c r="BA130" s="39">
        <f>資料儲存!J1422</f>
        <v>0</v>
      </c>
    </row>
    <row r="131" spans="1:53" ht="16" thickBot="1">
      <c r="A131" s="38">
        <v>42</v>
      </c>
      <c r="B131" s="39">
        <f>資料儲存!D823</f>
        <v>0</v>
      </c>
      <c r="C131" s="39">
        <f>資料儲存!E823</f>
        <v>0</v>
      </c>
      <c r="D131" s="39">
        <f>資料儲存!F823</f>
        <v>0</v>
      </c>
      <c r="E131" s="39">
        <f>資料儲存!G823</f>
        <v>0</v>
      </c>
      <c r="F131" s="39">
        <f>資料儲存!H823</f>
        <v>0</v>
      </c>
      <c r="G131" s="39">
        <f>資料儲存!I823</f>
        <v>0</v>
      </c>
      <c r="H131" s="39">
        <f>資料儲存!J823</f>
        <v>0</v>
      </c>
      <c r="I131" s="35"/>
      <c r="J131" s="38">
        <v>42</v>
      </c>
      <c r="K131" s="39">
        <f>資料儲存!D943</f>
        <v>0</v>
      </c>
      <c r="L131" s="39">
        <f>資料儲存!E943</f>
        <v>0</v>
      </c>
      <c r="M131" s="39">
        <f>資料儲存!F943</f>
        <v>0</v>
      </c>
      <c r="N131" s="39">
        <f>資料儲存!G943</f>
        <v>0</v>
      </c>
      <c r="O131" s="39">
        <f>資料儲存!H943</f>
        <v>0</v>
      </c>
      <c r="P131" s="39">
        <f>資料儲存!I943</f>
        <v>0</v>
      </c>
      <c r="Q131" s="39">
        <f>資料儲存!J943</f>
        <v>0</v>
      </c>
      <c r="R131" s="35"/>
      <c r="S131" s="38">
        <v>42</v>
      </c>
      <c r="T131" s="39">
        <f>資料儲存!D1063</f>
        <v>0</v>
      </c>
      <c r="U131" s="39">
        <f>資料儲存!E1063</f>
        <v>0</v>
      </c>
      <c r="V131" s="39">
        <f>資料儲存!F1063</f>
        <v>0</v>
      </c>
      <c r="W131" s="39">
        <f>資料儲存!G1063</f>
        <v>0</v>
      </c>
      <c r="X131" s="39">
        <f>資料儲存!H1063</f>
        <v>0</v>
      </c>
      <c r="Y131" s="39">
        <f>資料儲存!I1063</f>
        <v>0</v>
      </c>
      <c r="Z131" s="39">
        <f>資料儲存!J1063</f>
        <v>0</v>
      </c>
      <c r="AA131" s="35"/>
      <c r="AB131" s="38">
        <v>42</v>
      </c>
      <c r="AC131" s="39">
        <f>資料儲存!D1183</f>
        <v>0</v>
      </c>
      <c r="AD131" s="39">
        <f>資料儲存!E1183</f>
        <v>0</v>
      </c>
      <c r="AE131" s="39">
        <f>資料儲存!F1183</f>
        <v>0</v>
      </c>
      <c r="AF131" s="39">
        <f>資料儲存!G1183</f>
        <v>0</v>
      </c>
      <c r="AG131" s="39">
        <f>資料儲存!H1183</f>
        <v>0</v>
      </c>
      <c r="AH131" s="39">
        <f>資料儲存!I1183</f>
        <v>0</v>
      </c>
      <c r="AI131" s="39">
        <f>資料儲存!J1183</f>
        <v>0</v>
      </c>
      <c r="AJ131" s="13"/>
      <c r="AK131" s="38">
        <v>42</v>
      </c>
      <c r="AL131" s="39">
        <f>資料儲存!D1303</f>
        <v>0</v>
      </c>
      <c r="AM131" s="39">
        <f>資料儲存!E1303</f>
        <v>0</v>
      </c>
      <c r="AN131" s="39">
        <f>資料儲存!F1303</f>
        <v>0</v>
      </c>
      <c r="AO131" s="39">
        <f>資料儲存!G1303</f>
        <v>0</v>
      </c>
      <c r="AP131" s="39">
        <f>資料儲存!H1303</f>
        <v>0</v>
      </c>
      <c r="AQ131" s="39">
        <f>資料儲存!I1303</f>
        <v>0</v>
      </c>
      <c r="AR131" s="39">
        <f>資料儲存!J1303</f>
        <v>0</v>
      </c>
      <c r="AT131" s="38">
        <v>42</v>
      </c>
      <c r="AU131" s="39">
        <f>資料儲存!D1423</f>
        <v>0</v>
      </c>
      <c r="AV131" s="39">
        <f>資料儲存!E1423</f>
        <v>0</v>
      </c>
      <c r="AW131" s="39">
        <f>資料儲存!F1423</f>
        <v>0</v>
      </c>
      <c r="AX131" s="39">
        <f>資料儲存!G1423</f>
        <v>0</v>
      </c>
      <c r="AY131" s="39">
        <f>資料儲存!H1423</f>
        <v>0</v>
      </c>
      <c r="AZ131" s="39">
        <f>資料儲存!I1423</f>
        <v>0</v>
      </c>
      <c r="BA131" s="39">
        <f>資料儲存!J1423</f>
        <v>0</v>
      </c>
    </row>
    <row r="132" spans="1:53" ht="16" thickBot="1">
      <c r="A132" s="38">
        <v>43</v>
      </c>
      <c r="B132" s="39">
        <f>資料儲存!D824</f>
        <v>0</v>
      </c>
      <c r="C132" s="39">
        <f>資料儲存!E824</f>
        <v>0</v>
      </c>
      <c r="D132" s="39">
        <f>資料儲存!F824</f>
        <v>0</v>
      </c>
      <c r="E132" s="39">
        <f>資料儲存!G824</f>
        <v>0</v>
      </c>
      <c r="F132" s="39">
        <f>資料儲存!H824</f>
        <v>0</v>
      </c>
      <c r="G132" s="39">
        <f>資料儲存!I824</f>
        <v>0</v>
      </c>
      <c r="H132" s="39">
        <f>資料儲存!J824</f>
        <v>0</v>
      </c>
      <c r="I132" s="35"/>
      <c r="J132" s="38">
        <v>43</v>
      </c>
      <c r="K132" s="39">
        <f>資料儲存!D944</f>
        <v>0</v>
      </c>
      <c r="L132" s="39">
        <f>資料儲存!E944</f>
        <v>0</v>
      </c>
      <c r="M132" s="39">
        <f>資料儲存!F944</f>
        <v>0</v>
      </c>
      <c r="N132" s="39">
        <f>資料儲存!G944</f>
        <v>0</v>
      </c>
      <c r="O132" s="39">
        <f>資料儲存!H944</f>
        <v>0</v>
      </c>
      <c r="P132" s="39">
        <f>資料儲存!I944</f>
        <v>0</v>
      </c>
      <c r="Q132" s="39">
        <f>資料儲存!J944</f>
        <v>0</v>
      </c>
      <c r="R132" s="35"/>
      <c r="S132" s="38">
        <v>43</v>
      </c>
      <c r="T132" s="39">
        <f>資料儲存!D1064</f>
        <v>0</v>
      </c>
      <c r="U132" s="39">
        <f>資料儲存!E1064</f>
        <v>0</v>
      </c>
      <c r="V132" s="39">
        <f>資料儲存!F1064</f>
        <v>0</v>
      </c>
      <c r="W132" s="39">
        <f>資料儲存!G1064</f>
        <v>0</v>
      </c>
      <c r="X132" s="39">
        <f>資料儲存!H1064</f>
        <v>0</v>
      </c>
      <c r="Y132" s="39">
        <f>資料儲存!I1064</f>
        <v>0</v>
      </c>
      <c r="Z132" s="39">
        <f>資料儲存!J1064</f>
        <v>0</v>
      </c>
      <c r="AA132" s="35"/>
      <c r="AB132" s="38">
        <v>43</v>
      </c>
      <c r="AC132" s="39">
        <f>資料儲存!D1184</f>
        <v>0</v>
      </c>
      <c r="AD132" s="39">
        <f>資料儲存!E1184</f>
        <v>0</v>
      </c>
      <c r="AE132" s="39">
        <f>資料儲存!F1184</f>
        <v>0</v>
      </c>
      <c r="AF132" s="39">
        <f>資料儲存!G1184</f>
        <v>0</v>
      </c>
      <c r="AG132" s="39">
        <f>資料儲存!H1184</f>
        <v>0</v>
      </c>
      <c r="AH132" s="39">
        <f>資料儲存!I1184</f>
        <v>0</v>
      </c>
      <c r="AI132" s="39">
        <f>資料儲存!J1184</f>
        <v>0</v>
      </c>
      <c r="AJ132" s="13"/>
      <c r="AK132" s="38">
        <v>43</v>
      </c>
      <c r="AL132" s="39">
        <f>資料儲存!D1304</f>
        <v>0</v>
      </c>
      <c r="AM132" s="39">
        <f>資料儲存!E1304</f>
        <v>0</v>
      </c>
      <c r="AN132" s="39">
        <f>資料儲存!F1304</f>
        <v>0</v>
      </c>
      <c r="AO132" s="39">
        <f>資料儲存!G1304</f>
        <v>0</v>
      </c>
      <c r="AP132" s="39">
        <f>資料儲存!H1304</f>
        <v>0</v>
      </c>
      <c r="AQ132" s="39">
        <f>資料儲存!I1304</f>
        <v>0</v>
      </c>
      <c r="AR132" s="39">
        <f>資料儲存!J1304</f>
        <v>0</v>
      </c>
      <c r="AT132" s="38">
        <v>43</v>
      </c>
      <c r="AU132" s="39">
        <f>資料儲存!D1424</f>
        <v>0</v>
      </c>
      <c r="AV132" s="39">
        <f>資料儲存!E1424</f>
        <v>0</v>
      </c>
      <c r="AW132" s="39">
        <f>資料儲存!F1424</f>
        <v>0</v>
      </c>
      <c r="AX132" s="39">
        <f>資料儲存!G1424</f>
        <v>0</v>
      </c>
      <c r="AY132" s="39">
        <f>資料儲存!H1424</f>
        <v>0</v>
      </c>
      <c r="AZ132" s="39">
        <f>資料儲存!I1424</f>
        <v>0</v>
      </c>
      <c r="BA132" s="39">
        <f>資料儲存!J1424</f>
        <v>0</v>
      </c>
    </row>
    <row r="133" spans="1:53" ht="16" thickBot="1">
      <c r="A133" s="38">
        <v>44</v>
      </c>
      <c r="B133" s="39">
        <f>資料儲存!D825</f>
        <v>0</v>
      </c>
      <c r="C133" s="39">
        <f>資料儲存!E825</f>
        <v>0</v>
      </c>
      <c r="D133" s="39">
        <f>資料儲存!F825</f>
        <v>0</v>
      </c>
      <c r="E133" s="39">
        <f>資料儲存!G825</f>
        <v>0</v>
      </c>
      <c r="F133" s="39">
        <f>資料儲存!H825</f>
        <v>0</v>
      </c>
      <c r="G133" s="39">
        <f>資料儲存!I825</f>
        <v>0</v>
      </c>
      <c r="H133" s="39">
        <f>資料儲存!J825</f>
        <v>0</v>
      </c>
      <c r="I133" s="35"/>
      <c r="J133" s="38">
        <v>44</v>
      </c>
      <c r="K133" s="39">
        <f>資料儲存!D945</f>
        <v>0</v>
      </c>
      <c r="L133" s="39">
        <f>資料儲存!E945</f>
        <v>0</v>
      </c>
      <c r="M133" s="39">
        <f>資料儲存!F945</f>
        <v>0</v>
      </c>
      <c r="N133" s="39">
        <f>資料儲存!G945</f>
        <v>0</v>
      </c>
      <c r="O133" s="39">
        <f>資料儲存!H945</f>
        <v>0</v>
      </c>
      <c r="P133" s="39">
        <f>資料儲存!I945</f>
        <v>0</v>
      </c>
      <c r="Q133" s="39">
        <f>資料儲存!J945</f>
        <v>0</v>
      </c>
      <c r="R133" s="35"/>
      <c r="S133" s="38">
        <v>44</v>
      </c>
      <c r="T133" s="39">
        <f>資料儲存!D1065</f>
        <v>0</v>
      </c>
      <c r="U133" s="39">
        <f>資料儲存!E1065</f>
        <v>0</v>
      </c>
      <c r="V133" s="39">
        <f>資料儲存!F1065</f>
        <v>0</v>
      </c>
      <c r="W133" s="39">
        <f>資料儲存!G1065</f>
        <v>0</v>
      </c>
      <c r="X133" s="39">
        <f>資料儲存!H1065</f>
        <v>0</v>
      </c>
      <c r="Y133" s="39">
        <f>資料儲存!I1065</f>
        <v>0</v>
      </c>
      <c r="Z133" s="39">
        <f>資料儲存!J1065</f>
        <v>0</v>
      </c>
      <c r="AA133" s="35"/>
      <c r="AB133" s="38">
        <v>44</v>
      </c>
      <c r="AC133" s="39">
        <f>資料儲存!D1185</f>
        <v>0</v>
      </c>
      <c r="AD133" s="39">
        <f>資料儲存!E1185</f>
        <v>0</v>
      </c>
      <c r="AE133" s="39">
        <f>資料儲存!F1185</f>
        <v>0</v>
      </c>
      <c r="AF133" s="39">
        <f>資料儲存!G1185</f>
        <v>0</v>
      </c>
      <c r="AG133" s="39">
        <f>資料儲存!H1185</f>
        <v>0</v>
      </c>
      <c r="AH133" s="39">
        <f>資料儲存!I1185</f>
        <v>0</v>
      </c>
      <c r="AI133" s="39">
        <f>資料儲存!J1185</f>
        <v>0</v>
      </c>
      <c r="AJ133" s="13"/>
      <c r="AK133" s="38">
        <v>44</v>
      </c>
      <c r="AL133" s="39">
        <f>資料儲存!D1305</f>
        <v>0</v>
      </c>
      <c r="AM133" s="39">
        <f>資料儲存!E1305</f>
        <v>0</v>
      </c>
      <c r="AN133" s="39">
        <f>資料儲存!F1305</f>
        <v>0</v>
      </c>
      <c r="AO133" s="39">
        <f>資料儲存!G1305</f>
        <v>0</v>
      </c>
      <c r="AP133" s="39">
        <f>資料儲存!H1305</f>
        <v>0</v>
      </c>
      <c r="AQ133" s="39">
        <f>資料儲存!I1305</f>
        <v>0</v>
      </c>
      <c r="AR133" s="39">
        <f>資料儲存!J1305</f>
        <v>0</v>
      </c>
      <c r="AT133" s="38">
        <v>44</v>
      </c>
      <c r="AU133" s="39">
        <f>資料儲存!D1425</f>
        <v>0</v>
      </c>
      <c r="AV133" s="39">
        <f>資料儲存!E1425</f>
        <v>0</v>
      </c>
      <c r="AW133" s="39">
        <f>資料儲存!F1425</f>
        <v>0</v>
      </c>
      <c r="AX133" s="39">
        <f>資料儲存!G1425</f>
        <v>0</v>
      </c>
      <c r="AY133" s="39">
        <f>資料儲存!H1425</f>
        <v>0</v>
      </c>
      <c r="AZ133" s="39">
        <f>資料儲存!I1425</f>
        <v>0</v>
      </c>
      <c r="BA133" s="39">
        <f>資料儲存!J1425</f>
        <v>0</v>
      </c>
    </row>
    <row r="134" spans="1:53" ht="16" thickBot="1">
      <c r="A134" s="38">
        <v>45</v>
      </c>
      <c r="B134" s="39">
        <f>資料儲存!D826</f>
        <v>0</v>
      </c>
      <c r="C134" s="39">
        <f>資料儲存!E826</f>
        <v>0</v>
      </c>
      <c r="D134" s="39">
        <f>資料儲存!F826</f>
        <v>0</v>
      </c>
      <c r="E134" s="39">
        <f>資料儲存!G826</f>
        <v>0</v>
      </c>
      <c r="F134" s="39">
        <f>資料儲存!H826</f>
        <v>0</v>
      </c>
      <c r="G134" s="39">
        <f>資料儲存!I826</f>
        <v>0</v>
      </c>
      <c r="H134" s="39">
        <f>資料儲存!J826</f>
        <v>0</v>
      </c>
      <c r="I134" s="35"/>
      <c r="J134" s="38">
        <v>45</v>
      </c>
      <c r="K134" s="39">
        <f>資料儲存!D946</f>
        <v>0</v>
      </c>
      <c r="L134" s="39">
        <f>資料儲存!E946</f>
        <v>0</v>
      </c>
      <c r="M134" s="39">
        <f>資料儲存!F946</f>
        <v>0</v>
      </c>
      <c r="N134" s="39">
        <f>資料儲存!G946</f>
        <v>0</v>
      </c>
      <c r="O134" s="39">
        <f>資料儲存!H946</f>
        <v>0</v>
      </c>
      <c r="P134" s="39">
        <f>資料儲存!I946</f>
        <v>0</v>
      </c>
      <c r="Q134" s="39">
        <f>資料儲存!J946</f>
        <v>0</v>
      </c>
      <c r="R134" s="35"/>
      <c r="S134" s="38">
        <v>45</v>
      </c>
      <c r="T134" s="39">
        <f>資料儲存!D1066</f>
        <v>0</v>
      </c>
      <c r="U134" s="39">
        <f>資料儲存!E1066</f>
        <v>0</v>
      </c>
      <c r="V134" s="39">
        <f>資料儲存!F1066</f>
        <v>0</v>
      </c>
      <c r="W134" s="39">
        <f>資料儲存!G1066</f>
        <v>0</v>
      </c>
      <c r="X134" s="39">
        <f>資料儲存!H1066</f>
        <v>0</v>
      </c>
      <c r="Y134" s="39">
        <f>資料儲存!I1066</f>
        <v>0</v>
      </c>
      <c r="Z134" s="39">
        <f>資料儲存!J1066</f>
        <v>0</v>
      </c>
      <c r="AA134" s="35"/>
      <c r="AB134" s="38">
        <v>45</v>
      </c>
      <c r="AC134" s="39">
        <f>資料儲存!D1186</f>
        <v>0</v>
      </c>
      <c r="AD134" s="39">
        <f>資料儲存!E1186</f>
        <v>0</v>
      </c>
      <c r="AE134" s="39">
        <f>資料儲存!F1186</f>
        <v>0</v>
      </c>
      <c r="AF134" s="39">
        <f>資料儲存!G1186</f>
        <v>0</v>
      </c>
      <c r="AG134" s="39">
        <f>資料儲存!H1186</f>
        <v>0</v>
      </c>
      <c r="AH134" s="39">
        <f>資料儲存!I1186</f>
        <v>0</v>
      </c>
      <c r="AI134" s="39">
        <f>資料儲存!J1186</f>
        <v>0</v>
      </c>
      <c r="AJ134" s="13"/>
      <c r="AK134" s="38">
        <v>45</v>
      </c>
      <c r="AL134" s="39">
        <f>資料儲存!D1306</f>
        <v>0</v>
      </c>
      <c r="AM134" s="39">
        <f>資料儲存!E1306</f>
        <v>0</v>
      </c>
      <c r="AN134" s="39">
        <f>資料儲存!F1306</f>
        <v>0</v>
      </c>
      <c r="AO134" s="39">
        <f>資料儲存!G1306</f>
        <v>0</v>
      </c>
      <c r="AP134" s="39">
        <f>資料儲存!H1306</f>
        <v>0</v>
      </c>
      <c r="AQ134" s="39">
        <f>資料儲存!I1306</f>
        <v>0</v>
      </c>
      <c r="AR134" s="39">
        <f>資料儲存!J1306</f>
        <v>0</v>
      </c>
      <c r="AT134" s="38">
        <v>45</v>
      </c>
      <c r="AU134" s="39">
        <f>資料儲存!D1426</f>
        <v>0</v>
      </c>
      <c r="AV134" s="39">
        <f>資料儲存!E1426</f>
        <v>0</v>
      </c>
      <c r="AW134" s="39">
        <f>資料儲存!F1426</f>
        <v>0</v>
      </c>
      <c r="AX134" s="39">
        <f>資料儲存!G1426</f>
        <v>0</v>
      </c>
      <c r="AY134" s="39">
        <f>資料儲存!H1426</f>
        <v>0</v>
      </c>
      <c r="AZ134" s="39">
        <f>資料儲存!I1426</f>
        <v>0</v>
      </c>
      <c r="BA134" s="39">
        <f>資料儲存!J1426</f>
        <v>0</v>
      </c>
    </row>
    <row r="135" spans="1:53" ht="17.25" customHeight="1" thickBot="1">
      <c r="A135" s="40" t="s">
        <v>56</v>
      </c>
      <c r="B135" s="39">
        <f>SUM(B120:E134)</f>
        <v>0</v>
      </c>
      <c r="C135" s="37"/>
      <c r="D135" s="37"/>
      <c r="E135" s="37"/>
      <c r="F135" s="39">
        <f>F134</f>
        <v>0</v>
      </c>
      <c r="G135" s="39">
        <f>G134</f>
        <v>0</v>
      </c>
      <c r="H135" s="39">
        <f>H134</f>
        <v>0</v>
      </c>
      <c r="I135" s="35"/>
      <c r="J135" s="40" t="s">
        <v>56</v>
      </c>
      <c r="K135" s="39">
        <f>SUM(K120:N134)</f>
        <v>0</v>
      </c>
      <c r="L135" s="37"/>
      <c r="M135" s="37"/>
      <c r="N135" s="37"/>
      <c r="O135" s="39">
        <f>O134</f>
        <v>0</v>
      </c>
      <c r="P135" s="39">
        <f>P134</f>
        <v>0</v>
      </c>
      <c r="Q135" s="39">
        <f>Q134</f>
        <v>0</v>
      </c>
      <c r="R135" s="35"/>
      <c r="S135" s="40" t="s">
        <v>56</v>
      </c>
      <c r="T135" s="39">
        <f>SUM(T120:W134)</f>
        <v>0</v>
      </c>
      <c r="U135" s="37"/>
      <c r="V135" s="37"/>
      <c r="W135" s="37"/>
      <c r="X135" s="39">
        <f>X134</f>
        <v>0</v>
      </c>
      <c r="Y135" s="39">
        <f>Y134</f>
        <v>0</v>
      </c>
      <c r="Z135" s="39">
        <f>Z134</f>
        <v>0</v>
      </c>
      <c r="AA135" s="35"/>
      <c r="AB135" s="40" t="s">
        <v>56</v>
      </c>
      <c r="AC135" s="39">
        <f>SUM(AC120:AF134)</f>
        <v>0</v>
      </c>
      <c r="AD135" s="37"/>
      <c r="AE135" s="37"/>
      <c r="AF135" s="37"/>
      <c r="AG135" s="39">
        <f>AG134</f>
        <v>0</v>
      </c>
      <c r="AH135" s="39">
        <f>AH134</f>
        <v>0</v>
      </c>
      <c r="AI135" s="39">
        <f>AI134</f>
        <v>0</v>
      </c>
      <c r="AJ135" s="13"/>
      <c r="AK135" s="40" t="s">
        <v>56</v>
      </c>
      <c r="AL135" s="39">
        <f>SUM(AL120:AO134)</f>
        <v>0</v>
      </c>
      <c r="AM135" s="37"/>
      <c r="AN135" s="37"/>
      <c r="AO135" s="37"/>
      <c r="AP135" s="39">
        <f>AP134</f>
        <v>0</v>
      </c>
      <c r="AQ135" s="39">
        <f>AQ134</f>
        <v>0</v>
      </c>
      <c r="AR135" s="39">
        <f>AR134</f>
        <v>0</v>
      </c>
      <c r="AT135" s="40" t="s">
        <v>56</v>
      </c>
      <c r="AU135" s="39">
        <f>SUM(AU120:AX134)</f>
        <v>0</v>
      </c>
      <c r="AV135" s="37"/>
      <c r="AW135" s="37"/>
      <c r="AX135" s="37"/>
      <c r="AY135" s="39">
        <f>AY134</f>
        <v>0</v>
      </c>
      <c r="AZ135" s="39">
        <f>AZ134</f>
        <v>0</v>
      </c>
      <c r="BA135" s="39">
        <f>BA134</f>
        <v>0</v>
      </c>
    </row>
    <row r="136" spans="1:53" ht="18.5" thickBot="1">
      <c r="A136" s="248" t="s">
        <v>69</v>
      </c>
      <c r="B136" s="249"/>
      <c r="C136" s="249"/>
      <c r="D136" s="249"/>
      <c r="E136" s="249"/>
      <c r="F136" s="249"/>
      <c r="G136" s="249"/>
      <c r="H136" s="250"/>
      <c r="I136" s="13"/>
      <c r="J136" s="248" t="s">
        <v>69</v>
      </c>
      <c r="K136" s="249"/>
      <c r="L136" s="249"/>
      <c r="M136" s="249"/>
      <c r="N136" s="249"/>
      <c r="O136" s="249"/>
      <c r="P136" s="249"/>
      <c r="Q136" s="250"/>
      <c r="R136" s="13"/>
      <c r="S136" s="248" t="s">
        <v>69</v>
      </c>
      <c r="T136" s="249"/>
      <c r="U136" s="249"/>
      <c r="V136" s="249"/>
      <c r="W136" s="249"/>
      <c r="X136" s="249"/>
      <c r="Y136" s="249"/>
      <c r="Z136" s="250"/>
      <c r="AA136" s="13"/>
      <c r="AB136" s="248" t="s">
        <v>69</v>
      </c>
      <c r="AC136" s="249"/>
      <c r="AD136" s="249"/>
      <c r="AE136" s="249"/>
      <c r="AF136" s="249"/>
      <c r="AG136" s="249"/>
      <c r="AH136" s="249"/>
      <c r="AI136" s="250"/>
      <c r="AJ136" s="13"/>
      <c r="AK136" s="248" t="s">
        <v>69</v>
      </c>
      <c r="AL136" s="249"/>
      <c r="AM136" s="249"/>
      <c r="AN136" s="249"/>
      <c r="AO136" s="249"/>
      <c r="AP136" s="249"/>
      <c r="AQ136" s="249"/>
      <c r="AR136" s="250"/>
      <c r="AT136" s="248" t="s">
        <v>69</v>
      </c>
      <c r="AU136" s="249"/>
      <c r="AV136" s="249"/>
      <c r="AW136" s="249"/>
      <c r="AX136" s="249"/>
      <c r="AY136" s="249"/>
      <c r="AZ136" s="249"/>
      <c r="BA136" s="250"/>
    </row>
    <row r="137" spans="1:53" ht="17.25" customHeight="1" thickBot="1">
      <c r="A137" s="41" t="s">
        <v>2</v>
      </c>
      <c r="B137" s="42" t="s">
        <v>46</v>
      </c>
      <c r="C137" s="43"/>
      <c r="D137" s="43"/>
      <c r="E137" s="44"/>
      <c r="F137" s="42" t="s">
        <v>47</v>
      </c>
      <c r="G137" s="43"/>
      <c r="H137" s="44"/>
      <c r="I137" s="45"/>
      <c r="J137" s="41" t="s">
        <v>2</v>
      </c>
      <c r="K137" s="42" t="s">
        <v>46</v>
      </c>
      <c r="L137" s="43"/>
      <c r="M137" s="43"/>
      <c r="N137" s="44"/>
      <c r="O137" s="42" t="s">
        <v>47</v>
      </c>
      <c r="P137" s="43"/>
      <c r="Q137" s="44"/>
      <c r="R137" s="45"/>
      <c r="S137" s="41" t="s">
        <v>2</v>
      </c>
      <c r="T137" s="42" t="s">
        <v>46</v>
      </c>
      <c r="U137" s="43"/>
      <c r="V137" s="43"/>
      <c r="W137" s="44"/>
      <c r="X137" s="42" t="s">
        <v>47</v>
      </c>
      <c r="Y137" s="43"/>
      <c r="Z137" s="44"/>
      <c r="AA137" s="45"/>
      <c r="AB137" s="41" t="s">
        <v>2</v>
      </c>
      <c r="AC137" s="42" t="s">
        <v>46</v>
      </c>
      <c r="AD137" s="43"/>
      <c r="AE137" s="43"/>
      <c r="AF137" s="44"/>
      <c r="AG137" s="42" t="s">
        <v>47</v>
      </c>
      <c r="AH137" s="43"/>
      <c r="AI137" s="44"/>
      <c r="AJ137" s="13"/>
      <c r="AK137" s="41" t="s">
        <v>2</v>
      </c>
      <c r="AL137" s="42" t="s">
        <v>46</v>
      </c>
      <c r="AM137" s="43"/>
      <c r="AN137" s="43"/>
      <c r="AO137" s="44"/>
      <c r="AP137" s="42" t="s">
        <v>47</v>
      </c>
      <c r="AQ137" s="43"/>
      <c r="AR137" s="44"/>
      <c r="AT137" s="41" t="s">
        <v>2</v>
      </c>
      <c r="AU137" s="42" t="s">
        <v>46</v>
      </c>
      <c r="AV137" s="43"/>
      <c r="AW137" s="43"/>
      <c r="AX137" s="44"/>
      <c r="AY137" s="42" t="s">
        <v>47</v>
      </c>
      <c r="AZ137" s="43"/>
      <c r="BA137" s="44"/>
    </row>
    <row r="138" spans="1:53" ht="16" thickBot="1">
      <c r="A138" s="46" t="s">
        <v>70</v>
      </c>
      <c r="B138" s="47" t="s">
        <v>49</v>
      </c>
      <c r="C138" s="47" t="s">
        <v>50</v>
      </c>
      <c r="D138" s="47" t="s">
        <v>51</v>
      </c>
      <c r="E138" s="47" t="s">
        <v>52</v>
      </c>
      <c r="F138" s="47" t="s">
        <v>53</v>
      </c>
      <c r="G138" s="47" t="s">
        <v>54</v>
      </c>
      <c r="H138" s="47" t="s">
        <v>55</v>
      </c>
      <c r="I138" s="45"/>
      <c r="J138" s="46" t="s">
        <v>70</v>
      </c>
      <c r="K138" s="47" t="s">
        <v>49</v>
      </c>
      <c r="L138" s="47" t="s">
        <v>50</v>
      </c>
      <c r="M138" s="47" t="s">
        <v>51</v>
      </c>
      <c r="N138" s="47" t="s">
        <v>52</v>
      </c>
      <c r="O138" s="47" t="s">
        <v>53</v>
      </c>
      <c r="P138" s="47" t="s">
        <v>54</v>
      </c>
      <c r="Q138" s="47" t="s">
        <v>55</v>
      </c>
      <c r="R138" s="45"/>
      <c r="S138" s="46" t="s">
        <v>70</v>
      </c>
      <c r="T138" s="47" t="s">
        <v>49</v>
      </c>
      <c r="U138" s="47" t="s">
        <v>50</v>
      </c>
      <c r="V138" s="47" t="s">
        <v>51</v>
      </c>
      <c r="W138" s="47" t="s">
        <v>52</v>
      </c>
      <c r="X138" s="47" t="s">
        <v>53</v>
      </c>
      <c r="Y138" s="47" t="s">
        <v>54</v>
      </c>
      <c r="Z138" s="47" t="s">
        <v>55</v>
      </c>
      <c r="AA138" s="45"/>
      <c r="AB138" s="46" t="s">
        <v>70</v>
      </c>
      <c r="AC138" s="47" t="s">
        <v>49</v>
      </c>
      <c r="AD138" s="47" t="s">
        <v>50</v>
      </c>
      <c r="AE138" s="47" t="s">
        <v>51</v>
      </c>
      <c r="AF138" s="47" t="s">
        <v>52</v>
      </c>
      <c r="AG138" s="47" t="s">
        <v>53</v>
      </c>
      <c r="AH138" s="47" t="s">
        <v>54</v>
      </c>
      <c r="AI138" s="47" t="s">
        <v>55</v>
      </c>
      <c r="AJ138" s="13"/>
      <c r="AK138" s="46" t="s">
        <v>70</v>
      </c>
      <c r="AL138" s="47" t="s">
        <v>49</v>
      </c>
      <c r="AM138" s="47" t="s">
        <v>50</v>
      </c>
      <c r="AN138" s="47" t="s">
        <v>51</v>
      </c>
      <c r="AO138" s="47" t="s">
        <v>52</v>
      </c>
      <c r="AP138" s="47" t="s">
        <v>53</v>
      </c>
      <c r="AQ138" s="47" t="s">
        <v>54</v>
      </c>
      <c r="AR138" s="47" t="s">
        <v>55</v>
      </c>
      <c r="AT138" s="46" t="s">
        <v>70</v>
      </c>
      <c r="AU138" s="47" t="s">
        <v>49</v>
      </c>
      <c r="AV138" s="47" t="s">
        <v>50</v>
      </c>
      <c r="AW138" s="47" t="s">
        <v>51</v>
      </c>
      <c r="AX138" s="47" t="s">
        <v>52</v>
      </c>
      <c r="AY138" s="47" t="s">
        <v>53</v>
      </c>
      <c r="AZ138" s="47" t="s">
        <v>54</v>
      </c>
      <c r="BA138" s="47" t="s">
        <v>55</v>
      </c>
    </row>
    <row r="139" spans="1:53" ht="16" thickBot="1">
      <c r="A139" s="48">
        <v>46</v>
      </c>
      <c r="B139" s="49">
        <f>資料儲存!D827</f>
        <v>0</v>
      </c>
      <c r="C139" s="49">
        <f>資料儲存!E827</f>
        <v>0</v>
      </c>
      <c r="D139" s="49">
        <f>資料儲存!F827</f>
        <v>0</v>
      </c>
      <c r="E139" s="49">
        <f>資料儲存!G827</f>
        <v>0</v>
      </c>
      <c r="F139" s="49">
        <f>資料儲存!H827</f>
        <v>0</v>
      </c>
      <c r="G139" s="49">
        <f>資料儲存!I827</f>
        <v>0</v>
      </c>
      <c r="H139" s="49">
        <f>資料儲存!J827</f>
        <v>0</v>
      </c>
      <c r="I139" s="45"/>
      <c r="J139" s="48">
        <v>46</v>
      </c>
      <c r="K139" s="49">
        <f>資料儲存!D947</f>
        <v>0</v>
      </c>
      <c r="L139" s="49">
        <f>資料儲存!E947</f>
        <v>0</v>
      </c>
      <c r="M139" s="49">
        <f>資料儲存!F947</f>
        <v>0</v>
      </c>
      <c r="N139" s="49">
        <f>資料儲存!G947</f>
        <v>0</v>
      </c>
      <c r="O139" s="49">
        <f>資料儲存!H947</f>
        <v>0</v>
      </c>
      <c r="P139" s="49">
        <f>資料儲存!I947</f>
        <v>0</v>
      </c>
      <c r="Q139" s="49">
        <f>資料儲存!J947</f>
        <v>0</v>
      </c>
      <c r="R139" s="45"/>
      <c r="S139" s="48">
        <v>46</v>
      </c>
      <c r="T139" s="49">
        <f>資料儲存!D1067</f>
        <v>0</v>
      </c>
      <c r="U139" s="49">
        <f>資料儲存!E1067</f>
        <v>0</v>
      </c>
      <c r="V139" s="49">
        <f>資料儲存!F1067</f>
        <v>0</v>
      </c>
      <c r="W139" s="49">
        <f>資料儲存!G1067</f>
        <v>0</v>
      </c>
      <c r="X139" s="49">
        <f>資料儲存!H1067</f>
        <v>0</v>
      </c>
      <c r="Y139" s="49">
        <f>資料儲存!I1067</f>
        <v>0</v>
      </c>
      <c r="Z139" s="49">
        <f>資料儲存!J1067</f>
        <v>0</v>
      </c>
      <c r="AA139" s="45"/>
      <c r="AB139" s="48">
        <v>46</v>
      </c>
      <c r="AC139" s="49">
        <f>資料儲存!D1187</f>
        <v>0</v>
      </c>
      <c r="AD139" s="49">
        <f>資料儲存!E1187</f>
        <v>0</v>
      </c>
      <c r="AE139" s="49">
        <f>資料儲存!F1187</f>
        <v>0</v>
      </c>
      <c r="AF139" s="49">
        <f>資料儲存!G1187</f>
        <v>0</v>
      </c>
      <c r="AG139" s="49">
        <f>資料儲存!H1187</f>
        <v>0</v>
      </c>
      <c r="AH139" s="49">
        <f>資料儲存!I1187</f>
        <v>0</v>
      </c>
      <c r="AI139" s="49">
        <f>資料儲存!J1187</f>
        <v>0</v>
      </c>
      <c r="AJ139" s="13"/>
      <c r="AK139" s="48">
        <v>46</v>
      </c>
      <c r="AL139" s="49">
        <f>資料儲存!D1307</f>
        <v>0</v>
      </c>
      <c r="AM139" s="49">
        <f>資料儲存!E1307</f>
        <v>0</v>
      </c>
      <c r="AN139" s="49">
        <f>資料儲存!F1307</f>
        <v>0</v>
      </c>
      <c r="AO139" s="49">
        <f>資料儲存!G1307</f>
        <v>0</v>
      </c>
      <c r="AP139" s="49">
        <f>資料儲存!H1307</f>
        <v>0</v>
      </c>
      <c r="AQ139" s="49">
        <f>資料儲存!I1307</f>
        <v>0</v>
      </c>
      <c r="AR139" s="49">
        <f>資料儲存!J1307</f>
        <v>0</v>
      </c>
      <c r="AT139" s="48">
        <v>46</v>
      </c>
      <c r="AU139" s="49">
        <f>資料儲存!D1427</f>
        <v>0</v>
      </c>
      <c r="AV139" s="49">
        <f>資料儲存!E1427</f>
        <v>0</v>
      </c>
      <c r="AW139" s="49">
        <f>資料儲存!F1427</f>
        <v>0</v>
      </c>
      <c r="AX139" s="49">
        <f>資料儲存!G1427</f>
        <v>0</v>
      </c>
      <c r="AY139" s="49">
        <f>資料儲存!H1427</f>
        <v>0</v>
      </c>
      <c r="AZ139" s="49">
        <f>資料儲存!I1427</f>
        <v>0</v>
      </c>
      <c r="BA139" s="49">
        <f>資料儲存!J1427</f>
        <v>0</v>
      </c>
    </row>
    <row r="140" spans="1:53" ht="16" thickBot="1">
      <c r="A140" s="48">
        <v>47</v>
      </c>
      <c r="B140" s="49">
        <f>資料儲存!D828</f>
        <v>0</v>
      </c>
      <c r="C140" s="49">
        <f>資料儲存!E828</f>
        <v>0</v>
      </c>
      <c r="D140" s="49">
        <f>資料儲存!F828</f>
        <v>0</v>
      </c>
      <c r="E140" s="49">
        <f>資料儲存!G828</f>
        <v>0</v>
      </c>
      <c r="F140" s="49">
        <f>資料儲存!H828</f>
        <v>0</v>
      </c>
      <c r="G140" s="49">
        <f>資料儲存!I828</f>
        <v>0</v>
      </c>
      <c r="H140" s="49">
        <f>資料儲存!J828</f>
        <v>0</v>
      </c>
      <c r="I140" s="45"/>
      <c r="J140" s="48">
        <v>47</v>
      </c>
      <c r="K140" s="49">
        <f>資料儲存!D948</f>
        <v>0</v>
      </c>
      <c r="L140" s="49">
        <f>資料儲存!E948</f>
        <v>0</v>
      </c>
      <c r="M140" s="49">
        <f>資料儲存!F948</f>
        <v>0</v>
      </c>
      <c r="N140" s="49">
        <f>資料儲存!G948</f>
        <v>0</v>
      </c>
      <c r="O140" s="49">
        <f>資料儲存!H948</f>
        <v>0</v>
      </c>
      <c r="P140" s="49">
        <f>資料儲存!I948</f>
        <v>0</v>
      </c>
      <c r="Q140" s="49">
        <f>資料儲存!J948</f>
        <v>0</v>
      </c>
      <c r="R140" s="45"/>
      <c r="S140" s="48">
        <v>47</v>
      </c>
      <c r="T140" s="49">
        <f>資料儲存!D1068</f>
        <v>0</v>
      </c>
      <c r="U140" s="49">
        <f>資料儲存!E1068</f>
        <v>0</v>
      </c>
      <c r="V140" s="49">
        <f>資料儲存!F1068</f>
        <v>0</v>
      </c>
      <c r="W140" s="49">
        <f>資料儲存!G1068</f>
        <v>0</v>
      </c>
      <c r="X140" s="49">
        <f>資料儲存!H1068</f>
        <v>0</v>
      </c>
      <c r="Y140" s="49">
        <f>資料儲存!I1068</f>
        <v>0</v>
      </c>
      <c r="Z140" s="49">
        <f>資料儲存!J1068</f>
        <v>0</v>
      </c>
      <c r="AA140" s="45"/>
      <c r="AB140" s="48">
        <v>47</v>
      </c>
      <c r="AC140" s="49">
        <f>資料儲存!D1188</f>
        <v>0</v>
      </c>
      <c r="AD140" s="49">
        <f>資料儲存!E1188</f>
        <v>0</v>
      </c>
      <c r="AE140" s="49">
        <f>資料儲存!F1188</f>
        <v>0</v>
      </c>
      <c r="AF140" s="49">
        <f>資料儲存!G1188</f>
        <v>0</v>
      </c>
      <c r="AG140" s="49">
        <f>資料儲存!H1188</f>
        <v>0</v>
      </c>
      <c r="AH140" s="49">
        <f>資料儲存!I1188</f>
        <v>0</v>
      </c>
      <c r="AI140" s="49">
        <f>資料儲存!J1188</f>
        <v>0</v>
      </c>
      <c r="AJ140" s="13"/>
      <c r="AK140" s="48">
        <v>47</v>
      </c>
      <c r="AL140" s="49">
        <f>資料儲存!D1308</f>
        <v>0</v>
      </c>
      <c r="AM140" s="49">
        <f>資料儲存!E1308</f>
        <v>0</v>
      </c>
      <c r="AN140" s="49">
        <f>資料儲存!F1308</f>
        <v>0</v>
      </c>
      <c r="AO140" s="49">
        <f>資料儲存!G1308</f>
        <v>0</v>
      </c>
      <c r="AP140" s="49">
        <f>資料儲存!H1308</f>
        <v>0</v>
      </c>
      <c r="AQ140" s="49">
        <f>資料儲存!I1308</f>
        <v>0</v>
      </c>
      <c r="AR140" s="49">
        <f>資料儲存!J1308</f>
        <v>0</v>
      </c>
      <c r="AT140" s="48">
        <v>47</v>
      </c>
      <c r="AU140" s="49">
        <f>資料儲存!D1428</f>
        <v>0</v>
      </c>
      <c r="AV140" s="49">
        <f>資料儲存!E1428</f>
        <v>0</v>
      </c>
      <c r="AW140" s="49">
        <f>資料儲存!F1428</f>
        <v>0</v>
      </c>
      <c r="AX140" s="49">
        <f>資料儲存!G1428</f>
        <v>0</v>
      </c>
      <c r="AY140" s="49">
        <f>資料儲存!H1428</f>
        <v>0</v>
      </c>
      <c r="AZ140" s="49">
        <f>資料儲存!I1428</f>
        <v>0</v>
      </c>
      <c r="BA140" s="49">
        <f>資料儲存!J1428</f>
        <v>0</v>
      </c>
    </row>
    <row r="141" spans="1:53" ht="16" thickBot="1">
      <c r="A141" s="48">
        <v>48</v>
      </c>
      <c r="B141" s="49">
        <f>資料儲存!D829</f>
        <v>0</v>
      </c>
      <c r="C141" s="49">
        <f>資料儲存!E829</f>
        <v>0</v>
      </c>
      <c r="D141" s="49">
        <f>資料儲存!F829</f>
        <v>0</v>
      </c>
      <c r="E141" s="49">
        <f>資料儲存!G829</f>
        <v>0</v>
      </c>
      <c r="F141" s="49">
        <f>資料儲存!H829</f>
        <v>0</v>
      </c>
      <c r="G141" s="49">
        <f>資料儲存!I829</f>
        <v>0</v>
      </c>
      <c r="H141" s="49">
        <f>資料儲存!J829</f>
        <v>0</v>
      </c>
      <c r="I141" s="45"/>
      <c r="J141" s="48">
        <v>48</v>
      </c>
      <c r="K141" s="49">
        <f>資料儲存!D949</f>
        <v>0</v>
      </c>
      <c r="L141" s="49">
        <f>資料儲存!E949</f>
        <v>0</v>
      </c>
      <c r="M141" s="49">
        <f>資料儲存!F949</f>
        <v>0</v>
      </c>
      <c r="N141" s="49">
        <f>資料儲存!G949</f>
        <v>0</v>
      </c>
      <c r="O141" s="49">
        <f>資料儲存!H949</f>
        <v>0</v>
      </c>
      <c r="P141" s="49">
        <f>資料儲存!I949</f>
        <v>0</v>
      </c>
      <c r="Q141" s="49">
        <f>資料儲存!J949</f>
        <v>0</v>
      </c>
      <c r="R141" s="45"/>
      <c r="S141" s="48">
        <v>48</v>
      </c>
      <c r="T141" s="49">
        <f>資料儲存!D1069</f>
        <v>0</v>
      </c>
      <c r="U141" s="49">
        <f>資料儲存!E1069</f>
        <v>0</v>
      </c>
      <c r="V141" s="49">
        <f>資料儲存!F1069</f>
        <v>0</v>
      </c>
      <c r="W141" s="49">
        <f>資料儲存!G1069</f>
        <v>0</v>
      </c>
      <c r="X141" s="49">
        <f>資料儲存!H1069</f>
        <v>0</v>
      </c>
      <c r="Y141" s="49">
        <f>資料儲存!I1069</f>
        <v>0</v>
      </c>
      <c r="Z141" s="49">
        <f>資料儲存!J1069</f>
        <v>0</v>
      </c>
      <c r="AA141" s="45"/>
      <c r="AB141" s="48">
        <v>48</v>
      </c>
      <c r="AC141" s="49">
        <f>資料儲存!D1189</f>
        <v>0</v>
      </c>
      <c r="AD141" s="49">
        <f>資料儲存!E1189</f>
        <v>0</v>
      </c>
      <c r="AE141" s="49">
        <f>資料儲存!F1189</f>
        <v>0</v>
      </c>
      <c r="AF141" s="49">
        <f>資料儲存!G1189</f>
        <v>0</v>
      </c>
      <c r="AG141" s="49">
        <f>資料儲存!H1189</f>
        <v>0</v>
      </c>
      <c r="AH141" s="49">
        <f>資料儲存!I1189</f>
        <v>0</v>
      </c>
      <c r="AI141" s="49">
        <f>資料儲存!J1189</f>
        <v>0</v>
      </c>
      <c r="AJ141" s="13"/>
      <c r="AK141" s="48">
        <v>48</v>
      </c>
      <c r="AL141" s="49">
        <f>資料儲存!D1309</f>
        <v>0</v>
      </c>
      <c r="AM141" s="49">
        <f>資料儲存!E1309</f>
        <v>0</v>
      </c>
      <c r="AN141" s="49">
        <f>資料儲存!F1309</f>
        <v>0</v>
      </c>
      <c r="AO141" s="49">
        <f>資料儲存!G1309</f>
        <v>0</v>
      </c>
      <c r="AP141" s="49">
        <f>資料儲存!H1309</f>
        <v>0</v>
      </c>
      <c r="AQ141" s="49">
        <f>資料儲存!I1309</f>
        <v>0</v>
      </c>
      <c r="AR141" s="49">
        <f>資料儲存!J1309</f>
        <v>0</v>
      </c>
      <c r="AT141" s="48">
        <v>48</v>
      </c>
      <c r="AU141" s="49">
        <f>資料儲存!D1429</f>
        <v>0</v>
      </c>
      <c r="AV141" s="49">
        <f>資料儲存!E1429</f>
        <v>0</v>
      </c>
      <c r="AW141" s="49">
        <f>資料儲存!F1429</f>
        <v>0</v>
      </c>
      <c r="AX141" s="49">
        <f>資料儲存!G1429</f>
        <v>0</v>
      </c>
      <c r="AY141" s="49">
        <f>資料儲存!H1429</f>
        <v>0</v>
      </c>
      <c r="AZ141" s="49">
        <f>資料儲存!I1429</f>
        <v>0</v>
      </c>
      <c r="BA141" s="49">
        <f>資料儲存!J1429</f>
        <v>0</v>
      </c>
    </row>
    <row r="142" spans="1:53" ht="16" thickBot="1">
      <c r="A142" s="48">
        <v>49</v>
      </c>
      <c r="B142" s="49">
        <f>資料儲存!D830</f>
        <v>0</v>
      </c>
      <c r="C142" s="49">
        <f>資料儲存!E830</f>
        <v>0</v>
      </c>
      <c r="D142" s="49">
        <f>資料儲存!F830</f>
        <v>0</v>
      </c>
      <c r="E142" s="49">
        <f>資料儲存!G830</f>
        <v>0</v>
      </c>
      <c r="F142" s="49">
        <f>資料儲存!H830</f>
        <v>0</v>
      </c>
      <c r="G142" s="49">
        <f>資料儲存!I830</f>
        <v>0</v>
      </c>
      <c r="H142" s="49">
        <f>資料儲存!J830</f>
        <v>0</v>
      </c>
      <c r="I142" s="45"/>
      <c r="J142" s="48">
        <v>49</v>
      </c>
      <c r="K142" s="49">
        <f>資料儲存!D950</f>
        <v>0</v>
      </c>
      <c r="L142" s="49">
        <f>資料儲存!E950</f>
        <v>0</v>
      </c>
      <c r="M142" s="49">
        <f>資料儲存!F950</f>
        <v>0</v>
      </c>
      <c r="N142" s="49">
        <f>資料儲存!G950</f>
        <v>0</v>
      </c>
      <c r="O142" s="49">
        <f>資料儲存!H950</f>
        <v>0</v>
      </c>
      <c r="P142" s="49">
        <f>資料儲存!I950</f>
        <v>0</v>
      </c>
      <c r="Q142" s="49">
        <f>資料儲存!J950</f>
        <v>0</v>
      </c>
      <c r="R142" s="45"/>
      <c r="S142" s="48">
        <v>49</v>
      </c>
      <c r="T142" s="49">
        <f>資料儲存!D1070</f>
        <v>0</v>
      </c>
      <c r="U142" s="49">
        <f>資料儲存!E1070</f>
        <v>0</v>
      </c>
      <c r="V142" s="49">
        <f>資料儲存!F1070</f>
        <v>0</v>
      </c>
      <c r="W142" s="49">
        <f>資料儲存!G1070</f>
        <v>0</v>
      </c>
      <c r="X142" s="49">
        <f>資料儲存!H1070</f>
        <v>0</v>
      </c>
      <c r="Y142" s="49">
        <f>資料儲存!I1070</f>
        <v>0</v>
      </c>
      <c r="Z142" s="49">
        <f>資料儲存!J1070</f>
        <v>0</v>
      </c>
      <c r="AA142" s="45"/>
      <c r="AB142" s="48">
        <v>49</v>
      </c>
      <c r="AC142" s="49">
        <f>資料儲存!D1190</f>
        <v>0</v>
      </c>
      <c r="AD142" s="49">
        <f>資料儲存!E1190</f>
        <v>0</v>
      </c>
      <c r="AE142" s="49">
        <f>資料儲存!F1190</f>
        <v>0</v>
      </c>
      <c r="AF142" s="49">
        <f>資料儲存!G1190</f>
        <v>0</v>
      </c>
      <c r="AG142" s="49">
        <f>資料儲存!H1190</f>
        <v>0</v>
      </c>
      <c r="AH142" s="49">
        <f>資料儲存!I1190</f>
        <v>0</v>
      </c>
      <c r="AI142" s="49">
        <f>資料儲存!J1190</f>
        <v>0</v>
      </c>
      <c r="AJ142" s="13"/>
      <c r="AK142" s="48">
        <v>49</v>
      </c>
      <c r="AL142" s="49">
        <f>資料儲存!D1310</f>
        <v>0</v>
      </c>
      <c r="AM142" s="49">
        <f>資料儲存!E1310</f>
        <v>0</v>
      </c>
      <c r="AN142" s="49">
        <f>資料儲存!F1310</f>
        <v>0</v>
      </c>
      <c r="AO142" s="49">
        <f>資料儲存!G1310</f>
        <v>0</v>
      </c>
      <c r="AP142" s="49">
        <f>資料儲存!H1310</f>
        <v>0</v>
      </c>
      <c r="AQ142" s="49">
        <f>資料儲存!I1310</f>
        <v>0</v>
      </c>
      <c r="AR142" s="49">
        <f>資料儲存!J1310</f>
        <v>0</v>
      </c>
      <c r="AT142" s="48">
        <v>49</v>
      </c>
      <c r="AU142" s="49">
        <f>資料儲存!D1430</f>
        <v>0</v>
      </c>
      <c r="AV142" s="49">
        <f>資料儲存!E1430</f>
        <v>0</v>
      </c>
      <c r="AW142" s="49">
        <f>資料儲存!F1430</f>
        <v>0</v>
      </c>
      <c r="AX142" s="49">
        <f>資料儲存!G1430</f>
        <v>0</v>
      </c>
      <c r="AY142" s="49">
        <f>資料儲存!H1430</f>
        <v>0</v>
      </c>
      <c r="AZ142" s="49">
        <f>資料儲存!I1430</f>
        <v>0</v>
      </c>
      <c r="BA142" s="49">
        <f>資料儲存!J1430</f>
        <v>0</v>
      </c>
    </row>
    <row r="143" spans="1:53" ht="16" thickBot="1">
      <c r="A143" s="48">
        <v>50</v>
      </c>
      <c r="B143" s="49">
        <f>資料儲存!D831</f>
        <v>0</v>
      </c>
      <c r="C143" s="49">
        <f>資料儲存!E831</f>
        <v>0</v>
      </c>
      <c r="D143" s="49">
        <f>資料儲存!F831</f>
        <v>0</v>
      </c>
      <c r="E143" s="49">
        <f>資料儲存!G831</f>
        <v>0</v>
      </c>
      <c r="F143" s="49">
        <f>資料儲存!H831</f>
        <v>0</v>
      </c>
      <c r="G143" s="49">
        <f>資料儲存!I831</f>
        <v>0</v>
      </c>
      <c r="H143" s="49">
        <f>資料儲存!J831</f>
        <v>0</v>
      </c>
      <c r="I143" s="45"/>
      <c r="J143" s="48">
        <v>50</v>
      </c>
      <c r="K143" s="49">
        <f>資料儲存!D951</f>
        <v>0</v>
      </c>
      <c r="L143" s="49">
        <f>資料儲存!E951</f>
        <v>0</v>
      </c>
      <c r="M143" s="49">
        <f>資料儲存!F951</f>
        <v>0</v>
      </c>
      <c r="N143" s="49">
        <f>資料儲存!G951</f>
        <v>0</v>
      </c>
      <c r="O143" s="49">
        <f>資料儲存!H951</f>
        <v>0</v>
      </c>
      <c r="P143" s="49">
        <f>資料儲存!I951</f>
        <v>0</v>
      </c>
      <c r="Q143" s="49">
        <f>資料儲存!J951</f>
        <v>0</v>
      </c>
      <c r="R143" s="45"/>
      <c r="S143" s="48">
        <v>50</v>
      </c>
      <c r="T143" s="49">
        <f>資料儲存!D1071</f>
        <v>0</v>
      </c>
      <c r="U143" s="49">
        <f>資料儲存!E1071</f>
        <v>0</v>
      </c>
      <c r="V143" s="49">
        <f>資料儲存!F1071</f>
        <v>0</v>
      </c>
      <c r="W143" s="49">
        <f>資料儲存!G1071</f>
        <v>0</v>
      </c>
      <c r="X143" s="49">
        <f>資料儲存!H1071</f>
        <v>0</v>
      </c>
      <c r="Y143" s="49">
        <f>資料儲存!I1071</f>
        <v>0</v>
      </c>
      <c r="Z143" s="49">
        <f>資料儲存!J1071</f>
        <v>0</v>
      </c>
      <c r="AA143" s="45"/>
      <c r="AB143" s="48">
        <v>50</v>
      </c>
      <c r="AC143" s="49">
        <f>資料儲存!D1191</f>
        <v>0</v>
      </c>
      <c r="AD143" s="49">
        <f>資料儲存!E1191</f>
        <v>0</v>
      </c>
      <c r="AE143" s="49">
        <f>資料儲存!F1191</f>
        <v>0</v>
      </c>
      <c r="AF143" s="49">
        <f>資料儲存!G1191</f>
        <v>0</v>
      </c>
      <c r="AG143" s="49">
        <f>資料儲存!H1191</f>
        <v>0</v>
      </c>
      <c r="AH143" s="49">
        <f>資料儲存!I1191</f>
        <v>0</v>
      </c>
      <c r="AI143" s="49">
        <f>資料儲存!J1191</f>
        <v>0</v>
      </c>
      <c r="AJ143" s="13"/>
      <c r="AK143" s="48">
        <v>50</v>
      </c>
      <c r="AL143" s="49">
        <f>資料儲存!D1311</f>
        <v>0</v>
      </c>
      <c r="AM143" s="49">
        <f>資料儲存!E1311</f>
        <v>0</v>
      </c>
      <c r="AN143" s="49">
        <f>資料儲存!F1311</f>
        <v>0</v>
      </c>
      <c r="AO143" s="49">
        <f>資料儲存!G1311</f>
        <v>0</v>
      </c>
      <c r="AP143" s="49">
        <f>資料儲存!H1311</f>
        <v>0</v>
      </c>
      <c r="AQ143" s="49">
        <f>資料儲存!I1311</f>
        <v>0</v>
      </c>
      <c r="AR143" s="49">
        <f>資料儲存!J1311</f>
        <v>0</v>
      </c>
      <c r="AT143" s="48">
        <v>50</v>
      </c>
      <c r="AU143" s="49">
        <f>資料儲存!D1431</f>
        <v>0</v>
      </c>
      <c r="AV143" s="49">
        <f>資料儲存!E1431</f>
        <v>0</v>
      </c>
      <c r="AW143" s="49">
        <f>資料儲存!F1431</f>
        <v>0</v>
      </c>
      <c r="AX143" s="49">
        <f>資料儲存!G1431</f>
        <v>0</v>
      </c>
      <c r="AY143" s="49">
        <f>資料儲存!H1431</f>
        <v>0</v>
      </c>
      <c r="AZ143" s="49">
        <f>資料儲存!I1431</f>
        <v>0</v>
      </c>
      <c r="BA143" s="49">
        <f>資料儲存!J1431</f>
        <v>0</v>
      </c>
    </row>
    <row r="144" spans="1:53" ht="16" thickBot="1">
      <c r="A144" s="48">
        <v>51</v>
      </c>
      <c r="B144" s="49">
        <f>資料儲存!D832</f>
        <v>0</v>
      </c>
      <c r="C144" s="49">
        <f>資料儲存!E832</f>
        <v>0</v>
      </c>
      <c r="D144" s="49">
        <f>資料儲存!F832</f>
        <v>0</v>
      </c>
      <c r="E144" s="49">
        <f>資料儲存!G832</f>
        <v>0</v>
      </c>
      <c r="F144" s="49">
        <f>資料儲存!H832</f>
        <v>0</v>
      </c>
      <c r="G144" s="49">
        <f>資料儲存!I832</f>
        <v>0</v>
      </c>
      <c r="H144" s="49">
        <f>資料儲存!J832</f>
        <v>0</v>
      </c>
      <c r="I144" s="45"/>
      <c r="J144" s="48">
        <v>51</v>
      </c>
      <c r="K144" s="49">
        <f>資料儲存!D952</f>
        <v>0</v>
      </c>
      <c r="L144" s="49">
        <f>資料儲存!E952</f>
        <v>0</v>
      </c>
      <c r="M144" s="49">
        <f>資料儲存!F952</f>
        <v>0</v>
      </c>
      <c r="N144" s="49">
        <f>資料儲存!G952</f>
        <v>0</v>
      </c>
      <c r="O144" s="49">
        <f>資料儲存!H952</f>
        <v>0</v>
      </c>
      <c r="P144" s="49">
        <f>資料儲存!I952</f>
        <v>0</v>
      </c>
      <c r="Q144" s="49">
        <f>資料儲存!J952</f>
        <v>0</v>
      </c>
      <c r="R144" s="45"/>
      <c r="S144" s="48">
        <v>51</v>
      </c>
      <c r="T144" s="49">
        <f>資料儲存!D1072</f>
        <v>0</v>
      </c>
      <c r="U144" s="49">
        <f>資料儲存!E1072</f>
        <v>0</v>
      </c>
      <c r="V144" s="49">
        <f>資料儲存!F1072</f>
        <v>0</v>
      </c>
      <c r="W144" s="49">
        <f>資料儲存!G1072</f>
        <v>0</v>
      </c>
      <c r="X144" s="49">
        <f>資料儲存!H1072</f>
        <v>0</v>
      </c>
      <c r="Y144" s="49">
        <f>資料儲存!I1072</f>
        <v>0</v>
      </c>
      <c r="Z144" s="49">
        <f>資料儲存!J1072</f>
        <v>0</v>
      </c>
      <c r="AA144" s="45"/>
      <c r="AB144" s="48">
        <v>51</v>
      </c>
      <c r="AC144" s="49">
        <f>資料儲存!D1192</f>
        <v>0</v>
      </c>
      <c r="AD144" s="49">
        <f>資料儲存!E1192</f>
        <v>0</v>
      </c>
      <c r="AE144" s="49">
        <f>資料儲存!F1192</f>
        <v>0</v>
      </c>
      <c r="AF144" s="49">
        <f>資料儲存!G1192</f>
        <v>0</v>
      </c>
      <c r="AG144" s="49">
        <f>資料儲存!H1192</f>
        <v>0</v>
      </c>
      <c r="AH144" s="49">
        <f>資料儲存!I1192</f>
        <v>0</v>
      </c>
      <c r="AI144" s="49">
        <f>資料儲存!J1192</f>
        <v>0</v>
      </c>
      <c r="AJ144" s="13"/>
      <c r="AK144" s="48">
        <v>51</v>
      </c>
      <c r="AL144" s="49">
        <f>資料儲存!D1312</f>
        <v>0</v>
      </c>
      <c r="AM144" s="49">
        <f>資料儲存!E1312</f>
        <v>0</v>
      </c>
      <c r="AN144" s="49">
        <f>資料儲存!F1312</f>
        <v>0</v>
      </c>
      <c r="AO144" s="49">
        <f>資料儲存!G1312</f>
        <v>0</v>
      </c>
      <c r="AP144" s="49">
        <f>資料儲存!H1312</f>
        <v>0</v>
      </c>
      <c r="AQ144" s="49">
        <f>資料儲存!I1312</f>
        <v>0</v>
      </c>
      <c r="AR144" s="49">
        <f>資料儲存!J1312</f>
        <v>0</v>
      </c>
      <c r="AT144" s="48">
        <v>51</v>
      </c>
      <c r="AU144" s="49">
        <f>資料儲存!D1432</f>
        <v>0</v>
      </c>
      <c r="AV144" s="49">
        <f>資料儲存!E1432</f>
        <v>0</v>
      </c>
      <c r="AW144" s="49">
        <f>資料儲存!F1432</f>
        <v>0</v>
      </c>
      <c r="AX144" s="49">
        <f>資料儲存!G1432</f>
        <v>0</v>
      </c>
      <c r="AY144" s="49">
        <f>資料儲存!H1432</f>
        <v>0</v>
      </c>
      <c r="AZ144" s="49">
        <f>資料儲存!I1432</f>
        <v>0</v>
      </c>
      <c r="BA144" s="49">
        <f>資料儲存!J1432</f>
        <v>0</v>
      </c>
    </row>
    <row r="145" spans="1:53" ht="16" thickBot="1">
      <c r="A145" s="48">
        <v>52</v>
      </c>
      <c r="B145" s="49">
        <f>資料儲存!D833</f>
        <v>0</v>
      </c>
      <c r="C145" s="49">
        <f>資料儲存!E833</f>
        <v>0</v>
      </c>
      <c r="D145" s="49">
        <f>資料儲存!F833</f>
        <v>0</v>
      </c>
      <c r="E145" s="49">
        <f>資料儲存!G833</f>
        <v>0</v>
      </c>
      <c r="F145" s="49">
        <f>資料儲存!H833</f>
        <v>0</v>
      </c>
      <c r="G145" s="49">
        <f>資料儲存!I833</f>
        <v>0</v>
      </c>
      <c r="H145" s="49">
        <f>資料儲存!J833</f>
        <v>0</v>
      </c>
      <c r="I145" s="45"/>
      <c r="J145" s="48">
        <v>52</v>
      </c>
      <c r="K145" s="49">
        <f>資料儲存!D953</f>
        <v>0</v>
      </c>
      <c r="L145" s="49">
        <f>資料儲存!E953</f>
        <v>0</v>
      </c>
      <c r="M145" s="49">
        <f>資料儲存!F953</f>
        <v>0</v>
      </c>
      <c r="N145" s="49">
        <f>資料儲存!G953</f>
        <v>0</v>
      </c>
      <c r="O145" s="49">
        <f>資料儲存!H953</f>
        <v>0</v>
      </c>
      <c r="P145" s="49">
        <f>資料儲存!I953</f>
        <v>0</v>
      </c>
      <c r="Q145" s="49">
        <f>資料儲存!J953</f>
        <v>0</v>
      </c>
      <c r="R145" s="45"/>
      <c r="S145" s="48">
        <v>52</v>
      </c>
      <c r="T145" s="49">
        <f>資料儲存!D1073</f>
        <v>0</v>
      </c>
      <c r="U145" s="49">
        <f>資料儲存!E1073</f>
        <v>0</v>
      </c>
      <c r="V145" s="49">
        <f>資料儲存!F1073</f>
        <v>0</v>
      </c>
      <c r="W145" s="49">
        <f>資料儲存!G1073</f>
        <v>0</v>
      </c>
      <c r="X145" s="49">
        <f>資料儲存!H1073</f>
        <v>0</v>
      </c>
      <c r="Y145" s="49">
        <f>資料儲存!I1073</f>
        <v>0</v>
      </c>
      <c r="Z145" s="49">
        <f>資料儲存!J1073</f>
        <v>0</v>
      </c>
      <c r="AA145" s="45"/>
      <c r="AB145" s="48">
        <v>52</v>
      </c>
      <c r="AC145" s="49">
        <f>資料儲存!D1193</f>
        <v>0</v>
      </c>
      <c r="AD145" s="49">
        <f>資料儲存!E1193</f>
        <v>0</v>
      </c>
      <c r="AE145" s="49">
        <f>資料儲存!F1193</f>
        <v>0</v>
      </c>
      <c r="AF145" s="49">
        <f>資料儲存!G1193</f>
        <v>0</v>
      </c>
      <c r="AG145" s="49">
        <f>資料儲存!H1193</f>
        <v>0</v>
      </c>
      <c r="AH145" s="49">
        <f>資料儲存!I1193</f>
        <v>0</v>
      </c>
      <c r="AI145" s="49">
        <f>資料儲存!J1193</f>
        <v>0</v>
      </c>
      <c r="AJ145" s="13"/>
      <c r="AK145" s="48">
        <v>52</v>
      </c>
      <c r="AL145" s="49">
        <f>資料儲存!D1313</f>
        <v>0</v>
      </c>
      <c r="AM145" s="49">
        <f>資料儲存!E1313</f>
        <v>0</v>
      </c>
      <c r="AN145" s="49">
        <f>資料儲存!F1313</f>
        <v>0</v>
      </c>
      <c r="AO145" s="49">
        <f>資料儲存!G1313</f>
        <v>0</v>
      </c>
      <c r="AP145" s="49">
        <f>資料儲存!H1313</f>
        <v>0</v>
      </c>
      <c r="AQ145" s="49">
        <f>資料儲存!I1313</f>
        <v>0</v>
      </c>
      <c r="AR145" s="49">
        <f>資料儲存!J1313</f>
        <v>0</v>
      </c>
      <c r="AT145" s="48">
        <v>52</v>
      </c>
      <c r="AU145" s="49">
        <f>資料儲存!D1433</f>
        <v>0</v>
      </c>
      <c r="AV145" s="49">
        <f>資料儲存!E1433</f>
        <v>0</v>
      </c>
      <c r="AW145" s="49">
        <f>資料儲存!F1433</f>
        <v>0</v>
      </c>
      <c r="AX145" s="49">
        <f>資料儲存!G1433</f>
        <v>0</v>
      </c>
      <c r="AY145" s="49">
        <f>資料儲存!H1433</f>
        <v>0</v>
      </c>
      <c r="AZ145" s="49">
        <f>資料儲存!I1433</f>
        <v>0</v>
      </c>
      <c r="BA145" s="49">
        <f>資料儲存!J1433</f>
        <v>0</v>
      </c>
    </row>
    <row r="146" spans="1:53" ht="16" thickBot="1">
      <c r="A146" s="48">
        <v>53</v>
      </c>
      <c r="B146" s="49">
        <f>資料儲存!D834</f>
        <v>0</v>
      </c>
      <c r="C146" s="49">
        <f>資料儲存!E834</f>
        <v>0</v>
      </c>
      <c r="D146" s="49">
        <f>資料儲存!F834</f>
        <v>0</v>
      </c>
      <c r="E146" s="49">
        <f>資料儲存!G834</f>
        <v>0</v>
      </c>
      <c r="F146" s="49">
        <f>資料儲存!H834</f>
        <v>0</v>
      </c>
      <c r="G146" s="49">
        <f>資料儲存!I834</f>
        <v>0</v>
      </c>
      <c r="H146" s="49">
        <f>資料儲存!J834</f>
        <v>0</v>
      </c>
      <c r="I146" s="45"/>
      <c r="J146" s="48">
        <v>53</v>
      </c>
      <c r="K146" s="49">
        <f>資料儲存!D954</f>
        <v>0</v>
      </c>
      <c r="L146" s="49">
        <f>資料儲存!E954</f>
        <v>0</v>
      </c>
      <c r="M146" s="49">
        <f>資料儲存!F954</f>
        <v>0</v>
      </c>
      <c r="N146" s="49">
        <f>資料儲存!G954</f>
        <v>0</v>
      </c>
      <c r="O146" s="49">
        <f>資料儲存!H954</f>
        <v>0</v>
      </c>
      <c r="P146" s="49">
        <f>資料儲存!I954</f>
        <v>0</v>
      </c>
      <c r="Q146" s="49">
        <f>資料儲存!J954</f>
        <v>0</v>
      </c>
      <c r="R146" s="45"/>
      <c r="S146" s="48">
        <v>53</v>
      </c>
      <c r="T146" s="49">
        <f>資料儲存!D1074</f>
        <v>0</v>
      </c>
      <c r="U146" s="49">
        <f>資料儲存!E1074</f>
        <v>0</v>
      </c>
      <c r="V146" s="49">
        <f>資料儲存!F1074</f>
        <v>0</v>
      </c>
      <c r="W146" s="49">
        <f>資料儲存!G1074</f>
        <v>0</v>
      </c>
      <c r="X146" s="49">
        <f>資料儲存!H1074</f>
        <v>0</v>
      </c>
      <c r="Y146" s="49">
        <f>資料儲存!I1074</f>
        <v>0</v>
      </c>
      <c r="Z146" s="49">
        <f>資料儲存!J1074</f>
        <v>0</v>
      </c>
      <c r="AA146" s="45"/>
      <c r="AB146" s="48">
        <v>53</v>
      </c>
      <c r="AC146" s="49">
        <f>資料儲存!D1194</f>
        <v>0</v>
      </c>
      <c r="AD146" s="49">
        <f>資料儲存!E1194</f>
        <v>0</v>
      </c>
      <c r="AE146" s="49">
        <f>資料儲存!F1194</f>
        <v>0</v>
      </c>
      <c r="AF146" s="49">
        <f>資料儲存!G1194</f>
        <v>0</v>
      </c>
      <c r="AG146" s="49">
        <f>資料儲存!H1194</f>
        <v>0</v>
      </c>
      <c r="AH146" s="49">
        <f>資料儲存!I1194</f>
        <v>0</v>
      </c>
      <c r="AI146" s="49">
        <f>資料儲存!J1194</f>
        <v>0</v>
      </c>
      <c r="AJ146" s="13"/>
      <c r="AK146" s="48">
        <v>53</v>
      </c>
      <c r="AL146" s="49">
        <f>資料儲存!D1314</f>
        <v>0</v>
      </c>
      <c r="AM146" s="49">
        <f>資料儲存!E1314</f>
        <v>0</v>
      </c>
      <c r="AN146" s="49">
        <f>資料儲存!F1314</f>
        <v>0</v>
      </c>
      <c r="AO146" s="49">
        <f>資料儲存!G1314</f>
        <v>0</v>
      </c>
      <c r="AP146" s="49">
        <f>資料儲存!H1314</f>
        <v>0</v>
      </c>
      <c r="AQ146" s="49">
        <f>資料儲存!I1314</f>
        <v>0</v>
      </c>
      <c r="AR146" s="49">
        <f>資料儲存!J1314</f>
        <v>0</v>
      </c>
      <c r="AT146" s="48">
        <v>53</v>
      </c>
      <c r="AU146" s="49">
        <f>資料儲存!D1434</f>
        <v>0</v>
      </c>
      <c r="AV146" s="49">
        <f>資料儲存!E1434</f>
        <v>0</v>
      </c>
      <c r="AW146" s="49">
        <f>資料儲存!F1434</f>
        <v>0</v>
      </c>
      <c r="AX146" s="49">
        <f>資料儲存!G1434</f>
        <v>0</v>
      </c>
      <c r="AY146" s="49">
        <f>資料儲存!H1434</f>
        <v>0</v>
      </c>
      <c r="AZ146" s="49">
        <f>資料儲存!I1434</f>
        <v>0</v>
      </c>
      <c r="BA146" s="49">
        <f>資料儲存!J1434</f>
        <v>0</v>
      </c>
    </row>
    <row r="147" spans="1:53" ht="16" thickBot="1">
      <c r="A147" s="48">
        <v>54</v>
      </c>
      <c r="B147" s="49">
        <f>資料儲存!D835</f>
        <v>0</v>
      </c>
      <c r="C147" s="49">
        <f>資料儲存!E835</f>
        <v>0</v>
      </c>
      <c r="D147" s="49">
        <f>資料儲存!F835</f>
        <v>0</v>
      </c>
      <c r="E147" s="49">
        <f>資料儲存!G835</f>
        <v>0</v>
      </c>
      <c r="F147" s="49">
        <f>資料儲存!H835</f>
        <v>0</v>
      </c>
      <c r="G147" s="49">
        <f>資料儲存!I835</f>
        <v>0</v>
      </c>
      <c r="H147" s="49">
        <f>資料儲存!J835</f>
        <v>0</v>
      </c>
      <c r="I147" s="45"/>
      <c r="J147" s="48">
        <v>54</v>
      </c>
      <c r="K147" s="49">
        <f>資料儲存!D955</f>
        <v>0</v>
      </c>
      <c r="L147" s="49">
        <f>資料儲存!E955</f>
        <v>0</v>
      </c>
      <c r="M147" s="49">
        <f>資料儲存!F955</f>
        <v>0</v>
      </c>
      <c r="N147" s="49">
        <f>資料儲存!G955</f>
        <v>0</v>
      </c>
      <c r="O147" s="49">
        <f>資料儲存!H955</f>
        <v>0</v>
      </c>
      <c r="P147" s="49">
        <f>資料儲存!I955</f>
        <v>0</v>
      </c>
      <c r="Q147" s="49">
        <f>資料儲存!J955</f>
        <v>0</v>
      </c>
      <c r="R147" s="45"/>
      <c r="S147" s="48">
        <v>54</v>
      </c>
      <c r="T147" s="49">
        <f>資料儲存!D1075</f>
        <v>0</v>
      </c>
      <c r="U147" s="49">
        <f>資料儲存!E1075</f>
        <v>0</v>
      </c>
      <c r="V147" s="49">
        <f>資料儲存!F1075</f>
        <v>0</v>
      </c>
      <c r="W147" s="49">
        <f>資料儲存!G1075</f>
        <v>0</v>
      </c>
      <c r="X147" s="49">
        <f>資料儲存!H1075</f>
        <v>0</v>
      </c>
      <c r="Y147" s="49">
        <f>資料儲存!I1075</f>
        <v>0</v>
      </c>
      <c r="Z147" s="49">
        <f>資料儲存!J1075</f>
        <v>0</v>
      </c>
      <c r="AA147" s="45"/>
      <c r="AB147" s="48">
        <v>54</v>
      </c>
      <c r="AC147" s="49">
        <f>資料儲存!D1195</f>
        <v>0</v>
      </c>
      <c r="AD147" s="49">
        <f>資料儲存!E1195</f>
        <v>0</v>
      </c>
      <c r="AE147" s="49">
        <f>資料儲存!F1195</f>
        <v>0</v>
      </c>
      <c r="AF147" s="49">
        <f>資料儲存!G1195</f>
        <v>0</v>
      </c>
      <c r="AG147" s="49">
        <f>資料儲存!H1195</f>
        <v>0</v>
      </c>
      <c r="AH147" s="49">
        <f>資料儲存!I1195</f>
        <v>0</v>
      </c>
      <c r="AI147" s="49">
        <f>資料儲存!J1195</f>
        <v>0</v>
      </c>
      <c r="AJ147" s="13"/>
      <c r="AK147" s="48">
        <v>54</v>
      </c>
      <c r="AL147" s="49">
        <f>資料儲存!D1315</f>
        <v>0</v>
      </c>
      <c r="AM147" s="49">
        <f>資料儲存!E1315</f>
        <v>0</v>
      </c>
      <c r="AN147" s="49">
        <f>資料儲存!F1315</f>
        <v>0</v>
      </c>
      <c r="AO147" s="49">
        <f>資料儲存!G1315</f>
        <v>0</v>
      </c>
      <c r="AP147" s="49">
        <f>資料儲存!H1315</f>
        <v>0</v>
      </c>
      <c r="AQ147" s="49">
        <f>資料儲存!I1315</f>
        <v>0</v>
      </c>
      <c r="AR147" s="49">
        <f>資料儲存!J1315</f>
        <v>0</v>
      </c>
      <c r="AT147" s="48">
        <v>54</v>
      </c>
      <c r="AU147" s="49">
        <f>資料儲存!D1435</f>
        <v>0</v>
      </c>
      <c r="AV147" s="49">
        <f>資料儲存!E1435</f>
        <v>0</v>
      </c>
      <c r="AW147" s="49">
        <f>資料儲存!F1435</f>
        <v>0</v>
      </c>
      <c r="AX147" s="49">
        <f>資料儲存!G1435</f>
        <v>0</v>
      </c>
      <c r="AY147" s="49">
        <f>資料儲存!H1435</f>
        <v>0</v>
      </c>
      <c r="AZ147" s="49">
        <f>資料儲存!I1435</f>
        <v>0</v>
      </c>
      <c r="BA147" s="49">
        <f>資料儲存!J1435</f>
        <v>0</v>
      </c>
    </row>
    <row r="148" spans="1:53" ht="16" thickBot="1">
      <c r="A148" s="48">
        <v>55</v>
      </c>
      <c r="B148" s="49">
        <f>資料儲存!D836</f>
        <v>0</v>
      </c>
      <c r="C148" s="49">
        <f>資料儲存!E836</f>
        <v>0</v>
      </c>
      <c r="D148" s="49">
        <f>資料儲存!F836</f>
        <v>0</v>
      </c>
      <c r="E148" s="49">
        <f>資料儲存!G836</f>
        <v>0</v>
      </c>
      <c r="F148" s="49">
        <f>資料儲存!H836</f>
        <v>0</v>
      </c>
      <c r="G148" s="49">
        <f>資料儲存!I836</f>
        <v>0</v>
      </c>
      <c r="H148" s="49">
        <f>資料儲存!J836</f>
        <v>0</v>
      </c>
      <c r="I148" s="45"/>
      <c r="J148" s="48">
        <v>55</v>
      </c>
      <c r="K148" s="49">
        <f>資料儲存!D956</f>
        <v>0</v>
      </c>
      <c r="L148" s="49">
        <f>資料儲存!E956</f>
        <v>0</v>
      </c>
      <c r="M148" s="49">
        <f>資料儲存!F956</f>
        <v>0</v>
      </c>
      <c r="N148" s="49">
        <f>資料儲存!G956</f>
        <v>0</v>
      </c>
      <c r="O148" s="49">
        <f>資料儲存!H956</f>
        <v>0</v>
      </c>
      <c r="P148" s="49">
        <f>資料儲存!I956</f>
        <v>0</v>
      </c>
      <c r="Q148" s="49">
        <f>資料儲存!J956</f>
        <v>0</v>
      </c>
      <c r="R148" s="45"/>
      <c r="S148" s="48">
        <v>55</v>
      </c>
      <c r="T148" s="49">
        <f>資料儲存!D1076</f>
        <v>0</v>
      </c>
      <c r="U148" s="49">
        <f>資料儲存!E1076</f>
        <v>0</v>
      </c>
      <c r="V148" s="49">
        <f>資料儲存!F1076</f>
        <v>0</v>
      </c>
      <c r="W148" s="49">
        <f>資料儲存!G1076</f>
        <v>0</v>
      </c>
      <c r="X148" s="49">
        <f>資料儲存!H1076</f>
        <v>0</v>
      </c>
      <c r="Y148" s="49">
        <f>資料儲存!I1076</f>
        <v>0</v>
      </c>
      <c r="Z148" s="49">
        <f>資料儲存!J1076</f>
        <v>0</v>
      </c>
      <c r="AA148" s="45"/>
      <c r="AB148" s="48">
        <v>55</v>
      </c>
      <c r="AC148" s="49">
        <f>資料儲存!D1196</f>
        <v>0</v>
      </c>
      <c r="AD148" s="49">
        <f>資料儲存!E1196</f>
        <v>0</v>
      </c>
      <c r="AE148" s="49">
        <f>資料儲存!F1196</f>
        <v>0</v>
      </c>
      <c r="AF148" s="49">
        <f>資料儲存!G1196</f>
        <v>0</v>
      </c>
      <c r="AG148" s="49">
        <f>資料儲存!H1196</f>
        <v>0</v>
      </c>
      <c r="AH148" s="49">
        <f>資料儲存!I1196</f>
        <v>0</v>
      </c>
      <c r="AI148" s="49">
        <f>資料儲存!J1196</f>
        <v>0</v>
      </c>
      <c r="AJ148" s="13"/>
      <c r="AK148" s="48">
        <v>55</v>
      </c>
      <c r="AL148" s="49">
        <f>資料儲存!D1316</f>
        <v>0</v>
      </c>
      <c r="AM148" s="49">
        <f>資料儲存!E1316</f>
        <v>0</v>
      </c>
      <c r="AN148" s="49">
        <f>資料儲存!F1316</f>
        <v>0</v>
      </c>
      <c r="AO148" s="49">
        <f>資料儲存!G1316</f>
        <v>0</v>
      </c>
      <c r="AP148" s="49">
        <f>資料儲存!H1316</f>
        <v>0</v>
      </c>
      <c r="AQ148" s="49">
        <f>資料儲存!I1316</f>
        <v>0</v>
      </c>
      <c r="AR148" s="49">
        <f>資料儲存!J1316</f>
        <v>0</v>
      </c>
      <c r="AT148" s="48">
        <v>55</v>
      </c>
      <c r="AU148" s="49">
        <f>資料儲存!D1436</f>
        <v>0</v>
      </c>
      <c r="AV148" s="49">
        <f>資料儲存!E1436</f>
        <v>0</v>
      </c>
      <c r="AW148" s="49">
        <f>資料儲存!F1436</f>
        <v>0</v>
      </c>
      <c r="AX148" s="49">
        <f>資料儲存!G1436</f>
        <v>0</v>
      </c>
      <c r="AY148" s="49">
        <f>資料儲存!H1436</f>
        <v>0</v>
      </c>
      <c r="AZ148" s="49">
        <f>資料儲存!I1436</f>
        <v>0</v>
      </c>
      <c r="BA148" s="49">
        <f>資料儲存!J1436</f>
        <v>0</v>
      </c>
    </row>
    <row r="149" spans="1:53" ht="16" thickBot="1">
      <c r="A149" s="48">
        <v>56</v>
      </c>
      <c r="B149" s="49">
        <f>資料儲存!D837</f>
        <v>0</v>
      </c>
      <c r="C149" s="49">
        <f>資料儲存!E837</f>
        <v>0</v>
      </c>
      <c r="D149" s="49">
        <f>資料儲存!F837</f>
        <v>0</v>
      </c>
      <c r="E149" s="49">
        <f>資料儲存!G837</f>
        <v>0</v>
      </c>
      <c r="F149" s="49">
        <f>資料儲存!H837</f>
        <v>0</v>
      </c>
      <c r="G149" s="49">
        <f>資料儲存!I837</f>
        <v>0</v>
      </c>
      <c r="H149" s="49">
        <f>資料儲存!J837</f>
        <v>0</v>
      </c>
      <c r="I149" s="45"/>
      <c r="J149" s="48">
        <v>56</v>
      </c>
      <c r="K149" s="49">
        <f>資料儲存!D957</f>
        <v>0</v>
      </c>
      <c r="L149" s="49">
        <f>資料儲存!E957</f>
        <v>0</v>
      </c>
      <c r="M149" s="49">
        <f>資料儲存!F957</f>
        <v>0</v>
      </c>
      <c r="N149" s="49">
        <f>資料儲存!G957</f>
        <v>0</v>
      </c>
      <c r="O149" s="49">
        <f>資料儲存!H957</f>
        <v>0</v>
      </c>
      <c r="P149" s="49">
        <f>資料儲存!I957</f>
        <v>0</v>
      </c>
      <c r="Q149" s="49">
        <f>資料儲存!J957</f>
        <v>0</v>
      </c>
      <c r="R149" s="45"/>
      <c r="S149" s="48">
        <v>56</v>
      </c>
      <c r="T149" s="49">
        <f>資料儲存!D1077</f>
        <v>0</v>
      </c>
      <c r="U149" s="49">
        <f>資料儲存!E1077</f>
        <v>0</v>
      </c>
      <c r="V149" s="49">
        <f>資料儲存!F1077</f>
        <v>0</v>
      </c>
      <c r="W149" s="49">
        <f>資料儲存!G1077</f>
        <v>0</v>
      </c>
      <c r="X149" s="49">
        <f>資料儲存!H1077</f>
        <v>0</v>
      </c>
      <c r="Y149" s="49">
        <f>資料儲存!I1077</f>
        <v>0</v>
      </c>
      <c r="Z149" s="49">
        <f>資料儲存!J1077</f>
        <v>0</v>
      </c>
      <c r="AA149" s="45"/>
      <c r="AB149" s="48">
        <v>56</v>
      </c>
      <c r="AC149" s="49">
        <f>資料儲存!D1197</f>
        <v>0</v>
      </c>
      <c r="AD149" s="49">
        <f>資料儲存!E1197</f>
        <v>0</v>
      </c>
      <c r="AE149" s="49">
        <f>資料儲存!F1197</f>
        <v>0</v>
      </c>
      <c r="AF149" s="49">
        <f>資料儲存!G1197</f>
        <v>0</v>
      </c>
      <c r="AG149" s="49">
        <f>資料儲存!H1197</f>
        <v>0</v>
      </c>
      <c r="AH149" s="49">
        <f>資料儲存!I1197</f>
        <v>0</v>
      </c>
      <c r="AI149" s="49">
        <f>資料儲存!J1197</f>
        <v>0</v>
      </c>
      <c r="AJ149" s="13"/>
      <c r="AK149" s="48">
        <v>56</v>
      </c>
      <c r="AL149" s="49">
        <f>資料儲存!D1317</f>
        <v>0</v>
      </c>
      <c r="AM149" s="49">
        <f>資料儲存!E1317</f>
        <v>0</v>
      </c>
      <c r="AN149" s="49">
        <f>資料儲存!F1317</f>
        <v>0</v>
      </c>
      <c r="AO149" s="49">
        <f>資料儲存!G1317</f>
        <v>0</v>
      </c>
      <c r="AP149" s="49">
        <f>資料儲存!H1317</f>
        <v>0</v>
      </c>
      <c r="AQ149" s="49">
        <f>資料儲存!I1317</f>
        <v>0</v>
      </c>
      <c r="AR149" s="49">
        <f>資料儲存!J1317</f>
        <v>0</v>
      </c>
      <c r="AT149" s="48">
        <v>56</v>
      </c>
      <c r="AU149" s="49">
        <f>資料儲存!D1437</f>
        <v>0</v>
      </c>
      <c r="AV149" s="49">
        <f>資料儲存!E1437</f>
        <v>0</v>
      </c>
      <c r="AW149" s="49">
        <f>資料儲存!F1437</f>
        <v>0</v>
      </c>
      <c r="AX149" s="49">
        <f>資料儲存!G1437</f>
        <v>0</v>
      </c>
      <c r="AY149" s="49">
        <f>資料儲存!H1437</f>
        <v>0</v>
      </c>
      <c r="AZ149" s="49">
        <f>資料儲存!I1437</f>
        <v>0</v>
      </c>
      <c r="BA149" s="49">
        <f>資料儲存!J1437</f>
        <v>0</v>
      </c>
    </row>
    <row r="150" spans="1:53" ht="16" thickBot="1">
      <c r="A150" s="48">
        <v>57</v>
      </c>
      <c r="B150" s="49">
        <f>資料儲存!D838</f>
        <v>0</v>
      </c>
      <c r="C150" s="49">
        <f>資料儲存!E838</f>
        <v>0</v>
      </c>
      <c r="D150" s="49">
        <f>資料儲存!F838</f>
        <v>0</v>
      </c>
      <c r="E150" s="49">
        <f>資料儲存!G838</f>
        <v>0</v>
      </c>
      <c r="F150" s="49">
        <f>資料儲存!H838</f>
        <v>0</v>
      </c>
      <c r="G150" s="49">
        <f>資料儲存!I838</f>
        <v>0</v>
      </c>
      <c r="H150" s="49">
        <f>資料儲存!J838</f>
        <v>0</v>
      </c>
      <c r="I150" s="45"/>
      <c r="J150" s="48">
        <v>57</v>
      </c>
      <c r="K150" s="49">
        <f>資料儲存!D958</f>
        <v>0</v>
      </c>
      <c r="L150" s="49">
        <f>資料儲存!E958</f>
        <v>0</v>
      </c>
      <c r="M150" s="49">
        <f>資料儲存!F958</f>
        <v>0</v>
      </c>
      <c r="N150" s="49">
        <f>資料儲存!G958</f>
        <v>0</v>
      </c>
      <c r="O150" s="49">
        <f>資料儲存!H958</f>
        <v>0</v>
      </c>
      <c r="P150" s="49">
        <f>資料儲存!I958</f>
        <v>0</v>
      </c>
      <c r="Q150" s="49">
        <f>資料儲存!J958</f>
        <v>0</v>
      </c>
      <c r="R150" s="45"/>
      <c r="S150" s="48">
        <v>57</v>
      </c>
      <c r="T150" s="49">
        <f>資料儲存!D1078</f>
        <v>0</v>
      </c>
      <c r="U150" s="49">
        <f>資料儲存!E1078</f>
        <v>0</v>
      </c>
      <c r="V150" s="49">
        <f>資料儲存!F1078</f>
        <v>0</v>
      </c>
      <c r="W150" s="49">
        <f>資料儲存!G1078</f>
        <v>0</v>
      </c>
      <c r="X150" s="49">
        <f>資料儲存!H1078</f>
        <v>0</v>
      </c>
      <c r="Y150" s="49">
        <f>資料儲存!I1078</f>
        <v>0</v>
      </c>
      <c r="Z150" s="49">
        <f>資料儲存!J1078</f>
        <v>0</v>
      </c>
      <c r="AA150" s="45"/>
      <c r="AB150" s="48">
        <v>57</v>
      </c>
      <c r="AC150" s="49">
        <f>資料儲存!D1198</f>
        <v>0</v>
      </c>
      <c r="AD150" s="49">
        <f>資料儲存!E1198</f>
        <v>0</v>
      </c>
      <c r="AE150" s="49">
        <f>資料儲存!F1198</f>
        <v>0</v>
      </c>
      <c r="AF150" s="49">
        <f>資料儲存!G1198</f>
        <v>0</v>
      </c>
      <c r="AG150" s="49">
        <f>資料儲存!H1198</f>
        <v>0</v>
      </c>
      <c r="AH150" s="49">
        <f>資料儲存!I1198</f>
        <v>0</v>
      </c>
      <c r="AI150" s="49">
        <f>資料儲存!J1198</f>
        <v>0</v>
      </c>
      <c r="AJ150" s="13"/>
      <c r="AK150" s="48">
        <v>57</v>
      </c>
      <c r="AL150" s="49">
        <f>資料儲存!D1318</f>
        <v>0</v>
      </c>
      <c r="AM150" s="49">
        <f>資料儲存!E1318</f>
        <v>0</v>
      </c>
      <c r="AN150" s="49">
        <f>資料儲存!F1318</f>
        <v>0</v>
      </c>
      <c r="AO150" s="49">
        <f>資料儲存!G1318</f>
        <v>0</v>
      </c>
      <c r="AP150" s="49">
        <f>資料儲存!H1318</f>
        <v>0</v>
      </c>
      <c r="AQ150" s="49">
        <f>資料儲存!I1318</f>
        <v>0</v>
      </c>
      <c r="AR150" s="49">
        <f>資料儲存!J1318</f>
        <v>0</v>
      </c>
      <c r="AT150" s="48">
        <v>57</v>
      </c>
      <c r="AU150" s="49">
        <f>資料儲存!D1438</f>
        <v>0</v>
      </c>
      <c r="AV150" s="49">
        <f>資料儲存!E1438</f>
        <v>0</v>
      </c>
      <c r="AW150" s="49">
        <f>資料儲存!F1438</f>
        <v>0</v>
      </c>
      <c r="AX150" s="49">
        <f>資料儲存!G1438</f>
        <v>0</v>
      </c>
      <c r="AY150" s="49">
        <f>資料儲存!H1438</f>
        <v>0</v>
      </c>
      <c r="AZ150" s="49">
        <f>資料儲存!I1438</f>
        <v>0</v>
      </c>
      <c r="BA150" s="49">
        <f>資料儲存!J1438</f>
        <v>0</v>
      </c>
    </row>
    <row r="151" spans="1:53" ht="16" thickBot="1">
      <c r="A151" s="48">
        <v>58</v>
      </c>
      <c r="B151" s="49">
        <f>資料儲存!D839</f>
        <v>0</v>
      </c>
      <c r="C151" s="49">
        <f>資料儲存!E839</f>
        <v>0</v>
      </c>
      <c r="D151" s="49">
        <f>資料儲存!F839</f>
        <v>0</v>
      </c>
      <c r="E151" s="49">
        <f>資料儲存!G839</f>
        <v>0</v>
      </c>
      <c r="F151" s="49">
        <f>資料儲存!H839</f>
        <v>0</v>
      </c>
      <c r="G151" s="49">
        <f>資料儲存!I839</f>
        <v>0</v>
      </c>
      <c r="H151" s="49">
        <f>資料儲存!J839</f>
        <v>0</v>
      </c>
      <c r="I151" s="45"/>
      <c r="J151" s="48">
        <v>58</v>
      </c>
      <c r="K151" s="49">
        <f>資料儲存!D959</f>
        <v>0</v>
      </c>
      <c r="L151" s="49">
        <f>資料儲存!E959</f>
        <v>0</v>
      </c>
      <c r="M151" s="49">
        <f>資料儲存!F959</f>
        <v>0</v>
      </c>
      <c r="N151" s="49">
        <f>資料儲存!G959</f>
        <v>0</v>
      </c>
      <c r="O151" s="49">
        <f>資料儲存!H959</f>
        <v>0</v>
      </c>
      <c r="P151" s="49">
        <f>資料儲存!I959</f>
        <v>0</v>
      </c>
      <c r="Q151" s="49">
        <f>資料儲存!J959</f>
        <v>0</v>
      </c>
      <c r="R151" s="45"/>
      <c r="S151" s="48">
        <v>58</v>
      </c>
      <c r="T151" s="49">
        <f>資料儲存!D1079</f>
        <v>0</v>
      </c>
      <c r="U151" s="49">
        <f>資料儲存!E1079</f>
        <v>0</v>
      </c>
      <c r="V151" s="49">
        <f>資料儲存!F1079</f>
        <v>0</v>
      </c>
      <c r="W151" s="49">
        <f>資料儲存!G1079</f>
        <v>0</v>
      </c>
      <c r="X151" s="49">
        <f>資料儲存!H1079</f>
        <v>0</v>
      </c>
      <c r="Y151" s="49">
        <f>資料儲存!I1079</f>
        <v>0</v>
      </c>
      <c r="Z151" s="49">
        <f>資料儲存!J1079</f>
        <v>0</v>
      </c>
      <c r="AA151" s="45"/>
      <c r="AB151" s="48">
        <v>58</v>
      </c>
      <c r="AC151" s="49">
        <f>資料儲存!D1199</f>
        <v>0</v>
      </c>
      <c r="AD151" s="49">
        <f>資料儲存!E1199</f>
        <v>0</v>
      </c>
      <c r="AE151" s="49">
        <f>資料儲存!F1199</f>
        <v>0</v>
      </c>
      <c r="AF151" s="49">
        <f>資料儲存!G1199</f>
        <v>0</v>
      </c>
      <c r="AG151" s="49">
        <f>資料儲存!H1199</f>
        <v>0</v>
      </c>
      <c r="AH151" s="49">
        <f>資料儲存!I1199</f>
        <v>0</v>
      </c>
      <c r="AI151" s="49">
        <f>資料儲存!J1199</f>
        <v>0</v>
      </c>
      <c r="AJ151" s="13"/>
      <c r="AK151" s="48">
        <v>58</v>
      </c>
      <c r="AL151" s="49">
        <f>資料儲存!D1319</f>
        <v>0</v>
      </c>
      <c r="AM151" s="49">
        <f>資料儲存!E1319</f>
        <v>0</v>
      </c>
      <c r="AN151" s="49">
        <f>資料儲存!F1319</f>
        <v>0</v>
      </c>
      <c r="AO151" s="49">
        <f>資料儲存!G1319</f>
        <v>0</v>
      </c>
      <c r="AP151" s="49">
        <f>資料儲存!H1319</f>
        <v>0</v>
      </c>
      <c r="AQ151" s="49">
        <f>資料儲存!I1319</f>
        <v>0</v>
      </c>
      <c r="AR151" s="49">
        <f>資料儲存!J1319</f>
        <v>0</v>
      </c>
      <c r="AT151" s="48">
        <v>58</v>
      </c>
      <c r="AU151" s="49">
        <f>資料儲存!D1439</f>
        <v>0</v>
      </c>
      <c r="AV151" s="49">
        <f>資料儲存!E1439</f>
        <v>0</v>
      </c>
      <c r="AW151" s="49">
        <f>資料儲存!F1439</f>
        <v>0</v>
      </c>
      <c r="AX151" s="49">
        <f>資料儲存!G1439</f>
        <v>0</v>
      </c>
      <c r="AY151" s="49">
        <f>資料儲存!H1439</f>
        <v>0</v>
      </c>
      <c r="AZ151" s="49">
        <f>資料儲存!I1439</f>
        <v>0</v>
      </c>
      <c r="BA151" s="49">
        <f>資料儲存!J1439</f>
        <v>0</v>
      </c>
    </row>
    <row r="152" spans="1:53" ht="16" thickBot="1">
      <c r="A152" s="48">
        <v>59</v>
      </c>
      <c r="B152" s="49">
        <f>資料儲存!D840</f>
        <v>0</v>
      </c>
      <c r="C152" s="49">
        <f>資料儲存!E840</f>
        <v>0</v>
      </c>
      <c r="D152" s="49">
        <f>資料儲存!F840</f>
        <v>0</v>
      </c>
      <c r="E152" s="49">
        <f>資料儲存!G840</f>
        <v>0</v>
      </c>
      <c r="F152" s="49">
        <f>資料儲存!H840</f>
        <v>0</v>
      </c>
      <c r="G152" s="49">
        <f>資料儲存!I840</f>
        <v>0</v>
      </c>
      <c r="H152" s="49">
        <f>資料儲存!J840</f>
        <v>0</v>
      </c>
      <c r="I152" s="45"/>
      <c r="J152" s="48">
        <v>59</v>
      </c>
      <c r="K152" s="49">
        <f>資料儲存!D960</f>
        <v>0</v>
      </c>
      <c r="L152" s="49">
        <f>資料儲存!E960</f>
        <v>0</v>
      </c>
      <c r="M152" s="49">
        <f>資料儲存!F960</f>
        <v>0</v>
      </c>
      <c r="N152" s="49">
        <f>資料儲存!G960</f>
        <v>0</v>
      </c>
      <c r="O152" s="49">
        <f>資料儲存!H960</f>
        <v>0</v>
      </c>
      <c r="P152" s="49">
        <f>資料儲存!I960</f>
        <v>0</v>
      </c>
      <c r="Q152" s="49">
        <f>資料儲存!J960</f>
        <v>0</v>
      </c>
      <c r="R152" s="45"/>
      <c r="S152" s="48">
        <v>59</v>
      </c>
      <c r="T152" s="49">
        <f>資料儲存!D1080</f>
        <v>0</v>
      </c>
      <c r="U152" s="49">
        <f>資料儲存!E1080</f>
        <v>0</v>
      </c>
      <c r="V152" s="49">
        <f>資料儲存!F1080</f>
        <v>0</v>
      </c>
      <c r="W152" s="49">
        <f>資料儲存!G1080</f>
        <v>0</v>
      </c>
      <c r="X152" s="49">
        <f>資料儲存!H1080</f>
        <v>0</v>
      </c>
      <c r="Y152" s="49">
        <f>資料儲存!I1080</f>
        <v>0</v>
      </c>
      <c r="Z152" s="49">
        <f>資料儲存!J1080</f>
        <v>0</v>
      </c>
      <c r="AA152" s="45"/>
      <c r="AB152" s="48">
        <v>59</v>
      </c>
      <c r="AC152" s="49">
        <f>資料儲存!D1200</f>
        <v>0</v>
      </c>
      <c r="AD152" s="49">
        <f>資料儲存!E1200</f>
        <v>0</v>
      </c>
      <c r="AE152" s="49">
        <f>資料儲存!F1200</f>
        <v>0</v>
      </c>
      <c r="AF152" s="49">
        <f>資料儲存!G1200</f>
        <v>0</v>
      </c>
      <c r="AG152" s="49">
        <f>資料儲存!H1200</f>
        <v>0</v>
      </c>
      <c r="AH152" s="49">
        <f>資料儲存!I1200</f>
        <v>0</v>
      </c>
      <c r="AI152" s="49">
        <f>資料儲存!J1200</f>
        <v>0</v>
      </c>
      <c r="AJ152" s="13"/>
      <c r="AK152" s="48">
        <v>59</v>
      </c>
      <c r="AL152" s="49">
        <f>資料儲存!D1320</f>
        <v>0</v>
      </c>
      <c r="AM152" s="49">
        <f>資料儲存!E1320</f>
        <v>0</v>
      </c>
      <c r="AN152" s="49">
        <f>資料儲存!F1320</f>
        <v>0</v>
      </c>
      <c r="AO152" s="49">
        <f>資料儲存!G1320</f>
        <v>0</v>
      </c>
      <c r="AP152" s="49">
        <f>資料儲存!H1320</f>
        <v>0</v>
      </c>
      <c r="AQ152" s="49">
        <f>資料儲存!I1320</f>
        <v>0</v>
      </c>
      <c r="AR152" s="49">
        <f>資料儲存!J1320</f>
        <v>0</v>
      </c>
      <c r="AT152" s="48">
        <v>59</v>
      </c>
      <c r="AU152" s="49">
        <f>資料儲存!D1440</f>
        <v>0</v>
      </c>
      <c r="AV152" s="49">
        <f>資料儲存!E1440</f>
        <v>0</v>
      </c>
      <c r="AW152" s="49">
        <f>資料儲存!F1440</f>
        <v>0</v>
      </c>
      <c r="AX152" s="49">
        <f>資料儲存!G1440</f>
        <v>0</v>
      </c>
      <c r="AY152" s="49">
        <f>資料儲存!H1440</f>
        <v>0</v>
      </c>
      <c r="AZ152" s="49">
        <f>資料儲存!I1440</f>
        <v>0</v>
      </c>
      <c r="BA152" s="49">
        <f>資料儲存!J1440</f>
        <v>0</v>
      </c>
    </row>
    <row r="153" spans="1:53" ht="16" thickBot="1">
      <c r="A153" s="48">
        <v>60</v>
      </c>
      <c r="B153" s="49">
        <f>資料儲存!D841</f>
        <v>0</v>
      </c>
      <c r="C153" s="49">
        <f>資料儲存!E841</f>
        <v>0</v>
      </c>
      <c r="D153" s="49">
        <f>資料儲存!F841</f>
        <v>0</v>
      </c>
      <c r="E153" s="49">
        <f>資料儲存!G841</f>
        <v>0</v>
      </c>
      <c r="F153" s="49">
        <f>資料儲存!H841</f>
        <v>0</v>
      </c>
      <c r="G153" s="49">
        <f>資料儲存!I841</f>
        <v>0</v>
      </c>
      <c r="H153" s="49">
        <f>資料儲存!J841</f>
        <v>0</v>
      </c>
      <c r="I153" s="45"/>
      <c r="J153" s="48">
        <v>60</v>
      </c>
      <c r="K153" s="49">
        <f>資料儲存!D961</f>
        <v>0</v>
      </c>
      <c r="L153" s="49">
        <f>資料儲存!E961</f>
        <v>0</v>
      </c>
      <c r="M153" s="49">
        <f>資料儲存!F961</f>
        <v>0</v>
      </c>
      <c r="N153" s="49">
        <f>資料儲存!G961</f>
        <v>0</v>
      </c>
      <c r="O153" s="49">
        <f>資料儲存!H961</f>
        <v>0</v>
      </c>
      <c r="P153" s="49">
        <f>資料儲存!I961</f>
        <v>0</v>
      </c>
      <c r="Q153" s="49">
        <f>資料儲存!J961</f>
        <v>0</v>
      </c>
      <c r="R153" s="45"/>
      <c r="S153" s="48">
        <v>60</v>
      </c>
      <c r="T153" s="49">
        <f>資料儲存!D1081</f>
        <v>0</v>
      </c>
      <c r="U153" s="49">
        <f>資料儲存!E1081</f>
        <v>0</v>
      </c>
      <c r="V153" s="49">
        <f>資料儲存!F1081</f>
        <v>0</v>
      </c>
      <c r="W153" s="49">
        <f>資料儲存!G1081</f>
        <v>0</v>
      </c>
      <c r="X153" s="49">
        <f>資料儲存!H1081</f>
        <v>0</v>
      </c>
      <c r="Y153" s="49">
        <f>資料儲存!I1081</f>
        <v>0</v>
      </c>
      <c r="Z153" s="49">
        <f>資料儲存!J1081</f>
        <v>0</v>
      </c>
      <c r="AA153" s="45"/>
      <c r="AB153" s="48">
        <v>60</v>
      </c>
      <c r="AC153" s="49">
        <f>資料儲存!D1201</f>
        <v>0</v>
      </c>
      <c r="AD153" s="49">
        <f>資料儲存!E1201</f>
        <v>0</v>
      </c>
      <c r="AE153" s="49">
        <f>資料儲存!F1201</f>
        <v>0</v>
      </c>
      <c r="AF153" s="49">
        <f>資料儲存!G1201</f>
        <v>0</v>
      </c>
      <c r="AG153" s="49">
        <f>資料儲存!H1201</f>
        <v>0</v>
      </c>
      <c r="AH153" s="49">
        <f>資料儲存!I1201</f>
        <v>0</v>
      </c>
      <c r="AI153" s="49">
        <f>資料儲存!J1201</f>
        <v>0</v>
      </c>
      <c r="AJ153" s="13"/>
      <c r="AK153" s="48">
        <v>60</v>
      </c>
      <c r="AL153" s="49">
        <f>資料儲存!D1321</f>
        <v>0</v>
      </c>
      <c r="AM153" s="49">
        <f>資料儲存!E1321</f>
        <v>0</v>
      </c>
      <c r="AN153" s="49">
        <f>資料儲存!F1321</f>
        <v>0</v>
      </c>
      <c r="AO153" s="49">
        <f>資料儲存!G1321</f>
        <v>0</v>
      </c>
      <c r="AP153" s="49">
        <f>資料儲存!H1321</f>
        <v>0</v>
      </c>
      <c r="AQ153" s="49">
        <f>資料儲存!I1321</f>
        <v>0</v>
      </c>
      <c r="AR153" s="49">
        <f>資料儲存!J1321</f>
        <v>0</v>
      </c>
      <c r="AT153" s="48">
        <v>60</v>
      </c>
      <c r="AU153" s="49">
        <f>資料儲存!D1441</f>
        <v>0</v>
      </c>
      <c r="AV153" s="49">
        <f>資料儲存!E1441</f>
        <v>0</v>
      </c>
      <c r="AW153" s="49">
        <f>資料儲存!F1441</f>
        <v>0</v>
      </c>
      <c r="AX153" s="49">
        <f>資料儲存!G1441</f>
        <v>0</v>
      </c>
      <c r="AY153" s="49">
        <f>資料儲存!H1441</f>
        <v>0</v>
      </c>
      <c r="AZ153" s="49">
        <f>資料儲存!I1441</f>
        <v>0</v>
      </c>
      <c r="BA153" s="49">
        <f>資料儲存!J1441</f>
        <v>0</v>
      </c>
    </row>
    <row r="154" spans="1:53" ht="17.25" customHeight="1" thickBot="1">
      <c r="A154" s="50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0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0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0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13"/>
      <c r="AK154" s="50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  <c r="AT154" s="50" t="s">
        <v>56</v>
      </c>
      <c r="AU154" s="49">
        <f>SUM(AU139:AX153)</f>
        <v>0</v>
      </c>
      <c r="AV154" s="47"/>
      <c r="AW154" s="47"/>
      <c r="AX154" s="47"/>
      <c r="AY154" s="49">
        <f>AY153</f>
        <v>0</v>
      </c>
      <c r="AZ154" s="49">
        <f>AZ153</f>
        <v>0</v>
      </c>
      <c r="BA154" s="49">
        <f>BA153</f>
        <v>0</v>
      </c>
    </row>
    <row r="155" spans="1:53">
      <c r="A155" s="51" t="s">
        <v>71</v>
      </c>
      <c r="B155" s="45"/>
      <c r="C155" s="45"/>
      <c r="D155" s="45"/>
      <c r="E155" s="45"/>
      <c r="F155" s="52"/>
      <c r="G155" s="45"/>
      <c r="H155" s="45"/>
      <c r="I155" s="45"/>
      <c r="J155" s="53" t="s">
        <v>71</v>
      </c>
      <c r="K155" s="45"/>
      <c r="L155" s="45"/>
      <c r="M155" s="45"/>
      <c r="N155" s="45"/>
      <c r="O155" s="45"/>
      <c r="P155" s="45"/>
      <c r="Q155" s="45"/>
      <c r="R155" s="45"/>
      <c r="S155" s="53" t="s">
        <v>71</v>
      </c>
      <c r="T155" s="45"/>
      <c r="U155" s="45"/>
      <c r="V155" s="45"/>
      <c r="W155" s="45"/>
      <c r="X155" s="45"/>
      <c r="Y155" s="45"/>
      <c r="Z155" s="45"/>
      <c r="AA155" s="45"/>
      <c r="AB155" s="53" t="s">
        <v>71</v>
      </c>
      <c r="AC155" s="45"/>
      <c r="AD155" s="45"/>
      <c r="AE155" s="45"/>
      <c r="AF155" s="45"/>
      <c r="AG155" s="45"/>
      <c r="AH155" s="45"/>
      <c r="AI155" s="45"/>
      <c r="AJ155" s="13"/>
      <c r="AK155" s="53" t="s">
        <v>71</v>
      </c>
      <c r="AL155" s="45"/>
      <c r="AM155" s="45"/>
      <c r="AN155" s="45"/>
      <c r="AO155" s="45"/>
      <c r="AP155" s="45"/>
      <c r="AQ155" s="45"/>
      <c r="AR155" s="45"/>
      <c r="AT155" s="53" t="s">
        <v>71</v>
      </c>
      <c r="AU155" s="45"/>
      <c r="AV155" s="45"/>
      <c r="AW155" s="45"/>
      <c r="AX155" s="45"/>
      <c r="AY155" s="45"/>
      <c r="AZ155" s="45"/>
      <c r="BA155" s="45"/>
    </row>
  </sheetData>
  <mergeCells count="60">
    <mergeCell ref="AB117:AI117"/>
    <mergeCell ref="AB136:AI136"/>
    <mergeCell ref="AB22:AI22"/>
    <mergeCell ref="AB41:AI41"/>
    <mergeCell ref="AB60:AI60"/>
    <mergeCell ref="AB79:AI79"/>
    <mergeCell ref="AB98:AI98"/>
    <mergeCell ref="A22:H22"/>
    <mergeCell ref="A41:H41"/>
    <mergeCell ref="A60:H60"/>
    <mergeCell ref="S22:Z22"/>
    <mergeCell ref="S41:Z41"/>
    <mergeCell ref="S60:Z60"/>
    <mergeCell ref="J22:Q22"/>
    <mergeCell ref="J41:Q41"/>
    <mergeCell ref="J60:Q60"/>
    <mergeCell ref="AB1:AI1"/>
    <mergeCell ref="J2:Q2"/>
    <mergeCell ref="J3:Q3"/>
    <mergeCell ref="S2:Z2"/>
    <mergeCell ref="S3:Z3"/>
    <mergeCell ref="AB2:AI2"/>
    <mergeCell ref="AB3:AI3"/>
    <mergeCell ref="A2:H2"/>
    <mergeCell ref="A3:H3"/>
    <mergeCell ref="A1:H1"/>
    <mergeCell ref="J1:Q1"/>
    <mergeCell ref="S1:Z1"/>
    <mergeCell ref="A79:H79"/>
    <mergeCell ref="J117:Q117"/>
    <mergeCell ref="S79:Z79"/>
    <mergeCell ref="A117:H117"/>
    <mergeCell ref="J79:Q79"/>
    <mergeCell ref="J98:Q98"/>
    <mergeCell ref="J136:Q136"/>
    <mergeCell ref="A136:H136"/>
    <mergeCell ref="S136:Z136"/>
    <mergeCell ref="S98:Z98"/>
    <mergeCell ref="S117:Z117"/>
    <mergeCell ref="A98:H98"/>
    <mergeCell ref="AK1:AR1"/>
    <mergeCell ref="AK2:AR2"/>
    <mergeCell ref="AK3:AR3"/>
    <mergeCell ref="AK22:AR22"/>
    <mergeCell ref="AK41:AR41"/>
    <mergeCell ref="AK60:AR60"/>
    <mergeCell ref="AK79:AR79"/>
    <mergeCell ref="AK98:AR98"/>
    <mergeCell ref="AK117:AR117"/>
    <mergeCell ref="AK136:AR136"/>
    <mergeCell ref="AT1:BA1"/>
    <mergeCell ref="AT2:BA2"/>
    <mergeCell ref="AT3:BA3"/>
    <mergeCell ref="AT22:BA22"/>
    <mergeCell ref="AT41:BA41"/>
    <mergeCell ref="AT60:BA60"/>
    <mergeCell ref="AT79:BA79"/>
    <mergeCell ref="AT98:BA98"/>
    <mergeCell ref="AT117:BA117"/>
    <mergeCell ref="AT136:BA136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BA154"/>
  <sheetViews>
    <sheetView zoomScale="70" zoomScaleNormal="70" zoomScaleSheetLayoutView="70" workbookViewId="0">
      <pane ySplit="2" topLeftCell="A3" activePane="bottomLeft" state="frozen"/>
      <selection pane="bottomLeft" sqref="A1:H1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44" width="10.08984375" style="1"/>
    <col min="45" max="45" width="2.08984375" style="1" customWidth="1"/>
    <col min="46" max="16384" width="10.08984375" style="1"/>
  </cols>
  <sheetData>
    <row r="1" spans="1:53" s="11" customFormat="1" ht="18.5" thickBot="1">
      <c r="A1" s="254" t="str">
        <f>基本資料!$D$11</f>
        <v>平日中午(11-13)</v>
      </c>
      <c r="B1" s="255"/>
      <c r="C1" s="255"/>
      <c r="D1" s="255"/>
      <c r="E1" s="255"/>
      <c r="F1" s="255"/>
      <c r="G1" s="255"/>
      <c r="H1" s="256"/>
      <c r="J1" s="254" t="str">
        <f>基本資料!$D$11</f>
        <v>平日中午(11-13)</v>
      </c>
      <c r="K1" s="255"/>
      <c r="L1" s="255"/>
      <c r="M1" s="255"/>
      <c r="N1" s="255"/>
      <c r="O1" s="255"/>
      <c r="P1" s="255"/>
      <c r="Q1" s="256"/>
      <c r="S1" s="254" t="str">
        <f>基本資料!$D$11</f>
        <v>平日中午(11-13)</v>
      </c>
      <c r="T1" s="255"/>
      <c r="U1" s="255"/>
      <c r="V1" s="255"/>
      <c r="W1" s="255"/>
      <c r="X1" s="255"/>
      <c r="Y1" s="255"/>
      <c r="Z1" s="256"/>
      <c r="AB1" s="254" t="str">
        <f>基本資料!$D$11</f>
        <v>平日中午(11-13)</v>
      </c>
      <c r="AC1" s="255"/>
      <c r="AD1" s="255"/>
      <c r="AE1" s="255"/>
      <c r="AF1" s="255"/>
      <c r="AG1" s="255"/>
      <c r="AH1" s="255"/>
      <c r="AI1" s="256"/>
      <c r="AK1" s="254" t="str">
        <f>基本資料!$D$11</f>
        <v>平日中午(11-13)</v>
      </c>
      <c r="AL1" s="255"/>
      <c r="AM1" s="255"/>
      <c r="AN1" s="255"/>
      <c r="AO1" s="255"/>
      <c r="AP1" s="255"/>
      <c r="AQ1" s="255"/>
      <c r="AR1" s="256"/>
      <c r="AT1" s="254" t="str">
        <f>基本資料!$D$11</f>
        <v>平日中午(11-13)</v>
      </c>
      <c r="AU1" s="255"/>
      <c r="AV1" s="255"/>
      <c r="AW1" s="255"/>
      <c r="AX1" s="255"/>
      <c r="AY1" s="255"/>
      <c r="AZ1" s="255"/>
      <c r="BA1" s="256"/>
    </row>
    <row r="2" spans="1:53" ht="18.5" thickBot="1">
      <c r="A2" s="251" t="str">
        <f>CONCATENATE(基本資料!B18,"方向：",基本資料!B19,基本資料!B20)</f>
        <v>A方向：</v>
      </c>
      <c r="B2" s="252"/>
      <c r="C2" s="252"/>
      <c r="D2" s="252"/>
      <c r="E2" s="252"/>
      <c r="F2" s="252"/>
      <c r="G2" s="252"/>
      <c r="H2" s="253"/>
      <c r="I2" s="1"/>
      <c r="J2" s="251" t="str">
        <f>CONCATENATE(基本資料!C18,"方向：",基本資料!C19,基本資料!C20)</f>
        <v>B方向：</v>
      </c>
      <c r="K2" s="252"/>
      <c r="L2" s="252"/>
      <c r="M2" s="252"/>
      <c r="N2" s="252"/>
      <c r="O2" s="252"/>
      <c r="P2" s="252"/>
      <c r="Q2" s="253"/>
      <c r="R2" s="1"/>
      <c r="S2" s="251" t="str">
        <f>CONCATENATE(基本資料!D18,"方向：",基本資料!D19,基本資料!D20)</f>
        <v>C方向：</v>
      </c>
      <c r="T2" s="252"/>
      <c r="U2" s="252"/>
      <c r="V2" s="252"/>
      <c r="W2" s="252"/>
      <c r="X2" s="252"/>
      <c r="Y2" s="252"/>
      <c r="Z2" s="253"/>
      <c r="AA2" s="1"/>
      <c r="AB2" s="251" t="str">
        <f>CONCATENATE(基本資料!E18,"方向：",基本資料!E19,基本資料!E20)</f>
        <v>D方向：</v>
      </c>
      <c r="AC2" s="252"/>
      <c r="AD2" s="252"/>
      <c r="AE2" s="252"/>
      <c r="AF2" s="252"/>
      <c r="AG2" s="252"/>
      <c r="AH2" s="252"/>
      <c r="AI2" s="253"/>
      <c r="AJ2" s="1"/>
      <c r="AK2" s="251" t="str">
        <f>CONCATENATE(基本資料!F18,"方向：",基本資料!F19,基本資料!F20)</f>
        <v>E方向：</v>
      </c>
      <c r="AL2" s="252"/>
      <c r="AM2" s="252"/>
      <c r="AN2" s="252"/>
      <c r="AO2" s="252"/>
      <c r="AP2" s="252"/>
      <c r="AQ2" s="252"/>
      <c r="AR2" s="253"/>
      <c r="AT2" s="251" t="str">
        <f>CONCATENATE(基本資料!G18,"方向：",基本資料!G19,基本資料!G20)</f>
        <v>F方向：</v>
      </c>
      <c r="AU2" s="252"/>
      <c r="AV2" s="252"/>
      <c r="AW2" s="252"/>
      <c r="AX2" s="252"/>
      <c r="AY2" s="252"/>
      <c r="AZ2" s="252"/>
      <c r="BA2" s="253"/>
    </row>
    <row r="3" spans="1:53" ht="18.5" thickBot="1">
      <c r="A3" s="248" t="s">
        <v>91</v>
      </c>
      <c r="B3" s="249"/>
      <c r="C3" s="249"/>
      <c r="D3" s="249"/>
      <c r="E3" s="249"/>
      <c r="F3" s="249"/>
      <c r="G3" s="249"/>
      <c r="H3" s="250"/>
      <c r="I3" s="13"/>
      <c r="J3" s="248" t="s">
        <v>91</v>
      </c>
      <c r="K3" s="249"/>
      <c r="L3" s="249"/>
      <c r="M3" s="249"/>
      <c r="N3" s="249"/>
      <c r="O3" s="249"/>
      <c r="P3" s="249"/>
      <c r="Q3" s="250"/>
      <c r="R3" s="13"/>
      <c r="S3" s="248" t="s">
        <v>91</v>
      </c>
      <c r="T3" s="249"/>
      <c r="U3" s="249"/>
      <c r="V3" s="249"/>
      <c r="W3" s="249"/>
      <c r="X3" s="249"/>
      <c r="Y3" s="249"/>
      <c r="Z3" s="250"/>
      <c r="AA3" s="13"/>
      <c r="AB3" s="248" t="s">
        <v>91</v>
      </c>
      <c r="AC3" s="249"/>
      <c r="AD3" s="249"/>
      <c r="AE3" s="249"/>
      <c r="AF3" s="249"/>
      <c r="AG3" s="249"/>
      <c r="AH3" s="249"/>
      <c r="AI3" s="250"/>
      <c r="AJ3" s="13"/>
      <c r="AK3" s="248" t="s">
        <v>91</v>
      </c>
      <c r="AL3" s="249"/>
      <c r="AM3" s="249"/>
      <c r="AN3" s="249"/>
      <c r="AO3" s="249"/>
      <c r="AP3" s="249"/>
      <c r="AQ3" s="249"/>
      <c r="AR3" s="250"/>
      <c r="AT3" s="248" t="s">
        <v>91</v>
      </c>
      <c r="AU3" s="249"/>
      <c r="AV3" s="249"/>
      <c r="AW3" s="249"/>
      <c r="AX3" s="249"/>
      <c r="AY3" s="249"/>
      <c r="AZ3" s="249"/>
      <c r="BA3" s="250"/>
    </row>
    <row r="4" spans="1:53" ht="17.25" customHeight="1" thickBot="1">
      <c r="A4" s="31" t="s">
        <v>2</v>
      </c>
      <c r="B4" s="32" t="s">
        <v>44</v>
      </c>
      <c r="C4" s="33"/>
      <c r="D4" s="33"/>
      <c r="E4" s="34"/>
      <c r="F4" s="32" t="s">
        <v>45</v>
      </c>
      <c r="G4" s="33"/>
      <c r="H4" s="34"/>
      <c r="I4" s="35"/>
      <c r="J4" s="31" t="s">
        <v>2</v>
      </c>
      <c r="K4" s="32" t="s">
        <v>46</v>
      </c>
      <c r="L4" s="33"/>
      <c r="M4" s="33"/>
      <c r="N4" s="34"/>
      <c r="O4" s="32" t="s">
        <v>47</v>
      </c>
      <c r="P4" s="33"/>
      <c r="Q4" s="34"/>
      <c r="R4" s="35"/>
      <c r="S4" s="31" t="s">
        <v>2</v>
      </c>
      <c r="T4" s="32" t="s">
        <v>46</v>
      </c>
      <c r="U4" s="33"/>
      <c r="V4" s="33"/>
      <c r="W4" s="34"/>
      <c r="X4" s="32" t="s">
        <v>47</v>
      </c>
      <c r="Y4" s="33"/>
      <c r="Z4" s="34"/>
      <c r="AA4" s="35"/>
      <c r="AB4" s="31" t="s">
        <v>2</v>
      </c>
      <c r="AC4" s="32" t="s">
        <v>46</v>
      </c>
      <c r="AD4" s="33"/>
      <c r="AE4" s="33"/>
      <c r="AF4" s="34"/>
      <c r="AG4" s="32" t="s">
        <v>47</v>
      </c>
      <c r="AH4" s="33"/>
      <c r="AI4" s="34"/>
      <c r="AJ4" s="13"/>
      <c r="AK4" s="31" t="s">
        <v>2</v>
      </c>
      <c r="AL4" s="32" t="s">
        <v>46</v>
      </c>
      <c r="AM4" s="33"/>
      <c r="AN4" s="33"/>
      <c r="AO4" s="34"/>
      <c r="AP4" s="32" t="s">
        <v>47</v>
      </c>
      <c r="AQ4" s="33"/>
      <c r="AR4" s="34"/>
      <c r="AT4" s="31" t="s">
        <v>2</v>
      </c>
      <c r="AU4" s="32" t="s">
        <v>46</v>
      </c>
      <c r="AV4" s="33"/>
      <c r="AW4" s="33"/>
      <c r="AX4" s="34"/>
      <c r="AY4" s="32" t="s">
        <v>47</v>
      </c>
      <c r="AZ4" s="33"/>
      <c r="BA4" s="34"/>
    </row>
    <row r="5" spans="1:53" ht="16" thickBot="1">
      <c r="A5" s="36">
        <v>0.45833333333333331</v>
      </c>
      <c r="B5" s="37" t="s">
        <v>49</v>
      </c>
      <c r="C5" s="37" t="s">
        <v>50</v>
      </c>
      <c r="D5" s="37" t="s">
        <v>51</v>
      </c>
      <c r="E5" s="37" t="s">
        <v>52</v>
      </c>
      <c r="F5" s="37" t="s">
        <v>53</v>
      </c>
      <c r="G5" s="37" t="s">
        <v>54</v>
      </c>
      <c r="H5" s="37" t="s">
        <v>55</v>
      </c>
      <c r="I5" s="35"/>
      <c r="J5" s="36">
        <v>0.45833333333333331</v>
      </c>
      <c r="K5" s="37" t="s">
        <v>49</v>
      </c>
      <c r="L5" s="37" t="s">
        <v>50</v>
      </c>
      <c r="M5" s="37" t="s">
        <v>51</v>
      </c>
      <c r="N5" s="37" t="s">
        <v>52</v>
      </c>
      <c r="O5" s="37" t="s">
        <v>53</v>
      </c>
      <c r="P5" s="37" t="s">
        <v>54</v>
      </c>
      <c r="Q5" s="37" t="s">
        <v>55</v>
      </c>
      <c r="R5" s="35"/>
      <c r="S5" s="36">
        <v>0.45833333333333331</v>
      </c>
      <c r="T5" s="37" t="s">
        <v>49</v>
      </c>
      <c r="U5" s="37" t="s">
        <v>50</v>
      </c>
      <c r="V5" s="37" t="s">
        <v>51</v>
      </c>
      <c r="W5" s="37" t="s">
        <v>52</v>
      </c>
      <c r="X5" s="37" t="s">
        <v>53</v>
      </c>
      <c r="Y5" s="37" t="s">
        <v>54</v>
      </c>
      <c r="Z5" s="37" t="s">
        <v>55</v>
      </c>
      <c r="AA5" s="35"/>
      <c r="AB5" s="36">
        <v>0.45833333333333331</v>
      </c>
      <c r="AC5" s="37" t="s">
        <v>49</v>
      </c>
      <c r="AD5" s="37" t="s">
        <v>50</v>
      </c>
      <c r="AE5" s="37" t="s">
        <v>51</v>
      </c>
      <c r="AF5" s="37" t="s">
        <v>52</v>
      </c>
      <c r="AG5" s="37" t="s">
        <v>53</v>
      </c>
      <c r="AH5" s="37" t="s">
        <v>54</v>
      </c>
      <c r="AI5" s="37" t="s">
        <v>55</v>
      </c>
      <c r="AJ5" s="13"/>
      <c r="AK5" s="36">
        <v>0.45833333333333331</v>
      </c>
      <c r="AL5" s="37" t="s">
        <v>49</v>
      </c>
      <c r="AM5" s="37" t="s">
        <v>50</v>
      </c>
      <c r="AN5" s="37" t="s">
        <v>51</v>
      </c>
      <c r="AO5" s="37" t="s">
        <v>52</v>
      </c>
      <c r="AP5" s="37" t="s">
        <v>53</v>
      </c>
      <c r="AQ5" s="37" t="s">
        <v>54</v>
      </c>
      <c r="AR5" s="37" t="s">
        <v>55</v>
      </c>
      <c r="AT5" s="36">
        <v>0.45833333333333331</v>
      </c>
      <c r="AU5" s="37" t="s">
        <v>49</v>
      </c>
      <c r="AV5" s="37" t="s">
        <v>50</v>
      </c>
      <c r="AW5" s="37" t="s">
        <v>51</v>
      </c>
      <c r="AX5" s="37" t="s">
        <v>52</v>
      </c>
      <c r="AY5" s="37" t="s">
        <v>53</v>
      </c>
      <c r="AZ5" s="37" t="s">
        <v>54</v>
      </c>
      <c r="BA5" s="37" t="s">
        <v>55</v>
      </c>
    </row>
    <row r="6" spans="1:53" ht="16" thickBot="1">
      <c r="A6" s="38">
        <v>1</v>
      </c>
      <c r="B6" s="39">
        <f>資料儲存!D1442</f>
        <v>0</v>
      </c>
      <c r="C6" s="39">
        <f>資料儲存!E1442</f>
        <v>0</v>
      </c>
      <c r="D6" s="39">
        <f>資料儲存!F1442</f>
        <v>0</v>
      </c>
      <c r="E6" s="39">
        <f>資料儲存!G1442</f>
        <v>0</v>
      </c>
      <c r="F6" s="39">
        <f>資料儲存!H1442</f>
        <v>0</v>
      </c>
      <c r="G6" s="39">
        <f>資料儲存!I1442</f>
        <v>0</v>
      </c>
      <c r="H6" s="39">
        <f>資料儲存!J1442</f>
        <v>0</v>
      </c>
      <c r="I6" s="35"/>
      <c r="J6" s="38">
        <v>1</v>
      </c>
      <c r="K6" s="39">
        <f>資料儲存!D1562</f>
        <v>0</v>
      </c>
      <c r="L6" s="39">
        <f>資料儲存!E1562</f>
        <v>0</v>
      </c>
      <c r="M6" s="39">
        <f>資料儲存!F1562</f>
        <v>0</v>
      </c>
      <c r="N6" s="39">
        <f>資料儲存!G1562</f>
        <v>0</v>
      </c>
      <c r="O6" s="39">
        <f>資料儲存!H1562</f>
        <v>0</v>
      </c>
      <c r="P6" s="39">
        <f>資料儲存!I1562</f>
        <v>0</v>
      </c>
      <c r="Q6" s="39">
        <f>資料儲存!J1562</f>
        <v>0</v>
      </c>
      <c r="R6" s="35"/>
      <c r="S6" s="38">
        <v>1</v>
      </c>
      <c r="T6" s="39">
        <f>資料儲存!D1682</f>
        <v>0</v>
      </c>
      <c r="U6" s="39">
        <f>資料儲存!E1682</f>
        <v>0</v>
      </c>
      <c r="V6" s="39">
        <f>資料儲存!F1682</f>
        <v>0</v>
      </c>
      <c r="W6" s="39">
        <f>資料儲存!G1682</f>
        <v>0</v>
      </c>
      <c r="X6" s="39">
        <f>資料儲存!H1682</f>
        <v>0</v>
      </c>
      <c r="Y6" s="39">
        <f>資料儲存!I1682</f>
        <v>0</v>
      </c>
      <c r="Z6" s="39">
        <f>資料儲存!J1682</f>
        <v>0</v>
      </c>
      <c r="AA6" s="35"/>
      <c r="AB6" s="38">
        <v>1</v>
      </c>
      <c r="AC6" s="39">
        <f>資料儲存!D1802</f>
        <v>0</v>
      </c>
      <c r="AD6" s="39">
        <f>資料儲存!E1802</f>
        <v>0</v>
      </c>
      <c r="AE6" s="39">
        <f>資料儲存!F1802</f>
        <v>0</v>
      </c>
      <c r="AF6" s="39">
        <f>資料儲存!G1802</f>
        <v>0</v>
      </c>
      <c r="AG6" s="39">
        <f>資料儲存!H1802</f>
        <v>0</v>
      </c>
      <c r="AH6" s="39">
        <f>資料儲存!I1802</f>
        <v>0</v>
      </c>
      <c r="AI6" s="39">
        <f>資料儲存!J1802</f>
        <v>0</v>
      </c>
      <c r="AJ6" s="13"/>
      <c r="AK6" s="38">
        <v>1</v>
      </c>
      <c r="AL6" s="39">
        <f>資料儲存!D1922</f>
        <v>0</v>
      </c>
      <c r="AM6" s="39">
        <f>資料儲存!E1922</f>
        <v>0</v>
      </c>
      <c r="AN6" s="39">
        <f>資料儲存!F1922</f>
        <v>0</v>
      </c>
      <c r="AO6" s="39">
        <f>資料儲存!G1922</f>
        <v>0</v>
      </c>
      <c r="AP6" s="39">
        <f>資料儲存!H1922</f>
        <v>0</v>
      </c>
      <c r="AQ6" s="39">
        <f>資料儲存!I1922</f>
        <v>0</v>
      </c>
      <c r="AR6" s="39">
        <f>資料儲存!J1922</f>
        <v>0</v>
      </c>
      <c r="AT6" s="38">
        <v>1</v>
      </c>
      <c r="AU6" s="39">
        <f>資料儲存!D2042</f>
        <v>0</v>
      </c>
      <c r="AV6" s="39">
        <f>資料儲存!E2042</f>
        <v>0</v>
      </c>
      <c r="AW6" s="39">
        <f>資料儲存!F2042</f>
        <v>0</v>
      </c>
      <c r="AX6" s="39">
        <f>資料儲存!G2042</f>
        <v>0</v>
      </c>
      <c r="AY6" s="39">
        <f>資料儲存!H2042</f>
        <v>0</v>
      </c>
      <c r="AZ6" s="39">
        <f>資料儲存!I2042</f>
        <v>0</v>
      </c>
      <c r="BA6" s="39">
        <f>資料儲存!J2042</f>
        <v>0</v>
      </c>
    </row>
    <row r="7" spans="1:53" ht="16" thickBot="1">
      <c r="A7" s="38">
        <v>2</v>
      </c>
      <c r="B7" s="39">
        <f>資料儲存!D1443</f>
        <v>0</v>
      </c>
      <c r="C7" s="39">
        <f>資料儲存!E1443</f>
        <v>0</v>
      </c>
      <c r="D7" s="39">
        <f>資料儲存!F1443</f>
        <v>0</v>
      </c>
      <c r="E7" s="39">
        <f>資料儲存!G1443</f>
        <v>0</v>
      </c>
      <c r="F7" s="39">
        <f>資料儲存!H1443</f>
        <v>0</v>
      </c>
      <c r="G7" s="39">
        <f>資料儲存!I1443</f>
        <v>0</v>
      </c>
      <c r="H7" s="39">
        <f>資料儲存!J1443</f>
        <v>0</v>
      </c>
      <c r="I7" s="35"/>
      <c r="J7" s="38">
        <v>2</v>
      </c>
      <c r="K7" s="39">
        <f>資料儲存!D1563</f>
        <v>0</v>
      </c>
      <c r="L7" s="39">
        <f>資料儲存!E1563</f>
        <v>0</v>
      </c>
      <c r="M7" s="39">
        <f>資料儲存!F1563</f>
        <v>0</v>
      </c>
      <c r="N7" s="39">
        <f>資料儲存!G1563</f>
        <v>0</v>
      </c>
      <c r="O7" s="39">
        <f>資料儲存!H1563</f>
        <v>0</v>
      </c>
      <c r="P7" s="39">
        <f>資料儲存!I1563</f>
        <v>0</v>
      </c>
      <c r="Q7" s="39">
        <f>資料儲存!J1563</f>
        <v>0</v>
      </c>
      <c r="R7" s="35"/>
      <c r="S7" s="38">
        <v>2</v>
      </c>
      <c r="T7" s="39">
        <f>資料儲存!D1683</f>
        <v>0</v>
      </c>
      <c r="U7" s="39">
        <f>資料儲存!E1683</f>
        <v>0</v>
      </c>
      <c r="V7" s="39">
        <f>資料儲存!F1683</f>
        <v>0</v>
      </c>
      <c r="W7" s="39">
        <f>資料儲存!G1683</f>
        <v>0</v>
      </c>
      <c r="X7" s="39">
        <f>資料儲存!H1683</f>
        <v>0</v>
      </c>
      <c r="Y7" s="39">
        <f>資料儲存!I1683</f>
        <v>0</v>
      </c>
      <c r="Z7" s="39">
        <f>資料儲存!J1683</f>
        <v>0</v>
      </c>
      <c r="AA7" s="35"/>
      <c r="AB7" s="38">
        <v>2</v>
      </c>
      <c r="AC7" s="39">
        <f>資料儲存!D1803</f>
        <v>0</v>
      </c>
      <c r="AD7" s="39">
        <f>資料儲存!E1803</f>
        <v>0</v>
      </c>
      <c r="AE7" s="39">
        <f>資料儲存!F1803</f>
        <v>0</v>
      </c>
      <c r="AF7" s="39">
        <f>資料儲存!G1803</f>
        <v>0</v>
      </c>
      <c r="AG7" s="39">
        <f>資料儲存!H1803</f>
        <v>0</v>
      </c>
      <c r="AH7" s="39">
        <f>資料儲存!I1803</f>
        <v>0</v>
      </c>
      <c r="AI7" s="39">
        <f>資料儲存!J1803</f>
        <v>0</v>
      </c>
      <c r="AJ7" s="13"/>
      <c r="AK7" s="38">
        <v>2</v>
      </c>
      <c r="AL7" s="39">
        <f>資料儲存!D1923</f>
        <v>0</v>
      </c>
      <c r="AM7" s="39">
        <f>資料儲存!E1923</f>
        <v>0</v>
      </c>
      <c r="AN7" s="39">
        <f>資料儲存!F1923</f>
        <v>0</v>
      </c>
      <c r="AO7" s="39">
        <f>資料儲存!G1923</f>
        <v>0</v>
      </c>
      <c r="AP7" s="39">
        <f>資料儲存!H1923</f>
        <v>0</v>
      </c>
      <c r="AQ7" s="39">
        <f>資料儲存!I1923</f>
        <v>0</v>
      </c>
      <c r="AR7" s="39">
        <f>資料儲存!J1923</f>
        <v>0</v>
      </c>
      <c r="AT7" s="38">
        <v>2</v>
      </c>
      <c r="AU7" s="39">
        <f>資料儲存!D2043</f>
        <v>0</v>
      </c>
      <c r="AV7" s="39">
        <f>資料儲存!E2043</f>
        <v>0</v>
      </c>
      <c r="AW7" s="39">
        <f>資料儲存!F2043</f>
        <v>0</v>
      </c>
      <c r="AX7" s="39">
        <f>資料儲存!G2043</f>
        <v>0</v>
      </c>
      <c r="AY7" s="39">
        <f>資料儲存!H2043</f>
        <v>0</v>
      </c>
      <c r="AZ7" s="39">
        <f>資料儲存!I2043</f>
        <v>0</v>
      </c>
      <c r="BA7" s="39">
        <f>資料儲存!J2043</f>
        <v>0</v>
      </c>
    </row>
    <row r="8" spans="1:53" ht="16" thickBot="1">
      <c r="A8" s="38">
        <v>3</v>
      </c>
      <c r="B8" s="39">
        <f>資料儲存!D1444</f>
        <v>0</v>
      </c>
      <c r="C8" s="39">
        <f>資料儲存!E1444</f>
        <v>0</v>
      </c>
      <c r="D8" s="39">
        <f>資料儲存!F1444</f>
        <v>0</v>
      </c>
      <c r="E8" s="39">
        <f>資料儲存!G1444</f>
        <v>0</v>
      </c>
      <c r="F8" s="39">
        <f>資料儲存!H1444</f>
        <v>0</v>
      </c>
      <c r="G8" s="39">
        <f>資料儲存!I1444</f>
        <v>0</v>
      </c>
      <c r="H8" s="39">
        <f>資料儲存!J1444</f>
        <v>0</v>
      </c>
      <c r="I8" s="35"/>
      <c r="J8" s="38">
        <v>3</v>
      </c>
      <c r="K8" s="39">
        <f>資料儲存!D1564</f>
        <v>0</v>
      </c>
      <c r="L8" s="39">
        <f>資料儲存!E1564</f>
        <v>0</v>
      </c>
      <c r="M8" s="39">
        <f>資料儲存!F1564</f>
        <v>0</v>
      </c>
      <c r="N8" s="39">
        <f>資料儲存!G1564</f>
        <v>0</v>
      </c>
      <c r="O8" s="39">
        <f>資料儲存!H1564</f>
        <v>0</v>
      </c>
      <c r="P8" s="39">
        <f>資料儲存!I1564</f>
        <v>0</v>
      </c>
      <c r="Q8" s="39">
        <f>資料儲存!J1564</f>
        <v>0</v>
      </c>
      <c r="R8" s="35"/>
      <c r="S8" s="38">
        <v>3</v>
      </c>
      <c r="T8" s="39">
        <f>資料儲存!D1684</f>
        <v>0</v>
      </c>
      <c r="U8" s="39">
        <f>資料儲存!E1684</f>
        <v>0</v>
      </c>
      <c r="V8" s="39">
        <f>資料儲存!F1684</f>
        <v>0</v>
      </c>
      <c r="W8" s="39">
        <f>資料儲存!G1684</f>
        <v>0</v>
      </c>
      <c r="X8" s="39">
        <f>資料儲存!H1684</f>
        <v>0</v>
      </c>
      <c r="Y8" s="39">
        <f>資料儲存!I1684</f>
        <v>0</v>
      </c>
      <c r="Z8" s="39">
        <f>資料儲存!J1684</f>
        <v>0</v>
      </c>
      <c r="AA8" s="35"/>
      <c r="AB8" s="38">
        <v>3</v>
      </c>
      <c r="AC8" s="39">
        <f>資料儲存!D1804</f>
        <v>0</v>
      </c>
      <c r="AD8" s="39">
        <f>資料儲存!E1804</f>
        <v>0</v>
      </c>
      <c r="AE8" s="39">
        <f>資料儲存!F1804</f>
        <v>0</v>
      </c>
      <c r="AF8" s="39">
        <f>資料儲存!G1804</f>
        <v>0</v>
      </c>
      <c r="AG8" s="39">
        <f>資料儲存!H1804</f>
        <v>0</v>
      </c>
      <c r="AH8" s="39">
        <f>資料儲存!I1804</f>
        <v>0</v>
      </c>
      <c r="AI8" s="39">
        <f>資料儲存!J1804</f>
        <v>0</v>
      </c>
      <c r="AJ8" s="13"/>
      <c r="AK8" s="38">
        <v>3</v>
      </c>
      <c r="AL8" s="39">
        <f>資料儲存!D1924</f>
        <v>0</v>
      </c>
      <c r="AM8" s="39">
        <f>資料儲存!E1924</f>
        <v>0</v>
      </c>
      <c r="AN8" s="39">
        <f>資料儲存!F1924</f>
        <v>0</v>
      </c>
      <c r="AO8" s="39">
        <f>資料儲存!G1924</f>
        <v>0</v>
      </c>
      <c r="AP8" s="39">
        <f>資料儲存!H1924</f>
        <v>0</v>
      </c>
      <c r="AQ8" s="39">
        <f>資料儲存!I1924</f>
        <v>0</v>
      </c>
      <c r="AR8" s="39">
        <f>資料儲存!J1924</f>
        <v>0</v>
      </c>
      <c r="AT8" s="38">
        <v>3</v>
      </c>
      <c r="AU8" s="39">
        <f>資料儲存!D2044</f>
        <v>0</v>
      </c>
      <c r="AV8" s="39">
        <f>資料儲存!E2044</f>
        <v>0</v>
      </c>
      <c r="AW8" s="39">
        <f>資料儲存!F2044</f>
        <v>0</v>
      </c>
      <c r="AX8" s="39">
        <f>資料儲存!G2044</f>
        <v>0</v>
      </c>
      <c r="AY8" s="39">
        <f>資料儲存!H2044</f>
        <v>0</v>
      </c>
      <c r="AZ8" s="39">
        <f>資料儲存!I2044</f>
        <v>0</v>
      </c>
      <c r="BA8" s="39">
        <f>資料儲存!J2044</f>
        <v>0</v>
      </c>
    </row>
    <row r="9" spans="1:53" ht="16" thickBot="1">
      <c r="A9" s="38">
        <v>4</v>
      </c>
      <c r="B9" s="39">
        <f>資料儲存!D1445</f>
        <v>0</v>
      </c>
      <c r="C9" s="39">
        <f>資料儲存!E1445</f>
        <v>0</v>
      </c>
      <c r="D9" s="39">
        <f>資料儲存!F1445</f>
        <v>0</v>
      </c>
      <c r="E9" s="39">
        <f>資料儲存!G1445</f>
        <v>0</v>
      </c>
      <c r="F9" s="39">
        <f>資料儲存!H1445</f>
        <v>0</v>
      </c>
      <c r="G9" s="39">
        <f>資料儲存!I1445</f>
        <v>0</v>
      </c>
      <c r="H9" s="39">
        <f>資料儲存!J1445</f>
        <v>0</v>
      </c>
      <c r="I9" s="35"/>
      <c r="J9" s="38">
        <v>4</v>
      </c>
      <c r="K9" s="39">
        <f>資料儲存!D1565</f>
        <v>0</v>
      </c>
      <c r="L9" s="39">
        <f>資料儲存!E1565</f>
        <v>0</v>
      </c>
      <c r="M9" s="39">
        <f>資料儲存!F1565</f>
        <v>0</v>
      </c>
      <c r="N9" s="39">
        <f>資料儲存!G1565</f>
        <v>0</v>
      </c>
      <c r="O9" s="39">
        <f>資料儲存!H1565</f>
        <v>0</v>
      </c>
      <c r="P9" s="39">
        <f>資料儲存!I1565</f>
        <v>0</v>
      </c>
      <c r="Q9" s="39">
        <f>資料儲存!J1565</f>
        <v>0</v>
      </c>
      <c r="R9" s="35"/>
      <c r="S9" s="38">
        <v>4</v>
      </c>
      <c r="T9" s="39">
        <f>資料儲存!D1685</f>
        <v>0</v>
      </c>
      <c r="U9" s="39">
        <f>資料儲存!E1685</f>
        <v>0</v>
      </c>
      <c r="V9" s="39">
        <f>資料儲存!F1685</f>
        <v>0</v>
      </c>
      <c r="W9" s="39">
        <f>資料儲存!G1685</f>
        <v>0</v>
      </c>
      <c r="X9" s="39">
        <f>資料儲存!H1685</f>
        <v>0</v>
      </c>
      <c r="Y9" s="39">
        <f>資料儲存!I1685</f>
        <v>0</v>
      </c>
      <c r="Z9" s="39">
        <f>資料儲存!J1685</f>
        <v>0</v>
      </c>
      <c r="AA9" s="35"/>
      <c r="AB9" s="38">
        <v>4</v>
      </c>
      <c r="AC9" s="39">
        <f>資料儲存!D1805</f>
        <v>0</v>
      </c>
      <c r="AD9" s="39">
        <f>資料儲存!E1805</f>
        <v>0</v>
      </c>
      <c r="AE9" s="39">
        <f>資料儲存!F1805</f>
        <v>0</v>
      </c>
      <c r="AF9" s="39">
        <f>資料儲存!G1805</f>
        <v>0</v>
      </c>
      <c r="AG9" s="39">
        <f>資料儲存!H1805</f>
        <v>0</v>
      </c>
      <c r="AH9" s="39">
        <f>資料儲存!I1805</f>
        <v>0</v>
      </c>
      <c r="AI9" s="39">
        <f>資料儲存!J1805</f>
        <v>0</v>
      </c>
      <c r="AJ9" s="13"/>
      <c r="AK9" s="38">
        <v>4</v>
      </c>
      <c r="AL9" s="39">
        <f>資料儲存!D1925</f>
        <v>0</v>
      </c>
      <c r="AM9" s="39">
        <f>資料儲存!E1925</f>
        <v>0</v>
      </c>
      <c r="AN9" s="39">
        <f>資料儲存!F1925</f>
        <v>0</v>
      </c>
      <c r="AO9" s="39">
        <f>資料儲存!G1925</f>
        <v>0</v>
      </c>
      <c r="AP9" s="39">
        <f>資料儲存!H1925</f>
        <v>0</v>
      </c>
      <c r="AQ9" s="39">
        <f>資料儲存!I1925</f>
        <v>0</v>
      </c>
      <c r="AR9" s="39">
        <f>資料儲存!J1925</f>
        <v>0</v>
      </c>
      <c r="AT9" s="38">
        <v>4</v>
      </c>
      <c r="AU9" s="39">
        <f>資料儲存!D2045</f>
        <v>0</v>
      </c>
      <c r="AV9" s="39">
        <f>資料儲存!E2045</f>
        <v>0</v>
      </c>
      <c r="AW9" s="39">
        <f>資料儲存!F2045</f>
        <v>0</v>
      </c>
      <c r="AX9" s="39">
        <f>資料儲存!G2045</f>
        <v>0</v>
      </c>
      <c r="AY9" s="39">
        <f>資料儲存!H2045</f>
        <v>0</v>
      </c>
      <c r="AZ9" s="39">
        <f>資料儲存!I2045</f>
        <v>0</v>
      </c>
      <c r="BA9" s="39">
        <f>資料儲存!J2045</f>
        <v>0</v>
      </c>
    </row>
    <row r="10" spans="1:53" ht="16" thickBot="1">
      <c r="A10" s="38">
        <v>5</v>
      </c>
      <c r="B10" s="39">
        <f>資料儲存!D1446</f>
        <v>0</v>
      </c>
      <c r="C10" s="39">
        <f>資料儲存!E1446</f>
        <v>0</v>
      </c>
      <c r="D10" s="39">
        <f>資料儲存!F1446</f>
        <v>0</v>
      </c>
      <c r="E10" s="39">
        <f>資料儲存!G1446</f>
        <v>0</v>
      </c>
      <c r="F10" s="39">
        <f>資料儲存!H1446</f>
        <v>0</v>
      </c>
      <c r="G10" s="39">
        <f>資料儲存!I1446</f>
        <v>0</v>
      </c>
      <c r="H10" s="39">
        <f>資料儲存!J1446</f>
        <v>0</v>
      </c>
      <c r="I10" s="35"/>
      <c r="J10" s="38">
        <v>5</v>
      </c>
      <c r="K10" s="39">
        <f>資料儲存!D1566</f>
        <v>0</v>
      </c>
      <c r="L10" s="39">
        <f>資料儲存!E1566</f>
        <v>0</v>
      </c>
      <c r="M10" s="39">
        <f>資料儲存!F1566</f>
        <v>0</v>
      </c>
      <c r="N10" s="39">
        <f>資料儲存!G1566</f>
        <v>0</v>
      </c>
      <c r="O10" s="39">
        <f>資料儲存!H1566</f>
        <v>0</v>
      </c>
      <c r="P10" s="39">
        <f>資料儲存!I1566</f>
        <v>0</v>
      </c>
      <c r="Q10" s="39">
        <f>資料儲存!J1566</f>
        <v>0</v>
      </c>
      <c r="R10" s="35"/>
      <c r="S10" s="38">
        <v>5</v>
      </c>
      <c r="T10" s="39">
        <f>資料儲存!D1686</f>
        <v>0</v>
      </c>
      <c r="U10" s="39">
        <f>資料儲存!E1686</f>
        <v>0</v>
      </c>
      <c r="V10" s="39">
        <f>資料儲存!F1686</f>
        <v>0</v>
      </c>
      <c r="W10" s="39">
        <f>資料儲存!G1686</f>
        <v>0</v>
      </c>
      <c r="X10" s="39">
        <f>資料儲存!H1686</f>
        <v>0</v>
      </c>
      <c r="Y10" s="39">
        <f>資料儲存!I1686</f>
        <v>0</v>
      </c>
      <c r="Z10" s="39">
        <f>資料儲存!J1686</f>
        <v>0</v>
      </c>
      <c r="AA10" s="35"/>
      <c r="AB10" s="38">
        <v>5</v>
      </c>
      <c r="AC10" s="39">
        <f>資料儲存!D1806</f>
        <v>0</v>
      </c>
      <c r="AD10" s="39">
        <f>資料儲存!E1806</f>
        <v>0</v>
      </c>
      <c r="AE10" s="39">
        <f>資料儲存!F1806</f>
        <v>0</v>
      </c>
      <c r="AF10" s="39">
        <f>資料儲存!G1806</f>
        <v>0</v>
      </c>
      <c r="AG10" s="39">
        <f>資料儲存!H1806</f>
        <v>0</v>
      </c>
      <c r="AH10" s="39">
        <f>資料儲存!I1806</f>
        <v>0</v>
      </c>
      <c r="AI10" s="39">
        <f>資料儲存!J1806</f>
        <v>0</v>
      </c>
      <c r="AJ10" s="13"/>
      <c r="AK10" s="38">
        <v>5</v>
      </c>
      <c r="AL10" s="39">
        <f>資料儲存!D1926</f>
        <v>0</v>
      </c>
      <c r="AM10" s="39">
        <f>資料儲存!E1926</f>
        <v>0</v>
      </c>
      <c r="AN10" s="39">
        <f>資料儲存!F1926</f>
        <v>0</v>
      </c>
      <c r="AO10" s="39">
        <f>資料儲存!G1926</f>
        <v>0</v>
      </c>
      <c r="AP10" s="39">
        <f>資料儲存!H1926</f>
        <v>0</v>
      </c>
      <c r="AQ10" s="39">
        <f>資料儲存!I1926</f>
        <v>0</v>
      </c>
      <c r="AR10" s="39">
        <f>資料儲存!J1926</f>
        <v>0</v>
      </c>
      <c r="AT10" s="38">
        <v>5</v>
      </c>
      <c r="AU10" s="39">
        <f>資料儲存!D2046</f>
        <v>0</v>
      </c>
      <c r="AV10" s="39">
        <f>資料儲存!E2046</f>
        <v>0</v>
      </c>
      <c r="AW10" s="39">
        <f>資料儲存!F2046</f>
        <v>0</v>
      </c>
      <c r="AX10" s="39">
        <f>資料儲存!G2046</f>
        <v>0</v>
      </c>
      <c r="AY10" s="39">
        <f>資料儲存!H2046</f>
        <v>0</v>
      </c>
      <c r="AZ10" s="39">
        <f>資料儲存!I2046</f>
        <v>0</v>
      </c>
      <c r="BA10" s="39">
        <f>資料儲存!J2046</f>
        <v>0</v>
      </c>
    </row>
    <row r="11" spans="1:53" ht="16" thickBot="1">
      <c r="A11" s="38">
        <v>6</v>
      </c>
      <c r="B11" s="39">
        <f>資料儲存!D1447</f>
        <v>0</v>
      </c>
      <c r="C11" s="39">
        <f>資料儲存!E1447</f>
        <v>0</v>
      </c>
      <c r="D11" s="39">
        <f>資料儲存!F1447</f>
        <v>0</v>
      </c>
      <c r="E11" s="39">
        <f>資料儲存!G1447</f>
        <v>0</v>
      </c>
      <c r="F11" s="39">
        <f>資料儲存!H1447</f>
        <v>0</v>
      </c>
      <c r="G11" s="39">
        <f>資料儲存!I1447</f>
        <v>0</v>
      </c>
      <c r="H11" s="39">
        <f>資料儲存!J1447</f>
        <v>0</v>
      </c>
      <c r="I11" s="35"/>
      <c r="J11" s="38">
        <v>6</v>
      </c>
      <c r="K11" s="39">
        <f>資料儲存!D1567</f>
        <v>0</v>
      </c>
      <c r="L11" s="39">
        <f>資料儲存!E1567</f>
        <v>0</v>
      </c>
      <c r="M11" s="39">
        <f>資料儲存!F1567</f>
        <v>0</v>
      </c>
      <c r="N11" s="39">
        <f>資料儲存!G1567</f>
        <v>0</v>
      </c>
      <c r="O11" s="39">
        <f>資料儲存!H1567</f>
        <v>0</v>
      </c>
      <c r="P11" s="39">
        <f>資料儲存!I1567</f>
        <v>0</v>
      </c>
      <c r="Q11" s="39">
        <f>資料儲存!J1567</f>
        <v>0</v>
      </c>
      <c r="R11" s="35"/>
      <c r="S11" s="38">
        <v>6</v>
      </c>
      <c r="T11" s="39">
        <f>資料儲存!D1687</f>
        <v>0</v>
      </c>
      <c r="U11" s="39">
        <f>資料儲存!E1687</f>
        <v>0</v>
      </c>
      <c r="V11" s="39">
        <f>資料儲存!F1687</f>
        <v>0</v>
      </c>
      <c r="W11" s="39">
        <f>資料儲存!G1687</f>
        <v>0</v>
      </c>
      <c r="X11" s="39">
        <f>資料儲存!H1687</f>
        <v>0</v>
      </c>
      <c r="Y11" s="39">
        <f>資料儲存!I1687</f>
        <v>0</v>
      </c>
      <c r="Z11" s="39">
        <f>資料儲存!J1687</f>
        <v>0</v>
      </c>
      <c r="AA11" s="35"/>
      <c r="AB11" s="38">
        <v>6</v>
      </c>
      <c r="AC11" s="39">
        <f>資料儲存!D1807</f>
        <v>0</v>
      </c>
      <c r="AD11" s="39">
        <f>資料儲存!E1807</f>
        <v>0</v>
      </c>
      <c r="AE11" s="39">
        <f>資料儲存!F1807</f>
        <v>0</v>
      </c>
      <c r="AF11" s="39">
        <f>資料儲存!G1807</f>
        <v>0</v>
      </c>
      <c r="AG11" s="39">
        <f>資料儲存!H1807</f>
        <v>0</v>
      </c>
      <c r="AH11" s="39">
        <f>資料儲存!I1807</f>
        <v>0</v>
      </c>
      <c r="AI11" s="39">
        <f>資料儲存!J1807</f>
        <v>0</v>
      </c>
      <c r="AJ11" s="13"/>
      <c r="AK11" s="38">
        <v>6</v>
      </c>
      <c r="AL11" s="39">
        <f>資料儲存!D1927</f>
        <v>0</v>
      </c>
      <c r="AM11" s="39">
        <f>資料儲存!E1927</f>
        <v>0</v>
      </c>
      <c r="AN11" s="39">
        <f>資料儲存!F1927</f>
        <v>0</v>
      </c>
      <c r="AO11" s="39">
        <f>資料儲存!G1927</f>
        <v>0</v>
      </c>
      <c r="AP11" s="39">
        <f>資料儲存!H1927</f>
        <v>0</v>
      </c>
      <c r="AQ11" s="39">
        <f>資料儲存!I1927</f>
        <v>0</v>
      </c>
      <c r="AR11" s="39">
        <f>資料儲存!J1927</f>
        <v>0</v>
      </c>
      <c r="AT11" s="38">
        <v>6</v>
      </c>
      <c r="AU11" s="39">
        <f>資料儲存!D2047</f>
        <v>0</v>
      </c>
      <c r="AV11" s="39">
        <f>資料儲存!E2047</f>
        <v>0</v>
      </c>
      <c r="AW11" s="39">
        <f>資料儲存!F2047</f>
        <v>0</v>
      </c>
      <c r="AX11" s="39">
        <f>資料儲存!G2047</f>
        <v>0</v>
      </c>
      <c r="AY11" s="39">
        <f>資料儲存!H2047</f>
        <v>0</v>
      </c>
      <c r="AZ11" s="39">
        <f>資料儲存!I2047</f>
        <v>0</v>
      </c>
      <c r="BA11" s="39">
        <f>資料儲存!J2047</f>
        <v>0</v>
      </c>
    </row>
    <row r="12" spans="1:53" ht="16" thickBot="1">
      <c r="A12" s="38">
        <v>7</v>
      </c>
      <c r="B12" s="39">
        <f>資料儲存!D1448</f>
        <v>0</v>
      </c>
      <c r="C12" s="39">
        <f>資料儲存!E1448</f>
        <v>0</v>
      </c>
      <c r="D12" s="39">
        <f>資料儲存!F1448</f>
        <v>0</v>
      </c>
      <c r="E12" s="39">
        <f>資料儲存!G1448</f>
        <v>0</v>
      </c>
      <c r="F12" s="39">
        <f>資料儲存!H1448</f>
        <v>0</v>
      </c>
      <c r="G12" s="39">
        <f>資料儲存!I1448</f>
        <v>0</v>
      </c>
      <c r="H12" s="39">
        <f>資料儲存!J1448</f>
        <v>0</v>
      </c>
      <c r="I12" s="35"/>
      <c r="J12" s="38">
        <v>7</v>
      </c>
      <c r="K12" s="39">
        <f>資料儲存!D1568</f>
        <v>0</v>
      </c>
      <c r="L12" s="39">
        <f>資料儲存!E1568</f>
        <v>0</v>
      </c>
      <c r="M12" s="39">
        <f>資料儲存!F1568</f>
        <v>0</v>
      </c>
      <c r="N12" s="39">
        <f>資料儲存!G1568</f>
        <v>0</v>
      </c>
      <c r="O12" s="39">
        <f>資料儲存!H1568</f>
        <v>0</v>
      </c>
      <c r="P12" s="39">
        <f>資料儲存!I1568</f>
        <v>0</v>
      </c>
      <c r="Q12" s="39">
        <f>資料儲存!J1568</f>
        <v>0</v>
      </c>
      <c r="R12" s="35"/>
      <c r="S12" s="38">
        <v>7</v>
      </c>
      <c r="T12" s="39">
        <f>資料儲存!D1688</f>
        <v>0</v>
      </c>
      <c r="U12" s="39">
        <f>資料儲存!E1688</f>
        <v>0</v>
      </c>
      <c r="V12" s="39">
        <f>資料儲存!F1688</f>
        <v>0</v>
      </c>
      <c r="W12" s="39">
        <f>資料儲存!G1688</f>
        <v>0</v>
      </c>
      <c r="X12" s="39">
        <f>資料儲存!H1688</f>
        <v>0</v>
      </c>
      <c r="Y12" s="39">
        <f>資料儲存!I1688</f>
        <v>0</v>
      </c>
      <c r="Z12" s="39">
        <f>資料儲存!J1688</f>
        <v>0</v>
      </c>
      <c r="AA12" s="35"/>
      <c r="AB12" s="38">
        <v>7</v>
      </c>
      <c r="AC12" s="39">
        <f>資料儲存!D1808</f>
        <v>0</v>
      </c>
      <c r="AD12" s="39">
        <f>資料儲存!E1808</f>
        <v>0</v>
      </c>
      <c r="AE12" s="39">
        <f>資料儲存!F1808</f>
        <v>0</v>
      </c>
      <c r="AF12" s="39">
        <f>資料儲存!G1808</f>
        <v>0</v>
      </c>
      <c r="AG12" s="39">
        <f>資料儲存!H1808</f>
        <v>0</v>
      </c>
      <c r="AH12" s="39">
        <f>資料儲存!I1808</f>
        <v>0</v>
      </c>
      <c r="AI12" s="39">
        <f>資料儲存!J1808</f>
        <v>0</v>
      </c>
      <c r="AJ12" s="13"/>
      <c r="AK12" s="38">
        <v>7</v>
      </c>
      <c r="AL12" s="39">
        <f>資料儲存!D1928</f>
        <v>0</v>
      </c>
      <c r="AM12" s="39">
        <f>資料儲存!E1928</f>
        <v>0</v>
      </c>
      <c r="AN12" s="39">
        <f>資料儲存!F1928</f>
        <v>0</v>
      </c>
      <c r="AO12" s="39">
        <f>資料儲存!G1928</f>
        <v>0</v>
      </c>
      <c r="AP12" s="39">
        <f>資料儲存!H1928</f>
        <v>0</v>
      </c>
      <c r="AQ12" s="39">
        <f>資料儲存!I1928</f>
        <v>0</v>
      </c>
      <c r="AR12" s="39">
        <f>資料儲存!J1928</f>
        <v>0</v>
      </c>
      <c r="AT12" s="38">
        <v>7</v>
      </c>
      <c r="AU12" s="39">
        <f>資料儲存!D2048</f>
        <v>0</v>
      </c>
      <c r="AV12" s="39">
        <f>資料儲存!E2048</f>
        <v>0</v>
      </c>
      <c r="AW12" s="39">
        <f>資料儲存!F2048</f>
        <v>0</v>
      </c>
      <c r="AX12" s="39">
        <f>資料儲存!G2048</f>
        <v>0</v>
      </c>
      <c r="AY12" s="39">
        <f>資料儲存!H2048</f>
        <v>0</v>
      </c>
      <c r="AZ12" s="39">
        <f>資料儲存!I2048</f>
        <v>0</v>
      </c>
      <c r="BA12" s="39">
        <f>資料儲存!J2048</f>
        <v>0</v>
      </c>
    </row>
    <row r="13" spans="1:53" ht="16" thickBot="1">
      <c r="A13" s="38">
        <v>8</v>
      </c>
      <c r="B13" s="39">
        <f>資料儲存!D1449</f>
        <v>0</v>
      </c>
      <c r="C13" s="39">
        <f>資料儲存!E1449</f>
        <v>0</v>
      </c>
      <c r="D13" s="39">
        <f>資料儲存!F1449</f>
        <v>0</v>
      </c>
      <c r="E13" s="39">
        <f>資料儲存!G1449</f>
        <v>0</v>
      </c>
      <c r="F13" s="39">
        <f>資料儲存!H1449</f>
        <v>0</v>
      </c>
      <c r="G13" s="39">
        <f>資料儲存!I1449</f>
        <v>0</v>
      </c>
      <c r="H13" s="39">
        <f>資料儲存!J1449</f>
        <v>0</v>
      </c>
      <c r="I13" s="35"/>
      <c r="J13" s="38">
        <v>8</v>
      </c>
      <c r="K13" s="39">
        <f>資料儲存!D1569</f>
        <v>0</v>
      </c>
      <c r="L13" s="39">
        <f>資料儲存!E1569</f>
        <v>0</v>
      </c>
      <c r="M13" s="39">
        <f>資料儲存!F1569</f>
        <v>0</v>
      </c>
      <c r="N13" s="39">
        <f>資料儲存!G1569</f>
        <v>0</v>
      </c>
      <c r="O13" s="39">
        <f>資料儲存!H1569</f>
        <v>0</v>
      </c>
      <c r="P13" s="39">
        <f>資料儲存!I1569</f>
        <v>0</v>
      </c>
      <c r="Q13" s="39">
        <f>資料儲存!J1569</f>
        <v>0</v>
      </c>
      <c r="R13" s="35"/>
      <c r="S13" s="38">
        <v>8</v>
      </c>
      <c r="T13" s="39">
        <f>資料儲存!D1689</f>
        <v>0</v>
      </c>
      <c r="U13" s="39">
        <f>資料儲存!E1689</f>
        <v>0</v>
      </c>
      <c r="V13" s="39">
        <f>資料儲存!F1689</f>
        <v>0</v>
      </c>
      <c r="W13" s="39">
        <f>資料儲存!G1689</f>
        <v>0</v>
      </c>
      <c r="X13" s="39">
        <f>資料儲存!H1689</f>
        <v>0</v>
      </c>
      <c r="Y13" s="39">
        <f>資料儲存!I1689</f>
        <v>0</v>
      </c>
      <c r="Z13" s="39">
        <f>資料儲存!J1689</f>
        <v>0</v>
      </c>
      <c r="AA13" s="35"/>
      <c r="AB13" s="38">
        <v>8</v>
      </c>
      <c r="AC13" s="39">
        <f>資料儲存!D1809</f>
        <v>0</v>
      </c>
      <c r="AD13" s="39">
        <f>資料儲存!E1809</f>
        <v>0</v>
      </c>
      <c r="AE13" s="39">
        <f>資料儲存!F1809</f>
        <v>0</v>
      </c>
      <c r="AF13" s="39">
        <f>資料儲存!G1809</f>
        <v>0</v>
      </c>
      <c r="AG13" s="39">
        <f>資料儲存!H1809</f>
        <v>0</v>
      </c>
      <c r="AH13" s="39">
        <f>資料儲存!I1809</f>
        <v>0</v>
      </c>
      <c r="AI13" s="39">
        <f>資料儲存!J1809</f>
        <v>0</v>
      </c>
      <c r="AJ13" s="13"/>
      <c r="AK13" s="38">
        <v>8</v>
      </c>
      <c r="AL13" s="39">
        <f>資料儲存!D1929</f>
        <v>0</v>
      </c>
      <c r="AM13" s="39">
        <f>資料儲存!E1929</f>
        <v>0</v>
      </c>
      <c r="AN13" s="39">
        <f>資料儲存!F1929</f>
        <v>0</v>
      </c>
      <c r="AO13" s="39">
        <f>資料儲存!G1929</f>
        <v>0</v>
      </c>
      <c r="AP13" s="39">
        <f>資料儲存!H1929</f>
        <v>0</v>
      </c>
      <c r="AQ13" s="39">
        <f>資料儲存!I1929</f>
        <v>0</v>
      </c>
      <c r="AR13" s="39">
        <f>資料儲存!J1929</f>
        <v>0</v>
      </c>
      <c r="AT13" s="38">
        <v>8</v>
      </c>
      <c r="AU13" s="39">
        <f>資料儲存!D2049</f>
        <v>0</v>
      </c>
      <c r="AV13" s="39">
        <f>資料儲存!E2049</f>
        <v>0</v>
      </c>
      <c r="AW13" s="39">
        <f>資料儲存!F2049</f>
        <v>0</v>
      </c>
      <c r="AX13" s="39">
        <f>資料儲存!G2049</f>
        <v>0</v>
      </c>
      <c r="AY13" s="39">
        <f>資料儲存!H2049</f>
        <v>0</v>
      </c>
      <c r="AZ13" s="39">
        <f>資料儲存!I2049</f>
        <v>0</v>
      </c>
      <c r="BA13" s="39">
        <f>資料儲存!J2049</f>
        <v>0</v>
      </c>
    </row>
    <row r="14" spans="1:53" ht="16" thickBot="1">
      <c r="A14" s="38">
        <v>9</v>
      </c>
      <c r="B14" s="39">
        <f>資料儲存!D1450</f>
        <v>0</v>
      </c>
      <c r="C14" s="39">
        <f>資料儲存!E1450</f>
        <v>0</v>
      </c>
      <c r="D14" s="39">
        <f>資料儲存!F1450</f>
        <v>0</v>
      </c>
      <c r="E14" s="39">
        <f>資料儲存!G1450</f>
        <v>0</v>
      </c>
      <c r="F14" s="39">
        <f>資料儲存!H1450</f>
        <v>0</v>
      </c>
      <c r="G14" s="39">
        <f>資料儲存!I1450</f>
        <v>0</v>
      </c>
      <c r="H14" s="39">
        <f>資料儲存!J1450</f>
        <v>0</v>
      </c>
      <c r="I14" s="35"/>
      <c r="J14" s="38">
        <v>9</v>
      </c>
      <c r="K14" s="39">
        <f>資料儲存!D1570</f>
        <v>0</v>
      </c>
      <c r="L14" s="39">
        <f>資料儲存!E1570</f>
        <v>0</v>
      </c>
      <c r="M14" s="39">
        <f>資料儲存!F1570</f>
        <v>0</v>
      </c>
      <c r="N14" s="39">
        <f>資料儲存!G1570</f>
        <v>0</v>
      </c>
      <c r="O14" s="39">
        <f>資料儲存!H1570</f>
        <v>0</v>
      </c>
      <c r="P14" s="39">
        <f>資料儲存!I1570</f>
        <v>0</v>
      </c>
      <c r="Q14" s="39">
        <f>資料儲存!J1570</f>
        <v>0</v>
      </c>
      <c r="R14" s="35"/>
      <c r="S14" s="38">
        <v>9</v>
      </c>
      <c r="T14" s="39">
        <f>資料儲存!D1690</f>
        <v>0</v>
      </c>
      <c r="U14" s="39">
        <f>資料儲存!E1690</f>
        <v>0</v>
      </c>
      <c r="V14" s="39">
        <f>資料儲存!F1690</f>
        <v>0</v>
      </c>
      <c r="W14" s="39">
        <f>資料儲存!G1690</f>
        <v>0</v>
      </c>
      <c r="X14" s="39">
        <f>資料儲存!H1690</f>
        <v>0</v>
      </c>
      <c r="Y14" s="39">
        <f>資料儲存!I1690</f>
        <v>0</v>
      </c>
      <c r="Z14" s="39">
        <f>資料儲存!J1690</f>
        <v>0</v>
      </c>
      <c r="AA14" s="35"/>
      <c r="AB14" s="38">
        <v>9</v>
      </c>
      <c r="AC14" s="39">
        <f>資料儲存!D1810</f>
        <v>0</v>
      </c>
      <c r="AD14" s="39">
        <f>資料儲存!E1810</f>
        <v>0</v>
      </c>
      <c r="AE14" s="39">
        <f>資料儲存!F1810</f>
        <v>0</v>
      </c>
      <c r="AF14" s="39">
        <f>資料儲存!G1810</f>
        <v>0</v>
      </c>
      <c r="AG14" s="39">
        <f>資料儲存!H1810</f>
        <v>0</v>
      </c>
      <c r="AH14" s="39">
        <f>資料儲存!I1810</f>
        <v>0</v>
      </c>
      <c r="AI14" s="39">
        <f>資料儲存!J1810</f>
        <v>0</v>
      </c>
      <c r="AJ14" s="13"/>
      <c r="AK14" s="38">
        <v>9</v>
      </c>
      <c r="AL14" s="39">
        <f>資料儲存!D1930</f>
        <v>0</v>
      </c>
      <c r="AM14" s="39">
        <f>資料儲存!E1930</f>
        <v>0</v>
      </c>
      <c r="AN14" s="39">
        <f>資料儲存!F1930</f>
        <v>0</v>
      </c>
      <c r="AO14" s="39">
        <f>資料儲存!G1930</f>
        <v>0</v>
      </c>
      <c r="AP14" s="39">
        <f>資料儲存!H1930</f>
        <v>0</v>
      </c>
      <c r="AQ14" s="39">
        <f>資料儲存!I1930</f>
        <v>0</v>
      </c>
      <c r="AR14" s="39">
        <f>資料儲存!J1930</f>
        <v>0</v>
      </c>
      <c r="AT14" s="38">
        <v>9</v>
      </c>
      <c r="AU14" s="39">
        <f>資料儲存!D2050</f>
        <v>0</v>
      </c>
      <c r="AV14" s="39">
        <f>資料儲存!E2050</f>
        <v>0</v>
      </c>
      <c r="AW14" s="39">
        <f>資料儲存!F2050</f>
        <v>0</v>
      </c>
      <c r="AX14" s="39">
        <f>資料儲存!G2050</f>
        <v>0</v>
      </c>
      <c r="AY14" s="39">
        <f>資料儲存!H2050</f>
        <v>0</v>
      </c>
      <c r="AZ14" s="39">
        <f>資料儲存!I2050</f>
        <v>0</v>
      </c>
      <c r="BA14" s="39">
        <f>資料儲存!J2050</f>
        <v>0</v>
      </c>
    </row>
    <row r="15" spans="1:53" ht="16" thickBot="1">
      <c r="A15" s="38">
        <v>10</v>
      </c>
      <c r="B15" s="39">
        <f>資料儲存!D1451</f>
        <v>0</v>
      </c>
      <c r="C15" s="39">
        <f>資料儲存!E1451</f>
        <v>0</v>
      </c>
      <c r="D15" s="39">
        <f>資料儲存!F1451</f>
        <v>0</v>
      </c>
      <c r="E15" s="39">
        <f>資料儲存!G1451</f>
        <v>0</v>
      </c>
      <c r="F15" s="39">
        <f>資料儲存!H1451</f>
        <v>0</v>
      </c>
      <c r="G15" s="39">
        <f>資料儲存!I1451</f>
        <v>0</v>
      </c>
      <c r="H15" s="39">
        <f>資料儲存!J1451</f>
        <v>0</v>
      </c>
      <c r="I15" s="35"/>
      <c r="J15" s="38">
        <v>10</v>
      </c>
      <c r="K15" s="39">
        <f>資料儲存!D1571</f>
        <v>0</v>
      </c>
      <c r="L15" s="39">
        <f>資料儲存!E1571</f>
        <v>0</v>
      </c>
      <c r="M15" s="39">
        <f>資料儲存!F1571</f>
        <v>0</v>
      </c>
      <c r="N15" s="39">
        <f>資料儲存!G1571</f>
        <v>0</v>
      </c>
      <c r="O15" s="39">
        <f>資料儲存!H1571</f>
        <v>0</v>
      </c>
      <c r="P15" s="39">
        <f>資料儲存!I1571</f>
        <v>0</v>
      </c>
      <c r="Q15" s="39">
        <f>資料儲存!J1571</f>
        <v>0</v>
      </c>
      <c r="R15" s="35"/>
      <c r="S15" s="38">
        <v>10</v>
      </c>
      <c r="T15" s="39">
        <f>資料儲存!D1691</f>
        <v>0</v>
      </c>
      <c r="U15" s="39">
        <f>資料儲存!E1691</f>
        <v>0</v>
      </c>
      <c r="V15" s="39">
        <f>資料儲存!F1691</f>
        <v>0</v>
      </c>
      <c r="W15" s="39">
        <f>資料儲存!G1691</f>
        <v>0</v>
      </c>
      <c r="X15" s="39">
        <f>資料儲存!H1691</f>
        <v>0</v>
      </c>
      <c r="Y15" s="39">
        <f>資料儲存!I1691</f>
        <v>0</v>
      </c>
      <c r="Z15" s="39">
        <f>資料儲存!J1691</f>
        <v>0</v>
      </c>
      <c r="AA15" s="35"/>
      <c r="AB15" s="38">
        <v>10</v>
      </c>
      <c r="AC15" s="39">
        <f>資料儲存!D1811</f>
        <v>0</v>
      </c>
      <c r="AD15" s="39">
        <f>資料儲存!E1811</f>
        <v>0</v>
      </c>
      <c r="AE15" s="39">
        <f>資料儲存!F1811</f>
        <v>0</v>
      </c>
      <c r="AF15" s="39">
        <f>資料儲存!G1811</f>
        <v>0</v>
      </c>
      <c r="AG15" s="39">
        <f>資料儲存!H1811</f>
        <v>0</v>
      </c>
      <c r="AH15" s="39">
        <f>資料儲存!I1811</f>
        <v>0</v>
      </c>
      <c r="AI15" s="39">
        <f>資料儲存!J1811</f>
        <v>0</v>
      </c>
      <c r="AJ15" s="13"/>
      <c r="AK15" s="38">
        <v>10</v>
      </c>
      <c r="AL15" s="39">
        <f>資料儲存!D1931</f>
        <v>0</v>
      </c>
      <c r="AM15" s="39">
        <f>資料儲存!E1931</f>
        <v>0</v>
      </c>
      <c r="AN15" s="39">
        <f>資料儲存!F1931</f>
        <v>0</v>
      </c>
      <c r="AO15" s="39">
        <f>資料儲存!G1931</f>
        <v>0</v>
      </c>
      <c r="AP15" s="39">
        <f>資料儲存!H1931</f>
        <v>0</v>
      </c>
      <c r="AQ15" s="39">
        <f>資料儲存!I1931</f>
        <v>0</v>
      </c>
      <c r="AR15" s="39">
        <f>資料儲存!J1931</f>
        <v>0</v>
      </c>
      <c r="AT15" s="38">
        <v>10</v>
      </c>
      <c r="AU15" s="39">
        <f>資料儲存!D2051</f>
        <v>0</v>
      </c>
      <c r="AV15" s="39">
        <f>資料儲存!E2051</f>
        <v>0</v>
      </c>
      <c r="AW15" s="39">
        <f>資料儲存!F2051</f>
        <v>0</v>
      </c>
      <c r="AX15" s="39">
        <f>資料儲存!G2051</f>
        <v>0</v>
      </c>
      <c r="AY15" s="39">
        <f>資料儲存!H2051</f>
        <v>0</v>
      </c>
      <c r="AZ15" s="39">
        <f>資料儲存!I2051</f>
        <v>0</v>
      </c>
      <c r="BA15" s="39">
        <f>資料儲存!J2051</f>
        <v>0</v>
      </c>
    </row>
    <row r="16" spans="1:53" ht="16" thickBot="1">
      <c r="A16" s="38">
        <v>11</v>
      </c>
      <c r="B16" s="39">
        <f>資料儲存!D1452</f>
        <v>0</v>
      </c>
      <c r="C16" s="39">
        <f>資料儲存!E1452</f>
        <v>0</v>
      </c>
      <c r="D16" s="39">
        <f>資料儲存!F1452</f>
        <v>0</v>
      </c>
      <c r="E16" s="39">
        <f>資料儲存!G1452</f>
        <v>0</v>
      </c>
      <c r="F16" s="39">
        <f>資料儲存!H1452</f>
        <v>0</v>
      </c>
      <c r="G16" s="39">
        <f>資料儲存!I1452</f>
        <v>0</v>
      </c>
      <c r="H16" s="39">
        <f>資料儲存!J1452</f>
        <v>0</v>
      </c>
      <c r="I16" s="35"/>
      <c r="J16" s="38">
        <v>11</v>
      </c>
      <c r="K16" s="39">
        <f>資料儲存!D1572</f>
        <v>0</v>
      </c>
      <c r="L16" s="39">
        <f>資料儲存!E1572</f>
        <v>0</v>
      </c>
      <c r="M16" s="39">
        <f>資料儲存!F1572</f>
        <v>0</v>
      </c>
      <c r="N16" s="39">
        <f>資料儲存!G1572</f>
        <v>0</v>
      </c>
      <c r="O16" s="39">
        <f>資料儲存!H1572</f>
        <v>0</v>
      </c>
      <c r="P16" s="39">
        <f>資料儲存!I1572</f>
        <v>0</v>
      </c>
      <c r="Q16" s="39">
        <f>資料儲存!J1572</f>
        <v>0</v>
      </c>
      <c r="R16" s="35"/>
      <c r="S16" s="38">
        <v>11</v>
      </c>
      <c r="T16" s="39">
        <f>資料儲存!D1692</f>
        <v>0</v>
      </c>
      <c r="U16" s="39">
        <f>資料儲存!E1692</f>
        <v>0</v>
      </c>
      <c r="V16" s="39">
        <f>資料儲存!F1692</f>
        <v>0</v>
      </c>
      <c r="W16" s="39">
        <f>資料儲存!G1692</f>
        <v>0</v>
      </c>
      <c r="X16" s="39">
        <f>資料儲存!H1692</f>
        <v>0</v>
      </c>
      <c r="Y16" s="39">
        <f>資料儲存!I1692</f>
        <v>0</v>
      </c>
      <c r="Z16" s="39">
        <f>資料儲存!J1692</f>
        <v>0</v>
      </c>
      <c r="AA16" s="35"/>
      <c r="AB16" s="38">
        <v>11</v>
      </c>
      <c r="AC16" s="39">
        <f>資料儲存!D1812</f>
        <v>0</v>
      </c>
      <c r="AD16" s="39">
        <f>資料儲存!E1812</f>
        <v>0</v>
      </c>
      <c r="AE16" s="39">
        <f>資料儲存!F1812</f>
        <v>0</v>
      </c>
      <c r="AF16" s="39">
        <f>資料儲存!G1812</f>
        <v>0</v>
      </c>
      <c r="AG16" s="39">
        <f>資料儲存!H1812</f>
        <v>0</v>
      </c>
      <c r="AH16" s="39">
        <f>資料儲存!I1812</f>
        <v>0</v>
      </c>
      <c r="AI16" s="39">
        <f>資料儲存!J1812</f>
        <v>0</v>
      </c>
      <c r="AJ16" s="13"/>
      <c r="AK16" s="38">
        <v>11</v>
      </c>
      <c r="AL16" s="39">
        <f>資料儲存!D1932</f>
        <v>0</v>
      </c>
      <c r="AM16" s="39">
        <f>資料儲存!E1932</f>
        <v>0</v>
      </c>
      <c r="AN16" s="39">
        <f>資料儲存!F1932</f>
        <v>0</v>
      </c>
      <c r="AO16" s="39">
        <f>資料儲存!G1932</f>
        <v>0</v>
      </c>
      <c r="AP16" s="39">
        <f>資料儲存!H1932</f>
        <v>0</v>
      </c>
      <c r="AQ16" s="39">
        <f>資料儲存!I1932</f>
        <v>0</v>
      </c>
      <c r="AR16" s="39">
        <f>資料儲存!J1932</f>
        <v>0</v>
      </c>
      <c r="AT16" s="38">
        <v>11</v>
      </c>
      <c r="AU16" s="39">
        <f>資料儲存!D2052</f>
        <v>0</v>
      </c>
      <c r="AV16" s="39">
        <f>資料儲存!E2052</f>
        <v>0</v>
      </c>
      <c r="AW16" s="39">
        <f>資料儲存!F2052</f>
        <v>0</v>
      </c>
      <c r="AX16" s="39">
        <f>資料儲存!G2052</f>
        <v>0</v>
      </c>
      <c r="AY16" s="39">
        <f>資料儲存!H2052</f>
        <v>0</v>
      </c>
      <c r="AZ16" s="39">
        <f>資料儲存!I2052</f>
        <v>0</v>
      </c>
      <c r="BA16" s="39">
        <f>資料儲存!J2052</f>
        <v>0</v>
      </c>
    </row>
    <row r="17" spans="1:53" ht="16" thickBot="1">
      <c r="A17" s="38">
        <v>12</v>
      </c>
      <c r="B17" s="39">
        <f>資料儲存!D1453</f>
        <v>0</v>
      </c>
      <c r="C17" s="39">
        <f>資料儲存!E1453</f>
        <v>0</v>
      </c>
      <c r="D17" s="39">
        <f>資料儲存!F1453</f>
        <v>0</v>
      </c>
      <c r="E17" s="39">
        <f>資料儲存!G1453</f>
        <v>0</v>
      </c>
      <c r="F17" s="39">
        <f>資料儲存!H1453</f>
        <v>0</v>
      </c>
      <c r="G17" s="39">
        <f>資料儲存!I1453</f>
        <v>0</v>
      </c>
      <c r="H17" s="39">
        <f>資料儲存!J1453</f>
        <v>0</v>
      </c>
      <c r="I17" s="35"/>
      <c r="J17" s="38">
        <v>12</v>
      </c>
      <c r="K17" s="39">
        <f>資料儲存!D1573</f>
        <v>0</v>
      </c>
      <c r="L17" s="39">
        <f>資料儲存!E1573</f>
        <v>0</v>
      </c>
      <c r="M17" s="39">
        <f>資料儲存!F1573</f>
        <v>0</v>
      </c>
      <c r="N17" s="39">
        <f>資料儲存!G1573</f>
        <v>0</v>
      </c>
      <c r="O17" s="39">
        <f>資料儲存!H1573</f>
        <v>0</v>
      </c>
      <c r="P17" s="39">
        <f>資料儲存!I1573</f>
        <v>0</v>
      </c>
      <c r="Q17" s="39">
        <f>資料儲存!J1573</f>
        <v>0</v>
      </c>
      <c r="R17" s="35"/>
      <c r="S17" s="38">
        <v>12</v>
      </c>
      <c r="T17" s="39">
        <f>資料儲存!D1693</f>
        <v>0</v>
      </c>
      <c r="U17" s="39">
        <f>資料儲存!E1693</f>
        <v>0</v>
      </c>
      <c r="V17" s="39">
        <f>資料儲存!F1693</f>
        <v>0</v>
      </c>
      <c r="W17" s="39">
        <f>資料儲存!G1693</f>
        <v>0</v>
      </c>
      <c r="X17" s="39">
        <f>資料儲存!H1693</f>
        <v>0</v>
      </c>
      <c r="Y17" s="39">
        <f>資料儲存!I1693</f>
        <v>0</v>
      </c>
      <c r="Z17" s="39">
        <f>資料儲存!J1693</f>
        <v>0</v>
      </c>
      <c r="AA17" s="35"/>
      <c r="AB17" s="38">
        <v>12</v>
      </c>
      <c r="AC17" s="39">
        <f>資料儲存!D1813</f>
        <v>0</v>
      </c>
      <c r="AD17" s="39">
        <f>資料儲存!E1813</f>
        <v>0</v>
      </c>
      <c r="AE17" s="39">
        <f>資料儲存!F1813</f>
        <v>0</v>
      </c>
      <c r="AF17" s="39">
        <f>資料儲存!G1813</f>
        <v>0</v>
      </c>
      <c r="AG17" s="39">
        <f>資料儲存!H1813</f>
        <v>0</v>
      </c>
      <c r="AH17" s="39">
        <f>資料儲存!I1813</f>
        <v>0</v>
      </c>
      <c r="AI17" s="39">
        <f>資料儲存!J1813</f>
        <v>0</v>
      </c>
      <c r="AJ17" s="13"/>
      <c r="AK17" s="38">
        <v>12</v>
      </c>
      <c r="AL17" s="39">
        <f>資料儲存!D1933</f>
        <v>0</v>
      </c>
      <c r="AM17" s="39">
        <f>資料儲存!E1933</f>
        <v>0</v>
      </c>
      <c r="AN17" s="39">
        <f>資料儲存!F1933</f>
        <v>0</v>
      </c>
      <c r="AO17" s="39">
        <f>資料儲存!G1933</f>
        <v>0</v>
      </c>
      <c r="AP17" s="39">
        <f>資料儲存!H1933</f>
        <v>0</v>
      </c>
      <c r="AQ17" s="39">
        <f>資料儲存!I1933</f>
        <v>0</v>
      </c>
      <c r="AR17" s="39">
        <f>資料儲存!J1933</f>
        <v>0</v>
      </c>
      <c r="AT17" s="38">
        <v>12</v>
      </c>
      <c r="AU17" s="39">
        <f>資料儲存!D2053</f>
        <v>0</v>
      </c>
      <c r="AV17" s="39">
        <f>資料儲存!E2053</f>
        <v>0</v>
      </c>
      <c r="AW17" s="39">
        <f>資料儲存!F2053</f>
        <v>0</v>
      </c>
      <c r="AX17" s="39">
        <f>資料儲存!G2053</f>
        <v>0</v>
      </c>
      <c r="AY17" s="39">
        <f>資料儲存!H2053</f>
        <v>0</v>
      </c>
      <c r="AZ17" s="39">
        <f>資料儲存!I2053</f>
        <v>0</v>
      </c>
      <c r="BA17" s="39">
        <f>資料儲存!J2053</f>
        <v>0</v>
      </c>
    </row>
    <row r="18" spans="1:53" ht="16" thickBot="1">
      <c r="A18" s="38">
        <v>13</v>
      </c>
      <c r="B18" s="39">
        <f>資料儲存!D1454</f>
        <v>0</v>
      </c>
      <c r="C18" s="39">
        <f>資料儲存!E1454</f>
        <v>0</v>
      </c>
      <c r="D18" s="39">
        <f>資料儲存!F1454</f>
        <v>0</v>
      </c>
      <c r="E18" s="39">
        <f>資料儲存!G1454</f>
        <v>0</v>
      </c>
      <c r="F18" s="39">
        <f>資料儲存!H1454</f>
        <v>0</v>
      </c>
      <c r="G18" s="39">
        <f>資料儲存!I1454</f>
        <v>0</v>
      </c>
      <c r="H18" s="39">
        <f>資料儲存!J1454</f>
        <v>0</v>
      </c>
      <c r="I18" s="35"/>
      <c r="J18" s="38">
        <v>13</v>
      </c>
      <c r="K18" s="39">
        <f>資料儲存!D1574</f>
        <v>0</v>
      </c>
      <c r="L18" s="39">
        <f>資料儲存!E1574</f>
        <v>0</v>
      </c>
      <c r="M18" s="39">
        <f>資料儲存!F1574</f>
        <v>0</v>
      </c>
      <c r="N18" s="39">
        <f>資料儲存!G1574</f>
        <v>0</v>
      </c>
      <c r="O18" s="39">
        <f>資料儲存!H1574</f>
        <v>0</v>
      </c>
      <c r="P18" s="39">
        <f>資料儲存!I1574</f>
        <v>0</v>
      </c>
      <c r="Q18" s="39">
        <f>資料儲存!J1574</f>
        <v>0</v>
      </c>
      <c r="R18" s="35"/>
      <c r="S18" s="38">
        <v>13</v>
      </c>
      <c r="T18" s="39">
        <f>資料儲存!D1694</f>
        <v>0</v>
      </c>
      <c r="U18" s="39">
        <f>資料儲存!E1694</f>
        <v>0</v>
      </c>
      <c r="V18" s="39">
        <f>資料儲存!F1694</f>
        <v>0</v>
      </c>
      <c r="W18" s="39">
        <f>資料儲存!G1694</f>
        <v>0</v>
      </c>
      <c r="X18" s="39">
        <f>資料儲存!H1694</f>
        <v>0</v>
      </c>
      <c r="Y18" s="39">
        <f>資料儲存!I1694</f>
        <v>0</v>
      </c>
      <c r="Z18" s="39">
        <f>資料儲存!J1694</f>
        <v>0</v>
      </c>
      <c r="AA18" s="35"/>
      <c r="AB18" s="38">
        <v>13</v>
      </c>
      <c r="AC18" s="39">
        <f>資料儲存!D1814</f>
        <v>0</v>
      </c>
      <c r="AD18" s="39">
        <f>資料儲存!E1814</f>
        <v>0</v>
      </c>
      <c r="AE18" s="39">
        <f>資料儲存!F1814</f>
        <v>0</v>
      </c>
      <c r="AF18" s="39">
        <f>資料儲存!G1814</f>
        <v>0</v>
      </c>
      <c r="AG18" s="39">
        <f>資料儲存!H1814</f>
        <v>0</v>
      </c>
      <c r="AH18" s="39">
        <f>資料儲存!I1814</f>
        <v>0</v>
      </c>
      <c r="AI18" s="39">
        <f>資料儲存!J1814</f>
        <v>0</v>
      </c>
      <c r="AJ18" s="13"/>
      <c r="AK18" s="38">
        <v>13</v>
      </c>
      <c r="AL18" s="39">
        <f>資料儲存!D1934</f>
        <v>0</v>
      </c>
      <c r="AM18" s="39">
        <f>資料儲存!E1934</f>
        <v>0</v>
      </c>
      <c r="AN18" s="39">
        <f>資料儲存!F1934</f>
        <v>0</v>
      </c>
      <c r="AO18" s="39">
        <f>資料儲存!G1934</f>
        <v>0</v>
      </c>
      <c r="AP18" s="39">
        <f>資料儲存!H1934</f>
        <v>0</v>
      </c>
      <c r="AQ18" s="39">
        <f>資料儲存!I1934</f>
        <v>0</v>
      </c>
      <c r="AR18" s="39">
        <f>資料儲存!J1934</f>
        <v>0</v>
      </c>
      <c r="AT18" s="38">
        <v>13</v>
      </c>
      <c r="AU18" s="39">
        <f>資料儲存!D2054</f>
        <v>0</v>
      </c>
      <c r="AV18" s="39">
        <f>資料儲存!E2054</f>
        <v>0</v>
      </c>
      <c r="AW18" s="39">
        <f>資料儲存!F2054</f>
        <v>0</v>
      </c>
      <c r="AX18" s="39">
        <f>資料儲存!G2054</f>
        <v>0</v>
      </c>
      <c r="AY18" s="39">
        <f>資料儲存!H2054</f>
        <v>0</v>
      </c>
      <c r="AZ18" s="39">
        <f>資料儲存!I2054</f>
        <v>0</v>
      </c>
      <c r="BA18" s="39">
        <f>資料儲存!J2054</f>
        <v>0</v>
      </c>
    </row>
    <row r="19" spans="1:53" ht="16" thickBot="1">
      <c r="A19" s="38">
        <v>14</v>
      </c>
      <c r="B19" s="39">
        <f>資料儲存!D1455</f>
        <v>0</v>
      </c>
      <c r="C19" s="39">
        <f>資料儲存!E1455</f>
        <v>0</v>
      </c>
      <c r="D19" s="39">
        <f>資料儲存!F1455</f>
        <v>0</v>
      </c>
      <c r="E19" s="39">
        <f>資料儲存!G1455</f>
        <v>0</v>
      </c>
      <c r="F19" s="39">
        <f>資料儲存!H1455</f>
        <v>0</v>
      </c>
      <c r="G19" s="39">
        <f>資料儲存!I1455</f>
        <v>0</v>
      </c>
      <c r="H19" s="39">
        <f>資料儲存!J1455</f>
        <v>0</v>
      </c>
      <c r="I19" s="35"/>
      <c r="J19" s="38">
        <v>14</v>
      </c>
      <c r="K19" s="39">
        <f>資料儲存!D1575</f>
        <v>0</v>
      </c>
      <c r="L19" s="39">
        <f>資料儲存!E1575</f>
        <v>0</v>
      </c>
      <c r="M19" s="39">
        <f>資料儲存!F1575</f>
        <v>0</v>
      </c>
      <c r="N19" s="39">
        <f>資料儲存!G1575</f>
        <v>0</v>
      </c>
      <c r="O19" s="39">
        <f>資料儲存!H1575</f>
        <v>0</v>
      </c>
      <c r="P19" s="39">
        <f>資料儲存!I1575</f>
        <v>0</v>
      </c>
      <c r="Q19" s="39">
        <f>資料儲存!J1575</f>
        <v>0</v>
      </c>
      <c r="R19" s="35"/>
      <c r="S19" s="38">
        <v>14</v>
      </c>
      <c r="T19" s="39">
        <f>資料儲存!D1695</f>
        <v>0</v>
      </c>
      <c r="U19" s="39">
        <f>資料儲存!E1695</f>
        <v>0</v>
      </c>
      <c r="V19" s="39">
        <f>資料儲存!F1695</f>
        <v>0</v>
      </c>
      <c r="W19" s="39">
        <f>資料儲存!G1695</f>
        <v>0</v>
      </c>
      <c r="X19" s="39">
        <f>資料儲存!H1695</f>
        <v>0</v>
      </c>
      <c r="Y19" s="39">
        <f>資料儲存!I1695</f>
        <v>0</v>
      </c>
      <c r="Z19" s="39">
        <f>資料儲存!J1695</f>
        <v>0</v>
      </c>
      <c r="AA19" s="35"/>
      <c r="AB19" s="38">
        <v>14</v>
      </c>
      <c r="AC19" s="39">
        <f>資料儲存!D1815</f>
        <v>0</v>
      </c>
      <c r="AD19" s="39">
        <f>資料儲存!E1815</f>
        <v>0</v>
      </c>
      <c r="AE19" s="39">
        <f>資料儲存!F1815</f>
        <v>0</v>
      </c>
      <c r="AF19" s="39">
        <f>資料儲存!G1815</f>
        <v>0</v>
      </c>
      <c r="AG19" s="39">
        <f>資料儲存!H1815</f>
        <v>0</v>
      </c>
      <c r="AH19" s="39">
        <f>資料儲存!I1815</f>
        <v>0</v>
      </c>
      <c r="AI19" s="39">
        <f>資料儲存!J1815</f>
        <v>0</v>
      </c>
      <c r="AJ19" s="13"/>
      <c r="AK19" s="38">
        <v>14</v>
      </c>
      <c r="AL19" s="39">
        <f>資料儲存!D1935</f>
        <v>0</v>
      </c>
      <c r="AM19" s="39">
        <f>資料儲存!E1935</f>
        <v>0</v>
      </c>
      <c r="AN19" s="39">
        <f>資料儲存!F1935</f>
        <v>0</v>
      </c>
      <c r="AO19" s="39">
        <f>資料儲存!G1935</f>
        <v>0</v>
      </c>
      <c r="AP19" s="39">
        <f>資料儲存!H1935</f>
        <v>0</v>
      </c>
      <c r="AQ19" s="39">
        <f>資料儲存!I1935</f>
        <v>0</v>
      </c>
      <c r="AR19" s="39">
        <f>資料儲存!J1935</f>
        <v>0</v>
      </c>
      <c r="AT19" s="38">
        <v>14</v>
      </c>
      <c r="AU19" s="39">
        <f>資料儲存!D2055</f>
        <v>0</v>
      </c>
      <c r="AV19" s="39">
        <f>資料儲存!E2055</f>
        <v>0</v>
      </c>
      <c r="AW19" s="39">
        <f>資料儲存!F2055</f>
        <v>0</v>
      </c>
      <c r="AX19" s="39">
        <f>資料儲存!G2055</f>
        <v>0</v>
      </c>
      <c r="AY19" s="39">
        <f>資料儲存!H2055</f>
        <v>0</v>
      </c>
      <c r="AZ19" s="39">
        <f>資料儲存!I2055</f>
        <v>0</v>
      </c>
      <c r="BA19" s="39">
        <f>資料儲存!J2055</f>
        <v>0</v>
      </c>
    </row>
    <row r="20" spans="1:53" ht="16" thickBot="1">
      <c r="A20" s="38">
        <v>15</v>
      </c>
      <c r="B20" s="39">
        <f>資料儲存!D1456</f>
        <v>0</v>
      </c>
      <c r="C20" s="39">
        <f>資料儲存!E1456</f>
        <v>0</v>
      </c>
      <c r="D20" s="39">
        <f>資料儲存!F1456</f>
        <v>0</v>
      </c>
      <c r="E20" s="39">
        <f>資料儲存!G1456</f>
        <v>0</v>
      </c>
      <c r="F20" s="39">
        <f>資料儲存!H1456</f>
        <v>0</v>
      </c>
      <c r="G20" s="39">
        <f>資料儲存!I1456</f>
        <v>0</v>
      </c>
      <c r="H20" s="39">
        <f>資料儲存!J1456</f>
        <v>0</v>
      </c>
      <c r="I20" s="35"/>
      <c r="J20" s="38">
        <v>15</v>
      </c>
      <c r="K20" s="39">
        <f>資料儲存!D1576</f>
        <v>0</v>
      </c>
      <c r="L20" s="39">
        <f>資料儲存!E1576</f>
        <v>0</v>
      </c>
      <c r="M20" s="39">
        <f>資料儲存!F1576</f>
        <v>0</v>
      </c>
      <c r="N20" s="39">
        <f>資料儲存!G1576</f>
        <v>0</v>
      </c>
      <c r="O20" s="39">
        <f>資料儲存!H1576</f>
        <v>0</v>
      </c>
      <c r="P20" s="39">
        <f>資料儲存!I1576</f>
        <v>0</v>
      </c>
      <c r="Q20" s="39">
        <f>資料儲存!J1576</f>
        <v>0</v>
      </c>
      <c r="R20" s="35"/>
      <c r="S20" s="38">
        <v>15</v>
      </c>
      <c r="T20" s="39">
        <f>資料儲存!D1696</f>
        <v>0</v>
      </c>
      <c r="U20" s="39">
        <f>資料儲存!E1696</f>
        <v>0</v>
      </c>
      <c r="V20" s="39">
        <f>資料儲存!F1696</f>
        <v>0</v>
      </c>
      <c r="W20" s="39">
        <f>資料儲存!G1696</f>
        <v>0</v>
      </c>
      <c r="X20" s="39">
        <f>資料儲存!H1696</f>
        <v>0</v>
      </c>
      <c r="Y20" s="39">
        <f>資料儲存!I1696</f>
        <v>0</v>
      </c>
      <c r="Z20" s="39">
        <f>資料儲存!J1696</f>
        <v>0</v>
      </c>
      <c r="AA20" s="35"/>
      <c r="AB20" s="38">
        <v>15</v>
      </c>
      <c r="AC20" s="39">
        <f>資料儲存!D1816</f>
        <v>0</v>
      </c>
      <c r="AD20" s="39">
        <f>資料儲存!E1816</f>
        <v>0</v>
      </c>
      <c r="AE20" s="39">
        <f>資料儲存!F1816</f>
        <v>0</v>
      </c>
      <c r="AF20" s="39">
        <f>資料儲存!G1816</f>
        <v>0</v>
      </c>
      <c r="AG20" s="39">
        <f>資料儲存!H1816</f>
        <v>0</v>
      </c>
      <c r="AH20" s="39">
        <f>資料儲存!I1816</f>
        <v>0</v>
      </c>
      <c r="AI20" s="39">
        <f>資料儲存!J1816</f>
        <v>0</v>
      </c>
      <c r="AJ20" s="13"/>
      <c r="AK20" s="38">
        <v>15</v>
      </c>
      <c r="AL20" s="39">
        <f>資料儲存!D1936</f>
        <v>0</v>
      </c>
      <c r="AM20" s="39">
        <f>資料儲存!E1936</f>
        <v>0</v>
      </c>
      <c r="AN20" s="39">
        <f>資料儲存!F1936</f>
        <v>0</v>
      </c>
      <c r="AO20" s="39">
        <f>資料儲存!G1936</f>
        <v>0</v>
      </c>
      <c r="AP20" s="39">
        <f>資料儲存!H1936</f>
        <v>0</v>
      </c>
      <c r="AQ20" s="39">
        <f>資料儲存!I1936</f>
        <v>0</v>
      </c>
      <c r="AR20" s="39">
        <f>資料儲存!J1936</f>
        <v>0</v>
      </c>
      <c r="AT20" s="38">
        <v>15</v>
      </c>
      <c r="AU20" s="39">
        <f>資料儲存!D2056</f>
        <v>0</v>
      </c>
      <c r="AV20" s="39">
        <f>資料儲存!E2056</f>
        <v>0</v>
      </c>
      <c r="AW20" s="39">
        <f>資料儲存!F2056</f>
        <v>0</v>
      </c>
      <c r="AX20" s="39">
        <f>資料儲存!G2056</f>
        <v>0</v>
      </c>
      <c r="AY20" s="39">
        <f>資料儲存!H2056</f>
        <v>0</v>
      </c>
      <c r="AZ20" s="39">
        <f>資料儲存!I2056</f>
        <v>0</v>
      </c>
      <c r="BA20" s="39">
        <f>資料儲存!J2056</f>
        <v>0</v>
      </c>
    </row>
    <row r="21" spans="1:53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13"/>
      <c r="AK21" s="40" t="s">
        <v>56</v>
      </c>
      <c r="AL21" s="39">
        <f>SUM(AL6:AO20)</f>
        <v>0</v>
      </c>
      <c r="AM21" s="37"/>
      <c r="AN21" s="37"/>
      <c r="AO21" s="37"/>
      <c r="AP21" s="39">
        <f>AP20</f>
        <v>0</v>
      </c>
      <c r="AQ21" s="39">
        <f>AQ20</f>
        <v>0</v>
      </c>
      <c r="AR21" s="39">
        <f>AR20</f>
        <v>0</v>
      </c>
      <c r="AT21" s="40" t="s">
        <v>56</v>
      </c>
      <c r="AU21" s="39">
        <f>SUM(AU6:AX20)</f>
        <v>0</v>
      </c>
      <c r="AV21" s="37"/>
      <c r="AW21" s="37"/>
      <c r="AX21" s="37"/>
      <c r="AY21" s="39">
        <f>AY20</f>
        <v>0</v>
      </c>
      <c r="AZ21" s="39">
        <f>AZ20</f>
        <v>0</v>
      </c>
      <c r="BA21" s="39">
        <f>BA20</f>
        <v>0</v>
      </c>
    </row>
    <row r="22" spans="1:53" ht="18.5" thickBot="1">
      <c r="A22" s="248" t="s">
        <v>92</v>
      </c>
      <c r="B22" s="249"/>
      <c r="C22" s="249"/>
      <c r="D22" s="249"/>
      <c r="E22" s="249"/>
      <c r="F22" s="249"/>
      <c r="G22" s="249"/>
      <c r="H22" s="250"/>
      <c r="I22" s="13"/>
      <c r="J22" s="248" t="s">
        <v>92</v>
      </c>
      <c r="K22" s="249"/>
      <c r="L22" s="249"/>
      <c r="M22" s="249"/>
      <c r="N22" s="249"/>
      <c r="O22" s="249"/>
      <c r="P22" s="249"/>
      <c r="Q22" s="250"/>
      <c r="R22" s="13"/>
      <c r="S22" s="248" t="s">
        <v>92</v>
      </c>
      <c r="T22" s="249"/>
      <c r="U22" s="249"/>
      <c r="V22" s="249"/>
      <c r="W22" s="249"/>
      <c r="X22" s="249"/>
      <c r="Y22" s="249"/>
      <c r="Z22" s="250"/>
      <c r="AA22" s="13"/>
      <c r="AB22" s="248" t="s">
        <v>92</v>
      </c>
      <c r="AC22" s="249"/>
      <c r="AD22" s="249"/>
      <c r="AE22" s="249"/>
      <c r="AF22" s="249"/>
      <c r="AG22" s="249"/>
      <c r="AH22" s="249"/>
      <c r="AI22" s="250"/>
      <c r="AJ22" s="13"/>
      <c r="AK22" s="248" t="s">
        <v>92</v>
      </c>
      <c r="AL22" s="249"/>
      <c r="AM22" s="249"/>
      <c r="AN22" s="249"/>
      <c r="AO22" s="249"/>
      <c r="AP22" s="249"/>
      <c r="AQ22" s="249"/>
      <c r="AR22" s="250"/>
      <c r="AT22" s="248" t="s">
        <v>92</v>
      </c>
      <c r="AU22" s="249"/>
      <c r="AV22" s="249"/>
      <c r="AW22" s="249"/>
      <c r="AX22" s="249"/>
      <c r="AY22" s="249"/>
      <c r="AZ22" s="249"/>
      <c r="BA22" s="250"/>
    </row>
    <row r="23" spans="1:53" ht="17.25" customHeight="1" thickBot="1">
      <c r="A23" s="41" t="s">
        <v>2</v>
      </c>
      <c r="B23" s="42" t="s">
        <v>46</v>
      </c>
      <c r="C23" s="43"/>
      <c r="D23" s="43"/>
      <c r="E23" s="44"/>
      <c r="F23" s="42" t="s">
        <v>47</v>
      </c>
      <c r="G23" s="43"/>
      <c r="H23" s="44"/>
      <c r="I23" s="45"/>
      <c r="J23" s="41" t="s">
        <v>2</v>
      </c>
      <c r="K23" s="42" t="s">
        <v>46</v>
      </c>
      <c r="L23" s="43"/>
      <c r="M23" s="43"/>
      <c r="N23" s="44"/>
      <c r="O23" s="42" t="s">
        <v>47</v>
      </c>
      <c r="P23" s="43"/>
      <c r="Q23" s="44"/>
      <c r="R23" s="45"/>
      <c r="S23" s="41" t="s">
        <v>2</v>
      </c>
      <c r="T23" s="42" t="s">
        <v>46</v>
      </c>
      <c r="U23" s="43"/>
      <c r="V23" s="43"/>
      <c r="W23" s="44"/>
      <c r="X23" s="42" t="s">
        <v>47</v>
      </c>
      <c r="Y23" s="43"/>
      <c r="Z23" s="44"/>
      <c r="AA23" s="45"/>
      <c r="AB23" s="41" t="s">
        <v>2</v>
      </c>
      <c r="AC23" s="42" t="s">
        <v>46</v>
      </c>
      <c r="AD23" s="43"/>
      <c r="AE23" s="43"/>
      <c r="AF23" s="44"/>
      <c r="AG23" s="42" t="s">
        <v>47</v>
      </c>
      <c r="AH23" s="43"/>
      <c r="AI23" s="44"/>
      <c r="AJ23" s="13"/>
      <c r="AK23" s="41" t="s">
        <v>2</v>
      </c>
      <c r="AL23" s="42" t="s">
        <v>46</v>
      </c>
      <c r="AM23" s="43"/>
      <c r="AN23" s="43"/>
      <c r="AO23" s="44"/>
      <c r="AP23" s="42" t="s">
        <v>47</v>
      </c>
      <c r="AQ23" s="43"/>
      <c r="AR23" s="44"/>
      <c r="AT23" s="41" t="s">
        <v>2</v>
      </c>
      <c r="AU23" s="42" t="s">
        <v>46</v>
      </c>
      <c r="AV23" s="43"/>
      <c r="AW23" s="43"/>
      <c r="AX23" s="44"/>
      <c r="AY23" s="42" t="s">
        <v>47</v>
      </c>
      <c r="AZ23" s="43"/>
      <c r="BA23" s="44"/>
    </row>
    <row r="24" spans="1:53" ht="16" thickBot="1">
      <c r="A24" s="46">
        <v>0.46875</v>
      </c>
      <c r="B24" s="47" t="s">
        <v>49</v>
      </c>
      <c r="C24" s="47" t="s">
        <v>50</v>
      </c>
      <c r="D24" s="47" t="s">
        <v>51</v>
      </c>
      <c r="E24" s="47" t="s">
        <v>52</v>
      </c>
      <c r="F24" s="47" t="s">
        <v>53</v>
      </c>
      <c r="G24" s="47" t="s">
        <v>54</v>
      </c>
      <c r="H24" s="47" t="s">
        <v>55</v>
      </c>
      <c r="I24" s="45"/>
      <c r="J24" s="46">
        <v>0.46875</v>
      </c>
      <c r="K24" s="47" t="s">
        <v>49</v>
      </c>
      <c r="L24" s="47" t="s">
        <v>50</v>
      </c>
      <c r="M24" s="47" t="s">
        <v>51</v>
      </c>
      <c r="N24" s="47" t="s">
        <v>52</v>
      </c>
      <c r="O24" s="47" t="s">
        <v>53</v>
      </c>
      <c r="P24" s="47" t="s">
        <v>54</v>
      </c>
      <c r="Q24" s="47" t="s">
        <v>55</v>
      </c>
      <c r="R24" s="45"/>
      <c r="S24" s="46">
        <v>0.46875</v>
      </c>
      <c r="T24" s="47" t="s">
        <v>49</v>
      </c>
      <c r="U24" s="47" t="s">
        <v>50</v>
      </c>
      <c r="V24" s="47" t="s">
        <v>51</v>
      </c>
      <c r="W24" s="47" t="s">
        <v>52</v>
      </c>
      <c r="X24" s="47" t="s">
        <v>53</v>
      </c>
      <c r="Y24" s="47" t="s">
        <v>54</v>
      </c>
      <c r="Z24" s="47" t="s">
        <v>55</v>
      </c>
      <c r="AA24" s="45"/>
      <c r="AB24" s="46">
        <v>0.46875</v>
      </c>
      <c r="AC24" s="47" t="s">
        <v>49</v>
      </c>
      <c r="AD24" s="47" t="s">
        <v>50</v>
      </c>
      <c r="AE24" s="47" t="s">
        <v>51</v>
      </c>
      <c r="AF24" s="47" t="s">
        <v>52</v>
      </c>
      <c r="AG24" s="47" t="s">
        <v>53</v>
      </c>
      <c r="AH24" s="47" t="s">
        <v>54</v>
      </c>
      <c r="AI24" s="47" t="s">
        <v>55</v>
      </c>
      <c r="AJ24" s="13"/>
      <c r="AK24" s="46">
        <v>0.46875</v>
      </c>
      <c r="AL24" s="47" t="s">
        <v>49</v>
      </c>
      <c r="AM24" s="47" t="s">
        <v>50</v>
      </c>
      <c r="AN24" s="47" t="s">
        <v>51</v>
      </c>
      <c r="AO24" s="47" t="s">
        <v>52</v>
      </c>
      <c r="AP24" s="47" t="s">
        <v>53</v>
      </c>
      <c r="AQ24" s="47" t="s">
        <v>54</v>
      </c>
      <c r="AR24" s="47" t="s">
        <v>55</v>
      </c>
      <c r="AT24" s="46">
        <v>0.46875</v>
      </c>
      <c r="AU24" s="47" t="s">
        <v>49</v>
      </c>
      <c r="AV24" s="47" t="s">
        <v>50</v>
      </c>
      <c r="AW24" s="47" t="s">
        <v>51</v>
      </c>
      <c r="AX24" s="47" t="s">
        <v>52</v>
      </c>
      <c r="AY24" s="47" t="s">
        <v>53</v>
      </c>
      <c r="AZ24" s="47" t="s">
        <v>54</v>
      </c>
      <c r="BA24" s="47" t="s">
        <v>55</v>
      </c>
    </row>
    <row r="25" spans="1:53" ht="16" thickBot="1">
      <c r="A25" s="48">
        <v>16</v>
      </c>
      <c r="B25" s="49">
        <f>資料儲存!D1457</f>
        <v>0</v>
      </c>
      <c r="C25" s="49">
        <f>資料儲存!E1457</f>
        <v>0</v>
      </c>
      <c r="D25" s="49">
        <f>資料儲存!F1457</f>
        <v>0</v>
      </c>
      <c r="E25" s="49">
        <f>資料儲存!G1457</f>
        <v>0</v>
      </c>
      <c r="F25" s="49">
        <f>資料儲存!H1457</f>
        <v>0</v>
      </c>
      <c r="G25" s="49">
        <f>資料儲存!I1457</f>
        <v>0</v>
      </c>
      <c r="H25" s="49">
        <f>資料儲存!J1457</f>
        <v>0</v>
      </c>
      <c r="I25" s="45"/>
      <c r="J25" s="48">
        <v>16</v>
      </c>
      <c r="K25" s="49">
        <f>資料儲存!D1577</f>
        <v>0</v>
      </c>
      <c r="L25" s="49">
        <f>資料儲存!E1577</f>
        <v>0</v>
      </c>
      <c r="M25" s="49">
        <f>資料儲存!F1577</f>
        <v>0</v>
      </c>
      <c r="N25" s="49">
        <f>資料儲存!G1577</f>
        <v>0</v>
      </c>
      <c r="O25" s="49">
        <f>資料儲存!H1577</f>
        <v>0</v>
      </c>
      <c r="P25" s="49">
        <f>資料儲存!I1577</f>
        <v>0</v>
      </c>
      <c r="Q25" s="49">
        <f>資料儲存!J1577</f>
        <v>0</v>
      </c>
      <c r="R25" s="45"/>
      <c r="S25" s="48">
        <v>16</v>
      </c>
      <c r="T25" s="49">
        <f>資料儲存!D1697</f>
        <v>0</v>
      </c>
      <c r="U25" s="49">
        <f>資料儲存!E1697</f>
        <v>0</v>
      </c>
      <c r="V25" s="49">
        <f>資料儲存!F1697</f>
        <v>0</v>
      </c>
      <c r="W25" s="49">
        <f>資料儲存!G1697</f>
        <v>0</v>
      </c>
      <c r="X25" s="49">
        <f>資料儲存!H1697</f>
        <v>0</v>
      </c>
      <c r="Y25" s="49">
        <f>資料儲存!I1697</f>
        <v>0</v>
      </c>
      <c r="Z25" s="49">
        <f>資料儲存!J1697</f>
        <v>0</v>
      </c>
      <c r="AA25" s="45"/>
      <c r="AB25" s="48">
        <v>16</v>
      </c>
      <c r="AC25" s="49">
        <f>資料儲存!D1817</f>
        <v>0</v>
      </c>
      <c r="AD25" s="49">
        <f>資料儲存!E1817</f>
        <v>0</v>
      </c>
      <c r="AE25" s="49">
        <f>資料儲存!F1817</f>
        <v>0</v>
      </c>
      <c r="AF25" s="49">
        <f>資料儲存!G1817</f>
        <v>0</v>
      </c>
      <c r="AG25" s="49">
        <f>資料儲存!H1817</f>
        <v>0</v>
      </c>
      <c r="AH25" s="49">
        <f>資料儲存!I1817</f>
        <v>0</v>
      </c>
      <c r="AI25" s="49">
        <f>資料儲存!J1817</f>
        <v>0</v>
      </c>
      <c r="AJ25" s="13"/>
      <c r="AK25" s="48">
        <v>16</v>
      </c>
      <c r="AL25" s="49">
        <f>資料儲存!D1937</f>
        <v>0</v>
      </c>
      <c r="AM25" s="49">
        <f>資料儲存!E1937</f>
        <v>0</v>
      </c>
      <c r="AN25" s="49">
        <f>資料儲存!F1937</f>
        <v>0</v>
      </c>
      <c r="AO25" s="49">
        <f>資料儲存!G1937</f>
        <v>0</v>
      </c>
      <c r="AP25" s="49">
        <f>資料儲存!H1937</f>
        <v>0</v>
      </c>
      <c r="AQ25" s="49">
        <f>資料儲存!I1937</f>
        <v>0</v>
      </c>
      <c r="AR25" s="49">
        <f>資料儲存!J1937</f>
        <v>0</v>
      </c>
      <c r="AT25" s="48">
        <v>16</v>
      </c>
      <c r="AU25" s="49">
        <f>資料儲存!D2057</f>
        <v>0</v>
      </c>
      <c r="AV25" s="49">
        <f>資料儲存!E2057</f>
        <v>0</v>
      </c>
      <c r="AW25" s="49">
        <f>資料儲存!F2057</f>
        <v>0</v>
      </c>
      <c r="AX25" s="49">
        <f>資料儲存!G2057</f>
        <v>0</v>
      </c>
      <c r="AY25" s="49">
        <f>資料儲存!H2057</f>
        <v>0</v>
      </c>
      <c r="AZ25" s="49">
        <f>資料儲存!I2057</f>
        <v>0</v>
      </c>
      <c r="BA25" s="49">
        <f>資料儲存!J2057</f>
        <v>0</v>
      </c>
    </row>
    <row r="26" spans="1:53" ht="16" thickBot="1">
      <c r="A26" s="48">
        <v>17</v>
      </c>
      <c r="B26" s="49">
        <f>資料儲存!D1458</f>
        <v>0</v>
      </c>
      <c r="C26" s="49">
        <f>資料儲存!E1458</f>
        <v>0</v>
      </c>
      <c r="D26" s="49">
        <f>資料儲存!F1458</f>
        <v>0</v>
      </c>
      <c r="E26" s="49">
        <f>資料儲存!G1458</f>
        <v>0</v>
      </c>
      <c r="F26" s="49">
        <f>資料儲存!H1458</f>
        <v>0</v>
      </c>
      <c r="G26" s="49">
        <f>資料儲存!I1458</f>
        <v>0</v>
      </c>
      <c r="H26" s="49">
        <f>資料儲存!J1458</f>
        <v>0</v>
      </c>
      <c r="I26" s="45"/>
      <c r="J26" s="48">
        <v>17</v>
      </c>
      <c r="K26" s="49">
        <f>資料儲存!D1578</f>
        <v>0</v>
      </c>
      <c r="L26" s="49">
        <f>資料儲存!E1578</f>
        <v>0</v>
      </c>
      <c r="M26" s="49">
        <f>資料儲存!F1578</f>
        <v>0</v>
      </c>
      <c r="N26" s="49">
        <f>資料儲存!G1578</f>
        <v>0</v>
      </c>
      <c r="O26" s="49">
        <f>資料儲存!H1578</f>
        <v>0</v>
      </c>
      <c r="P26" s="49">
        <f>資料儲存!I1578</f>
        <v>0</v>
      </c>
      <c r="Q26" s="49">
        <f>資料儲存!J1578</f>
        <v>0</v>
      </c>
      <c r="R26" s="45"/>
      <c r="S26" s="48">
        <v>17</v>
      </c>
      <c r="T26" s="49">
        <f>資料儲存!D1698</f>
        <v>0</v>
      </c>
      <c r="U26" s="49">
        <f>資料儲存!E1698</f>
        <v>0</v>
      </c>
      <c r="V26" s="49">
        <f>資料儲存!F1698</f>
        <v>0</v>
      </c>
      <c r="W26" s="49">
        <f>資料儲存!G1698</f>
        <v>0</v>
      </c>
      <c r="X26" s="49">
        <f>資料儲存!H1698</f>
        <v>0</v>
      </c>
      <c r="Y26" s="49">
        <f>資料儲存!I1698</f>
        <v>0</v>
      </c>
      <c r="Z26" s="49">
        <f>資料儲存!J1698</f>
        <v>0</v>
      </c>
      <c r="AA26" s="45"/>
      <c r="AB26" s="48">
        <v>17</v>
      </c>
      <c r="AC26" s="49">
        <f>資料儲存!D1818</f>
        <v>0</v>
      </c>
      <c r="AD26" s="49">
        <f>資料儲存!E1818</f>
        <v>0</v>
      </c>
      <c r="AE26" s="49">
        <f>資料儲存!F1818</f>
        <v>0</v>
      </c>
      <c r="AF26" s="49">
        <f>資料儲存!G1818</f>
        <v>0</v>
      </c>
      <c r="AG26" s="49">
        <f>資料儲存!H1818</f>
        <v>0</v>
      </c>
      <c r="AH26" s="49">
        <f>資料儲存!I1818</f>
        <v>0</v>
      </c>
      <c r="AI26" s="49">
        <f>資料儲存!J1818</f>
        <v>0</v>
      </c>
      <c r="AJ26" s="13"/>
      <c r="AK26" s="48">
        <v>17</v>
      </c>
      <c r="AL26" s="49">
        <f>資料儲存!D1938</f>
        <v>0</v>
      </c>
      <c r="AM26" s="49">
        <f>資料儲存!E1938</f>
        <v>0</v>
      </c>
      <c r="AN26" s="49">
        <f>資料儲存!F1938</f>
        <v>0</v>
      </c>
      <c r="AO26" s="49">
        <f>資料儲存!G1938</f>
        <v>0</v>
      </c>
      <c r="AP26" s="49">
        <f>資料儲存!H1938</f>
        <v>0</v>
      </c>
      <c r="AQ26" s="49">
        <f>資料儲存!I1938</f>
        <v>0</v>
      </c>
      <c r="AR26" s="49">
        <f>資料儲存!J1938</f>
        <v>0</v>
      </c>
      <c r="AT26" s="48">
        <v>17</v>
      </c>
      <c r="AU26" s="49">
        <f>資料儲存!D2058</f>
        <v>0</v>
      </c>
      <c r="AV26" s="49">
        <f>資料儲存!E2058</f>
        <v>0</v>
      </c>
      <c r="AW26" s="49">
        <f>資料儲存!F2058</f>
        <v>0</v>
      </c>
      <c r="AX26" s="49">
        <f>資料儲存!G2058</f>
        <v>0</v>
      </c>
      <c r="AY26" s="49">
        <f>資料儲存!H2058</f>
        <v>0</v>
      </c>
      <c r="AZ26" s="49">
        <f>資料儲存!I2058</f>
        <v>0</v>
      </c>
      <c r="BA26" s="49">
        <f>資料儲存!J2058</f>
        <v>0</v>
      </c>
    </row>
    <row r="27" spans="1:53" ht="16" thickBot="1">
      <c r="A27" s="48">
        <v>18</v>
      </c>
      <c r="B27" s="49">
        <f>資料儲存!D1459</f>
        <v>0</v>
      </c>
      <c r="C27" s="49">
        <f>資料儲存!E1459</f>
        <v>0</v>
      </c>
      <c r="D27" s="49">
        <f>資料儲存!F1459</f>
        <v>0</v>
      </c>
      <c r="E27" s="49">
        <f>資料儲存!G1459</f>
        <v>0</v>
      </c>
      <c r="F27" s="49">
        <f>資料儲存!H1459</f>
        <v>0</v>
      </c>
      <c r="G27" s="49">
        <f>資料儲存!I1459</f>
        <v>0</v>
      </c>
      <c r="H27" s="49">
        <f>資料儲存!J1459</f>
        <v>0</v>
      </c>
      <c r="I27" s="45"/>
      <c r="J27" s="48">
        <v>18</v>
      </c>
      <c r="K27" s="49">
        <f>資料儲存!D1579</f>
        <v>0</v>
      </c>
      <c r="L27" s="49">
        <f>資料儲存!E1579</f>
        <v>0</v>
      </c>
      <c r="M27" s="49">
        <f>資料儲存!F1579</f>
        <v>0</v>
      </c>
      <c r="N27" s="49">
        <f>資料儲存!G1579</f>
        <v>0</v>
      </c>
      <c r="O27" s="49">
        <f>資料儲存!H1579</f>
        <v>0</v>
      </c>
      <c r="P27" s="49">
        <f>資料儲存!I1579</f>
        <v>0</v>
      </c>
      <c r="Q27" s="49">
        <f>資料儲存!J1579</f>
        <v>0</v>
      </c>
      <c r="R27" s="45"/>
      <c r="S27" s="48">
        <v>18</v>
      </c>
      <c r="T27" s="49">
        <f>資料儲存!D1699</f>
        <v>0</v>
      </c>
      <c r="U27" s="49">
        <f>資料儲存!E1699</f>
        <v>0</v>
      </c>
      <c r="V27" s="49">
        <f>資料儲存!F1699</f>
        <v>0</v>
      </c>
      <c r="W27" s="49">
        <f>資料儲存!G1699</f>
        <v>0</v>
      </c>
      <c r="X27" s="49">
        <f>資料儲存!H1699</f>
        <v>0</v>
      </c>
      <c r="Y27" s="49">
        <f>資料儲存!I1699</f>
        <v>0</v>
      </c>
      <c r="Z27" s="49">
        <f>資料儲存!J1699</f>
        <v>0</v>
      </c>
      <c r="AA27" s="45"/>
      <c r="AB27" s="48">
        <v>18</v>
      </c>
      <c r="AC27" s="49">
        <f>資料儲存!D1819</f>
        <v>0</v>
      </c>
      <c r="AD27" s="49">
        <f>資料儲存!E1819</f>
        <v>0</v>
      </c>
      <c r="AE27" s="49">
        <f>資料儲存!F1819</f>
        <v>0</v>
      </c>
      <c r="AF27" s="49">
        <f>資料儲存!G1819</f>
        <v>0</v>
      </c>
      <c r="AG27" s="49">
        <f>資料儲存!H1819</f>
        <v>0</v>
      </c>
      <c r="AH27" s="49">
        <f>資料儲存!I1819</f>
        <v>0</v>
      </c>
      <c r="AI27" s="49">
        <f>資料儲存!J1819</f>
        <v>0</v>
      </c>
      <c r="AJ27" s="13"/>
      <c r="AK27" s="48">
        <v>18</v>
      </c>
      <c r="AL27" s="49">
        <f>資料儲存!D1939</f>
        <v>0</v>
      </c>
      <c r="AM27" s="49">
        <f>資料儲存!E1939</f>
        <v>0</v>
      </c>
      <c r="AN27" s="49">
        <f>資料儲存!F1939</f>
        <v>0</v>
      </c>
      <c r="AO27" s="49">
        <f>資料儲存!G1939</f>
        <v>0</v>
      </c>
      <c r="AP27" s="49">
        <f>資料儲存!H1939</f>
        <v>0</v>
      </c>
      <c r="AQ27" s="49">
        <f>資料儲存!I1939</f>
        <v>0</v>
      </c>
      <c r="AR27" s="49">
        <f>資料儲存!J1939</f>
        <v>0</v>
      </c>
      <c r="AT27" s="48">
        <v>18</v>
      </c>
      <c r="AU27" s="49">
        <f>資料儲存!D2059</f>
        <v>0</v>
      </c>
      <c r="AV27" s="49">
        <f>資料儲存!E2059</f>
        <v>0</v>
      </c>
      <c r="AW27" s="49">
        <f>資料儲存!F2059</f>
        <v>0</v>
      </c>
      <c r="AX27" s="49">
        <f>資料儲存!G2059</f>
        <v>0</v>
      </c>
      <c r="AY27" s="49">
        <f>資料儲存!H2059</f>
        <v>0</v>
      </c>
      <c r="AZ27" s="49">
        <f>資料儲存!I2059</f>
        <v>0</v>
      </c>
      <c r="BA27" s="49">
        <f>資料儲存!J2059</f>
        <v>0</v>
      </c>
    </row>
    <row r="28" spans="1:53" ht="16" thickBot="1">
      <c r="A28" s="48">
        <v>19</v>
      </c>
      <c r="B28" s="49">
        <f>資料儲存!D1460</f>
        <v>0</v>
      </c>
      <c r="C28" s="49">
        <f>資料儲存!E1460</f>
        <v>0</v>
      </c>
      <c r="D28" s="49">
        <f>資料儲存!F1460</f>
        <v>0</v>
      </c>
      <c r="E28" s="49">
        <f>資料儲存!G1460</f>
        <v>0</v>
      </c>
      <c r="F28" s="49">
        <f>資料儲存!H1460</f>
        <v>0</v>
      </c>
      <c r="G28" s="49">
        <f>資料儲存!I1460</f>
        <v>0</v>
      </c>
      <c r="H28" s="49">
        <f>資料儲存!J1460</f>
        <v>0</v>
      </c>
      <c r="I28" s="45"/>
      <c r="J28" s="48">
        <v>19</v>
      </c>
      <c r="K28" s="49">
        <f>資料儲存!D1580</f>
        <v>0</v>
      </c>
      <c r="L28" s="49">
        <f>資料儲存!E1580</f>
        <v>0</v>
      </c>
      <c r="M28" s="49">
        <f>資料儲存!F1580</f>
        <v>0</v>
      </c>
      <c r="N28" s="49">
        <f>資料儲存!G1580</f>
        <v>0</v>
      </c>
      <c r="O28" s="49">
        <f>資料儲存!H1580</f>
        <v>0</v>
      </c>
      <c r="P28" s="49">
        <f>資料儲存!I1580</f>
        <v>0</v>
      </c>
      <c r="Q28" s="49">
        <f>資料儲存!J1580</f>
        <v>0</v>
      </c>
      <c r="R28" s="45"/>
      <c r="S28" s="48">
        <v>19</v>
      </c>
      <c r="T28" s="49">
        <f>資料儲存!D1700</f>
        <v>0</v>
      </c>
      <c r="U28" s="49">
        <f>資料儲存!E1700</f>
        <v>0</v>
      </c>
      <c r="V28" s="49">
        <f>資料儲存!F1700</f>
        <v>0</v>
      </c>
      <c r="W28" s="49">
        <f>資料儲存!G1700</f>
        <v>0</v>
      </c>
      <c r="X28" s="49">
        <f>資料儲存!H1700</f>
        <v>0</v>
      </c>
      <c r="Y28" s="49">
        <f>資料儲存!I1700</f>
        <v>0</v>
      </c>
      <c r="Z28" s="49">
        <f>資料儲存!J1700</f>
        <v>0</v>
      </c>
      <c r="AA28" s="45"/>
      <c r="AB28" s="48">
        <v>19</v>
      </c>
      <c r="AC28" s="49">
        <f>資料儲存!D1820</f>
        <v>0</v>
      </c>
      <c r="AD28" s="49">
        <f>資料儲存!E1820</f>
        <v>0</v>
      </c>
      <c r="AE28" s="49">
        <f>資料儲存!F1820</f>
        <v>0</v>
      </c>
      <c r="AF28" s="49">
        <f>資料儲存!G1820</f>
        <v>0</v>
      </c>
      <c r="AG28" s="49">
        <f>資料儲存!H1820</f>
        <v>0</v>
      </c>
      <c r="AH28" s="49">
        <f>資料儲存!I1820</f>
        <v>0</v>
      </c>
      <c r="AI28" s="49">
        <f>資料儲存!J1820</f>
        <v>0</v>
      </c>
      <c r="AJ28" s="13"/>
      <c r="AK28" s="48">
        <v>19</v>
      </c>
      <c r="AL28" s="49">
        <f>資料儲存!D1940</f>
        <v>0</v>
      </c>
      <c r="AM28" s="49">
        <f>資料儲存!E1940</f>
        <v>0</v>
      </c>
      <c r="AN28" s="49">
        <f>資料儲存!F1940</f>
        <v>0</v>
      </c>
      <c r="AO28" s="49">
        <f>資料儲存!G1940</f>
        <v>0</v>
      </c>
      <c r="AP28" s="49">
        <f>資料儲存!H1940</f>
        <v>0</v>
      </c>
      <c r="AQ28" s="49">
        <f>資料儲存!I1940</f>
        <v>0</v>
      </c>
      <c r="AR28" s="49">
        <f>資料儲存!J1940</f>
        <v>0</v>
      </c>
      <c r="AT28" s="48">
        <v>19</v>
      </c>
      <c r="AU28" s="49">
        <f>資料儲存!D2060</f>
        <v>0</v>
      </c>
      <c r="AV28" s="49">
        <f>資料儲存!E2060</f>
        <v>0</v>
      </c>
      <c r="AW28" s="49">
        <f>資料儲存!F2060</f>
        <v>0</v>
      </c>
      <c r="AX28" s="49">
        <f>資料儲存!G2060</f>
        <v>0</v>
      </c>
      <c r="AY28" s="49">
        <f>資料儲存!H2060</f>
        <v>0</v>
      </c>
      <c r="AZ28" s="49">
        <f>資料儲存!I2060</f>
        <v>0</v>
      </c>
      <c r="BA28" s="49">
        <f>資料儲存!J2060</f>
        <v>0</v>
      </c>
    </row>
    <row r="29" spans="1:53" ht="16" thickBot="1">
      <c r="A29" s="48">
        <v>20</v>
      </c>
      <c r="B29" s="49">
        <f>資料儲存!D1461</f>
        <v>0</v>
      </c>
      <c r="C29" s="49">
        <f>資料儲存!E1461</f>
        <v>0</v>
      </c>
      <c r="D29" s="49">
        <f>資料儲存!F1461</f>
        <v>0</v>
      </c>
      <c r="E29" s="49">
        <f>資料儲存!G1461</f>
        <v>0</v>
      </c>
      <c r="F29" s="49">
        <f>資料儲存!H1461</f>
        <v>0</v>
      </c>
      <c r="G29" s="49">
        <f>資料儲存!I1461</f>
        <v>0</v>
      </c>
      <c r="H29" s="49">
        <f>資料儲存!J1461</f>
        <v>0</v>
      </c>
      <c r="I29" s="45"/>
      <c r="J29" s="48">
        <v>20</v>
      </c>
      <c r="K29" s="49">
        <f>資料儲存!D1581</f>
        <v>0</v>
      </c>
      <c r="L29" s="49">
        <f>資料儲存!E1581</f>
        <v>0</v>
      </c>
      <c r="M29" s="49">
        <f>資料儲存!F1581</f>
        <v>0</v>
      </c>
      <c r="N29" s="49">
        <f>資料儲存!G1581</f>
        <v>0</v>
      </c>
      <c r="O29" s="49">
        <f>資料儲存!H1581</f>
        <v>0</v>
      </c>
      <c r="P29" s="49">
        <f>資料儲存!I1581</f>
        <v>0</v>
      </c>
      <c r="Q29" s="49">
        <f>資料儲存!J1581</f>
        <v>0</v>
      </c>
      <c r="R29" s="45"/>
      <c r="S29" s="48">
        <v>20</v>
      </c>
      <c r="T29" s="49">
        <f>資料儲存!D1701</f>
        <v>0</v>
      </c>
      <c r="U29" s="49">
        <f>資料儲存!E1701</f>
        <v>0</v>
      </c>
      <c r="V29" s="49">
        <f>資料儲存!F1701</f>
        <v>0</v>
      </c>
      <c r="W29" s="49">
        <f>資料儲存!G1701</f>
        <v>0</v>
      </c>
      <c r="X29" s="49">
        <f>資料儲存!H1701</f>
        <v>0</v>
      </c>
      <c r="Y29" s="49">
        <f>資料儲存!I1701</f>
        <v>0</v>
      </c>
      <c r="Z29" s="49">
        <f>資料儲存!J1701</f>
        <v>0</v>
      </c>
      <c r="AA29" s="45"/>
      <c r="AB29" s="48">
        <v>20</v>
      </c>
      <c r="AC29" s="49">
        <f>資料儲存!D1821</f>
        <v>0</v>
      </c>
      <c r="AD29" s="49">
        <f>資料儲存!E1821</f>
        <v>0</v>
      </c>
      <c r="AE29" s="49">
        <f>資料儲存!F1821</f>
        <v>0</v>
      </c>
      <c r="AF29" s="49">
        <f>資料儲存!G1821</f>
        <v>0</v>
      </c>
      <c r="AG29" s="49">
        <f>資料儲存!H1821</f>
        <v>0</v>
      </c>
      <c r="AH29" s="49">
        <f>資料儲存!I1821</f>
        <v>0</v>
      </c>
      <c r="AI29" s="49">
        <f>資料儲存!J1821</f>
        <v>0</v>
      </c>
      <c r="AJ29" s="13"/>
      <c r="AK29" s="48">
        <v>20</v>
      </c>
      <c r="AL29" s="49">
        <f>資料儲存!D1941</f>
        <v>0</v>
      </c>
      <c r="AM29" s="49">
        <f>資料儲存!E1941</f>
        <v>0</v>
      </c>
      <c r="AN29" s="49">
        <f>資料儲存!F1941</f>
        <v>0</v>
      </c>
      <c r="AO29" s="49">
        <f>資料儲存!G1941</f>
        <v>0</v>
      </c>
      <c r="AP29" s="49">
        <f>資料儲存!H1941</f>
        <v>0</v>
      </c>
      <c r="AQ29" s="49">
        <f>資料儲存!I1941</f>
        <v>0</v>
      </c>
      <c r="AR29" s="49">
        <f>資料儲存!J1941</f>
        <v>0</v>
      </c>
      <c r="AT29" s="48">
        <v>20</v>
      </c>
      <c r="AU29" s="49">
        <f>資料儲存!D2061</f>
        <v>0</v>
      </c>
      <c r="AV29" s="49">
        <f>資料儲存!E2061</f>
        <v>0</v>
      </c>
      <c r="AW29" s="49">
        <f>資料儲存!F2061</f>
        <v>0</v>
      </c>
      <c r="AX29" s="49">
        <f>資料儲存!G2061</f>
        <v>0</v>
      </c>
      <c r="AY29" s="49">
        <f>資料儲存!H2061</f>
        <v>0</v>
      </c>
      <c r="AZ29" s="49">
        <f>資料儲存!I2061</f>
        <v>0</v>
      </c>
      <c r="BA29" s="49">
        <f>資料儲存!J2061</f>
        <v>0</v>
      </c>
    </row>
    <row r="30" spans="1:53" ht="16" thickBot="1">
      <c r="A30" s="48">
        <v>21</v>
      </c>
      <c r="B30" s="49">
        <f>資料儲存!D1462</f>
        <v>0</v>
      </c>
      <c r="C30" s="49">
        <f>資料儲存!E1462</f>
        <v>0</v>
      </c>
      <c r="D30" s="49">
        <f>資料儲存!F1462</f>
        <v>0</v>
      </c>
      <c r="E30" s="49">
        <f>資料儲存!G1462</f>
        <v>0</v>
      </c>
      <c r="F30" s="49">
        <f>資料儲存!H1462</f>
        <v>0</v>
      </c>
      <c r="G30" s="49">
        <f>資料儲存!I1462</f>
        <v>0</v>
      </c>
      <c r="H30" s="49">
        <f>資料儲存!J1462</f>
        <v>0</v>
      </c>
      <c r="I30" s="45"/>
      <c r="J30" s="48">
        <v>21</v>
      </c>
      <c r="K30" s="49">
        <f>資料儲存!D1582</f>
        <v>0</v>
      </c>
      <c r="L30" s="49">
        <f>資料儲存!E1582</f>
        <v>0</v>
      </c>
      <c r="M30" s="49">
        <f>資料儲存!F1582</f>
        <v>0</v>
      </c>
      <c r="N30" s="49">
        <f>資料儲存!G1582</f>
        <v>0</v>
      </c>
      <c r="O30" s="49">
        <f>資料儲存!H1582</f>
        <v>0</v>
      </c>
      <c r="P30" s="49">
        <f>資料儲存!I1582</f>
        <v>0</v>
      </c>
      <c r="Q30" s="49">
        <f>資料儲存!J1582</f>
        <v>0</v>
      </c>
      <c r="R30" s="45"/>
      <c r="S30" s="48">
        <v>21</v>
      </c>
      <c r="T30" s="49">
        <f>資料儲存!D1702</f>
        <v>0</v>
      </c>
      <c r="U30" s="49">
        <f>資料儲存!E1702</f>
        <v>0</v>
      </c>
      <c r="V30" s="49">
        <f>資料儲存!F1702</f>
        <v>0</v>
      </c>
      <c r="W30" s="49">
        <f>資料儲存!G1702</f>
        <v>0</v>
      </c>
      <c r="X30" s="49">
        <f>資料儲存!H1702</f>
        <v>0</v>
      </c>
      <c r="Y30" s="49">
        <f>資料儲存!I1702</f>
        <v>0</v>
      </c>
      <c r="Z30" s="49">
        <f>資料儲存!J1702</f>
        <v>0</v>
      </c>
      <c r="AA30" s="45"/>
      <c r="AB30" s="48">
        <v>21</v>
      </c>
      <c r="AC30" s="49">
        <f>資料儲存!D1822</f>
        <v>0</v>
      </c>
      <c r="AD30" s="49">
        <f>資料儲存!E1822</f>
        <v>0</v>
      </c>
      <c r="AE30" s="49">
        <f>資料儲存!F1822</f>
        <v>0</v>
      </c>
      <c r="AF30" s="49">
        <f>資料儲存!G1822</f>
        <v>0</v>
      </c>
      <c r="AG30" s="49">
        <f>資料儲存!H1822</f>
        <v>0</v>
      </c>
      <c r="AH30" s="49">
        <f>資料儲存!I1822</f>
        <v>0</v>
      </c>
      <c r="AI30" s="49">
        <f>資料儲存!J1822</f>
        <v>0</v>
      </c>
      <c r="AJ30" s="13"/>
      <c r="AK30" s="48">
        <v>21</v>
      </c>
      <c r="AL30" s="49">
        <f>資料儲存!D1942</f>
        <v>0</v>
      </c>
      <c r="AM30" s="49">
        <f>資料儲存!E1942</f>
        <v>0</v>
      </c>
      <c r="AN30" s="49">
        <f>資料儲存!F1942</f>
        <v>0</v>
      </c>
      <c r="AO30" s="49">
        <f>資料儲存!G1942</f>
        <v>0</v>
      </c>
      <c r="AP30" s="49">
        <f>資料儲存!H1942</f>
        <v>0</v>
      </c>
      <c r="AQ30" s="49">
        <f>資料儲存!I1942</f>
        <v>0</v>
      </c>
      <c r="AR30" s="49">
        <f>資料儲存!J1942</f>
        <v>0</v>
      </c>
      <c r="AT30" s="48">
        <v>21</v>
      </c>
      <c r="AU30" s="49">
        <f>資料儲存!D2062</f>
        <v>0</v>
      </c>
      <c r="AV30" s="49">
        <f>資料儲存!E2062</f>
        <v>0</v>
      </c>
      <c r="AW30" s="49">
        <f>資料儲存!F2062</f>
        <v>0</v>
      </c>
      <c r="AX30" s="49">
        <f>資料儲存!G2062</f>
        <v>0</v>
      </c>
      <c r="AY30" s="49">
        <f>資料儲存!H2062</f>
        <v>0</v>
      </c>
      <c r="AZ30" s="49">
        <f>資料儲存!I2062</f>
        <v>0</v>
      </c>
      <c r="BA30" s="49">
        <f>資料儲存!J2062</f>
        <v>0</v>
      </c>
    </row>
    <row r="31" spans="1:53" ht="16" thickBot="1">
      <c r="A31" s="48">
        <v>22</v>
      </c>
      <c r="B31" s="49">
        <f>資料儲存!D1463</f>
        <v>0</v>
      </c>
      <c r="C31" s="49">
        <f>資料儲存!E1463</f>
        <v>0</v>
      </c>
      <c r="D31" s="49">
        <f>資料儲存!F1463</f>
        <v>0</v>
      </c>
      <c r="E31" s="49">
        <f>資料儲存!G1463</f>
        <v>0</v>
      </c>
      <c r="F31" s="49">
        <f>資料儲存!H1463</f>
        <v>0</v>
      </c>
      <c r="G31" s="49">
        <f>資料儲存!I1463</f>
        <v>0</v>
      </c>
      <c r="H31" s="49">
        <f>資料儲存!J1463</f>
        <v>0</v>
      </c>
      <c r="I31" s="45"/>
      <c r="J31" s="48">
        <v>22</v>
      </c>
      <c r="K31" s="49">
        <f>資料儲存!D1583</f>
        <v>0</v>
      </c>
      <c r="L31" s="49">
        <f>資料儲存!E1583</f>
        <v>0</v>
      </c>
      <c r="M31" s="49">
        <f>資料儲存!F1583</f>
        <v>0</v>
      </c>
      <c r="N31" s="49">
        <f>資料儲存!G1583</f>
        <v>0</v>
      </c>
      <c r="O31" s="49">
        <f>資料儲存!H1583</f>
        <v>0</v>
      </c>
      <c r="P31" s="49">
        <f>資料儲存!I1583</f>
        <v>0</v>
      </c>
      <c r="Q31" s="49">
        <f>資料儲存!J1583</f>
        <v>0</v>
      </c>
      <c r="R31" s="45"/>
      <c r="S31" s="48">
        <v>22</v>
      </c>
      <c r="T31" s="49">
        <f>資料儲存!D1703</f>
        <v>0</v>
      </c>
      <c r="U31" s="49">
        <f>資料儲存!E1703</f>
        <v>0</v>
      </c>
      <c r="V31" s="49">
        <f>資料儲存!F1703</f>
        <v>0</v>
      </c>
      <c r="W31" s="49">
        <f>資料儲存!G1703</f>
        <v>0</v>
      </c>
      <c r="X31" s="49">
        <f>資料儲存!H1703</f>
        <v>0</v>
      </c>
      <c r="Y31" s="49">
        <f>資料儲存!I1703</f>
        <v>0</v>
      </c>
      <c r="Z31" s="49">
        <f>資料儲存!J1703</f>
        <v>0</v>
      </c>
      <c r="AA31" s="45"/>
      <c r="AB31" s="48">
        <v>22</v>
      </c>
      <c r="AC31" s="49">
        <f>資料儲存!D1823</f>
        <v>0</v>
      </c>
      <c r="AD31" s="49">
        <f>資料儲存!E1823</f>
        <v>0</v>
      </c>
      <c r="AE31" s="49">
        <f>資料儲存!F1823</f>
        <v>0</v>
      </c>
      <c r="AF31" s="49">
        <f>資料儲存!G1823</f>
        <v>0</v>
      </c>
      <c r="AG31" s="49">
        <f>資料儲存!H1823</f>
        <v>0</v>
      </c>
      <c r="AH31" s="49">
        <f>資料儲存!I1823</f>
        <v>0</v>
      </c>
      <c r="AI31" s="49">
        <f>資料儲存!J1823</f>
        <v>0</v>
      </c>
      <c r="AJ31" s="13"/>
      <c r="AK31" s="48">
        <v>22</v>
      </c>
      <c r="AL31" s="49">
        <f>資料儲存!D1943</f>
        <v>0</v>
      </c>
      <c r="AM31" s="49">
        <f>資料儲存!E1943</f>
        <v>0</v>
      </c>
      <c r="AN31" s="49">
        <f>資料儲存!F1943</f>
        <v>0</v>
      </c>
      <c r="AO31" s="49">
        <f>資料儲存!G1943</f>
        <v>0</v>
      </c>
      <c r="AP31" s="49">
        <f>資料儲存!H1943</f>
        <v>0</v>
      </c>
      <c r="AQ31" s="49">
        <f>資料儲存!I1943</f>
        <v>0</v>
      </c>
      <c r="AR31" s="49">
        <f>資料儲存!J1943</f>
        <v>0</v>
      </c>
      <c r="AT31" s="48">
        <v>22</v>
      </c>
      <c r="AU31" s="49">
        <f>資料儲存!D2063</f>
        <v>0</v>
      </c>
      <c r="AV31" s="49">
        <f>資料儲存!E2063</f>
        <v>0</v>
      </c>
      <c r="AW31" s="49">
        <f>資料儲存!F2063</f>
        <v>0</v>
      </c>
      <c r="AX31" s="49">
        <f>資料儲存!G2063</f>
        <v>0</v>
      </c>
      <c r="AY31" s="49">
        <f>資料儲存!H2063</f>
        <v>0</v>
      </c>
      <c r="AZ31" s="49">
        <f>資料儲存!I2063</f>
        <v>0</v>
      </c>
      <c r="BA31" s="49">
        <f>資料儲存!J2063</f>
        <v>0</v>
      </c>
    </row>
    <row r="32" spans="1:53" ht="16" thickBot="1">
      <c r="A32" s="48">
        <v>23</v>
      </c>
      <c r="B32" s="49">
        <f>資料儲存!D1464</f>
        <v>0</v>
      </c>
      <c r="C32" s="49">
        <f>資料儲存!E1464</f>
        <v>0</v>
      </c>
      <c r="D32" s="49">
        <f>資料儲存!F1464</f>
        <v>0</v>
      </c>
      <c r="E32" s="49">
        <f>資料儲存!G1464</f>
        <v>0</v>
      </c>
      <c r="F32" s="49">
        <f>資料儲存!H1464</f>
        <v>0</v>
      </c>
      <c r="G32" s="49">
        <f>資料儲存!I1464</f>
        <v>0</v>
      </c>
      <c r="H32" s="49">
        <f>資料儲存!J1464</f>
        <v>0</v>
      </c>
      <c r="I32" s="45"/>
      <c r="J32" s="48">
        <v>23</v>
      </c>
      <c r="K32" s="49">
        <f>資料儲存!D1584</f>
        <v>0</v>
      </c>
      <c r="L32" s="49">
        <f>資料儲存!E1584</f>
        <v>0</v>
      </c>
      <c r="M32" s="49">
        <f>資料儲存!F1584</f>
        <v>0</v>
      </c>
      <c r="N32" s="49">
        <f>資料儲存!G1584</f>
        <v>0</v>
      </c>
      <c r="O32" s="49">
        <f>資料儲存!H1584</f>
        <v>0</v>
      </c>
      <c r="P32" s="49">
        <f>資料儲存!I1584</f>
        <v>0</v>
      </c>
      <c r="Q32" s="49">
        <f>資料儲存!J1584</f>
        <v>0</v>
      </c>
      <c r="R32" s="45"/>
      <c r="S32" s="48">
        <v>23</v>
      </c>
      <c r="T32" s="49">
        <f>資料儲存!D1704</f>
        <v>0</v>
      </c>
      <c r="U32" s="49">
        <f>資料儲存!E1704</f>
        <v>0</v>
      </c>
      <c r="V32" s="49">
        <f>資料儲存!F1704</f>
        <v>0</v>
      </c>
      <c r="W32" s="49">
        <f>資料儲存!G1704</f>
        <v>0</v>
      </c>
      <c r="X32" s="49">
        <f>資料儲存!H1704</f>
        <v>0</v>
      </c>
      <c r="Y32" s="49">
        <f>資料儲存!I1704</f>
        <v>0</v>
      </c>
      <c r="Z32" s="49">
        <f>資料儲存!J1704</f>
        <v>0</v>
      </c>
      <c r="AA32" s="45"/>
      <c r="AB32" s="48">
        <v>23</v>
      </c>
      <c r="AC32" s="49">
        <f>資料儲存!D1824</f>
        <v>0</v>
      </c>
      <c r="AD32" s="49">
        <f>資料儲存!E1824</f>
        <v>0</v>
      </c>
      <c r="AE32" s="49">
        <f>資料儲存!F1824</f>
        <v>0</v>
      </c>
      <c r="AF32" s="49">
        <f>資料儲存!G1824</f>
        <v>0</v>
      </c>
      <c r="AG32" s="49">
        <f>資料儲存!H1824</f>
        <v>0</v>
      </c>
      <c r="AH32" s="49">
        <f>資料儲存!I1824</f>
        <v>0</v>
      </c>
      <c r="AI32" s="49">
        <f>資料儲存!J1824</f>
        <v>0</v>
      </c>
      <c r="AJ32" s="13"/>
      <c r="AK32" s="48">
        <v>23</v>
      </c>
      <c r="AL32" s="49">
        <f>資料儲存!D1944</f>
        <v>0</v>
      </c>
      <c r="AM32" s="49">
        <f>資料儲存!E1944</f>
        <v>0</v>
      </c>
      <c r="AN32" s="49">
        <f>資料儲存!F1944</f>
        <v>0</v>
      </c>
      <c r="AO32" s="49">
        <f>資料儲存!G1944</f>
        <v>0</v>
      </c>
      <c r="AP32" s="49">
        <f>資料儲存!H1944</f>
        <v>0</v>
      </c>
      <c r="AQ32" s="49">
        <f>資料儲存!I1944</f>
        <v>0</v>
      </c>
      <c r="AR32" s="49">
        <f>資料儲存!J1944</f>
        <v>0</v>
      </c>
      <c r="AT32" s="48">
        <v>23</v>
      </c>
      <c r="AU32" s="49">
        <f>資料儲存!D2064</f>
        <v>0</v>
      </c>
      <c r="AV32" s="49">
        <f>資料儲存!E2064</f>
        <v>0</v>
      </c>
      <c r="AW32" s="49">
        <f>資料儲存!F2064</f>
        <v>0</v>
      </c>
      <c r="AX32" s="49">
        <f>資料儲存!G2064</f>
        <v>0</v>
      </c>
      <c r="AY32" s="49">
        <f>資料儲存!H2064</f>
        <v>0</v>
      </c>
      <c r="AZ32" s="49">
        <f>資料儲存!I2064</f>
        <v>0</v>
      </c>
      <c r="BA32" s="49">
        <f>資料儲存!J2064</f>
        <v>0</v>
      </c>
    </row>
    <row r="33" spans="1:53" ht="16" thickBot="1">
      <c r="A33" s="48">
        <v>24</v>
      </c>
      <c r="B33" s="49">
        <f>資料儲存!D1465</f>
        <v>0</v>
      </c>
      <c r="C33" s="49">
        <f>資料儲存!E1465</f>
        <v>0</v>
      </c>
      <c r="D33" s="49">
        <f>資料儲存!F1465</f>
        <v>0</v>
      </c>
      <c r="E33" s="49">
        <f>資料儲存!G1465</f>
        <v>0</v>
      </c>
      <c r="F33" s="49">
        <f>資料儲存!H1465</f>
        <v>0</v>
      </c>
      <c r="G33" s="49">
        <f>資料儲存!I1465</f>
        <v>0</v>
      </c>
      <c r="H33" s="49">
        <f>資料儲存!J1465</f>
        <v>0</v>
      </c>
      <c r="I33" s="45"/>
      <c r="J33" s="48">
        <v>24</v>
      </c>
      <c r="K33" s="49">
        <f>資料儲存!D1585</f>
        <v>0</v>
      </c>
      <c r="L33" s="49">
        <f>資料儲存!E1585</f>
        <v>0</v>
      </c>
      <c r="M33" s="49">
        <f>資料儲存!F1585</f>
        <v>0</v>
      </c>
      <c r="N33" s="49">
        <f>資料儲存!G1585</f>
        <v>0</v>
      </c>
      <c r="O33" s="49">
        <f>資料儲存!H1585</f>
        <v>0</v>
      </c>
      <c r="P33" s="49">
        <f>資料儲存!I1585</f>
        <v>0</v>
      </c>
      <c r="Q33" s="49">
        <f>資料儲存!J1585</f>
        <v>0</v>
      </c>
      <c r="R33" s="45"/>
      <c r="S33" s="48">
        <v>24</v>
      </c>
      <c r="T33" s="49">
        <f>資料儲存!D1705</f>
        <v>0</v>
      </c>
      <c r="U33" s="49">
        <f>資料儲存!E1705</f>
        <v>0</v>
      </c>
      <c r="V33" s="49">
        <f>資料儲存!F1705</f>
        <v>0</v>
      </c>
      <c r="W33" s="49">
        <f>資料儲存!G1705</f>
        <v>0</v>
      </c>
      <c r="X33" s="49">
        <f>資料儲存!H1705</f>
        <v>0</v>
      </c>
      <c r="Y33" s="49">
        <f>資料儲存!I1705</f>
        <v>0</v>
      </c>
      <c r="Z33" s="49">
        <f>資料儲存!J1705</f>
        <v>0</v>
      </c>
      <c r="AA33" s="45"/>
      <c r="AB33" s="48">
        <v>24</v>
      </c>
      <c r="AC33" s="49">
        <f>資料儲存!D1825</f>
        <v>0</v>
      </c>
      <c r="AD33" s="49">
        <f>資料儲存!E1825</f>
        <v>0</v>
      </c>
      <c r="AE33" s="49">
        <f>資料儲存!F1825</f>
        <v>0</v>
      </c>
      <c r="AF33" s="49">
        <f>資料儲存!G1825</f>
        <v>0</v>
      </c>
      <c r="AG33" s="49">
        <f>資料儲存!H1825</f>
        <v>0</v>
      </c>
      <c r="AH33" s="49">
        <f>資料儲存!I1825</f>
        <v>0</v>
      </c>
      <c r="AI33" s="49">
        <f>資料儲存!J1825</f>
        <v>0</v>
      </c>
      <c r="AJ33" s="13"/>
      <c r="AK33" s="48">
        <v>24</v>
      </c>
      <c r="AL33" s="49">
        <f>資料儲存!D1945</f>
        <v>0</v>
      </c>
      <c r="AM33" s="49">
        <f>資料儲存!E1945</f>
        <v>0</v>
      </c>
      <c r="AN33" s="49">
        <f>資料儲存!F1945</f>
        <v>0</v>
      </c>
      <c r="AO33" s="49">
        <f>資料儲存!G1945</f>
        <v>0</v>
      </c>
      <c r="AP33" s="49">
        <f>資料儲存!H1945</f>
        <v>0</v>
      </c>
      <c r="AQ33" s="49">
        <f>資料儲存!I1945</f>
        <v>0</v>
      </c>
      <c r="AR33" s="49">
        <f>資料儲存!J1945</f>
        <v>0</v>
      </c>
      <c r="AT33" s="48">
        <v>24</v>
      </c>
      <c r="AU33" s="49">
        <f>資料儲存!D2065</f>
        <v>0</v>
      </c>
      <c r="AV33" s="49">
        <f>資料儲存!E2065</f>
        <v>0</v>
      </c>
      <c r="AW33" s="49">
        <f>資料儲存!F2065</f>
        <v>0</v>
      </c>
      <c r="AX33" s="49">
        <f>資料儲存!G2065</f>
        <v>0</v>
      </c>
      <c r="AY33" s="49">
        <f>資料儲存!H2065</f>
        <v>0</v>
      </c>
      <c r="AZ33" s="49">
        <f>資料儲存!I2065</f>
        <v>0</v>
      </c>
      <c r="BA33" s="49">
        <f>資料儲存!J2065</f>
        <v>0</v>
      </c>
    </row>
    <row r="34" spans="1:53" ht="16" thickBot="1">
      <c r="A34" s="48">
        <v>25</v>
      </c>
      <c r="B34" s="49">
        <f>資料儲存!D1466</f>
        <v>0</v>
      </c>
      <c r="C34" s="49">
        <f>資料儲存!E1466</f>
        <v>0</v>
      </c>
      <c r="D34" s="49">
        <f>資料儲存!F1466</f>
        <v>0</v>
      </c>
      <c r="E34" s="49">
        <f>資料儲存!G1466</f>
        <v>0</v>
      </c>
      <c r="F34" s="49">
        <f>資料儲存!H1466</f>
        <v>0</v>
      </c>
      <c r="G34" s="49">
        <f>資料儲存!I1466</f>
        <v>0</v>
      </c>
      <c r="H34" s="49">
        <f>資料儲存!J1466</f>
        <v>0</v>
      </c>
      <c r="I34" s="45"/>
      <c r="J34" s="48">
        <v>25</v>
      </c>
      <c r="K34" s="49">
        <f>資料儲存!D1586</f>
        <v>0</v>
      </c>
      <c r="L34" s="49">
        <f>資料儲存!E1586</f>
        <v>0</v>
      </c>
      <c r="M34" s="49">
        <f>資料儲存!F1586</f>
        <v>0</v>
      </c>
      <c r="N34" s="49">
        <f>資料儲存!G1586</f>
        <v>0</v>
      </c>
      <c r="O34" s="49">
        <f>資料儲存!H1586</f>
        <v>0</v>
      </c>
      <c r="P34" s="49">
        <f>資料儲存!I1586</f>
        <v>0</v>
      </c>
      <c r="Q34" s="49">
        <f>資料儲存!J1586</f>
        <v>0</v>
      </c>
      <c r="R34" s="45"/>
      <c r="S34" s="48">
        <v>25</v>
      </c>
      <c r="T34" s="49">
        <f>資料儲存!D1706</f>
        <v>0</v>
      </c>
      <c r="U34" s="49">
        <f>資料儲存!E1706</f>
        <v>0</v>
      </c>
      <c r="V34" s="49">
        <f>資料儲存!F1706</f>
        <v>0</v>
      </c>
      <c r="W34" s="49">
        <f>資料儲存!G1706</f>
        <v>0</v>
      </c>
      <c r="X34" s="49">
        <f>資料儲存!H1706</f>
        <v>0</v>
      </c>
      <c r="Y34" s="49">
        <f>資料儲存!I1706</f>
        <v>0</v>
      </c>
      <c r="Z34" s="49">
        <f>資料儲存!J1706</f>
        <v>0</v>
      </c>
      <c r="AA34" s="45"/>
      <c r="AB34" s="48">
        <v>25</v>
      </c>
      <c r="AC34" s="49">
        <f>資料儲存!D1826</f>
        <v>0</v>
      </c>
      <c r="AD34" s="49">
        <f>資料儲存!E1826</f>
        <v>0</v>
      </c>
      <c r="AE34" s="49">
        <f>資料儲存!F1826</f>
        <v>0</v>
      </c>
      <c r="AF34" s="49">
        <f>資料儲存!G1826</f>
        <v>0</v>
      </c>
      <c r="AG34" s="49">
        <f>資料儲存!H1826</f>
        <v>0</v>
      </c>
      <c r="AH34" s="49">
        <f>資料儲存!I1826</f>
        <v>0</v>
      </c>
      <c r="AI34" s="49">
        <f>資料儲存!J1826</f>
        <v>0</v>
      </c>
      <c r="AJ34" s="13"/>
      <c r="AK34" s="48">
        <v>25</v>
      </c>
      <c r="AL34" s="49">
        <f>資料儲存!D1946</f>
        <v>0</v>
      </c>
      <c r="AM34" s="49">
        <f>資料儲存!E1946</f>
        <v>0</v>
      </c>
      <c r="AN34" s="49">
        <f>資料儲存!F1946</f>
        <v>0</v>
      </c>
      <c r="AO34" s="49">
        <f>資料儲存!G1946</f>
        <v>0</v>
      </c>
      <c r="AP34" s="49">
        <f>資料儲存!H1946</f>
        <v>0</v>
      </c>
      <c r="AQ34" s="49">
        <f>資料儲存!I1946</f>
        <v>0</v>
      </c>
      <c r="AR34" s="49">
        <f>資料儲存!J1946</f>
        <v>0</v>
      </c>
      <c r="AT34" s="48">
        <v>25</v>
      </c>
      <c r="AU34" s="49">
        <f>資料儲存!D2066</f>
        <v>0</v>
      </c>
      <c r="AV34" s="49">
        <f>資料儲存!E2066</f>
        <v>0</v>
      </c>
      <c r="AW34" s="49">
        <f>資料儲存!F2066</f>
        <v>0</v>
      </c>
      <c r="AX34" s="49">
        <f>資料儲存!G2066</f>
        <v>0</v>
      </c>
      <c r="AY34" s="49">
        <f>資料儲存!H2066</f>
        <v>0</v>
      </c>
      <c r="AZ34" s="49">
        <f>資料儲存!I2066</f>
        <v>0</v>
      </c>
      <c r="BA34" s="49">
        <f>資料儲存!J2066</f>
        <v>0</v>
      </c>
    </row>
    <row r="35" spans="1:53" ht="16" thickBot="1">
      <c r="A35" s="48">
        <v>26</v>
      </c>
      <c r="B35" s="49">
        <f>資料儲存!D1467</f>
        <v>0</v>
      </c>
      <c r="C35" s="49">
        <f>資料儲存!E1467</f>
        <v>0</v>
      </c>
      <c r="D35" s="49">
        <f>資料儲存!F1467</f>
        <v>0</v>
      </c>
      <c r="E35" s="49">
        <f>資料儲存!G1467</f>
        <v>0</v>
      </c>
      <c r="F35" s="49">
        <f>資料儲存!H1467</f>
        <v>0</v>
      </c>
      <c r="G35" s="49">
        <f>資料儲存!I1467</f>
        <v>0</v>
      </c>
      <c r="H35" s="49">
        <f>資料儲存!J1467</f>
        <v>0</v>
      </c>
      <c r="I35" s="45"/>
      <c r="J35" s="48">
        <v>26</v>
      </c>
      <c r="K35" s="49">
        <f>資料儲存!D1587</f>
        <v>0</v>
      </c>
      <c r="L35" s="49">
        <f>資料儲存!E1587</f>
        <v>0</v>
      </c>
      <c r="M35" s="49">
        <f>資料儲存!F1587</f>
        <v>0</v>
      </c>
      <c r="N35" s="49">
        <f>資料儲存!G1587</f>
        <v>0</v>
      </c>
      <c r="O35" s="49">
        <f>資料儲存!H1587</f>
        <v>0</v>
      </c>
      <c r="P35" s="49">
        <f>資料儲存!I1587</f>
        <v>0</v>
      </c>
      <c r="Q35" s="49">
        <f>資料儲存!J1587</f>
        <v>0</v>
      </c>
      <c r="R35" s="45"/>
      <c r="S35" s="48">
        <v>26</v>
      </c>
      <c r="T35" s="49">
        <f>資料儲存!D1707</f>
        <v>0</v>
      </c>
      <c r="U35" s="49">
        <f>資料儲存!E1707</f>
        <v>0</v>
      </c>
      <c r="V35" s="49">
        <f>資料儲存!F1707</f>
        <v>0</v>
      </c>
      <c r="W35" s="49">
        <f>資料儲存!G1707</f>
        <v>0</v>
      </c>
      <c r="X35" s="49">
        <f>資料儲存!H1707</f>
        <v>0</v>
      </c>
      <c r="Y35" s="49">
        <f>資料儲存!I1707</f>
        <v>0</v>
      </c>
      <c r="Z35" s="49">
        <f>資料儲存!J1707</f>
        <v>0</v>
      </c>
      <c r="AA35" s="45"/>
      <c r="AB35" s="48">
        <v>26</v>
      </c>
      <c r="AC35" s="49">
        <f>資料儲存!D1827</f>
        <v>0</v>
      </c>
      <c r="AD35" s="49">
        <f>資料儲存!E1827</f>
        <v>0</v>
      </c>
      <c r="AE35" s="49">
        <f>資料儲存!F1827</f>
        <v>0</v>
      </c>
      <c r="AF35" s="49">
        <f>資料儲存!G1827</f>
        <v>0</v>
      </c>
      <c r="AG35" s="49">
        <f>資料儲存!H1827</f>
        <v>0</v>
      </c>
      <c r="AH35" s="49">
        <f>資料儲存!I1827</f>
        <v>0</v>
      </c>
      <c r="AI35" s="49">
        <f>資料儲存!J1827</f>
        <v>0</v>
      </c>
      <c r="AJ35" s="13"/>
      <c r="AK35" s="48">
        <v>26</v>
      </c>
      <c r="AL35" s="49">
        <f>資料儲存!D1947</f>
        <v>0</v>
      </c>
      <c r="AM35" s="49">
        <f>資料儲存!E1947</f>
        <v>0</v>
      </c>
      <c r="AN35" s="49">
        <f>資料儲存!F1947</f>
        <v>0</v>
      </c>
      <c r="AO35" s="49">
        <f>資料儲存!G1947</f>
        <v>0</v>
      </c>
      <c r="AP35" s="49">
        <f>資料儲存!H1947</f>
        <v>0</v>
      </c>
      <c r="AQ35" s="49">
        <f>資料儲存!I1947</f>
        <v>0</v>
      </c>
      <c r="AR35" s="49">
        <f>資料儲存!J1947</f>
        <v>0</v>
      </c>
      <c r="AT35" s="48">
        <v>26</v>
      </c>
      <c r="AU35" s="49">
        <f>資料儲存!D2067</f>
        <v>0</v>
      </c>
      <c r="AV35" s="49">
        <f>資料儲存!E2067</f>
        <v>0</v>
      </c>
      <c r="AW35" s="49">
        <f>資料儲存!F2067</f>
        <v>0</v>
      </c>
      <c r="AX35" s="49">
        <f>資料儲存!G2067</f>
        <v>0</v>
      </c>
      <c r="AY35" s="49">
        <f>資料儲存!H2067</f>
        <v>0</v>
      </c>
      <c r="AZ35" s="49">
        <f>資料儲存!I2067</f>
        <v>0</v>
      </c>
      <c r="BA35" s="49">
        <f>資料儲存!J2067</f>
        <v>0</v>
      </c>
    </row>
    <row r="36" spans="1:53" ht="16" thickBot="1">
      <c r="A36" s="48">
        <v>27</v>
      </c>
      <c r="B36" s="49">
        <f>資料儲存!D1468</f>
        <v>0</v>
      </c>
      <c r="C36" s="49">
        <f>資料儲存!E1468</f>
        <v>0</v>
      </c>
      <c r="D36" s="49">
        <f>資料儲存!F1468</f>
        <v>0</v>
      </c>
      <c r="E36" s="49">
        <f>資料儲存!G1468</f>
        <v>0</v>
      </c>
      <c r="F36" s="49">
        <f>資料儲存!H1468</f>
        <v>0</v>
      </c>
      <c r="G36" s="49">
        <f>資料儲存!I1468</f>
        <v>0</v>
      </c>
      <c r="H36" s="49">
        <f>資料儲存!J1468</f>
        <v>0</v>
      </c>
      <c r="I36" s="45"/>
      <c r="J36" s="48">
        <v>27</v>
      </c>
      <c r="K36" s="49">
        <f>資料儲存!D1588</f>
        <v>0</v>
      </c>
      <c r="L36" s="49">
        <f>資料儲存!E1588</f>
        <v>0</v>
      </c>
      <c r="M36" s="49">
        <f>資料儲存!F1588</f>
        <v>0</v>
      </c>
      <c r="N36" s="49">
        <f>資料儲存!G1588</f>
        <v>0</v>
      </c>
      <c r="O36" s="49">
        <f>資料儲存!H1588</f>
        <v>0</v>
      </c>
      <c r="P36" s="49">
        <f>資料儲存!I1588</f>
        <v>0</v>
      </c>
      <c r="Q36" s="49">
        <f>資料儲存!J1588</f>
        <v>0</v>
      </c>
      <c r="R36" s="45"/>
      <c r="S36" s="48">
        <v>27</v>
      </c>
      <c r="T36" s="49">
        <f>資料儲存!D1708</f>
        <v>0</v>
      </c>
      <c r="U36" s="49">
        <f>資料儲存!E1708</f>
        <v>0</v>
      </c>
      <c r="V36" s="49">
        <f>資料儲存!F1708</f>
        <v>0</v>
      </c>
      <c r="W36" s="49">
        <f>資料儲存!G1708</f>
        <v>0</v>
      </c>
      <c r="X36" s="49">
        <f>資料儲存!H1708</f>
        <v>0</v>
      </c>
      <c r="Y36" s="49">
        <f>資料儲存!I1708</f>
        <v>0</v>
      </c>
      <c r="Z36" s="49">
        <f>資料儲存!J1708</f>
        <v>0</v>
      </c>
      <c r="AA36" s="45"/>
      <c r="AB36" s="48">
        <v>27</v>
      </c>
      <c r="AC36" s="49">
        <f>資料儲存!D1828</f>
        <v>0</v>
      </c>
      <c r="AD36" s="49">
        <f>資料儲存!E1828</f>
        <v>0</v>
      </c>
      <c r="AE36" s="49">
        <f>資料儲存!F1828</f>
        <v>0</v>
      </c>
      <c r="AF36" s="49">
        <f>資料儲存!G1828</f>
        <v>0</v>
      </c>
      <c r="AG36" s="49">
        <f>資料儲存!H1828</f>
        <v>0</v>
      </c>
      <c r="AH36" s="49">
        <f>資料儲存!I1828</f>
        <v>0</v>
      </c>
      <c r="AI36" s="49">
        <f>資料儲存!J1828</f>
        <v>0</v>
      </c>
      <c r="AJ36" s="13"/>
      <c r="AK36" s="48">
        <v>27</v>
      </c>
      <c r="AL36" s="49">
        <f>資料儲存!D1948</f>
        <v>0</v>
      </c>
      <c r="AM36" s="49">
        <f>資料儲存!E1948</f>
        <v>0</v>
      </c>
      <c r="AN36" s="49">
        <f>資料儲存!F1948</f>
        <v>0</v>
      </c>
      <c r="AO36" s="49">
        <f>資料儲存!G1948</f>
        <v>0</v>
      </c>
      <c r="AP36" s="49">
        <f>資料儲存!H1948</f>
        <v>0</v>
      </c>
      <c r="AQ36" s="49">
        <f>資料儲存!I1948</f>
        <v>0</v>
      </c>
      <c r="AR36" s="49">
        <f>資料儲存!J1948</f>
        <v>0</v>
      </c>
      <c r="AT36" s="48">
        <v>27</v>
      </c>
      <c r="AU36" s="49">
        <f>資料儲存!D2068</f>
        <v>0</v>
      </c>
      <c r="AV36" s="49">
        <f>資料儲存!E2068</f>
        <v>0</v>
      </c>
      <c r="AW36" s="49">
        <f>資料儲存!F2068</f>
        <v>0</v>
      </c>
      <c r="AX36" s="49">
        <f>資料儲存!G2068</f>
        <v>0</v>
      </c>
      <c r="AY36" s="49">
        <f>資料儲存!H2068</f>
        <v>0</v>
      </c>
      <c r="AZ36" s="49">
        <f>資料儲存!I2068</f>
        <v>0</v>
      </c>
      <c r="BA36" s="49">
        <f>資料儲存!J2068</f>
        <v>0</v>
      </c>
    </row>
    <row r="37" spans="1:53" ht="16" thickBot="1">
      <c r="A37" s="48">
        <v>28</v>
      </c>
      <c r="B37" s="49">
        <f>資料儲存!D1469</f>
        <v>0</v>
      </c>
      <c r="C37" s="49">
        <f>資料儲存!E1469</f>
        <v>0</v>
      </c>
      <c r="D37" s="49">
        <f>資料儲存!F1469</f>
        <v>0</v>
      </c>
      <c r="E37" s="49">
        <f>資料儲存!G1469</f>
        <v>0</v>
      </c>
      <c r="F37" s="49">
        <f>資料儲存!H1469</f>
        <v>0</v>
      </c>
      <c r="G37" s="49">
        <f>資料儲存!I1469</f>
        <v>0</v>
      </c>
      <c r="H37" s="49">
        <f>資料儲存!J1469</f>
        <v>0</v>
      </c>
      <c r="I37" s="45"/>
      <c r="J37" s="48">
        <v>28</v>
      </c>
      <c r="K37" s="49">
        <f>資料儲存!D1589</f>
        <v>0</v>
      </c>
      <c r="L37" s="49">
        <f>資料儲存!E1589</f>
        <v>0</v>
      </c>
      <c r="M37" s="49">
        <f>資料儲存!F1589</f>
        <v>0</v>
      </c>
      <c r="N37" s="49">
        <f>資料儲存!G1589</f>
        <v>0</v>
      </c>
      <c r="O37" s="49">
        <f>資料儲存!H1589</f>
        <v>0</v>
      </c>
      <c r="P37" s="49">
        <f>資料儲存!I1589</f>
        <v>0</v>
      </c>
      <c r="Q37" s="49">
        <f>資料儲存!J1589</f>
        <v>0</v>
      </c>
      <c r="R37" s="45"/>
      <c r="S37" s="48">
        <v>28</v>
      </c>
      <c r="T37" s="49">
        <f>資料儲存!D1709</f>
        <v>0</v>
      </c>
      <c r="U37" s="49">
        <f>資料儲存!E1709</f>
        <v>0</v>
      </c>
      <c r="V37" s="49">
        <f>資料儲存!F1709</f>
        <v>0</v>
      </c>
      <c r="W37" s="49">
        <f>資料儲存!G1709</f>
        <v>0</v>
      </c>
      <c r="X37" s="49">
        <f>資料儲存!H1709</f>
        <v>0</v>
      </c>
      <c r="Y37" s="49">
        <f>資料儲存!I1709</f>
        <v>0</v>
      </c>
      <c r="Z37" s="49">
        <f>資料儲存!J1709</f>
        <v>0</v>
      </c>
      <c r="AA37" s="45"/>
      <c r="AB37" s="48">
        <v>28</v>
      </c>
      <c r="AC37" s="49">
        <f>資料儲存!D1829</f>
        <v>0</v>
      </c>
      <c r="AD37" s="49">
        <f>資料儲存!E1829</f>
        <v>0</v>
      </c>
      <c r="AE37" s="49">
        <f>資料儲存!F1829</f>
        <v>0</v>
      </c>
      <c r="AF37" s="49">
        <f>資料儲存!G1829</f>
        <v>0</v>
      </c>
      <c r="AG37" s="49">
        <f>資料儲存!H1829</f>
        <v>0</v>
      </c>
      <c r="AH37" s="49">
        <f>資料儲存!I1829</f>
        <v>0</v>
      </c>
      <c r="AI37" s="49">
        <f>資料儲存!J1829</f>
        <v>0</v>
      </c>
      <c r="AJ37" s="13"/>
      <c r="AK37" s="48">
        <v>28</v>
      </c>
      <c r="AL37" s="49">
        <f>資料儲存!D1949</f>
        <v>0</v>
      </c>
      <c r="AM37" s="49">
        <f>資料儲存!E1949</f>
        <v>0</v>
      </c>
      <c r="AN37" s="49">
        <f>資料儲存!F1949</f>
        <v>0</v>
      </c>
      <c r="AO37" s="49">
        <f>資料儲存!G1949</f>
        <v>0</v>
      </c>
      <c r="AP37" s="49">
        <f>資料儲存!H1949</f>
        <v>0</v>
      </c>
      <c r="AQ37" s="49">
        <f>資料儲存!I1949</f>
        <v>0</v>
      </c>
      <c r="AR37" s="49">
        <f>資料儲存!J1949</f>
        <v>0</v>
      </c>
      <c r="AT37" s="48">
        <v>28</v>
      </c>
      <c r="AU37" s="49">
        <f>資料儲存!D2069</f>
        <v>0</v>
      </c>
      <c r="AV37" s="49">
        <f>資料儲存!E2069</f>
        <v>0</v>
      </c>
      <c r="AW37" s="49">
        <f>資料儲存!F2069</f>
        <v>0</v>
      </c>
      <c r="AX37" s="49">
        <f>資料儲存!G2069</f>
        <v>0</v>
      </c>
      <c r="AY37" s="49">
        <f>資料儲存!H2069</f>
        <v>0</v>
      </c>
      <c r="AZ37" s="49">
        <f>資料儲存!I2069</f>
        <v>0</v>
      </c>
      <c r="BA37" s="49">
        <f>資料儲存!J2069</f>
        <v>0</v>
      </c>
    </row>
    <row r="38" spans="1:53" ht="16" thickBot="1">
      <c r="A38" s="48">
        <v>29</v>
      </c>
      <c r="B38" s="49">
        <f>資料儲存!D1470</f>
        <v>0</v>
      </c>
      <c r="C38" s="49">
        <f>資料儲存!E1470</f>
        <v>0</v>
      </c>
      <c r="D38" s="49">
        <f>資料儲存!F1470</f>
        <v>0</v>
      </c>
      <c r="E38" s="49">
        <f>資料儲存!G1470</f>
        <v>0</v>
      </c>
      <c r="F38" s="49">
        <f>資料儲存!H1470</f>
        <v>0</v>
      </c>
      <c r="G38" s="49">
        <f>資料儲存!I1470</f>
        <v>0</v>
      </c>
      <c r="H38" s="49">
        <f>資料儲存!J1470</f>
        <v>0</v>
      </c>
      <c r="I38" s="45"/>
      <c r="J38" s="48">
        <v>29</v>
      </c>
      <c r="K38" s="49">
        <f>資料儲存!D1590</f>
        <v>0</v>
      </c>
      <c r="L38" s="49">
        <f>資料儲存!E1590</f>
        <v>0</v>
      </c>
      <c r="M38" s="49">
        <f>資料儲存!F1590</f>
        <v>0</v>
      </c>
      <c r="N38" s="49">
        <f>資料儲存!G1590</f>
        <v>0</v>
      </c>
      <c r="O38" s="49">
        <f>資料儲存!H1590</f>
        <v>0</v>
      </c>
      <c r="P38" s="49">
        <f>資料儲存!I1590</f>
        <v>0</v>
      </c>
      <c r="Q38" s="49">
        <f>資料儲存!J1590</f>
        <v>0</v>
      </c>
      <c r="R38" s="45"/>
      <c r="S38" s="48">
        <v>29</v>
      </c>
      <c r="T38" s="49">
        <f>資料儲存!D1710</f>
        <v>0</v>
      </c>
      <c r="U38" s="49">
        <f>資料儲存!E1710</f>
        <v>0</v>
      </c>
      <c r="V38" s="49">
        <f>資料儲存!F1710</f>
        <v>0</v>
      </c>
      <c r="W38" s="49">
        <f>資料儲存!G1710</f>
        <v>0</v>
      </c>
      <c r="X38" s="49">
        <f>資料儲存!H1710</f>
        <v>0</v>
      </c>
      <c r="Y38" s="49">
        <f>資料儲存!I1710</f>
        <v>0</v>
      </c>
      <c r="Z38" s="49">
        <f>資料儲存!J1710</f>
        <v>0</v>
      </c>
      <c r="AA38" s="45"/>
      <c r="AB38" s="48">
        <v>29</v>
      </c>
      <c r="AC38" s="49">
        <f>資料儲存!D1830</f>
        <v>0</v>
      </c>
      <c r="AD38" s="49">
        <f>資料儲存!E1830</f>
        <v>0</v>
      </c>
      <c r="AE38" s="49">
        <f>資料儲存!F1830</f>
        <v>0</v>
      </c>
      <c r="AF38" s="49">
        <f>資料儲存!G1830</f>
        <v>0</v>
      </c>
      <c r="AG38" s="49">
        <f>資料儲存!H1830</f>
        <v>0</v>
      </c>
      <c r="AH38" s="49">
        <f>資料儲存!I1830</f>
        <v>0</v>
      </c>
      <c r="AI38" s="49">
        <f>資料儲存!J1830</f>
        <v>0</v>
      </c>
      <c r="AJ38" s="13"/>
      <c r="AK38" s="48">
        <v>29</v>
      </c>
      <c r="AL38" s="49">
        <f>資料儲存!D1950</f>
        <v>0</v>
      </c>
      <c r="AM38" s="49">
        <f>資料儲存!E1950</f>
        <v>0</v>
      </c>
      <c r="AN38" s="49">
        <f>資料儲存!F1950</f>
        <v>0</v>
      </c>
      <c r="AO38" s="49">
        <f>資料儲存!G1950</f>
        <v>0</v>
      </c>
      <c r="AP38" s="49">
        <f>資料儲存!H1950</f>
        <v>0</v>
      </c>
      <c r="AQ38" s="49">
        <f>資料儲存!I1950</f>
        <v>0</v>
      </c>
      <c r="AR38" s="49">
        <f>資料儲存!J1950</f>
        <v>0</v>
      </c>
      <c r="AT38" s="48">
        <v>29</v>
      </c>
      <c r="AU38" s="49">
        <f>資料儲存!D2070</f>
        <v>0</v>
      </c>
      <c r="AV38" s="49">
        <f>資料儲存!E2070</f>
        <v>0</v>
      </c>
      <c r="AW38" s="49">
        <f>資料儲存!F2070</f>
        <v>0</v>
      </c>
      <c r="AX38" s="49">
        <f>資料儲存!G2070</f>
        <v>0</v>
      </c>
      <c r="AY38" s="49">
        <f>資料儲存!H2070</f>
        <v>0</v>
      </c>
      <c r="AZ38" s="49">
        <f>資料儲存!I2070</f>
        <v>0</v>
      </c>
      <c r="BA38" s="49">
        <f>資料儲存!J2070</f>
        <v>0</v>
      </c>
    </row>
    <row r="39" spans="1:53" ht="16" thickBot="1">
      <c r="A39" s="48">
        <v>30</v>
      </c>
      <c r="B39" s="49">
        <f>資料儲存!D1471</f>
        <v>0</v>
      </c>
      <c r="C39" s="49">
        <f>資料儲存!E1471</f>
        <v>0</v>
      </c>
      <c r="D39" s="49">
        <f>資料儲存!F1471</f>
        <v>0</v>
      </c>
      <c r="E39" s="49">
        <f>資料儲存!G1471</f>
        <v>0</v>
      </c>
      <c r="F39" s="49">
        <f>資料儲存!H1471</f>
        <v>0</v>
      </c>
      <c r="G39" s="49">
        <f>資料儲存!I1471</f>
        <v>0</v>
      </c>
      <c r="H39" s="49">
        <f>資料儲存!J1471</f>
        <v>0</v>
      </c>
      <c r="I39" s="45"/>
      <c r="J39" s="48">
        <v>30</v>
      </c>
      <c r="K39" s="49">
        <f>資料儲存!D1591</f>
        <v>0</v>
      </c>
      <c r="L39" s="49">
        <f>資料儲存!E1591</f>
        <v>0</v>
      </c>
      <c r="M39" s="49">
        <f>資料儲存!F1591</f>
        <v>0</v>
      </c>
      <c r="N39" s="49">
        <f>資料儲存!G1591</f>
        <v>0</v>
      </c>
      <c r="O39" s="49">
        <f>資料儲存!H1591</f>
        <v>0</v>
      </c>
      <c r="P39" s="49">
        <f>資料儲存!I1591</f>
        <v>0</v>
      </c>
      <c r="Q39" s="49">
        <f>資料儲存!J1591</f>
        <v>0</v>
      </c>
      <c r="R39" s="45"/>
      <c r="S39" s="48">
        <v>30</v>
      </c>
      <c r="T39" s="49">
        <f>資料儲存!D1711</f>
        <v>0</v>
      </c>
      <c r="U39" s="49">
        <f>資料儲存!E1711</f>
        <v>0</v>
      </c>
      <c r="V39" s="49">
        <f>資料儲存!F1711</f>
        <v>0</v>
      </c>
      <c r="W39" s="49">
        <f>資料儲存!G1711</f>
        <v>0</v>
      </c>
      <c r="X39" s="49">
        <f>資料儲存!H1711</f>
        <v>0</v>
      </c>
      <c r="Y39" s="49">
        <f>資料儲存!I1711</f>
        <v>0</v>
      </c>
      <c r="Z39" s="49">
        <f>資料儲存!J1711</f>
        <v>0</v>
      </c>
      <c r="AA39" s="45"/>
      <c r="AB39" s="48">
        <v>30</v>
      </c>
      <c r="AC39" s="49">
        <f>資料儲存!D1831</f>
        <v>0</v>
      </c>
      <c r="AD39" s="49">
        <f>資料儲存!E1831</f>
        <v>0</v>
      </c>
      <c r="AE39" s="49">
        <f>資料儲存!F1831</f>
        <v>0</v>
      </c>
      <c r="AF39" s="49">
        <f>資料儲存!G1831</f>
        <v>0</v>
      </c>
      <c r="AG39" s="49">
        <f>資料儲存!H1831</f>
        <v>0</v>
      </c>
      <c r="AH39" s="49">
        <f>資料儲存!I1831</f>
        <v>0</v>
      </c>
      <c r="AI39" s="49">
        <f>資料儲存!J1831</f>
        <v>0</v>
      </c>
      <c r="AJ39" s="13"/>
      <c r="AK39" s="48">
        <v>30</v>
      </c>
      <c r="AL39" s="49">
        <f>資料儲存!D1951</f>
        <v>0</v>
      </c>
      <c r="AM39" s="49">
        <f>資料儲存!E1951</f>
        <v>0</v>
      </c>
      <c r="AN39" s="49">
        <f>資料儲存!F1951</f>
        <v>0</v>
      </c>
      <c r="AO39" s="49">
        <f>資料儲存!G1951</f>
        <v>0</v>
      </c>
      <c r="AP39" s="49">
        <f>資料儲存!H1951</f>
        <v>0</v>
      </c>
      <c r="AQ39" s="49">
        <f>資料儲存!I1951</f>
        <v>0</v>
      </c>
      <c r="AR39" s="49">
        <f>資料儲存!J1951</f>
        <v>0</v>
      </c>
      <c r="AT39" s="48">
        <v>30</v>
      </c>
      <c r="AU39" s="49">
        <f>資料儲存!D2071</f>
        <v>0</v>
      </c>
      <c r="AV39" s="49">
        <f>資料儲存!E2071</f>
        <v>0</v>
      </c>
      <c r="AW39" s="49">
        <f>資料儲存!F2071</f>
        <v>0</v>
      </c>
      <c r="AX39" s="49">
        <f>資料儲存!G2071</f>
        <v>0</v>
      </c>
      <c r="AY39" s="49">
        <f>資料儲存!H2071</f>
        <v>0</v>
      </c>
      <c r="AZ39" s="49">
        <f>資料儲存!I2071</f>
        <v>0</v>
      </c>
      <c r="BA39" s="49">
        <f>資料儲存!J2071</f>
        <v>0</v>
      </c>
    </row>
    <row r="40" spans="1:53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13"/>
      <c r="AK40" s="50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  <c r="AT40" s="50" t="s">
        <v>56</v>
      </c>
      <c r="AU40" s="49">
        <f>SUM(AU25:AX39)</f>
        <v>0</v>
      </c>
      <c r="AV40" s="47"/>
      <c r="AW40" s="47"/>
      <c r="AX40" s="47"/>
      <c r="AY40" s="49">
        <f>AY39</f>
        <v>0</v>
      </c>
      <c r="AZ40" s="49">
        <f>AZ39</f>
        <v>0</v>
      </c>
      <c r="BA40" s="49">
        <f>BA39</f>
        <v>0</v>
      </c>
    </row>
    <row r="41" spans="1:53" ht="18.5" thickBot="1">
      <c r="A41" s="248" t="s">
        <v>93</v>
      </c>
      <c r="B41" s="249"/>
      <c r="C41" s="249"/>
      <c r="D41" s="249"/>
      <c r="E41" s="249"/>
      <c r="F41" s="249"/>
      <c r="G41" s="249"/>
      <c r="H41" s="250"/>
      <c r="I41" s="13"/>
      <c r="J41" s="248" t="s">
        <v>93</v>
      </c>
      <c r="K41" s="249"/>
      <c r="L41" s="249"/>
      <c r="M41" s="249"/>
      <c r="N41" s="249"/>
      <c r="O41" s="249"/>
      <c r="P41" s="249"/>
      <c r="Q41" s="250"/>
      <c r="R41" s="13"/>
      <c r="S41" s="248" t="s">
        <v>93</v>
      </c>
      <c r="T41" s="249"/>
      <c r="U41" s="249"/>
      <c r="V41" s="249"/>
      <c r="W41" s="249"/>
      <c r="X41" s="249"/>
      <c r="Y41" s="249"/>
      <c r="Z41" s="250"/>
      <c r="AA41" s="13"/>
      <c r="AB41" s="248" t="s">
        <v>93</v>
      </c>
      <c r="AC41" s="249"/>
      <c r="AD41" s="249"/>
      <c r="AE41" s="249"/>
      <c r="AF41" s="249"/>
      <c r="AG41" s="249"/>
      <c r="AH41" s="249"/>
      <c r="AI41" s="250"/>
      <c r="AJ41" s="13"/>
      <c r="AK41" s="248" t="s">
        <v>93</v>
      </c>
      <c r="AL41" s="249"/>
      <c r="AM41" s="249"/>
      <c r="AN41" s="249"/>
      <c r="AO41" s="249"/>
      <c r="AP41" s="249"/>
      <c r="AQ41" s="249"/>
      <c r="AR41" s="250"/>
      <c r="AT41" s="248" t="s">
        <v>93</v>
      </c>
      <c r="AU41" s="249"/>
      <c r="AV41" s="249"/>
      <c r="AW41" s="249"/>
      <c r="AX41" s="249"/>
      <c r="AY41" s="249"/>
      <c r="AZ41" s="249"/>
      <c r="BA41" s="250"/>
    </row>
    <row r="42" spans="1:53" ht="17.25" customHeight="1" thickBot="1">
      <c r="A42" s="31" t="s">
        <v>2</v>
      </c>
      <c r="B42" s="32" t="s">
        <v>46</v>
      </c>
      <c r="C42" s="33"/>
      <c r="D42" s="33"/>
      <c r="E42" s="34"/>
      <c r="F42" s="32" t="s">
        <v>47</v>
      </c>
      <c r="G42" s="33"/>
      <c r="H42" s="34"/>
      <c r="I42" s="35"/>
      <c r="J42" s="31" t="s">
        <v>2</v>
      </c>
      <c r="K42" s="32" t="s">
        <v>46</v>
      </c>
      <c r="L42" s="33"/>
      <c r="M42" s="33"/>
      <c r="N42" s="34"/>
      <c r="O42" s="32" t="s">
        <v>47</v>
      </c>
      <c r="P42" s="33"/>
      <c r="Q42" s="34"/>
      <c r="R42" s="35"/>
      <c r="S42" s="31" t="s">
        <v>2</v>
      </c>
      <c r="T42" s="32" t="s">
        <v>46</v>
      </c>
      <c r="U42" s="33"/>
      <c r="V42" s="33"/>
      <c r="W42" s="34"/>
      <c r="X42" s="32" t="s">
        <v>47</v>
      </c>
      <c r="Y42" s="33"/>
      <c r="Z42" s="34"/>
      <c r="AA42" s="35"/>
      <c r="AB42" s="31" t="s">
        <v>2</v>
      </c>
      <c r="AC42" s="32" t="s">
        <v>46</v>
      </c>
      <c r="AD42" s="33"/>
      <c r="AE42" s="33"/>
      <c r="AF42" s="34"/>
      <c r="AG42" s="32" t="s">
        <v>47</v>
      </c>
      <c r="AH42" s="33"/>
      <c r="AI42" s="34"/>
      <c r="AJ42" s="13"/>
      <c r="AK42" s="31" t="s">
        <v>2</v>
      </c>
      <c r="AL42" s="32" t="s">
        <v>46</v>
      </c>
      <c r="AM42" s="33"/>
      <c r="AN42" s="33"/>
      <c r="AO42" s="34"/>
      <c r="AP42" s="32" t="s">
        <v>47</v>
      </c>
      <c r="AQ42" s="33"/>
      <c r="AR42" s="34"/>
      <c r="AT42" s="31" t="s">
        <v>2</v>
      </c>
      <c r="AU42" s="32" t="s">
        <v>46</v>
      </c>
      <c r="AV42" s="33"/>
      <c r="AW42" s="33"/>
      <c r="AX42" s="34"/>
      <c r="AY42" s="32" t="s">
        <v>47</v>
      </c>
      <c r="AZ42" s="33"/>
      <c r="BA42" s="34"/>
    </row>
    <row r="43" spans="1:53" ht="16" thickBot="1">
      <c r="A43" s="36">
        <v>0.47916666666666669</v>
      </c>
      <c r="B43" s="37" t="s">
        <v>49</v>
      </c>
      <c r="C43" s="37" t="s">
        <v>50</v>
      </c>
      <c r="D43" s="37" t="s">
        <v>51</v>
      </c>
      <c r="E43" s="37" t="s">
        <v>52</v>
      </c>
      <c r="F43" s="37" t="s">
        <v>53</v>
      </c>
      <c r="G43" s="37" t="s">
        <v>54</v>
      </c>
      <c r="H43" s="37" t="s">
        <v>55</v>
      </c>
      <c r="I43" s="35"/>
      <c r="J43" s="36">
        <v>0.47916666666666669</v>
      </c>
      <c r="K43" s="37" t="s">
        <v>49</v>
      </c>
      <c r="L43" s="37" t="s">
        <v>50</v>
      </c>
      <c r="M43" s="37" t="s">
        <v>51</v>
      </c>
      <c r="N43" s="37" t="s">
        <v>52</v>
      </c>
      <c r="O43" s="37" t="s">
        <v>53</v>
      </c>
      <c r="P43" s="37" t="s">
        <v>54</v>
      </c>
      <c r="Q43" s="37" t="s">
        <v>55</v>
      </c>
      <c r="R43" s="35"/>
      <c r="S43" s="36">
        <v>0.47916666666666669</v>
      </c>
      <c r="T43" s="37" t="s">
        <v>49</v>
      </c>
      <c r="U43" s="37" t="s">
        <v>50</v>
      </c>
      <c r="V43" s="37" t="s">
        <v>51</v>
      </c>
      <c r="W43" s="37" t="s">
        <v>52</v>
      </c>
      <c r="X43" s="37" t="s">
        <v>53</v>
      </c>
      <c r="Y43" s="37" t="s">
        <v>54</v>
      </c>
      <c r="Z43" s="37" t="s">
        <v>55</v>
      </c>
      <c r="AA43" s="35"/>
      <c r="AB43" s="36">
        <v>0.47916666666666669</v>
      </c>
      <c r="AC43" s="37" t="s">
        <v>49</v>
      </c>
      <c r="AD43" s="37" t="s">
        <v>50</v>
      </c>
      <c r="AE43" s="37" t="s">
        <v>51</v>
      </c>
      <c r="AF43" s="37" t="s">
        <v>52</v>
      </c>
      <c r="AG43" s="37" t="s">
        <v>53</v>
      </c>
      <c r="AH43" s="37" t="s">
        <v>54</v>
      </c>
      <c r="AI43" s="37" t="s">
        <v>55</v>
      </c>
      <c r="AJ43" s="13"/>
      <c r="AK43" s="36">
        <v>0.47916666666666669</v>
      </c>
      <c r="AL43" s="37" t="s">
        <v>49</v>
      </c>
      <c r="AM43" s="37" t="s">
        <v>50</v>
      </c>
      <c r="AN43" s="37" t="s">
        <v>51</v>
      </c>
      <c r="AO43" s="37" t="s">
        <v>52</v>
      </c>
      <c r="AP43" s="37" t="s">
        <v>53</v>
      </c>
      <c r="AQ43" s="37" t="s">
        <v>54</v>
      </c>
      <c r="AR43" s="37" t="s">
        <v>55</v>
      </c>
      <c r="AT43" s="36">
        <v>0.47916666666666669</v>
      </c>
      <c r="AU43" s="37" t="s">
        <v>49</v>
      </c>
      <c r="AV43" s="37" t="s">
        <v>50</v>
      </c>
      <c r="AW43" s="37" t="s">
        <v>51</v>
      </c>
      <c r="AX43" s="37" t="s">
        <v>52</v>
      </c>
      <c r="AY43" s="37" t="s">
        <v>53</v>
      </c>
      <c r="AZ43" s="37" t="s">
        <v>54</v>
      </c>
      <c r="BA43" s="37" t="s">
        <v>55</v>
      </c>
    </row>
    <row r="44" spans="1:53" ht="16" thickBot="1">
      <c r="A44" s="38">
        <v>31</v>
      </c>
      <c r="B44" s="39">
        <f>資料儲存!D1472</f>
        <v>0</v>
      </c>
      <c r="C44" s="39">
        <f>資料儲存!E1472</f>
        <v>0</v>
      </c>
      <c r="D44" s="39">
        <f>資料儲存!F1472</f>
        <v>0</v>
      </c>
      <c r="E44" s="39">
        <f>資料儲存!G1472</f>
        <v>0</v>
      </c>
      <c r="F44" s="39">
        <f>資料儲存!H1472</f>
        <v>0</v>
      </c>
      <c r="G44" s="39">
        <f>資料儲存!I1472</f>
        <v>0</v>
      </c>
      <c r="H44" s="39">
        <f>資料儲存!J1472</f>
        <v>0</v>
      </c>
      <c r="I44" s="35"/>
      <c r="J44" s="38">
        <v>31</v>
      </c>
      <c r="K44" s="39">
        <f>資料儲存!D1592</f>
        <v>0</v>
      </c>
      <c r="L44" s="39">
        <f>資料儲存!E1592</f>
        <v>0</v>
      </c>
      <c r="M44" s="39">
        <f>資料儲存!F1592</f>
        <v>0</v>
      </c>
      <c r="N44" s="39">
        <f>資料儲存!G1592</f>
        <v>0</v>
      </c>
      <c r="O44" s="39">
        <f>資料儲存!H1592</f>
        <v>0</v>
      </c>
      <c r="P44" s="39">
        <f>資料儲存!I1592</f>
        <v>0</v>
      </c>
      <c r="Q44" s="39">
        <f>資料儲存!J1592</f>
        <v>0</v>
      </c>
      <c r="R44" s="35"/>
      <c r="S44" s="38">
        <v>31</v>
      </c>
      <c r="T44" s="39">
        <f>資料儲存!D1712</f>
        <v>0</v>
      </c>
      <c r="U44" s="39">
        <f>資料儲存!E1712</f>
        <v>0</v>
      </c>
      <c r="V44" s="39">
        <f>資料儲存!F1712</f>
        <v>0</v>
      </c>
      <c r="W44" s="39">
        <f>資料儲存!G1712</f>
        <v>0</v>
      </c>
      <c r="X44" s="39">
        <f>資料儲存!H1712</f>
        <v>0</v>
      </c>
      <c r="Y44" s="39">
        <f>資料儲存!I1712</f>
        <v>0</v>
      </c>
      <c r="Z44" s="39">
        <f>資料儲存!J1712</f>
        <v>0</v>
      </c>
      <c r="AA44" s="35"/>
      <c r="AB44" s="38">
        <v>31</v>
      </c>
      <c r="AC44" s="39">
        <f>資料儲存!D1832</f>
        <v>0</v>
      </c>
      <c r="AD44" s="39">
        <f>資料儲存!E1832</f>
        <v>0</v>
      </c>
      <c r="AE44" s="39">
        <f>資料儲存!F1832</f>
        <v>0</v>
      </c>
      <c r="AF44" s="39">
        <f>資料儲存!G1832</f>
        <v>0</v>
      </c>
      <c r="AG44" s="39">
        <f>資料儲存!H1832</f>
        <v>0</v>
      </c>
      <c r="AH44" s="39">
        <f>資料儲存!I1832</f>
        <v>0</v>
      </c>
      <c r="AI44" s="39">
        <f>資料儲存!J1832</f>
        <v>0</v>
      </c>
      <c r="AJ44" s="13"/>
      <c r="AK44" s="38">
        <v>31</v>
      </c>
      <c r="AL44" s="39">
        <f>資料儲存!D1952</f>
        <v>0</v>
      </c>
      <c r="AM44" s="39">
        <f>資料儲存!E1952</f>
        <v>0</v>
      </c>
      <c r="AN44" s="39">
        <f>資料儲存!F1952</f>
        <v>0</v>
      </c>
      <c r="AO44" s="39">
        <f>資料儲存!G1952</f>
        <v>0</v>
      </c>
      <c r="AP44" s="39">
        <f>資料儲存!H1952</f>
        <v>0</v>
      </c>
      <c r="AQ44" s="39">
        <f>資料儲存!I1952</f>
        <v>0</v>
      </c>
      <c r="AR44" s="39">
        <f>資料儲存!J1952</f>
        <v>0</v>
      </c>
      <c r="AT44" s="38">
        <v>31</v>
      </c>
      <c r="AU44" s="39">
        <f>資料儲存!D2072</f>
        <v>0</v>
      </c>
      <c r="AV44" s="39">
        <f>資料儲存!E2072</f>
        <v>0</v>
      </c>
      <c r="AW44" s="39">
        <f>資料儲存!F2072</f>
        <v>0</v>
      </c>
      <c r="AX44" s="39">
        <f>資料儲存!G2072</f>
        <v>0</v>
      </c>
      <c r="AY44" s="39">
        <f>資料儲存!H2072</f>
        <v>0</v>
      </c>
      <c r="AZ44" s="39">
        <f>資料儲存!I2072</f>
        <v>0</v>
      </c>
      <c r="BA44" s="39">
        <f>資料儲存!J2072</f>
        <v>0</v>
      </c>
    </row>
    <row r="45" spans="1:53" ht="16" thickBot="1">
      <c r="A45" s="38">
        <v>32</v>
      </c>
      <c r="B45" s="39">
        <f>資料儲存!D1473</f>
        <v>0</v>
      </c>
      <c r="C45" s="39">
        <f>資料儲存!E1473</f>
        <v>0</v>
      </c>
      <c r="D45" s="39">
        <f>資料儲存!F1473</f>
        <v>0</v>
      </c>
      <c r="E45" s="39">
        <f>資料儲存!G1473</f>
        <v>0</v>
      </c>
      <c r="F45" s="39">
        <f>資料儲存!H1473</f>
        <v>0</v>
      </c>
      <c r="G45" s="39">
        <f>資料儲存!I1473</f>
        <v>0</v>
      </c>
      <c r="H45" s="39">
        <f>資料儲存!J1473</f>
        <v>0</v>
      </c>
      <c r="I45" s="35"/>
      <c r="J45" s="38">
        <v>32</v>
      </c>
      <c r="K45" s="39">
        <f>資料儲存!D1593</f>
        <v>0</v>
      </c>
      <c r="L45" s="39">
        <f>資料儲存!E1593</f>
        <v>0</v>
      </c>
      <c r="M45" s="39">
        <f>資料儲存!F1593</f>
        <v>0</v>
      </c>
      <c r="N45" s="39">
        <f>資料儲存!G1593</f>
        <v>0</v>
      </c>
      <c r="O45" s="39">
        <f>資料儲存!H1593</f>
        <v>0</v>
      </c>
      <c r="P45" s="39">
        <f>資料儲存!I1593</f>
        <v>0</v>
      </c>
      <c r="Q45" s="39">
        <f>資料儲存!J1593</f>
        <v>0</v>
      </c>
      <c r="R45" s="35"/>
      <c r="S45" s="38">
        <v>32</v>
      </c>
      <c r="T45" s="39">
        <f>資料儲存!D1713</f>
        <v>0</v>
      </c>
      <c r="U45" s="39">
        <f>資料儲存!E1713</f>
        <v>0</v>
      </c>
      <c r="V45" s="39">
        <f>資料儲存!F1713</f>
        <v>0</v>
      </c>
      <c r="W45" s="39">
        <f>資料儲存!G1713</f>
        <v>0</v>
      </c>
      <c r="X45" s="39">
        <f>資料儲存!H1713</f>
        <v>0</v>
      </c>
      <c r="Y45" s="39">
        <f>資料儲存!I1713</f>
        <v>0</v>
      </c>
      <c r="Z45" s="39">
        <f>資料儲存!J1713</f>
        <v>0</v>
      </c>
      <c r="AA45" s="35"/>
      <c r="AB45" s="38">
        <v>32</v>
      </c>
      <c r="AC45" s="39">
        <f>資料儲存!D1833</f>
        <v>0</v>
      </c>
      <c r="AD45" s="39">
        <f>資料儲存!E1833</f>
        <v>0</v>
      </c>
      <c r="AE45" s="39">
        <f>資料儲存!F1833</f>
        <v>0</v>
      </c>
      <c r="AF45" s="39">
        <f>資料儲存!G1833</f>
        <v>0</v>
      </c>
      <c r="AG45" s="39">
        <f>資料儲存!H1833</f>
        <v>0</v>
      </c>
      <c r="AH45" s="39">
        <f>資料儲存!I1833</f>
        <v>0</v>
      </c>
      <c r="AI45" s="39">
        <f>資料儲存!J1833</f>
        <v>0</v>
      </c>
      <c r="AJ45" s="13"/>
      <c r="AK45" s="38">
        <v>32</v>
      </c>
      <c r="AL45" s="39">
        <f>資料儲存!D1953</f>
        <v>0</v>
      </c>
      <c r="AM45" s="39">
        <f>資料儲存!E1953</f>
        <v>0</v>
      </c>
      <c r="AN45" s="39">
        <f>資料儲存!F1953</f>
        <v>0</v>
      </c>
      <c r="AO45" s="39">
        <f>資料儲存!G1953</f>
        <v>0</v>
      </c>
      <c r="AP45" s="39">
        <f>資料儲存!H1953</f>
        <v>0</v>
      </c>
      <c r="AQ45" s="39">
        <f>資料儲存!I1953</f>
        <v>0</v>
      </c>
      <c r="AR45" s="39">
        <f>資料儲存!J1953</f>
        <v>0</v>
      </c>
      <c r="AT45" s="38">
        <v>32</v>
      </c>
      <c r="AU45" s="39">
        <f>資料儲存!D2073</f>
        <v>0</v>
      </c>
      <c r="AV45" s="39">
        <f>資料儲存!E2073</f>
        <v>0</v>
      </c>
      <c r="AW45" s="39">
        <f>資料儲存!F2073</f>
        <v>0</v>
      </c>
      <c r="AX45" s="39">
        <f>資料儲存!G2073</f>
        <v>0</v>
      </c>
      <c r="AY45" s="39">
        <f>資料儲存!H2073</f>
        <v>0</v>
      </c>
      <c r="AZ45" s="39">
        <f>資料儲存!I2073</f>
        <v>0</v>
      </c>
      <c r="BA45" s="39">
        <f>資料儲存!J2073</f>
        <v>0</v>
      </c>
    </row>
    <row r="46" spans="1:53" ht="16" thickBot="1">
      <c r="A46" s="38">
        <v>33</v>
      </c>
      <c r="B46" s="39">
        <f>資料儲存!D1474</f>
        <v>0</v>
      </c>
      <c r="C46" s="39">
        <f>資料儲存!E1474</f>
        <v>0</v>
      </c>
      <c r="D46" s="39">
        <f>資料儲存!F1474</f>
        <v>0</v>
      </c>
      <c r="E46" s="39">
        <f>資料儲存!G1474</f>
        <v>0</v>
      </c>
      <c r="F46" s="39">
        <f>資料儲存!H1474</f>
        <v>0</v>
      </c>
      <c r="G46" s="39">
        <f>資料儲存!I1474</f>
        <v>0</v>
      </c>
      <c r="H46" s="39">
        <f>資料儲存!J1474</f>
        <v>0</v>
      </c>
      <c r="I46" s="35"/>
      <c r="J46" s="38">
        <v>33</v>
      </c>
      <c r="K46" s="39">
        <f>資料儲存!D1594</f>
        <v>0</v>
      </c>
      <c r="L46" s="39">
        <f>資料儲存!E1594</f>
        <v>0</v>
      </c>
      <c r="M46" s="39">
        <f>資料儲存!F1594</f>
        <v>0</v>
      </c>
      <c r="N46" s="39">
        <f>資料儲存!G1594</f>
        <v>0</v>
      </c>
      <c r="O46" s="39">
        <f>資料儲存!H1594</f>
        <v>0</v>
      </c>
      <c r="P46" s="39">
        <f>資料儲存!I1594</f>
        <v>0</v>
      </c>
      <c r="Q46" s="39">
        <f>資料儲存!J1594</f>
        <v>0</v>
      </c>
      <c r="R46" s="35"/>
      <c r="S46" s="38">
        <v>33</v>
      </c>
      <c r="T46" s="39">
        <f>資料儲存!D1714</f>
        <v>0</v>
      </c>
      <c r="U46" s="39">
        <f>資料儲存!E1714</f>
        <v>0</v>
      </c>
      <c r="V46" s="39">
        <f>資料儲存!F1714</f>
        <v>0</v>
      </c>
      <c r="W46" s="39">
        <f>資料儲存!G1714</f>
        <v>0</v>
      </c>
      <c r="X46" s="39">
        <f>資料儲存!H1714</f>
        <v>0</v>
      </c>
      <c r="Y46" s="39">
        <f>資料儲存!I1714</f>
        <v>0</v>
      </c>
      <c r="Z46" s="39">
        <f>資料儲存!J1714</f>
        <v>0</v>
      </c>
      <c r="AA46" s="35"/>
      <c r="AB46" s="38">
        <v>33</v>
      </c>
      <c r="AC46" s="39">
        <f>資料儲存!D1834</f>
        <v>0</v>
      </c>
      <c r="AD46" s="39">
        <f>資料儲存!E1834</f>
        <v>0</v>
      </c>
      <c r="AE46" s="39">
        <f>資料儲存!F1834</f>
        <v>0</v>
      </c>
      <c r="AF46" s="39">
        <f>資料儲存!G1834</f>
        <v>0</v>
      </c>
      <c r="AG46" s="39">
        <f>資料儲存!H1834</f>
        <v>0</v>
      </c>
      <c r="AH46" s="39">
        <f>資料儲存!I1834</f>
        <v>0</v>
      </c>
      <c r="AI46" s="39">
        <f>資料儲存!J1834</f>
        <v>0</v>
      </c>
      <c r="AJ46" s="13"/>
      <c r="AK46" s="38">
        <v>33</v>
      </c>
      <c r="AL46" s="39">
        <f>資料儲存!D1954</f>
        <v>0</v>
      </c>
      <c r="AM46" s="39">
        <f>資料儲存!E1954</f>
        <v>0</v>
      </c>
      <c r="AN46" s="39">
        <f>資料儲存!F1954</f>
        <v>0</v>
      </c>
      <c r="AO46" s="39">
        <f>資料儲存!G1954</f>
        <v>0</v>
      </c>
      <c r="AP46" s="39">
        <f>資料儲存!H1954</f>
        <v>0</v>
      </c>
      <c r="AQ46" s="39">
        <f>資料儲存!I1954</f>
        <v>0</v>
      </c>
      <c r="AR46" s="39">
        <f>資料儲存!J1954</f>
        <v>0</v>
      </c>
      <c r="AT46" s="38">
        <v>33</v>
      </c>
      <c r="AU46" s="39">
        <f>資料儲存!D2074</f>
        <v>0</v>
      </c>
      <c r="AV46" s="39">
        <f>資料儲存!E2074</f>
        <v>0</v>
      </c>
      <c r="AW46" s="39">
        <f>資料儲存!F2074</f>
        <v>0</v>
      </c>
      <c r="AX46" s="39">
        <f>資料儲存!G2074</f>
        <v>0</v>
      </c>
      <c r="AY46" s="39">
        <f>資料儲存!H2074</f>
        <v>0</v>
      </c>
      <c r="AZ46" s="39">
        <f>資料儲存!I2074</f>
        <v>0</v>
      </c>
      <c r="BA46" s="39">
        <f>資料儲存!J2074</f>
        <v>0</v>
      </c>
    </row>
    <row r="47" spans="1:53" ht="16" thickBot="1">
      <c r="A47" s="38">
        <v>34</v>
      </c>
      <c r="B47" s="39">
        <f>資料儲存!D1475</f>
        <v>0</v>
      </c>
      <c r="C47" s="39">
        <f>資料儲存!E1475</f>
        <v>0</v>
      </c>
      <c r="D47" s="39">
        <f>資料儲存!F1475</f>
        <v>0</v>
      </c>
      <c r="E47" s="39">
        <f>資料儲存!G1475</f>
        <v>0</v>
      </c>
      <c r="F47" s="39">
        <f>資料儲存!H1475</f>
        <v>0</v>
      </c>
      <c r="G47" s="39">
        <f>資料儲存!I1475</f>
        <v>0</v>
      </c>
      <c r="H47" s="39">
        <f>資料儲存!J1475</f>
        <v>0</v>
      </c>
      <c r="I47" s="35"/>
      <c r="J47" s="38">
        <v>34</v>
      </c>
      <c r="K47" s="39">
        <f>資料儲存!D1595</f>
        <v>0</v>
      </c>
      <c r="L47" s="39">
        <f>資料儲存!E1595</f>
        <v>0</v>
      </c>
      <c r="M47" s="39">
        <f>資料儲存!F1595</f>
        <v>0</v>
      </c>
      <c r="N47" s="39">
        <f>資料儲存!G1595</f>
        <v>0</v>
      </c>
      <c r="O47" s="39">
        <f>資料儲存!H1595</f>
        <v>0</v>
      </c>
      <c r="P47" s="39">
        <f>資料儲存!I1595</f>
        <v>0</v>
      </c>
      <c r="Q47" s="39">
        <f>資料儲存!J1595</f>
        <v>0</v>
      </c>
      <c r="R47" s="35"/>
      <c r="S47" s="38">
        <v>34</v>
      </c>
      <c r="T47" s="39">
        <f>資料儲存!D1715</f>
        <v>0</v>
      </c>
      <c r="U47" s="39">
        <f>資料儲存!E1715</f>
        <v>0</v>
      </c>
      <c r="V47" s="39">
        <f>資料儲存!F1715</f>
        <v>0</v>
      </c>
      <c r="W47" s="39">
        <f>資料儲存!G1715</f>
        <v>0</v>
      </c>
      <c r="X47" s="39">
        <f>資料儲存!H1715</f>
        <v>0</v>
      </c>
      <c r="Y47" s="39">
        <f>資料儲存!I1715</f>
        <v>0</v>
      </c>
      <c r="Z47" s="39">
        <f>資料儲存!J1715</f>
        <v>0</v>
      </c>
      <c r="AA47" s="35"/>
      <c r="AB47" s="38">
        <v>34</v>
      </c>
      <c r="AC47" s="39">
        <f>資料儲存!D1835</f>
        <v>0</v>
      </c>
      <c r="AD47" s="39">
        <f>資料儲存!E1835</f>
        <v>0</v>
      </c>
      <c r="AE47" s="39">
        <f>資料儲存!F1835</f>
        <v>0</v>
      </c>
      <c r="AF47" s="39">
        <f>資料儲存!G1835</f>
        <v>0</v>
      </c>
      <c r="AG47" s="39">
        <f>資料儲存!H1835</f>
        <v>0</v>
      </c>
      <c r="AH47" s="39">
        <f>資料儲存!I1835</f>
        <v>0</v>
      </c>
      <c r="AI47" s="39">
        <f>資料儲存!J1835</f>
        <v>0</v>
      </c>
      <c r="AJ47" s="13"/>
      <c r="AK47" s="38">
        <v>34</v>
      </c>
      <c r="AL47" s="39">
        <f>資料儲存!D1955</f>
        <v>0</v>
      </c>
      <c r="AM47" s="39">
        <f>資料儲存!E1955</f>
        <v>0</v>
      </c>
      <c r="AN47" s="39">
        <f>資料儲存!F1955</f>
        <v>0</v>
      </c>
      <c r="AO47" s="39">
        <f>資料儲存!G1955</f>
        <v>0</v>
      </c>
      <c r="AP47" s="39">
        <f>資料儲存!H1955</f>
        <v>0</v>
      </c>
      <c r="AQ47" s="39">
        <f>資料儲存!I1955</f>
        <v>0</v>
      </c>
      <c r="AR47" s="39">
        <f>資料儲存!J1955</f>
        <v>0</v>
      </c>
      <c r="AT47" s="38">
        <v>34</v>
      </c>
      <c r="AU47" s="39">
        <f>資料儲存!D2075</f>
        <v>0</v>
      </c>
      <c r="AV47" s="39">
        <f>資料儲存!E2075</f>
        <v>0</v>
      </c>
      <c r="AW47" s="39">
        <f>資料儲存!F2075</f>
        <v>0</v>
      </c>
      <c r="AX47" s="39">
        <f>資料儲存!G2075</f>
        <v>0</v>
      </c>
      <c r="AY47" s="39">
        <f>資料儲存!H2075</f>
        <v>0</v>
      </c>
      <c r="AZ47" s="39">
        <f>資料儲存!I2075</f>
        <v>0</v>
      </c>
      <c r="BA47" s="39">
        <f>資料儲存!J2075</f>
        <v>0</v>
      </c>
    </row>
    <row r="48" spans="1:53" ht="16" thickBot="1">
      <c r="A48" s="38">
        <v>35</v>
      </c>
      <c r="B48" s="39">
        <f>資料儲存!D1476</f>
        <v>0</v>
      </c>
      <c r="C48" s="39">
        <f>資料儲存!E1476</f>
        <v>0</v>
      </c>
      <c r="D48" s="39">
        <f>資料儲存!F1476</f>
        <v>0</v>
      </c>
      <c r="E48" s="39">
        <f>資料儲存!G1476</f>
        <v>0</v>
      </c>
      <c r="F48" s="39">
        <f>資料儲存!H1476</f>
        <v>0</v>
      </c>
      <c r="G48" s="39">
        <f>資料儲存!I1476</f>
        <v>0</v>
      </c>
      <c r="H48" s="39">
        <f>資料儲存!J1476</f>
        <v>0</v>
      </c>
      <c r="I48" s="35"/>
      <c r="J48" s="38">
        <v>35</v>
      </c>
      <c r="K48" s="39">
        <f>資料儲存!D1596</f>
        <v>0</v>
      </c>
      <c r="L48" s="39">
        <f>資料儲存!E1596</f>
        <v>0</v>
      </c>
      <c r="M48" s="39">
        <f>資料儲存!F1596</f>
        <v>0</v>
      </c>
      <c r="N48" s="39">
        <f>資料儲存!G1596</f>
        <v>0</v>
      </c>
      <c r="O48" s="39">
        <f>資料儲存!H1596</f>
        <v>0</v>
      </c>
      <c r="P48" s="39">
        <f>資料儲存!I1596</f>
        <v>0</v>
      </c>
      <c r="Q48" s="39">
        <f>資料儲存!J1596</f>
        <v>0</v>
      </c>
      <c r="R48" s="35"/>
      <c r="S48" s="38">
        <v>35</v>
      </c>
      <c r="T48" s="39">
        <f>資料儲存!D1716</f>
        <v>0</v>
      </c>
      <c r="U48" s="39">
        <f>資料儲存!E1716</f>
        <v>0</v>
      </c>
      <c r="V48" s="39">
        <f>資料儲存!F1716</f>
        <v>0</v>
      </c>
      <c r="W48" s="39">
        <f>資料儲存!G1716</f>
        <v>0</v>
      </c>
      <c r="X48" s="39">
        <f>資料儲存!H1716</f>
        <v>0</v>
      </c>
      <c r="Y48" s="39">
        <f>資料儲存!I1716</f>
        <v>0</v>
      </c>
      <c r="Z48" s="39">
        <f>資料儲存!J1716</f>
        <v>0</v>
      </c>
      <c r="AA48" s="35"/>
      <c r="AB48" s="38">
        <v>35</v>
      </c>
      <c r="AC48" s="39">
        <f>資料儲存!D1836</f>
        <v>0</v>
      </c>
      <c r="AD48" s="39">
        <f>資料儲存!E1836</f>
        <v>0</v>
      </c>
      <c r="AE48" s="39">
        <f>資料儲存!F1836</f>
        <v>0</v>
      </c>
      <c r="AF48" s="39">
        <f>資料儲存!G1836</f>
        <v>0</v>
      </c>
      <c r="AG48" s="39">
        <f>資料儲存!H1836</f>
        <v>0</v>
      </c>
      <c r="AH48" s="39">
        <f>資料儲存!I1836</f>
        <v>0</v>
      </c>
      <c r="AI48" s="39">
        <f>資料儲存!J1836</f>
        <v>0</v>
      </c>
      <c r="AJ48" s="13"/>
      <c r="AK48" s="38">
        <v>35</v>
      </c>
      <c r="AL48" s="39">
        <f>資料儲存!D1956</f>
        <v>0</v>
      </c>
      <c r="AM48" s="39">
        <f>資料儲存!E1956</f>
        <v>0</v>
      </c>
      <c r="AN48" s="39">
        <f>資料儲存!F1956</f>
        <v>0</v>
      </c>
      <c r="AO48" s="39">
        <f>資料儲存!G1956</f>
        <v>0</v>
      </c>
      <c r="AP48" s="39">
        <f>資料儲存!H1956</f>
        <v>0</v>
      </c>
      <c r="AQ48" s="39">
        <f>資料儲存!I1956</f>
        <v>0</v>
      </c>
      <c r="AR48" s="39">
        <f>資料儲存!J1956</f>
        <v>0</v>
      </c>
      <c r="AT48" s="38">
        <v>35</v>
      </c>
      <c r="AU48" s="39">
        <f>資料儲存!D2076</f>
        <v>0</v>
      </c>
      <c r="AV48" s="39">
        <f>資料儲存!E2076</f>
        <v>0</v>
      </c>
      <c r="AW48" s="39">
        <f>資料儲存!F2076</f>
        <v>0</v>
      </c>
      <c r="AX48" s="39">
        <f>資料儲存!G2076</f>
        <v>0</v>
      </c>
      <c r="AY48" s="39">
        <f>資料儲存!H2076</f>
        <v>0</v>
      </c>
      <c r="AZ48" s="39">
        <f>資料儲存!I2076</f>
        <v>0</v>
      </c>
      <c r="BA48" s="39">
        <f>資料儲存!J2076</f>
        <v>0</v>
      </c>
    </row>
    <row r="49" spans="1:53" ht="16" thickBot="1">
      <c r="A49" s="38">
        <v>36</v>
      </c>
      <c r="B49" s="39">
        <f>資料儲存!D1477</f>
        <v>0</v>
      </c>
      <c r="C49" s="39">
        <f>資料儲存!E1477</f>
        <v>0</v>
      </c>
      <c r="D49" s="39">
        <f>資料儲存!F1477</f>
        <v>0</v>
      </c>
      <c r="E49" s="39">
        <f>資料儲存!G1477</f>
        <v>0</v>
      </c>
      <c r="F49" s="39">
        <f>資料儲存!H1477</f>
        <v>0</v>
      </c>
      <c r="G49" s="39">
        <f>資料儲存!I1477</f>
        <v>0</v>
      </c>
      <c r="H49" s="39">
        <f>資料儲存!J1477</f>
        <v>0</v>
      </c>
      <c r="I49" s="35"/>
      <c r="J49" s="38">
        <v>36</v>
      </c>
      <c r="K49" s="39">
        <f>資料儲存!D1597</f>
        <v>0</v>
      </c>
      <c r="L49" s="39">
        <f>資料儲存!E1597</f>
        <v>0</v>
      </c>
      <c r="M49" s="39">
        <f>資料儲存!F1597</f>
        <v>0</v>
      </c>
      <c r="N49" s="39">
        <f>資料儲存!G1597</f>
        <v>0</v>
      </c>
      <c r="O49" s="39">
        <f>資料儲存!H1597</f>
        <v>0</v>
      </c>
      <c r="P49" s="39">
        <f>資料儲存!I1597</f>
        <v>0</v>
      </c>
      <c r="Q49" s="39">
        <f>資料儲存!J1597</f>
        <v>0</v>
      </c>
      <c r="R49" s="35"/>
      <c r="S49" s="38">
        <v>36</v>
      </c>
      <c r="T49" s="39">
        <f>資料儲存!D1717</f>
        <v>0</v>
      </c>
      <c r="U49" s="39">
        <f>資料儲存!E1717</f>
        <v>0</v>
      </c>
      <c r="V49" s="39">
        <f>資料儲存!F1717</f>
        <v>0</v>
      </c>
      <c r="W49" s="39">
        <f>資料儲存!G1717</f>
        <v>0</v>
      </c>
      <c r="X49" s="39">
        <f>資料儲存!H1717</f>
        <v>0</v>
      </c>
      <c r="Y49" s="39">
        <f>資料儲存!I1717</f>
        <v>0</v>
      </c>
      <c r="Z49" s="39">
        <f>資料儲存!J1717</f>
        <v>0</v>
      </c>
      <c r="AA49" s="35"/>
      <c r="AB49" s="38">
        <v>36</v>
      </c>
      <c r="AC49" s="39">
        <f>資料儲存!D1837</f>
        <v>0</v>
      </c>
      <c r="AD49" s="39">
        <f>資料儲存!E1837</f>
        <v>0</v>
      </c>
      <c r="AE49" s="39">
        <f>資料儲存!F1837</f>
        <v>0</v>
      </c>
      <c r="AF49" s="39">
        <f>資料儲存!G1837</f>
        <v>0</v>
      </c>
      <c r="AG49" s="39">
        <f>資料儲存!H1837</f>
        <v>0</v>
      </c>
      <c r="AH49" s="39">
        <f>資料儲存!I1837</f>
        <v>0</v>
      </c>
      <c r="AI49" s="39">
        <f>資料儲存!J1837</f>
        <v>0</v>
      </c>
      <c r="AJ49" s="13"/>
      <c r="AK49" s="38">
        <v>36</v>
      </c>
      <c r="AL49" s="39">
        <f>資料儲存!D1957</f>
        <v>0</v>
      </c>
      <c r="AM49" s="39">
        <f>資料儲存!E1957</f>
        <v>0</v>
      </c>
      <c r="AN49" s="39">
        <f>資料儲存!F1957</f>
        <v>0</v>
      </c>
      <c r="AO49" s="39">
        <f>資料儲存!G1957</f>
        <v>0</v>
      </c>
      <c r="AP49" s="39">
        <f>資料儲存!H1957</f>
        <v>0</v>
      </c>
      <c r="AQ49" s="39">
        <f>資料儲存!I1957</f>
        <v>0</v>
      </c>
      <c r="AR49" s="39">
        <f>資料儲存!J1957</f>
        <v>0</v>
      </c>
      <c r="AT49" s="38">
        <v>36</v>
      </c>
      <c r="AU49" s="39">
        <f>資料儲存!D2077</f>
        <v>0</v>
      </c>
      <c r="AV49" s="39">
        <f>資料儲存!E2077</f>
        <v>0</v>
      </c>
      <c r="AW49" s="39">
        <f>資料儲存!F2077</f>
        <v>0</v>
      </c>
      <c r="AX49" s="39">
        <f>資料儲存!G2077</f>
        <v>0</v>
      </c>
      <c r="AY49" s="39">
        <f>資料儲存!H2077</f>
        <v>0</v>
      </c>
      <c r="AZ49" s="39">
        <f>資料儲存!I2077</f>
        <v>0</v>
      </c>
      <c r="BA49" s="39">
        <f>資料儲存!J2077</f>
        <v>0</v>
      </c>
    </row>
    <row r="50" spans="1:53" ht="16" thickBot="1">
      <c r="A50" s="38">
        <v>37</v>
      </c>
      <c r="B50" s="39">
        <f>資料儲存!D1478</f>
        <v>0</v>
      </c>
      <c r="C50" s="39">
        <f>資料儲存!E1478</f>
        <v>0</v>
      </c>
      <c r="D50" s="39">
        <f>資料儲存!F1478</f>
        <v>0</v>
      </c>
      <c r="E50" s="39">
        <f>資料儲存!G1478</f>
        <v>0</v>
      </c>
      <c r="F50" s="39">
        <f>資料儲存!H1478</f>
        <v>0</v>
      </c>
      <c r="G50" s="39">
        <f>資料儲存!I1478</f>
        <v>0</v>
      </c>
      <c r="H50" s="39">
        <f>資料儲存!J1478</f>
        <v>0</v>
      </c>
      <c r="I50" s="35"/>
      <c r="J50" s="38">
        <v>37</v>
      </c>
      <c r="K50" s="39">
        <f>資料儲存!D1598</f>
        <v>0</v>
      </c>
      <c r="L50" s="39">
        <f>資料儲存!E1598</f>
        <v>0</v>
      </c>
      <c r="M50" s="39">
        <f>資料儲存!F1598</f>
        <v>0</v>
      </c>
      <c r="N50" s="39">
        <f>資料儲存!G1598</f>
        <v>0</v>
      </c>
      <c r="O50" s="39">
        <f>資料儲存!H1598</f>
        <v>0</v>
      </c>
      <c r="P50" s="39">
        <f>資料儲存!I1598</f>
        <v>0</v>
      </c>
      <c r="Q50" s="39">
        <f>資料儲存!J1598</f>
        <v>0</v>
      </c>
      <c r="R50" s="35"/>
      <c r="S50" s="38">
        <v>37</v>
      </c>
      <c r="T50" s="39">
        <f>資料儲存!D1718</f>
        <v>0</v>
      </c>
      <c r="U50" s="39">
        <f>資料儲存!E1718</f>
        <v>0</v>
      </c>
      <c r="V50" s="39">
        <f>資料儲存!F1718</f>
        <v>0</v>
      </c>
      <c r="W50" s="39">
        <f>資料儲存!G1718</f>
        <v>0</v>
      </c>
      <c r="X50" s="39">
        <f>資料儲存!H1718</f>
        <v>0</v>
      </c>
      <c r="Y50" s="39">
        <f>資料儲存!I1718</f>
        <v>0</v>
      </c>
      <c r="Z50" s="39">
        <f>資料儲存!J1718</f>
        <v>0</v>
      </c>
      <c r="AA50" s="35"/>
      <c r="AB50" s="38">
        <v>37</v>
      </c>
      <c r="AC50" s="39">
        <f>資料儲存!D1838</f>
        <v>0</v>
      </c>
      <c r="AD50" s="39">
        <f>資料儲存!E1838</f>
        <v>0</v>
      </c>
      <c r="AE50" s="39">
        <f>資料儲存!F1838</f>
        <v>0</v>
      </c>
      <c r="AF50" s="39">
        <f>資料儲存!G1838</f>
        <v>0</v>
      </c>
      <c r="AG50" s="39">
        <f>資料儲存!H1838</f>
        <v>0</v>
      </c>
      <c r="AH50" s="39">
        <f>資料儲存!I1838</f>
        <v>0</v>
      </c>
      <c r="AI50" s="39">
        <f>資料儲存!J1838</f>
        <v>0</v>
      </c>
      <c r="AJ50" s="13"/>
      <c r="AK50" s="38">
        <v>37</v>
      </c>
      <c r="AL50" s="39">
        <f>資料儲存!D1958</f>
        <v>0</v>
      </c>
      <c r="AM50" s="39">
        <f>資料儲存!E1958</f>
        <v>0</v>
      </c>
      <c r="AN50" s="39">
        <f>資料儲存!F1958</f>
        <v>0</v>
      </c>
      <c r="AO50" s="39">
        <f>資料儲存!G1958</f>
        <v>0</v>
      </c>
      <c r="AP50" s="39">
        <f>資料儲存!H1958</f>
        <v>0</v>
      </c>
      <c r="AQ50" s="39">
        <f>資料儲存!I1958</f>
        <v>0</v>
      </c>
      <c r="AR50" s="39">
        <f>資料儲存!J1958</f>
        <v>0</v>
      </c>
      <c r="AT50" s="38">
        <v>37</v>
      </c>
      <c r="AU50" s="39">
        <f>資料儲存!D2078</f>
        <v>0</v>
      </c>
      <c r="AV50" s="39">
        <f>資料儲存!E2078</f>
        <v>0</v>
      </c>
      <c r="AW50" s="39">
        <f>資料儲存!F2078</f>
        <v>0</v>
      </c>
      <c r="AX50" s="39">
        <f>資料儲存!G2078</f>
        <v>0</v>
      </c>
      <c r="AY50" s="39">
        <f>資料儲存!H2078</f>
        <v>0</v>
      </c>
      <c r="AZ50" s="39">
        <f>資料儲存!I2078</f>
        <v>0</v>
      </c>
      <c r="BA50" s="39">
        <f>資料儲存!J2078</f>
        <v>0</v>
      </c>
    </row>
    <row r="51" spans="1:53" ht="16" thickBot="1">
      <c r="A51" s="38">
        <v>38</v>
      </c>
      <c r="B51" s="39">
        <f>資料儲存!D1479</f>
        <v>0</v>
      </c>
      <c r="C51" s="39">
        <f>資料儲存!E1479</f>
        <v>0</v>
      </c>
      <c r="D51" s="39">
        <f>資料儲存!F1479</f>
        <v>0</v>
      </c>
      <c r="E51" s="39">
        <f>資料儲存!G1479</f>
        <v>0</v>
      </c>
      <c r="F51" s="39">
        <f>資料儲存!H1479</f>
        <v>0</v>
      </c>
      <c r="G51" s="39">
        <f>資料儲存!I1479</f>
        <v>0</v>
      </c>
      <c r="H51" s="39">
        <f>資料儲存!J1479</f>
        <v>0</v>
      </c>
      <c r="I51" s="35"/>
      <c r="J51" s="38">
        <v>38</v>
      </c>
      <c r="K51" s="39">
        <f>資料儲存!D1599</f>
        <v>0</v>
      </c>
      <c r="L51" s="39">
        <f>資料儲存!E1599</f>
        <v>0</v>
      </c>
      <c r="M51" s="39">
        <f>資料儲存!F1599</f>
        <v>0</v>
      </c>
      <c r="N51" s="39">
        <f>資料儲存!G1599</f>
        <v>0</v>
      </c>
      <c r="O51" s="39">
        <f>資料儲存!H1599</f>
        <v>0</v>
      </c>
      <c r="P51" s="39">
        <f>資料儲存!I1599</f>
        <v>0</v>
      </c>
      <c r="Q51" s="39">
        <f>資料儲存!J1599</f>
        <v>0</v>
      </c>
      <c r="R51" s="35"/>
      <c r="S51" s="38">
        <v>38</v>
      </c>
      <c r="T51" s="39">
        <f>資料儲存!D1719</f>
        <v>0</v>
      </c>
      <c r="U51" s="39">
        <f>資料儲存!E1719</f>
        <v>0</v>
      </c>
      <c r="V51" s="39">
        <f>資料儲存!F1719</f>
        <v>0</v>
      </c>
      <c r="W51" s="39">
        <f>資料儲存!G1719</f>
        <v>0</v>
      </c>
      <c r="X51" s="39">
        <f>資料儲存!H1719</f>
        <v>0</v>
      </c>
      <c r="Y51" s="39">
        <f>資料儲存!I1719</f>
        <v>0</v>
      </c>
      <c r="Z51" s="39">
        <f>資料儲存!J1719</f>
        <v>0</v>
      </c>
      <c r="AA51" s="35"/>
      <c r="AB51" s="38">
        <v>38</v>
      </c>
      <c r="AC51" s="39">
        <f>資料儲存!D1839</f>
        <v>0</v>
      </c>
      <c r="AD51" s="39">
        <f>資料儲存!E1839</f>
        <v>0</v>
      </c>
      <c r="AE51" s="39">
        <f>資料儲存!F1839</f>
        <v>0</v>
      </c>
      <c r="AF51" s="39">
        <f>資料儲存!G1839</f>
        <v>0</v>
      </c>
      <c r="AG51" s="39">
        <f>資料儲存!H1839</f>
        <v>0</v>
      </c>
      <c r="AH51" s="39">
        <f>資料儲存!I1839</f>
        <v>0</v>
      </c>
      <c r="AI51" s="39">
        <f>資料儲存!J1839</f>
        <v>0</v>
      </c>
      <c r="AJ51" s="13"/>
      <c r="AK51" s="38">
        <v>38</v>
      </c>
      <c r="AL51" s="39">
        <f>資料儲存!D1959</f>
        <v>0</v>
      </c>
      <c r="AM51" s="39">
        <f>資料儲存!E1959</f>
        <v>0</v>
      </c>
      <c r="AN51" s="39">
        <f>資料儲存!F1959</f>
        <v>0</v>
      </c>
      <c r="AO51" s="39">
        <f>資料儲存!G1959</f>
        <v>0</v>
      </c>
      <c r="AP51" s="39">
        <f>資料儲存!H1959</f>
        <v>0</v>
      </c>
      <c r="AQ51" s="39">
        <f>資料儲存!I1959</f>
        <v>0</v>
      </c>
      <c r="AR51" s="39">
        <f>資料儲存!J1959</f>
        <v>0</v>
      </c>
      <c r="AT51" s="38">
        <v>38</v>
      </c>
      <c r="AU51" s="39">
        <f>資料儲存!D2079</f>
        <v>0</v>
      </c>
      <c r="AV51" s="39">
        <f>資料儲存!E2079</f>
        <v>0</v>
      </c>
      <c r="AW51" s="39">
        <f>資料儲存!F2079</f>
        <v>0</v>
      </c>
      <c r="AX51" s="39">
        <f>資料儲存!G2079</f>
        <v>0</v>
      </c>
      <c r="AY51" s="39">
        <f>資料儲存!H2079</f>
        <v>0</v>
      </c>
      <c r="AZ51" s="39">
        <f>資料儲存!I2079</f>
        <v>0</v>
      </c>
      <c r="BA51" s="39">
        <f>資料儲存!J2079</f>
        <v>0</v>
      </c>
    </row>
    <row r="52" spans="1:53" ht="16" thickBot="1">
      <c r="A52" s="38">
        <v>39</v>
      </c>
      <c r="B52" s="39">
        <f>資料儲存!D1480</f>
        <v>0</v>
      </c>
      <c r="C52" s="39">
        <f>資料儲存!E1480</f>
        <v>0</v>
      </c>
      <c r="D52" s="39">
        <f>資料儲存!F1480</f>
        <v>0</v>
      </c>
      <c r="E52" s="39">
        <f>資料儲存!G1480</f>
        <v>0</v>
      </c>
      <c r="F52" s="39">
        <f>資料儲存!H1480</f>
        <v>0</v>
      </c>
      <c r="G52" s="39">
        <f>資料儲存!I1480</f>
        <v>0</v>
      </c>
      <c r="H52" s="39">
        <f>資料儲存!J1480</f>
        <v>0</v>
      </c>
      <c r="I52" s="35"/>
      <c r="J52" s="38">
        <v>39</v>
      </c>
      <c r="K52" s="39">
        <f>資料儲存!D1600</f>
        <v>0</v>
      </c>
      <c r="L52" s="39">
        <f>資料儲存!E1600</f>
        <v>0</v>
      </c>
      <c r="M52" s="39">
        <f>資料儲存!F1600</f>
        <v>0</v>
      </c>
      <c r="N52" s="39">
        <f>資料儲存!G1600</f>
        <v>0</v>
      </c>
      <c r="O52" s="39">
        <f>資料儲存!H1600</f>
        <v>0</v>
      </c>
      <c r="P52" s="39">
        <f>資料儲存!I1600</f>
        <v>0</v>
      </c>
      <c r="Q52" s="39">
        <f>資料儲存!J1600</f>
        <v>0</v>
      </c>
      <c r="R52" s="35"/>
      <c r="S52" s="38">
        <v>39</v>
      </c>
      <c r="T52" s="39">
        <f>資料儲存!D1720</f>
        <v>0</v>
      </c>
      <c r="U52" s="39">
        <f>資料儲存!E1720</f>
        <v>0</v>
      </c>
      <c r="V52" s="39">
        <f>資料儲存!F1720</f>
        <v>0</v>
      </c>
      <c r="W52" s="39">
        <f>資料儲存!G1720</f>
        <v>0</v>
      </c>
      <c r="X52" s="39">
        <f>資料儲存!H1720</f>
        <v>0</v>
      </c>
      <c r="Y52" s="39">
        <f>資料儲存!I1720</f>
        <v>0</v>
      </c>
      <c r="Z52" s="39">
        <f>資料儲存!J1720</f>
        <v>0</v>
      </c>
      <c r="AA52" s="35"/>
      <c r="AB52" s="38">
        <v>39</v>
      </c>
      <c r="AC52" s="39">
        <f>資料儲存!D1840</f>
        <v>0</v>
      </c>
      <c r="AD52" s="39">
        <f>資料儲存!E1840</f>
        <v>0</v>
      </c>
      <c r="AE52" s="39">
        <f>資料儲存!F1840</f>
        <v>0</v>
      </c>
      <c r="AF52" s="39">
        <f>資料儲存!G1840</f>
        <v>0</v>
      </c>
      <c r="AG52" s="39">
        <f>資料儲存!H1840</f>
        <v>0</v>
      </c>
      <c r="AH52" s="39">
        <f>資料儲存!I1840</f>
        <v>0</v>
      </c>
      <c r="AI52" s="39">
        <f>資料儲存!J1840</f>
        <v>0</v>
      </c>
      <c r="AJ52" s="13"/>
      <c r="AK52" s="38">
        <v>39</v>
      </c>
      <c r="AL52" s="39">
        <f>資料儲存!D1960</f>
        <v>0</v>
      </c>
      <c r="AM52" s="39">
        <f>資料儲存!E1960</f>
        <v>0</v>
      </c>
      <c r="AN52" s="39">
        <f>資料儲存!F1960</f>
        <v>0</v>
      </c>
      <c r="AO52" s="39">
        <f>資料儲存!G1960</f>
        <v>0</v>
      </c>
      <c r="AP52" s="39">
        <f>資料儲存!H1960</f>
        <v>0</v>
      </c>
      <c r="AQ52" s="39">
        <f>資料儲存!I1960</f>
        <v>0</v>
      </c>
      <c r="AR52" s="39">
        <f>資料儲存!J1960</f>
        <v>0</v>
      </c>
      <c r="AT52" s="38">
        <v>39</v>
      </c>
      <c r="AU52" s="39">
        <f>資料儲存!D2080</f>
        <v>0</v>
      </c>
      <c r="AV52" s="39">
        <f>資料儲存!E2080</f>
        <v>0</v>
      </c>
      <c r="AW52" s="39">
        <f>資料儲存!F2080</f>
        <v>0</v>
      </c>
      <c r="AX52" s="39">
        <f>資料儲存!G2080</f>
        <v>0</v>
      </c>
      <c r="AY52" s="39">
        <f>資料儲存!H2080</f>
        <v>0</v>
      </c>
      <c r="AZ52" s="39">
        <f>資料儲存!I2080</f>
        <v>0</v>
      </c>
      <c r="BA52" s="39">
        <f>資料儲存!J2080</f>
        <v>0</v>
      </c>
    </row>
    <row r="53" spans="1:53" ht="16" thickBot="1">
      <c r="A53" s="38">
        <v>40</v>
      </c>
      <c r="B53" s="39">
        <f>資料儲存!D1481</f>
        <v>0</v>
      </c>
      <c r="C53" s="39">
        <f>資料儲存!E1481</f>
        <v>0</v>
      </c>
      <c r="D53" s="39">
        <f>資料儲存!F1481</f>
        <v>0</v>
      </c>
      <c r="E53" s="39">
        <f>資料儲存!G1481</f>
        <v>0</v>
      </c>
      <c r="F53" s="39">
        <f>資料儲存!H1481</f>
        <v>0</v>
      </c>
      <c r="G53" s="39">
        <f>資料儲存!I1481</f>
        <v>0</v>
      </c>
      <c r="H53" s="39">
        <f>資料儲存!J1481</f>
        <v>0</v>
      </c>
      <c r="I53" s="35"/>
      <c r="J53" s="38">
        <v>40</v>
      </c>
      <c r="K53" s="39">
        <f>資料儲存!D1601</f>
        <v>0</v>
      </c>
      <c r="L53" s="39">
        <f>資料儲存!E1601</f>
        <v>0</v>
      </c>
      <c r="M53" s="39">
        <f>資料儲存!F1601</f>
        <v>0</v>
      </c>
      <c r="N53" s="39">
        <f>資料儲存!G1601</f>
        <v>0</v>
      </c>
      <c r="O53" s="39">
        <f>資料儲存!H1601</f>
        <v>0</v>
      </c>
      <c r="P53" s="39">
        <f>資料儲存!I1601</f>
        <v>0</v>
      </c>
      <c r="Q53" s="39">
        <f>資料儲存!J1601</f>
        <v>0</v>
      </c>
      <c r="R53" s="35"/>
      <c r="S53" s="38">
        <v>40</v>
      </c>
      <c r="T53" s="39">
        <f>資料儲存!D1721</f>
        <v>0</v>
      </c>
      <c r="U53" s="39">
        <f>資料儲存!E1721</f>
        <v>0</v>
      </c>
      <c r="V53" s="39">
        <f>資料儲存!F1721</f>
        <v>0</v>
      </c>
      <c r="W53" s="39">
        <f>資料儲存!G1721</f>
        <v>0</v>
      </c>
      <c r="X53" s="39">
        <f>資料儲存!H1721</f>
        <v>0</v>
      </c>
      <c r="Y53" s="39">
        <f>資料儲存!I1721</f>
        <v>0</v>
      </c>
      <c r="Z53" s="39">
        <f>資料儲存!J1721</f>
        <v>0</v>
      </c>
      <c r="AA53" s="35"/>
      <c r="AB53" s="38">
        <v>40</v>
      </c>
      <c r="AC53" s="39">
        <f>資料儲存!D1841</f>
        <v>0</v>
      </c>
      <c r="AD53" s="39">
        <f>資料儲存!E1841</f>
        <v>0</v>
      </c>
      <c r="AE53" s="39">
        <f>資料儲存!F1841</f>
        <v>0</v>
      </c>
      <c r="AF53" s="39">
        <f>資料儲存!G1841</f>
        <v>0</v>
      </c>
      <c r="AG53" s="39">
        <f>資料儲存!H1841</f>
        <v>0</v>
      </c>
      <c r="AH53" s="39">
        <f>資料儲存!I1841</f>
        <v>0</v>
      </c>
      <c r="AI53" s="39">
        <f>資料儲存!J1841</f>
        <v>0</v>
      </c>
      <c r="AJ53" s="13"/>
      <c r="AK53" s="38">
        <v>40</v>
      </c>
      <c r="AL53" s="39">
        <f>資料儲存!D1961</f>
        <v>0</v>
      </c>
      <c r="AM53" s="39">
        <f>資料儲存!E1961</f>
        <v>0</v>
      </c>
      <c r="AN53" s="39">
        <f>資料儲存!F1961</f>
        <v>0</v>
      </c>
      <c r="AO53" s="39">
        <f>資料儲存!G1961</f>
        <v>0</v>
      </c>
      <c r="AP53" s="39">
        <f>資料儲存!H1961</f>
        <v>0</v>
      </c>
      <c r="AQ53" s="39">
        <f>資料儲存!I1961</f>
        <v>0</v>
      </c>
      <c r="AR53" s="39">
        <f>資料儲存!J1961</f>
        <v>0</v>
      </c>
      <c r="AT53" s="38">
        <v>40</v>
      </c>
      <c r="AU53" s="39">
        <f>資料儲存!D2081</f>
        <v>0</v>
      </c>
      <c r="AV53" s="39">
        <f>資料儲存!E2081</f>
        <v>0</v>
      </c>
      <c r="AW53" s="39">
        <f>資料儲存!F2081</f>
        <v>0</v>
      </c>
      <c r="AX53" s="39">
        <f>資料儲存!G2081</f>
        <v>0</v>
      </c>
      <c r="AY53" s="39">
        <f>資料儲存!H2081</f>
        <v>0</v>
      </c>
      <c r="AZ53" s="39">
        <f>資料儲存!I2081</f>
        <v>0</v>
      </c>
      <c r="BA53" s="39">
        <f>資料儲存!J2081</f>
        <v>0</v>
      </c>
    </row>
    <row r="54" spans="1:53" ht="16" thickBot="1">
      <c r="A54" s="38">
        <v>41</v>
      </c>
      <c r="B54" s="39">
        <f>資料儲存!D1482</f>
        <v>0</v>
      </c>
      <c r="C54" s="39">
        <f>資料儲存!E1482</f>
        <v>0</v>
      </c>
      <c r="D54" s="39">
        <f>資料儲存!F1482</f>
        <v>0</v>
      </c>
      <c r="E54" s="39">
        <f>資料儲存!G1482</f>
        <v>0</v>
      </c>
      <c r="F54" s="39">
        <f>資料儲存!H1482</f>
        <v>0</v>
      </c>
      <c r="G54" s="39">
        <f>資料儲存!I1482</f>
        <v>0</v>
      </c>
      <c r="H54" s="39">
        <f>資料儲存!J1482</f>
        <v>0</v>
      </c>
      <c r="I54" s="35"/>
      <c r="J54" s="38">
        <v>41</v>
      </c>
      <c r="K54" s="39">
        <f>資料儲存!D1602</f>
        <v>0</v>
      </c>
      <c r="L54" s="39">
        <f>資料儲存!E1602</f>
        <v>0</v>
      </c>
      <c r="M54" s="39">
        <f>資料儲存!F1602</f>
        <v>0</v>
      </c>
      <c r="N54" s="39">
        <f>資料儲存!G1602</f>
        <v>0</v>
      </c>
      <c r="O54" s="39">
        <f>資料儲存!H1602</f>
        <v>0</v>
      </c>
      <c r="P54" s="39">
        <f>資料儲存!I1602</f>
        <v>0</v>
      </c>
      <c r="Q54" s="39">
        <f>資料儲存!J1602</f>
        <v>0</v>
      </c>
      <c r="R54" s="35"/>
      <c r="S54" s="38">
        <v>41</v>
      </c>
      <c r="T54" s="39">
        <f>資料儲存!D1722</f>
        <v>0</v>
      </c>
      <c r="U54" s="39">
        <f>資料儲存!E1722</f>
        <v>0</v>
      </c>
      <c r="V54" s="39">
        <f>資料儲存!F1722</f>
        <v>0</v>
      </c>
      <c r="W54" s="39">
        <f>資料儲存!G1722</f>
        <v>0</v>
      </c>
      <c r="X54" s="39">
        <f>資料儲存!H1722</f>
        <v>0</v>
      </c>
      <c r="Y54" s="39">
        <f>資料儲存!I1722</f>
        <v>0</v>
      </c>
      <c r="Z54" s="39">
        <f>資料儲存!J1722</f>
        <v>0</v>
      </c>
      <c r="AA54" s="35"/>
      <c r="AB54" s="38">
        <v>41</v>
      </c>
      <c r="AC54" s="39">
        <f>資料儲存!D1842</f>
        <v>0</v>
      </c>
      <c r="AD54" s="39">
        <f>資料儲存!E1842</f>
        <v>0</v>
      </c>
      <c r="AE54" s="39">
        <f>資料儲存!F1842</f>
        <v>0</v>
      </c>
      <c r="AF54" s="39">
        <f>資料儲存!G1842</f>
        <v>0</v>
      </c>
      <c r="AG54" s="39">
        <f>資料儲存!H1842</f>
        <v>0</v>
      </c>
      <c r="AH54" s="39">
        <f>資料儲存!I1842</f>
        <v>0</v>
      </c>
      <c r="AI54" s="39">
        <f>資料儲存!J1842</f>
        <v>0</v>
      </c>
      <c r="AJ54" s="13"/>
      <c r="AK54" s="38">
        <v>41</v>
      </c>
      <c r="AL54" s="39">
        <f>資料儲存!D1962</f>
        <v>0</v>
      </c>
      <c r="AM54" s="39">
        <f>資料儲存!E1962</f>
        <v>0</v>
      </c>
      <c r="AN54" s="39">
        <f>資料儲存!F1962</f>
        <v>0</v>
      </c>
      <c r="AO54" s="39">
        <f>資料儲存!G1962</f>
        <v>0</v>
      </c>
      <c r="AP54" s="39">
        <f>資料儲存!H1962</f>
        <v>0</v>
      </c>
      <c r="AQ54" s="39">
        <f>資料儲存!I1962</f>
        <v>0</v>
      </c>
      <c r="AR54" s="39">
        <f>資料儲存!J1962</f>
        <v>0</v>
      </c>
      <c r="AT54" s="38">
        <v>41</v>
      </c>
      <c r="AU54" s="39">
        <f>資料儲存!D2082</f>
        <v>0</v>
      </c>
      <c r="AV54" s="39">
        <f>資料儲存!E2082</f>
        <v>0</v>
      </c>
      <c r="AW54" s="39">
        <f>資料儲存!F2082</f>
        <v>0</v>
      </c>
      <c r="AX54" s="39">
        <f>資料儲存!G2082</f>
        <v>0</v>
      </c>
      <c r="AY54" s="39">
        <f>資料儲存!H2082</f>
        <v>0</v>
      </c>
      <c r="AZ54" s="39">
        <f>資料儲存!I2082</f>
        <v>0</v>
      </c>
      <c r="BA54" s="39">
        <f>資料儲存!J2082</f>
        <v>0</v>
      </c>
    </row>
    <row r="55" spans="1:53" ht="16" thickBot="1">
      <c r="A55" s="38">
        <v>42</v>
      </c>
      <c r="B55" s="39">
        <f>資料儲存!D1483</f>
        <v>0</v>
      </c>
      <c r="C55" s="39">
        <f>資料儲存!E1483</f>
        <v>0</v>
      </c>
      <c r="D55" s="39">
        <f>資料儲存!F1483</f>
        <v>0</v>
      </c>
      <c r="E55" s="39">
        <f>資料儲存!G1483</f>
        <v>0</v>
      </c>
      <c r="F55" s="39">
        <f>資料儲存!H1483</f>
        <v>0</v>
      </c>
      <c r="G55" s="39">
        <f>資料儲存!I1483</f>
        <v>0</v>
      </c>
      <c r="H55" s="39">
        <f>資料儲存!J1483</f>
        <v>0</v>
      </c>
      <c r="I55" s="35"/>
      <c r="J55" s="38">
        <v>42</v>
      </c>
      <c r="K55" s="39">
        <f>資料儲存!D1603</f>
        <v>0</v>
      </c>
      <c r="L55" s="39">
        <f>資料儲存!E1603</f>
        <v>0</v>
      </c>
      <c r="M55" s="39">
        <f>資料儲存!F1603</f>
        <v>0</v>
      </c>
      <c r="N55" s="39">
        <f>資料儲存!G1603</f>
        <v>0</v>
      </c>
      <c r="O55" s="39">
        <f>資料儲存!H1603</f>
        <v>0</v>
      </c>
      <c r="P55" s="39">
        <f>資料儲存!I1603</f>
        <v>0</v>
      </c>
      <c r="Q55" s="39">
        <f>資料儲存!J1603</f>
        <v>0</v>
      </c>
      <c r="R55" s="35"/>
      <c r="S55" s="38">
        <v>42</v>
      </c>
      <c r="T55" s="39">
        <f>資料儲存!D1723</f>
        <v>0</v>
      </c>
      <c r="U55" s="39">
        <f>資料儲存!E1723</f>
        <v>0</v>
      </c>
      <c r="V55" s="39">
        <f>資料儲存!F1723</f>
        <v>0</v>
      </c>
      <c r="W55" s="39">
        <f>資料儲存!G1723</f>
        <v>0</v>
      </c>
      <c r="X55" s="39">
        <f>資料儲存!H1723</f>
        <v>0</v>
      </c>
      <c r="Y55" s="39">
        <f>資料儲存!I1723</f>
        <v>0</v>
      </c>
      <c r="Z55" s="39">
        <f>資料儲存!J1723</f>
        <v>0</v>
      </c>
      <c r="AA55" s="35"/>
      <c r="AB55" s="38">
        <v>42</v>
      </c>
      <c r="AC55" s="39">
        <f>資料儲存!D1843</f>
        <v>0</v>
      </c>
      <c r="AD55" s="39">
        <f>資料儲存!E1843</f>
        <v>0</v>
      </c>
      <c r="AE55" s="39">
        <f>資料儲存!F1843</f>
        <v>0</v>
      </c>
      <c r="AF55" s="39">
        <f>資料儲存!G1843</f>
        <v>0</v>
      </c>
      <c r="AG55" s="39">
        <f>資料儲存!H1843</f>
        <v>0</v>
      </c>
      <c r="AH55" s="39">
        <f>資料儲存!I1843</f>
        <v>0</v>
      </c>
      <c r="AI55" s="39">
        <f>資料儲存!J1843</f>
        <v>0</v>
      </c>
      <c r="AJ55" s="13"/>
      <c r="AK55" s="38">
        <v>42</v>
      </c>
      <c r="AL55" s="39">
        <f>資料儲存!D1963</f>
        <v>0</v>
      </c>
      <c r="AM55" s="39">
        <f>資料儲存!E1963</f>
        <v>0</v>
      </c>
      <c r="AN55" s="39">
        <f>資料儲存!F1963</f>
        <v>0</v>
      </c>
      <c r="AO55" s="39">
        <f>資料儲存!G1963</f>
        <v>0</v>
      </c>
      <c r="AP55" s="39">
        <f>資料儲存!H1963</f>
        <v>0</v>
      </c>
      <c r="AQ55" s="39">
        <f>資料儲存!I1963</f>
        <v>0</v>
      </c>
      <c r="AR55" s="39">
        <f>資料儲存!J1963</f>
        <v>0</v>
      </c>
      <c r="AT55" s="38">
        <v>42</v>
      </c>
      <c r="AU55" s="39">
        <f>資料儲存!D2083</f>
        <v>0</v>
      </c>
      <c r="AV55" s="39">
        <f>資料儲存!E2083</f>
        <v>0</v>
      </c>
      <c r="AW55" s="39">
        <f>資料儲存!F2083</f>
        <v>0</v>
      </c>
      <c r="AX55" s="39">
        <f>資料儲存!G2083</f>
        <v>0</v>
      </c>
      <c r="AY55" s="39">
        <f>資料儲存!H2083</f>
        <v>0</v>
      </c>
      <c r="AZ55" s="39">
        <f>資料儲存!I2083</f>
        <v>0</v>
      </c>
      <c r="BA55" s="39">
        <f>資料儲存!J2083</f>
        <v>0</v>
      </c>
    </row>
    <row r="56" spans="1:53" ht="16" thickBot="1">
      <c r="A56" s="38">
        <v>43</v>
      </c>
      <c r="B56" s="39">
        <f>資料儲存!D1484</f>
        <v>0</v>
      </c>
      <c r="C56" s="39">
        <f>資料儲存!E1484</f>
        <v>0</v>
      </c>
      <c r="D56" s="39">
        <f>資料儲存!F1484</f>
        <v>0</v>
      </c>
      <c r="E56" s="39">
        <f>資料儲存!G1484</f>
        <v>0</v>
      </c>
      <c r="F56" s="39">
        <f>資料儲存!H1484</f>
        <v>0</v>
      </c>
      <c r="G56" s="39">
        <f>資料儲存!I1484</f>
        <v>0</v>
      </c>
      <c r="H56" s="39">
        <f>資料儲存!J1484</f>
        <v>0</v>
      </c>
      <c r="I56" s="35"/>
      <c r="J56" s="38">
        <v>43</v>
      </c>
      <c r="K56" s="39">
        <f>資料儲存!D1604</f>
        <v>0</v>
      </c>
      <c r="L56" s="39">
        <f>資料儲存!E1604</f>
        <v>0</v>
      </c>
      <c r="M56" s="39">
        <f>資料儲存!F1604</f>
        <v>0</v>
      </c>
      <c r="N56" s="39">
        <f>資料儲存!G1604</f>
        <v>0</v>
      </c>
      <c r="O56" s="39">
        <f>資料儲存!H1604</f>
        <v>0</v>
      </c>
      <c r="P56" s="39">
        <f>資料儲存!I1604</f>
        <v>0</v>
      </c>
      <c r="Q56" s="39">
        <f>資料儲存!J1604</f>
        <v>0</v>
      </c>
      <c r="R56" s="35"/>
      <c r="S56" s="38">
        <v>43</v>
      </c>
      <c r="T56" s="39">
        <f>資料儲存!D1724</f>
        <v>0</v>
      </c>
      <c r="U56" s="39">
        <f>資料儲存!E1724</f>
        <v>0</v>
      </c>
      <c r="V56" s="39">
        <f>資料儲存!F1724</f>
        <v>0</v>
      </c>
      <c r="W56" s="39">
        <f>資料儲存!G1724</f>
        <v>0</v>
      </c>
      <c r="X56" s="39">
        <f>資料儲存!H1724</f>
        <v>0</v>
      </c>
      <c r="Y56" s="39">
        <f>資料儲存!I1724</f>
        <v>0</v>
      </c>
      <c r="Z56" s="39">
        <f>資料儲存!J1724</f>
        <v>0</v>
      </c>
      <c r="AA56" s="35"/>
      <c r="AB56" s="38">
        <v>43</v>
      </c>
      <c r="AC56" s="39">
        <f>資料儲存!D1844</f>
        <v>0</v>
      </c>
      <c r="AD56" s="39">
        <f>資料儲存!E1844</f>
        <v>0</v>
      </c>
      <c r="AE56" s="39">
        <f>資料儲存!F1844</f>
        <v>0</v>
      </c>
      <c r="AF56" s="39">
        <f>資料儲存!G1844</f>
        <v>0</v>
      </c>
      <c r="AG56" s="39">
        <f>資料儲存!H1844</f>
        <v>0</v>
      </c>
      <c r="AH56" s="39">
        <f>資料儲存!I1844</f>
        <v>0</v>
      </c>
      <c r="AI56" s="39">
        <f>資料儲存!J1844</f>
        <v>0</v>
      </c>
      <c r="AJ56" s="13"/>
      <c r="AK56" s="38">
        <v>43</v>
      </c>
      <c r="AL56" s="39">
        <f>資料儲存!D1964</f>
        <v>0</v>
      </c>
      <c r="AM56" s="39">
        <f>資料儲存!E1964</f>
        <v>0</v>
      </c>
      <c r="AN56" s="39">
        <f>資料儲存!F1964</f>
        <v>0</v>
      </c>
      <c r="AO56" s="39">
        <f>資料儲存!G1964</f>
        <v>0</v>
      </c>
      <c r="AP56" s="39">
        <f>資料儲存!H1964</f>
        <v>0</v>
      </c>
      <c r="AQ56" s="39">
        <f>資料儲存!I1964</f>
        <v>0</v>
      </c>
      <c r="AR56" s="39">
        <f>資料儲存!J1964</f>
        <v>0</v>
      </c>
      <c r="AT56" s="38">
        <v>43</v>
      </c>
      <c r="AU56" s="39">
        <f>資料儲存!D2084</f>
        <v>0</v>
      </c>
      <c r="AV56" s="39">
        <f>資料儲存!E2084</f>
        <v>0</v>
      </c>
      <c r="AW56" s="39">
        <f>資料儲存!F2084</f>
        <v>0</v>
      </c>
      <c r="AX56" s="39">
        <f>資料儲存!G2084</f>
        <v>0</v>
      </c>
      <c r="AY56" s="39">
        <f>資料儲存!H2084</f>
        <v>0</v>
      </c>
      <c r="AZ56" s="39">
        <f>資料儲存!I2084</f>
        <v>0</v>
      </c>
      <c r="BA56" s="39">
        <f>資料儲存!J2084</f>
        <v>0</v>
      </c>
    </row>
    <row r="57" spans="1:53" ht="16" thickBot="1">
      <c r="A57" s="38">
        <v>44</v>
      </c>
      <c r="B57" s="39">
        <f>資料儲存!D1485</f>
        <v>0</v>
      </c>
      <c r="C57" s="39">
        <f>資料儲存!E1485</f>
        <v>0</v>
      </c>
      <c r="D57" s="39">
        <f>資料儲存!F1485</f>
        <v>0</v>
      </c>
      <c r="E57" s="39">
        <f>資料儲存!G1485</f>
        <v>0</v>
      </c>
      <c r="F57" s="39">
        <f>資料儲存!H1485</f>
        <v>0</v>
      </c>
      <c r="G57" s="39">
        <f>資料儲存!I1485</f>
        <v>0</v>
      </c>
      <c r="H57" s="39">
        <f>資料儲存!J1485</f>
        <v>0</v>
      </c>
      <c r="I57" s="35"/>
      <c r="J57" s="38">
        <v>44</v>
      </c>
      <c r="K57" s="39">
        <f>資料儲存!D1605</f>
        <v>0</v>
      </c>
      <c r="L57" s="39">
        <f>資料儲存!E1605</f>
        <v>0</v>
      </c>
      <c r="M57" s="39">
        <f>資料儲存!F1605</f>
        <v>0</v>
      </c>
      <c r="N57" s="39">
        <f>資料儲存!G1605</f>
        <v>0</v>
      </c>
      <c r="O57" s="39">
        <f>資料儲存!H1605</f>
        <v>0</v>
      </c>
      <c r="P57" s="39">
        <f>資料儲存!I1605</f>
        <v>0</v>
      </c>
      <c r="Q57" s="39">
        <f>資料儲存!J1605</f>
        <v>0</v>
      </c>
      <c r="R57" s="35"/>
      <c r="S57" s="38">
        <v>44</v>
      </c>
      <c r="T57" s="39">
        <f>資料儲存!D1725</f>
        <v>0</v>
      </c>
      <c r="U57" s="39">
        <f>資料儲存!E1725</f>
        <v>0</v>
      </c>
      <c r="V57" s="39">
        <f>資料儲存!F1725</f>
        <v>0</v>
      </c>
      <c r="W57" s="39">
        <f>資料儲存!G1725</f>
        <v>0</v>
      </c>
      <c r="X57" s="39">
        <f>資料儲存!H1725</f>
        <v>0</v>
      </c>
      <c r="Y57" s="39">
        <f>資料儲存!I1725</f>
        <v>0</v>
      </c>
      <c r="Z57" s="39">
        <f>資料儲存!J1725</f>
        <v>0</v>
      </c>
      <c r="AA57" s="35"/>
      <c r="AB57" s="38">
        <v>44</v>
      </c>
      <c r="AC57" s="39">
        <f>資料儲存!D1845</f>
        <v>0</v>
      </c>
      <c r="AD57" s="39">
        <f>資料儲存!E1845</f>
        <v>0</v>
      </c>
      <c r="AE57" s="39">
        <f>資料儲存!F1845</f>
        <v>0</v>
      </c>
      <c r="AF57" s="39">
        <f>資料儲存!G1845</f>
        <v>0</v>
      </c>
      <c r="AG57" s="39">
        <f>資料儲存!H1845</f>
        <v>0</v>
      </c>
      <c r="AH57" s="39">
        <f>資料儲存!I1845</f>
        <v>0</v>
      </c>
      <c r="AI57" s="39">
        <f>資料儲存!J1845</f>
        <v>0</v>
      </c>
      <c r="AJ57" s="13"/>
      <c r="AK57" s="38">
        <v>44</v>
      </c>
      <c r="AL57" s="39">
        <f>資料儲存!D1965</f>
        <v>0</v>
      </c>
      <c r="AM57" s="39">
        <f>資料儲存!E1965</f>
        <v>0</v>
      </c>
      <c r="AN57" s="39">
        <f>資料儲存!F1965</f>
        <v>0</v>
      </c>
      <c r="AO57" s="39">
        <f>資料儲存!G1965</f>
        <v>0</v>
      </c>
      <c r="AP57" s="39">
        <f>資料儲存!H1965</f>
        <v>0</v>
      </c>
      <c r="AQ57" s="39">
        <f>資料儲存!I1965</f>
        <v>0</v>
      </c>
      <c r="AR57" s="39">
        <f>資料儲存!J1965</f>
        <v>0</v>
      </c>
      <c r="AT57" s="38">
        <v>44</v>
      </c>
      <c r="AU57" s="39">
        <f>資料儲存!D2085</f>
        <v>0</v>
      </c>
      <c r="AV57" s="39">
        <f>資料儲存!E2085</f>
        <v>0</v>
      </c>
      <c r="AW57" s="39">
        <f>資料儲存!F2085</f>
        <v>0</v>
      </c>
      <c r="AX57" s="39">
        <f>資料儲存!G2085</f>
        <v>0</v>
      </c>
      <c r="AY57" s="39">
        <f>資料儲存!H2085</f>
        <v>0</v>
      </c>
      <c r="AZ57" s="39">
        <f>資料儲存!I2085</f>
        <v>0</v>
      </c>
      <c r="BA57" s="39">
        <f>資料儲存!J2085</f>
        <v>0</v>
      </c>
    </row>
    <row r="58" spans="1:53" ht="16" thickBot="1">
      <c r="A58" s="38">
        <v>45</v>
      </c>
      <c r="B58" s="39">
        <f>資料儲存!D1486</f>
        <v>0</v>
      </c>
      <c r="C58" s="39">
        <f>資料儲存!E1486</f>
        <v>0</v>
      </c>
      <c r="D58" s="39">
        <f>資料儲存!F1486</f>
        <v>0</v>
      </c>
      <c r="E58" s="39">
        <f>資料儲存!G1486</f>
        <v>0</v>
      </c>
      <c r="F58" s="39">
        <f>資料儲存!H1486</f>
        <v>0</v>
      </c>
      <c r="G58" s="39">
        <f>資料儲存!I1486</f>
        <v>0</v>
      </c>
      <c r="H58" s="39">
        <f>資料儲存!J1486</f>
        <v>0</v>
      </c>
      <c r="I58" s="35"/>
      <c r="J58" s="38">
        <v>45</v>
      </c>
      <c r="K58" s="39">
        <f>資料儲存!D1606</f>
        <v>0</v>
      </c>
      <c r="L58" s="39">
        <f>資料儲存!E1606</f>
        <v>0</v>
      </c>
      <c r="M58" s="39">
        <f>資料儲存!F1606</f>
        <v>0</v>
      </c>
      <c r="N58" s="39">
        <f>資料儲存!G1606</f>
        <v>0</v>
      </c>
      <c r="O58" s="39">
        <f>資料儲存!H1606</f>
        <v>0</v>
      </c>
      <c r="P58" s="39">
        <f>資料儲存!I1606</f>
        <v>0</v>
      </c>
      <c r="Q58" s="39">
        <f>資料儲存!J1606</f>
        <v>0</v>
      </c>
      <c r="R58" s="35"/>
      <c r="S58" s="38">
        <v>45</v>
      </c>
      <c r="T58" s="39">
        <f>資料儲存!D1726</f>
        <v>0</v>
      </c>
      <c r="U58" s="39">
        <f>資料儲存!E1726</f>
        <v>0</v>
      </c>
      <c r="V58" s="39">
        <f>資料儲存!F1726</f>
        <v>0</v>
      </c>
      <c r="W58" s="39">
        <f>資料儲存!G1726</f>
        <v>0</v>
      </c>
      <c r="X58" s="39">
        <f>資料儲存!H1726</f>
        <v>0</v>
      </c>
      <c r="Y58" s="39">
        <f>資料儲存!I1726</f>
        <v>0</v>
      </c>
      <c r="Z58" s="39">
        <f>資料儲存!J1726</f>
        <v>0</v>
      </c>
      <c r="AA58" s="35"/>
      <c r="AB58" s="38">
        <v>45</v>
      </c>
      <c r="AC58" s="39">
        <f>資料儲存!D1846</f>
        <v>0</v>
      </c>
      <c r="AD58" s="39">
        <f>資料儲存!E1846</f>
        <v>0</v>
      </c>
      <c r="AE58" s="39">
        <f>資料儲存!F1846</f>
        <v>0</v>
      </c>
      <c r="AF58" s="39">
        <f>資料儲存!G1846</f>
        <v>0</v>
      </c>
      <c r="AG58" s="39">
        <f>資料儲存!H1846</f>
        <v>0</v>
      </c>
      <c r="AH58" s="39">
        <f>資料儲存!I1846</f>
        <v>0</v>
      </c>
      <c r="AI58" s="39">
        <f>資料儲存!J1846</f>
        <v>0</v>
      </c>
      <c r="AJ58" s="13"/>
      <c r="AK58" s="38">
        <v>45</v>
      </c>
      <c r="AL58" s="39">
        <f>資料儲存!D1966</f>
        <v>0</v>
      </c>
      <c r="AM58" s="39">
        <f>資料儲存!E1966</f>
        <v>0</v>
      </c>
      <c r="AN58" s="39">
        <f>資料儲存!F1966</f>
        <v>0</v>
      </c>
      <c r="AO58" s="39">
        <f>資料儲存!G1966</f>
        <v>0</v>
      </c>
      <c r="AP58" s="39">
        <f>資料儲存!H1966</f>
        <v>0</v>
      </c>
      <c r="AQ58" s="39">
        <f>資料儲存!I1966</f>
        <v>0</v>
      </c>
      <c r="AR58" s="39">
        <f>資料儲存!J1966</f>
        <v>0</v>
      </c>
      <c r="AT58" s="38">
        <v>45</v>
      </c>
      <c r="AU58" s="39">
        <f>資料儲存!D2086</f>
        <v>0</v>
      </c>
      <c r="AV58" s="39">
        <f>資料儲存!E2086</f>
        <v>0</v>
      </c>
      <c r="AW58" s="39">
        <f>資料儲存!F2086</f>
        <v>0</v>
      </c>
      <c r="AX58" s="39">
        <f>資料儲存!G2086</f>
        <v>0</v>
      </c>
      <c r="AY58" s="39">
        <f>資料儲存!H2086</f>
        <v>0</v>
      </c>
      <c r="AZ58" s="39">
        <f>資料儲存!I2086</f>
        <v>0</v>
      </c>
      <c r="BA58" s="39">
        <f>資料儲存!J2086</f>
        <v>0</v>
      </c>
    </row>
    <row r="59" spans="1:53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13"/>
      <c r="AK59" s="40" t="s">
        <v>56</v>
      </c>
      <c r="AL59" s="39">
        <f>SUM(AL44:AO58)</f>
        <v>0</v>
      </c>
      <c r="AM59" s="37"/>
      <c r="AN59" s="37"/>
      <c r="AO59" s="37"/>
      <c r="AP59" s="39">
        <f>AP58</f>
        <v>0</v>
      </c>
      <c r="AQ59" s="39">
        <f>AQ58</f>
        <v>0</v>
      </c>
      <c r="AR59" s="39">
        <f>AR58</f>
        <v>0</v>
      </c>
      <c r="AT59" s="40" t="s">
        <v>56</v>
      </c>
      <c r="AU59" s="39">
        <f>SUM(AU44:AX58)</f>
        <v>0</v>
      </c>
      <c r="AV59" s="37"/>
      <c r="AW59" s="37"/>
      <c r="AX59" s="37"/>
      <c r="AY59" s="39">
        <f>AY58</f>
        <v>0</v>
      </c>
      <c r="AZ59" s="39">
        <f>AZ58</f>
        <v>0</v>
      </c>
      <c r="BA59" s="39">
        <f>BA58</f>
        <v>0</v>
      </c>
    </row>
    <row r="60" spans="1:53" ht="18.5" thickBot="1">
      <c r="A60" s="248" t="s">
        <v>94</v>
      </c>
      <c r="B60" s="249"/>
      <c r="C60" s="249"/>
      <c r="D60" s="249"/>
      <c r="E60" s="249"/>
      <c r="F60" s="249"/>
      <c r="G60" s="249"/>
      <c r="H60" s="250"/>
      <c r="I60" s="13"/>
      <c r="J60" s="248" t="s">
        <v>94</v>
      </c>
      <c r="K60" s="249"/>
      <c r="L60" s="249"/>
      <c r="M60" s="249"/>
      <c r="N60" s="249"/>
      <c r="O60" s="249"/>
      <c r="P60" s="249"/>
      <c r="Q60" s="250"/>
      <c r="R60" s="13"/>
      <c r="S60" s="248" t="s">
        <v>94</v>
      </c>
      <c r="T60" s="249"/>
      <c r="U60" s="249"/>
      <c r="V60" s="249"/>
      <c r="W60" s="249"/>
      <c r="X60" s="249"/>
      <c r="Y60" s="249"/>
      <c r="Z60" s="250"/>
      <c r="AA60" s="13"/>
      <c r="AB60" s="248" t="s">
        <v>94</v>
      </c>
      <c r="AC60" s="249"/>
      <c r="AD60" s="249"/>
      <c r="AE60" s="249"/>
      <c r="AF60" s="249"/>
      <c r="AG60" s="249"/>
      <c r="AH60" s="249"/>
      <c r="AI60" s="250"/>
      <c r="AJ60" s="13"/>
      <c r="AK60" s="248" t="s">
        <v>94</v>
      </c>
      <c r="AL60" s="249"/>
      <c r="AM60" s="249"/>
      <c r="AN60" s="249"/>
      <c r="AO60" s="249"/>
      <c r="AP60" s="249"/>
      <c r="AQ60" s="249"/>
      <c r="AR60" s="250"/>
      <c r="AT60" s="248" t="s">
        <v>94</v>
      </c>
      <c r="AU60" s="249"/>
      <c r="AV60" s="249"/>
      <c r="AW60" s="249"/>
      <c r="AX60" s="249"/>
      <c r="AY60" s="249"/>
      <c r="AZ60" s="249"/>
      <c r="BA60" s="250"/>
    </row>
    <row r="61" spans="1:53" ht="17.25" customHeight="1" thickBot="1">
      <c r="A61" s="41" t="s">
        <v>2</v>
      </c>
      <c r="B61" s="42" t="s">
        <v>46</v>
      </c>
      <c r="C61" s="43"/>
      <c r="D61" s="43"/>
      <c r="E61" s="44"/>
      <c r="F61" s="42" t="s">
        <v>47</v>
      </c>
      <c r="G61" s="43"/>
      <c r="H61" s="44"/>
      <c r="I61" s="45"/>
      <c r="J61" s="41" t="s">
        <v>2</v>
      </c>
      <c r="K61" s="42" t="s">
        <v>46</v>
      </c>
      <c r="L61" s="43"/>
      <c r="M61" s="43"/>
      <c r="N61" s="44"/>
      <c r="O61" s="42" t="s">
        <v>47</v>
      </c>
      <c r="P61" s="43"/>
      <c r="Q61" s="44"/>
      <c r="R61" s="45"/>
      <c r="S61" s="41" t="s">
        <v>2</v>
      </c>
      <c r="T61" s="42" t="s">
        <v>46</v>
      </c>
      <c r="U61" s="43"/>
      <c r="V61" s="43"/>
      <c r="W61" s="44"/>
      <c r="X61" s="42" t="s">
        <v>47</v>
      </c>
      <c r="Y61" s="43"/>
      <c r="Z61" s="44"/>
      <c r="AA61" s="45"/>
      <c r="AB61" s="41" t="s">
        <v>2</v>
      </c>
      <c r="AC61" s="42" t="s">
        <v>46</v>
      </c>
      <c r="AD61" s="43"/>
      <c r="AE61" s="43"/>
      <c r="AF61" s="44"/>
      <c r="AG61" s="42" t="s">
        <v>47</v>
      </c>
      <c r="AH61" s="43"/>
      <c r="AI61" s="44"/>
      <c r="AJ61" s="13"/>
      <c r="AK61" s="41" t="s">
        <v>2</v>
      </c>
      <c r="AL61" s="42" t="s">
        <v>46</v>
      </c>
      <c r="AM61" s="43"/>
      <c r="AN61" s="43"/>
      <c r="AO61" s="44"/>
      <c r="AP61" s="42" t="s">
        <v>47</v>
      </c>
      <c r="AQ61" s="43"/>
      <c r="AR61" s="44"/>
      <c r="AT61" s="41" t="s">
        <v>2</v>
      </c>
      <c r="AU61" s="42" t="s">
        <v>46</v>
      </c>
      <c r="AV61" s="43"/>
      <c r="AW61" s="43"/>
      <c r="AX61" s="44"/>
      <c r="AY61" s="42" t="s">
        <v>47</v>
      </c>
      <c r="AZ61" s="43"/>
      <c r="BA61" s="44"/>
    </row>
    <row r="62" spans="1:53" ht="16" thickBot="1">
      <c r="A62" s="46">
        <v>0.48958333333333331</v>
      </c>
      <c r="B62" s="47" t="s">
        <v>49</v>
      </c>
      <c r="C62" s="47" t="s">
        <v>50</v>
      </c>
      <c r="D62" s="47" t="s">
        <v>51</v>
      </c>
      <c r="E62" s="47" t="s">
        <v>52</v>
      </c>
      <c r="F62" s="47" t="s">
        <v>53</v>
      </c>
      <c r="G62" s="47" t="s">
        <v>54</v>
      </c>
      <c r="H62" s="47" t="s">
        <v>55</v>
      </c>
      <c r="I62" s="45"/>
      <c r="J62" s="46">
        <v>0.48958333333333331</v>
      </c>
      <c r="K62" s="47" t="s">
        <v>49</v>
      </c>
      <c r="L62" s="47" t="s">
        <v>50</v>
      </c>
      <c r="M62" s="47" t="s">
        <v>51</v>
      </c>
      <c r="N62" s="47" t="s">
        <v>52</v>
      </c>
      <c r="O62" s="47" t="s">
        <v>53</v>
      </c>
      <c r="P62" s="47" t="s">
        <v>54</v>
      </c>
      <c r="Q62" s="47" t="s">
        <v>55</v>
      </c>
      <c r="R62" s="45"/>
      <c r="S62" s="46">
        <v>0.48958333333333331</v>
      </c>
      <c r="T62" s="47" t="s">
        <v>49</v>
      </c>
      <c r="U62" s="47" t="s">
        <v>50</v>
      </c>
      <c r="V62" s="47" t="s">
        <v>51</v>
      </c>
      <c r="W62" s="47" t="s">
        <v>52</v>
      </c>
      <c r="X62" s="47" t="s">
        <v>53</v>
      </c>
      <c r="Y62" s="47" t="s">
        <v>54</v>
      </c>
      <c r="Z62" s="47" t="s">
        <v>55</v>
      </c>
      <c r="AA62" s="45"/>
      <c r="AB62" s="46">
        <v>0.48958333333333331</v>
      </c>
      <c r="AC62" s="47" t="s">
        <v>49</v>
      </c>
      <c r="AD62" s="47" t="s">
        <v>50</v>
      </c>
      <c r="AE62" s="47" t="s">
        <v>51</v>
      </c>
      <c r="AF62" s="47" t="s">
        <v>52</v>
      </c>
      <c r="AG62" s="47" t="s">
        <v>53</v>
      </c>
      <c r="AH62" s="47" t="s">
        <v>54</v>
      </c>
      <c r="AI62" s="47" t="s">
        <v>55</v>
      </c>
      <c r="AJ62" s="13"/>
      <c r="AK62" s="46">
        <v>0.48958333333333331</v>
      </c>
      <c r="AL62" s="47" t="s">
        <v>49</v>
      </c>
      <c r="AM62" s="47" t="s">
        <v>50</v>
      </c>
      <c r="AN62" s="47" t="s">
        <v>51</v>
      </c>
      <c r="AO62" s="47" t="s">
        <v>52</v>
      </c>
      <c r="AP62" s="47" t="s">
        <v>53</v>
      </c>
      <c r="AQ62" s="47" t="s">
        <v>54</v>
      </c>
      <c r="AR62" s="47" t="s">
        <v>55</v>
      </c>
      <c r="AT62" s="46">
        <v>0.48958333333333331</v>
      </c>
      <c r="AU62" s="47" t="s">
        <v>49</v>
      </c>
      <c r="AV62" s="47" t="s">
        <v>50</v>
      </c>
      <c r="AW62" s="47" t="s">
        <v>51</v>
      </c>
      <c r="AX62" s="47" t="s">
        <v>52</v>
      </c>
      <c r="AY62" s="47" t="s">
        <v>53</v>
      </c>
      <c r="AZ62" s="47" t="s">
        <v>54</v>
      </c>
      <c r="BA62" s="47" t="s">
        <v>55</v>
      </c>
    </row>
    <row r="63" spans="1:53" ht="16" thickBot="1">
      <c r="A63" s="48">
        <v>46</v>
      </c>
      <c r="B63" s="49">
        <f>資料儲存!D1487</f>
        <v>0</v>
      </c>
      <c r="C63" s="49">
        <f>資料儲存!E1487</f>
        <v>0</v>
      </c>
      <c r="D63" s="49">
        <f>資料儲存!F1487</f>
        <v>0</v>
      </c>
      <c r="E63" s="49">
        <f>資料儲存!G1487</f>
        <v>0</v>
      </c>
      <c r="F63" s="49">
        <f>資料儲存!H1487</f>
        <v>0</v>
      </c>
      <c r="G63" s="49">
        <f>資料儲存!I1487</f>
        <v>0</v>
      </c>
      <c r="H63" s="49">
        <f>資料儲存!J1487</f>
        <v>0</v>
      </c>
      <c r="I63" s="45"/>
      <c r="J63" s="48">
        <v>46</v>
      </c>
      <c r="K63" s="49">
        <f>資料儲存!D1607</f>
        <v>0</v>
      </c>
      <c r="L63" s="49">
        <f>資料儲存!E1607</f>
        <v>0</v>
      </c>
      <c r="M63" s="49">
        <f>資料儲存!F1607</f>
        <v>0</v>
      </c>
      <c r="N63" s="49">
        <f>資料儲存!G1607</f>
        <v>0</v>
      </c>
      <c r="O63" s="49">
        <f>資料儲存!H1607</f>
        <v>0</v>
      </c>
      <c r="P63" s="49">
        <f>資料儲存!I1607</f>
        <v>0</v>
      </c>
      <c r="Q63" s="49">
        <f>資料儲存!J1607</f>
        <v>0</v>
      </c>
      <c r="R63" s="45"/>
      <c r="S63" s="48">
        <v>46</v>
      </c>
      <c r="T63" s="49">
        <f>資料儲存!D1727</f>
        <v>0</v>
      </c>
      <c r="U63" s="49">
        <f>資料儲存!E1727</f>
        <v>0</v>
      </c>
      <c r="V63" s="49">
        <f>資料儲存!F1727</f>
        <v>0</v>
      </c>
      <c r="W63" s="49">
        <f>資料儲存!G1727</f>
        <v>0</v>
      </c>
      <c r="X63" s="49">
        <f>資料儲存!H1727</f>
        <v>0</v>
      </c>
      <c r="Y63" s="49">
        <f>資料儲存!I1727</f>
        <v>0</v>
      </c>
      <c r="Z63" s="49">
        <f>資料儲存!J1727</f>
        <v>0</v>
      </c>
      <c r="AA63" s="45"/>
      <c r="AB63" s="48">
        <v>46</v>
      </c>
      <c r="AC63" s="49">
        <f>資料儲存!D1847</f>
        <v>0</v>
      </c>
      <c r="AD63" s="49">
        <f>資料儲存!E1847</f>
        <v>0</v>
      </c>
      <c r="AE63" s="49">
        <f>資料儲存!F1847</f>
        <v>0</v>
      </c>
      <c r="AF63" s="49">
        <f>資料儲存!G1847</f>
        <v>0</v>
      </c>
      <c r="AG63" s="49">
        <f>資料儲存!H1847</f>
        <v>0</v>
      </c>
      <c r="AH63" s="49">
        <f>資料儲存!I1847</f>
        <v>0</v>
      </c>
      <c r="AI63" s="49">
        <f>資料儲存!J1847</f>
        <v>0</v>
      </c>
      <c r="AJ63" s="13"/>
      <c r="AK63" s="48">
        <v>46</v>
      </c>
      <c r="AL63" s="49">
        <f>資料儲存!D1967</f>
        <v>0</v>
      </c>
      <c r="AM63" s="49">
        <f>資料儲存!E1967</f>
        <v>0</v>
      </c>
      <c r="AN63" s="49">
        <f>資料儲存!F1967</f>
        <v>0</v>
      </c>
      <c r="AO63" s="49">
        <f>資料儲存!G1967</f>
        <v>0</v>
      </c>
      <c r="AP63" s="49">
        <f>資料儲存!H1967</f>
        <v>0</v>
      </c>
      <c r="AQ63" s="49">
        <f>資料儲存!I1967</f>
        <v>0</v>
      </c>
      <c r="AR63" s="49">
        <f>資料儲存!J1967</f>
        <v>0</v>
      </c>
      <c r="AT63" s="48">
        <v>46</v>
      </c>
      <c r="AU63" s="49">
        <f>資料儲存!D2087</f>
        <v>0</v>
      </c>
      <c r="AV63" s="49">
        <f>資料儲存!E2087</f>
        <v>0</v>
      </c>
      <c r="AW63" s="49">
        <f>資料儲存!F2087</f>
        <v>0</v>
      </c>
      <c r="AX63" s="49">
        <f>資料儲存!G2087</f>
        <v>0</v>
      </c>
      <c r="AY63" s="49">
        <f>資料儲存!H2087</f>
        <v>0</v>
      </c>
      <c r="AZ63" s="49">
        <f>資料儲存!I2087</f>
        <v>0</v>
      </c>
      <c r="BA63" s="49">
        <f>資料儲存!J2087</f>
        <v>0</v>
      </c>
    </row>
    <row r="64" spans="1:53" ht="16" thickBot="1">
      <c r="A64" s="48">
        <v>47</v>
      </c>
      <c r="B64" s="49">
        <f>資料儲存!D1488</f>
        <v>0</v>
      </c>
      <c r="C64" s="49">
        <f>資料儲存!E1488</f>
        <v>0</v>
      </c>
      <c r="D64" s="49">
        <f>資料儲存!F1488</f>
        <v>0</v>
      </c>
      <c r="E64" s="49">
        <f>資料儲存!G1488</f>
        <v>0</v>
      </c>
      <c r="F64" s="49">
        <f>資料儲存!H1488</f>
        <v>0</v>
      </c>
      <c r="G64" s="49">
        <f>資料儲存!I1488</f>
        <v>0</v>
      </c>
      <c r="H64" s="49">
        <f>資料儲存!J1488</f>
        <v>0</v>
      </c>
      <c r="I64" s="45"/>
      <c r="J64" s="48">
        <v>47</v>
      </c>
      <c r="K64" s="49">
        <f>資料儲存!D1608</f>
        <v>0</v>
      </c>
      <c r="L64" s="49">
        <f>資料儲存!E1608</f>
        <v>0</v>
      </c>
      <c r="M64" s="49">
        <f>資料儲存!F1608</f>
        <v>0</v>
      </c>
      <c r="N64" s="49">
        <f>資料儲存!G1608</f>
        <v>0</v>
      </c>
      <c r="O64" s="49">
        <f>資料儲存!H1608</f>
        <v>0</v>
      </c>
      <c r="P64" s="49">
        <f>資料儲存!I1608</f>
        <v>0</v>
      </c>
      <c r="Q64" s="49">
        <f>資料儲存!J1608</f>
        <v>0</v>
      </c>
      <c r="R64" s="45"/>
      <c r="S64" s="48">
        <v>47</v>
      </c>
      <c r="T64" s="49">
        <f>資料儲存!D1728</f>
        <v>0</v>
      </c>
      <c r="U64" s="49">
        <f>資料儲存!E1728</f>
        <v>0</v>
      </c>
      <c r="V64" s="49">
        <f>資料儲存!F1728</f>
        <v>0</v>
      </c>
      <c r="W64" s="49">
        <f>資料儲存!G1728</f>
        <v>0</v>
      </c>
      <c r="X64" s="49">
        <f>資料儲存!H1728</f>
        <v>0</v>
      </c>
      <c r="Y64" s="49">
        <f>資料儲存!I1728</f>
        <v>0</v>
      </c>
      <c r="Z64" s="49">
        <f>資料儲存!J1728</f>
        <v>0</v>
      </c>
      <c r="AA64" s="45"/>
      <c r="AB64" s="48">
        <v>47</v>
      </c>
      <c r="AC64" s="49">
        <f>資料儲存!D1848</f>
        <v>0</v>
      </c>
      <c r="AD64" s="49">
        <f>資料儲存!E1848</f>
        <v>0</v>
      </c>
      <c r="AE64" s="49">
        <f>資料儲存!F1848</f>
        <v>0</v>
      </c>
      <c r="AF64" s="49">
        <f>資料儲存!G1848</f>
        <v>0</v>
      </c>
      <c r="AG64" s="49">
        <f>資料儲存!H1848</f>
        <v>0</v>
      </c>
      <c r="AH64" s="49">
        <f>資料儲存!I1848</f>
        <v>0</v>
      </c>
      <c r="AI64" s="49">
        <f>資料儲存!J1848</f>
        <v>0</v>
      </c>
      <c r="AJ64" s="13"/>
      <c r="AK64" s="48">
        <v>47</v>
      </c>
      <c r="AL64" s="49">
        <f>資料儲存!D1968</f>
        <v>0</v>
      </c>
      <c r="AM64" s="49">
        <f>資料儲存!E1968</f>
        <v>0</v>
      </c>
      <c r="AN64" s="49">
        <f>資料儲存!F1968</f>
        <v>0</v>
      </c>
      <c r="AO64" s="49">
        <f>資料儲存!G1968</f>
        <v>0</v>
      </c>
      <c r="AP64" s="49">
        <f>資料儲存!H1968</f>
        <v>0</v>
      </c>
      <c r="AQ64" s="49">
        <f>資料儲存!I1968</f>
        <v>0</v>
      </c>
      <c r="AR64" s="49">
        <f>資料儲存!J1968</f>
        <v>0</v>
      </c>
      <c r="AT64" s="48">
        <v>47</v>
      </c>
      <c r="AU64" s="49">
        <f>資料儲存!D2088</f>
        <v>0</v>
      </c>
      <c r="AV64" s="49">
        <f>資料儲存!E2088</f>
        <v>0</v>
      </c>
      <c r="AW64" s="49">
        <f>資料儲存!F2088</f>
        <v>0</v>
      </c>
      <c r="AX64" s="49">
        <f>資料儲存!G2088</f>
        <v>0</v>
      </c>
      <c r="AY64" s="49">
        <f>資料儲存!H2088</f>
        <v>0</v>
      </c>
      <c r="AZ64" s="49">
        <f>資料儲存!I2088</f>
        <v>0</v>
      </c>
      <c r="BA64" s="49">
        <f>資料儲存!J2088</f>
        <v>0</v>
      </c>
    </row>
    <row r="65" spans="1:53" ht="16" thickBot="1">
      <c r="A65" s="48">
        <v>48</v>
      </c>
      <c r="B65" s="49">
        <f>資料儲存!D1489</f>
        <v>0</v>
      </c>
      <c r="C65" s="49">
        <f>資料儲存!E1489</f>
        <v>0</v>
      </c>
      <c r="D65" s="49">
        <f>資料儲存!F1489</f>
        <v>0</v>
      </c>
      <c r="E65" s="49">
        <f>資料儲存!G1489</f>
        <v>0</v>
      </c>
      <c r="F65" s="49">
        <f>資料儲存!H1489</f>
        <v>0</v>
      </c>
      <c r="G65" s="49">
        <f>資料儲存!I1489</f>
        <v>0</v>
      </c>
      <c r="H65" s="49">
        <f>資料儲存!J1489</f>
        <v>0</v>
      </c>
      <c r="I65" s="45"/>
      <c r="J65" s="48">
        <v>48</v>
      </c>
      <c r="K65" s="49">
        <f>資料儲存!D1609</f>
        <v>0</v>
      </c>
      <c r="L65" s="49">
        <f>資料儲存!E1609</f>
        <v>0</v>
      </c>
      <c r="M65" s="49">
        <f>資料儲存!F1609</f>
        <v>0</v>
      </c>
      <c r="N65" s="49">
        <f>資料儲存!G1609</f>
        <v>0</v>
      </c>
      <c r="O65" s="49">
        <f>資料儲存!H1609</f>
        <v>0</v>
      </c>
      <c r="P65" s="49">
        <f>資料儲存!I1609</f>
        <v>0</v>
      </c>
      <c r="Q65" s="49">
        <f>資料儲存!J1609</f>
        <v>0</v>
      </c>
      <c r="R65" s="45"/>
      <c r="S65" s="48">
        <v>48</v>
      </c>
      <c r="T65" s="49">
        <f>資料儲存!D1729</f>
        <v>0</v>
      </c>
      <c r="U65" s="49">
        <f>資料儲存!E1729</f>
        <v>0</v>
      </c>
      <c r="V65" s="49">
        <f>資料儲存!F1729</f>
        <v>0</v>
      </c>
      <c r="W65" s="49">
        <f>資料儲存!G1729</f>
        <v>0</v>
      </c>
      <c r="X65" s="49">
        <f>資料儲存!H1729</f>
        <v>0</v>
      </c>
      <c r="Y65" s="49">
        <f>資料儲存!I1729</f>
        <v>0</v>
      </c>
      <c r="Z65" s="49">
        <f>資料儲存!J1729</f>
        <v>0</v>
      </c>
      <c r="AA65" s="45"/>
      <c r="AB65" s="48">
        <v>48</v>
      </c>
      <c r="AC65" s="49">
        <f>資料儲存!D1849</f>
        <v>0</v>
      </c>
      <c r="AD65" s="49">
        <f>資料儲存!E1849</f>
        <v>0</v>
      </c>
      <c r="AE65" s="49">
        <f>資料儲存!F1849</f>
        <v>0</v>
      </c>
      <c r="AF65" s="49">
        <f>資料儲存!G1849</f>
        <v>0</v>
      </c>
      <c r="AG65" s="49">
        <f>資料儲存!H1849</f>
        <v>0</v>
      </c>
      <c r="AH65" s="49">
        <f>資料儲存!I1849</f>
        <v>0</v>
      </c>
      <c r="AI65" s="49">
        <f>資料儲存!J1849</f>
        <v>0</v>
      </c>
      <c r="AJ65" s="13"/>
      <c r="AK65" s="48">
        <v>48</v>
      </c>
      <c r="AL65" s="49">
        <f>資料儲存!D1969</f>
        <v>0</v>
      </c>
      <c r="AM65" s="49">
        <f>資料儲存!E1969</f>
        <v>0</v>
      </c>
      <c r="AN65" s="49">
        <f>資料儲存!F1969</f>
        <v>0</v>
      </c>
      <c r="AO65" s="49">
        <f>資料儲存!G1969</f>
        <v>0</v>
      </c>
      <c r="AP65" s="49">
        <f>資料儲存!H1969</f>
        <v>0</v>
      </c>
      <c r="AQ65" s="49">
        <f>資料儲存!I1969</f>
        <v>0</v>
      </c>
      <c r="AR65" s="49">
        <f>資料儲存!J1969</f>
        <v>0</v>
      </c>
      <c r="AT65" s="48">
        <v>48</v>
      </c>
      <c r="AU65" s="49">
        <f>資料儲存!D2089</f>
        <v>0</v>
      </c>
      <c r="AV65" s="49">
        <f>資料儲存!E2089</f>
        <v>0</v>
      </c>
      <c r="AW65" s="49">
        <f>資料儲存!F2089</f>
        <v>0</v>
      </c>
      <c r="AX65" s="49">
        <f>資料儲存!G2089</f>
        <v>0</v>
      </c>
      <c r="AY65" s="49">
        <f>資料儲存!H2089</f>
        <v>0</v>
      </c>
      <c r="AZ65" s="49">
        <f>資料儲存!I2089</f>
        <v>0</v>
      </c>
      <c r="BA65" s="49">
        <f>資料儲存!J2089</f>
        <v>0</v>
      </c>
    </row>
    <row r="66" spans="1:53" ht="16" thickBot="1">
      <c r="A66" s="48">
        <v>49</v>
      </c>
      <c r="B66" s="49">
        <f>資料儲存!D1490</f>
        <v>0</v>
      </c>
      <c r="C66" s="49">
        <f>資料儲存!E1490</f>
        <v>0</v>
      </c>
      <c r="D66" s="49">
        <f>資料儲存!F1490</f>
        <v>0</v>
      </c>
      <c r="E66" s="49">
        <f>資料儲存!G1490</f>
        <v>0</v>
      </c>
      <c r="F66" s="49">
        <f>資料儲存!H1490</f>
        <v>0</v>
      </c>
      <c r="G66" s="49">
        <f>資料儲存!I1490</f>
        <v>0</v>
      </c>
      <c r="H66" s="49">
        <f>資料儲存!J1490</f>
        <v>0</v>
      </c>
      <c r="I66" s="45"/>
      <c r="J66" s="48">
        <v>49</v>
      </c>
      <c r="K66" s="49">
        <f>資料儲存!D1610</f>
        <v>0</v>
      </c>
      <c r="L66" s="49">
        <f>資料儲存!E1610</f>
        <v>0</v>
      </c>
      <c r="M66" s="49">
        <f>資料儲存!F1610</f>
        <v>0</v>
      </c>
      <c r="N66" s="49">
        <f>資料儲存!G1610</f>
        <v>0</v>
      </c>
      <c r="O66" s="49">
        <f>資料儲存!H1610</f>
        <v>0</v>
      </c>
      <c r="P66" s="49">
        <f>資料儲存!I1610</f>
        <v>0</v>
      </c>
      <c r="Q66" s="49">
        <f>資料儲存!J1610</f>
        <v>0</v>
      </c>
      <c r="R66" s="45"/>
      <c r="S66" s="48">
        <v>49</v>
      </c>
      <c r="T66" s="49">
        <f>資料儲存!D1730</f>
        <v>0</v>
      </c>
      <c r="U66" s="49">
        <f>資料儲存!E1730</f>
        <v>0</v>
      </c>
      <c r="V66" s="49">
        <f>資料儲存!F1730</f>
        <v>0</v>
      </c>
      <c r="W66" s="49">
        <f>資料儲存!G1730</f>
        <v>0</v>
      </c>
      <c r="X66" s="49">
        <f>資料儲存!H1730</f>
        <v>0</v>
      </c>
      <c r="Y66" s="49">
        <f>資料儲存!I1730</f>
        <v>0</v>
      </c>
      <c r="Z66" s="49">
        <f>資料儲存!J1730</f>
        <v>0</v>
      </c>
      <c r="AA66" s="45"/>
      <c r="AB66" s="48">
        <v>49</v>
      </c>
      <c r="AC66" s="49">
        <f>資料儲存!D1850</f>
        <v>0</v>
      </c>
      <c r="AD66" s="49">
        <f>資料儲存!E1850</f>
        <v>0</v>
      </c>
      <c r="AE66" s="49">
        <f>資料儲存!F1850</f>
        <v>0</v>
      </c>
      <c r="AF66" s="49">
        <f>資料儲存!G1850</f>
        <v>0</v>
      </c>
      <c r="AG66" s="49">
        <f>資料儲存!H1850</f>
        <v>0</v>
      </c>
      <c r="AH66" s="49">
        <f>資料儲存!I1850</f>
        <v>0</v>
      </c>
      <c r="AI66" s="49">
        <f>資料儲存!J1850</f>
        <v>0</v>
      </c>
      <c r="AJ66" s="13"/>
      <c r="AK66" s="48">
        <v>49</v>
      </c>
      <c r="AL66" s="49">
        <f>資料儲存!D1970</f>
        <v>0</v>
      </c>
      <c r="AM66" s="49">
        <f>資料儲存!E1970</f>
        <v>0</v>
      </c>
      <c r="AN66" s="49">
        <f>資料儲存!F1970</f>
        <v>0</v>
      </c>
      <c r="AO66" s="49">
        <f>資料儲存!G1970</f>
        <v>0</v>
      </c>
      <c r="AP66" s="49">
        <f>資料儲存!H1970</f>
        <v>0</v>
      </c>
      <c r="AQ66" s="49">
        <f>資料儲存!I1970</f>
        <v>0</v>
      </c>
      <c r="AR66" s="49">
        <f>資料儲存!J1970</f>
        <v>0</v>
      </c>
      <c r="AT66" s="48">
        <v>49</v>
      </c>
      <c r="AU66" s="49">
        <f>資料儲存!D2090</f>
        <v>0</v>
      </c>
      <c r="AV66" s="49">
        <f>資料儲存!E2090</f>
        <v>0</v>
      </c>
      <c r="AW66" s="49">
        <f>資料儲存!F2090</f>
        <v>0</v>
      </c>
      <c r="AX66" s="49">
        <f>資料儲存!G2090</f>
        <v>0</v>
      </c>
      <c r="AY66" s="49">
        <f>資料儲存!H2090</f>
        <v>0</v>
      </c>
      <c r="AZ66" s="49">
        <f>資料儲存!I2090</f>
        <v>0</v>
      </c>
      <c r="BA66" s="49">
        <f>資料儲存!J2090</f>
        <v>0</v>
      </c>
    </row>
    <row r="67" spans="1:53" ht="16" thickBot="1">
      <c r="A67" s="48">
        <v>50</v>
      </c>
      <c r="B67" s="49">
        <f>資料儲存!D1491</f>
        <v>0</v>
      </c>
      <c r="C67" s="49">
        <f>資料儲存!E1491</f>
        <v>0</v>
      </c>
      <c r="D67" s="49">
        <f>資料儲存!F1491</f>
        <v>0</v>
      </c>
      <c r="E67" s="49">
        <f>資料儲存!G1491</f>
        <v>0</v>
      </c>
      <c r="F67" s="49">
        <f>資料儲存!H1491</f>
        <v>0</v>
      </c>
      <c r="G67" s="49">
        <f>資料儲存!I1491</f>
        <v>0</v>
      </c>
      <c r="H67" s="49">
        <f>資料儲存!J1491</f>
        <v>0</v>
      </c>
      <c r="I67" s="45"/>
      <c r="J67" s="48">
        <v>50</v>
      </c>
      <c r="K67" s="49">
        <f>資料儲存!D1611</f>
        <v>0</v>
      </c>
      <c r="L67" s="49">
        <f>資料儲存!E1611</f>
        <v>0</v>
      </c>
      <c r="M67" s="49">
        <f>資料儲存!F1611</f>
        <v>0</v>
      </c>
      <c r="N67" s="49">
        <f>資料儲存!G1611</f>
        <v>0</v>
      </c>
      <c r="O67" s="49">
        <f>資料儲存!H1611</f>
        <v>0</v>
      </c>
      <c r="P67" s="49">
        <f>資料儲存!I1611</f>
        <v>0</v>
      </c>
      <c r="Q67" s="49">
        <f>資料儲存!J1611</f>
        <v>0</v>
      </c>
      <c r="R67" s="45"/>
      <c r="S67" s="48">
        <v>50</v>
      </c>
      <c r="T67" s="49">
        <f>資料儲存!D1731</f>
        <v>0</v>
      </c>
      <c r="U67" s="49">
        <f>資料儲存!E1731</f>
        <v>0</v>
      </c>
      <c r="V67" s="49">
        <f>資料儲存!F1731</f>
        <v>0</v>
      </c>
      <c r="W67" s="49">
        <f>資料儲存!G1731</f>
        <v>0</v>
      </c>
      <c r="X67" s="49">
        <f>資料儲存!H1731</f>
        <v>0</v>
      </c>
      <c r="Y67" s="49">
        <f>資料儲存!I1731</f>
        <v>0</v>
      </c>
      <c r="Z67" s="49">
        <f>資料儲存!J1731</f>
        <v>0</v>
      </c>
      <c r="AA67" s="45"/>
      <c r="AB67" s="48">
        <v>50</v>
      </c>
      <c r="AC67" s="49">
        <f>資料儲存!D1851</f>
        <v>0</v>
      </c>
      <c r="AD67" s="49">
        <f>資料儲存!E1851</f>
        <v>0</v>
      </c>
      <c r="AE67" s="49">
        <f>資料儲存!F1851</f>
        <v>0</v>
      </c>
      <c r="AF67" s="49">
        <f>資料儲存!G1851</f>
        <v>0</v>
      </c>
      <c r="AG67" s="49">
        <f>資料儲存!H1851</f>
        <v>0</v>
      </c>
      <c r="AH67" s="49">
        <f>資料儲存!I1851</f>
        <v>0</v>
      </c>
      <c r="AI67" s="49">
        <f>資料儲存!J1851</f>
        <v>0</v>
      </c>
      <c r="AJ67" s="13"/>
      <c r="AK67" s="48">
        <v>50</v>
      </c>
      <c r="AL67" s="49">
        <f>資料儲存!D1971</f>
        <v>0</v>
      </c>
      <c r="AM67" s="49">
        <f>資料儲存!E1971</f>
        <v>0</v>
      </c>
      <c r="AN67" s="49">
        <f>資料儲存!F1971</f>
        <v>0</v>
      </c>
      <c r="AO67" s="49">
        <f>資料儲存!G1971</f>
        <v>0</v>
      </c>
      <c r="AP67" s="49">
        <f>資料儲存!H1971</f>
        <v>0</v>
      </c>
      <c r="AQ67" s="49">
        <f>資料儲存!I1971</f>
        <v>0</v>
      </c>
      <c r="AR67" s="49">
        <f>資料儲存!J1971</f>
        <v>0</v>
      </c>
      <c r="AT67" s="48">
        <v>50</v>
      </c>
      <c r="AU67" s="49">
        <f>資料儲存!D2091</f>
        <v>0</v>
      </c>
      <c r="AV67" s="49">
        <f>資料儲存!E2091</f>
        <v>0</v>
      </c>
      <c r="AW67" s="49">
        <f>資料儲存!F2091</f>
        <v>0</v>
      </c>
      <c r="AX67" s="49">
        <f>資料儲存!G2091</f>
        <v>0</v>
      </c>
      <c r="AY67" s="49">
        <f>資料儲存!H2091</f>
        <v>0</v>
      </c>
      <c r="AZ67" s="49">
        <f>資料儲存!I2091</f>
        <v>0</v>
      </c>
      <c r="BA67" s="49">
        <f>資料儲存!J2091</f>
        <v>0</v>
      </c>
    </row>
    <row r="68" spans="1:53" ht="16" thickBot="1">
      <c r="A68" s="48">
        <v>51</v>
      </c>
      <c r="B68" s="49">
        <f>資料儲存!D1492</f>
        <v>0</v>
      </c>
      <c r="C68" s="49">
        <f>資料儲存!E1492</f>
        <v>0</v>
      </c>
      <c r="D68" s="49">
        <f>資料儲存!F1492</f>
        <v>0</v>
      </c>
      <c r="E68" s="49">
        <f>資料儲存!G1492</f>
        <v>0</v>
      </c>
      <c r="F68" s="49">
        <f>資料儲存!H1492</f>
        <v>0</v>
      </c>
      <c r="G68" s="49">
        <f>資料儲存!I1492</f>
        <v>0</v>
      </c>
      <c r="H68" s="49">
        <f>資料儲存!J1492</f>
        <v>0</v>
      </c>
      <c r="I68" s="45"/>
      <c r="J68" s="48">
        <v>51</v>
      </c>
      <c r="K68" s="49">
        <f>資料儲存!D1612</f>
        <v>0</v>
      </c>
      <c r="L68" s="49">
        <f>資料儲存!E1612</f>
        <v>0</v>
      </c>
      <c r="M68" s="49">
        <f>資料儲存!F1612</f>
        <v>0</v>
      </c>
      <c r="N68" s="49">
        <f>資料儲存!G1612</f>
        <v>0</v>
      </c>
      <c r="O68" s="49">
        <f>資料儲存!H1612</f>
        <v>0</v>
      </c>
      <c r="P68" s="49">
        <f>資料儲存!I1612</f>
        <v>0</v>
      </c>
      <c r="Q68" s="49">
        <f>資料儲存!J1612</f>
        <v>0</v>
      </c>
      <c r="R68" s="45"/>
      <c r="S68" s="48">
        <v>51</v>
      </c>
      <c r="T68" s="49">
        <f>資料儲存!D1732</f>
        <v>0</v>
      </c>
      <c r="U68" s="49">
        <f>資料儲存!E1732</f>
        <v>0</v>
      </c>
      <c r="V68" s="49">
        <f>資料儲存!F1732</f>
        <v>0</v>
      </c>
      <c r="W68" s="49">
        <f>資料儲存!G1732</f>
        <v>0</v>
      </c>
      <c r="X68" s="49">
        <f>資料儲存!H1732</f>
        <v>0</v>
      </c>
      <c r="Y68" s="49">
        <f>資料儲存!I1732</f>
        <v>0</v>
      </c>
      <c r="Z68" s="49">
        <f>資料儲存!J1732</f>
        <v>0</v>
      </c>
      <c r="AA68" s="45"/>
      <c r="AB68" s="48">
        <v>51</v>
      </c>
      <c r="AC68" s="49">
        <f>資料儲存!D1852</f>
        <v>0</v>
      </c>
      <c r="AD68" s="49">
        <f>資料儲存!E1852</f>
        <v>0</v>
      </c>
      <c r="AE68" s="49">
        <f>資料儲存!F1852</f>
        <v>0</v>
      </c>
      <c r="AF68" s="49">
        <f>資料儲存!G1852</f>
        <v>0</v>
      </c>
      <c r="AG68" s="49">
        <f>資料儲存!H1852</f>
        <v>0</v>
      </c>
      <c r="AH68" s="49">
        <f>資料儲存!I1852</f>
        <v>0</v>
      </c>
      <c r="AI68" s="49">
        <f>資料儲存!J1852</f>
        <v>0</v>
      </c>
      <c r="AJ68" s="13"/>
      <c r="AK68" s="48">
        <v>51</v>
      </c>
      <c r="AL68" s="49">
        <f>資料儲存!D1972</f>
        <v>0</v>
      </c>
      <c r="AM68" s="49">
        <f>資料儲存!E1972</f>
        <v>0</v>
      </c>
      <c r="AN68" s="49">
        <f>資料儲存!F1972</f>
        <v>0</v>
      </c>
      <c r="AO68" s="49">
        <f>資料儲存!G1972</f>
        <v>0</v>
      </c>
      <c r="AP68" s="49">
        <f>資料儲存!H1972</f>
        <v>0</v>
      </c>
      <c r="AQ68" s="49">
        <f>資料儲存!I1972</f>
        <v>0</v>
      </c>
      <c r="AR68" s="49">
        <f>資料儲存!J1972</f>
        <v>0</v>
      </c>
      <c r="AT68" s="48">
        <v>51</v>
      </c>
      <c r="AU68" s="49">
        <f>資料儲存!D2092</f>
        <v>0</v>
      </c>
      <c r="AV68" s="49">
        <f>資料儲存!E2092</f>
        <v>0</v>
      </c>
      <c r="AW68" s="49">
        <f>資料儲存!F2092</f>
        <v>0</v>
      </c>
      <c r="AX68" s="49">
        <f>資料儲存!G2092</f>
        <v>0</v>
      </c>
      <c r="AY68" s="49">
        <f>資料儲存!H2092</f>
        <v>0</v>
      </c>
      <c r="AZ68" s="49">
        <f>資料儲存!I2092</f>
        <v>0</v>
      </c>
      <c r="BA68" s="49">
        <f>資料儲存!J2092</f>
        <v>0</v>
      </c>
    </row>
    <row r="69" spans="1:53" ht="16" thickBot="1">
      <c r="A69" s="48">
        <v>52</v>
      </c>
      <c r="B69" s="49">
        <f>資料儲存!D1493</f>
        <v>0</v>
      </c>
      <c r="C69" s="49">
        <f>資料儲存!E1493</f>
        <v>0</v>
      </c>
      <c r="D69" s="49">
        <f>資料儲存!F1493</f>
        <v>0</v>
      </c>
      <c r="E69" s="49">
        <f>資料儲存!G1493</f>
        <v>0</v>
      </c>
      <c r="F69" s="49">
        <f>資料儲存!H1493</f>
        <v>0</v>
      </c>
      <c r="G69" s="49">
        <f>資料儲存!I1493</f>
        <v>0</v>
      </c>
      <c r="H69" s="49">
        <f>資料儲存!J1493</f>
        <v>0</v>
      </c>
      <c r="I69" s="45"/>
      <c r="J69" s="48">
        <v>52</v>
      </c>
      <c r="K69" s="49">
        <f>資料儲存!D1613</f>
        <v>0</v>
      </c>
      <c r="L69" s="49">
        <f>資料儲存!E1613</f>
        <v>0</v>
      </c>
      <c r="M69" s="49">
        <f>資料儲存!F1613</f>
        <v>0</v>
      </c>
      <c r="N69" s="49">
        <f>資料儲存!G1613</f>
        <v>0</v>
      </c>
      <c r="O69" s="49">
        <f>資料儲存!H1613</f>
        <v>0</v>
      </c>
      <c r="P69" s="49">
        <f>資料儲存!I1613</f>
        <v>0</v>
      </c>
      <c r="Q69" s="49">
        <f>資料儲存!J1613</f>
        <v>0</v>
      </c>
      <c r="R69" s="45"/>
      <c r="S69" s="48">
        <v>52</v>
      </c>
      <c r="T69" s="49">
        <f>資料儲存!D1733</f>
        <v>0</v>
      </c>
      <c r="U69" s="49">
        <f>資料儲存!E1733</f>
        <v>0</v>
      </c>
      <c r="V69" s="49">
        <f>資料儲存!F1733</f>
        <v>0</v>
      </c>
      <c r="W69" s="49">
        <f>資料儲存!G1733</f>
        <v>0</v>
      </c>
      <c r="X69" s="49">
        <f>資料儲存!H1733</f>
        <v>0</v>
      </c>
      <c r="Y69" s="49">
        <f>資料儲存!I1733</f>
        <v>0</v>
      </c>
      <c r="Z69" s="49">
        <f>資料儲存!J1733</f>
        <v>0</v>
      </c>
      <c r="AA69" s="45"/>
      <c r="AB69" s="48">
        <v>52</v>
      </c>
      <c r="AC69" s="49">
        <f>資料儲存!D1853</f>
        <v>0</v>
      </c>
      <c r="AD69" s="49">
        <f>資料儲存!E1853</f>
        <v>0</v>
      </c>
      <c r="AE69" s="49">
        <f>資料儲存!F1853</f>
        <v>0</v>
      </c>
      <c r="AF69" s="49">
        <f>資料儲存!G1853</f>
        <v>0</v>
      </c>
      <c r="AG69" s="49">
        <f>資料儲存!H1853</f>
        <v>0</v>
      </c>
      <c r="AH69" s="49">
        <f>資料儲存!I1853</f>
        <v>0</v>
      </c>
      <c r="AI69" s="49">
        <f>資料儲存!J1853</f>
        <v>0</v>
      </c>
      <c r="AJ69" s="13"/>
      <c r="AK69" s="48">
        <v>52</v>
      </c>
      <c r="AL69" s="49">
        <f>資料儲存!D1973</f>
        <v>0</v>
      </c>
      <c r="AM69" s="49">
        <f>資料儲存!E1973</f>
        <v>0</v>
      </c>
      <c r="AN69" s="49">
        <f>資料儲存!F1973</f>
        <v>0</v>
      </c>
      <c r="AO69" s="49">
        <f>資料儲存!G1973</f>
        <v>0</v>
      </c>
      <c r="AP69" s="49">
        <f>資料儲存!H1973</f>
        <v>0</v>
      </c>
      <c r="AQ69" s="49">
        <f>資料儲存!I1973</f>
        <v>0</v>
      </c>
      <c r="AR69" s="49">
        <f>資料儲存!J1973</f>
        <v>0</v>
      </c>
      <c r="AT69" s="48">
        <v>52</v>
      </c>
      <c r="AU69" s="49">
        <f>資料儲存!D2093</f>
        <v>0</v>
      </c>
      <c r="AV69" s="49">
        <f>資料儲存!E2093</f>
        <v>0</v>
      </c>
      <c r="AW69" s="49">
        <f>資料儲存!F2093</f>
        <v>0</v>
      </c>
      <c r="AX69" s="49">
        <f>資料儲存!G2093</f>
        <v>0</v>
      </c>
      <c r="AY69" s="49">
        <f>資料儲存!H2093</f>
        <v>0</v>
      </c>
      <c r="AZ69" s="49">
        <f>資料儲存!I2093</f>
        <v>0</v>
      </c>
      <c r="BA69" s="49">
        <f>資料儲存!J2093</f>
        <v>0</v>
      </c>
    </row>
    <row r="70" spans="1:53" ht="16" thickBot="1">
      <c r="A70" s="48">
        <v>53</v>
      </c>
      <c r="B70" s="49">
        <f>資料儲存!D1494</f>
        <v>0</v>
      </c>
      <c r="C70" s="49">
        <f>資料儲存!E1494</f>
        <v>0</v>
      </c>
      <c r="D70" s="49">
        <f>資料儲存!F1494</f>
        <v>0</v>
      </c>
      <c r="E70" s="49">
        <f>資料儲存!G1494</f>
        <v>0</v>
      </c>
      <c r="F70" s="49">
        <f>資料儲存!H1494</f>
        <v>0</v>
      </c>
      <c r="G70" s="49">
        <f>資料儲存!I1494</f>
        <v>0</v>
      </c>
      <c r="H70" s="49">
        <f>資料儲存!J1494</f>
        <v>0</v>
      </c>
      <c r="I70" s="45"/>
      <c r="J70" s="48">
        <v>53</v>
      </c>
      <c r="K70" s="49">
        <f>資料儲存!D1614</f>
        <v>0</v>
      </c>
      <c r="L70" s="49">
        <f>資料儲存!E1614</f>
        <v>0</v>
      </c>
      <c r="M70" s="49">
        <f>資料儲存!F1614</f>
        <v>0</v>
      </c>
      <c r="N70" s="49">
        <f>資料儲存!G1614</f>
        <v>0</v>
      </c>
      <c r="O70" s="49">
        <f>資料儲存!H1614</f>
        <v>0</v>
      </c>
      <c r="P70" s="49">
        <f>資料儲存!I1614</f>
        <v>0</v>
      </c>
      <c r="Q70" s="49">
        <f>資料儲存!J1614</f>
        <v>0</v>
      </c>
      <c r="R70" s="45"/>
      <c r="S70" s="48">
        <v>53</v>
      </c>
      <c r="T70" s="49">
        <f>資料儲存!D1734</f>
        <v>0</v>
      </c>
      <c r="U70" s="49">
        <f>資料儲存!E1734</f>
        <v>0</v>
      </c>
      <c r="V70" s="49">
        <f>資料儲存!F1734</f>
        <v>0</v>
      </c>
      <c r="W70" s="49">
        <f>資料儲存!G1734</f>
        <v>0</v>
      </c>
      <c r="X70" s="49">
        <f>資料儲存!H1734</f>
        <v>0</v>
      </c>
      <c r="Y70" s="49">
        <f>資料儲存!I1734</f>
        <v>0</v>
      </c>
      <c r="Z70" s="49">
        <f>資料儲存!J1734</f>
        <v>0</v>
      </c>
      <c r="AA70" s="45"/>
      <c r="AB70" s="48">
        <v>53</v>
      </c>
      <c r="AC70" s="49">
        <f>資料儲存!D1854</f>
        <v>0</v>
      </c>
      <c r="AD70" s="49">
        <f>資料儲存!E1854</f>
        <v>0</v>
      </c>
      <c r="AE70" s="49">
        <f>資料儲存!F1854</f>
        <v>0</v>
      </c>
      <c r="AF70" s="49">
        <f>資料儲存!G1854</f>
        <v>0</v>
      </c>
      <c r="AG70" s="49">
        <f>資料儲存!H1854</f>
        <v>0</v>
      </c>
      <c r="AH70" s="49">
        <f>資料儲存!I1854</f>
        <v>0</v>
      </c>
      <c r="AI70" s="49">
        <f>資料儲存!J1854</f>
        <v>0</v>
      </c>
      <c r="AJ70" s="13"/>
      <c r="AK70" s="48">
        <v>53</v>
      </c>
      <c r="AL70" s="49">
        <f>資料儲存!D1974</f>
        <v>0</v>
      </c>
      <c r="AM70" s="49">
        <f>資料儲存!E1974</f>
        <v>0</v>
      </c>
      <c r="AN70" s="49">
        <f>資料儲存!F1974</f>
        <v>0</v>
      </c>
      <c r="AO70" s="49">
        <f>資料儲存!G1974</f>
        <v>0</v>
      </c>
      <c r="AP70" s="49">
        <f>資料儲存!H1974</f>
        <v>0</v>
      </c>
      <c r="AQ70" s="49">
        <f>資料儲存!I1974</f>
        <v>0</v>
      </c>
      <c r="AR70" s="49">
        <f>資料儲存!J1974</f>
        <v>0</v>
      </c>
      <c r="AT70" s="48">
        <v>53</v>
      </c>
      <c r="AU70" s="49">
        <f>資料儲存!D2094</f>
        <v>0</v>
      </c>
      <c r="AV70" s="49">
        <f>資料儲存!E2094</f>
        <v>0</v>
      </c>
      <c r="AW70" s="49">
        <f>資料儲存!F2094</f>
        <v>0</v>
      </c>
      <c r="AX70" s="49">
        <f>資料儲存!G2094</f>
        <v>0</v>
      </c>
      <c r="AY70" s="49">
        <f>資料儲存!H2094</f>
        <v>0</v>
      </c>
      <c r="AZ70" s="49">
        <f>資料儲存!I2094</f>
        <v>0</v>
      </c>
      <c r="BA70" s="49">
        <f>資料儲存!J2094</f>
        <v>0</v>
      </c>
    </row>
    <row r="71" spans="1:53" ht="16" thickBot="1">
      <c r="A71" s="48">
        <v>54</v>
      </c>
      <c r="B71" s="49">
        <f>資料儲存!D1495</f>
        <v>0</v>
      </c>
      <c r="C71" s="49">
        <f>資料儲存!E1495</f>
        <v>0</v>
      </c>
      <c r="D71" s="49">
        <f>資料儲存!F1495</f>
        <v>0</v>
      </c>
      <c r="E71" s="49">
        <f>資料儲存!G1495</f>
        <v>0</v>
      </c>
      <c r="F71" s="49">
        <f>資料儲存!H1495</f>
        <v>0</v>
      </c>
      <c r="G71" s="49">
        <f>資料儲存!I1495</f>
        <v>0</v>
      </c>
      <c r="H71" s="49">
        <f>資料儲存!J1495</f>
        <v>0</v>
      </c>
      <c r="I71" s="45"/>
      <c r="J71" s="48">
        <v>54</v>
      </c>
      <c r="K71" s="49">
        <f>資料儲存!D1615</f>
        <v>0</v>
      </c>
      <c r="L71" s="49">
        <f>資料儲存!E1615</f>
        <v>0</v>
      </c>
      <c r="M71" s="49">
        <f>資料儲存!F1615</f>
        <v>0</v>
      </c>
      <c r="N71" s="49">
        <f>資料儲存!G1615</f>
        <v>0</v>
      </c>
      <c r="O71" s="49">
        <f>資料儲存!H1615</f>
        <v>0</v>
      </c>
      <c r="P71" s="49">
        <f>資料儲存!I1615</f>
        <v>0</v>
      </c>
      <c r="Q71" s="49">
        <f>資料儲存!J1615</f>
        <v>0</v>
      </c>
      <c r="R71" s="45"/>
      <c r="S71" s="48">
        <v>54</v>
      </c>
      <c r="T71" s="49">
        <f>資料儲存!D1735</f>
        <v>0</v>
      </c>
      <c r="U71" s="49">
        <f>資料儲存!E1735</f>
        <v>0</v>
      </c>
      <c r="V71" s="49">
        <f>資料儲存!F1735</f>
        <v>0</v>
      </c>
      <c r="W71" s="49">
        <f>資料儲存!G1735</f>
        <v>0</v>
      </c>
      <c r="X71" s="49">
        <f>資料儲存!H1735</f>
        <v>0</v>
      </c>
      <c r="Y71" s="49">
        <f>資料儲存!I1735</f>
        <v>0</v>
      </c>
      <c r="Z71" s="49">
        <f>資料儲存!J1735</f>
        <v>0</v>
      </c>
      <c r="AA71" s="45"/>
      <c r="AB71" s="48">
        <v>54</v>
      </c>
      <c r="AC71" s="49">
        <f>資料儲存!D1855</f>
        <v>0</v>
      </c>
      <c r="AD71" s="49">
        <f>資料儲存!E1855</f>
        <v>0</v>
      </c>
      <c r="AE71" s="49">
        <f>資料儲存!F1855</f>
        <v>0</v>
      </c>
      <c r="AF71" s="49">
        <f>資料儲存!G1855</f>
        <v>0</v>
      </c>
      <c r="AG71" s="49">
        <f>資料儲存!H1855</f>
        <v>0</v>
      </c>
      <c r="AH71" s="49">
        <f>資料儲存!I1855</f>
        <v>0</v>
      </c>
      <c r="AI71" s="49">
        <f>資料儲存!J1855</f>
        <v>0</v>
      </c>
      <c r="AJ71" s="13"/>
      <c r="AK71" s="48">
        <v>54</v>
      </c>
      <c r="AL71" s="49">
        <f>資料儲存!D1975</f>
        <v>0</v>
      </c>
      <c r="AM71" s="49">
        <f>資料儲存!E1975</f>
        <v>0</v>
      </c>
      <c r="AN71" s="49">
        <f>資料儲存!F1975</f>
        <v>0</v>
      </c>
      <c r="AO71" s="49">
        <f>資料儲存!G1975</f>
        <v>0</v>
      </c>
      <c r="AP71" s="49">
        <f>資料儲存!H1975</f>
        <v>0</v>
      </c>
      <c r="AQ71" s="49">
        <f>資料儲存!I1975</f>
        <v>0</v>
      </c>
      <c r="AR71" s="49">
        <f>資料儲存!J1975</f>
        <v>0</v>
      </c>
      <c r="AT71" s="48">
        <v>54</v>
      </c>
      <c r="AU71" s="49">
        <f>資料儲存!D2095</f>
        <v>0</v>
      </c>
      <c r="AV71" s="49">
        <f>資料儲存!E2095</f>
        <v>0</v>
      </c>
      <c r="AW71" s="49">
        <f>資料儲存!F2095</f>
        <v>0</v>
      </c>
      <c r="AX71" s="49">
        <f>資料儲存!G2095</f>
        <v>0</v>
      </c>
      <c r="AY71" s="49">
        <f>資料儲存!H2095</f>
        <v>0</v>
      </c>
      <c r="AZ71" s="49">
        <f>資料儲存!I2095</f>
        <v>0</v>
      </c>
      <c r="BA71" s="49">
        <f>資料儲存!J2095</f>
        <v>0</v>
      </c>
    </row>
    <row r="72" spans="1:53" ht="16" thickBot="1">
      <c r="A72" s="48">
        <v>55</v>
      </c>
      <c r="B72" s="49">
        <f>資料儲存!D1496</f>
        <v>0</v>
      </c>
      <c r="C72" s="49">
        <f>資料儲存!E1496</f>
        <v>0</v>
      </c>
      <c r="D72" s="49">
        <f>資料儲存!F1496</f>
        <v>0</v>
      </c>
      <c r="E72" s="49">
        <f>資料儲存!G1496</f>
        <v>0</v>
      </c>
      <c r="F72" s="49">
        <f>資料儲存!H1496</f>
        <v>0</v>
      </c>
      <c r="G72" s="49">
        <f>資料儲存!I1496</f>
        <v>0</v>
      </c>
      <c r="H72" s="49">
        <f>資料儲存!J1496</f>
        <v>0</v>
      </c>
      <c r="I72" s="45"/>
      <c r="J72" s="48">
        <v>55</v>
      </c>
      <c r="K72" s="49">
        <f>資料儲存!D1616</f>
        <v>0</v>
      </c>
      <c r="L72" s="49">
        <f>資料儲存!E1616</f>
        <v>0</v>
      </c>
      <c r="M72" s="49">
        <f>資料儲存!F1616</f>
        <v>0</v>
      </c>
      <c r="N72" s="49">
        <f>資料儲存!G1616</f>
        <v>0</v>
      </c>
      <c r="O72" s="49">
        <f>資料儲存!H1616</f>
        <v>0</v>
      </c>
      <c r="P72" s="49">
        <f>資料儲存!I1616</f>
        <v>0</v>
      </c>
      <c r="Q72" s="49">
        <f>資料儲存!J1616</f>
        <v>0</v>
      </c>
      <c r="R72" s="45"/>
      <c r="S72" s="48">
        <v>55</v>
      </c>
      <c r="T72" s="49">
        <f>資料儲存!D1736</f>
        <v>0</v>
      </c>
      <c r="U72" s="49">
        <f>資料儲存!E1736</f>
        <v>0</v>
      </c>
      <c r="V72" s="49">
        <f>資料儲存!F1736</f>
        <v>0</v>
      </c>
      <c r="W72" s="49">
        <f>資料儲存!G1736</f>
        <v>0</v>
      </c>
      <c r="X72" s="49">
        <f>資料儲存!H1736</f>
        <v>0</v>
      </c>
      <c r="Y72" s="49">
        <f>資料儲存!I1736</f>
        <v>0</v>
      </c>
      <c r="Z72" s="49">
        <f>資料儲存!J1736</f>
        <v>0</v>
      </c>
      <c r="AA72" s="45"/>
      <c r="AB72" s="48">
        <v>55</v>
      </c>
      <c r="AC72" s="49">
        <f>資料儲存!D1856</f>
        <v>0</v>
      </c>
      <c r="AD72" s="49">
        <f>資料儲存!E1856</f>
        <v>0</v>
      </c>
      <c r="AE72" s="49">
        <f>資料儲存!F1856</f>
        <v>0</v>
      </c>
      <c r="AF72" s="49">
        <f>資料儲存!G1856</f>
        <v>0</v>
      </c>
      <c r="AG72" s="49">
        <f>資料儲存!H1856</f>
        <v>0</v>
      </c>
      <c r="AH72" s="49">
        <f>資料儲存!I1856</f>
        <v>0</v>
      </c>
      <c r="AI72" s="49">
        <f>資料儲存!J1856</f>
        <v>0</v>
      </c>
      <c r="AJ72" s="13"/>
      <c r="AK72" s="48">
        <v>55</v>
      </c>
      <c r="AL72" s="49">
        <f>資料儲存!D1976</f>
        <v>0</v>
      </c>
      <c r="AM72" s="49">
        <f>資料儲存!E1976</f>
        <v>0</v>
      </c>
      <c r="AN72" s="49">
        <f>資料儲存!F1976</f>
        <v>0</v>
      </c>
      <c r="AO72" s="49">
        <f>資料儲存!G1976</f>
        <v>0</v>
      </c>
      <c r="AP72" s="49">
        <f>資料儲存!H1976</f>
        <v>0</v>
      </c>
      <c r="AQ72" s="49">
        <f>資料儲存!I1976</f>
        <v>0</v>
      </c>
      <c r="AR72" s="49">
        <f>資料儲存!J1976</f>
        <v>0</v>
      </c>
      <c r="AT72" s="48">
        <v>55</v>
      </c>
      <c r="AU72" s="49">
        <f>資料儲存!D2096</f>
        <v>0</v>
      </c>
      <c r="AV72" s="49">
        <f>資料儲存!E2096</f>
        <v>0</v>
      </c>
      <c r="AW72" s="49">
        <f>資料儲存!F2096</f>
        <v>0</v>
      </c>
      <c r="AX72" s="49">
        <f>資料儲存!G2096</f>
        <v>0</v>
      </c>
      <c r="AY72" s="49">
        <f>資料儲存!H2096</f>
        <v>0</v>
      </c>
      <c r="AZ72" s="49">
        <f>資料儲存!I2096</f>
        <v>0</v>
      </c>
      <c r="BA72" s="49">
        <f>資料儲存!J2096</f>
        <v>0</v>
      </c>
    </row>
    <row r="73" spans="1:53" ht="16" thickBot="1">
      <c r="A73" s="48">
        <v>56</v>
      </c>
      <c r="B73" s="49">
        <f>資料儲存!D1497</f>
        <v>0</v>
      </c>
      <c r="C73" s="49">
        <f>資料儲存!E1497</f>
        <v>0</v>
      </c>
      <c r="D73" s="49">
        <f>資料儲存!F1497</f>
        <v>0</v>
      </c>
      <c r="E73" s="49">
        <f>資料儲存!G1497</f>
        <v>0</v>
      </c>
      <c r="F73" s="49">
        <f>資料儲存!H1497</f>
        <v>0</v>
      </c>
      <c r="G73" s="49">
        <f>資料儲存!I1497</f>
        <v>0</v>
      </c>
      <c r="H73" s="49">
        <f>資料儲存!J1497</f>
        <v>0</v>
      </c>
      <c r="I73" s="45"/>
      <c r="J73" s="48">
        <v>56</v>
      </c>
      <c r="K73" s="49">
        <f>資料儲存!D1617</f>
        <v>0</v>
      </c>
      <c r="L73" s="49">
        <f>資料儲存!E1617</f>
        <v>0</v>
      </c>
      <c r="M73" s="49">
        <f>資料儲存!F1617</f>
        <v>0</v>
      </c>
      <c r="N73" s="49">
        <f>資料儲存!G1617</f>
        <v>0</v>
      </c>
      <c r="O73" s="49">
        <f>資料儲存!H1617</f>
        <v>0</v>
      </c>
      <c r="P73" s="49">
        <f>資料儲存!I1617</f>
        <v>0</v>
      </c>
      <c r="Q73" s="49">
        <f>資料儲存!J1617</f>
        <v>0</v>
      </c>
      <c r="R73" s="45"/>
      <c r="S73" s="48">
        <v>56</v>
      </c>
      <c r="T73" s="49">
        <f>資料儲存!D1737</f>
        <v>0</v>
      </c>
      <c r="U73" s="49">
        <f>資料儲存!E1737</f>
        <v>0</v>
      </c>
      <c r="V73" s="49">
        <f>資料儲存!F1737</f>
        <v>0</v>
      </c>
      <c r="W73" s="49">
        <f>資料儲存!G1737</f>
        <v>0</v>
      </c>
      <c r="X73" s="49">
        <f>資料儲存!H1737</f>
        <v>0</v>
      </c>
      <c r="Y73" s="49">
        <f>資料儲存!I1737</f>
        <v>0</v>
      </c>
      <c r="Z73" s="49">
        <f>資料儲存!J1737</f>
        <v>0</v>
      </c>
      <c r="AA73" s="45"/>
      <c r="AB73" s="48">
        <v>56</v>
      </c>
      <c r="AC73" s="49">
        <f>資料儲存!D1857</f>
        <v>0</v>
      </c>
      <c r="AD73" s="49">
        <f>資料儲存!E1857</f>
        <v>0</v>
      </c>
      <c r="AE73" s="49">
        <f>資料儲存!F1857</f>
        <v>0</v>
      </c>
      <c r="AF73" s="49">
        <f>資料儲存!G1857</f>
        <v>0</v>
      </c>
      <c r="AG73" s="49">
        <f>資料儲存!H1857</f>
        <v>0</v>
      </c>
      <c r="AH73" s="49">
        <f>資料儲存!I1857</f>
        <v>0</v>
      </c>
      <c r="AI73" s="49">
        <f>資料儲存!J1857</f>
        <v>0</v>
      </c>
      <c r="AJ73" s="13"/>
      <c r="AK73" s="48">
        <v>56</v>
      </c>
      <c r="AL73" s="49">
        <f>資料儲存!D1977</f>
        <v>0</v>
      </c>
      <c r="AM73" s="49">
        <f>資料儲存!E1977</f>
        <v>0</v>
      </c>
      <c r="AN73" s="49">
        <f>資料儲存!F1977</f>
        <v>0</v>
      </c>
      <c r="AO73" s="49">
        <f>資料儲存!G1977</f>
        <v>0</v>
      </c>
      <c r="AP73" s="49">
        <f>資料儲存!H1977</f>
        <v>0</v>
      </c>
      <c r="AQ73" s="49">
        <f>資料儲存!I1977</f>
        <v>0</v>
      </c>
      <c r="AR73" s="49">
        <f>資料儲存!J1977</f>
        <v>0</v>
      </c>
      <c r="AT73" s="48">
        <v>56</v>
      </c>
      <c r="AU73" s="49">
        <f>資料儲存!D2097</f>
        <v>0</v>
      </c>
      <c r="AV73" s="49">
        <f>資料儲存!E2097</f>
        <v>0</v>
      </c>
      <c r="AW73" s="49">
        <f>資料儲存!F2097</f>
        <v>0</v>
      </c>
      <c r="AX73" s="49">
        <f>資料儲存!G2097</f>
        <v>0</v>
      </c>
      <c r="AY73" s="49">
        <f>資料儲存!H2097</f>
        <v>0</v>
      </c>
      <c r="AZ73" s="49">
        <f>資料儲存!I2097</f>
        <v>0</v>
      </c>
      <c r="BA73" s="49">
        <f>資料儲存!J2097</f>
        <v>0</v>
      </c>
    </row>
    <row r="74" spans="1:53" ht="16" thickBot="1">
      <c r="A74" s="48">
        <v>57</v>
      </c>
      <c r="B74" s="49">
        <f>資料儲存!D1498</f>
        <v>0</v>
      </c>
      <c r="C74" s="49">
        <f>資料儲存!E1498</f>
        <v>0</v>
      </c>
      <c r="D74" s="49">
        <f>資料儲存!F1498</f>
        <v>0</v>
      </c>
      <c r="E74" s="49">
        <f>資料儲存!G1498</f>
        <v>0</v>
      </c>
      <c r="F74" s="49">
        <f>資料儲存!H1498</f>
        <v>0</v>
      </c>
      <c r="G74" s="49">
        <f>資料儲存!I1498</f>
        <v>0</v>
      </c>
      <c r="H74" s="49">
        <f>資料儲存!J1498</f>
        <v>0</v>
      </c>
      <c r="I74" s="45"/>
      <c r="J74" s="48">
        <v>57</v>
      </c>
      <c r="K74" s="49">
        <f>資料儲存!D1618</f>
        <v>0</v>
      </c>
      <c r="L74" s="49">
        <f>資料儲存!E1618</f>
        <v>0</v>
      </c>
      <c r="M74" s="49">
        <f>資料儲存!F1618</f>
        <v>0</v>
      </c>
      <c r="N74" s="49">
        <f>資料儲存!G1618</f>
        <v>0</v>
      </c>
      <c r="O74" s="49">
        <f>資料儲存!H1618</f>
        <v>0</v>
      </c>
      <c r="P74" s="49">
        <f>資料儲存!I1618</f>
        <v>0</v>
      </c>
      <c r="Q74" s="49">
        <f>資料儲存!J1618</f>
        <v>0</v>
      </c>
      <c r="R74" s="45"/>
      <c r="S74" s="48">
        <v>57</v>
      </c>
      <c r="T74" s="49">
        <f>資料儲存!D1738</f>
        <v>0</v>
      </c>
      <c r="U74" s="49">
        <f>資料儲存!E1738</f>
        <v>0</v>
      </c>
      <c r="V74" s="49">
        <f>資料儲存!F1738</f>
        <v>0</v>
      </c>
      <c r="W74" s="49">
        <f>資料儲存!G1738</f>
        <v>0</v>
      </c>
      <c r="X74" s="49">
        <f>資料儲存!H1738</f>
        <v>0</v>
      </c>
      <c r="Y74" s="49">
        <f>資料儲存!I1738</f>
        <v>0</v>
      </c>
      <c r="Z74" s="49">
        <f>資料儲存!J1738</f>
        <v>0</v>
      </c>
      <c r="AA74" s="45"/>
      <c r="AB74" s="48">
        <v>57</v>
      </c>
      <c r="AC74" s="49">
        <f>資料儲存!D1858</f>
        <v>0</v>
      </c>
      <c r="AD74" s="49">
        <f>資料儲存!E1858</f>
        <v>0</v>
      </c>
      <c r="AE74" s="49">
        <f>資料儲存!F1858</f>
        <v>0</v>
      </c>
      <c r="AF74" s="49">
        <f>資料儲存!G1858</f>
        <v>0</v>
      </c>
      <c r="AG74" s="49">
        <f>資料儲存!H1858</f>
        <v>0</v>
      </c>
      <c r="AH74" s="49">
        <f>資料儲存!I1858</f>
        <v>0</v>
      </c>
      <c r="AI74" s="49">
        <f>資料儲存!J1858</f>
        <v>0</v>
      </c>
      <c r="AJ74" s="13"/>
      <c r="AK74" s="48">
        <v>57</v>
      </c>
      <c r="AL74" s="49">
        <f>資料儲存!D1978</f>
        <v>0</v>
      </c>
      <c r="AM74" s="49">
        <f>資料儲存!E1978</f>
        <v>0</v>
      </c>
      <c r="AN74" s="49">
        <f>資料儲存!F1978</f>
        <v>0</v>
      </c>
      <c r="AO74" s="49">
        <f>資料儲存!G1978</f>
        <v>0</v>
      </c>
      <c r="AP74" s="49">
        <f>資料儲存!H1978</f>
        <v>0</v>
      </c>
      <c r="AQ74" s="49">
        <f>資料儲存!I1978</f>
        <v>0</v>
      </c>
      <c r="AR74" s="49">
        <f>資料儲存!J1978</f>
        <v>0</v>
      </c>
      <c r="AT74" s="48">
        <v>57</v>
      </c>
      <c r="AU74" s="49">
        <f>資料儲存!D2098</f>
        <v>0</v>
      </c>
      <c r="AV74" s="49">
        <f>資料儲存!E2098</f>
        <v>0</v>
      </c>
      <c r="AW74" s="49">
        <f>資料儲存!F2098</f>
        <v>0</v>
      </c>
      <c r="AX74" s="49">
        <f>資料儲存!G2098</f>
        <v>0</v>
      </c>
      <c r="AY74" s="49">
        <f>資料儲存!H2098</f>
        <v>0</v>
      </c>
      <c r="AZ74" s="49">
        <f>資料儲存!I2098</f>
        <v>0</v>
      </c>
      <c r="BA74" s="49">
        <f>資料儲存!J2098</f>
        <v>0</v>
      </c>
    </row>
    <row r="75" spans="1:53" ht="16" thickBot="1">
      <c r="A75" s="48">
        <v>58</v>
      </c>
      <c r="B75" s="49">
        <f>資料儲存!D1499</f>
        <v>0</v>
      </c>
      <c r="C75" s="49">
        <f>資料儲存!E1499</f>
        <v>0</v>
      </c>
      <c r="D75" s="49">
        <f>資料儲存!F1499</f>
        <v>0</v>
      </c>
      <c r="E75" s="49">
        <f>資料儲存!G1499</f>
        <v>0</v>
      </c>
      <c r="F75" s="49">
        <f>資料儲存!H1499</f>
        <v>0</v>
      </c>
      <c r="G75" s="49">
        <f>資料儲存!I1499</f>
        <v>0</v>
      </c>
      <c r="H75" s="49">
        <f>資料儲存!J1499</f>
        <v>0</v>
      </c>
      <c r="I75" s="45"/>
      <c r="J75" s="48">
        <v>58</v>
      </c>
      <c r="K75" s="49">
        <f>資料儲存!D1619</f>
        <v>0</v>
      </c>
      <c r="L75" s="49">
        <f>資料儲存!E1619</f>
        <v>0</v>
      </c>
      <c r="M75" s="49">
        <f>資料儲存!F1619</f>
        <v>0</v>
      </c>
      <c r="N75" s="49">
        <f>資料儲存!G1619</f>
        <v>0</v>
      </c>
      <c r="O75" s="49">
        <f>資料儲存!H1619</f>
        <v>0</v>
      </c>
      <c r="P75" s="49">
        <f>資料儲存!I1619</f>
        <v>0</v>
      </c>
      <c r="Q75" s="49">
        <f>資料儲存!J1619</f>
        <v>0</v>
      </c>
      <c r="R75" s="45"/>
      <c r="S75" s="48">
        <v>58</v>
      </c>
      <c r="T75" s="49">
        <f>資料儲存!D1739</f>
        <v>0</v>
      </c>
      <c r="U75" s="49">
        <f>資料儲存!E1739</f>
        <v>0</v>
      </c>
      <c r="V75" s="49">
        <f>資料儲存!F1739</f>
        <v>0</v>
      </c>
      <c r="W75" s="49">
        <f>資料儲存!G1739</f>
        <v>0</v>
      </c>
      <c r="X75" s="49">
        <f>資料儲存!H1739</f>
        <v>0</v>
      </c>
      <c r="Y75" s="49">
        <f>資料儲存!I1739</f>
        <v>0</v>
      </c>
      <c r="Z75" s="49">
        <f>資料儲存!J1739</f>
        <v>0</v>
      </c>
      <c r="AA75" s="45"/>
      <c r="AB75" s="48">
        <v>58</v>
      </c>
      <c r="AC75" s="49">
        <f>資料儲存!D1859</f>
        <v>0</v>
      </c>
      <c r="AD75" s="49">
        <f>資料儲存!E1859</f>
        <v>0</v>
      </c>
      <c r="AE75" s="49">
        <f>資料儲存!F1859</f>
        <v>0</v>
      </c>
      <c r="AF75" s="49">
        <f>資料儲存!G1859</f>
        <v>0</v>
      </c>
      <c r="AG75" s="49">
        <f>資料儲存!H1859</f>
        <v>0</v>
      </c>
      <c r="AH75" s="49">
        <f>資料儲存!I1859</f>
        <v>0</v>
      </c>
      <c r="AI75" s="49">
        <f>資料儲存!J1859</f>
        <v>0</v>
      </c>
      <c r="AJ75" s="13"/>
      <c r="AK75" s="48">
        <v>58</v>
      </c>
      <c r="AL75" s="49">
        <f>資料儲存!D1979</f>
        <v>0</v>
      </c>
      <c r="AM75" s="49">
        <f>資料儲存!E1979</f>
        <v>0</v>
      </c>
      <c r="AN75" s="49">
        <f>資料儲存!F1979</f>
        <v>0</v>
      </c>
      <c r="AO75" s="49">
        <f>資料儲存!G1979</f>
        <v>0</v>
      </c>
      <c r="AP75" s="49">
        <f>資料儲存!H1979</f>
        <v>0</v>
      </c>
      <c r="AQ75" s="49">
        <f>資料儲存!I1979</f>
        <v>0</v>
      </c>
      <c r="AR75" s="49">
        <f>資料儲存!J1979</f>
        <v>0</v>
      </c>
      <c r="AT75" s="48">
        <v>58</v>
      </c>
      <c r="AU75" s="49">
        <f>資料儲存!D2099</f>
        <v>0</v>
      </c>
      <c r="AV75" s="49">
        <f>資料儲存!E2099</f>
        <v>0</v>
      </c>
      <c r="AW75" s="49">
        <f>資料儲存!F2099</f>
        <v>0</v>
      </c>
      <c r="AX75" s="49">
        <f>資料儲存!G2099</f>
        <v>0</v>
      </c>
      <c r="AY75" s="49">
        <f>資料儲存!H2099</f>
        <v>0</v>
      </c>
      <c r="AZ75" s="49">
        <f>資料儲存!I2099</f>
        <v>0</v>
      </c>
      <c r="BA75" s="49">
        <f>資料儲存!J2099</f>
        <v>0</v>
      </c>
    </row>
    <row r="76" spans="1:53" ht="16" thickBot="1">
      <c r="A76" s="48">
        <v>59</v>
      </c>
      <c r="B76" s="49">
        <f>資料儲存!D1500</f>
        <v>0</v>
      </c>
      <c r="C76" s="49">
        <f>資料儲存!E1500</f>
        <v>0</v>
      </c>
      <c r="D76" s="49">
        <f>資料儲存!F1500</f>
        <v>0</v>
      </c>
      <c r="E76" s="49">
        <f>資料儲存!G1500</f>
        <v>0</v>
      </c>
      <c r="F76" s="49">
        <f>資料儲存!H1500</f>
        <v>0</v>
      </c>
      <c r="G76" s="49">
        <f>資料儲存!I1500</f>
        <v>0</v>
      </c>
      <c r="H76" s="49">
        <f>資料儲存!J1500</f>
        <v>0</v>
      </c>
      <c r="I76" s="45"/>
      <c r="J76" s="48">
        <v>59</v>
      </c>
      <c r="K76" s="49">
        <f>資料儲存!D1620</f>
        <v>0</v>
      </c>
      <c r="L76" s="49">
        <f>資料儲存!E1620</f>
        <v>0</v>
      </c>
      <c r="M76" s="49">
        <f>資料儲存!F1620</f>
        <v>0</v>
      </c>
      <c r="N76" s="49">
        <f>資料儲存!G1620</f>
        <v>0</v>
      </c>
      <c r="O76" s="49">
        <f>資料儲存!H1620</f>
        <v>0</v>
      </c>
      <c r="P76" s="49">
        <f>資料儲存!I1620</f>
        <v>0</v>
      </c>
      <c r="Q76" s="49">
        <f>資料儲存!J1620</f>
        <v>0</v>
      </c>
      <c r="R76" s="45"/>
      <c r="S76" s="48">
        <v>59</v>
      </c>
      <c r="T76" s="49">
        <f>資料儲存!D1740</f>
        <v>0</v>
      </c>
      <c r="U76" s="49">
        <f>資料儲存!E1740</f>
        <v>0</v>
      </c>
      <c r="V76" s="49">
        <f>資料儲存!F1740</f>
        <v>0</v>
      </c>
      <c r="W76" s="49">
        <f>資料儲存!G1740</f>
        <v>0</v>
      </c>
      <c r="X76" s="49">
        <f>資料儲存!H1740</f>
        <v>0</v>
      </c>
      <c r="Y76" s="49">
        <f>資料儲存!I1740</f>
        <v>0</v>
      </c>
      <c r="Z76" s="49">
        <f>資料儲存!J1740</f>
        <v>0</v>
      </c>
      <c r="AA76" s="45"/>
      <c r="AB76" s="48">
        <v>59</v>
      </c>
      <c r="AC76" s="49">
        <f>資料儲存!D1860</f>
        <v>0</v>
      </c>
      <c r="AD76" s="49">
        <f>資料儲存!E1860</f>
        <v>0</v>
      </c>
      <c r="AE76" s="49">
        <f>資料儲存!F1860</f>
        <v>0</v>
      </c>
      <c r="AF76" s="49">
        <f>資料儲存!G1860</f>
        <v>0</v>
      </c>
      <c r="AG76" s="49">
        <f>資料儲存!H1860</f>
        <v>0</v>
      </c>
      <c r="AH76" s="49">
        <f>資料儲存!I1860</f>
        <v>0</v>
      </c>
      <c r="AI76" s="49">
        <f>資料儲存!J1860</f>
        <v>0</v>
      </c>
      <c r="AJ76" s="13"/>
      <c r="AK76" s="48">
        <v>59</v>
      </c>
      <c r="AL76" s="49">
        <f>資料儲存!D1980</f>
        <v>0</v>
      </c>
      <c r="AM76" s="49">
        <f>資料儲存!E1980</f>
        <v>0</v>
      </c>
      <c r="AN76" s="49">
        <f>資料儲存!F1980</f>
        <v>0</v>
      </c>
      <c r="AO76" s="49">
        <f>資料儲存!G1980</f>
        <v>0</v>
      </c>
      <c r="AP76" s="49">
        <f>資料儲存!H1980</f>
        <v>0</v>
      </c>
      <c r="AQ76" s="49">
        <f>資料儲存!I1980</f>
        <v>0</v>
      </c>
      <c r="AR76" s="49">
        <f>資料儲存!J1980</f>
        <v>0</v>
      </c>
      <c r="AT76" s="48">
        <v>59</v>
      </c>
      <c r="AU76" s="49">
        <f>資料儲存!D2100</f>
        <v>0</v>
      </c>
      <c r="AV76" s="49">
        <f>資料儲存!E2100</f>
        <v>0</v>
      </c>
      <c r="AW76" s="49">
        <f>資料儲存!F2100</f>
        <v>0</v>
      </c>
      <c r="AX76" s="49">
        <f>資料儲存!G2100</f>
        <v>0</v>
      </c>
      <c r="AY76" s="49">
        <f>資料儲存!H2100</f>
        <v>0</v>
      </c>
      <c r="AZ76" s="49">
        <f>資料儲存!I2100</f>
        <v>0</v>
      </c>
      <c r="BA76" s="49">
        <f>資料儲存!J2100</f>
        <v>0</v>
      </c>
    </row>
    <row r="77" spans="1:53" ht="16" thickBot="1">
      <c r="A77" s="48">
        <v>60</v>
      </c>
      <c r="B77" s="49">
        <f>資料儲存!D1501</f>
        <v>0</v>
      </c>
      <c r="C77" s="49">
        <f>資料儲存!E1501</f>
        <v>0</v>
      </c>
      <c r="D77" s="49">
        <f>資料儲存!F1501</f>
        <v>0</v>
      </c>
      <c r="E77" s="49">
        <f>資料儲存!G1501</f>
        <v>0</v>
      </c>
      <c r="F77" s="49">
        <f>資料儲存!H1501</f>
        <v>0</v>
      </c>
      <c r="G77" s="49">
        <f>資料儲存!I1501</f>
        <v>0</v>
      </c>
      <c r="H77" s="49">
        <f>資料儲存!J1501</f>
        <v>0</v>
      </c>
      <c r="I77" s="45"/>
      <c r="J77" s="48">
        <v>60</v>
      </c>
      <c r="K77" s="49">
        <f>資料儲存!D1621</f>
        <v>0</v>
      </c>
      <c r="L77" s="49">
        <f>資料儲存!E1621</f>
        <v>0</v>
      </c>
      <c r="M77" s="49">
        <f>資料儲存!F1621</f>
        <v>0</v>
      </c>
      <c r="N77" s="49">
        <f>資料儲存!G1621</f>
        <v>0</v>
      </c>
      <c r="O77" s="49">
        <f>資料儲存!H1621</f>
        <v>0</v>
      </c>
      <c r="P77" s="49">
        <f>資料儲存!I1621</f>
        <v>0</v>
      </c>
      <c r="Q77" s="49">
        <f>資料儲存!J1621</f>
        <v>0</v>
      </c>
      <c r="R77" s="45"/>
      <c r="S77" s="48">
        <v>60</v>
      </c>
      <c r="T77" s="49">
        <f>資料儲存!D1741</f>
        <v>0</v>
      </c>
      <c r="U77" s="49">
        <f>資料儲存!E1741</f>
        <v>0</v>
      </c>
      <c r="V77" s="49">
        <f>資料儲存!F1741</f>
        <v>0</v>
      </c>
      <c r="W77" s="49">
        <f>資料儲存!G1741</f>
        <v>0</v>
      </c>
      <c r="X77" s="49">
        <f>資料儲存!H1741</f>
        <v>0</v>
      </c>
      <c r="Y77" s="49">
        <f>資料儲存!I1741</f>
        <v>0</v>
      </c>
      <c r="Z77" s="49">
        <f>資料儲存!J1741</f>
        <v>0</v>
      </c>
      <c r="AA77" s="45"/>
      <c r="AB77" s="48">
        <v>60</v>
      </c>
      <c r="AC77" s="49">
        <f>資料儲存!D1861</f>
        <v>0</v>
      </c>
      <c r="AD77" s="49">
        <f>資料儲存!E1861</f>
        <v>0</v>
      </c>
      <c r="AE77" s="49">
        <f>資料儲存!F1861</f>
        <v>0</v>
      </c>
      <c r="AF77" s="49">
        <f>資料儲存!G1861</f>
        <v>0</v>
      </c>
      <c r="AG77" s="49">
        <f>資料儲存!H1861</f>
        <v>0</v>
      </c>
      <c r="AH77" s="49">
        <f>資料儲存!I1861</f>
        <v>0</v>
      </c>
      <c r="AI77" s="49">
        <f>資料儲存!J1861</f>
        <v>0</v>
      </c>
      <c r="AJ77" s="13"/>
      <c r="AK77" s="48">
        <v>60</v>
      </c>
      <c r="AL77" s="49">
        <f>資料儲存!D1981</f>
        <v>0</v>
      </c>
      <c r="AM77" s="49">
        <f>資料儲存!E1981</f>
        <v>0</v>
      </c>
      <c r="AN77" s="49">
        <f>資料儲存!F1981</f>
        <v>0</v>
      </c>
      <c r="AO77" s="49">
        <f>資料儲存!G1981</f>
        <v>0</v>
      </c>
      <c r="AP77" s="49">
        <f>資料儲存!H1981</f>
        <v>0</v>
      </c>
      <c r="AQ77" s="49">
        <f>資料儲存!I1981</f>
        <v>0</v>
      </c>
      <c r="AR77" s="49">
        <f>資料儲存!J1981</f>
        <v>0</v>
      </c>
      <c r="AT77" s="48">
        <v>60</v>
      </c>
      <c r="AU77" s="49">
        <f>資料儲存!D2101</f>
        <v>0</v>
      </c>
      <c r="AV77" s="49">
        <f>資料儲存!E2101</f>
        <v>0</v>
      </c>
      <c r="AW77" s="49">
        <f>資料儲存!F2101</f>
        <v>0</v>
      </c>
      <c r="AX77" s="49">
        <f>資料儲存!G2101</f>
        <v>0</v>
      </c>
      <c r="AY77" s="49">
        <f>資料儲存!H2101</f>
        <v>0</v>
      </c>
      <c r="AZ77" s="49">
        <f>資料儲存!I2101</f>
        <v>0</v>
      </c>
      <c r="BA77" s="49">
        <f>資料儲存!J2101</f>
        <v>0</v>
      </c>
    </row>
    <row r="78" spans="1:53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13"/>
      <c r="AK78" s="50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  <c r="AT78" s="50" t="s">
        <v>56</v>
      </c>
      <c r="AU78" s="49">
        <f>SUM(AU63:AX77)</f>
        <v>0</v>
      </c>
      <c r="AV78" s="47"/>
      <c r="AW78" s="47"/>
      <c r="AX78" s="47"/>
      <c r="AY78" s="49">
        <f>AY77</f>
        <v>0</v>
      </c>
      <c r="AZ78" s="49">
        <f>AZ77</f>
        <v>0</v>
      </c>
      <c r="BA78" s="49">
        <f>BA77</f>
        <v>0</v>
      </c>
    </row>
    <row r="79" spans="1:53" ht="18.5" thickBot="1">
      <c r="A79" s="248" t="s">
        <v>95</v>
      </c>
      <c r="B79" s="249"/>
      <c r="C79" s="249"/>
      <c r="D79" s="249"/>
      <c r="E79" s="249"/>
      <c r="F79" s="249"/>
      <c r="G79" s="249"/>
      <c r="H79" s="250"/>
      <c r="I79" s="13"/>
      <c r="J79" s="248" t="s">
        <v>95</v>
      </c>
      <c r="K79" s="249"/>
      <c r="L79" s="249"/>
      <c r="M79" s="249"/>
      <c r="N79" s="249"/>
      <c r="O79" s="249"/>
      <c r="P79" s="249"/>
      <c r="Q79" s="250"/>
      <c r="R79" s="13"/>
      <c r="S79" s="248" t="s">
        <v>95</v>
      </c>
      <c r="T79" s="249"/>
      <c r="U79" s="249"/>
      <c r="V79" s="249"/>
      <c r="W79" s="249"/>
      <c r="X79" s="249"/>
      <c r="Y79" s="249"/>
      <c r="Z79" s="250"/>
      <c r="AA79" s="13"/>
      <c r="AB79" s="248" t="s">
        <v>95</v>
      </c>
      <c r="AC79" s="249"/>
      <c r="AD79" s="249"/>
      <c r="AE79" s="249"/>
      <c r="AF79" s="249"/>
      <c r="AG79" s="249"/>
      <c r="AH79" s="249"/>
      <c r="AI79" s="250"/>
      <c r="AJ79" s="13"/>
      <c r="AK79" s="248" t="s">
        <v>95</v>
      </c>
      <c r="AL79" s="249"/>
      <c r="AM79" s="249"/>
      <c r="AN79" s="249"/>
      <c r="AO79" s="249"/>
      <c r="AP79" s="249"/>
      <c r="AQ79" s="249"/>
      <c r="AR79" s="250"/>
      <c r="AT79" s="248" t="s">
        <v>95</v>
      </c>
      <c r="AU79" s="249"/>
      <c r="AV79" s="249"/>
      <c r="AW79" s="249"/>
      <c r="AX79" s="249"/>
      <c r="AY79" s="249"/>
      <c r="AZ79" s="249"/>
      <c r="BA79" s="250"/>
    </row>
    <row r="80" spans="1:53" ht="17.25" customHeight="1" thickBot="1">
      <c r="A80" s="31" t="s">
        <v>2</v>
      </c>
      <c r="B80" s="32" t="s">
        <v>46</v>
      </c>
      <c r="C80" s="33"/>
      <c r="D80" s="33"/>
      <c r="E80" s="34"/>
      <c r="F80" s="32" t="s">
        <v>47</v>
      </c>
      <c r="G80" s="33"/>
      <c r="H80" s="34"/>
      <c r="I80" s="35"/>
      <c r="J80" s="31" t="s">
        <v>2</v>
      </c>
      <c r="K80" s="32" t="s">
        <v>46</v>
      </c>
      <c r="L80" s="33"/>
      <c r="M80" s="33"/>
      <c r="N80" s="34"/>
      <c r="O80" s="32" t="s">
        <v>47</v>
      </c>
      <c r="P80" s="33"/>
      <c r="Q80" s="34"/>
      <c r="R80" s="35"/>
      <c r="S80" s="31" t="s">
        <v>2</v>
      </c>
      <c r="T80" s="32" t="s">
        <v>46</v>
      </c>
      <c r="U80" s="33"/>
      <c r="V80" s="33"/>
      <c r="W80" s="34"/>
      <c r="X80" s="32" t="s">
        <v>47</v>
      </c>
      <c r="Y80" s="33"/>
      <c r="Z80" s="34"/>
      <c r="AA80" s="35"/>
      <c r="AB80" s="31" t="s">
        <v>2</v>
      </c>
      <c r="AC80" s="32" t="s">
        <v>46</v>
      </c>
      <c r="AD80" s="33"/>
      <c r="AE80" s="33"/>
      <c r="AF80" s="34"/>
      <c r="AG80" s="32" t="s">
        <v>47</v>
      </c>
      <c r="AH80" s="33"/>
      <c r="AI80" s="34"/>
      <c r="AJ80" s="13"/>
      <c r="AK80" s="31" t="s">
        <v>2</v>
      </c>
      <c r="AL80" s="32" t="s">
        <v>46</v>
      </c>
      <c r="AM80" s="33"/>
      <c r="AN80" s="33"/>
      <c r="AO80" s="34"/>
      <c r="AP80" s="32" t="s">
        <v>47</v>
      </c>
      <c r="AQ80" s="33"/>
      <c r="AR80" s="34"/>
      <c r="AT80" s="31" t="s">
        <v>2</v>
      </c>
      <c r="AU80" s="32" t="s">
        <v>46</v>
      </c>
      <c r="AV80" s="33"/>
      <c r="AW80" s="33"/>
      <c r="AX80" s="34"/>
      <c r="AY80" s="32" t="s">
        <v>47</v>
      </c>
      <c r="AZ80" s="33"/>
      <c r="BA80" s="34"/>
    </row>
    <row r="81" spans="1:53" ht="16" thickBot="1">
      <c r="A81" s="36">
        <v>0.5</v>
      </c>
      <c r="B81" s="37" t="s">
        <v>49</v>
      </c>
      <c r="C81" s="37" t="s">
        <v>50</v>
      </c>
      <c r="D81" s="37" t="s">
        <v>51</v>
      </c>
      <c r="E81" s="37" t="s">
        <v>52</v>
      </c>
      <c r="F81" s="37" t="s">
        <v>53</v>
      </c>
      <c r="G81" s="37" t="s">
        <v>54</v>
      </c>
      <c r="H81" s="37" t="s">
        <v>55</v>
      </c>
      <c r="I81" s="35"/>
      <c r="J81" s="36">
        <v>0.5</v>
      </c>
      <c r="K81" s="37" t="s">
        <v>49</v>
      </c>
      <c r="L81" s="37" t="s">
        <v>50</v>
      </c>
      <c r="M81" s="37" t="s">
        <v>51</v>
      </c>
      <c r="N81" s="37" t="s">
        <v>52</v>
      </c>
      <c r="O81" s="37" t="s">
        <v>53</v>
      </c>
      <c r="P81" s="37" t="s">
        <v>54</v>
      </c>
      <c r="Q81" s="37" t="s">
        <v>55</v>
      </c>
      <c r="R81" s="35"/>
      <c r="S81" s="36">
        <v>0.5</v>
      </c>
      <c r="T81" s="37" t="s">
        <v>49</v>
      </c>
      <c r="U81" s="37" t="s">
        <v>50</v>
      </c>
      <c r="V81" s="37" t="s">
        <v>51</v>
      </c>
      <c r="W81" s="37" t="s">
        <v>52</v>
      </c>
      <c r="X81" s="37" t="s">
        <v>53</v>
      </c>
      <c r="Y81" s="37" t="s">
        <v>54</v>
      </c>
      <c r="Z81" s="37" t="s">
        <v>55</v>
      </c>
      <c r="AA81" s="35"/>
      <c r="AB81" s="36">
        <v>0.5</v>
      </c>
      <c r="AC81" s="37" t="s">
        <v>49</v>
      </c>
      <c r="AD81" s="37" t="s">
        <v>50</v>
      </c>
      <c r="AE81" s="37" t="s">
        <v>51</v>
      </c>
      <c r="AF81" s="37" t="s">
        <v>52</v>
      </c>
      <c r="AG81" s="37" t="s">
        <v>53</v>
      </c>
      <c r="AH81" s="37" t="s">
        <v>54</v>
      </c>
      <c r="AI81" s="37" t="s">
        <v>55</v>
      </c>
      <c r="AJ81" s="13"/>
      <c r="AK81" s="36">
        <v>0.5</v>
      </c>
      <c r="AL81" s="37" t="s">
        <v>49</v>
      </c>
      <c r="AM81" s="37" t="s">
        <v>50</v>
      </c>
      <c r="AN81" s="37" t="s">
        <v>51</v>
      </c>
      <c r="AO81" s="37" t="s">
        <v>52</v>
      </c>
      <c r="AP81" s="37" t="s">
        <v>53</v>
      </c>
      <c r="AQ81" s="37" t="s">
        <v>54</v>
      </c>
      <c r="AR81" s="37" t="s">
        <v>55</v>
      </c>
      <c r="AT81" s="36">
        <v>0.5</v>
      </c>
      <c r="AU81" s="37" t="s">
        <v>49</v>
      </c>
      <c r="AV81" s="37" t="s">
        <v>50</v>
      </c>
      <c r="AW81" s="37" t="s">
        <v>51</v>
      </c>
      <c r="AX81" s="37" t="s">
        <v>52</v>
      </c>
      <c r="AY81" s="37" t="s">
        <v>53</v>
      </c>
      <c r="AZ81" s="37" t="s">
        <v>54</v>
      </c>
      <c r="BA81" s="37" t="s">
        <v>55</v>
      </c>
    </row>
    <row r="82" spans="1:53" ht="16" thickBot="1">
      <c r="A82" s="38">
        <v>1</v>
      </c>
      <c r="B82" s="39">
        <f>資料儲存!D1502</f>
        <v>0</v>
      </c>
      <c r="C82" s="39">
        <f>資料儲存!E1502</f>
        <v>0</v>
      </c>
      <c r="D82" s="39">
        <f>資料儲存!F1502</f>
        <v>0</v>
      </c>
      <c r="E82" s="39">
        <f>資料儲存!G1502</f>
        <v>0</v>
      </c>
      <c r="F82" s="39">
        <f>資料儲存!H1502</f>
        <v>0</v>
      </c>
      <c r="G82" s="39">
        <f>資料儲存!I1502</f>
        <v>0</v>
      </c>
      <c r="H82" s="39">
        <f>資料儲存!J1502</f>
        <v>0</v>
      </c>
      <c r="I82" s="35"/>
      <c r="J82" s="38">
        <v>1</v>
      </c>
      <c r="K82" s="39">
        <f>資料儲存!D1622</f>
        <v>0</v>
      </c>
      <c r="L82" s="39">
        <f>資料儲存!E1622</f>
        <v>0</v>
      </c>
      <c r="M82" s="39">
        <f>資料儲存!F1622</f>
        <v>0</v>
      </c>
      <c r="N82" s="39">
        <f>資料儲存!G1622</f>
        <v>0</v>
      </c>
      <c r="O82" s="39">
        <f>資料儲存!H1622</f>
        <v>0</v>
      </c>
      <c r="P82" s="39">
        <f>資料儲存!I1622</f>
        <v>0</v>
      </c>
      <c r="Q82" s="39">
        <f>資料儲存!J1622</f>
        <v>0</v>
      </c>
      <c r="R82" s="35"/>
      <c r="S82" s="38">
        <v>1</v>
      </c>
      <c r="T82" s="39">
        <f>資料儲存!D1742</f>
        <v>0</v>
      </c>
      <c r="U82" s="39">
        <f>資料儲存!E1742</f>
        <v>0</v>
      </c>
      <c r="V82" s="39">
        <f>資料儲存!F1742</f>
        <v>0</v>
      </c>
      <c r="W82" s="39">
        <f>資料儲存!G1742</f>
        <v>0</v>
      </c>
      <c r="X82" s="39">
        <f>資料儲存!H1742</f>
        <v>0</v>
      </c>
      <c r="Y82" s="39">
        <f>資料儲存!I1742</f>
        <v>0</v>
      </c>
      <c r="Z82" s="39">
        <f>資料儲存!J1742</f>
        <v>0</v>
      </c>
      <c r="AA82" s="35"/>
      <c r="AB82" s="38">
        <v>1</v>
      </c>
      <c r="AC82" s="39">
        <f>資料儲存!D1862</f>
        <v>0</v>
      </c>
      <c r="AD82" s="39">
        <f>資料儲存!E1862</f>
        <v>0</v>
      </c>
      <c r="AE82" s="39">
        <f>資料儲存!F1862</f>
        <v>0</v>
      </c>
      <c r="AF82" s="39">
        <f>資料儲存!G1862</f>
        <v>0</v>
      </c>
      <c r="AG82" s="39">
        <f>資料儲存!H1862</f>
        <v>0</v>
      </c>
      <c r="AH82" s="39">
        <f>資料儲存!I1862</f>
        <v>0</v>
      </c>
      <c r="AI82" s="39">
        <f>資料儲存!J1862</f>
        <v>0</v>
      </c>
      <c r="AJ82" s="13"/>
      <c r="AK82" s="38">
        <v>1</v>
      </c>
      <c r="AL82" s="39">
        <f>資料儲存!D1982</f>
        <v>0</v>
      </c>
      <c r="AM82" s="39">
        <f>資料儲存!E1982</f>
        <v>0</v>
      </c>
      <c r="AN82" s="39">
        <f>資料儲存!F1982</f>
        <v>0</v>
      </c>
      <c r="AO82" s="39">
        <f>資料儲存!G1982</f>
        <v>0</v>
      </c>
      <c r="AP82" s="39">
        <f>資料儲存!H1982</f>
        <v>0</v>
      </c>
      <c r="AQ82" s="39">
        <f>資料儲存!I1982</f>
        <v>0</v>
      </c>
      <c r="AR82" s="39">
        <f>資料儲存!J1982</f>
        <v>0</v>
      </c>
      <c r="AT82" s="38">
        <v>1</v>
      </c>
      <c r="AU82" s="39">
        <f>資料儲存!D2102</f>
        <v>0</v>
      </c>
      <c r="AV82" s="39">
        <f>資料儲存!E2102</f>
        <v>0</v>
      </c>
      <c r="AW82" s="39">
        <f>資料儲存!F2102</f>
        <v>0</v>
      </c>
      <c r="AX82" s="39">
        <f>資料儲存!G2102</f>
        <v>0</v>
      </c>
      <c r="AY82" s="39">
        <f>資料儲存!H2102</f>
        <v>0</v>
      </c>
      <c r="AZ82" s="39">
        <f>資料儲存!I2102</f>
        <v>0</v>
      </c>
      <c r="BA82" s="39">
        <f>資料儲存!J2102</f>
        <v>0</v>
      </c>
    </row>
    <row r="83" spans="1:53" ht="16" thickBot="1">
      <c r="A83" s="38">
        <v>2</v>
      </c>
      <c r="B83" s="39">
        <f>資料儲存!D1503</f>
        <v>0</v>
      </c>
      <c r="C83" s="39">
        <f>資料儲存!E1503</f>
        <v>0</v>
      </c>
      <c r="D83" s="39">
        <f>資料儲存!F1503</f>
        <v>0</v>
      </c>
      <c r="E83" s="39">
        <f>資料儲存!G1503</f>
        <v>0</v>
      </c>
      <c r="F83" s="39">
        <f>資料儲存!H1503</f>
        <v>0</v>
      </c>
      <c r="G83" s="39">
        <f>資料儲存!I1503</f>
        <v>0</v>
      </c>
      <c r="H83" s="39">
        <f>資料儲存!J1503</f>
        <v>0</v>
      </c>
      <c r="I83" s="35"/>
      <c r="J83" s="38">
        <v>2</v>
      </c>
      <c r="K83" s="39">
        <f>資料儲存!D1623</f>
        <v>0</v>
      </c>
      <c r="L83" s="39">
        <f>資料儲存!E1623</f>
        <v>0</v>
      </c>
      <c r="M83" s="39">
        <f>資料儲存!F1623</f>
        <v>0</v>
      </c>
      <c r="N83" s="39">
        <f>資料儲存!G1623</f>
        <v>0</v>
      </c>
      <c r="O83" s="39">
        <f>資料儲存!H1623</f>
        <v>0</v>
      </c>
      <c r="P83" s="39">
        <f>資料儲存!I1623</f>
        <v>0</v>
      </c>
      <c r="Q83" s="39">
        <f>資料儲存!J1623</f>
        <v>0</v>
      </c>
      <c r="R83" s="35"/>
      <c r="S83" s="38">
        <v>2</v>
      </c>
      <c r="T83" s="39">
        <f>資料儲存!D1743</f>
        <v>0</v>
      </c>
      <c r="U83" s="39">
        <f>資料儲存!E1743</f>
        <v>0</v>
      </c>
      <c r="V83" s="39">
        <f>資料儲存!F1743</f>
        <v>0</v>
      </c>
      <c r="W83" s="39">
        <f>資料儲存!G1743</f>
        <v>0</v>
      </c>
      <c r="X83" s="39">
        <f>資料儲存!H1743</f>
        <v>0</v>
      </c>
      <c r="Y83" s="39">
        <f>資料儲存!I1743</f>
        <v>0</v>
      </c>
      <c r="Z83" s="39">
        <f>資料儲存!J1743</f>
        <v>0</v>
      </c>
      <c r="AA83" s="35"/>
      <c r="AB83" s="38">
        <v>2</v>
      </c>
      <c r="AC83" s="39">
        <f>資料儲存!D1863</f>
        <v>0</v>
      </c>
      <c r="AD83" s="39">
        <f>資料儲存!E1863</f>
        <v>0</v>
      </c>
      <c r="AE83" s="39">
        <f>資料儲存!F1863</f>
        <v>0</v>
      </c>
      <c r="AF83" s="39">
        <f>資料儲存!G1863</f>
        <v>0</v>
      </c>
      <c r="AG83" s="39">
        <f>資料儲存!H1863</f>
        <v>0</v>
      </c>
      <c r="AH83" s="39">
        <f>資料儲存!I1863</f>
        <v>0</v>
      </c>
      <c r="AI83" s="39">
        <f>資料儲存!J1863</f>
        <v>0</v>
      </c>
      <c r="AJ83" s="13"/>
      <c r="AK83" s="38">
        <v>2</v>
      </c>
      <c r="AL83" s="39">
        <f>資料儲存!D1983</f>
        <v>0</v>
      </c>
      <c r="AM83" s="39">
        <f>資料儲存!E1983</f>
        <v>0</v>
      </c>
      <c r="AN83" s="39">
        <f>資料儲存!F1983</f>
        <v>0</v>
      </c>
      <c r="AO83" s="39">
        <f>資料儲存!G1983</f>
        <v>0</v>
      </c>
      <c r="AP83" s="39">
        <f>資料儲存!H1983</f>
        <v>0</v>
      </c>
      <c r="AQ83" s="39">
        <f>資料儲存!I1983</f>
        <v>0</v>
      </c>
      <c r="AR83" s="39">
        <f>資料儲存!J1983</f>
        <v>0</v>
      </c>
      <c r="AT83" s="38">
        <v>2</v>
      </c>
      <c r="AU83" s="39">
        <f>資料儲存!D2103</f>
        <v>0</v>
      </c>
      <c r="AV83" s="39">
        <f>資料儲存!E2103</f>
        <v>0</v>
      </c>
      <c r="AW83" s="39">
        <f>資料儲存!F2103</f>
        <v>0</v>
      </c>
      <c r="AX83" s="39">
        <f>資料儲存!G2103</f>
        <v>0</v>
      </c>
      <c r="AY83" s="39">
        <f>資料儲存!H2103</f>
        <v>0</v>
      </c>
      <c r="AZ83" s="39">
        <f>資料儲存!I2103</f>
        <v>0</v>
      </c>
      <c r="BA83" s="39">
        <f>資料儲存!J2103</f>
        <v>0</v>
      </c>
    </row>
    <row r="84" spans="1:53" ht="16" thickBot="1">
      <c r="A84" s="38">
        <v>3</v>
      </c>
      <c r="B84" s="39">
        <f>資料儲存!D1504</f>
        <v>0</v>
      </c>
      <c r="C84" s="39">
        <f>資料儲存!E1504</f>
        <v>0</v>
      </c>
      <c r="D84" s="39">
        <f>資料儲存!F1504</f>
        <v>0</v>
      </c>
      <c r="E84" s="39">
        <f>資料儲存!G1504</f>
        <v>0</v>
      </c>
      <c r="F84" s="39">
        <f>資料儲存!H1504</f>
        <v>0</v>
      </c>
      <c r="G84" s="39">
        <f>資料儲存!I1504</f>
        <v>0</v>
      </c>
      <c r="H84" s="39">
        <f>資料儲存!J1504</f>
        <v>0</v>
      </c>
      <c r="I84" s="35"/>
      <c r="J84" s="38">
        <v>3</v>
      </c>
      <c r="K84" s="39">
        <f>資料儲存!D1624</f>
        <v>0</v>
      </c>
      <c r="L84" s="39">
        <f>資料儲存!E1624</f>
        <v>0</v>
      </c>
      <c r="M84" s="39">
        <f>資料儲存!F1624</f>
        <v>0</v>
      </c>
      <c r="N84" s="39">
        <f>資料儲存!G1624</f>
        <v>0</v>
      </c>
      <c r="O84" s="39">
        <f>資料儲存!H1624</f>
        <v>0</v>
      </c>
      <c r="P84" s="39">
        <f>資料儲存!I1624</f>
        <v>0</v>
      </c>
      <c r="Q84" s="39">
        <f>資料儲存!J1624</f>
        <v>0</v>
      </c>
      <c r="R84" s="35"/>
      <c r="S84" s="38">
        <v>3</v>
      </c>
      <c r="T84" s="39">
        <f>資料儲存!D1744</f>
        <v>0</v>
      </c>
      <c r="U84" s="39">
        <f>資料儲存!E1744</f>
        <v>0</v>
      </c>
      <c r="V84" s="39">
        <f>資料儲存!F1744</f>
        <v>0</v>
      </c>
      <c r="W84" s="39">
        <f>資料儲存!G1744</f>
        <v>0</v>
      </c>
      <c r="X84" s="39">
        <f>資料儲存!H1744</f>
        <v>0</v>
      </c>
      <c r="Y84" s="39">
        <f>資料儲存!I1744</f>
        <v>0</v>
      </c>
      <c r="Z84" s="39">
        <f>資料儲存!J1744</f>
        <v>0</v>
      </c>
      <c r="AA84" s="35"/>
      <c r="AB84" s="38">
        <v>3</v>
      </c>
      <c r="AC84" s="39">
        <f>資料儲存!D1864</f>
        <v>0</v>
      </c>
      <c r="AD84" s="39">
        <f>資料儲存!E1864</f>
        <v>0</v>
      </c>
      <c r="AE84" s="39">
        <f>資料儲存!F1864</f>
        <v>0</v>
      </c>
      <c r="AF84" s="39">
        <f>資料儲存!G1864</f>
        <v>0</v>
      </c>
      <c r="AG84" s="39">
        <f>資料儲存!H1864</f>
        <v>0</v>
      </c>
      <c r="AH84" s="39">
        <f>資料儲存!I1864</f>
        <v>0</v>
      </c>
      <c r="AI84" s="39">
        <f>資料儲存!J1864</f>
        <v>0</v>
      </c>
      <c r="AJ84" s="13"/>
      <c r="AK84" s="38">
        <v>3</v>
      </c>
      <c r="AL84" s="39">
        <f>資料儲存!D1984</f>
        <v>0</v>
      </c>
      <c r="AM84" s="39">
        <f>資料儲存!E1984</f>
        <v>0</v>
      </c>
      <c r="AN84" s="39">
        <f>資料儲存!F1984</f>
        <v>0</v>
      </c>
      <c r="AO84" s="39">
        <f>資料儲存!G1984</f>
        <v>0</v>
      </c>
      <c r="AP84" s="39">
        <f>資料儲存!H1984</f>
        <v>0</v>
      </c>
      <c r="AQ84" s="39">
        <f>資料儲存!I1984</f>
        <v>0</v>
      </c>
      <c r="AR84" s="39">
        <f>資料儲存!J1984</f>
        <v>0</v>
      </c>
      <c r="AT84" s="38">
        <v>3</v>
      </c>
      <c r="AU84" s="39">
        <f>資料儲存!D2104</f>
        <v>0</v>
      </c>
      <c r="AV84" s="39">
        <f>資料儲存!E2104</f>
        <v>0</v>
      </c>
      <c r="AW84" s="39">
        <f>資料儲存!F2104</f>
        <v>0</v>
      </c>
      <c r="AX84" s="39">
        <f>資料儲存!G2104</f>
        <v>0</v>
      </c>
      <c r="AY84" s="39">
        <f>資料儲存!H2104</f>
        <v>0</v>
      </c>
      <c r="AZ84" s="39">
        <f>資料儲存!I2104</f>
        <v>0</v>
      </c>
      <c r="BA84" s="39">
        <f>資料儲存!J2104</f>
        <v>0</v>
      </c>
    </row>
    <row r="85" spans="1:53" ht="16" thickBot="1">
      <c r="A85" s="38">
        <v>4</v>
      </c>
      <c r="B85" s="39">
        <f>資料儲存!D1505</f>
        <v>0</v>
      </c>
      <c r="C85" s="39">
        <f>資料儲存!E1505</f>
        <v>0</v>
      </c>
      <c r="D85" s="39">
        <f>資料儲存!F1505</f>
        <v>0</v>
      </c>
      <c r="E85" s="39">
        <f>資料儲存!G1505</f>
        <v>0</v>
      </c>
      <c r="F85" s="39">
        <f>資料儲存!H1505</f>
        <v>0</v>
      </c>
      <c r="G85" s="39">
        <f>資料儲存!I1505</f>
        <v>0</v>
      </c>
      <c r="H85" s="39">
        <f>資料儲存!J1505</f>
        <v>0</v>
      </c>
      <c r="I85" s="35"/>
      <c r="J85" s="38">
        <v>4</v>
      </c>
      <c r="K85" s="39">
        <f>資料儲存!D1625</f>
        <v>0</v>
      </c>
      <c r="L85" s="39">
        <f>資料儲存!E1625</f>
        <v>0</v>
      </c>
      <c r="M85" s="39">
        <f>資料儲存!F1625</f>
        <v>0</v>
      </c>
      <c r="N85" s="39">
        <f>資料儲存!G1625</f>
        <v>0</v>
      </c>
      <c r="O85" s="39">
        <f>資料儲存!H1625</f>
        <v>0</v>
      </c>
      <c r="P85" s="39">
        <f>資料儲存!I1625</f>
        <v>0</v>
      </c>
      <c r="Q85" s="39">
        <f>資料儲存!J1625</f>
        <v>0</v>
      </c>
      <c r="R85" s="35"/>
      <c r="S85" s="38">
        <v>4</v>
      </c>
      <c r="T85" s="39">
        <f>資料儲存!D1745</f>
        <v>0</v>
      </c>
      <c r="U85" s="39">
        <f>資料儲存!E1745</f>
        <v>0</v>
      </c>
      <c r="V85" s="39">
        <f>資料儲存!F1745</f>
        <v>0</v>
      </c>
      <c r="W85" s="39">
        <f>資料儲存!G1745</f>
        <v>0</v>
      </c>
      <c r="X85" s="39">
        <f>資料儲存!H1745</f>
        <v>0</v>
      </c>
      <c r="Y85" s="39">
        <f>資料儲存!I1745</f>
        <v>0</v>
      </c>
      <c r="Z85" s="39">
        <f>資料儲存!J1745</f>
        <v>0</v>
      </c>
      <c r="AA85" s="35"/>
      <c r="AB85" s="38">
        <v>4</v>
      </c>
      <c r="AC85" s="39">
        <f>資料儲存!D1865</f>
        <v>0</v>
      </c>
      <c r="AD85" s="39">
        <f>資料儲存!E1865</f>
        <v>0</v>
      </c>
      <c r="AE85" s="39">
        <f>資料儲存!F1865</f>
        <v>0</v>
      </c>
      <c r="AF85" s="39">
        <f>資料儲存!G1865</f>
        <v>0</v>
      </c>
      <c r="AG85" s="39">
        <f>資料儲存!H1865</f>
        <v>0</v>
      </c>
      <c r="AH85" s="39">
        <f>資料儲存!I1865</f>
        <v>0</v>
      </c>
      <c r="AI85" s="39">
        <f>資料儲存!J1865</f>
        <v>0</v>
      </c>
      <c r="AJ85" s="13"/>
      <c r="AK85" s="38">
        <v>4</v>
      </c>
      <c r="AL85" s="39">
        <f>資料儲存!D1985</f>
        <v>0</v>
      </c>
      <c r="AM85" s="39">
        <f>資料儲存!E1985</f>
        <v>0</v>
      </c>
      <c r="AN85" s="39">
        <f>資料儲存!F1985</f>
        <v>0</v>
      </c>
      <c r="AO85" s="39">
        <f>資料儲存!G1985</f>
        <v>0</v>
      </c>
      <c r="AP85" s="39">
        <f>資料儲存!H1985</f>
        <v>0</v>
      </c>
      <c r="AQ85" s="39">
        <f>資料儲存!I1985</f>
        <v>0</v>
      </c>
      <c r="AR85" s="39">
        <f>資料儲存!J1985</f>
        <v>0</v>
      </c>
      <c r="AT85" s="38">
        <v>4</v>
      </c>
      <c r="AU85" s="39">
        <f>資料儲存!D2105</f>
        <v>0</v>
      </c>
      <c r="AV85" s="39">
        <f>資料儲存!E2105</f>
        <v>0</v>
      </c>
      <c r="AW85" s="39">
        <f>資料儲存!F2105</f>
        <v>0</v>
      </c>
      <c r="AX85" s="39">
        <f>資料儲存!G2105</f>
        <v>0</v>
      </c>
      <c r="AY85" s="39">
        <f>資料儲存!H2105</f>
        <v>0</v>
      </c>
      <c r="AZ85" s="39">
        <f>資料儲存!I2105</f>
        <v>0</v>
      </c>
      <c r="BA85" s="39">
        <f>資料儲存!J2105</f>
        <v>0</v>
      </c>
    </row>
    <row r="86" spans="1:53" ht="16" thickBot="1">
      <c r="A86" s="38">
        <v>5</v>
      </c>
      <c r="B86" s="39">
        <f>資料儲存!D1506</f>
        <v>0</v>
      </c>
      <c r="C86" s="39">
        <f>資料儲存!E1506</f>
        <v>0</v>
      </c>
      <c r="D86" s="39">
        <f>資料儲存!F1506</f>
        <v>0</v>
      </c>
      <c r="E86" s="39">
        <f>資料儲存!G1506</f>
        <v>0</v>
      </c>
      <c r="F86" s="39">
        <f>資料儲存!H1506</f>
        <v>0</v>
      </c>
      <c r="G86" s="39">
        <f>資料儲存!I1506</f>
        <v>0</v>
      </c>
      <c r="H86" s="39">
        <f>資料儲存!J1506</f>
        <v>0</v>
      </c>
      <c r="I86" s="35"/>
      <c r="J86" s="38">
        <v>5</v>
      </c>
      <c r="K86" s="39">
        <f>資料儲存!D1626</f>
        <v>0</v>
      </c>
      <c r="L86" s="39">
        <f>資料儲存!E1626</f>
        <v>0</v>
      </c>
      <c r="M86" s="39">
        <f>資料儲存!F1626</f>
        <v>0</v>
      </c>
      <c r="N86" s="39">
        <f>資料儲存!G1626</f>
        <v>0</v>
      </c>
      <c r="O86" s="39">
        <f>資料儲存!H1626</f>
        <v>0</v>
      </c>
      <c r="P86" s="39">
        <f>資料儲存!I1626</f>
        <v>0</v>
      </c>
      <c r="Q86" s="39">
        <f>資料儲存!J1626</f>
        <v>0</v>
      </c>
      <c r="R86" s="35"/>
      <c r="S86" s="38">
        <v>5</v>
      </c>
      <c r="T86" s="39">
        <f>資料儲存!D1746</f>
        <v>0</v>
      </c>
      <c r="U86" s="39">
        <f>資料儲存!E1746</f>
        <v>0</v>
      </c>
      <c r="V86" s="39">
        <f>資料儲存!F1746</f>
        <v>0</v>
      </c>
      <c r="W86" s="39">
        <f>資料儲存!G1746</f>
        <v>0</v>
      </c>
      <c r="X86" s="39">
        <f>資料儲存!H1746</f>
        <v>0</v>
      </c>
      <c r="Y86" s="39">
        <f>資料儲存!I1746</f>
        <v>0</v>
      </c>
      <c r="Z86" s="39">
        <f>資料儲存!J1746</f>
        <v>0</v>
      </c>
      <c r="AA86" s="35"/>
      <c r="AB86" s="38">
        <v>5</v>
      </c>
      <c r="AC86" s="39">
        <f>資料儲存!D1866</f>
        <v>0</v>
      </c>
      <c r="AD86" s="39">
        <f>資料儲存!E1866</f>
        <v>0</v>
      </c>
      <c r="AE86" s="39">
        <f>資料儲存!F1866</f>
        <v>0</v>
      </c>
      <c r="AF86" s="39">
        <f>資料儲存!G1866</f>
        <v>0</v>
      </c>
      <c r="AG86" s="39">
        <f>資料儲存!H1866</f>
        <v>0</v>
      </c>
      <c r="AH86" s="39">
        <f>資料儲存!I1866</f>
        <v>0</v>
      </c>
      <c r="AI86" s="39">
        <f>資料儲存!J1866</f>
        <v>0</v>
      </c>
      <c r="AJ86" s="13"/>
      <c r="AK86" s="38">
        <v>5</v>
      </c>
      <c r="AL86" s="39">
        <f>資料儲存!D1986</f>
        <v>0</v>
      </c>
      <c r="AM86" s="39">
        <f>資料儲存!E1986</f>
        <v>0</v>
      </c>
      <c r="AN86" s="39">
        <f>資料儲存!F1986</f>
        <v>0</v>
      </c>
      <c r="AO86" s="39">
        <f>資料儲存!G1986</f>
        <v>0</v>
      </c>
      <c r="AP86" s="39">
        <f>資料儲存!H1986</f>
        <v>0</v>
      </c>
      <c r="AQ86" s="39">
        <f>資料儲存!I1986</f>
        <v>0</v>
      </c>
      <c r="AR86" s="39">
        <f>資料儲存!J1986</f>
        <v>0</v>
      </c>
      <c r="AT86" s="38">
        <v>5</v>
      </c>
      <c r="AU86" s="39">
        <f>資料儲存!D2106</f>
        <v>0</v>
      </c>
      <c r="AV86" s="39">
        <f>資料儲存!E2106</f>
        <v>0</v>
      </c>
      <c r="AW86" s="39">
        <f>資料儲存!F2106</f>
        <v>0</v>
      </c>
      <c r="AX86" s="39">
        <f>資料儲存!G2106</f>
        <v>0</v>
      </c>
      <c r="AY86" s="39">
        <f>資料儲存!H2106</f>
        <v>0</v>
      </c>
      <c r="AZ86" s="39">
        <f>資料儲存!I2106</f>
        <v>0</v>
      </c>
      <c r="BA86" s="39">
        <f>資料儲存!J2106</f>
        <v>0</v>
      </c>
    </row>
    <row r="87" spans="1:53" ht="16" thickBot="1">
      <c r="A87" s="38">
        <v>6</v>
      </c>
      <c r="B87" s="39">
        <f>資料儲存!D1507</f>
        <v>0</v>
      </c>
      <c r="C87" s="39">
        <f>資料儲存!E1507</f>
        <v>0</v>
      </c>
      <c r="D87" s="39">
        <f>資料儲存!F1507</f>
        <v>0</v>
      </c>
      <c r="E87" s="39">
        <f>資料儲存!G1507</f>
        <v>0</v>
      </c>
      <c r="F87" s="39">
        <f>資料儲存!H1507</f>
        <v>0</v>
      </c>
      <c r="G87" s="39">
        <f>資料儲存!I1507</f>
        <v>0</v>
      </c>
      <c r="H87" s="39">
        <f>資料儲存!J1507</f>
        <v>0</v>
      </c>
      <c r="I87" s="35"/>
      <c r="J87" s="38">
        <v>6</v>
      </c>
      <c r="K87" s="39">
        <f>資料儲存!D1627</f>
        <v>0</v>
      </c>
      <c r="L87" s="39">
        <f>資料儲存!E1627</f>
        <v>0</v>
      </c>
      <c r="M87" s="39">
        <f>資料儲存!F1627</f>
        <v>0</v>
      </c>
      <c r="N87" s="39">
        <f>資料儲存!G1627</f>
        <v>0</v>
      </c>
      <c r="O87" s="39">
        <f>資料儲存!H1627</f>
        <v>0</v>
      </c>
      <c r="P87" s="39">
        <f>資料儲存!I1627</f>
        <v>0</v>
      </c>
      <c r="Q87" s="39">
        <f>資料儲存!J1627</f>
        <v>0</v>
      </c>
      <c r="R87" s="35"/>
      <c r="S87" s="38">
        <v>6</v>
      </c>
      <c r="T87" s="39">
        <f>資料儲存!D1747</f>
        <v>0</v>
      </c>
      <c r="U87" s="39">
        <f>資料儲存!E1747</f>
        <v>0</v>
      </c>
      <c r="V87" s="39">
        <f>資料儲存!F1747</f>
        <v>0</v>
      </c>
      <c r="W87" s="39">
        <f>資料儲存!G1747</f>
        <v>0</v>
      </c>
      <c r="X87" s="39">
        <f>資料儲存!H1747</f>
        <v>0</v>
      </c>
      <c r="Y87" s="39">
        <f>資料儲存!I1747</f>
        <v>0</v>
      </c>
      <c r="Z87" s="39">
        <f>資料儲存!J1747</f>
        <v>0</v>
      </c>
      <c r="AA87" s="35"/>
      <c r="AB87" s="38">
        <v>6</v>
      </c>
      <c r="AC87" s="39">
        <f>資料儲存!D1867</f>
        <v>0</v>
      </c>
      <c r="AD87" s="39">
        <f>資料儲存!E1867</f>
        <v>0</v>
      </c>
      <c r="AE87" s="39">
        <f>資料儲存!F1867</f>
        <v>0</v>
      </c>
      <c r="AF87" s="39">
        <f>資料儲存!G1867</f>
        <v>0</v>
      </c>
      <c r="AG87" s="39">
        <f>資料儲存!H1867</f>
        <v>0</v>
      </c>
      <c r="AH87" s="39">
        <f>資料儲存!I1867</f>
        <v>0</v>
      </c>
      <c r="AI87" s="39">
        <f>資料儲存!J1867</f>
        <v>0</v>
      </c>
      <c r="AJ87" s="13"/>
      <c r="AK87" s="38">
        <v>6</v>
      </c>
      <c r="AL87" s="39">
        <f>資料儲存!D1987</f>
        <v>0</v>
      </c>
      <c r="AM87" s="39">
        <f>資料儲存!E1987</f>
        <v>0</v>
      </c>
      <c r="AN87" s="39">
        <f>資料儲存!F1987</f>
        <v>0</v>
      </c>
      <c r="AO87" s="39">
        <f>資料儲存!G1987</f>
        <v>0</v>
      </c>
      <c r="AP87" s="39">
        <f>資料儲存!H1987</f>
        <v>0</v>
      </c>
      <c r="AQ87" s="39">
        <f>資料儲存!I1987</f>
        <v>0</v>
      </c>
      <c r="AR87" s="39">
        <f>資料儲存!J1987</f>
        <v>0</v>
      </c>
      <c r="AT87" s="38">
        <v>6</v>
      </c>
      <c r="AU87" s="39">
        <f>資料儲存!D2107</f>
        <v>0</v>
      </c>
      <c r="AV87" s="39">
        <f>資料儲存!E2107</f>
        <v>0</v>
      </c>
      <c r="AW87" s="39">
        <f>資料儲存!F2107</f>
        <v>0</v>
      </c>
      <c r="AX87" s="39">
        <f>資料儲存!G2107</f>
        <v>0</v>
      </c>
      <c r="AY87" s="39">
        <f>資料儲存!H2107</f>
        <v>0</v>
      </c>
      <c r="AZ87" s="39">
        <f>資料儲存!I2107</f>
        <v>0</v>
      </c>
      <c r="BA87" s="39">
        <f>資料儲存!J2107</f>
        <v>0</v>
      </c>
    </row>
    <row r="88" spans="1:53" ht="16" thickBot="1">
      <c r="A88" s="38">
        <v>7</v>
      </c>
      <c r="B88" s="39">
        <f>資料儲存!D1508</f>
        <v>0</v>
      </c>
      <c r="C88" s="39">
        <f>資料儲存!E1508</f>
        <v>0</v>
      </c>
      <c r="D88" s="39">
        <f>資料儲存!F1508</f>
        <v>0</v>
      </c>
      <c r="E88" s="39">
        <f>資料儲存!G1508</f>
        <v>0</v>
      </c>
      <c r="F88" s="39">
        <f>資料儲存!H1508</f>
        <v>0</v>
      </c>
      <c r="G88" s="39">
        <f>資料儲存!I1508</f>
        <v>0</v>
      </c>
      <c r="H88" s="39">
        <f>資料儲存!J1508</f>
        <v>0</v>
      </c>
      <c r="I88" s="35"/>
      <c r="J88" s="38">
        <v>7</v>
      </c>
      <c r="K88" s="39">
        <f>資料儲存!D1628</f>
        <v>0</v>
      </c>
      <c r="L88" s="39">
        <f>資料儲存!E1628</f>
        <v>0</v>
      </c>
      <c r="M88" s="39">
        <f>資料儲存!F1628</f>
        <v>0</v>
      </c>
      <c r="N88" s="39">
        <f>資料儲存!G1628</f>
        <v>0</v>
      </c>
      <c r="O88" s="39">
        <f>資料儲存!H1628</f>
        <v>0</v>
      </c>
      <c r="P88" s="39">
        <f>資料儲存!I1628</f>
        <v>0</v>
      </c>
      <c r="Q88" s="39">
        <f>資料儲存!J1628</f>
        <v>0</v>
      </c>
      <c r="R88" s="35"/>
      <c r="S88" s="38">
        <v>7</v>
      </c>
      <c r="T88" s="39">
        <f>資料儲存!D1748</f>
        <v>0</v>
      </c>
      <c r="U88" s="39">
        <f>資料儲存!E1748</f>
        <v>0</v>
      </c>
      <c r="V88" s="39">
        <f>資料儲存!F1748</f>
        <v>0</v>
      </c>
      <c r="W88" s="39">
        <f>資料儲存!G1748</f>
        <v>0</v>
      </c>
      <c r="X88" s="39">
        <f>資料儲存!H1748</f>
        <v>0</v>
      </c>
      <c r="Y88" s="39">
        <f>資料儲存!I1748</f>
        <v>0</v>
      </c>
      <c r="Z88" s="39">
        <f>資料儲存!J1748</f>
        <v>0</v>
      </c>
      <c r="AA88" s="35"/>
      <c r="AB88" s="38">
        <v>7</v>
      </c>
      <c r="AC88" s="39">
        <f>資料儲存!D1868</f>
        <v>0</v>
      </c>
      <c r="AD88" s="39">
        <f>資料儲存!E1868</f>
        <v>0</v>
      </c>
      <c r="AE88" s="39">
        <f>資料儲存!F1868</f>
        <v>0</v>
      </c>
      <c r="AF88" s="39">
        <f>資料儲存!G1868</f>
        <v>0</v>
      </c>
      <c r="AG88" s="39">
        <f>資料儲存!H1868</f>
        <v>0</v>
      </c>
      <c r="AH88" s="39">
        <f>資料儲存!I1868</f>
        <v>0</v>
      </c>
      <c r="AI88" s="39">
        <f>資料儲存!J1868</f>
        <v>0</v>
      </c>
      <c r="AJ88" s="13"/>
      <c r="AK88" s="38">
        <v>7</v>
      </c>
      <c r="AL88" s="39">
        <f>資料儲存!D1988</f>
        <v>0</v>
      </c>
      <c r="AM88" s="39">
        <f>資料儲存!E1988</f>
        <v>0</v>
      </c>
      <c r="AN88" s="39">
        <f>資料儲存!F1988</f>
        <v>0</v>
      </c>
      <c r="AO88" s="39">
        <f>資料儲存!G1988</f>
        <v>0</v>
      </c>
      <c r="AP88" s="39">
        <f>資料儲存!H1988</f>
        <v>0</v>
      </c>
      <c r="AQ88" s="39">
        <f>資料儲存!I1988</f>
        <v>0</v>
      </c>
      <c r="AR88" s="39">
        <f>資料儲存!J1988</f>
        <v>0</v>
      </c>
      <c r="AT88" s="38">
        <v>7</v>
      </c>
      <c r="AU88" s="39">
        <f>資料儲存!D2108</f>
        <v>0</v>
      </c>
      <c r="AV88" s="39">
        <f>資料儲存!E2108</f>
        <v>0</v>
      </c>
      <c r="AW88" s="39">
        <f>資料儲存!F2108</f>
        <v>0</v>
      </c>
      <c r="AX88" s="39">
        <f>資料儲存!G2108</f>
        <v>0</v>
      </c>
      <c r="AY88" s="39">
        <f>資料儲存!H2108</f>
        <v>0</v>
      </c>
      <c r="AZ88" s="39">
        <f>資料儲存!I2108</f>
        <v>0</v>
      </c>
      <c r="BA88" s="39">
        <f>資料儲存!J2108</f>
        <v>0</v>
      </c>
    </row>
    <row r="89" spans="1:53" ht="16" thickBot="1">
      <c r="A89" s="38">
        <v>8</v>
      </c>
      <c r="B89" s="39">
        <f>資料儲存!D1509</f>
        <v>0</v>
      </c>
      <c r="C89" s="39">
        <f>資料儲存!E1509</f>
        <v>0</v>
      </c>
      <c r="D89" s="39">
        <f>資料儲存!F1509</f>
        <v>0</v>
      </c>
      <c r="E89" s="39">
        <f>資料儲存!G1509</f>
        <v>0</v>
      </c>
      <c r="F89" s="39">
        <f>資料儲存!H1509</f>
        <v>0</v>
      </c>
      <c r="G89" s="39">
        <f>資料儲存!I1509</f>
        <v>0</v>
      </c>
      <c r="H89" s="39">
        <f>資料儲存!J1509</f>
        <v>0</v>
      </c>
      <c r="I89" s="35"/>
      <c r="J89" s="38">
        <v>8</v>
      </c>
      <c r="K89" s="39">
        <f>資料儲存!D1629</f>
        <v>0</v>
      </c>
      <c r="L89" s="39">
        <f>資料儲存!E1629</f>
        <v>0</v>
      </c>
      <c r="M89" s="39">
        <f>資料儲存!F1629</f>
        <v>0</v>
      </c>
      <c r="N89" s="39">
        <f>資料儲存!G1629</f>
        <v>0</v>
      </c>
      <c r="O89" s="39">
        <f>資料儲存!H1629</f>
        <v>0</v>
      </c>
      <c r="P89" s="39">
        <f>資料儲存!I1629</f>
        <v>0</v>
      </c>
      <c r="Q89" s="39">
        <f>資料儲存!J1629</f>
        <v>0</v>
      </c>
      <c r="R89" s="35"/>
      <c r="S89" s="38">
        <v>8</v>
      </c>
      <c r="T89" s="39">
        <f>資料儲存!D1749</f>
        <v>0</v>
      </c>
      <c r="U89" s="39">
        <f>資料儲存!E1749</f>
        <v>0</v>
      </c>
      <c r="V89" s="39">
        <f>資料儲存!F1749</f>
        <v>0</v>
      </c>
      <c r="W89" s="39">
        <f>資料儲存!G1749</f>
        <v>0</v>
      </c>
      <c r="X89" s="39">
        <f>資料儲存!H1749</f>
        <v>0</v>
      </c>
      <c r="Y89" s="39">
        <f>資料儲存!I1749</f>
        <v>0</v>
      </c>
      <c r="Z89" s="39">
        <f>資料儲存!J1749</f>
        <v>0</v>
      </c>
      <c r="AA89" s="35"/>
      <c r="AB89" s="38">
        <v>8</v>
      </c>
      <c r="AC89" s="39">
        <f>資料儲存!D1869</f>
        <v>0</v>
      </c>
      <c r="AD89" s="39">
        <f>資料儲存!E1869</f>
        <v>0</v>
      </c>
      <c r="AE89" s="39">
        <f>資料儲存!F1869</f>
        <v>0</v>
      </c>
      <c r="AF89" s="39">
        <f>資料儲存!G1869</f>
        <v>0</v>
      </c>
      <c r="AG89" s="39">
        <f>資料儲存!H1869</f>
        <v>0</v>
      </c>
      <c r="AH89" s="39">
        <f>資料儲存!I1869</f>
        <v>0</v>
      </c>
      <c r="AI89" s="39">
        <f>資料儲存!J1869</f>
        <v>0</v>
      </c>
      <c r="AJ89" s="13"/>
      <c r="AK89" s="38">
        <v>8</v>
      </c>
      <c r="AL89" s="39">
        <f>資料儲存!D1989</f>
        <v>0</v>
      </c>
      <c r="AM89" s="39">
        <f>資料儲存!E1989</f>
        <v>0</v>
      </c>
      <c r="AN89" s="39">
        <f>資料儲存!F1989</f>
        <v>0</v>
      </c>
      <c r="AO89" s="39">
        <f>資料儲存!G1989</f>
        <v>0</v>
      </c>
      <c r="AP89" s="39">
        <f>資料儲存!H1989</f>
        <v>0</v>
      </c>
      <c r="AQ89" s="39">
        <f>資料儲存!I1989</f>
        <v>0</v>
      </c>
      <c r="AR89" s="39">
        <f>資料儲存!J1989</f>
        <v>0</v>
      </c>
      <c r="AT89" s="38">
        <v>8</v>
      </c>
      <c r="AU89" s="39">
        <f>資料儲存!D2109</f>
        <v>0</v>
      </c>
      <c r="AV89" s="39">
        <f>資料儲存!E2109</f>
        <v>0</v>
      </c>
      <c r="AW89" s="39">
        <f>資料儲存!F2109</f>
        <v>0</v>
      </c>
      <c r="AX89" s="39">
        <f>資料儲存!G2109</f>
        <v>0</v>
      </c>
      <c r="AY89" s="39">
        <f>資料儲存!H2109</f>
        <v>0</v>
      </c>
      <c r="AZ89" s="39">
        <f>資料儲存!I2109</f>
        <v>0</v>
      </c>
      <c r="BA89" s="39">
        <f>資料儲存!J2109</f>
        <v>0</v>
      </c>
    </row>
    <row r="90" spans="1:53" ht="16" thickBot="1">
      <c r="A90" s="38">
        <v>9</v>
      </c>
      <c r="B90" s="39">
        <f>資料儲存!D1510</f>
        <v>0</v>
      </c>
      <c r="C90" s="39">
        <f>資料儲存!E1510</f>
        <v>0</v>
      </c>
      <c r="D90" s="39">
        <f>資料儲存!F1510</f>
        <v>0</v>
      </c>
      <c r="E90" s="39">
        <f>資料儲存!G1510</f>
        <v>0</v>
      </c>
      <c r="F90" s="39">
        <f>資料儲存!H1510</f>
        <v>0</v>
      </c>
      <c r="G90" s="39">
        <f>資料儲存!I1510</f>
        <v>0</v>
      </c>
      <c r="H90" s="39">
        <f>資料儲存!J1510</f>
        <v>0</v>
      </c>
      <c r="I90" s="35"/>
      <c r="J90" s="38">
        <v>9</v>
      </c>
      <c r="K90" s="39">
        <f>資料儲存!D1630</f>
        <v>0</v>
      </c>
      <c r="L90" s="39">
        <f>資料儲存!E1630</f>
        <v>0</v>
      </c>
      <c r="M90" s="39">
        <f>資料儲存!F1630</f>
        <v>0</v>
      </c>
      <c r="N90" s="39">
        <f>資料儲存!G1630</f>
        <v>0</v>
      </c>
      <c r="O90" s="39">
        <f>資料儲存!H1630</f>
        <v>0</v>
      </c>
      <c r="P90" s="39">
        <f>資料儲存!I1630</f>
        <v>0</v>
      </c>
      <c r="Q90" s="39">
        <f>資料儲存!J1630</f>
        <v>0</v>
      </c>
      <c r="R90" s="35"/>
      <c r="S90" s="38">
        <v>9</v>
      </c>
      <c r="T90" s="39">
        <f>資料儲存!D1750</f>
        <v>0</v>
      </c>
      <c r="U90" s="39">
        <f>資料儲存!E1750</f>
        <v>0</v>
      </c>
      <c r="V90" s="39">
        <f>資料儲存!F1750</f>
        <v>0</v>
      </c>
      <c r="W90" s="39">
        <f>資料儲存!G1750</f>
        <v>0</v>
      </c>
      <c r="X90" s="39">
        <f>資料儲存!H1750</f>
        <v>0</v>
      </c>
      <c r="Y90" s="39">
        <f>資料儲存!I1750</f>
        <v>0</v>
      </c>
      <c r="Z90" s="39">
        <f>資料儲存!J1750</f>
        <v>0</v>
      </c>
      <c r="AA90" s="35"/>
      <c r="AB90" s="38">
        <v>9</v>
      </c>
      <c r="AC90" s="39">
        <f>資料儲存!D1870</f>
        <v>0</v>
      </c>
      <c r="AD90" s="39">
        <f>資料儲存!E1870</f>
        <v>0</v>
      </c>
      <c r="AE90" s="39">
        <f>資料儲存!F1870</f>
        <v>0</v>
      </c>
      <c r="AF90" s="39">
        <f>資料儲存!G1870</f>
        <v>0</v>
      </c>
      <c r="AG90" s="39">
        <f>資料儲存!H1870</f>
        <v>0</v>
      </c>
      <c r="AH90" s="39">
        <f>資料儲存!I1870</f>
        <v>0</v>
      </c>
      <c r="AI90" s="39">
        <f>資料儲存!J1870</f>
        <v>0</v>
      </c>
      <c r="AJ90" s="13"/>
      <c r="AK90" s="38">
        <v>9</v>
      </c>
      <c r="AL90" s="39">
        <f>資料儲存!D1990</f>
        <v>0</v>
      </c>
      <c r="AM90" s="39">
        <f>資料儲存!E1990</f>
        <v>0</v>
      </c>
      <c r="AN90" s="39">
        <f>資料儲存!F1990</f>
        <v>0</v>
      </c>
      <c r="AO90" s="39">
        <f>資料儲存!G1990</f>
        <v>0</v>
      </c>
      <c r="AP90" s="39">
        <f>資料儲存!H1990</f>
        <v>0</v>
      </c>
      <c r="AQ90" s="39">
        <f>資料儲存!I1990</f>
        <v>0</v>
      </c>
      <c r="AR90" s="39">
        <f>資料儲存!J1990</f>
        <v>0</v>
      </c>
      <c r="AT90" s="38">
        <v>9</v>
      </c>
      <c r="AU90" s="39">
        <f>資料儲存!D2110</f>
        <v>0</v>
      </c>
      <c r="AV90" s="39">
        <f>資料儲存!E2110</f>
        <v>0</v>
      </c>
      <c r="AW90" s="39">
        <f>資料儲存!F2110</f>
        <v>0</v>
      </c>
      <c r="AX90" s="39">
        <f>資料儲存!G2110</f>
        <v>0</v>
      </c>
      <c r="AY90" s="39">
        <f>資料儲存!H2110</f>
        <v>0</v>
      </c>
      <c r="AZ90" s="39">
        <f>資料儲存!I2110</f>
        <v>0</v>
      </c>
      <c r="BA90" s="39">
        <f>資料儲存!J2110</f>
        <v>0</v>
      </c>
    </row>
    <row r="91" spans="1:53" ht="16" thickBot="1">
      <c r="A91" s="38">
        <v>10</v>
      </c>
      <c r="B91" s="39">
        <f>資料儲存!D1511</f>
        <v>0</v>
      </c>
      <c r="C91" s="39">
        <f>資料儲存!E1511</f>
        <v>0</v>
      </c>
      <c r="D91" s="39">
        <f>資料儲存!F1511</f>
        <v>0</v>
      </c>
      <c r="E91" s="39">
        <f>資料儲存!G1511</f>
        <v>0</v>
      </c>
      <c r="F91" s="39">
        <f>資料儲存!H1511</f>
        <v>0</v>
      </c>
      <c r="G91" s="39">
        <f>資料儲存!I1511</f>
        <v>0</v>
      </c>
      <c r="H91" s="39">
        <f>資料儲存!J1511</f>
        <v>0</v>
      </c>
      <c r="I91" s="35"/>
      <c r="J91" s="38">
        <v>10</v>
      </c>
      <c r="K91" s="39">
        <f>資料儲存!D1631</f>
        <v>0</v>
      </c>
      <c r="L91" s="39">
        <f>資料儲存!E1631</f>
        <v>0</v>
      </c>
      <c r="M91" s="39">
        <f>資料儲存!F1631</f>
        <v>0</v>
      </c>
      <c r="N91" s="39">
        <f>資料儲存!G1631</f>
        <v>0</v>
      </c>
      <c r="O91" s="39">
        <f>資料儲存!H1631</f>
        <v>0</v>
      </c>
      <c r="P91" s="39">
        <f>資料儲存!I1631</f>
        <v>0</v>
      </c>
      <c r="Q91" s="39">
        <f>資料儲存!J1631</f>
        <v>0</v>
      </c>
      <c r="R91" s="35"/>
      <c r="S91" s="38">
        <v>10</v>
      </c>
      <c r="T91" s="39">
        <f>資料儲存!D1751</f>
        <v>0</v>
      </c>
      <c r="U91" s="39">
        <f>資料儲存!E1751</f>
        <v>0</v>
      </c>
      <c r="V91" s="39">
        <f>資料儲存!F1751</f>
        <v>0</v>
      </c>
      <c r="W91" s="39">
        <f>資料儲存!G1751</f>
        <v>0</v>
      </c>
      <c r="X91" s="39">
        <f>資料儲存!H1751</f>
        <v>0</v>
      </c>
      <c r="Y91" s="39">
        <f>資料儲存!I1751</f>
        <v>0</v>
      </c>
      <c r="Z91" s="39">
        <f>資料儲存!J1751</f>
        <v>0</v>
      </c>
      <c r="AA91" s="35"/>
      <c r="AB91" s="38">
        <v>10</v>
      </c>
      <c r="AC91" s="39">
        <f>資料儲存!D1871</f>
        <v>0</v>
      </c>
      <c r="AD91" s="39">
        <f>資料儲存!E1871</f>
        <v>0</v>
      </c>
      <c r="AE91" s="39">
        <f>資料儲存!F1871</f>
        <v>0</v>
      </c>
      <c r="AF91" s="39">
        <f>資料儲存!G1871</f>
        <v>0</v>
      </c>
      <c r="AG91" s="39">
        <f>資料儲存!H1871</f>
        <v>0</v>
      </c>
      <c r="AH91" s="39">
        <f>資料儲存!I1871</f>
        <v>0</v>
      </c>
      <c r="AI91" s="39">
        <f>資料儲存!J1871</f>
        <v>0</v>
      </c>
      <c r="AJ91" s="13"/>
      <c r="AK91" s="38">
        <v>10</v>
      </c>
      <c r="AL91" s="39">
        <f>資料儲存!D1991</f>
        <v>0</v>
      </c>
      <c r="AM91" s="39">
        <f>資料儲存!E1991</f>
        <v>0</v>
      </c>
      <c r="AN91" s="39">
        <f>資料儲存!F1991</f>
        <v>0</v>
      </c>
      <c r="AO91" s="39">
        <f>資料儲存!G1991</f>
        <v>0</v>
      </c>
      <c r="AP91" s="39">
        <f>資料儲存!H1991</f>
        <v>0</v>
      </c>
      <c r="AQ91" s="39">
        <f>資料儲存!I1991</f>
        <v>0</v>
      </c>
      <c r="AR91" s="39">
        <f>資料儲存!J1991</f>
        <v>0</v>
      </c>
      <c r="AT91" s="38">
        <v>10</v>
      </c>
      <c r="AU91" s="39">
        <f>資料儲存!D2111</f>
        <v>0</v>
      </c>
      <c r="AV91" s="39">
        <f>資料儲存!E2111</f>
        <v>0</v>
      </c>
      <c r="AW91" s="39">
        <f>資料儲存!F2111</f>
        <v>0</v>
      </c>
      <c r="AX91" s="39">
        <f>資料儲存!G2111</f>
        <v>0</v>
      </c>
      <c r="AY91" s="39">
        <f>資料儲存!H2111</f>
        <v>0</v>
      </c>
      <c r="AZ91" s="39">
        <f>資料儲存!I2111</f>
        <v>0</v>
      </c>
      <c r="BA91" s="39">
        <f>資料儲存!J2111</f>
        <v>0</v>
      </c>
    </row>
    <row r="92" spans="1:53" ht="16" thickBot="1">
      <c r="A92" s="38">
        <v>11</v>
      </c>
      <c r="B92" s="39">
        <f>資料儲存!D1512</f>
        <v>0</v>
      </c>
      <c r="C92" s="39">
        <f>資料儲存!E1512</f>
        <v>0</v>
      </c>
      <c r="D92" s="39">
        <f>資料儲存!F1512</f>
        <v>0</v>
      </c>
      <c r="E92" s="39">
        <f>資料儲存!G1512</f>
        <v>0</v>
      </c>
      <c r="F92" s="39">
        <f>資料儲存!H1512</f>
        <v>0</v>
      </c>
      <c r="G92" s="39">
        <f>資料儲存!I1512</f>
        <v>0</v>
      </c>
      <c r="H92" s="39">
        <f>資料儲存!J1512</f>
        <v>0</v>
      </c>
      <c r="I92" s="35"/>
      <c r="J92" s="38">
        <v>11</v>
      </c>
      <c r="K92" s="39">
        <f>資料儲存!D1632</f>
        <v>0</v>
      </c>
      <c r="L92" s="39">
        <f>資料儲存!E1632</f>
        <v>0</v>
      </c>
      <c r="M92" s="39">
        <f>資料儲存!F1632</f>
        <v>0</v>
      </c>
      <c r="N92" s="39">
        <f>資料儲存!G1632</f>
        <v>0</v>
      </c>
      <c r="O92" s="39">
        <f>資料儲存!H1632</f>
        <v>0</v>
      </c>
      <c r="P92" s="39">
        <f>資料儲存!I1632</f>
        <v>0</v>
      </c>
      <c r="Q92" s="39">
        <f>資料儲存!J1632</f>
        <v>0</v>
      </c>
      <c r="R92" s="35"/>
      <c r="S92" s="38">
        <v>11</v>
      </c>
      <c r="T92" s="39">
        <f>資料儲存!D1752</f>
        <v>0</v>
      </c>
      <c r="U92" s="39">
        <f>資料儲存!E1752</f>
        <v>0</v>
      </c>
      <c r="V92" s="39">
        <f>資料儲存!F1752</f>
        <v>0</v>
      </c>
      <c r="W92" s="39">
        <f>資料儲存!G1752</f>
        <v>0</v>
      </c>
      <c r="X92" s="39">
        <f>資料儲存!H1752</f>
        <v>0</v>
      </c>
      <c r="Y92" s="39">
        <f>資料儲存!I1752</f>
        <v>0</v>
      </c>
      <c r="Z92" s="39">
        <f>資料儲存!J1752</f>
        <v>0</v>
      </c>
      <c r="AA92" s="35"/>
      <c r="AB92" s="38">
        <v>11</v>
      </c>
      <c r="AC92" s="39">
        <f>資料儲存!D1872</f>
        <v>0</v>
      </c>
      <c r="AD92" s="39">
        <f>資料儲存!E1872</f>
        <v>0</v>
      </c>
      <c r="AE92" s="39">
        <f>資料儲存!F1872</f>
        <v>0</v>
      </c>
      <c r="AF92" s="39">
        <f>資料儲存!G1872</f>
        <v>0</v>
      </c>
      <c r="AG92" s="39">
        <f>資料儲存!H1872</f>
        <v>0</v>
      </c>
      <c r="AH92" s="39">
        <f>資料儲存!I1872</f>
        <v>0</v>
      </c>
      <c r="AI92" s="39">
        <f>資料儲存!J1872</f>
        <v>0</v>
      </c>
      <c r="AJ92" s="13"/>
      <c r="AK92" s="38">
        <v>11</v>
      </c>
      <c r="AL92" s="39">
        <f>資料儲存!D1992</f>
        <v>0</v>
      </c>
      <c r="AM92" s="39">
        <f>資料儲存!E1992</f>
        <v>0</v>
      </c>
      <c r="AN92" s="39">
        <f>資料儲存!F1992</f>
        <v>0</v>
      </c>
      <c r="AO92" s="39">
        <f>資料儲存!G1992</f>
        <v>0</v>
      </c>
      <c r="AP92" s="39">
        <f>資料儲存!H1992</f>
        <v>0</v>
      </c>
      <c r="AQ92" s="39">
        <f>資料儲存!I1992</f>
        <v>0</v>
      </c>
      <c r="AR92" s="39">
        <f>資料儲存!J1992</f>
        <v>0</v>
      </c>
      <c r="AT92" s="38">
        <v>11</v>
      </c>
      <c r="AU92" s="39">
        <f>資料儲存!D2112</f>
        <v>0</v>
      </c>
      <c r="AV92" s="39">
        <f>資料儲存!E2112</f>
        <v>0</v>
      </c>
      <c r="AW92" s="39">
        <f>資料儲存!F2112</f>
        <v>0</v>
      </c>
      <c r="AX92" s="39">
        <f>資料儲存!G2112</f>
        <v>0</v>
      </c>
      <c r="AY92" s="39">
        <f>資料儲存!H2112</f>
        <v>0</v>
      </c>
      <c r="AZ92" s="39">
        <f>資料儲存!I2112</f>
        <v>0</v>
      </c>
      <c r="BA92" s="39">
        <f>資料儲存!J2112</f>
        <v>0</v>
      </c>
    </row>
    <row r="93" spans="1:53" ht="16" thickBot="1">
      <c r="A93" s="38">
        <v>12</v>
      </c>
      <c r="B93" s="39">
        <f>資料儲存!D1513</f>
        <v>0</v>
      </c>
      <c r="C93" s="39">
        <f>資料儲存!E1513</f>
        <v>0</v>
      </c>
      <c r="D93" s="39">
        <f>資料儲存!F1513</f>
        <v>0</v>
      </c>
      <c r="E93" s="39">
        <f>資料儲存!G1513</f>
        <v>0</v>
      </c>
      <c r="F93" s="39">
        <f>資料儲存!H1513</f>
        <v>0</v>
      </c>
      <c r="G93" s="39">
        <f>資料儲存!I1513</f>
        <v>0</v>
      </c>
      <c r="H93" s="39">
        <f>資料儲存!J1513</f>
        <v>0</v>
      </c>
      <c r="I93" s="35"/>
      <c r="J93" s="38">
        <v>12</v>
      </c>
      <c r="K93" s="39">
        <f>資料儲存!D1633</f>
        <v>0</v>
      </c>
      <c r="L93" s="39">
        <f>資料儲存!E1633</f>
        <v>0</v>
      </c>
      <c r="M93" s="39">
        <f>資料儲存!F1633</f>
        <v>0</v>
      </c>
      <c r="N93" s="39">
        <f>資料儲存!G1633</f>
        <v>0</v>
      </c>
      <c r="O93" s="39">
        <f>資料儲存!H1633</f>
        <v>0</v>
      </c>
      <c r="P93" s="39">
        <f>資料儲存!I1633</f>
        <v>0</v>
      </c>
      <c r="Q93" s="39">
        <f>資料儲存!J1633</f>
        <v>0</v>
      </c>
      <c r="R93" s="35"/>
      <c r="S93" s="38">
        <v>12</v>
      </c>
      <c r="T93" s="39">
        <f>資料儲存!D1753</f>
        <v>0</v>
      </c>
      <c r="U93" s="39">
        <f>資料儲存!E1753</f>
        <v>0</v>
      </c>
      <c r="V93" s="39">
        <f>資料儲存!F1753</f>
        <v>0</v>
      </c>
      <c r="W93" s="39">
        <f>資料儲存!G1753</f>
        <v>0</v>
      </c>
      <c r="X93" s="39">
        <f>資料儲存!H1753</f>
        <v>0</v>
      </c>
      <c r="Y93" s="39">
        <f>資料儲存!I1753</f>
        <v>0</v>
      </c>
      <c r="Z93" s="39">
        <f>資料儲存!J1753</f>
        <v>0</v>
      </c>
      <c r="AA93" s="35"/>
      <c r="AB93" s="38">
        <v>12</v>
      </c>
      <c r="AC93" s="39">
        <f>資料儲存!D1873</f>
        <v>0</v>
      </c>
      <c r="AD93" s="39">
        <f>資料儲存!E1873</f>
        <v>0</v>
      </c>
      <c r="AE93" s="39">
        <f>資料儲存!F1873</f>
        <v>0</v>
      </c>
      <c r="AF93" s="39">
        <f>資料儲存!G1873</f>
        <v>0</v>
      </c>
      <c r="AG93" s="39">
        <f>資料儲存!H1873</f>
        <v>0</v>
      </c>
      <c r="AH93" s="39">
        <f>資料儲存!I1873</f>
        <v>0</v>
      </c>
      <c r="AI93" s="39">
        <f>資料儲存!J1873</f>
        <v>0</v>
      </c>
      <c r="AJ93" s="13"/>
      <c r="AK93" s="38">
        <v>12</v>
      </c>
      <c r="AL93" s="39">
        <f>資料儲存!D1993</f>
        <v>0</v>
      </c>
      <c r="AM93" s="39">
        <f>資料儲存!E1993</f>
        <v>0</v>
      </c>
      <c r="AN93" s="39">
        <f>資料儲存!F1993</f>
        <v>0</v>
      </c>
      <c r="AO93" s="39">
        <f>資料儲存!G1993</f>
        <v>0</v>
      </c>
      <c r="AP93" s="39">
        <f>資料儲存!H1993</f>
        <v>0</v>
      </c>
      <c r="AQ93" s="39">
        <f>資料儲存!I1993</f>
        <v>0</v>
      </c>
      <c r="AR93" s="39">
        <f>資料儲存!J1993</f>
        <v>0</v>
      </c>
      <c r="AT93" s="38">
        <v>12</v>
      </c>
      <c r="AU93" s="39">
        <f>資料儲存!D2113</f>
        <v>0</v>
      </c>
      <c r="AV93" s="39">
        <f>資料儲存!E2113</f>
        <v>0</v>
      </c>
      <c r="AW93" s="39">
        <f>資料儲存!F2113</f>
        <v>0</v>
      </c>
      <c r="AX93" s="39">
        <f>資料儲存!G2113</f>
        <v>0</v>
      </c>
      <c r="AY93" s="39">
        <f>資料儲存!H2113</f>
        <v>0</v>
      </c>
      <c r="AZ93" s="39">
        <f>資料儲存!I2113</f>
        <v>0</v>
      </c>
      <c r="BA93" s="39">
        <f>資料儲存!J2113</f>
        <v>0</v>
      </c>
    </row>
    <row r="94" spans="1:53" ht="16" thickBot="1">
      <c r="A94" s="38">
        <v>13</v>
      </c>
      <c r="B94" s="39">
        <f>資料儲存!D1514</f>
        <v>0</v>
      </c>
      <c r="C94" s="39">
        <f>資料儲存!E1514</f>
        <v>0</v>
      </c>
      <c r="D94" s="39">
        <f>資料儲存!F1514</f>
        <v>0</v>
      </c>
      <c r="E94" s="39">
        <f>資料儲存!G1514</f>
        <v>0</v>
      </c>
      <c r="F94" s="39">
        <f>資料儲存!H1514</f>
        <v>0</v>
      </c>
      <c r="G94" s="39">
        <f>資料儲存!I1514</f>
        <v>0</v>
      </c>
      <c r="H94" s="39">
        <f>資料儲存!J1514</f>
        <v>0</v>
      </c>
      <c r="I94" s="35"/>
      <c r="J94" s="38">
        <v>13</v>
      </c>
      <c r="K94" s="39">
        <f>資料儲存!D1634</f>
        <v>0</v>
      </c>
      <c r="L94" s="39">
        <f>資料儲存!E1634</f>
        <v>0</v>
      </c>
      <c r="M94" s="39">
        <f>資料儲存!F1634</f>
        <v>0</v>
      </c>
      <c r="N94" s="39">
        <f>資料儲存!G1634</f>
        <v>0</v>
      </c>
      <c r="O94" s="39">
        <f>資料儲存!H1634</f>
        <v>0</v>
      </c>
      <c r="P94" s="39">
        <f>資料儲存!I1634</f>
        <v>0</v>
      </c>
      <c r="Q94" s="39">
        <f>資料儲存!J1634</f>
        <v>0</v>
      </c>
      <c r="R94" s="35"/>
      <c r="S94" s="38">
        <v>13</v>
      </c>
      <c r="T94" s="39">
        <f>資料儲存!D1754</f>
        <v>0</v>
      </c>
      <c r="U94" s="39">
        <f>資料儲存!E1754</f>
        <v>0</v>
      </c>
      <c r="V94" s="39">
        <f>資料儲存!F1754</f>
        <v>0</v>
      </c>
      <c r="W94" s="39">
        <f>資料儲存!G1754</f>
        <v>0</v>
      </c>
      <c r="X94" s="39">
        <f>資料儲存!H1754</f>
        <v>0</v>
      </c>
      <c r="Y94" s="39">
        <f>資料儲存!I1754</f>
        <v>0</v>
      </c>
      <c r="Z94" s="39">
        <f>資料儲存!J1754</f>
        <v>0</v>
      </c>
      <c r="AA94" s="35"/>
      <c r="AB94" s="38">
        <v>13</v>
      </c>
      <c r="AC94" s="39">
        <f>資料儲存!D1874</f>
        <v>0</v>
      </c>
      <c r="AD94" s="39">
        <f>資料儲存!E1874</f>
        <v>0</v>
      </c>
      <c r="AE94" s="39">
        <f>資料儲存!F1874</f>
        <v>0</v>
      </c>
      <c r="AF94" s="39">
        <f>資料儲存!G1874</f>
        <v>0</v>
      </c>
      <c r="AG94" s="39">
        <f>資料儲存!H1874</f>
        <v>0</v>
      </c>
      <c r="AH94" s="39">
        <f>資料儲存!I1874</f>
        <v>0</v>
      </c>
      <c r="AI94" s="39">
        <f>資料儲存!J1874</f>
        <v>0</v>
      </c>
      <c r="AJ94" s="13"/>
      <c r="AK94" s="38">
        <v>13</v>
      </c>
      <c r="AL94" s="39">
        <f>資料儲存!D1994</f>
        <v>0</v>
      </c>
      <c r="AM94" s="39">
        <f>資料儲存!E1994</f>
        <v>0</v>
      </c>
      <c r="AN94" s="39">
        <f>資料儲存!F1994</f>
        <v>0</v>
      </c>
      <c r="AO94" s="39">
        <f>資料儲存!G1994</f>
        <v>0</v>
      </c>
      <c r="AP94" s="39">
        <f>資料儲存!H1994</f>
        <v>0</v>
      </c>
      <c r="AQ94" s="39">
        <f>資料儲存!I1994</f>
        <v>0</v>
      </c>
      <c r="AR94" s="39">
        <f>資料儲存!J1994</f>
        <v>0</v>
      </c>
      <c r="AT94" s="38">
        <v>13</v>
      </c>
      <c r="AU94" s="39">
        <f>資料儲存!D2114</f>
        <v>0</v>
      </c>
      <c r="AV94" s="39">
        <f>資料儲存!E2114</f>
        <v>0</v>
      </c>
      <c r="AW94" s="39">
        <f>資料儲存!F2114</f>
        <v>0</v>
      </c>
      <c r="AX94" s="39">
        <f>資料儲存!G2114</f>
        <v>0</v>
      </c>
      <c r="AY94" s="39">
        <f>資料儲存!H2114</f>
        <v>0</v>
      </c>
      <c r="AZ94" s="39">
        <f>資料儲存!I2114</f>
        <v>0</v>
      </c>
      <c r="BA94" s="39">
        <f>資料儲存!J2114</f>
        <v>0</v>
      </c>
    </row>
    <row r="95" spans="1:53" ht="16" thickBot="1">
      <c r="A95" s="38">
        <v>14</v>
      </c>
      <c r="B95" s="39">
        <f>資料儲存!D1515</f>
        <v>0</v>
      </c>
      <c r="C95" s="39">
        <f>資料儲存!E1515</f>
        <v>0</v>
      </c>
      <c r="D95" s="39">
        <f>資料儲存!F1515</f>
        <v>0</v>
      </c>
      <c r="E95" s="39">
        <f>資料儲存!G1515</f>
        <v>0</v>
      </c>
      <c r="F95" s="39">
        <f>資料儲存!H1515</f>
        <v>0</v>
      </c>
      <c r="G95" s="39">
        <f>資料儲存!I1515</f>
        <v>0</v>
      </c>
      <c r="H95" s="39">
        <f>資料儲存!J1515</f>
        <v>0</v>
      </c>
      <c r="I95" s="35"/>
      <c r="J95" s="38">
        <v>14</v>
      </c>
      <c r="K95" s="39">
        <f>資料儲存!D1635</f>
        <v>0</v>
      </c>
      <c r="L95" s="39">
        <f>資料儲存!E1635</f>
        <v>0</v>
      </c>
      <c r="M95" s="39">
        <f>資料儲存!F1635</f>
        <v>0</v>
      </c>
      <c r="N95" s="39">
        <f>資料儲存!G1635</f>
        <v>0</v>
      </c>
      <c r="O95" s="39">
        <f>資料儲存!H1635</f>
        <v>0</v>
      </c>
      <c r="P95" s="39">
        <f>資料儲存!I1635</f>
        <v>0</v>
      </c>
      <c r="Q95" s="39">
        <f>資料儲存!J1635</f>
        <v>0</v>
      </c>
      <c r="R95" s="35"/>
      <c r="S95" s="38">
        <v>14</v>
      </c>
      <c r="T95" s="39">
        <f>資料儲存!D1755</f>
        <v>0</v>
      </c>
      <c r="U95" s="39">
        <f>資料儲存!E1755</f>
        <v>0</v>
      </c>
      <c r="V95" s="39">
        <f>資料儲存!F1755</f>
        <v>0</v>
      </c>
      <c r="W95" s="39">
        <f>資料儲存!G1755</f>
        <v>0</v>
      </c>
      <c r="X95" s="39">
        <f>資料儲存!H1755</f>
        <v>0</v>
      </c>
      <c r="Y95" s="39">
        <f>資料儲存!I1755</f>
        <v>0</v>
      </c>
      <c r="Z95" s="39">
        <f>資料儲存!J1755</f>
        <v>0</v>
      </c>
      <c r="AA95" s="35"/>
      <c r="AB95" s="38">
        <v>14</v>
      </c>
      <c r="AC95" s="39">
        <f>資料儲存!D1875</f>
        <v>0</v>
      </c>
      <c r="AD95" s="39">
        <f>資料儲存!E1875</f>
        <v>0</v>
      </c>
      <c r="AE95" s="39">
        <f>資料儲存!F1875</f>
        <v>0</v>
      </c>
      <c r="AF95" s="39">
        <f>資料儲存!G1875</f>
        <v>0</v>
      </c>
      <c r="AG95" s="39">
        <f>資料儲存!H1875</f>
        <v>0</v>
      </c>
      <c r="AH95" s="39">
        <f>資料儲存!I1875</f>
        <v>0</v>
      </c>
      <c r="AI95" s="39">
        <f>資料儲存!J1875</f>
        <v>0</v>
      </c>
      <c r="AJ95" s="13"/>
      <c r="AK95" s="38">
        <v>14</v>
      </c>
      <c r="AL95" s="39">
        <f>資料儲存!D1995</f>
        <v>0</v>
      </c>
      <c r="AM95" s="39">
        <f>資料儲存!E1995</f>
        <v>0</v>
      </c>
      <c r="AN95" s="39">
        <f>資料儲存!F1995</f>
        <v>0</v>
      </c>
      <c r="AO95" s="39">
        <f>資料儲存!G1995</f>
        <v>0</v>
      </c>
      <c r="AP95" s="39">
        <f>資料儲存!H1995</f>
        <v>0</v>
      </c>
      <c r="AQ95" s="39">
        <f>資料儲存!I1995</f>
        <v>0</v>
      </c>
      <c r="AR95" s="39">
        <f>資料儲存!J1995</f>
        <v>0</v>
      </c>
      <c r="AT95" s="38">
        <v>14</v>
      </c>
      <c r="AU95" s="39">
        <f>資料儲存!D2115</f>
        <v>0</v>
      </c>
      <c r="AV95" s="39">
        <f>資料儲存!E2115</f>
        <v>0</v>
      </c>
      <c r="AW95" s="39">
        <f>資料儲存!F2115</f>
        <v>0</v>
      </c>
      <c r="AX95" s="39">
        <f>資料儲存!G2115</f>
        <v>0</v>
      </c>
      <c r="AY95" s="39">
        <f>資料儲存!H2115</f>
        <v>0</v>
      </c>
      <c r="AZ95" s="39">
        <f>資料儲存!I2115</f>
        <v>0</v>
      </c>
      <c r="BA95" s="39">
        <f>資料儲存!J2115</f>
        <v>0</v>
      </c>
    </row>
    <row r="96" spans="1:53" ht="16" thickBot="1">
      <c r="A96" s="38">
        <v>15</v>
      </c>
      <c r="B96" s="39">
        <f>資料儲存!D1516</f>
        <v>0</v>
      </c>
      <c r="C96" s="39">
        <f>資料儲存!E1516</f>
        <v>0</v>
      </c>
      <c r="D96" s="39">
        <f>資料儲存!F1516</f>
        <v>0</v>
      </c>
      <c r="E96" s="39">
        <f>資料儲存!G1516</f>
        <v>0</v>
      </c>
      <c r="F96" s="39">
        <f>資料儲存!H1516</f>
        <v>0</v>
      </c>
      <c r="G96" s="39">
        <f>資料儲存!I1516</f>
        <v>0</v>
      </c>
      <c r="H96" s="39">
        <f>資料儲存!J1516</f>
        <v>0</v>
      </c>
      <c r="I96" s="35"/>
      <c r="J96" s="38">
        <v>15</v>
      </c>
      <c r="K96" s="39">
        <f>資料儲存!D1636</f>
        <v>0</v>
      </c>
      <c r="L96" s="39">
        <f>資料儲存!E1636</f>
        <v>0</v>
      </c>
      <c r="M96" s="39">
        <f>資料儲存!F1636</f>
        <v>0</v>
      </c>
      <c r="N96" s="39">
        <f>資料儲存!G1636</f>
        <v>0</v>
      </c>
      <c r="O96" s="39">
        <f>資料儲存!H1636</f>
        <v>0</v>
      </c>
      <c r="P96" s="39">
        <f>資料儲存!I1636</f>
        <v>0</v>
      </c>
      <c r="Q96" s="39">
        <f>資料儲存!J1636</f>
        <v>0</v>
      </c>
      <c r="R96" s="35"/>
      <c r="S96" s="38">
        <v>15</v>
      </c>
      <c r="T96" s="39">
        <f>資料儲存!D1756</f>
        <v>0</v>
      </c>
      <c r="U96" s="39">
        <f>資料儲存!E1756</f>
        <v>0</v>
      </c>
      <c r="V96" s="39">
        <f>資料儲存!F1756</f>
        <v>0</v>
      </c>
      <c r="W96" s="39">
        <f>資料儲存!G1756</f>
        <v>0</v>
      </c>
      <c r="X96" s="39">
        <f>資料儲存!H1756</f>
        <v>0</v>
      </c>
      <c r="Y96" s="39">
        <f>資料儲存!I1756</f>
        <v>0</v>
      </c>
      <c r="Z96" s="39">
        <f>資料儲存!J1756</f>
        <v>0</v>
      </c>
      <c r="AA96" s="35"/>
      <c r="AB96" s="38">
        <v>15</v>
      </c>
      <c r="AC96" s="39">
        <f>資料儲存!D1876</f>
        <v>0</v>
      </c>
      <c r="AD96" s="39">
        <f>資料儲存!E1876</f>
        <v>0</v>
      </c>
      <c r="AE96" s="39">
        <f>資料儲存!F1876</f>
        <v>0</v>
      </c>
      <c r="AF96" s="39">
        <f>資料儲存!G1876</f>
        <v>0</v>
      </c>
      <c r="AG96" s="39">
        <f>資料儲存!H1876</f>
        <v>0</v>
      </c>
      <c r="AH96" s="39">
        <f>資料儲存!I1876</f>
        <v>0</v>
      </c>
      <c r="AI96" s="39">
        <f>資料儲存!J1876</f>
        <v>0</v>
      </c>
      <c r="AJ96" s="13"/>
      <c r="AK96" s="38">
        <v>15</v>
      </c>
      <c r="AL96" s="39">
        <f>資料儲存!D1996</f>
        <v>0</v>
      </c>
      <c r="AM96" s="39">
        <f>資料儲存!E1996</f>
        <v>0</v>
      </c>
      <c r="AN96" s="39">
        <f>資料儲存!F1996</f>
        <v>0</v>
      </c>
      <c r="AO96" s="39">
        <f>資料儲存!G1996</f>
        <v>0</v>
      </c>
      <c r="AP96" s="39">
        <f>資料儲存!H1996</f>
        <v>0</v>
      </c>
      <c r="AQ96" s="39">
        <f>資料儲存!I1996</f>
        <v>0</v>
      </c>
      <c r="AR96" s="39">
        <f>資料儲存!J1996</f>
        <v>0</v>
      </c>
      <c r="AT96" s="38">
        <v>15</v>
      </c>
      <c r="AU96" s="39">
        <f>資料儲存!D2116</f>
        <v>0</v>
      </c>
      <c r="AV96" s="39">
        <f>資料儲存!E2116</f>
        <v>0</v>
      </c>
      <c r="AW96" s="39">
        <f>資料儲存!F2116</f>
        <v>0</v>
      </c>
      <c r="AX96" s="39">
        <f>資料儲存!G2116</f>
        <v>0</v>
      </c>
      <c r="AY96" s="39">
        <f>資料儲存!H2116</f>
        <v>0</v>
      </c>
      <c r="AZ96" s="39">
        <f>資料儲存!I2116</f>
        <v>0</v>
      </c>
      <c r="BA96" s="39">
        <f>資料儲存!J2116</f>
        <v>0</v>
      </c>
    </row>
    <row r="97" spans="1:53" ht="17.25" customHeight="1" thickBot="1">
      <c r="A97" s="40" t="s">
        <v>56</v>
      </c>
      <c r="B97" s="39">
        <f>SUM(B82:E96)</f>
        <v>0</v>
      </c>
      <c r="C97" s="37"/>
      <c r="D97" s="37"/>
      <c r="E97" s="37"/>
      <c r="F97" s="39">
        <f>F96</f>
        <v>0</v>
      </c>
      <c r="G97" s="39">
        <f>G96</f>
        <v>0</v>
      </c>
      <c r="H97" s="39">
        <f>H96</f>
        <v>0</v>
      </c>
      <c r="I97" s="35"/>
      <c r="J97" s="40" t="s">
        <v>56</v>
      </c>
      <c r="K97" s="39">
        <f>SUM(K82:N96)</f>
        <v>0</v>
      </c>
      <c r="L97" s="37"/>
      <c r="M97" s="37"/>
      <c r="N97" s="37"/>
      <c r="O97" s="39">
        <f>O96</f>
        <v>0</v>
      </c>
      <c r="P97" s="39">
        <f>P96</f>
        <v>0</v>
      </c>
      <c r="Q97" s="39">
        <f>Q96</f>
        <v>0</v>
      </c>
      <c r="R97" s="35"/>
      <c r="S97" s="40" t="s">
        <v>56</v>
      </c>
      <c r="T97" s="39">
        <f>SUM(T82:W96)</f>
        <v>0</v>
      </c>
      <c r="U97" s="37"/>
      <c r="V97" s="37"/>
      <c r="W97" s="37"/>
      <c r="X97" s="39">
        <f>X96</f>
        <v>0</v>
      </c>
      <c r="Y97" s="39">
        <f>Y96</f>
        <v>0</v>
      </c>
      <c r="Z97" s="39">
        <f>Z96</f>
        <v>0</v>
      </c>
      <c r="AA97" s="35"/>
      <c r="AB97" s="40" t="s">
        <v>56</v>
      </c>
      <c r="AC97" s="39">
        <f>SUM(AC82:AF96)</f>
        <v>0</v>
      </c>
      <c r="AD97" s="37"/>
      <c r="AE97" s="37"/>
      <c r="AF97" s="37"/>
      <c r="AG97" s="39">
        <f>AG96</f>
        <v>0</v>
      </c>
      <c r="AH97" s="39">
        <f>AH96</f>
        <v>0</v>
      </c>
      <c r="AI97" s="39">
        <f>AI96</f>
        <v>0</v>
      </c>
      <c r="AJ97" s="13"/>
      <c r="AK97" s="40" t="s">
        <v>56</v>
      </c>
      <c r="AL97" s="39">
        <f>SUM(AL82:AO96)</f>
        <v>0</v>
      </c>
      <c r="AM97" s="37"/>
      <c r="AN97" s="37"/>
      <c r="AO97" s="37"/>
      <c r="AP97" s="39">
        <f>AP96</f>
        <v>0</v>
      </c>
      <c r="AQ97" s="39">
        <f>AQ96</f>
        <v>0</v>
      </c>
      <c r="AR97" s="39">
        <f>AR96</f>
        <v>0</v>
      </c>
      <c r="AT97" s="40" t="s">
        <v>56</v>
      </c>
      <c r="AU97" s="39">
        <f>SUM(AU82:AX96)</f>
        <v>0</v>
      </c>
      <c r="AV97" s="37"/>
      <c r="AW97" s="37"/>
      <c r="AX97" s="37"/>
      <c r="AY97" s="39">
        <f>AY96</f>
        <v>0</v>
      </c>
      <c r="AZ97" s="39">
        <f>AZ96</f>
        <v>0</v>
      </c>
      <c r="BA97" s="39">
        <f>BA96</f>
        <v>0</v>
      </c>
    </row>
    <row r="98" spans="1:53" ht="18.5" thickBot="1">
      <c r="A98" s="248" t="s">
        <v>96</v>
      </c>
      <c r="B98" s="249"/>
      <c r="C98" s="249"/>
      <c r="D98" s="249"/>
      <c r="E98" s="249"/>
      <c r="F98" s="249"/>
      <c r="G98" s="249"/>
      <c r="H98" s="250"/>
      <c r="I98" s="13"/>
      <c r="J98" s="248" t="s">
        <v>96</v>
      </c>
      <c r="K98" s="249"/>
      <c r="L98" s="249"/>
      <c r="M98" s="249"/>
      <c r="N98" s="249"/>
      <c r="O98" s="249"/>
      <c r="P98" s="249"/>
      <c r="Q98" s="250"/>
      <c r="R98" s="13"/>
      <c r="S98" s="248" t="s">
        <v>96</v>
      </c>
      <c r="T98" s="249"/>
      <c r="U98" s="249"/>
      <c r="V98" s="249"/>
      <c r="W98" s="249"/>
      <c r="X98" s="249"/>
      <c r="Y98" s="249"/>
      <c r="Z98" s="250"/>
      <c r="AA98" s="13"/>
      <c r="AB98" s="248" t="s">
        <v>96</v>
      </c>
      <c r="AC98" s="249"/>
      <c r="AD98" s="249"/>
      <c r="AE98" s="249"/>
      <c r="AF98" s="249"/>
      <c r="AG98" s="249"/>
      <c r="AH98" s="249"/>
      <c r="AI98" s="250"/>
      <c r="AJ98" s="13"/>
      <c r="AK98" s="248" t="s">
        <v>96</v>
      </c>
      <c r="AL98" s="249"/>
      <c r="AM98" s="249"/>
      <c r="AN98" s="249"/>
      <c r="AO98" s="249"/>
      <c r="AP98" s="249"/>
      <c r="AQ98" s="249"/>
      <c r="AR98" s="250"/>
      <c r="AT98" s="248" t="s">
        <v>96</v>
      </c>
      <c r="AU98" s="249"/>
      <c r="AV98" s="249"/>
      <c r="AW98" s="249"/>
      <c r="AX98" s="249"/>
      <c r="AY98" s="249"/>
      <c r="AZ98" s="249"/>
      <c r="BA98" s="250"/>
    </row>
    <row r="99" spans="1:53" ht="17.25" customHeight="1" thickBot="1">
      <c r="A99" s="41" t="s">
        <v>2</v>
      </c>
      <c r="B99" s="42" t="s">
        <v>46</v>
      </c>
      <c r="C99" s="43"/>
      <c r="D99" s="43"/>
      <c r="E99" s="44"/>
      <c r="F99" s="42" t="s">
        <v>47</v>
      </c>
      <c r="G99" s="43"/>
      <c r="H99" s="44"/>
      <c r="I99" s="45"/>
      <c r="J99" s="41" t="s">
        <v>2</v>
      </c>
      <c r="K99" s="42" t="s">
        <v>46</v>
      </c>
      <c r="L99" s="43"/>
      <c r="M99" s="43"/>
      <c r="N99" s="44"/>
      <c r="O99" s="42" t="s">
        <v>47</v>
      </c>
      <c r="P99" s="43"/>
      <c r="Q99" s="44"/>
      <c r="R99" s="45"/>
      <c r="S99" s="41" t="s">
        <v>2</v>
      </c>
      <c r="T99" s="42" t="s">
        <v>46</v>
      </c>
      <c r="U99" s="43"/>
      <c r="V99" s="43"/>
      <c r="W99" s="44"/>
      <c r="X99" s="42" t="s">
        <v>47</v>
      </c>
      <c r="Y99" s="43"/>
      <c r="Z99" s="44"/>
      <c r="AA99" s="45"/>
      <c r="AB99" s="41" t="s">
        <v>2</v>
      </c>
      <c r="AC99" s="42" t="s">
        <v>46</v>
      </c>
      <c r="AD99" s="43"/>
      <c r="AE99" s="43"/>
      <c r="AF99" s="44"/>
      <c r="AG99" s="42" t="s">
        <v>47</v>
      </c>
      <c r="AH99" s="43"/>
      <c r="AI99" s="44"/>
      <c r="AJ99" s="13"/>
      <c r="AK99" s="41" t="s">
        <v>2</v>
      </c>
      <c r="AL99" s="42" t="s">
        <v>46</v>
      </c>
      <c r="AM99" s="43"/>
      <c r="AN99" s="43"/>
      <c r="AO99" s="44"/>
      <c r="AP99" s="42" t="s">
        <v>47</v>
      </c>
      <c r="AQ99" s="43"/>
      <c r="AR99" s="44"/>
      <c r="AT99" s="41" t="s">
        <v>2</v>
      </c>
      <c r="AU99" s="42" t="s">
        <v>46</v>
      </c>
      <c r="AV99" s="43"/>
      <c r="AW99" s="43"/>
      <c r="AX99" s="44"/>
      <c r="AY99" s="42" t="s">
        <v>47</v>
      </c>
      <c r="AZ99" s="43"/>
      <c r="BA99" s="44"/>
    </row>
    <row r="100" spans="1:53" ht="16" thickBot="1">
      <c r="A100" s="46">
        <v>0.51041666666666663</v>
      </c>
      <c r="B100" s="47" t="s">
        <v>49</v>
      </c>
      <c r="C100" s="47" t="s">
        <v>50</v>
      </c>
      <c r="D100" s="47" t="s">
        <v>51</v>
      </c>
      <c r="E100" s="47" t="s">
        <v>52</v>
      </c>
      <c r="F100" s="47" t="s">
        <v>53</v>
      </c>
      <c r="G100" s="47" t="s">
        <v>54</v>
      </c>
      <c r="H100" s="47" t="s">
        <v>55</v>
      </c>
      <c r="I100" s="45"/>
      <c r="J100" s="46">
        <v>0.51041666666666663</v>
      </c>
      <c r="K100" s="47" t="s">
        <v>49</v>
      </c>
      <c r="L100" s="47" t="s">
        <v>50</v>
      </c>
      <c r="M100" s="47" t="s">
        <v>51</v>
      </c>
      <c r="N100" s="47" t="s">
        <v>52</v>
      </c>
      <c r="O100" s="47" t="s">
        <v>53</v>
      </c>
      <c r="P100" s="47" t="s">
        <v>54</v>
      </c>
      <c r="Q100" s="47" t="s">
        <v>55</v>
      </c>
      <c r="R100" s="45"/>
      <c r="S100" s="46">
        <v>0.51041666666666663</v>
      </c>
      <c r="T100" s="47" t="s">
        <v>49</v>
      </c>
      <c r="U100" s="47" t="s">
        <v>50</v>
      </c>
      <c r="V100" s="47" t="s">
        <v>51</v>
      </c>
      <c r="W100" s="47" t="s">
        <v>52</v>
      </c>
      <c r="X100" s="47" t="s">
        <v>53</v>
      </c>
      <c r="Y100" s="47" t="s">
        <v>54</v>
      </c>
      <c r="Z100" s="47" t="s">
        <v>55</v>
      </c>
      <c r="AA100" s="45"/>
      <c r="AB100" s="46">
        <v>0.51041666666666663</v>
      </c>
      <c r="AC100" s="47" t="s">
        <v>49</v>
      </c>
      <c r="AD100" s="47" t="s">
        <v>50</v>
      </c>
      <c r="AE100" s="47" t="s">
        <v>51</v>
      </c>
      <c r="AF100" s="47" t="s">
        <v>52</v>
      </c>
      <c r="AG100" s="47" t="s">
        <v>53</v>
      </c>
      <c r="AH100" s="47" t="s">
        <v>54</v>
      </c>
      <c r="AI100" s="47" t="s">
        <v>55</v>
      </c>
      <c r="AJ100" s="13"/>
      <c r="AK100" s="46">
        <v>0.51041666666666663</v>
      </c>
      <c r="AL100" s="47" t="s">
        <v>49</v>
      </c>
      <c r="AM100" s="47" t="s">
        <v>50</v>
      </c>
      <c r="AN100" s="47" t="s">
        <v>51</v>
      </c>
      <c r="AO100" s="47" t="s">
        <v>52</v>
      </c>
      <c r="AP100" s="47" t="s">
        <v>53</v>
      </c>
      <c r="AQ100" s="47" t="s">
        <v>54</v>
      </c>
      <c r="AR100" s="47" t="s">
        <v>55</v>
      </c>
      <c r="AT100" s="46">
        <v>0.51041666666666663</v>
      </c>
      <c r="AU100" s="47" t="s">
        <v>49</v>
      </c>
      <c r="AV100" s="47" t="s">
        <v>50</v>
      </c>
      <c r="AW100" s="47" t="s">
        <v>51</v>
      </c>
      <c r="AX100" s="47" t="s">
        <v>52</v>
      </c>
      <c r="AY100" s="47" t="s">
        <v>53</v>
      </c>
      <c r="AZ100" s="47" t="s">
        <v>54</v>
      </c>
      <c r="BA100" s="47" t="s">
        <v>55</v>
      </c>
    </row>
    <row r="101" spans="1:53" ht="16" thickBot="1">
      <c r="A101" s="48">
        <v>16</v>
      </c>
      <c r="B101" s="49">
        <f>資料儲存!D1517</f>
        <v>0</v>
      </c>
      <c r="C101" s="49">
        <f>資料儲存!E1517</f>
        <v>0</v>
      </c>
      <c r="D101" s="49">
        <f>資料儲存!F1517</f>
        <v>0</v>
      </c>
      <c r="E101" s="49">
        <f>資料儲存!G1517</f>
        <v>0</v>
      </c>
      <c r="F101" s="49">
        <f>資料儲存!H1517</f>
        <v>0</v>
      </c>
      <c r="G101" s="49">
        <f>資料儲存!I1517</f>
        <v>0</v>
      </c>
      <c r="H101" s="49">
        <f>資料儲存!J1517</f>
        <v>0</v>
      </c>
      <c r="I101" s="45"/>
      <c r="J101" s="48">
        <v>16</v>
      </c>
      <c r="K101" s="49">
        <f>資料儲存!D1637</f>
        <v>0</v>
      </c>
      <c r="L101" s="49">
        <f>資料儲存!E1637</f>
        <v>0</v>
      </c>
      <c r="M101" s="49">
        <f>資料儲存!F1637</f>
        <v>0</v>
      </c>
      <c r="N101" s="49">
        <f>資料儲存!G1637</f>
        <v>0</v>
      </c>
      <c r="O101" s="49">
        <f>資料儲存!H1637</f>
        <v>0</v>
      </c>
      <c r="P101" s="49">
        <f>資料儲存!I1637</f>
        <v>0</v>
      </c>
      <c r="Q101" s="49">
        <f>資料儲存!J1637</f>
        <v>0</v>
      </c>
      <c r="R101" s="45"/>
      <c r="S101" s="48">
        <v>16</v>
      </c>
      <c r="T101" s="49">
        <f>資料儲存!D1757</f>
        <v>0</v>
      </c>
      <c r="U101" s="49">
        <f>資料儲存!E1757</f>
        <v>0</v>
      </c>
      <c r="V101" s="49">
        <f>資料儲存!F1757</f>
        <v>0</v>
      </c>
      <c r="W101" s="49">
        <f>資料儲存!G1757</f>
        <v>0</v>
      </c>
      <c r="X101" s="49">
        <f>資料儲存!H1757</f>
        <v>0</v>
      </c>
      <c r="Y101" s="49">
        <f>資料儲存!I1757</f>
        <v>0</v>
      </c>
      <c r="Z101" s="49">
        <f>資料儲存!J1757</f>
        <v>0</v>
      </c>
      <c r="AA101" s="45"/>
      <c r="AB101" s="48">
        <v>16</v>
      </c>
      <c r="AC101" s="49">
        <f>資料儲存!D1877</f>
        <v>0</v>
      </c>
      <c r="AD101" s="49">
        <f>資料儲存!E1877</f>
        <v>0</v>
      </c>
      <c r="AE101" s="49">
        <f>資料儲存!F1877</f>
        <v>0</v>
      </c>
      <c r="AF101" s="49">
        <f>資料儲存!G1877</f>
        <v>0</v>
      </c>
      <c r="AG101" s="49">
        <f>資料儲存!H1877</f>
        <v>0</v>
      </c>
      <c r="AH101" s="49">
        <f>資料儲存!I1877</f>
        <v>0</v>
      </c>
      <c r="AI101" s="49">
        <f>資料儲存!J1877</f>
        <v>0</v>
      </c>
      <c r="AJ101" s="13"/>
      <c r="AK101" s="48">
        <v>16</v>
      </c>
      <c r="AL101" s="49">
        <f>資料儲存!D1997</f>
        <v>0</v>
      </c>
      <c r="AM101" s="49">
        <f>資料儲存!E1997</f>
        <v>0</v>
      </c>
      <c r="AN101" s="49">
        <f>資料儲存!F1997</f>
        <v>0</v>
      </c>
      <c r="AO101" s="49">
        <f>資料儲存!G1997</f>
        <v>0</v>
      </c>
      <c r="AP101" s="49">
        <f>資料儲存!H1997</f>
        <v>0</v>
      </c>
      <c r="AQ101" s="49">
        <f>資料儲存!I1997</f>
        <v>0</v>
      </c>
      <c r="AR101" s="49">
        <f>資料儲存!J1997</f>
        <v>0</v>
      </c>
      <c r="AT101" s="48">
        <v>16</v>
      </c>
      <c r="AU101" s="49">
        <f>資料儲存!D2117</f>
        <v>0</v>
      </c>
      <c r="AV101" s="49">
        <f>資料儲存!E2117</f>
        <v>0</v>
      </c>
      <c r="AW101" s="49">
        <f>資料儲存!F2117</f>
        <v>0</v>
      </c>
      <c r="AX101" s="49">
        <f>資料儲存!G2117</f>
        <v>0</v>
      </c>
      <c r="AY101" s="49">
        <f>資料儲存!H2117</f>
        <v>0</v>
      </c>
      <c r="AZ101" s="49">
        <f>資料儲存!I2117</f>
        <v>0</v>
      </c>
      <c r="BA101" s="49">
        <f>資料儲存!J2117</f>
        <v>0</v>
      </c>
    </row>
    <row r="102" spans="1:53" ht="16" thickBot="1">
      <c r="A102" s="48">
        <v>17</v>
      </c>
      <c r="B102" s="49">
        <f>資料儲存!D1518</f>
        <v>0</v>
      </c>
      <c r="C102" s="49">
        <f>資料儲存!E1518</f>
        <v>0</v>
      </c>
      <c r="D102" s="49">
        <f>資料儲存!F1518</f>
        <v>0</v>
      </c>
      <c r="E102" s="49">
        <f>資料儲存!G1518</f>
        <v>0</v>
      </c>
      <c r="F102" s="49">
        <f>資料儲存!H1518</f>
        <v>0</v>
      </c>
      <c r="G102" s="49">
        <f>資料儲存!I1518</f>
        <v>0</v>
      </c>
      <c r="H102" s="49">
        <f>資料儲存!J1518</f>
        <v>0</v>
      </c>
      <c r="I102" s="45"/>
      <c r="J102" s="48">
        <v>17</v>
      </c>
      <c r="K102" s="49">
        <f>資料儲存!D1638</f>
        <v>0</v>
      </c>
      <c r="L102" s="49">
        <f>資料儲存!E1638</f>
        <v>0</v>
      </c>
      <c r="M102" s="49">
        <f>資料儲存!F1638</f>
        <v>0</v>
      </c>
      <c r="N102" s="49">
        <f>資料儲存!G1638</f>
        <v>0</v>
      </c>
      <c r="O102" s="49">
        <f>資料儲存!H1638</f>
        <v>0</v>
      </c>
      <c r="P102" s="49">
        <f>資料儲存!I1638</f>
        <v>0</v>
      </c>
      <c r="Q102" s="49">
        <f>資料儲存!J1638</f>
        <v>0</v>
      </c>
      <c r="R102" s="45"/>
      <c r="S102" s="48">
        <v>17</v>
      </c>
      <c r="T102" s="49">
        <f>資料儲存!D1758</f>
        <v>0</v>
      </c>
      <c r="U102" s="49">
        <f>資料儲存!E1758</f>
        <v>0</v>
      </c>
      <c r="V102" s="49">
        <f>資料儲存!F1758</f>
        <v>0</v>
      </c>
      <c r="W102" s="49">
        <f>資料儲存!G1758</f>
        <v>0</v>
      </c>
      <c r="X102" s="49">
        <f>資料儲存!H1758</f>
        <v>0</v>
      </c>
      <c r="Y102" s="49">
        <f>資料儲存!I1758</f>
        <v>0</v>
      </c>
      <c r="Z102" s="49">
        <f>資料儲存!J1758</f>
        <v>0</v>
      </c>
      <c r="AA102" s="45"/>
      <c r="AB102" s="48">
        <v>17</v>
      </c>
      <c r="AC102" s="49">
        <f>資料儲存!D1878</f>
        <v>0</v>
      </c>
      <c r="AD102" s="49">
        <f>資料儲存!E1878</f>
        <v>0</v>
      </c>
      <c r="AE102" s="49">
        <f>資料儲存!F1878</f>
        <v>0</v>
      </c>
      <c r="AF102" s="49">
        <f>資料儲存!G1878</f>
        <v>0</v>
      </c>
      <c r="AG102" s="49">
        <f>資料儲存!H1878</f>
        <v>0</v>
      </c>
      <c r="AH102" s="49">
        <f>資料儲存!I1878</f>
        <v>0</v>
      </c>
      <c r="AI102" s="49">
        <f>資料儲存!J1878</f>
        <v>0</v>
      </c>
      <c r="AJ102" s="13"/>
      <c r="AK102" s="48">
        <v>17</v>
      </c>
      <c r="AL102" s="49">
        <f>資料儲存!D1998</f>
        <v>0</v>
      </c>
      <c r="AM102" s="49">
        <f>資料儲存!E1998</f>
        <v>0</v>
      </c>
      <c r="AN102" s="49">
        <f>資料儲存!F1998</f>
        <v>0</v>
      </c>
      <c r="AO102" s="49">
        <f>資料儲存!G1998</f>
        <v>0</v>
      </c>
      <c r="AP102" s="49">
        <f>資料儲存!H1998</f>
        <v>0</v>
      </c>
      <c r="AQ102" s="49">
        <f>資料儲存!I1998</f>
        <v>0</v>
      </c>
      <c r="AR102" s="49">
        <f>資料儲存!J1998</f>
        <v>0</v>
      </c>
      <c r="AT102" s="48">
        <v>17</v>
      </c>
      <c r="AU102" s="49">
        <f>資料儲存!D2118</f>
        <v>0</v>
      </c>
      <c r="AV102" s="49">
        <f>資料儲存!E2118</f>
        <v>0</v>
      </c>
      <c r="AW102" s="49">
        <f>資料儲存!F2118</f>
        <v>0</v>
      </c>
      <c r="AX102" s="49">
        <f>資料儲存!G2118</f>
        <v>0</v>
      </c>
      <c r="AY102" s="49">
        <f>資料儲存!H2118</f>
        <v>0</v>
      </c>
      <c r="AZ102" s="49">
        <f>資料儲存!I2118</f>
        <v>0</v>
      </c>
      <c r="BA102" s="49">
        <f>資料儲存!J2118</f>
        <v>0</v>
      </c>
    </row>
    <row r="103" spans="1:53" ht="16" thickBot="1">
      <c r="A103" s="48">
        <v>18</v>
      </c>
      <c r="B103" s="49">
        <f>資料儲存!D1519</f>
        <v>0</v>
      </c>
      <c r="C103" s="49">
        <f>資料儲存!E1519</f>
        <v>0</v>
      </c>
      <c r="D103" s="49">
        <f>資料儲存!F1519</f>
        <v>0</v>
      </c>
      <c r="E103" s="49">
        <f>資料儲存!G1519</f>
        <v>0</v>
      </c>
      <c r="F103" s="49">
        <f>資料儲存!H1519</f>
        <v>0</v>
      </c>
      <c r="G103" s="49">
        <f>資料儲存!I1519</f>
        <v>0</v>
      </c>
      <c r="H103" s="49">
        <f>資料儲存!J1519</f>
        <v>0</v>
      </c>
      <c r="I103" s="45"/>
      <c r="J103" s="48">
        <v>18</v>
      </c>
      <c r="K103" s="49">
        <f>資料儲存!D1639</f>
        <v>0</v>
      </c>
      <c r="L103" s="49">
        <f>資料儲存!E1639</f>
        <v>0</v>
      </c>
      <c r="M103" s="49">
        <f>資料儲存!F1639</f>
        <v>0</v>
      </c>
      <c r="N103" s="49">
        <f>資料儲存!G1639</f>
        <v>0</v>
      </c>
      <c r="O103" s="49">
        <f>資料儲存!H1639</f>
        <v>0</v>
      </c>
      <c r="P103" s="49">
        <f>資料儲存!I1639</f>
        <v>0</v>
      </c>
      <c r="Q103" s="49">
        <f>資料儲存!J1639</f>
        <v>0</v>
      </c>
      <c r="R103" s="45"/>
      <c r="S103" s="48">
        <v>18</v>
      </c>
      <c r="T103" s="49">
        <f>資料儲存!D1759</f>
        <v>0</v>
      </c>
      <c r="U103" s="49">
        <f>資料儲存!E1759</f>
        <v>0</v>
      </c>
      <c r="V103" s="49">
        <f>資料儲存!F1759</f>
        <v>0</v>
      </c>
      <c r="W103" s="49">
        <f>資料儲存!G1759</f>
        <v>0</v>
      </c>
      <c r="X103" s="49">
        <f>資料儲存!H1759</f>
        <v>0</v>
      </c>
      <c r="Y103" s="49">
        <f>資料儲存!I1759</f>
        <v>0</v>
      </c>
      <c r="Z103" s="49">
        <f>資料儲存!J1759</f>
        <v>0</v>
      </c>
      <c r="AA103" s="45"/>
      <c r="AB103" s="48">
        <v>18</v>
      </c>
      <c r="AC103" s="49">
        <f>資料儲存!D1879</f>
        <v>0</v>
      </c>
      <c r="AD103" s="49">
        <f>資料儲存!E1879</f>
        <v>0</v>
      </c>
      <c r="AE103" s="49">
        <f>資料儲存!F1879</f>
        <v>0</v>
      </c>
      <c r="AF103" s="49">
        <f>資料儲存!G1879</f>
        <v>0</v>
      </c>
      <c r="AG103" s="49">
        <f>資料儲存!H1879</f>
        <v>0</v>
      </c>
      <c r="AH103" s="49">
        <f>資料儲存!I1879</f>
        <v>0</v>
      </c>
      <c r="AI103" s="49">
        <f>資料儲存!J1879</f>
        <v>0</v>
      </c>
      <c r="AJ103" s="13"/>
      <c r="AK103" s="48">
        <v>18</v>
      </c>
      <c r="AL103" s="49">
        <f>資料儲存!D1999</f>
        <v>0</v>
      </c>
      <c r="AM103" s="49">
        <f>資料儲存!E1999</f>
        <v>0</v>
      </c>
      <c r="AN103" s="49">
        <f>資料儲存!F1999</f>
        <v>0</v>
      </c>
      <c r="AO103" s="49">
        <f>資料儲存!G1999</f>
        <v>0</v>
      </c>
      <c r="AP103" s="49">
        <f>資料儲存!H1999</f>
        <v>0</v>
      </c>
      <c r="AQ103" s="49">
        <f>資料儲存!I1999</f>
        <v>0</v>
      </c>
      <c r="AR103" s="49">
        <f>資料儲存!J1999</f>
        <v>0</v>
      </c>
      <c r="AT103" s="48">
        <v>18</v>
      </c>
      <c r="AU103" s="49">
        <f>資料儲存!D2119</f>
        <v>0</v>
      </c>
      <c r="AV103" s="49">
        <f>資料儲存!E2119</f>
        <v>0</v>
      </c>
      <c r="AW103" s="49">
        <f>資料儲存!F2119</f>
        <v>0</v>
      </c>
      <c r="AX103" s="49">
        <f>資料儲存!G2119</f>
        <v>0</v>
      </c>
      <c r="AY103" s="49">
        <f>資料儲存!H2119</f>
        <v>0</v>
      </c>
      <c r="AZ103" s="49">
        <f>資料儲存!I2119</f>
        <v>0</v>
      </c>
      <c r="BA103" s="49">
        <f>資料儲存!J2119</f>
        <v>0</v>
      </c>
    </row>
    <row r="104" spans="1:53" ht="16" thickBot="1">
      <c r="A104" s="48">
        <v>19</v>
      </c>
      <c r="B104" s="49">
        <f>資料儲存!D1520</f>
        <v>0</v>
      </c>
      <c r="C104" s="49">
        <f>資料儲存!E1520</f>
        <v>0</v>
      </c>
      <c r="D104" s="49">
        <f>資料儲存!F1520</f>
        <v>0</v>
      </c>
      <c r="E104" s="49">
        <f>資料儲存!G1520</f>
        <v>0</v>
      </c>
      <c r="F104" s="49">
        <f>資料儲存!H1520</f>
        <v>0</v>
      </c>
      <c r="G104" s="49">
        <f>資料儲存!I1520</f>
        <v>0</v>
      </c>
      <c r="H104" s="49">
        <f>資料儲存!J1520</f>
        <v>0</v>
      </c>
      <c r="I104" s="45"/>
      <c r="J104" s="48">
        <v>19</v>
      </c>
      <c r="K104" s="49">
        <f>資料儲存!D1640</f>
        <v>0</v>
      </c>
      <c r="L104" s="49">
        <f>資料儲存!E1640</f>
        <v>0</v>
      </c>
      <c r="M104" s="49">
        <f>資料儲存!F1640</f>
        <v>0</v>
      </c>
      <c r="N104" s="49">
        <f>資料儲存!G1640</f>
        <v>0</v>
      </c>
      <c r="O104" s="49">
        <f>資料儲存!H1640</f>
        <v>0</v>
      </c>
      <c r="P104" s="49">
        <f>資料儲存!I1640</f>
        <v>0</v>
      </c>
      <c r="Q104" s="49">
        <f>資料儲存!J1640</f>
        <v>0</v>
      </c>
      <c r="R104" s="45"/>
      <c r="S104" s="48">
        <v>19</v>
      </c>
      <c r="T104" s="49">
        <f>資料儲存!D1760</f>
        <v>0</v>
      </c>
      <c r="U104" s="49">
        <f>資料儲存!E1760</f>
        <v>0</v>
      </c>
      <c r="V104" s="49">
        <f>資料儲存!F1760</f>
        <v>0</v>
      </c>
      <c r="W104" s="49">
        <f>資料儲存!G1760</f>
        <v>0</v>
      </c>
      <c r="X104" s="49">
        <f>資料儲存!H1760</f>
        <v>0</v>
      </c>
      <c r="Y104" s="49">
        <f>資料儲存!I1760</f>
        <v>0</v>
      </c>
      <c r="Z104" s="49">
        <f>資料儲存!J1760</f>
        <v>0</v>
      </c>
      <c r="AA104" s="45"/>
      <c r="AB104" s="48">
        <v>19</v>
      </c>
      <c r="AC104" s="49">
        <f>資料儲存!D1880</f>
        <v>0</v>
      </c>
      <c r="AD104" s="49">
        <f>資料儲存!E1880</f>
        <v>0</v>
      </c>
      <c r="AE104" s="49">
        <f>資料儲存!F1880</f>
        <v>0</v>
      </c>
      <c r="AF104" s="49">
        <f>資料儲存!G1880</f>
        <v>0</v>
      </c>
      <c r="AG104" s="49">
        <f>資料儲存!H1880</f>
        <v>0</v>
      </c>
      <c r="AH104" s="49">
        <f>資料儲存!I1880</f>
        <v>0</v>
      </c>
      <c r="AI104" s="49">
        <f>資料儲存!J1880</f>
        <v>0</v>
      </c>
      <c r="AJ104" s="13"/>
      <c r="AK104" s="48">
        <v>19</v>
      </c>
      <c r="AL104" s="49">
        <f>資料儲存!D2000</f>
        <v>0</v>
      </c>
      <c r="AM104" s="49">
        <f>資料儲存!E2000</f>
        <v>0</v>
      </c>
      <c r="AN104" s="49">
        <f>資料儲存!F2000</f>
        <v>0</v>
      </c>
      <c r="AO104" s="49">
        <f>資料儲存!G2000</f>
        <v>0</v>
      </c>
      <c r="AP104" s="49">
        <f>資料儲存!H2000</f>
        <v>0</v>
      </c>
      <c r="AQ104" s="49">
        <f>資料儲存!I2000</f>
        <v>0</v>
      </c>
      <c r="AR104" s="49">
        <f>資料儲存!J2000</f>
        <v>0</v>
      </c>
      <c r="AT104" s="48">
        <v>19</v>
      </c>
      <c r="AU104" s="49">
        <f>資料儲存!D2120</f>
        <v>0</v>
      </c>
      <c r="AV104" s="49">
        <f>資料儲存!E2120</f>
        <v>0</v>
      </c>
      <c r="AW104" s="49">
        <f>資料儲存!F2120</f>
        <v>0</v>
      </c>
      <c r="AX104" s="49">
        <f>資料儲存!G2120</f>
        <v>0</v>
      </c>
      <c r="AY104" s="49">
        <f>資料儲存!H2120</f>
        <v>0</v>
      </c>
      <c r="AZ104" s="49">
        <f>資料儲存!I2120</f>
        <v>0</v>
      </c>
      <c r="BA104" s="49">
        <f>資料儲存!J2120</f>
        <v>0</v>
      </c>
    </row>
    <row r="105" spans="1:53" ht="16" thickBot="1">
      <c r="A105" s="48">
        <v>20</v>
      </c>
      <c r="B105" s="49">
        <f>資料儲存!D1521</f>
        <v>0</v>
      </c>
      <c r="C105" s="49">
        <f>資料儲存!E1521</f>
        <v>0</v>
      </c>
      <c r="D105" s="49">
        <f>資料儲存!F1521</f>
        <v>0</v>
      </c>
      <c r="E105" s="49">
        <f>資料儲存!G1521</f>
        <v>0</v>
      </c>
      <c r="F105" s="49">
        <f>資料儲存!H1521</f>
        <v>0</v>
      </c>
      <c r="G105" s="49">
        <f>資料儲存!I1521</f>
        <v>0</v>
      </c>
      <c r="H105" s="49">
        <f>資料儲存!J1521</f>
        <v>0</v>
      </c>
      <c r="I105" s="45"/>
      <c r="J105" s="48">
        <v>20</v>
      </c>
      <c r="K105" s="49">
        <f>資料儲存!D1641</f>
        <v>0</v>
      </c>
      <c r="L105" s="49">
        <f>資料儲存!E1641</f>
        <v>0</v>
      </c>
      <c r="M105" s="49">
        <f>資料儲存!F1641</f>
        <v>0</v>
      </c>
      <c r="N105" s="49">
        <f>資料儲存!G1641</f>
        <v>0</v>
      </c>
      <c r="O105" s="49">
        <f>資料儲存!H1641</f>
        <v>0</v>
      </c>
      <c r="P105" s="49">
        <f>資料儲存!I1641</f>
        <v>0</v>
      </c>
      <c r="Q105" s="49">
        <f>資料儲存!J1641</f>
        <v>0</v>
      </c>
      <c r="R105" s="45"/>
      <c r="S105" s="48">
        <v>20</v>
      </c>
      <c r="T105" s="49">
        <f>資料儲存!D1761</f>
        <v>0</v>
      </c>
      <c r="U105" s="49">
        <f>資料儲存!E1761</f>
        <v>0</v>
      </c>
      <c r="V105" s="49">
        <f>資料儲存!F1761</f>
        <v>0</v>
      </c>
      <c r="W105" s="49">
        <f>資料儲存!G1761</f>
        <v>0</v>
      </c>
      <c r="X105" s="49">
        <f>資料儲存!H1761</f>
        <v>0</v>
      </c>
      <c r="Y105" s="49">
        <f>資料儲存!I1761</f>
        <v>0</v>
      </c>
      <c r="Z105" s="49">
        <f>資料儲存!J1761</f>
        <v>0</v>
      </c>
      <c r="AA105" s="45"/>
      <c r="AB105" s="48">
        <v>20</v>
      </c>
      <c r="AC105" s="49">
        <f>資料儲存!D1881</f>
        <v>0</v>
      </c>
      <c r="AD105" s="49">
        <f>資料儲存!E1881</f>
        <v>0</v>
      </c>
      <c r="AE105" s="49">
        <f>資料儲存!F1881</f>
        <v>0</v>
      </c>
      <c r="AF105" s="49">
        <f>資料儲存!G1881</f>
        <v>0</v>
      </c>
      <c r="AG105" s="49">
        <f>資料儲存!H1881</f>
        <v>0</v>
      </c>
      <c r="AH105" s="49">
        <f>資料儲存!I1881</f>
        <v>0</v>
      </c>
      <c r="AI105" s="49">
        <f>資料儲存!J1881</f>
        <v>0</v>
      </c>
      <c r="AJ105" s="13"/>
      <c r="AK105" s="48">
        <v>20</v>
      </c>
      <c r="AL105" s="49">
        <f>資料儲存!D2001</f>
        <v>0</v>
      </c>
      <c r="AM105" s="49">
        <f>資料儲存!E2001</f>
        <v>0</v>
      </c>
      <c r="AN105" s="49">
        <f>資料儲存!F2001</f>
        <v>0</v>
      </c>
      <c r="AO105" s="49">
        <f>資料儲存!G2001</f>
        <v>0</v>
      </c>
      <c r="AP105" s="49">
        <f>資料儲存!H2001</f>
        <v>0</v>
      </c>
      <c r="AQ105" s="49">
        <f>資料儲存!I2001</f>
        <v>0</v>
      </c>
      <c r="AR105" s="49">
        <f>資料儲存!J2001</f>
        <v>0</v>
      </c>
      <c r="AT105" s="48">
        <v>20</v>
      </c>
      <c r="AU105" s="49">
        <f>資料儲存!D2121</f>
        <v>0</v>
      </c>
      <c r="AV105" s="49">
        <f>資料儲存!E2121</f>
        <v>0</v>
      </c>
      <c r="AW105" s="49">
        <f>資料儲存!F2121</f>
        <v>0</v>
      </c>
      <c r="AX105" s="49">
        <f>資料儲存!G2121</f>
        <v>0</v>
      </c>
      <c r="AY105" s="49">
        <f>資料儲存!H2121</f>
        <v>0</v>
      </c>
      <c r="AZ105" s="49">
        <f>資料儲存!I2121</f>
        <v>0</v>
      </c>
      <c r="BA105" s="49">
        <f>資料儲存!J2121</f>
        <v>0</v>
      </c>
    </row>
    <row r="106" spans="1:53" ht="16" thickBot="1">
      <c r="A106" s="48">
        <v>21</v>
      </c>
      <c r="B106" s="49">
        <f>資料儲存!D1522</f>
        <v>0</v>
      </c>
      <c r="C106" s="49">
        <f>資料儲存!E1522</f>
        <v>0</v>
      </c>
      <c r="D106" s="49">
        <f>資料儲存!F1522</f>
        <v>0</v>
      </c>
      <c r="E106" s="49">
        <f>資料儲存!G1522</f>
        <v>0</v>
      </c>
      <c r="F106" s="49">
        <f>資料儲存!H1522</f>
        <v>0</v>
      </c>
      <c r="G106" s="49">
        <f>資料儲存!I1522</f>
        <v>0</v>
      </c>
      <c r="H106" s="49">
        <f>資料儲存!J1522</f>
        <v>0</v>
      </c>
      <c r="I106" s="45"/>
      <c r="J106" s="48">
        <v>21</v>
      </c>
      <c r="K106" s="49">
        <f>資料儲存!D1642</f>
        <v>0</v>
      </c>
      <c r="L106" s="49">
        <f>資料儲存!E1642</f>
        <v>0</v>
      </c>
      <c r="M106" s="49">
        <f>資料儲存!F1642</f>
        <v>0</v>
      </c>
      <c r="N106" s="49">
        <f>資料儲存!G1642</f>
        <v>0</v>
      </c>
      <c r="O106" s="49">
        <f>資料儲存!H1642</f>
        <v>0</v>
      </c>
      <c r="P106" s="49">
        <f>資料儲存!I1642</f>
        <v>0</v>
      </c>
      <c r="Q106" s="49">
        <f>資料儲存!J1642</f>
        <v>0</v>
      </c>
      <c r="R106" s="45"/>
      <c r="S106" s="48">
        <v>21</v>
      </c>
      <c r="T106" s="49">
        <f>資料儲存!D1762</f>
        <v>0</v>
      </c>
      <c r="U106" s="49">
        <f>資料儲存!E1762</f>
        <v>0</v>
      </c>
      <c r="V106" s="49">
        <f>資料儲存!F1762</f>
        <v>0</v>
      </c>
      <c r="W106" s="49">
        <f>資料儲存!G1762</f>
        <v>0</v>
      </c>
      <c r="X106" s="49">
        <f>資料儲存!H1762</f>
        <v>0</v>
      </c>
      <c r="Y106" s="49">
        <f>資料儲存!I1762</f>
        <v>0</v>
      </c>
      <c r="Z106" s="49">
        <f>資料儲存!J1762</f>
        <v>0</v>
      </c>
      <c r="AA106" s="45"/>
      <c r="AB106" s="48">
        <v>21</v>
      </c>
      <c r="AC106" s="49">
        <f>資料儲存!D1882</f>
        <v>0</v>
      </c>
      <c r="AD106" s="49">
        <f>資料儲存!E1882</f>
        <v>0</v>
      </c>
      <c r="AE106" s="49">
        <f>資料儲存!F1882</f>
        <v>0</v>
      </c>
      <c r="AF106" s="49">
        <f>資料儲存!G1882</f>
        <v>0</v>
      </c>
      <c r="AG106" s="49">
        <f>資料儲存!H1882</f>
        <v>0</v>
      </c>
      <c r="AH106" s="49">
        <f>資料儲存!I1882</f>
        <v>0</v>
      </c>
      <c r="AI106" s="49">
        <f>資料儲存!J1882</f>
        <v>0</v>
      </c>
      <c r="AJ106" s="13"/>
      <c r="AK106" s="48">
        <v>21</v>
      </c>
      <c r="AL106" s="49">
        <f>資料儲存!D2002</f>
        <v>0</v>
      </c>
      <c r="AM106" s="49">
        <f>資料儲存!E2002</f>
        <v>0</v>
      </c>
      <c r="AN106" s="49">
        <f>資料儲存!F2002</f>
        <v>0</v>
      </c>
      <c r="AO106" s="49">
        <f>資料儲存!G2002</f>
        <v>0</v>
      </c>
      <c r="AP106" s="49">
        <f>資料儲存!H2002</f>
        <v>0</v>
      </c>
      <c r="AQ106" s="49">
        <f>資料儲存!I2002</f>
        <v>0</v>
      </c>
      <c r="AR106" s="49">
        <f>資料儲存!J2002</f>
        <v>0</v>
      </c>
      <c r="AT106" s="48">
        <v>21</v>
      </c>
      <c r="AU106" s="49">
        <f>資料儲存!D2122</f>
        <v>0</v>
      </c>
      <c r="AV106" s="49">
        <f>資料儲存!E2122</f>
        <v>0</v>
      </c>
      <c r="AW106" s="49">
        <f>資料儲存!F2122</f>
        <v>0</v>
      </c>
      <c r="AX106" s="49">
        <f>資料儲存!G2122</f>
        <v>0</v>
      </c>
      <c r="AY106" s="49">
        <f>資料儲存!H2122</f>
        <v>0</v>
      </c>
      <c r="AZ106" s="49">
        <f>資料儲存!I2122</f>
        <v>0</v>
      </c>
      <c r="BA106" s="49">
        <f>資料儲存!J2122</f>
        <v>0</v>
      </c>
    </row>
    <row r="107" spans="1:53" ht="16" thickBot="1">
      <c r="A107" s="48">
        <v>22</v>
      </c>
      <c r="B107" s="49">
        <f>資料儲存!D1523</f>
        <v>0</v>
      </c>
      <c r="C107" s="49">
        <f>資料儲存!E1523</f>
        <v>0</v>
      </c>
      <c r="D107" s="49">
        <f>資料儲存!F1523</f>
        <v>0</v>
      </c>
      <c r="E107" s="49">
        <f>資料儲存!G1523</f>
        <v>0</v>
      </c>
      <c r="F107" s="49">
        <f>資料儲存!H1523</f>
        <v>0</v>
      </c>
      <c r="G107" s="49">
        <f>資料儲存!I1523</f>
        <v>0</v>
      </c>
      <c r="H107" s="49">
        <f>資料儲存!J1523</f>
        <v>0</v>
      </c>
      <c r="I107" s="45"/>
      <c r="J107" s="48">
        <v>22</v>
      </c>
      <c r="K107" s="49">
        <f>資料儲存!D1643</f>
        <v>0</v>
      </c>
      <c r="L107" s="49">
        <f>資料儲存!E1643</f>
        <v>0</v>
      </c>
      <c r="M107" s="49">
        <f>資料儲存!F1643</f>
        <v>0</v>
      </c>
      <c r="N107" s="49">
        <f>資料儲存!G1643</f>
        <v>0</v>
      </c>
      <c r="O107" s="49">
        <f>資料儲存!H1643</f>
        <v>0</v>
      </c>
      <c r="P107" s="49">
        <f>資料儲存!I1643</f>
        <v>0</v>
      </c>
      <c r="Q107" s="49">
        <f>資料儲存!J1643</f>
        <v>0</v>
      </c>
      <c r="R107" s="45"/>
      <c r="S107" s="48">
        <v>22</v>
      </c>
      <c r="T107" s="49">
        <f>資料儲存!D1763</f>
        <v>0</v>
      </c>
      <c r="U107" s="49">
        <f>資料儲存!E1763</f>
        <v>0</v>
      </c>
      <c r="V107" s="49">
        <f>資料儲存!F1763</f>
        <v>0</v>
      </c>
      <c r="W107" s="49">
        <f>資料儲存!G1763</f>
        <v>0</v>
      </c>
      <c r="X107" s="49">
        <f>資料儲存!H1763</f>
        <v>0</v>
      </c>
      <c r="Y107" s="49">
        <f>資料儲存!I1763</f>
        <v>0</v>
      </c>
      <c r="Z107" s="49">
        <f>資料儲存!J1763</f>
        <v>0</v>
      </c>
      <c r="AA107" s="45"/>
      <c r="AB107" s="48">
        <v>22</v>
      </c>
      <c r="AC107" s="49">
        <f>資料儲存!D1883</f>
        <v>0</v>
      </c>
      <c r="AD107" s="49">
        <f>資料儲存!E1883</f>
        <v>0</v>
      </c>
      <c r="AE107" s="49">
        <f>資料儲存!F1883</f>
        <v>0</v>
      </c>
      <c r="AF107" s="49">
        <f>資料儲存!G1883</f>
        <v>0</v>
      </c>
      <c r="AG107" s="49">
        <f>資料儲存!H1883</f>
        <v>0</v>
      </c>
      <c r="AH107" s="49">
        <f>資料儲存!I1883</f>
        <v>0</v>
      </c>
      <c r="AI107" s="49">
        <f>資料儲存!J1883</f>
        <v>0</v>
      </c>
      <c r="AJ107" s="13"/>
      <c r="AK107" s="48">
        <v>22</v>
      </c>
      <c r="AL107" s="49">
        <f>資料儲存!D2003</f>
        <v>0</v>
      </c>
      <c r="AM107" s="49">
        <f>資料儲存!E2003</f>
        <v>0</v>
      </c>
      <c r="AN107" s="49">
        <f>資料儲存!F2003</f>
        <v>0</v>
      </c>
      <c r="AO107" s="49">
        <f>資料儲存!G2003</f>
        <v>0</v>
      </c>
      <c r="AP107" s="49">
        <f>資料儲存!H2003</f>
        <v>0</v>
      </c>
      <c r="AQ107" s="49">
        <f>資料儲存!I2003</f>
        <v>0</v>
      </c>
      <c r="AR107" s="49">
        <f>資料儲存!J2003</f>
        <v>0</v>
      </c>
      <c r="AT107" s="48">
        <v>22</v>
      </c>
      <c r="AU107" s="49">
        <f>資料儲存!D2123</f>
        <v>0</v>
      </c>
      <c r="AV107" s="49">
        <f>資料儲存!E2123</f>
        <v>0</v>
      </c>
      <c r="AW107" s="49">
        <f>資料儲存!F2123</f>
        <v>0</v>
      </c>
      <c r="AX107" s="49">
        <f>資料儲存!G2123</f>
        <v>0</v>
      </c>
      <c r="AY107" s="49">
        <f>資料儲存!H2123</f>
        <v>0</v>
      </c>
      <c r="AZ107" s="49">
        <f>資料儲存!I2123</f>
        <v>0</v>
      </c>
      <c r="BA107" s="49">
        <f>資料儲存!J2123</f>
        <v>0</v>
      </c>
    </row>
    <row r="108" spans="1:53" ht="16" thickBot="1">
      <c r="A108" s="48">
        <v>23</v>
      </c>
      <c r="B108" s="49">
        <f>資料儲存!D1524</f>
        <v>0</v>
      </c>
      <c r="C108" s="49">
        <f>資料儲存!E1524</f>
        <v>0</v>
      </c>
      <c r="D108" s="49">
        <f>資料儲存!F1524</f>
        <v>0</v>
      </c>
      <c r="E108" s="49">
        <f>資料儲存!G1524</f>
        <v>0</v>
      </c>
      <c r="F108" s="49">
        <f>資料儲存!H1524</f>
        <v>0</v>
      </c>
      <c r="G108" s="49">
        <f>資料儲存!I1524</f>
        <v>0</v>
      </c>
      <c r="H108" s="49">
        <f>資料儲存!J1524</f>
        <v>0</v>
      </c>
      <c r="I108" s="45"/>
      <c r="J108" s="48">
        <v>23</v>
      </c>
      <c r="K108" s="49">
        <f>資料儲存!D1644</f>
        <v>0</v>
      </c>
      <c r="L108" s="49">
        <f>資料儲存!E1644</f>
        <v>0</v>
      </c>
      <c r="M108" s="49">
        <f>資料儲存!F1644</f>
        <v>0</v>
      </c>
      <c r="N108" s="49">
        <f>資料儲存!G1644</f>
        <v>0</v>
      </c>
      <c r="O108" s="49">
        <f>資料儲存!H1644</f>
        <v>0</v>
      </c>
      <c r="P108" s="49">
        <f>資料儲存!I1644</f>
        <v>0</v>
      </c>
      <c r="Q108" s="49">
        <f>資料儲存!J1644</f>
        <v>0</v>
      </c>
      <c r="R108" s="45"/>
      <c r="S108" s="48">
        <v>23</v>
      </c>
      <c r="T108" s="49">
        <f>資料儲存!D1764</f>
        <v>0</v>
      </c>
      <c r="U108" s="49">
        <f>資料儲存!E1764</f>
        <v>0</v>
      </c>
      <c r="V108" s="49">
        <f>資料儲存!F1764</f>
        <v>0</v>
      </c>
      <c r="W108" s="49">
        <f>資料儲存!G1764</f>
        <v>0</v>
      </c>
      <c r="X108" s="49">
        <f>資料儲存!H1764</f>
        <v>0</v>
      </c>
      <c r="Y108" s="49">
        <f>資料儲存!I1764</f>
        <v>0</v>
      </c>
      <c r="Z108" s="49">
        <f>資料儲存!J1764</f>
        <v>0</v>
      </c>
      <c r="AA108" s="45"/>
      <c r="AB108" s="48">
        <v>23</v>
      </c>
      <c r="AC108" s="49">
        <f>資料儲存!D1884</f>
        <v>0</v>
      </c>
      <c r="AD108" s="49">
        <f>資料儲存!E1884</f>
        <v>0</v>
      </c>
      <c r="AE108" s="49">
        <f>資料儲存!F1884</f>
        <v>0</v>
      </c>
      <c r="AF108" s="49">
        <f>資料儲存!G1884</f>
        <v>0</v>
      </c>
      <c r="AG108" s="49">
        <f>資料儲存!H1884</f>
        <v>0</v>
      </c>
      <c r="AH108" s="49">
        <f>資料儲存!I1884</f>
        <v>0</v>
      </c>
      <c r="AI108" s="49">
        <f>資料儲存!J1884</f>
        <v>0</v>
      </c>
      <c r="AJ108" s="13"/>
      <c r="AK108" s="48">
        <v>23</v>
      </c>
      <c r="AL108" s="49">
        <f>資料儲存!D2004</f>
        <v>0</v>
      </c>
      <c r="AM108" s="49">
        <f>資料儲存!E2004</f>
        <v>0</v>
      </c>
      <c r="AN108" s="49">
        <f>資料儲存!F2004</f>
        <v>0</v>
      </c>
      <c r="AO108" s="49">
        <f>資料儲存!G2004</f>
        <v>0</v>
      </c>
      <c r="AP108" s="49">
        <f>資料儲存!H2004</f>
        <v>0</v>
      </c>
      <c r="AQ108" s="49">
        <f>資料儲存!I2004</f>
        <v>0</v>
      </c>
      <c r="AR108" s="49">
        <f>資料儲存!J2004</f>
        <v>0</v>
      </c>
      <c r="AT108" s="48">
        <v>23</v>
      </c>
      <c r="AU108" s="49">
        <f>資料儲存!D2124</f>
        <v>0</v>
      </c>
      <c r="AV108" s="49">
        <f>資料儲存!E2124</f>
        <v>0</v>
      </c>
      <c r="AW108" s="49">
        <f>資料儲存!F2124</f>
        <v>0</v>
      </c>
      <c r="AX108" s="49">
        <f>資料儲存!G2124</f>
        <v>0</v>
      </c>
      <c r="AY108" s="49">
        <f>資料儲存!H2124</f>
        <v>0</v>
      </c>
      <c r="AZ108" s="49">
        <f>資料儲存!I2124</f>
        <v>0</v>
      </c>
      <c r="BA108" s="49">
        <f>資料儲存!J2124</f>
        <v>0</v>
      </c>
    </row>
    <row r="109" spans="1:53" ht="16" thickBot="1">
      <c r="A109" s="48">
        <v>24</v>
      </c>
      <c r="B109" s="49">
        <f>資料儲存!D1525</f>
        <v>0</v>
      </c>
      <c r="C109" s="49">
        <f>資料儲存!E1525</f>
        <v>0</v>
      </c>
      <c r="D109" s="49">
        <f>資料儲存!F1525</f>
        <v>0</v>
      </c>
      <c r="E109" s="49">
        <f>資料儲存!G1525</f>
        <v>0</v>
      </c>
      <c r="F109" s="49">
        <f>資料儲存!H1525</f>
        <v>0</v>
      </c>
      <c r="G109" s="49">
        <f>資料儲存!I1525</f>
        <v>0</v>
      </c>
      <c r="H109" s="49">
        <f>資料儲存!J1525</f>
        <v>0</v>
      </c>
      <c r="I109" s="45"/>
      <c r="J109" s="48">
        <v>24</v>
      </c>
      <c r="K109" s="49">
        <f>資料儲存!D1645</f>
        <v>0</v>
      </c>
      <c r="L109" s="49">
        <f>資料儲存!E1645</f>
        <v>0</v>
      </c>
      <c r="M109" s="49">
        <f>資料儲存!F1645</f>
        <v>0</v>
      </c>
      <c r="N109" s="49">
        <f>資料儲存!G1645</f>
        <v>0</v>
      </c>
      <c r="O109" s="49">
        <f>資料儲存!H1645</f>
        <v>0</v>
      </c>
      <c r="P109" s="49">
        <f>資料儲存!I1645</f>
        <v>0</v>
      </c>
      <c r="Q109" s="49">
        <f>資料儲存!J1645</f>
        <v>0</v>
      </c>
      <c r="R109" s="45"/>
      <c r="S109" s="48">
        <v>24</v>
      </c>
      <c r="T109" s="49">
        <f>資料儲存!D1765</f>
        <v>0</v>
      </c>
      <c r="U109" s="49">
        <f>資料儲存!E1765</f>
        <v>0</v>
      </c>
      <c r="V109" s="49">
        <f>資料儲存!F1765</f>
        <v>0</v>
      </c>
      <c r="W109" s="49">
        <f>資料儲存!G1765</f>
        <v>0</v>
      </c>
      <c r="X109" s="49">
        <f>資料儲存!H1765</f>
        <v>0</v>
      </c>
      <c r="Y109" s="49">
        <f>資料儲存!I1765</f>
        <v>0</v>
      </c>
      <c r="Z109" s="49">
        <f>資料儲存!J1765</f>
        <v>0</v>
      </c>
      <c r="AA109" s="45"/>
      <c r="AB109" s="48">
        <v>24</v>
      </c>
      <c r="AC109" s="49">
        <f>資料儲存!D1885</f>
        <v>0</v>
      </c>
      <c r="AD109" s="49">
        <f>資料儲存!E1885</f>
        <v>0</v>
      </c>
      <c r="AE109" s="49">
        <f>資料儲存!F1885</f>
        <v>0</v>
      </c>
      <c r="AF109" s="49">
        <f>資料儲存!G1885</f>
        <v>0</v>
      </c>
      <c r="AG109" s="49">
        <f>資料儲存!H1885</f>
        <v>0</v>
      </c>
      <c r="AH109" s="49">
        <f>資料儲存!I1885</f>
        <v>0</v>
      </c>
      <c r="AI109" s="49">
        <f>資料儲存!J1885</f>
        <v>0</v>
      </c>
      <c r="AJ109" s="13"/>
      <c r="AK109" s="48">
        <v>24</v>
      </c>
      <c r="AL109" s="49">
        <f>資料儲存!D2005</f>
        <v>0</v>
      </c>
      <c r="AM109" s="49">
        <f>資料儲存!E2005</f>
        <v>0</v>
      </c>
      <c r="AN109" s="49">
        <f>資料儲存!F2005</f>
        <v>0</v>
      </c>
      <c r="AO109" s="49">
        <f>資料儲存!G2005</f>
        <v>0</v>
      </c>
      <c r="AP109" s="49">
        <f>資料儲存!H2005</f>
        <v>0</v>
      </c>
      <c r="AQ109" s="49">
        <f>資料儲存!I2005</f>
        <v>0</v>
      </c>
      <c r="AR109" s="49">
        <f>資料儲存!J2005</f>
        <v>0</v>
      </c>
      <c r="AT109" s="48">
        <v>24</v>
      </c>
      <c r="AU109" s="49">
        <f>資料儲存!D2125</f>
        <v>0</v>
      </c>
      <c r="AV109" s="49">
        <f>資料儲存!E2125</f>
        <v>0</v>
      </c>
      <c r="AW109" s="49">
        <f>資料儲存!F2125</f>
        <v>0</v>
      </c>
      <c r="AX109" s="49">
        <f>資料儲存!G2125</f>
        <v>0</v>
      </c>
      <c r="AY109" s="49">
        <f>資料儲存!H2125</f>
        <v>0</v>
      </c>
      <c r="AZ109" s="49">
        <f>資料儲存!I2125</f>
        <v>0</v>
      </c>
      <c r="BA109" s="49">
        <f>資料儲存!J2125</f>
        <v>0</v>
      </c>
    </row>
    <row r="110" spans="1:53" ht="16" thickBot="1">
      <c r="A110" s="48">
        <v>25</v>
      </c>
      <c r="B110" s="49">
        <f>資料儲存!D1526</f>
        <v>0</v>
      </c>
      <c r="C110" s="49">
        <f>資料儲存!E1526</f>
        <v>0</v>
      </c>
      <c r="D110" s="49">
        <f>資料儲存!F1526</f>
        <v>0</v>
      </c>
      <c r="E110" s="49">
        <f>資料儲存!G1526</f>
        <v>0</v>
      </c>
      <c r="F110" s="49">
        <f>資料儲存!H1526</f>
        <v>0</v>
      </c>
      <c r="G110" s="49">
        <f>資料儲存!I1526</f>
        <v>0</v>
      </c>
      <c r="H110" s="49">
        <f>資料儲存!J1526</f>
        <v>0</v>
      </c>
      <c r="I110" s="45"/>
      <c r="J110" s="48">
        <v>25</v>
      </c>
      <c r="K110" s="49">
        <f>資料儲存!D1646</f>
        <v>0</v>
      </c>
      <c r="L110" s="49">
        <f>資料儲存!E1646</f>
        <v>0</v>
      </c>
      <c r="M110" s="49">
        <f>資料儲存!F1646</f>
        <v>0</v>
      </c>
      <c r="N110" s="49">
        <f>資料儲存!G1646</f>
        <v>0</v>
      </c>
      <c r="O110" s="49">
        <f>資料儲存!H1646</f>
        <v>0</v>
      </c>
      <c r="P110" s="49">
        <f>資料儲存!I1646</f>
        <v>0</v>
      </c>
      <c r="Q110" s="49">
        <f>資料儲存!J1646</f>
        <v>0</v>
      </c>
      <c r="R110" s="45"/>
      <c r="S110" s="48">
        <v>25</v>
      </c>
      <c r="T110" s="49">
        <f>資料儲存!D1766</f>
        <v>0</v>
      </c>
      <c r="U110" s="49">
        <f>資料儲存!E1766</f>
        <v>0</v>
      </c>
      <c r="V110" s="49">
        <f>資料儲存!F1766</f>
        <v>0</v>
      </c>
      <c r="W110" s="49">
        <f>資料儲存!G1766</f>
        <v>0</v>
      </c>
      <c r="X110" s="49">
        <f>資料儲存!H1766</f>
        <v>0</v>
      </c>
      <c r="Y110" s="49">
        <f>資料儲存!I1766</f>
        <v>0</v>
      </c>
      <c r="Z110" s="49">
        <f>資料儲存!J1766</f>
        <v>0</v>
      </c>
      <c r="AA110" s="45"/>
      <c r="AB110" s="48">
        <v>25</v>
      </c>
      <c r="AC110" s="49">
        <f>資料儲存!D1886</f>
        <v>0</v>
      </c>
      <c r="AD110" s="49">
        <f>資料儲存!E1886</f>
        <v>0</v>
      </c>
      <c r="AE110" s="49">
        <f>資料儲存!F1886</f>
        <v>0</v>
      </c>
      <c r="AF110" s="49">
        <f>資料儲存!G1886</f>
        <v>0</v>
      </c>
      <c r="AG110" s="49">
        <f>資料儲存!H1886</f>
        <v>0</v>
      </c>
      <c r="AH110" s="49">
        <f>資料儲存!I1886</f>
        <v>0</v>
      </c>
      <c r="AI110" s="49">
        <f>資料儲存!J1886</f>
        <v>0</v>
      </c>
      <c r="AJ110" s="13"/>
      <c r="AK110" s="48">
        <v>25</v>
      </c>
      <c r="AL110" s="49">
        <f>資料儲存!D2006</f>
        <v>0</v>
      </c>
      <c r="AM110" s="49">
        <f>資料儲存!E2006</f>
        <v>0</v>
      </c>
      <c r="AN110" s="49">
        <f>資料儲存!F2006</f>
        <v>0</v>
      </c>
      <c r="AO110" s="49">
        <f>資料儲存!G2006</f>
        <v>0</v>
      </c>
      <c r="AP110" s="49">
        <f>資料儲存!H2006</f>
        <v>0</v>
      </c>
      <c r="AQ110" s="49">
        <f>資料儲存!I2006</f>
        <v>0</v>
      </c>
      <c r="AR110" s="49">
        <f>資料儲存!J2006</f>
        <v>0</v>
      </c>
      <c r="AT110" s="48">
        <v>25</v>
      </c>
      <c r="AU110" s="49">
        <f>資料儲存!D2126</f>
        <v>0</v>
      </c>
      <c r="AV110" s="49">
        <f>資料儲存!E2126</f>
        <v>0</v>
      </c>
      <c r="AW110" s="49">
        <f>資料儲存!F2126</f>
        <v>0</v>
      </c>
      <c r="AX110" s="49">
        <f>資料儲存!G2126</f>
        <v>0</v>
      </c>
      <c r="AY110" s="49">
        <f>資料儲存!H2126</f>
        <v>0</v>
      </c>
      <c r="AZ110" s="49">
        <f>資料儲存!I2126</f>
        <v>0</v>
      </c>
      <c r="BA110" s="49">
        <f>資料儲存!J2126</f>
        <v>0</v>
      </c>
    </row>
    <row r="111" spans="1:53" ht="16" thickBot="1">
      <c r="A111" s="48">
        <v>26</v>
      </c>
      <c r="B111" s="49">
        <f>資料儲存!D1527</f>
        <v>0</v>
      </c>
      <c r="C111" s="49">
        <f>資料儲存!E1527</f>
        <v>0</v>
      </c>
      <c r="D111" s="49">
        <f>資料儲存!F1527</f>
        <v>0</v>
      </c>
      <c r="E111" s="49">
        <f>資料儲存!G1527</f>
        <v>0</v>
      </c>
      <c r="F111" s="49">
        <f>資料儲存!H1527</f>
        <v>0</v>
      </c>
      <c r="G111" s="49">
        <f>資料儲存!I1527</f>
        <v>0</v>
      </c>
      <c r="H111" s="49">
        <f>資料儲存!J1527</f>
        <v>0</v>
      </c>
      <c r="I111" s="45"/>
      <c r="J111" s="48">
        <v>26</v>
      </c>
      <c r="K111" s="49">
        <f>資料儲存!D1647</f>
        <v>0</v>
      </c>
      <c r="L111" s="49">
        <f>資料儲存!E1647</f>
        <v>0</v>
      </c>
      <c r="M111" s="49">
        <f>資料儲存!F1647</f>
        <v>0</v>
      </c>
      <c r="N111" s="49">
        <f>資料儲存!G1647</f>
        <v>0</v>
      </c>
      <c r="O111" s="49">
        <f>資料儲存!H1647</f>
        <v>0</v>
      </c>
      <c r="P111" s="49">
        <f>資料儲存!I1647</f>
        <v>0</v>
      </c>
      <c r="Q111" s="49">
        <f>資料儲存!J1647</f>
        <v>0</v>
      </c>
      <c r="R111" s="45"/>
      <c r="S111" s="48">
        <v>26</v>
      </c>
      <c r="T111" s="49">
        <f>資料儲存!D1767</f>
        <v>0</v>
      </c>
      <c r="U111" s="49">
        <f>資料儲存!E1767</f>
        <v>0</v>
      </c>
      <c r="V111" s="49">
        <f>資料儲存!F1767</f>
        <v>0</v>
      </c>
      <c r="W111" s="49">
        <f>資料儲存!G1767</f>
        <v>0</v>
      </c>
      <c r="X111" s="49">
        <f>資料儲存!H1767</f>
        <v>0</v>
      </c>
      <c r="Y111" s="49">
        <f>資料儲存!I1767</f>
        <v>0</v>
      </c>
      <c r="Z111" s="49">
        <f>資料儲存!J1767</f>
        <v>0</v>
      </c>
      <c r="AA111" s="45"/>
      <c r="AB111" s="48">
        <v>26</v>
      </c>
      <c r="AC111" s="49">
        <f>資料儲存!D1887</f>
        <v>0</v>
      </c>
      <c r="AD111" s="49">
        <f>資料儲存!E1887</f>
        <v>0</v>
      </c>
      <c r="AE111" s="49">
        <f>資料儲存!F1887</f>
        <v>0</v>
      </c>
      <c r="AF111" s="49">
        <f>資料儲存!G1887</f>
        <v>0</v>
      </c>
      <c r="AG111" s="49">
        <f>資料儲存!H1887</f>
        <v>0</v>
      </c>
      <c r="AH111" s="49">
        <f>資料儲存!I1887</f>
        <v>0</v>
      </c>
      <c r="AI111" s="49">
        <f>資料儲存!J1887</f>
        <v>0</v>
      </c>
      <c r="AJ111" s="13"/>
      <c r="AK111" s="48">
        <v>26</v>
      </c>
      <c r="AL111" s="49">
        <f>資料儲存!D2007</f>
        <v>0</v>
      </c>
      <c r="AM111" s="49">
        <f>資料儲存!E2007</f>
        <v>0</v>
      </c>
      <c r="AN111" s="49">
        <f>資料儲存!F2007</f>
        <v>0</v>
      </c>
      <c r="AO111" s="49">
        <f>資料儲存!G2007</f>
        <v>0</v>
      </c>
      <c r="AP111" s="49">
        <f>資料儲存!H2007</f>
        <v>0</v>
      </c>
      <c r="AQ111" s="49">
        <f>資料儲存!I2007</f>
        <v>0</v>
      </c>
      <c r="AR111" s="49">
        <f>資料儲存!J2007</f>
        <v>0</v>
      </c>
      <c r="AT111" s="48">
        <v>26</v>
      </c>
      <c r="AU111" s="49">
        <f>資料儲存!D2127</f>
        <v>0</v>
      </c>
      <c r="AV111" s="49">
        <f>資料儲存!E2127</f>
        <v>0</v>
      </c>
      <c r="AW111" s="49">
        <f>資料儲存!F2127</f>
        <v>0</v>
      </c>
      <c r="AX111" s="49">
        <f>資料儲存!G2127</f>
        <v>0</v>
      </c>
      <c r="AY111" s="49">
        <f>資料儲存!H2127</f>
        <v>0</v>
      </c>
      <c r="AZ111" s="49">
        <f>資料儲存!I2127</f>
        <v>0</v>
      </c>
      <c r="BA111" s="49">
        <f>資料儲存!J2127</f>
        <v>0</v>
      </c>
    </row>
    <row r="112" spans="1:53" ht="16" thickBot="1">
      <c r="A112" s="48">
        <v>27</v>
      </c>
      <c r="B112" s="49">
        <f>資料儲存!D1528</f>
        <v>0</v>
      </c>
      <c r="C112" s="49">
        <f>資料儲存!E1528</f>
        <v>0</v>
      </c>
      <c r="D112" s="49">
        <f>資料儲存!F1528</f>
        <v>0</v>
      </c>
      <c r="E112" s="49">
        <f>資料儲存!G1528</f>
        <v>0</v>
      </c>
      <c r="F112" s="49">
        <f>資料儲存!H1528</f>
        <v>0</v>
      </c>
      <c r="G112" s="49">
        <f>資料儲存!I1528</f>
        <v>0</v>
      </c>
      <c r="H112" s="49">
        <f>資料儲存!J1528</f>
        <v>0</v>
      </c>
      <c r="I112" s="45"/>
      <c r="J112" s="48">
        <v>27</v>
      </c>
      <c r="K112" s="49">
        <f>資料儲存!D1648</f>
        <v>0</v>
      </c>
      <c r="L112" s="49">
        <f>資料儲存!E1648</f>
        <v>0</v>
      </c>
      <c r="M112" s="49">
        <f>資料儲存!F1648</f>
        <v>0</v>
      </c>
      <c r="N112" s="49">
        <f>資料儲存!G1648</f>
        <v>0</v>
      </c>
      <c r="O112" s="49">
        <f>資料儲存!H1648</f>
        <v>0</v>
      </c>
      <c r="P112" s="49">
        <f>資料儲存!I1648</f>
        <v>0</v>
      </c>
      <c r="Q112" s="49">
        <f>資料儲存!J1648</f>
        <v>0</v>
      </c>
      <c r="R112" s="45"/>
      <c r="S112" s="48">
        <v>27</v>
      </c>
      <c r="T112" s="49">
        <f>資料儲存!D1768</f>
        <v>0</v>
      </c>
      <c r="U112" s="49">
        <f>資料儲存!E1768</f>
        <v>0</v>
      </c>
      <c r="V112" s="49">
        <f>資料儲存!F1768</f>
        <v>0</v>
      </c>
      <c r="W112" s="49">
        <f>資料儲存!G1768</f>
        <v>0</v>
      </c>
      <c r="X112" s="49">
        <f>資料儲存!H1768</f>
        <v>0</v>
      </c>
      <c r="Y112" s="49">
        <f>資料儲存!I1768</f>
        <v>0</v>
      </c>
      <c r="Z112" s="49">
        <f>資料儲存!J1768</f>
        <v>0</v>
      </c>
      <c r="AA112" s="45"/>
      <c r="AB112" s="48">
        <v>27</v>
      </c>
      <c r="AC112" s="49">
        <f>資料儲存!D1888</f>
        <v>0</v>
      </c>
      <c r="AD112" s="49">
        <f>資料儲存!E1888</f>
        <v>0</v>
      </c>
      <c r="AE112" s="49">
        <f>資料儲存!F1888</f>
        <v>0</v>
      </c>
      <c r="AF112" s="49">
        <f>資料儲存!G1888</f>
        <v>0</v>
      </c>
      <c r="AG112" s="49">
        <f>資料儲存!H1888</f>
        <v>0</v>
      </c>
      <c r="AH112" s="49">
        <f>資料儲存!I1888</f>
        <v>0</v>
      </c>
      <c r="AI112" s="49">
        <f>資料儲存!J1888</f>
        <v>0</v>
      </c>
      <c r="AJ112" s="13"/>
      <c r="AK112" s="48">
        <v>27</v>
      </c>
      <c r="AL112" s="49">
        <f>資料儲存!D2008</f>
        <v>0</v>
      </c>
      <c r="AM112" s="49">
        <f>資料儲存!E2008</f>
        <v>0</v>
      </c>
      <c r="AN112" s="49">
        <f>資料儲存!F2008</f>
        <v>0</v>
      </c>
      <c r="AO112" s="49">
        <f>資料儲存!G2008</f>
        <v>0</v>
      </c>
      <c r="AP112" s="49">
        <f>資料儲存!H2008</f>
        <v>0</v>
      </c>
      <c r="AQ112" s="49">
        <f>資料儲存!I2008</f>
        <v>0</v>
      </c>
      <c r="AR112" s="49">
        <f>資料儲存!J2008</f>
        <v>0</v>
      </c>
      <c r="AT112" s="48">
        <v>27</v>
      </c>
      <c r="AU112" s="49">
        <f>資料儲存!D2128</f>
        <v>0</v>
      </c>
      <c r="AV112" s="49">
        <f>資料儲存!E2128</f>
        <v>0</v>
      </c>
      <c r="AW112" s="49">
        <f>資料儲存!F2128</f>
        <v>0</v>
      </c>
      <c r="AX112" s="49">
        <f>資料儲存!G2128</f>
        <v>0</v>
      </c>
      <c r="AY112" s="49">
        <f>資料儲存!H2128</f>
        <v>0</v>
      </c>
      <c r="AZ112" s="49">
        <f>資料儲存!I2128</f>
        <v>0</v>
      </c>
      <c r="BA112" s="49">
        <f>資料儲存!J2128</f>
        <v>0</v>
      </c>
    </row>
    <row r="113" spans="1:53" ht="16" thickBot="1">
      <c r="A113" s="48">
        <v>28</v>
      </c>
      <c r="B113" s="49">
        <f>資料儲存!D1529</f>
        <v>0</v>
      </c>
      <c r="C113" s="49">
        <f>資料儲存!E1529</f>
        <v>0</v>
      </c>
      <c r="D113" s="49">
        <f>資料儲存!F1529</f>
        <v>0</v>
      </c>
      <c r="E113" s="49">
        <f>資料儲存!G1529</f>
        <v>0</v>
      </c>
      <c r="F113" s="49">
        <f>資料儲存!H1529</f>
        <v>0</v>
      </c>
      <c r="G113" s="49">
        <f>資料儲存!I1529</f>
        <v>0</v>
      </c>
      <c r="H113" s="49">
        <f>資料儲存!J1529</f>
        <v>0</v>
      </c>
      <c r="I113" s="45"/>
      <c r="J113" s="48">
        <v>28</v>
      </c>
      <c r="K113" s="49">
        <f>資料儲存!D1649</f>
        <v>0</v>
      </c>
      <c r="L113" s="49">
        <f>資料儲存!E1649</f>
        <v>0</v>
      </c>
      <c r="M113" s="49">
        <f>資料儲存!F1649</f>
        <v>0</v>
      </c>
      <c r="N113" s="49">
        <f>資料儲存!G1649</f>
        <v>0</v>
      </c>
      <c r="O113" s="49">
        <f>資料儲存!H1649</f>
        <v>0</v>
      </c>
      <c r="P113" s="49">
        <f>資料儲存!I1649</f>
        <v>0</v>
      </c>
      <c r="Q113" s="49">
        <f>資料儲存!J1649</f>
        <v>0</v>
      </c>
      <c r="R113" s="45"/>
      <c r="S113" s="48">
        <v>28</v>
      </c>
      <c r="T113" s="49">
        <f>資料儲存!D1769</f>
        <v>0</v>
      </c>
      <c r="U113" s="49">
        <f>資料儲存!E1769</f>
        <v>0</v>
      </c>
      <c r="V113" s="49">
        <f>資料儲存!F1769</f>
        <v>0</v>
      </c>
      <c r="W113" s="49">
        <f>資料儲存!G1769</f>
        <v>0</v>
      </c>
      <c r="X113" s="49">
        <f>資料儲存!H1769</f>
        <v>0</v>
      </c>
      <c r="Y113" s="49">
        <f>資料儲存!I1769</f>
        <v>0</v>
      </c>
      <c r="Z113" s="49">
        <f>資料儲存!J1769</f>
        <v>0</v>
      </c>
      <c r="AA113" s="45"/>
      <c r="AB113" s="48">
        <v>28</v>
      </c>
      <c r="AC113" s="49">
        <f>資料儲存!D1889</f>
        <v>0</v>
      </c>
      <c r="AD113" s="49">
        <f>資料儲存!E1889</f>
        <v>0</v>
      </c>
      <c r="AE113" s="49">
        <f>資料儲存!F1889</f>
        <v>0</v>
      </c>
      <c r="AF113" s="49">
        <f>資料儲存!G1889</f>
        <v>0</v>
      </c>
      <c r="AG113" s="49">
        <f>資料儲存!H1889</f>
        <v>0</v>
      </c>
      <c r="AH113" s="49">
        <f>資料儲存!I1889</f>
        <v>0</v>
      </c>
      <c r="AI113" s="49">
        <f>資料儲存!J1889</f>
        <v>0</v>
      </c>
      <c r="AJ113" s="13"/>
      <c r="AK113" s="48">
        <v>28</v>
      </c>
      <c r="AL113" s="49">
        <f>資料儲存!D2009</f>
        <v>0</v>
      </c>
      <c r="AM113" s="49">
        <f>資料儲存!E2009</f>
        <v>0</v>
      </c>
      <c r="AN113" s="49">
        <f>資料儲存!F2009</f>
        <v>0</v>
      </c>
      <c r="AO113" s="49">
        <f>資料儲存!G2009</f>
        <v>0</v>
      </c>
      <c r="AP113" s="49">
        <f>資料儲存!H2009</f>
        <v>0</v>
      </c>
      <c r="AQ113" s="49">
        <f>資料儲存!I2009</f>
        <v>0</v>
      </c>
      <c r="AR113" s="49">
        <f>資料儲存!J2009</f>
        <v>0</v>
      </c>
      <c r="AT113" s="48">
        <v>28</v>
      </c>
      <c r="AU113" s="49">
        <f>資料儲存!D2129</f>
        <v>0</v>
      </c>
      <c r="AV113" s="49">
        <f>資料儲存!E2129</f>
        <v>0</v>
      </c>
      <c r="AW113" s="49">
        <f>資料儲存!F2129</f>
        <v>0</v>
      </c>
      <c r="AX113" s="49">
        <f>資料儲存!G2129</f>
        <v>0</v>
      </c>
      <c r="AY113" s="49">
        <f>資料儲存!H2129</f>
        <v>0</v>
      </c>
      <c r="AZ113" s="49">
        <f>資料儲存!I2129</f>
        <v>0</v>
      </c>
      <c r="BA113" s="49">
        <f>資料儲存!J2129</f>
        <v>0</v>
      </c>
    </row>
    <row r="114" spans="1:53" ht="16" thickBot="1">
      <c r="A114" s="48">
        <v>29</v>
      </c>
      <c r="B114" s="49">
        <f>資料儲存!D1530</f>
        <v>0</v>
      </c>
      <c r="C114" s="49">
        <f>資料儲存!E1530</f>
        <v>0</v>
      </c>
      <c r="D114" s="49">
        <f>資料儲存!F1530</f>
        <v>0</v>
      </c>
      <c r="E114" s="49">
        <f>資料儲存!G1530</f>
        <v>0</v>
      </c>
      <c r="F114" s="49">
        <f>資料儲存!H1530</f>
        <v>0</v>
      </c>
      <c r="G114" s="49">
        <f>資料儲存!I1530</f>
        <v>0</v>
      </c>
      <c r="H114" s="49">
        <f>資料儲存!J1530</f>
        <v>0</v>
      </c>
      <c r="I114" s="45"/>
      <c r="J114" s="48">
        <v>29</v>
      </c>
      <c r="K114" s="49">
        <f>資料儲存!D1650</f>
        <v>0</v>
      </c>
      <c r="L114" s="49">
        <f>資料儲存!E1650</f>
        <v>0</v>
      </c>
      <c r="M114" s="49">
        <f>資料儲存!F1650</f>
        <v>0</v>
      </c>
      <c r="N114" s="49">
        <f>資料儲存!G1650</f>
        <v>0</v>
      </c>
      <c r="O114" s="49">
        <f>資料儲存!H1650</f>
        <v>0</v>
      </c>
      <c r="P114" s="49">
        <f>資料儲存!I1650</f>
        <v>0</v>
      </c>
      <c r="Q114" s="49">
        <f>資料儲存!J1650</f>
        <v>0</v>
      </c>
      <c r="R114" s="45"/>
      <c r="S114" s="48">
        <v>29</v>
      </c>
      <c r="T114" s="49">
        <f>資料儲存!D1770</f>
        <v>0</v>
      </c>
      <c r="U114" s="49">
        <f>資料儲存!E1770</f>
        <v>0</v>
      </c>
      <c r="V114" s="49">
        <f>資料儲存!F1770</f>
        <v>0</v>
      </c>
      <c r="W114" s="49">
        <f>資料儲存!G1770</f>
        <v>0</v>
      </c>
      <c r="X114" s="49">
        <f>資料儲存!H1770</f>
        <v>0</v>
      </c>
      <c r="Y114" s="49">
        <f>資料儲存!I1770</f>
        <v>0</v>
      </c>
      <c r="Z114" s="49">
        <f>資料儲存!J1770</f>
        <v>0</v>
      </c>
      <c r="AA114" s="45"/>
      <c r="AB114" s="48">
        <v>29</v>
      </c>
      <c r="AC114" s="49">
        <f>資料儲存!D1890</f>
        <v>0</v>
      </c>
      <c r="AD114" s="49">
        <f>資料儲存!E1890</f>
        <v>0</v>
      </c>
      <c r="AE114" s="49">
        <f>資料儲存!F1890</f>
        <v>0</v>
      </c>
      <c r="AF114" s="49">
        <f>資料儲存!G1890</f>
        <v>0</v>
      </c>
      <c r="AG114" s="49">
        <f>資料儲存!H1890</f>
        <v>0</v>
      </c>
      <c r="AH114" s="49">
        <f>資料儲存!I1890</f>
        <v>0</v>
      </c>
      <c r="AI114" s="49">
        <f>資料儲存!J1890</f>
        <v>0</v>
      </c>
      <c r="AJ114" s="13"/>
      <c r="AK114" s="48">
        <v>29</v>
      </c>
      <c r="AL114" s="49">
        <f>資料儲存!D2010</f>
        <v>0</v>
      </c>
      <c r="AM114" s="49">
        <f>資料儲存!E2010</f>
        <v>0</v>
      </c>
      <c r="AN114" s="49">
        <f>資料儲存!F2010</f>
        <v>0</v>
      </c>
      <c r="AO114" s="49">
        <f>資料儲存!G2010</f>
        <v>0</v>
      </c>
      <c r="AP114" s="49">
        <f>資料儲存!H2010</f>
        <v>0</v>
      </c>
      <c r="AQ114" s="49">
        <f>資料儲存!I2010</f>
        <v>0</v>
      </c>
      <c r="AR114" s="49">
        <f>資料儲存!J2010</f>
        <v>0</v>
      </c>
      <c r="AT114" s="48">
        <v>29</v>
      </c>
      <c r="AU114" s="49">
        <f>資料儲存!D2130</f>
        <v>0</v>
      </c>
      <c r="AV114" s="49">
        <f>資料儲存!E2130</f>
        <v>0</v>
      </c>
      <c r="AW114" s="49">
        <f>資料儲存!F2130</f>
        <v>0</v>
      </c>
      <c r="AX114" s="49">
        <f>資料儲存!G2130</f>
        <v>0</v>
      </c>
      <c r="AY114" s="49">
        <f>資料儲存!H2130</f>
        <v>0</v>
      </c>
      <c r="AZ114" s="49">
        <f>資料儲存!I2130</f>
        <v>0</v>
      </c>
      <c r="BA114" s="49">
        <f>資料儲存!J2130</f>
        <v>0</v>
      </c>
    </row>
    <row r="115" spans="1:53" ht="16" thickBot="1">
      <c r="A115" s="48">
        <v>30</v>
      </c>
      <c r="B115" s="49">
        <f>資料儲存!D1531</f>
        <v>0</v>
      </c>
      <c r="C115" s="49">
        <f>資料儲存!E1531</f>
        <v>0</v>
      </c>
      <c r="D115" s="49">
        <f>資料儲存!F1531</f>
        <v>0</v>
      </c>
      <c r="E115" s="49">
        <f>資料儲存!G1531</f>
        <v>0</v>
      </c>
      <c r="F115" s="49">
        <f>資料儲存!H1531</f>
        <v>0</v>
      </c>
      <c r="G115" s="49">
        <f>資料儲存!I1531</f>
        <v>0</v>
      </c>
      <c r="H115" s="49">
        <f>資料儲存!J1531</f>
        <v>0</v>
      </c>
      <c r="I115" s="45"/>
      <c r="J115" s="48">
        <v>30</v>
      </c>
      <c r="K115" s="49">
        <f>資料儲存!D1651</f>
        <v>0</v>
      </c>
      <c r="L115" s="49">
        <f>資料儲存!E1651</f>
        <v>0</v>
      </c>
      <c r="M115" s="49">
        <f>資料儲存!F1651</f>
        <v>0</v>
      </c>
      <c r="N115" s="49">
        <f>資料儲存!G1651</f>
        <v>0</v>
      </c>
      <c r="O115" s="49">
        <f>資料儲存!H1651</f>
        <v>0</v>
      </c>
      <c r="P115" s="49">
        <f>資料儲存!I1651</f>
        <v>0</v>
      </c>
      <c r="Q115" s="49">
        <f>資料儲存!J1651</f>
        <v>0</v>
      </c>
      <c r="R115" s="45"/>
      <c r="S115" s="48">
        <v>30</v>
      </c>
      <c r="T115" s="49">
        <f>資料儲存!D1771</f>
        <v>0</v>
      </c>
      <c r="U115" s="49">
        <f>資料儲存!E1771</f>
        <v>0</v>
      </c>
      <c r="V115" s="49">
        <f>資料儲存!F1771</f>
        <v>0</v>
      </c>
      <c r="W115" s="49">
        <f>資料儲存!G1771</f>
        <v>0</v>
      </c>
      <c r="X115" s="49">
        <f>資料儲存!H1771</f>
        <v>0</v>
      </c>
      <c r="Y115" s="49">
        <f>資料儲存!I1771</f>
        <v>0</v>
      </c>
      <c r="Z115" s="49">
        <f>資料儲存!J1771</f>
        <v>0</v>
      </c>
      <c r="AA115" s="45"/>
      <c r="AB115" s="48">
        <v>30</v>
      </c>
      <c r="AC115" s="49">
        <f>資料儲存!D1891</f>
        <v>0</v>
      </c>
      <c r="AD115" s="49">
        <f>資料儲存!E1891</f>
        <v>0</v>
      </c>
      <c r="AE115" s="49">
        <f>資料儲存!F1891</f>
        <v>0</v>
      </c>
      <c r="AF115" s="49">
        <f>資料儲存!G1891</f>
        <v>0</v>
      </c>
      <c r="AG115" s="49">
        <f>資料儲存!H1891</f>
        <v>0</v>
      </c>
      <c r="AH115" s="49">
        <f>資料儲存!I1891</f>
        <v>0</v>
      </c>
      <c r="AI115" s="49">
        <f>資料儲存!J1891</f>
        <v>0</v>
      </c>
      <c r="AJ115" s="13"/>
      <c r="AK115" s="48">
        <v>30</v>
      </c>
      <c r="AL115" s="49">
        <f>資料儲存!D2011</f>
        <v>0</v>
      </c>
      <c r="AM115" s="49">
        <f>資料儲存!E2011</f>
        <v>0</v>
      </c>
      <c r="AN115" s="49">
        <f>資料儲存!F2011</f>
        <v>0</v>
      </c>
      <c r="AO115" s="49">
        <f>資料儲存!G2011</f>
        <v>0</v>
      </c>
      <c r="AP115" s="49">
        <f>資料儲存!H2011</f>
        <v>0</v>
      </c>
      <c r="AQ115" s="49">
        <f>資料儲存!I2011</f>
        <v>0</v>
      </c>
      <c r="AR115" s="49">
        <f>資料儲存!J2011</f>
        <v>0</v>
      </c>
      <c r="AT115" s="48">
        <v>30</v>
      </c>
      <c r="AU115" s="49">
        <f>資料儲存!D2131</f>
        <v>0</v>
      </c>
      <c r="AV115" s="49">
        <f>資料儲存!E2131</f>
        <v>0</v>
      </c>
      <c r="AW115" s="49">
        <f>資料儲存!F2131</f>
        <v>0</v>
      </c>
      <c r="AX115" s="49">
        <f>資料儲存!G2131</f>
        <v>0</v>
      </c>
      <c r="AY115" s="49">
        <f>資料儲存!H2131</f>
        <v>0</v>
      </c>
      <c r="AZ115" s="49">
        <f>資料儲存!I2131</f>
        <v>0</v>
      </c>
      <c r="BA115" s="49">
        <f>資料儲存!J2131</f>
        <v>0</v>
      </c>
    </row>
    <row r="116" spans="1:53" ht="17.25" customHeight="1" thickBot="1">
      <c r="A116" s="50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0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0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0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13"/>
      <c r="AK116" s="50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  <c r="AT116" s="50" t="s">
        <v>56</v>
      </c>
      <c r="AU116" s="49">
        <f>SUM(AU101:AX115)</f>
        <v>0</v>
      </c>
      <c r="AV116" s="47"/>
      <c r="AW116" s="47"/>
      <c r="AX116" s="47"/>
      <c r="AY116" s="49">
        <f>AY115</f>
        <v>0</v>
      </c>
      <c r="AZ116" s="49">
        <f>AZ115</f>
        <v>0</v>
      </c>
      <c r="BA116" s="49">
        <f>BA115</f>
        <v>0</v>
      </c>
    </row>
    <row r="117" spans="1:53" ht="18.5" thickBot="1">
      <c r="A117" s="248" t="s">
        <v>97</v>
      </c>
      <c r="B117" s="249"/>
      <c r="C117" s="249"/>
      <c r="D117" s="249"/>
      <c r="E117" s="249"/>
      <c r="F117" s="249"/>
      <c r="G117" s="249"/>
      <c r="H117" s="250"/>
      <c r="I117" s="13"/>
      <c r="J117" s="248" t="s">
        <v>97</v>
      </c>
      <c r="K117" s="249"/>
      <c r="L117" s="249"/>
      <c r="M117" s="249"/>
      <c r="N117" s="249"/>
      <c r="O117" s="249"/>
      <c r="P117" s="249"/>
      <c r="Q117" s="250"/>
      <c r="R117" s="13"/>
      <c r="S117" s="248" t="s">
        <v>97</v>
      </c>
      <c r="T117" s="249"/>
      <c r="U117" s="249"/>
      <c r="V117" s="249"/>
      <c r="W117" s="249"/>
      <c r="X117" s="249"/>
      <c r="Y117" s="249"/>
      <c r="Z117" s="250"/>
      <c r="AA117" s="13"/>
      <c r="AB117" s="248" t="s">
        <v>97</v>
      </c>
      <c r="AC117" s="249"/>
      <c r="AD117" s="249"/>
      <c r="AE117" s="249"/>
      <c r="AF117" s="249"/>
      <c r="AG117" s="249"/>
      <c r="AH117" s="249"/>
      <c r="AI117" s="250"/>
      <c r="AJ117" s="13"/>
      <c r="AK117" s="248" t="s">
        <v>97</v>
      </c>
      <c r="AL117" s="249"/>
      <c r="AM117" s="249"/>
      <c r="AN117" s="249"/>
      <c r="AO117" s="249"/>
      <c r="AP117" s="249"/>
      <c r="AQ117" s="249"/>
      <c r="AR117" s="250"/>
      <c r="AT117" s="248" t="s">
        <v>97</v>
      </c>
      <c r="AU117" s="249"/>
      <c r="AV117" s="249"/>
      <c r="AW117" s="249"/>
      <c r="AX117" s="249"/>
      <c r="AY117" s="249"/>
      <c r="AZ117" s="249"/>
      <c r="BA117" s="250"/>
    </row>
    <row r="118" spans="1:53" ht="17.25" customHeight="1" thickBot="1">
      <c r="A118" s="31" t="s">
        <v>2</v>
      </c>
      <c r="B118" s="32" t="s">
        <v>46</v>
      </c>
      <c r="C118" s="33"/>
      <c r="D118" s="33"/>
      <c r="E118" s="34"/>
      <c r="F118" s="32" t="s">
        <v>47</v>
      </c>
      <c r="G118" s="33"/>
      <c r="H118" s="34"/>
      <c r="I118" s="35"/>
      <c r="J118" s="31" t="s">
        <v>2</v>
      </c>
      <c r="K118" s="32" t="s">
        <v>46</v>
      </c>
      <c r="L118" s="33"/>
      <c r="M118" s="33"/>
      <c r="N118" s="34"/>
      <c r="O118" s="32" t="s">
        <v>47</v>
      </c>
      <c r="P118" s="33"/>
      <c r="Q118" s="34"/>
      <c r="R118" s="35"/>
      <c r="S118" s="31" t="s">
        <v>2</v>
      </c>
      <c r="T118" s="32" t="s">
        <v>46</v>
      </c>
      <c r="U118" s="33"/>
      <c r="V118" s="33"/>
      <c r="W118" s="34"/>
      <c r="X118" s="32" t="s">
        <v>47</v>
      </c>
      <c r="Y118" s="33"/>
      <c r="Z118" s="34"/>
      <c r="AA118" s="35"/>
      <c r="AB118" s="31" t="s">
        <v>2</v>
      </c>
      <c r="AC118" s="32" t="s">
        <v>46</v>
      </c>
      <c r="AD118" s="33"/>
      <c r="AE118" s="33"/>
      <c r="AF118" s="34"/>
      <c r="AG118" s="32" t="s">
        <v>47</v>
      </c>
      <c r="AH118" s="33"/>
      <c r="AI118" s="34"/>
      <c r="AJ118" s="13"/>
      <c r="AK118" s="31" t="s">
        <v>2</v>
      </c>
      <c r="AL118" s="32" t="s">
        <v>46</v>
      </c>
      <c r="AM118" s="33"/>
      <c r="AN118" s="33"/>
      <c r="AO118" s="34"/>
      <c r="AP118" s="32" t="s">
        <v>47</v>
      </c>
      <c r="AQ118" s="33"/>
      <c r="AR118" s="34"/>
      <c r="AT118" s="31" t="s">
        <v>2</v>
      </c>
      <c r="AU118" s="32" t="s">
        <v>46</v>
      </c>
      <c r="AV118" s="33"/>
      <c r="AW118" s="33"/>
      <c r="AX118" s="34"/>
      <c r="AY118" s="32" t="s">
        <v>47</v>
      </c>
      <c r="AZ118" s="33"/>
      <c r="BA118" s="34"/>
    </row>
    <row r="119" spans="1:53" ht="16" thickBot="1">
      <c r="A119" s="36">
        <v>0.52083333333333337</v>
      </c>
      <c r="B119" s="37" t="s">
        <v>49</v>
      </c>
      <c r="C119" s="37" t="s">
        <v>50</v>
      </c>
      <c r="D119" s="37" t="s">
        <v>51</v>
      </c>
      <c r="E119" s="37" t="s">
        <v>52</v>
      </c>
      <c r="F119" s="37" t="s">
        <v>53</v>
      </c>
      <c r="G119" s="37" t="s">
        <v>54</v>
      </c>
      <c r="H119" s="37" t="s">
        <v>55</v>
      </c>
      <c r="I119" s="35"/>
      <c r="J119" s="36">
        <v>0.52083333333333337</v>
      </c>
      <c r="K119" s="37" t="s">
        <v>49</v>
      </c>
      <c r="L119" s="37" t="s">
        <v>50</v>
      </c>
      <c r="M119" s="37" t="s">
        <v>51</v>
      </c>
      <c r="N119" s="37" t="s">
        <v>52</v>
      </c>
      <c r="O119" s="37" t="s">
        <v>53</v>
      </c>
      <c r="P119" s="37" t="s">
        <v>54</v>
      </c>
      <c r="Q119" s="37" t="s">
        <v>55</v>
      </c>
      <c r="R119" s="35"/>
      <c r="S119" s="36">
        <v>0.52083333333333337</v>
      </c>
      <c r="T119" s="37" t="s">
        <v>49</v>
      </c>
      <c r="U119" s="37" t="s">
        <v>50</v>
      </c>
      <c r="V119" s="37" t="s">
        <v>51</v>
      </c>
      <c r="W119" s="37" t="s">
        <v>52</v>
      </c>
      <c r="X119" s="37" t="s">
        <v>53</v>
      </c>
      <c r="Y119" s="37" t="s">
        <v>54</v>
      </c>
      <c r="Z119" s="37" t="s">
        <v>55</v>
      </c>
      <c r="AA119" s="35"/>
      <c r="AB119" s="36">
        <v>0.52083333333333337</v>
      </c>
      <c r="AC119" s="37" t="s">
        <v>49</v>
      </c>
      <c r="AD119" s="37" t="s">
        <v>50</v>
      </c>
      <c r="AE119" s="37" t="s">
        <v>51</v>
      </c>
      <c r="AF119" s="37" t="s">
        <v>52</v>
      </c>
      <c r="AG119" s="37" t="s">
        <v>53</v>
      </c>
      <c r="AH119" s="37" t="s">
        <v>54</v>
      </c>
      <c r="AI119" s="37" t="s">
        <v>55</v>
      </c>
      <c r="AJ119" s="13"/>
      <c r="AK119" s="36">
        <v>0.52083333333333337</v>
      </c>
      <c r="AL119" s="37" t="s">
        <v>49</v>
      </c>
      <c r="AM119" s="37" t="s">
        <v>50</v>
      </c>
      <c r="AN119" s="37" t="s">
        <v>51</v>
      </c>
      <c r="AO119" s="37" t="s">
        <v>52</v>
      </c>
      <c r="AP119" s="37" t="s">
        <v>53</v>
      </c>
      <c r="AQ119" s="37" t="s">
        <v>54</v>
      </c>
      <c r="AR119" s="37" t="s">
        <v>55</v>
      </c>
      <c r="AT119" s="36">
        <v>0.52083333333333337</v>
      </c>
      <c r="AU119" s="37" t="s">
        <v>49</v>
      </c>
      <c r="AV119" s="37" t="s">
        <v>50</v>
      </c>
      <c r="AW119" s="37" t="s">
        <v>51</v>
      </c>
      <c r="AX119" s="37" t="s">
        <v>52</v>
      </c>
      <c r="AY119" s="37" t="s">
        <v>53</v>
      </c>
      <c r="AZ119" s="37" t="s">
        <v>54</v>
      </c>
      <c r="BA119" s="37" t="s">
        <v>55</v>
      </c>
    </row>
    <row r="120" spans="1:53" ht="16" thickBot="1">
      <c r="A120" s="38">
        <v>31</v>
      </c>
      <c r="B120" s="39">
        <f>資料儲存!D1532</f>
        <v>0</v>
      </c>
      <c r="C120" s="39">
        <f>資料儲存!E1532</f>
        <v>0</v>
      </c>
      <c r="D120" s="39">
        <f>資料儲存!F1532</f>
        <v>0</v>
      </c>
      <c r="E120" s="39">
        <f>資料儲存!G1532</f>
        <v>0</v>
      </c>
      <c r="F120" s="39">
        <f>資料儲存!H1532</f>
        <v>0</v>
      </c>
      <c r="G120" s="39">
        <f>資料儲存!I1532</f>
        <v>0</v>
      </c>
      <c r="H120" s="39">
        <f>資料儲存!J1532</f>
        <v>0</v>
      </c>
      <c r="I120" s="35"/>
      <c r="J120" s="38">
        <v>31</v>
      </c>
      <c r="K120" s="39">
        <f>資料儲存!D1652</f>
        <v>0</v>
      </c>
      <c r="L120" s="39">
        <f>資料儲存!E1652</f>
        <v>0</v>
      </c>
      <c r="M120" s="39">
        <f>資料儲存!F1652</f>
        <v>0</v>
      </c>
      <c r="N120" s="39">
        <f>資料儲存!G1652</f>
        <v>0</v>
      </c>
      <c r="O120" s="39">
        <f>資料儲存!H1652</f>
        <v>0</v>
      </c>
      <c r="P120" s="39">
        <f>資料儲存!I1652</f>
        <v>0</v>
      </c>
      <c r="Q120" s="39">
        <f>資料儲存!J1652</f>
        <v>0</v>
      </c>
      <c r="R120" s="35"/>
      <c r="S120" s="38">
        <v>31</v>
      </c>
      <c r="T120" s="39">
        <f>資料儲存!D1772</f>
        <v>0</v>
      </c>
      <c r="U120" s="39">
        <f>資料儲存!E1772</f>
        <v>0</v>
      </c>
      <c r="V120" s="39">
        <f>資料儲存!F1772</f>
        <v>0</v>
      </c>
      <c r="W120" s="39">
        <f>資料儲存!G1772</f>
        <v>0</v>
      </c>
      <c r="X120" s="39">
        <f>資料儲存!H1772</f>
        <v>0</v>
      </c>
      <c r="Y120" s="39">
        <f>資料儲存!I1772</f>
        <v>0</v>
      </c>
      <c r="Z120" s="39">
        <f>資料儲存!J1772</f>
        <v>0</v>
      </c>
      <c r="AA120" s="35"/>
      <c r="AB120" s="38">
        <v>31</v>
      </c>
      <c r="AC120" s="39">
        <f>資料儲存!D1892</f>
        <v>0</v>
      </c>
      <c r="AD120" s="39">
        <f>資料儲存!E1892</f>
        <v>0</v>
      </c>
      <c r="AE120" s="39">
        <f>資料儲存!F1892</f>
        <v>0</v>
      </c>
      <c r="AF120" s="39">
        <f>資料儲存!G1892</f>
        <v>0</v>
      </c>
      <c r="AG120" s="39">
        <f>資料儲存!H1892</f>
        <v>0</v>
      </c>
      <c r="AH120" s="39">
        <f>資料儲存!I1892</f>
        <v>0</v>
      </c>
      <c r="AI120" s="39">
        <f>資料儲存!J1892</f>
        <v>0</v>
      </c>
      <c r="AJ120" s="13"/>
      <c r="AK120" s="38">
        <v>31</v>
      </c>
      <c r="AL120" s="39">
        <f>資料儲存!D2012</f>
        <v>0</v>
      </c>
      <c r="AM120" s="39">
        <f>資料儲存!E2012</f>
        <v>0</v>
      </c>
      <c r="AN120" s="39">
        <f>資料儲存!F2012</f>
        <v>0</v>
      </c>
      <c r="AO120" s="39">
        <f>資料儲存!G2012</f>
        <v>0</v>
      </c>
      <c r="AP120" s="39">
        <f>資料儲存!H2012</f>
        <v>0</v>
      </c>
      <c r="AQ120" s="39">
        <f>資料儲存!I2012</f>
        <v>0</v>
      </c>
      <c r="AR120" s="39">
        <f>資料儲存!J2012</f>
        <v>0</v>
      </c>
      <c r="AT120" s="38">
        <v>31</v>
      </c>
      <c r="AU120" s="39">
        <f>資料儲存!D2132</f>
        <v>0</v>
      </c>
      <c r="AV120" s="39">
        <f>資料儲存!E2132</f>
        <v>0</v>
      </c>
      <c r="AW120" s="39">
        <f>資料儲存!F2132</f>
        <v>0</v>
      </c>
      <c r="AX120" s="39">
        <f>資料儲存!G2132</f>
        <v>0</v>
      </c>
      <c r="AY120" s="39">
        <f>資料儲存!H2132</f>
        <v>0</v>
      </c>
      <c r="AZ120" s="39">
        <f>資料儲存!I2132</f>
        <v>0</v>
      </c>
      <c r="BA120" s="39">
        <f>資料儲存!J2132</f>
        <v>0</v>
      </c>
    </row>
    <row r="121" spans="1:53" ht="16" thickBot="1">
      <c r="A121" s="38">
        <v>32</v>
      </c>
      <c r="B121" s="39">
        <f>資料儲存!D1533</f>
        <v>0</v>
      </c>
      <c r="C121" s="39">
        <f>資料儲存!E1533</f>
        <v>0</v>
      </c>
      <c r="D121" s="39">
        <f>資料儲存!F1533</f>
        <v>0</v>
      </c>
      <c r="E121" s="39">
        <f>資料儲存!G1533</f>
        <v>0</v>
      </c>
      <c r="F121" s="39">
        <f>資料儲存!H1533</f>
        <v>0</v>
      </c>
      <c r="G121" s="39">
        <f>資料儲存!I1533</f>
        <v>0</v>
      </c>
      <c r="H121" s="39">
        <f>資料儲存!J1533</f>
        <v>0</v>
      </c>
      <c r="I121" s="35"/>
      <c r="J121" s="38">
        <v>32</v>
      </c>
      <c r="K121" s="39">
        <f>資料儲存!D1653</f>
        <v>0</v>
      </c>
      <c r="L121" s="39">
        <f>資料儲存!E1653</f>
        <v>0</v>
      </c>
      <c r="M121" s="39">
        <f>資料儲存!F1653</f>
        <v>0</v>
      </c>
      <c r="N121" s="39">
        <f>資料儲存!G1653</f>
        <v>0</v>
      </c>
      <c r="O121" s="39">
        <f>資料儲存!H1653</f>
        <v>0</v>
      </c>
      <c r="P121" s="39">
        <f>資料儲存!I1653</f>
        <v>0</v>
      </c>
      <c r="Q121" s="39">
        <f>資料儲存!J1653</f>
        <v>0</v>
      </c>
      <c r="R121" s="35"/>
      <c r="S121" s="38">
        <v>32</v>
      </c>
      <c r="T121" s="39">
        <f>資料儲存!D1773</f>
        <v>0</v>
      </c>
      <c r="U121" s="39">
        <f>資料儲存!E1773</f>
        <v>0</v>
      </c>
      <c r="V121" s="39">
        <f>資料儲存!F1773</f>
        <v>0</v>
      </c>
      <c r="W121" s="39">
        <f>資料儲存!G1773</f>
        <v>0</v>
      </c>
      <c r="X121" s="39">
        <f>資料儲存!H1773</f>
        <v>0</v>
      </c>
      <c r="Y121" s="39">
        <f>資料儲存!I1773</f>
        <v>0</v>
      </c>
      <c r="Z121" s="39">
        <f>資料儲存!J1773</f>
        <v>0</v>
      </c>
      <c r="AA121" s="35"/>
      <c r="AB121" s="38">
        <v>32</v>
      </c>
      <c r="AC121" s="39">
        <f>資料儲存!D1893</f>
        <v>0</v>
      </c>
      <c r="AD121" s="39">
        <f>資料儲存!E1893</f>
        <v>0</v>
      </c>
      <c r="AE121" s="39">
        <f>資料儲存!F1893</f>
        <v>0</v>
      </c>
      <c r="AF121" s="39">
        <f>資料儲存!G1893</f>
        <v>0</v>
      </c>
      <c r="AG121" s="39">
        <f>資料儲存!H1893</f>
        <v>0</v>
      </c>
      <c r="AH121" s="39">
        <f>資料儲存!I1893</f>
        <v>0</v>
      </c>
      <c r="AI121" s="39">
        <f>資料儲存!J1893</f>
        <v>0</v>
      </c>
      <c r="AJ121" s="13"/>
      <c r="AK121" s="38">
        <v>32</v>
      </c>
      <c r="AL121" s="39">
        <f>資料儲存!D2013</f>
        <v>0</v>
      </c>
      <c r="AM121" s="39">
        <f>資料儲存!E2013</f>
        <v>0</v>
      </c>
      <c r="AN121" s="39">
        <f>資料儲存!F2013</f>
        <v>0</v>
      </c>
      <c r="AO121" s="39">
        <f>資料儲存!G2013</f>
        <v>0</v>
      </c>
      <c r="AP121" s="39">
        <f>資料儲存!H2013</f>
        <v>0</v>
      </c>
      <c r="AQ121" s="39">
        <f>資料儲存!I2013</f>
        <v>0</v>
      </c>
      <c r="AR121" s="39">
        <f>資料儲存!J2013</f>
        <v>0</v>
      </c>
      <c r="AT121" s="38">
        <v>32</v>
      </c>
      <c r="AU121" s="39">
        <f>資料儲存!D2133</f>
        <v>0</v>
      </c>
      <c r="AV121" s="39">
        <f>資料儲存!E2133</f>
        <v>0</v>
      </c>
      <c r="AW121" s="39">
        <f>資料儲存!F2133</f>
        <v>0</v>
      </c>
      <c r="AX121" s="39">
        <f>資料儲存!G2133</f>
        <v>0</v>
      </c>
      <c r="AY121" s="39">
        <f>資料儲存!H2133</f>
        <v>0</v>
      </c>
      <c r="AZ121" s="39">
        <f>資料儲存!I2133</f>
        <v>0</v>
      </c>
      <c r="BA121" s="39">
        <f>資料儲存!J2133</f>
        <v>0</v>
      </c>
    </row>
    <row r="122" spans="1:53" ht="16" thickBot="1">
      <c r="A122" s="38">
        <v>33</v>
      </c>
      <c r="B122" s="39">
        <f>資料儲存!D1534</f>
        <v>0</v>
      </c>
      <c r="C122" s="39">
        <f>資料儲存!E1534</f>
        <v>0</v>
      </c>
      <c r="D122" s="39">
        <f>資料儲存!F1534</f>
        <v>0</v>
      </c>
      <c r="E122" s="39">
        <f>資料儲存!G1534</f>
        <v>0</v>
      </c>
      <c r="F122" s="39">
        <f>資料儲存!H1534</f>
        <v>0</v>
      </c>
      <c r="G122" s="39">
        <f>資料儲存!I1534</f>
        <v>0</v>
      </c>
      <c r="H122" s="39">
        <f>資料儲存!J1534</f>
        <v>0</v>
      </c>
      <c r="I122" s="35"/>
      <c r="J122" s="38">
        <v>33</v>
      </c>
      <c r="K122" s="39">
        <f>資料儲存!D1654</f>
        <v>0</v>
      </c>
      <c r="L122" s="39">
        <f>資料儲存!E1654</f>
        <v>0</v>
      </c>
      <c r="M122" s="39">
        <f>資料儲存!F1654</f>
        <v>0</v>
      </c>
      <c r="N122" s="39">
        <f>資料儲存!G1654</f>
        <v>0</v>
      </c>
      <c r="O122" s="39">
        <f>資料儲存!H1654</f>
        <v>0</v>
      </c>
      <c r="P122" s="39">
        <f>資料儲存!I1654</f>
        <v>0</v>
      </c>
      <c r="Q122" s="39">
        <f>資料儲存!J1654</f>
        <v>0</v>
      </c>
      <c r="R122" s="35"/>
      <c r="S122" s="38">
        <v>33</v>
      </c>
      <c r="T122" s="39">
        <f>資料儲存!D1774</f>
        <v>0</v>
      </c>
      <c r="U122" s="39">
        <f>資料儲存!E1774</f>
        <v>0</v>
      </c>
      <c r="V122" s="39">
        <f>資料儲存!F1774</f>
        <v>0</v>
      </c>
      <c r="W122" s="39">
        <f>資料儲存!G1774</f>
        <v>0</v>
      </c>
      <c r="X122" s="39">
        <f>資料儲存!H1774</f>
        <v>0</v>
      </c>
      <c r="Y122" s="39">
        <f>資料儲存!I1774</f>
        <v>0</v>
      </c>
      <c r="Z122" s="39">
        <f>資料儲存!J1774</f>
        <v>0</v>
      </c>
      <c r="AA122" s="35"/>
      <c r="AB122" s="38">
        <v>33</v>
      </c>
      <c r="AC122" s="39">
        <f>資料儲存!D1894</f>
        <v>0</v>
      </c>
      <c r="AD122" s="39">
        <f>資料儲存!E1894</f>
        <v>0</v>
      </c>
      <c r="AE122" s="39">
        <f>資料儲存!F1894</f>
        <v>0</v>
      </c>
      <c r="AF122" s="39">
        <f>資料儲存!G1894</f>
        <v>0</v>
      </c>
      <c r="AG122" s="39">
        <f>資料儲存!H1894</f>
        <v>0</v>
      </c>
      <c r="AH122" s="39">
        <f>資料儲存!I1894</f>
        <v>0</v>
      </c>
      <c r="AI122" s="39">
        <f>資料儲存!J1894</f>
        <v>0</v>
      </c>
      <c r="AJ122" s="13"/>
      <c r="AK122" s="38">
        <v>33</v>
      </c>
      <c r="AL122" s="39">
        <f>資料儲存!D2014</f>
        <v>0</v>
      </c>
      <c r="AM122" s="39">
        <f>資料儲存!E2014</f>
        <v>0</v>
      </c>
      <c r="AN122" s="39">
        <f>資料儲存!F2014</f>
        <v>0</v>
      </c>
      <c r="AO122" s="39">
        <f>資料儲存!G2014</f>
        <v>0</v>
      </c>
      <c r="AP122" s="39">
        <f>資料儲存!H2014</f>
        <v>0</v>
      </c>
      <c r="AQ122" s="39">
        <f>資料儲存!I2014</f>
        <v>0</v>
      </c>
      <c r="AR122" s="39">
        <f>資料儲存!J2014</f>
        <v>0</v>
      </c>
      <c r="AT122" s="38">
        <v>33</v>
      </c>
      <c r="AU122" s="39">
        <f>資料儲存!D2134</f>
        <v>0</v>
      </c>
      <c r="AV122" s="39">
        <f>資料儲存!E2134</f>
        <v>0</v>
      </c>
      <c r="AW122" s="39">
        <f>資料儲存!F2134</f>
        <v>0</v>
      </c>
      <c r="AX122" s="39">
        <f>資料儲存!G2134</f>
        <v>0</v>
      </c>
      <c r="AY122" s="39">
        <f>資料儲存!H2134</f>
        <v>0</v>
      </c>
      <c r="AZ122" s="39">
        <f>資料儲存!I2134</f>
        <v>0</v>
      </c>
      <c r="BA122" s="39">
        <f>資料儲存!J2134</f>
        <v>0</v>
      </c>
    </row>
    <row r="123" spans="1:53" ht="16" thickBot="1">
      <c r="A123" s="38">
        <v>34</v>
      </c>
      <c r="B123" s="39">
        <f>資料儲存!D1535</f>
        <v>0</v>
      </c>
      <c r="C123" s="39">
        <f>資料儲存!E1535</f>
        <v>0</v>
      </c>
      <c r="D123" s="39">
        <f>資料儲存!F1535</f>
        <v>0</v>
      </c>
      <c r="E123" s="39">
        <f>資料儲存!G1535</f>
        <v>0</v>
      </c>
      <c r="F123" s="39">
        <f>資料儲存!H1535</f>
        <v>0</v>
      </c>
      <c r="G123" s="39">
        <f>資料儲存!I1535</f>
        <v>0</v>
      </c>
      <c r="H123" s="39">
        <f>資料儲存!J1535</f>
        <v>0</v>
      </c>
      <c r="I123" s="35"/>
      <c r="J123" s="38">
        <v>34</v>
      </c>
      <c r="K123" s="39">
        <f>資料儲存!D1655</f>
        <v>0</v>
      </c>
      <c r="L123" s="39">
        <f>資料儲存!E1655</f>
        <v>0</v>
      </c>
      <c r="M123" s="39">
        <f>資料儲存!F1655</f>
        <v>0</v>
      </c>
      <c r="N123" s="39">
        <f>資料儲存!G1655</f>
        <v>0</v>
      </c>
      <c r="O123" s="39">
        <f>資料儲存!H1655</f>
        <v>0</v>
      </c>
      <c r="P123" s="39">
        <f>資料儲存!I1655</f>
        <v>0</v>
      </c>
      <c r="Q123" s="39">
        <f>資料儲存!J1655</f>
        <v>0</v>
      </c>
      <c r="R123" s="35"/>
      <c r="S123" s="38">
        <v>34</v>
      </c>
      <c r="T123" s="39">
        <f>資料儲存!D1775</f>
        <v>0</v>
      </c>
      <c r="U123" s="39">
        <f>資料儲存!E1775</f>
        <v>0</v>
      </c>
      <c r="V123" s="39">
        <f>資料儲存!F1775</f>
        <v>0</v>
      </c>
      <c r="W123" s="39">
        <f>資料儲存!G1775</f>
        <v>0</v>
      </c>
      <c r="X123" s="39">
        <f>資料儲存!H1775</f>
        <v>0</v>
      </c>
      <c r="Y123" s="39">
        <f>資料儲存!I1775</f>
        <v>0</v>
      </c>
      <c r="Z123" s="39">
        <f>資料儲存!J1775</f>
        <v>0</v>
      </c>
      <c r="AA123" s="35"/>
      <c r="AB123" s="38">
        <v>34</v>
      </c>
      <c r="AC123" s="39">
        <f>資料儲存!D1895</f>
        <v>0</v>
      </c>
      <c r="AD123" s="39">
        <f>資料儲存!E1895</f>
        <v>0</v>
      </c>
      <c r="AE123" s="39">
        <f>資料儲存!F1895</f>
        <v>0</v>
      </c>
      <c r="AF123" s="39">
        <f>資料儲存!G1895</f>
        <v>0</v>
      </c>
      <c r="AG123" s="39">
        <f>資料儲存!H1895</f>
        <v>0</v>
      </c>
      <c r="AH123" s="39">
        <f>資料儲存!I1895</f>
        <v>0</v>
      </c>
      <c r="AI123" s="39">
        <f>資料儲存!J1895</f>
        <v>0</v>
      </c>
      <c r="AJ123" s="13"/>
      <c r="AK123" s="38">
        <v>34</v>
      </c>
      <c r="AL123" s="39">
        <f>資料儲存!D2015</f>
        <v>0</v>
      </c>
      <c r="AM123" s="39">
        <f>資料儲存!E2015</f>
        <v>0</v>
      </c>
      <c r="AN123" s="39">
        <f>資料儲存!F2015</f>
        <v>0</v>
      </c>
      <c r="AO123" s="39">
        <f>資料儲存!G2015</f>
        <v>0</v>
      </c>
      <c r="AP123" s="39">
        <f>資料儲存!H2015</f>
        <v>0</v>
      </c>
      <c r="AQ123" s="39">
        <f>資料儲存!I2015</f>
        <v>0</v>
      </c>
      <c r="AR123" s="39">
        <f>資料儲存!J2015</f>
        <v>0</v>
      </c>
      <c r="AT123" s="38">
        <v>34</v>
      </c>
      <c r="AU123" s="39">
        <f>資料儲存!D2135</f>
        <v>0</v>
      </c>
      <c r="AV123" s="39">
        <f>資料儲存!E2135</f>
        <v>0</v>
      </c>
      <c r="AW123" s="39">
        <f>資料儲存!F2135</f>
        <v>0</v>
      </c>
      <c r="AX123" s="39">
        <f>資料儲存!G2135</f>
        <v>0</v>
      </c>
      <c r="AY123" s="39">
        <f>資料儲存!H2135</f>
        <v>0</v>
      </c>
      <c r="AZ123" s="39">
        <f>資料儲存!I2135</f>
        <v>0</v>
      </c>
      <c r="BA123" s="39">
        <f>資料儲存!J2135</f>
        <v>0</v>
      </c>
    </row>
    <row r="124" spans="1:53" ht="16" thickBot="1">
      <c r="A124" s="38">
        <v>35</v>
      </c>
      <c r="B124" s="39">
        <f>資料儲存!D1536</f>
        <v>0</v>
      </c>
      <c r="C124" s="39">
        <f>資料儲存!E1536</f>
        <v>0</v>
      </c>
      <c r="D124" s="39">
        <f>資料儲存!F1536</f>
        <v>0</v>
      </c>
      <c r="E124" s="39">
        <f>資料儲存!G1536</f>
        <v>0</v>
      </c>
      <c r="F124" s="39">
        <f>資料儲存!H1536</f>
        <v>0</v>
      </c>
      <c r="G124" s="39">
        <f>資料儲存!I1536</f>
        <v>0</v>
      </c>
      <c r="H124" s="39">
        <f>資料儲存!J1536</f>
        <v>0</v>
      </c>
      <c r="I124" s="35"/>
      <c r="J124" s="38">
        <v>35</v>
      </c>
      <c r="K124" s="39">
        <f>資料儲存!D1656</f>
        <v>0</v>
      </c>
      <c r="L124" s="39">
        <f>資料儲存!E1656</f>
        <v>0</v>
      </c>
      <c r="M124" s="39">
        <f>資料儲存!F1656</f>
        <v>0</v>
      </c>
      <c r="N124" s="39">
        <f>資料儲存!G1656</f>
        <v>0</v>
      </c>
      <c r="O124" s="39">
        <f>資料儲存!H1656</f>
        <v>0</v>
      </c>
      <c r="P124" s="39">
        <f>資料儲存!I1656</f>
        <v>0</v>
      </c>
      <c r="Q124" s="39">
        <f>資料儲存!J1656</f>
        <v>0</v>
      </c>
      <c r="R124" s="35"/>
      <c r="S124" s="38">
        <v>35</v>
      </c>
      <c r="T124" s="39">
        <f>資料儲存!D1776</f>
        <v>0</v>
      </c>
      <c r="U124" s="39">
        <f>資料儲存!E1776</f>
        <v>0</v>
      </c>
      <c r="V124" s="39">
        <f>資料儲存!F1776</f>
        <v>0</v>
      </c>
      <c r="W124" s="39">
        <f>資料儲存!G1776</f>
        <v>0</v>
      </c>
      <c r="X124" s="39">
        <f>資料儲存!H1776</f>
        <v>0</v>
      </c>
      <c r="Y124" s="39">
        <f>資料儲存!I1776</f>
        <v>0</v>
      </c>
      <c r="Z124" s="39">
        <f>資料儲存!J1776</f>
        <v>0</v>
      </c>
      <c r="AA124" s="35"/>
      <c r="AB124" s="38">
        <v>35</v>
      </c>
      <c r="AC124" s="39">
        <f>資料儲存!D1896</f>
        <v>0</v>
      </c>
      <c r="AD124" s="39">
        <f>資料儲存!E1896</f>
        <v>0</v>
      </c>
      <c r="AE124" s="39">
        <f>資料儲存!F1896</f>
        <v>0</v>
      </c>
      <c r="AF124" s="39">
        <f>資料儲存!G1896</f>
        <v>0</v>
      </c>
      <c r="AG124" s="39">
        <f>資料儲存!H1896</f>
        <v>0</v>
      </c>
      <c r="AH124" s="39">
        <f>資料儲存!I1896</f>
        <v>0</v>
      </c>
      <c r="AI124" s="39">
        <f>資料儲存!J1896</f>
        <v>0</v>
      </c>
      <c r="AJ124" s="13"/>
      <c r="AK124" s="38">
        <v>35</v>
      </c>
      <c r="AL124" s="39">
        <f>資料儲存!D2016</f>
        <v>0</v>
      </c>
      <c r="AM124" s="39">
        <f>資料儲存!E2016</f>
        <v>0</v>
      </c>
      <c r="AN124" s="39">
        <f>資料儲存!F2016</f>
        <v>0</v>
      </c>
      <c r="AO124" s="39">
        <f>資料儲存!G2016</f>
        <v>0</v>
      </c>
      <c r="AP124" s="39">
        <f>資料儲存!H2016</f>
        <v>0</v>
      </c>
      <c r="AQ124" s="39">
        <f>資料儲存!I2016</f>
        <v>0</v>
      </c>
      <c r="AR124" s="39">
        <f>資料儲存!J2016</f>
        <v>0</v>
      </c>
      <c r="AT124" s="38">
        <v>35</v>
      </c>
      <c r="AU124" s="39">
        <f>資料儲存!D2136</f>
        <v>0</v>
      </c>
      <c r="AV124" s="39">
        <f>資料儲存!E2136</f>
        <v>0</v>
      </c>
      <c r="AW124" s="39">
        <f>資料儲存!F2136</f>
        <v>0</v>
      </c>
      <c r="AX124" s="39">
        <f>資料儲存!G2136</f>
        <v>0</v>
      </c>
      <c r="AY124" s="39">
        <f>資料儲存!H2136</f>
        <v>0</v>
      </c>
      <c r="AZ124" s="39">
        <f>資料儲存!I2136</f>
        <v>0</v>
      </c>
      <c r="BA124" s="39">
        <f>資料儲存!J2136</f>
        <v>0</v>
      </c>
    </row>
    <row r="125" spans="1:53" ht="16" thickBot="1">
      <c r="A125" s="38">
        <v>36</v>
      </c>
      <c r="B125" s="39">
        <f>資料儲存!D1537</f>
        <v>0</v>
      </c>
      <c r="C125" s="39">
        <f>資料儲存!E1537</f>
        <v>0</v>
      </c>
      <c r="D125" s="39">
        <f>資料儲存!F1537</f>
        <v>0</v>
      </c>
      <c r="E125" s="39">
        <f>資料儲存!G1537</f>
        <v>0</v>
      </c>
      <c r="F125" s="39">
        <f>資料儲存!H1537</f>
        <v>0</v>
      </c>
      <c r="G125" s="39">
        <f>資料儲存!I1537</f>
        <v>0</v>
      </c>
      <c r="H125" s="39">
        <f>資料儲存!J1537</f>
        <v>0</v>
      </c>
      <c r="I125" s="35"/>
      <c r="J125" s="38">
        <v>36</v>
      </c>
      <c r="K125" s="39">
        <f>資料儲存!D1657</f>
        <v>0</v>
      </c>
      <c r="L125" s="39">
        <f>資料儲存!E1657</f>
        <v>0</v>
      </c>
      <c r="M125" s="39">
        <f>資料儲存!F1657</f>
        <v>0</v>
      </c>
      <c r="N125" s="39">
        <f>資料儲存!G1657</f>
        <v>0</v>
      </c>
      <c r="O125" s="39">
        <f>資料儲存!H1657</f>
        <v>0</v>
      </c>
      <c r="P125" s="39">
        <f>資料儲存!I1657</f>
        <v>0</v>
      </c>
      <c r="Q125" s="39">
        <f>資料儲存!J1657</f>
        <v>0</v>
      </c>
      <c r="R125" s="35"/>
      <c r="S125" s="38">
        <v>36</v>
      </c>
      <c r="T125" s="39">
        <f>資料儲存!D1777</f>
        <v>0</v>
      </c>
      <c r="U125" s="39">
        <f>資料儲存!E1777</f>
        <v>0</v>
      </c>
      <c r="V125" s="39">
        <f>資料儲存!F1777</f>
        <v>0</v>
      </c>
      <c r="W125" s="39">
        <f>資料儲存!G1777</f>
        <v>0</v>
      </c>
      <c r="X125" s="39">
        <f>資料儲存!H1777</f>
        <v>0</v>
      </c>
      <c r="Y125" s="39">
        <f>資料儲存!I1777</f>
        <v>0</v>
      </c>
      <c r="Z125" s="39">
        <f>資料儲存!J1777</f>
        <v>0</v>
      </c>
      <c r="AA125" s="35"/>
      <c r="AB125" s="38">
        <v>36</v>
      </c>
      <c r="AC125" s="39">
        <f>資料儲存!D1897</f>
        <v>0</v>
      </c>
      <c r="AD125" s="39">
        <f>資料儲存!E1897</f>
        <v>0</v>
      </c>
      <c r="AE125" s="39">
        <f>資料儲存!F1897</f>
        <v>0</v>
      </c>
      <c r="AF125" s="39">
        <f>資料儲存!G1897</f>
        <v>0</v>
      </c>
      <c r="AG125" s="39">
        <f>資料儲存!H1897</f>
        <v>0</v>
      </c>
      <c r="AH125" s="39">
        <f>資料儲存!I1897</f>
        <v>0</v>
      </c>
      <c r="AI125" s="39">
        <f>資料儲存!J1897</f>
        <v>0</v>
      </c>
      <c r="AJ125" s="13"/>
      <c r="AK125" s="38">
        <v>36</v>
      </c>
      <c r="AL125" s="39">
        <f>資料儲存!D2017</f>
        <v>0</v>
      </c>
      <c r="AM125" s="39">
        <f>資料儲存!E2017</f>
        <v>0</v>
      </c>
      <c r="AN125" s="39">
        <f>資料儲存!F2017</f>
        <v>0</v>
      </c>
      <c r="AO125" s="39">
        <f>資料儲存!G2017</f>
        <v>0</v>
      </c>
      <c r="AP125" s="39">
        <f>資料儲存!H2017</f>
        <v>0</v>
      </c>
      <c r="AQ125" s="39">
        <f>資料儲存!I2017</f>
        <v>0</v>
      </c>
      <c r="AR125" s="39">
        <f>資料儲存!J2017</f>
        <v>0</v>
      </c>
      <c r="AT125" s="38">
        <v>36</v>
      </c>
      <c r="AU125" s="39">
        <f>資料儲存!D2137</f>
        <v>0</v>
      </c>
      <c r="AV125" s="39">
        <f>資料儲存!E2137</f>
        <v>0</v>
      </c>
      <c r="AW125" s="39">
        <f>資料儲存!F2137</f>
        <v>0</v>
      </c>
      <c r="AX125" s="39">
        <f>資料儲存!G2137</f>
        <v>0</v>
      </c>
      <c r="AY125" s="39">
        <f>資料儲存!H2137</f>
        <v>0</v>
      </c>
      <c r="AZ125" s="39">
        <f>資料儲存!I2137</f>
        <v>0</v>
      </c>
      <c r="BA125" s="39">
        <f>資料儲存!J2137</f>
        <v>0</v>
      </c>
    </row>
    <row r="126" spans="1:53" ht="16" thickBot="1">
      <c r="A126" s="38">
        <v>37</v>
      </c>
      <c r="B126" s="39">
        <f>資料儲存!D1538</f>
        <v>0</v>
      </c>
      <c r="C126" s="39">
        <f>資料儲存!E1538</f>
        <v>0</v>
      </c>
      <c r="D126" s="39">
        <f>資料儲存!F1538</f>
        <v>0</v>
      </c>
      <c r="E126" s="39">
        <f>資料儲存!G1538</f>
        <v>0</v>
      </c>
      <c r="F126" s="39">
        <f>資料儲存!H1538</f>
        <v>0</v>
      </c>
      <c r="G126" s="39">
        <f>資料儲存!I1538</f>
        <v>0</v>
      </c>
      <c r="H126" s="39">
        <f>資料儲存!J1538</f>
        <v>0</v>
      </c>
      <c r="I126" s="35"/>
      <c r="J126" s="38">
        <v>37</v>
      </c>
      <c r="K126" s="39">
        <f>資料儲存!D1658</f>
        <v>0</v>
      </c>
      <c r="L126" s="39">
        <f>資料儲存!E1658</f>
        <v>0</v>
      </c>
      <c r="M126" s="39">
        <f>資料儲存!F1658</f>
        <v>0</v>
      </c>
      <c r="N126" s="39">
        <f>資料儲存!G1658</f>
        <v>0</v>
      </c>
      <c r="O126" s="39">
        <f>資料儲存!H1658</f>
        <v>0</v>
      </c>
      <c r="P126" s="39">
        <f>資料儲存!I1658</f>
        <v>0</v>
      </c>
      <c r="Q126" s="39">
        <f>資料儲存!J1658</f>
        <v>0</v>
      </c>
      <c r="R126" s="35"/>
      <c r="S126" s="38">
        <v>37</v>
      </c>
      <c r="T126" s="39">
        <f>資料儲存!D1778</f>
        <v>0</v>
      </c>
      <c r="U126" s="39">
        <f>資料儲存!E1778</f>
        <v>0</v>
      </c>
      <c r="V126" s="39">
        <f>資料儲存!F1778</f>
        <v>0</v>
      </c>
      <c r="W126" s="39">
        <f>資料儲存!G1778</f>
        <v>0</v>
      </c>
      <c r="X126" s="39">
        <f>資料儲存!H1778</f>
        <v>0</v>
      </c>
      <c r="Y126" s="39">
        <f>資料儲存!I1778</f>
        <v>0</v>
      </c>
      <c r="Z126" s="39">
        <f>資料儲存!J1778</f>
        <v>0</v>
      </c>
      <c r="AA126" s="35"/>
      <c r="AB126" s="38">
        <v>37</v>
      </c>
      <c r="AC126" s="39">
        <f>資料儲存!D1898</f>
        <v>0</v>
      </c>
      <c r="AD126" s="39">
        <f>資料儲存!E1898</f>
        <v>0</v>
      </c>
      <c r="AE126" s="39">
        <f>資料儲存!F1898</f>
        <v>0</v>
      </c>
      <c r="AF126" s="39">
        <f>資料儲存!G1898</f>
        <v>0</v>
      </c>
      <c r="AG126" s="39">
        <f>資料儲存!H1898</f>
        <v>0</v>
      </c>
      <c r="AH126" s="39">
        <f>資料儲存!I1898</f>
        <v>0</v>
      </c>
      <c r="AI126" s="39">
        <f>資料儲存!J1898</f>
        <v>0</v>
      </c>
      <c r="AJ126" s="13"/>
      <c r="AK126" s="38">
        <v>37</v>
      </c>
      <c r="AL126" s="39">
        <f>資料儲存!D2018</f>
        <v>0</v>
      </c>
      <c r="AM126" s="39">
        <f>資料儲存!E2018</f>
        <v>0</v>
      </c>
      <c r="AN126" s="39">
        <f>資料儲存!F2018</f>
        <v>0</v>
      </c>
      <c r="AO126" s="39">
        <f>資料儲存!G2018</f>
        <v>0</v>
      </c>
      <c r="AP126" s="39">
        <f>資料儲存!H2018</f>
        <v>0</v>
      </c>
      <c r="AQ126" s="39">
        <f>資料儲存!I2018</f>
        <v>0</v>
      </c>
      <c r="AR126" s="39">
        <f>資料儲存!J2018</f>
        <v>0</v>
      </c>
      <c r="AT126" s="38">
        <v>37</v>
      </c>
      <c r="AU126" s="39">
        <f>資料儲存!D2138</f>
        <v>0</v>
      </c>
      <c r="AV126" s="39">
        <f>資料儲存!E2138</f>
        <v>0</v>
      </c>
      <c r="AW126" s="39">
        <f>資料儲存!F2138</f>
        <v>0</v>
      </c>
      <c r="AX126" s="39">
        <f>資料儲存!G2138</f>
        <v>0</v>
      </c>
      <c r="AY126" s="39">
        <f>資料儲存!H2138</f>
        <v>0</v>
      </c>
      <c r="AZ126" s="39">
        <f>資料儲存!I2138</f>
        <v>0</v>
      </c>
      <c r="BA126" s="39">
        <f>資料儲存!J2138</f>
        <v>0</v>
      </c>
    </row>
    <row r="127" spans="1:53" ht="16" thickBot="1">
      <c r="A127" s="38">
        <v>38</v>
      </c>
      <c r="B127" s="39">
        <f>資料儲存!D1539</f>
        <v>0</v>
      </c>
      <c r="C127" s="39">
        <f>資料儲存!E1539</f>
        <v>0</v>
      </c>
      <c r="D127" s="39">
        <f>資料儲存!F1539</f>
        <v>0</v>
      </c>
      <c r="E127" s="39">
        <f>資料儲存!G1539</f>
        <v>0</v>
      </c>
      <c r="F127" s="39">
        <f>資料儲存!H1539</f>
        <v>0</v>
      </c>
      <c r="G127" s="39">
        <f>資料儲存!I1539</f>
        <v>0</v>
      </c>
      <c r="H127" s="39">
        <f>資料儲存!J1539</f>
        <v>0</v>
      </c>
      <c r="I127" s="35"/>
      <c r="J127" s="38">
        <v>38</v>
      </c>
      <c r="K127" s="39">
        <f>資料儲存!D1659</f>
        <v>0</v>
      </c>
      <c r="L127" s="39">
        <f>資料儲存!E1659</f>
        <v>0</v>
      </c>
      <c r="M127" s="39">
        <f>資料儲存!F1659</f>
        <v>0</v>
      </c>
      <c r="N127" s="39">
        <f>資料儲存!G1659</f>
        <v>0</v>
      </c>
      <c r="O127" s="39">
        <f>資料儲存!H1659</f>
        <v>0</v>
      </c>
      <c r="P127" s="39">
        <f>資料儲存!I1659</f>
        <v>0</v>
      </c>
      <c r="Q127" s="39">
        <f>資料儲存!J1659</f>
        <v>0</v>
      </c>
      <c r="R127" s="35"/>
      <c r="S127" s="38">
        <v>38</v>
      </c>
      <c r="T127" s="39">
        <f>資料儲存!D1779</f>
        <v>0</v>
      </c>
      <c r="U127" s="39">
        <f>資料儲存!E1779</f>
        <v>0</v>
      </c>
      <c r="V127" s="39">
        <f>資料儲存!F1779</f>
        <v>0</v>
      </c>
      <c r="W127" s="39">
        <f>資料儲存!G1779</f>
        <v>0</v>
      </c>
      <c r="X127" s="39">
        <f>資料儲存!H1779</f>
        <v>0</v>
      </c>
      <c r="Y127" s="39">
        <f>資料儲存!I1779</f>
        <v>0</v>
      </c>
      <c r="Z127" s="39">
        <f>資料儲存!J1779</f>
        <v>0</v>
      </c>
      <c r="AA127" s="35"/>
      <c r="AB127" s="38">
        <v>38</v>
      </c>
      <c r="AC127" s="39">
        <f>資料儲存!D1899</f>
        <v>0</v>
      </c>
      <c r="AD127" s="39">
        <f>資料儲存!E1899</f>
        <v>0</v>
      </c>
      <c r="AE127" s="39">
        <f>資料儲存!F1899</f>
        <v>0</v>
      </c>
      <c r="AF127" s="39">
        <f>資料儲存!G1899</f>
        <v>0</v>
      </c>
      <c r="AG127" s="39">
        <f>資料儲存!H1899</f>
        <v>0</v>
      </c>
      <c r="AH127" s="39">
        <f>資料儲存!I1899</f>
        <v>0</v>
      </c>
      <c r="AI127" s="39">
        <f>資料儲存!J1899</f>
        <v>0</v>
      </c>
      <c r="AJ127" s="13"/>
      <c r="AK127" s="38">
        <v>38</v>
      </c>
      <c r="AL127" s="39">
        <f>資料儲存!D2019</f>
        <v>0</v>
      </c>
      <c r="AM127" s="39">
        <f>資料儲存!E2019</f>
        <v>0</v>
      </c>
      <c r="AN127" s="39">
        <f>資料儲存!F2019</f>
        <v>0</v>
      </c>
      <c r="AO127" s="39">
        <f>資料儲存!G2019</f>
        <v>0</v>
      </c>
      <c r="AP127" s="39">
        <f>資料儲存!H2019</f>
        <v>0</v>
      </c>
      <c r="AQ127" s="39">
        <f>資料儲存!I2019</f>
        <v>0</v>
      </c>
      <c r="AR127" s="39">
        <f>資料儲存!J2019</f>
        <v>0</v>
      </c>
      <c r="AT127" s="38">
        <v>38</v>
      </c>
      <c r="AU127" s="39">
        <f>資料儲存!D2139</f>
        <v>0</v>
      </c>
      <c r="AV127" s="39">
        <f>資料儲存!E2139</f>
        <v>0</v>
      </c>
      <c r="AW127" s="39">
        <f>資料儲存!F2139</f>
        <v>0</v>
      </c>
      <c r="AX127" s="39">
        <f>資料儲存!G2139</f>
        <v>0</v>
      </c>
      <c r="AY127" s="39">
        <f>資料儲存!H2139</f>
        <v>0</v>
      </c>
      <c r="AZ127" s="39">
        <f>資料儲存!I2139</f>
        <v>0</v>
      </c>
      <c r="BA127" s="39">
        <f>資料儲存!J2139</f>
        <v>0</v>
      </c>
    </row>
    <row r="128" spans="1:53" ht="16" thickBot="1">
      <c r="A128" s="38">
        <v>39</v>
      </c>
      <c r="B128" s="39">
        <f>資料儲存!D1540</f>
        <v>0</v>
      </c>
      <c r="C128" s="39">
        <f>資料儲存!E1540</f>
        <v>0</v>
      </c>
      <c r="D128" s="39">
        <f>資料儲存!F1540</f>
        <v>0</v>
      </c>
      <c r="E128" s="39">
        <f>資料儲存!G1540</f>
        <v>0</v>
      </c>
      <c r="F128" s="39">
        <f>資料儲存!H1540</f>
        <v>0</v>
      </c>
      <c r="G128" s="39">
        <f>資料儲存!I1540</f>
        <v>0</v>
      </c>
      <c r="H128" s="39">
        <f>資料儲存!J1540</f>
        <v>0</v>
      </c>
      <c r="I128" s="35"/>
      <c r="J128" s="38">
        <v>39</v>
      </c>
      <c r="K128" s="39">
        <f>資料儲存!D1660</f>
        <v>0</v>
      </c>
      <c r="L128" s="39">
        <f>資料儲存!E1660</f>
        <v>0</v>
      </c>
      <c r="M128" s="39">
        <f>資料儲存!F1660</f>
        <v>0</v>
      </c>
      <c r="N128" s="39">
        <f>資料儲存!G1660</f>
        <v>0</v>
      </c>
      <c r="O128" s="39">
        <f>資料儲存!H1660</f>
        <v>0</v>
      </c>
      <c r="P128" s="39">
        <f>資料儲存!I1660</f>
        <v>0</v>
      </c>
      <c r="Q128" s="39">
        <f>資料儲存!J1660</f>
        <v>0</v>
      </c>
      <c r="R128" s="35"/>
      <c r="S128" s="38">
        <v>39</v>
      </c>
      <c r="T128" s="39">
        <f>資料儲存!D1780</f>
        <v>0</v>
      </c>
      <c r="U128" s="39">
        <f>資料儲存!E1780</f>
        <v>0</v>
      </c>
      <c r="V128" s="39">
        <f>資料儲存!F1780</f>
        <v>0</v>
      </c>
      <c r="W128" s="39">
        <f>資料儲存!G1780</f>
        <v>0</v>
      </c>
      <c r="X128" s="39">
        <f>資料儲存!H1780</f>
        <v>0</v>
      </c>
      <c r="Y128" s="39">
        <f>資料儲存!I1780</f>
        <v>0</v>
      </c>
      <c r="Z128" s="39">
        <f>資料儲存!J1780</f>
        <v>0</v>
      </c>
      <c r="AA128" s="35"/>
      <c r="AB128" s="38">
        <v>39</v>
      </c>
      <c r="AC128" s="39">
        <f>資料儲存!D1900</f>
        <v>0</v>
      </c>
      <c r="AD128" s="39">
        <f>資料儲存!E1900</f>
        <v>0</v>
      </c>
      <c r="AE128" s="39">
        <f>資料儲存!F1900</f>
        <v>0</v>
      </c>
      <c r="AF128" s="39">
        <f>資料儲存!G1900</f>
        <v>0</v>
      </c>
      <c r="AG128" s="39">
        <f>資料儲存!H1900</f>
        <v>0</v>
      </c>
      <c r="AH128" s="39">
        <f>資料儲存!I1900</f>
        <v>0</v>
      </c>
      <c r="AI128" s="39">
        <f>資料儲存!J1900</f>
        <v>0</v>
      </c>
      <c r="AJ128" s="13"/>
      <c r="AK128" s="38">
        <v>39</v>
      </c>
      <c r="AL128" s="39">
        <f>資料儲存!D2020</f>
        <v>0</v>
      </c>
      <c r="AM128" s="39">
        <f>資料儲存!E2020</f>
        <v>0</v>
      </c>
      <c r="AN128" s="39">
        <f>資料儲存!F2020</f>
        <v>0</v>
      </c>
      <c r="AO128" s="39">
        <f>資料儲存!G2020</f>
        <v>0</v>
      </c>
      <c r="AP128" s="39">
        <f>資料儲存!H2020</f>
        <v>0</v>
      </c>
      <c r="AQ128" s="39">
        <f>資料儲存!I2020</f>
        <v>0</v>
      </c>
      <c r="AR128" s="39">
        <f>資料儲存!J2020</f>
        <v>0</v>
      </c>
      <c r="AT128" s="38">
        <v>39</v>
      </c>
      <c r="AU128" s="39">
        <f>資料儲存!D2140</f>
        <v>0</v>
      </c>
      <c r="AV128" s="39">
        <f>資料儲存!E2140</f>
        <v>0</v>
      </c>
      <c r="AW128" s="39">
        <f>資料儲存!F2140</f>
        <v>0</v>
      </c>
      <c r="AX128" s="39">
        <f>資料儲存!G2140</f>
        <v>0</v>
      </c>
      <c r="AY128" s="39">
        <f>資料儲存!H2140</f>
        <v>0</v>
      </c>
      <c r="AZ128" s="39">
        <f>資料儲存!I2140</f>
        <v>0</v>
      </c>
      <c r="BA128" s="39">
        <f>資料儲存!J2140</f>
        <v>0</v>
      </c>
    </row>
    <row r="129" spans="1:53" ht="16" thickBot="1">
      <c r="A129" s="38">
        <v>40</v>
      </c>
      <c r="B129" s="39">
        <f>資料儲存!D1541</f>
        <v>0</v>
      </c>
      <c r="C129" s="39">
        <f>資料儲存!E1541</f>
        <v>0</v>
      </c>
      <c r="D129" s="39">
        <f>資料儲存!F1541</f>
        <v>0</v>
      </c>
      <c r="E129" s="39">
        <f>資料儲存!G1541</f>
        <v>0</v>
      </c>
      <c r="F129" s="39">
        <f>資料儲存!H1541</f>
        <v>0</v>
      </c>
      <c r="G129" s="39">
        <f>資料儲存!I1541</f>
        <v>0</v>
      </c>
      <c r="H129" s="39">
        <f>資料儲存!J1541</f>
        <v>0</v>
      </c>
      <c r="I129" s="35"/>
      <c r="J129" s="38">
        <v>40</v>
      </c>
      <c r="K129" s="39">
        <f>資料儲存!D1661</f>
        <v>0</v>
      </c>
      <c r="L129" s="39">
        <f>資料儲存!E1661</f>
        <v>0</v>
      </c>
      <c r="M129" s="39">
        <f>資料儲存!F1661</f>
        <v>0</v>
      </c>
      <c r="N129" s="39">
        <f>資料儲存!G1661</f>
        <v>0</v>
      </c>
      <c r="O129" s="39">
        <f>資料儲存!H1661</f>
        <v>0</v>
      </c>
      <c r="P129" s="39">
        <f>資料儲存!I1661</f>
        <v>0</v>
      </c>
      <c r="Q129" s="39">
        <f>資料儲存!J1661</f>
        <v>0</v>
      </c>
      <c r="R129" s="35"/>
      <c r="S129" s="38">
        <v>40</v>
      </c>
      <c r="T129" s="39">
        <f>資料儲存!D1781</f>
        <v>0</v>
      </c>
      <c r="U129" s="39">
        <f>資料儲存!E1781</f>
        <v>0</v>
      </c>
      <c r="V129" s="39">
        <f>資料儲存!F1781</f>
        <v>0</v>
      </c>
      <c r="W129" s="39">
        <f>資料儲存!G1781</f>
        <v>0</v>
      </c>
      <c r="X129" s="39">
        <f>資料儲存!H1781</f>
        <v>0</v>
      </c>
      <c r="Y129" s="39">
        <f>資料儲存!I1781</f>
        <v>0</v>
      </c>
      <c r="Z129" s="39">
        <f>資料儲存!J1781</f>
        <v>0</v>
      </c>
      <c r="AA129" s="35"/>
      <c r="AB129" s="38">
        <v>40</v>
      </c>
      <c r="AC129" s="39">
        <f>資料儲存!D1901</f>
        <v>0</v>
      </c>
      <c r="AD129" s="39">
        <f>資料儲存!E1901</f>
        <v>0</v>
      </c>
      <c r="AE129" s="39">
        <f>資料儲存!F1901</f>
        <v>0</v>
      </c>
      <c r="AF129" s="39">
        <f>資料儲存!G1901</f>
        <v>0</v>
      </c>
      <c r="AG129" s="39">
        <f>資料儲存!H1901</f>
        <v>0</v>
      </c>
      <c r="AH129" s="39">
        <f>資料儲存!I1901</f>
        <v>0</v>
      </c>
      <c r="AI129" s="39">
        <f>資料儲存!J1901</f>
        <v>0</v>
      </c>
      <c r="AJ129" s="13"/>
      <c r="AK129" s="38">
        <v>40</v>
      </c>
      <c r="AL129" s="39">
        <f>資料儲存!D2021</f>
        <v>0</v>
      </c>
      <c r="AM129" s="39">
        <f>資料儲存!E2021</f>
        <v>0</v>
      </c>
      <c r="AN129" s="39">
        <f>資料儲存!F2021</f>
        <v>0</v>
      </c>
      <c r="AO129" s="39">
        <f>資料儲存!G2021</f>
        <v>0</v>
      </c>
      <c r="AP129" s="39">
        <f>資料儲存!H2021</f>
        <v>0</v>
      </c>
      <c r="AQ129" s="39">
        <f>資料儲存!I2021</f>
        <v>0</v>
      </c>
      <c r="AR129" s="39">
        <f>資料儲存!J2021</f>
        <v>0</v>
      </c>
      <c r="AT129" s="38">
        <v>40</v>
      </c>
      <c r="AU129" s="39">
        <f>資料儲存!D2141</f>
        <v>0</v>
      </c>
      <c r="AV129" s="39">
        <f>資料儲存!E2141</f>
        <v>0</v>
      </c>
      <c r="AW129" s="39">
        <f>資料儲存!F2141</f>
        <v>0</v>
      </c>
      <c r="AX129" s="39">
        <f>資料儲存!G2141</f>
        <v>0</v>
      </c>
      <c r="AY129" s="39">
        <f>資料儲存!H2141</f>
        <v>0</v>
      </c>
      <c r="AZ129" s="39">
        <f>資料儲存!I2141</f>
        <v>0</v>
      </c>
      <c r="BA129" s="39">
        <f>資料儲存!J2141</f>
        <v>0</v>
      </c>
    </row>
    <row r="130" spans="1:53" ht="16" thickBot="1">
      <c r="A130" s="38">
        <v>41</v>
      </c>
      <c r="B130" s="39">
        <f>資料儲存!D1542</f>
        <v>0</v>
      </c>
      <c r="C130" s="39">
        <f>資料儲存!E1542</f>
        <v>0</v>
      </c>
      <c r="D130" s="39">
        <f>資料儲存!F1542</f>
        <v>0</v>
      </c>
      <c r="E130" s="39">
        <f>資料儲存!G1542</f>
        <v>0</v>
      </c>
      <c r="F130" s="39">
        <f>資料儲存!H1542</f>
        <v>0</v>
      </c>
      <c r="G130" s="39">
        <f>資料儲存!I1542</f>
        <v>0</v>
      </c>
      <c r="H130" s="39">
        <f>資料儲存!J1542</f>
        <v>0</v>
      </c>
      <c r="I130" s="35"/>
      <c r="J130" s="38">
        <v>41</v>
      </c>
      <c r="K130" s="39">
        <f>資料儲存!D1662</f>
        <v>0</v>
      </c>
      <c r="L130" s="39">
        <f>資料儲存!E1662</f>
        <v>0</v>
      </c>
      <c r="M130" s="39">
        <f>資料儲存!F1662</f>
        <v>0</v>
      </c>
      <c r="N130" s="39">
        <f>資料儲存!G1662</f>
        <v>0</v>
      </c>
      <c r="O130" s="39">
        <f>資料儲存!H1662</f>
        <v>0</v>
      </c>
      <c r="P130" s="39">
        <f>資料儲存!I1662</f>
        <v>0</v>
      </c>
      <c r="Q130" s="39">
        <f>資料儲存!J1662</f>
        <v>0</v>
      </c>
      <c r="R130" s="35"/>
      <c r="S130" s="38">
        <v>41</v>
      </c>
      <c r="T130" s="39">
        <f>資料儲存!D1782</f>
        <v>0</v>
      </c>
      <c r="U130" s="39">
        <f>資料儲存!E1782</f>
        <v>0</v>
      </c>
      <c r="V130" s="39">
        <f>資料儲存!F1782</f>
        <v>0</v>
      </c>
      <c r="W130" s="39">
        <f>資料儲存!G1782</f>
        <v>0</v>
      </c>
      <c r="X130" s="39">
        <f>資料儲存!H1782</f>
        <v>0</v>
      </c>
      <c r="Y130" s="39">
        <f>資料儲存!I1782</f>
        <v>0</v>
      </c>
      <c r="Z130" s="39">
        <f>資料儲存!J1782</f>
        <v>0</v>
      </c>
      <c r="AA130" s="35"/>
      <c r="AB130" s="38">
        <v>41</v>
      </c>
      <c r="AC130" s="39">
        <f>資料儲存!D1902</f>
        <v>0</v>
      </c>
      <c r="AD130" s="39">
        <f>資料儲存!E1902</f>
        <v>0</v>
      </c>
      <c r="AE130" s="39">
        <f>資料儲存!F1902</f>
        <v>0</v>
      </c>
      <c r="AF130" s="39">
        <f>資料儲存!G1902</f>
        <v>0</v>
      </c>
      <c r="AG130" s="39">
        <f>資料儲存!H1902</f>
        <v>0</v>
      </c>
      <c r="AH130" s="39">
        <f>資料儲存!I1902</f>
        <v>0</v>
      </c>
      <c r="AI130" s="39">
        <f>資料儲存!J1902</f>
        <v>0</v>
      </c>
      <c r="AJ130" s="13"/>
      <c r="AK130" s="38">
        <v>41</v>
      </c>
      <c r="AL130" s="39">
        <f>資料儲存!D2022</f>
        <v>0</v>
      </c>
      <c r="AM130" s="39">
        <f>資料儲存!E2022</f>
        <v>0</v>
      </c>
      <c r="AN130" s="39">
        <f>資料儲存!F2022</f>
        <v>0</v>
      </c>
      <c r="AO130" s="39">
        <f>資料儲存!G2022</f>
        <v>0</v>
      </c>
      <c r="AP130" s="39">
        <f>資料儲存!H2022</f>
        <v>0</v>
      </c>
      <c r="AQ130" s="39">
        <f>資料儲存!I2022</f>
        <v>0</v>
      </c>
      <c r="AR130" s="39">
        <f>資料儲存!J2022</f>
        <v>0</v>
      </c>
      <c r="AT130" s="38">
        <v>41</v>
      </c>
      <c r="AU130" s="39">
        <f>資料儲存!D2142</f>
        <v>0</v>
      </c>
      <c r="AV130" s="39">
        <f>資料儲存!E2142</f>
        <v>0</v>
      </c>
      <c r="AW130" s="39">
        <f>資料儲存!F2142</f>
        <v>0</v>
      </c>
      <c r="AX130" s="39">
        <f>資料儲存!G2142</f>
        <v>0</v>
      </c>
      <c r="AY130" s="39">
        <f>資料儲存!H2142</f>
        <v>0</v>
      </c>
      <c r="AZ130" s="39">
        <f>資料儲存!I2142</f>
        <v>0</v>
      </c>
      <c r="BA130" s="39">
        <f>資料儲存!J2142</f>
        <v>0</v>
      </c>
    </row>
    <row r="131" spans="1:53" ht="16" thickBot="1">
      <c r="A131" s="38">
        <v>42</v>
      </c>
      <c r="B131" s="39">
        <f>資料儲存!D1543</f>
        <v>0</v>
      </c>
      <c r="C131" s="39">
        <f>資料儲存!E1543</f>
        <v>0</v>
      </c>
      <c r="D131" s="39">
        <f>資料儲存!F1543</f>
        <v>0</v>
      </c>
      <c r="E131" s="39">
        <f>資料儲存!G1543</f>
        <v>0</v>
      </c>
      <c r="F131" s="39">
        <f>資料儲存!H1543</f>
        <v>0</v>
      </c>
      <c r="G131" s="39">
        <f>資料儲存!I1543</f>
        <v>0</v>
      </c>
      <c r="H131" s="39">
        <f>資料儲存!J1543</f>
        <v>0</v>
      </c>
      <c r="I131" s="35"/>
      <c r="J131" s="38">
        <v>42</v>
      </c>
      <c r="K131" s="39">
        <f>資料儲存!D1663</f>
        <v>0</v>
      </c>
      <c r="L131" s="39">
        <f>資料儲存!E1663</f>
        <v>0</v>
      </c>
      <c r="M131" s="39">
        <f>資料儲存!F1663</f>
        <v>0</v>
      </c>
      <c r="N131" s="39">
        <f>資料儲存!G1663</f>
        <v>0</v>
      </c>
      <c r="O131" s="39">
        <f>資料儲存!H1663</f>
        <v>0</v>
      </c>
      <c r="P131" s="39">
        <f>資料儲存!I1663</f>
        <v>0</v>
      </c>
      <c r="Q131" s="39">
        <f>資料儲存!J1663</f>
        <v>0</v>
      </c>
      <c r="R131" s="35"/>
      <c r="S131" s="38">
        <v>42</v>
      </c>
      <c r="T131" s="39">
        <f>資料儲存!D1783</f>
        <v>0</v>
      </c>
      <c r="U131" s="39">
        <f>資料儲存!E1783</f>
        <v>0</v>
      </c>
      <c r="V131" s="39">
        <f>資料儲存!F1783</f>
        <v>0</v>
      </c>
      <c r="W131" s="39">
        <f>資料儲存!G1783</f>
        <v>0</v>
      </c>
      <c r="X131" s="39">
        <f>資料儲存!H1783</f>
        <v>0</v>
      </c>
      <c r="Y131" s="39">
        <f>資料儲存!I1783</f>
        <v>0</v>
      </c>
      <c r="Z131" s="39">
        <f>資料儲存!J1783</f>
        <v>0</v>
      </c>
      <c r="AA131" s="35"/>
      <c r="AB131" s="38">
        <v>42</v>
      </c>
      <c r="AC131" s="39">
        <f>資料儲存!D1903</f>
        <v>0</v>
      </c>
      <c r="AD131" s="39">
        <f>資料儲存!E1903</f>
        <v>0</v>
      </c>
      <c r="AE131" s="39">
        <f>資料儲存!F1903</f>
        <v>0</v>
      </c>
      <c r="AF131" s="39">
        <f>資料儲存!G1903</f>
        <v>0</v>
      </c>
      <c r="AG131" s="39">
        <f>資料儲存!H1903</f>
        <v>0</v>
      </c>
      <c r="AH131" s="39">
        <f>資料儲存!I1903</f>
        <v>0</v>
      </c>
      <c r="AI131" s="39">
        <f>資料儲存!J1903</f>
        <v>0</v>
      </c>
      <c r="AJ131" s="13"/>
      <c r="AK131" s="38">
        <v>42</v>
      </c>
      <c r="AL131" s="39">
        <f>資料儲存!D2023</f>
        <v>0</v>
      </c>
      <c r="AM131" s="39">
        <f>資料儲存!E2023</f>
        <v>0</v>
      </c>
      <c r="AN131" s="39">
        <f>資料儲存!F2023</f>
        <v>0</v>
      </c>
      <c r="AO131" s="39">
        <f>資料儲存!G2023</f>
        <v>0</v>
      </c>
      <c r="AP131" s="39">
        <f>資料儲存!H2023</f>
        <v>0</v>
      </c>
      <c r="AQ131" s="39">
        <f>資料儲存!I2023</f>
        <v>0</v>
      </c>
      <c r="AR131" s="39">
        <f>資料儲存!J2023</f>
        <v>0</v>
      </c>
      <c r="AT131" s="38">
        <v>42</v>
      </c>
      <c r="AU131" s="39">
        <f>資料儲存!D2143</f>
        <v>0</v>
      </c>
      <c r="AV131" s="39">
        <f>資料儲存!E2143</f>
        <v>0</v>
      </c>
      <c r="AW131" s="39">
        <f>資料儲存!F2143</f>
        <v>0</v>
      </c>
      <c r="AX131" s="39">
        <f>資料儲存!G2143</f>
        <v>0</v>
      </c>
      <c r="AY131" s="39">
        <f>資料儲存!H2143</f>
        <v>0</v>
      </c>
      <c r="AZ131" s="39">
        <f>資料儲存!I2143</f>
        <v>0</v>
      </c>
      <c r="BA131" s="39">
        <f>資料儲存!J2143</f>
        <v>0</v>
      </c>
    </row>
    <row r="132" spans="1:53" ht="16" thickBot="1">
      <c r="A132" s="38">
        <v>43</v>
      </c>
      <c r="B132" s="39">
        <f>資料儲存!D1544</f>
        <v>0</v>
      </c>
      <c r="C132" s="39">
        <f>資料儲存!E1544</f>
        <v>0</v>
      </c>
      <c r="D132" s="39">
        <f>資料儲存!F1544</f>
        <v>0</v>
      </c>
      <c r="E132" s="39">
        <f>資料儲存!G1544</f>
        <v>0</v>
      </c>
      <c r="F132" s="39">
        <f>資料儲存!H1544</f>
        <v>0</v>
      </c>
      <c r="G132" s="39">
        <f>資料儲存!I1544</f>
        <v>0</v>
      </c>
      <c r="H132" s="39">
        <f>資料儲存!J1544</f>
        <v>0</v>
      </c>
      <c r="I132" s="35"/>
      <c r="J132" s="38">
        <v>43</v>
      </c>
      <c r="K132" s="39">
        <f>資料儲存!D1664</f>
        <v>0</v>
      </c>
      <c r="L132" s="39">
        <f>資料儲存!E1664</f>
        <v>0</v>
      </c>
      <c r="M132" s="39">
        <f>資料儲存!F1664</f>
        <v>0</v>
      </c>
      <c r="N132" s="39">
        <f>資料儲存!G1664</f>
        <v>0</v>
      </c>
      <c r="O132" s="39">
        <f>資料儲存!H1664</f>
        <v>0</v>
      </c>
      <c r="P132" s="39">
        <f>資料儲存!I1664</f>
        <v>0</v>
      </c>
      <c r="Q132" s="39">
        <f>資料儲存!J1664</f>
        <v>0</v>
      </c>
      <c r="R132" s="35"/>
      <c r="S132" s="38">
        <v>43</v>
      </c>
      <c r="T132" s="39">
        <f>資料儲存!D1784</f>
        <v>0</v>
      </c>
      <c r="U132" s="39">
        <f>資料儲存!E1784</f>
        <v>0</v>
      </c>
      <c r="V132" s="39">
        <f>資料儲存!F1784</f>
        <v>0</v>
      </c>
      <c r="W132" s="39">
        <f>資料儲存!G1784</f>
        <v>0</v>
      </c>
      <c r="X132" s="39">
        <f>資料儲存!H1784</f>
        <v>0</v>
      </c>
      <c r="Y132" s="39">
        <f>資料儲存!I1784</f>
        <v>0</v>
      </c>
      <c r="Z132" s="39">
        <f>資料儲存!J1784</f>
        <v>0</v>
      </c>
      <c r="AA132" s="35"/>
      <c r="AB132" s="38">
        <v>43</v>
      </c>
      <c r="AC132" s="39">
        <f>資料儲存!D1904</f>
        <v>0</v>
      </c>
      <c r="AD132" s="39">
        <f>資料儲存!E1904</f>
        <v>0</v>
      </c>
      <c r="AE132" s="39">
        <f>資料儲存!F1904</f>
        <v>0</v>
      </c>
      <c r="AF132" s="39">
        <f>資料儲存!G1904</f>
        <v>0</v>
      </c>
      <c r="AG132" s="39">
        <f>資料儲存!H1904</f>
        <v>0</v>
      </c>
      <c r="AH132" s="39">
        <f>資料儲存!I1904</f>
        <v>0</v>
      </c>
      <c r="AI132" s="39">
        <f>資料儲存!J1904</f>
        <v>0</v>
      </c>
      <c r="AJ132" s="13"/>
      <c r="AK132" s="38">
        <v>43</v>
      </c>
      <c r="AL132" s="39">
        <f>資料儲存!D2024</f>
        <v>0</v>
      </c>
      <c r="AM132" s="39">
        <f>資料儲存!E2024</f>
        <v>0</v>
      </c>
      <c r="AN132" s="39">
        <f>資料儲存!F2024</f>
        <v>0</v>
      </c>
      <c r="AO132" s="39">
        <f>資料儲存!G2024</f>
        <v>0</v>
      </c>
      <c r="AP132" s="39">
        <f>資料儲存!H2024</f>
        <v>0</v>
      </c>
      <c r="AQ132" s="39">
        <f>資料儲存!I2024</f>
        <v>0</v>
      </c>
      <c r="AR132" s="39">
        <f>資料儲存!J2024</f>
        <v>0</v>
      </c>
      <c r="AT132" s="38">
        <v>43</v>
      </c>
      <c r="AU132" s="39">
        <f>資料儲存!D2144</f>
        <v>0</v>
      </c>
      <c r="AV132" s="39">
        <f>資料儲存!E2144</f>
        <v>0</v>
      </c>
      <c r="AW132" s="39">
        <f>資料儲存!F2144</f>
        <v>0</v>
      </c>
      <c r="AX132" s="39">
        <f>資料儲存!G2144</f>
        <v>0</v>
      </c>
      <c r="AY132" s="39">
        <f>資料儲存!H2144</f>
        <v>0</v>
      </c>
      <c r="AZ132" s="39">
        <f>資料儲存!I2144</f>
        <v>0</v>
      </c>
      <c r="BA132" s="39">
        <f>資料儲存!J2144</f>
        <v>0</v>
      </c>
    </row>
    <row r="133" spans="1:53" ht="16" thickBot="1">
      <c r="A133" s="38">
        <v>44</v>
      </c>
      <c r="B133" s="39">
        <f>資料儲存!D1545</f>
        <v>0</v>
      </c>
      <c r="C133" s="39">
        <f>資料儲存!E1545</f>
        <v>0</v>
      </c>
      <c r="D133" s="39">
        <f>資料儲存!F1545</f>
        <v>0</v>
      </c>
      <c r="E133" s="39">
        <f>資料儲存!G1545</f>
        <v>0</v>
      </c>
      <c r="F133" s="39">
        <f>資料儲存!H1545</f>
        <v>0</v>
      </c>
      <c r="G133" s="39">
        <f>資料儲存!I1545</f>
        <v>0</v>
      </c>
      <c r="H133" s="39">
        <f>資料儲存!J1545</f>
        <v>0</v>
      </c>
      <c r="I133" s="35"/>
      <c r="J133" s="38">
        <v>44</v>
      </c>
      <c r="K133" s="39">
        <f>資料儲存!D1665</f>
        <v>0</v>
      </c>
      <c r="L133" s="39">
        <f>資料儲存!E1665</f>
        <v>0</v>
      </c>
      <c r="M133" s="39">
        <f>資料儲存!F1665</f>
        <v>0</v>
      </c>
      <c r="N133" s="39">
        <f>資料儲存!G1665</f>
        <v>0</v>
      </c>
      <c r="O133" s="39">
        <f>資料儲存!H1665</f>
        <v>0</v>
      </c>
      <c r="P133" s="39">
        <f>資料儲存!I1665</f>
        <v>0</v>
      </c>
      <c r="Q133" s="39">
        <f>資料儲存!J1665</f>
        <v>0</v>
      </c>
      <c r="R133" s="35"/>
      <c r="S133" s="38">
        <v>44</v>
      </c>
      <c r="T133" s="39">
        <f>資料儲存!D1785</f>
        <v>0</v>
      </c>
      <c r="U133" s="39">
        <f>資料儲存!E1785</f>
        <v>0</v>
      </c>
      <c r="V133" s="39">
        <f>資料儲存!F1785</f>
        <v>0</v>
      </c>
      <c r="W133" s="39">
        <f>資料儲存!G1785</f>
        <v>0</v>
      </c>
      <c r="X133" s="39">
        <f>資料儲存!H1785</f>
        <v>0</v>
      </c>
      <c r="Y133" s="39">
        <f>資料儲存!I1785</f>
        <v>0</v>
      </c>
      <c r="Z133" s="39">
        <f>資料儲存!J1785</f>
        <v>0</v>
      </c>
      <c r="AA133" s="35"/>
      <c r="AB133" s="38">
        <v>44</v>
      </c>
      <c r="AC133" s="39">
        <f>資料儲存!D1905</f>
        <v>0</v>
      </c>
      <c r="AD133" s="39">
        <f>資料儲存!E1905</f>
        <v>0</v>
      </c>
      <c r="AE133" s="39">
        <f>資料儲存!F1905</f>
        <v>0</v>
      </c>
      <c r="AF133" s="39">
        <f>資料儲存!G1905</f>
        <v>0</v>
      </c>
      <c r="AG133" s="39">
        <f>資料儲存!H1905</f>
        <v>0</v>
      </c>
      <c r="AH133" s="39">
        <f>資料儲存!I1905</f>
        <v>0</v>
      </c>
      <c r="AI133" s="39">
        <f>資料儲存!J1905</f>
        <v>0</v>
      </c>
      <c r="AJ133" s="13"/>
      <c r="AK133" s="38">
        <v>44</v>
      </c>
      <c r="AL133" s="39">
        <f>資料儲存!D2025</f>
        <v>0</v>
      </c>
      <c r="AM133" s="39">
        <f>資料儲存!E2025</f>
        <v>0</v>
      </c>
      <c r="AN133" s="39">
        <f>資料儲存!F2025</f>
        <v>0</v>
      </c>
      <c r="AO133" s="39">
        <f>資料儲存!G2025</f>
        <v>0</v>
      </c>
      <c r="AP133" s="39">
        <f>資料儲存!H2025</f>
        <v>0</v>
      </c>
      <c r="AQ133" s="39">
        <f>資料儲存!I2025</f>
        <v>0</v>
      </c>
      <c r="AR133" s="39">
        <f>資料儲存!J2025</f>
        <v>0</v>
      </c>
      <c r="AT133" s="38">
        <v>44</v>
      </c>
      <c r="AU133" s="39">
        <f>資料儲存!D2145</f>
        <v>0</v>
      </c>
      <c r="AV133" s="39">
        <f>資料儲存!E2145</f>
        <v>0</v>
      </c>
      <c r="AW133" s="39">
        <f>資料儲存!F2145</f>
        <v>0</v>
      </c>
      <c r="AX133" s="39">
        <f>資料儲存!G2145</f>
        <v>0</v>
      </c>
      <c r="AY133" s="39">
        <f>資料儲存!H2145</f>
        <v>0</v>
      </c>
      <c r="AZ133" s="39">
        <f>資料儲存!I2145</f>
        <v>0</v>
      </c>
      <c r="BA133" s="39">
        <f>資料儲存!J2145</f>
        <v>0</v>
      </c>
    </row>
    <row r="134" spans="1:53" ht="16" thickBot="1">
      <c r="A134" s="38">
        <v>45</v>
      </c>
      <c r="B134" s="39">
        <f>資料儲存!D1546</f>
        <v>0</v>
      </c>
      <c r="C134" s="39">
        <f>資料儲存!E1546</f>
        <v>0</v>
      </c>
      <c r="D134" s="39">
        <f>資料儲存!F1546</f>
        <v>0</v>
      </c>
      <c r="E134" s="39">
        <f>資料儲存!G1546</f>
        <v>0</v>
      </c>
      <c r="F134" s="39">
        <f>資料儲存!H1546</f>
        <v>0</v>
      </c>
      <c r="G134" s="39">
        <f>資料儲存!I1546</f>
        <v>0</v>
      </c>
      <c r="H134" s="39">
        <f>資料儲存!J1546</f>
        <v>0</v>
      </c>
      <c r="I134" s="35"/>
      <c r="J134" s="38">
        <v>45</v>
      </c>
      <c r="K134" s="39">
        <f>資料儲存!D1666</f>
        <v>0</v>
      </c>
      <c r="L134" s="39">
        <f>資料儲存!E1666</f>
        <v>0</v>
      </c>
      <c r="M134" s="39">
        <f>資料儲存!F1666</f>
        <v>0</v>
      </c>
      <c r="N134" s="39">
        <f>資料儲存!G1666</f>
        <v>0</v>
      </c>
      <c r="O134" s="39">
        <f>資料儲存!H1666</f>
        <v>0</v>
      </c>
      <c r="P134" s="39">
        <f>資料儲存!I1666</f>
        <v>0</v>
      </c>
      <c r="Q134" s="39">
        <f>資料儲存!J1666</f>
        <v>0</v>
      </c>
      <c r="R134" s="35"/>
      <c r="S134" s="38">
        <v>45</v>
      </c>
      <c r="T134" s="39">
        <f>資料儲存!D1786</f>
        <v>0</v>
      </c>
      <c r="U134" s="39">
        <f>資料儲存!E1786</f>
        <v>0</v>
      </c>
      <c r="V134" s="39">
        <f>資料儲存!F1786</f>
        <v>0</v>
      </c>
      <c r="W134" s="39">
        <f>資料儲存!G1786</f>
        <v>0</v>
      </c>
      <c r="X134" s="39">
        <f>資料儲存!H1786</f>
        <v>0</v>
      </c>
      <c r="Y134" s="39">
        <f>資料儲存!I1786</f>
        <v>0</v>
      </c>
      <c r="Z134" s="39">
        <f>資料儲存!J1786</f>
        <v>0</v>
      </c>
      <c r="AA134" s="35"/>
      <c r="AB134" s="38">
        <v>45</v>
      </c>
      <c r="AC134" s="39">
        <f>資料儲存!D1906</f>
        <v>0</v>
      </c>
      <c r="AD134" s="39">
        <f>資料儲存!E1906</f>
        <v>0</v>
      </c>
      <c r="AE134" s="39">
        <f>資料儲存!F1906</f>
        <v>0</v>
      </c>
      <c r="AF134" s="39">
        <f>資料儲存!G1906</f>
        <v>0</v>
      </c>
      <c r="AG134" s="39">
        <f>資料儲存!H1906</f>
        <v>0</v>
      </c>
      <c r="AH134" s="39">
        <f>資料儲存!I1906</f>
        <v>0</v>
      </c>
      <c r="AI134" s="39">
        <f>資料儲存!J1906</f>
        <v>0</v>
      </c>
      <c r="AJ134" s="13"/>
      <c r="AK134" s="38">
        <v>45</v>
      </c>
      <c r="AL134" s="39">
        <f>資料儲存!D2026</f>
        <v>0</v>
      </c>
      <c r="AM134" s="39">
        <f>資料儲存!E2026</f>
        <v>0</v>
      </c>
      <c r="AN134" s="39">
        <f>資料儲存!F2026</f>
        <v>0</v>
      </c>
      <c r="AO134" s="39">
        <f>資料儲存!G2026</f>
        <v>0</v>
      </c>
      <c r="AP134" s="39">
        <f>資料儲存!H2026</f>
        <v>0</v>
      </c>
      <c r="AQ134" s="39">
        <f>資料儲存!I2026</f>
        <v>0</v>
      </c>
      <c r="AR134" s="39">
        <f>資料儲存!J2026</f>
        <v>0</v>
      </c>
      <c r="AT134" s="38">
        <v>45</v>
      </c>
      <c r="AU134" s="39">
        <f>資料儲存!D2146</f>
        <v>0</v>
      </c>
      <c r="AV134" s="39">
        <f>資料儲存!E2146</f>
        <v>0</v>
      </c>
      <c r="AW134" s="39">
        <f>資料儲存!F2146</f>
        <v>0</v>
      </c>
      <c r="AX134" s="39">
        <f>資料儲存!G2146</f>
        <v>0</v>
      </c>
      <c r="AY134" s="39">
        <f>資料儲存!H2146</f>
        <v>0</v>
      </c>
      <c r="AZ134" s="39">
        <f>資料儲存!I2146</f>
        <v>0</v>
      </c>
      <c r="BA134" s="39">
        <f>資料儲存!J2146</f>
        <v>0</v>
      </c>
    </row>
    <row r="135" spans="1:53" ht="17.25" customHeight="1" thickBot="1">
      <c r="A135" s="40" t="s">
        <v>56</v>
      </c>
      <c r="B135" s="39">
        <f>SUM(B120:E134)</f>
        <v>0</v>
      </c>
      <c r="C135" s="37"/>
      <c r="D135" s="37"/>
      <c r="E135" s="37"/>
      <c r="F135" s="39">
        <f>F134</f>
        <v>0</v>
      </c>
      <c r="G135" s="39">
        <f>G134</f>
        <v>0</v>
      </c>
      <c r="H135" s="39">
        <f>H134</f>
        <v>0</v>
      </c>
      <c r="I135" s="35"/>
      <c r="J135" s="40" t="s">
        <v>56</v>
      </c>
      <c r="K135" s="39">
        <f>SUM(K120:N134)</f>
        <v>0</v>
      </c>
      <c r="L135" s="37"/>
      <c r="M135" s="37"/>
      <c r="N135" s="37"/>
      <c r="O135" s="39">
        <f>O134</f>
        <v>0</v>
      </c>
      <c r="P135" s="39">
        <f>P134</f>
        <v>0</v>
      </c>
      <c r="Q135" s="39">
        <f>Q134</f>
        <v>0</v>
      </c>
      <c r="R135" s="35"/>
      <c r="S135" s="40" t="s">
        <v>56</v>
      </c>
      <c r="T135" s="39">
        <f>SUM(T120:W134)</f>
        <v>0</v>
      </c>
      <c r="U135" s="37"/>
      <c r="V135" s="37"/>
      <c r="W135" s="37"/>
      <c r="X135" s="39">
        <f>X134</f>
        <v>0</v>
      </c>
      <c r="Y135" s="39">
        <f>Y134</f>
        <v>0</v>
      </c>
      <c r="Z135" s="39">
        <f>Z134</f>
        <v>0</v>
      </c>
      <c r="AA135" s="35"/>
      <c r="AB135" s="40" t="s">
        <v>56</v>
      </c>
      <c r="AC135" s="39">
        <f>SUM(AC120:AF134)</f>
        <v>0</v>
      </c>
      <c r="AD135" s="37"/>
      <c r="AE135" s="37"/>
      <c r="AF135" s="37"/>
      <c r="AG135" s="39">
        <f>AG134</f>
        <v>0</v>
      </c>
      <c r="AH135" s="39">
        <f>AH134</f>
        <v>0</v>
      </c>
      <c r="AI135" s="39">
        <f>AI134</f>
        <v>0</v>
      </c>
      <c r="AJ135" s="13"/>
      <c r="AK135" s="40" t="s">
        <v>56</v>
      </c>
      <c r="AL135" s="39">
        <f>SUM(AL120:AO134)</f>
        <v>0</v>
      </c>
      <c r="AM135" s="37"/>
      <c r="AN135" s="37"/>
      <c r="AO135" s="37"/>
      <c r="AP135" s="39">
        <f>AP134</f>
        <v>0</v>
      </c>
      <c r="AQ135" s="39">
        <f>AQ134</f>
        <v>0</v>
      </c>
      <c r="AR135" s="39">
        <f>AR134</f>
        <v>0</v>
      </c>
      <c r="AT135" s="40" t="s">
        <v>56</v>
      </c>
      <c r="AU135" s="39">
        <f>SUM(AU120:AX134)</f>
        <v>0</v>
      </c>
      <c r="AV135" s="37"/>
      <c r="AW135" s="37"/>
      <c r="AX135" s="37"/>
      <c r="AY135" s="39">
        <f>AY134</f>
        <v>0</v>
      </c>
      <c r="AZ135" s="39">
        <f>AZ134</f>
        <v>0</v>
      </c>
      <c r="BA135" s="39">
        <f>BA134</f>
        <v>0</v>
      </c>
    </row>
    <row r="136" spans="1:53" ht="18.5" thickBot="1">
      <c r="A136" s="248" t="s">
        <v>98</v>
      </c>
      <c r="B136" s="249"/>
      <c r="C136" s="249"/>
      <c r="D136" s="249"/>
      <c r="E136" s="249"/>
      <c r="F136" s="249"/>
      <c r="G136" s="249"/>
      <c r="H136" s="250"/>
      <c r="I136" s="13"/>
      <c r="J136" s="248" t="s">
        <v>98</v>
      </c>
      <c r="K136" s="249"/>
      <c r="L136" s="249"/>
      <c r="M136" s="249"/>
      <c r="N136" s="249"/>
      <c r="O136" s="249"/>
      <c r="P136" s="249"/>
      <c r="Q136" s="250"/>
      <c r="R136" s="13"/>
      <c r="S136" s="248" t="s">
        <v>98</v>
      </c>
      <c r="T136" s="249"/>
      <c r="U136" s="249"/>
      <c r="V136" s="249"/>
      <c r="W136" s="249"/>
      <c r="X136" s="249"/>
      <c r="Y136" s="249"/>
      <c r="Z136" s="250"/>
      <c r="AA136" s="13"/>
      <c r="AB136" s="248" t="s">
        <v>98</v>
      </c>
      <c r="AC136" s="249"/>
      <c r="AD136" s="249"/>
      <c r="AE136" s="249"/>
      <c r="AF136" s="249"/>
      <c r="AG136" s="249"/>
      <c r="AH136" s="249"/>
      <c r="AI136" s="250"/>
      <c r="AJ136" s="13"/>
      <c r="AK136" s="248" t="s">
        <v>98</v>
      </c>
      <c r="AL136" s="249"/>
      <c r="AM136" s="249"/>
      <c r="AN136" s="249"/>
      <c r="AO136" s="249"/>
      <c r="AP136" s="249"/>
      <c r="AQ136" s="249"/>
      <c r="AR136" s="250"/>
      <c r="AT136" s="248" t="s">
        <v>98</v>
      </c>
      <c r="AU136" s="249"/>
      <c r="AV136" s="249"/>
      <c r="AW136" s="249"/>
      <c r="AX136" s="249"/>
      <c r="AY136" s="249"/>
      <c r="AZ136" s="249"/>
      <c r="BA136" s="250"/>
    </row>
    <row r="137" spans="1:53" ht="17.25" customHeight="1" thickBot="1">
      <c r="A137" s="41" t="s">
        <v>2</v>
      </c>
      <c r="B137" s="42" t="s">
        <v>46</v>
      </c>
      <c r="C137" s="43"/>
      <c r="D137" s="43"/>
      <c r="E137" s="44"/>
      <c r="F137" s="42" t="s">
        <v>47</v>
      </c>
      <c r="G137" s="43"/>
      <c r="H137" s="44"/>
      <c r="I137" s="45"/>
      <c r="J137" s="41" t="s">
        <v>2</v>
      </c>
      <c r="K137" s="42" t="s">
        <v>46</v>
      </c>
      <c r="L137" s="43"/>
      <c r="M137" s="43"/>
      <c r="N137" s="44"/>
      <c r="O137" s="42" t="s">
        <v>47</v>
      </c>
      <c r="P137" s="43"/>
      <c r="Q137" s="44"/>
      <c r="R137" s="45"/>
      <c r="S137" s="41" t="s">
        <v>2</v>
      </c>
      <c r="T137" s="42" t="s">
        <v>46</v>
      </c>
      <c r="U137" s="43"/>
      <c r="V137" s="43"/>
      <c r="W137" s="44"/>
      <c r="X137" s="42" t="s">
        <v>47</v>
      </c>
      <c r="Y137" s="43"/>
      <c r="Z137" s="44"/>
      <c r="AA137" s="45"/>
      <c r="AB137" s="41" t="s">
        <v>2</v>
      </c>
      <c r="AC137" s="42" t="s">
        <v>46</v>
      </c>
      <c r="AD137" s="43"/>
      <c r="AE137" s="43"/>
      <c r="AF137" s="44"/>
      <c r="AG137" s="42" t="s">
        <v>47</v>
      </c>
      <c r="AH137" s="43"/>
      <c r="AI137" s="44"/>
      <c r="AJ137" s="13"/>
      <c r="AK137" s="41" t="s">
        <v>2</v>
      </c>
      <c r="AL137" s="42" t="s">
        <v>46</v>
      </c>
      <c r="AM137" s="43"/>
      <c r="AN137" s="43"/>
      <c r="AO137" s="44"/>
      <c r="AP137" s="42" t="s">
        <v>47</v>
      </c>
      <c r="AQ137" s="43"/>
      <c r="AR137" s="44"/>
      <c r="AT137" s="41" t="s">
        <v>2</v>
      </c>
      <c r="AU137" s="42" t="s">
        <v>46</v>
      </c>
      <c r="AV137" s="43"/>
      <c r="AW137" s="43"/>
      <c r="AX137" s="44"/>
      <c r="AY137" s="42" t="s">
        <v>47</v>
      </c>
      <c r="AZ137" s="43"/>
      <c r="BA137" s="44"/>
    </row>
    <row r="138" spans="1:53" ht="16" thickBot="1">
      <c r="A138" s="46">
        <v>0.53125</v>
      </c>
      <c r="B138" s="47" t="s">
        <v>49</v>
      </c>
      <c r="C138" s="47" t="s">
        <v>50</v>
      </c>
      <c r="D138" s="47" t="s">
        <v>51</v>
      </c>
      <c r="E138" s="47" t="s">
        <v>52</v>
      </c>
      <c r="F138" s="47" t="s">
        <v>53</v>
      </c>
      <c r="G138" s="47" t="s">
        <v>54</v>
      </c>
      <c r="H138" s="47" t="s">
        <v>55</v>
      </c>
      <c r="I138" s="45"/>
      <c r="J138" s="46">
        <v>0.53125</v>
      </c>
      <c r="K138" s="47" t="s">
        <v>49</v>
      </c>
      <c r="L138" s="47" t="s">
        <v>50</v>
      </c>
      <c r="M138" s="47" t="s">
        <v>51</v>
      </c>
      <c r="N138" s="47" t="s">
        <v>52</v>
      </c>
      <c r="O138" s="47" t="s">
        <v>53</v>
      </c>
      <c r="P138" s="47" t="s">
        <v>54</v>
      </c>
      <c r="Q138" s="47" t="s">
        <v>55</v>
      </c>
      <c r="R138" s="45"/>
      <c r="S138" s="46">
        <v>0.53125</v>
      </c>
      <c r="T138" s="47" t="s">
        <v>49</v>
      </c>
      <c r="U138" s="47" t="s">
        <v>50</v>
      </c>
      <c r="V138" s="47" t="s">
        <v>51</v>
      </c>
      <c r="W138" s="47" t="s">
        <v>52</v>
      </c>
      <c r="X138" s="47" t="s">
        <v>53</v>
      </c>
      <c r="Y138" s="47" t="s">
        <v>54</v>
      </c>
      <c r="Z138" s="47" t="s">
        <v>55</v>
      </c>
      <c r="AA138" s="45"/>
      <c r="AB138" s="46">
        <v>0.53125</v>
      </c>
      <c r="AC138" s="47" t="s">
        <v>49</v>
      </c>
      <c r="AD138" s="47" t="s">
        <v>50</v>
      </c>
      <c r="AE138" s="47" t="s">
        <v>51</v>
      </c>
      <c r="AF138" s="47" t="s">
        <v>52</v>
      </c>
      <c r="AG138" s="47" t="s">
        <v>53</v>
      </c>
      <c r="AH138" s="47" t="s">
        <v>54</v>
      </c>
      <c r="AI138" s="47" t="s">
        <v>55</v>
      </c>
      <c r="AJ138" s="13"/>
      <c r="AK138" s="46">
        <v>0.53125</v>
      </c>
      <c r="AL138" s="47" t="s">
        <v>49</v>
      </c>
      <c r="AM138" s="47" t="s">
        <v>50</v>
      </c>
      <c r="AN138" s="47" t="s">
        <v>51</v>
      </c>
      <c r="AO138" s="47" t="s">
        <v>52</v>
      </c>
      <c r="AP138" s="47" t="s">
        <v>53</v>
      </c>
      <c r="AQ138" s="47" t="s">
        <v>54</v>
      </c>
      <c r="AR138" s="47" t="s">
        <v>55</v>
      </c>
      <c r="AT138" s="46">
        <v>0.53125</v>
      </c>
      <c r="AU138" s="47" t="s">
        <v>49</v>
      </c>
      <c r="AV138" s="47" t="s">
        <v>50</v>
      </c>
      <c r="AW138" s="47" t="s">
        <v>51</v>
      </c>
      <c r="AX138" s="47" t="s">
        <v>52</v>
      </c>
      <c r="AY138" s="47" t="s">
        <v>53</v>
      </c>
      <c r="AZ138" s="47" t="s">
        <v>54</v>
      </c>
      <c r="BA138" s="47" t="s">
        <v>55</v>
      </c>
    </row>
    <row r="139" spans="1:53" ht="16" thickBot="1">
      <c r="A139" s="48">
        <v>46</v>
      </c>
      <c r="B139" s="49">
        <f>資料儲存!D1547</f>
        <v>0</v>
      </c>
      <c r="C139" s="49">
        <f>資料儲存!E1547</f>
        <v>0</v>
      </c>
      <c r="D139" s="49">
        <f>資料儲存!F1547</f>
        <v>0</v>
      </c>
      <c r="E139" s="49">
        <f>資料儲存!G1547</f>
        <v>0</v>
      </c>
      <c r="F139" s="49">
        <f>資料儲存!H1547</f>
        <v>0</v>
      </c>
      <c r="G139" s="49">
        <f>資料儲存!I1547</f>
        <v>0</v>
      </c>
      <c r="H139" s="49">
        <f>資料儲存!J1547</f>
        <v>0</v>
      </c>
      <c r="I139" s="45"/>
      <c r="J139" s="48">
        <v>46</v>
      </c>
      <c r="K139" s="49">
        <f>資料儲存!D1667</f>
        <v>0</v>
      </c>
      <c r="L139" s="49">
        <f>資料儲存!E1667</f>
        <v>0</v>
      </c>
      <c r="M139" s="49">
        <f>資料儲存!F1667</f>
        <v>0</v>
      </c>
      <c r="N139" s="49">
        <f>資料儲存!G1667</f>
        <v>0</v>
      </c>
      <c r="O139" s="49">
        <f>資料儲存!H1667</f>
        <v>0</v>
      </c>
      <c r="P139" s="49">
        <f>資料儲存!I1667</f>
        <v>0</v>
      </c>
      <c r="Q139" s="49">
        <f>資料儲存!J1667</f>
        <v>0</v>
      </c>
      <c r="R139" s="45"/>
      <c r="S139" s="48">
        <v>46</v>
      </c>
      <c r="T139" s="49">
        <f>資料儲存!D1787</f>
        <v>0</v>
      </c>
      <c r="U139" s="49">
        <f>資料儲存!E1787</f>
        <v>0</v>
      </c>
      <c r="V139" s="49">
        <f>資料儲存!F1787</f>
        <v>0</v>
      </c>
      <c r="W139" s="49">
        <f>資料儲存!G1787</f>
        <v>0</v>
      </c>
      <c r="X139" s="49">
        <f>資料儲存!H1787</f>
        <v>0</v>
      </c>
      <c r="Y139" s="49">
        <f>資料儲存!I1787</f>
        <v>0</v>
      </c>
      <c r="Z139" s="49">
        <f>資料儲存!J1787</f>
        <v>0</v>
      </c>
      <c r="AA139" s="45"/>
      <c r="AB139" s="48">
        <v>46</v>
      </c>
      <c r="AC139" s="49">
        <f>資料儲存!D1907</f>
        <v>0</v>
      </c>
      <c r="AD139" s="49">
        <f>資料儲存!E1907</f>
        <v>0</v>
      </c>
      <c r="AE139" s="49">
        <f>資料儲存!F1907</f>
        <v>0</v>
      </c>
      <c r="AF139" s="49">
        <f>資料儲存!G1907</f>
        <v>0</v>
      </c>
      <c r="AG139" s="49">
        <f>資料儲存!H1907</f>
        <v>0</v>
      </c>
      <c r="AH139" s="49">
        <f>資料儲存!I1907</f>
        <v>0</v>
      </c>
      <c r="AI139" s="49">
        <f>資料儲存!J1907</f>
        <v>0</v>
      </c>
      <c r="AJ139" s="13"/>
      <c r="AK139" s="48">
        <v>46</v>
      </c>
      <c r="AL139" s="49">
        <f>資料儲存!D2027</f>
        <v>0</v>
      </c>
      <c r="AM139" s="49">
        <f>資料儲存!E2027</f>
        <v>0</v>
      </c>
      <c r="AN139" s="49">
        <f>資料儲存!F2027</f>
        <v>0</v>
      </c>
      <c r="AO139" s="49">
        <f>資料儲存!G2027</f>
        <v>0</v>
      </c>
      <c r="AP139" s="49">
        <f>資料儲存!H2027</f>
        <v>0</v>
      </c>
      <c r="AQ139" s="49">
        <f>資料儲存!I2027</f>
        <v>0</v>
      </c>
      <c r="AR139" s="49">
        <f>資料儲存!J2027</f>
        <v>0</v>
      </c>
      <c r="AT139" s="48">
        <v>46</v>
      </c>
      <c r="AU139" s="49">
        <f>資料儲存!D2147</f>
        <v>0</v>
      </c>
      <c r="AV139" s="49">
        <f>資料儲存!E2147</f>
        <v>0</v>
      </c>
      <c r="AW139" s="49">
        <f>資料儲存!F2147</f>
        <v>0</v>
      </c>
      <c r="AX139" s="49">
        <f>資料儲存!G2147</f>
        <v>0</v>
      </c>
      <c r="AY139" s="49">
        <f>資料儲存!H2147</f>
        <v>0</v>
      </c>
      <c r="AZ139" s="49">
        <f>資料儲存!I2147</f>
        <v>0</v>
      </c>
      <c r="BA139" s="49">
        <f>資料儲存!J2147</f>
        <v>0</v>
      </c>
    </row>
    <row r="140" spans="1:53" ht="16" thickBot="1">
      <c r="A140" s="48">
        <v>47</v>
      </c>
      <c r="B140" s="49">
        <f>資料儲存!D1548</f>
        <v>0</v>
      </c>
      <c r="C140" s="49">
        <f>資料儲存!E1548</f>
        <v>0</v>
      </c>
      <c r="D140" s="49">
        <f>資料儲存!F1548</f>
        <v>0</v>
      </c>
      <c r="E140" s="49">
        <f>資料儲存!G1548</f>
        <v>0</v>
      </c>
      <c r="F140" s="49">
        <f>資料儲存!H1548</f>
        <v>0</v>
      </c>
      <c r="G140" s="49">
        <f>資料儲存!I1548</f>
        <v>0</v>
      </c>
      <c r="H140" s="49">
        <f>資料儲存!J1548</f>
        <v>0</v>
      </c>
      <c r="I140" s="45"/>
      <c r="J140" s="48">
        <v>47</v>
      </c>
      <c r="K140" s="49">
        <f>資料儲存!D1668</f>
        <v>0</v>
      </c>
      <c r="L140" s="49">
        <f>資料儲存!E1668</f>
        <v>0</v>
      </c>
      <c r="M140" s="49">
        <f>資料儲存!F1668</f>
        <v>0</v>
      </c>
      <c r="N140" s="49">
        <f>資料儲存!G1668</f>
        <v>0</v>
      </c>
      <c r="O140" s="49">
        <f>資料儲存!H1668</f>
        <v>0</v>
      </c>
      <c r="P140" s="49">
        <f>資料儲存!I1668</f>
        <v>0</v>
      </c>
      <c r="Q140" s="49">
        <f>資料儲存!J1668</f>
        <v>0</v>
      </c>
      <c r="R140" s="45"/>
      <c r="S140" s="48">
        <v>47</v>
      </c>
      <c r="T140" s="49">
        <f>資料儲存!D1788</f>
        <v>0</v>
      </c>
      <c r="U140" s="49">
        <f>資料儲存!E1788</f>
        <v>0</v>
      </c>
      <c r="V140" s="49">
        <f>資料儲存!F1788</f>
        <v>0</v>
      </c>
      <c r="W140" s="49">
        <f>資料儲存!G1788</f>
        <v>0</v>
      </c>
      <c r="X140" s="49">
        <f>資料儲存!H1788</f>
        <v>0</v>
      </c>
      <c r="Y140" s="49">
        <f>資料儲存!I1788</f>
        <v>0</v>
      </c>
      <c r="Z140" s="49">
        <f>資料儲存!J1788</f>
        <v>0</v>
      </c>
      <c r="AA140" s="45"/>
      <c r="AB140" s="48">
        <v>47</v>
      </c>
      <c r="AC140" s="49">
        <f>資料儲存!D1908</f>
        <v>0</v>
      </c>
      <c r="AD140" s="49">
        <f>資料儲存!E1908</f>
        <v>0</v>
      </c>
      <c r="AE140" s="49">
        <f>資料儲存!F1908</f>
        <v>0</v>
      </c>
      <c r="AF140" s="49">
        <f>資料儲存!G1908</f>
        <v>0</v>
      </c>
      <c r="AG140" s="49">
        <f>資料儲存!H1908</f>
        <v>0</v>
      </c>
      <c r="AH140" s="49">
        <f>資料儲存!I1908</f>
        <v>0</v>
      </c>
      <c r="AI140" s="49">
        <f>資料儲存!J1908</f>
        <v>0</v>
      </c>
      <c r="AJ140" s="13"/>
      <c r="AK140" s="48">
        <v>47</v>
      </c>
      <c r="AL140" s="49">
        <f>資料儲存!D2028</f>
        <v>0</v>
      </c>
      <c r="AM140" s="49">
        <f>資料儲存!E2028</f>
        <v>0</v>
      </c>
      <c r="AN140" s="49">
        <f>資料儲存!F2028</f>
        <v>0</v>
      </c>
      <c r="AO140" s="49">
        <f>資料儲存!G2028</f>
        <v>0</v>
      </c>
      <c r="AP140" s="49">
        <f>資料儲存!H2028</f>
        <v>0</v>
      </c>
      <c r="AQ140" s="49">
        <f>資料儲存!I2028</f>
        <v>0</v>
      </c>
      <c r="AR140" s="49">
        <f>資料儲存!J2028</f>
        <v>0</v>
      </c>
      <c r="AT140" s="48">
        <v>47</v>
      </c>
      <c r="AU140" s="49">
        <f>資料儲存!D2148</f>
        <v>0</v>
      </c>
      <c r="AV140" s="49">
        <f>資料儲存!E2148</f>
        <v>0</v>
      </c>
      <c r="AW140" s="49">
        <f>資料儲存!F2148</f>
        <v>0</v>
      </c>
      <c r="AX140" s="49">
        <f>資料儲存!G2148</f>
        <v>0</v>
      </c>
      <c r="AY140" s="49">
        <f>資料儲存!H2148</f>
        <v>0</v>
      </c>
      <c r="AZ140" s="49">
        <f>資料儲存!I2148</f>
        <v>0</v>
      </c>
      <c r="BA140" s="49">
        <f>資料儲存!J2148</f>
        <v>0</v>
      </c>
    </row>
    <row r="141" spans="1:53" ht="16" thickBot="1">
      <c r="A141" s="48">
        <v>48</v>
      </c>
      <c r="B141" s="49">
        <f>資料儲存!D1549</f>
        <v>0</v>
      </c>
      <c r="C141" s="49">
        <f>資料儲存!E1549</f>
        <v>0</v>
      </c>
      <c r="D141" s="49">
        <f>資料儲存!F1549</f>
        <v>0</v>
      </c>
      <c r="E141" s="49">
        <f>資料儲存!G1549</f>
        <v>0</v>
      </c>
      <c r="F141" s="49">
        <f>資料儲存!H1549</f>
        <v>0</v>
      </c>
      <c r="G141" s="49">
        <f>資料儲存!I1549</f>
        <v>0</v>
      </c>
      <c r="H141" s="49">
        <f>資料儲存!J1549</f>
        <v>0</v>
      </c>
      <c r="I141" s="45"/>
      <c r="J141" s="48">
        <v>48</v>
      </c>
      <c r="K141" s="49">
        <f>資料儲存!D1669</f>
        <v>0</v>
      </c>
      <c r="L141" s="49">
        <f>資料儲存!E1669</f>
        <v>0</v>
      </c>
      <c r="M141" s="49">
        <f>資料儲存!F1669</f>
        <v>0</v>
      </c>
      <c r="N141" s="49">
        <f>資料儲存!G1669</f>
        <v>0</v>
      </c>
      <c r="O141" s="49">
        <f>資料儲存!H1669</f>
        <v>0</v>
      </c>
      <c r="P141" s="49">
        <f>資料儲存!I1669</f>
        <v>0</v>
      </c>
      <c r="Q141" s="49">
        <f>資料儲存!J1669</f>
        <v>0</v>
      </c>
      <c r="R141" s="45"/>
      <c r="S141" s="48">
        <v>48</v>
      </c>
      <c r="T141" s="49">
        <f>資料儲存!D1789</f>
        <v>0</v>
      </c>
      <c r="U141" s="49">
        <f>資料儲存!E1789</f>
        <v>0</v>
      </c>
      <c r="V141" s="49">
        <f>資料儲存!F1789</f>
        <v>0</v>
      </c>
      <c r="W141" s="49">
        <f>資料儲存!G1789</f>
        <v>0</v>
      </c>
      <c r="X141" s="49">
        <f>資料儲存!H1789</f>
        <v>0</v>
      </c>
      <c r="Y141" s="49">
        <f>資料儲存!I1789</f>
        <v>0</v>
      </c>
      <c r="Z141" s="49">
        <f>資料儲存!J1789</f>
        <v>0</v>
      </c>
      <c r="AA141" s="45"/>
      <c r="AB141" s="48">
        <v>48</v>
      </c>
      <c r="AC141" s="49">
        <f>資料儲存!D1909</f>
        <v>0</v>
      </c>
      <c r="AD141" s="49">
        <f>資料儲存!E1909</f>
        <v>0</v>
      </c>
      <c r="AE141" s="49">
        <f>資料儲存!F1909</f>
        <v>0</v>
      </c>
      <c r="AF141" s="49">
        <f>資料儲存!G1909</f>
        <v>0</v>
      </c>
      <c r="AG141" s="49">
        <f>資料儲存!H1909</f>
        <v>0</v>
      </c>
      <c r="AH141" s="49">
        <f>資料儲存!I1909</f>
        <v>0</v>
      </c>
      <c r="AI141" s="49">
        <f>資料儲存!J1909</f>
        <v>0</v>
      </c>
      <c r="AJ141" s="13"/>
      <c r="AK141" s="48">
        <v>48</v>
      </c>
      <c r="AL141" s="49">
        <f>資料儲存!D2029</f>
        <v>0</v>
      </c>
      <c r="AM141" s="49">
        <f>資料儲存!E2029</f>
        <v>0</v>
      </c>
      <c r="AN141" s="49">
        <f>資料儲存!F2029</f>
        <v>0</v>
      </c>
      <c r="AO141" s="49">
        <f>資料儲存!G2029</f>
        <v>0</v>
      </c>
      <c r="AP141" s="49">
        <f>資料儲存!H2029</f>
        <v>0</v>
      </c>
      <c r="AQ141" s="49">
        <f>資料儲存!I2029</f>
        <v>0</v>
      </c>
      <c r="AR141" s="49">
        <f>資料儲存!J2029</f>
        <v>0</v>
      </c>
      <c r="AT141" s="48">
        <v>48</v>
      </c>
      <c r="AU141" s="49">
        <f>資料儲存!D2149</f>
        <v>0</v>
      </c>
      <c r="AV141" s="49">
        <f>資料儲存!E2149</f>
        <v>0</v>
      </c>
      <c r="AW141" s="49">
        <f>資料儲存!F2149</f>
        <v>0</v>
      </c>
      <c r="AX141" s="49">
        <f>資料儲存!G2149</f>
        <v>0</v>
      </c>
      <c r="AY141" s="49">
        <f>資料儲存!H2149</f>
        <v>0</v>
      </c>
      <c r="AZ141" s="49">
        <f>資料儲存!I2149</f>
        <v>0</v>
      </c>
      <c r="BA141" s="49">
        <f>資料儲存!J2149</f>
        <v>0</v>
      </c>
    </row>
    <row r="142" spans="1:53" ht="16" thickBot="1">
      <c r="A142" s="48">
        <v>49</v>
      </c>
      <c r="B142" s="49">
        <f>資料儲存!D1550</f>
        <v>0</v>
      </c>
      <c r="C142" s="49">
        <f>資料儲存!E1550</f>
        <v>0</v>
      </c>
      <c r="D142" s="49">
        <f>資料儲存!F1550</f>
        <v>0</v>
      </c>
      <c r="E142" s="49">
        <f>資料儲存!G1550</f>
        <v>0</v>
      </c>
      <c r="F142" s="49">
        <f>資料儲存!H1550</f>
        <v>0</v>
      </c>
      <c r="G142" s="49">
        <f>資料儲存!I1550</f>
        <v>0</v>
      </c>
      <c r="H142" s="49">
        <f>資料儲存!J1550</f>
        <v>0</v>
      </c>
      <c r="I142" s="45"/>
      <c r="J142" s="48">
        <v>49</v>
      </c>
      <c r="K142" s="49">
        <f>資料儲存!D1670</f>
        <v>0</v>
      </c>
      <c r="L142" s="49">
        <f>資料儲存!E1670</f>
        <v>0</v>
      </c>
      <c r="M142" s="49">
        <f>資料儲存!F1670</f>
        <v>0</v>
      </c>
      <c r="N142" s="49">
        <f>資料儲存!G1670</f>
        <v>0</v>
      </c>
      <c r="O142" s="49">
        <f>資料儲存!H1670</f>
        <v>0</v>
      </c>
      <c r="P142" s="49">
        <f>資料儲存!I1670</f>
        <v>0</v>
      </c>
      <c r="Q142" s="49">
        <f>資料儲存!J1670</f>
        <v>0</v>
      </c>
      <c r="R142" s="45"/>
      <c r="S142" s="48">
        <v>49</v>
      </c>
      <c r="T142" s="49">
        <f>資料儲存!D1790</f>
        <v>0</v>
      </c>
      <c r="U142" s="49">
        <f>資料儲存!E1790</f>
        <v>0</v>
      </c>
      <c r="V142" s="49">
        <f>資料儲存!F1790</f>
        <v>0</v>
      </c>
      <c r="W142" s="49">
        <f>資料儲存!G1790</f>
        <v>0</v>
      </c>
      <c r="X142" s="49">
        <f>資料儲存!H1790</f>
        <v>0</v>
      </c>
      <c r="Y142" s="49">
        <f>資料儲存!I1790</f>
        <v>0</v>
      </c>
      <c r="Z142" s="49">
        <f>資料儲存!J1790</f>
        <v>0</v>
      </c>
      <c r="AA142" s="45"/>
      <c r="AB142" s="48">
        <v>49</v>
      </c>
      <c r="AC142" s="49">
        <f>資料儲存!D1910</f>
        <v>0</v>
      </c>
      <c r="AD142" s="49">
        <f>資料儲存!E1910</f>
        <v>0</v>
      </c>
      <c r="AE142" s="49">
        <f>資料儲存!F1910</f>
        <v>0</v>
      </c>
      <c r="AF142" s="49">
        <f>資料儲存!G1910</f>
        <v>0</v>
      </c>
      <c r="AG142" s="49">
        <f>資料儲存!H1910</f>
        <v>0</v>
      </c>
      <c r="AH142" s="49">
        <f>資料儲存!I1910</f>
        <v>0</v>
      </c>
      <c r="AI142" s="49">
        <f>資料儲存!J1910</f>
        <v>0</v>
      </c>
      <c r="AJ142" s="13"/>
      <c r="AK142" s="48">
        <v>49</v>
      </c>
      <c r="AL142" s="49">
        <f>資料儲存!D2030</f>
        <v>0</v>
      </c>
      <c r="AM142" s="49">
        <f>資料儲存!E2030</f>
        <v>0</v>
      </c>
      <c r="AN142" s="49">
        <f>資料儲存!F2030</f>
        <v>0</v>
      </c>
      <c r="AO142" s="49">
        <f>資料儲存!G2030</f>
        <v>0</v>
      </c>
      <c r="AP142" s="49">
        <f>資料儲存!H2030</f>
        <v>0</v>
      </c>
      <c r="AQ142" s="49">
        <f>資料儲存!I2030</f>
        <v>0</v>
      </c>
      <c r="AR142" s="49">
        <f>資料儲存!J2030</f>
        <v>0</v>
      </c>
      <c r="AT142" s="48">
        <v>49</v>
      </c>
      <c r="AU142" s="49">
        <f>資料儲存!D2150</f>
        <v>0</v>
      </c>
      <c r="AV142" s="49">
        <f>資料儲存!E2150</f>
        <v>0</v>
      </c>
      <c r="AW142" s="49">
        <f>資料儲存!F2150</f>
        <v>0</v>
      </c>
      <c r="AX142" s="49">
        <f>資料儲存!G2150</f>
        <v>0</v>
      </c>
      <c r="AY142" s="49">
        <f>資料儲存!H2150</f>
        <v>0</v>
      </c>
      <c r="AZ142" s="49">
        <f>資料儲存!I2150</f>
        <v>0</v>
      </c>
      <c r="BA142" s="49">
        <f>資料儲存!J2150</f>
        <v>0</v>
      </c>
    </row>
    <row r="143" spans="1:53" ht="16" thickBot="1">
      <c r="A143" s="48">
        <v>50</v>
      </c>
      <c r="B143" s="49">
        <f>資料儲存!D1551</f>
        <v>0</v>
      </c>
      <c r="C143" s="49">
        <f>資料儲存!E1551</f>
        <v>0</v>
      </c>
      <c r="D143" s="49">
        <f>資料儲存!F1551</f>
        <v>0</v>
      </c>
      <c r="E143" s="49">
        <f>資料儲存!G1551</f>
        <v>0</v>
      </c>
      <c r="F143" s="49">
        <f>資料儲存!H1551</f>
        <v>0</v>
      </c>
      <c r="G143" s="49">
        <f>資料儲存!I1551</f>
        <v>0</v>
      </c>
      <c r="H143" s="49">
        <f>資料儲存!J1551</f>
        <v>0</v>
      </c>
      <c r="I143" s="45"/>
      <c r="J143" s="48">
        <v>50</v>
      </c>
      <c r="K143" s="49">
        <f>資料儲存!D1671</f>
        <v>0</v>
      </c>
      <c r="L143" s="49">
        <f>資料儲存!E1671</f>
        <v>0</v>
      </c>
      <c r="M143" s="49">
        <f>資料儲存!F1671</f>
        <v>0</v>
      </c>
      <c r="N143" s="49">
        <f>資料儲存!G1671</f>
        <v>0</v>
      </c>
      <c r="O143" s="49">
        <f>資料儲存!H1671</f>
        <v>0</v>
      </c>
      <c r="P143" s="49">
        <f>資料儲存!I1671</f>
        <v>0</v>
      </c>
      <c r="Q143" s="49">
        <f>資料儲存!J1671</f>
        <v>0</v>
      </c>
      <c r="R143" s="45"/>
      <c r="S143" s="48">
        <v>50</v>
      </c>
      <c r="T143" s="49">
        <f>資料儲存!D1791</f>
        <v>0</v>
      </c>
      <c r="U143" s="49">
        <f>資料儲存!E1791</f>
        <v>0</v>
      </c>
      <c r="V143" s="49">
        <f>資料儲存!F1791</f>
        <v>0</v>
      </c>
      <c r="W143" s="49">
        <f>資料儲存!G1791</f>
        <v>0</v>
      </c>
      <c r="X143" s="49">
        <f>資料儲存!H1791</f>
        <v>0</v>
      </c>
      <c r="Y143" s="49">
        <f>資料儲存!I1791</f>
        <v>0</v>
      </c>
      <c r="Z143" s="49">
        <f>資料儲存!J1791</f>
        <v>0</v>
      </c>
      <c r="AA143" s="45"/>
      <c r="AB143" s="48">
        <v>50</v>
      </c>
      <c r="AC143" s="49">
        <f>資料儲存!D1911</f>
        <v>0</v>
      </c>
      <c r="AD143" s="49">
        <f>資料儲存!E1911</f>
        <v>0</v>
      </c>
      <c r="AE143" s="49">
        <f>資料儲存!F1911</f>
        <v>0</v>
      </c>
      <c r="AF143" s="49">
        <f>資料儲存!G1911</f>
        <v>0</v>
      </c>
      <c r="AG143" s="49">
        <f>資料儲存!H1911</f>
        <v>0</v>
      </c>
      <c r="AH143" s="49">
        <f>資料儲存!I1911</f>
        <v>0</v>
      </c>
      <c r="AI143" s="49">
        <f>資料儲存!J1911</f>
        <v>0</v>
      </c>
      <c r="AJ143" s="13"/>
      <c r="AK143" s="48">
        <v>50</v>
      </c>
      <c r="AL143" s="49">
        <f>資料儲存!D2031</f>
        <v>0</v>
      </c>
      <c r="AM143" s="49">
        <f>資料儲存!E2031</f>
        <v>0</v>
      </c>
      <c r="AN143" s="49">
        <f>資料儲存!F2031</f>
        <v>0</v>
      </c>
      <c r="AO143" s="49">
        <f>資料儲存!G2031</f>
        <v>0</v>
      </c>
      <c r="AP143" s="49">
        <f>資料儲存!H2031</f>
        <v>0</v>
      </c>
      <c r="AQ143" s="49">
        <f>資料儲存!I2031</f>
        <v>0</v>
      </c>
      <c r="AR143" s="49">
        <f>資料儲存!J2031</f>
        <v>0</v>
      </c>
      <c r="AT143" s="48">
        <v>50</v>
      </c>
      <c r="AU143" s="49">
        <f>資料儲存!D2151</f>
        <v>0</v>
      </c>
      <c r="AV143" s="49">
        <f>資料儲存!E2151</f>
        <v>0</v>
      </c>
      <c r="AW143" s="49">
        <f>資料儲存!F2151</f>
        <v>0</v>
      </c>
      <c r="AX143" s="49">
        <f>資料儲存!G2151</f>
        <v>0</v>
      </c>
      <c r="AY143" s="49">
        <f>資料儲存!H2151</f>
        <v>0</v>
      </c>
      <c r="AZ143" s="49">
        <f>資料儲存!I2151</f>
        <v>0</v>
      </c>
      <c r="BA143" s="49">
        <f>資料儲存!J2151</f>
        <v>0</v>
      </c>
    </row>
    <row r="144" spans="1:53" ht="16" thickBot="1">
      <c r="A144" s="48">
        <v>51</v>
      </c>
      <c r="B144" s="49">
        <f>資料儲存!D1552</f>
        <v>0</v>
      </c>
      <c r="C144" s="49">
        <f>資料儲存!E1552</f>
        <v>0</v>
      </c>
      <c r="D144" s="49">
        <f>資料儲存!F1552</f>
        <v>0</v>
      </c>
      <c r="E144" s="49">
        <f>資料儲存!G1552</f>
        <v>0</v>
      </c>
      <c r="F144" s="49">
        <f>資料儲存!H1552</f>
        <v>0</v>
      </c>
      <c r="G144" s="49">
        <f>資料儲存!I1552</f>
        <v>0</v>
      </c>
      <c r="H144" s="49">
        <f>資料儲存!J1552</f>
        <v>0</v>
      </c>
      <c r="I144" s="45"/>
      <c r="J144" s="48">
        <v>51</v>
      </c>
      <c r="K144" s="49">
        <f>資料儲存!D1672</f>
        <v>0</v>
      </c>
      <c r="L144" s="49">
        <f>資料儲存!E1672</f>
        <v>0</v>
      </c>
      <c r="M144" s="49">
        <f>資料儲存!F1672</f>
        <v>0</v>
      </c>
      <c r="N144" s="49">
        <f>資料儲存!G1672</f>
        <v>0</v>
      </c>
      <c r="O144" s="49">
        <f>資料儲存!H1672</f>
        <v>0</v>
      </c>
      <c r="P144" s="49">
        <f>資料儲存!I1672</f>
        <v>0</v>
      </c>
      <c r="Q144" s="49">
        <f>資料儲存!J1672</f>
        <v>0</v>
      </c>
      <c r="R144" s="45"/>
      <c r="S144" s="48">
        <v>51</v>
      </c>
      <c r="T144" s="49">
        <f>資料儲存!D1792</f>
        <v>0</v>
      </c>
      <c r="U144" s="49">
        <f>資料儲存!E1792</f>
        <v>0</v>
      </c>
      <c r="V144" s="49">
        <f>資料儲存!F1792</f>
        <v>0</v>
      </c>
      <c r="W144" s="49">
        <f>資料儲存!G1792</f>
        <v>0</v>
      </c>
      <c r="X144" s="49">
        <f>資料儲存!H1792</f>
        <v>0</v>
      </c>
      <c r="Y144" s="49">
        <f>資料儲存!I1792</f>
        <v>0</v>
      </c>
      <c r="Z144" s="49">
        <f>資料儲存!J1792</f>
        <v>0</v>
      </c>
      <c r="AA144" s="45"/>
      <c r="AB144" s="48">
        <v>51</v>
      </c>
      <c r="AC144" s="49">
        <f>資料儲存!D1912</f>
        <v>0</v>
      </c>
      <c r="AD144" s="49">
        <f>資料儲存!E1912</f>
        <v>0</v>
      </c>
      <c r="AE144" s="49">
        <f>資料儲存!F1912</f>
        <v>0</v>
      </c>
      <c r="AF144" s="49">
        <f>資料儲存!G1912</f>
        <v>0</v>
      </c>
      <c r="AG144" s="49">
        <f>資料儲存!H1912</f>
        <v>0</v>
      </c>
      <c r="AH144" s="49">
        <f>資料儲存!I1912</f>
        <v>0</v>
      </c>
      <c r="AI144" s="49">
        <f>資料儲存!J1912</f>
        <v>0</v>
      </c>
      <c r="AJ144" s="13"/>
      <c r="AK144" s="48">
        <v>51</v>
      </c>
      <c r="AL144" s="49">
        <f>資料儲存!D2032</f>
        <v>0</v>
      </c>
      <c r="AM144" s="49">
        <f>資料儲存!E2032</f>
        <v>0</v>
      </c>
      <c r="AN144" s="49">
        <f>資料儲存!F2032</f>
        <v>0</v>
      </c>
      <c r="AO144" s="49">
        <f>資料儲存!G2032</f>
        <v>0</v>
      </c>
      <c r="AP144" s="49">
        <f>資料儲存!H2032</f>
        <v>0</v>
      </c>
      <c r="AQ144" s="49">
        <f>資料儲存!I2032</f>
        <v>0</v>
      </c>
      <c r="AR144" s="49">
        <f>資料儲存!J2032</f>
        <v>0</v>
      </c>
      <c r="AT144" s="48">
        <v>51</v>
      </c>
      <c r="AU144" s="49">
        <f>資料儲存!D2152</f>
        <v>0</v>
      </c>
      <c r="AV144" s="49">
        <f>資料儲存!E2152</f>
        <v>0</v>
      </c>
      <c r="AW144" s="49">
        <f>資料儲存!F2152</f>
        <v>0</v>
      </c>
      <c r="AX144" s="49">
        <f>資料儲存!G2152</f>
        <v>0</v>
      </c>
      <c r="AY144" s="49">
        <f>資料儲存!H2152</f>
        <v>0</v>
      </c>
      <c r="AZ144" s="49">
        <f>資料儲存!I2152</f>
        <v>0</v>
      </c>
      <c r="BA144" s="49">
        <f>資料儲存!J2152</f>
        <v>0</v>
      </c>
    </row>
    <row r="145" spans="1:53" ht="16" thickBot="1">
      <c r="A145" s="48">
        <v>52</v>
      </c>
      <c r="B145" s="49">
        <f>資料儲存!D1553</f>
        <v>0</v>
      </c>
      <c r="C145" s="49">
        <f>資料儲存!E1553</f>
        <v>0</v>
      </c>
      <c r="D145" s="49">
        <f>資料儲存!F1553</f>
        <v>0</v>
      </c>
      <c r="E145" s="49">
        <f>資料儲存!G1553</f>
        <v>0</v>
      </c>
      <c r="F145" s="49">
        <f>資料儲存!H1553</f>
        <v>0</v>
      </c>
      <c r="G145" s="49">
        <f>資料儲存!I1553</f>
        <v>0</v>
      </c>
      <c r="H145" s="49">
        <f>資料儲存!J1553</f>
        <v>0</v>
      </c>
      <c r="I145" s="45"/>
      <c r="J145" s="48">
        <v>52</v>
      </c>
      <c r="K145" s="49">
        <f>資料儲存!D1673</f>
        <v>0</v>
      </c>
      <c r="L145" s="49">
        <f>資料儲存!E1673</f>
        <v>0</v>
      </c>
      <c r="M145" s="49">
        <f>資料儲存!F1673</f>
        <v>0</v>
      </c>
      <c r="N145" s="49">
        <f>資料儲存!G1673</f>
        <v>0</v>
      </c>
      <c r="O145" s="49">
        <f>資料儲存!H1673</f>
        <v>0</v>
      </c>
      <c r="P145" s="49">
        <f>資料儲存!I1673</f>
        <v>0</v>
      </c>
      <c r="Q145" s="49">
        <f>資料儲存!J1673</f>
        <v>0</v>
      </c>
      <c r="R145" s="45"/>
      <c r="S145" s="48">
        <v>52</v>
      </c>
      <c r="T145" s="49">
        <f>資料儲存!D1793</f>
        <v>0</v>
      </c>
      <c r="U145" s="49">
        <f>資料儲存!E1793</f>
        <v>0</v>
      </c>
      <c r="V145" s="49">
        <f>資料儲存!F1793</f>
        <v>0</v>
      </c>
      <c r="W145" s="49">
        <f>資料儲存!G1793</f>
        <v>0</v>
      </c>
      <c r="X145" s="49">
        <f>資料儲存!H1793</f>
        <v>0</v>
      </c>
      <c r="Y145" s="49">
        <f>資料儲存!I1793</f>
        <v>0</v>
      </c>
      <c r="Z145" s="49">
        <f>資料儲存!J1793</f>
        <v>0</v>
      </c>
      <c r="AA145" s="45"/>
      <c r="AB145" s="48">
        <v>52</v>
      </c>
      <c r="AC145" s="49">
        <f>資料儲存!D1913</f>
        <v>0</v>
      </c>
      <c r="AD145" s="49">
        <f>資料儲存!E1913</f>
        <v>0</v>
      </c>
      <c r="AE145" s="49">
        <f>資料儲存!F1913</f>
        <v>0</v>
      </c>
      <c r="AF145" s="49">
        <f>資料儲存!G1913</f>
        <v>0</v>
      </c>
      <c r="AG145" s="49">
        <f>資料儲存!H1913</f>
        <v>0</v>
      </c>
      <c r="AH145" s="49">
        <f>資料儲存!I1913</f>
        <v>0</v>
      </c>
      <c r="AI145" s="49">
        <f>資料儲存!J1913</f>
        <v>0</v>
      </c>
      <c r="AJ145" s="13"/>
      <c r="AK145" s="48">
        <v>52</v>
      </c>
      <c r="AL145" s="49">
        <f>資料儲存!D2033</f>
        <v>0</v>
      </c>
      <c r="AM145" s="49">
        <f>資料儲存!E2033</f>
        <v>0</v>
      </c>
      <c r="AN145" s="49">
        <f>資料儲存!F2033</f>
        <v>0</v>
      </c>
      <c r="AO145" s="49">
        <f>資料儲存!G2033</f>
        <v>0</v>
      </c>
      <c r="AP145" s="49">
        <f>資料儲存!H2033</f>
        <v>0</v>
      </c>
      <c r="AQ145" s="49">
        <f>資料儲存!I2033</f>
        <v>0</v>
      </c>
      <c r="AR145" s="49">
        <f>資料儲存!J2033</f>
        <v>0</v>
      </c>
      <c r="AT145" s="48">
        <v>52</v>
      </c>
      <c r="AU145" s="49">
        <f>資料儲存!D2153</f>
        <v>0</v>
      </c>
      <c r="AV145" s="49">
        <f>資料儲存!E2153</f>
        <v>0</v>
      </c>
      <c r="AW145" s="49">
        <f>資料儲存!F2153</f>
        <v>0</v>
      </c>
      <c r="AX145" s="49">
        <f>資料儲存!G2153</f>
        <v>0</v>
      </c>
      <c r="AY145" s="49">
        <f>資料儲存!H2153</f>
        <v>0</v>
      </c>
      <c r="AZ145" s="49">
        <f>資料儲存!I2153</f>
        <v>0</v>
      </c>
      <c r="BA145" s="49">
        <f>資料儲存!J2153</f>
        <v>0</v>
      </c>
    </row>
    <row r="146" spans="1:53" ht="16" thickBot="1">
      <c r="A146" s="48">
        <v>53</v>
      </c>
      <c r="B146" s="49">
        <f>資料儲存!D1554</f>
        <v>0</v>
      </c>
      <c r="C146" s="49">
        <f>資料儲存!E1554</f>
        <v>0</v>
      </c>
      <c r="D146" s="49">
        <f>資料儲存!F1554</f>
        <v>0</v>
      </c>
      <c r="E146" s="49">
        <f>資料儲存!G1554</f>
        <v>0</v>
      </c>
      <c r="F146" s="49">
        <f>資料儲存!H1554</f>
        <v>0</v>
      </c>
      <c r="G146" s="49">
        <f>資料儲存!I1554</f>
        <v>0</v>
      </c>
      <c r="H146" s="49">
        <f>資料儲存!J1554</f>
        <v>0</v>
      </c>
      <c r="I146" s="45"/>
      <c r="J146" s="48">
        <v>53</v>
      </c>
      <c r="K146" s="49">
        <f>資料儲存!D1674</f>
        <v>0</v>
      </c>
      <c r="L146" s="49">
        <f>資料儲存!E1674</f>
        <v>0</v>
      </c>
      <c r="M146" s="49">
        <f>資料儲存!F1674</f>
        <v>0</v>
      </c>
      <c r="N146" s="49">
        <f>資料儲存!G1674</f>
        <v>0</v>
      </c>
      <c r="O146" s="49">
        <f>資料儲存!H1674</f>
        <v>0</v>
      </c>
      <c r="P146" s="49">
        <f>資料儲存!I1674</f>
        <v>0</v>
      </c>
      <c r="Q146" s="49">
        <f>資料儲存!J1674</f>
        <v>0</v>
      </c>
      <c r="R146" s="45"/>
      <c r="S146" s="48">
        <v>53</v>
      </c>
      <c r="T146" s="49">
        <f>資料儲存!D1794</f>
        <v>0</v>
      </c>
      <c r="U146" s="49">
        <f>資料儲存!E1794</f>
        <v>0</v>
      </c>
      <c r="V146" s="49">
        <f>資料儲存!F1794</f>
        <v>0</v>
      </c>
      <c r="W146" s="49">
        <f>資料儲存!G1794</f>
        <v>0</v>
      </c>
      <c r="X146" s="49">
        <f>資料儲存!H1794</f>
        <v>0</v>
      </c>
      <c r="Y146" s="49">
        <f>資料儲存!I1794</f>
        <v>0</v>
      </c>
      <c r="Z146" s="49">
        <f>資料儲存!J1794</f>
        <v>0</v>
      </c>
      <c r="AA146" s="45"/>
      <c r="AB146" s="48">
        <v>53</v>
      </c>
      <c r="AC146" s="49">
        <f>資料儲存!D1914</f>
        <v>0</v>
      </c>
      <c r="AD146" s="49">
        <f>資料儲存!E1914</f>
        <v>0</v>
      </c>
      <c r="AE146" s="49">
        <f>資料儲存!F1914</f>
        <v>0</v>
      </c>
      <c r="AF146" s="49">
        <f>資料儲存!G1914</f>
        <v>0</v>
      </c>
      <c r="AG146" s="49">
        <f>資料儲存!H1914</f>
        <v>0</v>
      </c>
      <c r="AH146" s="49">
        <f>資料儲存!I1914</f>
        <v>0</v>
      </c>
      <c r="AI146" s="49">
        <f>資料儲存!J1914</f>
        <v>0</v>
      </c>
      <c r="AJ146" s="13"/>
      <c r="AK146" s="48">
        <v>53</v>
      </c>
      <c r="AL146" s="49">
        <f>資料儲存!D2034</f>
        <v>0</v>
      </c>
      <c r="AM146" s="49">
        <f>資料儲存!E2034</f>
        <v>0</v>
      </c>
      <c r="AN146" s="49">
        <f>資料儲存!F2034</f>
        <v>0</v>
      </c>
      <c r="AO146" s="49">
        <f>資料儲存!G2034</f>
        <v>0</v>
      </c>
      <c r="AP146" s="49">
        <f>資料儲存!H2034</f>
        <v>0</v>
      </c>
      <c r="AQ146" s="49">
        <f>資料儲存!I2034</f>
        <v>0</v>
      </c>
      <c r="AR146" s="49">
        <f>資料儲存!J2034</f>
        <v>0</v>
      </c>
      <c r="AT146" s="48">
        <v>53</v>
      </c>
      <c r="AU146" s="49">
        <f>資料儲存!D2154</f>
        <v>0</v>
      </c>
      <c r="AV146" s="49">
        <f>資料儲存!E2154</f>
        <v>0</v>
      </c>
      <c r="AW146" s="49">
        <f>資料儲存!F2154</f>
        <v>0</v>
      </c>
      <c r="AX146" s="49">
        <f>資料儲存!G2154</f>
        <v>0</v>
      </c>
      <c r="AY146" s="49">
        <f>資料儲存!H2154</f>
        <v>0</v>
      </c>
      <c r="AZ146" s="49">
        <f>資料儲存!I2154</f>
        <v>0</v>
      </c>
      <c r="BA146" s="49">
        <f>資料儲存!J2154</f>
        <v>0</v>
      </c>
    </row>
    <row r="147" spans="1:53" ht="16" thickBot="1">
      <c r="A147" s="48">
        <v>54</v>
      </c>
      <c r="B147" s="49">
        <f>資料儲存!D1555</f>
        <v>0</v>
      </c>
      <c r="C147" s="49">
        <f>資料儲存!E1555</f>
        <v>0</v>
      </c>
      <c r="D147" s="49">
        <f>資料儲存!F1555</f>
        <v>0</v>
      </c>
      <c r="E147" s="49">
        <f>資料儲存!G1555</f>
        <v>0</v>
      </c>
      <c r="F147" s="49">
        <f>資料儲存!H1555</f>
        <v>0</v>
      </c>
      <c r="G147" s="49">
        <f>資料儲存!I1555</f>
        <v>0</v>
      </c>
      <c r="H147" s="49">
        <f>資料儲存!J1555</f>
        <v>0</v>
      </c>
      <c r="I147" s="45"/>
      <c r="J147" s="48">
        <v>54</v>
      </c>
      <c r="K147" s="49">
        <f>資料儲存!D1675</f>
        <v>0</v>
      </c>
      <c r="L147" s="49">
        <f>資料儲存!E1675</f>
        <v>0</v>
      </c>
      <c r="M147" s="49">
        <f>資料儲存!F1675</f>
        <v>0</v>
      </c>
      <c r="N147" s="49">
        <f>資料儲存!G1675</f>
        <v>0</v>
      </c>
      <c r="O147" s="49">
        <f>資料儲存!H1675</f>
        <v>0</v>
      </c>
      <c r="P147" s="49">
        <f>資料儲存!I1675</f>
        <v>0</v>
      </c>
      <c r="Q147" s="49">
        <f>資料儲存!J1675</f>
        <v>0</v>
      </c>
      <c r="R147" s="45"/>
      <c r="S147" s="48">
        <v>54</v>
      </c>
      <c r="T147" s="49">
        <f>資料儲存!D1795</f>
        <v>0</v>
      </c>
      <c r="U147" s="49">
        <f>資料儲存!E1795</f>
        <v>0</v>
      </c>
      <c r="V147" s="49">
        <f>資料儲存!F1795</f>
        <v>0</v>
      </c>
      <c r="W147" s="49">
        <f>資料儲存!G1795</f>
        <v>0</v>
      </c>
      <c r="X147" s="49">
        <f>資料儲存!H1795</f>
        <v>0</v>
      </c>
      <c r="Y147" s="49">
        <f>資料儲存!I1795</f>
        <v>0</v>
      </c>
      <c r="Z147" s="49">
        <f>資料儲存!J1795</f>
        <v>0</v>
      </c>
      <c r="AA147" s="45"/>
      <c r="AB147" s="48">
        <v>54</v>
      </c>
      <c r="AC147" s="49">
        <f>資料儲存!D1915</f>
        <v>0</v>
      </c>
      <c r="AD147" s="49">
        <f>資料儲存!E1915</f>
        <v>0</v>
      </c>
      <c r="AE147" s="49">
        <f>資料儲存!F1915</f>
        <v>0</v>
      </c>
      <c r="AF147" s="49">
        <f>資料儲存!G1915</f>
        <v>0</v>
      </c>
      <c r="AG147" s="49">
        <f>資料儲存!H1915</f>
        <v>0</v>
      </c>
      <c r="AH147" s="49">
        <f>資料儲存!I1915</f>
        <v>0</v>
      </c>
      <c r="AI147" s="49">
        <f>資料儲存!J1915</f>
        <v>0</v>
      </c>
      <c r="AJ147" s="13"/>
      <c r="AK147" s="48">
        <v>54</v>
      </c>
      <c r="AL147" s="49">
        <f>資料儲存!D2035</f>
        <v>0</v>
      </c>
      <c r="AM147" s="49">
        <f>資料儲存!E2035</f>
        <v>0</v>
      </c>
      <c r="AN147" s="49">
        <f>資料儲存!F2035</f>
        <v>0</v>
      </c>
      <c r="AO147" s="49">
        <f>資料儲存!G2035</f>
        <v>0</v>
      </c>
      <c r="AP147" s="49">
        <f>資料儲存!H2035</f>
        <v>0</v>
      </c>
      <c r="AQ147" s="49">
        <f>資料儲存!I2035</f>
        <v>0</v>
      </c>
      <c r="AR147" s="49">
        <f>資料儲存!J2035</f>
        <v>0</v>
      </c>
      <c r="AT147" s="48">
        <v>54</v>
      </c>
      <c r="AU147" s="49">
        <f>資料儲存!D2155</f>
        <v>0</v>
      </c>
      <c r="AV147" s="49">
        <f>資料儲存!E2155</f>
        <v>0</v>
      </c>
      <c r="AW147" s="49">
        <f>資料儲存!F2155</f>
        <v>0</v>
      </c>
      <c r="AX147" s="49">
        <f>資料儲存!G2155</f>
        <v>0</v>
      </c>
      <c r="AY147" s="49">
        <f>資料儲存!H2155</f>
        <v>0</v>
      </c>
      <c r="AZ147" s="49">
        <f>資料儲存!I2155</f>
        <v>0</v>
      </c>
      <c r="BA147" s="49">
        <f>資料儲存!J2155</f>
        <v>0</v>
      </c>
    </row>
    <row r="148" spans="1:53" ht="16" thickBot="1">
      <c r="A148" s="48">
        <v>55</v>
      </c>
      <c r="B148" s="49">
        <f>資料儲存!D1556</f>
        <v>0</v>
      </c>
      <c r="C148" s="49">
        <f>資料儲存!E1556</f>
        <v>0</v>
      </c>
      <c r="D148" s="49">
        <f>資料儲存!F1556</f>
        <v>0</v>
      </c>
      <c r="E148" s="49">
        <f>資料儲存!G1556</f>
        <v>0</v>
      </c>
      <c r="F148" s="49">
        <f>資料儲存!H1556</f>
        <v>0</v>
      </c>
      <c r="G148" s="49">
        <f>資料儲存!I1556</f>
        <v>0</v>
      </c>
      <c r="H148" s="49">
        <f>資料儲存!J1556</f>
        <v>0</v>
      </c>
      <c r="I148" s="45"/>
      <c r="J148" s="48">
        <v>55</v>
      </c>
      <c r="K148" s="49">
        <f>資料儲存!D1676</f>
        <v>0</v>
      </c>
      <c r="L148" s="49">
        <f>資料儲存!E1676</f>
        <v>0</v>
      </c>
      <c r="M148" s="49">
        <f>資料儲存!F1676</f>
        <v>0</v>
      </c>
      <c r="N148" s="49">
        <f>資料儲存!G1676</f>
        <v>0</v>
      </c>
      <c r="O148" s="49">
        <f>資料儲存!H1676</f>
        <v>0</v>
      </c>
      <c r="P148" s="49">
        <f>資料儲存!I1676</f>
        <v>0</v>
      </c>
      <c r="Q148" s="49">
        <f>資料儲存!J1676</f>
        <v>0</v>
      </c>
      <c r="R148" s="45"/>
      <c r="S148" s="48">
        <v>55</v>
      </c>
      <c r="T148" s="49">
        <f>資料儲存!D1796</f>
        <v>0</v>
      </c>
      <c r="U148" s="49">
        <f>資料儲存!E1796</f>
        <v>0</v>
      </c>
      <c r="V148" s="49">
        <f>資料儲存!F1796</f>
        <v>0</v>
      </c>
      <c r="W148" s="49">
        <f>資料儲存!G1796</f>
        <v>0</v>
      </c>
      <c r="X148" s="49">
        <f>資料儲存!H1796</f>
        <v>0</v>
      </c>
      <c r="Y148" s="49">
        <f>資料儲存!I1796</f>
        <v>0</v>
      </c>
      <c r="Z148" s="49">
        <f>資料儲存!J1796</f>
        <v>0</v>
      </c>
      <c r="AA148" s="45"/>
      <c r="AB148" s="48">
        <v>55</v>
      </c>
      <c r="AC148" s="49">
        <f>資料儲存!D1916</f>
        <v>0</v>
      </c>
      <c r="AD148" s="49">
        <f>資料儲存!E1916</f>
        <v>0</v>
      </c>
      <c r="AE148" s="49">
        <f>資料儲存!F1916</f>
        <v>0</v>
      </c>
      <c r="AF148" s="49">
        <f>資料儲存!G1916</f>
        <v>0</v>
      </c>
      <c r="AG148" s="49">
        <f>資料儲存!H1916</f>
        <v>0</v>
      </c>
      <c r="AH148" s="49">
        <f>資料儲存!I1916</f>
        <v>0</v>
      </c>
      <c r="AI148" s="49">
        <f>資料儲存!J1916</f>
        <v>0</v>
      </c>
      <c r="AJ148" s="13"/>
      <c r="AK148" s="48">
        <v>55</v>
      </c>
      <c r="AL148" s="49">
        <f>資料儲存!D2036</f>
        <v>0</v>
      </c>
      <c r="AM148" s="49">
        <f>資料儲存!E2036</f>
        <v>0</v>
      </c>
      <c r="AN148" s="49">
        <f>資料儲存!F2036</f>
        <v>0</v>
      </c>
      <c r="AO148" s="49">
        <f>資料儲存!G2036</f>
        <v>0</v>
      </c>
      <c r="AP148" s="49">
        <f>資料儲存!H2036</f>
        <v>0</v>
      </c>
      <c r="AQ148" s="49">
        <f>資料儲存!I2036</f>
        <v>0</v>
      </c>
      <c r="AR148" s="49">
        <f>資料儲存!J2036</f>
        <v>0</v>
      </c>
      <c r="AT148" s="48">
        <v>55</v>
      </c>
      <c r="AU148" s="49">
        <f>資料儲存!D2156</f>
        <v>0</v>
      </c>
      <c r="AV148" s="49">
        <f>資料儲存!E2156</f>
        <v>0</v>
      </c>
      <c r="AW148" s="49">
        <f>資料儲存!F2156</f>
        <v>0</v>
      </c>
      <c r="AX148" s="49">
        <f>資料儲存!G2156</f>
        <v>0</v>
      </c>
      <c r="AY148" s="49">
        <f>資料儲存!H2156</f>
        <v>0</v>
      </c>
      <c r="AZ148" s="49">
        <f>資料儲存!I2156</f>
        <v>0</v>
      </c>
      <c r="BA148" s="49">
        <f>資料儲存!J2156</f>
        <v>0</v>
      </c>
    </row>
    <row r="149" spans="1:53" ht="16" thickBot="1">
      <c r="A149" s="48">
        <v>56</v>
      </c>
      <c r="B149" s="49">
        <f>資料儲存!D1557</f>
        <v>0</v>
      </c>
      <c r="C149" s="49">
        <f>資料儲存!E1557</f>
        <v>0</v>
      </c>
      <c r="D149" s="49">
        <f>資料儲存!F1557</f>
        <v>0</v>
      </c>
      <c r="E149" s="49">
        <f>資料儲存!G1557</f>
        <v>0</v>
      </c>
      <c r="F149" s="49">
        <f>資料儲存!H1557</f>
        <v>0</v>
      </c>
      <c r="G149" s="49">
        <f>資料儲存!I1557</f>
        <v>0</v>
      </c>
      <c r="H149" s="49">
        <f>資料儲存!J1557</f>
        <v>0</v>
      </c>
      <c r="I149" s="45"/>
      <c r="J149" s="48">
        <v>56</v>
      </c>
      <c r="K149" s="49">
        <f>資料儲存!D1677</f>
        <v>0</v>
      </c>
      <c r="L149" s="49">
        <f>資料儲存!E1677</f>
        <v>0</v>
      </c>
      <c r="M149" s="49">
        <f>資料儲存!F1677</f>
        <v>0</v>
      </c>
      <c r="N149" s="49">
        <f>資料儲存!G1677</f>
        <v>0</v>
      </c>
      <c r="O149" s="49">
        <f>資料儲存!H1677</f>
        <v>0</v>
      </c>
      <c r="P149" s="49">
        <f>資料儲存!I1677</f>
        <v>0</v>
      </c>
      <c r="Q149" s="49">
        <f>資料儲存!J1677</f>
        <v>0</v>
      </c>
      <c r="R149" s="45"/>
      <c r="S149" s="48">
        <v>56</v>
      </c>
      <c r="T149" s="49">
        <f>資料儲存!D1797</f>
        <v>0</v>
      </c>
      <c r="U149" s="49">
        <f>資料儲存!E1797</f>
        <v>0</v>
      </c>
      <c r="V149" s="49">
        <f>資料儲存!F1797</f>
        <v>0</v>
      </c>
      <c r="W149" s="49">
        <f>資料儲存!G1797</f>
        <v>0</v>
      </c>
      <c r="X149" s="49">
        <f>資料儲存!H1797</f>
        <v>0</v>
      </c>
      <c r="Y149" s="49">
        <f>資料儲存!I1797</f>
        <v>0</v>
      </c>
      <c r="Z149" s="49">
        <f>資料儲存!J1797</f>
        <v>0</v>
      </c>
      <c r="AA149" s="45"/>
      <c r="AB149" s="48">
        <v>56</v>
      </c>
      <c r="AC149" s="49">
        <f>資料儲存!D1917</f>
        <v>0</v>
      </c>
      <c r="AD149" s="49">
        <f>資料儲存!E1917</f>
        <v>0</v>
      </c>
      <c r="AE149" s="49">
        <f>資料儲存!F1917</f>
        <v>0</v>
      </c>
      <c r="AF149" s="49">
        <f>資料儲存!G1917</f>
        <v>0</v>
      </c>
      <c r="AG149" s="49">
        <f>資料儲存!H1917</f>
        <v>0</v>
      </c>
      <c r="AH149" s="49">
        <f>資料儲存!I1917</f>
        <v>0</v>
      </c>
      <c r="AI149" s="49">
        <f>資料儲存!J1917</f>
        <v>0</v>
      </c>
      <c r="AJ149" s="13"/>
      <c r="AK149" s="48">
        <v>56</v>
      </c>
      <c r="AL149" s="49">
        <f>資料儲存!D2037</f>
        <v>0</v>
      </c>
      <c r="AM149" s="49">
        <f>資料儲存!E2037</f>
        <v>0</v>
      </c>
      <c r="AN149" s="49">
        <f>資料儲存!F2037</f>
        <v>0</v>
      </c>
      <c r="AO149" s="49">
        <f>資料儲存!G2037</f>
        <v>0</v>
      </c>
      <c r="AP149" s="49">
        <f>資料儲存!H2037</f>
        <v>0</v>
      </c>
      <c r="AQ149" s="49">
        <f>資料儲存!I2037</f>
        <v>0</v>
      </c>
      <c r="AR149" s="49">
        <f>資料儲存!J2037</f>
        <v>0</v>
      </c>
      <c r="AT149" s="48">
        <v>56</v>
      </c>
      <c r="AU149" s="49">
        <f>資料儲存!D2157</f>
        <v>0</v>
      </c>
      <c r="AV149" s="49">
        <f>資料儲存!E2157</f>
        <v>0</v>
      </c>
      <c r="AW149" s="49">
        <f>資料儲存!F2157</f>
        <v>0</v>
      </c>
      <c r="AX149" s="49">
        <f>資料儲存!G2157</f>
        <v>0</v>
      </c>
      <c r="AY149" s="49">
        <f>資料儲存!H2157</f>
        <v>0</v>
      </c>
      <c r="AZ149" s="49">
        <f>資料儲存!I2157</f>
        <v>0</v>
      </c>
      <c r="BA149" s="49">
        <f>資料儲存!J2157</f>
        <v>0</v>
      </c>
    </row>
    <row r="150" spans="1:53" ht="16" thickBot="1">
      <c r="A150" s="48">
        <v>57</v>
      </c>
      <c r="B150" s="49">
        <f>資料儲存!D1558</f>
        <v>0</v>
      </c>
      <c r="C150" s="49">
        <f>資料儲存!E1558</f>
        <v>0</v>
      </c>
      <c r="D150" s="49">
        <f>資料儲存!F1558</f>
        <v>0</v>
      </c>
      <c r="E150" s="49">
        <f>資料儲存!G1558</f>
        <v>0</v>
      </c>
      <c r="F150" s="49">
        <f>資料儲存!H1558</f>
        <v>0</v>
      </c>
      <c r="G150" s="49">
        <f>資料儲存!I1558</f>
        <v>0</v>
      </c>
      <c r="H150" s="49">
        <f>資料儲存!J1558</f>
        <v>0</v>
      </c>
      <c r="I150" s="45"/>
      <c r="J150" s="48">
        <v>57</v>
      </c>
      <c r="K150" s="49">
        <f>資料儲存!D1678</f>
        <v>0</v>
      </c>
      <c r="L150" s="49">
        <f>資料儲存!E1678</f>
        <v>0</v>
      </c>
      <c r="M150" s="49">
        <f>資料儲存!F1678</f>
        <v>0</v>
      </c>
      <c r="N150" s="49">
        <f>資料儲存!G1678</f>
        <v>0</v>
      </c>
      <c r="O150" s="49">
        <f>資料儲存!H1678</f>
        <v>0</v>
      </c>
      <c r="P150" s="49">
        <f>資料儲存!I1678</f>
        <v>0</v>
      </c>
      <c r="Q150" s="49">
        <f>資料儲存!J1678</f>
        <v>0</v>
      </c>
      <c r="R150" s="45"/>
      <c r="S150" s="48">
        <v>57</v>
      </c>
      <c r="T150" s="49">
        <f>資料儲存!D1798</f>
        <v>0</v>
      </c>
      <c r="U150" s="49">
        <f>資料儲存!E1798</f>
        <v>0</v>
      </c>
      <c r="V150" s="49">
        <f>資料儲存!F1798</f>
        <v>0</v>
      </c>
      <c r="W150" s="49">
        <f>資料儲存!G1798</f>
        <v>0</v>
      </c>
      <c r="X150" s="49">
        <f>資料儲存!H1798</f>
        <v>0</v>
      </c>
      <c r="Y150" s="49">
        <f>資料儲存!I1798</f>
        <v>0</v>
      </c>
      <c r="Z150" s="49">
        <f>資料儲存!J1798</f>
        <v>0</v>
      </c>
      <c r="AA150" s="45"/>
      <c r="AB150" s="48">
        <v>57</v>
      </c>
      <c r="AC150" s="49">
        <f>資料儲存!D1918</f>
        <v>0</v>
      </c>
      <c r="AD150" s="49">
        <f>資料儲存!E1918</f>
        <v>0</v>
      </c>
      <c r="AE150" s="49">
        <f>資料儲存!F1918</f>
        <v>0</v>
      </c>
      <c r="AF150" s="49">
        <f>資料儲存!G1918</f>
        <v>0</v>
      </c>
      <c r="AG150" s="49">
        <f>資料儲存!H1918</f>
        <v>0</v>
      </c>
      <c r="AH150" s="49">
        <f>資料儲存!I1918</f>
        <v>0</v>
      </c>
      <c r="AI150" s="49">
        <f>資料儲存!J1918</f>
        <v>0</v>
      </c>
      <c r="AJ150" s="13"/>
      <c r="AK150" s="48">
        <v>57</v>
      </c>
      <c r="AL150" s="49">
        <f>資料儲存!D2038</f>
        <v>0</v>
      </c>
      <c r="AM150" s="49">
        <f>資料儲存!E2038</f>
        <v>0</v>
      </c>
      <c r="AN150" s="49">
        <f>資料儲存!F2038</f>
        <v>0</v>
      </c>
      <c r="AO150" s="49">
        <f>資料儲存!G2038</f>
        <v>0</v>
      </c>
      <c r="AP150" s="49">
        <f>資料儲存!H2038</f>
        <v>0</v>
      </c>
      <c r="AQ150" s="49">
        <f>資料儲存!I2038</f>
        <v>0</v>
      </c>
      <c r="AR150" s="49">
        <f>資料儲存!J2038</f>
        <v>0</v>
      </c>
      <c r="AT150" s="48">
        <v>57</v>
      </c>
      <c r="AU150" s="49">
        <f>資料儲存!D2158</f>
        <v>0</v>
      </c>
      <c r="AV150" s="49">
        <f>資料儲存!E2158</f>
        <v>0</v>
      </c>
      <c r="AW150" s="49">
        <f>資料儲存!F2158</f>
        <v>0</v>
      </c>
      <c r="AX150" s="49">
        <f>資料儲存!G2158</f>
        <v>0</v>
      </c>
      <c r="AY150" s="49">
        <f>資料儲存!H2158</f>
        <v>0</v>
      </c>
      <c r="AZ150" s="49">
        <f>資料儲存!I2158</f>
        <v>0</v>
      </c>
      <c r="BA150" s="49">
        <f>資料儲存!J2158</f>
        <v>0</v>
      </c>
    </row>
    <row r="151" spans="1:53" ht="16" thickBot="1">
      <c r="A151" s="48">
        <v>58</v>
      </c>
      <c r="B151" s="49">
        <f>資料儲存!D1559</f>
        <v>0</v>
      </c>
      <c r="C151" s="49">
        <f>資料儲存!E1559</f>
        <v>0</v>
      </c>
      <c r="D151" s="49">
        <f>資料儲存!F1559</f>
        <v>0</v>
      </c>
      <c r="E151" s="49">
        <f>資料儲存!G1559</f>
        <v>0</v>
      </c>
      <c r="F151" s="49">
        <f>資料儲存!H1559</f>
        <v>0</v>
      </c>
      <c r="G151" s="49">
        <f>資料儲存!I1559</f>
        <v>0</v>
      </c>
      <c r="H151" s="49">
        <f>資料儲存!J1559</f>
        <v>0</v>
      </c>
      <c r="I151" s="45"/>
      <c r="J151" s="48">
        <v>58</v>
      </c>
      <c r="K151" s="49">
        <f>資料儲存!D1679</f>
        <v>0</v>
      </c>
      <c r="L151" s="49">
        <f>資料儲存!E1679</f>
        <v>0</v>
      </c>
      <c r="M151" s="49">
        <f>資料儲存!F1679</f>
        <v>0</v>
      </c>
      <c r="N151" s="49">
        <f>資料儲存!G1679</f>
        <v>0</v>
      </c>
      <c r="O151" s="49">
        <f>資料儲存!H1679</f>
        <v>0</v>
      </c>
      <c r="P151" s="49">
        <f>資料儲存!I1679</f>
        <v>0</v>
      </c>
      <c r="Q151" s="49">
        <f>資料儲存!J1679</f>
        <v>0</v>
      </c>
      <c r="R151" s="45"/>
      <c r="S151" s="48">
        <v>58</v>
      </c>
      <c r="T151" s="49">
        <f>資料儲存!D1799</f>
        <v>0</v>
      </c>
      <c r="U151" s="49">
        <f>資料儲存!E1799</f>
        <v>0</v>
      </c>
      <c r="V151" s="49">
        <f>資料儲存!F1799</f>
        <v>0</v>
      </c>
      <c r="W151" s="49">
        <f>資料儲存!G1799</f>
        <v>0</v>
      </c>
      <c r="X151" s="49">
        <f>資料儲存!H1799</f>
        <v>0</v>
      </c>
      <c r="Y151" s="49">
        <f>資料儲存!I1799</f>
        <v>0</v>
      </c>
      <c r="Z151" s="49">
        <f>資料儲存!J1799</f>
        <v>0</v>
      </c>
      <c r="AA151" s="45"/>
      <c r="AB151" s="48">
        <v>58</v>
      </c>
      <c r="AC151" s="49">
        <f>資料儲存!D1919</f>
        <v>0</v>
      </c>
      <c r="AD151" s="49">
        <f>資料儲存!E1919</f>
        <v>0</v>
      </c>
      <c r="AE151" s="49">
        <f>資料儲存!F1919</f>
        <v>0</v>
      </c>
      <c r="AF151" s="49">
        <f>資料儲存!G1919</f>
        <v>0</v>
      </c>
      <c r="AG151" s="49">
        <f>資料儲存!H1919</f>
        <v>0</v>
      </c>
      <c r="AH151" s="49">
        <f>資料儲存!I1919</f>
        <v>0</v>
      </c>
      <c r="AI151" s="49">
        <f>資料儲存!J1919</f>
        <v>0</v>
      </c>
      <c r="AJ151" s="13"/>
      <c r="AK151" s="48">
        <v>58</v>
      </c>
      <c r="AL151" s="49">
        <f>資料儲存!D2039</f>
        <v>0</v>
      </c>
      <c r="AM151" s="49">
        <f>資料儲存!E2039</f>
        <v>0</v>
      </c>
      <c r="AN151" s="49">
        <f>資料儲存!F2039</f>
        <v>0</v>
      </c>
      <c r="AO151" s="49">
        <f>資料儲存!G2039</f>
        <v>0</v>
      </c>
      <c r="AP151" s="49">
        <f>資料儲存!H2039</f>
        <v>0</v>
      </c>
      <c r="AQ151" s="49">
        <f>資料儲存!I2039</f>
        <v>0</v>
      </c>
      <c r="AR151" s="49">
        <f>資料儲存!J2039</f>
        <v>0</v>
      </c>
      <c r="AT151" s="48">
        <v>58</v>
      </c>
      <c r="AU151" s="49">
        <f>資料儲存!D2159</f>
        <v>0</v>
      </c>
      <c r="AV151" s="49">
        <f>資料儲存!E2159</f>
        <v>0</v>
      </c>
      <c r="AW151" s="49">
        <f>資料儲存!F2159</f>
        <v>0</v>
      </c>
      <c r="AX151" s="49">
        <f>資料儲存!G2159</f>
        <v>0</v>
      </c>
      <c r="AY151" s="49">
        <f>資料儲存!H2159</f>
        <v>0</v>
      </c>
      <c r="AZ151" s="49">
        <f>資料儲存!I2159</f>
        <v>0</v>
      </c>
      <c r="BA151" s="49">
        <f>資料儲存!J2159</f>
        <v>0</v>
      </c>
    </row>
    <row r="152" spans="1:53" ht="16" thickBot="1">
      <c r="A152" s="48">
        <v>59</v>
      </c>
      <c r="B152" s="49">
        <f>資料儲存!D1560</f>
        <v>0</v>
      </c>
      <c r="C152" s="49">
        <f>資料儲存!E1560</f>
        <v>0</v>
      </c>
      <c r="D152" s="49">
        <f>資料儲存!F1560</f>
        <v>0</v>
      </c>
      <c r="E152" s="49">
        <f>資料儲存!G1560</f>
        <v>0</v>
      </c>
      <c r="F152" s="49">
        <f>資料儲存!H1560</f>
        <v>0</v>
      </c>
      <c r="G152" s="49">
        <f>資料儲存!I1560</f>
        <v>0</v>
      </c>
      <c r="H152" s="49">
        <f>資料儲存!J1560</f>
        <v>0</v>
      </c>
      <c r="I152" s="45"/>
      <c r="J152" s="48">
        <v>59</v>
      </c>
      <c r="K152" s="49">
        <f>資料儲存!D1680</f>
        <v>0</v>
      </c>
      <c r="L152" s="49">
        <f>資料儲存!E1680</f>
        <v>0</v>
      </c>
      <c r="M152" s="49">
        <f>資料儲存!F1680</f>
        <v>0</v>
      </c>
      <c r="N152" s="49">
        <f>資料儲存!G1680</f>
        <v>0</v>
      </c>
      <c r="O152" s="49">
        <f>資料儲存!H1680</f>
        <v>0</v>
      </c>
      <c r="P152" s="49">
        <f>資料儲存!I1680</f>
        <v>0</v>
      </c>
      <c r="Q152" s="49">
        <f>資料儲存!J1680</f>
        <v>0</v>
      </c>
      <c r="R152" s="45"/>
      <c r="S152" s="48">
        <v>59</v>
      </c>
      <c r="T152" s="49">
        <f>資料儲存!D1800</f>
        <v>0</v>
      </c>
      <c r="U152" s="49">
        <f>資料儲存!E1800</f>
        <v>0</v>
      </c>
      <c r="V152" s="49">
        <f>資料儲存!F1800</f>
        <v>0</v>
      </c>
      <c r="W152" s="49">
        <f>資料儲存!G1800</f>
        <v>0</v>
      </c>
      <c r="X152" s="49">
        <f>資料儲存!H1800</f>
        <v>0</v>
      </c>
      <c r="Y152" s="49">
        <f>資料儲存!I1800</f>
        <v>0</v>
      </c>
      <c r="Z152" s="49">
        <f>資料儲存!J1800</f>
        <v>0</v>
      </c>
      <c r="AA152" s="45"/>
      <c r="AB152" s="48">
        <v>59</v>
      </c>
      <c r="AC152" s="49">
        <f>資料儲存!D1920</f>
        <v>0</v>
      </c>
      <c r="AD152" s="49">
        <f>資料儲存!E1920</f>
        <v>0</v>
      </c>
      <c r="AE152" s="49">
        <f>資料儲存!F1920</f>
        <v>0</v>
      </c>
      <c r="AF152" s="49">
        <f>資料儲存!G1920</f>
        <v>0</v>
      </c>
      <c r="AG152" s="49">
        <f>資料儲存!H1920</f>
        <v>0</v>
      </c>
      <c r="AH152" s="49">
        <f>資料儲存!I1920</f>
        <v>0</v>
      </c>
      <c r="AI152" s="49">
        <f>資料儲存!J1920</f>
        <v>0</v>
      </c>
      <c r="AJ152" s="13"/>
      <c r="AK152" s="48">
        <v>59</v>
      </c>
      <c r="AL152" s="49">
        <f>資料儲存!D2040</f>
        <v>0</v>
      </c>
      <c r="AM152" s="49">
        <f>資料儲存!E2040</f>
        <v>0</v>
      </c>
      <c r="AN152" s="49">
        <f>資料儲存!F2040</f>
        <v>0</v>
      </c>
      <c r="AO152" s="49">
        <f>資料儲存!G2040</f>
        <v>0</v>
      </c>
      <c r="AP152" s="49">
        <f>資料儲存!H2040</f>
        <v>0</v>
      </c>
      <c r="AQ152" s="49">
        <f>資料儲存!I2040</f>
        <v>0</v>
      </c>
      <c r="AR152" s="49">
        <f>資料儲存!J2040</f>
        <v>0</v>
      </c>
      <c r="AT152" s="48">
        <v>59</v>
      </c>
      <c r="AU152" s="49">
        <f>資料儲存!D2160</f>
        <v>0</v>
      </c>
      <c r="AV152" s="49">
        <f>資料儲存!E2160</f>
        <v>0</v>
      </c>
      <c r="AW152" s="49">
        <f>資料儲存!F2160</f>
        <v>0</v>
      </c>
      <c r="AX152" s="49">
        <f>資料儲存!G2160</f>
        <v>0</v>
      </c>
      <c r="AY152" s="49">
        <f>資料儲存!H2160</f>
        <v>0</v>
      </c>
      <c r="AZ152" s="49">
        <f>資料儲存!I2160</f>
        <v>0</v>
      </c>
      <c r="BA152" s="49">
        <f>資料儲存!J2160</f>
        <v>0</v>
      </c>
    </row>
    <row r="153" spans="1:53" ht="16" thickBot="1">
      <c r="A153" s="48">
        <v>60</v>
      </c>
      <c r="B153" s="49">
        <f>資料儲存!D1561</f>
        <v>0</v>
      </c>
      <c r="C153" s="49">
        <f>資料儲存!E1561</f>
        <v>0</v>
      </c>
      <c r="D153" s="49">
        <f>資料儲存!F1561</f>
        <v>0</v>
      </c>
      <c r="E153" s="49">
        <f>資料儲存!G1561</f>
        <v>0</v>
      </c>
      <c r="F153" s="49">
        <f>資料儲存!H1561</f>
        <v>0</v>
      </c>
      <c r="G153" s="49">
        <f>資料儲存!I1561</f>
        <v>0</v>
      </c>
      <c r="H153" s="49">
        <f>資料儲存!J1561</f>
        <v>0</v>
      </c>
      <c r="I153" s="45"/>
      <c r="J153" s="48">
        <v>60</v>
      </c>
      <c r="K153" s="49">
        <f>資料儲存!D1681</f>
        <v>0</v>
      </c>
      <c r="L153" s="49">
        <f>資料儲存!E1681</f>
        <v>0</v>
      </c>
      <c r="M153" s="49">
        <f>資料儲存!F1681</f>
        <v>0</v>
      </c>
      <c r="N153" s="49">
        <f>資料儲存!G1681</f>
        <v>0</v>
      </c>
      <c r="O153" s="49">
        <f>資料儲存!H1681</f>
        <v>0</v>
      </c>
      <c r="P153" s="49">
        <f>資料儲存!I1681</f>
        <v>0</v>
      </c>
      <c r="Q153" s="49">
        <f>資料儲存!J1681</f>
        <v>0</v>
      </c>
      <c r="R153" s="45"/>
      <c r="S153" s="48">
        <v>60</v>
      </c>
      <c r="T153" s="49">
        <f>資料儲存!D1801</f>
        <v>0</v>
      </c>
      <c r="U153" s="49">
        <f>資料儲存!E1801</f>
        <v>0</v>
      </c>
      <c r="V153" s="49">
        <f>資料儲存!F1801</f>
        <v>0</v>
      </c>
      <c r="W153" s="49">
        <f>資料儲存!G1801</f>
        <v>0</v>
      </c>
      <c r="X153" s="49">
        <f>資料儲存!H1801</f>
        <v>0</v>
      </c>
      <c r="Y153" s="49">
        <f>資料儲存!I1801</f>
        <v>0</v>
      </c>
      <c r="Z153" s="49">
        <f>資料儲存!J1801</f>
        <v>0</v>
      </c>
      <c r="AA153" s="45"/>
      <c r="AB153" s="48">
        <v>60</v>
      </c>
      <c r="AC153" s="49">
        <f>資料儲存!D1921</f>
        <v>0</v>
      </c>
      <c r="AD153" s="49">
        <f>資料儲存!E1921</f>
        <v>0</v>
      </c>
      <c r="AE153" s="49">
        <f>資料儲存!F1921</f>
        <v>0</v>
      </c>
      <c r="AF153" s="49">
        <f>資料儲存!G1921</f>
        <v>0</v>
      </c>
      <c r="AG153" s="49">
        <f>資料儲存!H1921</f>
        <v>0</v>
      </c>
      <c r="AH153" s="49">
        <f>資料儲存!I1921</f>
        <v>0</v>
      </c>
      <c r="AI153" s="49">
        <f>資料儲存!J1921</f>
        <v>0</v>
      </c>
      <c r="AJ153" s="13"/>
      <c r="AK153" s="48">
        <v>60</v>
      </c>
      <c r="AL153" s="49">
        <f>資料儲存!D2041</f>
        <v>0</v>
      </c>
      <c r="AM153" s="49">
        <f>資料儲存!E2041</f>
        <v>0</v>
      </c>
      <c r="AN153" s="49">
        <f>資料儲存!F2041</f>
        <v>0</v>
      </c>
      <c r="AO153" s="49">
        <f>資料儲存!G2041</f>
        <v>0</v>
      </c>
      <c r="AP153" s="49">
        <f>資料儲存!H2041</f>
        <v>0</v>
      </c>
      <c r="AQ153" s="49">
        <f>資料儲存!I2041</f>
        <v>0</v>
      </c>
      <c r="AR153" s="49">
        <f>資料儲存!J2041</f>
        <v>0</v>
      </c>
      <c r="AT153" s="48">
        <v>60</v>
      </c>
      <c r="AU153" s="49">
        <f>資料儲存!D2161</f>
        <v>0</v>
      </c>
      <c r="AV153" s="49">
        <f>資料儲存!E2161</f>
        <v>0</v>
      </c>
      <c r="AW153" s="49">
        <f>資料儲存!F2161</f>
        <v>0</v>
      </c>
      <c r="AX153" s="49">
        <f>資料儲存!G2161</f>
        <v>0</v>
      </c>
      <c r="AY153" s="49">
        <f>資料儲存!H2161</f>
        <v>0</v>
      </c>
      <c r="AZ153" s="49">
        <f>資料儲存!I2161</f>
        <v>0</v>
      </c>
      <c r="BA153" s="49">
        <f>資料儲存!J2161</f>
        <v>0</v>
      </c>
    </row>
    <row r="154" spans="1:53" ht="17.25" customHeight="1" thickBot="1">
      <c r="A154" s="50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0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0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0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13"/>
      <c r="AK154" s="50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  <c r="AT154" s="50" t="s">
        <v>56</v>
      </c>
      <c r="AU154" s="49">
        <f>SUM(AU139:AX153)</f>
        <v>0</v>
      </c>
      <c r="AV154" s="47"/>
      <c r="AW154" s="47"/>
      <c r="AX154" s="47"/>
      <c r="AY154" s="49">
        <f>AY153</f>
        <v>0</v>
      </c>
      <c r="AZ154" s="49">
        <f>AZ153</f>
        <v>0</v>
      </c>
      <c r="BA154" s="49">
        <f>BA153</f>
        <v>0</v>
      </c>
    </row>
  </sheetData>
  <mergeCells count="60">
    <mergeCell ref="A1:H1"/>
    <mergeCell ref="J1:Q1"/>
    <mergeCell ref="S1:Z1"/>
    <mergeCell ref="AB1:AI1"/>
    <mergeCell ref="A2:H2"/>
    <mergeCell ref="J2:Q2"/>
    <mergeCell ref="S2:Z2"/>
    <mergeCell ref="AB2:AI2"/>
    <mergeCell ref="A3:H3"/>
    <mergeCell ref="J3:Q3"/>
    <mergeCell ref="S3:Z3"/>
    <mergeCell ref="AB3:AI3"/>
    <mergeCell ref="A22:H22"/>
    <mergeCell ref="J22:Q22"/>
    <mergeCell ref="S22:Z22"/>
    <mergeCell ref="AB22:AI22"/>
    <mergeCell ref="A41:H41"/>
    <mergeCell ref="J41:Q41"/>
    <mergeCell ref="S41:Z41"/>
    <mergeCell ref="AB41:AI41"/>
    <mergeCell ref="A60:H60"/>
    <mergeCell ref="J60:Q60"/>
    <mergeCell ref="S60:Z60"/>
    <mergeCell ref="AB60:AI60"/>
    <mergeCell ref="A79:H79"/>
    <mergeCell ref="J79:Q79"/>
    <mergeCell ref="S79:Z79"/>
    <mergeCell ref="AB79:AI79"/>
    <mergeCell ref="A98:H98"/>
    <mergeCell ref="J98:Q98"/>
    <mergeCell ref="S98:Z98"/>
    <mergeCell ref="AB98:AI98"/>
    <mergeCell ref="A117:H117"/>
    <mergeCell ref="J117:Q117"/>
    <mergeCell ref="S117:Z117"/>
    <mergeCell ref="AB117:AI117"/>
    <mergeCell ref="A136:H136"/>
    <mergeCell ref="J136:Q136"/>
    <mergeCell ref="S136:Z136"/>
    <mergeCell ref="AB136:AI136"/>
    <mergeCell ref="AT60:BA60"/>
    <mergeCell ref="AK1:AR1"/>
    <mergeCell ref="AK2:AR2"/>
    <mergeCell ref="AK3:AR3"/>
    <mergeCell ref="AK22:AR22"/>
    <mergeCell ref="AK41:AR41"/>
    <mergeCell ref="AK60:AR60"/>
    <mergeCell ref="AT1:BA1"/>
    <mergeCell ref="AT2:BA2"/>
    <mergeCell ref="AT3:BA3"/>
    <mergeCell ref="AT22:BA22"/>
    <mergeCell ref="AT41:BA41"/>
    <mergeCell ref="AT79:BA79"/>
    <mergeCell ref="AT98:BA98"/>
    <mergeCell ref="AT117:BA117"/>
    <mergeCell ref="AT136:BA136"/>
    <mergeCell ref="AK79:AR79"/>
    <mergeCell ref="AK98:AR98"/>
    <mergeCell ref="AK117:AR117"/>
    <mergeCell ref="AK136:AR136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BA154"/>
  <sheetViews>
    <sheetView zoomScale="70" zoomScaleNormal="70" zoomScaleSheetLayoutView="70" workbookViewId="0">
      <pane ySplit="2" topLeftCell="A3" activePane="bottomLeft" state="frozen"/>
      <selection pane="bottomLeft" sqref="A1:H1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44" width="10.08984375" style="1"/>
    <col min="45" max="45" width="2.08984375" style="1" customWidth="1"/>
    <col min="46" max="16384" width="10.08984375" style="1"/>
  </cols>
  <sheetData>
    <row r="1" spans="1:53" s="11" customFormat="1" ht="18.5" thickBot="1">
      <c r="A1" s="254" t="str">
        <f>基本資料!$E$11</f>
        <v>平日中午(12-14)</v>
      </c>
      <c r="B1" s="255"/>
      <c r="C1" s="255"/>
      <c r="D1" s="255"/>
      <c r="E1" s="255"/>
      <c r="F1" s="255"/>
      <c r="G1" s="255"/>
      <c r="H1" s="256"/>
      <c r="J1" s="254" t="str">
        <f>基本資料!$E$11</f>
        <v>平日中午(12-14)</v>
      </c>
      <c r="K1" s="255"/>
      <c r="L1" s="255"/>
      <c r="M1" s="255"/>
      <c r="N1" s="255"/>
      <c r="O1" s="255"/>
      <c r="P1" s="255"/>
      <c r="Q1" s="256"/>
      <c r="S1" s="254" t="str">
        <f>基本資料!$E$11</f>
        <v>平日中午(12-14)</v>
      </c>
      <c r="T1" s="255"/>
      <c r="U1" s="255"/>
      <c r="V1" s="255"/>
      <c r="W1" s="255"/>
      <c r="X1" s="255"/>
      <c r="Y1" s="255"/>
      <c r="Z1" s="256"/>
      <c r="AB1" s="254" t="str">
        <f>基本資料!$E$11</f>
        <v>平日中午(12-14)</v>
      </c>
      <c r="AC1" s="255"/>
      <c r="AD1" s="255"/>
      <c r="AE1" s="255"/>
      <c r="AF1" s="255"/>
      <c r="AG1" s="255"/>
      <c r="AH1" s="255"/>
      <c r="AI1" s="256"/>
      <c r="AK1" s="254" t="str">
        <f>基本資料!$E$11</f>
        <v>平日中午(12-14)</v>
      </c>
      <c r="AL1" s="255"/>
      <c r="AM1" s="255"/>
      <c r="AN1" s="255"/>
      <c r="AO1" s="255"/>
      <c r="AP1" s="255"/>
      <c r="AQ1" s="255"/>
      <c r="AR1" s="256"/>
      <c r="AT1" s="254" t="str">
        <f>基本資料!$E$11</f>
        <v>平日中午(12-14)</v>
      </c>
      <c r="AU1" s="255"/>
      <c r="AV1" s="255"/>
      <c r="AW1" s="255"/>
      <c r="AX1" s="255"/>
      <c r="AY1" s="255"/>
      <c r="AZ1" s="255"/>
      <c r="BA1" s="256"/>
    </row>
    <row r="2" spans="1:53" ht="18.5" thickBot="1">
      <c r="A2" s="251" t="str">
        <f>CONCATENATE(基本資料!B18,"方向：",基本資料!B19,基本資料!B20)</f>
        <v>A方向：</v>
      </c>
      <c r="B2" s="252"/>
      <c r="C2" s="252"/>
      <c r="D2" s="252"/>
      <c r="E2" s="252"/>
      <c r="F2" s="252"/>
      <c r="G2" s="252"/>
      <c r="H2" s="253"/>
      <c r="I2" s="1"/>
      <c r="J2" s="251" t="str">
        <f>CONCATENATE(基本資料!C18,"方向：",基本資料!C19,基本資料!C20)</f>
        <v>B方向：</v>
      </c>
      <c r="K2" s="252"/>
      <c r="L2" s="252"/>
      <c r="M2" s="252"/>
      <c r="N2" s="252"/>
      <c r="O2" s="252"/>
      <c r="P2" s="252"/>
      <c r="Q2" s="253"/>
      <c r="R2" s="1"/>
      <c r="S2" s="251" t="str">
        <f>CONCATENATE(基本資料!D18,"方向：",基本資料!D19,基本資料!D20)</f>
        <v>C方向：</v>
      </c>
      <c r="T2" s="252"/>
      <c r="U2" s="252"/>
      <c r="V2" s="252"/>
      <c r="W2" s="252"/>
      <c r="X2" s="252"/>
      <c r="Y2" s="252"/>
      <c r="Z2" s="253"/>
      <c r="AA2" s="1"/>
      <c r="AB2" s="251" t="str">
        <f>CONCATENATE(基本資料!E18,"方向：",基本資料!E19,基本資料!E20)</f>
        <v>D方向：</v>
      </c>
      <c r="AC2" s="252"/>
      <c r="AD2" s="252"/>
      <c r="AE2" s="252"/>
      <c r="AF2" s="252"/>
      <c r="AG2" s="252"/>
      <c r="AH2" s="252"/>
      <c r="AI2" s="253"/>
      <c r="AJ2" s="1"/>
      <c r="AK2" s="251" t="str">
        <f>CONCATENATE(基本資料!F18,"方向：",基本資料!F19,基本資料!F20)</f>
        <v>E方向：</v>
      </c>
      <c r="AL2" s="252"/>
      <c r="AM2" s="252"/>
      <c r="AN2" s="252"/>
      <c r="AO2" s="252"/>
      <c r="AP2" s="252"/>
      <c r="AQ2" s="252"/>
      <c r="AR2" s="253"/>
      <c r="AT2" s="251" t="str">
        <f>CONCATENATE(基本資料!G18,"方向：",基本資料!G19,基本資料!G20)</f>
        <v>F方向：</v>
      </c>
      <c r="AU2" s="252"/>
      <c r="AV2" s="252"/>
      <c r="AW2" s="252"/>
      <c r="AX2" s="252"/>
      <c r="AY2" s="252"/>
      <c r="AZ2" s="252"/>
      <c r="BA2" s="253"/>
    </row>
    <row r="3" spans="1:53" ht="18.5" thickBot="1">
      <c r="A3" s="248" t="s">
        <v>95</v>
      </c>
      <c r="B3" s="249"/>
      <c r="C3" s="249"/>
      <c r="D3" s="249"/>
      <c r="E3" s="249"/>
      <c r="F3" s="249"/>
      <c r="G3" s="249"/>
      <c r="H3" s="250"/>
      <c r="I3" s="13"/>
      <c r="J3" s="248" t="s">
        <v>95</v>
      </c>
      <c r="K3" s="249"/>
      <c r="L3" s="249"/>
      <c r="M3" s="249"/>
      <c r="N3" s="249"/>
      <c r="O3" s="249"/>
      <c r="P3" s="249"/>
      <c r="Q3" s="250"/>
      <c r="R3" s="13"/>
      <c r="S3" s="248" t="s">
        <v>95</v>
      </c>
      <c r="T3" s="249"/>
      <c r="U3" s="249"/>
      <c r="V3" s="249"/>
      <c r="W3" s="249"/>
      <c r="X3" s="249"/>
      <c r="Y3" s="249"/>
      <c r="Z3" s="250"/>
      <c r="AA3" s="13"/>
      <c r="AB3" s="248" t="s">
        <v>95</v>
      </c>
      <c r="AC3" s="249"/>
      <c r="AD3" s="249"/>
      <c r="AE3" s="249"/>
      <c r="AF3" s="249"/>
      <c r="AG3" s="249"/>
      <c r="AH3" s="249"/>
      <c r="AI3" s="250"/>
      <c r="AJ3" s="13"/>
      <c r="AK3" s="248" t="s">
        <v>95</v>
      </c>
      <c r="AL3" s="249"/>
      <c r="AM3" s="249"/>
      <c r="AN3" s="249"/>
      <c r="AO3" s="249"/>
      <c r="AP3" s="249"/>
      <c r="AQ3" s="249"/>
      <c r="AR3" s="250"/>
      <c r="AT3" s="248" t="s">
        <v>95</v>
      </c>
      <c r="AU3" s="249"/>
      <c r="AV3" s="249"/>
      <c r="AW3" s="249"/>
      <c r="AX3" s="249"/>
      <c r="AY3" s="249"/>
      <c r="AZ3" s="249"/>
      <c r="BA3" s="250"/>
    </row>
    <row r="4" spans="1:53" ht="17.25" customHeight="1" thickBot="1">
      <c r="A4" s="31" t="s">
        <v>2</v>
      </c>
      <c r="B4" s="32" t="s">
        <v>44</v>
      </c>
      <c r="C4" s="33"/>
      <c r="D4" s="33"/>
      <c r="E4" s="34"/>
      <c r="F4" s="32" t="s">
        <v>45</v>
      </c>
      <c r="G4" s="33"/>
      <c r="H4" s="34"/>
      <c r="I4" s="35"/>
      <c r="J4" s="31" t="s">
        <v>2</v>
      </c>
      <c r="K4" s="32" t="s">
        <v>44</v>
      </c>
      <c r="L4" s="33"/>
      <c r="M4" s="33"/>
      <c r="N4" s="34"/>
      <c r="O4" s="32" t="s">
        <v>45</v>
      </c>
      <c r="P4" s="33"/>
      <c r="Q4" s="34"/>
      <c r="R4" s="35"/>
      <c r="S4" s="31" t="s">
        <v>2</v>
      </c>
      <c r="T4" s="32" t="s">
        <v>44</v>
      </c>
      <c r="U4" s="33"/>
      <c r="V4" s="33"/>
      <c r="W4" s="34"/>
      <c r="X4" s="32" t="s">
        <v>45</v>
      </c>
      <c r="Y4" s="33"/>
      <c r="Z4" s="34"/>
      <c r="AA4" s="35"/>
      <c r="AB4" s="31" t="s">
        <v>2</v>
      </c>
      <c r="AC4" s="32" t="s">
        <v>44</v>
      </c>
      <c r="AD4" s="33"/>
      <c r="AE4" s="33"/>
      <c r="AF4" s="34"/>
      <c r="AG4" s="32" t="s">
        <v>45</v>
      </c>
      <c r="AH4" s="33"/>
      <c r="AI4" s="34"/>
      <c r="AJ4" s="13"/>
      <c r="AK4" s="31" t="s">
        <v>2</v>
      </c>
      <c r="AL4" s="32" t="s">
        <v>44</v>
      </c>
      <c r="AM4" s="33"/>
      <c r="AN4" s="33"/>
      <c r="AO4" s="34"/>
      <c r="AP4" s="32" t="s">
        <v>45</v>
      </c>
      <c r="AQ4" s="33"/>
      <c r="AR4" s="34"/>
      <c r="AT4" s="31" t="s">
        <v>2</v>
      </c>
      <c r="AU4" s="32" t="s">
        <v>44</v>
      </c>
      <c r="AV4" s="33"/>
      <c r="AW4" s="33"/>
      <c r="AX4" s="34"/>
      <c r="AY4" s="32" t="s">
        <v>45</v>
      </c>
      <c r="AZ4" s="33"/>
      <c r="BA4" s="34"/>
    </row>
    <row r="5" spans="1:53" ht="16" thickBot="1">
      <c r="A5" s="36">
        <v>0.5</v>
      </c>
      <c r="B5" s="37" t="s">
        <v>49</v>
      </c>
      <c r="C5" s="37" t="s">
        <v>50</v>
      </c>
      <c r="D5" s="37" t="s">
        <v>51</v>
      </c>
      <c r="E5" s="37" t="s">
        <v>52</v>
      </c>
      <c r="F5" s="37" t="s">
        <v>53</v>
      </c>
      <c r="G5" s="37" t="s">
        <v>54</v>
      </c>
      <c r="H5" s="37" t="s">
        <v>55</v>
      </c>
      <c r="I5" s="35"/>
      <c r="J5" s="36">
        <v>0.5</v>
      </c>
      <c r="K5" s="37" t="s">
        <v>49</v>
      </c>
      <c r="L5" s="37" t="s">
        <v>50</v>
      </c>
      <c r="M5" s="37" t="s">
        <v>51</v>
      </c>
      <c r="N5" s="37" t="s">
        <v>52</v>
      </c>
      <c r="O5" s="37" t="s">
        <v>53</v>
      </c>
      <c r="P5" s="37" t="s">
        <v>54</v>
      </c>
      <c r="Q5" s="37" t="s">
        <v>55</v>
      </c>
      <c r="R5" s="35"/>
      <c r="S5" s="36">
        <v>0.5</v>
      </c>
      <c r="T5" s="37" t="s">
        <v>49</v>
      </c>
      <c r="U5" s="37" t="s">
        <v>50</v>
      </c>
      <c r="V5" s="37" t="s">
        <v>51</v>
      </c>
      <c r="W5" s="37" t="s">
        <v>52</v>
      </c>
      <c r="X5" s="37" t="s">
        <v>53</v>
      </c>
      <c r="Y5" s="37" t="s">
        <v>54</v>
      </c>
      <c r="Z5" s="37" t="s">
        <v>55</v>
      </c>
      <c r="AA5" s="35"/>
      <c r="AB5" s="36">
        <v>0.5</v>
      </c>
      <c r="AC5" s="37" t="s">
        <v>49</v>
      </c>
      <c r="AD5" s="37" t="s">
        <v>50</v>
      </c>
      <c r="AE5" s="37" t="s">
        <v>51</v>
      </c>
      <c r="AF5" s="37" t="s">
        <v>52</v>
      </c>
      <c r="AG5" s="37" t="s">
        <v>53</v>
      </c>
      <c r="AH5" s="37" t="s">
        <v>54</v>
      </c>
      <c r="AI5" s="37" t="s">
        <v>55</v>
      </c>
      <c r="AJ5" s="13"/>
      <c r="AK5" s="36">
        <v>0.5</v>
      </c>
      <c r="AL5" s="37" t="s">
        <v>49</v>
      </c>
      <c r="AM5" s="37" t="s">
        <v>50</v>
      </c>
      <c r="AN5" s="37" t="s">
        <v>51</v>
      </c>
      <c r="AO5" s="37" t="s">
        <v>52</v>
      </c>
      <c r="AP5" s="37" t="s">
        <v>53</v>
      </c>
      <c r="AQ5" s="37" t="s">
        <v>54</v>
      </c>
      <c r="AR5" s="37" t="s">
        <v>55</v>
      </c>
      <c r="AT5" s="36">
        <v>0.5</v>
      </c>
      <c r="AU5" s="37" t="s">
        <v>49</v>
      </c>
      <c r="AV5" s="37" t="s">
        <v>50</v>
      </c>
      <c r="AW5" s="37" t="s">
        <v>51</v>
      </c>
      <c r="AX5" s="37" t="s">
        <v>52</v>
      </c>
      <c r="AY5" s="37" t="s">
        <v>53</v>
      </c>
      <c r="AZ5" s="37" t="s">
        <v>54</v>
      </c>
      <c r="BA5" s="37" t="s">
        <v>55</v>
      </c>
    </row>
    <row r="6" spans="1:53" ht="16" thickBot="1">
      <c r="A6" s="38">
        <v>1</v>
      </c>
      <c r="B6" s="39">
        <f>資料儲存!D2162</f>
        <v>0</v>
      </c>
      <c r="C6" s="39">
        <f>資料儲存!E2162</f>
        <v>0</v>
      </c>
      <c r="D6" s="39">
        <f>資料儲存!F2162</f>
        <v>0</v>
      </c>
      <c r="E6" s="39">
        <f>資料儲存!G2162</f>
        <v>0</v>
      </c>
      <c r="F6" s="39">
        <f>資料儲存!H2162</f>
        <v>0</v>
      </c>
      <c r="G6" s="39">
        <f>資料儲存!I2162</f>
        <v>0</v>
      </c>
      <c r="H6" s="39">
        <f>資料儲存!J2162</f>
        <v>0</v>
      </c>
      <c r="I6" s="35"/>
      <c r="J6" s="38">
        <v>1</v>
      </c>
      <c r="K6" s="39">
        <f>資料儲存!D2282</f>
        <v>0</v>
      </c>
      <c r="L6" s="39">
        <f>資料儲存!E2282</f>
        <v>0</v>
      </c>
      <c r="M6" s="39">
        <f>資料儲存!F2282</f>
        <v>0</v>
      </c>
      <c r="N6" s="39">
        <f>資料儲存!G2282</f>
        <v>0</v>
      </c>
      <c r="O6" s="39">
        <f>資料儲存!H2282</f>
        <v>0</v>
      </c>
      <c r="P6" s="39">
        <f>資料儲存!I2282</f>
        <v>0</v>
      </c>
      <c r="Q6" s="39">
        <f>資料儲存!J2282</f>
        <v>0</v>
      </c>
      <c r="R6" s="35"/>
      <c r="S6" s="38">
        <v>1</v>
      </c>
      <c r="T6" s="39">
        <f>資料儲存!D2402</f>
        <v>0</v>
      </c>
      <c r="U6" s="39">
        <f>資料儲存!E2402</f>
        <v>0</v>
      </c>
      <c r="V6" s="39">
        <f>資料儲存!F2402</f>
        <v>0</v>
      </c>
      <c r="W6" s="39">
        <f>資料儲存!G2402</f>
        <v>0</v>
      </c>
      <c r="X6" s="39">
        <f>資料儲存!H2402</f>
        <v>0</v>
      </c>
      <c r="Y6" s="39">
        <f>資料儲存!I2402</f>
        <v>0</v>
      </c>
      <c r="Z6" s="39">
        <f>資料儲存!J2402</f>
        <v>0</v>
      </c>
      <c r="AA6" s="35"/>
      <c r="AB6" s="38">
        <v>1</v>
      </c>
      <c r="AC6" s="39">
        <f>資料儲存!D2522</f>
        <v>0</v>
      </c>
      <c r="AD6" s="39">
        <f>資料儲存!E2522</f>
        <v>0</v>
      </c>
      <c r="AE6" s="39">
        <f>資料儲存!F2522</f>
        <v>0</v>
      </c>
      <c r="AF6" s="39">
        <f>資料儲存!G2522</f>
        <v>0</v>
      </c>
      <c r="AG6" s="39">
        <f>資料儲存!H2522</f>
        <v>0</v>
      </c>
      <c r="AH6" s="39">
        <f>資料儲存!I2522</f>
        <v>0</v>
      </c>
      <c r="AI6" s="39">
        <f>資料儲存!J2522</f>
        <v>0</v>
      </c>
      <c r="AJ6" s="13"/>
      <c r="AK6" s="38">
        <v>1</v>
      </c>
      <c r="AL6" s="39">
        <f>資料儲存!D2642</f>
        <v>0</v>
      </c>
      <c r="AM6" s="39">
        <f>資料儲存!E2642</f>
        <v>0</v>
      </c>
      <c r="AN6" s="39">
        <f>資料儲存!F2642</f>
        <v>0</v>
      </c>
      <c r="AO6" s="39">
        <f>資料儲存!G2642</f>
        <v>0</v>
      </c>
      <c r="AP6" s="39">
        <f>資料儲存!H2642</f>
        <v>0</v>
      </c>
      <c r="AQ6" s="39">
        <f>資料儲存!I2642</f>
        <v>0</v>
      </c>
      <c r="AR6" s="39">
        <f>資料儲存!J2642</f>
        <v>0</v>
      </c>
      <c r="AT6" s="38">
        <v>1</v>
      </c>
      <c r="AU6" s="39">
        <f>資料儲存!D2762</f>
        <v>0</v>
      </c>
      <c r="AV6" s="39">
        <f>資料儲存!E2762</f>
        <v>0</v>
      </c>
      <c r="AW6" s="39">
        <f>資料儲存!F2762</f>
        <v>0</v>
      </c>
      <c r="AX6" s="39">
        <f>資料儲存!G2762</f>
        <v>0</v>
      </c>
      <c r="AY6" s="39">
        <f>資料儲存!H2762</f>
        <v>0</v>
      </c>
      <c r="AZ6" s="39">
        <f>資料儲存!I2762</f>
        <v>0</v>
      </c>
      <c r="BA6" s="39">
        <f>資料儲存!J2762</f>
        <v>0</v>
      </c>
    </row>
    <row r="7" spans="1:53" ht="16" thickBot="1">
      <c r="A7" s="38">
        <v>2</v>
      </c>
      <c r="B7" s="39">
        <f>資料儲存!D2163</f>
        <v>0</v>
      </c>
      <c r="C7" s="39">
        <f>資料儲存!E2163</f>
        <v>0</v>
      </c>
      <c r="D7" s="39">
        <f>資料儲存!F2163</f>
        <v>0</v>
      </c>
      <c r="E7" s="39">
        <f>資料儲存!G2163</f>
        <v>0</v>
      </c>
      <c r="F7" s="39">
        <f>資料儲存!H2163</f>
        <v>0</v>
      </c>
      <c r="G7" s="39">
        <f>資料儲存!I2163</f>
        <v>0</v>
      </c>
      <c r="H7" s="39">
        <f>資料儲存!J2163</f>
        <v>0</v>
      </c>
      <c r="I7" s="35"/>
      <c r="J7" s="38">
        <v>2</v>
      </c>
      <c r="K7" s="39">
        <f>資料儲存!D2283</f>
        <v>0</v>
      </c>
      <c r="L7" s="39">
        <f>資料儲存!E2283</f>
        <v>0</v>
      </c>
      <c r="M7" s="39">
        <f>資料儲存!F2283</f>
        <v>0</v>
      </c>
      <c r="N7" s="39">
        <f>資料儲存!G2283</f>
        <v>0</v>
      </c>
      <c r="O7" s="39">
        <f>資料儲存!H2283</f>
        <v>0</v>
      </c>
      <c r="P7" s="39">
        <f>資料儲存!I2283</f>
        <v>0</v>
      </c>
      <c r="Q7" s="39">
        <f>資料儲存!J2283</f>
        <v>0</v>
      </c>
      <c r="R7" s="35"/>
      <c r="S7" s="38">
        <v>2</v>
      </c>
      <c r="T7" s="39">
        <f>資料儲存!D2403</f>
        <v>0</v>
      </c>
      <c r="U7" s="39">
        <f>資料儲存!E2403</f>
        <v>0</v>
      </c>
      <c r="V7" s="39">
        <f>資料儲存!F2403</f>
        <v>0</v>
      </c>
      <c r="W7" s="39">
        <f>資料儲存!G2403</f>
        <v>0</v>
      </c>
      <c r="X7" s="39">
        <f>資料儲存!H2403</f>
        <v>0</v>
      </c>
      <c r="Y7" s="39">
        <f>資料儲存!I2403</f>
        <v>0</v>
      </c>
      <c r="Z7" s="39">
        <f>資料儲存!J2403</f>
        <v>0</v>
      </c>
      <c r="AA7" s="35"/>
      <c r="AB7" s="38">
        <v>2</v>
      </c>
      <c r="AC7" s="39">
        <f>資料儲存!D2523</f>
        <v>0</v>
      </c>
      <c r="AD7" s="39">
        <f>資料儲存!E2523</f>
        <v>0</v>
      </c>
      <c r="AE7" s="39">
        <f>資料儲存!F2523</f>
        <v>0</v>
      </c>
      <c r="AF7" s="39">
        <f>資料儲存!G2523</f>
        <v>0</v>
      </c>
      <c r="AG7" s="39">
        <f>資料儲存!H2523</f>
        <v>0</v>
      </c>
      <c r="AH7" s="39">
        <f>資料儲存!I2523</f>
        <v>0</v>
      </c>
      <c r="AI7" s="39">
        <f>資料儲存!J2523</f>
        <v>0</v>
      </c>
      <c r="AJ7" s="13"/>
      <c r="AK7" s="38">
        <v>2</v>
      </c>
      <c r="AL7" s="39">
        <f>資料儲存!D2643</f>
        <v>0</v>
      </c>
      <c r="AM7" s="39">
        <f>資料儲存!E2643</f>
        <v>0</v>
      </c>
      <c r="AN7" s="39">
        <f>資料儲存!F2643</f>
        <v>0</v>
      </c>
      <c r="AO7" s="39">
        <f>資料儲存!G2643</f>
        <v>0</v>
      </c>
      <c r="AP7" s="39">
        <f>資料儲存!H2643</f>
        <v>0</v>
      </c>
      <c r="AQ7" s="39">
        <f>資料儲存!I2643</f>
        <v>0</v>
      </c>
      <c r="AR7" s="39">
        <f>資料儲存!J2643</f>
        <v>0</v>
      </c>
      <c r="AT7" s="38">
        <v>2</v>
      </c>
      <c r="AU7" s="39">
        <f>資料儲存!D2763</f>
        <v>0</v>
      </c>
      <c r="AV7" s="39">
        <f>資料儲存!E2763</f>
        <v>0</v>
      </c>
      <c r="AW7" s="39">
        <f>資料儲存!F2763</f>
        <v>0</v>
      </c>
      <c r="AX7" s="39">
        <f>資料儲存!G2763</f>
        <v>0</v>
      </c>
      <c r="AY7" s="39">
        <f>資料儲存!H2763</f>
        <v>0</v>
      </c>
      <c r="AZ7" s="39">
        <f>資料儲存!I2763</f>
        <v>0</v>
      </c>
      <c r="BA7" s="39">
        <f>資料儲存!J2763</f>
        <v>0</v>
      </c>
    </row>
    <row r="8" spans="1:53" ht="16" thickBot="1">
      <c r="A8" s="38">
        <v>3</v>
      </c>
      <c r="B8" s="39">
        <f>資料儲存!D2164</f>
        <v>0</v>
      </c>
      <c r="C8" s="39">
        <f>資料儲存!E2164</f>
        <v>0</v>
      </c>
      <c r="D8" s="39">
        <f>資料儲存!F2164</f>
        <v>0</v>
      </c>
      <c r="E8" s="39">
        <f>資料儲存!G2164</f>
        <v>0</v>
      </c>
      <c r="F8" s="39">
        <f>資料儲存!H2164</f>
        <v>0</v>
      </c>
      <c r="G8" s="39">
        <f>資料儲存!I2164</f>
        <v>0</v>
      </c>
      <c r="H8" s="39">
        <f>資料儲存!J2164</f>
        <v>0</v>
      </c>
      <c r="I8" s="35"/>
      <c r="J8" s="38">
        <v>3</v>
      </c>
      <c r="K8" s="39">
        <f>資料儲存!D2284</f>
        <v>0</v>
      </c>
      <c r="L8" s="39">
        <f>資料儲存!E2284</f>
        <v>0</v>
      </c>
      <c r="M8" s="39">
        <f>資料儲存!F2284</f>
        <v>0</v>
      </c>
      <c r="N8" s="39">
        <f>資料儲存!G2284</f>
        <v>0</v>
      </c>
      <c r="O8" s="39">
        <f>資料儲存!H2284</f>
        <v>0</v>
      </c>
      <c r="P8" s="39">
        <f>資料儲存!I2284</f>
        <v>0</v>
      </c>
      <c r="Q8" s="39">
        <f>資料儲存!J2284</f>
        <v>0</v>
      </c>
      <c r="R8" s="35"/>
      <c r="S8" s="38">
        <v>3</v>
      </c>
      <c r="T8" s="39">
        <f>資料儲存!D2404</f>
        <v>0</v>
      </c>
      <c r="U8" s="39">
        <f>資料儲存!E2404</f>
        <v>0</v>
      </c>
      <c r="V8" s="39">
        <f>資料儲存!F2404</f>
        <v>0</v>
      </c>
      <c r="W8" s="39">
        <f>資料儲存!G2404</f>
        <v>0</v>
      </c>
      <c r="X8" s="39">
        <f>資料儲存!H2404</f>
        <v>0</v>
      </c>
      <c r="Y8" s="39">
        <f>資料儲存!I2404</f>
        <v>0</v>
      </c>
      <c r="Z8" s="39">
        <f>資料儲存!J2404</f>
        <v>0</v>
      </c>
      <c r="AA8" s="35"/>
      <c r="AB8" s="38">
        <v>3</v>
      </c>
      <c r="AC8" s="39">
        <f>資料儲存!D2524</f>
        <v>0</v>
      </c>
      <c r="AD8" s="39">
        <f>資料儲存!E2524</f>
        <v>0</v>
      </c>
      <c r="AE8" s="39">
        <f>資料儲存!F2524</f>
        <v>0</v>
      </c>
      <c r="AF8" s="39">
        <f>資料儲存!G2524</f>
        <v>0</v>
      </c>
      <c r="AG8" s="39">
        <f>資料儲存!H2524</f>
        <v>0</v>
      </c>
      <c r="AH8" s="39">
        <f>資料儲存!I2524</f>
        <v>0</v>
      </c>
      <c r="AI8" s="39">
        <f>資料儲存!J2524</f>
        <v>0</v>
      </c>
      <c r="AJ8" s="13"/>
      <c r="AK8" s="38">
        <v>3</v>
      </c>
      <c r="AL8" s="39">
        <f>資料儲存!D2644</f>
        <v>0</v>
      </c>
      <c r="AM8" s="39">
        <f>資料儲存!E2644</f>
        <v>0</v>
      </c>
      <c r="AN8" s="39">
        <f>資料儲存!F2644</f>
        <v>0</v>
      </c>
      <c r="AO8" s="39">
        <f>資料儲存!G2644</f>
        <v>0</v>
      </c>
      <c r="AP8" s="39">
        <f>資料儲存!H2644</f>
        <v>0</v>
      </c>
      <c r="AQ8" s="39">
        <f>資料儲存!I2644</f>
        <v>0</v>
      </c>
      <c r="AR8" s="39">
        <f>資料儲存!J2644</f>
        <v>0</v>
      </c>
      <c r="AT8" s="38">
        <v>3</v>
      </c>
      <c r="AU8" s="39">
        <f>資料儲存!D2764</f>
        <v>0</v>
      </c>
      <c r="AV8" s="39">
        <f>資料儲存!E2764</f>
        <v>0</v>
      </c>
      <c r="AW8" s="39">
        <f>資料儲存!F2764</f>
        <v>0</v>
      </c>
      <c r="AX8" s="39">
        <f>資料儲存!G2764</f>
        <v>0</v>
      </c>
      <c r="AY8" s="39">
        <f>資料儲存!H2764</f>
        <v>0</v>
      </c>
      <c r="AZ8" s="39">
        <f>資料儲存!I2764</f>
        <v>0</v>
      </c>
      <c r="BA8" s="39">
        <f>資料儲存!J2764</f>
        <v>0</v>
      </c>
    </row>
    <row r="9" spans="1:53" ht="16" thickBot="1">
      <c r="A9" s="38">
        <v>4</v>
      </c>
      <c r="B9" s="39">
        <f>資料儲存!D2165</f>
        <v>0</v>
      </c>
      <c r="C9" s="39">
        <f>資料儲存!E2165</f>
        <v>0</v>
      </c>
      <c r="D9" s="39">
        <f>資料儲存!F2165</f>
        <v>0</v>
      </c>
      <c r="E9" s="39">
        <f>資料儲存!G2165</f>
        <v>0</v>
      </c>
      <c r="F9" s="39">
        <f>資料儲存!H2165</f>
        <v>0</v>
      </c>
      <c r="G9" s="39">
        <f>資料儲存!I2165</f>
        <v>0</v>
      </c>
      <c r="H9" s="39">
        <f>資料儲存!J2165</f>
        <v>0</v>
      </c>
      <c r="I9" s="35"/>
      <c r="J9" s="38">
        <v>4</v>
      </c>
      <c r="K9" s="39">
        <f>資料儲存!D2285</f>
        <v>0</v>
      </c>
      <c r="L9" s="39">
        <f>資料儲存!E2285</f>
        <v>0</v>
      </c>
      <c r="M9" s="39">
        <f>資料儲存!F2285</f>
        <v>0</v>
      </c>
      <c r="N9" s="39">
        <f>資料儲存!G2285</f>
        <v>0</v>
      </c>
      <c r="O9" s="39">
        <f>資料儲存!H2285</f>
        <v>0</v>
      </c>
      <c r="P9" s="39">
        <f>資料儲存!I2285</f>
        <v>0</v>
      </c>
      <c r="Q9" s="39">
        <f>資料儲存!J2285</f>
        <v>0</v>
      </c>
      <c r="R9" s="35"/>
      <c r="S9" s="38">
        <v>4</v>
      </c>
      <c r="T9" s="39">
        <f>資料儲存!D2405</f>
        <v>0</v>
      </c>
      <c r="U9" s="39">
        <f>資料儲存!E2405</f>
        <v>0</v>
      </c>
      <c r="V9" s="39">
        <f>資料儲存!F2405</f>
        <v>0</v>
      </c>
      <c r="W9" s="39">
        <f>資料儲存!G2405</f>
        <v>0</v>
      </c>
      <c r="X9" s="39">
        <f>資料儲存!H2405</f>
        <v>0</v>
      </c>
      <c r="Y9" s="39">
        <f>資料儲存!I2405</f>
        <v>0</v>
      </c>
      <c r="Z9" s="39">
        <f>資料儲存!J2405</f>
        <v>0</v>
      </c>
      <c r="AA9" s="35"/>
      <c r="AB9" s="38">
        <v>4</v>
      </c>
      <c r="AC9" s="39">
        <f>資料儲存!D2525</f>
        <v>0</v>
      </c>
      <c r="AD9" s="39">
        <f>資料儲存!E2525</f>
        <v>0</v>
      </c>
      <c r="AE9" s="39">
        <f>資料儲存!F2525</f>
        <v>0</v>
      </c>
      <c r="AF9" s="39">
        <f>資料儲存!G2525</f>
        <v>0</v>
      </c>
      <c r="AG9" s="39">
        <f>資料儲存!H2525</f>
        <v>0</v>
      </c>
      <c r="AH9" s="39">
        <f>資料儲存!I2525</f>
        <v>0</v>
      </c>
      <c r="AI9" s="39">
        <f>資料儲存!J2525</f>
        <v>0</v>
      </c>
      <c r="AJ9" s="13"/>
      <c r="AK9" s="38">
        <v>4</v>
      </c>
      <c r="AL9" s="39">
        <f>資料儲存!D2645</f>
        <v>0</v>
      </c>
      <c r="AM9" s="39">
        <f>資料儲存!E2645</f>
        <v>0</v>
      </c>
      <c r="AN9" s="39">
        <f>資料儲存!F2645</f>
        <v>0</v>
      </c>
      <c r="AO9" s="39">
        <f>資料儲存!G2645</f>
        <v>0</v>
      </c>
      <c r="AP9" s="39">
        <f>資料儲存!H2645</f>
        <v>0</v>
      </c>
      <c r="AQ9" s="39">
        <f>資料儲存!I2645</f>
        <v>0</v>
      </c>
      <c r="AR9" s="39">
        <f>資料儲存!J2645</f>
        <v>0</v>
      </c>
      <c r="AT9" s="38">
        <v>4</v>
      </c>
      <c r="AU9" s="39">
        <f>資料儲存!D2765</f>
        <v>0</v>
      </c>
      <c r="AV9" s="39">
        <f>資料儲存!E2765</f>
        <v>0</v>
      </c>
      <c r="AW9" s="39">
        <f>資料儲存!F2765</f>
        <v>0</v>
      </c>
      <c r="AX9" s="39">
        <f>資料儲存!G2765</f>
        <v>0</v>
      </c>
      <c r="AY9" s="39">
        <f>資料儲存!H2765</f>
        <v>0</v>
      </c>
      <c r="AZ9" s="39">
        <f>資料儲存!I2765</f>
        <v>0</v>
      </c>
      <c r="BA9" s="39">
        <f>資料儲存!J2765</f>
        <v>0</v>
      </c>
    </row>
    <row r="10" spans="1:53" ht="16" thickBot="1">
      <c r="A10" s="38">
        <v>5</v>
      </c>
      <c r="B10" s="39">
        <f>資料儲存!D2166</f>
        <v>0</v>
      </c>
      <c r="C10" s="39">
        <f>資料儲存!E2166</f>
        <v>0</v>
      </c>
      <c r="D10" s="39">
        <f>資料儲存!F2166</f>
        <v>0</v>
      </c>
      <c r="E10" s="39">
        <f>資料儲存!G2166</f>
        <v>0</v>
      </c>
      <c r="F10" s="39">
        <f>資料儲存!H2166</f>
        <v>0</v>
      </c>
      <c r="G10" s="39">
        <f>資料儲存!I2166</f>
        <v>0</v>
      </c>
      <c r="H10" s="39">
        <f>資料儲存!J2166</f>
        <v>0</v>
      </c>
      <c r="I10" s="35"/>
      <c r="J10" s="38">
        <v>5</v>
      </c>
      <c r="K10" s="39">
        <f>資料儲存!D2286</f>
        <v>0</v>
      </c>
      <c r="L10" s="39">
        <f>資料儲存!E2286</f>
        <v>0</v>
      </c>
      <c r="M10" s="39">
        <f>資料儲存!F2286</f>
        <v>0</v>
      </c>
      <c r="N10" s="39">
        <f>資料儲存!G2286</f>
        <v>0</v>
      </c>
      <c r="O10" s="39">
        <f>資料儲存!H2286</f>
        <v>0</v>
      </c>
      <c r="P10" s="39">
        <f>資料儲存!I2286</f>
        <v>0</v>
      </c>
      <c r="Q10" s="39">
        <f>資料儲存!J2286</f>
        <v>0</v>
      </c>
      <c r="R10" s="35"/>
      <c r="S10" s="38">
        <v>5</v>
      </c>
      <c r="T10" s="39">
        <f>資料儲存!D2406</f>
        <v>0</v>
      </c>
      <c r="U10" s="39">
        <f>資料儲存!E2406</f>
        <v>0</v>
      </c>
      <c r="V10" s="39">
        <f>資料儲存!F2406</f>
        <v>0</v>
      </c>
      <c r="W10" s="39">
        <f>資料儲存!G2406</f>
        <v>0</v>
      </c>
      <c r="X10" s="39">
        <f>資料儲存!H2406</f>
        <v>0</v>
      </c>
      <c r="Y10" s="39">
        <f>資料儲存!I2406</f>
        <v>0</v>
      </c>
      <c r="Z10" s="39">
        <f>資料儲存!J2406</f>
        <v>0</v>
      </c>
      <c r="AA10" s="35"/>
      <c r="AB10" s="38">
        <v>5</v>
      </c>
      <c r="AC10" s="39">
        <f>資料儲存!D2526</f>
        <v>0</v>
      </c>
      <c r="AD10" s="39">
        <f>資料儲存!E2526</f>
        <v>0</v>
      </c>
      <c r="AE10" s="39">
        <f>資料儲存!F2526</f>
        <v>0</v>
      </c>
      <c r="AF10" s="39">
        <f>資料儲存!G2526</f>
        <v>0</v>
      </c>
      <c r="AG10" s="39">
        <f>資料儲存!H2526</f>
        <v>0</v>
      </c>
      <c r="AH10" s="39">
        <f>資料儲存!I2526</f>
        <v>0</v>
      </c>
      <c r="AI10" s="39">
        <f>資料儲存!J2526</f>
        <v>0</v>
      </c>
      <c r="AJ10" s="13"/>
      <c r="AK10" s="38">
        <v>5</v>
      </c>
      <c r="AL10" s="39">
        <f>資料儲存!D2646</f>
        <v>0</v>
      </c>
      <c r="AM10" s="39">
        <f>資料儲存!E2646</f>
        <v>0</v>
      </c>
      <c r="AN10" s="39">
        <f>資料儲存!F2646</f>
        <v>0</v>
      </c>
      <c r="AO10" s="39">
        <f>資料儲存!G2646</f>
        <v>0</v>
      </c>
      <c r="AP10" s="39">
        <f>資料儲存!H2646</f>
        <v>0</v>
      </c>
      <c r="AQ10" s="39">
        <f>資料儲存!I2646</f>
        <v>0</v>
      </c>
      <c r="AR10" s="39">
        <f>資料儲存!J2646</f>
        <v>0</v>
      </c>
      <c r="AT10" s="38">
        <v>5</v>
      </c>
      <c r="AU10" s="39">
        <f>資料儲存!D2766</f>
        <v>0</v>
      </c>
      <c r="AV10" s="39">
        <f>資料儲存!E2766</f>
        <v>0</v>
      </c>
      <c r="AW10" s="39">
        <f>資料儲存!F2766</f>
        <v>0</v>
      </c>
      <c r="AX10" s="39">
        <f>資料儲存!G2766</f>
        <v>0</v>
      </c>
      <c r="AY10" s="39">
        <f>資料儲存!H2766</f>
        <v>0</v>
      </c>
      <c r="AZ10" s="39">
        <f>資料儲存!I2766</f>
        <v>0</v>
      </c>
      <c r="BA10" s="39">
        <f>資料儲存!J2766</f>
        <v>0</v>
      </c>
    </row>
    <row r="11" spans="1:53" ht="16" thickBot="1">
      <c r="A11" s="38">
        <v>6</v>
      </c>
      <c r="B11" s="39">
        <f>資料儲存!D2167</f>
        <v>0</v>
      </c>
      <c r="C11" s="39">
        <f>資料儲存!E2167</f>
        <v>0</v>
      </c>
      <c r="D11" s="39">
        <f>資料儲存!F2167</f>
        <v>0</v>
      </c>
      <c r="E11" s="39">
        <f>資料儲存!G2167</f>
        <v>0</v>
      </c>
      <c r="F11" s="39">
        <f>資料儲存!H2167</f>
        <v>0</v>
      </c>
      <c r="G11" s="39">
        <f>資料儲存!I2167</f>
        <v>0</v>
      </c>
      <c r="H11" s="39">
        <f>資料儲存!J2167</f>
        <v>0</v>
      </c>
      <c r="I11" s="35"/>
      <c r="J11" s="38">
        <v>6</v>
      </c>
      <c r="K11" s="39">
        <f>資料儲存!D2287</f>
        <v>0</v>
      </c>
      <c r="L11" s="39">
        <f>資料儲存!E2287</f>
        <v>0</v>
      </c>
      <c r="M11" s="39">
        <f>資料儲存!F2287</f>
        <v>0</v>
      </c>
      <c r="N11" s="39">
        <f>資料儲存!G2287</f>
        <v>0</v>
      </c>
      <c r="O11" s="39">
        <f>資料儲存!H2287</f>
        <v>0</v>
      </c>
      <c r="P11" s="39">
        <f>資料儲存!I2287</f>
        <v>0</v>
      </c>
      <c r="Q11" s="39">
        <f>資料儲存!J2287</f>
        <v>0</v>
      </c>
      <c r="R11" s="35"/>
      <c r="S11" s="38">
        <v>6</v>
      </c>
      <c r="T11" s="39">
        <f>資料儲存!D2407</f>
        <v>0</v>
      </c>
      <c r="U11" s="39">
        <f>資料儲存!E2407</f>
        <v>0</v>
      </c>
      <c r="V11" s="39">
        <f>資料儲存!F2407</f>
        <v>0</v>
      </c>
      <c r="W11" s="39">
        <f>資料儲存!G2407</f>
        <v>0</v>
      </c>
      <c r="X11" s="39">
        <f>資料儲存!H2407</f>
        <v>0</v>
      </c>
      <c r="Y11" s="39">
        <f>資料儲存!I2407</f>
        <v>0</v>
      </c>
      <c r="Z11" s="39">
        <f>資料儲存!J2407</f>
        <v>0</v>
      </c>
      <c r="AA11" s="35"/>
      <c r="AB11" s="38">
        <v>6</v>
      </c>
      <c r="AC11" s="39">
        <f>資料儲存!D2527</f>
        <v>0</v>
      </c>
      <c r="AD11" s="39">
        <f>資料儲存!E2527</f>
        <v>0</v>
      </c>
      <c r="AE11" s="39">
        <f>資料儲存!F2527</f>
        <v>0</v>
      </c>
      <c r="AF11" s="39">
        <f>資料儲存!G2527</f>
        <v>0</v>
      </c>
      <c r="AG11" s="39">
        <f>資料儲存!H2527</f>
        <v>0</v>
      </c>
      <c r="AH11" s="39">
        <f>資料儲存!I2527</f>
        <v>0</v>
      </c>
      <c r="AI11" s="39">
        <f>資料儲存!J2527</f>
        <v>0</v>
      </c>
      <c r="AJ11" s="13"/>
      <c r="AK11" s="38">
        <v>6</v>
      </c>
      <c r="AL11" s="39">
        <f>資料儲存!D2647</f>
        <v>0</v>
      </c>
      <c r="AM11" s="39">
        <f>資料儲存!E2647</f>
        <v>0</v>
      </c>
      <c r="AN11" s="39">
        <f>資料儲存!F2647</f>
        <v>0</v>
      </c>
      <c r="AO11" s="39">
        <f>資料儲存!G2647</f>
        <v>0</v>
      </c>
      <c r="AP11" s="39">
        <f>資料儲存!H2647</f>
        <v>0</v>
      </c>
      <c r="AQ11" s="39">
        <f>資料儲存!I2647</f>
        <v>0</v>
      </c>
      <c r="AR11" s="39">
        <f>資料儲存!J2647</f>
        <v>0</v>
      </c>
      <c r="AT11" s="38">
        <v>6</v>
      </c>
      <c r="AU11" s="39">
        <f>資料儲存!D2767</f>
        <v>0</v>
      </c>
      <c r="AV11" s="39">
        <f>資料儲存!E2767</f>
        <v>0</v>
      </c>
      <c r="AW11" s="39">
        <f>資料儲存!F2767</f>
        <v>0</v>
      </c>
      <c r="AX11" s="39">
        <f>資料儲存!G2767</f>
        <v>0</v>
      </c>
      <c r="AY11" s="39">
        <f>資料儲存!H2767</f>
        <v>0</v>
      </c>
      <c r="AZ11" s="39">
        <f>資料儲存!I2767</f>
        <v>0</v>
      </c>
      <c r="BA11" s="39">
        <f>資料儲存!J2767</f>
        <v>0</v>
      </c>
    </row>
    <row r="12" spans="1:53" ht="16" thickBot="1">
      <c r="A12" s="38">
        <v>7</v>
      </c>
      <c r="B12" s="39">
        <f>資料儲存!D2168</f>
        <v>0</v>
      </c>
      <c r="C12" s="39">
        <f>資料儲存!E2168</f>
        <v>0</v>
      </c>
      <c r="D12" s="39">
        <f>資料儲存!F2168</f>
        <v>0</v>
      </c>
      <c r="E12" s="39">
        <f>資料儲存!G2168</f>
        <v>0</v>
      </c>
      <c r="F12" s="39">
        <f>資料儲存!H2168</f>
        <v>0</v>
      </c>
      <c r="G12" s="39">
        <f>資料儲存!I2168</f>
        <v>0</v>
      </c>
      <c r="H12" s="39">
        <f>資料儲存!J2168</f>
        <v>0</v>
      </c>
      <c r="I12" s="35"/>
      <c r="J12" s="38">
        <v>7</v>
      </c>
      <c r="K12" s="39">
        <f>資料儲存!D2288</f>
        <v>0</v>
      </c>
      <c r="L12" s="39">
        <f>資料儲存!E2288</f>
        <v>0</v>
      </c>
      <c r="M12" s="39">
        <f>資料儲存!F2288</f>
        <v>0</v>
      </c>
      <c r="N12" s="39">
        <f>資料儲存!G2288</f>
        <v>0</v>
      </c>
      <c r="O12" s="39">
        <f>資料儲存!H2288</f>
        <v>0</v>
      </c>
      <c r="P12" s="39">
        <f>資料儲存!I2288</f>
        <v>0</v>
      </c>
      <c r="Q12" s="39">
        <f>資料儲存!J2288</f>
        <v>0</v>
      </c>
      <c r="R12" s="35"/>
      <c r="S12" s="38">
        <v>7</v>
      </c>
      <c r="T12" s="39">
        <f>資料儲存!D2408</f>
        <v>0</v>
      </c>
      <c r="U12" s="39">
        <f>資料儲存!E2408</f>
        <v>0</v>
      </c>
      <c r="V12" s="39">
        <f>資料儲存!F2408</f>
        <v>0</v>
      </c>
      <c r="W12" s="39">
        <f>資料儲存!G2408</f>
        <v>0</v>
      </c>
      <c r="X12" s="39">
        <f>資料儲存!H2408</f>
        <v>0</v>
      </c>
      <c r="Y12" s="39">
        <f>資料儲存!I2408</f>
        <v>0</v>
      </c>
      <c r="Z12" s="39">
        <f>資料儲存!J2408</f>
        <v>0</v>
      </c>
      <c r="AA12" s="35"/>
      <c r="AB12" s="38">
        <v>7</v>
      </c>
      <c r="AC12" s="39">
        <f>資料儲存!D2528</f>
        <v>0</v>
      </c>
      <c r="AD12" s="39">
        <f>資料儲存!E2528</f>
        <v>0</v>
      </c>
      <c r="AE12" s="39">
        <f>資料儲存!F2528</f>
        <v>0</v>
      </c>
      <c r="AF12" s="39">
        <f>資料儲存!G2528</f>
        <v>0</v>
      </c>
      <c r="AG12" s="39">
        <f>資料儲存!H2528</f>
        <v>0</v>
      </c>
      <c r="AH12" s="39">
        <f>資料儲存!I2528</f>
        <v>0</v>
      </c>
      <c r="AI12" s="39">
        <f>資料儲存!J2528</f>
        <v>0</v>
      </c>
      <c r="AJ12" s="13"/>
      <c r="AK12" s="38">
        <v>7</v>
      </c>
      <c r="AL12" s="39">
        <f>資料儲存!D2648</f>
        <v>0</v>
      </c>
      <c r="AM12" s="39">
        <f>資料儲存!E2648</f>
        <v>0</v>
      </c>
      <c r="AN12" s="39">
        <f>資料儲存!F2648</f>
        <v>0</v>
      </c>
      <c r="AO12" s="39">
        <f>資料儲存!G2648</f>
        <v>0</v>
      </c>
      <c r="AP12" s="39">
        <f>資料儲存!H2648</f>
        <v>0</v>
      </c>
      <c r="AQ12" s="39">
        <f>資料儲存!I2648</f>
        <v>0</v>
      </c>
      <c r="AR12" s="39">
        <f>資料儲存!J2648</f>
        <v>0</v>
      </c>
      <c r="AT12" s="38">
        <v>7</v>
      </c>
      <c r="AU12" s="39">
        <f>資料儲存!D2768</f>
        <v>0</v>
      </c>
      <c r="AV12" s="39">
        <f>資料儲存!E2768</f>
        <v>0</v>
      </c>
      <c r="AW12" s="39">
        <f>資料儲存!F2768</f>
        <v>0</v>
      </c>
      <c r="AX12" s="39">
        <f>資料儲存!G2768</f>
        <v>0</v>
      </c>
      <c r="AY12" s="39">
        <f>資料儲存!H2768</f>
        <v>0</v>
      </c>
      <c r="AZ12" s="39">
        <f>資料儲存!I2768</f>
        <v>0</v>
      </c>
      <c r="BA12" s="39">
        <f>資料儲存!J2768</f>
        <v>0</v>
      </c>
    </row>
    <row r="13" spans="1:53" ht="16" thickBot="1">
      <c r="A13" s="38">
        <v>8</v>
      </c>
      <c r="B13" s="39">
        <f>資料儲存!D2169</f>
        <v>0</v>
      </c>
      <c r="C13" s="39">
        <f>資料儲存!E2169</f>
        <v>0</v>
      </c>
      <c r="D13" s="39">
        <f>資料儲存!F2169</f>
        <v>0</v>
      </c>
      <c r="E13" s="39">
        <f>資料儲存!G2169</f>
        <v>0</v>
      </c>
      <c r="F13" s="39">
        <f>資料儲存!H2169</f>
        <v>0</v>
      </c>
      <c r="G13" s="39">
        <f>資料儲存!I2169</f>
        <v>0</v>
      </c>
      <c r="H13" s="39">
        <f>資料儲存!J2169</f>
        <v>0</v>
      </c>
      <c r="I13" s="35"/>
      <c r="J13" s="38">
        <v>8</v>
      </c>
      <c r="K13" s="39">
        <f>資料儲存!D2289</f>
        <v>0</v>
      </c>
      <c r="L13" s="39">
        <f>資料儲存!E2289</f>
        <v>0</v>
      </c>
      <c r="M13" s="39">
        <f>資料儲存!F2289</f>
        <v>0</v>
      </c>
      <c r="N13" s="39">
        <f>資料儲存!G2289</f>
        <v>0</v>
      </c>
      <c r="O13" s="39">
        <f>資料儲存!H2289</f>
        <v>0</v>
      </c>
      <c r="P13" s="39">
        <f>資料儲存!I2289</f>
        <v>0</v>
      </c>
      <c r="Q13" s="39">
        <f>資料儲存!J2289</f>
        <v>0</v>
      </c>
      <c r="R13" s="35"/>
      <c r="S13" s="38">
        <v>8</v>
      </c>
      <c r="T13" s="39">
        <f>資料儲存!D2409</f>
        <v>0</v>
      </c>
      <c r="U13" s="39">
        <f>資料儲存!E2409</f>
        <v>0</v>
      </c>
      <c r="V13" s="39">
        <f>資料儲存!F2409</f>
        <v>0</v>
      </c>
      <c r="W13" s="39">
        <f>資料儲存!G2409</f>
        <v>0</v>
      </c>
      <c r="X13" s="39">
        <f>資料儲存!H2409</f>
        <v>0</v>
      </c>
      <c r="Y13" s="39">
        <f>資料儲存!I2409</f>
        <v>0</v>
      </c>
      <c r="Z13" s="39">
        <f>資料儲存!J2409</f>
        <v>0</v>
      </c>
      <c r="AA13" s="35"/>
      <c r="AB13" s="38">
        <v>8</v>
      </c>
      <c r="AC13" s="39">
        <f>資料儲存!D2529</f>
        <v>0</v>
      </c>
      <c r="AD13" s="39">
        <f>資料儲存!E2529</f>
        <v>0</v>
      </c>
      <c r="AE13" s="39">
        <f>資料儲存!F2529</f>
        <v>0</v>
      </c>
      <c r="AF13" s="39">
        <f>資料儲存!G2529</f>
        <v>0</v>
      </c>
      <c r="AG13" s="39">
        <f>資料儲存!H2529</f>
        <v>0</v>
      </c>
      <c r="AH13" s="39">
        <f>資料儲存!I2529</f>
        <v>0</v>
      </c>
      <c r="AI13" s="39">
        <f>資料儲存!J2529</f>
        <v>0</v>
      </c>
      <c r="AJ13" s="13"/>
      <c r="AK13" s="38">
        <v>8</v>
      </c>
      <c r="AL13" s="39">
        <f>資料儲存!D2649</f>
        <v>0</v>
      </c>
      <c r="AM13" s="39">
        <f>資料儲存!E2649</f>
        <v>0</v>
      </c>
      <c r="AN13" s="39">
        <f>資料儲存!F2649</f>
        <v>0</v>
      </c>
      <c r="AO13" s="39">
        <f>資料儲存!G2649</f>
        <v>0</v>
      </c>
      <c r="AP13" s="39">
        <f>資料儲存!H2649</f>
        <v>0</v>
      </c>
      <c r="AQ13" s="39">
        <f>資料儲存!I2649</f>
        <v>0</v>
      </c>
      <c r="AR13" s="39">
        <f>資料儲存!J2649</f>
        <v>0</v>
      </c>
      <c r="AT13" s="38">
        <v>8</v>
      </c>
      <c r="AU13" s="39">
        <f>資料儲存!D2769</f>
        <v>0</v>
      </c>
      <c r="AV13" s="39">
        <f>資料儲存!E2769</f>
        <v>0</v>
      </c>
      <c r="AW13" s="39">
        <f>資料儲存!F2769</f>
        <v>0</v>
      </c>
      <c r="AX13" s="39">
        <f>資料儲存!G2769</f>
        <v>0</v>
      </c>
      <c r="AY13" s="39">
        <f>資料儲存!H2769</f>
        <v>0</v>
      </c>
      <c r="AZ13" s="39">
        <f>資料儲存!I2769</f>
        <v>0</v>
      </c>
      <c r="BA13" s="39">
        <f>資料儲存!J2769</f>
        <v>0</v>
      </c>
    </row>
    <row r="14" spans="1:53" ht="16" thickBot="1">
      <c r="A14" s="38">
        <v>9</v>
      </c>
      <c r="B14" s="39">
        <f>資料儲存!D2170</f>
        <v>0</v>
      </c>
      <c r="C14" s="39">
        <f>資料儲存!E2170</f>
        <v>0</v>
      </c>
      <c r="D14" s="39">
        <f>資料儲存!F2170</f>
        <v>0</v>
      </c>
      <c r="E14" s="39">
        <f>資料儲存!G2170</f>
        <v>0</v>
      </c>
      <c r="F14" s="39">
        <f>資料儲存!H2170</f>
        <v>0</v>
      </c>
      <c r="G14" s="39">
        <f>資料儲存!I2170</f>
        <v>0</v>
      </c>
      <c r="H14" s="39">
        <f>資料儲存!J2170</f>
        <v>0</v>
      </c>
      <c r="I14" s="35"/>
      <c r="J14" s="38">
        <v>9</v>
      </c>
      <c r="K14" s="39">
        <f>資料儲存!D2290</f>
        <v>0</v>
      </c>
      <c r="L14" s="39">
        <f>資料儲存!E2290</f>
        <v>0</v>
      </c>
      <c r="M14" s="39">
        <f>資料儲存!F2290</f>
        <v>0</v>
      </c>
      <c r="N14" s="39">
        <f>資料儲存!G2290</f>
        <v>0</v>
      </c>
      <c r="O14" s="39">
        <f>資料儲存!H2290</f>
        <v>0</v>
      </c>
      <c r="P14" s="39">
        <f>資料儲存!I2290</f>
        <v>0</v>
      </c>
      <c r="Q14" s="39">
        <f>資料儲存!J2290</f>
        <v>0</v>
      </c>
      <c r="R14" s="35"/>
      <c r="S14" s="38">
        <v>9</v>
      </c>
      <c r="T14" s="39">
        <f>資料儲存!D2410</f>
        <v>0</v>
      </c>
      <c r="U14" s="39">
        <f>資料儲存!E2410</f>
        <v>0</v>
      </c>
      <c r="V14" s="39">
        <f>資料儲存!F2410</f>
        <v>0</v>
      </c>
      <c r="W14" s="39">
        <f>資料儲存!G2410</f>
        <v>0</v>
      </c>
      <c r="X14" s="39">
        <f>資料儲存!H2410</f>
        <v>0</v>
      </c>
      <c r="Y14" s="39">
        <f>資料儲存!I2410</f>
        <v>0</v>
      </c>
      <c r="Z14" s="39">
        <f>資料儲存!J2410</f>
        <v>0</v>
      </c>
      <c r="AA14" s="35"/>
      <c r="AB14" s="38">
        <v>9</v>
      </c>
      <c r="AC14" s="39">
        <f>資料儲存!D2530</f>
        <v>0</v>
      </c>
      <c r="AD14" s="39">
        <f>資料儲存!E2530</f>
        <v>0</v>
      </c>
      <c r="AE14" s="39">
        <f>資料儲存!F2530</f>
        <v>0</v>
      </c>
      <c r="AF14" s="39">
        <f>資料儲存!G2530</f>
        <v>0</v>
      </c>
      <c r="AG14" s="39">
        <f>資料儲存!H2530</f>
        <v>0</v>
      </c>
      <c r="AH14" s="39">
        <f>資料儲存!I2530</f>
        <v>0</v>
      </c>
      <c r="AI14" s="39">
        <f>資料儲存!J2530</f>
        <v>0</v>
      </c>
      <c r="AJ14" s="13"/>
      <c r="AK14" s="38">
        <v>9</v>
      </c>
      <c r="AL14" s="39">
        <f>資料儲存!D2650</f>
        <v>0</v>
      </c>
      <c r="AM14" s="39">
        <f>資料儲存!E2650</f>
        <v>0</v>
      </c>
      <c r="AN14" s="39">
        <f>資料儲存!F2650</f>
        <v>0</v>
      </c>
      <c r="AO14" s="39">
        <f>資料儲存!G2650</f>
        <v>0</v>
      </c>
      <c r="AP14" s="39">
        <f>資料儲存!H2650</f>
        <v>0</v>
      </c>
      <c r="AQ14" s="39">
        <f>資料儲存!I2650</f>
        <v>0</v>
      </c>
      <c r="AR14" s="39">
        <f>資料儲存!J2650</f>
        <v>0</v>
      </c>
      <c r="AT14" s="38">
        <v>9</v>
      </c>
      <c r="AU14" s="39">
        <f>資料儲存!D2770</f>
        <v>0</v>
      </c>
      <c r="AV14" s="39">
        <f>資料儲存!E2770</f>
        <v>0</v>
      </c>
      <c r="AW14" s="39">
        <f>資料儲存!F2770</f>
        <v>0</v>
      </c>
      <c r="AX14" s="39">
        <f>資料儲存!G2770</f>
        <v>0</v>
      </c>
      <c r="AY14" s="39">
        <f>資料儲存!H2770</f>
        <v>0</v>
      </c>
      <c r="AZ14" s="39">
        <f>資料儲存!I2770</f>
        <v>0</v>
      </c>
      <c r="BA14" s="39">
        <f>資料儲存!J2770</f>
        <v>0</v>
      </c>
    </row>
    <row r="15" spans="1:53" ht="16" thickBot="1">
      <c r="A15" s="38">
        <v>10</v>
      </c>
      <c r="B15" s="39">
        <f>資料儲存!D2171</f>
        <v>0</v>
      </c>
      <c r="C15" s="39">
        <f>資料儲存!E2171</f>
        <v>0</v>
      </c>
      <c r="D15" s="39">
        <f>資料儲存!F2171</f>
        <v>0</v>
      </c>
      <c r="E15" s="39">
        <f>資料儲存!G2171</f>
        <v>0</v>
      </c>
      <c r="F15" s="39">
        <f>資料儲存!H2171</f>
        <v>0</v>
      </c>
      <c r="G15" s="39">
        <f>資料儲存!I2171</f>
        <v>0</v>
      </c>
      <c r="H15" s="39">
        <f>資料儲存!J2171</f>
        <v>0</v>
      </c>
      <c r="I15" s="35"/>
      <c r="J15" s="38">
        <v>10</v>
      </c>
      <c r="K15" s="39">
        <f>資料儲存!D2291</f>
        <v>0</v>
      </c>
      <c r="L15" s="39">
        <f>資料儲存!E2291</f>
        <v>0</v>
      </c>
      <c r="M15" s="39">
        <f>資料儲存!F2291</f>
        <v>0</v>
      </c>
      <c r="N15" s="39">
        <f>資料儲存!G2291</f>
        <v>0</v>
      </c>
      <c r="O15" s="39">
        <f>資料儲存!H2291</f>
        <v>0</v>
      </c>
      <c r="P15" s="39">
        <f>資料儲存!I2291</f>
        <v>0</v>
      </c>
      <c r="Q15" s="39">
        <f>資料儲存!J2291</f>
        <v>0</v>
      </c>
      <c r="R15" s="35"/>
      <c r="S15" s="38">
        <v>10</v>
      </c>
      <c r="T15" s="39">
        <f>資料儲存!D2411</f>
        <v>0</v>
      </c>
      <c r="U15" s="39">
        <f>資料儲存!E2411</f>
        <v>0</v>
      </c>
      <c r="V15" s="39">
        <f>資料儲存!F2411</f>
        <v>0</v>
      </c>
      <c r="W15" s="39">
        <f>資料儲存!G2411</f>
        <v>0</v>
      </c>
      <c r="X15" s="39">
        <f>資料儲存!H2411</f>
        <v>0</v>
      </c>
      <c r="Y15" s="39">
        <f>資料儲存!I2411</f>
        <v>0</v>
      </c>
      <c r="Z15" s="39">
        <f>資料儲存!J2411</f>
        <v>0</v>
      </c>
      <c r="AA15" s="35"/>
      <c r="AB15" s="38">
        <v>10</v>
      </c>
      <c r="AC15" s="39">
        <f>資料儲存!D2531</f>
        <v>0</v>
      </c>
      <c r="AD15" s="39">
        <f>資料儲存!E2531</f>
        <v>0</v>
      </c>
      <c r="AE15" s="39">
        <f>資料儲存!F2531</f>
        <v>0</v>
      </c>
      <c r="AF15" s="39">
        <f>資料儲存!G2531</f>
        <v>0</v>
      </c>
      <c r="AG15" s="39">
        <f>資料儲存!H2531</f>
        <v>0</v>
      </c>
      <c r="AH15" s="39">
        <f>資料儲存!I2531</f>
        <v>0</v>
      </c>
      <c r="AI15" s="39">
        <f>資料儲存!J2531</f>
        <v>0</v>
      </c>
      <c r="AJ15" s="13"/>
      <c r="AK15" s="38">
        <v>10</v>
      </c>
      <c r="AL15" s="39">
        <f>資料儲存!D2651</f>
        <v>0</v>
      </c>
      <c r="AM15" s="39">
        <f>資料儲存!E2651</f>
        <v>0</v>
      </c>
      <c r="AN15" s="39">
        <f>資料儲存!F2651</f>
        <v>0</v>
      </c>
      <c r="AO15" s="39">
        <f>資料儲存!G2651</f>
        <v>0</v>
      </c>
      <c r="AP15" s="39">
        <f>資料儲存!H2651</f>
        <v>0</v>
      </c>
      <c r="AQ15" s="39">
        <f>資料儲存!I2651</f>
        <v>0</v>
      </c>
      <c r="AR15" s="39">
        <f>資料儲存!J2651</f>
        <v>0</v>
      </c>
      <c r="AT15" s="38">
        <v>10</v>
      </c>
      <c r="AU15" s="39">
        <f>資料儲存!D2771</f>
        <v>0</v>
      </c>
      <c r="AV15" s="39">
        <f>資料儲存!E2771</f>
        <v>0</v>
      </c>
      <c r="AW15" s="39">
        <f>資料儲存!F2771</f>
        <v>0</v>
      </c>
      <c r="AX15" s="39">
        <f>資料儲存!G2771</f>
        <v>0</v>
      </c>
      <c r="AY15" s="39">
        <f>資料儲存!H2771</f>
        <v>0</v>
      </c>
      <c r="AZ15" s="39">
        <f>資料儲存!I2771</f>
        <v>0</v>
      </c>
      <c r="BA15" s="39">
        <f>資料儲存!J2771</f>
        <v>0</v>
      </c>
    </row>
    <row r="16" spans="1:53" ht="16" thickBot="1">
      <c r="A16" s="38">
        <v>11</v>
      </c>
      <c r="B16" s="39">
        <f>資料儲存!D2172</f>
        <v>0</v>
      </c>
      <c r="C16" s="39">
        <f>資料儲存!E2172</f>
        <v>0</v>
      </c>
      <c r="D16" s="39">
        <f>資料儲存!F2172</f>
        <v>0</v>
      </c>
      <c r="E16" s="39">
        <f>資料儲存!G2172</f>
        <v>0</v>
      </c>
      <c r="F16" s="39">
        <f>資料儲存!H2172</f>
        <v>0</v>
      </c>
      <c r="G16" s="39">
        <f>資料儲存!I2172</f>
        <v>0</v>
      </c>
      <c r="H16" s="39">
        <f>資料儲存!J2172</f>
        <v>0</v>
      </c>
      <c r="I16" s="35"/>
      <c r="J16" s="38">
        <v>11</v>
      </c>
      <c r="K16" s="39">
        <f>資料儲存!D2292</f>
        <v>0</v>
      </c>
      <c r="L16" s="39">
        <f>資料儲存!E2292</f>
        <v>0</v>
      </c>
      <c r="M16" s="39">
        <f>資料儲存!F2292</f>
        <v>0</v>
      </c>
      <c r="N16" s="39">
        <f>資料儲存!G2292</f>
        <v>0</v>
      </c>
      <c r="O16" s="39">
        <f>資料儲存!H2292</f>
        <v>0</v>
      </c>
      <c r="P16" s="39">
        <f>資料儲存!I2292</f>
        <v>0</v>
      </c>
      <c r="Q16" s="39">
        <f>資料儲存!J2292</f>
        <v>0</v>
      </c>
      <c r="R16" s="35"/>
      <c r="S16" s="38">
        <v>11</v>
      </c>
      <c r="T16" s="39">
        <f>資料儲存!D2412</f>
        <v>0</v>
      </c>
      <c r="U16" s="39">
        <f>資料儲存!E2412</f>
        <v>0</v>
      </c>
      <c r="V16" s="39">
        <f>資料儲存!F2412</f>
        <v>0</v>
      </c>
      <c r="W16" s="39">
        <f>資料儲存!G2412</f>
        <v>0</v>
      </c>
      <c r="X16" s="39">
        <f>資料儲存!H2412</f>
        <v>0</v>
      </c>
      <c r="Y16" s="39">
        <f>資料儲存!I2412</f>
        <v>0</v>
      </c>
      <c r="Z16" s="39">
        <f>資料儲存!J2412</f>
        <v>0</v>
      </c>
      <c r="AA16" s="35"/>
      <c r="AB16" s="38">
        <v>11</v>
      </c>
      <c r="AC16" s="39">
        <f>資料儲存!D2532</f>
        <v>0</v>
      </c>
      <c r="AD16" s="39">
        <f>資料儲存!E2532</f>
        <v>0</v>
      </c>
      <c r="AE16" s="39">
        <f>資料儲存!F2532</f>
        <v>0</v>
      </c>
      <c r="AF16" s="39">
        <f>資料儲存!G2532</f>
        <v>0</v>
      </c>
      <c r="AG16" s="39">
        <f>資料儲存!H2532</f>
        <v>0</v>
      </c>
      <c r="AH16" s="39">
        <f>資料儲存!I2532</f>
        <v>0</v>
      </c>
      <c r="AI16" s="39">
        <f>資料儲存!J2532</f>
        <v>0</v>
      </c>
      <c r="AJ16" s="13"/>
      <c r="AK16" s="38">
        <v>11</v>
      </c>
      <c r="AL16" s="39">
        <f>資料儲存!D2652</f>
        <v>0</v>
      </c>
      <c r="AM16" s="39">
        <f>資料儲存!E2652</f>
        <v>0</v>
      </c>
      <c r="AN16" s="39">
        <f>資料儲存!F2652</f>
        <v>0</v>
      </c>
      <c r="AO16" s="39">
        <f>資料儲存!G2652</f>
        <v>0</v>
      </c>
      <c r="AP16" s="39">
        <f>資料儲存!H2652</f>
        <v>0</v>
      </c>
      <c r="AQ16" s="39">
        <f>資料儲存!I2652</f>
        <v>0</v>
      </c>
      <c r="AR16" s="39">
        <f>資料儲存!J2652</f>
        <v>0</v>
      </c>
      <c r="AT16" s="38">
        <v>11</v>
      </c>
      <c r="AU16" s="39">
        <f>資料儲存!D2772</f>
        <v>0</v>
      </c>
      <c r="AV16" s="39">
        <f>資料儲存!E2772</f>
        <v>0</v>
      </c>
      <c r="AW16" s="39">
        <f>資料儲存!F2772</f>
        <v>0</v>
      </c>
      <c r="AX16" s="39">
        <f>資料儲存!G2772</f>
        <v>0</v>
      </c>
      <c r="AY16" s="39">
        <f>資料儲存!H2772</f>
        <v>0</v>
      </c>
      <c r="AZ16" s="39">
        <f>資料儲存!I2772</f>
        <v>0</v>
      </c>
      <c r="BA16" s="39">
        <f>資料儲存!J2772</f>
        <v>0</v>
      </c>
    </row>
    <row r="17" spans="1:53" ht="16" thickBot="1">
      <c r="A17" s="38">
        <v>12</v>
      </c>
      <c r="B17" s="39">
        <f>資料儲存!D2173</f>
        <v>0</v>
      </c>
      <c r="C17" s="39">
        <f>資料儲存!E2173</f>
        <v>0</v>
      </c>
      <c r="D17" s="39">
        <f>資料儲存!F2173</f>
        <v>0</v>
      </c>
      <c r="E17" s="39">
        <f>資料儲存!G2173</f>
        <v>0</v>
      </c>
      <c r="F17" s="39">
        <f>資料儲存!H2173</f>
        <v>0</v>
      </c>
      <c r="G17" s="39">
        <f>資料儲存!I2173</f>
        <v>0</v>
      </c>
      <c r="H17" s="39">
        <f>資料儲存!J2173</f>
        <v>0</v>
      </c>
      <c r="I17" s="35"/>
      <c r="J17" s="38">
        <v>12</v>
      </c>
      <c r="K17" s="39">
        <f>資料儲存!D2293</f>
        <v>0</v>
      </c>
      <c r="L17" s="39">
        <f>資料儲存!E2293</f>
        <v>0</v>
      </c>
      <c r="M17" s="39">
        <f>資料儲存!F2293</f>
        <v>0</v>
      </c>
      <c r="N17" s="39">
        <f>資料儲存!G2293</f>
        <v>0</v>
      </c>
      <c r="O17" s="39">
        <f>資料儲存!H2293</f>
        <v>0</v>
      </c>
      <c r="P17" s="39">
        <f>資料儲存!I2293</f>
        <v>0</v>
      </c>
      <c r="Q17" s="39">
        <f>資料儲存!J2293</f>
        <v>0</v>
      </c>
      <c r="R17" s="35"/>
      <c r="S17" s="38">
        <v>12</v>
      </c>
      <c r="T17" s="39">
        <f>資料儲存!D2413</f>
        <v>0</v>
      </c>
      <c r="U17" s="39">
        <f>資料儲存!E2413</f>
        <v>0</v>
      </c>
      <c r="V17" s="39">
        <f>資料儲存!F2413</f>
        <v>0</v>
      </c>
      <c r="W17" s="39">
        <f>資料儲存!G2413</f>
        <v>0</v>
      </c>
      <c r="X17" s="39">
        <f>資料儲存!H2413</f>
        <v>0</v>
      </c>
      <c r="Y17" s="39">
        <f>資料儲存!I2413</f>
        <v>0</v>
      </c>
      <c r="Z17" s="39">
        <f>資料儲存!J2413</f>
        <v>0</v>
      </c>
      <c r="AA17" s="35"/>
      <c r="AB17" s="38">
        <v>12</v>
      </c>
      <c r="AC17" s="39">
        <f>資料儲存!D2533</f>
        <v>0</v>
      </c>
      <c r="AD17" s="39">
        <f>資料儲存!E2533</f>
        <v>0</v>
      </c>
      <c r="AE17" s="39">
        <f>資料儲存!F2533</f>
        <v>0</v>
      </c>
      <c r="AF17" s="39">
        <f>資料儲存!G2533</f>
        <v>0</v>
      </c>
      <c r="AG17" s="39">
        <f>資料儲存!H2533</f>
        <v>0</v>
      </c>
      <c r="AH17" s="39">
        <f>資料儲存!I2533</f>
        <v>0</v>
      </c>
      <c r="AI17" s="39">
        <f>資料儲存!J2533</f>
        <v>0</v>
      </c>
      <c r="AJ17" s="13"/>
      <c r="AK17" s="38">
        <v>12</v>
      </c>
      <c r="AL17" s="39">
        <f>資料儲存!D2653</f>
        <v>0</v>
      </c>
      <c r="AM17" s="39">
        <f>資料儲存!E2653</f>
        <v>0</v>
      </c>
      <c r="AN17" s="39">
        <f>資料儲存!F2653</f>
        <v>0</v>
      </c>
      <c r="AO17" s="39">
        <f>資料儲存!G2653</f>
        <v>0</v>
      </c>
      <c r="AP17" s="39">
        <f>資料儲存!H2653</f>
        <v>0</v>
      </c>
      <c r="AQ17" s="39">
        <f>資料儲存!I2653</f>
        <v>0</v>
      </c>
      <c r="AR17" s="39">
        <f>資料儲存!J2653</f>
        <v>0</v>
      </c>
      <c r="AT17" s="38">
        <v>12</v>
      </c>
      <c r="AU17" s="39">
        <f>資料儲存!D2773</f>
        <v>0</v>
      </c>
      <c r="AV17" s="39">
        <f>資料儲存!E2773</f>
        <v>0</v>
      </c>
      <c r="AW17" s="39">
        <f>資料儲存!F2773</f>
        <v>0</v>
      </c>
      <c r="AX17" s="39">
        <f>資料儲存!G2773</f>
        <v>0</v>
      </c>
      <c r="AY17" s="39">
        <f>資料儲存!H2773</f>
        <v>0</v>
      </c>
      <c r="AZ17" s="39">
        <f>資料儲存!I2773</f>
        <v>0</v>
      </c>
      <c r="BA17" s="39">
        <f>資料儲存!J2773</f>
        <v>0</v>
      </c>
    </row>
    <row r="18" spans="1:53" ht="16" thickBot="1">
      <c r="A18" s="38">
        <v>13</v>
      </c>
      <c r="B18" s="39">
        <f>資料儲存!D2174</f>
        <v>0</v>
      </c>
      <c r="C18" s="39">
        <f>資料儲存!E2174</f>
        <v>0</v>
      </c>
      <c r="D18" s="39">
        <f>資料儲存!F2174</f>
        <v>0</v>
      </c>
      <c r="E18" s="39">
        <f>資料儲存!G2174</f>
        <v>0</v>
      </c>
      <c r="F18" s="39">
        <f>資料儲存!H2174</f>
        <v>0</v>
      </c>
      <c r="G18" s="39">
        <f>資料儲存!I2174</f>
        <v>0</v>
      </c>
      <c r="H18" s="39">
        <f>資料儲存!J2174</f>
        <v>0</v>
      </c>
      <c r="I18" s="35"/>
      <c r="J18" s="38">
        <v>13</v>
      </c>
      <c r="K18" s="39">
        <f>資料儲存!D2294</f>
        <v>0</v>
      </c>
      <c r="L18" s="39">
        <f>資料儲存!E2294</f>
        <v>0</v>
      </c>
      <c r="M18" s="39">
        <f>資料儲存!F2294</f>
        <v>0</v>
      </c>
      <c r="N18" s="39">
        <f>資料儲存!G2294</f>
        <v>0</v>
      </c>
      <c r="O18" s="39">
        <f>資料儲存!H2294</f>
        <v>0</v>
      </c>
      <c r="P18" s="39">
        <f>資料儲存!I2294</f>
        <v>0</v>
      </c>
      <c r="Q18" s="39">
        <f>資料儲存!J2294</f>
        <v>0</v>
      </c>
      <c r="R18" s="35"/>
      <c r="S18" s="38">
        <v>13</v>
      </c>
      <c r="T18" s="39">
        <f>資料儲存!D2414</f>
        <v>0</v>
      </c>
      <c r="U18" s="39">
        <f>資料儲存!E2414</f>
        <v>0</v>
      </c>
      <c r="V18" s="39">
        <f>資料儲存!F2414</f>
        <v>0</v>
      </c>
      <c r="W18" s="39">
        <f>資料儲存!G2414</f>
        <v>0</v>
      </c>
      <c r="X18" s="39">
        <f>資料儲存!H2414</f>
        <v>0</v>
      </c>
      <c r="Y18" s="39">
        <f>資料儲存!I2414</f>
        <v>0</v>
      </c>
      <c r="Z18" s="39">
        <f>資料儲存!J2414</f>
        <v>0</v>
      </c>
      <c r="AA18" s="35"/>
      <c r="AB18" s="38">
        <v>13</v>
      </c>
      <c r="AC18" s="39">
        <f>資料儲存!D2534</f>
        <v>0</v>
      </c>
      <c r="AD18" s="39">
        <f>資料儲存!E2534</f>
        <v>0</v>
      </c>
      <c r="AE18" s="39">
        <f>資料儲存!F2534</f>
        <v>0</v>
      </c>
      <c r="AF18" s="39">
        <f>資料儲存!G2534</f>
        <v>0</v>
      </c>
      <c r="AG18" s="39">
        <f>資料儲存!H2534</f>
        <v>0</v>
      </c>
      <c r="AH18" s="39">
        <f>資料儲存!I2534</f>
        <v>0</v>
      </c>
      <c r="AI18" s="39">
        <f>資料儲存!J2534</f>
        <v>0</v>
      </c>
      <c r="AJ18" s="13"/>
      <c r="AK18" s="38">
        <v>13</v>
      </c>
      <c r="AL18" s="39">
        <f>資料儲存!D2654</f>
        <v>0</v>
      </c>
      <c r="AM18" s="39">
        <f>資料儲存!E2654</f>
        <v>0</v>
      </c>
      <c r="AN18" s="39">
        <f>資料儲存!F2654</f>
        <v>0</v>
      </c>
      <c r="AO18" s="39">
        <f>資料儲存!G2654</f>
        <v>0</v>
      </c>
      <c r="AP18" s="39">
        <f>資料儲存!H2654</f>
        <v>0</v>
      </c>
      <c r="AQ18" s="39">
        <f>資料儲存!I2654</f>
        <v>0</v>
      </c>
      <c r="AR18" s="39">
        <f>資料儲存!J2654</f>
        <v>0</v>
      </c>
      <c r="AT18" s="38">
        <v>13</v>
      </c>
      <c r="AU18" s="39">
        <f>資料儲存!D2774</f>
        <v>0</v>
      </c>
      <c r="AV18" s="39">
        <f>資料儲存!E2774</f>
        <v>0</v>
      </c>
      <c r="AW18" s="39">
        <f>資料儲存!F2774</f>
        <v>0</v>
      </c>
      <c r="AX18" s="39">
        <f>資料儲存!G2774</f>
        <v>0</v>
      </c>
      <c r="AY18" s="39">
        <f>資料儲存!H2774</f>
        <v>0</v>
      </c>
      <c r="AZ18" s="39">
        <f>資料儲存!I2774</f>
        <v>0</v>
      </c>
      <c r="BA18" s="39">
        <f>資料儲存!J2774</f>
        <v>0</v>
      </c>
    </row>
    <row r="19" spans="1:53" ht="16" thickBot="1">
      <c r="A19" s="38">
        <v>14</v>
      </c>
      <c r="B19" s="39">
        <f>資料儲存!D2175</f>
        <v>0</v>
      </c>
      <c r="C19" s="39">
        <f>資料儲存!E2175</f>
        <v>0</v>
      </c>
      <c r="D19" s="39">
        <f>資料儲存!F2175</f>
        <v>0</v>
      </c>
      <c r="E19" s="39">
        <f>資料儲存!G2175</f>
        <v>0</v>
      </c>
      <c r="F19" s="39">
        <f>資料儲存!H2175</f>
        <v>0</v>
      </c>
      <c r="G19" s="39">
        <f>資料儲存!I2175</f>
        <v>0</v>
      </c>
      <c r="H19" s="39">
        <f>資料儲存!J2175</f>
        <v>0</v>
      </c>
      <c r="I19" s="35"/>
      <c r="J19" s="38">
        <v>14</v>
      </c>
      <c r="K19" s="39">
        <f>資料儲存!D2295</f>
        <v>0</v>
      </c>
      <c r="L19" s="39">
        <f>資料儲存!E2295</f>
        <v>0</v>
      </c>
      <c r="M19" s="39">
        <f>資料儲存!F2295</f>
        <v>0</v>
      </c>
      <c r="N19" s="39">
        <f>資料儲存!G2295</f>
        <v>0</v>
      </c>
      <c r="O19" s="39">
        <f>資料儲存!H2295</f>
        <v>0</v>
      </c>
      <c r="P19" s="39">
        <f>資料儲存!I2295</f>
        <v>0</v>
      </c>
      <c r="Q19" s="39">
        <f>資料儲存!J2295</f>
        <v>0</v>
      </c>
      <c r="R19" s="35"/>
      <c r="S19" s="38">
        <v>14</v>
      </c>
      <c r="T19" s="39">
        <f>資料儲存!D2415</f>
        <v>0</v>
      </c>
      <c r="U19" s="39">
        <f>資料儲存!E2415</f>
        <v>0</v>
      </c>
      <c r="V19" s="39">
        <f>資料儲存!F2415</f>
        <v>0</v>
      </c>
      <c r="W19" s="39">
        <f>資料儲存!G2415</f>
        <v>0</v>
      </c>
      <c r="X19" s="39">
        <f>資料儲存!H2415</f>
        <v>0</v>
      </c>
      <c r="Y19" s="39">
        <f>資料儲存!I2415</f>
        <v>0</v>
      </c>
      <c r="Z19" s="39">
        <f>資料儲存!J2415</f>
        <v>0</v>
      </c>
      <c r="AA19" s="35"/>
      <c r="AB19" s="38">
        <v>14</v>
      </c>
      <c r="AC19" s="39">
        <f>資料儲存!D2535</f>
        <v>0</v>
      </c>
      <c r="AD19" s="39">
        <f>資料儲存!E2535</f>
        <v>0</v>
      </c>
      <c r="AE19" s="39">
        <f>資料儲存!F2535</f>
        <v>0</v>
      </c>
      <c r="AF19" s="39">
        <f>資料儲存!G2535</f>
        <v>0</v>
      </c>
      <c r="AG19" s="39">
        <f>資料儲存!H2535</f>
        <v>0</v>
      </c>
      <c r="AH19" s="39">
        <f>資料儲存!I2535</f>
        <v>0</v>
      </c>
      <c r="AI19" s="39">
        <f>資料儲存!J2535</f>
        <v>0</v>
      </c>
      <c r="AJ19" s="13"/>
      <c r="AK19" s="38">
        <v>14</v>
      </c>
      <c r="AL19" s="39">
        <f>資料儲存!D2655</f>
        <v>0</v>
      </c>
      <c r="AM19" s="39">
        <f>資料儲存!E2655</f>
        <v>0</v>
      </c>
      <c r="AN19" s="39">
        <f>資料儲存!F2655</f>
        <v>0</v>
      </c>
      <c r="AO19" s="39">
        <f>資料儲存!G2655</f>
        <v>0</v>
      </c>
      <c r="AP19" s="39">
        <f>資料儲存!H2655</f>
        <v>0</v>
      </c>
      <c r="AQ19" s="39">
        <f>資料儲存!I2655</f>
        <v>0</v>
      </c>
      <c r="AR19" s="39">
        <f>資料儲存!J2655</f>
        <v>0</v>
      </c>
      <c r="AT19" s="38">
        <v>14</v>
      </c>
      <c r="AU19" s="39">
        <f>資料儲存!D2775</f>
        <v>0</v>
      </c>
      <c r="AV19" s="39">
        <f>資料儲存!E2775</f>
        <v>0</v>
      </c>
      <c r="AW19" s="39">
        <f>資料儲存!F2775</f>
        <v>0</v>
      </c>
      <c r="AX19" s="39">
        <f>資料儲存!G2775</f>
        <v>0</v>
      </c>
      <c r="AY19" s="39">
        <f>資料儲存!H2775</f>
        <v>0</v>
      </c>
      <c r="AZ19" s="39">
        <f>資料儲存!I2775</f>
        <v>0</v>
      </c>
      <c r="BA19" s="39">
        <f>資料儲存!J2775</f>
        <v>0</v>
      </c>
    </row>
    <row r="20" spans="1:53" ht="16" thickBot="1">
      <c r="A20" s="38">
        <v>15</v>
      </c>
      <c r="B20" s="39">
        <f>資料儲存!D2176</f>
        <v>0</v>
      </c>
      <c r="C20" s="39">
        <f>資料儲存!E2176</f>
        <v>0</v>
      </c>
      <c r="D20" s="39">
        <f>資料儲存!F2176</f>
        <v>0</v>
      </c>
      <c r="E20" s="39">
        <f>資料儲存!G2176</f>
        <v>0</v>
      </c>
      <c r="F20" s="39">
        <f>資料儲存!H2176</f>
        <v>0</v>
      </c>
      <c r="G20" s="39">
        <f>資料儲存!I2176</f>
        <v>0</v>
      </c>
      <c r="H20" s="39">
        <f>資料儲存!J2176</f>
        <v>0</v>
      </c>
      <c r="I20" s="35"/>
      <c r="J20" s="38">
        <v>15</v>
      </c>
      <c r="K20" s="39">
        <f>資料儲存!D2296</f>
        <v>0</v>
      </c>
      <c r="L20" s="39">
        <f>資料儲存!E2296</f>
        <v>0</v>
      </c>
      <c r="M20" s="39">
        <f>資料儲存!F2296</f>
        <v>0</v>
      </c>
      <c r="N20" s="39">
        <f>資料儲存!G2296</f>
        <v>0</v>
      </c>
      <c r="O20" s="39">
        <f>資料儲存!H2296</f>
        <v>0</v>
      </c>
      <c r="P20" s="39">
        <f>資料儲存!I2296</f>
        <v>0</v>
      </c>
      <c r="Q20" s="39">
        <f>資料儲存!J2296</f>
        <v>0</v>
      </c>
      <c r="R20" s="35"/>
      <c r="S20" s="38">
        <v>15</v>
      </c>
      <c r="T20" s="39">
        <f>資料儲存!D2416</f>
        <v>0</v>
      </c>
      <c r="U20" s="39">
        <f>資料儲存!E2416</f>
        <v>0</v>
      </c>
      <c r="V20" s="39">
        <f>資料儲存!F2416</f>
        <v>0</v>
      </c>
      <c r="W20" s="39">
        <f>資料儲存!G2416</f>
        <v>0</v>
      </c>
      <c r="X20" s="39">
        <f>資料儲存!H2416</f>
        <v>0</v>
      </c>
      <c r="Y20" s="39">
        <f>資料儲存!I2416</f>
        <v>0</v>
      </c>
      <c r="Z20" s="39">
        <f>資料儲存!J2416</f>
        <v>0</v>
      </c>
      <c r="AA20" s="35"/>
      <c r="AB20" s="38">
        <v>15</v>
      </c>
      <c r="AC20" s="39">
        <f>資料儲存!D2536</f>
        <v>0</v>
      </c>
      <c r="AD20" s="39">
        <f>資料儲存!E2536</f>
        <v>0</v>
      </c>
      <c r="AE20" s="39">
        <f>資料儲存!F2536</f>
        <v>0</v>
      </c>
      <c r="AF20" s="39">
        <f>資料儲存!G2536</f>
        <v>0</v>
      </c>
      <c r="AG20" s="39">
        <f>資料儲存!H2536</f>
        <v>0</v>
      </c>
      <c r="AH20" s="39">
        <f>資料儲存!I2536</f>
        <v>0</v>
      </c>
      <c r="AI20" s="39">
        <f>資料儲存!J2536</f>
        <v>0</v>
      </c>
      <c r="AJ20" s="13"/>
      <c r="AK20" s="38">
        <v>15</v>
      </c>
      <c r="AL20" s="39">
        <f>資料儲存!D2656</f>
        <v>0</v>
      </c>
      <c r="AM20" s="39">
        <f>資料儲存!E2656</f>
        <v>0</v>
      </c>
      <c r="AN20" s="39">
        <f>資料儲存!F2656</f>
        <v>0</v>
      </c>
      <c r="AO20" s="39">
        <f>資料儲存!G2656</f>
        <v>0</v>
      </c>
      <c r="AP20" s="39">
        <f>資料儲存!H2656</f>
        <v>0</v>
      </c>
      <c r="AQ20" s="39">
        <f>資料儲存!I2656</f>
        <v>0</v>
      </c>
      <c r="AR20" s="39">
        <f>資料儲存!J2656</f>
        <v>0</v>
      </c>
      <c r="AT20" s="38">
        <v>15</v>
      </c>
      <c r="AU20" s="39">
        <f>資料儲存!D2776</f>
        <v>0</v>
      </c>
      <c r="AV20" s="39">
        <f>資料儲存!E2776</f>
        <v>0</v>
      </c>
      <c r="AW20" s="39">
        <f>資料儲存!F2776</f>
        <v>0</v>
      </c>
      <c r="AX20" s="39">
        <f>資料儲存!G2776</f>
        <v>0</v>
      </c>
      <c r="AY20" s="39">
        <f>資料儲存!H2776</f>
        <v>0</v>
      </c>
      <c r="AZ20" s="39">
        <f>資料儲存!I2776</f>
        <v>0</v>
      </c>
      <c r="BA20" s="39">
        <f>資料儲存!J2776</f>
        <v>0</v>
      </c>
    </row>
    <row r="21" spans="1:53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13"/>
      <c r="AK21" s="40" t="s">
        <v>56</v>
      </c>
      <c r="AL21" s="39">
        <f>SUM(AL6:AO20)</f>
        <v>0</v>
      </c>
      <c r="AM21" s="37"/>
      <c r="AN21" s="37"/>
      <c r="AO21" s="37"/>
      <c r="AP21" s="39">
        <f>AP20</f>
        <v>0</v>
      </c>
      <c r="AQ21" s="39">
        <f>AQ20</f>
        <v>0</v>
      </c>
      <c r="AR21" s="39">
        <f>AR20</f>
        <v>0</v>
      </c>
      <c r="AT21" s="40" t="s">
        <v>56</v>
      </c>
      <c r="AU21" s="39">
        <f>SUM(AU6:AX20)</f>
        <v>0</v>
      </c>
      <c r="AV21" s="37"/>
      <c r="AW21" s="37"/>
      <c r="AX21" s="37"/>
      <c r="AY21" s="39">
        <f>AY20</f>
        <v>0</v>
      </c>
      <c r="AZ21" s="39">
        <f>AZ20</f>
        <v>0</v>
      </c>
      <c r="BA21" s="39">
        <f>BA20</f>
        <v>0</v>
      </c>
    </row>
    <row r="22" spans="1:53" ht="18.5" thickBot="1">
      <c r="A22" s="248" t="s">
        <v>96</v>
      </c>
      <c r="B22" s="249"/>
      <c r="C22" s="249"/>
      <c r="D22" s="249"/>
      <c r="E22" s="249"/>
      <c r="F22" s="249"/>
      <c r="G22" s="249"/>
      <c r="H22" s="250"/>
      <c r="I22" s="13"/>
      <c r="J22" s="248" t="s">
        <v>96</v>
      </c>
      <c r="K22" s="249"/>
      <c r="L22" s="249"/>
      <c r="M22" s="249"/>
      <c r="N22" s="249"/>
      <c r="O22" s="249"/>
      <c r="P22" s="249"/>
      <c r="Q22" s="250"/>
      <c r="R22" s="13"/>
      <c r="S22" s="248" t="s">
        <v>96</v>
      </c>
      <c r="T22" s="249"/>
      <c r="U22" s="249"/>
      <c r="V22" s="249"/>
      <c r="W22" s="249"/>
      <c r="X22" s="249"/>
      <c r="Y22" s="249"/>
      <c r="Z22" s="250"/>
      <c r="AA22" s="13"/>
      <c r="AB22" s="248" t="s">
        <v>96</v>
      </c>
      <c r="AC22" s="249"/>
      <c r="AD22" s="249"/>
      <c r="AE22" s="249"/>
      <c r="AF22" s="249"/>
      <c r="AG22" s="249"/>
      <c r="AH22" s="249"/>
      <c r="AI22" s="250"/>
      <c r="AJ22" s="13"/>
      <c r="AK22" s="248" t="s">
        <v>96</v>
      </c>
      <c r="AL22" s="249"/>
      <c r="AM22" s="249"/>
      <c r="AN22" s="249"/>
      <c r="AO22" s="249"/>
      <c r="AP22" s="249"/>
      <c r="AQ22" s="249"/>
      <c r="AR22" s="250"/>
      <c r="AT22" s="248" t="s">
        <v>96</v>
      </c>
      <c r="AU22" s="249"/>
      <c r="AV22" s="249"/>
      <c r="AW22" s="249"/>
      <c r="AX22" s="249"/>
      <c r="AY22" s="249"/>
      <c r="AZ22" s="249"/>
      <c r="BA22" s="250"/>
    </row>
    <row r="23" spans="1:53" ht="17.25" customHeight="1" thickBot="1">
      <c r="A23" s="41" t="s">
        <v>2</v>
      </c>
      <c r="B23" s="42" t="s">
        <v>46</v>
      </c>
      <c r="C23" s="43"/>
      <c r="D23" s="43"/>
      <c r="E23" s="44"/>
      <c r="F23" s="42" t="s">
        <v>47</v>
      </c>
      <c r="G23" s="43"/>
      <c r="H23" s="44"/>
      <c r="I23" s="45"/>
      <c r="J23" s="41" t="s">
        <v>2</v>
      </c>
      <c r="K23" s="42" t="s">
        <v>46</v>
      </c>
      <c r="L23" s="43"/>
      <c r="M23" s="43"/>
      <c r="N23" s="44"/>
      <c r="O23" s="42" t="s">
        <v>47</v>
      </c>
      <c r="P23" s="43"/>
      <c r="Q23" s="44"/>
      <c r="R23" s="45"/>
      <c r="S23" s="41" t="s">
        <v>2</v>
      </c>
      <c r="T23" s="42" t="s">
        <v>46</v>
      </c>
      <c r="U23" s="43"/>
      <c r="V23" s="43"/>
      <c r="W23" s="44"/>
      <c r="X23" s="42" t="s">
        <v>47</v>
      </c>
      <c r="Y23" s="43"/>
      <c r="Z23" s="44"/>
      <c r="AA23" s="45"/>
      <c r="AB23" s="41" t="s">
        <v>2</v>
      </c>
      <c r="AC23" s="42" t="s">
        <v>46</v>
      </c>
      <c r="AD23" s="43"/>
      <c r="AE23" s="43"/>
      <c r="AF23" s="44"/>
      <c r="AG23" s="42" t="s">
        <v>47</v>
      </c>
      <c r="AH23" s="43"/>
      <c r="AI23" s="44"/>
      <c r="AJ23" s="13"/>
      <c r="AK23" s="41" t="s">
        <v>2</v>
      </c>
      <c r="AL23" s="42" t="s">
        <v>46</v>
      </c>
      <c r="AM23" s="43"/>
      <c r="AN23" s="43"/>
      <c r="AO23" s="44"/>
      <c r="AP23" s="42" t="s">
        <v>47</v>
      </c>
      <c r="AQ23" s="43"/>
      <c r="AR23" s="44"/>
      <c r="AT23" s="41" t="s">
        <v>2</v>
      </c>
      <c r="AU23" s="42" t="s">
        <v>46</v>
      </c>
      <c r="AV23" s="43"/>
      <c r="AW23" s="43"/>
      <c r="AX23" s="44"/>
      <c r="AY23" s="42" t="s">
        <v>47</v>
      </c>
      <c r="AZ23" s="43"/>
      <c r="BA23" s="44"/>
    </row>
    <row r="24" spans="1:53" ht="16" thickBot="1">
      <c r="A24" s="46">
        <v>0.51041666666666663</v>
      </c>
      <c r="B24" s="47" t="s">
        <v>49</v>
      </c>
      <c r="C24" s="47" t="s">
        <v>50</v>
      </c>
      <c r="D24" s="47" t="s">
        <v>51</v>
      </c>
      <c r="E24" s="47" t="s">
        <v>52</v>
      </c>
      <c r="F24" s="47" t="s">
        <v>53</v>
      </c>
      <c r="G24" s="47" t="s">
        <v>54</v>
      </c>
      <c r="H24" s="47" t="s">
        <v>55</v>
      </c>
      <c r="I24" s="45"/>
      <c r="J24" s="46">
        <v>0.51041666666666663</v>
      </c>
      <c r="K24" s="47" t="s">
        <v>49</v>
      </c>
      <c r="L24" s="47" t="s">
        <v>50</v>
      </c>
      <c r="M24" s="47" t="s">
        <v>51</v>
      </c>
      <c r="N24" s="47" t="s">
        <v>52</v>
      </c>
      <c r="O24" s="47" t="s">
        <v>53</v>
      </c>
      <c r="P24" s="47" t="s">
        <v>54</v>
      </c>
      <c r="Q24" s="47" t="s">
        <v>55</v>
      </c>
      <c r="R24" s="45"/>
      <c r="S24" s="46">
        <v>0.51041666666666663</v>
      </c>
      <c r="T24" s="47" t="s">
        <v>49</v>
      </c>
      <c r="U24" s="47" t="s">
        <v>50</v>
      </c>
      <c r="V24" s="47" t="s">
        <v>51</v>
      </c>
      <c r="W24" s="47" t="s">
        <v>52</v>
      </c>
      <c r="X24" s="47" t="s">
        <v>53</v>
      </c>
      <c r="Y24" s="47" t="s">
        <v>54</v>
      </c>
      <c r="Z24" s="47" t="s">
        <v>55</v>
      </c>
      <c r="AA24" s="45"/>
      <c r="AB24" s="46">
        <v>0.51041666666666663</v>
      </c>
      <c r="AC24" s="47" t="s">
        <v>49</v>
      </c>
      <c r="AD24" s="47" t="s">
        <v>50</v>
      </c>
      <c r="AE24" s="47" t="s">
        <v>51</v>
      </c>
      <c r="AF24" s="47" t="s">
        <v>52</v>
      </c>
      <c r="AG24" s="47" t="s">
        <v>53</v>
      </c>
      <c r="AH24" s="47" t="s">
        <v>54</v>
      </c>
      <c r="AI24" s="47" t="s">
        <v>55</v>
      </c>
      <c r="AJ24" s="13"/>
      <c r="AK24" s="46">
        <v>0.51041666666666663</v>
      </c>
      <c r="AL24" s="47" t="s">
        <v>49</v>
      </c>
      <c r="AM24" s="47" t="s">
        <v>50</v>
      </c>
      <c r="AN24" s="47" t="s">
        <v>51</v>
      </c>
      <c r="AO24" s="47" t="s">
        <v>52</v>
      </c>
      <c r="AP24" s="47" t="s">
        <v>53</v>
      </c>
      <c r="AQ24" s="47" t="s">
        <v>54</v>
      </c>
      <c r="AR24" s="47" t="s">
        <v>55</v>
      </c>
      <c r="AT24" s="46">
        <v>0.51041666666666663</v>
      </c>
      <c r="AU24" s="47" t="s">
        <v>49</v>
      </c>
      <c r="AV24" s="47" t="s">
        <v>50</v>
      </c>
      <c r="AW24" s="47" t="s">
        <v>51</v>
      </c>
      <c r="AX24" s="47" t="s">
        <v>52</v>
      </c>
      <c r="AY24" s="47" t="s">
        <v>53</v>
      </c>
      <c r="AZ24" s="47" t="s">
        <v>54</v>
      </c>
      <c r="BA24" s="47" t="s">
        <v>55</v>
      </c>
    </row>
    <row r="25" spans="1:53" ht="16" thickBot="1">
      <c r="A25" s="48">
        <v>16</v>
      </c>
      <c r="B25" s="49">
        <f>資料儲存!D2177</f>
        <v>0</v>
      </c>
      <c r="C25" s="49">
        <f>資料儲存!E2177</f>
        <v>0</v>
      </c>
      <c r="D25" s="49">
        <f>資料儲存!F2177</f>
        <v>0</v>
      </c>
      <c r="E25" s="49">
        <f>資料儲存!G2177</f>
        <v>0</v>
      </c>
      <c r="F25" s="49">
        <f>資料儲存!H2177</f>
        <v>0</v>
      </c>
      <c r="G25" s="49">
        <f>資料儲存!I2177</f>
        <v>0</v>
      </c>
      <c r="H25" s="49">
        <f>資料儲存!J2177</f>
        <v>0</v>
      </c>
      <c r="I25" s="45"/>
      <c r="J25" s="48">
        <v>16</v>
      </c>
      <c r="K25" s="49">
        <f>資料儲存!D2297</f>
        <v>0</v>
      </c>
      <c r="L25" s="49">
        <f>資料儲存!E2297</f>
        <v>0</v>
      </c>
      <c r="M25" s="49">
        <f>資料儲存!F2297</f>
        <v>0</v>
      </c>
      <c r="N25" s="49">
        <f>資料儲存!G2297</f>
        <v>0</v>
      </c>
      <c r="O25" s="49">
        <f>資料儲存!H2297</f>
        <v>0</v>
      </c>
      <c r="P25" s="49">
        <f>資料儲存!I2297</f>
        <v>0</v>
      </c>
      <c r="Q25" s="49">
        <f>資料儲存!J2297</f>
        <v>0</v>
      </c>
      <c r="R25" s="45"/>
      <c r="S25" s="48">
        <v>16</v>
      </c>
      <c r="T25" s="49">
        <f>資料儲存!D2417</f>
        <v>0</v>
      </c>
      <c r="U25" s="49">
        <f>資料儲存!E2417</f>
        <v>0</v>
      </c>
      <c r="V25" s="49">
        <f>資料儲存!F2417</f>
        <v>0</v>
      </c>
      <c r="W25" s="49">
        <f>資料儲存!G2417</f>
        <v>0</v>
      </c>
      <c r="X25" s="49">
        <f>資料儲存!H2417</f>
        <v>0</v>
      </c>
      <c r="Y25" s="49">
        <f>資料儲存!I2417</f>
        <v>0</v>
      </c>
      <c r="Z25" s="49">
        <f>資料儲存!J2417</f>
        <v>0</v>
      </c>
      <c r="AA25" s="45"/>
      <c r="AB25" s="48">
        <v>16</v>
      </c>
      <c r="AC25" s="49">
        <f>資料儲存!D2537</f>
        <v>0</v>
      </c>
      <c r="AD25" s="49">
        <f>資料儲存!E2537</f>
        <v>0</v>
      </c>
      <c r="AE25" s="49">
        <f>資料儲存!F2537</f>
        <v>0</v>
      </c>
      <c r="AF25" s="49">
        <f>資料儲存!G2537</f>
        <v>0</v>
      </c>
      <c r="AG25" s="49">
        <f>資料儲存!H2537</f>
        <v>0</v>
      </c>
      <c r="AH25" s="49">
        <f>資料儲存!I2537</f>
        <v>0</v>
      </c>
      <c r="AI25" s="49">
        <f>資料儲存!J2537</f>
        <v>0</v>
      </c>
      <c r="AJ25" s="13"/>
      <c r="AK25" s="48">
        <v>16</v>
      </c>
      <c r="AL25" s="49">
        <f>資料儲存!D2657</f>
        <v>0</v>
      </c>
      <c r="AM25" s="49">
        <f>資料儲存!E2657</f>
        <v>0</v>
      </c>
      <c r="AN25" s="49">
        <f>資料儲存!F2657</f>
        <v>0</v>
      </c>
      <c r="AO25" s="49">
        <f>資料儲存!G2657</f>
        <v>0</v>
      </c>
      <c r="AP25" s="49">
        <f>資料儲存!H2657</f>
        <v>0</v>
      </c>
      <c r="AQ25" s="49">
        <f>資料儲存!I2657</f>
        <v>0</v>
      </c>
      <c r="AR25" s="49">
        <f>資料儲存!J2657</f>
        <v>0</v>
      </c>
      <c r="AT25" s="48">
        <v>16</v>
      </c>
      <c r="AU25" s="49">
        <f>資料儲存!D2777</f>
        <v>0</v>
      </c>
      <c r="AV25" s="49">
        <f>資料儲存!E2777</f>
        <v>0</v>
      </c>
      <c r="AW25" s="49">
        <f>資料儲存!F2777</f>
        <v>0</v>
      </c>
      <c r="AX25" s="49">
        <f>資料儲存!G2777</f>
        <v>0</v>
      </c>
      <c r="AY25" s="49">
        <f>資料儲存!H2777</f>
        <v>0</v>
      </c>
      <c r="AZ25" s="49">
        <f>資料儲存!I2777</f>
        <v>0</v>
      </c>
      <c r="BA25" s="49">
        <f>資料儲存!J2777</f>
        <v>0</v>
      </c>
    </row>
    <row r="26" spans="1:53" ht="16" thickBot="1">
      <c r="A26" s="48">
        <v>17</v>
      </c>
      <c r="B26" s="49">
        <f>資料儲存!D2178</f>
        <v>0</v>
      </c>
      <c r="C26" s="49">
        <f>資料儲存!E2178</f>
        <v>0</v>
      </c>
      <c r="D26" s="49">
        <f>資料儲存!F2178</f>
        <v>0</v>
      </c>
      <c r="E26" s="49">
        <f>資料儲存!G2178</f>
        <v>0</v>
      </c>
      <c r="F26" s="49">
        <f>資料儲存!H2178</f>
        <v>0</v>
      </c>
      <c r="G26" s="49">
        <f>資料儲存!I2178</f>
        <v>0</v>
      </c>
      <c r="H26" s="49">
        <f>資料儲存!J2178</f>
        <v>0</v>
      </c>
      <c r="I26" s="45"/>
      <c r="J26" s="48">
        <v>17</v>
      </c>
      <c r="K26" s="49">
        <f>資料儲存!D2298</f>
        <v>0</v>
      </c>
      <c r="L26" s="49">
        <f>資料儲存!E2298</f>
        <v>0</v>
      </c>
      <c r="M26" s="49">
        <f>資料儲存!F2298</f>
        <v>0</v>
      </c>
      <c r="N26" s="49">
        <f>資料儲存!G2298</f>
        <v>0</v>
      </c>
      <c r="O26" s="49">
        <f>資料儲存!H2298</f>
        <v>0</v>
      </c>
      <c r="P26" s="49">
        <f>資料儲存!I2298</f>
        <v>0</v>
      </c>
      <c r="Q26" s="49">
        <f>資料儲存!J2298</f>
        <v>0</v>
      </c>
      <c r="R26" s="45"/>
      <c r="S26" s="48">
        <v>17</v>
      </c>
      <c r="T26" s="49">
        <f>資料儲存!D2418</f>
        <v>0</v>
      </c>
      <c r="U26" s="49">
        <f>資料儲存!E2418</f>
        <v>0</v>
      </c>
      <c r="V26" s="49">
        <f>資料儲存!F2418</f>
        <v>0</v>
      </c>
      <c r="W26" s="49">
        <f>資料儲存!G2418</f>
        <v>0</v>
      </c>
      <c r="X26" s="49">
        <f>資料儲存!H2418</f>
        <v>0</v>
      </c>
      <c r="Y26" s="49">
        <f>資料儲存!I2418</f>
        <v>0</v>
      </c>
      <c r="Z26" s="49">
        <f>資料儲存!J2418</f>
        <v>0</v>
      </c>
      <c r="AA26" s="45"/>
      <c r="AB26" s="48">
        <v>17</v>
      </c>
      <c r="AC26" s="49">
        <f>資料儲存!D2538</f>
        <v>0</v>
      </c>
      <c r="AD26" s="49">
        <f>資料儲存!E2538</f>
        <v>0</v>
      </c>
      <c r="AE26" s="49">
        <f>資料儲存!F2538</f>
        <v>0</v>
      </c>
      <c r="AF26" s="49">
        <f>資料儲存!G2538</f>
        <v>0</v>
      </c>
      <c r="AG26" s="49">
        <f>資料儲存!H2538</f>
        <v>0</v>
      </c>
      <c r="AH26" s="49">
        <f>資料儲存!I2538</f>
        <v>0</v>
      </c>
      <c r="AI26" s="49">
        <f>資料儲存!J2538</f>
        <v>0</v>
      </c>
      <c r="AJ26" s="13"/>
      <c r="AK26" s="48">
        <v>17</v>
      </c>
      <c r="AL26" s="49">
        <f>資料儲存!D2658</f>
        <v>0</v>
      </c>
      <c r="AM26" s="49">
        <f>資料儲存!E2658</f>
        <v>0</v>
      </c>
      <c r="AN26" s="49">
        <f>資料儲存!F2658</f>
        <v>0</v>
      </c>
      <c r="AO26" s="49">
        <f>資料儲存!G2658</f>
        <v>0</v>
      </c>
      <c r="AP26" s="49">
        <f>資料儲存!H2658</f>
        <v>0</v>
      </c>
      <c r="AQ26" s="49">
        <f>資料儲存!I2658</f>
        <v>0</v>
      </c>
      <c r="AR26" s="49">
        <f>資料儲存!J2658</f>
        <v>0</v>
      </c>
      <c r="AT26" s="48">
        <v>17</v>
      </c>
      <c r="AU26" s="49">
        <f>資料儲存!D2778</f>
        <v>0</v>
      </c>
      <c r="AV26" s="49">
        <f>資料儲存!E2778</f>
        <v>0</v>
      </c>
      <c r="AW26" s="49">
        <f>資料儲存!F2778</f>
        <v>0</v>
      </c>
      <c r="AX26" s="49">
        <f>資料儲存!G2778</f>
        <v>0</v>
      </c>
      <c r="AY26" s="49">
        <f>資料儲存!H2778</f>
        <v>0</v>
      </c>
      <c r="AZ26" s="49">
        <f>資料儲存!I2778</f>
        <v>0</v>
      </c>
      <c r="BA26" s="49">
        <f>資料儲存!J2778</f>
        <v>0</v>
      </c>
    </row>
    <row r="27" spans="1:53" ht="16" thickBot="1">
      <c r="A27" s="48">
        <v>18</v>
      </c>
      <c r="B27" s="49">
        <f>資料儲存!D2179</f>
        <v>0</v>
      </c>
      <c r="C27" s="49">
        <f>資料儲存!E2179</f>
        <v>0</v>
      </c>
      <c r="D27" s="49">
        <f>資料儲存!F2179</f>
        <v>0</v>
      </c>
      <c r="E27" s="49">
        <f>資料儲存!G2179</f>
        <v>0</v>
      </c>
      <c r="F27" s="49">
        <f>資料儲存!H2179</f>
        <v>0</v>
      </c>
      <c r="G27" s="49">
        <f>資料儲存!I2179</f>
        <v>0</v>
      </c>
      <c r="H27" s="49">
        <f>資料儲存!J2179</f>
        <v>0</v>
      </c>
      <c r="I27" s="45"/>
      <c r="J27" s="48">
        <v>18</v>
      </c>
      <c r="K27" s="49">
        <f>資料儲存!D2299</f>
        <v>0</v>
      </c>
      <c r="L27" s="49">
        <f>資料儲存!E2299</f>
        <v>0</v>
      </c>
      <c r="M27" s="49">
        <f>資料儲存!F2299</f>
        <v>0</v>
      </c>
      <c r="N27" s="49">
        <f>資料儲存!G2299</f>
        <v>0</v>
      </c>
      <c r="O27" s="49">
        <f>資料儲存!H2299</f>
        <v>0</v>
      </c>
      <c r="P27" s="49">
        <f>資料儲存!I2299</f>
        <v>0</v>
      </c>
      <c r="Q27" s="49">
        <f>資料儲存!J2299</f>
        <v>0</v>
      </c>
      <c r="R27" s="45"/>
      <c r="S27" s="48">
        <v>18</v>
      </c>
      <c r="T27" s="49">
        <f>資料儲存!D2419</f>
        <v>0</v>
      </c>
      <c r="U27" s="49">
        <f>資料儲存!E2419</f>
        <v>0</v>
      </c>
      <c r="V27" s="49">
        <f>資料儲存!F2419</f>
        <v>0</v>
      </c>
      <c r="W27" s="49">
        <f>資料儲存!G2419</f>
        <v>0</v>
      </c>
      <c r="X27" s="49">
        <f>資料儲存!H2419</f>
        <v>0</v>
      </c>
      <c r="Y27" s="49">
        <f>資料儲存!I2419</f>
        <v>0</v>
      </c>
      <c r="Z27" s="49">
        <f>資料儲存!J2419</f>
        <v>0</v>
      </c>
      <c r="AA27" s="45"/>
      <c r="AB27" s="48">
        <v>18</v>
      </c>
      <c r="AC27" s="49">
        <f>資料儲存!D2539</f>
        <v>0</v>
      </c>
      <c r="AD27" s="49">
        <f>資料儲存!E2539</f>
        <v>0</v>
      </c>
      <c r="AE27" s="49">
        <f>資料儲存!F2539</f>
        <v>0</v>
      </c>
      <c r="AF27" s="49">
        <f>資料儲存!G2539</f>
        <v>0</v>
      </c>
      <c r="AG27" s="49">
        <f>資料儲存!H2539</f>
        <v>0</v>
      </c>
      <c r="AH27" s="49">
        <f>資料儲存!I2539</f>
        <v>0</v>
      </c>
      <c r="AI27" s="49">
        <f>資料儲存!J2539</f>
        <v>0</v>
      </c>
      <c r="AJ27" s="13"/>
      <c r="AK27" s="48">
        <v>18</v>
      </c>
      <c r="AL27" s="49">
        <f>資料儲存!D2659</f>
        <v>0</v>
      </c>
      <c r="AM27" s="49">
        <f>資料儲存!E2659</f>
        <v>0</v>
      </c>
      <c r="AN27" s="49">
        <f>資料儲存!F2659</f>
        <v>0</v>
      </c>
      <c r="AO27" s="49">
        <f>資料儲存!G2659</f>
        <v>0</v>
      </c>
      <c r="AP27" s="49">
        <f>資料儲存!H2659</f>
        <v>0</v>
      </c>
      <c r="AQ27" s="49">
        <f>資料儲存!I2659</f>
        <v>0</v>
      </c>
      <c r="AR27" s="49">
        <f>資料儲存!J2659</f>
        <v>0</v>
      </c>
      <c r="AT27" s="48">
        <v>18</v>
      </c>
      <c r="AU27" s="49">
        <f>資料儲存!D2779</f>
        <v>0</v>
      </c>
      <c r="AV27" s="49">
        <f>資料儲存!E2779</f>
        <v>0</v>
      </c>
      <c r="AW27" s="49">
        <f>資料儲存!F2779</f>
        <v>0</v>
      </c>
      <c r="AX27" s="49">
        <f>資料儲存!G2779</f>
        <v>0</v>
      </c>
      <c r="AY27" s="49">
        <f>資料儲存!H2779</f>
        <v>0</v>
      </c>
      <c r="AZ27" s="49">
        <f>資料儲存!I2779</f>
        <v>0</v>
      </c>
      <c r="BA27" s="49">
        <f>資料儲存!J2779</f>
        <v>0</v>
      </c>
    </row>
    <row r="28" spans="1:53" ht="16" thickBot="1">
      <c r="A28" s="48">
        <v>19</v>
      </c>
      <c r="B28" s="49">
        <f>資料儲存!D2180</f>
        <v>0</v>
      </c>
      <c r="C28" s="49">
        <f>資料儲存!E2180</f>
        <v>0</v>
      </c>
      <c r="D28" s="49">
        <f>資料儲存!F2180</f>
        <v>0</v>
      </c>
      <c r="E28" s="49">
        <f>資料儲存!G2180</f>
        <v>0</v>
      </c>
      <c r="F28" s="49">
        <f>資料儲存!H2180</f>
        <v>0</v>
      </c>
      <c r="G28" s="49">
        <f>資料儲存!I2180</f>
        <v>0</v>
      </c>
      <c r="H28" s="49">
        <f>資料儲存!J2180</f>
        <v>0</v>
      </c>
      <c r="I28" s="45"/>
      <c r="J28" s="48">
        <v>19</v>
      </c>
      <c r="K28" s="49">
        <f>資料儲存!D2300</f>
        <v>0</v>
      </c>
      <c r="L28" s="49">
        <f>資料儲存!E2300</f>
        <v>0</v>
      </c>
      <c r="M28" s="49">
        <f>資料儲存!F2300</f>
        <v>0</v>
      </c>
      <c r="N28" s="49">
        <f>資料儲存!G2300</f>
        <v>0</v>
      </c>
      <c r="O28" s="49">
        <f>資料儲存!H2300</f>
        <v>0</v>
      </c>
      <c r="P28" s="49">
        <f>資料儲存!I2300</f>
        <v>0</v>
      </c>
      <c r="Q28" s="49">
        <f>資料儲存!J2300</f>
        <v>0</v>
      </c>
      <c r="R28" s="45"/>
      <c r="S28" s="48">
        <v>19</v>
      </c>
      <c r="T28" s="49">
        <f>資料儲存!D2420</f>
        <v>0</v>
      </c>
      <c r="U28" s="49">
        <f>資料儲存!E2420</f>
        <v>0</v>
      </c>
      <c r="V28" s="49">
        <f>資料儲存!F2420</f>
        <v>0</v>
      </c>
      <c r="W28" s="49">
        <f>資料儲存!G2420</f>
        <v>0</v>
      </c>
      <c r="X28" s="49">
        <f>資料儲存!H2420</f>
        <v>0</v>
      </c>
      <c r="Y28" s="49">
        <f>資料儲存!I2420</f>
        <v>0</v>
      </c>
      <c r="Z28" s="49">
        <f>資料儲存!J2420</f>
        <v>0</v>
      </c>
      <c r="AA28" s="45"/>
      <c r="AB28" s="48">
        <v>19</v>
      </c>
      <c r="AC28" s="49">
        <f>資料儲存!D2540</f>
        <v>0</v>
      </c>
      <c r="AD28" s="49">
        <f>資料儲存!E2540</f>
        <v>0</v>
      </c>
      <c r="AE28" s="49">
        <f>資料儲存!F2540</f>
        <v>0</v>
      </c>
      <c r="AF28" s="49">
        <f>資料儲存!G2540</f>
        <v>0</v>
      </c>
      <c r="AG28" s="49">
        <f>資料儲存!H2540</f>
        <v>0</v>
      </c>
      <c r="AH28" s="49">
        <f>資料儲存!I2540</f>
        <v>0</v>
      </c>
      <c r="AI28" s="49">
        <f>資料儲存!J2540</f>
        <v>0</v>
      </c>
      <c r="AJ28" s="13"/>
      <c r="AK28" s="48">
        <v>19</v>
      </c>
      <c r="AL28" s="49">
        <f>資料儲存!D2660</f>
        <v>0</v>
      </c>
      <c r="AM28" s="49">
        <f>資料儲存!E2660</f>
        <v>0</v>
      </c>
      <c r="AN28" s="49">
        <f>資料儲存!F2660</f>
        <v>0</v>
      </c>
      <c r="AO28" s="49">
        <f>資料儲存!G2660</f>
        <v>0</v>
      </c>
      <c r="AP28" s="49">
        <f>資料儲存!H2660</f>
        <v>0</v>
      </c>
      <c r="AQ28" s="49">
        <f>資料儲存!I2660</f>
        <v>0</v>
      </c>
      <c r="AR28" s="49">
        <f>資料儲存!J2660</f>
        <v>0</v>
      </c>
      <c r="AT28" s="48">
        <v>19</v>
      </c>
      <c r="AU28" s="49">
        <f>資料儲存!D2780</f>
        <v>0</v>
      </c>
      <c r="AV28" s="49">
        <f>資料儲存!E2780</f>
        <v>0</v>
      </c>
      <c r="AW28" s="49">
        <f>資料儲存!F2780</f>
        <v>0</v>
      </c>
      <c r="AX28" s="49">
        <f>資料儲存!G2780</f>
        <v>0</v>
      </c>
      <c r="AY28" s="49">
        <f>資料儲存!H2780</f>
        <v>0</v>
      </c>
      <c r="AZ28" s="49">
        <f>資料儲存!I2780</f>
        <v>0</v>
      </c>
      <c r="BA28" s="49">
        <f>資料儲存!J2780</f>
        <v>0</v>
      </c>
    </row>
    <row r="29" spans="1:53" ht="16" thickBot="1">
      <c r="A29" s="48">
        <v>20</v>
      </c>
      <c r="B29" s="49">
        <f>資料儲存!D2181</f>
        <v>0</v>
      </c>
      <c r="C29" s="49">
        <f>資料儲存!E2181</f>
        <v>0</v>
      </c>
      <c r="D29" s="49">
        <f>資料儲存!F2181</f>
        <v>0</v>
      </c>
      <c r="E29" s="49">
        <f>資料儲存!G2181</f>
        <v>0</v>
      </c>
      <c r="F29" s="49">
        <f>資料儲存!H2181</f>
        <v>0</v>
      </c>
      <c r="G29" s="49">
        <f>資料儲存!I2181</f>
        <v>0</v>
      </c>
      <c r="H29" s="49">
        <f>資料儲存!J2181</f>
        <v>0</v>
      </c>
      <c r="I29" s="45"/>
      <c r="J29" s="48">
        <v>20</v>
      </c>
      <c r="K29" s="49">
        <f>資料儲存!D2301</f>
        <v>0</v>
      </c>
      <c r="L29" s="49">
        <f>資料儲存!E2301</f>
        <v>0</v>
      </c>
      <c r="M29" s="49">
        <f>資料儲存!F2301</f>
        <v>0</v>
      </c>
      <c r="N29" s="49">
        <f>資料儲存!G2301</f>
        <v>0</v>
      </c>
      <c r="O29" s="49">
        <f>資料儲存!H2301</f>
        <v>0</v>
      </c>
      <c r="P29" s="49">
        <f>資料儲存!I2301</f>
        <v>0</v>
      </c>
      <c r="Q29" s="49">
        <f>資料儲存!J2301</f>
        <v>0</v>
      </c>
      <c r="R29" s="45"/>
      <c r="S29" s="48">
        <v>20</v>
      </c>
      <c r="T29" s="49">
        <f>資料儲存!D2421</f>
        <v>0</v>
      </c>
      <c r="U29" s="49">
        <f>資料儲存!E2421</f>
        <v>0</v>
      </c>
      <c r="V29" s="49">
        <f>資料儲存!F2421</f>
        <v>0</v>
      </c>
      <c r="W29" s="49">
        <f>資料儲存!G2421</f>
        <v>0</v>
      </c>
      <c r="X29" s="49">
        <f>資料儲存!H2421</f>
        <v>0</v>
      </c>
      <c r="Y29" s="49">
        <f>資料儲存!I2421</f>
        <v>0</v>
      </c>
      <c r="Z29" s="49">
        <f>資料儲存!J2421</f>
        <v>0</v>
      </c>
      <c r="AA29" s="45"/>
      <c r="AB29" s="48">
        <v>20</v>
      </c>
      <c r="AC29" s="49">
        <f>資料儲存!D2541</f>
        <v>0</v>
      </c>
      <c r="AD29" s="49">
        <f>資料儲存!E2541</f>
        <v>0</v>
      </c>
      <c r="AE29" s="49">
        <f>資料儲存!F2541</f>
        <v>0</v>
      </c>
      <c r="AF29" s="49">
        <f>資料儲存!G2541</f>
        <v>0</v>
      </c>
      <c r="AG29" s="49">
        <f>資料儲存!H2541</f>
        <v>0</v>
      </c>
      <c r="AH29" s="49">
        <f>資料儲存!I2541</f>
        <v>0</v>
      </c>
      <c r="AI29" s="49">
        <f>資料儲存!J2541</f>
        <v>0</v>
      </c>
      <c r="AJ29" s="13"/>
      <c r="AK29" s="48">
        <v>20</v>
      </c>
      <c r="AL29" s="49">
        <f>資料儲存!D2661</f>
        <v>0</v>
      </c>
      <c r="AM29" s="49">
        <f>資料儲存!E2661</f>
        <v>0</v>
      </c>
      <c r="AN29" s="49">
        <f>資料儲存!F2661</f>
        <v>0</v>
      </c>
      <c r="AO29" s="49">
        <f>資料儲存!G2661</f>
        <v>0</v>
      </c>
      <c r="AP29" s="49">
        <f>資料儲存!H2661</f>
        <v>0</v>
      </c>
      <c r="AQ29" s="49">
        <f>資料儲存!I2661</f>
        <v>0</v>
      </c>
      <c r="AR29" s="49">
        <f>資料儲存!J2661</f>
        <v>0</v>
      </c>
      <c r="AT29" s="48">
        <v>20</v>
      </c>
      <c r="AU29" s="49">
        <f>資料儲存!D2781</f>
        <v>0</v>
      </c>
      <c r="AV29" s="49">
        <f>資料儲存!E2781</f>
        <v>0</v>
      </c>
      <c r="AW29" s="49">
        <f>資料儲存!F2781</f>
        <v>0</v>
      </c>
      <c r="AX29" s="49">
        <f>資料儲存!G2781</f>
        <v>0</v>
      </c>
      <c r="AY29" s="49">
        <f>資料儲存!H2781</f>
        <v>0</v>
      </c>
      <c r="AZ29" s="49">
        <f>資料儲存!I2781</f>
        <v>0</v>
      </c>
      <c r="BA29" s="49">
        <f>資料儲存!J2781</f>
        <v>0</v>
      </c>
    </row>
    <row r="30" spans="1:53" ht="16" thickBot="1">
      <c r="A30" s="48">
        <v>21</v>
      </c>
      <c r="B30" s="49">
        <f>資料儲存!D2182</f>
        <v>0</v>
      </c>
      <c r="C30" s="49">
        <f>資料儲存!E2182</f>
        <v>0</v>
      </c>
      <c r="D30" s="49">
        <f>資料儲存!F2182</f>
        <v>0</v>
      </c>
      <c r="E30" s="49">
        <f>資料儲存!G2182</f>
        <v>0</v>
      </c>
      <c r="F30" s="49">
        <f>資料儲存!H2182</f>
        <v>0</v>
      </c>
      <c r="G30" s="49">
        <f>資料儲存!I2182</f>
        <v>0</v>
      </c>
      <c r="H30" s="49">
        <f>資料儲存!J2182</f>
        <v>0</v>
      </c>
      <c r="I30" s="45"/>
      <c r="J30" s="48">
        <v>21</v>
      </c>
      <c r="K30" s="49">
        <f>資料儲存!D2302</f>
        <v>0</v>
      </c>
      <c r="L30" s="49">
        <f>資料儲存!E2302</f>
        <v>0</v>
      </c>
      <c r="M30" s="49">
        <f>資料儲存!F2302</f>
        <v>0</v>
      </c>
      <c r="N30" s="49">
        <f>資料儲存!G2302</f>
        <v>0</v>
      </c>
      <c r="O30" s="49">
        <f>資料儲存!H2302</f>
        <v>0</v>
      </c>
      <c r="P30" s="49">
        <f>資料儲存!I2302</f>
        <v>0</v>
      </c>
      <c r="Q30" s="49">
        <f>資料儲存!J2302</f>
        <v>0</v>
      </c>
      <c r="R30" s="45"/>
      <c r="S30" s="48">
        <v>21</v>
      </c>
      <c r="T30" s="49">
        <f>資料儲存!D2422</f>
        <v>0</v>
      </c>
      <c r="U30" s="49">
        <f>資料儲存!E2422</f>
        <v>0</v>
      </c>
      <c r="V30" s="49">
        <f>資料儲存!F2422</f>
        <v>0</v>
      </c>
      <c r="W30" s="49">
        <f>資料儲存!G2422</f>
        <v>0</v>
      </c>
      <c r="X30" s="49">
        <f>資料儲存!H2422</f>
        <v>0</v>
      </c>
      <c r="Y30" s="49">
        <f>資料儲存!I2422</f>
        <v>0</v>
      </c>
      <c r="Z30" s="49">
        <f>資料儲存!J2422</f>
        <v>0</v>
      </c>
      <c r="AA30" s="45"/>
      <c r="AB30" s="48">
        <v>21</v>
      </c>
      <c r="AC30" s="49">
        <f>資料儲存!D2542</f>
        <v>0</v>
      </c>
      <c r="AD30" s="49">
        <f>資料儲存!E2542</f>
        <v>0</v>
      </c>
      <c r="AE30" s="49">
        <f>資料儲存!F2542</f>
        <v>0</v>
      </c>
      <c r="AF30" s="49">
        <f>資料儲存!G2542</f>
        <v>0</v>
      </c>
      <c r="AG30" s="49">
        <f>資料儲存!H2542</f>
        <v>0</v>
      </c>
      <c r="AH30" s="49">
        <f>資料儲存!I2542</f>
        <v>0</v>
      </c>
      <c r="AI30" s="49">
        <f>資料儲存!J2542</f>
        <v>0</v>
      </c>
      <c r="AJ30" s="13"/>
      <c r="AK30" s="48">
        <v>21</v>
      </c>
      <c r="AL30" s="49">
        <f>資料儲存!D2662</f>
        <v>0</v>
      </c>
      <c r="AM30" s="49">
        <f>資料儲存!E2662</f>
        <v>0</v>
      </c>
      <c r="AN30" s="49">
        <f>資料儲存!F2662</f>
        <v>0</v>
      </c>
      <c r="AO30" s="49">
        <f>資料儲存!G2662</f>
        <v>0</v>
      </c>
      <c r="AP30" s="49">
        <f>資料儲存!H2662</f>
        <v>0</v>
      </c>
      <c r="AQ30" s="49">
        <f>資料儲存!I2662</f>
        <v>0</v>
      </c>
      <c r="AR30" s="49">
        <f>資料儲存!J2662</f>
        <v>0</v>
      </c>
      <c r="AT30" s="48">
        <v>21</v>
      </c>
      <c r="AU30" s="49">
        <f>資料儲存!D2782</f>
        <v>0</v>
      </c>
      <c r="AV30" s="49">
        <f>資料儲存!E2782</f>
        <v>0</v>
      </c>
      <c r="AW30" s="49">
        <f>資料儲存!F2782</f>
        <v>0</v>
      </c>
      <c r="AX30" s="49">
        <f>資料儲存!G2782</f>
        <v>0</v>
      </c>
      <c r="AY30" s="49">
        <f>資料儲存!H2782</f>
        <v>0</v>
      </c>
      <c r="AZ30" s="49">
        <f>資料儲存!I2782</f>
        <v>0</v>
      </c>
      <c r="BA30" s="49">
        <f>資料儲存!J2782</f>
        <v>0</v>
      </c>
    </row>
    <row r="31" spans="1:53" ht="16" thickBot="1">
      <c r="A31" s="48">
        <v>22</v>
      </c>
      <c r="B31" s="49">
        <f>資料儲存!D2183</f>
        <v>0</v>
      </c>
      <c r="C31" s="49">
        <f>資料儲存!E2183</f>
        <v>0</v>
      </c>
      <c r="D31" s="49">
        <f>資料儲存!F2183</f>
        <v>0</v>
      </c>
      <c r="E31" s="49">
        <f>資料儲存!G2183</f>
        <v>0</v>
      </c>
      <c r="F31" s="49">
        <f>資料儲存!H2183</f>
        <v>0</v>
      </c>
      <c r="G31" s="49">
        <f>資料儲存!I2183</f>
        <v>0</v>
      </c>
      <c r="H31" s="49">
        <f>資料儲存!J2183</f>
        <v>0</v>
      </c>
      <c r="I31" s="45"/>
      <c r="J31" s="48">
        <v>22</v>
      </c>
      <c r="K31" s="49">
        <f>資料儲存!D2303</f>
        <v>0</v>
      </c>
      <c r="L31" s="49">
        <f>資料儲存!E2303</f>
        <v>0</v>
      </c>
      <c r="M31" s="49">
        <f>資料儲存!F2303</f>
        <v>0</v>
      </c>
      <c r="N31" s="49">
        <f>資料儲存!G2303</f>
        <v>0</v>
      </c>
      <c r="O31" s="49">
        <f>資料儲存!H2303</f>
        <v>0</v>
      </c>
      <c r="P31" s="49">
        <f>資料儲存!I2303</f>
        <v>0</v>
      </c>
      <c r="Q31" s="49">
        <f>資料儲存!J2303</f>
        <v>0</v>
      </c>
      <c r="R31" s="45"/>
      <c r="S31" s="48">
        <v>22</v>
      </c>
      <c r="T31" s="49">
        <f>資料儲存!D2423</f>
        <v>0</v>
      </c>
      <c r="U31" s="49">
        <f>資料儲存!E2423</f>
        <v>0</v>
      </c>
      <c r="V31" s="49">
        <f>資料儲存!F2423</f>
        <v>0</v>
      </c>
      <c r="W31" s="49">
        <f>資料儲存!G2423</f>
        <v>0</v>
      </c>
      <c r="X31" s="49">
        <f>資料儲存!H2423</f>
        <v>0</v>
      </c>
      <c r="Y31" s="49">
        <f>資料儲存!I2423</f>
        <v>0</v>
      </c>
      <c r="Z31" s="49">
        <f>資料儲存!J2423</f>
        <v>0</v>
      </c>
      <c r="AA31" s="45"/>
      <c r="AB31" s="48">
        <v>22</v>
      </c>
      <c r="AC31" s="49">
        <f>資料儲存!D2543</f>
        <v>0</v>
      </c>
      <c r="AD31" s="49">
        <f>資料儲存!E2543</f>
        <v>0</v>
      </c>
      <c r="AE31" s="49">
        <f>資料儲存!F2543</f>
        <v>0</v>
      </c>
      <c r="AF31" s="49">
        <f>資料儲存!G2543</f>
        <v>0</v>
      </c>
      <c r="AG31" s="49">
        <f>資料儲存!H2543</f>
        <v>0</v>
      </c>
      <c r="AH31" s="49">
        <f>資料儲存!I2543</f>
        <v>0</v>
      </c>
      <c r="AI31" s="49">
        <f>資料儲存!J2543</f>
        <v>0</v>
      </c>
      <c r="AJ31" s="13"/>
      <c r="AK31" s="48">
        <v>22</v>
      </c>
      <c r="AL31" s="49">
        <f>資料儲存!D2663</f>
        <v>0</v>
      </c>
      <c r="AM31" s="49">
        <f>資料儲存!E2663</f>
        <v>0</v>
      </c>
      <c r="AN31" s="49">
        <f>資料儲存!F2663</f>
        <v>0</v>
      </c>
      <c r="AO31" s="49">
        <f>資料儲存!G2663</f>
        <v>0</v>
      </c>
      <c r="AP31" s="49">
        <f>資料儲存!H2663</f>
        <v>0</v>
      </c>
      <c r="AQ31" s="49">
        <f>資料儲存!I2663</f>
        <v>0</v>
      </c>
      <c r="AR31" s="49">
        <f>資料儲存!J2663</f>
        <v>0</v>
      </c>
      <c r="AT31" s="48">
        <v>22</v>
      </c>
      <c r="AU31" s="49">
        <f>資料儲存!D2783</f>
        <v>0</v>
      </c>
      <c r="AV31" s="49">
        <f>資料儲存!E2783</f>
        <v>0</v>
      </c>
      <c r="AW31" s="49">
        <f>資料儲存!F2783</f>
        <v>0</v>
      </c>
      <c r="AX31" s="49">
        <f>資料儲存!G2783</f>
        <v>0</v>
      </c>
      <c r="AY31" s="49">
        <f>資料儲存!H2783</f>
        <v>0</v>
      </c>
      <c r="AZ31" s="49">
        <f>資料儲存!I2783</f>
        <v>0</v>
      </c>
      <c r="BA31" s="49">
        <f>資料儲存!J2783</f>
        <v>0</v>
      </c>
    </row>
    <row r="32" spans="1:53" ht="16" thickBot="1">
      <c r="A32" s="48">
        <v>23</v>
      </c>
      <c r="B32" s="49">
        <f>資料儲存!D2184</f>
        <v>0</v>
      </c>
      <c r="C32" s="49">
        <f>資料儲存!E2184</f>
        <v>0</v>
      </c>
      <c r="D32" s="49">
        <f>資料儲存!F2184</f>
        <v>0</v>
      </c>
      <c r="E32" s="49">
        <f>資料儲存!G2184</f>
        <v>0</v>
      </c>
      <c r="F32" s="49">
        <f>資料儲存!H2184</f>
        <v>0</v>
      </c>
      <c r="G32" s="49">
        <f>資料儲存!I2184</f>
        <v>0</v>
      </c>
      <c r="H32" s="49">
        <f>資料儲存!J2184</f>
        <v>0</v>
      </c>
      <c r="I32" s="45"/>
      <c r="J32" s="48">
        <v>23</v>
      </c>
      <c r="K32" s="49">
        <f>資料儲存!D2304</f>
        <v>0</v>
      </c>
      <c r="L32" s="49">
        <f>資料儲存!E2304</f>
        <v>0</v>
      </c>
      <c r="M32" s="49">
        <f>資料儲存!F2304</f>
        <v>0</v>
      </c>
      <c r="N32" s="49">
        <f>資料儲存!G2304</f>
        <v>0</v>
      </c>
      <c r="O32" s="49">
        <f>資料儲存!H2304</f>
        <v>0</v>
      </c>
      <c r="P32" s="49">
        <f>資料儲存!I2304</f>
        <v>0</v>
      </c>
      <c r="Q32" s="49">
        <f>資料儲存!J2304</f>
        <v>0</v>
      </c>
      <c r="R32" s="45"/>
      <c r="S32" s="48">
        <v>23</v>
      </c>
      <c r="T32" s="49">
        <f>資料儲存!D2424</f>
        <v>0</v>
      </c>
      <c r="U32" s="49">
        <f>資料儲存!E2424</f>
        <v>0</v>
      </c>
      <c r="V32" s="49">
        <f>資料儲存!F2424</f>
        <v>0</v>
      </c>
      <c r="W32" s="49">
        <f>資料儲存!G2424</f>
        <v>0</v>
      </c>
      <c r="X32" s="49">
        <f>資料儲存!H2424</f>
        <v>0</v>
      </c>
      <c r="Y32" s="49">
        <f>資料儲存!I2424</f>
        <v>0</v>
      </c>
      <c r="Z32" s="49">
        <f>資料儲存!J2424</f>
        <v>0</v>
      </c>
      <c r="AA32" s="45"/>
      <c r="AB32" s="48">
        <v>23</v>
      </c>
      <c r="AC32" s="49">
        <f>資料儲存!D2544</f>
        <v>0</v>
      </c>
      <c r="AD32" s="49">
        <f>資料儲存!E2544</f>
        <v>0</v>
      </c>
      <c r="AE32" s="49">
        <f>資料儲存!F2544</f>
        <v>0</v>
      </c>
      <c r="AF32" s="49">
        <f>資料儲存!G2544</f>
        <v>0</v>
      </c>
      <c r="AG32" s="49">
        <f>資料儲存!H2544</f>
        <v>0</v>
      </c>
      <c r="AH32" s="49">
        <f>資料儲存!I2544</f>
        <v>0</v>
      </c>
      <c r="AI32" s="49">
        <f>資料儲存!J2544</f>
        <v>0</v>
      </c>
      <c r="AJ32" s="13"/>
      <c r="AK32" s="48">
        <v>23</v>
      </c>
      <c r="AL32" s="49">
        <f>資料儲存!D2664</f>
        <v>0</v>
      </c>
      <c r="AM32" s="49">
        <f>資料儲存!E2664</f>
        <v>0</v>
      </c>
      <c r="AN32" s="49">
        <f>資料儲存!F2664</f>
        <v>0</v>
      </c>
      <c r="AO32" s="49">
        <f>資料儲存!G2664</f>
        <v>0</v>
      </c>
      <c r="AP32" s="49">
        <f>資料儲存!H2664</f>
        <v>0</v>
      </c>
      <c r="AQ32" s="49">
        <f>資料儲存!I2664</f>
        <v>0</v>
      </c>
      <c r="AR32" s="49">
        <f>資料儲存!J2664</f>
        <v>0</v>
      </c>
      <c r="AT32" s="48">
        <v>23</v>
      </c>
      <c r="AU32" s="49">
        <f>資料儲存!D2784</f>
        <v>0</v>
      </c>
      <c r="AV32" s="49">
        <f>資料儲存!E2784</f>
        <v>0</v>
      </c>
      <c r="AW32" s="49">
        <f>資料儲存!F2784</f>
        <v>0</v>
      </c>
      <c r="AX32" s="49">
        <f>資料儲存!G2784</f>
        <v>0</v>
      </c>
      <c r="AY32" s="49">
        <f>資料儲存!H2784</f>
        <v>0</v>
      </c>
      <c r="AZ32" s="49">
        <f>資料儲存!I2784</f>
        <v>0</v>
      </c>
      <c r="BA32" s="49">
        <f>資料儲存!J2784</f>
        <v>0</v>
      </c>
    </row>
    <row r="33" spans="1:53" ht="16" thickBot="1">
      <c r="A33" s="48">
        <v>24</v>
      </c>
      <c r="B33" s="49">
        <f>資料儲存!D2185</f>
        <v>0</v>
      </c>
      <c r="C33" s="49">
        <f>資料儲存!E2185</f>
        <v>0</v>
      </c>
      <c r="D33" s="49">
        <f>資料儲存!F2185</f>
        <v>0</v>
      </c>
      <c r="E33" s="49">
        <f>資料儲存!G2185</f>
        <v>0</v>
      </c>
      <c r="F33" s="49">
        <f>資料儲存!H2185</f>
        <v>0</v>
      </c>
      <c r="G33" s="49">
        <f>資料儲存!I2185</f>
        <v>0</v>
      </c>
      <c r="H33" s="49">
        <f>資料儲存!J2185</f>
        <v>0</v>
      </c>
      <c r="I33" s="45"/>
      <c r="J33" s="48">
        <v>24</v>
      </c>
      <c r="K33" s="49">
        <f>資料儲存!D2305</f>
        <v>0</v>
      </c>
      <c r="L33" s="49">
        <f>資料儲存!E2305</f>
        <v>0</v>
      </c>
      <c r="M33" s="49">
        <f>資料儲存!F2305</f>
        <v>0</v>
      </c>
      <c r="N33" s="49">
        <f>資料儲存!G2305</f>
        <v>0</v>
      </c>
      <c r="O33" s="49">
        <f>資料儲存!H2305</f>
        <v>0</v>
      </c>
      <c r="P33" s="49">
        <f>資料儲存!I2305</f>
        <v>0</v>
      </c>
      <c r="Q33" s="49">
        <f>資料儲存!J2305</f>
        <v>0</v>
      </c>
      <c r="R33" s="45"/>
      <c r="S33" s="48">
        <v>24</v>
      </c>
      <c r="T33" s="49">
        <f>資料儲存!D2425</f>
        <v>0</v>
      </c>
      <c r="U33" s="49">
        <f>資料儲存!E2425</f>
        <v>0</v>
      </c>
      <c r="V33" s="49">
        <f>資料儲存!F2425</f>
        <v>0</v>
      </c>
      <c r="W33" s="49">
        <f>資料儲存!G2425</f>
        <v>0</v>
      </c>
      <c r="X33" s="49">
        <f>資料儲存!H2425</f>
        <v>0</v>
      </c>
      <c r="Y33" s="49">
        <f>資料儲存!I2425</f>
        <v>0</v>
      </c>
      <c r="Z33" s="49">
        <f>資料儲存!J2425</f>
        <v>0</v>
      </c>
      <c r="AA33" s="45"/>
      <c r="AB33" s="48">
        <v>24</v>
      </c>
      <c r="AC33" s="49">
        <f>資料儲存!D2545</f>
        <v>0</v>
      </c>
      <c r="AD33" s="49">
        <f>資料儲存!E2545</f>
        <v>0</v>
      </c>
      <c r="AE33" s="49">
        <f>資料儲存!F2545</f>
        <v>0</v>
      </c>
      <c r="AF33" s="49">
        <f>資料儲存!G2545</f>
        <v>0</v>
      </c>
      <c r="AG33" s="49">
        <f>資料儲存!H2545</f>
        <v>0</v>
      </c>
      <c r="AH33" s="49">
        <f>資料儲存!I2545</f>
        <v>0</v>
      </c>
      <c r="AI33" s="49">
        <f>資料儲存!J2545</f>
        <v>0</v>
      </c>
      <c r="AJ33" s="13"/>
      <c r="AK33" s="48">
        <v>24</v>
      </c>
      <c r="AL33" s="49">
        <f>資料儲存!D2665</f>
        <v>0</v>
      </c>
      <c r="AM33" s="49">
        <f>資料儲存!E2665</f>
        <v>0</v>
      </c>
      <c r="AN33" s="49">
        <f>資料儲存!F2665</f>
        <v>0</v>
      </c>
      <c r="AO33" s="49">
        <f>資料儲存!G2665</f>
        <v>0</v>
      </c>
      <c r="AP33" s="49">
        <f>資料儲存!H2665</f>
        <v>0</v>
      </c>
      <c r="AQ33" s="49">
        <f>資料儲存!I2665</f>
        <v>0</v>
      </c>
      <c r="AR33" s="49">
        <f>資料儲存!J2665</f>
        <v>0</v>
      </c>
      <c r="AT33" s="48">
        <v>24</v>
      </c>
      <c r="AU33" s="49">
        <f>資料儲存!D2785</f>
        <v>0</v>
      </c>
      <c r="AV33" s="49">
        <f>資料儲存!E2785</f>
        <v>0</v>
      </c>
      <c r="AW33" s="49">
        <f>資料儲存!F2785</f>
        <v>0</v>
      </c>
      <c r="AX33" s="49">
        <f>資料儲存!G2785</f>
        <v>0</v>
      </c>
      <c r="AY33" s="49">
        <f>資料儲存!H2785</f>
        <v>0</v>
      </c>
      <c r="AZ33" s="49">
        <f>資料儲存!I2785</f>
        <v>0</v>
      </c>
      <c r="BA33" s="49">
        <f>資料儲存!J2785</f>
        <v>0</v>
      </c>
    </row>
    <row r="34" spans="1:53" ht="16" thickBot="1">
      <c r="A34" s="48">
        <v>25</v>
      </c>
      <c r="B34" s="49">
        <f>資料儲存!D2186</f>
        <v>0</v>
      </c>
      <c r="C34" s="49">
        <f>資料儲存!E2186</f>
        <v>0</v>
      </c>
      <c r="D34" s="49">
        <f>資料儲存!F2186</f>
        <v>0</v>
      </c>
      <c r="E34" s="49">
        <f>資料儲存!G2186</f>
        <v>0</v>
      </c>
      <c r="F34" s="49">
        <f>資料儲存!H2186</f>
        <v>0</v>
      </c>
      <c r="G34" s="49">
        <f>資料儲存!I2186</f>
        <v>0</v>
      </c>
      <c r="H34" s="49">
        <f>資料儲存!J2186</f>
        <v>0</v>
      </c>
      <c r="I34" s="45"/>
      <c r="J34" s="48">
        <v>25</v>
      </c>
      <c r="K34" s="49">
        <f>資料儲存!D2306</f>
        <v>0</v>
      </c>
      <c r="L34" s="49">
        <f>資料儲存!E2306</f>
        <v>0</v>
      </c>
      <c r="M34" s="49">
        <f>資料儲存!F2306</f>
        <v>0</v>
      </c>
      <c r="N34" s="49">
        <f>資料儲存!G2306</f>
        <v>0</v>
      </c>
      <c r="O34" s="49">
        <f>資料儲存!H2306</f>
        <v>0</v>
      </c>
      <c r="P34" s="49">
        <f>資料儲存!I2306</f>
        <v>0</v>
      </c>
      <c r="Q34" s="49">
        <f>資料儲存!J2306</f>
        <v>0</v>
      </c>
      <c r="R34" s="45"/>
      <c r="S34" s="48">
        <v>25</v>
      </c>
      <c r="T34" s="49">
        <f>資料儲存!D2426</f>
        <v>0</v>
      </c>
      <c r="U34" s="49">
        <f>資料儲存!E2426</f>
        <v>0</v>
      </c>
      <c r="V34" s="49">
        <f>資料儲存!F2426</f>
        <v>0</v>
      </c>
      <c r="W34" s="49">
        <f>資料儲存!G2426</f>
        <v>0</v>
      </c>
      <c r="X34" s="49">
        <f>資料儲存!H2426</f>
        <v>0</v>
      </c>
      <c r="Y34" s="49">
        <f>資料儲存!I2426</f>
        <v>0</v>
      </c>
      <c r="Z34" s="49">
        <f>資料儲存!J2426</f>
        <v>0</v>
      </c>
      <c r="AA34" s="45"/>
      <c r="AB34" s="48">
        <v>25</v>
      </c>
      <c r="AC34" s="49">
        <f>資料儲存!D2546</f>
        <v>0</v>
      </c>
      <c r="AD34" s="49">
        <f>資料儲存!E2546</f>
        <v>0</v>
      </c>
      <c r="AE34" s="49">
        <f>資料儲存!F2546</f>
        <v>0</v>
      </c>
      <c r="AF34" s="49">
        <f>資料儲存!G2546</f>
        <v>0</v>
      </c>
      <c r="AG34" s="49">
        <f>資料儲存!H2546</f>
        <v>0</v>
      </c>
      <c r="AH34" s="49">
        <f>資料儲存!I2546</f>
        <v>0</v>
      </c>
      <c r="AI34" s="49">
        <f>資料儲存!J2546</f>
        <v>0</v>
      </c>
      <c r="AJ34" s="13"/>
      <c r="AK34" s="48">
        <v>25</v>
      </c>
      <c r="AL34" s="49">
        <f>資料儲存!D2666</f>
        <v>0</v>
      </c>
      <c r="AM34" s="49">
        <f>資料儲存!E2666</f>
        <v>0</v>
      </c>
      <c r="AN34" s="49">
        <f>資料儲存!F2666</f>
        <v>0</v>
      </c>
      <c r="AO34" s="49">
        <f>資料儲存!G2666</f>
        <v>0</v>
      </c>
      <c r="AP34" s="49">
        <f>資料儲存!H2666</f>
        <v>0</v>
      </c>
      <c r="AQ34" s="49">
        <f>資料儲存!I2666</f>
        <v>0</v>
      </c>
      <c r="AR34" s="49">
        <f>資料儲存!J2666</f>
        <v>0</v>
      </c>
      <c r="AT34" s="48">
        <v>25</v>
      </c>
      <c r="AU34" s="49">
        <f>資料儲存!D2786</f>
        <v>0</v>
      </c>
      <c r="AV34" s="49">
        <f>資料儲存!E2786</f>
        <v>0</v>
      </c>
      <c r="AW34" s="49">
        <f>資料儲存!F2786</f>
        <v>0</v>
      </c>
      <c r="AX34" s="49">
        <f>資料儲存!G2786</f>
        <v>0</v>
      </c>
      <c r="AY34" s="49">
        <f>資料儲存!H2786</f>
        <v>0</v>
      </c>
      <c r="AZ34" s="49">
        <f>資料儲存!I2786</f>
        <v>0</v>
      </c>
      <c r="BA34" s="49">
        <f>資料儲存!J2786</f>
        <v>0</v>
      </c>
    </row>
    <row r="35" spans="1:53" ht="16" thickBot="1">
      <c r="A35" s="48">
        <v>26</v>
      </c>
      <c r="B35" s="49">
        <f>資料儲存!D2187</f>
        <v>0</v>
      </c>
      <c r="C35" s="49">
        <f>資料儲存!E2187</f>
        <v>0</v>
      </c>
      <c r="D35" s="49">
        <f>資料儲存!F2187</f>
        <v>0</v>
      </c>
      <c r="E35" s="49">
        <f>資料儲存!G2187</f>
        <v>0</v>
      </c>
      <c r="F35" s="49">
        <f>資料儲存!H2187</f>
        <v>0</v>
      </c>
      <c r="G35" s="49">
        <f>資料儲存!I2187</f>
        <v>0</v>
      </c>
      <c r="H35" s="49">
        <f>資料儲存!J2187</f>
        <v>0</v>
      </c>
      <c r="I35" s="45"/>
      <c r="J35" s="48">
        <v>26</v>
      </c>
      <c r="K35" s="49">
        <f>資料儲存!D2307</f>
        <v>0</v>
      </c>
      <c r="L35" s="49">
        <f>資料儲存!E2307</f>
        <v>0</v>
      </c>
      <c r="M35" s="49">
        <f>資料儲存!F2307</f>
        <v>0</v>
      </c>
      <c r="N35" s="49">
        <f>資料儲存!G2307</f>
        <v>0</v>
      </c>
      <c r="O35" s="49">
        <f>資料儲存!H2307</f>
        <v>0</v>
      </c>
      <c r="P35" s="49">
        <f>資料儲存!I2307</f>
        <v>0</v>
      </c>
      <c r="Q35" s="49">
        <f>資料儲存!J2307</f>
        <v>0</v>
      </c>
      <c r="R35" s="45"/>
      <c r="S35" s="48">
        <v>26</v>
      </c>
      <c r="T35" s="49">
        <f>資料儲存!D2427</f>
        <v>0</v>
      </c>
      <c r="U35" s="49">
        <f>資料儲存!E2427</f>
        <v>0</v>
      </c>
      <c r="V35" s="49">
        <f>資料儲存!F2427</f>
        <v>0</v>
      </c>
      <c r="W35" s="49">
        <f>資料儲存!G2427</f>
        <v>0</v>
      </c>
      <c r="X35" s="49">
        <f>資料儲存!H2427</f>
        <v>0</v>
      </c>
      <c r="Y35" s="49">
        <f>資料儲存!I2427</f>
        <v>0</v>
      </c>
      <c r="Z35" s="49">
        <f>資料儲存!J2427</f>
        <v>0</v>
      </c>
      <c r="AA35" s="45"/>
      <c r="AB35" s="48">
        <v>26</v>
      </c>
      <c r="AC35" s="49">
        <f>資料儲存!D2547</f>
        <v>0</v>
      </c>
      <c r="AD35" s="49">
        <f>資料儲存!E2547</f>
        <v>0</v>
      </c>
      <c r="AE35" s="49">
        <f>資料儲存!F2547</f>
        <v>0</v>
      </c>
      <c r="AF35" s="49">
        <f>資料儲存!G2547</f>
        <v>0</v>
      </c>
      <c r="AG35" s="49">
        <f>資料儲存!H2547</f>
        <v>0</v>
      </c>
      <c r="AH35" s="49">
        <f>資料儲存!I2547</f>
        <v>0</v>
      </c>
      <c r="AI35" s="49">
        <f>資料儲存!J2547</f>
        <v>0</v>
      </c>
      <c r="AJ35" s="13"/>
      <c r="AK35" s="48">
        <v>26</v>
      </c>
      <c r="AL35" s="49">
        <f>資料儲存!D2667</f>
        <v>0</v>
      </c>
      <c r="AM35" s="49">
        <f>資料儲存!E2667</f>
        <v>0</v>
      </c>
      <c r="AN35" s="49">
        <f>資料儲存!F2667</f>
        <v>0</v>
      </c>
      <c r="AO35" s="49">
        <f>資料儲存!G2667</f>
        <v>0</v>
      </c>
      <c r="AP35" s="49">
        <f>資料儲存!H2667</f>
        <v>0</v>
      </c>
      <c r="AQ35" s="49">
        <f>資料儲存!I2667</f>
        <v>0</v>
      </c>
      <c r="AR35" s="49">
        <f>資料儲存!J2667</f>
        <v>0</v>
      </c>
      <c r="AT35" s="48">
        <v>26</v>
      </c>
      <c r="AU35" s="49">
        <f>資料儲存!D2787</f>
        <v>0</v>
      </c>
      <c r="AV35" s="49">
        <f>資料儲存!E2787</f>
        <v>0</v>
      </c>
      <c r="AW35" s="49">
        <f>資料儲存!F2787</f>
        <v>0</v>
      </c>
      <c r="AX35" s="49">
        <f>資料儲存!G2787</f>
        <v>0</v>
      </c>
      <c r="AY35" s="49">
        <f>資料儲存!H2787</f>
        <v>0</v>
      </c>
      <c r="AZ35" s="49">
        <f>資料儲存!I2787</f>
        <v>0</v>
      </c>
      <c r="BA35" s="49">
        <f>資料儲存!J2787</f>
        <v>0</v>
      </c>
    </row>
    <row r="36" spans="1:53" ht="16" thickBot="1">
      <c r="A36" s="48">
        <v>27</v>
      </c>
      <c r="B36" s="49">
        <f>資料儲存!D2188</f>
        <v>0</v>
      </c>
      <c r="C36" s="49">
        <f>資料儲存!E2188</f>
        <v>0</v>
      </c>
      <c r="D36" s="49">
        <f>資料儲存!F2188</f>
        <v>0</v>
      </c>
      <c r="E36" s="49">
        <f>資料儲存!G2188</f>
        <v>0</v>
      </c>
      <c r="F36" s="49">
        <f>資料儲存!H2188</f>
        <v>0</v>
      </c>
      <c r="G36" s="49">
        <f>資料儲存!I2188</f>
        <v>0</v>
      </c>
      <c r="H36" s="49">
        <f>資料儲存!J2188</f>
        <v>0</v>
      </c>
      <c r="I36" s="45"/>
      <c r="J36" s="48">
        <v>27</v>
      </c>
      <c r="K36" s="49">
        <f>資料儲存!D2308</f>
        <v>0</v>
      </c>
      <c r="L36" s="49">
        <f>資料儲存!E2308</f>
        <v>0</v>
      </c>
      <c r="M36" s="49">
        <f>資料儲存!F2308</f>
        <v>0</v>
      </c>
      <c r="N36" s="49">
        <f>資料儲存!G2308</f>
        <v>0</v>
      </c>
      <c r="O36" s="49">
        <f>資料儲存!H2308</f>
        <v>0</v>
      </c>
      <c r="P36" s="49">
        <f>資料儲存!I2308</f>
        <v>0</v>
      </c>
      <c r="Q36" s="49">
        <f>資料儲存!J2308</f>
        <v>0</v>
      </c>
      <c r="R36" s="45"/>
      <c r="S36" s="48">
        <v>27</v>
      </c>
      <c r="T36" s="49">
        <f>資料儲存!D2428</f>
        <v>0</v>
      </c>
      <c r="U36" s="49">
        <f>資料儲存!E2428</f>
        <v>0</v>
      </c>
      <c r="V36" s="49">
        <f>資料儲存!F2428</f>
        <v>0</v>
      </c>
      <c r="W36" s="49">
        <f>資料儲存!G2428</f>
        <v>0</v>
      </c>
      <c r="X36" s="49">
        <f>資料儲存!H2428</f>
        <v>0</v>
      </c>
      <c r="Y36" s="49">
        <f>資料儲存!I2428</f>
        <v>0</v>
      </c>
      <c r="Z36" s="49">
        <f>資料儲存!J2428</f>
        <v>0</v>
      </c>
      <c r="AA36" s="45"/>
      <c r="AB36" s="48">
        <v>27</v>
      </c>
      <c r="AC36" s="49">
        <f>資料儲存!D2548</f>
        <v>0</v>
      </c>
      <c r="AD36" s="49">
        <f>資料儲存!E2548</f>
        <v>0</v>
      </c>
      <c r="AE36" s="49">
        <f>資料儲存!F2548</f>
        <v>0</v>
      </c>
      <c r="AF36" s="49">
        <f>資料儲存!G2548</f>
        <v>0</v>
      </c>
      <c r="AG36" s="49">
        <f>資料儲存!H2548</f>
        <v>0</v>
      </c>
      <c r="AH36" s="49">
        <f>資料儲存!I2548</f>
        <v>0</v>
      </c>
      <c r="AI36" s="49">
        <f>資料儲存!J2548</f>
        <v>0</v>
      </c>
      <c r="AJ36" s="13"/>
      <c r="AK36" s="48">
        <v>27</v>
      </c>
      <c r="AL36" s="49">
        <f>資料儲存!D2668</f>
        <v>0</v>
      </c>
      <c r="AM36" s="49">
        <f>資料儲存!E2668</f>
        <v>0</v>
      </c>
      <c r="AN36" s="49">
        <f>資料儲存!F2668</f>
        <v>0</v>
      </c>
      <c r="AO36" s="49">
        <f>資料儲存!G2668</f>
        <v>0</v>
      </c>
      <c r="AP36" s="49">
        <f>資料儲存!H2668</f>
        <v>0</v>
      </c>
      <c r="AQ36" s="49">
        <f>資料儲存!I2668</f>
        <v>0</v>
      </c>
      <c r="AR36" s="49">
        <f>資料儲存!J2668</f>
        <v>0</v>
      </c>
      <c r="AT36" s="48">
        <v>27</v>
      </c>
      <c r="AU36" s="49">
        <f>資料儲存!D2788</f>
        <v>0</v>
      </c>
      <c r="AV36" s="49">
        <f>資料儲存!E2788</f>
        <v>0</v>
      </c>
      <c r="AW36" s="49">
        <f>資料儲存!F2788</f>
        <v>0</v>
      </c>
      <c r="AX36" s="49">
        <f>資料儲存!G2788</f>
        <v>0</v>
      </c>
      <c r="AY36" s="49">
        <f>資料儲存!H2788</f>
        <v>0</v>
      </c>
      <c r="AZ36" s="49">
        <f>資料儲存!I2788</f>
        <v>0</v>
      </c>
      <c r="BA36" s="49">
        <f>資料儲存!J2788</f>
        <v>0</v>
      </c>
    </row>
    <row r="37" spans="1:53" ht="16" thickBot="1">
      <c r="A37" s="48">
        <v>28</v>
      </c>
      <c r="B37" s="49">
        <f>資料儲存!D2189</f>
        <v>0</v>
      </c>
      <c r="C37" s="49">
        <f>資料儲存!E2189</f>
        <v>0</v>
      </c>
      <c r="D37" s="49">
        <f>資料儲存!F2189</f>
        <v>0</v>
      </c>
      <c r="E37" s="49">
        <f>資料儲存!G2189</f>
        <v>0</v>
      </c>
      <c r="F37" s="49">
        <f>資料儲存!H2189</f>
        <v>0</v>
      </c>
      <c r="G37" s="49">
        <f>資料儲存!I2189</f>
        <v>0</v>
      </c>
      <c r="H37" s="49">
        <f>資料儲存!J2189</f>
        <v>0</v>
      </c>
      <c r="I37" s="45"/>
      <c r="J37" s="48">
        <v>28</v>
      </c>
      <c r="K37" s="49">
        <f>資料儲存!D2309</f>
        <v>0</v>
      </c>
      <c r="L37" s="49">
        <f>資料儲存!E2309</f>
        <v>0</v>
      </c>
      <c r="M37" s="49">
        <f>資料儲存!F2309</f>
        <v>0</v>
      </c>
      <c r="N37" s="49">
        <f>資料儲存!G2309</f>
        <v>0</v>
      </c>
      <c r="O37" s="49">
        <f>資料儲存!H2309</f>
        <v>0</v>
      </c>
      <c r="P37" s="49">
        <f>資料儲存!I2309</f>
        <v>0</v>
      </c>
      <c r="Q37" s="49">
        <f>資料儲存!J2309</f>
        <v>0</v>
      </c>
      <c r="R37" s="45"/>
      <c r="S37" s="48">
        <v>28</v>
      </c>
      <c r="T37" s="49">
        <f>資料儲存!D2429</f>
        <v>0</v>
      </c>
      <c r="U37" s="49">
        <f>資料儲存!E2429</f>
        <v>0</v>
      </c>
      <c r="V37" s="49">
        <f>資料儲存!F2429</f>
        <v>0</v>
      </c>
      <c r="W37" s="49">
        <f>資料儲存!G2429</f>
        <v>0</v>
      </c>
      <c r="X37" s="49">
        <f>資料儲存!H2429</f>
        <v>0</v>
      </c>
      <c r="Y37" s="49">
        <f>資料儲存!I2429</f>
        <v>0</v>
      </c>
      <c r="Z37" s="49">
        <f>資料儲存!J2429</f>
        <v>0</v>
      </c>
      <c r="AA37" s="45"/>
      <c r="AB37" s="48">
        <v>28</v>
      </c>
      <c r="AC37" s="49">
        <f>資料儲存!D2549</f>
        <v>0</v>
      </c>
      <c r="AD37" s="49">
        <f>資料儲存!E2549</f>
        <v>0</v>
      </c>
      <c r="AE37" s="49">
        <f>資料儲存!F2549</f>
        <v>0</v>
      </c>
      <c r="AF37" s="49">
        <f>資料儲存!G2549</f>
        <v>0</v>
      </c>
      <c r="AG37" s="49">
        <f>資料儲存!H2549</f>
        <v>0</v>
      </c>
      <c r="AH37" s="49">
        <f>資料儲存!I2549</f>
        <v>0</v>
      </c>
      <c r="AI37" s="49">
        <f>資料儲存!J2549</f>
        <v>0</v>
      </c>
      <c r="AJ37" s="13"/>
      <c r="AK37" s="48">
        <v>28</v>
      </c>
      <c r="AL37" s="49">
        <f>資料儲存!D2669</f>
        <v>0</v>
      </c>
      <c r="AM37" s="49">
        <f>資料儲存!E2669</f>
        <v>0</v>
      </c>
      <c r="AN37" s="49">
        <f>資料儲存!F2669</f>
        <v>0</v>
      </c>
      <c r="AO37" s="49">
        <f>資料儲存!G2669</f>
        <v>0</v>
      </c>
      <c r="AP37" s="49">
        <f>資料儲存!H2669</f>
        <v>0</v>
      </c>
      <c r="AQ37" s="49">
        <f>資料儲存!I2669</f>
        <v>0</v>
      </c>
      <c r="AR37" s="49">
        <f>資料儲存!J2669</f>
        <v>0</v>
      </c>
      <c r="AT37" s="48">
        <v>28</v>
      </c>
      <c r="AU37" s="49">
        <f>資料儲存!D2789</f>
        <v>0</v>
      </c>
      <c r="AV37" s="49">
        <f>資料儲存!E2789</f>
        <v>0</v>
      </c>
      <c r="AW37" s="49">
        <f>資料儲存!F2789</f>
        <v>0</v>
      </c>
      <c r="AX37" s="49">
        <f>資料儲存!G2789</f>
        <v>0</v>
      </c>
      <c r="AY37" s="49">
        <f>資料儲存!H2789</f>
        <v>0</v>
      </c>
      <c r="AZ37" s="49">
        <f>資料儲存!I2789</f>
        <v>0</v>
      </c>
      <c r="BA37" s="49">
        <f>資料儲存!J2789</f>
        <v>0</v>
      </c>
    </row>
    <row r="38" spans="1:53" ht="16" thickBot="1">
      <c r="A38" s="48">
        <v>29</v>
      </c>
      <c r="B38" s="49">
        <f>資料儲存!D2190</f>
        <v>0</v>
      </c>
      <c r="C38" s="49">
        <f>資料儲存!E2190</f>
        <v>0</v>
      </c>
      <c r="D38" s="49">
        <f>資料儲存!F2190</f>
        <v>0</v>
      </c>
      <c r="E38" s="49">
        <f>資料儲存!G2190</f>
        <v>0</v>
      </c>
      <c r="F38" s="49">
        <f>資料儲存!H2190</f>
        <v>0</v>
      </c>
      <c r="G38" s="49">
        <f>資料儲存!I2190</f>
        <v>0</v>
      </c>
      <c r="H38" s="49">
        <f>資料儲存!J2190</f>
        <v>0</v>
      </c>
      <c r="I38" s="45"/>
      <c r="J38" s="48">
        <v>29</v>
      </c>
      <c r="K38" s="49">
        <f>資料儲存!D2310</f>
        <v>0</v>
      </c>
      <c r="L38" s="49">
        <f>資料儲存!E2310</f>
        <v>0</v>
      </c>
      <c r="M38" s="49">
        <f>資料儲存!F2310</f>
        <v>0</v>
      </c>
      <c r="N38" s="49">
        <f>資料儲存!G2310</f>
        <v>0</v>
      </c>
      <c r="O38" s="49">
        <f>資料儲存!H2310</f>
        <v>0</v>
      </c>
      <c r="P38" s="49">
        <f>資料儲存!I2310</f>
        <v>0</v>
      </c>
      <c r="Q38" s="49">
        <f>資料儲存!J2310</f>
        <v>0</v>
      </c>
      <c r="R38" s="45"/>
      <c r="S38" s="48">
        <v>29</v>
      </c>
      <c r="T38" s="49">
        <f>資料儲存!D2430</f>
        <v>0</v>
      </c>
      <c r="U38" s="49">
        <f>資料儲存!E2430</f>
        <v>0</v>
      </c>
      <c r="V38" s="49">
        <f>資料儲存!F2430</f>
        <v>0</v>
      </c>
      <c r="W38" s="49">
        <f>資料儲存!G2430</f>
        <v>0</v>
      </c>
      <c r="X38" s="49">
        <f>資料儲存!H2430</f>
        <v>0</v>
      </c>
      <c r="Y38" s="49">
        <f>資料儲存!I2430</f>
        <v>0</v>
      </c>
      <c r="Z38" s="49">
        <f>資料儲存!J2430</f>
        <v>0</v>
      </c>
      <c r="AA38" s="45"/>
      <c r="AB38" s="48">
        <v>29</v>
      </c>
      <c r="AC38" s="49">
        <f>資料儲存!D2550</f>
        <v>0</v>
      </c>
      <c r="AD38" s="49">
        <f>資料儲存!E2550</f>
        <v>0</v>
      </c>
      <c r="AE38" s="49">
        <f>資料儲存!F2550</f>
        <v>0</v>
      </c>
      <c r="AF38" s="49">
        <f>資料儲存!G2550</f>
        <v>0</v>
      </c>
      <c r="AG38" s="49">
        <f>資料儲存!H2550</f>
        <v>0</v>
      </c>
      <c r="AH38" s="49">
        <f>資料儲存!I2550</f>
        <v>0</v>
      </c>
      <c r="AI38" s="49">
        <f>資料儲存!J2550</f>
        <v>0</v>
      </c>
      <c r="AJ38" s="13"/>
      <c r="AK38" s="48">
        <v>29</v>
      </c>
      <c r="AL38" s="49">
        <f>資料儲存!D2670</f>
        <v>0</v>
      </c>
      <c r="AM38" s="49">
        <f>資料儲存!E2670</f>
        <v>0</v>
      </c>
      <c r="AN38" s="49">
        <f>資料儲存!F2670</f>
        <v>0</v>
      </c>
      <c r="AO38" s="49">
        <f>資料儲存!G2670</f>
        <v>0</v>
      </c>
      <c r="AP38" s="49">
        <f>資料儲存!H2670</f>
        <v>0</v>
      </c>
      <c r="AQ38" s="49">
        <f>資料儲存!I2670</f>
        <v>0</v>
      </c>
      <c r="AR38" s="49">
        <f>資料儲存!J2670</f>
        <v>0</v>
      </c>
      <c r="AT38" s="48">
        <v>29</v>
      </c>
      <c r="AU38" s="49">
        <f>資料儲存!D2790</f>
        <v>0</v>
      </c>
      <c r="AV38" s="49">
        <f>資料儲存!E2790</f>
        <v>0</v>
      </c>
      <c r="AW38" s="49">
        <f>資料儲存!F2790</f>
        <v>0</v>
      </c>
      <c r="AX38" s="49">
        <f>資料儲存!G2790</f>
        <v>0</v>
      </c>
      <c r="AY38" s="49">
        <f>資料儲存!H2790</f>
        <v>0</v>
      </c>
      <c r="AZ38" s="49">
        <f>資料儲存!I2790</f>
        <v>0</v>
      </c>
      <c r="BA38" s="49">
        <f>資料儲存!J2790</f>
        <v>0</v>
      </c>
    </row>
    <row r="39" spans="1:53" ht="16" thickBot="1">
      <c r="A39" s="48">
        <v>30</v>
      </c>
      <c r="B39" s="49">
        <f>資料儲存!D2191</f>
        <v>0</v>
      </c>
      <c r="C39" s="49">
        <f>資料儲存!E2191</f>
        <v>0</v>
      </c>
      <c r="D39" s="49">
        <f>資料儲存!F2191</f>
        <v>0</v>
      </c>
      <c r="E39" s="49">
        <f>資料儲存!G2191</f>
        <v>0</v>
      </c>
      <c r="F39" s="49">
        <f>資料儲存!H2191</f>
        <v>0</v>
      </c>
      <c r="G39" s="49">
        <f>資料儲存!I2191</f>
        <v>0</v>
      </c>
      <c r="H39" s="49">
        <f>資料儲存!J2191</f>
        <v>0</v>
      </c>
      <c r="I39" s="45"/>
      <c r="J39" s="48">
        <v>30</v>
      </c>
      <c r="K39" s="49">
        <f>資料儲存!D2311</f>
        <v>0</v>
      </c>
      <c r="L39" s="49">
        <f>資料儲存!E2311</f>
        <v>0</v>
      </c>
      <c r="M39" s="49">
        <f>資料儲存!F2311</f>
        <v>0</v>
      </c>
      <c r="N39" s="49">
        <f>資料儲存!G2311</f>
        <v>0</v>
      </c>
      <c r="O39" s="49">
        <f>資料儲存!H2311</f>
        <v>0</v>
      </c>
      <c r="P39" s="49">
        <f>資料儲存!I2311</f>
        <v>0</v>
      </c>
      <c r="Q39" s="49">
        <f>資料儲存!J2311</f>
        <v>0</v>
      </c>
      <c r="R39" s="45"/>
      <c r="S39" s="48">
        <v>30</v>
      </c>
      <c r="T39" s="49">
        <f>資料儲存!D2431</f>
        <v>0</v>
      </c>
      <c r="U39" s="49">
        <f>資料儲存!E2431</f>
        <v>0</v>
      </c>
      <c r="V39" s="49">
        <f>資料儲存!F2431</f>
        <v>0</v>
      </c>
      <c r="W39" s="49">
        <f>資料儲存!G2431</f>
        <v>0</v>
      </c>
      <c r="X39" s="49">
        <f>資料儲存!H2431</f>
        <v>0</v>
      </c>
      <c r="Y39" s="49">
        <f>資料儲存!I2431</f>
        <v>0</v>
      </c>
      <c r="Z39" s="49">
        <f>資料儲存!J2431</f>
        <v>0</v>
      </c>
      <c r="AA39" s="45"/>
      <c r="AB39" s="48">
        <v>30</v>
      </c>
      <c r="AC39" s="49">
        <f>資料儲存!D2551</f>
        <v>0</v>
      </c>
      <c r="AD39" s="49">
        <f>資料儲存!E2551</f>
        <v>0</v>
      </c>
      <c r="AE39" s="49">
        <f>資料儲存!F2551</f>
        <v>0</v>
      </c>
      <c r="AF39" s="49">
        <f>資料儲存!G2551</f>
        <v>0</v>
      </c>
      <c r="AG39" s="49">
        <f>資料儲存!H2551</f>
        <v>0</v>
      </c>
      <c r="AH39" s="49">
        <f>資料儲存!I2551</f>
        <v>0</v>
      </c>
      <c r="AI39" s="49">
        <f>資料儲存!J2551</f>
        <v>0</v>
      </c>
      <c r="AJ39" s="13"/>
      <c r="AK39" s="48">
        <v>30</v>
      </c>
      <c r="AL39" s="49">
        <f>資料儲存!D2671</f>
        <v>0</v>
      </c>
      <c r="AM39" s="49">
        <f>資料儲存!E2671</f>
        <v>0</v>
      </c>
      <c r="AN39" s="49">
        <f>資料儲存!F2671</f>
        <v>0</v>
      </c>
      <c r="AO39" s="49">
        <f>資料儲存!G2671</f>
        <v>0</v>
      </c>
      <c r="AP39" s="49">
        <f>資料儲存!H2671</f>
        <v>0</v>
      </c>
      <c r="AQ39" s="49">
        <f>資料儲存!I2671</f>
        <v>0</v>
      </c>
      <c r="AR39" s="49">
        <f>資料儲存!J2671</f>
        <v>0</v>
      </c>
      <c r="AT39" s="48">
        <v>30</v>
      </c>
      <c r="AU39" s="49">
        <f>資料儲存!D2791</f>
        <v>0</v>
      </c>
      <c r="AV39" s="49">
        <f>資料儲存!E2791</f>
        <v>0</v>
      </c>
      <c r="AW39" s="49">
        <f>資料儲存!F2791</f>
        <v>0</v>
      </c>
      <c r="AX39" s="49">
        <f>資料儲存!G2791</f>
        <v>0</v>
      </c>
      <c r="AY39" s="49">
        <f>資料儲存!H2791</f>
        <v>0</v>
      </c>
      <c r="AZ39" s="49">
        <f>資料儲存!I2791</f>
        <v>0</v>
      </c>
      <c r="BA39" s="49">
        <f>資料儲存!J2791</f>
        <v>0</v>
      </c>
    </row>
    <row r="40" spans="1:53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13"/>
      <c r="AK40" s="50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  <c r="AT40" s="50" t="s">
        <v>56</v>
      </c>
      <c r="AU40" s="49">
        <f>SUM(AU25:AX39)</f>
        <v>0</v>
      </c>
      <c r="AV40" s="47"/>
      <c r="AW40" s="47"/>
      <c r="AX40" s="47"/>
      <c r="AY40" s="49">
        <f>AY39</f>
        <v>0</v>
      </c>
      <c r="AZ40" s="49">
        <f>AZ39</f>
        <v>0</v>
      </c>
      <c r="BA40" s="49">
        <f>BA39</f>
        <v>0</v>
      </c>
    </row>
    <row r="41" spans="1:53" ht="18.5" thickBot="1">
      <c r="A41" s="248" t="s">
        <v>97</v>
      </c>
      <c r="B41" s="249"/>
      <c r="C41" s="249"/>
      <c r="D41" s="249"/>
      <c r="E41" s="249"/>
      <c r="F41" s="249"/>
      <c r="G41" s="249"/>
      <c r="H41" s="250"/>
      <c r="I41" s="13"/>
      <c r="J41" s="248" t="s">
        <v>97</v>
      </c>
      <c r="K41" s="249"/>
      <c r="L41" s="249"/>
      <c r="M41" s="249"/>
      <c r="N41" s="249"/>
      <c r="O41" s="249"/>
      <c r="P41" s="249"/>
      <c r="Q41" s="250"/>
      <c r="R41" s="13"/>
      <c r="S41" s="248" t="s">
        <v>97</v>
      </c>
      <c r="T41" s="249"/>
      <c r="U41" s="249"/>
      <c r="V41" s="249"/>
      <c r="W41" s="249"/>
      <c r="X41" s="249"/>
      <c r="Y41" s="249"/>
      <c r="Z41" s="250"/>
      <c r="AA41" s="13"/>
      <c r="AB41" s="248" t="s">
        <v>97</v>
      </c>
      <c r="AC41" s="249"/>
      <c r="AD41" s="249"/>
      <c r="AE41" s="249"/>
      <c r="AF41" s="249"/>
      <c r="AG41" s="249"/>
      <c r="AH41" s="249"/>
      <c r="AI41" s="250"/>
      <c r="AJ41" s="13"/>
      <c r="AK41" s="248" t="s">
        <v>97</v>
      </c>
      <c r="AL41" s="249"/>
      <c r="AM41" s="249"/>
      <c r="AN41" s="249"/>
      <c r="AO41" s="249"/>
      <c r="AP41" s="249"/>
      <c r="AQ41" s="249"/>
      <c r="AR41" s="250"/>
      <c r="AT41" s="248" t="s">
        <v>97</v>
      </c>
      <c r="AU41" s="249"/>
      <c r="AV41" s="249"/>
      <c r="AW41" s="249"/>
      <c r="AX41" s="249"/>
      <c r="AY41" s="249"/>
      <c r="AZ41" s="249"/>
      <c r="BA41" s="250"/>
    </row>
    <row r="42" spans="1:53" ht="17.25" customHeight="1" thickBot="1">
      <c r="A42" s="31" t="s">
        <v>2</v>
      </c>
      <c r="B42" s="32" t="s">
        <v>46</v>
      </c>
      <c r="C42" s="33"/>
      <c r="D42" s="33"/>
      <c r="E42" s="34"/>
      <c r="F42" s="32" t="s">
        <v>47</v>
      </c>
      <c r="G42" s="33"/>
      <c r="H42" s="34"/>
      <c r="I42" s="35"/>
      <c r="J42" s="31" t="s">
        <v>2</v>
      </c>
      <c r="K42" s="32" t="s">
        <v>46</v>
      </c>
      <c r="L42" s="33"/>
      <c r="M42" s="33"/>
      <c r="N42" s="34"/>
      <c r="O42" s="32" t="s">
        <v>47</v>
      </c>
      <c r="P42" s="33"/>
      <c r="Q42" s="34"/>
      <c r="R42" s="35"/>
      <c r="S42" s="31" t="s">
        <v>2</v>
      </c>
      <c r="T42" s="32" t="s">
        <v>46</v>
      </c>
      <c r="U42" s="33"/>
      <c r="V42" s="33"/>
      <c r="W42" s="34"/>
      <c r="X42" s="32" t="s">
        <v>47</v>
      </c>
      <c r="Y42" s="33"/>
      <c r="Z42" s="34"/>
      <c r="AA42" s="35"/>
      <c r="AB42" s="31" t="s">
        <v>2</v>
      </c>
      <c r="AC42" s="32" t="s">
        <v>46</v>
      </c>
      <c r="AD42" s="33"/>
      <c r="AE42" s="33"/>
      <c r="AF42" s="34"/>
      <c r="AG42" s="32" t="s">
        <v>47</v>
      </c>
      <c r="AH42" s="33"/>
      <c r="AI42" s="34"/>
      <c r="AJ42" s="13"/>
      <c r="AK42" s="31" t="s">
        <v>2</v>
      </c>
      <c r="AL42" s="32" t="s">
        <v>46</v>
      </c>
      <c r="AM42" s="33"/>
      <c r="AN42" s="33"/>
      <c r="AO42" s="34"/>
      <c r="AP42" s="32" t="s">
        <v>47</v>
      </c>
      <c r="AQ42" s="33"/>
      <c r="AR42" s="34"/>
      <c r="AT42" s="31" t="s">
        <v>2</v>
      </c>
      <c r="AU42" s="32" t="s">
        <v>46</v>
      </c>
      <c r="AV42" s="33"/>
      <c r="AW42" s="33"/>
      <c r="AX42" s="34"/>
      <c r="AY42" s="32" t="s">
        <v>47</v>
      </c>
      <c r="AZ42" s="33"/>
      <c r="BA42" s="34"/>
    </row>
    <row r="43" spans="1:53" ht="16" thickBot="1">
      <c r="A43" s="36">
        <v>0.52083333333333337</v>
      </c>
      <c r="B43" s="37" t="s">
        <v>49</v>
      </c>
      <c r="C43" s="37" t="s">
        <v>50</v>
      </c>
      <c r="D43" s="37" t="s">
        <v>51</v>
      </c>
      <c r="E43" s="37" t="s">
        <v>52</v>
      </c>
      <c r="F43" s="37" t="s">
        <v>53</v>
      </c>
      <c r="G43" s="37" t="s">
        <v>54</v>
      </c>
      <c r="H43" s="37" t="s">
        <v>55</v>
      </c>
      <c r="I43" s="35"/>
      <c r="J43" s="36">
        <v>0.52083333333333337</v>
      </c>
      <c r="K43" s="37" t="s">
        <v>49</v>
      </c>
      <c r="L43" s="37" t="s">
        <v>50</v>
      </c>
      <c r="M43" s="37" t="s">
        <v>51</v>
      </c>
      <c r="N43" s="37" t="s">
        <v>52</v>
      </c>
      <c r="O43" s="37" t="s">
        <v>53</v>
      </c>
      <c r="P43" s="37" t="s">
        <v>54</v>
      </c>
      <c r="Q43" s="37" t="s">
        <v>55</v>
      </c>
      <c r="R43" s="35"/>
      <c r="S43" s="36">
        <v>0.52083333333333337</v>
      </c>
      <c r="T43" s="37" t="s">
        <v>49</v>
      </c>
      <c r="U43" s="37" t="s">
        <v>50</v>
      </c>
      <c r="V43" s="37" t="s">
        <v>51</v>
      </c>
      <c r="W43" s="37" t="s">
        <v>52</v>
      </c>
      <c r="X43" s="37" t="s">
        <v>53</v>
      </c>
      <c r="Y43" s="37" t="s">
        <v>54</v>
      </c>
      <c r="Z43" s="37" t="s">
        <v>55</v>
      </c>
      <c r="AA43" s="35"/>
      <c r="AB43" s="36">
        <v>0.52083333333333337</v>
      </c>
      <c r="AC43" s="37" t="s">
        <v>49</v>
      </c>
      <c r="AD43" s="37" t="s">
        <v>50</v>
      </c>
      <c r="AE43" s="37" t="s">
        <v>51</v>
      </c>
      <c r="AF43" s="37" t="s">
        <v>52</v>
      </c>
      <c r="AG43" s="37" t="s">
        <v>53</v>
      </c>
      <c r="AH43" s="37" t="s">
        <v>54</v>
      </c>
      <c r="AI43" s="37" t="s">
        <v>55</v>
      </c>
      <c r="AJ43" s="13"/>
      <c r="AK43" s="36">
        <v>0.52083333333333337</v>
      </c>
      <c r="AL43" s="37" t="s">
        <v>49</v>
      </c>
      <c r="AM43" s="37" t="s">
        <v>50</v>
      </c>
      <c r="AN43" s="37" t="s">
        <v>51</v>
      </c>
      <c r="AO43" s="37" t="s">
        <v>52</v>
      </c>
      <c r="AP43" s="37" t="s">
        <v>53</v>
      </c>
      <c r="AQ43" s="37" t="s">
        <v>54</v>
      </c>
      <c r="AR43" s="37" t="s">
        <v>55</v>
      </c>
      <c r="AT43" s="36">
        <v>0.52083333333333337</v>
      </c>
      <c r="AU43" s="37" t="s">
        <v>49</v>
      </c>
      <c r="AV43" s="37" t="s">
        <v>50</v>
      </c>
      <c r="AW43" s="37" t="s">
        <v>51</v>
      </c>
      <c r="AX43" s="37" t="s">
        <v>52</v>
      </c>
      <c r="AY43" s="37" t="s">
        <v>53</v>
      </c>
      <c r="AZ43" s="37" t="s">
        <v>54</v>
      </c>
      <c r="BA43" s="37" t="s">
        <v>55</v>
      </c>
    </row>
    <row r="44" spans="1:53" ht="16" thickBot="1">
      <c r="A44" s="38">
        <v>31</v>
      </c>
      <c r="B44" s="39">
        <f>資料儲存!D2192</f>
        <v>0</v>
      </c>
      <c r="C44" s="39">
        <f>資料儲存!E2192</f>
        <v>0</v>
      </c>
      <c r="D44" s="39">
        <f>資料儲存!F2192</f>
        <v>0</v>
      </c>
      <c r="E44" s="39">
        <f>資料儲存!G2192</f>
        <v>0</v>
      </c>
      <c r="F44" s="39">
        <f>資料儲存!H2192</f>
        <v>0</v>
      </c>
      <c r="G44" s="39">
        <f>資料儲存!I2192</f>
        <v>0</v>
      </c>
      <c r="H44" s="39">
        <f>資料儲存!J2192</f>
        <v>0</v>
      </c>
      <c r="I44" s="35"/>
      <c r="J44" s="38">
        <v>31</v>
      </c>
      <c r="K44" s="39">
        <f>資料儲存!D2312</f>
        <v>0</v>
      </c>
      <c r="L44" s="39">
        <f>資料儲存!E2312</f>
        <v>0</v>
      </c>
      <c r="M44" s="39">
        <f>資料儲存!F2312</f>
        <v>0</v>
      </c>
      <c r="N44" s="39">
        <f>資料儲存!G2312</f>
        <v>0</v>
      </c>
      <c r="O44" s="39">
        <f>資料儲存!H2312</f>
        <v>0</v>
      </c>
      <c r="P44" s="39">
        <f>資料儲存!I2312</f>
        <v>0</v>
      </c>
      <c r="Q44" s="39">
        <f>資料儲存!J2312</f>
        <v>0</v>
      </c>
      <c r="R44" s="35"/>
      <c r="S44" s="38">
        <v>31</v>
      </c>
      <c r="T44" s="39">
        <f>資料儲存!D2432</f>
        <v>0</v>
      </c>
      <c r="U44" s="39">
        <f>資料儲存!E2432</f>
        <v>0</v>
      </c>
      <c r="V44" s="39">
        <f>資料儲存!F2432</f>
        <v>0</v>
      </c>
      <c r="W44" s="39">
        <f>資料儲存!G2432</f>
        <v>0</v>
      </c>
      <c r="X44" s="39">
        <f>資料儲存!H2432</f>
        <v>0</v>
      </c>
      <c r="Y44" s="39">
        <f>資料儲存!I2432</f>
        <v>0</v>
      </c>
      <c r="Z44" s="39">
        <f>資料儲存!J2432</f>
        <v>0</v>
      </c>
      <c r="AA44" s="35"/>
      <c r="AB44" s="38">
        <v>31</v>
      </c>
      <c r="AC44" s="39">
        <f>資料儲存!D2552</f>
        <v>0</v>
      </c>
      <c r="AD44" s="39">
        <f>資料儲存!E2552</f>
        <v>0</v>
      </c>
      <c r="AE44" s="39">
        <f>資料儲存!F2552</f>
        <v>0</v>
      </c>
      <c r="AF44" s="39">
        <f>資料儲存!G2552</f>
        <v>0</v>
      </c>
      <c r="AG44" s="39">
        <f>資料儲存!H2552</f>
        <v>0</v>
      </c>
      <c r="AH44" s="39">
        <f>資料儲存!I2552</f>
        <v>0</v>
      </c>
      <c r="AI44" s="39">
        <f>資料儲存!J2552</f>
        <v>0</v>
      </c>
      <c r="AJ44" s="13"/>
      <c r="AK44" s="38">
        <v>31</v>
      </c>
      <c r="AL44" s="39">
        <f>資料儲存!D2672</f>
        <v>0</v>
      </c>
      <c r="AM44" s="39">
        <f>資料儲存!E2672</f>
        <v>0</v>
      </c>
      <c r="AN44" s="39">
        <f>資料儲存!F2672</f>
        <v>0</v>
      </c>
      <c r="AO44" s="39">
        <f>資料儲存!G2672</f>
        <v>0</v>
      </c>
      <c r="AP44" s="39">
        <f>資料儲存!H2672</f>
        <v>0</v>
      </c>
      <c r="AQ44" s="39">
        <f>資料儲存!I2672</f>
        <v>0</v>
      </c>
      <c r="AR44" s="39">
        <f>資料儲存!J2672</f>
        <v>0</v>
      </c>
      <c r="AT44" s="38">
        <v>31</v>
      </c>
      <c r="AU44" s="39">
        <f>資料儲存!D2792</f>
        <v>0</v>
      </c>
      <c r="AV44" s="39">
        <f>資料儲存!E2792</f>
        <v>0</v>
      </c>
      <c r="AW44" s="39">
        <f>資料儲存!F2792</f>
        <v>0</v>
      </c>
      <c r="AX44" s="39">
        <f>資料儲存!G2792</f>
        <v>0</v>
      </c>
      <c r="AY44" s="39">
        <f>資料儲存!H2792</f>
        <v>0</v>
      </c>
      <c r="AZ44" s="39">
        <f>資料儲存!I2792</f>
        <v>0</v>
      </c>
      <c r="BA44" s="39">
        <f>資料儲存!J2792</f>
        <v>0</v>
      </c>
    </row>
    <row r="45" spans="1:53" ht="16" thickBot="1">
      <c r="A45" s="38">
        <v>32</v>
      </c>
      <c r="B45" s="39">
        <f>資料儲存!D2193</f>
        <v>0</v>
      </c>
      <c r="C45" s="39">
        <f>資料儲存!E2193</f>
        <v>0</v>
      </c>
      <c r="D45" s="39">
        <f>資料儲存!F2193</f>
        <v>0</v>
      </c>
      <c r="E45" s="39">
        <f>資料儲存!G2193</f>
        <v>0</v>
      </c>
      <c r="F45" s="39">
        <f>資料儲存!H2193</f>
        <v>0</v>
      </c>
      <c r="G45" s="39">
        <f>資料儲存!I2193</f>
        <v>0</v>
      </c>
      <c r="H45" s="39">
        <f>資料儲存!J2193</f>
        <v>0</v>
      </c>
      <c r="I45" s="35"/>
      <c r="J45" s="38">
        <v>32</v>
      </c>
      <c r="K45" s="39">
        <f>資料儲存!D2313</f>
        <v>0</v>
      </c>
      <c r="L45" s="39">
        <f>資料儲存!E2313</f>
        <v>0</v>
      </c>
      <c r="M45" s="39">
        <f>資料儲存!F2313</f>
        <v>0</v>
      </c>
      <c r="N45" s="39">
        <f>資料儲存!G2313</f>
        <v>0</v>
      </c>
      <c r="O45" s="39">
        <f>資料儲存!H2313</f>
        <v>0</v>
      </c>
      <c r="P45" s="39">
        <f>資料儲存!I2313</f>
        <v>0</v>
      </c>
      <c r="Q45" s="39">
        <f>資料儲存!J2313</f>
        <v>0</v>
      </c>
      <c r="R45" s="35"/>
      <c r="S45" s="38">
        <v>32</v>
      </c>
      <c r="T45" s="39">
        <f>資料儲存!D2433</f>
        <v>0</v>
      </c>
      <c r="U45" s="39">
        <f>資料儲存!E2433</f>
        <v>0</v>
      </c>
      <c r="V45" s="39">
        <f>資料儲存!F2433</f>
        <v>0</v>
      </c>
      <c r="W45" s="39">
        <f>資料儲存!G2433</f>
        <v>0</v>
      </c>
      <c r="X45" s="39">
        <f>資料儲存!H2433</f>
        <v>0</v>
      </c>
      <c r="Y45" s="39">
        <f>資料儲存!I2433</f>
        <v>0</v>
      </c>
      <c r="Z45" s="39">
        <f>資料儲存!J2433</f>
        <v>0</v>
      </c>
      <c r="AA45" s="35"/>
      <c r="AB45" s="38">
        <v>32</v>
      </c>
      <c r="AC45" s="39">
        <f>資料儲存!D2553</f>
        <v>0</v>
      </c>
      <c r="AD45" s="39">
        <f>資料儲存!E2553</f>
        <v>0</v>
      </c>
      <c r="AE45" s="39">
        <f>資料儲存!F2553</f>
        <v>0</v>
      </c>
      <c r="AF45" s="39">
        <f>資料儲存!G2553</f>
        <v>0</v>
      </c>
      <c r="AG45" s="39">
        <f>資料儲存!H2553</f>
        <v>0</v>
      </c>
      <c r="AH45" s="39">
        <f>資料儲存!I2553</f>
        <v>0</v>
      </c>
      <c r="AI45" s="39">
        <f>資料儲存!J2553</f>
        <v>0</v>
      </c>
      <c r="AJ45" s="13"/>
      <c r="AK45" s="38">
        <v>32</v>
      </c>
      <c r="AL45" s="39">
        <f>資料儲存!D2673</f>
        <v>0</v>
      </c>
      <c r="AM45" s="39">
        <f>資料儲存!E2673</f>
        <v>0</v>
      </c>
      <c r="AN45" s="39">
        <f>資料儲存!F2673</f>
        <v>0</v>
      </c>
      <c r="AO45" s="39">
        <f>資料儲存!G2673</f>
        <v>0</v>
      </c>
      <c r="AP45" s="39">
        <f>資料儲存!H2673</f>
        <v>0</v>
      </c>
      <c r="AQ45" s="39">
        <f>資料儲存!I2673</f>
        <v>0</v>
      </c>
      <c r="AR45" s="39">
        <f>資料儲存!J2673</f>
        <v>0</v>
      </c>
      <c r="AT45" s="38">
        <v>32</v>
      </c>
      <c r="AU45" s="39">
        <f>資料儲存!D2793</f>
        <v>0</v>
      </c>
      <c r="AV45" s="39">
        <f>資料儲存!E2793</f>
        <v>0</v>
      </c>
      <c r="AW45" s="39">
        <f>資料儲存!F2793</f>
        <v>0</v>
      </c>
      <c r="AX45" s="39">
        <f>資料儲存!G2793</f>
        <v>0</v>
      </c>
      <c r="AY45" s="39">
        <f>資料儲存!H2793</f>
        <v>0</v>
      </c>
      <c r="AZ45" s="39">
        <f>資料儲存!I2793</f>
        <v>0</v>
      </c>
      <c r="BA45" s="39">
        <f>資料儲存!J2793</f>
        <v>0</v>
      </c>
    </row>
    <row r="46" spans="1:53" ht="16" thickBot="1">
      <c r="A46" s="38">
        <v>33</v>
      </c>
      <c r="B46" s="39">
        <f>資料儲存!D2194</f>
        <v>0</v>
      </c>
      <c r="C46" s="39">
        <f>資料儲存!E2194</f>
        <v>0</v>
      </c>
      <c r="D46" s="39">
        <f>資料儲存!F2194</f>
        <v>0</v>
      </c>
      <c r="E46" s="39">
        <f>資料儲存!G2194</f>
        <v>0</v>
      </c>
      <c r="F46" s="39">
        <f>資料儲存!H2194</f>
        <v>0</v>
      </c>
      <c r="G46" s="39">
        <f>資料儲存!I2194</f>
        <v>0</v>
      </c>
      <c r="H46" s="39">
        <f>資料儲存!J2194</f>
        <v>0</v>
      </c>
      <c r="I46" s="35"/>
      <c r="J46" s="38">
        <v>33</v>
      </c>
      <c r="K46" s="39">
        <f>資料儲存!D2314</f>
        <v>0</v>
      </c>
      <c r="L46" s="39">
        <f>資料儲存!E2314</f>
        <v>0</v>
      </c>
      <c r="M46" s="39">
        <f>資料儲存!F2314</f>
        <v>0</v>
      </c>
      <c r="N46" s="39">
        <f>資料儲存!G2314</f>
        <v>0</v>
      </c>
      <c r="O46" s="39">
        <f>資料儲存!H2314</f>
        <v>0</v>
      </c>
      <c r="P46" s="39">
        <f>資料儲存!I2314</f>
        <v>0</v>
      </c>
      <c r="Q46" s="39">
        <f>資料儲存!J2314</f>
        <v>0</v>
      </c>
      <c r="R46" s="35"/>
      <c r="S46" s="38">
        <v>33</v>
      </c>
      <c r="T46" s="39">
        <f>資料儲存!D2434</f>
        <v>0</v>
      </c>
      <c r="U46" s="39">
        <f>資料儲存!E2434</f>
        <v>0</v>
      </c>
      <c r="V46" s="39">
        <f>資料儲存!F2434</f>
        <v>0</v>
      </c>
      <c r="W46" s="39">
        <f>資料儲存!G2434</f>
        <v>0</v>
      </c>
      <c r="X46" s="39">
        <f>資料儲存!H2434</f>
        <v>0</v>
      </c>
      <c r="Y46" s="39">
        <f>資料儲存!I2434</f>
        <v>0</v>
      </c>
      <c r="Z46" s="39">
        <f>資料儲存!J2434</f>
        <v>0</v>
      </c>
      <c r="AA46" s="35"/>
      <c r="AB46" s="38">
        <v>33</v>
      </c>
      <c r="AC46" s="39">
        <f>資料儲存!D2554</f>
        <v>0</v>
      </c>
      <c r="AD46" s="39">
        <f>資料儲存!E2554</f>
        <v>0</v>
      </c>
      <c r="AE46" s="39">
        <f>資料儲存!F2554</f>
        <v>0</v>
      </c>
      <c r="AF46" s="39">
        <f>資料儲存!G2554</f>
        <v>0</v>
      </c>
      <c r="AG46" s="39">
        <f>資料儲存!H2554</f>
        <v>0</v>
      </c>
      <c r="AH46" s="39">
        <f>資料儲存!I2554</f>
        <v>0</v>
      </c>
      <c r="AI46" s="39">
        <f>資料儲存!J2554</f>
        <v>0</v>
      </c>
      <c r="AJ46" s="13"/>
      <c r="AK46" s="38">
        <v>33</v>
      </c>
      <c r="AL46" s="39">
        <f>資料儲存!D2674</f>
        <v>0</v>
      </c>
      <c r="AM46" s="39">
        <f>資料儲存!E2674</f>
        <v>0</v>
      </c>
      <c r="AN46" s="39">
        <f>資料儲存!F2674</f>
        <v>0</v>
      </c>
      <c r="AO46" s="39">
        <f>資料儲存!G2674</f>
        <v>0</v>
      </c>
      <c r="AP46" s="39">
        <f>資料儲存!H2674</f>
        <v>0</v>
      </c>
      <c r="AQ46" s="39">
        <f>資料儲存!I2674</f>
        <v>0</v>
      </c>
      <c r="AR46" s="39">
        <f>資料儲存!J2674</f>
        <v>0</v>
      </c>
      <c r="AT46" s="38">
        <v>33</v>
      </c>
      <c r="AU46" s="39">
        <f>資料儲存!D2794</f>
        <v>0</v>
      </c>
      <c r="AV46" s="39">
        <f>資料儲存!E2794</f>
        <v>0</v>
      </c>
      <c r="AW46" s="39">
        <f>資料儲存!F2794</f>
        <v>0</v>
      </c>
      <c r="AX46" s="39">
        <f>資料儲存!G2794</f>
        <v>0</v>
      </c>
      <c r="AY46" s="39">
        <f>資料儲存!H2794</f>
        <v>0</v>
      </c>
      <c r="AZ46" s="39">
        <f>資料儲存!I2794</f>
        <v>0</v>
      </c>
      <c r="BA46" s="39">
        <f>資料儲存!J2794</f>
        <v>0</v>
      </c>
    </row>
    <row r="47" spans="1:53" ht="16" thickBot="1">
      <c r="A47" s="38">
        <v>34</v>
      </c>
      <c r="B47" s="39">
        <f>資料儲存!D2195</f>
        <v>0</v>
      </c>
      <c r="C47" s="39">
        <f>資料儲存!E2195</f>
        <v>0</v>
      </c>
      <c r="D47" s="39">
        <f>資料儲存!F2195</f>
        <v>0</v>
      </c>
      <c r="E47" s="39">
        <f>資料儲存!G2195</f>
        <v>0</v>
      </c>
      <c r="F47" s="39">
        <f>資料儲存!H2195</f>
        <v>0</v>
      </c>
      <c r="G47" s="39">
        <f>資料儲存!I2195</f>
        <v>0</v>
      </c>
      <c r="H47" s="39">
        <f>資料儲存!J2195</f>
        <v>0</v>
      </c>
      <c r="I47" s="35"/>
      <c r="J47" s="38">
        <v>34</v>
      </c>
      <c r="K47" s="39">
        <f>資料儲存!D2315</f>
        <v>0</v>
      </c>
      <c r="L47" s="39">
        <f>資料儲存!E2315</f>
        <v>0</v>
      </c>
      <c r="M47" s="39">
        <f>資料儲存!F2315</f>
        <v>0</v>
      </c>
      <c r="N47" s="39">
        <f>資料儲存!G2315</f>
        <v>0</v>
      </c>
      <c r="O47" s="39">
        <f>資料儲存!H2315</f>
        <v>0</v>
      </c>
      <c r="P47" s="39">
        <f>資料儲存!I2315</f>
        <v>0</v>
      </c>
      <c r="Q47" s="39">
        <f>資料儲存!J2315</f>
        <v>0</v>
      </c>
      <c r="R47" s="35"/>
      <c r="S47" s="38">
        <v>34</v>
      </c>
      <c r="T47" s="39">
        <f>資料儲存!D2435</f>
        <v>0</v>
      </c>
      <c r="U47" s="39">
        <f>資料儲存!E2435</f>
        <v>0</v>
      </c>
      <c r="V47" s="39">
        <f>資料儲存!F2435</f>
        <v>0</v>
      </c>
      <c r="W47" s="39">
        <f>資料儲存!G2435</f>
        <v>0</v>
      </c>
      <c r="X47" s="39">
        <f>資料儲存!H2435</f>
        <v>0</v>
      </c>
      <c r="Y47" s="39">
        <f>資料儲存!I2435</f>
        <v>0</v>
      </c>
      <c r="Z47" s="39">
        <f>資料儲存!J2435</f>
        <v>0</v>
      </c>
      <c r="AA47" s="35"/>
      <c r="AB47" s="38">
        <v>34</v>
      </c>
      <c r="AC47" s="39">
        <f>資料儲存!D2555</f>
        <v>0</v>
      </c>
      <c r="AD47" s="39">
        <f>資料儲存!E2555</f>
        <v>0</v>
      </c>
      <c r="AE47" s="39">
        <f>資料儲存!F2555</f>
        <v>0</v>
      </c>
      <c r="AF47" s="39">
        <f>資料儲存!G2555</f>
        <v>0</v>
      </c>
      <c r="AG47" s="39">
        <f>資料儲存!H2555</f>
        <v>0</v>
      </c>
      <c r="AH47" s="39">
        <f>資料儲存!I2555</f>
        <v>0</v>
      </c>
      <c r="AI47" s="39">
        <f>資料儲存!J2555</f>
        <v>0</v>
      </c>
      <c r="AJ47" s="13"/>
      <c r="AK47" s="38">
        <v>34</v>
      </c>
      <c r="AL47" s="39">
        <f>資料儲存!D2675</f>
        <v>0</v>
      </c>
      <c r="AM47" s="39">
        <f>資料儲存!E2675</f>
        <v>0</v>
      </c>
      <c r="AN47" s="39">
        <f>資料儲存!F2675</f>
        <v>0</v>
      </c>
      <c r="AO47" s="39">
        <f>資料儲存!G2675</f>
        <v>0</v>
      </c>
      <c r="AP47" s="39">
        <f>資料儲存!H2675</f>
        <v>0</v>
      </c>
      <c r="AQ47" s="39">
        <f>資料儲存!I2675</f>
        <v>0</v>
      </c>
      <c r="AR47" s="39">
        <f>資料儲存!J2675</f>
        <v>0</v>
      </c>
      <c r="AT47" s="38">
        <v>34</v>
      </c>
      <c r="AU47" s="39">
        <f>資料儲存!D2795</f>
        <v>0</v>
      </c>
      <c r="AV47" s="39">
        <f>資料儲存!E2795</f>
        <v>0</v>
      </c>
      <c r="AW47" s="39">
        <f>資料儲存!F2795</f>
        <v>0</v>
      </c>
      <c r="AX47" s="39">
        <f>資料儲存!G2795</f>
        <v>0</v>
      </c>
      <c r="AY47" s="39">
        <f>資料儲存!H2795</f>
        <v>0</v>
      </c>
      <c r="AZ47" s="39">
        <f>資料儲存!I2795</f>
        <v>0</v>
      </c>
      <c r="BA47" s="39">
        <f>資料儲存!J2795</f>
        <v>0</v>
      </c>
    </row>
    <row r="48" spans="1:53" ht="16" thickBot="1">
      <c r="A48" s="38">
        <v>35</v>
      </c>
      <c r="B48" s="39">
        <f>資料儲存!D2196</f>
        <v>0</v>
      </c>
      <c r="C48" s="39">
        <f>資料儲存!E2196</f>
        <v>0</v>
      </c>
      <c r="D48" s="39">
        <f>資料儲存!F2196</f>
        <v>0</v>
      </c>
      <c r="E48" s="39">
        <f>資料儲存!G2196</f>
        <v>0</v>
      </c>
      <c r="F48" s="39">
        <f>資料儲存!H2196</f>
        <v>0</v>
      </c>
      <c r="G48" s="39">
        <f>資料儲存!I2196</f>
        <v>0</v>
      </c>
      <c r="H48" s="39">
        <f>資料儲存!J2196</f>
        <v>0</v>
      </c>
      <c r="I48" s="35"/>
      <c r="J48" s="38">
        <v>35</v>
      </c>
      <c r="K48" s="39">
        <f>資料儲存!D2316</f>
        <v>0</v>
      </c>
      <c r="L48" s="39">
        <f>資料儲存!E2316</f>
        <v>0</v>
      </c>
      <c r="M48" s="39">
        <f>資料儲存!F2316</f>
        <v>0</v>
      </c>
      <c r="N48" s="39">
        <f>資料儲存!G2316</f>
        <v>0</v>
      </c>
      <c r="O48" s="39">
        <f>資料儲存!H2316</f>
        <v>0</v>
      </c>
      <c r="P48" s="39">
        <f>資料儲存!I2316</f>
        <v>0</v>
      </c>
      <c r="Q48" s="39">
        <f>資料儲存!J2316</f>
        <v>0</v>
      </c>
      <c r="R48" s="35"/>
      <c r="S48" s="38">
        <v>35</v>
      </c>
      <c r="T48" s="39">
        <f>資料儲存!D2436</f>
        <v>0</v>
      </c>
      <c r="U48" s="39">
        <f>資料儲存!E2436</f>
        <v>0</v>
      </c>
      <c r="V48" s="39">
        <f>資料儲存!F2436</f>
        <v>0</v>
      </c>
      <c r="W48" s="39">
        <f>資料儲存!G2436</f>
        <v>0</v>
      </c>
      <c r="X48" s="39">
        <f>資料儲存!H2436</f>
        <v>0</v>
      </c>
      <c r="Y48" s="39">
        <f>資料儲存!I2436</f>
        <v>0</v>
      </c>
      <c r="Z48" s="39">
        <f>資料儲存!J2436</f>
        <v>0</v>
      </c>
      <c r="AA48" s="35"/>
      <c r="AB48" s="38">
        <v>35</v>
      </c>
      <c r="AC48" s="39">
        <f>資料儲存!D2556</f>
        <v>0</v>
      </c>
      <c r="AD48" s="39">
        <f>資料儲存!E2556</f>
        <v>0</v>
      </c>
      <c r="AE48" s="39">
        <f>資料儲存!F2556</f>
        <v>0</v>
      </c>
      <c r="AF48" s="39">
        <f>資料儲存!G2556</f>
        <v>0</v>
      </c>
      <c r="AG48" s="39">
        <f>資料儲存!H2556</f>
        <v>0</v>
      </c>
      <c r="AH48" s="39">
        <f>資料儲存!I2556</f>
        <v>0</v>
      </c>
      <c r="AI48" s="39">
        <f>資料儲存!J2556</f>
        <v>0</v>
      </c>
      <c r="AJ48" s="13"/>
      <c r="AK48" s="38">
        <v>35</v>
      </c>
      <c r="AL48" s="39">
        <f>資料儲存!D2676</f>
        <v>0</v>
      </c>
      <c r="AM48" s="39">
        <f>資料儲存!E2676</f>
        <v>0</v>
      </c>
      <c r="AN48" s="39">
        <f>資料儲存!F2676</f>
        <v>0</v>
      </c>
      <c r="AO48" s="39">
        <f>資料儲存!G2676</f>
        <v>0</v>
      </c>
      <c r="AP48" s="39">
        <f>資料儲存!H2676</f>
        <v>0</v>
      </c>
      <c r="AQ48" s="39">
        <f>資料儲存!I2676</f>
        <v>0</v>
      </c>
      <c r="AR48" s="39">
        <f>資料儲存!J2676</f>
        <v>0</v>
      </c>
      <c r="AT48" s="38">
        <v>35</v>
      </c>
      <c r="AU48" s="39">
        <f>資料儲存!D2796</f>
        <v>0</v>
      </c>
      <c r="AV48" s="39">
        <f>資料儲存!E2796</f>
        <v>0</v>
      </c>
      <c r="AW48" s="39">
        <f>資料儲存!F2796</f>
        <v>0</v>
      </c>
      <c r="AX48" s="39">
        <f>資料儲存!G2796</f>
        <v>0</v>
      </c>
      <c r="AY48" s="39">
        <f>資料儲存!H2796</f>
        <v>0</v>
      </c>
      <c r="AZ48" s="39">
        <f>資料儲存!I2796</f>
        <v>0</v>
      </c>
      <c r="BA48" s="39">
        <f>資料儲存!J2796</f>
        <v>0</v>
      </c>
    </row>
    <row r="49" spans="1:53" ht="16" thickBot="1">
      <c r="A49" s="38">
        <v>36</v>
      </c>
      <c r="B49" s="39">
        <f>資料儲存!D2197</f>
        <v>0</v>
      </c>
      <c r="C49" s="39">
        <f>資料儲存!E2197</f>
        <v>0</v>
      </c>
      <c r="D49" s="39">
        <f>資料儲存!F2197</f>
        <v>0</v>
      </c>
      <c r="E49" s="39">
        <f>資料儲存!G2197</f>
        <v>0</v>
      </c>
      <c r="F49" s="39">
        <f>資料儲存!H2197</f>
        <v>0</v>
      </c>
      <c r="G49" s="39">
        <f>資料儲存!I2197</f>
        <v>0</v>
      </c>
      <c r="H49" s="39">
        <f>資料儲存!J2197</f>
        <v>0</v>
      </c>
      <c r="I49" s="35"/>
      <c r="J49" s="38">
        <v>36</v>
      </c>
      <c r="K49" s="39">
        <f>資料儲存!D2317</f>
        <v>0</v>
      </c>
      <c r="L49" s="39">
        <f>資料儲存!E2317</f>
        <v>0</v>
      </c>
      <c r="M49" s="39">
        <f>資料儲存!F2317</f>
        <v>0</v>
      </c>
      <c r="N49" s="39">
        <f>資料儲存!G2317</f>
        <v>0</v>
      </c>
      <c r="O49" s="39">
        <f>資料儲存!H2317</f>
        <v>0</v>
      </c>
      <c r="P49" s="39">
        <f>資料儲存!I2317</f>
        <v>0</v>
      </c>
      <c r="Q49" s="39">
        <f>資料儲存!J2317</f>
        <v>0</v>
      </c>
      <c r="R49" s="35"/>
      <c r="S49" s="38">
        <v>36</v>
      </c>
      <c r="T49" s="39">
        <f>資料儲存!D2437</f>
        <v>0</v>
      </c>
      <c r="U49" s="39">
        <f>資料儲存!E2437</f>
        <v>0</v>
      </c>
      <c r="V49" s="39">
        <f>資料儲存!F2437</f>
        <v>0</v>
      </c>
      <c r="W49" s="39">
        <f>資料儲存!G2437</f>
        <v>0</v>
      </c>
      <c r="X49" s="39">
        <f>資料儲存!H2437</f>
        <v>0</v>
      </c>
      <c r="Y49" s="39">
        <f>資料儲存!I2437</f>
        <v>0</v>
      </c>
      <c r="Z49" s="39">
        <f>資料儲存!J2437</f>
        <v>0</v>
      </c>
      <c r="AA49" s="35"/>
      <c r="AB49" s="38">
        <v>36</v>
      </c>
      <c r="AC49" s="39">
        <f>資料儲存!D2557</f>
        <v>0</v>
      </c>
      <c r="AD49" s="39">
        <f>資料儲存!E2557</f>
        <v>0</v>
      </c>
      <c r="AE49" s="39">
        <f>資料儲存!F2557</f>
        <v>0</v>
      </c>
      <c r="AF49" s="39">
        <f>資料儲存!G2557</f>
        <v>0</v>
      </c>
      <c r="AG49" s="39">
        <f>資料儲存!H2557</f>
        <v>0</v>
      </c>
      <c r="AH49" s="39">
        <f>資料儲存!I2557</f>
        <v>0</v>
      </c>
      <c r="AI49" s="39">
        <f>資料儲存!J2557</f>
        <v>0</v>
      </c>
      <c r="AJ49" s="13"/>
      <c r="AK49" s="38">
        <v>36</v>
      </c>
      <c r="AL49" s="39">
        <f>資料儲存!D2677</f>
        <v>0</v>
      </c>
      <c r="AM49" s="39">
        <f>資料儲存!E2677</f>
        <v>0</v>
      </c>
      <c r="AN49" s="39">
        <f>資料儲存!F2677</f>
        <v>0</v>
      </c>
      <c r="AO49" s="39">
        <f>資料儲存!G2677</f>
        <v>0</v>
      </c>
      <c r="AP49" s="39">
        <f>資料儲存!H2677</f>
        <v>0</v>
      </c>
      <c r="AQ49" s="39">
        <f>資料儲存!I2677</f>
        <v>0</v>
      </c>
      <c r="AR49" s="39">
        <f>資料儲存!J2677</f>
        <v>0</v>
      </c>
      <c r="AT49" s="38">
        <v>36</v>
      </c>
      <c r="AU49" s="39">
        <f>資料儲存!D2797</f>
        <v>0</v>
      </c>
      <c r="AV49" s="39">
        <f>資料儲存!E2797</f>
        <v>0</v>
      </c>
      <c r="AW49" s="39">
        <f>資料儲存!F2797</f>
        <v>0</v>
      </c>
      <c r="AX49" s="39">
        <f>資料儲存!G2797</f>
        <v>0</v>
      </c>
      <c r="AY49" s="39">
        <f>資料儲存!H2797</f>
        <v>0</v>
      </c>
      <c r="AZ49" s="39">
        <f>資料儲存!I2797</f>
        <v>0</v>
      </c>
      <c r="BA49" s="39">
        <f>資料儲存!J2797</f>
        <v>0</v>
      </c>
    </row>
    <row r="50" spans="1:53" ht="16" thickBot="1">
      <c r="A50" s="38">
        <v>37</v>
      </c>
      <c r="B50" s="39">
        <f>資料儲存!D2198</f>
        <v>0</v>
      </c>
      <c r="C50" s="39">
        <f>資料儲存!E2198</f>
        <v>0</v>
      </c>
      <c r="D50" s="39">
        <f>資料儲存!F2198</f>
        <v>0</v>
      </c>
      <c r="E50" s="39">
        <f>資料儲存!G2198</f>
        <v>0</v>
      </c>
      <c r="F50" s="39">
        <f>資料儲存!H2198</f>
        <v>0</v>
      </c>
      <c r="G50" s="39">
        <f>資料儲存!I2198</f>
        <v>0</v>
      </c>
      <c r="H50" s="39">
        <f>資料儲存!J2198</f>
        <v>0</v>
      </c>
      <c r="I50" s="35"/>
      <c r="J50" s="38">
        <v>37</v>
      </c>
      <c r="K50" s="39">
        <f>資料儲存!D2318</f>
        <v>0</v>
      </c>
      <c r="L50" s="39">
        <f>資料儲存!E2318</f>
        <v>0</v>
      </c>
      <c r="M50" s="39">
        <f>資料儲存!F2318</f>
        <v>0</v>
      </c>
      <c r="N50" s="39">
        <f>資料儲存!G2318</f>
        <v>0</v>
      </c>
      <c r="O50" s="39">
        <f>資料儲存!H2318</f>
        <v>0</v>
      </c>
      <c r="P50" s="39">
        <f>資料儲存!I2318</f>
        <v>0</v>
      </c>
      <c r="Q50" s="39">
        <f>資料儲存!J2318</f>
        <v>0</v>
      </c>
      <c r="R50" s="35"/>
      <c r="S50" s="38">
        <v>37</v>
      </c>
      <c r="T50" s="39">
        <f>資料儲存!D2438</f>
        <v>0</v>
      </c>
      <c r="U50" s="39">
        <f>資料儲存!E2438</f>
        <v>0</v>
      </c>
      <c r="V50" s="39">
        <f>資料儲存!F2438</f>
        <v>0</v>
      </c>
      <c r="W50" s="39">
        <f>資料儲存!G2438</f>
        <v>0</v>
      </c>
      <c r="X50" s="39">
        <f>資料儲存!H2438</f>
        <v>0</v>
      </c>
      <c r="Y50" s="39">
        <f>資料儲存!I2438</f>
        <v>0</v>
      </c>
      <c r="Z50" s="39">
        <f>資料儲存!J2438</f>
        <v>0</v>
      </c>
      <c r="AA50" s="35"/>
      <c r="AB50" s="38">
        <v>37</v>
      </c>
      <c r="AC50" s="39">
        <f>資料儲存!D2558</f>
        <v>0</v>
      </c>
      <c r="AD50" s="39">
        <f>資料儲存!E2558</f>
        <v>0</v>
      </c>
      <c r="AE50" s="39">
        <f>資料儲存!F2558</f>
        <v>0</v>
      </c>
      <c r="AF50" s="39">
        <f>資料儲存!G2558</f>
        <v>0</v>
      </c>
      <c r="AG50" s="39">
        <f>資料儲存!H2558</f>
        <v>0</v>
      </c>
      <c r="AH50" s="39">
        <f>資料儲存!I2558</f>
        <v>0</v>
      </c>
      <c r="AI50" s="39">
        <f>資料儲存!J2558</f>
        <v>0</v>
      </c>
      <c r="AJ50" s="13"/>
      <c r="AK50" s="38">
        <v>37</v>
      </c>
      <c r="AL50" s="39">
        <f>資料儲存!D2678</f>
        <v>0</v>
      </c>
      <c r="AM50" s="39">
        <f>資料儲存!E2678</f>
        <v>0</v>
      </c>
      <c r="AN50" s="39">
        <f>資料儲存!F2678</f>
        <v>0</v>
      </c>
      <c r="AO50" s="39">
        <f>資料儲存!G2678</f>
        <v>0</v>
      </c>
      <c r="AP50" s="39">
        <f>資料儲存!H2678</f>
        <v>0</v>
      </c>
      <c r="AQ50" s="39">
        <f>資料儲存!I2678</f>
        <v>0</v>
      </c>
      <c r="AR50" s="39">
        <f>資料儲存!J2678</f>
        <v>0</v>
      </c>
      <c r="AT50" s="38">
        <v>37</v>
      </c>
      <c r="AU50" s="39">
        <f>資料儲存!D2798</f>
        <v>0</v>
      </c>
      <c r="AV50" s="39">
        <f>資料儲存!E2798</f>
        <v>0</v>
      </c>
      <c r="AW50" s="39">
        <f>資料儲存!F2798</f>
        <v>0</v>
      </c>
      <c r="AX50" s="39">
        <f>資料儲存!G2798</f>
        <v>0</v>
      </c>
      <c r="AY50" s="39">
        <f>資料儲存!H2798</f>
        <v>0</v>
      </c>
      <c r="AZ50" s="39">
        <f>資料儲存!I2798</f>
        <v>0</v>
      </c>
      <c r="BA50" s="39">
        <f>資料儲存!J2798</f>
        <v>0</v>
      </c>
    </row>
    <row r="51" spans="1:53" ht="16" thickBot="1">
      <c r="A51" s="38">
        <v>38</v>
      </c>
      <c r="B51" s="39">
        <f>資料儲存!D2199</f>
        <v>0</v>
      </c>
      <c r="C51" s="39">
        <f>資料儲存!E2199</f>
        <v>0</v>
      </c>
      <c r="D51" s="39">
        <f>資料儲存!F2199</f>
        <v>0</v>
      </c>
      <c r="E51" s="39">
        <f>資料儲存!G2199</f>
        <v>0</v>
      </c>
      <c r="F51" s="39">
        <f>資料儲存!H2199</f>
        <v>0</v>
      </c>
      <c r="G51" s="39">
        <f>資料儲存!I2199</f>
        <v>0</v>
      </c>
      <c r="H51" s="39">
        <f>資料儲存!J2199</f>
        <v>0</v>
      </c>
      <c r="I51" s="35"/>
      <c r="J51" s="38">
        <v>38</v>
      </c>
      <c r="K51" s="39">
        <f>資料儲存!D2319</f>
        <v>0</v>
      </c>
      <c r="L51" s="39">
        <f>資料儲存!E2319</f>
        <v>0</v>
      </c>
      <c r="M51" s="39">
        <f>資料儲存!F2319</f>
        <v>0</v>
      </c>
      <c r="N51" s="39">
        <f>資料儲存!G2319</f>
        <v>0</v>
      </c>
      <c r="O51" s="39">
        <f>資料儲存!H2319</f>
        <v>0</v>
      </c>
      <c r="P51" s="39">
        <f>資料儲存!I2319</f>
        <v>0</v>
      </c>
      <c r="Q51" s="39">
        <f>資料儲存!J2319</f>
        <v>0</v>
      </c>
      <c r="R51" s="35"/>
      <c r="S51" s="38">
        <v>38</v>
      </c>
      <c r="T51" s="39">
        <f>資料儲存!D2439</f>
        <v>0</v>
      </c>
      <c r="U51" s="39">
        <f>資料儲存!E2439</f>
        <v>0</v>
      </c>
      <c r="V51" s="39">
        <f>資料儲存!F2439</f>
        <v>0</v>
      </c>
      <c r="W51" s="39">
        <f>資料儲存!G2439</f>
        <v>0</v>
      </c>
      <c r="X51" s="39">
        <f>資料儲存!H2439</f>
        <v>0</v>
      </c>
      <c r="Y51" s="39">
        <f>資料儲存!I2439</f>
        <v>0</v>
      </c>
      <c r="Z51" s="39">
        <f>資料儲存!J2439</f>
        <v>0</v>
      </c>
      <c r="AA51" s="35"/>
      <c r="AB51" s="38">
        <v>38</v>
      </c>
      <c r="AC51" s="39">
        <f>資料儲存!D2559</f>
        <v>0</v>
      </c>
      <c r="AD51" s="39">
        <f>資料儲存!E2559</f>
        <v>0</v>
      </c>
      <c r="AE51" s="39">
        <f>資料儲存!F2559</f>
        <v>0</v>
      </c>
      <c r="AF51" s="39">
        <f>資料儲存!G2559</f>
        <v>0</v>
      </c>
      <c r="AG51" s="39">
        <f>資料儲存!H2559</f>
        <v>0</v>
      </c>
      <c r="AH51" s="39">
        <f>資料儲存!I2559</f>
        <v>0</v>
      </c>
      <c r="AI51" s="39">
        <f>資料儲存!J2559</f>
        <v>0</v>
      </c>
      <c r="AJ51" s="13"/>
      <c r="AK51" s="38">
        <v>38</v>
      </c>
      <c r="AL51" s="39">
        <f>資料儲存!D2679</f>
        <v>0</v>
      </c>
      <c r="AM51" s="39">
        <f>資料儲存!E2679</f>
        <v>0</v>
      </c>
      <c r="AN51" s="39">
        <f>資料儲存!F2679</f>
        <v>0</v>
      </c>
      <c r="AO51" s="39">
        <f>資料儲存!G2679</f>
        <v>0</v>
      </c>
      <c r="AP51" s="39">
        <f>資料儲存!H2679</f>
        <v>0</v>
      </c>
      <c r="AQ51" s="39">
        <f>資料儲存!I2679</f>
        <v>0</v>
      </c>
      <c r="AR51" s="39">
        <f>資料儲存!J2679</f>
        <v>0</v>
      </c>
      <c r="AT51" s="38">
        <v>38</v>
      </c>
      <c r="AU51" s="39">
        <f>資料儲存!D2799</f>
        <v>0</v>
      </c>
      <c r="AV51" s="39">
        <f>資料儲存!E2799</f>
        <v>0</v>
      </c>
      <c r="AW51" s="39">
        <f>資料儲存!F2799</f>
        <v>0</v>
      </c>
      <c r="AX51" s="39">
        <f>資料儲存!G2799</f>
        <v>0</v>
      </c>
      <c r="AY51" s="39">
        <f>資料儲存!H2799</f>
        <v>0</v>
      </c>
      <c r="AZ51" s="39">
        <f>資料儲存!I2799</f>
        <v>0</v>
      </c>
      <c r="BA51" s="39">
        <f>資料儲存!J2799</f>
        <v>0</v>
      </c>
    </row>
    <row r="52" spans="1:53" ht="16" thickBot="1">
      <c r="A52" s="38">
        <v>39</v>
      </c>
      <c r="B52" s="39">
        <f>資料儲存!D2200</f>
        <v>0</v>
      </c>
      <c r="C52" s="39">
        <f>資料儲存!E2200</f>
        <v>0</v>
      </c>
      <c r="D52" s="39">
        <f>資料儲存!F2200</f>
        <v>0</v>
      </c>
      <c r="E52" s="39">
        <f>資料儲存!G2200</f>
        <v>0</v>
      </c>
      <c r="F52" s="39">
        <f>資料儲存!H2200</f>
        <v>0</v>
      </c>
      <c r="G52" s="39">
        <f>資料儲存!I2200</f>
        <v>0</v>
      </c>
      <c r="H52" s="39">
        <f>資料儲存!J2200</f>
        <v>0</v>
      </c>
      <c r="I52" s="35"/>
      <c r="J52" s="38">
        <v>39</v>
      </c>
      <c r="K52" s="39">
        <f>資料儲存!D2320</f>
        <v>0</v>
      </c>
      <c r="L52" s="39">
        <f>資料儲存!E2320</f>
        <v>0</v>
      </c>
      <c r="M52" s="39">
        <f>資料儲存!F2320</f>
        <v>0</v>
      </c>
      <c r="N52" s="39">
        <f>資料儲存!G2320</f>
        <v>0</v>
      </c>
      <c r="O52" s="39">
        <f>資料儲存!H2320</f>
        <v>0</v>
      </c>
      <c r="P52" s="39">
        <f>資料儲存!I2320</f>
        <v>0</v>
      </c>
      <c r="Q52" s="39">
        <f>資料儲存!J2320</f>
        <v>0</v>
      </c>
      <c r="R52" s="35"/>
      <c r="S52" s="38">
        <v>39</v>
      </c>
      <c r="T52" s="39">
        <f>資料儲存!D2440</f>
        <v>0</v>
      </c>
      <c r="U52" s="39">
        <f>資料儲存!E2440</f>
        <v>0</v>
      </c>
      <c r="V52" s="39">
        <f>資料儲存!F2440</f>
        <v>0</v>
      </c>
      <c r="W52" s="39">
        <f>資料儲存!G2440</f>
        <v>0</v>
      </c>
      <c r="X52" s="39">
        <f>資料儲存!H2440</f>
        <v>0</v>
      </c>
      <c r="Y52" s="39">
        <f>資料儲存!I2440</f>
        <v>0</v>
      </c>
      <c r="Z52" s="39">
        <f>資料儲存!J2440</f>
        <v>0</v>
      </c>
      <c r="AA52" s="35"/>
      <c r="AB52" s="38">
        <v>39</v>
      </c>
      <c r="AC52" s="39">
        <f>資料儲存!D2560</f>
        <v>0</v>
      </c>
      <c r="AD52" s="39">
        <f>資料儲存!E2560</f>
        <v>0</v>
      </c>
      <c r="AE52" s="39">
        <f>資料儲存!F2560</f>
        <v>0</v>
      </c>
      <c r="AF52" s="39">
        <f>資料儲存!G2560</f>
        <v>0</v>
      </c>
      <c r="AG52" s="39">
        <f>資料儲存!H2560</f>
        <v>0</v>
      </c>
      <c r="AH52" s="39">
        <f>資料儲存!I2560</f>
        <v>0</v>
      </c>
      <c r="AI52" s="39">
        <f>資料儲存!J2560</f>
        <v>0</v>
      </c>
      <c r="AJ52" s="13"/>
      <c r="AK52" s="38">
        <v>39</v>
      </c>
      <c r="AL52" s="39">
        <f>資料儲存!D2680</f>
        <v>0</v>
      </c>
      <c r="AM52" s="39">
        <f>資料儲存!E2680</f>
        <v>0</v>
      </c>
      <c r="AN52" s="39">
        <f>資料儲存!F2680</f>
        <v>0</v>
      </c>
      <c r="AO52" s="39">
        <f>資料儲存!G2680</f>
        <v>0</v>
      </c>
      <c r="AP52" s="39">
        <f>資料儲存!H2680</f>
        <v>0</v>
      </c>
      <c r="AQ52" s="39">
        <f>資料儲存!I2680</f>
        <v>0</v>
      </c>
      <c r="AR52" s="39">
        <f>資料儲存!J2680</f>
        <v>0</v>
      </c>
      <c r="AT52" s="38">
        <v>39</v>
      </c>
      <c r="AU52" s="39">
        <f>資料儲存!D2800</f>
        <v>0</v>
      </c>
      <c r="AV52" s="39">
        <f>資料儲存!E2800</f>
        <v>0</v>
      </c>
      <c r="AW52" s="39">
        <f>資料儲存!F2800</f>
        <v>0</v>
      </c>
      <c r="AX52" s="39">
        <f>資料儲存!G2800</f>
        <v>0</v>
      </c>
      <c r="AY52" s="39">
        <f>資料儲存!H2800</f>
        <v>0</v>
      </c>
      <c r="AZ52" s="39">
        <f>資料儲存!I2800</f>
        <v>0</v>
      </c>
      <c r="BA52" s="39">
        <f>資料儲存!J2800</f>
        <v>0</v>
      </c>
    </row>
    <row r="53" spans="1:53" ht="16" thickBot="1">
      <c r="A53" s="38">
        <v>40</v>
      </c>
      <c r="B53" s="39">
        <f>資料儲存!D2201</f>
        <v>0</v>
      </c>
      <c r="C53" s="39">
        <f>資料儲存!E2201</f>
        <v>0</v>
      </c>
      <c r="D53" s="39">
        <f>資料儲存!F2201</f>
        <v>0</v>
      </c>
      <c r="E53" s="39">
        <f>資料儲存!G2201</f>
        <v>0</v>
      </c>
      <c r="F53" s="39">
        <f>資料儲存!H2201</f>
        <v>0</v>
      </c>
      <c r="G53" s="39">
        <f>資料儲存!I2201</f>
        <v>0</v>
      </c>
      <c r="H53" s="39">
        <f>資料儲存!J2201</f>
        <v>0</v>
      </c>
      <c r="I53" s="35"/>
      <c r="J53" s="38">
        <v>40</v>
      </c>
      <c r="K53" s="39">
        <f>資料儲存!D2321</f>
        <v>0</v>
      </c>
      <c r="L53" s="39">
        <f>資料儲存!E2321</f>
        <v>0</v>
      </c>
      <c r="M53" s="39">
        <f>資料儲存!F2321</f>
        <v>0</v>
      </c>
      <c r="N53" s="39">
        <f>資料儲存!G2321</f>
        <v>0</v>
      </c>
      <c r="O53" s="39">
        <f>資料儲存!H2321</f>
        <v>0</v>
      </c>
      <c r="P53" s="39">
        <f>資料儲存!I2321</f>
        <v>0</v>
      </c>
      <c r="Q53" s="39">
        <f>資料儲存!J2321</f>
        <v>0</v>
      </c>
      <c r="R53" s="35"/>
      <c r="S53" s="38">
        <v>40</v>
      </c>
      <c r="T53" s="39">
        <f>資料儲存!D2441</f>
        <v>0</v>
      </c>
      <c r="U53" s="39">
        <f>資料儲存!E2441</f>
        <v>0</v>
      </c>
      <c r="V53" s="39">
        <f>資料儲存!F2441</f>
        <v>0</v>
      </c>
      <c r="W53" s="39">
        <f>資料儲存!G2441</f>
        <v>0</v>
      </c>
      <c r="X53" s="39">
        <f>資料儲存!H2441</f>
        <v>0</v>
      </c>
      <c r="Y53" s="39">
        <f>資料儲存!I2441</f>
        <v>0</v>
      </c>
      <c r="Z53" s="39">
        <f>資料儲存!J2441</f>
        <v>0</v>
      </c>
      <c r="AA53" s="35"/>
      <c r="AB53" s="38">
        <v>40</v>
      </c>
      <c r="AC53" s="39">
        <f>資料儲存!D2561</f>
        <v>0</v>
      </c>
      <c r="AD53" s="39">
        <f>資料儲存!E2561</f>
        <v>0</v>
      </c>
      <c r="AE53" s="39">
        <f>資料儲存!F2561</f>
        <v>0</v>
      </c>
      <c r="AF53" s="39">
        <f>資料儲存!G2561</f>
        <v>0</v>
      </c>
      <c r="AG53" s="39">
        <f>資料儲存!H2561</f>
        <v>0</v>
      </c>
      <c r="AH53" s="39">
        <f>資料儲存!I2561</f>
        <v>0</v>
      </c>
      <c r="AI53" s="39">
        <f>資料儲存!J2561</f>
        <v>0</v>
      </c>
      <c r="AJ53" s="13"/>
      <c r="AK53" s="38">
        <v>40</v>
      </c>
      <c r="AL53" s="39">
        <f>資料儲存!D2681</f>
        <v>0</v>
      </c>
      <c r="AM53" s="39">
        <f>資料儲存!E2681</f>
        <v>0</v>
      </c>
      <c r="AN53" s="39">
        <f>資料儲存!F2681</f>
        <v>0</v>
      </c>
      <c r="AO53" s="39">
        <f>資料儲存!G2681</f>
        <v>0</v>
      </c>
      <c r="AP53" s="39">
        <f>資料儲存!H2681</f>
        <v>0</v>
      </c>
      <c r="AQ53" s="39">
        <f>資料儲存!I2681</f>
        <v>0</v>
      </c>
      <c r="AR53" s="39">
        <f>資料儲存!J2681</f>
        <v>0</v>
      </c>
      <c r="AT53" s="38">
        <v>40</v>
      </c>
      <c r="AU53" s="39">
        <f>資料儲存!D2801</f>
        <v>0</v>
      </c>
      <c r="AV53" s="39">
        <f>資料儲存!E2801</f>
        <v>0</v>
      </c>
      <c r="AW53" s="39">
        <f>資料儲存!F2801</f>
        <v>0</v>
      </c>
      <c r="AX53" s="39">
        <f>資料儲存!G2801</f>
        <v>0</v>
      </c>
      <c r="AY53" s="39">
        <f>資料儲存!H2801</f>
        <v>0</v>
      </c>
      <c r="AZ53" s="39">
        <f>資料儲存!I2801</f>
        <v>0</v>
      </c>
      <c r="BA53" s="39">
        <f>資料儲存!J2801</f>
        <v>0</v>
      </c>
    </row>
    <row r="54" spans="1:53" ht="16" thickBot="1">
      <c r="A54" s="38">
        <v>41</v>
      </c>
      <c r="B54" s="39">
        <f>資料儲存!D2202</f>
        <v>0</v>
      </c>
      <c r="C54" s="39">
        <f>資料儲存!E2202</f>
        <v>0</v>
      </c>
      <c r="D54" s="39">
        <f>資料儲存!F2202</f>
        <v>0</v>
      </c>
      <c r="E54" s="39">
        <f>資料儲存!G2202</f>
        <v>0</v>
      </c>
      <c r="F54" s="39">
        <f>資料儲存!H2202</f>
        <v>0</v>
      </c>
      <c r="G54" s="39">
        <f>資料儲存!I2202</f>
        <v>0</v>
      </c>
      <c r="H54" s="39">
        <f>資料儲存!J2202</f>
        <v>0</v>
      </c>
      <c r="I54" s="35"/>
      <c r="J54" s="38">
        <v>41</v>
      </c>
      <c r="K54" s="39">
        <f>資料儲存!D2322</f>
        <v>0</v>
      </c>
      <c r="L54" s="39">
        <f>資料儲存!E2322</f>
        <v>0</v>
      </c>
      <c r="M54" s="39">
        <f>資料儲存!F2322</f>
        <v>0</v>
      </c>
      <c r="N54" s="39">
        <f>資料儲存!G2322</f>
        <v>0</v>
      </c>
      <c r="O54" s="39">
        <f>資料儲存!H2322</f>
        <v>0</v>
      </c>
      <c r="P54" s="39">
        <f>資料儲存!I2322</f>
        <v>0</v>
      </c>
      <c r="Q54" s="39">
        <f>資料儲存!J2322</f>
        <v>0</v>
      </c>
      <c r="R54" s="35"/>
      <c r="S54" s="38">
        <v>41</v>
      </c>
      <c r="T54" s="39">
        <f>資料儲存!D2442</f>
        <v>0</v>
      </c>
      <c r="U54" s="39">
        <f>資料儲存!E2442</f>
        <v>0</v>
      </c>
      <c r="V54" s="39">
        <f>資料儲存!F2442</f>
        <v>0</v>
      </c>
      <c r="W54" s="39">
        <f>資料儲存!G2442</f>
        <v>0</v>
      </c>
      <c r="X54" s="39">
        <f>資料儲存!H2442</f>
        <v>0</v>
      </c>
      <c r="Y54" s="39">
        <f>資料儲存!I2442</f>
        <v>0</v>
      </c>
      <c r="Z54" s="39">
        <f>資料儲存!J2442</f>
        <v>0</v>
      </c>
      <c r="AA54" s="35"/>
      <c r="AB54" s="38">
        <v>41</v>
      </c>
      <c r="AC54" s="39">
        <f>資料儲存!D2562</f>
        <v>0</v>
      </c>
      <c r="AD54" s="39">
        <f>資料儲存!E2562</f>
        <v>0</v>
      </c>
      <c r="AE54" s="39">
        <f>資料儲存!F2562</f>
        <v>0</v>
      </c>
      <c r="AF54" s="39">
        <f>資料儲存!G2562</f>
        <v>0</v>
      </c>
      <c r="AG54" s="39">
        <f>資料儲存!H2562</f>
        <v>0</v>
      </c>
      <c r="AH54" s="39">
        <f>資料儲存!I2562</f>
        <v>0</v>
      </c>
      <c r="AI54" s="39">
        <f>資料儲存!J2562</f>
        <v>0</v>
      </c>
      <c r="AJ54" s="13"/>
      <c r="AK54" s="38">
        <v>41</v>
      </c>
      <c r="AL54" s="39">
        <f>資料儲存!D2682</f>
        <v>0</v>
      </c>
      <c r="AM54" s="39">
        <f>資料儲存!E2682</f>
        <v>0</v>
      </c>
      <c r="AN54" s="39">
        <f>資料儲存!F2682</f>
        <v>0</v>
      </c>
      <c r="AO54" s="39">
        <f>資料儲存!G2682</f>
        <v>0</v>
      </c>
      <c r="AP54" s="39">
        <f>資料儲存!H2682</f>
        <v>0</v>
      </c>
      <c r="AQ54" s="39">
        <f>資料儲存!I2682</f>
        <v>0</v>
      </c>
      <c r="AR54" s="39">
        <f>資料儲存!J2682</f>
        <v>0</v>
      </c>
      <c r="AT54" s="38">
        <v>41</v>
      </c>
      <c r="AU54" s="39">
        <f>資料儲存!D2802</f>
        <v>0</v>
      </c>
      <c r="AV54" s="39">
        <f>資料儲存!E2802</f>
        <v>0</v>
      </c>
      <c r="AW54" s="39">
        <f>資料儲存!F2802</f>
        <v>0</v>
      </c>
      <c r="AX54" s="39">
        <f>資料儲存!G2802</f>
        <v>0</v>
      </c>
      <c r="AY54" s="39">
        <f>資料儲存!H2802</f>
        <v>0</v>
      </c>
      <c r="AZ54" s="39">
        <f>資料儲存!I2802</f>
        <v>0</v>
      </c>
      <c r="BA54" s="39">
        <f>資料儲存!J2802</f>
        <v>0</v>
      </c>
    </row>
    <row r="55" spans="1:53" ht="16" thickBot="1">
      <c r="A55" s="38">
        <v>42</v>
      </c>
      <c r="B55" s="39">
        <f>資料儲存!D2203</f>
        <v>0</v>
      </c>
      <c r="C55" s="39">
        <f>資料儲存!E2203</f>
        <v>0</v>
      </c>
      <c r="D55" s="39">
        <f>資料儲存!F2203</f>
        <v>0</v>
      </c>
      <c r="E55" s="39">
        <f>資料儲存!G2203</f>
        <v>0</v>
      </c>
      <c r="F55" s="39">
        <f>資料儲存!H2203</f>
        <v>0</v>
      </c>
      <c r="G55" s="39">
        <f>資料儲存!I2203</f>
        <v>0</v>
      </c>
      <c r="H55" s="39">
        <f>資料儲存!J2203</f>
        <v>0</v>
      </c>
      <c r="I55" s="35"/>
      <c r="J55" s="38">
        <v>42</v>
      </c>
      <c r="K55" s="39">
        <f>資料儲存!D2323</f>
        <v>0</v>
      </c>
      <c r="L55" s="39">
        <f>資料儲存!E2323</f>
        <v>0</v>
      </c>
      <c r="M55" s="39">
        <f>資料儲存!F2323</f>
        <v>0</v>
      </c>
      <c r="N55" s="39">
        <f>資料儲存!G2323</f>
        <v>0</v>
      </c>
      <c r="O55" s="39">
        <f>資料儲存!H2323</f>
        <v>0</v>
      </c>
      <c r="P55" s="39">
        <f>資料儲存!I2323</f>
        <v>0</v>
      </c>
      <c r="Q55" s="39">
        <f>資料儲存!J2323</f>
        <v>0</v>
      </c>
      <c r="R55" s="35"/>
      <c r="S55" s="38">
        <v>42</v>
      </c>
      <c r="T55" s="39">
        <f>資料儲存!D2443</f>
        <v>0</v>
      </c>
      <c r="U55" s="39">
        <f>資料儲存!E2443</f>
        <v>0</v>
      </c>
      <c r="V55" s="39">
        <f>資料儲存!F2443</f>
        <v>0</v>
      </c>
      <c r="W55" s="39">
        <f>資料儲存!G2443</f>
        <v>0</v>
      </c>
      <c r="X55" s="39">
        <f>資料儲存!H2443</f>
        <v>0</v>
      </c>
      <c r="Y55" s="39">
        <f>資料儲存!I2443</f>
        <v>0</v>
      </c>
      <c r="Z55" s="39">
        <f>資料儲存!J2443</f>
        <v>0</v>
      </c>
      <c r="AA55" s="35"/>
      <c r="AB55" s="38">
        <v>42</v>
      </c>
      <c r="AC55" s="39">
        <f>資料儲存!D2563</f>
        <v>0</v>
      </c>
      <c r="AD55" s="39">
        <f>資料儲存!E2563</f>
        <v>0</v>
      </c>
      <c r="AE55" s="39">
        <f>資料儲存!F2563</f>
        <v>0</v>
      </c>
      <c r="AF55" s="39">
        <f>資料儲存!G2563</f>
        <v>0</v>
      </c>
      <c r="AG55" s="39">
        <f>資料儲存!H2563</f>
        <v>0</v>
      </c>
      <c r="AH55" s="39">
        <f>資料儲存!I2563</f>
        <v>0</v>
      </c>
      <c r="AI55" s="39">
        <f>資料儲存!J2563</f>
        <v>0</v>
      </c>
      <c r="AJ55" s="13"/>
      <c r="AK55" s="38">
        <v>42</v>
      </c>
      <c r="AL55" s="39">
        <f>資料儲存!D2683</f>
        <v>0</v>
      </c>
      <c r="AM55" s="39">
        <f>資料儲存!E2683</f>
        <v>0</v>
      </c>
      <c r="AN55" s="39">
        <f>資料儲存!F2683</f>
        <v>0</v>
      </c>
      <c r="AO55" s="39">
        <f>資料儲存!G2683</f>
        <v>0</v>
      </c>
      <c r="AP55" s="39">
        <f>資料儲存!H2683</f>
        <v>0</v>
      </c>
      <c r="AQ55" s="39">
        <f>資料儲存!I2683</f>
        <v>0</v>
      </c>
      <c r="AR55" s="39">
        <f>資料儲存!J2683</f>
        <v>0</v>
      </c>
      <c r="AT55" s="38">
        <v>42</v>
      </c>
      <c r="AU55" s="39">
        <f>資料儲存!D2803</f>
        <v>0</v>
      </c>
      <c r="AV55" s="39">
        <f>資料儲存!E2803</f>
        <v>0</v>
      </c>
      <c r="AW55" s="39">
        <f>資料儲存!F2803</f>
        <v>0</v>
      </c>
      <c r="AX55" s="39">
        <f>資料儲存!G2803</f>
        <v>0</v>
      </c>
      <c r="AY55" s="39">
        <f>資料儲存!H2803</f>
        <v>0</v>
      </c>
      <c r="AZ55" s="39">
        <f>資料儲存!I2803</f>
        <v>0</v>
      </c>
      <c r="BA55" s="39">
        <f>資料儲存!J2803</f>
        <v>0</v>
      </c>
    </row>
    <row r="56" spans="1:53" ht="16" thickBot="1">
      <c r="A56" s="38">
        <v>43</v>
      </c>
      <c r="B56" s="39">
        <f>資料儲存!D2204</f>
        <v>0</v>
      </c>
      <c r="C56" s="39">
        <f>資料儲存!E2204</f>
        <v>0</v>
      </c>
      <c r="D56" s="39">
        <f>資料儲存!F2204</f>
        <v>0</v>
      </c>
      <c r="E56" s="39">
        <f>資料儲存!G2204</f>
        <v>0</v>
      </c>
      <c r="F56" s="39">
        <f>資料儲存!H2204</f>
        <v>0</v>
      </c>
      <c r="G56" s="39">
        <f>資料儲存!I2204</f>
        <v>0</v>
      </c>
      <c r="H56" s="39">
        <f>資料儲存!J2204</f>
        <v>0</v>
      </c>
      <c r="I56" s="35"/>
      <c r="J56" s="38">
        <v>43</v>
      </c>
      <c r="K56" s="39">
        <f>資料儲存!D2324</f>
        <v>0</v>
      </c>
      <c r="L56" s="39">
        <f>資料儲存!E2324</f>
        <v>0</v>
      </c>
      <c r="M56" s="39">
        <f>資料儲存!F2324</f>
        <v>0</v>
      </c>
      <c r="N56" s="39">
        <f>資料儲存!G2324</f>
        <v>0</v>
      </c>
      <c r="O56" s="39">
        <f>資料儲存!H2324</f>
        <v>0</v>
      </c>
      <c r="P56" s="39">
        <f>資料儲存!I2324</f>
        <v>0</v>
      </c>
      <c r="Q56" s="39">
        <f>資料儲存!J2324</f>
        <v>0</v>
      </c>
      <c r="R56" s="35"/>
      <c r="S56" s="38">
        <v>43</v>
      </c>
      <c r="T56" s="39">
        <f>資料儲存!D2444</f>
        <v>0</v>
      </c>
      <c r="U56" s="39">
        <f>資料儲存!E2444</f>
        <v>0</v>
      </c>
      <c r="V56" s="39">
        <f>資料儲存!F2444</f>
        <v>0</v>
      </c>
      <c r="W56" s="39">
        <f>資料儲存!G2444</f>
        <v>0</v>
      </c>
      <c r="X56" s="39">
        <f>資料儲存!H2444</f>
        <v>0</v>
      </c>
      <c r="Y56" s="39">
        <f>資料儲存!I2444</f>
        <v>0</v>
      </c>
      <c r="Z56" s="39">
        <f>資料儲存!J2444</f>
        <v>0</v>
      </c>
      <c r="AA56" s="35"/>
      <c r="AB56" s="38">
        <v>43</v>
      </c>
      <c r="AC56" s="39">
        <f>資料儲存!D2564</f>
        <v>0</v>
      </c>
      <c r="AD56" s="39">
        <f>資料儲存!E2564</f>
        <v>0</v>
      </c>
      <c r="AE56" s="39">
        <f>資料儲存!F2564</f>
        <v>0</v>
      </c>
      <c r="AF56" s="39">
        <f>資料儲存!G2564</f>
        <v>0</v>
      </c>
      <c r="AG56" s="39">
        <f>資料儲存!H2564</f>
        <v>0</v>
      </c>
      <c r="AH56" s="39">
        <f>資料儲存!I2564</f>
        <v>0</v>
      </c>
      <c r="AI56" s="39">
        <f>資料儲存!J2564</f>
        <v>0</v>
      </c>
      <c r="AJ56" s="13"/>
      <c r="AK56" s="38">
        <v>43</v>
      </c>
      <c r="AL56" s="39">
        <f>資料儲存!D2684</f>
        <v>0</v>
      </c>
      <c r="AM56" s="39">
        <f>資料儲存!E2684</f>
        <v>0</v>
      </c>
      <c r="AN56" s="39">
        <f>資料儲存!F2684</f>
        <v>0</v>
      </c>
      <c r="AO56" s="39">
        <f>資料儲存!G2684</f>
        <v>0</v>
      </c>
      <c r="AP56" s="39">
        <f>資料儲存!H2684</f>
        <v>0</v>
      </c>
      <c r="AQ56" s="39">
        <f>資料儲存!I2684</f>
        <v>0</v>
      </c>
      <c r="AR56" s="39">
        <f>資料儲存!J2684</f>
        <v>0</v>
      </c>
      <c r="AT56" s="38">
        <v>43</v>
      </c>
      <c r="AU56" s="39">
        <f>資料儲存!D2804</f>
        <v>0</v>
      </c>
      <c r="AV56" s="39">
        <f>資料儲存!E2804</f>
        <v>0</v>
      </c>
      <c r="AW56" s="39">
        <f>資料儲存!F2804</f>
        <v>0</v>
      </c>
      <c r="AX56" s="39">
        <f>資料儲存!G2804</f>
        <v>0</v>
      </c>
      <c r="AY56" s="39">
        <f>資料儲存!H2804</f>
        <v>0</v>
      </c>
      <c r="AZ56" s="39">
        <f>資料儲存!I2804</f>
        <v>0</v>
      </c>
      <c r="BA56" s="39">
        <f>資料儲存!J2804</f>
        <v>0</v>
      </c>
    </row>
    <row r="57" spans="1:53" ht="16" thickBot="1">
      <c r="A57" s="38">
        <v>44</v>
      </c>
      <c r="B57" s="39">
        <f>資料儲存!D2205</f>
        <v>0</v>
      </c>
      <c r="C57" s="39">
        <f>資料儲存!E2205</f>
        <v>0</v>
      </c>
      <c r="D57" s="39">
        <f>資料儲存!F2205</f>
        <v>0</v>
      </c>
      <c r="E57" s="39">
        <f>資料儲存!G2205</f>
        <v>0</v>
      </c>
      <c r="F57" s="39">
        <f>資料儲存!H2205</f>
        <v>0</v>
      </c>
      <c r="G57" s="39">
        <f>資料儲存!I2205</f>
        <v>0</v>
      </c>
      <c r="H57" s="39">
        <f>資料儲存!J2205</f>
        <v>0</v>
      </c>
      <c r="I57" s="35"/>
      <c r="J57" s="38">
        <v>44</v>
      </c>
      <c r="K57" s="39">
        <f>資料儲存!D2325</f>
        <v>0</v>
      </c>
      <c r="L57" s="39">
        <f>資料儲存!E2325</f>
        <v>0</v>
      </c>
      <c r="M57" s="39">
        <f>資料儲存!F2325</f>
        <v>0</v>
      </c>
      <c r="N57" s="39">
        <f>資料儲存!G2325</f>
        <v>0</v>
      </c>
      <c r="O57" s="39">
        <f>資料儲存!H2325</f>
        <v>0</v>
      </c>
      <c r="P57" s="39">
        <f>資料儲存!I2325</f>
        <v>0</v>
      </c>
      <c r="Q57" s="39">
        <f>資料儲存!J2325</f>
        <v>0</v>
      </c>
      <c r="R57" s="35"/>
      <c r="S57" s="38">
        <v>44</v>
      </c>
      <c r="T57" s="39">
        <f>資料儲存!D2445</f>
        <v>0</v>
      </c>
      <c r="U57" s="39">
        <f>資料儲存!E2445</f>
        <v>0</v>
      </c>
      <c r="V57" s="39">
        <f>資料儲存!F2445</f>
        <v>0</v>
      </c>
      <c r="W57" s="39">
        <f>資料儲存!G2445</f>
        <v>0</v>
      </c>
      <c r="X57" s="39">
        <f>資料儲存!H2445</f>
        <v>0</v>
      </c>
      <c r="Y57" s="39">
        <f>資料儲存!I2445</f>
        <v>0</v>
      </c>
      <c r="Z57" s="39">
        <f>資料儲存!J2445</f>
        <v>0</v>
      </c>
      <c r="AA57" s="35"/>
      <c r="AB57" s="38">
        <v>44</v>
      </c>
      <c r="AC57" s="39">
        <f>資料儲存!D2565</f>
        <v>0</v>
      </c>
      <c r="AD57" s="39">
        <f>資料儲存!E2565</f>
        <v>0</v>
      </c>
      <c r="AE57" s="39">
        <f>資料儲存!F2565</f>
        <v>0</v>
      </c>
      <c r="AF57" s="39">
        <f>資料儲存!G2565</f>
        <v>0</v>
      </c>
      <c r="AG57" s="39">
        <f>資料儲存!H2565</f>
        <v>0</v>
      </c>
      <c r="AH57" s="39">
        <f>資料儲存!I2565</f>
        <v>0</v>
      </c>
      <c r="AI57" s="39">
        <f>資料儲存!J2565</f>
        <v>0</v>
      </c>
      <c r="AJ57" s="13"/>
      <c r="AK57" s="38">
        <v>44</v>
      </c>
      <c r="AL57" s="39">
        <f>資料儲存!D2685</f>
        <v>0</v>
      </c>
      <c r="AM57" s="39">
        <f>資料儲存!E2685</f>
        <v>0</v>
      </c>
      <c r="AN57" s="39">
        <f>資料儲存!F2685</f>
        <v>0</v>
      </c>
      <c r="AO57" s="39">
        <f>資料儲存!G2685</f>
        <v>0</v>
      </c>
      <c r="AP57" s="39">
        <f>資料儲存!H2685</f>
        <v>0</v>
      </c>
      <c r="AQ57" s="39">
        <f>資料儲存!I2685</f>
        <v>0</v>
      </c>
      <c r="AR57" s="39">
        <f>資料儲存!J2685</f>
        <v>0</v>
      </c>
      <c r="AT57" s="38">
        <v>44</v>
      </c>
      <c r="AU57" s="39">
        <f>資料儲存!D2805</f>
        <v>0</v>
      </c>
      <c r="AV57" s="39">
        <f>資料儲存!E2805</f>
        <v>0</v>
      </c>
      <c r="AW57" s="39">
        <f>資料儲存!F2805</f>
        <v>0</v>
      </c>
      <c r="AX57" s="39">
        <f>資料儲存!G2805</f>
        <v>0</v>
      </c>
      <c r="AY57" s="39">
        <f>資料儲存!H2805</f>
        <v>0</v>
      </c>
      <c r="AZ57" s="39">
        <f>資料儲存!I2805</f>
        <v>0</v>
      </c>
      <c r="BA57" s="39">
        <f>資料儲存!J2805</f>
        <v>0</v>
      </c>
    </row>
    <row r="58" spans="1:53" ht="16" thickBot="1">
      <c r="A58" s="38">
        <v>45</v>
      </c>
      <c r="B58" s="39">
        <f>資料儲存!D2206</f>
        <v>0</v>
      </c>
      <c r="C58" s="39">
        <f>資料儲存!E2206</f>
        <v>0</v>
      </c>
      <c r="D58" s="39">
        <f>資料儲存!F2206</f>
        <v>0</v>
      </c>
      <c r="E58" s="39">
        <f>資料儲存!G2206</f>
        <v>0</v>
      </c>
      <c r="F58" s="39">
        <f>資料儲存!H2206</f>
        <v>0</v>
      </c>
      <c r="G58" s="39">
        <f>資料儲存!I2206</f>
        <v>0</v>
      </c>
      <c r="H58" s="39">
        <f>資料儲存!J2206</f>
        <v>0</v>
      </c>
      <c r="I58" s="35"/>
      <c r="J58" s="38">
        <v>45</v>
      </c>
      <c r="K58" s="39">
        <f>資料儲存!D2326</f>
        <v>0</v>
      </c>
      <c r="L58" s="39">
        <f>資料儲存!E2326</f>
        <v>0</v>
      </c>
      <c r="M58" s="39">
        <f>資料儲存!F2326</f>
        <v>0</v>
      </c>
      <c r="N58" s="39">
        <f>資料儲存!G2326</f>
        <v>0</v>
      </c>
      <c r="O58" s="39">
        <f>資料儲存!H2326</f>
        <v>0</v>
      </c>
      <c r="P58" s="39">
        <f>資料儲存!I2326</f>
        <v>0</v>
      </c>
      <c r="Q58" s="39">
        <f>資料儲存!J2326</f>
        <v>0</v>
      </c>
      <c r="R58" s="35"/>
      <c r="S58" s="38">
        <v>45</v>
      </c>
      <c r="T58" s="39">
        <f>資料儲存!D2446</f>
        <v>0</v>
      </c>
      <c r="U58" s="39">
        <f>資料儲存!E2446</f>
        <v>0</v>
      </c>
      <c r="V58" s="39">
        <f>資料儲存!F2446</f>
        <v>0</v>
      </c>
      <c r="W58" s="39">
        <f>資料儲存!G2446</f>
        <v>0</v>
      </c>
      <c r="X58" s="39">
        <f>資料儲存!H2446</f>
        <v>0</v>
      </c>
      <c r="Y58" s="39">
        <f>資料儲存!I2446</f>
        <v>0</v>
      </c>
      <c r="Z58" s="39">
        <f>資料儲存!J2446</f>
        <v>0</v>
      </c>
      <c r="AA58" s="35"/>
      <c r="AB58" s="38">
        <v>45</v>
      </c>
      <c r="AC58" s="39">
        <f>資料儲存!D2566</f>
        <v>0</v>
      </c>
      <c r="AD58" s="39">
        <f>資料儲存!E2566</f>
        <v>0</v>
      </c>
      <c r="AE58" s="39">
        <f>資料儲存!F2566</f>
        <v>0</v>
      </c>
      <c r="AF58" s="39">
        <f>資料儲存!G2566</f>
        <v>0</v>
      </c>
      <c r="AG58" s="39">
        <f>資料儲存!H2566</f>
        <v>0</v>
      </c>
      <c r="AH58" s="39">
        <f>資料儲存!I2566</f>
        <v>0</v>
      </c>
      <c r="AI58" s="39">
        <f>資料儲存!J2566</f>
        <v>0</v>
      </c>
      <c r="AJ58" s="13"/>
      <c r="AK58" s="38">
        <v>45</v>
      </c>
      <c r="AL58" s="39">
        <f>資料儲存!D2686</f>
        <v>0</v>
      </c>
      <c r="AM58" s="39">
        <f>資料儲存!E2686</f>
        <v>0</v>
      </c>
      <c r="AN58" s="39">
        <f>資料儲存!F2686</f>
        <v>0</v>
      </c>
      <c r="AO58" s="39">
        <f>資料儲存!G2686</f>
        <v>0</v>
      </c>
      <c r="AP58" s="39">
        <f>資料儲存!H2686</f>
        <v>0</v>
      </c>
      <c r="AQ58" s="39">
        <f>資料儲存!I2686</f>
        <v>0</v>
      </c>
      <c r="AR58" s="39">
        <f>資料儲存!J2686</f>
        <v>0</v>
      </c>
      <c r="AT58" s="38">
        <v>45</v>
      </c>
      <c r="AU58" s="39">
        <f>資料儲存!D2806</f>
        <v>0</v>
      </c>
      <c r="AV58" s="39">
        <f>資料儲存!E2806</f>
        <v>0</v>
      </c>
      <c r="AW58" s="39">
        <f>資料儲存!F2806</f>
        <v>0</v>
      </c>
      <c r="AX58" s="39">
        <f>資料儲存!G2806</f>
        <v>0</v>
      </c>
      <c r="AY58" s="39">
        <f>資料儲存!H2806</f>
        <v>0</v>
      </c>
      <c r="AZ58" s="39">
        <f>資料儲存!I2806</f>
        <v>0</v>
      </c>
      <c r="BA58" s="39">
        <f>資料儲存!J2806</f>
        <v>0</v>
      </c>
    </row>
    <row r="59" spans="1:53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13"/>
      <c r="AK59" s="40" t="s">
        <v>56</v>
      </c>
      <c r="AL59" s="39">
        <f>SUM(AL44:AO58)</f>
        <v>0</v>
      </c>
      <c r="AM59" s="37"/>
      <c r="AN59" s="37"/>
      <c r="AO59" s="37"/>
      <c r="AP59" s="39">
        <f>AP58</f>
        <v>0</v>
      </c>
      <c r="AQ59" s="39">
        <f>AQ58</f>
        <v>0</v>
      </c>
      <c r="AR59" s="39">
        <f>AR58</f>
        <v>0</v>
      </c>
      <c r="AT59" s="40" t="s">
        <v>56</v>
      </c>
      <c r="AU59" s="39">
        <f>SUM(AU44:AX58)</f>
        <v>0</v>
      </c>
      <c r="AV59" s="37"/>
      <c r="AW59" s="37"/>
      <c r="AX59" s="37"/>
      <c r="AY59" s="39">
        <f>AY58</f>
        <v>0</v>
      </c>
      <c r="AZ59" s="39">
        <f>AZ58</f>
        <v>0</v>
      </c>
      <c r="BA59" s="39">
        <f>BA58</f>
        <v>0</v>
      </c>
    </row>
    <row r="60" spans="1:53" ht="18.5" thickBot="1">
      <c r="A60" s="248" t="s">
        <v>98</v>
      </c>
      <c r="B60" s="249"/>
      <c r="C60" s="249"/>
      <c r="D60" s="249"/>
      <c r="E60" s="249"/>
      <c r="F60" s="249"/>
      <c r="G60" s="249"/>
      <c r="H60" s="250"/>
      <c r="I60" s="13"/>
      <c r="J60" s="248" t="s">
        <v>98</v>
      </c>
      <c r="K60" s="249"/>
      <c r="L60" s="249"/>
      <c r="M60" s="249"/>
      <c r="N60" s="249"/>
      <c r="O60" s="249"/>
      <c r="P60" s="249"/>
      <c r="Q60" s="250"/>
      <c r="R60" s="13"/>
      <c r="S60" s="248" t="s">
        <v>98</v>
      </c>
      <c r="T60" s="249"/>
      <c r="U60" s="249"/>
      <c r="V60" s="249"/>
      <c r="W60" s="249"/>
      <c r="X60" s="249"/>
      <c r="Y60" s="249"/>
      <c r="Z60" s="250"/>
      <c r="AA60" s="13"/>
      <c r="AB60" s="248" t="s">
        <v>98</v>
      </c>
      <c r="AC60" s="249"/>
      <c r="AD60" s="249"/>
      <c r="AE60" s="249"/>
      <c r="AF60" s="249"/>
      <c r="AG60" s="249"/>
      <c r="AH60" s="249"/>
      <c r="AI60" s="250"/>
      <c r="AJ60" s="13"/>
      <c r="AK60" s="248" t="s">
        <v>98</v>
      </c>
      <c r="AL60" s="249"/>
      <c r="AM60" s="249"/>
      <c r="AN60" s="249"/>
      <c r="AO60" s="249"/>
      <c r="AP60" s="249"/>
      <c r="AQ60" s="249"/>
      <c r="AR60" s="250"/>
      <c r="AT60" s="248" t="s">
        <v>98</v>
      </c>
      <c r="AU60" s="249"/>
      <c r="AV60" s="249"/>
      <c r="AW60" s="249"/>
      <c r="AX60" s="249"/>
      <c r="AY60" s="249"/>
      <c r="AZ60" s="249"/>
      <c r="BA60" s="250"/>
    </row>
    <row r="61" spans="1:53" ht="17.25" customHeight="1" thickBot="1">
      <c r="A61" s="41" t="s">
        <v>2</v>
      </c>
      <c r="B61" s="42" t="s">
        <v>46</v>
      </c>
      <c r="C61" s="43"/>
      <c r="D61" s="43"/>
      <c r="E61" s="44"/>
      <c r="F61" s="42" t="s">
        <v>47</v>
      </c>
      <c r="G61" s="43"/>
      <c r="H61" s="44"/>
      <c r="I61" s="45"/>
      <c r="J61" s="41" t="s">
        <v>2</v>
      </c>
      <c r="K61" s="42" t="s">
        <v>46</v>
      </c>
      <c r="L61" s="43"/>
      <c r="M61" s="43"/>
      <c r="N61" s="44"/>
      <c r="O61" s="42" t="s">
        <v>47</v>
      </c>
      <c r="P61" s="43"/>
      <c r="Q61" s="44"/>
      <c r="R61" s="45"/>
      <c r="S61" s="41" t="s">
        <v>2</v>
      </c>
      <c r="T61" s="42" t="s">
        <v>46</v>
      </c>
      <c r="U61" s="43"/>
      <c r="V61" s="43"/>
      <c r="W61" s="44"/>
      <c r="X61" s="42" t="s">
        <v>47</v>
      </c>
      <c r="Y61" s="43"/>
      <c r="Z61" s="44"/>
      <c r="AA61" s="45"/>
      <c r="AB61" s="41" t="s">
        <v>2</v>
      </c>
      <c r="AC61" s="42" t="s">
        <v>46</v>
      </c>
      <c r="AD61" s="43"/>
      <c r="AE61" s="43"/>
      <c r="AF61" s="44"/>
      <c r="AG61" s="42" t="s">
        <v>47</v>
      </c>
      <c r="AH61" s="43"/>
      <c r="AI61" s="44"/>
      <c r="AJ61" s="13"/>
      <c r="AK61" s="41" t="s">
        <v>2</v>
      </c>
      <c r="AL61" s="42" t="s">
        <v>46</v>
      </c>
      <c r="AM61" s="43"/>
      <c r="AN61" s="43"/>
      <c r="AO61" s="44"/>
      <c r="AP61" s="42" t="s">
        <v>47</v>
      </c>
      <c r="AQ61" s="43"/>
      <c r="AR61" s="44"/>
      <c r="AT61" s="41" t="s">
        <v>2</v>
      </c>
      <c r="AU61" s="42" t="s">
        <v>46</v>
      </c>
      <c r="AV61" s="43"/>
      <c r="AW61" s="43"/>
      <c r="AX61" s="44"/>
      <c r="AY61" s="42" t="s">
        <v>47</v>
      </c>
      <c r="AZ61" s="43"/>
      <c r="BA61" s="44"/>
    </row>
    <row r="62" spans="1:53" ht="16" thickBot="1">
      <c r="A62" s="46">
        <v>0.53125</v>
      </c>
      <c r="B62" s="47" t="s">
        <v>49</v>
      </c>
      <c r="C62" s="47" t="s">
        <v>50</v>
      </c>
      <c r="D62" s="47" t="s">
        <v>51</v>
      </c>
      <c r="E62" s="47" t="s">
        <v>52</v>
      </c>
      <c r="F62" s="47" t="s">
        <v>53</v>
      </c>
      <c r="G62" s="47" t="s">
        <v>54</v>
      </c>
      <c r="H62" s="47" t="s">
        <v>55</v>
      </c>
      <c r="I62" s="45"/>
      <c r="J62" s="46">
        <v>0.53125</v>
      </c>
      <c r="K62" s="47" t="s">
        <v>49</v>
      </c>
      <c r="L62" s="47" t="s">
        <v>50</v>
      </c>
      <c r="M62" s="47" t="s">
        <v>51</v>
      </c>
      <c r="N62" s="47" t="s">
        <v>52</v>
      </c>
      <c r="O62" s="47" t="s">
        <v>53</v>
      </c>
      <c r="P62" s="47" t="s">
        <v>54</v>
      </c>
      <c r="Q62" s="47" t="s">
        <v>55</v>
      </c>
      <c r="R62" s="45"/>
      <c r="S62" s="46">
        <v>0.53125</v>
      </c>
      <c r="T62" s="47" t="s">
        <v>49</v>
      </c>
      <c r="U62" s="47" t="s">
        <v>50</v>
      </c>
      <c r="V62" s="47" t="s">
        <v>51</v>
      </c>
      <c r="W62" s="47" t="s">
        <v>52</v>
      </c>
      <c r="X62" s="47" t="s">
        <v>53</v>
      </c>
      <c r="Y62" s="47" t="s">
        <v>54</v>
      </c>
      <c r="Z62" s="47" t="s">
        <v>55</v>
      </c>
      <c r="AA62" s="45"/>
      <c r="AB62" s="46">
        <v>0.53125</v>
      </c>
      <c r="AC62" s="47" t="s">
        <v>49</v>
      </c>
      <c r="AD62" s="47" t="s">
        <v>50</v>
      </c>
      <c r="AE62" s="47" t="s">
        <v>51</v>
      </c>
      <c r="AF62" s="47" t="s">
        <v>52</v>
      </c>
      <c r="AG62" s="47" t="s">
        <v>53</v>
      </c>
      <c r="AH62" s="47" t="s">
        <v>54</v>
      </c>
      <c r="AI62" s="47" t="s">
        <v>55</v>
      </c>
      <c r="AJ62" s="13"/>
      <c r="AK62" s="46">
        <v>0.53125</v>
      </c>
      <c r="AL62" s="47" t="s">
        <v>49</v>
      </c>
      <c r="AM62" s="47" t="s">
        <v>50</v>
      </c>
      <c r="AN62" s="47" t="s">
        <v>51</v>
      </c>
      <c r="AO62" s="47" t="s">
        <v>52</v>
      </c>
      <c r="AP62" s="47" t="s">
        <v>53</v>
      </c>
      <c r="AQ62" s="47" t="s">
        <v>54</v>
      </c>
      <c r="AR62" s="47" t="s">
        <v>55</v>
      </c>
      <c r="AT62" s="46">
        <v>0.53125</v>
      </c>
      <c r="AU62" s="47" t="s">
        <v>49</v>
      </c>
      <c r="AV62" s="47" t="s">
        <v>50</v>
      </c>
      <c r="AW62" s="47" t="s">
        <v>51</v>
      </c>
      <c r="AX62" s="47" t="s">
        <v>52</v>
      </c>
      <c r="AY62" s="47" t="s">
        <v>53</v>
      </c>
      <c r="AZ62" s="47" t="s">
        <v>54</v>
      </c>
      <c r="BA62" s="47" t="s">
        <v>55</v>
      </c>
    </row>
    <row r="63" spans="1:53" ht="16" thickBot="1">
      <c r="A63" s="48">
        <v>46</v>
      </c>
      <c r="B63" s="49">
        <f>資料儲存!D2207</f>
        <v>0</v>
      </c>
      <c r="C63" s="49">
        <f>資料儲存!E2207</f>
        <v>0</v>
      </c>
      <c r="D63" s="49">
        <f>資料儲存!F2207</f>
        <v>0</v>
      </c>
      <c r="E63" s="49">
        <f>資料儲存!G2207</f>
        <v>0</v>
      </c>
      <c r="F63" s="49">
        <f>資料儲存!H2207</f>
        <v>0</v>
      </c>
      <c r="G63" s="49">
        <f>資料儲存!I2207</f>
        <v>0</v>
      </c>
      <c r="H63" s="49">
        <f>資料儲存!J2207</f>
        <v>0</v>
      </c>
      <c r="I63" s="45"/>
      <c r="J63" s="48">
        <v>46</v>
      </c>
      <c r="K63" s="49">
        <f>資料儲存!D2327</f>
        <v>0</v>
      </c>
      <c r="L63" s="49">
        <f>資料儲存!E2327</f>
        <v>0</v>
      </c>
      <c r="M63" s="49">
        <f>資料儲存!F2327</f>
        <v>0</v>
      </c>
      <c r="N63" s="49">
        <f>資料儲存!G2327</f>
        <v>0</v>
      </c>
      <c r="O63" s="49">
        <f>資料儲存!H2327</f>
        <v>0</v>
      </c>
      <c r="P63" s="49">
        <f>資料儲存!I2327</f>
        <v>0</v>
      </c>
      <c r="Q63" s="49">
        <f>資料儲存!J2327</f>
        <v>0</v>
      </c>
      <c r="R63" s="45"/>
      <c r="S63" s="48">
        <v>46</v>
      </c>
      <c r="T63" s="49">
        <f>資料儲存!D2447</f>
        <v>0</v>
      </c>
      <c r="U63" s="49">
        <f>資料儲存!E2447</f>
        <v>0</v>
      </c>
      <c r="V63" s="49">
        <f>資料儲存!F2447</f>
        <v>0</v>
      </c>
      <c r="W63" s="49">
        <f>資料儲存!G2447</f>
        <v>0</v>
      </c>
      <c r="X63" s="49">
        <f>資料儲存!H2447</f>
        <v>0</v>
      </c>
      <c r="Y63" s="49">
        <f>資料儲存!I2447</f>
        <v>0</v>
      </c>
      <c r="Z63" s="49">
        <f>資料儲存!J2447</f>
        <v>0</v>
      </c>
      <c r="AA63" s="45"/>
      <c r="AB63" s="48">
        <v>46</v>
      </c>
      <c r="AC63" s="49">
        <f>資料儲存!D2567</f>
        <v>0</v>
      </c>
      <c r="AD63" s="49">
        <f>資料儲存!E2567</f>
        <v>0</v>
      </c>
      <c r="AE63" s="49">
        <f>資料儲存!F2567</f>
        <v>0</v>
      </c>
      <c r="AF63" s="49">
        <f>資料儲存!G2567</f>
        <v>0</v>
      </c>
      <c r="AG63" s="49">
        <f>資料儲存!H2567</f>
        <v>0</v>
      </c>
      <c r="AH63" s="49">
        <f>資料儲存!I2567</f>
        <v>0</v>
      </c>
      <c r="AI63" s="49">
        <f>資料儲存!J2567</f>
        <v>0</v>
      </c>
      <c r="AJ63" s="13"/>
      <c r="AK63" s="48">
        <v>46</v>
      </c>
      <c r="AL63" s="49">
        <f>資料儲存!D2687</f>
        <v>0</v>
      </c>
      <c r="AM63" s="49">
        <f>資料儲存!E2687</f>
        <v>0</v>
      </c>
      <c r="AN63" s="49">
        <f>資料儲存!F2687</f>
        <v>0</v>
      </c>
      <c r="AO63" s="49">
        <f>資料儲存!G2687</f>
        <v>0</v>
      </c>
      <c r="AP63" s="49">
        <f>資料儲存!H2687</f>
        <v>0</v>
      </c>
      <c r="AQ63" s="49">
        <f>資料儲存!I2687</f>
        <v>0</v>
      </c>
      <c r="AR63" s="49">
        <f>資料儲存!J2687</f>
        <v>0</v>
      </c>
      <c r="AT63" s="48">
        <v>46</v>
      </c>
      <c r="AU63" s="49">
        <f>資料儲存!D2807</f>
        <v>0</v>
      </c>
      <c r="AV63" s="49">
        <f>資料儲存!E2807</f>
        <v>0</v>
      </c>
      <c r="AW63" s="49">
        <f>資料儲存!F2807</f>
        <v>0</v>
      </c>
      <c r="AX63" s="49">
        <f>資料儲存!G2807</f>
        <v>0</v>
      </c>
      <c r="AY63" s="49">
        <f>資料儲存!H2807</f>
        <v>0</v>
      </c>
      <c r="AZ63" s="49">
        <f>資料儲存!I2807</f>
        <v>0</v>
      </c>
      <c r="BA63" s="49">
        <f>資料儲存!J2807</f>
        <v>0</v>
      </c>
    </row>
    <row r="64" spans="1:53" ht="16" thickBot="1">
      <c r="A64" s="48">
        <v>47</v>
      </c>
      <c r="B64" s="49">
        <f>資料儲存!D2208</f>
        <v>0</v>
      </c>
      <c r="C64" s="49">
        <f>資料儲存!E2208</f>
        <v>0</v>
      </c>
      <c r="D64" s="49">
        <f>資料儲存!F2208</f>
        <v>0</v>
      </c>
      <c r="E64" s="49">
        <f>資料儲存!G2208</f>
        <v>0</v>
      </c>
      <c r="F64" s="49">
        <f>資料儲存!H2208</f>
        <v>0</v>
      </c>
      <c r="G64" s="49">
        <f>資料儲存!I2208</f>
        <v>0</v>
      </c>
      <c r="H64" s="49">
        <f>資料儲存!J2208</f>
        <v>0</v>
      </c>
      <c r="I64" s="45"/>
      <c r="J64" s="48">
        <v>47</v>
      </c>
      <c r="K64" s="49">
        <f>資料儲存!D2328</f>
        <v>0</v>
      </c>
      <c r="L64" s="49">
        <f>資料儲存!E2328</f>
        <v>0</v>
      </c>
      <c r="M64" s="49">
        <f>資料儲存!F2328</f>
        <v>0</v>
      </c>
      <c r="N64" s="49">
        <f>資料儲存!G2328</f>
        <v>0</v>
      </c>
      <c r="O64" s="49">
        <f>資料儲存!H2328</f>
        <v>0</v>
      </c>
      <c r="P64" s="49">
        <f>資料儲存!I2328</f>
        <v>0</v>
      </c>
      <c r="Q64" s="49">
        <f>資料儲存!J2328</f>
        <v>0</v>
      </c>
      <c r="R64" s="45"/>
      <c r="S64" s="48">
        <v>47</v>
      </c>
      <c r="T64" s="49">
        <f>資料儲存!D2448</f>
        <v>0</v>
      </c>
      <c r="U64" s="49">
        <f>資料儲存!E2448</f>
        <v>0</v>
      </c>
      <c r="V64" s="49">
        <f>資料儲存!F2448</f>
        <v>0</v>
      </c>
      <c r="W64" s="49">
        <f>資料儲存!G2448</f>
        <v>0</v>
      </c>
      <c r="X64" s="49">
        <f>資料儲存!H2448</f>
        <v>0</v>
      </c>
      <c r="Y64" s="49">
        <f>資料儲存!I2448</f>
        <v>0</v>
      </c>
      <c r="Z64" s="49">
        <f>資料儲存!J2448</f>
        <v>0</v>
      </c>
      <c r="AA64" s="45"/>
      <c r="AB64" s="48">
        <v>47</v>
      </c>
      <c r="AC64" s="49">
        <f>資料儲存!D2568</f>
        <v>0</v>
      </c>
      <c r="AD64" s="49">
        <f>資料儲存!E2568</f>
        <v>0</v>
      </c>
      <c r="AE64" s="49">
        <f>資料儲存!F2568</f>
        <v>0</v>
      </c>
      <c r="AF64" s="49">
        <f>資料儲存!G2568</f>
        <v>0</v>
      </c>
      <c r="AG64" s="49">
        <f>資料儲存!H2568</f>
        <v>0</v>
      </c>
      <c r="AH64" s="49">
        <f>資料儲存!I2568</f>
        <v>0</v>
      </c>
      <c r="AI64" s="49">
        <f>資料儲存!J2568</f>
        <v>0</v>
      </c>
      <c r="AJ64" s="13"/>
      <c r="AK64" s="48">
        <v>47</v>
      </c>
      <c r="AL64" s="49">
        <f>資料儲存!D2688</f>
        <v>0</v>
      </c>
      <c r="AM64" s="49">
        <f>資料儲存!E2688</f>
        <v>0</v>
      </c>
      <c r="AN64" s="49">
        <f>資料儲存!F2688</f>
        <v>0</v>
      </c>
      <c r="AO64" s="49">
        <f>資料儲存!G2688</f>
        <v>0</v>
      </c>
      <c r="AP64" s="49">
        <f>資料儲存!H2688</f>
        <v>0</v>
      </c>
      <c r="AQ64" s="49">
        <f>資料儲存!I2688</f>
        <v>0</v>
      </c>
      <c r="AR64" s="49">
        <f>資料儲存!J2688</f>
        <v>0</v>
      </c>
      <c r="AT64" s="48">
        <v>47</v>
      </c>
      <c r="AU64" s="49">
        <f>資料儲存!D2808</f>
        <v>0</v>
      </c>
      <c r="AV64" s="49">
        <f>資料儲存!E2808</f>
        <v>0</v>
      </c>
      <c r="AW64" s="49">
        <f>資料儲存!F2808</f>
        <v>0</v>
      </c>
      <c r="AX64" s="49">
        <f>資料儲存!G2808</f>
        <v>0</v>
      </c>
      <c r="AY64" s="49">
        <f>資料儲存!H2808</f>
        <v>0</v>
      </c>
      <c r="AZ64" s="49">
        <f>資料儲存!I2808</f>
        <v>0</v>
      </c>
      <c r="BA64" s="49">
        <f>資料儲存!J2808</f>
        <v>0</v>
      </c>
    </row>
    <row r="65" spans="1:53" ht="16" thickBot="1">
      <c r="A65" s="48">
        <v>48</v>
      </c>
      <c r="B65" s="49">
        <f>資料儲存!D2209</f>
        <v>0</v>
      </c>
      <c r="C65" s="49">
        <f>資料儲存!E2209</f>
        <v>0</v>
      </c>
      <c r="D65" s="49">
        <f>資料儲存!F2209</f>
        <v>0</v>
      </c>
      <c r="E65" s="49">
        <f>資料儲存!G2209</f>
        <v>0</v>
      </c>
      <c r="F65" s="49">
        <f>資料儲存!H2209</f>
        <v>0</v>
      </c>
      <c r="G65" s="49">
        <f>資料儲存!I2209</f>
        <v>0</v>
      </c>
      <c r="H65" s="49">
        <f>資料儲存!J2209</f>
        <v>0</v>
      </c>
      <c r="I65" s="45"/>
      <c r="J65" s="48">
        <v>48</v>
      </c>
      <c r="K65" s="49">
        <f>資料儲存!D2329</f>
        <v>0</v>
      </c>
      <c r="L65" s="49">
        <f>資料儲存!E2329</f>
        <v>0</v>
      </c>
      <c r="M65" s="49">
        <f>資料儲存!F2329</f>
        <v>0</v>
      </c>
      <c r="N65" s="49">
        <f>資料儲存!G2329</f>
        <v>0</v>
      </c>
      <c r="O65" s="49">
        <f>資料儲存!H2329</f>
        <v>0</v>
      </c>
      <c r="P65" s="49">
        <f>資料儲存!I2329</f>
        <v>0</v>
      </c>
      <c r="Q65" s="49">
        <f>資料儲存!J2329</f>
        <v>0</v>
      </c>
      <c r="R65" s="45"/>
      <c r="S65" s="48">
        <v>48</v>
      </c>
      <c r="T65" s="49">
        <f>資料儲存!D2449</f>
        <v>0</v>
      </c>
      <c r="U65" s="49">
        <f>資料儲存!E2449</f>
        <v>0</v>
      </c>
      <c r="V65" s="49">
        <f>資料儲存!F2449</f>
        <v>0</v>
      </c>
      <c r="W65" s="49">
        <f>資料儲存!G2449</f>
        <v>0</v>
      </c>
      <c r="X65" s="49">
        <f>資料儲存!H2449</f>
        <v>0</v>
      </c>
      <c r="Y65" s="49">
        <f>資料儲存!I2449</f>
        <v>0</v>
      </c>
      <c r="Z65" s="49">
        <f>資料儲存!J2449</f>
        <v>0</v>
      </c>
      <c r="AA65" s="45"/>
      <c r="AB65" s="48">
        <v>48</v>
      </c>
      <c r="AC65" s="49">
        <f>資料儲存!D2569</f>
        <v>0</v>
      </c>
      <c r="AD65" s="49">
        <f>資料儲存!E2569</f>
        <v>0</v>
      </c>
      <c r="AE65" s="49">
        <f>資料儲存!F2569</f>
        <v>0</v>
      </c>
      <c r="AF65" s="49">
        <f>資料儲存!G2569</f>
        <v>0</v>
      </c>
      <c r="AG65" s="49">
        <f>資料儲存!H2569</f>
        <v>0</v>
      </c>
      <c r="AH65" s="49">
        <f>資料儲存!I2569</f>
        <v>0</v>
      </c>
      <c r="AI65" s="49">
        <f>資料儲存!J2569</f>
        <v>0</v>
      </c>
      <c r="AJ65" s="13"/>
      <c r="AK65" s="48">
        <v>48</v>
      </c>
      <c r="AL65" s="49">
        <f>資料儲存!D2689</f>
        <v>0</v>
      </c>
      <c r="AM65" s="49">
        <f>資料儲存!E2689</f>
        <v>0</v>
      </c>
      <c r="AN65" s="49">
        <f>資料儲存!F2689</f>
        <v>0</v>
      </c>
      <c r="AO65" s="49">
        <f>資料儲存!G2689</f>
        <v>0</v>
      </c>
      <c r="AP65" s="49">
        <f>資料儲存!H2689</f>
        <v>0</v>
      </c>
      <c r="AQ65" s="49">
        <f>資料儲存!I2689</f>
        <v>0</v>
      </c>
      <c r="AR65" s="49">
        <f>資料儲存!J2689</f>
        <v>0</v>
      </c>
      <c r="AT65" s="48">
        <v>48</v>
      </c>
      <c r="AU65" s="49">
        <f>資料儲存!D2809</f>
        <v>0</v>
      </c>
      <c r="AV65" s="49">
        <f>資料儲存!E2809</f>
        <v>0</v>
      </c>
      <c r="AW65" s="49">
        <f>資料儲存!F2809</f>
        <v>0</v>
      </c>
      <c r="AX65" s="49">
        <f>資料儲存!G2809</f>
        <v>0</v>
      </c>
      <c r="AY65" s="49">
        <f>資料儲存!H2809</f>
        <v>0</v>
      </c>
      <c r="AZ65" s="49">
        <f>資料儲存!I2809</f>
        <v>0</v>
      </c>
      <c r="BA65" s="49">
        <f>資料儲存!J2809</f>
        <v>0</v>
      </c>
    </row>
    <row r="66" spans="1:53" ht="16" thickBot="1">
      <c r="A66" s="48">
        <v>49</v>
      </c>
      <c r="B66" s="49">
        <f>資料儲存!D2210</f>
        <v>0</v>
      </c>
      <c r="C66" s="49">
        <f>資料儲存!E2210</f>
        <v>0</v>
      </c>
      <c r="D66" s="49">
        <f>資料儲存!F2210</f>
        <v>0</v>
      </c>
      <c r="E66" s="49">
        <f>資料儲存!G2210</f>
        <v>0</v>
      </c>
      <c r="F66" s="49">
        <f>資料儲存!H2210</f>
        <v>0</v>
      </c>
      <c r="G66" s="49">
        <f>資料儲存!I2210</f>
        <v>0</v>
      </c>
      <c r="H66" s="49">
        <f>資料儲存!J2210</f>
        <v>0</v>
      </c>
      <c r="I66" s="45"/>
      <c r="J66" s="48">
        <v>49</v>
      </c>
      <c r="K66" s="49">
        <f>資料儲存!D2330</f>
        <v>0</v>
      </c>
      <c r="L66" s="49">
        <f>資料儲存!E2330</f>
        <v>0</v>
      </c>
      <c r="M66" s="49">
        <f>資料儲存!F2330</f>
        <v>0</v>
      </c>
      <c r="N66" s="49">
        <f>資料儲存!G2330</f>
        <v>0</v>
      </c>
      <c r="O66" s="49">
        <f>資料儲存!H2330</f>
        <v>0</v>
      </c>
      <c r="P66" s="49">
        <f>資料儲存!I2330</f>
        <v>0</v>
      </c>
      <c r="Q66" s="49">
        <f>資料儲存!J2330</f>
        <v>0</v>
      </c>
      <c r="R66" s="45"/>
      <c r="S66" s="48">
        <v>49</v>
      </c>
      <c r="T66" s="49">
        <f>資料儲存!D2450</f>
        <v>0</v>
      </c>
      <c r="U66" s="49">
        <f>資料儲存!E2450</f>
        <v>0</v>
      </c>
      <c r="V66" s="49">
        <f>資料儲存!F2450</f>
        <v>0</v>
      </c>
      <c r="W66" s="49">
        <f>資料儲存!G2450</f>
        <v>0</v>
      </c>
      <c r="X66" s="49">
        <f>資料儲存!H2450</f>
        <v>0</v>
      </c>
      <c r="Y66" s="49">
        <f>資料儲存!I2450</f>
        <v>0</v>
      </c>
      <c r="Z66" s="49">
        <f>資料儲存!J2450</f>
        <v>0</v>
      </c>
      <c r="AA66" s="45"/>
      <c r="AB66" s="48">
        <v>49</v>
      </c>
      <c r="AC66" s="49">
        <f>資料儲存!D2570</f>
        <v>0</v>
      </c>
      <c r="AD66" s="49">
        <f>資料儲存!E2570</f>
        <v>0</v>
      </c>
      <c r="AE66" s="49">
        <f>資料儲存!F2570</f>
        <v>0</v>
      </c>
      <c r="AF66" s="49">
        <f>資料儲存!G2570</f>
        <v>0</v>
      </c>
      <c r="AG66" s="49">
        <f>資料儲存!H2570</f>
        <v>0</v>
      </c>
      <c r="AH66" s="49">
        <f>資料儲存!I2570</f>
        <v>0</v>
      </c>
      <c r="AI66" s="49">
        <f>資料儲存!J2570</f>
        <v>0</v>
      </c>
      <c r="AJ66" s="13"/>
      <c r="AK66" s="48">
        <v>49</v>
      </c>
      <c r="AL66" s="49">
        <f>資料儲存!D2690</f>
        <v>0</v>
      </c>
      <c r="AM66" s="49">
        <f>資料儲存!E2690</f>
        <v>0</v>
      </c>
      <c r="AN66" s="49">
        <f>資料儲存!F2690</f>
        <v>0</v>
      </c>
      <c r="AO66" s="49">
        <f>資料儲存!G2690</f>
        <v>0</v>
      </c>
      <c r="AP66" s="49">
        <f>資料儲存!H2690</f>
        <v>0</v>
      </c>
      <c r="AQ66" s="49">
        <f>資料儲存!I2690</f>
        <v>0</v>
      </c>
      <c r="AR66" s="49">
        <f>資料儲存!J2690</f>
        <v>0</v>
      </c>
      <c r="AT66" s="48">
        <v>49</v>
      </c>
      <c r="AU66" s="49">
        <f>資料儲存!D2810</f>
        <v>0</v>
      </c>
      <c r="AV66" s="49">
        <f>資料儲存!E2810</f>
        <v>0</v>
      </c>
      <c r="AW66" s="49">
        <f>資料儲存!F2810</f>
        <v>0</v>
      </c>
      <c r="AX66" s="49">
        <f>資料儲存!G2810</f>
        <v>0</v>
      </c>
      <c r="AY66" s="49">
        <f>資料儲存!H2810</f>
        <v>0</v>
      </c>
      <c r="AZ66" s="49">
        <f>資料儲存!I2810</f>
        <v>0</v>
      </c>
      <c r="BA66" s="49">
        <f>資料儲存!J2810</f>
        <v>0</v>
      </c>
    </row>
    <row r="67" spans="1:53" ht="16" thickBot="1">
      <c r="A67" s="48">
        <v>50</v>
      </c>
      <c r="B67" s="49">
        <f>資料儲存!D2211</f>
        <v>0</v>
      </c>
      <c r="C67" s="49">
        <f>資料儲存!E2211</f>
        <v>0</v>
      </c>
      <c r="D67" s="49">
        <f>資料儲存!F2211</f>
        <v>0</v>
      </c>
      <c r="E67" s="49">
        <f>資料儲存!G2211</f>
        <v>0</v>
      </c>
      <c r="F67" s="49">
        <f>資料儲存!H2211</f>
        <v>0</v>
      </c>
      <c r="G67" s="49">
        <f>資料儲存!I2211</f>
        <v>0</v>
      </c>
      <c r="H67" s="49">
        <f>資料儲存!J2211</f>
        <v>0</v>
      </c>
      <c r="I67" s="45"/>
      <c r="J67" s="48">
        <v>50</v>
      </c>
      <c r="K67" s="49">
        <f>資料儲存!D2331</f>
        <v>0</v>
      </c>
      <c r="L67" s="49">
        <f>資料儲存!E2331</f>
        <v>0</v>
      </c>
      <c r="M67" s="49">
        <f>資料儲存!F2331</f>
        <v>0</v>
      </c>
      <c r="N67" s="49">
        <f>資料儲存!G2331</f>
        <v>0</v>
      </c>
      <c r="O67" s="49">
        <f>資料儲存!H2331</f>
        <v>0</v>
      </c>
      <c r="P67" s="49">
        <f>資料儲存!I2331</f>
        <v>0</v>
      </c>
      <c r="Q67" s="49">
        <f>資料儲存!J2331</f>
        <v>0</v>
      </c>
      <c r="R67" s="45"/>
      <c r="S67" s="48">
        <v>50</v>
      </c>
      <c r="T67" s="49">
        <f>資料儲存!D2451</f>
        <v>0</v>
      </c>
      <c r="U67" s="49">
        <f>資料儲存!E2451</f>
        <v>0</v>
      </c>
      <c r="V67" s="49">
        <f>資料儲存!F2451</f>
        <v>0</v>
      </c>
      <c r="W67" s="49">
        <f>資料儲存!G2451</f>
        <v>0</v>
      </c>
      <c r="X67" s="49">
        <f>資料儲存!H2451</f>
        <v>0</v>
      </c>
      <c r="Y67" s="49">
        <f>資料儲存!I2451</f>
        <v>0</v>
      </c>
      <c r="Z67" s="49">
        <f>資料儲存!J2451</f>
        <v>0</v>
      </c>
      <c r="AA67" s="45"/>
      <c r="AB67" s="48">
        <v>50</v>
      </c>
      <c r="AC67" s="49">
        <f>資料儲存!D2571</f>
        <v>0</v>
      </c>
      <c r="AD67" s="49">
        <f>資料儲存!E2571</f>
        <v>0</v>
      </c>
      <c r="AE67" s="49">
        <f>資料儲存!F2571</f>
        <v>0</v>
      </c>
      <c r="AF67" s="49">
        <f>資料儲存!G2571</f>
        <v>0</v>
      </c>
      <c r="AG67" s="49">
        <f>資料儲存!H2571</f>
        <v>0</v>
      </c>
      <c r="AH67" s="49">
        <f>資料儲存!I2571</f>
        <v>0</v>
      </c>
      <c r="AI67" s="49">
        <f>資料儲存!J2571</f>
        <v>0</v>
      </c>
      <c r="AJ67" s="13"/>
      <c r="AK67" s="48">
        <v>50</v>
      </c>
      <c r="AL67" s="49">
        <f>資料儲存!D2691</f>
        <v>0</v>
      </c>
      <c r="AM67" s="49">
        <f>資料儲存!E2691</f>
        <v>0</v>
      </c>
      <c r="AN67" s="49">
        <f>資料儲存!F2691</f>
        <v>0</v>
      </c>
      <c r="AO67" s="49">
        <f>資料儲存!G2691</f>
        <v>0</v>
      </c>
      <c r="AP67" s="49">
        <f>資料儲存!H2691</f>
        <v>0</v>
      </c>
      <c r="AQ67" s="49">
        <f>資料儲存!I2691</f>
        <v>0</v>
      </c>
      <c r="AR67" s="49">
        <f>資料儲存!J2691</f>
        <v>0</v>
      </c>
      <c r="AT67" s="48">
        <v>50</v>
      </c>
      <c r="AU67" s="49">
        <f>資料儲存!D2811</f>
        <v>0</v>
      </c>
      <c r="AV67" s="49">
        <f>資料儲存!E2811</f>
        <v>0</v>
      </c>
      <c r="AW67" s="49">
        <f>資料儲存!F2811</f>
        <v>0</v>
      </c>
      <c r="AX67" s="49">
        <f>資料儲存!G2811</f>
        <v>0</v>
      </c>
      <c r="AY67" s="49">
        <f>資料儲存!H2811</f>
        <v>0</v>
      </c>
      <c r="AZ67" s="49">
        <f>資料儲存!I2811</f>
        <v>0</v>
      </c>
      <c r="BA67" s="49">
        <f>資料儲存!J2811</f>
        <v>0</v>
      </c>
    </row>
    <row r="68" spans="1:53" ht="16" thickBot="1">
      <c r="A68" s="48">
        <v>51</v>
      </c>
      <c r="B68" s="49">
        <f>資料儲存!D2212</f>
        <v>0</v>
      </c>
      <c r="C68" s="49">
        <f>資料儲存!E2212</f>
        <v>0</v>
      </c>
      <c r="D68" s="49">
        <f>資料儲存!F2212</f>
        <v>0</v>
      </c>
      <c r="E68" s="49">
        <f>資料儲存!G2212</f>
        <v>0</v>
      </c>
      <c r="F68" s="49">
        <f>資料儲存!H2212</f>
        <v>0</v>
      </c>
      <c r="G68" s="49">
        <f>資料儲存!I2212</f>
        <v>0</v>
      </c>
      <c r="H68" s="49">
        <f>資料儲存!J2212</f>
        <v>0</v>
      </c>
      <c r="I68" s="45"/>
      <c r="J68" s="48">
        <v>51</v>
      </c>
      <c r="K68" s="49">
        <f>資料儲存!D2332</f>
        <v>0</v>
      </c>
      <c r="L68" s="49">
        <f>資料儲存!E2332</f>
        <v>0</v>
      </c>
      <c r="M68" s="49">
        <f>資料儲存!F2332</f>
        <v>0</v>
      </c>
      <c r="N68" s="49">
        <f>資料儲存!G2332</f>
        <v>0</v>
      </c>
      <c r="O68" s="49">
        <f>資料儲存!H2332</f>
        <v>0</v>
      </c>
      <c r="P68" s="49">
        <f>資料儲存!I2332</f>
        <v>0</v>
      </c>
      <c r="Q68" s="49">
        <f>資料儲存!J2332</f>
        <v>0</v>
      </c>
      <c r="R68" s="45"/>
      <c r="S68" s="48">
        <v>51</v>
      </c>
      <c r="T68" s="49">
        <f>資料儲存!D2452</f>
        <v>0</v>
      </c>
      <c r="U68" s="49">
        <f>資料儲存!E2452</f>
        <v>0</v>
      </c>
      <c r="V68" s="49">
        <f>資料儲存!F2452</f>
        <v>0</v>
      </c>
      <c r="W68" s="49">
        <f>資料儲存!G2452</f>
        <v>0</v>
      </c>
      <c r="X68" s="49">
        <f>資料儲存!H2452</f>
        <v>0</v>
      </c>
      <c r="Y68" s="49">
        <f>資料儲存!I2452</f>
        <v>0</v>
      </c>
      <c r="Z68" s="49">
        <f>資料儲存!J2452</f>
        <v>0</v>
      </c>
      <c r="AA68" s="45"/>
      <c r="AB68" s="48">
        <v>51</v>
      </c>
      <c r="AC68" s="49">
        <f>資料儲存!D2572</f>
        <v>0</v>
      </c>
      <c r="AD68" s="49">
        <f>資料儲存!E2572</f>
        <v>0</v>
      </c>
      <c r="AE68" s="49">
        <f>資料儲存!F2572</f>
        <v>0</v>
      </c>
      <c r="AF68" s="49">
        <f>資料儲存!G2572</f>
        <v>0</v>
      </c>
      <c r="AG68" s="49">
        <f>資料儲存!H2572</f>
        <v>0</v>
      </c>
      <c r="AH68" s="49">
        <f>資料儲存!I2572</f>
        <v>0</v>
      </c>
      <c r="AI68" s="49">
        <f>資料儲存!J2572</f>
        <v>0</v>
      </c>
      <c r="AJ68" s="13"/>
      <c r="AK68" s="48">
        <v>51</v>
      </c>
      <c r="AL68" s="49">
        <f>資料儲存!D2692</f>
        <v>0</v>
      </c>
      <c r="AM68" s="49">
        <f>資料儲存!E2692</f>
        <v>0</v>
      </c>
      <c r="AN68" s="49">
        <f>資料儲存!F2692</f>
        <v>0</v>
      </c>
      <c r="AO68" s="49">
        <f>資料儲存!G2692</f>
        <v>0</v>
      </c>
      <c r="AP68" s="49">
        <f>資料儲存!H2692</f>
        <v>0</v>
      </c>
      <c r="AQ68" s="49">
        <f>資料儲存!I2692</f>
        <v>0</v>
      </c>
      <c r="AR68" s="49">
        <f>資料儲存!J2692</f>
        <v>0</v>
      </c>
      <c r="AT68" s="48">
        <v>51</v>
      </c>
      <c r="AU68" s="49">
        <f>資料儲存!D2812</f>
        <v>0</v>
      </c>
      <c r="AV68" s="49">
        <f>資料儲存!E2812</f>
        <v>0</v>
      </c>
      <c r="AW68" s="49">
        <f>資料儲存!F2812</f>
        <v>0</v>
      </c>
      <c r="AX68" s="49">
        <f>資料儲存!G2812</f>
        <v>0</v>
      </c>
      <c r="AY68" s="49">
        <f>資料儲存!H2812</f>
        <v>0</v>
      </c>
      <c r="AZ68" s="49">
        <f>資料儲存!I2812</f>
        <v>0</v>
      </c>
      <c r="BA68" s="49">
        <f>資料儲存!J2812</f>
        <v>0</v>
      </c>
    </row>
    <row r="69" spans="1:53" ht="16" thickBot="1">
      <c r="A69" s="48">
        <v>52</v>
      </c>
      <c r="B69" s="49">
        <f>資料儲存!D2213</f>
        <v>0</v>
      </c>
      <c r="C69" s="49">
        <f>資料儲存!E2213</f>
        <v>0</v>
      </c>
      <c r="D69" s="49">
        <f>資料儲存!F2213</f>
        <v>0</v>
      </c>
      <c r="E69" s="49">
        <f>資料儲存!G2213</f>
        <v>0</v>
      </c>
      <c r="F69" s="49">
        <f>資料儲存!H2213</f>
        <v>0</v>
      </c>
      <c r="G69" s="49">
        <f>資料儲存!I2213</f>
        <v>0</v>
      </c>
      <c r="H69" s="49">
        <f>資料儲存!J2213</f>
        <v>0</v>
      </c>
      <c r="I69" s="45"/>
      <c r="J69" s="48">
        <v>52</v>
      </c>
      <c r="K69" s="49">
        <f>資料儲存!D2333</f>
        <v>0</v>
      </c>
      <c r="L69" s="49">
        <f>資料儲存!E2333</f>
        <v>0</v>
      </c>
      <c r="M69" s="49">
        <f>資料儲存!F2333</f>
        <v>0</v>
      </c>
      <c r="N69" s="49">
        <f>資料儲存!G2333</f>
        <v>0</v>
      </c>
      <c r="O69" s="49">
        <f>資料儲存!H2333</f>
        <v>0</v>
      </c>
      <c r="P69" s="49">
        <f>資料儲存!I2333</f>
        <v>0</v>
      </c>
      <c r="Q69" s="49">
        <f>資料儲存!J2333</f>
        <v>0</v>
      </c>
      <c r="R69" s="45"/>
      <c r="S69" s="48">
        <v>52</v>
      </c>
      <c r="T69" s="49">
        <f>資料儲存!D2453</f>
        <v>0</v>
      </c>
      <c r="U69" s="49">
        <f>資料儲存!E2453</f>
        <v>0</v>
      </c>
      <c r="V69" s="49">
        <f>資料儲存!F2453</f>
        <v>0</v>
      </c>
      <c r="W69" s="49">
        <f>資料儲存!G2453</f>
        <v>0</v>
      </c>
      <c r="X69" s="49">
        <f>資料儲存!H2453</f>
        <v>0</v>
      </c>
      <c r="Y69" s="49">
        <f>資料儲存!I2453</f>
        <v>0</v>
      </c>
      <c r="Z69" s="49">
        <f>資料儲存!J2453</f>
        <v>0</v>
      </c>
      <c r="AA69" s="45"/>
      <c r="AB69" s="48">
        <v>52</v>
      </c>
      <c r="AC69" s="49">
        <f>資料儲存!D2573</f>
        <v>0</v>
      </c>
      <c r="AD69" s="49">
        <f>資料儲存!E2573</f>
        <v>0</v>
      </c>
      <c r="AE69" s="49">
        <f>資料儲存!F2573</f>
        <v>0</v>
      </c>
      <c r="AF69" s="49">
        <f>資料儲存!G2573</f>
        <v>0</v>
      </c>
      <c r="AG69" s="49">
        <f>資料儲存!H2573</f>
        <v>0</v>
      </c>
      <c r="AH69" s="49">
        <f>資料儲存!I2573</f>
        <v>0</v>
      </c>
      <c r="AI69" s="49">
        <f>資料儲存!J2573</f>
        <v>0</v>
      </c>
      <c r="AJ69" s="13"/>
      <c r="AK69" s="48">
        <v>52</v>
      </c>
      <c r="AL69" s="49">
        <f>資料儲存!D2693</f>
        <v>0</v>
      </c>
      <c r="AM69" s="49">
        <f>資料儲存!E2693</f>
        <v>0</v>
      </c>
      <c r="AN69" s="49">
        <f>資料儲存!F2693</f>
        <v>0</v>
      </c>
      <c r="AO69" s="49">
        <f>資料儲存!G2693</f>
        <v>0</v>
      </c>
      <c r="AP69" s="49">
        <f>資料儲存!H2693</f>
        <v>0</v>
      </c>
      <c r="AQ69" s="49">
        <f>資料儲存!I2693</f>
        <v>0</v>
      </c>
      <c r="AR69" s="49">
        <f>資料儲存!J2693</f>
        <v>0</v>
      </c>
      <c r="AT69" s="48">
        <v>52</v>
      </c>
      <c r="AU69" s="49">
        <f>資料儲存!D2813</f>
        <v>0</v>
      </c>
      <c r="AV69" s="49">
        <f>資料儲存!E2813</f>
        <v>0</v>
      </c>
      <c r="AW69" s="49">
        <f>資料儲存!F2813</f>
        <v>0</v>
      </c>
      <c r="AX69" s="49">
        <f>資料儲存!G2813</f>
        <v>0</v>
      </c>
      <c r="AY69" s="49">
        <f>資料儲存!H2813</f>
        <v>0</v>
      </c>
      <c r="AZ69" s="49">
        <f>資料儲存!I2813</f>
        <v>0</v>
      </c>
      <c r="BA69" s="49">
        <f>資料儲存!J2813</f>
        <v>0</v>
      </c>
    </row>
    <row r="70" spans="1:53" ht="16" thickBot="1">
      <c r="A70" s="48">
        <v>53</v>
      </c>
      <c r="B70" s="49">
        <f>資料儲存!D2214</f>
        <v>0</v>
      </c>
      <c r="C70" s="49">
        <f>資料儲存!E2214</f>
        <v>0</v>
      </c>
      <c r="D70" s="49">
        <f>資料儲存!F2214</f>
        <v>0</v>
      </c>
      <c r="E70" s="49">
        <f>資料儲存!G2214</f>
        <v>0</v>
      </c>
      <c r="F70" s="49">
        <f>資料儲存!H2214</f>
        <v>0</v>
      </c>
      <c r="G70" s="49">
        <f>資料儲存!I2214</f>
        <v>0</v>
      </c>
      <c r="H70" s="49">
        <f>資料儲存!J2214</f>
        <v>0</v>
      </c>
      <c r="I70" s="45"/>
      <c r="J70" s="48">
        <v>53</v>
      </c>
      <c r="K70" s="49">
        <f>資料儲存!D2334</f>
        <v>0</v>
      </c>
      <c r="L70" s="49">
        <f>資料儲存!E2334</f>
        <v>0</v>
      </c>
      <c r="M70" s="49">
        <f>資料儲存!F2334</f>
        <v>0</v>
      </c>
      <c r="N70" s="49">
        <f>資料儲存!G2334</f>
        <v>0</v>
      </c>
      <c r="O70" s="49">
        <f>資料儲存!H2334</f>
        <v>0</v>
      </c>
      <c r="P70" s="49">
        <f>資料儲存!I2334</f>
        <v>0</v>
      </c>
      <c r="Q70" s="49">
        <f>資料儲存!J2334</f>
        <v>0</v>
      </c>
      <c r="R70" s="45"/>
      <c r="S70" s="48">
        <v>53</v>
      </c>
      <c r="T70" s="49">
        <f>資料儲存!D2454</f>
        <v>0</v>
      </c>
      <c r="U70" s="49">
        <f>資料儲存!E2454</f>
        <v>0</v>
      </c>
      <c r="V70" s="49">
        <f>資料儲存!F2454</f>
        <v>0</v>
      </c>
      <c r="W70" s="49">
        <f>資料儲存!G2454</f>
        <v>0</v>
      </c>
      <c r="X70" s="49">
        <f>資料儲存!H2454</f>
        <v>0</v>
      </c>
      <c r="Y70" s="49">
        <f>資料儲存!I2454</f>
        <v>0</v>
      </c>
      <c r="Z70" s="49">
        <f>資料儲存!J2454</f>
        <v>0</v>
      </c>
      <c r="AA70" s="45"/>
      <c r="AB70" s="48">
        <v>53</v>
      </c>
      <c r="AC70" s="49">
        <f>資料儲存!D2574</f>
        <v>0</v>
      </c>
      <c r="AD70" s="49">
        <f>資料儲存!E2574</f>
        <v>0</v>
      </c>
      <c r="AE70" s="49">
        <f>資料儲存!F2574</f>
        <v>0</v>
      </c>
      <c r="AF70" s="49">
        <f>資料儲存!G2574</f>
        <v>0</v>
      </c>
      <c r="AG70" s="49">
        <f>資料儲存!H2574</f>
        <v>0</v>
      </c>
      <c r="AH70" s="49">
        <f>資料儲存!I2574</f>
        <v>0</v>
      </c>
      <c r="AI70" s="49">
        <f>資料儲存!J2574</f>
        <v>0</v>
      </c>
      <c r="AJ70" s="13"/>
      <c r="AK70" s="48">
        <v>53</v>
      </c>
      <c r="AL70" s="49">
        <f>資料儲存!D2694</f>
        <v>0</v>
      </c>
      <c r="AM70" s="49">
        <f>資料儲存!E2694</f>
        <v>0</v>
      </c>
      <c r="AN70" s="49">
        <f>資料儲存!F2694</f>
        <v>0</v>
      </c>
      <c r="AO70" s="49">
        <f>資料儲存!G2694</f>
        <v>0</v>
      </c>
      <c r="AP70" s="49">
        <f>資料儲存!H2694</f>
        <v>0</v>
      </c>
      <c r="AQ70" s="49">
        <f>資料儲存!I2694</f>
        <v>0</v>
      </c>
      <c r="AR70" s="49">
        <f>資料儲存!J2694</f>
        <v>0</v>
      </c>
      <c r="AT70" s="48">
        <v>53</v>
      </c>
      <c r="AU70" s="49">
        <f>資料儲存!D2814</f>
        <v>0</v>
      </c>
      <c r="AV70" s="49">
        <f>資料儲存!E2814</f>
        <v>0</v>
      </c>
      <c r="AW70" s="49">
        <f>資料儲存!F2814</f>
        <v>0</v>
      </c>
      <c r="AX70" s="49">
        <f>資料儲存!G2814</f>
        <v>0</v>
      </c>
      <c r="AY70" s="49">
        <f>資料儲存!H2814</f>
        <v>0</v>
      </c>
      <c r="AZ70" s="49">
        <f>資料儲存!I2814</f>
        <v>0</v>
      </c>
      <c r="BA70" s="49">
        <f>資料儲存!J2814</f>
        <v>0</v>
      </c>
    </row>
    <row r="71" spans="1:53" ht="16" thickBot="1">
      <c r="A71" s="48">
        <v>54</v>
      </c>
      <c r="B71" s="49">
        <f>資料儲存!D2215</f>
        <v>0</v>
      </c>
      <c r="C71" s="49">
        <f>資料儲存!E2215</f>
        <v>0</v>
      </c>
      <c r="D71" s="49">
        <f>資料儲存!F2215</f>
        <v>0</v>
      </c>
      <c r="E71" s="49">
        <f>資料儲存!G2215</f>
        <v>0</v>
      </c>
      <c r="F71" s="49">
        <f>資料儲存!H2215</f>
        <v>0</v>
      </c>
      <c r="G71" s="49">
        <f>資料儲存!I2215</f>
        <v>0</v>
      </c>
      <c r="H71" s="49">
        <f>資料儲存!J2215</f>
        <v>0</v>
      </c>
      <c r="I71" s="45"/>
      <c r="J71" s="48">
        <v>54</v>
      </c>
      <c r="K71" s="49">
        <f>資料儲存!D2335</f>
        <v>0</v>
      </c>
      <c r="L71" s="49">
        <f>資料儲存!E2335</f>
        <v>0</v>
      </c>
      <c r="M71" s="49">
        <f>資料儲存!F2335</f>
        <v>0</v>
      </c>
      <c r="N71" s="49">
        <f>資料儲存!G2335</f>
        <v>0</v>
      </c>
      <c r="O71" s="49">
        <f>資料儲存!H2335</f>
        <v>0</v>
      </c>
      <c r="P71" s="49">
        <f>資料儲存!I2335</f>
        <v>0</v>
      </c>
      <c r="Q71" s="49">
        <f>資料儲存!J2335</f>
        <v>0</v>
      </c>
      <c r="R71" s="45"/>
      <c r="S71" s="48">
        <v>54</v>
      </c>
      <c r="T71" s="49">
        <f>資料儲存!D2455</f>
        <v>0</v>
      </c>
      <c r="U71" s="49">
        <f>資料儲存!E2455</f>
        <v>0</v>
      </c>
      <c r="V71" s="49">
        <f>資料儲存!F2455</f>
        <v>0</v>
      </c>
      <c r="W71" s="49">
        <f>資料儲存!G2455</f>
        <v>0</v>
      </c>
      <c r="X71" s="49">
        <f>資料儲存!H2455</f>
        <v>0</v>
      </c>
      <c r="Y71" s="49">
        <f>資料儲存!I2455</f>
        <v>0</v>
      </c>
      <c r="Z71" s="49">
        <f>資料儲存!J2455</f>
        <v>0</v>
      </c>
      <c r="AA71" s="45"/>
      <c r="AB71" s="48">
        <v>54</v>
      </c>
      <c r="AC71" s="49">
        <f>資料儲存!D2575</f>
        <v>0</v>
      </c>
      <c r="AD71" s="49">
        <f>資料儲存!E2575</f>
        <v>0</v>
      </c>
      <c r="AE71" s="49">
        <f>資料儲存!F2575</f>
        <v>0</v>
      </c>
      <c r="AF71" s="49">
        <f>資料儲存!G2575</f>
        <v>0</v>
      </c>
      <c r="AG71" s="49">
        <f>資料儲存!H2575</f>
        <v>0</v>
      </c>
      <c r="AH71" s="49">
        <f>資料儲存!I2575</f>
        <v>0</v>
      </c>
      <c r="AI71" s="49">
        <f>資料儲存!J2575</f>
        <v>0</v>
      </c>
      <c r="AJ71" s="13"/>
      <c r="AK71" s="48">
        <v>54</v>
      </c>
      <c r="AL71" s="49">
        <f>資料儲存!D2695</f>
        <v>0</v>
      </c>
      <c r="AM71" s="49">
        <f>資料儲存!E2695</f>
        <v>0</v>
      </c>
      <c r="AN71" s="49">
        <f>資料儲存!F2695</f>
        <v>0</v>
      </c>
      <c r="AO71" s="49">
        <f>資料儲存!G2695</f>
        <v>0</v>
      </c>
      <c r="AP71" s="49">
        <f>資料儲存!H2695</f>
        <v>0</v>
      </c>
      <c r="AQ71" s="49">
        <f>資料儲存!I2695</f>
        <v>0</v>
      </c>
      <c r="AR71" s="49">
        <f>資料儲存!J2695</f>
        <v>0</v>
      </c>
      <c r="AT71" s="48">
        <v>54</v>
      </c>
      <c r="AU71" s="49">
        <f>資料儲存!D2815</f>
        <v>0</v>
      </c>
      <c r="AV71" s="49">
        <f>資料儲存!E2815</f>
        <v>0</v>
      </c>
      <c r="AW71" s="49">
        <f>資料儲存!F2815</f>
        <v>0</v>
      </c>
      <c r="AX71" s="49">
        <f>資料儲存!G2815</f>
        <v>0</v>
      </c>
      <c r="AY71" s="49">
        <f>資料儲存!H2815</f>
        <v>0</v>
      </c>
      <c r="AZ71" s="49">
        <f>資料儲存!I2815</f>
        <v>0</v>
      </c>
      <c r="BA71" s="49">
        <f>資料儲存!J2815</f>
        <v>0</v>
      </c>
    </row>
    <row r="72" spans="1:53" ht="16" thickBot="1">
      <c r="A72" s="48">
        <v>55</v>
      </c>
      <c r="B72" s="49">
        <f>資料儲存!D2216</f>
        <v>0</v>
      </c>
      <c r="C72" s="49">
        <f>資料儲存!E2216</f>
        <v>0</v>
      </c>
      <c r="D72" s="49">
        <f>資料儲存!F2216</f>
        <v>0</v>
      </c>
      <c r="E72" s="49">
        <f>資料儲存!G2216</f>
        <v>0</v>
      </c>
      <c r="F72" s="49">
        <f>資料儲存!H2216</f>
        <v>0</v>
      </c>
      <c r="G72" s="49">
        <f>資料儲存!I2216</f>
        <v>0</v>
      </c>
      <c r="H72" s="49">
        <f>資料儲存!J2216</f>
        <v>0</v>
      </c>
      <c r="I72" s="45"/>
      <c r="J72" s="48">
        <v>55</v>
      </c>
      <c r="K72" s="49">
        <f>資料儲存!D2336</f>
        <v>0</v>
      </c>
      <c r="L72" s="49">
        <f>資料儲存!E2336</f>
        <v>0</v>
      </c>
      <c r="M72" s="49">
        <f>資料儲存!F2336</f>
        <v>0</v>
      </c>
      <c r="N72" s="49">
        <f>資料儲存!G2336</f>
        <v>0</v>
      </c>
      <c r="O72" s="49">
        <f>資料儲存!H2336</f>
        <v>0</v>
      </c>
      <c r="P72" s="49">
        <f>資料儲存!I2336</f>
        <v>0</v>
      </c>
      <c r="Q72" s="49">
        <f>資料儲存!J2336</f>
        <v>0</v>
      </c>
      <c r="R72" s="45"/>
      <c r="S72" s="48">
        <v>55</v>
      </c>
      <c r="T72" s="49">
        <f>資料儲存!D2456</f>
        <v>0</v>
      </c>
      <c r="U72" s="49">
        <f>資料儲存!E2456</f>
        <v>0</v>
      </c>
      <c r="V72" s="49">
        <f>資料儲存!F2456</f>
        <v>0</v>
      </c>
      <c r="W72" s="49">
        <f>資料儲存!G2456</f>
        <v>0</v>
      </c>
      <c r="X72" s="49">
        <f>資料儲存!H2456</f>
        <v>0</v>
      </c>
      <c r="Y72" s="49">
        <f>資料儲存!I2456</f>
        <v>0</v>
      </c>
      <c r="Z72" s="49">
        <f>資料儲存!J2456</f>
        <v>0</v>
      </c>
      <c r="AA72" s="45"/>
      <c r="AB72" s="48">
        <v>55</v>
      </c>
      <c r="AC72" s="49">
        <f>資料儲存!D2576</f>
        <v>0</v>
      </c>
      <c r="AD72" s="49">
        <f>資料儲存!E2576</f>
        <v>0</v>
      </c>
      <c r="AE72" s="49">
        <f>資料儲存!F2576</f>
        <v>0</v>
      </c>
      <c r="AF72" s="49">
        <f>資料儲存!G2576</f>
        <v>0</v>
      </c>
      <c r="AG72" s="49">
        <f>資料儲存!H2576</f>
        <v>0</v>
      </c>
      <c r="AH72" s="49">
        <f>資料儲存!I2576</f>
        <v>0</v>
      </c>
      <c r="AI72" s="49">
        <f>資料儲存!J2576</f>
        <v>0</v>
      </c>
      <c r="AJ72" s="13"/>
      <c r="AK72" s="48">
        <v>55</v>
      </c>
      <c r="AL72" s="49">
        <f>資料儲存!D2696</f>
        <v>0</v>
      </c>
      <c r="AM72" s="49">
        <f>資料儲存!E2696</f>
        <v>0</v>
      </c>
      <c r="AN72" s="49">
        <f>資料儲存!F2696</f>
        <v>0</v>
      </c>
      <c r="AO72" s="49">
        <f>資料儲存!G2696</f>
        <v>0</v>
      </c>
      <c r="AP72" s="49">
        <f>資料儲存!H2696</f>
        <v>0</v>
      </c>
      <c r="AQ72" s="49">
        <f>資料儲存!I2696</f>
        <v>0</v>
      </c>
      <c r="AR72" s="49">
        <f>資料儲存!J2696</f>
        <v>0</v>
      </c>
      <c r="AT72" s="48">
        <v>55</v>
      </c>
      <c r="AU72" s="49">
        <f>資料儲存!D2816</f>
        <v>0</v>
      </c>
      <c r="AV72" s="49">
        <f>資料儲存!E2816</f>
        <v>0</v>
      </c>
      <c r="AW72" s="49">
        <f>資料儲存!F2816</f>
        <v>0</v>
      </c>
      <c r="AX72" s="49">
        <f>資料儲存!G2816</f>
        <v>0</v>
      </c>
      <c r="AY72" s="49">
        <f>資料儲存!H2816</f>
        <v>0</v>
      </c>
      <c r="AZ72" s="49">
        <f>資料儲存!I2816</f>
        <v>0</v>
      </c>
      <c r="BA72" s="49">
        <f>資料儲存!J2816</f>
        <v>0</v>
      </c>
    </row>
    <row r="73" spans="1:53" ht="16" thickBot="1">
      <c r="A73" s="48">
        <v>56</v>
      </c>
      <c r="B73" s="49">
        <f>資料儲存!D2217</f>
        <v>0</v>
      </c>
      <c r="C73" s="49">
        <f>資料儲存!E2217</f>
        <v>0</v>
      </c>
      <c r="D73" s="49">
        <f>資料儲存!F2217</f>
        <v>0</v>
      </c>
      <c r="E73" s="49">
        <f>資料儲存!G2217</f>
        <v>0</v>
      </c>
      <c r="F73" s="49">
        <f>資料儲存!H2217</f>
        <v>0</v>
      </c>
      <c r="G73" s="49">
        <f>資料儲存!I2217</f>
        <v>0</v>
      </c>
      <c r="H73" s="49">
        <f>資料儲存!J2217</f>
        <v>0</v>
      </c>
      <c r="I73" s="45"/>
      <c r="J73" s="48">
        <v>56</v>
      </c>
      <c r="K73" s="49">
        <f>資料儲存!D2337</f>
        <v>0</v>
      </c>
      <c r="L73" s="49">
        <f>資料儲存!E2337</f>
        <v>0</v>
      </c>
      <c r="M73" s="49">
        <f>資料儲存!F2337</f>
        <v>0</v>
      </c>
      <c r="N73" s="49">
        <f>資料儲存!G2337</f>
        <v>0</v>
      </c>
      <c r="O73" s="49">
        <f>資料儲存!H2337</f>
        <v>0</v>
      </c>
      <c r="P73" s="49">
        <f>資料儲存!I2337</f>
        <v>0</v>
      </c>
      <c r="Q73" s="49">
        <f>資料儲存!J2337</f>
        <v>0</v>
      </c>
      <c r="R73" s="45"/>
      <c r="S73" s="48">
        <v>56</v>
      </c>
      <c r="T73" s="49">
        <f>資料儲存!D2457</f>
        <v>0</v>
      </c>
      <c r="U73" s="49">
        <f>資料儲存!E2457</f>
        <v>0</v>
      </c>
      <c r="V73" s="49">
        <f>資料儲存!F2457</f>
        <v>0</v>
      </c>
      <c r="W73" s="49">
        <f>資料儲存!G2457</f>
        <v>0</v>
      </c>
      <c r="X73" s="49">
        <f>資料儲存!H2457</f>
        <v>0</v>
      </c>
      <c r="Y73" s="49">
        <f>資料儲存!I2457</f>
        <v>0</v>
      </c>
      <c r="Z73" s="49">
        <f>資料儲存!J2457</f>
        <v>0</v>
      </c>
      <c r="AA73" s="45"/>
      <c r="AB73" s="48">
        <v>56</v>
      </c>
      <c r="AC73" s="49">
        <f>資料儲存!D2577</f>
        <v>0</v>
      </c>
      <c r="AD73" s="49">
        <f>資料儲存!E2577</f>
        <v>0</v>
      </c>
      <c r="AE73" s="49">
        <f>資料儲存!F2577</f>
        <v>0</v>
      </c>
      <c r="AF73" s="49">
        <f>資料儲存!G2577</f>
        <v>0</v>
      </c>
      <c r="AG73" s="49">
        <f>資料儲存!H2577</f>
        <v>0</v>
      </c>
      <c r="AH73" s="49">
        <f>資料儲存!I2577</f>
        <v>0</v>
      </c>
      <c r="AI73" s="49">
        <f>資料儲存!J2577</f>
        <v>0</v>
      </c>
      <c r="AJ73" s="13"/>
      <c r="AK73" s="48">
        <v>56</v>
      </c>
      <c r="AL73" s="49">
        <f>資料儲存!D2697</f>
        <v>0</v>
      </c>
      <c r="AM73" s="49">
        <f>資料儲存!E2697</f>
        <v>0</v>
      </c>
      <c r="AN73" s="49">
        <f>資料儲存!F2697</f>
        <v>0</v>
      </c>
      <c r="AO73" s="49">
        <f>資料儲存!G2697</f>
        <v>0</v>
      </c>
      <c r="AP73" s="49">
        <f>資料儲存!H2697</f>
        <v>0</v>
      </c>
      <c r="AQ73" s="49">
        <f>資料儲存!I2697</f>
        <v>0</v>
      </c>
      <c r="AR73" s="49">
        <f>資料儲存!J2697</f>
        <v>0</v>
      </c>
      <c r="AT73" s="48">
        <v>56</v>
      </c>
      <c r="AU73" s="49">
        <f>資料儲存!D2817</f>
        <v>0</v>
      </c>
      <c r="AV73" s="49">
        <f>資料儲存!E2817</f>
        <v>0</v>
      </c>
      <c r="AW73" s="49">
        <f>資料儲存!F2817</f>
        <v>0</v>
      </c>
      <c r="AX73" s="49">
        <f>資料儲存!G2817</f>
        <v>0</v>
      </c>
      <c r="AY73" s="49">
        <f>資料儲存!H2817</f>
        <v>0</v>
      </c>
      <c r="AZ73" s="49">
        <f>資料儲存!I2817</f>
        <v>0</v>
      </c>
      <c r="BA73" s="49">
        <f>資料儲存!J2817</f>
        <v>0</v>
      </c>
    </row>
    <row r="74" spans="1:53" ht="16" thickBot="1">
      <c r="A74" s="48">
        <v>57</v>
      </c>
      <c r="B74" s="49">
        <f>資料儲存!D2218</f>
        <v>0</v>
      </c>
      <c r="C74" s="49">
        <f>資料儲存!E2218</f>
        <v>0</v>
      </c>
      <c r="D74" s="49">
        <f>資料儲存!F2218</f>
        <v>0</v>
      </c>
      <c r="E74" s="49">
        <f>資料儲存!G2218</f>
        <v>0</v>
      </c>
      <c r="F74" s="49">
        <f>資料儲存!H2218</f>
        <v>0</v>
      </c>
      <c r="G74" s="49">
        <f>資料儲存!I2218</f>
        <v>0</v>
      </c>
      <c r="H74" s="49">
        <f>資料儲存!J2218</f>
        <v>0</v>
      </c>
      <c r="I74" s="45"/>
      <c r="J74" s="48">
        <v>57</v>
      </c>
      <c r="K74" s="49">
        <f>資料儲存!D2338</f>
        <v>0</v>
      </c>
      <c r="L74" s="49">
        <f>資料儲存!E2338</f>
        <v>0</v>
      </c>
      <c r="M74" s="49">
        <f>資料儲存!F2338</f>
        <v>0</v>
      </c>
      <c r="N74" s="49">
        <f>資料儲存!G2338</f>
        <v>0</v>
      </c>
      <c r="O74" s="49">
        <f>資料儲存!H2338</f>
        <v>0</v>
      </c>
      <c r="P74" s="49">
        <f>資料儲存!I2338</f>
        <v>0</v>
      </c>
      <c r="Q74" s="49">
        <f>資料儲存!J2338</f>
        <v>0</v>
      </c>
      <c r="R74" s="45"/>
      <c r="S74" s="48">
        <v>57</v>
      </c>
      <c r="T74" s="49">
        <f>資料儲存!D2458</f>
        <v>0</v>
      </c>
      <c r="U74" s="49">
        <f>資料儲存!E2458</f>
        <v>0</v>
      </c>
      <c r="V74" s="49">
        <f>資料儲存!F2458</f>
        <v>0</v>
      </c>
      <c r="W74" s="49">
        <f>資料儲存!G2458</f>
        <v>0</v>
      </c>
      <c r="X74" s="49">
        <f>資料儲存!H2458</f>
        <v>0</v>
      </c>
      <c r="Y74" s="49">
        <f>資料儲存!I2458</f>
        <v>0</v>
      </c>
      <c r="Z74" s="49">
        <f>資料儲存!J2458</f>
        <v>0</v>
      </c>
      <c r="AA74" s="45"/>
      <c r="AB74" s="48">
        <v>57</v>
      </c>
      <c r="AC74" s="49">
        <f>資料儲存!D2578</f>
        <v>0</v>
      </c>
      <c r="AD74" s="49">
        <f>資料儲存!E2578</f>
        <v>0</v>
      </c>
      <c r="AE74" s="49">
        <f>資料儲存!F2578</f>
        <v>0</v>
      </c>
      <c r="AF74" s="49">
        <f>資料儲存!G2578</f>
        <v>0</v>
      </c>
      <c r="AG74" s="49">
        <f>資料儲存!H2578</f>
        <v>0</v>
      </c>
      <c r="AH74" s="49">
        <f>資料儲存!I2578</f>
        <v>0</v>
      </c>
      <c r="AI74" s="49">
        <f>資料儲存!J2578</f>
        <v>0</v>
      </c>
      <c r="AJ74" s="13"/>
      <c r="AK74" s="48">
        <v>57</v>
      </c>
      <c r="AL74" s="49">
        <f>資料儲存!D2698</f>
        <v>0</v>
      </c>
      <c r="AM74" s="49">
        <f>資料儲存!E2698</f>
        <v>0</v>
      </c>
      <c r="AN74" s="49">
        <f>資料儲存!F2698</f>
        <v>0</v>
      </c>
      <c r="AO74" s="49">
        <f>資料儲存!G2698</f>
        <v>0</v>
      </c>
      <c r="AP74" s="49">
        <f>資料儲存!H2698</f>
        <v>0</v>
      </c>
      <c r="AQ74" s="49">
        <f>資料儲存!I2698</f>
        <v>0</v>
      </c>
      <c r="AR74" s="49">
        <f>資料儲存!J2698</f>
        <v>0</v>
      </c>
      <c r="AT74" s="48">
        <v>57</v>
      </c>
      <c r="AU74" s="49">
        <f>資料儲存!D2818</f>
        <v>0</v>
      </c>
      <c r="AV74" s="49">
        <f>資料儲存!E2818</f>
        <v>0</v>
      </c>
      <c r="AW74" s="49">
        <f>資料儲存!F2818</f>
        <v>0</v>
      </c>
      <c r="AX74" s="49">
        <f>資料儲存!G2818</f>
        <v>0</v>
      </c>
      <c r="AY74" s="49">
        <f>資料儲存!H2818</f>
        <v>0</v>
      </c>
      <c r="AZ74" s="49">
        <f>資料儲存!I2818</f>
        <v>0</v>
      </c>
      <c r="BA74" s="49">
        <f>資料儲存!J2818</f>
        <v>0</v>
      </c>
    </row>
    <row r="75" spans="1:53" ht="16" thickBot="1">
      <c r="A75" s="48">
        <v>58</v>
      </c>
      <c r="B75" s="49">
        <f>資料儲存!D2219</f>
        <v>0</v>
      </c>
      <c r="C75" s="49">
        <f>資料儲存!E2219</f>
        <v>0</v>
      </c>
      <c r="D75" s="49">
        <f>資料儲存!F2219</f>
        <v>0</v>
      </c>
      <c r="E75" s="49">
        <f>資料儲存!G2219</f>
        <v>0</v>
      </c>
      <c r="F75" s="49">
        <f>資料儲存!H2219</f>
        <v>0</v>
      </c>
      <c r="G75" s="49">
        <f>資料儲存!I2219</f>
        <v>0</v>
      </c>
      <c r="H75" s="49">
        <f>資料儲存!J2219</f>
        <v>0</v>
      </c>
      <c r="I75" s="45"/>
      <c r="J75" s="48">
        <v>58</v>
      </c>
      <c r="K75" s="49">
        <f>資料儲存!D2339</f>
        <v>0</v>
      </c>
      <c r="L75" s="49">
        <f>資料儲存!E2339</f>
        <v>0</v>
      </c>
      <c r="M75" s="49">
        <f>資料儲存!F2339</f>
        <v>0</v>
      </c>
      <c r="N75" s="49">
        <f>資料儲存!G2339</f>
        <v>0</v>
      </c>
      <c r="O75" s="49">
        <f>資料儲存!H2339</f>
        <v>0</v>
      </c>
      <c r="P75" s="49">
        <f>資料儲存!I2339</f>
        <v>0</v>
      </c>
      <c r="Q75" s="49">
        <f>資料儲存!J2339</f>
        <v>0</v>
      </c>
      <c r="R75" s="45"/>
      <c r="S75" s="48">
        <v>58</v>
      </c>
      <c r="T75" s="49">
        <f>資料儲存!D2459</f>
        <v>0</v>
      </c>
      <c r="U75" s="49">
        <f>資料儲存!E2459</f>
        <v>0</v>
      </c>
      <c r="V75" s="49">
        <f>資料儲存!F2459</f>
        <v>0</v>
      </c>
      <c r="W75" s="49">
        <f>資料儲存!G2459</f>
        <v>0</v>
      </c>
      <c r="X75" s="49">
        <f>資料儲存!H2459</f>
        <v>0</v>
      </c>
      <c r="Y75" s="49">
        <f>資料儲存!I2459</f>
        <v>0</v>
      </c>
      <c r="Z75" s="49">
        <f>資料儲存!J2459</f>
        <v>0</v>
      </c>
      <c r="AA75" s="45"/>
      <c r="AB75" s="48">
        <v>58</v>
      </c>
      <c r="AC75" s="49">
        <f>資料儲存!D2579</f>
        <v>0</v>
      </c>
      <c r="AD75" s="49">
        <f>資料儲存!E2579</f>
        <v>0</v>
      </c>
      <c r="AE75" s="49">
        <f>資料儲存!F2579</f>
        <v>0</v>
      </c>
      <c r="AF75" s="49">
        <f>資料儲存!G2579</f>
        <v>0</v>
      </c>
      <c r="AG75" s="49">
        <f>資料儲存!H2579</f>
        <v>0</v>
      </c>
      <c r="AH75" s="49">
        <f>資料儲存!I2579</f>
        <v>0</v>
      </c>
      <c r="AI75" s="49">
        <f>資料儲存!J2579</f>
        <v>0</v>
      </c>
      <c r="AJ75" s="13"/>
      <c r="AK75" s="48">
        <v>58</v>
      </c>
      <c r="AL75" s="49">
        <f>資料儲存!D2699</f>
        <v>0</v>
      </c>
      <c r="AM75" s="49">
        <f>資料儲存!E2699</f>
        <v>0</v>
      </c>
      <c r="AN75" s="49">
        <f>資料儲存!F2699</f>
        <v>0</v>
      </c>
      <c r="AO75" s="49">
        <f>資料儲存!G2699</f>
        <v>0</v>
      </c>
      <c r="AP75" s="49">
        <f>資料儲存!H2699</f>
        <v>0</v>
      </c>
      <c r="AQ75" s="49">
        <f>資料儲存!I2699</f>
        <v>0</v>
      </c>
      <c r="AR75" s="49">
        <f>資料儲存!J2699</f>
        <v>0</v>
      </c>
      <c r="AT75" s="48">
        <v>58</v>
      </c>
      <c r="AU75" s="49">
        <f>資料儲存!D2819</f>
        <v>0</v>
      </c>
      <c r="AV75" s="49">
        <f>資料儲存!E2819</f>
        <v>0</v>
      </c>
      <c r="AW75" s="49">
        <f>資料儲存!F2819</f>
        <v>0</v>
      </c>
      <c r="AX75" s="49">
        <f>資料儲存!G2819</f>
        <v>0</v>
      </c>
      <c r="AY75" s="49">
        <f>資料儲存!H2819</f>
        <v>0</v>
      </c>
      <c r="AZ75" s="49">
        <f>資料儲存!I2819</f>
        <v>0</v>
      </c>
      <c r="BA75" s="49">
        <f>資料儲存!J2819</f>
        <v>0</v>
      </c>
    </row>
    <row r="76" spans="1:53" ht="16" thickBot="1">
      <c r="A76" s="48">
        <v>59</v>
      </c>
      <c r="B76" s="49">
        <f>資料儲存!D2220</f>
        <v>0</v>
      </c>
      <c r="C76" s="49">
        <f>資料儲存!E2220</f>
        <v>0</v>
      </c>
      <c r="D76" s="49">
        <f>資料儲存!F2220</f>
        <v>0</v>
      </c>
      <c r="E76" s="49">
        <f>資料儲存!G2220</f>
        <v>0</v>
      </c>
      <c r="F76" s="49">
        <f>資料儲存!H2220</f>
        <v>0</v>
      </c>
      <c r="G76" s="49">
        <f>資料儲存!I2220</f>
        <v>0</v>
      </c>
      <c r="H76" s="49">
        <f>資料儲存!J2220</f>
        <v>0</v>
      </c>
      <c r="I76" s="45"/>
      <c r="J76" s="48">
        <v>59</v>
      </c>
      <c r="K76" s="49">
        <f>資料儲存!D2340</f>
        <v>0</v>
      </c>
      <c r="L76" s="49">
        <f>資料儲存!E2340</f>
        <v>0</v>
      </c>
      <c r="M76" s="49">
        <f>資料儲存!F2340</f>
        <v>0</v>
      </c>
      <c r="N76" s="49">
        <f>資料儲存!G2340</f>
        <v>0</v>
      </c>
      <c r="O76" s="49">
        <f>資料儲存!H2340</f>
        <v>0</v>
      </c>
      <c r="P76" s="49">
        <f>資料儲存!I2340</f>
        <v>0</v>
      </c>
      <c r="Q76" s="49">
        <f>資料儲存!J2340</f>
        <v>0</v>
      </c>
      <c r="R76" s="45"/>
      <c r="S76" s="48">
        <v>59</v>
      </c>
      <c r="T76" s="49">
        <f>資料儲存!D2460</f>
        <v>0</v>
      </c>
      <c r="U76" s="49">
        <f>資料儲存!E2460</f>
        <v>0</v>
      </c>
      <c r="V76" s="49">
        <f>資料儲存!F2460</f>
        <v>0</v>
      </c>
      <c r="W76" s="49">
        <f>資料儲存!G2460</f>
        <v>0</v>
      </c>
      <c r="X76" s="49">
        <f>資料儲存!H2460</f>
        <v>0</v>
      </c>
      <c r="Y76" s="49">
        <f>資料儲存!I2460</f>
        <v>0</v>
      </c>
      <c r="Z76" s="49">
        <f>資料儲存!J2460</f>
        <v>0</v>
      </c>
      <c r="AA76" s="45"/>
      <c r="AB76" s="48">
        <v>59</v>
      </c>
      <c r="AC76" s="49">
        <f>資料儲存!D2580</f>
        <v>0</v>
      </c>
      <c r="AD76" s="49">
        <f>資料儲存!E2580</f>
        <v>0</v>
      </c>
      <c r="AE76" s="49">
        <f>資料儲存!F2580</f>
        <v>0</v>
      </c>
      <c r="AF76" s="49">
        <f>資料儲存!G2580</f>
        <v>0</v>
      </c>
      <c r="AG76" s="49">
        <f>資料儲存!H2580</f>
        <v>0</v>
      </c>
      <c r="AH76" s="49">
        <f>資料儲存!I2580</f>
        <v>0</v>
      </c>
      <c r="AI76" s="49">
        <f>資料儲存!J2580</f>
        <v>0</v>
      </c>
      <c r="AJ76" s="13"/>
      <c r="AK76" s="48">
        <v>59</v>
      </c>
      <c r="AL76" s="49">
        <f>資料儲存!D2700</f>
        <v>0</v>
      </c>
      <c r="AM76" s="49">
        <f>資料儲存!E2700</f>
        <v>0</v>
      </c>
      <c r="AN76" s="49">
        <f>資料儲存!F2700</f>
        <v>0</v>
      </c>
      <c r="AO76" s="49">
        <f>資料儲存!G2700</f>
        <v>0</v>
      </c>
      <c r="AP76" s="49">
        <f>資料儲存!H2700</f>
        <v>0</v>
      </c>
      <c r="AQ76" s="49">
        <f>資料儲存!I2700</f>
        <v>0</v>
      </c>
      <c r="AR76" s="49">
        <f>資料儲存!J2700</f>
        <v>0</v>
      </c>
      <c r="AT76" s="48">
        <v>59</v>
      </c>
      <c r="AU76" s="49">
        <f>資料儲存!D2820</f>
        <v>0</v>
      </c>
      <c r="AV76" s="49">
        <f>資料儲存!E2820</f>
        <v>0</v>
      </c>
      <c r="AW76" s="49">
        <f>資料儲存!F2820</f>
        <v>0</v>
      </c>
      <c r="AX76" s="49">
        <f>資料儲存!G2820</f>
        <v>0</v>
      </c>
      <c r="AY76" s="49">
        <f>資料儲存!H2820</f>
        <v>0</v>
      </c>
      <c r="AZ76" s="49">
        <f>資料儲存!I2820</f>
        <v>0</v>
      </c>
      <c r="BA76" s="49">
        <f>資料儲存!J2820</f>
        <v>0</v>
      </c>
    </row>
    <row r="77" spans="1:53" ht="16" thickBot="1">
      <c r="A77" s="48">
        <v>60</v>
      </c>
      <c r="B77" s="49">
        <f>資料儲存!D2221</f>
        <v>0</v>
      </c>
      <c r="C77" s="49">
        <f>資料儲存!E2221</f>
        <v>0</v>
      </c>
      <c r="D77" s="49">
        <f>資料儲存!F2221</f>
        <v>0</v>
      </c>
      <c r="E77" s="49">
        <f>資料儲存!G2221</f>
        <v>0</v>
      </c>
      <c r="F77" s="49">
        <f>資料儲存!H2221</f>
        <v>0</v>
      </c>
      <c r="G77" s="49">
        <f>資料儲存!I2221</f>
        <v>0</v>
      </c>
      <c r="H77" s="49">
        <f>資料儲存!J2221</f>
        <v>0</v>
      </c>
      <c r="I77" s="45"/>
      <c r="J77" s="48">
        <v>60</v>
      </c>
      <c r="K77" s="49">
        <f>資料儲存!D2341</f>
        <v>0</v>
      </c>
      <c r="L77" s="49">
        <f>資料儲存!E2341</f>
        <v>0</v>
      </c>
      <c r="M77" s="49">
        <f>資料儲存!F2341</f>
        <v>0</v>
      </c>
      <c r="N77" s="49">
        <f>資料儲存!G2341</f>
        <v>0</v>
      </c>
      <c r="O77" s="49">
        <f>資料儲存!H2341</f>
        <v>0</v>
      </c>
      <c r="P77" s="49">
        <f>資料儲存!I2341</f>
        <v>0</v>
      </c>
      <c r="Q77" s="49">
        <f>資料儲存!J2341</f>
        <v>0</v>
      </c>
      <c r="R77" s="45"/>
      <c r="S77" s="48">
        <v>60</v>
      </c>
      <c r="T77" s="49">
        <f>資料儲存!D2461</f>
        <v>0</v>
      </c>
      <c r="U77" s="49">
        <f>資料儲存!E2461</f>
        <v>0</v>
      </c>
      <c r="V77" s="49">
        <f>資料儲存!F2461</f>
        <v>0</v>
      </c>
      <c r="W77" s="49">
        <f>資料儲存!G2461</f>
        <v>0</v>
      </c>
      <c r="X77" s="49">
        <f>資料儲存!H2461</f>
        <v>0</v>
      </c>
      <c r="Y77" s="49">
        <f>資料儲存!I2461</f>
        <v>0</v>
      </c>
      <c r="Z77" s="49">
        <f>資料儲存!J2461</f>
        <v>0</v>
      </c>
      <c r="AA77" s="45"/>
      <c r="AB77" s="48">
        <v>60</v>
      </c>
      <c r="AC77" s="49">
        <f>資料儲存!D2581</f>
        <v>0</v>
      </c>
      <c r="AD77" s="49">
        <f>資料儲存!E2581</f>
        <v>0</v>
      </c>
      <c r="AE77" s="49">
        <f>資料儲存!F2581</f>
        <v>0</v>
      </c>
      <c r="AF77" s="49">
        <f>資料儲存!G2581</f>
        <v>0</v>
      </c>
      <c r="AG77" s="49">
        <f>資料儲存!H2581</f>
        <v>0</v>
      </c>
      <c r="AH77" s="49">
        <f>資料儲存!I2581</f>
        <v>0</v>
      </c>
      <c r="AI77" s="49">
        <f>資料儲存!J2581</f>
        <v>0</v>
      </c>
      <c r="AJ77" s="13"/>
      <c r="AK77" s="48">
        <v>60</v>
      </c>
      <c r="AL77" s="49">
        <f>資料儲存!D2701</f>
        <v>0</v>
      </c>
      <c r="AM77" s="49">
        <f>資料儲存!E2701</f>
        <v>0</v>
      </c>
      <c r="AN77" s="49">
        <f>資料儲存!F2701</f>
        <v>0</v>
      </c>
      <c r="AO77" s="49">
        <f>資料儲存!G2701</f>
        <v>0</v>
      </c>
      <c r="AP77" s="49">
        <f>資料儲存!H2701</f>
        <v>0</v>
      </c>
      <c r="AQ77" s="49">
        <f>資料儲存!I2701</f>
        <v>0</v>
      </c>
      <c r="AR77" s="49">
        <f>資料儲存!J2701</f>
        <v>0</v>
      </c>
      <c r="AT77" s="48">
        <v>60</v>
      </c>
      <c r="AU77" s="49">
        <f>資料儲存!D2821</f>
        <v>0</v>
      </c>
      <c r="AV77" s="49">
        <f>資料儲存!E2821</f>
        <v>0</v>
      </c>
      <c r="AW77" s="49">
        <f>資料儲存!F2821</f>
        <v>0</v>
      </c>
      <c r="AX77" s="49">
        <f>資料儲存!G2821</f>
        <v>0</v>
      </c>
      <c r="AY77" s="49">
        <f>資料儲存!H2821</f>
        <v>0</v>
      </c>
      <c r="AZ77" s="49">
        <f>資料儲存!I2821</f>
        <v>0</v>
      </c>
      <c r="BA77" s="49">
        <f>資料儲存!J2821</f>
        <v>0</v>
      </c>
    </row>
    <row r="78" spans="1:53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13"/>
      <c r="AK78" s="50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  <c r="AT78" s="50" t="s">
        <v>56</v>
      </c>
      <c r="AU78" s="49">
        <f>SUM(AU63:AX77)</f>
        <v>0</v>
      </c>
      <c r="AV78" s="47"/>
      <c r="AW78" s="47"/>
      <c r="AX78" s="47"/>
      <c r="AY78" s="49">
        <f>AY77</f>
        <v>0</v>
      </c>
      <c r="AZ78" s="49">
        <f>AZ77</f>
        <v>0</v>
      </c>
      <c r="BA78" s="49">
        <f>BA77</f>
        <v>0</v>
      </c>
    </row>
    <row r="79" spans="1:53" ht="18.5" thickBot="1">
      <c r="A79" s="248" t="s">
        <v>167</v>
      </c>
      <c r="B79" s="249"/>
      <c r="C79" s="249"/>
      <c r="D79" s="249"/>
      <c r="E79" s="249"/>
      <c r="F79" s="249"/>
      <c r="G79" s="249"/>
      <c r="H79" s="250"/>
      <c r="I79" s="13"/>
      <c r="J79" s="248" t="s">
        <v>167</v>
      </c>
      <c r="K79" s="249"/>
      <c r="L79" s="249"/>
      <c r="M79" s="249"/>
      <c r="N79" s="249"/>
      <c r="O79" s="249"/>
      <c r="P79" s="249"/>
      <c r="Q79" s="250"/>
      <c r="R79" s="13"/>
      <c r="S79" s="248" t="s">
        <v>167</v>
      </c>
      <c r="T79" s="249"/>
      <c r="U79" s="249"/>
      <c r="V79" s="249"/>
      <c r="W79" s="249"/>
      <c r="X79" s="249"/>
      <c r="Y79" s="249"/>
      <c r="Z79" s="250"/>
      <c r="AA79" s="13"/>
      <c r="AB79" s="248" t="s">
        <v>167</v>
      </c>
      <c r="AC79" s="249"/>
      <c r="AD79" s="249"/>
      <c r="AE79" s="249"/>
      <c r="AF79" s="249"/>
      <c r="AG79" s="249"/>
      <c r="AH79" s="249"/>
      <c r="AI79" s="250"/>
      <c r="AJ79" s="13"/>
      <c r="AK79" s="248" t="s">
        <v>167</v>
      </c>
      <c r="AL79" s="249"/>
      <c r="AM79" s="249"/>
      <c r="AN79" s="249"/>
      <c r="AO79" s="249"/>
      <c r="AP79" s="249"/>
      <c r="AQ79" s="249"/>
      <c r="AR79" s="250"/>
      <c r="AT79" s="248" t="s">
        <v>167</v>
      </c>
      <c r="AU79" s="249"/>
      <c r="AV79" s="249"/>
      <c r="AW79" s="249"/>
      <c r="AX79" s="249"/>
      <c r="AY79" s="249"/>
      <c r="AZ79" s="249"/>
      <c r="BA79" s="250"/>
    </row>
    <row r="80" spans="1:53" ht="17.25" customHeight="1" thickBot="1">
      <c r="A80" s="31" t="s">
        <v>2</v>
      </c>
      <c r="B80" s="32" t="s">
        <v>46</v>
      </c>
      <c r="C80" s="33"/>
      <c r="D80" s="33"/>
      <c r="E80" s="34"/>
      <c r="F80" s="32" t="s">
        <v>47</v>
      </c>
      <c r="G80" s="33"/>
      <c r="H80" s="34"/>
      <c r="I80" s="35"/>
      <c r="J80" s="31" t="s">
        <v>2</v>
      </c>
      <c r="K80" s="32" t="s">
        <v>46</v>
      </c>
      <c r="L80" s="33"/>
      <c r="M80" s="33"/>
      <c r="N80" s="34"/>
      <c r="O80" s="32" t="s">
        <v>47</v>
      </c>
      <c r="P80" s="33"/>
      <c r="Q80" s="34"/>
      <c r="R80" s="35"/>
      <c r="S80" s="31" t="s">
        <v>2</v>
      </c>
      <c r="T80" s="32" t="s">
        <v>46</v>
      </c>
      <c r="U80" s="33"/>
      <c r="V80" s="33"/>
      <c r="W80" s="34"/>
      <c r="X80" s="32" t="s">
        <v>47</v>
      </c>
      <c r="Y80" s="33"/>
      <c r="Z80" s="34"/>
      <c r="AA80" s="35"/>
      <c r="AB80" s="31" t="s">
        <v>2</v>
      </c>
      <c r="AC80" s="32" t="s">
        <v>46</v>
      </c>
      <c r="AD80" s="33"/>
      <c r="AE80" s="33"/>
      <c r="AF80" s="34"/>
      <c r="AG80" s="32" t="s">
        <v>47</v>
      </c>
      <c r="AH80" s="33"/>
      <c r="AI80" s="34"/>
      <c r="AJ80" s="13"/>
      <c r="AK80" s="31" t="s">
        <v>2</v>
      </c>
      <c r="AL80" s="32" t="s">
        <v>46</v>
      </c>
      <c r="AM80" s="33"/>
      <c r="AN80" s="33"/>
      <c r="AO80" s="34"/>
      <c r="AP80" s="32" t="s">
        <v>47</v>
      </c>
      <c r="AQ80" s="33"/>
      <c r="AR80" s="34"/>
      <c r="AT80" s="31" t="s">
        <v>2</v>
      </c>
      <c r="AU80" s="32" t="s">
        <v>46</v>
      </c>
      <c r="AV80" s="33"/>
      <c r="AW80" s="33"/>
      <c r="AX80" s="34"/>
      <c r="AY80" s="32" t="s">
        <v>47</v>
      </c>
      <c r="AZ80" s="33"/>
      <c r="BA80" s="34"/>
    </row>
    <row r="81" spans="1:53" ht="16" thickBot="1">
      <c r="A81" s="36">
        <v>0.54166666666666663</v>
      </c>
      <c r="B81" s="37" t="s">
        <v>49</v>
      </c>
      <c r="C81" s="37" t="s">
        <v>50</v>
      </c>
      <c r="D81" s="37" t="s">
        <v>51</v>
      </c>
      <c r="E81" s="37" t="s">
        <v>52</v>
      </c>
      <c r="F81" s="37" t="s">
        <v>53</v>
      </c>
      <c r="G81" s="37" t="s">
        <v>54</v>
      </c>
      <c r="H81" s="37" t="s">
        <v>55</v>
      </c>
      <c r="I81" s="35"/>
      <c r="J81" s="36">
        <v>0.54166666666666663</v>
      </c>
      <c r="K81" s="37" t="s">
        <v>49</v>
      </c>
      <c r="L81" s="37" t="s">
        <v>50</v>
      </c>
      <c r="M81" s="37" t="s">
        <v>51</v>
      </c>
      <c r="N81" s="37" t="s">
        <v>52</v>
      </c>
      <c r="O81" s="37" t="s">
        <v>53</v>
      </c>
      <c r="P81" s="37" t="s">
        <v>54</v>
      </c>
      <c r="Q81" s="37" t="s">
        <v>55</v>
      </c>
      <c r="R81" s="35"/>
      <c r="S81" s="36">
        <v>0.54166666666666663</v>
      </c>
      <c r="T81" s="37" t="s">
        <v>49</v>
      </c>
      <c r="U81" s="37" t="s">
        <v>50</v>
      </c>
      <c r="V81" s="37" t="s">
        <v>51</v>
      </c>
      <c r="W81" s="37" t="s">
        <v>52</v>
      </c>
      <c r="X81" s="37" t="s">
        <v>53</v>
      </c>
      <c r="Y81" s="37" t="s">
        <v>54</v>
      </c>
      <c r="Z81" s="37" t="s">
        <v>55</v>
      </c>
      <c r="AA81" s="35"/>
      <c r="AB81" s="36">
        <v>0.54166666666666663</v>
      </c>
      <c r="AC81" s="37" t="s">
        <v>49</v>
      </c>
      <c r="AD81" s="37" t="s">
        <v>50</v>
      </c>
      <c r="AE81" s="37" t="s">
        <v>51</v>
      </c>
      <c r="AF81" s="37" t="s">
        <v>52</v>
      </c>
      <c r="AG81" s="37" t="s">
        <v>53</v>
      </c>
      <c r="AH81" s="37" t="s">
        <v>54</v>
      </c>
      <c r="AI81" s="37" t="s">
        <v>55</v>
      </c>
      <c r="AJ81" s="13"/>
      <c r="AK81" s="36">
        <v>0.54166666666666663</v>
      </c>
      <c r="AL81" s="37" t="s">
        <v>49</v>
      </c>
      <c r="AM81" s="37" t="s">
        <v>50</v>
      </c>
      <c r="AN81" s="37" t="s">
        <v>51</v>
      </c>
      <c r="AO81" s="37" t="s">
        <v>52</v>
      </c>
      <c r="AP81" s="37" t="s">
        <v>53</v>
      </c>
      <c r="AQ81" s="37" t="s">
        <v>54</v>
      </c>
      <c r="AR81" s="37" t="s">
        <v>55</v>
      </c>
      <c r="AT81" s="36">
        <v>0.54166666666666663</v>
      </c>
      <c r="AU81" s="37" t="s">
        <v>49</v>
      </c>
      <c r="AV81" s="37" t="s">
        <v>50</v>
      </c>
      <c r="AW81" s="37" t="s">
        <v>51</v>
      </c>
      <c r="AX81" s="37" t="s">
        <v>52</v>
      </c>
      <c r="AY81" s="37" t="s">
        <v>53</v>
      </c>
      <c r="AZ81" s="37" t="s">
        <v>54</v>
      </c>
      <c r="BA81" s="37" t="s">
        <v>55</v>
      </c>
    </row>
    <row r="82" spans="1:53" ht="16" thickBot="1">
      <c r="A82" s="38">
        <v>1</v>
      </c>
      <c r="B82" s="39">
        <f>資料儲存!D2222</f>
        <v>0</v>
      </c>
      <c r="C82" s="39">
        <f>資料儲存!E2222</f>
        <v>0</v>
      </c>
      <c r="D82" s="39">
        <f>資料儲存!F2222</f>
        <v>0</v>
      </c>
      <c r="E82" s="39">
        <f>資料儲存!G2222</f>
        <v>0</v>
      </c>
      <c r="F82" s="39">
        <f>資料儲存!H2222</f>
        <v>0</v>
      </c>
      <c r="G82" s="39">
        <f>資料儲存!I2222</f>
        <v>0</v>
      </c>
      <c r="H82" s="39">
        <f>資料儲存!J2222</f>
        <v>0</v>
      </c>
      <c r="I82" s="35"/>
      <c r="J82" s="38">
        <v>1</v>
      </c>
      <c r="K82" s="39">
        <f>資料儲存!D2342</f>
        <v>0</v>
      </c>
      <c r="L82" s="39">
        <f>資料儲存!E2342</f>
        <v>0</v>
      </c>
      <c r="M82" s="39">
        <f>資料儲存!F2342</f>
        <v>0</v>
      </c>
      <c r="N82" s="39">
        <f>資料儲存!G2342</f>
        <v>0</v>
      </c>
      <c r="O82" s="39">
        <f>資料儲存!H2342</f>
        <v>0</v>
      </c>
      <c r="P82" s="39">
        <f>資料儲存!I2342</f>
        <v>0</v>
      </c>
      <c r="Q82" s="39">
        <f>資料儲存!J2342</f>
        <v>0</v>
      </c>
      <c r="R82" s="35"/>
      <c r="S82" s="38">
        <v>1</v>
      </c>
      <c r="T82" s="39">
        <f>資料儲存!D2462</f>
        <v>0</v>
      </c>
      <c r="U82" s="39">
        <f>資料儲存!E2462</f>
        <v>0</v>
      </c>
      <c r="V82" s="39">
        <f>資料儲存!F2462</f>
        <v>0</v>
      </c>
      <c r="W82" s="39">
        <f>資料儲存!G2462</f>
        <v>0</v>
      </c>
      <c r="X82" s="39">
        <f>資料儲存!H2462</f>
        <v>0</v>
      </c>
      <c r="Y82" s="39">
        <f>資料儲存!I2462</f>
        <v>0</v>
      </c>
      <c r="Z82" s="39">
        <f>資料儲存!J2462</f>
        <v>0</v>
      </c>
      <c r="AA82" s="35"/>
      <c r="AB82" s="38">
        <v>1</v>
      </c>
      <c r="AC82" s="39">
        <f>資料儲存!D2582</f>
        <v>0</v>
      </c>
      <c r="AD82" s="39">
        <f>資料儲存!E2582</f>
        <v>0</v>
      </c>
      <c r="AE82" s="39">
        <f>資料儲存!F2582</f>
        <v>0</v>
      </c>
      <c r="AF82" s="39">
        <f>資料儲存!G2582</f>
        <v>0</v>
      </c>
      <c r="AG82" s="39">
        <f>資料儲存!H2582</f>
        <v>0</v>
      </c>
      <c r="AH82" s="39">
        <f>資料儲存!I2582</f>
        <v>0</v>
      </c>
      <c r="AI82" s="39">
        <f>資料儲存!J2582</f>
        <v>0</v>
      </c>
      <c r="AJ82" s="13"/>
      <c r="AK82" s="38">
        <v>1</v>
      </c>
      <c r="AL82" s="39">
        <f>資料儲存!D2702</f>
        <v>0</v>
      </c>
      <c r="AM82" s="39">
        <f>資料儲存!E2702</f>
        <v>0</v>
      </c>
      <c r="AN82" s="39">
        <f>資料儲存!F2702</f>
        <v>0</v>
      </c>
      <c r="AO82" s="39">
        <f>資料儲存!G2702</f>
        <v>0</v>
      </c>
      <c r="AP82" s="39">
        <f>資料儲存!H2702</f>
        <v>0</v>
      </c>
      <c r="AQ82" s="39">
        <f>資料儲存!I2702</f>
        <v>0</v>
      </c>
      <c r="AR82" s="39">
        <f>資料儲存!J2702</f>
        <v>0</v>
      </c>
      <c r="AT82" s="38">
        <v>1</v>
      </c>
      <c r="AU82" s="39">
        <f>資料儲存!D2822</f>
        <v>0</v>
      </c>
      <c r="AV82" s="39">
        <f>資料儲存!E2822</f>
        <v>0</v>
      </c>
      <c r="AW82" s="39">
        <f>資料儲存!F2822</f>
        <v>0</v>
      </c>
      <c r="AX82" s="39">
        <f>資料儲存!G2822</f>
        <v>0</v>
      </c>
      <c r="AY82" s="39">
        <f>資料儲存!H2822</f>
        <v>0</v>
      </c>
      <c r="AZ82" s="39">
        <f>資料儲存!I2822</f>
        <v>0</v>
      </c>
      <c r="BA82" s="39">
        <f>資料儲存!J2822</f>
        <v>0</v>
      </c>
    </row>
    <row r="83" spans="1:53" ht="16" thickBot="1">
      <c r="A83" s="38">
        <v>2</v>
      </c>
      <c r="B83" s="39">
        <f>資料儲存!D2223</f>
        <v>0</v>
      </c>
      <c r="C83" s="39">
        <f>資料儲存!E2223</f>
        <v>0</v>
      </c>
      <c r="D83" s="39">
        <f>資料儲存!F2223</f>
        <v>0</v>
      </c>
      <c r="E83" s="39">
        <f>資料儲存!G2223</f>
        <v>0</v>
      </c>
      <c r="F83" s="39">
        <f>資料儲存!H2223</f>
        <v>0</v>
      </c>
      <c r="G83" s="39">
        <f>資料儲存!I2223</f>
        <v>0</v>
      </c>
      <c r="H83" s="39">
        <f>資料儲存!J2223</f>
        <v>0</v>
      </c>
      <c r="I83" s="35"/>
      <c r="J83" s="38">
        <v>2</v>
      </c>
      <c r="K83" s="39">
        <f>資料儲存!D2343</f>
        <v>0</v>
      </c>
      <c r="L83" s="39">
        <f>資料儲存!E2343</f>
        <v>0</v>
      </c>
      <c r="M83" s="39">
        <f>資料儲存!F2343</f>
        <v>0</v>
      </c>
      <c r="N83" s="39">
        <f>資料儲存!G2343</f>
        <v>0</v>
      </c>
      <c r="O83" s="39">
        <f>資料儲存!H2343</f>
        <v>0</v>
      </c>
      <c r="P83" s="39">
        <f>資料儲存!I2343</f>
        <v>0</v>
      </c>
      <c r="Q83" s="39">
        <f>資料儲存!J2343</f>
        <v>0</v>
      </c>
      <c r="R83" s="35"/>
      <c r="S83" s="38">
        <v>2</v>
      </c>
      <c r="T83" s="39">
        <f>資料儲存!D2463</f>
        <v>0</v>
      </c>
      <c r="U83" s="39">
        <f>資料儲存!E2463</f>
        <v>0</v>
      </c>
      <c r="V83" s="39">
        <f>資料儲存!F2463</f>
        <v>0</v>
      </c>
      <c r="W83" s="39">
        <f>資料儲存!G2463</f>
        <v>0</v>
      </c>
      <c r="X83" s="39">
        <f>資料儲存!H2463</f>
        <v>0</v>
      </c>
      <c r="Y83" s="39">
        <f>資料儲存!I2463</f>
        <v>0</v>
      </c>
      <c r="Z83" s="39">
        <f>資料儲存!J2463</f>
        <v>0</v>
      </c>
      <c r="AA83" s="35"/>
      <c r="AB83" s="38">
        <v>2</v>
      </c>
      <c r="AC83" s="39">
        <f>資料儲存!D2583</f>
        <v>0</v>
      </c>
      <c r="AD83" s="39">
        <f>資料儲存!E2583</f>
        <v>0</v>
      </c>
      <c r="AE83" s="39">
        <f>資料儲存!F2583</f>
        <v>0</v>
      </c>
      <c r="AF83" s="39">
        <f>資料儲存!G2583</f>
        <v>0</v>
      </c>
      <c r="AG83" s="39">
        <f>資料儲存!H2583</f>
        <v>0</v>
      </c>
      <c r="AH83" s="39">
        <f>資料儲存!I2583</f>
        <v>0</v>
      </c>
      <c r="AI83" s="39">
        <f>資料儲存!J2583</f>
        <v>0</v>
      </c>
      <c r="AJ83" s="13"/>
      <c r="AK83" s="38">
        <v>2</v>
      </c>
      <c r="AL83" s="39">
        <f>資料儲存!D2703</f>
        <v>0</v>
      </c>
      <c r="AM83" s="39">
        <f>資料儲存!E2703</f>
        <v>0</v>
      </c>
      <c r="AN83" s="39">
        <f>資料儲存!F2703</f>
        <v>0</v>
      </c>
      <c r="AO83" s="39">
        <f>資料儲存!G2703</f>
        <v>0</v>
      </c>
      <c r="AP83" s="39">
        <f>資料儲存!H2703</f>
        <v>0</v>
      </c>
      <c r="AQ83" s="39">
        <f>資料儲存!I2703</f>
        <v>0</v>
      </c>
      <c r="AR83" s="39">
        <f>資料儲存!J2703</f>
        <v>0</v>
      </c>
      <c r="AT83" s="38">
        <v>2</v>
      </c>
      <c r="AU83" s="39">
        <f>資料儲存!D2823</f>
        <v>0</v>
      </c>
      <c r="AV83" s="39">
        <f>資料儲存!E2823</f>
        <v>0</v>
      </c>
      <c r="AW83" s="39">
        <f>資料儲存!F2823</f>
        <v>0</v>
      </c>
      <c r="AX83" s="39">
        <f>資料儲存!G2823</f>
        <v>0</v>
      </c>
      <c r="AY83" s="39">
        <f>資料儲存!H2823</f>
        <v>0</v>
      </c>
      <c r="AZ83" s="39">
        <f>資料儲存!I2823</f>
        <v>0</v>
      </c>
      <c r="BA83" s="39">
        <f>資料儲存!J2823</f>
        <v>0</v>
      </c>
    </row>
    <row r="84" spans="1:53" ht="16" thickBot="1">
      <c r="A84" s="38">
        <v>3</v>
      </c>
      <c r="B84" s="39">
        <f>資料儲存!D2224</f>
        <v>0</v>
      </c>
      <c r="C84" s="39">
        <f>資料儲存!E2224</f>
        <v>0</v>
      </c>
      <c r="D84" s="39">
        <f>資料儲存!F2224</f>
        <v>0</v>
      </c>
      <c r="E84" s="39">
        <f>資料儲存!G2224</f>
        <v>0</v>
      </c>
      <c r="F84" s="39">
        <f>資料儲存!H2224</f>
        <v>0</v>
      </c>
      <c r="G84" s="39">
        <f>資料儲存!I2224</f>
        <v>0</v>
      </c>
      <c r="H84" s="39">
        <f>資料儲存!J2224</f>
        <v>0</v>
      </c>
      <c r="I84" s="35"/>
      <c r="J84" s="38">
        <v>3</v>
      </c>
      <c r="K84" s="39">
        <f>資料儲存!D2344</f>
        <v>0</v>
      </c>
      <c r="L84" s="39">
        <f>資料儲存!E2344</f>
        <v>0</v>
      </c>
      <c r="M84" s="39">
        <f>資料儲存!F2344</f>
        <v>0</v>
      </c>
      <c r="N84" s="39">
        <f>資料儲存!G2344</f>
        <v>0</v>
      </c>
      <c r="O84" s="39">
        <f>資料儲存!H2344</f>
        <v>0</v>
      </c>
      <c r="P84" s="39">
        <f>資料儲存!I2344</f>
        <v>0</v>
      </c>
      <c r="Q84" s="39">
        <f>資料儲存!J2344</f>
        <v>0</v>
      </c>
      <c r="R84" s="35"/>
      <c r="S84" s="38">
        <v>3</v>
      </c>
      <c r="T84" s="39">
        <f>資料儲存!D2464</f>
        <v>0</v>
      </c>
      <c r="U84" s="39">
        <f>資料儲存!E2464</f>
        <v>0</v>
      </c>
      <c r="V84" s="39">
        <f>資料儲存!F2464</f>
        <v>0</v>
      </c>
      <c r="W84" s="39">
        <f>資料儲存!G2464</f>
        <v>0</v>
      </c>
      <c r="X84" s="39">
        <f>資料儲存!H2464</f>
        <v>0</v>
      </c>
      <c r="Y84" s="39">
        <f>資料儲存!I2464</f>
        <v>0</v>
      </c>
      <c r="Z84" s="39">
        <f>資料儲存!J2464</f>
        <v>0</v>
      </c>
      <c r="AA84" s="35"/>
      <c r="AB84" s="38">
        <v>3</v>
      </c>
      <c r="AC84" s="39">
        <f>資料儲存!D2584</f>
        <v>0</v>
      </c>
      <c r="AD84" s="39">
        <f>資料儲存!E2584</f>
        <v>0</v>
      </c>
      <c r="AE84" s="39">
        <f>資料儲存!F2584</f>
        <v>0</v>
      </c>
      <c r="AF84" s="39">
        <f>資料儲存!G2584</f>
        <v>0</v>
      </c>
      <c r="AG84" s="39">
        <f>資料儲存!H2584</f>
        <v>0</v>
      </c>
      <c r="AH84" s="39">
        <f>資料儲存!I2584</f>
        <v>0</v>
      </c>
      <c r="AI84" s="39">
        <f>資料儲存!J2584</f>
        <v>0</v>
      </c>
      <c r="AJ84" s="13"/>
      <c r="AK84" s="38">
        <v>3</v>
      </c>
      <c r="AL84" s="39">
        <f>資料儲存!D2704</f>
        <v>0</v>
      </c>
      <c r="AM84" s="39">
        <f>資料儲存!E2704</f>
        <v>0</v>
      </c>
      <c r="AN84" s="39">
        <f>資料儲存!F2704</f>
        <v>0</v>
      </c>
      <c r="AO84" s="39">
        <f>資料儲存!G2704</f>
        <v>0</v>
      </c>
      <c r="AP84" s="39">
        <f>資料儲存!H2704</f>
        <v>0</v>
      </c>
      <c r="AQ84" s="39">
        <f>資料儲存!I2704</f>
        <v>0</v>
      </c>
      <c r="AR84" s="39">
        <f>資料儲存!J2704</f>
        <v>0</v>
      </c>
      <c r="AT84" s="38">
        <v>3</v>
      </c>
      <c r="AU84" s="39">
        <f>資料儲存!D2824</f>
        <v>0</v>
      </c>
      <c r="AV84" s="39">
        <f>資料儲存!E2824</f>
        <v>0</v>
      </c>
      <c r="AW84" s="39">
        <f>資料儲存!F2824</f>
        <v>0</v>
      </c>
      <c r="AX84" s="39">
        <f>資料儲存!G2824</f>
        <v>0</v>
      </c>
      <c r="AY84" s="39">
        <f>資料儲存!H2824</f>
        <v>0</v>
      </c>
      <c r="AZ84" s="39">
        <f>資料儲存!I2824</f>
        <v>0</v>
      </c>
      <c r="BA84" s="39">
        <f>資料儲存!J2824</f>
        <v>0</v>
      </c>
    </row>
    <row r="85" spans="1:53" ht="16" thickBot="1">
      <c r="A85" s="38">
        <v>4</v>
      </c>
      <c r="B85" s="39">
        <f>資料儲存!D2225</f>
        <v>0</v>
      </c>
      <c r="C85" s="39">
        <f>資料儲存!E2225</f>
        <v>0</v>
      </c>
      <c r="D85" s="39">
        <f>資料儲存!F2225</f>
        <v>0</v>
      </c>
      <c r="E85" s="39">
        <f>資料儲存!G2225</f>
        <v>0</v>
      </c>
      <c r="F85" s="39">
        <f>資料儲存!H2225</f>
        <v>0</v>
      </c>
      <c r="G85" s="39">
        <f>資料儲存!I2225</f>
        <v>0</v>
      </c>
      <c r="H85" s="39">
        <f>資料儲存!J2225</f>
        <v>0</v>
      </c>
      <c r="I85" s="35"/>
      <c r="J85" s="38">
        <v>4</v>
      </c>
      <c r="K85" s="39">
        <f>資料儲存!D2345</f>
        <v>0</v>
      </c>
      <c r="L85" s="39">
        <f>資料儲存!E2345</f>
        <v>0</v>
      </c>
      <c r="M85" s="39">
        <f>資料儲存!F2345</f>
        <v>0</v>
      </c>
      <c r="N85" s="39">
        <f>資料儲存!G2345</f>
        <v>0</v>
      </c>
      <c r="O85" s="39">
        <f>資料儲存!H2345</f>
        <v>0</v>
      </c>
      <c r="P85" s="39">
        <f>資料儲存!I2345</f>
        <v>0</v>
      </c>
      <c r="Q85" s="39">
        <f>資料儲存!J2345</f>
        <v>0</v>
      </c>
      <c r="R85" s="35"/>
      <c r="S85" s="38">
        <v>4</v>
      </c>
      <c r="T85" s="39">
        <f>資料儲存!D2465</f>
        <v>0</v>
      </c>
      <c r="U85" s="39">
        <f>資料儲存!E2465</f>
        <v>0</v>
      </c>
      <c r="V85" s="39">
        <f>資料儲存!F2465</f>
        <v>0</v>
      </c>
      <c r="W85" s="39">
        <f>資料儲存!G2465</f>
        <v>0</v>
      </c>
      <c r="X85" s="39">
        <f>資料儲存!H2465</f>
        <v>0</v>
      </c>
      <c r="Y85" s="39">
        <f>資料儲存!I2465</f>
        <v>0</v>
      </c>
      <c r="Z85" s="39">
        <f>資料儲存!J2465</f>
        <v>0</v>
      </c>
      <c r="AA85" s="35"/>
      <c r="AB85" s="38">
        <v>4</v>
      </c>
      <c r="AC85" s="39">
        <f>資料儲存!D2585</f>
        <v>0</v>
      </c>
      <c r="AD85" s="39">
        <f>資料儲存!E2585</f>
        <v>0</v>
      </c>
      <c r="AE85" s="39">
        <f>資料儲存!F2585</f>
        <v>0</v>
      </c>
      <c r="AF85" s="39">
        <f>資料儲存!G2585</f>
        <v>0</v>
      </c>
      <c r="AG85" s="39">
        <f>資料儲存!H2585</f>
        <v>0</v>
      </c>
      <c r="AH85" s="39">
        <f>資料儲存!I2585</f>
        <v>0</v>
      </c>
      <c r="AI85" s="39">
        <f>資料儲存!J2585</f>
        <v>0</v>
      </c>
      <c r="AJ85" s="13"/>
      <c r="AK85" s="38">
        <v>4</v>
      </c>
      <c r="AL85" s="39">
        <f>資料儲存!D2705</f>
        <v>0</v>
      </c>
      <c r="AM85" s="39">
        <f>資料儲存!E2705</f>
        <v>0</v>
      </c>
      <c r="AN85" s="39">
        <f>資料儲存!F2705</f>
        <v>0</v>
      </c>
      <c r="AO85" s="39">
        <f>資料儲存!G2705</f>
        <v>0</v>
      </c>
      <c r="AP85" s="39">
        <f>資料儲存!H2705</f>
        <v>0</v>
      </c>
      <c r="AQ85" s="39">
        <f>資料儲存!I2705</f>
        <v>0</v>
      </c>
      <c r="AR85" s="39">
        <f>資料儲存!J2705</f>
        <v>0</v>
      </c>
      <c r="AT85" s="38">
        <v>4</v>
      </c>
      <c r="AU85" s="39">
        <f>資料儲存!D2825</f>
        <v>0</v>
      </c>
      <c r="AV85" s="39">
        <f>資料儲存!E2825</f>
        <v>0</v>
      </c>
      <c r="AW85" s="39">
        <f>資料儲存!F2825</f>
        <v>0</v>
      </c>
      <c r="AX85" s="39">
        <f>資料儲存!G2825</f>
        <v>0</v>
      </c>
      <c r="AY85" s="39">
        <f>資料儲存!H2825</f>
        <v>0</v>
      </c>
      <c r="AZ85" s="39">
        <f>資料儲存!I2825</f>
        <v>0</v>
      </c>
      <c r="BA85" s="39">
        <f>資料儲存!J2825</f>
        <v>0</v>
      </c>
    </row>
    <row r="86" spans="1:53" ht="16" thickBot="1">
      <c r="A86" s="38">
        <v>5</v>
      </c>
      <c r="B86" s="39">
        <f>資料儲存!D2226</f>
        <v>0</v>
      </c>
      <c r="C86" s="39">
        <f>資料儲存!E2226</f>
        <v>0</v>
      </c>
      <c r="D86" s="39">
        <f>資料儲存!F2226</f>
        <v>0</v>
      </c>
      <c r="E86" s="39">
        <f>資料儲存!G2226</f>
        <v>0</v>
      </c>
      <c r="F86" s="39">
        <f>資料儲存!H2226</f>
        <v>0</v>
      </c>
      <c r="G86" s="39">
        <f>資料儲存!I2226</f>
        <v>0</v>
      </c>
      <c r="H86" s="39">
        <f>資料儲存!J2226</f>
        <v>0</v>
      </c>
      <c r="I86" s="35"/>
      <c r="J86" s="38">
        <v>5</v>
      </c>
      <c r="K86" s="39">
        <f>資料儲存!D2346</f>
        <v>0</v>
      </c>
      <c r="L86" s="39">
        <f>資料儲存!E2346</f>
        <v>0</v>
      </c>
      <c r="M86" s="39">
        <f>資料儲存!F2346</f>
        <v>0</v>
      </c>
      <c r="N86" s="39">
        <f>資料儲存!G2346</f>
        <v>0</v>
      </c>
      <c r="O86" s="39">
        <f>資料儲存!H2346</f>
        <v>0</v>
      </c>
      <c r="P86" s="39">
        <f>資料儲存!I2346</f>
        <v>0</v>
      </c>
      <c r="Q86" s="39">
        <f>資料儲存!J2346</f>
        <v>0</v>
      </c>
      <c r="R86" s="35"/>
      <c r="S86" s="38">
        <v>5</v>
      </c>
      <c r="T86" s="39">
        <f>資料儲存!D2466</f>
        <v>0</v>
      </c>
      <c r="U86" s="39">
        <f>資料儲存!E2466</f>
        <v>0</v>
      </c>
      <c r="V86" s="39">
        <f>資料儲存!F2466</f>
        <v>0</v>
      </c>
      <c r="W86" s="39">
        <f>資料儲存!G2466</f>
        <v>0</v>
      </c>
      <c r="X86" s="39">
        <f>資料儲存!H2466</f>
        <v>0</v>
      </c>
      <c r="Y86" s="39">
        <f>資料儲存!I2466</f>
        <v>0</v>
      </c>
      <c r="Z86" s="39">
        <f>資料儲存!J2466</f>
        <v>0</v>
      </c>
      <c r="AA86" s="35"/>
      <c r="AB86" s="38">
        <v>5</v>
      </c>
      <c r="AC86" s="39">
        <f>資料儲存!D2586</f>
        <v>0</v>
      </c>
      <c r="AD86" s="39">
        <f>資料儲存!E2586</f>
        <v>0</v>
      </c>
      <c r="AE86" s="39">
        <f>資料儲存!F2586</f>
        <v>0</v>
      </c>
      <c r="AF86" s="39">
        <f>資料儲存!G2586</f>
        <v>0</v>
      </c>
      <c r="AG86" s="39">
        <f>資料儲存!H2586</f>
        <v>0</v>
      </c>
      <c r="AH86" s="39">
        <f>資料儲存!I2586</f>
        <v>0</v>
      </c>
      <c r="AI86" s="39">
        <f>資料儲存!J2586</f>
        <v>0</v>
      </c>
      <c r="AJ86" s="13"/>
      <c r="AK86" s="38">
        <v>5</v>
      </c>
      <c r="AL86" s="39">
        <f>資料儲存!D2706</f>
        <v>0</v>
      </c>
      <c r="AM86" s="39">
        <f>資料儲存!E2706</f>
        <v>0</v>
      </c>
      <c r="AN86" s="39">
        <f>資料儲存!F2706</f>
        <v>0</v>
      </c>
      <c r="AO86" s="39">
        <f>資料儲存!G2706</f>
        <v>0</v>
      </c>
      <c r="AP86" s="39">
        <f>資料儲存!H2706</f>
        <v>0</v>
      </c>
      <c r="AQ86" s="39">
        <f>資料儲存!I2706</f>
        <v>0</v>
      </c>
      <c r="AR86" s="39">
        <f>資料儲存!J2706</f>
        <v>0</v>
      </c>
      <c r="AT86" s="38">
        <v>5</v>
      </c>
      <c r="AU86" s="39">
        <f>資料儲存!D2826</f>
        <v>0</v>
      </c>
      <c r="AV86" s="39">
        <f>資料儲存!E2826</f>
        <v>0</v>
      </c>
      <c r="AW86" s="39">
        <f>資料儲存!F2826</f>
        <v>0</v>
      </c>
      <c r="AX86" s="39">
        <f>資料儲存!G2826</f>
        <v>0</v>
      </c>
      <c r="AY86" s="39">
        <f>資料儲存!H2826</f>
        <v>0</v>
      </c>
      <c r="AZ86" s="39">
        <f>資料儲存!I2826</f>
        <v>0</v>
      </c>
      <c r="BA86" s="39">
        <f>資料儲存!J2826</f>
        <v>0</v>
      </c>
    </row>
    <row r="87" spans="1:53" ht="16" thickBot="1">
      <c r="A87" s="38">
        <v>6</v>
      </c>
      <c r="B87" s="39">
        <f>資料儲存!D2227</f>
        <v>0</v>
      </c>
      <c r="C87" s="39">
        <f>資料儲存!E2227</f>
        <v>0</v>
      </c>
      <c r="D87" s="39">
        <f>資料儲存!F2227</f>
        <v>0</v>
      </c>
      <c r="E87" s="39">
        <f>資料儲存!G2227</f>
        <v>0</v>
      </c>
      <c r="F87" s="39">
        <f>資料儲存!H2227</f>
        <v>0</v>
      </c>
      <c r="G87" s="39">
        <f>資料儲存!I2227</f>
        <v>0</v>
      </c>
      <c r="H87" s="39">
        <f>資料儲存!J2227</f>
        <v>0</v>
      </c>
      <c r="I87" s="35"/>
      <c r="J87" s="38">
        <v>6</v>
      </c>
      <c r="K87" s="39">
        <f>資料儲存!D2347</f>
        <v>0</v>
      </c>
      <c r="L87" s="39">
        <f>資料儲存!E2347</f>
        <v>0</v>
      </c>
      <c r="M87" s="39">
        <f>資料儲存!F2347</f>
        <v>0</v>
      </c>
      <c r="N87" s="39">
        <f>資料儲存!G2347</f>
        <v>0</v>
      </c>
      <c r="O87" s="39">
        <f>資料儲存!H2347</f>
        <v>0</v>
      </c>
      <c r="P87" s="39">
        <f>資料儲存!I2347</f>
        <v>0</v>
      </c>
      <c r="Q87" s="39">
        <f>資料儲存!J2347</f>
        <v>0</v>
      </c>
      <c r="R87" s="35"/>
      <c r="S87" s="38">
        <v>6</v>
      </c>
      <c r="T87" s="39">
        <f>資料儲存!D2467</f>
        <v>0</v>
      </c>
      <c r="U87" s="39">
        <f>資料儲存!E2467</f>
        <v>0</v>
      </c>
      <c r="V87" s="39">
        <f>資料儲存!F2467</f>
        <v>0</v>
      </c>
      <c r="W87" s="39">
        <f>資料儲存!G2467</f>
        <v>0</v>
      </c>
      <c r="X87" s="39">
        <f>資料儲存!H2467</f>
        <v>0</v>
      </c>
      <c r="Y87" s="39">
        <f>資料儲存!I2467</f>
        <v>0</v>
      </c>
      <c r="Z87" s="39">
        <f>資料儲存!J2467</f>
        <v>0</v>
      </c>
      <c r="AA87" s="35"/>
      <c r="AB87" s="38">
        <v>6</v>
      </c>
      <c r="AC87" s="39">
        <f>資料儲存!D2587</f>
        <v>0</v>
      </c>
      <c r="AD87" s="39">
        <f>資料儲存!E2587</f>
        <v>0</v>
      </c>
      <c r="AE87" s="39">
        <f>資料儲存!F2587</f>
        <v>0</v>
      </c>
      <c r="AF87" s="39">
        <f>資料儲存!G2587</f>
        <v>0</v>
      </c>
      <c r="AG87" s="39">
        <f>資料儲存!H2587</f>
        <v>0</v>
      </c>
      <c r="AH87" s="39">
        <f>資料儲存!I2587</f>
        <v>0</v>
      </c>
      <c r="AI87" s="39">
        <f>資料儲存!J2587</f>
        <v>0</v>
      </c>
      <c r="AJ87" s="13"/>
      <c r="AK87" s="38">
        <v>6</v>
      </c>
      <c r="AL87" s="39">
        <f>資料儲存!D2707</f>
        <v>0</v>
      </c>
      <c r="AM87" s="39">
        <f>資料儲存!E2707</f>
        <v>0</v>
      </c>
      <c r="AN87" s="39">
        <f>資料儲存!F2707</f>
        <v>0</v>
      </c>
      <c r="AO87" s="39">
        <f>資料儲存!G2707</f>
        <v>0</v>
      </c>
      <c r="AP87" s="39">
        <f>資料儲存!H2707</f>
        <v>0</v>
      </c>
      <c r="AQ87" s="39">
        <f>資料儲存!I2707</f>
        <v>0</v>
      </c>
      <c r="AR87" s="39">
        <f>資料儲存!J2707</f>
        <v>0</v>
      </c>
      <c r="AT87" s="38">
        <v>6</v>
      </c>
      <c r="AU87" s="39">
        <f>資料儲存!D2827</f>
        <v>0</v>
      </c>
      <c r="AV87" s="39">
        <f>資料儲存!E2827</f>
        <v>0</v>
      </c>
      <c r="AW87" s="39">
        <f>資料儲存!F2827</f>
        <v>0</v>
      </c>
      <c r="AX87" s="39">
        <f>資料儲存!G2827</f>
        <v>0</v>
      </c>
      <c r="AY87" s="39">
        <f>資料儲存!H2827</f>
        <v>0</v>
      </c>
      <c r="AZ87" s="39">
        <f>資料儲存!I2827</f>
        <v>0</v>
      </c>
      <c r="BA87" s="39">
        <f>資料儲存!J2827</f>
        <v>0</v>
      </c>
    </row>
    <row r="88" spans="1:53" ht="16" thickBot="1">
      <c r="A88" s="38">
        <v>7</v>
      </c>
      <c r="B88" s="39">
        <f>資料儲存!D2228</f>
        <v>0</v>
      </c>
      <c r="C88" s="39">
        <f>資料儲存!E2228</f>
        <v>0</v>
      </c>
      <c r="D88" s="39">
        <f>資料儲存!F2228</f>
        <v>0</v>
      </c>
      <c r="E88" s="39">
        <f>資料儲存!G2228</f>
        <v>0</v>
      </c>
      <c r="F88" s="39">
        <f>資料儲存!H2228</f>
        <v>0</v>
      </c>
      <c r="G88" s="39">
        <f>資料儲存!I2228</f>
        <v>0</v>
      </c>
      <c r="H88" s="39">
        <f>資料儲存!J2228</f>
        <v>0</v>
      </c>
      <c r="I88" s="35"/>
      <c r="J88" s="38">
        <v>7</v>
      </c>
      <c r="K88" s="39">
        <f>資料儲存!D2348</f>
        <v>0</v>
      </c>
      <c r="L88" s="39">
        <f>資料儲存!E2348</f>
        <v>0</v>
      </c>
      <c r="M88" s="39">
        <f>資料儲存!F2348</f>
        <v>0</v>
      </c>
      <c r="N88" s="39">
        <f>資料儲存!G2348</f>
        <v>0</v>
      </c>
      <c r="O88" s="39">
        <f>資料儲存!H2348</f>
        <v>0</v>
      </c>
      <c r="P88" s="39">
        <f>資料儲存!I2348</f>
        <v>0</v>
      </c>
      <c r="Q88" s="39">
        <f>資料儲存!J2348</f>
        <v>0</v>
      </c>
      <c r="R88" s="35"/>
      <c r="S88" s="38">
        <v>7</v>
      </c>
      <c r="T88" s="39">
        <f>資料儲存!D2468</f>
        <v>0</v>
      </c>
      <c r="U88" s="39">
        <f>資料儲存!E2468</f>
        <v>0</v>
      </c>
      <c r="V88" s="39">
        <f>資料儲存!F2468</f>
        <v>0</v>
      </c>
      <c r="W88" s="39">
        <f>資料儲存!G2468</f>
        <v>0</v>
      </c>
      <c r="X88" s="39">
        <f>資料儲存!H2468</f>
        <v>0</v>
      </c>
      <c r="Y88" s="39">
        <f>資料儲存!I2468</f>
        <v>0</v>
      </c>
      <c r="Z88" s="39">
        <f>資料儲存!J2468</f>
        <v>0</v>
      </c>
      <c r="AA88" s="35"/>
      <c r="AB88" s="38">
        <v>7</v>
      </c>
      <c r="AC88" s="39">
        <f>資料儲存!D2588</f>
        <v>0</v>
      </c>
      <c r="AD88" s="39">
        <f>資料儲存!E2588</f>
        <v>0</v>
      </c>
      <c r="AE88" s="39">
        <f>資料儲存!F2588</f>
        <v>0</v>
      </c>
      <c r="AF88" s="39">
        <f>資料儲存!G2588</f>
        <v>0</v>
      </c>
      <c r="AG88" s="39">
        <f>資料儲存!H2588</f>
        <v>0</v>
      </c>
      <c r="AH88" s="39">
        <f>資料儲存!I2588</f>
        <v>0</v>
      </c>
      <c r="AI88" s="39">
        <f>資料儲存!J2588</f>
        <v>0</v>
      </c>
      <c r="AJ88" s="13"/>
      <c r="AK88" s="38">
        <v>7</v>
      </c>
      <c r="AL88" s="39">
        <f>資料儲存!D2708</f>
        <v>0</v>
      </c>
      <c r="AM88" s="39">
        <f>資料儲存!E2708</f>
        <v>0</v>
      </c>
      <c r="AN88" s="39">
        <f>資料儲存!F2708</f>
        <v>0</v>
      </c>
      <c r="AO88" s="39">
        <f>資料儲存!G2708</f>
        <v>0</v>
      </c>
      <c r="AP88" s="39">
        <f>資料儲存!H2708</f>
        <v>0</v>
      </c>
      <c r="AQ88" s="39">
        <f>資料儲存!I2708</f>
        <v>0</v>
      </c>
      <c r="AR88" s="39">
        <f>資料儲存!J2708</f>
        <v>0</v>
      </c>
      <c r="AT88" s="38">
        <v>7</v>
      </c>
      <c r="AU88" s="39">
        <f>資料儲存!D2828</f>
        <v>0</v>
      </c>
      <c r="AV88" s="39">
        <f>資料儲存!E2828</f>
        <v>0</v>
      </c>
      <c r="AW88" s="39">
        <f>資料儲存!F2828</f>
        <v>0</v>
      </c>
      <c r="AX88" s="39">
        <f>資料儲存!G2828</f>
        <v>0</v>
      </c>
      <c r="AY88" s="39">
        <f>資料儲存!H2828</f>
        <v>0</v>
      </c>
      <c r="AZ88" s="39">
        <f>資料儲存!I2828</f>
        <v>0</v>
      </c>
      <c r="BA88" s="39">
        <f>資料儲存!J2828</f>
        <v>0</v>
      </c>
    </row>
    <row r="89" spans="1:53" ht="16" thickBot="1">
      <c r="A89" s="38">
        <v>8</v>
      </c>
      <c r="B89" s="39">
        <f>資料儲存!D2229</f>
        <v>0</v>
      </c>
      <c r="C89" s="39">
        <f>資料儲存!E2229</f>
        <v>0</v>
      </c>
      <c r="D89" s="39">
        <f>資料儲存!F2229</f>
        <v>0</v>
      </c>
      <c r="E89" s="39">
        <f>資料儲存!G2229</f>
        <v>0</v>
      </c>
      <c r="F89" s="39">
        <f>資料儲存!H2229</f>
        <v>0</v>
      </c>
      <c r="G89" s="39">
        <f>資料儲存!I2229</f>
        <v>0</v>
      </c>
      <c r="H89" s="39">
        <f>資料儲存!J2229</f>
        <v>0</v>
      </c>
      <c r="I89" s="35"/>
      <c r="J89" s="38">
        <v>8</v>
      </c>
      <c r="K89" s="39">
        <f>資料儲存!D2349</f>
        <v>0</v>
      </c>
      <c r="L89" s="39">
        <f>資料儲存!E2349</f>
        <v>0</v>
      </c>
      <c r="M89" s="39">
        <f>資料儲存!F2349</f>
        <v>0</v>
      </c>
      <c r="N89" s="39">
        <f>資料儲存!G2349</f>
        <v>0</v>
      </c>
      <c r="O89" s="39">
        <f>資料儲存!H2349</f>
        <v>0</v>
      </c>
      <c r="P89" s="39">
        <f>資料儲存!I2349</f>
        <v>0</v>
      </c>
      <c r="Q89" s="39">
        <f>資料儲存!J2349</f>
        <v>0</v>
      </c>
      <c r="R89" s="35"/>
      <c r="S89" s="38">
        <v>8</v>
      </c>
      <c r="T89" s="39">
        <f>資料儲存!D2469</f>
        <v>0</v>
      </c>
      <c r="U89" s="39">
        <f>資料儲存!E2469</f>
        <v>0</v>
      </c>
      <c r="V89" s="39">
        <f>資料儲存!F2469</f>
        <v>0</v>
      </c>
      <c r="W89" s="39">
        <f>資料儲存!G2469</f>
        <v>0</v>
      </c>
      <c r="X89" s="39">
        <f>資料儲存!H2469</f>
        <v>0</v>
      </c>
      <c r="Y89" s="39">
        <f>資料儲存!I2469</f>
        <v>0</v>
      </c>
      <c r="Z89" s="39">
        <f>資料儲存!J2469</f>
        <v>0</v>
      </c>
      <c r="AA89" s="35"/>
      <c r="AB89" s="38">
        <v>8</v>
      </c>
      <c r="AC89" s="39">
        <f>資料儲存!D2589</f>
        <v>0</v>
      </c>
      <c r="AD89" s="39">
        <f>資料儲存!E2589</f>
        <v>0</v>
      </c>
      <c r="AE89" s="39">
        <f>資料儲存!F2589</f>
        <v>0</v>
      </c>
      <c r="AF89" s="39">
        <f>資料儲存!G2589</f>
        <v>0</v>
      </c>
      <c r="AG89" s="39">
        <f>資料儲存!H2589</f>
        <v>0</v>
      </c>
      <c r="AH89" s="39">
        <f>資料儲存!I2589</f>
        <v>0</v>
      </c>
      <c r="AI89" s="39">
        <f>資料儲存!J2589</f>
        <v>0</v>
      </c>
      <c r="AJ89" s="13"/>
      <c r="AK89" s="38">
        <v>8</v>
      </c>
      <c r="AL89" s="39">
        <f>資料儲存!D2709</f>
        <v>0</v>
      </c>
      <c r="AM89" s="39">
        <f>資料儲存!E2709</f>
        <v>0</v>
      </c>
      <c r="AN89" s="39">
        <f>資料儲存!F2709</f>
        <v>0</v>
      </c>
      <c r="AO89" s="39">
        <f>資料儲存!G2709</f>
        <v>0</v>
      </c>
      <c r="AP89" s="39">
        <f>資料儲存!H2709</f>
        <v>0</v>
      </c>
      <c r="AQ89" s="39">
        <f>資料儲存!I2709</f>
        <v>0</v>
      </c>
      <c r="AR89" s="39">
        <f>資料儲存!J2709</f>
        <v>0</v>
      </c>
      <c r="AT89" s="38">
        <v>8</v>
      </c>
      <c r="AU89" s="39">
        <f>資料儲存!D2829</f>
        <v>0</v>
      </c>
      <c r="AV89" s="39">
        <f>資料儲存!E2829</f>
        <v>0</v>
      </c>
      <c r="AW89" s="39">
        <f>資料儲存!F2829</f>
        <v>0</v>
      </c>
      <c r="AX89" s="39">
        <f>資料儲存!G2829</f>
        <v>0</v>
      </c>
      <c r="AY89" s="39">
        <f>資料儲存!H2829</f>
        <v>0</v>
      </c>
      <c r="AZ89" s="39">
        <f>資料儲存!I2829</f>
        <v>0</v>
      </c>
      <c r="BA89" s="39">
        <f>資料儲存!J2829</f>
        <v>0</v>
      </c>
    </row>
    <row r="90" spans="1:53" ht="16" thickBot="1">
      <c r="A90" s="38">
        <v>9</v>
      </c>
      <c r="B90" s="39">
        <f>資料儲存!D2230</f>
        <v>0</v>
      </c>
      <c r="C90" s="39">
        <f>資料儲存!E2230</f>
        <v>0</v>
      </c>
      <c r="D90" s="39">
        <f>資料儲存!F2230</f>
        <v>0</v>
      </c>
      <c r="E90" s="39">
        <f>資料儲存!G2230</f>
        <v>0</v>
      </c>
      <c r="F90" s="39">
        <f>資料儲存!H2230</f>
        <v>0</v>
      </c>
      <c r="G90" s="39">
        <f>資料儲存!I2230</f>
        <v>0</v>
      </c>
      <c r="H90" s="39">
        <f>資料儲存!J2230</f>
        <v>0</v>
      </c>
      <c r="I90" s="35"/>
      <c r="J90" s="38">
        <v>9</v>
      </c>
      <c r="K90" s="39">
        <f>資料儲存!D2350</f>
        <v>0</v>
      </c>
      <c r="L90" s="39">
        <f>資料儲存!E2350</f>
        <v>0</v>
      </c>
      <c r="M90" s="39">
        <f>資料儲存!F2350</f>
        <v>0</v>
      </c>
      <c r="N90" s="39">
        <f>資料儲存!G2350</f>
        <v>0</v>
      </c>
      <c r="O90" s="39">
        <f>資料儲存!H2350</f>
        <v>0</v>
      </c>
      <c r="P90" s="39">
        <f>資料儲存!I2350</f>
        <v>0</v>
      </c>
      <c r="Q90" s="39">
        <f>資料儲存!J2350</f>
        <v>0</v>
      </c>
      <c r="R90" s="35"/>
      <c r="S90" s="38">
        <v>9</v>
      </c>
      <c r="T90" s="39">
        <f>資料儲存!D2470</f>
        <v>0</v>
      </c>
      <c r="U90" s="39">
        <f>資料儲存!E2470</f>
        <v>0</v>
      </c>
      <c r="V90" s="39">
        <f>資料儲存!F2470</f>
        <v>0</v>
      </c>
      <c r="W90" s="39">
        <f>資料儲存!G2470</f>
        <v>0</v>
      </c>
      <c r="X90" s="39">
        <f>資料儲存!H2470</f>
        <v>0</v>
      </c>
      <c r="Y90" s="39">
        <f>資料儲存!I2470</f>
        <v>0</v>
      </c>
      <c r="Z90" s="39">
        <f>資料儲存!J2470</f>
        <v>0</v>
      </c>
      <c r="AA90" s="35"/>
      <c r="AB90" s="38">
        <v>9</v>
      </c>
      <c r="AC90" s="39">
        <f>資料儲存!D2590</f>
        <v>0</v>
      </c>
      <c r="AD90" s="39">
        <f>資料儲存!E2590</f>
        <v>0</v>
      </c>
      <c r="AE90" s="39">
        <f>資料儲存!F2590</f>
        <v>0</v>
      </c>
      <c r="AF90" s="39">
        <f>資料儲存!G2590</f>
        <v>0</v>
      </c>
      <c r="AG90" s="39">
        <f>資料儲存!H2590</f>
        <v>0</v>
      </c>
      <c r="AH90" s="39">
        <f>資料儲存!I2590</f>
        <v>0</v>
      </c>
      <c r="AI90" s="39">
        <f>資料儲存!J2590</f>
        <v>0</v>
      </c>
      <c r="AJ90" s="13"/>
      <c r="AK90" s="38">
        <v>9</v>
      </c>
      <c r="AL90" s="39">
        <f>資料儲存!D2710</f>
        <v>0</v>
      </c>
      <c r="AM90" s="39">
        <f>資料儲存!E2710</f>
        <v>0</v>
      </c>
      <c r="AN90" s="39">
        <f>資料儲存!F2710</f>
        <v>0</v>
      </c>
      <c r="AO90" s="39">
        <f>資料儲存!G2710</f>
        <v>0</v>
      </c>
      <c r="AP90" s="39">
        <f>資料儲存!H2710</f>
        <v>0</v>
      </c>
      <c r="AQ90" s="39">
        <f>資料儲存!I2710</f>
        <v>0</v>
      </c>
      <c r="AR90" s="39">
        <f>資料儲存!J2710</f>
        <v>0</v>
      </c>
      <c r="AT90" s="38">
        <v>9</v>
      </c>
      <c r="AU90" s="39">
        <f>資料儲存!D2830</f>
        <v>0</v>
      </c>
      <c r="AV90" s="39">
        <f>資料儲存!E2830</f>
        <v>0</v>
      </c>
      <c r="AW90" s="39">
        <f>資料儲存!F2830</f>
        <v>0</v>
      </c>
      <c r="AX90" s="39">
        <f>資料儲存!G2830</f>
        <v>0</v>
      </c>
      <c r="AY90" s="39">
        <f>資料儲存!H2830</f>
        <v>0</v>
      </c>
      <c r="AZ90" s="39">
        <f>資料儲存!I2830</f>
        <v>0</v>
      </c>
      <c r="BA90" s="39">
        <f>資料儲存!J2830</f>
        <v>0</v>
      </c>
    </row>
    <row r="91" spans="1:53" ht="16" thickBot="1">
      <c r="A91" s="38">
        <v>10</v>
      </c>
      <c r="B91" s="39">
        <f>資料儲存!D2231</f>
        <v>0</v>
      </c>
      <c r="C91" s="39">
        <f>資料儲存!E2231</f>
        <v>0</v>
      </c>
      <c r="D91" s="39">
        <f>資料儲存!F2231</f>
        <v>0</v>
      </c>
      <c r="E91" s="39">
        <f>資料儲存!G2231</f>
        <v>0</v>
      </c>
      <c r="F91" s="39">
        <f>資料儲存!H2231</f>
        <v>0</v>
      </c>
      <c r="G91" s="39">
        <f>資料儲存!I2231</f>
        <v>0</v>
      </c>
      <c r="H91" s="39">
        <f>資料儲存!J2231</f>
        <v>0</v>
      </c>
      <c r="I91" s="35"/>
      <c r="J91" s="38">
        <v>10</v>
      </c>
      <c r="K91" s="39">
        <f>資料儲存!D2351</f>
        <v>0</v>
      </c>
      <c r="L91" s="39">
        <f>資料儲存!E2351</f>
        <v>0</v>
      </c>
      <c r="M91" s="39">
        <f>資料儲存!F2351</f>
        <v>0</v>
      </c>
      <c r="N91" s="39">
        <f>資料儲存!G2351</f>
        <v>0</v>
      </c>
      <c r="O91" s="39">
        <f>資料儲存!H2351</f>
        <v>0</v>
      </c>
      <c r="P91" s="39">
        <f>資料儲存!I2351</f>
        <v>0</v>
      </c>
      <c r="Q91" s="39">
        <f>資料儲存!J2351</f>
        <v>0</v>
      </c>
      <c r="R91" s="35"/>
      <c r="S91" s="38">
        <v>10</v>
      </c>
      <c r="T91" s="39">
        <f>資料儲存!D2471</f>
        <v>0</v>
      </c>
      <c r="U91" s="39">
        <f>資料儲存!E2471</f>
        <v>0</v>
      </c>
      <c r="V91" s="39">
        <f>資料儲存!F2471</f>
        <v>0</v>
      </c>
      <c r="W91" s="39">
        <f>資料儲存!G2471</f>
        <v>0</v>
      </c>
      <c r="X91" s="39">
        <f>資料儲存!H2471</f>
        <v>0</v>
      </c>
      <c r="Y91" s="39">
        <f>資料儲存!I2471</f>
        <v>0</v>
      </c>
      <c r="Z91" s="39">
        <f>資料儲存!J2471</f>
        <v>0</v>
      </c>
      <c r="AA91" s="35"/>
      <c r="AB91" s="38">
        <v>10</v>
      </c>
      <c r="AC91" s="39">
        <f>資料儲存!D2591</f>
        <v>0</v>
      </c>
      <c r="AD91" s="39">
        <f>資料儲存!E2591</f>
        <v>0</v>
      </c>
      <c r="AE91" s="39">
        <f>資料儲存!F2591</f>
        <v>0</v>
      </c>
      <c r="AF91" s="39">
        <f>資料儲存!G2591</f>
        <v>0</v>
      </c>
      <c r="AG91" s="39">
        <f>資料儲存!H2591</f>
        <v>0</v>
      </c>
      <c r="AH91" s="39">
        <f>資料儲存!I2591</f>
        <v>0</v>
      </c>
      <c r="AI91" s="39">
        <f>資料儲存!J2591</f>
        <v>0</v>
      </c>
      <c r="AJ91" s="13"/>
      <c r="AK91" s="38">
        <v>10</v>
      </c>
      <c r="AL91" s="39">
        <f>資料儲存!D2711</f>
        <v>0</v>
      </c>
      <c r="AM91" s="39">
        <f>資料儲存!E2711</f>
        <v>0</v>
      </c>
      <c r="AN91" s="39">
        <f>資料儲存!F2711</f>
        <v>0</v>
      </c>
      <c r="AO91" s="39">
        <f>資料儲存!G2711</f>
        <v>0</v>
      </c>
      <c r="AP91" s="39">
        <f>資料儲存!H2711</f>
        <v>0</v>
      </c>
      <c r="AQ91" s="39">
        <f>資料儲存!I2711</f>
        <v>0</v>
      </c>
      <c r="AR91" s="39">
        <f>資料儲存!J2711</f>
        <v>0</v>
      </c>
      <c r="AT91" s="38">
        <v>10</v>
      </c>
      <c r="AU91" s="39">
        <f>資料儲存!D2831</f>
        <v>0</v>
      </c>
      <c r="AV91" s="39">
        <f>資料儲存!E2831</f>
        <v>0</v>
      </c>
      <c r="AW91" s="39">
        <f>資料儲存!F2831</f>
        <v>0</v>
      </c>
      <c r="AX91" s="39">
        <f>資料儲存!G2831</f>
        <v>0</v>
      </c>
      <c r="AY91" s="39">
        <f>資料儲存!H2831</f>
        <v>0</v>
      </c>
      <c r="AZ91" s="39">
        <f>資料儲存!I2831</f>
        <v>0</v>
      </c>
      <c r="BA91" s="39">
        <f>資料儲存!J2831</f>
        <v>0</v>
      </c>
    </row>
    <row r="92" spans="1:53" ht="16" thickBot="1">
      <c r="A92" s="38">
        <v>11</v>
      </c>
      <c r="B92" s="39">
        <f>資料儲存!D2232</f>
        <v>0</v>
      </c>
      <c r="C92" s="39">
        <f>資料儲存!E2232</f>
        <v>0</v>
      </c>
      <c r="D92" s="39">
        <f>資料儲存!F2232</f>
        <v>0</v>
      </c>
      <c r="E92" s="39">
        <f>資料儲存!G2232</f>
        <v>0</v>
      </c>
      <c r="F92" s="39">
        <f>資料儲存!H2232</f>
        <v>0</v>
      </c>
      <c r="G92" s="39">
        <f>資料儲存!I2232</f>
        <v>0</v>
      </c>
      <c r="H92" s="39">
        <f>資料儲存!J2232</f>
        <v>0</v>
      </c>
      <c r="I92" s="35"/>
      <c r="J92" s="38">
        <v>11</v>
      </c>
      <c r="K92" s="39">
        <f>資料儲存!D2352</f>
        <v>0</v>
      </c>
      <c r="L92" s="39">
        <f>資料儲存!E2352</f>
        <v>0</v>
      </c>
      <c r="M92" s="39">
        <f>資料儲存!F2352</f>
        <v>0</v>
      </c>
      <c r="N92" s="39">
        <f>資料儲存!G2352</f>
        <v>0</v>
      </c>
      <c r="O92" s="39">
        <f>資料儲存!H2352</f>
        <v>0</v>
      </c>
      <c r="P92" s="39">
        <f>資料儲存!I2352</f>
        <v>0</v>
      </c>
      <c r="Q92" s="39">
        <f>資料儲存!J2352</f>
        <v>0</v>
      </c>
      <c r="R92" s="35"/>
      <c r="S92" s="38">
        <v>11</v>
      </c>
      <c r="T92" s="39">
        <f>資料儲存!D2472</f>
        <v>0</v>
      </c>
      <c r="U92" s="39">
        <f>資料儲存!E2472</f>
        <v>0</v>
      </c>
      <c r="V92" s="39">
        <f>資料儲存!F2472</f>
        <v>0</v>
      </c>
      <c r="W92" s="39">
        <f>資料儲存!G2472</f>
        <v>0</v>
      </c>
      <c r="X92" s="39">
        <f>資料儲存!H2472</f>
        <v>0</v>
      </c>
      <c r="Y92" s="39">
        <f>資料儲存!I2472</f>
        <v>0</v>
      </c>
      <c r="Z92" s="39">
        <f>資料儲存!J2472</f>
        <v>0</v>
      </c>
      <c r="AA92" s="35"/>
      <c r="AB92" s="38">
        <v>11</v>
      </c>
      <c r="AC92" s="39">
        <f>資料儲存!D2592</f>
        <v>0</v>
      </c>
      <c r="AD92" s="39">
        <f>資料儲存!E2592</f>
        <v>0</v>
      </c>
      <c r="AE92" s="39">
        <f>資料儲存!F2592</f>
        <v>0</v>
      </c>
      <c r="AF92" s="39">
        <f>資料儲存!G2592</f>
        <v>0</v>
      </c>
      <c r="AG92" s="39">
        <f>資料儲存!H2592</f>
        <v>0</v>
      </c>
      <c r="AH92" s="39">
        <f>資料儲存!I2592</f>
        <v>0</v>
      </c>
      <c r="AI92" s="39">
        <f>資料儲存!J2592</f>
        <v>0</v>
      </c>
      <c r="AJ92" s="13"/>
      <c r="AK92" s="38">
        <v>11</v>
      </c>
      <c r="AL92" s="39">
        <f>資料儲存!D2712</f>
        <v>0</v>
      </c>
      <c r="AM92" s="39">
        <f>資料儲存!E2712</f>
        <v>0</v>
      </c>
      <c r="AN92" s="39">
        <f>資料儲存!F2712</f>
        <v>0</v>
      </c>
      <c r="AO92" s="39">
        <f>資料儲存!G2712</f>
        <v>0</v>
      </c>
      <c r="AP92" s="39">
        <f>資料儲存!H2712</f>
        <v>0</v>
      </c>
      <c r="AQ92" s="39">
        <f>資料儲存!I2712</f>
        <v>0</v>
      </c>
      <c r="AR92" s="39">
        <f>資料儲存!J2712</f>
        <v>0</v>
      </c>
      <c r="AT92" s="38">
        <v>11</v>
      </c>
      <c r="AU92" s="39">
        <f>資料儲存!D2832</f>
        <v>0</v>
      </c>
      <c r="AV92" s="39">
        <f>資料儲存!E2832</f>
        <v>0</v>
      </c>
      <c r="AW92" s="39">
        <f>資料儲存!F2832</f>
        <v>0</v>
      </c>
      <c r="AX92" s="39">
        <f>資料儲存!G2832</f>
        <v>0</v>
      </c>
      <c r="AY92" s="39">
        <f>資料儲存!H2832</f>
        <v>0</v>
      </c>
      <c r="AZ92" s="39">
        <f>資料儲存!I2832</f>
        <v>0</v>
      </c>
      <c r="BA92" s="39">
        <f>資料儲存!J2832</f>
        <v>0</v>
      </c>
    </row>
    <row r="93" spans="1:53" ht="16" thickBot="1">
      <c r="A93" s="38">
        <v>12</v>
      </c>
      <c r="B93" s="39">
        <f>資料儲存!D2233</f>
        <v>0</v>
      </c>
      <c r="C93" s="39">
        <f>資料儲存!E2233</f>
        <v>0</v>
      </c>
      <c r="D93" s="39">
        <f>資料儲存!F2233</f>
        <v>0</v>
      </c>
      <c r="E93" s="39">
        <f>資料儲存!G2233</f>
        <v>0</v>
      </c>
      <c r="F93" s="39">
        <f>資料儲存!H2233</f>
        <v>0</v>
      </c>
      <c r="G93" s="39">
        <f>資料儲存!I2233</f>
        <v>0</v>
      </c>
      <c r="H93" s="39">
        <f>資料儲存!J2233</f>
        <v>0</v>
      </c>
      <c r="I93" s="35"/>
      <c r="J93" s="38">
        <v>12</v>
      </c>
      <c r="K93" s="39">
        <f>資料儲存!D2353</f>
        <v>0</v>
      </c>
      <c r="L93" s="39">
        <f>資料儲存!E2353</f>
        <v>0</v>
      </c>
      <c r="M93" s="39">
        <f>資料儲存!F2353</f>
        <v>0</v>
      </c>
      <c r="N93" s="39">
        <f>資料儲存!G2353</f>
        <v>0</v>
      </c>
      <c r="O93" s="39">
        <f>資料儲存!H2353</f>
        <v>0</v>
      </c>
      <c r="P93" s="39">
        <f>資料儲存!I2353</f>
        <v>0</v>
      </c>
      <c r="Q93" s="39">
        <f>資料儲存!J2353</f>
        <v>0</v>
      </c>
      <c r="R93" s="35"/>
      <c r="S93" s="38">
        <v>12</v>
      </c>
      <c r="T93" s="39">
        <f>資料儲存!D2473</f>
        <v>0</v>
      </c>
      <c r="U93" s="39">
        <f>資料儲存!E2473</f>
        <v>0</v>
      </c>
      <c r="V93" s="39">
        <f>資料儲存!F2473</f>
        <v>0</v>
      </c>
      <c r="W93" s="39">
        <f>資料儲存!G2473</f>
        <v>0</v>
      </c>
      <c r="X93" s="39">
        <f>資料儲存!H2473</f>
        <v>0</v>
      </c>
      <c r="Y93" s="39">
        <f>資料儲存!I2473</f>
        <v>0</v>
      </c>
      <c r="Z93" s="39">
        <f>資料儲存!J2473</f>
        <v>0</v>
      </c>
      <c r="AA93" s="35"/>
      <c r="AB93" s="38">
        <v>12</v>
      </c>
      <c r="AC93" s="39">
        <f>資料儲存!D2593</f>
        <v>0</v>
      </c>
      <c r="AD93" s="39">
        <f>資料儲存!E2593</f>
        <v>0</v>
      </c>
      <c r="AE93" s="39">
        <f>資料儲存!F2593</f>
        <v>0</v>
      </c>
      <c r="AF93" s="39">
        <f>資料儲存!G2593</f>
        <v>0</v>
      </c>
      <c r="AG93" s="39">
        <f>資料儲存!H2593</f>
        <v>0</v>
      </c>
      <c r="AH93" s="39">
        <f>資料儲存!I2593</f>
        <v>0</v>
      </c>
      <c r="AI93" s="39">
        <f>資料儲存!J2593</f>
        <v>0</v>
      </c>
      <c r="AJ93" s="13"/>
      <c r="AK93" s="38">
        <v>12</v>
      </c>
      <c r="AL93" s="39">
        <f>資料儲存!D2713</f>
        <v>0</v>
      </c>
      <c r="AM93" s="39">
        <f>資料儲存!E2713</f>
        <v>0</v>
      </c>
      <c r="AN93" s="39">
        <f>資料儲存!F2713</f>
        <v>0</v>
      </c>
      <c r="AO93" s="39">
        <f>資料儲存!G2713</f>
        <v>0</v>
      </c>
      <c r="AP93" s="39">
        <f>資料儲存!H2713</f>
        <v>0</v>
      </c>
      <c r="AQ93" s="39">
        <f>資料儲存!I2713</f>
        <v>0</v>
      </c>
      <c r="AR93" s="39">
        <f>資料儲存!J2713</f>
        <v>0</v>
      </c>
      <c r="AT93" s="38">
        <v>12</v>
      </c>
      <c r="AU93" s="39">
        <f>資料儲存!D2833</f>
        <v>0</v>
      </c>
      <c r="AV93" s="39">
        <f>資料儲存!E2833</f>
        <v>0</v>
      </c>
      <c r="AW93" s="39">
        <f>資料儲存!F2833</f>
        <v>0</v>
      </c>
      <c r="AX93" s="39">
        <f>資料儲存!G2833</f>
        <v>0</v>
      </c>
      <c r="AY93" s="39">
        <f>資料儲存!H2833</f>
        <v>0</v>
      </c>
      <c r="AZ93" s="39">
        <f>資料儲存!I2833</f>
        <v>0</v>
      </c>
      <c r="BA93" s="39">
        <f>資料儲存!J2833</f>
        <v>0</v>
      </c>
    </row>
    <row r="94" spans="1:53" ht="16" thickBot="1">
      <c r="A94" s="38">
        <v>13</v>
      </c>
      <c r="B94" s="39">
        <f>資料儲存!D2234</f>
        <v>0</v>
      </c>
      <c r="C94" s="39">
        <f>資料儲存!E2234</f>
        <v>0</v>
      </c>
      <c r="D94" s="39">
        <f>資料儲存!F2234</f>
        <v>0</v>
      </c>
      <c r="E94" s="39">
        <f>資料儲存!G2234</f>
        <v>0</v>
      </c>
      <c r="F94" s="39">
        <f>資料儲存!H2234</f>
        <v>0</v>
      </c>
      <c r="G94" s="39">
        <f>資料儲存!I2234</f>
        <v>0</v>
      </c>
      <c r="H94" s="39">
        <f>資料儲存!J2234</f>
        <v>0</v>
      </c>
      <c r="I94" s="35"/>
      <c r="J94" s="38">
        <v>13</v>
      </c>
      <c r="K94" s="39">
        <f>資料儲存!D2354</f>
        <v>0</v>
      </c>
      <c r="L94" s="39">
        <f>資料儲存!E2354</f>
        <v>0</v>
      </c>
      <c r="M94" s="39">
        <f>資料儲存!F2354</f>
        <v>0</v>
      </c>
      <c r="N94" s="39">
        <f>資料儲存!G2354</f>
        <v>0</v>
      </c>
      <c r="O94" s="39">
        <f>資料儲存!H2354</f>
        <v>0</v>
      </c>
      <c r="P94" s="39">
        <f>資料儲存!I2354</f>
        <v>0</v>
      </c>
      <c r="Q94" s="39">
        <f>資料儲存!J2354</f>
        <v>0</v>
      </c>
      <c r="R94" s="35"/>
      <c r="S94" s="38">
        <v>13</v>
      </c>
      <c r="T94" s="39">
        <f>資料儲存!D2474</f>
        <v>0</v>
      </c>
      <c r="U94" s="39">
        <f>資料儲存!E2474</f>
        <v>0</v>
      </c>
      <c r="V94" s="39">
        <f>資料儲存!F2474</f>
        <v>0</v>
      </c>
      <c r="W94" s="39">
        <f>資料儲存!G2474</f>
        <v>0</v>
      </c>
      <c r="X94" s="39">
        <f>資料儲存!H2474</f>
        <v>0</v>
      </c>
      <c r="Y94" s="39">
        <f>資料儲存!I2474</f>
        <v>0</v>
      </c>
      <c r="Z94" s="39">
        <f>資料儲存!J2474</f>
        <v>0</v>
      </c>
      <c r="AA94" s="35"/>
      <c r="AB94" s="38">
        <v>13</v>
      </c>
      <c r="AC94" s="39">
        <f>資料儲存!D2594</f>
        <v>0</v>
      </c>
      <c r="AD94" s="39">
        <f>資料儲存!E2594</f>
        <v>0</v>
      </c>
      <c r="AE94" s="39">
        <f>資料儲存!F2594</f>
        <v>0</v>
      </c>
      <c r="AF94" s="39">
        <f>資料儲存!G2594</f>
        <v>0</v>
      </c>
      <c r="AG94" s="39">
        <f>資料儲存!H2594</f>
        <v>0</v>
      </c>
      <c r="AH94" s="39">
        <f>資料儲存!I2594</f>
        <v>0</v>
      </c>
      <c r="AI94" s="39">
        <f>資料儲存!J2594</f>
        <v>0</v>
      </c>
      <c r="AJ94" s="13"/>
      <c r="AK94" s="38">
        <v>13</v>
      </c>
      <c r="AL94" s="39">
        <f>資料儲存!D2714</f>
        <v>0</v>
      </c>
      <c r="AM94" s="39">
        <f>資料儲存!E2714</f>
        <v>0</v>
      </c>
      <c r="AN94" s="39">
        <f>資料儲存!F2714</f>
        <v>0</v>
      </c>
      <c r="AO94" s="39">
        <f>資料儲存!G2714</f>
        <v>0</v>
      </c>
      <c r="AP94" s="39">
        <f>資料儲存!H2714</f>
        <v>0</v>
      </c>
      <c r="AQ94" s="39">
        <f>資料儲存!I2714</f>
        <v>0</v>
      </c>
      <c r="AR94" s="39">
        <f>資料儲存!J2714</f>
        <v>0</v>
      </c>
      <c r="AT94" s="38">
        <v>13</v>
      </c>
      <c r="AU94" s="39">
        <f>資料儲存!D2834</f>
        <v>0</v>
      </c>
      <c r="AV94" s="39">
        <f>資料儲存!E2834</f>
        <v>0</v>
      </c>
      <c r="AW94" s="39">
        <f>資料儲存!F2834</f>
        <v>0</v>
      </c>
      <c r="AX94" s="39">
        <f>資料儲存!G2834</f>
        <v>0</v>
      </c>
      <c r="AY94" s="39">
        <f>資料儲存!H2834</f>
        <v>0</v>
      </c>
      <c r="AZ94" s="39">
        <f>資料儲存!I2834</f>
        <v>0</v>
      </c>
      <c r="BA94" s="39">
        <f>資料儲存!J2834</f>
        <v>0</v>
      </c>
    </row>
    <row r="95" spans="1:53" ht="16" thickBot="1">
      <c r="A95" s="38">
        <v>14</v>
      </c>
      <c r="B95" s="39">
        <f>資料儲存!D2235</f>
        <v>0</v>
      </c>
      <c r="C95" s="39">
        <f>資料儲存!E2235</f>
        <v>0</v>
      </c>
      <c r="D95" s="39">
        <f>資料儲存!F2235</f>
        <v>0</v>
      </c>
      <c r="E95" s="39">
        <f>資料儲存!G2235</f>
        <v>0</v>
      </c>
      <c r="F95" s="39">
        <f>資料儲存!H2235</f>
        <v>0</v>
      </c>
      <c r="G95" s="39">
        <f>資料儲存!I2235</f>
        <v>0</v>
      </c>
      <c r="H95" s="39">
        <f>資料儲存!J2235</f>
        <v>0</v>
      </c>
      <c r="I95" s="35"/>
      <c r="J95" s="38">
        <v>14</v>
      </c>
      <c r="K95" s="39">
        <f>資料儲存!D2355</f>
        <v>0</v>
      </c>
      <c r="L95" s="39">
        <f>資料儲存!E2355</f>
        <v>0</v>
      </c>
      <c r="M95" s="39">
        <f>資料儲存!F2355</f>
        <v>0</v>
      </c>
      <c r="N95" s="39">
        <f>資料儲存!G2355</f>
        <v>0</v>
      </c>
      <c r="O95" s="39">
        <f>資料儲存!H2355</f>
        <v>0</v>
      </c>
      <c r="P95" s="39">
        <f>資料儲存!I2355</f>
        <v>0</v>
      </c>
      <c r="Q95" s="39">
        <f>資料儲存!J2355</f>
        <v>0</v>
      </c>
      <c r="R95" s="35"/>
      <c r="S95" s="38">
        <v>14</v>
      </c>
      <c r="T95" s="39">
        <f>資料儲存!D2475</f>
        <v>0</v>
      </c>
      <c r="U95" s="39">
        <f>資料儲存!E2475</f>
        <v>0</v>
      </c>
      <c r="V95" s="39">
        <f>資料儲存!F2475</f>
        <v>0</v>
      </c>
      <c r="W95" s="39">
        <f>資料儲存!G2475</f>
        <v>0</v>
      </c>
      <c r="X95" s="39">
        <f>資料儲存!H2475</f>
        <v>0</v>
      </c>
      <c r="Y95" s="39">
        <f>資料儲存!I2475</f>
        <v>0</v>
      </c>
      <c r="Z95" s="39">
        <f>資料儲存!J2475</f>
        <v>0</v>
      </c>
      <c r="AA95" s="35"/>
      <c r="AB95" s="38">
        <v>14</v>
      </c>
      <c r="AC95" s="39">
        <f>資料儲存!D2595</f>
        <v>0</v>
      </c>
      <c r="AD95" s="39">
        <f>資料儲存!E2595</f>
        <v>0</v>
      </c>
      <c r="AE95" s="39">
        <f>資料儲存!F2595</f>
        <v>0</v>
      </c>
      <c r="AF95" s="39">
        <f>資料儲存!G2595</f>
        <v>0</v>
      </c>
      <c r="AG95" s="39">
        <f>資料儲存!H2595</f>
        <v>0</v>
      </c>
      <c r="AH95" s="39">
        <f>資料儲存!I2595</f>
        <v>0</v>
      </c>
      <c r="AI95" s="39">
        <f>資料儲存!J2595</f>
        <v>0</v>
      </c>
      <c r="AJ95" s="13"/>
      <c r="AK95" s="38">
        <v>14</v>
      </c>
      <c r="AL95" s="39">
        <f>資料儲存!D2715</f>
        <v>0</v>
      </c>
      <c r="AM95" s="39">
        <f>資料儲存!E2715</f>
        <v>0</v>
      </c>
      <c r="AN95" s="39">
        <f>資料儲存!F2715</f>
        <v>0</v>
      </c>
      <c r="AO95" s="39">
        <f>資料儲存!G2715</f>
        <v>0</v>
      </c>
      <c r="AP95" s="39">
        <f>資料儲存!H2715</f>
        <v>0</v>
      </c>
      <c r="AQ95" s="39">
        <f>資料儲存!I2715</f>
        <v>0</v>
      </c>
      <c r="AR95" s="39">
        <f>資料儲存!J2715</f>
        <v>0</v>
      </c>
      <c r="AT95" s="38">
        <v>14</v>
      </c>
      <c r="AU95" s="39">
        <f>資料儲存!D2835</f>
        <v>0</v>
      </c>
      <c r="AV95" s="39">
        <f>資料儲存!E2835</f>
        <v>0</v>
      </c>
      <c r="AW95" s="39">
        <f>資料儲存!F2835</f>
        <v>0</v>
      </c>
      <c r="AX95" s="39">
        <f>資料儲存!G2835</f>
        <v>0</v>
      </c>
      <c r="AY95" s="39">
        <f>資料儲存!H2835</f>
        <v>0</v>
      </c>
      <c r="AZ95" s="39">
        <f>資料儲存!I2835</f>
        <v>0</v>
      </c>
      <c r="BA95" s="39">
        <f>資料儲存!J2835</f>
        <v>0</v>
      </c>
    </row>
    <row r="96" spans="1:53" ht="16" thickBot="1">
      <c r="A96" s="38">
        <v>15</v>
      </c>
      <c r="B96" s="39">
        <f>資料儲存!D2236</f>
        <v>0</v>
      </c>
      <c r="C96" s="39">
        <f>資料儲存!E2236</f>
        <v>0</v>
      </c>
      <c r="D96" s="39">
        <f>資料儲存!F2236</f>
        <v>0</v>
      </c>
      <c r="E96" s="39">
        <f>資料儲存!G2236</f>
        <v>0</v>
      </c>
      <c r="F96" s="39">
        <f>資料儲存!H2236</f>
        <v>0</v>
      </c>
      <c r="G96" s="39">
        <f>資料儲存!I2236</f>
        <v>0</v>
      </c>
      <c r="H96" s="39">
        <f>資料儲存!J2236</f>
        <v>0</v>
      </c>
      <c r="I96" s="35"/>
      <c r="J96" s="38">
        <v>15</v>
      </c>
      <c r="K96" s="39">
        <f>資料儲存!D2356</f>
        <v>0</v>
      </c>
      <c r="L96" s="39">
        <f>資料儲存!E2356</f>
        <v>0</v>
      </c>
      <c r="M96" s="39">
        <f>資料儲存!F2356</f>
        <v>0</v>
      </c>
      <c r="N96" s="39">
        <f>資料儲存!G2356</f>
        <v>0</v>
      </c>
      <c r="O96" s="39">
        <f>資料儲存!H2356</f>
        <v>0</v>
      </c>
      <c r="P96" s="39">
        <f>資料儲存!I2356</f>
        <v>0</v>
      </c>
      <c r="Q96" s="39">
        <f>資料儲存!J2356</f>
        <v>0</v>
      </c>
      <c r="R96" s="35"/>
      <c r="S96" s="38">
        <v>15</v>
      </c>
      <c r="T96" s="39">
        <f>資料儲存!D2476</f>
        <v>0</v>
      </c>
      <c r="U96" s="39">
        <f>資料儲存!E2476</f>
        <v>0</v>
      </c>
      <c r="V96" s="39">
        <f>資料儲存!F2476</f>
        <v>0</v>
      </c>
      <c r="W96" s="39">
        <f>資料儲存!G2476</f>
        <v>0</v>
      </c>
      <c r="X96" s="39">
        <f>資料儲存!H2476</f>
        <v>0</v>
      </c>
      <c r="Y96" s="39">
        <f>資料儲存!I2476</f>
        <v>0</v>
      </c>
      <c r="Z96" s="39">
        <f>資料儲存!J2476</f>
        <v>0</v>
      </c>
      <c r="AA96" s="35"/>
      <c r="AB96" s="38">
        <v>15</v>
      </c>
      <c r="AC96" s="39">
        <f>資料儲存!D2596</f>
        <v>0</v>
      </c>
      <c r="AD96" s="39">
        <f>資料儲存!E2596</f>
        <v>0</v>
      </c>
      <c r="AE96" s="39">
        <f>資料儲存!F2596</f>
        <v>0</v>
      </c>
      <c r="AF96" s="39">
        <f>資料儲存!G2596</f>
        <v>0</v>
      </c>
      <c r="AG96" s="39">
        <f>資料儲存!H2596</f>
        <v>0</v>
      </c>
      <c r="AH96" s="39">
        <f>資料儲存!I2596</f>
        <v>0</v>
      </c>
      <c r="AI96" s="39">
        <f>資料儲存!J2596</f>
        <v>0</v>
      </c>
      <c r="AJ96" s="13"/>
      <c r="AK96" s="38">
        <v>15</v>
      </c>
      <c r="AL96" s="39">
        <f>資料儲存!D2716</f>
        <v>0</v>
      </c>
      <c r="AM96" s="39">
        <f>資料儲存!E2716</f>
        <v>0</v>
      </c>
      <c r="AN96" s="39">
        <f>資料儲存!F2716</f>
        <v>0</v>
      </c>
      <c r="AO96" s="39">
        <f>資料儲存!G2716</f>
        <v>0</v>
      </c>
      <c r="AP96" s="39">
        <f>資料儲存!H2716</f>
        <v>0</v>
      </c>
      <c r="AQ96" s="39">
        <f>資料儲存!I2716</f>
        <v>0</v>
      </c>
      <c r="AR96" s="39">
        <f>資料儲存!J2716</f>
        <v>0</v>
      </c>
      <c r="AT96" s="38">
        <v>15</v>
      </c>
      <c r="AU96" s="39">
        <f>資料儲存!D2836</f>
        <v>0</v>
      </c>
      <c r="AV96" s="39">
        <f>資料儲存!E2836</f>
        <v>0</v>
      </c>
      <c r="AW96" s="39">
        <f>資料儲存!F2836</f>
        <v>0</v>
      </c>
      <c r="AX96" s="39">
        <f>資料儲存!G2836</f>
        <v>0</v>
      </c>
      <c r="AY96" s="39">
        <f>資料儲存!H2836</f>
        <v>0</v>
      </c>
      <c r="AZ96" s="39">
        <f>資料儲存!I2836</f>
        <v>0</v>
      </c>
      <c r="BA96" s="39">
        <f>資料儲存!J2836</f>
        <v>0</v>
      </c>
    </row>
    <row r="97" spans="1:53" ht="17.25" customHeight="1" thickBot="1">
      <c r="A97" s="40" t="s">
        <v>56</v>
      </c>
      <c r="B97" s="39">
        <f>SUM(B82:E96)</f>
        <v>0</v>
      </c>
      <c r="C97" s="37"/>
      <c r="D97" s="37"/>
      <c r="E97" s="37"/>
      <c r="F97" s="39">
        <f>F96</f>
        <v>0</v>
      </c>
      <c r="G97" s="39">
        <f>G96</f>
        <v>0</v>
      </c>
      <c r="H97" s="39">
        <f>H96</f>
        <v>0</v>
      </c>
      <c r="I97" s="35"/>
      <c r="J97" s="40" t="s">
        <v>56</v>
      </c>
      <c r="K97" s="39">
        <f>SUM(K82:N96)</f>
        <v>0</v>
      </c>
      <c r="L97" s="37"/>
      <c r="M97" s="37"/>
      <c r="N97" s="37"/>
      <c r="O97" s="39">
        <f>O96</f>
        <v>0</v>
      </c>
      <c r="P97" s="39">
        <f>P96</f>
        <v>0</v>
      </c>
      <c r="Q97" s="39">
        <f>Q96</f>
        <v>0</v>
      </c>
      <c r="R97" s="35"/>
      <c r="S97" s="40" t="s">
        <v>56</v>
      </c>
      <c r="T97" s="39">
        <f>SUM(T82:W96)</f>
        <v>0</v>
      </c>
      <c r="U97" s="37"/>
      <c r="V97" s="37"/>
      <c r="W97" s="37"/>
      <c r="X97" s="39">
        <f>X96</f>
        <v>0</v>
      </c>
      <c r="Y97" s="39">
        <f>Y96</f>
        <v>0</v>
      </c>
      <c r="Z97" s="39">
        <f>Z96</f>
        <v>0</v>
      </c>
      <c r="AA97" s="35"/>
      <c r="AB97" s="40" t="s">
        <v>56</v>
      </c>
      <c r="AC97" s="39">
        <f>SUM(AC82:AF96)</f>
        <v>0</v>
      </c>
      <c r="AD97" s="37"/>
      <c r="AE97" s="37"/>
      <c r="AF97" s="37"/>
      <c r="AG97" s="39">
        <f>AG96</f>
        <v>0</v>
      </c>
      <c r="AH97" s="39">
        <f>AH96</f>
        <v>0</v>
      </c>
      <c r="AI97" s="39">
        <f>AI96</f>
        <v>0</v>
      </c>
      <c r="AJ97" s="13"/>
      <c r="AK97" s="40" t="s">
        <v>56</v>
      </c>
      <c r="AL97" s="39">
        <f>SUM(AL82:AO96)</f>
        <v>0</v>
      </c>
      <c r="AM97" s="37"/>
      <c r="AN97" s="37"/>
      <c r="AO97" s="37"/>
      <c r="AP97" s="39">
        <f>AP96</f>
        <v>0</v>
      </c>
      <c r="AQ97" s="39">
        <f>AQ96</f>
        <v>0</v>
      </c>
      <c r="AR97" s="39">
        <f>AR96</f>
        <v>0</v>
      </c>
      <c r="AT97" s="40" t="s">
        <v>56</v>
      </c>
      <c r="AU97" s="39">
        <f>SUM(AU82:AX96)</f>
        <v>0</v>
      </c>
      <c r="AV97" s="37"/>
      <c r="AW97" s="37"/>
      <c r="AX97" s="37"/>
      <c r="AY97" s="39">
        <f>AY96</f>
        <v>0</v>
      </c>
      <c r="AZ97" s="39">
        <f>AZ96</f>
        <v>0</v>
      </c>
      <c r="BA97" s="39">
        <f>BA96</f>
        <v>0</v>
      </c>
    </row>
    <row r="98" spans="1:53" ht="18.5" thickBot="1">
      <c r="A98" s="248" t="s">
        <v>168</v>
      </c>
      <c r="B98" s="249"/>
      <c r="C98" s="249"/>
      <c r="D98" s="249"/>
      <c r="E98" s="249"/>
      <c r="F98" s="249"/>
      <c r="G98" s="249"/>
      <c r="H98" s="250"/>
      <c r="I98" s="13"/>
      <c r="J98" s="248" t="s">
        <v>168</v>
      </c>
      <c r="K98" s="249"/>
      <c r="L98" s="249"/>
      <c r="M98" s="249"/>
      <c r="N98" s="249"/>
      <c r="O98" s="249"/>
      <c r="P98" s="249"/>
      <c r="Q98" s="250"/>
      <c r="R98" s="13"/>
      <c r="S98" s="248" t="s">
        <v>168</v>
      </c>
      <c r="T98" s="249"/>
      <c r="U98" s="249"/>
      <c r="V98" s="249"/>
      <c r="W98" s="249"/>
      <c r="X98" s="249"/>
      <c r="Y98" s="249"/>
      <c r="Z98" s="250"/>
      <c r="AA98" s="13"/>
      <c r="AB98" s="248" t="s">
        <v>168</v>
      </c>
      <c r="AC98" s="249"/>
      <c r="AD98" s="249"/>
      <c r="AE98" s="249"/>
      <c r="AF98" s="249"/>
      <c r="AG98" s="249"/>
      <c r="AH98" s="249"/>
      <c r="AI98" s="250"/>
      <c r="AJ98" s="13"/>
      <c r="AK98" s="248" t="s">
        <v>168</v>
      </c>
      <c r="AL98" s="249"/>
      <c r="AM98" s="249"/>
      <c r="AN98" s="249"/>
      <c r="AO98" s="249"/>
      <c r="AP98" s="249"/>
      <c r="AQ98" s="249"/>
      <c r="AR98" s="250"/>
      <c r="AT98" s="248" t="s">
        <v>168</v>
      </c>
      <c r="AU98" s="249"/>
      <c r="AV98" s="249"/>
      <c r="AW98" s="249"/>
      <c r="AX98" s="249"/>
      <c r="AY98" s="249"/>
      <c r="AZ98" s="249"/>
      <c r="BA98" s="250"/>
    </row>
    <row r="99" spans="1:53" ht="17.25" customHeight="1" thickBot="1">
      <c r="A99" s="41" t="s">
        <v>2</v>
      </c>
      <c r="B99" s="42" t="s">
        <v>46</v>
      </c>
      <c r="C99" s="43"/>
      <c r="D99" s="43"/>
      <c r="E99" s="44"/>
      <c r="F99" s="42" t="s">
        <v>47</v>
      </c>
      <c r="G99" s="43"/>
      <c r="H99" s="44"/>
      <c r="I99" s="45"/>
      <c r="J99" s="41" t="s">
        <v>2</v>
      </c>
      <c r="K99" s="42" t="s">
        <v>46</v>
      </c>
      <c r="L99" s="43"/>
      <c r="M99" s="43"/>
      <c r="N99" s="44"/>
      <c r="O99" s="42" t="s">
        <v>47</v>
      </c>
      <c r="P99" s="43"/>
      <c r="Q99" s="44"/>
      <c r="R99" s="45"/>
      <c r="S99" s="41" t="s">
        <v>2</v>
      </c>
      <c r="T99" s="42" t="s">
        <v>46</v>
      </c>
      <c r="U99" s="43"/>
      <c r="V99" s="43"/>
      <c r="W99" s="44"/>
      <c r="X99" s="42" t="s">
        <v>47</v>
      </c>
      <c r="Y99" s="43"/>
      <c r="Z99" s="44"/>
      <c r="AA99" s="45"/>
      <c r="AB99" s="41" t="s">
        <v>2</v>
      </c>
      <c r="AC99" s="42" t="s">
        <v>46</v>
      </c>
      <c r="AD99" s="43"/>
      <c r="AE99" s="43"/>
      <c r="AF99" s="44"/>
      <c r="AG99" s="42" t="s">
        <v>47</v>
      </c>
      <c r="AH99" s="43"/>
      <c r="AI99" s="44"/>
      <c r="AJ99" s="13"/>
      <c r="AK99" s="41" t="s">
        <v>2</v>
      </c>
      <c r="AL99" s="42" t="s">
        <v>46</v>
      </c>
      <c r="AM99" s="43"/>
      <c r="AN99" s="43"/>
      <c r="AO99" s="44"/>
      <c r="AP99" s="42" t="s">
        <v>47</v>
      </c>
      <c r="AQ99" s="43"/>
      <c r="AR99" s="44"/>
      <c r="AT99" s="41" t="s">
        <v>2</v>
      </c>
      <c r="AU99" s="42" t="s">
        <v>46</v>
      </c>
      <c r="AV99" s="43"/>
      <c r="AW99" s="43"/>
      <c r="AX99" s="44"/>
      <c r="AY99" s="42" t="s">
        <v>47</v>
      </c>
      <c r="AZ99" s="43"/>
      <c r="BA99" s="44"/>
    </row>
    <row r="100" spans="1:53" ht="16" thickBot="1">
      <c r="A100" s="46">
        <v>0.55208333333333337</v>
      </c>
      <c r="B100" s="47" t="s">
        <v>49</v>
      </c>
      <c r="C100" s="47" t="s">
        <v>50</v>
      </c>
      <c r="D100" s="47" t="s">
        <v>51</v>
      </c>
      <c r="E100" s="47" t="s">
        <v>52</v>
      </c>
      <c r="F100" s="47" t="s">
        <v>53</v>
      </c>
      <c r="G100" s="47" t="s">
        <v>54</v>
      </c>
      <c r="H100" s="47" t="s">
        <v>55</v>
      </c>
      <c r="I100" s="45"/>
      <c r="J100" s="46">
        <v>0.55208333333333337</v>
      </c>
      <c r="K100" s="47" t="s">
        <v>49</v>
      </c>
      <c r="L100" s="47" t="s">
        <v>50</v>
      </c>
      <c r="M100" s="47" t="s">
        <v>51</v>
      </c>
      <c r="N100" s="47" t="s">
        <v>52</v>
      </c>
      <c r="O100" s="47" t="s">
        <v>53</v>
      </c>
      <c r="P100" s="47" t="s">
        <v>54</v>
      </c>
      <c r="Q100" s="47" t="s">
        <v>55</v>
      </c>
      <c r="R100" s="45"/>
      <c r="S100" s="46">
        <v>0.55208333333333337</v>
      </c>
      <c r="T100" s="47" t="s">
        <v>49</v>
      </c>
      <c r="U100" s="47" t="s">
        <v>50</v>
      </c>
      <c r="V100" s="47" t="s">
        <v>51</v>
      </c>
      <c r="W100" s="47" t="s">
        <v>52</v>
      </c>
      <c r="X100" s="47" t="s">
        <v>53</v>
      </c>
      <c r="Y100" s="47" t="s">
        <v>54</v>
      </c>
      <c r="Z100" s="47" t="s">
        <v>55</v>
      </c>
      <c r="AA100" s="45"/>
      <c r="AB100" s="46">
        <v>0.55208333333333337</v>
      </c>
      <c r="AC100" s="47" t="s">
        <v>49</v>
      </c>
      <c r="AD100" s="47" t="s">
        <v>50</v>
      </c>
      <c r="AE100" s="47" t="s">
        <v>51</v>
      </c>
      <c r="AF100" s="47" t="s">
        <v>52</v>
      </c>
      <c r="AG100" s="47" t="s">
        <v>53</v>
      </c>
      <c r="AH100" s="47" t="s">
        <v>54</v>
      </c>
      <c r="AI100" s="47" t="s">
        <v>55</v>
      </c>
      <c r="AJ100" s="13"/>
      <c r="AK100" s="46">
        <v>0.55208333333333337</v>
      </c>
      <c r="AL100" s="47" t="s">
        <v>49</v>
      </c>
      <c r="AM100" s="47" t="s">
        <v>50</v>
      </c>
      <c r="AN100" s="47" t="s">
        <v>51</v>
      </c>
      <c r="AO100" s="47" t="s">
        <v>52</v>
      </c>
      <c r="AP100" s="47" t="s">
        <v>53</v>
      </c>
      <c r="AQ100" s="47" t="s">
        <v>54</v>
      </c>
      <c r="AR100" s="47" t="s">
        <v>55</v>
      </c>
      <c r="AT100" s="46">
        <v>0.55208333333333337</v>
      </c>
      <c r="AU100" s="47" t="s">
        <v>49</v>
      </c>
      <c r="AV100" s="47" t="s">
        <v>50</v>
      </c>
      <c r="AW100" s="47" t="s">
        <v>51</v>
      </c>
      <c r="AX100" s="47" t="s">
        <v>52</v>
      </c>
      <c r="AY100" s="47" t="s">
        <v>53</v>
      </c>
      <c r="AZ100" s="47" t="s">
        <v>54</v>
      </c>
      <c r="BA100" s="47" t="s">
        <v>55</v>
      </c>
    </row>
    <row r="101" spans="1:53" ht="16" thickBot="1">
      <c r="A101" s="48">
        <v>16</v>
      </c>
      <c r="B101" s="49">
        <f>資料儲存!D2237</f>
        <v>0</v>
      </c>
      <c r="C101" s="49">
        <f>資料儲存!E2237</f>
        <v>0</v>
      </c>
      <c r="D101" s="49">
        <f>資料儲存!F2237</f>
        <v>0</v>
      </c>
      <c r="E101" s="49">
        <f>資料儲存!G2237</f>
        <v>0</v>
      </c>
      <c r="F101" s="49">
        <f>資料儲存!H2237</f>
        <v>0</v>
      </c>
      <c r="G101" s="49">
        <f>資料儲存!I2237</f>
        <v>0</v>
      </c>
      <c r="H101" s="49">
        <f>資料儲存!J2237</f>
        <v>0</v>
      </c>
      <c r="I101" s="45"/>
      <c r="J101" s="48">
        <v>16</v>
      </c>
      <c r="K101" s="49">
        <f>資料儲存!D2357</f>
        <v>0</v>
      </c>
      <c r="L101" s="49">
        <f>資料儲存!E2357</f>
        <v>0</v>
      </c>
      <c r="M101" s="49">
        <f>資料儲存!F2357</f>
        <v>0</v>
      </c>
      <c r="N101" s="49">
        <f>資料儲存!G2357</f>
        <v>0</v>
      </c>
      <c r="O101" s="49">
        <f>資料儲存!H2357</f>
        <v>0</v>
      </c>
      <c r="P101" s="49">
        <f>資料儲存!I2357</f>
        <v>0</v>
      </c>
      <c r="Q101" s="49">
        <f>資料儲存!J2357</f>
        <v>0</v>
      </c>
      <c r="R101" s="45"/>
      <c r="S101" s="48">
        <v>16</v>
      </c>
      <c r="T101" s="49">
        <f>資料儲存!D2477</f>
        <v>0</v>
      </c>
      <c r="U101" s="49">
        <f>資料儲存!E2477</f>
        <v>0</v>
      </c>
      <c r="V101" s="49">
        <f>資料儲存!F2477</f>
        <v>0</v>
      </c>
      <c r="W101" s="49">
        <f>資料儲存!G2477</f>
        <v>0</v>
      </c>
      <c r="X101" s="49">
        <f>資料儲存!H2477</f>
        <v>0</v>
      </c>
      <c r="Y101" s="49">
        <f>資料儲存!I2477</f>
        <v>0</v>
      </c>
      <c r="Z101" s="49">
        <f>資料儲存!J2477</f>
        <v>0</v>
      </c>
      <c r="AA101" s="45"/>
      <c r="AB101" s="48">
        <v>16</v>
      </c>
      <c r="AC101" s="49">
        <f>資料儲存!D2597</f>
        <v>0</v>
      </c>
      <c r="AD101" s="49">
        <f>資料儲存!E2597</f>
        <v>0</v>
      </c>
      <c r="AE101" s="49">
        <f>資料儲存!F2597</f>
        <v>0</v>
      </c>
      <c r="AF101" s="49">
        <f>資料儲存!G2597</f>
        <v>0</v>
      </c>
      <c r="AG101" s="49">
        <f>資料儲存!H2597</f>
        <v>0</v>
      </c>
      <c r="AH101" s="49">
        <f>資料儲存!I2597</f>
        <v>0</v>
      </c>
      <c r="AI101" s="49">
        <f>資料儲存!J2597</f>
        <v>0</v>
      </c>
      <c r="AJ101" s="13"/>
      <c r="AK101" s="48">
        <v>16</v>
      </c>
      <c r="AL101" s="49">
        <f>資料儲存!D2717</f>
        <v>0</v>
      </c>
      <c r="AM101" s="49">
        <f>資料儲存!E2717</f>
        <v>0</v>
      </c>
      <c r="AN101" s="49">
        <f>資料儲存!F2717</f>
        <v>0</v>
      </c>
      <c r="AO101" s="49">
        <f>資料儲存!G2717</f>
        <v>0</v>
      </c>
      <c r="AP101" s="49">
        <f>資料儲存!H2717</f>
        <v>0</v>
      </c>
      <c r="AQ101" s="49">
        <f>資料儲存!I2717</f>
        <v>0</v>
      </c>
      <c r="AR101" s="49">
        <f>資料儲存!J2717</f>
        <v>0</v>
      </c>
      <c r="AT101" s="48">
        <v>16</v>
      </c>
      <c r="AU101" s="49">
        <f>資料儲存!D2837</f>
        <v>0</v>
      </c>
      <c r="AV101" s="49">
        <f>資料儲存!E2837</f>
        <v>0</v>
      </c>
      <c r="AW101" s="49">
        <f>資料儲存!F2837</f>
        <v>0</v>
      </c>
      <c r="AX101" s="49">
        <f>資料儲存!G2837</f>
        <v>0</v>
      </c>
      <c r="AY101" s="49">
        <f>資料儲存!H2837</f>
        <v>0</v>
      </c>
      <c r="AZ101" s="49">
        <f>資料儲存!I2837</f>
        <v>0</v>
      </c>
      <c r="BA101" s="49">
        <f>資料儲存!J2837</f>
        <v>0</v>
      </c>
    </row>
    <row r="102" spans="1:53" ht="16" thickBot="1">
      <c r="A102" s="48">
        <v>17</v>
      </c>
      <c r="B102" s="49">
        <f>資料儲存!D2238</f>
        <v>0</v>
      </c>
      <c r="C102" s="49">
        <f>資料儲存!E2238</f>
        <v>0</v>
      </c>
      <c r="D102" s="49">
        <f>資料儲存!F2238</f>
        <v>0</v>
      </c>
      <c r="E102" s="49">
        <f>資料儲存!G2238</f>
        <v>0</v>
      </c>
      <c r="F102" s="49">
        <f>資料儲存!H2238</f>
        <v>0</v>
      </c>
      <c r="G102" s="49">
        <f>資料儲存!I2238</f>
        <v>0</v>
      </c>
      <c r="H102" s="49">
        <f>資料儲存!J2238</f>
        <v>0</v>
      </c>
      <c r="I102" s="45"/>
      <c r="J102" s="48">
        <v>17</v>
      </c>
      <c r="K102" s="49">
        <f>資料儲存!D2358</f>
        <v>0</v>
      </c>
      <c r="L102" s="49">
        <f>資料儲存!E2358</f>
        <v>0</v>
      </c>
      <c r="M102" s="49">
        <f>資料儲存!F2358</f>
        <v>0</v>
      </c>
      <c r="N102" s="49">
        <f>資料儲存!G2358</f>
        <v>0</v>
      </c>
      <c r="O102" s="49">
        <f>資料儲存!H2358</f>
        <v>0</v>
      </c>
      <c r="P102" s="49">
        <f>資料儲存!I2358</f>
        <v>0</v>
      </c>
      <c r="Q102" s="49">
        <f>資料儲存!J2358</f>
        <v>0</v>
      </c>
      <c r="R102" s="45"/>
      <c r="S102" s="48">
        <v>17</v>
      </c>
      <c r="T102" s="49">
        <f>資料儲存!D2478</f>
        <v>0</v>
      </c>
      <c r="U102" s="49">
        <f>資料儲存!E2478</f>
        <v>0</v>
      </c>
      <c r="V102" s="49">
        <f>資料儲存!F2478</f>
        <v>0</v>
      </c>
      <c r="W102" s="49">
        <f>資料儲存!G2478</f>
        <v>0</v>
      </c>
      <c r="X102" s="49">
        <f>資料儲存!H2478</f>
        <v>0</v>
      </c>
      <c r="Y102" s="49">
        <f>資料儲存!I2478</f>
        <v>0</v>
      </c>
      <c r="Z102" s="49">
        <f>資料儲存!J2478</f>
        <v>0</v>
      </c>
      <c r="AA102" s="45"/>
      <c r="AB102" s="48">
        <v>17</v>
      </c>
      <c r="AC102" s="49">
        <f>資料儲存!D2598</f>
        <v>0</v>
      </c>
      <c r="AD102" s="49">
        <f>資料儲存!E2598</f>
        <v>0</v>
      </c>
      <c r="AE102" s="49">
        <f>資料儲存!F2598</f>
        <v>0</v>
      </c>
      <c r="AF102" s="49">
        <f>資料儲存!G2598</f>
        <v>0</v>
      </c>
      <c r="AG102" s="49">
        <f>資料儲存!H2598</f>
        <v>0</v>
      </c>
      <c r="AH102" s="49">
        <f>資料儲存!I2598</f>
        <v>0</v>
      </c>
      <c r="AI102" s="49">
        <f>資料儲存!J2598</f>
        <v>0</v>
      </c>
      <c r="AJ102" s="13"/>
      <c r="AK102" s="48">
        <v>17</v>
      </c>
      <c r="AL102" s="49">
        <f>資料儲存!D2718</f>
        <v>0</v>
      </c>
      <c r="AM102" s="49">
        <f>資料儲存!E2718</f>
        <v>0</v>
      </c>
      <c r="AN102" s="49">
        <f>資料儲存!F2718</f>
        <v>0</v>
      </c>
      <c r="AO102" s="49">
        <f>資料儲存!G2718</f>
        <v>0</v>
      </c>
      <c r="AP102" s="49">
        <f>資料儲存!H2718</f>
        <v>0</v>
      </c>
      <c r="AQ102" s="49">
        <f>資料儲存!I2718</f>
        <v>0</v>
      </c>
      <c r="AR102" s="49">
        <f>資料儲存!J2718</f>
        <v>0</v>
      </c>
      <c r="AT102" s="48">
        <v>17</v>
      </c>
      <c r="AU102" s="49">
        <f>資料儲存!D2838</f>
        <v>0</v>
      </c>
      <c r="AV102" s="49">
        <f>資料儲存!E2838</f>
        <v>0</v>
      </c>
      <c r="AW102" s="49">
        <f>資料儲存!F2838</f>
        <v>0</v>
      </c>
      <c r="AX102" s="49">
        <f>資料儲存!G2838</f>
        <v>0</v>
      </c>
      <c r="AY102" s="49">
        <f>資料儲存!H2838</f>
        <v>0</v>
      </c>
      <c r="AZ102" s="49">
        <f>資料儲存!I2838</f>
        <v>0</v>
      </c>
      <c r="BA102" s="49">
        <f>資料儲存!J2838</f>
        <v>0</v>
      </c>
    </row>
    <row r="103" spans="1:53" ht="16" thickBot="1">
      <c r="A103" s="48">
        <v>18</v>
      </c>
      <c r="B103" s="49">
        <f>資料儲存!D2239</f>
        <v>0</v>
      </c>
      <c r="C103" s="49">
        <f>資料儲存!E2239</f>
        <v>0</v>
      </c>
      <c r="D103" s="49">
        <f>資料儲存!F2239</f>
        <v>0</v>
      </c>
      <c r="E103" s="49">
        <f>資料儲存!G2239</f>
        <v>0</v>
      </c>
      <c r="F103" s="49">
        <f>資料儲存!H2239</f>
        <v>0</v>
      </c>
      <c r="G103" s="49">
        <f>資料儲存!I2239</f>
        <v>0</v>
      </c>
      <c r="H103" s="49">
        <f>資料儲存!J2239</f>
        <v>0</v>
      </c>
      <c r="I103" s="45"/>
      <c r="J103" s="48">
        <v>18</v>
      </c>
      <c r="K103" s="49">
        <f>資料儲存!D2359</f>
        <v>0</v>
      </c>
      <c r="L103" s="49">
        <f>資料儲存!E2359</f>
        <v>0</v>
      </c>
      <c r="M103" s="49">
        <f>資料儲存!F2359</f>
        <v>0</v>
      </c>
      <c r="N103" s="49">
        <f>資料儲存!G2359</f>
        <v>0</v>
      </c>
      <c r="O103" s="49">
        <f>資料儲存!H2359</f>
        <v>0</v>
      </c>
      <c r="P103" s="49">
        <f>資料儲存!I2359</f>
        <v>0</v>
      </c>
      <c r="Q103" s="49">
        <f>資料儲存!J2359</f>
        <v>0</v>
      </c>
      <c r="R103" s="45"/>
      <c r="S103" s="48">
        <v>18</v>
      </c>
      <c r="T103" s="49">
        <f>資料儲存!D2479</f>
        <v>0</v>
      </c>
      <c r="U103" s="49">
        <f>資料儲存!E2479</f>
        <v>0</v>
      </c>
      <c r="V103" s="49">
        <f>資料儲存!F2479</f>
        <v>0</v>
      </c>
      <c r="W103" s="49">
        <f>資料儲存!G2479</f>
        <v>0</v>
      </c>
      <c r="X103" s="49">
        <f>資料儲存!H2479</f>
        <v>0</v>
      </c>
      <c r="Y103" s="49">
        <f>資料儲存!I2479</f>
        <v>0</v>
      </c>
      <c r="Z103" s="49">
        <f>資料儲存!J2479</f>
        <v>0</v>
      </c>
      <c r="AA103" s="45"/>
      <c r="AB103" s="48">
        <v>18</v>
      </c>
      <c r="AC103" s="49">
        <f>資料儲存!D2599</f>
        <v>0</v>
      </c>
      <c r="AD103" s="49">
        <f>資料儲存!E2599</f>
        <v>0</v>
      </c>
      <c r="AE103" s="49">
        <f>資料儲存!F2599</f>
        <v>0</v>
      </c>
      <c r="AF103" s="49">
        <f>資料儲存!G2599</f>
        <v>0</v>
      </c>
      <c r="AG103" s="49">
        <f>資料儲存!H2599</f>
        <v>0</v>
      </c>
      <c r="AH103" s="49">
        <f>資料儲存!I2599</f>
        <v>0</v>
      </c>
      <c r="AI103" s="49">
        <f>資料儲存!J2599</f>
        <v>0</v>
      </c>
      <c r="AJ103" s="13"/>
      <c r="AK103" s="48">
        <v>18</v>
      </c>
      <c r="AL103" s="49">
        <f>資料儲存!D2719</f>
        <v>0</v>
      </c>
      <c r="AM103" s="49">
        <f>資料儲存!E2719</f>
        <v>0</v>
      </c>
      <c r="AN103" s="49">
        <f>資料儲存!F2719</f>
        <v>0</v>
      </c>
      <c r="AO103" s="49">
        <f>資料儲存!G2719</f>
        <v>0</v>
      </c>
      <c r="AP103" s="49">
        <f>資料儲存!H2719</f>
        <v>0</v>
      </c>
      <c r="AQ103" s="49">
        <f>資料儲存!I2719</f>
        <v>0</v>
      </c>
      <c r="AR103" s="49">
        <f>資料儲存!J2719</f>
        <v>0</v>
      </c>
      <c r="AT103" s="48">
        <v>18</v>
      </c>
      <c r="AU103" s="49">
        <f>資料儲存!D2839</f>
        <v>0</v>
      </c>
      <c r="AV103" s="49">
        <f>資料儲存!E2839</f>
        <v>0</v>
      </c>
      <c r="AW103" s="49">
        <f>資料儲存!F2839</f>
        <v>0</v>
      </c>
      <c r="AX103" s="49">
        <f>資料儲存!G2839</f>
        <v>0</v>
      </c>
      <c r="AY103" s="49">
        <f>資料儲存!H2839</f>
        <v>0</v>
      </c>
      <c r="AZ103" s="49">
        <f>資料儲存!I2839</f>
        <v>0</v>
      </c>
      <c r="BA103" s="49">
        <f>資料儲存!J2839</f>
        <v>0</v>
      </c>
    </row>
    <row r="104" spans="1:53" ht="16" thickBot="1">
      <c r="A104" s="48">
        <v>19</v>
      </c>
      <c r="B104" s="49">
        <f>資料儲存!D2240</f>
        <v>0</v>
      </c>
      <c r="C104" s="49">
        <f>資料儲存!E2240</f>
        <v>0</v>
      </c>
      <c r="D104" s="49">
        <f>資料儲存!F2240</f>
        <v>0</v>
      </c>
      <c r="E104" s="49">
        <f>資料儲存!G2240</f>
        <v>0</v>
      </c>
      <c r="F104" s="49">
        <f>資料儲存!H2240</f>
        <v>0</v>
      </c>
      <c r="G104" s="49">
        <f>資料儲存!I2240</f>
        <v>0</v>
      </c>
      <c r="H104" s="49">
        <f>資料儲存!J2240</f>
        <v>0</v>
      </c>
      <c r="I104" s="45"/>
      <c r="J104" s="48">
        <v>19</v>
      </c>
      <c r="K104" s="49">
        <f>資料儲存!D2360</f>
        <v>0</v>
      </c>
      <c r="L104" s="49">
        <f>資料儲存!E2360</f>
        <v>0</v>
      </c>
      <c r="M104" s="49">
        <f>資料儲存!F2360</f>
        <v>0</v>
      </c>
      <c r="N104" s="49">
        <f>資料儲存!G2360</f>
        <v>0</v>
      </c>
      <c r="O104" s="49">
        <f>資料儲存!H2360</f>
        <v>0</v>
      </c>
      <c r="P104" s="49">
        <f>資料儲存!I2360</f>
        <v>0</v>
      </c>
      <c r="Q104" s="49">
        <f>資料儲存!J2360</f>
        <v>0</v>
      </c>
      <c r="R104" s="45"/>
      <c r="S104" s="48">
        <v>19</v>
      </c>
      <c r="T104" s="49">
        <f>資料儲存!D2480</f>
        <v>0</v>
      </c>
      <c r="U104" s="49">
        <f>資料儲存!E2480</f>
        <v>0</v>
      </c>
      <c r="V104" s="49">
        <f>資料儲存!F2480</f>
        <v>0</v>
      </c>
      <c r="W104" s="49">
        <f>資料儲存!G2480</f>
        <v>0</v>
      </c>
      <c r="X104" s="49">
        <f>資料儲存!H2480</f>
        <v>0</v>
      </c>
      <c r="Y104" s="49">
        <f>資料儲存!I2480</f>
        <v>0</v>
      </c>
      <c r="Z104" s="49">
        <f>資料儲存!J2480</f>
        <v>0</v>
      </c>
      <c r="AA104" s="45"/>
      <c r="AB104" s="48">
        <v>19</v>
      </c>
      <c r="AC104" s="49">
        <f>資料儲存!D2600</f>
        <v>0</v>
      </c>
      <c r="AD104" s="49">
        <f>資料儲存!E2600</f>
        <v>0</v>
      </c>
      <c r="AE104" s="49">
        <f>資料儲存!F2600</f>
        <v>0</v>
      </c>
      <c r="AF104" s="49">
        <f>資料儲存!G2600</f>
        <v>0</v>
      </c>
      <c r="AG104" s="49">
        <f>資料儲存!H2600</f>
        <v>0</v>
      </c>
      <c r="AH104" s="49">
        <f>資料儲存!I2600</f>
        <v>0</v>
      </c>
      <c r="AI104" s="49">
        <f>資料儲存!J2600</f>
        <v>0</v>
      </c>
      <c r="AJ104" s="13"/>
      <c r="AK104" s="48">
        <v>19</v>
      </c>
      <c r="AL104" s="49">
        <f>資料儲存!D2720</f>
        <v>0</v>
      </c>
      <c r="AM104" s="49">
        <f>資料儲存!E2720</f>
        <v>0</v>
      </c>
      <c r="AN104" s="49">
        <f>資料儲存!F2720</f>
        <v>0</v>
      </c>
      <c r="AO104" s="49">
        <f>資料儲存!G2720</f>
        <v>0</v>
      </c>
      <c r="AP104" s="49">
        <f>資料儲存!H2720</f>
        <v>0</v>
      </c>
      <c r="AQ104" s="49">
        <f>資料儲存!I2720</f>
        <v>0</v>
      </c>
      <c r="AR104" s="49">
        <f>資料儲存!J2720</f>
        <v>0</v>
      </c>
      <c r="AT104" s="48">
        <v>19</v>
      </c>
      <c r="AU104" s="49">
        <f>資料儲存!D2840</f>
        <v>0</v>
      </c>
      <c r="AV104" s="49">
        <f>資料儲存!E2840</f>
        <v>0</v>
      </c>
      <c r="AW104" s="49">
        <f>資料儲存!F2840</f>
        <v>0</v>
      </c>
      <c r="AX104" s="49">
        <f>資料儲存!G2840</f>
        <v>0</v>
      </c>
      <c r="AY104" s="49">
        <f>資料儲存!H2840</f>
        <v>0</v>
      </c>
      <c r="AZ104" s="49">
        <f>資料儲存!I2840</f>
        <v>0</v>
      </c>
      <c r="BA104" s="49">
        <f>資料儲存!J2840</f>
        <v>0</v>
      </c>
    </row>
    <row r="105" spans="1:53" ht="16" thickBot="1">
      <c r="A105" s="48">
        <v>20</v>
      </c>
      <c r="B105" s="49">
        <f>資料儲存!D2241</f>
        <v>0</v>
      </c>
      <c r="C105" s="49">
        <f>資料儲存!E2241</f>
        <v>0</v>
      </c>
      <c r="D105" s="49">
        <f>資料儲存!F2241</f>
        <v>0</v>
      </c>
      <c r="E105" s="49">
        <f>資料儲存!G2241</f>
        <v>0</v>
      </c>
      <c r="F105" s="49">
        <f>資料儲存!H2241</f>
        <v>0</v>
      </c>
      <c r="G105" s="49">
        <f>資料儲存!I2241</f>
        <v>0</v>
      </c>
      <c r="H105" s="49">
        <f>資料儲存!J2241</f>
        <v>0</v>
      </c>
      <c r="I105" s="45"/>
      <c r="J105" s="48">
        <v>20</v>
      </c>
      <c r="K105" s="49">
        <f>資料儲存!D2361</f>
        <v>0</v>
      </c>
      <c r="L105" s="49">
        <f>資料儲存!E2361</f>
        <v>0</v>
      </c>
      <c r="M105" s="49">
        <f>資料儲存!F2361</f>
        <v>0</v>
      </c>
      <c r="N105" s="49">
        <f>資料儲存!G2361</f>
        <v>0</v>
      </c>
      <c r="O105" s="49">
        <f>資料儲存!H2361</f>
        <v>0</v>
      </c>
      <c r="P105" s="49">
        <f>資料儲存!I2361</f>
        <v>0</v>
      </c>
      <c r="Q105" s="49">
        <f>資料儲存!J2361</f>
        <v>0</v>
      </c>
      <c r="R105" s="45"/>
      <c r="S105" s="48">
        <v>20</v>
      </c>
      <c r="T105" s="49">
        <f>資料儲存!D2481</f>
        <v>0</v>
      </c>
      <c r="U105" s="49">
        <f>資料儲存!E2481</f>
        <v>0</v>
      </c>
      <c r="V105" s="49">
        <f>資料儲存!F2481</f>
        <v>0</v>
      </c>
      <c r="W105" s="49">
        <f>資料儲存!G2481</f>
        <v>0</v>
      </c>
      <c r="X105" s="49">
        <f>資料儲存!H2481</f>
        <v>0</v>
      </c>
      <c r="Y105" s="49">
        <f>資料儲存!I2481</f>
        <v>0</v>
      </c>
      <c r="Z105" s="49">
        <f>資料儲存!J2481</f>
        <v>0</v>
      </c>
      <c r="AA105" s="45"/>
      <c r="AB105" s="48">
        <v>20</v>
      </c>
      <c r="AC105" s="49">
        <f>資料儲存!D2601</f>
        <v>0</v>
      </c>
      <c r="AD105" s="49">
        <f>資料儲存!E2601</f>
        <v>0</v>
      </c>
      <c r="AE105" s="49">
        <f>資料儲存!F2601</f>
        <v>0</v>
      </c>
      <c r="AF105" s="49">
        <f>資料儲存!G2601</f>
        <v>0</v>
      </c>
      <c r="AG105" s="49">
        <f>資料儲存!H2601</f>
        <v>0</v>
      </c>
      <c r="AH105" s="49">
        <f>資料儲存!I2601</f>
        <v>0</v>
      </c>
      <c r="AI105" s="49">
        <f>資料儲存!J2601</f>
        <v>0</v>
      </c>
      <c r="AJ105" s="13"/>
      <c r="AK105" s="48">
        <v>20</v>
      </c>
      <c r="AL105" s="49">
        <f>資料儲存!D2721</f>
        <v>0</v>
      </c>
      <c r="AM105" s="49">
        <f>資料儲存!E2721</f>
        <v>0</v>
      </c>
      <c r="AN105" s="49">
        <f>資料儲存!F2721</f>
        <v>0</v>
      </c>
      <c r="AO105" s="49">
        <f>資料儲存!G2721</f>
        <v>0</v>
      </c>
      <c r="AP105" s="49">
        <f>資料儲存!H2721</f>
        <v>0</v>
      </c>
      <c r="AQ105" s="49">
        <f>資料儲存!I2721</f>
        <v>0</v>
      </c>
      <c r="AR105" s="49">
        <f>資料儲存!J2721</f>
        <v>0</v>
      </c>
      <c r="AT105" s="48">
        <v>20</v>
      </c>
      <c r="AU105" s="49">
        <f>資料儲存!D2841</f>
        <v>0</v>
      </c>
      <c r="AV105" s="49">
        <f>資料儲存!E2841</f>
        <v>0</v>
      </c>
      <c r="AW105" s="49">
        <f>資料儲存!F2841</f>
        <v>0</v>
      </c>
      <c r="AX105" s="49">
        <f>資料儲存!G2841</f>
        <v>0</v>
      </c>
      <c r="AY105" s="49">
        <f>資料儲存!H2841</f>
        <v>0</v>
      </c>
      <c r="AZ105" s="49">
        <f>資料儲存!I2841</f>
        <v>0</v>
      </c>
      <c r="BA105" s="49">
        <f>資料儲存!J2841</f>
        <v>0</v>
      </c>
    </row>
    <row r="106" spans="1:53" ht="16" thickBot="1">
      <c r="A106" s="48">
        <v>21</v>
      </c>
      <c r="B106" s="49">
        <f>資料儲存!D2242</f>
        <v>0</v>
      </c>
      <c r="C106" s="49">
        <f>資料儲存!E2242</f>
        <v>0</v>
      </c>
      <c r="D106" s="49">
        <f>資料儲存!F2242</f>
        <v>0</v>
      </c>
      <c r="E106" s="49">
        <f>資料儲存!G2242</f>
        <v>0</v>
      </c>
      <c r="F106" s="49">
        <f>資料儲存!H2242</f>
        <v>0</v>
      </c>
      <c r="G106" s="49">
        <f>資料儲存!I2242</f>
        <v>0</v>
      </c>
      <c r="H106" s="49">
        <f>資料儲存!J2242</f>
        <v>0</v>
      </c>
      <c r="I106" s="45"/>
      <c r="J106" s="48">
        <v>21</v>
      </c>
      <c r="K106" s="49">
        <f>資料儲存!D2362</f>
        <v>0</v>
      </c>
      <c r="L106" s="49">
        <f>資料儲存!E2362</f>
        <v>0</v>
      </c>
      <c r="M106" s="49">
        <f>資料儲存!F2362</f>
        <v>0</v>
      </c>
      <c r="N106" s="49">
        <f>資料儲存!G2362</f>
        <v>0</v>
      </c>
      <c r="O106" s="49">
        <f>資料儲存!H2362</f>
        <v>0</v>
      </c>
      <c r="P106" s="49">
        <f>資料儲存!I2362</f>
        <v>0</v>
      </c>
      <c r="Q106" s="49">
        <f>資料儲存!J2362</f>
        <v>0</v>
      </c>
      <c r="R106" s="45"/>
      <c r="S106" s="48">
        <v>21</v>
      </c>
      <c r="T106" s="49">
        <f>資料儲存!D2482</f>
        <v>0</v>
      </c>
      <c r="U106" s="49">
        <f>資料儲存!E2482</f>
        <v>0</v>
      </c>
      <c r="V106" s="49">
        <f>資料儲存!F2482</f>
        <v>0</v>
      </c>
      <c r="W106" s="49">
        <f>資料儲存!G2482</f>
        <v>0</v>
      </c>
      <c r="X106" s="49">
        <f>資料儲存!H2482</f>
        <v>0</v>
      </c>
      <c r="Y106" s="49">
        <f>資料儲存!I2482</f>
        <v>0</v>
      </c>
      <c r="Z106" s="49">
        <f>資料儲存!J2482</f>
        <v>0</v>
      </c>
      <c r="AA106" s="45"/>
      <c r="AB106" s="48">
        <v>21</v>
      </c>
      <c r="AC106" s="49">
        <f>資料儲存!D2602</f>
        <v>0</v>
      </c>
      <c r="AD106" s="49">
        <f>資料儲存!E2602</f>
        <v>0</v>
      </c>
      <c r="AE106" s="49">
        <f>資料儲存!F2602</f>
        <v>0</v>
      </c>
      <c r="AF106" s="49">
        <f>資料儲存!G2602</f>
        <v>0</v>
      </c>
      <c r="AG106" s="49">
        <f>資料儲存!H2602</f>
        <v>0</v>
      </c>
      <c r="AH106" s="49">
        <f>資料儲存!I2602</f>
        <v>0</v>
      </c>
      <c r="AI106" s="49">
        <f>資料儲存!J2602</f>
        <v>0</v>
      </c>
      <c r="AJ106" s="13"/>
      <c r="AK106" s="48">
        <v>21</v>
      </c>
      <c r="AL106" s="49">
        <f>資料儲存!D2722</f>
        <v>0</v>
      </c>
      <c r="AM106" s="49">
        <f>資料儲存!E2722</f>
        <v>0</v>
      </c>
      <c r="AN106" s="49">
        <f>資料儲存!F2722</f>
        <v>0</v>
      </c>
      <c r="AO106" s="49">
        <f>資料儲存!G2722</f>
        <v>0</v>
      </c>
      <c r="AP106" s="49">
        <f>資料儲存!H2722</f>
        <v>0</v>
      </c>
      <c r="AQ106" s="49">
        <f>資料儲存!I2722</f>
        <v>0</v>
      </c>
      <c r="AR106" s="49">
        <f>資料儲存!J2722</f>
        <v>0</v>
      </c>
      <c r="AT106" s="48">
        <v>21</v>
      </c>
      <c r="AU106" s="49">
        <f>資料儲存!D2842</f>
        <v>0</v>
      </c>
      <c r="AV106" s="49">
        <f>資料儲存!E2842</f>
        <v>0</v>
      </c>
      <c r="AW106" s="49">
        <f>資料儲存!F2842</f>
        <v>0</v>
      </c>
      <c r="AX106" s="49">
        <f>資料儲存!G2842</f>
        <v>0</v>
      </c>
      <c r="AY106" s="49">
        <f>資料儲存!H2842</f>
        <v>0</v>
      </c>
      <c r="AZ106" s="49">
        <f>資料儲存!I2842</f>
        <v>0</v>
      </c>
      <c r="BA106" s="49">
        <f>資料儲存!J2842</f>
        <v>0</v>
      </c>
    </row>
    <row r="107" spans="1:53" ht="16" thickBot="1">
      <c r="A107" s="48">
        <v>22</v>
      </c>
      <c r="B107" s="49">
        <f>資料儲存!D2243</f>
        <v>0</v>
      </c>
      <c r="C107" s="49">
        <f>資料儲存!E2243</f>
        <v>0</v>
      </c>
      <c r="D107" s="49">
        <f>資料儲存!F2243</f>
        <v>0</v>
      </c>
      <c r="E107" s="49">
        <f>資料儲存!G2243</f>
        <v>0</v>
      </c>
      <c r="F107" s="49">
        <f>資料儲存!H2243</f>
        <v>0</v>
      </c>
      <c r="G107" s="49">
        <f>資料儲存!I2243</f>
        <v>0</v>
      </c>
      <c r="H107" s="49">
        <f>資料儲存!J2243</f>
        <v>0</v>
      </c>
      <c r="I107" s="45"/>
      <c r="J107" s="48">
        <v>22</v>
      </c>
      <c r="K107" s="49">
        <f>資料儲存!D2363</f>
        <v>0</v>
      </c>
      <c r="L107" s="49">
        <f>資料儲存!E2363</f>
        <v>0</v>
      </c>
      <c r="M107" s="49">
        <f>資料儲存!F2363</f>
        <v>0</v>
      </c>
      <c r="N107" s="49">
        <f>資料儲存!G2363</f>
        <v>0</v>
      </c>
      <c r="O107" s="49">
        <f>資料儲存!H2363</f>
        <v>0</v>
      </c>
      <c r="P107" s="49">
        <f>資料儲存!I2363</f>
        <v>0</v>
      </c>
      <c r="Q107" s="49">
        <f>資料儲存!J2363</f>
        <v>0</v>
      </c>
      <c r="R107" s="45"/>
      <c r="S107" s="48">
        <v>22</v>
      </c>
      <c r="T107" s="49">
        <f>資料儲存!D2483</f>
        <v>0</v>
      </c>
      <c r="U107" s="49">
        <f>資料儲存!E2483</f>
        <v>0</v>
      </c>
      <c r="V107" s="49">
        <f>資料儲存!F2483</f>
        <v>0</v>
      </c>
      <c r="W107" s="49">
        <f>資料儲存!G2483</f>
        <v>0</v>
      </c>
      <c r="X107" s="49">
        <f>資料儲存!H2483</f>
        <v>0</v>
      </c>
      <c r="Y107" s="49">
        <f>資料儲存!I2483</f>
        <v>0</v>
      </c>
      <c r="Z107" s="49">
        <f>資料儲存!J2483</f>
        <v>0</v>
      </c>
      <c r="AA107" s="45"/>
      <c r="AB107" s="48">
        <v>22</v>
      </c>
      <c r="AC107" s="49">
        <f>資料儲存!D2603</f>
        <v>0</v>
      </c>
      <c r="AD107" s="49">
        <f>資料儲存!E2603</f>
        <v>0</v>
      </c>
      <c r="AE107" s="49">
        <f>資料儲存!F2603</f>
        <v>0</v>
      </c>
      <c r="AF107" s="49">
        <f>資料儲存!G2603</f>
        <v>0</v>
      </c>
      <c r="AG107" s="49">
        <f>資料儲存!H2603</f>
        <v>0</v>
      </c>
      <c r="AH107" s="49">
        <f>資料儲存!I2603</f>
        <v>0</v>
      </c>
      <c r="AI107" s="49">
        <f>資料儲存!J2603</f>
        <v>0</v>
      </c>
      <c r="AJ107" s="13"/>
      <c r="AK107" s="48">
        <v>22</v>
      </c>
      <c r="AL107" s="49">
        <f>資料儲存!D2723</f>
        <v>0</v>
      </c>
      <c r="AM107" s="49">
        <f>資料儲存!E2723</f>
        <v>0</v>
      </c>
      <c r="AN107" s="49">
        <f>資料儲存!F2723</f>
        <v>0</v>
      </c>
      <c r="AO107" s="49">
        <f>資料儲存!G2723</f>
        <v>0</v>
      </c>
      <c r="AP107" s="49">
        <f>資料儲存!H2723</f>
        <v>0</v>
      </c>
      <c r="AQ107" s="49">
        <f>資料儲存!I2723</f>
        <v>0</v>
      </c>
      <c r="AR107" s="49">
        <f>資料儲存!J2723</f>
        <v>0</v>
      </c>
      <c r="AT107" s="48">
        <v>22</v>
      </c>
      <c r="AU107" s="49">
        <f>資料儲存!D2843</f>
        <v>0</v>
      </c>
      <c r="AV107" s="49">
        <f>資料儲存!E2843</f>
        <v>0</v>
      </c>
      <c r="AW107" s="49">
        <f>資料儲存!F2843</f>
        <v>0</v>
      </c>
      <c r="AX107" s="49">
        <f>資料儲存!G2843</f>
        <v>0</v>
      </c>
      <c r="AY107" s="49">
        <f>資料儲存!H2843</f>
        <v>0</v>
      </c>
      <c r="AZ107" s="49">
        <f>資料儲存!I2843</f>
        <v>0</v>
      </c>
      <c r="BA107" s="49">
        <f>資料儲存!J2843</f>
        <v>0</v>
      </c>
    </row>
    <row r="108" spans="1:53" ht="16" thickBot="1">
      <c r="A108" s="48">
        <v>23</v>
      </c>
      <c r="B108" s="49">
        <f>資料儲存!D2244</f>
        <v>0</v>
      </c>
      <c r="C108" s="49">
        <f>資料儲存!E2244</f>
        <v>0</v>
      </c>
      <c r="D108" s="49">
        <f>資料儲存!F2244</f>
        <v>0</v>
      </c>
      <c r="E108" s="49">
        <f>資料儲存!G2244</f>
        <v>0</v>
      </c>
      <c r="F108" s="49">
        <f>資料儲存!H2244</f>
        <v>0</v>
      </c>
      <c r="G108" s="49">
        <f>資料儲存!I2244</f>
        <v>0</v>
      </c>
      <c r="H108" s="49">
        <f>資料儲存!J2244</f>
        <v>0</v>
      </c>
      <c r="I108" s="45"/>
      <c r="J108" s="48">
        <v>23</v>
      </c>
      <c r="K108" s="49">
        <f>資料儲存!D2364</f>
        <v>0</v>
      </c>
      <c r="L108" s="49">
        <f>資料儲存!E2364</f>
        <v>0</v>
      </c>
      <c r="M108" s="49">
        <f>資料儲存!F2364</f>
        <v>0</v>
      </c>
      <c r="N108" s="49">
        <f>資料儲存!G2364</f>
        <v>0</v>
      </c>
      <c r="O108" s="49">
        <f>資料儲存!H2364</f>
        <v>0</v>
      </c>
      <c r="P108" s="49">
        <f>資料儲存!I2364</f>
        <v>0</v>
      </c>
      <c r="Q108" s="49">
        <f>資料儲存!J2364</f>
        <v>0</v>
      </c>
      <c r="R108" s="45"/>
      <c r="S108" s="48">
        <v>23</v>
      </c>
      <c r="T108" s="49">
        <f>資料儲存!D2484</f>
        <v>0</v>
      </c>
      <c r="U108" s="49">
        <f>資料儲存!E2484</f>
        <v>0</v>
      </c>
      <c r="V108" s="49">
        <f>資料儲存!F2484</f>
        <v>0</v>
      </c>
      <c r="W108" s="49">
        <f>資料儲存!G2484</f>
        <v>0</v>
      </c>
      <c r="X108" s="49">
        <f>資料儲存!H2484</f>
        <v>0</v>
      </c>
      <c r="Y108" s="49">
        <f>資料儲存!I2484</f>
        <v>0</v>
      </c>
      <c r="Z108" s="49">
        <f>資料儲存!J2484</f>
        <v>0</v>
      </c>
      <c r="AA108" s="45"/>
      <c r="AB108" s="48">
        <v>23</v>
      </c>
      <c r="AC108" s="49">
        <f>資料儲存!D2604</f>
        <v>0</v>
      </c>
      <c r="AD108" s="49">
        <f>資料儲存!E2604</f>
        <v>0</v>
      </c>
      <c r="AE108" s="49">
        <f>資料儲存!F2604</f>
        <v>0</v>
      </c>
      <c r="AF108" s="49">
        <f>資料儲存!G2604</f>
        <v>0</v>
      </c>
      <c r="AG108" s="49">
        <f>資料儲存!H2604</f>
        <v>0</v>
      </c>
      <c r="AH108" s="49">
        <f>資料儲存!I2604</f>
        <v>0</v>
      </c>
      <c r="AI108" s="49">
        <f>資料儲存!J2604</f>
        <v>0</v>
      </c>
      <c r="AJ108" s="13"/>
      <c r="AK108" s="48">
        <v>23</v>
      </c>
      <c r="AL108" s="49">
        <f>資料儲存!D2724</f>
        <v>0</v>
      </c>
      <c r="AM108" s="49">
        <f>資料儲存!E2724</f>
        <v>0</v>
      </c>
      <c r="AN108" s="49">
        <f>資料儲存!F2724</f>
        <v>0</v>
      </c>
      <c r="AO108" s="49">
        <f>資料儲存!G2724</f>
        <v>0</v>
      </c>
      <c r="AP108" s="49">
        <f>資料儲存!H2724</f>
        <v>0</v>
      </c>
      <c r="AQ108" s="49">
        <f>資料儲存!I2724</f>
        <v>0</v>
      </c>
      <c r="AR108" s="49">
        <f>資料儲存!J2724</f>
        <v>0</v>
      </c>
      <c r="AT108" s="48">
        <v>23</v>
      </c>
      <c r="AU108" s="49">
        <f>資料儲存!D2844</f>
        <v>0</v>
      </c>
      <c r="AV108" s="49">
        <f>資料儲存!E2844</f>
        <v>0</v>
      </c>
      <c r="AW108" s="49">
        <f>資料儲存!F2844</f>
        <v>0</v>
      </c>
      <c r="AX108" s="49">
        <f>資料儲存!G2844</f>
        <v>0</v>
      </c>
      <c r="AY108" s="49">
        <f>資料儲存!H2844</f>
        <v>0</v>
      </c>
      <c r="AZ108" s="49">
        <f>資料儲存!I2844</f>
        <v>0</v>
      </c>
      <c r="BA108" s="49">
        <f>資料儲存!J2844</f>
        <v>0</v>
      </c>
    </row>
    <row r="109" spans="1:53" ht="16" thickBot="1">
      <c r="A109" s="48">
        <v>24</v>
      </c>
      <c r="B109" s="49">
        <f>資料儲存!D2245</f>
        <v>0</v>
      </c>
      <c r="C109" s="49">
        <f>資料儲存!E2245</f>
        <v>0</v>
      </c>
      <c r="D109" s="49">
        <f>資料儲存!F2245</f>
        <v>0</v>
      </c>
      <c r="E109" s="49">
        <f>資料儲存!G2245</f>
        <v>0</v>
      </c>
      <c r="F109" s="49">
        <f>資料儲存!H2245</f>
        <v>0</v>
      </c>
      <c r="G109" s="49">
        <f>資料儲存!I2245</f>
        <v>0</v>
      </c>
      <c r="H109" s="49">
        <f>資料儲存!J2245</f>
        <v>0</v>
      </c>
      <c r="I109" s="45"/>
      <c r="J109" s="48">
        <v>24</v>
      </c>
      <c r="K109" s="49">
        <f>資料儲存!D2365</f>
        <v>0</v>
      </c>
      <c r="L109" s="49">
        <f>資料儲存!E2365</f>
        <v>0</v>
      </c>
      <c r="M109" s="49">
        <f>資料儲存!F2365</f>
        <v>0</v>
      </c>
      <c r="N109" s="49">
        <f>資料儲存!G2365</f>
        <v>0</v>
      </c>
      <c r="O109" s="49">
        <f>資料儲存!H2365</f>
        <v>0</v>
      </c>
      <c r="P109" s="49">
        <f>資料儲存!I2365</f>
        <v>0</v>
      </c>
      <c r="Q109" s="49">
        <f>資料儲存!J2365</f>
        <v>0</v>
      </c>
      <c r="R109" s="45"/>
      <c r="S109" s="48">
        <v>24</v>
      </c>
      <c r="T109" s="49">
        <f>資料儲存!D2485</f>
        <v>0</v>
      </c>
      <c r="U109" s="49">
        <f>資料儲存!E2485</f>
        <v>0</v>
      </c>
      <c r="V109" s="49">
        <f>資料儲存!F2485</f>
        <v>0</v>
      </c>
      <c r="W109" s="49">
        <f>資料儲存!G2485</f>
        <v>0</v>
      </c>
      <c r="X109" s="49">
        <f>資料儲存!H2485</f>
        <v>0</v>
      </c>
      <c r="Y109" s="49">
        <f>資料儲存!I2485</f>
        <v>0</v>
      </c>
      <c r="Z109" s="49">
        <f>資料儲存!J2485</f>
        <v>0</v>
      </c>
      <c r="AA109" s="45"/>
      <c r="AB109" s="48">
        <v>24</v>
      </c>
      <c r="AC109" s="49">
        <f>資料儲存!D2605</f>
        <v>0</v>
      </c>
      <c r="AD109" s="49">
        <f>資料儲存!E2605</f>
        <v>0</v>
      </c>
      <c r="AE109" s="49">
        <f>資料儲存!F2605</f>
        <v>0</v>
      </c>
      <c r="AF109" s="49">
        <f>資料儲存!G2605</f>
        <v>0</v>
      </c>
      <c r="AG109" s="49">
        <f>資料儲存!H2605</f>
        <v>0</v>
      </c>
      <c r="AH109" s="49">
        <f>資料儲存!I2605</f>
        <v>0</v>
      </c>
      <c r="AI109" s="49">
        <f>資料儲存!J2605</f>
        <v>0</v>
      </c>
      <c r="AJ109" s="13"/>
      <c r="AK109" s="48">
        <v>24</v>
      </c>
      <c r="AL109" s="49">
        <f>資料儲存!D2725</f>
        <v>0</v>
      </c>
      <c r="AM109" s="49">
        <f>資料儲存!E2725</f>
        <v>0</v>
      </c>
      <c r="AN109" s="49">
        <f>資料儲存!F2725</f>
        <v>0</v>
      </c>
      <c r="AO109" s="49">
        <f>資料儲存!G2725</f>
        <v>0</v>
      </c>
      <c r="AP109" s="49">
        <f>資料儲存!H2725</f>
        <v>0</v>
      </c>
      <c r="AQ109" s="49">
        <f>資料儲存!I2725</f>
        <v>0</v>
      </c>
      <c r="AR109" s="49">
        <f>資料儲存!J2725</f>
        <v>0</v>
      </c>
      <c r="AT109" s="48">
        <v>24</v>
      </c>
      <c r="AU109" s="49">
        <f>資料儲存!D2845</f>
        <v>0</v>
      </c>
      <c r="AV109" s="49">
        <f>資料儲存!E2845</f>
        <v>0</v>
      </c>
      <c r="AW109" s="49">
        <f>資料儲存!F2845</f>
        <v>0</v>
      </c>
      <c r="AX109" s="49">
        <f>資料儲存!G2845</f>
        <v>0</v>
      </c>
      <c r="AY109" s="49">
        <f>資料儲存!H2845</f>
        <v>0</v>
      </c>
      <c r="AZ109" s="49">
        <f>資料儲存!I2845</f>
        <v>0</v>
      </c>
      <c r="BA109" s="49">
        <f>資料儲存!J2845</f>
        <v>0</v>
      </c>
    </row>
    <row r="110" spans="1:53" ht="16" thickBot="1">
      <c r="A110" s="48">
        <v>25</v>
      </c>
      <c r="B110" s="49">
        <f>資料儲存!D2246</f>
        <v>0</v>
      </c>
      <c r="C110" s="49">
        <f>資料儲存!E2246</f>
        <v>0</v>
      </c>
      <c r="D110" s="49">
        <f>資料儲存!F2246</f>
        <v>0</v>
      </c>
      <c r="E110" s="49">
        <f>資料儲存!G2246</f>
        <v>0</v>
      </c>
      <c r="F110" s="49">
        <f>資料儲存!H2246</f>
        <v>0</v>
      </c>
      <c r="G110" s="49">
        <f>資料儲存!I2246</f>
        <v>0</v>
      </c>
      <c r="H110" s="49">
        <f>資料儲存!J2246</f>
        <v>0</v>
      </c>
      <c r="I110" s="45"/>
      <c r="J110" s="48">
        <v>25</v>
      </c>
      <c r="K110" s="49">
        <f>資料儲存!D2366</f>
        <v>0</v>
      </c>
      <c r="L110" s="49">
        <f>資料儲存!E2366</f>
        <v>0</v>
      </c>
      <c r="M110" s="49">
        <f>資料儲存!F2366</f>
        <v>0</v>
      </c>
      <c r="N110" s="49">
        <f>資料儲存!G2366</f>
        <v>0</v>
      </c>
      <c r="O110" s="49">
        <f>資料儲存!H2366</f>
        <v>0</v>
      </c>
      <c r="P110" s="49">
        <f>資料儲存!I2366</f>
        <v>0</v>
      </c>
      <c r="Q110" s="49">
        <f>資料儲存!J2366</f>
        <v>0</v>
      </c>
      <c r="R110" s="45"/>
      <c r="S110" s="48">
        <v>25</v>
      </c>
      <c r="T110" s="49">
        <f>資料儲存!D2486</f>
        <v>0</v>
      </c>
      <c r="U110" s="49">
        <f>資料儲存!E2486</f>
        <v>0</v>
      </c>
      <c r="V110" s="49">
        <f>資料儲存!F2486</f>
        <v>0</v>
      </c>
      <c r="W110" s="49">
        <f>資料儲存!G2486</f>
        <v>0</v>
      </c>
      <c r="X110" s="49">
        <f>資料儲存!H2486</f>
        <v>0</v>
      </c>
      <c r="Y110" s="49">
        <f>資料儲存!I2486</f>
        <v>0</v>
      </c>
      <c r="Z110" s="49">
        <f>資料儲存!J2486</f>
        <v>0</v>
      </c>
      <c r="AA110" s="45"/>
      <c r="AB110" s="48">
        <v>25</v>
      </c>
      <c r="AC110" s="49">
        <f>資料儲存!D2606</f>
        <v>0</v>
      </c>
      <c r="AD110" s="49">
        <f>資料儲存!E2606</f>
        <v>0</v>
      </c>
      <c r="AE110" s="49">
        <f>資料儲存!F2606</f>
        <v>0</v>
      </c>
      <c r="AF110" s="49">
        <f>資料儲存!G2606</f>
        <v>0</v>
      </c>
      <c r="AG110" s="49">
        <f>資料儲存!H2606</f>
        <v>0</v>
      </c>
      <c r="AH110" s="49">
        <f>資料儲存!I2606</f>
        <v>0</v>
      </c>
      <c r="AI110" s="49">
        <f>資料儲存!J2606</f>
        <v>0</v>
      </c>
      <c r="AJ110" s="13"/>
      <c r="AK110" s="48">
        <v>25</v>
      </c>
      <c r="AL110" s="49">
        <f>資料儲存!D2726</f>
        <v>0</v>
      </c>
      <c r="AM110" s="49">
        <f>資料儲存!E2726</f>
        <v>0</v>
      </c>
      <c r="AN110" s="49">
        <f>資料儲存!F2726</f>
        <v>0</v>
      </c>
      <c r="AO110" s="49">
        <f>資料儲存!G2726</f>
        <v>0</v>
      </c>
      <c r="AP110" s="49">
        <f>資料儲存!H2726</f>
        <v>0</v>
      </c>
      <c r="AQ110" s="49">
        <f>資料儲存!I2726</f>
        <v>0</v>
      </c>
      <c r="AR110" s="49">
        <f>資料儲存!J2726</f>
        <v>0</v>
      </c>
      <c r="AT110" s="48">
        <v>25</v>
      </c>
      <c r="AU110" s="49">
        <f>資料儲存!D2846</f>
        <v>0</v>
      </c>
      <c r="AV110" s="49">
        <f>資料儲存!E2846</f>
        <v>0</v>
      </c>
      <c r="AW110" s="49">
        <f>資料儲存!F2846</f>
        <v>0</v>
      </c>
      <c r="AX110" s="49">
        <f>資料儲存!G2846</f>
        <v>0</v>
      </c>
      <c r="AY110" s="49">
        <f>資料儲存!H2846</f>
        <v>0</v>
      </c>
      <c r="AZ110" s="49">
        <f>資料儲存!I2846</f>
        <v>0</v>
      </c>
      <c r="BA110" s="49">
        <f>資料儲存!J2846</f>
        <v>0</v>
      </c>
    </row>
    <row r="111" spans="1:53" ht="16" thickBot="1">
      <c r="A111" s="48">
        <v>26</v>
      </c>
      <c r="B111" s="49">
        <f>資料儲存!D2247</f>
        <v>0</v>
      </c>
      <c r="C111" s="49">
        <f>資料儲存!E2247</f>
        <v>0</v>
      </c>
      <c r="D111" s="49">
        <f>資料儲存!F2247</f>
        <v>0</v>
      </c>
      <c r="E111" s="49">
        <f>資料儲存!G2247</f>
        <v>0</v>
      </c>
      <c r="F111" s="49">
        <f>資料儲存!H2247</f>
        <v>0</v>
      </c>
      <c r="G111" s="49">
        <f>資料儲存!I2247</f>
        <v>0</v>
      </c>
      <c r="H111" s="49">
        <f>資料儲存!J2247</f>
        <v>0</v>
      </c>
      <c r="I111" s="45"/>
      <c r="J111" s="48">
        <v>26</v>
      </c>
      <c r="K111" s="49">
        <f>資料儲存!D2367</f>
        <v>0</v>
      </c>
      <c r="L111" s="49">
        <f>資料儲存!E2367</f>
        <v>0</v>
      </c>
      <c r="M111" s="49">
        <f>資料儲存!F2367</f>
        <v>0</v>
      </c>
      <c r="N111" s="49">
        <f>資料儲存!G2367</f>
        <v>0</v>
      </c>
      <c r="O111" s="49">
        <f>資料儲存!H2367</f>
        <v>0</v>
      </c>
      <c r="P111" s="49">
        <f>資料儲存!I2367</f>
        <v>0</v>
      </c>
      <c r="Q111" s="49">
        <f>資料儲存!J2367</f>
        <v>0</v>
      </c>
      <c r="R111" s="45"/>
      <c r="S111" s="48">
        <v>26</v>
      </c>
      <c r="T111" s="49">
        <f>資料儲存!D2487</f>
        <v>0</v>
      </c>
      <c r="U111" s="49">
        <f>資料儲存!E2487</f>
        <v>0</v>
      </c>
      <c r="V111" s="49">
        <f>資料儲存!F2487</f>
        <v>0</v>
      </c>
      <c r="W111" s="49">
        <f>資料儲存!G2487</f>
        <v>0</v>
      </c>
      <c r="X111" s="49">
        <f>資料儲存!H2487</f>
        <v>0</v>
      </c>
      <c r="Y111" s="49">
        <f>資料儲存!I2487</f>
        <v>0</v>
      </c>
      <c r="Z111" s="49">
        <f>資料儲存!J2487</f>
        <v>0</v>
      </c>
      <c r="AA111" s="45"/>
      <c r="AB111" s="48">
        <v>26</v>
      </c>
      <c r="AC111" s="49">
        <f>資料儲存!D2607</f>
        <v>0</v>
      </c>
      <c r="AD111" s="49">
        <f>資料儲存!E2607</f>
        <v>0</v>
      </c>
      <c r="AE111" s="49">
        <f>資料儲存!F2607</f>
        <v>0</v>
      </c>
      <c r="AF111" s="49">
        <f>資料儲存!G2607</f>
        <v>0</v>
      </c>
      <c r="AG111" s="49">
        <f>資料儲存!H2607</f>
        <v>0</v>
      </c>
      <c r="AH111" s="49">
        <f>資料儲存!I2607</f>
        <v>0</v>
      </c>
      <c r="AI111" s="49">
        <f>資料儲存!J2607</f>
        <v>0</v>
      </c>
      <c r="AJ111" s="13"/>
      <c r="AK111" s="48">
        <v>26</v>
      </c>
      <c r="AL111" s="49">
        <f>資料儲存!D2727</f>
        <v>0</v>
      </c>
      <c r="AM111" s="49">
        <f>資料儲存!E2727</f>
        <v>0</v>
      </c>
      <c r="AN111" s="49">
        <f>資料儲存!F2727</f>
        <v>0</v>
      </c>
      <c r="AO111" s="49">
        <f>資料儲存!G2727</f>
        <v>0</v>
      </c>
      <c r="AP111" s="49">
        <f>資料儲存!H2727</f>
        <v>0</v>
      </c>
      <c r="AQ111" s="49">
        <f>資料儲存!I2727</f>
        <v>0</v>
      </c>
      <c r="AR111" s="49">
        <f>資料儲存!J2727</f>
        <v>0</v>
      </c>
      <c r="AT111" s="48">
        <v>26</v>
      </c>
      <c r="AU111" s="49">
        <f>資料儲存!D2847</f>
        <v>0</v>
      </c>
      <c r="AV111" s="49">
        <f>資料儲存!E2847</f>
        <v>0</v>
      </c>
      <c r="AW111" s="49">
        <f>資料儲存!F2847</f>
        <v>0</v>
      </c>
      <c r="AX111" s="49">
        <f>資料儲存!G2847</f>
        <v>0</v>
      </c>
      <c r="AY111" s="49">
        <f>資料儲存!H2847</f>
        <v>0</v>
      </c>
      <c r="AZ111" s="49">
        <f>資料儲存!I2847</f>
        <v>0</v>
      </c>
      <c r="BA111" s="49">
        <f>資料儲存!J2847</f>
        <v>0</v>
      </c>
    </row>
    <row r="112" spans="1:53" ht="16" thickBot="1">
      <c r="A112" s="48">
        <v>27</v>
      </c>
      <c r="B112" s="49">
        <f>資料儲存!D2248</f>
        <v>0</v>
      </c>
      <c r="C112" s="49">
        <f>資料儲存!E2248</f>
        <v>0</v>
      </c>
      <c r="D112" s="49">
        <f>資料儲存!F2248</f>
        <v>0</v>
      </c>
      <c r="E112" s="49">
        <f>資料儲存!G2248</f>
        <v>0</v>
      </c>
      <c r="F112" s="49">
        <f>資料儲存!H2248</f>
        <v>0</v>
      </c>
      <c r="G112" s="49">
        <f>資料儲存!I2248</f>
        <v>0</v>
      </c>
      <c r="H112" s="49">
        <f>資料儲存!J2248</f>
        <v>0</v>
      </c>
      <c r="I112" s="45"/>
      <c r="J112" s="48">
        <v>27</v>
      </c>
      <c r="K112" s="49">
        <f>資料儲存!D2368</f>
        <v>0</v>
      </c>
      <c r="L112" s="49">
        <f>資料儲存!E2368</f>
        <v>0</v>
      </c>
      <c r="M112" s="49">
        <f>資料儲存!F2368</f>
        <v>0</v>
      </c>
      <c r="N112" s="49">
        <f>資料儲存!G2368</f>
        <v>0</v>
      </c>
      <c r="O112" s="49">
        <f>資料儲存!H2368</f>
        <v>0</v>
      </c>
      <c r="P112" s="49">
        <f>資料儲存!I2368</f>
        <v>0</v>
      </c>
      <c r="Q112" s="49">
        <f>資料儲存!J2368</f>
        <v>0</v>
      </c>
      <c r="R112" s="45"/>
      <c r="S112" s="48">
        <v>27</v>
      </c>
      <c r="T112" s="49">
        <f>資料儲存!D2488</f>
        <v>0</v>
      </c>
      <c r="U112" s="49">
        <f>資料儲存!E2488</f>
        <v>0</v>
      </c>
      <c r="V112" s="49">
        <f>資料儲存!F2488</f>
        <v>0</v>
      </c>
      <c r="W112" s="49">
        <f>資料儲存!G2488</f>
        <v>0</v>
      </c>
      <c r="X112" s="49">
        <f>資料儲存!H2488</f>
        <v>0</v>
      </c>
      <c r="Y112" s="49">
        <f>資料儲存!I2488</f>
        <v>0</v>
      </c>
      <c r="Z112" s="49">
        <f>資料儲存!J2488</f>
        <v>0</v>
      </c>
      <c r="AA112" s="45"/>
      <c r="AB112" s="48">
        <v>27</v>
      </c>
      <c r="AC112" s="49">
        <f>資料儲存!D2608</f>
        <v>0</v>
      </c>
      <c r="AD112" s="49">
        <f>資料儲存!E2608</f>
        <v>0</v>
      </c>
      <c r="AE112" s="49">
        <f>資料儲存!F2608</f>
        <v>0</v>
      </c>
      <c r="AF112" s="49">
        <f>資料儲存!G2608</f>
        <v>0</v>
      </c>
      <c r="AG112" s="49">
        <f>資料儲存!H2608</f>
        <v>0</v>
      </c>
      <c r="AH112" s="49">
        <f>資料儲存!I2608</f>
        <v>0</v>
      </c>
      <c r="AI112" s="49">
        <f>資料儲存!J2608</f>
        <v>0</v>
      </c>
      <c r="AJ112" s="13"/>
      <c r="AK112" s="48">
        <v>27</v>
      </c>
      <c r="AL112" s="49">
        <f>資料儲存!D2728</f>
        <v>0</v>
      </c>
      <c r="AM112" s="49">
        <f>資料儲存!E2728</f>
        <v>0</v>
      </c>
      <c r="AN112" s="49">
        <f>資料儲存!F2728</f>
        <v>0</v>
      </c>
      <c r="AO112" s="49">
        <f>資料儲存!G2728</f>
        <v>0</v>
      </c>
      <c r="AP112" s="49">
        <f>資料儲存!H2728</f>
        <v>0</v>
      </c>
      <c r="AQ112" s="49">
        <f>資料儲存!I2728</f>
        <v>0</v>
      </c>
      <c r="AR112" s="49">
        <f>資料儲存!J2728</f>
        <v>0</v>
      </c>
      <c r="AT112" s="48">
        <v>27</v>
      </c>
      <c r="AU112" s="49">
        <f>資料儲存!D2848</f>
        <v>0</v>
      </c>
      <c r="AV112" s="49">
        <f>資料儲存!E2848</f>
        <v>0</v>
      </c>
      <c r="AW112" s="49">
        <f>資料儲存!F2848</f>
        <v>0</v>
      </c>
      <c r="AX112" s="49">
        <f>資料儲存!G2848</f>
        <v>0</v>
      </c>
      <c r="AY112" s="49">
        <f>資料儲存!H2848</f>
        <v>0</v>
      </c>
      <c r="AZ112" s="49">
        <f>資料儲存!I2848</f>
        <v>0</v>
      </c>
      <c r="BA112" s="49">
        <f>資料儲存!J2848</f>
        <v>0</v>
      </c>
    </row>
    <row r="113" spans="1:53" ht="16" thickBot="1">
      <c r="A113" s="48">
        <v>28</v>
      </c>
      <c r="B113" s="49">
        <f>資料儲存!D2249</f>
        <v>0</v>
      </c>
      <c r="C113" s="49">
        <f>資料儲存!E2249</f>
        <v>0</v>
      </c>
      <c r="D113" s="49">
        <f>資料儲存!F2249</f>
        <v>0</v>
      </c>
      <c r="E113" s="49">
        <f>資料儲存!G2249</f>
        <v>0</v>
      </c>
      <c r="F113" s="49">
        <f>資料儲存!H2249</f>
        <v>0</v>
      </c>
      <c r="G113" s="49">
        <f>資料儲存!I2249</f>
        <v>0</v>
      </c>
      <c r="H113" s="49">
        <f>資料儲存!J2249</f>
        <v>0</v>
      </c>
      <c r="I113" s="45"/>
      <c r="J113" s="48">
        <v>28</v>
      </c>
      <c r="K113" s="49">
        <f>資料儲存!D2369</f>
        <v>0</v>
      </c>
      <c r="L113" s="49">
        <f>資料儲存!E2369</f>
        <v>0</v>
      </c>
      <c r="M113" s="49">
        <f>資料儲存!F2369</f>
        <v>0</v>
      </c>
      <c r="N113" s="49">
        <f>資料儲存!G2369</f>
        <v>0</v>
      </c>
      <c r="O113" s="49">
        <f>資料儲存!H2369</f>
        <v>0</v>
      </c>
      <c r="P113" s="49">
        <f>資料儲存!I2369</f>
        <v>0</v>
      </c>
      <c r="Q113" s="49">
        <f>資料儲存!J2369</f>
        <v>0</v>
      </c>
      <c r="R113" s="45"/>
      <c r="S113" s="48">
        <v>28</v>
      </c>
      <c r="T113" s="49">
        <f>資料儲存!D2489</f>
        <v>0</v>
      </c>
      <c r="U113" s="49">
        <f>資料儲存!E2489</f>
        <v>0</v>
      </c>
      <c r="V113" s="49">
        <f>資料儲存!F2489</f>
        <v>0</v>
      </c>
      <c r="W113" s="49">
        <f>資料儲存!G2489</f>
        <v>0</v>
      </c>
      <c r="X113" s="49">
        <f>資料儲存!H2489</f>
        <v>0</v>
      </c>
      <c r="Y113" s="49">
        <f>資料儲存!I2489</f>
        <v>0</v>
      </c>
      <c r="Z113" s="49">
        <f>資料儲存!J2489</f>
        <v>0</v>
      </c>
      <c r="AA113" s="45"/>
      <c r="AB113" s="48">
        <v>28</v>
      </c>
      <c r="AC113" s="49">
        <f>資料儲存!D2609</f>
        <v>0</v>
      </c>
      <c r="AD113" s="49">
        <f>資料儲存!E2609</f>
        <v>0</v>
      </c>
      <c r="AE113" s="49">
        <f>資料儲存!F2609</f>
        <v>0</v>
      </c>
      <c r="AF113" s="49">
        <f>資料儲存!G2609</f>
        <v>0</v>
      </c>
      <c r="AG113" s="49">
        <f>資料儲存!H2609</f>
        <v>0</v>
      </c>
      <c r="AH113" s="49">
        <f>資料儲存!I2609</f>
        <v>0</v>
      </c>
      <c r="AI113" s="49">
        <f>資料儲存!J2609</f>
        <v>0</v>
      </c>
      <c r="AJ113" s="13"/>
      <c r="AK113" s="48">
        <v>28</v>
      </c>
      <c r="AL113" s="49">
        <f>資料儲存!D2729</f>
        <v>0</v>
      </c>
      <c r="AM113" s="49">
        <f>資料儲存!E2729</f>
        <v>0</v>
      </c>
      <c r="AN113" s="49">
        <f>資料儲存!F2729</f>
        <v>0</v>
      </c>
      <c r="AO113" s="49">
        <f>資料儲存!G2729</f>
        <v>0</v>
      </c>
      <c r="AP113" s="49">
        <f>資料儲存!H2729</f>
        <v>0</v>
      </c>
      <c r="AQ113" s="49">
        <f>資料儲存!I2729</f>
        <v>0</v>
      </c>
      <c r="AR113" s="49">
        <f>資料儲存!J2729</f>
        <v>0</v>
      </c>
      <c r="AT113" s="48">
        <v>28</v>
      </c>
      <c r="AU113" s="49">
        <f>資料儲存!D2849</f>
        <v>0</v>
      </c>
      <c r="AV113" s="49">
        <f>資料儲存!E2849</f>
        <v>0</v>
      </c>
      <c r="AW113" s="49">
        <f>資料儲存!F2849</f>
        <v>0</v>
      </c>
      <c r="AX113" s="49">
        <f>資料儲存!G2849</f>
        <v>0</v>
      </c>
      <c r="AY113" s="49">
        <f>資料儲存!H2849</f>
        <v>0</v>
      </c>
      <c r="AZ113" s="49">
        <f>資料儲存!I2849</f>
        <v>0</v>
      </c>
      <c r="BA113" s="49">
        <f>資料儲存!J2849</f>
        <v>0</v>
      </c>
    </row>
    <row r="114" spans="1:53" ht="16" thickBot="1">
      <c r="A114" s="48">
        <v>29</v>
      </c>
      <c r="B114" s="49">
        <f>資料儲存!D2250</f>
        <v>0</v>
      </c>
      <c r="C114" s="49">
        <f>資料儲存!E2250</f>
        <v>0</v>
      </c>
      <c r="D114" s="49">
        <f>資料儲存!F2250</f>
        <v>0</v>
      </c>
      <c r="E114" s="49">
        <f>資料儲存!G2250</f>
        <v>0</v>
      </c>
      <c r="F114" s="49">
        <f>資料儲存!H2250</f>
        <v>0</v>
      </c>
      <c r="G114" s="49">
        <f>資料儲存!I2250</f>
        <v>0</v>
      </c>
      <c r="H114" s="49">
        <f>資料儲存!J2250</f>
        <v>0</v>
      </c>
      <c r="I114" s="45"/>
      <c r="J114" s="48">
        <v>29</v>
      </c>
      <c r="K114" s="49">
        <f>資料儲存!D2370</f>
        <v>0</v>
      </c>
      <c r="L114" s="49">
        <f>資料儲存!E2370</f>
        <v>0</v>
      </c>
      <c r="M114" s="49">
        <f>資料儲存!F2370</f>
        <v>0</v>
      </c>
      <c r="N114" s="49">
        <f>資料儲存!G2370</f>
        <v>0</v>
      </c>
      <c r="O114" s="49">
        <f>資料儲存!H2370</f>
        <v>0</v>
      </c>
      <c r="P114" s="49">
        <f>資料儲存!I2370</f>
        <v>0</v>
      </c>
      <c r="Q114" s="49">
        <f>資料儲存!J2370</f>
        <v>0</v>
      </c>
      <c r="R114" s="45"/>
      <c r="S114" s="48">
        <v>29</v>
      </c>
      <c r="T114" s="49">
        <f>資料儲存!D2490</f>
        <v>0</v>
      </c>
      <c r="U114" s="49">
        <f>資料儲存!E2490</f>
        <v>0</v>
      </c>
      <c r="V114" s="49">
        <f>資料儲存!F2490</f>
        <v>0</v>
      </c>
      <c r="W114" s="49">
        <f>資料儲存!G2490</f>
        <v>0</v>
      </c>
      <c r="X114" s="49">
        <f>資料儲存!H2490</f>
        <v>0</v>
      </c>
      <c r="Y114" s="49">
        <f>資料儲存!I2490</f>
        <v>0</v>
      </c>
      <c r="Z114" s="49">
        <f>資料儲存!J2490</f>
        <v>0</v>
      </c>
      <c r="AA114" s="45"/>
      <c r="AB114" s="48">
        <v>29</v>
      </c>
      <c r="AC114" s="49">
        <f>資料儲存!D2610</f>
        <v>0</v>
      </c>
      <c r="AD114" s="49">
        <f>資料儲存!E2610</f>
        <v>0</v>
      </c>
      <c r="AE114" s="49">
        <f>資料儲存!F2610</f>
        <v>0</v>
      </c>
      <c r="AF114" s="49">
        <f>資料儲存!G2610</f>
        <v>0</v>
      </c>
      <c r="AG114" s="49">
        <f>資料儲存!H2610</f>
        <v>0</v>
      </c>
      <c r="AH114" s="49">
        <f>資料儲存!I2610</f>
        <v>0</v>
      </c>
      <c r="AI114" s="49">
        <f>資料儲存!J2610</f>
        <v>0</v>
      </c>
      <c r="AJ114" s="13"/>
      <c r="AK114" s="48">
        <v>29</v>
      </c>
      <c r="AL114" s="49">
        <f>資料儲存!D2730</f>
        <v>0</v>
      </c>
      <c r="AM114" s="49">
        <f>資料儲存!E2730</f>
        <v>0</v>
      </c>
      <c r="AN114" s="49">
        <f>資料儲存!F2730</f>
        <v>0</v>
      </c>
      <c r="AO114" s="49">
        <f>資料儲存!G2730</f>
        <v>0</v>
      </c>
      <c r="AP114" s="49">
        <f>資料儲存!H2730</f>
        <v>0</v>
      </c>
      <c r="AQ114" s="49">
        <f>資料儲存!I2730</f>
        <v>0</v>
      </c>
      <c r="AR114" s="49">
        <f>資料儲存!J2730</f>
        <v>0</v>
      </c>
      <c r="AT114" s="48">
        <v>29</v>
      </c>
      <c r="AU114" s="49">
        <f>資料儲存!D2850</f>
        <v>0</v>
      </c>
      <c r="AV114" s="49">
        <f>資料儲存!E2850</f>
        <v>0</v>
      </c>
      <c r="AW114" s="49">
        <f>資料儲存!F2850</f>
        <v>0</v>
      </c>
      <c r="AX114" s="49">
        <f>資料儲存!G2850</f>
        <v>0</v>
      </c>
      <c r="AY114" s="49">
        <f>資料儲存!H2850</f>
        <v>0</v>
      </c>
      <c r="AZ114" s="49">
        <f>資料儲存!I2850</f>
        <v>0</v>
      </c>
      <c r="BA114" s="49">
        <f>資料儲存!J2850</f>
        <v>0</v>
      </c>
    </row>
    <row r="115" spans="1:53" ht="16" thickBot="1">
      <c r="A115" s="48">
        <v>30</v>
      </c>
      <c r="B115" s="49">
        <f>資料儲存!D2251</f>
        <v>0</v>
      </c>
      <c r="C115" s="49">
        <f>資料儲存!E2251</f>
        <v>0</v>
      </c>
      <c r="D115" s="49">
        <f>資料儲存!F2251</f>
        <v>0</v>
      </c>
      <c r="E115" s="49">
        <f>資料儲存!G2251</f>
        <v>0</v>
      </c>
      <c r="F115" s="49">
        <f>資料儲存!H2251</f>
        <v>0</v>
      </c>
      <c r="G115" s="49">
        <f>資料儲存!I2251</f>
        <v>0</v>
      </c>
      <c r="H115" s="49">
        <f>資料儲存!J2251</f>
        <v>0</v>
      </c>
      <c r="I115" s="45"/>
      <c r="J115" s="48">
        <v>30</v>
      </c>
      <c r="K115" s="49">
        <f>資料儲存!D2371</f>
        <v>0</v>
      </c>
      <c r="L115" s="49">
        <f>資料儲存!E2371</f>
        <v>0</v>
      </c>
      <c r="M115" s="49">
        <f>資料儲存!F2371</f>
        <v>0</v>
      </c>
      <c r="N115" s="49">
        <f>資料儲存!G2371</f>
        <v>0</v>
      </c>
      <c r="O115" s="49">
        <f>資料儲存!H2371</f>
        <v>0</v>
      </c>
      <c r="P115" s="49">
        <f>資料儲存!I2371</f>
        <v>0</v>
      </c>
      <c r="Q115" s="49">
        <f>資料儲存!J2371</f>
        <v>0</v>
      </c>
      <c r="R115" s="45"/>
      <c r="S115" s="48">
        <v>30</v>
      </c>
      <c r="T115" s="49">
        <f>資料儲存!D2491</f>
        <v>0</v>
      </c>
      <c r="U115" s="49">
        <f>資料儲存!E2491</f>
        <v>0</v>
      </c>
      <c r="V115" s="49">
        <f>資料儲存!F2491</f>
        <v>0</v>
      </c>
      <c r="W115" s="49">
        <f>資料儲存!G2491</f>
        <v>0</v>
      </c>
      <c r="X115" s="49">
        <f>資料儲存!H2491</f>
        <v>0</v>
      </c>
      <c r="Y115" s="49">
        <f>資料儲存!I2491</f>
        <v>0</v>
      </c>
      <c r="Z115" s="49">
        <f>資料儲存!J2491</f>
        <v>0</v>
      </c>
      <c r="AA115" s="45"/>
      <c r="AB115" s="48">
        <v>30</v>
      </c>
      <c r="AC115" s="49">
        <f>資料儲存!D2611</f>
        <v>0</v>
      </c>
      <c r="AD115" s="49">
        <f>資料儲存!E2611</f>
        <v>0</v>
      </c>
      <c r="AE115" s="49">
        <f>資料儲存!F2611</f>
        <v>0</v>
      </c>
      <c r="AF115" s="49">
        <f>資料儲存!G2611</f>
        <v>0</v>
      </c>
      <c r="AG115" s="49">
        <f>資料儲存!H2611</f>
        <v>0</v>
      </c>
      <c r="AH115" s="49">
        <f>資料儲存!I2611</f>
        <v>0</v>
      </c>
      <c r="AI115" s="49">
        <f>資料儲存!J2611</f>
        <v>0</v>
      </c>
      <c r="AJ115" s="13"/>
      <c r="AK115" s="48">
        <v>30</v>
      </c>
      <c r="AL115" s="49">
        <f>資料儲存!D2731</f>
        <v>0</v>
      </c>
      <c r="AM115" s="49">
        <f>資料儲存!E2731</f>
        <v>0</v>
      </c>
      <c r="AN115" s="49">
        <f>資料儲存!F2731</f>
        <v>0</v>
      </c>
      <c r="AO115" s="49">
        <f>資料儲存!G2731</f>
        <v>0</v>
      </c>
      <c r="AP115" s="49">
        <f>資料儲存!H2731</f>
        <v>0</v>
      </c>
      <c r="AQ115" s="49">
        <f>資料儲存!I2731</f>
        <v>0</v>
      </c>
      <c r="AR115" s="49">
        <f>資料儲存!J2731</f>
        <v>0</v>
      </c>
      <c r="AT115" s="48">
        <v>30</v>
      </c>
      <c r="AU115" s="49">
        <f>資料儲存!D2851</f>
        <v>0</v>
      </c>
      <c r="AV115" s="49">
        <f>資料儲存!E2851</f>
        <v>0</v>
      </c>
      <c r="AW115" s="49">
        <f>資料儲存!F2851</f>
        <v>0</v>
      </c>
      <c r="AX115" s="49">
        <f>資料儲存!G2851</f>
        <v>0</v>
      </c>
      <c r="AY115" s="49">
        <f>資料儲存!H2851</f>
        <v>0</v>
      </c>
      <c r="AZ115" s="49">
        <f>資料儲存!I2851</f>
        <v>0</v>
      </c>
      <c r="BA115" s="49">
        <f>資料儲存!J2851</f>
        <v>0</v>
      </c>
    </row>
    <row r="116" spans="1:53" ht="17.25" customHeight="1" thickBot="1">
      <c r="A116" s="50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0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0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0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13"/>
      <c r="AK116" s="50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  <c r="AT116" s="50" t="s">
        <v>56</v>
      </c>
      <c r="AU116" s="49">
        <f>SUM(AU101:AX115)</f>
        <v>0</v>
      </c>
      <c r="AV116" s="47"/>
      <c r="AW116" s="47"/>
      <c r="AX116" s="47"/>
      <c r="AY116" s="49">
        <f>AY115</f>
        <v>0</v>
      </c>
      <c r="AZ116" s="49">
        <f>AZ115</f>
        <v>0</v>
      </c>
      <c r="BA116" s="49">
        <f>BA115</f>
        <v>0</v>
      </c>
    </row>
    <row r="117" spans="1:53" ht="18.5" thickBot="1">
      <c r="A117" s="248" t="s">
        <v>169</v>
      </c>
      <c r="B117" s="249"/>
      <c r="C117" s="249"/>
      <c r="D117" s="249"/>
      <c r="E117" s="249"/>
      <c r="F117" s="249"/>
      <c r="G117" s="249"/>
      <c r="H117" s="250"/>
      <c r="I117" s="13"/>
      <c r="J117" s="248" t="s">
        <v>169</v>
      </c>
      <c r="K117" s="249"/>
      <c r="L117" s="249"/>
      <c r="M117" s="249"/>
      <c r="N117" s="249"/>
      <c r="O117" s="249"/>
      <c r="P117" s="249"/>
      <c r="Q117" s="250"/>
      <c r="R117" s="13"/>
      <c r="S117" s="248" t="s">
        <v>169</v>
      </c>
      <c r="T117" s="249"/>
      <c r="U117" s="249"/>
      <c r="V117" s="249"/>
      <c r="W117" s="249"/>
      <c r="X117" s="249"/>
      <c r="Y117" s="249"/>
      <c r="Z117" s="250"/>
      <c r="AA117" s="13"/>
      <c r="AB117" s="248" t="s">
        <v>169</v>
      </c>
      <c r="AC117" s="249"/>
      <c r="AD117" s="249"/>
      <c r="AE117" s="249"/>
      <c r="AF117" s="249"/>
      <c r="AG117" s="249"/>
      <c r="AH117" s="249"/>
      <c r="AI117" s="250"/>
      <c r="AJ117" s="13"/>
      <c r="AK117" s="248" t="s">
        <v>169</v>
      </c>
      <c r="AL117" s="249"/>
      <c r="AM117" s="249"/>
      <c r="AN117" s="249"/>
      <c r="AO117" s="249"/>
      <c r="AP117" s="249"/>
      <c r="AQ117" s="249"/>
      <c r="AR117" s="250"/>
      <c r="AT117" s="248" t="s">
        <v>169</v>
      </c>
      <c r="AU117" s="249"/>
      <c r="AV117" s="249"/>
      <c r="AW117" s="249"/>
      <c r="AX117" s="249"/>
      <c r="AY117" s="249"/>
      <c r="AZ117" s="249"/>
      <c r="BA117" s="250"/>
    </row>
    <row r="118" spans="1:53" ht="17.25" customHeight="1" thickBot="1">
      <c r="A118" s="31" t="s">
        <v>2</v>
      </c>
      <c r="B118" s="32" t="s">
        <v>46</v>
      </c>
      <c r="C118" s="33"/>
      <c r="D118" s="33"/>
      <c r="E118" s="34"/>
      <c r="F118" s="32" t="s">
        <v>47</v>
      </c>
      <c r="G118" s="33"/>
      <c r="H118" s="34"/>
      <c r="I118" s="35"/>
      <c r="J118" s="31" t="s">
        <v>2</v>
      </c>
      <c r="K118" s="32" t="s">
        <v>46</v>
      </c>
      <c r="L118" s="33"/>
      <c r="M118" s="33"/>
      <c r="N118" s="34"/>
      <c r="O118" s="32" t="s">
        <v>47</v>
      </c>
      <c r="P118" s="33"/>
      <c r="Q118" s="34"/>
      <c r="R118" s="35"/>
      <c r="S118" s="31" t="s">
        <v>2</v>
      </c>
      <c r="T118" s="32" t="s">
        <v>46</v>
      </c>
      <c r="U118" s="33"/>
      <c r="V118" s="33"/>
      <c r="W118" s="34"/>
      <c r="X118" s="32" t="s">
        <v>47</v>
      </c>
      <c r="Y118" s="33"/>
      <c r="Z118" s="34"/>
      <c r="AA118" s="35"/>
      <c r="AB118" s="31" t="s">
        <v>2</v>
      </c>
      <c r="AC118" s="32" t="s">
        <v>46</v>
      </c>
      <c r="AD118" s="33"/>
      <c r="AE118" s="33"/>
      <c r="AF118" s="34"/>
      <c r="AG118" s="32" t="s">
        <v>47</v>
      </c>
      <c r="AH118" s="33"/>
      <c r="AI118" s="34"/>
      <c r="AJ118" s="13"/>
      <c r="AK118" s="31" t="s">
        <v>2</v>
      </c>
      <c r="AL118" s="32" t="s">
        <v>46</v>
      </c>
      <c r="AM118" s="33"/>
      <c r="AN118" s="33"/>
      <c r="AO118" s="34"/>
      <c r="AP118" s="32" t="s">
        <v>47</v>
      </c>
      <c r="AQ118" s="33"/>
      <c r="AR118" s="34"/>
      <c r="AT118" s="31" t="s">
        <v>2</v>
      </c>
      <c r="AU118" s="32" t="s">
        <v>46</v>
      </c>
      <c r="AV118" s="33"/>
      <c r="AW118" s="33"/>
      <c r="AX118" s="34"/>
      <c r="AY118" s="32" t="s">
        <v>47</v>
      </c>
      <c r="AZ118" s="33"/>
      <c r="BA118" s="34"/>
    </row>
    <row r="119" spans="1:53" ht="16" thickBot="1">
      <c r="A119" s="36">
        <v>0.5625</v>
      </c>
      <c r="B119" s="37" t="s">
        <v>49</v>
      </c>
      <c r="C119" s="37" t="s">
        <v>50</v>
      </c>
      <c r="D119" s="37" t="s">
        <v>51</v>
      </c>
      <c r="E119" s="37" t="s">
        <v>52</v>
      </c>
      <c r="F119" s="37" t="s">
        <v>53</v>
      </c>
      <c r="G119" s="37" t="s">
        <v>54</v>
      </c>
      <c r="H119" s="37" t="s">
        <v>55</v>
      </c>
      <c r="I119" s="35"/>
      <c r="J119" s="36">
        <v>0.5625</v>
      </c>
      <c r="K119" s="37" t="s">
        <v>49</v>
      </c>
      <c r="L119" s="37" t="s">
        <v>50</v>
      </c>
      <c r="M119" s="37" t="s">
        <v>51</v>
      </c>
      <c r="N119" s="37" t="s">
        <v>52</v>
      </c>
      <c r="O119" s="37" t="s">
        <v>53</v>
      </c>
      <c r="P119" s="37" t="s">
        <v>54</v>
      </c>
      <c r="Q119" s="37" t="s">
        <v>55</v>
      </c>
      <c r="R119" s="35"/>
      <c r="S119" s="36">
        <v>0.5625</v>
      </c>
      <c r="T119" s="37" t="s">
        <v>49</v>
      </c>
      <c r="U119" s="37" t="s">
        <v>50</v>
      </c>
      <c r="V119" s="37" t="s">
        <v>51</v>
      </c>
      <c r="W119" s="37" t="s">
        <v>52</v>
      </c>
      <c r="X119" s="37" t="s">
        <v>53</v>
      </c>
      <c r="Y119" s="37" t="s">
        <v>54</v>
      </c>
      <c r="Z119" s="37" t="s">
        <v>55</v>
      </c>
      <c r="AA119" s="35"/>
      <c r="AB119" s="36">
        <v>0.5625</v>
      </c>
      <c r="AC119" s="37" t="s">
        <v>49</v>
      </c>
      <c r="AD119" s="37" t="s">
        <v>50</v>
      </c>
      <c r="AE119" s="37" t="s">
        <v>51</v>
      </c>
      <c r="AF119" s="37" t="s">
        <v>52</v>
      </c>
      <c r="AG119" s="37" t="s">
        <v>53</v>
      </c>
      <c r="AH119" s="37" t="s">
        <v>54</v>
      </c>
      <c r="AI119" s="37" t="s">
        <v>55</v>
      </c>
      <c r="AJ119" s="13"/>
      <c r="AK119" s="36">
        <v>0.5625</v>
      </c>
      <c r="AL119" s="37" t="s">
        <v>49</v>
      </c>
      <c r="AM119" s="37" t="s">
        <v>50</v>
      </c>
      <c r="AN119" s="37" t="s">
        <v>51</v>
      </c>
      <c r="AO119" s="37" t="s">
        <v>52</v>
      </c>
      <c r="AP119" s="37" t="s">
        <v>53</v>
      </c>
      <c r="AQ119" s="37" t="s">
        <v>54</v>
      </c>
      <c r="AR119" s="37" t="s">
        <v>55</v>
      </c>
      <c r="AT119" s="36">
        <v>0.5625</v>
      </c>
      <c r="AU119" s="37" t="s">
        <v>49</v>
      </c>
      <c r="AV119" s="37" t="s">
        <v>50</v>
      </c>
      <c r="AW119" s="37" t="s">
        <v>51</v>
      </c>
      <c r="AX119" s="37" t="s">
        <v>52</v>
      </c>
      <c r="AY119" s="37" t="s">
        <v>53</v>
      </c>
      <c r="AZ119" s="37" t="s">
        <v>54</v>
      </c>
      <c r="BA119" s="37" t="s">
        <v>55</v>
      </c>
    </row>
    <row r="120" spans="1:53" ht="16" thickBot="1">
      <c r="A120" s="38">
        <v>31</v>
      </c>
      <c r="B120" s="39">
        <f>資料儲存!D2252</f>
        <v>0</v>
      </c>
      <c r="C120" s="39">
        <f>資料儲存!E2252</f>
        <v>0</v>
      </c>
      <c r="D120" s="39">
        <f>資料儲存!F2252</f>
        <v>0</v>
      </c>
      <c r="E120" s="39">
        <f>資料儲存!G2252</f>
        <v>0</v>
      </c>
      <c r="F120" s="39">
        <f>資料儲存!H2252</f>
        <v>0</v>
      </c>
      <c r="G120" s="39">
        <f>資料儲存!I2252</f>
        <v>0</v>
      </c>
      <c r="H120" s="39">
        <f>資料儲存!J2252</f>
        <v>0</v>
      </c>
      <c r="I120" s="35"/>
      <c r="J120" s="38">
        <v>31</v>
      </c>
      <c r="K120" s="39">
        <f>資料儲存!D2372</f>
        <v>0</v>
      </c>
      <c r="L120" s="39">
        <f>資料儲存!E2372</f>
        <v>0</v>
      </c>
      <c r="M120" s="39">
        <f>資料儲存!F2372</f>
        <v>0</v>
      </c>
      <c r="N120" s="39">
        <f>資料儲存!G2372</f>
        <v>0</v>
      </c>
      <c r="O120" s="39">
        <f>資料儲存!H2372</f>
        <v>0</v>
      </c>
      <c r="P120" s="39">
        <f>資料儲存!I2372</f>
        <v>0</v>
      </c>
      <c r="Q120" s="39">
        <f>資料儲存!J2372</f>
        <v>0</v>
      </c>
      <c r="R120" s="35"/>
      <c r="S120" s="38">
        <v>31</v>
      </c>
      <c r="T120" s="39">
        <f>資料儲存!D2492</f>
        <v>0</v>
      </c>
      <c r="U120" s="39">
        <f>資料儲存!E2492</f>
        <v>0</v>
      </c>
      <c r="V120" s="39">
        <f>資料儲存!F2492</f>
        <v>0</v>
      </c>
      <c r="W120" s="39">
        <f>資料儲存!G2492</f>
        <v>0</v>
      </c>
      <c r="X120" s="39">
        <f>資料儲存!H2492</f>
        <v>0</v>
      </c>
      <c r="Y120" s="39">
        <f>資料儲存!I2492</f>
        <v>0</v>
      </c>
      <c r="Z120" s="39">
        <f>資料儲存!J2492</f>
        <v>0</v>
      </c>
      <c r="AA120" s="35"/>
      <c r="AB120" s="38">
        <v>31</v>
      </c>
      <c r="AC120" s="39">
        <f>資料儲存!D2612</f>
        <v>0</v>
      </c>
      <c r="AD120" s="39">
        <f>資料儲存!E2612</f>
        <v>0</v>
      </c>
      <c r="AE120" s="39">
        <f>資料儲存!F2612</f>
        <v>0</v>
      </c>
      <c r="AF120" s="39">
        <f>資料儲存!G2612</f>
        <v>0</v>
      </c>
      <c r="AG120" s="39">
        <f>資料儲存!H2612</f>
        <v>0</v>
      </c>
      <c r="AH120" s="39">
        <f>資料儲存!I2612</f>
        <v>0</v>
      </c>
      <c r="AI120" s="39">
        <f>資料儲存!J2612</f>
        <v>0</v>
      </c>
      <c r="AJ120" s="13"/>
      <c r="AK120" s="38">
        <v>31</v>
      </c>
      <c r="AL120" s="39">
        <f>資料儲存!D2732</f>
        <v>0</v>
      </c>
      <c r="AM120" s="39">
        <f>資料儲存!E2732</f>
        <v>0</v>
      </c>
      <c r="AN120" s="39">
        <f>資料儲存!F2732</f>
        <v>0</v>
      </c>
      <c r="AO120" s="39">
        <f>資料儲存!G2732</f>
        <v>0</v>
      </c>
      <c r="AP120" s="39">
        <f>資料儲存!H2732</f>
        <v>0</v>
      </c>
      <c r="AQ120" s="39">
        <f>資料儲存!I2732</f>
        <v>0</v>
      </c>
      <c r="AR120" s="39">
        <f>資料儲存!J2732</f>
        <v>0</v>
      </c>
      <c r="AT120" s="38">
        <v>31</v>
      </c>
      <c r="AU120" s="39">
        <f>資料儲存!D2852</f>
        <v>0</v>
      </c>
      <c r="AV120" s="39">
        <f>資料儲存!E2852</f>
        <v>0</v>
      </c>
      <c r="AW120" s="39">
        <f>資料儲存!F2852</f>
        <v>0</v>
      </c>
      <c r="AX120" s="39">
        <f>資料儲存!G2852</f>
        <v>0</v>
      </c>
      <c r="AY120" s="39">
        <f>資料儲存!H2852</f>
        <v>0</v>
      </c>
      <c r="AZ120" s="39">
        <f>資料儲存!I2852</f>
        <v>0</v>
      </c>
      <c r="BA120" s="39">
        <f>資料儲存!J2852</f>
        <v>0</v>
      </c>
    </row>
    <row r="121" spans="1:53" ht="16" thickBot="1">
      <c r="A121" s="38">
        <v>32</v>
      </c>
      <c r="B121" s="39">
        <f>資料儲存!D2253</f>
        <v>0</v>
      </c>
      <c r="C121" s="39">
        <f>資料儲存!E2253</f>
        <v>0</v>
      </c>
      <c r="D121" s="39">
        <f>資料儲存!F2253</f>
        <v>0</v>
      </c>
      <c r="E121" s="39">
        <f>資料儲存!G2253</f>
        <v>0</v>
      </c>
      <c r="F121" s="39">
        <f>資料儲存!H2253</f>
        <v>0</v>
      </c>
      <c r="G121" s="39">
        <f>資料儲存!I2253</f>
        <v>0</v>
      </c>
      <c r="H121" s="39">
        <f>資料儲存!J2253</f>
        <v>0</v>
      </c>
      <c r="I121" s="35"/>
      <c r="J121" s="38">
        <v>32</v>
      </c>
      <c r="K121" s="39">
        <f>資料儲存!D2373</f>
        <v>0</v>
      </c>
      <c r="L121" s="39">
        <f>資料儲存!E2373</f>
        <v>0</v>
      </c>
      <c r="M121" s="39">
        <f>資料儲存!F2373</f>
        <v>0</v>
      </c>
      <c r="N121" s="39">
        <f>資料儲存!G2373</f>
        <v>0</v>
      </c>
      <c r="O121" s="39">
        <f>資料儲存!H2373</f>
        <v>0</v>
      </c>
      <c r="P121" s="39">
        <f>資料儲存!I2373</f>
        <v>0</v>
      </c>
      <c r="Q121" s="39">
        <f>資料儲存!J2373</f>
        <v>0</v>
      </c>
      <c r="R121" s="35"/>
      <c r="S121" s="38">
        <v>32</v>
      </c>
      <c r="T121" s="39">
        <f>資料儲存!D2493</f>
        <v>0</v>
      </c>
      <c r="U121" s="39">
        <f>資料儲存!E2493</f>
        <v>0</v>
      </c>
      <c r="V121" s="39">
        <f>資料儲存!F2493</f>
        <v>0</v>
      </c>
      <c r="W121" s="39">
        <f>資料儲存!G2493</f>
        <v>0</v>
      </c>
      <c r="X121" s="39">
        <f>資料儲存!H2493</f>
        <v>0</v>
      </c>
      <c r="Y121" s="39">
        <f>資料儲存!I2493</f>
        <v>0</v>
      </c>
      <c r="Z121" s="39">
        <f>資料儲存!J2493</f>
        <v>0</v>
      </c>
      <c r="AA121" s="35"/>
      <c r="AB121" s="38">
        <v>32</v>
      </c>
      <c r="AC121" s="39">
        <f>資料儲存!D2613</f>
        <v>0</v>
      </c>
      <c r="AD121" s="39">
        <f>資料儲存!E2613</f>
        <v>0</v>
      </c>
      <c r="AE121" s="39">
        <f>資料儲存!F2613</f>
        <v>0</v>
      </c>
      <c r="AF121" s="39">
        <f>資料儲存!G2613</f>
        <v>0</v>
      </c>
      <c r="AG121" s="39">
        <f>資料儲存!H2613</f>
        <v>0</v>
      </c>
      <c r="AH121" s="39">
        <f>資料儲存!I2613</f>
        <v>0</v>
      </c>
      <c r="AI121" s="39">
        <f>資料儲存!J2613</f>
        <v>0</v>
      </c>
      <c r="AJ121" s="13"/>
      <c r="AK121" s="38">
        <v>32</v>
      </c>
      <c r="AL121" s="39">
        <f>資料儲存!D2733</f>
        <v>0</v>
      </c>
      <c r="AM121" s="39">
        <f>資料儲存!E2733</f>
        <v>0</v>
      </c>
      <c r="AN121" s="39">
        <f>資料儲存!F2733</f>
        <v>0</v>
      </c>
      <c r="AO121" s="39">
        <f>資料儲存!G2733</f>
        <v>0</v>
      </c>
      <c r="AP121" s="39">
        <f>資料儲存!H2733</f>
        <v>0</v>
      </c>
      <c r="AQ121" s="39">
        <f>資料儲存!I2733</f>
        <v>0</v>
      </c>
      <c r="AR121" s="39">
        <f>資料儲存!J2733</f>
        <v>0</v>
      </c>
      <c r="AT121" s="38">
        <v>32</v>
      </c>
      <c r="AU121" s="39">
        <f>資料儲存!D2853</f>
        <v>0</v>
      </c>
      <c r="AV121" s="39">
        <f>資料儲存!E2853</f>
        <v>0</v>
      </c>
      <c r="AW121" s="39">
        <f>資料儲存!F2853</f>
        <v>0</v>
      </c>
      <c r="AX121" s="39">
        <f>資料儲存!G2853</f>
        <v>0</v>
      </c>
      <c r="AY121" s="39">
        <f>資料儲存!H2853</f>
        <v>0</v>
      </c>
      <c r="AZ121" s="39">
        <f>資料儲存!I2853</f>
        <v>0</v>
      </c>
      <c r="BA121" s="39">
        <f>資料儲存!J2853</f>
        <v>0</v>
      </c>
    </row>
    <row r="122" spans="1:53" ht="16" thickBot="1">
      <c r="A122" s="38">
        <v>33</v>
      </c>
      <c r="B122" s="39">
        <f>資料儲存!D2254</f>
        <v>0</v>
      </c>
      <c r="C122" s="39">
        <f>資料儲存!E2254</f>
        <v>0</v>
      </c>
      <c r="D122" s="39">
        <f>資料儲存!F2254</f>
        <v>0</v>
      </c>
      <c r="E122" s="39">
        <f>資料儲存!G2254</f>
        <v>0</v>
      </c>
      <c r="F122" s="39">
        <f>資料儲存!H2254</f>
        <v>0</v>
      </c>
      <c r="G122" s="39">
        <f>資料儲存!I2254</f>
        <v>0</v>
      </c>
      <c r="H122" s="39">
        <f>資料儲存!J2254</f>
        <v>0</v>
      </c>
      <c r="I122" s="35"/>
      <c r="J122" s="38">
        <v>33</v>
      </c>
      <c r="K122" s="39">
        <f>資料儲存!D2374</f>
        <v>0</v>
      </c>
      <c r="L122" s="39">
        <f>資料儲存!E2374</f>
        <v>0</v>
      </c>
      <c r="M122" s="39">
        <f>資料儲存!F2374</f>
        <v>0</v>
      </c>
      <c r="N122" s="39">
        <f>資料儲存!G2374</f>
        <v>0</v>
      </c>
      <c r="O122" s="39">
        <f>資料儲存!H2374</f>
        <v>0</v>
      </c>
      <c r="P122" s="39">
        <f>資料儲存!I2374</f>
        <v>0</v>
      </c>
      <c r="Q122" s="39">
        <f>資料儲存!J2374</f>
        <v>0</v>
      </c>
      <c r="R122" s="35"/>
      <c r="S122" s="38">
        <v>33</v>
      </c>
      <c r="T122" s="39">
        <f>資料儲存!D2494</f>
        <v>0</v>
      </c>
      <c r="U122" s="39">
        <f>資料儲存!E2494</f>
        <v>0</v>
      </c>
      <c r="V122" s="39">
        <f>資料儲存!F2494</f>
        <v>0</v>
      </c>
      <c r="W122" s="39">
        <f>資料儲存!G2494</f>
        <v>0</v>
      </c>
      <c r="X122" s="39">
        <f>資料儲存!H2494</f>
        <v>0</v>
      </c>
      <c r="Y122" s="39">
        <f>資料儲存!I2494</f>
        <v>0</v>
      </c>
      <c r="Z122" s="39">
        <f>資料儲存!J2494</f>
        <v>0</v>
      </c>
      <c r="AA122" s="35"/>
      <c r="AB122" s="38">
        <v>33</v>
      </c>
      <c r="AC122" s="39">
        <f>資料儲存!D2614</f>
        <v>0</v>
      </c>
      <c r="AD122" s="39">
        <f>資料儲存!E2614</f>
        <v>0</v>
      </c>
      <c r="AE122" s="39">
        <f>資料儲存!F2614</f>
        <v>0</v>
      </c>
      <c r="AF122" s="39">
        <f>資料儲存!G2614</f>
        <v>0</v>
      </c>
      <c r="AG122" s="39">
        <f>資料儲存!H2614</f>
        <v>0</v>
      </c>
      <c r="AH122" s="39">
        <f>資料儲存!I2614</f>
        <v>0</v>
      </c>
      <c r="AI122" s="39">
        <f>資料儲存!J2614</f>
        <v>0</v>
      </c>
      <c r="AJ122" s="13"/>
      <c r="AK122" s="38">
        <v>33</v>
      </c>
      <c r="AL122" s="39">
        <f>資料儲存!D2734</f>
        <v>0</v>
      </c>
      <c r="AM122" s="39">
        <f>資料儲存!E2734</f>
        <v>0</v>
      </c>
      <c r="AN122" s="39">
        <f>資料儲存!F2734</f>
        <v>0</v>
      </c>
      <c r="AO122" s="39">
        <f>資料儲存!G2734</f>
        <v>0</v>
      </c>
      <c r="AP122" s="39">
        <f>資料儲存!H2734</f>
        <v>0</v>
      </c>
      <c r="AQ122" s="39">
        <f>資料儲存!I2734</f>
        <v>0</v>
      </c>
      <c r="AR122" s="39">
        <f>資料儲存!J2734</f>
        <v>0</v>
      </c>
      <c r="AT122" s="38">
        <v>33</v>
      </c>
      <c r="AU122" s="39">
        <f>資料儲存!D2854</f>
        <v>0</v>
      </c>
      <c r="AV122" s="39">
        <f>資料儲存!E2854</f>
        <v>0</v>
      </c>
      <c r="AW122" s="39">
        <f>資料儲存!F2854</f>
        <v>0</v>
      </c>
      <c r="AX122" s="39">
        <f>資料儲存!G2854</f>
        <v>0</v>
      </c>
      <c r="AY122" s="39">
        <f>資料儲存!H2854</f>
        <v>0</v>
      </c>
      <c r="AZ122" s="39">
        <f>資料儲存!I2854</f>
        <v>0</v>
      </c>
      <c r="BA122" s="39">
        <f>資料儲存!J2854</f>
        <v>0</v>
      </c>
    </row>
    <row r="123" spans="1:53" ht="16" thickBot="1">
      <c r="A123" s="38">
        <v>34</v>
      </c>
      <c r="B123" s="39">
        <f>資料儲存!D2255</f>
        <v>0</v>
      </c>
      <c r="C123" s="39">
        <f>資料儲存!E2255</f>
        <v>0</v>
      </c>
      <c r="D123" s="39">
        <f>資料儲存!F2255</f>
        <v>0</v>
      </c>
      <c r="E123" s="39">
        <f>資料儲存!G2255</f>
        <v>0</v>
      </c>
      <c r="F123" s="39">
        <f>資料儲存!H2255</f>
        <v>0</v>
      </c>
      <c r="G123" s="39">
        <f>資料儲存!I2255</f>
        <v>0</v>
      </c>
      <c r="H123" s="39">
        <f>資料儲存!J2255</f>
        <v>0</v>
      </c>
      <c r="I123" s="35"/>
      <c r="J123" s="38">
        <v>34</v>
      </c>
      <c r="K123" s="39">
        <f>資料儲存!D2375</f>
        <v>0</v>
      </c>
      <c r="L123" s="39">
        <f>資料儲存!E2375</f>
        <v>0</v>
      </c>
      <c r="M123" s="39">
        <f>資料儲存!F2375</f>
        <v>0</v>
      </c>
      <c r="N123" s="39">
        <f>資料儲存!G2375</f>
        <v>0</v>
      </c>
      <c r="O123" s="39">
        <f>資料儲存!H2375</f>
        <v>0</v>
      </c>
      <c r="P123" s="39">
        <f>資料儲存!I2375</f>
        <v>0</v>
      </c>
      <c r="Q123" s="39">
        <f>資料儲存!J2375</f>
        <v>0</v>
      </c>
      <c r="R123" s="35"/>
      <c r="S123" s="38">
        <v>34</v>
      </c>
      <c r="T123" s="39">
        <f>資料儲存!D2495</f>
        <v>0</v>
      </c>
      <c r="U123" s="39">
        <f>資料儲存!E2495</f>
        <v>0</v>
      </c>
      <c r="V123" s="39">
        <f>資料儲存!F2495</f>
        <v>0</v>
      </c>
      <c r="W123" s="39">
        <f>資料儲存!G2495</f>
        <v>0</v>
      </c>
      <c r="X123" s="39">
        <f>資料儲存!H2495</f>
        <v>0</v>
      </c>
      <c r="Y123" s="39">
        <f>資料儲存!I2495</f>
        <v>0</v>
      </c>
      <c r="Z123" s="39">
        <f>資料儲存!J2495</f>
        <v>0</v>
      </c>
      <c r="AA123" s="35"/>
      <c r="AB123" s="38">
        <v>34</v>
      </c>
      <c r="AC123" s="39">
        <f>資料儲存!D2615</f>
        <v>0</v>
      </c>
      <c r="AD123" s="39">
        <f>資料儲存!E2615</f>
        <v>0</v>
      </c>
      <c r="AE123" s="39">
        <f>資料儲存!F2615</f>
        <v>0</v>
      </c>
      <c r="AF123" s="39">
        <f>資料儲存!G2615</f>
        <v>0</v>
      </c>
      <c r="AG123" s="39">
        <f>資料儲存!H2615</f>
        <v>0</v>
      </c>
      <c r="AH123" s="39">
        <f>資料儲存!I2615</f>
        <v>0</v>
      </c>
      <c r="AI123" s="39">
        <f>資料儲存!J2615</f>
        <v>0</v>
      </c>
      <c r="AJ123" s="13"/>
      <c r="AK123" s="38">
        <v>34</v>
      </c>
      <c r="AL123" s="39">
        <f>資料儲存!D2735</f>
        <v>0</v>
      </c>
      <c r="AM123" s="39">
        <f>資料儲存!E2735</f>
        <v>0</v>
      </c>
      <c r="AN123" s="39">
        <f>資料儲存!F2735</f>
        <v>0</v>
      </c>
      <c r="AO123" s="39">
        <f>資料儲存!G2735</f>
        <v>0</v>
      </c>
      <c r="AP123" s="39">
        <f>資料儲存!H2735</f>
        <v>0</v>
      </c>
      <c r="AQ123" s="39">
        <f>資料儲存!I2735</f>
        <v>0</v>
      </c>
      <c r="AR123" s="39">
        <f>資料儲存!J2735</f>
        <v>0</v>
      </c>
      <c r="AT123" s="38">
        <v>34</v>
      </c>
      <c r="AU123" s="39">
        <f>資料儲存!D2855</f>
        <v>0</v>
      </c>
      <c r="AV123" s="39">
        <f>資料儲存!E2855</f>
        <v>0</v>
      </c>
      <c r="AW123" s="39">
        <f>資料儲存!F2855</f>
        <v>0</v>
      </c>
      <c r="AX123" s="39">
        <f>資料儲存!G2855</f>
        <v>0</v>
      </c>
      <c r="AY123" s="39">
        <f>資料儲存!H2855</f>
        <v>0</v>
      </c>
      <c r="AZ123" s="39">
        <f>資料儲存!I2855</f>
        <v>0</v>
      </c>
      <c r="BA123" s="39">
        <f>資料儲存!J2855</f>
        <v>0</v>
      </c>
    </row>
    <row r="124" spans="1:53" ht="16" thickBot="1">
      <c r="A124" s="38">
        <v>35</v>
      </c>
      <c r="B124" s="39">
        <f>資料儲存!D2256</f>
        <v>0</v>
      </c>
      <c r="C124" s="39">
        <f>資料儲存!E2256</f>
        <v>0</v>
      </c>
      <c r="D124" s="39">
        <f>資料儲存!F2256</f>
        <v>0</v>
      </c>
      <c r="E124" s="39">
        <f>資料儲存!G2256</f>
        <v>0</v>
      </c>
      <c r="F124" s="39">
        <f>資料儲存!H2256</f>
        <v>0</v>
      </c>
      <c r="G124" s="39">
        <f>資料儲存!I2256</f>
        <v>0</v>
      </c>
      <c r="H124" s="39">
        <f>資料儲存!J2256</f>
        <v>0</v>
      </c>
      <c r="I124" s="35"/>
      <c r="J124" s="38">
        <v>35</v>
      </c>
      <c r="K124" s="39">
        <f>資料儲存!D2376</f>
        <v>0</v>
      </c>
      <c r="L124" s="39">
        <f>資料儲存!E2376</f>
        <v>0</v>
      </c>
      <c r="M124" s="39">
        <f>資料儲存!F2376</f>
        <v>0</v>
      </c>
      <c r="N124" s="39">
        <f>資料儲存!G2376</f>
        <v>0</v>
      </c>
      <c r="O124" s="39">
        <f>資料儲存!H2376</f>
        <v>0</v>
      </c>
      <c r="P124" s="39">
        <f>資料儲存!I2376</f>
        <v>0</v>
      </c>
      <c r="Q124" s="39">
        <f>資料儲存!J2376</f>
        <v>0</v>
      </c>
      <c r="R124" s="35"/>
      <c r="S124" s="38">
        <v>35</v>
      </c>
      <c r="T124" s="39">
        <f>資料儲存!D2496</f>
        <v>0</v>
      </c>
      <c r="U124" s="39">
        <f>資料儲存!E2496</f>
        <v>0</v>
      </c>
      <c r="V124" s="39">
        <f>資料儲存!F2496</f>
        <v>0</v>
      </c>
      <c r="W124" s="39">
        <f>資料儲存!G2496</f>
        <v>0</v>
      </c>
      <c r="X124" s="39">
        <f>資料儲存!H2496</f>
        <v>0</v>
      </c>
      <c r="Y124" s="39">
        <f>資料儲存!I2496</f>
        <v>0</v>
      </c>
      <c r="Z124" s="39">
        <f>資料儲存!J2496</f>
        <v>0</v>
      </c>
      <c r="AA124" s="35"/>
      <c r="AB124" s="38">
        <v>35</v>
      </c>
      <c r="AC124" s="39">
        <f>資料儲存!D2616</f>
        <v>0</v>
      </c>
      <c r="AD124" s="39">
        <f>資料儲存!E2616</f>
        <v>0</v>
      </c>
      <c r="AE124" s="39">
        <f>資料儲存!F2616</f>
        <v>0</v>
      </c>
      <c r="AF124" s="39">
        <f>資料儲存!G2616</f>
        <v>0</v>
      </c>
      <c r="AG124" s="39">
        <f>資料儲存!H2616</f>
        <v>0</v>
      </c>
      <c r="AH124" s="39">
        <f>資料儲存!I2616</f>
        <v>0</v>
      </c>
      <c r="AI124" s="39">
        <f>資料儲存!J2616</f>
        <v>0</v>
      </c>
      <c r="AJ124" s="13"/>
      <c r="AK124" s="38">
        <v>35</v>
      </c>
      <c r="AL124" s="39">
        <f>資料儲存!D2736</f>
        <v>0</v>
      </c>
      <c r="AM124" s="39">
        <f>資料儲存!E2736</f>
        <v>0</v>
      </c>
      <c r="AN124" s="39">
        <f>資料儲存!F2736</f>
        <v>0</v>
      </c>
      <c r="AO124" s="39">
        <f>資料儲存!G2736</f>
        <v>0</v>
      </c>
      <c r="AP124" s="39">
        <f>資料儲存!H2736</f>
        <v>0</v>
      </c>
      <c r="AQ124" s="39">
        <f>資料儲存!I2736</f>
        <v>0</v>
      </c>
      <c r="AR124" s="39">
        <f>資料儲存!J2736</f>
        <v>0</v>
      </c>
      <c r="AT124" s="38">
        <v>35</v>
      </c>
      <c r="AU124" s="39">
        <f>資料儲存!D2856</f>
        <v>0</v>
      </c>
      <c r="AV124" s="39">
        <f>資料儲存!E2856</f>
        <v>0</v>
      </c>
      <c r="AW124" s="39">
        <f>資料儲存!F2856</f>
        <v>0</v>
      </c>
      <c r="AX124" s="39">
        <f>資料儲存!G2856</f>
        <v>0</v>
      </c>
      <c r="AY124" s="39">
        <f>資料儲存!H2856</f>
        <v>0</v>
      </c>
      <c r="AZ124" s="39">
        <f>資料儲存!I2856</f>
        <v>0</v>
      </c>
      <c r="BA124" s="39">
        <f>資料儲存!J2856</f>
        <v>0</v>
      </c>
    </row>
    <row r="125" spans="1:53" ht="16" thickBot="1">
      <c r="A125" s="38">
        <v>36</v>
      </c>
      <c r="B125" s="39">
        <f>資料儲存!D2257</f>
        <v>0</v>
      </c>
      <c r="C125" s="39">
        <f>資料儲存!E2257</f>
        <v>0</v>
      </c>
      <c r="D125" s="39">
        <f>資料儲存!F2257</f>
        <v>0</v>
      </c>
      <c r="E125" s="39">
        <f>資料儲存!G2257</f>
        <v>0</v>
      </c>
      <c r="F125" s="39">
        <f>資料儲存!H2257</f>
        <v>0</v>
      </c>
      <c r="G125" s="39">
        <f>資料儲存!I2257</f>
        <v>0</v>
      </c>
      <c r="H125" s="39">
        <f>資料儲存!J2257</f>
        <v>0</v>
      </c>
      <c r="I125" s="35"/>
      <c r="J125" s="38">
        <v>36</v>
      </c>
      <c r="K125" s="39">
        <f>資料儲存!D2377</f>
        <v>0</v>
      </c>
      <c r="L125" s="39">
        <f>資料儲存!E2377</f>
        <v>0</v>
      </c>
      <c r="M125" s="39">
        <f>資料儲存!F2377</f>
        <v>0</v>
      </c>
      <c r="N125" s="39">
        <f>資料儲存!G2377</f>
        <v>0</v>
      </c>
      <c r="O125" s="39">
        <f>資料儲存!H2377</f>
        <v>0</v>
      </c>
      <c r="P125" s="39">
        <f>資料儲存!I2377</f>
        <v>0</v>
      </c>
      <c r="Q125" s="39">
        <f>資料儲存!J2377</f>
        <v>0</v>
      </c>
      <c r="R125" s="35"/>
      <c r="S125" s="38">
        <v>36</v>
      </c>
      <c r="T125" s="39">
        <f>資料儲存!D2497</f>
        <v>0</v>
      </c>
      <c r="U125" s="39">
        <f>資料儲存!E2497</f>
        <v>0</v>
      </c>
      <c r="V125" s="39">
        <f>資料儲存!F2497</f>
        <v>0</v>
      </c>
      <c r="W125" s="39">
        <f>資料儲存!G2497</f>
        <v>0</v>
      </c>
      <c r="X125" s="39">
        <f>資料儲存!H2497</f>
        <v>0</v>
      </c>
      <c r="Y125" s="39">
        <f>資料儲存!I2497</f>
        <v>0</v>
      </c>
      <c r="Z125" s="39">
        <f>資料儲存!J2497</f>
        <v>0</v>
      </c>
      <c r="AA125" s="35"/>
      <c r="AB125" s="38">
        <v>36</v>
      </c>
      <c r="AC125" s="39">
        <f>資料儲存!D2617</f>
        <v>0</v>
      </c>
      <c r="AD125" s="39">
        <f>資料儲存!E2617</f>
        <v>0</v>
      </c>
      <c r="AE125" s="39">
        <f>資料儲存!F2617</f>
        <v>0</v>
      </c>
      <c r="AF125" s="39">
        <f>資料儲存!G2617</f>
        <v>0</v>
      </c>
      <c r="AG125" s="39">
        <f>資料儲存!H2617</f>
        <v>0</v>
      </c>
      <c r="AH125" s="39">
        <f>資料儲存!I2617</f>
        <v>0</v>
      </c>
      <c r="AI125" s="39">
        <f>資料儲存!J2617</f>
        <v>0</v>
      </c>
      <c r="AJ125" s="13"/>
      <c r="AK125" s="38">
        <v>36</v>
      </c>
      <c r="AL125" s="39">
        <f>資料儲存!D2737</f>
        <v>0</v>
      </c>
      <c r="AM125" s="39">
        <f>資料儲存!E2737</f>
        <v>0</v>
      </c>
      <c r="AN125" s="39">
        <f>資料儲存!F2737</f>
        <v>0</v>
      </c>
      <c r="AO125" s="39">
        <f>資料儲存!G2737</f>
        <v>0</v>
      </c>
      <c r="AP125" s="39">
        <f>資料儲存!H2737</f>
        <v>0</v>
      </c>
      <c r="AQ125" s="39">
        <f>資料儲存!I2737</f>
        <v>0</v>
      </c>
      <c r="AR125" s="39">
        <f>資料儲存!J2737</f>
        <v>0</v>
      </c>
      <c r="AT125" s="38">
        <v>36</v>
      </c>
      <c r="AU125" s="39">
        <f>資料儲存!D2857</f>
        <v>0</v>
      </c>
      <c r="AV125" s="39">
        <f>資料儲存!E2857</f>
        <v>0</v>
      </c>
      <c r="AW125" s="39">
        <f>資料儲存!F2857</f>
        <v>0</v>
      </c>
      <c r="AX125" s="39">
        <f>資料儲存!G2857</f>
        <v>0</v>
      </c>
      <c r="AY125" s="39">
        <f>資料儲存!H2857</f>
        <v>0</v>
      </c>
      <c r="AZ125" s="39">
        <f>資料儲存!I2857</f>
        <v>0</v>
      </c>
      <c r="BA125" s="39">
        <f>資料儲存!J2857</f>
        <v>0</v>
      </c>
    </row>
    <row r="126" spans="1:53" ht="16" thickBot="1">
      <c r="A126" s="38">
        <v>37</v>
      </c>
      <c r="B126" s="39">
        <f>資料儲存!D2258</f>
        <v>0</v>
      </c>
      <c r="C126" s="39">
        <f>資料儲存!E2258</f>
        <v>0</v>
      </c>
      <c r="D126" s="39">
        <f>資料儲存!F2258</f>
        <v>0</v>
      </c>
      <c r="E126" s="39">
        <f>資料儲存!G2258</f>
        <v>0</v>
      </c>
      <c r="F126" s="39">
        <f>資料儲存!H2258</f>
        <v>0</v>
      </c>
      <c r="G126" s="39">
        <f>資料儲存!I2258</f>
        <v>0</v>
      </c>
      <c r="H126" s="39">
        <f>資料儲存!J2258</f>
        <v>0</v>
      </c>
      <c r="I126" s="35"/>
      <c r="J126" s="38">
        <v>37</v>
      </c>
      <c r="K126" s="39">
        <f>資料儲存!D2378</f>
        <v>0</v>
      </c>
      <c r="L126" s="39">
        <f>資料儲存!E2378</f>
        <v>0</v>
      </c>
      <c r="M126" s="39">
        <f>資料儲存!F2378</f>
        <v>0</v>
      </c>
      <c r="N126" s="39">
        <f>資料儲存!G2378</f>
        <v>0</v>
      </c>
      <c r="O126" s="39">
        <f>資料儲存!H2378</f>
        <v>0</v>
      </c>
      <c r="P126" s="39">
        <f>資料儲存!I2378</f>
        <v>0</v>
      </c>
      <c r="Q126" s="39">
        <f>資料儲存!J2378</f>
        <v>0</v>
      </c>
      <c r="R126" s="35"/>
      <c r="S126" s="38">
        <v>37</v>
      </c>
      <c r="T126" s="39">
        <f>資料儲存!D2498</f>
        <v>0</v>
      </c>
      <c r="U126" s="39">
        <f>資料儲存!E2498</f>
        <v>0</v>
      </c>
      <c r="V126" s="39">
        <f>資料儲存!F2498</f>
        <v>0</v>
      </c>
      <c r="W126" s="39">
        <f>資料儲存!G2498</f>
        <v>0</v>
      </c>
      <c r="X126" s="39">
        <f>資料儲存!H2498</f>
        <v>0</v>
      </c>
      <c r="Y126" s="39">
        <f>資料儲存!I2498</f>
        <v>0</v>
      </c>
      <c r="Z126" s="39">
        <f>資料儲存!J2498</f>
        <v>0</v>
      </c>
      <c r="AA126" s="35"/>
      <c r="AB126" s="38">
        <v>37</v>
      </c>
      <c r="AC126" s="39">
        <f>資料儲存!D2618</f>
        <v>0</v>
      </c>
      <c r="AD126" s="39">
        <f>資料儲存!E2618</f>
        <v>0</v>
      </c>
      <c r="AE126" s="39">
        <f>資料儲存!F2618</f>
        <v>0</v>
      </c>
      <c r="AF126" s="39">
        <f>資料儲存!G2618</f>
        <v>0</v>
      </c>
      <c r="AG126" s="39">
        <f>資料儲存!H2618</f>
        <v>0</v>
      </c>
      <c r="AH126" s="39">
        <f>資料儲存!I2618</f>
        <v>0</v>
      </c>
      <c r="AI126" s="39">
        <f>資料儲存!J2618</f>
        <v>0</v>
      </c>
      <c r="AJ126" s="13"/>
      <c r="AK126" s="38">
        <v>37</v>
      </c>
      <c r="AL126" s="39">
        <f>資料儲存!D2738</f>
        <v>0</v>
      </c>
      <c r="AM126" s="39">
        <f>資料儲存!E2738</f>
        <v>0</v>
      </c>
      <c r="AN126" s="39">
        <f>資料儲存!F2738</f>
        <v>0</v>
      </c>
      <c r="AO126" s="39">
        <f>資料儲存!G2738</f>
        <v>0</v>
      </c>
      <c r="AP126" s="39">
        <f>資料儲存!H2738</f>
        <v>0</v>
      </c>
      <c r="AQ126" s="39">
        <f>資料儲存!I2738</f>
        <v>0</v>
      </c>
      <c r="AR126" s="39">
        <f>資料儲存!J2738</f>
        <v>0</v>
      </c>
      <c r="AT126" s="38">
        <v>37</v>
      </c>
      <c r="AU126" s="39">
        <f>資料儲存!D2858</f>
        <v>0</v>
      </c>
      <c r="AV126" s="39">
        <f>資料儲存!E2858</f>
        <v>0</v>
      </c>
      <c r="AW126" s="39">
        <f>資料儲存!F2858</f>
        <v>0</v>
      </c>
      <c r="AX126" s="39">
        <f>資料儲存!G2858</f>
        <v>0</v>
      </c>
      <c r="AY126" s="39">
        <f>資料儲存!H2858</f>
        <v>0</v>
      </c>
      <c r="AZ126" s="39">
        <f>資料儲存!I2858</f>
        <v>0</v>
      </c>
      <c r="BA126" s="39">
        <f>資料儲存!J2858</f>
        <v>0</v>
      </c>
    </row>
    <row r="127" spans="1:53" ht="16" thickBot="1">
      <c r="A127" s="38">
        <v>38</v>
      </c>
      <c r="B127" s="39">
        <f>資料儲存!D2259</f>
        <v>0</v>
      </c>
      <c r="C127" s="39">
        <f>資料儲存!E2259</f>
        <v>0</v>
      </c>
      <c r="D127" s="39">
        <f>資料儲存!F2259</f>
        <v>0</v>
      </c>
      <c r="E127" s="39">
        <f>資料儲存!G2259</f>
        <v>0</v>
      </c>
      <c r="F127" s="39">
        <f>資料儲存!H2259</f>
        <v>0</v>
      </c>
      <c r="G127" s="39">
        <f>資料儲存!I2259</f>
        <v>0</v>
      </c>
      <c r="H127" s="39">
        <f>資料儲存!J2259</f>
        <v>0</v>
      </c>
      <c r="I127" s="35"/>
      <c r="J127" s="38">
        <v>38</v>
      </c>
      <c r="K127" s="39">
        <f>資料儲存!D2379</f>
        <v>0</v>
      </c>
      <c r="L127" s="39">
        <f>資料儲存!E2379</f>
        <v>0</v>
      </c>
      <c r="M127" s="39">
        <f>資料儲存!F2379</f>
        <v>0</v>
      </c>
      <c r="N127" s="39">
        <f>資料儲存!G2379</f>
        <v>0</v>
      </c>
      <c r="O127" s="39">
        <f>資料儲存!H2379</f>
        <v>0</v>
      </c>
      <c r="P127" s="39">
        <f>資料儲存!I2379</f>
        <v>0</v>
      </c>
      <c r="Q127" s="39">
        <f>資料儲存!J2379</f>
        <v>0</v>
      </c>
      <c r="R127" s="35"/>
      <c r="S127" s="38">
        <v>38</v>
      </c>
      <c r="T127" s="39">
        <f>資料儲存!D2499</f>
        <v>0</v>
      </c>
      <c r="U127" s="39">
        <f>資料儲存!E2499</f>
        <v>0</v>
      </c>
      <c r="V127" s="39">
        <f>資料儲存!F2499</f>
        <v>0</v>
      </c>
      <c r="W127" s="39">
        <f>資料儲存!G2499</f>
        <v>0</v>
      </c>
      <c r="X127" s="39">
        <f>資料儲存!H2499</f>
        <v>0</v>
      </c>
      <c r="Y127" s="39">
        <f>資料儲存!I2499</f>
        <v>0</v>
      </c>
      <c r="Z127" s="39">
        <f>資料儲存!J2499</f>
        <v>0</v>
      </c>
      <c r="AA127" s="35"/>
      <c r="AB127" s="38">
        <v>38</v>
      </c>
      <c r="AC127" s="39">
        <f>資料儲存!D2619</f>
        <v>0</v>
      </c>
      <c r="AD127" s="39">
        <f>資料儲存!E2619</f>
        <v>0</v>
      </c>
      <c r="AE127" s="39">
        <f>資料儲存!F2619</f>
        <v>0</v>
      </c>
      <c r="AF127" s="39">
        <f>資料儲存!G2619</f>
        <v>0</v>
      </c>
      <c r="AG127" s="39">
        <f>資料儲存!H2619</f>
        <v>0</v>
      </c>
      <c r="AH127" s="39">
        <f>資料儲存!I2619</f>
        <v>0</v>
      </c>
      <c r="AI127" s="39">
        <f>資料儲存!J2619</f>
        <v>0</v>
      </c>
      <c r="AJ127" s="13"/>
      <c r="AK127" s="38">
        <v>38</v>
      </c>
      <c r="AL127" s="39">
        <f>資料儲存!D2739</f>
        <v>0</v>
      </c>
      <c r="AM127" s="39">
        <f>資料儲存!E2739</f>
        <v>0</v>
      </c>
      <c r="AN127" s="39">
        <f>資料儲存!F2739</f>
        <v>0</v>
      </c>
      <c r="AO127" s="39">
        <f>資料儲存!G2739</f>
        <v>0</v>
      </c>
      <c r="AP127" s="39">
        <f>資料儲存!H2739</f>
        <v>0</v>
      </c>
      <c r="AQ127" s="39">
        <f>資料儲存!I2739</f>
        <v>0</v>
      </c>
      <c r="AR127" s="39">
        <f>資料儲存!J2739</f>
        <v>0</v>
      </c>
      <c r="AT127" s="38">
        <v>38</v>
      </c>
      <c r="AU127" s="39">
        <f>資料儲存!D2859</f>
        <v>0</v>
      </c>
      <c r="AV127" s="39">
        <f>資料儲存!E2859</f>
        <v>0</v>
      </c>
      <c r="AW127" s="39">
        <f>資料儲存!F2859</f>
        <v>0</v>
      </c>
      <c r="AX127" s="39">
        <f>資料儲存!G2859</f>
        <v>0</v>
      </c>
      <c r="AY127" s="39">
        <f>資料儲存!H2859</f>
        <v>0</v>
      </c>
      <c r="AZ127" s="39">
        <f>資料儲存!I2859</f>
        <v>0</v>
      </c>
      <c r="BA127" s="39">
        <f>資料儲存!J2859</f>
        <v>0</v>
      </c>
    </row>
    <row r="128" spans="1:53" ht="16" thickBot="1">
      <c r="A128" s="38">
        <v>39</v>
      </c>
      <c r="B128" s="39">
        <f>資料儲存!D2260</f>
        <v>0</v>
      </c>
      <c r="C128" s="39">
        <f>資料儲存!E2260</f>
        <v>0</v>
      </c>
      <c r="D128" s="39">
        <f>資料儲存!F2260</f>
        <v>0</v>
      </c>
      <c r="E128" s="39">
        <f>資料儲存!G2260</f>
        <v>0</v>
      </c>
      <c r="F128" s="39">
        <f>資料儲存!H2260</f>
        <v>0</v>
      </c>
      <c r="G128" s="39">
        <f>資料儲存!I2260</f>
        <v>0</v>
      </c>
      <c r="H128" s="39">
        <f>資料儲存!J2260</f>
        <v>0</v>
      </c>
      <c r="I128" s="35"/>
      <c r="J128" s="38">
        <v>39</v>
      </c>
      <c r="K128" s="39">
        <f>資料儲存!D2380</f>
        <v>0</v>
      </c>
      <c r="L128" s="39">
        <f>資料儲存!E2380</f>
        <v>0</v>
      </c>
      <c r="M128" s="39">
        <f>資料儲存!F2380</f>
        <v>0</v>
      </c>
      <c r="N128" s="39">
        <f>資料儲存!G2380</f>
        <v>0</v>
      </c>
      <c r="O128" s="39">
        <f>資料儲存!H2380</f>
        <v>0</v>
      </c>
      <c r="P128" s="39">
        <f>資料儲存!I2380</f>
        <v>0</v>
      </c>
      <c r="Q128" s="39">
        <f>資料儲存!J2380</f>
        <v>0</v>
      </c>
      <c r="R128" s="35"/>
      <c r="S128" s="38">
        <v>39</v>
      </c>
      <c r="T128" s="39">
        <f>資料儲存!D2500</f>
        <v>0</v>
      </c>
      <c r="U128" s="39">
        <f>資料儲存!E2500</f>
        <v>0</v>
      </c>
      <c r="V128" s="39">
        <f>資料儲存!F2500</f>
        <v>0</v>
      </c>
      <c r="W128" s="39">
        <f>資料儲存!G2500</f>
        <v>0</v>
      </c>
      <c r="X128" s="39">
        <f>資料儲存!H2500</f>
        <v>0</v>
      </c>
      <c r="Y128" s="39">
        <f>資料儲存!I2500</f>
        <v>0</v>
      </c>
      <c r="Z128" s="39">
        <f>資料儲存!J2500</f>
        <v>0</v>
      </c>
      <c r="AA128" s="35"/>
      <c r="AB128" s="38">
        <v>39</v>
      </c>
      <c r="AC128" s="39">
        <f>資料儲存!D2620</f>
        <v>0</v>
      </c>
      <c r="AD128" s="39">
        <f>資料儲存!E2620</f>
        <v>0</v>
      </c>
      <c r="AE128" s="39">
        <f>資料儲存!F2620</f>
        <v>0</v>
      </c>
      <c r="AF128" s="39">
        <f>資料儲存!G2620</f>
        <v>0</v>
      </c>
      <c r="AG128" s="39">
        <f>資料儲存!H2620</f>
        <v>0</v>
      </c>
      <c r="AH128" s="39">
        <f>資料儲存!I2620</f>
        <v>0</v>
      </c>
      <c r="AI128" s="39">
        <f>資料儲存!J2620</f>
        <v>0</v>
      </c>
      <c r="AJ128" s="13"/>
      <c r="AK128" s="38">
        <v>39</v>
      </c>
      <c r="AL128" s="39">
        <f>資料儲存!D2740</f>
        <v>0</v>
      </c>
      <c r="AM128" s="39">
        <f>資料儲存!E2740</f>
        <v>0</v>
      </c>
      <c r="AN128" s="39">
        <f>資料儲存!F2740</f>
        <v>0</v>
      </c>
      <c r="AO128" s="39">
        <f>資料儲存!G2740</f>
        <v>0</v>
      </c>
      <c r="AP128" s="39">
        <f>資料儲存!H2740</f>
        <v>0</v>
      </c>
      <c r="AQ128" s="39">
        <f>資料儲存!I2740</f>
        <v>0</v>
      </c>
      <c r="AR128" s="39">
        <f>資料儲存!J2740</f>
        <v>0</v>
      </c>
      <c r="AT128" s="38">
        <v>39</v>
      </c>
      <c r="AU128" s="39">
        <f>資料儲存!D2860</f>
        <v>0</v>
      </c>
      <c r="AV128" s="39">
        <f>資料儲存!E2860</f>
        <v>0</v>
      </c>
      <c r="AW128" s="39">
        <f>資料儲存!F2860</f>
        <v>0</v>
      </c>
      <c r="AX128" s="39">
        <f>資料儲存!G2860</f>
        <v>0</v>
      </c>
      <c r="AY128" s="39">
        <f>資料儲存!H2860</f>
        <v>0</v>
      </c>
      <c r="AZ128" s="39">
        <f>資料儲存!I2860</f>
        <v>0</v>
      </c>
      <c r="BA128" s="39">
        <f>資料儲存!J2860</f>
        <v>0</v>
      </c>
    </row>
    <row r="129" spans="1:53" ht="16" thickBot="1">
      <c r="A129" s="38">
        <v>40</v>
      </c>
      <c r="B129" s="39">
        <f>資料儲存!D2261</f>
        <v>0</v>
      </c>
      <c r="C129" s="39">
        <f>資料儲存!E2261</f>
        <v>0</v>
      </c>
      <c r="D129" s="39">
        <f>資料儲存!F2261</f>
        <v>0</v>
      </c>
      <c r="E129" s="39">
        <f>資料儲存!G2261</f>
        <v>0</v>
      </c>
      <c r="F129" s="39">
        <f>資料儲存!H2261</f>
        <v>0</v>
      </c>
      <c r="G129" s="39">
        <f>資料儲存!I2261</f>
        <v>0</v>
      </c>
      <c r="H129" s="39">
        <f>資料儲存!J2261</f>
        <v>0</v>
      </c>
      <c r="I129" s="35"/>
      <c r="J129" s="38">
        <v>40</v>
      </c>
      <c r="K129" s="39">
        <f>資料儲存!D2381</f>
        <v>0</v>
      </c>
      <c r="L129" s="39">
        <f>資料儲存!E2381</f>
        <v>0</v>
      </c>
      <c r="M129" s="39">
        <f>資料儲存!F2381</f>
        <v>0</v>
      </c>
      <c r="N129" s="39">
        <f>資料儲存!G2381</f>
        <v>0</v>
      </c>
      <c r="O129" s="39">
        <f>資料儲存!H2381</f>
        <v>0</v>
      </c>
      <c r="P129" s="39">
        <f>資料儲存!I2381</f>
        <v>0</v>
      </c>
      <c r="Q129" s="39">
        <f>資料儲存!J2381</f>
        <v>0</v>
      </c>
      <c r="R129" s="35"/>
      <c r="S129" s="38">
        <v>40</v>
      </c>
      <c r="T129" s="39">
        <f>資料儲存!D2501</f>
        <v>0</v>
      </c>
      <c r="U129" s="39">
        <f>資料儲存!E2501</f>
        <v>0</v>
      </c>
      <c r="V129" s="39">
        <f>資料儲存!F2501</f>
        <v>0</v>
      </c>
      <c r="W129" s="39">
        <f>資料儲存!G2501</f>
        <v>0</v>
      </c>
      <c r="X129" s="39">
        <f>資料儲存!H2501</f>
        <v>0</v>
      </c>
      <c r="Y129" s="39">
        <f>資料儲存!I2501</f>
        <v>0</v>
      </c>
      <c r="Z129" s="39">
        <f>資料儲存!J2501</f>
        <v>0</v>
      </c>
      <c r="AA129" s="35"/>
      <c r="AB129" s="38">
        <v>40</v>
      </c>
      <c r="AC129" s="39">
        <f>資料儲存!D2621</f>
        <v>0</v>
      </c>
      <c r="AD129" s="39">
        <f>資料儲存!E2621</f>
        <v>0</v>
      </c>
      <c r="AE129" s="39">
        <f>資料儲存!F2621</f>
        <v>0</v>
      </c>
      <c r="AF129" s="39">
        <f>資料儲存!G2621</f>
        <v>0</v>
      </c>
      <c r="AG129" s="39">
        <f>資料儲存!H2621</f>
        <v>0</v>
      </c>
      <c r="AH129" s="39">
        <f>資料儲存!I2621</f>
        <v>0</v>
      </c>
      <c r="AI129" s="39">
        <f>資料儲存!J2621</f>
        <v>0</v>
      </c>
      <c r="AJ129" s="13"/>
      <c r="AK129" s="38">
        <v>40</v>
      </c>
      <c r="AL129" s="39">
        <f>資料儲存!D2741</f>
        <v>0</v>
      </c>
      <c r="AM129" s="39">
        <f>資料儲存!E2741</f>
        <v>0</v>
      </c>
      <c r="AN129" s="39">
        <f>資料儲存!F2741</f>
        <v>0</v>
      </c>
      <c r="AO129" s="39">
        <f>資料儲存!G2741</f>
        <v>0</v>
      </c>
      <c r="AP129" s="39">
        <f>資料儲存!H2741</f>
        <v>0</v>
      </c>
      <c r="AQ129" s="39">
        <f>資料儲存!I2741</f>
        <v>0</v>
      </c>
      <c r="AR129" s="39">
        <f>資料儲存!J2741</f>
        <v>0</v>
      </c>
      <c r="AT129" s="38">
        <v>40</v>
      </c>
      <c r="AU129" s="39">
        <f>資料儲存!D2861</f>
        <v>0</v>
      </c>
      <c r="AV129" s="39">
        <f>資料儲存!E2861</f>
        <v>0</v>
      </c>
      <c r="AW129" s="39">
        <f>資料儲存!F2861</f>
        <v>0</v>
      </c>
      <c r="AX129" s="39">
        <f>資料儲存!G2861</f>
        <v>0</v>
      </c>
      <c r="AY129" s="39">
        <f>資料儲存!H2861</f>
        <v>0</v>
      </c>
      <c r="AZ129" s="39">
        <f>資料儲存!I2861</f>
        <v>0</v>
      </c>
      <c r="BA129" s="39">
        <f>資料儲存!J2861</f>
        <v>0</v>
      </c>
    </row>
    <row r="130" spans="1:53" ht="16" thickBot="1">
      <c r="A130" s="38">
        <v>41</v>
      </c>
      <c r="B130" s="39">
        <f>資料儲存!D2262</f>
        <v>0</v>
      </c>
      <c r="C130" s="39">
        <f>資料儲存!E2262</f>
        <v>0</v>
      </c>
      <c r="D130" s="39">
        <f>資料儲存!F2262</f>
        <v>0</v>
      </c>
      <c r="E130" s="39">
        <f>資料儲存!G2262</f>
        <v>0</v>
      </c>
      <c r="F130" s="39">
        <f>資料儲存!H2262</f>
        <v>0</v>
      </c>
      <c r="G130" s="39">
        <f>資料儲存!I2262</f>
        <v>0</v>
      </c>
      <c r="H130" s="39">
        <f>資料儲存!J2262</f>
        <v>0</v>
      </c>
      <c r="I130" s="35"/>
      <c r="J130" s="38">
        <v>41</v>
      </c>
      <c r="K130" s="39">
        <f>資料儲存!D2382</f>
        <v>0</v>
      </c>
      <c r="L130" s="39">
        <f>資料儲存!E2382</f>
        <v>0</v>
      </c>
      <c r="M130" s="39">
        <f>資料儲存!F2382</f>
        <v>0</v>
      </c>
      <c r="N130" s="39">
        <f>資料儲存!G2382</f>
        <v>0</v>
      </c>
      <c r="O130" s="39">
        <f>資料儲存!H2382</f>
        <v>0</v>
      </c>
      <c r="P130" s="39">
        <f>資料儲存!I2382</f>
        <v>0</v>
      </c>
      <c r="Q130" s="39">
        <f>資料儲存!J2382</f>
        <v>0</v>
      </c>
      <c r="R130" s="35"/>
      <c r="S130" s="38">
        <v>41</v>
      </c>
      <c r="T130" s="39">
        <f>資料儲存!D2502</f>
        <v>0</v>
      </c>
      <c r="U130" s="39">
        <f>資料儲存!E2502</f>
        <v>0</v>
      </c>
      <c r="V130" s="39">
        <f>資料儲存!F2502</f>
        <v>0</v>
      </c>
      <c r="W130" s="39">
        <f>資料儲存!G2502</f>
        <v>0</v>
      </c>
      <c r="X130" s="39">
        <f>資料儲存!H2502</f>
        <v>0</v>
      </c>
      <c r="Y130" s="39">
        <f>資料儲存!I2502</f>
        <v>0</v>
      </c>
      <c r="Z130" s="39">
        <f>資料儲存!J2502</f>
        <v>0</v>
      </c>
      <c r="AA130" s="35"/>
      <c r="AB130" s="38">
        <v>41</v>
      </c>
      <c r="AC130" s="39">
        <f>資料儲存!D2622</f>
        <v>0</v>
      </c>
      <c r="AD130" s="39">
        <f>資料儲存!E2622</f>
        <v>0</v>
      </c>
      <c r="AE130" s="39">
        <f>資料儲存!F2622</f>
        <v>0</v>
      </c>
      <c r="AF130" s="39">
        <f>資料儲存!G2622</f>
        <v>0</v>
      </c>
      <c r="AG130" s="39">
        <f>資料儲存!H2622</f>
        <v>0</v>
      </c>
      <c r="AH130" s="39">
        <f>資料儲存!I2622</f>
        <v>0</v>
      </c>
      <c r="AI130" s="39">
        <f>資料儲存!J2622</f>
        <v>0</v>
      </c>
      <c r="AJ130" s="13"/>
      <c r="AK130" s="38">
        <v>41</v>
      </c>
      <c r="AL130" s="39">
        <f>資料儲存!D2742</f>
        <v>0</v>
      </c>
      <c r="AM130" s="39">
        <f>資料儲存!E2742</f>
        <v>0</v>
      </c>
      <c r="AN130" s="39">
        <f>資料儲存!F2742</f>
        <v>0</v>
      </c>
      <c r="AO130" s="39">
        <f>資料儲存!G2742</f>
        <v>0</v>
      </c>
      <c r="AP130" s="39">
        <f>資料儲存!H2742</f>
        <v>0</v>
      </c>
      <c r="AQ130" s="39">
        <f>資料儲存!I2742</f>
        <v>0</v>
      </c>
      <c r="AR130" s="39">
        <f>資料儲存!J2742</f>
        <v>0</v>
      </c>
      <c r="AT130" s="38">
        <v>41</v>
      </c>
      <c r="AU130" s="39">
        <f>資料儲存!D2862</f>
        <v>0</v>
      </c>
      <c r="AV130" s="39">
        <f>資料儲存!E2862</f>
        <v>0</v>
      </c>
      <c r="AW130" s="39">
        <f>資料儲存!F2862</f>
        <v>0</v>
      </c>
      <c r="AX130" s="39">
        <f>資料儲存!G2862</f>
        <v>0</v>
      </c>
      <c r="AY130" s="39">
        <f>資料儲存!H2862</f>
        <v>0</v>
      </c>
      <c r="AZ130" s="39">
        <f>資料儲存!I2862</f>
        <v>0</v>
      </c>
      <c r="BA130" s="39">
        <f>資料儲存!J2862</f>
        <v>0</v>
      </c>
    </row>
    <row r="131" spans="1:53" ht="16" thickBot="1">
      <c r="A131" s="38">
        <v>42</v>
      </c>
      <c r="B131" s="39">
        <f>資料儲存!D2263</f>
        <v>0</v>
      </c>
      <c r="C131" s="39">
        <f>資料儲存!E2263</f>
        <v>0</v>
      </c>
      <c r="D131" s="39">
        <f>資料儲存!F2263</f>
        <v>0</v>
      </c>
      <c r="E131" s="39">
        <f>資料儲存!G2263</f>
        <v>0</v>
      </c>
      <c r="F131" s="39">
        <f>資料儲存!H2263</f>
        <v>0</v>
      </c>
      <c r="G131" s="39">
        <f>資料儲存!I2263</f>
        <v>0</v>
      </c>
      <c r="H131" s="39">
        <f>資料儲存!J2263</f>
        <v>0</v>
      </c>
      <c r="I131" s="35"/>
      <c r="J131" s="38">
        <v>42</v>
      </c>
      <c r="K131" s="39">
        <f>資料儲存!D2383</f>
        <v>0</v>
      </c>
      <c r="L131" s="39">
        <f>資料儲存!E2383</f>
        <v>0</v>
      </c>
      <c r="M131" s="39">
        <f>資料儲存!F2383</f>
        <v>0</v>
      </c>
      <c r="N131" s="39">
        <f>資料儲存!G2383</f>
        <v>0</v>
      </c>
      <c r="O131" s="39">
        <f>資料儲存!H2383</f>
        <v>0</v>
      </c>
      <c r="P131" s="39">
        <f>資料儲存!I2383</f>
        <v>0</v>
      </c>
      <c r="Q131" s="39">
        <f>資料儲存!J2383</f>
        <v>0</v>
      </c>
      <c r="R131" s="35"/>
      <c r="S131" s="38">
        <v>42</v>
      </c>
      <c r="T131" s="39">
        <f>資料儲存!D2503</f>
        <v>0</v>
      </c>
      <c r="U131" s="39">
        <f>資料儲存!E2503</f>
        <v>0</v>
      </c>
      <c r="V131" s="39">
        <f>資料儲存!F2503</f>
        <v>0</v>
      </c>
      <c r="W131" s="39">
        <f>資料儲存!G2503</f>
        <v>0</v>
      </c>
      <c r="X131" s="39">
        <f>資料儲存!H2503</f>
        <v>0</v>
      </c>
      <c r="Y131" s="39">
        <f>資料儲存!I2503</f>
        <v>0</v>
      </c>
      <c r="Z131" s="39">
        <f>資料儲存!J2503</f>
        <v>0</v>
      </c>
      <c r="AA131" s="35"/>
      <c r="AB131" s="38">
        <v>42</v>
      </c>
      <c r="AC131" s="39">
        <f>資料儲存!D2623</f>
        <v>0</v>
      </c>
      <c r="AD131" s="39">
        <f>資料儲存!E2623</f>
        <v>0</v>
      </c>
      <c r="AE131" s="39">
        <f>資料儲存!F2623</f>
        <v>0</v>
      </c>
      <c r="AF131" s="39">
        <f>資料儲存!G2623</f>
        <v>0</v>
      </c>
      <c r="AG131" s="39">
        <f>資料儲存!H2623</f>
        <v>0</v>
      </c>
      <c r="AH131" s="39">
        <f>資料儲存!I2623</f>
        <v>0</v>
      </c>
      <c r="AI131" s="39">
        <f>資料儲存!J2623</f>
        <v>0</v>
      </c>
      <c r="AJ131" s="13"/>
      <c r="AK131" s="38">
        <v>42</v>
      </c>
      <c r="AL131" s="39">
        <f>資料儲存!D2743</f>
        <v>0</v>
      </c>
      <c r="AM131" s="39">
        <f>資料儲存!E2743</f>
        <v>0</v>
      </c>
      <c r="AN131" s="39">
        <f>資料儲存!F2743</f>
        <v>0</v>
      </c>
      <c r="AO131" s="39">
        <f>資料儲存!G2743</f>
        <v>0</v>
      </c>
      <c r="AP131" s="39">
        <f>資料儲存!H2743</f>
        <v>0</v>
      </c>
      <c r="AQ131" s="39">
        <f>資料儲存!I2743</f>
        <v>0</v>
      </c>
      <c r="AR131" s="39">
        <f>資料儲存!J2743</f>
        <v>0</v>
      </c>
      <c r="AT131" s="38">
        <v>42</v>
      </c>
      <c r="AU131" s="39">
        <f>資料儲存!D2863</f>
        <v>0</v>
      </c>
      <c r="AV131" s="39">
        <f>資料儲存!E2863</f>
        <v>0</v>
      </c>
      <c r="AW131" s="39">
        <f>資料儲存!F2863</f>
        <v>0</v>
      </c>
      <c r="AX131" s="39">
        <f>資料儲存!G2863</f>
        <v>0</v>
      </c>
      <c r="AY131" s="39">
        <f>資料儲存!H2863</f>
        <v>0</v>
      </c>
      <c r="AZ131" s="39">
        <f>資料儲存!I2863</f>
        <v>0</v>
      </c>
      <c r="BA131" s="39">
        <f>資料儲存!J2863</f>
        <v>0</v>
      </c>
    </row>
    <row r="132" spans="1:53" ht="16" thickBot="1">
      <c r="A132" s="38">
        <v>43</v>
      </c>
      <c r="B132" s="39">
        <f>資料儲存!D2264</f>
        <v>0</v>
      </c>
      <c r="C132" s="39">
        <f>資料儲存!E2264</f>
        <v>0</v>
      </c>
      <c r="D132" s="39">
        <f>資料儲存!F2264</f>
        <v>0</v>
      </c>
      <c r="E132" s="39">
        <f>資料儲存!G2264</f>
        <v>0</v>
      </c>
      <c r="F132" s="39">
        <f>資料儲存!H2264</f>
        <v>0</v>
      </c>
      <c r="G132" s="39">
        <f>資料儲存!I2264</f>
        <v>0</v>
      </c>
      <c r="H132" s="39">
        <f>資料儲存!J2264</f>
        <v>0</v>
      </c>
      <c r="I132" s="35"/>
      <c r="J132" s="38">
        <v>43</v>
      </c>
      <c r="K132" s="39">
        <f>資料儲存!D2384</f>
        <v>0</v>
      </c>
      <c r="L132" s="39">
        <f>資料儲存!E2384</f>
        <v>0</v>
      </c>
      <c r="M132" s="39">
        <f>資料儲存!F2384</f>
        <v>0</v>
      </c>
      <c r="N132" s="39">
        <f>資料儲存!G2384</f>
        <v>0</v>
      </c>
      <c r="O132" s="39">
        <f>資料儲存!H2384</f>
        <v>0</v>
      </c>
      <c r="P132" s="39">
        <f>資料儲存!I2384</f>
        <v>0</v>
      </c>
      <c r="Q132" s="39">
        <f>資料儲存!J2384</f>
        <v>0</v>
      </c>
      <c r="R132" s="35"/>
      <c r="S132" s="38">
        <v>43</v>
      </c>
      <c r="T132" s="39">
        <f>資料儲存!D2504</f>
        <v>0</v>
      </c>
      <c r="U132" s="39">
        <f>資料儲存!E2504</f>
        <v>0</v>
      </c>
      <c r="V132" s="39">
        <f>資料儲存!F2504</f>
        <v>0</v>
      </c>
      <c r="W132" s="39">
        <f>資料儲存!G2504</f>
        <v>0</v>
      </c>
      <c r="X132" s="39">
        <f>資料儲存!H2504</f>
        <v>0</v>
      </c>
      <c r="Y132" s="39">
        <f>資料儲存!I2504</f>
        <v>0</v>
      </c>
      <c r="Z132" s="39">
        <f>資料儲存!J2504</f>
        <v>0</v>
      </c>
      <c r="AA132" s="35"/>
      <c r="AB132" s="38">
        <v>43</v>
      </c>
      <c r="AC132" s="39">
        <f>資料儲存!D2624</f>
        <v>0</v>
      </c>
      <c r="AD132" s="39">
        <f>資料儲存!E2624</f>
        <v>0</v>
      </c>
      <c r="AE132" s="39">
        <f>資料儲存!F2624</f>
        <v>0</v>
      </c>
      <c r="AF132" s="39">
        <f>資料儲存!G2624</f>
        <v>0</v>
      </c>
      <c r="AG132" s="39">
        <f>資料儲存!H2624</f>
        <v>0</v>
      </c>
      <c r="AH132" s="39">
        <f>資料儲存!I2624</f>
        <v>0</v>
      </c>
      <c r="AI132" s="39">
        <f>資料儲存!J2624</f>
        <v>0</v>
      </c>
      <c r="AJ132" s="13"/>
      <c r="AK132" s="38">
        <v>43</v>
      </c>
      <c r="AL132" s="39">
        <f>資料儲存!D2744</f>
        <v>0</v>
      </c>
      <c r="AM132" s="39">
        <f>資料儲存!E2744</f>
        <v>0</v>
      </c>
      <c r="AN132" s="39">
        <f>資料儲存!F2744</f>
        <v>0</v>
      </c>
      <c r="AO132" s="39">
        <f>資料儲存!G2744</f>
        <v>0</v>
      </c>
      <c r="AP132" s="39">
        <f>資料儲存!H2744</f>
        <v>0</v>
      </c>
      <c r="AQ132" s="39">
        <f>資料儲存!I2744</f>
        <v>0</v>
      </c>
      <c r="AR132" s="39">
        <f>資料儲存!J2744</f>
        <v>0</v>
      </c>
      <c r="AT132" s="38">
        <v>43</v>
      </c>
      <c r="AU132" s="39">
        <f>資料儲存!D2864</f>
        <v>0</v>
      </c>
      <c r="AV132" s="39">
        <f>資料儲存!E2864</f>
        <v>0</v>
      </c>
      <c r="AW132" s="39">
        <f>資料儲存!F2864</f>
        <v>0</v>
      </c>
      <c r="AX132" s="39">
        <f>資料儲存!G2864</f>
        <v>0</v>
      </c>
      <c r="AY132" s="39">
        <f>資料儲存!H2864</f>
        <v>0</v>
      </c>
      <c r="AZ132" s="39">
        <f>資料儲存!I2864</f>
        <v>0</v>
      </c>
      <c r="BA132" s="39">
        <f>資料儲存!J2864</f>
        <v>0</v>
      </c>
    </row>
    <row r="133" spans="1:53" ht="16" thickBot="1">
      <c r="A133" s="38">
        <v>44</v>
      </c>
      <c r="B133" s="39">
        <f>資料儲存!D2265</f>
        <v>0</v>
      </c>
      <c r="C133" s="39">
        <f>資料儲存!E2265</f>
        <v>0</v>
      </c>
      <c r="D133" s="39">
        <f>資料儲存!F2265</f>
        <v>0</v>
      </c>
      <c r="E133" s="39">
        <f>資料儲存!G2265</f>
        <v>0</v>
      </c>
      <c r="F133" s="39">
        <f>資料儲存!H2265</f>
        <v>0</v>
      </c>
      <c r="G133" s="39">
        <f>資料儲存!I2265</f>
        <v>0</v>
      </c>
      <c r="H133" s="39">
        <f>資料儲存!J2265</f>
        <v>0</v>
      </c>
      <c r="I133" s="35"/>
      <c r="J133" s="38">
        <v>44</v>
      </c>
      <c r="K133" s="39">
        <f>資料儲存!D2385</f>
        <v>0</v>
      </c>
      <c r="L133" s="39">
        <f>資料儲存!E2385</f>
        <v>0</v>
      </c>
      <c r="M133" s="39">
        <f>資料儲存!F2385</f>
        <v>0</v>
      </c>
      <c r="N133" s="39">
        <f>資料儲存!G2385</f>
        <v>0</v>
      </c>
      <c r="O133" s="39">
        <f>資料儲存!H2385</f>
        <v>0</v>
      </c>
      <c r="P133" s="39">
        <f>資料儲存!I2385</f>
        <v>0</v>
      </c>
      <c r="Q133" s="39">
        <f>資料儲存!J2385</f>
        <v>0</v>
      </c>
      <c r="R133" s="35"/>
      <c r="S133" s="38">
        <v>44</v>
      </c>
      <c r="T133" s="39">
        <f>資料儲存!D2505</f>
        <v>0</v>
      </c>
      <c r="U133" s="39">
        <f>資料儲存!E2505</f>
        <v>0</v>
      </c>
      <c r="V133" s="39">
        <f>資料儲存!F2505</f>
        <v>0</v>
      </c>
      <c r="W133" s="39">
        <f>資料儲存!G2505</f>
        <v>0</v>
      </c>
      <c r="X133" s="39">
        <f>資料儲存!H2505</f>
        <v>0</v>
      </c>
      <c r="Y133" s="39">
        <f>資料儲存!I2505</f>
        <v>0</v>
      </c>
      <c r="Z133" s="39">
        <f>資料儲存!J2505</f>
        <v>0</v>
      </c>
      <c r="AA133" s="35"/>
      <c r="AB133" s="38">
        <v>44</v>
      </c>
      <c r="AC133" s="39">
        <f>資料儲存!D2625</f>
        <v>0</v>
      </c>
      <c r="AD133" s="39">
        <f>資料儲存!E2625</f>
        <v>0</v>
      </c>
      <c r="AE133" s="39">
        <f>資料儲存!F2625</f>
        <v>0</v>
      </c>
      <c r="AF133" s="39">
        <f>資料儲存!G2625</f>
        <v>0</v>
      </c>
      <c r="AG133" s="39">
        <f>資料儲存!H2625</f>
        <v>0</v>
      </c>
      <c r="AH133" s="39">
        <f>資料儲存!I2625</f>
        <v>0</v>
      </c>
      <c r="AI133" s="39">
        <f>資料儲存!J2625</f>
        <v>0</v>
      </c>
      <c r="AJ133" s="13"/>
      <c r="AK133" s="38">
        <v>44</v>
      </c>
      <c r="AL133" s="39">
        <f>資料儲存!D2745</f>
        <v>0</v>
      </c>
      <c r="AM133" s="39">
        <f>資料儲存!E2745</f>
        <v>0</v>
      </c>
      <c r="AN133" s="39">
        <f>資料儲存!F2745</f>
        <v>0</v>
      </c>
      <c r="AO133" s="39">
        <f>資料儲存!G2745</f>
        <v>0</v>
      </c>
      <c r="AP133" s="39">
        <f>資料儲存!H2745</f>
        <v>0</v>
      </c>
      <c r="AQ133" s="39">
        <f>資料儲存!I2745</f>
        <v>0</v>
      </c>
      <c r="AR133" s="39">
        <f>資料儲存!J2745</f>
        <v>0</v>
      </c>
      <c r="AT133" s="38">
        <v>44</v>
      </c>
      <c r="AU133" s="39">
        <f>資料儲存!D2865</f>
        <v>0</v>
      </c>
      <c r="AV133" s="39">
        <f>資料儲存!E2865</f>
        <v>0</v>
      </c>
      <c r="AW133" s="39">
        <f>資料儲存!F2865</f>
        <v>0</v>
      </c>
      <c r="AX133" s="39">
        <f>資料儲存!G2865</f>
        <v>0</v>
      </c>
      <c r="AY133" s="39">
        <f>資料儲存!H2865</f>
        <v>0</v>
      </c>
      <c r="AZ133" s="39">
        <f>資料儲存!I2865</f>
        <v>0</v>
      </c>
      <c r="BA133" s="39">
        <f>資料儲存!J2865</f>
        <v>0</v>
      </c>
    </row>
    <row r="134" spans="1:53" ht="16" thickBot="1">
      <c r="A134" s="38">
        <v>45</v>
      </c>
      <c r="B134" s="39">
        <f>資料儲存!D2266</f>
        <v>0</v>
      </c>
      <c r="C134" s="39">
        <f>資料儲存!E2266</f>
        <v>0</v>
      </c>
      <c r="D134" s="39">
        <f>資料儲存!F2266</f>
        <v>0</v>
      </c>
      <c r="E134" s="39">
        <f>資料儲存!G2266</f>
        <v>0</v>
      </c>
      <c r="F134" s="39">
        <f>資料儲存!H2266</f>
        <v>0</v>
      </c>
      <c r="G134" s="39">
        <f>資料儲存!I2266</f>
        <v>0</v>
      </c>
      <c r="H134" s="39">
        <f>資料儲存!J2266</f>
        <v>0</v>
      </c>
      <c r="I134" s="35"/>
      <c r="J134" s="38">
        <v>45</v>
      </c>
      <c r="K134" s="39">
        <f>資料儲存!D2386</f>
        <v>0</v>
      </c>
      <c r="L134" s="39">
        <f>資料儲存!E2386</f>
        <v>0</v>
      </c>
      <c r="M134" s="39">
        <f>資料儲存!F2386</f>
        <v>0</v>
      </c>
      <c r="N134" s="39">
        <f>資料儲存!G2386</f>
        <v>0</v>
      </c>
      <c r="O134" s="39">
        <f>資料儲存!H2386</f>
        <v>0</v>
      </c>
      <c r="P134" s="39">
        <f>資料儲存!I2386</f>
        <v>0</v>
      </c>
      <c r="Q134" s="39">
        <f>資料儲存!J2386</f>
        <v>0</v>
      </c>
      <c r="R134" s="35"/>
      <c r="S134" s="38">
        <v>45</v>
      </c>
      <c r="T134" s="39">
        <f>資料儲存!D2506</f>
        <v>0</v>
      </c>
      <c r="U134" s="39">
        <f>資料儲存!E2506</f>
        <v>0</v>
      </c>
      <c r="V134" s="39">
        <f>資料儲存!F2506</f>
        <v>0</v>
      </c>
      <c r="W134" s="39">
        <f>資料儲存!G2506</f>
        <v>0</v>
      </c>
      <c r="X134" s="39">
        <f>資料儲存!H2506</f>
        <v>0</v>
      </c>
      <c r="Y134" s="39">
        <f>資料儲存!I2506</f>
        <v>0</v>
      </c>
      <c r="Z134" s="39">
        <f>資料儲存!J2506</f>
        <v>0</v>
      </c>
      <c r="AA134" s="35"/>
      <c r="AB134" s="38">
        <v>45</v>
      </c>
      <c r="AC134" s="39">
        <f>資料儲存!D2626</f>
        <v>0</v>
      </c>
      <c r="AD134" s="39">
        <f>資料儲存!E2626</f>
        <v>0</v>
      </c>
      <c r="AE134" s="39">
        <f>資料儲存!F2626</f>
        <v>0</v>
      </c>
      <c r="AF134" s="39">
        <f>資料儲存!G2626</f>
        <v>0</v>
      </c>
      <c r="AG134" s="39">
        <f>資料儲存!H2626</f>
        <v>0</v>
      </c>
      <c r="AH134" s="39">
        <f>資料儲存!I2626</f>
        <v>0</v>
      </c>
      <c r="AI134" s="39">
        <f>資料儲存!J2626</f>
        <v>0</v>
      </c>
      <c r="AJ134" s="13"/>
      <c r="AK134" s="38">
        <v>45</v>
      </c>
      <c r="AL134" s="39">
        <f>資料儲存!D2746</f>
        <v>0</v>
      </c>
      <c r="AM134" s="39">
        <f>資料儲存!E2746</f>
        <v>0</v>
      </c>
      <c r="AN134" s="39">
        <f>資料儲存!F2746</f>
        <v>0</v>
      </c>
      <c r="AO134" s="39">
        <f>資料儲存!G2746</f>
        <v>0</v>
      </c>
      <c r="AP134" s="39">
        <f>資料儲存!H2746</f>
        <v>0</v>
      </c>
      <c r="AQ134" s="39">
        <f>資料儲存!I2746</f>
        <v>0</v>
      </c>
      <c r="AR134" s="39">
        <f>資料儲存!J2746</f>
        <v>0</v>
      </c>
      <c r="AT134" s="38">
        <v>45</v>
      </c>
      <c r="AU134" s="39">
        <f>資料儲存!D2866</f>
        <v>0</v>
      </c>
      <c r="AV134" s="39">
        <f>資料儲存!E2866</f>
        <v>0</v>
      </c>
      <c r="AW134" s="39">
        <f>資料儲存!F2866</f>
        <v>0</v>
      </c>
      <c r="AX134" s="39">
        <f>資料儲存!G2866</f>
        <v>0</v>
      </c>
      <c r="AY134" s="39">
        <f>資料儲存!H2866</f>
        <v>0</v>
      </c>
      <c r="AZ134" s="39">
        <f>資料儲存!I2866</f>
        <v>0</v>
      </c>
      <c r="BA134" s="39">
        <f>資料儲存!J2866</f>
        <v>0</v>
      </c>
    </row>
    <row r="135" spans="1:53" ht="17.25" customHeight="1" thickBot="1">
      <c r="A135" s="40" t="s">
        <v>56</v>
      </c>
      <c r="B135" s="39">
        <f>SUM(B120:E134)</f>
        <v>0</v>
      </c>
      <c r="C135" s="37"/>
      <c r="D135" s="37"/>
      <c r="E135" s="37"/>
      <c r="F135" s="39">
        <f>F134</f>
        <v>0</v>
      </c>
      <c r="G135" s="39">
        <f>G134</f>
        <v>0</v>
      </c>
      <c r="H135" s="39">
        <f>H134</f>
        <v>0</v>
      </c>
      <c r="I135" s="35"/>
      <c r="J135" s="40" t="s">
        <v>56</v>
      </c>
      <c r="K135" s="39">
        <f>SUM(K120:N134)</f>
        <v>0</v>
      </c>
      <c r="L135" s="37"/>
      <c r="M135" s="37"/>
      <c r="N135" s="37"/>
      <c r="O135" s="39">
        <f>O134</f>
        <v>0</v>
      </c>
      <c r="P135" s="39">
        <f>P134</f>
        <v>0</v>
      </c>
      <c r="Q135" s="39">
        <f>Q134</f>
        <v>0</v>
      </c>
      <c r="R135" s="35"/>
      <c r="S135" s="40" t="s">
        <v>56</v>
      </c>
      <c r="T135" s="39">
        <f>SUM(T120:W134)</f>
        <v>0</v>
      </c>
      <c r="U135" s="37"/>
      <c r="V135" s="37"/>
      <c r="W135" s="37"/>
      <c r="X135" s="39">
        <f>X134</f>
        <v>0</v>
      </c>
      <c r="Y135" s="39">
        <f>Y134</f>
        <v>0</v>
      </c>
      <c r="Z135" s="39">
        <f>Z134</f>
        <v>0</v>
      </c>
      <c r="AA135" s="35"/>
      <c r="AB135" s="40" t="s">
        <v>56</v>
      </c>
      <c r="AC135" s="39">
        <f>SUM(AC120:AF134)</f>
        <v>0</v>
      </c>
      <c r="AD135" s="37"/>
      <c r="AE135" s="37"/>
      <c r="AF135" s="37"/>
      <c r="AG135" s="39">
        <f>AG134</f>
        <v>0</v>
      </c>
      <c r="AH135" s="39">
        <f>AH134</f>
        <v>0</v>
      </c>
      <c r="AI135" s="39">
        <f>AI134</f>
        <v>0</v>
      </c>
      <c r="AJ135" s="13"/>
      <c r="AK135" s="40" t="s">
        <v>56</v>
      </c>
      <c r="AL135" s="39">
        <f>SUM(AL120:AO134)</f>
        <v>0</v>
      </c>
      <c r="AM135" s="37"/>
      <c r="AN135" s="37"/>
      <c r="AO135" s="37"/>
      <c r="AP135" s="39">
        <f>AP134</f>
        <v>0</v>
      </c>
      <c r="AQ135" s="39">
        <f>AQ134</f>
        <v>0</v>
      </c>
      <c r="AR135" s="39">
        <f>AR134</f>
        <v>0</v>
      </c>
      <c r="AT135" s="40" t="s">
        <v>56</v>
      </c>
      <c r="AU135" s="39">
        <f>SUM(AU120:AX134)</f>
        <v>0</v>
      </c>
      <c r="AV135" s="37"/>
      <c r="AW135" s="37"/>
      <c r="AX135" s="37"/>
      <c r="AY135" s="39">
        <f>AY134</f>
        <v>0</v>
      </c>
      <c r="AZ135" s="39">
        <f>AZ134</f>
        <v>0</v>
      </c>
      <c r="BA135" s="39">
        <f>BA134</f>
        <v>0</v>
      </c>
    </row>
    <row r="136" spans="1:53" ht="18.5" thickBot="1">
      <c r="A136" s="248" t="s">
        <v>170</v>
      </c>
      <c r="B136" s="249"/>
      <c r="C136" s="249"/>
      <c r="D136" s="249"/>
      <c r="E136" s="249"/>
      <c r="F136" s="249"/>
      <c r="G136" s="249"/>
      <c r="H136" s="250"/>
      <c r="I136" s="13"/>
      <c r="J136" s="248" t="s">
        <v>170</v>
      </c>
      <c r="K136" s="249"/>
      <c r="L136" s="249"/>
      <c r="M136" s="249"/>
      <c r="N136" s="249"/>
      <c r="O136" s="249"/>
      <c r="P136" s="249"/>
      <c r="Q136" s="250"/>
      <c r="R136" s="13"/>
      <c r="S136" s="248" t="s">
        <v>170</v>
      </c>
      <c r="T136" s="249"/>
      <c r="U136" s="249"/>
      <c r="V136" s="249"/>
      <c r="W136" s="249"/>
      <c r="X136" s="249"/>
      <c r="Y136" s="249"/>
      <c r="Z136" s="250"/>
      <c r="AA136" s="13"/>
      <c r="AB136" s="248" t="s">
        <v>170</v>
      </c>
      <c r="AC136" s="249"/>
      <c r="AD136" s="249"/>
      <c r="AE136" s="249"/>
      <c r="AF136" s="249"/>
      <c r="AG136" s="249"/>
      <c r="AH136" s="249"/>
      <c r="AI136" s="250"/>
      <c r="AJ136" s="13"/>
      <c r="AK136" s="248" t="s">
        <v>170</v>
      </c>
      <c r="AL136" s="249"/>
      <c r="AM136" s="249"/>
      <c r="AN136" s="249"/>
      <c r="AO136" s="249"/>
      <c r="AP136" s="249"/>
      <c r="AQ136" s="249"/>
      <c r="AR136" s="250"/>
      <c r="AT136" s="248" t="s">
        <v>170</v>
      </c>
      <c r="AU136" s="249"/>
      <c r="AV136" s="249"/>
      <c r="AW136" s="249"/>
      <c r="AX136" s="249"/>
      <c r="AY136" s="249"/>
      <c r="AZ136" s="249"/>
      <c r="BA136" s="250"/>
    </row>
    <row r="137" spans="1:53" ht="17.25" customHeight="1" thickBot="1">
      <c r="A137" s="41" t="s">
        <v>2</v>
      </c>
      <c r="B137" s="42" t="s">
        <v>46</v>
      </c>
      <c r="C137" s="43"/>
      <c r="D137" s="43"/>
      <c r="E137" s="44"/>
      <c r="F137" s="42" t="s">
        <v>47</v>
      </c>
      <c r="G137" s="43"/>
      <c r="H137" s="44"/>
      <c r="I137" s="45"/>
      <c r="J137" s="41" t="s">
        <v>2</v>
      </c>
      <c r="K137" s="42" t="s">
        <v>46</v>
      </c>
      <c r="L137" s="43"/>
      <c r="M137" s="43"/>
      <c r="N137" s="44"/>
      <c r="O137" s="42" t="s">
        <v>47</v>
      </c>
      <c r="P137" s="43"/>
      <c r="Q137" s="44"/>
      <c r="R137" s="45"/>
      <c r="S137" s="41" t="s">
        <v>2</v>
      </c>
      <c r="T137" s="42" t="s">
        <v>46</v>
      </c>
      <c r="U137" s="43"/>
      <c r="V137" s="43"/>
      <c r="W137" s="44"/>
      <c r="X137" s="42" t="s">
        <v>47</v>
      </c>
      <c r="Y137" s="43"/>
      <c r="Z137" s="44"/>
      <c r="AA137" s="45"/>
      <c r="AB137" s="41" t="s">
        <v>2</v>
      </c>
      <c r="AC137" s="42" t="s">
        <v>46</v>
      </c>
      <c r="AD137" s="43"/>
      <c r="AE137" s="43"/>
      <c r="AF137" s="44"/>
      <c r="AG137" s="42" t="s">
        <v>47</v>
      </c>
      <c r="AH137" s="43"/>
      <c r="AI137" s="44"/>
      <c r="AJ137" s="13"/>
      <c r="AK137" s="41" t="s">
        <v>2</v>
      </c>
      <c r="AL137" s="42" t="s">
        <v>46</v>
      </c>
      <c r="AM137" s="43"/>
      <c r="AN137" s="43"/>
      <c r="AO137" s="44"/>
      <c r="AP137" s="42" t="s">
        <v>47</v>
      </c>
      <c r="AQ137" s="43"/>
      <c r="AR137" s="44"/>
      <c r="AT137" s="41" t="s">
        <v>2</v>
      </c>
      <c r="AU137" s="42" t="s">
        <v>46</v>
      </c>
      <c r="AV137" s="43"/>
      <c r="AW137" s="43"/>
      <c r="AX137" s="44"/>
      <c r="AY137" s="42" t="s">
        <v>47</v>
      </c>
      <c r="AZ137" s="43"/>
      <c r="BA137" s="44"/>
    </row>
    <row r="138" spans="1:53" ht="16" thickBot="1">
      <c r="A138" s="46">
        <v>0.57291666666666663</v>
      </c>
      <c r="B138" s="47" t="s">
        <v>49</v>
      </c>
      <c r="C138" s="47" t="s">
        <v>50</v>
      </c>
      <c r="D138" s="47" t="s">
        <v>51</v>
      </c>
      <c r="E138" s="47" t="s">
        <v>52</v>
      </c>
      <c r="F138" s="47" t="s">
        <v>53</v>
      </c>
      <c r="G138" s="47" t="s">
        <v>54</v>
      </c>
      <c r="H138" s="47" t="s">
        <v>55</v>
      </c>
      <c r="I138" s="45"/>
      <c r="J138" s="46">
        <v>0.57291666666666663</v>
      </c>
      <c r="K138" s="47" t="s">
        <v>49</v>
      </c>
      <c r="L138" s="47" t="s">
        <v>50</v>
      </c>
      <c r="M138" s="47" t="s">
        <v>51</v>
      </c>
      <c r="N138" s="47" t="s">
        <v>52</v>
      </c>
      <c r="O138" s="47" t="s">
        <v>53</v>
      </c>
      <c r="P138" s="47" t="s">
        <v>54</v>
      </c>
      <c r="Q138" s="47" t="s">
        <v>55</v>
      </c>
      <c r="R138" s="45"/>
      <c r="S138" s="46">
        <v>0.57291666666666663</v>
      </c>
      <c r="T138" s="47" t="s">
        <v>49</v>
      </c>
      <c r="U138" s="47" t="s">
        <v>50</v>
      </c>
      <c r="V138" s="47" t="s">
        <v>51</v>
      </c>
      <c r="W138" s="47" t="s">
        <v>52</v>
      </c>
      <c r="X138" s="47" t="s">
        <v>53</v>
      </c>
      <c r="Y138" s="47" t="s">
        <v>54</v>
      </c>
      <c r="Z138" s="47" t="s">
        <v>55</v>
      </c>
      <c r="AA138" s="45"/>
      <c r="AB138" s="46">
        <v>0.57291666666666663</v>
      </c>
      <c r="AC138" s="47" t="s">
        <v>49</v>
      </c>
      <c r="AD138" s="47" t="s">
        <v>50</v>
      </c>
      <c r="AE138" s="47" t="s">
        <v>51</v>
      </c>
      <c r="AF138" s="47" t="s">
        <v>52</v>
      </c>
      <c r="AG138" s="47" t="s">
        <v>53</v>
      </c>
      <c r="AH138" s="47" t="s">
        <v>54</v>
      </c>
      <c r="AI138" s="47" t="s">
        <v>55</v>
      </c>
      <c r="AJ138" s="13"/>
      <c r="AK138" s="46">
        <v>0.57291666666666663</v>
      </c>
      <c r="AL138" s="47" t="s">
        <v>49</v>
      </c>
      <c r="AM138" s="47" t="s">
        <v>50</v>
      </c>
      <c r="AN138" s="47" t="s">
        <v>51</v>
      </c>
      <c r="AO138" s="47" t="s">
        <v>52</v>
      </c>
      <c r="AP138" s="47" t="s">
        <v>53</v>
      </c>
      <c r="AQ138" s="47" t="s">
        <v>54</v>
      </c>
      <c r="AR138" s="47" t="s">
        <v>55</v>
      </c>
      <c r="AT138" s="46">
        <v>0.57291666666666663</v>
      </c>
      <c r="AU138" s="47" t="s">
        <v>49</v>
      </c>
      <c r="AV138" s="47" t="s">
        <v>50</v>
      </c>
      <c r="AW138" s="47" t="s">
        <v>51</v>
      </c>
      <c r="AX138" s="47" t="s">
        <v>52</v>
      </c>
      <c r="AY138" s="47" t="s">
        <v>53</v>
      </c>
      <c r="AZ138" s="47" t="s">
        <v>54</v>
      </c>
      <c r="BA138" s="47" t="s">
        <v>55</v>
      </c>
    </row>
    <row r="139" spans="1:53" ht="16" thickBot="1">
      <c r="A139" s="48">
        <v>46</v>
      </c>
      <c r="B139" s="49">
        <f>資料儲存!D2267</f>
        <v>0</v>
      </c>
      <c r="C139" s="49">
        <f>資料儲存!E2267</f>
        <v>0</v>
      </c>
      <c r="D139" s="49">
        <f>資料儲存!F2267</f>
        <v>0</v>
      </c>
      <c r="E139" s="49">
        <f>資料儲存!G2267</f>
        <v>0</v>
      </c>
      <c r="F139" s="49">
        <f>資料儲存!H2267</f>
        <v>0</v>
      </c>
      <c r="G139" s="49">
        <f>資料儲存!I2267</f>
        <v>0</v>
      </c>
      <c r="H139" s="49">
        <f>資料儲存!J2267</f>
        <v>0</v>
      </c>
      <c r="I139" s="45"/>
      <c r="J139" s="48">
        <v>46</v>
      </c>
      <c r="K139" s="49">
        <f>資料儲存!D2387</f>
        <v>0</v>
      </c>
      <c r="L139" s="49">
        <f>資料儲存!E2387</f>
        <v>0</v>
      </c>
      <c r="M139" s="49">
        <f>資料儲存!F2387</f>
        <v>0</v>
      </c>
      <c r="N139" s="49">
        <f>資料儲存!G2387</f>
        <v>0</v>
      </c>
      <c r="O139" s="49">
        <f>資料儲存!H2387</f>
        <v>0</v>
      </c>
      <c r="P139" s="49">
        <f>資料儲存!I2387</f>
        <v>0</v>
      </c>
      <c r="Q139" s="49">
        <f>資料儲存!J2387</f>
        <v>0</v>
      </c>
      <c r="R139" s="45"/>
      <c r="S139" s="48">
        <v>46</v>
      </c>
      <c r="T139" s="49">
        <f>資料儲存!D2507</f>
        <v>0</v>
      </c>
      <c r="U139" s="49">
        <f>資料儲存!E2507</f>
        <v>0</v>
      </c>
      <c r="V139" s="49">
        <f>資料儲存!F2507</f>
        <v>0</v>
      </c>
      <c r="W139" s="49">
        <f>資料儲存!G2507</f>
        <v>0</v>
      </c>
      <c r="X139" s="49">
        <f>資料儲存!H2507</f>
        <v>0</v>
      </c>
      <c r="Y139" s="49">
        <f>資料儲存!I2507</f>
        <v>0</v>
      </c>
      <c r="Z139" s="49">
        <f>資料儲存!J2507</f>
        <v>0</v>
      </c>
      <c r="AA139" s="45"/>
      <c r="AB139" s="48">
        <v>46</v>
      </c>
      <c r="AC139" s="49">
        <f>資料儲存!D2627</f>
        <v>0</v>
      </c>
      <c r="AD139" s="49">
        <f>資料儲存!E2627</f>
        <v>0</v>
      </c>
      <c r="AE139" s="49">
        <f>資料儲存!F2627</f>
        <v>0</v>
      </c>
      <c r="AF139" s="49">
        <f>資料儲存!G2627</f>
        <v>0</v>
      </c>
      <c r="AG139" s="49">
        <f>資料儲存!H2627</f>
        <v>0</v>
      </c>
      <c r="AH139" s="49">
        <f>資料儲存!I2627</f>
        <v>0</v>
      </c>
      <c r="AI139" s="49">
        <f>資料儲存!J2627</f>
        <v>0</v>
      </c>
      <c r="AJ139" s="13"/>
      <c r="AK139" s="48">
        <v>46</v>
      </c>
      <c r="AL139" s="49">
        <f>資料儲存!D2747</f>
        <v>0</v>
      </c>
      <c r="AM139" s="49">
        <f>資料儲存!E2747</f>
        <v>0</v>
      </c>
      <c r="AN139" s="49">
        <f>資料儲存!F2747</f>
        <v>0</v>
      </c>
      <c r="AO139" s="49">
        <f>資料儲存!G2747</f>
        <v>0</v>
      </c>
      <c r="AP139" s="49">
        <f>資料儲存!H2747</f>
        <v>0</v>
      </c>
      <c r="AQ139" s="49">
        <f>資料儲存!I2747</f>
        <v>0</v>
      </c>
      <c r="AR139" s="49">
        <f>資料儲存!J2747</f>
        <v>0</v>
      </c>
      <c r="AT139" s="48">
        <v>46</v>
      </c>
      <c r="AU139" s="49">
        <f>資料儲存!D2867</f>
        <v>0</v>
      </c>
      <c r="AV139" s="49">
        <f>資料儲存!E2867</f>
        <v>0</v>
      </c>
      <c r="AW139" s="49">
        <f>資料儲存!F2867</f>
        <v>0</v>
      </c>
      <c r="AX139" s="49">
        <f>資料儲存!G2867</f>
        <v>0</v>
      </c>
      <c r="AY139" s="49">
        <f>資料儲存!H2867</f>
        <v>0</v>
      </c>
      <c r="AZ139" s="49">
        <f>資料儲存!I2867</f>
        <v>0</v>
      </c>
      <c r="BA139" s="49">
        <f>資料儲存!J2867</f>
        <v>0</v>
      </c>
    </row>
    <row r="140" spans="1:53" ht="16" thickBot="1">
      <c r="A140" s="48">
        <v>47</v>
      </c>
      <c r="B140" s="49">
        <f>資料儲存!D2268</f>
        <v>0</v>
      </c>
      <c r="C140" s="49">
        <f>資料儲存!E2268</f>
        <v>0</v>
      </c>
      <c r="D140" s="49">
        <f>資料儲存!F2268</f>
        <v>0</v>
      </c>
      <c r="E140" s="49">
        <f>資料儲存!G2268</f>
        <v>0</v>
      </c>
      <c r="F140" s="49">
        <f>資料儲存!H2268</f>
        <v>0</v>
      </c>
      <c r="G140" s="49">
        <f>資料儲存!I2268</f>
        <v>0</v>
      </c>
      <c r="H140" s="49">
        <f>資料儲存!J2268</f>
        <v>0</v>
      </c>
      <c r="I140" s="45"/>
      <c r="J140" s="48">
        <v>47</v>
      </c>
      <c r="K140" s="49">
        <f>資料儲存!D2388</f>
        <v>0</v>
      </c>
      <c r="L140" s="49">
        <f>資料儲存!E2388</f>
        <v>0</v>
      </c>
      <c r="M140" s="49">
        <f>資料儲存!F2388</f>
        <v>0</v>
      </c>
      <c r="N140" s="49">
        <f>資料儲存!G2388</f>
        <v>0</v>
      </c>
      <c r="O140" s="49">
        <f>資料儲存!H2388</f>
        <v>0</v>
      </c>
      <c r="P140" s="49">
        <f>資料儲存!I2388</f>
        <v>0</v>
      </c>
      <c r="Q140" s="49">
        <f>資料儲存!J2388</f>
        <v>0</v>
      </c>
      <c r="R140" s="45"/>
      <c r="S140" s="48">
        <v>47</v>
      </c>
      <c r="T140" s="49">
        <f>資料儲存!D2508</f>
        <v>0</v>
      </c>
      <c r="U140" s="49">
        <f>資料儲存!E2508</f>
        <v>0</v>
      </c>
      <c r="V140" s="49">
        <f>資料儲存!F2508</f>
        <v>0</v>
      </c>
      <c r="W140" s="49">
        <f>資料儲存!G2508</f>
        <v>0</v>
      </c>
      <c r="X140" s="49">
        <f>資料儲存!H2508</f>
        <v>0</v>
      </c>
      <c r="Y140" s="49">
        <f>資料儲存!I2508</f>
        <v>0</v>
      </c>
      <c r="Z140" s="49">
        <f>資料儲存!J2508</f>
        <v>0</v>
      </c>
      <c r="AA140" s="45"/>
      <c r="AB140" s="48">
        <v>47</v>
      </c>
      <c r="AC140" s="49">
        <f>資料儲存!D2628</f>
        <v>0</v>
      </c>
      <c r="AD140" s="49">
        <f>資料儲存!E2628</f>
        <v>0</v>
      </c>
      <c r="AE140" s="49">
        <f>資料儲存!F2628</f>
        <v>0</v>
      </c>
      <c r="AF140" s="49">
        <f>資料儲存!G2628</f>
        <v>0</v>
      </c>
      <c r="AG140" s="49">
        <f>資料儲存!H2628</f>
        <v>0</v>
      </c>
      <c r="AH140" s="49">
        <f>資料儲存!I2628</f>
        <v>0</v>
      </c>
      <c r="AI140" s="49">
        <f>資料儲存!J2628</f>
        <v>0</v>
      </c>
      <c r="AJ140" s="13"/>
      <c r="AK140" s="48">
        <v>47</v>
      </c>
      <c r="AL140" s="49">
        <f>資料儲存!D2748</f>
        <v>0</v>
      </c>
      <c r="AM140" s="49">
        <f>資料儲存!E2748</f>
        <v>0</v>
      </c>
      <c r="AN140" s="49">
        <f>資料儲存!F2748</f>
        <v>0</v>
      </c>
      <c r="AO140" s="49">
        <f>資料儲存!G2748</f>
        <v>0</v>
      </c>
      <c r="AP140" s="49">
        <f>資料儲存!H2748</f>
        <v>0</v>
      </c>
      <c r="AQ140" s="49">
        <f>資料儲存!I2748</f>
        <v>0</v>
      </c>
      <c r="AR140" s="49">
        <f>資料儲存!J2748</f>
        <v>0</v>
      </c>
      <c r="AT140" s="48">
        <v>47</v>
      </c>
      <c r="AU140" s="49">
        <f>資料儲存!D2868</f>
        <v>0</v>
      </c>
      <c r="AV140" s="49">
        <f>資料儲存!E2868</f>
        <v>0</v>
      </c>
      <c r="AW140" s="49">
        <f>資料儲存!F2868</f>
        <v>0</v>
      </c>
      <c r="AX140" s="49">
        <f>資料儲存!G2868</f>
        <v>0</v>
      </c>
      <c r="AY140" s="49">
        <f>資料儲存!H2868</f>
        <v>0</v>
      </c>
      <c r="AZ140" s="49">
        <f>資料儲存!I2868</f>
        <v>0</v>
      </c>
      <c r="BA140" s="49">
        <f>資料儲存!J2868</f>
        <v>0</v>
      </c>
    </row>
    <row r="141" spans="1:53" ht="16" thickBot="1">
      <c r="A141" s="48">
        <v>48</v>
      </c>
      <c r="B141" s="49">
        <f>資料儲存!D2269</f>
        <v>0</v>
      </c>
      <c r="C141" s="49">
        <f>資料儲存!E2269</f>
        <v>0</v>
      </c>
      <c r="D141" s="49">
        <f>資料儲存!F2269</f>
        <v>0</v>
      </c>
      <c r="E141" s="49">
        <f>資料儲存!G2269</f>
        <v>0</v>
      </c>
      <c r="F141" s="49">
        <f>資料儲存!H2269</f>
        <v>0</v>
      </c>
      <c r="G141" s="49">
        <f>資料儲存!I2269</f>
        <v>0</v>
      </c>
      <c r="H141" s="49">
        <f>資料儲存!J2269</f>
        <v>0</v>
      </c>
      <c r="I141" s="45"/>
      <c r="J141" s="48">
        <v>48</v>
      </c>
      <c r="K141" s="49">
        <f>資料儲存!D2389</f>
        <v>0</v>
      </c>
      <c r="L141" s="49">
        <f>資料儲存!E2389</f>
        <v>0</v>
      </c>
      <c r="M141" s="49">
        <f>資料儲存!F2389</f>
        <v>0</v>
      </c>
      <c r="N141" s="49">
        <f>資料儲存!G2389</f>
        <v>0</v>
      </c>
      <c r="O141" s="49">
        <f>資料儲存!H2389</f>
        <v>0</v>
      </c>
      <c r="P141" s="49">
        <f>資料儲存!I2389</f>
        <v>0</v>
      </c>
      <c r="Q141" s="49">
        <f>資料儲存!J2389</f>
        <v>0</v>
      </c>
      <c r="R141" s="45"/>
      <c r="S141" s="48">
        <v>48</v>
      </c>
      <c r="T141" s="49">
        <f>資料儲存!D2509</f>
        <v>0</v>
      </c>
      <c r="U141" s="49">
        <f>資料儲存!E2509</f>
        <v>0</v>
      </c>
      <c r="V141" s="49">
        <f>資料儲存!F2509</f>
        <v>0</v>
      </c>
      <c r="W141" s="49">
        <f>資料儲存!G2509</f>
        <v>0</v>
      </c>
      <c r="X141" s="49">
        <f>資料儲存!H2509</f>
        <v>0</v>
      </c>
      <c r="Y141" s="49">
        <f>資料儲存!I2509</f>
        <v>0</v>
      </c>
      <c r="Z141" s="49">
        <f>資料儲存!J2509</f>
        <v>0</v>
      </c>
      <c r="AA141" s="45"/>
      <c r="AB141" s="48">
        <v>48</v>
      </c>
      <c r="AC141" s="49">
        <f>資料儲存!D2629</f>
        <v>0</v>
      </c>
      <c r="AD141" s="49">
        <f>資料儲存!E2629</f>
        <v>0</v>
      </c>
      <c r="AE141" s="49">
        <f>資料儲存!F2629</f>
        <v>0</v>
      </c>
      <c r="AF141" s="49">
        <f>資料儲存!G2629</f>
        <v>0</v>
      </c>
      <c r="AG141" s="49">
        <f>資料儲存!H2629</f>
        <v>0</v>
      </c>
      <c r="AH141" s="49">
        <f>資料儲存!I2629</f>
        <v>0</v>
      </c>
      <c r="AI141" s="49">
        <f>資料儲存!J2629</f>
        <v>0</v>
      </c>
      <c r="AJ141" s="13"/>
      <c r="AK141" s="48">
        <v>48</v>
      </c>
      <c r="AL141" s="49">
        <f>資料儲存!D2749</f>
        <v>0</v>
      </c>
      <c r="AM141" s="49">
        <f>資料儲存!E2749</f>
        <v>0</v>
      </c>
      <c r="AN141" s="49">
        <f>資料儲存!F2749</f>
        <v>0</v>
      </c>
      <c r="AO141" s="49">
        <f>資料儲存!G2749</f>
        <v>0</v>
      </c>
      <c r="AP141" s="49">
        <f>資料儲存!H2749</f>
        <v>0</v>
      </c>
      <c r="AQ141" s="49">
        <f>資料儲存!I2749</f>
        <v>0</v>
      </c>
      <c r="AR141" s="49">
        <f>資料儲存!J2749</f>
        <v>0</v>
      </c>
      <c r="AT141" s="48">
        <v>48</v>
      </c>
      <c r="AU141" s="49">
        <f>資料儲存!D2869</f>
        <v>0</v>
      </c>
      <c r="AV141" s="49">
        <f>資料儲存!E2869</f>
        <v>0</v>
      </c>
      <c r="AW141" s="49">
        <f>資料儲存!F2869</f>
        <v>0</v>
      </c>
      <c r="AX141" s="49">
        <f>資料儲存!G2869</f>
        <v>0</v>
      </c>
      <c r="AY141" s="49">
        <f>資料儲存!H2869</f>
        <v>0</v>
      </c>
      <c r="AZ141" s="49">
        <f>資料儲存!I2869</f>
        <v>0</v>
      </c>
      <c r="BA141" s="49">
        <f>資料儲存!J2869</f>
        <v>0</v>
      </c>
    </row>
    <row r="142" spans="1:53" ht="16" thickBot="1">
      <c r="A142" s="48">
        <v>49</v>
      </c>
      <c r="B142" s="49">
        <f>資料儲存!D2270</f>
        <v>0</v>
      </c>
      <c r="C142" s="49">
        <f>資料儲存!E2270</f>
        <v>0</v>
      </c>
      <c r="D142" s="49">
        <f>資料儲存!F2270</f>
        <v>0</v>
      </c>
      <c r="E142" s="49">
        <f>資料儲存!G2270</f>
        <v>0</v>
      </c>
      <c r="F142" s="49">
        <f>資料儲存!H2270</f>
        <v>0</v>
      </c>
      <c r="G142" s="49">
        <f>資料儲存!I2270</f>
        <v>0</v>
      </c>
      <c r="H142" s="49">
        <f>資料儲存!J2270</f>
        <v>0</v>
      </c>
      <c r="I142" s="45"/>
      <c r="J142" s="48">
        <v>49</v>
      </c>
      <c r="K142" s="49">
        <f>資料儲存!D2390</f>
        <v>0</v>
      </c>
      <c r="L142" s="49">
        <f>資料儲存!E2390</f>
        <v>0</v>
      </c>
      <c r="M142" s="49">
        <f>資料儲存!F2390</f>
        <v>0</v>
      </c>
      <c r="N142" s="49">
        <f>資料儲存!G2390</f>
        <v>0</v>
      </c>
      <c r="O142" s="49">
        <f>資料儲存!H2390</f>
        <v>0</v>
      </c>
      <c r="P142" s="49">
        <f>資料儲存!I2390</f>
        <v>0</v>
      </c>
      <c r="Q142" s="49">
        <f>資料儲存!J2390</f>
        <v>0</v>
      </c>
      <c r="R142" s="45"/>
      <c r="S142" s="48">
        <v>49</v>
      </c>
      <c r="T142" s="49">
        <f>資料儲存!D2510</f>
        <v>0</v>
      </c>
      <c r="U142" s="49">
        <f>資料儲存!E2510</f>
        <v>0</v>
      </c>
      <c r="V142" s="49">
        <f>資料儲存!F2510</f>
        <v>0</v>
      </c>
      <c r="W142" s="49">
        <f>資料儲存!G2510</f>
        <v>0</v>
      </c>
      <c r="X142" s="49">
        <f>資料儲存!H2510</f>
        <v>0</v>
      </c>
      <c r="Y142" s="49">
        <f>資料儲存!I2510</f>
        <v>0</v>
      </c>
      <c r="Z142" s="49">
        <f>資料儲存!J2510</f>
        <v>0</v>
      </c>
      <c r="AA142" s="45"/>
      <c r="AB142" s="48">
        <v>49</v>
      </c>
      <c r="AC142" s="49">
        <f>資料儲存!D2630</f>
        <v>0</v>
      </c>
      <c r="AD142" s="49">
        <f>資料儲存!E2630</f>
        <v>0</v>
      </c>
      <c r="AE142" s="49">
        <f>資料儲存!F2630</f>
        <v>0</v>
      </c>
      <c r="AF142" s="49">
        <f>資料儲存!G2630</f>
        <v>0</v>
      </c>
      <c r="AG142" s="49">
        <f>資料儲存!H2630</f>
        <v>0</v>
      </c>
      <c r="AH142" s="49">
        <f>資料儲存!I2630</f>
        <v>0</v>
      </c>
      <c r="AI142" s="49">
        <f>資料儲存!J2630</f>
        <v>0</v>
      </c>
      <c r="AJ142" s="13"/>
      <c r="AK142" s="48">
        <v>49</v>
      </c>
      <c r="AL142" s="49">
        <f>資料儲存!D2750</f>
        <v>0</v>
      </c>
      <c r="AM142" s="49">
        <f>資料儲存!E2750</f>
        <v>0</v>
      </c>
      <c r="AN142" s="49">
        <f>資料儲存!F2750</f>
        <v>0</v>
      </c>
      <c r="AO142" s="49">
        <f>資料儲存!G2750</f>
        <v>0</v>
      </c>
      <c r="AP142" s="49">
        <f>資料儲存!H2750</f>
        <v>0</v>
      </c>
      <c r="AQ142" s="49">
        <f>資料儲存!I2750</f>
        <v>0</v>
      </c>
      <c r="AR142" s="49">
        <f>資料儲存!J2750</f>
        <v>0</v>
      </c>
      <c r="AT142" s="48">
        <v>49</v>
      </c>
      <c r="AU142" s="49">
        <f>資料儲存!D2870</f>
        <v>0</v>
      </c>
      <c r="AV142" s="49">
        <f>資料儲存!E2870</f>
        <v>0</v>
      </c>
      <c r="AW142" s="49">
        <f>資料儲存!F2870</f>
        <v>0</v>
      </c>
      <c r="AX142" s="49">
        <f>資料儲存!G2870</f>
        <v>0</v>
      </c>
      <c r="AY142" s="49">
        <f>資料儲存!H2870</f>
        <v>0</v>
      </c>
      <c r="AZ142" s="49">
        <f>資料儲存!I2870</f>
        <v>0</v>
      </c>
      <c r="BA142" s="49">
        <f>資料儲存!J2870</f>
        <v>0</v>
      </c>
    </row>
    <row r="143" spans="1:53" ht="16" thickBot="1">
      <c r="A143" s="48">
        <v>50</v>
      </c>
      <c r="B143" s="49">
        <f>資料儲存!D2271</f>
        <v>0</v>
      </c>
      <c r="C143" s="49">
        <f>資料儲存!E2271</f>
        <v>0</v>
      </c>
      <c r="D143" s="49">
        <f>資料儲存!F2271</f>
        <v>0</v>
      </c>
      <c r="E143" s="49">
        <f>資料儲存!G2271</f>
        <v>0</v>
      </c>
      <c r="F143" s="49">
        <f>資料儲存!H2271</f>
        <v>0</v>
      </c>
      <c r="G143" s="49">
        <f>資料儲存!I2271</f>
        <v>0</v>
      </c>
      <c r="H143" s="49">
        <f>資料儲存!J2271</f>
        <v>0</v>
      </c>
      <c r="I143" s="45"/>
      <c r="J143" s="48">
        <v>50</v>
      </c>
      <c r="K143" s="49">
        <f>資料儲存!D2391</f>
        <v>0</v>
      </c>
      <c r="L143" s="49">
        <f>資料儲存!E2391</f>
        <v>0</v>
      </c>
      <c r="M143" s="49">
        <f>資料儲存!F2391</f>
        <v>0</v>
      </c>
      <c r="N143" s="49">
        <f>資料儲存!G2391</f>
        <v>0</v>
      </c>
      <c r="O143" s="49">
        <f>資料儲存!H2391</f>
        <v>0</v>
      </c>
      <c r="P143" s="49">
        <f>資料儲存!I2391</f>
        <v>0</v>
      </c>
      <c r="Q143" s="49">
        <f>資料儲存!J2391</f>
        <v>0</v>
      </c>
      <c r="R143" s="45"/>
      <c r="S143" s="48">
        <v>50</v>
      </c>
      <c r="T143" s="49">
        <f>資料儲存!D2511</f>
        <v>0</v>
      </c>
      <c r="U143" s="49">
        <f>資料儲存!E2511</f>
        <v>0</v>
      </c>
      <c r="V143" s="49">
        <f>資料儲存!F2511</f>
        <v>0</v>
      </c>
      <c r="W143" s="49">
        <f>資料儲存!G2511</f>
        <v>0</v>
      </c>
      <c r="X143" s="49">
        <f>資料儲存!H2511</f>
        <v>0</v>
      </c>
      <c r="Y143" s="49">
        <f>資料儲存!I2511</f>
        <v>0</v>
      </c>
      <c r="Z143" s="49">
        <f>資料儲存!J2511</f>
        <v>0</v>
      </c>
      <c r="AA143" s="45"/>
      <c r="AB143" s="48">
        <v>50</v>
      </c>
      <c r="AC143" s="49">
        <f>資料儲存!D2631</f>
        <v>0</v>
      </c>
      <c r="AD143" s="49">
        <f>資料儲存!E2631</f>
        <v>0</v>
      </c>
      <c r="AE143" s="49">
        <f>資料儲存!F2631</f>
        <v>0</v>
      </c>
      <c r="AF143" s="49">
        <f>資料儲存!G2631</f>
        <v>0</v>
      </c>
      <c r="AG143" s="49">
        <f>資料儲存!H2631</f>
        <v>0</v>
      </c>
      <c r="AH143" s="49">
        <f>資料儲存!I2631</f>
        <v>0</v>
      </c>
      <c r="AI143" s="49">
        <f>資料儲存!J2631</f>
        <v>0</v>
      </c>
      <c r="AJ143" s="13"/>
      <c r="AK143" s="48">
        <v>50</v>
      </c>
      <c r="AL143" s="49">
        <f>資料儲存!D2751</f>
        <v>0</v>
      </c>
      <c r="AM143" s="49">
        <f>資料儲存!E2751</f>
        <v>0</v>
      </c>
      <c r="AN143" s="49">
        <f>資料儲存!F2751</f>
        <v>0</v>
      </c>
      <c r="AO143" s="49">
        <f>資料儲存!G2751</f>
        <v>0</v>
      </c>
      <c r="AP143" s="49">
        <f>資料儲存!H2751</f>
        <v>0</v>
      </c>
      <c r="AQ143" s="49">
        <f>資料儲存!I2751</f>
        <v>0</v>
      </c>
      <c r="AR143" s="49">
        <f>資料儲存!J2751</f>
        <v>0</v>
      </c>
      <c r="AT143" s="48">
        <v>50</v>
      </c>
      <c r="AU143" s="49">
        <f>資料儲存!D2871</f>
        <v>0</v>
      </c>
      <c r="AV143" s="49">
        <f>資料儲存!E2871</f>
        <v>0</v>
      </c>
      <c r="AW143" s="49">
        <f>資料儲存!F2871</f>
        <v>0</v>
      </c>
      <c r="AX143" s="49">
        <f>資料儲存!G2871</f>
        <v>0</v>
      </c>
      <c r="AY143" s="49">
        <f>資料儲存!H2871</f>
        <v>0</v>
      </c>
      <c r="AZ143" s="49">
        <f>資料儲存!I2871</f>
        <v>0</v>
      </c>
      <c r="BA143" s="49">
        <f>資料儲存!J2871</f>
        <v>0</v>
      </c>
    </row>
    <row r="144" spans="1:53" ht="16" thickBot="1">
      <c r="A144" s="48">
        <v>51</v>
      </c>
      <c r="B144" s="49">
        <f>資料儲存!D2272</f>
        <v>0</v>
      </c>
      <c r="C144" s="49">
        <f>資料儲存!E2272</f>
        <v>0</v>
      </c>
      <c r="D144" s="49">
        <f>資料儲存!F2272</f>
        <v>0</v>
      </c>
      <c r="E144" s="49">
        <f>資料儲存!G2272</f>
        <v>0</v>
      </c>
      <c r="F144" s="49">
        <f>資料儲存!H2272</f>
        <v>0</v>
      </c>
      <c r="G144" s="49">
        <f>資料儲存!I2272</f>
        <v>0</v>
      </c>
      <c r="H144" s="49">
        <f>資料儲存!J2272</f>
        <v>0</v>
      </c>
      <c r="I144" s="45"/>
      <c r="J144" s="48">
        <v>51</v>
      </c>
      <c r="K144" s="49">
        <f>資料儲存!D2392</f>
        <v>0</v>
      </c>
      <c r="L144" s="49">
        <f>資料儲存!E2392</f>
        <v>0</v>
      </c>
      <c r="M144" s="49">
        <f>資料儲存!F2392</f>
        <v>0</v>
      </c>
      <c r="N144" s="49">
        <f>資料儲存!G2392</f>
        <v>0</v>
      </c>
      <c r="O144" s="49">
        <f>資料儲存!H2392</f>
        <v>0</v>
      </c>
      <c r="P144" s="49">
        <f>資料儲存!I2392</f>
        <v>0</v>
      </c>
      <c r="Q144" s="49">
        <f>資料儲存!J2392</f>
        <v>0</v>
      </c>
      <c r="R144" s="45"/>
      <c r="S144" s="48">
        <v>51</v>
      </c>
      <c r="T144" s="49">
        <f>資料儲存!D2512</f>
        <v>0</v>
      </c>
      <c r="U144" s="49">
        <f>資料儲存!E2512</f>
        <v>0</v>
      </c>
      <c r="V144" s="49">
        <f>資料儲存!F2512</f>
        <v>0</v>
      </c>
      <c r="W144" s="49">
        <f>資料儲存!G2512</f>
        <v>0</v>
      </c>
      <c r="X144" s="49">
        <f>資料儲存!H2512</f>
        <v>0</v>
      </c>
      <c r="Y144" s="49">
        <f>資料儲存!I2512</f>
        <v>0</v>
      </c>
      <c r="Z144" s="49">
        <f>資料儲存!J2512</f>
        <v>0</v>
      </c>
      <c r="AA144" s="45"/>
      <c r="AB144" s="48">
        <v>51</v>
      </c>
      <c r="AC144" s="49">
        <f>資料儲存!D2632</f>
        <v>0</v>
      </c>
      <c r="AD144" s="49">
        <f>資料儲存!E2632</f>
        <v>0</v>
      </c>
      <c r="AE144" s="49">
        <f>資料儲存!F2632</f>
        <v>0</v>
      </c>
      <c r="AF144" s="49">
        <f>資料儲存!G2632</f>
        <v>0</v>
      </c>
      <c r="AG144" s="49">
        <f>資料儲存!H2632</f>
        <v>0</v>
      </c>
      <c r="AH144" s="49">
        <f>資料儲存!I2632</f>
        <v>0</v>
      </c>
      <c r="AI144" s="49">
        <f>資料儲存!J2632</f>
        <v>0</v>
      </c>
      <c r="AJ144" s="13"/>
      <c r="AK144" s="48">
        <v>51</v>
      </c>
      <c r="AL144" s="49">
        <f>資料儲存!D2752</f>
        <v>0</v>
      </c>
      <c r="AM144" s="49">
        <f>資料儲存!E2752</f>
        <v>0</v>
      </c>
      <c r="AN144" s="49">
        <f>資料儲存!F2752</f>
        <v>0</v>
      </c>
      <c r="AO144" s="49">
        <f>資料儲存!G2752</f>
        <v>0</v>
      </c>
      <c r="AP144" s="49">
        <f>資料儲存!H2752</f>
        <v>0</v>
      </c>
      <c r="AQ144" s="49">
        <f>資料儲存!I2752</f>
        <v>0</v>
      </c>
      <c r="AR144" s="49">
        <f>資料儲存!J2752</f>
        <v>0</v>
      </c>
      <c r="AT144" s="48">
        <v>51</v>
      </c>
      <c r="AU144" s="49">
        <f>資料儲存!D2872</f>
        <v>0</v>
      </c>
      <c r="AV144" s="49">
        <f>資料儲存!E2872</f>
        <v>0</v>
      </c>
      <c r="AW144" s="49">
        <f>資料儲存!F2872</f>
        <v>0</v>
      </c>
      <c r="AX144" s="49">
        <f>資料儲存!G2872</f>
        <v>0</v>
      </c>
      <c r="AY144" s="49">
        <f>資料儲存!H2872</f>
        <v>0</v>
      </c>
      <c r="AZ144" s="49">
        <f>資料儲存!I2872</f>
        <v>0</v>
      </c>
      <c r="BA144" s="49">
        <f>資料儲存!J2872</f>
        <v>0</v>
      </c>
    </row>
    <row r="145" spans="1:53" ht="16" thickBot="1">
      <c r="A145" s="48">
        <v>52</v>
      </c>
      <c r="B145" s="49">
        <f>資料儲存!D2273</f>
        <v>0</v>
      </c>
      <c r="C145" s="49">
        <f>資料儲存!E2273</f>
        <v>0</v>
      </c>
      <c r="D145" s="49">
        <f>資料儲存!F2273</f>
        <v>0</v>
      </c>
      <c r="E145" s="49">
        <f>資料儲存!G2273</f>
        <v>0</v>
      </c>
      <c r="F145" s="49">
        <f>資料儲存!H2273</f>
        <v>0</v>
      </c>
      <c r="G145" s="49">
        <f>資料儲存!I2273</f>
        <v>0</v>
      </c>
      <c r="H145" s="49">
        <f>資料儲存!J2273</f>
        <v>0</v>
      </c>
      <c r="I145" s="45"/>
      <c r="J145" s="48">
        <v>52</v>
      </c>
      <c r="K145" s="49">
        <f>資料儲存!D2393</f>
        <v>0</v>
      </c>
      <c r="L145" s="49">
        <f>資料儲存!E2393</f>
        <v>0</v>
      </c>
      <c r="M145" s="49">
        <f>資料儲存!F2393</f>
        <v>0</v>
      </c>
      <c r="N145" s="49">
        <f>資料儲存!G2393</f>
        <v>0</v>
      </c>
      <c r="O145" s="49">
        <f>資料儲存!H2393</f>
        <v>0</v>
      </c>
      <c r="P145" s="49">
        <f>資料儲存!I2393</f>
        <v>0</v>
      </c>
      <c r="Q145" s="49">
        <f>資料儲存!J2393</f>
        <v>0</v>
      </c>
      <c r="R145" s="45"/>
      <c r="S145" s="48">
        <v>52</v>
      </c>
      <c r="T145" s="49">
        <f>資料儲存!D2513</f>
        <v>0</v>
      </c>
      <c r="U145" s="49">
        <f>資料儲存!E2513</f>
        <v>0</v>
      </c>
      <c r="V145" s="49">
        <f>資料儲存!F2513</f>
        <v>0</v>
      </c>
      <c r="W145" s="49">
        <f>資料儲存!G2513</f>
        <v>0</v>
      </c>
      <c r="X145" s="49">
        <f>資料儲存!H2513</f>
        <v>0</v>
      </c>
      <c r="Y145" s="49">
        <f>資料儲存!I2513</f>
        <v>0</v>
      </c>
      <c r="Z145" s="49">
        <f>資料儲存!J2513</f>
        <v>0</v>
      </c>
      <c r="AA145" s="45"/>
      <c r="AB145" s="48">
        <v>52</v>
      </c>
      <c r="AC145" s="49">
        <f>資料儲存!D2633</f>
        <v>0</v>
      </c>
      <c r="AD145" s="49">
        <f>資料儲存!E2633</f>
        <v>0</v>
      </c>
      <c r="AE145" s="49">
        <f>資料儲存!F2633</f>
        <v>0</v>
      </c>
      <c r="AF145" s="49">
        <f>資料儲存!G2633</f>
        <v>0</v>
      </c>
      <c r="AG145" s="49">
        <f>資料儲存!H2633</f>
        <v>0</v>
      </c>
      <c r="AH145" s="49">
        <f>資料儲存!I2633</f>
        <v>0</v>
      </c>
      <c r="AI145" s="49">
        <f>資料儲存!J2633</f>
        <v>0</v>
      </c>
      <c r="AJ145" s="13"/>
      <c r="AK145" s="48">
        <v>52</v>
      </c>
      <c r="AL145" s="49">
        <f>資料儲存!D2753</f>
        <v>0</v>
      </c>
      <c r="AM145" s="49">
        <f>資料儲存!E2753</f>
        <v>0</v>
      </c>
      <c r="AN145" s="49">
        <f>資料儲存!F2753</f>
        <v>0</v>
      </c>
      <c r="AO145" s="49">
        <f>資料儲存!G2753</f>
        <v>0</v>
      </c>
      <c r="AP145" s="49">
        <f>資料儲存!H2753</f>
        <v>0</v>
      </c>
      <c r="AQ145" s="49">
        <f>資料儲存!I2753</f>
        <v>0</v>
      </c>
      <c r="AR145" s="49">
        <f>資料儲存!J2753</f>
        <v>0</v>
      </c>
      <c r="AT145" s="48">
        <v>52</v>
      </c>
      <c r="AU145" s="49">
        <f>資料儲存!D2873</f>
        <v>0</v>
      </c>
      <c r="AV145" s="49">
        <f>資料儲存!E2873</f>
        <v>0</v>
      </c>
      <c r="AW145" s="49">
        <f>資料儲存!F2873</f>
        <v>0</v>
      </c>
      <c r="AX145" s="49">
        <f>資料儲存!G2873</f>
        <v>0</v>
      </c>
      <c r="AY145" s="49">
        <f>資料儲存!H2873</f>
        <v>0</v>
      </c>
      <c r="AZ145" s="49">
        <f>資料儲存!I2873</f>
        <v>0</v>
      </c>
      <c r="BA145" s="49">
        <f>資料儲存!J2873</f>
        <v>0</v>
      </c>
    </row>
    <row r="146" spans="1:53" ht="16" thickBot="1">
      <c r="A146" s="48">
        <v>53</v>
      </c>
      <c r="B146" s="49">
        <f>資料儲存!D2274</f>
        <v>0</v>
      </c>
      <c r="C146" s="49">
        <f>資料儲存!E2274</f>
        <v>0</v>
      </c>
      <c r="D146" s="49">
        <f>資料儲存!F2274</f>
        <v>0</v>
      </c>
      <c r="E146" s="49">
        <f>資料儲存!G2274</f>
        <v>0</v>
      </c>
      <c r="F146" s="49">
        <f>資料儲存!H2274</f>
        <v>0</v>
      </c>
      <c r="G146" s="49">
        <f>資料儲存!I2274</f>
        <v>0</v>
      </c>
      <c r="H146" s="49">
        <f>資料儲存!J2274</f>
        <v>0</v>
      </c>
      <c r="I146" s="45"/>
      <c r="J146" s="48">
        <v>53</v>
      </c>
      <c r="K146" s="49">
        <f>資料儲存!D2394</f>
        <v>0</v>
      </c>
      <c r="L146" s="49">
        <f>資料儲存!E2394</f>
        <v>0</v>
      </c>
      <c r="M146" s="49">
        <f>資料儲存!F2394</f>
        <v>0</v>
      </c>
      <c r="N146" s="49">
        <f>資料儲存!G2394</f>
        <v>0</v>
      </c>
      <c r="O146" s="49">
        <f>資料儲存!H2394</f>
        <v>0</v>
      </c>
      <c r="P146" s="49">
        <f>資料儲存!I2394</f>
        <v>0</v>
      </c>
      <c r="Q146" s="49">
        <f>資料儲存!J2394</f>
        <v>0</v>
      </c>
      <c r="R146" s="45"/>
      <c r="S146" s="48">
        <v>53</v>
      </c>
      <c r="T146" s="49">
        <f>資料儲存!D2514</f>
        <v>0</v>
      </c>
      <c r="U146" s="49">
        <f>資料儲存!E2514</f>
        <v>0</v>
      </c>
      <c r="V146" s="49">
        <f>資料儲存!F2514</f>
        <v>0</v>
      </c>
      <c r="W146" s="49">
        <f>資料儲存!G2514</f>
        <v>0</v>
      </c>
      <c r="X146" s="49">
        <f>資料儲存!H2514</f>
        <v>0</v>
      </c>
      <c r="Y146" s="49">
        <f>資料儲存!I2514</f>
        <v>0</v>
      </c>
      <c r="Z146" s="49">
        <f>資料儲存!J2514</f>
        <v>0</v>
      </c>
      <c r="AA146" s="45"/>
      <c r="AB146" s="48">
        <v>53</v>
      </c>
      <c r="AC146" s="49">
        <f>資料儲存!D2634</f>
        <v>0</v>
      </c>
      <c r="AD146" s="49">
        <f>資料儲存!E2634</f>
        <v>0</v>
      </c>
      <c r="AE146" s="49">
        <f>資料儲存!F2634</f>
        <v>0</v>
      </c>
      <c r="AF146" s="49">
        <f>資料儲存!G2634</f>
        <v>0</v>
      </c>
      <c r="AG146" s="49">
        <f>資料儲存!H2634</f>
        <v>0</v>
      </c>
      <c r="AH146" s="49">
        <f>資料儲存!I2634</f>
        <v>0</v>
      </c>
      <c r="AI146" s="49">
        <f>資料儲存!J2634</f>
        <v>0</v>
      </c>
      <c r="AJ146" s="13"/>
      <c r="AK146" s="48">
        <v>53</v>
      </c>
      <c r="AL146" s="49">
        <f>資料儲存!D2754</f>
        <v>0</v>
      </c>
      <c r="AM146" s="49">
        <f>資料儲存!E2754</f>
        <v>0</v>
      </c>
      <c r="AN146" s="49">
        <f>資料儲存!F2754</f>
        <v>0</v>
      </c>
      <c r="AO146" s="49">
        <f>資料儲存!G2754</f>
        <v>0</v>
      </c>
      <c r="AP146" s="49">
        <f>資料儲存!H2754</f>
        <v>0</v>
      </c>
      <c r="AQ146" s="49">
        <f>資料儲存!I2754</f>
        <v>0</v>
      </c>
      <c r="AR146" s="49">
        <f>資料儲存!J2754</f>
        <v>0</v>
      </c>
      <c r="AT146" s="48">
        <v>53</v>
      </c>
      <c r="AU146" s="49">
        <f>資料儲存!D2874</f>
        <v>0</v>
      </c>
      <c r="AV146" s="49">
        <f>資料儲存!E2874</f>
        <v>0</v>
      </c>
      <c r="AW146" s="49">
        <f>資料儲存!F2874</f>
        <v>0</v>
      </c>
      <c r="AX146" s="49">
        <f>資料儲存!G2874</f>
        <v>0</v>
      </c>
      <c r="AY146" s="49">
        <f>資料儲存!H2874</f>
        <v>0</v>
      </c>
      <c r="AZ146" s="49">
        <f>資料儲存!I2874</f>
        <v>0</v>
      </c>
      <c r="BA146" s="49">
        <f>資料儲存!J2874</f>
        <v>0</v>
      </c>
    </row>
    <row r="147" spans="1:53" ht="16" thickBot="1">
      <c r="A147" s="48">
        <v>54</v>
      </c>
      <c r="B147" s="49">
        <f>資料儲存!D2275</f>
        <v>0</v>
      </c>
      <c r="C147" s="49">
        <f>資料儲存!E2275</f>
        <v>0</v>
      </c>
      <c r="D147" s="49">
        <f>資料儲存!F2275</f>
        <v>0</v>
      </c>
      <c r="E147" s="49">
        <f>資料儲存!G2275</f>
        <v>0</v>
      </c>
      <c r="F147" s="49">
        <f>資料儲存!H2275</f>
        <v>0</v>
      </c>
      <c r="G147" s="49">
        <f>資料儲存!I2275</f>
        <v>0</v>
      </c>
      <c r="H147" s="49">
        <f>資料儲存!J2275</f>
        <v>0</v>
      </c>
      <c r="I147" s="45"/>
      <c r="J147" s="48">
        <v>54</v>
      </c>
      <c r="K147" s="49">
        <f>資料儲存!D2395</f>
        <v>0</v>
      </c>
      <c r="L147" s="49">
        <f>資料儲存!E2395</f>
        <v>0</v>
      </c>
      <c r="M147" s="49">
        <f>資料儲存!F2395</f>
        <v>0</v>
      </c>
      <c r="N147" s="49">
        <f>資料儲存!G2395</f>
        <v>0</v>
      </c>
      <c r="O147" s="49">
        <f>資料儲存!H2395</f>
        <v>0</v>
      </c>
      <c r="P147" s="49">
        <f>資料儲存!I2395</f>
        <v>0</v>
      </c>
      <c r="Q147" s="49">
        <f>資料儲存!J2395</f>
        <v>0</v>
      </c>
      <c r="R147" s="45"/>
      <c r="S147" s="48">
        <v>54</v>
      </c>
      <c r="T147" s="49">
        <f>資料儲存!D2515</f>
        <v>0</v>
      </c>
      <c r="U147" s="49">
        <f>資料儲存!E2515</f>
        <v>0</v>
      </c>
      <c r="V147" s="49">
        <f>資料儲存!F2515</f>
        <v>0</v>
      </c>
      <c r="W147" s="49">
        <f>資料儲存!G2515</f>
        <v>0</v>
      </c>
      <c r="X147" s="49">
        <f>資料儲存!H2515</f>
        <v>0</v>
      </c>
      <c r="Y147" s="49">
        <f>資料儲存!I2515</f>
        <v>0</v>
      </c>
      <c r="Z147" s="49">
        <f>資料儲存!J2515</f>
        <v>0</v>
      </c>
      <c r="AA147" s="45"/>
      <c r="AB147" s="48">
        <v>54</v>
      </c>
      <c r="AC147" s="49">
        <f>資料儲存!D2635</f>
        <v>0</v>
      </c>
      <c r="AD147" s="49">
        <f>資料儲存!E2635</f>
        <v>0</v>
      </c>
      <c r="AE147" s="49">
        <f>資料儲存!F2635</f>
        <v>0</v>
      </c>
      <c r="AF147" s="49">
        <f>資料儲存!G2635</f>
        <v>0</v>
      </c>
      <c r="AG147" s="49">
        <f>資料儲存!H2635</f>
        <v>0</v>
      </c>
      <c r="AH147" s="49">
        <f>資料儲存!I2635</f>
        <v>0</v>
      </c>
      <c r="AI147" s="49">
        <f>資料儲存!J2635</f>
        <v>0</v>
      </c>
      <c r="AJ147" s="13"/>
      <c r="AK147" s="48">
        <v>54</v>
      </c>
      <c r="AL147" s="49">
        <f>資料儲存!D2755</f>
        <v>0</v>
      </c>
      <c r="AM147" s="49">
        <f>資料儲存!E2755</f>
        <v>0</v>
      </c>
      <c r="AN147" s="49">
        <f>資料儲存!F2755</f>
        <v>0</v>
      </c>
      <c r="AO147" s="49">
        <f>資料儲存!G2755</f>
        <v>0</v>
      </c>
      <c r="AP147" s="49">
        <f>資料儲存!H2755</f>
        <v>0</v>
      </c>
      <c r="AQ147" s="49">
        <f>資料儲存!I2755</f>
        <v>0</v>
      </c>
      <c r="AR147" s="49">
        <f>資料儲存!J2755</f>
        <v>0</v>
      </c>
      <c r="AT147" s="48">
        <v>54</v>
      </c>
      <c r="AU147" s="49">
        <f>資料儲存!D2875</f>
        <v>0</v>
      </c>
      <c r="AV147" s="49">
        <f>資料儲存!E2875</f>
        <v>0</v>
      </c>
      <c r="AW147" s="49">
        <f>資料儲存!F2875</f>
        <v>0</v>
      </c>
      <c r="AX147" s="49">
        <f>資料儲存!G2875</f>
        <v>0</v>
      </c>
      <c r="AY147" s="49">
        <f>資料儲存!H2875</f>
        <v>0</v>
      </c>
      <c r="AZ147" s="49">
        <f>資料儲存!I2875</f>
        <v>0</v>
      </c>
      <c r="BA147" s="49">
        <f>資料儲存!J2875</f>
        <v>0</v>
      </c>
    </row>
    <row r="148" spans="1:53" ht="16" thickBot="1">
      <c r="A148" s="48">
        <v>55</v>
      </c>
      <c r="B148" s="49">
        <f>資料儲存!D2276</f>
        <v>0</v>
      </c>
      <c r="C148" s="49">
        <f>資料儲存!E2276</f>
        <v>0</v>
      </c>
      <c r="D148" s="49">
        <f>資料儲存!F2276</f>
        <v>0</v>
      </c>
      <c r="E148" s="49">
        <f>資料儲存!G2276</f>
        <v>0</v>
      </c>
      <c r="F148" s="49">
        <f>資料儲存!H2276</f>
        <v>0</v>
      </c>
      <c r="G148" s="49">
        <f>資料儲存!I2276</f>
        <v>0</v>
      </c>
      <c r="H148" s="49">
        <f>資料儲存!J2276</f>
        <v>0</v>
      </c>
      <c r="I148" s="45"/>
      <c r="J148" s="48">
        <v>55</v>
      </c>
      <c r="K148" s="49">
        <f>資料儲存!D2396</f>
        <v>0</v>
      </c>
      <c r="L148" s="49">
        <f>資料儲存!E2396</f>
        <v>0</v>
      </c>
      <c r="M148" s="49">
        <f>資料儲存!F2396</f>
        <v>0</v>
      </c>
      <c r="N148" s="49">
        <f>資料儲存!G2396</f>
        <v>0</v>
      </c>
      <c r="O148" s="49">
        <f>資料儲存!H2396</f>
        <v>0</v>
      </c>
      <c r="P148" s="49">
        <f>資料儲存!I2396</f>
        <v>0</v>
      </c>
      <c r="Q148" s="49">
        <f>資料儲存!J2396</f>
        <v>0</v>
      </c>
      <c r="R148" s="45"/>
      <c r="S148" s="48">
        <v>55</v>
      </c>
      <c r="T148" s="49">
        <f>資料儲存!D2516</f>
        <v>0</v>
      </c>
      <c r="U148" s="49">
        <f>資料儲存!E2516</f>
        <v>0</v>
      </c>
      <c r="V148" s="49">
        <f>資料儲存!F2516</f>
        <v>0</v>
      </c>
      <c r="W148" s="49">
        <f>資料儲存!G2516</f>
        <v>0</v>
      </c>
      <c r="X148" s="49">
        <f>資料儲存!H2516</f>
        <v>0</v>
      </c>
      <c r="Y148" s="49">
        <f>資料儲存!I2516</f>
        <v>0</v>
      </c>
      <c r="Z148" s="49">
        <f>資料儲存!J2516</f>
        <v>0</v>
      </c>
      <c r="AA148" s="45"/>
      <c r="AB148" s="48">
        <v>55</v>
      </c>
      <c r="AC148" s="49">
        <f>資料儲存!D2636</f>
        <v>0</v>
      </c>
      <c r="AD148" s="49">
        <f>資料儲存!E2636</f>
        <v>0</v>
      </c>
      <c r="AE148" s="49">
        <f>資料儲存!F2636</f>
        <v>0</v>
      </c>
      <c r="AF148" s="49">
        <f>資料儲存!G2636</f>
        <v>0</v>
      </c>
      <c r="AG148" s="49">
        <f>資料儲存!H2636</f>
        <v>0</v>
      </c>
      <c r="AH148" s="49">
        <f>資料儲存!I2636</f>
        <v>0</v>
      </c>
      <c r="AI148" s="49">
        <f>資料儲存!J2636</f>
        <v>0</v>
      </c>
      <c r="AJ148" s="13"/>
      <c r="AK148" s="48">
        <v>55</v>
      </c>
      <c r="AL148" s="49">
        <f>資料儲存!D2756</f>
        <v>0</v>
      </c>
      <c r="AM148" s="49">
        <f>資料儲存!E2756</f>
        <v>0</v>
      </c>
      <c r="AN148" s="49">
        <f>資料儲存!F2756</f>
        <v>0</v>
      </c>
      <c r="AO148" s="49">
        <f>資料儲存!G2756</f>
        <v>0</v>
      </c>
      <c r="AP148" s="49">
        <f>資料儲存!H2756</f>
        <v>0</v>
      </c>
      <c r="AQ148" s="49">
        <f>資料儲存!I2756</f>
        <v>0</v>
      </c>
      <c r="AR148" s="49">
        <f>資料儲存!J2756</f>
        <v>0</v>
      </c>
      <c r="AT148" s="48">
        <v>55</v>
      </c>
      <c r="AU148" s="49">
        <f>資料儲存!D2876</f>
        <v>0</v>
      </c>
      <c r="AV148" s="49">
        <f>資料儲存!E2876</f>
        <v>0</v>
      </c>
      <c r="AW148" s="49">
        <f>資料儲存!F2876</f>
        <v>0</v>
      </c>
      <c r="AX148" s="49">
        <f>資料儲存!G2876</f>
        <v>0</v>
      </c>
      <c r="AY148" s="49">
        <f>資料儲存!H2876</f>
        <v>0</v>
      </c>
      <c r="AZ148" s="49">
        <f>資料儲存!I2876</f>
        <v>0</v>
      </c>
      <c r="BA148" s="49">
        <f>資料儲存!J2876</f>
        <v>0</v>
      </c>
    </row>
    <row r="149" spans="1:53" ht="16" thickBot="1">
      <c r="A149" s="48">
        <v>56</v>
      </c>
      <c r="B149" s="49">
        <f>資料儲存!D2277</f>
        <v>0</v>
      </c>
      <c r="C149" s="49">
        <f>資料儲存!E2277</f>
        <v>0</v>
      </c>
      <c r="D149" s="49">
        <f>資料儲存!F2277</f>
        <v>0</v>
      </c>
      <c r="E149" s="49">
        <f>資料儲存!G2277</f>
        <v>0</v>
      </c>
      <c r="F149" s="49">
        <f>資料儲存!H2277</f>
        <v>0</v>
      </c>
      <c r="G149" s="49">
        <f>資料儲存!I2277</f>
        <v>0</v>
      </c>
      <c r="H149" s="49">
        <f>資料儲存!J2277</f>
        <v>0</v>
      </c>
      <c r="I149" s="45"/>
      <c r="J149" s="48">
        <v>56</v>
      </c>
      <c r="K149" s="49">
        <f>資料儲存!D2397</f>
        <v>0</v>
      </c>
      <c r="L149" s="49">
        <f>資料儲存!E2397</f>
        <v>0</v>
      </c>
      <c r="M149" s="49">
        <f>資料儲存!F2397</f>
        <v>0</v>
      </c>
      <c r="N149" s="49">
        <f>資料儲存!G2397</f>
        <v>0</v>
      </c>
      <c r="O149" s="49">
        <f>資料儲存!H2397</f>
        <v>0</v>
      </c>
      <c r="P149" s="49">
        <f>資料儲存!I2397</f>
        <v>0</v>
      </c>
      <c r="Q149" s="49">
        <f>資料儲存!J2397</f>
        <v>0</v>
      </c>
      <c r="R149" s="45"/>
      <c r="S149" s="48">
        <v>56</v>
      </c>
      <c r="T149" s="49">
        <f>資料儲存!D2517</f>
        <v>0</v>
      </c>
      <c r="U149" s="49">
        <f>資料儲存!E2517</f>
        <v>0</v>
      </c>
      <c r="V149" s="49">
        <f>資料儲存!F2517</f>
        <v>0</v>
      </c>
      <c r="W149" s="49">
        <f>資料儲存!G2517</f>
        <v>0</v>
      </c>
      <c r="X149" s="49">
        <f>資料儲存!H2517</f>
        <v>0</v>
      </c>
      <c r="Y149" s="49">
        <f>資料儲存!I2517</f>
        <v>0</v>
      </c>
      <c r="Z149" s="49">
        <f>資料儲存!J2517</f>
        <v>0</v>
      </c>
      <c r="AA149" s="45"/>
      <c r="AB149" s="48">
        <v>56</v>
      </c>
      <c r="AC149" s="49">
        <f>資料儲存!D2637</f>
        <v>0</v>
      </c>
      <c r="AD149" s="49">
        <f>資料儲存!E2637</f>
        <v>0</v>
      </c>
      <c r="AE149" s="49">
        <f>資料儲存!F2637</f>
        <v>0</v>
      </c>
      <c r="AF149" s="49">
        <f>資料儲存!G2637</f>
        <v>0</v>
      </c>
      <c r="AG149" s="49">
        <f>資料儲存!H2637</f>
        <v>0</v>
      </c>
      <c r="AH149" s="49">
        <f>資料儲存!I2637</f>
        <v>0</v>
      </c>
      <c r="AI149" s="49">
        <f>資料儲存!J2637</f>
        <v>0</v>
      </c>
      <c r="AJ149" s="13"/>
      <c r="AK149" s="48">
        <v>56</v>
      </c>
      <c r="AL149" s="49">
        <f>資料儲存!D2757</f>
        <v>0</v>
      </c>
      <c r="AM149" s="49">
        <f>資料儲存!E2757</f>
        <v>0</v>
      </c>
      <c r="AN149" s="49">
        <f>資料儲存!F2757</f>
        <v>0</v>
      </c>
      <c r="AO149" s="49">
        <f>資料儲存!G2757</f>
        <v>0</v>
      </c>
      <c r="AP149" s="49">
        <f>資料儲存!H2757</f>
        <v>0</v>
      </c>
      <c r="AQ149" s="49">
        <f>資料儲存!I2757</f>
        <v>0</v>
      </c>
      <c r="AR149" s="49">
        <f>資料儲存!J2757</f>
        <v>0</v>
      </c>
      <c r="AT149" s="48">
        <v>56</v>
      </c>
      <c r="AU149" s="49">
        <f>資料儲存!D2877</f>
        <v>0</v>
      </c>
      <c r="AV149" s="49">
        <f>資料儲存!E2877</f>
        <v>0</v>
      </c>
      <c r="AW149" s="49">
        <f>資料儲存!F2877</f>
        <v>0</v>
      </c>
      <c r="AX149" s="49">
        <f>資料儲存!G2877</f>
        <v>0</v>
      </c>
      <c r="AY149" s="49">
        <f>資料儲存!H2877</f>
        <v>0</v>
      </c>
      <c r="AZ149" s="49">
        <f>資料儲存!I2877</f>
        <v>0</v>
      </c>
      <c r="BA149" s="49">
        <f>資料儲存!J2877</f>
        <v>0</v>
      </c>
    </row>
    <row r="150" spans="1:53" ht="16" thickBot="1">
      <c r="A150" s="48">
        <v>57</v>
      </c>
      <c r="B150" s="49">
        <f>資料儲存!D2278</f>
        <v>0</v>
      </c>
      <c r="C150" s="49">
        <f>資料儲存!E2278</f>
        <v>0</v>
      </c>
      <c r="D150" s="49">
        <f>資料儲存!F2278</f>
        <v>0</v>
      </c>
      <c r="E150" s="49">
        <f>資料儲存!G2278</f>
        <v>0</v>
      </c>
      <c r="F150" s="49">
        <f>資料儲存!H2278</f>
        <v>0</v>
      </c>
      <c r="G150" s="49">
        <f>資料儲存!I2278</f>
        <v>0</v>
      </c>
      <c r="H150" s="49">
        <f>資料儲存!J2278</f>
        <v>0</v>
      </c>
      <c r="I150" s="45"/>
      <c r="J150" s="48">
        <v>57</v>
      </c>
      <c r="K150" s="49">
        <f>資料儲存!D2398</f>
        <v>0</v>
      </c>
      <c r="L150" s="49">
        <f>資料儲存!E2398</f>
        <v>0</v>
      </c>
      <c r="M150" s="49">
        <f>資料儲存!F2398</f>
        <v>0</v>
      </c>
      <c r="N150" s="49">
        <f>資料儲存!G2398</f>
        <v>0</v>
      </c>
      <c r="O150" s="49">
        <f>資料儲存!H2398</f>
        <v>0</v>
      </c>
      <c r="P150" s="49">
        <f>資料儲存!I2398</f>
        <v>0</v>
      </c>
      <c r="Q150" s="49">
        <f>資料儲存!J2398</f>
        <v>0</v>
      </c>
      <c r="R150" s="45"/>
      <c r="S150" s="48">
        <v>57</v>
      </c>
      <c r="T150" s="49">
        <f>資料儲存!D2518</f>
        <v>0</v>
      </c>
      <c r="U150" s="49">
        <f>資料儲存!E2518</f>
        <v>0</v>
      </c>
      <c r="V150" s="49">
        <f>資料儲存!F2518</f>
        <v>0</v>
      </c>
      <c r="W150" s="49">
        <f>資料儲存!G2518</f>
        <v>0</v>
      </c>
      <c r="X150" s="49">
        <f>資料儲存!H2518</f>
        <v>0</v>
      </c>
      <c r="Y150" s="49">
        <f>資料儲存!I2518</f>
        <v>0</v>
      </c>
      <c r="Z150" s="49">
        <f>資料儲存!J2518</f>
        <v>0</v>
      </c>
      <c r="AA150" s="45"/>
      <c r="AB150" s="48">
        <v>57</v>
      </c>
      <c r="AC150" s="49">
        <f>資料儲存!D2638</f>
        <v>0</v>
      </c>
      <c r="AD150" s="49">
        <f>資料儲存!E2638</f>
        <v>0</v>
      </c>
      <c r="AE150" s="49">
        <f>資料儲存!F2638</f>
        <v>0</v>
      </c>
      <c r="AF150" s="49">
        <f>資料儲存!G2638</f>
        <v>0</v>
      </c>
      <c r="AG150" s="49">
        <f>資料儲存!H2638</f>
        <v>0</v>
      </c>
      <c r="AH150" s="49">
        <f>資料儲存!I2638</f>
        <v>0</v>
      </c>
      <c r="AI150" s="49">
        <f>資料儲存!J2638</f>
        <v>0</v>
      </c>
      <c r="AJ150" s="13"/>
      <c r="AK150" s="48">
        <v>57</v>
      </c>
      <c r="AL150" s="49">
        <f>資料儲存!D2758</f>
        <v>0</v>
      </c>
      <c r="AM150" s="49">
        <f>資料儲存!E2758</f>
        <v>0</v>
      </c>
      <c r="AN150" s="49">
        <f>資料儲存!F2758</f>
        <v>0</v>
      </c>
      <c r="AO150" s="49">
        <f>資料儲存!G2758</f>
        <v>0</v>
      </c>
      <c r="AP150" s="49">
        <f>資料儲存!H2758</f>
        <v>0</v>
      </c>
      <c r="AQ150" s="49">
        <f>資料儲存!I2758</f>
        <v>0</v>
      </c>
      <c r="AR150" s="49">
        <f>資料儲存!J2758</f>
        <v>0</v>
      </c>
      <c r="AT150" s="48">
        <v>57</v>
      </c>
      <c r="AU150" s="49">
        <f>資料儲存!D2878</f>
        <v>0</v>
      </c>
      <c r="AV150" s="49">
        <f>資料儲存!E2878</f>
        <v>0</v>
      </c>
      <c r="AW150" s="49">
        <f>資料儲存!F2878</f>
        <v>0</v>
      </c>
      <c r="AX150" s="49">
        <f>資料儲存!G2878</f>
        <v>0</v>
      </c>
      <c r="AY150" s="49">
        <f>資料儲存!H2878</f>
        <v>0</v>
      </c>
      <c r="AZ150" s="49">
        <f>資料儲存!I2878</f>
        <v>0</v>
      </c>
      <c r="BA150" s="49">
        <f>資料儲存!J2878</f>
        <v>0</v>
      </c>
    </row>
    <row r="151" spans="1:53" ht="16" thickBot="1">
      <c r="A151" s="48">
        <v>58</v>
      </c>
      <c r="B151" s="49">
        <f>資料儲存!D2279</f>
        <v>0</v>
      </c>
      <c r="C151" s="49">
        <f>資料儲存!E2279</f>
        <v>0</v>
      </c>
      <c r="D151" s="49">
        <f>資料儲存!F2279</f>
        <v>0</v>
      </c>
      <c r="E151" s="49">
        <f>資料儲存!G2279</f>
        <v>0</v>
      </c>
      <c r="F151" s="49">
        <f>資料儲存!H2279</f>
        <v>0</v>
      </c>
      <c r="G151" s="49">
        <f>資料儲存!I2279</f>
        <v>0</v>
      </c>
      <c r="H151" s="49">
        <f>資料儲存!J2279</f>
        <v>0</v>
      </c>
      <c r="I151" s="45"/>
      <c r="J151" s="48">
        <v>58</v>
      </c>
      <c r="K151" s="49">
        <f>資料儲存!D2399</f>
        <v>0</v>
      </c>
      <c r="L151" s="49">
        <f>資料儲存!E2399</f>
        <v>0</v>
      </c>
      <c r="M151" s="49">
        <f>資料儲存!F2399</f>
        <v>0</v>
      </c>
      <c r="N151" s="49">
        <f>資料儲存!G2399</f>
        <v>0</v>
      </c>
      <c r="O151" s="49">
        <f>資料儲存!H2399</f>
        <v>0</v>
      </c>
      <c r="P151" s="49">
        <f>資料儲存!I2399</f>
        <v>0</v>
      </c>
      <c r="Q151" s="49">
        <f>資料儲存!J2399</f>
        <v>0</v>
      </c>
      <c r="R151" s="45"/>
      <c r="S151" s="48">
        <v>58</v>
      </c>
      <c r="T151" s="49">
        <f>資料儲存!D2519</f>
        <v>0</v>
      </c>
      <c r="U151" s="49">
        <f>資料儲存!E2519</f>
        <v>0</v>
      </c>
      <c r="V151" s="49">
        <f>資料儲存!F2519</f>
        <v>0</v>
      </c>
      <c r="W151" s="49">
        <f>資料儲存!G2519</f>
        <v>0</v>
      </c>
      <c r="X151" s="49">
        <f>資料儲存!H2519</f>
        <v>0</v>
      </c>
      <c r="Y151" s="49">
        <f>資料儲存!I2519</f>
        <v>0</v>
      </c>
      <c r="Z151" s="49">
        <f>資料儲存!J2519</f>
        <v>0</v>
      </c>
      <c r="AA151" s="45"/>
      <c r="AB151" s="48">
        <v>58</v>
      </c>
      <c r="AC151" s="49">
        <f>資料儲存!D2639</f>
        <v>0</v>
      </c>
      <c r="AD151" s="49">
        <f>資料儲存!E2639</f>
        <v>0</v>
      </c>
      <c r="AE151" s="49">
        <f>資料儲存!F2639</f>
        <v>0</v>
      </c>
      <c r="AF151" s="49">
        <f>資料儲存!G2639</f>
        <v>0</v>
      </c>
      <c r="AG151" s="49">
        <f>資料儲存!H2639</f>
        <v>0</v>
      </c>
      <c r="AH151" s="49">
        <f>資料儲存!I2639</f>
        <v>0</v>
      </c>
      <c r="AI151" s="49">
        <f>資料儲存!J2639</f>
        <v>0</v>
      </c>
      <c r="AJ151" s="13"/>
      <c r="AK151" s="48">
        <v>58</v>
      </c>
      <c r="AL151" s="49">
        <f>資料儲存!D2759</f>
        <v>0</v>
      </c>
      <c r="AM151" s="49">
        <f>資料儲存!E2759</f>
        <v>0</v>
      </c>
      <c r="AN151" s="49">
        <f>資料儲存!F2759</f>
        <v>0</v>
      </c>
      <c r="AO151" s="49">
        <f>資料儲存!G2759</f>
        <v>0</v>
      </c>
      <c r="AP151" s="49">
        <f>資料儲存!H2759</f>
        <v>0</v>
      </c>
      <c r="AQ151" s="49">
        <f>資料儲存!I2759</f>
        <v>0</v>
      </c>
      <c r="AR151" s="49">
        <f>資料儲存!J2759</f>
        <v>0</v>
      </c>
      <c r="AT151" s="48">
        <v>58</v>
      </c>
      <c r="AU151" s="49">
        <f>資料儲存!D2879</f>
        <v>0</v>
      </c>
      <c r="AV151" s="49">
        <f>資料儲存!E2879</f>
        <v>0</v>
      </c>
      <c r="AW151" s="49">
        <f>資料儲存!F2879</f>
        <v>0</v>
      </c>
      <c r="AX151" s="49">
        <f>資料儲存!G2879</f>
        <v>0</v>
      </c>
      <c r="AY151" s="49">
        <f>資料儲存!H2879</f>
        <v>0</v>
      </c>
      <c r="AZ151" s="49">
        <f>資料儲存!I2879</f>
        <v>0</v>
      </c>
      <c r="BA151" s="49">
        <f>資料儲存!J2879</f>
        <v>0</v>
      </c>
    </row>
    <row r="152" spans="1:53" ht="16" thickBot="1">
      <c r="A152" s="48">
        <v>59</v>
      </c>
      <c r="B152" s="49">
        <f>資料儲存!D2280</f>
        <v>0</v>
      </c>
      <c r="C152" s="49">
        <f>資料儲存!E2280</f>
        <v>0</v>
      </c>
      <c r="D152" s="49">
        <f>資料儲存!F2280</f>
        <v>0</v>
      </c>
      <c r="E152" s="49">
        <f>資料儲存!G2280</f>
        <v>0</v>
      </c>
      <c r="F152" s="49">
        <f>資料儲存!H2280</f>
        <v>0</v>
      </c>
      <c r="G152" s="49">
        <f>資料儲存!I2280</f>
        <v>0</v>
      </c>
      <c r="H152" s="49">
        <f>資料儲存!J2280</f>
        <v>0</v>
      </c>
      <c r="I152" s="45"/>
      <c r="J152" s="48">
        <v>59</v>
      </c>
      <c r="K152" s="49">
        <f>資料儲存!D2400</f>
        <v>0</v>
      </c>
      <c r="L152" s="49">
        <f>資料儲存!E2400</f>
        <v>0</v>
      </c>
      <c r="M152" s="49">
        <f>資料儲存!F2400</f>
        <v>0</v>
      </c>
      <c r="N152" s="49">
        <f>資料儲存!G2400</f>
        <v>0</v>
      </c>
      <c r="O152" s="49">
        <f>資料儲存!H2400</f>
        <v>0</v>
      </c>
      <c r="P152" s="49">
        <f>資料儲存!I2400</f>
        <v>0</v>
      </c>
      <c r="Q152" s="49">
        <f>資料儲存!J2400</f>
        <v>0</v>
      </c>
      <c r="R152" s="45"/>
      <c r="S152" s="48">
        <v>59</v>
      </c>
      <c r="T152" s="49">
        <f>資料儲存!D2520</f>
        <v>0</v>
      </c>
      <c r="U152" s="49">
        <f>資料儲存!E2520</f>
        <v>0</v>
      </c>
      <c r="V152" s="49">
        <f>資料儲存!F2520</f>
        <v>0</v>
      </c>
      <c r="W152" s="49">
        <f>資料儲存!G2520</f>
        <v>0</v>
      </c>
      <c r="X152" s="49">
        <f>資料儲存!H2520</f>
        <v>0</v>
      </c>
      <c r="Y152" s="49">
        <f>資料儲存!I2520</f>
        <v>0</v>
      </c>
      <c r="Z152" s="49">
        <f>資料儲存!J2520</f>
        <v>0</v>
      </c>
      <c r="AA152" s="45"/>
      <c r="AB152" s="48">
        <v>59</v>
      </c>
      <c r="AC152" s="49">
        <f>資料儲存!D2640</f>
        <v>0</v>
      </c>
      <c r="AD152" s="49">
        <f>資料儲存!E2640</f>
        <v>0</v>
      </c>
      <c r="AE152" s="49">
        <f>資料儲存!F2640</f>
        <v>0</v>
      </c>
      <c r="AF152" s="49">
        <f>資料儲存!G2640</f>
        <v>0</v>
      </c>
      <c r="AG152" s="49">
        <f>資料儲存!H2640</f>
        <v>0</v>
      </c>
      <c r="AH152" s="49">
        <f>資料儲存!I2640</f>
        <v>0</v>
      </c>
      <c r="AI152" s="49">
        <f>資料儲存!J2640</f>
        <v>0</v>
      </c>
      <c r="AJ152" s="13"/>
      <c r="AK152" s="48">
        <v>59</v>
      </c>
      <c r="AL152" s="49">
        <f>資料儲存!D2760</f>
        <v>0</v>
      </c>
      <c r="AM152" s="49">
        <f>資料儲存!E2760</f>
        <v>0</v>
      </c>
      <c r="AN152" s="49">
        <f>資料儲存!F2760</f>
        <v>0</v>
      </c>
      <c r="AO152" s="49">
        <f>資料儲存!G2760</f>
        <v>0</v>
      </c>
      <c r="AP152" s="49">
        <f>資料儲存!H2760</f>
        <v>0</v>
      </c>
      <c r="AQ152" s="49">
        <f>資料儲存!I2760</f>
        <v>0</v>
      </c>
      <c r="AR152" s="49">
        <f>資料儲存!J2760</f>
        <v>0</v>
      </c>
      <c r="AT152" s="48">
        <v>59</v>
      </c>
      <c r="AU152" s="49">
        <f>資料儲存!D2880</f>
        <v>0</v>
      </c>
      <c r="AV152" s="49">
        <f>資料儲存!E2880</f>
        <v>0</v>
      </c>
      <c r="AW152" s="49">
        <f>資料儲存!F2880</f>
        <v>0</v>
      </c>
      <c r="AX152" s="49">
        <f>資料儲存!G2880</f>
        <v>0</v>
      </c>
      <c r="AY152" s="49">
        <f>資料儲存!H2880</f>
        <v>0</v>
      </c>
      <c r="AZ152" s="49">
        <f>資料儲存!I2880</f>
        <v>0</v>
      </c>
      <c r="BA152" s="49">
        <f>資料儲存!J2880</f>
        <v>0</v>
      </c>
    </row>
    <row r="153" spans="1:53" ht="16" thickBot="1">
      <c r="A153" s="48">
        <v>60</v>
      </c>
      <c r="B153" s="49">
        <f>資料儲存!D2281</f>
        <v>0</v>
      </c>
      <c r="C153" s="49">
        <f>資料儲存!E2281</f>
        <v>0</v>
      </c>
      <c r="D153" s="49">
        <f>資料儲存!F2281</f>
        <v>0</v>
      </c>
      <c r="E153" s="49">
        <f>資料儲存!G2281</f>
        <v>0</v>
      </c>
      <c r="F153" s="49">
        <f>資料儲存!H2281</f>
        <v>0</v>
      </c>
      <c r="G153" s="49">
        <f>資料儲存!I2281</f>
        <v>0</v>
      </c>
      <c r="H153" s="49">
        <f>資料儲存!J2281</f>
        <v>0</v>
      </c>
      <c r="I153" s="45"/>
      <c r="J153" s="48">
        <v>60</v>
      </c>
      <c r="K153" s="49">
        <f>資料儲存!D2401</f>
        <v>0</v>
      </c>
      <c r="L153" s="49">
        <f>資料儲存!E2401</f>
        <v>0</v>
      </c>
      <c r="M153" s="49">
        <f>資料儲存!F2401</f>
        <v>0</v>
      </c>
      <c r="N153" s="49">
        <f>資料儲存!G2401</f>
        <v>0</v>
      </c>
      <c r="O153" s="49">
        <f>資料儲存!H2401</f>
        <v>0</v>
      </c>
      <c r="P153" s="49">
        <f>資料儲存!I2401</f>
        <v>0</v>
      </c>
      <c r="Q153" s="49">
        <f>資料儲存!J2401</f>
        <v>0</v>
      </c>
      <c r="R153" s="45"/>
      <c r="S153" s="48">
        <v>60</v>
      </c>
      <c r="T153" s="49">
        <f>資料儲存!D2521</f>
        <v>0</v>
      </c>
      <c r="U153" s="49">
        <f>資料儲存!E2521</f>
        <v>0</v>
      </c>
      <c r="V153" s="49">
        <f>資料儲存!F2521</f>
        <v>0</v>
      </c>
      <c r="W153" s="49">
        <f>資料儲存!G2521</f>
        <v>0</v>
      </c>
      <c r="X153" s="49">
        <f>資料儲存!H2521</f>
        <v>0</v>
      </c>
      <c r="Y153" s="49">
        <f>資料儲存!I2521</f>
        <v>0</v>
      </c>
      <c r="Z153" s="49">
        <f>資料儲存!J2521</f>
        <v>0</v>
      </c>
      <c r="AA153" s="45"/>
      <c r="AB153" s="48">
        <v>60</v>
      </c>
      <c r="AC153" s="49">
        <f>資料儲存!D2641</f>
        <v>0</v>
      </c>
      <c r="AD153" s="49">
        <f>資料儲存!E2641</f>
        <v>0</v>
      </c>
      <c r="AE153" s="49">
        <f>資料儲存!F2641</f>
        <v>0</v>
      </c>
      <c r="AF153" s="49">
        <f>資料儲存!G2641</f>
        <v>0</v>
      </c>
      <c r="AG153" s="49">
        <f>資料儲存!H2641</f>
        <v>0</v>
      </c>
      <c r="AH153" s="49">
        <f>資料儲存!I2641</f>
        <v>0</v>
      </c>
      <c r="AI153" s="49">
        <f>資料儲存!J2641</f>
        <v>0</v>
      </c>
      <c r="AJ153" s="13"/>
      <c r="AK153" s="48">
        <v>60</v>
      </c>
      <c r="AL153" s="49">
        <f>資料儲存!D2761</f>
        <v>0</v>
      </c>
      <c r="AM153" s="49">
        <f>資料儲存!E2761</f>
        <v>0</v>
      </c>
      <c r="AN153" s="49">
        <f>資料儲存!F2761</f>
        <v>0</v>
      </c>
      <c r="AO153" s="49">
        <f>資料儲存!G2761</f>
        <v>0</v>
      </c>
      <c r="AP153" s="49">
        <f>資料儲存!H2761</f>
        <v>0</v>
      </c>
      <c r="AQ153" s="49">
        <f>資料儲存!I2761</f>
        <v>0</v>
      </c>
      <c r="AR153" s="49">
        <f>資料儲存!J2761</f>
        <v>0</v>
      </c>
      <c r="AT153" s="48">
        <v>60</v>
      </c>
      <c r="AU153" s="49">
        <f>資料儲存!D2881</f>
        <v>0</v>
      </c>
      <c r="AV153" s="49">
        <f>資料儲存!E2881</f>
        <v>0</v>
      </c>
      <c r="AW153" s="49">
        <f>資料儲存!F2881</f>
        <v>0</v>
      </c>
      <c r="AX153" s="49">
        <f>資料儲存!G2881</f>
        <v>0</v>
      </c>
      <c r="AY153" s="49">
        <f>資料儲存!H2881</f>
        <v>0</v>
      </c>
      <c r="AZ153" s="49">
        <f>資料儲存!I2881</f>
        <v>0</v>
      </c>
      <c r="BA153" s="49">
        <f>資料儲存!J2881</f>
        <v>0</v>
      </c>
    </row>
    <row r="154" spans="1:53" ht="17.25" customHeight="1" thickBot="1">
      <c r="A154" s="50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0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0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0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13"/>
      <c r="AK154" s="50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  <c r="AT154" s="50" t="s">
        <v>56</v>
      </c>
      <c r="AU154" s="49">
        <f>SUM(AU139:AX153)</f>
        <v>0</v>
      </c>
      <c r="AV154" s="47"/>
      <c r="AW154" s="47"/>
      <c r="AX154" s="47"/>
      <c r="AY154" s="49">
        <f>AY153</f>
        <v>0</v>
      </c>
      <c r="AZ154" s="49">
        <f>AZ153</f>
        <v>0</v>
      </c>
      <c r="BA154" s="49">
        <f>BA153</f>
        <v>0</v>
      </c>
    </row>
  </sheetData>
  <mergeCells count="60">
    <mergeCell ref="AT136:BA136"/>
    <mergeCell ref="A117:H117"/>
    <mergeCell ref="J117:Q117"/>
    <mergeCell ref="S117:Z117"/>
    <mergeCell ref="AB117:AI117"/>
    <mergeCell ref="AK117:AR117"/>
    <mergeCell ref="AT117:BA117"/>
    <mergeCell ref="A136:H136"/>
    <mergeCell ref="J136:Q136"/>
    <mergeCell ref="S136:Z136"/>
    <mergeCell ref="AB136:AI136"/>
    <mergeCell ref="AK136:AR136"/>
    <mergeCell ref="AT98:BA98"/>
    <mergeCell ref="A79:H79"/>
    <mergeCell ref="J79:Q79"/>
    <mergeCell ref="S79:Z79"/>
    <mergeCell ref="AB79:AI79"/>
    <mergeCell ref="AK79:AR79"/>
    <mergeCell ref="AT79:BA79"/>
    <mergeCell ref="A98:H98"/>
    <mergeCell ref="J98:Q98"/>
    <mergeCell ref="S98:Z98"/>
    <mergeCell ref="AB98:AI98"/>
    <mergeCell ref="AK98:AR98"/>
    <mergeCell ref="AT60:BA60"/>
    <mergeCell ref="A41:H41"/>
    <mergeCell ref="J41:Q41"/>
    <mergeCell ref="S41:Z41"/>
    <mergeCell ref="AB41:AI41"/>
    <mergeCell ref="AK41:AR41"/>
    <mergeCell ref="AT41:BA41"/>
    <mergeCell ref="A60:H60"/>
    <mergeCell ref="J60:Q60"/>
    <mergeCell ref="S60:Z60"/>
    <mergeCell ref="AB60:AI60"/>
    <mergeCell ref="AK60:AR60"/>
    <mergeCell ref="AT22:BA22"/>
    <mergeCell ref="A3:H3"/>
    <mergeCell ref="J3:Q3"/>
    <mergeCell ref="S3:Z3"/>
    <mergeCell ref="AB3:AI3"/>
    <mergeCell ref="AK3:AR3"/>
    <mergeCell ref="AT3:BA3"/>
    <mergeCell ref="A22:H22"/>
    <mergeCell ref="J22:Q22"/>
    <mergeCell ref="S22:Z22"/>
    <mergeCell ref="AB22:AI22"/>
    <mergeCell ref="AK22:AR22"/>
    <mergeCell ref="AT2:BA2"/>
    <mergeCell ref="A1:H1"/>
    <mergeCell ref="J1:Q1"/>
    <mergeCell ref="S1:Z1"/>
    <mergeCell ref="AB1:AI1"/>
    <mergeCell ref="AK1:AR1"/>
    <mergeCell ref="AT1:BA1"/>
    <mergeCell ref="A2:H2"/>
    <mergeCell ref="J2:Q2"/>
    <mergeCell ref="S2:Z2"/>
    <mergeCell ref="AB2:AI2"/>
    <mergeCell ref="AK2:AR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7" tint="0.39997558519241921"/>
  </sheetPr>
  <dimension ref="A1:BA155"/>
  <sheetViews>
    <sheetView zoomScale="70" zoomScaleNormal="70" zoomScaleSheetLayoutView="70" workbookViewId="0">
      <selection sqref="A1:H1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44" width="10.08984375" style="1"/>
    <col min="45" max="45" width="2.08984375" style="1" customWidth="1"/>
    <col min="46" max="16384" width="10.08984375" style="1"/>
  </cols>
  <sheetData>
    <row r="1" spans="1:53" s="11" customFormat="1" ht="18.5" thickBot="1">
      <c r="A1" s="254" t="str">
        <f>基本資料!$F$11</f>
        <v>平日昏峰(17-19)</v>
      </c>
      <c r="B1" s="255"/>
      <c r="C1" s="255"/>
      <c r="D1" s="255"/>
      <c r="E1" s="255"/>
      <c r="F1" s="255"/>
      <c r="G1" s="255"/>
      <c r="H1" s="256"/>
      <c r="J1" s="254" t="str">
        <f>基本資料!$F$11</f>
        <v>平日昏峰(17-19)</v>
      </c>
      <c r="K1" s="255"/>
      <c r="L1" s="255"/>
      <c r="M1" s="255"/>
      <c r="N1" s="255"/>
      <c r="O1" s="255"/>
      <c r="P1" s="255"/>
      <c r="Q1" s="256"/>
      <c r="S1" s="254" t="str">
        <f>基本資料!$F$11</f>
        <v>平日昏峰(17-19)</v>
      </c>
      <c r="T1" s="255"/>
      <c r="U1" s="255"/>
      <c r="V1" s="255"/>
      <c r="W1" s="255"/>
      <c r="X1" s="255"/>
      <c r="Y1" s="255"/>
      <c r="Z1" s="256"/>
      <c r="AB1" s="254" t="str">
        <f>基本資料!$F$11</f>
        <v>平日昏峰(17-19)</v>
      </c>
      <c r="AC1" s="255"/>
      <c r="AD1" s="255"/>
      <c r="AE1" s="255"/>
      <c r="AF1" s="255"/>
      <c r="AG1" s="255"/>
      <c r="AH1" s="255"/>
      <c r="AI1" s="256"/>
      <c r="AK1" s="254" t="str">
        <f>基本資料!$F$11</f>
        <v>平日昏峰(17-19)</v>
      </c>
      <c r="AL1" s="255"/>
      <c r="AM1" s="255"/>
      <c r="AN1" s="255"/>
      <c r="AO1" s="255"/>
      <c r="AP1" s="255"/>
      <c r="AQ1" s="255"/>
      <c r="AR1" s="256"/>
      <c r="AT1" s="254" t="str">
        <f>基本資料!$F$11</f>
        <v>平日昏峰(17-19)</v>
      </c>
      <c r="AU1" s="255"/>
      <c r="AV1" s="255"/>
      <c r="AW1" s="255"/>
      <c r="AX1" s="255"/>
      <c r="AY1" s="255"/>
      <c r="AZ1" s="255"/>
      <c r="BA1" s="256"/>
    </row>
    <row r="2" spans="1:53" ht="18.5" thickBot="1">
      <c r="A2" s="251" t="str">
        <f>CONCATENATE(基本資料!B18,"方向：",基本資料!B19,基本資料!B20)</f>
        <v>A方向：</v>
      </c>
      <c r="B2" s="252"/>
      <c r="C2" s="252"/>
      <c r="D2" s="252"/>
      <c r="E2" s="252"/>
      <c r="F2" s="252"/>
      <c r="G2" s="252"/>
      <c r="H2" s="253"/>
      <c r="I2" s="1"/>
      <c r="J2" s="251" t="str">
        <f>CONCATENATE(基本資料!C18,"方向：",基本資料!C19,基本資料!C20)</f>
        <v>B方向：</v>
      </c>
      <c r="K2" s="252"/>
      <c r="L2" s="252"/>
      <c r="M2" s="252"/>
      <c r="N2" s="252"/>
      <c r="O2" s="252"/>
      <c r="P2" s="252"/>
      <c r="Q2" s="253"/>
      <c r="R2" s="1"/>
      <c r="S2" s="251" t="str">
        <f>CONCATENATE(基本資料!D18,"方向：",基本資料!D19,基本資料!D20)</f>
        <v>C方向：</v>
      </c>
      <c r="T2" s="252"/>
      <c r="U2" s="252"/>
      <c r="V2" s="252"/>
      <c r="W2" s="252"/>
      <c r="X2" s="252"/>
      <c r="Y2" s="252"/>
      <c r="Z2" s="253"/>
      <c r="AA2" s="1"/>
      <c r="AB2" s="251" t="str">
        <f>CONCATENATE(基本資料!E18,"方向：",基本資料!E19,基本資料!E20)</f>
        <v>D方向：</v>
      </c>
      <c r="AC2" s="252"/>
      <c r="AD2" s="252"/>
      <c r="AE2" s="252"/>
      <c r="AF2" s="252"/>
      <c r="AG2" s="252"/>
      <c r="AH2" s="252"/>
      <c r="AI2" s="253"/>
      <c r="AJ2" s="1"/>
      <c r="AK2" s="251" t="str">
        <f>CONCATENATE(基本資料!F18,"方向：",基本資料!F19,基本資料!F20)</f>
        <v>E方向：</v>
      </c>
      <c r="AL2" s="252"/>
      <c r="AM2" s="252"/>
      <c r="AN2" s="252"/>
      <c r="AO2" s="252"/>
      <c r="AP2" s="252"/>
      <c r="AQ2" s="252"/>
      <c r="AR2" s="253"/>
      <c r="AT2" s="251" t="str">
        <f>CONCATENATE(基本資料!G18,"方向：",基本資料!G19,基本資料!G20)</f>
        <v>F方向：</v>
      </c>
      <c r="AU2" s="252"/>
      <c r="AV2" s="252"/>
      <c r="AW2" s="252"/>
      <c r="AX2" s="252"/>
      <c r="AY2" s="252"/>
      <c r="AZ2" s="252"/>
      <c r="BA2" s="253"/>
    </row>
    <row r="3" spans="1:53" ht="18.5" thickBot="1">
      <c r="A3" s="257" t="s">
        <v>72</v>
      </c>
      <c r="B3" s="258"/>
      <c r="C3" s="258"/>
      <c r="D3" s="258"/>
      <c r="E3" s="258"/>
      <c r="F3" s="258"/>
      <c r="G3" s="258"/>
      <c r="H3" s="259"/>
      <c r="I3" s="14"/>
      <c r="J3" s="257" t="s">
        <v>72</v>
      </c>
      <c r="K3" s="258"/>
      <c r="L3" s="258"/>
      <c r="M3" s="258"/>
      <c r="N3" s="258"/>
      <c r="O3" s="258"/>
      <c r="P3" s="258"/>
      <c r="Q3" s="259"/>
      <c r="R3" s="14"/>
      <c r="S3" s="257" t="s">
        <v>72</v>
      </c>
      <c r="T3" s="258"/>
      <c r="U3" s="258"/>
      <c r="V3" s="258"/>
      <c r="W3" s="258"/>
      <c r="X3" s="258"/>
      <c r="Y3" s="258"/>
      <c r="Z3" s="259"/>
      <c r="AA3" s="14"/>
      <c r="AB3" s="257" t="s">
        <v>72</v>
      </c>
      <c r="AC3" s="258"/>
      <c r="AD3" s="258"/>
      <c r="AE3" s="258"/>
      <c r="AF3" s="258"/>
      <c r="AG3" s="258"/>
      <c r="AH3" s="258"/>
      <c r="AI3" s="259"/>
      <c r="AJ3" s="14"/>
      <c r="AK3" s="257" t="s">
        <v>72</v>
      </c>
      <c r="AL3" s="258"/>
      <c r="AM3" s="258"/>
      <c r="AN3" s="258"/>
      <c r="AO3" s="258"/>
      <c r="AP3" s="258"/>
      <c r="AQ3" s="258"/>
      <c r="AR3" s="259"/>
      <c r="AT3" s="257" t="s">
        <v>72</v>
      </c>
      <c r="AU3" s="258"/>
      <c r="AV3" s="258"/>
      <c r="AW3" s="258"/>
      <c r="AX3" s="258"/>
      <c r="AY3" s="258"/>
      <c r="AZ3" s="258"/>
      <c r="BA3" s="259"/>
    </row>
    <row r="4" spans="1:53" s="59" customFormat="1" ht="17.25" customHeight="1" thickBot="1">
      <c r="A4" s="54" t="s">
        <v>2</v>
      </c>
      <c r="B4" s="55" t="s">
        <v>46</v>
      </c>
      <c r="C4" s="56"/>
      <c r="D4" s="56"/>
      <c r="E4" s="57"/>
      <c r="F4" s="55" t="s">
        <v>47</v>
      </c>
      <c r="G4" s="56"/>
      <c r="H4" s="57"/>
      <c r="I4" s="58"/>
      <c r="J4" s="54" t="s">
        <v>2</v>
      </c>
      <c r="K4" s="55" t="s">
        <v>46</v>
      </c>
      <c r="L4" s="56"/>
      <c r="M4" s="56"/>
      <c r="N4" s="57"/>
      <c r="O4" s="55" t="s">
        <v>47</v>
      </c>
      <c r="P4" s="56"/>
      <c r="Q4" s="57"/>
      <c r="R4" s="58"/>
      <c r="S4" s="54" t="s">
        <v>2</v>
      </c>
      <c r="T4" s="55" t="s">
        <v>46</v>
      </c>
      <c r="U4" s="56"/>
      <c r="V4" s="56"/>
      <c r="W4" s="57"/>
      <c r="X4" s="55" t="s">
        <v>47</v>
      </c>
      <c r="Y4" s="56"/>
      <c r="Z4" s="57"/>
      <c r="AA4" s="58"/>
      <c r="AB4" s="54" t="s">
        <v>2</v>
      </c>
      <c r="AC4" s="55" t="s">
        <v>46</v>
      </c>
      <c r="AD4" s="56"/>
      <c r="AE4" s="56"/>
      <c r="AF4" s="57"/>
      <c r="AG4" s="55" t="s">
        <v>47</v>
      </c>
      <c r="AH4" s="56"/>
      <c r="AI4" s="57"/>
      <c r="AJ4" s="58"/>
      <c r="AK4" s="54" t="s">
        <v>2</v>
      </c>
      <c r="AL4" s="55" t="s">
        <v>46</v>
      </c>
      <c r="AM4" s="56"/>
      <c r="AN4" s="56"/>
      <c r="AO4" s="57"/>
      <c r="AP4" s="55" t="s">
        <v>47</v>
      </c>
      <c r="AQ4" s="56"/>
      <c r="AR4" s="57"/>
      <c r="AT4" s="54" t="s">
        <v>2</v>
      </c>
      <c r="AU4" s="55" t="s">
        <v>46</v>
      </c>
      <c r="AV4" s="56"/>
      <c r="AW4" s="56"/>
      <c r="AX4" s="57"/>
      <c r="AY4" s="55" t="s">
        <v>47</v>
      </c>
      <c r="AZ4" s="56"/>
      <c r="BA4" s="57"/>
    </row>
    <row r="5" spans="1:53" s="59" customFormat="1" ht="16" thickBot="1">
      <c r="A5" s="60" t="s">
        <v>73</v>
      </c>
      <c r="B5" s="61" t="s">
        <v>49</v>
      </c>
      <c r="C5" s="61" t="s">
        <v>50</v>
      </c>
      <c r="D5" s="61" t="s">
        <v>51</v>
      </c>
      <c r="E5" s="61" t="s">
        <v>52</v>
      </c>
      <c r="F5" s="61" t="s">
        <v>53</v>
      </c>
      <c r="G5" s="61" t="s">
        <v>54</v>
      </c>
      <c r="H5" s="61" t="s">
        <v>55</v>
      </c>
      <c r="I5" s="58"/>
      <c r="J5" s="60" t="s">
        <v>73</v>
      </c>
      <c r="K5" s="61" t="s">
        <v>49</v>
      </c>
      <c r="L5" s="61" t="s">
        <v>50</v>
      </c>
      <c r="M5" s="61" t="s">
        <v>51</v>
      </c>
      <c r="N5" s="61" t="s">
        <v>52</v>
      </c>
      <c r="O5" s="61" t="s">
        <v>53</v>
      </c>
      <c r="P5" s="61" t="s">
        <v>54</v>
      </c>
      <c r="Q5" s="61" t="s">
        <v>55</v>
      </c>
      <c r="R5" s="58"/>
      <c r="S5" s="60" t="s">
        <v>73</v>
      </c>
      <c r="T5" s="61" t="s">
        <v>49</v>
      </c>
      <c r="U5" s="61" t="s">
        <v>50</v>
      </c>
      <c r="V5" s="61" t="s">
        <v>51</v>
      </c>
      <c r="W5" s="61" t="s">
        <v>52</v>
      </c>
      <c r="X5" s="61" t="s">
        <v>53</v>
      </c>
      <c r="Y5" s="61" t="s">
        <v>54</v>
      </c>
      <c r="Z5" s="61" t="s">
        <v>55</v>
      </c>
      <c r="AA5" s="58"/>
      <c r="AB5" s="60" t="s">
        <v>73</v>
      </c>
      <c r="AC5" s="61" t="s">
        <v>49</v>
      </c>
      <c r="AD5" s="61" t="s">
        <v>50</v>
      </c>
      <c r="AE5" s="61" t="s">
        <v>51</v>
      </c>
      <c r="AF5" s="61" t="s">
        <v>52</v>
      </c>
      <c r="AG5" s="61" t="s">
        <v>53</v>
      </c>
      <c r="AH5" s="61" t="s">
        <v>54</v>
      </c>
      <c r="AI5" s="61" t="s">
        <v>55</v>
      </c>
      <c r="AJ5" s="58"/>
      <c r="AK5" s="60" t="s">
        <v>73</v>
      </c>
      <c r="AL5" s="61" t="s">
        <v>49</v>
      </c>
      <c r="AM5" s="61" t="s">
        <v>50</v>
      </c>
      <c r="AN5" s="61" t="s">
        <v>51</v>
      </c>
      <c r="AO5" s="61" t="s">
        <v>52</v>
      </c>
      <c r="AP5" s="61" t="s">
        <v>53</v>
      </c>
      <c r="AQ5" s="61" t="s">
        <v>54</v>
      </c>
      <c r="AR5" s="61" t="s">
        <v>55</v>
      </c>
      <c r="AT5" s="60" t="s">
        <v>73</v>
      </c>
      <c r="AU5" s="61" t="s">
        <v>49</v>
      </c>
      <c r="AV5" s="61" t="s">
        <v>50</v>
      </c>
      <c r="AW5" s="61" t="s">
        <v>51</v>
      </c>
      <c r="AX5" s="61" t="s">
        <v>52</v>
      </c>
      <c r="AY5" s="61" t="s">
        <v>53</v>
      </c>
      <c r="AZ5" s="61" t="s">
        <v>54</v>
      </c>
      <c r="BA5" s="61" t="s">
        <v>55</v>
      </c>
    </row>
    <row r="6" spans="1:53" s="59" customFormat="1" ht="16" thickBot="1">
      <c r="A6" s="62">
        <v>1</v>
      </c>
      <c r="B6" s="39">
        <f>資料儲存!D2882</f>
        <v>0</v>
      </c>
      <c r="C6" s="39">
        <f>資料儲存!E2882</f>
        <v>0</v>
      </c>
      <c r="D6" s="39">
        <f>資料儲存!F2882</f>
        <v>0</v>
      </c>
      <c r="E6" s="39">
        <f>資料儲存!G2882</f>
        <v>0</v>
      </c>
      <c r="F6" s="39">
        <f>資料儲存!H2882</f>
        <v>0</v>
      </c>
      <c r="G6" s="39">
        <f>資料儲存!I2882</f>
        <v>0</v>
      </c>
      <c r="H6" s="39">
        <f>資料儲存!J2882</f>
        <v>0</v>
      </c>
      <c r="I6" s="58"/>
      <c r="J6" s="62">
        <v>1</v>
      </c>
      <c r="K6" s="39">
        <f>資料儲存!D3002</f>
        <v>0</v>
      </c>
      <c r="L6" s="39">
        <f>資料儲存!E3002</f>
        <v>0</v>
      </c>
      <c r="M6" s="39">
        <f>資料儲存!F3002</f>
        <v>0</v>
      </c>
      <c r="N6" s="39">
        <f>資料儲存!G3002</f>
        <v>0</v>
      </c>
      <c r="O6" s="39">
        <f>資料儲存!H3002</f>
        <v>0</v>
      </c>
      <c r="P6" s="39">
        <f>資料儲存!I3002</f>
        <v>0</v>
      </c>
      <c r="Q6" s="39">
        <f>資料儲存!J3002</f>
        <v>0</v>
      </c>
      <c r="R6" s="58"/>
      <c r="S6" s="62">
        <v>1</v>
      </c>
      <c r="T6" s="39">
        <f>資料儲存!D3122</f>
        <v>0</v>
      </c>
      <c r="U6" s="39">
        <f>資料儲存!E3122</f>
        <v>0</v>
      </c>
      <c r="V6" s="39">
        <f>資料儲存!F3122</f>
        <v>0</v>
      </c>
      <c r="W6" s="39">
        <f>資料儲存!G3122</f>
        <v>0</v>
      </c>
      <c r="X6" s="39">
        <f>資料儲存!H3122</f>
        <v>0</v>
      </c>
      <c r="Y6" s="39">
        <f>資料儲存!I3122</f>
        <v>0</v>
      </c>
      <c r="Z6" s="39">
        <f>資料儲存!J3122</f>
        <v>0</v>
      </c>
      <c r="AA6" s="58"/>
      <c r="AB6" s="62">
        <v>1</v>
      </c>
      <c r="AC6" s="39">
        <f>資料儲存!D3242</f>
        <v>0</v>
      </c>
      <c r="AD6" s="39">
        <f>資料儲存!E3242</f>
        <v>0</v>
      </c>
      <c r="AE6" s="39">
        <f>資料儲存!F3242</f>
        <v>0</v>
      </c>
      <c r="AF6" s="39">
        <f>資料儲存!G3242</f>
        <v>0</v>
      </c>
      <c r="AG6" s="39">
        <f>資料儲存!H3242</f>
        <v>0</v>
      </c>
      <c r="AH6" s="39">
        <f>資料儲存!I3242</f>
        <v>0</v>
      </c>
      <c r="AI6" s="39">
        <f>資料儲存!J3242</f>
        <v>0</v>
      </c>
      <c r="AJ6" s="58"/>
      <c r="AK6" s="62">
        <v>1</v>
      </c>
      <c r="AL6" s="39">
        <f>資料儲存!D3362</f>
        <v>0</v>
      </c>
      <c r="AM6" s="39">
        <f>資料儲存!E3362</f>
        <v>0</v>
      </c>
      <c r="AN6" s="39">
        <f>資料儲存!F3362</f>
        <v>0</v>
      </c>
      <c r="AO6" s="39">
        <f>資料儲存!G3362</f>
        <v>0</v>
      </c>
      <c r="AP6" s="39">
        <f>資料儲存!H3362</f>
        <v>0</v>
      </c>
      <c r="AQ6" s="39">
        <f>資料儲存!I3362</f>
        <v>0</v>
      </c>
      <c r="AR6" s="39">
        <f>資料儲存!J3362</f>
        <v>0</v>
      </c>
      <c r="AT6" s="62">
        <v>1</v>
      </c>
      <c r="AU6" s="39">
        <f>資料儲存!D3482</f>
        <v>0</v>
      </c>
      <c r="AV6" s="39">
        <f>資料儲存!E3482</f>
        <v>0</v>
      </c>
      <c r="AW6" s="39">
        <f>資料儲存!F3482</f>
        <v>0</v>
      </c>
      <c r="AX6" s="39">
        <f>資料儲存!G3482</f>
        <v>0</v>
      </c>
      <c r="AY6" s="39">
        <f>資料儲存!H3482</f>
        <v>0</v>
      </c>
      <c r="AZ6" s="39">
        <f>資料儲存!I3482</f>
        <v>0</v>
      </c>
      <c r="BA6" s="39">
        <f>資料儲存!J3482</f>
        <v>0</v>
      </c>
    </row>
    <row r="7" spans="1:53" s="59" customFormat="1" ht="16" thickBot="1">
      <c r="A7" s="62">
        <v>2</v>
      </c>
      <c r="B7" s="39">
        <f>資料儲存!D2883</f>
        <v>0</v>
      </c>
      <c r="C7" s="39">
        <f>資料儲存!E2883</f>
        <v>0</v>
      </c>
      <c r="D7" s="39">
        <f>資料儲存!F2883</f>
        <v>0</v>
      </c>
      <c r="E7" s="39">
        <f>資料儲存!G2883</f>
        <v>0</v>
      </c>
      <c r="F7" s="39">
        <f>資料儲存!H2883</f>
        <v>0</v>
      </c>
      <c r="G7" s="39">
        <f>資料儲存!I2883</f>
        <v>0</v>
      </c>
      <c r="H7" s="39">
        <f>資料儲存!J2883</f>
        <v>0</v>
      </c>
      <c r="I7" s="58"/>
      <c r="J7" s="62">
        <v>2</v>
      </c>
      <c r="K7" s="39">
        <f>資料儲存!D3003</f>
        <v>0</v>
      </c>
      <c r="L7" s="39">
        <f>資料儲存!E3003</f>
        <v>0</v>
      </c>
      <c r="M7" s="39">
        <f>資料儲存!F3003</f>
        <v>0</v>
      </c>
      <c r="N7" s="39">
        <f>資料儲存!G3003</f>
        <v>0</v>
      </c>
      <c r="O7" s="39">
        <f>資料儲存!H3003</f>
        <v>0</v>
      </c>
      <c r="P7" s="39">
        <f>資料儲存!I3003</f>
        <v>0</v>
      </c>
      <c r="Q7" s="39">
        <f>資料儲存!J3003</f>
        <v>0</v>
      </c>
      <c r="R7" s="58"/>
      <c r="S7" s="62">
        <v>2</v>
      </c>
      <c r="T7" s="39">
        <f>資料儲存!D3123</f>
        <v>0</v>
      </c>
      <c r="U7" s="39">
        <f>資料儲存!E3123</f>
        <v>0</v>
      </c>
      <c r="V7" s="39">
        <f>資料儲存!F3123</f>
        <v>0</v>
      </c>
      <c r="W7" s="39">
        <f>資料儲存!G3123</f>
        <v>0</v>
      </c>
      <c r="X7" s="39">
        <f>資料儲存!H3123</f>
        <v>0</v>
      </c>
      <c r="Y7" s="39">
        <f>資料儲存!I3123</f>
        <v>0</v>
      </c>
      <c r="Z7" s="39">
        <f>資料儲存!J3123</f>
        <v>0</v>
      </c>
      <c r="AA7" s="58"/>
      <c r="AB7" s="62">
        <v>2</v>
      </c>
      <c r="AC7" s="39">
        <f>資料儲存!D3243</f>
        <v>0</v>
      </c>
      <c r="AD7" s="39">
        <f>資料儲存!E3243</f>
        <v>0</v>
      </c>
      <c r="AE7" s="39">
        <f>資料儲存!F3243</f>
        <v>0</v>
      </c>
      <c r="AF7" s="39">
        <f>資料儲存!G3243</f>
        <v>0</v>
      </c>
      <c r="AG7" s="39">
        <f>資料儲存!H3243</f>
        <v>0</v>
      </c>
      <c r="AH7" s="39">
        <f>資料儲存!I3243</f>
        <v>0</v>
      </c>
      <c r="AI7" s="39">
        <f>資料儲存!J3243</f>
        <v>0</v>
      </c>
      <c r="AJ7" s="58"/>
      <c r="AK7" s="62">
        <v>2</v>
      </c>
      <c r="AL7" s="39">
        <f>資料儲存!D3363</f>
        <v>0</v>
      </c>
      <c r="AM7" s="39">
        <f>資料儲存!E3363</f>
        <v>0</v>
      </c>
      <c r="AN7" s="39">
        <f>資料儲存!F3363</f>
        <v>0</v>
      </c>
      <c r="AO7" s="39">
        <f>資料儲存!G3363</f>
        <v>0</v>
      </c>
      <c r="AP7" s="39">
        <f>資料儲存!H3363</f>
        <v>0</v>
      </c>
      <c r="AQ7" s="39">
        <f>資料儲存!I3363</f>
        <v>0</v>
      </c>
      <c r="AR7" s="39">
        <f>資料儲存!J3363</f>
        <v>0</v>
      </c>
      <c r="AT7" s="62">
        <v>2</v>
      </c>
      <c r="AU7" s="39">
        <f>資料儲存!D3483</f>
        <v>0</v>
      </c>
      <c r="AV7" s="39">
        <f>資料儲存!E3483</f>
        <v>0</v>
      </c>
      <c r="AW7" s="39">
        <f>資料儲存!F3483</f>
        <v>0</v>
      </c>
      <c r="AX7" s="39">
        <f>資料儲存!G3483</f>
        <v>0</v>
      </c>
      <c r="AY7" s="39">
        <f>資料儲存!H3483</f>
        <v>0</v>
      </c>
      <c r="AZ7" s="39">
        <f>資料儲存!I3483</f>
        <v>0</v>
      </c>
      <c r="BA7" s="39">
        <f>資料儲存!J3483</f>
        <v>0</v>
      </c>
    </row>
    <row r="8" spans="1:53" s="59" customFormat="1" ht="16" thickBot="1">
      <c r="A8" s="62">
        <v>3</v>
      </c>
      <c r="B8" s="39">
        <f>資料儲存!D2884</f>
        <v>0</v>
      </c>
      <c r="C8" s="39">
        <f>資料儲存!E2884</f>
        <v>0</v>
      </c>
      <c r="D8" s="39">
        <f>資料儲存!F2884</f>
        <v>0</v>
      </c>
      <c r="E8" s="39">
        <f>資料儲存!G2884</f>
        <v>0</v>
      </c>
      <c r="F8" s="39">
        <f>資料儲存!H2884</f>
        <v>0</v>
      </c>
      <c r="G8" s="39">
        <f>資料儲存!I2884</f>
        <v>0</v>
      </c>
      <c r="H8" s="39">
        <f>資料儲存!J2884</f>
        <v>0</v>
      </c>
      <c r="I8" s="58"/>
      <c r="J8" s="62">
        <v>3</v>
      </c>
      <c r="K8" s="39">
        <f>資料儲存!D3004</f>
        <v>0</v>
      </c>
      <c r="L8" s="39">
        <f>資料儲存!E3004</f>
        <v>0</v>
      </c>
      <c r="M8" s="39">
        <f>資料儲存!F3004</f>
        <v>0</v>
      </c>
      <c r="N8" s="39">
        <f>資料儲存!G3004</f>
        <v>0</v>
      </c>
      <c r="O8" s="39">
        <f>資料儲存!H3004</f>
        <v>0</v>
      </c>
      <c r="P8" s="39">
        <f>資料儲存!I3004</f>
        <v>0</v>
      </c>
      <c r="Q8" s="39">
        <f>資料儲存!J3004</f>
        <v>0</v>
      </c>
      <c r="R8" s="58"/>
      <c r="S8" s="62">
        <v>3</v>
      </c>
      <c r="T8" s="39">
        <f>資料儲存!D3124</f>
        <v>0</v>
      </c>
      <c r="U8" s="39">
        <f>資料儲存!E3124</f>
        <v>0</v>
      </c>
      <c r="V8" s="39">
        <f>資料儲存!F3124</f>
        <v>0</v>
      </c>
      <c r="W8" s="39">
        <f>資料儲存!G3124</f>
        <v>0</v>
      </c>
      <c r="X8" s="39">
        <f>資料儲存!H3124</f>
        <v>0</v>
      </c>
      <c r="Y8" s="39">
        <f>資料儲存!I3124</f>
        <v>0</v>
      </c>
      <c r="Z8" s="39">
        <f>資料儲存!J3124</f>
        <v>0</v>
      </c>
      <c r="AA8" s="58"/>
      <c r="AB8" s="62">
        <v>3</v>
      </c>
      <c r="AC8" s="39">
        <f>資料儲存!D3244</f>
        <v>0</v>
      </c>
      <c r="AD8" s="39">
        <f>資料儲存!E3244</f>
        <v>0</v>
      </c>
      <c r="AE8" s="39">
        <f>資料儲存!F3244</f>
        <v>0</v>
      </c>
      <c r="AF8" s="39">
        <f>資料儲存!G3244</f>
        <v>0</v>
      </c>
      <c r="AG8" s="39">
        <f>資料儲存!H3244</f>
        <v>0</v>
      </c>
      <c r="AH8" s="39">
        <f>資料儲存!I3244</f>
        <v>0</v>
      </c>
      <c r="AI8" s="39">
        <f>資料儲存!J3244</f>
        <v>0</v>
      </c>
      <c r="AJ8" s="58"/>
      <c r="AK8" s="62">
        <v>3</v>
      </c>
      <c r="AL8" s="39">
        <f>資料儲存!D3364</f>
        <v>0</v>
      </c>
      <c r="AM8" s="39">
        <f>資料儲存!E3364</f>
        <v>0</v>
      </c>
      <c r="AN8" s="39">
        <f>資料儲存!F3364</f>
        <v>0</v>
      </c>
      <c r="AO8" s="39">
        <f>資料儲存!G3364</f>
        <v>0</v>
      </c>
      <c r="AP8" s="39">
        <f>資料儲存!H3364</f>
        <v>0</v>
      </c>
      <c r="AQ8" s="39">
        <f>資料儲存!I3364</f>
        <v>0</v>
      </c>
      <c r="AR8" s="39">
        <f>資料儲存!J3364</f>
        <v>0</v>
      </c>
      <c r="AT8" s="62">
        <v>3</v>
      </c>
      <c r="AU8" s="39">
        <f>資料儲存!D3484</f>
        <v>0</v>
      </c>
      <c r="AV8" s="39">
        <f>資料儲存!E3484</f>
        <v>0</v>
      </c>
      <c r="AW8" s="39">
        <f>資料儲存!F3484</f>
        <v>0</v>
      </c>
      <c r="AX8" s="39">
        <f>資料儲存!G3484</f>
        <v>0</v>
      </c>
      <c r="AY8" s="39">
        <f>資料儲存!H3484</f>
        <v>0</v>
      </c>
      <c r="AZ8" s="39">
        <f>資料儲存!I3484</f>
        <v>0</v>
      </c>
      <c r="BA8" s="39">
        <f>資料儲存!J3484</f>
        <v>0</v>
      </c>
    </row>
    <row r="9" spans="1:53" s="59" customFormat="1" ht="16" thickBot="1">
      <c r="A9" s="62">
        <v>4</v>
      </c>
      <c r="B9" s="39">
        <f>資料儲存!D2885</f>
        <v>0</v>
      </c>
      <c r="C9" s="39">
        <f>資料儲存!E2885</f>
        <v>0</v>
      </c>
      <c r="D9" s="39">
        <f>資料儲存!F2885</f>
        <v>0</v>
      </c>
      <c r="E9" s="39">
        <f>資料儲存!G2885</f>
        <v>0</v>
      </c>
      <c r="F9" s="39">
        <f>資料儲存!H2885</f>
        <v>0</v>
      </c>
      <c r="G9" s="39">
        <f>資料儲存!I2885</f>
        <v>0</v>
      </c>
      <c r="H9" s="39">
        <f>資料儲存!J2885</f>
        <v>0</v>
      </c>
      <c r="I9" s="58"/>
      <c r="J9" s="62">
        <v>4</v>
      </c>
      <c r="K9" s="39">
        <f>資料儲存!D3005</f>
        <v>0</v>
      </c>
      <c r="L9" s="39">
        <f>資料儲存!E3005</f>
        <v>0</v>
      </c>
      <c r="M9" s="39">
        <f>資料儲存!F3005</f>
        <v>0</v>
      </c>
      <c r="N9" s="39">
        <f>資料儲存!G3005</f>
        <v>0</v>
      </c>
      <c r="O9" s="39">
        <f>資料儲存!H3005</f>
        <v>0</v>
      </c>
      <c r="P9" s="39">
        <f>資料儲存!I3005</f>
        <v>0</v>
      </c>
      <c r="Q9" s="39">
        <f>資料儲存!J3005</f>
        <v>0</v>
      </c>
      <c r="R9" s="58"/>
      <c r="S9" s="62">
        <v>4</v>
      </c>
      <c r="T9" s="39">
        <f>資料儲存!D3125</f>
        <v>0</v>
      </c>
      <c r="U9" s="39">
        <f>資料儲存!E3125</f>
        <v>0</v>
      </c>
      <c r="V9" s="39">
        <f>資料儲存!F3125</f>
        <v>0</v>
      </c>
      <c r="W9" s="39">
        <f>資料儲存!G3125</f>
        <v>0</v>
      </c>
      <c r="X9" s="39">
        <f>資料儲存!H3125</f>
        <v>0</v>
      </c>
      <c r="Y9" s="39">
        <f>資料儲存!I3125</f>
        <v>0</v>
      </c>
      <c r="Z9" s="39">
        <f>資料儲存!J3125</f>
        <v>0</v>
      </c>
      <c r="AA9" s="58"/>
      <c r="AB9" s="62">
        <v>4</v>
      </c>
      <c r="AC9" s="39">
        <f>資料儲存!D3245</f>
        <v>0</v>
      </c>
      <c r="AD9" s="39">
        <f>資料儲存!E3245</f>
        <v>0</v>
      </c>
      <c r="AE9" s="39">
        <f>資料儲存!F3245</f>
        <v>0</v>
      </c>
      <c r="AF9" s="39">
        <f>資料儲存!G3245</f>
        <v>0</v>
      </c>
      <c r="AG9" s="39">
        <f>資料儲存!H3245</f>
        <v>0</v>
      </c>
      <c r="AH9" s="39">
        <f>資料儲存!I3245</f>
        <v>0</v>
      </c>
      <c r="AI9" s="39">
        <f>資料儲存!J3245</f>
        <v>0</v>
      </c>
      <c r="AJ9" s="58"/>
      <c r="AK9" s="62">
        <v>4</v>
      </c>
      <c r="AL9" s="39">
        <f>資料儲存!D3365</f>
        <v>0</v>
      </c>
      <c r="AM9" s="39">
        <f>資料儲存!E3365</f>
        <v>0</v>
      </c>
      <c r="AN9" s="39">
        <f>資料儲存!F3365</f>
        <v>0</v>
      </c>
      <c r="AO9" s="39">
        <f>資料儲存!G3365</f>
        <v>0</v>
      </c>
      <c r="AP9" s="39">
        <f>資料儲存!H3365</f>
        <v>0</v>
      </c>
      <c r="AQ9" s="39">
        <f>資料儲存!I3365</f>
        <v>0</v>
      </c>
      <c r="AR9" s="39">
        <f>資料儲存!J3365</f>
        <v>0</v>
      </c>
      <c r="AT9" s="62">
        <v>4</v>
      </c>
      <c r="AU9" s="39">
        <f>資料儲存!D3485</f>
        <v>0</v>
      </c>
      <c r="AV9" s="39">
        <f>資料儲存!E3485</f>
        <v>0</v>
      </c>
      <c r="AW9" s="39">
        <f>資料儲存!F3485</f>
        <v>0</v>
      </c>
      <c r="AX9" s="39">
        <f>資料儲存!G3485</f>
        <v>0</v>
      </c>
      <c r="AY9" s="39">
        <f>資料儲存!H3485</f>
        <v>0</v>
      </c>
      <c r="AZ9" s="39">
        <f>資料儲存!I3485</f>
        <v>0</v>
      </c>
      <c r="BA9" s="39">
        <f>資料儲存!J3485</f>
        <v>0</v>
      </c>
    </row>
    <row r="10" spans="1:53" s="59" customFormat="1" ht="16" thickBot="1">
      <c r="A10" s="62">
        <v>5</v>
      </c>
      <c r="B10" s="39">
        <f>資料儲存!D2886</f>
        <v>0</v>
      </c>
      <c r="C10" s="39">
        <f>資料儲存!E2886</f>
        <v>0</v>
      </c>
      <c r="D10" s="39">
        <f>資料儲存!F2886</f>
        <v>0</v>
      </c>
      <c r="E10" s="39">
        <f>資料儲存!G2886</f>
        <v>0</v>
      </c>
      <c r="F10" s="39">
        <f>資料儲存!H2886</f>
        <v>0</v>
      </c>
      <c r="G10" s="39">
        <f>資料儲存!I2886</f>
        <v>0</v>
      </c>
      <c r="H10" s="39">
        <f>資料儲存!J2886</f>
        <v>0</v>
      </c>
      <c r="I10" s="58"/>
      <c r="J10" s="62">
        <v>5</v>
      </c>
      <c r="K10" s="39">
        <f>資料儲存!D3006</f>
        <v>0</v>
      </c>
      <c r="L10" s="39">
        <f>資料儲存!E3006</f>
        <v>0</v>
      </c>
      <c r="M10" s="39">
        <f>資料儲存!F3006</f>
        <v>0</v>
      </c>
      <c r="N10" s="39">
        <f>資料儲存!G3006</f>
        <v>0</v>
      </c>
      <c r="O10" s="39">
        <f>資料儲存!H3006</f>
        <v>0</v>
      </c>
      <c r="P10" s="39">
        <f>資料儲存!I3006</f>
        <v>0</v>
      </c>
      <c r="Q10" s="39">
        <f>資料儲存!J3006</f>
        <v>0</v>
      </c>
      <c r="R10" s="58"/>
      <c r="S10" s="62">
        <v>5</v>
      </c>
      <c r="T10" s="39">
        <f>資料儲存!D3126</f>
        <v>0</v>
      </c>
      <c r="U10" s="39">
        <f>資料儲存!E3126</f>
        <v>0</v>
      </c>
      <c r="V10" s="39">
        <f>資料儲存!F3126</f>
        <v>0</v>
      </c>
      <c r="W10" s="39">
        <f>資料儲存!G3126</f>
        <v>0</v>
      </c>
      <c r="X10" s="39">
        <f>資料儲存!H3126</f>
        <v>0</v>
      </c>
      <c r="Y10" s="39">
        <f>資料儲存!I3126</f>
        <v>0</v>
      </c>
      <c r="Z10" s="39">
        <f>資料儲存!J3126</f>
        <v>0</v>
      </c>
      <c r="AA10" s="58"/>
      <c r="AB10" s="62">
        <v>5</v>
      </c>
      <c r="AC10" s="39">
        <f>資料儲存!D3246</f>
        <v>0</v>
      </c>
      <c r="AD10" s="39">
        <f>資料儲存!E3246</f>
        <v>0</v>
      </c>
      <c r="AE10" s="39">
        <f>資料儲存!F3246</f>
        <v>0</v>
      </c>
      <c r="AF10" s="39">
        <f>資料儲存!G3246</f>
        <v>0</v>
      </c>
      <c r="AG10" s="39">
        <f>資料儲存!H3246</f>
        <v>0</v>
      </c>
      <c r="AH10" s="39">
        <f>資料儲存!I3246</f>
        <v>0</v>
      </c>
      <c r="AI10" s="39">
        <f>資料儲存!J3246</f>
        <v>0</v>
      </c>
      <c r="AJ10" s="58"/>
      <c r="AK10" s="62">
        <v>5</v>
      </c>
      <c r="AL10" s="39">
        <f>資料儲存!D3366</f>
        <v>0</v>
      </c>
      <c r="AM10" s="39">
        <f>資料儲存!E3366</f>
        <v>0</v>
      </c>
      <c r="AN10" s="39">
        <f>資料儲存!F3366</f>
        <v>0</v>
      </c>
      <c r="AO10" s="39">
        <f>資料儲存!G3366</f>
        <v>0</v>
      </c>
      <c r="AP10" s="39">
        <f>資料儲存!H3366</f>
        <v>0</v>
      </c>
      <c r="AQ10" s="39">
        <f>資料儲存!I3366</f>
        <v>0</v>
      </c>
      <c r="AR10" s="39">
        <f>資料儲存!J3366</f>
        <v>0</v>
      </c>
      <c r="AT10" s="62">
        <v>5</v>
      </c>
      <c r="AU10" s="39">
        <f>資料儲存!D3486</f>
        <v>0</v>
      </c>
      <c r="AV10" s="39">
        <f>資料儲存!E3486</f>
        <v>0</v>
      </c>
      <c r="AW10" s="39">
        <f>資料儲存!F3486</f>
        <v>0</v>
      </c>
      <c r="AX10" s="39">
        <f>資料儲存!G3486</f>
        <v>0</v>
      </c>
      <c r="AY10" s="39">
        <f>資料儲存!H3486</f>
        <v>0</v>
      </c>
      <c r="AZ10" s="39">
        <f>資料儲存!I3486</f>
        <v>0</v>
      </c>
      <c r="BA10" s="39">
        <f>資料儲存!J3486</f>
        <v>0</v>
      </c>
    </row>
    <row r="11" spans="1:53" s="59" customFormat="1" ht="16" thickBot="1">
      <c r="A11" s="62">
        <v>6</v>
      </c>
      <c r="B11" s="39">
        <f>資料儲存!D2887</f>
        <v>0</v>
      </c>
      <c r="C11" s="39">
        <f>資料儲存!E2887</f>
        <v>0</v>
      </c>
      <c r="D11" s="39">
        <f>資料儲存!F2887</f>
        <v>0</v>
      </c>
      <c r="E11" s="39">
        <f>資料儲存!G2887</f>
        <v>0</v>
      </c>
      <c r="F11" s="39">
        <f>資料儲存!H2887</f>
        <v>0</v>
      </c>
      <c r="G11" s="39">
        <f>資料儲存!I2887</f>
        <v>0</v>
      </c>
      <c r="H11" s="39">
        <f>資料儲存!J2887</f>
        <v>0</v>
      </c>
      <c r="I11" s="58"/>
      <c r="J11" s="62">
        <v>6</v>
      </c>
      <c r="K11" s="39">
        <f>資料儲存!D3007</f>
        <v>0</v>
      </c>
      <c r="L11" s="39">
        <f>資料儲存!E3007</f>
        <v>0</v>
      </c>
      <c r="M11" s="39">
        <f>資料儲存!F3007</f>
        <v>0</v>
      </c>
      <c r="N11" s="39">
        <f>資料儲存!G3007</f>
        <v>0</v>
      </c>
      <c r="O11" s="39">
        <f>資料儲存!H3007</f>
        <v>0</v>
      </c>
      <c r="P11" s="39">
        <f>資料儲存!I3007</f>
        <v>0</v>
      </c>
      <c r="Q11" s="39">
        <f>資料儲存!J3007</f>
        <v>0</v>
      </c>
      <c r="R11" s="58"/>
      <c r="S11" s="62">
        <v>6</v>
      </c>
      <c r="T11" s="39">
        <f>資料儲存!D3127</f>
        <v>0</v>
      </c>
      <c r="U11" s="39">
        <f>資料儲存!E3127</f>
        <v>0</v>
      </c>
      <c r="V11" s="39">
        <f>資料儲存!F3127</f>
        <v>0</v>
      </c>
      <c r="W11" s="39">
        <f>資料儲存!G3127</f>
        <v>0</v>
      </c>
      <c r="X11" s="39">
        <f>資料儲存!H3127</f>
        <v>0</v>
      </c>
      <c r="Y11" s="39">
        <f>資料儲存!I3127</f>
        <v>0</v>
      </c>
      <c r="Z11" s="39">
        <f>資料儲存!J3127</f>
        <v>0</v>
      </c>
      <c r="AA11" s="58"/>
      <c r="AB11" s="62">
        <v>6</v>
      </c>
      <c r="AC11" s="39">
        <f>資料儲存!D3247</f>
        <v>0</v>
      </c>
      <c r="AD11" s="39">
        <f>資料儲存!E3247</f>
        <v>0</v>
      </c>
      <c r="AE11" s="39">
        <f>資料儲存!F3247</f>
        <v>0</v>
      </c>
      <c r="AF11" s="39">
        <f>資料儲存!G3247</f>
        <v>0</v>
      </c>
      <c r="AG11" s="39">
        <f>資料儲存!H3247</f>
        <v>0</v>
      </c>
      <c r="AH11" s="39">
        <f>資料儲存!I3247</f>
        <v>0</v>
      </c>
      <c r="AI11" s="39">
        <f>資料儲存!J3247</f>
        <v>0</v>
      </c>
      <c r="AJ11" s="58"/>
      <c r="AK11" s="62">
        <v>6</v>
      </c>
      <c r="AL11" s="39">
        <f>資料儲存!D3367</f>
        <v>0</v>
      </c>
      <c r="AM11" s="39">
        <f>資料儲存!E3367</f>
        <v>0</v>
      </c>
      <c r="AN11" s="39">
        <f>資料儲存!F3367</f>
        <v>0</v>
      </c>
      <c r="AO11" s="39">
        <f>資料儲存!G3367</f>
        <v>0</v>
      </c>
      <c r="AP11" s="39">
        <f>資料儲存!H3367</f>
        <v>0</v>
      </c>
      <c r="AQ11" s="39">
        <f>資料儲存!I3367</f>
        <v>0</v>
      </c>
      <c r="AR11" s="39">
        <f>資料儲存!J3367</f>
        <v>0</v>
      </c>
      <c r="AT11" s="62">
        <v>6</v>
      </c>
      <c r="AU11" s="39">
        <f>資料儲存!D3487</f>
        <v>0</v>
      </c>
      <c r="AV11" s="39">
        <f>資料儲存!E3487</f>
        <v>0</v>
      </c>
      <c r="AW11" s="39">
        <f>資料儲存!F3487</f>
        <v>0</v>
      </c>
      <c r="AX11" s="39">
        <f>資料儲存!G3487</f>
        <v>0</v>
      </c>
      <c r="AY11" s="39">
        <f>資料儲存!H3487</f>
        <v>0</v>
      </c>
      <c r="AZ11" s="39">
        <f>資料儲存!I3487</f>
        <v>0</v>
      </c>
      <c r="BA11" s="39">
        <f>資料儲存!J3487</f>
        <v>0</v>
      </c>
    </row>
    <row r="12" spans="1:53" s="59" customFormat="1" ht="16" thickBot="1">
      <c r="A12" s="62">
        <v>7</v>
      </c>
      <c r="B12" s="39">
        <f>資料儲存!D2888</f>
        <v>0</v>
      </c>
      <c r="C12" s="39">
        <f>資料儲存!E2888</f>
        <v>0</v>
      </c>
      <c r="D12" s="39">
        <f>資料儲存!F2888</f>
        <v>0</v>
      </c>
      <c r="E12" s="39">
        <f>資料儲存!G2888</f>
        <v>0</v>
      </c>
      <c r="F12" s="39">
        <f>資料儲存!H2888</f>
        <v>0</v>
      </c>
      <c r="G12" s="39">
        <f>資料儲存!I2888</f>
        <v>0</v>
      </c>
      <c r="H12" s="39">
        <f>資料儲存!J2888</f>
        <v>0</v>
      </c>
      <c r="I12" s="58"/>
      <c r="J12" s="62">
        <v>7</v>
      </c>
      <c r="K12" s="39">
        <f>資料儲存!D3008</f>
        <v>0</v>
      </c>
      <c r="L12" s="39">
        <f>資料儲存!E3008</f>
        <v>0</v>
      </c>
      <c r="M12" s="39">
        <f>資料儲存!F3008</f>
        <v>0</v>
      </c>
      <c r="N12" s="39">
        <f>資料儲存!G3008</f>
        <v>0</v>
      </c>
      <c r="O12" s="39">
        <f>資料儲存!H3008</f>
        <v>0</v>
      </c>
      <c r="P12" s="39">
        <f>資料儲存!I3008</f>
        <v>0</v>
      </c>
      <c r="Q12" s="39">
        <f>資料儲存!J3008</f>
        <v>0</v>
      </c>
      <c r="R12" s="58"/>
      <c r="S12" s="62">
        <v>7</v>
      </c>
      <c r="T12" s="39">
        <f>資料儲存!D3128</f>
        <v>0</v>
      </c>
      <c r="U12" s="39">
        <f>資料儲存!E3128</f>
        <v>0</v>
      </c>
      <c r="V12" s="39">
        <f>資料儲存!F3128</f>
        <v>0</v>
      </c>
      <c r="W12" s="39">
        <f>資料儲存!G3128</f>
        <v>0</v>
      </c>
      <c r="X12" s="39">
        <f>資料儲存!H3128</f>
        <v>0</v>
      </c>
      <c r="Y12" s="39">
        <f>資料儲存!I3128</f>
        <v>0</v>
      </c>
      <c r="Z12" s="39">
        <f>資料儲存!J3128</f>
        <v>0</v>
      </c>
      <c r="AA12" s="58"/>
      <c r="AB12" s="62">
        <v>7</v>
      </c>
      <c r="AC12" s="39">
        <f>資料儲存!D3248</f>
        <v>0</v>
      </c>
      <c r="AD12" s="39">
        <f>資料儲存!E3248</f>
        <v>0</v>
      </c>
      <c r="AE12" s="39">
        <f>資料儲存!F3248</f>
        <v>0</v>
      </c>
      <c r="AF12" s="39">
        <f>資料儲存!G3248</f>
        <v>0</v>
      </c>
      <c r="AG12" s="39">
        <f>資料儲存!H3248</f>
        <v>0</v>
      </c>
      <c r="AH12" s="39">
        <f>資料儲存!I3248</f>
        <v>0</v>
      </c>
      <c r="AI12" s="39">
        <f>資料儲存!J3248</f>
        <v>0</v>
      </c>
      <c r="AJ12" s="58"/>
      <c r="AK12" s="62">
        <v>7</v>
      </c>
      <c r="AL12" s="39">
        <f>資料儲存!D3368</f>
        <v>0</v>
      </c>
      <c r="AM12" s="39">
        <f>資料儲存!E3368</f>
        <v>0</v>
      </c>
      <c r="AN12" s="39">
        <f>資料儲存!F3368</f>
        <v>0</v>
      </c>
      <c r="AO12" s="39">
        <f>資料儲存!G3368</f>
        <v>0</v>
      </c>
      <c r="AP12" s="39">
        <f>資料儲存!H3368</f>
        <v>0</v>
      </c>
      <c r="AQ12" s="39">
        <f>資料儲存!I3368</f>
        <v>0</v>
      </c>
      <c r="AR12" s="39">
        <f>資料儲存!J3368</f>
        <v>0</v>
      </c>
      <c r="AT12" s="62">
        <v>7</v>
      </c>
      <c r="AU12" s="39">
        <f>資料儲存!D3488</f>
        <v>0</v>
      </c>
      <c r="AV12" s="39">
        <f>資料儲存!E3488</f>
        <v>0</v>
      </c>
      <c r="AW12" s="39">
        <f>資料儲存!F3488</f>
        <v>0</v>
      </c>
      <c r="AX12" s="39">
        <f>資料儲存!G3488</f>
        <v>0</v>
      </c>
      <c r="AY12" s="39">
        <f>資料儲存!H3488</f>
        <v>0</v>
      </c>
      <c r="AZ12" s="39">
        <f>資料儲存!I3488</f>
        <v>0</v>
      </c>
      <c r="BA12" s="39">
        <f>資料儲存!J3488</f>
        <v>0</v>
      </c>
    </row>
    <row r="13" spans="1:53" s="59" customFormat="1" ht="16" thickBot="1">
      <c r="A13" s="62">
        <v>8</v>
      </c>
      <c r="B13" s="39">
        <f>資料儲存!D2889</f>
        <v>0</v>
      </c>
      <c r="C13" s="39">
        <f>資料儲存!E2889</f>
        <v>0</v>
      </c>
      <c r="D13" s="39">
        <f>資料儲存!F2889</f>
        <v>0</v>
      </c>
      <c r="E13" s="39">
        <f>資料儲存!G2889</f>
        <v>0</v>
      </c>
      <c r="F13" s="39">
        <f>資料儲存!H2889</f>
        <v>0</v>
      </c>
      <c r="G13" s="39">
        <f>資料儲存!I2889</f>
        <v>0</v>
      </c>
      <c r="H13" s="39">
        <f>資料儲存!J2889</f>
        <v>0</v>
      </c>
      <c r="I13" s="58"/>
      <c r="J13" s="62">
        <v>8</v>
      </c>
      <c r="K13" s="39">
        <f>資料儲存!D3009</f>
        <v>0</v>
      </c>
      <c r="L13" s="39">
        <f>資料儲存!E3009</f>
        <v>0</v>
      </c>
      <c r="M13" s="39">
        <f>資料儲存!F3009</f>
        <v>0</v>
      </c>
      <c r="N13" s="39">
        <f>資料儲存!G3009</f>
        <v>0</v>
      </c>
      <c r="O13" s="39">
        <f>資料儲存!H3009</f>
        <v>0</v>
      </c>
      <c r="P13" s="39">
        <f>資料儲存!I3009</f>
        <v>0</v>
      </c>
      <c r="Q13" s="39">
        <f>資料儲存!J3009</f>
        <v>0</v>
      </c>
      <c r="R13" s="58"/>
      <c r="S13" s="62">
        <v>8</v>
      </c>
      <c r="T13" s="39">
        <f>資料儲存!D3129</f>
        <v>0</v>
      </c>
      <c r="U13" s="39">
        <f>資料儲存!E3129</f>
        <v>0</v>
      </c>
      <c r="V13" s="39">
        <f>資料儲存!F3129</f>
        <v>0</v>
      </c>
      <c r="W13" s="39">
        <f>資料儲存!G3129</f>
        <v>0</v>
      </c>
      <c r="X13" s="39">
        <f>資料儲存!H3129</f>
        <v>0</v>
      </c>
      <c r="Y13" s="39">
        <f>資料儲存!I3129</f>
        <v>0</v>
      </c>
      <c r="Z13" s="39">
        <f>資料儲存!J3129</f>
        <v>0</v>
      </c>
      <c r="AA13" s="58"/>
      <c r="AB13" s="62">
        <v>8</v>
      </c>
      <c r="AC13" s="39">
        <f>資料儲存!D3249</f>
        <v>0</v>
      </c>
      <c r="AD13" s="39">
        <f>資料儲存!E3249</f>
        <v>0</v>
      </c>
      <c r="AE13" s="39">
        <f>資料儲存!F3249</f>
        <v>0</v>
      </c>
      <c r="AF13" s="39">
        <f>資料儲存!G3249</f>
        <v>0</v>
      </c>
      <c r="AG13" s="39">
        <f>資料儲存!H3249</f>
        <v>0</v>
      </c>
      <c r="AH13" s="39">
        <f>資料儲存!I3249</f>
        <v>0</v>
      </c>
      <c r="AI13" s="39">
        <f>資料儲存!J3249</f>
        <v>0</v>
      </c>
      <c r="AJ13" s="58"/>
      <c r="AK13" s="62">
        <v>8</v>
      </c>
      <c r="AL13" s="39">
        <f>資料儲存!D3369</f>
        <v>0</v>
      </c>
      <c r="AM13" s="39">
        <f>資料儲存!E3369</f>
        <v>0</v>
      </c>
      <c r="AN13" s="39">
        <f>資料儲存!F3369</f>
        <v>0</v>
      </c>
      <c r="AO13" s="39">
        <f>資料儲存!G3369</f>
        <v>0</v>
      </c>
      <c r="AP13" s="39">
        <f>資料儲存!H3369</f>
        <v>0</v>
      </c>
      <c r="AQ13" s="39">
        <f>資料儲存!I3369</f>
        <v>0</v>
      </c>
      <c r="AR13" s="39">
        <f>資料儲存!J3369</f>
        <v>0</v>
      </c>
      <c r="AT13" s="62">
        <v>8</v>
      </c>
      <c r="AU13" s="39">
        <f>資料儲存!D3489</f>
        <v>0</v>
      </c>
      <c r="AV13" s="39">
        <f>資料儲存!E3489</f>
        <v>0</v>
      </c>
      <c r="AW13" s="39">
        <f>資料儲存!F3489</f>
        <v>0</v>
      </c>
      <c r="AX13" s="39">
        <f>資料儲存!G3489</f>
        <v>0</v>
      </c>
      <c r="AY13" s="39">
        <f>資料儲存!H3489</f>
        <v>0</v>
      </c>
      <c r="AZ13" s="39">
        <f>資料儲存!I3489</f>
        <v>0</v>
      </c>
      <c r="BA13" s="39">
        <f>資料儲存!J3489</f>
        <v>0</v>
      </c>
    </row>
    <row r="14" spans="1:53" s="59" customFormat="1" ht="16" thickBot="1">
      <c r="A14" s="62">
        <v>9</v>
      </c>
      <c r="B14" s="39">
        <f>資料儲存!D2890</f>
        <v>0</v>
      </c>
      <c r="C14" s="39">
        <f>資料儲存!E2890</f>
        <v>0</v>
      </c>
      <c r="D14" s="39">
        <f>資料儲存!F2890</f>
        <v>0</v>
      </c>
      <c r="E14" s="39">
        <f>資料儲存!G2890</f>
        <v>0</v>
      </c>
      <c r="F14" s="39">
        <f>資料儲存!H2890</f>
        <v>0</v>
      </c>
      <c r="G14" s="39">
        <f>資料儲存!I2890</f>
        <v>0</v>
      </c>
      <c r="H14" s="39">
        <f>資料儲存!J2890</f>
        <v>0</v>
      </c>
      <c r="I14" s="58"/>
      <c r="J14" s="62">
        <v>9</v>
      </c>
      <c r="K14" s="39">
        <f>資料儲存!D3010</f>
        <v>0</v>
      </c>
      <c r="L14" s="39">
        <f>資料儲存!E3010</f>
        <v>0</v>
      </c>
      <c r="M14" s="39">
        <f>資料儲存!F3010</f>
        <v>0</v>
      </c>
      <c r="N14" s="39">
        <f>資料儲存!G3010</f>
        <v>0</v>
      </c>
      <c r="O14" s="39">
        <f>資料儲存!H3010</f>
        <v>0</v>
      </c>
      <c r="P14" s="39">
        <f>資料儲存!I3010</f>
        <v>0</v>
      </c>
      <c r="Q14" s="39">
        <f>資料儲存!J3010</f>
        <v>0</v>
      </c>
      <c r="R14" s="58"/>
      <c r="S14" s="62">
        <v>9</v>
      </c>
      <c r="T14" s="39">
        <f>資料儲存!D3130</f>
        <v>0</v>
      </c>
      <c r="U14" s="39">
        <f>資料儲存!E3130</f>
        <v>0</v>
      </c>
      <c r="V14" s="39">
        <f>資料儲存!F3130</f>
        <v>0</v>
      </c>
      <c r="W14" s="39">
        <f>資料儲存!G3130</f>
        <v>0</v>
      </c>
      <c r="X14" s="39">
        <f>資料儲存!H3130</f>
        <v>0</v>
      </c>
      <c r="Y14" s="39">
        <f>資料儲存!I3130</f>
        <v>0</v>
      </c>
      <c r="Z14" s="39">
        <f>資料儲存!J3130</f>
        <v>0</v>
      </c>
      <c r="AA14" s="58"/>
      <c r="AB14" s="62">
        <v>9</v>
      </c>
      <c r="AC14" s="39">
        <f>資料儲存!D3250</f>
        <v>0</v>
      </c>
      <c r="AD14" s="39">
        <f>資料儲存!E3250</f>
        <v>0</v>
      </c>
      <c r="AE14" s="39">
        <f>資料儲存!F3250</f>
        <v>0</v>
      </c>
      <c r="AF14" s="39">
        <f>資料儲存!G3250</f>
        <v>0</v>
      </c>
      <c r="AG14" s="39">
        <f>資料儲存!H3250</f>
        <v>0</v>
      </c>
      <c r="AH14" s="39">
        <f>資料儲存!I3250</f>
        <v>0</v>
      </c>
      <c r="AI14" s="39">
        <f>資料儲存!J3250</f>
        <v>0</v>
      </c>
      <c r="AJ14" s="58"/>
      <c r="AK14" s="62">
        <v>9</v>
      </c>
      <c r="AL14" s="39">
        <f>資料儲存!D3370</f>
        <v>0</v>
      </c>
      <c r="AM14" s="39">
        <f>資料儲存!E3370</f>
        <v>0</v>
      </c>
      <c r="AN14" s="39">
        <f>資料儲存!F3370</f>
        <v>0</v>
      </c>
      <c r="AO14" s="39">
        <f>資料儲存!G3370</f>
        <v>0</v>
      </c>
      <c r="AP14" s="39">
        <f>資料儲存!H3370</f>
        <v>0</v>
      </c>
      <c r="AQ14" s="39">
        <f>資料儲存!I3370</f>
        <v>0</v>
      </c>
      <c r="AR14" s="39">
        <f>資料儲存!J3370</f>
        <v>0</v>
      </c>
      <c r="AT14" s="62">
        <v>9</v>
      </c>
      <c r="AU14" s="39">
        <f>資料儲存!D3490</f>
        <v>0</v>
      </c>
      <c r="AV14" s="39">
        <f>資料儲存!E3490</f>
        <v>0</v>
      </c>
      <c r="AW14" s="39">
        <f>資料儲存!F3490</f>
        <v>0</v>
      </c>
      <c r="AX14" s="39">
        <f>資料儲存!G3490</f>
        <v>0</v>
      </c>
      <c r="AY14" s="39">
        <f>資料儲存!H3490</f>
        <v>0</v>
      </c>
      <c r="AZ14" s="39">
        <f>資料儲存!I3490</f>
        <v>0</v>
      </c>
      <c r="BA14" s="39">
        <f>資料儲存!J3490</f>
        <v>0</v>
      </c>
    </row>
    <row r="15" spans="1:53" s="59" customFormat="1" ht="16" thickBot="1">
      <c r="A15" s="62">
        <v>10</v>
      </c>
      <c r="B15" s="39">
        <f>資料儲存!D2891</f>
        <v>0</v>
      </c>
      <c r="C15" s="39">
        <f>資料儲存!E2891</f>
        <v>0</v>
      </c>
      <c r="D15" s="39">
        <f>資料儲存!F2891</f>
        <v>0</v>
      </c>
      <c r="E15" s="39">
        <f>資料儲存!G2891</f>
        <v>0</v>
      </c>
      <c r="F15" s="39">
        <f>資料儲存!H2891</f>
        <v>0</v>
      </c>
      <c r="G15" s="39">
        <f>資料儲存!I2891</f>
        <v>0</v>
      </c>
      <c r="H15" s="39">
        <f>資料儲存!J2891</f>
        <v>0</v>
      </c>
      <c r="I15" s="58"/>
      <c r="J15" s="62">
        <v>10</v>
      </c>
      <c r="K15" s="39">
        <f>資料儲存!D3011</f>
        <v>0</v>
      </c>
      <c r="L15" s="39">
        <f>資料儲存!E3011</f>
        <v>0</v>
      </c>
      <c r="M15" s="39">
        <f>資料儲存!F3011</f>
        <v>0</v>
      </c>
      <c r="N15" s="39">
        <f>資料儲存!G3011</f>
        <v>0</v>
      </c>
      <c r="O15" s="39">
        <f>資料儲存!H3011</f>
        <v>0</v>
      </c>
      <c r="P15" s="39">
        <f>資料儲存!I3011</f>
        <v>0</v>
      </c>
      <c r="Q15" s="39">
        <f>資料儲存!J3011</f>
        <v>0</v>
      </c>
      <c r="R15" s="58"/>
      <c r="S15" s="62">
        <v>10</v>
      </c>
      <c r="T15" s="39">
        <f>資料儲存!D3131</f>
        <v>0</v>
      </c>
      <c r="U15" s="39">
        <f>資料儲存!E3131</f>
        <v>0</v>
      </c>
      <c r="V15" s="39">
        <f>資料儲存!F3131</f>
        <v>0</v>
      </c>
      <c r="W15" s="39">
        <f>資料儲存!G3131</f>
        <v>0</v>
      </c>
      <c r="X15" s="39">
        <f>資料儲存!H3131</f>
        <v>0</v>
      </c>
      <c r="Y15" s="39">
        <f>資料儲存!I3131</f>
        <v>0</v>
      </c>
      <c r="Z15" s="39">
        <f>資料儲存!J3131</f>
        <v>0</v>
      </c>
      <c r="AA15" s="58"/>
      <c r="AB15" s="62">
        <v>10</v>
      </c>
      <c r="AC15" s="39">
        <f>資料儲存!D3251</f>
        <v>0</v>
      </c>
      <c r="AD15" s="39">
        <f>資料儲存!E3251</f>
        <v>0</v>
      </c>
      <c r="AE15" s="39">
        <f>資料儲存!F3251</f>
        <v>0</v>
      </c>
      <c r="AF15" s="39">
        <f>資料儲存!G3251</f>
        <v>0</v>
      </c>
      <c r="AG15" s="39">
        <f>資料儲存!H3251</f>
        <v>0</v>
      </c>
      <c r="AH15" s="39">
        <f>資料儲存!I3251</f>
        <v>0</v>
      </c>
      <c r="AI15" s="39">
        <f>資料儲存!J3251</f>
        <v>0</v>
      </c>
      <c r="AJ15" s="58"/>
      <c r="AK15" s="62">
        <v>10</v>
      </c>
      <c r="AL15" s="39">
        <f>資料儲存!D3371</f>
        <v>0</v>
      </c>
      <c r="AM15" s="39">
        <f>資料儲存!E3371</f>
        <v>0</v>
      </c>
      <c r="AN15" s="39">
        <f>資料儲存!F3371</f>
        <v>0</v>
      </c>
      <c r="AO15" s="39">
        <f>資料儲存!G3371</f>
        <v>0</v>
      </c>
      <c r="AP15" s="39">
        <f>資料儲存!H3371</f>
        <v>0</v>
      </c>
      <c r="AQ15" s="39">
        <f>資料儲存!I3371</f>
        <v>0</v>
      </c>
      <c r="AR15" s="39">
        <f>資料儲存!J3371</f>
        <v>0</v>
      </c>
      <c r="AT15" s="62">
        <v>10</v>
      </c>
      <c r="AU15" s="39">
        <f>資料儲存!D3491</f>
        <v>0</v>
      </c>
      <c r="AV15" s="39">
        <f>資料儲存!E3491</f>
        <v>0</v>
      </c>
      <c r="AW15" s="39">
        <f>資料儲存!F3491</f>
        <v>0</v>
      </c>
      <c r="AX15" s="39">
        <f>資料儲存!G3491</f>
        <v>0</v>
      </c>
      <c r="AY15" s="39">
        <f>資料儲存!H3491</f>
        <v>0</v>
      </c>
      <c r="AZ15" s="39">
        <f>資料儲存!I3491</f>
        <v>0</v>
      </c>
      <c r="BA15" s="39">
        <f>資料儲存!J3491</f>
        <v>0</v>
      </c>
    </row>
    <row r="16" spans="1:53" s="59" customFormat="1" ht="16" thickBot="1">
      <c r="A16" s="62">
        <v>11</v>
      </c>
      <c r="B16" s="39">
        <f>資料儲存!D2892</f>
        <v>0</v>
      </c>
      <c r="C16" s="39">
        <f>資料儲存!E2892</f>
        <v>0</v>
      </c>
      <c r="D16" s="39">
        <f>資料儲存!F2892</f>
        <v>0</v>
      </c>
      <c r="E16" s="39">
        <f>資料儲存!G2892</f>
        <v>0</v>
      </c>
      <c r="F16" s="39">
        <f>資料儲存!H2892</f>
        <v>0</v>
      </c>
      <c r="G16" s="39">
        <f>資料儲存!I2892</f>
        <v>0</v>
      </c>
      <c r="H16" s="39">
        <f>資料儲存!J2892</f>
        <v>0</v>
      </c>
      <c r="I16" s="58"/>
      <c r="J16" s="62">
        <v>11</v>
      </c>
      <c r="K16" s="39">
        <f>資料儲存!D3012</f>
        <v>0</v>
      </c>
      <c r="L16" s="39">
        <f>資料儲存!E3012</f>
        <v>0</v>
      </c>
      <c r="M16" s="39">
        <f>資料儲存!F3012</f>
        <v>0</v>
      </c>
      <c r="N16" s="39">
        <f>資料儲存!G3012</f>
        <v>0</v>
      </c>
      <c r="O16" s="39">
        <f>資料儲存!H3012</f>
        <v>0</v>
      </c>
      <c r="P16" s="39">
        <f>資料儲存!I3012</f>
        <v>0</v>
      </c>
      <c r="Q16" s="39">
        <f>資料儲存!J3012</f>
        <v>0</v>
      </c>
      <c r="R16" s="58"/>
      <c r="S16" s="62">
        <v>11</v>
      </c>
      <c r="T16" s="39">
        <f>資料儲存!D3132</f>
        <v>0</v>
      </c>
      <c r="U16" s="39">
        <f>資料儲存!E3132</f>
        <v>0</v>
      </c>
      <c r="V16" s="39">
        <f>資料儲存!F3132</f>
        <v>0</v>
      </c>
      <c r="W16" s="39">
        <f>資料儲存!G3132</f>
        <v>0</v>
      </c>
      <c r="X16" s="39">
        <f>資料儲存!H3132</f>
        <v>0</v>
      </c>
      <c r="Y16" s="39">
        <f>資料儲存!I3132</f>
        <v>0</v>
      </c>
      <c r="Z16" s="39">
        <f>資料儲存!J3132</f>
        <v>0</v>
      </c>
      <c r="AA16" s="58"/>
      <c r="AB16" s="62">
        <v>11</v>
      </c>
      <c r="AC16" s="39">
        <f>資料儲存!D3252</f>
        <v>0</v>
      </c>
      <c r="AD16" s="39">
        <f>資料儲存!E3252</f>
        <v>0</v>
      </c>
      <c r="AE16" s="39">
        <f>資料儲存!F3252</f>
        <v>0</v>
      </c>
      <c r="AF16" s="39">
        <f>資料儲存!G3252</f>
        <v>0</v>
      </c>
      <c r="AG16" s="39">
        <f>資料儲存!H3252</f>
        <v>0</v>
      </c>
      <c r="AH16" s="39">
        <f>資料儲存!I3252</f>
        <v>0</v>
      </c>
      <c r="AI16" s="39">
        <f>資料儲存!J3252</f>
        <v>0</v>
      </c>
      <c r="AJ16" s="58"/>
      <c r="AK16" s="62">
        <v>11</v>
      </c>
      <c r="AL16" s="39">
        <f>資料儲存!D3372</f>
        <v>0</v>
      </c>
      <c r="AM16" s="39">
        <f>資料儲存!E3372</f>
        <v>0</v>
      </c>
      <c r="AN16" s="39">
        <f>資料儲存!F3372</f>
        <v>0</v>
      </c>
      <c r="AO16" s="39">
        <f>資料儲存!G3372</f>
        <v>0</v>
      </c>
      <c r="AP16" s="39">
        <f>資料儲存!H3372</f>
        <v>0</v>
      </c>
      <c r="AQ16" s="39">
        <f>資料儲存!I3372</f>
        <v>0</v>
      </c>
      <c r="AR16" s="39">
        <f>資料儲存!J3372</f>
        <v>0</v>
      </c>
      <c r="AT16" s="62">
        <v>11</v>
      </c>
      <c r="AU16" s="39">
        <f>資料儲存!D3492</f>
        <v>0</v>
      </c>
      <c r="AV16" s="39">
        <f>資料儲存!E3492</f>
        <v>0</v>
      </c>
      <c r="AW16" s="39">
        <f>資料儲存!F3492</f>
        <v>0</v>
      </c>
      <c r="AX16" s="39">
        <f>資料儲存!G3492</f>
        <v>0</v>
      </c>
      <c r="AY16" s="39">
        <f>資料儲存!H3492</f>
        <v>0</v>
      </c>
      <c r="AZ16" s="39">
        <f>資料儲存!I3492</f>
        <v>0</v>
      </c>
      <c r="BA16" s="39">
        <f>資料儲存!J3492</f>
        <v>0</v>
      </c>
    </row>
    <row r="17" spans="1:53" s="59" customFormat="1" ht="16" thickBot="1">
      <c r="A17" s="62">
        <v>12</v>
      </c>
      <c r="B17" s="39">
        <f>資料儲存!D2893</f>
        <v>0</v>
      </c>
      <c r="C17" s="39">
        <f>資料儲存!E2893</f>
        <v>0</v>
      </c>
      <c r="D17" s="39">
        <f>資料儲存!F2893</f>
        <v>0</v>
      </c>
      <c r="E17" s="39">
        <f>資料儲存!G2893</f>
        <v>0</v>
      </c>
      <c r="F17" s="39">
        <f>資料儲存!H2893</f>
        <v>0</v>
      </c>
      <c r="G17" s="39">
        <f>資料儲存!I2893</f>
        <v>0</v>
      </c>
      <c r="H17" s="39">
        <f>資料儲存!J2893</f>
        <v>0</v>
      </c>
      <c r="I17" s="58"/>
      <c r="J17" s="62">
        <v>12</v>
      </c>
      <c r="K17" s="39">
        <f>資料儲存!D3013</f>
        <v>0</v>
      </c>
      <c r="L17" s="39">
        <f>資料儲存!E3013</f>
        <v>0</v>
      </c>
      <c r="M17" s="39">
        <f>資料儲存!F3013</f>
        <v>0</v>
      </c>
      <c r="N17" s="39">
        <f>資料儲存!G3013</f>
        <v>0</v>
      </c>
      <c r="O17" s="39">
        <f>資料儲存!H3013</f>
        <v>0</v>
      </c>
      <c r="P17" s="39">
        <f>資料儲存!I3013</f>
        <v>0</v>
      </c>
      <c r="Q17" s="39">
        <f>資料儲存!J3013</f>
        <v>0</v>
      </c>
      <c r="R17" s="58"/>
      <c r="S17" s="62">
        <v>12</v>
      </c>
      <c r="T17" s="39">
        <f>資料儲存!D3133</f>
        <v>0</v>
      </c>
      <c r="U17" s="39">
        <f>資料儲存!E3133</f>
        <v>0</v>
      </c>
      <c r="V17" s="39">
        <f>資料儲存!F3133</f>
        <v>0</v>
      </c>
      <c r="W17" s="39">
        <f>資料儲存!G3133</f>
        <v>0</v>
      </c>
      <c r="X17" s="39">
        <f>資料儲存!H3133</f>
        <v>0</v>
      </c>
      <c r="Y17" s="39">
        <f>資料儲存!I3133</f>
        <v>0</v>
      </c>
      <c r="Z17" s="39">
        <f>資料儲存!J3133</f>
        <v>0</v>
      </c>
      <c r="AA17" s="58"/>
      <c r="AB17" s="62">
        <v>12</v>
      </c>
      <c r="AC17" s="39">
        <f>資料儲存!D3253</f>
        <v>0</v>
      </c>
      <c r="AD17" s="39">
        <f>資料儲存!E3253</f>
        <v>0</v>
      </c>
      <c r="AE17" s="39">
        <f>資料儲存!F3253</f>
        <v>0</v>
      </c>
      <c r="AF17" s="39">
        <f>資料儲存!G3253</f>
        <v>0</v>
      </c>
      <c r="AG17" s="39">
        <f>資料儲存!H3253</f>
        <v>0</v>
      </c>
      <c r="AH17" s="39">
        <f>資料儲存!I3253</f>
        <v>0</v>
      </c>
      <c r="AI17" s="39">
        <f>資料儲存!J3253</f>
        <v>0</v>
      </c>
      <c r="AJ17" s="58"/>
      <c r="AK17" s="62">
        <v>12</v>
      </c>
      <c r="AL17" s="39">
        <f>資料儲存!D3373</f>
        <v>0</v>
      </c>
      <c r="AM17" s="39">
        <f>資料儲存!E3373</f>
        <v>0</v>
      </c>
      <c r="AN17" s="39">
        <f>資料儲存!F3373</f>
        <v>0</v>
      </c>
      <c r="AO17" s="39">
        <f>資料儲存!G3373</f>
        <v>0</v>
      </c>
      <c r="AP17" s="39">
        <f>資料儲存!H3373</f>
        <v>0</v>
      </c>
      <c r="AQ17" s="39">
        <f>資料儲存!I3373</f>
        <v>0</v>
      </c>
      <c r="AR17" s="39">
        <f>資料儲存!J3373</f>
        <v>0</v>
      </c>
      <c r="AT17" s="62">
        <v>12</v>
      </c>
      <c r="AU17" s="39">
        <f>資料儲存!D3493</f>
        <v>0</v>
      </c>
      <c r="AV17" s="39">
        <f>資料儲存!E3493</f>
        <v>0</v>
      </c>
      <c r="AW17" s="39">
        <f>資料儲存!F3493</f>
        <v>0</v>
      </c>
      <c r="AX17" s="39">
        <f>資料儲存!G3493</f>
        <v>0</v>
      </c>
      <c r="AY17" s="39">
        <f>資料儲存!H3493</f>
        <v>0</v>
      </c>
      <c r="AZ17" s="39">
        <f>資料儲存!I3493</f>
        <v>0</v>
      </c>
      <c r="BA17" s="39">
        <f>資料儲存!J3493</f>
        <v>0</v>
      </c>
    </row>
    <row r="18" spans="1:53" s="59" customFormat="1" ht="16" thickBot="1">
      <c r="A18" s="62">
        <v>13</v>
      </c>
      <c r="B18" s="39">
        <f>資料儲存!D2894</f>
        <v>0</v>
      </c>
      <c r="C18" s="39">
        <f>資料儲存!E2894</f>
        <v>0</v>
      </c>
      <c r="D18" s="39">
        <f>資料儲存!F2894</f>
        <v>0</v>
      </c>
      <c r="E18" s="39">
        <f>資料儲存!G2894</f>
        <v>0</v>
      </c>
      <c r="F18" s="39">
        <f>資料儲存!H2894</f>
        <v>0</v>
      </c>
      <c r="G18" s="39">
        <f>資料儲存!I2894</f>
        <v>0</v>
      </c>
      <c r="H18" s="39">
        <f>資料儲存!J2894</f>
        <v>0</v>
      </c>
      <c r="I18" s="58"/>
      <c r="J18" s="62">
        <v>13</v>
      </c>
      <c r="K18" s="39">
        <f>資料儲存!D3014</f>
        <v>0</v>
      </c>
      <c r="L18" s="39">
        <f>資料儲存!E3014</f>
        <v>0</v>
      </c>
      <c r="M18" s="39">
        <f>資料儲存!F3014</f>
        <v>0</v>
      </c>
      <c r="N18" s="39">
        <f>資料儲存!G3014</f>
        <v>0</v>
      </c>
      <c r="O18" s="39">
        <f>資料儲存!H3014</f>
        <v>0</v>
      </c>
      <c r="P18" s="39">
        <f>資料儲存!I3014</f>
        <v>0</v>
      </c>
      <c r="Q18" s="39">
        <f>資料儲存!J3014</f>
        <v>0</v>
      </c>
      <c r="R18" s="58"/>
      <c r="S18" s="62">
        <v>13</v>
      </c>
      <c r="T18" s="39">
        <f>資料儲存!D3134</f>
        <v>0</v>
      </c>
      <c r="U18" s="39">
        <f>資料儲存!E3134</f>
        <v>0</v>
      </c>
      <c r="V18" s="39">
        <f>資料儲存!F3134</f>
        <v>0</v>
      </c>
      <c r="W18" s="39">
        <f>資料儲存!G3134</f>
        <v>0</v>
      </c>
      <c r="X18" s="39">
        <f>資料儲存!H3134</f>
        <v>0</v>
      </c>
      <c r="Y18" s="39">
        <f>資料儲存!I3134</f>
        <v>0</v>
      </c>
      <c r="Z18" s="39">
        <f>資料儲存!J3134</f>
        <v>0</v>
      </c>
      <c r="AA18" s="58"/>
      <c r="AB18" s="62">
        <v>13</v>
      </c>
      <c r="AC18" s="39">
        <f>資料儲存!D3254</f>
        <v>0</v>
      </c>
      <c r="AD18" s="39">
        <f>資料儲存!E3254</f>
        <v>0</v>
      </c>
      <c r="AE18" s="39">
        <f>資料儲存!F3254</f>
        <v>0</v>
      </c>
      <c r="AF18" s="39">
        <f>資料儲存!G3254</f>
        <v>0</v>
      </c>
      <c r="AG18" s="39">
        <f>資料儲存!H3254</f>
        <v>0</v>
      </c>
      <c r="AH18" s="39">
        <f>資料儲存!I3254</f>
        <v>0</v>
      </c>
      <c r="AI18" s="39">
        <f>資料儲存!J3254</f>
        <v>0</v>
      </c>
      <c r="AJ18" s="58"/>
      <c r="AK18" s="62">
        <v>13</v>
      </c>
      <c r="AL18" s="39">
        <f>資料儲存!D3374</f>
        <v>0</v>
      </c>
      <c r="AM18" s="39">
        <f>資料儲存!E3374</f>
        <v>0</v>
      </c>
      <c r="AN18" s="39">
        <f>資料儲存!F3374</f>
        <v>0</v>
      </c>
      <c r="AO18" s="39">
        <f>資料儲存!G3374</f>
        <v>0</v>
      </c>
      <c r="AP18" s="39">
        <f>資料儲存!H3374</f>
        <v>0</v>
      </c>
      <c r="AQ18" s="39">
        <f>資料儲存!I3374</f>
        <v>0</v>
      </c>
      <c r="AR18" s="39">
        <f>資料儲存!J3374</f>
        <v>0</v>
      </c>
      <c r="AT18" s="62">
        <v>13</v>
      </c>
      <c r="AU18" s="39">
        <f>資料儲存!D3494</f>
        <v>0</v>
      </c>
      <c r="AV18" s="39">
        <f>資料儲存!E3494</f>
        <v>0</v>
      </c>
      <c r="AW18" s="39">
        <f>資料儲存!F3494</f>
        <v>0</v>
      </c>
      <c r="AX18" s="39">
        <f>資料儲存!G3494</f>
        <v>0</v>
      </c>
      <c r="AY18" s="39">
        <f>資料儲存!H3494</f>
        <v>0</v>
      </c>
      <c r="AZ18" s="39">
        <f>資料儲存!I3494</f>
        <v>0</v>
      </c>
      <c r="BA18" s="39">
        <f>資料儲存!J3494</f>
        <v>0</v>
      </c>
    </row>
    <row r="19" spans="1:53" s="59" customFormat="1" ht="16" thickBot="1">
      <c r="A19" s="62">
        <v>14</v>
      </c>
      <c r="B19" s="39">
        <f>資料儲存!D2895</f>
        <v>0</v>
      </c>
      <c r="C19" s="39">
        <f>資料儲存!E2895</f>
        <v>0</v>
      </c>
      <c r="D19" s="39">
        <f>資料儲存!F2895</f>
        <v>0</v>
      </c>
      <c r="E19" s="39">
        <f>資料儲存!G2895</f>
        <v>0</v>
      </c>
      <c r="F19" s="39">
        <f>資料儲存!H2895</f>
        <v>0</v>
      </c>
      <c r="G19" s="39">
        <f>資料儲存!I2895</f>
        <v>0</v>
      </c>
      <c r="H19" s="39">
        <f>資料儲存!J2895</f>
        <v>0</v>
      </c>
      <c r="I19" s="58"/>
      <c r="J19" s="62">
        <v>14</v>
      </c>
      <c r="K19" s="39">
        <f>資料儲存!D3015</f>
        <v>0</v>
      </c>
      <c r="L19" s="39">
        <f>資料儲存!E3015</f>
        <v>0</v>
      </c>
      <c r="M19" s="39">
        <f>資料儲存!F3015</f>
        <v>0</v>
      </c>
      <c r="N19" s="39">
        <f>資料儲存!G3015</f>
        <v>0</v>
      </c>
      <c r="O19" s="39">
        <f>資料儲存!H3015</f>
        <v>0</v>
      </c>
      <c r="P19" s="39">
        <f>資料儲存!I3015</f>
        <v>0</v>
      </c>
      <c r="Q19" s="39">
        <f>資料儲存!J3015</f>
        <v>0</v>
      </c>
      <c r="R19" s="58"/>
      <c r="S19" s="62">
        <v>14</v>
      </c>
      <c r="T19" s="39">
        <f>資料儲存!D3135</f>
        <v>0</v>
      </c>
      <c r="U19" s="39">
        <f>資料儲存!E3135</f>
        <v>0</v>
      </c>
      <c r="V19" s="39">
        <f>資料儲存!F3135</f>
        <v>0</v>
      </c>
      <c r="W19" s="39">
        <f>資料儲存!G3135</f>
        <v>0</v>
      </c>
      <c r="X19" s="39">
        <f>資料儲存!H3135</f>
        <v>0</v>
      </c>
      <c r="Y19" s="39">
        <f>資料儲存!I3135</f>
        <v>0</v>
      </c>
      <c r="Z19" s="39">
        <f>資料儲存!J3135</f>
        <v>0</v>
      </c>
      <c r="AA19" s="58"/>
      <c r="AB19" s="62">
        <v>14</v>
      </c>
      <c r="AC19" s="39">
        <f>資料儲存!D3255</f>
        <v>0</v>
      </c>
      <c r="AD19" s="39">
        <f>資料儲存!E3255</f>
        <v>0</v>
      </c>
      <c r="AE19" s="39">
        <f>資料儲存!F3255</f>
        <v>0</v>
      </c>
      <c r="AF19" s="39">
        <f>資料儲存!G3255</f>
        <v>0</v>
      </c>
      <c r="AG19" s="39">
        <f>資料儲存!H3255</f>
        <v>0</v>
      </c>
      <c r="AH19" s="39">
        <f>資料儲存!I3255</f>
        <v>0</v>
      </c>
      <c r="AI19" s="39">
        <f>資料儲存!J3255</f>
        <v>0</v>
      </c>
      <c r="AJ19" s="58"/>
      <c r="AK19" s="62">
        <v>14</v>
      </c>
      <c r="AL19" s="39">
        <f>資料儲存!D3375</f>
        <v>0</v>
      </c>
      <c r="AM19" s="39">
        <f>資料儲存!E3375</f>
        <v>0</v>
      </c>
      <c r="AN19" s="39">
        <f>資料儲存!F3375</f>
        <v>0</v>
      </c>
      <c r="AO19" s="39">
        <f>資料儲存!G3375</f>
        <v>0</v>
      </c>
      <c r="AP19" s="39">
        <f>資料儲存!H3375</f>
        <v>0</v>
      </c>
      <c r="AQ19" s="39">
        <f>資料儲存!I3375</f>
        <v>0</v>
      </c>
      <c r="AR19" s="39">
        <f>資料儲存!J3375</f>
        <v>0</v>
      </c>
      <c r="AT19" s="62">
        <v>14</v>
      </c>
      <c r="AU19" s="39">
        <f>資料儲存!D3495</f>
        <v>0</v>
      </c>
      <c r="AV19" s="39">
        <f>資料儲存!E3495</f>
        <v>0</v>
      </c>
      <c r="AW19" s="39">
        <f>資料儲存!F3495</f>
        <v>0</v>
      </c>
      <c r="AX19" s="39">
        <f>資料儲存!G3495</f>
        <v>0</v>
      </c>
      <c r="AY19" s="39">
        <f>資料儲存!H3495</f>
        <v>0</v>
      </c>
      <c r="AZ19" s="39">
        <f>資料儲存!I3495</f>
        <v>0</v>
      </c>
      <c r="BA19" s="39">
        <f>資料儲存!J3495</f>
        <v>0</v>
      </c>
    </row>
    <row r="20" spans="1:53" s="59" customFormat="1" ht="16" thickBot="1">
      <c r="A20" s="62">
        <v>15</v>
      </c>
      <c r="B20" s="39">
        <f>資料儲存!D2896</f>
        <v>0</v>
      </c>
      <c r="C20" s="39">
        <f>資料儲存!E2896</f>
        <v>0</v>
      </c>
      <c r="D20" s="39">
        <f>資料儲存!F2896</f>
        <v>0</v>
      </c>
      <c r="E20" s="39">
        <f>資料儲存!G2896</f>
        <v>0</v>
      </c>
      <c r="F20" s="39">
        <f>資料儲存!H2896</f>
        <v>0</v>
      </c>
      <c r="G20" s="39">
        <f>資料儲存!I2896</f>
        <v>0</v>
      </c>
      <c r="H20" s="39">
        <f>資料儲存!J2896</f>
        <v>0</v>
      </c>
      <c r="I20" s="58"/>
      <c r="J20" s="62">
        <v>15</v>
      </c>
      <c r="K20" s="39">
        <f>資料儲存!D3016</f>
        <v>0</v>
      </c>
      <c r="L20" s="39">
        <f>資料儲存!E3016</f>
        <v>0</v>
      </c>
      <c r="M20" s="39">
        <f>資料儲存!F3016</f>
        <v>0</v>
      </c>
      <c r="N20" s="39">
        <f>資料儲存!G3016</f>
        <v>0</v>
      </c>
      <c r="O20" s="39">
        <f>資料儲存!H3016</f>
        <v>0</v>
      </c>
      <c r="P20" s="39">
        <f>資料儲存!I3016</f>
        <v>0</v>
      </c>
      <c r="Q20" s="39">
        <f>資料儲存!J3016</f>
        <v>0</v>
      </c>
      <c r="R20" s="58"/>
      <c r="S20" s="62">
        <v>15</v>
      </c>
      <c r="T20" s="39">
        <f>資料儲存!D3136</f>
        <v>0</v>
      </c>
      <c r="U20" s="39">
        <f>資料儲存!E3136</f>
        <v>0</v>
      </c>
      <c r="V20" s="39">
        <f>資料儲存!F3136</f>
        <v>0</v>
      </c>
      <c r="W20" s="39">
        <f>資料儲存!G3136</f>
        <v>0</v>
      </c>
      <c r="X20" s="39">
        <f>資料儲存!H3136</f>
        <v>0</v>
      </c>
      <c r="Y20" s="39">
        <f>資料儲存!I3136</f>
        <v>0</v>
      </c>
      <c r="Z20" s="39">
        <f>資料儲存!J3136</f>
        <v>0</v>
      </c>
      <c r="AA20" s="58"/>
      <c r="AB20" s="62">
        <v>15</v>
      </c>
      <c r="AC20" s="39">
        <f>資料儲存!D3256</f>
        <v>0</v>
      </c>
      <c r="AD20" s="39">
        <f>資料儲存!E3256</f>
        <v>0</v>
      </c>
      <c r="AE20" s="39">
        <f>資料儲存!F3256</f>
        <v>0</v>
      </c>
      <c r="AF20" s="39">
        <f>資料儲存!G3256</f>
        <v>0</v>
      </c>
      <c r="AG20" s="39">
        <f>資料儲存!H3256</f>
        <v>0</v>
      </c>
      <c r="AH20" s="39">
        <f>資料儲存!I3256</f>
        <v>0</v>
      </c>
      <c r="AI20" s="39">
        <f>資料儲存!J3256</f>
        <v>0</v>
      </c>
      <c r="AJ20" s="58"/>
      <c r="AK20" s="62">
        <v>15</v>
      </c>
      <c r="AL20" s="39">
        <f>資料儲存!D3376</f>
        <v>0</v>
      </c>
      <c r="AM20" s="39">
        <f>資料儲存!E3376</f>
        <v>0</v>
      </c>
      <c r="AN20" s="39">
        <f>資料儲存!F3376</f>
        <v>0</v>
      </c>
      <c r="AO20" s="39">
        <f>資料儲存!G3376</f>
        <v>0</v>
      </c>
      <c r="AP20" s="39">
        <f>資料儲存!H3376</f>
        <v>0</v>
      </c>
      <c r="AQ20" s="39">
        <f>資料儲存!I3376</f>
        <v>0</v>
      </c>
      <c r="AR20" s="39">
        <f>資料儲存!J3376</f>
        <v>0</v>
      </c>
      <c r="AT20" s="62">
        <v>15</v>
      </c>
      <c r="AU20" s="39">
        <f>資料儲存!D3496</f>
        <v>0</v>
      </c>
      <c r="AV20" s="39">
        <f>資料儲存!E3496</f>
        <v>0</v>
      </c>
      <c r="AW20" s="39">
        <f>資料儲存!F3496</f>
        <v>0</v>
      </c>
      <c r="AX20" s="39">
        <f>資料儲存!G3496</f>
        <v>0</v>
      </c>
      <c r="AY20" s="39">
        <f>資料儲存!H3496</f>
        <v>0</v>
      </c>
      <c r="AZ20" s="39">
        <f>資料儲存!I3496</f>
        <v>0</v>
      </c>
      <c r="BA20" s="39">
        <f>資料儲存!J3496</f>
        <v>0</v>
      </c>
    </row>
    <row r="21" spans="1:53" s="59" customFormat="1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35"/>
      <c r="AK21" s="40" t="s">
        <v>56</v>
      </c>
      <c r="AL21" s="39">
        <f>SUM(AL6:AO20)</f>
        <v>0</v>
      </c>
      <c r="AM21" s="37"/>
      <c r="AN21" s="37"/>
      <c r="AO21" s="37"/>
      <c r="AP21" s="39">
        <f>AP20</f>
        <v>0</v>
      </c>
      <c r="AQ21" s="39">
        <f>AQ20</f>
        <v>0</v>
      </c>
      <c r="AR21" s="39">
        <f>AR20</f>
        <v>0</v>
      </c>
      <c r="AT21" s="40" t="s">
        <v>56</v>
      </c>
      <c r="AU21" s="39">
        <f>SUM(AU6:AX20)</f>
        <v>0</v>
      </c>
      <c r="AV21" s="37"/>
      <c r="AW21" s="37"/>
      <c r="AX21" s="37"/>
      <c r="AY21" s="39">
        <f>AY20</f>
        <v>0</v>
      </c>
      <c r="AZ21" s="39">
        <f>AZ20</f>
        <v>0</v>
      </c>
      <c r="BA21" s="39">
        <f>BA20</f>
        <v>0</v>
      </c>
    </row>
    <row r="22" spans="1:53" ht="18.5" thickBot="1">
      <c r="A22" s="257" t="s">
        <v>74</v>
      </c>
      <c r="B22" s="258"/>
      <c r="C22" s="258"/>
      <c r="D22" s="258"/>
      <c r="E22" s="258"/>
      <c r="F22" s="258"/>
      <c r="G22" s="258"/>
      <c r="H22" s="259"/>
      <c r="I22" s="14"/>
      <c r="J22" s="257" t="s">
        <v>74</v>
      </c>
      <c r="K22" s="258"/>
      <c r="L22" s="258"/>
      <c r="M22" s="258"/>
      <c r="N22" s="258"/>
      <c r="O22" s="258"/>
      <c r="P22" s="258"/>
      <c r="Q22" s="259"/>
      <c r="R22" s="14"/>
      <c r="S22" s="257" t="s">
        <v>74</v>
      </c>
      <c r="T22" s="258"/>
      <c r="U22" s="258"/>
      <c r="V22" s="258"/>
      <c r="W22" s="258"/>
      <c r="X22" s="258"/>
      <c r="Y22" s="258"/>
      <c r="Z22" s="259"/>
      <c r="AA22" s="14"/>
      <c r="AB22" s="257" t="s">
        <v>74</v>
      </c>
      <c r="AC22" s="258"/>
      <c r="AD22" s="258"/>
      <c r="AE22" s="258"/>
      <c r="AF22" s="258"/>
      <c r="AG22" s="258"/>
      <c r="AH22" s="258"/>
      <c r="AI22" s="259"/>
      <c r="AJ22" s="14"/>
      <c r="AK22" s="257" t="s">
        <v>74</v>
      </c>
      <c r="AL22" s="258"/>
      <c r="AM22" s="258"/>
      <c r="AN22" s="258"/>
      <c r="AO22" s="258"/>
      <c r="AP22" s="258"/>
      <c r="AQ22" s="258"/>
      <c r="AR22" s="259"/>
      <c r="AT22" s="257" t="s">
        <v>74</v>
      </c>
      <c r="AU22" s="258"/>
      <c r="AV22" s="258"/>
      <c r="AW22" s="258"/>
      <c r="AX22" s="258"/>
      <c r="AY22" s="258"/>
      <c r="AZ22" s="258"/>
      <c r="BA22" s="259"/>
    </row>
    <row r="23" spans="1:53" s="67" customFormat="1" ht="17.25" customHeight="1" thickBot="1">
      <c r="A23" s="63" t="s">
        <v>2</v>
      </c>
      <c r="B23" s="64" t="s">
        <v>46</v>
      </c>
      <c r="C23" s="65"/>
      <c r="D23" s="65"/>
      <c r="E23" s="66"/>
      <c r="F23" s="64" t="s">
        <v>47</v>
      </c>
      <c r="G23" s="65"/>
      <c r="H23" s="66"/>
      <c r="I23" s="52"/>
      <c r="J23" s="63" t="s">
        <v>2</v>
      </c>
      <c r="K23" s="64" t="s">
        <v>46</v>
      </c>
      <c r="L23" s="65"/>
      <c r="M23" s="65"/>
      <c r="N23" s="66"/>
      <c r="O23" s="64" t="s">
        <v>47</v>
      </c>
      <c r="P23" s="65"/>
      <c r="Q23" s="66"/>
      <c r="R23" s="52"/>
      <c r="S23" s="63" t="s">
        <v>2</v>
      </c>
      <c r="T23" s="64" t="s">
        <v>46</v>
      </c>
      <c r="U23" s="65"/>
      <c r="V23" s="65"/>
      <c r="W23" s="66"/>
      <c r="X23" s="64" t="s">
        <v>47</v>
      </c>
      <c r="Y23" s="65"/>
      <c r="Z23" s="66"/>
      <c r="AA23" s="52"/>
      <c r="AB23" s="63" t="s">
        <v>2</v>
      </c>
      <c r="AC23" s="64" t="s">
        <v>46</v>
      </c>
      <c r="AD23" s="65"/>
      <c r="AE23" s="65"/>
      <c r="AF23" s="66"/>
      <c r="AG23" s="64" t="s">
        <v>47</v>
      </c>
      <c r="AH23" s="65"/>
      <c r="AI23" s="66"/>
      <c r="AJ23" s="52"/>
      <c r="AK23" s="63" t="s">
        <v>2</v>
      </c>
      <c r="AL23" s="64" t="s">
        <v>46</v>
      </c>
      <c r="AM23" s="65"/>
      <c r="AN23" s="65"/>
      <c r="AO23" s="66"/>
      <c r="AP23" s="64" t="s">
        <v>47</v>
      </c>
      <c r="AQ23" s="65"/>
      <c r="AR23" s="66"/>
      <c r="AT23" s="63" t="s">
        <v>2</v>
      </c>
      <c r="AU23" s="64" t="s">
        <v>46</v>
      </c>
      <c r="AV23" s="65"/>
      <c r="AW23" s="65"/>
      <c r="AX23" s="66"/>
      <c r="AY23" s="64" t="s">
        <v>47</v>
      </c>
      <c r="AZ23" s="65"/>
      <c r="BA23" s="66"/>
    </row>
    <row r="24" spans="1:53" s="67" customFormat="1" ht="16" thickBot="1">
      <c r="A24" s="68" t="s">
        <v>75</v>
      </c>
      <c r="B24" s="69" t="s">
        <v>49</v>
      </c>
      <c r="C24" s="69" t="s">
        <v>50</v>
      </c>
      <c r="D24" s="69" t="s">
        <v>51</v>
      </c>
      <c r="E24" s="69" t="s">
        <v>52</v>
      </c>
      <c r="F24" s="69" t="s">
        <v>53</v>
      </c>
      <c r="G24" s="69" t="s">
        <v>54</v>
      </c>
      <c r="H24" s="69" t="s">
        <v>55</v>
      </c>
      <c r="I24" s="52"/>
      <c r="J24" s="68" t="s">
        <v>75</v>
      </c>
      <c r="K24" s="69" t="s">
        <v>49</v>
      </c>
      <c r="L24" s="69" t="s">
        <v>50</v>
      </c>
      <c r="M24" s="69" t="s">
        <v>51</v>
      </c>
      <c r="N24" s="69" t="s">
        <v>52</v>
      </c>
      <c r="O24" s="69" t="s">
        <v>53</v>
      </c>
      <c r="P24" s="69" t="s">
        <v>54</v>
      </c>
      <c r="Q24" s="69" t="s">
        <v>55</v>
      </c>
      <c r="R24" s="52"/>
      <c r="S24" s="68" t="s">
        <v>75</v>
      </c>
      <c r="T24" s="69" t="s">
        <v>49</v>
      </c>
      <c r="U24" s="69" t="s">
        <v>50</v>
      </c>
      <c r="V24" s="69" t="s">
        <v>51</v>
      </c>
      <c r="W24" s="69" t="s">
        <v>52</v>
      </c>
      <c r="X24" s="69" t="s">
        <v>53</v>
      </c>
      <c r="Y24" s="69" t="s">
        <v>54</v>
      </c>
      <c r="Z24" s="69" t="s">
        <v>55</v>
      </c>
      <c r="AA24" s="52"/>
      <c r="AB24" s="68" t="s">
        <v>75</v>
      </c>
      <c r="AC24" s="69" t="s">
        <v>49</v>
      </c>
      <c r="AD24" s="69" t="s">
        <v>50</v>
      </c>
      <c r="AE24" s="69" t="s">
        <v>51</v>
      </c>
      <c r="AF24" s="69" t="s">
        <v>52</v>
      </c>
      <c r="AG24" s="69" t="s">
        <v>53</v>
      </c>
      <c r="AH24" s="69" t="s">
        <v>54</v>
      </c>
      <c r="AI24" s="69" t="s">
        <v>55</v>
      </c>
      <c r="AJ24" s="52"/>
      <c r="AK24" s="68" t="s">
        <v>75</v>
      </c>
      <c r="AL24" s="69" t="s">
        <v>49</v>
      </c>
      <c r="AM24" s="69" t="s">
        <v>50</v>
      </c>
      <c r="AN24" s="69" t="s">
        <v>51</v>
      </c>
      <c r="AO24" s="69" t="s">
        <v>52</v>
      </c>
      <c r="AP24" s="69" t="s">
        <v>53</v>
      </c>
      <c r="AQ24" s="69" t="s">
        <v>54</v>
      </c>
      <c r="AR24" s="69" t="s">
        <v>55</v>
      </c>
      <c r="AT24" s="68" t="s">
        <v>75</v>
      </c>
      <c r="AU24" s="69" t="s">
        <v>49</v>
      </c>
      <c r="AV24" s="69" t="s">
        <v>50</v>
      </c>
      <c r="AW24" s="69" t="s">
        <v>51</v>
      </c>
      <c r="AX24" s="69" t="s">
        <v>52</v>
      </c>
      <c r="AY24" s="69" t="s">
        <v>53</v>
      </c>
      <c r="AZ24" s="69" t="s">
        <v>54</v>
      </c>
      <c r="BA24" s="69" t="s">
        <v>55</v>
      </c>
    </row>
    <row r="25" spans="1:53" s="67" customFormat="1" ht="16" thickBot="1">
      <c r="A25" s="70">
        <v>16</v>
      </c>
      <c r="B25" s="49">
        <f>資料儲存!D2897</f>
        <v>0</v>
      </c>
      <c r="C25" s="49">
        <f>資料儲存!E2897</f>
        <v>0</v>
      </c>
      <c r="D25" s="49">
        <f>資料儲存!F2897</f>
        <v>0</v>
      </c>
      <c r="E25" s="49">
        <f>資料儲存!G2897</f>
        <v>0</v>
      </c>
      <c r="F25" s="49">
        <f>資料儲存!H2897</f>
        <v>0</v>
      </c>
      <c r="G25" s="49">
        <f>資料儲存!I2897</f>
        <v>0</v>
      </c>
      <c r="H25" s="49">
        <f>資料儲存!J2897</f>
        <v>0</v>
      </c>
      <c r="I25" s="52"/>
      <c r="J25" s="70">
        <v>16</v>
      </c>
      <c r="K25" s="49">
        <f>資料儲存!D3017</f>
        <v>0</v>
      </c>
      <c r="L25" s="49">
        <f>資料儲存!E3017</f>
        <v>0</v>
      </c>
      <c r="M25" s="49">
        <f>資料儲存!F3017</f>
        <v>0</v>
      </c>
      <c r="N25" s="49">
        <f>資料儲存!G3017</f>
        <v>0</v>
      </c>
      <c r="O25" s="49">
        <f>資料儲存!H3017</f>
        <v>0</v>
      </c>
      <c r="P25" s="49">
        <f>資料儲存!I3017</f>
        <v>0</v>
      </c>
      <c r="Q25" s="49">
        <f>資料儲存!J3017</f>
        <v>0</v>
      </c>
      <c r="R25" s="52"/>
      <c r="S25" s="70">
        <v>16</v>
      </c>
      <c r="T25" s="49">
        <f>資料儲存!D3137</f>
        <v>0</v>
      </c>
      <c r="U25" s="49">
        <f>資料儲存!E3137</f>
        <v>0</v>
      </c>
      <c r="V25" s="49">
        <f>資料儲存!F3137</f>
        <v>0</v>
      </c>
      <c r="W25" s="49">
        <f>資料儲存!G3137</f>
        <v>0</v>
      </c>
      <c r="X25" s="49">
        <f>資料儲存!H3137</f>
        <v>0</v>
      </c>
      <c r="Y25" s="49">
        <f>資料儲存!I3137</f>
        <v>0</v>
      </c>
      <c r="Z25" s="49">
        <f>資料儲存!J3137</f>
        <v>0</v>
      </c>
      <c r="AA25" s="52"/>
      <c r="AB25" s="70">
        <v>16</v>
      </c>
      <c r="AC25" s="49">
        <f>資料儲存!D3257</f>
        <v>0</v>
      </c>
      <c r="AD25" s="49">
        <f>資料儲存!E3257</f>
        <v>0</v>
      </c>
      <c r="AE25" s="49">
        <f>資料儲存!F3257</f>
        <v>0</v>
      </c>
      <c r="AF25" s="49">
        <f>資料儲存!G3257</f>
        <v>0</v>
      </c>
      <c r="AG25" s="49">
        <f>資料儲存!H3257</f>
        <v>0</v>
      </c>
      <c r="AH25" s="49">
        <f>資料儲存!I3257</f>
        <v>0</v>
      </c>
      <c r="AI25" s="49">
        <f>資料儲存!J3257</f>
        <v>0</v>
      </c>
      <c r="AJ25" s="52"/>
      <c r="AK25" s="70">
        <v>16</v>
      </c>
      <c r="AL25" s="49">
        <f>資料儲存!D3377</f>
        <v>0</v>
      </c>
      <c r="AM25" s="49">
        <f>資料儲存!E3377</f>
        <v>0</v>
      </c>
      <c r="AN25" s="49">
        <f>資料儲存!F3377</f>
        <v>0</v>
      </c>
      <c r="AO25" s="49">
        <f>資料儲存!G3377</f>
        <v>0</v>
      </c>
      <c r="AP25" s="49">
        <f>資料儲存!H3377</f>
        <v>0</v>
      </c>
      <c r="AQ25" s="49">
        <f>資料儲存!I3377</f>
        <v>0</v>
      </c>
      <c r="AR25" s="49">
        <f>資料儲存!J3377</f>
        <v>0</v>
      </c>
      <c r="AT25" s="70">
        <v>16</v>
      </c>
      <c r="AU25" s="49">
        <f>資料儲存!D3497</f>
        <v>0</v>
      </c>
      <c r="AV25" s="49">
        <f>資料儲存!E3497</f>
        <v>0</v>
      </c>
      <c r="AW25" s="49">
        <f>資料儲存!F3497</f>
        <v>0</v>
      </c>
      <c r="AX25" s="49">
        <f>資料儲存!G3497</f>
        <v>0</v>
      </c>
      <c r="AY25" s="49">
        <f>資料儲存!H3497</f>
        <v>0</v>
      </c>
      <c r="AZ25" s="49">
        <f>資料儲存!I3497</f>
        <v>0</v>
      </c>
      <c r="BA25" s="49">
        <f>資料儲存!J3497</f>
        <v>0</v>
      </c>
    </row>
    <row r="26" spans="1:53" s="67" customFormat="1" ht="16" thickBot="1">
      <c r="A26" s="70">
        <v>17</v>
      </c>
      <c r="B26" s="49">
        <f>資料儲存!D2898</f>
        <v>0</v>
      </c>
      <c r="C26" s="49">
        <f>資料儲存!E2898</f>
        <v>0</v>
      </c>
      <c r="D26" s="49">
        <f>資料儲存!F2898</f>
        <v>0</v>
      </c>
      <c r="E26" s="49">
        <f>資料儲存!G2898</f>
        <v>0</v>
      </c>
      <c r="F26" s="49">
        <f>資料儲存!H2898</f>
        <v>0</v>
      </c>
      <c r="G26" s="49">
        <f>資料儲存!I2898</f>
        <v>0</v>
      </c>
      <c r="H26" s="49">
        <f>資料儲存!J2898</f>
        <v>0</v>
      </c>
      <c r="I26" s="52"/>
      <c r="J26" s="70">
        <v>17</v>
      </c>
      <c r="K26" s="49">
        <f>資料儲存!D3018</f>
        <v>0</v>
      </c>
      <c r="L26" s="49">
        <f>資料儲存!E3018</f>
        <v>0</v>
      </c>
      <c r="M26" s="49">
        <f>資料儲存!F3018</f>
        <v>0</v>
      </c>
      <c r="N26" s="49">
        <f>資料儲存!G3018</f>
        <v>0</v>
      </c>
      <c r="O26" s="49">
        <f>資料儲存!H3018</f>
        <v>0</v>
      </c>
      <c r="P26" s="49">
        <f>資料儲存!I3018</f>
        <v>0</v>
      </c>
      <c r="Q26" s="49">
        <f>資料儲存!J3018</f>
        <v>0</v>
      </c>
      <c r="R26" s="52"/>
      <c r="S26" s="70">
        <v>17</v>
      </c>
      <c r="T26" s="49">
        <f>資料儲存!D3138</f>
        <v>0</v>
      </c>
      <c r="U26" s="49">
        <f>資料儲存!E3138</f>
        <v>0</v>
      </c>
      <c r="V26" s="49">
        <f>資料儲存!F3138</f>
        <v>0</v>
      </c>
      <c r="W26" s="49">
        <f>資料儲存!G3138</f>
        <v>0</v>
      </c>
      <c r="X26" s="49">
        <f>資料儲存!H3138</f>
        <v>0</v>
      </c>
      <c r="Y26" s="49">
        <f>資料儲存!I3138</f>
        <v>0</v>
      </c>
      <c r="Z26" s="49">
        <f>資料儲存!J3138</f>
        <v>0</v>
      </c>
      <c r="AA26" s="52"/>
      <c r="AB26" s="70">
        <v>17</v>
      </c>
      <c r="AC26" s="49">
        <f>資料儲存!D3258</f>
        <v>0</v>
      </c>
      <c r="AD26" s="49">
        <f>資料儲存!E3258</f>
        <v>0</v>
      </c>
      <c r="AE26" s="49">
        <f>資料儲存!F3258</f>
        <v>0</v>
      </c>
      <c r="AF26" s="49">
        <f>資料儲存!G3258</f>
        <v>0</v>
      </c>
      <c r="AG26" s="49">
        <f>資料儲存!H3258</f>
        <v>0</v>
      </c>
      <c r="AH26" s="49">
        <f>資料儲存!I3258</f>
        <v>0</v>
      </c>
      <c r="AI26" s="49">
        <f>資料儲存!J3258</f>
        <v>0</v>
      </c>
      <c r="AJ26" s="52"/>
      <c r="AK26" s="70">
        <v>17</v>
      </c>
      <c r="AL26" s="49">
        <f>資料儲存!D3378</f>
        <v>0</v>
      </c>
      <c r="AM26" s="49">
        <f>資料儲存!E3378</f>
        <v>0</v>
      </c>
      <c r="AN26" s="49">
        <f>資料儲存!F3378</f>
        <v>0</v>
      </c>
      <c r="AO26" s="49">
        <f>資料儲存!G3378</f>
        <v>0</v>
      </c>
      <c r="AP26" s="49">
        <f>資料儲存!H3378</f>
        <v>0</v>
      </c>
      <c r="AQ26" s="49">
        <f>資料儲存!I3378</f>
        <v>0</v>
      </c>
      <c r="AR26" s="49">
        <f>資料儲存!J3378</f>
        <v>0</v>
      </c>
      <c r="AT26" s="70">
        <v>17</v>
      </c>
      <c r="AU26" s="49">
        <f>資料儲存!D3498</f>
        <v>0</v>
      </c>
      <c r="AV26" s="49">
        <f>資料儲存!E3498</f>
        <v>0</v>
      </c>
      <c r="AW26" s="49">
        <f>資料儲存!F3498</f>
        <v>0</v>
      </c>
      <c r="AX26" s="49">
        <f>資料儲存!G3498</f>
        <v>0</v>
      </c>
      <c r="AY26" s="49">
        <f>資料儲存!H3498</f>
        <v>0</v>
      </c>
      <c r="AZ26" s="49">
        <f>資料儲存!I3498</f>
        <v>0</v>
      </c>
      <c r="BA26" s="49">
        <f>資料儲存!J3498</f>
        <v>0</v>
      </c>
    </row>
    <row r="27" spans="1:53" s="67" customFormat="1" ht="16" thickBot="1">
      <c r="A27" s="70">
        <v>18</v>
      </c>
      <c r="B27" s="49">
        <f>資料儲存!D2899</f>
        <v>0</v>
      </c>
      <c r="C27" s="49">
        <f>資料儲存!E2899</f>
        <v>0</v>
      </c>
      <c r="D27" s="49">
        <f>資料儲存!F2899</f>
        <v>0</v>
      </c>
      <c r="E27" s="49">
        <f>資料儲存!G2899</f>
        <v>0</v>
      </c>
      <c r="F27" s="49">
        <f>資料儲存!H2899</f>
        <v>0</v>
      </c>
      <c r="G27" s="49">
        <f>資料儲存!I2899</f>
        <v>0</v>
      </c>
      <c r="H27" s="49">
        <f>資料儲存!J2899</f>
        <v>0</v>
      </c>
      <c r="I27" s="52"/>
      <c r="J27" s="70">
        <v>18</v>
      </c>
      <c r="K27" s="49">
        <f>資料儲存!D3019</f>
        <v>0</v>
      </c>
      <c r="L27" s="49">
        <f>資料儲存!E3019</f>
        <v>0</v>
      </c>
      <c r="M27" s="49">
        <f>資料儲存!F3019</f>
        <v>0</v>
      </c>
      <c r="N27" s="49">
        <f>資料儲存!G3019</f>
        <v>0</v>
      </c>
      <c r="O27" s="49">
        <f>資料儲存!H3019</f>
        <v>0</v>
      </c>
      <c r="P27" s="49">
        <f>資料儲存!I3019</f>
        <v>0</v>
      </c>
      <c r="Q27" s="49">
        <f>資料儲存!J3019</f>
        <v>0</v>
      </c>
      <c r="R27" s="52"/>
      <c r="S27" s="70">
        <v>18</v>
      </c>
      <c r="T27" s="49">
        <f>資料儲存!D3139</f>
        <v>0</v>
      </c>
      <c r="U27" s="49">
        <f>資料儲存!E3139</f>
        <v>0</v>
      </c>
      <c r="V27" s="49">
        <f>資料儲存!F3139</f>
        <v>0</v>
      </c>
      <c r="W27" s="49">
        <f>資料儲存!G3139</f>
        <v>0</v>
      </c>
      <c r="X27" s="49">
        <f>資料儲存!H3139</f>
        <v>0</v>
      </c>
      <c r="Y27" s="49">
        <f>資料儲存!I3139</f>
        <v>0</v>
      </c>
      <c r="Z27" s="49">
        <f>資料儲存!J3139</f>
        <v>0</v>
      </c>
      <c r="AA27" s="52"/>
      <c r="AB27" s="70">
        <v>18</v>
      </c>
      <c r="AC27" s="49">
        <f>資料儲存!D3259</f>
        <v>0</v>
      </c>
      <c r="AD27" s="49">
        <f>資料儲存!E3259</f>
        <v>0</v>
      </c>
      <c r="AE27" s="49">
        <f>資料儲存!F3259</f>
        <v>0</v>
      </c>
      <c r="AF27" s="49">
        <f>資料儲存!G3259</f>
        <v>0</v>
      </c>
      <c r="AG27" s="49">
        <f>資料儲存!H3259</f>
        <v>0</v>
      </c>
      <c r="AH27" s="49">
        <f>資料儲存!I3259</f>
        <v>0</v>
      </c>
      <c r="AI27" s="49">
        <f>資料儲存!J3259</f>
        <v>0</v>
      </c>
      <c r="AJ27" s="52"/>
      <c r="AK27" s="70">
        <v>18</v>
      </c>
      <c r="AL27" s="49">
        <f>資料儲存!D3379</f>
        <v>0</v>
      </c>
      <c r="AM27" s="49">
        <f>資料儲存!E3379</f>
        <v>0</v>
      </c>
      <c r="AN27" s="49">
        <f>資料儲存!F3379</f>
        <v>0</v>
      </c>
      <c r="AO27" s="49">
        <f>資料儲存!G3379</f>
        <v>0</v>
      </c>
      <c r="AP27" s="49">
        <f>資料儲存!H3379</f>
        <v>0</v>
      </c>
      <c r="AQ27" s="49">
        <f>資料儲存!I3379</f>
        <v>0</v>
      </c>
      <c r="AR27" s="49">
        <f>資料儲存!J3379</f>
        <v>0</v>
      </c>
      <c r="AT27" s="70">
        <v>18</v>
      </c>
      <c r="AU27" s="49">
        <f>資料儲存!D3499</f>
        <v>0</v>
      </c>
      <c r="AV27" s="49">
        <f>資料儲存!E3499</f>
        <v>0</v>
      </c>
      <c r="AW27" s="49">
        <f>資料儲存!F3499</f>
        <v>0</v>
      </c>
      <c r="AX27" s="49">
        <f>資料儲存!G3499</f>
        <v>0</v>
      </c>
      <c r="AY27" s="49">
        <f>資料儲存!H3499</f>
        <v>0</v>
      </c>
      <c r="AZ27" s="49">
        <f>資料儲存!I3499</f>
        <v>0</v>
      </c>
      <c r="BA27" s="49">
        <f>資料儲存!J3499</f>
        <v>0</v>
      </c>
    </row>
    <row r="28" spans="1:53" s="67" customFormat="1" ht="16" thickBot="1">
      <c r="A28" s="70">
        <v>19</v>
      </c>
      <c r="B28" s="49">
        <f>資料儲存!D2900</f>
        <v>0</v>
      </c>
      <c r="C28" s="49">
        <f>資料儲存!E2900</f>
        <v>0</v>
      </c>
      <c r="D28" s="49">
        <f>資料儲存!F2900</f>
        <v>0</v>
      </c>
      <c r="E28" s="49">
        <f>資料儲存!G2900</f>
        <v>0</v>
      </c>
      <c r="F28" s="49">
        <f>資料儲存!H2900</f>
        <v>0</v>
      </c>
      <c r="G28" s="49">
        <f>資料儲存!I2900</f>
        <v>0</v>
      </c>
      <c r="H28" s="49">
        <f>資料儲存!J2900</f>
        <v>0</v>
      </c>
      <c r="I28" s="52"/>
      <c r="J28" s="70">
        <v>19</v>
      </c>
      <c r="K28" s="49">
        <f>資料儲存!D3020</f>
        <v>0</v>
      </c>
      <c r="L28" s="49">
        <f>資料儲存!E3020</f>
        <v>0</v>
      </c>
      <c r="M28" s="49">
        <f>資料儲存!F3020</f>
        <v>0</v>
      </c>
      <c r="N28" s="49">
        <f>資料儲存!G3020</f>
        <v>0</v>
      </c>
      <c r="O28" s="49">
        <f>資料儲存!H3020</f>
        <v>0</v>
      </c>
      <c r="P28" s="49">
        <f>資料儲存!I3020</f>
        <v>0</v>
      </c>
      <c r="Q28" s="49">
        <f>資料儲存!J3020</f>
        <v>0</v>
      </c>
      <c r="R28" s="52"/>
      <c r="S28" s="70">
        <v>19</v>
      </c>
      <c r="T28" s="49">
        <f>資料儲存!D3140</f>
        <v>0</v>
      </c>
      <c r="U28" s="49">
        <f>資料儲存!E3140</f>
        <v>0</v>
      </c>
      <c r="V28" s="49">
        <f>資料儲存!F3140</f>
        <v>0</v>
      </c>
      <c r="W28" s="49">
        <f>資料儲存!G3140</f>
        <v>0</v>
      </c>
      <c r="X28" s="49">
        <f>資料儲存!H3140</f>
        <v>0</v>
      </c>
      <c r="Y28" s="49">
        <f>資料儲存!I3140</f>
        <v>0</v>
      </c>
      <c r="Z28" s="49">
        <f>資料儲存!J3140</f>
        <v>0</v>
      </c>
      <c r="AA28" s="52"/>
      <c r="AB28" s="70">
        <v>19</v>
      </c>
      <c r="AC28" s="49">
        <f>資料儲存!D3260</f>
        <v>0</v>
      </c>
      <c r="AD28" s="49">
        <f>資料儲存!E3260</f>
        <v>0</v>
      </c>
      <c r="AE28" s="49">
        <f>資料儲存!F3260</f>
        <v>0</v>
      </c>
      <c r="AF28" s="49">
        <f>資料儲存!G3260</f>
        <v>0</v>
      </c>
      <c r="AG28" s="49">
        <f>資料儲存!H3260</f>
        <v>0</v>
      </c>
      <c r="AH28" s="49">
        <f>資料儲存!I3260</f>
        <v>0</v>
      </c>
      <c r="AI28" s="49">
        <f>資料儲存!J3260</f>
        <v>0</v>
      </c>
      <c r="AJ28" s="52"/>
      <c r="AK28" s="70">
        <v>19</v>
      </c>
      <c r="AL28" s="49">
        <f>資料儲存!D3380</f>
        <v>0</v>
      </c>
      <c r="AM28" s="49">
        <f>資料儲存!E3380</f>
        <v>0</v>
      </c>
      <c r="AN28" s="49">
        <f>資料儲存!F3380</f>
        <v>0</v>
      </c>
      <c r="AO28" s="49">
        <f>資料儲存!G3380</f>
        <v>0</v>
      </c>
      <c r="AP28" s="49">
        <f>資料儲存!H3380</f>
        <v>0</v>
      </c>
      <c r="AQ28" s="49">
        <f>資料儲存!I3380</f>
        <v>0</v>
      </c>
      <c r="AR28" s="49">
        <f>資料儲存!J3380</f>
        <v>0</v>
      </c>
      <c r="AT28" s="70">
        <v>19</v>
      </c>
      <c r="AU28" s="49">
        <f>資料儲存!D3500</f>
        <v>0</v>
      </c>
      <c r="AV28" s="49">
        <f>資料儲存!E3500</f>
        <v>0</v>
      </c>
      <c r="AW28" s="49">
        <f>資料儲存!F3500</f>
        <v>0</v>
      </c>
      <c r="AX28" s="49">
        <f>資料儲存!G3500</f>
        <v>0</v>
      </c>
      <c r="AY28" s="49">
        <f>資料儲存!H3500</f>
        <v>0</v>
      </c>
      <c r="AZ28" s="49">
        <f>資料儲存!I3500</f>
        <v>0</v>
      </c>
      <c r="BA28" s="49">
        <f>資料儲存!J3500</f>
        <v>0</v>
      </c>
    </row>
    <row r="29" spans="1:53" s="67" customFormat="1" ht="16" thickBot="1">
      <c r="A29" s="70">
        <v>20</v>
      </c>
      <c r="B29" s="49">
        <f>資料儲存!D2901</f>
        <v>0</v>
      </c>
      <c r="C29" s="49">
        <f>資料儲存!E2901</f>
        <v>0</v>
      </c>
      <c r="D29" s="49">
        <f>資料儲存!F2901</f>
        <v>0</v>
      </c>
      <c r="E29" s="49">
        <f>資料儲存!G2901</f>
        <v>0</v>
      </c>
      <c r="F29" s="49">
        <f>資料儲存!H2901</f>
        <v>0</v>
      </c>
      <c r="G29" s="49">
        <f>資料儲存!I2901</f>
        <v>0</v>
      </c>
      <c r="H29" s="49">
        <f>資料儲存!J2901</f>
        <v>0</v>
      </c>
      <c r="I29" s="52"/>
      <c r="J29" s="70">
        <v>20</v>
      </c>
      <c r="K29" s="49">
        <f>資料儲存!D3021</f>
        <v>0</v>
      </c>
      <c r="L29" s="49">
        <f>資料儲存!E3021</f>
        <v>0</v>
      </c>
      <c r="M29" s="49">
        <f>資料儲存!F3021</f>
        <v>0</v>
      </c>
      <c r="N29" s="49">
        <f>資料儲存!G3021</f>
        <v>0</v>
      </c>
      <c r="O29" s="49">
        <f>資料儲存!H3021</f>
        <v>0</v>
      </c>
      <c r="P29" s="49">
        <f>資料儲存!I3021</f>
        <v>0</v>
      </c>
      <c r="Q29" s="49">
        <f>資料儲存!J3021</f>
        <v>0</v>
      </c>
      <c r="R29" s="52"/>
      <c r="S29" s="70">
        <v>20</v>
      </c>
      <c r="T29" s="49">
        <f>資料儲存!D3141</f>
        <v>0</v>
      </c>
      <c r="U29" s="49">
        <f>資料儲存!E3141</f>
        <v>0</v>
      </c>
      <c r="V29" s="49">
        <f>資料儲存!F3141</f>
        <v>0</v>
      </c>
      <c r="W29" s="49">
        <f>資料儲存!G3141</f>
        <v>0</v>
      </c>
      <c r="X29" s="49">
        <f>資料儲存!H3141</f>
        <v>0</v>
      </c>
      <c r="Y29" s="49">
        <f>資料儲存!I3141</f>
        <v>0</v>
      </c>
      <c r="Z29" s="49">
        <f>資料儲存!J3141</f>
        <v>0</v>
      </c>
      <c r="AA29" s="52"/>
      <c r="AB29" s="70">
        <v>20</v>
      </c>
      <c r="AC29" s="49">
        <f>資料儲存!D3261</f>
        <v>0</v>
      </c>
      <c r="AD29" s="49">
        <f>資料儲存!E3261</f>
        <v>0</v>
      </c>
      <c r="AE29" s="49">
        <f>資料儲存!F3261</f>
        <v>0</v>
      </c>
      <c r="AF29" s="49">
        <f>資料儲存!G3261</f>
        <v>0</v>
      </c>
      <c r="AG29" s="49">
        <f>資料儲存!H3261</f>
        <v>0</v>
      </c>
      <c r="AH29" s="49">
        <f>資料儲存!I3261</f>
        <v>0</v>
      </c>
      <c r="AI29" s="49">
        <f>資料儲存!J3261</f>
        <v>0</v>
      </c>
      <c r="AJ29" s="52"/>
      <c r="AK29" s="70">
        <v>20</v>
      </c>
      <c r="AL29" s="49">
        <f>資料儲存!D3381</f>
        <v>0</v>
      </c>
      <c r="AM29" s="49">
        <f>資料儲存!E3381</f>
        <v>0</v>
      </c>
      <c r="AN29" s="49">
        <f>資料儲存!F3381</f>
        <v>0</v>
      </c>
      <c r="AO29" s="49">
        <f>資料儲存!G3381</f>
        <v>0</v>
      </c>
      <c r="AP29" s="49">
        <f>資料儲存!H3381</f>
        <v>0</v>
      </c>
      <c r="AQ29" s="49">
        <f>資料儲存!I3381</f>
        <v>0</v>
      </c>
      <c r="AR29" s="49">
        <f>資料儲存!J3381</f>
        <v>0</v>
      </c>
      <c r="AT29" s="70">
        <v>20</v>
      </c>
      <c r="AU29" s="49">
        <f>資料儲存!D3501</f>
        <v>0</v>
      </c>
      <c r="AV29" s="49">
        <f>資料儲存!E3501</f>
        <v>0</v>
      </c>
      <c r="AW29" s="49">
        <f>資料儲存!F3501</f>
        <v>0</v>
      </c>
      <c r="AX29" s="49">
        <f>資料儲存!G3501</f>
        <v>0</v>
      </c>
      <c r="AY29" s="49">
        <f>資料儲存!H3501</f>
        <v>0</v>
      </c>
      <c r="AZ29" s="49">
        <f>資料儲存!I3501</f>
        <v>0</v>
      </c>
      <c r="BA29" s="49">
        <f>資料儲存!J3501</f>
        <v>0</v>
      </c>
    </row>
    <row r="30" spans="1:53" s="67" customFormat="1" ht="16" thickBot="1">
      <c r="A30" s="70">
        <v>21</v>
      </c>
      <c r="B30" s="49">
        <f>資料儲存!D2902</f>
        <v>0</v>
      </c>
      <c r="C30" s="49">
        <f>資料儲存!E2902</f>
        <v>0</v>
      </c>
      <c r="D30" s="49">
        <f>資料儲存!F2902</f>
        <v>0</v>
      </c>
      <c r="E30" s="49">
        <f>資料儲存!G2902</f>
        <v>0</v>
      </c>
      <c r="F30" s="49">
        <f>資料儲存!H2902</f>
        <v>0</v>
      </c>
      <c r="G30" s="49">
        <f>資料儲存!I2902</f>
        <v>0</v>
      </c>
      <c r="H30" s="49">
        <f>資料儲存!J2902</f>
        <v>0</v>
      </c>
      <c r="I30" s="52"/>
      <c r="J30" s="70">
        <v>21</v>
      </c>
      <c r="K30" s="49">
        <f>資料儲存!D3022</f>
        <v>0</v>
      </c>
      <c r="L30" s="49">
        <f>資料儲存!E3022</f>
        <v>0</v>
      </c>
      <c r="M30" s="49">
        <f>資料儲存!F3022</f>
        <v>0</v>
      </c>
      <c r="N30" s="49">
        <f>資料儲存!G3022</f>
        <v>0</v>
      </c>
      <c r="O30" s="49">
        <f>資料儲存!H3022</f>
        <v>0</v>
      </c>
      <c r="P30" s="49">
        <f>資料儲存!I3022</f>
        <v>0</v>
      </c>
      <c r="Q30" s="49">
        <f>資料儲存!J3022</f>
        <v>0</v>
      </c>
      <c r="R30" s="52"/>
      <c r="S30" s="70">
        <v>21</v>
      </c>
      <c r="T30" s="49">
        <f>資料儲存!D3142</f>
        <v>0</v>
      </c>
      <c r="U30" s="49">
        <f>資料儲存!E3142</f>
        <v>0</v>
      </c>
      <c r="V30" s="49">
        <f>資料儲存!F3142</f>
        <v>0</v>
      </c>
      <c r="W30" s="49">
        <f>資料儲存!G3142</f>
        <v>0</v>
      </c>
      <c r="X30" s="49">
        <f>資料儲存!H3142</f>
        <v>0</v>
      </c>
      <c r="Y30" s="49">
        <f>資料儲存!I3142</f>
        <v>0</v>
      </c>
      <c r="Z30" s="49">
        <f>資料儲存!J3142</f>
        <v>0</v>
      </c>
      <c r="AA30" s="52"/>
      <c r="AB30" s="70">
        <v>21</v>
      </c>
      <c r="AC30" s="49">
        <f>資料儲存!D3262</f>
        <v>0</v>
      </c>
      <c r="AD30" s="49">
        <f>資料儲存!E3262</f>
        <v>0</v>
      </c>
      <c r="AE30" s="49">
        <f>資料儲存!F3262</f>
        <v>0</v>
      </c>
      <c r="AF30" s="49">
        <f>資料儲存!G3262</f>
        <v>0</v>
      </c>
      <c r="AG30" s="49">
        <f>資料儲存!H3262</f>
        <v>0</v>
      </c>
      <c r="AH30" s="49">
        <f>資料儲存!I3262</f>
        <v>0</v>
      </c>
      <c r="AI30" s="49">
        <f>資料儲存!J3262</f>
        <v>0</v>
      </c>
      <c r="AJ30" s="52"/>
      <c r="AK30" s="70">
        <v>21</v>
      </c>
      <c r="AL30" s="49">
        <f>資料儲存!D3382</f>
        <v>0</v>
      </c>
      <c r="AM30" s="49">
        <f>資料儲存!E3382</f>
        <v>0</v>
      </c>
      <c r="AN30" s="49">
        <f>資料儲存!F3382</f>
        <v>0</v>
      </c>
      <c r="AO30" s="49">
        <f>資料儲存!G3382</f>
        <v>0</v>
      </c>
      <c r="AP30" s="49">
        <f>資料儲存!H3382</f>
        <v>0</v>
      </c>
      <c r="AQ30" s="49">
        <f>資料儲存!I3382</f>
        <v>0</v>
      </c>
      <c r="AR30" s="49">
        <f>資料儲存!J3382</f>
        <v>0</v>
      </c>
      <c r="AT30" s="70">
        <v>21</v>
      </c>
      <c r="AU30" s="49">
        <f>資料儲存!D3502</f>
        <v>0</v>
      </c>
      <c r="AV30" s="49">
        <f>資料儲存!E3502</f>
        <v>0</v>
      </c>
      <c r="AW30" s="49">
        <f>資料儲存!F3502</f>
        <v>0</v>
      </c>
      <c r="AX30" s="49">
        <f>資料儲存!G3502</f>
        <v>0</v>
      </c>
      <c r="AY30" s="49">
        <f>資料儲存!H3502</f>
        <v>0</v>
      </c>
      <c r="AZ30" s="49">
        <f>資料儲存!I3502</f>
        <v>0</v>
      </c>
      <c r="BA30" s="49">
        <f>資料儲存!J3502</f>
        <v>0</v>
      </c>
    </row>
    <row r="31" spans="1:53" s="67" customFormat="1" ht="16" thickBot="1">
      <c r="A31" s="70">
        <v>22</v>
      </c>
      <c r="B31" s="49">
        <f>資料儲存!D2903</f>
        <v>0</v>
      </c>
      <c r="C31" s="49">
        <f>資料儲存!E2903</f>
        <v>0</v>
      </c>
      <c r="D31" s="49">
        <f>資料儲存!F2903</f>
        <v>0</v>
      </c>
      <c r="E31" s="49">
        <f>資料儲存!G2903</f>
        <v>0</v>
      </c>
      <c r="F31" s="49">
        <f>資料儲存!H2903</f>
        <v>0</v>
      </c>
      <c r="G31" s="49">
        <f>資料儲存!I2903</f>
        <v>0</v>
      </c>
      <c r="H31" s="49">
        <f>資料儲存!J2903</f>
        <v>0</v>
      </c>
      <c r="I31" s="52"/>
      <c r="J31" s="70">
        <v>22</v>
      </c>
      <c r="K31" s="49">
        <f>資料儲存!D3023</f>
        <v>0</v>
      </c>
      <c r="L31" s="49">
        <f>資料儲存!E3023</f>
        <v>0</v>
      </c>
      <c r="M31" s="49">
        <f>資料儲存!F3023</f>
        <v>0</v>
      </c>
      <c r="N31" s="49">
        <f>資料儲存!G3023</f>
        <v>0</v>
      </c>
      <c r="O31" s="49">
        <f>資料儲存!H3023</f>
        <v>0</v>
      </c>
      <c r="P31" s="49">
        <f>資料儲存!I3023</f>
        <v>0</v>
      </c>
      <c r="Q31" s="49">
        <f>資料儲存!J3023</f>
        <v>0</v>
      </c>
      <c r="R31" s="52"/>
      <c r="S31" s="70">
        <v>22</v>
      </c>
      <c r="T31" s="49">
        <f>資料儲存!D3143</f>
        <v>0</v>
      </c>
      <c r="U31" s="49">
        <f>資料儲存!E3143</f>
        <v>0</v>
      </c>
      <c r="V31" s="49">
        <f>資料儲存!F3143</f>
        <v>0</v>
      </c>
      <c r="W31" s="49">
        <f>資料儲存!G3143</f>
        <v>0</v>
      </c>
      <c r="X31" s="49">
        <f>資料儲存!H3143</f>
        <v>0</v>
      </c>
      <c r="Y31" s="49">
        <f>資料儲存!I3143</f>
        <v>0</v>
      </c>
      <c r="Z31" s="49">
        <f>資料儲存!J3143</f>
        <v>0</v>
      </c>
      <c r="AA31" s="52"/>
      <c r="AB31" s="70">
        <v>22</v>
      </c>
      <c r="AC31" s="49">
        <f>資料儲存!D3263</f>
        <v>0</v>
      </c>
      <c r="AD31" s="49">
        <f>資料儲存!E3263</f>
        <v>0</v>
      </c>
      <c r="AE31" s="49">
        <f>資料儲存!F3263</f>
        <v>0</v>
      </c>
      <c r="AF31" s="49">
        <f>資料儲存!G3263</f>
        <v>0</v>
      </c>
      <c r="AG31" s="49">
        <f>資料儲存!H3263</f>
        <v>0</v>
      </c>
      <c r="AH31" s="49">
        <f>資料儲存!I3263</f>
        <v>0</v>
      </c>
      <c r="AI31" s="49">
        <f>資料儲存!J3263</f>
        <v>0</v>
      </c>
      <c r="AJ31" s="52"/>
      <c r="AK31" s="70">
        <v>22</v>
      </c>
      <c r="AL31" s="49">
        <f>資料儲存!D3383</f>
        <v>0</v>
      </c>
      <c r="AM31" s="49">
        <f>資料儲存!E3383</f>
        <v>0</v>
      </c>
      <c r="AN31" s="49">
        <f>資料儲存!F3383</f>
        <v>0</v>
      </c>
      <c r="AO31" s="49">
        <f>資料儲存!G3383</f>
        <v>0</v>
      </c>
      <c r="AP31" s="49">
        <f>資料儲存!H3383</f>
        <v>0</v>
      </c>
      <c r="AQ31" s="49">
        <f>資料儲存!I3383</f>
        <v>0</v>
      </c>
      <c r="AR31" s="49">
        <f>資料儲存!J3383</f>
        <v>0</v>
      </c>
      <c r="AT31" s="70">
        <v>22</v>
      </c>
      <c r="AU31" s="49">
        <f>資料儲存!D3503</f>
        <v>0</v>
      </c>
      <c r="AV31" s="49">
        <f>資料儲存!E3503</f>
        <v>0</v>
      </c>
      <c r="AW31" s="49">
        <f>資料儲存!F3503</f>
        <v>0</v>
      </c>
      <c r="AX31" s="49">
        <f>資料儲存!G3503</f>
        <v>0</v>
      </c>
      <c r="AY31" s="49">
        <f>資料儲存!H3503</f>
        <v>0</v>
      </c>
      <c r="AZ31" s="49">
        <f>資料儲存!I3503</f>
        <v>0</v>
      </c>
      <c r="BA31" s="49">
        <f>資料儲存!J3503</f>
        <v>0</v>
      </c>
    </row>
    <row r="32" spans="1:53" s="67" customFormat="1" ht="16" thickBot="1">
      <c r="A32" s="70">
        <v>23</v>
      </c>
      <c r="B32" s="49">
        <f>資料儲存!D2904</f>
        <v>0</v>
      </c>
      <c r="C32" s="49">
        <f>資料儲存!E2904</f>
        <v>0</v>
      </c>
      <c r="D32" s="49">
        <f>資料儲存!F2904</f>
        <v>0</v>
      </c>
      <c r="E32" s="49">
        <f>資料儲存!G2904</f>
        <v>0</v>
      </c>
      <c r="F32" s="49">
        <f>資料儲存!H2904</f>
        <v>0</v>
      </c>
      <c r="G32" s="49">
        <f>資料儲存!I2904</f>
        <v>0</v>
      </c>
      <c r="H32" s="49">
        <f>資料儲存!J2904</f>
        <v>0</v>
      </c>
      <c r="I32" s="52"/>
      <c r="J32" s="70">
        <v>23</v>
      </c>
      <c r="K32" s="49">
        <f>資料儲存!D3024</f>
        <v>0</v>
      </c>
      <c r="L32" s="49">
        <f>資料儲存!E3024</f>
        <v>0</v>
      </c>
      <c r="M32" s="49">
        <f>資料儲存!F3024</f>
        <v>0</v>
      </c>
      <c r="N32" s="49">
        <f>資料儲存!G3024</f>
        <v>0</v>
      </c>
      <c r="O32" s="49">
        <f>資料儲存!H3024</f>
        <v>0</v>
      </c>
      <c r="P32" s="49">
        <f>資料儲存!I3024</f>
        <v>0</v>
      </c>
      <c r="Q32" s="49">
        <f>資料儲存!J3024</f>
        <v>0</v>
      </c>
      <c r="R32" s="52"/>
      <c r="S32" s="70">
        <v>23</v>
      </c>
      <c r="T32" s="49">
        <f>資料儲存!D3144</f>
        <v>0</v>
      </c>
      <c r="U32" s="49">
        <f>資料儲存!E3144</f>
        <v>0</v>
      </c>
      <c r="V32" s="49">
        <f>資料儲存!F3144</f>
        <v>0</v>
      </c>
      <c r="W32" s="49">
        <f>資料儲存!G3144</f>
        <v>0</v>
      </c>
      <c r="X32" s="49">
        <f>資料儲存!H3144</f>
        <v>0</v>
      </c>
      <c r="Y32" s="49">
        <f>資料儲存!I3144</f>
        <v>0</v>
      </c>
      <c r="Z32" s="49">
        <f>資料儲存!J3144</f>
        <v>0</v>
      </c>
      <c r="AA32" s="52"/>
      <c r="AB32" s="70">
        <v>23</v>
      </c>
      <c r="AC32" s="49">
        <f>資料儲存!D3264</f>
        <v>0</v>
      </c>
      <c r="AD32" s="49">
        <f>資料儲存!E3264</f>
        <v>0</v>
      </c>
      <c r="AE32" s="49">
        <f>資料儲存!F3264</f>
        <v>0</v>
      </c>
      <c r="AF32" s="49">
        <f>資料儲存!G3264</f>
        <v>0</v>
      </c>
      <c r="AG32" s="49">
        <f>資料儲存!H3264</f>
        <v>0</v>
      </c>
      <c r="AH32" s="49">
        <f>資料儲存!I3264</f>
        <v>0</v>
      </c>
      <c r="AI32" s="49">
        <f>資料儲存!J3264</f>
        <v>0</v>
      </c>
      <c r="AJ32" s="52"/>
      <c r="AK32" s="70">
        <v>23</v>
      </c>
      <c r="AL32" s="49">
        <f>資料儲存!D3384</f>
        <v>0</v>
      </c>
      <c r="AM32" s="49">
        <f>資料儲存!E3384</f>
        <v>0</v>
      </c>
      <c r="AN32" s="49">
        <f>資料儲存!F3384</f>
        <v>0</v>
      </c>
      <c r="AO32" s="49">
        <f>資料儲存!G3384</f>
        <v>0</v>
      </c>
      <c r="AP32" s="49">
        <f>資料儲存!H3384</f>
        <v>0</v>
      </c>
      <c r="AQ32" s="49">
        <f>資料儲存!I3384</f>
        <v>0</v>
      </c>
      <c r="AR32" s="49">
        <f>資料儲存!J3384</f>
        <v>0</v>
      </c>
      <c r="AT32" s="70">
        <v>23</v>
      </c>
      <c r="AU32" s="49">
        <f>資料儲存!D3504</f>
        <v>0</v>
      </c>
      <c r="AV32" s="49">
        <f>資料儲存!E3504</f>
        <v>0</v>
      </c>
      <c r="AW32" s="49">
        <f>資料儲存!F3504</f>
        <v>0</v>
      </c>
      <c r="AX32" s="49">
        <f>資料儲存!G3504</f>
        <v>0</v>
      </c>
      <c r="AY32" s="49">
        <f>資料儲存!H3504</f>
        <v>0</v>
      </c>
      <c r="AZ32" s="49">
        <f>資料儲存!I3504</f>
        <v>0</v>
      </c>
      <c r="BA32" s="49">
        <f>資料儲存!J3504</f>
        <v>0</v>
      </c>
    </row>
    <row r="33" spans="1:53" s="67" customFormat="1" ht="16" thickBot="1">
      <c r="A33" s="70">
        <v>24</v>
      </c>
      <c r="B33" s="49">
        <f>資料儲存!D2905</f>
        <v>0</v>
      </c>
      <c r="C33" s="49">
        <f>資料儲存!E2905</f>
        <v>0</v>
      </c>
      <c r="D33" s="49">
        <f>資料儲存!F2905</f>
        <v>0</v>
      </c>
      <c r="E33" s="49">
        <f>資料儲存!G2905</f>
        <v>0</v>
      </c>
      <c r="F33" s="49">
        <f>資料儲存!H2905</f>
        <v>0</v>
      </c>
      <c r="G33" s="49">
        <f>資料儲存!I2905</f>
        <v>0</v>
      </c>
      <c r="H33" s="49">
        <f>資料儲存!J2905</f>
        <v>0</v>
      </c>
      <c r="I33" s="52"/>
      <c r="J33" s="70">
        <v>24</v>
      </c>
      <c r="K33" s="49">
        <f>資料儲存!D3025</f>
        <v>0</v>
      </c>
      <c r="L33" s="49">
        <f>資料儲存!E3025</f>
        <v>0</v>
      </c>
      <c r="M33" s="49">
        <f>資料儲存!F3025</f>
        <v>0</v>
      </c>
      <c r="N33" s="49">
        <f>資料儲存!G3025</f>
        <v>0</v>
      </c>
      <c r="O33" s="49">
        <f>資料儲存!H3025</f>
        <v>0</v>
      </c>
      <c r="P33" s="49">
        <f>資料儲存!I3025</f>
        <v>0</v>
      </c>
      <c r="Q33" s="49">
        <f>資料儲存!J3025</f>
        <v>0</v>
      </c>
      <c r="R33" s="52"/>
      <c r="S33" s="70">
        <v>24</v>
      </c>
      <c r="T33" s="49">
        <f>資料儲存!D3145</f>
        <v>0</v>
      </c>
      <c r="U33" s="49">
        <f>資料儲存!E3145</f>
        <v>0</v>
      </c>
      <c r="V33" s="49">
        <f>資料儲存!F3145</f>
        <v>0</v>
      </c>
      <c r="W33" s="49">
        <f>資料儲存!G3145</f>
        <v>0</v>
      </c>
      <c r="X33" s="49">
        <f>資料儲存!H3145</f>
        <v>0</v>
      </c>
      <c r="Y33" s="49">
        <f>資料儲存!I3145</f>
        <v>0</v>
      </c>
      <c r="Z33" s="49">
        <f>資料儲存!J3145</f>
        <v>0</v>
      </c>
      <c r="AA33" s="52"/>
      <c r="AB33" s="70">
        <v>24</v>
      </c>
      <c r="AC33" s="49">
        <f>資料儲存!D3265</f>
        <v>0</v>
      </c>
      <c r="AD33" s="49">
        <f>資料儲存!E3265</f>
        <v>0</v>
      </c>
      <c r="AE33" s="49">
        <f>資料儲存!F3265</f>
        <v>0</v>
      </c>
      <c r="AF33" s="49">
        <f>資料儲存!G3265</f>
        <v>0</v>
      </c>
      <c r="AG33" s="49">
        <f>資料儲存!H3265</f>
        <v>0</v>
      </c>
      <c r="AH33" s="49">
        <f>資料儲存!I3265</f>
        <v>0</v>
      </c>
      <c r="AI33" s="49">
        <f>資料儲存!J3265</f>
        <v>0</v>
      </c>
      <c r="AJ33" s="52"/>
      <c r="AK33" s="70">
        <v>24</v>
      </c>
      <c r="AL33" s="49">
        <f>資料儲存!D3385</f>
        <v>0</v>
      </c>
      <c r="AM33" s="49">
        <f>資料儲存!E3385</f>
        <v>0</v>
      </c>
      <c r="AN33" s="49">
        <f>資料儲存!F3385</f>
        <v>0</v>
      </c>
      <c r="AO33" s="49">
        <f>資料儲存!G3385</f>
        <v>0</v>
      </c>
      <c r="AP33" s="49">
        <f>資料儲存!H3385</f>
        <v>0</v>
      </c>
      <c r="AQ33" s="49">
        <f>資料儲存!I3385</f>
        <v>0</v>
      </c>
      <c r="AR33" s="49">
        <f>資料儲存!J3385</f>
        <v>0</v>
      </c>
      <c r="AT33" s="70">
        <v>24</v>
      </c>
      <c r="AU33" s="49">
        <f>資料儲存!D3505</f>
        <v>0</v>
      </c>
      <c r="AV33" s="49">
        <f>資料儲存!E3505</f>
        <v>0</v>
      </c>
      <c r="AW33" s="49">
        <f>資料儲存!F3505</f>
        <v>0</v>
      </c>
      <c r="AX33" s="49">
        <f>資料儲存!G3505</f>
        <v>0</v>
      </c>
      <c r="AY33" s="49">
        <f>資料儲存!H3505</f>
        <v>0</v>
      </c>
      <c r="AZ33" s="49">
        <f>資料儲存!I3505</f>
        <v>0</v>
      </c>
      <c r="BA33" s="49">
        <f>資料儲存!J3505</f>
        <v>0</v>
      </c>
    </row>
    <row r="34" spans="1:53" s="67" customFormat="1" ht="16" thickBot="1">
      <c r="A34" s="70">
        <v>25</v>
      </c>
      <c r="B34" s="49">
        <f>資料儲存!D2906</f>
        <v>0</v>
      </c>
      <c r="C34" s="49">
        <f>資料儲存!E2906</f>
        <v>0</v>
      </c>
      <c r="D34" s="49">
        <f>資料儲存!F2906</f>
        <v>0</v>
      </c>
      <c r="E34" s="49">
        <f>資料儲存!G2906</f>
        <v>0</v>
      </c>
      <c r="F34" s="49">
        <f>資料儲存!H2906</f>
        <v>0</v>
      </c>
      <c r="G34" s="49">
        <f>資料儲存!I2906</f>
        <v>0</v>
      </c>
      <c r="H34" s="49">
        <f>資料儲存!J2906</f>
        <v>0</v>
      </c>
      <c r="I34" s="52"/>
      <c r="J34" s="70">
        <v>25</v>
      </c>
      <c r="K34" s="49">
        <f>資料儲存!D3026</f>
        <v>0</v>
      </c>
      <c r="L34" s="49">
        <f>資料儲存!E3026</f>
        <v>0</v>
      </c>
      <c r="M34" s="49">
        <f>資料儲存!F3026</f>
        <v>0</v>
      </c>
      <c r="N34" s="49">
        <f>資料儲存!G3026</f>
        <v>0</v>
      </c>
      <c r="O34" s="49">
        <f>資料儲存!H3026</f>
        <v>0</v>
      </c>
      <c r="P34" s="49">
        <f>資料儲存!I3026</f>
        <v>0</v>
      </c>
      <c r="Q34" s="49">
        <f>資料儲存!J3026</f>
        <v>0</v>
      </c>
      <c r="R34" s="52"/>
      <c r="S34" s="70">
        <v>25</v>
      </c>
      <c r="T34" s="49">
        <f>資料儲存!D3146</f>
        <v>0</v>
      </c>
      <c r="U34" s="49">
        <f>資料儲存!E3146</f>
        <v>0</v>
      </c>
      <c r="V34" s="49">
        <f>資料儲存!F3146</f>
        <v>0</v>
      </c>
      <c r="W34" s="49">
        <f>資料儲存!G3146</f>
        <v>0</v>
      </c>
      <c r="X34" s="49">
        <f>資料儲存!H3146</f>
        <v>0</v>
      </c>
      <c r="Y34" s="49">
        <f>資料儲存!I3146</f>
        <v>0</v>
      </c>
      <c r="Z34" s="49">
        <f>資料儲存!J3146</f>
        <v>0</v>
      </c>
      <c r="AA34" s="52"/>
      <c r="AB34" s="70">
        <v>25</v>
      </c>
      <c r="AC34" s="49">
        <f>資料儲存!D3266</f>
        <v>0</v>
      </c>
      <c r="AD34" s="49">
        <f>資料儲存!E3266</f>
        <v>0</v>
      </c>
      <c r="AE34" s="49">
        <f>資料儲存!F3266</f>
        <v>0</v>
      </c>
      <c r="AF34" s="49">
        <f>資料儲存!G3266</f>
        <v>0</v>
      </c>
      <c r="AG34" s="49">
        <f>資料儲存!H3266</f>
        <v>0</v>
      </c>
      <c r="AH34" s="49">
        <f>資料儲存!I3266</f>
        <v>0</v>
      </c>
      <c r="AI34" s="49">
        <f>資料儲存!J3266</f>
        <v>0</v>
      </c>
      <c r="AJ34" s="52"/>
      <c r="AK34" s="70">
        <v>25</v>
      </c>
      <c r="AL34" s="49">
        <f>資料儲存!D3386</f>
        <v>0</v>
      </c>
      <c r="AM34" s="49">
        <f>資料儲存!E3386</f>
        <v>0</v>
      </c>
      <c r="AN34" s="49">
        <f>資料儲存!F3386</f>
        <v>0</v>
      </c>
      <c r="AO34" s="49">
        <f>資料儲存!G3386</f>
        <v>0</v>
      </c>
      <c r="AP34" s="49">
        <f>資料儲存!H3386</f>
        <v>0</v>
      </c>
      <c r="AQ34" s="49">
        <f>資料儲存!I3386</f>
        <v>0</v>
      </c>
      <c r="AR34" s="49">
        <f>資料儲存!J3386</f>
        <v>0</v>
      </c>
      <c r="AT34" s="70">
        <v>25</v>
      </c>
      <c r="AU34" s="49">
        <f>資料儲存!D3506</f>
        <v>0</v>
      </c>
      <c r="AV34" s="49">
        <f>資料儲存!E3506</f>
        <v>0</v>
      </c>
      <c r="AW34" s="49">
        <f>資料儲存!F3506</f>
        <v>0</v>
      </c>
      <c r="AX34" s="49">
        <f>資料儲存!G3506</f>
        <v>0</v>
      </c>
      <c r="AY34" s="49">
        <f>資料儲存!H3506</f>
        <v>0</v>
      </c>
      <c r="AZ34" s="49">
        <f>資料儲存!I3506</f>
        <v>0</v>
      </c>
      <c r="BA34" s="49">
        <f>資料儲存!J3506</f>
        <v>0</v>
      </c>
    </row>
    <row r="35" spans="1:53" s="67" customFormat="1" ht="16" thickBot="1">
      <c r="A35" s="70">
        <v>26</v>
      </c>
      <c r="B35" s="49">
        <f>資料儲存!D2907</f>
        <v>0</v>
      </c>
      <c r="C35" s="49">
        <f>資料儲存!E2907</f>
        <v>0</v>
      </c>
      <c r="D35" s="49">
        <f>資料儲存!F2907</f>
        <v>0</v>
      </c>
      <c r="E35" s="49">
        <f>資料儲存!G2907</f>
        <v>0</v>
      </c>
      <c r="F35" s="49">
        <f>資料儲存!H2907</f>
        <v>0</v>
      </c>
      <c r="G35" s="49">
        <f>資料儲存!I2907</f>
        <v>0</v>
      </c>
      <c r="H35" s="49">
        <f>資料儲存!J2907</f>
        <v>0</v>
      </c>
      <c r="I35" s="52"/>
      <c r="J35" s="70">
        <v>26</v>
      </c>
      <c r="K35" s="49">
        <f>資料儲存!D3027</f>
        <v>0</v>
      </c>
      <c r="L35" s="49">
        <f>資料儲存!E3027</f>
        <v>0</v>
      </c>
      <c r="M35" s="49">
        <f>資料儲存!F3027</f>
        <v>0</v>
      </c>
      <c r="N35" s="49">
        <f>資料儲存!G3027</f>
        <v>0</v>
      </c>
      <c r="O35" s="49">
        <f>資料儲存!H3027</f>
        <v>0</v>
      </c>
      <c r="P35" s="49">
        <f>資料儲存!I3027</f>
        <v>0</v>
      </c>
      <c r="Q35" s="49">
        <f>資料儲存!J3027</f>
        <v>0</v>
      </c>
      <c r="R35" s="52"/>
      <c r="S35" s="70">
        <v>26</v>
      </c>
      <c r="T35" s="49">
        <f>資料儲存!D3147</f>
        <v>0</v>
      </c>
      <c r="U35" s="49">
        <f>資料儲存!E3147</f>
        <v>0</v>
      </c>
      <c r="V35" s="49">
        <f>資料儲存!F3147</f>
        <v>0</v>
      </c>
      <c r="W35" s="49">
        <f>資料儲存!G3147</f>
        <v>0</v>
      </c>
      <c r="X35" s="49">
        <f>資料儲存!H3147</f>
        <v>0</v>
      </c>
      <c r="Y35" s="49">
        <f>資料儲存!I3147</f>
        <v>0</v>
      </c>
      <c r="Z35" s="49">
        <f>資料儲存!J3147</f>
        <v>0</v>
      </c>
      <c r="AA35" s="52"/>
      <c r="AB35" s="70">
        <v>26</v>
      </c>
      <c r="AC35" s="49">
        <f>資料儲存!D3267</f>
        <v>0</v>
      </c>
      <c r="AD35" s="49">
        <f>資料儲存!E3267</f>
        <v>0</v>
      </c>
      <c r="AE35" s="49">
        <f>資料儲存!F3267</f>
        <v>0</v>
      </c>
      <c r="AF35" s="49">
        <f>資料儲存!G3267</f>
        <v>0</v>
      </c>
      <c r="AG35" s="49">
        <f>資料儲存!H3267</f>
        <v>0</v>
      </c>
      <c r="AH35" s="49">
        <f>資料儲存!I3267</f>
        <v>0</v>
      </c>
      <c r="AI35" s="49">
        <f>資料儲存!J3267</f>
        <v>0</v>
      </c>
      <c r="AJ35" s="52"/>
      <c r="AK35" s="70">
        <v>26</v>
      </c>
      <c r="AL35" s="49">
        <f>資料儲存!D3387</f>
        <v>0</v>
      </c>
      <c r="AM35" s="49">
        <f>資料儲存!E3387</f>
        <v>0</v>
      </c>
      <c r="AN35" s="49">
        <f>資料儲存!F3387</f>
        <v>0</v>
      </c>
      <c r="AO35" s="49">
        <f>資料儲存!G3387</f>
        <v>0</v>
      </c>
      <c r="AP35" s="49">
        <f>資料儲存!H3387</f>
        <v>0</v>
      </c>
      <c r="AQ35" s="49">
        <f>資料儲存!I3387</f>
        <v>0</v>
      </c>
      <c r="AR35" s="49">
        <f>資料儲存!J3387</f>
        <v>0</v>
      </c>
      <c r="AT35" s="70">
        <v>26</v>
      </c>
      <c r="AU35" s="49">
        <f>資料儲存!D3507</f>
        <v>0</v>
      </c>
      <c r="AV35" s="49">
        <f>資料儲存!E3507</f>
        <v>0</v>
      </c>
      <c r="AW35" s="49">
        <f>資料儲存!F3507</f>
        <v>0</v>
      </c>
      <c r="AX35" s="49">
        <f>資料儲存!G3507</f>
        <v>0</v>
      </c>
      <c r="AY35" s="49">
        <f>資料儲存!H3507</f>
        <v>0</v>
      </c>
      <c r="AZ35" s="49">
        <f>資料儲存!I3507</f>
        <v>0</v>
      </c>
      <c r="BA35" s="49">
        <f>資料儲存!J3507</f>
        <v>0</v>
      </c>
    </row>
    <row r="36" spans="1:53" s="67" customFormat="1" ht="16" thickBot="1">
      <c r="A36" s="70">
        <v>27</v>
      </c>
      <c r="B36" s="49">
        <f>資料儲存!D2908</f>
        <v>0</v>
      </c>
      <c r="C36" s="49">
        <f>資料儲存!E2908</f>
        <v>0</v>
      </c>
      <c r="D36" s="49">
        <f>資料儲存!F2908</f>
        <v>0</v>
      </c>
      <c r="E36" s="49">
        <f>資料儲存!G2908</f>
        <v>0</v>
      </c>
      <c r="F36" s="49">
        <f>資料儲存!H2908</f>
        <v>0</v>
      </c>
      <c r="G36" s="49">
        <f>資料儲存!I2908</f>
        <v>0</v>
      </c>
      <c r="H36" s="49">
        <f>資料儲存!J2908</f>
        <v>0</v>
      </c>
      <c r="I36" s="52"/>
      <c r="J36" s="70">
        <v>27</v>
      </c>
      <c r="K36" s="49">
        <f>資料儲存!D3028</f>
        <v>0</v>
      </c>
      <c r="L36" s="49">
        <f>資料儲存!E3028</f>
        <v>0</v>
      </c>
      <c r="M36" s="49">
        <f>資料儲存!F3028</f>
        <v>0</v>
      </c>
      <c r="N36" s="49">
        <f>資料儲存!G3028</f>
        <v>0</v>
      </c>
      <c r="O36" s="49">
        <f>資料儲存!H3028</f>
        <v>0</v>
      </c>
      <c r="P36" s="49">
        <f>資料儲存!I3028</f>
        <v>0</v>
      </c>
      <c r="Q36" s="49">
        <f>資料儲存!J3028</f>
        <v>0</v>
      </c>
      <c r="R36" s="52"/>
      <c r="S36" s="70">
        <v>27</v>
      </c>
      <c r="T36" s="49">
        <f>資料儲存!D3148</f>
        <v>0</v>
      </c>
      <c r="U36" s="49">
        <f>資料儲存!E3148</f>
        <v>0</v>
      </c>
      <c r="V36" s="49">
        <f>資料儲存!F3148</f>
        <v>0</v>
      </c>
      <c r="W36" s="49">
        <f>資料儲存!G3148</f>
        <v>0</v>
      </c>
      <c r="X36" s="49">
        <f>資料儲存!H3148</f>
        <v>0</v>
      </c>
      <c r="Y36" s="49">
        <f>資料儲存!I3148</f>
        <v>0</v>
      </c>
      <c r="Z36" s="49">
        <f>資料儲存!J3148</f>
        <v>0</v>
      </c>
      <c r="AA36" s="52"/>
      <c r="AB36" s="70">
        <v>27</v>
      </c>
      <c r="AC36" s="49">
        <f>資料儲存!D3268</f>
        <v>0</v>
      </c>
      <c r="AD36" s="49">
        <f>資料儲存!E3268</f>
        <v>0</v>
      </c>
      <c r="AE36" s="49">
        <f>資料儲存!F3268</f>
        <v>0</v>
      </c>
      <c r="AF36" s="49">
        <f>資料儲存!G3268</f>
        <v>0</v>
      </c>
      <c r="AG36" s="49">
        <f>資料儲存!H3268</f>
        <v>0</v>
      </c>
      <c r="AH36" s="49">
        <f>資料儲存!I3268</f>
        <v>0</v>
      </c>
      <c r="AI36" s="49">
        <f>資料儲存!J3268</f>
        <v>0</v>
      </c>
      <c r="AJ36" s="52"/>
      <c r="AK36" s="70">
        <v>27</v>
      </c>
      <c r="AL36" s="49">
        <f>資料儲存!D3388</f>
        <v>0</v>
      </c>
      <c r="AM36" s="49">
        <f>資料儲存!E3388</f>
        <v>0</v>
      </c>
      <c r="AN36" s="49">
        <f>資料儲存!F3388</f>
        <v>0</v>
      </c>
      <c r="AO36" s="49">
        <f>資料儲存!G3388</f>
        <v>0</v>
      </c>
      <c r="AP36" s="49">
        <f>資料儲存!H3388</f>
        <v>0</v>
      </c>
      <c r="AQ36" s="49">
        <f>資料儲存!I3388</f>
        <v>0</v>
      </c>
      <c r="AR36" s="49">
        <f>資料儲存!J3388</f>
        <v>0</v>
      </c>
      <c r="AT36" s="70">
        <v>27</v>
      </c>
      <c r="AU36" s="49">
        <f>資料儲存!D3508</f>
        <v>0</v>
      </c>
      <c r="AV36" s="49">
        <f>資料儲存!E3508</f>
        <v>0</v>
      </c>
      <c r="AW36" s="49">
        <f>資料儲存!F3508</f>
        <v>0</v>
      </c>
      <c r="AX36" s="49">
        <f>資料儲存!G3508</f>
        <v>0</v>
      </c>
      <c r="AY36" s="49">
        <f>資料儲存!H3508</f>
        <v>0</v>
      </c>
      <c r="AZ36" s="49">
        <f>資料儲存!I3508</f>
        <v>0</v>
      </c>
      <c r="BA36" s="49">
        <f>資料儲存!J3508</f>
        <v>0</v>
      </c>
    </row>
    <row r="37" spans="1:53" s="67" customFormat="1" ht="16" thickBot="1">
      <c r="A37" s="70">
        <v>28</v>
      </c>
      <c r="B37" s="49">
        <f>資料儲存!D2909</f>
        <v>0</v>
      </c>
      <c r="C37" s="49">
        <f>資料儲存!E2909</f>
        <v>0</v>
      </c>
      <c r="D37" s="49">
        <f>資料儲存!F2909</f>
        <v>0</v>
      </c>
      <c r="E37" s="49">
        <f>資料儲存!G2909</f>
        <v>0</v>
      </c>
      <c r="F37" s="49">
        <f>資料儲存!H2909</f>
        <v>0</v>
      </c>
      <c r="G37" s="49">
        <f>資料儲存!I2909</f>
        <v>0</v>
      </c>
      <c r="H37" s="49">
        <f>資料儲存!J2909</f>
        <v>0</v>
      </c>
      <c r="I37" s="52"/>
      <c r="J37" s="70">
        <v>28</v>
      </c>
      <c r="K37" s="49">
        <f>資料儲存!D3029</f>
        <v>0</v>
      </c>
      <c r="L37" s="49">
        <f>資料儲存!E3029</f>
        <v>0</v>
      </c>
      <c r="M37" s="49">
        <f>資料儲存!F3029</f>
        <v>0</v>
      </c>
      <c r="N37" s="49">
        <f>資料儲存!G3029</f>
        <v>0</v>
      </c>
      <c r="O37" s="49">
        <f>資料儲存!H3029</f>
        <v>0</v>
      </c>
      <c r="P37" s="49">
        <f>資料儲存!I3029</f>
        <v>0</v>
      </c>
      <c r="Q37" s="49">
        <f>資料儲存!J3029</f>
        <v>0</v>
      </c>
      <c r="R37" s="52"/>
      <c r="S37" s="70">
        <v>28</v>
      </c>
      <c r="T37" s="49">
        <f>資料儲存!D3149</f>
        <v>0</v>
      </c>
      <c r="U37" s="49">
        <f>資料儲存!E3149</f>
        <v>0</v>
      </c>
      <c r="V37" s="49">
        <f>資料儲存!F3149</f>
        <v>0</v>
      </c>
      <c r="W37" s="49">
        <f>資料儲存!G3149</f>
        <v>0</v>
      </c>
      <c r="X37" s="49">
        <f>資料儲存!H3149</f>
        <v>0</v>
      </c>
      <c r="Y37" s="49">
        <f>資料儲存!I3149</f>
        <v>0</v>
      </c>
      <c r="Z37" s="49">
        <f>資料儲存!J3149</f>
        <v>0</v>
      </c>
      <c r="AA37" s="52"/>
      <c r="AB37" s="70">
        <v>28</v>
      </c>
      <c r="AC37" s="49">
        <f>資料儲存!D3269</f>
        <v>0</v>
      </c>
      <c r="AD37" s="49">
        <f>資料儲存!E3269</f>
        <v>0</v>
      </c>
      <c r="AE37" s="49">
        <f>資料儲存!F3269</f>
        <v>0</v>
      </c>
      <c r="AF37" s="49">
        <f>資料儲存!G3269</f>
        <v>0</v>
      </c>
      <c r="AG37" s="49">
        <f>資料儲存!H3269</f>
        <v>0</v>
      </c>
      <c r="AH37" s="49">
        <f>資料儲存!I3269</f>
        <v>0</v>
      </c>
      <c r="AI37" s="49">
        <f>資料儲存!J3269</f>
        <v>0</v>
      </c>
      <c r="AJ37" s="52"/>
      <c r="AK37" s="70">
        <v>28</v>
      </c>
      <c r="AL37" s="49">
        <f>資料儲存!D3389</f>
        <v>0</v>
      </c>
      <c r="AM37" s="49">
        <f>資料儲存!E3389</f>
        <v>0</v>
      </c>
      <c r="AN37" s="49">
        <f>資料儲存!F3389</f>
        <v>0</v>
      </c>
      <c r="AO37" s="49">
        <f>資料儲存!G3389</f>
        <v>0</v>
      </c>
      <c r="AP37" s="49">
        <f>資料儲存!H3389</f>
        <v>0</v>
      </c>
      <c r="AQ37" s="49">
        <f>資料儲存!I3389</f>
        <v>0</v>
      </c>
      <c r="AR37" s="49">
        <f>資料儲存!J3389</f>
        <v>0</v>
      </c>
      <c r="AT37" s="70">
        <v>28</v>
      </c>
      <c r="AU37" s="49">
        <f>資料儲存!D3509</f>
        <v>0</v>
      </c>
      <c r="AV37" s="49">
        <f>資料儲存!E3509</f>
        <v>0</v>
      </c>
      <c r="AW37" s="49">
        <f>資料儲存!F3509</f>
        <v>0</v>
      </c>
      <c r="AX37" s="49">
        <f>資料儲存!G3509</f>
        <v>0</v>
      </c>
      <c r="AY37" s="49">
        <f>資料儲存!H3509</f>
        <v>0</v>
      </c>
      <c r="AZ37" s="49">
        <f>資料儲存!I3509</f>
        <v>0</v>
      </c>
      <c r="BA37" s="49">
        <f>資料儲存!J3509</f>
        <v>0</v>
      </c>
    </row>
    <row r="38" spans="1:53" s="67" customFormat="1" ht="16" thickBot="1">
      <c r="A38" s="70">
        <v>29</v>
      </c>
      <c r="B38" s="49">
        <f>資料儲存!D2910</f>
        <v>0</v>
      </c>
      <c r="C38" s="49">
        <f>資料儲存!E2910</f>
        <v>0</v>
      </c>
      <c r="D38" s="49">
        <f>資料儲存!F2910</f>
        <v>0</v>
      </c>
      <c r="E38" s="49">
        <f>資料儲存!G2910</f>
        <v>0</v>
      </c>
      <c r="F38" s="49">
        <f>資料儲存!H2910</f>
        <v>0</v>
      </c>
      <c r="G38" s="49">
        <f>資料儲存!I2910</f>
        <v>0</v>
      </c>
      <c r="H38" s="49">
        <f>資料儲存!J2910</f>
        <v>0</v>
      </c>
      <c r="I38" s="52"/>
      <c r="J38" s="70">
        <v>29</v>
      </c>
      <c r="K38" s="49">
        <f>資料儲存!D3030</f>
        <v>0</v>
      </c>
      <c r="L38" s="49">
        <f>資料儲存!E3030</f>
        <v>0</v>
      </c>
      <c r="M38" s="49">
        <f>資料儲存!F3030</f>
        <v>0</v>
      </c>
      <c r="N38" s="49">
        <f>資料儲存!G3030</f>
        <v>0</v>
      </c>
      <c r="O38" s="49">
        <f>資料儲存!H3030</f>
        <v>0</v>
      </c>
      <c r="P38" s="49">
        <f>資料儲存!I3030</f>
        <v>0</v>
      </c>
      <c r="Q38" s="49">
        <f>資料儲存!J3030</f>
        <v>0</v>
      </c>
      <c r="R38" s="52"/>
      <c r="S38" s="70">
        <v>29</v>
      </c>
      <c r="T38" s="49">
        <f>資料儲存!D3150</f>
        <v>0</v>
      </c>
      <c r="U38" s="49">
        <f>資料儲存!E3150</f>
        <v>0</v>
      </c>
      <c r="V38" s="49">
        <f>資料儲存!F3150</f>
        <v>0</v>
      </c>
      <c r="W38" s="49">
        <f>資料儲存!G3150</f>
        <v>0</v>
      </c>
      <c r="X38" s="49">
        <f>資料儲存!H3150</f>
        <v>0</v>
      </c>
      <c r="Y38" s="49">
        <f>資料儲存!I3150</f>
        <v>0</v>
      </c>
      <c r="Z38" s="49">
        <f>資料儲存!J3150</f>
        <v>0</v>
      </c>
      <c r="AA38" s="52"/>
      <c r="AB38" s="70">
        <v>29</v>
      </c>
      <c r="AC38" s="49">
        <f>資料儲存!D3270</f>
        <v>0</v>
      </c>
      <c r="AD38" s="49">
        <f>資料儲存!E3270</f>
        <v>0</v>
      </c>
      <c r="AE38" s="49">
        <f>資料儲存!F3270</f>
        <v>0</v>
      </c>
      <c r="AF38" s="49">
        <f>資料儲存!G3270</f>
        <v>0</v>
      </c>
      <c r="AG38" s="49">
        <f>資料儲存!H3270</f>
        <v>0</v>
      </c>
      <c r="AH38" s="49">
        <f>資料儲存!I3270</f>
        <v>0</v>
      </c>
      <c r="AI38" s="49">
        <f>資料儲存!J3270</f>
        <v>0</v>
      </c>
      <c r="AJ38" s="52"/>
      <c r="AK38" s="70">
        <v>29</v>
      </c>
      <c r="AL38" s="49">
        <f>資料儲存!D3390</f>
        <v>0</v>
      </c>
      <c r="AM38" s="49">
        <f>資料儲存!E3390</f>
        <v>0</v>
      </c>
      <c r="AN38" s="49">
        <f>資料儲存!F3390</f>
        <v>0</v>
      </c>
      <c r="AO38" s="49">
        <f>資料儲存!G3390</f>
        <v>0</v>
      </c>
      <c r="AP38" s="49">
        <f>資料儲存!H3390</f>
        <v>0</v>
      </c>
      <c r="AQ38" s="49">
        <f>資料儲存!I3390</f>
        <v>0</v>
      </c>
      <c r="AR38" s="49">
        <f>資料儲存!J3390</f>
        <v>0</v>
      </c>
      <c r="AT38" s="70">
        <v>29</v>
      </c>
      <c r="AU38" s="49">
        <f>資料儲存!D3510</f>
        <v>0</v>
      </c>
      <c r="AV38" s="49">
        <f>資料儲存!E3510</f>
        <v>0</v>
      </c>
      <c r="AW38" s="49">
        <f>資料儲存!F3510</f>
        <v>0</v>
      </c>
      <c r="AX38" s="49">
        <f>資料儲存!G3510</f>
        <v>0</v>
      </c>
      <c r="AY38" s="49">
        <f>資料儲存!H3510</f>
        <v>0</v>
      </c>
      <c r="AZ38" s="49">
        <f>資料儲存!I3510</f>
        <v>0</v>
      </c>
      <c r="BA38" s="49">
        <f>資料儲存!J3510</f>
        <v>0</v>
      </c>
    </row>
    <row r="39" spans="1:53" s="67" customFormat="1" ht="16" thickBot="1">
      <c r="A39" s="70">
        <v>30</v>
      </c>
      <c r="B39" s="49">
        <f>資料儲存!D2911</f>
        <v>0</v>
      </c>
      <c r="C39" s="49">
        <f>資料儲存!E2911</f>
        <v>0</v>
      </c>
      <c r="D39" s="49">
        <f>資料儲存!F2911</f>
        <v>0</v>
      </c>
      <c r="E39" s="49">
        <f>資料儲存!G2911</f>
        <v>0</v>
      </c>
      <c r="F39" s="49">
        <f>資料儲存!H2911</f>
        <v>0</v>
      </c>
      <c r="G39" s="49">
        <f>資料儲存!I2911</f>
        <v>0</v>
      </c>
      <c r="H39" s="49">
        <f>資料儲存!J2911</f>
        <v>0</v>
      </c>
      <c r="I39" s="52"/>
      <c r="J39" s="70">
        <v>30</v>
      </c>
      <c r="K39" s="49">
        <f>資料儲存!D3031</f>
        <v>0</v>
      </c>
      <c r="L39" s="49">
        <f>資料儲存!E3031</f>
        <v>0</v>
      </c>
      <c r="M39" s="49">
        <f>資料儲存!F3031</f>
        <v>0</v>
      </c>
      <c r="N39" s="49">
        <f>資料儲存!G3031</f>
        <v>0</v>
      </c>
      <c r="O39" s="49">
        <f>資料儲存!H3031</f>
        <v>0</v>
      </c>
      <c r="P39" s="49">
        <f>資料儲存!I3031</f>
        <v>0</v>
      </c>
      <c r="Q39" s="49">
        <f>資料儲存!J3031</f>
        <v>0</v>
      </c>
      <c r="R39" s="52"/>
      <c r="S39" s="70">
        <v>30</v>
      </c>
      <c r="T39" s="49">
        <f>資料儲存!D3151</f>
        <v>0</v>
      </c>
      <c r="U39" s="49">
        <f>資料儲存!E3151</f>
        <v>0</v>
      </c>
      <c r="V39" s="49">
        <f>資料儲存!F3151</f>
        <v>0</v>
      </c>
      <c r="W39" s="49">
        <f>資料儲存!G3151</f>
        <v>0</v>
      </c>
      <c r="X39" s="49">
        <f>資料儲存!H3151</f>
        <v>0</v>
      </c>
      <c r="Y39" s="49">
        <f>資料儲存!I3151</f>
        <v>0</v>
      </c>
      <c r="Z39" s="49">
        <f>資料儲存!J3151</f>
        <v>0</v>
      </c>
      <c r="AA39" s="52"/>
      <c r="AB39" s="70">
        <v>30</v>
      </c>
      <c r="AC39" s="49">
        <f>資料儲存!D3271</f>
        <v>0</v>
      </c>
      <c r="AD39" s="49">
        <f>資料儲存!E3271</f>
        <v>0</v>
      </c>
      <c r="AE39" s="49">
        <f>資料儲存!F3271</f>
        <v>0</v>
      </c>
      <c r="AF39" s="49">
        <f>資料儲存!G3271</f>
        <v>0</v>
      </c>
      <c r="AG39" s="49">
        <f>資料儲存!H3271</f>
        <v>0</v>
      </c>
      <c r="AH39" s="49">
        <f>資料儲存!I3271</f>
        <v>0</v>
      </c>
      <c r="AI39" s="49">
        <f>資料儲存!J3271</f>
        <v>0</v>
      </c>
      <c r="AJ39" s="52"/>
      <c r="AK39" s="70">
        <v>30</v>
      </c>
      <c r="AL39" s="49">
        <f>資料儲存!D3391</f>
        <v>0</v>
      </c>
      <c r="AM39" s="49">
        <f>資料儲存!E3391</f>
        <v>0</v>
      </c>
      <c r="AN39" s="49">
        <f>資料儲存!F3391</f>
        <v>0</v>
      </c>
      <c r="AO39" s="49">
        <f>資料儲存!G3391</f>
        <v>0</v>
      </c>
      <c r="AP39" s="49">
        <f>資料儲存!H3391</f>
        <v>0</v>
      </c>
      <c r="AQ39" s="49">
        <f>資料儲存!I3391</f>
        <v>0</v>
      </c>
      <c r="AR39" s="49">
        <f>資料儲存!J3391</f>
        <v>0</v>
      </c>
      <c r="AT39" s="70">
        <v>30</v>
      </c>
      <c r="AU39" s="49">
        <f>資料儲存!D3511</f>
        <v>0</v>
      </c>
      <c r="AV39" s="49">
        <f>資料儲存!E3511</f>
        <v>0</v>
      </c>
      <c r="AW39" s="49">
        <f>資料儲存!F3511</f>
        <v>0</v>
      </c>
      <c r="AX39" s="49">
        <f>資料儲存!G3511</f>
        <v>0</v>
      </c>
      <c r="AY39" s="49">
        <f>資料儲存!H3511</f>
        <v>0</v>
      </c>
      <c r="AZ39" s="49">
        <f>資料儲存!I3511</f>
        <v>0</v>
      </c>
      <c r="BA39" s="49">
        <f>資料儲存!J3511</f>
        <v>0</v>
      </c>
    </row>
    <row r="40" spans="1:53" s="67" customFormat="1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0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  <c r="AT40" s="50" t="s">
        <v>56</v>
      </c>
      <c r="AU40" s="49">
        <f>SUM(AU25:AX39)</f>
        <v>0</v>
      </c>
      <c r="AV40" s="47"/>
      <c r="AW40" s="47"/>
      <c r="AX40" s="47"/>
      <c r="AY40" s="49">
        <f>AY39</f>
        <v>0</v>
      </c>
      <c r="AZ40" s="49">
        <f>AZ39</f>
        <v>0</v>
      </c>
      <c r="BA40" s="49">
        <f>BA39</f>
        <v>0</v>
      </c>
    </row>
    <row r="41" spans="1:53" ht="18.5" thickBot="1">
      <c r="A41" s="257" t="s">
        <v>76</v>
      </c>
      <c r="B41" s="258"/>
      <c r="C41" s="258"/>
      <c r="D41" s="258"/>
      <c r="E41" s="258"/>
      <c r="F41" s="258"/>
      <c r="G41" s="258"/>
      <c r="H41" s="259"/>
      <c r="I41" s="14"/>
      <c r="J41" s="257" t="s">
        <v>76</v>
      </c>
      <c r="K41" s="258"/>
      <c r="L41" s="258"/>
      <c r="M41" s="258"/>
      <c r="N41" s="258"/>
      <c r="O41" s="258"/>
      <c r="P41" s="258"/>
      <c r="Q41" s="259"/>
      <c r="R41" s="14"/>
      <c r="S41" s="257" t="s">
        <v>76</v>
      </c>
      <c r="T41" s="258"/>
      <c r="U41" s="258"/>
      <c r="V41" s="258"/>
      <c r="W41" s="258"/>
      <c r="X41" s="258"/>
      <c r="Y41" s="258"/>
      <c r="Z41" s="259"/>
      <c r="AA41" s="14"/>
      <c r="AB41" s="257" t="s">
        <v>76</v>
      </c>
      <c r="AC41" s="258"/>
      <c r="AD41" s="258"/>
      <c r="AE41" s="258"/>
      <c r="AF41" s="258"/>
      <c r="AG41" s="258"/>
      <c r="AH41" s="258"/>
      <c r="AI41" s="259"/>
      <c r="AJ41" s="14"/>
      <c r="AK41" s="257" t="s">
        <v>76</v>
      </c>
      <c r="AL41" s="258"/>
      <c r="AM41" s="258"/>
      <c r="AN41" s="258"/>
      <c r="AO41" s="258"/>
      <c r="AP41" s="258"/>
      <c r="AQ41" s="258"/>
      <c r="AR41" s="259"/>
      <c r="AT41" s="257" t="s">
        <v>76</v>
      </c>
      <c r="AU41" s="258"/>
      <c r="AV41" s="258"/>
      <c r="AW41" s="258"/>
      <c r="AX41" s="258"/>
      <c r="AY41" s="258"/>
      <c r="AZ41" s="258"/>
      <c r="BA41" s="259"/>
    </row>
    <row r="42" spans="1:53" s="59" customFormat="1" ht="17.25" customHeight="1" thickBot="1">
      <c r="A42" s="54" t="s">
        <v>2</v>
      </c>
      <c r="B42" s="55" t="s">
        <v>46</v>
      </c>
      <c r="C42" s="56"/>
      <c r="D42" s="56"/>
      <c r="E42" s="57"/>
      <c r="F42" s="55" t="s">
        <v>47</v>
      </c>
      <c r="G42" s="56"/>
      <c r="H42" s="57"/>
      <c r="I42" s="58"/>
      <c r="J42" s="54" t="s">
        <v>2</v>
      </c>
      <c r="K42" s="55" t="s">
        <v>46</v>
      </c>
      <c r="L42" s="56"/>
      <c r="M42" s="56"/>
      <c r="N42" s="57"/>
      <c r="O42" s="55" t="s">
        <v>47</v>
      </c>
      <c r="P42" s="56"/>
      <c r="Q42" s="57"/>
      <c r="R42" s="58"/>
      <c r="S42" s="54" t="s">
        <v>2</v>
      </c>
      <c r="T42" s="55" t="s">
        <v>46</v>
      </c>
      <c r="U42" s="56"/>
      <c r="V42" s="56"/>
      <c r="W42" s="57"/>
      <c r="X42" s="55" t="s">
        <v>47</v>
      </c>
      <c r="Y42" s="56"/>
      <c r="Z42" s="57"/>
      <c r="AA42" s="58"/>
      <c r="AB42" s="54" t="s">
        <v>2</v>
      </c>
      <c r="AC42" s="55" t="s">
        <v>46</v>
      </c>
      <c r="AD42" s="56"/>
      <c r="AE42" s="56"/>
      <c r="AF42" s="57"/>
      <c r="AG42" s="55" t="s">
        <v>47</v>
      </c>
      <c r="AH42" s="56"/>
      <c r="AI42" s="57"/>
      <c r="AJ42" s="58"/>
      <c r="AK42" s="54" t="s">
        <v>2</v>
      </c>
      <c r="AL42" s="55" t="s">
        <v>46</v>
      </c>
      <c r="AM42" s="56"/>
      <c r="AN42" s="56"/>
      <c r="AO42" s="57"/>
      <c r="AP42" s="55" t="s">
        <v>47</v>
      </c>
      <c r="AQ42" s="56"/>
      <c r="AR42" s="57"/>
      <c r="AT42" s="54" t="s">
        <v>2</v>
      </c>
      <c r="AU42" s="55" t="s">
        <v>46</v>
      </c>
      <c r="AV42" s="56"/>
      <c r="AW42" s="56"/>
      <c r="AX42" s="57"/>
      <c r="AY42" s="55" t="s">
        <v>47</v>
      </c>
      <c r="AZ42" s="56"/>
      <c r="BA42" s="57"/>
    </row>
    <row r="43" spans="1:53" s="59" customFormat="1" ht="16" thickBot="1">
      <c r="A43" s="60" t="s">
        <v>77</v>
      </c>
      <c r="B43" s="61" t="s">
        <v>49</v>
      </c>
      <c r="C43" s="61" t="s">
        <v>50</v>
      </c>
      <c r="D43" s="61" t="s">
        <v>51</v>
      </c>
      <c r="E43" s="61" t="s">
        <v>52</v>
      </c>
      <c r="F43" s="61" t="s">
        <v>53</v>
      </c>
      <c r="G43" s="61" t="s">
        <v>54</v>
      </c>
      <c r="H43" s="61" t="s">
        <v>55</v>
      </c>
      <c r="I43" s="58"/>
      <c r="J43" s="60" t="s">
        <v>77</v>
      </c>
      <c r="K43" s="61" t="s">
        <v>49</v>
      </c>
      <c r="L43" s="61" t="s">
        <v>50</v>
      </c>
      <c r="M43" s="61" t="s">
        <v>51</v>
      </c>
      <c r="N43" s="61" t="s">
        <v>52</v>
      </c>
      <c r="O43" s="61" t="s">
        <v>53</v>
      </c>
      <c r="P43" s="61" t="s">
        <v>54</v>
      </c>
      <c r="Q43" s="61" t="s">
        <v>55</v>
      </c>
      <c r="R43" s="58"/>
      <c r="S43" s="60" t="s">
        <v>77</v>
      </c>
      <c r="T43" s="61" t="s">
        <v>49</v>
      </c>
      <c r="U43" s="61" t="s">
        <v>50</v>
      </c>
      <c r="V43" s="61" t="s">
        <v>51</v>
      </c>
      <c r="W43" s="61" t="s">
        <v>52</v>
      </c>
      <c r="X43" s="61" t="s">
        <v>53</v>
      </c>
      <c r="Y43" s="61" t="s">
        <v>54</v>
      </c>
      <c r="Z43" s="61" t="s">
        <v>55</v>
      </c>
      <c r="AA43" s="58"/>
      <c r="AB43" s="60" t="s">
        <v>77</v>
      </c>
      <c r="AC43" s="61" t="s">
        <v>49</v>
      </c>
      <c r="AD43" s="61" t="s">
        <v>50</v>
      </c>
      <c r="AE43" s="61" t="s">
        <v>51</v>
      </c>
      <c r="AF43" s="61" t="s">
        <v>52</v>
      </c>
      <c r="AG43" s="61" t="s">
        <v>53</v>
      </c>
      <c r="AH43" s="61" t="s">
        <v>54</v>
      </c>
      <c r="AI43" s="61" t="s">
        <v>55</v>
      </c>
      <c r="AJ43" s="58"/>
      <c r="AK43" s="60" t="s">
        <v>77</v>
      </c>
      <c r="AL43" s="61" t="s">
        <v>49</v>
      </c>
      <c r="AM43" s="61" t="s">
        <v>50</v>
      </c>
      <c r="AN43" s="61" t="s">
        <v>51</v>
      </c>
      <c r="AO43" s="61" t="s">
        <v>52</v>
      </c>
      <c r="AP43" s="61" t="s">
        <v>53</v>
      </c>
      <c r="AQ43" s="61" t="s">
        <v>54</v>
      </c>
      <c r="AR43" s="61" t="s">
        <v>55</v>
      </c>
      <c r="AT43" s="60" t="s">
        <v>77</v>
      </c>
      <c r="AU43" s="61" t="s">
        <v>49</v>
      </c>
      <c r="AV43" s="61" t="s">
        <v>50</v>
      </c>
      <c r="AW43" s="61" t="s">
        <v>51</v>
      </c>
      <c r="AX43" s="61" t="s">
        <v>52</v>
      </c>
      <c r="AY43" s="61" t="s">
        <v>53</v>
      </c>
      <c r="AZ43" s="61" t="s">
        <v>54</v>
      </c>
      <c r="BA43" s="61" t="s">
        <v>55</v>
      </c>
    </row>
    <row r="44" spans="1:53" s="59" customFormat="1" ht="16" thickBot="1">
      <c r="A44" s="62">
        <v>31</v>
      </c>
      <c r="B44" s="39">
        <f>資料儲存!D2912</f>
        <v>0</v>
      </c>
      <c r="C44" s="39">
        <f>資料儲存!E2912</f>
        <v>0</v>
      </c>
      <c r="D44" s="39">
        <f>資料儲存!F2912</f>
        <v>0</v>
      </c>
      <c r="E44" s="39">
        <f>資料儲存!G2912</f>
        <v>0</v>
      </c>
      <c r="F44" s="39">
        <f>資料儲存!H2912</f>
        <v>0</v>
      </c>
      <c r="G44" s="39">
        <f>資料儲存!I2912</f>
        <v>0</v>
      </c>
      <c r="H44" s="39">
        <f>資料儲存!J2912</f>
        <v>0</v>
      </c>
      <c r="I44" s="58"/>
      <c r="J44" s="62">
        <v>31</v>
      </c>
      <c r="K44" s="39">
        <f>資料儲存!D3032</f>
        <v>0</v>
      </c>
      <c r="L44" s="39">
        <f>資料儲存!E3032</f>
        <v>0</v>
      </c>
      <c r="M44" s="39">
        <f>資料儲存!F3032</f>
        <v>0</v>
      </c>
      <c r="N44" s="39">
        <f>資料儲存!G3032</f>
        <v>0</v>
      </c>
      <c r="O44" s="39">
        <f>資料儲存!H3032</f>
        <v>0</v>
      </c>
      <c r="P44" s="39">
        <f>資料儲存!I3032</f>
        <v>0</v>
      </c>
      <c r="Q44" s="39">
        <f>資料儲存!J3032</f>
        <v>0</v>
      </c>
      <c r="R44" s="58"/>
      <c r="S44" s="62">
        <v>31</v>
      </c>
      <c r="T44" s="39">
        <f>資料儲存!D3152</f>
        <v>0</v>
      </c>
      <c r="U44" s="39">
        <f>資料儲存!E3152</f>
        <v>0</v>
      </c>
      <c r="V44" s="39">
        <f>資料儲存!F3152</f>
        <v>0</v>
      </c>
      <c r="W44" s="39">
        <f>資料儲存!G3152</f>
        <v>0</v>
      </c>
      <c r="X44" s="39">
        <f>資料儲存!H3152</f>
        <v>0</v>
      </c>
      <c r="Y44" s="39">
        <f>資料儲存!I3152</f>
        <v>0</v>
      </c>
      <c r="Z44" s="39">
        <f>資料儲存!J3152</f>
        <v>0</v>
      </c>
      <c r="AA44" s="58"/>
      <c r="AB44" s="62">
        <v>31</v>
      </c>
      <c r="AC44" s="39">
        <f>資料儲存!D3272</f>
        <v>0</v>
      </c>
      <c r="AD44" s="39">
        <f>資料儲存!E3272</f>
        <v>0</v>
      </c>
      <c r="AE44" s="39">
        <f>資料儲存!F3272</f>
        <v>0</v>
      </c>
      <c r="AF44" s="39">
        <f>資料儲存!G3272</f>
        <v>0</v>
      </c>
      <c r="AG44" s="39">
        <f>資料儲存!H3272</f>
        <v>0</v>
      </c>
      <c r="AH44" s="39">
        <f>資料儲存!I3272</f>
        <v>0</v>
      </c>
      <c r="AI44" s="39">
        <f>資料儲存!J3272</f>
        <v>0</v>
      </c>
      <c r="AJ44" s="58"/>
      <c r="AK44" s="62">
        <v>31</v>
      </c>
      <c r="AL44" s="39">
        <f>資料儲存!D3392</f>
        <v>0</v>
      </c>
      <c r="AM44" s="39">
        <f>資料儲存!E3392</f>
        <v>0</v>
      </c>
      <c r="AN44" s="39">
        <f>資料儲存!F3392</f>
        <v>0</v>
      </c>
      <c r="AO44" s="39">
        <f>資料儲存!G3392</f>
        <v>0</v>
      </c>
      <c r="AP44" s="39">
        <f>資料儲存!H3392</f>
        <v>0</v>
      </c>
      <c r="AQ44" s="39">
        <f>資料儲存!I3392</f>
        <v>0</v>
      </c>
      <c r="AR44" s="39">
        <f>資料儲存!J3392</f>
        <v>0</v>
      </c>
      <c r="AT44" s="62">
        <v>31</v>
      </c>
      <c r="AU44" s="39">
        <f>資料儲存!D3512</f>
        <v>0</v>
      </c>
      <c r="AV44" s="39">
        <f>資料儲存!E3512</f>
        <v>0</v>
      </c>
      <c r="AW44" s="39">
        <f>資料儲存!F3512</f>
        <v>0</v>
      </c>
      <c r="AX44" s="39">
        <f>資料儲存!G3512</f>
        <v>0</v>
      </c>
      <c r="AY44" s="39">
        <f>資料儲存!H3512</f>
        <v>0</v>
      </c>
      <c r="AZ44" s="39">
        <f>資料儲存!I3512</f>
        <v>0</v>
      </c>
      <c r="BA44" s="39">
        <f>資料儲存!J3512</f>
        <v>0</v>
      </c>
    </row>
    <row r="45" spans="1:53" s="59" customFormat="1" ht="16" thickBot="1">
      <c r="A45" s="62">
        <v>32</v>
      </c>
      <c r="B45" s="39">
        <f>資料儲存!D2913</f>
        <v>0</v>
      </c>
      <c r="C45" s="39">
        <f>資料儲存!E2913</f>
        <v>0</v>
      </c>
      <c r="D45" s="39">
        <f>資料儲存!F2913</f>
        <v>0</v>
      </c>
      <c r="E45" s="39">
        <f>資料儲存!G2913</f>
        <v>0</v>
      </c>
      <c r="F45" s="39">
        <f>資料儲存!H2913</f>
        <v>0</v>
      </c>
      <c r="G45" s="39">
        <f>資料儲存!I2913</f>
        <v>0</v>
      </c>
      <c r="H45" s="39">
        <f>資料儲存!J2913</f>
        <v>0</v>
      </c>
      <c r="I45" s="58"/>
      <c r="J45" s="62">
        <v>32</v>
      </c>
      <c r="K45" s="39">
        <f>資料儲存!D3033</f>
        <v>0</v>
      </c>
      <c r="L45" s="39">
        <f>資料儲存!E3033</f>
        <v>0</v>
      </c>
      <c r="M45" s="39">
        <f>資料儲存!F3033</f>
        <v>0</v>
      </c>
      <c r="N45" s="39">
        <f>資料儲存!G3033</f>
        <v>0</v>
      </c>
      <c r="O45" s="39">
        <f>資料儲存!H3033</f>
        <v>0</v>
      </c>
      <c r="P45" s="39">
        <f>資料儲存!I3033</f>
        <v>0</v>
      </c>
      <c r="Q45" s="39">
        <f>資料儲存!J3033</f>
        <v>0</v>
      </c>
      <c r="R45" s="58"/>
      <c r="S45" s="62">
        <v>32</v>
      </c>
      <c r="T45" s="39">
        <f>資料儲存!D3153</f>
        <v>0</v>
      </c>
      <c r="U45" s="39">
        <f>資料儲存!E3153</f>
        <v>0</v>
      </c>
      <c r="V45" s="39">
        <f>資料儲存!F3153</f>
        <v>0</v>
      </c>
      <c r="W45" s="39">
        <f>資料儲存!G3153</f>
        <v>0</v>
      </c>
      <c r="X45" s="39">
        <f>資料儲存!H3153</f>
        <v>0</v>
      </c>
      <c r="Y45" s="39">
        <f>資料儲存!I3153</f>
        <v>0</v>
      </c>
      <c r="Z45" s="39">
        <f>資料儲存!J3153</f>
        <v>0</v>
      </c>
      <c r="AA45" s="58"/>
      <c r="AB45" s="62">
        <v>32</v>
      </c>
      <c r="AC45" s="39">
        <f>資料儲存!D3273</f>
        <v>0</v>
      </c>
      <c r="AD45" s="39">
        <f>資料儲存!E3273</f>
        <v>0</v>
      </c>
      <c r="AE45" s="39">
        <f>資料儲存!F3273</f>
        <v>0</v>
      </c>
      <c r="AF45" s="39">
        <f>資料儲存!G3273</f>
        <v>0</v>
      </c>
      <c r="AG45" s="39">
        <f>資料儲存!H3273</f>
        <v>0</v>
      </c>
      <c r="AH45" s="39">
        <f>資料儲存!I3273</f>
        <v>0</v>
      </c>
      <c r="AI45" s="39">
        <f>資料儲存!J3273</f>
        <v>0</v>
      </c>
      <c r="AJ45" s="58"/>
      <c r="AK45" s="62">
        <v>32</v>
      </c>
      <c r="AL45" s="39">
        <f>資料儲存!D3393</f>
        <v>0</v>
      </c>
      <c r="AM45" s="39">
        <f>資料儲存!E3393</f>
        <v>0</v>
      </c>
      <c r="AN45" s="39">
        <f>資料儲存!F3393</f>
        <v>0</v>
      </c>
      <c r="AO45" s="39">
        <f>資料儲存!G3393</f>
        <v>0</v>
      </c>
      <c r="AP45" s="39">
        <f>資料儲存!H3393</f>
        <v>0</v>
      </c>
      <c r="AQ45" s="39">
        <f>資料儲存!I3393</f>
        <v>0</v>
      </c>
      <c r="AR45" s="39">
        <f>資料儲存!J3393</f>
        <v>0</v>
      </c>
      <c r="AT45" s="62">
        <v>32</v>
      </c>
      <c r="AU45" s="39">
        <f>資料儲存!D3513</f>
        <v>0</v>
      </c>
      <c r="AV45" s="39">
        <f>資料儲存!E3513</f>
        <v>0</v>
      </c>
      <c r="AW45" s="39">
        <f>資料儲存!F3513</f>
        <v>0</v>
      </c>
      <c r="AX45" s="39">
        <f>資料儲存!G3513</f>
        <v>0</v>
      </c>
      <c r="AY45" s="39">
        <f>資料儲存!H3513</f>
        <v>0</v>
      </c>
      <c r="AZ45" s="39">
        <f>資料儲存!I3513</f>
        <v>0</v>
      </c>
      <c r="BA45" s="39">
        <f>資料儲存!J3513</f>
        <v>0</v>
      </c>
    </row>
    <row r="46" spans="1:53" s="59" customFormat="1" ht="16" thickBot="1">
      <c r="A46" s="62">
        <v>33</v>
      </c>
      <c r="B46" s="39">
        <f>資料儲存!D2914</f>
        <v>0</v>
      </c>
      <c r="C46" s="39">
        <f>資料儲存!E2914</f>
        <v>0</v>
      </c>
      <c r="D46" s="39">
        <f>資料儲存!F2914</f>
        <v>0</v>
      </c>
      <c r="E46" s="39">
        <f>資料儲存!G2914</f>
        <v>0</v>
      </c>
      <c r="F46" s="39">
        <f>資料儲存!H2914</f>
        <v>0</v>
      </c>
      <c r="G46" s="39">
        <f>資料儲存!I2914</f>
        <v>0</v>
      </c>
      <c r="H46" s="39">
        <f>資料儲存!J2914</f>
        <v>0</v>
      </c>
      <c r="I46" s="58"/>
      <c r="J46" s="62">
        <v>33</v>
      </c>
      <c r="K46" s="39">
        <f>資料儲存!D3034</f>
        <v>0</v>
      </c>
      <c r="L46" s="39">
        <f>資料儲存!E3034</f>
        <v>0</v>
      </c>
      <c r="M46" s="39">
        <f>資料儲存!F3034</f>
        <v>0</v>
      </c>
      <c r="N46" s="39">
        <f>資料儲存!G3034</f>
        <v>0</v>
      </c>
      <c r="O46" s="39">
        <f>資料儲存!H3034</f>
        <v>0</v>
      </c>
      <c r="P46" s="39">
        <f>資料儲存!I3034</f>
        <v>0</v>
      </c>
      <c r="Q46" s="39">
        <f>資料儲存!J3034</f>
        <v>0</v>
      </c>
      <c r="R46" s="58"/>
      <c r="S46" s="62">
        <v>33</v>
      </c>
      <c r="T46" s="39">
        <f>資料儲存!D3154</f>
        <v>0</v>
      </c>
      <c r="U46" s="39">
        <f>資料儲存!E3154</f>
        <v>0</v>
      </c>
      <c r="V46" s="39">
        <f>資料儲存!F3154</f>
        <v>0</v>
      </c>
      <c r="W46" s="39">
        <f>資料儲存!G3154</f>
        <v>0</v>
      </c>
      <c r="X46" s="39">
        <f>資料儲存!H3154</f>
        <v>0</v>
      </c>
      <c r="Y46" s="39">
        <f>資料儲存!I3154</f>
        <v>0</v>
      </c>
      <c r="Z46" s="39">
        <f>資料儲存!J3154</f>
        <v>0</v>
      </c>
      <c r="AA46" s="58"/>
      <c r="AB46" s="62">
        <v>33</v>
      </c>
      <c r="AC46" s="39">
        <f>資料儲存!D3274</f>
        <v>0</v>
      </c>
      <c r="AD46" s="39">
        <f>資料儲存!E3274</f>
        <v>0</v>
      </c>
      <c r="AE46" s="39">
        <f>資料儲存!F3274</f>
        <v>0</v>
      </c>
      <c r="AF46" s="39">
        <f>資料儲存!G3274</f>
        <v>0</v>
      </c>
      <c r="AG46" s="39">
        <f>資料儲存!H3274</f>
        <v>0</v>
      </c>
      <c r="AH46" s="39">
        <f>資料儲存!I3274</f>
        <v>0</v>
      </c>
      <c r="AI46" s="39">
        <f>資料儲存!J3274</f>
        <v>0</v>
      </c>
      <c r="AJ46" s="58"/>
      <c r="AK46" s="62">
        <v>33</v>
      </c>
      <c r="AL46" s="39">
        <f>資料儲存!D3394</f>
        <v>0</v>
      </c>
      <c r="AM46" s="39">
        <f>資料儲存!E3394</f>
        <v>0</v>
      </c>
      <c r="AN46" s="39">
        <f>資料儲存!F3394</f>
        <v>0</v>
      </c>
      <c r="AO46" s="39">
        <f>資料儲存!G3394</f>
        <v>0</v>
      </c>
      <c r="AP46" s="39">
        <f>資料儲存!H3394</f>
        <v>0</v>
      </c>
      <c r="AQ46" s="39">
        <f>資料儲存!I3394</f>
        <v>0</v>
      </c>
      <c r="AR46" s="39">
        <f>資料儲存!J3394</f>
        <v>0</v>
      </c>
      <c r="AT46" s="62">
        <v>33</v>
      </c>
      <c r="AU46" s="39">
        <f>資料儲存!D3514</f>
        <v>0</v>
      </c>
      <c r="AV46" s="39">
        <f>資料儲存!E3514</f>
        <v>0</v>
      </c>
      <c r="AW46" s="39">
        <f>資料儲存!F3514</f>
        <v>0</v>
      </c>
      <c r="AX46" s="39">
        <f>資料儲存!G3514</f>
        <v>0</v>
      </c>
      <c r="AY46" s="39">
        <f>資料儲存!H3514</f>
        <v>0</v>
      </c>
      <c r="AZ46" s="39">
        <f>資料儲存!I3514</f>
        <v>0</v>
      </c>
      <c r="BA46" s="39">
        <f>資料儲存!J3514</f>
        <v>0</v>
      </c>
    </row>
    <row r="47" spans="1:53" s="59" customFormat="1" ht="16" thickBot="1">
      <c r="A47" s="62">
        <v>34</v>
      </c>
      <c r="B47" s="39">
        <f>資料儲存!D2915</f>
        <v>0</v>
      </c>
      <c r="C47" s="39">
        <f>資料儲存!E2915</f>
        <v>0</v>
      </c>
      <c r="D47" s="39">
        <f>資料儲存!F2915</f>
        <v>0</v>
      </c>
      <c r="E47" s="39">
        <f>資料儲存!G2915</f>
        <v>0</v>
      </c>
      <c r="F47" s="39">
        <f>資料儲存!H2915</f>
        <v>0</v>
      </c>
      <c r="G47" s="39">
        <f>資料儲存!I2915</f>
        <v>0</v>
      </c>
      <c r="H47" s="39">
        <f>資料儲存!J2915</f>
        <v>0</v>
      </c>
      <c r="I47" s="58"/>
      <c r="J47" s="62">
        <v>34</v>
      </c>
      <c r="K47" s="39">
        <f>資料儲存!D3035</f>
        <v>0</v>
      </c>
      <c r="L47" s="39">
        <f>資料儲存!E3035</f>
        <v>0</v>
      </c>
      <c r="M47" s="39">
        <f>資料儲存!F3035</f>
        <v>0</v>
      </c>
      <c r="N47" s="39">
        <f>資料儲存!G3035</f>
        <v>0</v>
      </c>
      <c r="O47" s="39">
        <f>資料儲存!H3035</f>
        <v>0</v>
      </c>
      <c r="P47" s="39">
        <f>資料儲存!I3035</f>
        <v>0</v>
      </c>
      <c r="Q47" s="39">
        <f>資料儲存!J3035</f>
        <v>0</v>
      </c>
      <c r="R47" s="58"/>
      <c r="S47" s="62">
        <v>34</v>
      </c>
      <c r="T47" s="39">
        <f>資料儲存!D3155</f>
        <v>0</v>
      </c>
      <c r="U47" s="39">
        <f>資料儲存!E3155</f>
        <v>0</v>
      </c>
      <c r="V47" s="39">
        <f>資料儲存!F3155</f>
        <v>0</v>
      </c>
      <c r="W47" s="39">
        <f>資料儲存!G3155</f>
        <v>0</v>
      </c>
      <c r="X47" s="39">
        <f>資料儲存!H3155</f>
        <v>0</v>
      </c>
      <c r="Y47" s="39">
        <f>資料儲存!I3155</f>
        <v>0</v>
      </c>
      <c r="Z47" s="39">
        <f>資料儲存!J3155</f>
        <v>0</v>
      </c>
      <c r="AA47" s="58"/>
      <c r="AB47" s="62">
        <v>34</v>
      </c>
      <c r="AC47" s="39">
        <f>資料儲存!D3275</f>
        <v>0</v>
      </c>
      <c r="AD47" s="39">
        <f>資料儲存!E3275</f>
        <v>0</v>
      </c>
      <c r="AE47" s="39">
        <f>資料儲存!F3275</f>
        <v>0</v>
      </c>
      <c r="AF47" s="39">
        <f>資料儲存!G3275</f>
        <v>0</v>
      </c>
      <c r="AG47" s="39">
        <f>資料儲存!H3275</f>
        <v>0</v>
      </c>
      <c r="AH47" s="39">
        <f>資料儲存!I3275</f>
        <v>0</v>
      </c>
      <c r="AI47" s="39">
        <f>資料儲存!J3275</f>
        <v>0</v>
      </c>
      <c r="AJ47" s="58"/>
      <c r="AK47" s="62">
        <v>34</v>
      </c>
      <c r="AL47" s="39">
        <f>資料儲存!D3395</f>
        <v>0</v>
      </c>
      <c r="AM47" s="39">
        <f>資料儲存!E3395</f>
        <v>0</v>
      </c>
      <c r="AN47" s="39">
        <f>資料儲存!F3395</f>
        <v>0</v>
      </c>
      <c r="AO47" s="39">
        <f>資料儲存!G3395</f>
        <v>0</v>
      </c>
      <c r="AP47" s="39">
        <f>資料儲存!H3395</f>
        <v>0</v>
      </c>
      <c r="AQ47" s="39">
        <f>資料儲存!I3395</f>
        <v>0</v>
      </c>
      <c r="AR47" s="39">
        <f>資料儲存!J3395</f>
        <v>0</v>
      </c>
      <c r="AT47" s="62">
        <v>34</v>
      </c>
      <c r="AU47" s="39">
        <f>資料儲存!D3515</f>
        <v>0</v>
      </c>
      <c r="AV47" s="39">
        <f>資料儲存!E3515</f>
        <v>0</v>
      </c>
      <c r="AW47" s="39">
        <f>資料儲存!F3515</f>
        <v>0</v>
      </c>
      <c r="AX47" s="39">
        <f>資料儲存!G3515</f>
        <v>0</v>
      </c>
      <c r="AY47" s="39">
        <f>資料儲存!H3515</f>
        <v>0</v>
      </c>
      <c r="AZ47" s="39">
        <f>資料儲存!I3515</f>
        <v>0</v>
      </c>
      <c r="BA47" s="39">
        <f>資料儲存!J3515</f>
        <v>0</v>
      </c>
    </row>
    <row r="48" spans="1:53" s="59" customFormat="1" ht="16" thickBot="1">
      <c r="A48" s="62">
        <v>35</v>
      </c>
      <c r="B48" s="39">
        <f>資料儲存!D2916</f>
        <v>0</v>
      </c>
      <c r="C48" s="39">
        <f>資料儲存!E2916</f>
        <v>0</v>
      </c>
      <c r="D48" s="39">
        <f>資料儲存!F2916</f>
        <v>0</v>
      </c>
      <c r="E48" s="39">
        <f>資料儲存!G2916</f>
        <v>0</v>
      </c>
      <c r="F48" s="39">
        <f>資料儲存!H2916</f>
        <v>0</v>
      </c>
      <c r="G48" s="39">
        <f>資料儲存!I2916</f>
        <v>0</v>
      </c>
      <c r="H48" s="39">
        <f>資料儲存!J2916</f>
        <v>0</v>
      </c>
      <c r="I48" s="58"/>
      <c r="J48" s="62">
        <v>35</v>
      </c>
      <c r="K48" s="39">
        <f>資料儲存!D3036</f>
        <v>0</v>
      </c>
      <c r="L48" s="39">
        <f>資料儲存!E3036</f>
        <v>0</v>
      </c>
      <c r="M48" s="39">
        <f>資料儲存!F3036</f>
        <v>0</v>
      </c>
      <c r="N48" s="39">
        <f>資料儲存!G3036</f>
        <v>0</v>
      </c>
      <c r="O48" s="39">
        <f>資料儲存!H3036</f>
        <v>0</v>
      </c>
      <c r="P48" s="39">
        <f>資料儲存!I3036</f>
        <v>0</v>
      </c>
      <c r="Q48" s="39">
        <f>資料儲存!J3036</f>
        <v>0</v>
      </c>
      <c r="R48" s="58"/>
      <c r="S48" s="62">
        <v>35</v>
      </c>
      <c r="T48" s="39">
        <f>資料儲存!D3156</f>
        <v>0</v>
      </c>
      <c r="U48" s="39">
        <f>資料儲存!E3156</f>
        <v>0</v>
      </c>
      <c r="V48" s="39">
        <f>資料儲存!F3156</f>
        <v>0</v>
      </c>
      <c r="W48" s="39">
        <f>資料儲存!G3156</f>
        <v>0</v>
      </c>
      <c r="X48" s="39">
        <f>資料儲存!H3156</f>
        <v>0</v>
      </c>
      <c r="Y48" s="39">
        <f>資料儲存!I3156</f>
        <v>0</v>
      </c>
      <c r="Z48" s="39">
        <f>資料儲存!J3156</f>
        <v>0</v>
      </c>
      <c r="AA48" s="58"/>
      <c r="AB48" s="62">
        <v>35</v>
      </c>
      <c r="AC48" s="39">
        <f>資料儲存!D3276</f>
        <v>0</v>
      </c>
      <c r="AD48" s="39">
        <f>資料儲存!E3276</f>
        <v>0</v>
      </c>
      <c r="AE48" s="39">
        <f>資料儲存!F3276</f>
        <v>0</v>
      </c>
      <c r="AF48" s="39">
        <f>資料儲存!G3276</f>
        <v>0</v>
      </c>
      <c r="AG48" s="39">
        <f>資料儲存!H3276</f>
        <v>0</v>
      </c>
      <c r="AH48" s="39">
        <f>資料儲存!I3276</f>
        <v>0</v>
      </c>
      <c r="AI48" s="39">
        <f>資料儲存!J3276</f>
        <v>0</v>
      </c>
      <c r="AJ48" s="58"/>
      <c r="AK48" s="62">
        <v>35</v>
      </c>
      <c r="AL48" s="39">
        <f>資料儲存!D3396</f>
        <v>0</v>
      </c>
      <c r="AM48" s="39">
        <f>資料儲存!E3396</f>
        <v>0</v>
      </c>
      <c r="AN48" s="39">
        <f>資料儲存!F3396</f>
        <v>0</v>
      </c>
      <c r="AO48" s="39">
        <f>資料儲存!G3396</f>
        <v>0</v>
      </c>
      <c r="AP48" s="39">
        <f>資料儲存!H3396</f>
        <v>0</v>
      </c>
      <c r="AQ48" s="39">
        <f>資料儲存!I3396</f>
        <v>0</v>
      </c>
      <c r="AR48" s="39">
        <f>資料儲存!J3396</f>
        <v>0</v>
      </c>
      <c r="AT48" s="62">
        <v>35</v>
      </c>
      <c r="AU48" s="39">
        <f>資料儲存!D3516</f>
        <v>0</v>
      </c>
      <c r="AV48" s="39">
        <f>資料儲存!E3516</f>
        <v>0</v>
      </c>
      <c r="AW48" s="39">
        <f>資料儲存!F3516</f>
        <v>0</v>
      </c>
      <c r="AX48" s="39">
        <f>資料儲存!G3516</f>
        <v>0</v>
      </c>
      <c r="AY48" s="39">
        <f>資料儲存!H3516</f>
        <v>0</v>
      </c>
      <c r="AZ48" s="39">
        <f>資料儲存!I3516</f>
        <v>0</v>
      </c>
      <c r="BA48" s="39">
        <f>資料儲存!J3516</f>
        <v>0</v>
      </c>
    </row>
    <row r="49" spans="1:53" s="59" customFormat="1" ht="16" thickBot="1">
      <c r="A49" s="62">
        <v>36</v>
      </c>
      <c r="B49" s="39">
        <f>資料儲存!D2917</f>
        <v>0</v>
      </c>
      <c r="C49" s="39">
        <f>資料儲存!E2917</f>
        <v>0</v>
      </c>
      <c r="D49" s="39">
        <f>資料儲存!F2917</f>
        <v>0</v>
      </c>
      <c r="E49" s="39">
        <f>資料儲存!G2917</f>
        <v>0</v>
      </c>
      <c r="F49" s="39">
        <f>資料儲存!H2917</f>
        <v>0</v>
      </c>
      <c r="G49" s="39">
        <f>資料儲存!I2917</f>
        <v>0</v>
      </c>
      <c r="H49" s="39">
        <f>資料儲存!J2917</f>
        <v>0</v>
      </c>
      <c r="I49" s="58"/>
      <c r="J49" s="62">
        <v>36</v>
      </c>
      <c r="K49" s="39">
        <f>資料儲存!D3037</f>
        <v>0</v>
      </c>
      <c r="L49" s="39">
        <f>資料儲存!E3037</f>
        <v>0</v>
      </c>
      <c r="M49" s="39">
        <f>資料儲存!F3037</f>
        <v>0</v>
      </c>
      <c r="N49" s="39">
        <f>資料儲存!G3037</f>
        <v>0</v>
      </c>
      <c r="O49" s="39">
        <f>資料儲存!H3037</f>
        <v>0</v>
      </c>
      <c r="P49" s="39">
        <f>資料儲存!I3037</f>
        <v>0</v>
      </c>
      <c r="Q49" s="39">
        <f>資料儲存!J3037</f>
        <v>0</v>
      </c>
      <c r="R49" s="58"/>
      <c r="S49" s="62">
        <v>36</v>
      </c>
      <c r="T49" s="39">
        <f>資料儲存!D3157</f>
        <v>0</v>
      </c>
      <c r="U49" s="39">
        <f>資料儲存!E3157</f>
        <v>0</v>
      </c>
      <c r="V49" s="39">
        <f>資料儲存!F3157</f>
        <v>0</v>
      </c>
      <c r="W49" s="39">
        <f>資料儲存!G3157</f>
        <v>0</v>
      </c>
      <c r="X49" s="39">
        <f>資料儲存!H3157</f>
        <v>0</v>
      </c>
      <c r="Y49" s="39">
        <f>資料儲存!I3157</f>
        <v>0</v>
      </c>
      <c r="Z49" s="39">
        <f>資料儲存!J3157</f>
        <v>0</v>
      </c>
      <c r="AA49" s="58"/>
      <c r="AB49" s="62">
        <v>36</v>
      </c>
      <c r="AC49" s="39">
        <f>資料儲存!D3277</f>
        <v>0</v>
      </c>
      <c r="AD49" s="39">
        <f>資料儲存!E3277</f>
        <v>0</v>
      </c>
      <c r="AE49" s="39">
        <f>資料儲存!F3277</f>
        <v>0</v>
      </c>
      <c r="AF49" s="39">
        <f>資料儲存!G3277</f>
        <v>0</v>
      </c>
      <c r="AG49" s="39">
        <f>資料儲存!H3277</f>
        <v>0</v>
      </c>
      <c r="AH49" s="39">
        <f>資料儲存!I3277</f>
        <v>0</v>
      </c>
      <c r="AI49" s="39">
        <f>資料儲存!J3277</f>
        <v>0</v>
      </c>
      <c r="AJ49" s="58"/>
      <c r="AK49" s="62">
        <v>36</v>
      </c>
      <c r="AL49" s="39">
        <f>資料儲存!D3397</f>
        <v>0</v>
      </c>
      <c r="AM49" s="39">
        <f>資料儲存!E3397</f>
        <v>0</v>
      </c>
      <c r="AN49" s="39">
        <f>資料儲存!F3397</f>
        <v>0</v>
      </c>
      <c r="AO49" s="39">
        <f>資料儲存!G3397</f>
        <v>0</v>
      </c>
      <c r="AP49" s="39">
        <f>資料儲存!H3397</f>
        <v>0</v>
      </c>
      <c r="AQ49" s="39">
        <f>資料儲存!I3397</f>
        <v>0</v>
      </c>
      <c r="AR49" s="39">
        <f>資料儲存!J3397</f>
        <v>0</v>
      </c>
      <c r="AT49" s="62">
        <v>36</v>
      </c>
      <c r="AU49" s="39">
        <f>資料儲存!D3517</f>
        <v>0</v>
      </c>
      <c r="AV49" s="39">
        <f>資料儲存!E3517</f>
        <v>0</v>
      </c>
      <c r="AW49" s="39">
        <f>資料儲存!F3517</f>
        <v>0</v>
      </c>
      <c r="AX49" s="39">
        <f>資料儲存!G3517</f>
        <v>0</v>
      </c>
      <c r="AY49" s="39">
        <f>資料儲存!H3517</f>
        <v>0</v>
      </c>
      <c r="AZ49" s="39">
        <f>資料儲存!I3517</f>
        <v>0</v>
      </c>
      <c r="BA49" s="39">
        <f>資料儲存!J3517</f>
        <v>0</v>
      </c>
    </row>
    <row r="50" spans="1:53" s="59" customFormat="1" ht="16" thickBot="1">
      <c r="A50" s="62">
        <v>37</v>
      </c>
      <c r="B50" s="39">
        <f>資料儲存!D2918</f>
        <v>0</v>
      </c>
      <c r="C50" s="39">
        <f>資料儲存!E2918</f>
        <v>0</v>
      </c>
      <c r="D50" s="39">
        <f>資料儲存!F2918</f>
        <v>0</v>
      </c>
      <c r="E50" s="39">
        <f>資料儲存!G2918</f>
        <v>0</v>
      </c>
      <c r="F50" s="39">
        <f>資料儲存!H2918</f>
        <v>0</v>
      </c>
      <c r="G50" s="39">
        <f>資料儲存!I2918</f>
        <v>0</v>
      </c>
      <c r="H50" s="39">
        <f>資料儲存!J2918</f>
        <v>0</v>
      </c>
      <c r="I50" s="58"/>
      <c r="J50" s="62">
        <v>37</v>
      </c>
      <c r="K50" s="39">
        <f>資料儲存!D3038</f>
        <v>0</v>
      </c>
      <c r="L50" s="39">
        <f>資料儲存!E3038</f>
        <v>0</v>
      </c>
      <c r="M50" s="39">
        <f>資料儲存!F3038</f>
        <v>0</v>
      </c>
      <c r="N50" s="39">
        <f>資料儲存!G3038</f>
        <v>0</v>
      </c>
      <c r="O50" s="39">
        <f>資料儲存!H3038</f>
        <v>0</v>
      </c>
      <c r="P50" s="39">
        <f>資料儲存!I3038</f>
        <v>0</v>
      </c>
      <c r="Q50" s="39">
        <f>資料儲存!J3038</f>
        <v>0</v>
      </c>
      <c r="R50" s="58"/>
      <c r="S50" s="62">
        <v>37</v>
      </c>
      <c r="T50" s="39">
        <f>資料儲存!D3158</f>
        <v>0</v>
      </c>
      <c r="U50" s="39">
        <f>資料儲存!E3158</f>
        <v>0</v>
      </c>
      <c r="V50" s="39">
        <f>資料儲存!F3158</f>
        <v>0</v>
      </c>
      <c r="W50" s="39">
        <f>資料儲存!G3158</f>
        <v>0</v>
      </c>
      <c r="X50" s="39">
        <f>資料儲存!H3158</f>
        <v>0</v>
      </c>
      <c r="Y50" s="39">
        <f>資料儲存!I3158</f>
        <v>0</v>
      </c>
      <c r="Z50" s="39">
        <f>資料儲存!J3158</f>
        <v>0</v>
      </c>
      <c r="AA50" s="58"/>
      <c r="AB50" s="62">
        <v>37</v>
      </c>
      <c r="AC50" s="39">
        <f>資料儲存!D3278</f>
        <v>0</v>
      </c>
      <c r="AD50" s="39">
        <f>資料儲存!E3278</f>
        <v>0</v>
      </c>
      <c r="AE50" s="39">
        <f>資料儲存!F3278</f>
        <v>0</v>
      </c>
      <c r="AF50" s="39">
        <f>資料儲存!G3278</f>
        <v>0</v>
      </c>
      <c r="AG50" s="39">
        <f>資料儲存!H3278</f>
        <v>0</v>
      </c>
      <c r="AH50" s="39">
        <f>資料儲存!I3278</f>
        <v>0</v>
      </c>
      <c r="AI50" s="39">
        <f>資料儲存!J3278</f>
        <v>0</v>
      </c>
      <c r="AJ50" s="58"/>
      <c r="AK50" s="62">
        <v>37</v>
      </c>
      <c r="AL50" s="39">
        <f>資料儲存!D3398</f>
        <v>0</v>
      </c>
      <c r="AM50" s="39">
        <f>資料儲存!E3398</f>
        <v>0</v>
      </c>
      <c r="AN50" s="39">
        <f>資料儲存!F3398</f>
        <v>0</v>
      </c>
      <c r="AO50" s="39">
        <f>資料儲存!G3398</f>
        <v>0</v>
      </c>
      <c r="AP50" s="39">
        <f>資料儲存!H3398</f>
        <v>0</v>
      </c>
      <c r="AQ50" s="39">
        <f>資料儲存!I3398</f>
        <v>0</v>
      </c>
      <c r="AR50" s="39">
        <f>資料儲存!J3398</f>
        <v>0</v>
      </c>
      <c r="AT50" s="62">
        <v>37</v>
      </c>
      <c r="AU50" s="39">
        <f>資料儲存!D3518</f>
        <v>0</v>
      </c>
      <c r="AV50" s="39">
        <f>資料儲存!E3518</f>
        <v>0</v>
      </c>
      <c r="AW50" s="39">
        <f>資料儲存!F3518</f>
        <v>0</v>
      </c>
      <c r="AX50" s="39">
        <f>資料儲存!G3518</f>
        <v>0</v>
      </c>
      <c r="AY50" s="39">
        <f>資料儲存!H3518</f>
        <v>0</v>
      </c>
      <c r="AZ50" s="39">
        <f>資料儲存!I3518</f>
        <v>0</v>
      </c>
      <c r="BA50" s="39">
        <f>資料儲存!J3518</f>
        <v>0</v>
      </c>
    </row>
    <row r="51" spans="1:53" s="59" customFormat="1" ht="16" thickBot="1">
      <c r="A51" s="62">
        <v>38</v>
      </c>
      <c r="B51" s="39">
        <f>資料儲存!D2919</f>
        <v>0</v>
      </c>
      <c r="C51" s="39">
        <f>資料儲存!E2919</f>
        <v>0</v>
      </c>
      <c r="D51" s="39">
        <f>資料儲存!F2919</f>
        <v>0</v>
      </c>
      <c r="E51" s="39">
        <f>資料儲存!G2919</f>
        <v>0</v>
      </c>
      <c r="F51" s="39">
        <f>資料儲存!H2919</f>
        <v>0</v>
      </c>
      <c r="G51" s="39">
        <f>資料儲存!I2919</f>
        <v>0</v>
      </c>
      <c r="H51" s="39">
        <f>資料儲存!J2919</f>
        <v>0</v>
      </c>
      <c r="I51" s="58"/>
      <c r="J51" s="62">
        <v>38</v>
      </c>
      <c r="K51" s="39">
        <f>資料儲存!D3039</f>
        <v>0</v>
      </c>
      <c r="L51" s="39">
        <f>資料儲存!E3039</f>
        <v>0</v>
      </c>
      <c r="M51" s="39">
        <f>資料儲存!F3039</f>
        <v>0</v>
      </c>
      <c r="N51" s="39">
        <f>資料儲存!G3039</f>
        <v>0</v>
      </c>
      <c r="O51" s="39">
        <f>資料儲存!H3039</f>
        <v>0</v>
      </c>
      <c r="P51" s="39">
        <f>資料儲存!I3039</f>
        <v>0</v>
      </c>
      <c r="Q51" s="39">
        <f>資料儲存!J3039</f>
        <v>0</v>
      </c>
      <c r="R51" s="58"/>
      <c r="S51" s="62">
        <v>38</v>
      </c>
      <c r="T51" s="39">
        <f>資料儲存!D3159</f>
        <v>0</v>
      </c>
      <c r="U51" s="39">
        <f>資料儲存!E3159</f>
        <v>0</v>
      </c>
      <c r="V51" s="39">
        <f>資料儲存!F3159</f>
        <v>0</v>
      </c>
      <c r="W51" s="39">
        <f>資料儲存!G3159</f>
        <v>0</v>
      </c>
      <c r="X51" s="39">
        <f>資料儲存!H3159</f>
        <v>0</v>
      </c>
      <c r="Y51" s="39">
        <f>資料儲存!I3159</f>
        <v>0</v>
      </c>
      <c r="Z51" s="39">
        <f>資料儲存!J3159</f>
        <v>0</v>
      </c>
      <c r="AA51" s="58"/>
      <c r="AB51" s="62">
        <v>38</v>
      </c>
      <c r="AC51" s="39">
        <f>資料儲存!D3279</f>
        <v>0</v>
      </c>
      <c r="AD51" s="39">
        <f>資料儲存!E3279</f>
        <v>0</v>
      </c>
      <c r="AE51" s="39">
        <f>資料儲存!F3279</f>
        <v>0</v>
      </c>
      <c r="AF51" s="39">
        <f>資料儲存!G3279</f>
        <v>0</v>
      </c>
      <c r="AG51" s="39">
        <f>資料儲存!H3279</f>
        <v>0</v>
      </c>
      <c r="AH51" s="39">
        <f>資料儲存!I3279</f>
        <v>0</v>
      </c>
      <c r="AI51" s="39">
        <f>資料儲存!J3279</f>
        <v>0</v>
      </c>
      <c r="AJ51" s="58"/>
      <c r="AK51" s="62">
        <v>38</v>
      </c>
      <c r="AL51" s="39">
        <f>資料儲存!D3399</f>
        <v>0</v>
      </c>
      <c r="AM51" s="39">
        <f>資料儲存!E3399</f>
        <v>0</v>
      </c>
      <c r="AN51" s="39">
        <f>資料儲存!F3399</f>
        <v>0</v>
      </c>
      <c r="AO51" s="39">
        <f>資料儲存!G3399</f>
        <v>0</v>
      </c>
      <c r="AP51" s="39">
        <f>資料儲存!H3399</f>
        <v>0</v>
      </c>
      <c r="AQ51" s="39">
        <f>資料儲存!I3399</f>
        <v>0</v>
      </c>
      <c r="AR51" s="39">
        <f>資料儲存!J3399</f>
        <v>0</v>
      </c>
      <c r="AT51" s="62">
        <v>38</v>
      </c>
      <c r="AU51" s="39">
        <f>資料儲存!D3519</f>
        <v>0</v>
      </c>
      <c r="AV51" s="39">
        <f>資料儲存!E3519</f>
        <v>0</v>
      </c>
      <c r="AW51" s="39">
        <f>資料儲存!F3519</f>
        <v>0</v>
      </c>
      <c r="AX51" s="39">
        <f>資料儲存!G3519</f>
        <v>0</v>
      </c>
      <c r="AY51" s="39">
        <f>資料儲存!H3519</f>
        <v>0</v>
      </c>
      <c r="AZ51" s="39">
        <f>資料儲存!I3519</f>
        <v>0</v>
      </c>
      <c r="BA51" s="39">
        <f>資料儲存!J3519</f>
        <v>0</v>
      </c>
    </row>
    <row r="52" spans="1:53" s="59" customFormat="1" ht="16" thickBot="1">
      <c r="A52" s="62">
        <v>39</v>
      </c>
      <c r="B52" s="39">
        <f>資料儲存!D2920</f>
        <v>0</v>
      </c>
      <c r="C52" s="39">
        <f>資料儲存!E2920</f>
        <v>0</v>
      </c>
      <c r="D52" s="39">
        <f>資料儲存!F2920</f>
        <v>0</v>
      </c>
      <c r="E52" s="39">
        <f>資料儲存!G2920</f>
        <v>0</v>
      </c>
      <c r="F52" s="39">
        <f>資料儲存!H2920</f>
        <v>0</v>
      </c>
      <c r="G52" s="39">
        <f>資料儲存!I2920</f>
        <v>0</v>
      </c>
      <c r="H52" s="39">
        <f>資料儲存!J2920</f>
        <v>0</v>
      </c>
      <c r="I52" s="58"/>
      <c r="J52" s="62">
        <v>39</v>
      </c>
      <c r="K52" s="39">
        <f>資料儲存!D3040</f>
        <v>0</v>
      </c>
      <c r="L52" s="39">
        <f>資料儲存!E3040</f>
        <v>0</v>
      </c>
      <c r="M52" s="39">
        <f>資料儲存!F3040</f>
        <v>0</v>
      </c>
      <c r="N52" s="39">
        <f>資料儲存!G3040</f>
        <v>0</v>
      </c>
      <c r="O52" s="39">
        <f>資料儲存!H3040</f>
        <v>0</v>
      </c>
      <c r="P52" s="39">
        <f>資料儲存!I3040</f>
        <v>0</v>
      </c>
      <c r="Q52" s="39">
        <f>資料儲存!J3040</f>
        <v>0</v>
      </c>
      <c r="R52" s="58"/>
      <c r="S52" s="62">
        <v>39</v>
      </c>
      <c r="T52" s="39">
        <f>資料儲存!D3160</f>
        <v>0</v>
      </c>
      <c r="U52" s="39">
        <f>資料儲存!E3160</f>
        <v>0</v>
      </c>
      <c r="V52" s="39">
        <f>資料儲存!F3160</f>
        <v>0</v>
      </c>
      <c r="W52" s="39">
        <f>資料儲存!G3160</f>
        <v>0</v>
      </c>
      <c r="X52" s="39">
        <f>資料儲存!H3160</f>
        <v>0</v>
      </c>
      <c r="Y52" s="39">
        <f>資料儲存!I3160</f>
        <v>0</v>
      </c>
      <c r="Z52" s="39">
        <f>資料儲存!J3160</f>
        <v>0</v>
      </c>
      <c r="AA52" s="58"/>
      <c r="AB52" s="62">
        <v>39</v>
      </c>
      <c r="AC52" s="39">
        <f>資料儲存!D3280</f>
        <v>0</v>
      </c>
      <c r="AD52" s="39">
        <f>資料儲存!E3280</f>
        <v>0</v>
      </c>
      <c r="AE52" s="39">
        <f>資料儲存!F3280</f>
        <v>0</v>
      </c>
      <c r="AF52" s="39">
        <f>資料儲存!G3280</f>
        <v>0</v>
      </c>
      <c r="AG52" s="39">
        <f>資料儲存!H3280</f>
        <v>0</v>
      </c>
      <c r="AH52" s="39">
        <f>資料儲存!I3280</f>
        <v>0</v>
      </c>
      <c r="AI52" s="39">
        <f>資料儲存!J3280</f>
        <v>0</v>
      </c>
      <c r="AJ52" s="58"/>
      <c r="AK52" s="62">
        <v>39</v>
      </c>
      <c r="AL52" s="39">
        <f>資料儲存!D3400</f>
        <v>0</v>
      </c>
      <c r="AM52" s="39">
        <f>資料儲存!E3400</f>
        <v>0</v>
      </c>
      <c r="AN52" s="39">
        <f>資料儲存!F3400</f>
        <v>0</v>
      </c>
      <c r="AO52" s="39">
        <f>資料儲存!G3400</f>
        <v>0</v>
      </c>
      <c r="AP52" s="39">
        <f>資料儲存!H3400</f>
        <v>0</v>
      </c>
      <c r="AQ52" s="39">
        <f>資料儲存!I3400</f>
        <v>0</v>
      </c>
      <c r="AR52" s="39">
        <f>資料儲存!J3400</f>
        <v>0</v>
      </c>
      <c r="AT52" s="62">
        <v>39</v>
      </c>
      <c r="AU52" s="39">
        <f>資料儲存!D3520</f>
        <v>0</v>
      </c>
      <c r="AV52" s="39">
        <f>資料儲存!E3520</f>
        <v>0</v>
      </c>
      <c r="AW52" s="39">
        <f>資料儲存!F3520</f>
        <v>0</v>
      </c>
      <c r="AX52" s="39">
        <f>資料儲存!G3520</f>
        <v>0</v>
      </c>
      <c r="AY52" s="39">
        <f>資料儲存!H3520</f>
        <v>0</v>
      </c>
      <c r="AZ52" s="39">
        <f>資料儲存!I3520</f>
        <v>0</v>
      </c>
      <c r="BA52" s="39">
        <f>資料儲存!J3520</f>
        <v>0</v>
      </c>
    </row>
    <row r="53" spans="1:53" s="59" customFormat="1" ht="16" thickBot="1">
      <c r="A53" s="62">
        <v>40</v>
      </c>
      <c r="B53" s="39">
        <f>資料儲存!D2921</f>
        <v>0</v>
      </c>
      <c r="C53" s="39">
        <f>資料儲存!E2921</f>
        <v>0</v>
      </c>
      <c r="D53" s="39">
        <f>資料儲存!F2921</f>
        <v>0</v>
      </c>
      <c r="E53" s="39">
        <f>資料儲存!G2921</f>
        <v>0</v>
      </c>
      <c r="F53" s="39">
        <f>資料儲存!H2921</f>
        <v>0</v>
      </c>
      <c r="G53" s="39">
        <f>資料儲存!I2921</f>
        <v>0</v>
      </c>
      <c r="H53" s="39">
        <f>資料儲存!J2921</f>
        <v>0</v>
      </c>
      <c r="I53" s="58"/>
      <c r="J53" s="62">
        <v>40</v>
      </c>
      <c r="K53" s="39">
        <f>資料儲存!D3041</f>
        <v>0</v>
      </c>
      <c r="L53" s="39">
        <f>資料儲存!E3041</f>
        <v>0</v>
      </c>
      <c r="M53" s="39">
        <f>資料儲存!F3041</f>
        <v>0</v>
      </c>
      <c r="N53" s="39">
        <f>資料儲存!G3041</f>
        <v>0</v>
      </c>
      <c r="O53" s="39">
        <f>資料儲存!H3041</f>
        <v>0</v>
      </c>
      <c r="P53" s="39">
        <f>資料儲存!I3041</f>
        <v>0</v>
      </c>
      <c r="Q53" s="39">
        <f>資料儲存!J3041</f>
        <v>0</v>
      </c>
      <c r="R53" s="58"/>
      <c r="S53" s="62">
        <v>40</v>
      </c>
      <c r="T53" s="39">
        <f>資料儲存!D3161</f>
        <v>0</v>
      </c>
      <c r="U53" s="39">
        <f>資料儲存!E3161</f>
        <v>0</v>
      </c>
      <c r="V53" s="39">
        <f>資料儲存!F3161</f>
        <v>0</v>
      </c>
      <c r="W53" s="39">
        <f>資料儲存!G3161</f>
        <v>0</v>
      </c>
      <c r="X53" s="39">
        <f>資料儲存!H3161</f>
        <v>0</v>
      </c>
      <c r="Y53" s="39">
        <f>資料儲存!I3161</f>
        <v>0</v>
      </c>
      <c r="Z53" s="39">
        <f>資料儲存!J3161</f>
        <v>0</v>
      </c>
      <c r="AA53" s="58"/>
      <c r="AB53" s="62">
        <v>40</v>
      </c>
      <c r="AC53" s="39">
        <f>資料儲存!D3281</f>
        <v>0</v>
      </c>
      <c r="AD53" s="39">
        <f>資料儲存!E3281</f>
        <v>0</v>
      </c>
      <c r="AE53" s="39">
        <f>資料儲存!F3281</f>
        <v>0</v>
      </c>
      <c r="AF53" s="39">
        <f>資料儲存!G3281</f>
        <v>0</v>
      </c>
      <c r="AG53" s="39">
        <f>資料儲存!H3281</f>
        <v>0</v>
      </c>
      <c r="AH53" s="39">
        <f>資料儲存!I3281</f>
        <v>0</v>
      </c>
      <c r="AI53" s="39">
        <f>資料儲存!J3281</f>
        <v>0</v>
      </c>
      <c r="AJ53" s="58"/>
      <c r="AK53" s="62">
        <v>40</v>
      </c>
      <c r="AL53" s="39">
        <f>資料儲存!D3401</f>
        <v>0</v>
      </c>
      <c r="AM53" s="39">
        <f>資料儲存!E3401</f>
        <v>0</v>
      </c>
      <c r="AN53" s="39">
        <f>資料儲存!F3401</f>
        <v>0</v>
      </c>
      <c r="AO53" s="39">
        <f>資料儲存!G3401</f>
        <v>0</v>
      </c>
      <c r="AP53" s="39">
        <f>資料儲存!H3401</f>
        <v>0</v>
      </c>
      <c r="AQ53" s="39">
        <f>資料儲存!I3401</f>
        <v>0</v>
      </c>
      <c r="AR53" s="39">
        <f>資料儲存!J3401</f>
        <v>0</v>
      </c>
      <c r="AT53" s="62">
        <v>40</v>
      </c>
      <c r="AU53" s="39">
        <f>資料儲存!D3521</f>
        <v>0</v>
      </c>
      <c r="AV53" s="39">
        <f>資料儲存!E3521</f>
        <v>0</v>
      </c>
      <c r="AW53" s="39">
        <f>資料儲存!F3521</f>
        <v>0</v>
      </c>
      <c r="AX53" s="39">
        <f>資料儲存!G3521</f>
        <v>0</v>
      </c>
      <c r="AY53" s="39">
        <f>資料儲存!H3521</f>
        <v>0</v>
      </c>
      <c r="AZ53" s="39">
        <f>資料儲存!I3521</f>
        <v>0</v>
      </c>
      <c r="BA53" s="39">
        <f>資料儲存!J3521</f>
        <v>0</v>
      </c>
    </row>
    <row r="54" spans="1:53" s="59" customFormat="1" ht="16" thickBot="1">
      <c r="A54" s="62">
        <v>41</v>
      </c>
      <c r="B54" s="39">
        <f>資料儲存!D2922</f>
        <v>0</v>
      </c>
      <c r="C54" s="39">
        <f>資料儲存!E2922</f>
        <v>0</v>
      </c>
      <c r="D54" s="39">
        <f>資料儲存!F2922</f>
        <v>0</v>
      </c>
      <c r="E54" s="39">
        <f>資料儲存!G2922</f>
        <v>0</v>
      </c>
      <c r="F54" s="39">
        <f>資料儲存!H2922</f>
        <v>0</v>
      </c>
      <c r="G54" s="39">
        <f>資料儲存!I2922</f>
        <v>0</v>
      </c>
      <c r="H54" s="39">
        <f>資料儲存!J2922</f>
        <v>0</v>
      </c>
      <c r="I54" s="58"/>
      <c r="J54" s="62">
        <v>41</v>
      </c>
      <c r="K54" s="39">
        <f>資料儲存!D3042</f>
        <v>0</v>
      </c>
      <c r="L54" s="39">
        <f>資料儲存!E3042</f>
        <v>0</v>
      </c>
      <c r="M54" s="39">
        <f>資料儲存!F3042</f>
        <v>0</v>
      </c>
      <c r="N54" s="39">
        <f>資料儲存!G3042</f>
        <v>0</v>
      </c>
      <c r="O54" s="39">
        <f>資料儲存!H3042</f>
        <v>0</v>
      </c>
      <c r="P54" s="39">
        <f>資料儲存!I3042</f>
        <v>0</v>
      </c>
      <c r="Q54" s="39">
        <f>資料儲存!J3042</f>
        <v>0</v>
      </c>
      <c r="R54" s="58"/>
      <c r="S54" s="62">
        <v>41</v>
      </c>
      <c r="T54" s="39">
        <f>資料儲存!D3162</f>
        <v>0</v>
      </c>
      <c r="U54" s="39">
        <f>資料儲存!E3162</f>
        <v>0</v>
      </c>
      <c r="V54" s="39">
        <f>資料儲存!F3162</f>
        <v>0</v>
      </c>
      <c r="W54" s="39">
        <f>資料儲存!G3162</f>
        <v>0</v>
      </c>
      <c r="X54" s="39">
        <f>資料儲存!H3162</f>
        <v>0</v>
      </c>
      <c r="Y54" s="39">
        <f>資料儲存!I3162</f>
        <v>0</v>
      </c>
      <c r="Z54" s="39">
        <f>資料儲存!J3162</f>
        <v>0</v>
      </c>
      <c r="AA54" s="58"/>
      <c r="AB54" s="62">
        <v>41</v>
      </c>
      <c r="AC54" s="39">
        <f>資料儲存!D3282</f>
        <v>0</v>
      </c>
      <c r="AD54" s="39">
        <f>資料儲存!E3282</f>
        <v>0</v>
      </c>
      <c r="AE54" s="39">
        <f>資料儲存!F3282</f>
        <v>0</v>
      </c>
      <c r="AF54" s="39">
        <f>資料儲存!G3282</f>
        <v>0</v>
      </c>
      <c r="AG54" s="39">
        <f>資料儲存!H3282</f>
        <v>0</v>
      </c>
      <c r="AH54" s="39">
        <f>資料儲存!I3282</f>
        <v>0</v>
      </c>
      <c r="AI54" s="39">
        <f>資料儲存!J3282</f>
        <v>0</v>
      </c>
      <c r="AJ54" s="58"/>
      <c r="AK54" s="62">
        <v>41</v>
      </c>
      <c r="AL54" s="39">
        <f>資料儲存!D3402</f>
        <v>0</v>
      </c>
      <c r="AM54" s="39">
        <f>資料儲存!E3402</f>
        <v>0</v>
      </c>
      <c r="AN54" s="39">
        <f>資料儲存!F3402</f>
        <v>0</v>
      </c>
      <c r="AO54" s="39">
        <f>資料儲存!G3402</f>
        <v>0</v>
      </c>
      <c r="AP54" s="39">
        <f>資料儲存!H3402</f>
        <v>0</v>
      </c>
      <c r="AQ54" s="39">
        <f>資料儲存!I3402</f>
        <v>0</v>
      </c>
      <c r="AR54" s="39">
        <f>資料儲存!J3402</f>
        <v>0</v>
      </c>
      <c r="AT54" s="62">
        <v>41</v>
      </c>
      <c r="AU54" s="39">
        <f>資料儲存!D3522</f>
        <v>0</v>
      </c>
      <c r="AV54" s="39">
        <f>資料儲存!E3522</f>
        <v>0</v>
      </c>
      <c r="AW54" s="39">
        <f>資料儲存!F3522</f>
        <v>0</v>
      </c>
      <c r="AX54" s="39">
        <f>資料儲存!G3522</f>
        <v>0</v>
      </c>
      <c r="AY54" s="39">
        <f>資料儲存!H3522</f>
        <v>0</v>
      </c>
      <c r="AZ54" s="39">
        <f>資料儲存!I3522</f>
        <v>0</v>
      </c>
      <c r="BA54" s="39">
        <f>資料儲存!J3522</f>
        <v>0</v>
      </c>
    </row>
    <row r="55" spans="1:53" s="59" customFormat="1" ht="16" thickBot="1">
      <c r="A55" s="62">
        <v>42</v>
      </c>
      <c r="B55" s="39">
        <f>資料儲存!D2923</f>
        <v>0</v>
      </c>
      <c r="C55" s="39">
        <f>資料儲存!E2923</f>
        <v>0</v>
      </c>
      <c r="D55" s="39">
        <f>資料儲存!F2923</f>
        <v>0</v>
      </c>
      <c r="E55" s="39">
        <f>資料儲存!G2923</f>
        <v>0</v>
      </c>
      <c r="F55" s="39">
        <f>資料儲存!H2923</f>
        <v>0</v>
      </c>
      <c r="G55" s="39">
        <f>資料儲存!I2923</f>
        <v>0</v>
      </c>
      <c r="H55" s="39">
        <f>資料儲存!J2923</f>
        <v>0</v>
      </c>
      <c r="I55" s="58"/>
      <c r="J55" s="62">
        <v>42</v>
      </c>
      <c r="K55" s="39">
        <f>資料儲存!D3043</f>
        <v>0</v>
      </c>
      <c r="L55" s="39">
        <f>資料儲存!E3043</f>
        <v>0</v>
      </c>
      <c r="M55" s="39">
        <f>資料儲存!F3043</f>
        <v>0</v>
      </c>
      <c r="N55" s="39">
        <f>資料儲存!G3043</f>
        <v>0</v>
      </c>
      <c r="O55" s="39">
        <f>資料儲存!H3043</f>
        <v>0</v>
      </c>
      <c r="P55" s="39">
        <f>資料儲存!I3043</f>
        <v>0</v>
      </c>
      <c r="Q55" s="39">
        <f>資料儲存!J3043</f>
        <v>0</v>
      </c>
      <c r="R55" s="58"/>
      <c r="S55" s="62">
        <v>42</v>
      </c>
      <c r="T55" s="39">
        <f>資料儲存!D3163</f>
        <v>0</v>
      </c>
      <c r="U55" s="39">
        <f>資料儲存!E3163</f>
        <v>0</v>
      </c>
      <c r="V55" s="39">
        <f>資料儲存!F3163</f>
        <v>0</v>
      </c>
      <c r="W55" s="39">
        <f>資料儲存!G3163</f>
        <v>0</v>
      </c>
      <c r="X55" s="39">
        <f>資料儲存!H3163</f>
        <v>0</v>
      </c>
      <c r="Y55" s="39">
        <f>資料儲存!I3163</f>
        <v>0</v>
      </c>
      <c r="Z55" s="39">
        <f>資料儲存!J3163</f>
        <v>0</v>
      </c>
      <c r="AA55" s="58"/>
      <c r="AB55" s="62">
        <v>42</v>
      </c>
      <c r="AC55" s="39">
        <f>資料儲存!D3283</f>
        <v>0</v>
      </c>
      <c r="AD55" s="39">
        <f>資料儲存!E3283</f>
        <v>0</v>
      </c>
      <c r="AE55" s="39">
        <f>資料儲存!F3283</f>
        <v>0</v>
      </c>
      <c r="AF55" s="39">
        <f>資料儲存!G3283</f>
        <v>0</v>
      </c>
      <c r="AG55" s="39">
        <f>資料儲存!H3283</f>
        <v>0</v>
      </c>
      <c r="AH55" s="39">
        <f>資料儲存!I3283</f>
        <v>0</v>
      </c>
      <c r="AI55" s="39">
        <f>資料儲存!J3283</f>
        <v>0</v>
      </c>
      <c r="AJ55" s="58"/>
      <c r="AK55" s="62">
        <v>42</v>
      </c>
      <c r="AL55" s="39">
        <f>資料儲存!D3403</f>
        <v>0</v>
      </c>
      <c r="AM55" s="39">
        <f>資料儲存!E3403</f>
        <v>0</v>
      </c>
      <c r="AN55" s="39">
        <f>資料儲存!F3403</f>
        <v>0</v>
      </c>
      <c r="AO55" s="39">
        <f>資料儲存!G3403</f>
        <v>0</v>
      </c>
      <c r="AP55" s="39">
        <f>資料儲存!H3403</f>
        <v>0</v>
      </c>
      <c r="AQ55" s="39">
        <f>資料儲存!I3403</f>
        <v>0</v>
      </c>
      <c r="AR55" s="39">
        <f>資料儲存!J3403</f>
        <v>0</v>
      </c>
      <c r="AT55" s="62">
        <v>42</v>
      </c>
      <c r="AU55" s="39">
        <f>資料儲存!D3523</f>
        <v>0</v>
      </c>
      <c r="AV55" s="39">
        <f>資料儲存!E3523</f>
        <v>0</v>
      </c>
      <c r="AW55" s="39">
        <f>資料儲存!F3523</f>
        <v>0</v>
      </c>
      <c r="AX55" s="39">
        <f>資料儲存!G3523</f>
        <v>0</v>
      </c>
      <c r="AY55" s="39">
        <f>資料儲存!H3523</f>
        <v>0</v>
      </c>
      <c r="AZ55" s="39">
        <f>資料儲存!I3523</f>
        <v>0</v>
      </c>
      <c r="BA55" s="39">
        <f>資料儲存!J3523</f>
        <v>0</v>
      </c>
    </row>
    <row r="56" spans="1:53" s="59" customFormat="1" ht="16" thickBot="1">
      <c r="A56" s="62">
        <v>43</v>
      </c>
      <c r="B56" s="39">
        <f>資料儲存!D2924</f>
        <v>0</v>
      </c>
      <c r="C56" s="39">
        <f>資料儲存!E2924</f>
        <v>0</v>
      </c>
      <c r="D56" s="39">
        <f>資料儲存!F2924</f>
        <v>0</v>
      </c>
      <c r="E56" s="39">
        <f>資料儲存!G2924</f>
        <v>0</v>
      </c>
      <c r="F56" s="39">
        <f>資料儲存!H2924</f>
        <v>0</v>
      </c>
      <c r="G56" s="39">
        <f>資料儲存!I2924</f>
        <v>0</v>
      </c>
      <c r="H56" s="39">
        <f>資料儲存!J2924</f>
        <v>0</v>
      </c>
      <c r="I56" s="58"/>
      <c r="J56" s="62">
        <v>43</v>
      </c>
      <c r="K56" s="39">
        <f>資料儲存!D3044</f>
        <v>0</v>
      </c>
      <c r="L56" s="39">
        <f>資料儲存!E3044</f>
        <v>0</v>
      </c>
      <c r="M56" s="39">
        <f>資料儲存!F3044</f>
        <v>0</v>
      </c>
      <c r="N56" s="39">
        <f>資料儲存!G3044</f>
        <v>0</v>
      </c>
      <c r="O56" s="39">
        <f>資料儲存!H3044</f>
        <v>0</v>
      </c>
      <c r="P56" s="39">
        <f>資料儲存!I3044</f>
        <v>0</v>
      </c>
      <c r="Q56" s="39">
        <f>資料儲存!J3044</f>
        <v>0</v>
      </c>
      <c r="R56" s="58"/>
      <c r="S56" s="62">
        <v>43</v>
      </c>
      <c r="T56" s="39">
        <f>資料儲存!D3164</f>
        <v>0</v>
      </c>
      <c r="U56" s="39">
        <f>資料儲存!E3164</f>
        <v>0</v>
      </c>
      <c r="V56" s="39">
        <f>資料儲存!F3164</f>
        <v>0</v>
      </c>
      <c r="W56" s="39">
        <f>資料儲存!G3164</f>
        <v>0</v>
      </c>
      <c r="X56" s="39">
        <f>資料儲存!H3164</f>
        <v>0</v>
      </c>
      <c r="Y56" s="39">
        <f>資料儲存!I3164</f>
        <v>0</v>
      </c>
      <c r="Z56" s="39">
        <f>資料儲存!J3164</f>
        <v>0</v>
      </c>
      <c r="AA56" s="58"/>
      <c r="AB56" s="62">
        <v>43</v>
      </c>
      <c r="AC56" s="39">
        <f>資料儲存!D3284</f>
        <v>0</v>
      </c>
      <c r="AD56" s="39">
        <f>資料儲存!E3284</f>
        <v>0</v>
      </c>
      <c r="AE56" s="39">
        <f>資料儲存!F3284</f>
        <v>0</v>
      </c>
      <c r="AF56" s="39">
        <f>資料儲存!G3284</f>
        <v>0</v>
      </c>
      <c r="AG56" s="39">
        <f>資料儲存!H3284</f>
        <v>0</v>
      </c>
      <c r="AH56" s="39">
        <f>資料儲存!I3284</f>
        <v>0</v>
      </c>
      <c r="AI56" s="39">
        <f>資料儲存!J3284</f>
        <v>0</v>
      </c>
      <c r="AJ56" s="58"/>
      <c r="AK56" s="62">
        <v>43</v>
      </c>
      <c r="AL56" s="39">
        <f>資料儲存!D3404</f>
        <v>0</v>
      </c>
      <c r="AM56" s="39">
        <f>資料儲存!E3404</f>
        <v>0</v>
      </c>
      <c r="AN56" s="39">
        <f>資料儲存!F3404</f>
        <v>0</v>
      </c>
      <c r="AO56" s="39">
        <f>資料儲存!G3404</f>
        <v>0</v>
      </c>
      <c r="AP56" s="39">
        <f>資料儲存!H3404</f>
        <v>0</v>
      </c>
      <c r="AQ56" s="39">
        <f>資料儲存!I3404</f>
        <v>0</v>
      </c>
      <c r="AR56" s="39">
        <f>資料儲存!J3404</f>
        <v>0</v>
      </c>
      <c r="AT56" s="62">
        <v>43</v>
      </c>
      <c r="AU56" s="39">
        <f>資料儲存!D3524</f>
        <v>0</v>
      </c>
      <c r="AV56" s="39">
        <f>資料儲存!E3524</f>
        <v>0</v>
      </c>
      <c r="AW56" s="39">
        <f>資料儲存!F3524</f>
        <v>0</v>
      </c>
      <c r="AX56" s="39">
        <f>資料儲存!G3524</f>
        <v>0</v>
      </c>
      <c r="AY56" s="39">
        <f>資料儲存!H3524</f>
        <v>0</v>
      </c>
      <c r="AZ56" s="39">
        <f>資料儲存!I3524</f>
        <v>0</v>
      </c>
      <c r="BA56" s="39">
        <f>資料儲存!J3524</f>
        <v>0</v>
      </c>
    </row>
    <row r="57" spans="1:53" s="59" customFormat="1" ht="16" thickBot="1">
      <c r="A57" s="62">
        <v>44</v>
      </c>
      <c r="B57" s="39">
        <f>資料儲存!D2925</f>
        <v>0</v>
      </c>
      <c r="C57" s="39">
        <f>資料儲存!E2925</f>
        <v>0</v>
      </c>
      <c r="D57" s="39">
        <f>資料儲存!F2925</f>
        <v>0</v>
      </c>
      <c r="E57" s="39">
        <f>資料儲存!G2925</f>
        <v>0</v>
      </c>
      <c r="F57" s="39">
        <f>資料儲存!H2925</f>
        <v>0</v>
      </c>
      <c r="G57" s="39">
        <f>資料儲存!I2925</f>
        <v>0</v>
      </c>
      <c r="H57" s="39">
        <f>資料儲存!J2925</f>
        <v>0</v>
      </c>
      <c r="I57" s="58"/>
      <c r="J57" s="62">
        <v>44</v>
      </c>
      <c r="K57" s="39">
        <f>資料儲存!D3045</f>
        <v>0</v>
      </c>
      <c r="L57" s="39">
        <f>資料儲存!E3045</f>
        <v>0</v>
      </c>
      <c r="M57" s="39">
        <f>資料儲存!F3045</f>
        <v>0</v>
      </c>
      <c r="N57" s="39">
        <f>資料儲存!G3045</f>
        <v>0</v>
      </c>
      <c r="O57" s="39">
        <f>資料儲存!H3045</f>
        <v>0</v>
      </c>
      <c r="P57" s="39">
        <f>資料儲存!I3045</f>
        <v>0</v>
      </c>
      <c r="Q57" s="39">
        <f>資料儲存!J3045</f>
        <v>0</v>
      </c>
      <c r="R57" s="58"/>
      <c r="S57" s="62">
        <v>44</v>
      </c>
      <c r="T57" s="39">
        <f>資料儲存!D3165</f>
        <v>0</v>
      </c>
      <c r="U57" s="39">
        <f>資料儲存!E3165</f>
        <v>0</v>
      </c>
      <c r="V57" s="39">
        <f>資料儲存!F3165</f>
        <v>0</v>
      </c>
      <c r="W57" s="39">
        <f>資料儲存!G3165</f>
        <v>0</v>
      </c>
      <c r="X57" s="39">
        <f>資料儲存!H3165</f>
        <v>0</v>
      </c>
      <c r="Y57" s="39">
        <f>資料儲存!I3165</f>
        <v>0</v>
      </c>
      <c r="Z57" s="39">
        <f>資料儲存!J3165</f>
        <v>0</v>
      </c>
      <c r="AA57" s="58"/>
      <c r="AB57" s="62">
        <v>44</v>
      </c>
      <c r="AC57" s="39">
        <f>資料儲存!D3285</f>
        <v>0</v>
      </c>
      <c r="AD57" s="39">
        <f>資料儲存!E3285</f>
        <v>0</v>
      </c>
      <c r="AE57" s="39">
        <f>資料儲存!F3285</f>
        <v>0</v>
      </c>
      <c r="AF57" s="39">
        <f>資料儲存!G3285</f>
        <v>0</v>
      </c>
      <c r="AG57" s="39">
        <f>資料儲存!H3285</f>
        <v>0</v>
      </c>
      <c r="AH57" s="39">
        <f>資料儲存!I3285</f>
        <v>0</v>
      </c>
      <c r="AI57" s="39">
        <f>資料儲存!J3285</f>
        <v>0</v>
      </c>
      <c r="AJ57" s="58"/>
      <c r="AK57" s="62">
        <v>44</v>
      </c>
      <c r="AL57" s="39">
        <f>資料儲存!D3405</f>
        <v>0</v>
      </c>
      <c r="AM57" s="39">
        <f>資料儲存!E3405</f>
        <v>0</v>
      </c>
      <c r="AN57" s="39">
        <f>資料儲存!F3405</f>
        <v>0</v>
      </c>
      <c r="AO57" s="39">
        <f>資料儲存!G3405</f>
        <v>0</v>
      </c>
      <c r="AP57" s="39">
        <f>資料儲存!H3405</f>
        <v>0</v>
      </c>
      <c r="AQ57" s="39">
        <f>資料儲存!I3405</f>
        <v>0</v>
      </c>
      <c r="AR57" s="39">
        <f>資料儲存!J3405</f>
        <v>0</v>
      </c>
      <c r="AT57" s="62">
        <v>44</v>
      </c>
      <c r="AU57" s="39">
        <f>資料儲存!D3525</f>
        <v>0</v>
      </c>
      <c r="AV57" s="39">
        <f>資料儲存!E3525</f>
        <v>0</v>
      </c>
      <c r="AW57" s="39">
        <f>資料儲存!F3525</f>
        <v>0</v>
      </c>
      <c r="AX57" s="39">
        <f>資料儲存!G3525</f>
        <v>0</v>
      </c>
      <c r="AY57" s="39">
        <f>資料儲存!H3525</f>
        <v>0</v>
      </c>
      <c r="AZ57" s="39">
        <f>資料儲存!I3525</f>
        <v>0</v>
      </c>
      <c r="BA57" s="39">
        <f>資料儲存!J3525</f>
        <v>0</v>
      </c>
    </row>
    <row r="58" spans="1:53" s="59" customFormat="1" ht="16" thickBot="1">
      <c r="A58" s="62">
        <v>45</v>
      </c>
      <c r="B58" s="39">
        <f>資料儲存!D2926</f>
        <v>0</v>
      </c>
      <c r="C58" s="39">
        <f>資料儲存!E2926</f>
        <v>0</v>
      </c>
      <c r="D58" s="39">
        <f>資料儲存!F2926</f>
        <v>0</v>
      </c>
      <c r="E58" s="39">
        <f>資料儲存!G2926</f>
        <v>0</v>
      </c>
      <c r="F58" s="39">
        <f>資料儲存!H2926</f>
        <v>0</v>
      </c>
      <c r="G58" s="39">
        <f>資料儲存!I2926</f>
        <v>0</v>
      </c>
      <c r="H58" s="39">
        <f>資料儲存!J2926</f>
        <v>0</v>
      </c>
      <c r="I58" s="58"/>
      <c r="J58" s="62">
        <v>45</v>
      </c>
      <c r="K58" s="39">
        <f>資料儲存!D3046</f>
        <v>0</v>
      </c>
      <c r="L58" s="39">
        <f>資料儲存!E3046</f>
        <v>0</v>
      </c>
      <c r="M58" s="39">
        <f>資料儲存!F3046</f>
        <v>0</v>
      </c>
      <c r="N58" s="39">
        <f>資料儲存!G3046</f>
        <v>0</v>
      </c>
      <c r="O58" s="39">
        <f>資料儲存!H3046</f>
        <v>0</v>
      </c>
      <c r="P58" s="39">
        <f>資料儲存!I3046</f>
        <v>0</v>
      </c>
      <c r="Q58" s="39">
        <f>資料儲存!J3046</f>
        <v>0</v>
      </c>
      <c r="R58" s="58"/>
      <c r="S58" s="62">
        <v>45</v>
      </c>
      <c r="T58" s="39">
        <f>資料儲存!D3166</f>
        <v>0</v>
      </c>
      <c r="U58" s="39">
        <f>資料儲存!E3166</f>
        <v>0</v>
      </c>
      <c r="V58" s="39">
        <f>資料儲存!F3166</f>
        <v>0</v>
      </c>
      <c r="W58" s="39">
        <f>資料儲存!G3166</f>
        <v>0</v>
      </c>
      <c r="X58" s="39">
        <f>資料儲存!H3166</f>
        <v>0</v>
      </c>
      <c r="Y58" s="39">
        <f>資料儲存!I3166</f>
        <v>0</v>
      </c>
      <c r="Z58" s="39">
        <f>資料儲存!J3166</f>
        <v>0</v>
      </c>
      <c r="AA58" s="58"/>
      <c r="AB58" s="62">
        <v>45</v>
      </c>
      <c r="AC58" s="39">
        <f>資料儲存!D3286</f>
        <v>0</v>
      </c>
      <c r="AD58" s="39">
        <f>資料儲存!E3286</f>
        <v>0</v>
      </c>
      <c r="AE58" s="39">
        <f>資料儲存!F3286</f>
        <v>0</v>
      </c>
      <c r="AF58" s="39">
        <f>資料儲存!G3286</f>
        <v>0</v>
      </c>
      <c r="AG58" s="39">
        <f>資料儲存!H3286</f>
        <v>0</v>
      </c>
      <c r="AH58" s="39">
        <f>資料儲存!I3286</f>
        <v>0</v>
      </c>
      <c r="AI58" s="39">
        <f>資料儲存!J3286</f>
        <v>0</v>
      </c>
      <c r="AJ58" s="58"/>
      <c r="AK58" s="62">
        <v>45</v>
      </c>
      <c r="AL58" s="39">
        <f>資料儲存!D3406</f>
        <v>0</v>
      </c>
      <c r="AM58" s="39">
        <f>資料儲存!E3406</f>
        <v>0</v>
      </c>
      <c r="AN58" s="39">
        <f>資料儲存!F3406</f>
        <v>0</v>
      </c>
      <c r="AO58" s="39">
        <f>資料儲存!G3406</f>
        <v>0</v>
      </c>
      <c r="AP58" s="39">
        <f>資料儲存!H3406</f>
        <v>0</v>
      </c>
      <c r="AQ58" s="39">
        <f>資料儲存!I3406</f>
        <v>0</v>
      </c>
      <c r="AR58" s="39">
        <f>資料儲存!J3406</f>
        <v>0</v>
      </c>
      <c r="AT58" s="62">
        <v>45</v>
      </c>
      <c r="AU58" s="39">
        <f>資料儲存!D3526</f>
        <v>0</v>
      </c>
      <c r="AV58" s="39">
        <f>資料儲存!E3526</f>
        <v>0</v>
      </c>
      <c r="AW58" s="39">
        <f>資料儲存!F3526</f>
        <v>0</v>
      </c>
      <c r="AX58" s="39">
        <f>資料儲存!G3526</f>
        <v>0</v>
      </c>
      <c r="AY58" s="39">
        <f>資料儲存!H3526</f>
        <v>0</v>
      </c>
      <c r="AZ58" s="39">
        <f>資料儲存!I3526</f>
        <v>0</v>
      </c>
      <c r="BA58" s="39">
        <f>資料儲存!J3526</f>
        <v>0</v>
      </c>
    </row>
    <row r="59" spans="1:53" s="59" customFormat="1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35"/>
      <c r="AK59" s="40" t="s">
        <v>56</v>
      </c>
      <c r="AL59" s="39">
        <f>SUM(AL44:AO58)</f>
        <v>0</v>
      </c>
      <c r="AM59" s="37"/>
      <c r="AN59" s="37"/>
      <c r="AO59" s="37"/>
      <c r="AP59" s="39">
        <f>AP58</f>
        <v>0</v>
      </c>
      <c r="AQ59" s="39">
        <f>AQ58</f>
        <v>0</v>
      </c>
      <c r="AR59" s="39">
        <f>AR58</f>
        <v>0</v>
      </c>
      <c r="AT59" s="40" t="s">
        <v>56</v>
      </c>
      <c r="AU59" s="39">
        <f>SUM(AU44:AX58)</f>
        <v>0</v>
      </c>
      <c r="AV59" s="37"/>
      <c r="AW59" s="37"/>
      <c r="AX59" s="37"/>
      <c r="AY59" s="39">
        <f>AY58</f>
        <v>0</v>
      </c>
      <c r="AZ59" s="39">
        <f>AZ58</f>
        <v>0</v>
      </c>
      <c r="BA59" s="39">
        <f>BA58</f>
        <v>0</v>
      </c>
    </row>
    <row r="60" spans="1:53" ht="18.5" thickBot="1">
      <c r="A60" s="257" t="s">
        <v>78</v>
      </c>
      <c r="B60" s="258"/>
      <c r="C60" s="258"/>
      <c r="D60" s="258"/>
      <c r="E60" s="258"/>
      <c r="F60" s="258"/>
      <c r="G60" s="258"/>
      <c r="H60" s="259"/>
      <c r="I60" s="14"/>
      <c r="J60" s="257" t="s">
        <v>78</v>
      </c>
      <c r="K60" s="258"/>
      <c r="L60" s="258"/>
      <c r="M60" s="258"/>
      <c r="N60" s="258"/>
      <c r="O60" s="258"/>
      <c r="P60" s="258"/>
      <c r="Q60" s="259"/>
      <c r="R60" s="14"/>
      <c r="S60" s="257" t="s">
        <v>78</v>
      </c>
      <c r="T60" s="258"/>
      <c r="U60" s="258"/>
      <c r="V60" s="258"/>
      <c r="W60" s="258"/>
      <c r="X60" s="258"/>
      <c r="Y60" s="258"/>
      <c r="Z60" s="259"/>
      <c r="AA60" s="14"/>
      <c r="AB60" s="257" t="s">
        <v>78</v>
      </c>
      <c r="AC60" s="258"/>
      <c r="AD60" s="258"/>
      <c r="AE60" s="258"/>
      <c r="AF60" s="258"/>
      <c r="AG60" s="258"/>
      <c r="AH60" s="258"/>
      <c r="AI60" s="259"/>
      <c r="AJ60" s="14"/>
      <c r="AK60" s="257" t="s">
        <v>78</v>
      </c>
      <c r="AL60" s="258"/>
      <c r="AM60" s="258"/>
      <c r="AN60" s="258"/>
      <c r="AO60" s="258"/>
      <c r="AP60" s="258"/>
      <c r="AQ60" s="258"/>
      <c r="AR60" s="259"/>
      <c r="AT60" s="257" t="s">
        <v>78</v>
      </c>
      <c r="AU60" s="258"/>
      <c r="AV60" s="258"/>
      <c r="AW60" s="258"/>
      <c r="AX60" s="258"/>
      <c r="AY60" s="258"/>
      <c r="AZ60" s="258"/>
      <c r="BA60" s="259"/>
    </row>
    <row r="61" spans="1:53" s="67" customFormat="1" ht="17.25" customHeight="1" thickBot="1">
      <c r="A61" s="63" t="s">
        <v>2</v>
      </c>
      <c r="B61" s="64" t="s">
        <v>46</v>
      </c>
      <c r="C61" s="65"/>
      <c r="D61" s="65"/>
      <c r="E61" s="66"/>
      <c r="F61" s="64" t="s">
        <v>47</v>
      </c>
      <c r="G61" s="65"/>
      <c r="H61" s="66"/>
      <c r="I61" s="52"/>
      <c r="J61" s="63" t="s">
        <v>2</v>
      </c>
      <c r="K61" s="64" t="s">
        <v>46</v>
      </c>
      <c r="L61" s="65"/>
      <c r="M61" s="65"/>
      <c r="N61" s="66"/>
      <c r="O61" s="64" t="s">
        <v>47</v>
      </c>
      <c r="P61" s="65"/>
      <c r="Q61" s="66"/>
      <c r="R61" s="52"/>
      <c r="S61" s="63" t="s">
        <v>2</v>
      </c>
      <c r="T61" s="64" t="s">
        <v>46</v>
      </c>
      <c r="U61" s="65"/>
      <c r="V61" s="65"/>
      <c r="W61" s="66"/>
      <c r="X61" s="64" t="s">
        <v>47</v>
      </c>
      <c r="Y61" s="65"/>
      <c r="Z61" s="66"/>
      <c r="AA61" s="52"/>
      <c r="AB61" s="63" t="s">
        <v>2</v>
      </c>
      <c r="AC61" s="64" t="s">
        <v>46</v>
      </c>
      <c r="AD61" s="65"/>
      <c r="AE61" s="65"/>
      <c r="AF61" s="66"/>
      <c r="AG61" s="64" t="s">
        <v>47</v>
      </c>
      <c r="AH61" s="65"/>
      <c r="AI61" s="66"/>
      <c r="AJ61" s="52"/>
      <c r="AK61" s="63" t="s">
        <v>2</v>
      </c>
      <c r="AL61" s="64" t="s">
        <v>46</v>
      </c>
      <c r="AM61" s="65"/>
      <c r="AN61" s="65"/>
      <c r="AO61" s="66"/>
      <c r="AP61" s="64" t="s">
        <v>47</v>
      </c>
      <c r="AQ61" s="65"/>
      <c r="AR61" s="66"/>
      <c r="AT61" s="63" t="s">
        <v>2</v>
      </c>
      <c r="AU61" s="64" t="s">
        <v>46</v>
      </c>
      <c r="AV61" s="65"/>
      <c r="AW61" s="65"/>
      <c r="AX61" s="66"/>
      <c r="AY61" s="64" t="s">
        <v>47</v>
      </c>
      <c r="AZ61" s="65"/>
      <c r="BA61" s="66"/>
    </row>
    <row r="62" spans="1:53" s="67" customFormat="1" ht="16" thickBot="1">
      <c r="A62" s="68" t="s">
        <v>79</v>
      </c>
      <c r="B62" s="69" t="s">
        <v>49</v>
      </c>
      <c r="C62" s="69" t="s">
        <v>50</v>
      </c>
      <c r="D62" s="69" t="s">
        <v>51</v>
      </c>
      <c r="E62" s="69" t="s">
        <v>52</v>
      </c>
      <c r="F62" s="69" t="s">
        <v>53</v>
      </c>
      <c r="G62" s="69" t="s">
        <v>54</v>
      </c>
      <c r="H62" s="69" t="s">
        <v>55</v>
      </c>
      <c r="I62" s="52"/>
      <c r="J62" s="68" t="s">
        <v>79</v>
      </c>
      <c r="K62" s="69" t="s">
        <v>49</v>
      </c>
      <c r="L62" s="69" t="s">
        <v>50</v>
      </c>
      <c r="M62" s="69" t="s">
        <v>51</v>
      </c>
      <c r="N62" s="69" t="s">
        <v>52</v>
      </c>
      <c r="O62" s="69" t="s">
        <v>53</v>
      </c>
      <c r="P62" s="69" t="s">
        <v>54</v>
      </c>
      <c r="Q62" s="69" t="s">
        <v>55</v>
      </c>
      <c r="R62" s="52"/>
      <c r="S62" s="68" t="s">
        <v>79</v>
      </c>
      <c r="T62" s="69" t="s">
        <v>49</v>
      </c>
      <c r="U62" s="69" t="s">
        <v>50</v>
      </c>
      <c r="V62" s="69" t="s">
        <v>51</v>
      </c>
      <c r="W62" s="69" t="s">
        <v>52</v>
      </c>
      <c r="X62" s="69" t="s">
        <v>53</v>
      </c>
      <c r="Y62" s="69" t="s">
        <v>54</v>
      </c>
      <c r="Z62" s="69" t="s">
        <v>55</v>
      </c>
      <c r="AA62" s="52"/>
      <c r="AB62" s="68" t="s">
        <v>79</v>
      </c>
      <c r="AC62" s="69" t="s">
        <v>49</v>
      </c>
      <c r="AD62" s="69" t="s">
        <v>50</v>
      </c>
      <c r="AE62" s="69" t="s">
        <v>51</v>
      </c>
      <c r="AF62" s="69" t="s">
        <v>52</v>
      </c>
      <c r="AG62" s="69" t="s">
        <v>53</v>
      </c>
      <c r="AH62" s="69" t="s">
        <v>54</v>
      </c>
      <c r="AI62" s="69" t="s">
        <v>55</v>
      </c>
      <c r="AJ62" s="52"/>
      <c r="AK62" s="68" t="s">
        <v>79</v>
      </c>
      <c r="AL62" s="69" t="s">
        <v>49</v>
      </c>
      <c r="AM62" s="69" t="s">
        <v>50</v>
      </c>
      <c r="AN62" s="69" t="s">
        <v>51</v>
      </c>
      <c r="AO62" s="69" t="s">
        <v>52</v>
      </c>
      <c r="AP62" s="69" t="s">
        <v>53</v>
      </c>
      <c r="AQ62" s="69" t="s">
        <v>54</v>
      </c>
      <c r="AR62" s="69" t="s">
        <v>55</v>
      </c>
      <c r="AT62" s="68" t="s">
        <v>79</v>
      </c>
      <c r="AU62" s="69" t="s">
        <v>49</v>
      </c>
      <c r="AV62" s="69" t="s">
        <v>50</v>
      </c>
      <c r="AW62" s="69" t="s">
        <v>51</v>
      </c>
      <c r="AX62" s="69" t="s">
        <v>52</v>
      </c>
      <c r="AY62" s="69" t="s">
        <v>53</v>
      </c>
      <c r="AZ62" s="69" t="s">
        <v>54</v>
      </c>
      <c r="BA62" s="69" t="s">
        <v>55</v>
      </c>
    </row>
    <row r="63" spans="1:53" s="67" customFormat="1" ht="16" thickBot="1">
      <c r="A63" s="70">
        <v>46</v>
      </c>
      <c r="B63" s="49">
        <f>資料儲存!D2927</f>
        <v>0</v>
      </c>
      <c r="C63" s="49">
        <f>資料儲存!E2927</f>
        <v>0</v>
      </c>
      <c r="D63" s="49">
        <f>資料儲存!F2927</f>
        <v>0</v>
      </c>
      <c r="E63" s="49">
        <f>資料儲存!G2927</f>
        <v>0</v>
      </c>
      <c r="F63" s="49">
        <f>資料儲存!H2927</f>
        <v>0</v>
      </c>
      <c r="G63" s="49">
        <f>資料儲存!I2927</f>
        <v>0</v>
      </c>
      <c r="H63" s="49">
        <f>資料儲存!J2927</f>
        <v>0</v>
      </c>
      <c r="I63" s="52"/>
      <c r="J63" s="70">
        <v>46</v>
      </c>
      <c r="K63" s="49">
        <f>資料儲存!D3047</f>
        <v>0</v>
      </c>
      <c r="L63" s="49">
        <f>資料儲存!E3047</f>
        <v>0</v>
      </c>
      <c r="M63" s="49">
        <f>資料儲存!F3047</f>
        <v>0</v>
      </c>
      <c r="N63" s="49">
        <f>資料儲存!G3047</f>
        <v>0</v>
      </c>
      <c r="O63" s="49">
        <f>資料儲存!H3047</f>
        <v>0</v>
      </c>
      <c r="P63" s="49">
        <f>資料儲存!I3047</f>
        <v>0</v>
      </c>
      <c r="Q63" s="49">
        <f>資料儲存!J3047</f>
        <v>0</v>
      </c>
      <c r="R63" s="52"/>
      <c r="S63" s="70">
        <v>46</v>
      </c>
      <c r="T63" s="49">
        <f>資料儲存!D3167</f>
        <v>0</v>
      </c>
      <c r="U63" s="49">
        <f>資料儲存!E3167</f>
        <v>0</v>
      </c>
      <c r="V63" s="49">
        <f>資料儲存!F3167</f>
        <v>0</v>
      </c>
      <c r="W63" s="49">
        <f>資料儲存!G3167</f>
        <v>0</v>
      </c>
      <c r="X63" s="49">
        <f>資料儲存!H3167</f>
        <v>0</v>
      </c>
      <c r="Y63" s="49">
        <f>資料儲存!I3167</f>
        <v>0</v>
      </c>
      <c r="Z63" s="49">
        <f>資料儲存!J3167</f>
        <v>0</v>
      </c>
      <c r="AA63" s="52"/>
      <c r="AB63" s="70">
        <v>46</v>
      </c>
      <c r="AC63" s="49">
        <f>資料儲存!D3287</f>
        <v>0</v>
      </c>
      <c r="AD63" s="49">
        <f>資料儲存!E3287</f>
        <v>0</v>
      </c>
      <c r="AE63" s="49">
        <f>資料儲存!F3287</f>
        <v>0</v>
      </c>
      <c r="AF63" s="49">
        <f>資料儲存!G3287</f>
        <v>0</v>
      </c>
      <c r="AG63" s="49">
        <f>資料儲存!H3287</f>
        <v>0</v>
      </c>
      <c r="AH63" s="49">
        <f>資料儲存!I3287</f>
        <v>0</v>
      </c>
      <c r="AI63" s="49">
        <f>資料儲存!J3287</f>
        <v>0</v>
      </c>
      <c r="AJ63" s="52"/>
      <c r="AK63" s="70">
        <v>46</v>
      </c>
      <c r="AL63" s="49">
        <f>資料儲存!D3407</f>
        <v>0</v>
      </c>
      <c r="AM63" s="49">
        <f>資料儲存!E3407</f>
        <v>0</v>
      </c>
      <c r="AN63" s="49">
        <f>資料儲存!F3407</f>
        <v>0</v>
      </c>
      <c r="AO63" s="49">
        <f>資料儲存!G3407</f>
        <v>0</v>
      </c>
      <c r="AP63" s="49">
        <f>資料儲存!H3407</f>
        <v>0</v>
      </c>
      <c r="AQ63" s="49">
        <f>資料儲存!I3407</f>
        <v>0</v>
      </c>
      <c r="AR63" s="49">
        <f>資料儲存!J3407</f>
        <v>0</v>
      </c>
      <c r="AT63" s="70">
        <v>46</v>
      </c>
      <c r="AU63" s="49">
        <f>資料儲存!D3527</f>
        <v>0</v>
      </c>
      <c r="AV63" s="49">
        <f>資料儲存!E3527</f>
        <v>0</v>
      </c>
      <c r="AW63" s="49">
        <f>資料儲存!F3527</f>
        <v>0</v>
      </c>
      <c r="AX63" s="49">
        <f>資料儲存!G3527</f>
        <v>0</v>
      </c>
      <c r="AY63" s="49">
        <f>資料儲存!H3527</f>
        <v>0</v>
      </c>
      <c r="AZ63" s="49">
        <f>資料儲存!I3527</f>
        <v>0</v>
      </c>
      <c r="BA63" s="49">
        <f>資料儲存!J3527</f>
        <v>0</v>
      </c>
    </row>
    <row r="64" spans="1:53" s="67" customFormat="1" ht="16" thickBot="1">
      <c r="A64" s="70">
        <v>47</v>
      </c>
      <c r="B64" s="49">
        <f>資料儲存!D2928</f>
        <v>0</v>
      </c>
      <c r="C64" s="49">
        <f>資料儲存!E2928</f>
        <v>0</v>
      </c>
      <c r="D64" s="49">
        <f>資料儲存!F2928</f>
        <v>0</v>
      </c>
      <c r="E64" s="49">
        <f>資料儲存!G2928</f>
        <v>0</v>
      </c>
      <c r="F64" s="49">
        <f>資料儲存!H2928</f>
        <v>0</v>
      </c>
      <c r="G64" s="49">
        <f>資料儲存!I2928</f>
        <v>0</v>
      </c>
      <c r="H64" s="49">
        <f>資料儲存!J2928</f>
        <v>0</v>
      </c>
      <c r="I64" s="52"/>
      <c r="J64" s="70">
        <v>47</v>
      </c>
      <c r="K64" s="49">
        <f>資料儲存!D3048</f>
        <v>0</v>
      </c>
      <c r="L64" s="49">
        <f>資料儲存!E3048</f>
        <v>0</v>
      </c>
      <c r="M64" s="49">
        <f>資料儲存!F3048</f>
        <v>0</v>
      </c>
      <c r="N64" s="49">
        <f>資料儲存!G3048</f>
        <v>0</v>
      </c>
      <c r="O64" s="49">
        <f>資料儲存!H3048</f>
        <v>0</v>
      </c>
      <c r="P64" s="49">
        <f>資料儲存!I3048</f>
        <v>0</v>
      </c>
      <c r="Q64" s="49">
        <f>資料儲存!J3048</f>
        <v>0</v>
      </c>
      <c r="R64" s="52"/>
      <c r="S64" s="70">
        <v>47</v>
      </c>
      <c r="T64" s="49">
        <f>資料儲存!D3168</f>
        <v>0</v>
      </c>
      <c r="U64" s="49">
        <f>資料儲存!E3168</f>
        <v>0</v>
      </c>
      <c r="V64" s="49">
        <f>資料儲存!F3168</f>
        <v>0</v>
      </c>
      <c r="W64" s="49">
        <f>資料儲存!G3168</f>
        <v>0</v>
      </c>
      <c r="X64" s="49">
        <f>資料儲存!H3168</f>
        <v>0</v>
      </c>
      <c r="Y64" s="49">
        <f>資料儲存!I3168</f>
        <v>0</v>
      </c>
      <c r="Z64" s="49">
        <f>資料儲存!J3168</f>
        <v>0</v>
      </c>
      <c r="AA64" s="52"/>
      <c r="AB64" s="70">
        <v>47</v>
      </c>
      <c r="AC64" s="49">
        <f>資料儲存!D3288</f>
        <v>0</v>
      </c>
      <c r="AD64" s="49">
        <f>資料儲存!E3288</f>
        <v>0</v>
      </c>
      <c r="AE64" s="49">
        <f>資料儲存!F3288</f>
        <v>0</v>
      </c>
      <c r="AF64" s="49">
        <f>資料儲存!G3288</f>
        <v>0</v>
      </c>
      <c r="AG64" s="49">
        <f>資料儲存!H3288</f>
        <v>0</v>
      </c>
      <c r="AH64" s="49">
        <f>資料儲存!I3288</f>
        <v>0</v>
      </c>
      <c r="AI64" s="49">
        <f>資料儲存!J3288</f>
        <v>0</v>
      </c>
      <c r="AJ64" s="52"/>
      <c r="AK64" s="70">
        <v>47</v>
      </c>
      <c r="AL64" s="49">
        <f>資料儲存!D3408</f>
        <v>0</v>
      </c>
      <c r="AM64" s="49">
        <f>資料儲存!E3408</f>
        <v>0</v>
      </c>
      <c r="AN64" s="49">
        <f>資料儲存!F3408</f>
        <v>0</v>
      </c>
      <c r="AO64" s="49">
        <f>資料儲存!G3408</f>
        <v>0</v>
      </c>
      <c r="AP64" s="49">
        <f>資料儲存!H3408</f>
        <v>0</v>
      </c>
      <c r="AQ64" s="49">
        <f>資料儲存!I3408</f>
        <v>0</v>
      </c>
      <c r="AR64" s="49">
        <f>資料儲存!J3408</f>
        <v>0</v>
      </c>
      <c r="AT64" s="70">
        <v>47</v>
      </c>
      <c r="AU64" s="49">
        <f>資料儲存!D3528</f>
        <v>0</v>
      </c>
      <c r="AV64" s="49">
        <f>資料儲存!E3528</f>
        <v>0</v>
      </c>
      <c r="AW64" s="49">
        <f>資料儲存!F3528</f>
        <v>0</v>
      </c>
      <c r="AX64" s="49">
        <f>資料儲存!G3528</f>
        <v>0</v>
      </c>
      <c r="AY64" s="49">
        <f>資料儲存!H3528</f>
        <v>0</v>
      </c>
      <c r="AZ64" s="49">
        <f>資料儲存!I3528</f>
        <v>0</v>
      </c>
      <c r="BA64" s="49">
        <f>資料儲存!J3528</f>
        <v>0</v>
      </c>
    </row>
    <row r="65" spans="1:53" s="67" customFormat="1" ht="16" thickBot="1">
      <c r="A65" s="70">
        <v>48</v>
      </c>
      <c r="B65" s="49">
        <f>資料儲存!D2929</f>
        <v>0</v>
      </c>
      <c r="C65" s="49">
        <f>資料儲存!E2929</f>
        <v>0</v>
      </c>
      <c r="D65" s="49">
        <f>資料儲存!F2929</f>
        <v>0</v>
      </c>
      <c r="E65" s="49">
        <f>資料儲存!G2929</f>
        <v>0</v>
      </c>
      <c r="F65" s="49">
        <f>資料儲存!H2929</f>
        <v>0</v>
      </c>
      <c r="G65" s="49">
        <f>資料儲存!I2929</f>
        <v>0</v>
      </c>
      <c r="H65" s="49">
        <f>資料儲存!J2929</f>
        <v>0</v>
      </c>
      <c r="I65" s="52"/>
      <c r="J65" s="70">
        <v>48</v>
      </c>
      <c r="K65" s="49">
        <f>資料儲存!D3049</f>
        <v>0</v>
      </c>
      <c r="L65" s="49">
        <f>資料儲存!E3049</f>
        <v>0</v>
      </c>
      <c r="M65" s="49">
        <f>資料儲存!F3049</f>
        <v>0</v>
      </c>
      <c r="N65" s="49">
        <f>資料儲存!G3049</f>
        <v>0</v>
      </c>
      <c r="O65" s="49">
        <f>資料儲存!H3049</f>
        <v>0</v>
      </c>
      <c r="P65" s="49">
        <f>資料儲存!I3049</f>
        <v>0</v>
      </c>
      <c r="Q65" s="49">
        <f>資料儲存!J3049</f>
        <v>0</v>
      </c>
      <c r="R65" s="52"/>
      <c r="S65" s="70">
        <v>48</v>
      </c>
      <c r="T65" s="49">
        <f>資料儲存!D3169</f>
        <v>0</v>
      </c>
      <c r="U65" s="49">
        <f>資料儲存!E3169</f>
        <v>0</v>
      </c>
      <c r="V65" s="49">
        <f>資料儲存!F3169</f>
        <v>0</v>
      </c>
      <c r="W65" s="49">
        <f>資料儲存!G3169</f>
        <v>0</v>
      </c>
      <c r="X65" s="49">
        <f>資料儲存!H3169</f>
        <v>0</v>
      </c>
      <c r="Y65" s="49">
        <f>資料儲存!I3169</f>
        <v>0</v>
      </c>
      <c r="Z65" s="49">
        <f>資料儲存!J3169</f>
        <v>0</v>
      </c>
      <c r="AA65" s="52"/>
      <c r="AB65" s="70">
        <v>48</v>
      </c>
      <c r="AC65" s="49">
        <f>資料儲存!D3289</f>
        <v>0</v>
      </c>
      <c r="AD65" s="49">
        <f>資料儲存!E3289</f>
        <v>0</v>
      </c>
      <c r="AE65" s="49">
        <f>資料儲存!F3289</f>
        <v>0</v>
      </c>
      <c r="AF65" s="49">
        <f>資料儲存!G3289</f>
        <v>0</v>
      </c>
      <c r="AG65" s="49">
        <f>資料儲存!H3289</f>
        <v>0</v>
      </c>
      <c r="AH65" s="49">
        <f>資料儲存!I3289</f>
        <v>0</v>
      </c>
      <c r="AI65" s="49">
        <f>資料儲存!J3289</f>
        <v>0</v>
      </c>
      <c r="AJ65" s="52"/>
      <c r="AK65" s="70">
        <v>48</v>
      </c>
      <c r="AL65" s="49">
        <f>資料儲存!D3409</f>
        <v>0</v>
      </c>
      <c r="AM65" s="49">
        <f>資料儲存!E3409</f>
        <v>0</v>
      </c>
      <c r="AN65" s="49">
        <f>資料儲存!F3409</f>
        <v>0</v>
      </c>
      <c r="AO65" s="49">
        <f>資料儲存!G3409</f>
        <v>0</v>
      </c>
      <c r="AP65" s="49">
        <f>資料儲存!H3409</f>
        <v>0</v>
      </c>
      <c r="AQ65" s="49">
        <f>資料儲存!I3409</f>
        <v>0</v>
      </c>
      <c r="AR65" s="49">
        <f>資料儲存!J3409</f>
        <v>0</v>
      </c>
      <c r="AT65" s="70">
        <v>48</v>
      </c>
      <c r="AU65" s="49">
        <f>資料儲存!D3529</f>
        <v>0</v>
      </c>
      <c r="AV65" s="49">
        <f>資料儲存!E3529</f>
        <v>0</v>
      </c>
      <c r="AW65" s="49">
        <f>資料儲存!F3529</f>
        <v>0</v>
      </c>
      <c r="AX65" s="49">
        <f>資料儲存!G3529</f>
        <v>0</v>
      </c>
      <c r="AY65" s="49">
        <f>資料儲存!H3529</f>
        <v>0</v>
      </c>
      <c r="AZ65" s="49">
        <f>資料儲存!I3529</f>
        <v>0</v>
      </c>
      <c r="BA65" s="49">
        <f>資料儲存!J3529</f>
        <v>0</v>
      </c>
    </row>
    <row r="66" spans="1:53" s="67" customFormat="1" ht="16" thickBot="1">
      <c r="A66" s="70">
        <v>49</v>
      </c>
      <c r="B66" s="49">
        <f>資料儲存!D2930</f>
        <v>0</v>
      </c>
      <c r="C66" s="49">
        <f>資料儲存!E2930</f>
        <v>0</v>
      </c>
      <c r="D66" s="49">
        <f>資料儲存!F2930</f>
        <v>0</v>
      </c>
      <c r="E66" s="49">
        <f>資料儲存!G2930</f>
        <v>0</v>
      </c>
      <c r="F66" s="49">
        <f>資料儲存!H2930</f>
        <v>0</v>
      </c>
      <c r="G66" s="49">
        <f>資料儲存!I2930</f>
        <v>0</v>
      </c>
      <c r="H66" s="49">
        <f>資料儲存!J2930</f>
        <v>0</v>
      </c>
      <c r="I66" s="52"/>
      <c r="J66" s="70">
        <v>49</v>
      </c>
      <c r="K66" s="49">
        <f>資料儲存!D3050</f>
        <v>0</v>
      </c>
      <c r="L66" s="49">
        <f>資料儲存!E3050</f>
        <v>0</v>
      </c>
      <c r="M66" s="49">
        <f>資料儲存!F3050</f>
        <v>0</v>
      </c>
      <c r="N66" s="49">
        <f>資料儲存!G3050</f>
        <v>0</v>
      </c>
      <c r="O66" s="49">
        <f>資料儲存!H3050</f>
        <v>0</v>
      </c>
      <c r="P66" s="49">
        <f>資料儲存!I3050</f>
        <v>0</v>
      </c>
      <c r="Q66" s="49">
        <f>資料儲存!J3050</f>
        <v>0</v>
      </c>
      <c r="R66" s="52"/>
      <c r="S66" s="70">
        <v>49</v>
      </c>
      <c r="T66" s="49">
        <f>資料儲存!D3170</f>
        <v>0</v>
      </c>
      <c r="U66" s="49">
        <f>資料儲存!E3170</f>
        <v>0</v>
      </c>
      <c r="V66" s="49">
        <f>資料儲存!F3170</f>
        <v>0</v>
      </c>
      <c r="W66" s="49">
        <f>資料儲存!G3170</f>
        <v>0</v>
      </c>
      <c r="X66" s="49">
        <f>資料儲存!H3170</f>
        <v>0</v>
      </c>
      <c r="Y66" s="49">
        <f>資料儲存!I3170</f>
        <v>0</v>
      </c>
      <c r="Z66" s="49">
        <f>資料儲存!J3170</f>
        <v>0</v>
      </c>
      <c r="AA66" s="52"/>
      <c r="AB66" s="70">
        <v>49</v>
      </c>
      <c r="AC66" s="49">
        <f>資料儲存!D3290</f>
        <v>0</v>
      </c>
      <c r="AD66" s="49">
        <f>資料儲存!E3290</f>
        <v>0</v>
      </c>
      <c r="AE66" s="49">
        <f>資料儲存!F3290</f>
        <v>0</v>
      </c>
      <c r="AF66" s="49">
        <f>資料儲存!G3290</f>
        <v>0</v>
      </c>
      <c r="AG66" s="49">
        <f>資料儲存!H3290</f>
        <v>0</v>
      </c>
      <c r="AH66" s="49">
        <f>資料儲存!I3290</f>
        <v>0</v>
      </c>
      <c r="AI66" s="49">
        <f>資料儲存!J3290</f>
        <v>0</v>
      </c>
      <c r="AJ66" s="52"/>
      <c r="AK66" s="70">
        <v>49</v>
      </c>
      <c r="AL66" s="49">
        <f>資料儲存!D3410</f>
        <v>0</v>
      </c>
      <c r="AM66" s="49">
        <f>資料儲存!E3410</f>
        <v>0</v>
      </c>
      <c r="AN66" s="49">
        <f>資料儲存!F3410</f>
        <v>0</v>
      </c>
      <c r="AO66" s="49">
        <f>資料儲存!G3410</f>
        <v>0</v>
      </c>
      <c r="AP66" s="49">
        <f>資料儲存!H3410</f>
        <v>0</v>
      </c>
      <c r="AQ66" s="49">
        <f>資料儲存!I3410</f>
        <v>0</v>
      </c>
      <c r="AR66" s="49">
        <f>資料儲存!J3410</f>
        <v>0</v>
      </c>
      <c r="AT66" s="70">
        <v>49</v>
      </c>
      <c r="AU66" s="49">
        <f>資料儲存!D3530</f>
        <v>0</v>
      </c>
      <c r="AV66" s="49">
        <f>資料儲存!E3530</f>
        <v>0</v>
      </c>
      <c r="AW66" s="49">
        <f>資料儲存!F3530</f>
        <v>0</v>
      </c>
      <c r="AX66" s="49">
        <f>資料儲存!G3530</f>
        <v>0</v>
      </c>
      <c r="AY66" s="49">
        <f>資料儲存!H3530</f>
        <v>0</v>
      </c>
      <c r="AZ66" s="49">
        <f>資料儲存!I3530</f>
        <v>0</v>
      </c>
      <c r="BA66" s="49">
        <f>資料儲存!J3530</f>
        <v>0</v>
      </c>
    </row>
    <row r="67" spans="1:53" s="67" customFormat="1" ht="16" thickBot="1">
      <c r="A67" s="70">
        <v>50</v>
      </c>
      <c r="B67" s="49">
        <f>資料儲存!D2931</f>
        <v>0</v>
      </c>
      <c r="C67" s="49">
        <f>資料儲存!E2931</f>
        <v>0</v>
      </c>
      <c r="D67" s="49">
        <f>資料儲存!F2931</f>
        <v>0</v>
      </c>
      <c r="E67" s="49">
        <f>資料儲存!G2931</f>
        <v>0</v>
      </c>
      <c r="F67" s="49">
        <f>資料儲存!H2931</f>
        <v>0</v>
      </c>
      <c r="G67" s="49">
        <f>資料儲存!I2931</f>
        <v>0</v>
      </c>
      <c r="H67" s="49">
        <f>資料儲存!J2931</f>
        <v>0</v>
      </c>
      <c r="I67" s="52"/>
      <c r="J67" s="70">
        <v>50</v>
      </c>
      <c r="K67" s="49">
        <f>資料儲存!D3051</f>
        <v>0</v>
      </c>
      <c r="L67" s="49">
        <f>資料儲存!E3051</f>
        <v>0</v>
      </c>
      <c r="M67" s="49">
        <f>資料儲存!F3051</f>
        <v>0</v>
      </c>
      <c r="N67" s="49">
        <f>資料儲存!G3051</f>
        <v>0</v>
      </c>
      <c r="O67" s="49">
        <f>資料儲存!H3051</f>
        <v>0</v>
      </c>
      <c r="P67" s="49">
        <f>資料儲存!I3051</f>
        <v>0</v>
      </c>
      <c r="Q67" s="49">
        <f>資料儲存!J3051</f>
        <v>0</v>
      </c>
      <c r="R67" s="52"/>
      <c r="S67" s="70">
        <v>50</v>
      </c>
      <c r="T67" s="49">
        <f>資料儲存!D3171</f>
        <v>0</v>
      </c>
      <c r="U67" s="49">
        <f>資料儲存!E3171</f>
        <v>0</v>
      </c>
      <c r="V67" s="49">
        <f>資料儲存!F3171</f>
        <v>0</v>
      </c>
      <c r="W67" s="49">
        <f>資料儲存!G3171</f>
        <v>0</v>
      </c>
      <c r="X67" s="49">
        <f>資料儲存!H3171</f>
        <v>0</v>
      </c>
      <c r="Y67" s="49">
        <f>資料儲存!I3171</f>
        <v>0</v>
      </c>
      <c r="Z67" s="49">
        <f>資料儲存!J3171</f>
        <v>0</v>
      </c>
      <c r="AA67" s="52"/>
      <c r="AB67" s="70">
        <v>50</v>
      </c>
      <c r="AC67" s="49">
        <f>資料儲存!D3291</f>
        <v>0</v>
      </c>
      <c r="AD67" s="49">
        <f>資料儲存!E3291</f>
        <v>0</v>
      </c>
      <c r="AE67" s="49">
        <f>資料儲存!F3291</f>
        <v>0</v>
      </c>
      <c r="AF67" s="49">
        <f>資料儲存!G3291</f>
        <v>0</v>
      </c>
      <c r="AG67" s="49">
        <f>資料儲存!H3291</f>
        <v>0</v>
      </c>
      <c r="AH67" s="49">
        <f>資料儲存!I3291</f>
        <v>0</v>
      </c>
      <c r="AI67" s="49">
        <f>資料儲存!J3291</f>
        <v>0</v>
      </c>
      <c r="AJ67" s="52"/>
      <c r="AK67" s="70">
        <v>50</v>
      </c>
      <c r="AL67" s="49">
        <f>資料儲存!D3411</f>
        <v>0</v>
      </c>
      <c r="AM67" s="49">
        <f>資料儲存!E3411</f>
        <v>0</v>
      </c>
      <c r="AN67" s="49">
        <f>資料儲存!F3411</f>
        <v>0</v>
      </c>
      <c r="AO67" s="49">
        <f>資料儲存!G3411</f>
        <v>0</v>
      </c>
      <c r="AP67" s="49">
        <f>資料儲存!H3411</f>
        <v>0</v>
      </c>
      <c r="AQ67" s="49">
        <f>資料儲存!I3411</f>
        <v>0</v>
      </c>
      <c r="AR67" s="49">
        <f>資料儲存!J3411</f>
        <v>0</v>
      </c>
      <c r="AT67" s="70">
        <v>50</v>
      </c>
      <c r="AU67" s="49">
        <f>資料儲存!D3531</f>
        <v>0</v>
      </c>
      <c r="AV67" s="49">
        <f>資料儲存!E3531</f>
        <v>0</v>
      </c>
      <c r="AW67" s="49">
        <f>資料儲存!F3531</f>
        <v>0</v>
      </c>
      <c r="AX67" s="49">
        <f>資料儲存!G3531</f>
        <v>0</v>
      </c>
      <c r="AY67" s="49">
        <f>資料儲存!H3531</f>
        <v>0</v>
      </c>
      <c r="AZ67" s="49">
        <f>資料儲存!I3531</f>
        <v>0</v>
      </c>
      <c r="BA67" s="49">
        <f>資料儲存!J3531</f>
        <v>0</v>
      </c>
    </row>
    <row r="68" spans="1:53" s="67" customFormat="1" ht="16" thickBot="1">
      <c r="A68" s="70">
        <v>51</v>
      </c>
      <c r="B68" s="49">
        <f>資料儲存!D2932</f>
        <v>0</v>
      </c>
      <c r="C68" s="49">
        <f>資料儲存!E2932</f>
        <v>0</v>
      </c>
      <c r="D68" s="49">
        <f>資料儲存!F2932</f>
        <v>0</v>
      </c>
      <c r="E68" s="49">
        <f>資料儲存!G2932</f>
        <v>0</v>
      </c>
      <c r="F68" s="49">
        <f>資料儲存!H2932</f>
        <v>0</v>
      </c>
      <c r="G68" s="49">
        <f>資料儲存!I2932</f>
        <v>0</v>
      </c>
      <c r="H68" s="49">
        <f>資料儲存!J2932</f>
        <v>0</v>
      </c>
      <c r="I68" s="52"/>
      <c r="J68" s="70">
        <v>51</v>
      </c>
      <c r="K68" s="49">
        <f>資料儲存!D3052</f>
        <v>0</v>
      </c>
      <c r="L68" s="49">
        <f>資料儲存!E3052</f>
        <v>0</v>
      </c>
      <c r="M68" s="49">
        <f>資料儲存!F3052</f>
        <v>0</v>
      </c>
      <c r="N68" s="49">
        <f>資料儲存!G3052</f>
        <v>0</v>
      </c>
      <c r="O68" s="49">
        <f>資料儲存!H3052</f>
        <v>0</v>
      </c>
      <c r="P68" s="49">
        <f>資料儲存!I3052</f>
        <v>0</v>
      </c>
      <c r="Q68" s="49">
        <f>資料儲存!J3052</f>
        <v>0</v>
      </c>
      <c r="R68" s="52"/>
      <c r="S68" s="70">
        <v>51</v>
      </c>
      <c r="T68" s="49">
        <f>資料儲存!D3172</f>
        <v>0</v>
      </c>
      <c r="U68" s="49">
        <f>資料儲存!E3172</f>
        <v>0</v>
      </c>
      <c r="V68" s="49">
        <f>資料儲存!F3172</f>
        <v>0</v>
      </c>
      <c r="W68" s="49">
        <f>資料儲存!G3172</f>
        <v>0</v>
      </c>
      <c r="X68" s="49">
        <f>資料儲存!H3172</f>
        <v>0</v>
      </c>
      <c r="Y68" s="49">
        <f>資料儲存!I3172</f>
        <v>0</v>
      </c>
      <c r="Z68" s="49">
        <f>資料儲存!J3172</f>
        <v>0</v>
      </c>
      <c r="AA68" s="52"/>
      <c r="AB68" s="70">
        <v>51</v>
      </c>
      <c r="AC68" s="49">
        <f>資料儲存!D3292</f>
        <v>0</v>
      </c>
      <c r="AD68" s="49">
        <f>資料儲存!E3292</f>
        <v>0</v>
      </c>
      <c r="AE68" s="49">
        <f>資料儲存!F3292</f>
        <v>0</v>
      </c>
      <c r="AF68" s="49">
        <f>資料儲存!G3292</f>
        <v>0</v>
      </c>
      <c r="AG68" s="49">
        <f>資料儲存!H3292</f>
        <v>0</v>
      </c>
      <c r="AH68" s="49">
        <f>資料儲存!I3292</f>
        <v>0</v>
      </c>
      <c r="AI68" s="49">
        <f>資料儲存!J3292</f>
        <v>0</v>
      </c>
      <c r="AJ68" s="52"/>
      <c r="AK68" s="70">
        <v>51</v>
      </c>
      <c r="AL68" s="49">
        <f>資料儲存!D3412</f>
        <v>0</v>
      </c>
      <c r="AM68" s="49">
        <f>資料儲存!E3412</f>
        <v>0</v>
      </c>
      <c r="AN68" s="49">
        <f>資料儲存!F3412</f>
        <v>0</v>
      </c>
      <c r="AO68" s="49">
        <f>資料儲存!G3412</f>
        <v>0</v>
      </c>
      <c r="AP68" s="49">
        <f>資料儲存!H3412</f>
        <v>0</v>
      </c>
      <c r="AQ68" s="49">
        <f>資料儲存!I3412</f>
        <v>0</v>
      </c>
      <c r="AR68" s="49">
        <f>資料儲存!J3412</f>
        <v>0</v>
      </c>
      <c r="AT68" s="70">
        <v>51</v>
      </c>
      <c r="AU68" s="49">
        <f>資料儲存!D3532</f>
        <v>0</v>
      </c>
      <c r="AV68" s="49">
        <f>資料儲存!E3532</f>
        <v>0</v>
      </c>
      <c r="AW68" s="49">
        <f>資料儲存!F3532</f>
        <v>0</v>
      </c>
      <c r="AX68" s="49">
        <f>資料儲存!G3532</f>
        <v>0</v>
      </c>
      <c r="AY68" s="49">
        <f>資料儲存!H3532</f>
        <v>0</v>
      </c>
      <c r="AZ68" s="49">
        <f>資料儲存!I3532</f>
        <v>0</v>
      </c>
      <c r="BA68" s="49">
        <f>資料儲存!J3532</f>
        <v>0</v>
      </c>
    </row>
    <row r="69" spans="1:53" s="67" customFormat="1" ht="16" thickBot="1">
      <c r="A69" s="70">
        <v>52</v>
      </c>
      <c r="B69" s="49">
        <f>資料儲存!D2933</f>
        <v>0</v>
      </c>
      <c r="C69" s="49">
        <f>資料儲存!E2933</f>
        <v>0</v>
      </c>
      <c r="D69" s="49">
        <f>資料儲存!F2933</f>
        <v>0</v>
      </c>
      <c r="E69" s="49">
        <f>資料儲存!G2933</f>
        <v>0</v>
      </c>
      <c r="F69" s="49">
        <f>資料儲存!H2933</f>
        <v>0</v>
      </c>
      <c r="G69" s="49">
        <f>資料儲存!I2933</f>
        <v>0</v>
      </c>
      <c r="H69" s="49">
        <f>資料儲存!J2933</f>
        <v>0</v>
      </c>
      <c r="I69" s="52"/>
      <c r="J69" s="70">
        <v>52</v>
      </c>
      <c r="K69" s="49">
        <f>資料儲存!D3053</f>
        <v>0</v>
      </c>
      <c r="L69" s="49">
        <f>資料儲存!E3053</f>
        <v>0</v>
      </c>
      <c r="M69" s="49">
        <f>資料儲存!F3053</f>
        <v>0</v>
      </c>
      <c r="N69" s="49">
        <f>資料儲存!G3053</f>
        <v>0</v>
      </c>
      <c r="O69" s="49">
        <f>資料儲存!H3053</f>
        <v>0</v>
      </c>
      <c r="P69" s="49">
        <f>資料儲存!I3053</f>
        <v>0</v>
      </c>
      <c r="Q69" s="49">
        <f>資料儲存!J3053</f>
        <v>0</v>
      </c>
      <c r="R69" s="52"/>
      <c r="S69" s="70">
        <v>52</v>
      </c>
      <c r="T69" s="49">
        <f>資料儲存!D3173</f>
        <v>0</v>
      </c>
      <c r="U69" s="49">
        <f>資料儲存!E3173</f>
        <v>0</v>
      </c>
      <c r="V69" s="49">
        <f>資料儲存!F3173</f>
        <v>0</v>
      </c>
      <c r="W69" s="49">
        <f>資料儲存!G3173</f>
        <v>0</v>
      </c>
      <c r="X69" s="49">
        <f>資料儲存!H3173</f>
        <v>0</v>
      </c>
      <c r="Y69" s="49">
        <f>資料儲存!I3173</f>
        <v>0</v>
      </c>
      <c r="Z69" s="49">
        <f>資料儲存!J3173</f>
        <v>0</v>
      </c>
      <c r="AA69" s="52"/>
      <c r="AB69" s="70">
        <v>52</v>
      </c>
      <c r="AC69" s="49">
        <f>資料儲存!D3293</f>
        <v>0</v>
      </c>
      <c r="AD69" s="49">
        <f>資料儲存!E3293</f>
        <v>0</v>
      </c>
      <c r="AE69" s="49">
        <f>資料儲存!F3293</f>
        <v>0</v>
      </c>
      <c r="AF69" s="49">
        <f>資料儲存!G3293</f>
        <v>0</v>
      </c>
      <c r="AG69" s="49">
        <f>資料儲存!H3293</f>
        <v>0</v>
      </c>
      <c r="AH69" s="49">
        <f>資料儲存!I3293</f>
        <v>0</v>
      </c>
      <c r="AI69" s="49">
        <f>資料儲存!J3293</f>
        <v>0</v>
      </c>
      <c r="AJ69" s="52"/>
      <c r="AK69" s="70">
        <v>52</v>
      </c>
      <c r="AL69" s="49">
        <f>資料儲存!D3413</f>
        <v>0</v>
      </c>
      <c r="AM69" s="49">
        <f>資料儲存!E3413</f>
        <v>0</v>
      </c>
      <c r="AN69" s="49">
        <f>資料儲存!F3413</f>
        <v>0</v>
      </c>
      <c r="AO69" s="49">
        <f>資料儲存!G3413</f>
        <v>0</v>
      </c>
      <c r="AP69" s="49">
        <f>資料儲存!H3413</f>
        <v>0</v>
      </c>
      <c r="AQ69" s="49">
        <f>資料儲存!I3413</f>
        <v>0</v>
      </c>
      <c r="AR69" s="49">
        <f>資料儲存!J3413</f>
        <v>0</v>
      </c>
      <c r="AT69" s="70">
        <v>52</v>
      </c>
      <c r="AU69" s="49">
        <f>資料儲存!D3533</f>
        <v>0</v>
      </c>
      <c r="AV69" s="49">
        <f>資料儲存!E3533</f>
        <v>0</v>
      </c>
      <c r="AW69" s="49">
        <f>資料儲存!F3533</f>
        <v>0</v>
      </c>
      <c r="AX69" s="49">
        <f>資料儲存!G3533</f>
        <v>0</v>
      </c>
      <c r="AY69" s="49">
        <f>資料儲存!H3533</f>
        <v>0</v>
      </c>
      <c r="AZ69" s="49">
        <f>資料儲存!I3533</f>
        <v>0</v>
      </c>
      <c r="BA69" s="49">
        <f>資料儲存!J3533</f>
        <v>0</v>
      </c>
    </row>
    <row r="70" spans="1:53" s="67" customFormat="1" ht="16" thickBot="1">
      <c r="A70" s="70">
        <v>53</v>
      </c>
      <c r="B70" s="49">
        <f>資料儲存!D2934</f>
        <v>0</v>
      </c>
      <c r="C70" s="49">
        <f>資料儲存!E2934</f>
        <v>0</v>
      </c>
      <c r="D70" s="49">
        <f>資料儲存!F2934</f>
        <v>0</v>
      </c>
      <c r="E70" s="49">
        <f>資料儲存!G2934</f>
        <v>0</v>
      </c>
      <c r="F70" s="49">
        <f>資料儲存!H2934</f>
        <v>0</v>
      </c>
      <c r="G70" s="49">
        <f>資料儲存!I2934</f>
        <v>0</v>
      </c>
      <c r="H70" s="49">
        <f>資料儲存!J2934</f>
        <v>0</v>
      </c>
      <c r="I70" s="52"/>
      <c r="J70" s="70">
        <v>53</v>
      </c>
      <c r="K70" s="49">
        <f>資料儲存!D3054</f>
        <v>0</v>
      </c>
      <c r="L70" s="49">
        <f>資料儲存!E3054</f>
        <v>0</v>
      </c>
      <c r="M70" s="49">
        <f>資料儲存!F3054</f>
        <v>0</v>
      </c>
      <c r="N70" s="49">
        <f>資料儲存!G3054</f>
        <v>0</v>
      </c>
      <c r="O70" s="49">
        <f>資料儲存!H3054</f>
        <v>0</v>
      </c>
      <c r="P70" s="49">
        <f>資料儲存!I3054</f>
        <v>0</v>
      </c>
      <c r="Q70" s="49">
        <f>資料儲存!J3054</f>
        <v>0</v>
      </c>
      <c r="R70" s="52"/>
      <c r="S70" s="70">
        <v>53</v>
      </c>
      <c r="T70" s="49">
        <f>資料儲存!D3174</f>
        <v>0</v>
      </c>
      <c r="U70" s="49">
        <f>資料儲存!E3174</f>
        <v>0</v>
      </c>
      <c r="V70" s="49">
        <f>資料儲存!F3174</f>
        <v>0</v>
      </c>
      <c r="W70" s="49">
        <f>資料儲存!G3174</f>
        <v>0</v>
      </c>
      <c r="X70" s="49">
        <f>資料儲存!H3174</f>
        <v>0</v>
      </c>
      <c r="Y70" s="49">
        <f>資料儲存!I3174</f>
        <v>0</v>
      </c>
      <c r="Z70" s="49">
        <f>資料儲存!J3174</f>
        <v>0</v>
      </c>
      <c r="AA70" s="52"/>
      <c r="AB70" s="70">
        <v>53</v>
      </c>
      <c r="AC70" s="49">
        <f>資料儲存!D3294</f>
        <v>0</v>
      </c>
      <c r="AD70" s="49">
        <f>資料儲存!E3294</f>
        <v>0</v>
      </c>
      <c r="AE70" s="49">
        <f>資料儲存!F3294</f>
        <v>0</v>
      </c>
      <c r="AF70" s="49">
        <f>資料儲存!G3294</f>
        <v>0</v>
      </c>
      <c r="AG70" s="49">
        <f>資料儲存!H3294</f>
        <v>0</v>
      </c>
      <c r="AH70" s="49">
        <f>資料儲存!I3294</f>
        <v>0</v>
      </c>
      <c r="AI70" s="49">
        <f>資料儲存!J3294</f>
        <v>0</v>
      </c>
      <c r="AJ70" s="52"/>
      <c r="AK70" s="70">
        <v>53</v>
      </c>
      <c r="AL70" s="49">
        <f>資料儲存!D3414</f>
        <v>0</v>
      </c>
      <c r="AM70" s="49">
        <f>資料儲存!E3414</f>
        <v>0</v>
      </c>
      <c r="AN70" s="49">
        <f>資料儲存!F3414</f>
        <v>0</v>
      </c>
      <c r="AO70" s="49">
        <f>資料儲存!G3414</f>
        <v>0</v>
      </c>
      <c r="AP70" s="49">
        <f>資料儲存!H3414</f>
        <v>0</v>
      </c>
      <c r="AQ70" s="49">
        <f>資料儲存!I3414</f>
        <v>0</v>
      </c>
      <c r="AR70" s="49">
        <f>資料儲存!J3414</f>
        <v>0</v>
      </c>
      <c r="AT70" s="70">
        <v>53</v>
      </c>
      <c r="AU70" s="49">
        <f>資料儲存!D3534</f>
        <v>0</v>
      </c>
      <c r="AV70" s="49">
        <f>資料儲存!E3534</f>
        <v>0</v>
      </c>
      <c r="AW70" s="49">
        <f>資料儲存!F3534</f>
        <v>0</v>
      </c>
      <c r="AX70" s="49">
        <f>資料儲存!G3534</f>
        <v>0</v>
      </c>
      <c r="AY70" s="49">
        <f>資料儲存!H3534</f>
        <v>0</v>
      </c>
      <c r="AZ70" s="49">
        <f>資料儲存!I3534</f>
        <v>0</v>
      </c>
      <c r="BA70" s="49">
        <f>資料儲存!J3534</f>
        <v>0</v>
      </c>
    </row>
    <row r="71" spans="1:53" s="67" customFormat="1" ht="16" thickBot="1">
      <c r="A71" s="70">
        <v>54</v>
      </c>
      <c r="B71" s="49">
        <f>資料儲存!D2935</f>
        <v>0</v>
      </c>
      <c r="C71" s="49">
        <f>資料儲存!E2935</f>
        <v>0</v>
      </c>
      <c r="D71" s="49">
        <f>資料儲存!F2935</f>
        <v>0</v>
      </c>
      <c r="E71" s="49">
        <f>資料儲存!G2935</f>
        <v>0</v>
      </c>
      <c r="F71" s="49">
        <f>資料儲存!H2935</f>
        <v>0</v>
      </c>
      <c r="G71" s="49">
        <f>資料儲存!I2935</f>
        <v>0</v>
      </c>
      <c r="H71" s="49">
        <f>資料儲存!J2935</f>
        <v>0</v>
      </c>
      <c r="I71" s="52"/>
      <c r="J71" s="70">
        <v>54</v>
      </c>
      <c r="K71" s="49">
        <f>資料儲存!D3055</f>
        <v>0</v>
      </c>
      <c r="L71" s="49">
        <f>資料儲存!E3055</f>
        <v>0</v>
      </c>
      <c r="M71" s="49">
        <f>資料儲存!F3055</f>
        <v>0</v>
      </c>
      <c r="N71" s="49">
        <f>資料儲存!G3055</f>
        <v>0</v>
      </c>
      <c r="O71" s="49">
        <f>資料儲存!H3055</f>
        <v>0</v>
      </c>
      <c r="P71" s="49">
        <f>資料儲存!I3055</f>
        <v>0</v>
      </c>
      <c r="Q71" s="49">
        <f>資料儲存!J3055</f>
        <v>0</v>
      </c>
      <c r="R71" s="52"/>
      <c r="S71" s="70">
        <v>54</v>
      </c>
      <c r="T71" s="49">
        <f>資料儲存!D3175</f>
        <v>0</v>
      </c>
      <c r="U71" s="49">
        <f>資料儲存!E3175</f>
        <v>0</v>
      </c>
      <c r="V71" s="49">
        <f>資料儲存!F3175</f>
        <v>0</v>
      </c>
      <c r="W71" s="49">
        <f>資料儲存!G3175</f>
        <v>0</v>
      </c>
      <c r="X71" s="49">
        <f>資料儲存!H3175</f>
        <v>0</v>
      </c>
      <c r="Y71" s="49">
        <f>資料儲存!I3175</f>
        <v>0</v>
      </c>
      <c r="Z71" s="49">
        <f>資料儲存!J3175</f>
        <v>0</v>
      </c>
      <c r="AA71" s="52"/>
      <c r="AB71" s="70">
        <v>54</v>
      </c>
      <c r="AC71" s="49">
        <f>資料儲存!D3295</f>
        <v>0</v>
      </c>
      <c r="AD71" s="49">
        <f>資料儲存!E3295</f>
        <v>0</v>
      </c>
      <c r="AE71" s="49">
        <f>資料儲存!F3295</f>
        <v>0</v>
      </c>
      <c r="AF71" s="49">
        <f>資料儲存!G3295</f>
        <v>0</v>
      </c>
      <c r="AG71" s="49">
        <f>資料儲存!H3295</f>
        <v>0</v>
      </c>
      <c r="AH71" s="49">
        <f>資料儲存!I3295</f>
        <v>0</v>
      </c>
      <c r="AI71" s="49">
        <f>資料儲存!J3295</f>
        <v>0</v>
      </c>
      <c r="AJ71" s="52"/>
      <c r="AK71" s="70">
        <v>54</v>
      </c>
      <c r="AL71" s="49">
        <f>資料儲存!D3415</f>
        <v>0</v>
      </c>
      <c r="AM71" s="49">
        <f>資料儲存!E3415</f>
        <v>0</v>
      </c>
      <c r="AN71" s="49">
        <f>資料儲存!F3415</f>
        <v>0</v>
      </c>
      <c r="AO71" s="49">
        <f>資料儲存!G3415</f>
        <v>0</v>
      </c>
      <c r="AP71" s="49">
        <f>資料儲存!H3415</f>
        <v>0</v>
      </c>
      <c r="AQ71" s="49">
        <f>資料儲存!I3415</f>
        <v>0</v>
      </c>
      <c r="AR71" s="49">
        <f>資料儲存!J3415</f>
        <v>0</v>
      </c>
      <c r="AT71" s="70">
        <v>54</v>
      </c>
      <c r="AU71" s="49">
        <f>資料儲存!D3535</f>
        <v>0</v>
      </c>
      <c r="AV71" s="49">
        <f>資料儲存!E3535</f>
        <v>0</v>
      </c>
      <c r="AW71" s="49">
        <f>資料儲存!F3535</f>
        <v>0</v>
      </c>
      <c r="AX71" s="49">
        <f>資料儲存!G3535</f>
        <v>0</v>
      </c>
      <c r="AY71" s="49">
        <f>資料儲存!H3535</f>
        <v>0</v>
      </c>
      <c r="AZ71" s="49">
        <f>資料儲存!I3535</f>
        <v>0</v>
      </c>
      <c r="BA71" s="49">
        <f>資料儲存!J3535</f>
        <v>0</v>
      </c>
    </row>
    <row r="72" spans="1:53" s="67" customFormat="1" ht="16" thickBot="1">
      <c r="A72" s="70">
        <v>55</v>
      </c>
      <c r="B72" s="49">
        <f>資料儲存!D2936</f>
        <v>0</v>
      </c>
      <c r="C72" s="49">
        <f>資料儲存!E2936</f>
        <v>0</v>
      </c>
      <c r="D72" s="49">
        <f>資料儲存!F2936</f>
        <v>0</v>
      </c>
      <c r="E72" s="49">
        <f>資料儲存!G2936</f>
        <v>0</v>
      </c>
      <c r="F72" s="49">
        <f>資料儲存!H2936</f>
        <v>0</v>
      </c>
      <c r="G72" s="49">
        <f>資料儲存!I2936</f>
        <v>0</v>
      </c>
      <c r="H72" s="49">
        <f>資料儲存!J2936</f>
        <v>0</v>
      </c>
      <c r="I72" s="52"/>
      <c r="J72" s="70">
        <v>55</v>
      </c>
      <c r="K72" s="49">
        <f>資料儲存!D3056</f>
        <v>0</v>
      </c>
      <c r="L72" s="49">
        <f>資料儲存!E3056</f>
        <v>0</v>
      </c>
      <c r="M72" s="49">
        <f>資料儲存!F3056</f>
        <v>0</v>
      </c>
      <c r="N72" s="49">
        <f>資料儲存!G3056</f>
        <v>0</v>
      </c>
      <c r="O72" s="49">
        <f>資料儲存!H3056</f>
        <v>0</v>
      </c>
      <c r="P72" s="49">
        <f>資料儲存!I3056</f>
        <v>0</v>
      </c>
      <c r="Q72" s="49">
        <f>資料儲存!J3056</f>
        <v>0</v>
      </c>
      <c r="R72" s="52"/>
      <c r="S72" s="70">
        <v>55</v>
      </c>
      <c r="T72" s="49">
        <f>資料儲存!D3176</f>
        <v>0</v>
      </c>
      <c r="U72" s="49">
        <f>資料儲存!E3176</f>
        <v>0</v>
      </c>
      <c r="V72" s="49">
        <f>資料儲存!F3176</f>
        <v>0</v>
      </c>
      <c r="W72" s="49">
        <f>資料儲存!G3176</f>
        <v>0</v>
      </c>
      <c r="X72" s="49">
        <f>資料儲存!H3176</f>
        <v>0</v>
      </c>
      <c r="Y72" s="49">
        <f>資料儲存!I3176</f>
        <v>0</v>
      </c>
      <c r="Z72" s="49">
        <f>資料儲存!J3176</f>
        <v>0</v>
      </c>
      <c r="AA72" s="52"/>
      <c r="AB72" s="70">
        <v>55</v>
      </c>
      <c r="AC72" s="49">
        <f>資料儲存!D3296</f>
        <v>0</v>
      </c>
      <c r="AD72" s="49">
        <f>資料儲存!E3296</f>
        <v>0</v>
      </c>
      <c r="AE72" s="49">
        <f>資料儲存!F3296</f>
        <v>0</v>
      </c>
      <c r="AF72" s="49">
        <f>資料儲存!G3296</f>
        <v>0</v>
      </c>
      <c r="AG72" s="49">
        <f>資料儲存!H3296</f>
        <v>0</v>
      </c>
      <c r="AH72" s="49">
        <f>資料儲存!I3296</f>
        <v>0</v>
      </c>
      <c r="AI72" s="49">
        <f>資料儲存!J3296</f>
        <v>0</v>
      </c>
      <c r="AJ72" s="52"/>
      <c r="AK72" s="70">
        <v>55</v>
      </c>
      <c r="AL72" s="49">
        <f>資料儲存!D3416</f>
        <v>0</v>
      </c>
      <c r="AM72" s="49">
        <f>資料儲存!E3416</f>
        <v>0</v>
      </c>
      <c r="AN72" s="49">
        <f>資料儲存!F3416</f>
        <v>0</v>
      </c>
      <c r="AO72" s="49">
        <f>資料儲存!G3416</f>
        <v>0</v>
      </c>
      <c r="AP72" s="49">
        <f>資料儲存!H3416</f>
        <v>0</v>
      </c>
      <c r="AQ72" s="49">
        <f>資料儲存!I3416</f>
        <v>0</v>
      </c>
      <c r="AR72" s="49">
        <f>資料儲存!J3416</f>
        <v>0</v>
      </c>
      <c r="AT72" s="70">
        <v>55</v>
      </c>
      <c r="AU72" s="49">
        <f>資料儲存!D3536</f>
        <v>0</v>
      </c>
      <c r="AV72" s="49">
        <f>資料儲存!E3536</f>
        <v>0</v>
      </c>
      <c r="AW72" s="49">
        <f>資料儲存!F3536</f>
        <v>0</v>
      </c>
      <c r="AX72" s="49">
        <f>資料儲存!G3536</f>
        <v>0</v>
      </c>
      <c r="AY72" s="49">
        <f>資料儲存!H3536</f>
        <v>0</v>
      </c>
      <c r="AZ72" s="49">
        <f>資料儲存!I3536</f>
        <v>0</v>
      </c>
      <c r="BA72" s="49">
        <f>資料儲存!J3536</f>
        <v>0</v>
      </c>
    </row>
    <row r="73" spans="1:53" s="67" customFormat="1" ht="16" thickBot="1">
      <c r="A73" s="70">
        <v>56</v>
      </c>
      <c r="B73" s="49">
        <f>資料儲存!D2937</f>
        <v>0</v>
      </c>
      <c r="C73" s="49">
        <f>資料儲存!E2937</f>
        <v>0</v>
      </c>
      <c r="D73" s="49">
        <f>資料儲存!F2937</f>
        <v>0</v>
      </c>
      <c r="E73" s="49">
        <f>資料儲存!G2937</f>
        <v>0</v>
      </c>
      <c r="F73" s="49">
        <f>資料儲存!H2937</f>
        <v>0</v>
      </c>
      <c r="G73" s="49">
        <f>資料儲存!I2937</f>
        <v>0</v>
      </c>
      <c r="H73" s="49">
        <f>資料儲存!J2937</f>
        <v>0</v>
      </c>
      <c r="I73" s="52"/>
      <c r="J73" s="70">
        <v>56</v>
      </c>
      <c r="K73" s="49">
        <f>資料儲存!D3057</f>
        <v>0</v>
      </c>
      <c r="L73" s="49">
        <f>資料儲存!E3057</f>
        <v>0</v>
      </c>
      <c r="M73" s="49">
        <f>資料儲存!F3057</f>
        <v>0</v>
      </c>
      <c r="N73" s="49">
        <f>資料儲存!G3057</f>
        <v>0</v>
      </c>
      <c r="O73" s="49">
        <f>資料儲存!H3057</f>
        <v>0</v>
      </c>
      <c r="P73" s="49">
        <f>資料儲存!I3057</f>
        <v>0</v>
      </c>
      <c r="Q73" s="49">
        <f>資料儲存!J3057</f>
        <v>0</v>
      </c>
      <c r="R73" s="52"/>
      <c r="S73" s="70">
        <v>56</v>
      </c>
      <c r="T73" s="49">
        <f>資料儲存!D3177</f>
        <v>0</v>
      </c>
      <c r="U73" s="49">
        <f>資料儲存!E3177</f>
        <v>0</v>
      </c>
      <c r="V73" s="49">
        <f>資料儲存!F3177</f>
        <v>0</v>
      </c>
      <c r="W73" s="49">
        <f>資料儲存!G3177</f>
        <v>0</v>
      </c>
      <c r="X73" s="49">
        <f>資料儲存!H3177</f>
        <v>0</v>
      </c>
      <c r="Y73" s="49">
        <f>資料儲存!I3177</f>
        <v>0</v>
      </c>
      <c r="Z73" s="49">
        <f>資料儲存!J3177</f>
        <v>0</v>
      </c>
      <c r="AA73" s="52"/>
      <c r="AB73" s="70">
        <v>56</v>
      </c>
      <c r="AC73" s="49">
        <f>資料儲存!D3297</f>
        <v>0</v>
      </c>
      <c r="AD73" s="49">
        <f>資料儲存!E3297</f>
        <v>0</v>
      </c>
      <c r="AE73" s="49">
        <f>資料儲存!F3297</f>
        <v>0</v>
      </c>
      <c r="AF73" s="49">
        <f>資料儲存!G3297</f>
        <v>0</v>
      </c>
      <c r="AG73" s="49">
        <f>資料儲存!H3297</f>
        <v>0</v>
      </c>
      <c r="AH73" s="49">
        <f>資料儲存!I3297</f>
        <v>0</v>
      </c>
      <c r="AI73" s="49">
        <f>資料儲存!J3297</f>
        <v>0</v>
      </c>
      <c r="AJ73" s="52"/>
      <c r="AK73" s="70">
        <v>56</v>
      </c>
      <c r="AL73" s="49">
        <f>資料儲存!D3417</f>
        <v>0</v>
      </c>
      <c r="AM73" s="49">
        <f>資料儲存!E3417</f>
        <v>0</v>
      </c>
      <c r="AN73" s="49">
        <f>資料儲存!F3417</f>
        <v>0</v>
      </c>
      <c r="AO73" s="49">
        <f>資料儲存!G3417</f>
        <v>0</v>
      </c>
      <c r="AP73" s="49">
        <f>資料儲存!H3417</f>
        <v>0</v>
      </c>
      <c r="AQ73" s="49">
        <f>資料儲存!I3417</f>
        <v>0</v>
      </c>
      <c r="AR73" s="49">
        <f>資料儲存!J3417</f>
        <v>0</v>
      </c>
      <c r="AT73" s="70">
        <v>56</v>
      </c>
      <c r="AU73" s="49">
        <f>資料儲存!D3537</f>
        <v>0</v>
      </c>
      <c r="AV73" s="49">
        <f>資料儲存!E3537</f>
        <v>0</v>
      </c>
      <c r="AW73" s="49">
        <f>資料儲存!F3537</f>
        <v>0</v>
      </c>
      <c r="AX73" s="49">
        <f>資料儲存!G3537</f>
        <v>0</v>
      </c>
      <c r="AY73" s="49">
        <f>資料儲存!H3537</f>
        <v>0</v>
      </c>
      <c r="AZ73" s="49">
        <f>資料儲存!I3537</f>
        <v>0</v>
      </c>
      <c r="BA73" s="49">
        <f>資料儲存!J3537</f>
        <v>0</v>
      </c>
    </row>
    <row r="74" spans="1:53" s="67" customFormat="1" ht="16" thickBot="1">
      <c r="A74" s="70">
        <v>57</v>
      </c>
      <c r="B74" s="49">
        <f>資料儲存!D2938</f>
        <v>0</v>
      </c>
      <c r="C74" s="49">
        <f>資料儲存!E2938</f>
        <v>0</v>
      </c>
      <c r="D74" s="49">
        <f>資料儲存!F2938</f>
        <v>0</v>
      </c>
      <c r="E74" s="49">
        <f>資料儲存!G2938</f>
        <v>0</v>
      </c>
      <c r="F74" s="49">
        <f>資料儲存!H2938</f>
        <v>0</v>
      </c>
      <c r="G74" s="49">
        <f>資料儲存!I2938</f>
        <v>0</v>
      </c>
      <c r="H74" s="49">
        <f>資料儲存!J2938</f>
        <v>0</v>
      </c>
      <c r="I74" s="52"/>
      <c r="J74" s="70">
        <v>57</v>
      </c>
      <c r="K74" s="49">
        <f>資料儲存!D3058</f>
        <v>0</v>
      </c>
      <c r="L74" s="49">
        <f>資料儲存!E3058</f>
        <v>0</v>
      </c>
      <c r="M74" s="49">
        <f>資料儲存!F3058</f>
        <v>0</v>
      </c>
      <c r="N74" s="49">
        <f>資料儲存!G3058</f>
        <v>0</v>
      </c>
      <c r="O74" s="49">
        <f>資料儲存!H3058</f>
        <v>0</v>
      </c>
      <c r="P74" s="49">
        <f>資料儲存!I3058</f>
        <v>0</v>
      </c>
      <c r="Q74" s="49">
        <f>資料儲存!J3058</f>
        <v>0</v>
      </c>
      <c r="R74" s="52"/>
      <c r="S74" s="70">
        <v>57</v>
      </c>
      <c r="T74" s="49">
        <f>資料儲存!D3178</f>
        <v>0</v>
      </c>
      <c r="U74" s="49">
        <f>資料儲存!E3178</f>
        <v>0</v>
      </c>
      <c r="V74" s="49">
        <f>資料儲存!F3178</f>
        <v>0</v>
      </c>
      <c r="W74" s="49">
        <f>資料儲存!G3178</f>
        <v>0</v>
      </c>
      <c r="X74" s="49">
        <f>資料儲存!H3178</f>
        <v>0</v>
      </c>
      <c r="Y74" s="49">
        <f>資料儲存!I3178</f>
        <v>0</v>
      </c>
      <c r="Z74" s="49">
        <f>資料儲存!J3178</f>
        <v>0</v>
      </c>
      <c r="AA74" s="52"/>
      <c r="AB74" s="70">
        <v>57</v>
      </c>
      <c r="AC74" s="49">
        <f>資料儲存!D3298</f>
        <v>0</v>
      </c>
      <c r="AD74" s="49">
        <f>資料儲存!E3298</f>
        <v>0</v>
      </c>
      <c r="AE74" s="49">
        <f>資料儲存!F3298</f>
        <v>0</v>
      </c>
      <c r="AF74" s="49">
        <f>資料儲存!G3298</f>
        <v>0</v>
      </c>
      <c r="AG74" s="49">
        <f>資料儲存!H3298</f>
        <v>0</v>
      </c>
      <c r="AH74" s="49">
        <f>資料儲存!I3298</f>
        <v>0</v>
      </c>
      <c r="AI74" s="49">
        <f>資料儲存!J3298</f>
        <v>0</v>
      </c>
      <c r="AJ74" s="52"/>
      <c r="AK74" s="70">
        <v>57</v>
      </c>
      <c r="AL74" s="49">
        <f>資料儲存!D3418</f>
        <v>0</v>
      </c>
      <c r="AM74" s="49">
        <f>資料儲存!E3418</f>
        <v>0</v>
      </c>
      <c r="AN74" s="49">
        <f>資料儲存!F3418</f>
        <v>0</v>
      </c>
      <c r="AO74" s="49">
        <f>資料儲存!G3418</f>
        <v>0</v>
      </c>
      <c r="AP74" s="49">
        <f>資料儲存!H3418</f>
        <v>0</v>
      </c>
      <c r="AQ74" s="49">
        <f>資料儲存!I3418</f>
        <v>0</v>
      </c>
      <c r="AR74" s="49">
        <f>資料儲存!J3418</f>
        <v>0</v>
      </c>
      <c r="AT74" s="70">
        <v>57</v>
      </c>
      <c r="AU74" s="49">
        <f>資料儲存!D3538</f>
        <v>0</v>
      </c>
      <c r="AV74" s="49">
        <f>資料儲存!E3538</f>
        <v>0</v>
      </c>
      <c r="AW74" s="49">
        <f>資料儲存!F3538</f>
        <v>0</v>
      </c>
      <c r="AX74" s="49">
        <f>資料儲存!G3538</f>
        <v>0</v>
      </c>
      <c r="AY74" s="49">
        <f>資料儲存!H3538</f>
        <v>0</v>
      </c>
      <c r="AZ74" s="49">
        <f>資料儲存!I3538</f>
        <v>0</v>
      </c>
      <c r="BA74" s="49">
        <f>資料儲存!J3538</f>
        <v>0</v>
      </c>
    </row>
    <row r="75" spans="1:53" s="67" customFormat="1" ht="16" thickBot="1">
      <c r="A75" s="70">
        <v>58</v>
      </c>
      <c r="B75" s="49">
        <f>資料儲存!D2939</f>
        <v>0</v>
      </c>
      <c r="C75" s="49">
        <f>資料儲存!E2939</f>
        <v>0</v>
      </c>
      <c r="D75" s="49">
        <f>資料儲存!F2939</f>
        <v>0</v>
      </c>
      <c r="E75" s="49">
        <f>資料儲存!G2939</f>
        <v>0</v>
      </c>
      <c r="F75" s="49">
        <f>資料儲存!H2939</f>
        <v>0</v>
      </c>
      <c r="G75" s="49">
        <f>資料儲存!I2939</f>
        <v>0</v>
      </c>
      <c r="H75" s="49">
        <f>資料儲存!J2939</f>
        <v>0</v>
      </c>
      <c r="I75" s="52"/>
      <c r="J75" s="70">
        <v>58</v>
      </c>
      <c r="K75" s="49">
        <f>資料儲存!D3059</f>
        <v>0</v>
      </c>
      <c r="L75" s="49">
        <f>資料儲存!E3059</f>
        <v>0</v>
      </c>
      <c r="M75" s="49">
        <f>資料儲存!F3059</f>
        <v>0</v>
      </c>
      <c r="N75" s="49">
        <f>資料儲存!G3059</f>
        <v>0</v>
      </c>
      <c r="O75" s="49">
        <f>資料儲存!H3059</f>
        <v>0</v>
      </c>
      <c r="P75" s="49">
        <f>資料儲存!I3059</f>
        <v>0</v>
      </c>
      <c r="Q75" s="49">
        <f>資料儲存!J3059</f>
        <v>0</v>
      </c>
      <c r="R75" s="52"/>
      <c r="S75" s="70">
        <v>58</v>
      </c>
      <c r="T75" s="49">
        <f>資料儲存!D3179</f>
        <v>0</v>
      </c>
      <c r="U75" s="49">
        <f>資料儲存!E3179</f>
        <v>0</v>
      </c>
      <c r="V75" s="49">
        <f>資料儲存!F3179</f>
        <v>0</v>
      </c>
      <c r="W75" s="49">
        <f>資料儲存!G3179</f>
        <v>0</v>
      </c>
      <c r="X75" s="49">
        <f>資料儲存!H3179</f>
        <v>0</v>
      </c>
      <c r="Y75" s="49">
        <f>資料儲存!I3179</f>
        <v>0</v>
      </c>
      <c r="Z75" s="49">
        <f>資料儲存!J3179</f>
        <v>0</v>
      </c>
      <c r="AA75" s="52"/>
      <c r="AB75" s="70">
        <v>58</v>
      </c>
      <c r="AC75" s="49">
        <f>資料儲存!D3299</f>
        <v>0</v>
      </c>
      <c r="AD75" s="49">
        <f>資料儲存!E3299</f>
        <v>0</v>
      </c>
      <c r="AE75" s="49">
        <f>資料儲存!F3299</f>
        <v>0</v>
      </c>
      <c r="AF75" s="49">
        <f>資料儲存!G3299</f>
        <v>0</v>
      </c>
      <c r="AG75" s="49">
        <f>資料儲存!H3299</f>
        <v>0</v>
      </c>
      <c r="AH75" s="49">
        <f>資料儲存!I3299</f>
        <v>0</v>
      </c>
      <c r="AI75" s="49">
        <f>資料儲存!J3299</f>
        <v>0</v>
      </c>
      <c r="AJ75" s="52"/>
      <c r="AK75" s="70">
        <v>58</v>
      </c>
      <c r="AL75" s="49">
        <f>資料儲存!D3419</f>
        <v>0</v>
      </c>
      <c r="AM75" s="49">
        <f>資料儲存!E3419</f>
        <v>0</v>
      </c>
      <c r="AN75" s="49">
        <f>資料儲存!F3419</f>
        <v>0</v>
      </c>
      <c r="AO75" s="49">
        <f>資料儲存!G3419</f>
        <v>0</v>
      </c>
      <c r="AP75" s="49">
        <f>資料儲存!H3419</f>
        <v>0</v>
      </c>
      <c r="AQ75" s="49">
        <f>資料儲存!I3419</f>
        <v>0</v>
      </c>
      <c r="AR75" s="49">
        <f>資料儲存!J3419</f>
        <v>0</v>
      </c>
      <c r="AT75" s="70">
        <v>58</v>
      </c>
      <c r="AU75" s="49">
        <f>資料儲存!D3539</f>
        <v>0</v>
      </c>
      <c r="AV75" s="49">
        <f>資料儲存!E3539</f>
        <v>0</v>
      </c>
      <c r="AW75" s="49">
        <f>資料儲存!F3539</f>
        <v>0</v>
      </c>
      <c r="AX75" s="49">
        <f>資料儲存!G3539</f>
        <v>0</v>
      </c>
      <c r="AY75" s="49">
        <f>資料儲存!H3539</f>
        <v>0</v>
      </c>
      <c r="AZ75" s="49">
        <f>資料儲存!I3539</f>
        <v>0</v>
      </c>
      <c r="BA75" s="49">
        <f>資料儲存!J3539</f>
        <v>0</v>
      </c>
    </row>
    <row r="76" spans="1:53" s="67" customFormat="1" ht="16" thickBot="1">
      <c r="A76" s="70">
        <v>59</v>
      </c>
      <c r="B76" s="49">
        <f>資料儲存!D2940</f>
        <v>0</v>
      </c>
      <c r="C76" s="49">
        <f>資料儲存!E2940</f>
        <v>0</v>
      </c>
      <c r="D76" s="49">
        <f>資料儲存!F2940</f>
        <v>0</v>
      </c>
      <c r="E76" s="49">
        <f>資料儲存!G2940</f>
        <v>0</v>
      </c>
      <c r="F76" s="49">
        <f>資料儲存!H2940</f>
        <v>0</v>
      </c>
      <c r="G76" s="49">
        <f>資料儲存!I2940</f>
        <v>0</v>
      </c>
      <c r="H76" s="49">
        <f>資料儲存!J2940</f>
        <v>0</v>
      </c>
      <c r="I76" s="52"/>
      <c r="J76" s="70">
        <v>59</v>
      </c>
      <c r="K76" s="49">
        <f>資料儲存!D3060</f>
        <v>0</v>
      </c>
      <c r="L76" s="49">
        <f>資料儲存!E3060</f>
        <v>0</v>
      </c>
      <c r="M76" s="49">
        <f>資料儲存!F3060</f>
        <v>0</v>
      </c>
      <c r="N76" s="49">
        <f>資料儲存!G3060</f>
        <v>0</v>
      </c>
      <c r="O76" s="49">
        <f>資料儲存!H3060</f>
        <v>0</v>
      </c>
      <c r="P76" s="49">
        <f>資料儲存!I3060</f>
        <v>0</v>
      </c>
      <c r="Q76" s="49">
        <f>資料儲存!J3060</f>
        <v>0</v>
      </c>
      <c r="R76" s="52"/>
      <c r="S76" s="70">
        <v>59</v>
      </c>
      <c r="T76" s="49">
        <f>資料儲存!D3180</f>
        <v>0</v>
      </c>
      <c r="U76" s="49">
        <f>資料儲存!E3180</f>
        <v>0</v>
      </c>
      <c r="V76" s="49">
        <f>資料儲存!F3180</f>
        <v>0</v>
      </c>
      <c r="W76" s="49">
        <f>資料儲存!G3180</f>
        <v>0</v>
      </c>
      <c r="X76" s="49">
        <f>資料儲存!H3180</f>
        <v>0</v>
      </c>
      <c r="Y76" s="49">
        <f>資料儲存!I3180</f>
        <v>0</v>
      </c>
      <c r="Z76" s="49">
        <f>資料儲存!J3180</f>
        <v>0</v>
      </c>
      <c r="AA76" s="52"/>
      <c r="AB76" s="70">
        <v>59</v>
      </c>
      <c r="AC76" s="49">
        <f>資料儲存!D3300</f>
        <v>0</v>
      </c>
      <c r="AD76" s="49">
        <f>資料儲存!E3300</f>
        <v>0</v>
      </c>
      <c r="AE76" s="49">
        <f>資料儲存!F3300</f>
        <v>0</v>
      </c>
      <c r="AF76" s="49">
        <f>資料儲存!G3300</f>
        <v>0</v>
      </c>
      <c r="AG76" s="49">
        <f>資料儲存!H3300</f>
        <v>0</v>
      </c>
      <c r="AH76" s="49">
        <f>資料儲存!I3300</f>
        <v>0</v>
      </c>
      <c r="AI76" s="49">
        <f>資料儲存!J3300</f>
        <v>0</v>
      </c>
      <c r="AJ76" s="52"/>
      <c r="AK76" s="70">
        <v>59</v>
      </c>
      <c r="AL76" s="49">
        <f>資料儲存!D3420</f>
        <v>0</v>
      </c>
      <c r="AM76" s="49">
        <f>資料儲存!E3420</f>
        <v>0</v>
      </c>
      <c r="AN76" s="49">
        <f>資料儲存!F3420</f>
        <v>0</v>
      </c>
      <c r="AO76" s="49">
        <f>資料儲存!G3420</f>
        <v>0</v>
      </c>
      <c r="AP76" s="49">
        <f>資料儲存!H3420</f>
        <v>0</v>
      </c>
      <c r="AQ76" s="49">
        <f>資料儲存!I3420</f>
        <v>0</v>
      </c>
      <c r="AR76" s="49">
        <f>資料儲存!J3420</f>
        <v>0</v>
      </c>
      <c r="AT76" s="70">
        <v>59</v>
      </c>
      <c r="AU76" s="49">
        <f>資料儲存!D3540</f>
        <v>0</v>
      </c>
      <c r="AV76" s="49">
        <f>資料儲存!E3540</f>
        <v>0</v>
      </c>
      <c r="AW76" s="49">
        <f>資料儲存!F3540</f>
        <v>0</v>
      </c>
      <c r="AX76" s="49">
        <f>資料儲存!G3540</f>
        <v>0</v>
      </c>
      <c r="AY76" s="49">
        <f>資料儲存!H3540</f>
        <v>0</v>
      </c>
      <c r="AZ76" s="49">
        <f>資料儲存!I3540</f>
        <v>0</v>
      </c>
      <c r="BA76" s="49">
        <f>資料儲存!J3540</f>
        <v>0</v>
      </c>
    </row>
    <row r="77" spans="1:53" s="67" customFormat="1" ht="16" thickBot="1">
      <c r="A77" s="70">
        <v>60</v>
      </c>
      <c r="B77" s="49">
        <f>資料儲存!D2941</f>
        <v>0</v>
      </c>
      <c r="C77" s="49">
        <f>資料儲存!E2941</f>
        <v>0</v>
      </c>
      <c r="D77" s="49">
        <f>資料儲存!F2941</f>
        <v>0</v>
      </c>
      <c r="E77" s="49">
        <f>資料儲存!G2941</f>
        <v>0</v>
      </c>
      <c r="F77" s="49">
        <f>資料儲存!H2941</f>
        <v>0</v>
      </c>
      <c r="G77" s="49">
        <f>資料儲存!I2941</f>
        <v>0</v>
      </c>
      <c r="H77" s="49">
        <f>資料儲存!J2941</f>
        <v>0</v>
      </c>
      <c r="I77" s="52"/>
      <c r="J77" s="70">
        <v>60</v>
      </c>
      <c r="K77" s="49">
        <f>資料儲存!D3061</f>
        <v>0</v>
      </c>
      <c r="L77" s="49">
        <f>資料儲存!E3061</f>
        <v>0</v>
      </c>
      <c r="M77" s="49">
        <f>資料儲存!F3061</f>
        <v>0</v>
      </c>
      <c r="N77" s="49">
        <f>資料儲存!G3061</f>
        <v>0</v>
      </c>
      <c r="O77" s="49">
        <f>資料儲存!H3061</f>
        <v>0</v>
      </c>
      <c r="P77" s="49">
        <f>資料儲存!I3061</f>
        <v>0</v>
      </c>
      <c r="Q77" s="49">
        <f>資料儲存!J3061</f>
        <v>0</v>
      </c>
      <c r="R77" s="52"/>
      <c r="S77" s="70">
        <v>60</v>
      </c>
      <c r="T77" s="49">
        <f>資料儲存!D3181</f>
        <v>0</v>
      </c>
      <c r="U77" s="49">
        <f>資料儲存!E3181</f>
        <v>0</v>
      </c>
      <c r="V77" s="49">
        <f>資料儲存!F3181</f>
        <v>0</v>
      </c>
      <c r="W77" s="49">
        <f>資料儲存!G3181</f>
        <v>0</v>
      </c>
      <c r="X77" s="49">
        <f>資料儲存!H3181</f>
        <v>0</v>
      </c>
      <c r="Y77" s="49">
        <f>資料儲存!I3181</f>
        <v>0</v>
      </c>
      <c r="Z77" s="49">
        <f>資料儲存!J3181</f>
        <v>0</v>
      </c>
      <c r="AA77" s="52"/>
      <c r="AB77" s="70">
        <v>60</v>
      </c>
      <c r="AC77" s="49">
        <f>資料儲存!D3301</f>
        <v>0</v>
      </c>
      <c r="AD77" s="49">
        <f>資料儲存!E3301</f>
        <v>0</v>
      </c>
      <c r="AE77" s="49">
        <f>資料儲存!F3301</f>
        <v>0</v>
      </c>
      <c r="AF77" s="49">
        <f>資料儲存!G3301</f>
        <v>0</v>
      </c>
      <c r="AG77" s="49">
        <f>資料儲存!H3301</f>
        <v>0</v>
      </c>
      <c r="AH77" s="49">
        <f>資料儲存!I3301</f>
        <v>0</v>
      </c>
      <c r="AI77" s="49">
        <f>資料儲存!J3301</f>
        <v>0</v>
      </c>
      <c r="AJ77" s="52"/>
      <c r="AK77" s="70">
        <v>60</v>
      </c>
      <c r="AL77" s="49">
        <f>資料儲存!D3421</f>
        <v>0</v>
      </c>
      <c r="AM77" s="49">
        <f>資料儲存!E3421</f>
        <v>0</v>
      </c>
      <c r="AN77" s="49">
        <f>資料儲存!F3421</f>
        <v>0</v>
      </c>
      <c r="AO77" s="49">
        <f>資料儲存!G3421</f>
        <v>0</v>
      </c>
      <c r="AP77" s="49">
        <f>資料儲存!H3421</f>
        <v>0</v>
      </c>
      <c r="AQ77" s="49">
        <f>資料儲存!I3421</f>
        <v>0</v>
      </c>
      <c r="AR77" s="49">
        <f>資料儲存!J3421</f>
        <v>0</v>
      </c>
      <c r="AT77" s="70">
        <v>60</v>
      </c>
      <c r="AU77" s="49">
        <f>資料儲存!D3541</f>
        <v>0</v>
      </c>
      <c r="AV77" s="49">
        <f>資料儲存!E3541</f>
        <v>0</v>
      </c>
      <c r="AW77" s="49">
        <f>資料儲存!F3541</f>
        <v>0</v>
      </c>
      <c r="AX77" s="49">
        <f>資料儲存!G3541</f>
        <v>0</v>
      </c>
      <c r="AY77" s="49">
        <f>資料儲存!H3541</f>
        <v>0</v>
      </c>
      <c r="AZ77" s="49">
        <f>資料儲存!I3541</f>
        <v>0</v>
      </c>
      <c r="BA77" s="49">
        <f>資料儲存!J3541</f>
        <v>0</v>
      </c>
    </row>
    <row r="78" spans="1:53" s="67" customFormat="1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0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  <c r="AT78" s="50" t="s">
        <v>56</v>
      </c>
      <c r="AU78" s="49">
        <f>SUM(AU63:AX77)</f>
        <v>0</v>
      </c>
      <c r="AV78" s="47"/>
      <c r="AW78" s="47"/>
      <c r="AX78" s="47"/>
      <c r="AY78" s="49">
        <f>AY77</f>
        <v>0</v>
      </c>
      <c r="AZ78" s="49">
        <f>AZ77</f>
        <v>0</v>
      </c>
      <c r="BA78" s="49">
        <f>BA77</f>
        <v>0</v>
      </c>
    </row>
    <row r="79" spans="1:53" ht="18.5" thickBot="1">
      <c r="A79" s="257" t="s">
        <v>80</v>
      </c>
      <c r="B79" s="258"/>
      <c r="C79" s="258"/>
      <c r="D79" s="258"/>
      <c r="E79" s="258"/>
      <c r="F79" s="258"/>
      <c r="G79" s="258"/>
      <c r="H79" s="259"/>
      <c r="I79" s="14"/>
      <c r="J79" s="257" t="s">
        <v>80</v>
      </c>
      <c r="K79" s="258"/>
      <c r="L79" s="258"/>
      <c r="M79" s="258"/>
      <c r="N79" s="258"/>
      <c r="O79" s="258"/>
      <c r="P79" s="258"/>
      <c r="Q79" s="259"/>
      <c r="R79" s="14"/>
      <c r="S79" s="257" t="s">
        <v>80</v>
      </c>
      <c r="T79" s="258"/>
      <c r="U79" s="258"/>
      <c r="V79" s="258"/>
      <c r="W79" s="258"/>
      <c r="X79" s="258"/>
      <c r="Y79" s="258"/>
      <c r="Z79" s="259"/>
      <c r="AA79" s="14"/>
      <c r="AB79" s="257" t="s">
        <v>80</v>
      </c>
      <c r="AC79" s="258"/>
      <c r="AD79" s="258"/>
      <c r="AE79" s="258"/>
      <c r="AF79" s="258"/>
      <c r="AG79" s="258"/>
      <c r="AH79" s="258"/>
      <c r="AI79" s="259"/>
      <c r="AJ79" s="14"/>
      <c r="AK79" s="257" t="s">
        <v>80</v>
      </c>
      <c r="AL79" s="258"/>
      <c r="AM79" s="258"/>
      <c r="AN79" s="258"/>
      <c r="AO79" s="258"/>
      <c r="AP79" s="258"/>
      <c r="AQ79" s="258"/>
      <c r="AR79" s="259"/>
      <c r="AT79" s="257" t="s">
        <v>80</v>
      </c>
      <c r="AU79" s="258"/>
      <c r="AV79" s="258"/>
      <c r="AW79" s="258"/>
      <c r="AX79" s="258"/>
      <c r="AY79" s="258"/>
      <c r="AZ79" s="258"/>
      <c r="BA79" s="259"/>
    </row>
    <row r="80" spans="1:53" s="59" customFormat="1" ht="17.25" customHeight="1" thickBot="1">
      <c r="A80" s="54" t="s">
        <v>2</v>
      </c>
      <c r="B80" s="55" t="s">
        <v>46</v>
      </c>
      <c r="C80" s="56"/>
      <c r="D80" s="56"/>
      <c r="E80" s="57"/>
      <c r="F80" s="55" t="s">
        <v>47</v>
      </c>
      <c r="G80" s="56"/>
      <c r="H80" s="57"/>
      <c r="I80" s="58"/>
      <c r="J80" s="54" t="s">
        <v>2</v>
      </c>
      <c r="K80" s="55" t="s">
        <v>46</v>
      </c>
      <c r="L80" s="56"/>
      <c r="M80" s="56"/>
      <c r="N80" s="57"/>
      <c r="O80" s="55" t="s">
        <v>47</v>
      </c>
      <c r="P80" s="56"/>
      <c r="Q80" s="57"/>
      <c r="R80" s="58"/>
      <c r="S80" s="54" t="s">
        <v>2</v>
      </c>
      <c r="T80" s="55" t="s">
        <v>46</v>
      </c>
      <c r="U80" s="56"/>
      <c r="V80" s="56"/>
      <c r="W80" s="57"/>
      <c r="X80" s="55" t="s">
        <v>47</v>
      </c>
      <c r="Y80" s="56"/>
      <c r="Z80" s="57"/>
      <c r="AA80" s="58"/>
      <c r="AB80" s="54" t="s">
        <v>2</v>
      </c>
      <c r="AC80" s="55" t="s">
        <v>46</v>
      </c>
      <c r="AD80" s="56"/>
      <c r="AE80" s="56"/>
      <c r="AF80" s="57"/>
      <c r="AG80" s="55" t="s">
        <v>47</v>
      </c>
      <c r="AH80" s="56"/>
      <c r="AI80" s="57"/>
      <c r="AJ80" s="58"/>
      <c r="AK80" s="54" t="s">
        <v>2</v>
      </c>
      <c r="AL80" s="55" t="s">
        <v>46</v>
      </c>
      <c r="AM80" s="56"/>
      <c r="AN80" s="56"/>
      <c r="AO80" s="57"/>
      <c r="AP80" s="55" t="s">
        <v>47</v>
      </c>
      <c r="AQ80" s="56"/>
      <c r="AR80" s="57"/>
      <c r="AT80" s="54" t="s">
        <v>2</v>
      </c>
      <c r="AU80" s="55" t="s">
        <v>46</v>
      </c>
      <c r="AV80" s="56"/>
      <c r="AW80" s="56"/>
      <c r="AX80" s="57"/>
      <c r="AY80" s="55" t="s">
        <v>47</v>
      </c>
      <c r="AZ80" s="56"/>
      <c r="BA80" s="57"/>
    </row>
    <row r="81" spans="1:53" s="59" customFormat="1" ht="16" thickBot="1">
      <c r="A81" s="60" t="s">
        <v>81</v>
      </c>
      <c r="B81" s="61" t="s">
        <v>49</v>
      </c>
      <c r="C81" s="61" t="s">
        <v>50</v>
      </c>
      <c r="D81" s="61" t="s">
        <v>51</v>
      </c>
      <c r="E81" s="61" t="s">
        <v>52</v>
      </c>
      <c r="F81" s="61" t="s">
        <v>53</v>
      </c>
      <c r="G81" s="61" t="s">
        <v>54</v>
      </c>
      <c r="H81" s="61" t="s">
        <v>55</v>
      </c>
      <c r="I81" s="58"/>
      <c r="J81" s="60" t="s">
        <v>81</v>
      </c>
      <c r="K81" s="61" t="s">
        <v>49</v>
      </c>
      <c r="L81" s="61" t="s">
        <v>50</v>
      </c>
      <c r="M81" s="61" t="s">
        <v>51</v>
      </c>
      <c r="N81" s="61" t="s">
        <v>52</v>
      </c>
      <c r="O81" s="61" t="s">
        <v>53</v>
      </c>
      <c r="P81" s="61" t="s">
        <v>54</v>
      </c>
      <c r="Q81" s="61" t="s">
        <v>55</v>
      </c>
      <c r="R81" s="58"/>
      <c r="S81" s="60" t="s">
        <v>81</v>
      </c>
      <c r="T81" s="61" t="s">
        <v>49</v>
      </c>
      <c r="U81" s="61" t="s">
        <v>50</v>
      </c>
      <c r="V81" s="61" t="s">
        <v>51</v>
      </c>
      <c r="W81" s="61" t="s">
        <v>52</v>
      </c>
      <c r="X81" s="61" t="s">
        <v>53</v>
      </c>
      <c r="Y81" s="61" t="s">
        <v>54</v>
      </c>
      <c r="Z81" s="61" t="s">
        <v>55</v>
      </c>
      <c r="AA81" s="58"/>
      <c r="AB81" s="60" t="s">
        <v>81</v>
      </c>
      <c r="AC81" s="61" t="s">
        <v>49</v>
      </c>
      <c r="AD81" s="61" t="s">
        <v>50</v>
      </c>
      <c r="AE81" s="61" t="s">
        <v>51</v>
      </c>
      <c r="AF81" s="61" t="s">
        <v>52</v>
      </c>
      <c r="AG81" s="61" t="s">
        <v>53</v>
      </c>
      <c r="AH81" s="61" t="s">
        <v>54</v>
      </c>
      <c r="AI81" s="61" t="s">
        <v>55</v>
      </c>
      <c r="AJ81" s="58"/>
      <c r="AK81" s="60" t="s">
        <v>81</v>
      </c>
      <c r="AL81" s="61" t="s">
        <v>49</v>
      </c>
      <c r="AM81" s="61" t="s">
        <v>50</v>
      </c>
      <c r="AN81" s="61" t="s">
        <v>51</v>
      </c>
      <c r="AO81" s="61" t="s">
        <v>52</v>
      </c>
      <c r="AP81" s="61" t="s">
        <v>53</v>
      </c>
      <c r="AQ81" s="61" t="s">
        <v>54</v>
      </c>
      <c r="AR81" s="61" t="s">
        <v>55</v>
      </c>
      <c r="AT81" s="60" t="s">
        <v>81</v>
      </c>
      <c r="AU81" s="61" t="s">
        <v>49</v>
      </c>
      <c r="AV81" s="61" t="s">
        <v>50</v>
      </c>
      <c r="AW81" s="61" t="s">
        <v>51</v>
      </c>
      <c r="AX81" s="61" t="s">
        <v>52</v>
      </c>
      <c r="AY81" s="61" t="s">
        <v>53</v>
      </c>
      <c r="AZ81" s="61" t="s">
        <v>54</v>
      </c>
      <c r="BA81" s="61" t="s">
        <v>55</v>
      </c>
    </row>
    <row r="82" spans="1:53" s="59" customFormat="1" ht="16" thickBot="1">
      <c r="A82" s="62">
        <v>1</v>
      </c>
      <c r="B82" s="39">
        <f>資料儲存!D2942</f>
        <v>0</v>
      </c>
      <c r="C82" s="39">
        <f>資料儲存!E2942</f>
        <v>0</v>
      </c>
      <c r="D82" s="39">
        <f>資料儲存!F2942</f>
        <v>0</v>
      </c>
      <c r="E82" s="39">
        <f>資料儲存!G2942</f>
        <v>0</v>
      </c>
      <c r="F82" s="39">
        <f>資料儲存!H2942</f>
        <v>0</v>
      </c>
      <c r="G82" s="39">
        <f>資料儲存!I2942</f>
        <v>0</v>
      </c>
      <c r="H82" s="39">
        <f>資料儲存!J2942</f>
        <v>0</v>
      </c>
      <c r="I82" s="58"/>
      <c r="J82" s="62">
        <v>1</v>
      </c>
      <c r="K82" s="39">
        <f>資料儲存!D3062</f>
        <v>0</v>
      </c>
      <c r="L82" s="39">
        <f>資料儲存!E3062</f>
        <v>0</v>
      </c>
      <c r="M82" s="39">
        <f>資料儲存!F3062</f>
        <v>0</v>
      </c>
      <c r="N82" s="39">
        <f>資料儲存!G3062</f>
        <v>0</v>
      </c>
      <c r="O82" s="39">
        <f>資料儲存!H3062</f>
        <v>0</v>
      </c>
      <c r="P82" s="39">
        <f>資料儲存!I3062</f>
        <v>0</v>
      </c>
      <c r="Q82" s="39">
        <f>資料儲存!J3062</f>
        <v>0</v>
      </c>
      <c r="R82" s="58"/>
      <c r="S82" s="62">
        <v>1</v>
      </c>
      <c r="T82" s="39">
        <f>資料儲存!D3182</f>
        <v>0</v>
      </c>
      <c r="U82" s="39">
        <f>資料儲存!E3182</f>
        <v>0</v>
      </c>
      <c r="V82" s="39">
        <f>資料儲存!F3182</f>
        <v>0</v>
      </c>
      <c r="W82" s="39">
        <f>資料儲存!G3182</f>
        <v>0</v>
      </c>
      <c r="X82" s="39">
        <f>資料儲存!H3182</f>
        <v>0</v>
      </c>
      <c r="Y82" s="39">
        <f>資料儲存!I3182</f>
        <v>0</v>
      </c>
      <c r="Z82" s="39">
        <f>資料儲存!J3182</f>
        <v>0</v>
      </c>
      <c r="AA82" s="58"/>
      <c r="AB82" s="62">
        <v>1</v>
      </c>
      <c r="AC82" s="39">
        <f>資料儲存!D3302</f>
        <v>0</v>
      </c>
      <c r="AD82" s="39">
        <f>資料儲存!E3302</f>
        <v>0</v>
      </c>
      <c r="AE82" s="39">
        <f>資料儲存!F3302</f>
        <v>0</v>
      </c>
      <c r="AF82" s="39">
        <f>資料儲存!G3302</f>
        <v>0</v>
      </c>
      <c r="AG82" s="39">
        <f>資料儲存!H3302</f>
        <v>0</v>
      </c>
      <c r="AH82" s="39">
        <f>資料儲存!I3302</f>
        <v>0</v>
      </c>
      <c r="AI82" s="39">
        <f>資料儲存!J3302</f>
        <v>0</v>
      </c>
      <c r="AJ82" s="58"/>
      <c r="AK82" s="62">
        <v>1</v>
      </c>
      <c r="AL82" s="39">
        <f>資料儲存!D3422</f>
        <v>0</v>
      </c>
      <c r="AM82" s="39">
        <f>資料儲存!E3422</f>
        <v>0</v>
      </c>
      <c r="AN82" s="39">
        <f>資料儲存!F3422</f>
        <v>0</v>
      </c>
      <c r="AO82" s="39">
        <f>資料儲存!G3422</f>
        <v>0</v>
      </c>
      <c r="AP82" s="39">
        <f>資料儲存!H3422</f>
        <v>0</v>
      </c>
      <c r="AQ82" s="39">
        <f>資料儲存!I3422</f>
        <v>0</v>
      </c>
      <c r="AR82" s="39">
        <f>資料儲存!J3422</f>
        <v>0</v>
      </c>
      <c r="AT82" s="62">
        <v>1</v>
      </c>
      <c r="AU82" s="39">
        <f>資料儲存!D3542</f>
        <v>0</v>
      </c>
      <c r="AV82" s="39">
        <f>資料儲存!E3542</f>
        <v>0</v>
      </c>
      <c r="AW82" s="39">
        <f>資料儲存!F3542</f>
        <v>0</v>
      </c>
      <c r="AX82" s="39">
        <f>資料儲存!G3542</f>
        <v>0</v>
      </c>
      <c r="AY82" s="39">
        <f>資料儲存!H3542</f>
        <v>0</v>
      </c>
      <c r="AZ82" s="39">
        <f>資料儲存!I3542</f>
        <v>0</v>
      </c>
      <c r="BA82" s="39">
        <f>資料儲存!J3542</f>
        <v>0</v>
      </c>
    </row>
    <row r="83" spans="1:53" s="59" customFormat="1" ht="16" thickBot="1">
      <c r="A83" s="62">
        <v>2</v>
      </c>
      <c r="B83" s="39">
        <f>資料儲存!D2943</f>
        <v>0</v>
      </c>
      <c r="C83" s="39">
        <f>資料儲存!E2943</f>
        <v>0</v>
      </c>
      <c r="D83" s="39">
        <f>資料儲存!F2943</f>
        <v>0</v>
      </c>
      <c r="E83" s="39">
        <f>資料儲存!G2943</f>
        <v>0</v>
      </c>
      <c r="F83" s="39">
        <f>資料儲存!H2943</f>
        <v>0</v>
      </c>
      <c r="G83" s="39">
        <f>資料儲存!I2943</f>
        <v>0</v>
      </c>
      <c r="H83" s="39">
        <f>資料儲存!J2943</f>
        <v>0</v>
      </c>
      <c r="I83" s="58"/>
      <c r="J83" s="62">
        <v>2</v>
      </c>
      <c r="K83" s="39">
        <f>資料儲存!D3063</f>
        <v>0</v>
      </c>
      <c r="L83" s="39">
        <f>資料儲存!E3063</f>
        <v>0</v>
      </c>
      <c r="M83" s="39">
        <f>資料儲存!F3063</f>
        <v>0</v>
      </c>
      <c r="N83" s="39">
        <f>資料儲存!G3063</f>
        <v>0</v>
      </c>
      <c r="O83" s="39">
        <f>資料儲存!H3063</f>
        <v>0</v>
      </c>
      <c r="P83" s="39">
        <f>資料儲存!I3063</f>
        <v>0</v>
      </c>
      <c r="Q83" s="39">
        <f>資料儲存!J3063</f>
        <v>0</v>
      </c>
      <c r="R83" s="58"/>
      <c r="S83" s="62">
        <v>2</v>
      </c>
      <c r="T83" s="39">
        <f>資料儲存!D3183</f>
        <v>0</v>
      </c>
      <c r="U83" s="39">
        <f>資料儲存!E3183</f>
        <v>0</v>
      </c>
      <c r="V83" s="39">
        <f>資料儲存!F3183</f>
        <v>0</v>
      </c>
      <c r="W83" s="39">
        <f>資料儲存!G3183</f>
        <v>0</v>
      </c>
      <c r="X83" s="39">
        <f>資料儲存!H3183</f>
        <v>0</v>
      </c>
      <c r="Y83" s="39">
        <f>資料儲存!I3183</f>
        <v>0</v>
      </c>
      <c r="Z83" s="39">
        <f>資料儲存!J3183</f>
        <v>0</v>
      </c>
      <c r="AA83" s="58"/>
      <c r="AB83" s="62">
        <v>2</v>
      </c>
      <c r="AC83" s="39">
        <f>資料儲存!D3303</f>
        <v>0</v>
      </c>
      <c r="AD83" s="39">
        <f>資料儲存!E3303</f>
        <v>0</v>
      </c>
      <c r="AE83" s="39">
        <f>資料儲存!F3303</f>
        <v>0</v>
      </c>
      <c r="AF83" s="39">
        <f>資料儲存!G3303</f>
        <v>0</v>
      </c>
      <c r="AG83" s="39">
        <f>資料儲存!H3303</f>
        <v>0</v>
      </c>
      <c r="AH83" s="39">
        <f>資料儲存!I3303</f>
        <v>0</v>
      </c>
      <c r="AI83" s="39">
        <f>資料儲存!J3303</f>
        <v>0</v>
      </c>
      <c r="AJ83" s="58"/>
      <c r="AK83" s="62">
        <v>2</v>
      </c>
      <c r="AL83" s="39">
        <f>資料儲存!D3423</f>
        <v>0</v>
      </c>
      <c r="AM83" s="39">
        <f>資料儲存!E3423</f>
        <v>0</v>
      </c>
      <c r="AN83" s="39">
        <f>資料儲存!F3423</f>
        <v>0</v>
      </c>
      <c r="AO83" s="39">
        <f>資料儲存!G3423</f>
        <v>0</v>
      </c>
      <c r="AP83" s="39">
        <f>資料儲存!H3423</f>
        <v>0</v>
      </c>
      <c r="AQ83" s="39">
        <f>資料儲存!I3423</f>
        <v>0</v>
      </c>
      <c r="AR83" s="39">
        <f>資料儲存!J3423</f>
        <v>0</v>
      </c>
      <c r="AT83" s="62">
        <v>2</v>
      </c>
      <c r="AU83" s="39">
        <f>資料儲存!D3543</f>
        <v>0</v>
      </c>
      <c r="AV83" s="39">
        <f>資料儲存!E3543</f>
        <v>0</v>
      </c>
      <c r="AW83" s="39">
        <f>資料儲存!F3543</f>
        <v>0</v>
      </c>
      <c r="AX83" s="39">
        <f>資料儲存!G3543</f>
        <v>0</v>
      </c>
      <c r="AY83" s="39">
        <f>資料儲存!H3543</f>
        <v>0</v>
      </c>
      <c r="AZ83" s="39">
        <f>資料儲存!I3543</f>
        <v>0</v>
      </c>
      <c r="BA83" s="39">
        <f>資料儲存!J3543</f>
        <v>0</v>
      </c>
    </row>
    <row r="84" spans="1:53" s="59" customFormat="1" ht="16" thickBot="1">
      <c r="A84" s="62">
        <v>3</v>
      </c>
      <c r="B84" s="39">
        <f>資料儲存!D2944</f>
        <v>0</v>
      </c>
      <c r="C84" s="39">
        <f>資料儲存!E2944</f>
        <v>0</v>
      </c>
      <c r="D84" s="39">
        <f>資料儲存!F2944</f>
        <v>0</v>
      </c>
      <c r="E84" s="39">
        <f>資料儲存!G2944</f>
        <v>0</v>
      </c>
      <c r="F84" s="39">
        <f>資料儲存!H2944</f>
        <v>0</v>
      </c>
      <c r="G84" s="39">
        <f>資料儲存!I2944</f>
        <v>0</v>
      </c>
      <c r="H84" s="39">
        <f>資料儲存!J2944</f>
        <v>0</v>
      </c>
      <c r="I84" s="58"/>
      <c r="J84" s="62">
        <v>3</v>
      </c>
      <c r="K84" s="39">
        <f>資料儲存!D3064</f>
        <v>0</v>
      </c>
      <c r="L84" s="39">
        <f>資料儲存!E3064</f>
        <v>0</v>
      </c>
      <c r="M84" s="39">
        <f>資料儲存!F3064</f>
        <v>0</v>
      </c>
      <c r="N84" s="39">
        <f>資料儲存!G3064</f>
        <v>0</v>
      </c>
      <c r="O84" s="39">
        <f>資料儲存!H3064</f>
        <v>0</v>
      </c>
      <c r="P84" s="39">
        <f>資料儲存!I3064</f>
        <v>0</v>
      </c>
      <c r="Q84" s="39">
        <f>資料儲存!J3064</f>
        <v>0</v>
      </c>
      <c r="R84" s="58"/>
      <c r="S84" s="62">
        <v>3</v>
      </c>
      <c r="T84" s="39">
        <f>資料儲存!D3184</f>
        <v>0</v>
      </c>
      <c r="U84" s="39">
        <f>資料儲存!E3184</f>
        <v>0</v>
      </c>
      <c r="V84" s="39">
        <f>資料儲存!F3184</f>
        <v>0</v>
      </c>
      <c r="W84" s="39">
        <f>資料儲存!G3184</f>
        <v>0</v>
      </c>
      <c r="X84" s="39">
        <f>資料儲存!H3184</f>
        <v>0</v>
      </c>
      <c r="Y84" s="39">
        <f>資料儲存!I3184</f>
        <v>0</v>
      </c>
      <c r="Z84" s="39">
        <f>資料儲存!J3184</f>
        <v>0</v>
      </c>
      <c r="AA84" s="58"/>
      <c r="AB84" s="62">
        <v>3</v>
      </c>
      <c r="AC84" s="39">
        <f>資料儲存!D3304</f>
        <v>0</v>
      </c>
      <c r="AD84" s="39">
        <f>資料儲存!E3304</f>
        <v>0</v>
      </c>
      <c r="AE84" s="39">
        <f>資料儲存!F3304</f>
        <v>0</v>
      </c>
      <c r="AF84" s="39">
        <f>資料儲存!G3304</f>
        <v>0</v>
      </c>
      <c r="AG84" s="39">
        <f>資料儲存!H3304</f>
        <v>0</v>
      </c>
      <c r="AH84" s="39">
        <f>資料儲存!I3304</f>
        <v>0</v>
      </c>
      <c r="AI84" s="39">
        <f>資料儲存!J3304</f>
        <v>0</v>
      </c>
      <c r="AJ84" s="58"/>
      <c r="AK84" s="62">
        <v>3</v>
      </c>
      <c r="AL84" s="39">
        <f>資料儲存!D3424</f>
        <v>0</v>
      </c>
      <c r="AM84" s="39">
        <f>資料儲存!E3424</f>
        <v>0</v>
      </c>
      <c r="AN84" s="39">
        <f>資料儲存!F3424</f>
        <v>0</v>
      </c>
      <c r="AO84" s="39">
        <f>資料儲存!G3424</f>
        <v>0</v>
      </c>
      <c r="AP84" s="39">
        <f>資料儲存!H3424</f>
        <v>0</v>
      </c>
      <c r="AQ84" s="39">
        <f>資料儲存!I3424</f>
        <v>0</v>
      </c>
      <c r="AR84" s="39">
        <f>資料儲存!J3424</f>
        <v>0</v>
      </c>
      <c r="AT84" s="62">
        <v>3</v>
      </c>
      <c r="AU84" s="39">
        <f>資料儲存!D3544</f>
        <v>0</v>
      </c>
      <c r="AV84" s="39">
        <f>資料儲存!E3544</f>
        <v>0</v>
      </c>
      <c r="AW84" s="39">
        <f>資料儲存!F3544</f>
        <v>0</v>
      </c>
      <c r="AX84" s="39">
        <f>資料儲存!G3544</f>
        <v>0</v>
      </c>
      <c r="AY84" s="39">
        <f>資料儲存!H3544</f>
        <v>0</v>
      </c>
      <c r="AZ84" s="39">
        <f>資料儲存!I3544</f>
        <v>0</v>
      </c>
      <c r="BA84" s="39">
        <f>資料儲存!J3544</f>
        <v>0</v>
      </c>
    </row>
    <row r="85" spans="1:53" s="59" customFormat="1" ht="16" thickBot="1">
      <c r="A85" s="62">
        <v>4</v>
      </c>
      <c r="B85" s="39">
        <f>資料儲存!D2945</f>
        <v>0</v>
      </c>
      <c r="C85" s="39">
        <f>資料儲存!E2945</f>
        <v>0</v>
      </c>
      <c r="D85" s="39">
        <f>資料儲存!F2945</f>
        <v>0</v>
      </c>
      <c r="E85" s="39">
        <f>資料儲存!G2945</f>
        <v>0</v>
      </c>
      <c r="F85" s="39">
        <f>資料儲存!H2945</f>
        <v>0</v>
      </c>
      <c r="G85" s="39">
        <f>資料儲存!I2945</f>
        <v>0</v>
      </c>
      <c r="H85" s="39">
        <f>資料儲存!J2945</f>
        <v>0</v>
      </c>
      <c r="I85" s="58"/>
      <c r="J85" s="62">
        <v>4</v>
      </c>
      <c r="K85" s="39">
        <f>資料儲存!D3065</f>
        <v>0</v>
      </c>
      <c r="L85" s="39">
        <f>資料儲存!E3065</f>
        <v>0</v>
      </c>
      <c r="M85" s="39">
        <f>資料儲存!F3065</f>
        <v>0</v>
      </c>
      <c r="N85" s="39">
        <f>資料儲存!G3065</f>
        <v>0</v>
      </c>
      <c r="O85" s="39">
        <f>資料儲存!H3065</f>
        <v>0</v>
      </c>
      <c r="P85" s="39">
        <f>資料儲存!I3065</f>
        <v>0</v>
      </c>
      <c r="Q85" s="39">
        <f>資料儲存!J3065</f>
        <v>0</v>
      </c>
      <c r="R85" s="58"/>
      <c r="S85" s="62">
        <v>4</v>
      </c>
      <c r="T85" s="39">
        <f>資料儲存!D3185</f>
        <v>0</v>
      </c>
      <c r="U85" s="39">
        <f>資料儲存!E3185</f>
        <v>0</v>
      </c>
      <c r="V85" s="39">
        <f>資料儲存!F3185</f>
        <v>0</v>
      </c>
      <c r="W85" s="39">
        <f>資料儲存!G3185</f>
        <v>0</v>
      </c>
      <c r="X85" s="39">
        <f>資料儲存!H3185</f>
        <v>0</v>
      </c>
      <c r="Y85" s="39">
        <f>資料儲存!I3185</f>
        <v>0</v>
      </c>
      <c r="Z85" s="39">
        <f>資料儲存!J3185</f>
        <v>0</v>
      </c>
      <c r="AA85" s="58"/>
      <c r="AB85" s="62">
        <v>4</v>
      </c>
      <c r="AC85" s="39">
        <f>資料儲存!D3305</f>
        <v>0</v>
      </c>
      <c r="AD85" s="39">
        <f>資料儲存!E3305</f>
        <v>0</v>
      </c>
      <c r="AE85" s="39">
        <f>資料儲存!F3305</f>
        <v>0</v>
      </c>
      <c r="AF85" s="39">
        <f>資料儲存!G3305</f>
        <v>0</v>
      </c>
      <c r="AG85" s="39">
        <f>資料儲存!H3305</f>
        <v>0</v>
      </c>
      <c r="AH85" s="39">
        <f>資料儲存!I3305</f>
        <v>0</v>
      </c>
      <c r="AI85" s="39">
        <f>資料儲存!J3305</f>
        <v>0</v>
      </c>
      <c r="AJ85" s="58"/>
      <c r="AK85" s="62">
        <v>4</v>
      </c>
      <c r="AL85" s="39">
        <f>資料儲存!D3425</f>
        <v>0</v>
      </c>
      <c r="AM85" s="39">
        <f>資料儲存!E3425</f>
        <v>0</v>
      </c>
      <c r="AN85" s="39">
        <f>資料儲存!F3425</f>
        <v>0</v>
      </c>
      <c r="AO85" s="39">
        <f>資料儲存!G3425</f>
        <v>0</v>
      </c>
      <c r="AP85" s="39">
        <f>資料儲存!H3425</f>
        <v>0</v>
      </c>
      <c r="AQ85" s="39">
        <f>資料儲存!I3425</f>
        <v>0</v>
      </c>
      <c r="AR85" s="39">
        <f>資料儲存!J3425</f>
        <v>0</v>
      </c>
      <c r="AT85" s="62">
        <v>4</v>
      </c>
      <c r="AU85" s="39">
        <f>資料儲存!D3545</f>
        <v>0</v>
      </c>
      <c r="AV85" s="39">
        <f>資料儲存!E3545</f>
        <v>0</v>
      </c>
      <c r="AW85" s="39">
        <f>資料儲存!F3545</f>
        <v>0</v>
      </c>
      <c r="AX85" s="39">
        <f>資料儲存!G3545</f>
        <v>0</v>
      </c>
      <c r="AY85" s="39">
        <f>資料儲存!H3545</f>
        <v>0</v>
      </c>
      <c r="AZ85" s="39">
        <f>資料儲存!I3545</f>
        <v>0</v>
      </c>
      <c r="BA85" s="39">
        <f>資料儲存!J3545</f>
        <v>0</v>
      </c>
    </row>
    <row r="86" spans="1:53" s="59" customFormat="1" ht="16" thickBot="1">
      <c r="A86" s="62">
        <v>5</v>
      </c>
      <c r="B86" s="39">
        <f>資料儲存!D2946</f>
        <v>0</v>
      </c>
      <c r="C86" s="39">
        <f>資料儲存!E2946</f>
        <v>0</v>
      </c>
      <c r="D86" s="39">
        <f>資料儲存!F2946</f>
        <v>0</v>
      </c>
      <c r="E86" s="39">
        <f>資料儲存!G2946</f>
        <v>0</v>
      </c>
      <c r="F86" s="39">
        <f>資料儲存!H2946</f>
        <v>0</v>
      </c>
      <c r="G86" s="39">
        <f>資料儲存!I2946</f>
        <v>0</v>
      </c>
      <c r="H86" s="39">
        <f>資料儲存!J2946</f>
        <v>0</v>
      </c>
      <c r="I86" s="58"/>
      <c r="J86" s="62">
        <v>5</v>
      </c>
      <c r="K86" s="39">
        <f>資料儲存!D3066</f>
        <v>0</v>
      </c>
      <c r="L86" s="39">
        <f>資料儲存!E3066</f>
        <v>0</v>
      </c>
      <c r="M86" s="39">
        <f>資料儲存!F3066</f>
        <v>0</v>
      </c>
      <c r="N86" s="39">
        <f>資料儲存!G3066</f>
        <v>0</v>
      </c>
      <c r="O86" s="39">
        <f>資料儲存!H3066</f>
        <v>0</v>
      </c>
      <c r="P86" s="39">
        <f>資料儲存!I3066</f>
        <v>0</v>
      </c>
      <c r="Q86" s="39">
        <f>資料儲存!J3066</f>
        <v>0</v>
      </c>
      <c r="R86" s="58"/>
      <c r="S86" s="62">
        <v>5</v>
      </c>
      <c r="T86" s="39">
        <f>資料儲存!D3186</f>
        <v>0</v>
      </c>
      <c r="U86" s="39">
        <f>資料儲存!E3186</f>
        <v>0</v>
      </c>
      <c r="V86" s="39">
        <f>資料儲存!F3186</f>
        <v>0</v>
      </c>
      <c r="W86" s="39">
        <f>資料儲存!G3186</f>
        <v>0</v>
      </c>
      <c r="X86" s="39">
        <f>資料儲存!H3186</f>
        <v>0</v>
      </c>
      <c r="Y86" s="39">
        <f>資料儲存!I3186</f>
        <v>0</v>
      </c>
      <c r="Z86" s="39">
        <f>資料儲存!J3186</f>
        <v>0</v>
      </c>
      <c r="AA86" s="58"/>
      <c r="AB86" s="62">
        <v>5</v>
      </c>
      <c r="AC86" s="39">
        <f>資料儲存!D3306</f>
        <v>0</v>
      </c>
      <c r="AD86" s="39">
        <f>資料儲存!E3306</f>
        <v>0</v>
      </c>
      <c r="AE86" s="39">
        <f>資料儲存!F3306</f>
        <v>0</v>
      </c>
      <c r="AF86" s="39">
        <f>資料儲存!G3306</f>
        <v>0</v>
      </c>
      <c r="AG86" s="39">
        <f>資料儲存!H3306</f>
        <v>0</v>
      </c>
      <c r="AH86" s="39">
        <f>資料儲存!I3306</f>
        <v>0</v>
      </c>
      <c r="AI86" s="39">
        <f>資料儲存!J3306</f>
        <v>0</v>
      </c>
      <c r="AJ86" s="58"/>
      <c r="AK86" s="62">
        <v>5</v>
      </c>
      <c r="AL86" s="39">
        <f>資料儲存!D3426</f>
        <v>0</v>
      </c>
      <c r="AM86" s="39">
        <f>資料儲存!E3426</f>
        <v>0</v>
      </c>
      <c r="AN86" s="39">
        <f>資料儲存!F3426</f>
        <v>0</v>
      </c>
      <c r="AO86" s="39">
        <f>資料儲存!G3426</f>
        <v>0</v>
      </c>
      <c r="AP86" s="39">
        <f>資料儲存!H3426</f>
        <v>0</v>
      </c>
      <c r="AQ86" s="39">
        <f>資料儲存!I3426</f>
        <v>0</v>
      </c>
      <c r="AR86" s="39">
        <f>資料儲存!J3426</f>
        <v>0</v>
      </c>
      <c r="AT86" s="62">
        <v>5</v>
      </c>
      <c r="AU86" s="39">
        <f>資料儲存!D3546</f>
        <v>0</v>
      </c>
      <c r="AV86" s="39">
        <f>資料儲存!E3546</f>
        <v>0</v>
      </c>
      <c r="AW86" s="39">
        <f>資料儲存!F3546</f>
        <v>0</v>
      </c>
      <c r="AX86" s="39">
        <f>資料儲存!G3546</f>
        <v>0</v>
      </c>
      <c r="AY86" s="39">
        <f>資料儲存!H3546</f>
        <v>0</v>
      </c>
      <c r="AZ86" s="39">
        <f>資料儲存!I3546</f>
        <v>0</v>
      </c>
      <c r="BA86" s="39">
        <f>資料儲存!J3546</f>
        <v>0</v>
      </c>
    </row>
    <row r="87" spans="1:53" s="59" customFormat="1" ht="16" thickBot="1">
      <c r="A87" s="62">
        <v>6</v>
      </c>
      <c r="B87" s="39">
        <f>資料儲存!D2947</f>
        <v>0</v>
      </c>
      <c r="C87" s="39">
        <f>資料儲存!E2947</f>
        <v>0</v>
      </c>
      <c r="D87" s="39">
        <f>資料儲存!F2947</f>
        <v>0</v>
      </c>
      <c r="E87" s="39">
        <f>資料儲存!G2947</f>
        <v>0</v>
      </c>
      <c r="F87" s="39">
        <f>資料儲存!H2947</f>
        <v>0</v>
      </c>
      <c r="G87" s="39">
        <f>資料儲存!I2947</f>
        <v>0</v>
      </c>
      <c r="H87" s="39">
        <f>資料儲存!J2947</f>
        <v>0</v>
      </c>
      <c r="I87" s="58"/>
      <c r="J87" s="62">
        <v>6</v>
      </c>
      <c r="K87" s="39">
        <f>資料儲存!D3067</f>
        <v>0</v>
      </c>
      <c r="L87" s="39">
        <f>資料儲存!E3067</f>
        <v>0</v>
      </c>
      <c r="M87" s="39">
        <f>資料儲存!F3067</f>
        <v>0</v>
      </c>
      <c r="N87" s="39">
        <f>資料儲存!G3067</f>
        <v>0</v>
      </c>
      <c r="O87" s="39">
        <f>資料儲存!H3067</f>
        <v>0</v>
      </c>
      <c r="P87" s="39">
        <f>資料儲存!I3067</f>
        <v>0</v>
      </c>
      <c r="Q87" s="39">
        <f>資料儲存!J3067</f>
        <v>0</v>
      </c>
      <c r="R87" s="58"/>
      <c r="S87" s="62">
        <v>6</v>
      </c>
      <c r="T87" s="39">
        <f>資料儲存!D3187</f>
        <v>0</v>
      </c>
      <c r="U87" s="39">
        <f>資料儲存!E3187</f>
        <v>0</v>
      </c>
      <c r="V87" s="39">
        <f>資料儲存!F3187</f>
        <v>0</v>
      </c>
      <c r="W87" s="39">
        <f>資料儲存!G3187</f>
        <v>0</v>
      </c>
      <c r="X87" s="39">
        <f>資料儲存!H3187</f>
        <v>0</v>
      </c>
      <c r="Y87" s="39">
        <f>資料儲存!I3187</f>
        <v>0</v>
      </c>
      <c r="Z87" s="39">
        <f>資料儲存!J3187</f>
        <v>0</v>
      </c>
      <c r="AA87" s="58"/>
      <c r="AB87" s="62">
        <v>6</v>
      </c>
      <c r="AC87" s="39">
        <f>資料儲存!D3307</f>
        <v>0</v>
      </c>
      <c r="AD87" s="39">
        <f>資料儲存!E3307</f>
        <v>0</v>
      </c>
      <c r="AE87" s="39">
        <f>資料儲存!F3307</f>
        <v>0</v>
      </c>
      <c r="AF87" s="39">
        <f>資料儲存!G3307</f>
        <v>0</v>
      </c>
      <c r="AG87" s="39">
        <f>資料儲存!H3307</f>
        <v>0</v>
      </c>
      <c r="AH87" s="39">
        <f>資料儲存!I3307</f>
        <v>0</v>
      </c>
      <c r="AI87" s="39">
        <f>資料儲存!J3307</f>
        <v>0</v>
      </c>
      <c r="AJ87" s="58"/>
      <c r="AK87" s="62">
        <v>6</v>
      </c>
      <c r="AL87" s="39">
        <f>資料儲存!D3427</f>
        <v>0</v>
      </c>
      <c r="AM87" s="39">
        <f>資料儲存!E3427</f>
        <v>0</v>
      </c>
      <c r="AN87" s="39">
        <f>資料儲存!F3427</f>
        <v>0</v>
      </c>
      <c r="AO87" s="39">
        <f>資料儲存!G3427</f>
        <v>0</v>
      </c>
      <c r="AP87" s="39">
        <f>資料儲存!H3427</f>
        <v>0</v>
      </c>
      <c r="AQ87" s="39">
        <f>資料儲存!I3427</f>
        <v>0</v>
      </c>
      <c r="AR87" s="39">
        <f>資料儲存!J3427</f>
        <v>0</v>
      </c>
      <c r="AT87" s="62">
        <v>6</v>
      </c>
      <c r="AU87" s="39">
        <f>資料儲存!D3547</f>
        <v>0</v>
      </c>
      <c r="AV87" s="39">
        <f>資料儲存!E3547</f>
        <v>0</v>
      </c>
      <c r="AW87" s="39">
        <f>資料儲存!F3547</f>
        <v>0</v>
      </c>
      <c r="AX87" s="39">
        <f>資料儲存!G3547</f>
        <v>0</v>
      </c>
      <c r="AY87" s="39">
        <f>資料儲存!H3547</f>
        <v>0</v>
      </c>
      <c r="AZ87" s="39">
        <f>資料儲存!I3547</f>
        <v>0</v>
      </c>
      <c r="BA87" s="39">
        <f>資料儲存!J3547</f>
        <v>0</v>
      </c>
    </row>
    <row r="88" spans="1:53" s="59" customFormat="1" ht="16" thickBot="1">
      <c r="A88" s="62">
        <v>7</v>
      </c>
      <c r="B88" s="39">
        <f>資料儲存!D2948</f>
        <v>0</v>
      </c>
      <c r="C88" s="39">
        <f>資料儲存!E2948</f>
        <v>0</v>
      </c>
      <c r="D88" s="39">
        <f>資料儲存!F2948</f>
        <v>0</v>
      </c>
      <c r="E88" s="39">
        <f>資料儲存!G2948</f>
        <v>0</v>
      </c>
      <c r="F88" s="39">
        <f>資料儲存!H2948</f>
        <v>0</v>
      </c>
      <c r="G88" s="39">
        <f>資料儲存!I2948</f>
        <v>0</v>
      </c>
      <c r="H88" s="39">
        <f>資料儲存!J2948</f>
        <v>0</v>
      </c>
      <c r="I88" s="58"/>
      <c r="J88" s="62">
        <v>7</v>
      </c>
      <c r="K88" s="39">
        <f>資料儲存!D3068</f>
        <v>0</v>
      </c>
      <c r="L88" s="39">
        <f>資料儲存!E3068</f>
        <v>0</v>
      </c>
      <c r="M88" s="39">
        <f>資料儲存!F3068</f>
        <v>0</v>
      </c>
      <c r="N88" s="39">
        <f>資料儲存!G3068</f>
        <v>0</v>
      </c>
      <c r="O88" s="39">
        <f>資料儲存!H3068</f>
        <v>0</v>
      </c>
      <c r="P88" s="39">
        <f>資料儲存!I3068</f>
        <v>0</v>
      </c>
      <c r="Q88" s="39">
        <f>資料儲存!J3068</f>
        <v>0</v>
      </c>
      <c r="R88" s="58"/>
      <c r="S88" s="62">
        <v>7</v>
      </c>
      <c r="T88" s="39">
        <f>資料儲存!D3188</f>
        <v>0</v>
      </c>
      <c r="U88" s="39">
        <f>資料儲存!E3188</f>
        <v>0</v>
      </c>
      <c r="V88" s="39">
        <f>資料儲存!F3188</f>
        <v>0</v>
      </c>
      <c r="W88" s="39">
        <f>資料儲存!G3188</f>
        <v>0</v>
      </c>
      <c r="X88" s="39">
        <f>資料儲存!H3188</f>
        <v>0</v>
      </c>
      <c r="Y88" s="39">
        <f>資料儲存!I3188</f>
        <v>0</v>
      </c>
      <c r="Z88" s="39">
        <f>資料儲存!J3188</f>
        <v>0</v>
      </c>
      <c r="AA88" s="58"/>
      <c r="AB88" s="62">
        <v>7</v>
      </c>
      <c r="AC88" s="39">
        <f>資料儲存!D3308</f>
        <v>0</v>
      </c>
      <c r="AD88" s="39">
        <f>資料儲存!E3308</f>
        <v>0</v>
      </c>
      <c r="AE88" s="39">
        <f>資料儲存!F3308</f>
        <v>0</v>
      </c>
      <c r="AF88" s="39">
        <f>資料儲存!G3308</f>
        <v>0</v>
      </c>
      <c r="AG88" s="39">
        <f>資料儲存!H3308</f>
        <v>0</v>
      </c>
      <c r="AH88" s="39">
        <f>資料儲存!I3308</f>
        <v>0</v>
      </c>
      <c r="AI88" s="39">
        <f>資料儲存!J3308</f>
        <v>0</v>
      </c>
      <c r="AJ88" s="58"/>
      <c r="AK88" s="62">
        <v>7</v>
      </c>
      <c r="AL88" s="39">
        <f>資料儲存!D3428</f>
        <v>0</v>
      </c>
      <c r="AM88" s="39">
        <f>資料儲存!E3428</f>
        <v>0</v>
      </c>
      <c r="AN88" s="39">
        <f>資料儲存!F3428</f>
        <v>0</v>
      </c>
      <c r="AO88" s="39">
        <f>資料儲存!G3428</f>
        <v>0</v>
      </c>
      <c r="AP88" s="39">
        <f>資料儲存!H3428</f>
        <v>0</v>
      </c>
      <c r="AQ88" s="39">
        <f>資料儲存!I3428</f>
        <v>0</v>
      </c>
      <c r="AR88" s="39">
        <f>資料儲存!J3428</f>
        <v>0</v>
      </c>
      <c r="AT88" s="62">
        <v>7</v>
      </c>
      <c r="AU88" s="39">
        <f>資料儲存!D3548</f>
        <v>0</v>
      </c>
      <c r="AV88" s="39">
        <f>資料儲存!E3548</f>
        <v>0</v>
      </c>
      <c r="AW88" s="39">
        <f>資料儲存!F3548</f>
        <v>0</v>
      </c>
      <c r="AX88" s="39">
        <f>資料儲存!G3548</f>
        <v>0</v>
      </c>
      <c r="AY88" s="39">
        <f>資料儲存!H3548</f>
        <v>0</v>
      </c>
      <c r="AZ88" s="39">
        <f>資料儲存!I3548</f>
        <v>0</v>
      </c>
      <c r="BA88" s="39">
        <f>資料儲存!J3548</f>
        <v>0</v>
      </c>
    </row>
    <row r="89" spans="1:53" s="59" customFormat="1" ht="16" thickBot="1">
      <c r="A89" s="62">
        <v>8</v>
      </c>
      <c r="B89" s="39">
        <f>資料儲存!D2949</f>
        <v>0</v>
      </c>
      <c r="C89" s="39">
        <f>資料儲存!E2949</f>
        <v>0</v>
      </c>
      <c r="D89" s="39">
        <f>資料儲存!F2949</f>
        <v>0</v>
      </c>
      <c r="E89" s="39">
        <f>資料儲存!G2949</f>
        <v>0</v>
      </c>
      <c r="F89" s="39">
        <f>資料儲存!H2949</f>
        <v>0</v>
      </c>
      <c r="G89" s="39">
        <f>資料儲存!I2949</f>
        <v>0</v>
      </c>
      <c r="H89" s="39">
        <f>資料儲存!J2949</f>
        <v>0</v>
      </c>
      <c r="I89" s="58"/>
      <c r="J89" s="62">
        <v>8</v>
      </c>
      <c r="K89" s="39">
        <f>資料儲存!D3069</f>
        <v>0</v>
      </c>
      <c r="L89" s="39">
        <f>資料儲存!E3069</f>
        <v>0</v>
      </c>
      <c r="M89" s="39">
        <f>資料儲存!F3069</f>
        <v>0</v>
      </c>
      <c r="N89" s="39">
        <f>資料儲存!G3069</f>
        <v>0</v>
      </c>
      <c r="O89" s="39">
        <f>資料儲存!H3069</f>
        <v>0</v>
      </c>
      <c r="P89" s="39">
        <f>資料儲存!I3069</f>
        <v>0</v>
      </c>
      <c r="Q89" s="39">
        <f>資料儲存!J3069</f>
        <v>0</v>
      </c>
      <c r="R89" s="58"/>
      <c r="S89" s="62">
        <v>8</v>
      </c>
      <c r="T89" s="39">
        <f>資料儲存!D3189</f>
        <v>0</v>
      </c>
      <c r="U89" s="39">
        <f>資料儲存!E3189</f>
        <v>0</v>
      </c>
      <c r="V89" s="39">
        <f>資料儲存!F3189</f>
        <v>0</v>
      </c>
      <c r="W89" s="39">
        <f>資料儲存!G3189</f>
        <v>0</v>
      </c>
      <c r="X89" s="39">
        <f>資料儲存!H3189</f>
        <v>0</v>
      </c>
      <c r="Y89" s="39">
        <f>資料儲存!I3189</f>
        <v>0</v>
      </c>
      <c r="Z89" s="39">
        <f>資料儲存!J3189</f>
        <v>0</v>
      </c>
      <c r="AA89" s="58"/>
      <c r="AB89" s="62">
        <v>8</v>
      </c>
      <c r="AC89" s="39">
        <f>資料儲存!D3309</f>
        <v>0</v>
      </c>
      <c r="AD89" s="39">
        <f>資料儲存!E3309</f>
        <v>0</v>
      </c>
      <c r="AE89" s="39">
        <f>資料儲存!F3309</f>
        <v>0</v>
      </c>
      <c r="AF89" s="39">
        <f>資料儲存!G3309</f>
        <v>0</v>
      </c>
      <c r="AG89" s="39">
        <f>資料儲存!H3309</f>
        <v>0</v>
      </c>
      <c r="AH89" s="39">
        <f>資料儲存!I3309</f>
        <v>0</v>
      </c>
      <c r="AI89" s="39">
        <f>資料儲存!J3309</f>
        <v>0</v>
      </c>
      <c r="AJ89" s="58"/>
      <c r="AK89" s="62">
        <v>8</v>
      </c>
      <c r="AL89" s="39">
        <f>資料儲存!D3429</f>
        <v>0</v>
      </c>
      <c r="AM89" s="39">
        <f>資料儲存!E3429</f>
        <v>0</v>
      </c>
      <c r="AN89" s="39">
        <f>資料儲存!F3429</f>
        <v>0</v>
      </c>
      <c r="AO89" s="39">
        <f>資料儲存!G3429</f>
        <v>0</v>
      </c>
      <c r="AP89" s="39">
        <f>資料儲存!H3429</f>
        <v>0</v>
      </c>
      <c r="AQ89" s="39">
        <f>資料儲存!I3429</f>
        <v>0</v>
      </c>
      <c r="AR89" s="39">
        <f>資料儲存!J3429</f>
        <v>0</v>
      </c>
      <c r="AT89" s="62">
        <v>8</v>
      </c>
      <c r="AU89" s="39">
        <f>資料儲存!D3549</f>
        <v>0</v>
      </c>
      <c r="AV89" s="39">
        <f>資料儲存!E3549</f>
        <v>0</v>
      </c>
      <c r="AW89" s="39">
        <f>資料儲存!F3549</f>
        <v>0</v>
      </c>
      <c r="AX89" s="39">
        <f>資料儲存!G3549</f>
        <v>0</v>
      </c>
      <c r="AY89" s="39">
        <f>資料儲存!H3549</f>
        <v>0</v>
      </c>
      <c r="AZ89" s="39">
        <f>資料儲存!I3549</f>
        <v>0</v>
      </c>
      <c r="BA89" s="39">
        <f>資料儲存!J3549</f>
        <v>0</v>
      </c>
    </row>
    <row r="90" spans="1:53" s="59" customFormat="1" ht="16" thickBot="1">
      <c r="A90" s="62">
        <v>9</v>
      </c>
      <c r="B90" s="39">
        <f>資料儲存!D2950</f>
        <v>0</v>
      </c>
      <c r="C90" s="39">
        <f>資料儲存!E2950</f>
        <v>0</v>
      </c>
      <c r="D90" s="39">
        <f>資料儲存!F2950</f>
        <v>0</v>
      </c>
      <c r="E90" s="39">
        <f>資料儲存!G2950</f>
        <v>0</v>
      </c>
      <c r="F90" s="39">
        <f>資料儲存!H2950</f>
        <v>0</v>
      </c>
      <c r="G90" s="39">
        <f>資料儲存!I2950</f>
        <v>0</v>
      </c>
      <c r="H90" s="39">
        <f>資料儲存!J2950</f>
        <v>0</v>
      </c>
      <c r="I90" s="58"/>
      <c r="J90" s="62">
        <v>9</v>
      </c>
      <c r="K90" s="39">
        <f>資料儲存!D3070</f>
        <v>0</v>
      </c>
      <c r="L90" s="39">
        <f>資料儲存!E3070</f>
        <v>0</v>
      </c>
      <c r="M90" s="39">
        <f>資料儲存!F3070</f>
        <v>0</v>
      </c>
      <c r="N90" s="39">
        <f>資料儲存!G3070</f>
        <v>0</v>
      </c>
      <c r="O90" s="39">
        <f>資料儲存!H3070</f>
        <v>0</v>
      </c>
      <c r="P90" s="39">
        <f>資料儲存!I3070</f>
        <v>0</v>
      </c>
      <c r="Q90" s="39">
        <f>資料儲存!J3070</f>
        <v>0</v>
      </c>
      <c r="R90" s="58"/>
      <c r="S90" s="62">
        <v>9</v>
      </c>
      <c r="T90" s="39">
        <f>資料儲存!D3190</f>
        <v>0</v>
      </c>
      <c r="U90" s="39">
        <f>資料儲存!E3190</f>
        <v>0</v>
      </c>
      <c r="V90" s="39">
        <f>資料儲存!F3190</f>
        <v>0</v>
      </c>
      <c r="W90" s="39">
        <f>資料儲存!G3190</f>
        <v>0</v>
      </c>
      <c r="X90" s="39">
        <f>資料儲存!H3190</f>
        <v>0</v>
      </c>
      <c r="Y90" s="39">
        <f>資料儲存!I3190</f>
        <v>0</v>
      </c>
      <c r="Z90" s="39">
        <f>資料儲存!J3190</f>
        <v>0</v>
      </c>
      <c r="AA90" s="58"/>
      <c r="AB90" s="62">
        <v>9</v>
      </c>
      <c r="AC90" s="39">
        <f>資料儲存!D3310</f>
        <v>0</v>
      </c>
      <c r="AD90" s="39">
        <f>資料儲存!E3310</f>
        <v>0</v>
      </c>
      <c r="AE90" s="39">
        <f>資料儲存!F3310</f>
        <v>0</v>
      </c>
      <c r="AF90" s="39">
        <f>資料儲存!G3310</f>
        <v>0</v>
      </c>
      <c r="AG90" s="39">
        <f>資料儲存!H3310</f>
        <v>0</v>
      </c>
      <c r="AH90" s="39">
        <f>資料儲存!I3310</f>
        <v>0</v>
      </c>
      <c r="AI90" s="39">
        <f>資料儲存!J3310</f>
        <v>0</v>
      </c>
      <c r="AJ90" s="58"/>
      <c r="AK90" s="62">
        <v>9</v>
      </c>
      <c r="AL90" s="39">
        <f>資料儲存!D3430</f>
        <v>0</v>
      </c>
      <c r="AM90" s="39">
        <f>資料儲存!E3430</f>
        <v>0</v>
      </c>
      <c r="AN90" s="39">
        <f>資料儲存!F3430</f>
        <v>0</v>
      </c>
      <c r="AO90" s="39">
        <f>資料儲存!G3430</f>
        <v>0</v>
      </c>
      <c r="AP90" s="39">
        <f>資料儲存!H3430</f>
        <v>0</v>
      </c>
      <c r="AQ90" s="39">
        <f>資料儲存!I3430</f>
        <v>0</v>
      </c>
      <c r="AR90" s="39">
        <f>資料儲存!J3430</f>
        <v>0</v>
      </c>
      <c r="AT90" s="62">
        <v>9</v>
      </c>
      <c r="AU90" s="39">
        <f>資料儲存!D3550</f>
        <v>0</v>
      </c>
      <c r="AV90" s="39">
        <f>資料儲存!E3550</f>
        <v>0</v>
      </c>
      <c r="AW90" s="39">
        <f>資料儲存!F3550</f>
        <v>0</v>
      </c>
      <c r="AX90" s="39">
        <f>資料儲存!G3550</f>
        <v>0</v>
      </c>
      <c r="AY90" s="39">
        <f>資料儲存!H3550</f>
        <v>0</v>
      </c>
      <c r="AZ90" s="39">
        <f>資料儲存!I3550</f>
        <v>0</v>
      </c>
      <c r="BA90" s="39">
        <f>資料儲存!J3550</f>
        <v>0</v>
      </c>
    </row>
    <row r="91" spans="1:53" s="59" customFormat="1" ht="16" thickBot="1">
      <c r="A91" s="62">
        <v>10</v>
      </c>
      <c r="B91" s="39">
        <f>資料儲存!D2951</f>
        <v>0</v>
      </c>
      <c r="C91" s="39">
        <f>資料儲存!E2951</f>
        <v>0</v>
      </c>
      <c r="D91" s="39">
        <f>資料儲存!F2951</f>
        <v>0</v>
      </c>
      <c r="E91" s="39">
        <f>資料儲存!G2951</f>
        <v>0</v>
      </c>
      <c r="F91" s="39">
        <f>資料儲存!H2951</f>
        <v>0</v>
      </c>
      <c r="G91" s="39">
        <f>資料儲存!I2951</f>
        <v>0</v>
      </c>
      <c r="H91" s="39">
        <f>資料儲存!J2951</f>
        <v>0</v>
      </c>
      <c r="I91" s="58"/>
      <c r="J91" s="62">
        <v>10</v>
      </c>
      <c r="K91" s="39">
        <f>資料儲存!D3071</f>
        <v>0</v>
      </c>
      <c r="L91" s="39">
        <f>資料儲存!E3071</f>
        <v>0</v>
      </c>
      <c r="M91" s="39">
        <f>資料儲存!F3071</f>
        <v>0</v>
      </c>
      <c r="N91" s="39">
        <f>資料儲存!G3071</f>
        <v>0</v>
      </c>
      <c r="O91" s="39">
        <f>資料儲存!H3071</f>
        <v>0</v>
      </c>
      <c r="P91" s="39">
        <f>資料儲存!I3071</f>
        <v>0</v>
      </c>
      <c r="Q91" s="39">
        <f>資料儲存!J3071</f>
        <v>0</v>
      </c>
      <c r="R91" s="58"/>
      <c r="S91" s="62">
        <v>10</v>
      </c>
      <c r="T91" s="39">
        <f>資料儲存!D3191</f>
        <v>0</v>
      </c>
      <c r="U91" s="39">
        <f>資料儲存!E3191</f>
        <v>0</v>
      </c>
      <c r="V91" s="39">
        <f>資料儲存!F3191</f>
        <v>0</v>
      </c>
      <c r="W91" s="39">
        <f>資料儲存!G3191</f>
        <v>0</v>
      </c>
      <c r="X91" s="39">
        <f>資料儲存!H3191</f>
        <v>0</v>
      </c>
      <c r="Y91" s="39">
        <f>資料儲存!I3191</f>
        <v>0</v>
      </c>
      <c r="Z91" s="39">
        <f>資料儲存!J3191</f>
        <v>0</v>
      </c>
      <c r="AA91" s="58"/>
      <c r="AB91" s="62">
        <v>10</v>
      </c>
      <c r="AC91" s="39">
        <f>資料儲存!D3311</f>
        <v>0</v>
      </c>
      <c r="AD91" s="39">
        <f>資料儲存!E3311</f>
        <v>0</v>
      </c>
      <c r="AE91" s="39">
        <f>資料儲存!F3311</f>
        <v>0</v>
      </c>
      <c r="AF91" s="39">
        <f>資料儲存!G3311</f>
        <v>0</v>
      </c>
      <c r="AG91" s="39">
        <f>資料儲存!H3311</f>
        <v>0</v>
      </c>
      <c r="AH91" s="39">
        <f>資料儲存!I3311</f>
        <v>0</v>
      </c>
      <c r="AI91" s="39">
        <f>資料儲存!J3311</f>
        <v>0</v>
      </c>
      <c r="AJ91" s="58"/>
      <c r="AK91" s="62">
        <v>10</v>
      </c>
      <c r="AL91" s="39">
        <f>資料儲存!D3431</f>
        <v>0</v>
      </c>
      <c r="AM91" s="39">
        <f>資料儲存!E3431</f>
        <v>0</v>
      </c>
      <c r="AN91" s="39">
        <f>資料儲存!F3431</f>
        <v>0</v>
      </c>
      <c r="AO91" s="39">
        <f>資料儲存!G3431</f>
        <v>0</v>
      </c>
      <c r="AP91" s="39">
        <f>資料儲存!H3431</f>
        <v>0</v>
      </c>
      <c r="AQ91" s="39">
        <f>資料儲存!I3431</f>
        <v>0</v>
      </c>
      <c r="AR91" s="39">
        <f>資料儲存!J3431</f>
        <v>0</v>
      </c>
      <c r="AT91" s="62">
        <v>10</v>
      </c>
      <c r="AU91" s="39">
        <f>資料儲存!D3551</f>
        <v>0</v>
      </c>
      <c r="AV91" s="39">
        <f>資料儲存!E3551</f>
        <v>0</v>
      </c>
      <c r="AW91" s="39">
        <f>資料儲存!F3551</f>
        <v>0</v>
      </c>
      <c r="AX91" s="39">
        <f>資料儲存!G3551</f>
        <v>0</v>
      </c>
      <c r="AY91" s="39">
        <f>資料儲存!H3551</f>
        <v>0</v>
      </c>
      <c r="AZ91" s="39">
        <f>資料儲存!I3551</f>
        <v>0</v>
      </c>
      <c r="BA91" s="39">
        <f>資料儲存!J3551</f>
        <v>0</v>
      </c>
    </row>
    <row r="92" spans="1:53" s="59" customFormat="1" ht="16" thickBot="1">
      <c r="A92" s="62">
        <v>11</v>
      </c>
      <c r="B92" s="39">
        <f>資料儲存!D2952</f>
        <v>0</v>
      </c>
      <c r="C92" s="39">
        <f>資料儲存!E2952</f>
        <v>0</v>
      </c>
      <c r="D92" s="39">
        <f>資料儲存!F2952</f>
        <v>0</v>
      </c>
      <c r="E92" s="39">
        <f>資料儲存!G2952</f>
        <v>0</v>
      </c>
      <c r="F92" s="39">
        <f>資料儲存!H2952</f>
        <v>0</v>
      </c>
      <c r="G92" s="39">
        <f>資料儲存!I2952</f>
        <v>0</v>
      </c>
      <c r="H92" s="39">
        <f>資料儲存!J2952</f>
        <v>0</v>
      </c>
      <c r="I92" s="58"/>
      <c r="J92" s="62">
        <v>11</v>
      </c>
      <c r="K92" s="39">
        <f>資料儲存!D3072</f>
        <v>0</v>
      </c>
      <c r="L92" s="39">
        <f>資料儲存!E3072</f>
        <v>0</v>
      </c>
      <c r="M92" s="39">
        <f>資料儲存!F3072</f>
        <v>0</v>
      </c>
      <c r="N92" s="39">
        <f>資料儲存!G3072</f>
        <v>0</v>
      </c>
      <c r="O92" s="39">
        <f>資料儲存!H3072</f>
        <v>0</v>
      </c>
      <c r="P92" s="39">
        <f>資料儲存!I3072</f>
        <v>0</v>
      </c>
      <c r="Q92" s="39">
        <f>資料儲存!J3072</f>
        <v>0</v>
      </c>
      <c r="R92" s="58"/>
      <c r="S92" s="62">
        <v>11</v>
      </c>
      <c r="T92" s="39">
        <f>資料儲存!D3192</f>
        <v>0</v>
      </c>
      <c r="U92" s="39">
        <f>資料儲存!E3192</f>
        <v>0</v>
      </c>
      <c r="V92" s="39">
        <f>資料儲存!F3192</f>
        <v>0</v>
      </c>
      <c r="W92" s="39">
        <f>資料儲存!G3192</f>
        <v>0</v>
      </c>
      <c r="X92" s="39">
        <f>資料儲存!H3192</f>
        <v>0</v>
      </c>
      <c r="Y92" s="39">
        <f>資料儲存!I3192</f>
        <v>0</v>
      </c>
      <c r="Z92" s="39">
        <f>資料儲存!J3192</f>
        <v>0</v>
      </c>
      <c r="AA92" s="58"/>
      <c r="AB92" s="62">
        <v>11</v>
      </c>
      <c r="AC92" s="39">
        <f>資料儲存!D3312</f>
        <v>0</v>
      </c>
      <c r="AD92" s="39">
        <f>資料儲存!E3312</f>
        <v>0</v>
      </c>
      <c r="AE92" s="39">
        <f>資料儲存!F3312</f>
        <v>0</v>
      </c>
      <c r="AF92" s="39">
        <f>資料儲存!G3312</f>
        <v>0</v>
      </c>
      <c r="AG92" s="39">
        <f>資料儲存!H3312</f>
        <v>0</v>
      </c>
      <c r="AH92" s="39">
        <f>資料儲存!I3312</f>
        <v>0</v>
      </c>
      <c r="AI92" s="39">
        <f>資料儲存!J3312</f>
        <v>0</v>
      </c>
      <c r="AJ92" s="58"/>
      <c r="AK92" s="62">
        <v>11</v>
      </c>
      <c r="AL92" s="39">
        <f>資料儲存!D3432</f>
        <v>0</v>
      </c>
      <c r="AM92" s="39">
        <f>資料儲存!E3432</f>
        <v>0</v>
      </c>
      <c r="AN92" s="39">
        <f>資料儲存!F3432</f>
        <v>0</v>
      </c>
      <c r="AO92" s="39">
        <f>資料儲存!G3432</f>
        <v>0</v>
      </c>
      <c r="AP92" s="39">
        <f>資料儲存!H3432</f>
        <v>0</v>
      </c>
      <c r="AQ92" s="39">
        <f>資料儲存!I3432</f>
        <v>0</v>
      </c>
      <c r="AR92" s="39">
        <f>資料儲存!J3432</f>
        <v>0</v>
      </c>
      <c r="AT92" s="62">
        <v>11</v>
      </c>
      <c r="AU92" s="39">
        <f>資料儲存!D3552</f>
        <v>0</v>
      </c>
      <c r="AV92" s="39">
        <f>資料儲存!E3552</f>
        <v>0</v>
      </c>
      <c r="AW92" s="39">
        <f>資料儲存!F3552</f>
        <v>0</v>
      </c>
      <c r="AX92" s="39">
        <f>資料儲存!G3552</f>
        <v>0</v>
      </c>
      <c r="AY92" s="39">
        <f>資料儲存!H3552</f>
        <v>0</v>
      </c>
      <c r="AZ92" s="39">
        <f>資料儲存!I3552</f>
        <v>0</v>
      </c>
      <c r="BA92" s="39">
        <f>資料儲存!J3552</f>
        <v>0</v>
      </c>
    </row>
    <row r="93" spans="1:53" s="59" customFormat="1" ht="16" thickBot="1">
      <c r="A93" s="62">
        <v>12</v>
      </c>
      <c r="B93" s="39">
        <f>資料儲存!D2953</f>
        <v>0</v>
      </c>
      <c r="C93" s="39">
        <f>資料儲存!E2953</f>
        <v>0</v>
      </c>
      <c r="D93" s="39">
        <f>資料儲存!F2953</f>
        <v>0</v>
      </c>
      <c r="E93" s="39">
        <f>資料儲存!G2953</f>
        <v>0</v>
      </c>
      <c r="F93" s="39">
        <f>資料儲存!H2953</f>
        <v>0</v>
      </c>
      <c r="G93" s="39">
        <f>資料儲存!I2953</f>
        <v>0</v>
      </c>
      <c r="H93" s="39">
        <f>資料儲存!J2953</f>
        <v>0</v>
      </c>
      <c r="I93" s="58"/>
      <c r="J93" s="62">
        <v>12</v>
      </c>
      <c r="K93" s="39">
        <f>資料儲存!D3073</f>
        <v>0</v>
      </c>
      <c r="L93" s="39">
        <f>資料儲存!E3073</f>
        <v>0</v>
      </c>
      <c r="M93" s="39">
        <f>資料儲存!F3073</f>
        <v>0</v>
      </c>
      <c r="N93" s="39">
        <f>資料儲存!G3073</f>
        <v>0</v>
      </c>
      <c r="O93" s="39">
        <f>資料儲存!H3073</f>
        <v>0</v>
      </c>
      <c r="P93" s="39">
        <f>資料儲存!I3073</f>
        <v>0</v>
      </c>
      <c r="Q93" s="39">
        <f>資料儲存!J3073</f>
        <v>0</v>
      </c>
      <c r="R93" s="58"/>
      <c r="S93" s="62">
        <v>12</v>
      </c>
      <c r="T93" s="39">
        <f>資料儲存!D3193</f>
        <v>0</v>
      </c>
      <c r="U93" s="39">
        <f>資料儲存!E3193</f>
        <v>0</v>
      </c>
      <c r="V93" s="39">
        <f>資料儲存!F3193</f>
        <v>0</v>
      </c>
      <c r="W93" s="39">
        <f>資料儲存!G3193</f>
        <v>0</v>
      </c>
      <c r="X93" s="39">
        <f>資料儲存!H3193</f>
        <v>0</v>
      </c>
      <c r="Y93" s="39">
        <f>資料儲存!I3193</f>
        <v>0</v>
      </c>
      <c r="Z93" s="39">
        <f>資料儲存!J3193</f>
        <v>0</v>
      </c>
      <c r="AA93" s="58"/>
      <c r="AB93" s="62">
        <v>12</v>
      </c>
      <c r="AC93" s="39">
        <f>資料儲存!D3313</f>
        <v>0</v>
      </c>
      <c r="AD93" s="39">
        <f>資料儲存!E3313</f>
        <v>0</v>
      </c>
      <c r="AE93" s="39">
        <f>資料儲存!F3313</f>
        <v>0</v>
      </c>
      <c r="AF93" s="39">
        <f>資料儲存!G3313</f>
        <v>0</v>
      </c>
      <c r="AG93" s="39">
        <f>資料儲存!H3313</f>
        <v>0</v>
      </c>
      <c r="AH93" s="39">
        <f>資料儲存!I3313</f>
        <v>0</v>
      </c>
      <c r="AI93" s="39">
        <f>資料儲存!J3313</f>
        <v>0</v>
      </c>
      <c r="AJ93" s="58"/>
      <c r="AK93" s="62">
        <v>12</v>
      </c>
      <c r="AL93" s="39">
        <f>資料儲存!D3433</f>
        <v>0</v>
      </c>
      <c r="AM93" s="39">
        <f>資料儲存!E3433</f>
        <v>0</v>
      </c>
      <c r="AN93" s="39">
        <f>資料儲存!F3433</f>
        <v>0</v>
      </c>
      <c r="AO93" s="39">
        <f>資料儲存!G3433</f>
        <v>0</v>
      </c>
      <c r="AP93" s="39">
        <f>資料儲存!H3433</f>
        <v>0</v>
      </c>
      <c r="AQ93" s="39">
        <f>資料儲存!I3433</f>
        <v>0</v>
      </c>
      <c r="AR93" s="39">
        <f>資料儲存!J3433</f>
        <v>0</v>
      </c>
      <c r="AT93" s="62">
        <v>12</v>
      </c>
      <c r="AU93" s="39">
        <f>資料儲存!D3553</f>
        <v>0</v>
      </c>
      <c r="AV93" s="39">
        <f>資料儲存!E3553</f>
        <v>0</v>
      </c>
      <c r="AW93" s="39">
        <f>資料儲存!F3553</f>
        <v>0</v>
      </c>
      <c r="AX93" s="39">
        <f>資料儲存!G3553</f>
        <v>0</v>
      </c>
      <c r="AY93" s="39">
        <f>資料儲存!H3553</f>
        <v>0</v>
      </c>
      <c r="AZ93" s="39">
        <f>資料儲存!I3553</f>
        <v>0</v>
      </c>
      <c r="BA93" s="39">
        <f>資料儲存!J3553</f>
        <v>0</v>
      </c>
    </row>
    <row r="94" spans="1:53" s="59" customFormat="1" ht="16" thickBot="1">
      <c r="A94" s="62">
        <v>13</v>
      </c>
      <c r="B94" s="39">
        <f>資料儲存!D2954</f>
        <v>0</v>
      </c>
      <c r="C94" s="39">
        <f>資料儲存!E2954</f>
        <v>0</v>
      </c>
      <c r="D94" s="39">
        <f>資料儲存!F2954</f>
        <v>0</v>
      </c>
      <c r="E94" s="39">
        <f>資料儲存!G2954</f>
        <v>0</v>
      </c>
      <c r="F94" s="39">
        <f>資料儲存!H2954</f>
        <v>0</v>
      </c>
      <c r="G94" s="39">
        <f>資料儲存!I2954</f>
        <v>0</v>
      </c>
      <c r="H94" s="39">
        <f>資料儲存!J2954</f>
        <v>0</v>
      </c>
      <c r="I94" s="58"/>
      <c r="J94" s="62">
        <v>13</v>
      </c>
      <c r="K94" s="39">
        <f>資料儲存!D3074</f>
        <v>0</v>
      </c>
      <c r="L94" s="39">
        <f>資料儲存!E3074</f>
        <v>0</v>
      </c>
      <c r="M94" s="39">
        <f>資料儲存!F3074</f>
        <v>0</v>
      </c>
      <c r="N94" s="39">
        <f>資料儲存!G3074</f>
        <v>0</v>
      </c>
      <c r="O94" s="39">
        <f>資料儲存!H3074</f>
        <v>0</v>
      </c>
      <c r="P94" s="39">
        <f>資料儲存!I3074</f>
        <v>0</v>
      </c>
      <c r="Q94" s="39">
        <f>資料儲存!J3074</f>
        <v>0</v>
      </c>
      <c r="R94" s="58"/>
      <c r="S94" s="62">
        <v>13</v>
      </c>
      <c r="T94" s="39">
        <f>資料儲存!D3194</f>
        <v>0</v>
      </c>
      <c r="U94" s="39">
        <f>資料儲存!E3194</f>
        <v>0</v>
      </c>
      <c r="V94" s="39">
        <f>資料儲存!F3194</f>
        <v>0</v>
      </c>
      <c r="W94" s="39">
        <f>資料儲存!G3194</f>
        <v>0</v>
      </c>
      <c r="X94" s="39">
        <f>資料儲存!H3194</f>
        <v>0</v>
      </c>
      <c r="Y94" s="39">
        <f>資料儲存!I3194</f>
        <v>0</v>
      </c>
      <c r="Z94" s="39">
        <f>資料儲存!J3194</f>
        <v>0</v>
      </c>
      <c r="AA94" s="58"/>
      <c r="AB94" s="62">
        <v>13</v>
      </c>
      <c r="AC94" s="39">
        <f>資料儲存!D3314</f>
        <v>0</v>
      </c>
      <c r="AD94" s="39">
        <f>資料儲存!E3314</f>
        <v>0</v>
      </c>
      <c r="AE94" s="39">
        <f>資料儲存!F3314</f>
        <v>0</v>
      </c>
      <c r="AF94" s="39">
        <f>資料儲存!G3314</f>
        <v>0</v>
      </c>
      <c r="AG94" s="39">
        <f>資料儲存!H3314</f>
        <v>0</v>
      </c>
      <c r="AH94" s="39">
        <f>資料儲存!I3314</f>
        <v>0</v>
      </c>
      <c r="AI94" s="39">
        <f>資料儲存!J3314</f>
        <v>0</v>
      </c>
      <c r="AJ94" s="58"/>
      <c r="AK94" s="62">
        <v>13</v>
      </c>
      <c r="AL94" s="39">
        <f>資料儲存!D3434</f>
        <v>0</v>
      </c>
      <c r="AM94" s="39">
        <f>資料儲存!E3434</f>
        <v>0</v>
      </c>
      <c r="AN94" s="39">
        <f>資料儲存!F3434</f>
        <v>0</v>
      </c>
      <c r="AO94" s="39">
        <f>資料儲存!G3434</f>
        <v>0</v>
      </c>
      <c r="AP94" s="39">
        <f>資料儲存!H3434</f>
        <v>0</v>
      </c>
      <c r="AQ94" s="39">
        <f>資料儲存!I3434</f>
        <v>0</v>
      </c>
      <c r="AR94" s="39">
        <f>資料儲存!J3434</f>
        <v>0</v>
      </c>
      <c r="AT94" s="62">
        <v>13</v>
      </c>
      <c r="AU94" s="39">
        <f>資料儲存!D3554</f>
        <v>0</v>
      </c>
      <c r="AV94" s="39">
        <f>資料儲存!E3554</f>
        <v>0</v>
      </c>
      <c r="AW94" s="39">
        <f>資料儲存!F3554</f>
        <v>0</v>
      </c>
      <c r="AX94" s="39">
        <f>資料儲存!G3554</f>
        <v>0</v>
      </c>
      <c r="AY94" s="39">
        <f>資料儲存!H3554</f>
        <v>0</v>
      </c>
      <c r="AZ94" s="39">
        <f>資料儲存!I3554</f>
        <v>0</v>
      </c>
      <c r="BA94" s="39">
        <f>資料儲存!J3554</f>
        <v>0</v>
      </c>
    </row>
    <row r="95" spans="1:53" s="59" customFormat="1" ht="16" thickBot="1">
      <c r="A95" s="62">
        <v>14</v>
      </c>
      <c r="B95" s="39">
        <f>資料儲存!D2955</f>
        <v>0</v>
      </c>
      <c r="C95" s="39">
        <f>資料儲存!E2955</f>
        <v>0</v>
      </c>
      <c r="D95" s="39">
        <f>資料儲存!F2955</f>
        <v>0</v>
      </c>
      <c r="E95" s="39">
        <f>資料儲存!G2955</f>
        <v>0</v>
      </c>
      <c r="F95" s="39">
        <f>資料儲存!H2955</f>
        <v>0</v>
      </c>
      <c r="G95" s="39">
        <f>資料儲存!I2955</f>
        <v>0</v>
      </c>
      <c r="H95" s="39">
        <f>資料儲存!J2955</f>
        <v>0</v>
      </c>
      <c r="I95" s="58"/>
      <c r="J95" s="62">
        <v>14</v>
      </c>
      <c r="K95" s="39">
        <f>資料儲存!D3075</f>
        <v>0</v>
      </c>
      <c r="L95" s="39">
        <f>資料儲存!E3075</f>
        <v>0</v>
      </c>
      <c r="M95" s="39">
        <f>資料儲存!F3075</f>
        <v>0</v>
      </c>
      <c r="N95" s="39">
        <f>資料儲存!G3075</f>
        <v>0</v>
      </c>
      <c r="O95" s="39">
        <f>資料儲存!H3075</f>
        <v>0</v>
      </c>
      <c r="P95" s="39">
        <f>資料儲存!I3075</f>
        <v>0</v>
      </c>
      <c r="Q95" s="39">
        <f>資料儲存!J3075</f>
        <v>0</v>
      </c>
      <c r="R95" s="58"/>
      <c r="S95" s="62">
        <v>14</v>
      </c>
      <c r="T95" s="39">
        <f>資料儲存!D3195</f>
        <v>0</v>
      </c>
      <c r="U95" s="39">
        <f>資料儲存!E3195</f>
        <v>0</v>
      </c>
      <c r="V95" s="39">
        <f>資料儲存!F3195</f>
        <v>0</v>
      </c>
      <c r="W95" s="39">
        <f>資料儲存!G3195</f>
        <v>0</v>
      </c>
      <c r="X95" s="39">
        <f>資料儲存!H3195</f>
        <v>0</v>
      </c>
      <c r="Y95" s="39">
        <f>資料儲存!I3195</f>
        <v>0</v>
      </c>
      <c r="Z95" s="39">
        <f>資料儲存!J3195</f>
        <v>0</v>
      </c>
      <c r="AA95" s="58"/>
      <c r="AB95" s="62">
        <v>14</v>
      </c>
      <c r="AC95" s="39">
        <f>資料儲存!D3315</f>
        <v>0</v>
      </c>
      <c r="AD95" s="39">
        <f>資料儲存!E3315</f>
        <v>0</v>
      </c>
      <c r="AE95" s="39">
        <f>資料儲存!F3315</f>
        <v>0</v>
      </c>
      <c r="AF95" s="39">
        <f>資料儲存!G3315</f>
        <v>0</v>
      </c>
      <c r="AG95" s="39">
        <f>資料儲存!H3315</f>
        <v>0</v>
      </c>
      <c r="AH95" s="39">
        <f>資料儲存!I3315</f>
        <v>0</v>
      </c>
      <c r="AI95" s="39">
        <f>資料儲存!J3315</f>
        <v>0</v>
      </c>
      <c r="AJ95" s="58"/>
      <c r="AK95" s="62">
        <v>14</v>
      </c>
      <c r="AL95" s="39">
        <f>資料儲存!D3435</f>
        <v>0</v>
      </c>
      <c r="AM95" s="39">
        <f>資料儲存!E3435</f>
        <v>0</v>
      </c>
      <c r="AN95" s="39">
        <f>資料儲存!F3435</f>
        <v>0</v>
      </c>
      <c r="AO95" s="39">
        <f>資料儲存!G3435</f>
        <v>0</v>
      </c>
      <c r="AP95" s="39">
        <f>資料儲存!H3435</f>
        <v>0</v>
      </c>
      <c r="AQ95" s="39">
        <f>資料儲存!I3435</f>
        <v>0</v>
      </c>
      <c r="AR95" s="39">
        <f>資料儲存!J3435</f>
        <v>0</v>
      </c>
      <c r="AT95" s="62">
        <v>14</v>
      </c>
      <c r="AU95" s="39">
        <f>資料儲存!D3555</f>
        <v>0</v>
      </c>
      <c r="AV95" s="39">
        <f>資料儲存!E3555</f>
        <v>0</v>
      </c>
      <c r="AW95" s="39">
        <f>資料儲存!F3555</f>
        <v>0</v>
      </c>
      <c r="AX95" s="39">
        <f>資料儲存!G3555</f>
        <v>0</v>
      </c>
      <c r="AY95" s="39">
        <f>資料儲存!H3555</f>
        <v>0</v>
      </c>
      <c r="AZ95" s="39">
        <f>資料儲存!I3555</f>
        <v>0</v>
      </c>
      <c r="BA95" s="39">
        <f>資料儲存!J3555</f>
        <v>0</v>
      </c>
    </row>
    <row r="96" spans="1:53" s="59" customFormat="1" ht="16" thickBot="1">
      <c r="A96" s="62">
        <v>15</v>
      </c>
      <c r="B96" s="39">
        <f>資料儲存!D2956</f>
        <v>0</v>
      </c>
      <c r="C96" s="39">
        <f>資料儲存!E2956</f>
        <v>0</v>
      </c>
      <c r="D96" s="39">
        <f>資料儲存!F2956</f>
        <v>0</v>
      </c>
      <c r="E96" s="39">
        <f>資料儲存!G2956</f>
        <v>0</v>
      </c>
      <c r="F96" s="39">
        <f>資料儲存!H2956</f>
        <v>0</v>
      </c>
      <c r="G96" s="39">
        <f>資料儲存!I2956</f>
        <v>0</v>
      </c>
      <c r="H96" s="39">
        <f>資料儲存!J2956</f>
        <v>0</v>
      </c>
      <c r="I96" s="58"/>
      <c r="J96" s="62">
        <v>15</v>
      </c>
      <c r="K96" s="39">
        <f>資料儲存!D3076</f>
        <v>0</v>
      </c>
      <c r="L96" s="39">
        <f>資料儲存!E3076</f>
        <v>0</v>
      </c>
      <c r="M96" s="39">
        <f>資料儲存!F3076</f>
        <v>0</v>
      </c>
      <c r="N96" s="39">
        <f>資料儲存!G3076</f>
        <v>0</v>
      </c>
      <c r="O96" s="39">
        <f>資料儲存!H3076</f>
        <v>0</v>
      </c>
      <c r="P96" s="39">
        <f>資料儲存!I3076</f>
        <v>0</v>
      </c>
      <c r="Q96" s="39">
        <f>資料儲存!J3076</f>
        <v>0</v>
      </c>
      <c r="R96" s="58"/>
      <c r="S96" s="62">
        <v>15</v>
      </c>
      <c r="T96" s="39">
        <f>資料儲存!D3196</f>
        <v>0</v>
      </c>
      <c r="U96" s="39">
        <f>資料儲存!E3196</f>
        <v>0</v>
      </c>
      <c r="V96" s="39">
        <f>資料儲存!F3196</f>
        <v>0</v>
      </c>
      <c r="W96" s="39">
        <f>資料儲存!G3196</f>
        <v>0</v>
      </c>
      <c r="X96" s="39">
        <f>資料儲存!H3196</f>
        <v>0</v>
      </c>
      <c r="Y96" s="39">
        <f>資料儲存!I3196</f>
        <v>0</v>
      </c>
      <c r="Z96" s="39">
        <f>資料儲存!J3196</f>
        <v>0</v>
      </c>
      <c r="AA96" s="58"/>
      <c r="AB96" s="62">
        <v>15</v>
      </c>
      <c r="AC96" s="39">
        <f>資料儲存!D3316</f>
        <v>0</v>
      </c>
      <c r="AD96" s="39">
        <f>資料儲存!E3316</f>
        <v>0</v>
      </c>
      <c r="AE96" s="39">
        <f>資料儲存!F3316</f>
        <v>0</v>
      </c>
      <c r="AF96" s="39">
        <f>資料儲存!G3316</f>
        <v>0</v>
      </c>
      <c r="AG96" s="39">
        <f>資料儲存!H3316</f>
        <v>0</v>
      </c>
      <c r="AH96" s="39">
        <f>資料儲存!I3316</f>
        <v>0</v>
      </c>
      <c r="AI96" s="39">
        <f>資料儲存!J3316</f>
        <v>0</v>
      </c>
      <c r="AJ96" s="58"/>
      <c r="AK96" s="62">
        <v>15</v>
      </c>
      <c r="AL96" s="39">
        <f>資料儲存!D3436</f>
        <v>0</v>
      </c>
      <c r="AM96" s="39">
        <f>資料儲存!E3436</f>
        <v>0</v>
      </c>
      <c r="AN96" s="39">
        <f>資料儲存!F3436</f>
        <v>0</v>
      </c>
      <c r="AO96" s="39">
        <f>資料儲存!G3436</f>
        <v>0</v>
      </c>
      <c r="AP96" s="39">
        <f>資料儲存!H3436</f>
        <v>0</v>
      </c>
      <c r="AQ96" s="39">
        <f>資料儲存!I3436</f>
        <v>0</v>
      </c>
      <c r="AR96" s="39">
        <f>資料儲存!J3436</f>
        <v>0</v>
      </c>
      <c r="AT96" s="62">
        <v>15</v>
      </c>
      <c r="AU96" s="39">
        <f>資料儲存!D3556</f>
        <v>0</v>
      </c>
      <c r="AV96" s="39">
        <f>資料儲存!E3556</f>
        <v>0</v>
      </c>
      <c r="AW96" s="39">
        <f>資料儲存!F3556</f>
        <v>0</v>
      </c>
      <c r="AX96" s="39">
        <f>資料儲存!G3556</f>
        <v>0</v>
      </c>
      <c r="AY96" s="39">
        <f>資料儲存!H3556</f>
        <v>0</v>
      </c>
      <c r="AZ96" s="39">
        <f>資料儲存!I3556</f>
        <v>0</v>
      </c>
      <c r="BA96" s="39">
        <f>資料儲存!J3556</f>
        <v>0</v>
      </c>
    </row>
    <row r="97" spans="1:53" s="59" customFormat="1" ht="17.25" customHeight="1" thickBot="1">
      <c r="A97" s="40" t="s">
        <v>56</v>
      </c>
      <c r="B97" s="39">
        <f>SUM(B82:E96)</f>
        <v>0</v>
      </c>
      <c r="C97" s="37"/>
      <c r="D97" s="37"/>
      <c r="E97" s="37"/>
      <c r="F97" s="39">
        <f>F96</f>
        <v>0</v>
      </c>
      <c r="G97" s="39">
        <f>G96</f>
        <v>0</v>
      </c>
      <c r="H97" s="39">
        <f>H96</f>
        <v>0</v>
      </c>
      <c r="I97" s="35"/>
      <c r="J97" s="40" t="s">
        <v>56</v>
      </c>
      <c r="K97" s="39">
        <f>SUM(K82:N96)</f>
        <v>0</v>
      </c>
      <c r="L97" s="37"/>
      <c r="M97" s="37"/>
      <c r="N97" s="37"/>
      <c r="O97" s="39">
        <f>O96</f>
        <v>0</v>
      </c>
      <c r="P97" s="39">
        <f>P96</f>
        <v>0</v>
      </c>
      <c r="Q97" s="39">
        <f>Q96</f>
        <v>0</v>
      </c>
      <c r="R97" s="35"/>
      <c r="S97" s="40" t="s">
        <v>56</v>
      </c>
      <c r="T97" s="39">
        <f>SUM(T82:W96)</f>
        <v>0</v>
      </c>
      <c r="U97" s="37"/>
      <c r="V97" s="37"/>
      <c r="W97" s="37"/>
      <c r="X97" s="39">
        <f>X96</f>
        <v>0</v>
      </c>
      <c r="Y97" s="39">
        <f>Y96</f>
        <v>0</v>
      </c>
      <c r="Z97" s="39">
        <f>Z96</f>
        <v>0</v>
      </c>
      <c r="AA97" s="35"/>
      <c r="AB97" s="40" t="s">
        <v>56</v>
      </c>
      <c r="AC97" s="39">
        <f>SUM(AC82:AF96)</f>
        <v>0</v>
      </c>
      <c r="AD97" s="37"/>
      <c r="AE97" s="37"/>
      <c r="AF97" s="37"/>
      <c r="AG97" s="39">
        <f>AG96</f>
        <v>0</v>
      </c>
      <c r="AH97" s="39">
        <f>AH96</f>
        <v>0</v>
      </c>
      <c r="AI97" s="39">
        <f>AI96</f>
        <v>0</v>
      </c>
      <c r="AJ97" s="35"/>
      <c r="AK97" s="40" t="s">
        <v>56</v>
      </c>
      <c r="AL97" s="39">
        <f>SUM(AL82:AO96)</f>
        <v>0</v>
      </c>
      <c r="AM97" s="37"/>
      <c r="AN97" s="37"/>
      <c r="AO97" s="37"/>
      <c r="AP97" s="39">
        <f>AP96</f>
        <v>0</v>
      </c>
      <c r="AQ97" s="39">
        <f>AQ96</f>
        <v>0</v>
      </c>
      <c r="AR97" s="39">
        <f>AR96</f>
        <v>0</v>
      </c>
      <c r="AT97" s="40" t="s">
        <v>56</v>
      </c>
      <c r="AU97" s="39">
        <f>SUM(AU82:AX96)</f>
        <v>0</v>
      </c>
      <c r="AV97" s="37"/>
      <c r="AW97" s="37"/>
      <c r="AX97" s="37"/>
      <c r="AY97" s="39">
        <f>AY96</f>
        <v>0</v>
      </c>
      <c r="AZ97" s="39">
        <f>AZ96</f>
        <v>0</v>
      </c>
      <c r="BA97" s="39">
        <f>BA96</f>
        <v>0</v>
      </c>
    </row>
    <row r="98" spans="1:53" ht="18.5" thickBot="1">
      <c r="A98" s="257" t="s">
        <v>82</v>
      </c>
      <c r="B98" s="258"/>
      <c r="C98" s="258"/>
      <c r="D98" s="258"/>
      <c r="E98" s="258"/>
      <c r="F98" s="258"/>
      <c r="G98" s="258"/>
      <c r="H98" s="259"/>
      <c r="I98" s="14"/>
      <c r="J98" s="257" t="s">
        <v>82</v>
      </c>
      <c r="K98" s="258"/>
      <c r="L98" s="258"/>
      <c r="M98" s="258"/>
      <c r="N98" s="258"/>
      <c r="O98" s="258"/>
      <c r="P98" s="258"/>
      <c r="Q98" s="259"/>
      <c r="R98" s="14"/>
      <c r="S98" s="257" t="s">
        <v>82</v>
      </c>
      <c r="T98" s="258"/>
      <c r="U98" s="258"/>
      <c r="V98" s="258"/>
      <c r="W98" s="258"/>
      <c r="X98" s="258"/>
      <c r="Y98" s="258"/>
      <c r="Z98" s="259"/>
      <c r="AA98" s="14"/>
      <c r="AB98" s="257" t="s">
        <v>82</v>
      </c>
      <c r="AC98" s="258"/>
      <c r="AD98" s="258"/>
      <c r="AE98" s="258"/>
      <c r="AF98" s="258"/>
      <c r="AG98" s="258"/>
      <c r="AH98" s="258"/>
      <c r="AI98" s="259"/>
      <c r="AJ98" s="14"/>
      <c r="AK98" s="257" t="s">
        <v>82</v>
      </c>
      <c r="AL98" s="258"/>
      <c r="AM98" s="258"/>
      <c r="AN98" s="258"/>
      <c r="AO98" s="258"/>
      <c r="AP98" s="258"/>
      <c r="AQ98" s="258"/>
      <c r="AR98" s="259"/>
      <c r="AT98" s="257" t="s">
        <v>82</v>
      </c>
      <c r="AU98" s="258"/>
      <c r="AV98" s="258"/>
      <c r="AW98" s="258"/>
      <c r="AX98" s="258"/>
      <c r="AY98" s="258"/>
      <c r="AZ98" s="258"/>
      <c r="BA98" s="259"/>
    </row>
    <row r="99" spans="1:53" s="67" customFormat="1" ht="17.25" customHeight="1" thickBot="1">
      <c r="A99" s="63" t="s">
        <v>2</v>
      </c>
      <c r="B99" s="64" t="s">
        <v>46</v>
      </c>
      <c r="C99" s="65"/>
      <c r="D99" s="65"/>
      <c r="E99" s="66"/>
      <c r="F99" s="64" t="s">
        <v>47</v>
      </c>
      <c r="G99" s="65"/>
      <c r="H99" s="66"/>
      <c r="I99" s="52"/>
      <c r="J99" s="63" t="s">
        <v>2</v>
      </c>
      <c r="K99" s="64" t="s">
        <v>46</v>
      </c>
      <c r="L99" s="65"/>
      <c r="M99" s="65"/>
      <c r="N99" s="66"/>
      <c r="O99" s="64" t="s">
        <v>47</v>
      </c>
      <c r="P99" s="65"/>
      <c r="Q99" s="66"/>
      <c r="R99" s="52"/>
      <c r="S99" s="63" t="s">
        <v>2</v>
      </c>
      <c r="T99" s="64" t="s">
        <v>46</v>
      </c>
      <c r="U99" s="65"/>
      <c r="V99" s="65"/>
      <c r="W99" s="66"/>
      <c r="X99" s="64" t="s">
        <v>47</v>
      </c>
      <c r="Y99" s="65"/>
      <c r="Z99" s="66"/>
      <c r="AA99" s="52"/>
      <c r="AB99" s="63" t="s">
        <v>2</v>
      </c>
      <c r="AC99" s="64" t="s">
        <v>46</v>
      </c>
      <c r="AD99" s="65"/>
      <c r="AE99" s="65"/>
      <c r="AF99" s="66"/>
      <c r="AG99" s="64" t="s">
        <v>47</v>
      </c>
      <c r="AH99" s="65"/>
      <c r="AI99" s="66"/>
      <c r="AJ99" s="52"/>
      <c r="AK99" s="63" t="s">
        <v>2</v>
      </c>
      <c r="AL99" s="64" t="s">
        <v>46</v>
      </c>
      <c r="AM99" s="65"/>
      <c r="AN99" s="65"/>
      <c r="AO99" s="66"/>
      <c r="AP99" s="64" t="s">
        <v>47</v>
      </c>
      <c r="AQ99" s="65"/>
      <c r="AR99" s="66"/>
      <c r="AT99" s="63" t="s">
        <v>2</v>
      </c>
      <c r="AU99" s="64" t="s">
        <v>46</v>
      </c>
      <c r="AV99" s="65"/>
      <c r="AW99" s="65"/>
      <c r="AX99" s="66"/>
      <c r="AY99" s="64" t="s">
        <v>47</v>
      </c>
      <c r="AZ99" s="65"/>
      <c r="BA99" s="66"/>
    </row>
    <row r="100" spans="1:53" s="67" customFormat="1" ht="16" thickBot="1">
      <c r="A100" s="68" t="s">
        <v>83</v>
      </c>
      <c r="B100" s="69" t="s">
        <v>49</v>
      </c>
      <c r="C100" s="69" t="s">
        <v>50</v>
      </c>
      <c r="D100" s="69" t="s">
        <v>51</v>
      </c>
      <c r="E100" s="69" t="s">
        <v>52</v>
      </c>
      <c r="F100" s="69" t="s">
        <v>53</v>
      </c>
      <c r="G100" s="69" t="s">
        <v>54</v>
      </c>
      <c r="H100" s="69" t="s">
        <v>55</v>
      </c>
      <c r="I100" s="52"/>
      <c r="J100" s="68" t="s">
        <v>83</v>
      </c>
      <c r="K100" s="69" t="s">
        <v>49</v>
      </c>
      <c r="L100" s="69" t="s">
        <v>50</v>
      </c>
      <c r="M100" s="69" t="s">
        <v>51</v>
      </c>
      <c r="N100" s="69" t="s">
        <v>52</v>
      </c>
      <c r="O100" s="69" t="s">
        <v>53</v>
      </c>
      <c r="P100" s="69" t="s">
        <v>54</v>
      </c>
      <c r="Q100" s="69" t="s">
        <v>55</v>
      </c>
      <c r="R100" s="52"/>
      <c r="S100" s="68" t="s">
        <v>83</v>
      </c>
      <c r="T100" s="69" t="s">
        <v>49</v>
      </c>
      <c r="U100" s="69" t="s">
        <v>50</v>
      </c>
      <c r="V100" s="69" t="s">
        <v>51</v>
      </c>
      <c r="W100" s="69" t="s">
        <v>52</v>
      </c>
      <c r="X100" s="69" t="s">
        <v>53</v>
      </c>
      <c r="Y100" s="69" t="s">
        <v>54</v>
      </c>
      <c r="Z100" s="69" t="s">
        <v>55</v>
      </c>
      <c r="AA100" s="52"/>
      <c r="AB100" s="68" t="s">
        <v>83</v>
      </c>
      <c r="AC100" s="69" t="s">
        <v>49</v>
      </c>
      <c r="AD100" s="69" t="s">
        <v>50</v>
      </c>
      <c r="AE100" s="69" t="s">
        <v>51</v>
      </c>
      <c r="AF100" s="69" t="s">
        <v>52</v>
      </c>
      <c r="AG100" s="69" t="s">
        <v>53</v>
      </c>
      <c r="AH100" s="69" t="s">
        <v>54</v>
      </c>
      <c r="AI100" s="69" t="s">
        <v>55</v>
      </c>
      <c r="AJ100" s="52"/>
      <c r="AK100" s="68" t="s">
        <v>83</v>
      </c>
      <c r="AL100" s="69" t="s">
        <v>49</v>
      </c>
      <c r="AM100" s="69" t="s">
        <v>50</v>
      </c>
      <c r="AN100" s="69" t="s">
        <v>51</v>
      </c>
      <c r="AO100" s="69" t="s">
        <v>52</v>
      </c>
      <c r="AP100" s="69" t="s">
        <v>53</v>
      </c>
      <c r="AQ100" s="69" t="s">
        <v>54</v>
      </c>
      <c r="AR100" s="69" t="s">
        <v>55</v>
      </c>
      <c r="AT100" s="68" t="s">
        <v>83</v>
      </c>
      <c r="AU100" s="69" t="s">
        <v>49</v>
      </c>
      <c r="AV100" s="69" t="s">
        <v>50</v>
      </c>
      <c r="AW100" s="69" t="s">
        <v>51</v>
      </c>
      <c r="AX100" s="69" t="s">
        <v>52</v>
      </c>
      <c r="AY100" s="69" t="s">
        <v>53</v>
      </c>
      <c r="AZ100" s="69" t="s">
        <v>54</v>
      </c>
      <c r="BA100" s="69" t="s">
        <v>55</v>
      </c>
    </row>
    <row r="101" spans="1:53" s="67" customFormat="1" ht="16" thickBot="1">
      <c r="A101" s="70">
        <v>16</v>
      </c>
      <c r="B101" s="49">
        <f>資料儲存!D2957</f>
        <v>0</v>
      </c>
      <c r="C101" s="49">
        <f>資料儲存!E2957</f>
        <v>0</v>
      </c>
      <c r="D101" s="49">
        <f>資料儲存!F2957</f>
        <v>0</v>
      </c>
      <c r="E101" s="49">
        <f>資料儲存!G2957</f>
        <v>0</v>
      </c>
      <c r="F101" s="49">
        <f>資料儲存!H2957</f>
        <v>0</v>
      </c>
      <c r="G101" s="49">
        <f>資料儲存!I2957</f>
        <v>0</v>
      </c>
      <c r="H101" s="49">
        <f>資料儲存!J2957</f>
        <v>0</v>
      </c>
      <c r="I101" s="52"/>
      <c r="J101" s="70">
        <v>16</v>
      </c>
      <c r="K101" s="49">
        <f>資料儲存!D3077</f>
        <v>0</v>
      </c>
      <c r="L101" s="49">
        <f>資料儲存!E3077</f>
        <v>0</v>
      </c>
      <c r="M101" s="49">
        <f>資料儲存!F3077</f>
        <v>0</v>
      </c>
      <c r="N101" s="49">
        <f>資料儲存!G3077</f>
        <v>0</v>
      </c>
      <c r="O101" s="49">
        <f>資料儲存!H3077</f>
        <v>0</v>
      </c>
      <c r="P101" s="49">
        <f>資料儲存!I3077</f>
        <v>0</v>
      </c>
      <c r="Q101" s="49">
        <f>資料儲存!J3077</f>
        <v>0</v>
      </c>
      <c r="R101" s="52"/>
      <c r="S101" s="70">
        <v>16</v>
      </c>
      <c r="T101" s="49">
        <f>資料儲存!D3197</f>
        <v>0</v>
      </c>
      <c r="U101" s="49">
        <f>資料儲存!E3197</f>
        <v>0</v>
      </c>
      <c r="V101" s="49">
        <f>資料儲存!F3197</f>
        <v>0</v>
      </c>
      <c r="W101" s="49">
        <f>資料儲存!G3197</f>
        <v>0</v>
      </c>
      <c r="X101" s="49">
        <f>資料儲存!H3197</f>
        <v>0</v>
      </c>
      <c r="Y101" s="49">
        <f>資料儲存!I3197</f>
        <v>0</v>
      </c>
      <c r="Z101" s="49">
        <f>資料儲存!J3197</f>
        <v>0</v>
      </c>
      <c r="AA101" s="52"/>
      <c r="AB101" s="70">
        <v>16</v>
      </c>
      <c r="AC101" s="49">
        <f>資料儲存!D3317</f>
        <v>0</v>
      </c>
      <c r="AD101" s="49">
        <f>資料儲存!E3317</f>
        <v>0</v>
      </c>
      <c r="AE101" s="49">
        <f>資料儲存!F3317</f>
        <v>0</v>
      </c>
      <c r="AF101" s="49">
        <f>資料儲存!G3317</f>
        <v>0</v>
      </c>
      <c r="AG101" s="49">
        <f>資料儲存!H3317</f>
        <v>0</v>
      </c>
      <c r="AH101" s="49">
        <f>資料儲存!I3317</f>
        <v>0</v>
      </c>
      <c r="AI101" s="49">
        <f>資料儲存!J3317</f>
        <v>0</v>
      </c>
      <c r="AJ101" s="52"/>
      <c r="AK101" s="70">
        <v>16</v>
      </c>
      <c r="AL101" s="49">
        <f>資料儲存!D3437</f>
        <v>0</v>
      </c>
      <c r="AM101" s="49">
        <f>資料儲存!E3437</f>
        <v>0</v>
      </c>
      <c r="AN101" s="49">
        <f>資料儲存!F3437</f>
        <v>0</v>
      </c>
      <c r="AO101" s="49">
        <f>資料儲存!G3437</f>
        <v>0</v>
      </c>
      <c r="AP101" s="49">
        <f>資料儲存!H3437</f>
        <v>0</v>
      </c>
      <c r="AQ101" s="49">
        <f>資料儲存!I3437</f>
        <v>0</v>
      </c>
      <c r="AR101" s="49">
        <f>資料儲存!J3437</f>
        <v>0</v>
      </c>
      <c r="AT101" s="70">
        <v>16</v>
      </c>
      <c r="AU101" s="49">
        <f>資料儲存!D3557</f>
        <v>0</v>
      </c>
      <c r="AV101" s="49">
        <f>資料儲存!E3557</f>
        <v>0</v>
      </c>
      <c r="AW101" s="49">
        <f>資料儲存!F3557</f>
        <v>0</v>
      </c>
      <c r="AX101" s="49">
        <f>資料儲存!G3557</f>
        <v>0</v>
      </c>
      <c r="AY101" s="49">
        <f>資料儲存!H3557</f>
        <v>0</v>
      </c>
      <c r="AZ101" s="49">
        <f>資料儲存!I3557</f>
        <v>0</v>
      </c>
      <c r="BA101" s="49">
        <f>資料儲存!J3557</f>
        <v>0</v>
      </c>
    </row>
    <row r="102" spans="1:53" s="67" customFormat="1" ht="16" thickBot="1">
      <c r="A102" s="70">
        <v>17</v>
      </c>
      <c r="B102" s="49">
        <f>資料儲存!D2958</f>
        <v>0</v>
      </c>
      <c r="C102" s="49">
        <f>資料儲存!E2958</f>
        <v>0</v>
      </c>
      <c r="D102" s="49">
        <f>資料儲存!F2958</f>
        <v>0</v>
      </c>
      <c r="E102" s="49">
        <f>資料儲存!G2958</f>
        <v>0</v>
      </c>
      <c r="F102" s="49">
        <f>資料儲存!H2958</f>
        <v>0</v>
      </c>
      <c r="G102" s="49">
        <f>資料儲存!I2958</f>
        <v>0</v>
      </c>
      <c r="H102" s="49">
        <f>資料儲存!J2958</f>
        <v>0</v>
      </c>
      <c r="I102" s="52"/>
      <c r="J102" s="70">
        <v>17</v>
      </c>
      <c r="K102" s="49">
        <f>資料儲存!D3078</f>
        <v>0</v>
      </c>
      <c r="L102" s="49">
        <f>資料儲存!E3078</f>
        <v>0</v>
      </c>
      <c r="M102" s="49">
        <f>資料儲存!F3078</f>
        <v>0</v>
      </c>
      <c r="N102" s="49">
        <f>資料儲存!G3078</f>
        <v>0</v>
      </c>
      <c r="O102" s="49">
        <f>資料儲存!H3078</f>
        <v>0</v>
      </c>
      <c r="P102" s="49">
        <f>資料儲存!I3078</f>
        <v>0</v>
      </c>
      <c r="Q102" s="49">
        <f>資料儲存!J3078</f>
        <v>0</v>
      </c>
      <c r="R102" s="52"/>
      <c r="S102" s="70">
        <v>17</v>
      </c>
      <c r="T102" s="49">
        <f>資料儲存!D3198</f>
        <v>0</v>
      </c>
      <c r="U102" s="49">
        <f>資料儲存!E3198</f>
        <v>0</v>
      </c>
      <c r="V102" s="49">
        <f>資料儲存!F3198</f>
        <v>0</v>
      </c>
      <c r="W102" s="49">
        <f>資料儲存!G3198</f>
        <v>0</v>
      </c>
      <c r="X102" s="49">
        <f>資料儲存!H3198</f>
        <v>0</v>
      </c>
      <c r="Y102" s="49">
        <f>資料儲存!I3198</f>
        <v>0</v>
      </c>
      <c r="Z102" s="49">
        <f>資料儲存!J3198</f>
        <v>0</v>
      </c>
      <c r="AA102" s="52"/>
      <c r="AB102" s="70">
        <v>17</v>
      </c>
      <c r="AC102" s="49">
        <f>資料儲存!D3318</f>
        <v>0</v>
      </c>
      <c r="AD102" s="49">
        <f>資料儲存!E3318</f>
        <v>0</v>
      </c>
      <c r="AE102" s="49">
        <f>資料儲存!F3318</f>
        <v>0</v>
      </c>
      <c r="AF102" s="49">
        <f>資料儲存!G3318</f>
        <v>0</v>
      </c>
      <c r="AG102" s="49">
        <f>資料儲存!H3318</f>
        <v>0</v>
      </c>
      <c r="AH102" s="49">
        <f>資料儲存!I3318</f>
        <v>0</v>
      </c>
      <c r="AI102" s="49">
        <f>資料儲存!J3318</f>
        <v>0</v>
      </c>
      <c r="AJ102" s="52"/>
      <c r="AK102" s="70">
        <v>17</v>
      </c>
      <c r="AL102" s="49">
        <f>資料儲存!D3438</f>
        <v>0</v>
      </c>
      <c r="AM102" s="49">
        <f>資料儲存!E3438</f>
        <v>0</v>
      </c>
      <c r="AN102" s="49">
        <f>資料儲存!F3438</f>
        <v>0</v>
      </c>
      <c r="AO102" s="49">
        <f>資料儲存!G3438</f>
        <v>0</v>
      </c>
      <c r="AP102" s="49">
        <f>資料儲存!H3438</f>
        <v>0</v>
      </c>
      <c r="AQ102" s="49">
        <f>資料儲存!I3438</f>
        <v>0</v>
      </c>
      <c r="AR102" s="49">
        <f>資料儲存!J3438</f>
        <v>0</v>
      </c>
      <c r="AT102" s="70">
        <v>17</v>
      </c>
      <c r="AU102" s="49">
        <f>資料儲存!D3558</f>
        <v>0</v>
      </c>
      <c r="AV102" s="49">
        <f>資料儲存!E3558</f>
        <v>0</v>
      </c>
      <c r="AW102" s="49">
        <f>資料儲存!F3558</f>
        <v>0</v>
      </c>
      <c r="AX102" s="49">
        <f>資料儲存!G3558</f>
        <v>0</v>
      </c>
      <c r="AY102" s="49">
        <f>資料儲存!H3558</f>
        <v>0</v>
      </c>
      <c r="AZ102" s="49">
        <f>資料儲存!I3558</f>
        <v>0</v>
      </c>
      <c r="BA102" s="49">
        <f>資料儲存!J3558</f>
        <v>0</v>
      </c>
    </row>
    <row r="103" spans="1:53" s="67" customFormat="1" ht="16" thickBot="1">
      <c r="A103" s="70">
        <v>18</v>
      </c>
      <c r="B103" s="49">
        <f>資料儲存!D2959</f>
        <v>0</v>
      </c>
      <c r="C103" s="49">
        <f>資料儲存!E2959</f>
        <v>0</v>
      </c>
      <c r="D103" s="49">
        <f>資料儲存!F2959</f>
        <v>0</v>
      </c>
      <c r="E103" s="49">
        <f>資料儲存!G2959</f>
        <v>0</v>
      </c>
      <c r="F103" s="49">
        <f>資料儲存!H2959</f>
        <v>0</v>
      </c>
      <c r="G103" s="49">
        <f>資料儲存!I2959</f>
        <v>0</v>
      </c>
      <c r="H103" s="49">
        <f>資料儲存!J2959</f>
        <v>0</v>
      </c>
      <c r="I103" s="52"/>
      <c r="J103" s="70">
        <v>18</v>
      </c>
      <c r="K103" s="49">
        <f>資料儲存!D3079</f>
        <v>0</v>
      </c>
      <c r="L103" s="49">
        <f>資料儲存!E3079</f>
        <v>0</v>
      </c>
      <c r="M103" s="49">
        <f>資料儲存!F3079</f>
        <v>0</v>
      </c>
      <c r="N103" s="49">
        <f>資料儲存!G3079</f>
        <v>0</v>
      </c>
      <c r="O103" s="49">
        <f>資料儲存!H3079</f>
        <v>0</v>
      </c>
      <c r="P103" s="49">
        <f>資料儲存!I3079</f>
        <v>0</v>
      </c>
      <c r="Q103" s="49">
        <f>資料儲存!J3079</f>
        <v>0</v>
      </c>
      <c r="R103" s="52"/>
      <c r="S103" s="70">
        <v>18</v>
      </c>
      <c r="T103" s="49">
        <f>資料儲存!D3199</f>
        <v>0</v>
      </c>
      <c r="U103" s="49">
        <f>資料儲存!E3199</f>
        <v>0</v>
      </c>
      <c r="V103" s="49">
        <f>資料儲存!F3199</f>
        <v>0</v>
      </c>
      <c r="W103" s="49">
        <f>資料儲存!G3199</f>
        <v>0</v>
      </c>
      <c r="X103" s="49">
        <f>資料儲存!H3199</f>
        <v>0</v>
      </c>
      <c r="Y103" s="49">
        <f>資料儲存!I3199</f>
        <v>0</v>
      </c>
      <c r="Z103" s="49">
        <f>資料儲存!J3199</f>
        <v>0</v>
      </c>
      <c r="AA103" s="52"/>
      <c r="AB103" s="70">
        <v>18</v>
      </c>
      <c r="AC103" s="49">
        <f>資料儲存!D3319</f>
        <v>0</v>
      </c>
      <c r="AD103" s="49">
        <f>資料儲存!E3319</f>
        <v>0</v>
      </c>
      <c r="AE103" s="49">
        <f>資料儲存!F3319</f>
        <v>0</v>
      </c>
      <c r="AF103" s="49">
        <f>資料儲存!G3319</f>
        <v>0</v>
      </c>
      <c r="AG103" s="49">
        <f>資料儲存!H3319</f>
        <v>0</v>
      </c>
      <c r="AH103" s="49">
        <f>資料儲存!I3319</f>
        <v>0</v>
      </c>
      <c r="AI103" s="49">
        <f>資料儲存!J3319</f>
        <v>0</v>
      </c>
      <c r="AJ103" s="52"/>
      <c r="AK103" s="70">
        <v>18</v>
      </c>
      <c r="AL103" s="49">
        <f>資料儲存!D3439</f>
        <v>0</v>
      </c>
      <c r="AM103" s="49">
        <f>資料儲存!E3439</f>
        <v>0</v>
      </c>
      <c r="AN103" s="49">
        <f>資料儲存!F3439</f>
        <v>0</v>
      </c>
      <c r="AO103" s="49">
        <f>資料儲存!G3439</f>
        <v>0</v>
      </c>
      <c r="AP103" s="49">
        <f>資料儲存!H3439</f>
        <v>0</v>
      </c>
      <c r="AQ103" s="49">
        <f>資料儲存!I3439</f>
        <v>0</v>
      </c>
      <c r="AR103" s="49">
        <f>資料儲存!J3439</f>
        <v>0</v>
      </c>
      <c r="AT103" s="70">
        <v>18</v>
      </c>
      <c r="AU103" s="49">
        <f>資料儲存!D3559</f>
        <v>0</v>
      </c>
      <c r="AV103" s="49">
        <f>資料儲存!E3559</f>
        <v>0</v>
      </c>
      <c r="AW103" s="49">
        <f>資料儲存!F3559</f>
        <v>0</v>
      </c>
      <c r="AX103" s="49">
        <f>資料儲存!G3559</f>
        <v>0</v>
      </c>
      <c r="AY103" s="49">
        <f>資料儲存!H3559</f>
        <v>0</v>
      </c>
      <c r="AZ103" s="49">
        <f>資料儲存!I3559</f>
        <v>0</v>
      </c>
      <c r="BA103" s="49">
        <f>資料儲存!J3559</f>
        <v>0</v>
      </c>
    </row>
    <row r="104" spans="1:53" s="67" customFormat="1" ht="16" thickBot="1">
      <c r="A104" s="70">
        <v>19</v>
      </c>
      <c r="B104" s="49">
        <f>資料儲存!D2960</f>
        <v>0</v>
      </c>
      <c r="C104" s="49">
        <f>資料儲存!E2960</f>
        <v>0</v>
      </c>
      <c r="D104" s="49">
        <f>資料儲存!F2960</f>
        <v>0</v>
      </c>
      <c r="E104" s="49">
        <f>資料儲存!G2960</f>
        <v>0</v>
      </c>
      <c r="F104" s="49">
        <f>資料儲存!H2960</f>
        <v>0</v>
      </c>
      <c r="G104" s="49">
        <f>資料儲存!I2960</f>
        <v>0</v>
      </c>
      <c r="H104" s="49">
        <f>資料儲存!J2960</f>
        <v>0</v>
      </c>
      <c r="I104" s="52"/>
      <c r="J104" s="70">
        <v>19</v>
      </c>
      <c r="K104" s="49">
        <f>資料儲存!D3080</f>
        <v>0</v>
      </c>
      <c r="L104" s="49">
        <f>資料儲存!E3080</f>
        <v>0</v>
      </c>
      <c r="M104" s="49">
        <f>資料儲存!F3080</f>
        <v>0</v>
      </c>
      <c r="N104" s="49">
        <f>資料儲存!G3080</f>
        <v>0</v>
      </c>
      <c r="O104" s="49">
        <f>資料儲存!H3080</f>
        <v>0</v>
      </c>
      <c r="P104" s="49">
        <f>資料儲存!I3080</f>
        <v>0</v>
      </c>
      <c r="Q104" s="49">
        <f>資料儲存!J3080</f>
        <v>0</v>
      </c>
      <c r="R104" s="52"/>
      <c r="S104" s="70">
        <v>19</v>
      </c>
      <c r="T104" s="49">
        <f>資料儲存!D3200</f>
        <v>0</v>
      </c>
      <c r="U104" s="49">
        <f>資料儲存!E3200</f>
        <v>0</v>
      </c>
      <c r="V104" s="49">
        <f>資料儲存!F3200</f>
        <v>0</v>
      </c>
      <c r="W104" s="49">
        <f>資料儲存!G3200</f>
        <v>0</v>
      </c>
      <c r="X104" s="49">
        <f>資料儲存!H3200</f>
        <v>0</v>
      </c>
      <c r="Y104" s="49">
        <f>資料儲存!I3200</f>
        <v>0</v>
      </c>
      <c r="Z104" s="49">
        <f>資料儲存!J3200</f>
        <v>0</v>
      </c>
      <c r="AA104" s="52"/>
      <c r="AB104" s="70">
        <v>19</v>
      </c>
      <c r="AC104" s="49">
        <f>資料儲存!D3320</f>
        <v>0</v>
      </c>
      <c r="AD104" s="49">
        <f>資料儲存!E3320</f>
        <v>0</v>
      </c>
      <c r="AE104" s="49">
        <f>資料儲存!F3320</f>
        <v>0</v>
      </c>
      <c r="AF104" s="49">
        <f>資料儲存!G3320</f>
        <v>0</v>
      </c>
      <c r="AG104" s="49">
        <f>資料儲存!H3320</f>
        <v>0</v>
      </c>
      <c r="AH104" s="49">
        <f>資料儲存!I3320</f>
        <v>0</v>
      </c>
      <c r="AI104" s="49">
        <f>資料儲存!J3320</f>
        <v>0</v>
      </c>
      <c r="AJ104" s="52"/>
      <c r="AK104" s="70">
        <v>19</v>
      </c>
      <c r="AL104" s="49">
        <f>資料儲存!D3440</f>
        <v>0</v>
      </c>
      <c r="AM104" s="49">
        <f>資料儲存!E3440</f>
        <v>0</v>
      </c>
      <c r="AN104" s="49">
        <f>資料儲存!F3440</f>
        <v>0</v>
      </c>
      <c r="AO104" s="49">
        <f>資料儲存!G3440</f>
        <v>0</v>
      </c>
      <c r="AP104" s="49">
        <f>資料儲存!H3440</f>
        <v>0</v>
      </c>
      <c r="AQ104" s="49">
        <f>資料儲存!I3440</f>
        <v>0</v>
      </c>
      <c r="AR104" s="49">
        <f>資料儲存!J3440</f>
        <v>0</v>
      </c>
      <c r="AT104" s="70">
        <v>19</v>
      </c>
      <c r="AU104" s="49">
        <f>資料儲存!D3560</f>
        <v>0</v>
      </c>
      <c r="AV104" s="49">
        <f>資料儲存!E3560</f>
        <v>0</v>
      </c>
      <c r="AW104" s="49">
        <f>資料儲存!F3560</f>
        <v>0</v>
      </c>
      <c r="AX104" s="49">
        <f>資料儲存!G3560</f>
        <v>0</v>
      </c>
      <c r="AY104" s="49">
        <f>資料儲存!H3560</f>
        <v>0</v>
      </c>
      <c r="AZ104" s="49">
        <f>資料儲存!I3560</f>
        <v>0</v>
      </c>
      <c r="BA104" s="49">
        <f>資料儲存!J3560</f>
        <v>0</v>
      </c>
    </row>
    <row r="105" spans="1:53" s="67" customFormat="1" ht="16" thickBot="1">
      <c r="A105" s="70">
        <v>20</v>
      </c>
      <c r="B105" s="49">
        <f>資料儲存!D2961</f>
        <v>0</v>
      </c>
      <c r="C105" s="49">
        <f>資料儲存!E2961</f>
        <v>0</v>
      </c>
      <c r="D105" s="49">
        <f>資料儲存!F2961</f>
        <v>0</v>
      </c>
      <c r="E105" s="49">
        <f>資料儲存!G2961</f>
        <v>0</v>
      </c>
      <c r="F105" s="49">
        <f>資料儲存!H2961</f>
        <v>0</v>
      </c>
      <c r="G105" s="49">
        <f>資料儲存!I2961</f>
        <v>0</v>
      </c>
      <c r="H105" s="49">
        <f>資料儲存!J2961</f>
        <v>0</v>
      </c>
      <c r="I105" s="52"/>
      <c r="J105" s="70">
        <v>20</v>
      </c>
      <c r="K105" s="49">
        <f>資料儲存!D3081</f>
        <v>0</v>
      </c>
      <c r="L105" s="49">
        <f>資料儲存!E3081</f>
        <v>0</v>
      </c>
      <c r="M105" s="49">
        <f>資料儲存!F3081</f>
        <v>0</v>
      </c>
      <c r="N105" s="49">
        <f>資料儲存!G3081</f>
        <v>0</v>
      </c>
      <c r="O105" s="49">
        <f>資料儲存!H3081</f>
        <v>0</v>
      </c>
      <c r="P105" s="49">
        <f>資料儲存!I3081</f>
        <v>0</v>
      </c>
      <c r="Q105" s="49">
        <f>資料儲存!J3081</f>
        <v>0</v>
      </c>
      <c r="R105" s="52"/>
      <c r="S105" s="70">
        <v>20</v>
      </c>
      <c r="T105" s="49">
        <f>資料儲存!D3201</f>
        <v>0</v>
      </c>
      <c r="U105" s="49">
        <f>資料儲存!E3201</f>
        <v>0</v>
      </c>
      <c r="V105" s="49">
        <f>資料儲存!F3201</f>
        <v>0</v>
      </c>
      <c r="W105" s="49">
        <f>資料儲存!G3201</f>
        <v>0</v>
      </c>
      <c r="X105" s="49">
        <f>資料儲存!H3201</f>
        <v>0</v>
      </c>
      <c r="Y105" s="49">
        <f>資料儲存!I3201</f>
        <v>0</v>
      </c>
      <c r="Z105" s="49">
        <f>資料儲存!J3201</f>
        <v>0</v>
      </c>
      <c r="AA105" s="52"/>
      <c r="AB105" s="70">
        <v>20</v>
      </c>
      <c r="AC105" s="49">
        <f>資料儲存!D3321</f>
        <v>0</v>
      </c>
      <c r="AD105" s="49">
        <f>資料儲存!E3321</f>
        <v>0</v>
      </c>
      <c r="AE105" s="49">
        <f>資料儲存!F3321</f>
        <v>0</v>
      </c>
      <c r="AF105" s="49">
        <f>資料儲存!G3321</f>
        <v>0</v>
      </c>
      <c r="AG105" s="49">
        <f>資料儲存!H3321</f>
        <v>0</v>
      </c>
      <c r="AH105" s="49">
        <f>資料儲存!I3321</f>
        <v>0</v>
      </c>
      <c r="AI105" s="49">
        <f>資料儲存!J3321</f>
        <v>0</v>
      </c>
      <c r="AJ105" s="52"/>
      <c r="AK105" s="70">
        <v>20</v>
      </c>
      <c r="AL105" s="49">
        <f>資料儲存!D3441</f>
        <v>0</v>
      </c>
      <c r="AM105" s="49">
        <f>資料儲存!E3441</f>
        <v>0</v>
      </c>
      <c r="AN105" s="49">
        <f>資料儲存!F3441</f>
        <v>0</v>
      </c>
      <c r="AO105" s="49">
        <f>資料儲存!G3441</f>
        <v>0</v>
      </c>
      <c r="AP105" s="49">
        <f>資料儲存!H3441</f>
        <v>0</v>
      </c>
      <c r="AQ105" s="49">
        <f>資料儲存!I3441</f>
        <v>0</v>
      </c>
      <c r="AR105" s="49">
        <f>資料儲存!J3441</f>
        <v>0</v>
      </c>
      <c r="AT105" s="70">
        <v>20</v>
      </c>
      <c r="AU105" s="49">
        <f>資料儲存!D3561</f>
        <v>0</v>
      </c>
      <c r="AV105" s="49">
        <f>資料儲存!E3561</f>
        <v>0</v>
      </c>
      <c r="AW105" s="49">
        <f>資料儲存!F3561</f>
        <v>0</v>
      </c>
      <c r="AX105" s="49">
        <f>資料儲存!G3561</f>
        <v>0</v>
      </c>
      <c r="AY105" s="49">
        <f>資料儲存!H3561</f>
        <v>0</v>
      </c>
      <c r="AZ105" s="49">
        <f>資料儲存!I3561</f>
        <v>0</v>
      </c>
      <c r="BA105" s="49">
        <f>資料儲存!J3561</f>
        <v>0</v>
      </c>
    </row>
    <row r="106" spans="1:53" s="67" customFormat="1" ht="16" thickBot="1">
      <c r="A106" s="70">
        <v>21</v>
      </c>
      <c r="B106" s="49">
        <f>資料儲存!D2962</f>
        <v>0</v>
      </c>
      <c r="C106" s="49">
        <f>資料儲存!E2962</f>
        <v>0</v>
      </c>
      <c r="D106" s="49">
        <f>資料儲存!F2962</f>
        <v>0</v>
      </c>
      <c r="E106" s="49">
        <f>資料儲存!G2962</f>
        <v>0</v>
      </c>
      <c r="F106" s="49">
        <f>資料儲存!H2962</f>
        <v>0</v>
      </c>
      <c r="G106" s="49">
        <f>資料儲存!I2962</f>
        <v>0</v>
      </c>
      <c r="H106" s="49">
        <f>資料儲存!J2962</f>
        <v>0</v>
      </c>
      <c r="I106" s="52"/>
      <c r="J106" s="70">
        <v>21</v>
      </c>
      <c r="K106" s="49">
        <f>資料儲存!D3082</f>
        <v>0</v>
      </c>
      <c r="L106" s="49">
        <f>資料儲存!E3082</f>
        <v>0</v>
      </c>
      <c r="M106" s="49">
        <f>資料儲存!F3082</f>
        <v>0</v>
      </c>
      <c r="N106" s="49">
        <f>資料儲存!G3082</f>
        <v>0</v>
      </c>
      <c r="O106" s="49">
        <f>資料儲存!H3082</f>
        <v>0</v>
      </c>
      <c r="P106" s="49">
        <f>資料儲存!I3082</f>
        <v>0</v>
      </c>
      <c r="Q106" s="49">
        <f>資料儲存!J3082</f>
        <v>0</v>
      </c>
      <c r="R106" s="52"/>
      <c r="S106" s="70">
        <v>21</v>
      </c>
      <c r="T106" s="49">
        <f>資料儲存!D3202</f>
        <v>0</v>
      </c>
      <c r="U106" s="49">
        <f>資料儲存!E3202</f>
        <v>0</v>
      </c>
      <c r="V106" s="49">
        <f>資料儲存!F3202</f>
        <v>0</v>
      </c>
      <c r="W106" s="49">
        <f>資料儲存!G3202</f>
        <v>0</v>
      </c>
      <c r="X106" s="49">
        <f>資料儲存!H3202</f>
        <v>0</v>
      </c>
      <c r="Y106" s="49">
        <f>資料儲存!I3202</f>
        <v>0</v>
      </c>
      <c r="Z106" s="49">
        <f>資料儲存!J3202</f>
        <v>0</v>
      </c>
      <c r="AA106" s="52"/>
      <c r="AB106" s="70">
        <v>21</v>
      </c>
      <c r="AC106" s="49">
        <f>資料儲存!D3322</f>
        <v>0</v>
      </c>
      <c r="AD106" s="49">
        <f>資料儲存!E3322</f>
        <v>0</v>
      </c>
      <c r="AE106" s="49">
        <f>資料儲存!F3322</f>
        <v>0</v>
      </c>
      <c r="AF106" s="49">
        <f>資料儲存!G3322</f>
        <v>0</v>
      </c>
      <c r="AG106" s="49">
        <f>資料儲存!H3322</f>
        <v>0</v>
      </c>
      <c r="AH106" s="49">
        <f>資料儲存!I3322</f>
        <v>0</v>
      </c>
      <c r="AI106" s="49">
        <f>資料儲存!J3322</f>
        <v>0</v>
      </c>
      <c r="AJ106" s="52"/>
      <c r="AK106" s="70">
        <v>21</v>
      </c>
      <c r="AL106" s="49">
        <f>資料儲存!D3442</f>
        <v>0</v>
      </c>
      <c r="AM106" s="49">
        <f>資料儲存!E3442</f>
        <v>0</v>
      </c>
      <c r="AN106" s="49">
        <f>資料儲存!F3442</f>
        <v>0</v>
      </c>
      <c r="AO106" s="49">
        <f>資料儲存!G3442</f>
        <v>0</v>
      </c>
      <c r="AP106" s="49">
        <f>資料儲存!H3442</f>
        <v>0</v>
      </c>
      <c r="AQ106" s="49">
        <f>資料儲存!I3442</f>
        <v>0</v>
      </c>
      <c r="AR106" s="49">
        <f>資料儲存!J3442</f>
        <v>0</v>
      </c>
      <c r="AT106" s="70">
        <v>21</v>
      </c>
      <c r="AU106" s="49">
        <f>資料儲存!D3562</f>
        <v>0</v>
      </c>
      <c r="AV106" s="49">
        <f>資料儲存!E3562</f>
        <v>0</v>
      </c>
      <c r="AW106" s="49">
        <f>資料儲存!F3562</f>
        <v>0</v>
      </c>
      <c r="AX106" s="49">
        <f>資料儲存!G3562</f>
        <v>0</v>
      </c>
      <c r="AY106" s="49">
        <f>資料儲存!H3562</f>
        <v>0</v>
      </c>
      <c r="AZ106" s="49">
        <f>資料儲存!I3562</f>
        <v>0</v>
      </c>
      <c r="BA106" s="49">
        <f>資料儲存!J3562</f>
        <v>0</v>
      </c>
    </row>
    <row r="107" spans="1:53" s="67" customFormat="1" ht="16" thickBot="1">
      <c r="A107" s="70">
        <v>22</v>
      </c>
      <c r="B107" s="49">
        <f>資料儲存!D2963</f>
        <v>0</v>
      </c>
      <c r="C107" s="49">
        <f>資料儲存!E2963</f>
        <v>0</v>
      </c>
      <c r="D107" s="49">
        <f>資料儲存!F2963</f>
        <v>0</v>
      </c>
      <c r="E107" s="49">
        <f>資料儲存!G2963</f>
        <v>0</v>
      </c>
      <c r="F107" s="49">
        <f>資料儲存!H2963</f>
        <v>0</v>
      </c>
      <c r="G107" s="49">
        <f>資料儲存!I2963</f>
        <v>0</v>
      </c>
      <c r="H107" s="49">
        <f>資料儲存!J2963</f>
        <v>0</v>
      </c>
      <c r="I107" s="52"/>
      <c r="J107" s="70">
        <v>22</v>
      </c>
      <c r="K107" s="49">
        <f>資料儲存!D3083</f>
        <v>0</v>
      </c>
      <c r="L107" s="49">
        <f>資料儲存!E3083</f>
        <v>0</v>
      </c>
      <c r="M107" s="49">
        <f>資料儲存!F3083</f>
        <v>0</v>
      </c>
      <c r="N107" s="49">
        <f>資料儲存!G3083</f>
        <v>0</v>
      </c>
      <c r="O107" s="49">
        <f>資料儲存!H3083</f>
        <v>0</v>
      </c>
      <c r="P107" s="49">
        <f>資料儲存!I3083</f>
        <v>0</v>
      </c>
      <c r="Q107" s="49">
        <f>資料儲存!J3083</f>
        <v>0</v>
      </c>
      <c r="R107" s="52"/>
      <c r="S107" s="70">
        <v>22</v>
      </c>
      <c r="T107" s="49">
        <f>資料儲存!D3203</f>
        <v>0</v>
      </c>
      <c r="U107" s="49">
        <f>資料儲存!E3203</f>
        <v>0</v>
      </c>
      <c r="V107" s="49">
        <f>資料儲存!F3203</f>
        <v>0</v>
      </c>
      <c r="W107" s="49">
        <f>資料儲存!G3203</f>
        <v>0</v>
      </c>
      <c r="X107" s="49">
        <f>資料儲存!H3203</f>
        <v>0</v>
      </c>
      <c r="Y107" s="49">
        <f>資料儲存!I3203</f>
        <v>0</v>
      </c>
      <c r="Z107" s="49">
        <f>資料儲存!J3203</f>
        <v>0</v>
      </c>
      <c r="AA107" s="52"/>
      <c r="AB107" s="70">
        <v>22</v>
      </c>
      <c r="AC107" s="49">
        <f>資料儲存!D3323</f>
        <v>0</v>
      </c>
      <c r="AD107" s="49">
        <f>資料儲存!E3323</f>
        <v>0</v>
      </c>
      <c r="AE107" s="49">
        <f>資料儲存!F3323</f>
        <v>0</v>
      </c>
      <c r="AF107" s="49">
        <f>資料儲存!G3323</f>
        <v>0</v>
      </c>
      <c r="AG107" s="49">
        <f>資料儲存!H3323</f>
        <v>0</v>
      </c>
      <c r="AH107" s="49">
        <f>資料儲存!I3323</f>
        <v>0</v>
      </c>
      <c r="AI107" s="49">
        <f>資料儲存!J3323</f>
        <v>0</v>
      </c>
      <c r="AJ107" s="52"/>
      <c r="AK107" s="70">
        <v>22</v>
      </c>
      <c r="AL107" s="49">
        <f>資料儲存!D3443</f>
        <v>0</v>
      </c>
      <c r="AM107" s="49">
        <f>資料儲存!E3443</f>
        <v>0</v>
      </c>
      <c r="AN107" s="49">
        <f>資料儲存!F3443</f>
        <v>0</v>
      </c>
      <c r="AO107" s="49">
        <f>資料儲存!G3443</f>
        <v>0</v>
      </c>
      <c r="AP107" s="49">
        <f>資料儲存!H3443</f>
        <v>0</v>
      </c>
      <c r="AQ107" s="49">
        <f>資料儲存!I3443</f>
        <v>0</v>
      </c>
      <c r="AR107" s="49">
        <f>資料儲存!J3443</f>
        <v>0</v>
      </c>
      <c r="AT107" s="70">
        <v>22</v>
      </c>
      <c r="AU107" s="49">
        <f>資料儲存!D3563</f>
        <v>0</v>
      </c>
      <c r="AV107" s="49">
        <f>資料儲存!E3563</f>
        <v>0</v>
      </c>
      <c r="AW107" s="49">
        <f>資料儲存!F3563</f>
        <v>0</v>
      </c>
      <c r="AX107" s="49">
        <f>資料儲存!G3563</f>
        <v>0</v>
      </c>
      <c r="AY107" s="49">
        <f>資料儲存!H3563</f>
        <v>0</v>
      </c>
      <c r="AZ107" s="49">
        <f>資料儲存!I3563</f>
        <v>0</v>
      </c>
      <c r="BA107" s="49">
        <f>資料儲存!J3563</f>
        <v>0</v>
      </c>
    </row>
    <row r="108" spans="1:53" s="67" customFormat="1" ht="16" thickBot="1">
      <c r="A108" s="70">
        <v>23</v>
      </c>
      <c r="B108" s="49">
        <f>資料儲存!D2964</f>
        <v>0</v>
      </c>
      <c r="C108" s="49">
        <f>資料儲存!E2964</f>
        <v>0</v>
      </c>
      <c r="D108" s="49">
        <f>資料儲存!F2964</f>
        <v>0</v>
      </c>
      <c r="E108" s="49">
        <f>資料儲存!G2964</f>
        <v>0</v>
      </c>
      <c r="F108" s="49">
        <f>資料儲存!H2964</f>
        <v>0</v>
      </c>
      <c r="G108" s="49">
        <f>資料儲存!I2964</f>
        <v>0</v>
      </c>
      <c r="H108" s="49">
        <f>資料儲存!J2964</f>
        <v>0</v>
      </c>
      <c r="I108" s="52"/>
      <c r="J108" s="70">
        <v>23</v>
      </c>
      <c r="K108" s="49">
        <f>資料儲存!D3084</f>
        <v>0</v>
      </c>
      <c r="L108" s="49">
        <f>資料儲存!E3084</f>
        <v>0</v>
      </c>
      <c r="M108" s="49">
        <f>資料儲存!F3084</f>
        <v>0</v>
      </c>
      <c r="N108" s="49">
        <f>資料儲存!G3084</f>
        <v>0</v>
      </c>
      <c r="O108" s="49">
        <f>資料儲存!H3084</f>
        <v>0</v>
      </c>
      <c r="P108" s="49">
        <f>資料儲存!I3084</f>
        <v>0</v>
      </c>
      <c r="Q108" s="49">
        <f>資料儲存!J3084</f>
        <v>0</v>
      </c>
      <c r="R108" s="52"/>
      <c r="S108" s="70">
        <v>23</v>
      </c>
      <c r="T108" s="49">
        <f>資料儲存!D3204</f>
        <v>0</v>
      </c>
      <c r="U108" s="49">
        <f>資料儲存!E3204</f>
        <v>0</v>
      </c>
      <c r="V108" s="49">
        <f>資料儲存!F3204</f>
        <v>0</v>
      </c>
      <c r="W108" s="49">
        <f>資料儲存!G3204</f>
        <v>0</v>
      </c>
      <c r="X108" s="49">
        <f>資料儲存!H3204</f>
        <v>0</v>
      </c>
      <c r="Y108" s="49">
        <f>資料儲存!I3204</f>
        <v>0</v>
      </c>
      <c r="Z108" s="49">
        <f>資料儲存!J3204</f>
        <v>0</v>
      </c>
      <c r="AA108" s="52"/>
      <c r="AB108" s="70">
        <v>23</v>
      </c>
      <c r="AC108" s="49">
        <f>資料儲存!D3324</f>
        <v>0</v>
      </c>
      <c r="AD108" s="49">
        <f>資料儲存!E3324</f>
        <v>0</v>
      </c>
      <c r="AE108" s="49">
        <f>資料儲存!F3324</f>
        <v>0</v>
      </c>
      <c r="AF108" s="49">
        <f>資料儲存!G3324</f>
        <v>0</v>
      </c>
      <c r="AG108" s="49">
        <f>資料儲存!H3324</f>
        <v>0</v>
      </c>
      <c r="AH108" s="49">
        <f>資料儲存!I3324</f>
        <v>0</v>
      </c>
      <c r="AI108" s="49">
        <f>資料儲存!J3324</f>
        <v>0</v>
      </c>
      <c r="AJ108" s="52"/>
      <c r="AK108" s="70">
        <v>23</v>
      </c>
      <c r="AL108" s="49">
        <f>資料儲存!D3444</f>
        <v>0</v>
      </c>
      <c r="AM108" s="49">
        <f>資料儲存!E3444</f>
        <v>0</v>
      </c>
      <c r="AN108" s="49">
        <f>資料儲存!F3444</f>
        <v>0</v>
      </c>
      <c r="AO108" s="49">
        <f>資料儲存!G3444</f>
        <v>0</v>
      </c>
      <c r="AP108" s="49">
        <f>資料儲存!H3444</f>
        <v>0</v>
      </c>
      <c r="AQ108" s="49">
        <f>資料儲存!I3444</f>
        <v>0</v>
      </c>
      <c r="AR108" s="49">
        <f>資料儲存!J3444</f>
        <v>0</v>
      </c>
      <c r="AT108" s="70">
        <v>23</v>
      </c>
      <c r="AU108" s="49">
        <f>資料儲存!D3564</f>
        <v>0</v>
      </c>
      <c r="AV108" s="49">
        <f>資料儲存!E3564</f>
        <v>0</v>
      </c>
      <c r="AW108" s="49">
        <f>資料儲存!F3564</f>
        <v>0</v>
      </c>
      <c r="AX108" s="49">
        <f>資料儲存!G3564</f>
        <v>0</v>
      </c>
      <c r="AY108" s="49">
        <f>資料儲存!H3564</f>
        <v>0</v>
      </c>
      <c r="AZ108" s="49">
        <f>資料儲存!I3564</f>
        <v>0</v>
      </c>
      <c r="BA108" s="49">
        <f>資料儲存!J3564</f>
        <v>0</v>
      </c>
    </row>
    <row r="109" spans="1:53" s="67" customFormat="1" ht="16" thickBot="1">
      <c r="A109" s="70">
        <v>24</v>
      </c>
      <c r="B109" s="49">
        <f>資料儲存!D2965</f>
        <v>0</v>
      </c>
      <c r="C109" s="49">
        <f>資料儲存!E2965</f>
        <v>0</v>
      </c>
      <c r="D109" s="49">
        <f>資料儲存!F2965</f>
        <v>0</v>
      </c>
      <c r="E109" s="49">
        <f>資料儲存!G2965</f>
        <v>0</v>
      </c>
      <c r="F109" s="49">
        <f>資料儲存!H2965</f>
        <v>0</v>
      </c>
      <c r="G109" s="49">
        <f>資料儲存!I2965</f>
        <v>0</v>
      </c>
      <c r="H109" s="49">
        <f>資料儲存!J2965</f>
        <v>0</v>
      </c>
      <c r="I109" s="52"/>
      <c r="J109" s="70">
        <v>24</v>
      </c>
      <c r="K109" s="49">
        <f>資料儲存!D3085</f>
        <v>0</v>
      </c>
      <c r="L109" s="49">
        <f>資料儲存!E3085</f>
        <v>0</v>
      </c>
      <c r="M109" s="49">
        <f>資料儲存!F3085</f>
        <v>0</v>
      </c>
      <c r="N109" s="49">
        <f>資料儲存!G3085</f>
        <v>0</v>
      </c>
      <c r="O109" s="49">
        <f>資料儲存!H3085</f>
        <v>0</v>
      </c>
      <c r="P109" s="49">
        <f>資料儲存!I3085</f>
        <v>0</v>
      </c>
      <c r="Q109" s="49">
        <f>資料儲存!J3085</f>
        <v>0</v>
      </c>
      <c r="R109" s="52"/>
      <c r="S109" s="70">
        <v>24</v>
      </c>
      <c r="T109" s="49">
        <f>資料儲存!D3205</f>
        <v>0</v>
      </c>
      <c r="U109" s="49">
        <f>資料儲存!E3205</f>
        <v>0</v>
      </c>
      <c r="V109" s="49">
        <f>資料儲存!F3205</f>
        <v>0</v>
      </c>
      <c r="W109" s="49">
        <f>資料儲存!G3205</f>
        <v>0</v>
      </c>
      <c r="X109" s="49">
        <f>資料儲存!H3205</f>
        <v>0</v>
      </c>
      <c r="Y109" s="49">
        <f>資料儲存!I3205</f>
        <v>0</v>
      </c>
      <c r="Z109" s="49">
        <f>資料儲存!J3205</f>
        <v>0</v>
      </c>
      <c r="AA109" s="52"/>
      <c r="AB109" s="70">
        <v>24</v>
      </c>
      <c r="AC109" s="49">
        <f>資料儲存!D3325</f>
        <v>0</v>
      </c>
      <c r="AD109" s="49">
        <f>資料儲存!E3325</f>
        <v>0</v>
      </c>
      <c r="AE109" s="49">
        <f>資料儲存!F3325</f>
        <v>0</v>
      </c>
      <c r="AF109" s="49">
        <f>資料儲存!G3325</f>
        <v>0</v>
      </c>
      <c r="AG109" s="49">
        <f>資料儲存!H3325</f>
        <v>0</v>
      </c>
      <c r="AH109" s="49">
        <f>資料儲存!I3325</f>
        <v>0</v>
      </c>
      <c r="AI109" s="49">
        <f>資料儲存!J3325</f>
        <v>0</v>
      </c>
      <c r="AJ109" s="52"/>
      <c r="AK109" s="70">
        <v>24</v>
      </c>
      <c r="AL109" s="49">
        <f>資料儲存!D3445</f>
        <v>0</v>
      </c>
      <c r="AM109" s="49">
        <f>資料儲存!E3445</f>
        <v>0</v>
      </c>
      <c r="AN109" s="49">
        <f>資料儲存!F3445</f>
        <v>0</v>
      </c>
      <c r="AO109" s="49">
        <f>資料儲存!G3445</f>
        <v>0</v>
      </c>
      <c r="AP109" s="49">
        <f>資料儲存!H3445</f>
        <v>0</v>
      </c>
      <c r="AQ109" s="49">
        <f>資料儲存!I3445</f>
        <v>0</v>
      </c>
      <c r="AR109" s="49">
        <f>資料儲存!J3445</f>
        <v>0</v>
      </c>
      <c r="AT109" s="70">
        <v>24</v>
      </c>
      <c r="AU109" s="49">
        <f>資料儲存!D3565</f>
        <v>0</v>
      </c>
      <c r="AV109" s="49">
        <f>資料儲存!E3565</f>
        <v>0</v>
      </c>
      <c r="AW109" s="49">
        <f>資料儲存!F3565</f>
        <v>0</v>
      </c>
      <c r="AX109" s="49">
        <f>資料儲存!G3565</f>
        <v>0</v>
      </c>
      <c r="AY109" s="49">
        <f>資料儲存!H3565</f>
        <v>0</v>
      </c>
      <c r="AZ109" s="49">
        <f>資料儲存!I3565</f>
        <v>0</v>
      </c>
      <c r="BA109" s="49">
        <f>資料儲存!J3565</f>
        <v>0</v>
      </c>
    </row>
    <row r="110" spans="1:53" s="67" customFormat="1" ht="16" thickBot="1">
      <c r="A110" s="70">
        <v>25</v>
      </c>
      <c r="B110" s="49">
        <f>資料儲存!D2966</f>
        <v>0</v>
      </c>
      <c r="C110" s="49">
        <f>資料儲存!E2966</f>
        <v>0</v>
      </c>
      <c r="D110" s="49">
        <f>資料儲存!F2966</f>
        <v>0</v>
      </c>
      <c r="E110" s="49">
        <f>資料儲存!G2966</f>
        <v>0</v>
      </c>
      <c r="F110" s="49">
        <f>資料儲存!H2966</f>
        <v>0</v>
      </c>
      <c r="G110" s="49">
        <f>資料儲存!I2966</f>
        <v>0</v>
      </c>
      <c r="H110" s="49">
        <f>資料儲存!J2966</f>
        <v>0</v>
      </c>
      <c r="I110" s="52"/>
      <c r="J110" s="70">
        <v>25</v>
      </c>
      <c r="K110" s="49">
        <f>資料儲存!D3086</f>
        <v>0</v>
      </c>
      <c r="L110" s="49">
        <f>資料儲存!E3086</f>
        <v>0</v>
      </c>
      <c r="M110" s="49">
        <f>資料儲存!F3086</f>
        <v>0</v>
      </c>
      <c r="N110" s="49">
        <f>資料儲存!G3086</f>
        <v>0</v>
      </c>
      <c r="O110" s="49">
        <f>資料儲存!H3086</f>
        <v>0</v>
      </c>
      <c r="P110" s="49">
        <f>資料儲存!I3086</f>
        <v>0</v>
      </c>
      <c r="Q110" s="49">
        <f>資料儲存!J3086</f>
        <v>0</v>
      </c>
      <c r="R110" s="52"/>
      <c r="S110" s="70">
        <v>25</v>
      </c>
      <c r="T110" s="49">
        <f>資料儲存!D3206</f>
        <v>0</v>
      </c>
      <c r="U110" s="49">
        <f>資料儲存!E3206</f>
        <v>0</v>
      </c>
      <c r="V110" s="49">
        <f>資料儲存!F3206</f>
        <v>0</v>
      </c>
      <c r="W110" s="49">
        <f>資料儲存!G3206</f>
        <v>0</v>
      </c>
      <c r="X110" s="49">
        <f>資料儲存!H3206</f>
        <v>0</v>
      </c>
      <c r="Y110" s="49">
        <f>資料儲存!I3206</f>
        <v>0</v>
      </c>
      <c r="Z110" s="49">
        <f>資料儲存!J3206</f>
        <v>0</v>
      </c>
      <c r="AA110" s="52"/>
      <c r="AB110" s="70">
        <v>25</v>
      </c>
      <c r="AC110" s="49">
        <f>資料儲存!D3326</f>
        <v>0</v>
      </c>
      <c r="AD110" s="49">
        <f>資料儲存!E3326</f>
        <v>0</v>
      </c>
      <c r="AE110" s="49">
        <f>資料儲存!F3326</f>
        <v>0</v>
      </c>
      <c r="AF110" s="49">
        <f>資料儲存!G3326</f>
        <v>0</v>
      </c>
      <c r="AG110" s="49">
        <f>資料儲存!H3326</f>
        <v>0</v>
      </c>
      <c r="AH110" s="49">
        <f>資料儲存!I3326</f>
        <v>0</v>
      </c>
      <c r="AI110" s="49">
        <f>資料儲存!J3326</f>
        <v>0</v>
      </c>
      <c r="AJ110" s="52"/>
      <c r="AK110" s="70">
        <v>25</v>
      </c>
      <c r="AL110" s="49">
        <f>資料儲存!D3446</f>
        <v>0</v>
      </c>
      <c r="AM110" s="49">
        <f>資料儲存!E3446</f>
        <v>0</v>
      </c>
      <c r="AN110" s="49">
        <f>資料儲存!F3446</f>
        <v>0</v>
      </c>
      <c r="AO110" s="49">
        <f>資料儲存!G3446</f>
        <v>0</v>
      </c>
      <c r="AP110" s="49">
        <f>資料儲存!H3446</f>
        <v>0</v>
      </c>
      <c r="AQ110" s="49">
        <f>資料儲存!I3446</f>
        <v>0</v>
      </c>
      <c r="AR110" s="49">
        <f>資料儲存!J3446</f>
        <v>0</v>
      </c>
      <c r="AT110" s="70">
        <v>25</v>
      </c>
      <c r="AU110" s="49">
        <f>資料儲存!D3566</f>
        <v>0</v>
      </c>
      <c r="AV110" s="49">
        <f>資料儲存!E3566</f>
        <v>0</v>
      </c>
      <c r="AW110" s="49">
        <f>資料儲存!F3566</f>
        <v>0</v>
      </c>
      <c r="AX110" s="49">
        <f>資料儲存!G3566</f>
        <v>0</v>
      </c>
      <c r="AY110" s="49">
        <f>資料儲存!H3566</f>
        <v>0</v>
      </c>
      <c r="AZ110" s="49">
        <f>資料儲存!I3566</f>
        <v>0</v>
      </c>
      <c r="BA110" s="49">
        <f>資料儲存!J3566</f>
        <v>0</v>
      </c>
    </row>
    <row r="111" spans="1:53" s="67" customFormat="1" ht="16" thickBot="1">
      <c r="A111" s="70">
        <v>26</v>
      </c>
      <c r="B111" s="49">
        <f>資料儲存!D2967</f>
        <v>0</v>
      </c>
      <c r="C111" s="49">
        <f>資料儲存!E2967</f>
        <v>0</v>
      </c>
      <c r="D111" s="49">
        <f>資料儲存!F2967</f>
        <v>0</v>
      </c>
      <c r="E111" s="49">
        <f>資料儲存!G2967</f>
        <v>0</v>
      </c>
      <c r="F111" s="49">
        <f>資料儲存!H2967</f>
        <v>0</v>
      </c>
      <c r="G111" s="49">
        <f>資料儲存!I2967</f>
        <v>0</v>
      </c>
      <c r="H111" s="49">
        <f>資料儲存!J2967</f>
        <v>0</v>
      </c>
      <c r="I111" s="52"/>
      <c r="J111" s="70">
        <v>26</v>
      </c>
      <c r="K111" s="49">
        <f>資料儲存!D3087</f>
        <v>0</v>
      </c>
      <c r="L111" s="49">
        <f>資料儲存!E3087</f>
        <v>0</v>
      </c>
      <c r="M111" s="49">
        <f>資料儲存!F3087</f>
        <v>0</v>
      </c>
      <c r="N111" s="49">
        <f>資料儲存!G3087</f>
        <v>0</v>
      </c>
      <c r="O111" s="49">
        <f>資料儲存!H3087</f>
        <v>0</v>
      </c>
      <c r="P111" s="49">
        <f>資料儲存!I3087</f>
        <v>0</v>
      </c>
      <c r="Q111" s="49">
        <f>資料儲存!J3087</f>
        <v>0</v>
      </c>
      <c r="R111" s="52"/>
      <c r="S111" s="70">
        <v>26</v>
      </c>
      <c r="T111" s="49">
        <f>資料儲存!D3207</f>
        <v>0</v>
      </c>
      <c r="U111" s="49">
        <f>資料儲存!E3207</f>
        <v>0</v>
      </c>
      <c r="V111" s="49">
        <f>資料儲存!F3207</f>
        <v>0</v>
      </c>
      <c r="W111" s="49">
        <f>資料儲存!G3207</f>
        <v>0</v>
      </c>
      <c r="X111" s="49">
        <f>資料儲存!H3207</f>
        <v>0</v>
      </c>
      <c r="Y111" s="49">
        <f>資料儲存!I3207</f>
        <v>0</v>
      </c>
      <c r="Z111" s="49">
        <f>資料儲存!J3207</f>
        <v>0</v>
      </c>
      <c r="AA111" s="52"/>
      <c r="AB111" s="70">
        <v>26</v>
      </c>
      <c r="AC111" s="49">
        <f>資料儲存!D3327</f>
        <v>0</v>
      </c>
      <c r="AD111" s="49">
        <f>資料儲存!E3327</f>
        <v>0</v>
      </c>
      <c r="AE111" s="49">
        <f>資料儲存!F3327</f>
        <v>0</v>
      </c>
      <c r="AF111" s="49">
        <f>資料儲存!G3327</f>
        <v>0</v>
      </c>
      <c r="AG111" s="49">
        <f>資料儲存!H3327</f>
        <v>0</v>
      </c>
      <c r="AH111" s="49">
        <f>資料儲存!I3327</f>
        <v>0</v>
      </c>
      <c r="AI111" s="49">
        <f>資料儲存!J3327</f>
        <v>0</v>
      </c>
      <c r="AJ111" s="52"/>
      <c r="AK111" s="70">
        <v>26</v>
      </c>
      <c r="AL111" s="49">
        <f>資料儲存!D3447</f>
        <v>0</v>
      </c>
      <c r="AM111" s="49">
        <f>資料儲存!E3447</f>
        <v>0</v>
      </c>
      <c r="AN111" s="49">
        <f>資料儲存!F3447</f>
        <v>0</v>
      </c>
      <c r="AO111" s="49">
        <f>資料儲存!G3447</f>
        <v>0</v>
      </c>
      <c r="AP111" s="49">
        <f>資料儲存!H3447</f>
        <v>0</v>
      </c>
      <c r="AQ111" s="49">
        <f>資料儲存!I3447</f>
        <v>0</v>
      </c>
      <c r="AR111" s="49">
        <f>資料儲存!J3447</f>
        <v>0</v>
      </c>
      <c r="AT111" s="70">
        <v>26</v>
      </c>
      <c r="AU111" s="49">
        <f>資料儲存!D3567</f>
        <v>0</v>
      </c>
      <c r="AV111" s="49">
        <f>資料儲存!E3567</f>
        <v>0</v>
      </c>
      <c r="AW111" s="49">
        <f>資料儲存!F3567</f>
        <v>0</v>
      </c>
      <c r="AX111" s="49">
        <f>資料儲存!G3567</f>
        <v>0</v>
      </c>
      <c r="AY111" s="49">
        <f>資料儲存!H3567</f>
        <v>0</v>
      </c>
      <c r="AZ111" s="49">
        <f>資料儲存!I3567</f>
        <v>0</v>
      </c>
      <c r="BA111" s="49">
        <f>資料儲存!J3567</f>
        <v>0</v>
      </c>
    </row>
    <row r="112" spans="1:53" s="67" customFormat="1" ht="16" thickBot="1">
      <c r="A112" s="70">
        <v>27</v>
      </c>
      <c r="B112" s="49">
        <f>資料儲存!D2968</f>
        <v>0</v>
      </c>
      <c r="C112" s="49">
        <f>資料儲存!E2968</f>
        <v>0</v>
      </c>
      <c r="D112" s="49">
        <f>資料儲存!F2968</f>
        <v>0</v>
      </c>
      <c r="E112" s="49">
        <f>資料儲存!G2968</f>
        <v>0</v>
      </c>
      <c r="F112" s="49">
        <f>資料儲存!H2968</f>
        <v>0</v>
      </c>
      <c r="G112" s="49">
        <f>資料儲存!I2968</f>
        <v>0</v>
      </c>
      <c r="H112" s="49">
        <f>資料儲存!J2968</f>
        <v>0</v>
      </c>
      <c r="I112" s="52"/>
      <c r="J112" s="70">
        <v>27</v>
      </c>
      <c r="K112" s="49">
        <f>資料儲存!D3088</f>
        <v>0</v>
      </c>
      <c r="L112" s="49">
        <f>資料儲存!E3088</f>
        <v>0</v>
      </c>
      <c r="M112" s="49">
        <f>資料儲存!F3088</f>
        <v>0</v>
      </c>
      <c r="N112" s="49">
        <f>資料儲存!G3088</f>
        <v>0</v>
      </c>
      <c r="O112" s="49">
        <f>資料儲存!H3088</f>
        <v>0</v>
      </c>
      <c r="P112" s="49">
        <f>資料儲存!I3088</f>
        <v>0</v>
      </c>
      <c r="Q112" s="49">
        <f>資料儲存!J3088</f>
        <v>0</v>
      </c>
      <c r="R112" s="52"/>
      <c r="S112" s="70">
        <v>27</v>
      </c>
      <c r="T112" s="49">
        <f>資料儲存!D3208</f>
        <v>0</v>
      </c>
      <c r="U112" s="49">
        <f>資料儲存!E3208</f>
        <v>0</v>
      </c>
      <c r="V112" s="49">
        <f>資料儲存!F3208</f>
        <v>0</v>
      </c>
      <c r="W112" s="49">
        <f>資料儲存!G3208</f>
        <v>0</v>
      </c>
      <c r="X112" s="49">
        <f>資料儲存!H3208</f>
        <v>0</v>
      </c>
      <c r="Y112" s="49">
        <f>資料儲存!I3208</f>
        <v>0</v>
      </c>
      <c r="Z112" s="49">
        <f>資料儲存!J3208</f>
        <v>0</v>
      </c>
      <c r="AA112" s="52"/>
      <c r="AB112" s="70">
        <v>27</v>
      </c>
      <c r="AC112" s="49">
        <f>資料儲存!D3328</f>
        <v>0</v>
      </c>
      <c r="AD112" s="49">
        <f>資料儲存!E3328</f>
        <v>0</v>
      </c>
      <c r="AE112" s="49">
        <f>資料儲存!F3328</f>
        <v>0</v>
      </c>
      <c r="AF112" s="49">
        <f>資料儲存!G3328</f>
        <v>0</v>
      </c>
      <c r="AG112" s="49">
        <f>資料儲存!H3328</f>
        <v>0</v>
      </c>
      <c r="AH112" s="49">
        <f>資料儲存!I3328</f>
        <v>0</v>
      </c>
      <c r="AI112" s="49">
        <f>資料儲存!J3328</f>
        <v>0</v>
      </c>
      <c r="AJ112" s="52"/>
      <c r="AK112" s="70">
        <v>27</v>
      </c>
      <c r="AL112" s="49">
        <f>資料儲存!D3448</f>
        <v>0</v>
      </c>
      <c r="AM112" s="49">
        <f>資料儲存!E3448</f>
        <v>0</v>
      </c>
      <c r="AN112" s="49">
        <f>資料儲存!F3448</f>
        <v>0</v>
      </c>
      <c r="AO112" s="49">
        <f>資料儲存!G3448</f>
        <v>0</v>
      </c>
      <c r="AP112" s="49">
        <f>資料儲存!H3448</f>
        <v>0</v>
      </c>
      <c r="AQ112" s="49">
        <f>資料儲存!I3448</f>
        <v>0</v>
      </c>
      <c r="AR112" s="49">
        <f>資料儲存!J3448</f>
        <v>0</v>
      </c>
      <c r="AT112" s="70">
        <v>27</v>
      </c>
      <c r="AU112" s="49">
        <f>資料儲存!D3568</f>
        <v>0</v>
      </c>
      <c r="AV112" s="49">
        <f>資料儲存!E3568</f>
        <v>0</v>
      </c>
      <c r="AW112" s="49">
        <f>資料儲存!F3568</f>
        <v>0</v>
      </c>
      <c r="AX112" s="49">
        <f>資料儲存!G3568</f>
        <v>0</v>
      </c>
      <c r="AY112" s="49">
        <f>資料儲存!H3568</f>
        <v>0</v>
      </c>
      <c r="AZ112" s="49">
        <f>資料儲存!I3568</f>
        <v>0</v>
      </c>
      <c r="BA112" s="49">
        <f>資料儲存!J3568</f>
        <v>0</v>
      </c>
    </row>
    <row r="113" spans="1:53" s="67" customFormat="1" ht="16" thickBot="1">
      <c r="A113" s="70">
        <v>28</v>
      </c>
      <c r="B113" s="49">
        <f>資料儲存!D2969</f>
        <v>0</v>
      </c>
      <c r="C113" s="49">
        <f>資料儲存!E2969</f>
        <v>0</v>
      </c>
      <c r="D113" s="49">
        <f>資料儲存!F2969</f>
        <v>0</v>
      </c>
      <c r="E113" s="49">
        <f>資料儲存!G2969</f>
        <v>0</v>
      </c>
      <c r="F113" s="49">
        <f>資料儲存!H2969</f>
        <v>0</v>
      </c>
      <c r="G113" s="49">
        <f>資料儲存!I2969</f>
        <v>0</v>
      </c>
      <c r="H113" s="49">
        <f>資料儲存!J2969</f>
        <v>0</v>
      </c>
      <c r="I113" s="52"/>
      <c r="J113" s="70">
        <v>28</v>
      </c>
      <c r="K113" s="49">
        <f>資料儲存!D3089</f>
        <v>0</v>
      </c>
      <c r="L113" s="49">
        <f>資料儲存!E3089</f>
        <v>0</v>
      </c>
      <c r="M113" s="49">
        <f>資料儲存!F3089</f>
        <v>0</v>
      </c>
      <c r="N113" s="49">
        <f>資料儲存!G3089</f>
        <v>0</v>
      </c>
      <c r="O113" s="49">
        <f>資料儲存!H3089</f>
        <v>0</v>
      </c>
      <c r="P113" s="49">
        <f>資料儲存!I3089</f>
        <v>0</v>
      </c>
      <c r="Q113" s="49">
        <f>資料儲存!J3089</f>
        <v>0</v>
      </c>
      <c r="R113" s="52"/>
      <c r="S113" s="70">
        <v>28</v>
      </c>
      <c r="T113" s="49">
        <f>資料儲存!D3209</f>
        <v>0</v>
      </c>
      <c r="U113" s="49">
        <f>資料儲存!E3209</f>
        <v>0</v>
      </c>
      <c r="V113" s="49">
        <f>資料儲存!F3209</f>
        <v>0</v>
      </c>
      <c r="W113" s="49">
        <f>資料儲存!G3209</f>
        <v>0</v>
      </c>
      <c r="X113" s="49">
        <f>資料儲存!H3209</f>
        <v>0</v>
      </c>
      <c r="Y113" s="49">
        <f>資料儲存!I3209</f>
        <v>0</v>
      </c>
      <c r="Z113" s="49">
        <f>資料儲存!J3209</f>
        <v>0</v>
      </c>
      <c r="AA113" s="52"/>
      <c r="AB113" s="70">
        <v>28</v>
      </c>
      <c r="AC113" s="49">
        <f>資料儲存!D3329</f>
        <v>0</v>
      </c>
      <c r="AD113" s="49">
        <f>資料儲存!E3329</f>
        <v>0</v>
      </c>
      <c r="AE113" s="49">
        <f>資料儲存!F3329</f>
        <v>0</v>
      </c>
      <c r="AF113" s="49">
        <f>資料儲存!G3329</f>
        <v>0</v>
      </c>
      <c r="AG113" s="49">
        <f>資料儲存!H3329</f>
        <v>0</v>
      </c>
      <c r="AH113" s="49">
        <f>資料儲存!I3329</f>
        <v>0</v>
      </c>
      <c r="AI113" s="49">
        <f>資料儲存!J3329</f>
        <v>0</v>
      </c>
      <c r="AJ113" s="52"/>
      <c r="AK113" s="70">
        <v>28</v>
      </c>
      <c r="AL113" s="49">
        <f>資料儲存!D3449</f>
        <v>0</v>
      </c>
      <c r="AM113" s="49">
        <f>資料儲存!E3449</f>
        <v>0</v>
      </c>
      <c r="AN113" s="49">
        <f>資料儲存!F3449</f>
        <v>0</v>
      </c>
      <c r="AO113" s="49">
        <f>資料儲存!G3449</f>
        <v>0</v>
      </c>
      <c r="AP113" s="49">
        <f>資料儲存!H3449</f>
        <v>0</v>
      </c>
      <c r="AQ113" s="49">
        <f>資料儲存!I3449</f>
        <v>0</v>
      </c>
      <c r="AR113" s="49">
        <f>資料儲存!J3449</f>
        <v>0</v>
      </c>
      <c r="AT113" s="70">
        <v>28</v>
      </c>
      <c r="AU113" s="49">
        <f>資料儲存!D3569</f>
        <v>0</v>
      </c>
      <c r="AV113" s="49">
        <f>資料儲存!E3569</f>
        <v>0</v>
      </c>
      <c r="AW113" s="49">
        <f>資料儲存!F3569</f>
        <v>0</v>
      </c>
      <c r="AX113" s="49">
        <f>資料儲存!G3569</f>
        <v>0</v>
      </c>
      <c r="AY113" s="49">
        <f>資料儲存!H3569</f>
        <v>0</v>
      </c>
      <c r="AZ113" s="49">
        <f>資料儲存!I3569</f>
        <v>0</v>
      </c>
      <c r="BA113" s="49">
        <f>資料儲存!J3569</f>
        <v>0</v>
      </c>
    </row>
    <row r="114" spans="1:53" s="67" customFormat="1" ht="16" thickBot="1">
      <c r="A114" s="70">
        <v>29</v>
      </c>
      <c r="B114" s="49">
        <f>資料儲存!D2970</f>
        <v>0</v>
      </c>
      <c r="C114" s="49">
        <f>資料儲存!E2970</f>
        <v>0</v>
      </c>
      <c r="D114" s="49">
        <f>資料儲存!F2970</f>
        <v>0</v>
      </c>
      <c r="E114" s="49">
        <f>資料儲存!G2970</f>
        <v>0</v>
      </c>
      <c r="F114" s="49">
        <f>資料儲存!H2970</f>
        <v>0</v>
      </c>
      <c r="G114" s="49">
        <f>資料儲存!I2970</f>
        <v>0</v>
      </c>
      <c r="H114" s="49">
        <f>資料儲存!J2970</f>
        <v>0</v>
      </c>
      <c r="I114" s="52"/>
      <c r="J114" s="70">
        <v>29</v>
      </c>
      <c r="K114" s="49">
        <f>資料儲存!D3090</f>
        <v>0</v>
      </c>
      <c r="L114" s="49">
        <f>資料儲存!E3090</f>
        <v>0</v>
      </c>
      <c r="M114" s="49">
        <f>資料儲存!F3090</f>
        <v>0</v>
      </c>
      <c r="N114" s="49">
        <f>資料儲存!G3090</f>
        <v>0</v>
      </c>
      <c r="O114" s="49">
        <f>資料儲存!H3090</f>
        <v>0</v>
      </c>
      <c r="P114" s="49">
        <f>資料儲存!I3090</f>
        <v>0</v>
      </c>
      <c r="Q114" s="49">
        <f>資料儲存!J3090</f>
        <v>0</v>
      </c>
      <c r="R114" s="52"/>
      <c r="S114" s="70">
        <v>29</v>
      </c>
      <c r="T114" s="49">
        <f>資料儲存!D3210</f>
        <v>0</v>
      </c>
      <c r="U114" s="49">
        <f>資料儲存!E3210</f>
        <v>0</v>
      </c>
      <c r="V114" s="49">
        <f>資料儲存!F3210</f>
        <v>0</v>
      </c>
      <c r="W114" s="49">
        <f>資料儲存!G3210</f>
        <v>0</v>
      </c>
      <c r="X114" s="49">
        <f>資料儲存!H3210</f>
        <v>0</v>
      </c>
      <c r="Y114" s="49">
        <f>資料儲存!I3210</f>
        <v>0</v>
      </c>
      <c r="Z114" s="49">
        <f>資料儲存!J3210</f>
        <v>0</v>
      </c>
      <c r="AA114" s="52"/>
      <c r="AB114" s="70">
        <v>29</v>
      </c>
      <c r="AC114" s="49">
        <f>資料儲存!D3330</f>
        <v>0</v>
      </c>
      <c r="AD114" s="49">
        <f>資料儲存!E3330</f>
        <v>0</v>
      </c>
      <c r="AE114" s="49">
        <f>資料儲存!F3330</f>
        <v>0</v>
      </c>
      <c r="AF114" s="49">
        <f>資料儲存!G3330</f>
        <v>0</v>
      </c>
      <c r="AG114" s="49">
        <f>資料儲存!H3330</f>
        <v>0</v>
      </c>
      <c r="AH114" s="49">
        <f>資料儲存!I3330</f>
        <v>0</v>
      </c>
      <c r="AI114" s="49">
        <f>資料儲存!J3330</f>
        <v>0</v>
      </c>
      <c r="AJ114" s="52"/>
      <c r="AK114" s="70">
        <v>29</v>
      </c>
      <c r="AL114" s="49">
        <f>資料儲存!D3450</f>
        <v>0</v>
      </c>
      <c r="AM114" s="49">
        <f>資料儲存!E3450</f>
        <v>0</v>
      </c>
      <c r="AN114" s="49">
        <f>資料儲存!F3450</f>
        <v>0</v>
      </c>
      <c r="AO114" s="49">
        <f>資料儲存!G3450</f>
        <v>0</v>
      </c>
      <c r="AP114" s="49">
        <f>資料儲存!H3450</f>
        <v>0</v>
      </c>
      <c r="AQ114" s="49">
        <f>資料儲存!I3450</f>
        <v>0</v>
      </c>
      <c r="AR114" s="49">
        <f>資料儲存!J3450</f>
        <v>0</v>
      </c>
      <c r="AT114" s="70">
        <v>29</v>
      </c>
      <c r="AU114" s="49">
        <f>資料儲存!D3570</f>
        <v>0</v>
      </c>
      <c r="AV114" s="49">
        <f>資料儲存!E3570</f>
        <v>0</v>
      </c>
      <c r="AW114" s="49">
        <f>資料儲存!F3570</f>
        <v>0</v>
      </c>
      <c r="AX114" s="49">
        <f>資料儲存!G3570</f>
        <v>0</v>
      </c>
      <c r="AY114" s="49">
        <f>資料儲存!H3570</f>
        <v>0</v>
      </c>
      <c r="AZ114" s="49">
        <f>資料儲存!I3570</f>
        <v>0</v>
      </c>
      <c r="BA114" s="49">
        <f>資料儲存!J3570</f>
        <v>0</v>
      </c>
    </row>
    <row r="115" spans="1:53" s="67" customFormat="1" ht="16" thickBot="1">
      <c r="A115" s="70">
        <v>30</v>
      </c>
      <c r="B115" s="49">
        <f>資料儲存!D2971</f>
        <v>0</v>
      </c>
      <c r="C115" s="49">
        <f>資料儲存!E2971</f>
        <v>0</v>
      </c>
      <c r="D115" s="49">
        <f>資料儲存!F2971</f>
        <v>0</v>
      </c>
      <c r="E115" s="49">
        <f>資料儲存!G2971</f>
        <v>0</v>
      </c>
      <c r="F115" s="49">
        <f>資料儲存!H2971</f>
        <v>0</v>
      </c>
      <c r="G115" s="49">
        <f>資料儲存!I2971</f>
        <v>0</v>
      </c>
      <c r="H115" s="49">
        <f>資料儲存!J2971</f>
        <v>0</v>
      </c>
      <c r="I115" s="52"/>
      <c r="J115" s="70">
        <v>30</v>
      </c>
      <c r="K115" s="49">
        <f>資料儲存!D3091</f>
        <v>0</v>
      </c>
      <c r="L115" s="49">
        <f>資料儲存!E3091</f>
        <v>0</v>
      </c>
      <c r="M115" s="49">
        <f>資料儲存!F3091</f>
        <v>0</v>
      </c>
      <c r="N115" s="49">
        <f>資料儲存!G3091</f>
        <v>0</v>
      </c>
      <c r="O115" s="49">
        <f>資料儲存!H3091</f>
        <v>0</v>
      </c>
      <c r="P115" s="49">
        <f>資料儲存!I3091</f>
        <v>0</v>
      </c>
      <c r="Q115" s="49">
        <f>資料儲存!J3091</f>
        <v>0</v>
      </c>
      <c r="R115" s="52"/>
      <c r="S115" s="70">
        <v>30</v>
      </c>
      <c r="T115" s="49">
        <f>資料儲存!D3211</f>
        <v>0</v>
      </c>
      <c r="U115" s="49">
        <f>資料儲存!E3211</f>
        <v>0</v>
      </c>
      <c r="V115" s="49">
        <f>資料儲存!F3211</f>
        <v>0</v>
      </c>
      <c r="W115" s="49">
        <f>資料儲存!G3211</f>
        <v>0</v>
      </c>
      <c r="X115" s="49">
        <f>資料儲存!H3211</f>
        <v>0</v>
      </c>
      <c r="Y115" s="49">
        <f>資料儲存!I3211</f>
        <v>0</v>
      </c>
      <c r="Z115" s="49">
        <f>資料儲存!J3211</f>
        <v>0</v>
      </c>
      <c r="AA115" s="52"/>
      <c r="AB115" s="70">
        <v>30</v>
      </c>
      <c r="AC115" s="49">
        <f>資料儲存!D3331</f>
        <v>0</v>
      </c>
      <c r="AD115" s="49">
        <f>資料儲存!E3331</f>
        <v>0</v>
      </c>
      <c r="AE115" s="49">
        <f>資料儲存!F3331</f>
        <v>0</v>
      </c>
      <c r="AF115" s="49">
        <f>資料儲存!G3331</f>
        <v>0</v>
      </c>
      <c r="AG115" s="49">
        <f>資料儲存!H3331</f>
        <v>0</v>
      </c>
      <c r="AH115" s="49">
        <f>資料儲存!I3331</f>
        <v>0</v>
      </c>
      <c r="AI115" s="49">
        <f>資料儲存!J3331</f>
        <v>0</v>
      </c>
      <c r="AJ115" s="52"/>
      <c r="AK115" s="70">
        <v>30</v>
      </c>
      <c r="AL115" s="49">
        <f>資料儲存!D3451</f>
        <v>0</v>
      </c>
      <c r="AM115" s="49">
        <f>資料儲存!E3451</f>
        <v>0</v>
      </c>
      <c r="AN115" s="49">
        <f>資料儲存!F3451</f>
        <v>0</v>
      </c>
      <c r="AO115" s="49">
        <f>資料儲存!G3451</f>
        <v>0</v>
      </c>
      <c r="AP115" s="49">
        <f>資料儲存!H3451</f>
        <v>0</v>
      </c>
      <c r="AQ115" s="49">
        <f>資料儲存!I3451</f>
        <v>0</v>
      </c>
      <c r="AR115" s="49">
        <f>資料儲存!J3451</f>
        <v>0</v>
      </c>
      <c r="AT115" s="70">
        <v>30</v>
      </c>
      <c r="AU115" s="49">
        <f>資料儲存!D3571</f>
        <v>0</v>
      </c>
      <c r="AV115" s="49">
        <f>資料儲存!E3571</f>
        <v>0</v>
      </c>
      <c r="AW115" s="49">
        <f>資料儲存!F3571</f>
        <v>0</v>
      </c>
      <c r="AX115" s="49">
        <f>資料儲存!G3571</f>
        <v>0</v>
      </c>
      <c r="AY115" s="49">
        <f>資料儲存!H3571</f>
        <v>0</v>
      </c>
      <c r="AZ115" s="49">
        <f>資料儲存!I3571</f>
        <v>0</v>
      </c>
      <c r="BA115" s="49">
        <f>資料儲存!J3571</f>
        <v>0</v>
      </c>
    </row>
    <row r="116" spans="1:53" s="67" customFormat="1" ht="17.25" customHeight="1" thickBot="1">
      <c r="A116" s="50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0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0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0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45"/>
      <c r="AK116" s="50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  <c r="AT116" s="50" t="s">
        <v>56</v>
      </c>
      <c r="AU116" s="49">
        <f>SUM(AU101:AX115)</f>
        <v>0</v>
      </c>
      <c r="AV116" s="47"/>
      <c r="AW116" s="47"/>
      <c r="AX116" s="47"/>
      <c r="AY116" s="49">
        <f>AY115</f>
        <v>0</v>
      </c>
      <c r="AZ116" s="49">
        <f>AZ115</f>
        <v>0</v>
      </c>
      <c r="BA116" s="49">
        <f>BA115</f>
        <v>0</v>
      </c>
    </row>
    <row r="117" spans="1:53" ht="18.5" thickBot="1">
      <c r="A117" s="257" t="s">
        <v>84</v>
      </c>
      <c r="B117" s="258"/>
      <c r="C117" s="258"/>
      <c r="D117" s="258"/>
      <c r="E117" s="258"/>
      <c r="F117" s="258"/>
      <c r="G117" s="258"/>
      <c r="H117" s="259"/>
      <c r="I117" s="14"/>
      <c r="J117" s="257" t="s">
        <v>84</v>
      </c>
      <c r="K117" s="258"/>
      <c r="L117" s="258"/>
      <c r="M117" s="258"/>
      <c r="N117" s="258"/>
      <c r="O117" s="258"/>
      <c r="P117" s="258"/>
      <c r="Q117" s="259"/>
      <c r="R117" s="14"/>
      <c r="S117" s="257" t="s">
        <v>84</v>
      </c>
      <c r="T117" s="258"/>
      <c r="U117" s="258"/>
      <c r="V117" s="258"/>
      <c r="W117" s="258"/>
      <c r="X117" s="258"/>
      <c r="Y117" s="258"/>
      <c r="Z117" s="259"/>
      <c r="AA117" s="14"/>
      <c r="AB117" s="257" t="s">
        <v>84</v>
      </c>
      <c r="AC117" s="258"/>
      <c r="AD117" s="258"/>
      <c r="AE117" s="258"/>
      <c r="AF117" s="258"/>
      <c r="AG117" s="258"/>
      <c r="AH117" s="258"/>
      <c r="AI117" s="259"/>
      <c r="AJ117" s="14"/>
      <c r="AK117" s="257" t="s">
        <v>84</v>
      </c>
      <c r="AL117" s="258"/>
      <c r="AM117" s="258"/>
      <c r="AN117" s="258"/>
      <c r="AO117" s="258"/>
      <c r="AP117" s="258"/>
      <c r="AQ117" s="258"/>
      <c r="AR117" s="259"/>
      <c r="AT117" s="257" t="s">
        <v>84</v>
      </c>
      <c r="AU117" s="258"/>
      <c r="AV117" s="258"/>
      <c r="AW117" s="258"/>
      <c r="AX117" s="258"/>
      <c r="AY117" s="258"/>
      <c r="AZ117" s="258"/>
      <c r="BA117" s="259"/>
    </row>
    <row r="118" spans="1:53" s="59" customFormat="1" ht="17.25" customHeight="1" thickBot="1">
      <c r="A118" s="54" t="s">
        <v>2</v>
      </c>
      <c r="B118" s="55" t="s">
        <v>46</v>
      </c>
      <c r="C118" s="56"/>
      <c r="D118" s="56"/>
      <c r="E118" s="57"/>
      <c r="F118" s="55" t="s">
        <v>47</v>
      </c>
      <c r="G118" s="56"/>
      <c r="H118" s="57"/>
      <c r="I118" s="58"/>
      <c r="J118" s="54" t="s">
        <v>2</v>
      </c>
      <c r="K118" s="55" t="s">
        <v>46</v>
      </c>
      <c r="L118" s="56"/>
      <c r="M118" s="56"/>
      <c r="N118" s="57"/>
      <c r="O118" s="55" t="s">
        <v>47</v>
      </c>
      <c r="P118" s="56"/>
      <c r="Q118" s="57"/>
      <c r="R118" s="58"/>
      <c r="S118" s="54" t="s">
        <v>2</v>
      </c>
      <c r="T118" s="55" t="s">
        <v>46</v>
      </c>
      <c r="U118" s="56"/>
      <c r="V118" s="56"/>
      <c r="W118" s="57"/>
      <c r="X118" s="55" t="s">
        <v>47</v>
      </c>
      <c r="Y118" s="56"/>
      <c r="Z118" s="57"/>
      <c r="AA118" s="58"/>
      <c r="AB118" s="54" t="s">
        <v>2</v>
      </c>
      <c r="AC118" s="55" t="s">
        <v>46</v>
      </c>
      <c r="AD118" s="56"/>
      <c r="AE118" s="56"/>
      <c r="AF118" s="57"/>
      <c r="AG118" s="55" t="s">
        <v>47</v>
      </c>
      <c r="AH118" s="56"/>
      <c r="AI118" s="57"/>
      <c r="AJ118" s="58"/>
      <c r="AK118" s="54" t="s">
        <v>2</v>
      </c>
      <c r="AL118" s="55" t="s">
        <v>46</v>
      </c>
      <c r="AM118" s="56"/>
      <c r="AN118" s="56"/>
      <c r="AO118" s="57"/>
      <c r="AP118" s="55" t="s">
        <v>47</v>
      </c>
      <c r="AQ118" s="56"/>
      <c r="AR118" s="57"/>
      <c r="AT118" s="54" t="s">
        <v>2</v>
      </c>
      <c r="AU118" s="55" t="s">
        <v>46</v>
      </c>
      <c r="AV118" s="56"/>
      <c r="AW118" s="56"/>
      <c r="AX118" s="57"/>
      <c r="AY118" s="55" t="s">
        <v>47</v>
      </c>
      <c r="AZ118" s="56"/>
      <c r="BA118" s="57"/>
    </row>
    <row r="119" spans="1:53" s="59" customFormat="1" ht="16" thickBot="1">
      <c r="A119" s="60" t="s">
        <v>85</v>
      </c>
      <c r="B119" s="61" t="s">
        <v>49</v>
      </c>
      <c r="C119" s="61" t="s">
        <v>50</v>
      </c>
      <c r="D119" s="61" t="s">
        <v>51</v>
      </c>
      <c r="E119" s="61" t="s">
        <v>52</v>
      </c>
      <c r="F119" s="61" t="s">
        <v>53</v>
      </c>
      <c r="G119" s="61" t="s">
        <v>54</v>
      </c>
      <c r="H119" s="61" t="s">
        <v>55</v>
      </c>
      <c r="I119" s="58"/>
      <c r="J119" s="60" t="s">
        <v>85</v>
      </c>
      <c r="K119" s="61" t="s">
        <v>49</v>
      </c>
      <c r="L119" s="61" t="s">
        <v>50</v>
      </c>
      <c r="M119" s="61" t="s">
        <v>51</v>
      </c>
      <c r="N119" s="61" t="s">
        <v>52</v>
      </c>
      <c r="O119" s="61" t="s">
        <v>53</v>
      </c>
      <c r="P119" s="61" t="s">
        <v>54</v>
      </c>
      <c r="Q119" s="61" t="s">
        <v>55</v>
      </c>
      <c r="R119" s="58"/>
      <c r="S119" s="60" t="s">
        <v>85</v>
      </c>
      <c r="T119" s="61" t="s">
        <v>49</v>
      </c>
      <c r="U119" s="61" t="s">
        <v>50</v>
      </c>
      <c r="V119" s="61" t="s">
        <v>51</v>
      </c>
      <c r="W119" s="61" t="s">
        <v>52</v>
      </c>
      <c r="X119" s="61" t="s">
        <v>53</v>
      </c>
      <c r="Y119" s="61" t="s">
        <v>54</v>
      </c>
      <c r="Z119" s="61" t="s">
        <v>55</v>
      </c>
      <c r="AA119" s="58"/>
      <c r="AB119" s="60" t="s">
        <v>85</v>
      </c>
      <c r="AC119" s="61" t="s">
        <v>49</v>
      </c>
      <c r="AD119" s="61" t="s">
        <v>50</v>
      </c>
      <c r="AE119" s="61" t="s">
        <v>51</v>
      </c>
      <c r="AF119" s="61" t="s">
        <v>52</v>
      </c>
      <c r="AG119" s="61" t="s">
        <v>53</v>
      </c>
      <c r="AH119" s="61" t="s">
        <v>54</v>
      </c>
      <c r="AI119" s="61" t="s">
        <v>55</v>
      </c>
      <c r="AJ119" s="58"/>
      <c r="AK119" s="60" t="s">
        <v>85</v>
      </c>
      <c r="AL119" s="61" t="s">
        <v>49</v>
      </c>
      <c r="AM119" s="61" t="s">
        <v>50</v>
      </c>
      <c r="AN119" s="61" t="s">
        <v>51</v>
      </c>
      <c r="AO119" s="61" t="s">
        <v>52</v>
      </c>
      <c r="AP119" s="61" t="s">
        <v>53</v>
      </c>
      <c r="AQ119" s="61" t="s">
        <v>54</v>
      </c>
      <c r="AR119" s="61" t="s">
        <v>55</v>
      </c>
      <c r="AT119" s="60" t="s">
        <v>85</v>
      </c>
      <c r="AU119" s="61" t="s">
        <v>49</v>
      </c>
      <c r="AV119" s="61" t="s">
        <v>50</v>
      </c>
      <c r="AW119" s="61" t="s">
        <v>51</v>
      </c>
      <c r="AX119" s="61" t="s">
        <v>52</v>
      </c>
      <c r="AY119" s="61" t="s">
        <v>53</v>
      </c>
      <c r="AZ119" s="61" t="s">
        <v>54</v>
      </c>
      <c r="BA119" s="61" t="s">
        <v>55</v>
      </c>
    </row>
    <row r="120" spans="1:53" s="59" customFormat="1" ht="16" thickBot="1">
      <c r="A120" s="62">
        <v>31</v>
      </c>
      <c r="B120" s="39">
        <f>資料儲存!D2972</f>
        <v>0</v>
      </c>
      <c r="C120" s="39">
        <f>資料儲存!E2972</f>
        <v>0</v>
      </c>
      <c r="D120" s="39">
        <f>資料儲存!F2972</f>
        <v>0</v>
      </c>
      <c r="E120" s="39">
        <f>資料儲存!G2972</f>
        <v>0</v>
      </c>
      <c r="F120" s="39">
        <f>資料儲存!H2972</f>
        <v>0</v>
      </c>
      <c r="G120" s="39">
        <f>資料儲存!I2972</f>
        <v>0</v>
      </c>
      <c r="H120" s="39">
        <f>資料儲存!J2972</f>
        <v>0</v>
      </c>
      <c r="I120" s="58"/>
      <c r="J120" s="62">
        <v>31</v>
      </c>
      <c r="K120" s="39">
        <f>資料儲存!D3092</f>
        <v>0</v>
      </c>
      <c r="L120" s="39">
        <f>資料儲存!E3092</f>
        <v>0</v>
      </c>
      <c r="M120" s="39">
        <f>資料儲存!F3092</f>
        <v>0</v>
      </c>
      <c r="N120" s="39">
        <f>資料儲存!G3092</f>
        <v>0</v>
      </c>
      <c r="O120" s="39">
        <f>資料儲存!H3092</f>
        <v>0</v>
      </c>
      <c r="P120" s="39">
        <f>資料儲存!I3092</f>
        <v>0</v>
      </c>
      <c r="Q120" s="39">
        <f>資料儲存!J3092</f>
        <v>0</v>
      </c>
      <c r="R120" s="58"/>
      <c r="S120" s="62">
        <v>31</v>
      </c>
      <c r="T120" s="39">
        <f>資料儲存!D3212</f>
        <v>0</v>
      </c>
      <c r="U120" s="39">
        <f>資料儲存!E3212</f>
        <v>0</v>
      </c>
      <c r="V120" s="39">
        <f>資料儲存!F3212</f>
        <v>0</v>
      </c>
      <c r="W120" s="39">
        <f>資料儲存!G3212</f>
        <v>0</v>
      </c>
      <c r="X120" s="39">
        <f>資料儲存!H3212</f>
        <v>0</v>
      </c>
      <c r="Y120" s="39">
        <f>資料儲存!I3212</f>
        <v>0</v>
      </c>
      <c r="Z120" s="39">
        <f>資料儲存!J3212</f>
        <v>0</v>
      </c>
      <c r="AA120" s="58"/>
      <c r="AB120" s="62">
        <v>31</v>
      </c>
      <c r="AC120" s="39">
        <f>資料儲存!D3332</f>
        <v>0</v>
      </c>
      <c r="AD120" s="39">
        <f>資料儲存!E3332</f>
        <v>0</v>
      </c>
      <c r="AE120" s="39">
        <f>資料儲存!F3332</f>
        <v>0</v>
      </c>
      <c r="AF120" s="39">
        <f>資料儲存!G3332</f>
        <v>0</v>
      </c>
      <c r="AG120" s="39">
        <f>資料儲存!H3332</f>
        <v>0</v>
      </c>
      <c r="AH120" s="39">
        <f>資料儲存!I3332</f>
        <v>0</v>
      </c>
      <c r="AI120" s="39">
        <f>資料儲存!J3332</f>
        <v>0</v>
      </c>
      <c r="AJ120" s="58"/>
      <c r="AK120" s="62">
        <v>31</v>
      </c>
      <c r="AL120" s="39">
        <f>資料儲存!D3452</f>
        <v>0</v>
      </c>
      <c r="AM120" s="39">
        <f>資料儲存!E3452</f>
        <v>0</v>
      </c>
      <c r="AN120" s="39">
        <f>資料儲存!F3452</f>
        <v>0</v>
      </c>
      <c r="AO120" s="39">
        <f>資料儲存!G3452</f>
        <v>0</v>
      </c>
      <c r="AP120" s="39">
        <f>資料儲存!H3452</f>
        <v>0</v>
      </c>
      <c r="AQ120" s="39">
        <f>資料儲存!I3452</f>
        <v>0</v>
      </c>
      <c r="AR120" s="39">
        <f>資料儲存!J3452</f>
        <v>0</v>
      </c>
      <c r="AT120" s="62">
        <v>31</v>
      </c>
      <c r="AU120" s="39">
        <f>資料儲存!D3572</f>
        <v>0</v>
      </c>
      <c r="AV120" s="39">
        <f>資料儲存!E3572</f>
        <v>0</v>
      </c>
      <c r="AW120" s="39">
        <f>資料儲存!F3572</f>
        <v>0</v>
      </c>
      <c r="AX120" s="39">
        <f>資料儲存!G3572</f>
        <v>0</v>
      </c>
      <c r="AY120" s="39">
        <f>資料儲存!H3572</f>
        <v>0</v>
      </c>
      <c r="AZ120" s="39">
        <f>資料儲存!I3572</f>
        <v>0</v>
      </c>
      <c r="BA120" s="39">
        <f>資料儲存!J3572</f>
        <v>0</v>
      </c>
    </row>
    <row r="121" spans="1:53" s="59" customFormat="1" ht="16" thickBot="1">
      <c r="A121" s="62">
        <v>32</v>
      </c>
      <c r="B121" s="39">
        <f>資料儲存!D2973</f>
        <v>0</v>
      </c>
      <c r="C121" s="39">
        <f>資料儲存!E2973</f>
        <v>0</v>
      </c>
      <c r="D121" s="39">
        <f>資料儲存!F2973</f>
        <v>0</v>
      </c>
      <c r="E121" s="39">
        <f>資料儲存!G2973</f>
        <v>0</v>
      </c>
      <c r="F121" s="39">
        <f>資料儲存!H2973</f>
        <v>0</v>
      </c>
      <c r="G121" s="39">
        <f>資料儲存!I2973</f>
        <v>0</v>
      </c>
      <c r="H121" s="39">
        <f>資料儲存!J2973</f>
        <v>0</v>
      </c>
      <c r="I121" s="58"/>
      <c r="J121" s="62">
        <v>32</v>
      </c>
      <c r="K121" s="39">
        <f>資料儲存!D3093</f>
        <v>0</v>
      </c>
      <c r="L121" s="39">
        <f>資料儲存!E3093</f>
        <v>0</v>
      </c>
      <c r="M121" s="39">
        <f>資料儲存!F3093</f>
        <v>0</v>
      </c>
      <c r="N121" s="39">
        <f>資料儲存!G3093</f>
        <v>0</v>
      </c>
      <c r="O121" s="39">
        <f>資料儲存!H3093</f>
        <v>0</v>
      </c>
      <c r="P121" s="39">
        <f>資料儲存!I3093</f>
        <v>0</v>
      </c>
      <c r="Q121" s="39">
        <f>資料儲存!J3093</f>
        <v>0</v>
      </c>
      <c r="R121" s="58"/>
      <c r="S121" s="62">
        <v>32</v>
      </c>
      <c r="T121" s="39">
        <f>資料儲存!D3213</f>
        <v>0</v>
      </c>
      <c r="U121" s="39">
        <f>資料儲存!E3213</f>
        <v>0</v>
      </c>
      <c r="V121" s="39">
        <f>資料儲存!F3213</f>
        <v>0</v>
      </c>
      <c r="W121" s="39">
        <f>資料儲存!G3213</f>
        <v>0</v>
      </c>
      <c r="X121" s="39">
        <f>資料儲存!H3213</f>
        <v>0</v>
      </c>
      <c r="Y121" s="39">
        <f>資料儲存!I3213</f>
        <v>0</v>
      </c>
      <c r="Z121" s="39">
        <f>資料儲存!J3213</f>
        <v>0</v>
      </c>
      <c r="AA121" s="58"/>
      <c r="AB121" s="62">
        <v>32</v>
      </c>
      <c r="AC121" s="39">
        <f>資料儲存!D3333</f>
        <v>0</v>
      </c>
      <c r="AD121" s="39">
        <f>資料儲存!E3333</f>
        <v>0</v>
      </c>
      <c r="AE121" s="39">
        <f>資料儲存!F3333</f>
        <v>0</v>
      </c>
      <c r="AF121" s="39">
        <f>資料儲存!G3333</f>
        <v>0</v>
      </c>
      <c r="AG121" s="39">
        <f>資料儲存!H3333</f>
        <v>0</v>
      </c>
      <c r="AH121" s="39">
        <f>資料儲存!I3333</f>
        <v>0</v>
      </c>
      <c r="AI121" s="39">
        <f>資料儲存!J3333</f>
        <v>0</v>
      </c>
      <c r="AJ121" s="58"/>
      <c r="AK121" s="62">
        <v>32</v>
      </c>
      <c r="AL121" s="39">
        <f>資料儲存!D3453</f>
        <v>0</v>
      </c>
      <c r="AM121" s="39">
        <f>資料儲存!E3453</f>
        <v>0</v>
      </c>
      <c r="AN121" s="39">
        <f>資料儲存!F3453</f>
        <v>0</v>
      </c>
      <c r="AO121" s="39">
        <f>資料儲存!G3453</f>
        <v>0</v>
      </c>
      <c r="AP121" s="39">
        <f>資料儲存!H3453</f>
        <v>0</v>
      </c>
      <c r="AQ121" s="39">
        <f>資料儲存!I3453</f>
        <v>0</v>
      </c>
      <c r="AR121" s="39">
        <f>資料儲存!J3453</f>
        <v>0</v>
      </c>
      <c r="AT121" s="62">
        <v>32</v>
      </c>
      <c r="AU121" s="39">
        <f>資料儲存!D3573</f>
        <v>0</v>
      </c>
      <c r="AV121" s="39">
        <f>資料儲存!E3573</f>
        <v>0</v>
      </c>
      <c r="AW121" s="39">
        <f>資料儲存!F3573</f>
        <v>0</v>
      </c>
      <c r="AX121" s="39">
        <f>資料儲存!G3573</f>
        <v>0</v>
      </c>
      <c r="AY121" s="39">
        <f>資料儲存!H3573</f>
        <v>0</v>
      </c>
      <c r="AZ121" s="39">
        <f>資料儲存!I3573</f>
        <v>0</v>
      </c>
      <c r="BA121" s="39">
        <f>資料儲存!J3573</f>
        <v>0</v>
      </c>
    </row>
    <row r="122" spans="1:53" s="59" customFormat="1" ht="16" thickBot="1">
      <c r="A122" s="62">
        <v>33</v>
      </c>
      <c r="B122" s="39">
        <f>資料儲存!D2974</f>
        <v>0</v>
      </c>
      <c r="C122" s="39">
        <f>資料儲存!E2974</f>
        <v>0</v>
      </c>
      <c r="D122" s="39">
        <f>資料儲存!F2974</f>
        <v>0</v>
      </c>
      <c r="E122" s="39">
        <f>資料儲存!G2974</f>
        <v>0</v>
      </c>
      <c r="F122" s="39">
        <f>資料儲存!H2974</f>
        <v>0</v>
      </c>
      <c r="G122" s="39">
        <f>資料儲存!I2974</f>
        <v>0</v>
      </c>
      <c r="H122" s="39">
        <f>資料儲存!J2974</f>
        <v>0</v>
      </c>
      <c r="I122" s="58"/>
      <c r="J122" s="62">
        <v>33</v>
      </c>
      <c r="K122" s="39">
        <f>資料儲存!D3094</f>
        <v>0</v>
      </c>
      <c r="L122" s="39">
        <f>資料儲存!E3094</f>
        <v>0</v>
      </c>
      <c r="M122" s="39">
        <f>資料儲存!F3094</f>
        <v>0</v>
      </c>
      <c r="N122" s="39">
        <f>資料儲存!G3094</f>
        <v>0</v>
      </c>
      <c r="O122" s="39">
        <f>資料儲存!H3094</f>
        <v>0</v>
      </c>
      <c r="P122" s="39">
        <f>資料儲存!I3094</f>
        <v>0</v>
      </c>
      <c r="Q122" s="39">
        <f>資料儲存!J3094</f>
        <v>0</v>
      </c>
      <c r="R122" s="58"/>
      <c r="S122" s="62">
        <v>33</v>
      </c>
      <c r="T122" s="39">
        <f>資料儲存!D3214</f>
        <v>0</v>
      </c>
      <c r="U122" s="39">
        <f>資料儲存!E3214</f>
        <v>0</v>
      </c>
      <c r="V122" s="39">
        <f>資料儲存!F3214</f>
        <v>0</v>
      </c>
      <c r="W122" s="39">
        <f>資料儲存!G3214</f>
        <v>0</v>
      </c>
      <c r="X122" s="39">
        <f>資料儲存!H3214</f>
        <v>0</v>
      </c>
      <c r="Y122" s="39">
        <f>資料儲存!I3214</f>
        <v>0</v>
      </c>
      <c r="Z122" s="39">
        <f>資料儲存!J3214</f>
        <v>0</v>
      </c>
      <c r="AA122" s="58"/>
      <c r="AB122" s="62">
        <v>33</v>
      </c>
      <c r="AC122" s="39">
        <f>資料儲存!D3334</f>
        <v>0</v>
      </c>
      <c r="AD122" s="39">
        <f>資料儲存!E3334</f>
        <v>0</v>
      </c>
      <c r="AE122" s="39">
        <f>資料儲存!F3334</f>
        <v>0</v>
      </c>
      <c r="AF122" s="39">
        <f>資料儲存!G3334</f>
        <v>0</v>
      </c>
      <c r="AG122" s="39">
        <f>資料儲存!H3334</f>
        <v>0</v>
      </c>
      <c r="AH122" s="39">
        <f>資料儲存!I3334</f>
        <v>0</v>
      </c>
      <c r="AI122" s="39">
        <f>資料儲存!J3334</f>
        <v>0</v>
      </c>
      <c r="AJ122" s="58"/>
      <c r="AK122" s="62">
        <v>33</v>
      </c>
      <c r="AL122" s="39">
        <f>資料儲存!D3454</f>
        <v>0</v>
      </c>
      <c r="AM122" s="39">
        <f>資料儲存!E3454</f>
        <v>0</v>
      </c>
      <c r="AN122" s="39">
        <f>資料儲存!F3454</f>
        <v>0</v>
      </c>
      <c r="AO122" s="39">
        <f>資料儲存!G3454</f>
        <v>0</v>
      </c>
      <c r="AP122" s="39">
        <f>資料儲存!H3454</f>
        <v>0</v>
      </c>
      <c r="AQ122" s="39">
        <f>資料儲存!I3454</f>
        <v>0</v>
      </c>
      <c r="AR122" s="39">
        <f>資料儲存!J3454</f>
        <v>0</v>
      </c>
      <c r="AT122" s="62">
        <v>33</v>
      </c>
      <c r="AU122" s="39">
        <f>資料儲存!D3574</f>
        <v>0</v>
      </c>
      <c r="AV122" s="39">
        <f>資料儲存!E3574</f>
        <v>0</v>
      </c>
      <c r="AW122" s="39">
        <f>資料儲存!F3574</f>
        <v>0</v>
      </c>
      <c r="AX122" s="39">
        <f>資料儲存!G3574</f>
        <v>0</v>
      </c>
      <c r="AY122" s="39">
        <f>資料儲存!H3574</f>
        <v>0</v>
      </c>
      <c r="AZ122" s="39">
        <f>資料儲存!I3574</f>
        <v>0</v>
      </c>
      <c r="BA122" s="39">
        <f>資料儲存!J3574</f>
        <v>0</v>
      </c>
    </row>
    <row r="123" spans="1:53" s="59" customFormat="1" ht="16" thickBot="1">
      <c r="A123" s="62">
        <v>34</v>
      </c>
      <c r="B123" s="39">
        <f>資料儲存!D2975</f>
        <v>0</v>
      </c>
      <c r="C123" s="39">
        <f>資料儲存!E2975</f>
        <v>0</v>
      </c>
      <c r="D123" s="39">
        <f>資料儲存!F2975</f>
        <v>0</v>
      </c>
      <c r="E123" s="39">
        <f>資料儲存!G2975</f>
        <v>0</v>
      </c>
      <c r="F123" s="39">
        <f>資料儲存!H2975</f>
        <v>0</v>
      </c>
      <c r="G123" s="39">
        <f>資料儲存!I2975</f>
        <v>0</v>
      </c>
      <c r="H123" s="39">
        <f>資料儲存!J2975</f>
        <v>0</v>
      </c>
      <c r="I123" s="58"/>
      <c r="J123" s="62">
        <v>34</v>
      </c>
      <c r="K123" s="39">
        <f>資料儲存!D3095</f>
        <v>0</v>
      </c>
      <c r="L123" s="39">
        <f>資料儲存!E3095</f>
        <v>0</v>
      </c>
      <c r="M123" s="39">
        <f>資料儲存!F3095</f>
        <v>0</v>
      </c>
      <c r="N123" s="39">
        <f>資料儲存!G3095</f>
        <v>0</v>
      </c>
      <c r="O123" s="39">
        <f>資料儲存!H3095</f>
        <v>0</v>
      </c>
      <c r="P123" s="39">
        <f>資料儲存!I3095</f>
        <v>0</v>
      </c>
      <c r="Q123" s="39">
        <f>資料儲存!J3095</f>
        <v>0</v>
      </c>
      <c r="R123" s="58"/>
      <c r="S123" s="62">
        <v>34</v>
      </c>
      <c r="T123" s="39">
        <f>資料儲存!D3215</f>
        <v>0</v>
      </c>
      <c r="U123" s="39">
        <f>資料儲存!E3215</f>
        <v>0</v>
      </c>
      <c r="V123" s="39">
        <f>資料儲存!F3215</f>
        <v>0</v>
      </c>
      <c r="W123" s="39">
        <f>資料儲存!G3215</f>
        <v>0</v>
      </c>
      <c r="X123" s="39">
        <f>資料儲存!H3215</f>
        <v>0</v>
      </c>
      <c r="Y123" s="39">
        <f>資料儲存!I3215</f>
        <v>0</v>
      </c>
      <c r="Z123" s="39">
        <f>資料儲存!J3215</f>
        <v>0</v>
      </c>
      <c r="AA123" s="58"/>
      <c r="AB123" s="62">
        <v>34</v>
      </c>
      <c r="AC123" s="39">
        <f>資料儲存!D3335</f>
        <v>0</v>
      </c>
      <c r="AD123" s="39">
        <f>資料儲存!E3335</f>
        <v>0</v>
      </c>
      <c r="AE123" s="39">
        <f>資料儲存!F3335</f>
        <v>0</v>
      </c>
      <c r="AF123" s="39">
        <f>資料儲存!G3335</f>
        <v>0</v>
      </c>
      <c r="AG123" s="39">
        <f>資料儲存!H3335</f>
        <v>0</v>
      </c>
      <c r="AH123" s="39">
        <f>資料儲存!I3335</f>
        <v>0</v>
      </c>
      <c r="AI123" s="39">
        <f>資料儲存!J3335</f>
        <v>0</v>
      </c>
      <c r="AJ123" s="58"/>
      <c r="AK123" s="62">
        <v>34</v>
      </c>
      <c r="AL123" s="39">
        <f>資料儲存!D3455</f>
        <v>0</v>
      </c>
      <c r="AM123" s="39">
        <f>資料儲存!E3455</f>
        <v>0</v>
      </c>
      <c r="AN123" s="39">
        <f>資料儲存!F3455</f>
        <v>0</v>
      </c>
      <c r="AO123" s="39">
        <f>資料儲存!G3455</f>
        <v>0</v>
      </c>
      <c r="AP123" s="39">
        <f>資料儲存!H3455</f>
        <v>0</v>
      </c>
      <c r="AQ123" s="39">
        <f>資料儲存!I3455</f>
        <v>0</v>
      </c>
      <c r="AR123" s="39">
        <f>資料儲存!J3455</f>
        <v>0</v>
      </c>
      <c r="AT123" s="62">
        <v>34</v>
      </c>
      <c r="AU123" s="39">
        <f>資料儲存!D3575</f>
        <v>0</v>
      </c>
      <c r="AV123" s="39">
        <f>資料儲存!E3575</f>
        <v>0</v>
      </c>
      <c r="AW123" s="39">
        <f>資料儲存!F3575</f>
        <v>0</v>
      </c>
      <c r="AX123" s="39">
        <f>資料儲存!G3575</f>
        <v>0</v>
      </c>
      <c r="AY123" s="39">
        <f>資料儲存!H3575</f>
        <v>0</v>
      </c>
      <c r="AZ123" s="39">
        <f>資料儲存!I3575</f>
        <v>0</v>
      </c>
      <c r="BA123" s="39">
        <f>資料儲存!J3575</f>
        <v>0</v>
      </c>
    </row>
    <row r="124" spans="1:53" s="59" customFormat="1" ht="16" thickBot="1">
      <c r="A124" s="62">
        <v>35</v>
      </c>
      <c r="B124" s="39">
        <f>資料儲存!D2976</f>
        <v>0</v>
      </c>
      <c r="C124" s="39">
        <f>資料儲存!E2976</f>
        <v>0</v>
      </c>
      <c r="D124" s="39">
        <f>資料儲存!F2976</f>
        <v>0</v>
      </c>
      <c r="E124" s="39">
        <f>資料儲存!G2976</f>
        <v>0</v>
      </c>
      <c r="F124" s="39">
        <f>資料儲存!H2976</f>
        <v>0</v>
      </c>
      <c r="G124" s="39">
        <f>資料儲存!I2976</f>
        <v>0</v>
      </c>
      <c r="H124" s="39">
        <f>資料儲存!J2976</f>
        <v>0</v>
      </c>
      <c r="I124" s="58"/>
      <c r="J124" s="62">
        <v>35</v>
      </c>
      <c r="K124" s="39">
        <f>資料儲存!D3096</f>
        <v>0</v>
      </c>
      <c r="L124" s="39">
        <f>資料儲存!E3096</f>
        <v>0</v>
      </c>
      <c r="M124" s="39">
        <f>資料儲存!F3096</f>
        <v>0</v>
      </c>
      <c r="N124" s="39">
        <f>資料儲存!G3096</f>
        <v>0</v>
      </c>
      <c r="O124" s="39">
        <f>資料儲存!H3096</f>
        <v>0</v>
      </c>
      <c r="P124" s="39">
        <f>資料儲存!I3096</f>
        <v>0</v>
      </c>
      <c r="Q124" s="39">
        <f>資料儲存!J3096</f>
        <v>0</v>
      </c>
      <c r="R124" s="58"/>
      <c r="S124" s="62">
        <v>35</v>
      </c>
      <c r="T124" s="39">
        <f>資料儲存!D3216</f>
        <v>0</v>
      </c>
      <c r="U124" s="39">
        <f>資料儲存!E3216</f>
        <v>0</v>
      </c>
      <c r="V124" s="39">
        <f>資料儲存!F3216</f>
        <v>0</v>
      </c>
      <c r="W124" s="39">
        <f>資料儲存!G3216</f>
        <v>0</v>
      </c>
      <c r="X124" s="39">
        <f>資料儲存!H3216</f>
        <v>0</v>
      </c>
      <c r="Y124" s="39">
        <f>資料儲存!I3216</f>
        <v>0</v>
      </c>
      <c r="Z124" s="39">
        <f>資料儲存!J3216</f>
        <v>0</v>
      </c>
      <c r="AA124" s="58"/>
      <c r="AB124" s="62">
        <v>35</v>
      </c>
      <c r="AC124" s="39">
        <f>資料儲存!D3336</f>
        <v>0</v>
      </c>
      <c r="AD124" s="39">
        <f>資料儲存!E3336</f>
        <v>0</v>
      </c>
      <c r="AE124" s="39">
        <f>資料儲存!F3336</f>
        <v>0</v>
      </c>
      <c r="AF124" s="39">
        <f>資料儲存!G3336</f>
        <v>0</v>
      </c>
      <c r="AG124" s="39">
        <f>資料儲存!H3336</f>
        <v>0</v>
      </c>
      <c r="AH124" s="39">
        <f>資料儲存!I3336</f>
        <v>0</v>
      </c>
      <c r="AI124" s="39">
        <f>資料儲存!J3336</f>
        <v>0</v>
      </c>
      <c r="AJ124" s="58"/>
      <c r="AK124" s="62">
        <v>35</v>
      </c>
      <c r="AL124" s="39">
        <f>資料儲存!D3456</f>
        <v>0</v>
      </c>
      <c r="AM124" s="39">
        <f>資料儲存!E3456</f>
        <v>0</v>
      </c>
      <c r="AN124" s="39">
        <f>資料儲存!F3456</f>
        <v>0</v>
      </c>
      <c r="AO124" s="39">
        <f>資料儲存!G3456</f>
        <v>0</v>
      </c>
      <c r="AP124" s="39">
        <f>資料儲存!H3456</f>
        <v>0</v>
      </c>
      <c r="AQ124" s="39">
        <f>資料儲存!I3456</f>
        <v>0</v>
      </c>
      <c r="AR124" s="39">
        <f>資料儲存!J3456</f>
        <v>0</v>
      </c>
      <c r="AT124" s="62">
        <v>35</v>
      </c>
      <c r="AU124" s="39">
        <f>資料儲存!D3576</f>
        <v>0</v>
      </c>
      <c r="AV124" s="39">
        <f>資料儲存!E3576</f>
        <v>0</v>
      </c>
      <c r="AW124" s="39">
        <f>資料儲存!F3576</f>
        <v>0</v>
      </c>
      <c r="AX124" s="39">
        <f>資料儲存!G3576</f>
        <v>0</v>
      </c>
      <c r="AY124" s="39">
        <f>資料儲存!H3576</f>
        <v>0</v>
      </c>
      <c r="AZ124" s="39">
        <f>資料儲存!I3576</f>
        <v>0</v>
      </c>
      <c r="BA124" s="39">
        <f>資料儲存!J3576</f>
        <v>0</v>
      </c>
    </row>
    <row r="125" spans="1:53" s="59" customFormat="1" ht="16" thickBot="1">
      <c r="A125" s="62">
        <v>36</v>
      </c>
      <c r="B125" s="39">
        <f>資料儲存!D2977</f>
        <v>0</v>
      </c>
      <c r="C125" s="39">
        <f>資料儲存!E2977</f>
        <v>0</v>
      </c>
      <c r="D125" s="39">
        <f>資料儲存!F2977</f>
        <v>0</v>
      </c>
      <c r="E125" s="39">
        <f>資料儲存!G2977</f>
        <v>0</v>
      </c>
      <c r="F125" s="39">
        <f>資料儲存!H2977</f>
        <v>0</v>
      </c>
      <c r="G125" s="39">
        <f>資料儲存!I2977</f>
        <v>0</v>
      </c>
      <c r="H125" s="39">
        <f>資料儲存!J2977</f>
        <v>0</v>
      </c>
      <c r="I125" s="58"/>
      <c r="J125" s="62">
        <v>36</v>
      </c>
      <c r="K125" s="39">
        <f>資料儲存!D3097</f>
        <v>0</v>
      </c>
      <c r="L125" s="39">
        <f>資料儲存!E3097</f>
        <v>0</v>
      </c>
      <c r="M125" s="39">
        <f>資料儲存!F3097</f>
        <v>0</v>
      </c>
      <c r="N125" s="39">
        <f>資料儲存!G3097</f>
        <v>0</v>
      </c>
      <c r="O125" s="39">
        <f>資料儲存!H3097</f>
        <v>0</v>
      </c>
      <c r="P125" s="39">
        <f>資料儲存!I3097</f>
        <v>0</v>
      </c>
      <c r="Q125" s="39">
        <f>資料儲存!J3097</f>
        <v>0</v>
      </c>
      <c r="R125" s="58"/>
      <c r="S125" s="62">
        <v>36</v>
      </c>
      <c r="T125" s="39">
        <f>資料儲存!D3217</f>
        <v>0</v>
      </c>
      <c r="U125" s="39">
        <f>資料儲存!E3217</f>
        <v>0</v>
      </c>
      <c r="V125" s="39">
        <f>資料儲存!F3217</f>
        <v>0</v>
      </c>
      <c r="W125" s="39">
        <f>資料儲存!G3217</f>
        <v>0</v>
      </c>
      <c r="X125" s="39">
        <f>資料儲存!H3217</f>
        <v>0</v>
      </c>
      <c r="Y125" s="39">
        <f>資料儲存!I3217</f>
        <v>0</v>
      </c>
      <c r="Z125" s="39">
        <f>資料儲存!J3217</f>
        <v>0</v>
      </c>
      <c r="AA125" s="58"/>
      <c r="AB125" s="62">
        <v>36</v>
      </c>
      <c r="AC125" s="39">
        <f>資料儲存!D3337</f>
        <v>0</v>
      </c>
      <c r="AD125" s="39">
        <f>資料儲存!E3337</f>
        <v>0</v>
      </c>
      <c r="AE125" s="39">
        <f>資料儲存!F3337</f>
        <v>0</v>
      </c>
      <c r="AF125" s="39">
        <f>資料儲存!G3337</f>
        <v>0</v>
      </c>
      <c r="AG125" s="39">
        <f>資料儲存!H3337</f>
        <v>0</v>
      </c>
      <c r="AH125" s="39">
        <f>資料儲存!I3337</f>
        <v>0</v>
      </c>
      <c r="AI125" s="39">
        <f>資料儲存!J3337</f>
        <v>0</v>
      </c>
      <c r="AJ125" s="58"/>
      <c r="AK125" s="62">
        <v>36</v>
      </c>
      <c r="AL125" s="39">
        <f>資料儲存!D3457</f>
        <v>0</v>
      </c>
      <c r="AM125" s="39">
        <f>資料儲存!E3457</f>
        <v>0</v>
      </c>
      <c r="AN125" s="39">
        <f>資料儲存!F3457</f>
        <v>0</v>
      </c>
      <c r="AO125" s="39">
        <f>資料儲存!G3457</f>
        <v>0</v>
      </c>
      <c r="AP125" s="39">
        <f>資料儲存!H3457</f>
        <v>0</v>
      </c>
      <c r="AQ125" s="39">
        <f>資料儲存!I3457</f>
        <v>0</v>
      </c>
      <c r="AR125" s="39">
        <f>資料儲存!J3457</f>
        <v>0</v>
      </c>
      <c r="AT125" s="62">
        <v>36</v>
      </c>
      <c r="AU125" s="39">
        <f>資料儲存!D3577</f>
        <v>0</v>
      </c>
      <c r="AV125" s="39">
        <f>資料儲存!E3577</f>
        <v>0</v>
      </c>
      <c r="AW125" s="39">
        <f>資料儲存!F3577</f>
        <v>0</v>
      </c>
      <c r="AX125" s="39">
        <f>資料儲存!G3577</f>
        <v>0</v>
      </c>
      <c r="AY125" s="39">
        <f>資料儲存!H3577</f>
        <v>0</v>
      </c>
      <c r="AZ125" s="39">
        <f>資料儲存!I3577</f>
        <v>0</v>
      </c>
      <c r="BA125" s="39">
        <f>資料儲存!J3577</f>
        <v>0</v>
      </c>
    </row>
    <row r="126" spans="1:53" s="59" customFormat="1" ht="16" thickBot="1">
      <c r="A126" s="62">
        <v>37</v>
      </c>
      <c r="B126" s="39">
        <f>資料儲存!D2978</f>
        <v>0</v>
      </c>
      <c r="C126" s="39">
        <f>資料儲存!E2978</f>
        <v>0</v>
      </c>
      <c r="D126" s="39">
        <f>資料儲存!F2978</f>
        <v>0</v>
      </c>
      <c r="E126" s="39">
        <f>資料儲存!G2978</f>
        <v>0</v>
      </c>
      <c r="F126" s="39">
        <f>資料儲存!H2978</f>
        <v>0</v>
      </c>
      <c r="G126" s="39">
        <f>資料儲存!I2978</f>
        <v>0</v>
      </c>
      <c r="H126" s="39">
        <f>資料儲存!J2978</f>
        <v>0</v>
      </c>
      <c r="I126" s="58"/>
      <c r="J126" s="62">
        <v>37</v>
      </c>
      <c r="K126" s="39">
        <f>資料儲存!D3098</f>
        <v>0</v>
      </c>
      <c r="L126" s="39">
        <f>資料儲存!E3098</f>
        <v>0</v>
      </c>
      <c r="M126" s="39">
        <f>資料儲存!F3098</f>
        <v>0</v>
      </c>
      <c r="N126" s="39">
        <f>資料儲存!G3098</f>
        <v>0</v>
      </c>
      <c r="O126" s="39">
        <f>資料儲存!H3098</f>
        <v>0</v>
      </c>
      <c r="P126" s="39">
        <f>資料儲存!I3098</f>
        <v>0</v>
      </c>
      <c r="Q126" s="39">
        <f>資料儲存!J3098</f>
        <v>0</v>
      </c>
      <c r="R126" s="58"/>
      <c r="S126" s="62">
        <v>37</v>
      </c>
      <c r="T126" s="39">
        <f>資料儲存!D3218</f>
        <v>0</v>
      </c>
      <c r="U126" s="39">
        <f>資料儲存!E3218</f>
        <v>0</v>
      </c>
      <c r="V126" s="39">
        <f>資料儲存!F3218</f>
        <v>0</v>
      </c>
      <c r="W126" s="39">
        <f>資料儲存!G3218</f>
        <v>0</v>
      </c>
      <c r="X126" s="39">
        <f>資料儲存!H3218</f>
        <v>0</v>
      </c>
      <c r="Y126" s="39">
        <f>資料儲存!I3218</f>
        <v>0</v>
      </c>
      <c r="Z126" s="39">
        <f>資料儲存!J3218</f>
        <v>0</v>
      </c>
      <c r="AA126" s="58"/>
      <c r="AB126" s="62">
        <v>37</v>
      </c>
      <c r="AC126" s="39">
        <f>資料儲存!D3338</f>
        <v>0</v>
      </c>
      <c r="AD126" s="39">
        <f>資料儲存!E3338</f>
        <v>0</v>
      </c>
      <c r="AE126" s="39">
        <f>資料儲存!F3338</f>
        <v>0</v>
      </c>
      <c r="AF126" s="39">
        <f>資料儲存!G3338</f>
        <v>0</v>
      </c>
      <c r="AG126" s="39">
        <f>資料儲存!H3338</f>
        <v>0</v>
      </c>
      <c r="AH126" s="39">
        <f>資料儲存!I3338</f>
        <v>0</v>
      </c>
      <c r="AI126" s="39">
        <f>資料儲存!J3338</f>
        <v>0</v>
      </c>
      <c r="AJ126" s="58"/>
      <c r="AK126" s="62">
        <v>37</v>
      </c>
      <c r="AL126" s="39">
        <f>資料儲存!D3458</f>
        <v>0</v>
      </c>
      <c r="AM126" s="39">
        <f>資料儲存!E3458</f>
        <v>0</v>
      </c>
      <c r="AN126" s="39">
        <f>資料儲存!F3458</f>
        <v>0</v>
      </c>
      <c r="AO126" s="39">
        <f>資料儲存!G3458</f>
        <v>0</v>
      </c>
      <c r="AP126" s="39">
        <f>資料儲存!H3458</f>
        <v>0</v>
      </c>
      <c r="AQ126" s="39">
        <f>資料儲存!I3458</f>
        <v>0</v>
      </c>
      <c r="AR126" s="39">
        <f>資料儲存!J3458</f>
        <v>0</v>
      </c>
      <c r="AT126" s="62">
        <v>37</v>
      </c>
      <c r="AU126" s="39">
        <f>資料儲存!D3578</f>
        <v>0</v>
      </c>
      <c r="AV126" s="39">
        <f>資料儲存!E3578</f>
        <v>0</v>
      </c>
      <c r="AW126" s="39">
        <f>資料儲存!F3578</f>
        <v>0</v>
      </c>
      <c r="AX126" s="39">
        <f>資料儲存!G3578</f>
        <v>0</v>
      </c>
      <c r="AY126" s="39">
        <f>資料儲存!H3578</f>
        <v>0</v>
      </c>
      <c r="AZ126" s="39">
        <f>資料儲存!I3578</f>
        <v>0</v>
      </c>
      <c r="BA126" s="39">
        <f>資料儲存!J3578</f>
        <v>0</v>
      </c>
    </row>
    <row r="127" spans="1:53" s="59" customFormat="1" ht="16" thickBot="1">
      <c r="A127" s="62">
        <v>38</v>
      </c>
      <c r="B127" s="39">
        <f>資料儲存!D2979</f>
        <v>0</v>
      </c>
      <c r="C127" s="39">
        <f>資料儲存!E2979</f>
        <v>0</v>
      </c>
      <c r="D127" s="39">
        <f>資料儲存!F2979</f>
        <v>0</v>
      </c>
      <c r="E127" s="39">
        <f>資料儲存!G2979</f>
        <v>0</v>
      </c>
      <c r="F127" s="39">
        <f>資料儲存!H2979</f>
        <v>0</v>
      </c>
      <c r="G127" s="39">
        <f>資料儲存!I2979</f>
        <v>0</v>
      </c>
      <c r="H127" s="39">
        <f>資料儲存!J2979</f>
        <v>0</v>
      </c>
      <c r="I127" s="58"/>
      <c r="J127" s="62">
        <v>38</v>
      </c>
      <c r="K127" s="39">
        <f>資料儲存!D3099</f>
        <v>0</v>
      </c>
      <c r="L127" s="39">
        <f>資料儲存!E3099</f>
        <v>0</v>
      </c>
      <c r="M127" s="39">
        <f>資料儲存!F3099</f>
        <v>0</v>
      </c>
      <c r="N127" s="39">
        <f>資料儲存!G3099</f>
        <v>0</v>
      </c>
      <c r="O127" s="39">
        <f>資料儲存!H3099</f>
        <v>0</v>
      </c>
      <c r="P127" s="39">
        <f>資料儲存!I3099</f>
        <v>0</v>
      </c>
      <c r="Q127" s="39">
        <f>資料儲存!J3099</f>
        <v>0</v>
      </c>
      <c r="R127" s="58"/>
      <c r="S127" s="62">
        <v>38</v>
      </c>
      <c r="T127" s="39">
        <f>資料儲存!D3219</f>
        <v>0</v>
      </c>
      <c r="U127" s="39">
        <f>資料儲存!E3219</f>
        <v>0</v>
      </c>
      <c r="V127" s="39">
        <f>資料儲存!F3219</f>
        <v>0</v>
      </c>
      <c r="W127" s="39">
        <f>資料儲存!G3219</f>
        <v>0</v>
      </c>
      <c r="X127" s="39">
        <f>資料儲存!H3219</f>
        <v>0</v>
      </c>
      <c r="Y127" s="39">
        <f>資料儲存!I3219</f>
        <v>0</v>
      </c>
      <c r="Z127" s="39">
        <f>資料儲存!J3219</f>
        <v>0</v>
      </c>
      <c r="AA127" s="58"/>
      <c r="AB127" s="62">
        <v>38</v>
      </c>
      <c r="AC127" s="39">
        <f>資料儲存!D3339</f>
        <v>0</v>
      </c>
      <c r="AD127" s="39">
        <f>資料儲存!E3339</f>
        <v>0</v>
      </c>
      <c r="AE127" s="39">
        <f>資料儲存!F3339</f>
        <v>0</v>
      </c>
      <c r="AF127" s="39">
        <f>資料儲存!G3339</f>
        <v>0</v>
      </c>
      <c r="AG127" s="39">
        <f>資料儲存!H3339</f>
        <v>0</v>
      </c>
      <c r="AH127" s="39">
        <f>資料儲存!I3339</f>
        <v>0</v>
      </c>
      <c r="AI127" s="39">
        <f>資料儲存!J3339</f>
        <v>0</v>
      </c>
      <c r="AJ127" s="58"/>
      <c r="AK127" s="62">
        <v>38</v>
      </c>
      <c r="AL127" s="39">
        <f>資料儲存!D3459</f>
        <v>0</v>
      </c>
      <c r="AM127" s="39">
        <f>資料儲存!E3459</f>
        <v>0</v>
      </c>
      <c r="AN127" s="39">
        <f>資料儲存!F3459</f>
        <v>0</v>
      </c>
      <c r="AO127" s="39">
        <f>資料儲存!G3459</f>
        <v>0</v>
      </c>
      <c r="AP127" s="39">
        <f>資料儲存!H3459</f>
        <v>0</v>
      </c>
      <c r="AQ127" s="39">
        <f>資料儲存!I3459</f>
        <v>0</v>
      </c>
      <c r="AR127" s="39">
        <f>資料儲存!J3459</f>
        <v>0</v>
      </c>
      <c r="AT127" s="62">
        <v>38</v>
      </c>
      <c r="AU127" s="39">
        <f>資料儲存!D3579</f>
        <v>0</v>
      </c>
      <c r="AV127" s="39">
        <f>資料儲存!E3579</f>
        <v>0</v>
      </c>
      <c r="AW127" s="39">
        <f>資料儲存!F3579</f>
        <v>0</v>
      </c>
      <c r="AX127" s="39">
        <f>資料儲存!G3579</f>
        <v>0</v>
      </c>
      <c r="AY127" s="39">
        <f>資料儲存!H3579</f>
        <v>0</v>
      </c>
      <c r="AZ127" s="39">
        <f>資料儲存!I3579</f>
        <v>0</v>
      </c>
      <c r="BA127" s="39">
        <f>資料儲存!J3579</f>
        <v>0</v>
      </c>
    </row>
    <row r="128" spans="1:53" s="59" customFormat="1" ht="16" thickBot="1">
      <c r="A128" s="62">
        <v>39</v>
      </c>
      <c r="B128" s="39">
        <f>資料儲存!D2980</f>
        <v>0</v>
      </c>
      <c r="C128" s="39">
        <f>資料儲存!E2980</f>
        <v>0</v>
      </c>
      <c r="D128" s="39">
        <f>資料儲存!F2980</f>
        <v>0</v>
      </c>
      <c r="E128" s="39">
        <f>資料儲存!G2980</f>
        <v>0</v>
      </c>
      <c r="F128" s="39">
        <f>資料儲存!H2980</f>
        <v>0</v>
      </c>
      <c r="G128" s="39">
        <f>資料儲存!I2980</f>
        <v>0</v>
      </c>
      <c r="H128" s="39">
        <f>資料儲存!J2980</f>
        <v>0</v>
      </c>
      <c r="I128" s="58"/>
      <c r="J128" s="62">
        <v>39</v>
      </c>
      <c r="K128" s="39">
        <f>資料儲存!D3100</f>
        <v>0</v>
      </c>
      <c r="L128" s="39">
        <f>資料儲存!E3100</f>
        <v>0</v>
      </c>
      <c r="M128" s="39">
        <f>資料儲存!F3100</f>
        <v>0</v>
      </c>
      <c r="N128" s="39">
        <f>資料儲存!G3100</f>
        <v>0</v>
      </c>
      <c r="O128" s="39">
        <f>資料儲存!H3100</f>
        <v>0</v>
      </c>
      <c r="P128" s="39">
        <f>資料儲存!I3100</f>
        <v>0</v>
      </c>
      <c r="Q128" s="39">
        <f>資料儲存!J3100</f>
        <v>0</v>
      </c>
      <c r="R128" s="58"/>
      <c r="S128" s="62">
        <v>39</v>
      </c>
      <c r="T128" s="39">
        <f>資料儲存!D3220</f>
        <v>0</v>
      </c>
      <c r="U128" s="39">
        <f>資料儲存!E3220</f>
        <v>0</v>
      </c>
      <c r="V128" s="39">
        <f>資料儲存!F3220</f>
        <v>0</v>
      </c>
      <c r="W128" s="39">
        <f>資料儲存!G3220</f>
        <v>0</v>
      </c>
      <c r="X128" s="39">
        <f>資料儲存!H3220</f>
        <v>0</v>
      </c>
      <c r="Y128" s="39">
        <f>資料儲存!I3220</f>
        <v>0</v>
      </c>
      <c r="Z128" s="39">
        <f>資料儲存!J3220</f>
        <v>0</v>
      </c>
      <c r="AA128" s="58"/>
      <c r="AB128" s="62">
        <v>39</v>
      </c>
      <c r="AC128" s="39">
        <f>資料儲存!D3340</f>
        <v>0</v>
      </c>
      <c r="AD128" s="39">
        <f>資料儲存!E3340</f>
        <v>0</v>
      </c>
      <c r="AE128" s="39">
        <f>資料儲存!F3340</f>
        <v>0</v>
      </c>
      <c r="AF128" s="39">
        <f>資料儲存!G3340</f>
        <v>0</v>
      </c>
      <c r="AG128" s="39">
        <f>資料儲存!H3340</f>
        <v>0</v>
      </c>
      <c r="AH128" s="39">
        <f>資料儲存!I3340</f>
        <v>0</v>
      </c>
      <c r="AI128" s="39">
        <f>資料儲存!J3340</f>
        <v>0</v>
      </c>
      <c r="AJ128" s="58"/>
      <c r="AK128" s="62">
        <v>39</v>
      </c>
      <c r="AL128" s="39">
        <f>資料儲存!D3460</f>
        <v>0</v>
      </c>
      <c r="AM128" s="39">
        <f>資料儲存!E3460</f>
        <v>0</v>
      </c>
      <c r="AN128" s="39">
        <f>資料儲存!F3460</f>
        <v>0</v>
      </c>
      <c r="AO128" s="39">
        <f>資料儲存!G3460</f>
        <v>0</v>
      </c>
      <c r="AP128" s="39">
        <f>資料儲存!H3460</f>
        <v>0</v>
      </c>
      <c r="AQ128" s="39">
        <f>資料儲存!I3460</f>
        <v>0</v>
      </c>
      <c r="AR128" s="39">
        <f>資料儲存!J3460</f>
        <v>0</v>
      </c>
      <c r="AT128" s="62">
        <v>39</v>
      </c>
      <c r="AU128" s="39">
        <f>資料儲存!D3580</f>
        <v>0</v>
      </c>
      <c r="AV128" s="39">
        <f>資料儲存!E3580</f>
        <v>0</v>
      </c>
      <c r="AW128" s="39">
        <f>資料儲存!F3580</f>
        <v>0</v>
      </c>
      <c r="AX128" s="39">
        <f>資料儲存!G3580</f>
        <v>0</v>
      </c>
      <c r="AY128" s="39">
        <f>資料儲存!H3580</f>
        <v>0</v>
      </c>
      <c r="AZ128" s="39">
        <f>資料儲存!I3580</f>
        <v>0</v>
      </c>
      <c r="BA128" s="39">
        <f>資料儲存!J3580</f>
        <v>0</v>
      </c>
    </row>
    <row r="129" spans="1:53" s="59" customFormat="1" ht="16" thickBot="1">
      <c r="A129" s="62">
        <v>40</v>
      </c>
      <c r="B129" s="39">
        <f>資料儲存!D2981</f>
        <v>0</v>
      </c>
      <c r="C129" s="39">
        <f>資料儲存!E2981</f>
        <v>0</v>
      </c>
      <c r="D129" s="39">
        <f>資料儲存!F2981</f>
        <v>0</v>
      </c>
      <c r="E129" s="39">
        <f>資料儲存!G2981</f>
        <v>0</v>
      </c>
      <c r="F129" s="39">
        <f>資料儲存!H2981</f>
        <v>0</v>
      </c>
      <c r="G129" s="39">
        <f>資料儲存!I2981</f>
        <v>0</v>
      </c>
      <c r="H129" s="39">
        <f>資料儲存!J2981</f>
        <v>0</v>
      </c>
      <c r="I129" s="58"/>
      <c r="J129" s="62">
        <v>40</v>
      </c>
      <c r="K129" s="39">
        <f>資料儲存!D3101</f>
        <v>0</v>
      </c>
      <c r="L129" s="39">
        <f>資料儲存!E3101</f>
        <v>0</v>
      </c>
      <c r="M129" s="39">
        <f>資料儲存!F3101</f>
        <v>0</v>
      </c>
      <c r="N129" s="39">
        <f>資料儲存!G3101</f>
        <v>0</v>
      </c>
      <c r="O129" s="39">
        <f>資料儲存!H3101</f>
        <v>0</v>
      </c>
      <c r="P129" s="39">
        <f>資料儲存!I3101</f>
        <v>0</v>
      </c>
      <c r="Q129" s="39">
        <f>資料儲存!J3101</f>
        <v>0</v>
      </c>
      <c r="R129" s="58"/>
      <c r="S129" s="62">
        <v>40</v>
      </c>
      <c r="T129" s="39">
        <f>資料儲存!D3221</f>
        <v>0</v>
      </c>
      <c r="U129" s="39">
        <f>資料儲存!E3221</f>
        <v>0</v>
      </c>
      <c r="V129" s="39">
        <f>資料儲存!F3221</f>
        <v>0</v>
      </c>
      <c r="W129" s="39">
        <f>資料儲存!G3221</f>
        <v>0</v>
      </c>
      <c r="X129" s="39">
        <f>資料儲存!H3221</f>
        <v>0</v>
      </c>
      <c r="Y129" s="39">
        <f>資料儲存!I3221</f>
        <v>0</v>
      </c>
      <c r="Z129" s="39">
        <f>資料儲存!J3221</f>
        <v>0</v>
      </c>
      <c r="AA129" s="58"/>
      <c r="AB129" s="62">
        <v>40</v>
      </c>
      <c r="AC129" s="39">
        <f>資料儲存!D3341</f>
        <v>0</v>
      </c>
      <c r="AD129" s="39">
        <f>資料儲存!E3341</f>
        <v>0</v>
      </c>
      <c r="AE129" s="39">
        <f>資料儲存!F3341</f>
        <v>0</v>
      </c>
      <c r="AF129" s="39">
        <f>資料儲存!G3341</f>
        <v>0</v>
      </c>
      <c r="AG129" s="39">
        <f>資料儲存!H3341</f>
        <v>0</v>
      </c>
      <c r="AH129" s="39">
        <f>資料儲存!I3341</f>
        <v>0</v>
      </c>
      <c r="AI129" s="39">
        <f>資料儲存!J3341</f>
        <v>0</v>
      </c>
      <c r="AJ129" s="58"/>
      <c r="AK129" s="62">
        <v>40</v>
      </c>
      <c r="AL129" s="39">
        <f>資料儲存!D3461</f>
        <v>0</v>
      </c>
      <c r="AM129" s="39">
        <f>資料儲存!E3461</f>
        <v>0</v>
      </c>
      <c r="AN129" s="39">
        <f>資料儲存!F3461</f>
        <v>0</v>
      </c>
      <c r="AO129" s="39">
        <f>資料儲存!G3461</f>
        <v>0</v>
      </c>
      <c r="AP129" s="39">
        <f>資料儲存!H3461</f>
        <v>0</v>
      </c>
      <c r="AQ129" s="39">
        <f>資料儲存!I3461</f>
        <v>0</v>
      </c>
      <c r="AR129" s="39">
        <f>資料儲存!J3461</f>
        <v>0</v>
      </c>
      <c r="AT129" s="62">
        <v>40</v>
      </c>
      <c r="AU129" s="39">
        <f>資料儲存!D3581</f>
        <v>0</v>
      </c>
      <c r="AV129" s="39">
        <f>資料儲存!E3581</f>
        <v>0</v>
      </c>
      <c r="AW129" s="39">
        <f>資料儲存!F3581</f>
        <v>0</v>
      </c>
      <c r="AX129" s="39">
        <f>資料儲存!G3581</f>
        <v>0</v>
      </c>
      <c r="AY129" s="39">
        <f>資料儲存!H3581</f>
        <v>0</v>
      </c>
      <c r="AZ129" s="39">
        <f>資料儲存!I3581</f>
        <v>0</v>
      </c>
      <c r="BA129" s="39">
        <f>資料儲存!J3581</f>
        <v>0</v>
      </c>
    </row>
    <row r="130" spans="1:53" s="59" customFormat="1" ht="16" thickBot="1">
      <c r="A130" s="62">
        <v>41</v>
      </c>
      <c r="B130" s="39">
        <f>資料儲存!D2982</f>
        <v>0</v>
      </c>
      <c r="C130" s="39">
        <f>資料儲存!E2982</f>
        <v>0</v>
      </c>
      <c r="D130" s="39">
        <f>資料儲存!F2982</f>
        <v>0</v>
      </c>
      <c r="E130" s="39">
        <f>資料儲存!G2982</f>
        <v>0</v>
      </c>
      <c r="F130" s="39">
        <f>資料儲存!H2982</f>
        <v>0</v>
      </c>
      <c r="G130" s="39">
        <f>資料儲存!I2982</f>
        <v>0</v>
      </c>
      <c r="H130" s="39">
        <f>資料儲存!J2982</f>
        <v>0</v>
      </c>
      <c r="I130" s="58"/>
      <c r="J130" s="62">
        <v>41</v>
      </c>
      <c r="K130" s="39">
        <f>資料儲存!D3102</f>
        <v>0</v>
      </c>
      <c r="L130" s="39">
        <f>資料儲存!E3102</f>
        <v>0</v>
      </c>
      <c r="M130" s="39">
        <f>資料儲存!F3102</f>
        <v>0</v>
      </c>
      <c r="N130" s="39">
        <f>資料儲存!G3102</f>
        <v>0</v>
      </c>
      <c r="O130" s="39">
        <f>資料儲存!H3102</f>
        <v>0</v>
      </c>
      <c r="P130" s="39">
        <f>資料儲存!I3102</f>
        <v>0</v>
      </c>
      <c r="Q130" s="39">
        <f>資料儲存!J3102</f>
        <v>0</v>
      </c>
      <c r="R130" s="58"/>
      <c r="S130" s="62">
        <v>41</v>
      </c>
      <c r="T130" s="39">
        <f>資料儲存!D3222</f>
        <v>0</v>
      </c>
      <c r="U130" s="39">
        <f>資料儲存!E3222</f>
        <v>0</v>
      </c>
      <c r="V130" s="39">
        <f>資料儲存!F3222</f>
        <v>0</v>
      </c>
      <c r="W130" s="39">
        <f>資料儲存!G3222</f>
        <v>0</v>
      </c>
      <c r="X130" s="39">
        <f>資料儲存!H3222</f>
        <v>0</v>
      </c>
      <c r="Y130" s="39">
        <f>資料儲存!I3222</f>
        <v>0</v>
      </c>
      <c r="Z130" s="39">
        <f>資料儲存!J3222</f>
        <v>0</v>
      </c>
      <c r="AA130" s="58"/>
      <c r="AB130" s="62">
        <v>41</v>
      </c>
      <c r="AC130" s="39">
        <f>資料儲存!D3342</f>
        <v>0</v>
      </c>
      <c r="AD130" s="39">
        <f>資料儲存!E3342</f>
        <v>0</v>
      </c>
      <c r="AE130" s="39">
        <f>資料儲存!F3342</f>
        <v>0</v>
      </c>
      <c r="AF130" s="39">
        <f>資料儲存!G3342</f>
        <v>0</v>
      </c>
      <c r="AG130" s="39">
        <f>資料儲存!H3342</f>
        <v>0</v>
      </c>
      <c r="AH130" s="39">
        <f>資料儲存!I3342</f>
        <v>0</v>
      </c>
      <c r="AI130" s="39">
        <f>資料儲存!J3342</f>
        <v>0</v>
      </c>
      <c r="AJ130" s="58"/>
      <c r="AK130" s="62">
        <v>41</v>
      </c>
      <c r="AL130" s="39">
        <f>資料儲存!D3462</f>
        <v>0</v>
      </c>
      <c r="AM130" s="39">
        <f>資料儲存!E3462</f>
        <v>0</v>
      </c>
      <c r="AN130" s="39">
        <f>資料儲存!F3462</f>
        <v>0</v>
      </c>
      <c r="AO130" s="39">
        <f>資料儲存!G3462</f>
        <v>0</v>
      </c>
      <c r="AP130" s="39">
        <f>資料儲存!H3462</f>
        <v>0</v>
      </c>
      <c r="AQ130" s="39">
        <f>資料儲存!I3462</f>
        <v>0</v>
      </c>
      <c r="AR130" s="39">
        <f>資料儲存!J3462</f>
        <v>0</v>
      </c>
      <c r="AT130" s="62">
        <v>41</v>
      </c>
      <c r="AU130" s="39">
        <f>資料儲存!D3582</f>
        <v>0</v>
      </c>
      <c r="AV130" s="39">
        <f>資料儲存!E3582</f>
        <v>0</v>
      </c>
      <c r="AW130" s="39">
        <f>資料儲存!F3582</f>
        <v>0</v>
      </c>
      <c r="AX130" s="39">
        <f>資料儲存!G3582</f>
        <v>0</v>
      </c>
      <c r="AY130" s="39">
        <f>資料儲存!H3582</f>
        <v>0</v>
      </c>
      <c r="AZ130" s="39">
        <f>資料儲存!I3582</f>
        <v>0</v>
      </c>
      <c r="BA130" s="39">
        <f>資料儲存!J3582</f>
        <v>0</v>
      </c>
    </row>
    <row r="131" spans="1:53" s="59" customFormat="1" ht="16" thickBot="1">
      <c r="A131" s="62">
        <v>42</v>
      </c>
      <c r="B131" s="39">
        <f>資料儲存!D2983</f>
        <v>0</v>
      </c>
      <c r="C131" s="39">
        <f>資料儲存!E2983</f>
        <v>0</v>
      </c>
      <c r="D131" s="39">
        <f>資料儲存!F2983</f>
        <v>0</v>
      </c>
      <c r="E131" s="39">
        <f>資料儲存!G2983</f>
        <v>0</v>
      </c>
      <c r="F131" s="39">
        <f>資料儲存!H2983</f>
        <v>0</v>
      </c>
      <c r="G131" s="39">
        <f>資料儲存!I2983</f>
        <v>0</v>
      </c>
      <c r="H131" s="39">
        <f>資料儲存!J2983</f>
        <v>0</v>
      </c>
      <c r="I131" s="58"/>
      <c r="J131" s="62">
        <v>42</v>
      </c>
      <c r="K131" s="39">
        <f>資料儲存!D3103</f>
        <v>0</v>
      </c>
      <c r="L131" s="39">
        <f>資料儲存!E3103</f>
        <v>0</v>
      </c>
      <c r="M131" s="39">
        <f>資料儲存!F3103</f>
        <v>0</v>
      </c>
      <c r="N131" s="39">
        <f>資料儲存!G3103</f>
        <v>0</v>
      </c>
      <c r="O131" s="39">
        <f>資料儲存!H3103</f>
        <v>0</v>
      </c>
      <c r="P131" s="39">
        <f>資料儲存!I3103</f>
        <v>0</v>
      </c>
      <c r="Q131" s="39">
        <f>資料儲存!J3103</f>
        <v>0</v>
      </c>
      <c r="R131" s="58"/>
      <c r="S131" s="62">
        <v>42</v>
      </c>
      <c r="T131" s="39">
        <f>資料儲存!D3223</f>
        <v>0</v>
      </c>
      <c r="U131" s="39">
        <f>資料儲存!E3223</f>
        <v>0</v>
      </c>
      <c r="V131" s="39">
        <f>資料儲存!F3223</f>
        <v>0</v>
      </c>
      <c r="W131" s="39">
        <f>資料儲存!G3223</f>
        <v>0</v>
      </c>
      <c r="X131" s="39">
        <f>資料儲存!H3223</f>
        <v>0</v>
      </c>
      <c r="Y131" s="39">
        <f>資料儲存!I3223</f>
        <v>0</v>
      </c>
      <c r="Z131" s="39">
        <f>資料儲存!J3223</f>
        <v>0</v>
      </c>
      <c r="AA131" s="58"/>
      <c r="AB131" s="62">
        <v>42</v>
      </c>
      <c r="AC131" s="39">
        <f>資料儲存!D3343</f>
        <v>0</v>
      </c>
      <c r="AD131" s="39">
        <f>資料儲存!E3343</f>
        <v>0</v>
      </c>
      <c r="AE131" s="39">
        <f>資料儲存!F3343</f>
        <v>0</v>
      </c>
      <c r="AF131" s="39">
        <f>資料儲存!G3343</f>
        <v>0</v>
      </c>
      <c r="AG131" s="39">
        <f>資料儲存!H3343</f>
        <v>0</v>
      </c>
      <c r="AH131" s="39">
        <f>資料儲存!I3343</f>
        <v>0</v>
      </c>
      <c r="AI131" s="39">
        <f>資料儲存!J3343</f>
        <v>0</v>
      </c>
      <c r="AJ131" s="58"/>
      <c r="AK131" s="62">
        <v>42</v>
      </c>
      <c r="AL131" s="39">
        <f>資料儲存!D3463</f>
        <v>0</v>
      </c>
      <c r="AM131" s="39">
        <f>資料儲存!E3463</f>
        <v>0</v>
      </c>
      <c r="AN131" s="39">
        <f>資料儲存!F3463</f>
        <v>0</v>
      </c>
      <c r="AO131" s="39">
        <f>資料儲存!G3463</f>
        <v>0</v>
      </c>
      <c r="AP131" s="39">
        <f>資料儲存!H3463</f>
        <v>0</v>
      </c>
      <c r="AQ131" s="39">
        <f>資料儲存!I3463</f>
        <v>0</v>
      </c>
      <c r="AR131" s="39">
        <f>資料儲存!J3463</f>
        <v>0</v>
      </c>
      <c r="AT131" s="62">
        <v>42</v>
      </c>
      <c r="AU131" s="39">
        <f>資料儲存!D3583</f>
        <v>0</v>
      </c>
      <c r="AV131" s="39">
        <f>資料儲存!E3583</f>
        <v>0</v>
      </c>
      <c r="AW131" s="39">
        <f>資料儲存!F3583</f>
        <v>0</v>
      </c>
      <c r="AX131" s="39">
        <f>資料儲存!G3583</f>
        <v>0</v>
      </c>
      <c r="AY131" s="39">
        <f>資料儲存!H3583</f>
        <v>0</v>
      </c>
      <c r="AZ131" s="39">
        <f>資料儲存!I3583</f>
        <v>0</v>
      </c>
      <c r="BA131" s="39">
        <f>資料儲存!J3583</f>
        <v>0</v>
      </c>
    </row>
    <row r="132" spans="1:53" s="59" customFormat="1" ht="16" thickBot="1">
      <c r="A132" s="62">
        <v>43</v>
      </c>
      <c r="B132" s="39">
        <f>資料儲存!D2984</f>
        <v>0</v>
      </c>
      <c r="C132" s="39">
        <f>資料儲存!E2984</f>
        <v>0</v>
      </c>
      <c r="D132" s="39">
        <f>資料儲存!F2984</f>
        <v>0</v>
      </c>
      <c r="E132" s="39">
        <f>資料儲存!G2984</f>
        <v>0</v>
      </c>
      <c r="F132" s="39">
        <f>資料儲存!H2984</f>
        <v>0</v>
      </c>
      <c r="G132" s="39">
        <f>資料儲存!I2984</f>
        <v>0</v>
      </c>
      <c r="H132" s="39">
        <f>資料儲存!J2984</f>
        <v>0</v>
      </c>
      <c r="I132" s="58"/>
      <c r="J132" s="62">
        <v>43</v>
      </c>
      <c r="K132" s="39">
        <f>資料儲存!D3104</f>
        <v>0</v>
      </c>
      <c r="L132" s="39">
        <f>資料儲存!E3104</f>
        <v>0</v>
      </c>
      <c r="M132" s="39">
        <f>資料儲存!F3104</f>
        <v>0</v>
      </c>
      <c r="N132" s="39">
        <f>資料儲存!G3104</f>
        <v>0</v>
      </c>
      <c r="O132" s="39">
        <f>資料儲存!H3104</f>
        <v>0</v>
      </c>
      <c r="P132" s="39">
        <f>資料儲存!I3104</f>
        <v>0</v>
      </c>
      <c r="Q132" s="39">
        <f>資料儲存!J3104</f>
        <v>0</v>
      </c>
      <c r="R132" s="58"/>
      <c r="S132" s="62">
        <v>43</v>
      </c>
      <c r="T132" s="39">
        <f>資料儲存!D3224</f>
        <v>0</v>
      </c>
      <c r="U132" s="39">
        <f>資料儲存!E3224</f>
        <v>0</v>
      </c>
      <c r="V132" s="39">
        <f>資料儲存!F3224</f>
        <v>0</v>
      </c>
      <c r="W132" s="39">
        <f>資料儲存!G3224</f>
        <v>0</v>
      </c>
      <c r="X132" s="39">
        <f>資料儲存!H3224</f>
        <v>0</v>
      </c>
      <c r="Y132" s="39">
        <f>資料儲存!I3224</f>
        <v>0</v>
      </c>
      <c r="Z132" s="39">
        <f>資料儲存!J3224</f>
        <v>0</v>
      </c>
      <c r="AA132" s="58"/>
      <c r="AB132" s="62">
        <v>43</v>
      </c>
      <c r="AC132" s="39">
        <f>資料儲存!D3344</f>
        <v>0</v>
      </c>
      <c r="AD132" s="39">
        <f>資料儲存!E3344</f>
        <v>0</v>
      </c>
      <c r="AE132" s="39">
        <f>資料儲存!F3344</f>
        <v>0</v>
      </c>
      <c r="AF132" s="39">
        <f>資料儲存!G3344</f>
        <v>0</v>
      </c>
      <c r="AG132" s="39">
        <f>資料儲存!H3344</f>
        <v>0</v>
      </c>
      <c r="AH132" s="39">
        <f>資料儲存!I3344</f>
        <v>0</v>
      </c>
      <c r="AI132" s="39">
        <f>資料儲存!J3344</f>
        <v>0</v>
      </c>
      <c r="AJ132" s="58"/>
      <c r="AK132" s="62">
        <v>43</v>
      </c>
      <c r="AL132" s="39">
        <f>資料儲存!D3464</f>
        <v>0</v>
      </c>
      <c r="AM132" s="39">
        <f>資料儲存!E3464</f>
        <v>0</v>
      </c>
      <c r="AN132" s="39">
        <f>資料儲存!F3464</f>
        <v>0</v>
      </c>
      <c r="AO132" s="39">
        <f>資料儲存!G3464</f>
        <v>0</v>
      </c>
      <c r="AP132" s="39">
        <f>資料儲存!H3464</f>
        <v>0</v>
      </c>
      <c r="AQ132" s="39">
        <f>資料儲存!I3464</f>
        <v>0</v>
      </c>
      <c r="AR132" s="39">
        <f>資料儲存!J3464</f>
        <v>0</v>
      </c>
      <c r="AT132" s="62">
        <v>43</v>
      </c>
      <c r="AU132" s="39">
        <f>資料儲存!D3584</f>
        <v>0</v>
      </c>
      <c r="AV132" s="39">
        <f>資料儲存!E3584</f>
        <v>0</v>
      </c>
      <c r="AW132" s="39">
        <f>資料儲存!F3584</f>
        <v>0</v>
      </c>
      <c r="AX132" s="39">
        <f>資料儲存!G3584</f>
        <v>0</v>
      </c>
      <c r="AY132" s="39">
        <f>資料儲存!H3584</f>
        <v>0</v>
      </c>
      <c r="AZ132" s="39">
        <f>資料儲存!I3584</f>
        <v>0</v>
      </c>
      <c r="BA132" s="39">
        <f>資料儲存!J3584</f>
        <v>0</v>
      </c>
    </row>
    <row r="133" spans="1:53" s="59" customFormat="1" ht="16" thickBot="1">
      <c r="A133" s="62">
        <v>44</v>
      </c>
      <c r="B133" s="39">
        <f>資料儲存!D2985</f>
        <v>0</v>
      </c>
      <c r="C133" s="39">
        <f>資料儲存!E2985</f>
        <v>0</v>
      </c>
      <c r="D133" s="39">
        <f>資料儲存!F2985</f>
        <v>0</v>
      </c>
      <c r="E133" s="39">
        <f>資料儲存!G2985</f>
        <v>0</v>
      </c>
      <c r="F133" s="39">
        <f>資料儲存!H2985</f>
        <v>0</v>
      </c>
      <c r="G133" s="39">
        <f>資料儲存!I2985</f>
        <v>0</v>
      </c>
      <c r="H133" s="39">
        <f>資料儲存!J2985</f>
        <v>0</v>
      </c>
      <c r="I133" s="58"/>
      <c r="J133" s="62">
        <v>44</v>
      </c>
      <c r="K133" s="39">
        <f>資料儲存!D3105</f>
        <v>0</v>
      </c>
      <c r="L133" s="39">
        <f>資料儲存!E3105</f>
        <v>0</v>
      </c>
      <c r="M133" s="39">
        <f>資料儲存!F3105</f>
        <v>0</v>
      </c>
      <c r="N133" s="39">
        <f>資料儲存!G3105</f>
        <v>0</v>
      </c>
      <c r="O133" s="39">
        <f>資料儲存!H3105</f>
        <v>0</v>
      </c>
      <c r="P133" s="39">
        <f>資料儲存!I3105</f>
        <v>0</v>
      </c>
      <c r="Q133" s="39">
        <f>資料儲存!J3105</f>
        <v>0</v>
      </c>
      <c r="R133" s="58"/>
      <c r="S133" s="62">
        <v>44</v>
      </c>
      <c r="T133" s="39">
        <f>資料儲存!D3225</f>
        <v>0</v>
      </c>
      <c r="U133" s="39">
        <f>資料儲存!E3225</f>
        <v>0</v>
      </c>
      <c r="V133" s="39">
        <f>資料儲存!F3225</f>
        <v>0</v>
      </c>
      <c r="W133" s="39">
        <f>資料儲存!G3225</f>
        <v>0</v>
      </c>
      <c r="X133" s="39">
        <f>資料儲存!H3225</f>
        <v>0</v>
      </c>
      <c r="Y133" s="39">
        <f>資料儲存!I3225</f>
        <v>0</v>
      </c>
      <c r="Z133" s="39">
        <f>資料儲存!J3225</f>
        <v>0</v>
      </c>
      <c r="AA133" s="58"/>
      <c r="AB133" s="62">
        <v>44</v>
      </c>
      <c r="AC133" s="39">
        <f>資料儲存!D3345</f>
        <v>0</v>
      </c>
      <c r="AD133" s="39">
        <f>資料儲存!E3345</f>
        <v>0</v>
      </c>
      <c r="AE133" s="39">
        <f>資料儲存!F3345</f>
        <v>0</v>
      </c>
      <c r="AF133" s="39">
        <f>資料儲存!G3345</f>
        <v>0</v>
      </c>
      <c r="AG133" s="39">
        <f>資料儲存!H3345</f>
        <v>0</v>
      </c>
      <c r="AH133" s="39">
        <f>資料儲存!I3345</f>
        <v>0</v>
      </c>
      <c r="AI133" s="39">
        <f>資料儲存!J3345</f>
        <v>0</v>
      </c>
      <c r="AJ133" s="58"/>
      <c r="AK133" s="62">
        <v>44</v>
      </c>
      <c r="AL133" s="39">
        <f>資料儲存!D3465</f>
        <v>0</v>
      </c>
      <c r="AM133" s="39">
        <f>資料儲存!E3465</f>
        <v>0</v>
      </c>
      <c r="AN133" s="39">
        <f>資料儲存!F3465</f>
        <v>0</v>
      </c>
      <c r="AO133" s="39">
        <f>資料儲存!G3465</f>
        <v>0</v>
      </c>
      <c r="AP133" s="39">
        <f>資料儲存!H3465</f>
        <v>0</v>
      </c>
      <c r="AQ133" s="39">
        <f>資料儲存!I3465</f>
        <v>0</v>
      </c>
      <c r="AR133" s="39">
        <f>資料儲存!J3465</f>
        <v>0</v>
      </c>
      <c r="AT133" s="62">
        <v>44</v>
      </c>
      <c r="AU133" s="39">
        <f>資料儲存!D3585</f>
        <v>0</v>
      </c>
      <c r="AV133" s="39">
        <f>資料儲存!E3585</f>
        <v>0</v>
      </c>
      <c r="AW133" s="39">
        <f>資料儲存!F3585</f>
        <v>0</v>
      </c>
      <c r="AX133" s="39">
        <f>資料儲存!G3585</f>
        <v>0</v>
      </c>
      <c r="AY133" s="39">
        <f>資料儲存!H3585</f>
        <v>0</v>
      </c>
      <c r="AZ133" s="39">
        <f>資料儲存!I3585</f>
        <v>0</v>
      </c>
      <c r="BA133" s="39">
        <f>資料儲存!J3585</f>
        <v>0</v>
      </c>
    </row>
    <row r="134" spans="1:53" s="59" customFormat="1" ht="16" thickBot="1">
      <c r="A134" s="62">
        <v>45</v>
      </c>
      <c r="B134" s="39">
        <f>資料儲存!D2986</f>
        <v>0</v>
      </c>
      <c r="C134" s="39">
        <f>資料儲存!E2986</f>
        <v>0</v>
      </c>
      <c r="D134" s="39">
        <f>資料儲存!F2986</f>
        <v>0</v>
      </c>
      <c r="E134" s="39">
        <f>資料儲存!G2986</f>
        <v>0</v>
      </c>
      <c r="F134" s="39">
        <f>資料儲存!H2986</f>
        <v>0</v>
      </c>
      <c r="G134" s="39">
        <f>資料儲存!I2986</f>
        <v>0</v>
      </c>
      <c r="H134" s="39">
        <f>資料儲存!J2986</f>
        <v>0</v>
      </c>
      <c r="I134" s="58"/>
      <c r="J134" s="62">
        <v>45</v>
      </c>
      <c r="K134" s="39">
        <f>資料儲存!D3106</f>
        <v>0</v>
      </c>
      <c r="L134" s="39">
        <f>資料儲存!E3106</f>
        <v>0</v>
      </c>
      <c r="M134" s="39">
        <f>資料儲存!F3106</f>
        <v>0</v>
      </c>
      <c r="N134" s="39">
        <f>資料儲存!G3106</f>
        <v>0</v>
      </c>
      <c r="O134" s="39">
        <f>資料儲存!H3106</f>
        <v>0</v>
      </c>
      <c r="P134" s="39">
        <f>資料儲存!I3106</f>
        <v>0</v>
      </c>
      <c r="Q134" s="39">
        <f>資料儲存!J3106</f>
        <v>0</v>
      </c>
      <c r="R134" s="58"/>
      <c r="S134" s="62">
        <v>45</v>
      </c>
      <c r="T134" s="39">
        <f>資料儲存!D3226</f>
        <v>0</v>
      </c>
      <c r="U134" s="39">
        <f>資料儲存!E3226</f>
        <v>0</v>
      </c>
      <c r="V134" s="39">
        <f>資料儲存!F3226</f>
        <v>0</v>
      </c>
      <c r="W134" s="39">
        <f>資料儲存!G3226</f>
        <v>0</v>
      </c>
      <c r="X134" s="39">
        <f>資料儲存!H3226</f>
        <v>0</v>
      </c>
      <c r="Y134" s="39">
        <f>資料儲存!I3226</f>
        <v>0</v>
      </c>
      <c r="Z134" s="39">
        <f>資料儲存!J3226</f>
        <v>0</v>
      </c>
      <c r="AA134" s="58"/>
      <c r="AB134" s="62">
        <v>45</v>
      </c>
      <c r="AC134" s="39">
        <f>資料儲存!D3346</f>
        <v>0</v>
      </c>
      <c r="AD134" s="39">
        <f>資料儲存!E3346</f>
        <v>0</v>
      </c>
      <c r="AE134" s="39">
        <f>資料儲存!F3346</f>
        <v>0</v>
      </c>
      <c r="AF134" s="39">
        <f>資料儲存!G3346</f>
        <v>0</v>
      </c>
      <c r="AG134" s="39">
        <f>資料儲存!H3346</f>
        <v>0</v>
      </c>
      <c r="AH134" s="39">
        <f>資料儲存!I3346</f>
        <v>0</v>
      </c>
      <c r="AI134" s="39">
        <f>資料儲存!J3346</f>
        <v>0</v>
      </c>
      <c r="AJ134" s="58"/>
      <c r="AK134" s="62">
        <v>45</v>
      </c>
      <c r="AL134" s="39">
        <f>資料儲存!D3466</f>
        <v>0</v>
      </c>
      <c r="AM134" s="39">
        <f>資料儲存!E3466</f>
        <v>0</v>
      </c>
      <c r="AN134" s="39">
        <f>資料儲存!F3466</f>
        <v>0</v>
      </c>
      <c r="AO134" s="39">
        <f>資料儲存!G3466</f>
        <v>0</v>
      </c>
      <c r="AP134" s="39">
        <f>資料儲存!H3466</f>
        <v>0</v>
      </c>
      <c r="AQ134" s="39">
        <f>資料儲存!I3466</f>
        <v>0</v>
      </c>
      <c r="AR134" s="39">
        <f>資料儲存!J3466</f>
        <v>0</v>
      </c>
      <c r="AT134" s="62">
        <v>45</v>
      </c>
      <c r="AU134" s="39">
        <f>資料儲存!D3586</f>
        <v>0</v>
      </c>
      <c r="AV134" s="39">
        <f>資料儲存!E3586</f>
        <v>0</v>
      </c>
      <c r="AW134" s="39">
        <f>資料儲存!F3586</f>
        <v>0</v>
      </c>
      <c r="AX134" s="39">
        <f>資料儲存!G3586</f>
        <v>0</v>
      </c>
      <c r="AY134" s="39">
        <f>資料儲存!H3586</f>
        <v>0</v>
      </c>
      <c r="AZ134" s="39">
        <f>資料儲存!I3586</f>
        <v>0</v>
      </c>
      <c r="BA134" s="39">
        <f>資料儲存!J3586</f>
        <v>0</v>
      </c>
    </row>
    <row r="135" spans="1:53" s="59" customFormat="1" ht="17.25" customHeight="1" thickBot="1">
      <c r="A135" s="40" t="s">
        <v>56</v>
      </c>
      <c r="B135" s="39">
        <f>SUM(B120:E134)</f>
        <v>0</v>
      </c>
      <c r="C135" s="37"/>
      <c r="D135" s="37"/>
      <c r="E135" s="37"/>
      <c r="F135" s="39">
        <f>F134</f>
        <v>0</v>
      </c>
      <c r="G135" s="39">
        <f>G134</f>
        <v>0</v>
      </c>
      <c r="H135" s="39">
        <f>H134</f>
        <v>0</v>
      </c>
      <c r="I135" s="35"/>
      <c r="J135" s="40" t="s">
        <v>56</v>
      </c>
      <c r="K135" s="39">
        <f>SUM(K120:N134)</f>
        <v>0</v>
      </c>
      <c r="L135" s="37"/>
      <c r="M135" s="37"/>
      <c r="N135" s="37"/>
      <c r="O135" s="39">
        <f>O134</f>
        <v>0</v>
      </c>
      <c r="P135" s="39">
        <f>P134</f>
        <v>0</v>
      </c>
      <c r="Q135" s="39">
        <f>Q134</f>
        <v>0</v>
      </c>
      <c r="R135" s="35"/>
      <c r="S135" s="40" t="s">
        <v>56</v>
      </c>
      <c r="T135" s="39">
        <f>SUM(T120:W134)</f>
        <v>0</v>
      </c>
      <c r="U135" s="37"/>
      <c r="V135" s="37"/>
      <c r="W135" s="37"/>
      <c r="X135" s="39">
        <f>X134</f>
        <v>0</v>
      </c>
      <c r="Y135" s="39">
        <f>Y134</f>
        <v>0</v>
      </c>
      <c r="Z135" s="39">
        <f>Z134</f>
        <v>0</v>
      </c>
      <c r="AA135" s="35"/>
      <c r="AB135" s="40" t="s">
        <v>56</v>
      </c>
      <c r="AC135" s="39">
        <f>SUM(AC120:AF134)</f>
        <v>0</v>
      </c>
      <c r="AD135" s="37"/>
      <c r="AE135" s="37"/>
      <c r="AF135" s="37"/>
      <c r="AG135" s="39">
        <f>AG134</f>
        <v>0</v>
      </c>
      <c r="AH135" s="39">
        <f>AH134</f>
        <v>0</v>
      </c>
      <c r="AI135" s="39">
        <f>AI134</f>
        <v>0</v>
      </c>
      <c r="AJ135" s="35"/>
      <c r="AK135" s="40" t="s">
        <v>56</v>
      </c>
      <c r="AL135" s="39">
        <f>SUM(AL120:AO134)</f>
        <v>0</v>
      </c>
      <c r="AM135" s="37"/>
      <c r="AN135" s="37"/>
      <c r="AO135" s="37"/>
      <c r="AP135" s="39">
        <f>AP134</f>
        <v>0</v>
      </c>
      <c r="AQ135" s="39">
        <f>AQ134</f>
        <v>0</v>
      </c>
      <c r="AR135" s="39">
        <f>AR134</f>
        <v>0</v>
      </c>
      <c r="AT135" s="40" t="s">
        <v>56</v>
      </c>
      <c r="AU135" s="39">
        <f>SUM(AU120:AX134)</f>
        <v>0</v>
      </c>
      <c r="AV135" s="37"/>
      <c r="AW135" s="37"/>
      <c r="AX135" s="37"/>
      <c r="AY135" s="39">
        <f>AY134</f>
        <v>0</v>
      </c>
      <c r="AZ135" s="39">
        <f>AZ134</f>
        <v>0</v>
      </c>
      <c r="BA135" s="39">
        <f>BA134</f>
        <v>0</v>
      </c>
    </row>
    <row r="136" spans="1:53" ht="18.5" thickBot="1">
      <c r="A136" s="257" t="s">
        <v>86</v>
      </c>
      <c r="B136" s="258"/>
      <c r="C136" s="258"/>
      <c r="D136" s="258"/>
      <c r="E136" s="258"/>
      <c r="F136" s="258"/>
      <c r="G136" s="258"/>
      <c r="H136" s="259"/>
      <c r="I136" s="14"/>
      <c r="J136" s="257" t="s">
        <v>86</v>
      </c>
      <c r="K136" s="258"/>
      <c r="L136" s="258"/>
      <c r="M136" s="258"/>
      <c r="N136" s="258"/>
      <c r="O136" s="258"/>
      <c r="P136" s="258"/>
      <c r="Q136" s="259"/>
      <c r="R136" s="14"/>
      <c r="S136" s="257" t="s">
        <v>86</v>
      </c>
      <c r="T136" s="258"/>
      <c r="U136" s="258"/>
      <c r="V136" s="258"/>
      <c r="W136" s="258"/>
      <c r="X136" s="258"/>
      <c r="Y136" s="258"/>
      <c r="Z136" s="259"/>
      <c r="AA136" s="14"/>
      <c r="AB136" s="257" t="s">
        <v>86</v>
      </c>
      <c r="AC136" s="258"/>
      <c r="AD136" s="258"/>
      <c r="AE136" s="258"/>
      <c r="AF136" s="258"/>
      <c r="AG136" s="258"/>
      <c r="AH136" s="258"/>
      <c r="AI136" s="259"/>
      <c r="AJ136" s="14"/>
      <c r="AK136" s="257" t="s">
        <v>86</v>
      </c>
      <c r="AL136" s="258"/>
      <c r="AM136" s="258"/>
      <c r="AN136" s="258"/>
      <c r="AO136" s="258"/>
      <c r="AP136" s="258"/>
      <c r="AQ136" s="258"/>
      <c r="AR136" s="259"/>
      <c r="AT136" s="257" t="s">
        <v>86</v>
      </c>
      <c r="AU136" s="258"/>
      <c r="AV136" s="258"/>
      <c r="AW136" s="258"/>
      <c r="AX136" s="258"/>
      <c r="AY136" s="258"/>
      <c r="AZ136" s="258"/>
      <c r="BA136" s="259"/>
    </row>
    <row r="137" spans="1:53" s="67" customFormat="1" ht="17.25" customHeight="1" thickBot="1">
      <c r="A137" s="63" t="s">
        <v>2</v>
      </c>
      <c r="B137" s="64" t="s">
        <v>46</v>
      </c>
      <c r="C137" s="65"/>
      <c r="D137" s="65"/>
      <c r="E137" s="66"/>
      <c r="F137" s="64" t="s">
        <v>47</v>
      </c>
      <c r="G137" s="65"/>
      <c r="H137" s="66"/>
      <c r="I137" s="52"/>
      <c r="J137" s="63" t="s">
        <v>2</v>
      </c>
      <c r="K137" s="64" t="s">
        <v>46</v>
      </c>
      <c r="L137" s="65"/>
      <c r="M137" s="65"/>
      <c r="N137" s="66"/>
      <c r="O137" s="64" t="s">
        <v>47</v>
      </c>
      <c r="P137" s="65"/>
      <c r="Q137" s="66"/>
      <c r="R137" s="52"/>
      <c r="S137" s="63" t="s">
        <v>2</v>
      </c>
      <c r="T137" s="64" t="s">
        <v>46</v>
      </c>
      <c r="U137" s="65"/>
      <c r="V137" s="65"/>
      <c r="W137" s="66"/>
      <c r="X137" s="64" t="s">
        <v>47</v>
      </c>
      <c r="Y137" s="65"/>
      <c r="Z137" s="66"/>
      <c r="AA137" s="52"/>
      <c r="AB137" s="63" t="s">
        <v>2</v>
      </c>
      <c r="AC137" s="64" t="s">
        <v>46</v>
      </c>
      <c r="AD137" s="65"/>
      <c r="AE137" s="65"/>
      <c r="AF137" s="66"/>
      <c r="AG137" s="64" t="s">
        <v>47</v>
      </c>
      <c r="AH137" s="65"/>
      <c r="AI137" s="66"/>
      <c r="AJ137" s="52"/>
      <c r="AK137" s="63" t="s">
        <v>2</v>
      </c>
      <c r="AL137" s="64" t="s">
        <v>46</v>
      </c>
      <c r="AM137" s="65"/>
      <c r="AN137" s="65"/>
      <c r="AO137" s="66"/>
      <c r="AP137" s="64" t="s">
        <v>47</v>
      </c>
      <c r="AQ137" s="65"/>
      <c r="AR137" s="66"/>
      <c r="AT137" s="63" t="s">
        <v>2</v>
      </c>
      <c r="AU137" s="64" t="s">
        <v>46</v>
      </c>
      <c r="AV137" s="65"/>
      <c r="AW137" s="65"/>
      <c r="AX137" s="66"/>
      <c r="AY137" s="64" t="s">
        <v>47</v>
      </c>
      <c r="AZ137" s="65"/>
      <c r="BA137" s="66"/>
    </row>
    <row r="138" spans="1:53" s="67" customFormat="1" ht="16" thickBot="1">
      <c r="A138" s="68" t="s">
        <v>87</v>
      </c>
      <c r="B138" s="69" t="s">
        <v>49</v>
      </c>
      <c r="C138" s="69" t="s">
        <v>50</v>
      </c>
      <c r="D138" s="69" t="s">
        <v>51</v>
      </c>
      <c r="E138" s="69" t="s">
        <v>52</v>
      </c>
      <c r="F138" s="69" t="s">
        <v>53</v>
      </c>
      <c r="G138" s="69" t="s">
        <v>54</v>
      </c>
      <c r="H138" s="69" t="s">
        <v>55</v>
      </c>
      <c r="I138" s="52"/>
      <c r="J138" s="68" t="s">
        <v>87</v>
      </c>
      <c r="K138" s="69" t="s">
        <v>49</v>
      </c>
      <c r="L138" s="69" t="s">
        <v>50</v>
      </c>
      <c r="M138" s="69" t="s">
        <v>51</v>
      </c>
      <c r="N138" s="69" t="s">
        <v>52</v>
      </c>
      <c r="O138" s="69" t="s">
        <v>53</v>
      </c>
      <c r="P138" s="69" t="s">
        <v>54</v>
      </c>
      <c r="Q138" s="69" t="s">
        <v>55</v>
      </c>
      <c r="R138" s="52"/>
      <c r="S138" s="68" t="s">
        <v>87</v>
      </c>
      <c r="T138" s="69" t="s">
        <v>49</v>
      </c>
      <c r="U138" s="69" t="s">
        <v>50</v>
      </c>
      <c r="V138" s="69" t="s">
        <v>51</v>
      </c>
      <c r="W138" s="69" t="s">
        <v>52</v>
      </c>
      <c r="X138" s="69" t="s">
        <v>53</v>
      </c>
      <c r="Y138" s="69" t="s">
        <v>54</v>
      </c>
      <c r="Z138" s="69" t="s">
        <v>55</v>
      </c>
      <c r="AA138" s="52"/>
      <c r="AB138" s="68" t="s">
        <v>87</v>
      </c>
      <c r="AC138" s="69" t="s">
        <v>49</v>
      </c>
      <c r="AD138" s="69" t="s">
        <v>50</v>
      </c>
      <c r="AE138" s="69" t="s">
        <v>51</v>
      </c>
      <c r="AF138" s="69" t="s">
        <v>52</v>
      </c>
      <c r="AG138" s="69" t="s">
        <v>53</v>
      </c>
      <c r="AH138" s="69" t="s">
        <v>54</v>
      </c>
      <c r="AI138" s="69" t="s">
        <v>55</v>
      </c>
      <c r="AJ138" s="52"/>
      <c r="AK138" s="68" t="s">
        <v>87</v>
      </c>
      <c r="AL138" s="69" t="s">
        <v>49</v>
      </c>
      <c r="AM138" s="69" t="s">
        <v>50</v>
      </c>
      <c r="AN138" s="69" t="s">
        <v>51</v>
      </c>
      <c r="AO138" s="69" t="s">
        <v>52</v>
      </c>
      <c r="AP138" s="69" t="s">
        <v>53</v>
      </c>
      <c r="AQ138" s="69" t="s">
        <v>54</v>
      </c>
      <c r="AR138" s="69" t="s">
        <v>55</v>
      </c>
      <c r="AT138" s="68" t="s">
        <v>87</v>
      </c>
      <c r="AU138" s="69" t="s">
        <v>49</v>
      </c>
      <c r="AV138" s="69" t="s">
        <v>50</v>
      </c>
      <c r="AW138" s="69" t="s">
        <v>51</v>
      </c>
      <c r="AX138" s="69" t="s">
        <v>52</v>
      </c>
      <c r="AY138" s="69" t="s">
        <v>53</v>
      </c>
      <c r="AZ138" s="69" t="s">
        <v>54</v>
      </c>
      <c r="BA138" s="69" t="s">
        <v>55</v>
      </c>
    </row>
    <row r="139" spans="1:53" s="67" customFormat="1" ht="16" thickBot="1">
      <c r="A139" s="70">
        <v>46</v>
      </c>
      <c r="B139" s="49">
        <f>資料儲存!D2987</f>
        <v>0</v>
      </c>
      <c r="C139" s="49">
        <f>資料儲存!E2987</f>
        <v>0</v>
      </c>
      <c r="D139" s="49">
        <f>資料儲存!F2987</f>
        <v>0</v>
      </c>
      <c r="E139" s="49">
        <f>資料儲存!G2987</f>
        <v>0</v>
      </c>
      <c r="F139" s="49">
        <f>資料儲存!H2987</f>
        <v>0</v>
      </c>
      <c r="G139" s="49">
        <f>資料儲存!I2987</f>
        <v>0</v>
      </c>
      <c r="H139" s="49">
        <f>資料儲存!J2987</f>
        <v>0</v>
      </c>
      <c r="I139" s="52"/>
      <c r="J139" s="70">
        <v>46</v>
      </c>
      <c r="K139" s="49">
        <f>資料儲存!D3107</f>
        <v>0</v>
      </c>
      <c r="L139" s="49">
        <f>資料儲存!E3107</f>
        <v>0</v>
      </c>
      <c r="M139" s="49">
        <f>資料儲存!F3107</f>
        <v>0</v>
      </c>
      <c r="N139" s="49">
        <f>資料儲存!G3107</f>
        <v>0</v>
      </c>
      <c r="O139" s="49">
        <f>資料儲存!H3107</f>
        <v>0</v>
      </c>
      <c r="P139" s="49">
        <f>資料儲存!I3107</f>
        <v>0</v>
      </c>
      <c r="Q139" s="49">
        <f>資料儲存!J3107</f>
        <v>0</v>
      </c>
      <c r="R139" s="52"/>
      <c r="S139" s="70">
        <v>46</v>
      </c>
      <c r="T139" s="49">
        <f>資料儲存!D3227</f>
        <v>0</v>
      </c>
      <c r="U139" s="49">
        <f>資料儲存!E3227</f>
        <v>0</v>
      </c>
      <c r="V139" s="49">
        <f>資料儲存!F3227</f>
        <v>0</v>
      </c>
      <c r="W139" s="49">
        <f>資料儲存!G3227</f>
        <v>0</v>
      </c>
      <c r="X139" s="49">
        <f>資料儲存!H3227</f>
        <v>0</v>
      </c>
      <c r="Y139" s="49">
        <f>資料儲存!I3227</f>
        <v>0</v>
      </c>
      <c r="Z139" s="49">
        <f>資料儲存!J3227</f>
        <v>0</v>
      </c>
      <c r="AA139" s="52"/>
      <c r="AB139" s="70">
        <v>46</v>
      </c>
      <c r="AC139" s="49">
        <f>資料儲存!D3347</f>
        <v>0</v>
      </c>
      <c r="AD139" s="49">
        <f>資料儲存!E3347</f>
        <v>0</v>
      </c>
      <c r="AE139" s="49">
        <f>資料儲存!F3347</f>
        <v>0</v>
      </c>
      <c r="AF139" s="49">
        <f>資料儲存!G3347</f>
        <v>0</v>
      </c>
      <c r="AG139" s="49">
        <f>資料儲存!H3347</f>
        <v>0</v>
      </c>
      <c r="AH139" s="49">
        <f>資料儲存!I3347</f>
        <v>0</v>
      </c>
      <c r="AI139" s="49">
        <f>資料儲存!J3347</f>
        <v>0</v>
      </c>
      <c r="AJ139" s="52"/>
      <c r="AK139" s="70">
        <v>46</v>
      </c>
      <c r="AL139" s="49">
        <f>資料儲存!D3467</f>
        <v>0</v>
      </c>
      <c r="AM139" s="49">
        <f>資料儲存!E3467</f>
        <v>0</v>
      </c>
      <c r="AN139" s="49">
        <f>資料儲存!F3467</f>
        <v>0</v>
      </c>
      <c r="AO139" s="49">
        <f>資料儲存!G3467</f>
        <v>0</v>
      </c>
      <c r="AP139" s="49">
        <f>資料儲存!H3467</f>
        <v>0</v>
      </c>
      <c r="AQ139" s="49">
        <f>資料儲存!I3467</f>
        <v>0</v>
      </c>
      <c r="AR139" s="49">
        <f>資料儲存!J3467</f>
        <v>0</v>
      </c>
      <c r="AT139" s="70">
        <v>46</v>
      </c>
      <c r="AU139" s="49">
        <f>資料儲存!D3587</f>
        <v>0</v>
      </c>
      <c r="AV139" s="49">
        <f>資料儲存!E3587</f>
        <v>0</v>
      </c>
      <c r="AW139" s="49">
        <f>資料儲存!F3587</f>
        <v>0</v>
      </c>
      <c r="AX139" s="49">
        <f>資料儲存!G3587</f>
        <v>0</v>
      </c>
      <c r="AY139" s="49">
        <f>資料儲存!H3587</f>
        <v>0</v>
      </c>
      <c r="AZ139" s="49">
        <f>資料儲存!I3587</f>
        <v>0</v>
      </c>
      <c r="BA139" s="49">
        <f>資料儲存!J3587</f>
        <v>0</v>
      </c>
    </row>
    <row r="140" spans="1:53" s="67" customFormat="1" ht="16" thickBot="1">
      <c r="A140" s="70">
        <v>47</v>
      </c>
      <c r="B140" s="49">
        <f>資料儲存!D2988</f>
        <v>0</v>
      </c>
      <c r="C140" s="49">
        <f>資料儲存!E2988</f>
        <v>0</v>
      </c>
      <c r="D140" s="49">
        <f>資料儲存!F2988</f>
        <v>0</v>
      </c>
      <c r="E140" s="49">
        <f>資料儲存!G2988</f>
        <v>0</v>
      </c>
      <c r="F140" s="49">
        <f>資料儲存!H2988</f>
        <v>0</v>
      </c>
      <c r="G140" s="49">
        <f>資料儲存!I2988</f>
        <v>0</v>
      </c>
      <c r="H140" s="49">
        <f>資料儲存!J2988</f>
        <v>0</v>
      </c>
      <c r="I140" s="52"/>
      <c r="J140" s="70">
        <v>47</v>
      </c>
      <c r="K140" s="49">
        <f>資料儲存!D3108</f>
        <v>0</v>
      </c>
      <c r="L140" s="49">
        <f>資料儲存!E3108</f>
        <v>0</v>
      </c>
      <c r="M140" s="49">
        <f>資料儲存!F3108</f>
        <v>0</v>
      </c>
      <c r="N140" s="49">
        <f>資料儲存!G3108</f>
        <v>0</v>
      </c>
      <c r="O140" s="49">
        <f>資料儲存!H3108</f>
        <v>0</v>
      </c>
      <c r="P140" s="49">
        <f>資料儲存!I3108</f>
        <v>0</v>
      </c>
      <c r="Q140" s="49">
        <f>資料儲存!J3108</f>
        <v>0</v>
      </c>
      <c r="R140" s="52"/>
      <c r="S140" s="70">
        <v>47</v>
      </c>
      <c r="T140" s="49">
        <f>資料儲存!D3228</f>
        <v>0</v>
      </c>
      <c r="U140" s="49">
        <f>資料儲存!E3228</f>
        <v>0</v>
      </c>
      <c r="V140" s="49">
        <f>資料儲存!F3228</f>
        <v>0</v>
      </c>
      <c r="W140" s="49">
        <f>資料儲存!G3228</f>
        <v>0</v>
      </c>
      <c r="X140" s="49">
        <f>資料儲存!H3228</f>
        <v>0</v>
      </c>
      <c r="Y140" s="49">
        <f>資料儲存!I3228</f>
        <v>0</v>
      </c>
      <c r="Z140" s="49">
        <f>資料儲存!J3228</f>
        <v>0</v>
      </c>
      <c r="AA140" s="52"/>
      <c r="AB140" s="70">
        <v>47</v>
      </c>
      <c r="AC140" s="49">
        <f>資料儲存!D3348</f>
        <v>0</v>
      </c>
      <c r="AD140" s="49">
        <f>資料儲存!E3348</f>
        <v>0</v>
      </c>
      <c r="AE140" s="49">
        <f>資料儲存!F3348</f>
        <v>0</v>
      </c>
      <c r="AF140" s="49">
        <f>資料儲存!G3348</f>
        <v>0</v>
      </c>
      <c r="AG140" s="49">
        <f>資料儲存!H3348</f>
        <v>0</v>
      </c>
      <c r="AH140" s="49">
        <f>資料儲存!I3348</f>
        <v>0</v>
      </c>
      <c r="AI140" s="49">
        <f>資料儲存!J3348</f>
        <v>0</v>
      </c>
      <c r="AJ140" s="52"/>
      <c r="AK140" s="70">
        <v>47</v>
      </c>
      <c r="AL140" s="49">
        <f>資料儲存!D3468</f>
        <v>0</v>
      </c>
      <c r="AM140" s="49">
        <f>資料儲存!E3468</f>
        <v>0</v>
      </c>
      <c r="AN140" s="49">
        <f>資料儲存!F3468</f>
        <v>0</v>
      </c>
      <c r="AO140" s="49">
        <f>資料儲存!G3468</f>
        <v>0</v>
      </c>
      <c r="AP140" s="49">
        <f>資料儲存!H3468</f>
        <v>0</v>
      </c>
      <c r="AQ140" s="49">
        <f>資料儲存!I3468</f>
        <v>0</v>
      </c>
      <c r="AR140" s="49">
        <f>資料儲存!J3468</f>
        <v>0</v>
      </c>
      <c r="AT140" s="70">
        <v>47</v>
      </c>
      <c r="AU140" s="49">
        <f>資料儲存!D3588</f>
        <v>0</v>
      </c>
      <c r="AV140" s="49">
        <f>資料儲存!E3588</f>
        <v>0</v>
      </c>
      <c r="AW140" s="49">
        <f>資料儲存!F3588</f>
        <v>0</v>
      </c>
      <c r="AX140" s="49">
        <f>資料儲存!G3588</f>
        <v>0</v>
      </c>
      <c r="AY140" s="49">
        <f>資料儲存!H3588</f>
        <v>0</v>
      </c>
      <c r="AZ140" s="49">
        <f>資料儲存!I3588</f>
        <v>0</v>
      </c>
      <c r="BA140" s="49">
        <f>資料儲存!J3588</f>
        <v>0</v>
      </c>
    </row>
    <row r="141" spans="1:53" s="67" customFormat="1" ht="16" thickBot="1">
      <c r="A141" s="70">
        <v>48</v>
      </c>
      <c r="B141" s="49">
        <f>資料儲存!D2989</f>
        <v>0</v>
      </c>
      <c r="C141" s="49">
        <f>資料儲存!E2989</f>
        <v>0</v>
      </c>
      <c r="D141" s="49">
        <f>資料儲存!F2989</f>
        <v>0</v>
      </c>
      <c r="E141" s="49">
        <f>資料儲存!G2989</f>
        <v>0</v>
      </c>
      <c r="F141" s="49">
        <f>資料儲存!H2989</f>
        <v>0</v>
      </c>
      <c r="G141" s="49">
        <f>資料儲存!I2989</f>
        <v>0</v>
      </c>
      <c r="H141" s="49">
        <f>資料儲存!J2989</f>
        <v>0</v>
      </c>
      <c r="I141" s="52"/>
      <c r="J141" s="70">
        <v>48</v>
      </c>
      <c r="K141" s="49">
        <f>資料儲存!D3109</f>
        <v>0</v>
      </c>
      <c r="L141" s="49">
        <f>資料儲存!E3109</f>
        <v>0</v>
      </c>
      <c r="M141" s="49">
        <f>資料儲存!F3109</f>
        <v>0</v>
      </c>
      <c r="N141" s="49">
        <f>資料儲存!G3109</f>
        <v>0</v>
      </c>
      <c r="O141" s="49">
        <f>資料儲存!H3109</f>
        <v>0</v>
      </c>
      <c r="P141" s="49">
        <f>資料儲存!I3109</f>
        <v>0</v>
      </c>
      <c r="Q141" s="49">
        <f>資料儲存!J3109</f>
        <v>0</v>
      </c>
      <c r="R141" s="52"/>
      <c r="S141" s="70">
        <v>48</v>
      </c>
      <c r="T141" s="49">
        <f>資料儲存!D3229</f>
        <v>0</v>
      </c>
      <c r="U141" s="49">
        <f>資料儲存!E3229</f>
        <v>0</v>
      </c>
      <c r="V141" s="49">
        <f>資料儲存!F3229</f>
        <v>0</v>
      </c>
      <c r="W141" s="49">
        <f>資料儲存!G3229</f>
        <v>0</v>
      </c>
      <c r="X141" s="49">
        <f>資料儲存!H3229</f>
        <v>0</v>
      </c>
      <c r="Y141" s="49">
        <f>資料儲存!I3229</f>
        <v>0</v>
      </c>
      <c r="Z141" s="49">
        <f>資料儲存!J3229</f>
        <v>0</v>
      </c>
      <c r="AA141" s="52"/>
      <c r="AB141" s="70">
        <v>48</v>
      </c>
      <c r="AC141" s="49">
        <f>資料儲存!D3349</f>
        <v>0</v>
      </c>
      <c r="AD141" s="49">
        <f>資料儲存!E3349</f>
        <v>0</v>
      </c>
      <c r="AE141" s="49">
        <f>資料儲存!F3349</f>
        <v>0</v>
      </c>
      <c r="AF141" s="49">
        <f>資料儲存!G3349</f>
        <v>0</v>
      </c>
      <c r="AG141" s="49">
        <f>資料儲存!H3349</f>
        <v>0</v>
      </c>
      <c r="AH141" s="49">
        <f>資料儲存!I3349</f>
        <v>0</v>
      </c>
      <c r="AI141" s="49">
        <f>資料儲存!J3349</f>
        <v>0</v>
      </c>
      <c r="AJ141" s="52"/>
      <c r="AK141" s="70">
        <v>48</v>
      </c>
      <c r="AL141" s="49">
        <f>資料儲存!D3469</f>
        <v>0</v>
      </c>
      <c r="AM141" s="49">
        <f>資料儲存!E3469</f>
        <v>0</v>
      </c>
      <c r="AN141" s="49">
        <f>資料儲存!F3469</f>
        <v>0</v>
      </c>
      <c r="AO141" s="49">
        <f>資料儲存!G3469</f>
        <v>0</v>
      </c>
      <c r="AP141" s="49">
        <f>資料儲存!H3469</f>
        <v>0</v>
      </c>
      <c r="AQ141" s="49">
        <f>資料儲存!I3469</f>
        <v>0</v>
      </c>
      <c r="AR141" s="49">
        <f>資料儲存!J3469</f>
        <v>0</v>
      </c>
      <c r="AT141" s="70">
        <v>48</v>
      </c>
      <c r="AU141" s="49">
        <f>資料儲存!D3589</f>
        <v>0</v>
      </c>
      <c r="AV141" s="49">
        <f>資料儲存!E3589</f>
        <v>0</v>
      </c>
      <c r="AW141" s="49">
        <f>資料儲存!F3589</f>
        <v>0</v>
      </c>
      <c r="AX141" s="49">
        <f>資料儲存!G3589</f>
        <v>0</v>
      </c>
      <c r="AY141" s="49">
        <f>資料儲存!H3589</f>
        <v>0</v>
      </c>
      <c r="AZ141" s="49">
        <f>資料儲存!I3589</f>
        <v>0</v>
      </c>
      <c r="BA141" s="49">
        <f>資料儲存!J3589</f>
        <v>0</v>
      </c>
    </row>
    <row r="142" spans="1:53" s="67" customFormat="1" ht="16" thickBot="1">
      <c r="A142" s="70">
        <v>49</v>
      </c>
      <c r="B142" s="49">
        <f>資料儲存!D2990</f>
        <v>0</v>
      </c>
      <c r="C142" s="49">
        <f>資料儲存!E2990</f>
        <v>0</v>
      </c>
      <c r="D142" s="49">
        <f>資料儲存!F2990</f>
        <v>0</v>
      </c>
      <c r="E142" s="49">
        <f>資料儲存!G2990</f>
        <v>0</v>
      </c>
      <c r="F142" s="49">
        <f>資料儲存!H2990</f>
        <v>0</v>
      </c>
      <c r="G142" s="49">
        <f>資料儲存!I2990</f>
        <v>0</v>
      </c>
      <c r="H142" s="49">
        <f>資料儲存!J2990</f>
        <v>0</v>
      </c>
      <c r="I142" s="52"/>
      <c r="J142" s="70">
        <v>49</v>
      </c>
      <c r="K142" s="49">
        <f>資料儲存!D3110</f>
        <v>0</v>
      </c>
      <c r="L142" s="49">
        <f>資料儲存!E3110</f>
        <v>0</v>
      </c>
      <c r="M142" s="49">
        <f>資料儲存!F3110</f>
        <v>0</v>
      </c>
      <c r="N142" s="49">
        <f>資料儲存!G3110</f>
        <v>0</v>
      </c>
      <c r="O142" s="49">
        <f>資料儲存!H3110</f>
        <v>0</v>
      </c>
      <c r="P142" s="49">
        <f>資料儲存!I3110</f>
        <v>0</v>
      </c>
      <c r="Q142" s="49">
        <f>資料儲存!J3110</f>
        <v>0</v>
      </c>
      <c r="R142" s="52"/>
      <c r="S142" s="70">
        <v>49</v>
      </c>
      <c r="T142" s="49">
        <f>資料儲存!D3230</f>
        <v>0</v>
      </c>
      <c r="U142" s="49">
        <f>資料儲存!E3230</f>
        <v>0</v>
      </c>
      <c r="V142" s="49">
        <f>資料儲存!F3230</f>
        <v>0</v>
      </c>
      <c r="W142" s="49">
        <f>資料儲存!G3230</f>
        <v>0</v>
      </c>
      <c r="X142" s="49">
        <f>資料儲存!H3230</f>
        <v>0</v>
      </c>
      <c r="Y142" s="49">
        <f>資料儲存!I3230</f>
        <v>0</v>
      </c>
      <c r="Z142" s="49">
        <f>資料儲存!J3230</f>
        <v>0</v>
      </c>
      <c r="AA142" s="52"/>
      <c r="AB142" s="70">
        <v>49</v>
      </c>
      <c r="AC142" s="49">
        <f>資料儲存!D3350</f>
        <v>0</v>
      </c>
      <c r="AD142" s="49">
        <f>資料儲存!E3350</f>
        <v>0</v>
      </c>
      <c r="AE142" s="49">
        <f>資料儲存!F3350</f>
        <v>0</v>
      </c>
      <c r="AF142" s="49">
        <f>資料儲存!G3350</f>
        <v>0</v>
      </c>
      <c r="AG142" s="49">
        <f>資料儲存!H3350</f>
        <v>0</v>
      </c>
      <c r="AH142" s="49">
        <f>資料儲存!I3350</f>
        <v>0</v>
      </c>
      <c r="AI142" s="49">
        <f>資料儲存!J3350</f>
        <v>0</v>
      </c>
      <c r="AJ142" s="52"/>
      <c r="AK142" s="70">
        <v>49</v>
      </c>
      <c r="AL142" s="49">
        <f>資料儲存!D3470</f>
        <v>0</v>
      </c>
      <c r="AM142" s="49">
        <f>資料儲存!E3470</f>
        <v>0</v>
      </c>
      <c r="AN142" s="49">
        <f>資料儲存!F3470</f>
        <v>0</v>
      </c>
      <c r="AO142" s="49">
        <f>資料儲存!G3470</f>
        <v>0</v>
      </c>
      <c r="AP142" s="49">
        <f>資料儲存!H3470</f>
        <v>0</v>
      </c>
      <c r="AQ142" s="49">
        <f>資料儲存!I3470</f>
        <v>0</v>
      </c>
      <c r="AR142" s="49">
        <f>資料儲存!J3470</f>
        <v>0</v>
      </c>
      <c r="AT142" s="70">
        <v>49</v>
      </c>
      <c r="AU142" s="49">
        <f>資料儲存!D3590</f>
        <v>0</v>
      </c>
      <c r="AV142" s="49">
        <f>資料儲存!E3590</f>
        <v>0</v>
      </c>
      <c r="AW142" s="49">
        <f>資料儲存!F3590</f>
        <v>0</v>
      </c>
      <c r="AX142" s="49">
        <f>資料儲存!G3590</f>
        <v>0</v>
      </c>
      <c r="AY142" s="49">
        <f>資料儲存!H3590</f>
        <v>0</v>
      </c>
      <c r="AZ142" s="49">
        <f>資料儲存!I3590</f>
        <v>0</v>
      </c>
      <c r="BA142" s="49">
        <f>資料儲存!J3590</f>
        <v>0</v>
      </c>
    </row>
    <row r="143" spans="1:53" s="67" customFormat="1" ht="16" thickBot="1">
      <c r="A143" s="70">
        <v>50</v>
      </c>
      <c r="B143" s="49">
        <f>資料儲存!D2991</f>
        <v>0</v>
      </c>
      <c r="C143" s="49">
        <f>資料儲存!E2991</f>
        <v>0</v>
      </c>
      <c r="D143" s="49">
        <f>資料儲存!F2991</f>
        <v>0</v>
      </c>
      <c r="E143" s="49">
        <f>資料儲存!G2991</f>
        <v>0</v>
      </c>
      <c r="F143" s="49">
        <f>資料儲存!H2991</f>
        <v>0</v>
      </c>
      <c r="G143" s="49">
        <f>資料儲存!I2991</f>
        <v>0</v>
      </c>
      <c r="H143" s="49">
        <f>資料儲存!J2991</f>
        <v>0</v>
      </c>
      <c r="I143" s="52"/>
      <c r="J143" s="70">
        <v>50</v>
      </c>
      <c r="K143" s="49">
        <f>資料儲存!D3111</f>
        <v>0</v>
      </c>
      <c r="L143" s="49">
        <f>資料儲存!E3111</f>
        <v>0</v>
      </c>
      <c r="M143" s="49">
        <f>資料儲存!F3111</f>
        <v>0</v>
      </c>
      <c r="N143" s="49">
        <f>資料儲存!G3111</f>
        <v>0</v>
      </c>
      <c r="O143" s="49">
        <f>資料儲存!H3111</f>
        <v>0</v>
      </c>
      <c r="P143" s="49">
        <f>資料儲存!I3111</f>
        <v>0</v>
      </c>
      <c r="Q143" s="49">
        <f>資料儲存!J3111</f>
        <v>0</v>
      </c>
      <c r="R143" s="52"/>
      <c r="S143" s="70">
        <v>50</v>
      </c>
      <c r="T143" s="49">
        <f>資料儲存!D3231</f>
        <v>0</v>
      </c>
      <c r="U143" s="49">
        <f>資料儲存!E3231</f>
        <v>0</v>
      </c>
      <c r="V143" s="49">
        <f>資料儲存!F3231</f>
        <v>0</v>
      </c>
      <c r="W143" s="49">
        <f>資料儲存!G3231</f>
        <v>0</v>
      </c>
      <c r="X143" s="49">
        <f>資料儲存!H3231</f>
        <v>0</v>
      </c>
      <c r="Y143" s="49">
        <f>資料儲存!I3231</f>
        <v>0</v>
      </c>
      <c r="Z143" s="49">
        <f>資料儲存!J3231</f>
        <v>0</v>
      </c>
      <c r="AA143" s="52"/>
      <c r="AB143" s="70">
        <v>50</v>
      </c>
      <c r="AC143" s="49">
        <f>資料儲存!D3351</f>
        <v>0</v>
      </c>
      <c r="AD143" s="49">
        <f>資料儲存!E3351</f>
        <v>0</v>
      </c>
      <c r="AE143" s="49">
        <f>資料儲存!F3351</f>
        <v>0</v>
      </c>
      <c r="AF143" s="49">
        <f>資料儲存!G3351</f>
        <v>0</v>
      </c>
      <c r="AG143" s="49">
        <f>資料儲存!H3351</f>
        <v>0</v>
      </c>
      <c r="AH143" s="49">
        <f>資料儲存!I3351</f>
        <v>0</v>
      </c>
      <c r="AI143" s="49">
        <f>資料儲存!J3351</f>
        <v>0</v>
      </c>
      <c r="AJ143" s="52"/>
      <c r="AK143" s="70">
        <v>50</v>
      </c>
      <c r="AL143" s="49">
        <f>資料儲存!D3471</f>
        <v>0</v>
      </c>
      <c r="AM143" s="49">
        <f>資料儲存!E3471</f>
        <v>0</v>
      </c>
      <c r="AN143" s="49">
        <f>資料儲存!F3471</f>
        <v>0</v>
      </c>
      <c r="AO143" s="49">
        <f>資料儲存!G3471</f>
        <v>0</v>
      </c>
      <c r="AP143" s="49">
        <f>資料儲存!H3471</f>
        <v>0</v>
      </c>
      <c r="AQ143" s="49">
        <f>資料儲存!I3471</f>
        <v>0</v>
      </c>
      <c r="AR143" s="49">
        <f>資料儲存!J3471</f>
        <v>0</v>
      </c>
      <c r="AT143" s="70">
        <v>50</v>
      </c>
      <c r="AU143" s="49">
        <f>資料儲存!D3591</f>
        <v>0</v>
      </c>
      <c r="AV143" s="49">
        <f>資料儲存!E3591</f>
        <v>0</v>
      </c>
      <c r="AW143" s="49">
        <f>資料儲存!F3591</f>
        <v>0</v>
      </c>
      <c r="AX143" s="49">
        <f>資料儲存!G3591</f>
        <v>0</v>
      </c>
      <c r="AY143" s="49">
        <f>資料儲存!H3591</f>
        <v>0</v>
      </c>
      <c r="AZ143" s="49">
        <f>資料儲存!I3591</f>
        <v>0</v>
      </c>
      <c r="BA143" s="49">
        <f>資料儲存!J3591</f>
        <v>0</v>
      </c>
    </row>
    <row r="144" spans="1:53" s="67" customFormat="1" ht="16" thickBot="1">
      <c r="A144" s="70">
        <v>51</v>
      </c>
      <c r="B144" s="49">
        <f>資料儲存!D2992</f>
        <v>0</v>
      </c>
      <c r="C144" s="49">
        <f>資料儲存!E2992</f>
        <v>0</v>
      </c>
      <c r="D144" s="49">
        <f>資料儲存!F2992</f>
        <v>0</v>
      </c>
      <c r="E144" s="49">
        <f>資料儲存!G2992</f>
        <v>0</v>
      </c>
      <c r="F144" s="49">
        <f>資料儲存!H2992</f>
        <v>0</v>
      </c>
      <c r="G144" s="49">
        <f>資料儲存!I2992</f>
        <v>0</v>
      </c>
      <c r="H144" s="49">
        <f>資料儲存!J2992</f>
        <v>0</v>
      </c>
      <c r="I144" s="52"/>
      <c r="J144" s="70">
        <v>51</v>
      </c>
      <c r="K144" s="49">
        <f>資料儲存!D3112</f>
        <v>0</v>
      </c>
      <c r="L144" s="49">
        <f>資料儲存!E3112</f>
        <v>0</v>
      </c>
      <c r="M144" s="49">
        <f>資料儲存!F3112</f>
        <v>0</v>
      </c>
      <c r="N144" s="49">
        <f>資料儲存!G3112</f>
        <v>0</v>
      </c>
      <c r="O144" s="49">
        <f>資料儲存!H3112</f>
        <v>0</v>
      </c>
      <c r="P144" s="49">
        <f>資料儲存!I3112</f>
        <v>0</v>
      </c>
      <c r="Q144" s="49">
        <f>資料儲存!J3112</f>
        <v>0</v>
      </c>
      <c r="R144" s="52"/>
      <c r="S144" s="70">
        <v>51</v>
      </c>
      <c r="T144" s="49">
        <f>資料儲存!D3232</f>
        <v>0</v>
      </c>
      <c r="U144" s="49">
        <f>資料儲存!E3232</f>
        <v>0</v>
      </c>
      <c r="V144" s="49">
        <f>資料儲存!F3232</f>
        <v>0</v>
      </c>
      <c r="W144" s="49">
        <f>資料儲存!G3232</f>
        <v>0</v>
      </c>
      <c r="X144" s="49">
        <f>資料儲存!H3232</f>
        <v>0</v>
      </c>
      <c r="Y144" s="49">
        <f>資料儲存!I3232</f>
        <v>0</v>
      </c>
      <c r="Z144" s="49">
        <f>資料儲存!J3232</f>
        <v>0</v>
      </c>
      <c r="AA144" s="52"/>
      <c r="AB144" s="70">
        <v>51</v>
      </c>
      <c r="AC144" s="49">
        <f>資料儲存!D3352</f>
        <v>0</v>
      </c>
      <c r="AD144" s="49">
        <f>資料儲存!E3352</f>
        <v>0</v>
      </c>
      <c r="AE144" s="49">
        <f>資料儲存!F3352</f>
        <v>0</v>
      </c>
      <c r="AF144" s="49">
        <f>資料儲存!G3352</f>
        <v>0</v>
      </c>
      <c r="AG144" s="49">
        <f>資料儲存!H3352</f>
        <v>0</v>
      </c>
      <c r="AH144" s="49">
        <f>資料儲存!I3352</f>
        <v>0</v>
      </c>
      <c r="AI144" s="49">
        <f>資料儲存!J3352</f>
        <v>0</v>
      </c>
      <c r="AJ144" s="52"/>
      <c r="AK144" s="70">
        <v>51</v>
      </c>
      <c r="AL144" s="49">
        <f>資料儲存!D3472</f>
        <v>0</v>
      </c>
      <c r="AM144" s="49">
        <f>資料儲存!E3472</f>
        <v>0</v>
      </c>
      <c r="AN144" s="49">
        <f>資料儲存!F3472</f>
        <v>0</v>
      </c>
      <c r="AO144" s="49">
        <f>資料儲存!G3472</f>
        <v>0</v>
      </c>
      <c r="AP144" s="49">
        <f>資料儲存!H3472</f>
        <v>0</v>
      </c>
      <c r="AQ144" s="49">
        <f>資料儲存!I3472</f>
        <v>0</v>
      </c>
      <c r="AR144" s="49">
        <f>資料儲存!J3472</f>
        <v>0</v>
      </c>
      <c r="AT144" s="70">
        <v>51</v>
      </c>
      <c r="AU144" s="49">
        <f>資料儲存!D3592</f>
        <v>0</v>
      </c>
      <c r="AV144" s="49">
        <f>資料儲存!E3592</f>
        <v>0</v>
      </c>
      <c r="AW144" s="49">
        <f>資料儲存!F3592</f>
        <v>0</v>
      </c>
      <c r="AX144" s="49">
        <f>資料儲存!G3592</f>
        <v>0</v>
      </c>
      <c r="AY144" s="49">
        <f>資料儲存!H3592</f>
        <v>0</v>
      </c>
      <c r="AZ144" s="49">
        <f>資料儲存!I3592</f>
        <v>0</v>
      </c>
      <c r="BA144" s="49">
        <f>資料儲存!J3592</f>
        <v>0</v>
      </c>
    </row>
    <row r="145" spans="1:53" s="67" customFormat="1" ht="16" thickBot="1">
      <c r="A145" s="70">
        <v>52</v>
      </c>
      <c r="B145" s="49">
        <f>資料儲存!D2993</f>
        <v>0</v>
      </c>
      <c r="C145" s="49">
        <f>資料儲存!E2993</f>
        <v>0</v>
      </c>
      <c r="D145" s="49">
        <f>資料儲存!F2993</f>
        <v>0</v>
      </c>
      <c r="E145" s="49">
        <f>資料儲存!G2993</f>
        <v>0</v>
      </c>
      <c r="F145" s="49">
        <f>資料儲存!H2993</f>
        <v>0</v>
      </c>
      <c r="G145" s="49">
        <f>資料儲存!I2993</f>
        <v>0</v>
      </c>
      <c r="H145" s="49">
        <f>資料儲存!J2993</f>
        <v>0</v>
      </c>
      <c r="I145" s="52"/>
      <c r="J145" s="70">
        <v>52</v>
      </c>
      <c r="K145" s="49">
        <f>資料儲存!D3113</f>
        <v>0</v>
      </c>
      <c r="L145" s="49">
        <f>資料儲存!E3113</f>
        <v>0</v>
      </c>
      <c r="M145" s="49">
        <f>資料儲存!F3113</f>
        <v>0</v>
      </c>
      <c r="N145" s="49">
        <f>資料儲存!G3113</f>
        <v>0</v>
      </c>
      <c r="O145" s="49">
        <f>資料儲存!H3113</f>
        <v>0</v>
      </c>
      <c r="P145" s="49">
        <f>資料儲存!I3113</f>
        <v>0</v>
      </c>
      <c r="Q145" s="49">
        <f>資料儲存!J3113</f>
        <v>0</v>
      </c>
      <c r="R145" s="52"/>
      <c r="S145" s="70">
        <v>52</v>
      </c>
      <c r="T145" s="49">
        <f>資料儲存!D3233</f>
        <v>0</v>
      </c>
      <c r="U145" s="49">
        <f>資料儲存!E3233</f>
        <v>0</v>
      </c>
      <c r="V145" s="49">
        <f>資料儲存!F3233</f>
        <v>0</v>
      </c>
      <c r="W145" s="49">
        <f>資料儲存!G3233</f>
        <v>0</v>
      </c>
      <c r="X145" s="49">
        <f>資料儲存!H3233</f>
        <v>0</v>
      </c>
      <c r="Y145" s="49">
        <f>資料儲存!I3233</f>
        <v>0</v>
      </c>
      <c r="Z145" s="49">
        <f>資料儲存!J3233</f>
        <v>0</v>
      </c>
      <c r="AA145" s="52"/>
      <c r="AB145" s="70">
        <v>52</v>
      </c>
      <c r="AC145" s="49">
        <f>資料儲存!D3353</f>
        <v>0</v>
      </c>
      <c r="AD145" s="49">
        <f>資料儲存!E3353</f>
        <v>0</v>
      </c>
      <c r="AE145" s="49">
        <f>資料儲存!F3353</f>
        <v>0</v>
      </c>
      <c r="AF145" s="49">
        <f>資料儲存!G3353</f>
        <v>0</v>
      </c>
      <c r="AG145" s="49">
        <f>資料儲存!H3353</f>
        <v>0</v>
      </c>
      <c r="AH145" s="49">
        <f>資料儲存!I3353</f>
        <v>0</v>
      </c>
      <c r="AI145" s="49">
        <f>資料儲存!J3353</f>
        <v>0</v>
      </c>
      <c r="AJ145" s="52"/>
      <c r="AK145" s="70">
        <v>52</v>
      </c>
      <c r="AL145" s="49">
        <f>資料儲存!D3473</f>
        <v>0</v>
      </c>
      <c r="AM145" s="49">
        <f>資料儲存!E3473</f>
        <v>0</v>
      </c>
      <c r="AN145" s="49">
        <f>資料儲存!F3473</f>
        <v>0</v>
      </c>
      <c r="AO145" s="49">
        <f>資料儲存!G3473</f>
        <v>0</v>
      </c>
      <c r="AP145" s="49">
        <f>資料儲存!H3473</f>
        <v>0</v>
      </c>
      <c r="AQ145" s="49">
        <f>資料儲存!I3473</f>
        <v>0</v>
      </c>
      <c r="AR145" s="49">
        <f>資料儲存!J3473</f>
        <v>0</v>
      </c>
      <c r="AT145" s="70">
        <v>52</v>
      </c>
      <c r="AU145" s="49">
        <f>資料儲存!D3593</f>
        <v>0</v>
      </c>
      <c r="AV145" s="49">
        <f>資料儲存!E3593</f>
        <v>0</v>
      </c>
      <c r="AW145" s="49">
        <f>資料儲存!F3593</f>
        <v>0</v>
      </c>
      <c r="AX145" s="49">
        <f>資料儲存!G3593</f>
        <v>0</v>
      </c>
      <c r="AY145" s="49">
        <f>資料儲存!H3593</f>
        <v>0</v>
      </c>
      <c r="AZ145" s="49">
        <f>資料儲存!I3593</f>
        <v>0</v>
      </c>
      <c r="BA145" s="49">
        <f>資料儲存!J3593</f>
        <v>0</v>
      </c>
    </row>
    <row r="146" spans="1:53" s="67" customFormat="1" ht="16" thickBot="1">
      <c r="A146" s="70">
        <v>53</v>
      </c>
      <c r="B146" s="49">
        <f>資料儲存!D2994</f>
        <v>0</v>
      </c>
      <c r="C146" s="49">
        <f>資料儲存!E2994</f>
        <v>0</v>
      </c>
      <c r="D146" s="49">
        <f>資料儲存!F2994</f>
        <v>0</v>
      </c>
      <c r="E146" s="49">
        <f>資料儲存!G2994</f>
        <v>0</v>
      </c>
      <c r="F146" s="49">
        <f>資料儲存!H2994</f>
        <v>0</v>
      </c>
      <c r="G146" s="49">
        <f>資料儲存!I2994</f>
        <v>0</v>
      </c>
      <c r="H146" s="49">
        <f>資料儲存!J2994</f>
        <v>0</v>
      </c>
      <c r="I146" s="52"/>
      <c r="J146" s="70">
        <v>53</v>
      </c>
      <c r="K146" s="49">
        <f>資料儲存!D3114</f>
        <v>0</v>
      </c>
      <c r="L146" s="49">
        <f>資料儲存!E3114</f>
        <v>0</v>
      </c>
      <c r="M146" s="49">
        <f>資料儲存!F3114</f>
        <v>0</v>
      </c>
      <c r="N146" s="49">
        <f>資料儲存!G3114</f>
        <v>0</v>
      </c>
      <c r="O146" s="49">
        <f>資料儲存!H3114</f>
        <v>0</v>
      </c>
      <c r="P146" s="49">
        <f>資料儲存!I3114</f>
        <v>0</v>
      </c>
      <c r="Q146" s="49">
        <f>資料儲存!J3114</f>
        <v>0</v>
      </c>
      <c r="R146" s="52"/>
      <c r="S146" s="70">
        <v>53</v>
      </c>
      <c r="T146" s="49">
        <f>資料儲存!D3234</f>
        <v>0</v>
      </c>
      <c r="U146" s="49">
        <f>資料儲存!E3234</f>
        <v>0</v>
      </c>
      <c r="V146" s="49">
        <f>資料儲存!F3234</f>
        <v>0</v>
      </c>
      <c r="W146" s="49">
        <f>資料儲存!G3234</f>
        <v>0</v>
      </c>
      <c r="X146" s="49">
        <f>資料儲存!H3234</f>
        <v>0</v>
      </c>
      <c r="Y146" s="49">
        <f>資料儲存!I3234</f>
        <v>0</v>
      </c>
      <c r="Z146" s="49">
        <f>資料儲存!J3234</f>
        <v>0</v>
      </c>
      <c r="AA146" s="52"/>
      <c r="AB146" s="70">
        <v>53</v>
      </c>
      <c r="AC146" s="49">
        <f>資料儲存!D3354</f>
        <v>0</v>
      </c>
      <c r="AD146" s="49">
        <f>資料儲存!E3354</f>
        <v>0</v>
      </c>
      <c r="AE146" s="49">
        <f>資料儲存!F3354</f>
        <v>0</v>
      </c>
      <c r="AF146" s="49">
        <f>資料儲存!G3354</f>
        <v>0</v>
      </c>
      <c r="AG146" s="49">
        <f>資料儲存!H3354</f>
        <v>0</v>
      </c>
      <c r="AH146" s="49">
        <f>資料儲存!I3354</f>
        <v>0</v>
      </c>
      <c r="AI146" s="49">
        <f>資料儲存!J3354</f>
        <v>0</v>
      </c>
      <c r="AJ146" s="52"/>
      <c r="AK146" s="70">
        <v>53</v>
      </c>
      <c r="AL146" s="49">
        <f>資料儲存!D3474</f>
        <v>0</v>
      </c>
      <c r="AM146" s="49">
        <f>資料儲存!E3474</f>
        <v>0</v>
      </c>
      <c r="AN146" s="49">
        <f>資料儲存!F3474</f>
        <v>0</v>
      </c>
      <c r="AO146" s="49">
        <f>資料儲存!G3474</f>
        <v>0</v>
      </c>
      <c r="AP146" s="49">
        <f>資料儲存!H3474</f>
        <v>0</v>
      </c>
      <c r="AQ146" s="49">
        <f>資料儲存!I3474</f>
        <v>0</v>
      </c>
      <c r="AR146" s="49">
        <f>資料儲存!J3474</f>
        <v>0</v>
      </c>
      <c r="AT146" s="70">
        <v>53</v>
      </c>
      <c r="AU146" s="49">
        <f>資料儲存!D3594</f>
        <v>0</v>
      </c>
      <c r="AV146" s="49">
        <f>資料儲存!E3594</f>
        <v>0</v>
      </c>
      <c r="AW146" s="49">
        <f>資料儲存!F3594</f>
        <v>0</v>
      </c>
      <c r="AX146" s="49">
        <f>資料儲存!G3594</f>
        <v>0</v>
      </c>
      <c r="AY146" s="49">
        <f>資料儲存!H3594</f>
        <v>0</v>
      </c>
      <c r="AZ146" s="49">
        <f>資料儲存!I3594</f>
        <v>0</v>
      </c>
      <c r="BA146" s="49">
        <f>資料儲存!J3594</f>
        <v>0</v>
      </c>
    </row>
    <row r="147" spans="1:53" s="67" customFormat="1" ht="16" thickBot="1">
      <c r="A147" s="70">
        <v>54</v>
      </c>
      <c r="B147" s="49">
        <f>資料儲存!D2995</f>
        <v>0</v>
      </c>
      <c r="C147" s="49">
        <f>資料儲存!E2995</f>
        <v>0</v>
      </c>
      <c r="D147" s="49">
        <f>資料儲存!F2995</f>
        <v>0</v>
      </c>
      <c r="E147" s="49">
        <f>資料儲存!G2995</f>
        <v>0</v>
      </c>
      <c r="F147" s="49">
        <f>資料儲存!H2995</f>
        <v>0</v>
      </c>
      <c r="G147" s="49">
        <f>資料儲存!I2995</f>
        <v>0</v>
      </c>
      <c r="H147" s="49">
        <f>資料儲存!J2995</f>
        <v>0</v>
      </c>
      <c r="I147" s="52"/>
      <c r="J147" s="70">
        <v>54</v>
      </c>
      <c r="K147" s="49">
        <f>資料儲存!D3115</f>
        <v>0</v>
      </c>
      <c r="L147" s="49">
        <f>資料儲存!E3115</f>
        <v>0</v>
      </c>
      <c r="M147" s="49">
        <f>資料儲存!F3115</f>
        <v>0</v>
      </c>
      <c r="N147" s="49">
        <f>資料儲存!G3115</f>
        <v>0</v>
      </c>
      <c r="O147" s="49">
        <f>資料儲存!H3115</f>
        <v>0</v>
      </c>
      <c r="P147" s="49">
        <f>資料儲存!I3115</f>
        <v>0</v>
      </c>
      <c r="Q147" s="49">
        <f>資料儲存!J3115</f>
        <v>0</v>
      </c>
      <c r="R147" s="52"/>
      <c r="S147" s="70">
        <v>54</v>
      </c>
      <c r="T147" s="49">
        <f>資料儲存!D3235</f>
        <v>0</v>
      </c>
      <c r="U147" s="49">
        <f>資料儲存!E3235</f>
        <v>0</v>
      </c>
      <c r="V147" s="49">
        <f>資料儲存!F3235</f>
        <v>0</v>
      </c>
      <c r="W147" s="49">
        <f>資料儲存!G3235</f>
        <v>0</v>
      </c>
      <c r="X147" s="49">
        <f>資料儲存!H3235</f>
        <v>0</v>
      </c>
      <c r="Y147" s="49">
        <f>資料儲存!I3235</f>
        <v>0</v>
      </c>
      <c r="Z147" s="49">
        <f>資料儲存!J3235</f>
        <v>0</v>
      </c>
      <c r="AA147" s="52"/>
      <c r="AB147" s="70">
        <v>54</v>
      </c>
      <c r="AC147" s="49">
        <f>資料儲存!D3355</f>
        <v>0</v>
      </c>
      <c r="AD147" s="49">
        <f>資料儲存!E3355</f>
        <v>0</v>
      </c>
      <c r="AE147" s="49">
        <f>資料儲存!F3355</f>
        <v>0</v>
      </c>
      <c r="AF147" s="49">
        <f>資料儲存!G3355</f>
        <v>0</v>
      </c>
      <c r="AG147" s="49">
        <f>資料儲存!H3355</f>
        <v>0</v>
      </c>
      <c r="AH147" s="49">
        <f>資料儲存!I3355</f>
        <v>0</v>
      </c>
      <c r="AI147" s="49">
        <f>資料儲存!J3355</f>
        <v>0</v>
      </c>
      <c r="AJ147" s="52"/>
      <c r="AK147" s="70">
        <v>54</v>
      </c>
      <c r="AL147" s="49">
        <f>資料儲存!D3475</f>
        <v>0</v>
      </c>
      <c r="AM147" s="49">
        <f>資料儲存!E3475</f>
        <v>0</v>
      </c>
      <c r="AN147" s="49">
        <f>資料儲存!F3475</f>
        <v>0</v>
      </c>
      <c r="AO147" s="49">
        <f>資料儲存!G3475</f>
        <v>0</v>
      </c>
      <c r="AP147" s="49">
        <f>資料儲存!H3475</f>
        <v>0</v>
      </c>
      <c r="AQ147" s="49">
        <f>資料儲存!I3475</f>
        <v>0</v>
      </c>
      <c r="AR147" s="49">
        <f>資料儲存!J3475</f>
        <v>0</v>
      </c>
      <c r="AT147" s="70">
        <v>54</v>
      </c>
      <c r="AU147" s="49">
        <f>資料儲存!D3595</f>
        <v>0</v>
      </c>
      <c r="AV147" s="49">
        <f>資料儲存!E3595</f>
        <v>0</v>
      </c>
      <c r="AW147" s="49">
        <f>資料儲存!F3595</f>
        <v>0</v>
      </c>
      <c r="AX147" s="49">
        <f>資料儲存!G3595</f>
        <v>0</v>
      </c>
      <c r="AY147" s="49">
        <f>資料儲存!H3595</f>
        <v>0</v>
      </c>
      <c r="AZ147" s="49">
        <f>資料儲存!I3595</f>
        <v>0</v>
      </c>
      <c r="BA147" s="49">
        <f>資料儲存!J3595</f>
        <v>0</v>
      </c>
    </row>
    <row r="148" spans="1:53" s="67" customFormat="1" ht="16" thickBot="1">
      <c r="A148" s="70">
        <v>55</v>
      </c>
      <c r="B148" s="49">
        <f>資料儲存!D2996</f>
        <v>0</v>
      </c>
      <c r="C148" s="49">
        <f>資料儲存!E2996</f>
        <v>0</v>
      </c>
      <c r="D148" s="49">
        <f>資料儲存!F2996</f>
        <v>0</v>
      </c>
      <c r="E148" s="49">
        <f>資料儲存!G2996</f>
        <v>0</v>
      </c>
      <c r="F148" s="49">
        <f>資料儲存!H2996</f>
        <v>0</v>
      </c>
      <c r="G148" s="49">
        <f>資料儲存!I2996</f>
        <v>0</v>
      </c>
      <c r="H148" s="49">
        <f>資料儲存!J2996</f>
        <v>0</v>
      </c>
      <c r="I148" s="52"/>
      <c r="J148" s="70">
        <v>55</v>
      </c>
      <c r="K148" s="49">
        <f>資料儲存!D3116</f>
        <v>0</v>
      </c>
      <c r="L148" s="49">
        <f>資料儲存!E3116</f>
        <v>0</v>
      </c>
      <c r="M148" s="49">
        <f>資料儲存!F3116</f>
        <v>0</v>
      </c>
      <c r="N148" s="49">
        <f>資料儲存!G3116</f>
        <v>0</v>
      </c>
      <c r="O148" s="49">
        <f>資料儲存!H3116</f>
        <v>0</v>
      </c>
      <c r="P148" s="49">
        <f>資料儲存!I3116</f>
        <v>0</v>
      </c>
      <c r="Q148" s="49">
        <f>資料儲存!J3116</f>
        <v>0</v>
      </c>
      <c r="R148" s="52"/>
      <c r="S148" s="70">
        <v>55</v>
      </c>
      <c r="T148" s="49">
        <f>資料儲存!D3236</f>
        <v>0</v>
      </c>
      <c r="U148" s="49">
        <f>資料儲存!E3236</f>
        <v>0</v>
      </c>
      <c r="V148" s="49">
        <f>資料儲存!F3236</f>
        <v>0</v>
      </c>
      <c r="W148" s="49">
        <f>資料儲存!G3236</f>
        <v>0</v>
      </c>
      <c r="X148" s="49">
        <f>資料儲存!H3236</f>
        <v>0</v>
      </c>
      <c r="Y148" s="49">
        <f>資料儲存!I3236</f>
        <v>0</v>
      </c>
      <c r="Z148" s="49">
        <f>資料儲存!J3236</f>
        <v>0</v>
      </c>
      <c r="AA148" s="52"/>
      <c r="AB148" s="70">
        <v>55</v>
      </c>
      <c r="AC148" s="49">
        <f>資料儲存!D3356</f>
        <v>0</v>
      </c>
      <c r="AD148" s="49">
        <f>資料儲存!E3356</f>
        <v>0</v>
      </c>
      <c r="AE148" s="49">
        <f>資料儲存!F3356</f>
        <v>0</v>
      </c>
      <c r="AF148" s="49">
        <f>資料儲存!G3356</f>
        <v>0</v>
      </c>
      <c r="AG148" s="49">
        <f>資料儲存!H3356</f>
        <v>0</v>
      </c>
      <c r="AH148" s="49">
        <f>資料儲存!I3356</f>
        <v>0</v>
      </c>
      <c r="AI148" s="49">
        <f>資料儲存!J3356</f>
        <v>0</v>
      </c>
      <c r="AJ148" s="52"/>
      <c r="AK148" s="70">
        <v>55</v>
      </c>
      <c r="AL148" s="49">
        <f>資料儲存!D3476</f>
        <v>0</v>
      </c>
      <c r="AM148" s="49">
        <f>資料儲存!E3476</f>
        <v>0</v>
      </c>
      <c r="AN148" s="49">
        <f>資料儲存!F3476</f>
        <v>0</v>
      </c>
      <c r="AO148" s="49">
        <f>資料儲存!G3476</f>
        <v>0</v>
      </c>
      <c r="AP148" s="49">
        <f>資料儲存!H3476</f>
        <v>0</v>
      </c>
      <c r="AQ148" s="49">
        <f>資料儲存!I3476</f>
        <v>0</v>
      </c>
      <c r="AR148" s="49">
        <f>資料儲存!J3476</f>
        <v>0</v>
      </c>
      <c r="AT148" s="70">
        <v>55</v>
      </c>
      <c r="AU148" s="49">
        <f>資料儲存!D3596</f>
        <v>0</v>
      </c>
      <c r="AV148" s="49">
        <f>資料儲存!E3596</f>
        <v>0</v>
      </c>
      <c r="AW148" s="49">
        <f>資料儲存!F3596</f>
        <v>0</v>
      </c>
      <c r="AX148" s="49">
        <f>資料儲存!G3596</f>
        <v>0</v>
      </c>
      <c r="AY148" s="49">
        <f>資料儲存!H3596</f>
        <v>0</v>
      </c>
      <c r="AZ148" s="49">
        <f>資料儲存!I3596</f>
        <v>0</v>
      </c>
      <c r="BA148" s="49">
        <f>資料儲存!J3596</f>
        <v>0</v>
      </c>
    </row>
    <row r="149" spans="1:53" s="67" customFormat="1" ht="16" thickBot="1">
      <c r="A149" s="70">
        <v>56</v>
      </c>
      <c r="B149" s="49">
        <f>資料儲存!D2997</f>
        <v>0</v>
      </c>
      <c r="C149" s="49">
        <f>資料儲存!E2997</f>
        <v>0</v>
      </c>
      <c r="D149" s="49">
        <f>資料儲存!F2997</f>
        <v>0</v>
      </c>
      <c r="E149" s="49">
        <f>資料儲存!G2997</f>
        <v>0</v>
      </c>
      <c r="F149" s="49">
        <f>資料儲存!H2997</f>
        <v>0</v>
      </c>
      <c r="G149" s="49">
        <f>資料儲存!I2997</f>
        <v>0</v>
      </c>
      <c r="H149" s="49">
        <f>資料儲存!J2997</f>
        <v>0</v>
      </c>
      <c r="I149" s="52"/>
      <c r="J149" s="70">
        <v>56</v>
      </c>
      <c r="K149" s="49">
        <f>資料儲存!D3117</f>
        <v>0</v>
      </c>
      <c r="L149" s="49">
        <f>資料儲存!E3117</f>
        <v>0</v>
      </c>
      <c r="M149" s="49">
        <f>資料儲存!F3117</f>
        <v>0</v>
      </c>
      <c r="N149" s="49">
        <f>資料儲存!G3117</f>
        <v>0</v>
      </c>
      <c r="O149" s="49">
        <f>資料儲存!H3117</f>
        <v>0</v>
      </c>
      <c r="P149" s="49">
        <f>資料儲存!I3117</f>
        <v>0</v>
      </c>
      <c r="Q149" s="49">
        <f>資料儲存!J3117</f>
        <v>0</v>
      </c>
      <c r="R149" s="52"/>
      <c r="S149" s="70">
        <v>56</v>
      </c>
      <c r="T149" s="49">
        <f>資料儲存!D3237</f>
        <v>0</v>
      </c>
      <c r="U149" s="49">
        <f>資料儲存!E3237</f>
        <v>0</v>
      </c>
      <c r="V149" s="49">
        <f>資料儲存!F3237</f>
        <v>0</v>
      </c>
      <c r="W149" s="49">
        <f>資料儲存!G3237</f>
        <v>0</v>
      </c>
      <c r="X149" s="49">
        <f>資料儲存!H3237</f>
        <v>0</v>
      </c>
      <c r="Y149" s="49">
        <f>資料儲存!I3237</f>
        <v>0</v>
      </c>
      <c r="Z149" s="49">
        <f>資料儲存!J3237</f>
        <v>0</v>
      </c>
      <c r="AA149" s="52"/>
      <c r="AB149" s="70">
        <v>56</v>
      </c>
      <c r="AC149" s="49">
        <f>資料儲存!D3357</f>
        <v>0</v>
      </c>
      <c r="AD149" s="49">
        <f>資料儲存!E3357</f>
        <v>0</v>
      </c>
      <c r="AE149" s="49">
        <f>資料儲存!F3357</f>
        <v>0</v>
      </c>
      <c r="AF149" s="49">
        <f>資料儲存!G3357</f>
        <v>0</v>
      </c>
      <c r="AG149" s="49">
        <f>資料儲存!H3357</f>
        <v>0</v>
      </c>
      <c r="AH149" s="49">
        <f>資料儲存!I3357</f>
        <v>0</v>
      </c>
      <c r="AI149" s="49">
        <f>資料儲存!J3357</f>
        <v>0</v>
      </c>
      <c r="AJ149" s="52"/>
      <c r="AK149" s="70">
        <v>56</v>
      </c>
      <c r="AL149" s="49">
        <f>資料儲存!D3477</f>
        <v>0</v>
      </c>
      <c r="AM149" s="49">
        <f>資料儲存!E3477</f>
        <v>0</v>
      </c>
      <c r="AN149" s="49">
        <f>資料儲存!F3477</f>
        <v>0</v>
      </c>
      <c r="AO149" s="49">
        <f>資料儲存!G3477</f>
        <v>0</v>
      </c>
      <c r="AP149" s="49">
        <f>資料儲存!H3477</f>
        <v>0</v>
      </c>
      <c r="AQ149" s="49">
        <f>資料儲存!I3477</f>
        <v>0</v>
      </c>
      <c r="AR149" s="49">
        <f>資料儲存!J3477</f>
        <v>0</v>
      </c>
      <c r="AT149" s="70">
        <v>56</v>
      </c>
      <c r="AU149" s="49">
        <f>資料儲存!D3597</f>
        <v>0</v>
      </c>
      <c r="AV149" s="49">
        <f>資料儲存!E3597</f>
        <v>0</v>
      </c>
      <c r="AW149" s="49">
        <f>資料儲存!F3597</f>
        <v>0</v>
      </c>
      <c r="AX149" s="49">
        <f>資料儲存!G3597</f>
        <v>0</v>
      </c>
      <c r="AY149" s="49">
        <f>資料儲存!H3597</f>
        <v>0</v>
      </c>
      <c r="AZ149" s="49">
        <f>資料儲存!I3597</f>
        <v>0</v>
      </c>
      <c r="BA149" s="49">
        <f>資料儲存!J3597</f>
        <v>0</v>
      </c>
    </row>
    <row r="150" spans="1:53" s="67" customFormat="1" ht="16" thickBot="1">
      <c r="A150" s="70">
        <v>57</v>
      </c>
      <c r="B150" s="49">
        <f>資料儲存!D2998</f>
        <v>0</v>
      </c>
      <c r="C150" s="49">
        <f>資料儲存!E2998</f>
        <v>0</v>
      </c>
      <c r="D150" s="49">
        <f>資料儲存!F2998</f>
        <v>0</v>
      </c>
      <c r="E150" s="49">
        <f>資料儲存!G2998</f>
        <v>0</v>
      </c>
      <c r="F150" s="49">
        <f>資料儲存!H2998</f>
        <v>0</v>
      </c>
      <c r="G150" s="49">
        <f>資料儲存!I2998</f>
        <v>0</v>
      </c>
      <c r="H150" s="49">
        <f>資料儲存!J2998</f>
        <v>0</v>
      </c>
      <c r="I150" s="52"/>
      <c r="J150" s="70">
        <v>57</v>
      </c>
      <c r="K150" s="49">
        <f>資料儲存!D3118</f>
        <v>0</v>
      </c>
      <c r="L150" s="49">
        <f>資料儲存!E3118</f>
        <v>0</v>
      </c>
      <c r="M150" s="49">
        <f>資料儲存!F3118</f>
        <v>0</v>
      </c>
      <c r="N150" s="49">
        <f>資料儲存!G3118</f>
        <v>0</v>
      </c>
      <c r="O150" s="49">
        <f>資料儲存!H3118</f>
        <v>0</v>
      </c>
      <c r="P150" s="49">
        <f>資料儲存!I3118</f>
        <v>0</v>
      </c>
      <c r="Q150" s="49">
        <f>資料儲存!J3118</f>
        <v>0</v>
      </c>
      <c r="R150" s="52"/>
      <c r="S150" s="70">
        <v>57</v>
      </c>
      <c r="T150" s="49">
        <f>資料儲存!D3238</f>
        <v>0</v>
      </c>
      <c r="U150" s="49">
        <f>資料儲存!E3238</f>
        <v>0</v>
      </c>
      <c r="V150" s="49">
        <f>資料儲存!F3238</f>
        <v>0</v>
      </c>
      <c r="W150" s="49">
        <f>資料儲存!G3238</f>
        <v>0</v>
      </c>
      <c r="X150" s="49">
        <f>資料儲存!H3238</f>
        <v>0</v>
      </c>
      <c r="Y150" s="49">
        <f>資料儲存!I3238</f>
        <v>0</v>
      </c>
      <c r="Z150" s="49">
        <f>資料儲存!J3238</f>
        <v>0</v>
      </c>
      <c r="AA150" s="52"/>
      <c r="AB150" s="70">
        <v>57</v>
      </c>
      <c r="AC150" s="49">
        <f>資料儲存!D3358</f>
        <v>0</v>
      </c>
      <c r="AD150" s="49">
        <f>資料儲存!E3358</f>
        <v>0</v>
      </c>
      <c r="AE150" s="49">
        <f>資料儲存!F3358</f>
        <v>0</v>
      </c>
      <c r="AF150" s="49">
        <f>資料儲存!G3358</f>
        <v>0</v>
      </c>
      <c r="AG150" s="49">
        <f>資料儲存!H3358</f>
        <v>0</v>
      </c>
      <c r="AH150" s="49">
        <f>資料儲存!I3358</f>
        <v>0</v>
      </c>
      <c r="AI150" s="49">
        <f>資料儲存!J3358</f>
        <v>0</v>
      </c>
      <c r="AJ150" s="52"/>
      <c r="AK150" s="70">
        <v>57</v>
      </c>
      <c r="AL150" s="49">
        <f>資料儲存!D3478</f>
        <v>0</v>
      </c>
      <c r="AM150" s="49">
        <f>資料儲存!E3478</f>
        <v>0</v>
      </c>
      <c r="AN150" s="49">
        <f>資料儲存!F3478</f>
        <v>0</v>
      </c>
      <c r="AO150" s="49">
        <f>資料儲存!G3478</f>
        <v>0</v>
      </c>
      <c r="AP150" s="49">
        <f>資料儲存!H3478</f>
        <v>0</v>
      </c>
      <c r="AQ150" s="49">
        <f>資料儲存!I3478</f>
        <v>0</v>
      </c>
      <c r="AR150" s="49">
        <f>資料儲存!J3478</f>
        <v>0</v>
      </c>
      <c r="AT150" s="70">
        <v>57</v>
      </c>
      <c r="AU150" s="49">
        <f>資料儲存!D3598</f>
        <v>0</v>
      </c>
      <c r="AV150" s="49">
        <f>資料儲存!E3598</f>
        <v>0</v>
      </c>
      <c r="AW150" s="49">
        <f>資料儲存!F3598</f>
        <v>0</v>
      </c>
      <c r="AX150" s="49">
        <f>資料儲存!G3598</f>
        <v>0</v>
      </c>
      <c r="AY150" s="49">
        <f>資料儲存!H3598</f>
        <v>0</v>
      </c>
      <c r="AZ150" s="49">
        <f>資料儲存!I3598</f>
        <v>0</v>
      </c>
      <c r="BA150" s="49">
        <f>資料儲存!J3598</f>
        <v>0</v>
      </c>
    </row>
    <row r="151" spans="1:53" s="67" customFormat="1" ht="16" thickBot="1">
      <c r="A151" s="70">
        <v>58</v>
      </c>
      <c r="B151" s="49">
        <f>資料儲存!D2999</f>
        <v>0</v>
      </c>
      <c r="C151" s="49">
        <f>資料儲存!E2999</f>
        <v>0</v>
      </c>
      <c r="D151" s="49">
        <f>資料儲存!F2999</f>
        <v>0</v>
      </c>
      <c r="E151" s="49">
        <f>資料儲存!G2999</f>
        <v>0</v>
      </c>
      <c r="F151" s="49">
        <f>資料儲存!H2999</f>
        <v>0</v>
      </c>
      <c r="G151" s="49">
        <f>資料儲存!I2999</f>
        <v>0</v>
      </c>
      <c r="H151" s="49">
        <f>資料儲存!J2999</f>
        <v>0</v>
      </c>
      <c r="I151" s="52"/>
      <c r="J151" s="70">
        <v>58</v>
      </c>
      <c r="K151" s="49">
        <f>資料儲存!D3119</f>
        <v>0</v>
      </c>
      <c r="L151" s="49">
        <f>資料儲存!E3119</f>
        <v>0</v>
      </c>
      <c r="M151" s="49">
        <f>資料儲存!F3119</f>
        <v>0</v>
      </c>
      <c r="N151" s="49">
        <f>資料儲存!G3119</f>
        <v>0</v>
      </c>
      <c r="O151" s="49">
        <f>資料儲存!H3119</f>
        <v>0</v>
      </c>
      <c r="P151" s="49">
        <f>資料儲存!I3119</f>
        <v>0</v>
      </c>
      <c r="Q151" s="49">
        <f>資料儲存!J3119</f>
        <v>0</v>
      </c>
      <c r="R151" s="52"/>
      <c r="S151" s="70">
        <v>58</v>
      </c>
      <c r="T151" s="49">
        <f>資料儲存!D3239</f>
        <v>0</v>
      </c>
      <c r="U151" s="49">
        <f>資料儲存!E3239</f>
        <v>0</v>
      </c>
      <c r="V151" s="49">
        <f>資料儲存!F3239</f>
        <v>0</v>
      </c>
      <c r="W151" s="49">
        <f>資料儲存!G3239</f>
        <v>0</v>
      </c>
      <c r="X151" s="49">
        <f>資料儲存!H3239</f>
        <v>0</v>
      </c>
      <c r="Y151" s="49">
        <f>資料儲存!I3239</f>
        <v>0</v>
      </c>
      <c r="Z151" s="49">
        <f>資料儲存!J3239</f>
        <v>0</v>
      </c>
      <c r="AA151" s="52"/>
      <c r="AB151" s="70">
        <v>58</v>
      </c>
      <c r="AC151" s="49">
        <f>資料儲存!D3359</f>
        <v>0</v>
      </c>
      <c r="AD151" s="49">
        <f>資料儲存!E3359</f>
        <v>0</v>
      </c>
      <c r="AE151" s="49">
        <f>資料儲存!F3359</f>
        <v>0</v>
      </c>
      <c r="AF151" s="49">
        <f>資料儲存!G3359</f>
        <v>0</v>
      </c>
      <c r="AG151" s="49">
        <f>資料儲存!H3359</f>
        <v>0</v>
      </c>
      <c r="AH151" s="49">
        <f>資料儲存!I3359</f>
        <v>0</v>
      </c>
      <c r="AI151" s="49">
        <f>資料儲存!J3359</f>
        <v>0</v>
      </c>
      <c r="AJ151" s="52"/>
      <c r="AK151" s="70">
        <v>58</v>
      </c>
      <c r="AL151" s="49">
        <f>資料儲存!D3479</f>
        <v>0</v>
      </c>
      <c r="AM151" s="49">
        <f>資料儲存!E3479</f>
        <v>0</v>
      </c>
      <c r="AN151" s="49">
        <f>資料儲存!F3479</f>
        <v>0</v>
      </c>
      <c r="AO151" s="49">
        <f>資料儲存!G3479</f>
        <v>0</v>
      </c>
      <c r="AP151" s="49">
        <f>資料儲存!H3479</f>
        <v>0</v>
      </c>
      <c r="AQ151" s="49">
        <f>資料儲存!I3479</f>
        <v>0</v>
      </c>
      <c r="AR151" s="49">
        <f>資料儲存!J3479</f>
        <v>0</v>
      </c>
      <c r="AT151" s="70">
        <v>58</v>
      </c>
      <c r="AU151" s="49">
        <f>資料儲存!D3599</f>
        <v>0</v>
      </c>
      <c r="AV151" s="49">
        <f>資料儲存!E3599</f>
        <v>0</v>
      </c>
      <c r="AW151" s="49">
        <f>資料儲存!F3599</f>
        <v>0</v>
      </c>
      <c r="AX151" s="49">
        <f>資料儲存!G3599</f>
        <v>0</v>
      </c>
      <c r="AY151" s="49">
        <f>資料儲存!H3599</f>
        <v>0</v>
      </c>
      <c r="AZ151" s="49">
        <f>資料儲存!I3599</f>
        <v>0</v>
      </c>
      <c r="BA151" s="49">
        <f>資料儲存!J3599</f>
        <v>0</v>
      </c>
    </row>
    <row r="152" spans="1:53" s="67" customFormat="1" ht="16" thickBot="1">
      <c r="A152" s="70">
        <v>59</v>
      </c>
      <c r="B152" s="49">
        <f>資料儲存!D3000</f>
        <v>0</v>
      </c>
      <c r="C152" s="49">
        <f>資料儲存!E3000</f>
        <v>0</v>
      </c>
      <c r="D152" s="49">
        <f>資料儲存!F3000</f>
        <v>0</v>
      </c>
      <c r="E152" s="49">
        <f>資料儲存!G3000</f>
        <v>0</v>
      </c>
      <c r="F152" s="49">
        <f>資料儲存!H3000</f>
        <v>0</v>
      </c>
      <c r="G152" s="49">
        <f>資料儲存!I3000</f>
        <v>0</v>
      </c>
      <c r="H152" s="49">
        <f>資料儲存!J3000</f>
        <v>0</v>
      </c>
      <c r="I152" s="52"/>
      <c r="J152" s="70">
        <v>59</v>
      </c>
      <c r="K152" s="49">
        <f>資料儲存!D3120</f>
        <v>0</v>
      </c>
      <c r="L152" s="49">
        <f>資料儲存!E3120</f>
        <v>0</v>
      </c>
      <c r="M152" s="49">
        <f>資料儲存!F3120</f>
        <v>0</v>
      </c>
      <c r="N152" s="49">
        <f>資料儲存!G3120</f>
        <v>0</v>
      </c>
      <c r="O152" s="49">
        <f>資料儲存!H3120</f>
        <v>0</v>
      </c>
      <c r="P152" s="49">
        <f>資料儲存!I3120</f>
        <v>0</v>
      </c>
      <c r="Q152" s="49">
        <f>資料儲存!J3120</f>
        <v>0</v>
      </c>
      <c r="R152" s="52"/>
      <c r="S152" s="70">
        <v>59</v>
      </c>
      <c r="T152" s="49">
        <f>資料儲存!D3240</f>
        <v>0</v>
      </c>
      <c r="U152" s="49">
        <f>資料儲存!E3240</f>
        <v>0</v>
      </c>
      <c r="V152" s="49">
        <f>資料儲存!F3240</f>
        <v>0</v>
      </c>
      <c r="W152" s="49">
        <f>資料儲存!G3240</f>
        <v>0</v>
      </c>
      <c r="X152" s="49">
        <f>資料儲存!H3240</f>
        <v>0</v>
      </c>
      <c r="Y152" s="49">
        <f>資料儲存!I3240</f>
        <v>0</v>
      </c>
      <c r="Z152" s="49">
        <f>資料儲存!J3240</f>
        <v>0</v>
      </c>
      <c r="AA152" s="52"/>
      <c r="AB152" s="70">
        <v>59</v>
      </c>
      <c r="AC152" s="49">
        <f>資料儲存!D3360</f>
        <v>0</v>
      </c>
      <c r="AD152" s="49">
        <f>資料儲存!E3360</f>
        <v>0</v>
      </c>
      <c r="AE152" s="49">
        <f>資料儲存!F3360</f>
        <v>0</v>
      </c>
      <c r="AF152" s="49">
        <f>資料儲存!G3360</f>
        <v>0</v>
      </c>
      <c r="AG152" s="49">
        <f>資料儲存!H3360</f>
        <v>0</v>
      </c>
      <c r="AH152" s="49">
        <f>資料儲存!I3360</f>
        <v>0</v>
      </c>
      <c r="AI152" s="49">
        <f>資料儲存!J3360</f>
        <v>0</v>
      </c>
      <c r="AJ152" s="52"/>
      <c r="AK152" s="70">
        <v>59</v>
      </c>
      <c r="AL152" s="49">
        <f>資料儲存!D3480</f>
        <v>0</v>
      </c>
      <c r="AM152" s="49">
        <f>資料儲存!E3480</f>
        <v>0</v>
      </c>
      <c r="AN152" s="49">
        <f>資料儲存!F3480</f>
        <v>0</v>
      </c>
      <c r="AO152" s="49">
        <f>資料儲存!G3480</f>
        <v>0</v>
      </c>
      <c r="AP152" s="49">
        <f>資料儲存!H3480</f>
        <v>0</v>
      </c>
      <c r="AQ152" s="49">
        <f>資料儲存!I3480</f>
        <v>0</v>
      </c>
      <c r="AR152" s="49">
        <f>資料儲存!J3480</f>
        <v>0</v>
      </c>
      <c r="AT152" s="70">
        <v>59</v>
      </c>
      <c r="AU152" s="49">
        <f>資料儲存!D3600</f>
        <v>0</v>
      </c>
      <c r="AV152" s="49">
        <f>資料儲存!E3600</f>
        <v>0</v>
      </c>
      <c r="AW152" s="49">
        <f>資料儲存!F3600</f>
        <v>0</v>
      </c>
      <c r="AX152" s="49">
        <f>資料儲存!G3600</f>
        <v>0</v>
      </c>
      <c r="AY152" s="49">
        <f>資料儲存!H3600</f>
        <v>0</v>
      </c>
      <c r="AZ152" s="49">
        <f>資料儲存!I3600</f>
        <v>0</v>
      </c>
      <c r="BA152" s="49">
        <f>資料儲存!J3600</f>
        <v>0</v>
      </c>
    </row>
    <row r="153" spans="1:53" s="67" customFormat="1" ht="16" thickBot="1">
      <c r="A153" s="70">
        <v>60</v>
      </c>
      <c r="B153" s="49">
        <f>資料儲存!D3001</f>
        <v>0</v>
      </c>
      <c r="C153" s="49">
        <f>資料儲存!E3001</f>
        <v>0</v>
      </c>
      <c r="D153" s="49">
        <f>資料儲存!F3001</f>
        <v>0</v>
      </c>
      <c r="E153" s="49">
        <f>資料儲存!G3001</f>
        <v>0</v>
      </c>
      <c r="F153" s="49">
        <f>資料儲存!H3001</f>
        <v>0</v>
      </c>
      <c r="G153" s="49">
        <f>資料儲存!I3001</f>
        <v>0</v>
      </c>
      <c r="H153" s="49">
        <f>資料儲存!J3001</f>
        <v>0</v>
      </c>
      <c r="I153" s="52"/>
      <c r="J153" s="70">
        <v>60</v>
      </c>
      <c r="K153" s="49">
        <f>資料儲存!D3121</f>
        <v>0</v>
      </c>
      <c r="L153" s="49">
        <f>資料儲存!E3121</f>
        <v>0</v>
      </c>
      <c r="M153" s="49">
        <f>資料儲存!F3121</f>
        <v>0</v>
      </c>
      <c r="N153" s="49">
        <f>資料儲存!G3121</f>
        <v>0</v>
      </c>
      <c r="O153" s="49">
        <f>資料儲存!H3121</f>
        <v>0</v>
      </c>
      <c r="P153" s="49">
        <f>資料儲存!I3121</f>
        <v>0</v>
      </c>
      <c r="Q153" s="49">
        <f>資料儲存!J3121</f>
        <v>0</v>
      </c>
      <c r="R153" s="52"/>
      <c r="S153" s="70">
        <v>60</v>
      </c>
      <c r="T153" s="49">
        <f>資料儲存!D3241</f>
        <v>0</v>
      </c>
      <c r="U153" s="49">
        <f>資料儲存!E3241</f>
        <v>0</v>
      </c>
      <c r="V153" s="49">
        <f>資料儲存!F3241</f>
        <v>0</v>
      </c>
      <c r="W153" s="49">
        <f>資料儲存!G3241</f>
        <v>0</v>
      </c>
      <c r="X153" s="49">
        <f>資料儲存!H3241</f>
        <v>0</v>
      </c>
      <c r="Y153" s="49">
        <f>資料儲存!I3241</f>
        <v>0</v>
      </c>
      <c r="Z153" s="49">
        <f>資料儲存!J3241</f>
        <v>0</v>
      </c>
      <c r="AA153" s="52"/>
      <c r="AB153" s="70">
        <v>60</v>
      </c>
      <c r="AC153" s="49">
        <f>資料儲存!D3361</f>
        <v>0</v>
      </c>
      <c r="AD153" s="49">
        <f>資料儲存!E3361</f>
        <v>0</v>
      </c>
      <c r="AE153" s="49">
        <f>資料儲存!F3361</f>
        <v>0</v>
      </c>
      <c r="AF153" s="49">
        <f>資料儲存!G3361</f>
        <v>0</v>
      </c>
      <c r="AG153" s="49">
        <f>資料儲存!H3361</f>
        <v>0</v>
      </c>
      <c r="AH153" s="49">
        <f>資料儲存!I3361</f>
        <v>0</v>
      </c>
      <c r="AI153" s="49">
        <f>資料儲存!J3361</f>
        <v>0</v>
      </c>
      <c r="AJ153" s="52"/>
      <c r="AK153" s="70">
        <v>60</v>
      </c>
      <c r="AL153" s="49">
        <f>資料儲存!D3481</f>
        <v>0</v>
      </c>
      <c r="AM153" s="49">
        <f>資料儲存!E3481</f>
        <v>0</v>
      </c>
      <c r="AN153" s="49">
        <f>資料儲存!F3481</f>
        <v>0</v>
      </c>
      <c r="AO153" s="49">
        <f>資料儲存!G3481</f>
        <v>0</v>
      </c>
      <c r="AP153" s="49">
        <f>資料儲存!H3481</f>
        <v>0</v>
      </c>
      <c r="AQ153" s="49">
        <f>資料儲存!I3481</f>
        <v>0</v>
      </c>
      <c r="AR153" s="49">
        <f>資料儲存!J3481</f>
        <v>0</v>
      </c>
      <c r="AT153" s="70">
        <v>60</v>
      </c>
      <c r="AU153" s="49">
        <f>資料儲存!D3601</f>
        <v>0</v>
      </c>
      <c r="AV153" s="49">
        <f>資料儲存!E3601</f>
        <v>0</v>
      </c>
      <c r="AW153" s="49">
        <f>資料儲存!F3601</f>
        <v>0</v>
      </c>
      <c r="AX153" s="49">
        <f>資料儲存!G3601</f>
        <v>0</v>
      </c>
      <c r="AY153" s="49">
        <f>資料儲存!H3601</f>
        <v>0</v>
      </c>
      <c r="AZ153" s="49">
        <f>資料儲存!I3601</f>
        <v>0</v>
      </c>
      <c r="BA153" s="49">
        <f>資料儲存!J3601</f>
        <v>0</v>
      </c>
    </row>
    <row r="154" spans="1:53" s="67" customFormat="1" ht="17.25" customHeight="1" thickBot="1">
      <c r="A154" s="50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0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0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0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45"/>
      <c r="AK154" s="50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  <c r="AT154" s="50" t="s">
        <v>56</v>
      </c>
      <c r="AU154" s="49">
        <f>SUM(AU139:AX153)</f>
        <v>0</v>
      </c>
      <c r="AV154" s="47"/>
      <c r="AW154" s="47"/>
      <c r="AX154" s="47"/>
      <c r="AY154" s="49">
        <f>AY153</f>
        <v>0</v>
      </c>
      <c r="AZ154" s="49">
        <f>AZ153</f>
        <v>0</v>
      </c>
      <c r="BA154" s="49">
        <f>BA153</f>
        <v>0</v>
      </c>
    </row>
    <row r="155" spans="1:53" s="67" customFormat="1">
      <c r="A155" s="71" t="s">
        <v>88</v>
      </c>
      <c r="B155" s="52"/>
      <c r="C155" s="52"/>
      <c r="D155" s="52"/>
      <c r="E155" s="52"/>
      <c r="F155" s="52"/>
      <c r="G155" s="52"/>
      <c r="H155" s="52"/>
      <c r="I155" s="52"/>
      <c r="J155" s="72" t="s">
        <v>88</v>
      </c>
      <c r="K155" s="52"/>
      <c r="L155" s="52"/>
      <c r="M155" s="52"/>
      <c r="N155" s="52"/>
      <c r="O155" s="52"/>
      <c r="P155" s="52"/>
      <c r="Q155" s="52"/>
      <c r="R155" s="52"/>
      <c r="S155" s="72" t="s">
        <v>88</v>
      </c>
      <c r="T155" s="52"/>
      <c r="U155" s="52"/>
      <c r="V155" s="52"/>
      <c r="W155" s="52"/>
      <c r="X155" s="52"/>
      <c r="Y155" s="52"/>
      <c r="Z155" s="52"/>
      <c r="AA155" s="52"/>
      <c r="AB155" s="72" t="s">
        <v>88</v>
      </c>
      <c r="AC155" s="52"/>
      <c r="AD155" s="52"/>
      <c r="AE155" s="52"/>
      <c r="AF155" s="52"/>
      <c r="AG155" s="52"/>
      <c r="AH155" s="52"/>
      <c r="AI155" s="52"/>
      <c r="AJ155" s="52"/>
      <c r="AK155" s="72" t="s">
        <v>88</v>
      </c>
      <c r="AL155" s="52"/>
      <c r="AM155" s="52"/>
      <c r="AN155" s="52"/>
      <c r="AO155" s="52"/>
      <c r="AP155" s="52"/>
      <c r="AQ155" s="52"/>
      <c r="AR155" s="52"/>
    </row>
  </sheetData>
  <mergeCells count="60">
    <mergeCell ref="AB41:AI41"/>
    <mergeCell ref="AB79:AI79"/>
    <mergeCell ref="AB60:AI60"/>
    <mergeCell ref="A136:H136"/>
    <mergeCell ref="J136:Q136"/>
    <mergeCell ref="AB98:AI98"/>
    <mergeCell ref="A98:H98"/>
    <mergeCell ref="J98:Q98"/>
    <mergeCell ref="S98:Z98"/>
    <mergeCell ref="A117:H117"/>
    <mergeCell ref="J117:Q117"/>
    <mergeCell ref="S136:Z136"/>
    <mergeCell ref="AB136:AI136"/>
    <mergeCell ref="S117:Z117"/>
    <mergeCell ref="AB117:AI117"/>
    <mergeCell ref="A41:H41"/>
    <mergeCell ref="AB1:AI1"/>
    <mergeCell ref="S3:Z3"/>
    <mergeCell ref="AB3:AI3"/>
    <mergeCell ref="AB2:AI2"/>
    <mergeCell ref="A22:H22"/>
    <mergeCell ref="J22:Q22"/>
    <mergeCell ref="S22:Z22"/>
    <mergeCell ref="AB22:AI22"/>
    <mergeCell ref="A3:H3"/>
    <mergeCell ref="J3:Q3"/>
    <mergeCell ref="A1:H1"/>
    <mergeCell ref="J1:Q1"/>
    <mergeCell ref="A2:H2"/>
    <mergeCell ref="J2:Q2"/>
    <mergeCell ref="S2:Z2"/>
    <mergeCell ref="S1:Z1"/>
    <mergeCell ref="J41:Q41"/>
    <mergeCell ref="A79:H79"/>
    <mergeCell ref="J79:Q79"/>
    <mergeCell ref="S79:Z79"/>
    <mergeCell ref="A60:H60"/>
    <mergeCell ref="J60:Q60"/>
    <mergeCell ref="S60:Z60"/>
    <mergeCell ref="S41:Z41"/>
    <mergeCell ref="AK1:AR1"/>
    <mergeCell ref="AK2:AR2"/>
    <mergeCell ref="AK3:AR3"/>
    <mergeCell ref="AK22:AR22"/>
    <mergeCell ref="AK41:AR41"/>
    <mergeCell ref="AK60:AR60"/>
    <mergeCell ref="AK79:AR79"/>
    <mergeCell ref="AK98:AR98"/>
    <mergeCell ref="AK117:AR117"/>
    <mergeCell ref="AK136:AR136"/>
    <mergeCell ref="AT1:BA1"/>
    <mergeCell ref="AT2:BA2"/>
    <mergeCell ref="AT3:BA3"/>
    <mergeCell ref="AT22:BA22"/>
    <mergeCell ref="AT41:BA41"/>
    <mergeCell ref="AT60:BA60"/>
    <mergeCell ref="AT79:BA79"/>
    <mergeCell ref="AT98:BA98"/>
    <mergeCell ref="AT117:BA117"/>
    <mergeCell ref="AT136:BA136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BA78"/>
  <sheetViews>
    <sheetView zoomScale="70" zoomScaleNormal="70" zoomScaleSheetLayoutView="70" workbookViewId="0">
      <pane ySplit="1" topLeftCell="A2" activePane="bottomLeft" state="frozen"/>
      <selection pane="bottomLeft" sqref="A1:H1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44" width="10.08984375" style="1"/>
    <col min="45" max="45" width="2.08984375" style="1" customWidth="1"/>
    <col min="46" max="16384" width="10.08984375" style="1"/>
  </cols>
  <sheetData>
    <row r="1" spans="1:53" s="11" customFormat="1" ht="18.5" thickBot="1">
      <c r="A1" s="254" t="str">
        <f>基本資料!$G$11</f>
        <v>假日(11-12)</v>
      </c>
      <c r="B1" s="255"/>
      <c r="C1" s="255"/>
      <c r="D1" s="255"/>
      <c r="E1" s="255"/>
      <c r="F1" s="255"/>
      <c r="G1" s="255"/>
      <c r="H1" s="256"/>
      <c r="J1" s="254" t="str">
        <f>基本資料!$G$11</f>
        <v>假日(11-12)</v>
      </c>
      <c r="K1" s="255"/>
      <c r="L1" s="255"/>
      <c r="M1" s="255"/>
      <c r="N1" s="255"/>
      <c r="O1" s="255"/>
      <c r="P1" s="255"/>
      <c r="Q1" s="256"/>
      <c r="S1" s="254" t="str">
        <f>基本資料!$G$11</f>
        <v>假日(11-12)</v>
      </c>
      <c r="T1" s="255"/>
      <c r="U1" s="255"/>
      <c r="V1" s="255"/>
      <c r="W1" s="255"/>
      <c r="X1" s="255"/>
      <c r="Y1" s="255"/>
      <c r="Z1" s="256"/>
      <c r="AB1" s="254" t="str">
        <f>基本資料!$G$11</f>
        <v>假日(11-12)</v>
      </c>
      <c r="AC1" s="255"/>
      <c r="AD1" s="255"/>
      <c r="AE1" s="255"/>
      <c r="AF1" s="255"/>
      <c r="AG1" s="255"/>
      <c r="AH1" s="255"/>
      <c r="AI1" s="256"/>
      <c r="AK1" s="254" t="str">
        <f>基本資料!$G$11</f>
        <v>假日(11-12)</v>
      </c>
      <c r="AL1" s="255"/>
      <c r="AM1" s="255"/>
      <c r="AN1" s="255"/>
      <c r="AO1" s="255"/>
      <c r="AP1" s="255"/>
      <c r="AQ1" s="255"/>
      <c r="AR1" s="256"/>
      <c r="AT1" s="254" t="str">
        <f>基本資料!$G$11</f>
        <v>假日(11-12)</v>
      </c>
      <c r="AU1" s="255"/>
      <c r="AV1" s="255"/>
      <c r="AW1" s="255"/>
      <c r="AX1" s="255"/>
      <c r="AY1" s="255"/>
      <c r="AZ1" s="255"/>
      <c r="BA1" s="256"/>
    </row>
    <row r="2" spans="1:53" ht="18.5" thickBot="1">
      <c r="A2" s="251" t="str">
        <f>CONCATENATE(基本資料!B18,"方向：",基本資料!B19,基本資料!B20)</f>
        <v>A方向：</v>
      </c>
      <c r="B2" s="252"/>
      <c r="C2" s="252"/>
      <c r="D2" s="252"/>
      <c r="E2" s="252"/>
      <c r="F2" s="252"/>
      <c r="G2" s="252"/>
      <c r="H2" s="253"/>
      <c r="I2" s="1"/>
      <c r="J2" s="251" t="str">
        <f>CONCATENATE(基本資料!C18,"方向：",基本資料!C19,基本資料!C20)</f>
        <v>B方向：</v>
      </c>
      <c r="K2" s="252"/>
      <c r="L2" s="252"/>
      <c r="M2" s="252"/>
      <c r="N2" s="252"/>
      <c r="O2" s="252"/>
      <c r="P2" s="252"/>
      <c r="Q2" s="253"/>
      <c r="R2" s="1"/>
      <c r="S2" s="251" t="str">
        <f>CONCATENATE(基本資料!D18,"方向：",基本資料!D19,基本資料!D20)</f>
        <v>C方向：</v>
      </c>
      <c r="T2" s="252"/>
      <c r="U2" s="252"/>
      <c r="V2" s="252"/>
      <c r="W2" s="252"/>
      <c r="X2" s="252"/>
      <c r="Y2" s="252"/>
      <c r="Z2" s="253"/>
      <c r="AA2" s="1"/>
      <c r="AB2" s="251" t="str">
        <f>CONCATENATE(基本資料!E18,"方向：",基本資料!E19,基本資料!E20)</f>
        <v>D方向：</v>
      </c>
      <c r="AC2" s="252"/>
      <c r="AD2" s="252"/>
      <c r="AE2" s="252"/>
      <c r="AF2" s="252"/>
      <c r="AG2" s="252"/>
      <c r="AH2" s="252"/>
      <c r="AI2" s="253"/>
      <c r="AJ2" s="1"/>
      <c r="AK2" s="251" t="str">
        <f>CONCATENATE(基本資料!F18,"方向：",基本資料!F19,基本資料!F20)</f>
        <v>E方向：</v>
      </c>
      <c r="AL2" s="252"/>
      <c r="AM2" s="252"/>
      <c r="AN2" s="252"/>
      <c r="AO2" s="252"/>
      <c r="AP2" s="252"/>
      <c r="AQ2" s="252"/>
      <c r="AR2" s="253"/>
      <c r="AT2" s="251" t="str">
        <f>CONCATENATE(基本資料!G18,"方向：",基本資料!G19,基本資料!G20)</f>
        <v>F方向：</v>
      </c>
      <c r="AU2" s="252"/>
      <c r="AV2" s="252"/>
      <c r="AW2" s="252"/>
      <c r="AX2" s="252"/>
      <c r="AY2" s="252"/>
      <c r="AZ2" s="252"/>
      <c r="BA2" s="253"/>
    </row>
    <row r="3" spans="1:53" ht="18.5" thickBot="1">
      <c r="A3" s="248" t="s">
        <v>91</v>
      </c>
      <c r="B3" s="249"/>
      <c r="C3" s="249"/>
      <c r="D3" s="249"/>
      <c r="E3" s="249"/>
      <c r="F3" s="249"/>
      <c r="G3" s="249"/>
      <c r="H3" s="250"/>
      <c r="I3" s="22"/>
      <c r="J3" s="248" t="s">
        <v>91</v>
      </c>
      <c r="K3" s="249"/>
      <c r="L3" s="249"/>
      <c r="M3" s="249"/>
      <c r="N3" s="249"/>
      <c r="O3" s="249"/>
      <c r="P3" s="249"/>
      <c r="Q3" s="250"/>
      <c r="R3" s="22"/>
      <c r="S3" s="248" t="s">
        <v>91</v>
      </c>
      <c r="T3" s="249"/>
      <c r="U3" s="249"/>
      <c r="V3" s="249"/>
      <c r="W3" s="249"/>
      <c r="X3" s="249"/>
      <c r="Y3" s="249"/>
      <c r="Z3" s="250"/>
      <c r="AA3" s="22"/>
      <c r="AB3" s="248" t="s">
        <v>91</v>
      </c>
      <c r="AC3" s="249"/>
      <c r="AD3" s="249"/>
      <c r="AE3" s="249"/>
      <c r="AF3" s="249"/>
      <c r="AG3" s="249"/>
      <c r="AH3" s="249"/>
      <c r="AI3" s="250"/>
      <c r="AJ3" s="22"/>
      <c r="AK3" s="248" t="s">
        <v>91</v>
      </c>
      <c r="AL3" s="249"/>
      <c r="AM3" s="249"/>
      <c r="AN3" s="249"/>
      <c r="AO3" s="249"/>
      <c r="AP3" s="249"/>
      <c r="AQ3" s="249"/>
      <c r="AR3" s="250"/>
      <c r="AT3" s="248" t="s">
        <v>91</v>
      </c>
      <c r="AU3" s="249"/>
      <c r="AV3" s="249"/>
      <c r="AW3" s="249"/>
      <c r="AX3" s="249"/>
      <c r="AY3" s="249"/>
      <c r="AZ3" s="249"/>
      <c r="BA3" s="250"/>
    </row>
    <row r="4" spans="1:53" s="59" customFormat="1" ht="17.25" customHeight="1" thickBot="1">
      <c r="A4" s="54" t="s">
        <v>2</v>
      </c>
      <c r="B4" s="55" t="s">
        <v>46</v>
      </c>
      <c r="C4" s="56"/>
      <c r="D4" s="56"/>
      <c r="E4" s="57"/>
      <c r="F4" s="55" t="s">
        <v>47</v>
      </c>
      <c r="G4" s="56"/>
      <c r="H4" s="57"/>
      <c r="I4" s="58"/>
      <c r="J4" s="54" t="s">
        <v>2</v>
      </c>
      <c r="K4" s="55" t="s">
        <v>46</v>
      </c>
      <c r="L4" s="56"/>
      <c r="M4" s="56"/>
      <c r="N4" s="57"/>
      <c r="O4" s="55" t="s">
        <v>47</v>
      </c>
      <c r="P4" s="56"/>
      <c r="Q4" s="57"/>
      <c r="R4" s="58"/>
      <c r="S4" s="54" t="s">
        <v>2</v>
      </c>
      <c r="T4" s="55" t="s">
        <v>46</v>
      </c>
      <c r="U4" s="56"/>
      <c r="V4" s="56"/>
      <c r="W4" s="57"/>
      <c r="X4" s="55" t="s">
        <v>47</v>
      </c>
      <c r="Y4" s="56"/>
      <c r="Z4" s="57"/>
      <c r="AA4" s="58"/>
      <c r="AB4" s="54" t="s">
        <v>2</v>
      </c>
      <c r="AC4" s="55" t="s">
        <v>46</v>
      </c>
      <c r="AD4" s="56"/>
      <c r="AE4" s="56"/>
      <c r="AF4" s="57"/>
      <c r="AG4" s="55" t="s">
        <v>47</v>
      </c>
      <c r="AH4" s="56"/>
      <c r="AI4" s="57"/>
      <c r="AJ4" s="58"/>
      <c r="AK4" s="54" t="s">
        <v>2</v>
      </c>
      <c r="AL4" s="55" t="s">
        <v>46</v>
      </c>
      <c r="AM4" s="56"/>
      <c r="AN4" s="56"/>
      <c r="AO4" s="57"/>
      <c r="AP4" s="55" t="s">
        <v>47</v>
      </c>
      <c r="AQ4" s="56"/>
      <c r="AR4" s="57"/>
      <c r="AT4" s="54" t="s">
        <v>2</v>
      </c>
      <c r="AU4" s="55" t="s">
        <v>46</v>
      </c>
      <c r="AV4" s="56"/>
      <c r="AW4" s="56"/>
      <c r="AX4" s="57"/>
      <c r="AY4" s="55" t="s">
        <v>47</v>
      </c>
      <c r="AZ4" s="56"/>
      <c r="BA4" s="57"/>
    </row>
    <row r="5" spans="1:53" s="59" customFormat="1" ht="16" thickBot="1">
      <c r="A5" s="60">
        <v>0.45833333333333331</v>
      </c>
      <c r="B5" s="61" t="s">
        <v>49</v>
      </c>
      <c r="C5" s="61" t="s">
        <v>50</v>
      </c>
      <c r="D5" s="61" t="s">
        <v>51</v>
      </c>
      <c r="E5" s="61" t="s">
        <v>52</v>
      </c>
      <c r="F5" s="61" t="s">
        <v>53</v>
      </c>
      <c r="G5" s="61" t="s">
        <v>54</v>
      </c>
      <c r="H5" s="61" t="s">
        <v>55</v>
      </c>
      <c r="I5" s="58"/>
      <c r="J5" s="60">
        <v>0.45833333333333331</v>
      </c>
      <c r="K5" s="61" t="s">
        <v>49</v>
      </c>
      <c r="L5" s="61" t="s">
        <v>50</v>
      </c>
      <c r="M5" s="61" t="s">
        <v>51</v>
      </c>
      <c r="N5" s="61" t="s">
        <v>52</v>
      </c>
      <c r="O5" s="61" t="s">
        <v>53</v>
      </c>
      <c r="P5" s="61" t="s">
        <v>54</v>
      </c>
      <c r="Q5" s="61" t="s">
        <v>55</v>
      </c>
      <c r="R5" s="58"/>
      <c r="S5" s="60">
        <v>0.45833333333333331</v>
      </c>
      <c r="T5" s="61" t="s">
        <v>49</v>
      </c>
      <c r="U5" s="61" t="s">
        <v>50</v>
      </c>
      <c r="V5" s="61" t="s">
        <v>51</v>
      </c>
      <c r="W5" s="61" t="s">
        <v>52</v>
      </c>
      <c r="X5" s="61" t="s">
        <v>53</v>
      </c>
      <c r="Y5" s="61" t="s">
        <v>54</v>
      </c>
      <c r="Z5" s="61" t="s">
        <v>55</v>
      </c>
      <c r="AA5" s="58"/>
      <c r="AB5" s="60">
        <v>0.45833333333333331</v>
      </c>
      <c r="AC5" s="61" t="s">
        <v>49</v>
      </c>
      <c r="AD5" s="61" t="s">
        <v>50</v>
      </c>
      <c r="AE5" s="61" t="s">
        <v>51</v>
      </c>
      <c r="AF5" s="61" t="s">
        <v>52</v>
      </c>
      <c r="AG5" s="61" t="s">
        <v>53</v>
      </c>
      <c r="AH5" s="61" t="s">
        <v>54</v>
      </c>
      <c r="AI5" s="61" t="s">
        <v>55</v>
      </c>
      <c r="AJ5" s="58"/>
      <c r="AK5" s="60">
        <v>0.45833333333333331</v>
      </c>
      <c r="AL5" s="61" t="s">
        <v>49</v>
      </c>
      <c r="AM5" s="61" t="s">
        <v>50</v>
      </c>
      <c r="AN5" s="61" t="s">
        <v>51</v>
      </c>
      <c r="AO5" s="61" t="s">
        <v>52</v>
      </c>
      <c r="AP5" s="61" t="s">
        <v>53</v>
      </c>
      <c r="AQ5" s="61" t="s">
        <v>54</v>
      </c>
      <c r="AR5" s="61" t="s">
        <v>55</v>
      </c>
      <c r="AT5" s="60">
        <v>0.45833333333333331</v>
      </c>
      <c r="AU5" s="61" t="s">
        <v>49</v>
      </c>
      <c r="AV5" s="61" t="s">
        <v>50</v>
      </c>
      <c r="AW5" s="61" t="s">
        <v>51</v>
      </c>
      <c r="AX5" s="61" t="s">
        <v>52</v>
      </c>
      <c r="AY5" s="61" t="s">
        <v>53</v>
      </c>
      <c r="AZ5" s="61" t="s">
        <v>54</v>
      </c>
      <c r="BA5" s="61" t="s">
        <v>55</v>
      </c>
    </row>
    <row r="6" spans="1:53" s="59" customFormat="1" ht="16" thickBot="1">
      <c r="A6" s="62">
        <v>1</v>
      </c>
      <c r="B6" s="39">
        <f>資料儲存!D3602</f>
        <v>0</v>
      </c>
      <c r="C6" s="39">
        <f>資料儲存!E3602</f>
        <v>0</v>
      </c>
      <c r="D6" s="39">
        <f>資料儲存!F3602</f>
        <v>0</v>
      </c>
      <c r="E6" s="39">
        <f>資料儲存!G3602</f>
        <v>0</v>
      </c>
      <c r="F6" s="39">
        <f>資料儲存!H3602</f>
        <v>0</v>
      </c>
      <c r="G6" s="39">
        <f>資料儲存!I3602</f>
        <v>0</v>
      </c>
      <c r="H6" s="39">
        <f>資料儲存!J3602</f>
        <v>0</v>
      </c>
      <c r="I6" s="58"/>
      <c r="J6" s="62">
        <v>1</v>
      </c>
      <c r="K6" s="39">
        <f>資料儲存!D3662</f>
        <v>0</v>
      </c>
      <c r="L6" s="39">
        <f>資料儲存!E3662</f>
        <v>0</v>
      </c>
      <c r="M6" s="39">
        <f>資料儲存!F3662</f>
        <v>0</v>
      </c>
      <c r="N6" s="39">
        <f>資料儲存!G3662</f>
        <v>0</v>
      </c>
      <c r="O6" s="39">
        <f>資料儲存!H3662</f>
        <v>0</v>
      </c>
      <c r="P6" s="39">
        <f>資料儲存!I3662</f>
        <v>0</v>
      </c>
      <c r="Q6" s="39">
        <f>資料儲存!J3662</f>
        <v>0</v>
      </c>
      <c r="R6" s="58"/>
      <c r="S6" s="62">
        <v>1</v>
      </c>
      <c r="T6" s="39">
        <f>資料儲存!D3722</f>
        <v>0</v>
      </c>
      <c r="U6" s="39">
        <f>資料儲存!E3722</f>
        <v>0</v>
      </c>
      <c r="V6" s="39">
        <f>資料儲存!F3722</f>
        <v>0</v>
      </c>
      <c r="W6" s="39">
        <f>資料儲存!G3722</f>
        <v>0</v>
      </c>
      <c r="X6" s="39">
        <f>資料儲存!H3722</f>
        <v>0</v>
      </c>
      <c r="Y6" s="39">
        <f>資料儲存!I3722</f>
        <v>0</v>
      </c>
      <c r="Z6" s="39">
        <f>資料儲存!J3722</f>
        <v>0</v>
      </c>
      <c r="AA6" s="58"/>
      <c r="AB6" s="62">
        <v>1</v>
      </c>
      <c r="AC6" s="39">
        <f>資料儲存!D3782</f>
        <v>0</v>
      </c>
      <c r="AD6" s="39">
        <f>資料儲存!E3782</f>
        <v>0</v>
      </c>
      <c r="AE6" s="39">
        <f>資料儲存!F3782</f>
        <v>0</v>
      </c>
      <c r="AF6" s="39">
        <f>資料儲存!G3782</f>
        <v>0</v>
      </c>
      <c r="AG6" s="39">
        <f>資料儲存!H3782</f>
        <v>0</v>
      </c>
      <c r="AH6" s="39">
        <f>資料儲存!I3782</f>
        <v>0</v>
      </c>
      <c r="AI6" s="39">
        <f>資料儲存!J3782</f>
        <v>0</v>
      </c>
      <c r="AJ6" s="58"/>
      <c r="AK6" s="62">
        <v>1</v>
      </c>
      <c r="AL6" s="39">
        <f>資料儲存!D3842</f>
        <v>0</v>
      </c>
      <c r="AM6" s="39">
        <f>資料儲存!E3842</f>
        <v>0</v>
      </c>
      <c r="AN6" s="39">
        <f>資料儲存!F3842</f>
        <v>0</v>
      </c>
      <c r="AO6" s="39">
        <f>資料儲存!G3842</f>
        <v>0</v>
      </c>
      <c r="AP6" s="39">
        <f>資料儲存!H3842</f>
        <v>0</v>
      </c>
      <c r="AQ6" s="39">
        <f>資料儲存!I3842</f>
        <v>0</v>
      </c>
      <c r="AR6" s="39">
        <f>資料儲存!J3842</f>
        <v>0</v>
      </c>
      <c r="AT6" s="62">
        <v>1</v>
      </c>
      <c r="AU6" s="39">
        <f>資料儲存!D3902</f>
        <v>0</v>
      </c>
      <c r="AV6" s="39">
        <f>資料儲存!E3902</f>
        <v>0</v>
      </c>
      <c r="AW6" s="39">
        <f>資料儲存!F3902</f>
        <v>0</v>
      </c>
      <c r="AX6" s="39">
        <f>資料儲存!G3902</f>
        <v>0</v>
      </c>
      <c r="AY6" s="39">
        <f>資料儲存!H3902</f>
        <v>0</v>
      </c>
      <c r="AZ6" s="39">
        <f>資料儲存!I3902</f>
        <v>0</v>
      </c>
      <c r="BA6" s="39">
        <f>資料儲存!J3902</f>
        <v>0</v>
      </c>
    </row>
    <row r="7" spans="1:53" s="59" customFormat="1" ht="16" thickBot="1">
      <c r="A7" s="62">
        <v>2</v>
      </c>
      <c r="B7" s="39">
        <f>資料儲存!D3603</f>
        <v>0</v>
      </c>
      <c r="C7" s="39">
        <f>資料儲存!E3603</f>
        <v>0</v>
      </c>
      <c r="D7" s="39">
        <f>資料儲存!F3603</f>
        <v>0</v>
      </c>
      <c r="E7" s="39">
        <f>資料儲存!G3603</f>
        <v>0</v>
      </c>
      <c r="F7" s="39">
        <f>資料儲存!H3603</f>
        <v>0</v>
      </c>
      <c r="G7" s="39">
        <f>資料儲存!I3603</f>
        <v>0</v>
      </c>
      <c r="H7" s="39">
        <f>資料儲存!J3603</f>
        <v>0</v>
      </c>
      <c r="I7" s="58"/>
      <c r="J7" s="62">
        <v>2</v>
      </c>
      <c r="K7" s="39">
        <f>資料儲存!D3663</f>
        <v>0</v>
      </c>
      <c r="L7" s="39">
        <f>資料儲存!E3663</f>
        <v>0</v>
      </c>
      <c r="M7" s="39">
        <f>資料儲存!F3663</f>
        <v>0</v>
      </c>
      <c r="N7" s="39">
        <f>資料儲存!G3663</f>
        <v>0</v>
      </c>
      <c r="O7" s="39">
        <f>資料儲存!H3663</f>
        <v>0</v>
      </c>
      <c r="P7" s="39">
        <f>資料儲存!I3663</f>
        <v>0</v>
      </c>
      <c r="Q7" s="39">
        <f>資料儲存!J3663</f>
        <v>0</v>
      </c>
      <c r="R7" s="58"/>
      <c r="S7" s="62">
        <v>2</v>
      </c>
      <c r="T7" s="39">
        <f>資料儲存!D3723</f>
        <v>0</v>
      </c>
      <c r="U7" s="39">
        <f>資料儲存!E3723</f>
        <v>0</v>
      </c>
      <c r="V7" s="39">
        <f>資料儲存!F3723</f>
        <v>0</v>
      </c>
      <c r="W7" s="39">
        <f>資料儲存!G3723</f>
        <v>0</v>
      </c>
      <c r="X7" s="39">
        <f>資料儲存!H3723</f>
        <v>0</v>
      </c>
      <c r="Y7" s="39">
        <f>資料儲存!I3723</f>
        <v>0</v>
      </c>
      <c r="Z7" s="39">
        <f>資料儲存!J3723</f>
        <v>0</v>
      </c>
      <c r="AA7" s="58"/>
      <c r="AB7" s="62">
        <v>2</v>
      </c>
      <c r="AC7" s="39">
        <f>資料儲存!D3783</f>
        <v>0</v>
      </c>
      <c r="AD7" s="39">
        <f>資料儲存!E3783</f>
        <v>0</v>
      </c>
      <c r="AE7" s="39">
        <f>資料儲存!F3783</f>
        <v>0</v>
      </c>
      <c r="AF7" s="39">
        <f>資料儲存!G3783</f>
        <v>0</v>
      </c>
      <c r="AG7" s="39">
        <f>資料儲存!H3783</f>
        <v>0</v>
      </c>
      <c r="AH7" s="39">
        <f>資料儲存!I3783</f>
        <v>0</v>
      </c>
      <c r="AI7" s="39">
        <f>資料儲存!J3783</f>
        <v>0</v>
      </c>
      <c r="AJ7" s="58"/>
      <c r="AK7" s="62">
        <v>2</v>
      </c>
      <c r="AL7" s="39">
        <f>資料儲存!D3843</f>
        <v>0</v>
      </c>
      <c r="AM7" s="39">
        <f>資料儲存!E3843</f>
        <v>0</v>
      </c>
      <c r="AN7" s="39">
        <f>資料儲存!F3843</f>
        <v>0</v>
      </c>
      <c r="AO7" s="39">
        <f>資料儲存!G3843</f>
        <v>0</v>
      </c>
      <c r="AP7" s="39">
        <f>資料儲存!H3843</f>
        <v>0</v>
      </c>
      <c r="AQ7" s="39">
        <f>資料儲存!I3843</f>
        <v>0</v>
      </c>
      <c r="AR7" s="39">
        <f>資料儲存!J3843</f>
        <v>0</v>
      </c>
      <c r="AT7" s="62">
        <v>2</v>
      </c>
      <c r="AU7" s="39">
        <f>資料儲存!D3903</f>
        <v>0</v>
      </c>
      <c r="AV7" s="39">
        <f>資料儲存!E3903</f>
        <v>0</v>
      </c>
      <c r="AW7" s="39">
        <f>資料儲存!F3903</f>
        <v>0</v>
      </c>
      <c r="AX7" s="39">
        <f>資料儲存!G3903</f>
        <v>0</v>
      </c>
      <c r="AY7" s="39">
        <f>資料儲存!H3903</f>
        <v>0</v>
      </c>
      <c r="AZ7" s="39">
        <f>資料儲存!I3903</f>
        <v>0</v>
      </c>
      <c r="BA7" s="39">
        <f>資料儲存!J3903</f>
        <v>0</v>
      </c>
    </row>
    <row r="8" spans="1:53" s="59" customFormat="1" ht="16" thickBot="1">
      <c r="A8" s="62">
        <v>3</v>
      </c>
      <c r="B8" s="39">
        <f>資料儲存!D3604</f>
        <v>0</v>
      </c>
      <c r="C8" s="39">
        <f>資料儲存!E3604</f>
        <v>0</v>
      </c>
      <c r="D8" s="39">
        <f>資料儲存!F3604</f>
        <v>0</v>
      </c>
      <c r="E8" s="39">
        <f>資料儲存!G3604</f>
        <v>0</v>
      </c>
      <c r="F8" s="39">
        <f>資料儲存!H3604</f>
        <v>0</v>
      </c>
      <c r="G8" s="39">
        <f>資料儲存!I3604</f>
        <v>0</v>
      </c>
      <c r="H8" s="39">
        <f>資料儲存!J3604</f>
        <v>0</v>
      </c>
      <c r="I8" s="58"/>
      <c r="J8" s="62">
        <v>3</v>
      </c>
      <c r="K8" s="39">
        <f>資料儲存!D3664</f>
        <v>0</v>
      </c>
      <c r="L8" s="39">
        <f>資料儲存!E3664</f>
        <v>0</v>
      </c>
      <c r="M8" s="39">
        <f>資料儲存!F3664</f>
        <v>0</v>
      </c>
      <c r="N8" s="39">
        <f>資料儲存!G3664</f>
        <v>0</v>
      </c>
      <c r="O8" s="39">
        <f>資料儲存!H3664</f>
        <v>0</v>
      </c>
      <c r="P8" s="39">
        <f>資料儲存!I3664</f>
        <v>0</v>
      </c>
      <c r="Q8" s="39">
        <f>資料儲存!J3664</f>
        <v>0</v>
      </c>
      <c r="R8" s="58"/>
      <c r="S8" s="62">
        <v>3</v>
      </c>
      <c r="T8" s="39">
        <f>資料儲存!D3724</f>
        <v>0</v>
      </c>
      <c r="U8" s="39">
        <f>資料儲存!E3724</f>
        <v>0</v>
      </c>
      <c r="V8" s="39">
        <f>資料儲存!F3724</f>
        <v>0</v>
      </c>
      <c r="W8" s="39">
        <f>資料儲存!G3724</f>
        <v>0</v>
      </c>
      <c r="X8" s="39">
        <f>資料儲存!H3724</f>
        <v>0</v>
      </c>
      <c r="Y8" s="39">
        <f>資料儲存!I3724</f>
        <v>0</v>
      </c>
      <c r="Z8" s="39">
        <f>資料儲存!J3724</f>
        <v>0</v>
      </c>
      <c r="AA8" s="58"/>
      <c r="AB8" s="62">
        <v>3</v>
      </c>
      <c r="AC8" s="39">
        <f>資料儲存!D3784</f>
        <v>0</v>
      </c>
      <c r="AD8" s="39">
        <f>資料儲存!E3784</f>
        <v>0</v>
      </c>
      <c r="AE8" s="39">
        <f>資料儲存!F3784</f>
        <v>0</v>
      </c>
      <c r="AF8" s="39">
        <f>資料儲存!G3784</f>
        <v>0</v>
      </c>
      <c r="AG8" s="39">
        <f>資料儲存!H3784</f>
        <v>0</v>
      </c>
      <c r="AH8" s="39">
        <f>資料儲存!I3784</f>
        <v>0</v>
      </c>
      <c r="AI8" s="39">
        <f>資料儲存!J3784</f>
        <v>0</v>
      </c>
      <c r="AJ8" s="58"/>
      <c r="AK8" s="62">
        <v>3</v>
      </c>
      <c r="AL8" s="39">
        <f>資料儲存!D3844</f>
        <v>0</v>
      </c>
      <c r="AM8" s="39">
        <f>資料儲存!E3844</f>
        <v>0</v>
      </c>
      <c r="AN8" s="39">
        <f>資料儲存!F3844</f>
        <v>0</v>
      </c>
      <c r="AO8" s="39">
        <f>資料儲存!G3844</f>
        <v>0</v>
      </c>
      <c r="AP8" s="39">
        <f>資料儲存!H3844</f>
        <v>0</v>
      </c>
      <c r="AQ8" s="39">
        <f>資料儲存!I3844</f>
        <v>0</v>
      </c>
      <c r="AR8" s="39">
        <f>資料儲存!J3844</f>
        <v>0</v>
      </c>
      <c r="AT8" s="62">
        <v>3</v>
      </c>
      <c r="AU8" s="39">
        <f>資料儲存!D3904</f>
        <v>0</v>
      </c>
      <c r="AV8" s="39">
        <f>資料儲存!E3904</f>
        <v>0</v>
      </c>
      <c r="AW8" s="39">
        <f>資料儲存!F3904</f>
        <v>0</v>
      </c>
      <c r="AX8" s="39">
        <f>資料儲存!G3904</f>
        <v>0</v>
      </c>
      <c r="AY8" s="39">
        <f>資料儲存!H3904</f>
        <v>0</v>
      </c>
      <c r="AZ8" s="39">
        <f>資料儲存!I3904</f>
        <v>0</v>
      </c>
      <c r="BA8" s="39">
        <f>資料儲存!J3904</f>
        <v>0</v>
      </c>
    </row>
    <row r="9" spans="1:53" s="59" customFormat="1" ht="16" thickBot="1">
      <c r="A9" s="62">
        <v>4</v>
      </c>
      <c r="B9" s="39">
        <f>資料儲存!D3605</f>
        <v>0</v>
      </c>
      <c r="C9" s="39">
        <f>資料儲存!E3605</f>
        <v>0</v>
      </c>
      <c r="D9" s="39">
        <f>資料儲存!F3605</f>
        <v>0</v>
      </c>
      <c r="E9" s="39">
        <f>資料儲存!G3605</f>
        <v>0</v>
      </c>
      <c r="F9" s="39">
        <f>資料儲存!H3605</f>
        <v>0</v>
      </c>
      <c r="G9" s="39">
        <f>資料儲存!I3605</f>
        <v>0</v>
      </c>
      <c r="H9" s="39">
        <f>資料儲存!J3605</f>
        <v>0</v>
      </c>
      <c r="I9" s="58"/>
      <c r="J9" s="62">
        <v>4</v>
      </c>
      <c r="K9" s="39">
        <f>資料儲存!D3665</f>
        <v>0</v>
      </c>
      <c r="L9" s="39">
        <f>資料儲存!E3665</f>
        <v>0</v>
      </c>
      <c r="M9" s="39">
        <f>資料儲存!F3665</f>
        <v>0</v>
      </c>
      <c r="N9" s="39">
        <f>資料儲存!G3665</f>
        <v>0</v>
      </c>
      <c r="O9" s="39">
        <f>資料儲存!H3665</f>
        <v>0</v>
      </c>
      <c r="P9" s="39">
        <f>資料儲存!I3665</f>
        <v>0</v>
      </c>
      <c r="Q9" s="39">
        <f>資料儲存!J3665</f>
        <v>0</v>
      </c>
      <c r="R9" s="58"/>
      <c r="S9" s="62">
        <v>4</v>
      </c>
      <c r="T9" s="39">
        <f>資料儲存!D3725</f>
        <v>0</v>
      </c>
      <c r="U9" s="39">
        <f>資料儲存!E3725</f>
        <v>0</v>
      </c>
      <c r="V9" s="39">
        <f>資料儲存!F3725</f>
        <v>0</v>
      </c>
      <c r="W9" s="39">
        <f>資料儲存!G3725</f>
        <v>0</v>
      </c>
      <c r="X9" s="39">
        <f>資料儲存!H3725</f>
        <v>0</v>
      </c>
      <c r="Y9" s="39">
        <f>資料儲存!I3725</f>
        <v>0</v>
      </c>
      <c r="Z9" s="39">
        <f>資料儲存!J3725</f>
        <v>0</v>
      </c>
      <c r="AA9" s="58"/>
      <c r="AB9" s="62">
        <v>4</v>
      </c>
      <c r="AC9" s="39">
        <f>資料儲存!D3785</f>
        <v>0</v>
      </c>
      <c r="AD9" s="39">
        <f>資料儲存!E3785</f>
        <v>0</v>
      </c>
      <c r="AE9" s="39">
        <f>資料儲存!F3785</f>
        <v>0</v>
      </c>
      <c r="AF9" s="39">
        <f>資料儲存!G3785</f>
        <v>0</v>
      </c>
      <c r="AG9" s="39">
        <f>資料儲存!H3785</f>
        <v>0</v>
      </c>
      <c r="AH9" s="39">
        <f>資料儲存!I3785</f>
        <v>0</v>
      </c>
      <c r="AI9" s="39">
        <f>資料儲存!J3785</f>
        <v>0</v>
      </c>
      <c r="AJ9" s="58"/>
      <c r="AK9" s="62">
        <v>4</v>
      </c>
      <c r="AL9" s="39">
        <f>資料儲存!D3845</f>
        <v>0</v>
      </c>
      <c r="AM9" s="39">
        <f>資料儲存!E3845</f>
        <v>0</v>
      </c>
      <c r="AN9" s="39">
        <f>資料儲存!F3845</f>
        <v>0</v>
      </c>
      <c r="AO9" s="39">
        <f>資料儲存!G3845</f>
        <v>0</v>
      </c>
      <c r="AP9" s="39">
        <f>資料儲存!H3845</f>
        <v>0</v>
      </c>
      <c r="AQ9" s="39">
        <f>資料儲存!I3845</f>
        <v>0</v>
      </c>
      <c r="AR9" s="39">
        <f>資料儲存!J3845</f>
        <v>0</v>
      </c>
      <c r="AT9" s="62">
        <v>4</v>
      </c>
      <c r="AU9" s="39">
        <f>資料儲存!D3905</f>
        <v>0</v>
      </c>
      <c r="AV9" s="39">
        <f>資料儲存!E3905</f>
        <v>0</v>
      </c>
      <c r="AW9" s="39">
        <f>資料儲存!F3905</f>
        <v>0</v>
      </c>
      <c r="AX9" s="39">
        <f>資料儲存!G3905</f>
        <v>0</v>
      </c>
      <c r="AY9" s="39">
        <f>資料儲存!H3905</f>
        <v>0</v>
      </c>
      <c r="AZ9" s="39">
        <f>資料儲存!I3905</f>
        <v>0</v>
      </c>
      <c r="BA9" s="39">
        <f>資料儲存!J3905</f>
        <v>0</v>
      </c>
    </row>
    <row r="10" spans="1:53" s="59" customFormat="1" ht="16" thickBot="1">
      <c r="A10" s="62">
        <v>5</v>
      </c>
      <c r="B10" s="39">
        <f>資料儲存!D3606</f>
        <v>0</v>
      </c>
      <c r="C10" s="39">
        <f>資料儲存!E3606</f>
        <v>0</v>
      </c>
      <c r="D10" s="39">
        <f>資料儲存!F3606</f>
        <v>0</v>
      </c>
      <c r="E10" s="39">
        <f>資料儲存!G3606</f>
        <v>0</v>
      </c>
      <c r="F10" s="39">
        <f>資料儲存!H3606</f>
        <v>0</v>
      </c>
      <c r="G10" s="39">
        <f>資料儲存!I3606</f>
        <v>0</v>
      </c>
      <c r="H10" s="39">
        <f>資料儲存!J3606</f>
        <v>0</v>
      </c>
      <c r="I10" s="58"/>
      <c r="J10" s="62">
        <v>5</v>
      </c>
      <c r="K10" s="39">
        <f>資料儲存!D3666</f>
        <v>0</v>
      </c>
      <c r="L10" s="39">
        <f>資料儲存!E3666</f>
        <v>0</v>
      </c>
      <c r="M10" s="39">
        <f>資料儲存!F3666</f>
        <v>0</v>
      </c>
      <c r="N10" s="39">
        <f>資料儲存!G3666</f>
        <v>0</v>
      </c>
      <c r="O10" s="39">
        <f>資料儲存!H3666</f>
        <v>0</v>
      </c>
      <c r="P10" s="39">
        <f>資料儲存!I3666</f>
        <v>0</v>
      </c>
      <c r="Q10" s="39">
        <f>資料儲存!J3666</f>
        <v>0</v>
      </c>
      <c r="R10" s="58"/>
      <c r="S10" s="62">
        <v>5</v>
      </c>
      <c r="T10" s="39">
        <f>資料儲存!D3726</f>
        <v>0</v>
      </c>
      <c r="U10" s="39">
        <f>資料儲存!E3726</f>
        <v>0</v>
      </c>
      <c r="V10" s="39">
        <f>資料儲存!F3726</f>
        <v>0</v>
      </c>
      <c r="W10" s="39">
        <f>資料儲存!G3726</f>
        <v>0</v>
      </c>
      <c r="X10" s="39">
        <f>資料儲存!H3726</f>
        <v>0</v>
      </c>
      <c r="Y10" s="39">
        <f>資料儲存!I3726</f>
        <v>0</v>
      </c>
      <c r="Z10" s="39">
        <f>資料儲存!J3726</f>
        <v>0</v>
      </c>
      <c r="AA10" s="58"/>
      <c r="AB10" s="62">
        <v>5</v>
      </c>
      <c r="AC10" s="39">
        <f>資料儲存!D3786</f>
        <v>0</v>
      </c>
      <c r="AD10" s="39">
        <f>資料儲存!E3786</f>
        <v>0</v>
      </c>
      <c r="AE10" s="39">
        <f>資料儲存!F3786</f>
        <v>0</v>
      </c>
      <c r="AF10" s="39">
        <f>資料儲存!G3786</f>
        <v>0</v>
      </c>
      <c r="AG10" s="39">
        <f>資料儲存!H3786</f>
        <v>0</v>
      </c>
      <c r="AH10" s="39">
        <f>資料儲存!I3786</f>
        <v>0</v>
      </c>
      <c r="AI10" s="39">
        <f>資料儲存!J3786</f>
        <v>0</v>
      </c>
      <c r="AJ10" s="58"/>
      <c r="AK10" s="62">
        <v>5</v>
      </c>
      <c r="AL10" s="39">
        <f>資料儲存!D3846</f>
        <v>0</v>
      </c>
      <c r="AM10" s="39">
        <f>資料儲存!E3846</f>
        <v>0</v>
      </c>
      <c r="AN10" s="39">
        <f>資料儲存!F3846</f>
        <v>0</v>
      </c>
      <c r="AO10" s="39">
        <f>資料儲存!G3846</f>
        <v>0</v>
      </c>
      <c r="AP10" s="39">
        <f>資料儲存!H3846</f>
        <v>0</v>
      </c>
      <c r="AQ10" s="39">
        <f>資料儲存!I3846</f>
        <v>0</v>
      </c>
      <c r="AR10" s="39">
        <f>資料儲存!J3846</f>
        <v>0</v>
      </c>
      <c r="AT10" s="62">
        <v>5</v>
      </c>
      <c r="AU10" s="39">
        <f>資料儲存!D3906</f>
        <v>0</v>
      </c>
      <c r="AV10" s="39">
        <f>資料儲存!E3906</f>
        <v>0</v>
      </c>
      <c r="AW10" s="39">
        <f>資料儲存!F3906</f>
        <v>0</v>
      </c>
      <c r="AX10" s="39">
        <f>資料儲存!G3906</f>
        <v>0</v>
      </c>
      <c r="AY10" s="39">
        <f>資料儲存!H3906</f>
        <v>0</v>
      </c>
      <c r="AZ10" s="39">
        <f>資料儲存!I3906</f>
        <v>0</v>
      </c>
      <c r="BA10" s="39">
        <f>資料儲存!J3906</f>
        <v>0</v>
      </c>
    </row>
    <row r="11" spans="1:53" s="59" customFormat="1" ht="16" thickBot="1">
      <c r="A11" s="62">
        <v>6</v>
      </c>
      <c r="B11" s="39">
        <f>資料儲存!D3607</f>
        <v>0</v>
      </c>
      <c r="C11" s="39">
        <f>資料儲存!E3607</f>
        <v>0</v>
      </c>
      <c r="D11" s="39">
        <f>資料儲存!F3607</f>
        <v>0</v>
      </c>
      <c r="E11" s="39">
        <f>資料儲存!G3607</f>
        <v>0</v>
      </c>
      <c r="F11" s="39">
        <f>資料儲存!H3607</f>
        <v>0</v>
      </c>
      <c r="G11" s="39">
        <f>資料儲存!I3607</f>
        <v>0</v>
      </c>
      <c r="H11" s="39">
        <f>資料儲存!J3607</f>
        <v>0</v>
      </c>
      <c r="I11" s="58"/>
      <c r="J11" s="62">
        <v>6</v>
      </c>
      <c r="K11" s="39">
        <f>資料儲存!D3667</f>
        <v>0</v>
      </c>
      <c r="L11" s="39">
        <f>資料儲存!E3667</f>
        <v>0</v>
      </c>
      <c r="M11" s="39">
        <f>資料儲存!F3667</f>
        <v>0</v>
      </c>
      <c r="N11" s="39">
        <f>資料儲存!G3667</f>
        <v>0</v>
      </c>
      <c r="O11" s="39">
        <f>資料儲存!H3667</f>
        <v>0</v>
      </c>
      <c r="P11" s="39">
        <f>資料儲存!I3667</f>
        <v>0</v>
      </c>
      <c r="Q11" s="39">
        <f>資料儲存!J3667</f>
        <v>0</v>
      </c>
      <c r="R11" s="58"/>
      <c r="S11" s="62">
        <v>6</v>
      </c>
      <c r="T11" s="39">
        <f>資料儲存!D3727</f>
        <v>0</v>
      </c>
      <c r="U11" s="39">
        <f>資料儲存!E3727</f>
        <v>0</v>
      </c>
      <c r="V11" s="39">
        <f>資料儲存!F3727</f>
        <v>0</v>
      </c>
      <c r="W11" s="39">
        <f>資料儲存!G3727</f>
        <v>0</v>
      </c>
      <c r="X11" s="39">
        <f>資料儲存!H3727</f>
        <v>0</v>
      </c>
      <c r="Y11" s="39">
        <f>資料儲存!I3727</f>
        <v>0</v>
      </c>
      <c r="Z11" s="39">
        <f>資料儲存!J3727</f>
        <v>0</v>
      </c>
      <c r="AA11" s="58"/>
      <c r="AB11" s="62">
        <v>6</v>
      </c>
      <c r="AC11" s="39">
        <f>資料儲存!D3787</f>
        <v>0</v>
      </c>
      <c r="AD11" s="39">
        <f>資料儲存!E3787</f>
        <v>0</v>
      </c>
      <c r="AE11" s="39">
        <f>資料儲存!F3787</f>
        <v>0</v>
      </c>
      <c r="AF11" s="39">
        <f>資料儲存!G3787</f>
        <v>0</v>
      </c>
      <c r="AG11" s="39">
        <f>資料儲存!H3787</f>
        <v>0</v>
      </c>
      <c r="AH11" s="39">
        <f>資料儲存!I3787</f>
        <v>0</v>
      </c>
      <c r="AI11" s="39">
        <f>資料儲存!J3787</f>
        <v>0</v>
      </c>
      <c r="AJ11" s="58"/>
      <c r="AK11" s="62">
        <v>6</v>
      </c>
      <c r="AL11" s="39">
        <f>資料儲存!D3847</f>
        <v>0</v>
      </c>
      <c r="AM11" s="39">
        <f>資料儲存!E3847</f>
        <v>0</v>
      </c>
      <c r="AN11" s="39">
        <f>資料儲存!F3847</f>
        <v>0</v>
      </c>
      <c r="AO11" s="39">
        <f>資料儲存!G3847</f>
        <v>0</v>
      </c>
      <c r="AP11" s="39">
        <f>資料儲存!H3847</f>
        <v>0</v>
      </c>
      <c r="AQ11" s="39">
        <f>資料儲存!I3847</f>
        <v>0</v>
      </c>
      <c r="AR11" s="39">
        <f>資料儲存!J3847</f>
        <v>0</v>
      </c>
      <c r="AT11" s="62">
        <v>6</v>
      </c>
      <c r="AU11" s="39">
        <f>資料儲存!D3907</f>
        <v>0</v>
      </c>
      <c r="AV11" s="39">
        <f>資料儲存!E3907</f>
        <v>0</v>
      </c>
      <c r="AW11" s="39">
        <f>資料儲存!F3907</f>
        <v>0</v>
      </c>
      <c r="AX11" s="39">
        <f>資料儲存!G3907</f>
        <v>0</v>
      </c>
      <c r="AY11" s="39">
        <f>資料儲存!H3907</f>
        <v>0</v>
      </c>
      <c r="AZ11" s="39">
        <f>資料儲存!I3907</f>
        <v>0</v>
      </c>
      <c r="BA11" s="39">
        <f>資料儲存!J3907</f>
        <v>0</v>
      </c>
    </row>
    <row r="12" spans="1:53" s="59" customFormat="1" ht="16" thickBot="1">
      <c r="A12" s="62">
        <v>7</v>
      </c>
      <c r="B12" s="39">
        <f>資料儲存!D3608</f>
        <v>0</v>
      </c>
      <c r="C12" s="39">
        <f>資料儲存!E3608</f>
        <v>0</v>
      </c>
      <c r="D12" s="39">
        <f>資料儲存!F3608</f>
        <v>0</v>
      </c>
      <c r="E12" s="39">
        <f>資料儲存!G3608</f>
        <v>0</v>
      </c>
      <c r="F12" s="39">
        <f>資料儲存!H3608</f>
        <v>0</v>
      </c>
      <c r="G12" s="39">
        <f>資料儲存!I3608</f>
        <v>0</v>
      </c>
      <c r="H12" s="39">
        <f>資料儲存!J3608</f>
        <v>0</v>
      </c>
      <c r="I12" s="58"/>
      <c r="J12" s="62">
        <v>7</v>
      </c>
      <c r="K12" s="39">
        <f>資料儲存!D3668</f>
        <v>0</v>
      </c>
      <c r="L12" s="39">
        <f>資料儲存!E3668</f>
        <v>0</v>
      </c>
      <c r="M12" s="39">
        <f>資料儲存!F3668</f>
        <v>0</v>
      </c>
      <c r="N12" s="39">
        <f>資料儲存!G3668</f>
        <v>0</v>
      </c>
      <c r="O12" s="39">
        <f>資料儲存!H3668</f>
        <v>0</v>
      </c>
      <c r="P12" s="39">
        <f>資料儲存!I3668</f>
        <v>0</v>
      </c>
      <c r="Q12" s="39">
        <f>資料儲存!J3668</f>
        <v>0</v>
      </c>
      <c r="R12" s="58"/>
      <c r="S12" s="62">
        <v>7</v>
      </c>
      <c r="T12" s="39">
        <f>資料儲存!D3728</f>
        <v>0</v>
      </c>
      <c r="U12" s="39">
        <f>資料儲存!E3728</f>
        <v>0</v>
      </c>
      <c r="V12" s="39">
        <f>資料儲存!F3728</f>
        <v>0</v>
      </c>
      <c r="W12" s="39">
        <f>資料儲存!G3728</f>
        <v>0</v>
      </c>
      <c r="X12" s="39">
        <f>資料儲存!H3728</f>
        <v>0</v>
      </c>
      <c r="Y12" s="39">
        <f>資料儲存!I3728</f>
        <v>0</v>
      </c>
      <c r="Z12" s="39">
        <f>資料儲存!J3728</f>
        <v>0</v>
      </c>
      <c r="AA12" s="58"/>
      <c r="AB12" s="62">
        <v>7</v>
      </c>
      <c r="AC12" s="39">
        <f>資料儲存!D3788</f>
        <v>0</v>
      </c>
      <c r="AD12" s="39">
        <f>資料儲存!E3788</f>
        <v>0</v>
      </c>
      <c r="AE12" s="39">
        <f>資料儲存!F3788</f>
        <v>0</v>
      </c>
      <c r="AF12" s="39">
        <f>資料儲存!G3788</f>
        <v>0</v>
      </c>
      <c r="AG12" s="39">
        <f>資料儲存!H3788</f>
        <v>0</v>
      </c>
      <c r="AH12" s="39">
        <f>資料儲存!I3788</f>
        <v>0</v>
      </c>
      <c r="AI12" s="39">
        <f>資料儲存!J3788</f>
        <v>0</v>
      </c>
      <c r="AJ12" s="58"/>
      <c r="AK12" s="62">
        <v>7</v>
      </c>
      <c r="AL12" s="39">
        <f>資料儲存!D3848</f>
        <v>0</v>
      </c>
      <c r="AM12" s="39">
        <f>資料儲存!E3848</f>
        <v>0</v>
      </c>
      <c r="AN12" s="39">
        <f>資料儲存!F3848</f>
        <v>0</v>
      </c>
      <c r="AO12" s="39">
        <f>資料儲存!G3848</f>
        <v>0</v>
      </c>
      <c r="AP12" s="39">
        <f>資料儲存!H3848</f>
        <v>0</v>
      </c>
      <c r="AQ12" s="39">
        <f>資料儲存!I3848</f>
        <v>0</v>
      </c>
      <c r="AR12" s="39">
        <f>資料儲存!J3848</f>
        <v>0</v>
      </c>
      <c r="AT12" s="62">
        <v>7</v>
      </c>
      <c r="AU12" s="39">
        <f>資料儲存!D3908</f>
        <v>0</v>
      </c>
      <c r="AV12" s="39">
        <f>資料儲存!E3908</f>
        <v>0</v>
      </c>
      <c r="AW12" s="39">
        <f>資料儲存!F3908</f>
        <v>0</v>
      </c>
      <c r="AX12" s="39">
        <f>資料儲存!G3908</f>
        <v>0</v>
      </c>
      <c r="AY12" s="39">
        <f>資料儲存!H3908</f>
        <v>0</v>
      </c>
      <c r="AZ12" s="39">
        <f>資料儲存!I3908</f>
        <v>0</v>
      </c>
      <c r="BA12" s="39">
        <f>資料儲存!J3908</f>
        <v>0</v>
      </c>
    </row>
    <row r="13" spans="1:53" s="59" customFormat="1" ht="16" thickBot="1">
      <c r="A13" s="62">
        <v>8</v>
      </c>
      <c r="B13" s="39">
        <f>資料儲存!D3609</f>
        <v>0</v>
      </c>
      <c r="C13" s="39">
        <f>資料儲存!E3609</f>
        <v>0</v>
      </c>
      <c r="D13" s="39">
        <f>資料儲存!F3609</f>
        <v>0</v>
      </c>
      <c r="E13" s="39">
        <f>資料儲存!G3609</f>
        <v>0</v>
      </c>
      <c r="F13" s="39">
        <f>資料儲存!H3609</f>
        <v>0</v>
      </c>
      <c r="G13" s="39">
        <f>資料儲存!I3609</f>
        <v>0</v>
      </c>
      <c r="H13" s="39">
        <f>資料儲存!J3609</f>
        <v>0</v>
      </c>
      <c r="I13" s="58"/>
      <c r="J13" s="62">
        <v>8</v>
      </c>
      <c r="K13" s="39">
        <f>資料儲存!D3669</f>
        <v>0</v>
      </c>
      <c r="L13" s="39">
        <f>資料儲存!E3669</f>
        <v>0</v>
      </c>
      <c r="M13" s="39">
        <f>資料儲存!F3669</f>
        <v>0</v>
      </c>
      <c r="N13" s="39">
        <f>資料儲存!G3669</f>
        <v>0</v>
      </c>
      <c r="O13" s="39">
        <f>資料儲存!H3669</f>
        <v>0</v>
      </c>
      <c r="P13" s="39">
        <f>資料儲存!I3669</f>
        <v>0</v>
      </c>
      <c r="Q13" s="39">
        <f>資料儲存!J3669</f>
        <v>0</v>
      </c>
      <c r="R13" s="58"/>
      <c r="S13" s="62">
        <v>8</v>
      </c>
      <c r="T13" s="39">
        <f>資料儲存!D3729</f>
        <v>0</v>
      </c>
      <c r="U13" s="39">
        <f>資料儲存!E3729</f>
        <v>0</v>
      </c>
      <c r="V13" s="39">
        <f>資料儲存!F3729</f>
        <v>0</v>
      </c>
      <c r="W13" s="39">
        <f>資料儲存!G3729</f>
        <v>0</v>
      </c>
      <c r="X13" s="39">
        <f>資料儲存!H3729</f>
        <v>0</v>
      </c>
      <c r="Y13" s="39">
        <f>資料儲存!I3729</f>
        <v>0</v>
      </c>
      <c r="Z13" s="39">
        <f>資料儲存!J3729</f>
        <v>0</v>
      </c>
      <c r="AA13" s="58"/>
      <c r="AB13" s="62">
        <v>8</v>
      </c>
      <c r="AC13" s="39">
        <f>資料儲存!D3789</f>
        <v>0</v>
      </c>
      <c r="AD13" s="39">
        <f>資料儲存!E3789</f>
        <v>0</v>
      </c>
      <c r="AE13" s="39">
        <f>資料儲存!F3789</f>
        <v>0</v>
      </c>
      <c r="AF13" s="39">
        <f>資料儲存!G3789</f>
        <v>0</v>
      </c>
      <c r="AG13" s="39">
        <f>資料儲存!H3789</f>
        <v>0</v>
      </c>
      <c r="AH13" s="39">
        <f>資料儲存!I3789</f>
        <v>0</v>
      </c>
      <c r="AI13" s="39">
        <f>資料儲存!J3789</f>
        <v>0</v>
      </c>
      <c r="AJ13" s="58"/>
      <c r="AK13" s="62">
        <v>8</v>
      </c>
      <c r="AL13" s="39">
        <f>資料儲存!D3849</f>
        <v>0</v>
      </c>
      <c r="AM13" s="39">
        <f>資料儲存!E3849</f>
        <v>0</v>
      </c>
      <c r="AN13" s="39">
        <f>資料儲存!F3849</f>
        <v>0</v>
      </c>
      <c r="AO13" s="39">
        <f>資料儲存!G3849</f>
        <v>0</v>
      </c>
      <c r="AP13" s="39">
        <f>資料儲存!H3849</f>
        <v>0</v>
      </c>
      <c r="AQ13" s="39">
        <f>資料儲存!I3849</f>
        <v>0</v>
      </c>
      <c r="AR13" s="39">
        <f>資料儲存!J3849</f>
        <v>0</v>
      </c>
      <c r="AT13" s="62">
        <v>8</v>
      </c>
      <c r="AU13" s="39">
        <f>資料儲存!D3909</f>
        <v>0</v>
      </c>
      <c r="AV13" s="39">
        <f>資料儲存!E3909</f>
        <v>0</v>
      </c>
      <c r="AW13" s="39">
        <f>資料儲存!F3909</f>
        <v>0</v>
      </c>
      <c r="AX13" s="39">
        <f>資料儲存!G3909</f>
        <v>0</v>
      </c>
      <c r="AY13" s="39">
        <f>資料儲存!H3909</f>
        <v>0</v>
      </c>
      <c r="AZ13" s="39">
        <f>資料儲存!I3909</f>
        <v>0</v>
      </c>
      <c r="BA13" s="39">
        <f>資料儲存!J3909</f>
        <v>0</v>
      </c>
    </row>
    <row r="14" spans="1:53" s="59" customFormat="1" ht="16" thickBot="1">
      <c r="A14" s="62">
        <v>9</v>
      </c>
      <c r="B14" s="39">
        <f>資料儲存!D3610</f>
        <v>0</v>
      </c>
      <c r="C14" s="39">
        <f>資料儲存!E3610</f>
        <v>0</v>
      </c>
      <c r="D14" s="39">
        <f>資料儲存!F3610</f>
        <v>0</v>
      </c>
      <c r="E14" s="39">
        <f>資料儲存!G3610</f>
        <v>0</v>
      </c>
      <c r="F14" s="39">
        <f>資料儲存!H3610</f>
        <v>0</v>
      </c>
      <c r="G14" s="39">
        <f>資料儲存!I3610</f>
        <v>0</v>
      </c>
      <c r="H14" s="39">
        <f>資料儲存!J3610</f>
        <v>0</v>
      </c>
      <c r="I14" s="58"/>
      <c r="J14" s="62">
        <v>9</v>
      </c>
      <c r="K14" s="39">
        <f>資料儲存!D3670</f>
        <v>0</v>
      </c>
      <c r="L14" s="39">
        <f>資料儲存!E3670</f>
        <v>0</v>
      </c>
      <c r="M14" s="39">
        <f>資料儲存!F3670</f>
        <v>0</v>
      </c>
      <c r="N14" s="39">
        <f>資料儲存!G3670</f>
        <v>0</v>
      </c>
      <c r="O14" s="39">
        <f>資料儲存!H3670</f>
        <v>0</v>
      </c>
      <c r="P14" s="39">
        <f>資料儲存!I3670</f>
        <v>0</v>
      </c>
      <c r="Q14" s="39">
        <f>資料儲存!J3670</f>
        <v>0</v>
      </c>
      <c r="R14" s="58"/>
      <c r="S14" s="62">
        <v>9</v>
      </c>
      <c r="T14" s="39">
        <f>資料儲存!D3730</f>
        <v>0</v>
      </c>
      <c r="U14" s="39">
        <f>資料儲存!E3730</f>
        <v>0</v>
      </c>
      <c r="V14" s="39">
        <f>資料儲存!F3730</f>
        <v>0</v>
      </c>
      <c r="W14" s="39">
        <f>資料儲存!G3730</f>
        <v>0</v>
      </c>
      <c r="X14" s="39">
        <f>資料儲存!H3730</f>
        <v>0</v>
      </c>
      <c r="Y14" s="39">
        <f>資料儲存!I3730</f>
        <v>0</v>
      </c>
      <c r="Z14" s="39">
        <f>資料儲存!J3730</f>
        <v>0</v>
      </c>
      <c r="AA14" s="58"/>
      <c r="AB14" s="62">
        <v>9</v>
      </c>
      <c r="AC14" s="39">
        <f>資料儲存!D3790</f>
        <v>0</v>
      </c>
      <c r="AD14" s="39">
        <f>資料儲存!E3790</f>
        <v>0</v>
      </c>
      <c r="AE14" s="39">
        <f>資料儲存!F3790</f>
        <v>0</v>
      </c>
      <c r="AF14" s="39">
        <f>資料儲存!G3790</f>
        <v>0</v>
      </c>
      <c r="AG14" s="39">
        <f>資料儲存!H3790</f>
        <v>0</v>
      </c>
      <c r="AH14" s="39">
        <f>資料儲存!I3790</f>
        <v>0</v>
      </c>
      <c r="AI14" s="39">
        <f>資料儲存!J3790</f>
        <v>0</v>
      </c>
      <c r="AJ14" s="58"/>
      <c r="AK14" s="62">
        <v>9</v>
      </c>
      <c r="AL14" s="39">
        <f>資料儲存!D3850</f>
        <v>0</v>
      </c>
      <c r="AM14" s="39">
        <f>資料儲存!E3850</f>
        <v>0</v>
      </c>
      <c r="AN14" s="39">
        <f>資料儲存!F3850</f>
        <v>0</v>
      </c>
      <c r="AO14" s="39">
        <f>資料儲存!G3850</f>
        <v>0</v>
      </c>
      <c r="AP14" s="39">
        <f>資料儲存!H3850</f>
        <v>0</v>
      </c>
      <c r="AQ14" s="39">
        <f>資料儲存!I3850</f>
        <v>0</v>
      </c>
      <c r="AR14" s="39">
        <f>資料儲存!J3850</f>
        <v>0</v>
      </c>
      <c r="AT14" s="62">
        <v>9</v>
      </c>
      <c r="AU14" s="39">
        <f>資料儲存!D3910</f>
        <v>0</v>
      </c>
      <c r="AV14" s="39">
        <f>資料儲存!E3910</f>
        <v>0</v>
      </c>
      <c r="AW14" s="39">
        <f>資料儲存!F3910</f>
        <v>0</v>
      </c>
      <c r="AX14" s="39">
        <f>資料儲存!G3910</f>
        <v>0</v>
      </c>
      <c r="AY14" s="39">
        <f>資料儲存!H3910</f>
        <v>0</v>
      </c>
      <c r="AZ14" s="39">
        <f>資料儲存!I3910</f>
        <v>0</v>
      </c>
      <c r="BA14" s="39">
        <f>資料儲存!J3910</f>
        <v>0</v>
      </c>
    </row>
    <row r="15" spans="1:53" s="59" customFormat="1" ht="16" thickBot="1">
      <c r="A15" s="62">
        <v>10</v>
      </c>
      <c r="B15" s="39">
        <f>資料儲存!D3611</f>
        <v>0</v>
      </c>
      <c r="C15" s="39">
        <f>資料儲存!E3611</f>
        <v>0</v>
      </c>
      <c r="D15" s="39">
        <f>資料儲存!F3611</f>
        <v>0</v>
      </c>
      <c r="E15" s="39">
        <f>資料儲存!G3611</f>
        <v>0</v>
      </c>
      <c r="F15" s="39">
        <f>資料儲存!H3611</f>
        <v>0</v>
      </c>
      <c r="G15" s="39">
        <f>資料儲存!I3611</f>
        <v>0</v>
      </c>
      <c r="H15" s="39">
        <f>資料儲存!J3611</f>
        <v>0</v>
      </c>
      <c r="I15" s="58"/>
      <c r="J15" s="62">
        <v>10</v>
      </c>
      <c r="K15" s="39">
        <f>資料儲存!D3671</f>
        <v>0</v>
      </c>
      <c r="L15" s="39">
        <f>資料儲存!E3671</f>
        <v>0</v>
      </c>
      <c r="M15" s="39">
        <f>資料儲存!F3671</f>
        <v>0</v>
      </c>
      <c r="N15" s="39">
        <f>資料儲存!G3671</f>
        <v>0</v>
      </c>
      <c r="O15" s="39">
        <f>資料儲存!H3671</f>
        <v>0</v>
      </c>
      <c r="P15" s="39">
        <f>資料儲存!I3671</f>
        <v>0</v>
      </c>
      <c r="Q15" s="39">
        <f>資料儲存!J3671</f>
        <v>0</v>
      </c>
      <c r="R15" s="58"/>
      <c r="S15" s="62">
        <v>10</v>
      </c>
      <c r="T15" s="39">
        <f>資料儲存!D3731</f>
        <v>0</v>
      </c>
      <c r="U15" s="39">
        <f>資料儲存!E3731</f>
        <v>0</v>
      </c>
      <c r="V15" s="39">
        <f>資料儲存!F3731</f>
        <v>0</v>
      </c>
      <c r="W15" s="39">
        <f>資料儲存!G3731</f>
        <v>0</v>
      </c>
      <c r="X15" s="39">
        <f>資料儲存!H3731</f>
        <v>0</v>
      </c>
      <c r="Y15" s="39">
        <f>資料儲存!I3731</f>
        <v>0</v>
      </c>
      <c r="Z15" s="39">
        <f>資料儲存!J3731</f>
        <v>0</v>
      </c>
      <c r="AA15" s="58"/>
      <c r="AB15" s="62">
        <v>10</v>
      </c>
      <c r="AC15" s="39">
        <f>資料儲存!D3791</f>
        <v>0</v>
      </c>
      <c r="AD15" s="39">
        <f>資料儲存!E3791</f>
        <v>0</v>
      </c>
      <c r="AE15" s="39">
        <f>資料儲存!F3791</f>
        <v>0</v>
      </c>
      <c r="AF15" s="39">
        <f>資料儲存!G3791</f>
        <v>0</v>
      </c>
      <c r="AG15" s="39">
        <f>資料儲存!H3791</f>
        <v>0</v>
      </c>
      <c r="AH15" s="39">
        <f>資料儲存!I3791</f>
        <v>0</v>
      </c>
      <c r="AI15" s="39">
        <f>資料儲存!J3791</f>
        <v>0</v>
      </c>
      <c r="AJ15" s="58"/>
      <c r="AK15" s="62">
        <v>10</v>
      </c>
      <c r="AL15" s="39">
        <f>資料儲存!D3851</f>
        <v>0</v>
      </c>
      <c r="AM15" s="39">
        <f>資料儲存!E3851</f>
        <v>0</v>
      </c>
      <c r="AN15" s="39">
        <f>資料儲存!F3851</f>
        <v>0</v>
      </c>
      <c r="AO15" s="39">
        <f>資料儲存!G3851</f>
        <v>0</v>
      </c>
      <c r="AP15" s="39">
        <f>資料儲存!H3851</f>
        <v>0</v>
      </c>
      <c r="AQ15" s="39">
        <f>資料儲存!I3851</f>
        <v>0</v>
      </c>
      <c r="AR15" s="39">
        <f>資料儲存!J3851</f>
        <v>0</v>
      </c>
      <c r="AT15" s="62">
        <v>10</v>
      </c>
      <c r="AU15" s="39">
        <f>資料儲存!D3911</f>
        <v>0</v>
      </c>
      <c r="AV15" s="39">
        <f>資料儲存!E3911</f>
        <v>0</v>
      </c>
      <c r="AW15" s="39">
        <f>資料儲存!F3911</f>
        <v>0</v>
      </c>
      <c r="AX15" s="39">
        <f>資料儲存!G3911</f>
        <v>0</v>
      </c>
      <c r="AY15" s="39">
        <f>資料儲存!H3911</f>
        <v>0</v>
      </c>
      <c r="AZ15" s="39">
        <f>資料儲存!I3911</f>
        <v>0</v>
      </c>
      <c r="BA15" s="39">
        <f>資料儲存!J3911</f>
        <v>0</v>
      </c>
    </row>
    <row r="16" spans="1:53" s="59" customFormat="1" ht="16" thickBot="1">
      <c r="A16" s="62">
        <v>11</v>
      </c>
      <c r="B16" s="39">
        <f>資料儲存!D3612</f>
        <v>0</v>
      </c>
      <c r="C16" s="39">
        <f>資料儲存!E3612</f>
        <v>0</v>
      </c>
      <c r="D16" s="39">
        <f>資料儲存!F3612</f>
        <v>0</v>
      </c>
      <c r="E16" s="39">
        <f>資料儲存!G3612</f>
        <v>0</v>
      </c>
      <c r="F16" s="39">
        <f>資料儲存!H3612</f>
        <v>0</v>
      </c>
      <c r="G16" s="39">
        <f>資料儲存!I3612</f>
        <v>0</v>
      </c>
      <c r="H16" s="39">
        <f>資料儲存!J3612</f>
        <v>0</v>
      </c>
      <c r="I16" s="58"/>
      <c r="J16" s="62">
        <v>11</v>
      </c>
      <c r="K16" s="39">
        <f>資料儲存!D3672</f>
        <v>0</v>
      </c>
      <c r="L16" s="39">
        <f>資料儲存!E3672</f>
        <v>0</v>
      </c>
      <c r="M16" s="39">
        <f>資料儲存!F3672</f>
        <v>0</v>
      </c>
      <c r="N16" s="39">
        <f>資料儲存!G3672</f>
        <v>0</v>
      </c>
      <c r="O16" s="39">
        <f>資料儲存!H3672</f>
        <v>0</v>
      </c>
      <c r="P16" s="39">
        <f>資料儲存!I3672</f>
        <v>0</v>
      </c>
      <c r="Q16" s="39">
        <f>資料儲存!J3672</f>
        <v>0</v>
      </c>
      <c r="R16" s="58"/>
      <c r="S16" s="62">
        <v>11</v>
      </c>
      <c r="T16" s="39">
        <f>資料儲存!D3732</f>
        <v>0</v>
      </c>
      <c r="U16" s="39">
        <f>資料儲存!E3732</f>
        <v>0</v>
      </c>
      <c r="V16" s="39">
        <f>資料儲存!F3732</f>
        <v>0</v>
      </c>
      <c r="W16" s="39">
        <f>資料儲存!G3732</f>
        <v>0</v>
      </c>
      <c r="X16" s="39">
        <f>資料儲存!H3732</f>
        <v>0</v>
      </c>
      <c r="Y16" s="39">
        <f>資料儲存!I3732</f>
        <v>0</v>
      </c>
      <c r="Z16" s="39">
        <f>資料儲存!J3732</f>
        <v>0</v>
      </c>
      <c r="AA16" s="58"/>
      <c r="AB16" s="62">
        <v>11</v>
      </c>
      <c r="AC16" s="39">
        <f>資料儲存!D3792</f>
        <v>0</v>
      </c>
      <c r="AD16" s="39">
        <f>資料儲存!E3792</f>
        <v>0</v>
      </c>
      <c r="AE16" s="39">
        <f>資料儲存!F3792</f>
        <v>0</v>
      </c>
      <c r="AF16" s="39">
        <f>資料儲存!G3792</f>
        <v>0</v>
      </c>
      <c r="AG16" s="39">
        <f>資料儲存!H3792</f>
        <v>0</v>
      </c>
      <c r="AH16" s="39">
        <f>資料儲存!I3792</f>
        <v>0</v>
      </c>
      <c r="AI16" s="39">
        <f>資料儲存!J3792</f>
        <v>0</v>
      </c>
      <c r="AJ16" s="58"/>
      <c r="AK16" s="62">
        <v>11</v>
      </c>
      <c r="AL16" s="39">
        <f>資料儲存!D3852</f>
        <v>0</v>
      </c>
      <c r="AM16" s="39">
        <f>資料儲存!E3852</f>
        <v>0</v>
      </c>
      <c r="AN16" s="39">
        <f>資料儲存!F3852</f>
        <v>0</v>
      </c>
      <c r="AO16" s="39">
        <f>資料儲存!G3852</f>
        <v>0</v>
      </c>
      <c r="AP16" s="39">
        <f>資料儲存!H3852</f>
        <v>0</v>
      </c>
      <c r="AQ16" s="39">
        <f>資料儲存!I3852</f>
        <v>0</v>
      </c>
      <c r="AR16" s="39">
        <f>資料儲存!J3852</f>
        <v>0</v>
      </c>
      <c r="AT16" s="62">
        <v>11</v>
      </c>
      <c r="AU16" s="39">
        <f>資料儲存!D3912</f>
        <v>0</v>
      </c>
      <c r="AV16" s="39">
        <f>資料儲存!E3912</f>
        <v>0</v>
      </c>
      <c r="AW16" s="39">
        <f>資料儲存!F3912</f>
        <v>0</v>
      </c>
      <c r="AX16" s="39">
        <f>資料儲存!G3912</f>
        <v>0</v>
      </c>
      <c r="AY16" s="39">
        <f>資料儲存!H3912</f>
        <v>0</v>
      </c>
      <c r="AZ16" s="39">
        <f>資料儲存!I3912</f>
        <v>0</v>
      </c>
      <c r="BA16" s="39">
        <f>資料儲存!J3912</f>
        <v>0</v>
      </c>
    </row>
    <row r="17" spans="1:53" s="59" customFormat="1" ht="16" thickBot="1">
      <c r="A17" s="62">
        <v>12</v>
      </c>
      <c r="B17" s="39">
        <f>資料儲存!D3613</f>
        <v>0</v>
      </c>
      <c r="C17" s="39">
        <f>資料儲存!E3613</f>
        <v>0</v>
      </c>
      <c r="D17" s="39">
        <f>資料儲存!F3613</f>
        <v>0</v>
      </c>
      <c r="E17" s="39">
        <f>資料儲存!G3613</f>
        <v>0</v>
      </c>
      <c r="F17" s="39">
        <f>資料儲存!H3613</f>
        <v>0</v>
      </c>
      <c r="G17" s="39">
        <f>資料儲存!I3613</f>
        <v>0</v>
      </c>
      <c r="H17" s="39">
        <f>資料儲存!J3613</f>
        <v>0</v>
      </c>
      <c r="I17" s="58"/>
      <c r="J17" s="62">
        <v>12</v>
      </c>
      <c r="K17" s="39">
        <f>資料儲存!D3673</f>
        <v>0</v>
      </c>
      <c r="L17" s="39">
        <f>資料儲存!E3673</f>
        <v>0</v>
      </c>
      <c r="M17" s="39">
        <f>資料儲存!F3673</f>
        <v>0</v>
      </c>
      <c r="N17" s="39">
        <f>資料儲存!G3673</f>
        <v>0</v>
      </c>
      <c r="O17" s="39">
        <f>資料儲存!H3673</f>
        <v>0</v>
      </c>
      <c r="P17" s="39">
        <f>資料儲存!I3673</f>
        <v>0</v>
      </c>
      <c r="Q17" s="39">
        <f>資料儲存!J3673</f>
        <v>0</v>
      </c>
      <c r="R17" s="58"/>
      <c r="S17" s="62">
        <v>12</v>
      </c>
      <c r="T17" s="39">
        <f>資料儲存!D3733</f>
        <v>0</v>
      </c>
      <c r="U17" s="39">
        <f>資料儲存!E3733</f>
        <v>0</v>
      </c>
      <c r="V17" s="39">
        <f>資料儲存!F3733</f>
        <v>0</v>
      </c>
      <c r="W17" s="39">
        <f>資料儲存!G3733</f>
        <v>0</v>
      </c>
      <c r="X17" s="39">
        <f>資料儲存!H3733</f>
        <v>0</v>
      </c>
      <c r="Y17" s="39">
        <f>資料儲存!I3733</f>
        <v>0</v>
      </c>
      <c r="Z17" s="39">
        <f>資料儲存!J3733</f>
        <v>0</v>
      </c>
      <c r="AA17" s="58"/>
      <c r="AB17" s="62">
        <v>12</v>
      </c>
      <c r="AC17" s="39">
        <f>資料儲存!D3793</f>
        <v>0</v>
      </c>
      <c r="AD17" s="39">
        <f>資料儲存!E3793</f>
        <v>0</v>
      </c>
      <c r="AE17" s="39">
        <f>資料儲存!F3793</f>
        <v>0</v>
      </c>
      <c r="AF17" s="39">
        <f>資料儲存!G3793</f>
        <v>0</v>
      </c>
      <c r="AG17" s="39">
        <f>資料儲存!H3793</f>
        <v>0</v>
      </c>
      <c r="AH17" s="39">
        <f>資料儲存!I3793</f>
        <v>0</v>
      </c>
      <c r="AI17" s="39">
        <f>資料儲存!J3793</f>
        <v>0</v>
      </c>
      <c r="AJ17" s="58"/>
      <c r="AK17" s="62">
        <v>12</v>
      </c>
      <c r="AL17" s="39">
        <f>資料儲存!D3853</f>
        <v>0</v>
      </c>
      <c r="AM17" s="39">
        <f>資料儲存!E3853</f>
        <v>0</v>
      </c>
      <c r="AN17" s="39">
        <f>資料儲存!F3853</f>
        <v>0</v>
      </c>
      <c r="AO17" s="39">
        <f>資料儲存!G3853</f>
        <v>0</v>
      </c>
      <c r="AP17" s="39">
        <f>資料儲存!H3853</f>
        <v>0</v>
      </c>
      <c r="AQ17" s="39">
        <f>資料儲存!I3853</f>
        <v>0</v>
      </c>
      <c r="AR17" s="39">
        <f>資料儲存!J3853</f>
        <v>0</v>
      </c>
      <c r="AT17" s="62">
        <v>12</v>
      </c>
      <c r="AU17" s="39">
        <f>資料儲存!D3913</f>
        <v>0</v>
      </c>
      <c r="AV17" s="39">
        <f>資料儲存!E3913</f>
        <v>0</v>
      </c>
      <c r="AW17" s="39">
        <f>資料儲存!F3913</f>
        <v>0</v>
      </c>
      <c r="AX17" s="39">
        <f>資料儲存!G3913</f>
        <v>0</v>
      </c>
      <c r="AY17" s="39">
        <f>資料儲存!H3913</f>
        <v>0</v>
      </c>
      <c r="AZ17" s="39">
        <f>資料儲存!I3913</f>
        <v>0</v>
      </c>
      <c r="BA17" s="39">
        <f>資料儲存!J3913</f>
        <v>0</v>
      </c>
    </row>
    <row r="18" spans="1:53" s="59" customFormat="1" ht="16" thickBot="1">
      <c r="A18" s="62">
        <v>13</v>
      </c>
      <c r="B18" s="39">
        <f>資料儲存!D3614</f>
        <v>0</v>
      </c>
      <c r="C18" s="39">
        <f>資料儲存!E3614</f>
        <v>0</v>
      </c>
      <c r="D18" s="39">
        <f>資料儲存!F3614</f>
        <v>0</v>
      </c>
      <c r="E18" s="39">
        <f>資料儲存!G3614</f>
        <v>0</v>
      </c>
      <c r="F18" s="39">
        <f>資料儲存!H3614</f>
        <v>0</v>
      </c>
      <c r="G18" s="39">
        <f>資料儲存!I3614</f>
        <v>0</v>
      </c>
      <c r="H18" s="39">
        <f>資料儲存!J3614</f>
        <v>0</v>
      </c>
      <c r="I18" s="58"/>
      <c r="J18" s="62">
        <v>13</v>
      </c>
      <c r="K18" s="39">
        <f>資料儲存!D3674</f>
        <v>0</v>
      </c>
      <c r="L18" s="39">
        <f>資料儲存!E3674</f>
        <v>0</v>
      </c>
      <c r="M18" s="39">
        <f>資料儲存!F3674</f>
        <v>0</v>
      </c>
      <c r="N18" s="39">
        <f>資料儲存!G3674</f>
        <v>0</v>
      </c>
      <c r="O18" s="39">
        <f>資料儲存!H3674</f>
        <v>0</v>
      </c>
      <c r="P18" s="39">
        <f>資料儲存!I3674</f>
        <v>0</v>
      </c>
      <c r="Q18" s="39">
        <f>資料儲存!J3674</f>
        <v>0</v>
      </c>
      <c r="R18" s="58"/>
      <c r="S18" s="62">
        <v>13</v>
      </c>
      <c r="T18" s="39">
        <f>資料儲存!D3734</f>
        <v>0</v>
      </c>
      <c r="U18" s="39">
        <f>資料儲存!E3734</f>
        <v>0</v>
      </c>
      <c r="V18" s="39">
        <f>資料儲存!F3734</f>
        <v>0</v>
      </c>
      <c r="W18" s="39">
        <f>資料儲存!G3734</f>
        <v>0</v>
      </c>
      <c r="X18" s="39">
        <f>資料儲存!H3734</f>
        <v>0</v>
      </c>
      <c r="Y18" s="39">
        <f>資料儲存!I3734</f>
        <v>0</v>
      </c>
      <c r="Z18" s="39">
        <f>資料儲存!J3734</f>
        <v>0</v>
      </c>
      <c r="AA18" s="58"/>
      <c r="AB18" s="62">
        <v>13</v>
      </c>
      <c r="AC18" s="39">
        <f>資料儲存!D3794</f>
        <v>0</v>
      </c>
      <c r="AD18" s="39">
        <f>資料儲存!E3794</f>
        <v>0</v>
      </c>
      <c r="AE18" s="39">
        <f>資料儲存!F3794</f>
        <v>0</v>
      </c>
      <c r="AF18" s="39">
        <f>資料儲存!G3794</f>
        <v>0</v>
      </c>
      <c r="AG18" s="39">
        <f>資料儲存!H3794</f>
        <v>0</v>
      </c>
      <c r="AH18" s="39">
        <f>資料儲存!I3794</f>
        <v>0</v>
      </c>
      <c r="AI18" s="39">
        <f>資料儲存!J3794</f>
        <v>0</v>
      </c>
      <c r="AJ18" s="58"/>
      <c r="AK18" s="62">
        <v>13</v>
      </c>
      <c r="AL18" s="39">
        <f>資料儲存!D3854</f>
        <v>0</v>
      </c>
      <c r="AM18" s="39">
        <f>資料儲存!E3854</f>
        <v>0</v>
      </c>
      <c r="AN18" s="39">
        <f>資料儲存!F3854</f>
        <v>0</v>
      </c>
      <c r="AO18" s="39">
        <f>資料儲存!G3854</f>
        <v>0</v>
      </c>
      <c r="AP18" s="39">
        <f>資料儲存!H3854</f>
        <v>0</v>
      </c>
      <c r="AQ18" s="39">
        <f>資料儲存!I3854</f>
        <v>0</v>
      </c>
      <c r="AR18" s="39">
        <f>資料儲存!J3854</f>
        <v>0</v>
      </c>
      <c r="AT18" s="62">
        <v>13</v>
      </c>
      <c r="AU18" s="39">
        <f>資料儲存!D3914</f>
        <v>0</v>
      </c>
      <c r="AV18" s="39">
        <f>資料儲存!E3914</f>
        <v>0</v>
      </c>
      <c r="AW18" s="39">
        <f>資料儲存!F3914</f>
        <v>0</v>
      </c>
      <c r="AX18" s="39">
        <f>資料儲存!G3914</f>
        <v>0</v>
      </c>
      <c r="AY18" s="39">
        <f>資料儲存!H3914</f>
        <v>0</v>
      </c>
      <c r="AZ18" s="39">
        <f>資料儲存!I3914</f>
        <v>0</v>
      </c>
      <c r="BA18" s="39">
        <f>資料儲存!J3914</f>
        <v>0</v>
      </c>
    </row>
    <row r="19" spans="1:53" s="59" customFormat="1" ht="16" thickBot="1">
      <c r="A19" s="62">
        <v>14</v>
      </c>
      <c r="B19" s="39">
        <f>資料儲存!D3615</f>
        <v>0</v>
      </c>
      <c r="C19" s="39">
        <f>資料儲存!E3615</f>
        <v>0</v>
      </c>
      <c r="D19" s="39">
        <f>資料儲存!F3615</f>
        <v>0</v>
      </c>
      <c r="E19" s="39">
        <f>資料儲存!G3615</f>
        <v>0</v>
      </c>
      <c r="F19" s="39">
        <f>資料儲存!H3615</f>
        <v>0</v>
      </c>
      <c r="G19" s="39">
        <f>資料儲存!I3615</f>
        <v>0</v>
      </c>
      <c r="H19" s="39">
        <f>資料儲存!J3615</f>
        <v>0</v>
      </c>
      <c r="I19" s="58"/>
      <c r="J19" s="62">
        <v>14</v>
      </c>
      <c r="K19" s="39">
        <f>資料儲存!D3675</f>
        <v>0</v>
      </c>
      <c r="L19" s="39">
        <f>資料儲存!E3675</f>
        <v>0</v>
      </c>
      <c r="M19" s="39">
        <f>資料儲存!F3675</f>
        <v>0</v>
      </c>
      <c r="N19" s="39">
        <f>資料儲存!G3675</f>
        <v>0</v>
      </c>
      <c r="O19" s="39">
        <f>資料儲存!H3675</f>
        <v>0</v>
      </c>
      <c r="P19" s="39">
        <f>資料儲存!I3675</f>
        <v>0</v>
      </c>
      <c r="Q19" s="39">
        <f>資料儲存!J3675</f>
        <v>0</v>
      </c>
      <c r="R19" s="58"/>
      <c r="S19" s="62">
        <v>14</v>
      </c>
      <c r="T19" s="39">
        <f>資料儲存!D3735</f>
        <v>0</v>
      </c>
      <c r="U19" s="39">
        <f>資料儲存!E3735</f>
        <v>0</v>
      </c>
      <c r="V19" s="39">
        <f>資料儲存!F3735</f>
        <v>0</v>
      </c>
      <c r="W19" s="39">
        <f>資料儲存!G3735</f>
        <v>0</v>
      </c>
      <c r="X19" s="39">
        <f>資料儲存!H3735</f>
        <v>0</v>
      </c>
      <c r="Y19" s="39">
        <f>資料儲存!I3735</f>
        <v>0</v>
      </c>
      <c r="Z19" s="39">
        <f>資料儲存!J3735</f>
        <v>0</v>
      </c>
      <c r="AA19" s="58"/>
      <c r="AB19" s="62">
        <v>14</v>
      </c>
      <c r="AC19" s="39">
        <f>資料儲存!D3795</f>
        <v>0</v>
      </c>
      <c r="AD19" s="39">
        <f>資料儲存!E3795</f>
        <v>0</v>
      </c>
      <c r="AE19" s="39">
        <f>資料儲存!F3795</f>
        <v>0</v>
      </c>
      <c r="AF19" s="39">
        <f>資料儲存!G3795</f>
        <v>0</v>
      </c>
      <c r="AG19" s="39">
        <f>資料儲存!H3795</f>
        <v>0</v>
      </c>
      <c r="AH19" s="39">
        <f>資料儲存!I3795</f>
        <v>0</v>
      </c>
      <c r="AI19" s="39">
        <f>資料儲存!J3795</f>
        <v>0</v>
      </c>
      <c r="AJ19" s="58"/>
      <c r="AK19" s="62">
        <v>14</v>
      </c>
      <c r="AL19" s="39">
        <f>資料儲存!D3855</f>
        <v>0</v>
      </c>
      <c r="AM19" s="39">
        <f>資料儲存!E3855</f>
        <v>0</v>
      </c>
      <c r="AN19" s="39">
        <f>資料儲存!F3855</f>
        <v>0</v>
      </c>
      <c r="AO19" s="39">
        <f>資料儲存!G3855</f>
        <v>0</v>
      </c>
      <c r="AP19" s="39">
        <f>資料儲存!H3855</f>
        <v>0</v>
      </c>
      <c r="AQ19" s="39">
        <f>資料儲存!I3855</f>
        <v>0</v>
      </c>
      <c r="AR19" s="39">
        <f>資料儲存!J3855</f>
        <v>0</v>
      </c>
      <c r="AT19" s="62">
        <v>14</v>
      </c>
      <c r="AU19" s="39">
        <f>資料儲存!D3915</f>
        <v>0</v>
      </c>
      <c r="AV19" s="39">
        <f>資料儲存!E3915</f>
        <v>0</v>
      </c>
      <c r="AW19" s="39">
        <f>資料儲存!F3915</f>
        <v>0</v>
      </c>
      <c r="AX19" s="39">
        <f>資料儲存!G3915</f>
        <v>0</v>
      </c>
      <c r="AY19" s="39">
        <f>資料儲存!H3915</f>
        <v>0</v>
      </c>
      <c r="AZ19" s="39">
        <f>資料儲存!I3915</f>
        <v>0</v>
      </c>
      <c r="BA19" s="39">
        <f>資料儲存!J3915</f>
        <v>0</v>
      </c>
    </row>
    <row r="20" spans="1:53" s="59" customFormat="1" ht="16" thickBot="1">
      <c r="A20" s="62">
        <v>15</v>
      </c>
      <c r="B20" s="39">
        <f>資料儲存!D3616</f>
        <v>0</v>
      </c>
      <c r="C20" s="39">
        <f>資料儲存!E3616</f>
        <v>0</v>
      </c>
      <c r="D20" s="39">
        <f>資料儲存!F3616</f>
        <v>0</v>
      </c>
      <c r="E20" s="39">
        <f>資料儲存!G3616</f>
        <v>0</v>
      </c>
      <c r="F20" s="39">
        <f>資料儲存!H3616</f>
        <v>0</v>
      </c>
      <c r="G20" s="39">
        <f>資料儲存!I3616</f>
        <v>0</v>
      </c>
      <c r="H20" s="39">
        <f>資料儲存!J3616</f>
        <v>0</v>
      </c>
      <c r="I20" s="58"/>
      <c r="J20" s="62">
        <v>15</v>
      </c>
      <c r="K20" s="39">
        <f>資料儲存!D3676</f>
        <v>0</v>
      </c>
      <c r="L20" s="39">
        <f>資料儲存!E3676</f>
        <v>0</v>
      </c>
      <c r="M20" s="39">
        <f>資料儲存!F3676</f>
        <v>0</v>
      </c>
      <c r="N20" s="39">
        <f>資料儲存!G3676</f>
        <v>0</v>
      </c>
      <c r="O20" s="39">
        <f>資料儲存!H3676</f>
        <v>0</v>
      </c>
      <c r="P20" s="39">
        <f>資料儲存!I3676</f>
        <v>0</v>
      </c>
      <c r="Q20" s="39">
        <f>資料儲存!J3676</f>
        <v>0</v>
      </c>
      <c r="R20" s="58"/>
      <c r="S20" s="62">
        <v>15</v>
      </c>
      <c r="T20" s="39">
        <f>資料儲存!D3736</f>
        <v>0</v>
      </c>
      <c r="U20" s="39">
        <f>資料儲存!E3736</f>
        <v>0</v>
      </c>
      <c r="V20" s="39">
        <f>資料儲存!F3736</f>
        <v>0</v>
      </c>
      <c r="W20" s="39">
        <f>資料儲存!G3736</f>
        <v>0</v>
      </c>
      <c r="X20" s="39">
        <f>資料儲存!H3736</f>
        <v>0</v>
      </c>
      <c r="Y20" s="39">
        <f>資料儲存!I3736</f>
        <v>0</v>
      </c>
      <c r="Z20" s="39">
        <f>資料儲存!J3736</f>
        <v>0</v>
      </c>
      <c r="AA20" s="58"/>
      <c r="AB20" s="62">
        <v>15</v>
      </c>
      <c r="AC20" s="39">
        <f>資料儲存!D3796</f>
        <v>0</v>
      </c>
      <c r="AD20" s="39">
        <f>資料儲存!E3796</f>
        <v>0</v>
      </c>
      <c r="AE20" s="39">
        <f>資料儲存!F3796</f>
        <v>0</v>
      </c>
      <c r="AF20" s="39">
        <f>資料儲存!G3796</f>
        <v>0</v>
      </c>
      <c r="AG20" s="39">
        <f>資料儲存!H3796</f>
        <v>0</v>
      </c>
      <c r="AH20" s="39">
        <f>資料儲存!I3796</f>
        <v>0</v>
      </c>
      <c r="AI20" s="39">
        <f>資料儲存!J3796</f>
        <v>0</v>
      </c>
      <c r="AJ20" s="58"/>
      <c r="AK20" s="62">
        <v>15</v>
      </c>
      <c r="AL20" s="39">
        <f>資料儲存!D3856</f>
        <v>0</v>
      </c>
      <c r="AM20" s="39">
        <f>資料儲存!E3856</f>
        <v>0</v>
      </c>
      <c r="AN20" s="39">
        <f>資料儲存!F3856</f>
        <v>0</v>
      </c>
      <c r="AO20" s="39">
        <f>資料儲存!G3856</f>
        <v>0</v>
      </c>
      <c r="AP20" s="39">
        <f>資料儲存!H3856</f>
        <v>0</v>
      </c>
      <c r="AQ20" s="39">
        <f>資料儲存!I3856</f>
        <v>0</v>
      </c>
      <c r="AR20" s="39">
        <f>資料儲存!J3856</f>
        <v>0</v>
      </c>
      <c r="AT20" s="62">
        <v>15</v>
      </c>
      <c r="AU20" s="39">
        <f>資料儲存!D3916</f>
        <v>0</v>
      </c>
      <c r="AV20" s="39">
        <f>資料儲存!E3916</f>
        <v>0</v>
      </c>
      <c r="AW20" s="39">
        <f>資料儲存!F3916</f>
        <v>0</v>
      </c>
      <c r="AX20" s="39">
        <f>資料儲存!G3916</f>
        <v>0</v>
      </c>
      <c r="AY20" s="39">
        <f>資料儲存!H3916</f>
        <v>0</v>
      </c>
      <c r="AZ20" s="39">
        <f>資料儲存!I3916</f>
        <v>0</v>
      </c>
      <c r="BA20" s="39">
        <f>資料儲存!J3916</f>
        <v>0</v>
      </c>
    </row>
    <row r="21" spans="1:53" s="59" customFormat="1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35"/>
      <c r="AK21" s="40" t="s">
        <v>56</v>
      </c>
      <c r="AL21" s="39">
        <f>SUM(AL6:AO20)</f>
        <v>0</v>
      </c>
      <c r="AM21" s="37"/>
      <c r="AN21" s="37"/>
      <c r="AO21" s="37"/>
      <c r="AP21" s="39">
        <f>AP20</f>
        <v>0</v>
      </c>
      <c r="AQ21" s="39">
        <f>AQ20</f>
        <v>0</v>
      </c>
      <c r="AR21" s="39">
        <f>AR20</f>
        <v>0</v>
      </c>
      <c r="AT21" s="40" t="s">
        <v>56</v>
      </c>
      <c r="AU21" s="39">
        <f>SUM(AU6:AX20)</f>
        <v>0</v>
      </c>
      <c r="AV21" s="37"/>
      <c r="AW21" s="37"/>
      <c r="AX21" s="37"/>
      <c r="AY21" s="39">
        <f>AY20</f>
        <v>0</v>
      </c>
      <c r="AZ21" s="39">
        <f>AZ20</f>
        <v>0</v>
      </c>
      <c r="BA21" s="39">
        <f>BA20</f>
        <v>0</v>
      </c>
    </row>
    <row r="22" spans="1:53" ht="18.5" thickBot="1">
      <c r="A22" s="257" t="s">
        <v>92</v>
      </c>
      <c r="B22" s="258"/>
      <c r="C22" s="258"/>
      <c r="D22" s="258"/>
      <c r="E22" s="258"/>
      <c r="F22" s="258"/>
      <c r="G22" s="258"/>
      <c r="H22" s="259"/>
      <c r="I22" s="14"/>
      <c r="J22" s="257" t="s">
        <v>92</v>
      </c>
      <c r="K22" s="258"/>
      <c r="L22" s="258"/>
      <c r="M22" s="258"/>
      <c r="N22" s="258"/>
      <c r="O22" s="258"/>
      <c r="P22" s="258"/>
      <c r="Q22" s="259"/>
      <c r="R22" s="14"/>
      <c r="S22" s="257" t="s">
        <v>92</v>
      </c>
      <c r="T22" s="258"/>
      <c r="U22" s="258"/>
      <c r="V22" s="258"/>
      <c r="W22" s="258"/>
      <c r="X22" s="258"/>
      <c r="Y22" s="258"/>
      <c r="Z22" s="259"/>
      <c r="AA22" s="14"/>
      <c r="AB22" s="257" t="s">
        <v>92</v>
      </c>
      <c r="AC22" s="258"/>
      <c r="AD22" s="258"/>
      <c r="AE22" s="258"/>
      <c r="AF22" s="258"/>
      <c r="AG22" s="258"/>
      <c r="AH22" s="258"/>
      <c r="AI22" s="259"/>
      <c r="AJ22" s="14"/>
      <c r="AK22" s="257" t="s">
        <v>92</v>
      </c>
      <c r="AL22" s="258"/>
      <c r="AM22" s="258"/>
      <c r="AN22" s="258"/>
      <c r="AO22" s="258"/>
      <c r="AP22" s="258"/>
      <c r="AQ22" s="258"/>
      <c r="AR22" s="259"/>
      <c r="AT22" s="257" t="s">
        <v>92</v>
      </c>
      <c r="AU22" s="258"/>
      <c r="AV22" s="258"/>
      <c r="AW22" s="258"/>
      <c r="AX22" s="258"/>
      <c r="AY22" s="258"/>
      <c r="AZ22" s="258"/>
      <c r="BA22" s="259"/>
    </row>
    <row r="23" spans="1:53" s="67" customFormat="1" ht="17.25" customHeight="1" thickBot="1">
      <c r="A23" s="63" t="s">
        <v>2</v>
      </c>
      <c r="B23" s="64" t="s">
        <v>46</v>
      </c>
      <c r="C23" s="65"/>
      <c r="D23" s="65"/>
      <c r="E23" s="66"/>
      <c r="F23" s="64" t="s">
        <v>47</v>
      </c>
      <c r="G23" s="65"/>
      <c r="H23" s="66"/>
      <c r="I23" s="52"/>
      <c r="J23" s="63" t="s">
        <v>2</v>
      </c>
      <c r="K23" s="64" t="s">
        <v>46</v>
      </c>
      <c r="L23" s="65"/>
      <c r="M23" s="65"/>
      <c r="N23" s="66"/>
      <c r="O23" s="64" t="s">
        <v>47</v>
      </c>
      <c r="P23" s="65"/>
      <c r="Q23" s="66"/>
      <c r="R23" s="52"/>
      <c r="S23" s="63" t="s">
        <v>2</v>
      </c>
      <c r="T23" s="64" t="s">
        <v>46</v>
      </c>
      <c r="U23" s="65"/>
      <c r="V23" s="65"/>
      <c r="W23" s="66"/>
      <c r="X23" s="64" t="s">
        <v>47</v>
      </c>
      <c r="Y23" s="65"/>
      <c r="Z23" s="66"/>
      <c r="AA23" s="52"/>
      <c r="AB23" s="63" t="s">
        <v>2</v>
      </c>
      <c r="AC23" s="64" t="s">
        <v>46</v>
      </c>
      <c r="AD23" s="65"/>
      <c r="AE23" s="65"/>
      <c r="AF23" s="66"/>
      <c r="AG23" s="64" t="s">
        <v>47</v>
      </c>
      <c r="AH23" s="65"/>
      <c r="AI23" s="66"/>
      <c r="AJ23" s="52"/>
      <c r="AK23" s="63" t="s">
        <v>2</v>
      </c>
      <c r="AL23" s="64" t="s">
        <v>46</v>
      </c>
      <c r="AM23" s="65"/>
      <c r="AN23" s="65"/>
      <c r="AO23" s="66"/>
      <c r="AP23" s="64" t="s">
        <v>47</v>
      </c>
      <c r="AQ23" s="65"/>
      <c r="AR23" s="66"/>
      <c r="AT23" s="63" t="s">
        <v>2</v>
      </c>
      <c r="AU23" s="64" t="s">
        <v>46</v>
      </c>
      <c r="AV23" s="65"/>
      <c r="AW23" s="65"/>
      <c r="AX23" s="66"/>
      <c r="AY23" s="64" t="s">
        <v>47</v>
      </c>
      <c r="AZ23" s="65"/>
      <c r="BA23" s="66"/>
    </row>
    <row r="24" spans="1:53" s="67" customFormat="1" ht="16" thickBot="1">
      <c r="A24" s="68">
        <v>0.46875</v>
      </c>
      <c r="B24" s="69" t="s">
        <v>49</v>
      </c>
      <c r="C24" s="69" t="s">
        <v>50</v>
      </c>
      <c r="D24" s="69" t="s">
        <v>51</v>
      </c>
      <c r="E24" s="69" t="s">
        <v>52</v>
      </c>
      <c r="F24" s="69" t="s">
        <v>53</v>
      </c>
      <c r="G24" s="69" t="s">
        <v>54</v>
      </c>
      <c r="H24" s="69" t="s">
        <v>55</v>
      </c>
      <c r="I24" s="52"/>
      <c r="J24" s="68">
        <v>0.46875</v>
      </c>
      <c r="K24" s="69" t="s">
        <v>49</v>
      </c>
      <c r="L24" s="69" t="s">
        <v>50</v>
      </c>
      <c r="M24" s="69" t="s">
        <v>51</v>
      </c>
      <c r="N24" s="69" t="s">
        <v>52</v>
      </c>
      <c r="O24" s="69" t="s">
        <v>53</v>
      </c>
      <c r="P24" s="69" t="s">
        <v>54</v>
      </c>
      <c r="Q24" s="69" t="s">
        <v>55</v>
      </c>
      <c r="R24" s="52"/>
      <c r="S24" s="68">
        <v>0.46875</v>
      </c>
      <c r="T24" s="69" t="s">
        <v>49</v>
      </c>
      <c r="U24" s="69" t="s">
        <v>50</v>
      </c>
      <c r="V24" s="69" t="s">
        <v>51</v>
      </c>
      <c r="W24" s="69" t="s">
        <v>52</v>
      </c>
      <c r="X24" s="69" t="s">
        <v>53</v>
      </c>
      <c r="Y24" s="69" t="s">
        <v>54</v>
      </c>
      <c r="Z24" s="69" t="s">
        <v>55</v>
      </c>
      <c r="AA24" s="52"/>
      <c r="AB24" s="68">
        <v>0.46875</v>
      </c>
      <c r="AC24" s="69" t="s">
        <v>49</v>
      </c>
      <c r="AD24" s="69" t="s">
        <v>50</v>
      </c>
      <c r="AE24" s="69" t="s">
        <v>51</v>
      </c>
      <c r="AF24" s="69" t="s">
        <v>52</v>
      </c>
      <c r="AG24" s="69" t="s">
        <v>53</v>
      </c>
      <c r="AH24" s="69" t="s">
        <v>54</v>
      </c>
      <c r="AI24" s="69" t="s">
        <v>55</v>
      </c>
      <c r="AJ24" s="52"/>
      <c r="AK24" s="68">
        <v>0.46875</v>
      </c>
      <c r="AL24" s="69" t="s">
        <v>49</v>
      </c>
      <c r="AM24" s="69" t="s">
        <v>50</v>
      </c>
      <c r="AN24" s="69" t="s">
        <v>51</v>
      </c>
      <c r="AO24" s="69" t="s">
        <v>52</v>
      </c>
      <c r="AP24" s="69" t="s">
        <v>53</v>
      </c>
      <c r="AQ24" s="69" t="s">
        <v>54</v>
      </c>
      <c r="AR24" s="69" t="s">
        <v>55</v>
      </c>
      <c r="AT24" s="68">
        <v>0.46875</v>
      </c>
      <c r="AU24" s="69" t="s">
        <v>49</v>
      </c>
      <c r="AV24" s="69" t="s">
        <v>50</v>
      </c>
      <c r="AW24" s="69" t="s">
        <v>51</v>
      </c>
      <c r="AX24" s="69" t="s">
        <v>52</v>
      </c>
      <c r="AY24" s="69" t="s">
        <v>53</v>
      </c>
      <c r="AZ24" s="69" t="s">
        <v>54</v>
      </c>
      <c r="BA24" s="69" t="s">
        <v>55</v>
      </c>
    </row>
    <row r="25" spans="1:53" s="67" customFormat="1" ht="16" thickBot="1">
      <c r="A25" s="70">
        <v>16</v>
      </c>
      <c r="B25" s="49">
        <f>資料儲存!D3617</f>
        <v>0</v>
      </c>
      <c r="C25" s="49">
        <f>資料儲存!E3617</f>
        <v>0</v>
      </c>
      <c r="D25" s="49">
        <f>資料儲存!F3617</f>
        <v>0</v>
      </c>
      <c r="E25" s="49">
        <f>資料儲存!G3617</f>
        <v>0</v>
      </c>
      <c r="F25" s="49">
        <f>資料儲存!H3617</f>
        <v>0</v>
      </c>
      <c r="G25" s="49">
        <f>資料儲存!I3617</f>
        <v>0</v>
      </c>
      <c r="H25" s="49">
        <f>資料儲存!J3617</f>
        <v>0</v>
      </c>
      <c r="I25" s="52"/>
      <c r="J25" s="70">
        <v>16</v>
      </c>
      <c r="K25" s="49">
        <f>資料儲存!D3677</f>
        <v>0</v>
      </c>
      <c r="L25" s="49">
        <f>資料儲存!E3677</f>
        <v>0</v>
      </c>
      <c r="M25" s="49">
        <f>資料儲存!F3677</f>
        <v>0</v>
      </c>
      <c r="N25" s="49">
        <f>資料儲存!G3677</f>
        <v>0</v>
      </c>
      <c r="O25" s="49">
        <f>資料儲存!H3677</f>
        <v>0</v>
      </c>
      <c r="P25" s="49">
        <f>資料儲存!I3677</f>
        <v>0</v>
      </c>
      <c r="Q25" s="49">
        <f>資料儲存!J3677</f>
        <v>0</v>
      </c>
      <c r="R25" s="52"/>
      <c r="S25" s="70">
        <v>16</v>
      </c>
      <c r="T25" s="49">
        <f>資料儲存!D3737</f>
        <v>0</v>
      </c>
      <c r="U25" s="49">
        <f>資料儲存!E3737</f>
        <v>0</v>
      </c>
      <c r="V25" s="49">
        <f>資料儲存!F3737</f>
        <v>0</v>
      </c>
      <c r="W25" s="49">
        <f>資料儲存!G3737</f>
        <v>0</v>
      </c>
      <c r="X25" s="49">
        <f>資料儲存!H3737</f>
        <v>0</v>
      </c>
      <c r="Y25" s="49">
        <f>資料儲存!I3737</f>
        <v>0</v>
      </c>
      <c r="Z25" s="49">
        <f>資料儲存!J3737</f>
        <v>0</v>
      </c>
      <c r="AA25" s="52"/>
      <c r="AB25" s="70">
        <v>16</v>
      </c>
      <c r="AC25" s="49">
        <f>資料儲存!D3797</f>
        <v>0</v>
      </c>
      <c r="AD25" s="49">
        <f>資料儲存!E3797</f>
        <v>0</v>
      </c>
      <c r="AE25" s="49">
        <f>資料儲存!F3797</f>
        <v>0</v>
      </c>
      <c r="AF25" s="49">
        <f>資料儲存!G3797</f>
        <v>0</v>
      </c>
      <c r="AG25" s="49">
        <f>資料儲存!H3797</f>
        <v>0</v>
      </c>
      <c r="AH25" s="49">
        <f>資料儲存!I3797</f>
        <v>0</v>
      </c>
      <c r="AI25" s="49">
        <f>資料儲存!J3797</f>
        <v>0</v>
      </c>
      <c r="AJ25" s="52"/>
      <c r="AK25" s="70">
        <v>16</v>
      </c>
      <c r="AL25" s="49">
        <f>資料儲存!D3857</f>
        <v>0</v>
      </c>
      <c r="AM25" s="49">
        <f>資料儲存!E3857</f>
        <v>0</v>
      </c>
      <c r="AN25" s="49">
        <f>資料儲存!F3857</f>
        <v>0</v>
      </c>
      <c r="AO25" s="49">
        <f>資料儲存!G3857</f>
        <v>0</v>
      </c>
      <c r="AP25" s="49">
        <f>資料儲存!H3857</f>
        <v>0</v>
      </c>
      <c r="AQ25" s="49">
        <f>資料儲存!I3857</f>
        <v>0</v>
      </c>
      <c r="AR25" s="49">
        <f>資料儲存!J3857</f>
        <v>0</v>
      </c>
      <c r="AT25" s="70">
        <v>16</v>
      </c>
      <c r="AU25" s="49">
        <f>資料儲存!D3917</f>
        <v>0</v>
      </c>
      <c r="AV25" s="49">
        <f>資料儲存!E3917</f>
        <v>0</v>
      </c>
      <c r="AW25" s="49">
        <f>資料儲存!F3917</f>
        <v>0</v>
      </c>
      <c r="AX25" s="49">
        <f>資料儲存!G3917</f>
        <v>0</v>
      </c>
      <c r="AY25" s="49">
        <f>資料儲存!H3917</f>
        <v>0</v>
      </c>
      <c r="AZ25" s="49">
        <f>資料儲存!I3917</f>
        <v>0</v>
      </c>
      <c r="BA25" s="49">
        <f>資料儲存!J3917</f>
        <v>0</v>
      </c>
    </row>
    <row r="26" spans="1:53" s="67" customFormat="1" ht="16" thickBot="1">
      <c r="A26" s="70">
        <v>17</v>
      </c>
      <c r="B26" s="49">
        <f>資料儲存!D3618</f>
        <v>0</v>
      </c>
      <c r="C26" s="49">
        <f>資料儲存!E3618</f>
        <v>0</v>
      </c>
      <c r="D26" s="49">
        <f>資料儲存!F3618</f>
        <v>0</v>
      </c>
      <c r="E26" s="49">
        <f>資料儲存!G3618</f>
        <v>0</v>
      </c>
      <c r="F26" s="49">
        <f>資料儲存!H3618</f>
        <v>0</v>
      </c>
      <c r="G26" s="49">
        <f>資料儲存!I3618</f>
        <v>0</v>
      </c>
      <c r="H26" s="49">
        <f>資料儲存!J3618</f>
        <v>0</v>
      </c>
      <c r="I26" s="52"/>
      <c r="J26" s="70">
        <v>17</v>
      </c>
      <c r="K26" s="49">
        <f>資料儲存!D3678</f>
        <v>0</v>
      </c>
      <c r="L26" s="49">
        <f>資料儲存!E3678</f>
        <v>0</v>
      </c>
      <c r="M26" s="49">
        <f>資料儲存!F3678</f>
        <v>0</v>
      </c>
      <c r="N26" s="49">
        <f>資料儲存!G3678</f>
        <v>0</v>
      </c>
      <c r="O26" s="49">
        <f>資料儲存!H3678</f>
        <v>0</v>
      </c>
      <c r="P26" s="49">
        <f>資料儲存!I3678</f>
        <v>0</v>
      </c>
      <c r="Q26" s="49">
        <f>資料儲存!J3678</f>
        <v>0</v>
      </c>
      <c r="R26" s="52"/>
      <c r="S26" s="70">
        <v>17</v>
      </c>
      <c r="T26" s="49">
        <f>資料儲存!D3738</f>
        <v>0</v>
      </c>
      <c r="U26" s="49">
        <f>資料儲存!E3738</f>
        <v>0</v>
      </c>
      <c r="V26" s="49">
        <f>資料儲存!F3738</f>
        <v>0</v>
      </c>
      <c r="W26" s="49">
        <f>資料儲存!G3738</f>
        <v>0</v>
      </c>
      <c r="X26" s="49">
        <f>資料儲存!H3738</f>
        <v>0</v>
      </c>
      <c r="Y26" s="49">
        <f>資料儲存!I3738</f>
        <v>0</v>
      </c>
      <c r="Z26" s="49">
        <f>資料儲存!J3738</f>
        <v>0</v>
      </c>
      <c r="AA26" s="52"/>
      <c r="AB26" s="70">
        <v>17</v>
      </c>
      <c r="AC26" s="49">
        <f>資料儲存!D3798</f>
        <v>0</v>
      </c>
      <c r="AD26" s="49">
        <f>資料儲存!E3798</f>
        <v>0</v>
      </c>
      <c r="AE26" s="49">
        <f>資料儲存!F3798</f>
        <v>0</v>
      </c>
      <c r="AF26" s="49">
        <f>資料儲存!G3798</f>
        <v>0</v>
      </c>
      <c r="AG26" s="49">
        <f>資料儲存!H3798</f>
        <v>0</v>
      </c>
      <c r="AH26" s="49">
        <f>資料儲存!I3798</f>
        <v>0</v>
      </c>
      <c r="AI26" s="49">
        <f>資料儲存!J3798</f>
        <v>0</v>
      </c>
      <c r="AJ26" s="52"/>
      <c r="AK26" s="70">
        <v>17</v>
      </c>
      <c r="AL26" s="49">
        <f>資料儲存!D3858</f>
        <v>0</v>
      </c>
      <c r="AM26" s="49">
        <f>資料儲存!E3858</f>
        <v>0</v>
      </c>
      <c r="AN26" s="49">
        <f>資料儲存!F3858</f>
        <v>0</v>
      </c>
      <c r="AO26" s="49">
        <f>資料儲存!G3858</f>
        <v>0</v>
      </c>
      <c r="AP26" s="49">
        <f>資料儲存!H3858</f>
        <v>0</v>
      </c>
      <c r="AQ26" s="49">
        <f>資料儲存!I3858</f>
        <v>0</v>
      </c>
      <c r="AR26" s="49">
        <f>資料儲存!J3858</f>
        <v>0</v>
      </c>
      <c r="AT26" s="70">
        <v>17</v>
      </c>
      <c r="AU26" s="49">
        <f>資料儲存!D3918</f>
        <v>0</v>
      </c>
      <c r="AV26" s="49">
        <f>資料儲存!E3918</f>
        <v>0</v>
      </c>
      <c r="AW26" s="49">
        <f>資料儲存!F3918</f>
        <v>0</v>
      </c>
      <c r="AX26" s="49">
        <f>資料儲存!G3918</f>
        <v>0</v>
      </c>
      <c r="AY26" s="49">
        <f>資料儲存!H3918</f>
        <v>0</v>
      </c>
      <c r="AZ26" s="49">
        <f>資料儲存!I3918</f>
        <v>0</v>
      </c>
      <c r="BA26" s="49">
        <f>資料儲存!J3918</f>
        <v>0</v>
      </c>
    </row>
    <row r="27" spans="1:53" s="67" customFormat="1" ht="16" thickBot="1">
      <c r="A27" s="70">
        <v>18</v>
      </c>
      <c r="B27" s="49">
        <f>資料儲存!D3619</f>
        <v>0</v>
      </c>
      <c r="C27" s="49">
        <f>資料儲存!E3619</f>
        <v>0</v>
      </c>
      <c r="D27" s="49">
        <f>資料儲存!F3619</f>
        <v>0</v>
      </c>
      <c r="E27" s="49">
        <f>資料儲存!G3619</f>
        <v>0</v>
      </c>
      <c r="F27" s="49">
        <f>資料儲存!H3619</f>
        <v>0</v>
      </c>
      <c r="G27" s="49">
        <f>資料儲存!I3619</f>
        <v>0</v>
      </c>
      <c r="H27" s="49">
        <f>資料儲存!J3619</f>
        <v>0</v>
      </c>
      <c r="I27" s="52"/>
      <c r="J27" s="70">
        <v>18</v>
      </c>
      <c r="K27" s="49">
        <f>資料儲存!D3679</f>
        <v>0</v>
      </c>
      <c r="L27" s="49">
        <f>資料儲存!E3679</f>
        <v>0</v>
      </c>
      <c r="M27" s="49">
        <f>資料儲存!F3679</f>
        <v>0</v>
      </c>
      <c r="N27" s="49">
        <f>資料儲存!G3679</f>
        <v>0</v>
      </c>
      <c r="O27" s="49">
        <f>資料儲存!H3679</f>
        <v>0</v>
      </c>
      <c r="P27" s="49">
        <f>資料儲存!I3679</f>
        <v>0</v>
      </c>
      <c r="Q27" s="49">
        <f>資料儲存!J3679</f>
        <v>0</v>
      </c>
      <c r="R27" s="52"/>
      <c r="S27" s="70">
        <v>18</v>
      </c>
      <c r="T27" s="49">
        <f>資料儲存!D3739</f>
        <v>0</v>
      </c>
      <c r="U27" s="49">
        <f>資料儲存!E3739</f>
        <v>0</v>
      </c>
      <c r="V27" s="49">
        <f>資料儲存!F3739</f>
        <v>0</v>
      </c>
      <c r="W27" s="49">
        <f>資料儲存!G3739</f>
        <v>0</v>
      </c>
      <c r="X27" s="49">
        <f>資料儲存!H3739</f>
        <v>0</v>
      </c>
      <c r="Y27" s="49">
        <f>資料儲存!I3739</f>
        <v>0</v>
      </c>
      <c r="Z27" s="49">
        <f>資料儲存!J3739</f>
        <v>0</v>
      </c>
      <c r="AA27" s="52"/>
      <c r="AB27" s="70">
        <v>18</v>
      </c>
      <c r="AC27" s="49">
        <f>資料儲存!D3799</f>
        <v>0</v>
      </c>
      <c r="AD27" s="49">
        <f>資料儲存!E3799</f>
        <v>0</v>
      </c>
      <c r="AE27" s="49">
        <f>資料儲存!F3799</f>
        <v>0</v>
      </c>
      <c r="AF27" s="49">
        <f>資料儲存!G3799</f>
        <v>0</v>
      </c>
      <c r="AG27" s="49">
        <f>資料儲存!H3799</f>
        <v>0</v>
      </c>
      <c r="AH27" s="49">
        <f>資料儲存!I3799</f>
        <v>0</v>
      </c>
      <c r="AI27" s="49">
        <f>資料儲存!J3799</f>
        <v>0</v>
      </c>
      <c r="AJ27" s="52"/>
      <c r="AK27" s="70">
        <v>18</v>
      </c>
      <c r="AL27" s="49">
        <f>資料儲存!D3859</f>
        <v>0</v>
      </c>
      <c r="AM27" s="49">
        <f>資料儲存!E3859</f>
        <v>0</v>
      </c>
      <c r="AN27" s="49">
        <f>資料儲存!F3859</f>
        <v>0</v>
      </c>
      <c r="AO27" s="49">
        <f>資料儲存!G3859</f>
        <v>0</v>
      </c>
      <c r="AP27" s="49">
        <f>資料儲存!H3859</f>
        <v>0</v>
      </c>
      <c r="AQ27" s="49">
        <f>資料儲存!I3859</f>
        <v>0</v>
      </c>
      <c r="AR27" s="49">
        <f>資料儲存!J3859</f>
        <v>0</v>
      </c>
      <c r="AT27" s="70">
        <v>18</v>
      </c>
      <c r="AU27" s="49">
        <f>資料儲存!D3919</f>
        <v>0</v>
      </c>
      <c r="AV27" s="49">
        <f>資料儲存!E3919</f>
        <v>0</v>
      </c>
      <c r="AW27" s="49">
        <f>資料儲存!F3919</f>
        <v>0</v>
      </c>
      <c r="AX27" s="49">
        <f>資料儲存!G3919</f>
        <v>0</v>
      </c>
      <c r="AY27" s="49">
        <f>資料儲存!H3919</f>
        <v>0</v>
      </c>
      <c r="AZ27" s="49">
        <f>資料儲存!I3919</f>
        <v>0</v>
      </c>
      <c r="BA27" s="49">
        <f>資料儲存!J3919</f>
        <v>0</v>
      </c>
    </row>
    <row r="28" spans="1:53" s="67" customFormat="1" ht="16" thickBot="1">
      <c r="A28" s="70">
        <v>19</v>
      </c>
      <c r="B28" s="49">
        <f>資料儲存!D3620</f>
        <v>0</v>
      </c>
      <c r="C28" s="49">
        <f>資料儲存!E3620</f>
        <v>0</v>
      </c>
      <c r="D28" s="49">
        <f>資料儲存!F3620</f>
        <v>0</v>
      </c>
      <c r="E28" s="49">
        <f>資料儲存!G3620</f>
        <v>0</v>
      </c>
      <c r="F28" s="49">
        <f>資料儲存!H3620</f>
        <v>0</v>
      </c>
      <c r="G28" s="49">
        <f>資料儲存!I3620</f>
        <v>0</v>
      </c>
      <c r="H28" s="49">
        <f>資料儲存!J3620</f>
        <v>0</v>
      </c>
      <c r="I28" s="52"/>
      <c r="J28" s="70">
        <v>19</v>
      </c>
      <c r="K28" s="49">
        <f>資料儲存!D3680</f>
        <v>0</v>
      </c>
      <c r="L28" s="49">
        <f>資料儲存!E3680</f>
        <v>0</v>
      </c>
      <c r="M28" s="49">
        <f>資料儲存!F3680</f>
        <v>0</v>
      </c>
      <c r="N28" s="49">
        <f>資料儲存!G3680</f>
        <v>0</v>
      </c>
      <c r="O28" s="49">
        <f>資料儲存!H3680</f>
        <v>0</v>
      </c>
      <c r="P28" s="49">
        <f>資料儲存!I3680</f>
        <v>0</v>
      </c>
      <c r="Q28" s="49">
        <f>資料儲存!J3680</f>
        <v>0</v>
      </c>
      <c r="R28" s="52"/>
      <c r="S28" s="70">
        <v>19</v>
      </c>
      <c r="T28" s="49">
        <f>資料儲存!D3740</f>
        <v>0</v>
      </c>
      <c r="U28" s="49">
        <f>資料儲存!E3740</f>
        <v>0</v>
      </c>
      <c r="V28" s="49">
        <f>資料儲存!F3740</f>
        <v>0</v>
      </c>
      <c r="W28" s="49">
        <f>資料儲存!G3740</f>
        <v>0</v>
      </c>
      <c r="X28" s="49">
        <f>資料儲存!H3740</f>
        <v>0</v>
      </c>
      <c r="Y28" s="49">
        <f>資料儲存!I3740</f>
        <v>0</v>
      </c>
      <c r="Z28" s="49">
        <f>資料儲存!J3740</f>
        <v>0</v>
      </c>
      <c r="AA28" s="52"/>
      <c r="AB28" s="70">
        <v>19</v>
      </c>
      <c r="AC28" s="49">
        <f>資料儲存!D3800</f>
        <v>0</v>
      </c>
      <c r="AD28" s="49">
        <f>資料儲存!E3800</f>
        <v>0</v>
      </c>
      <c r="AE28" s="49">
        <f>資料儲存!F3800</f>
        <v>0</v>
      </c>
      <c r="AF28" s="49">
        <f>資料儲存!G3800</f>
        <v>0</v>
      </c>
      <c r="AG28" s="49">
        <f>資料儲存!H3800</f>
        <v>0</v>
      </c>
      <c r="AH28" s="49">
        <f>資料儲存!I3800</f>
        <v>0</v>
      </c>
      <c r="AI28" s="49">
        <f>資料儲存!J3800</f>
        <v>0</v>
      </c>
      <c r="AJ28" s="52"/>
      <c r="AK28" s="70">
        <v>19</v>
      </c>
      <c r="AL28" s="49">
        <f>資料儲存!D3860</f>
        <v>0</v>
      </c>
      <c r="AM28" s="49">
        <f>資料儲存!E3860</f>
        <v>0</v>
      </c>
      <c r="AN28" s="49">
        <f>資料儲存!F3860</f>
        <v>0</v>
      </c>
      <c r="AO28" s="49">
        <f>資料儲存!G3860</f>
        <v>0</v>
      </c>
      <c r="AP28" s="49">
        <f>資料儲存!H3860</f>
        <v>0</v>
      </c>
      <c r="AQ28" s="49">
        <f>資料儲存!I3860</f>
        <v>0</v>
      </c>
      <c r="AR28" s="49">
        <f>資料儲存!J3860</f>
        <v>0</v>
      </c>
      <c r="AT28" s="70">
        <v>19</v>
      </c>
      <c r="AU28" s="49">
        <f>資料儲存!D3920</f>
        <v>0</v>
      </c>
      <c r="AV28" s="49">
        <f>資料儲存!E3920</f>
        <v>0</v>
      </c>
      <c r="AW28" s="49">
        <f>資料儲存!F3920</f>
        <v>0</v>
      </c>
      <c r="AX28" s="49">
        <f>資料儲存!G3920</f>
        <v>0</v>
      </c>
      <c r="AY28" s="49">
        <f>資料儲存!H3920</f>
        <v>0</v>
      </c>
      <c r="AZ28" s="49">
        <f>資料儲存!I3920</f>
        <v>0</v>
      </c>
      <c r="BA28" s="49">
        <f>資料儲存!J3920</f>
        <v>0</v>
      </c>
    </row>
    <row r="29" spans="1:53" s="67" customFormat="1" ht="16" thickBot="1">
      <c r="A29" s="70">
        <v>20</v>
      </c>
      <c r="B29" s="49">
        <f>資料儲存!D3621</f>
        <v>0</v>
      </c>
      <c r="C29" s="49">
        <f>資料儲存!E3621</f>
        <v>0</v>
      </c>
      <c r="D29" s="49">
        <f>資料儲存!F3621</f>
        <v>0</v>
      </c>
      <c r="E29" s="49">
        <f>資料儲存!G3621</f>
        <v>0</v>
      </c>
      <c r="F29" s="49">
        <f>資料儲存!H3621</f>
        <v>0</v>
      </c>
      <c r="G29" s="49">
        <f>資料儲存!I3621</f>
        <v>0</v>
      </c>
      <c r="H29" s="49">
        <f>資料儲存!J3621</f>
        <v>0</v>
      </c>
      <c r="I29" s="52"/>
      <c r="J29" s="70">
        <v>20</v>
      </c>
      <c r="K29" s="49">
        <f>資料儲存!D3681</f>
        <v>0</v>
      </c>
      <c r="L29" s="49">
        <f>資料儲存!E3681</f>
        <v>0</v>
      </c>
      <c r="M29" s="49">
        <f>資料儲存!F3681</f>
        <v>0</v>
      </c>
      <c r="N29" s="49">
        <f>資料儲存!G3681</f>
        <v>0</v>
      </c>
      <c r="O29" s="49">
        <f>資料儲存!H3681</f>
        <v>0</v>
      </c>
      <c r="P29" s="49">
        <f>資料儲存!I3681</f>
        <v>0</v>
      </c>
      <c r="Q29" s="49">
        <f>資料儲存!J3681</f>
        <v>0</v>
      </c>
      <c r="R29" s="52"/>
      <c r="S29" s="70">
        <v>20</v>
      </c>
      <c r="T29" s="49">
        <f>資料儲存!D3741</f>
        <v>0</v>
      </c>
      <c r="U29" s="49">
        <f>資料儲存!E3741</f>
        <v>0</v>
      </c>
      <c r="V29" s="49">
        <f>資料儲存!F3741</f>
        <v>0</v>
      </c>
      <c r="W29" s="49">
        <f>資料儲存!G3741</f>
        <v>0</v>
      </c>
      <c r="X29" s="49">
        <f>資料儲存!H3741</f>
        <v>0</v>
      </c>
      <c r="Y29" s="49">
        <f>資料儲存!I3741</f>
        <v>0</v>
      </c>
      <c r="Z29" s="49">
        <f>資料儲存!J3741</f>
        <v>0</v>
      </c>
      <c r="AA29" s="52"/>
      <c r="AB29" s="70">
        <v>20</v>
      </c>
      <c r="AC29" s="49">
        <f>資料儲存!D3801</f>
        <v>0</v>
      </c>
      <c r="AD29" s="49">
        <f>資料儲存!E3801</f>
        <v>0</v>
      </c>
      <c r="AE29" s="49">
        <f>資料儲存!F3801</f>
        <v>0</v>
      </c>
      <c r="AF29" s="49">
        <f>資料儲存!G3801</f>
        <v>0</v>
      </c>
      <c r="AG29" s="49">
        <f>資料儲存!H3801</f>
        <v>0</v>
      </c>
      <c r="AH29" s="49">
        <f>資料儲存!I3801</f>
        <v>0</v>
      </c>
      <c r="AI29" s="49">
        <f>資料儲存!J3801</f>
        <v>0</v>
      </c>
      <c r="AJ29" s="52"/>
      <c r="AK29" s="70">
        <v>20</v>
      </c>
      <c r="AL29" s="49">
        <f>資料儲存!D3861</f>
        <v>0</v>
      </c>
      <c r="AM29" s="49">
        <f>資料儲存!E3861</f>
        <v>0</v>
      </c>
      <c r="AN29" s="49">
        <f>資料儲存!F3861</f>
        <v>0</v>
      </c>
      <c r="AO29" s="49">
        <f>資料儲存!G3861</f>
        <v>0</v>
      </c>
      <c r="AP29" s="49">
        <f>資料儲存!H3861</f>
        <v>0</v>
      </c>
      <c r="AQ29" s="49">
        <f>資料儲存!I3861</f>
        <v>0</v>
      </c>
      <c r="AR29" s="49">
        <f>資料儲存!J3861</f>
        <v>0</v>
      </c>
      <c r="AT29" s="70">
        <v>20</v>
      </c>
      <c r="AU29" s="49">
        <f>資料儲存!D3921</f>
        <v>0</v>
      </c>
      <c r="AV29" s="49">
        <f>資料儲存!E3921</f>
        <v>0</v>
      </c>
      <c r="AW29" s="49">
        <f>資料儲存!F3921</f>
        <v>0</v>
      </c>
      <c r="AX29" s="49">
        <f>資料儲存!G3921</f>
        <v>0</v>
      </c>
      <c r="AY29" s="49">
        <f>資料儲存!H3921</f>
        <v>0</v>
      </c>
      <c r="AZ29" s="49">
        <f>資料儲存!I3921</f>
        <v>0</v>
      </c>
      <c r="BA29" s="49">
        <f>資料儲存!J3921</f>
        <v>0</v>
      </c>
    </row>
    <row r="30" spans="1:53" s="67" customFormat="1" ht="16" thickBot="1">
      <c r="A30" s="70">
        <v>21</v>
      </c>
      <c r="B30" s="49">
        <f>資料儲存!D3622</f>
        <v>0</v>
      </c>
      <c r="C30" s="49">
        <f>資料儲存!E3622</f>
        <v>0</v>
      </c>
      <c r="D30" s="49">
        <f>資料儲存!F3622</f>
        <v>0</v>
      </c>
      <c r="E30" s="49">
        <f>資料儲存!G3622</f>
        <v>0</v>
      </c>
      <c r="F30" s="49">
        <f>資料儲存!H3622</f>
        <v>0</v>
      </c>
      <c r="G30" s="49">
        <f>資料儲存!I3622</f>
        <v>0</v>
      </c>
      <c r="H30" s="49">
        <f>資料儲存!J3622</f>
        <v>0</v>
      </c>
      <c r="I30" s="52"/>
      <c r="J30" s="70">
        <v>21</v>
      </c>
      <c r="K30" s="49">
        <f>資料儲存!D3682</f>
        <v>0</v>
      </c>
      <c r="L30" s="49">
        <f>資料儲存!E3682</f>
        <v>0</v>
      </c>
      <c r="M30" s="49">
        <f>資料儲存!F3682</f>
        <v>0</v>
      </c>
      <c r="N30" s="49">
        <f>資料儲存!G3682</f>
        <v>0</v>
      </c>
      <c r="O30" s="49">
        <f>資料儲存!H3682</f>
        <v>0</v>
      </c>
      <c r="P30" s="49">
        <f>資料儲存!I3682</f>
        <v>0</v>
      </c>
      <c r="Q30" s="49">
        <f>資料儲存!J3682</f>
        <v>0</v>
      </c>
      <c r="R30" s="52"/>
      <c r="S30" s="70">
        <v>21</v>
      </c>
      <c r="T30" s="49">
        <f>資料儲存!D3742</f>
        <v>0</v>
      </c>
      <c r="U30" s="49">
        <f>資料儲存!E3742</f>
        <v>0</v>
      </c>
      <c r="V30" s="49">
        <f>資料儲存!F3742</f>
        <v>0</v>
      </c>
      <c r="W30" s="49">
        <f>資料儲存!G3742</f>
        <v>0</v>
      </c>
      <c r="X30" s="49">
        <f>資料儲存!H3742</f>
        <v>0</v>
      </c>
      <c r="Y30" s="49">
        <f>資料儲存!I3742</f>
        <v>0</v>
      </c>
      <c r="Z30" s="49">
        <f>資料儲存!J3742</f>
        <v>0</v>
      </c>
      <c r="AA30" s="52"/>
      <c r="AB30" s="70">
        <v>21</v>
      </c>
      <c r="AC30" s="49">
        <f>資料儲存!D3802</f>
        <v>0</v>
      </c>
      <c r="AD30" s="49">
        <f>資料儲存!E3802</f>
        <v>0</v>
      </c>
      <c r="AE30" s="49">
        <f>資料儲存!F3802</f>
        <v>0</v>
      </c>
      <c r="AF30" s="49">
        <f>資料儲存!G3802</f>
        <v>0</v>
      </c>
      <c r="AG30" s="49">
        <f>資料儲存!H3802</f>
        <v>0</v>
      </c>
      <c r="AH30" s="49">
        <f>資料儲存!I3802</f>
        <v>0</v>
      </c>
      <c r="AI30" s="49">
        <f>資料儲存!J3802</f>
        <v>0</v>
      </c>
      <c r="AJ30" s="52"/>
      <c r="AK30" s="70">
        <v>21</v>
      </c>
      <c r="AL30" s="49">
        <f>資料儲存!D3862</f>
        <v>0</v>
      </c>
      <c r="AM30" s="49">
        <f>資料儲存!E3862</f>
        <v>0</v>
      </c>
      <c r="AN30" s="49">
        <f>資料儲存!F3862</f>
        <v>0</v>
      </c>
      <c r="AO30" s="49">
        <f>資料儲存!G3862</f>
        <v>0</v>
      </c>
      <c r="AP30" s="49">
        <f>資料儲存!H3862</f>
        <v>0</v>
      </c>
      <c r="AQ30" s="49">
        <f>資料儲存!I3862</f>
        <v>0</v>
      </c>
      <c r="AR30" s="49">
        <f>資料儲存!J3862</f>
        <v>0</v>
      </c>
      <c r="AT30" s="70">
        <v>21</v>
      </c>
      <c r="AU30" s="49">
        <f>資料儲存!D3922</f>
        <v>0</v>
      </c>
      <c r="AV30" s="49">
        <f>資料儲存!E3922</f>
        <v>0</v>
      </c>
      <c r="AW30" s="49">
        <f>資料儲存!F3922</f>
        <v>0</v>
      </c>
      <c r="AX30" s="49">
        <f>資料儲存!G3922</f>
        <v>0</v>
      </c>
      <c r="AY30" s="49">
        <f>資料儲存!H3922</f>
        <v>0</v>
      </c>
      <c r="AZ30" s="49">
        <f>資料儲存!I3922</f>
        <v>0</v>
      </c>
      <c r="BA30" s="49">
        <f>資料儲存!J3922</f>
        <v>0</v>
      </c>
    </row>
    <row r="31" spans="1:53" s="67" customFormat="1" ht="16" thickBot="1">
      <c r="A31" s="70">
        <v>22</v>
      </c>
      <c r="B31" s="49">
        <f>資料儲存!D3623</f>
        <v>0</v>
      </c>
      <c r="C31" s="49">
        <f>資料儲存!E3623</f>
        <v>0</v>
      </c>
      <c r="D31" s="49">
        <f>資料儲存!F3623</f>
        <v>0</v>
      </c>
      <c r="E31" s="49">
        <f>資料儲存!G3623</f>
        <v>0</v>
      </c>
      <c r="F31" s="49">
        <f>資料儲存!H3623</f>
        <v>0</v>
      </c>
      <c r="G31" s="49">
        <f>資料儲存!I3623</f>
        <v>0</v>
      </c>
      <c r="H31" s="49">
        <f>資料儲存!J3623</f>
        <v>0</v>
      </c>
      <c r="I31" s="52"/>
      <c r="J31" s="70">
        <v>22</v>
      </c>
      <c r="K31" s="49">
        <f>資料儲存!D3683</f>
        <v>0</v>
      </c>
      <c r="L31" s="49">
        <f>資料儲存!E3683</f>
        <v>0</v>
      </c>
      <c r="M31" s="49">
        <f>資料儲存!F3683</f>
        <v>0</v>
      </c>
      <c r="N31" s="49">
        <f>資料儲存!G3683</f>
        <v>0</v>
      </c>
      <c r="O31" s="49">
        <f>資料儲存!H3683</f>
        <v>0</v>
      </c>
      <c r="P31" s="49">
        <f>資料儲存!I3683</f>
        <v>0</v>
      </c>
      <c r="Q31" s="49">
        <f>資料儲存!J3683</f>
        <v>0</v>
      </c>
      <c r="R31" s="52"/>
      <c r="S31" s="70">
        <v>22</v>
      </c>
      <c r="T31" s="49">
        <f>資料儲存!D3743</f>
        <v>0</v>
      </c>
      <c r="U31" s="49">
        <f>資料儲存!E3743</f>
        <v>0</v>
      </c>
      <c r="V31" s="49">
        <f>資料儲存!F3743</f>
        <v>0</v>
      </c>
      <c r="W31" s="49">
        <f>資料儲存!G3743</f>
        <v>0</v>
      </c>
      <c r="X31" s="49">
        <f>資料儲存!H3743</f>
        <v>0</v>
      </c>
      <c r="Y31" s="49">
        <f>資料儲存!I3743</f>
        <v>0</v>
      </c>
      <c r="Z31" s="49">
        <f>資料儲存!J3743</f>
        <v>0</v>
      </c>
      <c r="AA31" s="52"/>
      <c r="AB31" s="70">
        <v>22</v>
      </c>
      <c r="AC31" s="49">
        <f>資料儲存!D3803</f>
        <v>0</v>
      </c>
      <c r="AD31" s="49">
        <f>資料儲存!E3803</f>
        <v>0</v>
      </c>
      <c r="AE31" s="49">
        <f>資料儲存!F3803</f>
        <v>0</v>
      </c>
      <c r="AF31" s="49">
        <f>資料儲存!G3803</f>
        <v>0</v>
      </c>
      <c r="AG31" s="49">
        <f>資料儲存!H3803</f>
        <v>0</v>
      </c>
      <c r="AH31" s="49">
        <f>資料儲存!I3803</f>
        <v>0</v>
      </c>
      <c r="AI31" s="49">
        <f>資料儲存!J3803</f>
        <v>0</v>
      </c>
      <c r="AJ31" s="52"/>
      <c r="AK31" s="70">
        <v>22</v>
      </c>
      <c r="AL31" s="49">
        <f>資料儲存!D3863</f>
        <v>0</v>
      </c>
      <c r="AM31" s="49">
        <f>資料儲存!E3863</f>
        <v>0</v>
      </c>
      <c r="AN31" s="49">
        <f>資料儲存!F3863</f>
        <v>0</v>
      </c>
      <c r="AO31" s="49">
        <f>資料儲存!G3863</f>
        <v>0</v>
      </c>
      <c r="AP31" s="49">
        <f>資料儲存!H3863</f>
        <v>0</v>
      </c>
      <c r="AQ31" s="49">
        <f>資料儲存!I3863</f>
        <v>0</v>
      </c>
      <c r="AR31" s="49">
        <f>資料儲存!J3863</f>
        <v>0</v>
      </c>
      <c r="AT31" s="70">
        <v>22</v>
      </c>
      <c r="AU31" s="49">
        <f>資料儲存!D3923</f>
        <v>0</v>
      </c>
      <c r="AV31" s="49">
        <f>資料儲存!E3923</f>
        <v>0</v>
      </c>
      <c r="AW31" s="49">
        <f>資料儲存!F3923</f>
        <v>0</v>
      </c>
      <c r="AX31" s="49">
        <f>資料儲存!G3923</f>
        <v>0</v>
      </c>
      <c r="AY31" s="49">
        <f>資料儲存!H3923</f>
        <v>0</v>
      </c>
      <c r="AZ31" s="49">
        <f>資料儲存!I3923</f>
        <v>0</v>
      </c>
      <c r="BA31" s="49">
        <f>資料儲存!J3923</f>
        <v>0</v>
      </c>
    </row>
    <row r="32" spans="1:53" s="67" customFormat="1" ht="16" thickBot="1">
      <c r="A32" s="70">
        <v>23</v>
      </c>
      <c r="B32" s="49">
        <f>資料儲存!D3624</f>
        <v>0</v>
      </c>
      <c r="C32" s="49">
        <f>資料儲存!E3624</f>
        <v>0</v>
      </c>
      <c r="D32" s="49">
        <f>資料儲存!F3624</f>
        <v>0</v>
      </c>
      <c r="E32" s="49">
        <f>資料儲存!G3624</f>
        <v>0</v>
      </c>
      <c r="F32" s="49">
        <f>資料儲存!H3624</f>
        <v>0</v>
      </c>
      <c r="G32" s="49">
        <f>資料儲存!I3624</f>
        <v>0</v>
      </c>
      <c r="H32" s="49">
        <f>資料儲存!J3624</f>
        <v>0</v>
      </c>
      <c r="I32" s="52"/>
      <c r="J32" s="70">
        <v>23</v>
      </c>
      <c r="K32" s="49">
        <f>資料儲存!D3684</f>
        <v>0</v>
      </c>
      <c r="L32" s="49">
        <f>資料儲存!E3684</f>
        <v>0</v>
      </c>
      <c r="M32" s="49">
        <f>資料儲存!F3684</f>
        <v>0</v>
      </c>
      <c r="N32" s="49">
        <f>資料儲存!G3684</f>
        <v>0</v>
      </c>
      <c r="O32" s="49">
        <f>資料儲存!H3684</f>
        <v>0</v>
      </c>
      <c r="P32" s="49">
        <f>資料儲存!I3684</f>
        <v>0</v>
      </c>
      <c r="Q32" s="49">
        <f>資料儲存!J3684</f>
        <v>0</v>
      </c>
      <c r="R32" s="52"/>
      <c r="S32" s="70">
        <v>23</v>
      </c>
      <c r="T32" s="49">
        <f>資料儲存!D3744</f>
        <v>0</v>
      </c>
      <c r="U32" s="49">
        <f>資料儲存!E3744</f>
        <v>0</v>
      </c>
      <c r="V32" s="49">
        <f>資料儲存!F3744</f>
        <v>0</v>
      </c>
      <c r="W32" s="49">
        <f>資料儲存!G3744</f>
        <v>0</v>
      </c>
      <c r="X32" s="49">
        <f>資料儲存!H3744</f>
        <v>0</v>
      </c>
      <c r="Y32" s="49">
        <f>資料儲存!I3744</f>
        <v>0</v>
      </c>
      <c r="Z32" s="49">
        <f>資料儲存!J3744</f>
        <v>0</v>
      </c>
      <c r="AA32" s="52"/>
      <c r="AB32" s="70">
        <v>23</v>
      </c>
      <c r="AC32" s="49">
        <f>資料儲存!D3804</f>
        <v>0</v>
      </c>
      <c r="AD32" s="49">
        <f>資料儲存!E3804</f>
        <v>0</v>
      </c>
      <c r="AE32" s="49">
        <f>資料儲存!F3804</f>
        <v>0</v>
      </c>
      <c r="AF32" s="49">
        <f>資料儲存!G3804</f>
        <v>0</v>
      </c>
      <c r="AG32" s="49">
        <f>資料儲存!H3804</f>
        <v>0</v>
      </c>
      <c r="AH32" s="49">
        <f>資料儲存!I3804</f>
        <v>0</v>
      </c>
      <c r="AI32" s="49">
        <f>資料儲存!J3804</f>
        <v>0</v>
      </c>
      <c r="AJ32" s="52"/>
      <c r="AK32" s="70">
        <v>23</v>
      </c>
      <c r="AL32" s="49">
        <f>資料儲存!D3864</f>
        <v>0</v>
      </c>
      <c r="AM32" s="49">
        <f>資料儲存!E3864</f>
        <v>0</v>
      </c>
      <c r="AN32" s="49">
        <f>資料儲存!F3864</f>
        <v>0</v>
      </c>
      <c r="AO32" s="49">
        <f>資料儲存!G3864</f>
        <v>0</v>
      </c>
      <c r="AP32" s="49">
        <f>資料儲存!H3864</f>
        <v>0</v>
      </c>
      <c r="AQ32" s="49">
        <f>資料儲存!I3864</f>
        <v>0</v>
      </c>
      <c r="AR32" s="49">
        <f>資料儲存!J3864</f>
        <v>0</v>
      </c>
      <c r="AT32" s="70">
        <v>23</v>
      </c>
      <c r="AU32" s="49">
        <f>資料儲存!D3924</f>
        <v>0</v>
      </c>
      <c r="AV32" s="49">
        <f>資料儲存!E3924</f>
        <v>0</v>
      </c>
      <c r="AW32" s="49">
        <f>資料儲存!F3924</f>
        <v>0</v>
      </c>
      <c r="AX32" s="49">
        <f>資料儲存!G3924</f>
        <v>0</v>
      </c>
      <c r="AY32" s="49">
        <f>資料儲存!H3924</f>
        <v>0</v>
      </c>
      <c r="AZ32" s="49">
        <f>資料儲存!I3924</f>
        <v>0</v>
      </c>
      <c r="BA32" s="49">
        <f>資料儲存!J3924</f>
        <v>0</v>
      </c>
    </row>
    <row r="33" spans="1:53" s="67" customFormat="1" ht="16" thickBot="1">
      <c r="A33" s="70">
        <v>24</v>
      </c>
      <c r="B33" s="49">
        <f>資料儲存!D3625</f>
        <v>0</v>
      </c>
      <c r="C33" s="49">
        <f>資料儲存!E3625</f>
        <v>0</v>
      </c>
      <c r="D33" s="49">
        <f>資料儲存!F3625</f>
        <v>0</v>
      </c>
      <c r="E33" s="49">
        <f>資料儲存!G3625</f>
        <v>0</v>
      </c>
      <c r="F33" s="49">
        <f>資料儲存!H3625</f>
        <v>0</v>
      </c>
      <c r="G33" s="49">
        <f>資料儲存!I3625</f>
        <v>0</v>
      </c>
      <c r="H33" s="49">
        <f>資料儲存!J3625</f>
        <v>0</v>
      </c>
      <c r="I33" s="52"/>
      <c r="J33" s="70">
        <v>24</v>
      </c>
      <c r="K33" s="49">
        <f>資料儲存!D3685</f>
        <v>0</v>
      </c>
      <c r="L33" s="49">
        <f>資料儲存!E3685</f>
        <v>0</v>
      </c>
      <c r="M33" s="49">
        <f>資料儲存!F3685</f>
        <v>0</v>
      </c>
      <c r="N33" s="49">
        <f>資料儲存!G3685</f>
        <v>0</v>
      </c>
      <c r="O33" s="49">
        <f>資料儲存!H3685</f>
        <v>0</v>
      </c>
      <c r="P33" s="49">
        <f>資料儲存!I3685</f>
        <v>0</v>
      </c>
      <c r="Q33" s="49">
        <f>資料儲存!J3685</f>
        <v>0</v>
      </c>
      <c r="R33" s="52"/>
      <c r="S33" s="70">
        <v>24</v>
      </c>
      <c r="T33" s="49">
        <f>資料儲存!D3745</f>
        <v>0</v>
      </c>
      <c r="U33" s="49">
        <f>資料儲存!E3745</f>
        <v>0</v>
      </c>
      <c r="V33" s="49">
        <f>資料儲存!F3745</f>
        <v>0</v>
      </c>
      <c r="W33" s="49">
        <f>資料儲存!G3745</f>
        <v>0</v>
      </c>
      <c r="X33" s="49">
        <f>資料儲存!H3745</f>
        <v>0</v>
      </c>
      <c r="Y33" s="49">
        <f>資料儲存!I3745</f>
        <v>0</v>
      </c>
      <c r="Z33" s="49">
        <f>資料儲存!J3745</f>
        <v>0</v>
      </c>
      <c r="AA33" s="52"/>
      <c r="AB33" s="70">
        <v>24</v>
      </c>
      <c r="AC33" s="49">
        <f>資料儲存!D3805</f>
        <v>0</v>
      </c>
      <c r="AD33" s="49">
        <f>資料儲存!E3805</f>
        <v>0</v>
      </c>
      <c r="AE33" s="49">
        <f>資料儲存!F3805</f>
        <v>0</v>
      </c>
      <c r="AF33" s="49">
        <f>資料儲存!G3805</f>
        <v>0</v>
      </c>
      <c r="AG33" s="49">
        <f>資料儲存!H3805</f>
        <v>0</v>
      </c>
      <c r="AH33" s="49">
        <f>資料儲存!I3805</f>
        <v>0</v>
      </c>
      <c r="AI33" s="49">
        <f>資料儲存!J3805</f>
        <v>0</v>
      </c>
      <c r="AJ33" s="52"/>
      <c r="AK33" s="70">
        <v>24</v>
      </c>
      <c r="AL33" s="49">
        <f>資料儲存!D3865</f>
        <v>0</v>
      </c>
      <c r="AM33" s="49">
        <f>資料儲存!E3865</f>
        <v>0</v>
      </c>
      <c r="AN33" s="49">
        <f>資料儲存!F3865</f>
        <v>0</v>
      </c>
      <c r="AO33" s="49">
        <f>資料儲存!G3865</f>
        <v>0</v>
      </c>
      <c r="AP33" s="49">
        <f>資料儲存!H3865</f>
        <v>0</v>
      </c>
      <c r="AQ33" s="49">
        <f>資料儲存!I3865</f>
        <v>0</v>
      </c>
      <c r="AR33" s="49">
        <f>資料儲存!J3865</f>
        <v>0</v>
      </c>
      <c r="AT33" s="70">
        <v>24</v>
      </c>
      <c r="AU33" s="49">
        <f>資料儲存!D3925</f>
        <v>0</v>
      </c>
      <c r="AV33" s="49">
        <f>資料儲存!E3925</f>
        <v>0</v>
      </c>
      <c r="AW33" s="49">
        <f>資料儲存!F3925</f>
        <v>0</v>
      </c>
      <c r="AX33" s="49">
        <f>資料儲存!G3925</f>
        <v>0</v>
      </c>
      <c r="AY33" s="49">
        <f>資料儲存!H3925</f>
        <v>0</v>
      </c>
      <c r="AZ33" s="49">
        <f>資料儲存!I3925</f>
        <v>0</v>
      </c>
      <c r="BA33" s="49">
        <f>資料儲存!J3925</f>
        <v>0</v>
      </c>
    </row>
    <row r="34" spans="1:53" s="67" customFormat="1" ht="16" thickBot="1">
      <c r="A34" s="70">
        <v>25</v>
      </c>
      <c r="B34" s="49">
        <f>資料儲存!D3626</f>
        <v>0</v>
      </c>
      <c r="C34" s="49">
        <f>資料儲存!E3626</f>
        <v>0</v>
      </c>
      <c r="D34" s="49">
        <f>資料儲存!F3626</f>
        <v>0</v>
      </c>
      <c r="E34" s="49">
        <f>資料儲存!G3626</f>
        <v>0</v>
      </c>
      <c r="F34" s="49">
        <f>資料儲存!H3626</f>
        <v>0</v>
      </c>
      <c r="G34" s="49">
        <f>資料儲存!I3626</f>
        <v>0</v>
      </c>
      <c r="H34" s="49">
        <f>資料儲存!J3626</f>
        <v>0</v>
      </c>
      <c r="I34" s="52"/>
      <c r="J34" s="70">
        <v>25</v>
      </c>
      <c r="K34" s="49">
        <f>資料儲存!D3686</f>
        <v>0</v>
      </c>
      <c r="L34" s="49">
        <f>資料儲存!E3686</f>
        <v>0</v>
      </c>
      <c r="M34" s="49">
        <f>資料儲存!F3686</f>
        <v>0</v>
      </c>
      <c r="N34" s="49">
        <f>資料儲存!G3686</f>
        <v>0</v>
      </c>
      <c r="O34" s="49">
        <f>資料儲存!H3686</f>
        <v>0</v>
      </c>
      <c r="P34" s="49">
        <f>資料儲存!I3686</f>
        <v>0</v>
      </c>
      <c r="Q34" s="49">
        <f>資料儲存!J3686</f>
        <v>0</v>
      </c>
      <c r="R34" s="52"/>
      <c r="S34" s="70">
        <v>25</v>
      </c>
      <c r="T34" s="49">
        <f>資料儲存!D3746</f>
        <v>0</v>
      </c>
      <c r="U34" s="49">
        <f>資料儲存!E3746</f>
        <v>0</v>
      </c>
      <c r="V34" s="49">
        <f>資料儲存!F3746</f>
        <v>0</v>
      </c>
      <c r="W34" s="49">
        <f>資料儲存!G3746</f>
        <v>0</v>
      </c>
      <c r="X34" s="49">
        <f>資料儲存!H3746</f>
        <v>0</v>
      </c>
      <c r="Y34" s="49">
        <f>資料儲存!I3746</f>
        <v>0</v>
      </c>
      <c r="Z34" s="49">
        <f>資料儲存!J3746</f>
        <v>0</v>
      </c>
      <c r="AA34" s="52"/>
      <c r="AB34" s="70">
        <v>25</v>
      </c>
      <c r="AC34" s="49">
        <f>資料儲存!D3806</f>
        <v>0</v>
      </c>
      <c r="AD34" s="49">
        <f>資料儲存!E3806</f>
        <v>0</v>
      </c>
      <c r="AE34" s="49">
        <f>資料儲存!F3806</f>
        <v>0</v>
      </c>
      <c r="AF34" s="49">
        <f>資料儲存!G3806</f>
        <v>0</v>
      </c>
      <c r="AG34" s="49">
        <f>資料儲存!H3806</f>
        <v>0</v>
      </c>
      <c r="AH34" s="49">
        <f>資料儲存!I3806</f>
        <v>0</v>
      </c>
      <c r="AI34" s="49">
        <f>資料儲存!J3806</f>
        <v>0</v>
      </c>
      <c r="AJ34" s="52"/>
      <c r="AK34" s="70">
        <v>25</v>
      </c>
      <c r="AL34" s="49">
        <f>資料儲存!D3866</f>
        <v>0</v>
      </c>
      <c r="AM34" s="49">
        <f>資料儲存!E3866</f>
        <v>0</v>
      </c>
      <c r="AN34" s="49">
        <f>資料儲存!F3866</f>
        <v>0</v>
      </c>
      <c r="AO34" s="49">
        <f>資料儲存!G3866</f>
        <v>0</v>
      </c>
      <c r="AP34" s="49">
        <f>資料儲存!H3866</f>
        <v>0</v>
      </c>
      <c r="AQ34" s="49">
        <f>資料儲存!I3866</f>
        <v>0</v>
      </c>
      <c r="AR34" s="49">
        <f>資料儲存!J3866</f>
        <v>0</v>
      </c>
      <c r="AT34" s="70">
        <v>25</v>
      </c>
      <c r="AU34" s="49">
        <f>資料儲存!D3926</f>
        <v>0</v>
      </c>
      <c r="AV34" s="49">
        <f>資料儲存!E3926</f>
        <v>0</v>
      </c>
      <c r="AW34" s="49">
        <f>資料儲存!F3926</f>
        <v>0</v>
      </c>
      <c r="AX34" s="49">
        <f>資料儲存!G3926</f>
        <v>0</v>
      </c>
      <c r="AY34" s="49">
        <f>資料儲存!H3926</f>
        <v>0</v>
      </c>
      <c r="AZ34" s="49">
        <f>資料儲存!I3926</f>
        <v>0</v>
      </c>
      <c r="BA34" s="49">
        <f>資料儲存!J3926</f>
        <v>0</v>
      </c>
    </row>
    <row r="35" spans="1:53" s="67" customFormat="1" ht="16" thickBot="1">
      <c r="A35" s="70">
        <v>26</v>
      </c>
      <c r="B35" s="49">
        <f>資料儲存!D3627</f>
        <v>0</v>
      </c>
      <c r="C35" s="49">
        <f>資料儲存!E3627</f>
        <v>0</v>
      </c>
      <c r="D35" s="49">
        <f>資料儲存!F3627</f>
        <v>0</v>
      </c>
      <c r="E35" s="49">
        <f>資料儲存!G3627</f>
        <v>0</v>
      </c>
      <c r="F35" s="49">
        <f>資料儲存!H3627</f>
        <v>0</v>
      </c>
      <c r="G35" s="49">
        <f>資料儲存!I3627</f>
        <v>0</v>
      </c>
      <c r="H35" s="49">
        <f>資料儲存!J3627</f>
        <v>0</v>
      </c>
      <c r="I35" s="52"/>
      <c r="J35" s="70">
        <v>26</v>
      </c>
      <c r="K35" s="49">
        <f>資料儲存!D3687</f>
        <v>0</v>
      </c>
      <c r="L35" s="49">
        <f>資料儲存!E3687</f>
        <v>0</v>
      </c>
      <c r="M35" s="49">
        <f>資料儲存!F3687</f>
        <v>0</v>
      </c>
      <c r="N35" s="49">
        <f>資料儲存!G3687</f>
        <v>0</v>
      </c>
      <c r="O35" s="49">
        <f>資料儲存!H3687</f>
        <v>0</v>
      </c>
      <c r="P35" s="49">
        <f>資料儲存!I3687</f>
        <v>0</v>
      </c>
      <c r="Q35" s="49">
        <f>資料儲存!J3687</f>
        <v>0</v>
      </c>
      <c r="R35" s="52"/>
      <c r="S35" s="70">
        <v>26</v>
      </c>
      <c r="T35" s="49">
        <f>資料儲存!D3747</f>
        <v>0</v>
      </c>
      <c r="U35" s="49">
        <f>資料儲存!E3747</f>
        <v>0</v>
      </c>
      <c r="V35" s="49">
        <f>資料儲存!F3747</f>
        <v>0</v>
      </c>
      <c r="W35" s="49">
        <f>資料儲存!G3747</f>
        <v>0</v>
      </c>
      <c r="X35" s="49">
        <f>資料儲存!H3747</f>
        <v>0</v>
      </c>
      <c r="Y35" s="49">
        <f>資料儲存!I3747</f>
        <v>0</v>
      </c>
      <c r="Z35" s="49">
        <f>資料儲存!J3747</f>
        <v>0</v>
      </c>
      <c r="AA35" s="52"/>
      <c r="AB35" s="70">
        <v>26</v>
      </c>
      <c r="AC35" s="49">
        <f>資料儲存!D3807</f>
        <v>0</v>
      </c>
      <c r="AD35" s="49">
        <f>資料儲存!E3807</f>
        <v>0</v>
      </c>
      <c r="AE35" s="49">
        <f>資料儲存!F3807</f>
        <v>0</v>
      </c>
      <c r="AF35" s="49">
        <f>資料儲存!G3807</f>
        <v>0</v>
      </c>
      <c r="AG35" s="49">
        <f>資料儲存!H3807</f>
        <v>0</v>
      </c>
      <c r="AH35" s="49">
        <f>資料儲存!I3807</f>
        <v>0</v>
      </c>
      <c r="AI35" s="49">
        <f>資料儲存!J3807</f>
        <v>0</v>
      </c>
      <c r="AJ35" s="52"/>
      <c r="AK35" s="70">
        <v>26</v>
      </c>
      <c r="AL35" s="49">
        <f>資料儲存!D3867</f>
        <v>0</v>
      </c>
      <c r="AM35" s="49">
        <f>資料儲存!E3867</f>
        <v>0</v>
      </c>
      <c r="AN35" s="49">
        <f>資料儲存!F3867</f>
        <v>0</v>
      </c>
      <c r="AO35" s="49">
        <f>資料儲存!G3867</f>
        <v>0</v>
      </c>
      <c r="AP35" s="49">
        <f>資料儲存!H3867</f>
        <v>0</v>
      </c>
      <c r="AQ35" s="49">
        <f>資料儲存!I3867</f>
        <v>0</v>
      </c>
      <c r="AR35" s="49">
        <f>資料儲存!J3867</f>
        <v>0</v>
      </c>
      <c r="AT35" s="70">
        <v>26</v>
      </c>
      <c r="AU35" s="49">
        <f>資料儲存!D3927</f>
        <v>0</v>
      </c>
      <c r="AV35" s="49">
        <f>資料儲存!E3927</f>
        <v>0</v>
      </c>
      <c r="AW35" s="49">
        <f>資料儲存!F3927</f>
        <v>0</v>
      </c>
      <c r="AX35" s="49">
        <f>資料儲存!G3927</f>
        <v>0</v>
      </c>
      <c r="AY35" s="49">
        <f>資料儲存!H3927</f>
        <v>0</v>
      </c>
      <c r="AZ35" s="49">
        <f>資料儲存!I3927</f>
        <v>0</v>
      </c>
      <c r="BA35" s="49">
        <f>資料儲存!J3927</f>
        <v>0</v>
      </c>
    </row>
    <row r="36" spans="1:53" s="67" customFormat="1" ht="16" thickBot="1">
      <c r="A36" s="70">
        <v>27</v>
      </c>
      <c r="B36" s="49">
        <f>資料儲存!D3628</f>
        <v>0</v>
      </c>
      <c r="C36" s="49">
        <f>資料儲存!E3628</f>
        <v>0</v>
      </c>
      <c r="D36" s="49">
        <f>資料儲存!F3628</f>
        <v>0</v>
      </c>
      <c r="E36" s="49">
        <f>資料儲存!G3628</f>
        <v>0</v>
      </c>
      <c r="F36" s="49">
        <f>資料儲存!H3628</f>
        <v>0</v>
      </c>
      <c r="G36" s="49">
        <f>資料儲存!I3628</f>
        <v>0</v>
      </c>
      <c r="H36" s="49">
        <f>資料儲存!J3628</f>
        <v>0</v>
      </c>
      <c r="I36" s="52"/>
      <c r="J36" s="70">
        <v>27</v>
      </c>
      <c r="K36" s="49">
        <f>資料儲存!D3688</f>
        <v>0</v>
      </c>
      <c r="L36" s="49">
        <f>資料儲存!E3688</f>
        <v>0</v>
      </c>
      <c r="M36" s="49">
        <f>資料儲存!F3688</f>
        <v>0</v>
      </c>
      <c r="N36" s="49">
        <f>資料儲存!G3688</f>
        <v>0</v>
      </c>
      <c r="O36" s="49">
        <f>資料儲存!H3688</f>
        <v>0</v>
      </c>
      <c r="P36" s="49">
        <f>資料儲存!I3688</f>
        <v>0</v>
      </c>
      <c r="Q36" s="49">
        <f>資料儲存!J3688</f>
        <v>0</v>
      </c>
      <c r="R36" s="52"/>
      <c r="S36" s="70">
        <v>27</v>
      </c>
      <c r="T36" s="49">
        <f>資料儲存!D3748</f>
        <v>0</v>
      </c>
      <c r="U36" s="49">
        <f>資料儲存!E3748</f>
        <v>0</v>
      </c>
      <c r="V36" s="49">
        <f>資料儲存!F3748</f>
        <v>0</v>
      </c>
      <c r="W36" s="49">
        <f>資料儲存!G3748</f>
        <v>0</v>
      </c>
      <c r="X36" s="49">
        <f>資料儲存!H3748</f>
        <v>0</v>
      </c>
      <c r="Y36" s="49">
        <f>資料儲存!I3748</f>
        <v>0</v>
      </c>
      <c r="Z36" s="49">
        <f>資料儲存!J3748</f>
        <v>0</v>
      </c>
      <c r="AA36" s="52"/>
      <c r="AB36" s="70">
        <v>27</v>
      </c>
      <c r="AC36" s="49">
        <f>資料儲存!D3808</f>
        <v>0</v>
      </c>
      <c r="AD36" s="49">
        <f>資料儲存!E3808</f>
        <v>0</v>
      </c>
      <c r="AE36" s="49">
        <f>資料儲存!F3808</f>
        <v>0</v>
      </c>
      <c r="AF36" s="49">
        <f>資料儲存!G3808</f>
        <v>0</v>
      </c>
      <c r="AG36" s="49">
        <f>資料儲存!H3808</f>
        <v>0</v>
      </c>
      <c r="AH36" s="49">
        <f>資料儲存!I3808</f>
        <v>0</v>
      </c>
      <c r="AI36" s="49">
        <f>資料儲存!J3808</f>
        <v>0</v>
      </c>
      <c r="AJ36" s="52"/>
      <c r="AK36" s="70">
        <v>27</v>
      </c>
      <c r="AL36" s="49">
        <f>資料儲存!D3868</f>
        <v>0</v>
      </c>
      <c r="AM36" s="49">
        <f>資料儲存!E3868</f>
        <v>0</v>
      </c>
      <c r="AN36" s="49">
        <f>資料儲存!F3868</f>
        <v>0</v>
      </c>
      <c r="AO36" s="49">
        <f>資料儲存!G3868</f>
        <v>0</v>
      </c>
      <c r="AP36" s="49">
        <f>資料儲存!H3868</f>
        <v>0</v>
      </c>
      <c r="AQ36" s="49">
        <f>資料儲存!I3868</f>
        <v>0</v>
      </c>
      <c r="AR36" s="49">
        <f>資料儲存!J3868</f>
        <v>0</v>
      </c>
      <c r="AT36" s="70">
        <v>27</v>
      </c>
      <c r="AU36" s="49">
        <f>資料儲存!D3928</f>
        <v>0</v>
      </c>
      <c r="AV36" s="49">
        <f>資料儲存!E3928</f>
        <v>0</v>
      </c>
      <c r="AW36" s="49">
        <f>資料儲存!F3928</f>
        <v>0</v>
      </c>
      <c r="AX36" s="49">
        <f>資料儲存!G3928</f>
        <v>0</v>
      </c>
      <c r="AY36" s="49">
        <f>資料儲存!H3928</f>
        <v>0</v>
      </c>
      <c r="AZ36" s="49">
        <f>資料儲存!I3928</f>
        <v>0</v>
      </c>
      <c r="BA36" s="49">
        <f>資料儲存!J3928</f>
        <v>0</v>
      </c>
    </row>
    <row r="37" spans="1:53" s="67" customFormat="1" ht="16" thickBot="1">
      <c r="A37" s="70">
        <v>28</v>
      </c>
      <c r="B37" s="49">
        <f>資料儲存!D3629</f>
        <v>0</v>
      </c>
      <c r="C37" s="49">
        <f>資料儲存!E3629</f>
        <v>0</v>
      </c>
      <c r="D37" s="49">
        <f>資料儲存!F3629</f>
        <v>0</v>
      </c>
      <c r="E37" s="49">
        <f>資料儲存!G3629</f>
        <v>0</v>
      </c>
      <c r="F37" s="49">
        <f>資料儲存!H3629</f>
        <v>0</v>
      </c>
      <c r="G37" s="49">
        <f>資料儲存!I3629</f>
        <v>0</v>
      </c>
      <c r="H37" s="49">
        <f>資料儲存!J3629</f>
        <v>0</v>
      </c>
      <c r="I37" s="52"/>
      <c r="J37" s="70">
        <v>28</v>
      </c>
      <c r="K37" s="49">
        <f>資料儲存!D3689</f>
        <v>0</v>
      </c>
      <c r="L37" s="49">
        <f>資料儲存!E3689</f>
        <v>0</v>
      </c>
      <c r="M37" s="49">
        <f>資料儲存!F3689</f>
        <v>0</v>
      </c>
      <c r="N37" s="49">
        <f>資料儲存!G3689</f>
        <v>0</v>
      </c>
      <c r="O37" s="49">
        <f>資料儲存!H3689</f>
        <v>0</v>
      </c>
      <c r="P37" s="49">
        <f>資料儲存!I3689</f>
        <v>0</v>
      </c>
      <c r="Q37" s="49">
        <f>資料儲存!J3689</f>
        <v>0</v>
      </c>
      <c r="R37" s="52"/>
      <c r="S37" s="70">
        <v>28</v>
      </c>
      <c r="T37" s="49">
        <f>資料儲存!D3749</f>
        <v>0</v>
      </c>
      <c r="U37" s="49">
        <f>資料儲存!E3749</f>
        <v>0</v>
      </c>
      <c r="V37" s="49">
        <f>資料儲存!F3749</f>
        <v>0</v>
      </c>
      <c r="W37" s="49">
        <f>資料儲存!G3749</f>
        <v>0</v>
      </c>
      <c r="X37" s="49">
        <f>資料儲存!H3749</f>
        <v>0</v>
      </c>
      <c r="Y37" s="49">
        <f>資料儲存!I3749</f>
        <v>0</v>
      </c>
      <c r="Z37" s="49">
        <f>資料儲存!J3749</f>
        <v>0</v>
      </c>
      <c r="AA37" s="52"/>
      <c r="AB37" s="70">
        <v>28</v>
      </c>
      <c r="AC37" s="49">
        <f>資料儲存!D3809</f>
        <v>0</v>
      </c>
      <c r="AD37" s="49">
        <f>資料儲存!E3809</f>
        <v>0</v>
      </c>
      <c r="AE37" s="49">
        <f>資料儲存!F3809</f>
        <v>0</v>
      </c>
      <c r="AF37" s="49">
        <f>資料儲存!G3809</f>
        <v>0</v>
      </c>
      <c r="AG37" s="49">
        <f>資料儲存!H3809</f>
        <v>0</v>
      </c>
      <c r="AH37" s="49">
        <f>資料儲存!I3809</f>
        <v>0</v>
      </c>
      <c r="AI37" s="49">
        <f>資料儲存!J3809</f>
        <v>0</v>
      </c>
      <c r="AJ37" s="52"/>
      <c r="AK37" s="70">
        <v>28</v>
      </c>
      <c r="AL37" s="49">
        <f>資料儲存!D3869</f>
        <v>0</v>
      </c>
      <c r="AM37" s="49">
        <f>資料儲存!E3869</f>
        <v>0</v>
      </c>
      <c r="AN37" s="49">
        <f>資料儲存!F3869</f>
        <v>0</v>
      </c>
      <c r="AO37" s="49">
        <f>資料儲存!G3869</f>
        <v>0</v>
      </c>
      <c r="AP37" s="49">
        <f>資料儲存!H3869</f>
        <v>0</v>
      </c>
      <c r="AQ37" s="49">
        <f>資料儲存!I3869</f>
        <v>0</v>
      </c>
      <c r="AR37" s="49">
        <f>資料儲存!J3869</f>
        <v>0</v>
      </c>
      <c r="AT37" s="70">
        <v>28</v>
      </c>
      <c r="AU37" s="49">
        <f>資料儲存!D3929</f>
        <v>0</v>
      </c>
      <c r="AV37" s="49">
        <f>資料儲存!E3929</f>
        <v>0</v>
      </c>
      <c r="AW37" s="49">
        <f>資料儲存!F3929</f>
        <v>0</v>
      </c>
      <c r="AX37" s="49">
        <f>資料儲存!G3929</f>
        <v>0</v>
      </c>
      <c r="AY37" s="49">
        <f>資料儲存!H3929</f>
        <v>0</v>
      </c>
      <c r="AZ37" s="49">
        <f>資料儲存!I3929</f>
        <v>0</v>
      </c>
      <c r="BA37" s="49">
        <f>資料儲存!J3929</f>
        <v>0</v>
      </c>
    </row>
    <row r="38" spans="1:53" s="67" customFormat="1" ht="16" thickBot="1">
      <c r="A38" s="70">
        <v>29</v>
      </c>
      <c r="B38" s="49">
        <f>資料儲存!D3630</f>
        <v>0</v>
      </c>
      <c r="C38" s="49">
        <f>資料儲存!E3630</f>
        <v>0</v>
      </c>
      <c r="D38" s="49">
        <f>資料儲存!F3630</f>
        <v>0</v>
      </c>
      <c r="E38" s="49">
        <f>資料儲存!G3630</f>
        <v>0</v>
      </c>
      <c r="F38" s="49">
        <f>資料儲存!H3630</f>
        <v>0</v>
      </c>
      <c r="G38" s="49">
        <f>資料儲存!I3630</f>
        <v>0</v>
      </c>
      <c r="H38" s="49">
        <f>資料儲存!J3630</f>
        <v>0</v>
      </c>
      <c r="I38" s="52"/>
      <c r="J38" s="70">
        <v>29</v>
      </c>
      <c r="K38" s="49">
        <f>資料儲存!D3690</f>
        <v>0</v>
      </c>
      <c r="L38" s="49">
        <f>資料儲存!E3690</f>
        <v>0</v>
      </c>
      <c r="M38" s="49">
        <f>資料儲存!F3690</f>
        <v>0</v>
      </c>
      <c r="N38" s="49">
        <f>資料儲存!G3690</f>
        <v>0</v>
      </c>
      <c r="O38" s="49">
        <f>資料儲存!H3690</f>
        <v>0</v>
      </c>
      <c r="P38" s="49">
        <f>資料儲存!I3690</f>
        <v>0</v>
      </c>
      <c r="Q38" s="49">
        <f>資料儲存!J3690</f>
        <v>0</v>
      </c>
      <c r="R38" s="52"/>
      <c r="S38" s="70">
        <v>29</v>
      </c>
      <c r="T38" s="49">
        <f>資料儲存!D3750</f>
        <v>0</v>
      </c>
      <c r="U38" s="49">
        <f>資料儲存!E3750</f>
        <v>0</v>
      </c>
      <c r="V38" s="49">
        <f>資料儲存!F3750</f>
        <v>0</v>
      </c>
      <c r="W38" s="49">
        <f>資料儲存!G3750</f>
        <v>0</v>
      </c>
      <c r="X38" s="49">
        <f>資料儲存!H3750</f>
        <v>0</v>
      </c>
      <c r="Y38" s="49">
        <f>資料儲存!I3750</f>
        <v>0</v>
      </c>
      <c r="Z38" s="49">
        <f>資料儲存!J3750</f>
        <v>0</v>
      </c>
      <c r="AA38" s="52"/>
      <c r="AB38" s="70">
        <v>29</v>
      </c>
      <c r="AC38" s="49">
        <f>資料儲存!D3810</f>
        <v>0</v>
      </c>
      <c r="AD38" s="49">
        <f>資料儲存!E3810</f>
        <v>0</v>
      </c>
      <c r="AE38" s="49">
        <f>資料儲存!F3810</f>
        <v>0</v>
      </c>
      <c r="AF38" s="49">
        <f>資料儲存!G3810</f>
        <v>0</v>
      </c>
      <c r="AG38" s="49">
        <f>資料儲存!H3810</f>
        <v>0</v>
      </c>
      <c r="AH38" s="49">
        <f>資料儲存!I3810</f>
        <v>0</v>
      </c>
      <c r="AI38" s="49">
        <f>資料儲存!J3810</f>
        <v>0</v>
      </c>
      <c r="AJ38" s="52"/>
      <c r="AK38" s="70">
        <v>29</v>
      </c>
      <c r="AL38" s="49">
        <f>資料儲存!D3870</f>
        <v>0</v>
      </c>
      <c r="AM38" s="49">
        <f>資料儲存!E3870</f>
        <v>0</v>
      </c>
      <c r="AN38" s="49">
        <f>資料儲存!F3870</f>
        <v>0</v>
      </c>
      <c r="AO38" s="49">
        <f>資料儲存!G3870</f>
        <v>0</v>
      </c>
      <c r="AP38" s="49">
        <f>資料儲存!H3870</f>
        <v>0</v>
      </c>
      <c r="AQ38" s="49">
        <f>資料儲存!I3870</f>
        <v>0</v>
      </c>
      <c r="AR38" s="49">
        <f>資料儲存!J3870</f>
        <v>0</v>
      </c>
      <c r="AT38" s="70">
        <v>29</v>
      </c>
      <c r="AU38" s="49">
        <f>資料儲存!D3930</f>
        <v>0</v>
      </c>
      <c r="AV38" s="49">
        <f>資料儲存!E3930</f>
        <v>0</v>
      </c>
      <c r="AW38" s="49">
        <f>資料儲存!F3930</f>
        <v>0</v>
      </c>
      <c r="AX38" s="49">
        <f>資料儲存!G3930</f>
        <v>0</v>
      </c>
      <c r="AY38" s="49">
        <f>資料儲存!H3930</f>
        <v>0</v>
      </c>
      <c r="AZ38" s="49">
        <f>資料儲存!I3930</f>
        <v>0</v>
      </c>
      <c r="BA38" s="49">
        <f>資料儲存!J3930</f>
        <v>0</v>
      </c>
    </row>
    <row r="39" spans="1:53" s="67" customFormat="1" ht="16" thickBot="1">
      <c r="A39" s="70">
        <v>30</v>
      </c>
      <c r="B39" s="49">
        <f>資料儲存!D3631</f>
        <v>0</v>
      </c>
      <c r="C39" s="49">
        <f>資料儲存!E3631</f>
        <v>0</v>
      </c>
      <c r="D39" s="49">
        <f>資料儲存!F3631</f>
        <v>0</v>
      </c>
      <c r="E39" s="49">
        <f>資料儲存!G3631</f>
        <v>0</v>
      </c>
      <c r="F39" s="49">
        <f>資料儲存!H3631</f>
        <v>0</v>
      </c>
      <c r="G39" s="49">
        <f>資料儲存!I3631</f>
        <v>0</v>
      </c>
      <c r="H39" s="49">
        <f>資料儲存!J3631</f>
        <v>0</v>
      </c>
      <c r="I39" s="52"/>
      <c r="J39" s="70">
        <v>30</v>
      </c>
      <c r="K39" s="49">
        <f>資料儲存!D3691</f>
        <v>0</v>
      </c>
      <c r="L39" s="49">
        <f>資料儲存!E3691</f>
        <v>0</v>
      </c>
      <c r="M39" s="49">
        <f>資料儲存!F3691</f>
        <v>0</v>
      </c>
      <c r="N39" s="49">
        <f>資料儲存!G3691</f>
        <v>0</v>
      </c>
      <c r="O39" s="49">
        <f>資料儲存!H3691</f>
        <v>0</v>
      </c>
      <c r="P39" s="49">
        <f>資料儲存!I3691</f>
        <v>0</v>
      </c>
      <c r="Q39" s="49">
        <f>資料儲存!J3691</f>
        <v>0</v>
      </c>
      <c r="R39" s="52"/>
      <c r="S39" s="70">
        <v>30</v>
      </c>
      <c r="T39" s="49">
        <f>資料儲存!D3751</f>
        <v>0</v>
      </c>
      <c r="U39" s="49">
        <f>資料儲存!E3751</f>
        <v>0</v>
      </c>
      <c r="V39" s="49">
        <f>資料儲存!F3751</f>
        <v>0</v>
      </c>
      <c r="W39" s="49">
        <f>資料儲存!G3751</f>
        <v>0</v>
      </c>
      <c r="X39" s="49">
        <f>資料儲存!H3751</f>
        <v>0</v>
      </c>
      <c r="Y39" s="49">
        <f>資料儲存!I3751</f>
        <v>0</v>
      </c>
      <c r="Z39" s="49">
        <f>資料儲存!J3751</f>
        <v>0</v>
      </c>
      <c r="AA39" s="52"/>
      <c r="AB39" s="70">
        <v>30</v>
      </c>
      <c r="AC39" s="49">
        <f>資料儲存!D3811</f>
        <v>0</v>
      </c>
      <c r="AD39" s="49">
        <f>資料儲存!E3811</f>
        <v>0</v>
      </c>
      <c r="AE39" s="49">
        <f>資料儲存!F3811</f>
        <v>0</v>
      </c>
      <c r="AF39" s="49">
        <f>資料儲存!G3811</f>
        <v>0</v>
      </c>
      <c r="AG39" s="49">
        <f>資料儲存!H3811</f>
        <v>0</v>
      </c>
      <c r="AH39" s="49">
        <f>資料儲存!I3811</f>
        <v>0</v>
      </c>
      <c r="AI39" s="49">
        <f>資料儲存!J3811</f>
        <v>0</v>
      </c>
      <c r="AJ39" s="52"/>
      <c r="AK39" s="70">
        <v>30</v>
      </c>
      <c r="AL39" s="49">
        <f>資料儲存!D3871</f>
        <v>0</v>
      </c>
      <c r="AM39" s="49">
        <f>資料儲存!E3871</f>
        <v>0</v>
      </c>
      <c r="AN39" s="49">
        <f>資料儲存!F3871</f>
        <v>0</v>
      </c>
      <c r="AO39" s="49">
        <f>資料儲存!G3871</f>
        <v>0</v>
      </c>
      <c r="AP39" s="49">
        <f>資料儲存!H3871</f>
        <v>0</v>
      </c>
      <c r="AQ39" s="49">
        <f>資料儲存!I3871</f>
        <v>0</v>
      </c>
      <c r="AR39" s="49">
        <f>資料儲存!J3871</f>
        <v>0</v>
      </c>
      <c r="AT39" s="70">
        <v>30</v>
      </c>
      <c r="AU39" s="49">
        <f>資料儲存!D3931</f>
        <v>0</v>
      </c>
      <c r="AV39" s="49">
        <f>資料儲存!E3931</f>
        <v>0</v>
      </c>
      <c r="AW39" s="49">
        <f>資料儲存!F3931</f>
        <v>0</v>
      </c>
      <c r="AX39" s="49">
        <f>資料儲存!G3931</f>
        <v>0</v>
      </c>
      <c r="AY39" s="49">
        <f>資料儲存!H3931</f>
        <v>0</v>
      </c>
      <c r="AZ39" s="49">
        <f>資料儲存!I3931</f>
        <v>0</v>
      </c>
      <c r="BA39" s="49">
        <f>資料儲存!J3931</f>
        <v>0</v>
      </c>
    </row>
    <row r="40" spans="1:53" s="67" customFormat="1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0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  <c r="AT40" s="50" t="s">
        <v>56</v>
      </c>
      <c r="AU40" s="49">
        <f>SUM(AU25:AX39)</f>
        <v>0</v>
      </c>
      <c r="AV40" s="47"/>
      <c r="AW40" s="47"/>
      <c r="AX40" s="47"/>
      <c r="AY40" s="49">
        <f>AY39</f>
        <v>0</v>
      </c>
      <c r="AZ40" s="49">
        <f>AZ39</f>
        <v>0</v>
      </c>
      <c r="BA40" s="49">
        <f>BA39</f>
        <v>0</v>
      </c>
    </row>
    <row r="41" spans="1:53" ht="18.5" thickBot="1">
      <c r="A41" s="257" t="s">
        <v>93</v>
      </c>
      <c r="B41" s="258"/>
      <c r="C41" s="258"/>
      <c r="D41" s="258"/>
      <c r="E41" s="258"/>
      <c r="F41" s="258"/>
      <c r="G41" s="258"/>
      <c r="H41" s="259"/>
      <c r="I41" s="14"/>
      <c r="J41" s="257" t="s">
        <v>93</v>
      </c>
      <c r="K41" s="258"/>
      <c r="L41" s="258"/>
      <c r="M41" s="258"/>
      <c r="N41" s="258"/>
      <c r="O41" s="258"/>
      <c r="P41" s="258"/>
      <c r="Q41" s="259"/>
      <c r="R41" s="14"/>
      <c r="S41" s="257" t="s">
        <v>93</v>
      </c>
      <c r="T41" s="258"/>
      <c r="U41" s="258"/>
      <c r="V41" s="258"/>
      <c r="W41" s="258"/>
      <c r="X41" s="258"/>
      <c r="Y41" s="258"/>
      <c r="Z41" s="259"/>
      <c r="AA41" s="14"/>
      <c r="AB41" s="257" t="s">
        <v>93</v>
      </c>
      <c r="AC41" s="258"/>
      <c r="AD41" s="258"/>
      <c r="AE41" s="258"/>
      <c r="AF41" s="258"/>
      <c r="AG41" s="258"/>
      <c r="AH41" s="258"/>
      <c r="AI41" s="259"/>
      <c r="AJ41" s="14"/>
      <c r="AK41" s="257" t="s">
        <v>93</v>
      </c>
      <c r="AL41" s="258"/>
      <c r="AM41" s="258"/>
      <c r="AN41" s="258"/>
      <c r="AO41" s="258"/>
      <c r="AP41" s="258"/>
      <c r="AQ41" s="258"/>
      <c r="AR41" s="259"/>
      <c r="AT41" s="257" t="s">
        <v>93</v>
      </c>
      <c r="AU41" s="258"/>
      <c r="AV41" s="258"/>
      <c r="AW41" s="258"/>
      <c r="AX41" s="258"/>
      <c r="AY41" s="258"/>
      <c r="AZ41" s="258"/>
      <c r="BA41" s="259"/>
    </row>
    <row r="42" spans="1:53" s="59" customFormat="1" ht="17.25" customHeight="1" thickBot="1">
      <c r="A42" s="54" t="s">
        <v>2</v>
      </c>
      <c r="B42" s="55" t="s">
        <v>46</v>
      </c>
      <c r="C42" s="56"/>
      <c r="D42" s="56"/>
      <c r="E42" s="57"/>
      <c r="F42" s="55" t="s">
        <v>47</v>
      </c>
      <c r="G42" s="56"/>
      <c r="H42" s="57"/>
      <c r="I42" s="58"/>
      <c r="J42" s="54" t="s">
        <v>2</v>
      </c>
      <c r="K42" s="55" t="s">
        <v>46</v>
      </c>
      <c r="L42" s="56"/>
      <c r="M42" s="56"/>
      <c r="N42" s="57"/>
      <c r="O42" s="55" t="s">
        <v>47</v>
      </c>
      <c r="P42" s="56"/>
      <c r="Q42" s="57"/>
      <c r="R42" s="58"/>
      <c r="S42" s="54" t="s">
        <v>2</v>
      </c>
      <c r="T42" s="55" t="s">
        <v>46</v>
      </c>
      <c r="U42" s="56"/>
      <c r="V42" s="56"/>
      <c r="W42" s="57"/>
      <c r="X42" s="55" t="s">
        <v>47</v>
      </c>
      <c r="Y42" s="56"/>
      <c r="Z42" s="57"/>
      <c r="AA42" s="58"/>
      <c r="AB42" s="54" t="s">
        <v>2</v>
      </c>
      <c r="AC42" s="55" t="s">
        <v>46</v>
      </c>
      <c r="AD42" s="56"/>
      <c r="AE42" s="56"/>
      <c r="AF42" s="57"/>
      <c r="AG42" s="55" t="s">
        <v>47</v>
      </c>
      <c r="AH42" s="56"/>
      <c r="AI42" s="57"/>
      <c r="AJ42" s="58"/>
      <c r="AK42" s="54" t="s">
        <v>2</v>
      </c>
      <c r="AL42" s="55" t="s">
        <v>46</v>
      </c>
      <c r="AM42" s="56"/>
      <c r="AN42" s="56"/>
      <c r="AO42" s="57"/>
      <c r="AP42" s="55" t="s">
        <v>47</v>
      </c>
      <c r="AQ42" s="56"/>
      <c r="AR42" s="57"/>
      <c r="AT42" s="54" t="s">
        <v>2</v>
      </c>
      <c r="AU42" s="55" t="s">
        <v>46</v>
      </c>
      <c r="AV42" s="56"/>
      <c r="AW42" s="56"/>
      <c r="AX42" s="57"/>
      <c r="AY42" s="55" t="s">
        <v>47</v>
      </c>
      <c r="AZ42" s="56"/>
      <c r="BA42" s="57"/>
    </row>
    <row r="43" spans="1:53" s="59" customFormat="1" ht="16" thickBot="1">
      <c r="A43" s="60">
        <v>0.47916666666666669</v>
      </c>
      <c r="B43" s="61" t="s">
        <v>49</v>
      </c>
      <c r="C43" s="61" t="s">
        <v>50</v>
      </c>
      <c r="D43" s="61" t="s">
        <v>51</v>
      </c>
      <c r="E43" s="61" t="s">
        <v>52</v>
      </c>
      <c r="F43" s="61" t="s">
        <v>53</v>
      </c>
      <c r="G43" s="61" t="s">
        <v>54</v>
      </c>
      <c r="H43" s="61" t="s">
        <v>55</v>
      </c>
      <c r="I43" s="58"/>
      <c r="J43" s="60">
        <v>0.47916666666666669</v>
      </c>
      <c r="K43" s="61" t="s">
        <v>49</v>
      </c>
      <c r="L43" s="61" t="s">
        <v>50</v>
      </c>
      <c r="M43" s="61" t="s">
        <v>51</v>
      </c>
      <c r="N43" s="61" t="s">
        <v>52</v>
      </c>
      <c r="O43" s="61" t="s">
        <v>53</v>
      </c>
      <c r="P43" s="61" t="s">
        <v>54</v>
      </c>
      <c r="Q43" s="61" t="s">
        <v>55</v>
      </c>
      <c r="R43" s="58"/>
      <c r="S43" s="60">
        <v>0.47916666666666669</v>
      </c>
      <c r="T43" s="61" t="s">
        <v>49</v>
      </c>
      <c r="U43" s="61" t="s">
        <v>50</v>
      </c>
      <c r="V43" s="61" t="s">
        <v>51</v>
      </c>
      <c r="W43" s="61" t="s">
        <v>52</v>
      </c>
      <c r="X43" s="61" t="s">
        <v>53</v>
      </c>
      <c r="Y43" s="61" t="s">
        <v>54</v>
      </c>
      <c r="Z43" s="61" t="s">
        <v>55</v>
      </c>
      <c r="AA43" s="58"/>
      <c r="AB43" s="60">
        <v>0.47916666666666669</v>
      </c>
      <c r="AC43" s="61" t="s">
        <v>49</v>
      </c>
      <c r="AD43" s="61" t="s">
        <v>50</v>
      </c>
      <c r="AE43" s="61" t="s">
        <v>51</v>
      </c>
      <c r="AF43" s="61" t="s">
        <v>52</v>
      </c>
      <c r="AG43" s="61" t="s">
        <v>53</v>
      </c>
      <c r="AH43" s="61" t="s">
        <v>54</v>
      </c>
      <c r="AI43" s="61" t="s">
        <v>55</v>
      </c>
      <c r="AJ43" s="58"/>
      <c r="AK43" s="60">
        <v>0.47916666666666669</v>
      </c>
      <c r="AL43" s="61" t="s">
        <v>49</v>
      </c>
      <c r="AM43" s="61" t="s">
        <v>50</v>
      </c>
      <c r="AN43" s="61" t="s">
        <v>51</v>
      </c>
      <c r="AO43" s="61" t="s">
        <v>52</v>
      </c>
      <c r="AP43" s="61" t="s">
        <v>53</v>
      </c>
      <c r="AQ43" s="61" t="s">
        <v>54</v>
      </c>
      <c r="AR43" s="61" t="s">
        <v>55</v>
      </c>
      <c r="AT43" s="60">
        <v>0.47916666666666669</v>
      </c>
      <c r="AU43" s="61" t="s">
        <v>49</v>
      </c>
      <c r="AV43" s="61" t="s">
        <v>50</v>
      </c>
      <c r="AW43" s="61" t="s">
        <v>51</v>
      </c>
      <c r="AX43" s="61" t="s">
        <v>52</v>
      </c>
      <c r="AY43" s="61" t="s">
        <v>53</v>
      </c>
      <c r="AZ43" s="61" t="s">
        <v>54</v>
      </c>
      <c r="BA43" s="61" t="s">
        <v>55</v>
      </c>
    </row>
    <row r="44" spans="1:53" s="59" customFormat="1" ht="16" thickBot="1">
      <c r="A44" s="62">
        <v>31</v>
      </c>
      <c r="B44" s="39">
        <f>資料儲存!D3632</f>
        <v>0</v>
      </c>
      <c r="C44" s="39">
        <f>資料儲存!E3632</f>
        <v>0</v>
      </c>
      <c r="D44" s="39">
        <f>資料儲存!F3632</f>
        <v>0</v>
      </c>
      <c r="E44" s="39">
        <f>資料儲存!G3632</f>
        <v>0</v>
      </c>
      <c r="F44" s="39">
        <f>資料儲存!H3632</f>
        <v>0</v>
      </c>
      <c r="G44" s="39">
        <f>資料儲存!I3632</f>
        <v>0</v>
      </c>
      <c r="H44" s="39">
        <f>資料儲存!J3632</f>
        <v>0</v>
      </c>
      <c r="I44" s="58"/>
      <c r="J44" s="62">
        <v>31</v>
      </c>
      <c r="K44" s="39">
        <f>資料儲存!D3692</f>
        <v>0</v>
      </c>
      <c r="L44" s="39">
        <f>資料儲存!E3692</f>
        <v>0</v>
      </c>
      <c r="M44" s="39">
        <f>資料儲存!F3692</f>
        <v>0</v>
      </c>
      <c r="N44" s="39">
        <f>資料儲存!G3692</f>
        <v>0</v>
      </c>
      <c r="O44" s="39">
        <f>資料儲存!H3692</f>
        <v>0</v>
      </c>
      <c r="P44" s="39">
        <f>資料儲存!I3692</f>
        <v>0</v>
      </c>
      <c r="Q44" s="39">
        <f>資料儲存!J3692</f>
        <v>0</v>
      </c>
      <c r="R44" s="58"/>
      <c r="S44" s="62">
        <v>31</v>
      </c>
      <c r="T44" s="39">
        <f>資料儲存!D3752</f>
        <v>0</v>
      </c>
      <c r="U44" s="39">
        <f>資料儲存!E3752</f>
        <v>0</v>
      </c>
      <c r="V44" s="39">
        <f>資料儲存!F3752</f>
        <v>0</v>
      </c>
      <c r="W44" s="39">
        <f>資料儲存!G3752</f>
        <v>0</v>
      </c>
      <c r="X44" s="39">
        <f>資料儲存!H3752</f>
        <v>0</v>
      </c>
      <c r="Y44" s="39">
        <f>資料儲存!I3752</f>
        <v>0</v>
      </c>
      <c r="Z44" s="39">
        <f>資料儲存!J3752</f>
        <v>0</v>
      </c>
      <c r="AA44" s="58"/>
      <c r="AB44" s="62">
        <v>31</v>
      </c>
      <c r="AC44" s="39">
        <f>資料儲存!D3812</f>
        <v>0</v>
      </c>
      <c r="AD44" s="39">
        <f>資料儲存!E3812</f>
        <v>0</v>
      </c>
      <c r="AE44" s="39">
        <f>資料儲存!F3812</f>
        <v>0</v>
      </c>
      <c r="AF44" s="39">
        <f>資料儲存!G3812</f>
        <v>0</v>
      </c>
      <c r="AG44" s="39">
        <f>資料儲存!H3812</f>
        <v>0</v>
      </c>
      <c r="AH44" s="39">
        <f>資料儲存!I3812</f>
        <v>0</v>
      </c>
      <c r="AI44" s="39">
        <f>資料儲存!J3812</f>
        <v>0</v>
      </c>
      <c r="AJ44" s="58"/>
      <c r="AK44" s="62">
        <v>31</v>
      </c>
      <c r="AL44" s="39">
        <f>資料儲存!D3872</f>
        <v>0</v>
      </c>
      <c r="AM44" s="39">
        <f>資料儲存!E3872</f>
        <v>0</v>
      </c>
      <c r="AN44" s="39">
        <f>資料儲存!F3872</f>
        <v>0</v>
      </c>
      <c r="AO44" s="39">
        <f>資料儲存!G3872</f>
        <v>0</v>
      </c>
      <c r="AP44" s="39">
        <f>資料儲存!H3872</f>
        <v>0</v>
      </c>
      <c r="AQ44" s="39">
        <f>資料儲存!I3872</f>
        <v>0</v>
      </c>
      <c r="AR44" s="39">
        <f>資料儲存!J3872</f>
        <v>0</v>
      </c>
      <c r="AT44" s="62">
        <v>31</v>
      </c>
      <c r="AU44" s="39">
        <f>資料儲存!D3932</f>
        <v>0</v>
      </c>
      <c r="AV44" s="39">
        <f>資料儲存!E3932</f>
        <v>0</v>
      </c>
      <c r="AW44" s="39">
        <f>資料儲存!F3932</f>
        <v>0</v>
      </c>
      <c r="AX44" s="39">
        <f>資料儲存!G3932</f>
        <v>0</v>
      </c>
      <c r="AY44" s="39">
        <f>資料儲存!H3932</f>
        <v>0</v>
      </c>
      <c r="AZ44" s="39">
        <f>資料儲存!I3932</f>
        <v>0</v>
      </c>
      <c r="BA44" s="39">
        <f>資料儲存!J3932</f>
        <v>0</v>
      </c>
    </row>
    <row r="45" spans="1:53" s="59" customFormat="1" ht="16" thickBot="1">
      <c r="A45" s="62">
        <v>32</v>
      </c>
      <c r="B45" s="39">
        <f>資料儲存!D3633</f>
        <v>0</v>
      </c>
      <c r="C45" s="39">
        <f>資料儲存!E3633</f>
        <v>0</v>
      </c>
      <c r="D45" s="39">
        <f>資料儲存!F3633</f>
        <v>0</v>
      </c>
      <c r="E45" s="39">
        <f>資料儲存!G3633</f>
        <v>0</v>
      </c>
      <c r="F45" s="39">
        <f>資料儲存!H3633</f>
        <v>0</v>
      </c>
      <c r="G45" s="39">
        <f>資料儲存!I3633</f>
        <v>0</v>
      </c>
      <c r="H45" s="39">
        <f>資料儲存!J3633</f>
        <v>0</v>
      </c>
      <c r="I45" s="58"/>
      <c r="J45" s="62">
        <v>32</v>
      </c>
      <c r="K45" s="39">
        <f>資料儲存!D3693</f>
        <v>0</v>
      </c>
      <c r="L45" s="39">
        <f>資料儲存!E3693</f>
        <v>0</v>
      </c>
      <c r="M45" s="39">
        <f>資料儲存!F3693</f>
        <v>0</v>
      </c>
      <c r="N45" s="39">
        <f>資料儲存!G3693</f>
        <v>0</v>
      </c>
      <c r="O45" s="39">
        <f>資料儲存!H3693</f>
        <v>0</v>
      </c>
      <c r="P45" s="39">
        <f>資料儲存!I3693</f>
        <v>0</v>
      </c>
      <c r="Q45" s="39">
        <f>資料儲存!J3693</f>
        <v>0</v>
      </c>
      <c r="R45" s="58"/>
      <c r="S45" s="62">
        <v>32</v>
      </c>
      <c r="T45" s="39">
        <f>資料儲存!D3753</f>
        <v>0</v>
      </c>
      <c r="U45" s="39">
        <f>資料儲存!E3753</f>
        <v>0</v>
      </c>
      <c r="V45" s="39">
        <f>資料儲存!F3753</f>
        <v>0</v>
      </c>
      <c r="W45" s="39">
        <f>資料儲存!G3753</f>
        <v>0</v>
      </c>
      <c r="X45" s="39">
        <f>資料儲存!H3753</f>
        <v>0</v>
      </c>
      <c r="Y45" s="39">
        <f>資料儲存!I3753</f>
        <v>0</v>
      </c>
      <c r="Z45" s="39">
        <f>資料儲存!J3753</f>
        <v>0</v>
      </c>
      <c r="AA45" s="58"/>
      <c r="AB45" s="62">
        <v>32</v>
      </c>
      <c r="AC45" s="39">
        <f>資料儲存!D3813</f>
        <v>0</v>
      </c>
      <c r="AD45" s="39">
        <f>資料儲存!E3813</f>
        <v>0</v>
      </c>
      <c r="AE45" s="39">
        <f>資料儲存!F3813</f>
        <v>0</v>
      </c>
      <c r="AF45" s="39">
        <f>資料儲存!G3813</f>
        <v>0</v>
      </c>
      <c r="AG45" s="39">
        <f>資料儲存!H3813</f>
        <v>0</v>
      </c>
      <c r="AH45" s="39">
        <f>資料儲存!I3813</f>
        <v>0</v>
      </c>
      <c r="AI45" s="39">
        <f>資料儲存!J3813</f>
        <v>0</v>
      </c>
      <c r="AJ45" s="58"/>
      <c r="AK45" s="62">
        <v>32</v>
      </c>
      <c r="AL45" s="39">
        <f>資料儲存!D3873</f>
        <v>0</v>
      </c>
      <c r="AM45" s="39">
        <f>資料儲存!E3873</f>
        <v>0</v>
      </c>
      <c r="AN45" s="39">
        <f>資料儲存!F3873</f>
        <v>0</v>
      </c>
      <c r="AO45" s="39">
        <f>資料儲存!G3873</f>
        <v>0</v>
      </c>
      <c r="AP45" s="39">
        <f>資料儲存!H3873</f>
        <v>0</v>
      </c>
      <c r="AQ45" s="39">
        <f>資料儲存!I3873</f>
        <v>0</v>
      </c>
      <c r="AR45" s="39">
        <f>資料儲存!J3873</f>
        <v>0</v>
      </c>
      <c r="AT45" s="62">
        <v>32</v>
      </c>
      <c r="AU45" s="39">
        <f>資料儲存!D3933</f>
        <v>0</v>
      </c>
      <c r="AV45" s="39">
        <f>資料儲存!E3933</f>
        <v>0</v>
      </c>
      <c r="AW45" s="39">
        <f>資料儲存!F3933</f>
        <v>0</v>
      </c>
      <c r="AX45" s="39">
        <f>資料儲存!G3933</f>
        <v>0</v>
      </c>
      <c r="AY45" s="39">
        <f>資料儲存!H3933</f>
        <v>0</v>
      </c>
      <c r="AZ45" s="39">
        <f>資料儲存!I3933</f>
        <v>0</v>
      </c>
      <c r="BA45" s="39">
        <f>資料儲存!J3933</f>
        <v>0</v>
      </c>
    </row>
    <row r="46" spans="1:53" s="59" customFormat="1" ht="16" thickBot="1">
      <c r="A46" s="62">
        <v>33</v>
      </c>
      <c r="B46" s="39">
        <f>資料儲存!D3634</f>
        <v>0</v>
      </c>
      <c r="C46" s="39">
        <f>資料儲存!E3634</f>
        <v>0</v>
      </c>
      <c r="D46" s="39">
        <f>資料儲存!F3634</f>
        <v>0</v>
      </c>
      <c r="E46" s="39">
        <f>資料儲存!G3634</f>
        <v>0</v>
      </c>
      <c r="F46" s="39">
        <f>資料儲存!H3634</f>
        <v>0</v>
      </c>
      <c r="G46" s="39">
        <f>資料儲存!I3634</f>
        <v>0</v>
      </c>
      <c r="H46" s="39">
        <f>資料儲存!J3634</f>
        <v>0</v>
      </c>
      <c r="I46" s="58"/>
      <c r="J46" s="62">
        <v>33</v>
      </c>
      <c r="K46" s="39">
        <f>資料儲存!D3694</f>
        <v>0</v>
      </c>
      <c r="L46" s="39">
        <f>資料儲存!E3694</f>
        <v>0</v>
      </c>
      <c r="M46" s="39">
        <f>資料儲存!F3694</f>
        <v>0</v>
      </c>
      <c r="N46" s="39">
        <f>資料儲存!G3694</f>
        <v>0</v>
      </c>
      <c r="O46" s="39">
        <f>資料儲存!H3694</f>
        <v>0</v>
      </c>
      <c r="P46" s="39">
        <f>資料儲存!I3694</f>
        <v>0</v>
      </c>
      <c r="Q46" s="39">
        <f>資料儲存!J3694</f>
        <v>0</v>
      </c>
      <c r="R46" s="58"/>
      <c r="S46" s="62">
        <v>33</v>
      </c>
      <c r="T46" s="39">
        <f>資料儲存!D3754</f>
        <v>0</v>
      </c>
      <c r="U46" s="39">
        <f>資料儲存!E3754</f>
        <v>0</v>
      </c>
      <c r="V46" s="39">
        <f>資料儲存!F3754</f>
        <v>0</v>
      </c>
      <c r="W46" s="39">
        <f>資料儲存!G3754</f>
        <v>0</v>
      </c>
      <c r="X46" s="39">
        <f>資料儲存!H3754</f>
        <v>0</v>
      </c>
      <c r="Y46" s="39">
        <f>資料儲存!I3754</f>
        <v>0</v>
      </c>
      <c r="Z46" s="39">
        <f>資料儲存!J3754</f>
        <v>0</v>
      </c>
      <c r="AA46" s="58"/>
      <c r="AB46" s="62">
        <v>33</v>
      </c>
      <c r="AC46" s="39">
        <f>資料儲存!D3814</f>
        <v>0</v>
      </c>
      <c r="AD46" s="39">
        <f>資料儲存!E3814</f>
        <v>0</v>
      </c>
      <c r="AE46" s="39">
        <f>資料儲存!F3814</f>
        <v>0</v>
      </c>
      <c r="AF46" s="39">
        <f>資料儲存!G3814</f>
        <v>0</v>
      </c>
      <c r="AG46" s="39">
        <f>資料儲存!H3814</f>
        <v>0</v>
      </c>
      <c r="AH46" s="39">
        <f>資料儲存!I3814</f>
        <v>0</v>
      </c>
      <c r="AI46" s="39">
        <f>資料儲存!J3814</f>
        <v>0</v>
      </c>
      <c r="AJ46" s="58"/>
      <c r="AK46" s="62">
        <v>33</v>
      </c>
      <c r="AL46" s="39">
        <f>資料儲存!D3874</f>
        <v>0</v>
      </c>
      <c r="AM46" s="39">
        <f>資料儲存!E3874</f>
        <v>0</v>
      </c>
      <c r="AN46" s="39">
        <f>資料儲存!F3874</f>
        <v>0</v>
      </c>
      <c r="AO46" s="39">
        <f>資料儲存!G3874</f>
        <v>0</v>
      </c>
      <c r="AP46" s="39">
        <f>資料儲存!H3874</f>
        <v>0</v>
      </c>
      <c r="AQ46" s="39">
        <f>資料儲存!I3874</f>
        <v>0</v>
      </c>
      <c r="AR46" s="39">
        <f>資料儲存!J3874</f>
        <v>0</v>
      </c>
      <c r="AT46" s="62">
        <v>33</v>
      </c>
      <c r="AU46" s="39">
        <f>資料儲存!D3934</f>
        <v>0</v>
      </c>
      <c r="AV46" s="39">
        <f>資料儲存!E3934</f>
        <v>0</v>
      </c>
      <c r="AW46" s="39">
        <f>資料儲存!F3934</f>
        <v>0</v>
      </c>
      <c r="AX46" s="39">
        <f>資料儲存!G3934</f>
        <v>0</v>
      </c>
      <c r="AY46" s="39">
        <f>資料儲存!H3934</f>
        <v>0</v>
      </c>
      <c r="AZ46" s="39">
        <f>資料儲存!I3934</f>
        <v>0</v>
      </c>
      <c r="BA46" s="39">
        <f>資料儲存!J3934</f>
        <v>0</v>
      </c>
    </row>
    <row r="47" spans="1:53" s="59" customFormat="1" ht="16" thickBot="1">
      <c r="A47" s="62">
        <v>34</v>
      </c>
      <c r="B47" s="39">
        <f>資料儲存!D3635</f>
        <v>0</v>
      </c>
      <c r="C47" s="39">
        <f>資料儲存!E3635</f>
        <v>0</v>
      </c>
      <c r="D47" s="39">
        <f>資料儲存!F3635</f>
        <v>0</v>
      </c>
      <c r="E47" s="39">
        <f>資料儲存!G3635</f>
        <v>0</v>
      </c>
      <c r="F47" s="39">
        <f>資料儲存!H3635</f>
        <v>0</v>
      </c>
      <c r="G47" s="39">
        <f>資料儲存!I3635</f>
        <v>0</v>
      </c>
      <c r="H47" s="39">
        <f>資料儲存!J3635</f>
        <v>0</v>
      </c>
      <c r="I47" s="58"/>
      <c r="J47" s="62">
        <v>34</v>
      </c>
      <c r="K47" s="39">
        <f>資料儲存!D3695</f>
        <v>0</v>
      </c>
      <c r="L47" s="39">
        <f>資料儲存!E3695</f>
        <v>0</v>
      </c>
      <c r="M47" s="39">
        <f>資料儲存!F3695</f>
        <v>0</v>
      </c>
      <c r="N47" s="39">
        <f>資料儲存!G3695</f>
        <v>0</v>
      </c>
      <c r="O47" s="39">
        <f>資料儲存!H3695</f>
        <v>0</v>
      </c>
      <c r="P47" s="39">
        <f>資料儲存!I3695</f>
        <v>0</v>
      </c>
      <c r="Q47" s="39">
        <f>資料儲存!J3695</f>
        <v>0</v>
      </c>
      <c r="R47" s="58"/>
      <c r="S47" s="62">
        <v>34</v>
      </c>
      <c r="T47" s="39">
        <f>資料儲存!D3755</f>
        <v>0</v>
      </c>
      <c r="U47" s="39">
        <f>資料儲存!E3755</f>
        <v>0</v>
      </c>
      <c r="V47" s="39">
        <f>資料儲存!F3755</f>
        <v>0</v>
      </c>
      <c r="W47" s="39">
        <f>資料儲存!G3755</f>
        <v>0</v>
      </c>
      <c r="X47" s="39">
        <f>資料儲存!H3755</f>
        <v>0</v>
      </c>
      <c r="Y47" s="39">
        <f>資料儲存!I3755</f>
        <v>0</v>
      </c>
      <c r="Z47" s="39">
        <f>資料儲存!J3755</f>
        <v>0</v>
      </c>
      <c r="AA47" s="58"/>
      <c r="AB47" s="62">
        <v>34</v>
      </c>
      <c r="AC47" s="39">
        <f>資料儲存!D3815</f>
        <v>0</v>
      </c>
      <c r="AD47" s="39">
        <f>資料儲存!E3815</f>
        <v>0</v>
      </c>
      <c r="AE47" s="39">
        <f>資料儲存!F3815</f>
        <v>0</v>
      </c>
      <c r="AF47" s="39">
        <f>資料儲存!G3815</f>
        <v>0</v>
      </c>
      <c r="AG47" s="39">
        <f>資料儲存!H3815</f>
        <v>0</v>
      </c>
      <c r="AH47" s="39">
        <f>資料儲存!I3815</f>
        <v>0</v>
      </c>
      <c r="AI47" s="39">
        <f>資料儲存!J3815</f>
        <v>0</v>
      </c>
      <c r="AJ47" s="58"/>
      <c r="AK47" s="62">
        <v>34</v>
      </c>
      <c r="AL47" s="39">
        <f>資料儲存!D3875</f>
        <v>0</v>
      </c>
      <c r="AM47" s="39">
        <f>資料儲存!E3875</f>
        <v>0</v>
      </c>
      <c r="AN47" s="39">
        <f>資料儲存!F3875</f>
        <v>0</v>
      </c>
      <c r="AO47" s="39">
        <f>資料儲存!G3875</f>
        <v>0</v>
      </c>
      <c r="AP47" s="39">
        <f>資料儲存!H3875</f>
        <v>0</v>
      </c>
      <c r="AQ47" s="39">
        <f>資料儲存!I3875</f>
        <v>0</v>
      </c>
      <c r="AR47" s="39">
        <f>資料儲存!J3875</f>
        <v>0</v>
      </c>
      <c r="AT47" s="62">
        <v>34</v>
      </c>
      <c r="AU47" s="39">
        <f>資料儲存!D3935</f>
        <v>0</v>
      </c>
      <c r="AV47" s="39">
        <f>資料儲存!E3935</f>
        <v>0</v>
      </c>
      <c r="AW47" s="39">
        <f>資料儲存!F3935</f>
        <v>0</v>
      </c>
      <c r="AX47" s="39">
        <f>資料儲存!G3935</f>
        <v>0</v>
      </c>
      <c r="AY47" s="39">
        <f>資料儲存!H3935</f>
        <v>0</v>
      </c>
      <c r="AZ47" s="39">
        <f>資料儲存!I3935</f>
        <v>0</v>
      </c>
      <c r="BA47" s="39">
        <f>資料儲存!J3935</f>
        <v>0</v>
      </c>
    </row>
    <row r="48" spans="1:53" s="59" customFormat="1" ht="16" thickBot="1">
      <c r="A48" s="62">
        <v>35</v>
      </c>
      <c r="B48" s="39">
        <f>資料儲存!D3636</f>
        <v>0</v>
      </c>
      <c r="C48" s="39">
        <f>資料儲存!E3636</f>
        <v>0</v>
      </c>
      <c r="D48" s="39">
        <f>資料儲存!F3636</f>
        <v>0</v>
      </c>
      <c r="E48" s="39">
        <f>資料儲存!G3636</f>
        <v>0</v>
      </c>
      <c r="F48" s="39">
        <f>資料儲存!H3636</f>
        <v>0</v>
      </c>
      <c r="G48" s="39">
        <f>資料儲存!I3636</f>
        <v>0</v>
      </c>
      <c r="H48" s="39">
        <f>資料儲存!J3636</f>
        <v>0</v>
      </c>
      <c r="I48" s="58"/>
      <c r="J48" s="62">
        <v>35</v>
      </c>
      <c r="K48" s="39">
        <f>資料儲存!D3696</f>
        <v>0</v>
      </c>
      <c r="L48" s="39">
        <f>資料儲存!E3696</f>
        <v>0</v>
      </c>
      <c r="M48" s="39">
        <f>資料儲存!F3696</f>
        <v>0</v>
      </c>
      <c r="N48" s="39">
        <f>資料儲存!G3696</f>
        <v>0</v>
      </c>
      <c r="O48" s="39">
        <f>資料儲存!H3696</f>
        <v>0</v>
      </c>
      <c r="P48" s="39">
        <f>資料儲存!I3696</f>
        <v>0</v>
      </c>
      <c r="Q48" s="39">
        <f>資料儲存!J3696</f>
        <v>0</v>
      </c>
      <c r="R48" s="58"/>
      <c r="S48" s="62">
        <v>35</v>
      </c>
      <c r="T48" s="39">
        <f>資料儲存!D3756</f>
        <v>0</v>
      </c>
      <c r="U48" s="39">
        <f>資料儲存!E3756</f>
        <v>0</v>
      </c>
      <c r="V48" s="39">
        <f>資料儲存!F3756</f>
        <v>0</v>
      </c>
      <c r="W48" s="39">
        <f>資料儲存!G3756</f>
        <v>0</v>
      </c>
      <c r="X48" s="39">
        <f>資料儲存!H3756</f>
        <v>0</v>
      </c>
      <c r="Y48" s="39">
        <f>資料儲存!I3756</f>
        <v>0</v>
      </c>
      <c r="Z48" s="39">
        <f>資料儲存!J3756</f>
        <v>0</v>
      </c>
      <c r="AA48" s="58"/>
      <c r="AB48" s="62">
        <v>35</v>
      </c>
      <c r="AC48" s="39">
        <f>資料儲存!D3816</f>
        <v>0</v>
      </c>
      <c r="AD48" s="39">
        <f>資料儲存!E3816</f>
        <v>0</v>
      </c>
      <c r="AE48" s="39">
        <f>資料儲存!F3816</f>
        <v>0</v>
      </c>
      <c r="AF48" s="39">
        <f>資料儲存!G3816</f>
        <v>0</v>
      </c>
      <c r="AG48" s="39">
        <f>資料儲存!H3816</f>
        <v>0</v>
      </c>
      <c r="AH48" s="39">
        <f>資料儲存!I3816</f>
        <v>0</v>
      </c>
      <c r="AI48" s="39">
        <f>資料儲存!J3816</f>
        <v>0</v>
      </c>
      <c r="AJ48" s="58"/>
      <c r="AK48" s="62">
        <v>35</v>
      </c>
      <c r="AL48" s="39">
        <f>資料儲存!D3876</f>
        <v>0</v>
      </c>
      <c r="AM48" s="39">
        <f>資料儲存!E3876</f>
        <v>0</v>
      </c>
      <c r="AN48" s="39">
        <f>資料儲存!F3876</f>
        <v>0</v>
      </c>
      <c r="AO48" s="39">
        <f>資料儲存!G3876</f>
        <v>0</v>
      </c>
      <c r="AP48" s="39">
        <f>資料儲存!H3876</f>
        <v>0</v>
      </c>
      <c r="AQ48" s="39">
        <f>資料儲存!I3876</f>
        <v>0</v>
      </c>
      <c r="AR48" s="39">
        <f>資料儲存!J3876</f>
        <v>0</v>
      </c>
      <c r="AT48" s="62">
        <v>35</v>
      </c>
      <c r="AU48" s="39">
        <f>資料儲存!D3936</f>
        <v>0</v>
      </c>
      <c r="AV48" s="39">
        <f>資料儲存!E3936</f>
        <v>0</v>
      </c>
      <c r="AW48" s="39">
        <f>資料儲存!F3936</f>
        <v>0</v>
      </c>
      <c r="AX48" s="39">
        <f>資料儲存!G3936</f>
        <v>0</v>
      </c>
      <c r="AY48" s="39">
        <f>資料儲存!H3936</f>
        <v>0</v>
      </c>
      <c r="AZ48" s="39">
        <f>資料儲存!I3936</f>
        <v>0</v>
      </c>
      <c r="BA48" s="39">
        <f>資料儲存!J3936</f>
        <v>0</v>
      </c>
    </row>
    <row r="49" spans="1:53" s="59" customFormat="1" ht="16" thickBot="1">
      <c r="A49" s="62">
        <v>36</v>
      </c>
      <c r="B49" s="39">
        <f>資料儲存!D3637</f>
        <v>0</v>
      </c>
      <c r="C49" s="39">
        <f>資料儲存!E3637</f>
        <v>0</v>
      </c>
      <c r="D49" s="39">
        <f>資料儲存!F3637</f>
        <v>0</v>
      </c>
      <c r="E49" s="39">
        <f>資料儲存!G3637</f>
        <v>0</v>
      </c>
      <c r="F49" s="39">
        <f>資料儲存!H3637</f>
        <v>0</v>
      </c>
      <c r="G49" s="39">
        <f>資料儲存!I3637</f>
        <v>0</v>
      </c>
      <c r="H49" s="39">
        <f>資料儲存!J3637</f>
        <v>0</v>
      </c>
      <c r="I49" s="58"/>
      <c r="J49" s="62">
        <v>36</v>
      </c>
      <c r="K49" s="39">
        <f>資料儲存!D3697</f>
        <v>0</v>
      </c>
      <c r="L49" s="39">
        <f>資料儲存!E3697</f>
        <v>0</v>
      </c>
      <c r="M49" s="39">
        <f>資料儲存!F3697</f>
        <v>0</v>
      </c>
      <c r="N49" s="39">
        <f>資料儲存!G3697</f>
        <v>0</v>
      </c>
      <c r="O49" s="39">
        <f>資料儲存!H3697</f>
        <v>0</v>
      </c>
      <c r="P49" s="39">
        <f>資料儲存!I3697</f>
        <v>0</v>
      </c>
      <c r="Q49" s="39">
        <f>資料儲存!J3697</f>
        <v>0</v>
      </c>
      <c r="R49" s="58"/>
      <c r="S49" s="62">
        <v>36</v>
      </c>
      <c r="T49" s="39">
        <f>資料儲存!D3757</f>
        <v>0</v>
      </c>
      <c r="U49" s="39">
        <f>資料儲存!E3757</f>
        <v>0</v>
      </c>
      <c r="V49" s="39">
        <f>資料儲存!F3757</f>
        <v>0</v>
      </c>
      <c r="W49" s="39">
        <f>資料儲存!G3757</f>
        <v>0</v>
      </c>
      <c r="X49" s="39">
        <f>資料儲存!H3757</f>
        <v>0</v>
      </c>
      <c r="Y49" s="39">
        <f>資料儲存!I3757</f>
        <v>0</v>
      </c>
      <c r="Z49" s="39">
        <f>資料儲存!J3757</f>
        <v>0</v>
      </c>
      <c r="AA49" s="58"/>
      <c r="AB49" s="62">
        <v>36</v>
      </c>
      <c r="AC49" s="39">
        <f>資料儲存!D3817</f>
        <v>0</v>
      </c>
      <c r="AD49" s="39">
        <f>資料儲存!E3817</f>
        <v>0</v>
      </c>
      <c r="AE49" s="39">
        <f>資料儲存!F3817</f>
        <v>0</v>
      </c>
      <c r="AF49" s="39">
        <f>資料儲存!G3817</f>
        <v>0</v>
      </c>
      <c r="AG49" s="39">
        <f>資料儲存!H3817</f>
        <v>0</v>
      </c>
      <c r="AH49" s="39">
        <f>資料儲存!I3817</f>
        <v>0</v>
      </c>
      <c r="AI49" s="39">
        <f>資料儲存!J3817</f>
        <v>0</v>
      </c>
      <c r="AJ49" s="58"/>
      <c r="AK49" s="62">
        <v>36</v>
      </c>
      <c r="AL49" s="39">
        <f>資料儲存!D3877</f>
        <v>0</v>
      </c>
      <c r="AM49" s="39">
        <f>資料儲存!E3877</f>
        <v>0</v>
      </c>
      <c r="AN49" s="39">
        <f>資料儲存!F3877</f>
        <v>0</v>
      </c>
      <c r="AO49" s="39">
        <f>資料儲存!G3877</f>
        <v>0</v>
      </c>
      <c r="AP49" s="39">
        <f>資料儲存!H3877</f>
        <v>0</v>
      </c>
      <c r="AQ49" s="39">
        <f>資料儲存!I3877</f>
        <v>0</v>
      </c>
      <c r="AR49" s="39">
        <f>資料儲存!J3877</f>
        <v>0</v>
      </c>
      <c r="AT49" s="62">
        <v>36</v>
      </c>
      <c r="AU49" s="39">
        <f>資料儲存!D3937</f>
        <v>0</v>
      </c>
      <c r="AV49" s="39">
        <f>資料儲存!E3937</f>
        <v>0</v>
      </c>
      <c r="AW49" s="39">
        <f>資料儲存!F3937</f>
        <v>0</v>
      </c>
      <c r="AX49" s="39">
        <f>資料儲存!G3937</f>
        <v>0</v>
      </c>
      <c r="AY49" s="39">
        <f>資料儲存!H3937</f>
        <v>0</v>
      </c>
      <c r="AZ49" s="39">
        <f>資料儲存!I3937</f>
        <v>0</v>
      </c>
      <c r="BA49" s="39">
        <f>資料儲存!J3937</f>
        <v>0</v>
      </c>
    </row>
    <row r="50" spans="1:53" s="59" customFormat="1" ht="16" thickBot="1">
      <c r="A50" s="62">
        <v>37</v>
      </c>
      <c r="B50" s="39">
        <f>資料儲存!D3638</f>
        <v>0</v>
      </c>
      <c r="C50" s="39">
        <f>資料儲存!E3638</f>
        <v>0</v>
      </c>
      <c r="D50" s="39">
        <f>資料儲存!F3638</f>
        <v>0</v>
      </c>
      <c r="E50" s="39">
        <f>資料儲存!G3638</f>
        <v>0</v>
      </c>
      <c r="F50" s="39">
        <f>資料儲存!H3638</f>
        <v>0</v>
      </c>
      <c r="G50" s="39">
        <f>資料儲存!I3638</f>
        <v>0</v>
      </c>
      <c r="H50" s="39">
        <f>資料儲存!J3638</f>
        <v>0</v>
      </c>
      <c r="I50" s="58"/>
      <c r="J50" s="62">
        <v>37</v>
      </c>
      <c r="K50" s="39">
        <f>資料儲存!D3698</f>
        <v>0</v>
      </c>
      <c r="L50" s="39">
        <f>資料儲存!E3698</f>
        <v>0</v>
      </c>
      <c r="M50" s="39">
        <f>資料儲存!F3698</f>
        <v>0</v>
      </c>
      <c r="N50" s="39">
        <f>資料儲存!G3698</f>
        <v>0</v>
      </c>
      <c r="O50" s="39">
        <f>資料儲存!H3698</f>
        <v>0</v>
      </c>
      <c r="P50" s="39">
        <f>資料儲存!I3698</f>
        <v>0</v>
      </c>
      <c r="Q50" s="39">
        <f>資料儲存!J3698</f>
        <v>0</v>
      </c>
      <c r="R50" s="58"/>
      <c r="S50" s="62">
        <v>37</v>
      </c>
      <c r="T50" s="39">
        <f>資料儲存!D3758</f>
        <v>0</v>
      </c>
      <c r="U50" s="39">
        <f>資料儲存!E3758</f>
        <v>0</v>
      </c>
      <c r="V50" s="39">
        <f>資料儲存!F3758</f>
        <v>0</v>
      </c>
      <c r="W50" s="39">
        <f>資料儲存!G3758</f>
        <v>0</v>
      </c>
      <c r="X50" s="39">
        <f>資料儲存!H3758</f>
        <v>0</v>
      </c>
      <c r="Y50" s="39">
        <f>資料儲存!I3758</f>
        <v>0</v>
      </c>
      <c r="Z50" s="39">
        <f>資料儲存!J3758</f>
        <v>0</v>
      </c>
      <c r="AA50" s="58"/>
      <c r="AB50" s="62">
        <v>37</v>
      </c>
      <c r="AC50" s="39">
        <f>資料儲存!D3818</f>
        <v>0</v>
      </c>
      <c r="AD50" s="39">
        <f>資料儲存!E3818</f>
        <v>0</v>
      </c>
      <c r="AE50" s="39">
        <f>資料儲存!F3818</f>
        <v>0</v>
      </c>
      <c r="AF50" s="39">
        <f>資料儲存!G3818</f>
        <v>0</v>
      </c>
      <c r="AG50" s="39">
        <f>資料儲存!H3818</f>
        <v>0</v>
      </c>
      <c r="AH50" s="39">
        <f>資料儲存!I3818</f>
        <v>0</v>
      </c>
      <c r="AI50" s="39">
        <f>資料儲存!J3818</f>
        <v>0</v>
      </c>
      <c r="AJ50" s="58"/>
      <c r="AK50" s="62">
        <v>37</v>
      </c>
      <c r="AL50" s="39">
        <f>資料儲存!D3878</f>
        <v>0</v>
      </c>
      <c r="AM50" s="39">
        <f>資料儲存!E3878</f>
        <v>0</v>
      </c>
      <c r="AN50" s="39">
        <f>資料儲存!F3878</f>
        <v>0</v>
      </c>
      <c r="AO50" s="39">
        <f>資料儲存!G3878</f>
        <v>0</v>
      </c>
      <c r="AP50" s="39">
        <f>資料儲存!H3878</f>
        <v>0</v>
      </c>
      <c r="AQ50" s="39">
        <f>資料儲存!I3878</f>
        <v>0</v>
      </c>
      <c r="AR50" s="39">
        <f>資料儲存!J3878</f>
        <v>0</v>
      </c>
      <c r="AT50" s="62">
        <v>37</v>
      </c>
      <c r="AU50" s="39">
        <f>資料儲存!D3938</f>
        <v>0</v>
      </c>
      <c r="AV50" s="39">
        <f>資料儲存!E3938</f>
        <v>0</v>
      </c>
      <c r="AW50" s="39">
        <f>資料儲存!F3938</f>
        <v>0</v>
      </c>
      <c r="AX50" s="39">
        <f>資料儲存!G3938</f>
        <v>0</v>
      </c>
      <c r="AY50" s="39">
        <f>資料儲存!H3938</f>
        <v>0</v>
      </c>
      <c r="AZ50" s="39">
        <f>資料儲存!I3938</f>
        <v>0</v>
      </c>
      <c r="BA50" s="39">
        <f>資料儲存!J3938</f>
        <v>0</v>
      </c>
    </row>
    <row r="51" spans="1:53" s="59" customFormat="1" ht="16" thickBot="1">
      <c r="A51" s="62">
        <v>38</v>
      </c>
      <c r="B51" s="39">
        <f>資料儲存!D3639</f>
        <v>0</v>
      </c>
      <c r="C51" s="39">
        <f>資料儲存!E3639</f>
        <v>0</v>
      </c>
      <c r="D51" s="39">
        <f>資料儲存!F3639</f>
        <v>0</v>
      </c>
      <c r="E51" s="39">
        <f>資料儲存!G3639</f>
        <v>0</v>
      </c>
      <c r="F51" s="39">
        <f>資料儲存!H3639</f>
        <v>0</v>
      </c>
      <c r="G51" s="39">
        <f>資料儲存!I3639</f>
        <v>0</v>
      </c>
      <c r="H51" s="39">
        <f>資料儲存!J3639</f>
        <v>0</v>
      </c>
      <c r="I51" s="58"/>
      <c r="J51" s="62">
        <v>38</v>
      </c>
      <c r="K51" s="39">
        <f>資料儲存!D3699</f>
        <v>0</v>
      </c>
      <c r="L51" s="39">
        <f>資料儲存!E3699</f>
        <v>0</v>
      </c>
      <c r="M51" s="39">
        <f>資料儲存!F3699</f>
        <v>0</v>
      </c>
      <c r="N51" s="39">
        <f>資料儲存!G3699</f>
        <v>0</v>
      </c>
      <c r="O51" s="39">
        <f>資料儲存!H3699</f>
        <v>0</v>
      </c>
      <c r="P51" s="39">
        <f>資料儲存!I3699</f>
        <v>0</v>
      </c>
      <c r="Q51" s="39">
        <f>資料儲存!J3699</f>
        <v>0</v>
      </c>
      <c r="R51" s="58"/>
      <c r="S51" s="62">
        <v>38</v>
      </c>
      <c r="T51" s="39">
        <f>資料儲存!D3759</f>
        <v>0</v>
      </c>
      <c r="U51" s="39">
        <f>資料儲存!E3759</f>
        <v>0</v>
      </c>
      <c r="V51" s="39">
        <f>資料儲存!F3759</f>
        <v>0</v>
      </c>
      <c r="W51" s="39">
        <f>資料儲存!G3759</f>
        <v>0</v>
      </c>
      <c r="X51" s="39">
        <f>資料儲存!H3759</f>
        <v>0</v>
      </c>
      <c r="Y51" s="39">
        <f>資料儲存!I3759</f>
        <v>0</v>
      </c>
      <c r="Z51" s="39">
        <f>資料儲存!J3759</f>
        <v>0</v>
      </c>
      <c r="AA51" s="58"/>
      <c r="AB51" s="62">
        <v>38</v>
      </c>
      <c r="AC51" s="39">
        <f>資料儲存!D3819</f>
        <v>0</v>
      </c>
      <c r="AD51" s="39">
        <f>資料儲存!E3819</f>
        <v>0</v>
      </c>
      <c r="AE51" s="39">
        <f>資料儲存!F3819</f>
        <v>0</v>
      </c>
      <c r="AF51" s="39">
        <f>資料儲存!G3819</f>
        <v>0</v>
      </c>
      <c r="AG51" s="39">
        <f>資料儲存!H3819</f>
        <v>0</v>
      </c>
      <c r="AH51" s="39">
        <f>資料儲存!I3819</f>
        <v>0</v>
      </c>
      <c r="AI51" s="39">
        <f>資料儲存!J3819</f>
        <v>0</v>
      </c>
      <c r="AJ51" s="58"/>
      <c r="AK51" s="62">
        <v>38</v>
      </c>
      <c r="AL51" s="39">
        <f>資料儲存!D3879</f>
        <v>0</v>
      </c>
      <c r="AM51" s="39">
        <f>資料儲存!E3879</f>
        <v>0</v>
      </c>
      <c r="AN51" s="39">
        <f>資料儲存!F3879</f>
        <v>0</v>
      </c>
      <c r="AO51" s="39">
        <f>資料儲存!G3879</f>
        <v>0</v>
      </c>
      <c r="AP51" s="39">
        <f>資料儲存!H3879</f>
        <v>0</v>
      </c>
      <c r="AQ51" s="39">
        <f>資料儲存!I3879</f>
        <v>0</v>
      </c>
      <c r="AR51" s="39">
        <f>資料儲存!J3879</f>
        <v>0</v>
      </c>
      <c r="AT51" s="62">
        <v>38</v>
      </c>
      <c r="AU51" s="39">
        <f>資料儲存!D3939</f>
        <v>0</v>
      </c>
      <c r="AV51" s="39">
        <f>資料儲存!E3939</f>
        <v>0</v>
      </c>
      <c r="AW51" s="39">
        <f>資料儲存!F3939</f>
        <v>0</v>
      </c>
      <c r="AX51" s="39">
        <f>資料儲存!G3939</f>
        <v>0</v>
      </c>
      <c r="AY51" s="39">
        <f>資料儲存!H3939</f>
        <v>0</v>
      </c>
      <c r="AZ51" s="39">
        <f>資料儲存!I3939</f>
        <v>0</v>
      </c>
      <c r="BA51" s="39">
        <f>資料儲存!J3939</f>
        <v>0</v>
      </c>
    </row>
    <row r="52" spans="1:53" s="59" customFormat="1" ht="16" thickBot="1">
      <c r="A52" s="62">
        <v>39</v>
      </c>
      <c r="B52" s="39">
        <f>資料儲存!D3640</f>
        <v>0</v>
      </c>
      <c r="C52" s="39">
        <f>資料儲存!E3640</f>
        <v>0</v>
      </c>
      <c r="D52" s="39">
        <f>資料儲存!F3640</f>
        <v>0</v>
      </c>
      <c r="E52" s="39">
        <f>資料儲存!G3640</f>
        <v>0</v>
      </c>
      <c r="F52" s="39">
        <f>資料儲存!H3640</f>
        <v>0</v>
      </c>
      <c r="G52" s="39">
        <f>資料儲存!I3640</f>
        <v>0</v>
      </c>
      <c r="H52" s="39">
        <f>資料儲存!J3640</f>
        <v>0</v>
      </c>
      <c r="I52" s="58"/>
      <c r="J52" s="62">
        <v>39</v>
      </c>
      <c r="K52" s="39">
        <f>資料儲存!D3700</f>
        <v>0</v>
      </c>
      <c r="L52" s="39">
        <f>資料儲存!E3700</f>
        <v>0</v>
      </c>
      <c r="M52" s="39">
        <f>資料儲存!F3700</f>
        <v>0</v>
      </c>
      <c r="N52" s="39">
        <f>資料儲存!G3700</f>
        <v>0</v>
      </c>
      <c r="O52" s="39">
        <f>資料儲存!H3700</f>
        <v>0</v>
      </c>
      <c r="P52" s="39">
        <f>資料儲存!I3700</f>
        <v>0</v>
      </c>
      <c r="Q52" s="39">
        <f>資料儲存!J3700</f>
        <v>0</v>
      </c>
      <c r="R52" s="58"/>
      <c r="S52" s="62">
        <v>39</v>
      </c>
      <c r="T52" s="39">
        <f>資料儲存!D3760</f>
        <v>0</v>
      </c>
      <c r="U52" s="39">
        <f>資料儲存!E3760</f>
        <v>0</v>
      </c>
      <c r="V52" s="39">
        <f>資料儲存!F3760</f>
        <v>0</v>
      </c>
      <c r="W52" s="39">
        <f>資料儲存!G3760</f>
        <v>0</v>
      </c>
      <c r="X52" s="39">
        <f>資料儲存!H3760</f>
        <v>0</v>
      </c>
      <c r="Y52" s="39">
        <f>資料儲存!I3760</f>
        <v>0</v>
      </c>
      <c r="Z52" s="39">
        <f>資料儲存!J3760</f>
        <v>0</v>
      </c>
      <c r="AA52" s="58"/>
      <c r="AB52" s="62">
        <v>39</v>
      </c>
      <c r="AC52" s="39">
        <f>資料儲存!D3820</f>
        <v>0</v>
      </c>
      <c r="AD52" s="39">
        <f>資料儲存!E3820</f>
        <v>0</v>
      </c>
      <c r="AE52" s="39">
        <f>資料儲存!F3820</f>
        <v>0</v>
      </c>
      <c r="AF52" s="39">
        <f>資料儲存!G3820</f>
        <v>0</v>
      </c>
      <c r="AG52" s="39">
        <f>資料儲存!H3820</f>
        <v>0</v>
      </c>
      <c r="AH52" s="39">
        <f>資料儲存!I3820</f>
        <v>0</v>
      </c>
      <c r="AI52" s="39">
        <f>資料儲存!J3820</f>
        <v>0</v>
      </c>
      <c r="AJ52" s="58"/>
      <c r="AK52" s="62">
        <v>39</v>
      </c>
      <c r="AL52" s="39">
        <f>資料儲存!D3880</f>
        <v>0</v>
      </c>
      <c r="AM52" s="39">
        <f>資料儲存!E3880</f>
        <v>0</v>
      </c>
      <c r="AN52" s="39">
        <f>資料儲存!F3880</f>
        <v>0</v>
      </c>
      <c r="AO52" s="39">
        <f>資料儲存!G3880</f>
        <v>0</v>
      </c>
      <c r="AP52" s="39">
        <f>資料儲存!H3880</f>
        <v>0</v>
      </c>
      <c r="AQ52" s="39">
        <f>資料儲存!I3880</f>
        <v>0</v>
      </c>
      <c r="AR52" s="39">
        <f>資料儲存!J3880</f>
        <v>0</v>
      </c>
      <c r="AT52" s="62">
        <v>39</v>
      </c>
      <c r="AU52" s="39">
        <f>資料儲存!D3940</f>
        <v>0</v>
      </c>
      <c r="AV52" s="39">
        <f>資料儲存!E3940</f>
        <v>0</v>
      </c>
      <c r="AW52" s="39">
        <f>資料儲存!F3940</f>
        <v>0</v>
      </c>
      <c r="AX52" s="39">
        <f>資料儲存!G3940</f>
        <v>0</v>
      </c>
      <c r="AY52" s="39">
        <f>資料儲存!H3940</f>
        <v>0</v>
      </c>
      <c r="AZ52" s="39">
        <f>資料儲存!I3940</f>
        <v>0</v>
      </c>
      <c r="BA52" s="39">
        <f>資料儲存!J3940</f>
        <v>0</v>
      </c>
    </row>
    <row r="53" spans="1:53" s="59" customFormat="1" ht="16" thickBot="1">
      <c r="A53" s="62">
        <v>40</v>
      </c>
      <c r="B53" s="39">
        <f>資料儲存!D3641</f>
        <v>0</v>
      </c>
      <c r="C53" s="39">
        <f>資料儲存!E3641</f>
        <v>0</v>
      </c>
      <c r="D53" s="39">
        <f>資料儲存!F3641</f>
        <v>0</v>
      </c>
      <c r="E53" s="39">
        <f>資料儲存!G3641</f>
        <v>0</v>
      </c>
      <c r="F53" s="39">
        <f>資料儲存!H3641</f>
        <v>0</v>
      </c>
      <c r="G53" s="39">
        <f>資料儲存!I3641</f>
        <v>0</v>
      </c>
      <c r="H53" s="39">
        <f>資料儲存!J3641</f>
        <v>0</v>
      </c>
      <c r="I53" s="58"/>
      <c r="J53" s="62">
        <v>40</v>
      </c>
      <c r="K53" s="39">
        <f>資料儲存!D3701</f>
        <v>0</v>
      </c>
      <c r="L53" s="39">
        <f>資料儲存!E3701</f>
        <v>0</v>
      </c>
      <c r="M53" s="39">
        <f>資料儲存!F3701</f>
        <v>0</v>
      </c>
      <c r="N53" s="39">
        <f>資料儲存!G3701</f>
        <v>0</v>
      </c>
      <c r="O53" s="39">
        <f>資料儲存!H3701</f>
        <v>0</v>
      </c>
      <c r="P53" s="39">
        <f>資料儲存!I3701</f>
        <v>0</v>
      </c>
      <c r="Q53" s="39">
        <f>資料儲存!J3701</f>
        <v>0</v>
      </c>
      <c r="R53" s="58"/>
      <c r="S53" s="62">
        <v>40</v>
      </c>
      <c r="T53" s="39">
        <f>資料儲存!D3761</f>
        <v>0</v>
      </c>
      <c r="U53" s="39">
        <f>資料儲存!E3761</f>
        <v>0</v>
      </c>
      <c r="V53" s="39">
        <f>資料儲存!F3761</f>
        <v>0</v>
      </c>
      <c r="W53" s="39">
        <f>資料儲存!G3761</f>
        <v>0</v>
      </c>
      <c r="X53" s="39">
        <f>資料儲存!H3761</f>
        <v>0</v>
      </c>
      <c r="Y53" s="39">
        <f>資料儲存!I3761</f>
        <v>0</v>
      </c>
      <c r="Z53" s="39">
        <f>資料儲存!J3761</f>
        <v>0</v>
      </c>
      <c r="AA53" s="58"/>
      <c r="AB53" s="62">
        <v>40</v>
      </c>
      <c r="AC53" s="39">
        <f>資料儲存!D3821</f>
        <v>0</v>
      </c>
      <c r="AD53" s="39">
        <f>資料儲存!E3821</f>
        <v>0</v>
      </c>
      <c r="AE53" s="39">
        <f>資料儲存!F3821</f>
        <v>0</v>
      </c>
      <c r="AF53" s="39">
        <f>資料儲存!G3821</f>
        <v>0</v>
      </c>
      <c r="AG53" s="39">
        <f>資料儲存!H3821</f>
        <v>0</v>
      </c>
      <c r="AH53" s="39">
        <f>資料儲存!I3821</f>
        <v>0</v>
      </c>
      <c r="AI53" s="39">
        <f>資料儲存!J3821</f>
        <v>0</v>
      </c>
      <c r="AJ53" s="58"/>
      <c r="AK53" s="62">
        <v>40</v>
      </c>
      <c r="AL53" s="39">
        <f>資料儲存!D3881</f>
        <v>0</v>
      </c>
      <c r="AM53" s="39">
        <f>資料儲存!E3881</f>
        <v>0</v>
      </c>
      <c r="AN53" s="39">
        <f>資料儲存!F3881</f>
        <v>0</v>
      </c>
      <c r="AO53" s="39">
        <f>資料儲存!G3881</f>
        <v>0</v>
      </c>
      <c r="AP53" s="39">
        <f>資料儲存!H3881</f>
        <v>0</v>
      </c>
      <c r="AQ53" s="39">
        <f>資料儲存!I3881</f>
        <v>0</v>
      </c>
      <c r="AR53" s="39">
        <f>資料儲存!J3881</f>
        <v>0</v>
      </c>
      <c r="AT53" s="62">
        <v>40</v>
      </c>
      <c r="AU53" s="39">
        <f>資料儲存!D3941</f>
        <v>0</v>
      </c>
      <c r="AV53" s="39">
        <f>資料儲存!E3941</f>
        <v>0</v>
      </c>
      <c r="AW53" s="39">
        <f>資料儲存!F3941</f>
        <v>0</v>
      </c>
      <c r="AX53" s="39">
        <f>資料儲存!G3941</f>
        <v>0</v>
      </c>
      <c r="AY53" s="39">
        <f>資料儲存!H3941</f>
        <v>0</v>
      </c>
      <c r="AZ53" s="39">
        <f>資料儲存!I3941</f>
        <v>0</v>
      </c>
      <c r="BA53" s="39">
        <f>資料儲存!J3941</f>
        <v>0</v>
      </c>
    </row>
    <row r="54" spans="1:53" s="59" customFormat="1" ht="16" thickBot="1">
      <c r="A54" s="62">
        <v>41</v>
      </c>
      <c r="B54" s="39">
        <f>資料儲存!D3642</f>
        <v>0</v>
      </c>
      <c r="C54" s="39">
        <f>資料儲存!E3642</f>
        <v>0</v>
      </c>
      <c r="D54" s="39">
        <f>資料儲存!F3642</f>
        <v>0</v>
      </c>
      <c r="E54" s="39">
        <f>資料儲存!G3642</f>
        <v>0</v>
      </c>
      <c r="F54" s="39">
        <f>資料儲存!H3642</f>
        <v>0</v>
      </c>
      <c r="G54" s="39">
        <f>資料儲存!I3642</f>
        <v>0</v>
      </c>
      <c r="H54" s="39">
        <f>資料儲存!J3642</f>
        <v>0</v>
      </c>
      <c r="I54" s="58"/>
      <c r="J54" s="62">
        <v>41</v>
      </c>
      <c r="K54" s="39">
        <f>資料儲存!D3702</f>
        <v>0</v>
      </c>
      <c r="L54" s="39">
        <f>資料儲存!E3702</f>
        <v>0</v>
      </c>
      <c r="M54" s="39">
        <f>資料儲存!F3702</f>
        <v>0</v>
      </c>
      <c r="N54" s="39">
        <f>資料儲存!G3702</f>
        <v>0</v>
      </c>
      <c r="O54" s="39">
        <f>資料儲存!H3702</f>
        <v>0</v>
      </c>
      <c r="P54" s="39">
        <f>資料儲存!I3702</f>
        <v>0</v>
      </c>
      <c r="Q54" s="39">
        <f>資料儲存!J3702</f>
        <v>0</v>
      </c>
      <c r="R54" s="58"/>
      <c r="S54" s="62">
        <v>41</v>
      </c>
      <c r="T54" s="39">
        <f>資料儲存!D3762</f>
        <v>0</v>
      </c>
      <c r="U54" s="39">
        <f>資料儲存!E3762</f>
        <v>0</v>
      </c>
      <c r="V54" s="39">
        <f>資料儲存!F3762</f>
        <v>0</v>
      </c>
      <c r="W54" s="39">
        <f>資料儲存!G3762</f>
        <v>0</v>
      </c>
      <c r="X54" s="39">
        <f>資料儲存!H3762</f>
        <v>0</v>
      </c>
      <c r="Y54" s="39">
        <f>資料儲存!I3762</f>
        <v>0</v>
      </c>
      <c r="Z54" s="39">
        <f>資料儲存!J3762</f>
        <v>0</v>
      </c>
      <c r="AA54" s="58"/>
      <c r="AB54" s="62">
        <v>41</v>
      </c>
      <c r="AC54" s="39">
        <f>資料儲存!D3822</f>
        <v>0</v>
      </c>
      <c r="AD54" s="39">
        <f>資料儲存!E3822</f>
        <v>0</v>
      </c>
      <c r="AE54" s="39">
        <f>資料儲存!F3822</f>
        <v>0</v>
      </c>
      <c r="AF54" s="39">
        <f>資料儲存!G3822</f>
        <v>0</v>
      </c>
      <c r="AG54" s="39">
        <f>資料儲存!H3822</f>
        <v>0</v>
      </c>
      <c r="AH54" s="39">
        <f>資料儲存!I3822</f>
        <v>0</v>
      </c>
      <c r="AI54" s="39">
        <f>資料儲存!J3822</f>
        <v>0</v>
      </c>
      <c r="AJ54" s="58"/>
      <c r="AK54" s="62">
        <v>41</v>
      </c>
      <c r="AL54" s="39">
        <f>資料儲存!D3882</f>
        <v>0</v>
      </c>
      <c r="AM54" s="39">
        <f>資料儲存!E3882</f>
        <v>0</v>
      </c>
      <c r="AN54" s="39">
        <f>資料儲存!F3882</f>
        <v>0</v>
      </c>
      <c r="AO54" s="39">
        <f>資料儲存!G3882</f>
        <v>0</v>
      </c>
      <c r="AP54" s="39">
        <f>資料儲存!H3882</f>
        <v>0</v>
      </c>
      <c r="AQ54" s="39">
        <f>資料儲存!I3882</f>
        <v>0</v>
      </c>
      <c r="AR54" s="39">
        <f>資料儲存!J3882</f>
        <v>0</v>
      </c>
      <c r="AT54" s="62">
        <v>41</v>
      </c>
      <c r="AU54" s="39">
        <f>資料儲存!D3942</f>
        <v>0</v>
      </c>
      <c r="AV54" s="39">
        <f>資料儲存!E3942</f>
        <v>0</v>
      </c>
      <c r="AW54" s="39">
        <f>資料儲存!F3942</f>
        <v>0</v>
      </c>
      <c r="AX54" s="39">
        <f>資料儲存!G3942</f>
        <v>0</v>
      </c>
      <c r="AY54" s="39">
        <f>資料儲存!H3942</f>
        <v>0</v>
      </c>
      <c r="AZ54" s="39">
        <f>資料儲存!I3942</f>
        <v>0</v>
      </c>
      <c r="BA54" s="39">
        <f>資料儲存!J3942</f>
        <v>0</v>
      </c>
    </row>
    <row r="55" spans="1:53" s="59" customFormat="1" ht="16" thickBot="1">
      <c r="A55" s="62">
        <v>42</v>
      </c>
      <c r="B55" s="39">
        <f>資料儲存!D3643</f>
        <v>0</v>
      </c>
      <c r="C55" s="39">
        <f>資料儲存!E3643</f>
        <v>0</v>
      </c>
      <c r="D55" s="39">
        <f>資料儲存!F3643</f>
        <v>0</v>
      </c>
      <c r="E55" s="39">
        <f>資料儲存!G3643</f>
        <v>0</v>
      </c>
      <c r="F55" s="39">
        <f>資料儲存!H3643</f>
        <v>0</v>
      </c>
      <c r="G55" s="39">
        <f>資料儲存!I3643</f>
        <v>0</v>
      </c>
      <c r="H55" s="39">
        <f>資料儲存!J3643</f>
        <v>0</v>
      </c>
      <c r="I55" s="58"/>
      <c r="J55" s="62">
        <v>42</v>
      </c>
      <c r="K55" s="39">
        <f>資料儲存!D3703</f>
        <v>0</v>
      </c>
      <c r="L55" s="39">
        <f>資料儲存!E3703</f>
        <v>0</v>
      </c>
      <c r="M55" s="39">
        <f>資料儲存!F3703</f>
        <v>0</v>
      </c>
      <c r="N55" s="39">
        <f>資料儲存!G3703</f>
        <v>0</v>
      </c>
      <c r="O55" s="39">
        <f>資料儲存!H3703</f>
        <v>0</v>
      </c>
      <c r="P55" s="39">
        <f>資料儲存!I3703</f>
        <v>0</v>
      </c>
      <c r="Q55" s="39">
        <f>資料儲存!J3703</f>
        <v>0</v>
      </c>
      <c r="R55" s="58"/>
      <c r="S55" s="62">
        <v>42</v>
      </c>
      <c r="T55" s="39">
        <f>資料儲存!D3763</f>
        <v>0</v>
      </c>
      <c r="U55" s="39">
        <f>資料儲存!E3763</f>
        <v>0</v>
      </c>
      <c r="V55" s="39">
        <f>資料儲存!F3763</f>
        <v>0</v>
      </c>
      <c r="W55" s="39">
        <f>資料儲存!G3763</f>
        <v>0</v>
      </c>
      <c r="X55" s="39">
        <f>資料儲存!H3763</f>
        <v>0</v>
      </c>
      <c r="Y55" s="39">
        <f>資料儲存!I3763</f>
        <v>0</v>
      </c>
      <c r="Z55" s="39">
        <f>資料儲存!J3763</f>
        <v>0</v>
      </c>
      <c r="AA55" s="58"/>
      <c r="AB55" s="62">
        <v>42</v>
      </c>
      <c r="AC55" s="39">
        <f>資料儲存!D3823</f>
        <v>0</v>
      </c>
      <c r="AD55" s="39">
        <f>資料儲存!E3823</f>
        <v>0</v>
      </c>
      <c r="AE55" s="39">
        <f>資料儲存!F3823</f>
        <v>0</v>
      </c>
      <c r="AF55" s="39">
        <f>資料儲存!G3823</f>
        <v>0</v>
      </c>
      <c r="AG55" s="39">
        <f>資料儲存!H3823</f>
        <v>0</v>
      </c>
      <c r="AH55" s="39">
        <f>資料儲存!I3823</f>
        <v>0</v>
      </c>
      <c r="AI55" s="39">
        <f>資料儲存!J3823</f>
        <v>0</v>
      </c>
      <c r="AJ55" s="58"/>
      <c r="AK55" s="62">
        <v>42</v>
      </c>
      <c r="AL55" s="39">
        <f>資料儲存!D3883</f>
        <v>0</v>
      </c>
      <c r="AM55" s="39">
        <f>資料儲存!E3883</f>
        <v>0</v>
      </c>
      <c r="AN55" s="39">
        <f>資料儲存!F3883</f>
        <v>0</v>
      </c>
      <c r="AO55" s="39">
        <f>資料儲存!G3883</f>
        <v>0</v>
      </c>
      <c r="AP55" s="39">
        <f>資料儲存!H3883</f>
        <v>0</v>
      </c>
      <c r="AQ55" s="39">
        <f>資料儲存!I3883</f>
        <v>0</v>
      </c>
      <c r="AR55" s="39">
        <f>資料儲存!J3883</f>
        <v>0</v>
      </c>
      <c r="AT55" s="62">
        <v>42</v>
      </c>
      <c r="AU55" s="39">
        <f>資料儲存!D3943</f>
        <v>0</v>
      </c>
      <c r="AV55" s="39">
        <f>資料儲存!E3943</f>
        <v>0</v>
      </c>
      <c r="AW55" s="39">
        <f>資料儲存!F3943</f>
        <v>0</v>
      </c>
      <c r="AX55" s="39">
        <f>資料儲存!G3943</f>
        <v>0</v>
      </c>
      <c r="AY55" s="39">
        <f>資料儲存!H3943</f>
        <v>0</v>
      </c>
      <c r="AZ55" s="39">
        <f>資料儲存!I3943</f>
        <v>0</v>
      </c>
      <c r="BA55" s="39">
        <f>資料儲存!J3943</f>
        <v>0</v>
      </c>
    </row>
    <row r="56" spans="1:53" s="59" customFormat="1" ht="16" thickBot="1">
      <c r="A56" s="62">
        <v>43</v>
      </c>
      <c r="B56" s="39">
        <f>資料儲存!D3644</f>
        <v>0</v>
      </c>
      <c r="C56" s="39">
        <f>資料儲存!E3644</f>
        <v>0</v>
      </c>
      <c r="D56" s="39">
        <f>資料儲存!F3644</f>
        <v>0</v>
      </c>
      <c r="E56" s="39">
        <f>資料儲存!G3644</f>
        <v>0</v>
      </c>
      <c r="F56" s="39">
        <f>資料儲存!H3644</f>
        <v>0</v>
      </c>
      <c r="G56" s="39">
        <f>資料儲存!I3644</f>
        <v>0</v>
      </c>
      <c r="H56" s="39">
        <f>資料儲存!J3644</f>
        <v>0</v>
      </c>
      <c r="I56" s="58"/>
      <c r="J56" s="62">
        <v>43</v>
      </c>
      <c r="K56" s="39">
        <f>資料儲存!D3704</f>
        <v>0</v>
      </c>
      <c r="L56" s="39">
        <f>資料儲存!E3704</f>
        <v>0</v>
      </c>
      <c r="M56" s="39">
        <f>資料儲存!F3704</f>
        <v>0</v>
      </c>
      <c r="N56" s="39">
        <f>資料儲存!G3704</f>
        <v>0</v>
      </c>
      <c r="O56" s="39">
        <f>資料儲存!H3704</f>
        <v>0</v>
      </c>
      <c r="P56" s="39">
        <f>資料儲存!I3704</f>
        <v>0</v>
      </c>
      <c r="Q56" s="39">
        <f>資料儲存!J3704</f>
        <v>0</v>
      </c>
      <c r="R56" s="58"/>
      <c r="S56" s="62">
        <v>43</v>
      </c>
      <c r="T56" s="39">
        <f>資料儲存!D3764</f>
        <v>0</v>
      </c>
      <c r="U56" s="39">
        <f>資料儲存!E3764</f>
        <v>0</v>
      </c>
      <c r="V56" s="39">
        <f>資料儲存!F3764</f>
        <v>0</v>
      </c>
      <c r="W56" s="39">
        <f>資料儲存!G3764</f>
        <v>0</v>
      </c>
      <c r="X56" s="39">
        <f>資料儲存!H3764</f>
        <v>0</v>
      </c>
      <c r="Y56" s="39">
        <f>資料儲存!I3764</f>
        <v>0</v>
      </c>
      <c r="Z56" s="39">
        <f>資料儲存!J3764</f>
        <v>0</v>
      </c>
      <c r="AA56" s="58"/>
      <c r="AB56" s="62">
        <v>43</v>
      </c>
      <c r="AC56" s="39">
        <f>資料儲存!D3824</f>
        <v>0</v>
      </c>
      <c r="AD56" s="39">
        <f>資料儲存!E3824</f>
        <v>0</v>
      </c>
      <c r="AE56" s="39">
        <f>資料儲存!F3824</f>
        <v>0</v>
      </c>
      <c r="AF56" s="39">
        <f>資料儲存!G3824</f>
        <v>0</v>
      </c>
      <c r="AG56" s="39">
        <f>資料儲存!H3824</f>
        <v>0</v>
      </c>
      <c r="AH56" s="39">
        <f>資料儲存!I3824</f>
        <v>0</v>
      </c>
      <c r="AI56" s="39">
        <f>資料儲存!J3824</f>
        <v>0</v>
      </c>
      <c r="AJ56" s="58"/>
      <c r="AK56" s="62">
        <v>43</v>
      </c>
      <c r="AL56" s="39">
        <f>資料儲存!D3884</f>
        <v>0</v>
      </c>
      <c r="AM56" s="39">
        <f>資料儲存!E3884</f>
        <v>0</v>
      </c>
      <c r="AN56" s="39">
        <f>資料儲存!F3884</f>
        <v>0</v>
      </c>
      <c r="AO56" s="39">
        <f>資料儲存!G3884</f>
        <v>0</v>
      </c>
      <c r="AP56" s="39">
        <f>資料儲存!H3884</f>
        <v>0</v>
      </c>
      <c r="AQ56" s="39">
        <f>資料儲存!I3884</f>
        <v>0</v>
      </c>
      <c r="AR56" s="39">
        <f>資料儲存!J3884</f>
        <v>0</v>
      </c>
      <c r="AT56" s="62">
        <v>43</v>
      </c>
      <c r="AU56" s="39">
        <f>資料儲存!D3944</f>
        <v>0</v>
      </c>
      <c r="AV56" s="39">
        <f>資料儲存!E3944</f>
        <v>0</v>
      </c>
      <c r="AW56" s="39">
        <f>資料儲存!F3944</f>
        <v>0</v>
      </c>
      <c r="AX56" s="39">
        <f>資料儲存!G3944</f>
        <v>0</v>
      </c>
      <c r="AY56" s="39">
        <f>資料儲存!H3944</f>
        <v>0</v>
      </c>
      <c r="AZ56" s="39">
        <f>資料儲存!I3944</f>
        <v>0</v>
      </c>
      <c r="BA56" s="39">
        <f>資料儲存!J3944</f>
        <v>0</v>
      </c>
    </row>
    <row r="57" spans="1:53" s="59" customFormat="1" ht="16" thickBot="1">
      <c r="A57" s="62">
        <v>44</v>
      </c>
      <c r="B57" s="39">
        <f>資料儲存!D3645</f>
        <v>0</v>
      </c>
      <c r="C57" s="39">
        <f>資料儲存!E3645</f>
        <v>0</v>
      </c>
      <c r="D57" s="39">
        <f>資料儲存!F3645</f>
        <v>0</v>
      </c>
      <c r="E57" s="39">
        <f>資料儲存!G3645</f>
        <v>0</v>
      </c>
      <c r="F57" s="39">
        <f>資料儲存!H3645</f>
        <v>0</v>
      </c>
      <c r="G57" s="39">
        <f>資料儲存!I3645</f>
        <v>0</v>
      </c>
      <c r="H57" s="39">
        <f>資料儲存!J3645</f>
        <v>0</v>
      </c>
      <c r="I57" s="58"/>
      <c r="J57" s="62">
        <v>44</v>
      </c>
      <c r="K57" s="39">
        <f>資料儲存!D3705</f>
        <v>0</v>
      </c>
      <c r="L57" s="39">
        <f>資料儲存!E3705</f>
        <v>0</v>
      </c>
      <c r="M57" s="39">
        <f>資料儲存!F3705</f>
        <v>0</v>
      </c>
      <c r="N57" s="39">
        <f>資料儲存!G3705</f>
        <v>0</v>
      </c>
      <c r="O57" s="39">
        <f>資料儲存!H3705</f>
        <v>0</v>
      </c>
      <c r="P57" s="39">
        <f>資料儲存!I3705</f>
        <v>0</v>
      </c>
      <c r="Q57" s="39">
        <f>資料儲存!J3705</f>
        <v>0</v>
      </c>
      <c r="R57" s="58"/>
      <c r="S57" s="62">
        <v>44</v>
      </c>
      <c r="T57" s="39">
        <f>資料儲存!D3765</f>
        <v>0</v>
      </c>
      <c r="U57" s="39">
        <f>資料儲存!E3765</f>
        <v>0</v>
      </c>
      <c r="V57" s="39">
        <f>資料儲存!F3765</f>
        <v>0</v>
      </c>
      <c r="W57" s="39">
        <f>資料儲存!G3765</f>
        <v>0</v>
      </c>
      <c r="X57" s="39">
        <f>資料儲存!H3765</f>
        <v>0</v>
      </c>
      <c r="Y57" s="39">
        <f>資料儲存!I3765</f>
        <v>0</v>
      </c>
      <c r="Z57" s="39">
        <f>資料儲存!J3765</f>
        <v>0</v>
      </c>
      <c r="AA57" s="58"/>
      <c r="AB57" s="62">
        <v>44</v>
      </c>
      <c r="AC57" s="39">
        <f>資料儲存!D3825</f>
        <v>0</v>
      </c>
      <c r="AD57" s="39">
        <f>資料儲存!E3825</f>
        <v>0</v>
      </c>
      <c r="AE57" s="39">
        <f>資料儲存!F3825</f>
        <v>0</v>
      </c>
      <c r="AF57" s="39">
        <f>資料儲存!G3825</f>
        <v>0</v>
      </c>
      <c r="AG57" s="39">
        <f>資料儲存!H3825</f>
        <v>0</v>
      </c>
      <c r="AH57" s="39">
        <f>資料儲存!I3825</f>
        <v>0</v>
      </c>
      <c r="AI57" s="39">
        <f>資料儲存!J3825</f>
        <v>0</v>
      </c>
      <c r="AJ57" s="58"/>
      <c r="AK57" s="62">
        <v>44</v>
      </c>
      <c r="AL57" s="39">
        <f>資料儲存!D3885</f>
        <v>0</v>
      </c>
      <c r="AM57" s="39">
        <f>資料儲存!E3885</f>
        <v>0</v>
      </c>
      <c r="AN57" s="39">
        <f>資料儲存!F3885</f>
        <v>0</v>
      </c>
      <c r="AO57" s="39">
        <f>資料儲存!G3885</f>
        <v>0</v>
      </c>
      <c r="AP57" s="39">
        <f>資料儲存!H3885</f>
        <v>0</v>
      </c>
      <c r="AQ57" s="39">
        <f>資料儲存!I3885</f>
        <v>0</v>
      </c>
      <c r="AR57" s="39">
        <f>資料儲存!J3885</f>
        <v>0</v>
      </c>
      <c r="AT57" s="62">
        <v>44</v>
      </c>
      <c r="AU57" s="39">
        <f>資料儲存!D3945</f>
        <v>0</v>
      </c>
      <c r="AV57" s="39">
        <f>資料儲存!E3945</f>
        <v>0</v>
      </c>
      <c r="AW57" s="39">
        <f>資料儲存!F3945</f>
        <v>0</v>
      </c>
      <c r="AX57" s="39">
        <f>資料儲存!G3945</f>
        <v>0</v>
      </c>
      <c r="AY57" s="39">
        <f>資料儲存!H3945</f>
        <v>0</v>
      </c>
      <c r="AZ57" s="39">
        <f>資料儲存!I3945</f>
        <v>0</v>
      </c>
      <c r="BA57" s="39">
        <f>資料儲存!J3945</f>
        <v>0</v>
      </c>
    </row>
    <row r="58" spans="1:53" s="59" customFormat="1" ht="16" thickBot="1">
      <c r="A58" s="62">
        <v>45</v>
      </c>
      <c r="B58" s="39">
        <f>資料儲存!D3646</f>
        <v>0</v>
      </c>
      <c r="C58" s="39">
        <f>資料儲存!E3646</f>
        <v>0</v>
      </c>
      <c r="D58" s="39">
        <f>資料儲存!F3646</f>
        <v>0</v>
      </c>
      <c r="E58" s="39">
        <f>資料儲存!G3646</f>
        <v>0</v>
      </c>
      <c r="F58" s="39">
        <f>資料儲存!H3646</f>
        <v>0</v>
      </c>
      <c r="G58" s="39">
        <f>資料儲存!I3646</f>
        <v>0</v>
      </c>
      <c r="H58" s="39">
        <f>資料儲存!J3646</f>
        <v>0</v>
      </c>
      <c r="I58" s="58"/>
      <c r="J58" s="62">
        <v>45</v>
      </c>
      <c r="K58" s="39">
        <f>資料儲存!D3706</f>
        <v>0</v>
      </c>
      <c r="L58" s="39">
        <f>資料儲存!E3706</f>
        <v>0</v>
      </c>
      <c r="M58" s="39">
        <f>資料儲存!F3706</f>
        <v>0</v>
      </c>
      <c r="N58" s="39">
        <f>資料儲存!G3706</f>
        <v>0</v>
      </c>
      <c r="O58" s="39">
        <f>資料儲存!H3706</f>
        <v>0</v>
      </c>
      <c r="P58" s="39">
        <f>資料儲存!I3706</f>
        <v>0</v>
      </c>
      <c r="Q58" s="39">
        <f>資料儲存!J3706</f>
        <v>0</v>
      </c>
      <c r="R58" s="58"/>
      <c r="S58" s="62">
        <v>45</v>
      </c>
      <c r="T58" s="39">
        <f>資料儲存!D3766</f>
        <v>0</v>
      </c>
      <c r="U58" s="39">
        <f>資料儲存!E3766</f>
        <v>0</v>
      </c>
      <c r="V58" s="39">
        <f>資料儲存!F3766</f>
        <v>0</v>
      </c>
      <c r="W58" s="39">
        <f>資料儲存!G3766</f>
        <v>0</v>
      </c>
      <c r="X58" s="39">
        <f>資料儲存!H3766</f>
        <v>0</v>
      </c>
      <c r="Y58" s="39">
        <f>資料儲存!I3766</f>
        <v>0</v>
      </c>
      <c r="Z58" s="39">
        <f>資料儲存!J3766</f>
        <v>0</v>
      </c>
      <c r="AA58" s="58"/>
      <c r="AB58" s="62">
        <v>45</v>
      </c>
      <c r="AC58" s="39">
        <f>資料儲存!D3826</f>
        <v>0</v>
      </c>
      <c r="AD58" s="39">
        <f>資料儲存!E3826</f>
        <v>0</v>
      </c>
      <c r="AE58" s="39">
        <f>資料儲存!F3826</f>
        <v>0</v>
      </c>
      <c r="AF58" s="39">
        <f>資料儲存!G3826</f>
        <v>0</v>
      </c>
      <c r="AG58" s="39">
        <f>資料儲存!H3826</f>
        <v>0</v>
      </c>
      <c r="AH58" s="39">
        <f>資料儲存!I3826</f>
        <v>0</v>
      </c>
      <c r="AI58" s="39">
        <f>資料儲存!J3826</f>
        <v>0</v>
      </c>
      <c r="AJ58" s="58"/>
      <c r="AK58" s="62">
        <v>45</v>
      </c>
      <c r="AL58" s="39">
        <f>資料儲存!D3886</f>
        <v>0</v>
      </c>
      <c r="AM58" s="39">
        <f>資料儲存!E3886</f>
        <v>0</v>
      </c>
      <c r="AN58" s="39">
        <f>資料儲存!F3886</f>
        <v>0</v>
      </c>
      <c r="AO58" s="39">
        <f>資料儲存!G3886</f>
        <v>0</v>
      </c>
      <c r="AP58" s="39">
        <f>資料儲存!H3886</f>
        <v>0</v>
      </c>
      <c r="AQ58" s="39">
        <f>資料儲存!I3886</f>
        <v>0</v>
      </c>
      <c r="AR58" s="39">
        <f>資料儲存!J3886</f>
        <v>0</v>
      </c>
      <c r="AT58" s="62">
        <v>45</v>
      </c>
      <c r="AU58" s="39">
        <f>資料儲存!D3946</f>
        <v>0</v>
      </c>
      <c r="AV58" s="39">
        <f>資料儲存!E3946</f>
        <v>0</v>
      </c>
      <c r="AW58" s="39">
        <f>資料儲存!F3946</f>
        <v>0</v>
      </c>
      <c r="AX58" s="39">
        <f>資料儲存!G3946</f>
        <v>0</v>
      </c>
      <c r="AY58" s="39">
        <f>資料儲存!H3946</f>
        <v>0</v>
      </c>
      <c r="AZ58" s="39">
        <f>資料儲存!I3946</f>
        <v>0</v>
      </c>
      <c r="BA58" s="39">
        <f>資料儲存!J3946</f>
        <v>0</v>
      </c>
    </row>
    <row r="59" spans="1:53" s="59" customFormat="1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35"/>
      <c r="AK59" s="40" t="s">
        <v>56</v>
      </c>
      <c r="AL59" s="39">
        <f>SUM(AL44:AO58)</f>
        <v>0</v>
      </c>
      <c r="AM59" s="37"/>
      <c r="AN59" s="37"/>
      <c r="AO59" s="37"/>
      <c r="AP59" s="39">
        <f>AP58</f>
        <v>0</v>
      </c>
      <c r="AQ59" s="39">
        <f>AQ58</f>
        <v>0</v>
      </c>
      <c r="AR59" s="39">
        <f>AR58</f>
        <v>0</v>
      </c>
      <c r="AT59" s="40" t="s">
        <v>56</v>
      </c>
      <c r="AU59" s="39">
        <f>SUM(AU44:AX58)</f>
        <v>0</v>
      </c>
      <c r="AV59" s="37"/>
      <c r="AW59" s="37"/>
      <c r="AX59" s="37"/>
      <c r="AY59" s="39">
        <f>AY58</f>
        <v>0</v>
      </c>
      <c r="AZ59" s="39">
        <f>AZ58</f>
        <v>0</v>
      </c>
      <c r="BA59" s="39">
        <f>BA58</f>
        <v>0</v>
      </c>
    </row>
    <row r="60" spans="1:53" ht="18.5" thickBot="1">
      <c r="A60" s="257" t="s">
        <v>94</v>
      </c>
      <c r="B60" s="258"/>
      <c r="C60" s="258"/>
      <c r="D60" s="258"/>
      <c r="E60" s="258"/>
      <c r="F60" s="258"/>
      <c r="G60" s="258"/>
      <c r="H60" s="259"/>
      <c r="I60" s="14"/>
      <c r="J60" s="257" t="s">
        <v>94</v>
      </c>
      <c r="K60" s="258"/>
      <c r="L60" s="258"/>
      <c r="M60" s="258"/>
      <c r="N60" s="258"/>
      <c r="O60" s="258"/>
      <c r="P60" s="258"/>
      <c r="Q60" s="259"/>
      <c r="R60" s="14"/>
      <c r="S60" s="257" t="s">
        <v>94</v>
      </c>
      <c r="T60" s="258"/>
      <c r="U60" s="258"/>
      <c r="V60" s="258"/>
      <c r="W60" s="258"/>
      <c r="X60" s="258"/>
      <c r="Y60" s="258"/>
      <c r="Z60" s="259"/>
      <c r="AA60" s="14"/>
      <c r="AB60" s="257" t="s">
        <v>94</v>
      </c>
      <c r="AC60" s="258"/>
      <c r="AD60" s="258"/>
      <c r="AE60" s="258"/>
      <c r="AF60" s="258"/>
      <c r="AG60" s="258"/>
      <c r="AH60" s="258"/>
      <c r="AI60" s="259"/>
      <c r="AJ60" s="14"/>
      <c r="AK60" s="257" t="s">
        <v>94</v>
      </c>
      <c r="AL60" s="258"/>
      <c r="AM60" s="258"/>
      <c r="AN60" s="258"/>
      <c r="AO60" s="258"/>
      <c r="AP60" s="258"/>
      <c r="AQ60" s="258"/>
      <c r="AR60" s="259"/>
      <c r="AT60" s="257" t="s">
        <v>94</v>
      </c>
      <c r="AU60" s="258"/>
      <c r="AV60" s="258"/>
      <c r="AW60" s="258"/>
      <c r="AX60" s="258"/>
      <c r="AY60" s="258"/>
      <c r="AZ60" s="258"/>
      <c r="BA60" s="259"/>
    </row>
    <row r="61" spans="1:53" s="67" customFormat="1" ht="17.25" customHeight="1" thickBot="1">
      <c r="A61" s="63" t="s">
        <v>2</v>
      </c>
      <c r="B61" s="64" t="s">
        <v>46</v>
      </c>
      <c r="C61" s="65"/>
      <c r="D61" s="65"/>
      <c r="E61" s="66"/>
      <c r="F61" s="64" t="s">
        <v>47</v>
      </c>
      <c r="G61" s="65"/>
      <c r="H61" s="66"/>
      <c r="I61" s="52"/>
      <c r="J61" s="63" t="s">
        <v>2</v>
      </c>
      <c r="K61" s="64" t="s">
        <v>46</v>
      </c>
      <c r="L61" s="65"/>
      <c r="M61" s="65"/>
      <c r="N61" s="66"/>
      <c r="O61" s="64" t="s">
        <v>47</v>
      </c>
      <c r="P61" s="65"/>
      <c r="Q61" s="66"/>
      <c r="R61" s="52"/>
      <c r="S61" s="63" t="s">
        <v>2</v>
      </c>
      <c r="T61" s="64" t="s">
        <v>46</v>
      </c>
      <c r="U61" s="65"/>
      <c r="V61" s="65"/>
      <c r="W61" s="66"/>
      <c r="X61" s="64" t="s">
        <v>47</v>
      </c>
      <c r="Y61" s="65"/>
      <c r="Z61" s="66"/>
      <c r="AA61" s="52"/>
      <c r="AB61" s="63" t="s">
        <v>2</v>
      </c>
      <c r="AC61" s="64" t="s">
        <v>46</v>
      </c>
      <c r="AD61" s="65"/>
      <c r="AE61" s="65"/>
      <c r="AF61" s="66"/>
      <c r="AG61" s="64" t="s">
        <v>47</v>
      </c>
      <c r="AH61" s="65"/>
      <c r="AI61" s="66"/>
      <c r="AJ61" s="52"/>
      <c r="AK61" s="63" t="s">
        <v>2</v>
      </c>
      <c r="AL61" s="64" t="s">
        <v>46</v>
      </c>
      <c r="AM61" s="65"/>
      <c r="AN61" s="65"/>
      <c r="AO61" s="66"/>
      <c r="AP61" s="64" t="s">
        <v>47</v>
      </c>
      <c r="AQ61" s="65"/>
      <c r="AR61" s="66"/>
      <c r="AT61" s="63" t="s">
        <v>2</v>
      </c>
      <c r="AU61" s="64" t="s">
        <v>46</v>
      </c>
      <c r="AV61" s="65"/>
      <c r="AW61" s="65"/>
      <c r="AX61" s="66"/>
      <c r="AY61" s="64" t="s">
        <v>47</v>
      </c>
      <c r="AZ61" s="65"/>
      <c r="BA61" s="66"/>
    </row>
    <row r="62" spans="1:53" s="67" customFormat="1" ht="16" thickBot="1">
      <c r="A62" s="68">
        <v>0.48958333333333331</v>
      </c>
      <c r="B62" s="69" t="s">
        <v>49</v>
      </c>
      <c r="C62" s="69" t="s">
        <v>50</v>
      </c>
      <c r="D62" s="69" t="s">
        <v>51</v>
      </c>
      <c r="E62" s="69" t="s">
        <v>52</v>
      </c>
      <c r="F62" s="69" t="s">
        <v>53</v>
      </c>
      <c r="G62" s="69" t="s">
        <v>54</v>
      </c>
      <c r="H62" s="69" t="s">
        <v>55</v>
      </c>
      <c r="I62" s="52"/>
      <c r="J62" s="68">
        <v>0.48958333333333331</v>
      </c>
      <c r="K62" s="69" t="s">
        <v>49</v>
      </c>
      <c r="L62" s="69" t="s">
        <v>50</v>
      </c>
      <c r="M62" s="69" t="s">
        <v>51</v>
      </c>
      <c r="N62" s="69" t="s">
        <v>52</v>
      </c>
      <c r="O62" s="69" t="s">
        <v>53</v>
      </c>
      <c r="P62" s="69" t="s">
        <v>54</v>
      </c>
      <c r="Q62" s="69" t="s">
        <v>55</v>
      </c>
      <c r="R62" s="52"/>
      <c r="S62" s="68">
        <v>0.48958333333333331</v>
      </c>
      <c r="T62" s="69" t="s">
        <v>49</v>
      </c>
      <c r="U62" s="69" t="s">
        <v>50</v>
      </c>
      <c r="V62" s="69" t="s">
        <v>51</v>
      </c>
      <c r="W62" s="69" t="s">
        <v>52</v>
      </c>
      <c r="X62" s="69" t="s">
        <v>53</v>
      </c>
      <c r="Y62" s="69" t="s">
        <v>54</v>
      </c>
      <c r="Z62" s="69" t="s">
        <v>55</v>
      </c>
      <c r="AA62" s="52"/>
      <c r="AB62" s="68">
        <v>0.48958333333333331</v>
      </c>
      <c r="AC62" s="69" t="s">
        <v>49</v>
      </c>
      <c r="AD62" s="69" t="s">
        <v>50</v>
      </c>
      <c r="AE62" s="69" t="s">
        <v>51</v>
      </c>
      <c r="AF62" s="69" t="s">
        <v>52</v>
      </c>
      <c r="AG62" s="69" t="s">
        <v>53</v>
      </c>
      <c r="AH62" s="69" t="s">
        <v>54</v>
      </c>
      <c r="AI62" s="69" t="s">
        <v>55</v>
      </c>
      <c r="AJ62" s="52"/>
      <c r="AK62" s="68">
        <v>0.48958333333333331</v>
      </c>
      <c r="AL62" s="69" t="s">
        <v>49</v>
      </c>
      <c r="AM62" s="69" t="s">
        <v>50</v>
      </c>
      <c r="AN62" s="69" t="s">
        <v>51</v>
      </c>
      <c r="AO62" s="69" t="s">
        <v>52</v>
      </c>
      <c r="AP62" s="69" t="s">
        <v>53</v>
      </c>
      <c r="AQ62" s="69" t="s">
        <v>54</v>
      </c>
      <c r="AR62" s="69" t="s">
        <v>55</v>
      </c>
      <c r="AT62" s="68">
        <v>0.48958333333333331</v>
      </c>
      <c r="AU62" s="69" t="s">
        <v>49</v>
      </c>
      <c r="AV62" s="69" t="s">
        <v>50</v>
      </c>
      <c r="AW62" s="69" t="s">
        <v>51</v>
      </c>
      <c r="AX62" s="69" t="s">
        <v>52</v>
      </c>
      <c r="AY62" s="69" t="s">
        <v>53</v>
      </c>
      <c r="AZ62" s="69" t="s">
        <v>54</v>
      </c>
      <c r="BA62" s="69" t="s">
        <v>55</v>
      </c>
    </row>
    <row r="63" spans="1:53" s="67" customFormat="1" ht="16" thickBot="1">
      <c r="A63" s="70">
        <v>46</v>
      </c>
      <c r="B63" s="49">
        <f>資料儲存!D3647</f>
        <v>0</v>
      </c>
      <c r="C63" s="49">
        <f>資料儲存!E3647</f>
        <v>0</v>
      </c>
      <c r="D63" s="49">
        <f>資料儲存!F3647</f>
        <v>0</v>
      </c>
      <c r="E63" s="49">
        <f>資料儲存!G3647</f>
        <v>0</v>
      </c>
      <c r="F63" s="49">
        <f>資料儲存!H3647</f>
        <v>0</v>
      </c>
      <c r="G63" s="49">
        <f>資料儲存!I3647</f>
        <v>0</v>
      </c>
      <c r="H63" s="49">
        <f>資料儲存!J3647</f>
        <v>0</v>
      </c>
      <c r="I63" s="52"/>
      <c r="J63" s="70">
        <v>46</v>
      </c>
      <c r="K63" s="49">
        <f>資料儲存!D3707</f>
        <v>0</v>
      </c>
      <c r="L63" s="49">
        <f>資料儲存!E3707</f>
        <v>0</v>
      </c>
      <c r="M63" s="49">
        <f>資料儲存!F3707</f>
        <v>0</v>
      </c>
      <c r="N63" s="49">
        <f>資料儲存!G3707</f>
        <v>0</v>
      </c>
      <c r="O63" s="49">
        <f>資料儲存!H3707</f>
        <v>0</v>
      </c>
      <c r="P63" s="49">
        <f>資料儲存!I3707</f>
        <v>0</v>
      </c>
      <c r="Q63" s="49">
        <f>資料儲存!J3707</f>
        <v>0</v>
      </c>
      <c r="R63" s="52"/>
      <c r="S63" s="70">
        <v>46</v>
      </c>
      <c r="T63" s="49">
        <f>資料儲存!D3767</f>
        <v>0</v>
      </c>
      <c r="U63" s="49">
        <f>資料儲存!E3767</f>
        <v>0</v>
      </c>
      <c r="V63" s="49">
        <f>資料儲存!F3767</f>
        <v>0</v>
      </c>
      <c r="W63" s="49">
        <f>資料儲存!G3767</f>
        <v>0</v>
      </c>
      <c r="X63" s="49">
        <f>資料儲存!H3767</f>
        <v>0</v>
      </c>
      <c r="Y63" s="49">
        <f>資料儲存!I3767</f>
        <v>0</v>
      </c>
      <c r="Z63" s="49">
        <f>資料儲存!J3767</f>
        <v>0</v>
      </c>
      <c r="AA63" s="52"/>
      <c r="AB63" s="70">
        <v>46</v>
      </c>
      <c r="AC63" s="49">
        <f>資料儲存!D3827</f>
        <v>0</v>
      </c>
      <c r="AD63" s="49">
        <f>資料儲存!E3827</f>
        <v>0</v>
      </c>
      <c r="AE63" s="49">
        <f>資料儲存!F3827</f>
        <v>0</v>
      </c>
      <c r="AF63" s="49">
        <f>資料儲存!G3827</f>
        <v>0</v>
      </c>
      <c r="AG63" s="49">
        <f>資料儲存!H3827</f>
        <v>0</v>
      </c>
      <c r="AH63" s="49">
        <f>資料儲存!I3827</f>
        <v>0</v>
      </c>
      <c r="AI63" s="49">
        <f>資料儲存!J3827</f>
        <v>0</v>
      </c>
      <c r="AJ63" s="52"/>
      <c r="AK63" s="70">
        <v>46</v>
      </c>
      <c r="AL63" s="49">
        <f>資料儲存!D3887</f>
        <v>0</v>
      </c>
      <c r="AM63" s="49">
        <f>資料儲存!E3887</f>
        <v>0</v>
      </c>
      <c r="AN63" s="49">
        <f>資料儲存!F3887</f>
        <v>0</v>
      </c>
      <c r="AO63" s="49">
        <f>資料儲存!G3887</f>
        <v>0</v>
      </c>
      <c r="AP63" s="49">
        <f>資料儲存!H3887</f>
        <v>0</v>
      </c>
      <c r="AQ63" s="49">
        <f>資料儲存!I3887</f>
        <v>0</v>
      </c>
      <c r="AR63" s="49">
        <f>資料儲存!J3887</f>
        <v>0</v>
      </c>
      <c r="AT63" s="70">
        <v>46</v>
      </c>
      <c r="AU63" s="49">
        <f>資料儲存!D3947</f>
        <v>0</v>
      </c>
      <c r="AV63" s="49">
        <f>資料儲存!E3947</f>
        <v>0</v>
      </c>
      <c r="AW63" s="49">
        <f>資料儲存!F3947</f>
        <v>0</v>
      </c>
      <c r="AX63" s="49">
        <f>資料儲存!G3947</f>
        <v>0</v>
      </c>
      <c r="AY63" s="49">
        <f>資料儲存!H3947</f>
        <v>0</v>
      </c>
      <c r="AZ63" s="49">
        <f>資料儲存!I3947</f>
        <v>0</v>
      </c>
      <c r="BA63" s="49">
        <f>資料儲存!J3947</f>
        <v>0</v>
      </c>
    </row>
    <row r="64" spans="1:53" s="67" customFormat="1" ht="16" thickBot="1">
      <c r="A64" s="70">
        <v>47</v>
      </c>
      <c r="B64" s="49">
        <f>資料儲存!D3648</f>
        <v>0</v>
      </c>
      <c r="C64" s="49">
        <f>資料儲存!E3648</f>
        <v>0</v>
      </c>
      <c r="D64" s="49">
        <f>資料儲存!F3648</f>
        <v>0</v>
      </c>
      <c r="E64" s="49">
        <f>資料儲存!G3648</f>
        <v>0</v>
      </c>
      <c r="F64" s="49">
        <f>資料儲存!H3648</f>
        <v>0</v>
      </c>
      <c r="G64" s="49">
        <f>資料儲存!I3648</f>
        <v>0</v>
      </c>
      <c r="H64" s="49">
        <f>資料儲存!J3648</f>
        <v>0</v>
      </c>
      <c r="I64" s="52"/>
      <c r="J64" s="70">
        <v>47</v>
      </c>
      <c r="K64" s="49">
        <f>資料儲存!D3708</f>
        <v>0</v>
      </c>
      <c r="L64" s="49">
        <f>資料儲存!E3708</f>
        <v>0</v>
      </c>
      <c r="M64" s="49">
        <f>資料儲存!F3708</f>
        <v>0</v>
      </c>
      <c r="N64" s="49">
        <f>資料儲存!G3708</f>
        <v>0</v>
      </c>
      <c r="O64" s="49">
        <f>資料儲存!H3708</f>
        <v>0</v>
      </c>
      <c r="P64" s="49">
        <f>資料儲存!I3708</f>
        <v>0</v>
      </c>
      <c r="Q64" s="49">
        <f>資料儲存!J3708</f>
        <v>0</v>
      </c>
      <c r="R64" s="52"/>
      <c r="S64" s="70">
        <v>47</v>
      </c>
      <c r="T64" s="49">
        <f>資料儲存!D3768</f>
        <v>0</v>
      </c>
      <c r="U64" s="49">
        <f>資料儲存!E3768</f>
        <v>0</v>
      </c>
      <c r="V64" s="49">
        <f>資料儲存!F3768</f>
        <v>0</v>
      </c>
      <c r="W64" s="49">
        <f>資料儲存!G3768</f>
        <v>0</v>
      </c>
      <c r="X64" s="49">
        <f>資料儲存!H3768</f>
        <v>0</v>
      </c>
      <c r="Y64" s="49">
        <f>資料儲存!I3768</f>
        <v>0</v>
      </c>
      <c r="Z64" s="49">
        <f>資料儲存!J3768</f>
        <v>0</v>
      </c>
      <c r="AA64" s="52"/>
      <c r="AB64" s="70">
        <v>47</v>
      </c>
      <c r="AC64" s="49">
        <f>資料儲存!D3828</f>
        <v>0</v>
      </c>
      <c r="AD64" s="49">
        <f>資料儲存!E3828</f>
        <v>0</v>
      </c>
      <c r="AE64" s="49">
        <f>資料儲存!F3828</f>
        <v>0</v>
      </c>
      <c r="AF64" s="49">
        <f>資料儲存!G3828</f>
        <v>0</v>
      </c>
      <c r="AG64" s="49">
        <f>資料儲存!H3828</f>
        <v>0</v>
      </c>
      <c r="AH64" s="49">
        <f>資料儲存!I3828</f>
        <v>0</v>
      </c>
      <c r="AI64" s="49">
        <f>資料儲存!J3828</f>
        <v>0</v>
      </c>
      <c r="AJ64" s="52"/>
      <c r="AK64" s="70">
        <v>47</v>
      </c>
      <c r="AL64" s="49">
        <f>資料儲存!D3888</f>
        <v>0</v>
      </c>
      <c r="AM64" s="49">
        <f>資料儲存!E3888</f>
        <v>0</v>
      </c>
      <c r="AN64" s="49">
        <f>資料儲存!F3888</f>
        <v>0</v>
      </c>
      <c r="AO64" s="49">
        <f>資料儲存!G3888</f>
        <v>0</v>
      </c>
      <c r="AP64" s="49">
        <f>資料儲存!H3888</f>
        <v>0</v>
      </c>
      <c r="AQ64" s="49">
        <f>資料儲存!I3888</f>
        <v>0</v>
      </c>
      <c r="AR64" s="49">
        <f>資料儲存!J3888</f>
        <v>0</v>
      </c>
      <c r="AT64" s="70">
        <v>47</v>
      </c>
      <c r="AU64" s="49">
        <f>資料儲存!D3948</f>
        <v>0</v>
      </c>
      <c r="AV64" s="49">
        <f>資料儲存!E3948</f>
        <v>0</v>
      </c>
      <c r="AW64" s="49">
        <f>資料儲存!F3948</f>
        <v>0</v>
      </c>
      <c r="AX64" s="49">
        <f>資料儲存!G3948</f>
        <v>0</v>
      </c>
      <c r="AY64" s="49">
        <f>資料儲存!H3948</f>
        <v>0</v>
      </c>
      <c r="AZ64" s="49">
        <f>資料儲存!I3948</f>
        <v>0</v>
      </c>
      <c r="BA64" s="49">
        <f>資料儲存!J3948</f>
        <v>0</v>
      </c>
    </row>
    <row r="65" spans="1:53" s="67" customFormat="1" ht="16" thickBot="1">
      <c r="A65" s="70">
        <v>48</v>
      </c>
      <c r="B65" s="49">
        <f>資料儲存!D3649</f>
        <v>0</v>
      </c>
      <c r="C65" s="49">
        <f>資料儲存!E3649</f>
        <v>0</v>
      </c>
      <c r="D65" s="49">
        <f>資料儲存!F3649</f>
        <v>0</v>
      </c>
      <c r="E65" s="49">
        <f>資料儲存!G3649</f>
        <v>0</v>
      </c>
      <c r="F65" s="49">
        <f>資料儲存!H3649</f>
        <v>0</v>
      </c>
      <c r="G65" s="49">
        <f>資料儲存!I3649</f>
        <v>0</v>
      </c>
      <c r="H65" s="49">
        <f>資料儲存!J3649</f>
        <v>0</v>
      </c>
      <c r="I65" s="52"/>
      <c r="J65" s="70">
        <v>48</v>
      </c>
      <c r="K65" s="49">
        <f>資料儲存!D3709</f>
        <v>0</v>
      </c>
      <c r="L65" s="49">
        <f>資料儲存!E3709</f>
        <v>0</v>
      </c>
      <c r="M65" s="49">
        <f>資料儲存!F3709</f>
        <v>0</v>
      </c>
      <c r="N65" s="49">
        <f>資料儲存!G3709</f>
        <v>0</v>
      </c>
      <c r="O65" s="49">
        <f>資料儲存!H3709</f>
        <v>0</v>
      </c>
      <c r="P65" s="49">
        <f>資料儲存!I3709</f>
        <v>0</v>
      </c>
      <c r="Q65" s="49">
        <f>資料儲存!J3709</f>
        <v>0</v>
      </c>
      <c r="R65" s="52"/>
      <c r="S65" s="70">
        <v>48</v>
      </c>
      <c r="T65" s="49">
        <f>資料儲存!D3769</f>
        <v>0</v>
      </c>
      <c r="U65" s="49">
        <f>資料儲存!E3769</f>
        <v>0</v>
      </c>
      <c r="V65" s="49">
        <f>資料儲存!F3769</f>
        <v>0</v>
      </c>
      <c r="W65" s="49">
        <f>資料儲存!G3769</f>
        <v>0</v>
      </c>
      <c r="X65" s="49">
        <f>資料儲存!H3769</f>
        <v>0</v>
      </c>
      <c r="Y65" s="49">
        <f>資料儲存!I3769</f>
        <v>0</v>
      </c>
      <c r="Z65" s="49">
        <f>資料儲存!J3769</f>
        <v>0</v>
      </c>
      <c r="AA65" s="52"/>
      <c r="AB65" s="70">
        <v>48</v>
      </c>
      <c r="AC65" s="49">
        <f>資料儲存!D3829</f>
        <v>0</v>
      </c>
      <c r="AD65" s="49">
        <f>資料儲存!E3829</f>
        <v>0</v>
      </c>
      <c r="AE65" s="49">
        <f>資料儲存!F3829</f>
        <v>0</v>
      </c>
      <c r="AF65" s="49">
        <f>資料儲存!G3829</f>
        <v>0</v>
      </c>
      <c r="AG65" s="49">
        <f>資料儲存!H3829</f>
        <v>0</v>
      </c>
      <c r="AH65" s="49">
        <f>資料儲存!I3829</f>
        <v>0</v>
      </c>
      <c r="AI65" s="49">
        <f>資料儲存!J3829</f>
        <v>0</v>
      </c>
      <c r="AJ65" s="52"/>
      <c r="AK65" s="70">
        <v>48</v>
      </c>
      <c r="AL65" s="49">
        <f>資料儲存!D3889</f>
        <v>0</v>
      </c>
      <c r="AM65" s="49">
        <f>資料儲存!E3889</f>
        <v>0</v>
      </c>
      <c r="AN65" s="49">
        <f>資料儲存!F3889</f>
        <v>0</v>
      </c>
      <c r="AO65" s="49">
        <f>資料儲存!G3889</f>
        <v>0</v>
      </c>
      <c r="AP65" s="49">
        <f>資料儲存!H3889</f>
        <v>0</v>
      </c>
      <c r="AQ65" s="49">
        <f>資料儲存!I3889</f>
        <v>0</v>
      </c>
      <c r="AR65" s="49">
        <f>資料儲存!J3889</f>
        <v>0</v>
      </c>
      <c r="AT65" s="70">
        <v>48</v>
      </c>
      <c r="AU65" s="49">
        <f>資料儲存!D3949</f>
        <v>0</v>
      </c>
      <c r="AV65" s="49">
        <f>資料儲存!E3949</f>
        <v>0</v>
      </c>
      <c r="AW65" s="49">
        <f>資料儲存!F3949</f>
        <v>0</v>
      </c>
      <c r="AX65" s="49">
        <f>資料儲存!G3949</f>
        <v>0</v>
      </c>
      <c r="AY65" s="49">
        <f>資料儲存!H3949</f>
        <v>0</v>
      </c>
      <c r="AZ65" s="49">
        <f>資料儲存!I3949</f>
        <v>0</v>
      </c>
      <c r="BA65" s="49">
        <f>資料儲存!J3949</f>
        <v>0</v>
      </c>
    </row>
    <row r="66" spans="1:53" s="67" customFormat="1" ht="16" thickBot="1">
      <c r="A66" s="70">
        <v>49</v>
      </c>
      <c r="B66" s="49">
        <f>資料儲存!D3650</f>
        <v>0</v>
      </c>
      <c r="C66" s="49">
        <f>資料儲存!E3650</f>
        <v>0</v>
      </c>
      <c r="D66" s="49">
        <f>資料儲存!F3650</f>
        <v>0</v>
      </c>
      <c r="E66" s="49">
        <f>資料儲存!G3650</f>
        <v>0</v>
      </c>
      <c r="F66" s="49">
        <f>資料儲存!H3650</f>
        <v>0</v>
      </c>
      <c r="G66" s="49">
        <f>資料儲存!I3650</f>
        <v>0</v>
      </c>
      <c r="H66" s="49">
        <f>資料儲存!J3650</f>
        <v>0</v>
      </c>
      <c r="I66" s="52"/>
      <c r="J66" s="70">
        <v>49</v>
      </c>
      <c r="K66" s="49">
        <f>資料儲存!D3710</f>
        <v>0</v>
      </c>
      <c r="L66" s="49">
        <f>資料儲存!E3710</f>
        <v>0</v>
      </c>
      <c r="M66" s="49">
        <f>資料儲存!F3710</f>
        <v>0</v>
      </c>
      <c r="N66" s="49">
        <f>資料儲存!G3710</f>
        <v>0</v>
      </c>
      <c r="O66" s="49">
        <f>資料儲存!H3710</f>
        <v>0</v>
      </c>
      <c r="P66" s="49">
        <f>資料儲存!I3710</f>
        <v>0</v>
      </c>
      <c r="Q66" s="49">
        <f>資料儲存!J3710</f>
        <v>0</v>
      </c>
      <c r="R66" s="52"/>
      <c r="S66" s="70">
        <v>49</v>
      </c>
      <c r="T66" s="49">
        <f>資料儲存!D3770</f>
        <v>0</v>
      </c>
      <c r="U66" s="49">
        <f>資料儲存!E3770</f>
        <v>0</v>
      </c>
      <c r="V66" s="49">
        <f>資料儲存!F3770</f>
        <v>0</v>
      </c>
      <c r="W66" s="49">
        <f>資料儲存!G3770</f>
        <v>0</v>
      </c>
      <c r="X66" s="49">
        <f>資料儲存!H3770</f>
        <v>0</v>
      </c>
      <c r="Y66" s="49">
        <f>資料儲存!I3770</f>
        <v>0</v>
      </c>
      <c r="Z66" s="49">
        <f>資料儲存!J3770</f>
        <v>0</v>
      </c>
      <c r="AA66" s="52"/>
      <c r="AB66" s="70">
        <v>49</v>
      </c>
      <c r="AC66" s="49">
        <f>資料儲存!D3830</f>
        <v>0</v>
      </c>
      <c r="AD66" s="49">
        <f>資料儲存!E3830</f>
        <v>0</v>
      </c>
      <c r="AE66" s="49">
        <f>資料儲存!F3830</f>
        <v>0</v>
      </c>
      <c r="AF66" s="49">
        <f>資料儲存!G3830</f>
        <v>0</v>
      </c>
      <c r="AG66" s="49">
        <f>資料儲存!H3830</f>
        <v>0</v>
      </c>
      <c r="AH66" s="49">
        <f>資料儲存!I3830</f>
        <v>0</v>
      </c>
      <c r="AI66" s="49">
        <f>資料儲存!J3830</f>
        <v>0</v>
      </c>
      <c r="AJ66" s="52"/>
      <c r="AK66" s="70">
        <v>49</v>
      </c>
      <c r="AL66" s="49">
        <f>資料儲存!D3890</f>
        <v>0</v>
      </c>
      <c r="AM66" s="49">
        <f>資料儲存!E3890</f>
        <v>0</v>
      </c>
      <c r="AN66" s="49">
        <f>資料儲存!F3890</f>
        <v>0</v>
      </c>
      <c r="AO66" s="49">
        <f>資料儲存!G3890</f>
        <v>0</v>
      </c>
      <c r="AP66" s="49">
        <f>資料儲存!H3890</f>
        <v>0</v>
      </c>
      <c r="AQ66" s="49">
        <f>資料儲存!I3890</f>
        <v>0</v>
      </c>
      <c r="AR66" s="49">
        <f>資料儲存!J3890</f>
        <v>0</v>
      </c>
      <c r="AT66" s="70">
        <v>49</v>
      </c>
      <c r="AU66" s="49">
        <f>資料儲存!D3950</f>
        <v>0</v>
      </c>
      <c r="AV66" s="49">
        <f>資料儲存!E3950</f>
        <v>0</v>
      </c>
      <c r="AW66" s="49">
        <f>資料儲存!F3950</f>
        <v>0</v>
      </c>
      <c r="AX66" s="49">
        <f>資料儲存!G3950</f>
        <v>0</v>
      </c>
      <c r="AY66" s="49">
        <f>資料儲存!H3950</f>
        <v>0</v>
      </c>
      <c r="AZ66" s="49">
        <f>資料儲存!I3950</f>
        <v>0</v>
      </c>
      <c r="BA66" s="49">
        <f>資料儲存!J3950</f>
        <v>0</v>
      </c>
    </row>
    <row r="67" spans="1:53" s="67" customFormat="1" ht="16" thickBot="1">
      <c r="A67" s="70">
        <v>50</v>
      </c>
      <c r="B67" s="49">
        <f>資料儲存!D3651</f>
        <v>0</v>
      </c>
      <c r="C67" s="49">
        <f>資料儲存!E3651</f>
        <v>0</v>
      </c>
      <c r="D67" s="49">
        <f>資料儲存!F3651</f>
        <v>0</v>
      </c>
      <c r="E67" s="49">
        <f>資料儲存!G3651</f>
        <v>0</v>
      </c>
      <c r="F67" s="49">
        <f>資料儲存!H3651</f>
        <v>0</v>
      </c>
      <c r="G67" s="49">
        <f>資料儲存!I3651</f>
        <v>0</v>
      </c>
      <c r="H67" s="49">
        <f>資料儲存!J3651</f>
        <v>0</v>
      </c>
      <c r="I67" s="52"/>
      <c r="J67" s="70">
        <v>50</v>
      </c>
      <c r="K67" s="49">
        <f>資料儲存!D3711</f>
        <v>0</v>
      </c>
      <c r="L67" s="49">
        <f>資料儲存!E3711</f>
        <v>0</v>
      </c>
      <c r="M67" s="49">
        <f>資料儲存!F3711</f>
        <v>0</v>
      </c>
      <c r="N67" s="49">
        <f>資料儲存!G3711</f>
        <v>0</v>
      </c>
      <c r="O67" s="49">
        <f>資料儲存!H3711</f>
        <v>0</v>
      </c>
      <c r="P67" s="49">
        <f>資料儲存!I3711</f>
        <v>0</v>
      </c>
      <c r="Q67" s="49">
        <f>資料儲存!J3711</f>
        <v>0</v>
      </c>
      <c r="R67" s="52"/>
      <c r="S67" s="70">
        <v>50</v>
      </c>
      <c r="T67" s="49">
        <f>資料儲存!D3771</f>
        <v>0</v>
      </c>
      <c r="U67" s="49">
        <f>資料儲存!E3771</f>
        <v>0</v>
      </c>
      <c r="V67" s="49">
        <f>資料儲存!F3771</f>
        <v>0</v>
      </c>
      <c r="W67" s="49">
        <f>資料儲存!G3771</f>
        <v>0</v>
      </c>
      <c r="X67" s="49">
        <f>資料儲存!H3771</f>
        <v>0</v>
      </c>
      <c r="Y67" s="49">
        <f>資料儲存!I3771</f>
        <v>0</v>
      </c>
      <c r="Z67" s="49">
        <f>資料儲存!J3771</f>
        <v>0</v>
      </c>
      <c r="AA67" s="52"/>
      <c r="AB67" s="70">
        <v>50</v>
      </c>
      <c r="AC67" s="49">
        <f>資料儲存!D3831</f>
        <v>0</v>
      </c>
      <c r="AD67" s="49">
        <f>資料儲存!E3831</f>
        <v>0</v>
      </c>
      <c r="AE67" s="49">
        <f>資料儲存!F3831</f>
        <v>0</v>
      </c>
      <c r="AF67" s="49">
        <f>資料儲存!G3831</f>
        <v>0</v>
      </c>
      <c r="AG67" s="49">
        <f>資料儲存!H3831</f>
        <v>0</v>
      </c>
      <c r="AH67" s="49">
        <f>資料儲存!I3831</f>
        <v>0</v>
      </c>
      <c r="AI67" s="49">
        <f>資料儲存!J3831</f>
        <v>0</v>
      </c>
      <c r="AJ67" s="52"/>
      <c r="AK67" s="70">
        <v>50</v>
      </c>
      <c r="AL67" s="49">
        <f>資料儲存!D3891</f>
        <v>0</v>
      </c>
      <c r="AM67" s="49">
        <f>資料儲存!E3891</f>
        <v>0</v>
      </c>
      <c r="AN67" s="49">
        <f>資料儲存!F3891</f>
        <v>0</v>
      </c>
      <c r="AO67" s="49">
        <f>資料儲存!G3891</f>
        <v>0</v>
      </c>
      <c r="AP67" s="49">
        <f>資料儲存!H3891</f>
        <v>0</v>
      </c>
      <c r="AQ67" s="49">
        <f>資料儲存!I3891</f>
        <v>0</v>
      </c>
      <c r="AR67" s="49">
        <f>資料儲存!J3891</f>
        <v>0</v>
      </c>
      <c r="AT67" s="70">
        <v>50</v>
      </c>
      <c r="AU67" s="49">
        <f>資料儲存!D3951</f>
        <v>0</v>
      </c>
      <c r="AV67" s="49">
        <f>資料儲存!E3951</f>
        <v>0</v>
      </c>
      <c r="AW67" s="49">
        <f>資料儲存!F3951</f>
        <v>0</v>
      </c>
      <c r="AX67" s="49">
        <f>資料儲存!G3951</f>
        <v>0</v>
      </c>
      <c r="AY67" s="49">
        <f>資料儲存!H3951</f>
        <v>0</v>
      </c>
      <c r="AZ67" s="49">
        <f>資料儲存!I3951</f>
        <v>0</v>
      </c>
      <c r="BA67" s="49">
        <f>資料儲存!J3951</f>
        <v>0</v>
      </c>
    </row>
    <row r="68" spans="1:53" s="67" customFormat="1" ht="16" thickBot="1">
      <c r="A68" s="70">
        <v>51</v>
      </c>
      <c r="B68" s="49">
        <f>資料儲存!D3652</f>
        <v>0</v>
      </c>
      <c r="C68" s="49">
        <f>資料儲存!E3652</f>
        <v>0</v>
      </c>
      <c r="D68" s="49">
        <f>資料儲存!F3652</f>
        <v>0</v>
      </c>
      <c r="E68" s="49">
        <f>資料儲存!G3652</f>
        <v>0</v>
      </c>
      <c r="F68" s="49">
        <f>資料儲存!H3652</f>
        <v>0</v>
      </c>
      <c r="G68" s="49">
        <f>資料儲存!I3652</f>
        <v>0</v>
      </c>
      <c r="H68" s="49">
        <f>資料儲存!J3652</f>
        <v>0</v>
      </c>
      <c r="I68" s="52"/>
      <c r="J68" s="70">
        <v>51</v>
      </c>
      <c r="K68" s="49">
        <f>資料儲存!D3712</f>
        <v>0</v>
      </c>
      <c r="L68" s="49">
        <f>資料儲存!E3712</f>
        <v>0</v>
      </c>
      <c r="M68" s="49">
        <f>資料儲存!F3712</f>
        <v>0</v>
      </c>
      <c r="N68" s="49">
        <f>資料儲存!G3712</f>
        <v>0</v>
      </c>
      <c r="O68" s="49">
        <f>資料儲存!H3712</f>
        <v>0</v>
      </c>
      <c r="P68" s="49">
        <f>資料儲存!I3712</f>
        <v>0</v>
      </c>
      <c r="Q68" s="49">
        <f>資料儲存!J3712</f>
        <v>0</v>
      </c>
      <c r="R68" s="52"/>
      <c r="S68" s="70">
        <v>51</v>
      </c>
      <c r="T68" s="49">
        <f>資料儲存!D3772</f>
        <v>0</v>
      </c>
      <c r="U68" s="49">
        <f>資料儲存!E3772</f>
        <v>0</v>
      </c>
      <c r="V68" s="49">
        <f>資料儲存!F3772</f>
        <v>0</v>
      </c>
      <c r="W68" s="49">
        <f>資料儲存!G3772</f>
        <v>0</v>
      </c>
      <c r="X68" s="49">
        <f>資料儲存!H3772</f>
        <v>0</v>
      </c>
      <c r="Y68" s="49">
        <f>資料儲存!I3772</f>
        <v>0</v>
      </c>
      <c r="Z68" s="49">
        <f>資料儲存!J3772</f>
        <v>0</v>
      </c>
      <c r="AA68" s="52"/>
      <c r="AB68" s="70">
        <v>51</v>
      </c>
      <c r="AC68" s="49">
        <f>資料儲存!D3832</f>
        <v>0</v>
      </c>
      <c r="AD68" s="49">
        <f>資料儲存!E3832</f>
        <v>0</v>
      </c>
      <c r="AE68" s="49">
        <f>資料儲存!F3832</f>
        <v>0</v>
      </c>
      <c r="AF68" s="49">
        <f>資料儲存!G3832</f>
        <v>0</v>
      </c>
      <c r="AG68" s="49">
        <f>資料儲存!H3832</f>
        <v>0</v>
      </c>
      <c r="AH68" s="49">
        <f>資料儲存!I3832</f>
        <v>0</v>
      </c>
      <c r="AI68" s="49">
        <f>資料儲存!J3832</f>
        <v>0</v>
      </c>
      <c r="AJ68" s="52"/>
      <c r="AK68" s="70">
        <v>51</v>
      </c>
      <c r="AL68" s="49">
        <f>資料儲存!D3892</f>
        <v>0</v>
      </c>
      <c r="AM68" s="49">
        <f>資料儲存!E3892</f>
        <v>0</v>
      </c>
      <c r="AN68" s="49">
        <f>資料儲存!F3892</f>
        <v>0</v>
      </c>
      <c r="AO68" s="49">
        <f>資料儲存!G3892</f>
        <v>0</v>
      </c>
      <c r="AP68" s="49">
        <f>資料儲存!H3892</f>
        <v>0</v>
      </c>
      <c r="AQ68" s="49">
        <f>資料儲存!I3892</f>
        <v>0</v>
      </c>
      <c r="AR68" s="49">
        <f>資料儲存!J3892</f>
        <v>0</v>
      </c>
      <c r="AT68" s="70">
        <v>51</v>
      </c>
      <c r="AU68" s="49">
        <f>資料儲存!D3952</f>
        <v>0</v>
      </c>
      <c r="AV68" s="49">
        <f>資料儲存!E3952</f>
        <v>0</v>
      </c>
      <c r="AW68" s="49">
        <f>資料儲存!F3952</f>
        <v>0</v>
      </c>
      <c r="AX68" s="49">
        <f>資料儲存!G3952</f>
        <v>0</v>
      </c>
      <c r="AY68" s="49">
        <f>資料儲存!H3952</f>
        <v>0</v>
      </c>
      <c r="AZ68" s="49">
        <f>資料儲存!I3952</f>
        <v>0</v>
      </c>
      <c r="BA68" s="49">
        <f>資料儲存!J3952</f>
        <v>0</v>
      </c>
    </row>
    <row r="69" spans="1:53" s="67" customFormat="1" ht="16" thickBot="1">
      <c r="A69" s="70">
        <v>52</v>
      </c>
      <c r="B69" s="49">
        <f>資料儲存!D3653</f>
        <v>0</v>
      </c>
      <c r="C69" s="49">
        <f>資料儲存!E3653</f>
        <v>0</v>
      </c>
      <c r="D69" s="49">
        <f>資料儲存!F3653</f>
        <v>0</v>
      </c>
      <c r="E69" s="49">
        <f>資料儲存!G3653</f>
        <v>0</v>
      </c>
      <c r="F69" s="49">
        <f>資料儲存!H3653</f>
        <v>0</v>
      </c>
      <c r="G69" s="49">
        <f>資料儲存!I3653</f>
        <v>0</v>
      </c>
      <c r="H69" s="49">
        <f>資料儲存!J3653</f>
        <v>0</v>
      </c>
      <c r="I69" s="52"/>
      <c r="J69" s="70">
        <v>52</v>
      </c>
      <c r="K69" s="49">
        <f>資料儲存!D3713</f>
        <v>0</v>
      </c>
      <c r="L69" s="49">
        <f>資料儲存!E3713</f>
        <v>0</v>
      </c>
      <c r="M69" s="49">
        <f>資料儲存!F3713</f>
        <v>0</v>
      </c>
      <c r="N69" s="49">
        <f>資料儲存!G3713</f>
        <v>0</v>
      </c>
      <c r="O69" s="49">
        <f>資料儲存!H3713</f>
        <v>0</v>
      </c>
      <c r="P69" s="49">
        <f>資料儲存!I3713</f>
        <v>0</v>
      </c>
      <c r="Q69" s="49">
        <f>資料儲存!J3713</f>
        <v>0</v>
      </c>
      <c r="R69" s="52"/>
      <c r="S69" s="70">
        <v>52</v>
      </c>
      <c r="T69" s="49">
        <f>資料儲存!D3773</f>
        <v>0</v>
      </c>
      <c r="U69" s="49">
        <f>資料儲存!E3773</f>
        <v>0</v>
      </c>
      <c r="V69" s="49">
        <f>資料儲存!F3773</f>
        <v>0</v>
      </c>
      <c r="W69" s="49">
        <f>資料儲存!G3773</f>
        <v>0</v>
      </c>
      <c r="X69" s="49">
        <f>資料儲存!H3773</f>
        <v>0</v>
      </c>
      <c r="Y69" s="49">
        <f>資料儲存!I3773</f>
        <v>0</v>
      </c>
      <c r="Z69" s="49">
        <f>資料儲存!J3773</f>
        <v>0</v>
      </c>
      <c r="AA69" s="52"/>
      <c r="AB69" s="70">
        <v>52</v>
      </c>
      <c r="AC69" s="49">
        <f>資料儲存!D3833</f>
        <v>0</v>
      </c>
      <c r="AD69" s="49">
        <f>資料儲存!E3833</f>
        <v>0</v>
      </c>
      <c r="AE69" s="49">
        <f>資料儲存!F3833</f>
        <v>0</v>
      </c>
      <c r="AF69" s="49">
        <f>資料儲存!G3833</f>
        <v>0</v>
      </c>
      <c r="AG69" s="49">
        <f>資料儲存!H3833</f>
        <v>0</v>
      </c>
      <c r="AH69" s="49">
        <f>資料儲存!I3833</f>
        <v>0</v>
      </c>
      <c r="AI69" s="49">
        <f>資料儲存!J3833</f>
        <v>0</v>
      </c>
      <c r="AJ69" s="52"/>
      <c r="AK69" s="70">
        <v>52</v>
      </c>
      <c r="AL69" s="49">
        <f>資料儲存!D3893</f>
        <v>0</v>
      </c>
      <c r="AM69" s="49">
        <f>資料儲存!E3893</f>
        <v>0</v>
      </c>
      <c r="AN69" s="49">
        <f>資料儲存!F3893</f>
        <v>0</v>
      </c>
      <c r="AO69" s="49">
        <f>資料儲存!G3893</f>
        <v>0</v>
      </c>
      <c r="AP69" s="49">
        <f>資料儲存!H3893</f>
        <v>0</v>
      </c>
      <c r="AQ69" s="49">
        <f>資料儲存!I3893</f>
        <v>0</v>
      </c>
      <c r="AR69" s="49">
        <f>資料儲存!J3893</f>
        <v>0</v>
      </c>
      <c r="AT69" s="70">
        <v>52</v>
      </c>
      <c r="AU69" s="49">
        <f>資料儲存!D3953</f>
        <v>0</v>
      </c>
      <c r="AV69" s="49">
        <f>資料儲存!E3953</f>
        <v>0</v>
      </c>
      <c r="AW69" s="49">
        <f>資料儲存!F3953</f>
        <v>0</v>
      </c>
      <c r="AX69" s="49">
        <f>資料儲存!G3953</f>
        <v>0</v>
      </c>
      <c r="AY69" s="49">
        <f>資料儲存!H3953</f>
        <v>0</v>
      </c>
      <c r="AZ69" s="49">
        <f>資料儲存!I3953</f>
        <v>0</v>
      </c>
      <c r="BA69" s="49">
        <f>資料儲存!J3953</f>
        <v>0</v>
      </c>
    </row>
    <row r="70" spans="1:53" s="67" customFormat="1" ht="16" thickBot="1">
      <c r="A70" s="70">
        <v>53</v>
      </c>
      <c r="B70" s="49">
        <f>資料儲存!D3654</f>
        <v>0</v>
      </c>
      <c r="C70" s="49">
        <f>資料儲存!E3654</f>
        <v>0</v>
      </c>
      <c r="D70" s="49">
        <f>資料儲存!F3654</f>
        <v>0</v>
      </c>
      <c r="E70" s="49">
        <f>資料儲存!G3654</f>
        <v>0</v>
      </c>
      <c r="F70" s="49">
        <f>資料儲存!H3654</f>
        <v>0</v>
      </c>
      <c r="G70" s="49">
        <f>資料儲存!I3654</f>
        <v>0</v>
      </c>
      <c r="H70" s="49">
        <f>資料儲存!J3654</f>
        <v>0</v>
      </c>
      <c r="I70" s="52"/>
      <c r="J70" s="70">
        <v>53</v>
      </c>
      <c r="K70" s="49">
        <f>資料儲存!D3714</f>
        <v>0</v>
      </c>
      <c r="L70" s="49">
        <f>資料儲存!E3714</f>
        <v>0</v>
      </c>
      <c r="M70" s="49">
        <f>資料儲存!F3714</f>
        <v>0</v>
      </c>
      <c r="N70" s="49">
        <f>資料儲存!G3714</f>
        <v>0</v>
      </c>
      <c r="O70" s="49">
        <f>資料儲存!H3714</f>
        <v>0</v>
      </c>
      <c r="P70" s="49">
        <f>資料儲存!I3714</f>
        <v>0</v>
      </c>
      <c r="Q70" s="49">
        <f>資料儲存!J3714</f>
        <v>0</v>
      </c>
      <c r="R70" s="52"/>
      <c r="S70" s="70">
        <v>53</v>
      </c>
      <c r="T70" s="49">
        <f>資料儲存!D3774</f>
        <v>0</v>
      </c>
      <c r="U70" s="49">
        <f>資料儲存!E3774</f>
        <v>0</v>
      </c>
      <c r="V70" s="49">
        <f>資料儲存!F3774</f>
        <v>0</v>
      </c>
      <c r="W70" s="49">
        <f>資料儲存!G3774</f>
        <v>0</v>
      </c>
      <c r="X70" s="49">
        <f>資料儲存!H3774</f>
        <v>0</v>
      </c>
      <c r="Y70" s="49">
        <f>資料儲存!I3774</f>
        <v>0</v>
      </c>
      <c r="Z70" s="49">
        <f>資料儲存!J3774</f>
        <v>0</v>
      </c>
      <c r="AA70" s="52"/>
      <c r="AB70" s="70">
        <v>53</v>
      </c>
      <c r="AC70" s="49">
        <f>資料儲存!D3834</f>
        <v>0</v>
      </c>
      <c r="AD70" s="49">
        <f>資料儲存!E3834</f>
        <v>0</v>
      </c>
      <c r="AE70" s="49">
        <f>資料儲存!F3834</f>
        <v>0</v>
      </c>
      <c r="AF70" s="49">
        <f>資料儲存!G3834</f>
        <v>0</v>
      </c>
      <c r="AG70" s="49">
        <f>資料儲存!H3834</f>
        <v>0</v>
      </c>
      <c r="AH70" s="49">
        <f>資料儲存!I3834</f>
        <v>0</v>
      </c>
      <c r="AI70" s="49">
        <f>資料儲存!J3834</f>
        <v>0</v>
      </c>
      <c r="AJ70" s="52"/>
      <c r="AK70" s="70">
        <v>53</v>
      </c>
      <c r="AL70" s="49">
        <f>資料儲存!D3894</f>
        <v>0</v>
      </c>
      <c r="AM70" s="49">
        <f>資料儲存!E3894</f>
        <v>0</v>
      </c>
      <c r="AN70" s="49">
        <f>資料儲存!F3894</f>
        <v>0</v>
      </c>
      <c r="AO70" s="49">
        <f>資料儲存!G3894</f>
        <v>0</v>
      </c>
      <c r="AP70" s="49">
        <f>資料儲存!H3894</f>
        <v>0</v>
      </c>
      <c r="AQ70" s="49">
        <f>資料儲存!I3894</f>
        <v>0</v>
      </c>
      <c r="AR70" s="49">
        <f>資料儲存!J3894</f>
        <v>0</v>
      </c>
      <c r="AT70" s="70">
        <v>53</v>
      </c>
      <c r="AU70" s="49">
        <f>資料儲存!D3954</f>
        <v>0</v>
      </c>
      <c r="AV70" s="49">
        <f>資料儲存!E3954</f>
        <v>0</v>
      </c>
      <c r="AW70" s="49">
        <f>資料儲存!F3954</f>
        <v>0</v>
      </c>
      <c r="AX70" s="49">
        <f>資料儲存!G3954</f>
        <v>0</v>
      </c>
      <c r="AY70" s="49">
        <f>資料儲存!H3954</f>
        <v>0</v>
      </c>
      <c r="AZ70" s="49">
        <f>資料儲存!I3954</f>
        <v>0</v>
      </c>
      <c r="BA70" s="49">
        <f>資料儲存!J3954</f>
        <v>0</v>
      </c>
    </row>
    <row r="71" spans="1:53" s="67" customFormat="1" ht="16" thickBot="1">
      <c r="A71" s="70">
        <v>54</v>
      </c>
      <c r="B71" s="49">
        <f>資料儲存!D3655</f>
        <v>0</v>
      </c>
      <c r="C71" s="49">
        <f>資料儲存!E3655</f>
        <v>0</v>
      </c>
      <c r="D71" s="49">
        <f>資料儲存!F3655</f>
        <v>0</v>
      </c>
      <c r="E71" s="49">
        <f>資料儲存!G3655</f>
        <v>0</v>
      </c>
      <c r="F71" s="49">
        <f>資料儲存!H3655</f>
        <v>0</v>
      </c>
      <c r="G71" s="49">
        <f>資料儲存!I3655</f>
        <v>0</v>
      </c>
      <c r="H71" s="49">
        <f>資料儲存!J3655</f>
        <v>0</v>
      </c>
      <c r="I71" s="52"/>
      <c r="J71" s="70">
        <v>54</v>
      </c>
      <c r="K71" s="49">
        <f>資料儲存!D3715</f>
        <v>0</v>
      </c>
      <c r="L71" s="49">
        <f>資料儲存!E3715</f>
        <v>0</v>
      </c>
      <c r="M71" s="49">
        <f>資料儲存!F3715</f>
        <v>0</v>
      </c>
      <c r="N71" s="49">
        <f>資料儲存!G3715</f>
        <v>0</v>
      </c>
      <c r="O71" s="49">
        <f>資料儲存!H3715</f>
        <v>0</v>
      </c>
      <c r="P71" s="49">
        <f>資料儲存!I3715</f>
        <v>0</v>
      </c>
      <c r="Q71" s="49">
        <f>資料儲存!J3715</f>
        <v>0</v>
      </c>
      <c r="R71" s="52"/>
      <c r="S71" s="70">
        <v>54</v>
      </c>
      <c r="T71" s="49">
        <f>資料儲存!D3775</f>
        <v>0</v>
      </c>
      <c r="U71" s="49">
        <f>資料儲存!E3775</f>
        <v>0</v>
      </c>
      <c r="V71" s="49">
        <f>資料儲存!F3775</f>
        <v>0</v>
      </c>
      <c r="W71" s="49">
        <f>資料儲存!G3775</f>
        <v>0</v>
      </c>
      <c r="X71" s="49">
        <f>資料儲存!H3775</f>
        <v>0</v>
      </c>
      <c r="Y71" s="49">
        <f>資料儲存!I3775</f>
        <v>0</v>
      </c>
      <c r="Z71" s="49">
        <f>資料儲存!J3775</f>
        <v>0</v>
      </c>
      <c r="AA71" s="52"/>
      <c r="AB71" s="70">
        <v>54</v>
      </c>
      <c r="AC71" s="49">
        <f>資料儲存!D3835</f>
        <v>0</v>
      </c>
      <c r="AD71" s="49">
        <f>資料儲存!E3835</f>
        <v>0</v>
      </c>
      <c r="AE71" s="49">
        <f>資料儲存!F3835</f>
        <v>0</v>
      </c>
      <c r="AF71" s="49">
        <f>資料儲存!G3835</f>
        <v>0</v>
      </c>
      <c r="AG71" s="49">
        <f>資料儲存!H3835</f>
        <v>0</v>
      </c>
      <c r="AH71" s="49">
        <f>資料儲存!I3835</f>
        <v>0</v>
      </c>
      <c r="AI71" s="49">
        <f>資料儲存!J3835</f>
        <v>0</v>
      </c>
      <c r="AJ71" s="52"/>
      <c r="AK71" s="70">
        <v>54</v>
      </c>
      <c r="AL71" s="49">
        <f>資料儲存!D3895</f>
        <v>0</v>
      </c>
      <c r="AM71" s="49">
        <f>資料儲存!E3895</f>
        <v>0</v>
      </c>
      <c r="AN71" s="49">
        <f>資料儲存!F3895</f>
        <v>0</v>
      </c>
      <c r="AO71" s="49">
        <f>資料儲存!G3895</f>
        <v>0</v>
      </c>
      <c r="AP71" s="49">
        <f>資料儲存!H3895</f>
        <v>0</v>
      </c>
      <c r="AQ71" s="49">
        <f>資料儲存!I3895</f>
        <v>0</v>
      </c>
      <c r="AR71" s="49">
        <f>資料儲存!J3895</f>
        <v>0</v>
      </c>
      <c r="AT71" s="70">
        <v>54</v>
      </c>
      <c r="AU71" s="49">
        <f>資料儲存!D3955</f>
        <v>0</v>
      </c>
      <c r="AV71" s="49">
        <f>資料儲存!E3955</f>
        <v>0</v>
      </c>
      <c r="AW71" s="49">
        <f>資料儲存!F3955</f>
        <v>0</v>
      </c>
      <c r="AX71" s="49">
        <f>資料儲存!G3955</f>
        <v>0</v>
      </c>
      <c r="AY71" s="49">
        <f>資料儲存!H3955</f>
        <v>0</v>
      </c>
      <c r="AZ71" s="49">
        <f>資料儲存!I3955</f>
        <v>0</v>
      </c>
      <c r="BA71" s="49">
        <f>資料儲存!J3955</f>
        <v>0</v>
      </c>
    </row>
    <row r="72" spans="1:53" s="67" customFormat="1" ht="16" thickBot="1">
      <c r="A72" s="70">
        <v>55</v>
      </c>
      <c r="B72" s="49">
        <f>資料儲存!D3656</f>
        <v>0</v>
      </c>
      <c r="C72" s="49">
        <f>資料儲存!E3656</f>
        <v>0</v>
      </c>
      <c r="D72" s="49">
        <f>資料儲存!F3656</f>
        <v>0</v>
      </c>
      <c r="E72" s="49">
        <f>資料儲存!G3656</f>
        <v>0</v>
      </c>
      <c r="F72" s="49">
        <f>資料儲存!H3656</f>
        <v>0</v>
      </c>
      <c r="G72" s="49">
        <f>資料儲存!I3656</f>
        <v>0</v>
      </c>
      <c r="H72" s="49">
        <f>資料儲存!J3656</f>
        <v>0</v>
      </c>
      <c r="I72" s="52"/>
      <c r="J72" s="70">
        <v>55</v>
      </c>
      <c r="K72" s="49">
        <f>資料儲存!D3716</f>
        <v>0</v>
      </c>
      <c r="L72" s="49">
        <f>資料儲存!E3716</f>
        <v>0</v>
      </c>
      <c r="M72" s="49">
        <f>資料儲存!F3716</f>
        <v>0</v>
      </c>
      <c r="N72" s="49">
        <f>資料儲存!G3716</f>
        <v>0</v>
      </c>
      <c r="O72" s="49">
        <f>資料儲存!H3716</f>
        <v>0</v>
      </c>
      <c r="P72" s="49">
        <f>資料儲存!I3716</f>
        <v>0</v>
      </c>
      <c r="Q72" s="49">
        <f>資料儲存!J3716</f>
        <v>0</v>
      </c>
      <c r="R72" s="52"/>
      <c r="S72" s="70">
        <v>55</v>
      </c>
      <c r="T72" s="49">
        <f>資料儲存!D3776</f>
        <v>0</v>
      </c>
      <c r="U72" s="49">
        <f>資料儲存!E3776</f>
        <v>0</v>
      </c>
      <c r="V72" s="49">
        <f>資料儲存!F3776</f>
        <v>0</v>
      </c>
      <c r="W72" s="49">
        <f>資料儲存!G3776</f>
        <v>0</v>
      </c>
      <c r="X72" s="49">
        <f>資料儲存!H3776</f>
        <v>0</v>
      </c>
      <c r="Y72" s="49">
        <f>資料儲存!I3776</f>
        <v>0</v>
      </c>
      <c r="Z72" s="49">
        <f>資料儲存!J3776</f>
        <v>0</v>
      </c>
      <c r="AA72" s="52"/>
      <c r="AB72" s="70">
        <v>55</v>
      </c>
      <c r="AC72" s="49">
        <f>資料儲存!D3836</f>
        <v>0</v>
      </c>
      <c r="AD72" s="49">
        <f>資料儲存!E3836</f>
        <v>0</v>
      </c>
      <c r="AE72" s="49">
        <f>資料儲存!F3836</f>
        <v>0</v>
      </c>
      <c r="AF72" s="49">
        <f>資料儲存!G3836</f>
        <v>0</v>
      </c>
      <c r="AG72" s="49">
        <f>資料儲存!H3836</f>
        <v>0</v>
      </c>
      <c r="AH72" s="49">
        <f>資料儲存!I3836</f>
        <v>0</v>
      </c>
      <c r="AI72" s="49">
        <f>資料儲存!J3836</f>
        <v>0</v>
      </c>
      <c r="AJ72" s="52"/>
      <c r="AK72" s="70">
        <v>55</v>
      </c>
      <c r="AL72" s="49">
        <f>資料儲存!D3896</f>
        <v>0</v>
      </c>
      <c r="AM72" s="49">
        <f>資料儲存!E3896</f>
        <v>0</v>
      </c>
      <c r="AN72" s="49">
        <f>資料儲存!F3896</f>
        <v>0</v>
      </c>
      <c r="AO72" s="49">
        <f>資料儲存!G3896</f>
        <v>0</v>
      </c>
      <c r="AP72" s="49">
        <f>資料儲存!H3896</f>
        <v>0</v>
      </c>
      <c r="AQ72" s="49">
        <f>資料儲存!I3896</f>
        <v>0</v>
      </c>
      <c r="AR72" s="49">
        <f>資料儲存!J3896</f>
        <v>0</v>
      </c>
      <c r="AT72" s="70">
        <v>55</v>
      </c>
      <c r="AU72" s="49">
        <f>資料儲存!D3956</f>
        <v>0</v>
      </c>
      <c r="AV72" s="49">
        <f>資料儲存!E3956</f>
        <v>0</v>
      </c>
      <c r="AW72" s="49">
        <f>資料儲存!F3956</f>
        <v>0</v>
      </c>
      <c r="AX72" s="49">
        <f>資料儲存!G3956</f>
        <v>0</v>
      </c>
      <c r="AY72" s="49">
        <f>資料儲存!H3956</f>
        <v>0</v>
      </c>
      <c r="AZ72" s="49">
        <f>資料儲存!I3956</f>
        <v>0</v>
      </c>
      <c r="BA72" s="49">
        <f>資料儲存!J3956</f>
        <v>0</v>
      </c>
    </row>
    <row r="73" spans="1:53" s="67" customFormat="1" ht="16" thickBot="1">
      <c r="A73" s="70">
        <v>56</v>
      </c>
      <c r="B73" s="49">
        <f>資料儲存!D3657</f>
        <v>0</v>
      </c>
      <c r="C73" s="49">
        <f>資料儲存!E3657</f>
        <v>0</v>
      </c>
      <c r="D73" s="49">
        <f>資料儲存!F3657</f>
        <v>0</v>
      </c>
      <c r="E73" s="49">
        <f>資料儲存!G3657</f>
        <v>0</v>
      </c>
      <c r="F73" s="49">
        <f>資料儲存!H3657</f>
        <v>0</v>
      </c>
      <c r="G73" s="49">
        <f>資料儲存!I3657</f>
        <v>0</v>
      </c>
      <c r="H73" s="49">
        <f>資料儲存!J3657</f>
        <v>0</v>
      </c>
      <c r="I73" s="52"/>
      <c r="J73" s="70">
        <v>56</v>
      </c>
      <c r="K73" s="49">
        <f>資料儲存!D3717</f>
        <v>0</v>
      </c>
      <c r="L73" s="49">
        <f>資料儲存!E3717</f>
        <v>0</v>
      </c>
      <c r="M73" s="49">
        <f>資料儲存!F3717</f>
        <v>0</v>
      </c>
      <c r="N73" s="49">
        <f>資料儲存!G3717</f>
        <v>0</v>
      </c>
      <c r="O73" s="49">
        <f>資料儲存!H3717</f>
        <v>0</v>
      </c>
      <c r="P73" s="49">
        <f>資料儲存!I3717</f>
        <v>0</v>
      </c>
      <c r="Q73" s="49">
        <f>資料儲存!J3717</f>
        <v>0</v>
      </c>
      <c r="R73" s="52"/>
      <c r="S73" s="70">
        <v>56</v>
      </c>
      <c r="T73" s="49">
        <f>資料儲存!D3777</f>
        <v>0</v>
      </c>
      <c r="U73" s="49">
        <f>資料儲存!E3777</f>
        <v>0</v>
      </c>
      <c r="V73" s="49">
        <f>資料儲存!F3777</f>
        <v>0</v>
      </c>
      <c r="W73" s="49">
        <f>資料儲存!G3777</f>
        <v>0</v>
      </c>
      <c r="X73" s="49">
        <f>資料儲存!H3777</f>
        <v>0</v>
      </c>
      <c r="Y73" s="49">
        <f>資料儲存!I3777</f>
        <v>0</v>
      </c>
      <c r="Z73" s="49">
        <f>資料儲存!J3777</f>
        <v>0</v>
      </c>
      <c r="AA73" s="52"/>
      <c r="AB73" s="70">
        <v>56</v>
      </c>
      <c r="AC73" s="49">
        <f>資料儲存!D3837</f>
        <v>0</v>
      </c>
      <c r="AD73" s="49">
        <f>資料儲存!E3837</f>
        <v>0</v>
      </c>
      <c r="AE73" s="49">
        <f>資料儲存!F3837</f>
        <v>0</v>
      </c>
      <c r="AF73" s="49">
        <f>資料儲存!G3837</f>
        <v>0</v>
      </c>
      <c r="AG73" s="49">
        <f>資料儲存!H3837</f>
        <v>0</v>
      </c>
      <c r="AH73" s="49">
        <f>資料儲存!I3837</f>
        <v>0</v>
      </c>
      <c r="AI73" s="49">
        <f>資料儲存!J3837</f>
        <v>0</v>
      </c>
      <c r="AJ73" s="52"/>
      <c r="AK73" s="70">
        <v>56</v>
      </c>
      <c r="AL73" s="49">
        <f>資料儲存!D3897</f>
        <v>0</v>
      </c>
      <c r="AM73" s="49">
        <f>資料儲存!E3897</f>
        <v>0</v>
      </c>
      <c r="AN73" s="49">
        <f>資料儲存!F3897</f>
        <v>0</v>
      </c>
      <c r="AO73" s="49">
        <f>資料儲存!G3897</f>
        <v>0</v>
      </c>
      <c r="AP73" s="49">
        <f>資料儲存!H3897</f>
        <v>0</v>
      </c>
      <c r="AQ73" s="49">
        <f>資料儲存!I3897</f>
        <v>0</v>
      </c>
      <c r="AR73" s="49">
        <f>資料儲存!J3897</f>
        <v>0</v>
      </c>
      <c r="AT73" s="70">
        <v>56</v>
      </c>
      <c r="AU73" s="49">
        <f>資料儲存!D3957</f>
        <v>0</v>
      </c>
      <c r="AV73" s="49">
        <f>資料儲存!E3957</f>
        <v>0</v>
      </c>
      <c r="AW73" s="49">
        <f>資料儲存!F3957</f>
        <v>0</v>
      </c>
      <c r="AX73" s="49">
        <f>資料儲存!G3957</f>
        <v>0</v>
      </c>
      <c r="AY73" s="49">
        <f>資料儲存!H3957</f>
        <v>0</v>
      </c>
      <c r="AZ73" s="49">
        <f>資料儲存!I3957</f>
        <v>0</v>
      </c>
      <c r="BA73" s="49">
        <f>資料儲存!J3957</f>
        <v>0</v>
      </c>
    </row>
    <row r="74" spans="1:53" s="67" customFormat="1" ht="16" thickBot="1">
      <c r="A74" s="70">
        <v>57</v>
      </c>
      <c r="B74" s="49">
        <f>資料儲存!D3658</f>
        <v>0</v>
      </c>
      <c r="C74" s="49">
        <f>資料儲存!E3658</f>
        <v>0</v>
      </c>
      <c r="D74" s="49">
        <f>資料儲存!F3658</f>
        <v>0</v>
      </c>
      <c r="E74" s="49">
        <f>資料儲存!G3658</f>
        <v>0</v>
      </c>
      <c r="F74" s="49">
        <f>資料儲存!H3658</f>
        <v>0</v>
      </c>
      <c r="G74" s="49">
        <f>資料儲存!I3658</f>
        <v>0</v>
      </c>
      <c r="H74" s="49">
        <f>資料儲存!J3658</f>
        <v>0</v>
      </c>
      <c r="I74" s="52"/>
      <c r="J74" s="70">
        <v>57</v>
      </c>
      <c r="K74" s="49">
        <f>資料儲存!D3718</f>
        <v>0</v>
      </c>
      <c r="L74" s="49">
        <f>資料儲存!E3718</f>
        <v>0</v>
      </c>
      <c r="M74" s="49">
        <f>資料儲存!F3718</f>
        <v>0</v>
      </c>
      <c r="N74" s="49">
        <f>資料儲存!G3718</f>
        <v>0</v>
      </c>
      <c r="O74" s="49">
        <f>資料儲存!H3718</f>
        <v>0</v>
      </c>
      <c r="P74" s="49">
        <f>資料儲存!I3718</f>
        <v>0</v>
      </c>
      <c r="Q74" s="49">
        <f>資料儲存!J3718</f>
        <v>0</v>
      </c>
      <c r="R74" s="52"/>
      <c r="S74" s="70">
        <v>57</v>
      </c>
      <c r="T74" s="49">
        <f>資料儲存!D3778</f>
        <v>0</v>
      </c>
      <c r="U74" s="49">
        <f>資料儲存!E3778</f>
        <v>0</v>
      </c>
      <c r="V74" s="49">
        <f>資料儲存!F3778</f>
        <v>0</v>
      </c>
      <c r="W74" s="49">
        <f>資料儲存!G3778</f>
        <v>0</v>
      </c>
      <c r="X74" s="49">
        <f>資料儲存!H3778</f>
        <v>0</v>
      </c>
      <c r="Y74" s="49">
        <f>資料儲存!I3778</f>
        <v>0</v>
      </c>
      <c r="Z74" s="49">
        <f>資料儲存!J3778</f>
        <v>0</v>
      </c>
      <c r="AA74" s="52"/>
      <c r="AB74" s="70">
        <v>57</v>
      </c>
      <c r="AC74" s="49">
        <f>資料儲存!D3838</f>
        <v>0</v>
      </c>
      <c r="AD74" s="49">
        <f>資料儲存!E3838</f>
        <v>0</v>
      </c>
      <c r="AE74" s="49">
        <f>資料儲存!F3838</f>
        <v>0</v>
      </c>
      <c r="AF74" s="49">
        <f>資料儲存!G3838</f>
        <v>0</v>
      </c>
      <c r="AG74" s="49">
        <f>資料儲存!H3838</f>
        <v>0</v>
      </c>
      <c r="AH74" s="49">
        <f>資料儲存!I3838</f>
        <v>0</v>
      </c>
      <c r="AI74" s="49">
        <f>資料儲存!J3838</f>
        <v>0</v>
      </c>
      <c r="AJ74" s="52"/>
      <c r="AK74" s="70">
        <v>57</v>
      </c>
      <c r="AL74" s="49">
        <f>資料儲存!D3898</f>
        <v>0</v>
      </c>
      <c r="AM74" s="49">
        <f>資料儲存!E3898</f>
        <v>0</v>
      </c>
      <c r="AN74" s="49">
        <f>資料儲存!F3898</f>
        <v>0</v>
      </c>
      <c r="AO74" s="49">
        <f>資料儲存!G3898</f>
        <v>0</v>
      </c>
      <c r="AP74" s="49">
        <f>資料儲存!H3898</f>
        <v>0</v>
      </c>
      <c r="AQ74" s="49">
        <f>資料儲存!I3898</f>
        <v>0</v>
      </c>
      <c r="AR74" s="49">
        <f>資料儲存!J3898</f>
        <v>0</v>
      </c>
      <c r="AT74" s="70">
        <v>57</v>
      </c>
      <c r="AU74" s="49">
        <f>資料儲存!D3958</f>
        <v>0</v>
      </c>
      <c r="AV74" s="49">
        <f>資料儲存!E3958</f>
        <v>0</v>
      </c>
      <c r="AW74" s="49">
        <f>資料儲存!F3958</f>
        <v>0</v>
      </c>
      <c r="AX74" s="49">
        <f>資料儲存!G3958</f>
        <v>0</v>
      </c>
      <c r="AY74" s="49">
        <f>資料儲存!H3958</f>
        <v>0</v>
      </c>
      <c r="AZ74" s="49">
        <f>資料儲存!I3958</f>
        <v>0</v>
      </c>
      <c r="BA74" s="49">
        <f>資料儲存!J3958</f>
        <v>0</v>
      </c>
    </row>
    <row r="75" spans="1:53" s="67" customFormat="1" ht="16" thickBot="1">
      <c r="A75" s="70">
        <v>58</v>
      </c>
      <c r="B75" s="49">
        <f>資料儲存!D3659</f>
        <v>0</v>
      </c>
      <c r="C75" s="49">
        <f>資料儲存!E3659</f>
        <v>0</v>
      </c>
      <c r="D75" s="49">
        <f>資料儲存!F3659</f>
        <v>0</v>
      </c>
      <c r="E75" s="49">
        <f>資料儲存!G3659</f>
        <v>0</v>
      </c>
      <c r="F75" s="49">
        <f>資料儲存!H3659</f>
        <v>0</v>
      </c>
      <c r="G75" s="49">
        <f>資料儲存!I3659</f>
        <v>0</v>
      </c>
      <c r="H75" s="49">
        <f>資料儲存!J3659</f>
        <v>0</v>
      </c>
      <c r="I75" s="52"/>
      <c r="J75" s="70">
        <v>58</v>
      </c>
      <c r="K75" s="49">
        <f>資料儲存!D3719</f>
        <v>0</v>
      </c>
      <c r="L75" s="49">
        <f>資料儲存!E3719</f>
        <v>0</v>
      </c>
      <c r="M75" s="49">
        <f>資料儲存!F3719</f>
        <v>0</v>
      </c>
      <c r="N75" s="49">
        <f>資料儲存!G3719</f>
        <v>0</v>
      </c>
      <c r="O75" s="49">
        <f>資料儲存!H3719</f>
        <v>0</v>
      </c>
      <c r="P75" s="49">
        <f>資料儲存!I3719</f>
        <v>0</v>
      </c>
      <c r="Q75" s="49">
        <f>資料儲存!J3719</f>
        <v>0</v>
      </c>
      <c r="R75" s="52"/>
      <c r="S75" s="70">
        <v>58</v>
      </c>
      <c r="T75" s="49">
        <f>資料儲存!D3779</f>
        <v>0</v>
      </c>
      <c r="U75" s="49">
        <f>資料儲存!E3779</f>
        <v>0</v>
      </c>
      <c r="V75" s="49">
        <f>資料儲存!F3779</f>
        <v>0</v>
      </c>
      <c r="W75" s="49">
        <f>資料儲存!G3779</f>
        <v>0</v>
      </c>
      <c r="X75" s="49">
        <f>資料儲存!H3779</f>
        <v>0</v>
      </c>
      <c r="Y75" s="49">
        <f>資料儲存!I3779</f>
        <v>0</v>
      </c>
      <c r="Z75" s="49">
        <f>資料儲存!J3779</f>
        <v>0</v>
      </c>
      <c r="AA75" s="52"/>
      <c r="AB75" s="70">
        <v>58</v>
      </c>
      <c r="AC75" s="49">
        <f>資料儲存!D3839</f>
        <v>0</v>
      </c>
      <c r="AD75" s="49">
        <f>資料儲存!E3839</f>
        <v>0</v>
      </c>
      <c r="AE75" s="49">
        <f>資料儲存!F3839</f>
        <v>0</v>
      </c>
      <c r="AF75" s="49">
        <f>資料儲存!G3839</f>
        <v>0</v>
      </c>
      <c r="AG75" s="49">
        <f>資料儲存!H3839</f>
        <v>0</v>
      </c>
      <c r="AH75" s="49">
        <f>資料儲存!I3839</f>
        <v>0</v>
      </c>
      <c r="AI75" s="49">
        <f>資料儲存!J3839</f>
        <v>0</v>
      </c>
      <c r="AJ75" s="52"/>
      <c r="AK75" s="70">
        <v>58</v>
      </c>
      <c r="AL75" s="49">
        <f>資料儲存!D3899</f>
        <v>0</v>
      </c>
      <c r="AM75" s="49">
        <f>資料儲存!E3899</f>
        <v>0</v>
      </c>
      <c r="AN75" s="49">
        <f>資料儲存!F3899</f>
        <v>0</v>
      </c>
      <c r="AO75" s="49">
        <f>資料儲存!G3899</f>
        <v>0</v>
      </c>
      <c r="AP75" s="49">
        <f>資料儲存!H3899</f>
        <v>0</v>
      </c>
      <c r="AQ75" s="49">
        <f>資料儲存!I3899</f>
        <v>0</v>
      </c>
      <c r="AR75" s="49">
        <f>資料儲存!J3899</f>
        <v>0</v>
      </c>
      <c r="AT75" s="70">
        <v>58</v>
      </c>
      <c r="AU75" s="49">
        <f>資料儲存!D3959</f>
        <v>0</v>
      </c>
      <c r="AV75" s="49">
        <f>資料儲存!E3959</f>
        <v>0</v>
      </c>
      <c r="AW75" s="49">
        <f>資料儲存!F3959</f>
        <v>0</v>
      </c>
      <c r="AX75" s="49">
        <f>資料儲存!G3959</f>
        <v>0</v>
      </c>
      <c r="AY75" s="49">
        <f>資料儲存!H3959</f>
        <v>0</v>
      </c>
      <c r="AZ75" s="49">
        <f>資料儲存!I3959</f>
        <v>0</v>
      </c>
      <c r="BA75" s="49">
        <f>資料儲存!J3959</f>
        <v>0</v>
      </c>
    </row>
    <row r="76" spans="1:53" s="67" customFormat="1" ht="16" thickBot="1">
      <c r="A76" s="70">
        <v>59</v>
      </c>
      <c r="B76" s="49">
        <f>資料儲存!D3660</f>
        <v>0</v>
      </c>
      <c r="C76" s="49">
        <f>資料儲存!E3660</f>
        <v>0</v>
      </c>
      <c r="D76" s="49">
        <f>資料儲存!F3660</f>
        <v>0</v>
      </c>
      <c r="E76" s="49">
        <f>資料儲存!G3660</f>
        <v>0</v>
      </c>
      <c r="F76" s="49">
        <f>資料儲存!H3660</f>
        <v>0</v>
      </c>
      <c r="G76" s="49">
        <f>資料儲存!I3660</f>
        <v>0</v>
      </c>
      <c r="H76" s="49">
        <f>資料儲存!J3660</f>
        <v>0</v>
      </c>
      <c r="I76" s="52"/>
      <c r="J76" s="70">
        <v>59</v>
      </c>
      <c r="K76" s="49">
        <f>資料儲存!D3720</f>
        <v>0</v>
      </c>
      <c r="L76" s="49">
        <f>資料儲存!E3720</f>
        <v>0</v>
      </c>
      <c r="M76" s="49">
        <f>資料儲存!F3720</f>
        <v>0</v>
      </c>
      <c r="N76" s="49">
        <f>資料儲存!G3720</f>
        <v>0</v>
      </c>
      <c r="O76" s="49">
        <f>資料儲存!H3720</f>
        <v>0</v>
      </c>
      <c r="P76" s="49">
        <f>資料儲存!I3720</f>
        <v>0</v>
      </c>
      <c r="Q76" s="49">
        <f>資料儲存!J3720</f>
        <v>0</v>
      </c>
      <c r="R76" s="52"/>
      <c r="S76" s="70">
        <v>59</v>
      </c>
      <c r="T76" s="49">
        <f>資料儲存!D3780</f>
        <v>0</v>
      </c>
      <c r="U76" s="49">
        <f>資料儲存!E3780</f>
        <v>0</v>
      </c>
      <c r="V76" s="49">
        <f>資料儲存!F3780</f>
        <v>0</v>
      </c>
      <c r="W76" s="49">
        <f>資料儲存!G3780</f>
        <v>0</v>
      </c>
      <c r="X76" s="49">
        <f>資料儲存!H3780</f>
        <v>0</v>
      </c>
      <c r="Y76" s="49">
        <f>資料儲存!I3780</f>
        <v>0</v>
      </c>
      <c r="Z76" s="49">
        <f>資料儲存!J3780</f>
        <v>0</v>
      </c>
      <c r="AA76" s="52"/>
      <c r="AB76" s="70">
        <v>59</v>
      </c>
      <c r="AC76" s="49">
        <f>資料儲存!D3840</f>
        <v>0</v>
      </c>
      <c r="AD76" s="49">
        <f>資料儲存!E3840</f>
        <v>0</v>
      </c>
      <c r="AE76" s="49">
        <f>資料儲存!F3840</f>
        <v>0</v>
      </c>
      <c r="AF76" s="49">
        <f>資料儲存!G3840</f>
        <v>0</v>
      </c>
      <c r="AG76" s="49">
        <f>資料儲存!H3840</f>
        <v>0</v>
      </c>
      <c r="AH76" s="49">
        <f>資料儲存!I3840</f>
        <v>0</v>
      </c>
      <c r="AI76" s="49">
        <f>資料儲存!J3840</f>
        <v>0</v>
      </c>
      <c r="AJ76" s="52"/>
      <c r="AK76" s="70">
        <v>59</v>
      </c>
      <c r="AL76" s="49">
        <f>資料儲存!D3900</f>
        <v>0</v>
      </c>
      <c r="AM76" s="49">
        <f>資料儲存!E3900</f>
        <v>0</v>
      </c>
      <c r="AN76" s="49">
        <f>資料儲存!F3900</f>
        <v>0</v>
      </c>
      <c r="AO76" s="49">
        <f>資料儲存!G3900</f>
        <v>0</v>
      </c>
      <c r="AP76" s="49">
        <f>資料儲存!H3900</f>
        <v>0</v>
      </c>
      <c r="AQ76" s="49">
        <f>資料儲存!I3900</f>
        <v>0</v>
      </c>
      <c r="AR76" s="49">
        <f>資料儲存!J3900</f>
        <v>0</v>
      </c>
      <c r="AT76" s="70">
        <v>59</v>
      </c>
      <c r="AU76" s="49">
        <f>資料儲存!D3960</f>
        <v>0</v>
      </c>
      <c r="AV76" s="49">
        <f>資料儲存!E3960</f>
        <v>0</v>
      </c>
      <c r="AW76" s="49">
        <f>資料儲存!F3960</f>
        <v>0</v>
      </c>
      <c r="AX76" s="49">
        <f>資料儲存!G3960</f>
        <v>0</v>
      </c>
      <c r="AY76" s="49">
        <f>資料儲存!H3960</f>
        <v>0</v>
      </c>
      <c r="AZ76" s="49">
        <f>資料儲存!I3960</f>
        <v>0</v>
      </c>
      <c r="BA76" s="49">
        <f>資料儲存!J3960</f>
        <v>0</v>
      </c>
    </row>
    <row r="77" spans="1:53" s="67" customFormat="1" ht="16" thickBot="1">
      <c r="A77" s="70">
        <v>60</v>
      </c>
      <c r="B77" s="49">
        <f>資料儲存!D3661</f>
        <v>0</v>
      </c>
      <c r="C77" s="49">
        <f>資料儲存!E3661</f>
        <v>0</v>
      </c>
      <c r="D77" s="49">
        <f>資料儲存!F3661</f>
        <v>0</v>
      </c>
      <c r="E77" s="49">
        <f>資料儲存!G3661</f>
        <v>0</v>
      </c>
      <c r="F77" s="49">
        <f>資料儲存!H3661</f>
        <v>0</v>
      </c>
      <c r="G77" s="49">
        <f>資料儲存!I3661</f>
        <v>0</v>
      </c>
      <c r="H77" s="49">
        <f>資料儲存!J3661</f>
        <v>0</v>
      </c>
      <c r="I77" s="52"/>
      <c r="J77" s="70">
        <v>60</v>
      </c>
      <c r="K77" s="49">
        <f>資料儲存!D3721</f>
        <v>0</v>
      </c>
      <c r="L77" s="49">
        <f>資料儲存!E3721</f>
        <v>0</v>
      </c>
      <c r="M77" s="49">
        <f>資料儲存!F3721</f>
        <v>0</v>
      </c>
      <c r="N77" s="49">
        <f>資料儲存!G3721</f>
        <v>0</v>
      </c>
      <c r="O77" s="49">
        <f>資料儲存!H3721</f>
        <v>0</v>
      </c>
      <c r="P77" s="49">
        <f>資料儲存!I3721</f>
        <v>0</v>
      </c>
      <c r="Q77" s="49">
        <f>資料儲存!J3721</f>
        <v>0</v>
      </c>
      <c r="R77" s="52"/>
      <c r="S77" s="70">
        <v>60</v>
      </c>
      <c r="T77" s="49">
        <f>資料儲存!D3781</f>
        <v>0</v>
      </c>
      <c r="U77" s="49">
        <f>資料儲存!E3781</f>
        <v>0</v>
      </c>
      <c r="V77" s="49">
        <f>資料儲存!F3781</f>
        <v>0</v>
      </c>
      <c r="W77" s="49">
        <f>資料儲存!G3781</f>
        <v>0</v>
      </c>
      <c r="X77" s="49">
        <f>資料儲存!H3781</f>
        <v>0</v>
      </c>
      <c r="Y77" s="49">
        <f>資料儲存!I3781</f>
        <v>0</v>
      </c>
      <c r="Z77" s="49">
        <f>資料儲存!J3781</f>
        <v>0</v>
      </c>
      <c r="AA77" s="52"/>
      <c r="AB77" s="70">
        <v>60</v>
      </c>
      <c r="AC77" s="49">
        <f>資料儲存!D3841</f>
        <v>0</v>
      </c>
      <c r="AD77" s="49">
        <f>資料儲存!E3841</f>
        <v>0</v>
      </c>
      <c r="AE77" s="49">
        <f>資料儲存!F3841</f>
        <v>0</v>
      </c>
      <c r="AF77" s="49">
        <f>資料儲存!G3841</f>
        <v>0</v>
      </c>
      <c r="AG77" s="49">
        <f>資料儲存!H3841</f>
        <v>0</v>
      </c>
      <c r="AH77" s="49">
        <f>資料儲存!I3841</f>
        <v>0</v>
      </c>
      <c r="AI77" s="49">
        <f>資料儲存!J3841</f>
        <v>0</v>
      </c>
      <c r="AJ77" s="52"/>
      <c r="AK77" s="70">
        <v>60</v>
      </c>
      <c r="AL77" s="49">
        <f>資料儲存!D3901</f>
        <v>0</v>
      </c>
      <c r="AM77" s="49">
        <f>資料儲存!E3901</f>
        <v>0</v>
      </c>
      <c r="AN77" s="49">
        <f>資料儲存!F3901</f>
        <v>0</v>
      </c>
      <c r="AO77" s="49">
        <f>資料儲存!G3901</f>
        <v>0</v>
      </c>
      <c r="AP77" s="49">
        <f>資料儲存!H3901</f>
        <v>0</v>
      </c>
      <c r="AQ77" s="49">
        <f>資料儲存!I3901</f>
        <v>0</v>
      </c>
      <c r="AR77" s="49">
        <f>資料儲存!J3901</f>
        <v>0</v>
      </c>
      <c r="AT77" s="70">
        <v>60</v>
      </c>
      <c r="AU77" s="49">
        <f>資料儲存!D3961</f>
        <v>0</v>
      </c>
      <c r="AV77" s="49">
        <f>資料儲存!E3961</f>
        <v>0</v>
      </c>
      <c r="AW77" s="49">
        <f>資料儲存!F3961</f>
        <v>0</v>
      </c>
      <c r="AX77" s="49">
        <f>資料儲存!G3961</f>
        <v>0</v>
      </c>
      <c r="AY77" s="49">
        <f>資料儲存!H3961</f>
        <v>0</v>
      </c>
      <c r="AZ77" s="49">
        <f>資料儲存!I3961</f>
        <v>0</v>
      </c>
      <c r="BA77" s="49">
        <f>資料儲存!J3961</f>
        <v>0</v>
      </c>
    </row>
    <row r="78" spans="1:53" s="67" customFormat="1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0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  <c r="AT78" s="50" t="s">
        <v>56</v>
      </c>
      <c r="AU78" s="49">
        <f>SUM(AU63:AX77)</f>
        <v>0</v>
      </c>
      <c r="AV78" s="47"/>
      <c r="AW78" s="47"/>
      <c r="AX78" s="47"/>
      <c r="AY78" s="49">
        <f>AY77</f>
        <v>0</v>
      </c>
      <c r="AZ78" s="49">
        <f>AZ77</f>
        <v>0</v>
      </c>
      <c r="BA78" s="49">
        <f>BA77</f>
        <v>0</v>
      </c>
    </row>
  </sheetData>
  <mergeCells count="36">
    <mergeCell ref="A1:H1"/>
    <mergeCell ref="J1:Q1"/>
    <mergeCell ref="S1:Z1"/>
    <mergeCell ref="AB1:AI1"/>
    <mergeCell ref="A2:H2"/>
    <mergeCell ref="J2:Q2"/>
    <mergeCell ref="S2:Z2"/>
    <mergeCell ref="AB2:AI2"/>
    <mergeCell ref="A3:H3"/>
    <mergeCell ref="J3:Q3"/>
    <mergeCell ref="S3:Z3"/>
    <mergeCell ref="AB3:AI3"/>
    <mergeCell ref="A22:H22"/>
    <mergeCell ref="J22:Q22"/>
    <mergeCell ref="S22:Z22"/>
    <mergeCell ref="AB22:AI22"/>
    <mergeCell ref="A41:H41"/>
    <mergeCell ref="J41:Q41"/>
    <mergeCell ref="S41:Z41"/>
    <mergeCell ref="AB41:AI41"/>
    <mergeCell ref="A60:H60"/>
    <mergeCell ref="J60:Q60"/>
    <mergeCell ref="S60:Z60"/>
    <mergeCell ref="AB60:AI60"/>
    <mergeCell ref="AT60:BA60"/>
    <mergeCell ref="AK1:AR1"/>
    <mergeCell ref="AK2:AR2"/>
    <mergeCell ref="AK3:AR3"/>
    <mergeCell ref="AK22:AR22"/>
    <mergeCell ref="AK41:AR41"/>
    <mergeCell ref="AK60:AR60"/>
    <mergeCell ref="AT1:BA1"/>
    <mergeCell ref="AT2:BA2"/>
    <mergeCell ref="AT3:BA3"/>
    <mergeCell ref="AT22:BA22"/>
    <mergeCell ref="AT41:BA41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1" manualBreakCount="1">
    <brk id="40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BA78"/>
  <sheetViews>
    <sheetView zoomScale="70" zoomScaleNormal="70" zoomScaleSheetLayoutView="70" workbookViewId="0">
      <pane ySplit="1" topLeftCell="A2" activePane="bottomLeft" state="frozen"/>
      <selection pane="bottomLeft" sqref="A1:H1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44" width="10.08984375" style="1"/>
    <col min="45" max="45" width="2.08984375" style="1" customWidth="1"/>
    <col min="46" max="16384" width="10.08984375" style="1"/>
  </cols>
  <sheetData>
    <row r="1" spans="1:53" s="11" customFormat="1" ht="18.5" thickBot="1">
      <c r="A1" s="254" t="str">
        <f>基本資料!$H$11</f>
        <v>假日(1430-1530)</v>
      </c>
      <c r="B1" s="255"/>
      <c r="C1" s="255"/>
      <c r="D1" s="255"/>
      <c r="E1" s="255"/>
      <c r="F1" s="255"/>
      <c r="G1" s="255"/>
      <c r="H1" s="256"/>
      <c r="J1" s="254" t="str">
        <f>基本資料!$H$11</f>
        <v>假日(1430-1530)</v>
      </c>
      <c r="K1" s="255"/>
      <c r="L1" s="255"/>
      <c r="M1" s="255"/>
      <c r="N1" s="255"/>
      <c r="O1" s="255"/>
      <c r="P1" s="255"/>
      <c r="Q1" s="256"/>
      <c r="S1" s="254" t="str">
        <f>基本資料!$H$11</f>
        <v>假日(1430-1530)</v>
      </c>
      <c r="T1" s="255"/>
      <c r="U1" s="255"/>
      <c r="V1" s="255"/>
      <c r="W1" s="255"/>
      <c r="X1" s="255"/>
      <c r="Y1" s="255"/>
      <c r="Z1" s="256"/>
      <c r="AB1" s="254" t="str">
        <f>基本資料!$H$11</f>
        <v>假日(1430-1530)</v>
      </c>
      <c r="AC1" s="255"/>
      <c r="AD1" s="255"/>
      <c r="AE1" s="255"/>
      <c r="AF1" s="255"/>
      <c r="AG1" s="255"/>
      <c r="AH1" s="255"/>
      <c r="AI1" s="256"/>
      <c r="AK1" s="254" t="str">
        <f>基本資料!$H$11</f>
        <v>假日(1430-1530)</v>
      </c>
      <c r="AL1" s="255"/>
      <c r="AM1" s="255"/>
      <c r="AN1" s="255"/>
      <c r="AO1" s="255"/>
      <c r="AP1" s="255"/>
      <c r="AQ1" s="255"/>
      <c r="AR1" s="256"/>
      <c r="AT1" s="254" t="str">
        <f>基本資料!$H$11</f>
        <v>假日(1430-1530)</v>
      </c>
      <c r="AU1" s="255"/>
      <c r="AV1" s="255"/>
      <c r="AW1" s="255"/>
      <c r="AX1" s="255"/>
      <c r="AY1" s="255"/>
      <c r="AZ1" s="255"/>
      <c r="BA1" s="256"/>
    </row>
    <row r="2" spans="1:53" ht="18.5" thickBot="1">
      <c r="A2" s="251" t="str">
        <f>CONCATENATE(基本資料!B18,"方向：",基本資料!B19,基本資料!B20)</f>
        <v>A方向：</v>
      </c>
      <c r="B2" s="252"/>
      <c r="C2" s="252"/>
      <c r="D2" s="252"/>
      <c r="E2" s="252"/>
      <c r="F2" s="252"/>
      <c r="G2" s="252"/>
      <c r="H2" s="253"/>
      <c r="I2" s="1"/>
      <c r="J2" s="251" t="str">
        <f>CONCATENATE(基本資料!C18,"方向：",基本資料!C19,基本資料!C20)</f>
        <v>B方向：</v>
      </c>
      <c r="K2" s="252"/>
      <c r="L2" s="252"/>
      <c r="M2" s="252"/>
      <c r="N2" s="252"/>
      <c r="O2" s="252"/>
      <c r="P2" s="252"/>
      <c r="Q2" s="253"/>
      <c r="R2" s="1"/>
      <c r="S2" s="251" t="str">
        <f>CONCATENATE(基本資料!D18,"方向：",基本資料!D19,基本資料!D20)</f>
        <v>C方向：</v>
      </c>
      <c r="T2" s="252"/>
      <c r="U2" s="252"/>
      <c r="V2" s="252"/>
      <c r="W2" s="252"/>
      <c r="X2" s="252"/>
      <c r="Y2" s="252"/>
      <c r="Z2" s="253"/>
      <c r="AA2" s="1"/>
      <c r="AB2" s="251" t="str">
        <f>CONCATENATE(基本資料!E18,"方向：",基本資料!E19,基本資料!E20)</f>
        <v>D方向：</v>
      </c>
      <c r="AC2" s="252"/>
      <c r="AD2" s="252"/>
      <c r="AE2" s="252"/>
      <c r="AF2" s="252"/>
      <c r="AG2" s="252"/>
      <c r="AH2" s="252"/>
      <c r="AI2" s="253"/>
      <c r="AJ2" s="1"/>
      <c r="AK2" s="251" t="str">
        <f>CONCATENATE(基本資料!F18,"方向：",基本資料!F19,基本資料!F20)</f>
        <v>E方向：</v>
      </c>
      <c r="AL2" s="252"/>
      <c r="AM2" s="252"/>
      <c r="AN2" s="252"/>
      <c r="AO2" s="252"/>
      <c r="AP2" s="252"/>
      <c r="AQ2" s="252"/>
      <c r="AR2" s="253"/>
      <c r="AT2" s="251" t="str">
        <f>CONCATENATE(基本資料!G18,"方向：",基本資料!G19,基本資料!G20)</f>
        <v>F方向：</v>
      </c>
      <c r="AU2" s="252"/>
      <c r="AV2" s="252"/>
      <c r="AW2" s="252"/>
      <c r="AX2" s="252"/>
      <c r="AY2" s="252"/>
      <c r="AZ2" s="252"/>
      <c r="BA2" s="253"/>
    </row>
    <row r="3" spans="1:53" ht="18.5" thickBot="1">
      <c r="A3" s="248" t="s">
        <v>109</v>
      </c>
      <c r="B3" s="249"/>
      <c r="C3" s="249"/>
      <c r="D3" s="249"/>
      <c r="E3" s="249"/>
      <c r="F3" s="249"/>
      <c r="G3" s="249"/>
      <c r="H3" s="250"/>
      <c r="I3" s="22"/>
      <c r="J3" s="248" t="s">
        <v>109</v>
      </c>
      <c r="K3" s="249"/>
      <c r="L3" s="249"/>
      <c r="M3" s="249"/>
      <c r="N3" s="249"/>
      <c r="O3" s="249"/>
      <c r="P3" s="249"/>
      <c r="Q3" s="250"/>
      <c r="R3" s="22"/>
      <c r="S3" s="248" t="s">
        <v>109</v>
      </c>
      <c r="T3" s="249"/>
      <c r="U3" s="249"/>
      <c r="V3" s="249"/>
      <c r="W3" s="249"/>
      <c r="X3" s="249"/>
      <c r="Y3" s="249"/>
      <c r="Z3" s="250"/>
      <c r="AA3" s="22"/>
      <c r="AB3" s="248" t="s">
        <v>109</v>
      </c>
      <c r="AC3" s="249"/>
      <c r="AD3" s="249"/>
      <c r="AE3" s="249"/>
      <c r="AF3" s="249"/>
      <c r="AG3" s="249"/>
      <c r="AH3" s="249"/>
      <c r="AI3" s="250"/>
      <c r="AJ3" s="22"/>
      <c r="AK3" s="248" t="s">
        <v>109</v>
      </c>
      <c r="AL3" s="249"/>
      <c r="AM3" s="249"/>
      <c r="AN3" s="249"/>
      <c r="AO3" s="249"/>
      <c r="AP3" s="249"/>
      <c r="AQ3" s="249"/>
      <c r="AR3" s="250"/>
      <c r="AT3" s="248" t="s">
        <v>109</v>
      </c>
      <c r="AU3" s="249"/>
      <c r="AV3" s="249"/>
      <c r="AW3" s="249"/>
      <c r="AX3" s="249"/>
      <c r="AY3" s="249"/>
      <c r="AZ3" s="249"/>
      <c r="BA3" s="250"/>
    </row>
    <row r="4" spans="1:53" s="59" customFormat="1" ht="17.25" customHeight="1" thickBot="1">
      <c r="A4" s="54" t="s">
        <v>2</v>
      </c>
      <c r="B4" s="55" t="s">
        <v>46</v>
      </c>
      <c r="C4" s="56"/>
      <c r="D4" s="56"/>
      <c r="E4" s="57"/>
      <c r="F4" s="55" t="s">
        <v>47</v>
      </c>
      <c r="G4" s="56"/>
      <c r="H4" s="57"/>
      <c r="I4" s="58"/>
      <c r="J4" s="54" t="s">
        <v>2</v>
      </c>
      <c r="K4" s="55" t="s">
        <v>46</v>
      </c>
      <c r="L4" s="56"/>
      <c r="M4" s="56"/>
      <c r="N4" s="57"/>
      <c r="O4" s="55" t="s">
        <v>47</v>
      </c>
      <c r="P4" s="56"/>
      <c r="Q4" s="57"/>
      <c r="R4" s="58"/>
      <c r="S4" s="54" t="s">
        <v>2</v>
      </c>
      <c r="T4" s="55" t="s">
        <v>46</v>
      </c>
      <c r="U4" s="56"/>
      <c r="V4" s="56"/>
      <c r="W4" s="57"/>
      <c r="X4" s="55" t="s">
        <v>47</v>
      </c>
      <c r="Y4" s="56"/>
      <c r="Z4" s="57"/>
      <c r="AA4" s="58"/>
      <c r="AB4" s="54" t="s">
        <v>2</v>
      </c>
      <c r="AC4" s="55" t="s">
        <v>46</v>
      </c>
      <c r="AD4" s="56"/>
      <c r="AE4" s="56"/>
      <c r="AF4" s="57"/>
      <c r="AG4" s="55" t="s">
        <v>47</v>
      </c>
      <c r="AH4" s="56"/>
      <c r="AI4" s="57"/>
      <c r="AJ4" s="58"/>
      <c r="AK4" s="54" t="s">
        <v>2</v>
      </c>
      <c r="AL4" s="55" t="s">
        <v>46</v>
      </c>
      <c r="AM4" s="56"/>
      <c r="AN4" s="56"/>
      <c r="AO4" s="57"/>
      <c r="AP4" s="55" t="s">
        <v>47</v>
      </c>
      <c r="AQ4" s="56"/>
      <c r="AR4" s="57"/>
      <c r="AT4" s="54" t="s">
        <v>2</v>
      </c>
      <c r="AU4" s="55" t="s">
        <v>46</v>
      </c>
      <c r="AV4" s="56"/>
      <c r="AW4" s="56"/>
      <c r="AX4" s="57"/>
      <c r="AY4" s="55" t="s">
        <v>47</v>
      </c>
      <c r="AZ4" s="56"/>
      <c r="BA4" s="57"/>
    </row>
    <row r="5" spans="1:53" s="59" customFormat="1" ht="16" thickBot="1">
      <c r="A5" s="60">
        <v>0.60416666666666663</v>
      </c>
      <c r="B5" s="61" t="s">
        <v>49</v>
      </c>
      <c r="C5" s="61" t="s">
        <v>50</v>
      </c>
      <c r="D5" s="61" t="s">
        <v>51</v>
      </c>
      <c r="E5" s="61" t="s">
        <v>52</v>
      </c>
      <c r="F5" s="61" t="s">
        <v>53</v>
      </c>
      <c r="G5" s="61" t="s">
        <v>54</v>
      </c>
      <c r="H5" s="61" t="s">
        <v>55</v>
      </c>
      <c r="I5" s="58"/>
      <c r="J5" s="60">
        <v>0.60416666666666663</v>
      </c>
      <c r="K5" s="61" t="s">
        <v>49</v>
      </c>
      <c r="L5" s="61" t="s">
        <v>50</v>
      </c>
      <c r="M5" s="61" t="s">
        <v>51</v>
      </c>
      <c r="N5" s="61" t="s">
        <v>52</v>
      </c>
      <c r="O5" s="61" t="s">
        <v>53</v>
      </c>
      <c r="P5" s="61" t="s">
        <v>54</v>
      </c>
      <c r="Q5" s="61" t="s">
        <v>55</v>
      </c>
      <c r="R5" s="58"/>
      <c r="S5" s="60">
        <v>0.60416666666666663</v>
      </c>
      <c r="T5" s="61" t="s">
        <v>49</v>
      </c>
      <c r="U5" s="61" t="s">
        <v>50</v>
      </c>
      <c r="V5" s="61" t="s">
        <v>51</v>
      </c>
      <c r="W5" s="61" t="s">
        <v>52</v>
      </c>
      <c r="X5" s="61" t="s">
        <v>53</v>
      </c>
      <c r="Y5" s="61" t="s">
        <v>54</v>
      </c>
      <c r="Z5" s="61" t="s">
        <v>55</v>
      </c>
      <c r="AA5" s="58"/>
      <c r="AB5" s="60">
        <v>0.60416666666666663</v>
      </c>
      <c r="AC5" s="61" t="s">
        <v>177</v>
      </c>
      <c r="AD5" s="61" t="s">
        <v>50</v>
      </c>
      <c r="AE5" s="61" t="s">
        <v>51</v>
      </c>
      <c r="AF5" s="61" t="s">
        <v>52</v>
      </c>
      <c r="AG5" s="61" t="s">
        <v>53</v>
      </c>
      <c r="AH5" s="61" t="s">
        <v>54</v>
      </c>
      <c r="AI5" s="61" t="s">
        <v>55</v>
      </c>
      <c r="AJ5" s="58"/>
      <c r="AK5" s="60">
        <v>0.60416666666666663</v>
      </c>
      <c r="AL5" s="61" t="s">
        <v>49</v>
      </c>
      <c r="AM5" s="61" t="s">
        <v>50</v>
      </c>
      <c r="AN5" s="61" t="s">
        <v>51</v>
      </c>
      <c r="AO5" s="61" t="s">
        <v>52</v>
      </c>
      <c r="AP5" s="61" t="s">
        <v>53</v>
      </c>
      <c r="AQ5" s="61" t="s">
        <v>54</v>
      </c>
      <c r="AR5" s="61" t="s">
        <v>55</v>
      </c>
      <c r="AT5" s="60">
        <v>0.60416666666666663</v>
      </c>
      <c r="AU5" s="61" t="s">
        <v>49</v>
      </c>
      <c r="AV5" s="61" t="s">
        <v>50</v>
      </c>
      <c r="AW5" s="61" t="s">
        <v>51</v>
      </c>
      <c r="AX5" s="61" t="s">
        <v>52</v>
      </c>
      <c r="AY5" s="61" t="s">
        <v>53</v>
      </c>
      <c r="AZ5" s="61" t="s">
        <v>54</v>
      </c>
      <c r="BA5" s="61" t="s">
        <v>55</v>
      </c>
    </row>
    <row r="6" spans="1:53" s="59" customFormat="1" ht="16" thickBot="1">
      <c r="A6" s="62">
        <v>31</v>
      </c>
      <c r="B6" s="39">
        <f>資料儲存!D3962</f>
        <v>0</v>
      </c>
      <c r="C6" s="39">
        <f>資料儲存!E3962</f>
        <v>0</v>
      </c>
      <c r="D6" s="39">
        <f>資料儲存!F3962</f>
        <v>0</v>
      </c>
      <c r="E6" s="39">
        <f>資料儲存!G3962</f>
        <v>0</v>
      </c>
      <c r="F6" s="39">
        <f>資料儲存!H3962</f>
        <v>0</v>
      </c>
      <c r="G6" s="39">
        <f>資料儲存!I3962</f>
        <v>0</v>
      </c>
      <c r="H6" s="39">
        <f>資料儲存!J3962</f>
        <v>0</v>
      </c>
      <c r="I6" s="58"/>
      <c r="J6" s="62">
        <v>31</v>
      </c>
      <c r="K6" s="39">
        <f>資料儲存!D4022</f>
        <v>0</v>
      </c>
      <c r="L6" s="39">
        <f>資料儲存!E4022</f>
        <v>0</v>
      </c>
      <c r="M6" s="39">
        <f>資料儲存!F4022</f>
        <v>0</v>
      </c>
      <c r="N6" s="39">
        <f>資料儲存!G4022</f>
        <v>0</v>
      </c>
      <c r="O6" s="39">
        <f>資料儲存!H4022</f>
        <v>0</v>
      </c>
      <c r="P6" s="39">
        <f>資料儲存!I4022</f>
        <v>0</v>
      </c>
      <c r="Q6" s="39">
        <f>資料儲存!J4022</f>
        <v>0</v>
      </c>
      <c r="R6" s="58"/>
      <c r="S6" s="62">
        <v>31</v>
      </c>
      <c r="T6" s="39">
        <f>資料儲存!D4082</f>
        <v>0</v>
      </c>
      <c r="U6" s="39">
        <f>資料儲存!E4082</f>
        <v>0</v>
      </c>
      <c r="V6" s="39">
        <f>資料儲存!F4082</f>
        <v>0</v>
      </c>
      <c r="W6" s="39">
        <f>資料儲存!G4082</f>
        <v>0</v>
      </c>
      <c r="X6" s="39">
        <f>資料儲存!H4082</f>
        <v>0</v>
      </c>
      <c r="Y6" s="39">
        <f>資料儲存!I4082</f>
        <v>0</v>
      </c>
      <c r="Z6" s="39">
        <f>資料儲存!J4082</f>
        <v>0</v>
      </c>
      <c r="AA6" s="58"/>
      <c r="AB6" s="62">
        <v>31</v>
      </c>
      <c r="AC6" s="39">
        <f>資料儲存!D4142</f>
        <v>0</v>
      </c>
      <c r="AD6" s="39">
        <f>資料儲存!E4142</f>
        <v>0</v>
      </c>
      <c r="AE6" s="39">
        <f>資料儲存!F4142</f>
        <v>0</v>
      </c>
      <c r="AF6" s="39">
        <f>資料儲存!G4142</f>
        <v>0</v>
      </c>
      <c r="AG6" s="39">
        <f>資料儲存!H4142</f>
        <v>0</v>
      </c>
      <c r="AH6" s="39">
        <f>資料儲存!I4142</f>
        <v>0</v>
      </c>
      <c r="AI6" s="39">
        <f>資料儲存!J4142</f>
        <v>0</v>
      </c>
      <c r="AJ6" s="58"/>
      <c r="AK6" s="62">
        <v>31</v>
      </c>
      <c r="AL6" s="39">
        <f>資料儲存!D4202</f>
        <v>0</v>
      </c>
      <c r="AM6" s="39">
        <f>資料儲存!E4202</f>
        <v>0</v>
      </c>
      <c r="AN6" s="39">
        <f>資料儲存!F4202</f>
        <v>0</v>
      </c>
      <c r="AO6" s="39">
        <f>資料儲存!G4202</f>
        <v>0</v>
      </c>
      <c r="AP6" s="39">
        <f>資料儲存!H4202</f>
        <v>0</v>
      </c>
      <c r="AQ6" s="39">
        <f>資料儲存!I4202</f>
        <v>0</v>
      </c>
      <c r="AR6" s="39">
        <f>資料儲存!J4202</f>
        <v>0</v>
      </c>
      <c r="AT6" s="62">
        <v>31</v>
      </c>
      <c r="AU6" s="39">
        <f>資料儲存!D4262</f>
        <v>0</v>
      </c>
      <c r="AV6" s="39">
        <f>資料儲存!E4262</f>
        <v>0</v>
      </c>
      <c r="AW6" s="39">
        <f>資料儲存!F4262</f>
        <v>0</v>
      </c>
      <c r="AX6" s="39">
        <f>資料儲存!G4262</f>
        <v>0</v>
      </c>
      <c r="AY6" s="39">
        <f>資料儲存!H4262</f>
        <v>0</v>
      </c>
      <c r="AZ6" s="39">
        <f>資料儲存!I4262</f>
        <v>0</v>
      </c>
      <c r="BA6" s="39">
        <f>資料儲存!J4262</f>
        <v>0</v>
      </c>
    </row>
    <row r="7" spans="1:53" s="59" customFormat="1" ht="16" thickBot="1">
      <c r="A7" s="62">
        <v>32</v>
      </c>
      <c r="B7" s="39">
        <f>資料儲存!D3963</f>
        <v>0</v>
      </c>
      <c r="C7" s="39">
        <f>資料儲存!E3963</f>
        <v>0</v>
      </c>
      <c r="D7" s="39">
        <f>資料儲存!F3963</f>
        <v>0</v>
      </c>
      <c r="E7" s="39">
        <f>資料儲存!G3963</f>
        <v>0</v>
      </c>
      <c r="F7" s="39">
        <f>資料儲存!H3963</f>
        <v>0</v>
      </c>
      <c r="G7" s="39">
        <f>資料儲存!I3963</f>
        <v>0</v>
      </c>
      <c r="H7" s="39">
        <f>資料儲存!J3963</f>
        <v>0</v>
      </c>
      <c r="I7" s="58"/>
      <c r="J7" s="62">
        <v>32</v>
      </c>
      <c r="K7" s="39">
        <f>資料儲存!D4023</f>
        <v>0</v>
      </c>
      <c r="L7" s="39">
        <f>資料儲存!E4023</f>
        <v>0</v>
      </c>
      <c r="M7" s="39">
        <f>資料儲存!F4023</f>
        <v>0</v>
      </c>
      <c r="N7" s="39">
        <f>資料儲存!G4023</f>
        <v>0</v>
      </c>
      <c r="O7" s="39">
        <f>資料儲存!H4023</f>
        <v>0</v>
      </c>
      <c r="P7" s="39">
        <f>資料儲存!I4023</f>
        <v>0</v>
      </c>
      <c r="Q7" s="39">
        <f>資料儲存!J4023</f>
        <v>0</v>
      </c>
      <c r="R7" s="58"/>
      <c r="S7" s="62">
        <v>32</v>
      </c>
      <c r="T7" s="39">
        <f>資料儲存!D4083</f>
        <v>0</v>
      </c>
      <c r="U7" s="39">
        <f>資料儲存!E4083</f>
        <v>0</v>
      </c>
      <c r="V7" s="39">
        <f>資料儲存!F4083</f>
        <v>0</v>
      </c>
      <c r="W7" s="39">
        <f>資料儲存!G4083</f>
        <v>0</v>
      </c>
      <c r="X7" s="39">
        <f>資料儲存!H4083</f>
        <v>0</v>
      </c>
      <c r="Y7" s="39">
        <f>資料儲存!I4083</f>
        <v>0</v>
      </c>
      <c r="Z7" s="39">
        <f>資料儲存!J4083</f>
        <v>0</v>
      </c>
      <c r="AA7" s="58"/>
      <c r="AB7" s="62">
        <v>32</v>
      </c>
      <c r="AC7" s="39">
        <f>資料儲存!D4143</f>
        <v>0</v>
      </c>
      <c r="AD7" s="39">
        <f>資料儲存!E4143</f>
        <v>0</v>
      </c>
      <c r="AE7" s="39">
        <f>資料儲存!F4143</f>
        <v>0</v>
      </c>
      <c r="AF7" s="39">
        <f>資料儲存!G4143</f>
        <v>0</v>
      </c>
      <c r="AG7" s="39">
        <f>資料儲存!H4143</f>
        <v>0</v>
      </c>
      <c r="AH7" s="39">
        <f>資料儲存!I4143</f>
        <v>0</v>
      </c>
      <c r="AI7" s="39">
        <f>資料儲存!J4143</f>
        <v>0</v>
      </c>
      <c r="AJ7" s="58"/>
      <c r="AK7" s="62">
        <v>32</v>
      </c>
      <c r="AL7" s="39">
        <f>資料儲存!D4203</f>
        <v>0</v>
      </c>
      <c r="AM7" s="39">
        <f>資料儲存!E4203</f>
        <v>0</v>
      </c>
      <c r="AN7" s="39">
        <f>資料儲存!F4203</f>
        <v>0</v>
      </c>
      <c r="AO7" s="39">
        <f>資料儲存!G4203</f>
        <v>0</v>
      </c>
      <c r="AP7" s="39">
        <f>資料儲存!H4203</f>
        <v>0</v>
      </c>
      <c r="AQ7" s="39">
        <f>資料儲存!I4203</f>
        <v>0</v>
      </c>
      <c r="AR7" s="39">
        <f>資料儲存!J4203</f>
        <v>0</v>
      </c>
      <c r="AT7" s="62">
        <v>32</v>
      </c>
      <c r="AU7" s="39">
        <f>資料儲存!D4263</f>
        <v>0</v>
      </c>
      <c r="AV7" s="39">
        <f>資料儲存!E4263</f>
        <v>0</v>
      </c>
      <c r="AW7" s="39">
        <f>資料儲存!F4263</f>
        <v>0</v>
      </c>
      <c r="AX7" s="39">
        <f>資料儲存!G4263</f>
        <v>0</v>
      </c>
      <c r="AY7" s="39">
        <f>資料儲存!H4263</f>
        <v>0</v>
      </c>
      <c r="AZ7" s="39">
        <f>資料儲存!I4263</f>
        <v>0</v>
      </c>
      <c r="BA7" s="39">
        <f>資料儲存!J4263</f>
        <v>0</v>
      </c>
    </row>
    <row r="8" spans="1:53" s="59" customFormat="1" ht="16" thickBot="1">
      <c r="A8" s="62">
        <v>33</v>
      </c>
      <c r="B8" s="39">
        <f>資料儲存!D3964</f>
        <v>0</v>
      </c>
      <c r="C8" s="39">
        <f>資料儲存!E3964</f>
        <v>0</v>
      </c>
      <c r="D8" s="39">
        <f>資料儲存!F3964</f>
        <v>0</v>
      </c>
      <c r="E8" s="39">
        <f>資料儲存!G3964</f>
        <v>0</v>
      </c>
      <c r="F8" s="39">
        <f>資料儲存!H3964</f>
        <v>0</v>
      </c>
      <c r="G8" s="39">
        <f>資料儲存!I3964</f>
        <v>0</v>
      </c>
      <c r="H8" s="39">
        <f>資料儲存!J3964</f>
        <v>0</v>
      </c>
      <c r="I8" s="58"/>
      <c r="J8" s="62">
        <v>33</v>
      </c>
      <c r="K8" s="39">
        <f>資料儲存!D4024</f>
        <v>0</v>
      </c>
      <c r="L8" s="39">
        <f>資料儲存!E4024</f>
        <v>0</v>
      </c>
      <c r="M8" s="39">
        <f>資料儲存!F4024</f>
        <v>0</v>
      </c>
      <c r="N8" s="39">
        <f>資料儲存!G4024</f>
        <v>0</v>
      </c>
      <c r="O8" s="39">
        <f>資料儲存!H4024</f>
        <v>0</v>
      </c>
      <c r="P8" s="39">
        <f>資料儲存!I4024</f>
        <v>0</v>
      </c>
      <c r="Q8" s="39">
        <f>資料儲存!J4024</f>
        <v>0</v>
      </c>
      <c r="R8" s="58"/>
      <c r="S8" s="62">
        <v>33</v>
      </c>
      <c r="T8" s="39">
        <f>資料儲存!D4084</f>
        <v>0</v>
      </c>
      <c r="U8" s="39">
        <f>資料儲存!E4084</f>
        <v>0</v>
      </c>
      <c r="V8" s="39">
        <f>資料儲存!F4084</f>
        <v>0</v>
      </c>
      <c r="W8" s="39">
        <f>資料儲存!G4084</f>
        <v>0</v>
      </c>
      <c r="X8" s="39">
        <f>資料儲存!H4084</f>
        <v>0</v>
      </c>
      <c r="Y8" s="39">
        <f>資料儲存!I4084</f>
        <v>0</v>
      </c>
      <c r="Z8" s="39">
        <f>資料儲存!J4084</f>
        <v>0</v>
      </c>
      <c r="AA8" s="58"/>
      <c r="AB8" s="62">
        <v>33</v>
      </c>
      <c r="AC8" s="39">
        <f>資料儲存!D4144</f>
        <v>0</v>
      </c>
      <c r="AD8" s="39">
        <f>資料儲存!E4144</f>
        <v>0</v>
      </c>
      <c r="AE8" s="39">
        <f>資料儲存!F4144</f>
        <v>0</v>
      </c>
      <c r="AF8" s="39">
        <f>資料儲存!G4144</f>
        <v>0</v>
      </c>
      <c r="AG8" s="39">
        <f>資料儲存!H4144</f>
        <v>0</v>
      </c>
      <c r="AH8" s="39">
        <f>資料儲存!I4144</f>
        <v>0</v>
      </c>
      <c r="AI8" s="39">
        <f>資料儲存!J4144</f>
        <v>0</v>
      </c>
      <c r="AJ8" s="58"/>
      <c r="AK8" s="62">
        <v>33</v>
      </c>
      <c r="AL8" s="39">
        <f>資料儲存!D4204</f>
        <v>0</v>
      </c>
      <c r="AM8" s="39">
        <f>資料儲存!E4204</f>
        <v>0</v>
      </c>
      <c r="AN8" s="39">
        <f>資料儲存!F4204</f>
        <v>0</v>
      </c>
      <c r="AO8" s="39">
        <f>資料儲存!G4204</f>
        <v>0</v>
      </c>
      <c r="AP8" s="39">
        <f>資料儲存!H4204</f>
        <v>0</v>
      </c>
      <c r="AQ8" s="39">
        <f>資料儲存!I4204</f>
        <v>0</v>
      </c>
      <c r="AR8" s="39">
        <f>資料儲存!J4204</f>
        <v>0</v>
      </c>
      <c r="AT8" s="62">
        <v>33</v>
      </c>
      <c r="AU8" s="39">
        <f>資料儲存!D4264</f>
        <v>0</v>
      </c>
      <c r="AV8" s="39">
        <f>資料儲存!E4264</f>
        <v>0</v>
      </c>
      <c r="AW8" s="39">
        <f>資料儲存!F4264</f>
        <v>0</v>
      </c>
      <c r="AX8" s="39">
        <f>資料儲存!G4264</f>
        <v>0</v>
      </c>
      <c r="AY8" s="39">
        <f>資料儲存!H4264</f>
        <v>0</v>
      </c>
      <c r="AZ8" s="39">
        <f>資料儲存!I4264</f>
        <v>0</v>
      </c>
      <c r="BA8" s="39">
        <f>資料儲存!J4264</f>
        <v>0</v>
      </c>
    </row>
    <row r="9" spans="1:53" s="59" customFormat="1" ht="16" thickBot="1">
      <c r="A9" s="62">
        <v>34</v>
      </c>
      <c r="B9" s="39">
        <f>資料儲存!D3965</f>
        <v>0</v>
      </c>
      <c r="C9" s="39">
        <f>資料儲存!E3965</f>
        <v>0</v>
      </c>
      <c r="D9" s="39">
        <f>資料儲存!F3965</f>
        <v>0</v>
      </c>
      <c r="E9" s="39">
        <f>資料儲存!G3965</f>
        <v>0</v>
      </c>
      <c r="F9" s="39">
        <f>資料儲存!H3965</f>
        <v>0</v>
      </c>
      <c r="G9" s="39">
        <f>資料儲存!I3965</f>
        <v>0</v>
      </c>
      <c r="H9" s="39">
        <f>資料儲存!J3965</f>
        <v>0</v>
      </c>
      <c r="I9" s="58"/>
      <c r="J9" s="62">
        <v>34</v>
      </c>
      <c r="K9" s="39">
        <f>資料儲存!D4025</f>
        <v>0</v>
      </c>
      <c r="L9" s="39">
        <f>資料儲存!E4025</f>
        <v>0</v>
      </c>
      <c r="M9" s="39">
        <f>資料儲存!F4025</f>
        <v>0</v>
      </c>
      <c r="N9" s="39">
        <f>資料儲存!G4025</f>
        <v>0</v>
      </c>
      <c r="O9" s="39">
        <f>資料儲存!H4025</f>
        <v>0</v>
      </c>
      <c r="P9" s="39">
        <f>資料儲存!I4025</f>
        <v>0</v>
      </c>
      <c r="Q9" s="39">
        <f>資料儲存!J4025</f>
        <v>0</v>
      </c>
      <c r="R9" s="58"/>
      <c r="S9" s="62">
        <v>34</v>
      </c>
      <c r="T9" s="39">
        <f>資料儲存!D4085</f>
        <v>0</v>
      </c>
      <c r="U9" s="39">
        <f>資料儲存!E4085</f>
        <v>0</v>
      </c>
      <c r="V9" s="39">
        <f>資料儲存!F4085</f>
        <v>0</v>
      </c>
      <c r="W9" s="39">
        <f>資料儲存!G4085</f>
        <v>0</v>
      </c>
      <c r="X9" s="39">
        <f>資料儲存!H4085</f>
        <v>0</v>
      </c>
      <c r="Y9" s="39">
        <f>資料儲存!I4085</f>
        <v>0</v>
      </c>
      <c r="Z9" s="39">
        <f>資料儲存!J4085</f>
        <v>0</v>
      </c>
      <c r="AA9" s="58"/>
      <c r="AB9" s="62">
        <v>34</v>
      </c>
      <c r="AC9" s="39">
        <f>資料儲存!D4145</f>
        <v>0</v>
      </c>
      <c r="AD9" s="39">
        <f>資料儲存!E4145</f>
        <v>0</v>
      </c>
      <c r="AE9" s="39">
        <f>資料儲存!F4145</f>
        <v>0</v>
      </c>
      <c r="AF9" s="39">
        <f>資料儲存!G4145</f>
        <v>0</v>
      </c>
      <c r="AG9" s="39">
        <f>資料儲存!H4145</f>
        <v>0</v>
      </c>
      <c r="AH9" s="39">
        <f>資料儲存!I4145</f>
        <v>0</v>
      </c>
      <c r="AI9" s="39">
        <f>資料儲存!J4145</f>
        <v>0</v>
      </c>
      <c r="AJ9" s="58"/>
      <c r="AK9" s="62">
        <v>34</v>
      </c>
      <c r="AL9" s="39">
        <f>資料儲存!D4205</f>
        <v>0</v>
      </c>
      <c r="AM9" s="39">
        <f>資料儲存!E4205</f>
        <v>0</v>
      </c>
      <c r="AN9" s="39">
        <f>資料儲存!F4205</f>
        <v>0</v>
      </c>
      <c r="AO9" s="39">
        <f>資料儲存!G4205</f>
        <v>0</v>
      </c>
      <c r="AP9" s="39">
        <f>資料儲存!H4205</f>
        <v>0</v>
      </c>
      <c r="AQ9" s="39">
        <f>資料儲存!I4205</f>
        <v>0</v>
      </c>
      <c r="AR9" s="39">
        <f>資料儲存!J4205</f>
        <v>0</v>
      </c>
      <c r="AT9" s="62">
        <v>34</v>
      </c>
      <c r="AU9" s="39">
        <f>資料儲存!D4265</f>
        <v>0</v>
      </c>
      <c r="AV9" s="39">
        <f>資料儲存!E4265</f>
        <v>0</v>
      </c>
      <c r="AW9" s="39">
        <f>資料儲存!F4265</f>
        <v>0</v>
      </c>
      <c r="AX9" s="39">
        <f>資料儲存!G4265</f>
        <v>0</v>
      </c>
      <c r="AY9" s="39">
        <f>資料儲存!H4265</f>
        <v>0</v>
      </c>
      <c r="AZ9" s="39">
        <f>資料儲存!I4265</f>
        <v>0</v>
      </c>
      <c r="BA9" s="39">
        <f>資料儲存!J4265</f>
        <v>0</v>
      </c>
    </row>
    <row r="10" spans="1:53" s="59" customFormat="1" ht="16" thickBot="1">
      <c r="A10" s="62">
        <v>35</v>
      </c>
      <c r="B10" s="39">
        <f>資料儲存!D3966</f>
        <v>0</v>
      </c>
      <c r="C10" s="39">
        <f>資料儲存!E3966</f>
        <v>0</v>
      </c>
      <c r="D10" s="39">
        <f>資料儲存!F3966</f>
        <v>0</v>
      </c>
      <c r="E10" s="39">
        <f>資料儲存!G3966</f>
        <v>0</v>
      </c>
      <c r="F10" s="39">
        <f>資料儲存!H3966</f>
        <v>0</v>
      </c>
      <c r="G10" s="39">
        <f>資料儲存!I3966</f>
        <v>0</v>
      </c>
      <c r="H10" s="39">
        <f>資料儲存!J3966</f>
        <v>0</v>
      </c>
      <c r="I10" s="58"/>
      <c r="J10" s="62">
        <v>35</v>
      </c>
      <c r="K10" s="39">
        <f>資料儲存!D4026</f>
        <v>0</v>
      </c>
      <c r="L10" s="39">
        <f>資料儲存!E4026</f>
        <v>0</v>
      </c>
      <c r="M10" s="39">
        <f>資料儲存!F4026</f>
        <v>0</v>
      </c>
      <c r="N10" s="39">
        <f>資料儲存!G4026</f>
        <v>0</v>
      </c>
      <c r="O10" s="39">
        <f>資料儲存!H4026</f>
        <v>0</v>
      </c>
      <c r="P10" s="39">
        <f>資料儲存!I4026</f>
        <v>0</v>
      </c>
      <c r="Q10" s="39">
        <f>資料儲存!J4026</f>
        <v>0</v>
      </c>
      <c r="R10" s="58"/>
      <c r="S10" s="62">
        <v>35</v>
      </c>
      <c r="T10" s="39">
        <f>資料儲存!D4086</f>
        <v>0</v>
      </c>
      <c r="U10" s="39">
        <f>資料儲存!E4086</f>
        <v>0</v>
      </c>
      <c r="V10" s="39">
        <f>資料儲存!F4086</f>
        <v>0</v>
      </c>
      <c r="W10" s="39">
        <f>資料儲存!G4086</f>
        <v>0</v>
      </c>
      <c r="X10" s="39">
        <f>資料儲存!H4086</f>
        <v>0</v>
      </c>
      <c r="Y10" s="39">
        <f>資料儲存!I4086</f>
        <v>0</v>
      </c>
      <c r="Z10" s="39">
        <f>資料儲存!J4086</f>
        <v>0</v>
      </c>
      <c r="AA10" s="58"/>
      <c r="AB10" s="62">
        <v>35</v>
      </c>
      <c r="AC10" s="39">
        <f>資料儲存!D4146</f>
        <v>0</v>
      </c>
      <c r="AD10" s="39">
        <f>資料儲存!E4146</f>
        <v>0</v>
      </c>
      <c r="AE10" s="39">
        <f>資料儲存!F4146</f>
        <v>0</v>
      </c>
      <c r="AF10" s="39">
        <f>資料儲存!G4146</f>
        <v>0</v>
      </c>
      <c r="AG10" s="39">
        <f>資料儲存!H4146</f>
        <v>0</v>
      </c>
      <c r="AH10" s="39">
        <f>資料儲存!I4146</f>
        <v>0</v>
      </c>
      <c r="AI10" s="39">
        <f>資料儲存!J4146</f>
        <v>0</v>
      </c>
      <c r="AJ10" s="58"/>
      <c r="AK10" s="62">
        <v>35</v>
      </c>
      <c r="AL10" s="39">
        <f>資料儲存!D4206</f>
        <v>0</v>
      </c>
      <c r="AM10" s="39">
        <f>資料儲存!E4206</f>
        <v>0</v>
      </c>
      <c r="AN10" s="39">
        <f>資料儲存!F4206</f>
        <v>0</v>
      </c>
      <c r="AO10" s="39">
        <f>資料儲存!G4206</f>
        <v>0</v>
      </c>
      <c r="AP10" s="39">
        <f>資料儲存!H4206</f>
        <v>0</v>
      </c>
      <c r="AQ10" s="39">
        <f>資料儲存!I4206</f>
        <v>0</v>
      </c>
      <c r="AR10" s="39">
        <f>資料儲存!J4206</f>
        <v>0</v>
      </c>
      <c r="AT10" s="62">
        <v>35</v>
      </c>
      <c r="AU10" s="39">
        <f>資料儲存!D4266</f>
        <v>0</v>
      </c>
      <c r="AV10" s="39">
        <f>資料儲存!E4266</f>
        <v>0</v>
      </c>
      <c r="AW10" s="39">
        <f>資料儲存!F4266</f>
        <v>0</v>
      </c>
      <c r="AX10" s="39">
        <f>資料儲存!G4266</f>
        <v>0</v>
      </c>
      <c r="AY10" s="39">
        <f>資料儲存!H4266</f>
        <v>0</v>
      </c>
      <c r="AZ10" s="39">
        <f>資料儲存!I4266</f>
        <v>0</v>
      </c>
      <c r="BA10" s="39">
        <f>資料儲存!J4266</f>
        <v>0</v>
      </c>
    </row>
    <row r="11" spans="1:53" s="59" customFormat="1" ht="16" thickBot="1">
      <c r="A11" s="62">
        <v>36</v>
      </c>
      <c r="B11" s="39">
        <f>資料儲存!D3967</f>
        <v>0</v>
      </c>
      <c r="C11" s="39">
        <f>資料儲存!E3967</f>
        <v>0</v>
      </c>
      <c r="D11" s="39">
        <f>資料儲存!F3967</f>
        <v>0</v>
      </c>
      <c r="E11" s="39">
        <f>資料儲存!G3967</f>
        <v>0</v>
      </c>
      <c r="F11" s="39">
        <f>資料儲存!H3967</f>
        <v>0</v>
      </c>
      <c r="G11" s="39">
        <f>資料儲存!I3967</f>
        <v>0</v>
      </c>
      <c r="H11" s="39">
        <f>資料儲存!J3967</f>
        <v>0</v>
      </c>
      <c r="I11" s="58"/>
      <c r="J11" s="62">
        <v>36</v>
      </c>
      <c r="K11" s="39">
        <f>資料儲存!D4027</f>
        <v>0</v>
      </c>
      <c r="L11" s="39">
        <f>資料儲存!E4027</f>
        <v>0</v>
      </c>
      <c r="M11" s="39">
        <f>資料儲存!F4027</f>
        <v>0</v>
      </c>
      <c r="N11" s="39">
        <f>資料儲存!G4027</f>
        <v>0</v>
      </c>
      <c r="O11" s="39">
        <f>資料儲存!H4027</f>
        <v>0</v>
      </c>
      <c r="P11" s="39">
        <f>資料儲存!I4027</f>
        <v>0</v>
      </c>
      <c r="Q11" s="39">
        <f>資料儲存!J4027</f>
        <v>0</v>
      </c>
      <c r="R11" s="58"/>
      <c r="S11" s="62">
        <v>36</v>
      </c>
      <c r="T11" s="39">
        <f>資料儲存!D4087</f>
        <v>0</v>
      </c>
      <c r="U11" s="39">
        <f>資料儲存!E4087</f>
        <v>0</v>
      </c>
      <c r="V11" s="39">
        <f>資料儲存!F4087</f>
        <v>0</v>
      </c>
      <c r="W11" s="39">
        <f>資料儲存!G4087</f>
        <v>0</v>
      </c>
      <c r="X11" s="39">
        <f>資料儲存!H4087</f>
        <v>0</v>
      </c>
      <c r="Y11" s="39">
        <f>資料儲存!I4087</f>
        <v>0</v>
      </c>
      <c r="Z11" s="39">
        <f>資料儲存!J4087</f>
        <v>0</v>
      </c>
      <c r="AA11" s="58"/>
      <c r="AB11" s="62">
        <v>36</v>
      </c>
      <c r="AC11" s="39">
        <f>資料儲存!D4147</f>
        <v>0</v>
      </c>
      <c r="AD11" s="39">
        <f>資料儲存!E4147</f>
        <v>0</v>
      </c>
      <c r="AE11" s="39">
        <f>資料儲存!F4147</f>
        <v>0</v>
      </c>
      <c r="AF11" s="39">
        <f>資料儲存!G4147</f>
        <v>0</v>
      </c>
      <c r="AG11" s="39">
        <f>資料儲存!H4147</f>
        <v>0</v>
      </c>
      <c r="AH11" s="39">
        <f>資料儲存!I4147</f>
        <v>0</v>
      </c>
      <c r="AI11" s="39">
        <f>資料儲存!J4147</f>
        <v>0</v>
      </c>
      <c r="AJ11" s="58"/>
      <c r="AK11" s="62">
        <v>36</v>
      </c>
      <c r="AL11" s="39">
        <f>資料儲存!D4207</f>
        <v>0</v>
      </c>
      <c r="AM11" s="39">
        <f>資料儲存!E4207</f>
        <v>0</v>
      </c>
      <c r="AN11" s="39">
        <f>資料儲存!F4207</f>
        <v>0</v>
      </c>
      <c r="AO11" s="39">
        <f>資料儲存!G4207</f>
        <v>0</v>
      </c>
      <c r="AP11" s="39">
        <f>資料儲存!H4207</f>
        <v>0</v>
      </c>
      <c r="AQ11" s="39">
        <f>資料儲存!I4207</f>
        <v>0</v>
      </c>
      <c r="AR11" s="39">
        <f>資料儲存!J4207</f>
        <v>0</v>
      </c>
      <c r="AT11" s="62">
        <v>36</v>
      </c>
      <c r="AU11" s="39">
        <f>資料儲存!D4267</f>
        <v>0</v>
      </c>
      <c r="AV11" s="39">
        <f>資料儲存!E4267</f>
        <v>0</v>
      </c>
      <c r="AW11" s="39">
        <f>資料儲存!F4267</f>
        <v>0</v>
      </c>
      <c r="AX11" s="39">
        <f>資料儲存!G4267</f>
        <v>0</v>
      </c>
      <c r="AY11" s="39">
        <f>資料儲存!H4267</f>
        <v>0</v>
      </c>
      <c r="AZ11" s="39">
        <f>資料儲存!I4267</f>
        <v>0</v>
      </c>
      <c r="BA11" s="39">
        <f>資料儲存!J4267</f>
        <v>0</v>
      </c>
    </row>
    <row r="12" spans="1:53" s="59" customFormat="1" ht="16" thickBot="1">
      <c r="A12" s="62">
        <v>37</v>
      </c>
      <c r="B12" s="39">
        <f>資料儲存!D3968</f>
        <v>0</v>
      </c>
      <c r="C12" s="39">
        <f>資料儲存!E3968</f>
        <v>0</v>
      </c>
      <c r="D12" s="39">
        <f>資料儲存!F3968</f>
        <v>0</v>
      </c>
      <c r="E12" s="39">
        <f>資料儲存!G3968</f>
        <v>0</v>
      </c>
      <c r="F12" s="39">
        <f>資料儲存!H3968</f>
        <v>0</v>
      </c>
      <c r="G12" s="39">
        <f>資料儲存!I3968</f>
        <v>0</v>
      </c>
      <c r="H12" s="39">
        <f>資料儲存!J3968</f>
        <v>0</v>
      </c>
      <c r="I12" s="58"/>
      <c r="J12" s="62">
        <v>37</v>
      </c>
      <c r="K12" s="39">
        <f>資料儲存!D4028</f>
        <v>0</v>
      </c>
      <c r="L12" s="39">
        <f>資料儲存!E4028</f>
        <v>0</v>
      </c>
      <c r="M12" s="39">
        <f>資料儲存!F4028</f>
        <v>0</v>
      </c>
      <c r="N12" s="39">
        <f>資料儲存!G4028</f>
        <v>0</v>
      </c>
      <c r="O12" s="39">
        <f>資料儲存!H4028</f>
        <v>0</v>
      </c>
      <c r="P12" s="39">
        <f>資料儲存!I4028</f>
        <v>0</v>
      </c>
      <c r="Q12" s="39">
        <f>資料儲存!J4028</f>
        <v>0</v>
      </c>
      <c r="R12" s="58"/>
      <c r="S12" s="62">
        <v>37</v>
      </c>
      <c r="T12" s="39">
        <f>資料儲存!D4088</f>
        <v>0</v>
      </c>
      <c r="U12" s="39">
        <f>資料儲存!E4088</f>
        <v>0</v>
      </c>
      <c r="V12" s="39">
        <f>資料儲存!F4088</f>
        <v>0</v>
      </c>
      <c r="W12" s="39">
        <f>資料儲存!G4088</f>
        <v>0</v>
      </c>
      <c r="X12" s="39">
        <f>資料儲存!H4088</f>
        <v>0</v>
      </c>
      <c r="Y12" s="39">
        <f>資料儲存!I4088</f>
        <v>0</v>
      </c>
      <c r="Z12" s="39">
        <f>資料儲存!J4088</f>
        <v>0</v>
      </c>
      <c r="AA12" s="58"/>
      <c r="AB12" s="62">
        <v>37</v>
      </c>
      <c r="AC12" s="39">
        <f>資料儲存!D4148</f>
        <v>0</v>
      </c>
      <c r="AD12" s="39">
        <f>資料儲存!E4148</f>
        <v>0</v>
      </c>
      <c r="AE12" s="39">
        <f>資料儲存!F4148</f>
        <v>0</v>
      </c>
      <c r="AF12" s="39">
        <f>資料儲存!G4148</f>
        <v>0</v>
      </c>
      <c r="AG12" s="39">
        <f>資料儲存!H4148</f>
        <v>0</v>
      </c>
      <c r="AH12" s="39">
        <f>資料儲存!I4148</f>
        <v>0</v>
      </c>
      <c r="AI12" s="39">
        <f>資料儲存!J4148</f>
        <v>0</v>
      </c>
      <c r="AJ12" s="58"/>
      <c r="AK12" s="62">
        <v>37</v>
      </c>
      <c r="AL12" s="39">
        <f>資料儲存!D4208</f>
        <v>0</v>
      </c>
      <c r="AM12" s="39">
        <f>資料儲存!E4208</f>
        <v>0</v>
      </c>
      <c r="AN12" s="39">
        <f>資料儲存!F4208</f>
        <v>0</v>
      </c>
      <c r="AO12" s="39">
        <f>資料儲存!G4208</f>
        <v>0</v>
      </c>
      <c r="AP12" s="39">
        <f>資料儲存!H4208</f>
        <v>0</v>
      </c>
      <c r="AQ12" s="39">
        <f>資料儲存!I4208</f>
        <v>0</v>
      </c>
      <c r="AR12" s="39">
        <f>資料儲存!J4208</f>
        <v>0</v>
      </c>
      <c r="AT12" s="62">
        <v>37</v>
      </c>
      <c r="AU12" s="39">
        <f>資料儲存!D4268</f>
        <v>0</v>
      </c>
      <c r="AV12" s="39">
        <f>資料儲存!E4268</f>
        <v>0</v>
      </c>
      <c r="AW12" s="39">
        <f>資料儲存!F4268</f>
        <v>0</v>
      </c>
      <c r="AX12" s="39">
        <f>資料儲存!G4268</f>
        <v>0</v>
      </c>
      <c r="AY12" s="39">
        <f>資料儲存!H4268</f>
        <v>0</v>
      </c>
      <c r="AZ12" s="39">
        <f>資料儲存!I4268</f>
        <v>0</v>
      </c>
      <c r="BA12" s="39">
        <f>資料儲存!J4268</f>
        <v>0</v>
      </c>
    </row>
    <row r="13" spans="1:53" s="59" customFormat="1" ht="16" thickBot="1">
      <c r="A13" s="62">
        <v>38</v>
      </c>
      <c r="B13" s="39">
        <f>資料儲存!D3969</f>
        <v>0</v>
      </c>
      <c r="C13" s="39">
        <f>資料儲存!E3969</f>
        <v>0</v>
      </c>
      <c r="D13" s="39">
        <f>資料儲存!F3969</f>
        <v>0</v>
      </c>
      <c r="E13" s="39">
        <f>資料儲存!G3969</f>
        <v>0</v>
      </c>
      <c r="F13" s="39">
        <f>資料儲存!H3969</f>
        <v>0</v>
      </c>
      <c r="G13" s="39">
        <f>資料儲存!I3969</f>
        <v>0</v>
      </c>
      <c r="H13" s="39">
        <f>資料儲存!J3969</f>
        <v>0</v>
      </c>
      <c r="I13" s="58"/>
      <c r="J13" s="62">
        <v>38</v>
      </c>
      <c r="K13" s="39">
        <f>資料儲存!D4029</f>
        <v>0</v>
      </c>
      <c r="L13" s="39">
        <f>資料儲存!E4029</f>
        <v>0</v>
      </c>
      <c r="M13" s="39">
        <f>資料儲存!F4029</f>
        <v>0</v>
      </c>
      <c r="N13" s="39">
        <f>資料儲存!G4029</f>
        <v>0</v>
      </c>
      <c r="O13" s="39">
        <f>資料儲存!H4029</f>
        <v>0</v>
      </c>
      <c r="P13" s="39">
        <f>資料儲存!I4029</f>
        <v>0</v>
      </c>
      <c r="Q13" s="39">
        <f>資料儲存!J4029</f>
        <v>0</v>
      </c>
      <c r="R13" s="58"/>
      <c r="S13" s="62">
        <v>38</v>
      </c>
      <c r="T13" s="39">
        <f>資料儲存!D4089</f>
        <v>0</v>
      </c>
      <c r="U13" s="39">
        <f>資料儲存!E4089</f>
        <v>0</v>
      </c>
      <c r="V13" s="39">
        <f>資料儲存!F4089</f>
        <v>0</v>
      </c>
      <c r="W13" s="39">
        <f>資料儲存!G4089</f>
        <v>0</v>
      </c>
      <c r="X13" s="39">
        <f>資料儲存!H4089</f>
        <v>0</v>
      </c>
      <c r="Y13" s="39">
        <f>資料儲存!I4089</f>
        <v>0</v>
      </c>
      <c r="Z13" s="39">
        <f>資料儲存!J4089</f>
        <v>0</v>
      </c>
      <c r="AA13" s="58"/>
      <c r="AB13" s="62">
        <v>38</v>
      </c>
      <c r="AC13" s="39">
        <f>資料儲存!D4149</f>
        <v>0</v>
      </c>
      <c r="AD13" s="39">
        <f>資料儲存!E4149</f>
        <v>0</v>
      </c>
      <c r="AE13" s="39">
        <f>資料儲存!F4149</f>
        <v>0</v>
      </c>
      <c r="AF13" s="39">
        <f>資料儲存!G4149</f>
        <v>0</v>
      </c>
      <c r="AG13" s="39">
        <f>資料儲存!H4149</f>
        <v>0</v>
      </c>
      <c r="AH13" s="39">
        <f>資料儲存!I4149</f>
        <v>0</v>
      </c>
      <c r="AI13" s="39">
        <f>資料儲存!J4149</f>
        <v>0</v>
      </c>
      <c r="AJ13" s="58"/>
      <c r="AK13" s="62">
        <v>38</v>
      </c>
      <c r="AL13" s="39">
        <f>資料儲存!D4209</f>
        <v>0</v>
      </c>
      <c r="AM13" s="39">
        <f>資料儲存!E4209</f>
        <v>0</v>
      </c>
      <c r="AN13" s="39">
        <f>資料儲存!F4209</f>
        <v>0</v>
      </c>
      <c r="AO13" s="39">
        <f>資料儲存!G4209</f>
        <v>0</v>
      </c>
      <c r="AP13" s="39">
        <f>資料儲存!H4209</f>
        <v>0</v>
      </c>
      <c r="AQ13" s="39">
        <f>資料儲存!I4209</f>
        <v>0</v>
      </c>
      <c r="AR13" s="39">
        <f>資料儲存!J4209</f>
        <v>0</v>
      </c>
      <c r="AT13" s="62">
        <v>38</v>
      </c>
      <c r="AU13" s="39">
        <f>資料儲存!D4269</f>
        <v>0</v>
      </c>
      <c r="AV13" s="39">
        <f>資料儲存!E4269</f>
        <v>0</v>
      </c>
      <c r="AW13" s="39">
        <f>資料儲存!F4269</f>
        <v>0</v>
      </c>
      <c r="AX13" s="39">
        <f>資料儲存!G4269</f>
        <v>0</v>
      </c>
      <c r="AY13" s="39">
        <f>資料儲存!H4269</f>
        <v>0</v>
      </c>
      <c r="AZ13" s="39">
        <f>資料儲存!I4269</f>
        <v>0</v>
      </c>
      <c r="BA13" s="39">
        <f>資料儲存!J4269</f>
        <v>0</v>
      </c>
    </row>
    <row r="14" spans="1:53" s="59" customFormat="1" ht="16" thickBot="1">
      <c r="A14" s="62">
        <v>39</v>
      </c>
      <c r="B14" s="39">
        <f>資料儲存!D3970</f>
        <v>0</v>
      </c>
      <c r="C14" s="39">
        <f>資料儲存!E3970</f>
        <v>0</v>
      </c>
      <c r="D14" s="39">
        <f>資料儲存!F3970</f>
        <v>0</v>
      </c>
      <c r="E14" s="39">
        <f>資料儲存!G3970</f>
        <v>0</v>
      </c>
      <c r="F14" s="39">
        <f>資料儲存!H3970</f>
        <v>0</v>
      </c>
      <c r="G14" s="39">
        <f>資料儲存!I3970</f>
        <v>0</v>
      </c>
      <c r="H14" s="39">
        <f>資料儲存!J3970</f>
        <v>0</v>
      </c>
      <c r="I14" s="58"/>
      <c r="J14" s="62">
        <v>39</v>
      </c>
      <c r="K14" s="39">
        <f>資料儲存!D4030</f>
        <v>0</v>
      </c>
      <c r="L14" s="39">
        <f>資料儲存!E4030</f>
        <v>0</v>
      </c>
      <c r="M14" s="39">
        <f>資料儲存!F4030</f>
        <v>0</v>
      </c>
      <c r="N14" s="39">
        <f>資料儲存!G4030</f>
        <v>0</v>
      </c>
      <c r="O14" s="39">
        <f>資料儲存!H4030</f>
        <v>0</v>
      </c>
      <c r="P14" s="39">
        <f>資料儲存!I4030</f>
        <v>0</v>
      </c>
      <c r="Q14" s="39">
        <f>資料儲存!J4030</f>
        <v>0</v>
      </c>
      <c r="R14" s="58"/>
      <c r="S14" s="62">
        <v>39</v>
      </c>
      <c r="T14" s="39">
        <f>資料儲存!D4090</f>
        <v>0</v>
      </c>
      <c r="U14" s="39">
        <f>資料儲存!E4090</f>
        <v>0</v>
      </c>
      <c r="V14" s="39">
        <f>資料儲存!F4090</f>
        <v>0</v>
      </c>
      <c r="W14" s="39">
        <f>資料儲存!G4090</f>
        <v>0</v>
      </c>
      <c r="X14" s="39">
        <f>資料儲存!H4090</f>
        <v>0</v>
      </c>
      <c r="Y14" s="39">
        <f>資料儲存!I4090</f>
        <v>0</v>
      </c>
      <c r="Z14" s="39">
        <f>資料儲存!J4090</f>
        <v>0</v>
      </c>
      <c r="AA14" s="58"/>
      <c r="AB14" s="62">
        <v>39</v>
      </c>
      <c r="AC14" s="39">
        <f>資料儲存!D4150</f>
        <v>0</v>
      </c>
      <c r="AD14" s="39">
        <f>資料儲存!E4150</f>
        <v>0</v>
      </c>
      <c r="AE14" s="39">
        <f>資料儲存!F4150</f>
        <v>0</v>
      </c>
      <c r="AF14" s="39">
        <f>資料儲存!G4150</f>
        <v>0</v>
      </c>
      <c r="AG14" s="39">
        <f>資料儲存!H4150</f>
        <v>0</v>
      </c>
      <c r="AH14" s="39">
        <f>資料儲存!I4150</f>
        <v>0</v>
      </c>
      <c r="AI14" s="39">
        <f>資料儲存!J4150</f>
        <v>0</v>
      </c>
      <c r="AJ14" s="58"/>
      <c r="AK14" s="62">
        <v>39</v>
      </c>
      <c r="AL14" s="39">
        <f>資料儲存!D4210</f>
        <v>0</v>
      </c>
      <c r="AM14" s="39">
        <f>資料儲存!E4210</f>
        <v>0</v>
      </c>
      <c r="AN14" s="39">
        <f>資料儲存!F4210</f>
        <v>0</v>
      </c>
      <c r="AO14" s="39">
        <f>資料儲存!G4210</f>
        <v>0</v>
      </c>
      <c r="AP14" s="39">
        <f>資料儲存!H4210</f>
        <v>0</v>
      </c>
      <c r="AQ14" s="39">
        <f>資料儲存!I4210</f>
        <v>0</v>
      </c>
      <c r="AR14" s="39">
        <f>資料儲存!J4210</f>
        <v>0</v>
      </c>
      <c r="AT14" s="62">
        <v>39</v>
      </c>
      <c r="AU14" s="39">
        <f>資料儲存!D4270</f>
        <v>0</v>
      </c>
      <c r="AV14" s="39">
        <f>資料儲存!E4270</f>
        <v>0</v>
      </c>
      <c r="AW14" s="39">
        <f>資料儲存!F4270</f>
        <v>0</v>
      </c>
      <c r="AX14" s="39">
        <f>資料儲存!G4270</f>
        <v>0</v>
      </c>
      <c r="AY14" s="39">
        <f>資料儲存!H4270</f>
        <v>0</v>
      </c>
      <c r="AZ14" s="39">
        <f>資料儲存!I4270</f>
        <v>0</v>
      </c>
      <c r="BA14" s="39">
        <f>資料儲存!J4270</f>
        <v>0</v>
      </c>
    </row>
    <row r="15" spans="1:53" s="59" customFormat="1" ht="16" thickBot="1">
      <c r="A15" s="62">
        <v>40</v>
      </c>
      <c r="B15" s="39">
        <f>資料儲存!D3971</f>
        <v>0</v>
      </c>
      <c r="C15" s="39">
        <f>資料儲存!E3971</f>
        <v>0</v>
      </c>
      <c r="D15" s="39">
        <f>資料儲存!F3971</f>
        <v>0</v>
      </c>
      <c r="E15" s="39">
        <f>資料儲存!G3971</f>
        <v>0</v>
      </c>
      <c r="F15" s="39">
        <f>資料儲存!H3971</f>
        <v>0</v>
      </c>
      <c r="G15" s="39">
        <f>資料儲存!I3971</f>
        <v>0</v>
      </c>
      <c r="H15" s="39">
        <f>資料儲存!J3971</f>
        <v>0</v>
      </c>
      <c r="I15" s="58"/>
      <c r="J15" s="62">
        <v>40</v>
      </c>
      <c r="K15" s="39">
        <f>資料儲存!D4031</f>
        <v>0</v>
      </c>
      <c r="L15" s="39">
        <f>資料儲存!E4031</f>
        <v>0</v>
      </c>
      <c r="M15" s="39">
        <f>資料儲存!F4031</f>
        <v>0</v>
      </c>
      <c r="N15" s="39">
        <f>資料儲存!G4031</f>
        <v>0</v>
      </c>
      <c r="O15" s="39">
        <f>資料儲存!H4031</f>
        <v>0</v>
      </c>
      <c r="P15" s="39">
        <f>資料儲存!I4031</f>
        <v>0</v>
      </c>
      <c r="Q15" s="39">
        <f>資料儲存!J4031</f>
        <v>0</v>
      </c>
      <c r="R15" s="58"/>
      <c r="S15" s="62">
        <v>40</v>
      </c>
      <c r="T15" s="39">
        <f>資料儲存!D4091</f>
        <v>0</v>
      </c>
      <c r="U15" s="39">
        <f>資料儲存!E4091</f>
        <v>0</v>
      </c>
      <c r="V15" s="39">
        <f>資料儲存!F4091</f>
        <v>0</v>
      </c>
      <c r="W15" s="39">
        <f>資料儲存!G4091</f>
        <v>0</v>
      </c>
      <c r="X15" s="39">
        <f>資料儲存!H4091</f>
        <v>0</v>
      </c>
      <c r="Y15" s="39">
        <f>資料儲存!I4091</f>
        <v>0</v>
      </c>
      <c r="Z15" s="39">
        <f>資料儲存!J4091</f>
        <v>0</v>
      </c>
      <c r="AA15" s="58"/>
      <c r="AB15" s="62">
        <v>40</v>
      </c>
      <c r="AC15" s="39">
        <f>資料儲存!D4151</f>
        <v>0</v>
      </c>
      <c r="AD15" s="39">
        <f>資料儲存!E4151</f>
        <v>0</v>
      </c>
      <c r="AE15" s="39">
        <f>資料儲存!F4151</f>
        <v>0</v>
      </c>
      <c r="AF15" s="39">
        <f>資料儲存!G4151</f>
        <v>0</v>
      </c>
      <c r="AG15" s="39">
        <f>資料儲存!H4151</f>
        <v>0</v>
      </c>
      <c r="AH15" s="39">
        <f>資料儲存!I4151</f>
        <v>0</v>
      </c>
      <c r="AI15" s="39">
        <f>資料儲存!J4151</f>
        <v>0</v>
      </c>
      <c r="AJ15" s="58"/>
      <c r="AK15" s="62">
        <v>40</v>
      </c>
      <c r="AL15" s="39">
        <f>資料儲存!D4211</f>
        <v>0</v>
      </c>
      <c r="AM15" s="39">
        <f>資料儲存!E4211</f>
        <v>0</v>
      </c>
      <c r="AN15" s="39">
        <f>資料儲存!F4211</f>
        <v>0</v>
      </c>
      <c r="AO15" s="39">
        <f>資料儲存!G4211</f>
        <v>0</v>
      </c>
      <c r="AP15" s="39">
        <f>資料儲存!H4211</f>
        <v>0</v>
      </c>
      <c r="AQ15" s="39">
        <f>資料儲存!I4211</f>
        <v>0</v>
      </c>
      <c r="AR15" s="39">
        <f>資料儲存!J4211</f>
        <v>0</v>
      </c>
      <c r="AT15" s="62">
        <v>40</v>
      </c>
      <c r="AU15" s="39">
        <f>資料儲存!D4271</f>
        <v>0</v>
      </c>
      <c r="AV15" s="39">
        <f>資料儲存!E4271</f>
        <v>0</v>
      </c>
      <c r="AW15" s="39">
        <f>資料儲存!F4271</f>
        <v>0</v>
      </c>
      <c r="AX15" s="39">
        <f>資料儲存!G4271</f>
        <v>0</v>
      </c>
      <c r="AY15" s="39">
        <f>資料儲存!H4271</f>
        <v>0</v>
      </c>
      <c r="AZ15" s="39">
        <f>資料儲存!I4271</f>
        <v>0</v>
      </c>
      <c r="BA15" s="39">
        <f>資料儲存!J4271</f>
        <v>0</v>
      </c>
    </row>
    <row r="16" spans="1:53" s="59" customFormat="1" ht="16" thickBot="1">
      <c r="A16" s="62">
        <v>41</v>
      </c>
      <c r="B16" s="39">
        <f>資料儲存!D3972</f>
        <v>0</v>
      </c>
      <c r="C16" s="39">
        <f>資料儲存!E3972</f>
        <v>0</v>
      </c>
      <c r="D16" s="39">
        <f>資料儲存!F3972</f>
        <v>0</v>
      </c>
      <c r="E16" s="39">
        <f>資料儲存!G3972</f>
        <v>0</v>
      </c>
      <c r="F16" s="39">
        <f>資料儲存!H3972</f>
        <v>0</v>
      </c>
      <c r="G16" s="39">
        <f>資料儲存!I3972</f>
        <v>0</v>
      </c>
      <c r="H16" s="39">
        <f>資料儲存!J3972</f>
        <v>0</v>
      </c>
      <c r="I16" s="58"/>
      <c r="J16" s="62">
        <v>41</v>
      </c>
      <c r="K16" s="39">
        <f>資料儲存!D4032</f>
        <v>0</v>
      </c>
      <c r="L16" s="39">
        <f>資料儲存!E4032</f>
        <v>0</v>
      </c>
      <c r="M16" s="39">
        <f>資料儲存!F4032</f>
        <v>0</v>
      </c>
      <c r="N16" s="39">
        <f>資料儲存!G4032</f>
        <v>0</v>
      </c>
      <c r="O16" s="39">
        <f>資料儲存!H4032</f>
        <v>0</v>
      </c>
      <c r="P16" s="39">
        <f>資料儲存!I4032</f>
        <v>0</v>
      </c>
      <c r="Q16" s="39">
        <f>資料儲存!J4032</f>
        <v>0</v>
      </c>
      <c r="R16" s="58"/>
      <c r="S16" s="62">
        <v>41</v>
      </c>
      <c r="T16" s="39">
        <f>資料儲存!D4092</f>
        <v>0</v>
      </c>
      <c r="U16" s="39">
        <f>資料儲存!E4092</f>
        <v>0</v>
      </c>
      <c r="V16" s="39">
        <f>資料儲存!F4092</f>
        <v>0</v>
      </c>
      <c r="W16" s="39">
        <f>資料儲存!G4092</f>
        <v>0</v>
      </c>
      <c r="X16" s="39">
        <f>資料儲存!H4092</f>
        <v>0</v>
      </c>
      <c r="Y16" s="39">
        <f>資料儲存!I4092</f>
        <v>0</v>
      </c>
      <c r="Z16" s="39">
        <f>資料儲存!J4092</f>
        <v>0</v>
      </c>
      <c r="AA16" s="58"/>
      <c r="AB16" s="62">
        <v>41</v>
      </c>
      <c r="AC16" s="39">
        <f>資料儲存!D4152</f>
        <v>0</v>
      </c>
      <c r="AD16" s="39">
        <f>資料儲存!E4152</f>
        <v>0</v>
      </c>
      <c r="AE16" s="39">
        <f>資料儲存!F4152</f>
        <v>0</v>
      </c>
      <c r="AF16" s="39">
        <f>資料儲存!G4152</f>
        <v>0</v>
      </c>
      <c r="AG16" s="39">
        <f>資料儲存!H4152</f>
        <v>0</v>
      </c>
      <c r="AH16" s="39">
        <f>資料儲存!I4152</f>
        <v>0</v>
      </c>
      <c r="AI16" s="39">
        <f>資料儲存!J4152</f>
        <v>0</v>
      </c>
      <c r="AJ16" s="58"/>
      <c r="AK16" s="62">
        <v>41</v>
      </c>
      <c r="AL16" s="39">
        <f>資料儲存!D4212</f>
        <v>0</v>
      </c>
      <c r="AM16" s="39">
        <f>資料儲存!E4212</f>
        <v>0</v>
      </c>
      <c r="AN16" s="39">
        <f>資料儲存!F4212</f>
        <v>0</v>
      </c>
      <c r="AO16" s="39">
        <f>資料儲存!G4212</f>
        <v>0</v>
      </c>
      <c r="AP16" s="39">
        <f>資料儲存!H4212</f>
        <v>0</v>
      </c>
      <c r="AQ16" s="39">
        <f>資料儲存!I4212</f>
        <v>0</v>
      </c>
      <c r="AR16" s="39">
        <f>資料儲存!J4212</f>
        <v>0</v>
      </c>
      <c r="AT16" s="62">
        <v>41</v>
      </c>
      <c r="AU16" s="39">
        <f>資料儲存!D4272</f>
        <v>0</v>
      </c>
      <c r="AV16" s="39">
        <f>資料儲存!E4272</f>
        <v>0</v>
      </c>
      <c r="AW16" s="39">
        <f>資料儲存!F4272</f>
        <v>0</v>
      </c>
      <c r="AX16" s="39">
        <f>資料儲存!G4272</f>
        <v>0</v>
      </c>
      <c r="AY16" s="39">
        <f>資料儲存!H4272</f>
        <v>0</v>
      </c>
      <c r="AZ16" s="39">
        <f>資料儲存!I4272</f>
        <v>0</v>
      </c>
      <c r="BA16" s="39">
        <f>資料儲存!J4272</f>
        <v>0</v>
      </c>
    </row>
    <row r="17" spans="1:53" s="59" customFormat="1" ht="16" thickBot="1">
      <c r="A17" s="62">
        <v>42</v>
      </c>
      <c r="B17" s="39">
        <f>資料儲存!D3973</f>
        <v>0</v>
      </c>
      <c r="C17" s="39">
        <f>資料儲存!E3973</f>
        <v>0</v>
      </c>
      <c r="D17" s="39">
        <f>資料儲存!F3973</f>
        <v>0</v>
      </c>
      <c r="E17" s="39">
        <f>資料儲存!G3973</f>
        <v>0</v>
      </c>
      <c r="F17" s="39">
        <f>資料儲存!H3973</f>
        <v>0</v>
      </c>
      <c r="G17" s="39">
        <f>資料儲存!I3973</f>
        <v>0</v>
      </c>
      <c r="H17" s="39">
        <f>資料儲存!J3973</f>
        <v>0</v>
      </c>
      <c r="I17" s="58"/>
      <c r="J17" s="62">
        <v>42</v>
      </c>
      <c r="K17" s="39">
        <f>資料儲存!D4033</f>
        <v>0</v>
      </c>
      <c r="L17" s="39">
        <f>資料儲存!E4033</f>
        <v>0</v>
      </c>
      <c r="M17" s="39">
        <f>資料儲存!F4033</f>
        <v>0</v>
      </c>
      <c r="N17" s="39">
        <f>資料儲存!G4033</f>
        <v>0</v>
      </c>
      <c r="O17" s="39">
        <f>資料儲存!H4033</f>
        <v>0</v>
      </c>
      <c r="P17" s="39">
        <f>資料儲存!I4033</f>
        <v>0</v>
      </c>
      <c r="Q17" s="39">
        <f>資料儲存!J4033</f>
        <v>0</v>
      </c>
      <c r="R17" s="58"/>
      <c r="S17" s="62">
        <v>42</v>
      </c>
      <c r="T17" s="39">
        <f>資料儲存!D4093</f>
        <v>0</v>
      </c>
      <c r="U17" s="39">
        <f>資料儲存!E4093</f>
        <v>0</v>
      </c>
      <c r="V17" s="39">
        <f>資料儲存!F4093</f>
        <v>0</v>
      </c>
      <c r="W17" s="39">
        <f>資料儲存!G4093</f>
        <v>0</v>
      </c>
      <c r="X17" s="39">
        <f>資料儲存!H4093</f>
        <v>0</v>
      </c>
      <c r="Y17" s="39">
        <f>資料儲存!I4093</f>
        <v>0</v>
      </c>
      <c r="Z17" s="39">
        <f>資料儲存!J4093</f>
        <v>0</v>
      </c>
      <c r="AA17" s="58"/>
      <c r="AB17" s="62">
        <v>42</v>
      </c>
      <c r="AC17" s="39">
        <f>資料儲存!D4153</f>
        <v>0</v>
      </c>
      <c r="AD17" s="39">
        <f>資料儲存!E4153</f>
        <v>0</v>
      </c>
      <c r="AE17" s="39">
        <f>資料儲存!F4153</f>
        <v>0</v>
      </c>
      <c r="AF17" s="39">
        <f>資料儲存!G4153</f>
        <v>0</v>
      </c>
      <c r="AG17" s="39">
        <f>資料儲存!H4153</f>
        <v>0</v>
      </c>
      <c r="AH17" s="39">
        <f>資料儲存!I4153</f>
        <v>0</v>
      </c>
      <c r="AI17" s="39">
        <f>資料儲存!J4153</f>
        <v>0</v>
      </c>
      <c r="AJ17" s="58"/>
      <c r="AK17" s="62">
        <v>42</v>
      </c>
      <c r="AL17" s="39">
        <f>資料儲存!D4213</f>
        <v>0</v>
      </c>
      <c r="AM17" s="39">
        <f>資料儲存!E4213</f>
        <v>0</v>
      </c>
      <c r="AN17" s="39">
        <f>資料儲存!F4213</f>
        <v>0</v>
      </c>
      <c r="AO17" s="39">
        <f>資料儲存!G4213</f>
        <v>0</v>
      </c>
      <c r="AP17" s="39">
        <f>資料儲存!H4213</f>
        <v>0</v>
      </c>
      <c r="AQ17" s="39">
        <f>資料儲存!I4213</f>
        <v>0</v>
      </c>
      <c r="AR17" s="39">
        <f>資料儲存!J4213</f>
        <v>0</v>
      </c>
      <c r="AT17" s="62">
        <v>42</v>
      </c>
      <c r="AU17" s="39">
        <f>資料儲存!D4273</f>
        <v>0</v>
      </c>
      <c r="AV17" s="39">
        <f>資料儲存!E4273</f>
        <v>0</v>
      </c>
      <c r="AW17" s="39">
        <f>資料儲存!F4273</f>
        <v>0</v>
      </c>
      <c r="AX17" s="39">
        <f>資料儲存!G4273</f>
        <v>0</v>
      </c>
      <c r="AY17" s="39">
        <f>資料儲存!H4273</f>
        <v>0</v>
      </c>
      <c r="AZ17" s="39">
        <f>資料儲存!I4273</f>
        <v>0</v>
      </c>
      <c r="BA17" s="39">
        <f>資料儲存!J4273</f>
        <v>0</v>
      </c>
    </row>
    <row r="18" spans="1:53" s="59" customFormat="1" ht="16" thickBot="1">
      <c r="A18" s="62">
        <v>43</v>
      </c>
      <c r="B18" s="39">
        <f>資料儲存!D3974</f>
        <v>0</v>
      </c>
      <c r="C18" s="39">
        <f>資料儲存!E3974</f>
        <v>0</v>
      </c>
      <c r="D18" s="39">
        <f>資料儲存!F3974</f>
        <v>0</v>
      </c>
      <c r="E18" s="39">
        <f>資料儲存!G3974</f>
        <v>0</v>
      </c>
      <c r="F18" s="39">
        <f>資料儲存!H3974</f>
        <v>0</v>
      </c>
      <c r="G18" s="39">
        <f>資料儲存!I3974</f>
        <v>0</v>
      </c>
      <c r="H18" s="39">
        <f>資料儲存!J3974</f>
        <v>0</v>
      </c>
      <c r="I18" s="58"/>
      <c r="J18" s="62">
        <v>43</v>
      </c>
      <c r="K18" s="39">
        <f>資料儲存!D4034</f>
        <v>0</v>
      </c>
      <c r="L18" s="39">
        <f>資料儲存!E4034</f>
        <v>0</v>
      </c>
      <c r="M18" s="39">
        <f>資料儲存!F4034</f>
        <v>0</v>
      </c>
      <c r="N18" s="39">
        <f>資料儲存!G4034</f>
        <v>0</v>
      </c>
      <c r="O18" s="39">
        <f>資料儲存!H4034</f>
        <v>0</v>
      </c>
      <c r="P18" s="39">
        <f>資料儲存!I4034</f>
        <v>0</v>
      </c>
      <c r="Q18" s="39">
        <f>資料儲存!J4034</f>
        <v>0</v>
      </c>
      <c r="R18" s="58"/>
      <c r="S18" s="62">
        <v>43</v>
      </c>
      <c r="T18" s="39">
        <f>資料儲存!D4094</f>
        <v>0</v>
      </c>
      <c r="U18" s="39">
        <f>資料儲存!E4094</f>
        <v>0</v>
      </c>
      <c r="V18" s="39">
        <f>資料儲存!F4094</f>
        <v>0</v>
      </c>
      <c r="W18" s="39">
        <f>資料儲存!G4094</f>
        <v>0</v>
      </c>
      <c r="X18" s="39">
        <f>資料儲存!H4094</f>
        <v>0</v>
      </c>
      <c r="Y18" s="39">
        <f>資料儲存!I4094</f>
        <v>0</v>
      </c>
      <c r="Z18" s="39">
        <f>資料儲存!J4094</f>
        <v>0</v>
      </c>
      <c r="AA18" s="58"/>
      <c r="AB18" s="62">
        <v>43</v>
      </c>
      <c r="AC18" s="39">
        <f>資料儲存!D4154</f>
        <v>0</v>
      </c>
      <c r="AD18" s="39">
        <f>資料儲存!E4154</f>
        <v>0</v>
      </c>
      <c r="AE18" s="39">
        <f>資料儲存!F4154</f>
        <v>0</v>
      </c>
      <c r="AF18" s="39">
        <f>資料儲存!G4154</f>
        <v>0</v>
      </c>
      <c r="AG18" s="39">
        <f>資料儲存!H4154</f>
        <v>0</v>
      </c>
      <c r="AH18" s="39">
        <f>資料儲存!I4154</f>
        <v>0</v>
      </c>
      <c r="AI18" s="39">
        <f>資料儲存!J4154</f>
        <v>0</v>
      </c>
      <c r="AJ18" s="58"/>
      <c r="AK18" s="62">
        <v>43</v>
      </c>
      <c r="AL18" s="39">
        <f>資料儲存!D4214</f>
        <v>0</v>
      </c>
      <c r="AM18" s="39">
        <f>資料儲存!E4214</f>
        <v>0</v>
      </c>
      <c r="AN18" s="39">
        <f>資料儲存!F4214</f>
        <v>0</v>
      </c>
      <c r="AO18" s="39">
        <f>資料儲存!G4214</f>
        <v>0</v>
      </c>
      <c r="AP18" s="39">
        <f>資料儲存!H4214</f>
        <v>0</v>
      </c>
      <c r="AQ18" s="39">
        <f>資料儲存!I4214</f>
        <v>0</v>
      </c>
      <c r="AR18" s="39">
        <f>資料儲存!J4214</f>
        <v>0</v>
      </c>
      <c r="AT18" s="62">
        <v>43</v>
      </c>
      <c r="AU18" s="39">
        <f>資料儲存!D4274</f>
        <v>0</v>
      </c>
      <c r="AV18" s="39">
        <f>資料儲存!E4274</f>
        <v>0</v>
      </c>
      <c r="AW18" s="39">
        <f>資料儲存!F4274</f>
        <v>0</v>
      </c>
      <c r="AX18" s="39">
        <f>資料儲存!G4274</f>
        <v>0</v>
      </c>
      <c r="AY18" s="39">
        <f>資料儲存!H4274</f>
        <v>0</v>
      </c>
      <c r="AZ18" s="39">
        <f>資料儲存!I4274</f>
        <v>0</v>
      </c>
      <c r="BA18" s="39">
        <f>資料儲存!J4274</f>
        <v>0</v>
      </c>
    </row>
    <row r="19" spans="1:53" s="59" customFormat="1" ht="16" thickBot="1">
      <c r="A19" s="62">
        <v>44</v>
      </c>
      <c r="B19" s="39">
        <f>資料儲存!D3975</f>
        <v>0</v>
      </c>
      <c r="C19" s="39">
        <f>資料儲存!E3975</f>
        <v>0</v>
      </c>
      <c r="D19" s="39">
        <f>資料儲存!F3975</f>
        <v>0</v>
      </c>
      <c r="E19" s="39">
        <f>資料儲存!G3975</f>
        <v>0</v>
      </c>
      <c r="F19" s="39">
        <f>資料儲存!H3975</f>
        <v>0</v>
      </c>
      <c r="G19" s="39">
        <f>資料儲存!I3975</f>
        <v>0</v>
      </c>
      <c r="H19" s="39">
        <f>資料儲存!J3975</f>
        <v>0</v>
      </c>
      <c r="I19" s="58"/>
      <c r="J19" s="62">
        <v>44</v>
      </c>
      <c r="K19" s="39">
        <f>資料儲存!D4035</f>
        <v>0</v>
      </c>
      <c r="L19" s="39">
        <f>資料儲存!E4035</f>
        <v>0</v>
      </c>
      <c r="M19" s="39">
        <f>資料儲存!F4035</f>
        <v>0</v>
      </c>
      <c r="N19" s="39">
        <f>資料儲存!G4035</f>
        <v>0</v>
      </c>
      <c r="O19" s="39">
        <f>資料儲存!H4035</f>
        <v>0</v>
      </c>
      <c r="P19" s="39">
        <f>資料儲存!I4035</f>
        <v>0</v>
      </c>
      <c r="Q19" s="39">
        <f>資料儲存!J4035</f>
        <v>0</v>
      </c>
      <c r="R19" s="58"/>
      <c r="S19" s="62">
        <v>44</v>
      </c>
      <c r="T19" s="39">
        <f>資料儲存!D4095</f>
        <v>0</v>
      </c>
      <c r="U19" s="39">
        <f>資料儲存!E4095</f>
        <v>0</v>
      </c>
      <c r="V19" s="39">
        <f>資料儲存!F4095</f>
        <v>0</v>
      </c>
      <c r="W19" s="39">
        <f>資料儲存!G4095</f>
        <v>0</v>
      </c>
      <c r="X19" s="39">
        <f>資料儲存!H4095</f>
        <v>0</v>
      </c>
      <c r="Y19" s="39">
        <f>資料儲存!I4095</f>
        <v>0</v>
      </c>
      <c r="Z19" s="39">
        <f>資料儲存!J4095</f>
        <v>0</v>
      </c>
      <c r="AA19" s="58"/>
      <c r="AB19" s="62">
        <v>44</v>
      </c>
      <c r="AC19" s="39">
        <f>資料儲存!D4155</f>
        <v>0</v>
      </c>
      <c r="AD19" s="39">
        <f>資料儲存!E4155</f>
        <v>0</v>
      </c>
      <c r="AE19" s="39">
        <f>資料儲存!F4155</f>
        <v>0</v>
      </c>
      <c r="AF19" s="39">
        <f>資料儲存!G4155</f>
        <v>0</v>
      </c>
      <c r="AG19" s="39">
        <f>資料儲存!H4155</f>
        <v>0</v>
      </c>
      <c r="AH19" s="39">
        <f>資料儲存!I4155</f>
        <v>0</v>
      </c>
      <c r="AI19" s="39">
        <f>資料儲存!J4155</f>
        <v>0</v>
      </c>
      <c r="AJ19" s="58"/>
      <c r="AK19" s="62">
        <v>44</v>
      </c>
      <c r="AL19" s="39">
        <f>資料儲存!D4215</f>
        <v>0</v>
      </c>
      <c r="AM19" s="39">
        <f>資料儲存!E4215</f>
        <v>0</v>
      </c>
      <c r="AN19" s="39">
        <f>資料儲存!F4215</f>
        <v>0</v>
      </c>
      <c r="AO19" s="39">
        <f>資料儲存!G4215</f>
        <v>0</v>
      </c>
      <c r="AP19" s="39">
        <f>資料儲存!H4215</f>
        <v>0</v>
      </c>
      <c r="AQ19" s="39">
        <f>資料儲存!I4215</f>
        <v>0</v>
      </c>
      <c r="AR19" s="39">
        <f>資料儲存!J4215</f>
        <v>0</v>
      </c>
      <c r="AT19" s="62">
        <v>44</v>
      </c>
      <c r="AU19" s="39">
        <f>資料儲存!D4275</f>
        <v>0</v>
      </c>
      <c r="AV19" s="39">
        <f>資料儲存!E4275</f>
        <v>0</v>
      </c>
      <c r="AW19" s="39">
        <f>資料儲存!F4275</f>
        <v>0</v>
      </c>
      <c r="AX19" s="39">
        <f>資料儲存!G4275</f>
        <v>0</v>
      </c>
      <c r="AY19" s="39">
        <f>資料儲存!H4275</f>
        <v>0</v>
      </c>
      <c r="AZ19" s="39">
        <f>資料儲存!I4275</f>
        <v>0</v>
      </c>
      <c r="BA19" s="39">
        <f>資料儲存!J4275</f>
        <v>0</v>
      </c>
    </row>
    <row r="20" spans="1:53" s="59" customFormat="1" ht="16" thickBot="1">
      <c r="A20" s="62">
        <v>45</v>
      </c>
      <c r="B20" s="39">
        <f>資料儲存!D3976</f>
        <v>0</v>
      </c>
      <c r="C20" s="39">
        <f>資料儲存!E3976</f>
        <v>0</v>
      </c>
      <c r="D20" s="39">
        <f>資料儲存!F3976</f>
        <v>0</v>
      </c>
      <c r="E20" s="39">
        <f>資料儲存!G3976</f>
        <v>0</v>
      </c>
      <c r="F20" s="39">
        <f>資料儲存!H3976</f>
        <v>0</v>
      </c>
      <c r="G20" s="39">
        <f>資料儲存!I3976</f>
        <v>0</v>
      </c>
      <c r="H20" s="39">
        <f>資料儲存!J3976</f>
        <v>0</v>
      </c>
      <c r="I20" s="58"/>
      <c r="J20" s="62">
        <v>45</v>
      </c>
      <c r="K20" s="39">
        <f>資料儲存!D4036</f>
        <v>0</v>
      </c>
      <c r="L20" s="39">
        <f>資料儲存!E4036</f>
        <v>0</v>
      </c>
      <c r="M20" s="39">
        <f>資料儲存!F4036</f>
        <v>0</v>
      </c>
      <c r="N20" s="39">
        <f>資料儲存!G4036</f>
        <v>0</v>
      </c>
      <c r="O20" s="39">
        <f>資料儲存!H4036</f>
        <v>0</v>
      </c>
      <c r="P20" s="39">
        <f>資料儲存!I4036</f>
        <v>0</v>
      </c>
      <c r="Q20" s="39">
        <f>資料儲存!J4036</f>
        <v>0</v>
      </c>
      <c r="R20" s="58"/>
      <c r="S20" s="62">
        <v>45</v>
      </c>
      <c r="T20" s="39">
        <f>資料儲存!D4096</f>
        <v>0</v>
      </c>
      <c r="U20" s="39">
        <f>資料儲存!E4096</f>
        <v>0</v>
      </c>
      <c r="V20" s="39">
        <f>資料儲存!F4096</f>
        <v>0</v>
      </c>
      <c r="W20" s="39">
        <f>資料儲存!G4096</f>
        <v>0</v>
      </c>
      <c r="X20" s="39">
        <f>資料儲存!H4096</f>
        <v>0</v>
      </c>
      <c r="Y20" s="39">
        <f>資料儲存!I4096</f>
        <v>0</v>
      </c>
      <c r="Z20" s="39">
        <f>資料儲存!J4096</f>
        <v>0</v>
      </c>
      <c r="AA20" s="58"/>
      <c r="AB20" s="62">
        <v>45</v>
      </c>
      <c r="AC20" s="39">
        <f>資料儲存!D4156</f>
        <v>0</v>
      </c>
      <c r="AD20" s="39">
        <f>資料儲存!E4156</f>
        <v>0</v>
      </c>
      <c r="AE20" s="39">
        <f>資料儲存!F4156</f>
        <v>0</v>
      </c>
      <c r="AF20" s="39">
        <f>資料儲存!G4156</f>
        <v>0</v>
      </c>
      <c r="AG20" s="39">
        <f>資料儲存!H4156</f>
        <v>0</v>
      </c>
      <c r="AH20" s="39">
        <f>資料儲存!I4156</f>
        <v>0</v>
      </c>
      <c r="AI20" s="39">
        <f>資料儲存!J4156</f>
        <v>0</v>
      </c>
      <c r="AJ20" s="58"/>
      <c r="AK20" s="62">
        <v>45</v>
      </c>
      <c r="AL20" s="39">
        <f>資料儲存!D4216</f>
        <v>0</v>
      </c>
      <c r="AM20" s="39">
        <f>資料儲存!E4216</f>
        <v>0</v>
      </c>
      <c r="AN20" s="39">
        <f>資料儲存!F4216</f>
        <v>0</v>
      </c>
      <c r="AO20" s="39">
        <f>資料儲存!G4216</f>
        <v>0</v>
      </c>
      <c r="AP20" s="39">
        <f>資料儲存!H4216</f>
        <v>0</v>
      </c>
      <c r="AQ20" s="39">
        <f>資料儲存!I4216</f>
        <v>0</v>
      </c>
      <c r="AR20" s="39">
        <f>資料儲存!J4216</f>
        <v>0</v>
      </c>
      <c r="AT20" s="62">
        <v>45</v>
      </c>
      <c r="AU20" s="39">
        <f>資料儲存!D4276</f>
        <v>0</v>
      </c>
      <c r="AV20" s="39">
        <f>資料儲存!E4276</f>
        <v>0</v>
      </c>
      <c r="AW20" s="39">
        <f>資料儲存!F4276</f>
        <v>0</v>
      </c>
      <c r="AX20" s="39">
        <f>資料儲存!G4276</f>
        <v>0</v>
      </c>
      <c r="AY20" s="39">
        <f>資料儲存!H4276</f>
        <v>0</v>
      </c>
      <c r="AZ20" s="39">
        <f>資料儲存!I4276</f>
        <v>0</v>
      </c>
      <c r="BA20" s="39">
        <f>資料儲存!J4276</f>
        <v>0</v>
      </c>
    </row>
    <row r="21" spans="1:53" s="59" customFormat="1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35"/>
      <c r="AK21" s="40" t="s">
        <v>56</v>
      </c>
      <c r="AL21" s="39">
        <f>SUM(AL6:AO20)</f>
        <v>0</v>
      </c>
      <c r="AM21" s="37"/>
      <c r="AN21" s="37"/>
      <c r="AO21" s="37"/>
      <c r="AP21" s="39">
        <f>AP20</f>
        <v>0</v>
      </c>
      <c r="AQ21" s="39">
        <f>AQ20</f>
        <v>0</v>
      </c>
      <c r="AR21" s="39">
        <f>AR20</f>
        <v>0</v>
      </c>
      <c r="AT21" s="40" t="s">
        <v>56</v>
      </c>
      <c r="AU21" s="39">
        <f>SUM(AU6:AX20)</f>
        <v>0</v>
      </c>
      <c r="AV21" s="37"/>
      <c r="AW21" s="37"/>
      <c r="AX21" s="37"/>
      <c r="AY21" s="39">
        <f>AY20</f>
        <v>0</v>
      </c>
      <c r="AZ21" s="39">
        <f>AZ20</f>
        <v>0</v>
      </c>
      <c r="BA21" s="39">
        <f>BA20</f>
        <v>0</v>
      </c>
    </row>
    <row r="22" spans="1:53" ht="18.5" thickBot="1">
      <c r="A22" s="257" t="s">
        <v>110</v>
      </c>
      <c r="B22" s="258"/>
      <c r="C22" s="258"/>
      <c r="D22" s="258"/>
      <c r="E22" s="258"/>
      <c r="F22" s="258"/>
      <c r="G22" s="258"/>
      <c r="H22" s="259"/>
      <c r="I22" s="14"/>
      <c r="J22" s="257" t="s">
        <v>110</v>
      </c>
      <c r="K22" s="258"/>
      <c r="L22" s="258"/>
      <c r="M22" s="258"/>
      <c r="N22" s="258"/>
      <c r="O22" s="258"/>
      <c r="P22" s="258"/>
      <c r="Q22" s="259"/>
      <c r="R22" s="14"/>
      <c r="S22" s="257" t="s">
        <v>110</v>
      </c>
      <c r="T22" s="258"/>
      <c r="U22" s="258"/>
      <c r="V22" s="258"/>
      <c r="W22" s="258"/>
      <c r="X22" s="258"/>
      <c r="Y22" s="258"/>
      <c r="Z22" s="259"/>
      <c r="AA22" s="14"/>
      <c r="AB22" s="257" t="s">
        <v>110</v>
      </c>
      <c r="AC22" s="258"/>
      <c r="AD22" s="258"/>
      <c r="AE22" s="258"/>
      <c r="AF22" s="258"/>
      <c r="AG22" s="258"/>
      <c r="AH22" s="258"/>
      <c r="AI22" s="259"/>
      <c r="AJ22" s="14"/>
      <c r="AK22" s="257" t="s">
        <v>110</v>
      </c>
      <c r="AL22" s="258"/>
      <c r="AM22" s="258"/>
      <c r="AN22" s="258"/>
      <c r="AO22" s="258"/>
      <c r="AP22" s="258"/>
      <c r="AQ22" s="258"/>
      <c r="AR22" s="259"/>
      <c r="AT22" s="257" t="s">
        <v>110</v>
      </c>
      <c r="AU22" s="258"/>
      <c r="AV22" s="258"/>
      <c r="AW22" s="258"/>
      <c r="AX22" s="258"/>
      <c r="AY22" s="258"/>
      <c r="AZ22" s="258"/>
      <c r="BA22" s="259"/>
    </row>
    <row r="23" spans="1:53" s="67" customFormat="1" ht="17.25" customHeight="1" thickBot="1">
      <c r="A23" s="63" t="s">
        <v>2</v>
      </c>
      <c r="B23" s="64" t="s">
        <v>46</v>
      </c>
      <c r="C23" s="65"/>
      <c r="D23" s="65"/>
      <c r="E23" s="66"/>
      <c r="F23" s="64" t="s">
        <v>47</v>
      </c>
      <c r="G23" s="65"/>
      <c r="H23" s="66"/>
      <c r="I23" s="52"/>
      <c r="J23" s="63" t="s">
        <v>2</v>
      </c>
      <c r="K23" s="64" t="s">
        <v>46</v>
      </c>
      <c r="L23" s="65"/>
      <c r="M23" s="65"/>
      <c r="N23" s="66"/>
      <c r="O23" s="64" t="s">
        <v>47</v>
      </c>
      <c r="P23" s="65"/>
      <c r="Q23" s="66"/>
      <c r="R23" s="52"/>
      <c r="S23" s="63" t="s">
        <v>2</v>
      </c>
      <c r="T23" s="64" t="s">
        <v>46</v>
      </c>
      <c r="U23" s="65"/>
      <c r="V23" s="65"/>
      <c r="W23" s="66"/>
      <c r="X23" s="64" t="s">
        <v>47</v>
      </c>
      <c r="Y23" s="65"/>
      <c r="Z23" s="66"/>
      <c r="AA23" s="52"/>
      <c r="AB23" s="63" t="s">
        <v>2</v>
      </c>
      <c r="AC23" s="64" t="s">
        <v>46</v>
      </c>
      <c r="AD23" s="65"/>
      <c r="AE23" s="65"/>
      <c r="AF23" s="66"/>
      <c r="AG23" s="64" t="s">
        <v>47</v>
      </c>
      <c r="AH23" s="65"/>
      <c r="AI23" s="66"/>
      <c r="AJ23" s="52"/>
      <c r="AK23" s="63" t="s">
        <v>2</v>
      </c>
      <c r="AL23" s="64" t="s">
        <v>46</v>
      </c>
      <c r="AM23" s="65"/>
      <c r="AN23" s="65"/>
      <c r="AO23" s="66"/>
      <c r="AP23" s="64" t="s">
        <v>47</v>
      </c>
      <c r="AQ23" s="65"/>
      <c r="AR23" s="66"/>
      <c r="AT23" s="63" t="s">
        <v>2</v>
      </c>
      <c r="AU23" s="64" t="s">
        <v>46</v>
      </c>
      <c r="AV23" s="65"/>
      <c r="AW23" s="65"/>
      <c r="AX23" s="66"/>
      <c r="AY23" s="64" t="s">
        <v>47</v>
      </c>
      <c r="AZ23" s="65"/>
      <c r="BA23" s="66"/>
    </row>
    <row r="24" spans="1:53" s="67" customFormat="1" ht="16" thickBot="1">
      <c r="A24" s="68">
        <v>0.61458333333333337</v>
      </c>
      <c r="B24" s="69" t="s">
        <v>49</v>
      </c>
      <c r="C24" s="69" t="s">
        <v>50</v>
      </c>
      <c r="D24" s="69" t="s">
        <v>51</v>
      </c>
      <c r="E24" s="69" t="s">
        <v>52</v>
      </c>
      <c r="F24" s="69" t="s">
        <v>53</v>
      </c>
      <c r="G24" s="69" t="s">
        <v>54</v>
      </c>
      <c r="H24" s="69" t="s">
        <v>55</v>
      </c>
      <c r="I24" s="52"/>
      <c r="J24" s="68">
        <v>0.61458333333333337</v>
      </c>
      <c r="K24" s="69" t="s">
        <v>49</v>
      </c>
      <c r="L24" s="69" t="s">
        <v>50</v>
      </c>
      <c r="M24" s="69" t="s">
        <v>51</v>
      </c>
      <c r="N24" s="69" t="s">
        <v>52</v>
      </c>
      <c r="O24" s="69" t="s">
        <v>53</v>
      </c>
      <c r="P24" s="69" t="s">
        <v>54</v>
      </c>
      <c r="Q24" s="69" t="s">
        <v>55</v>
      </c>
      <c r="R24" s="52"/>
      <c r="S24" s="68">
        <v>0.61458333333333337</v>
      </c>
      <c r="T24" s="69" t="s">
        <v>49</v>
      </c>
      <c r="U24" s="69" t="s">
        <v>50</v>
      </c>
      <c r="V24" s="69" t="s">
        <v>51</v>
      </c>
      <c r="W24" s="69" t="s">
        <v>52</v>
      </c>
      <c r="X24" s="69" t="s">
        <v>53</v>
      </c>
      <c r="Y24" s="69" t="s">
        <v>54</v>
      </c>
      <c r="Z24" s="69" t="s">
        <v>55</v>
      </c>
      <c r="AA24" s="52"/>
      <c r="AB24" s="68">
        <v>0.61458333333333337</v>
      </c>
      <c r="AC24" s="69" t="s">
        <v>49</v>
      </c>
      <c r="AD24" s="69" t="s">
        <v>50</v>
      </c>
      <c r="AE24" s="69" t="s">
        <v>51</v>
      </c>
      <c r="AF24" s="69" t="s">
        <v>52</v>
      </c>
      <c r="AG24" s="69" t="s">
        <v>53</v>
      </c>
      <c r="AH24" s="69" t="s">
        <v>54</v>
      </c>
      <c r="AI24" s="69" t="s">
        <v>55</v>
      </c>
      <c r="AJ24" s="52"/>
      <c r="AK24" s="68">
        <v>0.61458333333333337</v>
      </c>
      <c r="AL24" s="69" t="s">
        <v>49</v>
      </c>
      <c r="AM24" s="69" t="s">
        <v>50</v>
      </c>
      <c r="AN24" s="69" t="s">
        <v>51</v>
      </c>
      <c r="AO24" s="69" t="s">
        <v>52</v>
      </c>
      <c r="AP24" s="69" t="s">
        <v>53</v>
      </c>
      <c r="AQ24" s="69" t="s">
        <v>54</v>
      </c>
      <c r="AR24" s="69" t="s">
        <v>55</v>
      </c>
      <c r="AT24" s="68">
        <v>0.61458333333333337</v>
      </c>
      <c r="AU24" s="69" t="s">
        <v>49</v>
      </c>
      <c r="AV24" s="69" t="s">
        <v>50</v>
      </c>
      <c r="AW24" s="69" t="s">
        <v>51</v>
      </c>
      <c r="AX24" s="69" t="s">
        <v>52</v>
      </c>
      <c r="AY24" s="69" t="s">
        <v>53</v>
      </c>
      <c r="AZ24" s="69" t="s">
        <v>54</v>
      </c>
      <c r="BA24" s="69" t="s">
        <v>55</v>
      </c>
    </row>
    <row r="25" spans="1:53" s="67" customFormat="1" ht="16" thickBot="1">
      <c r="A25" s="70">
        <v>46</v>
      </c>
      <c r="B25" s="49">
        <f>資料儲存!D3977</f>
        <v>0</v>
      </c>
      <c r="C25" s="49">
        <f>資料儲存!E3977</f>
        <v>0</v>
      </c>
      <c r="D25" s="49">
        <f>資料儲存!F3977</f>
        <v>0</v>
      </c>
      <c r="E25" s="49">
        <f>資料儲存!G3977</f>
        <v>0</v>
      </c>
      <c r="F25" s="49">
        <f>資料儲存!H3977</f>
        <v>0</v>
      </c>
      <c r="G25" s="49">
        <f>資料儲存!I3977</f>
        <v>0</v>
      </c>
      <c r="H25" s="49">
        <f>資料儲存!J3977</f>
        <v>0</v>
      </c>
      <c r="I25" s="52"/>
      <c r="J25" s="70">
        <v>46</v>
      </c>
      <c r="K25" s="49">
        <f>資料儲存!D4037</f>
        <v>0</v>
      </c>
      <c r="L25" s="49">
        <f>資料儲存!E4037</f>
        <v>0</v>
      </c>
      <c r="M25" s="49">
        <f>資料儲存!F4037</f>
        <v>0</v>
      </c>
      <c r="N25" s="49">
        <f>資料儲存!G4037</f>
        <v>0</v>
      </c>
      <c r="O25" s="49">
        <f>資料儲存!H4037</f>
        <v>0</v>
      </c>
      <c r="P25" s="49">
        <f>資料儲存!I4037</f>
        <v>0</v>
      </c>
      <c r="Q25" s="49">
        <f>資料儲存!J4037</f>
        <v>0</v>
      </c>
      <c r="R25" s="52"/>
      <c r="S25" s="70">
        <v>46</v>
      </c>
      <c r="T25" s="49">
        <f>資料儲存!D4097</f>
        <v>0</v>
      </c>
      <c r="U25" s="49">
        <f>資料儲存!E4097</f>
        <v>0</v>
      </c>
      <c r="V25" s="49">
        <f>資料儲存!F4097</f>
        <v>0</v>
      </c>
      <c r="W25" s="49">
        <f>資料儲存!G4097</f>
        <v>0</v>
      </c>
      <c r="X25" s="49">
        <f>資料儲存!H4097</f>
        <v>0</v>
      </c>
      <c r="Y25" s="49">
        <f>資料儲存!I4097</f>
        <v>0</v>
      </c>
      <c r="Z25" s="49">
        <f>資料儲存!J4097</f>
        <v>0</v>
      </c>
      <c r="AA25" s="52"/>
      <c r="AB25" s="70">
        <v>46</v>
      </c>
      <c r="AC25" s="49">
        <f>資料儲存!D4157</f>
        <v>0</v>
      </c>
      <c r="AD25" s="49">
        <f>資料儲存!E4157</f>
        <v>0</v>
      </c>
      <c r="AE25" s="49">
        <f>資料儲存!F4157</f>
        <v>0</v>
      </c>
      <c r="AF25" s="49">
        <f>資料儲存!G4157</f>
        <v>0</v>
      </c>
      <c r="AG25" s="49">
        <f>資料儲存!H4157</f>
        <v>0</v>
      </c>
      <c r="AH25" s="49">
        <f>資料儲存!I4157</f>
        <v>0</v>
      </c>
      <c r="AI25" s="49">
        <f>資料儲存!J4157</f>
        <v>0</v>
      </c>
      <c r="AJ25" s="52"/>
      <c r="AK25" s="70">
        <v>46</v>
      </c>
      <c r="AL25" s="49">
        <f>資料儲存!D4217</f>
        <v>0</v>
      </c>
      <c r="AM25" s="49">
        <f>資料儲存!E4217</f>
        <v>0</v>
      </c>
      <c r="AN25" s="49">
        <f>資料儲存!F4217</f>
        <v>0</v>
      </c>
      <c r="AO25" s="49">
        <f>資料儲存!G4217</f>
        <v>0</v>
      </c>
      <c r="AP25" s="49">
        <f>資料儲存!H4217</f>
        <v>0</v>
      </c>
      <c r="AQ25" s="49">
        <f>資料儲存!I4217</f>
        <v>0</v>
      </c>
      <c r="AR25" s="49">
        <f>資料儲存!J4217</f>
        <v>0</v>
      </c>
      <c r="AT25" s="70">
        <v>46</v>
      </c>
      <c r="AU25" s="49">
        <f>資料儲存!D4277</f>
        <v>0</v>
      </c>
      <c r="AV25" s="49">
        <f>資料儲存!E4277</f>
        <v>0</v>
      </c>
      <c r="AW25" s="49">
        <f>資料儲存!F4277</f>
        <v>0</v>
      </c>
      <c r="AX25" s="49">
        <f>資料儲存!G4277</f>
        <v>0</v>
      </c>
      <c r="AY25" s="49">
        <f>資料儲存!H4277</f>
        <v>0</v>
      </c>
      <c r="AZ25" s="49">
        <f>資料儲存!I4277</f>
        <v>0</v>
      </c>
      <c r="BA25" s="49">
        <f>資料儲存!J4277</f>
        <v>0</v>
      </c>
    </row>
    <row r="26" spans="1:53" s="67" customFormat="1" ht="16" thickBot="1">
      <c r="A26" s="70">
        <v>47</v>
      </c>
      <c r="B26" s="49">
        <f>資料儲存!D3978</f>
        <v>0</v>
      </c>
      <c r="C26" s="49">
        <f>資料儲存!E3978</f>
        <v>0</v>
      </c>
      <c r="D26" s="49">
        <f>資料儲存!F3978</f>
        <v>0</v>
      </c>
      <c r="E26" s="49">
        <f>資料儲存!G3978</f>
        <v>0</v>
      </c>
      <c r="F26" s="49">
        <f>資料儲存!H3978</f>
        <v>0</v>
      </c>
      <c r="G26" s="49">
        <f>資料儲存!I3978</f>
        <v>0</v>
      </c>
      <c r="H26" s="49">
        <f>資料儲存!J3978</f>
        <v>0</v>
      </c>
      <c r="I26" s="52"/>
      <c r="J26" s="70">
        <v>47</v>
      </c>
      <c r="K26" s="49">
        <f>資料儲存!D4038</f>
        <v>0</v>
      </c>
      <c r="L26" s="49">
        <f>資料儲存!E4038</f>
        <v>0</v>
      </c>
      <c r="M26" s="49">
        <f>資料儲存!F4038</f>
        <v>0</v>
      </c>
      <c r="N26" s="49">
        <f>資料儲存!G4038</f>
        <v>0</v>
      </c>
      <c r="O26" s="49">
        <f>資料儲存!H4038</f>
        <v>0</v>
      </c>
      <c r="P26" s="49">
        <f>資料儲存!I4038</f>
        <v>0</v>
      </c>
      <c r="Q26" s="49">
        <f>資料儲存!J4038</f>
        <v>0</v>
      </c>
      <c r="R26" s="52"/>
      <c r="S26" s="70">
        <v>47</v>
      </c>
      <c r="T26" s="49">
        <f>資料儲存!D4098</f>
        <v>0</v>
      </c>
      <c r="U26" s="49">
        <f>資料儲存!E4098</f>
        <v>0</v>
      </c>
      <c r="V26" s="49">
        <f>資料儲存!F4098</f>
        <v>0</v>
      </c>
      <c r="W26" s="49">
        <f>資料儲存!G4098</f>
        <v>0</v>
      </c>
      <c r="X26" s="49">
        <f>資料儲存!H4098</f>
        <v>0</v>
      </c>
      <c r="Y26" s="49">
        <f>資料儲存!I4098</f>
        <v>0</v>
      </c>
      <c r="Z26" s="49">
        <f>資料儲存!J4098</f>
        <v>0</v>
      </c>
      <c r="AA26" s="52"/>
      <c r="AB26" s="70">
        <v>47</v>
      </c>
      <c r="AC26" s="49">
        <f>資料儲存!D4158</f>
        <v>0</v>
      </c>
      <c r="AD26" s="49">
        <f>資料儲存!E4158</f>
        <v>0</v>
      </c>
      <c r="AE26" s="49">
        <f>資料儲存!F4158</f>
        <v>0</v>
      </c>
      <c r="AF26" s="49">
        <f>資料儲存!G4158</f>
        <v>0</v>
      </c>
      <c r="AG26" s="49">
        <f>資料儲存!H4158</f>
        <v>0</v>
      </c>
      <c r="AH26" s="49">
        <f>資料儲存!I4158</f>
        <v>0</v>
      </c>
      <c r="AI26" s="49">
        <f>資料儲存!J4158</f>
        <v>0</v>
      </c>
      <c r="AJ26" s="52"/>
      <c r="AK26" s="70">
        <v>47</v>
      </c>
      <c r="AL26" s="49">
        <f>資料儲存!D4218</f>
        <v>0</v>
      </c>
      <c r="AM26" s="49">
        <f>資料儲存!E4218</f>
        <v>0</v>
      </c>
      <c r="AN26" s="49">
        <f>資料儲存!F4218</f>
        <v>0</v>
      </c>
      <c r="AO26" s="49">
        <f>資料儲存!G4218</f>
        <v>0</v>
      </c>
      <c r="AP26" s="49">
        <f>資料儲存!H4218</f>
        <v>0</v>
      </c>
      <c r="AQ26" s="49">
        <f>資料儲存!I4218</f>
        <v>0</v>
      </c>
      <c r="AR26" s="49">
        <f>資料儲存!J4218</f>
        <v>0</v>
      </c>
      <c r="AT26" s="70">
        <v>47</v>
      </c>
      <c r="AU26" s="49">
        <f>資料儲存!D4278</f>
        <v>0</v>
      </c>
      <c r="AV26" s="49">
        <f>資料儲存!E4278</f>
        <v>0</v>
      </c>
      <c r="AW26" s="49">
        <f>資料儲存!F4278</f>
        <v>0</v>
      </c>
      <c r="AX26" s="49">
        <f>資料儲存!G4278</f>
        <v>0</v>
      </c>
      <c r="AY26" s="49">
        <f>資料儲存!H4278</f>
        <v>0</v>
      </c>
      <c r="AZ26" s="49">
        <f>資料儲存!I4278</f>
        <v>0</v>
      </c>
      <c r="BA26" s="49">
        <f>資料儲存!J4278</f>
        <v>0</v>
      </c>
    </row>
    <row r="27" spans="1:53" s="67" customFormat="1" ht="16" thickBot="1">
      <c r="A27" s="70">
        <v>48</v>
      </c>
      <c r="B27" s="49">
        <f>資料儲存!D3979</f>
        <v>0</v>
      </c>
      <c r="C27" s="49">
        <f>資料儲存!E3979</f>
        <v>0</v>
      </c>
      <c r="D27" s="49">
        <f>資料儲存!F3979</f>
        <v>0</v>
      </c>
      <c r="E27" s="49">
        <f>資料儲存!G3979</f>
        <v>0</v>
      </c>
      <c r="F27" s="49">
        <f>資料儲存!H3979</f>
        <v>0</v>
      </c>
      <c r="G27" s="49">
        <f>資料儲存!I3979</f>
        <v>0</v>
      </c>
      <c r="H27" s="49">
        <f>資料儲存!J3979</f>
        <v>0</v>
      </c>
      <c r="I27" s="52"/>
      <c r="J27" s="70">
        <v>48</v>
      </c>
      <c r="K27" s="49">
        <f>資料儲存!D4039</f>
        <v>0</v>
      </c>
      <c r="L27" s="49">
        <f>資料儲存!E4039</f>
        <v>0</v>
      </c>
      <c r="M27" s="49">
        <f>資料儲存!F4039</f>
        <v>0</v>
      </c>
      <c r="N27" s="49">
        <f>資料儲存!G4039</f>
        <v>0</v>
      </c>
      <c r="O27" s="49">
        <f>資料儲存!H4039</f>
        <v>0</v>
      </c>
      <c r="P27" s="49">
        <f>資料儲存!I4039</f>
        <v>0</v>
      </c>
      <c r="Q27" s="49">
        <f>資料儲存!J4039</f>
        <v>0</v>
      </c>
      <c r="R27" s="52"/>
      <c r="S27" s="70">
        <v>48</v>
      </c>
      <c r="T27" s="49">
        <f>資料儲存!D4099</f>
        <v>0</v>
      </c>
      <c r="U27" s="49">
        <f>資料儲存!E4099</f>
        <v>0</v>
      </c>
      <c r="V27" s="49">
        <f>資料儲存!F4099</f>
        <v>0</v>
      </c>
      <c r="W27" s="49">
        <f>資料儲存!G4099</f>
        <v>0</v>
      </c>
      <c r="X27" s="49">
        <f>資料儲存!H4099</f>
        <v>0</v>
      </c>
      <c r="Y27" s="49">
        <f>資料儲存!I4099</f>
        <v>0</v>
      </c>
      <c r="Z27" s="49">
        <f>資料儲存!J4099</f>
        <v>0</v>
      </c>
      <c r="AA27" s="52"/>
      <c r="AB27" s="70">
        <v>48</v>
      </c>
      <c r="AC27" s="49">
        <f>資料儲存!D4159</f>
        <v>0</v>
      </c>
      <c r="AD27" s="49">
        <f>資料儲存!E4159</f>
        <v>0</v>
      </c>
      <c r="AE27" s="49">
        <f>資料儲存!F4159</f>
        <v>0</v>
      </c>
      <c r="AF27" s="49">
        <f>資料儲存!G4159</f>
        <v>0</v>
      </c>
      <c r="AG27" s="49">
        <f>資料儲存!H4159</f>
        <v>0</v>
      </c>
      <c r="AH27" s="49">
        <f>資料儲存!I4159</f>
        <v>0</v>
      </c>
      <c r="AI27" s="49">
        <f>資料儲存!J4159</f>
        <v>0</v>
      </c>
      <c r="AJ27" s="52"/>
      <c r="AK27" s="70">
        <v>48</v>
      </c>
      <c r="AL27" s="49">
        <f>資料儲存!D4219</f>
        <v>0</v>
      </c>
      <c r="AM27" s="49">
        <f>資料儲存!E4219</f>
        <v>0</v>
      </c>
      <c r="AN27" s="49">
        <f>資料儲存!F4219</f>
        <v>0</v>
      </c>
      <c r="AO27" s="49">
        <f>資料儲存!G4219</f>
        <v>0</v>
      </c>
      <c r="AP27" s="49">
        <f>資料儲存!H4219</f>
        <v>0</v>
      </c>
      <c r="AQ27" s="49">
        <f>資料儲存!I4219</f>
        <v>0</v>
      </c>
      <c r="AR27" s="49">
        <f>資料儲存!J4219</f>
        <v>0</v>
      </c>
      <c r="AT27" s="70">
        <v>48</v>
      </c>
      <c r="AU27" s="49">
        <f>資料儲存!D4279</f>
        <v>0</v>
      </c>
      <c r="AV27" s="49">
        <f>資料儲存!E4279</f>
        <v>0</v>
      </c>
      <c r="AW27" s="49">
        <f>資料儲存!F4279</f>
        <v>0</v>
      </c>
      <c r="AX27" s="49">
        <f>資料儲存!G4279</f>
        <v>0</v>
      </c>
      <c r="AY27" s="49">
        <f>資料儲存!H4279</f>
        <v>0</v>
      </c>
      <c r="AZ27" s="49">
        <f>資料儲存!I4279</f>
        <v>0</v>
      </c>
      <c r="BA27" s="49">
        <f>資料儲存!J4279</f>
        <v>0</v>
      </c>
    </row>
    <row r="28" spans="1:53" s="67" customFormat="1" ht="16" thickBot="1">
      <c r="A28" s="70">
        <v>49</v>
      </c>
      <c r="B28" s="49">
        <f>資料儲存!D3980</f>
        <v>0</v>
      </c>
      <c r="C28" s="49">
        <f>資料儲存!E3980</f>
        <v>0</v>
      </c>
      <c r="D28" s="49">
        <f>資料儲存!F3980</f>
        <v>0</v>
      </c>
      <c r="E28" s="49">
        <f>資料儲存!G3980</f>
        <v>0</v>
      </c>
      <c r="F28" s="49">
        <f>資料儲存!H3980</f>
        <v>0</v>
      </c>
      <c r="G28" s="49">
        <f>資料儲存!I3980</f>
        <v>0</v>
      </c>
      <c r="H28" s="49">
        <f>資料儲存!J3980</f>
        <v>0</v>
      </c>
      <c r="I28" s="52"/>
      <c r="J28" s="70">
        <v>49</v>
      </c>
      <c r="K28" s="49">
        <f>資料儲存!D4040</f>
        <v>0</v>
      </c>
      <c r="L28" s="49">
        <f>資料儲存!E4040</f>
        <v>0</v>
      </c>
      <c r="M28" s="49">
        <f>資料儲存!F4040</f>
        <v>0</v>
      </c>
      <c r="N28" s="49">
        <f>資料儲存!G4040</f>
        <v>0</v>
      </c>
      <c r="O28" s="49">
        <f>資料儲存!H4040</f>
        <v>0</v>
      </c>
      <c r="P28" s="49">
        <f>資料儲存!I4040</f>
        <v>0</v>
      </c>
      <c r="Q28" s="49">
        <f>資料儲存!J4040</f>
        <v>0</v>
      </c>
      <c r="R28" s="52"/>
      <c r="S28" s="70">
        <v>49</v>
      </c>
      <c r="T28" s="49">
        <f>資料儲存!D4100</f>
        <v>0</v>
      </c>
      <c r="U28" s="49">
        <f>資料儲存!E4100</f>
        <v>0</v>
      </c>
      <c r="V28" s="49">
        <f>資料儲存!F4100</f>
        <v>0</v>
      </c>
      <c r="W28" s="49">
        <f>資料儲存!G4100</f>
        <v>0</v>
      </c>
      <c r="X28" s="49">
        <f>資料儲存!H4100</f>
        <v>0</v>
      </c>
      <c r="Y28" s="49">
        <f>資料儲存!I4100</f>
        <v>0</v>
      </c>
      <c r="Z28" s="49">
        <f>資料儲存!J4100</f>
        <v>0</v>
      </c>
      <c r="AA28" s="52"/>
      <c r="AB28" s="70">
        <v>49</v>
      </c>
      <c r="AC28" s="49">
        <f>資料儲存!D4160</f>
        <v>0</v>
      </c>
      <c r="AD28" s="49">
        <f>資料儲存!E4160</f>
        <v>0</v>
      </c>
      <c r="AE28" s="49">
        <f>資料儲存!F4160</f>
        <v>0</v>
      </c>
      <c r="AF28" s="49">
        <f>資料儲存!G4160</f>
        <v>0</v>
      </c>
      <c r="AG28" s="49">
        <f>資料儲存!H4160</f>
        <v>0</v>
      </c>
      <c r="AH28" s="49">
        <f>資料儲存!I4160</f>
        <v>0</v>
      </c>
      <c r="AI28" s="49">
        <f>資料儲存!J4160</f>
        <v>0</v>
      </c>
      <c r="AJ28" s="52"/>
      <c r="AK28" s="70">
        <v>49</v>
      </c>
      <c r="AL28" s="49">
        <f>資料儲存!D4220</f>
        <v>0</v>
      </c>
      <c r="AM28" s="49">
        <f>資料儲存!E4220</f>
        <v>0</v>
      </c>
      <c r="AN28" s="49">
        <f>資料儲存!F4220</f>
        <v>0</v>
      </c>
      <c r="AO28" s="49">
        <f>資料儲存!G4220</f>
        <v>0</v>
      </c>
      <c r="AP28" s="49">
        <f>資料儲存!H4220</f>
        <v>0</v>
      </c>
      <c r="AQ28" s="49">
        <f>資料儲存!I4220</f>
        <v>0</v>
      </c>
      <c r="AR28" s="49">
        <f>資料儲存!J4220</f>
        <v>0</v>
      </c>
      <c r="AT28" s="70">
        <v>49</v>
      </c>
      <c r="AU28" s="49">
        <f>資料儲存!D4280</f>
        <v>0</v>
      </c>
      <c r="AV28" s="49">
        <f>資料儲存!E4280</f>
        <v>0</v>
      </c>
      <c r="AW28" s="49">
        <f>資料儲存!F4280</f>
        <v>0</v>
      </c>
      <c r="AX28" s="49">
        <f>資料儲存!G4280</f>
        <v>0</v>
      </c>
      <c r="AY28" s="49">
        <f>資料儲存!H4280</f>
        <v>0</v>
      </c>
      <c r="AZ28" s="49">
        <f>資料儲存!I4280</f>
        <v>0</v>
      </c>
      <c r="BA28" s="49">
        <f>資料儲存!J4280</f>
        <v>0</v>
      </c>
    </row>
    <row r="29" spans="1:53" s="67" customFormat="1" ht="16" thickBot="1">
      <c r="A29" s="70">
        <v>50</v>
      </c>
      <c r="B29" s="49">
        <f>資料儲存!D3981</f>
        <v>0</v>
      </c>
      <c r="C29" s="49">
        <f>資料儲存!E3981</f>
        <v>0</v>
      </c>
      <c r="D29" s="49">
        <f>資料儲存!F3981</f>
        <v>0</v>
      </c>
      <c r="E29" s="49">
        <f>資料儲存!G3981</f>
        <v>0</v>
      </c>
      <c r="F29" s="49">
        <f>資料儲存!H3981</f>
        <v>0</v>
      </c>
      <c r="G29" s="49">
        <f>資料儲存!I3981</f>
        <v>0</v>
      </c>
      <c r="H29" s="49">
        <f>資料儲存!J3981</f>
        <v>0</v>
      </c>
      <c r="I29" s="52"/>
      <c r="J29" s="70">
        <v>50</v>
      </c>
      <c r="K29" s="49">
        <f>資料儲存!D4041</f>
        <v>0</v>
      </c>
      <c r="L29" s="49">
        <f>資料儲存!E4041</f>
        <v>0</v>
      </c>
      <c r="M29" s="49">
        <f>資料儲存!F4041</f>
        <v>0</v>
      </c>
      <c r="N29" s="49">
        <f>資料儲存!G4041</f>
        <v>0</v>
      </c>
      <c r="O29" s="49">
        <f>資料儲存!H4041</f>
        <v>0</v>
      </c>
      <c r="P29" s="49">
        <f>資料儲存!I4041</f>
        <v>0</v>
      </c>
      <c r="Q29" s="49">
        <f>資料儲存!J4041</f>
        <v>0</v>
      </c>
      <c r="R29" s="52"/>
      <c r="S29" s="70">
        <v>50</v>
      </c>
      <c r="T29" s="49">
        <f>資料儲存!D4101</f>
        <v>0</v>
      </c>
      <c r="U29" s="49">
        <f>資料儲存!E4101</f>
        <v>0</v>
      </c>
      <c r="V29" s="49">
        <f>資料儲存!F4101</f>
        <v>0</v>
      </c>
      <c r="W29" s="49">
        <f>資料儲存!G4101</f>
        <v>0</v>
      </c>
      <c r="X29" s="49">
        <f>資料儲存!H4101</f>
        <v>0</v>
      </c>
      <c r="Y29" s="49">
        <f>資料儲存!I4101</f>
        <v>0</v>
      </c>
      <c r="Z29" s="49">
        <f>資料儲存!J4101</f>
        <v>0</v>
      </c>
      <c r="AA29" s="52"/>
      <c r="AB29" s="70">
        <v>50</v>
      </c>
      <c r="AC29" s="49">
        <f>資料儲存!D4161</f>
        <v>0</v>
      </c>
      <c r="AD29" s="49">
        <f>資料儲存!E4161</f>
        <v>0</v>
      </c>
      <c r="AE29" s="49">
        <f>資料儲存!F4161</f>
        <v>0</v>
      </c>
      <c r="AF29" s="49">
        <f>資料儲存!G4161</f>
        <v>0</v>
      </c>
      <c r="AG29" s="49">
        <f>資料儲存!H4161</f>
        <v>0</v>
      </c>
      <c r="AH29" s="49">
        <f>資料儲存!I4161</f>
        <v>0</v>
      </c>
      <c r="AI29" s="49">
        <f>資料儲存!J4161</f>
        <v>0</v>
      </c>
      <c r="AJ29" s="52"/>
      <c r="AK29" s="70">
        <v>50</v>
      </c>
      <c r="AL29" s="49">
        <f>資料儲存!D4221</f>
        <v>0</v>
      </c>
      <c r="AM29" s="49">
        <f>資料儲存!E4221</f>
        <v>0</v>
      </c>
      <c r="AN29" s="49">
        <f>資料儲存!F4221</f>
        <v>0</v>
      </c>
      <c r="AO29" s="49">
        <f>資料儲存!G4221</f>
        <v>0</v>
      </c>
      <c r="AP29" s="49">
        <f>資料儲存!H4221</f>
        <v>0</v>
      </c>
      <c r="AQ29" s="49">
        <f>資料儲存!I4221</f>
        <v>0</v>
      </c>
      <c r="AR29" s="49">
        <f>資料儲存!J4221</f>
        <v>0</v>
      </c>
      <c r="AT29" s="70">
        <v>50</v>
      </c>
      <c r="AU29" s="49">
        <f>資料儲存!D4281</f>
        <v>0</v>
      </c>
      <c r="AV29" s="49">
        <f>資料儲存!E4281</f>
        <v>0</v>
      </c>
      <c r="AW29" s="49">
        <f>資料儲存!F4281</f>
        <v>0</v>
      </c>
      <c r="AX29" s="49">
        <f>資料儲存!G4281</f>
        <v>0</v>
      </c>
      <c r="AY29" s="49">
        <f>資料儲存!H4281</f>
        <v>0</v>
      </c>
      <c r="AZ29" s="49">
        <f>資料儲存!I4281</f>
        <v>0</v>
      </c>
      <c r="BA29" s="49">
        <f>資料儲存!J4281</f>
        <v>0</v>
      </c>
    </row>
    <row r="30" spans="1:53" s="67" customFormat="1" ht="16" thickBot="1">
      <c r="A30" s="70">
        <v>51</v>
      </c>
      <c r="B30" s="49">
        <f>資料儲存!D3982</f>
        <v>0</v>
      </c>
      <c r="C30" s="49">
        <f>資料儲存!E3982</f>
        <v>0</v>
      </c>
      <c r="D30" s="49">
        <f>資料儲存!F3982</f>
        <v>0</v>
      </c>
      <c r="E30" s="49">
        <f>資料儲存!G3982</f>
        <v>0</v>
      </c>
      <c r="F30" s="49">
        <f>資料儲存!H3982</f>
        <v>0</v>
      </c>
      <c r="G30" s="49">
        <f>資料儲存!I3982</f>
        <v>0</v>
      </c>
      <c r="H30" s="49">
        <f>資料儲存!J3982</f>
        <v>0</v>
      </c>
      <c r="I30" s="52"/>
      <c r="J30" s="70">
        <v>51</v>
      </c>
      <c r="K30" s="49">
        <f>資料儲存!D4042</f>
        <v>0</v>
      </c>
      <c r="L30" s="49">
        <f>資料儲存!E4042</f>
        <v>0</v>
      </c>
      <c r="M30" s="49">
        <f>資料儲存!F4042</f>
        <v>0</v>
      </c>
      <c r="N30" s="49">
        <f>資料儲存!G4042</f>
        <v>0</v>
      </c>
      <c r="O30" s="49">
        <f>資料儲存!H4042</f>
        <v>0</v>
      </c>
      <c r="P30" s="49">
        <f>資料儲存!I4042</f>
        <v>0</v>
      </c>
      <c r="Q30" s="49">
        <f>資料儲存!J4042</f>
        <v>0</v>
      </c>
      <c r="R30" s="52"/>
      <c r="S30" s="70">
        <v>51</v>
      </c>
      <c r="T30" s="49">
        <f>資料儲存!D4102</f>
        <v>0</v>
      </c>
      <c r="U30" s="49">
        <f>資料儲存!E4102</f>
        <v>0</v>
      </c>
      <c r="V30" s="49">
        <f>資料儲存!F4102</f>
        <v>0</v>
      </c>
      <c r="W30" s="49">
        <f>資料儲存!G4102</f>
        <v>0</v>
      </c>
      <c r="X30" s="49">
        <f>資料儲存!H4102</f>
        <v>0</v>
      </c>
      <c r="Y30" s="49">
        <f>資料儲存!I4102</f>
        <v>0</v>
      </c>
      <c r="Z30" s="49">
        <f>資料儲存!J4102</f>
        <v>0</v>
      </c>
      <c r="AA30" s="52"/>
      <c r="AB30" s="70">
        <v>51</v>
      </c>
      <c r="AC30" s="49">
        <f>資料儲存!D4162</f>
        <v>0</v>
      </c>
      <c r="AD30" s="49">
        <f>資料儲存!E4162</f>
        <v>0</v>
      </c>
      <c r="AE30" s="49">
        <f>資料儲存!F4162</f>
        <v>0</v>
      </c>
      <c r="AF30" s="49">
        <f>資料儲存!G4162</f>
        <v>0</v>
      </c>
      <c r="AG30" s="49">
        <f>資料儲存!H4162</f>
        <v>0</v>
      </c>
      <c r="AH30" s="49">
        <f>資料儲存!I4162</f>
        <v>0</v>
      </c>
      <c r="AI30" s="49">
        <f>資料儲存!J4162</f>
        <v>0</v>
      </c>
      <c r="AJ30" s="52"/>
      <c r="AK30" s="70">
        <v>51</v>
      </c>
      <c r="AL30" s="49">
        <f>資料儲存!D4222</f>
        <v>0</v>
      </c>
      <c r="AM30" s="49">
        <f>資料儲存!E4222</f>
        <v>0</v>
      </c>
      <c r="AN30" s="49">
        <f>資料儲存!F4222</f>
        <v>0</v>
      </c>
      <c r="AO30" s="49">
        <f>資料儲存!G4222</f>
        <v>0</v>
      </c>
      <c r="AP30" s="49">
        <f>資料儲存!H4222</f>
        <v>0</v>
      </c>
      <c r="AQ30" s="49">
        <f>資料儲存!I4222</f>
        <v>0</v>
      </c>
      <c r="AR30" s="49">
        <f>資料儲存!J4222</f>
        <v>0</v>
      </c>
      <c r="AT30" s="70">
        <v>51</v>
      </c>
      <c r="AU30" s="49">
        <f>資料儲存!D4282</f>
        <v>0</v>
      </c>
      <c r="AV30" s="49">
        <f>資料儲存!E4282</f>
        <v>0</v>
      </c>
      <c r="AW30" s="49">
        <f>資料儲存!F4282</f>
        <v>0</v>
      </c>
      <c r="AX30" s="49">
        <f>資料儲存!G4282</f>
        <v>0</v>
      </c>
      <c r="AY30" s="49">
        <f>資料儲存!H4282</f>
        <v>0</v>
      </c>
      <c r="AZ30" s="49">
        <f>資料儲存!I4282</f>
        <v>0</v>
      </c>
      <c r="BA30" s="49">
        <f>資料儲存!J4282</f>
        <v>0</v>
      </c>
    </row>
    <row r="31" spans="1:53" s="67" customFormat="1" ht="16" thickBot="1">
      <c r="A31" s="70">
        <v>52</v>
      </c>
      <c r="B31" s="49">
        <f>資料儲存!D3983</f>
        <v>0</v>
      </c>
      <c r="C31" s="49">
        <f>資料儲存!E3983</f>
        <v>0</v>
      </c>
      <c r="D31" s="49">
        <f>資料儲存!F3983</f>
        <v>0</v>
      </c>
      <c r="E31" s="49">
        <f>資料儲存!G3983</f>
        <v>0</v>
      </c>
      <c r="F31" s="49">
        <f>資料儲存!H3983</f>
        <v>0</v>
      </c>
      <c r="G31" s="49">
        <f>資料儲存!I3983</f>
        <v>0</v>
      </c>
      <c r="H31" s="49">
        <f>資料儲存!J3983</f>
        <v>0</v>
      </c>
      <c r="I31" s="52"/>
      <c r="J31" s="70">
        <v>52</v>
      </c>
      <c r="K31" s="49">
        <f>資料儲存!D4043</f>
        <v>0</v>
      </c>
      <c r="L31" s="49">
        <f>資料儲存!E4043</f>
        <v>0</v>
      </c>
      <c r="M31" s="49">
        <f>資料儲存!F4043</f>
        <v>0</v>
      </c>
      <c r="N31" s="49">
        <f>資料儲存!G4043</f>
        <v>0</v>
      </c>
      <c r="O31" s="49">
        <f>資料儲存!H4043</f>
        <v>0</v>
      </c>
      <c r="P31" s="49">
        <f>資料儲存!I4043</f>
        <v>0</v>
      </c>
      <c r="Q31" s="49">
        <f>資料儲存!J4043</f>
        <v>0</v>
      </c>
      <c r="R31" s="52"/>
      <c r="S31" s="70">
        <v>52</v>
      </c>
      <c r="T31" s="49">
        <f>資料儲存!D4103</f>
        <v>0</v>
      </c>
      <c r="U31" s="49">
        <f>資料儲存!E4103</f>
        <v>0</v>
      </c>
      <c r="V31" s="49">
        <f>資料儲存!F4103</f>
        <v>0</v>
      </c>
      <c r="W31" s="49">
        <f>資料儲存!G4103</f>
        <v>0</v>
      </c>
      <c r="X31" s="49">
        <f>資料儲存!H4103</f>
        <v>0</v>
      </c>
      <c r="Y31" s="49">
        <f>資料儲存!I4103</f>
        <v>0</v>
      </c>
      <c r="Z31" s="49">
        <f>資料儲存!J4103</f>
        <v>0</v>
      </c>
      <c r="AA31" s="52"/>
      <c r="AB31" s="70">
        <v>52</v>
      </c>
      <c r="AC31" s="49">
        <f>資料儲存!D4163</f>
        <v>0</v>
      </c>
      <c r="AD31" s="49">
        <f>資料儲存!E4163</f>
        <v>0</v>
      </c>
      <c r="AE31" s="49">
        <f>資料儲存!F4163</f>
        <v>0</v>
      </c>
      <c r="AF31" s="49">
        <f>資料儲存!G4163</f>
        <v>0</v>
      </c>
      <c r="AG31" s="49">
        <f>資料儲存!H4163</f>
        <v>0</v>
      </c>
      <c r="AH31" s="49">
        <f>資料儲存!I4163</f>
        <v>0</v>
      </c>
      <c r="AI31" s="49">
        <f>資料儲存!J4163</f>
        <v>0</v>
      </c>
      <c r="AJ31" s="52"/>
      <c r="AK31" s="70">
        <v>52</v>
      </c>
      <c r="AL31" s="49">
        <f>資料儲存!D4223</f>
        <v>0</v>
      </c>
      <c r="AM31" s="49">
        <f>資料儲存!E4223</f>
        <v>0</v>
      </c>
      <c r="AN31" s="49">
        <f>資料儲存!F4223</f>
        <v>0</v>
      </c>
      <c r="AO31" s="49">
        <f>資料儲存!G4223</f>
        <v>0</v>
      </c>
      <c r="AP31" s="49">
        <f>資料儲存!H4223</f>
        <v>0</v>
      </c>
      <c r="AQ31" s="49">
        <f>資料儲存!I4223</f>
        <v>0</v>
      </c>
      <c r="AR31" s="49">
        <f>資料儲存!J4223</f>
        <v>0</v>
      </c>
      <c r="AT31" s="70">
        <v>52</v>
      </c>
      <c r="AU31" s="49">
        <f>資料儲存!D4283</f>
        <v>0</v>
      </c>
      <c r="AV31" s="49">
        <f>資料儲存!E4283</f>
        <v>0</v>
      </c>
      <c r="AW31" s="49">
        <f>資料儲存!F4283</f>
        <v>0</v>
      </c>
      <c r="AX31" s="49">
        <f>資料儲存!G4283</f>
        <v>0</v>
      </c>
      <c r="AY31" s="49">
        <f>資料儲存!H4283</f>
        <v>0</v>
      </c>
      <c r="AZ31" s="49">
        <f>資料儲存!I4283</f>
        <v>0</v>
      </c>
      <c r="BA31" s="49">
        <f>資料儲存!J4283</f>
        <v>0</v>
      </c>
    </row>
    <row r="32" spans="1:53" s="67" customFormat="1" ht="16" thickBot="1">
      <c r="A32" s="70">
        <v>53</v>
      </c>
      <c r="B32" s="49">
        <f>資料儲存!D3984</f>
        <v>0</v>
      </c>
      <c r="C32" s="49">
        <f>資料儲存!E3984</f>
        <v>0</v>
      </c>
      <c r="D32" s="49">
        <f>資料儲存!F3984</f>
        <v>0</v>
      </c>
      <c r="E32" s="49">
        <f>資料儲存!G3984</f>
        <v>0</v>
      </c>
      <c r="F32" s="49">
        <f>資料儲存!H3984</f>
        <v>0</v>
      </c>
      <c r="G32" s="49">
        <f>資料儲存!I3984</f>
        <v>0</v>
      </c>
      <c r="H32" s="49">
        <f>資料儲存!J3984</f>
        <v>0</v>
      </c>
      <c r="I32" s="52"/>
      <c r="J32" s="70">
        <v>53</v>
      </c>
      <c r="K32" s="49">
        <f>資料儲存!D4044</f>
        <v>0</v>
      </c>
      <c r="L32" s="49">
        <f>資料儲存!E4044</f>
        <v>0</v>
      </c>
      <c r="M32" s="49">
        <f>資料儲存!F4044</f>
        <v>0</v>
      </c>
      <c r="N32" s="49">
        <f>資料儲存!G4044</f>
        <v>0</v>
      </c>
      <c r="O32" s="49">
        <f>資料儲存!H4044</f>
        <v>0</v>
      </c>
      <c r="P32" s="49">
        <f>資料儲存!I4044</f>
        <v>0</v>
      </c>
      <c r="Q32" s="49">
        <f>資料儲存!J4044</f>
        <v>0</v>
      </c>
      <c r="R32" s="52"/>
      <c r="S32" s="70">
        <v>53</v>
      </c>
      <c r="T32" s="49">
        <f>資料儲存!D4104</f>
        <v>0</v>
      </c>
      <c r="U32" s="49">
        <f>資料儲存!E4104</f>
        <v>0</v>
      </c>
      <c r="V32" s="49">
        <f>資料儲存!F4104</f>
        <v>0</v>
      </c>
      <c r="W32" s="49">
        <f>資料儲存!G4104</f>
        <v>0</v>
      </c>
      <c r="X32" s="49">
        <f>資料儲存!H4104</f>
        <v>0</v>
      </c>
      <c r="Y32" s="49">
        <f>資料儲存!I4104</f>
        <v>0</v>
      </c>
      <c r="Z32" s="49">
        <f>資料儲存!J4104</f>
        <v>0</v>
      </c>
      <c r="AA32" s="52"/>
      <c r="AB32" s="70">
        <v>53</v>
      </c>
      <c r="AC32" s="49">
        <f>資料儲存!D4164</f>
        <v>0</v>
      </c>
      <c r="AD32" s="49">
        <f>資料儲存!E4164</f>
        <v>0</v>
      </c>
      <c r="AE32" s="49">
        <f>資料儲存!F4164</f>
        <v>0</v>
      </c>
      <c r="AF32" s="49">
        <f>資料儲存!G4164</f>
        <v>0</v>
      </c>
      <c r="AG32" s="49">
        <f>資料儲存!H4164</f>
        <v>0</v>
      </c>
      <c r="AH32" s="49">
        <f>資料儲存!I4164</f>
        <v>0</v>
      </c>
      <c r="AI32" s="49">
        <f>資料儲存!J4164</f>
        <v>0</v>
      </c>
      <c r="AJ32" s="52"/>
      <c r="AK32" s="70">
        <v>53</v>
      </c>
      <c r="AL32" s="49">
        <f>資料儲存!D4224</f>
        <v>0</v>
      </c>
      <c r="AM32" s="49">
        <f>資料儲存!E4224</f>
        <v>0</v>
      </c>
      <c r="AN32" s="49">
        <f>資料儲存!F4224</f>
        <v>0</v>
      </c>
      <c r="AO32" s="49">
        <f>資料儲存!G4224</f>
        <v>0</v>
      </c>
      <c r="AP32" s="49">
        <f>資料儲存!H4224</f>
        <v>0</v>
      </c>
      <c r="AQ32" s="49">
        <f>資料儲存!I4224</f>
        <v>0</v>
      </c>
      <c r="AR32" s="49">
        <f>資料儲存!J4224</f>
        <v>0</v>
      </c>
      <c r="AT32" s="70">
        <v>53</v>
      </c>
      <c r="AU32" s="49">
        <f>資料儲存!D4284</f>
        <v>0</v>
      </c>
      <c r="AV32" s="49">
        <f>資料儲存!E4284</f>
        <v>0</v>
      </c>
      <c r="AW32" s="49">
        <f>資料儲存!F4284</f>
        <v>0</v>
      </c>
      <c r="AX32" s="49">
        <f>資料儲存!G4284</f>
        <v>0</v>
      </c>
      <c r="AY32" s="49">
        <f>資料儲存!H4284</f>
        <v>0</v>
      </c>
      <c r="AZ32" s="49">
        <f>資料儲存!I4284</f>
        <v>0</v>
      </c>
      <c r="BA32" s="49">
        <f>資料儲存!J4284</f>
        <v>0</v>
      </c>
    </row>
    <row r="33" spans="1:53" s="67" customFormat="1" ht="16" thickBot="1">
      <c r="A33" s="70">
        <v>54</v>
      </c>
      <c r="B33" s="49">
        <f>資料儲存!D3985</f>
        <v>0</v>
      </c>
      <c r="C33" s="49">
        <f>資料儲存!E3985</f>
        <v>0</v>
      </c>
      <c r="D33" s="49">
        <f>資料儲存!F3985</f>
        <v>0</v>
      </c>
      <c r="E33" s="49">
        <f>資料儲存!G3985</f>
        <v>0</v>
      </c>
      <c r="F33" s="49">
        <f>資料儲存!H3985</f>
        <v>0</v>
      </c>
      <c r="G33" s="49">
        <f>資料儲存!I3985</f>
        <v>0</v>
      </c>
      <c r="H33" s="49">
        <f>資料儲存!J3985</f>
        <v>0</v>
      </c>
      <c r="I33" s="52"/>
      <c r="J33" s="70">
        <v>54</v>
      </c>
      <c r="K33" s="49">
        <f>資料儲存!D4045</f>
        <v>0</v>
      </c>
      <c r="L33" s="49">
        <f>資料儲存!E4045</f>
        <v>0</v>
      </c>
      <c r="M33" s="49">
        <f>資料儲存!F4045</f>
        <v>0</v>
      </c>
      <c r="N33" s="49">
        <f>資料儲存!G4045</f>
        <v>0</v>
      </c>
      <c r="O33" s="49">
        <f>資料儲存!H4045</f>
        <v>0</v>
      </c>
      <c r="P33" s="49">
        <f>資料儲存!I4045</f>
        <v>0</v>
      </c>
      <c r="Q33" s="49">
        <f>資料儲存!J4045</f>
        <v>0</v>
      </c>
      <c r="R33" s="52"/>
      <c r="S33" s="70">
        <v>54</v>
      </c>
      <c r="T33" s="49">
        <f>資料儲存!D4105</f>
        <v>0</v>
      </c>
      <c r="U33" s="49">
        <f>資料儲存!E4105</f>
        <v>0</v>
      </c>
      <c r="V33" s="49">
        <f>資料儲存!F4105</f>
        <v>0</v>
      </c>
      <c r="W33" s="49">
        <f>資料儲存!G4105</f>
        <v>0</v>
      </c>
      <c r="X33" s="49">
        <f>資料儲存!H4105</f>
        <v>0</v>
      </c>
      <c r="Y33" s="49">
        <f>資料儲存!I4105</f>
        <v>0</v>
      </c>
      <c r="Z33" s="49">
        <f>資料儲存!J4105</f>
        <v>0</v>
      </c>
      <c r="AA33" s="52"/>
      <c r="AB33" s="70">
        <v>54</v>
      </c>
      <c r="AC33" s="49">
        <f>資料儲存!D4165</f>
        <v>0</v>
      </c>
      <c r="AD33" s="49">
        <f>資料儲存!E4165</f>
        <v>0</v>
      </c>
      <c r="AE33" s="49">
        <f>資料儲存!F4165</f>
        <v>0</v>
      </c>
      <c r="AF33" s="49">
        <f>資料儲存!G4165</f>
        <v>0</v>
      </c>
      <c r="AG33" s="49">
        <f>資料儲存!H4165</f>
        <v>0</v>
      </c>
      <c r="AH33" s="49">
        <f>資料儲存!I4165</f>
        <v>0</v>
      </c>
      <c r="AI33" s="49">
        <f>資料儲存!J4165</f>
        <v>0</v>
      </c>
      <c r="AJ33" s="52"/>
      <c r="AK33" s="70">
        <v>54</v>
      </c>
      <c r="AL33" s="49">
        <f>資料儲存!D4225</f>
        <v>0</v>
      </c>
      <c r="AM33" s="49">
        <f>資料儲存!E4225</f>
        <v>0</v>
      </c>
      <c r="AN33" s="49">
        <f>資料儲存!F4225</f>
        <v>0</v>
      </c>
      <c r="AO33" s="49">
        <f>資料儲存!G4225</f>
        <v>0</v>
      </c>
      <c r="AP33" s="49">
        <f>資料儲存!H4225</f>
        <v>0</v>
      </c>
      <c r="AQ33" s="49">
        <f>資料儲存!I4225</f>
        <v>0</v>
      </c>
      <c r="AR33" s="49">
        <f>資料儲存!J4225</f>
        <v>0</v>
      </c>
      <c r="AT33" s="70">
        <v>54</v>
      </c>
      <c r="AU33" s="49">
        <f>資料儲存!D4285</f>
        <v>0</v>
      </c>
      <c r="AV33" s="49">
        <f>資料儲存!E4285</f>
        <v>0</v>
      </c>
      <c r="AW33" s="49">
        <f>資料儲存!F4285</f>
        <v>0</v>
      </c>
      <c r="AX33" s="49">
        <f>資料儲存!G4285</f>
        <v>0</v>
      </c>
      <c r="AY33" s="49">
        <f>資料儲存!H4285</f>
        <v>0</v>
      </c>
      <c r="AZ33" s="49">
        <f>資料儲存!I4285</f>
        <v>0</v>
      </c>
      <c r="BA33" s="49">
        <f>資料儲存!J4285</f>
        <v>0</v>
      </c>
    </row>
    <row r="34" spans="1:53" s="67" customFormat="1" ht="16" thickBot="1">
      <c r="A34" s="70">
        <v>55</v>
      </c>
      <c r="B34" s="49">
        <f>資料儲存!D3986</f>
        <v>0</v>
      </c>
      <c r="C34" s="49">
        <f>資料儲存!E3986</f>
        <v>0</v>
      </c>
      <c r="D34" s="49">
        <f>資料儲存!F3986</f>
        <v>0</v>
      </c>
      <c r="E34" s="49">
        <f>資料儲存!G3986</f>
        <v>0</v>
      </c>
      <c r="F34" s="49">
        <f>資料儲存!H3986</f>
        <v>0</v>
      </c>
      <c r="G34" s="49">
        <f>資料儲存!I3986</f>
        <v>0</v>
      </c>
      <c r="H34" s="49">
        <f>資料儲存!J3986</f>
        <v>0</v>
      </c>
      <c r="I34" s="52"/>
      <c r="J34" s="70">
        <v>55</v>
      </c>
      <c r="K34" s="49">
        <f>資料儲存!D4046</f>
        <v>0</v>
      </c>
      <c r="L34" s="49">
        <f>資料儲存!E4046</f>
        <v>0</v>
      </c>
      <c r="M34" s="49">
        <f>資料儲存!F4046</f>
        <v>0</v>
      </c>
      <c r="N34" s="49">
        <f>資料儲存!G4046</f>
        <v>0</v>
      </c>
      <c r="O34" s="49">
        <f>資料儲存!H4046</f>
        <v>0</v>
      </c>
      <c r="P34" s="49">
        <f>資料儲存!I4046</f>
        <v>0</v>
      </c>
      <c r="Q34" s="49">
        <f>資料儲存!J4046</f>
        <v>0</v>
      </c>
      <c r="R34" s="52"/>
      <c r="S34" s="70">
        <v>55</v>
      </c>
      <c r="T34" s="49">
        <f>資料儲存!D4106</f>
        <v>0</v>
      </c>
      <c r="U34" s="49">
        <f>資料儲存!E4106</f>
        <v>0</v>
      </c>
      <c r="V34" s="49">
        <f>資料儲存!F4106</f>
        <v>0</v>
      </c>
      <c r="W34" s="49">
        <f>資料儲存!G4106</f>
        <v>0</v>
      </c>
      <c r="X34" s="49">
        <f>資料儲存!H4106</f>
        <v>0</v>
      </c>
      <c r="Y34" s="49">
        <f>資料儲存!I4106</f>
        <v>0</v>
      </c>
      <c r="Z34" s="49">
        <f>資料儲存!J4106</f>
        <v>0</v>
      </c>
      <c r="AA34" s="52"/>
      <c r="AB34" s="70">
        <v>55</v>
      </c>
      <c r="AC34" s="49">
        <f>資料儲存!D4166</f>
        <v>0</v>
      </c>
      <c r="AD34" s="49">
        <f>資料儲存!E4166</f>
        <v>0</v>
      </c>
      <c r="AE34" s="49">
        <f>資料儲存!F4166</f>
        <v>0</v>
      </c>
      <c r="AF34" s="49">
        <f>資料儲存!G4166</f>
        <v>0</v>
      </c>
      <c r="AG34" s="49">
        <f>資料儲存!H4166</f>
        <v>0</v>
      </c>
      <c r="AH34" s="49">
        <f>資料儲存!I4166</f>
        <v>0</v>
      </c>
      <c r="AI34" s="49">
        <f>資料儲存!J4166</f>
        <v>0</v>
      </c>
      <c r="AJ34" s="52"/>
      <c r="AK34" s="70">
        <v>55</v>
      </c>
      <c r="AL34" s="49">
        <f>資料儲存!D4226</f>
        <v>0</v>
      </c>
      <c r="AM34" s="49">
        <f>資料儲存!E4226</f>
        <v>0</v>
      </c>
      <c r="AN34" s="49">
        <f>資料儲存!F4226</f>
        <v>0</v>
      </c>
      <c r="AO34" s="49">
        <f>資料儲存!G4226</f>
        <v>0</v>
      </c>
      <c r="AP34" s="49">
        <f>資料儲存!H4226</f>
        <v>0</v>
      </c>
      <c r="AQ34" s="49">
        <f>資料儲存!I4226</f>
        <v>0</v>
      </c>
      <c r="AR34" s="49">
        <f>資料儲存!J4226</f>
        <v>0</v>
      </c>
      <c r="AT34" s="70">
        <v>55</v>
      </c>
      <c r="AU34" s="49">
        <f>資料儲存!D4286</f>
        <v>0</v>
      </c>
      <c r="AV34" s="49">
        <f>資料儲存!E4286</f>
        <v>0</v>
      </c>
      <c r="AW34" s="49">
        <f>資料儲存!F4286</f>
        <v>0</v>
      </c>
      <c r="AX34" s="49">
        <f>資料儲存!G4286</f>
        <v>0</v>
      </c>
      <c r="AY34" s="49">
        <f>資料儲存!H4286</f>
        <v>0</v>
      </c>
      <c r="AZ34" s="49">
        <f>資料儲存!I4286</f>
        <v>0</v>
      </c>
      <c r="BA34" s="49">
        <f>資料儲存!J4286</f>
        <v>0</v>
      </c>
    </row>
    <row r="35" spans="1:53" s="67" customFormat="1" ht="16" thickBot="1">
      <c r="A35" s="70">
        <v>56</v>
      </c>
      <c r="B35" s="49">
        <f>資料儲存!D3987</f>
        <v>0</v>
      </c>
      <c r="C35" s="49">
        <f>資料儲存!E3987</f>
        <v>0</v>
      </c>
      <c r="D35" s="49">
        <f>資料儲存!F3987</f>
        <v>0</v>
      </c>
      <c r="E35" s="49">
        <f>資料儲存!G3987</f>
        <v>0</v>
      </c>
      <c r="F35" s="49">
        <f>資料儲存!H3987</f>
        <v>0</v>
      </c>
      <c r="G35" s="49">
        <f>資料儲存!I3987</f>
        <v>0</v>
      </c>
      <c r="H35" s="49">
        <f>資料儲存!J3987</f>
        <v>0</v>
      </c>
      <c r="I35" s="52"/>
      <c r="J35" s="70">
        <v>56</v>
      </c>
      <c r="K35" s="49">
        <f>資料儲存!D4047</f>
        <v>0</v>
      </c>
      <c r="L35" s="49">
        <f>資料儲存!E4047</f>
        <v>0</v>
      </c>
      <c r="M35" s="49">
        <f>資料儲存!F4047</f>
        <v>0</v>
      </c>
      <c r="N35" s="49">
        <f>資料儲存!G4047</f>
        <v>0</v>
      </c>
      <c r="O35" s="49">
        <f>資料儲存!H4047</f>
        <v>0</v>
      </c>
      <c r="P35" s="49">
        <f>資料儲存!I4047</f>
        <v>0</v>
      </c>
      <c r="Q35" s="49">
        <f>資料儲存!J4047</f>
        <v>0</v>
      </c>
      <c r="R35" s="52"/>
      <c r="S35" s="70">
        <v>56</v>
      </c>
      <c r="T35" s="49">
        <f>資料儲存!D4107</f>
        <v>0</v>
      </c>
      <c r="U35" s="49">
        <f>資料儲存!E4107</f>
        <v>0</v>
      </c>
      <c r="V35" s="49">
        <f>資料儲存!F4107</f>
        <v>0</v>
      </c>
      <c r="W35" s="49">
        <f>資料儲存!G4107</f>
        <v>0</v>
      </c>
      <c r="X35" s="49">
        <f>資料儲存!H4107</f>
        <v>0</v>
      </c>
      <c r="Y35" s="49">
        <f>資料儲存!I4107</f>
        <v>0</v>
      </c>
      <c r="Z35" s="49">
        <f>資料儲存!J4107</f>
        <v>0</v>
      </c>
      <c r="AA35" s="52"/>
      <c r="AB35" s="70">
        <v>56</v>
      </c>
      <c r="AC35" s="49">
        <f>資料儲存!D4167</f>
        <v>0</v>
      </c>
      <c r="AD35" s="49">
        <f>資料儲存!E4167</f>
        <v>0</v>
      </c>
      <c r="AE35" s="49">
        <f>資料儲存!F4167</f>
        <v>0</v>
      </c>
      <c r="AF35" s="49">
        <f>資料儲存!G4167</f>
        <v>0</v>
      </c>
      <c r="AG35" s="49">
        <f>資料儲存!H4167</f>
        <v>0</v>
      </c>
      <c r="AH35" s="49">
        <f>資料儲存!I4167</f>
        <v>0</v>
      </c>
      <c r="AI35" s="49">
        <f>資料儲存!J4167</f>
        <v>0</v>
      </c>
      <c r="AJ35" s="52"/>
      <c r="AK35" s="70">
        <v>56</v>
      </c>
      <c r="AL35" s="49">
        <f>資料儲存!D4227</f>
        <v>0</v>
      </c>
      <c r="AM35" s="49">
        <f>資料儲存!E4227</f>
        <v>0</v>
      </c>
      <c r="AN35" s="49">
        <f>資料儲存!F4227</f>
        <v>0</v>
      </c>
      <c r="AO35" s="49">
        <f>資料儲存!G4227</f>
        <v>0</v>
      </c>
      <c r="AP35" s="49">
        <f>資料儲存!H4227</f>
        <v>0</v>
      </c>
      <c r="AQ35" s="49">
        <f>資料儲存!I4227</f>
        <v>0</v>
      </c>
      <c r="AR35" s="49">
        <f>資料儲存!J4227</f>
        <v>0</v>
      </c>
      <c r="AT35" s="70">
        <v>56</v>
      </c>
      <c r="AU35" s="49">
        <f>資料儲存!D4287</f>
        <v>0</v>
      </c>
      <c r="AV35" s="49">
        <f>資料儲存!E4287</f>
        <v>0</v>
      </c>
      <c r="AW35" s="49">
        <f>資料儲存!F4287</f>
        <v>0</v>
      </c>
      <c r="AX35" s="49">
        <f>資料儲存!G4287</f>
        <v>0</v>
      </c>
      <c r="AY35" s="49">
        <f>資料儲存!H4287</f>
        <v>0</v>
      </c>
      <c r="AZ35" s="49">
        <f>資料儲存!I4287</f>
        <v>0</v>
      </c>
      <c r="BA35" s="49">
        <f>資料儲存!J4287</f>
        <v>0</v>
      </c>
    </row>
    <row r="36" spans="1:53" s="67" customFormat="1" ht="16" thickBot="1">
      <c r="A36" s="70">
        <v>57</v>
      </c>
      <c r="B36" s="49">
        <f>資料儲存!D3988</f>
        <v>0</v>
      </c>
      <c r="C36" s="49">
        <f>資料儲存!E3988</f>
        <v>0</v>
      </c>
      <c r="D36" s="49">
        <f>資料儲存!F3988</f>
        <v>0</v>
      </c>
      <c r="E36" s="49">
        <f>資料儲存!G3988</f>
        <v>0</v>
      </c>
      <c r="F36" s="49">
        <f>資料儲存!H3988</f>
        <v>0</v>
      </c>
      <c r="G36" s="49">
        <f>資料儲存!I3988</f>
        <v>0</v>
      </c>
      <c r="H36" s="49">
        <f>資料儲存!J3988</f>
        <v>0</v>
      </c>
      <c r="I36" s="52"/>
      <c r="J36" s="70">
        <v>57</v>
      </c>
      <c r="K36" s="49">
        <f>資料儲存!D4048</f>
        <v>0</v>
      </c>
      <c r="L36" s="49">
        <f>資料儲存!E4048</f>
        <v>0</v>
      </c>
      <c r="M36" s="49">
        <f>資料儲存!F4048</f>
        <v>0</v>
      </c>
      <c r="N36" s="49">
        <f>資料儲存!G4048</f>
        <v>0</v>
      </c>
      <c r="O36" s="49">
        <f>資料儲存!H4048</f>
        <v>0</v>
      </c>
      <c r="P36" s="49">
        <f>資料儲存!I4048</f>
        <v>0</v>
      </c>
      <c r="Q36" s="49">
        <f>資料儲存!J4048</f>
        <v>0</v>
      </c>
      <c r="R36" s="52"/>
      <c r="S36" s="70">
        <v>57</v>
      </c>
      <c r="T36" s="49">
        <f>資料儲存!D4108</f>
        <v>0</v>
      </c>
      <c r="U36" s="49">
        <f>資料儲存!E4108</f>
        <v>0</v>
      </c>
      <c r="V36" s="49">
        <f>資料儲存!F4108</f>
        <v>0</v>
      </c>
      <c r="W36" s="49">
        <f>資料儲存!G4108</f>
        <v>0</v>
      </c>
      <c r="X36" s="49">
        <f>資料儲存!H4108</f>
        <v>0</v>
      </c>
      <c r="Y36" s="49">
        <f>資料儲存!I4108</f>
        <v>0</v>
      </c>
      <c r="Z36" s="49">
        <f>資料儲存!J4108</f>
        <v>0</v>
      </c>
      <c r="AA36" s="52"/>
      <c r="AB36" s="70">
        <v>57</v>
      </c>
      <c r="AC36" s="49">
        <f>資料儲存!D4168</f>
        <v>0</v>
      </c>
      <c r="AD36" s="49">
        <f>資料儲存!E4168</f>
        <v>0</v>
      </c>
      <c r="AE36" s="49">
        <f>資料儲存!F4168</f>
        <v>0</v>
      </c>
      <c r="AF36" s="49">
        <f>資料儲存!G4168</f>
        <v>0</v>
      </c>
      <c r="AG36" s="49">
        <f>資料儲存!H4168</f>
        <v>0</v>
      </c>
      <c r="AH36" s="49">
        <f>資料儲存!I4168</f>
        <v>0</v>
      </c>
      <c r="AI36" s="49">
        <f>資料儲存!J4168</f>
        <v>0</v>
      </c>
      <c r="AJ36" s="52"/>
      <c r="AK36" s="70">
        <v>57</v>
      </c>
      <c r="AL36" s="49">
        <f>資料儲存!D4228</f>
        <v>0</v>
      </c>
      <c r="AM36" s="49">
        <f>資料儲存!E4228</f>
        <v>0</v>
      </c>
      <c r="AN36" s="49">
        <f>資料儲存!F4228</f>
        <v>0</v>
      </c>
      <c r="AO36" s="49">
        <f>資料儲存!G4228</f>
        <v>0</v>
      </c>
      <c r="AP36" s="49">
        <f>資料儲存!H4228</f>
        <v>0</v>
      </c>
      <c r="AQ36" s="49">
        <f>資料儲存!I4228</f>
        <v>0</v>
      </c>
      <c r="AR36" s="49">
        <f>資料儲存!J4228</f>
        <v>0</v>
      </c>
      <c r="AT36" s="70">
        <v>57</v>
      </c>
      <c r="AU36" s="49">
        <f>資料儲存!D4288</f>
        <v>0</v>
      </c>
      <c r="AV36" s="49">
        <f>資料儲存!E4288</f>
        <v>0</v>
      </c>
      <c r="AW36" s="49">
        <f>資料儲存!F4288</f>
        <v>0</v>
      </c>
      <c r="AX36" s="49">
        <f>資料儲存!G4288</f>
        <v>0</v>
      </c>
      <c r="AY36" s="49">
        <f>資料儲存!H4288</f>
        <v>0</v>
      </c>
      <c r="AZ36" s="49">
        <f>資料儲存!I4288</f>
        <v>0</v>
      </c>
      <c r="BA36" s="49">
        <f>資料儲存!J4288</f>
        <v>0</v>
      </c>
    </row>
    <row r="37" spans="1:53" s="67" customFormat="1" ht="16" thickBot="1">
      <c r="A37" s="70">
        <v>58</v>
      </c>
      <c r="B37" s="49">
        <f>資料儲存!D3989</f>
        <v>0</v>
      </c>
      <c r="C37" s="49">
        <f>資料儲存!E3989</f>
        <v>0</v>
      </c>
      <c r="D37" s="49">
        <f>資料儲存!F3989</f>
        <v>0</v>
      </c>
      <c r="E37" s="49">
        <f>資料儲存!G3989</f>
        <v>0</v>
      </c>
      <c r="F37" s="49">
        <f>資料儲存!H3989</f>
        <v>0</v>
      </c>
      <c r="G37" s="49">
        <f>資料儲存!I3989</f>
        <v>0</v>
      </c>
      <c r="H37" s="49">
        <f>資料儲存!J3989</f>
        <v>0</v>
      </c>
      <c r="I37" s="52"/>
      <c r="J37" s="70">
        <v>58</v>
      </c>
      <c r="K37" s="49">
        <f>資料儲存!D4049</f>
        <v>0</v>
      </c>
      <c r="L37" s="49">
        <f>資料儲存!E4049</f>
        <v>0</v>
      </c>
      <c r="M37" s="49">
        <f>資料儲存!F4049</f>
        <v>0</v>
      </c>
      <c r="N37" s="49">
        <f>資料儲存!G4049</f>
        <v>0</v>
      </c>
      <c r="O37" s="49">
        <f>資料儲存!H4049</f>
        <v>0</v>
      </c>
      <c r="P37" s="49">
        <f>資料儲存!I4049</f>
        <v>0</v>
      </c>
      <c r="Q37" s="49">
        <f>資料儲存!J4049</f>
        <v>0</v>
      </c>
      <c r="R37" s="52"/>
      <c r="S37" s="70">
        <v>58</v>
      </c>
      <c r="T37" s="49">
        <f>資料儲存!D4109</f>
        <v>0</v>
      </c>
      <c r="U37" s="49">
        <f>資料儲存!E4109</f>
        <v>0</v>
      </c>
      <c r="V37" s="49">
        <f>資料儲存!F4109</f>
        <v>0</v>
      </c>
      <c r="W37" s="49">
        <f>資料儲存!G4109</f>
        <v>0</v>
      </c>
      <c r="X37" s="49">
        <f>資料儲存!H4109</f>
        <v>0</v>
      </c>
      <c r="Y37" s="49">
        <f>資料儲存!I4109</f>
        <v>0</v>
      </c>
      <c r="Z37" s="49">
        <f>資料儲存!J4109</f>
        <v>0</v>
      </c>
      <c r="AA37" s="52"/>
      <c r="AB37" s="70">
        <v>58</v>
      </c>
      <c r="AC37" s="49">
        <f>資料儲存!D4169</f>
        <v>0</v>
      </c>
      <c r="AD37" s="49">
        <f>資料儲存!E4169</f>
        <v>0</v>
      </c>
      <c r="AE37" s="49">
        <f>資料儲存!F4169</f>
        <v>0</v>
      </c>
      <c r="AF37" s="49">
        <f>資料儲存!G4169</f>
        <v>0</v>
      </c>
      <c r="AG37" s="49">
        <f>資料儲存!H4169</f>
        <v>0</v>
      </c>
      <c r="AH37" s="49">
        <f>資料儲存!I4169</f>
        <v>0</v>
      </c>
      <c r="AI37" s="49">
        <f>資料儲存!J4169</f>
        <v>0</v>
      </c>
      <c r="AJ37" s="52"/>
      <c r="AK37" s="70">
        <v>58</v>
      </c>
      <c r="AL37" s="49">
        <f>資料儲存!D4229</f>
        <v>0</v>
      </c>
      <c r="AM37" s="49">
        <f>資料儲存!E4229</f>
        <v>0</v>
      </c>
      <c r="AN37" s="49">
        <f>資料儲存!F4229</f>
        <v>0</v>
      </c>
      <c r="AO37" s="49">
        <f>資料儲存!G4229</f>
        <v>0</v>
      </c>
      <c r="AP37" s="49">
        <f>資料儲存!H4229</f>
        <v>0</v>
      </c>
      <c r="AQ37" s="49">
        <f>資料儲存!I4229</f>
        <v>0</v>
      </c>
      <c r="AR37" s="49">
        <f>資料儲存!J4229</f>
        <v>0</v>
      </c>
      <c r="AT37" s="70">
        <v>58</v>
      </c>
      <c r="AU37" s="49">
        <f>資料儲存!D4289</f>
        <v>0</v>
      </c>
      <c r="AV37" s="49">
        <f>資料儲存!E4289</f>
        <v>0</v>
      </c>
      <c r="AW37" s="49">
        <f>資料儲存!F4289</f>
        <v>0</v>
      </c>
      <c r="AX37" s="49">
        <f>資料儲存!G4289</f>
        <v>0</v>
      </c>
      <c r="AY37" s="49">
        <f>資料儲存!H4289</f>
        <v>0</v>
      </c>
      <c r="AZ37" s="49">
        <f>資料儲存!I4289</f>
        <v>0</v>
      </c>
      <c r="BA37" s="49">
        <f>資料儲存!J4289</f>
        <v>0</v>
      </c>
    </row>
    <row r="38" spans="1:53" s="67" customFormat="1" ht="16" thickBot="1">
      <c r="A38" s="70">
        <v>59</v>
      </c>
      <c r="B38" s="49">
        <f>資料儲存!D3990</f>
        <v>0</v>
      </c>
      <c r="C38" s="49">
        <f>資料儲存!E3990</f>
        <v>0</v>
      </c>
      <c r="D38" s="49">
        <f>資料儲存!F3990</f>
        <v>0</v>
      </c>
      <c r="E38" s="49">
        <f>資料儲存!G3990</f>
        <v>0</v>
      </c>
      <c r="F38" s="49">
        <f>資料儲存!H3990</f>
        <v>0</v>
      </c>
      <c r="G38" s="49">
        <f>資料儲存!I3990</f>
        <v>0</v>
      </c>
      <c r="H38" s="49">
        <f>資料儲存!J3990</f>
        <v>0</v>
      </c>
      <c r="I38" s="52"/>
      <c r="J38" s="70">
        <v>59</v>
      </c>
      <c r="K38" s="49">
        <f>資料儲存!D4050</f>
        <v>0</v>
      </c>
      <c r="L38" s="49">
        <f>資料儲存!E4050</f>
        <v>0</v>
      </c>
      <c r="M38" s="49">
        <f>資料儲存!F4050</f>
        <v>0</v>
      </c>
      <c r="N38" s="49">
        <f>資料儲存!G4050</f>
        <v>0</v>
      </c>
      <c r="O38" s="49">
        <f>資料儲存!H4050</f>
        <v>0</v>
      </c>
      <c r="P38" s="49">
        <f>資料儲存!I4050</f>
        <v>0</v>
      </c>
      <c r="Q38" s="49">
        <f>資料儲存!J4050</f>
        <v>0</v>
      </c>
      <c r="R38" s="52"/>
      <c r="S38" s="70">
        <v>59</v>
      </c>
      <c r="T38" s="49">
        <f>資料儲存!D4110</f>
        <v>0</v>
      </c>
      <c r="U38" s="49">
        <f>資料儲存!E4110</f>
        <v>0</v>
      </c>
      <c r="V38" s="49">
        <f>資料儲存!F4110</f>
        <v>0</v>
      </c>
      <c r="W38" s="49">
        <f>資料儲存!G4110</f>
        <v>0</v>
      </c>
      <c r="X38" s="49">
        <f>資料儲存!H4110</f>
        <v>0</v>
      </c>
      <c r="Y38" s="49">
        <f>資料儲存!I4110</f>
        <v>0</v>
      </c>
      <c r="Z38" s="49">
        <f>資料儲存!J4110</f>
        <v>0</v>
      </c>
      <c r="AA38" s="52"/>
      <c r="AB38" s="70">
        <v>59</v>
      </c>
      <c r="AC38" s="49">
        <f>資料儲存!D4170</f>
        <v>0</v>
      </c>
      <c r="AD38" s="49">
        <f>資料儲存!E4170</f>
        <v>0</v>
      </c>
      <c r="AE38" s="49">
        <f>資料儲存!F4170</f>
        <v>0</v>
      </c>
      <c r="AF38" s="49">
        <f>資料儲存!G4170</f>
        <v>0</v>
      </c>
      <c r="AG38" s="49">
        <f>資料儲存!H4170</f>
        <v>0</v>
      </c>
      <c r="AH38" s="49">
        <f>資料儲存!I4170</f>
        <v>0</v>
      </c>
      <c r="AI38" s="49">
        <f>資料儲存!J4170</f>
        <v>0</v>
      </c>
      <c r="AJ38" s="52"/>
      <c r="AK38" s="70">
        <v>59</v>
      </c>
      <c r="AL38" s="49">
        <f>資料儲存!D4230</f>
        <v>0</v>
      </c>
      <c r="AM38" s="49">
        <f>資料儲存!E4230</f>
        <v>0</v>
      </c>
      <c r="AN38" s="49">
        <f>資料儲存!F4230</f>
        <v>0</v>
      </c>
      <c r="AO38" s="49">
        <f>資料儲存!G4230</f>
        <v>0</v>
      </c>
      <c r="AP38" s="49">
        <f>資料儲存!H4230</f>
        <v>0</v>
      </c>
      <c r="AQ38" s="49">
        <f>資料儲存!I4230</f>
        <v>0</v>
      </c>
      <c r="AR38" s="49">
        <f>資料儲存!J4230</f>
        <v>0</v>
      </c>
      <c r="AT38" s="70">
        <v>59</v>
      </c>
      <c r="AU38" s="49">
        <f>資料儲存!D4290</f>
        <v>0</v>
      </c>
      <c r="AV38" s="49">
        <f>資料儲存!E4290</f>
        <v>0</v>
      </c>
      <c r="AW38" s="49">
        <f>資料儲存!F4290</f>
        <v>0</v>
      </c>
      <c r="AX38" s="49">
        <f>資料儲存!G4290</f>
        <v>0</v>
      </c>
      <c r="AY38" s="49">
        <f>資料儲存!H4290</f>
        <v>0</v>
      </c>
      <c r="AZ38" s="49">
        <f>資料儲存!I4290</f>
        <v>0</v>
      </c>
      <c r="BA38" s="49">
        <f>資料儲存!J4290</f>
        <v>0</v>
      </c>
    </row>
    <row r="39" spans="1:53" s="67" customFormat="1" ht="16" thickBot="1">
      <c r="A39" s="70">
        <v>60</v>
      </c>
      <c r="B39" s="49">
        <f>資料儲存!D3991</f>
        <v>0</v>
      </c>
      <c r="C39" s="49">
        <f>資料儲存!E3991</f>
        <v>0</v>
      </c>
      <c r="D39" s="49">
        <f>資料儲存!F3991</f>
        <v>0</v>
      </c>
      <c r="E39" s="49">
        <f>資料儲存!G3991</f>
        <v>0</v>
      </c>
      <c r="F39" s="49">
        <f>資料儲存!H3991</f>
        <v>0</v>
      </c>
      <c r="G39" s="49">
        <f>資料儲存!I3991</f>
        <v>0</v>
      </c>
      <c r="H39" s="49">
        <f>資料儲存!J3991</f>
        <v>0</v>
      </c>
      <c r="I39" s="52"/>
      <c r="J39" s="70">
        <v>60</v>
      </c>
      <c r="K39" s="49">
        <f>資料儲存!D4051</f>
        <v>0</v>
      </c>
      <c r="L39" s="49">
        <f>資料儲存!E4051</f>
        <v>0</v>
      </c>
      <c r="M39" s="49">
        <f>資料儲存!F4051</f>
        <v>0</v>
      </c>
      <c r="N39" s="49">
        <f>資料儲存!G4051</f>
        <v>0</v>
      </c>
      <c r="O39" s="49">
        <f>資料儲存!H4051</f>
        <v>0</v>
      </c>
      <c r="P39" s="49">
        <f>資料儲存!I4051</f>
        <v>0</v>
      </c>
      <c r="Q39" s="49">
        <f>資料儲存!J4051</f>
        <v>0</v>
      </c>
      <c r="R39" s="52"/>
      <c r="S39" s="70">
        <v>60</v>
      </c>
      <c r="T39" s="49">
        <f>資料儲存!D4111</f>
        <v>0</v>
      </c>
      <c r="U39" s="49">
        <f>資料儲存!E4111</f>
        <v>0</v>
      </c>
      <c r="V39" s="49">
        <f>資料儲存!F4111</f>
        <v>0</v>
      </c>
      <c r="W39" s="49">
        <f>資料儲存!G4111</f>
        <v>0</v>
      </c>
      <c r="X39" s="49">
        <f>資料儲存!H4111</f>
        <v>0</v>
      </c>
      <c r="Y39" s="49">
        <f>資料儲存!I4111</f>
        <v>0</v>
      </c>
      <c r="Z39" s="49">
        <f>資料儲存!J4111</f>
        <v>0</v>
      </c>
      <c r="AA39" s="52"/>
      <c r="AB39" s="70">
        <v>60</v>
      </c>
      <c r="AC39" s="49">
        <f>資料儲存!D4171</f>
        <v>0</v>
      </c>
      <c r="AD39" s="49">
        <f>資料儲存!E4171</f>
        <v>0</v>
      </c>
      <c r="AE39" s="49">
        <f>資料儲存!F4171</f>
        <v>0</v>
      </c>
      <c r="AF39" s="49">
        <f>資料儲存!G4171</f>
        <v>0</v>
      </c>
      <c r="AG39" s="49">
        <f>資料儲存!H4171</f>
        <v>0</v>
      </c>
      <c r="AH39" s="49">
        <f>資料儲存!I4171</f>
        <v>0</v>
      </c>
      <c r="AI39" s="49">
        <f>資料儲存!J4171</f>
        <v>0</v>
      </c>
      <c r="AJ39" s="52"/>
      <c r="AK39" s="70">
        <v>60</v>
      </c>
      <c r="AL39" s="49">
        <f>資料儲存!D4231</f>
        <v>0</v>
      </c>
      <c r="AM39" s="49">
        <f>資料儲存!E4231</f>
        <v>0</v>
      </c>
      <c r="AN39" s="49">
        <f>資料儲存!F4231</f>
        <v>0</v>
      </c>
      <c r="AO39" s="49">
        <f>資料儲存!G4231</f>
        <v>0</v>
      </c>
      <c r="AP39" s="49">
        <f>資料儲存!H4231</f>
        <v>0</v>
      </c>
      <c r="AQ39" s="49">
        <f>資料儲存!I4231</f>
        <v>0</v>
      </c>
      <c r="AR39" s="49">
        <f>資料儲存!J4231</f>
        <v>0</v>
      </c>
      <c r="AT39" s="70">
        <v>60</v>
      </c>
      <c r="AU39" s="49">
        <f>資料儲存!D4291</f>
        <v>0</v>
      </c>
      <c r="AV39" s="49">
        <f>資料儲存!E4291</f>
        <v>0</v>
      </c>
      <c r="AW39" s="49">
        <f>資料儲存!F4291</f>
        <v>0</v>
      </c>
      <c r="AX39" s="49">
        <f>資料儲存!G4291</f>
        <v>0</v>
      </c>
      <c r="AY39" s="49">
        <f>資料儲存!H4291</f>
        <v>0</v>
      </c>
      <c r="AZ39" s="49">
        <f>資料儲存!I4291</f>
        <v>0</v>
      </c>
      <c r="BA39" s="49">
        <f>資料儲存!J4291</f>
        <v>0</v>
      </c>
    </row>
    <row r="40" spans="1:53" s="67" customFormat="1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0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  <c r="AT40" s="50" t="s">
        <v>56</v>
      </c>
      <c r="AU40" s="49">
        <f>SUM(AU25:AX39)</f>
        <v>0</v>
      </c>
      <c r="AV40" s="47"/>
      <c r="AW40" s="47"/>
      <c r="AX40" s="47"/>
      <c r="AY40" s="49">
        <f>AY39</f>
        <v>0</v>
      </c>
      <c r="AZ40" s="49">
        <f>AZ39</f>
        <v>0</v>
      </c>
      <c r="BA40" s="49">
        <f>BA39</f>
        <v>0</v>
      </c>
    </row>
    <row r="41" spans="1:53" ht="18.5" thickBot="1">
      <c r="A41" s="257" t="s">
        <v>111</v>
      </c>
      <c r="B41" s="258"/>
      <c r="C41" s="258"/>
      <c r="D41" s="258"/>
      <c r="E41" s="258"/>
      <c r="F41" s="258"/>
      <c r="G41" s="258"/>
      <c r="H41" s="259"/>
      <c r="I41" s="14"/>
      <c r="J41" s="257" t="s">
        <v>111</v>
      </c>
      <c r="K41" s="258"/>
      <c r="L41" s="258"/>
      <c r="M41" s="258"/>
      <c r="N41" s="258"/>
      <c r="O41" s="258"/>
      <c r="P41" s="258"/>
      <c r="Q41" s="259"/>
      <c r="R41" s="14"/>
      <c r="S41" s="257" t="s">
        <v>111</v>
      </c>
      <c r="T41" s="258"/>
      <c r="U41" s="258"/>
      <c r="V41" s="258"/>
      <c r="W41" s="258"/>
      <c r="X41" s="258"/>
      <c r="Y41" s="258"/>
      <c r="Z41" s="259"/>
      <c r="AA41" s="14"/>
      <c r="AB41" s="257" t="s">
        <v>111</v>
      </c>
      <c r="AC41" s="258"/>
      <c r="AD41" s="258"/>
      <c r="AE41" s="258"/>
      <c r="AF41" s="258"/>
      <c r="AG41" s="258"/>
      <c r="AH41" s="258"/>
      <c r="AI41" s="259"/>
      <c r="AJ41" s="14"/>
      <c r="AK41" s="257" t="s">
        <v>111</v>
      </c>
      <c r="AL41" s="258"/>
      <c r="AM41" s="258"/>
      <c r="AN41" s="258"/>
      <c r="AO41" s="258"/>
      <c r="AP41" s="258"/>
      <c r="AQ41" s="258"/>
      <c r="AR41" s="259"/>
      <c r="AT41" s="257" t="s">
        <v>111</v>
      </c>
      <c r="AU41" s="258"/>
      <c r="AV41" s="258"/>
      <c r="AW41" s="258"/>
      <c r="AX41" s="258"/>
      <c r="AY41" s="258"/>
      <c r="AZ41" s="258"/>
      <c r="BA41" s="259"/>
    </row>
    <row r="42" spans="1:53" s="59" customFormat="1" ht="17.25" customHeight="1" thickBot="1">
      <c r="A42" s="54" t="s">
        <v>2</v>
      </c>
      <c r="B42" s="55" t="s">
        <v>46</v>
      </c>
      <c r="C42" s="56"/>
      <c r="D42" s="56"/>
      <c r="E42" s="57"/>
      <c r="F42" s="55" t="s">
        <v>47</v>
      </c>
      <c r="G42" s="56"/>
      <c r="H42" s="57"/>
      <c r="I42" s="58"/>
      <c r="J42" s="54" t="s">
        <v>2</v>
      </c>
      <c r="K42" s="55" t="s">
        <v>46</v>
      </c>
      <c r="L42" s="56"/>
      <c r="M42" s="56"/>
      <c r="N42" s="57"/>
      <c r="O42" s="55" t="s">
        <v>47</v>
      </c>
      <c r="P42" s="56"/>
      <c r="Q42" s="57"/>
      <c r="R42" s="58"/>
      <c r="S42" s="54" t="s">
        <v>2</v>
      </c>
      <c r="T42" s="55" t="s">
        <v>46</v>
      </c>
      <c r="U42" s="56"/>
      <c r="V42" s="56"/>
      <c r="W42" s="57"/>
      <c r="X42" s="55" t="s">
        <v>47</v>
      </c>
      <c r="Y42" s="56"/>
      <c r="Z42" s="57"/>
      <c r="AA42" s="58"/>
      <c r="AB42" s="54" t="s">
        <v>2</v>
      </c>
      <c r="AC42" s="55" t="s">
        <v>46</v>
      </c>
      <c r="AD42" s="56"/>
      <c r="AE42" s="56"/>
      <c r="AF42" s="57"/>
      <c r="AG42" s="55" t="s">
        <v>47</v>
      </c>
      <c r="AH42" s="56"/>
      <c r="AI42" s="57"/>
      <c r="AJ42" s="58"/>
      <c r="AK42" s="54" t="s">
        <v>2</v>
      </c>
      <c r="AL42" s="55" t="s">
        <v>46</v>
      </c>
      <c r="AM42" s="56"/>
      <c r="AN42" s="56"/>
      <c r="AO42" s="57"/>
      <c r="AP42" s="55" t="s">
        <v>47</v>
      </c>
      <c r="AQ42" s="56"/>
      <c r="AR42" s="57"/>
      <c r="AT42" s="54" t="s">
        <v>2</v>
      </c>
      <c r="AU42" s="55" t="s">
        <v>46</v>
      </c>
      <c r="AV42" s="56"/>
      <c r="AW42" s="56"/>
      <c r="AX42" s="57"/>
      <c r="AY42" s="55" t="s">
        <v>47</v>
      </c>
      <c r="AZ42" s="56"/>
      <c r="BA42" s="57"/>
    </row>
    <row r="43" spans="1:53" s="59" customFormat="1" ht="16" thickBot="1">
      <c r="A43" s="60">
        <v>0.625</v>
      </c>
      <c r="B43" s="61" t="s">
        <v>49</v>
      </c>
      <c r="C43" s="61" t="s">
        <v>50</v>
      </c>
      <c r="D43" s="61" t="s">
        <v>51</v>
      </c>
      <c r="E43" s="61" t="s">
        <v>52</v>
      </c>
      <c r="F43" s="61" t="s">
        <v>53</v>
      </c>
      <c r="G43" s="61" t="s">
        <v>54</v>
      </c>
      <c r="H43" s="61" t="s">
        <v>55</v>
      </c>
      <c r="I43" s="58"/>
      <c r="J43" s="60">
        <v>0.625</v>
      </c>
      <c r="K43" s="61" t="s">
        <v>49</v>
      </c>
      <c r="L43" s="61" t="s">
        <v>50</v>
      </c>
      <c r="M43" s="61" t="s">
        <v>51</v>
      </c>
      <c r="N43" s="61" t="s">
        <v>52</v>
      </c>
      <c r="O43" s="61" t="s">
        <v>53</v>
      </c>
      <c r="P43" s="61" t="s">
        <v>54</v>
      </c>
      <c r="Q43" s="61" t="s">
        <v>55</v>
      </c>
      <c r="R43" s="58"/>
      <c r="S43" s="60">
        <v>0.625</v>
      </c>
      <c r="T43" s="61" t="s">
        <v>49</v>
      </c>
      <c r="U43" s="61" t="s">
        <v>50</v>
      </c>
      <c r="V43" s="61" t="s">
        <v>51</v>
      </c>
      <c r="W43" s="61" t="s">
        <v>52</v>
      </c>
      <c r="X43" s="61" t="s">
        <v>53</v>
      </c>
      <c r="Y43" s="61" t="s">
        <v>54</v>
      </c>
      <c r="Z43" s="61" t="s">
        <v>55</v>
      </c>
      <c r="AA43" s="58"/>
      <c r="AB43" s="60">
        <v>0.625</v>
      </c>
      <c r="AC43" s="61" t="s">
        <v>49</v>
      </c>
      <c r="AD43" s="61" t="s">
        <v>50</v>
      </c>
      <c r="AE43" s="61" t="s">
        <v>51</v>
      </c>
      <c r="AF43" s="61" t="s">
        <v>52</v>
      </c>
      <c r="AG43" s="61" t="s">
        <v>53</v>
      </c>
      <c r="AH43" s="61" t="s">
        <v>54</v>
      </c>
      <c r="AI43" s="61" t="s">
        <v>55</v>
      </c>
      <c r="AJ43" s="58"/>
      <c r="AK43" s="60">
        <v>0.625</v>
      </c>
      <c r="AL43" s="61" t="s">
        <v>49</v>
      </c>
      <c r="AM43" s="61" t="s">
        <v>50</v>
      </c>
      <c r="AN43" s="61" t="s">
        <v>51</v>
      </c>
      <c r="AO43" s="61" t="s">
        <v>52</v>
      </c>
      <c r="AP43" s="61" t="s">
        <v>53</v>
      </c>
      <c r="AQ43" s="61" t="s">
        <v>54</v>
      </c>
      <c r="AR43" s="61" t="s">
        <v>55</v>
      </c>
      <c r="AT43" s="60">
        <v>0.625</v>
      </c>
      <c r="AU43" s="61" t="s">
        <v>49</v>
      </c>
      <c r="AV43" s="61" t="s">
        <v>50</v>
      </c>
      <c r="AW43" s="61" t="s">
        <v>51</v>
      </c>
      <c r="AX43" s="61" t="s">
        <v>52</v>
      </c>
      <c r="AY43" s="61" t="s">
        <v>53</v>
      </c>
      <c r="AZ43" s="61" t="s">
        <v>54</v>
      </c>
      <c r="BA43" s="61" t="s">
        <v>55</v>
      </c>
    </row>
    <row r="44" spans="1:53" s="59" customFormat="1" ht="16" thickBot="1">
      <c r="A44" s="62">
        <v>1</v>
      </c>
      <c r="B44" s="39">
        <f>資料儲存!D3992</f>
        <v>0</v>
      </c>
      <c r="C44" s="39">
        <f>資料儲存!E3992</f>
        <v>0</v>
      </c>
      <c r="D44" s="39">
        <f>資料儲存!F3992</f>
        <v>0</v>
      </c>
      <c r="E44" s="39">
        <f>資料儲存!G3992</f>
        <v>0</v>
      </c>
      <c r="F44" s="39">
        <f>資料儲存!H3992</f>
        <v>0</v>
      </c>
      <c r="G44" s="39">
        <f>資料儲存!I3992</f>
        <v>0</v>
      </c>
      <c r="H44" s="39">
        <f>資料儲存!J3992</f>
        <v>0</v>
      </c>
      <c r="I44" s="58"/>
      <c r="J44" s="62">
        <v>1</v>
      </c>
      <c r="K44" s="39">
        <f>資料儲存!D4052</f>
        <v>0</v>
      </c>
      <c r="L44" s="39">
        <f>資料儲存!E4052</f>
        <v>0</v>
      </c>
      <c r="M44" s="39">
        <f>資料儲存!F4052</f>
        <v>0</v>
      </c>
      <c r="N44" s="39">
        <f>資料儲存!G4052</f>
        <v>0</v>
      </c>
      <c r="O44" s="39">
        <f>資料儲存!H4052</f>
        <v>0</v>
      </c>
      <c r="P44" s="39">
        <f>資料儲存!I4052</f>
        <v>0</v>
      </c>
      <c r="Q44" s="39">
        <f>資料儲存!J4052</f>
        <v>0</v>
      </c>
      <c r="R44" s="58"/>
      <c r="S44" s="62">
        <v>1</v>
      </c>
      <c r="T44" s="39">
        <f>資料儲存!D4112</f>
        <v>0</v>
      </c>
      <c r="U44" s="39">
        <f>資料儲存!E4112</f>
        <v>0</v>
      </c>
      <c r="V44" s="39">
        <f>資料儲存!F4112</f>
        <v>0</v>
      </c>
      <c r="W44" s="39">
        <f>資料儲存!G4112</f>
        <v>0</v>
      </c>
      <c r="X44" s="39">
        <f>資料儲存!H4112</f>
        <v>0</v>
      </c>
      <c r="Y44" s="39">
        <f>資料儲存!I4112</f>
        <v>0</v>
      </c>
      <c r="Z44" s="39">
        <f>資料儲存!J4112</f>
        <v>0</v>
      </c>
      <c r="AA44" s="58"/>
      <c r="AB44" s="62">
        <v>1</v>
      </c>
      <c r="AC44" s="39">
        <f>資料儲存!D4172</f>
        <v>0</v>
      </c>
      <c r="AD44" s="39">
        <f>資料儲存!E4172</f>
        <v>0</v>
      </c>
      <c r="AE44" s="39">
        <f>資料儲存!F4172</f>
        <v>0</v>
      </c>
      <c r="AF44" s="39">
        <f>資料儲存!G4172</f>
        <v>0</v>
      </c>
      <c r="AG44" s="39">
        <f>資料儲存!H4172</f>
        <v>0</v>
      </c>
      <c r="AH44" s="39">
        <f>資料儲存!I4172</f>
        <v>0</v>
      </c>
      <c r="AI44" s="39">
        <f>資料儲存!J4172</f>
        <v>0</v>
      </c>
      <c r="AJ44" s="58"/>
      <c r="AK44" s="62">
        <v>1</v>
      </c>
      <c r="AL44" s="39">
        <f>資料儲存!D4232</f>
        <v>0</v>
      </c>
      <c r="AM44" s="39">
        <f>資料儲存!E4232</f>
        <v>0</v>
      </c>
      <c r="AN44" s="39">
        <f>資料儲存!F4232</f>
        <v>0</v>
      </c>
      <c r="AO44" s="39">
        <f>資料儲存!G4232</f>
        <v>0</v>
      </c>
      <c r="AP44" s="39">
        <f>資料儲存!H4232</f>
        <v>0</v>
      </c>
      <c r="AQ44" s="39">
        <f>資料儲存!I4232</f>
        <v>0</v>
      </c>
      <c r="AR44" s="39">
        <f>資料儲存!J4232</f>
        <v>0</v>
      </c>
      <c r="AT44" s="62">
        <v>1</v>
      </c>
      <c r="AU44" s="39">
        <f>資料儲存!D4292</f>
        <v>0</v>
      </c>
      <c r="AV44" s="39">
        <f>資料儲存!E4292</f>
        <v>0</v>
      </c>
      <c r="AW44" s="39">
        <f>資料儲存!F4292</f>
        <v>0</v>
      </c>
      <c r="AX44" s="39">
        <f>資料儲存!G4292</f>
        <v>0</v>
      </c>
      <c r="AY44" s="39">
        <f>資料儲存!H4292</f>
        <v>0</v>
      </c>
      <c r="AZ44" s="39">
        <f>資料儲存!I4292</f>
        <v>0</v>
      </c>
      <c r="BA44" s="39">
        <f>資料儲存!J4292</f>
        <v>0</v>
      </c>
    </row>
    <row r="45" spans="1:53" s="59" customFormat="1" ht="16" thickBot="1">
      <c r="A45" s="62">
        <v>2</v>
      </c>
      <c r="B45" s="39">
        <f>資料儲存!D3993</f>
        <v>0</v>
      </c>
      <c r="C45" s="39">
        <f>資料儲存!E3993</f>
        <v>0</v>
      </c>
      <c r="D45" s="39">
        <f>資料儲存!F3993</f>
        <v>0</v>
      </c>
      <c r="E45" s="39">
        <f>資料儲存!G3993</f>
        <v>0</v>
      </c>
      <c r="F45" s="39">
        <f>資料儲存!H3993</f>
        <v>0</v>
      </c>
      <c r="G45" s="39">
        <f>資料儲存!I3993</f>
        <v>0</v>
      </c>
      <c r="H45" s="39">
        <f>資料儲存!J3993</f>
        <v>0</v>
      </c>
      <c r="I45" s="58"/>
      <c r="J45" s="62">
        <v>2</v>
      </c>
      <c r="K45" s="39">
        <f>資料儲存!D4053</f>
        <v>0</v>
      </c>
      <c r="L45" s="39">
        <f>資料儲存!E4053</f>
        <v>0</v>
      </c>
      <c r="M45" s="39">
        <f>資料儲存!F4053</f>
        <v>0</v>
      </c>
      <c r="N45" s="39">
        <f>資料儲存!G4053</f>
        <v>0</v>
      </c>
      <c r="O45" s="39">
        <f>資料儲存!H4053</f>
        <v>0</v>
      </c>
      <c r="P45" s="39">
        <f>資料儲存!I4053</f>
        <v>0</v>
      </c>
      <c r="Q45" s="39">
        <f>資料儲存!J4053</f>
        <v>0</v>
      </c>
      <c r="R45" s="58"/>
      <c r="S45" s="62">
        <v>2</v>
      </c>
      <c r="T45" s="39">
        <f>資料儲存!D4113</f>
        <v>0</v>
      </c>
      <c r="U45" s="39">
        <f>資料儲存!E4113</f>
        <v>0</v>
      </c>
      <c r="V45" s="39">
        <f>資料儲存!F4113</f>
        <v>0</v>
      </c>
      <c r="W45" s="39">
        <f>資料儲存!G4113</f>
        <v>0</v>
      </c>
      <c r="X45" s="39">
        <f>資料儲存!H4113</f>
        <v>0</v>
      </c>
      <c r="Y45" s="39">
        <f>資料儲存!I4113</f>
        <v>0</v>
      </c>
      <c r="Z45" s="39">
        <f>資料儲存!J4113</f>
        <v>0</v>
      </c>
      <c r="AA45" s="58"/>
      <c r="AB45" s="62">
        <v>2</v>
      </c>
      <c r="AC45" s="39">
        <f>資料儲存!D4173</f>
        <v>0</v>
      </c>
      <c r="AD45" s="39">
        <f>資料儲存!E4173</f>
        <v>0</v>
      </c>
      <c r="AE45" s="39">
        <f>資料儲存!F4173</f>
        <v>0</v>
      </c>
      <c r="AF45" s="39">
        <f>資料儲存!G4173</f>
        <v>0</v>
      </c>
      <c r="AG45" s="39">
        <f>資料儲存!H4173</f>
        <v>0</v>
      </c>
      <c r="AH45" s="39">
        <f>資料儲存!I4173</f>
        <v>0</v>
      </c>
      <c r="AI45" s="39">
        <f>資料儲存!J4173</f>
        <v>0</v>
      </c>
      <c r="AJ45" s="58"/>
      <c r="AK45" s="62">
        <v>2</v>
      </c>
      <c r="AL45" s="39">
        <f>資料儲存!D4233</f>
        <v>0</v>
      </c>
      <c r="AM45" s="39">
        <f>資料儲存!E4233</f>
        <v>0</v>
      </c>
      <c r="AN45" s="39">
        <f>資料儲存!F4233</f>
        <v>0</v>
      </c>
      <c r="AO45" s="39">
        <f>資料儲存!G4233</f>
        <v>0</v>
      </c>
      <c r="AP45" s="39">
        <f>資料儲存!H4233</f>
        <v>0</v>
      </c>
      <c r="AQ45" s="39">
        <f>資料儲存!I4233</f>
        <v>0</v>
      </c>
      <c r="AR45" s="39">
        <f>資料儲存!J4233</f>
        <v>0</v>
      </c>
      <c r="AT45" s="62">
        <v>2</v>
      </c>
      <c r="AU45" s="39">
        <f>資料儲存!D4293</f>
        <v>0</v>
      </c>
      <c r="AV45" s="39">
        <f>資料儲存!E4293</f>
        <v>0</v>
      </c>
      <c r="AW45" s="39">
        <f>資料儲存!F4293</f>
        <v>0</v>
      </c>
      <c r="AX45" s="39">
        <f>資料儲存!G4293</f>
        <v>0</v>
      </c>
      <c r="AY45" s="39">
        <f>資料儲存!H4293</f>
        <v>0</v>
      </c>
      <c r="AZ45" s="39">
        <f>資料儲存!I4293</f>
        <v>0</v>
      </c>
      <c r="BA45" s="39">
        <f>資料儲存!J4293</f>
        <v>0</v>
      </c>
    </row>
    <row r="46" spans="1:53" s="59" customFormat="1" ht="16" thickBot="1">
      <c r="A46" s="62">
        <v>3</v>
      </c>
      <c r="B46" s="39">
        <f>資料儲存!D3994</f>
        <v>0</v>
      </c>
      <c r="C46" s="39">
        <f>資料儲存!E3994</f>
        <v>0</v>
      </c>
      <c r="D46" s="39">
        <f>資料儲存!F3994</f>
        <v>0</v>
      </c>
      <c r="E46" s="39">
        <f>資料儲存!G3994</f>
        <v>0</v>
      </c>
      <c r="F46" s="39">
        <f>資料儲存!H3994</f>
        <v>0</v>
      </c>
      <c r="G46" s="39">
        <f>資料儲存!I3994</f>
        <v>0</v>
      </c>
      <c r="H46" s="39">
        <f>資料儲存!J3994</f>
        <v>0</v>
      </c>
      <c r="I46" s="58"/>
      <c r="J46" s="62">
        <v>3</v>
      </c>
      <c r="K46" s="39">
        <f>資料儲存!D4054</f>
        <v>0</v>
      </c>
      <c r="L46" s="39">
        <f>資料儲存!E4054</f>
        <v>0</v>
      </c>
      <c r="M46" s="39">
        <f>資料儲存!F4054</f>
        <v>0</v>
      </c>
      <c r="N46" s="39">
        <f>資料儲存!G4054</f>
        <v>0</v>
      </c>
      <c r="O46" s="39">
        <f>資料儲存!H4054</f>
        <v>0</v>
      </c>
      <c r="P46" s="39">
        <f>資料儲存!I4054</f>
        <v>0</v>
      </c>
      <c r="Q46" s="39">
        <f>資料儲存!J4054</f>
        <v>0</v>
      </c>
      <c r="R46" s="58"/>
      <c r="S46" s="62">
        <v>3</v>
      </c>
      <c r="T46" s="39">
        <f>資料儲存!D4114</f>
        <v>0</v>
      </c>
      <c r="U46" s="39">
        <f>資料儲存!E4114</f>
        <v>0</v>
      </c>
      <c r="V46" s="39">
        <f>資料儲存!F4114</f>
        <v>0</v>
      </c>
      <c r="W46" s="39">
        <f>資料儲存!G4114</f>
        <v>0</v>
      </c>
      <c r="X46" s="39">
        <f>資料儲存!H4114</f>
        <v>0</v>
      </c>
      <c r="Y46" s="39">
        <f>資料儲存!I4114</f>
        <v>0</v>
      </c>
      <c r="Z46" s="39">
        <f>資料儲存!J4114</f>
        <v>0</v>
      </c>
      <c r="AA46" s="58"/>
      <c r="AB46" s="62">
        <v>3</v>
      </c>
      <c r="AC46" s="39">
        <f>資料儲存!D4174</f>
        <v>0</v>
      </c>
      <c r="AD46" s="39">
        <f>資料儲存!E4174</f>
        <v>0</v>
      </c>
      <c r="AE46" s="39">
        <f>資料儲存!F4174</f>
        <v>0</v>
      </c>
      <c r="AF46" s="39">
        <f>資料儲存!G4174</f>
        <v>0</v>
      </c>
      <c r="AG46" s="39">
        <f>資料儲存!H4174</f>
        <v>0</v>
      </c>
      <c r="AH46" s="39">
        <f>資料儲存!I4174</f>
        <v>0</v>
      </c>
      <c r="AI46" s="39">
        <f>資料儲存!J4174</f>
        <v>0</v>
      </c>
      <c r="AJ46" s="58"/>
      <c r="AK46" s="62">
        <v>3</v>
      </c>
      <c r="AL46" s="39">
        <f>資料儲存!D4234</f>
        <v>0</v>
      </c>
      <c r="AM46" s="39">
        <f>資料儲存!E4234</f>
        <v>0</v>
      </c>
      <c r="AN46" s="39">
        <f>資料儲存!F4234</f>
        <v>0</v>
      </c>
      <c r="AO46" s="39">
        <f>資料儲存!G4234</f>
        <v>0</v>
      </c>
      <c r="AP46" s="39">
        <f>資料儲存!H4234</f>
        <v>0</v>
      </c>
      <c r="AQ46" s="39">
        <f>資料儲存!I4234</f>
        <v>0</v>
      </c>
      <c r="AR46" s="39">
        <f>資料儲存!J4234</f>
        <v>0</v>
      </c>
      <c r="AT46" s="62">
        <v>3</v>
      </c>
      <c r="AU46" s="39">
        <f>資料儲存!D4294</f>
        <v>0</v>
      </c>
      <c r="AV46" s="39">
        <f>資料儲存!E4294</f>
        <v>0</v>
      </c>
      <c r="AW46" s="39">
        <f>資料儲存!F4294</f>
        <v>0</v>
      </c>
      <c r="AX46" s="39">
        <f>資料儲存!G4294</f>
        <v>0</v>
      </c>
      <c r="AY46" s="39">
        <f>資料儲存!H4294</f>
        <v>0</v>
      </c>
      <c r="AZ46" s="39">
        <f>資料儲存!I4294</f>
        <v>0</v>
      </c>
      <c r="BA46" s="39">
        <f>資料儲存!J4294</f>
        <v>0</v>
      </c>
    </row>
    <row r="47" spans="1:53" s="59" customFormat="1" ht="16" thickBot="1">
      <c r="A47" s="62">
        <v>4</v>
      </c>
      <c r="B47" s="39">
        <f>資料儲存!D3995</f>
        <v>0</v>
      </c>
      <c r="C47" s="39">
        <f>資料儲存!E3995</f>
        <v>0</v>
      </c>
      <c r="D47" s="39">
        <f>資料儲存!F3995</f>
        <v>0</v>
      </c>
      <c r="E47" s="39">
        <f>資料儲存!G3995</f>
        <v>0</v>
      </c>
      <c r="F47" s="39">
        <f>資料儲存!H3995</f>
        <v>0</v>
      </c>
      <c r="G47" s="39">
        <f>資料儲存!I3995</f>
        <v>0</v>
      </c>
      <c r="H47" s="39">
        <f>資料儲存!J3995</f>
        <v>0</v>
      </c>
      <c r="I47" s="58"/>
      <c r="J47" s="62">
        <v>4</v>
      </c>
      <c r="K47" s="39">
        <f>資料儲存!D4055</f>
        <v>0</v>
      </c>
      <c r="L47" s="39">
        <f>資料儲存!E4055</f>
        <v>0</v>
      </c>
      <c r="M47" s="39">
        <f>資料儲存!F4055</f>
        <v>0</v>
      </c>
      <c r="N47" s="39">
        <f>資料儲存!G4055</f>
        <v>0</v>
      </c>
      <c r="O47" s="39">
        <f>資料儲存!H4055</f>
        <v>0</v>
      </c>
      <c r="P47" s="39">
        <f>資料儲存!I4055</f>
        <v>0</v>
      </c>
      <c r="Q47" s="39">
        <f>資料儲存!J4055</f>
        <v>0</v>
      </c>
      <c r="R47" s="58"/>
      <c r="S47" s="62">
        <v>4</v>
      </c>
      <c r="T47" s="39">
        <f>資料儲存!D4115</f>
        <v>0</v>
      </c>
      <c r="U47" s="39">
        <f>資料儲存!E4115</f>
        <v>0</v>
      </c>
      <c r="V47" s="39">
        <f>資料儲存!F4115</f>
        <v>0</v>
      </c>
      <c r="W47" s="39">
        <f>資料儲存!G4115</f>
        <v>0</v>
      </c>
      <c r="X47" s="39">
        <f>資料儲存!H4115</f>
        <v>0</v>
      </c>
      <c r="Y47" s="39">
        <f>資料儲存!I4115</f>
        <v>0</v>
      </c>
      <c r="Z47" s="39">
        <f>資料儲存!J4115</f>
        <v>0</v>
      </c>
      <c r="AA47" s="58"/>
      <c r="AB47" s="62">
        <v>4</v>
      </c>
      <c r="AC47" s="39">
        <f>資料儲存!D4175</f>
        <v>0</v>
      </c>
      <c r="AD47" s="39">
        <f>資料儲存!E4175</f>
        <v>0</v>
      </c>
      <c r="AE47" s="39">
        <f>資料儲存!F4175</f>
        <v>0</v>
      </c>
      <c r="AF47" s="39">
        <f>資料儲存!G4175</f>
        <v>0</v>
      </c>
      <c r="AG47" s="39">
        <f>資料儲存!H4175</f>
        <v>0</v>
      </c>
      <c r="AH47" s="39">
        <f>資料儲存!I4175</f>
        <v>0</v>
      </c>
      <c r="AI47" s="39">
        <f>資料儲存!J4175</f>
        <v>0</v>
      </c>
      <c r="AJ47" s="58"/>
      <c r="AK47" s="62">
        <v>4</v>
      </c>
      <c r="AL47" s="39">
        <f>資料儲存!D4235</f>
        <v>0</v>
      </c>
      <c r="AM47" s="39">
        <f>資料儲存!E4235</f>
        <v>0</v>
      </c>
      <c r="AN47" s="39">
        <f>資料儲存!F4235</f>
        <v>0</v>
      </c>
      <c r="AO47" s="39">
        <f>資料儲存!G4235</f>
        <v>0</v>
      </c>
      <c r="AP47" s="39">
        <f>資料儲存!H4235</f>
        <v>0</v>
      </c>
      <c r="AQ47" s="39">
        <f>資料儲存!I4235</f>
        <v>0</v>
      </c>
      <c r="AR47" s="39">
        <f>資料儲存!J4235</f>
        <v>0</v>
      </c>
      <c r="AT47" s="62">
        <v>4</v>
      </c>
      <c r="AU47" s="39">
        <f>資料儲存!D4295</f>
        <v>0</v>
      </c>
      <c r="AV47" s="39">
        <f>資料儲存!E4295</f>
        <v>0</v>
      </c>
      <c r="AW47" s="39">
        <f>資料儲存!F4295</f>
        <v>0</v>
      </c>
      <c r="AX47" s="39">
        <f>資料儲存!G4295</f>
        <v>0</v>
      </c>
      <c r="AY47" s="39">
        <f>資料儲存!H4295</f>
        <v>0</v>
      </c>
      <c r="AZ47" s="39">
        <f>資料儲存!I4295</f>
        <v>0</v>
      </c>
      <c r="BA47" s="39">
        <f>資料儲存!J4295</f>
        <v>0</v>
      </c>
    </row>
    <row r="48" spans="1:53" s="59" customFormat="1" ht="16" thickBot="1">
      <c r="A48" s="62">
        <v>5</v>
      </c>
      <c r="B48" s="39">
        <f>資料儲存!D3996</f>
        <v>0</v>
      </c>
      <c r="C48" s="39">
        <f>資料儲存!E3996</f>
        <v>0</v>
      </c>
      <c r="D48" s="39">
        <f>資料儲存!F3996</f>
        <v>0</v>
      </c>
      <c r="E48" s="39">
        <f>資料儲存!G3996</f>
        <v>0</v>
      </c>
      <c r="F48" s="39">
        <f>資料儲存!H3996</f>
        <v>0</v>
      </c>
      <c r="G48" s="39">
        <f>資料儲存!I3996</f>
        <v>0</v>
      </c>
      <c r="H48" s="39">
        <f>資料儲存!J3996</f>
        <v>0</v>
      </c>
      <c r="I48" s="58"/>
      <c r="J48" s="62">
        <v>5</v>
      </c>
      <c r="K48" s="39">
        <f>資料儲存!D4056</f>
        <v>0</v>
      </c>
      <c r="L48" s="39">
        <f>資料儲存!E4056</f>
        <v>0</v>
      </c>
      <c r="M48" s="39">
        <f>資料儲存!F4056</f>
        <v>0</v>
      </c>
      <c r="N48" s="39">
        <f>資料儲存!G4056</f>
        <v>0</v>
      </c>
      <c r="O48" s="39">
        <f>資料儲存!H4056</f>
        <v>0</v>
      </c>
      <c r="P48" s="39">
        <f>資料儲存!I4056</f>
        <v>0</v>
      </c>
      <c r="Q48" s="39">
        <f>資料儲存!J4056</f>
        <v>0</v>
      </c>
      <c r="R48" s="58"/>
      <c r="S48" s="62">
        <v>5</v>
      </c>
      <c r="T48" s="39">
        <f>資料儲存!D4116</f>
        <v>0</v>
      </c>
      <c r="U48" s="39">
        <f>資料儲存!E4116</f>
        <v>0</v>
      </c>
      <c r="V48" s="39">
        <f>資料儲存!F4116</f>
        <v>0</v>
      </c>
      <c r="W48" s="39">
        <f>資料儲存!G4116</f>
        <v>0</v>
      </c>
      <c r="X48" s="39">
        <f>資料儲存!H4116</f>
        <v>0</v>
      </c>
      <c r="Y48" s="39">
        <f>資料儲存!I4116</f>
        <v>0</v>
      </c>
      <c r="Z48" s="39">
        <f>資料儲存!J4116</f>
        <v>0</v>
      </c>
      <c r="AA48" s="58"/>
      <c r="AB48" s="62">
        <v>5</v>
      </c>
      <c r="AC48" s="39">
        <f>資料儲存!D4176</f>
        <v>0</v>
      </c>
      <c r="AD48" s="39">
        <f>資料儲存!E4176</f>
        <v>0</v>
      </c>
      <c r="AE48" s="39">
        <f>資料儲存!F4176</f>
        <v>0</v>
      </c>
      <c r="AF48" s="39">
        <f>資料儲存!G4176</f>
        <v>0</v>
      </c>
      <c r="AG48" s="39">
        <f>資料儲存!H4176</f>
        <v>0</v>
      </c>
      <c r="AH48" s="39">
        <f>資料儲存!I4176</f>
        <v>0</v>
      </c>
      <c r="AI48" s="39">
        <f>資料儲存!J4176</f>
        <v>0</v>
      </c>
      <c r="AJ48" s="58"/>
      <c r="AK48" s="62">
        <v>5</v>
      </c>
      <c r="AL48" s="39">
        <f>資料儲存!D4236</f>
        <v>0</v>
      </c>
      <c r="AM48" s="39">
        <f>資料儲存!E4236</f>
        <v>0</v>
      </c>
      <c r="AN48" s="39">
        <f>資料儲存!F4236</f>
        <v>0</v>
      </c>
      <c r="AO48" s="39">
        <f>資料儲存!G4236</f>
        <v>0</v>
      </c>
      <c r="AP48" s="39">
        <f>資料儲存!H4236</f>
        <v>0</v>
      </c>
      <c r="AQ48" s="39">
        <f>資料儲存!I4236</f>
        <v>0</v>
      </c>
      <c r="AR48" s="39">
        <f>資料儲存!J4236</f>
        <v>0</v>
      </c>
      <c r="AT48" s="62">
        <v>5</v>
      </c>
      <c r="AU48" s="39">
        <f>資料儲存!D4296</f>
        <v>0</v>
      </c>
      <c r="AV48" s="39">
        <f>資料儲存!E4296</f>
        <v>0</v>
      </c>
      <c r="AW48" s="39">
        <f>資料儲存!F4296</f>
        <v>0</v>
      </c>
      <c r="AX48" s="39">
        <f>資料儲存!G4296</f>
        <v>0</v>
      </c>
      <c r="AY48" s="39">
        <f>資料儲存!H4296</f>
        <v>0</v>
      </c>
      <c r="AZ48" s="39">
        <f>資料儲存!I4296</f>
        <v>0</v>
      </c>
      <c r="BA48" s="39">
        <f>資料儲存!J4296</f>
        <v>0</v>
      </c>
    </row>
    <row r="49" spans="1:53" s="59" customFormat="1" ht="16" thickBot="1">
      <c r="A49" s="62">
        <v>6</v>
      </c>
      <c r="B49" s="39">
        <f>資料儲存!D3997</f>
        <v>0</v>
      </c>
      <c r="C49" s="39">
        <f>資料儲存!E3997</f>
        <v>0</v>
      </c>
      <c r="D49" s="39">
        <f>資料儲存!F3997</f>
        <v>0</v>
      </c>
      <c r="E49" s="39">
        <f>資料儲存!G3997</f>
        <v>0</v>
      </c>
      <c r="F49" s="39">
        <f>資料儲存!H3997</f>
        <v>0</v>
      </c>
      <c r="G49" s="39">
        <f>資料儲存!I3997</f>
        <v>0</v>
      </c>
      <c r="H49" s="39">
        <f>資料儲存!J3997</f>
        <v>0</v>
      </c>
      <c r="I49" s="58"/>
      <c r="J49" s="62">
        <v>6</v>
      </c>
      <c r="K49" s="39">
        <f>資料儲存!D4057</f>
        <v>0</v>
      </c>
      <c r="L49" s="39">
        <f>資料儲存!E4057</f>
        <v>0</v>
      </c>
      <c r="M49" s="39">
        <f>資料儲存!F4057</f>
        <v>0</v>
      </c>
      <c r="N49" s="39">
        <f>資料儲存!G4057</f>
        <v>0</v>
      </c>
      <c r="O49" s="39">
        <f>資料儲存!H4057</f>
        <v>0</v>
      </c>
      <c r="P49" s="39">
        <f>資料儲存!I4057</f>
        <v>0</v>
      </c>
      <c r="Q49" s="39">
        <f>資料儲存!J4057</f>
        <v>0</v>
      </c>
      <c r="R49" s="58"/>
      <c r="S49" s="62">
        <v>6</v>
      </c>
      <c r="T49" s="39">
        <f>資料儲存!D4117</f>
        <v>0</v>
      </c>
      <c r="U49" s="39">
        <f>資料儲存!E4117</f>
        <v>0</v>
      </c>
      <c r="V49" s="39">
        <f>資料儲存!F4117</f>
        <v>0</v>
      </c>
      <c r="W49" s="39">
        <f>資料儲存!G4117</f>
        <v>0</v>
      </c>
      <c r="X49" s="39">
        <f>資料儲存!H4117</f>
        <v>0</v>
      </c>
      <c r="Y49" s="39">
        <f>資料儲存!I4117</f>
        <v>0</v>
      </c>
      <c r="Z49" s="39">
        <f>資料儲存!J4117</f>
        <v>0</v>
      </c>
      <c r="AA49" s="58"/>
      <c r="AB49" s="62">
        <v>6</v>
      </c>
      <c r="AC49" s="39">
        <f>資料儲存!D4177</f>
        <v>0</v>
      </c>
      <c r="AD49" s="39">
        <f>資料儲存!E4177</f>
        <v>0</v>
      </c>
      <c r="AE49" s="39">
        <f>資料儲存!F4177</f>
        <v>0</v>
      </c>
      <c r="AF49" s="39">
        <f>資料儲存!G4177</f>
        <v>0</v>
      </c>
      <c r="AG49" s="39">
        <f>資料儲存!H4177</f>
        <v>0</v>
      </c>
      <c r="AH49" s="39">
        <f>資料儲存!I4177</f>
        <v>0</v>
      </c>
      <c r="AI49" s="39">
        <f>資料儲存!J4177</f>
        <v>0</v>
      </c>
      <c r="AJ49" s="58"/>
      <c r="AK49" s="62">
        <v>6</v>
      </c>
      <c r="AL49" s="39">
        <f>資料儲存!D4237</f>
        <v>0</v>
      </c>
      <c r="AM49" s="39">
        <f>資料儲存!E4237</f>
        <v>0</v>
      </c>
      <c r="AN49" s="39">
        <f>資料儲存!F4237</f>
        <v>0</v>
      </c>
      <c r="AO49" s="39">
        <f>資料儲存!G4237</f>
        <v>0</v>
      </c>
      <c r="AP49" s="39">
        <f>資料儲存!H4237</f>
        <v>0</v>
      </c>
      <c r="AQ49" s="39">
        <f>資料儲存!I4237</f>
        <v>0</v>
      </c>
      <c r="AR49" s="39">
        <f>資料儲存!J4237</f>
        <v>0</v>
      </c>
      <c r="AT49" s="62">
        <v>6</v>
      </c>
      <c r="AU49" s="39">
        <f>資料儲存!D4297</f>
        <v>0</v>
      </c>
      <c r="AV49" s="39">
        <f>資料儲存!E4297</f>
        <v>0</v>
      </c>
      <c r="AW49" s="39">
        <f>資料儲存!F4297</f>
        <v>0</v>
      </c>
      <c r="AX49" s="39">
        <f>資料儲存!G4297</f>
        <v>0</v>
      </c>
      <c r="AY49" s="39">
        <f>資料儲存!H4297</f>
        <v>0</v>
      </c>
      <c r="AZ49" s="39">
        <f>資料儲存!I4297</f>
        <v>0</v>
      </c>
      <c r="BA49" s="39">
        <f>資料儲存!J4297</f>
        <v>0</v>
      </c>
    </row>
    <row r="50" spans="1:53" s="59" customFormat="1" ht="16" thickBot="1">
      <c r="A50" s="62">
        <v>7</v>
      </c>
      <c r="B50" s="39">
        <f>資料儲存!D3998</f>
        <v>0</v>
      </c>
      <c r="C50" s="39">
        <f>資料儲存!E3998</f>
        <v>0</v>
      </c>
      <c r="D50" s="39">
        <f>資料儲存!F3998</f>
        <v>0</v>
      </c>
      <c r="E50" s="39">
        <f>資料儲存!G3998</f>
        <v>0</v>
      </c>
      <c r="F50" s="39">
        <f>資料儲存!H3998</f>
        <v>0</v>
      </c>
      <c r="G50" s="39">
        <f>資料儲存!I3998</f>
        <v>0</v>
      </c>
      <c r="H50" s="39">
        <f>資料儲存!J3998</f>
        <v>0</v>
      </c>
      <c r="I50" s="58"/>
      <c r="J50" s="62">
        <v>7</v>
      </c>
      <c r="K50" s="39">
        <f>資料儲存!D4058</f>
        <v>0</v>
      </c>
      <c r="L50" s="39">
        <f>資料儲存!E4058</f>
        <v>0</v>
      </c>
      <c r="M50" s="39">
        <f>資料儲存!F4058</f>
        <v>0</v>
      </c>
      <c r="N50" s="39">
        <f>資料儲存!G4058</f>
        <v>0</v>
      </c>
      <c r="O50" s="39">
        <f>資料儲存!H4058</f>
        <v>0</v>
      </c>
      <c r="P50" s="39">
        <f>資料儲存!I4058</f>
        <v>0</v>
      </c>
      <c r="Q50" s="39">
        <f>資料儲存!J4058</f>
        <v>0</v>
      </c>
      <c r="R50" s="58"/>
      <c r="S50" s="62">
        <v>7</v>
      </c>
      <c r="T50" s="39">
        <f>資料儲存!D4118</f>
        <v>0</v>
      </c>
      <c r="U50" s="39">
        <f>資料儲存!E4118</f>
        <v>0</v>
      </c>
      <c r="V50" s="39">
        <f>資料儲存!F4118</f>
        <v>0</v>
      </c>
      <c r="W50" s="39">
        <f>資料儲存!G4118</f>
        <v>0</v>
      </c>
      <c r="X50" s="39">
        <f>資料儲存!H4118</f>
        <v>0</v>
      </c>
      <c r="Y50" s="39">
        <f>資料儲存!I4118</f>
        <v>0</v>
      </c>
      <c r="Z50" s="39">
        <f>資料儲存!J4118</f>
        <v>0</v>
      </c>
      <c r="AA50" s="58"/>
      <c r="AB50" s="62">
        <v>7</v>
      </c>
      <c r="AC50" s="39">
        <f>資料儲存!D4178</f>
        <v>0</v>
      </c>
      <c r="AD50" s="39">
        <f>資料儲存!E4178</f>
        <v>0</v>
      </c>
      <c r="AE50" s="39">
        <f>資料儲存!F4178</f>
        <v>0</v>
      </c>
      <c r="AF50" s="39">
        <f>資料儲存!G4178</f>
        <v>0</v>
      </c>
      <c r="AG50" s="39">
        <f>資料儲存!H4178</f>
        <v>0</v>
      </c>
      <c r="AH50" s="39">
        <f>資料儲存!I4178</f>
        <v>0</v>
      </c>
      <c r="AI50" s="39">
        <f>資料儲存!J4178</f>
        <v>0</v>
      </c>
      <c r="AJ50" s="58"/>
      <c r="AK50" s="62">
        <v>7</v>
      </c>
      <c r="AL50" s="39">
        <f>資料儲存!D4238</f>
        <v>0</v>
      </c>
      <c r="AM50" s="39">
        <f>資料儲存!E4238</f>
        <v>0</v>
      </c>
      <c r="AN50" s="39">
        <f>資料儲存!F4238</f>
        <v>0</v>
      </c>
      <c r="AO50" s="39">
        <f>資料儲存!G4238</f>
        <v>0</v>
      </c>
      <c r="AP50" s="39">
        <f>資料儲存!H4238</f>
        <v>0</v>
      </c>
      <c r="AQ50" s="39">
        <f>資料儲存!I4238</f>
        <v>0</v>
      </c>
      <c r="AR50" s="39">
        <f>資料儲存!J4238</f>
        <v>0</v>
      </c>
      <c r="AT50" s="62">
        <v>7</v>
      </c>
      <c r="AU50" s="39">
        <f>資料儲存!D4298</f>
        <v>0</v>
      </c>
      <c r="AV50" s="39">
        <f>資料儲存!E4298</f>
        <v>0</v>
      </c>
      <c r="AW50" s="39">
        <f>資料儲存!F4298</f>
        <v>0</v>
      </c>
      <c r="AX50" s="39">
        <f>資料儲存!G4298</f>
        <v>0</v>
      </c>
      <c r="AY50" s="39">
        <f>資料儲存!H4298</f>
        <v>0</v>
      </c>
      <c r="AZ50" s="39">
        <f>資料儲存!I4298</f>
        <v>0</v>
      </c>
      <c r="BA50" s="39">
        <f>資料儲存!J4298</f>
        <v>0</v>
      </c>
    </row>
    <row r="51" spans="1:53" s="59" customFormat="1" ht="16" thickBot="1">
      <c r="A51" s="62">
        <v>8</v>
      </c>
      <c r="B51" s="39">
        <f>資料儲存!D3999</f>
        <v>0</v>
      </c>
      <c r="C51" s="39">
        <f>資料儲存!E3999</f>
        <v>0</v>
      </c>
      <c r="D51" s="39">
        <f>資料儲存!F3999</f>
        <v>0</v>
      </c>
      <c r="E51" s="39">
        <f>資料儲存!G3999</f>
        <v>0</v>
      </c>
      <c r="F51" s="39">
        <f>資料儲存!H3999</f>
        <v>0</v>
      </c>
      <c r="G51" s="39">
        <f>資料儲存!I3999</f>
        <v>0</v>
      </c>
      <c r="H51" s="39">
        <f>資料儲存!J3999</f>
        <v>0</v>
      </c>
      <c r="I51" s="58"/>
      <c r="J51" s="62">
        <v>8</v>
      </c>
      <c r="K51" s="39">
        <f>資料儲存!D4059</f>
        <v>0</v>
      </c>
      <c r="L51" s="39">
        <f>資料儲存!E4059</f>
        <v>0</v>
      </c>
      <c r="M51" s="39">
        <f>資料儲存!F4059</f>
        <v>0</v>
      </c>
      <c r="N51" s="39">
        <f>資料儲存!G4059</f>
        <v>0</v>
      </c>
      <c r="O51" s="39">
        <f>資料儲存!H4059</f>
        <v>0</v>
      </c>
      <c r="P51" s="39">
        <f>資料儲存!I4059</f>
        <v>0</v>
      </c>
      <c r="Q51" s="39">
        <f>資料儲存!J4059</f>
        <v>0</v>
      </c>
      <c r="R51" s="58"/>
      <c r="S51" s="62">
        <v>8</v>
      </c>
      <c r="T51" s="39">
        <f>資料儲存!D4119</f>
        <v>0</v>
      </c>
      <c r="U51" s="39">
        <f>資料儲存!E4119</f>
        <v>0</v>
      </c>
      <c r="V51" s="39">
        <f>資料儲存!F4119</f>
        <v>0</v>
      </c>
      <c r="W51" s="39">
        <f>資料儲存!G4119</f>
        <v>0</v>
      </c>
      <c r="X51" s="39">
        <f>資料儲存!H4119</f>
        <v>0</v>
      </c>
      <c r="Y51" s="39">
        <f>資料儲存!I4119</f>
        <v>0</v>
      </c>
      <c r="Z51" s="39">
        <f>資料儲存!J4119</f>
        <v>0</v>
      </c>
      <c r="AA51" s="58"/>
      <c r="AB51" s="62">
        <v>8</v>
      </c>
      <c r="AC51" s="39">
        <f>資料儲存!D4179</f>
        <v>0</v>
      </c>
      <c r="AD51" s="39">
        <f>資料儲存!E4179</f>
        <v>0</v>
      </c>
      <c r="AE51" s="39">
        <f>資料儲存!F4179</f>
        <v>0</v>
      </c>
      <c r="AF51" s="39">
        <f>資料儲存!G4179</f>
        <v>0</v>
      </c>
      <c r="AG51" s="39">
        <f>資料儲存!H4179</f>
        <v>0</v>
      </c>
      <c r="AH51" s="39">
        <f>資料儲存!I4179</f>
        <v>0</v>
      </c>
      <c r="AI51" s="39">
        <f>資料儲存!J4179</f>
        <v>0</v>
      </c>
      <c r="AJ51" s="58"/>
      <c r="AK51" s="62">
        <v>8</v>
      </c>
      <c r="AL51" s="39">
        <f>資料儲存!D4239</f>
        <v>0</v>
      </c>
      <c r="AM51" s="39">
        <f>資料儲存!E4239</f>
        <v>0</v>
      </c>
      <c r="AN51" s="39">
        <f>資料儲存!F4239</f>
        <v>0</v>
      </c>
      <c r="AO51" s="39">
        <f>資料儲存!G4239</f>
        <v>0</v>
      </c>
      <c r="AP51" s="39">
        <f>資料儲存!H4239</f>
        <v>0</v>
      </c>
      <c r="AQ51" s="39">
        <f>資料儲存!I4239</f>
        <v>0</v>
      </c>
      <c r="AR51" s="39">
        <f>資料儲存!J4239</f>
        <v>0</v>
      </c>
      <c r="AT51" s="62">
        <v>8</v>
      </c>
      <c r="AU51" s="39">
        <f>資料儲存!D4299</f>
        <v>0</v>
      </c>
      <c r="AV51" s="39">
        <f>資料儲存!E4299</f>
        <v>0</v>
      </c>
      <c r="AW51" s="39">
        <f>資料儲存!F4299</f>
        <v>0</v>
      </c>
      <c r="AX51" s="39">
        <f>資料儲存!G4299</f>
        <v>0</v>
      </c>
      <c r="AY51" s="39">
        <f>資料儲存!H4299</f>
        <v>0</v>
      </c>
      <c r="AZ51" s="39">
        <f>資料儲存!I4299</f>
        <v>0</v>
      </c>
      <c r="BA51" s="39">
        <f>資料儲存!J4299</f>
        <v>0</v>
      </c>
    </row>
    <row r="52" spans="1:53" s="59" customFormat="1" ht="16" thickBot="1">
      <c r="A52" s="62">
        <v>9</v>
      </c>
      <c r="B52" s="39">
        <f>資料儲存!D4000</f>
        <v>0</v>
      </c>
      <c r="C52" s="39">
        <f>資料儲存!E4000</f>
        <v>0</v>
      </c>
      <c r="D52" s="39">
        <f>資料儲存!F4000</f>
        <v>0</v>
      </c>
      <c r="E52" s="39">
        <f>資料儲存!G4000</f>
        <v>0</v>
      </c>
      <c r="F52" s="39">
        <f>資料儲存!H4000</f>
        <v>0</v>
      </c>
      <c r="G52" s="39">
        <f>資料儲存!I4000</f>
        <v>0</v>
      </c>
      <c r="H52" s="39">
        <f>資料儲存!J4000</f>
        <v>0</v>
      </c>
      <c r="I52" s="58"/>
      <c r="J52" s="62">
        <v>9</v>
      </c>
      <c r="K52" s="39">
        <f>資料儲存!D4060</f>
        <v>0</v>
      </c>
      <c r="L52" s="39">
        <f>資料儲存!E4060</f>
        <v>0</v>
      </c>
      <c r="M52" s="39">
        <f>資料儲存!F4060</f>
        <v>0</v>
      </c>
      <c r="N52" s="39">
        <f>資料儲存!G4060</f>
        <v>0</v>
      </c>
      <c r="O52" s="39">
        <f>資料儲存!H4060</f>
        <v>0</v>
      </c>
      <c r="P52" s="39">
        <f>資料儲存!I4060</f>
        <v>0</v>
      </c>
      <c r="Q52" s="39">
        <f>資料儲存!J4060</f>
        <v>0</v>
      </c>
      <c r="R52" s="58"/>
      <c r="S52" s="62">
        <v>9</v>
      </c>
      <c r="T52" s="39">
        <f>資料儲存!D4120</f>
        <v>0</v>
      </c>
      <c r="U52" s="39">
        <f>資料儲存!E4120</f>
        <v>0</v>
      </c>
      <c r="V52" s="39">
        <f>資料儲存!F4120</f>
        <v>0</v>
      </c>
      <c r="W52" s="39">
        <f>資料儲存!G4120</f>
        <v>0</v>
      </c>
      <c r="X52" s="39">
        <f>資料儲存!H4120</f>
        <v>0</v>
      </c>
      <c r="Y52" s="39">
        <f>資料儲存!I4120</f>
        <v>0</v>
      </c>
      <c r="Z52" s="39">
        <f>資料儲存!J4120</f>
        <v>0</v>
      </c>
      <c r="AA52" s="58"/>
      <c r="AB52" s="62">
        <v>9</v>
      </c>
      <c r="AC52" s="39">
        <f>資料儲存!D4180</f>
        <v>0</v>
      </c>
      <c r="AD52" s="39">
        <f>資料儲存!E4180</f>
        <v>0</v>
      </c>
      <c r="AE52" s="39">
        <f>資料儲存!F4180</f>
        <v>0</v>
      </c>
      <c r="AF52" s="39">
        <f>資料儲存!G4180</f>
        <v>0</v>
      </c>
      <c r="AG52" s="39">
        <f>資料儲存!H4180</f>
        <v>0</v>
      </c>
      <c r="AH52" s="39">
        <f>資料儲存!I4180</f>
        <v>0</v>
      </c>
      <c r="AI52" s="39">
        <f>資料儲存!J4180</f>
        <v>0</v>
      </c>
      <c r="AJ52" s="58"/>
      <c r="AK52" s="62">
        <v>9</v>
      </c>
      <c r="AL52" s="39">
        <f>資料儲存!D4240</f>
        <v>0</v>
      </c>
      <c r="AM52" s="39">
        <f>資料儲存!E4240</f>
        <v>0</v>
      </c>
      <c r="AN52" s="39">
        <f>資料儲存!F4240</f>
        <v>0</v>
      </c>
      <c r="AO52" s="39">
        <f>資料儲存!G4240</f>
        <v>0</v>
      </c>
      <c r="AP52" s="39">
        <f>資料儲存!H4240</f>
        <v>0</v>
      </c>
      <c r="AQ52" s="39">
        <f>資料儲存!I4240</f>
        <v>0</v>
      </c>
      <c r="AR52" s="39">
        <f>資料儲存!J4240</f>
        <v>0</v>
      </c>
      <c r="AT52" s="62">
        <v>9</v>
      </c>
      <c r="AU52" s="39">
        <f>資料儲存!D4300</f>
        <v>0</v>
      </c>
      <c r="AV52" s="39">
        <f>資料儲存!E4300</f>
        <v>0</v>
      </c>
      <c r="AW52" s="39">
        <f>資料儲存!F4300</f>
        <v>0</v>
      </c>
      <c r="AX52" s="39">
        <f>資料儲存!G4300</f>
        <v>0</v>
      </c>
      <c r="AY52" s="39">
        <f>資料儲存!H4300</f>
        <v>0</v>
      </c>
      <c r="AZ52" s="39">
        <f>資料儲存!I4300</f>
        <v>0</v>
      </c>
      <c r="BA52" s="39">
        <f>資料儲存!J4300</f>
        <v>0</v>
      </c>
    </row>
    <row r="53" spans="1:53" s="59" customFormat="1" ht="16" thickBot="1">
      <c r="A53" s="62">
        <v>10</v>
      </c>
      <c r="B53" s="39">
        <f>資料儲存!D4001</f>
        <v>0</v>
      </c>
      <c r="C53" s="39">
        <f>資料儲存!E4001</f>
        <v>0</v>
      </c>
      <c r="D53" s="39">
        <f>資料儲存!F4001</f>
        <v>0</v>
      </c>
      <c r="E53" s="39">
        <f>資料儲存!G4001</f>
        <v>0</v>
      </c>
      <c r="F53" s="39">
        <f>資料儲存!H4001</f>
        <v>0</v>
      </c>
      <c r="G53" s="39">
        <f>資料儲存!I4001</f>
        <v>0</v>
      </c>
      <c r="H53" s="39">
        <f>資料儲存!J4001</f>
        <v>0</v>
      </c>
      <c r="I53" s="58"/>
      <c r="J53" s="62">
        <v>10</v>
      </c>
      <c r="K53" s="39">
        <f>資料儲存!D4061</f>
        <v>0</v>
      </c>
      <c r="L53" s="39">
        <f>資料儲存!E4061</f>
        <v>0</v>
      </c>
      <c r="M53" s="39">
        <f>資料儲存!F4061</f>
        <v>0</v>
      </c>
      <c r="N53" s="39">
        <f>資料儲存!G4061</f>
        <v>0</v>
      </c>
      <c r="O53" s="39">
        <f>資料儲存!H4061</f>
        <v>0</v>
      </c>
      <c r="P53" s="39">
        <f>資料儲存!I4061</f>
        <v>0</v>
      </c>
      <c r="Q53" s="39">
        <f>資料儲存!J4061</f>
        <v>0</v>
      </c>
      <c r="R53" s="58"/>
      <c r="S53" s="62">
        <v>10</v>
      </c>
      <c r="T53" s="39">
        <f>資料儲存!D4121</f>
        <v>0</v>
      </c>
      <c r="U53" s="39">
        <f>資料儲存!E4121</f>
        <v>0</v>
      </c>
      <c r="V53" s="39">
        <f>資料儲存!F4121</f>
        <v>0</v>
      </c>
      <c r="W53" s="39">
        <f>資料儲存!G4121</f>
        <v>0</v>
      </c>
      <c r="X53" s="39">
        <f>資料儲存!H4121</f>
        <v>0</v>
      </c>
      <c r="Y53" s="39">
        <f>資料儲存!I4121</f>
        <v>0</v>
      </c>
      <c r="Z53" s="39">
        <f>資料儲存!J4121</f>
        <v>0</v>
      </c>
      <c r="AA53" s="58"/>
      <c r="AB53" s="62">
        <v>10</v>
      </c>
      <c r="AC53" s="39">
        <f>資料儲存!D4181</f>
        <v>0</v>
      </c>
      <c r="AD53" s="39">
        <f>資料儲存!E4181</f>
        <v>0</v>
      </c>
      <c r="AE53" s="39">
        <f>資料儲存!F4181</f>
        <v>0</v>
      </c>
      <c r="AF53" s="39">
        <f>資料儲存!G4181</f>
        <v>0</v>
      </c>
      <c r="AG53" s="39">
        <f>資料儲存!H4181</f>
        <v>0</v>
      </c>
      <c r="AH53" s="39">
        <f>資料儲存!I4181</f>
        <v>0</v>
      </c>
      <c r="AI53" s="39">
        <f>資料儲存!J4181</f>
        <v>0</v>
      </c>
      <c r="AJ53" s="58"/>
      <c r="AK53" s="62">
        <v>10</v>
      </c>
      <c r="AL53" s="39">
        <f>資料儲存!D4241</f>
        <v>0</v>
      </c>
      <c r="AM53" s="39">
        <f>資料儲存!E4241</f>
        <v>0</v>
      </c>
      <c r="AN53" s="39">
        <f>資料儲存!F4241</f>
        <v>0</v>
      </c>
      <c r="AO53" s="39">
        <f>資料儲存!G4241</f>
        <v>0</v>
      </c>
      <c r="AP53" s="39">
        <f>資料儲存!H4241</f>
        <v>0</v>
      </c>
      <c r="AQ53" s="39">
        <f>資料儲存!I4241</f>
        <v>0</v>
      </c>
      <c r="AR53" s="39">
        <f>資料儲存!J4241</f>
        <v>0</v>
      </c>
      <c r="AT53" s="62">
        <v>10</v>
      </c>
      <c r="AU53" s="39">
        <f>資料儲存!D4301</f>
        <v>0</v>
      </c>
      <c r="AV53" s="39">
        <f>資料儲存!E4301</f>
        <v>0</v>
      </c>
      <c r="AW53" s="39">
        <f>資料儲存!F4301</f>
        <v>0</v>
      </c>
      <c r="AX53" s="39">
        <f>資料儲存!G4301</f>
        <v>0</v>
      </c>
      <c r="AY53" s="39">
        <f>資料儲存!H4301</f>
        <v>0</v>
      </c>
      <c r="AZ53" s="39">
        <f>資料儲存!I4301</f>
        <v>0</v>
      </c>
      <c r="BA53" s="39">
        <f>資料儲存!J4301</f>
        <v>0</v>
      </c>
    </row>
    <row r="54" spans="1:53" s="59" customFormat="1" ht="16" thickBot="1">
      <c r="A54" s="62">
        <v>11</v>
      </c>
      <c r="B54" s="39">
        <f>資料儲存!D4002</f>
        <v>0</v>
      </c>
      <c r="C54" s="39">
        <f>資料儲存!E4002</f>
        <v>0</v>
      </c>
      <c r="D54" s="39">
        <f>資料儲存!F4002</f>
        <v>0</v>
      </c>
      <c r="E54" s="39">
        <f>資料儲存!G4002</f>
        <v>0</v>
      </c>
      <c r="F54" s="39">
        <f>資料儲存!H4002</f>
        <v>0</v>
      </c>
      <c r="G54" s="39">
        <f>資料儲存!I4002</f>
        <v>0</v>
      </c>
      <c r="H54" s="39">
        <f>資料儲存!J4002</f>
        <v>0</v>
      </c>
      <c r="I54" s="58"/>
      <c r="J54" s="62">
        <v>11</v>
      </c>
      <c r="K54" s="39">
        <f>資料儲存!D4062</f>
        <v>0</v>
      </c>
      <c r="L54" s="39">
        <f>資料儲存!E4062</f>
        <v>0</v>
      </c>
      <c r="M54" s="39">
        <f>資料儲存!F4062</f>
        <v>0</v>
      </c>
      <c r="N54" s="39">
        <f>資料儲存!G4062</f>
        <v>0</v>
      </c>
      <c r="O54" s="39">
        <f>資料儲存!H4062</f>
        <v>0</v>
      </c>
      <c r="P54" s="39">
        <f>資料儲存!I4062</f>
        <v>0</v>
      </c>
      <c r="Q54" s="39">
        <f>資料儲存!J4062</f>
        <v>0</v>
      </c>
      <c r="R54" s="58"/>
      <c r="S54" s="62">
        <v>11</v>
      </c>
      <c r="T54" s="39">
        <f>資料儲存!D4122</f>
        <v>0</v>
      </c>
      <c r="U54" s="39">
        <f>資料儲存!E4122</f>
        <v>0</v>
      </c>
      <c r="V54" s="39">
        <f>資料儲存!F4122</f>
        <v>0</v>
      </c>
      <c r="W54" s="39">
        <f>資料儲存!G4122</f>
        <v>0</v>
      </c>
      <c r="X54" s="39">
        <f>資料儲存!H4122</f>
        <v>0</v>
      </c>
      <c r="Y54" s="39">
        <f>資料儲存!I4122</f>
        <v>0</v>
      </c>
      <c r="Z54" s="39">
        <f>資料儲存!J4122</f>
        <v>0</v>
      </c>
      <c r="AA54" s="58"/>
      <c r="AB54" s="62">
        <v>11</v>
      </c>
      <c r="AC54" s="39">
        <f>資料儲存!D4182</f>
        <v>0</v>
      </c>
      <c r="AD54" s="39">
        <f>資料儲存!E4182</f>
        <v>0</v>
      </c>
      <c r="AE54" s="39">
        <f>資料儲存!F4182</f>
        <v>0</v>
      </c>
      <c r="AF54" s="39">
        <f>資料儲存!G4182</f>
        <v>0</v>
      </c>
      <c r="AG54" s="39">
        <f>資料儲存!H4182</f>
        <v>0</v>
      </c>
      <c r="AH54" s="39">
        <f>資料儲存!I4182</f>
        <v>0</v>
      </c>
      <c r="AI54" s="39">
        <f>資料儲存!J4182</f>
        <v>0</v>
      </c>
      <c r="AJ54" s="58"/>
      <c r="AK54" s="62">
        <v>11</v>
      </c>
      <c r="AL54" s="39">
        <f>資料儲存!D4242</f>
        <v>0</v>
      </c>
      <c r="AM54" s="39">
        <f>資料儲存!E4242</f>
        <v>0</v>
      </c>
      <c r="AN54" s="39">
        <f>資料儲存!F4242</f>
        <v>0</v>
      </c>
      <c r="AO54" s="39">
        <f>資料儲存!G4242</f>
        <v>0</v>
      </c>
      <c r="AP54" s="39">
        <f>資料儲存!H4242</f>
        <v>0</v>
      </c>
      <c r="AQ54" s="39">
        <f>資料儲存!I4242</f>
        <v>0</v>
      </c>
      <c r="AR54" s="39">
        <f>資料儲存!J4242</f>
        <v>0</v>
      </c>
      <c r="AT54" s="62">
        <v>11</v>
      </c>
      <c r="AU54" s="39">
        <f>資料儲存!D4302</f>
        <v>0</v>
      </c>
      <c r="AV54" s="39">
        <f>資料儲存!E4302</f>
        <v>0</v>
      </c>
      <c r="AW54" s="39">
        <f>資料儲存!F4302</f>
        <v>0</v>
      </c>
      <c r="AX54" s="39">
        <f>資料儲存!G4302</f>
        <v>0</v>
      </c>
      <c r="AY54" s="39">
        <f>資料儲存!H4302</f>
        <v>0</v>
      </c>
      <c r="AZ54" s="39">
        <f>資料儲存!I4302</f>
        <v>0</v>
      </c>
      <c r="BA54" s="39">
        <f>資料儲存!J4302</f>
        <v>0</v>
      </c>
    </row>
    <row r="55" spans="1:53" s="59" customFormat="1" ht="16" thickBot="1">
      <c r="A55" s="62">
        <v>12</v>
      </c>
      <c r="B55" s="39">
        <f>資料儲存!D4003</f>
        <v>0</v>
      </c>
      <c r="C55" s="39">
        <f>資料儲存!E4003</f>
        <v>0</v>
      </c>
      <c r="D55" s="39">
        <f>資料儲存!F4003</f>
        <v>0</v>
      </c>
      <c r="E55" s="39">
        <f>資料儲存!G4003</f>
        <v>0</v>
      </c>
      <c r="F55" s="39">
        <f>資料儲存!H4003</f>
        <v>0</v>
      </c>
      <c r="G55" s="39">
        <f>資料儲存!I4003</f>
        <v>0</v>
      </c>
      <c r="H55" s="39">
        <f>資料儲存!J4003</f>
        <v>0</v>
      </c>
      <c r="I55" s="58"/>
      <c r="J55" s="62">
        <v>12</v>
      </c>
      <c r="K55" s="39">
        <f>資料儲存!D4063</f>
        <v>0</v>
      </c>
      <c r="L55" s="39">
        <f>資料儲存!E4063</f>
        <v>0</v>
      </c>
      <c r="M55" s="39">
        <f>資料儲存!F4063</f>
        <v>0</v>
      </c>
      <c r="N55" s="39">
        <f>資料儲存!G4063</f>
        <v>0</v>
      </c>
      <c r="O55" s="39">
        <f>資料儲存!H4063</f>
        <v>0</v>
      </c>
      <c r="P55" s="39">
        <f>資料儲存!I4063</f>
        <v>0</v>
      </c>
      <c r="Q55" s="39">
        <f>資料儲存!J4063</f>
        <v>0</v>
      </c>
      <c r="R55" s="58"/>
      <c r="S55" s="62">
        <v>12</v>
      </c>
      <c r="T55" s="39">
        <f>資料儲存!D4123</f>
        <v>0</v>
      </c>
      <c r="U55" s="39">
        <f>資料儲存!E4123</f>
        <v>0</v>
      </c>
      <c r="V55" s="39">
        <f>資料儲存!F4123</f>
        <v>0</v>
      </c>
      <c r="W55" s="39">
        <f>資料儲存!G4123</f>
        <v>0</v>
      </c>
      <c r="X55" s="39">
        <f>資料儲存!H4123</f>
        <v>0</v>
      </c>
      <c r="Y55" s="39">
        <f>資料儲存!I4123</f>
        <v>0</v>
      </c>
      <c r="Z55" s="39">
        <f>資料儲存!J4123</f>
        <v>0</v>
      </c>
      <c r="AA55" s="58"/>
      <c r="AB55" s="62">
        <v>12</v>
      </c>
      <c r="AC55" s="39">
        <f>資料儲存!D4183</f>
        <v>0</v>
      </c>
      <c r="AD55" s="39">
        <f>資料儲存!E4183</f>
        <v>0</v>
      </c>
      <c r="AE55" s="39">
        <f>資料儲存!F4183</f>
        <v>0</v>
      </c>
      <c r="AF55" s="39">
        <f>資料儲存!G4183</f>
        <v>0</v>
      </c>
      <c r="AG55" s="39">
        <f>資料儲存!H4183</f>
        <v>0</v>
      </c>
      <c r="AH55" s="39">
        <f>資料儲存!I4183</f>
        <v>0</v>
      </c>
      <c r="AI55" s="39">
        <f>資料儲存!J4183</f>
        <v>0</v>
      </c>
      <c r="AJ55" s="58"/>
      <c r="AK55" s="62">
        <v>12</v>
      </c>
      <c r="AL55" s="39">
        <f>資料儲存!D4243</f>
        <v>0</v>
      </c>
      <c r="AM55" s="39">
        <f>資料儲存!E4243</f>
        <v>0</v>
      </c>
      <c r="AN55" s="39">
        <f>資料儲存!F4243</f>
        <v>0</v>
      </c>
      <c r="AO55" s="39">
        <f>資料儲存!G4243</f>
        <v>0</v>
      </c>
      <c r="AP55" s="39">
        <f>資料儲存!H4243</f>
        <v>0</v>
      </c>
      <c r="AQ55" s="39">
        <f>資料儲存!I4243</f>
        <v>0</v>
      </c>
      <c r="AR55" s="39">
        <f>資料儲存!J4243</f>
        <v>0</v>
      </c>
      <c r="AT55" s="62">
        <v>12</v>
      </c>
      <c r="AU55" s="39">
        <f>資料儲存!D4303</f>
        <v>0</v>
      </c>
      <c r="AV55" s="39">
        <f>資料儲存!E4303</f>
        <v>0</v>
      </c>
      <c r="AW55" s="39">
        <f>資料儲存!F4303</f>
        <v>0</v>
      </c>
      <c r="AX55" s="39">
        <f>資料儲存!G4303</f>
        <v>0</v>
      </c>
      <c r="AY55" s="39">
        <f>資料儲存!H4303</f>
        <v>0</v>
      </c>
      <c r="AZ55" s="39">
        <f>資料儲存!I4303</f>
        <v>0</v>
      </c>
      <c r="BA55" s="39">
        <f>資料儲存!J4303</f>
        <v>0</v>
      </c>
    </row>
    <row r="56" spans="1:53" s="59" customFormat="1" ht="16" thickBot="1">
      <c r="A56" s="62">
        <v>13</v>
      </c>
      <c r="B56" s="39">
        <f>資料儲存!D4004</f>
        <v>0</v>
      </c>
      <c r="C56" s="39">
        <f>資料儲存!E4004</f>
        <v>0</v>
      </c>
      <c r="D56" s="39">
        <f>資料儲存!F4004</f>
        <v>0</v>
      </c>
      <c r="E56" s="39">
        <f>資料儲存!G4004</f>
        <v>0</v>
      </c>
      <c r="F56" s="39">
        <f>資料儲存!H4004</f>
        <v>0</v>
      </c>
      <c r="G56" s="39">
        <f>資料儲存!I4004</f>
        <v>0</v>
      </c>
      <c r="H56" s="39">
        <f>資料儲存!J4004</f>
        <v>0</v>
      </c>
      <c r="I56" s="58"/>
      <c r="J56" s="62">
        <v>13</v>
      </c>
      <c r="K56" s="39">
        <f>資料儲存!D4064</f>
        <v>0</v>
      </c>
      <c r="L56" s="39">
        <f>資料儲存!E4064</f>
        <v>0</v>
      </c>
      <c r="M56" s="39">
        <f>資料儲存!F4064</f>
        <v>0</v>
      </c>
      <c r="N56" s="39">
        <f>資料儲存!G4064</f>
        <v>0</v>
      </c>
      <c r="O56" s="39">
        <f>資料儲存!H4064</f>
        <v>0</v>
      </c>
      <c r="P56" s="39">
        <f>資料儲存!I4064</f>
        <v>0</v>
      </c>
      <c r="Q56" s="39">
        <f>資料儲存!J4064</f>
        <v>0</v>
      </c>
      <c r="R56" s="58"/>
      <c r="S56" s="62">
        <v>13</v>
      </c>
      <c r="T56" s="39">
        <f>資料儲存!D4124</f>
        <v>0</v>
      </c>
      <c r="U56" s="39">
        <f>資料儲存!E4124</f>
        <v>0</v>
      </c>
      <c r="V56" s="39">
        <f>資料儲存!F4124</f>
        <v>0</v>
      </c>
      <c r="W56" s="39">
        <f>資料儲存!G4124</f>
        <v>0</v>
      </c>
      <c r="X56" s="39">
        <f>資料儲存!H4124</f>
        <v>0</v>
      </c>
      <c r="Y56" s="39">
        <f>資料儲存!I4124</f>
        <v>0</v>
      </c>
      <c r="Z56" s="39">
        <f>資料儲存!J4124</f>
        <v>0</v>
      </c>
      <c r="AA56" s="58"/>
      <c r="AB56" s="62">
        <v>13</v>
      </c>
      <c r="AC56" s="39">
        <f>資料儲存!D4184</f>
        <v>0</v>
      </c>
      <c r="AD56" s="39">
        <f>資料儲存!E4184</f>
        <v>0</v>
      </c>
      <c r="AE56" s="39">
        <f>資料儲存!F4184</f>
        <v>0</v>
      </c>
      <c r="AF56" s="39">
        <f>資料儲存!G4184</f>
        <v>0</v>
      </c>
      <c r="AG56" s="39">
        <f>資料儲存!H4184</f>
        <v>0</v>
      </c>
      <c r="AH56" s="39">
        <f>資料儲存!I4184</f>
        <v>0</v>
      </c>
      <c r="AI56" s="39">
        <f>資料儲存!J4184</f>
        <v>0</v>
      </c>
      <c r="AJ56" s="58"/>
      <c r="AK56" s="62">
        <v>13</v>
      </c>
      <c r="AL56" s="39">
        <f>資料儲存!D4244</f>
        <v>0</v>
      </c>
      <c r="AM56" s="39">
        <f>資料儲存!E4244</f>
        <v>0</v>
      </c>
      <c r="AN56" s="39">
        <f>資料儲存!F4244</f>
        <v>0</v>
      </c>
      <c r="AO56" s="39">
        <f>資料儲存!G4244</f>
        <v>0</v>
      </c>
      <c r="AP56" s="39">
        <f>資料儲存!H4244</f>
        <v>0</v>
      </c>
      <c r="AQ56" s="39">
        <f>資料儲存!I4244</f>
        <v>0</v>
      </c>
      <c r="AR56" s="39">
        <f>資料儲存!J4244</f>
        <v>0</v>
      </c>
      <c r="AT56" s="62">
        <v>13</v>
      </c>
      <c r="AU56" s="39">
        <f>資料儲存!D4304</f>
        <v>0</v>
      </c>
      <c r="AV56" s="39">
        <f>資料儲存!E4304</f>
        <v>0</v>
      </c>
      <c r="AW56" s="39">
        <f>資料儲存!F4304</f>
        <v>0</v>
      </c>
      <c r="AX56" s="39">
        <f>資料儲存!G4304</f>
        <v>0</v>
      </c>
      <c r="AY56" s="39">
        <f>資料儲存!H4304</f>
        <v>0</v>
      </c>
      <c r="AZ56" s="39">
        <f>資料儲存!I4304</f>
        <v>0</v>
      </c>
      <c r="BA56" s="39">
        <f>資料儲存!J4304</f>
        <v>0</v>
      </c>
    </row>
    <row r="57" spans="1:53" s="59" customFormat="1" ht="16" thickBot="1">
      <c r="A57" s="62">
        <v>14</v>
      </c>
      <c r="B57" s="39">
        <f>資料儲存!D4005</f>
        <v>0</v>
      </c>
      <c r="C57" s="39">
        <f>資料儲存!E4005</f>
        <v>0</v>
      </c>
      <c r="D57" s="39">
        <f>資料儲存!F4005</f>
        <v>0</v>
      </c>
      <c r="E57" s="39">
        <f>資料儲存!G4005</f>
        <v>0</v>
      </c>
      <c r="F57" s="39">
        <f>資料儲存!H4005</f>
        <v>0</v>
      </c>
      <c r="G57" s="39">
        <f>資料儲存!I4005</f>
        <v>0</v>
      </c>
      <c r="H57" s="39">
        <f>資料儲存!J4005</f>
        <v>0</v>
      </c>
      <c r="I57" s="58"/>
      <c r="J57" s="62">
        <v>14</v>
      </c>
      <c r="K57" s="39">
        <f>資料儲存!D4065</f>
        <v>0</v>
      </c>
      <c r="L57" s="39">
        <f>資料儲存!E4065</f>
        <v>0</v>
      </c>
      <c r="M57" s="39">
        <f>資料儲存!F4065</f>
        <v>0</v>
      </c>
      <c r="N57" s="39">
        <f>資料儲存!G4065</f>
        <v>0</v>
      </c>
      <c r="O57" s="39">
        <f>資料儲存!H4065</f>
        <v>0</v>
      </c>
      <c r="P57" s="39">
        <f>資料儲存!I4065</f>
        <v>0</v>
      </c>
      <c r="Q57" s="39">
        <f>資料儲存!J4065</f>
        <v>0</v>
      </c>
      <c r="R57" s="58"/>
      <c r="S57" s="62">
        <v>14</v>
      </c>
      <c r="T57" s="39">
        <f>資料儲存!D4125</f>
        <v>0</v>
      </c>
      <c r="U57" s="39">
        <f>資料儲存!E4125</f>
        <v>0</v>
      </c>
      <c r="V57" s="39">
        <f>資料儲存!F4125</f>
        <v>0</v>
      </c>
      <c r="W57" s="39">
        <f>資料儲存!G4125</f>
        <v>0</v>
      </c>
      <c r="X57" s="39">
        <f>資料儲存!H4125</f>
        <v>0</v>
      </c>
      <c r="Y57" s="39">
        <f>資料儲存!I4125</f>
        <v>0</v>
      </c>
      <c r="Z57" s="39">
        <f>資料儲存!J4125</f>
        <v>0</v>
      </c>
      <c r="AA57" s="58"/>
      <c r="AB57" s="62">
        <v>14</v>
      </c>
      <c r="AC57" s="39">
        <f>資料儲存!D4185</f>
        <v>0</v>
      </c>
      <c r="AD57" s="39">
        <f>資料儲存!E4185</f>
        <v>0</v>
      </c>
      <c r="AE57" s="39">
        <f>資料儲存!F4185</f>
        <v>0</v>
      </c>
      <c r="AF57" s="39">
        <f>資料儲存!G4185</f>
        <v>0</v>
      </c>
      <c r="AG57" s="39">
        <f>資料儲存!H4185</f>
        <v>0</v>
      </c>
      <c r="AH57" s="39">
        <f>資料儲存!I4185</f>
        <v>0</v>
      </c>
      <c r="AI57" s="39">
        <f>資料儲存!J4185</f>
        <v>0</v>
      </c>
      <c r="AJ57" s="58"/>
      <c r="AK57" s="62">
        <v>14</v>
      </c>
      <c r="AL57" s="39">
        <f>資料儲存!D4245</f>
        <v>0</v>
      </c>
      <c r="AM57" s="39">
        <f>資料儲存!E4245</f>
        <v>0</v>
      </c>
      <c r="AN57" s="39">
        <f>資料儲存!F4245</f>
        <v>0</v>
      </c>
      <c r="AO57" s="39">
        <f>資料儲存!G4245</f>
        <v>0</v>
      </c>
      <c r="AP57" s="39">
        <f>資料儲存!H4245</f>
        <v>0</v>
      </c>
      <c r="AQ57" s="39">
        <f>資料儲存!I4245</f>
        <v>0</v>
      </c>
      <c r="AR57" s="39">
        <f>資料儲存!J4245</f>
        <v>0</v>
      </c>
      <c r="AT57" s="62">
        <v>14</v>
      </c>
      <c r="AU57" s="39">
        <f>資料儲存!D4305</f>
        <v>0</v>
      </c>
      <c r="AV57" s="39">
        <f>資料儲存!E4305</f>
        <v>0</v>
      </c>
      <c r="AW57" s="39">
        <f>資料儲存!F4305</f>
        <v>0</v>
      </c>
      <c r="AX57" s="39">
        <f>資料儲存!G4305</f>
        <v>0</v>
      </c>
      <c r="AY57" s="39">
        <f>資料儲存!H4305</f>
        <v>0</v>
      </c>
      <c r="AZ57" s="39">
        <f>資料儲存!I4305</f>
        <v>0</v>
      </c>
      <c r="BA57" s="39">
        <f>資料儲存!J4305</f>
        <v>0</v>
      </c>
    </row>
    <row r="58" spans="1:53" s="59" customFormat="1" ht="16" thickBot="1">
      <c r="A58" s="62">
        <v>15</v>
      </c>
      <c r="B58" s="39">
        <f>資料儲存!D4006</f>
        <v>0</v>
      </c>
      <c r="C58" s="39">
        <f>資料儲存!E4006</f>
        <v>0</v>
      </c>
      <c r="D58" s="39">
        <f>資料儲存!F4006</f>
        <v>0</v>
      </c>
      <c r="E58" s="39">
        <f>資料儲存!G4006</f>
        <v>0</v>
      </c>
      <c r="F58" s="39">
        <f>資料儲存!H4006</f>
        <v>0</v>
      </c>
      <c r="G58" s="39">
        <f>資料儲存!I4006</f>
        <v>0</v>
      </c>
      <c r="H58" s="39">
        <f>資料儲存!J4006</f>
        <v>0</v>
      </c>
      <c r="I58" s="58"/>
      <c r="J58" s="62">
        <v>15</v>
      </c>
      <c r="K58" s="39">
        <f>資料儲存!D4066</f>
        <v>0</v>
      </c>
      <c r="L58" s="39">
        <f>資料儲存!E4066</f>
        <v>0</v>
      </c>
      <c r="M58" s="39">
        <f>資料儲存!F4066</f>
        <v>0</v>
      </c>
      <c r="N58" s="39">
        <f>資料儲存!G4066</f>
        <v>0</v>
      </c>
      <c r="O58" s="39">
        <f>資料儲存!H4066</f>
        <v>0</v>
      </c>
      <c r="P58" s="39">
        <f>資料儲存!I4066</f>
        <v>0</v>
      </c>
      <c r="Q58" s="39">
        <f>資料儲存!J4066</f>
        <v>0</v>
      </c>
      <c r="R58" s="58"/>
      <c r="S58" s="62">
        <v>15</v>
      </c>
      <c r="T58" s="39">
        <f>資料儲存!D4126</f>
        <v>0</v>
      </c>
      <c r="U58" s="39">
        <f>資料儲存!E4126</f>
        <v>0</v>
      </c>
      <c r="V58" s="39">
        <f>資料儲存!F4126</f>
        <v>0</v>
      </c>
      <c r="W58" s="39">
        <f>資料儲存!G4126</f>
        <v>0</v>
      </c>
      <c r="X58" s="39">
        <f>資料儲存!H4126</f>
        <v>0</v>
      </c>
      <c r="Y58" s="39">
        <f>資料儲存!I4126</f>
        <v>0</v>
      </c>
      <c r="Z58" s="39">
        <f>資料儲存!J4126</f>
        <v>0</v>
      </c>
      <c r="AA58" s="58"/>
      <c r="AB58" s="62">
        <v>15</v>
      </c>
      <c r="AC58" s="39">
        <f>資料儲存!D4186</f>
        <v>0</v>
      </c>
      <c r="AD58" s="39">
        <f>資料儲存!E4186</f>
        <v>0</v>
      </c>
      <c r="AE58" s="39">
        <f>資料儲存!F4186</f>
        <v>0</v>
      </c>
      <c r="AF58" s="39">
        <f>資料儲存!G4186</f>
        <v>0</v>
      </c>
      <c r="AG58" s="39">
        <f>資料儲存!H4186</f>
        <v>0</v>
      </c>
      <c r="AH58" s="39">
        <f>資料儲存!I4186</f>
        <v>0</v>
      </c>
      <c r="AI58" s="39">
        <f>資料儲存!J4186</f>
        <v>0</v>
      </c>
      <c r="AJ58" s="58"/>
      <c r="AK58" s="62">
        <v>15</v>
      </c>
      <c r="AL58" s="39">
        <f>資料儲存!D4246</f>
        <v>0</v>
      </c>
      <c r="AM58" s="39">
        <f>資料儲存!E4246</f>
        <v>0</v>
      </c>
      <c r="AN58" s="39">
        <f>資料儲存!F4246</f>
        <v>0</v>
      </c>
      <c r="AO58" s="39">
        <f>資料儲存!G4246</f>
        <v>0</v>
      </c>
      <c r="AP58" s="39">
        <f>資料儲存!H4246</f>
        <v>0</v>
      </c>
      <c r="AQ58" s="39">
        <f>資料儲存!I4246</f>
        <v>0</v>
      </c>
      <c r="AR58" s="39">
        <f>資料儲存!J4246</f>
        <v>0</v>
      </c>
      <c r="AT58" s="62">
        <v>15</v>
      </c>
      <c r="AU58" s="39">
        <f>資料儲存!D4306</f>
        <v>0</v>
      </c>
      <c r="AV58" s="39">
        <f>資料儲存!E4306</f>
        <v>0</v>
      </c>
      <c r="AW58" s="39">
        <f>資料儲存!F4306</f>
        <v>0</v>
      </c>
      <c r="AX58" s="39">
        <f>資料儲存!G4306</f>
        <v>0</v>
      </c>
      <c r="AY58" s="39">
        <f>資料儲存!H4306</f>
        <v>0</v>
      </c>
      <c r="AZ58" s="39">
        <f>資料儲存!I4306</f>
        <v>0</v>
      </c>
      <c r="BA58" s="39">
        <f>資料儲存!J4306</f>
        <v>0</v>
      </c>
    </row>
    <row r="59" spans="1:53" s="59" customFormat="1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35"/>
      <c r="AK59" s="40" t="s">
        <v>56</v>
      </c>
      <c r="AL59" s="39">
        <f>SUM(AL44:AO58)</f>
        <v>0</v>
      </c>
      <c r="AM59" s="37"/>
      <c r="AN59" s="37"/>
      <c r="AO59" s="37"/>
      <c r="AP59" s="39">
        <f>AP58</f>
        <v>0</v>
      </c>
      <c r="AQ59" s="39">
        <f>AQ58</f>
        <v>0</v>
      </c>
      <c r="AR59" s="39">
        <f>AR58</f>
        <v>0</v>
      </c>
      <c r="AT59" s="40" t="s">
        <v>56</v>
      </c>
      <c r="AU59" s="39">
        <f>SUM(AU44:AX58)</f>
        <v>0</v>
      </c>
      <c r="AV59" s="37"/>
      <c r="AW59" s="37"/>
      <c r="AX59" s="37"/>
      <c r="AY59" s="39">
        <f>AY58</f>
        <v>0</v>
      </c>
      <c r="AZ59" s="39">
        <f>AZ58</f>
        <v>0</v>
      </c>
      <c r="BA59" s="39">
        <f>BA58</f>
        <v>0</v>
      </c>
    </row>
    <row r="60" spans="1:53" ht="18.5" thickBot="1">
      <c r="A60" s="257" t="s">
        <v>112</v>
      </c>
      <c r="B60" s="258"/>
      <c r="C60" s="258"/>
      <c r="D60" s="258"/>
      <c r="E60" s="258"/>
      <c r="F60" s="258"/>
      <c r="G60" s="258"/>
      <c r="H60" s="259"/>
      <c r="I60" s="14"/>
      <c r="J60" s="257" t="s">
        <v>112</v>
      </c>
      <c r="K60" s="258"/>
      <c r="L60" s="258"/>
      <c r="M60" s="258"/>
      <c r="N60" s="258"/>
      <c r="O60" s="258"/>
      <c r="P60" s="258"/>
      <c r="Q60" s="259"/>
      <c r="R60" s="14"/>
      <c r="S60" s="257" t="s">
        <v>112</v>
      </c>
      <c r="T60" s="258"/>
      <c r="U60" s="258"/>
      <c r="V60" s="258"/>
      <c r="W60" s="258"/>
      <c r="X60" s="258"/>
      <c r="Y60" s="258"/>
      <c r="Z60" s="259"/>
      <c r="AA60" s="14"/>
      <c r="AB60" s="257" t="s">
        <v>112</v>
      </c>
      <c r="AC60" s="258"/>
      <c r="AD60" s="258"/>
      <c r="AE60" s="258"/>
      <c r="AF60" s="258"/>
      <c r="AG60" s="258"/>
      <c r="AH60" s="258"/>
      <c r="AI60" s="259"/>
      <c r="AJ60" s="14"/>
      <c r="AK60" s="257" t="s">
        <v>112</v>
      </c>
      <c r="AL60" s="258"/>
      <c r="AM60" s="258"/>
      <c r="AN60" s="258"/>
      <c r="AO60" s="258"/>
      <c r="AP60" s="258"/>
      <c r="AQ60" s="258"/>
      <c r="AR60" s="259"/>
      <c r="AT60" s="257" t="s">
        <v>112</v>
      </c>
      <c r="AU60" s="258"/>
      <c r="AV60" s="258"/>
      <c r="AW60" s="258"/>
      <c r="AX60" s="258"/>
      <c r="AY60" s="258"/>
      <c r="AZ60" s="258"/>
      <c r="BA60" s="259"/>
    </row>
    <row r="61" spans="1:53" s="67" customFormat="1" ht="17.25" customHeight="1" thickBot="1">
      <c r="A61" s="63" t="s">
        <v>2</v>
      </c>
      <c r="B61" s="64" t="s">
        <v>46</v>
      </c>
      <c r="C61" s="65"/>
      <c r="D61" s="65"/>
      <c r="E61" s="66"/>
      <c r="F61" s="64" t="s">
        <v>47</v>
      </c>
      <c r="G61" s="65"/>
      <c r="H61" s="66"/>
      <c r="I61" s="52"/>
      <c r="J61" s="63" t="s">
        <v>2</v>
      </c>
      <c r="K61" s="64" t="s">
        <v>46</v>
      </c>
      <c r="L61" s="65"/>
      <c r="M61" s="65"/>
      <c r="N61" s="66"/>
      <c r="O61" s="64" t="s">
        <v>47</v>
      </c>
      <c r="P61" s="65"/>
      <c r="Q61" s="66"/>
      <c r="R61" s="52"/>
      <c r="S61" s="63" t="s">
        <v>2</v>
      </c>
      <c r="T61" s="64" t="s">
        <v>46</v>
      </c>
      <c r="U61" s="65"/>
      <c r="V61" s="65"/>
      <c r="W61" s="66"/>
      <c r="X61" s="64" t="s">
        <v>47</v>
      </c>
      <c r="Y61" s="65"/>
      <c r="Z61" s="66"/>
      <c r="AA61" s="52"/>
      <c r="AB61" s="63" t="s">
        <v>2</v>
      </c>
      <c r="AC61" s="64" t="s">
        <v>46</v>
      </c>
      <c r="AD61" s="65"/>
      <c r="AE61" s="65"/>
      <c r="AF61" s="66"/>
      <c r="AG61" s="64" t="s">
        <v>47</v>
      </c>
      <c r="AH61" s="65"/>
      <c r="AI61" s="66"/>
      <c r="AJ61" s="52"/>
      <c r="AK61" s="63" t="s">
        <v>2</v>
      </c>
      <c r="AL61" s="64" t="s">
        <v>46</v>
      </c>
      <c r="AM61" s="65"/>
      <c r="AN61" s="65"/>
      <c r="AO61" s="66"/>
      <c r="AP61" s="64" t="s">
        <v>47</v>
      </c>
      <c r="AQ61" s="65"/>
      <c r="AR61" s="66"/>
      <c r="AT61" s="63" t="s">
        <v>2</v>
      </c>
      <c r="AU61" s="64" t="s">
        <v>46</v>
      </c>
      <c r="AV61" s="65"/>
      <c r="AW61" s="65"/>
      <c r="AX61" s="66"/>
      <c r="AY61" s="64" t="s">
        <v>47</v>
      </c>
      <c r="AZ61" s="65"/>
      <c r="BA61" s="66"/>
    </row>
    <row r="62" spans="1:53" s="67" customFormat="1" ht="16" thickBot="1">
      <c r="A62" s="68">
        <v>0.63541666666666663</v>
      </c>
      <c r="B62" s="69" t="s">
        <v>49</v>
      </c>
      <c r="C62" s="69" t="s">
        <v>50</v>
      </c>
      <c r="D62" s="69" t="s">
        <v>51</v>
      </c>
      <c r="E62" s="69" t="s">
        <v>52</v>
      </c>
      <c r="F62" s="69" t="s">
        <v>53</v>
      </c>
      <c r="G62" s="69" t="s">
        <v>54</v>
      </c>
      <c r="H62" s="69" t="s">
        <v>55</v>
      </c>
      <c r="I62" s="52"/>
      <c r="J62" s="68">
        <v>0.63541666666666663</v>
      </c>
      <c r="K62" s="69" t="s">
        <v>49</v>
      </c>
      <c r="L62" s="69" t="s">
        <v>50</v>
      </c>
      <c r="M62" s="69" t="s">
        <v>51</v>
      </c>
      <c r="N62" s="69" t="s">
        <v>52</v>
      </c>
      <c r="O62" s="69" t="s">
        <v>53</v>
      </c>
      <c r="P62" s="69" t="s">
        <v>54</v>
      </c>
      <c r="Q62" s="69" t="s">
        <v>55</v>
      </c>
      <c r="R62" s="52"/>
      <c r="S62" s="68">
        <v>0.63541666666666663</v>
      </c>
      <c r="T62" s="69" t="s">
        <v>49</v>
      </c>
      <c r="U62" s="69" t="s">
        <v>50</v>
      </c>
      <c r="V62" s="69" t="s">
        <v>51</v>
      </c>
      <c r="W62" s="69" t="s">
        <v>52</v>
      </c>
      <c r="X62" s="69" t="s">
        <v>53</v>
      </c>
      <c r="Y62" s="69" t="s">
        <v>54</v>
      </c>
      <c r="Z62" s="69" t="s">
        <v>55</v>
      </c>
      <c r="AA62" s="52"/>
      <c r="AB62" s="68">
        <v>0.63541666666666663</v>
      </c>
      <c r="AC62" s="69" t="s">
        <v>49</v>
      </c>
      <c r="AD62" s="69" t="s">
        <v>50</v>
      </c>
      <c r="AE62" s="69" t="s">
        <v>51</v>
      </c>
      <c r="AF62" s="69" t="s">
        <v>52</v>
      </c>
      <c r="AG62" s="69" t="s">
        <v>53</v>
      </c>
      <c r="AH62" s="69" t="s">
        <v>54</v>
      </c>
      <c r="AI62" s="69" t="s">
        <v>55</v>
      </c>
      <c r="AJ62" s="52"/>
      <c r="AK62" s="68">
        <v>0.63541666666666663</v>
      </c>
      <c r="AL62" s="69" t="s">
        <v>49</v>
      </c>
      <c r="AM62" s="69" t="s">
        <v>50</v>
      </c>
      <c r="AN62" s="69" t="s">
        <v>51</v>
      </c>
      <c r="AO62" s="69" t="s">
        <v>52</v>
      </c>
      <c r="AP62" s="69" t="s">
        <v>53</v>
      </c>
      <c r="AQ62" s="69" t="s">
        <v>54</v>
      </c>
      <c r="AR62" s="69" t="s">
        <v>55</v>
      </c>
      <c r="AT62" s="68">
        <v>0.63541666666666663</v>
      </c>
      <c r="AU62" s="69" t="s">
        <v>49</v>
      </c>
      <c r="AV62" s="69" t="s">
        <v>50</v>
      </c>
      <c r="AW62" s="69" t="s">
        <v>51</v>
      </c>
      <c r="AX62" s="69" t="s">
        <v>52</v>
      </c>
      <c r="AY62" s="69" t="s">
        <v>53</v>
      </c>
      <c r="AZ62" s="69" t="s">
        <v>54</v>
      </c>
      <c r="BA62" s="69" t="s">
        <v>55</v>
      </c>
    </row>
    <row r="63" spans="1:53" s="67" customFormat="1" ht="16" thickBot="1">
      <c r="A63" s="70">
        <v>16</v>
      </c>
      <c r="B63" s="49">
        <f>資料儲存!D4007</f>
        <v>0</v>
      </c>
      <c r="C63" s="49">
        <f>資料儲存!E4007</f>
        <v>0</v>
      </c>
      <c r="D63" s="49">
        <f>資料儲存!F4007</f>
        <v>0</v>
      </c>
      <c r="E63" s="49">
        <f>資料儲存!G4007</f>
        <v>0</v>
      </c>
      <c r="F63" s="49">
        <f>資料儲存!H4007</f>
        <v>0</v>
      </c>
      <c r="G63" s="49">
        <f>資料儲存!I4007</f>
        <v>0</v>
      </c>
      <c r="H63" s="49">
        <f>資料儲存!J4007</f>
        <v>0</v>
      </c>
      <c r="I63" s="52"/>
      <c r="J63" s="70">
        <v>16</v>
      </c>
      <c r="K63" s="49">
        <f>資料儲存!D4067</f>
        <v>0</v>
      </c>
      <c r="L63" s="49">
        <f>資料儲存!E4067</f>
        <v>0</v>
      </c>
      <c r="M63" s="49">
        <f>資料儲存!F4067</f>
        <v>0</v>
      </c>
      <c r="N63" s="49">
        <f>資料儲存!G4067</f>
        <v>0</v>
      </c>
      <c r="O63" s="49">
        <f>資料儲存!H4067</f>
        <v>0</v>
      </c>
      <c r="P63" s="49">
        <f>資料儲存!I4067</f>
        <v>0</v>
      </c>
      <c r="Q63" s="49">
        <f>資料儲存!J4067</f>
        <v>0</v>
      </c>
      <c r="R63" s="52"/>
      <c r="S63" s="70">
        <v>16</v>
      </c>
      <c r="T63" s="49">
        <f>資料儲存!D4127</f>
        <v>0</v>
      </c>
      <c r="U63" s="49">
        <f>資料儲存!E4127</f>
        <v>0</v>
      </c>
      <c r="V63" s="49">
        <f>資料儲存!F4127</f>
        <v>0</v>
      </c>
      <c r="W63" s="49">
        <f>資料儲存!G4127</f>
        <v>0</v>
      </c>
      <c r="X63" s="49">
        <f>資料儲存!H4127</f>
        <v>0</v>
      </c>
      <c r="Y63" s="49">
        <f>資料儲存!I4127</f>
        <v>0</v>
      </c>
      <c r="Z63" s="49">
        <f>資料儲存!J4127</f>
        <v>0</v>
      </c>
      <c r="AA63" s="52"/>
      <c r="AB63" s="70">
        <v>16</v>
      </c>
      <c r="AC63" s="49">
        <f>資料儲存!D4187</f>
        <v>0</v>
      </c>
      <c r="AD63" s="49">
        <f>資料儲存!E4187</f>
        <v>0</v>
      </c>
      <c r="AE63" s="49">
        <f>資料儲存!F4187</f>
        <v>0</v>
      </c>
      <c r="AF63" s="49">
        <f>資料儲存!G4187</f>
        <v>0</v>
      </c>
      <c r="AG63" s="49">
        <f>資料儲存!H4187</f>
        <v>0</v>
      </c>
      <c r="AH63" s="49">
        <f>資料儲存!I4187</f>
        <v>0</v>
      </c>
      <c r="AI63" s="49">
        <f>資料儲存!J4187</f>
        <v>0</v>
      </c>
      <c r="AJ63" s="52"/>
      <c r="AK63" s="70">
        <v>16</v>
      </c>
      <c r="AL63" s="49">
        <f>資料儲存!D4247</f>
        <v>0</v>
      </c>
      <c r="AM63" s="49">
        <f>資料儲存!E4247</f>
        <v>0</v>
      </c>
      <c r="AN63" s="49">
        <f>資料儲存!F4247</f>
        <v>0</v>
      </c>
      <c r="AO63" s="49">
        <f>資料儲存!G4247</f>
        <v>0</v>
      </c>
      <c r="AP63" s="49">
        <f>資料儲存!H4247</f>
        <v>0</v>
      </c>
      <c r="AQ63" s="49">
        <f>資料儲存!I4247</f>
        <v>0</v>
      </c>
      <c r="AR63" s="49">
        <f>資料儲存!J4247</f>
        <v>0</v>
      </c>
      <c r="AT63" s="70">
        <v>16</v>
      </c>
      <c r="AU63" s="49">
        <f>資料儲存!D4307</f>
        <v>0</v>
      </c>
      <c r="AV63" s="49">
        <f>資料儲存!E4307</f>
        <v>0</v>
      </c>
      <c r="AW63" s="49">
        <f>資料儲存!F4307</f>
        <v>0</v>
      </c>
      <c r="AX63" s="49">
        <f>資料儲存!G4307</f>
        <v>0</v>
      </c>
      <c r="AY63" s="49">
        <f>資料儲存!H4307</f>
        <v>0</v>
      </c>
      <c r="AZ63" s="49">
        <f>資料儲存!I4307</f>
        <v>0</v>
      </c>
      <c r="BA63" s="49">
        <f>資料儲存!J4307</f>
        <v>0</v>
      </c>
    </row>
    <row r="64" spans="1:53" s="67" customFormat="1" ht="16" thickBot="1">
      <c r="A64" s="70">
        <v>17</v>
      </c>
      <c r="B64" s="49">
        <f>資料儲存!D4008</f>
        <v>0</v>
      </c>
      <c r="C64" s="49">
        <f>資料儲存!E4008</f>
        <v>0</v>
      </c>
      <c r="D64" s="49">
        <f>資料儲存!F4008</f>
        <v>0</v>
      </c>
      <c r="E64" s="49">
        <f>資料儲存!G4008</f>
        <v>0</v>
      </c>
      <c r="F64" s="49">
        <f>資料儲存!H4008</f>
        <v>0</v>
      </c>
      <c r="G64" s="49">
        <f>資料儲存!I4008</f>
        <v>0</v>
      </c>
      <c r="H64" s="49">
        <f>資料儲存!J4008</f>
        <v>0</v>
      </c>
      <c r="I64" s="52"/>
      <c r="J64" s="70">
        <v>17</v>
      </c>
      <c r="K64" s="49">
        <f>資料儲存!D4068</f>
        <v>0</v>
      </c>
      <c r="L64" s="49">
        <f>資料儲存!E4068</f>
        <v>0</v>
      </c>
      <c r="M64" s="49">
        <f>資料儲存!F4068</f>
        <v>0</v>
      </c>
      <c r="N64" s="49">
        <f>資料儲存!G4068</f>
        <v>0</v>
      </c>
      <c r="O64" s="49">
        <f>資料儲存!H4068</f>
        <v>0</v>
      </c>
      <c r="P64" s="49">
        <f>資料儲存!I4068</f>
        <v>0</v>
      </c>
      <c r="Q64" s="49">
        <f>資料儲存!J4068</f>
        <v>0</v>
      </c>
      <c r="R64" s="52"/>
      <c r="S64" s="70">
        <v>17</v>
      </c>
      <c r="T64" s="49">
        <f>資料儲存!D4128</f>
        <v>0</v>
      </c>
      <c r="U64" s="49">
        <f>資料儲存!E4128</f>
        <v>0</v>
      </c>
      <c r="V64" s="49">
        <f>資料儲存!F4128</f>
        <v>0</v>
      </c>
      <c r="W64" s="49">
        <f>資料儲存!G4128</f>
        <v>0</v>
      </c>
      <c r="X64" s="49">
        <f>資料儲存!H4128</f>
        <v>0</v>
      </c>
      <c r="Y64" s="49">
        <f>資料儲存!I4128</f>
        <v>0</v>
      </c>
      <c r="Z64" s="49">
        <f>資料儲存!J4128</f>
        <v>0</v>
      </c>
      <c r="AA64" s="52"/>
      <c r="AB64" s="70">
        <v>17</v>
      </c>
      <c r="AC64" s="49">
        <f>資料儲存!D4188</f>
        <v>0</v>
      </c>
      <c r="AD64" s="49">
        <f>資料儲存!E4188</f>
        <v>0</v>
      </c>
      <c r="AE64" s="49">
        <f>資料儲存!F4188</f>
        <v>0</v>
      </c>
      <c r="AF64" s="49">
        <f>資料儲存!G4188</f>
        <v>0</v>
      </c>
      <c r="AG64" s="49">
        <f>資料儲存!H4188</f>
        <v>0</v>
      </c>
      <c r="AH64" s="49">
        <f>資料儲存!I4188</f>
        <v>0</v>
      </c>
      <c r="AI64" s="49">
        <f>資料儲存!J4188</f>
        <v>0</v>
      </c>
      <c r="AJ64" s="52"/>
      <c r="AK64" s="70">
        <v>17</v>
      </c>
      <c r="AL64" s="49">
        <f>資料儲存!D4248</f>
        <v>0</v>
      </c>
      <c r="AM64" s="49">
        <f>資料儲存!E4248</f>
        <v>0</v>
      </c>
      <c r="AN64" s="49">
        <f>資料儲存!F4248</f>
        <v>0</v>
      </c>
      <c r="AO64" s="49">
        <f>資料儲存!G4248</f>
        <v>0</v>
      </c>
      <c r="AP64" s="49">
        <f>資料儲存!H4248</f>
        <v>0</v>
      </c>
      <c r="AQ64" s="49">
        <f>資料儲存!I4248</f>
        <v>0</v>
      </c>
      <c r="AR64" s="49">
        <f>資料儲存!J4248</f>
        <v>0</v>
      </c>
      <c r="AT64" s="70">
        <v>17</v>
      </c>
      <c r="AU64" s="49">
        <f>資料儲存!D4308</f>
        <v>0</v>
      </c>
      <c r="AV64" s="49">
        <f>資料儲存!E4308</f>
        <v>0</v>
      </c>
      <c r="AW64" s="49">
        <f>資料儲存!F4308</f>
        <v>0</v>
      </c>
      <c r="AX64" s="49">
        <f>資料儲存!G4308</f>
        <v>0</v>
      </c>
      <c r="AY64" s="49">
        <f>資料儲存!H4308</f>
        <v>0</v>
      </c>
      <c r="AZ64" s="49">
        <f>資料儲存!I4308</f>
        <v>0</v>
      </c>
      <c r="BA64" s="49">
        <f>資料儲存!J4308</f>
        <v>0</v>
      </c>
    </row>
    <row r="65" spans="1:53" s="67" customFormat="1" ht="16" thickBot="1">
      <c r="A65" s="70">
        <v>18</v>
      </c>
      <c r="B65" s="49">
        <f>資料儲存!D4009</f>
        <v>0</v>
      </c>
      <c r="C65" s="49">
        <f>資料儲存!E4009</f>
        <v>0</v>
      </c>
      <c r="D65" s="49">
        <f>資料儲存!F4009</f>
        <v>0</v>
      </c>
      <c r="E65" s="49">
        <f>資料儲存!G4009</f>
        <v>0</v>
      </c>
      <c r="F65" s="49">
        <f>資料儲存!H4009</f>
        <v>0</v>
      </c>
      <c r="G65" s="49">
        <f>資料儲存!I4009</f>
        <v>0</v>
      </c>
      <c r="H65" s="49">
        <f>資料儲存!J4009</f>
        <v>0</v>
      </c>
      <c r="I65" s="52"/>
      <c r="J65" s="70">
        <v>18</v>
      </c>
      <c r="K65" s="49">
        <f>資料儲存!D4069</f>
        <v>0</v>
      </c>
      <c r="L65" s="49">
        <f>資料儲存!E4069</f>
        <v>0</v>
      </c>
      <c r="M65" s="49">
        <f>資料儲存!F4069</f>
        <v>0</v>
      </c>
      <c r="N65" s="49">
        <f>資料儲存!G4069</f>
        <v>0</v>
      </c>
      <c r="O65" s="49">
        <f>資料儲存!H4069</f>
        <v>0</v>
      </c>
      <c r="P65" s="49">
        <f>資料儲存!I4069</f>
        <v>0</v>
      </c>
      <c r="Q65" s="49">
        <f>資料儲存!J4069</f>
        <v>0</v>
      </c>
      <c r="R65" s="52"/>
      <c r="S65" s="70">
        <v>18</v>
      </c>
      <c r="T65" s="49">
        <f>資料儲存!D4129</f>
        <v>0</v>
      </c>
      <c r="U65" s="49">
        <f>資料儲存!E4129</f>
        <v>0</v>
      </c>
      <c r="V65" s="49">
        <f>資料儲存!F4129</f>
        <v>0</v>
      </c>
      <c r="W65" s="49">
        <f>資料儲存!G4129</f>
        <v>0</v>
      </c>
      <c r="X65" s="49">
        <f>資料儲存!H4129</f>
        <v>0</v>
      </c>
      <c r="Y65" s="49">
        <f>資料儲存!I4129</f>
        <v>0</v>
      </c>
      <c r="Z65" s="49">
        <f>資料儲存!J4129</f>
        <v>0</v>
      </c>
      <c r="AA65" s="52"/>
      <c r="AB65" s="70">
        <v>18</v>
      </c>
      <c r="AC65" s="49">
        <f>資料儲存!D4189</f>
        <v>0</v>
      </c>
      <c r="AD65" s="49">
        <f>資料儲存!E4189</f>
        <v>0</v>
      </c>
      <c r="AE65" s="49">
        <f>資料儲存!F4189</f>
        <v>0</v>
      </c>
      <c r="AF65" s="49">
        <f>資料儲存!G4189</f>
        <v>0</v>
      </c>
      <c r="AG65" s="49">
        <f>資料儲存!H4189</f>
        <v>0</v>
      </c>
      <c r="AH65" s="49">
        <f>資料儲存!I4189</f>
        <v>0</v>
      </c>
      <c r="AI65" s="49">
        <f>資料儲存!J4189</f>
        <v>0</v>
      </c>
      <c r="AJ65" s="52"/>
      <c r="AK65" s="70">
        <v>18</v>
      </c>
      <c r="AL65" s="49">
        <f>資料儲存!D4249</f>
        <v>0</v>
      </c>
      <c r="AM65" s="49">
        <f>資料儲存!E4249</f>
        <v>0</v>
      </c>
      <c r="AN65" s="49">
        <f>資料儲存!F4249</f>
        <v>0</v>
      </c>
      <c r="AO65" s="49">
        <f>資料儲存!G4249</f>
        <v>0</v>
      </c>
      <c r="AP65" s="49">
        <f>資料儲存!H4249</f>
        <v>0</v>
      </c>
      <c r="AQ65" s="49">
        <f>資料儲存!I4249</f>
        <v>0</v>
      </c>
      <c r="AR65" s="49">
        <f>資料儲存!J4249</f>
        <v>0</v>
      </c>
      <c r="AT65" s="70">
        <v>18</v>
      </c>
      <c r="AU65" s="49">
        <f>資料儲存!D4309</f>
        <v>0</v>
      </c>
      <c r="AV65" s="49">
        <f>資料儲存!E4309</f>
        <v>0</v>
      </c>
      <c r="AW65" s="49">
        <f>資料儲存!F4309</f>
        <v>0</v>
      </c>
      <c r="AX65" s="49">
        <f>資料儲存!G4309</f>
        <v>0</v>
      </c>
      <c r="AY65" s="49">
        <f>資料儲存!H4309</f>
        <v>0</v>
      </c>
      <c r="AZ65" s="49">
        <f>資料儲存!I4309</f>
        <v>0</v>
      </c>
      <c r="BA65" s="49">
        <f>資料儲存!J4309</f>
        <v>0</v>
      </c>
    </row>
    <row r="66" spans="1:53" s="67" customFormat="1" ht="16" thickBot="1">
      <c r="A66" s="70">
        <v>19</v>
      </c>
      <c r="B66" s="49">
        <f>資料儲存!D4010</f>
        <v>0</v>
      </c>
      <c r="C66" s="49">
        <f>資料儲存!E4010</f>
        <v>0</v>
      </c>
      <c r="D66" s="49">
        <f>資料儲存!F4010</f>
        <v>0</v>
      </c>
      <c r="E66" s="49">
        <f>資料儲存!G4010</f>
        <v>0</v>
      </c>
      <c r="F66" s="49">
        <f>資料儲存!H4010</f>
        <v>0</v>
      </c>
      <c r="G66" s="49">
        <f>資料儲存!I4010</f>
        <v>0</v>
      </c>
      <c r="H66" s="49">
        <f>資料儲存!J4010</f>
        <v>0</v>
      </c>
      <c r="I66" s="52"/>
      <c r="J66" s="70">
        <v>19</v>
      </c>
      <c r="K66" s="49">
        <f>資料儲存!D4070</f>
        <v>0</v>
      </c>
      <c r="L66" s="49">
        <f>資料儲存!E4070</f>
        <v>0</v>
      </c>
      <c r="M66" s="49">
        <f>資料儲存!F4070</f>
        <v>0</v>
      </c>
      <c r="N66" s="49">
        <f>資料儲存!G4070</f>
        <v>0</v>
      </c>
      <c r="O66" s="49">
        <f>資料儲存!H4070</f>
        <v>0</v>
      </c>
      <c r="P66" s="49">
        <f>資料儲存!I4070</f>
        <v>0</v>
      </c>
      <c r="Q66" s="49">
        <f>資料儲存!J4070</f>
        <v>0</v>
      </c>
      <c r="R66" s="52"/>
      <c r="S66" s="70">
        <v>19</v>
      </c>
      <c r="T66" s="49">
        <f>資料儲存!D4130</f>
        <v>0</v>
      </c>
      <c r="U66" s="49">
        <f>資料儲存!E4130</f>
        <v>0</v>
      </c>
      <c r="V66" s="49">
        <f>資料儲存!F4130</f>
        <v>0</v>
      </c>
      <c r="W66" s="49">
        <f>資料儲存!G4130</f>
        <v>0</v>
      </c>
      <c r="X66" s="49">
        <f>資料儲存!H4130</f>
        <v>0</v>
      </c>
      <c r="Y66" s="49">
        <f>資料儲存!I4130</f>
        <v>0</v>
      </c>
      <c r="Z66" s="49">
        <f>資料儲存!J4130</f>
        <v>0</v>
      </c>
      <c r="AA66" s="52"/>
      <c r="AB66" s="70">
        <v>19</v>
      </c>
      <c r="AC66" s="49">
        <f>資料儲存!D4190</f>
        <v>0</v>
      </c>
      <c r="AD66" s="49">
        <f>資料儲存!E4190</f>
        <v>0</v>
      </c>
      <c r="AE66" s="49">
        <f>資料儲存!F4190</f>
        <v>0</v>
      </c>
      <c r="AF66" s="49">
        <f>資料儲存!G4190</f>
        <v>0</v>
      </c>
      <c r="AG66" s="49">
        <f>資料儲存!H4190</f>
        <v>0</v>
      </c>
      <c r="AH66" s="49">
        <f>資料儲存!I4190</f>
        <v>0</v>
      </c>
      <c r="AI66" s="49">
        <f>資料儲存!J4190</f>
        <v>0</v>
      </c>
      <c r="AJ66" s="52"/>
      <c r="AK66" s="70">
        <v>19</v>
      </c>
      <c r="AL66" s="49">
        <f>資料儲存!D4250</f>
        <v>0</v>
      </c>
      <c r="AM66" s="49">
        <f>資料儲存!E4250</f>
        <v>0</v>
      </c>
      <c r="AN66" s="49">
        <f>資料儲存!F4250</f>
        <v>0</v>
      </c>
      <c r="AO66" s="49">
        <f>資料儲存!G4250</f>
        <v>0</v>
      </c>
      <c r="AP66" s="49">
        <f>資料儲存!H4250</f>
        <v>0</v>
      </c>
      <c r="AQ66" s="49">
        <f>資料儲存!I4250</f>
        <v>0</v>
      </c>
      <c r="AR66" s="49">
        <f>資料儲存!J4250</f>
        <v>0</v>
      </c>
      <c r="AT66" s="70">
        <v>19</v>
      </c>
      <c r="AU66" s="49">
        <f>資料儲存!D4310</f>
        <v>0</v>
      </c>
      <c r="AV66" s="49">
        <f>資料儲存!E4310</f>
        <v>0</v>
      </c>
      <c r="AW66" s="49">
        <f>資料儲存!F4310</f>
        <v>0</v>
      </c>
      <c r="AX66" s="49">
        <f>資料儲存!G4310</f>
        <v>0</v>
      </c>
      <c r="AY66" s="49">
        <f>資料儲存!H4310</f>
        <v>0</v>
      </c>
      <c r="AZ66" s="49">
        <f>資料儲存!I4310</f>
        <v>0</v>
      </c>
      <c r="BA66" s="49">
        <f>資料儲存!J4310</f>
        <v>0</v>
      </c>
    </row>
    <row r="67" spans="1:53" s="67" customFormat="1" ht="16" thickBot="1">
      <c r="A67" s="70">
        <v>20</v>
      </c>
      <c r="B67" s="49">
        <f>資料儲存!D4011</f>
        <v>0</v>
      </c>
      <c r="C67" s="49">
        <f>資料儲存!E4011</f>
        <v>0</v>
      </c>
      <c r="D67" s="49">
        <f>資料儲存!F4011</f>
        <v>0</v>
      </c>
      <c r="E67" s="49">
        <f>資料儲存!G4011</f>
        <v>0</v>
      </c>
      <c r="F67" s="49">
        <f>資料儲存!H4011</f>
        <v>0</v>
      </c>
      <c r="G67" s="49">
        <f>資料儲存!I4011</f>
        <v>0</v>
      </c>
      <c r="H67" s="49">
        <f>資料儲存!J4011</f>
        <v>0</v>
      </c>
      <c r="I67" s="52"/>
      <c r="J67" s="70">
        <v>20</v>
      </c>
      <c r="K67" s="49">
        <f>資料儲存!D4071</f>
        <v>0</v>
      </c>
      <c r="L67" s="49">
        <f>資料儲存!E4071</f>
        <v>0</v>
      </c>
      <c r="M67" s="49">
        <f>資料儲存!F4071</f>
        <v>0</v>
      </c>
      <c r="N67" s="49">
        <f>資料儲存!G4071</f>
        <v>0</v>
      </c>
      <c r="O67" s="49">
        <f>資料儲存!H4071</f>
        <v>0</v>
      </c>
      <c r="P67" s="49">
        <f>資料儲存!I4071</f>
        <v>0</v>
      </c>
      <c r="Q67" s="49">
        <f>資料儲存!J4071</f>
        <v>0</v>
      </c>
      <c r="R67" s="52"/>
      <c r="S67" s="70">
        <v>20</v>
      </c>
      <c r="T67" s="49">
        <f>資料儲存!D4131</f>
        <v>0</v>
      </c>
      <c r="U67" s="49">
        <f>資料儲存!E4131</f>
        <v>0</v>
      </c>
      <c r="V67" s="49">
        <f>資料儲存!F4131</f>
        <v>0</v>
      </c>
      <c r="W67" s="49">
        <f>資料儲存!G4131</f>
        <v>0</v>
      </c>
      <c r="X67" s="49">
        <f>資料儲存!H4131</f>
        <v>0</v>
      </c>
      <c r="Y67" s="49">
        <f>資料儲存!I4131</f>
        <v>0</v>
      </c>
      <c r="Z67" s="49">
        <f>資料儲存!J4131</f>
        <v>0</v>
      </c>
      <c r="AA67" s="52"/>
      <c r="AB67" s="70">
        <v>20</v>
      </c>
      <c r="AC67" s="49">
        <f>資料儲存!D4191</f>
        <v>0</v>
      </c>
      <c r="AD67" s="49">
        <f>資料儲存!E4191</f>
        <v>0</v>
      </c>
      <c r="AE67" s="49">
        <f>資料儲存!F4191</f>
        <v>0</v>
      </c>
      <c r="AF67" s="49">
        <f>資料儲存!G4191</f>
        <v>0</v>
      </c>
      <c r="AG67" s="49">
        <f>資料儲存!H4191</f>
        <v>0</v>
      </c>
      <c r="AH67" s="49">
        <f>資料儲存!I4191</f>
        <v>0</v>
      </c>
      <c r="AI67" s="49">
        <f>資料儲存!J4191</f>
        <v>0</v>
      </c>
      <c r="AJ67" s="52"/>
      <c r="AK67" s="70">
        <v>20</v>
      </c>
      <c r="AL67" s="49">
        <f>資料儲存!D4251</f>
        <v>0</v>
      </c>
      <c r="AM67" s="49">
        <f>資料儲存!E4251</f>
        <v>0</v>
      </c>
      <c r="AN67" s="49">
        <f>資料儲存!F4251</f>
        <v>0</v>
      </c>
      <c r="AO67" s="49">
        <f>資料儲存!G4251</f>
        <v>0</v>
      </c>
      <c r="AP67" s="49">
        <f>資料儲存!H4251</f>
        <v>0</v>
      </c>
      <c r="AQ67" s="49">
        <f>資料儲存!I4251</f>
        <v>0</v>
      </c>
      <c r="AR67" s="49">
        <f>資料儲存!J4251</f>
        <v>0</v>
      </c>
      <c r="AT67" s="70">
        <v>20</v>
      </c>
      <c r="AU67" s="49">
        <f>資料儲存!D4311</f>
        <v>0</v>
      </c>
      <c r="AV67" s="49">
        <f>資料儲存!E4311</f>
        <v>0</v>
      </c>
      <c r="AW67" s="49">
        <f>資料儲存!F4311</f>
        <v>0</v>
      </c>
      <c r="AX67" s="49">
        <f>資料儲存!G4311</f>
        <v>0</v>
      </c>
      <c r="AY67" s="49">
        <f>資料儲存!H4311</f>
        <v>0</v>
      </c>
      <c r="AZ67" s="49">
        <f>資料儲存!I4311</f>
        <v>0</v>
      </c>
      <c r="BA67" s="49">
        <f>資料儲存!J4311</f>
        <v>0</v>
      </c>
    </row>
    <row r="68" spans="1:53" s="67" customFormat="1" ht="16" thickBot="1">
      <c r="A68" s="70">
        <v>21</v>
      </c>
      <c r="B68" s="49">
        <f>資料儲存!D4012</f>
        <v>0</v>
      </c>
      <c r="C68" s="49">
        <f>資料儲存!E4012</f>
        <v>0</v>
      </c>
      <c r="D68" s="49">
        <f>資料儲存!F4012</f>
        <v>0</v>
      </c>
      <c r="E68" s="49">
        <f>資料儲存!G4012</f>
        <v>0</v>
      </c>
      <c r="F68" s="49">
        <f>資料儲存!H4012</f>
        <v>0</v>
      </c>
      <c r="G68" s="49">
        <f>資料儲存!I4012</f>
        <v>0</v>
      </c>
      <c r="H68" s="49">
        <f>資料儲存!J4012</f>
        <v>0</v>
      </c>
      <c r="I68" s="52"/>
      <c r="J68" s="70">
        <v>21</v>
      </c>
      <c r="K68" s="49">
        <f>資料儲存!D4072</f>
        <v>0</v>
      </c>
      <c r="L68" s="49">
        <f>資料儲存!E4072</f>
        <v>0</v>
      </c>
      <c r="M68" s="49">
        <f>資料儲存!F4072</f>
        <v>0</v>
      </c>
      <c r="N68" s="49">
        <f>資料儲存!G4072</f>
        <v>0</v>
      </c>
      <c r="O68" s="49">
        <f>資料儲存!H4072</f>
        <v>0</v>
      </c>
      <c r="P68" s="49">
        <f>資料儲存!I4072</f>
        <v>0</v>
      </c>
      <c r="Q68" s="49">
        <f>資料儲存!J4072</f>
        <v>0</v>
      </c>
      <c r="R68" s="52"/>
      <c r="S68" s="70">
        <v>21</v>
      </c>
      <c r="T68" s="49">
        <f>資料儲存!D4132</f>
        <v>0</v>
      </c>
      <c r="U68" s="49">
        <f>資料儲存!E4132</f>
        <v>0</v>
      </c>
      <c r="V68" s="49">
        <f>資料儲存!F4132</f>
        <v>0</v>
      </c>
      <c r="W68" s="49">
        <f>資料儲存!G4132</f>
        <v>0</v>
      </c>
      <c r="X68" s="49">
        <f>資料儲存!H4132</f>
        <v>0</v>
      </c>
      <c r="Y68" s="49">
        <f>資料儲存!I4132</f>
        <v>0</v>
      </c>
      <c r="Z68" s="49">
        <f>資料儲存!J4132</f>
        <v>0</v>
      </c>
      <c r="AA68" s="52"/>
      <c r="AB68" s="70">
        <v>21</v>
      </c>
      <c r="AC68" s="49">
        <f>資料儲存!D4192</f>
        <v>0</v>
      </c>
      <c r="AD68" s="49">
        <f>資料儲存!E4192</f>
        <v>0</v>
      </c>
      <c r="AE68" s="49">
        <f>資料儲存!F4192</f>
        <v>0</v>
      </c>
      <c r="AF68" s="49">
        <f>資料儲存!G4192</f>
        <v>0</v>
      </c>
      <c r="AG68" s="49">
        <f>資料儲存!H4192</f>
        <v>0</v>
      </c>
      <c r="AH68" s="49">
        <f>資料儲存!I4192</f>
        <v>0</v>
      </c>
      <c r="AI68" s="49">
        <f>資料儲存!J4192</f>
        <v>0</v>
      </c>
      <c r="AJ68" s="52"/>
      <c r="AK68" s="70">
        <v>21</v>
      </c>
      <c r="AL68" s="49">
        <f>資料儲存!D4252</f>
        <v>0</v>
      </c>
      <c r="AM68" s="49">
        <f>資料儲存!E4252</f>
        <v>0</v>
      </c>
      <c r="AN68" s="49">
        <f>資料儲存!F4252</f>
        <v>0</v>
      </c>
      <c r="AO68" s="49">
        <f>資料儲存!G4252</f>
        <v>0</v>
      </c>
      <c r="AP68" s="49">
        <f>資料儲存!H4252</f>
        <v>0</v>
      </c>
      <c r="AQ68" s="49">
        <f>資料儲存!I4252</f>
        <v>0</v>
      </c>
      <c r="AR68" s="49">
        <f>資料儲存!J4252</f>
        <v>0</v>
      </c>
      <c r="AT68" s="70">
        <v>21</v>
      </c>
      <c r="AU68" s="49">
        <f>資料儲存!D4312</f>
        <v>0</v>
      </c>
      <c r="AV68" s="49">
        <f>資料儲存!E4312</f>
        <v>0</v>
      </c>
      <c r="AW68" s="49">
        <f>資料儲存!F4312</f>
        <v>0</v>
      </c>
      <c r="AX68" s="49">
        <f>資料儲存!G4312</f>
        <v>0</v>
      </c>
      <c r="AY68" s="49">
        <f>資料儲存!H4312</f>
        <v>0</v>
      </c>
      <c r="AZ68" s="49">
        <f>資料儲存!I4312</f>
        <v>0</v>
      </c>
      <c r="BA68" s="49">
        <f>資料儲存!J4312</f>
        <v>0</v>
      </c>
    </row>
    <row r="69" spans="1:53" s="67" customFormat="1" ht="16" thickBot="1">
      <c r="A69" s="70">
        <v>22</v>
      </c>
      <c r="B69" s="49">
        <f>資料儲存!D4013</f>
        <v>0</v>
      </c>
      <c r="C69" s="49">
        <f>資料儲存!E4013</f>
        <v>0</v>
      </c>
      <c r="D69" s="49">
        <f>資料儲存!F4013</f>
        <v>0</v>
      </c>
      <c r="E69" s="49">
        <f>資料儲存!G4013</f>
        <v>0</v>
      </c>
      <c r="F69" s="49">
        <f>資料儲存!H4013</f>
        <v>0</v>
      </c>
      <c r="G69" s="49">
        <f>資料儲存!I4013</f>
        <v>0</v>
      </c>
      <c r="H69" s="49">
        <f>資料儲存!J4013</f>
        <v>0</v>
      </c>
      <c r="I69" s="52"/>
      <c r="J69" s="70">
        <v>22</v>
      </c>
      <c r="K69" s="49">
        <f>資料儲存!D4073</f>
        <v>0</v>
      </c>
      <c r="L69" s="49">
        <f>資料儲存!E4073</f>
        <v>0</v>
      </c>
      <c r="M69" s="49">
        <f>資料儲存!F4073</f>
        <v>0</v>
      </c>
      <c r="N69" s="49">
        <f>資料儲存!G4073</f>
        <v>0</v>
      </c>
      <c r="O69" s="49">
        <f>資料儲存!H4073</f>
        <v>0</v>
      </c>
      <c r="P69" s="49">
        <f>資料儲存!I4073</f>
        <v>0</v>
      </c>
      <c r="Q69" s="49">
        <f>資料儲存!J4073</f>
        <v>0</v>
      </c>
      <c r="R69" s="52"/>
      <c r="S69" s="70">
        <v>22</v>
      </c>
      <c r="T69" s="49">
        <f>資料儲存!D4133</f>
        <v>0</v>
      </c>
      <c r="U69" s="49">
        <f>資料儲存!E4133</f>
        <v>0</v>
      </c>
      <c r="V69" s="49">
        <f>資料儲存!F4133</f>
        <v>0</v>
      </c>
      <c r="W69" s="49">
        <f>資料儲存!G4133</f>
        <v>0</v>
      </c>
      <c r="X69" s="49">
        <f>資料儲存!H4133</f>
        <v>0</v>
      </c>
      <c r="Y69" s="49">
        <f>資料儲存!I4133</f>
        <v>0</v>
      </c>
      <c r="Z69" s="49">
        <f>資料儲存!J4133</f>
        <v>0</v>
      </c>
      <c r="AA69" s="52"/>
      <c r="AB69" s="70">
        <v>22</v>
      </c>
      <c r="AC69" s="49">
        <f>資料儲存!D4193</f>
        <v>0</v>
      </c>
      <c r="AD69" s="49">
        <f>資料儲存!E4193</f>
        <v>0</v>
      </c>
      <c r="AE69" s="49">
        <f>資料儲存!F4193</f>
        <v>0</v>
      </c>
      <c r="AF69" s="49">
        <f>資料儲存!G4193</f>
        <v>0</v>
      </c>
      <c r="AG69" s="49">
        <f>資料儲存!H4193</f>
        <v>0</v>
      </c>
      <c r="AH69" s="49">
        <f>資料儲存!I4193</f>
        <v>0</v>
      </c>
      <c r="AI69" s="49">
        <f>資料儲存!J4193</f>
        <v>0</v>
      </c>
      <c r="AJ69" s="52"/>
      <c r="AK69" s="70">
        <v>22</v>
      </c>
      <c r="AL69" s="49">
        <f>資料儲存!D4253</f>
        <v>0</v>
      </c>
      <c r="AM69" s="49">
        <f>資料儲存!E4253</f>
        <v>0</v>
      </c>
      <c r="AN69" s="49">
        <f>資料儲存!F4253</f>
        <v>0</v>
      </c>
      <c r="AO69" s="49">
        <f>資料儲存!G4253</f>
        <v>0</v>
      </c>
      <c r="AP69" s="49">
        <f>資料儲存!H4253</f>
        <v>0</v>
      </c>
      <c r="AQ69" s="49">
        <f>資料儲存!I4253</f>
        <v>0</v>
      </c>
      <c r="AR69" s="49">
        <f>資料儲存!J4253</f>
        <v>0</v>
      </c>
      <c r="AT69" s="70">
        <v>22</v>
      </c>
      <c r="AU69" s="49">
        <f>資料儲存!D4313</f>
        <v>0</v>
      </c>
      <c r="AV69" s="49">
        <f>資料儲存!E4313</f>
        <v>0</v>
      </c>
      <c r="AW69" s="49">
        <f>資料儲存!F4313</f>
        <v>0</v>
      </c>
      <c r="AX69" s="49">
        <f>資料儲存!G4313</f>
        <v>0</v>
      </c>
      <c r="AY69" s="49">
        <f>資料儲存!H4313</f>
        <v>0</v>
      </c>
      <c r="AZ69" s="49">
        <f>資料儲存!I4313</f>
        <v>0</v>
      </c>
      <c r="BA69" s="49">
        <f>資料儲存!J4313</f>
        <v>0</v>
      </c>
    </row>
    <row r="70" spans="1:53" s="67" customFormat="1" ht="16" thickBot="1">
      <c r="A70" s="70">
        <v>23</v>
      </c>
      <c r="B70" s="49">
        <f>資料儲存!D4014</f>
        <v>0</v>
      </c>
      <c r="C70" s="49">
        <f>資料儲存!E4014</f>
        <v>0</v>
      </c>
      <c r="D70" s="49">
        <f>資料儲存!F4014</f>
        <v>0</v>
      </c>
      <c r="E70" s="49">
        <f>資料儲存!G4014</f>
        <v>0</v>
      </c>
      <c r="F70" s="49">
        <f>資料儲存!H4014</f>
        <v>0</v>
      </c>
      <c r="G70" s="49">
        <f>資料儲存!I4014</f>
        <v>0</v>
      </c>
      <c r="H70" s="49">
        <f>資料儲存!J4014</f>
        <v>0</v>
      </c>
      <c r="I70" s="52"/>
      <c r="J70" s="70">
        <v>23</v>
      </c>
      <c r="K70" s="49">
        <f>資料儲存!D4074</f>
        <v>0</v>
      </c>
      <c r="L70" s="49">
        <f>資料儲存!E4074</f>
        <v>0</v>
      </c>
      <c r="M70" s="49">
        <f>資料儲存!F4074</f>
        <v>0</v>
      </c>
      <c r="N70" s="49">
        <f>資料儲存!G4074</f>
        <v>0</v>
      </c>
      <c r="O70" s="49">
        <f>資料儲存!H4074</f>
        <v>0</v>
      </c>
      <c r="P70" s="49">
        <f>資料儲存!I4074</f>
        <v>0</v>
      </c>
      <c r="Q70" s="49">
        <f>資料儲存!J4074</f>
        <v>0</v>
      </c>
      <c r="R70" s="52"/>
      <c r="S70" s="70">
        <v>23</v>
      </c>
      <c r="T70" s="49">
        <f>資料儲存!D4134</f>
        <v>0</v>
      </c>
      <c r="U70" s="49">
        <f>資料儲存!E4134</f>
        <v>0</v>
      </c>
      <c r="V70" s="49">
        <f>資料儲存!F4134</f>
        <v>0</v>
      </c>
      <c r="W70" s="49">
        <f>資料儲存!G4134</f>
        <v>0</v>
      </c>
      <c r="X70" s="49">
        <f>資料儲存!H4134</f>
        <v>0</v>
      </c>
      <c r="Y70" s="49">
        <f>資料儲存!I4134</f>
        <v>0</v>
      </c>
      <c r="Z70" s="49">
        <f>資料儲存!J4134</f>
        <v>0</v>
      </c>
      <c r="AA70" s="52"/>
      <c r="AB70" s="70">
        <v>23</v>
      </c>
      <c r="AC70" s="49">
        <f>資料儲存!D4194</f>
        <v>0</v>
      </c>
      <c r="AD70" s="49">
        <f>資料儲存!E4194</f>
        <v>0</v>
      </c>
      <c r="AE70" s="49">
        <f>資料儲存!F4194</f>
        <v>0</v>
      </c>
      <c r="AF70" s="49">
        <f>資料儲存!G4194</f>
        <v>0</v>
      </c>
      <c r="AG70" s="49">
        <f>資料儲存!H4194</f>
        <v>0</v>
      </c>
      <c r="AH70" s="49">
        <f>資料儲存!I4194</f>
        <v>0</v>
      </c>
      <c r="AI70" s="49">
        <f>資料儲存!J4194</f>
        <v>0</v>
      </c>
      <c r="AJ70" s="52"/>
      <c r="AK70" s="70">
        <v>23</v>
      </c>
      <c r="AL70" s="49">
        <f>資料儲存!D4254</f>
        <v>0</v>
      </c>
      <c r="AM70" s="49">
        <f>資料儲存!E4254</f>
        <v>0</v>
      </c>
      <c r="AN70" s="49">
        <f>資料儲存!F4254</f>
        <v>0</v>
      </c>
      <c r="AO70" s="49">
        <f>資料儲存!G4254</f>
        <v>0</v>
      </c>
      <c r="AP70" s="49">
        <f>資料儲存!H4254</f>
        <v>0</v>
      </c>
      <c r="AQ70" s="49">
        <f>資料儲存!I4254</f>
        <v>0</v>
      </c>
      <c r="AR70" s="49">
        <f>資料儲存!J4254</f>
        <v>0</v>
      </c>
      <c r="AT70" s="70">
        <v>23</v>
      </c>
      <c r="AU70" s="49">
        <f>資料儲存!D4314</f>
        <v>0</v>
      </c>
      <c r="AV70" s="49">
        <f>資料儲存!E4314</f>
        <v>0</v>
      </c>
      <c r="AW70" s="49">
        <f>資料儲存!F4314</f>
        <v>0</v>
      </c>
      <c r="AX70" s="49">
        <f>資料儲存!G4314</f>
        <v>0</v>
      </c>
      <c r="AY70" s="49">
        <f>資料儲存!H4314</f>
        <v>0</v>
      </c>
      <c r="AZ70" s="49">
        <f>資料儲存!I4314</f>
        <v>0</v>
      </c>
      <c r="BA70" s="49">
        <f>資料儲存!J4314</f>
        <v>0</v>
      </c>
    </row>
    <row r="71" spans="1:53" s="67" customFormat="1" ht="16" thickBot="1">
      <c r="A71" s="70">
        <v>24</v>
      </c>
      <c r="B71" s="49">
        <f>資料儲存!D4015</f>
        <v>0</v>
      </c>
      <c r="C71" s="49">
        <f>資料儲存!E4015</f>
        <v>0</v>
      </c>
      <c r="D71" s="49">
        <f>資料儲存!F4015</f>
        <v>0</v>
      </c>
      <c r="E71" s="49">
        <f>資料儲存!G4015</f>
        <v>0</v>
      </c>
      <c r="F71" s="49">
        <f>資料儲存!H4015</f>
        <v>0</v>
      </c>
      <c r="G71" s="49">
        <f>資料儲存!I4015</f>
        <v>0</v>
      </c>
      <c r="H71" s="49">
        <f>資料儲存!J4015</f>
        <v>0</v>
      </c>
      <c r="I71" s="52"/>
      <c r="J71" s="70">
        <v>24</v>
      </c>
      <c r="K71" s="49">
        <f>資料儲存!D4075</f>
        <v>0</v>
      </c>
      <c r="L71" s="49">
        <f>資料儲存!E4075</f>
        <v>0</v>
      </c>
      <c r="M71" s="49">
        <f>資料儲存!F4075</f>
        <v>0</v>
      </c>
      <c r="N71" s="49">
        <f>資料儲存!G4075</f>
        <v>0</v>
      </c>
      <c r="O71" s="49">
        <f>資料儲存!H4075</f>
        <v>0</v>
      </c>
      <c r="P71" s="49">
        <f>資料儲存!I4075</f>
        <v>0</v>
      </c>
      <c r="Q71" s="49">
        <f>資料儲存!J4075</f>
        <v>0</v>
      </c>
      <c r="R71" s="52"/>
      <c r="S71" s="70">
        <v>24</v>
      </c>
      <c r="T71" s="49">
        <f>資料儲存!D4135</f>
        <v>0</v>
      </c>
      <c r="U71" s="49">
        <f>資料儲存!E4135</f>
        <v>0</v>
      </c>
      <c r="V71" s="49">
        <f>資料儲存!F4135</f>
        <v>0</v>
      </c>
      <c r="W71" s="49">
        <f>資料儲存!G4135</f>
        <v>0</v>
      </c>
      <c r="X71" s="49">
        <f>資料儲存!H4135</f>
        <v>0</v>
      </c>
      <c r="Y71" s="49">
        <f>資料儲存!I4135</f>
        <v>0</v>
      </c>
      <c r="Z71" s="49">
        <f>資料儲存!J4135</f>
        <v>0</v>
      </c>
      <c r="AA71" s="52"/>
      <c r="AB71" s="70">
        <v>24</v>
      </c>
      <c r="AC71" s="49">
        <f>資料儲存!D4195</f>
        <v>0</v>
      </c>
      <c r="AD71" s="49">
        <f>資料儲存!E4195</f>
        <v>0</v>
      </c>
      <c r="AE71" s="49">
        <f>資料儲存!F4195</f>
        <v>0</v>
      </c>
      <c r="AF71" s="49">
        <f>資料儲存!G4195</f>
        <v>0</v>
      </c>
      <c r="AG71" s="49">
        <f>資料儲存!H4195</f>
        <v>0</v>
      </c>
      <c r="AH71" s="49">
        <f>資料儲存!I4195</f>
        <v>0</v>
      </c>
      <c r="AI71" s="49">
        <f>資料儲存!J4195</f>
        <v>0</v>
      </c>
      <c r="AJ71" s="52"/>
      <c r="AK71" s="70">
        <v>24</v>
      </c>
      <c r="AL71" s="49">
        <f>資料儲存!D4255</f>
        <v>0</v>
      </c>
      <c r="AM71" s="49">
        <f>資料儲存!E4255</f>
        <v>0</v>
      </c>
      <c r="AN71" s="49">
        <f>資料儲存!F4255</f>
        <v>0</v>
      </c>
      <c r="AO71" s="49">
        <f>資料儲存!G4255</f>
        <v>0</v>
      </c>
      <c r="AP71" s="49">
        <f>資料儲存!H4255</f>
        <v>0</v>
      </c>
      <c r="AQ71" s="49">
        <f>資料儲存!I4255</f>
        <v>0</v>
      </c>
      <c r="AR71" s="49">
        <f>資料儲存!J4255</f>
        <v>0</v>
      </c>
      <c r="AT71" s="70">
        <v>24</v>
      </c>
      <c r="AU71" s="49">
        <f>資料儲存!D4315</f>
        <v>0</v>
      </c>
      <c r="AV71" s="49">
        <f>資料儲存!E4315</f>
        <v>0</v>
      </c>
      <c r="AW71" s="49">
        <f>資料儲存!F4315</f>
        <v>0</v>
      </c>
      <c r="AX71" s="49">
        <f>資料儲存!G4315</f>
        <v>0</v>
      </c>
      <c r="AY71" s="49">
        <f>資料儲存!H4315</f>
        <v>0</v>
      </c>
      <c r="AZ71" s="49">
        <f>資料儲存!I4315</f>
        <v>0</v>
      </c>
      <c r="BA71" s="49">
        <f>資料儲存!J4315</f>
        <v>0</v>
      </c>
    </row>
    <row r="72" spans="1:53" s="67" customFormat="1" ht="16" thickBot="1">
      <c r="A72" s="70">
        <v>25</v>
      </c>
      <c r="B72" s="49">
        <f>資料儲存!D4016</f>
        <v>0</v>
      </c>
      <c r="C72" s="49">
        <f>資料儲存!E4016</f>
        <v>0</v>
      </c>
      <c r="D72" s="49">
        <f>資料儲存!F4016</f>
        <v>0</v>
      </c>
      <c r="E72" s="49">
        <f>資料儲存!G4016</f>
        <v>0</v>
      </c>
      <c r="F72" s="49">
        <f>資料儲存!H4016</f>
        <v>0</v>
      </c>
      <c r="G72" s="49">
        <f>資料儲存!I4016</f>
        <v>0</v>
      </c>
      <c r="H72" s="49">
        <f>資料儲存!J4016</f>
        <v>0</v>
      </c>
      <c r="I72" s="52"/>
      <c r="J72" s="70">
        <v>25</v>
      </c>
      <c r="K72" s="49">
        <f>資料儲存!D4076</f>
        <v>0</v>
      </c>
      <c r="L72" s="49">
        <f>資料儲存!E4076</f>
        <v>0</v>
      </c>
      <c r="M72" s="49">
        <f>資料儲存!F4076</f>
        <v>0</v>
      </c>
      <c r="N72" s="49">
        <f>資料儲存!G4076</f>
        <v>0</v>
      </c>
      <c r="O72" s="49">
        <f>資料儲存!H4076</f>
        <v>0</v>
      </c>
      <c r="P72" s="49">
        <f>資料儲存!I4076</f>
        <v>0</v>
      </c>
      <c r="Q72" s="49">
        <f>資料儲存!J4076</f>
        <v>0</v>
      </c>
      <c r="R72" s="52"/>
      <c r="S72" s="70">
        <v>25</v>
      </c>
      <c r="T72" s="49">
        <f>資料儲存!D4136</f>
        <v>0</v>
      </c>
      <c r="U72" s="49">
        <f>資料儲存!E4136</f>
        <v>0</v>
      </c>
      <c r="V72" s="49">
        <f>資料儲存!F4136</f>
        <v>0</v>
      </c>
      <c r="W72" s="49">
        <f>資料儲存!G4136</f>
        <v>0</v>
      </c>
      <c r="X72" s="49">
        <f>資料儲存!H4136</f>
        <v>0</v>
      </c>
      <c r="Y72" s="49">
        <f>資料儲存!I4136</f>
        <v>0</v>
      </c>
      <c r="Z72" s="49">
        <f>資料儲存!J4136</f>
        <v>0</v>
      </c>
      <c r="AA72" s="52"/>
      <c r="AB72" s="70">
        <v>25</v>
      </c>
      <c r="AC72" s="49">
        <f>資料儲存!D4196</f>
        <v>0</v>
      </c>
      <c r="AD72" s="49">
        <f>資料儲存!E4196</f>
        <v>0</v>
      </c>
      <c r="AE72" s="49">
        <f>資料儲存!F4196</f>
        <v>0</v>
      </c>
      <c r="AF72" s="49">
        <f>資料儲存!G4196</f>
        <v>0</v>
      </c>
      <c r="AG72" s="49">
        <f>資料儲存!H4196</f>
        <v>0</v>
      </c>
      <c r="AH72" s="49">
        <f>資料儲存!I4196</f>
        <v>0</v>
      </c>
      <c r="AI72" s="49">
        <f>資料儲存!J4196</f>
        <v>0</v>
      </c>
      <c r="AJ72" s="52"/>
      <c r="AK72" s="70">
        <v>25</v>
      </c>
      <c r="AL72" s="49">
        <f>資料儲存!D4256</f>
        <v>0</v>
      </c>
      <c r="AM72" s="49">
        <f>資料儲存!E4256</f>
        <v>0</v>
      </c>
      <c r="AN72" s="49">
        <f>資料儲存!F4256</f>
        <v>0</v>
      </c>
      <c r="AO72" s="49">
        <f>資料儲存!G4256</f>
        <v>0</v>
      </c>
      <c r="AP72" s="49">
        <f>資料儲存!H4256</f>
        <v>0</v>
      </c>
      <c r="AQ72" s="49">
        <f>資料儲存!I4256</f>
        <v>0</v>
      </c>
      <c r="AR72" s="49">
        <f>資料儲存!J4256</f>
        <v>0</v>
      </c>
      <c r="AT72" s="70">
        <v>25</v>
      </c>
      <c r="AU72" s="49">
        <f>資料儲存!D4316</f>
        <v>0</v>
      </c>
      <c r="AV72" s="49">
        <f>資料儲存!E4316</f>
        <v>0</v>
      </c>
      <c r="AW72" s="49">
        <f>資料儲存!F4316</f>
        <v>0</v>
      </c>
      <c r="AX72" s="49">
        <f>資料儲存!G4316</f>
        <v>0</v>
      </c>
      <c r="AY72" s="49">
        <f>資料儲存!H4316</f>
        <v>0</v>
      </c>
      <c r="AZ72" s="49">
        <f>資料儲存!I4316</f>
        <v>0</v>
      </c>
      <c r="BA72" s="49">
        <f>資料儲存!J4316</f>
        <v>0</v>
      </c>
    </row>
    <row r="73" spans="1:53" s="67" customFormat="1" ht="16" thickBot="1">
      <c r="A73" s="70">
        <v>26</v>
      </c>
      <c r="B73" s="49">
        <f>資料儲存!D4017</f>
        <v>0</v>
      </c>
      <c r="C73" s="49">
        <f>資料儲存!E4017</f>
        <v>0</v>
      </c>
      <c r="D73" s="49">
        <f>資料儲存!F4017</f>
        <v>0</v>
      </c>
      <c r="E73" s="49">
        <f>資料儲存!G4017</f>
        <v>0</v>
      </c>
      <c r="F73" s="49">
        <f>資料儲存!H4017</f>
        <v>0</v>
      </c>
      <c r="G73" s="49">
        <f>資料儲存!I4017</f>
        <v>0</v>
      </c>
      <c r="H73" s="49">
        <f>資料儲存!J4017</f>
        <v>0</v>
      </c>
      <c r="I73" s="52"/>
      <c r="J73" s="70">
        <v>26</v>
      </c>
      <c r="K73" s="49">
        <f>資料儲存!D4077</f>
        <v>0</v>
      </c>
      <c r="L73" s="49">
        <f>資料儲存!E4077</f>
        <v>0</v>
      </c>
      <c r="M73" s="49">
        <f>資料儲存!F4077</f>
        <v>0</v>
      </c>
      <c r="N73" s="49">
        <f>資料儲存!G4077</f>
        <v>0</v>
      </c>
      <c r="O73" s="49">
        <f>資料儲存!H4077</f>
        <v>0</v>
      </c>
      <c r="P73" s="49">
        <f>資料儲存!I4077</f>
        <v>0</v>
      </c>
      <c r="Q73" s="49">
        <f>資料儲存!J4077</f>
        <v>0</v>
      </c>
      <c r="R73" s="52"/>
      <c r="S73" s="70">
        <v>26</v>
      </c>
      <c r="T73" s="49">
        <f>資料儲存!D4137</f>
        <v>0</v>
      </c>
      <c r="U73" s="49">
        <f>資料儲存!E4137</f>
        <v>0</v>
      </c>
      <c r="V73" s="49">
        <f>資料儲存!F4137</f>
        <v>0</v>
      </c>
      <c r="W73" s="49">
        <f>資料儲存!G4137</f>
        <v>0</v>
      </c>
      <c r="X73" s="49">
        <f>資料儲存!H4137</f>
        <v>0</v>
      </c>
      <c r="Y73" s="49">
        <f>資料儲存!I4137</f>
        <v>0</v>
      </c>
      <c r="Z73" s="49">
        <f>資料儲存!J4137</f>
        <v>0</v>
      </c>
      <c r="AA73" s="52"/>
      <c r="AB73" s="70">
        <v>26</v>
      </c>
      <c r="AC73" s="49">
        <f>資料儲存!D4197</f>
        <v>0</v>
      </c>
      <c r="AD73" s="49">
        <f>資料儲存!E4197</f>
        <v>0</v>
      </c>
      <c r="AE73" s="49">
        <f>資料儲存!F4197</f>
        <v>0</v>
      </c>
      <c r="AF73" s="49">
        <f>資料儲存!G4197</f>
        <v>0</v>
      </c>
      <c r="AG73" s="49">
        <f>資料儲存!H4197</f>
        <v>0</v>
      </c>
      <c r="AH73" s="49">
        <f>資料儲存!I4197</f>
        <v>0</v>
      </c>
      <c r="AI73" s="49">
        <f>資料儲存!J4197</f>
        <v>0</v>
      </c>
      <c r="AJ73" s="52"/>
      <c r="AK73" s="70">
        <v>26</v>
      </c>
      <c r="AL73" s="49">
        <f>資料儲存!D4257</f>
        <v>0</v>
      </c>
      <c r="AM73" s="49">
        <f>資料儲存!E4257</f>
        <v>0</v>
      </c>
      <c r="AN73" s="49">
        <f>資料儲存!F4257</f>
        <v>0</v>
      </c>
      <c r="AO73" s="49">
        <f>資料儲存!G4257</f>
        <v>0</v>
      </c>
      <c r="AP73" s="49">
        <f>資料儲存!H4257</f>
        <v>0</v>
      </c>
      <c r="AQ73" s="49">
        <f>資料儲存!I4257</f>
        <v>0</v>
      </c>
      <c r="AR73" s="49">
        <f>資料儲存!J4257</f>
        <v>0</v>
      </c>
      <c r="AT73" s="70">
        <v>26</v>
      </c>
      <c r="AU73" s="49">
        <f>資料儲存!D4317</f>
        <v>0</v>
      </c>
      <c r="AV73" s="49">
        <f>資料儲存!E4317</f>
        <v>0</v>
      </c>
      <c r="AW73" s="49">
        <f>資料儲存!F4317</f>
        <v>0</v>
      </c>
      <c r="AX73" s="49">
        <f>資料儲存!G4317</f>
        <v>0</v>
      </c>
      <c r="AY73" s="49">
        <f>資料儲存!H4317</f>
        <v>0</v>
      </c>
      <c r="AZ73" s="49">
        <f>資料儲存!I4317</f>
        <v>0</v>
      </c>
      <c r="BA73" s="49">
        <f>資料儲存!J4317</f>
        <v>0</v>
      </c>
    </row>
    <row r="74" spans="1:53" s="67" customFormat="1" ht="16" thickBot="1">
      <c r="A74" s="70">
        <v>27</v>
      </c>
      <c r="B74" s="49">
        <f>資料儲存!D4018</f>
        <v>0</v>
      </c>
      <c r="C74" s="49">
        <f>資料儲存!E4018</f>
        <v>0</v>
      </c>
      <c r="D74" s="49">
        <f>資料儲存!F4018</f>
        <v>0</v>
      </c>
      <c r="E74" s="49">
        <f>資料儲存!G4018</f>
        <v>0</v>
      </c>
      <c r="F74" s="49">
        <f>資料儲存!H4018</f>
        <v>0</v>
      </c>
      <c r="G74" s="49">
        <f>資料儲存!I4018</f>
        <v>0</v>
      </c>
      <c r="H74" s="49">
        <f>資料儲存!J4018</f>
        <v>0</v>
      </c>
      <c r="I74" s="52"/>
      <c r="J74" s="70">
        <v>27</v>
      </c>
      <c r="K74" s="49">
        <f>資料儲存!D4078</f>
        <v>0</v>
      </c>
      <c r="L74" s="49">
        <f>資料儲存!E4078</f>
        <v>0</v>
      </c>
      <c r="M74" s="49">
        <f>資料儲存!F4078</f>
        <v>0</v>
      </c>
      <c r="N74" s="49">
        <f>資料儲存!G4078</f>
        <v>0</v>
      </c>
      <c r="O74" s="49">
        <f>資料儲存!H4078</f>
        <v>0</v>
      </c>
      <c r="P74" s="49">
        <f>資料儲存!I4078</f>
        <v>0</v>
      </c>
      <c r="Q74" s="49">
        <f>資料儲存!J4078</f>
        <v>0</v>
      </c>
      <c r="R74" s="52"/>
      <c r="S74" s="70">
        <v>27</v>
      </c>
      <c r="T74" s="49">
        <f>資料儲存!D4138</f>
        <v>0</v>
      </c>
      <c r="U74" s="49">
        <f>資料儲存!E4138</f>
        <v>0</v>
      </c>
      <c r="V74" s="49">
        <f>資料儲存!F4138</f>
        <v>0</v>
      </c>
      <c r="W74" s="49">
        <f>資料儲存!G4138</f>
        <v>0</v>
      </c>
      <c r="X74" s="49">
        <f>資料儲存!H4138</f>
        <v>0</v>
      </c>
      <c r="Y74" s="49">
        <f>資料儲存!I4138</f>
        <v>0</v>
      </c>
      <c r="Z74" s="49">
        <f>資料儲存!J4138</f>
        <v>0</v>
      </c>
      <c r="AA74" s="52"/>
      <c r="AB74" s="70">
        <v>27</v>
      </c>
      <c r="AC74" s="49">
        <f>資料儲存!D4198</f>
        <v>0</v>
      </c>
      <c r="AD74" s="49">
        <f>資料儲存!E4198</f>
        <v>0</v>
      </c>
      <c r="AE74" s="49">
        <f>資料儲存!F4198</f>
        <v>0</v>
      </c>
      <c r="AF74" s="49">
        <f>資料儲存!G4198</f>
        <v>0</v>
      </c>
      <c r="AG74" s="49">
        <f>資料儲存!H4198</f>
        <v>0</v>
      </c>
      <c r="AH74" s="49">
        <f>資料儲存!I4198</f>
        <v>0</v>
      </c>
      <c r="AI74" s="49">
        <f>資料儲存!J4198</f>
        <v>0</v>
      </c>
      <c r="AJ74" s="52"/>
      <c r="AK74" s="70">
        <v>27</v>
      </c>
      <c r="AL74" s="49">
        <f>資料儲存!D4258</f>
        <v>0</v>
      </c>
      <c r="AM74" s="49">
        <f>資料儲存!E4258</f>
        <v>0</v>
      </c>
      <c r="AN74" s="49">
        <f>資料儲存!F4258</f>
        <v>0</v>
      </c>
      <c r="AO74" s="49">
        <f>資料儲存!G4258</f>
        <v>0</v>
      </c>
      <c r="AP74" s="49">
        <f>資料儲存!H4258</f>
        <v>0</v>
      </c>
      <c r="AQ74" s="49">
        <f>資料儲存!I4258</f>
        <v>0</v>
      </c>
      <c r="AR74" s="49">
        <f>資料儲存!J4258</f>
        <v>0</v>
      </c>
      <c r="AT74" s="70">
        <v>27</v>
      </c>
      <c r="AU74" s="49">
        <f>資料儲存!D4318</f>
        <v>0</v>
      </c>
      <c r="AV74" s="49">
        <f>資料儲存!E4318</f>
        <v>0</v>
      </c>
      <c r="AW74" s="49">
        <f>資料儲存!F4318</f>
        <v>0</v>
      </c>
      <c r="AX74" s="49">
        <f>資料儲存!G4318</f>
        <v>0</v>
      </c>
      <c r="AY74" s="49">
        <f>資料儲存!H4318</f>
        <v>0</v>
      </c>
      <c r="AZ74" s="49">
        <f>資料儲存!I4318</f>
        <v>0</v>
      </c>
      <c r="BA74" s="49">
        <f>資料儲存!J4318</f>
        <v>0</v>
      </c>
    </row>
    <row r="75" spans="1:53" s="67" customFormat="1" ht="16" thickBot="1">
      <c r="A75" s="70">
        <v>28</v>
      </c>
      <c r="B75" s="49">
        <f>資料儲存!D4019</f>
        <v>0</v>
      </c>
      <c r="C75" s="49">
        <f>資料儲存!E4019</f>
        <v>0</v>
      </c>
      <c r="D75" s="49">
        <f>資料儲存!F4019</f>
        <v>0</v>
      </c>
      <c r="E75" s="49">
        <f>資料儲存!G4019</f>
        <v>0</v>
      </c>
      <c r="F75" s="49">
        <f>資料儲存!H4019</f>
        <v>0</v>
      </c>
      <c r="G75" s="49">
        <f>資料儲存!I4019</f>
        <v>0</v>
      </c>
      <c r="H75" s="49">
        <f>資料儲存!J4019</f>
        <v>0</v>
      </c>
      <c r="I75" s="52"/>
      <c r="J75" s="70">
        <v>28</v>
      </c>
      <c r="K75" s="49">
        <f>資料儲存!D4079</f>
        <v>0</v>
      </c>
      <c r="L75" s="49">
        <f>資料儲存!E4079</f>
        <v>0</v>
      </c>
      <c r="M75" s="49">
        <f>資料儲存!F4079</f>
        <v>0</v>
      </c>
      <c r="N75" s="49">
        <f>資料儲存!G4079</f>
        <v>0</v>
      </c>
      <c r="O75" s="49">
        <f>資料儲存!H4079</f>
        <v>0</v>
      </c>
      <c r="P75" s="49">
        <f>資料儲存!I4079</f>
        <v>0</v>
      </c>
      <c r="Q75" s="49">
        <f>資料儲存!J4079</f>
        <v>0</v>
      </c>
      <c r="R75" s="52"/>
      <c r="S75" s="70">
        <v>28</v>
      </c>
      <c r="T75" s="49">
        <f>資料儲存!D4139</f>
        <v>0</v>
      </c>
      <c r="U75" s="49">
        <f>資料儲存!E4139</f>
        <v>0</v>
      </c>
      <c r="V75" s="49">
        <f>資料儲存!F4139</f>
        <v>0</v>
      </c>
      <c r="W75" s="49">
        <f>資料儲存!G4139</f>
        <v>0</v>
      </c>
      <c r="X75" s="49">
        <f>資料儲存!H4139</f>
        <v>0</v>
      </c>
      <c r="Y75" s="49">
        <f>資料儲存!I4139</f>
        <v>0</v>
      </c>
      <c r="Z75" s="49">
        <f>資料儲存!J4139</f>
        <v>0</v>
      </c>
      <c r="AA75" s="52"/>
      <c r="AB75" s="70">
        <v>28</v>
      </c>
      <c r="AC75" s="49">
        <f>資料儲存!D4199</f>
        <v>0</v>
      </c>
      <c r="AD75" s="49">
        <f>資料儲存!E4199</f>
        <v>0</v>
      </c>
      <c r="AE75" s="49">
        <f>資料儲存!F4199</f>
        <v>0</v>
      </c>
      <c r="AF75" s="49">
        <f>資料儲存!G4199</f>
        <v>0</v>
      </c>
      <c r="AG75" s="49">
        <f>資料儲存!H4199</f>
        <v>0</v>
      </c>
      <c r="AH75" s="49">
        <f>資料儲存!I4199</f>
        <v>0</v>
      </c>
      <c r="AI75" s="49">
        <f>資料儲存!J4199</f>
        <v>0</v>
      </c>
      <c r="AJ75" s="52"/>
      <c r="AK75" s="70">
        <v>28</v>
      </c>
      <c r="AL75" s="49">
        <f>資料儲存!D4259</f>
        <v>0</v>
      </c>
      <c r="AM75" s="49">
        <f>資料儲存!E4259</f>
        <v>0</v>
      </c>
      <c r="AN75" s="49">
        <f>資料儲存!F4259</f>
        <v>0</v>
      </c>
      <c r="AO75" s="49">
        <f>資料儲存!G4259</f>
        <v>0</v>
      </c>
      <c r="AP75" s="49">
        <f>資料儲存!H4259</f>
        <v>0</v>
      </c>
      <c r="AQ75" s="49">
        <f>資料儲存!I4259</f>
        <v>0</v>
      </c>
      <c r="AR75" s="49">
        <f>資料儲存!J4259</f>
        <v>0</v>
      </c>
      <c r="AT75" s="70">
        <v>28</v>
      </c>
      <c r="AU75" s="49">
        <f>資料儲存!D4319</f>
        <v>0</v>
      </c>
      <c r="AV75" s="49">
        <f>資料儲存!E4319</f>
        <v>0</v>
      </c>
      <c r="AW75" s="49">
        <f>資料儲存!F4319</f>
        <v>0</v>
      </c>
      <c r="AX75" s="49">
        <f>資料儲存!G4319</f>
        <v>0</v>
      </c>
      <c r="AY75" s="49">
        <f>資料儲存!H4319</f>
        <v>0</v>
      </c>
      <c r="AZ75" s="49">
        <f>資料儲存!I4319</f>
        <v>0</v>
      </c>
      <c r="BA75" s="49">
        <f>資料儲存!J4319</f>
        <v>0</v>
      </c>
    </row>
    <row r="76" spans="1:53" s="67" customFormat="1" ht="16" thickBot="1">
      <c r="A76" s="70">
        <v>29</v>
      </c>
      <c r="B76" s="49">
        <f>資料儲存!D4020</f>
        <v>0</v>
      </c>
      <c r="C76" s="49">
        <f>資料儲存!E4020</f>
        <v>0</v>
      </c>
      <c r="D76" s="49">
        <f>資料儲存!F4020</f>
        <v>0</v>
      </c>
      <c r="E76" s="49">
        <f>資料儲存!G4020</f>
        <v>0</v>
      </c>
      <c r="F76" s="49">
        <f>資料儲存!H4020</f>
        <v>0</v>
      </c>
      <c r="G76" s="49">
        <f>資料儲存!I4020</f>
        <v>0</v>
      </c>
      <c r="H76" s="49">
        <f>資料儲存!J4020</f>
        <v>0</v>
      </c>
      <c r="I76" s="52"/>
      <c r="J76" s="70">
        <v>29</v>
      </c>
      <c r="K76" s="49">
        <f>資料儲存!D4080</f>
        <v>0</v>
      </c>
      <c r="L76" s="49">
        <f>資料儲存!E4080</f>
        <v>0</v>
      </c>
      <c r="M76" s="49">
        <f>資料儲存!F4080</f>
        <v>0</v>
      </c>
      <c r="N76" s="49">
        <f>資料儲存!G4080</f>
        <v>0</v>
      </c>
      <c r="O76" s="49">
        <f>資料儲存!H4080</f>
        <v>0</v>
      </c>
      <c r="P76" s="49">
        <f>資料儲存!I4080</f>
        <v>0</v>
      </c>
      <c r="Q76" s="49">
        <f>資料儲存!J4080</f>
        <v>0</v>
      </c>
      <c r="R76" s="52"/>
      <c r="S76" s="70">
        <v>29</v>
      </c>
      <c r="T76" s="49">
        <f>資料儲存!D4140</f>
        <v>0</v>
      </c>
      <c r="U76" s="49">
        <f>資料儲存!E4140</f>
        <v>0</v>
      </c>
      <c r="V76" s="49">
        <f>資料儲存!F4140</f>
        <v>0</v>
      </c>
      <c r="W76" s="49">
        <f>資料儲存!G4140</f>
        <v>0</v>
      </c>
      <c r="X76" s="49">
        <f>資料儲存!H4140</f>
        <v>0</v>
      </c>
      <c r="Y76" s="49">
        <f>資料儲存!I4140</f>
        <v>0</v>
      </c>
      <c r="Z76" s="49">
        <f>資料儲存!J4140</f>
        <v>0</v>
      </c>
      <c r="AA76" s="52"/>
      <c r="AB76" s="70">
        <v>29</v>
      </c>
      <c r="AC76" s="49">
        <f>資料儲存!D4200</f>
        <v>0</v>
      </c>
      <c r="AD76" s="49">
        <f>資料儲存!E4200</f>
        <v>0</v>
      </c>
      <c r="AE76" s="49">
        <f>資料儲存!F4200</f>
        <v>0</v>
      </c>
      <c r="AF76" s="49">
        <f>資料儲存!G4200</f>
        <v>0</v>
      </c>
      <c r="AG76" s="49">
        <f>資料儲存!H4200</f>
        <v>0</v>
      </c>
      <c r="AH76" s="49">
        <f>資料儲存!I4200</f>
        <v>0</v>
      </c>
      <c r="AI76" s="49">
        <f>資料儲存!J4200</f>
        <v>0</v>
      </c>
      <c r="AJ76" s="52"/>
      <c r="AK76" s="70">
        <v>29</v>
      </c>
      <c r="AL76" s="49">
        <f>資料儲存!D4260</f>
        <v>0</v>
      </c>
      <c r="AM76" s="49">
        <f>資料儲存!E4260</f>
        <v>0</v>
      </c>
      <c r="AN76" s="49">
        <f>資料儲存!F4260</f>
        <v>0</v>
      </c>
      <c r="AO76" s="49">
        <f>資料儲存!G4260</f>
        <v>0</v>
      </c>
      <c r="AP76" s="49">
        <f>資料儲存!H4260</f>
        <v>0</v>
      </c>
      <c r="AQ76" s="49">
        <f>資料儲存!I4260</f>
        <v>0</v>
      </c>
      <c r="AR76" s="49">
        <f>資料儲存!J4260</f>
        <v>0</v>
      </c>
      <c r="AT76" s="70">
        <v>29</v>
      </c>
      <c r="AU76" s="49">
        <f>資料儲存!D4320</f>
        <v>0</v>
      </c>
      <c r="AV76" s="49">
        <f>資料儲存!E4320</f>
        <v>0</v>
      </c>
      <c r="AW76" s="49">
        <f>資料儲存!F4320</f>
        <v>0</v>
      </c>
      <c r="AX76" s="49">
        <f>資料儲存!G4320</f>
        <v>0</v>
      </c>
      <c r="AY76" s="49">
        <f>資料儲存!H4320</f>
        <v>0</v>
      </c>
      <c r="AZ76" s="49">
        <f>資料儲存!I4320</f>
        <v>0</v>
      </c>
      <c r="BA76" s="49">
        <f>資料儲存!J4320</f>
        <v>0</v>
      </c>
    </row>
    <row r="77" spans="1:53" s="67" customFormat="1" ht="16" thickBot="1">
      <c r="A77" s="70">
        <v>30</v>
      </c>
      <c r="B77" s="49">
        <f>資料儲存!D4021</f>
        <v>0</v>
      </c>
      <c r="C77" s="49">
        <f>資料儲存!E4021</f>
        <v>0</v>
      </c>
      <c r="D77" s="49">
        <f>資料儲存!F4021</f>
        <v>0</v>
      </c>
      <c r="E77" s="49">
        <f>資料儲存!G4021</f>
        <v>0</v>
      </c>
      <c r="F77" s="49">
        <f>資料儲存!H4021</f>
        <v>0</v>
      </c>
      <c r="G77" s="49">
        <f>資料儲存!I4021</f>
        <v>0</v>
      </c>
      <c r="H77" s="49">
        <f>資料儲存!J4021</f>
        <v>0</v>
      </c>
      <c r="I77" s="52"/>
      <c r="J77" s="70">
        <v>30</v>
      </c>
      <c r="K77" s="49">
        <f>資料儲存!D4081</f>
        <v>0</v>
      </c>
      <c r="L77" s="49">
        <f>資料儲存!E4081</f>
        <v>0</v>
      </c>
      <c r="M77" s="49">
        <f>資料儲存!F4081</f>
        <v>0</v>
      </c>
      <c r="N77" s="49">
        <f>資料儲存!G4081</f>
        <v>0</v>
      </c>
      <c r="O77" s="49">
        <f>資料儲存!H4081</f>
        <v>0</v>
      </c>
      <c r="P77" s="49">
        <f>資料儲存!I4081</f>
        <v>0</v>
      </c>
      <c r="Q77" s="49">
        <f>資料儲存!J4081</f>
        <v>0</v>
      </c>
      <c r="R77" s="52"/>
      <c r="S77" s="70">
        <v>30</v>
      </c>
      <c r="T77" s="49">
        <f>資料儲存!D4141</f>
        <v>0</v>
      </c>
      <c r="U77" s="49">
        <f>資料儲存!E4141</f>
        <v>0</v>
      </c>
      <c r="V77" s="49">
        <f>資料儲存!F4141</f>
        <v>0</v>
      </c>
      <c r="W77" s="49">
        <f>資料儲存!G4141</f>
        <v>0</v>
      </c>
      <c r="X77" s="49">
        <f>資料儲存!H4141</f>
        <v>0</v>
      </c>
      <c r="Y77" s="49">
        <f>資料儲存!I4141</f>
        <v>0</v>
      </c>
      <c r="Z77" s="49">
        <f>資料儲存!J4141</f>
        <v>0</v>
      </c>
      <c r="AA77" s="52"/>
      <c r="AB77" s="70">
        <v>30</v>
      </c>
      <c r="AC77" s="49">
        <f>資料儲存!D4201</f>
        <v>0</v>
      </c>
      <c r="AD77" s="49">
        <f>資料儲存!E4201</f>
        <v>0</v>
      </c>
      <c r="AE77" s="49">
        <f>資料儲存!F4201</f>
        <v>0</v>
      </c>
      <c r="AF77" s="49">
        <f>資料儲存!G4201</f>
        <v>0</v>
      </c>
      <c r="AG77" s="49">
        <f>資料儲存!H4201</f>
        <v>0</v>
      </c>
      <c r="AH77" s="49">
        <f>資料儲存!I4201</f>
        <v>0</v>
      </c>
      <c r="AI77" s="49">
        <f>資料儲存!J4201</f>
        <v>0</v>
      </c>
      <c r="AJ77" s="52"/>
      <c r="AK77" s="70">
        <v>30</v>
      </c>
      <c r="AL77" s="49">
        <f>資料儲存!D4261</f>
        <v>0</v>
      </c>
      <c r="AM77" s="49">
        <f>資料儲存!E4261</f>
        <v>0</v>
      </c>
      <c r="AN77" s="49">
        <f>資料儲存!F4261</f>
        <v>0</v>
      </c>
      <c r="AO77" s="49">
        <f>資料儲存!G4261</f>
        <v>0</v>
      </c>
      <c r="AP77" s="49">
        <f>資料儲存!H4261</f>
        <v>0</v>
      </c>
      <c r="AQ77" s="49">
        <f>資料儲存!I4261</f>
        <v>0</v>
      </c>
      <c r="AR77" s="49">
        <f>資料儲存!J4261</f>
        <v>0</v>
      </c>
      <c r="AT77" s="70">
        <v>30</v>
      </c>
      <c r="AU77" s="49">
        <f>資料儲存!D4321</f>
        <v>0</v>
      </c>
      <c r="AV77" s="49">
        <f>資料儲存!E4321</f>
        <v>0</v>
      </c>
      <c r="AW77" s="49">
        <f>資料儲存!F4321</f>
        <v>0</v>
      </c>
      <c r="AX77" s="49">
        <f>資料儲存!G4321</f>
        <v>0</v>
      </c>
      <c r="AY77" s="49">
        <f>資料儲存!H4321</f>
        <v>0</v>
      </c>
      <c r="AZ77" s="49">
        <f>資料儲存!I4321</f>
        <v>0</v>
      </c>
      <c r="BA77" s="49">
        <f>資料儲存!J4321</f>
        <v>0</v>
      </c>
    </row>
    <row r="78" spans="1:53" s="67" customFormat="1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0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  <c r="AT78" s="50" t="s">
        <v>56</v>
      </c>
      <c r="AU78" s="49">
        <f>SUM(AU63:AX77)</f>
        <v>0</v>
      </c>
      <c r="AV78" s="47"/>
      <c r="AW78" s="47"/>
      <c r="AX78" s="47"/>
      <c r="AY78" s="49">
        <f>AY77</f>
        <v>0</v>
      </c>
      <c r="AZ78" s="49">
        <f>AZ77</f>
        <v>0</v>
      </c>
      <c r="BA78" s="49">
        <f>BA77</f>
        <v>0</v>
      </c>
    </row>
  </sheetData>
  <mergeCells count="36">
    <mergeCell ref="A1:H1"/>
    <mergeCell ref="J1:Q1"/>
    <mergeCell ref="S1:Z1"/>
    <mergeCell ref="AB1:AI1"/>
    <mergeCell ref="A2:H2"/>
    <mergeCell ref="J2:Q2"/>
    <mergeCell ref="S2:Z2"/>
    <mergeCell ref="AB2:AI2"/>
    <mergeCell ref="A3:H3"/>
    <mergeCell ref="J3:Q3"/>
    <mergeCell ref="S3:Z3"/>
    <mergeCell ref="AB3:AI3"/>
    <mergeCell ref="A22:H22"/>
    <mergeCell ref="J22:Q22"/>
    <mergeCell ref="S22:Z22"/>
    <mergeCell ref="AB22:AI22"/>
    <mergeCell ref="A41:H41"/>
    <mergeCell ref="J41:Q41"/>
    <mergeCell ref="S41:Z41"/>
    <mergeCell ref="AB41:AI41"/>
    <mergeCell ref="A60:H60"/>
    <mergeCell ref="J60:Q60"/>
    <mergeCell ref="S60:Z60"/>
    <mergeCell ref="AB60:AI60"/>
    <mergeCell ref="AT60:BA60"/>
    <mergeCell ref="AK1:AR1"/>
    <mergeCell ref="AK2:AR2"/>
    <mergeCell ref="AK3:AR3"/>
    <mergeCell ref="AK22:AR22"/>
    <mergeCell ref="AK41:AR41"/>
    <mergeCell ref="AK60:AR60"/>
    <mergeCell ref="AT1:BA1"/>
    <mergeCell ref="AT2:BA2"/>
    <mergeCell ref="AT3:BA3"/>
    <mergeCell ref="AT22:BA22"/>
    <mergeCell ref="AT41:BA41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1" manualBreakCount="1">
    <brk id="40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BA78"/>
  <sheetViews>
    <sheetView zoomScale="70" zoomScaleNormal="70" zoomScaleSheetLayoutView="70" workbookViewId="0">
      <pane ySplit="1" topLeftCell="A2" activePane="bottomLeft" state="frozen"/>
      <selection pane="bottomLeft" sqref="A1:H1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44" width="10.08984375" style="1"/>
    <col min="45" max="45" width="2.08984375" style="1" customWidth="1"/>
    <col min="46" max="16384" width="10.08984375" style="1"/>
  </cols>
  <sheetData>
    <row r="1" spans="1:53" s="11" customFormat="1" ht="18.5" thickBot="1">
      <c r="A1" s="254" t="str">
        <f>基本資料!$I$11</f>
        <v>假日(1730-1830)</v>
      </c>
      <c r="B1" s="255"/>
      <c r="C1" s="255"/>
      <c r="D1" s="255"/>
      <c r="E1" s="255"/>
      <c r="F1" s="255"/>
      <c r="G1" s="255"/>
      <c r="H1" s="256"/>
      <c r="J1" s="254" t="str">
        <f>基本資料!$I$11</f>
        <v>假日(1730-1830)</v>
      </c>
      <c r="K1" s="255"/>
      <c r="L1" s="255"/>
      <c r="M1" s="255"/>
      <c r="N1" s="255"/>
      <c r="O1" s="255"/>
      <c r="P1" s="255"/>
      <c r="Q1" s="256"/>
      <c r="S1" s="254" t="str">
        <f>基本資料!$I$11</f>
        <v>假日(1730-1830)</v>
      </c>
      <c r="T1" s="255"/>
      <c r="U1" s="255"/>
      <c r="V1" s="255"/>
      <c r="W1" s="255"/>
      <c r="X1" s="255"/>
      <c r="Y1" s="255"/>
      <c r="Z1" s="256"/>
      <c r="AB1" s="254" t="str">
        <f>基本資料!$I$11</f>
        <v>假日(1730-1830)</v>
      </c>
      <c r="AC1" s="255"/>
      <c r="AD1" s="255"/>
      <c r="AE1" s="255"/>
      <c r="AF1" s="255"/>
      <c r="AG1" s="255"/>
      <c r="AH1" s="255"/>
      <c r="AI1" s="256"/>
      <c r="AK1" s="254" t="str">
        <f>基本資料!$I$11</f>
        <v>假日(1730-1830)</v>
      </c>
      <c r="AL1" s="255"/>
      <c r="AM1" s="255"/>
      <c r="AN1" s="255"/>
      <c r="AO1" s="255"/>
      <c r="AP1" s="255"/>
      <c r="AQ1" s="255"/>
      <c r="AR1" s="256"/>
      <c r="AT1" s="254" t="str">
        <f>基本資料!$I$11</f>
        <v>假日(1730-1830)</v>
      </c>
      <c r="AU1" s="255"/>
      <c r="AV1" s="255"/>
      <c r="AW1" s="255"/>
      <c r="AX1" s="255"/>
      <c r="AY1" s="255"/>
      <c r="AZ1" s="255"/>
      <c r="BA1" s="256"/>
    </row>
    <row r="2" spans="1:53" ht="18.5" thickBot="1">
      <c r="A2" s="251" t="str">
        <f>CONCATENATE(基本資料!B18,"方向：",基本資料!B19,基本資料!B20)</f>
        <v>A方向：</v>
      </c>
      <c r="B2" s="252"/>
      <c r="C2" s="252"/>
      <c r="D2" s="252"/>
      <c r="E2" s="252"/>
      <c r="F2" s="252"/>
      <c r="G2" s="252"/>
      <c r="H2" s="253"/>
      <c r="I2" s="1"/>
      <c r="J2" s="251" t="str">
        <f>CONCATENATE(基本資料!C18,"方向：",基本資料!C19,基本資料!C20)</f>
        <v>B方向：</v>
      </c>
      <c r="K2" s="252"/>
      <c r="L2" s="252"/>
      <c r="M2" s="252"/>
      <c r="N2" s="252"/>
      <c r="O2" s="252"/>
      <c r="P2" s="252"/>
      <c r="Q2" s="253"/>
      <c r="R2" s="1"/>
      <c r="S2" s="251" t="str">
        <f>CONCATENATE(基本資料!D18,"方向：",基本資料!D19,基本資料!D20)</f>
        <v>C方向：</v>
      </c>
      <c r="T2" s="252"/>
      <c r="U2" s="252"/>
      <c r="V2" s="252"/>
      <c r="W2" s="252"/>
      <c r="X2" s="252"/>
      <c r="Y2" s="252"/>
      <c r="Z2" s="253"/>
      <c r="AA2" s="1"/>
      <c r="AB2" s="251" t="str">
        <f>CONCATENATE(基本資料!E18,"方向：",基本資料!E19,基本資料!E20)</f>
        <v>D方向：</v>
      </c>
      <c r="AC2" s="252"/>
      <c r="AD2" s="252"/>
      <c r="AE2" s="252"/>
      <c r="AF2" s="252"/>
      <c r="AG2" s="252"/>
      <c r="AH2" s="252"/>
      <c r="AI2" s="253"/>
      <c r="AJ2" s="1"/>
      <c r="AK2" s="251" t="str">
        <f>CONCATENATE(基本資料!F18,"方向：",基本資料!F19,基本資料!F20)</f>
        <v>E方向：</v>
      </c>
      <c r="AL2" s="252"/>
      <c r="AM2" s="252"/>
      <c r="AN2" s="252"/>
      <c r="AO2" s="252"/>
      <c r="AP2" s="252"/>
      <c r="AQ2" s="252"/>
      <c r="AR2" s="253"/>
      <c r="AT2" s="251" t="str">
        <f>CONCATENATE(基本資料!G18,"方向：",基本資料!G19,基本資料!G20)</f>
        <v>F方向：</v>
      </c>
      <c r="AU2" s="252"/>
      <c r="AV2" s="252"/>
      <c r="AW2" s="252"/>
      <c r="AX2" s="252"/>
      <c r="AY2" s="252"/>
      <c r="AZ2" s="252"/>
      <c r="BA2" s="253"/>
    </row>
    <row r="3" spans="1:53" ht="18.5" thickBot="1">
      <c r="A3" s="248" t="s">
        <v>113</v>
      </c>
      <c r="B3" s="249"/>
      <c r="C3" s="249"/>
      <c r="D3" s="249"/>
      <c r="E3" s="249"/>
      <c r="F3" s="249"/>
      <c r="G3" s="249"/>
      <c r="H3" s="250"/>
      <c r="I3" s="22"/>
      <c r="J3" s="248" t="s">
        <v>113</v>
      </c>
      <c r="K3" s="249"/>
      <c r="L3" s="249"/>
      <c r="M3" s="249"/>
      <c r="N3" s="249"/>
      <c r="O3" s="249"/>
      <c r="P3" s="249"/>
      <c r="Q3" s="250"/>
      <c r="R3" s="22"/>
      <c r="S3" s="248" t="s">
        <v>113</v>
      </c>
      <c r="T3" s="249"/>
      <c r="U3" s="249"/>
      <c r="V3" s="249"/>
      <c r="W3" s="249"/>
      <c r="X3" s="249"/>
      <c r="Y3" s="249"/>
      <c r="Z3" s="250"/>
      <c r="AA3" s="22"/>
      <c r="AB3" s="248" t="s">
        <v>113</v>
      </c>
      <c r="AC3" s="249"/>
      <c r="AD3" s="249"/>
      <c r="AE3" s="249"/>
      <c r="AF3" s="249"/>
      <c r="AG3" s="249"/>
      <c r="AH3" s="249"/>
      <c r="AI3" s="250"/>
      <c r="AJ3" s="22"/>
      <c r="AK3" s="248" t="s">
        <v>113</v>
      </c>
      <c r="AL3" s="249"/>
      <c r="AM3" s="249"/>
      <c r="AN3" s="249"/>
      <c r="AO3" s="249"/>
      <c r="AP3" s="249"/>
      <c r="AQ3" s="249"/>
      <c r="AR3" s="250"/>
      <c r="AT3" s="248" t="s">
        <v>113</v>
      </c>
      <c r="AU3" s="249"/>
      <c r="AV3" s="249"/>
      <c r="AW3" s="249"/>
      <c r="AX3" s="249"/>
      <c r="AY3" s="249"/>
      <c r="AZ3" s="249"/>
      <c r="BA3" s="250"/>
    </row>
    <row r="4" spans="1:53" s="59" customFormat="1" ht="17.25" customHeight="1" thickBot="1">
      <c r="A4" s="54" t="s">
        <v>2</v>
      </c>
      <c r="B4" s="55" t="s">
        <v>46</v>
      </c>
      <c r="C4" s="56"/>
      <c r="D4" s="56"/>
      <c r="E4" s="57"/>
      <c r="F4" s="55" t="s">
        <v>47</v>
      </c>
      <c r="G4" s="56"/>
      <c r="H4" s="57"/>
      <c r="I4" s="58"/>
      <c r="J4" s="54" t="s">
        <v>2</v>
      </c>
      <c r="K4" s="55" t="s">
        <v>46</v>
      </c>
      <c r="L4" s="56"/>
      <c r="M4" s="56"/>
      <c r="N4" s="57"/>
      <c r="O4" s="55" t="s">
        <v>47</v>
      </c>
      <c r="P4" s="56"/>
      <c r="Q4" s="57"/>
      <c r="R4" s="58"/>
      <c r="S4" s="54" t="s">
        <v>2</v>
      </c>
      <c r="T4" s="55" t="s">
        <v>46</v>
      </c>
      <c r="U4" s="56"/>
      <c r="V4" s="56"/>
      <c r="W4" s="57"/>
      <c r="X4" s="55" t="s">
        <v>47</v>
      </c>
      <c r="Y4" s="56"/>
      <c r="Z4" s="57"/>
      <c r="AA4" s="58"/>
      <c r="AB4" s="54" t="s">
        <v>2</v>
      </c>
      <c r="AC4" s="55" t="s">
        <v>46</v>
      </c>
      <c r="AD4" s="56"/>
      <c r="AE4" s="56"/>
      <c r="AF4" s="57"/>
      <c r="AG4" s="55" t="s">
        <v>47</v>
      </c>
      <c r="AH4" s="56"/>
      <c r="AI4" s="57"/>
      <c r="AJ4" s="58"/>
      <c r="AK4" s="54" t="s">
        <v>2</v>
      </c>
      <c r="AL4" s="55" t="s">
        <v>46</v>
      </c>
      <c r="AM4" s="56"/>
      <c r="AN4" s="56"/>
      <c r="AO4" s="57"/>
      <c r="AP4" s="55" t="s">
        <v>47</v>
      </c>
      <c r="AQ4" s="56"/>
      <c r="AR4" s="57"/>
      <c r="AT4" s="54" t="s">
        <v>2</v>
      </c>
      <c r="AU4" s="55" t="s">
        <v>46</v>
      </c>
      <c r="AV4" s="56"/>
      <c r="AW4" s="56"/>
      <c r="AX4" s="57"/>
      <c r="AY4" s="55" t="s">
        <v>47</v>
      </c>
      <c r="AZ4" s="56"/>
      <c r="BA4" s="57"/>
    </row>
    <row r="5" spans="1:53" s="59" customFormat="1" ht="16" thickBot="1">
      <c r="A5" s="60">
        <v>0.72916666666666663</v>
      </c>
      <c r="B5" s="61" t="s">
        <v>49</v>
      </c>
      <c r="C5" s="61" t="s">
        <v>50</v>
      </c>
      <c r="D5" s="61" t="s">
        <v>51</v>
      </c>
      <c r="E5" s="61" t="s">
        <v>52</v>
      </c>
      <c r="F5" s="61" t="s">
        <v>53</v>
      </c>
      <c r="G5" s="61" t="s">
        <v>54</v>
      </c>
      <c r="H5" s="61" t="s">
        <v>55</v>
      </c>
      <c r="I5" s="58"/>
      <c r="J5" s="60">
        <v>0.72916666666666663</v>
      </c>
      <c r="K5" s="61" t="s">
        <v>49</v>
      </c>
      <c r="L5" s="61" t="s">
        <v>50</v>
      </c>
      <c r="M5" s="61" t="s">
        <v>51</v>
      </c>
      <c r="N5" s="61" t="s">
        <v>52</v>
      </c>
      <c r="O5" s="61" t="s">
        <v>53</v>
      </c>
      <c r="P5" s="61" t="s">
        <v>54</v>
      </c>
      <c r="Q5" s="61" t="s">
        <v>55</v>
      </c>
      <c r="R5" s="58"/>
      <c r="S5" s="60">
        <v>0.72916666666666663</v>
      </c>
      <c r="T5" s="61" t="s">
        <v>49</v>
      </c>
      <c r="U5" s="61" t="s">
        <v>50</v>
      </c>
      <c r="V5" s="61" t="s">
        <v>51</v>
      </c>
      <c r="W5" s="61" t="s">
        <v>52</v>
      </c>
      <c r="X5" s="61" t="s">
        <v>53</v>
      </c>
      <c r="Y5" s="61" t="s">
        <v>54</v>
      </c>
      <c r="Z5" s="61" t="s">
        <v>55</v>
      </c>
      <c r="AA5" s="58"/>
      <c r="AB5" s="60">
        <v>0.72916666666666663</v>
      </c>
      <c r="AC5" s="61" t="s">
        <v>49</v>
      </c>
      <c r="AD5" s="61" t="s">
        <v>50</v>
      </c>
      <c r="AE5" s="61" t="s">
        <v>51</v>
      </c>
      <c r="AF5" s="61" t="s">
        <v>52</v>
      </c>
      <c r="AG5" s="61" t="s">
        <v>53</v>
      </c>
      <c r="AH5" s="61" t="s">
        <v>54</v>
      </c>
      <c r="AI5" s="61" t="s">
        <v>55</v>
      </c>
      <c r="AJ5" s="58"/>
      <c r="AK5" s="60">
        <v>0.72916666666666663</v>
      </c>
      <c r="AL5" s="61" t="s">
        <v>49</v>
      </c>
      <c r="AM5" s="61" t="s">
        <v>50</v>
      </c>
      <c r="AN5" s="61" t="s">
        <v>51</v>
      </c>
      <c r="AO5" s="61" t="s">
        <v>52</v>
      </c>
      <c r="AP5" s="61" t="s">
        <v>53</v>
      </c>
      <c r="AQ5" s="61" t="s">
        <v>54</v>
      </c>
      <c r="AR5" s="61" t="s">
        <v>55</v>
      </c>
      <c r="AT5" s="60">
        <v>0.72916666666666663</v>
      </c>
      <c r="AU5" s="61" t="s">
        <v>49</v>
      </c>
      <c r="AV5" s="61" t="s">
        <v>50</v>
      </c>
      <c r="AW5" s="61" t="s">
        <v>51</v>
      </c>
      <c r="AX5" s="61" t="s">
        <v>52</v>
      </c>
      <c r="AY5" s="61" t="s">
        <v>53</v>
      </c>
      <c r="AZ5" s="61" t="s">
        <v>54</v>
      </c>
      <c r="BA5" s="61" t="s">
        <v>55</v>
      </c>
    </row>
    <row r="6" spans="1:53" s="59" customFormat="1" ht="16" thickBot="1">
      <c r="A6" s="62">
        <v>31</v>
      </c>
      <c r="B6" s="39">
        <f>資料儲存!D4322</f>
        <v>0</v>
      </c>
      <c r="C6" s="39">
        <f>資料儲存!E4322</f>
        <v>0</v>
      </c>
      <c r="D6" s="39">
        <f>資料儲存!F4322</f>
        <v>0</v>
      </c>
      <c r="E6" s="39">
        <f>資料儲存!G4322</f>
        <v>0</v>
      </c>
      <c r="F6" s="39">
        <f>資料儲存!H4322</f>
        <v>0</v>
      </c>
      <c r="G6" s="39">
        <f>資料儲存!I4322</f>
        <v>0</v>
      </c>
      <c r="H6" s="39">
        <f>資料儲存!J4322</f>
        <v>0</v>
      </c>
      <c r="I6" s="58"/>
      <c r="J6" s="62">
        <v>31</v>
      </c>
      <c r="K6" s="39">
        <f>資料儲存!D4382</f>
        <v>0</v>
      </c>
      <c r="L6" s="39">
        <f>資料儲存!E4382</f>
        <v>0</v>
      </c>
      <c r="M6" s="39">
        <f>資料儲存!F4382</f>
        <v>0</v>
      </c>
      <c r="N6" s="39">
        <f>資料儲存!G4382</f>
        <v>0</v>
      </c>
      <c r="O6" s="39">
        <f>資料儲存!H4382</f>
        <v>0</v>
      </c>
      <c r="P6" s="39">
        <f>資料儲存!I4382</f>
        <v>0</v>
      </c>
      <c r="Q6" s="39">
        <f>資料儲存!J4382</f>
        <v>0</v>
      </c>
      <c r="R6" s="58"/>
      <c r="S6" s="62">
        <v>31</v>
      </c>
      <c r="T6" s="39">
        <f>資料儲存!D4442</f>
        <v>0</v>
      </c>
      <c r="U6" s="39">
        <f>資料儲存!E4442</f>
        <v>0</v>
      </c>
      <c r="V6" s="39">
        <f>資料儲存!F4442</f>
        <v>0</v>
      </c>
      <c r="W6" s="39">
        <f>資料儲存!G4442</f>
        <v>0</v>
      </c>
      <c r="X6" s="39">
        <f>資料儲存!H4442</f>
        <v>0</v>
      </c>
      <c r="Y6" s="39">
        <f>資料儲存!I4442</f>
        <v>0</v>
      </c>
      <c r="Z6" s="39">
        <f>資料儲存!J4442</f>
        <v>0</v>
      </c>
      <c r="AA6" s="58"/>
      <c r="AB6" s="62">
        <v>31</v>
      </c>
      <c r="AC6" s="39">
        <f>資料儲存!D4502</f>
        <v>0</v>
      </c>
      <c r="AD6" s="39">
        <f>資料儲存!E4502</f>
        <v>0</v>
      </c>
      <c r="AE6" s="39">
        <f>資料儲存!F4502</f>
        <v>0</v>
      </c>
      <c r="AF6" s="39">
        <f>資料儲存!G4502</f>
        <v>0</v>
      </c>
      <c r="AG6" s="39">
        <f>資料儲存!H4502</f>
        <v>0</v>
      </c>
      <c r="AH6" s="39">
        <f>資料儲存!I4502</f>
        <v>0</v>
      </c>
      <c r="AI6" s="39">
        <f>資料儲存!J4502</f>
        <v>0</v>
      </c>
      <c r="AJ6" s="58"/>
      <c r="AK6" s="62">
        <v>31</v>
      </c>
      <c r="AL6" s="39">
        <f>資料儲存!D4562</f>
        <v>0</v>
      </c>
      <c r="AM6" s="39">
        <f>資料儲存!E4562</f>
        <v>0</v>
      </c>
      <c r="AN6" s="39">
        <f>資料儲存!F4562</f>
        <v>0</v>
      </c>
      <c r="AO6" s="39">
        <f>資料儲存!G4562</f>
        <v>0</v>
      </c>
      <c r="AP6" s="39">
        <f>資料儲存!H4562</f>
        <v>0</v>
      </c>
      <c r="AQ6" s="39">
        <f>資料儲存!I4562</f>
        <v>0</v>
      </c>
      <c r="AR6" s="39">
        <f>資料儲存!J4562</f>
        <v>0</v>
      </c>
      <c r="AT6" s="62">
        <v>31</v>
      </c>
      <c r="AU6" s="39">
        <f>資料儲存!D4622</f>
        <v>0</v>
      </c>
      <c r="AV6" s="39">
        <f>資料儲存!E4622</f>
        <v>0</v>
      </c>
      <c r="AW6" s="39">
        <f>資料儲存!F4622</f>
        <v>0</v>
      </c>
      <c r="AX6" s="39">
        <f>資料儲存!G4622</f>
        <v>0</v>
      </c>
      <c r="AY6" s="39">
        <f>資料儲存!H4622</f>
        <v>0</v>
      </c>
      <c r="AZ6" s="39">
        <f>資料儲存!I4622</f>
        <v>0</v>
      </c>
      <c r="BA6" s="39">
        <f>資料儲存!J4622</f>
        <v>0</v>
      </c>
    </row>
    <row r="7" spans="1:53" s="59" customFormat="1" ht="16" thickBot="1">
      <c r="A7" s="62">
        <v>32</v>
      </c>
      <c r="B7" s="39">
        <f>資料儲存!D4323</f>
        <v>0</v>
      </c>
      <c r="C7" s="39">
        <f>資料儲存!E4323</f>
        <v>0</v>
      </c>
      <c r="D7" s="39">
        <f>資料儲存!F4323</f>
        <v>0</v>
      </c>
      <c r="E7" s="39">
        <f>資料儲存!G4323</f>
        <v>0</v>
      </c>
      <c r="F7" s="39">
        <f>資料儲存!H4323</f>
        <v>0</v>
      </c>
      <c r="G7" s="39">
        <f>資料儲存!I4323</f>
        <v>0</v>
      </c>
      <c r="H7" s="39">
        <f>資料儲存!J4323</f>
        <v>0</v>
      </c>
      <c r="I7" s="58"/>
      <c r="J7" s="62">
        <v>32</v>
      </c>
      <c r="K7" s="39">
        <f>資料儲存!D4383</f>
        <v>0</v>
      </c>
      <c r="L7" s="39">
        <f>資料儲存!E4383</f>
        <v>0</v>
      </c>
      <c r="M7" s="39">
        <f>資料儲存!F4383</f>
        <v>0</v>
      </c>
      <c r="N7" s="39">
        <f>資料儲存!G4383</f>
        <v>0</v>
      </c>
      <c r="O7" s="39">
        <f>資料儲存!H4383</f>
        <v>0</v>
      </c>
      <c r="P7" s="39">
        <f>資料儲存!I4383</f>
        <v>0</v>
      </c>
      <c r="Q7" s="39">
        <f>資料儲存!J4383</f>
        <v>0</v>
      </c>
      <c r="R7" s="58"/>
      <c r="S7" s="62">
        <v>32</v>
      </c>
      <c r="T7" s="39">
        <f>資料儲存!D4443</f>
        <v>0</v>
      </c>
      <c r="U7" s="39">
        <f>資料儲存!E4443</f>
        <v>0</v>
      </c>
      <c r="V7" s="39">
        <f>資料儲存!F4443</f>
        <v>0</v>
      </c>
      <c r="W7" s="39">
        <f>資料儲存!G4443</f>
        <v>0</v>
      </c>
      <c r="X7" s="39">
        <f>資料儲存!H4443</f>
        <v>0</v>
      </c>
      <c r="Y7" s="39">
        <f>資料儲存!I4443</f>
        <v>0</v>
      </c>
      <c r="Z7" s="39">
        <f>資料儲存!J4443</f>
        <v>0</v>
      </c>
      <c r="AA7" s="58"/>
      <c r="AB7" s="62">
        <v>32</v>
      </c>
      <c r="AC7" s="39">
        <f>資料儲存!D4503</f>
        <v>0</v>
      </c>
      <c r="AD7" s="39">
        <f>資料儲存!E4503</f>
        <v>0</v>
      </c>
      <c r="AE7" s="39">
        <f>資料儲存!F4503</f>
        <v>0</v>
      </c>
      <c r="AF7" s="39">
        <f>資料儲存!G4503</f>
        <v>0</v>
      </c>
      <c r="AG7" s="39">
        <f>資料儲存!H4503</f>
        <v>0</v>
      </c>
      <c r="AH7" s="39">
        <f>資料儲存!I4503</f>
        <v>0</v>
      </c>
      <c r="AI7" s="39">
        <f>資料儲存!J4503</f>
        <v>0</v>
      </c>
      <c r="AJ7" s="58"/>
      <c r="AK7" s="62">
        <v>32</v>
      </c>
      <c r="AL7" s="39">
        <f>資料儲存!D4563</f>
        <v>0</v>
      </c>
      <c r="AM7" s="39">
        <f>資料儲存!E4563</f>
        <v>0</v>
      </c>
      <c r="AN7" s="39">
        <f>資料儲存!F4563</f>
        <v>0</v>
      </c>
      <c r="AO7" s="39">
        <f>資料儲存!G4563</f>
        <v>0</v>
      </c>
      <c r="AP7" s="39">
        <f>資料儲存!H4563</f>
        <v>0</v>
      </c>
      <c r="AQ7" s="39">
        <f>資料儲存!I4563</f>
        <v>0</v>
      </c>
      <c r="AR7" s="39">
        <f>資料儲存!J4563</f>
        <v>0</v>
      </c>
      <c r="AT7" s="62">
        <v>32</v>
      </c>
      <c r="AU7" s="39">
        <f>資料儲存!D4623</f>
        <v>0</v>
      </c>
      <c r="AV7" s="39">
        <f>資料儲存!E4623</f>
        <v>0</v>
      </c>
      <c r="AW7" s="39">
        <f>資料儲存!F4623</f>
        <v>0</v>
      </c>
      <c r="AX7" s="39">
        <f>資料儲存!G4623</f>
        <v>0</v>
      </c>
      <c r="AY7" s="39">
        <f>資料儲存!H4623</f>
        <v>0</v>
      </c>
      <c r="AZ7" s="39">
        <f>資料儲存!I4623</f>
        <v>0</v>
      </c>
      <c r="BA7" s="39">
        <f>資料儲存!J4623</f>
        <v>0</v>
      </c>
    </row>
    <row r="8" spans="1:53" s="59" customFormat="1" ht="16" thickBot="1">
      <c r="A8" s="62">
        <v>33</v>
      </c>
      <c r="B8" s="39">
        <f>資料儲存!D4324</f>
        <v>0</v>
      </c>
      <c r="C8" s="39">
        <f>資料儲存!E4324</f>
        <v>0</v>
      </c>
      <c r="D8" s="39">
        <f>資料儲存!F4324</f>
        <v>0</v>
      </c>
      <c r="E8" s="39">
        <f>資料儲存!G4324</f>
        <v>0</v>
      </c>
      <c r="F8" s="39">
        <f>資料儲存!H4324</f>
        <v>0</v>
      </c>
      <c r="G8" s="39">
        <f>資料儲存!I4324</f>
        <v>0</v>
      </c>
      <c r="H8" s="39">
        <f>資料儲存!J4324</f>
        <v>0</v>
      </c>
      <c r="I8" s="58"/>
      <c r="J8" s="62">
        <v>33</v>
      </c>
      <c r="K8" s="39">
        <f>資料儲存!D4384</f>
        <v>0</v>
      </c>
      <c r="L8" s="39">
        <f>資料儲存!E4384</f>
        <v>0</v>
      </c>
      <c r="M8" s="39">
        <f>資料儲存!F4384</f>
        <v>0</v>
      </c>
      <c r="N8" s="39">
        <f>資料儲存!G4384</f>
        <v>0</v>
      </c>
      <c r="O8" s="39">
        <f>資料儲存!H4384</f>
        <v>0</v>
      </c>
      <c r="P8" s="39">
        <f>資料儲存!I4384</f>
        <v>0</v>
      </c>
      <c r="Q8" s="39">
        <f>資料儲存!J4384</f>
        <v>0</v>
      </c>
      <c r="R8" s="58"/>
      <c r="S8" s="62">
        <v>33</v>
      </c>
      <c r="T8" s="39">
        <f>資料儲存!D4444</f>
        <v>0</v>
      </c>
      <c r="U8" s="39">
        <f>資料儲存!E4444</f>
        <v>0</v>
      </c>
      <c r="V8" s="39">
        <f>資料儲存!F4444</f>
        <v>0</v>
      </c>
      <c r="W8" s="39">
        <f>資料儲存!G4444</f>
        <v>0</v>
      </c>
      <c r="X8" s="39">
        <f>資料儲存!H4444</f>
        <v>0</v>
      </c>
      <c r="Y8" s="39">
        <f>資料儲存!I4444</f>
        <v>0</v>
      </c>
      <c r="Z8" s="39">
        <f>資料儲存!J4444</f>
        <v>0</v>
      </c>
      <c r="AA8" s="58"/>
      <c r="AB8" s="62">
        <v>33</v>
      </c>
      <c r="AC8" s="39">
        <f>資料儲存!D4504</f>
        <v>0</v>
      </c>
      <c r="AD8" s="39">
        <f>資料儲存!E4504</f>
        <v>0</v>
      </c>
      <c r="AE8" s="39">
        <f>資料儲存!F4504</f>
        <v>0</v>
      </c>
      <c r="AF8" s="39">
        <f>資料儲存!G4504</f>
        <v>0</v>
      </c>
      <c r="AG8" s="39">
        <f>資料儲存!H4504</f>
        <v>0</v>
      </c>
      <c r="AH8" s="39">
        <f>資料儲存!I4504</f>
        <v>0</v>
      </c>
      <c r="AI8" s="39">
        <f>資料儲存!J4504</f>
        <v>0</v>
      </c>
      <c r="AJ8" s="58"/>
      <c r="AK8" s="62">
        <v>33</v>
      </c>
      <c r="AL8" s="39">
        <f>資料儲存!D4564</f>
        <v>0</v>
      </c>
      <c r="AM8" s="39">
        <f>資料儲存!E4564</f>
        <v>0</v>
      </c>
      <c r="AN8" s="39">
        <f>資料儲存!F4564</f>
        <v>0</v>
      </c>
      <c r="AO8" s="39">
        <f>資料儲存!G4564</f>
        <v>0</v>
      </c>
      <c r="AP8" s="39">
        <f>資料儲存!H4564</f>
        <v>0</v>
      </c>
      <c r="AQ8" s="39">
        <f>資料儲存!I4564</f>
        <v>0</v>
      </c>
      <c r="AR8" s="39">
        <f>資料儲存!J4564</f>
        <v>0</v>
      </c>
      <c r="AT8" s="62">
        <v>33</v>
      </c>
      <c r="AU8" s="39">
        <f>資料儲存!D4624</f>
        <v>0</v>
      </c>
      <c r="AV8" s="39">
        <f>資料儲存!E4624</f>
        <v>0</v>
      </c>
      <c r="AW8" s="39">
        <f>資料儲存!F4624</f>
        <v>0</v>
      </c>
      <c r="AX8" s="39">
        <f>資料儲存!G4624</f>
        <v>0</v>
      </c>
      <c r="AY8" s="39">
        <f>資料儲存!H4624</f>
        <v>0</v>
      </c>
      <c r="AZ8" s="39">
        <f>資料儲存!I4624</f>
        <v>0</v>
      </c>
      <c r="BA8" s="39">
        <f>資料儲存!J4624</f>
        <v>0</v>
      </c>
    </row>
    <row r="9" spans="1:53" s="59" customFormat="1" ht="16" thickBot="1">
      <c r="A9" s="62">
        <v>34</v>
      </c>
      <c r="B9" s="39">
        <f>資料儲存!D4325</f>
        <v>0</v>
      </c>
      <c r="C9" s="39">
        <f>資料儲存!E4325</f>
        <v>0</v>
      </c>
      <c r="D9" s="39">
        <f>資料儲存!F4325</f>
        <v>0</v>
      </c>
      <c r="E9" s="39">
        <f>資料儲存!G4325</f>
        <v>0</v>
      </c>
      <c r="F9" s="39">
        <f>資料儲存!H4325</f>
        <v>0</v>
      </c>
      <c r="G9" s="39">
        <f>資料儲存!I4325</f>
        <v>0</v>
      </c>
      <c r="H9" s="39">
        <f>資料儲存!J4325</f>
        <v>0</v>
      </c>
      <c r="I9" s="58"/>
      <c r="J9" s="62">
        <v>34</v>
      </c>
      <c r="K9" s="39">
        <f>資料儲存!D4385</f>
        <v>0</v>
      </c>
      <c r="L9" s="39">
        <f>資料儲存!E4385</f>
        <v>0</v>
      </c>
      <c r="M9" s="39">
        <f>資料儲存!F4385</f>
        <v>0</v>
      </c>
      <c r="N9" s="39">
        <f>資料儲存!G4385</f>
        <v>0</v>
      </c>
      <c r="O9" s="39">
        <f>資料儲存!H4385</f>
        <v>0</v>
      </c>
      <c r="P9" s="39">
        <f>資料儲存!I4385</f>
        <v>0</v>
      </c>
      <c r="Q9" s="39">
        <f>資料儲存!J4385</f>
        <v>0</v>
      </c>
      <c r="R9" s="58"/>
      <c r="S9" s="62">
        <v>34</v>
      </c>
      <c r="T9" s="39">
        <f>資料儲存!D4445</f>
        <v>0</v>
      </c>
      <c r="U9" s="39">
        <f>資料儲存!E4445</f>
        <v>0</v>
      </c>
      <c r="V9" s="39">
        <f>資料儲存!F4445</f>
        <v>0</v>
      </c>
      <c r="W9" s="39">
        <f>資料儲存!G4445</f>
        <v>0</v>
      </c>
      <c r="X9" s="39">
        <f>資料儲存!H4445</f>
        <v>0</v>
      </c>
      <c r="Y9" s="39">
        <f>資料儲存!I4445</f>
        <v>0</v>
      </c>
      <c r="Z9" s="39">
        <f>資料儲存!J4445</f>
        <v>0</v>
      </c>
      <c r="AA9" s="58"/>
      <c r="AB9" s="62">
        <v>34</v>
      </c>
      <c r="AC9" s="39">
        <f>資料儲存!D4505</f>
        <v>0</v>
      </c>
      <c r="AD9" s="39">
        <f>資料儲存!E4505</f>
        <v>0</v>
      </c>
      <c r="AE9" s="39">
        <f>資料儲存!F4505</f>
        <v>0</v>
      </c>
      <c r="AF9" s="39">
        <f>資料儲存!G4505</f>
        <v>0</v>
      </c>
      <c r="AG9" s="39">
        <f>資料儲存!H4505</f>
        <v>0</v>
      </c>
      <c r="AH9" s="39">
        <f>資料儲存!I4505</f>
        <v>0</v>
      </c>
      <c r="AI9" s="39">
        <f>資料儲存!J4505</f>
        <v>0</v>
      </c>
      <c r="AJ9" s="58"/>
      <c r="AK9" s="62">
        <v>34</v>
      </c>
      <c r="AL9" s="39">
        <f>資料儲存!D4565</f>
        <v>0</v>
      </c>
      <c r="AM9" s="39">
        <f>資料儲存!E4565</f>
        <v>0</v>
      </c>
      <c r="AN9" s="39">
        <f>資料儲存!F4565</f>
        <v>0</v>
      </c>
      <c r="AO9" s="39">
        <f>資料儲存!G4565</f>
        <v>0</v>
      </c>
      <c r="AP9" s="39">
        <f>資料儲存!H4565</f>
        <v>0</v>
      </c>
      <c r="AQ9" s="39">
        <f>資料儲存!I4565</f>
        <v>0</v>
      </c>
      <c r="AR9" s="39">
        <f>資料儲存!J4565</f>
        <v>0</v>
      </c>
      <c r="AT9" s="62">
        <v>34</v>
      </c>
      <c r="AU9" s="39">
        <f>資料儲存!D4625</f>
        <v>0</v>
      </c>
      <c r="AV9" s="39">
        <f>資料儲存!E4625</f>
        <v>0</v>
      </c>
      <c r="AW9" s="39">
        <f>資料儲存!F4625</f>
        <v>0</v>
      </c>
      <c r="AX9" s="39">
        <f>資料儲存!G4625</f>
        <v>0</v>
      </c>
      <c r="AY9" s="39">
        <f>資料儲存!H4625</f>
        <v>0</v>
      </c>
      <c r="AZ9" s="39">
        <f>資料儲存!I4625</f>
        <v>0</v>
      </c>
      <c r="BA9" s="39">
        <f>資料儲存!J4625</f>
        <v>0</v>
      </c>
    </row>
    <row r="10" spans="1:53" s="59" customFormat="1" ht="16" thickBot="1">
      <c r="A10" s="62">
        <v>35</v>
      </c>
      <c r="B10" s="39">
        <f>資料儲存!D4326</f>
        <v>0</v>
      </c>
      <c r="C10" s="39">
        <f>資料儲存!E4326</f>
        <v>0</v>
      </c>
      <c r="D10" s="39">
        <f>資料儲存!F4326</f>
        <v>0</v>
      </c>
      <c r="E10" s="39">
        <f>資料儲存!G4326</f>
        <v>0</v>
      </c>
      <c r="F10" s="39">
        <f>資料儲存!H4326</f>
        <v>0</v>
      </c>
      <c r="G10" s="39">
        <f>資料儲存!I4326</f>
        <v>0</v>
      </c>
      <c r="H10" s="39">
        <f>資料儲存!J4326</f>
        <v>0</v>
      </c>
      <c r="I10" s="58"/>
      <c r="J10" s="62">
        <v>35</v>
      </c>
      <c r="K10" s="39">
        <f>資料儲存!D4386</f>
        <v>0</v>
      </c>
      <c r="L10" s="39">
        <f>資料儲存!E4386</f>
        <v>0</v>
      </c>
      <c r="M10" s="39">
        <f>資料儲存!F4386</f>
        <v>0</v>
      </c>
      <c r="N10" s="39">
        <f>資料儲存!G4386</f>
        <v>0</v>
      </c>
      <c r="O10" s="39">
        <f>資料儲存!H4386</f>
        <v>0</v>
      </c>
      <c r="P10" s="39">
        <f>資料儲存!I4386</f>
        <v>0</v>
      </c>
      <c r="Q10" s="39">
        <f>資料儲存!J4386</f>
        <v>0</v>
      </c>
      <c r="R10" s="58"/>
      <c r="S10" s="62">
        <v>35</v>
      </c>
      <c r="T10" s="39">
        <f>資料儲存!D4446</f>
        <v>0</v>
      </c>
      <c r="U10" s="39">
        <f>資料儲存!E4446</f>
        <v>0</v>
      </c>
      <c r="V10" s="39">
        <f>資料儲存!F4446</f>
        <v>0</v>
      </c>
      <c r="W10" s="39">
        <f>資料儲存!G4446</f>
        <v>0</v>
      </c>
      <c r="X10" s="39">
        <f>資料儲存!H4446</f>
        <v>0</v>
      </c>
      <c r="Y10" s="39">
        <f>資料儲存!I4446</f>
        <v>0</v>
      </c>
      <c r="Z10" s="39">
        <f>資料儲存!J4446</f>
        <v>0</v>
      </c>
      <c r="AA10" s="58"/>
      <c r="AB10" s="62">
        <v>35</v>
      </c>
      <c r="AC10" s="39">
        <f>資料儲存!D4506</f>
        <v>0</v>
      </c>
      <c r="AD10" s="39">
        <f>資料儲存!E4506</f>
        <v>0</v>
      </c>
      <c r="AE10" s="39">
        <f>資料儲存!F4506</f>
        <v>0</v>
      </c>
      <c r="AF10" s="39">
        <f>資料儲存!G4506</f>
        <v>0</v>
      </c>
      <c r="AG10" s="39">
        <f>資料儲存!H4506</f>
        <v>0</v>
      </c>
      <c r="AH10" s="39">
        <f>資料儲存!I4506</f>
        <v>0</v>
      </c>
      <c r="AI10" s="39">
        <f>資料儲存!J4506</f>
        <v>0</v>
      </c>
      <c r="AJ10" s="58"/>
      <c r="AK10" s="62">
        <v>35</v>
      </c>
      <c r="AL10" s="39">
        <f>資料儲存!D4566</f>
        <v>0</v>
      </c>
      <c r="AM10" s="39">
        <f>資料儲存!E4566</f>
        <v>0</v>
      </c>
      <c r="AN10" s="39">
        <f>資料儲存!F4566</f>
        <v>0</v>
      </c>
      <c r="AO10" s="39">
        <f>資料儲存!G4566</f>
        <v>0</v>
      </c>
      <c r="AP10" s="39">
        <f>資料儲存!H4566</f>
        <v>0</v>
      </c>
      <c r="AQ10" s="39">
        <f>資料儲存!I4566</f>
        <v>0</v>
      </c>
      <c r="AR10" s="39">
        <f>資料儲存!J4566</f>
        <v>0</v>
      </c>
      <c r="AT10" s="62">
        <v>35</v>
      </c>
      <c r="AU10" s="39">
        <f>資料儲存!D4626</f>
        <v>0</v>
      </c>
      <c r="AV10" s="39">
        <f>資料儲存!E4626</f>
        <v>0</v>
      </c>
      <c r="AW10" s="39">
        <f>資料儲存!F4626</f>
        <v>0</v>
      </c>
      <c r="AX10" s="39">
        <f>資料儲存!G4626</f>
        <v>0</v>
      </c>
      <c r="AY10" s="39">
        <f>資料儲存!H4626</f>
        <v>0</v>
      </c>
      <c r="AZ10" s="39">
        <f>資料儲存!I4626</f>
        <v>0</v>
      </c>
      <c r="BA10" s="39">
        <f>資料儲存!J4626</f>
        <v>0</v>
      </c>
    </row>
    <row r="11" spans="1:53" s="59" customFormat="1" ht="16" thickBot="1">
      <c r="A11" s="62">
        <v>36</v>
      </c>
      <c r="B11" s="39">
        <f>資料儲存!D4327</f>
        <v>0</v>
      </c>
      <c r="C11" s="39">
        <f>資料儲存!E4327</f>
        <v>0</v>
      </c>
      <c r="D11" s="39">
        <f>資料儲存!F4327</f>
        <v>0</v>
      </c>
      <c r="E11" s="39">
        <f>資料儲存!G4327</f>
        <v>0</v>
      </c>
      <c r="F11" s="39">
        <f>資料儲存!H4327</f>
        <v>0</v>
      </c>
      <c r="G11" s="39">
        <f>資料儲存!I4327</f>
        <v>0</v>
      </c>
      <c r="H11" s="39">
        <f>資料儲存!J4327</f>
        <v>0</v>
      </c>
      <c r="I11" s="58"/>
      <c r="J11" s="62">
        <v>36</v>
      </c>
      <c r="K11" s="39">
        <f>資料儲存!D4387</f>
        <v>0</v>
      </c>
      <c r="L11" s="39">
        <f>資料儲存!E4387</f>
        <v>0</v>
      </c>
      <c r="M11" s="39">
        <f>資料儲存!F4387</f>
        <v>0</v>
      </c>
      <c r="N11" s="39">
        <f>資料儲存!G4387</f>
        <v>0</v>
      </c>
      <c r="O11" s="39">
        <f>資料儲存!H4387</f>
        <v>0</v>
      </c>
      <c r="P11" s="39">
        <f>資料儲存!I4387</f>
        <v>0</v>
      </c>
      <c r="Q11" s="39">
        <f>資料儲存!J4387</f>
        <v>0</v>
      </c>
      <c r="R11" s="58"/>
      <c r="S11" s="62">
        <v>36</v>
      </c>
      <c r="T11" s="39">
        <f>資料儲存!D4447</f>
        <v>0</v>
      </c>
      <c r="U11" s="39">
        <f>資料儲存!E4447</f>
        <v>0</v>
      </c>
      <c r="V11" s="39">
        <f>資料儲存!F4447</f>
        <v>0</v>
      </c>
      <c r="W11" s="39">
        <f>資料儲存!G4447</f>
        <v>0</v>
      </c>
      <c r="X11" s="39">
        <f>資料儲存!H4447</f>
        <v>0</v>
      </c>
      <c r="Y11" s="39">
        <f>資料儲存!I4447</f>
        <v>0</v>
      </c>
      <c r="Z11" s="39">
        <f>資料儲存!J4447</f>
        <v>0</v>
      </c>
      <c r="AA11" s="58"/>
      <c r="AB11" s="62">
        <v>36</v>
      </c>
      <c r="AC11" s="39">
        <f>資料儲存!D4507</f>
        <v>0</v>
      </c>
      <c r="AD11" s="39">
        <f>資料儲存!E4507</f>
        <v>0</v>
      </c>
      <c r="AE11" s="39">
        <f>資料儲存!F4507</f>
        <v>0</v>
      </c>
      <c r="AF11" s="39">
        <f>資料儲存!G4507</f>
        <v>0</v>
      </c>
      <c r="AG11" s="39">
        <f>資料儲存!H4507</f>
        <v>0</v>
      </c>
      <c r="AH11" s="39">
        <f>資料儲存!I4507</f>
        <v>0</v>
      </c>
      <c r="AI11" s="39">
        <f>資料儲存!J4507</f>
        <v>0</v>
      </c>
      <c r="AJ11" s="58"/>
      <c r="AK11" s="62">
        <v>36</v>
      </c>
      <c r="AL11" s="39">
        <f>資料儲存!D4567</f>
        <v>0</v>
      </c>
      <c r="AM11" s="39">
        <f>資料儲存!E4567</f>
        <v>0</v>
      </c>
      <c r="AN11" s="39">
        <f>資料儲存!F4567</f>
        <v>0</v>
      </c>
      <c r="AO11" s="39">
        <f>資料儲存!G4567</f>
        <v>0</v>
      </c>
      <c r="AP11" s="39">
        <f>資料儲存!H4567</f>
        <v>0</v>
      </c>
      <c r="AQ11" s="39">
        <f>資料儲存!I4567</f>
        <v>0</v>
      </c>
      <c r="AR11" s="39">
        <f>資料儲存!J4567</f>
        <v>0</v>
      </c>
      <c r="AT11" s="62">
        <v>36</v>
      </c>
      <c r="AU11" s="39">
        <f>資料儲存!D4627</f>
        <v>0</v>
      </c>
      <c r="AV11" s="39">
        <f>資料儲存!E4627</f>
        <v>0</v>
      </c>
      <c r="AW11" s="39">
        <f>資料儲存!F4627</f>
        <v>0</v>
      </c>
      <c r="AX11" s="39">
        <f>資料儲存!G4627</f>
        <v>0</v>
      </c>
      <c r="AY11" s="39">
        <f>資料儲存!H4627</f>
        <v>0</v>
      </c>
      <c r="AZ11" s="39">
        <f>資料儲存!I4627</f>
        <v>0</v>
      </c>
      <c r="BA11" s="39">
        <f>資料儲存!J4627</f>
        <v>0</v>
      </c>
    </row>
    <row r="12" spans="1:53" s="59" customFormat="1" ht="16" thickBot="1">
      <c r="A12" s="62">
        <v>37</v>
      </c>
      <c r="B12" s="39">
        <f>資料儲存!D4328</f>
        <v>0</v>
      </c>
      <c r="C12" s="39">
        <f>資料儲存!E4328</f>
        <v>0</v>
      </c>
      <c r="D12" s="39">
        <f>資料儲存!F4328</f>
        <v>0</v>
      </c>
      <c r="E12" s="39">
        <f>資料儲存!G4328</f>
        <v>0</v>
      </c>
      <c r="F12" s="39">
        <f>資料儲存!H4328</f>
        <v>0</v>
      </c>
      <c r="G12" s="39">
        <f>資料儲存!I4328</f>
        <v>0</v>
      </c>
      <c r="H12" s="39">
        <f>資料儲存!J4328</f>
        <v>0</v>
      </c>
      <c r="I12" s="58"/>
      <c r="J12" s="62">
        <v>37</v>
      </c>
      <c r="K12" s="39">
        <f>資料儲存!D4388</f>
        <v>0</v>
      </c>
      <c r="L12" s="39">
        <f>資料儲存!E4388</f>
        <v>0</v>
      </c>
      <c r="M12" s="39">
        <f>資料儲存!F4388</f>
        <v>0</v>
      </c>
      <c r="N12" s="39">
        <f>資料儲存!G4388</f>
        <v>0</v>
      </c>
      <c r="O12" s="39">
        <f>資料儲存!H4388</f>
        <v>0</v>
      </c>
      <c r="P12" s="39">
        <f>資料儲存!I4388</f>
        <v>0</v>
      </c>
      <c r="Q12" s="39">
        <f>資料儲存!J4388</f>
        <v>0</v>
      </c>
      <c r="R12" s="58"/>
      <c r="S12" s="62">
        <v>37</v>
      </c>
      <c r="T12" s="39">
        <f>資料儲存!D4448</f>
        <v>0</v>
      </c>
      <c r="U12" s="39">
        <f>資料儲存!E4448</f>
        <v>0</v>
      </c>
      <c r="V12" s="39">
        <f>資料儲存!F4448</f>
        <v>0</v>
      </c>
      <c r="W12" s="39">
        <f>資料儲存!G4448</f>
        <v>0</v>
      </c>
      <c r="X12" s="39">
        <f>資料儲存!H4448</f>
        <v>0</v>
      </c>
      <c r="Y12" s="39">
        <f>資料儲存!I4448</f>
        <v>0</v>
      </c>
      <c r="Z12" s="39">
        <f>資料儲存!J4448</f>
        <v>0</v>
      </c>
      <c r="AA12" s="58"/>
      <c r="AB12" s="62">
        <v>37</v>
      </c>
      <c r="AC12" s="39">
        <f>資料儲存!D4508</f>
        <v>0</v>
      </c>
      <c r="AD12" s="39">
        <f>資料儲存!E4508</f>
        <v>0</v>
      </c>
      <c r="AE12" s="39">
        <f>資料儲存!F4508</f>
        <v>0</v>
      </c>
      <c r="AF12" s="39">
        <f>資料儲存!G4508</f>
        <v>0</v>
      </c>
      <c r="AG12" s="39">
        <f>資料儲存!H4508</f>
        <v>0</v>
      </c>
      <c r="AH12" s="39">
        <f>資料儲存!I4508</f>
        <v>0</v>
      </c>
      <c r="AI12" s="39">
        <f>資料儲存!J4508</f>
        <v>0</v>
      </c>
      <c r="AJ12" s="58"/>
      <c r="AK12" s="62">
        <v>37</v>
      </c>
      <c r="AL12" s="39">
        <f>資料儲存!D4568</f>
        <v>0</v>
      </c>
      <c r="AM12" s="39">
        <f>資料儲存!E4568</f>
        <v>0</v>
      </c>
      <c r="AN12" s="39">
        <f>資料儲存!F4568</f>
        <v>0</v>
      </c>
      <c r="AO12" s="39">
        <f>資料儲存!G4568</f>
        <v>0</v>
      </c>
      <c r="AP12" s="39">
        <f>資料儲存!H4568</f>
        <v>0</v>
      </c>
      <c r="AQ12" s="39">
        <f>資料儲存!I4568</f>
        <v>0</v>
      </c>
      <c r="AR12" s="39">
        <f>資料儲存!J4568</f>
        <v>0</v>
      </c>
      <c r="AT12" s="62">
        <v>37</v>
      </c>
      <c r="AU12" s="39">
        <f>資料儲存!D4628</f>
        <v>0</v>
      </c>
      <c r="AV12" s="39">
        <f>資料儲存!E4628</f>
        <v>0</v>
      </c>
      <c r="AW12" s="39">
        <f>資料儲存!F4628</f>
        <v>0</v>
      </c>
      <c r="AX12" s="39">
        <f>資料儲存!G4628</f>
        <v>0</v>
      </c>
      <c r="AY12" s="39">
        <f>資料儲存!H4628</f>
        <v>0</v>
      </c>
      <c r="AZ12" s="39">
        <f>資料儲存!I4628</f>
        <v>0</v>
      </c>
      <c r="BA12" s="39">
        <f>資料儲存!J4628</f>
        <v>0</v>
      </c>
    </row>
    <row r="13" spans="1:53" s="59" customFormat="1" ht="16" thickBot="1">
      <c r="A13" s="62">
        <v>38</v>
      </c>
      <c r="B13" s="39">
        <f>資料儲存!D4329</f>
        <v>0</v>
      </c>
      <c r="C13" s="39">
        <f>資料儲存!E4329</f>
        <v>0</v>
      </c>
      <c r="D13" s="39">
        <f>資料儲存!F4329</f>
        <v>0</v>
      </c>
      <c r="E13" s="39">
        <f>資料儲存!G4329</f>
        <v>0</v>
      </c>
      <c r="F13" s="39">
        <f>資料儲存!H4329</f>
        <v>0</v>
      </c>
      <c r="G13" s="39">
        <f>資料儲存!I4329</f>
        <v>0</v>
      </c>
      <c r="H13" s="39">
        <f>資料儲存!J4329</f>
        <v>0</v>
      </c>
      <c r="I13" s="58"/>
      <c r="J13" s="62">
        <v>38</v>
      </c>
      <c r="K13" s="39">
        <f>資料儲存!D4389</f>
        <v>0</v>
      </c>
      <c r="L13" s="39">
        <f>資料儲存!E4389</f>
        <v>0</v>
      </c>
      <c r="M13" s="39">
        <f>資料儲存!F4389</f>
        <v>0</v>
      </c>
      <c r="N13" s="39">
        <f>資料儲存!G4389</f>
        <v>0</v>
      </c>
      <c r="O13" s="39">
        <f>資料儲存!H4389</f>
        <v>0</v>
      </c>
      <c r="P13" s="39">
        <f>資料儲存!I4389</f>
        <v>0</v>
      </c>
      <c r="Q13" s="39">
        <f>資料儲存!J4389</f>
        <v>0</v>
      </c>
      <c r="R13" s="58"/>
      <c r="S13" s="62">
        <v>38</v>
      </c>
      <c r="T13" s="39">
        <f>資料儲存!D4449</f>
        <v>0</v>
      </c>
      <c r="U13" s="39">
        <f>資料儲存!E4449</f>
        <v>0</v>
      </c>
      <c r="V13" s="39">
        <f>資料儲存!F4449</f>
        <v>0</v>
      </c>
      <c r="W13" s="39">
        <f>資料儲存!G4449</f>
        <v>0</v>
      </c>
      <c r="X13" s="39">
        <f>資料儲存!H4449</f>
        <v>0</v>
      </c>
      <c r="Y13" s="39">
        <f>資料儲存!I4449</f>
        <v>0</v>
      </c>
      <c r="Z13" s="39">
        <f>資料儲存!J4449</f>
        <v>0</v>
      </c>
      <c r="AA13" s="58"/>
      <c r="AB13" s="62">
        <v>38</v>
      </c>
      <c r="AC13" s="39">
        <f>資料儲存!D4509</f>
        <v>0</v>
      </c>
      <c r="AD13" s="39">
        <f>資料儲存!E4509</f>
        <v>0</v>
      </c>
      <c r="AE13" s="39">
        <f>資料儲存!F4509</f>
        <v>0</v>
      </c>
      <c r="AF13" s="39">
        <f>資料儲存!G4509</f>
        <v>0</v>
      </c>
      <c r="AG13" s="39">
        <f>資料儲存!H4509</f>
        <v>0</v>
      </c>
      <c r="AH13" s="39">
        <f>資料儲存!I4509</f>
        <v>0</v>
      </c>
      <c r="AI13" s="39">
        <f>資料儲存!J4509</f>
        <v>0</v>
      </c>
      <c r="AJ13" s="58"/>
      <c r="AK13" s="62">
        <v>38</v>
      </c>
      <c r="AL13" s="39">
        <f>資料儲存!D4569</f>
        <v>0</v>
      </c>
      <c r="AM13" s="39">
        <f>資料儲存!E4569</f>
        <v>0</v>
      </c>
      <c r="AN13" s="39">
        <f>資料儲存!F4569</f>
        <v>0</v>
      </c>
      <c r="AO13" s="39">
        <f>資料儲存!G4569</f>
        <v>0</v>
      </c>
      <c r="AP13" s="39">
        <f>資料儲存!H4569</f>
        <v>0</v>
      </c>
      <c r="AQ13" s="39">
        <f>資料儲存!I4569</f>
        <v>0</v>
      </c>
      <c r="AR13" s="39">
        <f>資料儲存!J4569</f>
        <v>0</v>
      </c>
      <c r="AT13" s="62">
        <v>38</v>
      </c>
      <c r="AU13" s="39">
        <f>資料儲存!D4629</f>
        <v>0</v>
      </c>
      <c r="AV13" s="39">
        <f>資料儲存!E4629</f>
        <v>0</v>
      </c>
      <c r="AW13" s="39">
        <f>資料儲存!F4629</f>
        <v>0</v>
      </c>
      <c r="AX13" s="39">
        <f>資料儲存!G4629</f>
        <v>0</v>
      </c>
      <c r="AY13" s="39">
        <f>資料儲存!H4629</f>
        <v>0</v>
      </c>
      <c r="AZ13" s="39">
        <f>資料儲存!I4629</f>
        <v>0</v>
      </c>
      <c r="BA13" s="39">
        <f>資料儲存!J4629</f>
        <v>0</v>
      </c>
    </row>
    <row r="14" spans="1:53" s="59" customFormat="1" ht="16" thickBot="1">
      <c r="A14" s="62">
        <v>39</v>
      </c>
      <c r="B14" s="39">
        <f>資料儲存!D4330</f>
        <v>0</v>
      </c>
      <c r="C14" s="39">
        <f>資料儲存!E4330</f>
        <v>0</v>
      </c>
      <c r="D14" s="39">
        <f>資料儲存!F4330</f>
        <v>0</v>
      </c>
      <c r="E14" s="39">
        <f>資料儲存!G4330</f>
        <v>0</v>
      </c>
      <c r="F14" s="39">
        <f>資料儲存!H4330</f>
        <v>0</v>
      </c>
      <c r="G14" s="39">
        <f>資料儲存!I4330</f>
        <v>0</v>
      </c>
      <c r="H14" s="39">
        <f>資料儲存!J4330</f>
        <v>0</v>
      </c>
      <c r="I14" s="58"/>
      <c r="J14" s="62">
        <v>39</v>
      </c>
      <c r="K14" s="39">
        <f>資料儲存!D4390</f>
        <v>0</v>
      </c>
      <c r="L14" s="39">
        <f>資料儲存!E4390</f>
        <v>0</v>
      </c>
      <c r="M14" s="39">
        <f>資料儲存!F4390</f>
        <v>0</v>
      </c>
      <c r="N14" s="39">
        <f>資料儲存!G4390</f>
        <v>0</v>
      </c>
      <c r="O14" s="39">
        <f>資料儲存!H4390</f>
        <v>0</v>
      </c>
      <c r="P14" s="39">
        <f>資料儲存!I4390</f>
        <v>0</v>
      </c>
      <c r="Q14" s="39">
        <f>資料儲存!J4390</f>
        <v>0</v>
      </c>
      <c r="R14" s="58"/>
      <c r="S14" s="62">
        <v>39</v>
      </c>
      <c r="T14" s="39">
        <f>資料儲存!D4450</f>
        <v>0</v>
      </c>
      <c r="U14" s="39">
        <f>資料儲存!E4450</f>
        <v>0</v>
      </c>
      <c r="V14" s="39">
        <f>資料儲存!F4450</f>
        <v>0</v>
      </c>
      <c r="W14" s="39">
        <f>資料儲存!G4450</f>
        <v>0</v>
      </c>
      <c r="X14" s="39">
        <f>資料儲存!H4450</f>
        <v>0</v>
      </c>
      <c r="Y14" s="39">
        <f>資料儲存!I4450</f>
        <v>0</v>
      </c>
      <c r="Z14" s="39">
        <f>資料儲存!J4450</f>
        <v>0</v>
      </c>
      <c r="AA14" s="58"/>
      <c r="AB14" s="62">
        <v>39</v>
      </c>
      <c r="AC14" s="39">
        <f>資料儲存!D4510</f>
        <v>0</v>
      </c>
      <c r="AD14" s="39">
        <f>資料儲存!E4510</f>
        <v>0</v>
      </c>
      <c r="AE14" s="39">
        <f>資料儲存!F4510</f>
        <v>0</v>
      </c>
      <c r="AF14" s="39">
        <f>資料儲存!G4510</f>
        <v>0</v>
      </c>
      <c r="AG14" s="39">
        <f>資料儲存!H4510</f>
        <v>0</v>
      </c>
      <c r="AH14" s="39">
        <f>資料儲存!I4510</f>
        <v>0</v>
      </c>
      <c r="AI14" s="39">
        <f>資料儲存!J4510</f>
        <v>0</v>
      </c>
      <c r="AJ14" s="58"/>
      <c r="AK14" s="62">
        <v>39</v>
      </c>
      <c r="AL14" s="39">
        <f>資料儲存!D4570</f>
        <v>0</v>
      </c>
      <c r="AM14" s="39">
        <f>資料儲存!E4570</f>
        <v>0</v>
      </c>
      <c r="AN14" s="39">
        <f>資料儲存!F4570</f>
        <v>0</v>
      </c>
      <c r="AO14" s="39">
        <f>資料儲存!G4570</f>
        <v>0</v>
      </c>
      <c r="AP14" s="39">
        <f>資料儲存!H4570</f>
        <v>0</v>
      </c>
      <c r="AQ14" s="39">
        <f>資料儲存!I4570</f>
        <v>0</v>
      </c>
      <c r="AR14" s="39">
        <f>資料儲存!J4570</f>
        <v>0</v>
      </c>
      <c r="AT14" s="62">
        <v>39</v>
      </c>
      <c r="AU14" s="39">
        <f>資料儲存!D4630</f>
        <v>0</v>
      </c>
      <c r="AV14" s="39">
        <f>資料儲存!E4630</f>
        <v>0</v>
      </c>
      <c r="AW14" s="39">
        <f>資料儲存!F4630</f>
        <v>0</v>
      </c>
      <c r="AX14" s="39">
        <f>資料儲存!G4630</f>
        <v>0</v>
      </c>
      <c r="AY14" s="39">
        <f>資料儲存!H4630</f>
        <v>0</v>
      </c>
      <c r="AZ14" s="39">
        <f>資料儲存!I4630</f>
        <v>0</v>
      </c>
      <c r="BA14" s="39">
        <f>資料儲存!J4630</f>
        <v>0</v>
      </c>
    </row>
    <row r="15" spans="1:53" s="59" customFormat="1" ht="16" thickBot="1">
      <c r="A15" s="62">
        <v>40</v>
      </c>
      <c r="B15" s="39">
        <f>資料儲存!D4331</f>
        <v>0</v>
      </c>
      <c r="C15" s="39">
        <f>資料儲存!E4331</f>
        <v>0</v>
      </c>
      <c r="D15" s="39">
        <f>資料儲存!F4331</f>
        <v>0</v>
      </c>
      <c r="E15" s="39">
        <f>資料儲存!G4331</f>
        <v>0</v>
      </c>
      <c r="F15" s="39">
        <f>資料儲存!H4331</f>
        <v>0</v>
      </c>
      <c r="G15" s="39">
        <f>資料儲存!I4331</f>
        <v>0</v>
      </c>
      <c r="H15" s="39">
        <f>資料儲存!J4331</f>
        <v>0</v>
      </c>
      <c r="I15" s="58"/>
      <c r="J15" s="62">
        <v>40</v>
      </c>
      <c r="K15" s="39">
        <f>資料儲存!D4391</f>
        <v>0</v>
      </c>
      <c r="L15" s="39">
        <f>資料儲存!E4391</f>
        <v>0</v>
      </c>
      <c r="M15" s="39">
        <f>資料儲存!F4391</f>
        <v>0</v>
      </c>
      <c r="N15" s="39">
        <f>資料儲存!G4391</f>
        <v>0</v>
      </c>
      <c r="O15" s="39">
        <f>資料儲存!H4391</f>
        <v>0</v>
      </c>
      <c r="P15" s="39">
        <f>資料儲存!I4391</f>
        <v>0</v>
      </c>
      <c r="Q15" s="39">
        <f>資料儲存!J4391</f>
        <v>0</v>
      </c>
      <c r="R15" s="58"/>
      <c r="S15" s="62">
        <v>40</v>
      </c>
      <c r="T15" s="39">
        <f>資料儲存!D4451</f>
        <v>0</v>
      </c>
      <c r="U15" s="39">
        <f>資料儲存!E4451</f>
        <v>0</v>
      </c>
      <c r="V15" s="39">
        <f>資料儲存!F4451</f>
        <v>0</v>
      </c>
      <c r="W15" s="39">
        <f>資料儲存!G4451</f>
        <v>0</v>
      </c>
      <c r="X15" s="39">
        <f>資料儲存!H4451</f>
        <v>0</v>
      </c>
      <c r="Y15" s="39">
        <f>資料儲存!I4451</f>
        <v>0</v>
      </c>
      <c r="Z15" s="39">
        <f>資料儲存!J4451</f>
        <v>0</v>
      </c>
      <c r="AA15" s="58"/>
      <c r="AB15" s="62">
        <v>40</v>
      </c>
      <c r="AC15" s="39">
        <f>資料儲存!D4511</f>
        <v>0</v>
      </c>
      <c r="AD15" s="39">
        <f>資料儲存!E4511</f>
        <v>0</v>
      </c>
      <c r="AE15" s="39">
        <f>資料儲存!F4511</f>
        <v>0</v>
      </c>
      <c r="AF15" s="39">
        <f>資料儲存!G4511</f>
        <v>0</v>
      </c>
      <c r="AG15" s="39">
        <f>資料儲存!H4511</f>
        <v>0</v>
      </c>
      <c r="AH15" s="39">
        <f>資料儲存!I4511</f>
        <v>0</v>
      </c>
      <c r="AI15" s="39">
        <f>資料儲存!J4511</f>
        <v>0</v>
      </c>
      <c r="AJ15" s="58"/>
      <c r="AK15" s="62">
        <v>40</v>
      </c>
      <c r="AL15" s="39">
        <f>資料儲存!D4571</f>
        <v>0</v>
      </c>
      <c r="AM15" s="39">
        <f>資料儲存!E4571</f>
        <v>0</v>
      </c>
      <c r="AN15" s="39">
        <f>資料儲存!F4571</f>
        <v>0</v>
      </c>
      <c r="AO15" s="39">
        <f>資料儲存!G4571</f>
        <v>0</v>
      </c>
      <c r="AP15" s="39">
        <f>資料儲存!H4571</f>
        <v>0</v>
      </c>
      <c r="AQ15" s="39">
        <f>資料儲存!I4571</f>
        <v>0</v>
      </c>
      <c r="AR15" s="39">
        <f>資料儲存!J4571</f>
        <v>0</v>
      </c>
      <c r="AT15" s="62">
        <v>40</v>
      </c>
      <c r="AU15" s="39">
        <f>資料儲存!D4631</f>
        <v>0</v>
      </c>
      <c r="AV15" s="39">
        <f>資料儲存!E4631</f>
        <v>0</v>
      </c>
      <c r="AW15" s="39">
        <f>資料儲存!F4631</f>
        <v>0</v>
      </c>
      <c r="AX15" s="39">
        <f>資料儲存!G4631</f>
        <v>0</v>
      </c>
      <c r="AY15" s="39">
        <f>資料儲存!H4631</f>
        <v>0</v>
      </c>
      <c r="AZ15" s="39">
        <f>資料儲存!I4631</f>
        <v>0</v>
      </c>
      <c r="BA15" s="39">
        <f>資料儲存!J4631</f>
        <v>0</v>
      </c>
    </row>
    <row r="16" spans="1:53" s="59" customFormat="1" ht="16" thickBot="1">
      <c r="A16" s="62">
        <v>41</v>
      </c>
      <c r="B16" s="39">
        <f>資料儲存!D4332</f>
        <v>0</v>
      </c>
      <c r="C16" s="39">
        <f>資料儲存!E4332</f>
        <v>0</v>
      </c>
      <c r="D16" s="39">
        <f>資料儲存!F4332</f>
        <v>0</v>
      </c>
      <c r="E16" s="39">
        <f>資料儲存!G4332</f>
        <v>0</v>
      </c>
      <c r="F16" s="39">
        <f>資料儲存!H4332</f>
        <v>0</v>
      </c>
      <c r="G16" s="39">
        <f>資料儲存!I4332</f>
        <v>0</v>
      </c>
      <c r="H16" s="39">
        <f>資料儲存!J4332</f>
        <v>0</v>
      </c>
      <c r="I16" s="58"/>
      <c r="J16" s="62">
        <v>41</v>
      </c>
      <c r="K16" s="39">
        <f>資料儲存!D4392</f>
        <v>0</v>
      </c>
      <c r="L16" s="39">
        <f>資料儲存!E4392</f>
        <v>0</v>
      </c>
      <c r="M16" s="39">
        <f>資料儲存!F4392</f>
        <v>0</v>
      </c>
      <c r="N16" s="39">
        <f>資料儲存!G4392</f>
        <v>0</v>
      </c>
      <c r="O16" s="39">
        <f>資料儲存!H4392</f>
        <v>0</v>
      </c>
      <c r="P16" s="39">
        <f>資料儲存!I4392</f>
        <v>0</v>
      </c>
      <c r="Q16" s="39">
        <f>資料儲存!J4392</f>
        <v>0</v>
      </c>
      <c r="R16" s="58"/>
      <c r="S16" s="62">
        <v>41</v>
      </c>
      <c r="T16" s="39">
        <f>資料儲存!D4452</f>
        <v>0</v>
      </c>
      <c r="U16" s="39">
        <f>資料儲存!E4452</f>
        <v>0</v>
      </c>
      <c r="V16" s="39">
        <f>資料儲存!F4452</f>
        <v>0</v>
      </c>
      <c r="W16" s="39">
        <f>資料儲存!G4452</f>
        <v>0</v>
      </c>
      <c r="X16" s="39">
        <f>資料儲存!H4452</f>
        <v>0</v>
      </c>
      <c r="Y16" s="39">
        <f>資料儲存!I4452</f>
        <v>0</v>
      </c>
      <c r="Z16" s="39">
        <f>資料儲存!J4452</f>
        <v>0</v>
      </c>
      <c r="AA16" s="58"/>
      <c r="AB16" s="62">
        <v>41</v>
      </c>
      <c r="AC16" s="39">
        <f>資料儲存!D4512</f>
        <v>0</v>
      </c>
      <c r="AD16" s="39">
        <f>資料儲存!E4512</f>
        <v>0</v>
      </c>
      <c r="AE16" s="39">
        <f>資料儲存!F4512</f>
        <v>0</v>
      </c>
      <c r="AF16" s="39">
        <f>資料儲存!G4512</f>
        <v>0</v>
      </c>
      <c r="AG16" s="39">
        <f>資料儲存!H4512</f>
        <v>0</v>
      </c>
      <c r="AH16" s="39">
        <f>資料儲存!I4512</f>
        <v>0</v>
      </c>
      <c r="AI16" s="39">
        <f>資料儲存!J4512</f>
        <v>0</v>
      </c>
      <c r="AJ16" s="58"/>
      <c r="AK16" s="62">
        <v>41</v>
      </c>
      <c r="AL16" s="39">
        <f>資料儲存!D4572</f>
        <v>0</v>
      </c>
      <c r="AM16" s="39">
        <f>資料儲存!E4572</f>
        <v>0</v>
      </c>
      <c r="AN16" s="39">
        <f>資料儲存!F4572</f>
        <v>0</v>
      </c>
      <c r="AO16" s="39">
        <f>資料儲存!G4572</f>
        <v>0</v>
      </c>
      <c r="AP16" s="39">
        <f>資料儲存!H4572</f>
        <v>0</v>
      </c>
      <c r="AQ16" s="39">
        <f>資料儲存!I4572</f>
        <v>0</v>
      </c>
      <c r="AR16" s="39">
        <f>資料儲存!J4572</f>
        <v>0</v>
      </c>
      <c r="AT16" s="62">
        <v>41</v>
      </c>
      <c r="AU16" s="39">
        <f>資料儲存!D4632</f>
        <v>0</v>
      </c>
      <c r="AV16" s="39">
        <f>資料儲存!E4632</f>
        <v>0</v>
      </c>
      <c r="AW16" s="39">
        <f>資料儲存!F4632</f>
        <v>0</v>
      </c>
      <c r="AX16" s="39">
        <f>資料儲存!G4632</f>
        <v>0</v>
      </c>
      <c r="AY16" s="39">
        <f>資料儲存!H4632</f>
        <v>0</v>
      </c>
      <c r="AZ16" s="39">
        <f>資料儲存!I4632</f>
        <v>0</v>
      </c>
      <c r="BA16" s="39">
        <f>資料儲存!J4632</f>
        <v>0</v>
      </c>
    </row>
    <row r="17" spans="1:53" s="59" customFormat="1" ht="16" thickBot="1">
      <c r="A17" s="62">
        <v>42</v>
      </c>
      <c r="B17" s="39">
        <f>資料儲存!D4333</f>
        <v>0</v>
      </c>
      <c r="C17" s="39">
        <f>資料儲存!E4333</f>
        <v>0</v>
      </c>
      <c r="D17" s="39">
        <f>資料儲存!F4333</f>
        <v>0</v>
      </c>
      <c r="E17" s="39">
        <f>資料儲存!G4333</f>
        <v>0</v>
      </c>
      <c r="F17" s="39">
        <f>資料儲存!H4333</f>
        <v>0</v>
      </c>
      <c r="G17" s="39">
        <f>資料儲存!I4333</f>
        <v>0</v>
      </c>
      <c r="H17" s="39">
        <f>資料儲存!J4333</f>
        <v>0</v>
      </c>
      <c r="I17" s="58"/>
      <c r="J17" s="62">
        <v>42</v>
      </c>
      <c r="K17" s="39">
        <f>資料儲存!D4393</f>
        <v>0</v>
      </c>
      <c r="L17" s="39">
        <f>資料儲存!E4393</f>
        <v>0</v>
      </c>
      <c r="M17" s="39">
        <f>資料儲存!F4393</f>
        <v>0</v>
      </c>
      <c r="N17" s="39">
        <f>資料儲存!G4393</f>
        <v>0</v>
      </c>
      <c r="O17" s="39">
        <f>資料儲存!H4393</f>
        <v>0</v>
      </c>
      <c r="P17" s="39">
        <f>資料儲存!I4393</f>
        <v>0</v>
      </c>
      <c r="Q17" s="39">
        <f>資料儲存!J4393</f>
        <v>0</v>
      </c>
      <c r="R17" s="58"/>
      <c r="S17" s="62">
        <v>42</v>
      </c>
      <c r="T17" s="39">
        <f>資料儲存!D4453</f>
        <v>0</v>
      </c>
      <c r="U17" s="39">
        <f>資料儲存!E4453</f>
        <v>0</v>
      </c>
      <c r="V17" s="39">
        <f>資料儲存!F4453</f>
        <v>0</v>
      </c>
      <c r="W17" s="39">
        <f>資料儲存!G4453</f>
        <v>0</v>
      </c>
      <c r="X17" s="39">
        <f>資料儲存!H4453</f>
        <v>0</v>
      </c>
      <c r="Y17" s="39">
        <f>資料儲存!I4453</f>
        <v>0</v>
      </c>
      <c r="Z17" s="39">
        <f>資料儲存!J4453</f>
        <v>0</v>
      </c>
      <c r="AA17" s="58"/>
      <c r="AB17" s="62">
        <v>42</v>
      </c>
      <c r="AC17" s="39">
        <f>資料儲存!D4513</f>
        <v>0</v>
      </c>
      <c r="AD17" s="39">
        <f>資料儲存!E4513</f>
        <v>0</v>
      </c>
      <c r="AE17" s="39">
        <f>資料儲存!F4513</f>
        <v>0</v>
      </c>
      <c r="AF17" s="39">
        <f>資料儲存!G4513</f>
        <v>0</v>
      </c>
      <c r="AG17" s="39">
        <f>資料儲存!H4513</f>
        <v>0</v>
      </c>
      <c r="AH17" s="39">
        <f>資料儲存!I4513</f>
        <v>0</v>
      </c>
      <c r="AI17" s="39">
        <f>資料儲存!J4513</f>
        <v>0</v>
      </c>
      <c r="AJ17" s="58"/>
      <c r="AK17" s="62">
        <v>42</v>
      </c>
      <c r="AL17" s="39">
        <f>資料儲存!D4573</f>
        <v>0</v>
      </c>
      <c r="AM17" s="39">
        <f>資料儲存!E4573</f>
        <v>0</v>
      </c>
      <c r="AN17" s="39">
        <f>資料儲存!F4573</f>
        <v>0</v>
      </c>
      <c r="AO17" s="39">
        <f>資料儲存!G4573</f>
        <v>0</v>
      </c>
      <c r="AP17" s="39">
        <f>資料儲存!H4573</f>
        <v>0</v>
      </c>
      <c r="AQ17" s="39">
        <f>資料儲存!I4573</f>
        <v>0</v>
      </c>
      <c r="AR17" s="39">
        <f>資料儲存!J4573</f>
        <v>0</v>
      </c>
      <c r="AT17" s="62">
        <v>42</v>
      </c>
      <c r="AU17" s="39">
        <f>資料儲存!D4633</f>
        <v>0</v>
      </c>
      <c r="AV17" s="39">
        <f>資料儲存!E4633</f>
        <v>0</v>
      </c>
      <c r="AW17" s="39">
        <f>資料儲存!F4633</f>
        <v>0</v>
      </c>
      <c r="AX17" s="39">
        <f>資料儲存!G4633</f>
        <v>0</v>
      </c>
      <c r="AY17" s="39">
        <f>資料儲存!H4633</f>
        <v>0</v>
      </c>
      <c r="AZ17" s="39">
        <f>資料儲存!I4633</f>
        <v>0</v>
      </c>
      <c r="BA17" s="39">
        <f>資料儲存!J4633</f>
        <v>0</v>
      </c>
    </row>
    <row r="18" spans="1:53" s="59" customFormat="1" ht="16" thickBot="1">
      <c r="A18" s="62">
        <v>43</v>
      </c>
      <c r="B18" s="39">
        <f>資料儲存!D4334</f>
        <v>0</v>
      </c>
      <c r="C18" s="39">
        <f>資料儲存!E4334</f>
        <v>0</v>
      </c>
      <c r="D18" s="39">
        <f>資料儲存!F4334</f>
        <v>0</v>
      </c>
      <c r="E18" s="39">
        <f>資料儲存!G4334</f>
        <v>0</v>
      </c>
      <c r="F18" s="39">
        <f>資料儲存!H4334</f>
        <v>0</v>
      </c>
      <c r="G18" s="39">
        <f>資料儲存!I4334</f>
        <v>0</v>
      </c>
      <c r="H18" s="39">
        <f>資料儲存!J4334</f>
        <v>0</v>
      </c>
      <c r="I18" s="58"/>
      <c r="J18" s="62">
        <v>43</v>
      </c>
      <c r="K18" s="39">
        <f>資料儲存!D4394</f>
        <v>0</v>
      </c>
      <c r="L18" s="39">
        <f>資料儲存!E4394</f>
        <v>0</v>
      </c>
      <c r="M18" s="39">
        <f>資料儲存!F4394</f>
        <v>0</v>
      </c>
      <c r="N18" s="39">
        <f>資料儲存!G4394</f>
        <v>0</v>
      </c>
      <c r="O18" s="39">
        <f>資料儲存!H4394</f>
        <v>0</v>
      </c>
      <c r="P18" s="39">
        <f>資料儲存!I4394</f>
        <v>0</v>
      </c>
      <c r="Q18" s="39">
        <f>資料儲存!J4394</f>
        <v>0</v>
      </c>
      <c r="R18" s="58"/>
      <c r="S18" s="62">
        <v>43</v>
      </c>
      <c r="T18" s="39">
        <f>資料儲存!D4454</f>
        <v>0</v>
      </c>
      <c r="U18" s="39">
        <f>資料儲存!E4454</f>
        <v>0</v>
      </c>
      <c r="V18" s="39">
        <f>資料儲存!F4454</f>
        <v>0</v>
      </c>
      <c r="W18" s="39">
        <f>資料儲存!G4454</f>
        <v>0</v>
      </c>
      <c r="X18" s="39">
        <f>資料儲存!H4454</f>
        <v>0</v>
      </c>
      <c r="Y18" s="39">
        <f>資料儲存!I4454</f>
        <v>0</v>
      </c>
      <c r="Z18" s="39">
        <f>資料儲存!J4454</f>
        <v>0</v>
      </c>
      <c r="AA18" s="58"/>
      <c r="AB18" s="62">
        <v>43</v>
      </c>
      <c r="AC18" s="39">
        <f>資料儲存!D4514</f>
        <v>0</v>
      </c>
      <c r="AD18" s="39">
        <f>資料儲存!E4514</f>
        <v>0</v>
      </c>
      <c r="AE18" s="39">
        <f>資料儲存!F4514</f>
        <v>0</v>
      </c>
      <c r="AF18" s="39">
        <f>資料儲存!G4514</f>
        <v>0</v>
      </c>
      <c r="AG18" s="39">
        <f>資料儲存!H4514</f>
        <v>0</v>
      </c>
      <c r="AH18" s="39">
        <f>資料儲存!I4514</f>
        <v>0</v>
      </c>
      <c r="AI18" s="39">
        <f>資料儲存!J4514</f>
        <v>0</v>
      </c>
      <c r="AJ18" s="58"/>
      <c r="AK18" s="62">
        <v>43</v>
      </c>
      <c r="AL18" s="39">
        <f>資料儲存!D4574</f>
        <v>0</v>
      </c>
      <c r="AM18" s="39">
        <f>資料儲存!E4574</f>
        <v>0</v>
      </c>
      <c r="AN18" s="39">
        <f>資料儲存!F4574</f>
        <v>0</v>
      </c>
      <c r="AO18" s="39">
        <f>資料儲存!G4574</f>
        <v>0</v>
      </c>
      <c r="AP18" s="39">
        <f>資料儲存!H4574</f>
        <v>0</v>
      </c>
      <c r="AQ18" s="39">
        <f>資料儲存!I4574</f>
        <v>0</v>
      </c>
      <c r="AR18" s="39">
        <f>資料儲存!J4574</f>
        <v>0</v>
      </c>
      <c r="AT18" s="62">
        <v>43</v>
      </c>
      <c r="AU18" s="39">
        <f>資料儲存!D4634</f>
        <v>0</v>
      </c>
      <c r="AV18" s="39">
        <f>資料儲存!E4634</f>
        <v>0</v>
      </c>
      <c r="AW18" s="39">
        <f>資料儲存!F4634</f>
        <v>0</v>
      </c>
      <c r="AX18" s="39">
        <f>資料儲存!G4634</f>
        <v>0</v>
      </c>
      <c r="AY18" s="39">
        <f>資料儲存!H4634</f>
        <v>0</v>
      </c>
      <c r="AZ18" s="39">
        <f>資料儲存!I4634</f>
        <v>0</v>
      </c>
      <c r="BA18" s="39">
        <f>資料儲存!J4634</f>
        <v>0</v>
      </c>
    </row>
    <row r="19" spans="1:53" s="59" customFormat="1" ht="16" thickBot="1">
      <c r="A19" s="62">
        <v>44</v>
      </c>
      <c r="B19" s="39">
        <f>資料儲存!D4335</f>
        <v>0</v>
      </c>
      <c r="C19" s="39">
        <f>資料儲存!E4335</f>
        <v>0</v>
      </c>
      <c r="D19" s="39">
        <f>資料儲存!F4335</f>
        <v>0</v>
      </c>
      <c r="E19" s="39">
        <f>資料儲存!G4335</f>
        <v>0</v>
      </c>
      <c r="F19" s="39">
        <f>資料儲存!H4335</f>
        <v>0</v>
      </c>
      <c r="G19" s="39">
        <f>資料儲存!I4335</f>
        <v>0</v>
      </c>
      <c r="H19" s="39">
        <f>資料儲存!J4335</f>
        <v>0</v>
      </c>
      <c r="I19" s="58"/>
      <c r="J19" s="62">
        <v>44</v>
      </c>
      <c r="K19" s="39">
        <f>資料儲存!D4395</f>
        <v>0</v>
      </c>
      <c r="L19" s="39">
        <f>資料儲存!E4395</f>
        <v>0</v>
      </c>
      <c r="M19" s="39">
        <f>資料儲存!F4395</f>
        <v>0</v>
      </c>
      <c r="N19" s="39">
        <f>資料儲存!G4395</f>
        <v>0</v>
      </c>
      <c r="O19" s="39">
        <f>資料儲存!H4395</f>
        <v>0</v>
      </c>
      <c r="P19" s="39">
        <f>資料儲存!I4395</f>
        <v>0</v>
      </c>
      <c r="Q19" s="39">
        <f>資料儲存!J4395</f>
        <v>0</v>
      </c>
      <c r="R19" s="58"/>
      <c r="S19" s="62">
        <v>44</v>
      </c>
      <c r="T19" s="39">
        <f>資料儲存!D4455</f>
        <v>0</v>
      </c>
      <c r="U19" s="39">
        <f>資料儲存!E4455</f>
        <v>0</v>
      </c>
      <c r="V19" s="39">
        <f>資料儲存!F4455</f>
        <v>0</v>
      </c>
      <c r="W19" s="39">
        <f>資料儲存!G4455</f>
        <v>0</v>
      </c>
      <c r="X19" s="39">
        <f>資料儲存!H4455</f>
        <v>0</v>
      </c>
      <c r="Y19" s="39">
        <f>資料儲存!I4455</f>
        <v>0</v>
      </c>
      <c r="Z19" s="39">
        <f>資料儲存!J4455</f>
        <v>0</v>
      </c>
      <c r="AA19" s="58"/>
      <c r="AB19" s="62">
        <v>44</v>
      </c>
      <c r="AC19" s="39">
        <f>資料儲存!D4515</f>
        <v>0</v>
      </c>
      <c r="AD19" s="39">
        <f>資料儲存!E4515</f>
        <v>0</v>
      </c>
      <c r="AE19" s="39">
        <f>資料儲存!F4515</f>
        <v>0</v>
      </c>
      <c r="AF19" s="39">
        <f>資料儲存!G4515</f>
        <v>0</v>
      </c>
      <c r="AG19" s="39">
        <f>資料儲存!H4515</f>
        <v>0</v>
      </c>
      <c r="AH19" s="39">
        <f>資料儲存!I4515</f>
        <v>0</v>
      </c>
      <c r="AI19" s="39">
        <f>資料儲存!J4515</f>
        <v>0</v>
      </c>
      <c r="AJ19" s="58"/>
      <c r="AK19" s="62">
        <v>44</v>
      </c>
      <c r="AL19" s="39">
        <f>資料儲存!D4575</f>
        <v>0</v>
      </c>
      <c r="AM19" s="39">
        <f>資料儲存!E4575</f>
        <v>0</v>
      </c>
      <c r="AN19" s="39">
        <f>資料儲存!F4575</f>
        <v>0</v>
      </c>
      <c r="AO19" s="39">
        <f>資料儲存!G4575</f>
        <v>0</v>
      </c>
      <c r="AP19" s="39">
        <f>資料儲存!H4575</f>
        <v>0</v>
      </c>
      <c r="AQ19" s="39">
        <f>資料儲存!I4575</f>
        <v>0</v>
      </c>
      <c r="AR19" s="39">
        <f>資料儲存!J4575</f>
        <v>0</v>
      </c>
      <c r="AT19" s="62">
        <v>44</v>
      </c>
      <c r="AU19" s="39">
        <f>資料儲存!D4635</f>
        <v>0</v>
      </c>
      <c r="AV19" s="39">
        <f>資料儲存!E4635</f>
        <v>0</v>
      </c>
      <c r="AW19" s="39">
        <f>資料儲存!F4635</f>
        <v>0</v>
      </c>
      <c r="AX19" s="39">
        <f>資料儲存!G4635</f>
        <v>0</v>
      </c>
      <c r="AY19" s="39">
        <f>資料儲存!H4635</f>
        <v>0</v>
      </c>
      <c r="AZ19" s="39">
        <f>資料儲存!I4635</f>
        <v>0</v>
      </c>
      <c r="BA19" s="39">
        <f>資料儲存!J4635</f>
        <v>0</v>
      </c>
    </row>
    <row r="20" spans="1:53" s="59" customFormat="1" ht="16" thickBot="1">
      <c r="A20" s="62">
        <v>45</v>
      </c>
      <c r="B20" s="39">
        <f>資料儲存!D4336</f>
        <v>0</v>
      </c>
      <c r="C20" s="39">
        <f>資料儲存!E4336</f>
        <v>0</v>
      </c>
      <c r="D20" s="39">
        <f>資料儲存!F4336</f>
        <v>0</v>
      </c>
      <c r="E20" s="39">
        <f>資料儲存!G4336</f>
        <v>0</v>
      </c>
      <c r="F20" s="39">
        <f>資料儲存!H4336</f>
        <v>0</v>
      </c>
      <c r="G20" s="39">
        <f>資料儲存!I4336</f>
        <v>0</v>
      </c>
      <c r="H20" s="39">
        <f>資料儲存!J4336</f>
        <v>0</v>
      </c>
      <c r="I20" s="58"/>
      <c r="J20" s="62">
        <v>45</v>
      </c>
      <c r="K20" s="39">
        <f>資料儲存!D4396</f>
        <v>0</v>
      </c>
      <c r="L20" s="39">
        <f>資料儲存!E4396</f>
        <v>0</v>
      </c>
      <c r="M20" s="39">
        <f>資料儲存!F4396</f>
        <v>0</v>
      </c>
      <c r="N20" s="39">
        <f>資料儲存!G4396</f>
        <v>0</v>
      </c>
      <c r="O20" s="39">
        <f>資料儲存!H4396</f>
        <v>0</v>
      </c>
      <c r="P20" s="39">
        <f>資料儲存!I4396</f>
        <v>0</v>
      </c>
      <c r="Q20" s="39">
        <f>資料儲存!J4396</f>
        <v>0</v>
      </c>
      <c r="R20" s="58"/>
      <c r="S20" s="62">
        <v>45</v>
      </c>
      <c r="T20" s="39">
        <f>資料儲存!D4456</f>
        <v>0</v>
      </c>
      <c r="U20" s="39">
        <f>資料儲存!E4456</f>
        <v>0</v>
      </c>
      <c r="V20" s="39">
        <f>資料儲存!F4456</f>
        <v>0</v>
      </c>
      <c r="W20" s="39">
        <f>資料儲存!G4456</f>
        <v>0</v>
      </c>
      <c r="X20" s="39">
        <f>資料儲存!H4456</f>
        <v>0</v>
      </c>
      <c r="Y20" s="39">
        <f>資料儲存!I4456</f>
        <v>0</v>
      </c>
      <c r="Z20" s="39">
        <f>資料儲存!J4456</f>
        <v>0</v>
      </c>
      <c r="AA20" s="58"/>
      <c r="AB20" s="62">
        <v>45</v>
      </c>
      <c r="AC20" s="39">
        <f>資料儲存!D4516</f>
        <v>0</v>
      </c>
      <c r="AD20" s="39">
        <f>資料儲存!E4516</f>
        <v>0</v>
      </c>
      <c r="AE20" s="39">
        <f>資料儲存!F4516</f>
        <v>0</v>
      </c>
      <c r="AF20" s="39">
        <f>資料儲存!G4516</f>
        <v>0</v>
      </c>
      <c r="AG20" s="39">
        <f>資料儲存!H4516</f>
        <v>0</v>
      </c>
      <c r="AH20" s="39">
        <f>資料儲存!I4516</f>
        <v>0</v>
      </c>
      <c r="AI20" s="39">
        <f>資料儲存!J4516</f>
        <v>0</v>
      </c>
      <c r="AJ20" s="58"/>
      <c r="AK20" s="62">
        <v>45</v>
      </c>
      <c r="AL20" s="39">
        <f>資料儲存!D4576</f>
        <v>0</v>
      </c>
      <c r="AM20" s="39">
        <f>資料儲存!E4576</f>
        <v>0</v>
      </c>
      <c r="AN20" s="39">
        <f>資料儲存!F4576</f>
        <v>0</v>
      </c>
      <c r="AO20" s="39">
        <f>資料儲存!G4576</f>
        <v>0</v>
      </c>
      <c r="AP20" s="39">
        <f>資料儲存!H4576</f>
        <v>0</v>
      </c>
      <c r="AQ20" s="39">
        <f>資料儲存!I4576</f>
        <v>0</v>
      </c>
      <c r="AR20" s="39">
        <f>資料儲存!J4576</f>
        <v>0</v>
      </c>
      <c r="AT20" s="62">
        <v>45</v>
      </c>
      <c r="AU20" s="39">
        <f>資料儲存!D4636</f>
        <v>0</v>
      </c>
      <c r="AV20" s="39">
        <f>資料儲存!E4636</f>
        <v>0</v>
      </c>
      <c r="AW20" s="39">
        <f>資料儲存!F4636</f>
        <v>0</v>
      </c>
      <c r="AX20" s="39">
        <f>資料儲存!G4636</f>
        <v>0</v>
      </c>
      <c r="AY20" s="39">
        <f>資料儲存!H4636</f>
        <v>0</v>
      </c>
      <c r="AZ20" s="39">
        <f>資料儲存!I4636</f>
        <v>0</v>
      </c>
      <c r="BA20" s="39">
        <f>資料儲存!J4636</f>
        <v>0</v>
      </c>
    </row>
    <row r="21" spans="1:53" s="59" customFormat="1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35"/>
      <c r="AK21" s="40" t="s">
        <v>56</v>
      </c>
      <c r="AL21" s="39">
        <f>SUM(AL6:AO20)</f>
        <v>0</v>
      </c>
      <c r="AM21" s="37"/>
      <c r="AN21" s="37"/>
      <c r="AO21" s="37"/>
      <c r="AP21" s="39">
        <f>AP20</f>
        <v>0</v>
      </c>
      <c r="AQ21" s="39">
        <f>AQ20</f>
        <v>0</v>
      </c>
      <c r="AR21" s="39">
        <f>AR20</f>
        <v>0</v>
      </c>
      <c r="AT21" s="40" t="s">
        <v>56</v>
      </c>
      <c r="AU21" s="39">
        <f>SUM(AU6:AX20)</f>
        <v>0</v>
      </c>
      <c r="AV21" s="37"/>
      <c r="AW21" s="37"/>
      <c r="AX21" s="37"/>
      <c r="AY21" s="39">
        <f>AY20</f>
        <v>0</v>
      </c>
      <c r="AZ21" s="39">
        <f>AZ20</f>
        <v>0</v>
      </c>
      <c r="BA21" s="39">
        <f>BA20</f>
        <v>0</v>
      </c>
    </row>
    <row r="22" spans="1:53" ht="18.5" thickBot="1">
      <c r="A22" s="257" t="s">
        <v>114</v>
      </c>
      <c r="B22" s="258"/>
      <c r="C22" s="258"/>
      <c r="D22" s="258"/>
      <c r="E22" s="258"/>
      <c r="F22" s="258"/>
      <c r="G22" s="258"/>
      <c r="H22" s="259"/>
      <c r="I22" s="14"/>
      <c r="J22" s="257" t="s">
        <v>114</v>
      </c>
      <c r="K22" s="258"/>
      <c r="L22" s="258"/>
      <c r="M22" s="258"/>
      <c r="N22" s="258"/>
      <c r="O22" s="258"/>
      <c r="P22" s="258"/>
      <c r="Q22" s="259"/>
      <c r="R22" s="14"/>
      <c r="S22" s="257" t="s">
        <v>114</v>
      </c>
      <c r="T22" s="258"/>
      <c r="U22" s="258"/>
      <c r="V22" s="258"/>
      <c r="W22" s="258"/>
      <c r="X22" s="258"/>
      <c r="Y22" s="258"/>
      <c r="Z22" s="259"/>
      <c r="AA22" s="14"/>
      <c r="AB22" s="257" t="s">
        <v>114</v>
      </c>
      <c r="AC22" s="258"/>
      <c r="AD22" s="258"/>
      <c r="AE22" s="258"/>
      <c r="AF22" s="258"/>
      <c r="AG22" s="258"/>
      <c r="AH22" s="258"/>
      <c r="AI22" s="259"/>
      <c r="AJ22" s="14"/>
      <c r="AK22" s="257" t="s">
        <v>114</v>
      </c>
      <c r="AL22" s="258"/>
      <c r="AM22" s="258"/>
      <c r="AN22" s="258"/>
      <c r="AO22" s="258"/>
      <c r="AP22" s="258"/>
      <c r="AQ22" s="258"/>
      <c r="AR22" s="259"/>
      <c r="AT22" s="257" t="s">
        <v>114</v>
      </c>
      <c r="AU22" s="258"/>
      <c r="AV22" s="258"/>
      <c r="AW22" s="258"/>
      <c r="AX22" s="258"/>
      <c r="AY22" s="258"/>
      <c r="AZ22" s="258"/>
      <c r="BA22" s="259"/>
    </row>
    <row r="23" spans="1:53" s="67" customFormat="1" ht="17.25" customHeight="1" thickBot="1">
      <c r="A23" s="63" t="s">
        <v>2</v>
      </c>
      <c r="B23" s="64" t="s">
        <v>46</v>
      </c>
      <c r="C23" s="65"/>
      <c r="D23" s="65"/>
      <c r="E23" s="66"/>
      <c r="F23" s="64" t="s">
        <v>47</v>
      </c>
      <c r="G23" s="65"/>
      <c r="H23" s="66"/>
      <c r="I23" s="52"/>
      <c r="J23" s="63" t="s">
        <v>2</v>
      </c>
      <c r="K23" s="64" t="s">
        <v>46</v>
      </c>
      <c r="L23" s="65"/>
      <c r="M23" s="65"/>
      <c r="N23" s="66"/>
      <c r="O23" s="64" t="s">
        <v>47</v>
      </c>
      <c r="P23" s="65"/>
      <c r="Q23" s="66"/>
      <c r="R23" s="52"/>
      <c r="S23" s="63" t="s">
        <v>2</v>
      </c>
      <c r="T23" s="64" t="s">
        <v>46</v>
      </c>
      <c r="U23" s="65"/>
      <c r="V23" s="65"/>
      <c r="W23" s="66"/>
      <c r="X23" s="64" t="s">
        <v>47</v>
      </c>
      <c r="Y23" s="65"/>
      <c r="Z23" s="66"/>
      <c r="AA23" s="52"/>
      <c r="AB23" s="63" t="s">
        <v>2</v>
      </c>
      <c r="AC23" s="64" t="s">
        <v>46</v>
      </c>
      <c r="AD23" s="65"/>
      <c r="AE23" s="65"/>
      <c r="AF23" s="66"/>
      <c r="AG23" s="64" t="s">
        <v>47</v>
      </c>
      <c r="AH23" s="65"/>
      <c r="AI23" s="66"/>
      <c r="AJ23" s="52"/>
      <c r="AK23" s="63" t="s">
        <v>2</v>
      </c>
      <c r="AL23" s="64" t="s">
        <v>46</v>
      </c>
      <c r="AM23" s="65"/>
      <c r="AN23" s="65"/>
      <c r="AO23" s="66"/>
      <c r="AP23" s="64" t="s">
        <v>47</v>
      </c>
      <c r="AQ23" s="65"/>
      <c r="AR23" s="66"/>
      <c r="AT23" s="63" t="s">
        <v>2</v>
      </c>
      <c r="AU23" s="64" t="s">
        <v>46</v>
      </c>
      <c r="AV23" s="65"/>
      <c r="AW23" s="65"/>
      <c r="AX23" s="66"/>
      <c r="AY23" s="64" t="s">
        <v>47</v>
      </c>
      <c r="AZ23" s="65"/>
      <c r="BA23" s="66"/>
    </row>
    <row r="24" spans="1:53" s="67" customFormat="1" ht="16" thickBot="1">
      <c r="A24" s="68">
        <v>0.73958333333333337</v>
      </c>
      <c r="B24" s="69" t="s">
        <v>49</v>
      </c>
      <c r="C24" s="69" t="s">
        <v>50</v>
      </c>
      <c r="D24" s="69" t="s">
        <v>51</v>
      </c>
      <c r="E24" s="69" t="s">
        <v>52</v>
      </c>
      <c r="F24" s="69" t="s">
        <v>53</v>
      </c>
      <c r="G24" s="69" t="s">
        <v>54</v>
      </c>
      <c r="H24" s="69" t="s">
        <v>55</v>
      </c>
      <c r="I24" s="52"/>
      <c r="J24" s="68">
        <v>0.73958333333333337</v>
      </c>
      <c r="K24" s="69" t="s">
        <v>49</v>
      </c>
      <c r="L24" s="69" t="s">
        <v>50</v>
      </c>
      <c r="M24" s="69" t="s">
        <v>51</v>
      </c>
      <c r="N24" s="69" t="s">
        <v>52</v>
      </c>
      <c r="O24" s="69" t="s">
        <v>53</v>
      </c>
      <c r="P24" s="69" t="s">
        <v>54</v>
      </c>
      <c r="Q24" s="69" t="s">
        <v>55</v>
      </c>
      <c r="R24" s="52"/>
      <c r="S24" s="68">
        <v>0.73958333333333337</v>
      </c>
      <c r="T24" s="69" t="s">
        <v>49</v>
      </c>
      <c r="U24" s="69" t="s">
        <v>50</v>
      </c>
      <c r="V24" s="69" t="s">
        <v>51</v>
      </c>
      <c r="W24" s="69" t="s">
        <v>52</v>
      </c>
      <c r="X24" s="69" t="s">
        <v>53</v>
      </c>
      <c r="Y24" s="69" t="s">
        <v>54</v>
      </c>
      <c r="Z24" s="69" t="s">
        <v>55</v>
      </c>
      <c r="AA24" s="52"/>
      <c r="AB24" s="68">
        <v>0.73958333333333337</v>
      </c>
      <c r="AC24" s="69" t="s">
        <v>49</v>
      </c>
      <c r="AD24" s="69" t="s">
        <v>50</v>
      </c>
      <c r="AE24" s="69" t="s">
        <v>51</v>
      </c>
      <c r="AF24" s="69" t="s">
        <v>52</v>
      </c>
      <c r="AG24" s="69" t="s">
        <v>53</v>
      </c>
      <c r="AH24" s="69" t="s">
        <v>54</v>
      </c>
      <c r="AI24" s="69" t="s">
        <v>55</v>
      </c>
      <c r="AJ24" s="52"/>
      <c r="AK24" s="68">
        <v>0.73958333333333337</v>
      </c>
      <c r="AL24" s="69" t="s">
        <v>49</v>
      </c>
      <c r="AM24" s="69" t="s">
        <v>50</v>
      </c>
      <c r="AN24" s="69" t="s">
        <v>51</v>
      </c>
      <c r="AO24" s="69" t="s">
        <v>52</v>
      </c>
      <c r="AP24" s="69" t="s">
        <v>53</v>
      </c>
      <c r="AQ24" s="69" t="s">
        <v>54</v>
      </c>
      <c r="AR24" s="69" t="s">
        <v>55</v>
      </c>
      <c r="AT24" s="68">
        <v>0.73958333333333337</v>
      </c>
      <c r="AU24" s="69" t="s">
        <v>49</v>
      </c>
      <c r="AV24" s="69" t="s">
        <v>50</v>
      </c>
      <c r="AW24" s="69" t="s">
        <v>51</v>
      </c>
      <c r="AX24" s="69" t="s">
        <v>52</v>
      </c>
      <c r="AY24" s="69" t="s">
        <v>53</v>
      </c>
      <c r="AZ24" s="69" t="s">
        <v>54</v>
      </c>
      <c r="BA24" s="69" t="s">
        <v>55</v>
      </c>
    </row>
    <row r="25" spans="1:53" s="67" customFormat="1" ht="16" thickBot="1">
      <c r="A25" s="70">
        <v>46</v>
      </c>
      <c r="B25" s="49">
        <f>資料儲存!D4337</f>
        <v>0</v>
      </c>
      <c r="C25" s="49">
        <f>資料儲存!E4337</f>
        <v>0</v>
      </c>
      <c r="D25" s="49">
        <f>資料儲存!F4337</f>
        <v>0</v>
      </c>
      <c r="E25" s="49">
        <f>資料儲存!G4337</f>
        <v>0</v>
      </c>
      <c r="F25" s="49">
        <f>資料儲存!H4337</f>
        <v>0</v>
      </c>
      <c r="G25" s="49">
        <f>資料儲存!I4337</f>
        <v>0</v>
      </c>
      <c r="H25" s="49">
        <f>資料儲存!J4337</f>
        <v>0</v>
      </c>
      <c r="I25" s="52"/>
      <c r="J25" s="70">
        <v>46</v>
      </c>
      <c r="K25" s="49">
        <f>資料儲存!D4397</f>
        <v>0</v>
      </c>
      <c r="L25" s="49">
        <f>資料儲存!E4397</f>
        <v>0</v>
      </c>
      <c r="M25" s="49">
        <f>資料儲存!F4397</f>
        <v>0</v>
      </c>
      <c r="N25" s="49">
        <f>資料儲存!G4397</f>
        <v>0</v>
      </c>
      <c r="O25" s="49">
        <f>資料儲存!H4397</f>
        <v>0</v>
      </c>
      <c r="P25" s="49">
        <f>資料儲存!I4397</f>
        <v>0</v>
      </c>
      <c r="Q25" s="49">
        <f>資料儲存!J4397</f>
        <v>0</v>
      </c>
      <c r="R25" s="52"/>
      <c r="S25" s="70">
        <v>46</v>
      </c>
      <c r="T25" s="49">
        <f>資料儲存!D4457</f>
        <v>0</v>
      </c>
      <c r="U25" s="49">
        <f>資料儲存!E4457</f>
        <v>0</v>
      </c>
      <c r="V25" s="49">
        <f>資料儲存!F4457</f>
        <v>0</v>
      </c>
      <c r="W25" s="49">
        <f>資料儲存!G4457</f>
        <v>0</v>
      </c>
      <c r="X25" s="49">
        <f>資料儲存!H4457</f>
        <v>0</v>
      </c>
      <c r="Y25" s="49">
        <f>資料儲存!I4457</f>
        <v>0</v>
      </c>
      <c r="Z25" s="49">
        <f>資料儲存!J4457</f>
        <v>0</v>
      </c>
      <c r="AA25" s="52"/>
      <c r="AB25" s="70">
        <v>46</v>
      </c>
      <c r="AC25" s="49">
        <f>資料儲存!D4517</f>
        <v>0</v>
      </c>
      <c r="AD25" s="49">
        <f>資料儲存!E4517</f>
        <v>0</v>
      </c>
      <c r="AE25" s="49">
        <f>資料儲存!F4517</f>
        <v>0</v>
      </c>
      <c r="AF25" s="49">
        <f>資料儲存!G4517</f>
        <v>0</v>
      </c>
      <c r="AG25" s="49">
        <f>資料儲存!H4517</f>
        <v>0</v>
      </c>
      <c r="AH25" s="49">
        <f>資料儲存!I4517</f>
        <v>0</v>
      </c>
      <c r="AI25" s="49">
        <f>資料儲存!J4517</f>
        <v>0</v>
      </c>
      <c r="AJ25" s="52"/>
      <c r="AK25" s="70">
        <v>46</v>
      </c>
      <c r="AL25" s="49">
        <f>資料儲存!D4577</f>
        <v>0</v>
      </c>
      <c r="AM25" s="49">
        <f>資料儲存!E4577</f>
        <v>0</v>
      </c>
      <c r="AN25" s="49">
        <f>資料儲存!F4577</f>
        <v>0</v>
      </c>
      <c r="AO25" s="49">
        <f>資料儲存!G4577</f>
        <v>0</v>
      </c>
      <c r="AP25" s="49">
        <f>資料儲存!H4577</f>
        <v>0</v>
      </c>
      <c r="AQ25" s="49">
        <f>資料儲存!I4577</f>
        <v>0</v>
      </c>
      <c r="AR25" s="49">
        <f>資料儲存!J4577</f>
        <v>0</v>
      </c>
      <c r="AT25" s="70">
        <v>46</v>
      </c>
      <c r="AU25" s="49">
        <f>資料儲存!D4637</f>
        <v>0</v>
      </c>
      <c r="AV25" s="49">
        <f>資料儲存!E4637</f>
        <v>0</v>
      </c>
      <c r="AW25" s="49">
        <f>資料儲存!F4637</f>
        <v>0</v>
      </c>
      <c r="AX25" s="49">
        <f>資料儲存!G4637</f>
        <v>0</v>
      </c>
      <c r="AY25" s="49">
        <f>資料儲存!H4637</f>
        <v>0</v>
      </c>
      <c r="AZ25" s="49">
        <f>資料儲存!I4637</f>
        <v>0</v>
      </c>
      <c r="BA25" s="49">
        <f>資料儲存!J4637</f>
        <v>0</v>
      </c>
    </row>
    <row r="26" spans="1:53" s="67" customFormat="1" ht="16" thickBot="1">
      <c r="A26" s="70">
        <v>47</v>
      </c>
      <c r="B26" s="49">
        <f>資料儲存!D4338</f>
        <v>0</v>
      </c>
      <c r="C26" s="49">
        <f>資料儲存!E4338</f>
        <v>0</v>
      </c>
      <c r="D26" s="49">
        <f>資料儲存!F4338</f>
        <v>0</v>
      </c>
      <c r="E26" s="49">
        <f>資料儲存!G4338</f>
        <v>0</v>
      </c>
      <c r="F26" s="49">
        <f>資料儲存!H4338</f>
        <v>0</v>
      </c>
      <c r="G26" s="49">
        <f>資料儲存!I4338</f>
        <v>0</v>
      </c>
      <c r="H26" s="49">
        <f>資料儲存!J4338</f>
        <v>0</v>
      </c>
      <c r="I26" s="52"/>
      <c r="J26" s="70">
        <v>47</v>
      </c>
      <c r="K26" s="49">
        <f>資料儲存!D4398</f>
        <v>0</v>
      </c>
      <c r="L26" s="49">
        <f>資料儲存!E4398</f>
        <v>0</v>
      </c>
      <c r="M26" s="49">
        <f>資料儲存!F4398</f>
        <v>0</v>
      </c>
      <c r="N26" s="49">
        <f>資料儲存!G4398</f>
        <v>0</v>
      </c>
      <c r="O26" s="49">
        <f>資料儲存!H4398</f>
        <v>0</v>
      </c>
      <c r="P26" s="49">
        <f>資料儲存!I4398</f>
        <v>0</v>
      </c>
      <c r="Q26" s="49">
        <f>資料儲存!J4398</f>
        <v>0</v>
      </c>
      <c r="R26" s="52"/>
      <c r="S26" s="70">
        <v>47</v>
      </c>
      <c r="T26" s="49">
        <f>資料儲存!D4458</f>
        <v>0</v>
      </c>
      <c r="U26" s="49">
        <f>資料儲存!E4458</f>
        <v>0</v>
      </c>
      <c r="V26" s="49">
        <f>資料儲存!F4458</f>
        <v>0</v>
      </c>
      <c r="W26" s="49">
        <f>資料儲存!G4458</f>
        <v>0</v>
      </c>
      <c r="X26" s="49">
        <f>資料儲存!H4458</f>
        <v>0</v>
      </c>
      <c r="Y26" s="49">
        <f>資料儲存!I4458</f>
        <v>0</v>
      </c>
      <c r="Z26" s="49">
        <f>資料儲存!J4458</f>
        <v>0</v>
      </c>
      <c r="AA26" s="52"/>
      <c r="AB26" s="70">
        <v>47</v>
      </c>
      <c r="AC26" s="49">
        <f>資料儲存!D4518</f>
        <v>0</v>
      </c>
      <c r="AD26" s="49">
        <f>資料儲存!E4518</f>
        <v>0</v>
      </c>
      <c r="AE26" s="49">
        <f>資料儲存!F4518</f>
        <v>0</v>
      </c>
      <c r="AF26" s="49">
        <f>資料儲存!G4518</f>
        <v>0</v>
      </c>
      <c r="AG26" s="49">
        <f>資料儲存!H4518</f>
        <v>0</v>
      </c>
      <c r="AH26" s="49">
        <f>資料儲存!I4518</f>
        <v>0</v>
      </c>
      <c r="AI26" s="49">
        <f>資料儲存!J4518</f>
        <v>0</v>
      </c>
      <c r="AJ26" s="52"/>
      <c r="AK26" s="70">
        <v>47</v>
      </c>
      <c r="AL26" s="49">
        <f>資料儲存!D4578</f>
        <v>0</v>
      </c>
      <c r="AM26" s="49">
        <f>資料儲存!E4578</f>
        <v>0</v>
      </c>
      <c r="AN26" s="49">
        <f>資料儲存!F4578</f>
        <v>0</v>
      </c>
      <c r="AO26" s="49">
        <f>資料儲存!G4578</f>
        <v>0</v>
      </c>
      <c r="AP26" s="49">
        <f>資料儲存!H4578</f>
        <v>0</v>
      </c>
      <c r="AQ26" s="49">
        <f>資料儲存!I4578</f>
        <v>0</v>
      </c>
      <c r="AR26" s="49">
        <f>資料儲存!J4578</f>
        <v>0</v>
      </c>
      <c r="AT26" s="70">
        <v>47</v>
      </c>
      <c r="AU26" s="49">
        <f>資料儲存!D4638</f>
        <v>0</v>
      </c>
      <c r="AV26" s="49">
        <f>資料儲存!E4638</f>
        <v>0</v>
      </c>
      <c r="AW26" s="49">
        <f>資料儲存!F4638</f>
        <v>0</v>
      </c>
      <c r="AX26" s="49">
        <f>資料儲存!G4638</f>
        <v>0</v>
      </c>
      <c r="AY26" s="49">
        <f>資料儲存!H4638</f>
        <v>0</v>
      </c>
      <c r="AZ26" s="49">
        <f>資料儲存!I4638</f>
        <v>0</v>
      </c>
      <c r="BA26" s="49">
        <f>資料儲存!J4638</f>
        <v>0</v>
      </c>
    </row>
    <row r="27" spans="1:53" s="67" customFormat="1" ht="16" thickBot="1">
      <c r="A27" s="70">
        <v>48</v>
      </c>
      <c r="B27" s="49">
        <f>資料儲存!D4339</f>
        <v>0</v>
      </c>
      <c r="C27" s="49">
        <f>資料儲存!E4339</f>
        <v>0</v>
      </c>
      <c r="D27" s="49">
        <f>資料儲存!F4339</f>
        <v>0</v>
      </c>
      <c r="E27" s="49">
        <f>資料儲存!G4339</f>
        <v>0</v>
      </c>
      <c r="F27" s="49">
        <f>資料儲存!H4339</f>
        <v>0</v>
      </c>
      <c r="G27" s="49">
        <f>資料儲存!I4339</f>
        <v>0</v>
      </c>
      <c r="H27" s="49">
        <f>資料儲存!J4339</f>
        <v>0</v>
      </c>
      <c r="I27" s="52"/>
      <c r="J27" s="70">
        <v>48</v>
      </c>
      <c r="K27" s="49">
        <f>資料儲存!D4399</f>
        <v>0</v>
      </c>
      <c r="L27" s="49">
        <f>資料儲存!E4399</f>
        <v>0</v>
      </c>
      <c r="M27" s="49">
        <f>資料儲存!F4399</f>
        <v>0</v>
      </c>
      <c r="N27" s="49">
        <f>資料儲存!G4399</f>
        <v>0</v>
      </c>
      <c r="O27" s="49">
        <f>資料儲存!H4399</f>
        <v>0</v>
      </c>
      <c r="P27" s="49">
        <f>資料儲存!I4399</f>
        <v>0</v>
      </c>
      <c r="Q27" s="49">
        <f>資料儲存!J4399</f>
        <v>0</v>
      </c>
      <c r="R27" s="52"/>
      <c r="S27" s="70">
        <v>48</v>
      </c>
      <c r="T27" s="49">
        <f>資料儲存!D4459</f>
        <v>0</v>
      </c>
      <c r="U27" s="49">
        <f>資料儲存!E4459</f>
        <v>0</v>
      </c>
      <c r="V27" s="49">
        <f>資料儲存!F4459</f>
        <v>0</v>
      </c>
      <c r="W27" s="49">
        <f>資料儲存!G4459</f>
        <v>0</v>
      </c>
      <c r="X27" s="49">
        <f>資料儲存!H4459</f>
        <v>0</v>
      </c>
      <c r="Y27" s="49">
        <f>資料儲存!I4459</f>
        <v>0</v>
      </c>
      <c r="Z27" s="49">
        <f>資料儲存!J4459</f>
        <v>0</v>
      </c>
      <c r="AA27" s="52"/>
      <c r="AB27" s="70">
        <v>48</v>
      </c>
      <c r="AC27" s="49">
        <f>資料儲存!D4519</f>
        <v>0</v>
      </c>
      <c r="AD27" s="49">
        <f>資料儲存!E4519</f>
        <v>0</v>
      </c>
      <c r="AE27" s="49">
        <f>資料儲存!F4519</f>
        <v>0</v>
      </c>
      <c r="AF27" s="49">
        <f>資料儲存!G4519</f>
        <v>0</v>
      </c>
      <c r="AG27" s="49">
        <f>資料儲存!H4519</f>
        <v>0</v>
      </c>
      <c r="AH27" s="49">
        <f>資料儲存!I4519</f>
        <v>0</v>
      </c>
      <c r="AI27" s="49">
        <f>資料儲存!J4519</f>
        <v>0</v>
      </c>
      <c r="AJ27" s="52"/>
      <c r="AK27" s="70">
        <v>48</v>
      </c>
      <c r="AL27" s="49">
        <f>資料儲存!D4579</f>
        <v>0</v>
      </c>
      <c r="AM27" s="49">
        <f>資料儲存!E4579</f>
        <v>0</v>
      </c>
      <c r="AN27" s="49">
        <f>資料儲存!F4579</f>
        <v>0</v>
      </c>
      <c r="AO27" s="49">
        <f>資料儲存!G4579</f>
        <v>0</v>
      </c>
      <c r="AP27" s="49">
        <f>資料儲存!H4579</f>
        <v>0</v>
      </c>
      <c r="AQ27" s="49">
        <f>資料儲存!I4579</f>
        <v>0</v>
      </c>
      <c r="AR27" s="49">
        <f>資料儲存!J4579</f>
        <v>0</v>
      </c>
      <c r="AT27" s="70">
        <v>48</v>
      </c>
      <c r="AU27" s="49">
        <f>資料儲存!D4639</f>
        <v>0</v>
      </c>
      <c r="AV27" s="49">
        <f>資料儲存!E4639</f>
        <v>0</v>
      </c>
      <c r="AW27" s="49">
        <f>資料儲存!F4639</f>
        <v>0</v>
      </c>
      <c r="AX27" s="49">
        <f>資料儲存!G4639</f>
        <v>0</v>
      </c>
      <c r="AY27" s="49">
        <f>資料儲存!H4639</f>
        <v>0</v>
      </c>
      <c r="AZ27" s="49">
        <f>資料儲存!I4639</f>
        <v>0</v>
      </c>
      <c r="BA27" s="49">
        <f>資料儲存!J4639</f>
        <v>0</v>
      </c>
    </row>
    <row r="28" spans="1:53" s="67" customFormat="1" ht="16" thickBot="1">
      <c r="A28" s="70">
        <v>49</v>
      </c>
      <c r="B28" s="49">
        <f>資料儲存!D4340</f>
        <v>0</v>
      </c>
      <c r="C28" s="49">
        <f>資料儲存!E4340</f>
        <v>0</v>
      </c>
      <c r="D28" s="49">
        <f>資料儲存!F4340</f>
        <v>0</v>
      </c>
      <c r="E28" s="49">
        <f>資料儲存!G4340</f>
        <v>0</v>
      </c>
      <c r="F28" s="49">
        <f>資料儲存!H4340</f>
        <v>0</v>
      </c>
      <c r="G28" s="49">
        <f>資料儲存!I4340</f>
        <v>0</v>
      </c>
      <c r="H28" s="49">
        <f>資料儲存!J4340</f>
        <v>0</v>
      </c>
      <c r="I28" s="52"/>
      <c r="J28" s="70">
        <v>49</v>
      </c>
      <c r="K28" s="49">
        <f>資料儲存!D4400</f>
        <v>0</v>
      </c>
      <c r="L28" s="49">
        <f>資料儲存!E4400</f>
        <v>0</v>
      </c>
      <c r="M28" s="49">
        <f>資料儲存!F4400</f>
        <v>0</v>
      </c>
      <c r="N28" s="49">
        <f>資料儲存!G4400</f>
        <v>0</v>
      </c>
      <c r="O28" s="49">
        <f>資料儲存!H4400</f>
        <v>0</v>
      </c>
      <c r="P28" s="49">
        <f>資料儲存!I4400</f>
        <v>0</v>
      </c>
      <c r="Q28" s="49">
        <f>資料儲存!J4400</f>
        <v>0</v>
      </c>
      <c r="R28" s="52"/>
      <c r="S28" s="70">
        <v>49</v>
      </c>
      <c r="T28" s="49">
        <f>資料儲存!D4460</f>
        <v>0</v>
      </c>
      <c r="U28" s="49">
        <f>資料儲存!E4460</f>
        <v>0</v>
      </c>
      <c r="V28" s="49">
        <f>資料儲存!F4460</f>
        <v>0</v>
      </c>
      <c r="W28" s="49">
        <f>資料儲存!G4460</f>
        <v>0</v>
      </c>
      <c r="X28" s="49">
        <f>資料儲存!H4460</f>
        <v>0</v>
      </c>
      <c r="Y28" s="49">
        <f>資料儲存!I4460</f>
        <v>0</v>
      </c>
      <c r="Z28" s="49">
        <f>資料儲存!J4460</f>
        <v>0</v>
      </c>
      <c r="AA28" s="52"/>
      <c r="AB28" s="70">
        <v>49</v>
      </c>
      <c r="AC28" s="49">
        <f>資料儲存!D4520</f>
        <v>0</v>
      </c>
      <c r="AD28" s="49">
        <f>資料儲存!E4520</f>
        <v>0</v>
      </c>
      <c r="AE28" s="49">
        <f>資料儲存!F4520</f>
        <v>0</v>
      </c>
      <c r="AF28" s="49">
        <f>資料儲存!G4520</f>
        <v>0</v>
      </c>
      <c r="AG28" s="49">
        <f>資料儲存!H4520</f>
        <v>0</v>
      </c>
      <c r="AH28" s="49">
        <f>資料儲存!I4520</f>
        <v>0</v>
      </c>
      <c r="AI28" s="49">
        <f>資料儲存!J4520</f>
        <v>0</v>
      </c>
      <c r="AJ28" s="52"/>
      <c r="AK28" s="70">
        <v>49</v>
      </c>
      <c r="AL28" s="49">
        <f>資料儲存!D4580</f>
        <v>0</v>
      </c>
      <c r="AM28" s="49">
        <f>資料儲存!E4580</f>
        <v>0</v>
      </c>
      <c r="AN28" s="49">
        <f>資料儲存!F4580</f>
        <v>0</v>
      </c>
      <c r="AO28" s="49">
        <f>資料儲存!G4580</f>
        <v>0</v>
      </c>
      <c r="AP28" s="49">
        <f>資料儲存!H4580</f>
        <v>0</v>
      </c>
      <c r="AQ28" s="49">
        <f>資料儲存!I4580</f>
        <v>0</v>
      </c>
      <c r="AR28" s="49">
        <f>資料儲存!J4580</f>
        <v>0</v>
      </c>
      <c r="AT28" s="70">
        <v>49</v>
      </c>
      <c r="AU28" s="49">
        <f>資料儲存!D4640</f>
        <v>0</v>
      </c>
      <c r="AV28" s="49">
        <f>資料儲存!E4640</f>
        <v>0</v>
      </c>
      <c r="AW28" s="49">
        <f>資料儲存!F4640</f>
        <v>0</v>
      </c>
      <c r="AX28" s="49">
        <f>資料儲存!G4640</f>
        <v>0</v>
      </c>
      <c r="AY28" s="49">
        <f>資料儲存!H4640</f>
        <v>0</v>
      </c>
      <c r="AZ28" s="49">
        <f>資料儲存!I4640</f>
        <v>0</v>
      </c>
      <c r="BA28" s="49">
        <f>資料儲存!J4640</f>
        <v>0</v>
      </c>
    </row>
    <row r="29" spans="1:53" s="67" customFormat="1" ht="16" thickBot="1">
      <c r="A29" s="70">
        <v>50</v>
      </c>
      <c r="B29" s="49">
        <f>資料儲存!D4341</f>
        <v>0</v>
      </c>
      <c r="C29" s="49">
        <f>資料儲存!E4341</f>
        <v>0</v>
      </c>
      <c r="D29" s="49">
        <f>資料儲存!F4341</f>
        <v>0</v>
      </c>
      <c r="E29" s="49">
        <f>資料儲存!G4341</f>
        <v>0</v>
      </c>
      <c r="F29" s="49">
        <f>資料儲存!H4341</f>
        <v>0</v>
      </c>
      <c r="G29" s="49">
        <f>資料儲存!I4341</f>
        <v>0</v>
      </c>
      <c r="H29" s="49">
        <f>資料儲存!J4341</f>
        <v>0</v>
      </c>
      <c r="I29" s="52"/>
      <c r="J29" s="70">
        <v>50</v>
      </c>
      <c r="K29" s="49">
        <f>資料儲存!D4401</f>
        <v>0</v>
      </c>
      <c r="L29" s="49">
        <f>資料儲存!E4401</f>
        <v>0</v>
      </c>
      <c r="M29" s="49">
        <f>資料儲存!F4401</f>
        <v>0</v>
      </c>
      <c r="N29" s="49">
        <f>資料儲存!G4401</f>
        <v>0</v>
      </c>
      <c r="O29" s="49">
        <f>資料儲存!H4401</f>
        <v>0</v>
      </c>
      <c r="P29" s="49">
        <f>資料儲存!I4401</f>
        <v>0</v>
      </c>
      <c r="Q29" s="49">
        <f>資料儲存!J4401</f>
        <v>0</v>
      </c>
      <c r="R29" s="52"/>
      <c r="S29" s="70">
        <v>50</v>
      </c>
      <c r="T29" s="49">
        <f>資料儲存!D4461</f>
        <v>0</v>
      </c>
      <c r="U29" s="49">
        <f>資料儲存!E4461</f>
        <v>0</v>
      </c>
      <c r="V29" s="49">
        <f>資料儲存!F4461</f>
        <v>0</v>
      </c>
      <c r="W29" s="49">
        <f>資料儲存!G4461</f>
        <v>0</v>
      </c>
      <c r="X29" s="49">
        <f>資料儲存!H4461</f>
        <v>0</v>
      </c>
      <c r="Y29" s="49">
        <f>資料儲存!I4461</f>
        <v>0</v>
      </c>
      <c r="Z29" s="49">
        <f>資料儲存!J4461</f>
        <v>0</v>
      </c>
      <c r="AA29" s="52"/>
      <c r="AB29" s="70">
        <v>50</v>
      </c>
      <c r="AC29" s="49">
        <f>資料儲存!D4521</f>
        <v>0</v>
      </c>
      <c r="AD29" s="49">
        <f>資料儲存!E4521</f>
        <v>0</v>
      </c>
      <c r="AE29" s="49">
        <f>資料儲存!F4521</f>
        <v>0</v>
      </c>
      <c r="AF29" s="49">
        <f>資料儲存!G4521</f>
        <v>0</v>
      </c>
      <c r="AG29" s="49">
        <f>資料儲存!H4521</f>
        <v>0</v>
      </c>
      <c r="AH29" s="49">
        <f>資料儲存!I4521</f>
        <v>0</v>
      </c>
      <c r="AI29" s="49">
        <f>資料儲存!J4521</f>
        <v>0</v>
      </c>
      <c r="AJ29" s="52"/>
      <c r="AK29" s="70">
        <v>50</v>
      </c>
      <c r="AL29" s="49">
        <f>資料儲存!D4581</f>
        <v>0</v>
      </c>
      <c r="AM29" s="49">
        <f>資料儲存!E4581</f>
        <v>0</v>
      </c>
      <c r="AN29" s="49">
        <f>資料儲存!F4581</f>
        <v>0</v>
      </c>
      <c r="AO29" s="49">
        <f>資料儲存!G4581</f>
        <v>0</v>
      </c>
      <c r="AP29" s="49">
        <f>資料儲存!H4581</f>
        <v>0</v>
      </c>
      <c r="AQ29" s="49">
        <f>資料儲存!I4581</f>
        <v>0</v>
      </c>
      <c r="AR29" s="49">
        <f>資料儲存!J4581</f>
        <v>0</v>
      </c>
      <c r="AT29" s="70">
        <v>50</v>
      </c>
      <c r="AU29" s="49">
        <f>資料儲存!D4641</f>
        <v>0</v>
      </c>
      <c r="AV29" s="49">
        <f>資料儲存!E4641</f>
        <v>0</v>
      </c>
      <c r="AW29" s="49">
        <f>資料儲存!F4641</f>
        <v>0</v>
      </c>
      <c r="AX29" s="49">
        <f>資料儲存!G4641</f>
        <v>0</v>
      </c>
      <c r="AY29" s="49">
        <f>資料儲存!H4641</f>
        <v>0</v>
      </c>
      <c r="AZ29" s="49">
        <f>資料儲存!I4641</f>
        <v>0</v>
      </c>
      <c r="BA29" s="49">
        <f>資料儲存!J4641</f>
        <v>0</v>
      </c>
    </row>
    <row r="30" spans="1:53" s="67" customFormat="1" ht="16" thickBot="1">
      <c r="A30" s="70">
        <v>51</v>
      </c>
      <c r="B30" s="49">
        <f>資料儲存!D4342</f>
        <v>0</v>
      </c>
      <c r="C30" s="49">
        <f>資料儲存!E4342</f>
        <v>0</v>
      </c>
      <c r="D30" s="49">
        <f>資料儲存!F4342</f>
        <v>0</v>
      </c>
      <c r="E30" s="49">
        <f>資料儲存!G4342</f>
        <v>0</v>
      </c>
      <c r="F30" s="49">
        <f>資料儲存!H4342</f>
        <v>0</v>
      </c>
      <c r="G30" s="49">
        <f>資料儲存!I4342</f>
        <v>0</v>
      </c>
      <c r="H30" s="49">
        <f>資料儲存!J4342</f>
        <v>0</v>
      </c>
      <c r="I30" s="52"/>
      <c r="J30" s="70">
        <v>51</v>
      </c>
      <c r="K30" s="49">
        <f>資料儲存!D4402</f>
        <v>0</v>
      </c>
      <c r="L30" s="49">
        <f>資料儲存!E4402</f>
        <v>0</v>
      </c>
      <c r="M30" s="49">
        <f>資料儲存!F4402</f>
        <v>0</v>
      </c>
      <c r="N30" s="49">
        <f>資料儲存!G4402</f>
        <v>0</v>
      </c>
      <c r="O30" s="49">
        <f>資料儲存!H4402</f>
        <v>0</v>
      </c>
      <c r="P30" s="49">
        <f>資料儲存!I4402</f>
        <v>0</v>
      </c>
      <c r="Q30" s="49">
        <f>資料儲存!J4402</f>
        <v>0</v>
      </c>
      <c r="R30" s="52"/>
      <c r="S30" s="70">
        <v>51</v>
      </c>
      <c r="T30" s="49">
        <f>資料儲存!D4462</f>
        <v>0</v>
      </c>
      <c r="U30" s="49">
        <f>資料儲存!E4462</f>
        <v>0</v>
      </c>
      <c r="V30" s="49">
        <f>資料儲存!F4462</f>
        <v>0</v>
      </c>
      <c r="W30" s="49">
        <f>資料儲存!G4462</f>
        <v>0</v>
      </c>
      <c r="X30" s="49">
        <f>資料儲存!H4462</f>
        <v>0</v>
      </c>
      <c r="Y30" s="49">
        <f>資料儲存!I4462</f>
        <v>0</v>
      </c>
      <c r="Z30" s="49">
        <f>資料儲存!J4462</f>
        <v>0</v>
      </c>
      <c r="AA30" s="52"/>
      <c r="AB30" s="70">
        <v>51</v>
      </c>
      <c r="AC30" s="49">
        <f>資料儲存!D4522</f>
        <v>0</v>
      </c>
      <c r="AD30" s="49">
        <f>資料儲存!E4522</f>
        <v>0</v>
      </c>
      <c r="AE30" s="49">
        <f>資料儲存!F4522</f>
        <v>0</v>
      </c>
      <c r="AF30" s="49">
        <f>資料儲存!G4522</f>
        <v>0</v>
      </c>
      <c r="AG30" s="49">
        <f>資料儲存!H4522</f>
        <v>0</v>
      </c>
      <c r="AH30" s="49">
        <f>資料儲存!I4522</f>
        <v>0</v>
      </c>
      <c r="AI30" s="49">
        <f>資料儲存!J4522</f>
        <v>0</v>
      </c>
      <c r="AJ30" s="52"/>
      <c r="AK30" s="70">
        <v>51</v>
      </c>
      <c r="AL30" s="49">
        <f>資料儲存!D4582</f>
        <v>0</v>
      </c>
      <c r="AM30" s="49">
        <f>資料儲存!E4582</f>
        <v>0</v>
      </c>
      <c r="AN30" s="49">
        <f>資料儲存!F4582</f>
        <v>0</v>
      </c>
      <c r="AO30" s="49">
        <f>資料儲存!G4582</f>
        <v>0</v>
      </c>
      <c r="AP30" s="49">
        <f>資料儲存!H4582</f>
        <v>0</v>
      </c>
      <c r="AQ30" s="49">
        <f>資料儲存!I4582</f>
        <v>0</v>
      </c>
      <c r="AR30" s="49">
        <f>資料儲存!J4582</f>
        <v>0</v>
      </c>
      <c r="AT30" s="70">
        <v>51</v>
      </c>
      <c r="AU30" s="49">
        <f>資料儲存!D4642</f>
        <v>0</v>
      </c>
      <c r="AV30" s="49">
        <f>資料儲存!E4642</f>
        <v>0</v>
      </c>
      <c r="AW30" s="49">
        <f>資料儲存!F4642</f>
        <v>0</v>
      </c>
      <c r="AX30" s="49">
        <f>資料儲存!G4642</f>
        <v>0</v>
      </c>
      <c r="AY30" s="49">
        <f>資料儲存!H4642</f>
        <v>0</v>
      </c>
      <c r="AZ30" s="49">
        <f>資料儲存!I4642</f>
        <v>0</v>
      </c>
      <c r="BA30" s="49">
        <f>資料儲存!J4642</f>
        <v>0</v>
      </c>
    </row>
    <row r="31" spans="1:53" s="67" customFormat="1" ht="16" thickBot="1">
      <c r="A31" s="70">
        <v>52</v>
      </c>
      <c r="B31" s="49">
        <f>資料儲存!D4343</f>
        <v>0</v>
      </c>
      <c r="C31" s="49">
        <f>資料儲存!E4343</f>
        <v>0</v>
      </c>
      <c r="D31" s="49">
        <f>資料儲存!F4343</f>
        <v>0</v>
      </c>
      <c r="E31" s="49">
        <f>資料儲存!G4343</f>
        <v>0</v>
      </c>
      <c r="F31" s="49">
        <f>資料儲存!H4343</f>
        <v>0</v>
      </c>
      <c r="G31" s="49">
        <f>資料儲存!I4343</f>
        <v>0</v>
      </c>
      <c r="H31" s="49">
        <f>資料儲存!J4343</f>
        <v>0</v>
      </c>
      <c r="I31" s="52"/>
      <c r="J31" s="70">
        <v>52</v>
      </c>
      <c r="K31" s="49">
        <f>資料儲存!D4403</f>
        <v>0</v>
      </c>
      <c r="L31" s="49">
        <f>資料儲存!E4403</f>
        <v>0</v>
      </c>
      <c r="M31" s="49">
        <f>資料儲存!F4403</f>
        <v>0</v>
      </c>
      <c r="N31" s="49">
        <f>資料儲存!G4403</f>
        <v>0</v>
      </c>
      <c r="O31" s="49">
        <f>資料儲存!H4403</f>
        <v>0</v>
      </c>
      <c r="P31" s="49">
        <f>資料儲存!I4403</f>
        <v>0</v>
      </c>
      <c r="Q31" s="49">
        <f>資料儲存!J4403</f>
        <v>0</v>
      </c>
      <c r="R31" s="52"/>
      <c r="S31" s="70">
        <v>52</v>
      </c>
      <c r="T31" s="49">
        <f>資料儲存!D4463</f>
        <v>0</v>
      </c>
      <c r="U31" s="49">
        <f>資料儲存!E4463</f>
        <v>0</v>
      </c>
      <c r="V31" s="49">
        <f>資料儲存!F4463</f>
        <v>0</v>
      </c>
      <c r="W31" s="49">
        <f>資料儲存!G4463</f>
        <v>0</v>
      </c>
      <c r="X31" s="49">
        <f>資料儲存!H4463</f>
        <v>0</v>
      </c>
      <c r="Y31" s="49">
        <f>資料儲存!I4463</f>
        <v>0</v>
      </c>
      <c r="Z31" s="49">
        <f>資料儲存!J4463</f>
        <v>0</v>
      </c>
      <c r="AA31" s="52"/>
      <c r="AB31" s="70">
        <v>52</v>
      </c>
      <c r="AC31" s="49">
        <f>資料儲存!D4523</f>
        <v>0</v>
      </c>
      <c r="AD31" s="49">
        <f>資料儲存!E4523</f>
        <v>0</v>
      </c>
      <c r="AE31" s="49">
        <f>資料儲存!F4523</f>
        <v>0</v>
      </c>
      <c r="AF31" s="49">
        <f>資料儲存!G4523</f>
        <v>0</v>
      </c>
      <c r="AG31" s="49">
        <f>資料儲存!H4523</f>
        <v>0</v>
      </c>
      <c r="AH31" s="49">
        <f>資料儲存!I4523</f>
        <v>0</v>
      </c>
      <c r="AI31" s="49">
        <f>資料儲存!J4523</f>
        <v>0</v>
      </c>
      <c r="AJ31" s="52"/>
      <c r="AK31" s="70">
        <v>52</v>
      </c>
      <c r="AL31" s="49">
        <f>資料儲存!D4583</f>
        <v>0</v>
      </c>
      <c r="AM31" s="49">
        <f>資料儲存!E4583</f>
        <v>0</v>
      </c>
      <c r="AN31" s="49">
        <f>資料儲存!F4583</f>
        <v>0</v>
      </c>
      <c r="AO31" s="49">
        <f>資料儲存!G4583</f>
        <v>0</v>
      </c>
      <c r="AP31" s="49">
        <f>資料儲存!H4583</f>
        <v>0</v>
      </c>
      <c r="AQ31" s="49">
        <f>資料儲存!I4583</f>
        <v>0</v>
      </c>
      <c r="AR31" s="49">
        <f>資料儲存!J4583</f>
        <v>0</v>
      </c>
      <c r="AT31" s="70">
        <v>52</v>
      </c>
      <c r="AU31" s="49">
        <f>資料儲存!D4643</f>
        <v>0</v>
      </c>
      <c r="AV31" s="49">
        <f>資料儲存!E4643</f>
        <v>0</v>
      </c>
      <c r="AW31" s="49">
        <f>資料儲存!F4643</f>
        <v>0</v>
      </c>
      <c r="AX31" s="49">
        <f>資料儲存!G4643</f>
        <v>0</v>
      </c>
      <c r="AY31" s="49">
        <f>資料儲存!H4643</f>
        <v>0</v>
      </c>
      <c r="AZ31" s="49">
        <f>資料儲存!I4643</f>
        <v>0</v>
      </c>
      <c r="BA31" s="49">
        <f>資料儲存!J4643</f>
        <v>0</v>
      </c>
    </row>
    <row r="32" spans="1:53" s="67" customFormat="1" ht="16" thickBot="1">
      <c r="A32" s="70">
        <v>53</v>
      </c>
      <c r="B32" s="49">
        <f>資料儲存!D4344</f>
        <v>0</v>
      </c>
      <c r="C32" s="49">
        <f>資料儲存!E4344</f>
        <v>0</v>
      </c>
      <c r="D32" s="49">
        <f>資料儲存!F4344</f>
        <v>0</v>
      </c>
      <c r="E32" s="49">
        <f>資料儲存!G4344</f>
        <v>0</v>
      </c>
      <c r="F32" s="49">
        <f>資料儲存!H4344</f>
        <v>0</v>
      </c>
      <c r="G32" s="49">
        <f>資料儲存!I4344</f>
        <v>0</v>
      </c>
      <c r="H32" s="49">
        <f>資料儲存!J4344</f>
        <v>0</v>
      </c>
      <c r="I32" s="52"/>
      <c r="J32" s="70">
        <v>53</v>
      </c>
      <c r="K32" s="49">
        <f>資料儲存!D4404</f>
        <v>0</v>
      </c>
      <c r="L32" s="49">
        <f>資料儲存!E4404</f>
        <v>0</v>
      </c>
      <c r="M32" s="49">
        <f>資料儲存!F4404</f>
        <v>0</v>
      </c>
      <c r="N32" s="49">
        <f>資料儲存!G4404</f>
        <v>0</v>
      </c>
      <c r="O32" s="49">
        <f>資料儲存!H4404</f>
        <v>0</v>
      </c>
      <c r="P32" s="49">
        <f>資料儲存!I4404</f>
        <v>0</v>
      </c>
      <c r="Q32" s="49">
        <f>資料儲存!J4404</f>
        <v>0</v>
      </c>
      <c r="R32" s="52"/>
      <c r="S32" s="70">
        <v>53</v>
      </c>
      <c r="T32" s="49">
        <f>資料儲存!D4464</f>
        <v>0</v>
      </c>
      <c r="U32" s="49">
        <f>資料儲存!E4464</f>
        <v>0</v>
      </c>
      <c r="V32" s="49">
        <f>資料儲存!F4464</f>
        <v>0</v>
      </c>
      <c r="W32" s="49">
        <f>資料儲存!G4464</f>
        <v>0</v>
      </c>
      <c r="X32" s="49">
        <f>資料儲存!H4464</f>
        <v>0</v>
      </c>
      <c r="Y32" s="49">
        <f>資料儲存!I4464</f>
        <v>0</v>
      </c>
      <c r="Z32" s="49">
        <f>資料儲存!J4464</f>
        <v>0</v>
      </c>
      <c r="AA32" s="52"/>
      <c r="AB32" s="70">
        <v>53</v>
      </c>
      <c r="AC32" s="49">
        <f>資料儲存!D4524</f>
        <v>0</v>
      </c>
      <c r="AD32" s="49">
        <f>資料儲存!E4524</f>
        <v>0</v>
      </c>
      <c r="AE32" s="49">
        <f>資料儲存!F4524</f>
        <v>0</v>
      </c>
      <c r="AF32" s="49">
        <f>資料儲存!G4524</f>
        <v>0</v>
      </c>
      <c r="AG32" s="49">
        <f>資料儲存!H4524</f>
        <v>0</v>
      </c>
      <c r="AH32" s="49">
        <f>資料儲存!I4524</f>
        <v>0</v>
      </c>
      <c r="AI32" s="49">
        <f>資料儲存!J4524</f>
        <v>0</v>
      </c>
      <c r="AJ32" s="52"/>
      <c r="AK32" s="70">
        <v>53</v>
      </c>
      <c r="AL32" s="49">
        <f>資料儲存!D4584</f>
        <v>0</v>
      </c>
      <c r="AM32" s="49">
        <f>資料儲存!E4584</f>
        <v>0</v>
      </c>
      <c r="AN32" s="49">
        <f>資料儲存!F4584</f>
        <v>0</v>
      </c>
      <c r="AO32" s="49">
        <f>資料儲存!G4584</f>
        <v>0</v>
      </c>
      <c r="AP32" s="49">
        <f>資料儲存!H4584</f>
        <v>0</v>
      </c>
      <c r="AQ32" s="49">
        <f>資料儲存!I4584</f>
        <v>0</v>
      </c>
      <c r="AR32" s="49">
        <f>資料儲存!J4584</f>
        <v>0</v>
      </c>
      <c r="AT32" s="70">
        <v>53</v>
      </c>
      <c r="AU32" s="49">
        <f>資料儲存!D4644</f>
        <v>0</v>
      </c>
      <c r="AV32" s="49">
        <f>資料儲存!E4644</f>
        <v>0</v>
      </c>
      <c r="AW32" s="49">
        <f>資料儲存!F4644</f>
        <v>0</v>
      </c>
      <c r="AX32" s="49">
        <f>資料儲存!G4644</f>
        <v>0</v>
      </c>
      <c r="AY32" s="49">
        <f>資料儲存!H4644</f>
        <v>0</v>
      </c>
      <c r="AZ32" s="49">
        <f>資料儲存!I4644</f>
        <v>0</v>
      </c>
      <c r="BA32" s="49">
        <f>資料儲存!J4644</f>
        <v>0</v>
      </c>
    </row>
    <row r="33" spans="1:53" s="67" customFormat="1" ht="16" thickBot="1">
      <c r="A33" s="70">
        <v>54</v>
      </c>
      <c r="B33" s="49">
        <f>資料儲存!D4345</f>
        <v>0</v>
      </c>
      <c r="C33" s="49">
        <f>資料儲存!E4345</f>
        <v>0</v>
      </c>
      <c r="D33" s="49">
        <f>資料儲存!F4345</f>
        <v>0</v>
      </c>
      <c r="E33" s="49">
        <f>資料儲存!G4345</f>
        <v>0</v>
      </c>
      <c r="F33" s="49">
        <f>資料儲存!H4345</f>
        <v>0</v>
      </c>
      <c r="G33" s="49">
        <f>資料儲存!I4345</f>
        <v>0</v>
      </c>
      <c r="H33" s="49">
        <f>資料儲存!J4345</f>
        <v>0</v>
      </c>
      <c r="I33" s="52"/>
      <c r="J33" s="70">
        <v>54</v>
      </c>
      <c r="K33" s="49">
        <f>資料儲存!D4405</f>
        <v>0</v>
      </c>
      <c r="L33" s="49">
        <f>資料儲存!E4405</f>
        <v>0</v>
      </c>
      <c r="M33" s="49">
        <f>資料儲存!F4405</f>
        <v>0</v>
      </c>
      <c r="N33" s="49">
        <f>資料儲存!G4405</f>
        <v>0</v>
      </c>
      <c r="O33" s="49">
        <f>資料儲存!H4405</f>
        <v>0</v>
      </c>
      <c r="P33" s="49">
        <f>資料儲存!I4405</f>
        <v>0</v>
      </c>
      <c r="Q33" s="49">
        <f>資料儲存!J4405</f>
        <v>0</v>
      </c>
      <c r="R33" s="52"/>
      <c r="S33" s="70">
        <v>54</v>
      </c>
      <c r="T33" s="49">
        <f>資料儲存!D4465</f>
        <v>0</v>
      </c>
      <c r="U33" s="49">
        <f>資料儲存!E4465</f>
        <v>0</v>
      </c>
      <c r="V33" s="49">
        <f>資料儲存!F4465</f>
        <v>0</v>
      </c>
      <c r="W33" s="49">
        <f>資料儲存!G4465</f>
        <v>0</v>
      </c>
      <c r="X33" s="49">
        <f>資料儲存!H4465</f>
        <v>0</v>
      </c>
      <c r="Y33" s="49">
        <f>資料儲存!I4465</f>
        <v>0</v>
      </c>
      <c r="Z33" s="49">
        <f>資料儲存!J4465</f>
        <v>0</v>
      </c>
      <c r="AA33" s="52"/>
      <c r="AB33" s="70">
        <v>54</v>
      </c>
      <c r="AC33" s="49">
        <f>資料儲存!D4525</f>
        <v>0</v>
      </c>
      <c r="AD33" s="49">
        <f>資料儲存!E4525</f>
        <v>0</v>
      </c>
      <c r="AE33" s="49">
        <f>資料儲存!F4525</f>
        <v>0</v>
      </c>
      <c r="AF33" s="49">
        <f>資料儲存!G4525</f>
        <v>0</v>
      </c>
      <c r="AG33" s="49">
        <f>資料儲存!H4525</f>
        <v>0</v>
      </c>
      <c r="AH33" s="49">
        <f>資料儲存!I4525</f>
        <v>0</v>
      </c>
      <c r="AI33" s="49">
        <f>資料儲存!J4525</f>
        <v>0</v>
      </c>
      <c r="AJ33" s="52"/>
      <c r="AK33" s="70">
        <v>54</v>
      </c>
      <c r="AL33" s="49">
        <f>資料儲存!D4585</f>
        <v>0</v>
      </c>
      <c r="AM33" s="49">
        <f>資料儲存!E4585</f>
        <v>0</v>
      </c>
      <c r="AN33" s="49">
        <f>資料儲存!F4585</f>
        <v>0</v>
      </c>
      <c r="AO33" s="49">
        <f>資料儲存!G4585</f>
        <v>0</v>
      </c>
      <c r="AP33" s="49">
        <f>資料儲存!H4585</f>
        <v>0</v>
      </c>
      <c r="AQ33" s="49">
        <f>資料儲存!I4585</f>
        <v>0</v>
      </c>
      <c r="AR33" s="49">
        <f>資料儲存!J4585</f>
        <v>0</v>
      </c>
      <c r="AT33" s="70">
        <v>54</v>
      </c>
      <c r="AU33" s="49">
        <f>資料儲存!D4645</f>
        <v>0</v>
      </c>
      <c r="AV33" s="49">
        <f>資料儲存!E4645</f>
        <v>0</v>
      </c>
      <c r="AW33" s="49">
        <f>資料儲存!F4645</f>
        <v>0</v>
      </c>
      <c r="AX33" s="49">
        <f>資料儲存!G4645</f>
        <v>0</v>
      </c>
      <c r="AY33" s="49">
        <f>資料儲存!H4645</f>
        <v>0</v>
      </c>
      <c r="AZ33" s="49">
        <f>資料儲存!I4645</f>
        <v>0</v>
      </c>
      <c r="BA33" s="49">
        <f>資料儲存!J4645</f>
        <v>0</v>
      </c>
    </row>
    <row r="34" spans="1:53" s="67" customFormat="1" ht="16" thickBot="1">
      <c r="A34" s="70">
        <v>55</v>
      </c>
      <c r="B34" s="49">
        <f>資料儲存!D4346</f>
        <v>0</v>
      </c>
      <c r="C34" s="49">
        <f>資料儲存!E4346</f>
        <v>0</v>
      </c>
      <c r="D34" s="49">
        <f>資料儲存!F4346</f>
        <v>0</v>
      </c>
      <c r="E34" s="49">
        <f>資料儲存!G4346</f>
        <v>0</v>
      </c>
      <c r="F34" s="49">
        <f>資料儲存!H4346</f>
        <v>0</v>
      </c>
      <c r="G34" s="49">
        <f>資料儲存!I4346</f>
        <v>0</v>
      </c>
      <c r="H34" s="49">
        <f>資料儲存!J4346</f>
        <v>0</v>
      </c>
      <c r="I34" s="52"/>
      <c r="J34" s="70">
        <v>55</v>
      </c>
      <c r="K34" s="49">
        <f>資料儲存!D4406</f>
        <v>0</v>
      </c>
      <c r="L34" s="49">
        <f>資料儲存!E4406</f>
        <v>0</v>
      </c>
      <c r="M34" s="49">
        <f>資料儲存!F4406</f>
        <v>0</v>
      </c>
      <c r="N34" s="49">
        <f>資料儲存!G4406</f>
        <v>0</v>
      </c>
      <c r="O34" s="49">
        <f>資料儲存!H4406</f>
        <v>0</v>
      </c>
      <c r="P34" s="49">
        <f>資料儲存!I4406</f>
        <v>0</v>
      </c>
      <c r="Q34" s="49">
        <f>資料儲存!J4406</f>
        <v>0</v>
      </c>
      <c r="R34" s="52"/>
      <c r="S34" s="70">
        <v>55</v>
      </c>
      <c r="T34" s="49">
        <f>資料儲存!D4466</f>
        <v>0</v>
      </c>
      <c r="U34" s="49">
        <f>資料儲存!E4466</f>
        <v>0</v>
      </c>
      <c r="V34" s="49">
        <f>資料儲存!F4466</f>
        <v>0</v>
      </c>
      <c r="W34" s="49">
        <f>資料儲存!G4466</f>
        <v>0</v>
      </c>
      <c r="X34" s="49">
        <f>資料儲存!H4466</f>
        <v>0</v>
      </c>
      <c r="Y34" s="49">
        <f>資料儲存!I4466</f>
        <v>0</v>
      </c>
      <c r="Z34" s="49">
        <f>資料儲存!J4466</f>
        <v>0</v>
      </c>
      <c r="AA34" s="52"/>
      <c r="AB34" s="70">
        <v>55</v>
      </c>
      <c r="AC34" s="49">
        <f>資料儲存!D4526</f>
        <v>0</v>
      </c>
      <c r="AD34" s="49">
        <f>資料儲存!E4526</f>
        <v>0</v>
      </c>
      <c r="AE34" s="49">
        <f>資料儲存!F4526</f>
        <v>0</v>
      </c>
      <c r="AF34" s="49">
        <f>資料儲存!G4526</f>
        <v>0</v>
      </c>
      <c r="AG34" s="49">
        <f>資料儲存!H4526</f>
        <v>0</v>
      </c>
      <c r="AH34" s="49">
        <f>資料儲存!I4526</f>
        <v>0</v>
      </c>
      <c r="AI34" s="49">
        <f>資料儲存!J4526</f>
        <v>0</v>
      </c>
      <c r="AJ34" s="52"/>
      <c r="AK34" s="70">
        <v>55</v>
      </c>
      <c r="AL34" s="49">
        <f>資料儲存!D4586</f>
        <v>0</v>
      </c>
      <c r="AM34" s="49">
        <f>資料儲存!E4586</f>
        <v>0</v>
      </c>
      <c r="AN34" s="49">
        <f>資料儲存!F4586</f>
        <v>0</v>
      </c>
      <c r="AO34" s="49">
        <f>資料儲存!G4586</f>
        <v>0</v>
      </c>
      <c r="AP34" s="49">
        <f>資料儲存!H4586</f>
        <v>0</v>
      </c>
      <c r="AQ34" s="49">
        <f>資料儲存!I4586</f>
        <v>0</v>
      </c>
      <c r="AR34" s="49">
        <f>資料儲存!J4586</f>
        <v>0</v>
      </c>
      <c r="AT34" s="70">
        <v>55</v>
      </c>
      <c r="AU34" s="49">
        <f>資料儲存!D4646</f>
        <v>0</v>
      </c>
      <c r="AV34" s="49">
        <f>資料儲存!E4646</f>
        <v>0</v>
      </c>
      <c r="AW34" s="49">
        <f>資料儲存!F4646</f>
        <v>0</v>
      </c>
      <c r="AX34" s="49">
        <f>資料儲存!G4646</f>
        <v>0</v>
      </c>
      <c r="AY34" s="49">
        <f>資料儲存!H4646</f>
        <v>0</v>
      </c>
      <c r="AZ34" s="49">
        <f>資料儲存!I4646</f>
        <v>0</v>
      </c>
      <c r="BA34" s="49">
        <f>資料儲存!J4646</f>
        <v>0</v>
      </c>
    </row>
    <row r="35" spans="1:53" s="67" customFormat="1" ht="16" thickBot="1">
      <c r="A35" s="70">
        <v>56</v>
      </c>
      <c r="B35" s="49">
        <f>資料儲存!D4347</f>
        <v>0</v>
      </c>
      <c r="C35" s="49">
        <f>資料儲存!E4347</f>
        <v>0</v>
      </c>
      <c r="D35" s="49">
        <f>資料儲存!F4347</f>
        <v>0</v>
      </c>
      <c r="E35" s="49">
        <f>資料儲存!G4347</f>
        <v>0</v>
      </c>
      <c r="F35" s="49">
        <f>資料儲存!H4347</f>
        <v>0</v>
      </c>
      <c r="G35" s="49">
        <f>資料儲存!I4347</f>
        <v>0</v>
      </c>
      <c r="H35" s="49">
        <f>資料儲存!J4347</f>
        <v>0</v>
      </c>
      <c r="I35" s="52"/>
      <c r="J35" s="70">
        <v>56</v>
      </c>
      <c r="K35" s="49">
        <f>資料儲存!D4407</f>
        <v>0</v>
      </c>
      <c r="L35" s="49">
        <f>資料儲存!E4407</f>
        <v>0</v>
      </c>
      <c r="M35" s="49">
        <f>資料儲存!F4407</f>
        <v>0</v>
      </c>
      <c r="N35" s="49">
        <f>資料儲存!G4407</f>
        <v>0</v>
      </c>
      <c r="O35" s="49">
        <f>資料儲存!H4407</f>
        <v>0</v>
      </c>
      <c r="P35" s="49">
        <f>資料儲存!I4407</f>
        <v>0</v>
      </c>
      <c r="Q35" s="49">
        <f>資料儲存!J4407</f>
        <v>0</v>
      </c>
      <c r="R35" s="52"/>
      <c r="S35" s="70">
        <v>56</v>
      </c>
      <c r="T35" s="49">
        <f>資料儲存!D4467</f>
        <v>0</v>
      </c>
      <c r="U35" s="49">
        <f>資料儲存!E4467</f>
        <v>0</v>
      </c>
      <c r="V35" s="49">
        <f>資料儲存!F4467</f>
        <v>0</v>
      </c>
      <c r="W35" s="49">
        <f>資料儲存!G4467</f>
        <v>0</v>
      </c>
      <c r="X35" s="49">
        <f>資料儲存!H4467</f>
        <v>0</v>
      </c>
      <c r="Y35" s="49">
        <f>資料儲存!I4467</f>
        <v>0</v>
      </c>
      <c r="Z35" s="49">
        <f>資料儲存!J4467</f>
        <v>0</v>
      </c>
      <c r="AA35" s="52"/>
      <c r="AB35" s="70">
        <v>56</v>
      </c>
      <c r="AC35" s="49">
        <f>資料儲存!D4527</f>
        <v>0</v>
      </c>
      <c r="AD35" s="49">
        <f>資料儲存!E4527</f>
        <v>0</v>
      </c>
      <c r="AE35" s="49">
        <f>資料儲存!F4527</f>
        <v>0</v>
      </c>
      <c r="AF35" s="49">
        <f>資料儲存!G4527</f>
        <v>0</v>
      </c>
      <c r="AG35" s="49">
        <f>資料儲存!H4527</f>
        <v>0</v>
      </c>
      <c r="AH35" s="49">
        <f>資料儲存!I4527</f>
        <v>0</v>
      </c>
      <c r="AI35" s="49">
        <f>資料儲存!J4527</f>
        <v>0</v>
      </c>
      <c r="AJ35" s="52"/>
      <c r="AK35" s="70">
        <v>56</v>
      </c>
      <c r="AL35" s="49">
        <f>資料儲存!D4587</f>
        <v>0</v>
      </c>
      <c r="AM35" s="49">
        <f>資料儲存!E4587</f>
        <v>0</v>
      </c>
      <c r="AN35" s="49">
        <f>資料儲存!F4587</f>
        <v>0</v>
      </c>
      <c r="AO35" s="49">
        <f>資料儲存!G4587</f>
        <v>0</v>
      </c>
      <c r="AP35" s="49">
        <f>資料儲存!H4587</f>
        <v>0</v>
      </c>
      <c r="AQ35" s="49">
        <f>資料儲存!I4587</f>
        <v>0</v>
      </c>
      <c r="AR35" s="49">
        <f>資料儲存!J4587</f>
        <v>0</v>
      </c>
      <c r="AT35" s="70">
        <v>56</v>
      </c>
      <c r="AU35" s="49">
        <f>資料儲存!D4647</f>
        <v>0</v>
      </c>
      <c r="AV35" s="49">
        <f>資料儲存!E4647</f>
        <v>0</v>
      </c>
      <c r="AW35" s="49">
        <f>資料儲存!F4647</f>
        <v>0</v>
      </c>
      <c r="AX35" s="49">
        <f>資料儲存!G4647</f>
        <v>0</v>
      </c>
      <c r="AY35" s="49">
        <f>資料儲存!H4647</f>
        <v>0</v>
      </c>
      <c r="AZ35" s="49">
        <f>資料儲存!I4647</f>
        <v>0</v>
      </c>
      <c r="BA35" s="49">
        <f>資料儲存!J4647</f>
        <v>0</v>
      </c>
    </row>
    <row r="36" spans="1:53" s="67" customFormat="1" ht="16" thickBot="1">
      <c r="A36" s="70">
        <v>57</v>
      </c>
      <c r="B36" s="49">
        <f>資料儲存!D4348</f>
        <v>0</v>
      </c>
      <c r="C36" s="49">
        <f>資料儲存!E4348</f>
        <v>0</v>
      </c>
      <c r="D36" s="49">
        <f>資料儲存!F4348</f>
        <v>0</v>
      </c>
      <c r="E36" s="49">
        <f>資料儲存!G4348</f>
        <v>0</v>
      </c>
      <c r="F36" s="49">
        <f>資料儲存!H4348</f>
        <v>0</v>
      </c>
      <c r="G36" s="49">
        <f>資料儲存!I4348</f>
        <v>0</v>
      </c>
      <c r="H36" s="49">
        <f>資料儲存!J4348</f>
        <v>0</v>
      </c>
      <c r="I36" s="52"/>
      <c r="J36" s="70">
        <v>57</v>
      </c>
      <c r="K36" s="49">
        <f>資料儲存!D4408</f>
        <v>0</v>
      </c>
      <c r="L36" s="49">
        <f>資料儲存!E4408</f>
        <v>0</v>
      </c>
      <c r="M36" s="49">
        <f>資料儲存!F4408</f>
        <v>0</v>
      </c>
      <c r="N36" s="49">
        <f>資料儲存!G4408</f>
        <v>0</v>
      </c>
      <c r="O36" s="49">
        <f>資料儲存!H4408</f>
        <v>0</v>
      </c>
      <c r="P36" s="49">
        <f>資料儲存!I4408</f>
        <v>0</v>
      </c>
      <c r="Q36" s="49">
        <f>資料儲存!J4408</f>
        <v>0</v>
      </c>
      <c r="R36" s="52"/>
      <c r="S36" s="70">
        <v>57</v>
      </c>
      <c r="T36" s="49">
        <f>資料儲存!D4468</f>
        <v>0</v>
      </c>
      <c r="U36" s="49">
        <f>資料儲存!E4468</f>
        <v>0</v>
      </c>
      <c r="V36" s="49">
        <f>資料儲存!F4468</f>
        <v>0</v>
      </c>
      <c r="W36" s="49">
        <f>資料儲存!G4468</f>
        <v>0</v>
      </c>
      <c r="X36" s="49">
        <f>資料儲存!H4468</f>
        <v>0</v>
      </c>
      <c r="Y36" s="49">
        <f>資料儲存!I4468</f>
        <v>0</v>
      </c>
      <c r="Z36" s="49">
        <f>資料儲存!J4468</f>
        <v>0</v>
      </c>
      <c r="AA36" s="52"/>
      <c r="AB36" s="70">
        <v>57</v>
      </c>
      <c r="AC36" s="49">
        <f>資料儲存!D4528</f>
        <v>0</v>
      </c>
      <c r="AD36" s="49">
        <f>資料儲存!E4528</f>
        <v>0</v>
      </c>
      <c r="AE36" s="49">
        <f>資料儲存!F4528</f>
        <v>0</v>
      </c>
      <c r="AF36" s="49">
        <f>資料儲存!G4528</f>
        <v>0</v>
      </c>
      <c r="AG36" s="49">
        <f>資料儲存!H4528</f>
        <v>0</v>
      </c>
      <c r="AH36" s="49">
        <f>資料儲存!I4528</f>
        <v>0</v>
      </c>
      <c r="AI36" s="49">
        <f>資料儲存!J4528</f>
        <v>0</v>
      </c>
      <c r="AJ36" s="52"/>
      <c r="AK36" s="70">
        <v>57</v>
      </c>
      <c r="AL36" s="49">
        <f>資料儲存!D4588</f>
        <v>0</v>
      </c>
      <c r="AM36" s="49">
        <f>資料儲存!E4588</f>
        <v>0</v>
      </c>
      <c r="AN36" s="49">
        <f>資料儲存!F4588</f>
        <v>0</v>
      </c>
      <c r="AO36" s="49">
        <f>資料儲存!G4588</f>
        <v>0</v>
      </c>
      <c r="AP36" s="49">
        <f>資料儲存!H4588</f>
        <v>0</v>
      </c>
      <c r="AQ36" s="49">
        <f>資料儲存!I4588</f>
        <v>0</v>
      </c>
      <c r="AR36" s="49">
        <f>資料儲存!J4588</f>
        <v>0</v>
      </c>
      <c r="AT36" s="70">
        <v>57</v>
      </c>
      <c r="AU36" s="49">
        <f>資料儲存!D4648</f>
        <v>0</v>
      </c>
      <c r="AV36" s="49">
        <f>資料儲存!E4648</f>
        <v>0</v>
      </c>
      <c r="AW36" s="49">
        <f>資料儲存!F4648</f>
        <v>0</v>
      </c>
      <c r="AX36" s="49">
        <f>資料儲存!G4648</f>
        <v>0</v>
      </c>
      <c r="AY36" s="49">
        <f>資料儲存!H4648</f>
        <v>0</v>
      </c>
      <c r="AZ36" s="49">
        <f>資料儲存!I4648</f>
        <v>0</v>
      </c>
      <c r="BA36" s="49">
        <f>資料儲存!J4648</f>
        <v>0</v>
      </c>
    </row>
    <row r="37" spans="1:53" s="67" customFormat="1" ht="16" thickBot="1">
      <c r="A37" s="70">
        <v>58</v>
      </c>
      <c r="B37" s="49">
        <f>資料儲存!D4349</f>
        <v>0</v>
      </c>
      <c r="C37" s="49">
        <f>資料儲存!E4349</f>
        <v>0</v>
      </c>
      <c r="D37" s="49">
        <f>資料儲存!F4349</f>
        <v>0</v>
      </c>
      <c r="E37" s="49">
        <f>資料儲存!G4349</f>
        <v>0</v>
      </c>
      <c r="F37" s="49">
        <f>資料儲存!H4349</f>
        <v>0</v>
      </c>
      <c r="G37" s="49">
        <f>資料儲存!I4349</f>
        <v>0</v>
      </c>
      <c r="H37" s="49">
        <f>資料儲存!J4349</f>
        <v>0</v>
      </c>
      <c r="I37" s="52"/>
      <c r="J37" s="70">
        <v>58</v>
      </c>
      <c r="K37" s="49">
        <f>資料儲存!D4409</f>
        <v>0</v>
      </c>
      <c r="L37" s="49">
        <f>資料儲存!E4409</f>
        <v>0</v>
      </c>
      <c r="M37" s="49">
        <f>資料儲存!F4409</f>
        <v>0</v>
      </c>
      <c r="N37" s="49">
        <f>資料儲存!G4409</f>
        <v>0</v>
      </c>
      <c r="O37" s="49">
        <f>資料儲存!H4409</f>
        <v>0</v>
      </c>
      <c r="P37" s="49">
        <f>資料儲存!I4409</f>
        <v>0</v>
      </c>
      <c r="Q37" s="49">
        <f>資料儲存!J4409</f>
        <v>0</v>
      </c>
      <c r="R37" s="52"/>
      <c r="S37" s="70">
        <v>58</v>
      </c>
      <c r="T37" s="49">
        <f>資料儲存!D4469</f>
        <v>0</v>
      </c>
      <c r="U37" s="49">
        <f>資料儲存!E4469</f>
        <v>0</v>
      </c>
      <c r="V37" s="49">
        <f>資料儲存!F4469</f>
        <v>0</v>
      </c>
      <c r="W37" s="49">
        <f>資料儲存!G4469</f>
        <v>0</v>
      </c>
      <c r="X37" s="49">
        <f>資料儲存!H4469</f>
        <v>0</v>
      </c>
      <c r="Y37" s="49">
        <f>資料儲存!I4469</f>
        <v>0</v>
      </c>
      <c r="Z37" s="49">
        <f>資料儲存!J4469</f>
        <v>0</v>
      </c>
      <c r="AA37" s="52"/>
      <c r="AB37" s="70">
        <v>58</v>
      </c>
      <c r="AC37" s="49">
        <f>資料儲存!D4529</f>
        <v>0</v>
      </c>
      <c r="AD37" s="49">
        <f>資料儲存!E4529</f>
        <v>0</v>
      </c>
      <c r="AE37" s="49">
        <f>資料儲存!F4529</f>
        <v>0</v>
      </c>
      <c r="AF37" s="49">
        <f>資料儲存!G4529</f>
        <v>0</v>
      </c>
      <c r="AG37" s="49">
        <f>資料儲存!H4529</f>
        <v>0</v>
      </c>
      <c r="AH37" s="49">
        <f>資料儲存!I4529</f>
        <v>0</v>
      </c>
      <c r="AI37" s="49">
        <f>資料儲存!J4529</f>
        <v>0</v>
      </c>
      <c r="AJ37" s="52"/>
      <c r="AK37" s="70">
        <v>58</v>
      </c>
      <c r="AL37" s="49">
        <f>資料儲存!D4589</f>
        <v>0</v>
      </c>
      <c r="AM37" s="49">
        <f>資料儲存!E4589</f>
        <v>0</v>
      </c>
      <c r="AN37" s="49">
        <f>資料儲存!F4589</f>
        <v>0</v>
      </c>
      <c r="AO37" s="49">
        <f>資料儲存!G4589</f>
        <v>0</v>
      </c>
      <c r="AP37" s="49">
        <f>資料儲存!H4589</f>
        <v>0</v>
      </c>
      <c r="AQ37" s="49">
        <f>資料儲存!I4589</f>
        <v>0</v>
      </c>
      <c r="AR37" s="49">
        <f>資料儲存!J4589</f>
        <v>0</v>
      </c>
      <c r="AT37" s="70">
        <v>58</v>
      </c>
      <c r="AU37" s="49">
        <f>資料儲存!D4649</f>
        <v>0</v>
      </c>
      <c r="AV37" s="49">
        <f>資料儲存!E4649</f>
        <v>0</v>
      </c>
      <c r="AW37" s="49">
        <f>資料儲存!F4649</f>
        <v>0</v>
      </c>
      <c r="AX37" s="49">
        <f>資料儲存!G4649</f>
        <v>0</v>
      </c>
      <c r="AY37" s="49">
        <f>資料儲存!H4649</f>
        <v>0</v>
      </c>
      <c r="AZ37" s="49">
        <f>資料儲存!I4649</f>
        <v>0</v>
      </c>
      <c r="BA37" s="49">
        <f>資料儲存!J4649</f>
        <v>0</v>
      </c>
    </row>
    <row r="38" spans="1:53" s="67" customFormat="1" ht="16" thickBot="1">
      <c r="A38" s="70">
        <v>59</v>
      </c>
      <c r="B38" s="49">
        <f>資料儲存!D4350</f>
        <v>0</v>
      </c>
      <c r="C38" s="49">
        <f>資料儲存!E4350</f>
        <v>0</v>
      </c>
      <c r="D38" s="49">
        <f>資料儲存!F4350</f>
        <v>0</v>
      </c>
      <c r="E38" s="49">
        <f>資料儲存!G4350</f>
        <v>0</v>
      </c>
      <c r="F38" s="49">
        <f>資料儲存!H4350</f>
        <v>0</v>
      </c>
      <c r="G38" s="49">
        <f>資料儲存!I4350</f>
        <v>0</v>
      </c>
      <c r="H38" s="49">
        <f>資料儲存!J4350</f>
        <v>0</v>
      </c>
      <c r="I38" s="52"/>
      <c r="J38" s="70">
        <v>59</v>
      </c>
      <c r="K38" s="49">
        <f>資料儲存!D4410</f>
        <v>0</v>
      </c>
      <c r="L38" s="49">
        <f>資料儲存!E4410</f>
        <v>0</v>
      </c>
      <c r="M38" s="49">
        <f>資料儲存!F4410</f>
        <v>0</v>
      </c>
      <c r="N38" s="49">
        <f>資料儲存!G4410</f>
        <v>0</v>
      </c>
      <c r="O38" s="49">
        <f>資料儲存!H4410</f>
        <v>0</v>
      </c>
      <c r="P38" s="49">
        <f>資料儲存!I4410</f>
        <v>0</v>
      </c>
      <c r="Q38" s="49">
        <f>資料儲存!J4410</f>
        <v>0</v>
      </c>
      <c r="R38" s="52"/>
      <c r="S38" s="70">
        <v>59</v>
      </c>
      <c r="T38" s="49">
        <f>資料儲存!D4470</f>
        <v>0</v>
      </c>
      <c r="U38" s="49">
        <f>資料儲存!E4470</f>
        <v>0</v>
      </c>
      <c r="V38" s="49">
        <f>資料儲存!F4470</f>
        <v>0</v>
      </c>
      <c r="W38" s="49">
        <f>資料儲存!G4470</f>
        <v>0</v>
      </c>
      <c r="X38" s="49">
        <f>資料儲存!H4470</f>
        <v>0</v>
      </c>
      <c r="Y38" s="49">
        <f>資料儲存!I4470</f>
        <v>0</v>
      </c>
      <c r="Z38" s="49">
        <f>資料儲存!J4470</f>
        <v>0</v>
      </c>
      <c r="AA38" s="52"/>
      <c r="AB38" s="70">
        <v>59</v>
      </c>
      <c r="AC38" s="49">
        <f>資料儲存!D4530</f>
        <v>0</v>
      </c>
      <c r="AD38" s="49">
        <f>資料儲存!E4530</f>
        <v>0</v>
      </c>
      <c r="AE38" s="49">
        <f>資料儲存!F4530</f>
        <v>0</v>
      </c>
      <c r="AF38" s="49">
        <f>資料儲存!G4530</f>
        <v>0</v>
      </c>
      <c r="AG38" s="49">
        <f>資料儲存!H4530</f>
        <v>0</v>
      </c>
      <c r="AH38" s="49">
        <f>資料儲存!I4530</f>
        <v>0</v>
      </c>
      <c r="AI38" s="49">
        <f>資料儲存!J4530</f>
        <v>0</v>
      </c>
      <c r="AJ38" s="52"/>
      <c r="AK38" s="70">
        <v>59</v>
      </c>
      <c r="AL38" s="49">
        <f>資料儲存!D4590</f>
        <v>0</v>
      </c>
      <c r="AM38" s="49">
        <f>資料儲存!E4590</f>
        <v>0</v>
      </c>
      <c r="AN38" s="49">
        <f>資料儲存!F4590</f>
        <v>0</v>
      </c>
      <c r="AO38" s="49">
        <f>資料儲存!G4590</f>
        <v>0</v>
      </c>
      <c r="AP38" s="49">
        <f>資料儲存!H4590</f>
        <v>0</v>
      </c>
      <c r="AQ38" s="49">
        <f>資料儲存!I4590</f>
        <v>0</v>
      </c>
      <c r="AR38" s="49">
        <f>資料儲存!J4590</f>
        <v>0</v>
      </c>
      <c r="AT38" s="70">
        <v>59</v>
      </c>
      <c r="AU38" s="49">
        <f>資料儲存!D4650</f>
        <v>0</v>
      </c>
      <c r="AV38" s="49">
        <f>資料儲存!E4650</f>
        <v>0</v>
      </c>
      <c r="AW38" s="49">
        <f>資料儲存!F4650</f>
        <v>0</v>
      </c>
      <c r="AX38" s="49">
        <f>資料儲存!G4650</f>
        <v>0</v>
      </c>
      <c r="AY38" s="49">
        <f>資料儲存!H4650</f>
        <v>0</v>
      </c>
      <c r="AZ38" s="49">
        <f>資料儲存!I4650</f>
        <v>0</v>
      </c>
      <c r="BA38" s="49">
        <f>資料儲存!J4650</f>
        <v>0</v>
      </c>
    </row>
    <row r="39" spans="1:53" s="67" customFormat="1" ht="16" thickBot="1">
      <c r="A39" s="70">
        <v>60</v>
      </c>
      <c r="B39" s="49">
        <f>資料儲存!D4351</f>
        <v>0</v>
      </c>
      <c r="C39" s="49">
        <f>資料儲存!E4351</f>
        <v>0</v>
      </c>
      <c r="D39" s="49">
        <f>資料儲存!F4351</f>
        <v>0</v>
      </c>
      <c r="E39" s="49">
        <f>資料儲存!G4351</f>
        <v>0</v>
      </c>
      <c r="F39" s="49">
        <f>資料儲存!H4351</f>
        <v>0</v>
      </c>
      <c r="G39" s="49">
        <f>資料儲存!I4351</f>
        <v>0</v>
      </c>
      <c r="H39" s="49">
        <f>資料儲存!J4351</f>
        <v>0</v>
      </c>
      <c r="I39" s="52"/>
      <c r="J39" s="70">
        <v>60</v>
      </c>
      <c r="K39" s="49">
        <f>資料儲存!D4411</f>
        <v>0</v>
      </c>
      <c r="L39" s="49">
        <f>資料儲存!E4411</f>
        <v>0</v>
      </c>
      <c r="M39" s="49">
        <f>資料儲存!F4411</f>
        <v>0</v>
      </c>
      <c r="N39" s="49">
        <f>資料儲存!G4411</f>
        <v>0</v>
      </c>
      <c r="O39" s="49">
        <f>資料儲存!H4411</f>
        <v>0</v>
      </c>
      <c r="P39" s="49">
        <f>資料儲存!I4411</f>
        <v>0</v>
      </c>
      <c r="Q39" s="49">
        <f>資料儲存!J4411</f>
        <v>0</v>
      </c>
      <c r="R39" s="52"/>
      <c r="S39" s="70">
        <v>60</v>
      </c>
      <c r="T39" s="49">
        <f>資料儲存!D4471</f>
        <v>0</v>
      </c>
      <c r="U39" s="49">
        <f>資料儲存!E4471</f>
        <v>0</v>
      </c>
      <c r="V39" s="49">
        <f>資料儲存!F4471</f>
        <v>0</v>
      </c>
      <c r="W39" s="49">
        <f>資料儲存!G4471</f>
        <v>0</v>
      </c>
      <c r="X39" s="49">
        <f>資料儲存!H4471</f>
        <v>0</v>
      </c>
      <c r="Y39" s="49">
        <f>資料儲存!I4471</f>
        <v>0</v>
      </c>
      <c r="Z39" s="49">
        <f>資料儲存!J4471</f>
        <v>0</v>
      </c>
      <c r="AA39" s="52"/>
      <c r="AB39" s="70">
        <v>60</v>
      </c>
      <c r="AC39" s="49">
        <f>資料儲存!D4531</f>
        <v>0</v>
      </c>
      <c r="AD39" s="49">
        <f>資料儲存!E4531</f>
        <v>0</v>
      </c>
      <c r="AE39" s="49">
        <f>資料儲存!F4531</f>
        <v>0</v>
      </c>
      <c r="AF39" s="49">
        <f>資料儲存!G4531</f>
        <v>0</v>
      </c>
      <c r="AG39" s="49">
        <f>資料儲存!H4531</f>
        <v>0</v>
      </c>
      <c r="AH39" s="49">
        <f>資料儲存!I4531</f>
        <v>0</v>
      </c>
      <c r="AI39" s="49">
        <f>資料儲存!J4531</f>
        <v>0</v>
      </c>
      <c r="AJ39" s="52"/>
      <c r="AK39" s="70">
        <v>60</v>
      </c>
      <c r="AL39" s="49">
        <f>資料儲存!D4591</f>
        <v>0</v>
      </c>
      <c r="AM39" s="49">
        <f>資料儲存!E4591</f>
        <v>0</v>
      </c>
      <c r="AN39" s="49">
        <f>資料儲存!F4591</f>
        <v>0</v>
      </c>
      <c r="AO39" s="49">
        <f>資料儲存!G4591</f>
        <v>0</v>
      </c>
      <c r="AP39" s="49">
        <f>資料儲存!H4591</f>
        <v>0</v>
      </c>
      <c r="AQ39" s="49">
        <f>資料儲存!I4591</f>
        <v>0</v>
      </c>
      <c r="AR39" s="49">
        <f>資料儲存!J4591</f>
        <v>0</v>
      </c>
      <c r="AT39" s="70">
        <v>60</v>
      </c>
      <c r="AU39" s="49">
        <f>資料儲存!D4651</f>
        <v>0</v>
      </c>
      <c r="AV39" s="49">
        <f>資料儲存!E4651</f>
        <v>0</v>
      </c>
      <c r="AW39" s="49">
        <f>資料儲存!F4651</f>
        <v>0</v>
      </c>
      <c r="AX39" s="49">
        <f>資料儲存!G4651</f>
        <v>0</v>
      </c>
      <c r="AY39" s="49">
        <f>資料儲存!H4651</f>
        <v>0</v>
      </c>
      <c r="AZ39" s="49">
        <f>資料儲存!I4651</f>
        <v>0</v>
      </c>
      <c r="BA39" s="49">
        <f>資料儲存!J4651</f>
        <v>0</v>
      </c>
    </row>
    <row r="40" spans="1:53" s="67" customFormat="1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0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  <c r="AT40" s="50" t="s">
        <v>56</v>
      </c>
      <c r="AU40" s="49">
        <f>SUM(AU25:AX39)</f>
        <v>0</v>
      </c>
      <c r="AV40" s="47"/>
      <c r="AW40" s="47"/>
      <c r="AX40" s="47"/>
      <c r="AY40" s="49">
        <f>AY39</f>
        <v>0</v>
      </c>
      <c r="AZ40" s="49">
        <f>AZ39</f>
        <v>0</v>
      </c>
      <c r="BA40" s="49">
        <f>BA39</f>
        <v>0</v>
      </c>
    </row>
    <row r="41" spans="1:53" ht="18.5" thickBot="1">
      <c r="A41" s="257" t="s">
        <v>115</v>
      </c>
      <c r="B41" s="258"/>
      <c r="C41" s="258"/>
      <c r="D41" s="258"/>
      <c r="E41" s="258"/>
      <c r="F41" s="258"/>
      <c r="G41" s="258"/>
      <c r="H41" s="259"/>
      <c r="I41" s="14"/>
      <c r="J41" s="257" t="s">
        <v>115</v>
      </c>
      <c r="K41" s="258"/>
      <c r="L41" s="258"/>
      <c r="M41" s="258"/>
      <c r="N41" s="258"/>
      <c r="O41" s="258"/>
      <c r="P41" s="258"/>
      <c r="Q41" s="259"/>
      <c r="R41" s="14"/>
      <c r="S41" s="257" t="s">
        <v>115</v>
      </c>
      <c r="T41" s="258"/>
      <c r="U41" s="258"/>
      <c r="V41" s="258"/>
      <c r="W41" s="258"/>
      <c r="X41" s="258"/>
      <c r="Y41" s="258"/>
      <c r="Z41" s="259"/>
      <c r="AA41" s="14"/>
      <c r="AB41" s="257" t="s">
        <v>115</v>
      </c>
      <c r="AC41" s="258"/>
      <c r="AD41" s="258"/>
      <c r="AE41" s="258"/>
      <c r="AF41" s="258"/>
      <c r="AG41" s="258"/>
      <c r="AH41" s="258"/>
      <c r="AI41" s="259"/>
      <c r="AJ41" s="14"/>
      <c r="AK41" s="257" t="s">
        <v>115</v>
      </c>
      <c r="AL41" s="258"/>
      <c r="AM41" s="258"/>
      <c r="AN41" s="258"/>
      <c r="AO41" s="258"/>
      <c r="AP41" s="258"/>
      <c r="AQ41" s="258"/>
      <c r="AR41" s="259"/>
      <c r="AT41" s="257" t="s">
        <v>115</v>
      </c>
      <c r="AU41" s="258"/>
      <c r="AV41" s="258"/>
      <c r="AW41" s="258"/>
      <c r="AX41" s="258"/>
      <c r="AY41" s="258"/>
      <c r="AZ41" s="258"/>
      <c r="BA41" s="259"/>
    </row>
    <row r="42" spans="1:53" s="59" customFormat="1" ht="17.25" customHeight="1" thickBot="1">
      <c r="A42" s="54" t="s">
        <v>2</v>
      </c>
      <c r="B42" s="55" t="s">
        <v>46</v>
      </c>
      <c r="C42" s="56"/>
      <c r="D42" s="56"/>
      <c r="E42" s="57"/>
      <c r="F42" s="55" t="s">
        <v>47</v>
      </c>
      <c r="G42" s="56"/>
      <c r="H42" s="57"/>
      <c r="I42" s="58"/>
      <c r="J42" s="54" t="s">
        <v>2</v>
      </c>
      <c r="K42" s="55" t="s">
        <v>46</v>
      </c>
      <c r="L42" s="56"/>
      <c r="M42" s="56"/>
      <c r="N42" s="57"/>
      <c r="O42" s="55" t="s">
        <v>47</v>
      </c>
      <c r="P42" s="56"/>
      <c r="Q42" s="57"/>
      <c r="R42" s="58"/>
      <c r="S42" s="54" t="s">
        <v>2</v>
      </c>
      <c r="T42" s="55" t="s">
        <v>46</v>
      </c>
      <c r="U42" s="56"/>
      <c r="V42" s="56"/>
      <c r="W42" s="57"/>
      <c r="X42" s="55" t="s">
        <v>47</v>
      </c>
      <c r="Y42" s="56"/>
      <c r="Z42" s="57"/>
      <c r="AA42" s="58"/>
      <c r="AB42" s="54" t="s">
        <v>2</v>
      </c>
      <c r="AC42" s="55" t="s">
        <v>46</v>
      </c>
      <c r="AD42" s="56"/>
      <c r="AE42" s="56"/>
      <c r="AF42" s="57"/>
      <c r="AG42" s="55" t="s">
        <v>47</v>
      </c>
      <c r="AH42" s="56"/>
      <c r="AI42" s="57"/>
      <c r="AJ42" s="58"/>
      <c r="AK42" s="54" t="s">
        <v>2</v>
      </c>
      <c r="AL42" s="55" t="s">
        <v>46</v>
      </c>
      <c r="AM42" s="56"/>
      <c r="AN42" s="56"/>
      <c r="AO42" s="57"/>
      <c r="AP42" s="55" t="s">
        <v>47</v>
      </c>
      <c r="AQ42" s="56"/>
      <c r="AR42" s="57"/>
      <c r="AT42" s="54" t="s">
        <v>2</v>
      </c>
      <c r="AU42" s="55" t="s">
        <v>46</v>
      </c>
      <c r="AV42" s="56"/>
      <c r="AW42" s="56"/>
      <c r="AX42" s="57"/>
      <c r="AY42" s="55" t="s">
        <v>47</v>
      </c>
      <c r="AZ42" s="56"/>
      <c r="BA42" s="57"/>
    </row>
    <row r="43" spans="1:53" s="59" customFormat="1" ht="16" thickBot="1">
      <c r="A43" s="60">
        <v>0.75</v>
      </c>
      <c r="B43" s="61" t="s">
        <v>49</v>
      </c>
      <c r="C43" s="61" t="s">
        <v>50</v>
      </c>
      <c r="D43" s="61" t="s">
        <v>51</v>
      </c>
      <c r="E43" s="61" t="s">
        <v>52</v>
      </c>
      <c r="F43" s="61" t="s">
        <v>53</v>
      </c>
      <c r="G43" s="61" t="s">
        <v>54</v>
      </c>
      <c r="H43" s="61" t="s">
        <v>55</v>
      </c>
      <c r="I43" s="58"/>
      <c r="J43" s="60">
        <v>0.75</v>
      </c>
      <c r="K43" s="61" t="s">
        <v>49</v>
      </c>
      <c r="L43" s="61" t="s">
        <v>50</v>
      </c>
      <c r="M43" s="61" t="s">
        <v>51</v>
      </c>
      <c r="N43" s="61" t="s">
        <v>52</v>
      </c>
      <c r="O43" s="61" t="s">
        <v>53</v>
      </c>
      <c r="P43" s="61" t="s">
        <v>54</v>
      </c>
      <c r="Q43" s="61" t="s">
        <v>55</v>
      </c>
      <c r="R43" s="58"/>
      <c r="S43" s="60">
        <v>0.75</v>
      </c>
      <c r="T43" s="61" t="s">
        <v>49</v>
      </c>
      <c r="U43" s="61" t="s">
        <v>50</v>
      </c>
      <c r="V43" s="61" t="s">
        <v>51</v>
      </c>
      <c r="W43" s="61" t="s">
        <v>52</v>
      </c>
      <c r="X43" s="61" t="s">
        <v>53</v>
      </c>
      <c r="Y43" s="61" t="s">
        <v>54</v>
      </c>
      <c r="Z43" s="61" t="s">
        <v>55</v>
      </c>
      <c r="AA43" s="58"/>
      <c r="AB43" s="60">
        <v>0.75</v>
      </c>
      <c r="AC43" s="61" t="s">
        <v>49</v>
      </c>
      <c r="AD43" s="61" t="s">
        <v>50</v>
      </c>
      <c r="AE43" s="61" t="s">
        <v>51</v>
      </c>
      <c r="AF43" s="61" t="s">
        <v>52</v>
      </c>
      <c r="AG43" s="61" t="s">
        <v>53</v>
      </c>
      <c r="AH43" s="61" t="s">
        <v>54</v>
      </c>
      <c r="AI43" s="61" t="s">
        <v>55</v>
      </c>
      <c r="AJ43" s="58"/>
      <c r="AK43" s="60">
        <v>0.75</v>
      </c>
      <c r="AL43" s="61" t="s">
        <v>49</v>
      </c>
      <c r="AM43" s="61" t="s">
        <v>50</v>
      </c>
      <c r="AN43" s="61" t="s">
        <v>51</v>
      </c>
      <c r="AO43" s="61" t="s">
        <v>52</v>
      </c>
      <c r="AP43" s="61" t="s">
        <v>53</v>
      </c>
      <c r="AQ43" s="61" t="s">
        <v>54</v>
      </c>
      <c r="AR43" s="61" t="s">
        <v>55</v>
      </c>
      <c r="AT43" s="60">
        <v>0.75</v>
      </c>
      <c r="AU43" s="61" t="s">
        <v>49</v>
      </c>
      <c r="AV43" s="61" t="s">
        <v>50</v>
      </c>
      <c r="AW43" s="61" t="s">
        <v>51</v>
      </c>
      <c r="AX43" s="61" t="s">
        <v>52</v>
      </c>
      <c r="AY43" s="61" t="s">
        <v>53</v>
      </c>
      <c r="AZ43" s="61" t="s">
        <v>54</v>
      </c>
      <c r="BA43" s="61" t="s">
        <v>55</v>
      </c>
    </row>
    <row r="44" spans="1:53" s="59" customFormat="1" ht="16" thickBot="1">
      <c r="A44" s="62">
        <v>1</v>
      </c>
      <c r="B44" s="39">
        <f>資料儲存!D4352</f>
        <v>0</v>
      </c>
      <c r="C44" s="39">
        <f>資料儲存!E4352</f>
        <v>0</v>
      </c>
      <c r="D44" s="39">
        <f>資料儲存!F4352</f>
        <v>0</v>
      </c>
      <c r="E44" s="39">
        <f>資料儲存!G4352</f>
        <v>0</v>
      </c>
      <c r="F44" s="39">
        <f>資料儲存!H4352</f>
        <v>0</v>
      </c>
      <c r="G44" s="39">
        <f>資料儲存!I4352</f>
        <v>0</v>
      </c>
      <c r="H44" s="39">
        <f>資料儲存!J4352</f>
        <v>0</v>
      </c>
      <c r="I44" s="58"/>
      <c r="J44" s="62">
        <v>1</v>
      </c>
      <c r="K44" s="39">
        <f>資料儲存!D4412</f>
        <v>0</v>
      </c>
      <c r="L44" s="39">
        <f>資料儲存!E4412</f>
        <v>0</v>
      </c>
      <c r="M44" s="39">
        <f>資料儲存!F4412</f>
        <v>0</v>
      </c>
      <c r="N44" s="39">
        <f>資料儲存!G4412</f>
        <v>0</v>
      </c>
      <c r="O44" s="39">
        <f>資料儲存!H4412</f>
        <v>0</v>
      </c>
      <c r="P44" s="39">
        <f>資料儲存!I4412</f>
        <v>0</v>
      </c>
      <c r="Q44" s="39">
        <f>資料儲存!J4412</f>
        <v>0</v>
      </c>
      <c r="R44" s="58"/>
      <c r="S44" s="62">
        <v>1</v>
      </c>
      <c r="T44" s="39">
        <f>資料儲存!D4472</f>
        <v>0</v>
      </c>
      <c r="U44" s="39">
        <f>資料儲存!E4472</f>
        <v>0</v>
      </c>
      <c r="V44" s="39">
        <f>資料儲存!F4472</f>
        <v>0</v>
      </c>
      <c r="W44" s="39">
        <f>資料儲存!G4472</f>
        <v>0</v>
      </c>
      <c r="X44" s="39">
        <f>資料儲存!H4472</f>
        <v>0</v>
      </c>
      <c r="Y44" s="39">
        <f>資料儲存!I4472</f>
        <v>0</v>
      </c>
      <c r="Z44" s="39">
        <f>資料儲存!J4472</f>
        <v>0</v>
      </c>
      <c r="AA44" s="58"/>
      <c r="AB44" s="62">
        <v>1</v>
      </c>
      <c r="AC44" s="39">
        <f>資料儲存!D4532</f>
        <v>0</v>
      </c>
      <c r="AD44" s="39">
        <f>資料儲存!E4532</f>
        <v>0</v>
      </c>
      <c r="AE44" s="39">
        <f>資料儲存!F4532</f>
        <v>0</v>
      </c>
      <c r="AF44" s="39">
        <f>資料儲存!G4532</f>
        <v>0</v>
      </c>
      <c r="AG44" s="39">
        <f>資料儲存!H4532</f>
        <v>0</v>
      </c>
      <c r="AH44" s="39">
        <f>資料儲存!I4532</f>
        <v>0</v>
      </c>
      <c r="AI44" s="39">
        <f>資料儲存!J4532</f>
        <v>0</v>
      </c>
      <c r="AJ44" s="58"/>
      <c r="AK44" s="62">
        <v>1</v>
      </c>
      <c r="AL44" s="39">
        <f>資料儲存!D4592</f>
        <v>0</v>
      </c>
      <c r="AM44" s="39">
        <f>資料儲存!E4592</f>
        <v>0</v>
      </c>
      <c r="AN44" s="39">
        <f>資料儲存!F4592</f>
        <v>0</v>
      </c>
      <c r="AO44" s="39">
        <f>資料儲存!G4592</f>
        <v>0</v>
      </c>
      <c r="AP44" s="39">
        <f>資料儲存!H4592</f>
        <v>0</v>
      </c>
      <c r="AQ44" s="39">
        <f>資料儲存!I4592</f>
        <v>0</v>
      </c>
      <c r="AR44" s="39">
        <f>資料儲存!J4592</f>
        <v>0</v>
      </c>
      <c r="AT44" s="62">
        <v>1</v>
      </c>
      <c r="AU44" s="39">
        <f>資料儲存!D4652</f>
        <v>0</v>
      </c>
      <c r="AV44" s="39">
        <f>資料儲存!E4652</f>
        <v>0</v>
      </c>
      <c r="AW44" s="39">
        <f>資料儲存!F4652</f>
        <v>0</v>
      </c>
      <c r="AX44" s="39">
        <f>資料儲存!G4652</f>
        <v>0</v>
      </c>
      <c r="AY44" s="39">
        <f>資料儲存!H4652</f>
        <v>0</v>
      </c>
      <c r="AZ44" s="39">
        <f>資料儲存!I4652</f>
        <v>0</v>
      </c>
      <c r="BA44" s="39">
        <f>資料儲存!J4652</f>
        <v>0</v>
      </c>
    </row>
    <row r="45" spans="1:53" s="59" customFormat="1" ht="16" thickBot="1">
      <c r="A45" s="62">
        <v>2</v>
      </c>
      <c r="B45" s="39">
        <f>資料儲存!D4353</f>
        <v>0</v>
      </c>
      <c r="C45" s="39">
        <f>資料儲存!E4353</f>
        <v>0</v>
      </c>
      <c r="D45" s="39">
        <f>資料儲存!F4353</f>
        <v>0</v>
      </c>
      <c r="E45" s="39">
        <f>資料儲存!G4353</f>
        <v>0</v>
      </c>
      <c r="F45" s="39">
        <f>資料儲存!H4353</f>
        <v>0</v>
      </c>
      <c r="G45" s="39">
        <f>資料儲存!I4353</f>
        <v>0</v>
      </c>
      <c r="H45" s="39">
        <f>資料儲存!J4353</f>
        <v>0</v>
      </c>
      <c r="I45" s="58"/>
      <c r="J45" s="62">
        <v>2</v>
      </c>
      <c r="K45" s="39">
        <f>資料儲存!D4413</f>
        <v>0</v>
      </c>
      <c r="L45" s="39">
        <f>資料儲存!E4413</f>
        <v>0</v>
      </c>
      <c r="M45" s="39">
        <f>資料儲存!F4413</f>
        <v>0</v>
      </c>
      <c r="N45" s="39">
        <f>資料儲存!G4413</f>
        <v>0</v>
      </c>
      <c r="O45" s="39">
        <f>資料儲存!H4413</f>
        <v>0</v>
      </c>
      <c r="P45" s="39">
        <f>資料儲存!I4413</f>
        <v>0</v>
      </c>
      <c r="Q45" s="39">
        <f>資料儲存!J4413</f>
        <v>0</v>
      </c>
      <c r="R45" s="58"/>
      <c r="S45" s="62">
        <v>2</v>
      </c>
      <c r="T45" s="39">
        <f>資料儲存!D4473</f>
        <v>0</v>
      </c>
      <c r="U45" s="39">
        <f>資料儲存!E4473</f>
        <v>0</v>
      </c>
      <c r="V45" s="39">
        <f>資料儲存!F4473</f>
        <v>0</v>
      </c>
      <c r="W45" s="39">
        <f>資料儲存!G4473</f>
        <v>0</v>
      </c>
      <c r="X45" s="39">
        <f>資料儲存!H4473</f>
        <v>0</v>
      </c>
      <c r="Y45" s="39">
        <f>資料儲存!I4473</f>
        <v>0</v>
      </c>
      <c r="Z45" s="39">
        <f>資料儲存!J4473</f>
        <v>0</v>
      </c>
      <c r="AA45" s="58"/>
      <c r="AB45" s="62">
        <v>2</v>
      </c>
      <c r="AC45" s="39">
        <f>資料儲存!D4533</f>
        <v>0</v>
      </c>
      <c r="AD45" s="39">
        <f>資料儲存!E4533</f>
        <v>0</v>
      </c>
      <c r="AE45" s="39">
        <f>資料儲存!F4533</f>
        <v>0</v>
      </c>
      <c r="AF45" s="39">
        <f>資料儲存!G4533</f>
        <v>0</v>
      </c>
      <c r="AG45" s="39">
        <f>資料儲存!H4533</f>
        <v>0</v>
      </c>
      <c r="AH45" s="39">
        <f>資料儲存!I4533</f>
        <v>0</v>
      </c>
      <c r="AI45" s="39">
        <f>資料儲存!J4533</f>
        <v>0</v>
      </c>
      <c r="AJ45" s="58"/>
      <c r="AK45" s="62">
        <v>2</v>
      </c>
      <c r="AL45" s="39">
        <f>資料儲存!D4593</f>
        <v>0</v>
      </c>
      <c r="AM45" s="39">
        <f>資料儲存!E4593</f>
        <v>0</v>
      </c>
      <c r="AN45" s="39">
        <f>資料儲存!F4593</f>
        <v>0</v>
      </c>
      <c r="AO45" s="39">
        <f>資料儲存!G4593</f>
        <v>0</v>
      </c>
      <c r="AP45" s="39">
        <f>資料儲存!H4593</f>
        <v>0</v>
      </c>
      <c r="AQ45" s="39">
        <f>資料儲存!I4593</f>
        <v>0</v>
      </c>
      <c r="AR45" s="39">
        <f>資料儲存!J4593</f>
        <v>0</v>
      </c>
      <c r="AT45" s="62">
        <v>2</v>
      </c>
      <c r="AU45" s="39">
        <f>資料儲存!D4653</f>
        <v>0</v>
      </c>
      <c r="AV45" s="39">
        <f>資料儲存!E4653</f>
        <v>0</v>
      </c>
      <c r="AW45" s="39">
        <f>資料儲存!F4653</f>
        <v>0</v>
      </c>
      <c r="AX45" s="39">
        <f>資料儲存!G4653</f>
        <v>0</v>
      </c>
      <c r="AY45" s="39">
        <f>資料儲存!H4653</f>
        <v>0</v>
      </c>
      <c r="AZ45" s="39">
        <f>資料儲存!I4653</f>
        <v>0</v>
      </c>
      <c r="BA45" s="39">
        <f>資料儲存!J4653</f>
        <v>0</v>
      </c>
    </row>
    <row r="46" spans="1:53" s="59" customFormat="1" ht="16" thickBot="1">
      <c r="A46" s="62">
        <v>3</v>
      </c>
      <c r="B46" s="39">
        <f>資料儲存!D4354</f>
        <v>0</v>
      </c>
      <c r="C46" s="39">
        <f>資料儲存!E4354</f>
        <v>0</v>
      </c>
      <c r="D46" s="39">
        <f>資料儲存!F4354</f>
        <v>0</v>
      </c>
      <c r="E46" s="39">
        <f>資料儲存!G4354</f>
        <v>0</v>
      </c>
      <c r="F46" s="39">
        <f>資料儲存!H4354</f>
        <v>0</v>
      </c>
      <c r="G46" s="39">
        <f>資料儲存!I4354</f>
        <v>0</v>
      </c>
      <c r="H46" s="39">
        <f>資料儲存!J4354</f>
        <v>0</v>
      </c>
      <c r="I46" s="58"/>
      <c r="J46" s="62">
        <v>3</v>
      </c>
      <c r="K46" s="39">
        <f>資料儲存!D4414</f>
        <v>0</v>
      </c>
      <c r="L46" s="39">
        <f>資料儲存!E4414</f>
        <v>0</v>
      </c>
      <c r="M46" s="39">
        <f>資料儲存!F4414</f>
        <v>0</v>
      </c>
      <c r="N46" s="39">
        <f>資料儲存!G4414</f>
        <v>0</v>
      </c>
      <c r="O46" s="39">
        <f>資料儲存!H4414</f>
        <v>0</v>
      </c>
      <c r="P46" s="39">
        <f>資料儲存!I4414</f>
        <v>0</v>
      </c>
      <c r="Q46" s="39">
        <f>資料儲存!J4414</f>
        <v>0</v>
      </c>
      <c r="R46" s="58"/>
      <c r="S46" s="62">
        <v>3</v>
      </c>
      <c r="T46" s="39">
        <f>資料儲存!D4474</f>
        <v>0</v>
      </c>
      <c r="U46" s="39">
        <f>資料儲存!E4474</f>
        <v>0</v>
      </c>
      <c r="V46" s="39">
        <f>資料儲存!F4474</f>
        <v>0</v>
      </c>
      <c r="W46" s="39">
        <f>資料儲存!G4474</f>
        <v>0</v>
      </c>
      <c r="X46" s="39">
        <f>資料儲存!H4474</f>
        <v>0</v>
      </c>
      <c r="Y46" s="39">
        <f>資料儲存!I4474</f>
        <v>0</v>
      </c>
      <c r="Z46" s="39">
        <f>資料儲存!J4474</f>
        <v>0</v>
      </c>
      <c r="AA46" s="58"/>
      <c r="AB46" s="62">
        <v>3</v>
      </c>
      <c r="AC46" s="39">
        <f>資料儲存!D4534</f>
        <v>0</v>
      </c>
      <c r="AD46" s="39">
        <f>資料儲存!E4534</f>
        <v>0</v>
      </c>
      <c r="AE46" s="39">
        <f>資料儲存!F4534</f>
        <v>0</v>
      </c>
      <c r="AF46" s="39">
        <f>資料儲存!G4534</f>
        <v>0</v>
      </c>
      <c r="AG46" s="39">
        <f>資料儲存!H4534</f>
        <v>0</v>
      </c>
      <c r="AH46" s="39">
        <f>資料儲存!I4534</f>
        <v>0</v>
      </c>
      <c r="AI46" s="39">
        <f>資料儲存!J4534</f>
        <v>0</v>
      </c>
      <c r="AJ46" s="58"/>
      <c r="AK46" s="62">
        <v>3</v>
      </c>
      <c r="AL46" s="39">
        <f>資料儲存!D4594</f>
        <v>0</v>
      </c>
      <c r="AM46" s="39">
        <f>資料儲存!E4594</f>
        <v>0</v>
      </c>
      <c r="AN46" s="39">
        <f>資料儲存!F4594</f>
        <v>0</v>
      </c>
      <c r="AO46" s="39">
        <f>資料儲存!G4594</f>
        <v>0</v>
      </c>
      <c r="AP46" s="39">
        <f>資料儲存!H4594</f>
        <v>0</v>
      </c>
      <c r="AQ46" s="39">
        <f>資料儲存!I4594</f>
        <v>0</v>
      </c>
      <c r="AR46" s="39">
        <f>資料儲存!J4594</f>
        <v>0</v>
      </c>
      <c r="AT46" s="62">
        <v>3</v>
      </c>
      <c r="AU46" s="39">
        <f>資料儲存!D4654</f>
        <v>0</v>
      </c>
      <c r="AV46" s="39">
        <f>資料儲存!E4654</f>
        <v>0</v>
      </c>
      <c r="AW46" s="39">
        <f>資料儲存!F4654</f>
        <v>0</v>
      </c>
      <c r="AX46" s="39">
        <f>資料儲存!G4654</f>
        <v>0</v>
      </c>
      <c r="AY46" s="39">
        <f>資料儲存!H4654</f>
        <v>0</v>
      </c>
      <c r="AZ46" s="39">
        <f>資料儲存!I4654</f>
        <v>0</v>
      </c>
      <c r="BA46" s="39">
        <f>資料儲存!J4654</f>
        <v>0</v>
      </c>
    </row>
    <row r="47" spans="1:53" s="59" customFormat="1" ht="16" thickBot="1">
      <c r="A47" s="62">
        <v>4</v>
      </c>
      <c r="B47" s="39">
        <f>資料儲存!D4355</f>
        <v>0</v>
      </c>
      <c r="C47" s="39">
        <f>資料儲存!E4355</f>
        <v>0</v>
      </c>
      <c r="D47" s="39">
        <f>資料儲存!F4355</f>
        <v>0</v>
      </c>
      <c r="E47" s="39">
        <f>資料儲存!G4355</f>
        <v>0</v>
      </c>
      <c r="F47" s="39">
        <f>資料儲存!H4355</f>
        <v>0</v>
      </c>
      <c r="G47" s="39">
        <f>資料儲存!I4355</f>
        <v>0</v>
      </c>
      <c r="H47" s="39">
        <f>資料儲存!J4355</f>
        <v>0</v>
      </c>
      <c r="I47" s="58"/>
      <c r="J47" s="62">
        <v>4</v>
      </c>
      <c r="K47" s="39">
        <f>資料儲存!D4415</f>
        <v>0</v>
      </c>
      <c r="L47" s="39">
        <f>資料儲存!E4415</f>
        <v>0</v>
      </c>
      <c r="M47" s="39">
        <f>資料儲存!F4415</f>
        <v>0</v>
      </c>
      <c r="N47" s="39">
        <f>資料儲存!G4415</f>
        <v>0</v>
      </c>
      <c r="O47" s="39">
        <f>資料儲存!H4415</f>
        <v>0</v>
      </c>
      <c r="P47" s="39">
        <f>資料儲存!I4415</f>
        <v>0</v>
      </c>
      <c r="Q47" s="39">
        <f>資料儲存!J4415</f>
        <v>0</v>
      </c>
      <c r="R47" s="58"/>
      <c r="S47" s="62">
        <v>4</v>
      </c>
      <c r="T47" s="39">
        <f>資料儲存!D4475</f>
        <v>0</v>
      </c>
      <c r="U47" s="39">
        <f>資料儲存!E4475</f>
        <v>0</v>
      </c>
      <c r="V47" s="39">
        <f>資料儲存!F4475</f>
        <v>0</v>
      </c>
      <c r="W47" s="39">
        <f>資料儲存!G4475</f>
        <v>0</v>
      </c>
      <c r="X47" s="39">
        <f>資料儲存!H4475</f>
        <v>0</v>
      </c>
      <c r="Y47" s="39">
        <f>資料儲存!I4475</f>
        <v>0</v>
      </c>
      <c r="Z47" s="39">
        <f>資料儲存!J4475</f>
        <v>0</v>
      </c>
      <c r="AA47" s="58"/>
      <c r="AB47" s="62">
        <v>4</v>
      </c>
      <c r="AC47" s="39">
        <f>資料儲存!D4535</f>
        <v>0</v>
      </c>
      <c r="AD47" s="39">
        <f>資料儲存!E4535</f>
        <v>0</v>
      </c>
      <c r="AE47" s="39">
        <f>資料儲存!F4535</f>
        <v>0</v>
      </c>
      <c r="AF47" s="39">
        <f>資料儲存!G4535</f>
        <v>0</v>
      </c>
      <c r="AG47" s="39">
        <f>資料儲存!H4535</f>
        <v>0</v>
      </c>
      <c r="AH47" s="39">
        <f>資料儲存!I4535</f>
        <v>0</v>
      </c>
      <c r="AI47" s="39">
        <f>資料儲存!J4535</f>
        <v>0</v>
      </c>
      <c r="AJ47" s="58"/>
      <c r="AK47" s="62">
        <v>4</v>
      </c>
      <c r="AL47" s="39">
        <f>資料儲存!D4595</f>
        <v>0</v>
      </c>
      <c r="AM47" s="39">
        <f>資料儲存!E4595</f>
        <v>0</v>
      </c>
      <c r="AN47" s="39">
        <f>資料儲存!F4595</f>
        <v>0</v>
      </c>
      <c r="AO47" s="39">
        <f>資料儲存!G4595</f>
        <v>0</v>
      </c>
      <c r="AP47" s="39">
        <f>資料儲存!H4595</f>
        <v>0</v>
      </c>
      <c r="AQ47" s="39">
        <f>資料儲存!I4595</f>
        <v>0</v>
      </c>
      <c r="AR47" s="39">
        <f>資料儲存!J4595</f>
        <v>0</v>
      </c>
      <c r="AT47" s="62">
        <v>4</v>
      </c>
      <c r="AU47" s="39">
        <f>資料儲存!D4655</f>
        <v>0</v>
      </c>
      <c r="AV47" s="39">
        <f>資料儲存!E4655</f>
        <v>0</v>
      </c>
      <c r="AW47" s="39">
        <f>資料儲存!F4655</f>
        <v>0</v>
      </c>
      <c r="AX47" s="39">
        <f>資料儲存!G4655</f>
        <v>0</v>
      </c>
      <c r="AY47" s="39">
        <f>資料儲存!H4655</f>
        <v>0</v>
      </c>
      <c r="AZ47" s="39">
        <f>資料儲存!I4655</f>
        <v>0</v>
      </c>
      <c r="BA47" s="39">
        <f>資料儲存!J4655</f>
        <v>0</v>
      </c>
    </row>
    <row r="48" spans="1:53" s="59" customFormat="1" ht="16" thickBot="1">
      <c r="A48" s="62">
        <v>5</v>
      </c>
      <c r="B48" s="39">
        <f>資料儲存!D4356</f>
        <v>0</v>
      </c>
      <c r="C48" s="39">
        <f>資料儲存!E4356</f>
        <v>0</v>
      </c>
      <c r="D48" s="39">
        <f>資料儲存!F4356</f>
        <v>0</v>
      </c>
      <c r="E48" s="39">
        <f>資料儲存!G4356</f>
        <v>0</v>
      </c>
      <c r="F48" s="39">
        <f>資料儲存!H4356</f>
        <v>0</v>
      </c>
      <c r="G48" s="39">
        <f>資料儲存!I4356</f>
        <v>0</v>
      </c>
      <c r="H48" s="39">
        <f>資料儲存!J4356</f>
        <v>0</v>
      </c>
      <c r="I48" s="58"/>
      <c r="J48" s="62">
        <v>5</v>
      </c>
      <c r="K48" s="39">
        <f>資料儲存!D4416</f>
        <v>0</v>
      </c>
      <c r="L48" s="39">
        <f>資料儲存!E4416</f>
        <v>0</v>
      </c>
      <c r="M48" s="39">
        <f>資料儲存!F4416</f>
        <v>0</v>
      </c>
      <c r="N48" s="39">
        <f>資料儲存!G4416</f>
        <v>0</v>
      </c>
      <c r="O48" s="39">
        <f>資料儲存!H4416</f>
        <v>0</v>
      </c>
      <c r="P48" s="39">
        <f>資料儲存!I4416</f>
        <v>0</v>
      </c>
      <c r="Q48" s="39">
        <f>資料儲存!J4416</f>
        <v>0</v>
      </c>
      <c r="R48" s="58"/>
      <c r="S48" s="62">
        <v>5</v>
      </c>
      <c r="T48" s="39">
        <f>資料儲存!D4476</f>
        <v>0</v>
      </c>
      <c r="U48" s="39">
        <f>資料儲存!E4476</f>
        <v>0</v>
      </c>
      <c r="V48" s="39">
        <f>資料儲存!F4476</f>
        <v>0</v>
      </c>
      <c r="W48" s="39">
        <f>資料儲存!G4476</f>
        <v>0</v>
      </c>
      <c r="X48" s="39">
        <f>資料儲存!H4476</f>
        <v>0</v>
      </c>
      <c r="Y48" s="39">
        <f>資料儲存!I4476</f>
        <v>0</v>
      </c>
      <c r="Z48" s="39">
        <f>資料儲存!J4476</f>
        <v>0</v>
      </c>
      <c r="AA48" s="58"/>
      <c r="AB48" s="62">
        <v>5</v>
      </c>
      <c r="AC48" s="39">
        <f>資料儲存!D4536</f>
        <v>0</v>
      </c>
      <c r="AD48" s="39">
        <f>資料儲存!E4536</f>
        <v>0</v>
      </c>
      <c r="AE48" s="39">
        <f>資料儲存!F4536</f>
        <v>0</v>
      </c>
      <c r="AF48" s="39">
        <f>資料儲存!G4536</f>
        <v>0</v>
      </c>
      <c r="AG48" s="39">
        <f>資料儲存!H4536</f>
        <v>0</v>
      </c>
      <c r="AH48" s="39">
        <f>資料儲存!I4536</f>
        <v>0</v>
      </c>
      <c r="AI48" s="39">
        <f>資料儲存!J4536</f>
        <v>0</v>
      </c>
      <c r="AJ48" s="58"/>
      <c r="AK48" s="62">
        <v>5</v>
      </c>
      <c r="AL48" s="39">
        <f>資料儲存!D4596</f>
        <v>0</v>
      </c>
      <c r="AM48" s="39">
        <f>資料儲存!E4596</f>
        <v>0</v>
      </c>
      <c r="AN48" s="39">
        <f>資料儲存!F4596</f>
        <v>0</v>
      </c>
      <c r="AO48" s="39">
        <f>資料儲存!G4596</f>
        <v>0</v>
      </c>
      <c r="AP48" s="39">
        <f>資料儲存!H4596</f>
        <v>0</v>
      </c>
      <c r="AQ48" s="39">
        <f>資料儲存!I4596</f>
        <v>0</v>
      </c>
      <c r="AR48" s="39">
        <f>資料儲存!J4596</f>
        <v>0</v>
      </c>
      <c r="AT48" s="62">
        <v>5</v>
      </c>
      <c r="AU48" s="39">
        <f>資料儲存!D4656</f>
        <v>0</v>
      </c>
      <c r="AV48" s="39">
        <f>資料儲存!E4656</f>
        <v>0</v>
      </c>
      <c r="AW48" s="39">
        <f>資料儲存!F4656</f>
        <v>0</v>
      </c>
      <c r="AX48" s="39">
        <f>資料儲存!G4656</f>
        <v>0</v>
      </c>
      <c r="AY48" s="39">
        <f>資料儲存!H4656</f>
        <v>0</v>
      </c>
      <c r="AZ48" s="39">
        <f>資料儲存!I4656</f>
        <v>0</v>
      </c>
      <c r="BA48" s="39">
        <f>資料儲存!J4656</f>
        <v>0</v>
      </c>
    </row>
    <row r="49" spans="1:53" s="59" customFormat="1" ht="16" thickBot="1">
      <c r="A49" s="62">
        <v>6</v>
      </c>
      <c r="B49" s="39">
        <f>資料儲存!D4357</f>
        <v>0</v>
      </c>
      <c r="C49" s="39">
        <f>資料儲存!E4357</f>
        <v>0</v>
      </c>
      <c r="D49" s="39">
        <f>資料儲存!F4357</f>
        <v>0</v>
      </c>
      <c r="E49" s="39">
        <f>資料儲存!G4357</f>
        <v>0</v>
      </c>
      <c r="F49" s="39">
        <f>資料儲存!H4357</f>
        <v>0</v>
      </c>
      <c r="G49" s="39">
        <f>資料儲存!I4357</f>
        <v>0</v>
      </c>
      <c r="H49" s="39">
        <f>資料儲存!J4357</f>
        <v>0</v>
      </c>
      <c r="I49" s="58"/>
      <c r="J49" s="62">
        <v>6</v>
      </c>
      <c r="K49" s="39">
        <f>資料儲存!D4417</f>
        <v>0</v>
      </c>
      <c r="L49" s="39">
        <f>資料儲存!E4417</f>
        <v>0</v>
      </c>
      <c r="M49" s="39">
        <f>資料儲存!F4417</f>
        <v>0</v>
      </c>
      <c r="N49" s="39">
        <f>資料儲存!G4417</f>
        <v>0</v>
      </c>
      <c r="O49" s="39">
        <f>資料儲存!H4417</f>
        <v>0</v>
      </c>
      <c r="P49" s="39">
        <f>資料儲存!I4417</f>
        <v>0</v>
      </c>
      <c r="Q49" s="39">
        <f>資料儲存!J4417</f>
        <v>0</v>
      </c>
      <c r="R49" s="58"/>
      <c r="S49" s="62">
        <v>6</v>
      </c>
      <c r="T49" s="39">
        <f>資料儲存!D4477</f>
        <v>0</v>
      </c>
      <c r="U49" s="39">
        <f>資料儲存!E4477</f>
        <v>0</v>
      </c>
      <c r="V49" s="39">
        <f>資料儲存!F4477</f>
        <v>0</v>
      </c>
      <c r="W49" s="39">
        <f>資料儲存!G4477</f>
        <v>0</v>
      </c>
      <c r="X49" s="39">
        <f>資料儲存!H4477</f>
        <v>0</v>
      </c>
      <c r="Y49" s="39">
        <f>資料儲存!I4477</f>
        <v>0</v>
      </c>
      <c r="Z49" s="39">
        <f>資料儲存!J4477</f>
        <v>0</v>
      </c>
      <c r="AA49" s="58"/>
      <c r="AB49" s="62">
        <v>6</v>
      </c>
      <c r="AC49" s="39">
        <f>資料儲存!D4537</f>
        <v>0</v>
      </c>
      <c r="AD49" s="39">
        <f>資料儲存!E4537</f>
        <v>0</v>
      </c>
      <c r="AE49" s="39">
        <f>資料儲存!F4537</f>
        <v>0</v>
      </c>
      <c r="AF49" s="39">
        <f>資料儲存!G4537</f>
        <v>0</v>
      </c>
      <c r="AG49" s="39">
        <f>資料儲存!H4537</f>
        <v>0</v>
      </c>
      <c r="AH49" s="39">
        <f>資料儲存!I4537</f>
        <v>0</v>
      </c>
      <c r="AI49" s="39">
        <f>資料儲存!J4537</f>
        <v>0</v>
      </c>
      <c r="AJ49" s="58"/>
      <c r="AK49" s="62">
        <v>6</v>
      </c>
      <c r="AL49" s="39">
        <f>資料儲存!D4597</f>
        <v>0</v>
      </c>
      <c r="AM49" s="39">
        <f>資料儲存!E4597</f>
        <v>0</v>
      </c>
      <c r="AN49" s="39">
        <f>資料儲存!F4597</f>
        <v>0</v>
      </c>
      <c r="AO49" s="39">
        <f>資料儲存!G4597</f>
        <v>0</v>
      </c>
      <c r="AP49" s="39">
        <f>資料儲存!H4597</f>
        <v>0</v>
      </c>
      <c r="AQ49" s="39">
        <f>資料儲存!I4597</f>
        <v>0</v>
      </c>
      <c r="AR49" s="39">
        <f>資料儲存!J4597</f>
        <v>0</v>
      </c>
      <c r="AT49" s="62">
        <v>6</v>
      </c>
      <c r="AU49" s="39">
        <f>資料儲存!D4657</f>
        <v>0</v>
      </c>
      <c r="AV49" s="39">
        <f>資料儲存!E4657</f>
        <v>0</v>
      </c>
      <c r="AW49" s="39">
        <f>資料儲存!F4657</f>
        <v>0</v>
      </c>
      <c r="AX49" s="39">
        <f>資料儲存!G4657</f>
        <v>0</v>
      </c>
      <c r="AY49" s="39">
        <f>資料儲存!H4657</f>
        <v>0</v>
      </c>
      <c r="AZ49" s="39">
        <f>資料儲存!I4657</f>
        <v>0</v>
      </c>
      <c r="BA49" s="39">
        <f>資料儲存!J4657</f>
        <v>0</v>
      </c>
    </row>
    <row r="50" spans="1:53" s="59" customFormat="1" ht="16" thickBot="1">
      <c r="A50" s="62">
        <v>7</v>
      </c>
      <c r="B50" s="39">
        <f>資料儲存!D4358</f>
        <v>0</v>
      </c>
      <c r="C50" s="39">
        <f>資料儲存!E4358</f>
        <v>0</v>
      </c>
      <c r="D50" s="39">
        <f>資料儲存!F4358</f>
        <v>0</v>
      </c>
      <c r="E50" s="39">
        <f>資料儲存!G4358</f>
        <v>0</v>
      </c>
      <c r="F50" s="39">
        <f>資料儲存!H4358</f>
        <v>0</v>
      </c>
      <c r="G50" s="39">
        <f>資料儲存!I4358</f>
        <v>0</v>
      </c>
      <c r="H50" s="39">
        <f>資料儲存!J4358</f>
        <v>0</v>
      </c>
      <c r="I50" s="58"/>
      <c r="J50" s="62">
        <v>7</v>
      </c>
      <c r="K50" s="39">
        <f>資料儲存!D4418</f>
        <v>0</v>
      </c>
      <c r="L50" s="39">
        <f>資料儲存!E4418</f>
        <v>0</v>
      </c>
      <c r="M50" s="39">
        <f>資料儲存!F4418</f>
        <v>0</v>
      </c>
      <c r="N50" s="39">
        <f>資料儲存!G4418</f>
        <v>0</v>
      </c>
      <c r="O50" s="39">
        <f>資料儲存!H4418</f>
        <v>0</v>
      </c>
      <c r="P50" s="39">
        <f>資料儲存!I4418</f>
        <v>0</v>
      </c>
      <c r="Q50" s="39">
        <f>資料儲存!J4418</f>
        <v>0</v>
      </c>
      <c r="R50" s="58"/>
      <c r="S50" s="62">
        <v>7</v>
      </c>
      <c r="T50" s="39">
        <f>資料儲存!D4478</f>
        <v>0</v>
      </c>
      <c r="U50" s="39">
        <f>資料儲存!E4478</f>
        <v>0</v>
      </c>
      <c r="V50" s="39">
        <f>資料儲存!F4478</f>
        <v>0</v>
      </c>
      <c r="W50" s="39">
        <f>資料儲存!G4478</f>
        <v>0</v>
      </c>
      <c r="X50" s="39">
        <f>資料儲存!H4478</f>
        <v>0</v>
      </c>
      <c r="Y50" s="39">
        <f>資料儲存!I4478</f>
        <v>0</v>
      </c>
      <c r="Z50" s="39">
        <f>資料儲存!J4478</f>
        <v>0</v>
      </c>
      <c r="AA50" s="58"/>
      <c r="AB50" s="62">
        <v>7</v>
      </c>
      <c r="AC50" s="39">
        <f>資料儲存!D4538</f>
        <v>0</v>
      </c>
      <c r="AD50" s="39">
        <f>資料儲存!E4538</f>
        <v>0</v>
      </c>
      <c r="AE50" s="39">
        <f>資料儲存!F4538</f>
        <v>0</v>
      </c>
      <c r="AF50" s="39">
        <f>資料儲存!G4538</f>
        <v>0</v>
      </c>
      <c r="AG50" s="39">
        <f>資料儲存!H4538</f>
        <v>0</v>
      </c>
      <c r="AH50" s="39">
        <f>資料儲存!I4538</f>
        <v>0</v>
      </c>
      <c r="AI50" s="39">
        <f>資料儲存!J4538</f>
        <v>0</v>
      </c>
      <c r="AJ50" s="58"/>
      <c r="AK50" s="62">
        <v>7</v>
      </c>
      <c r="AL50" s="39">
        <f>資料儲存!D4598</f>
        <v>0</v>
      </c>
      <c r="AM50" s="39">
        <f>資料儲存!E4598</f>
        <v>0</v>
      </c>
      <c r="AN50" s="39">
        <f>資料儲存!F4598</f>
        <v>0</v>
      </c>
      <c r="AO50" s="39">
        <f>資料儲存!G4598</f>
        <v>0</v>
      </c>
      <c r="AP50" s="39">
        <f>資料儲存!H4598</f>
        <v>0</v>
      </c>
      <c r="AQ50" s="39">
        <f>資料儲存!I4598</f>
        <v>0</v>
      </c>
      <c r="AR50" s="39">
        <f>資料儲存!J4598</f>
        <v>0</v>
      </c>
      <c r="AT50" s="62">
        <v>7</v>
      </c>
      <c r="AU50" s="39">
        <f>資料儲存!D4658</f>
        <v>0</v>
      </c>
      <c r="AV50" s="39">
        <f>資料儲存!E4658</f>
        <v>0</v>
      </c>
      <c r="AW50" s="39">
        <f>資料儲存!F4658</f>
        <v>0</v>
      </c>
      <c r="AX50" s="39">
        <f>資料儲存!G4658</f>
        <v>0</v>
      </c>
      <c r="AY50" s="39">
        <f>資料儲存!H4658</f>
        <v>0</v>
      </c>
      <c r="AZ50" s="39">
        <f>資料儲存!I4658</f>
        <v>0</v>
      </c>
      <c r="BA50" s="39">
        <f>資料儲存!J4658</f>
        <v>0</v>
      </c>
    </row>
    <row r="51" spans="1:53" s="59" customFormat="1" ht="16" thickBot="1">
      <c r="A51" s="62">
        <v>8</v>
      </c>
      <c r="B51" s="39">
        <f>資料儲存!D4359</f>
        <v>0</v>
      </c>
      <c r="C51" s="39">
        <f>資料儲存!E4359</f>
        <v>0</v>
      </c>
      <c r="D51" s="39">
        <f>資料儲存!F4359</f>
        <v>0</v>
      </c>
      <c r="E51" s="39">
        <f>資料儲存!G4359</f>
        <v>0</v>
      </c>
      <c r="F51" s="39">
        <f>資料儲存!H4359</f>
        <v>0</v>
      </c>
      <c r="G51" s="39">
        <f>資料儲存!I4359</f>
        <v>0</v>
      </c>
      <c r="H51" s="39">
        <f>資料儲存!J4359</f>
        <v>0</v>
      </c>
      <c r="I51" s="58"/>
      <c r="J51" s="62">
        <v>8</v>
      </c>
      <c r="K51" s="39">
        <f>資料儲存!D4419</f>
        <v>0</v>
      </c>
      <c r="L51" s="39">
        <f>資料儲存!E4419</f>
        <v>0</v>
      </c>
      <c r="M51" s="39">
        <f>資料儲存!F4419</f>
        <v>0</v>
      </c>
      <c r="N51" s="39">
        <f>資料儲存!G4419</f>
        <v>0</v>
      </c>
      <c r="O51" s="39">
        <f>資料儲存!H4419</f>
        <v>0</v>
      </c>
      <c r="P51" s="39">
        <f>資料儲存!I4419</f>
        <v>0</v>
      </c>
      <c r="Q51" s="39">
        <f>資料儲存!J4419</f>
        <v>0</v>
      </c>
      <c r="R51" s="58"/>
      <c r="S51" s="62">
        <v>8</v>
      </c>
      <c r="T51" s="39">
        <f>資料儲存!D4479</f>
        <v>0</v>
      </c>
      <c r="U51" s="39">
        <f>資料儲存!E4479</f>
        <v>0</v>
      </c>
      <c r="V51" s="39">
        <f>資料儲存!F4479</f>
        <v>0</v>
      </c>
      <c r="W51" s="39">
        <f>資料儲存!G4479</f>
        <v>0</v>
      </c>
      <c r="X51" s="39">
        <f>資料儲存!H4479</f>
        <v>0</v>
      </c>
      <c r="Y51" s="39">
        <f>資料儲存!I4479</f>
        <v>0</v>
      </c>
      <c r="Z51" s="39">
        <f>資料儲存!J4479</f>
        <v>0</v>
      </c>
      <c r="AA51" s="58"/>
      <c r="AB51" s="62">
        <v>8</v>
      </c>
      <c r="AC51" s="39">
        <f>資料儲存!D4539</f>
        <v>0</v>
      </c>
      <c r="AD51" s="39">
        <f>資料儲存!E4539</f>
        <v>0</v>
      </c>
      <c r="AE51" s="39">
        <f>資料儲存!F4539</f>
        <v>0</v>
      </c>
      <c r="AF51" s="39">
        <f>資料儲存!G4539</f>
        <v>0</v>
      </c>
      <c r="AG51" s="39">
        <f>資料儲存!H4539</f>
        <v>0</v>
      </c>
      <c r="AH51" s="39">
        <f>資料儲存!I4539</f>
        <v>0</v>
      </c>
      <c r="AI51" s="39">
        <f>資料儲存!J4539</f>
        <v>0</v>
      </c>
      <c r="AJ51" s="58"/>
      <c r="AK51" s="62">
        <v>8</v>
      </c>
      <c r="AL51" s="39">
        <f>資料儲存!D4599</f>
        <v>0</v>
      </c>
      <c r="AM51" s="39">
        <f>資料儲存!E4599</f>
        <v>0</v>
      </c>
      <c r="AN51" s="39">
        <f>資料儲存!F4599</f>
        <v>0</v>
      </c>
      <c r="AO51" s="39">
        <f>資料儲存!G4599</f>
        <v>0</v>
      </c>
      <c r="AP51" s="39">
        <f>資料儲存!H4599</f>
        <v>0</v>
      </c>
      <c r="AQ51" s="39">
        <f>資料儲存!I4599</f>
        <v>0</v>
      </c>
      <c r="AR51" s="39">
        <f>資料儲存!J4599</f>
        <v>0</v>
      </c>
      <c r="AT51" s="62">
        <v>8</v>
      </c>
      <c r="AU51" s="39">
        <f>資料儲存!D4659</f>
        <v>0</v>
      </c>
      <c r="AV51" s="39">
        <f>資料儲存!E4659</f>
        <v>0</v>
      </c>
      <c r="AW51" s="39">
        <f>資料儲存!F4659</f>
        <v>0</v>
      </c>
      <c r="AX51" s="39">
        <f>資料儲存!G4659</f>
        <v>0</v>
      </c>
      <c r="AY51" s="39">
        <f>資料儲存!H4659</f>
        <v>0</v>
      </c>
      <c r="AZ51" s="39">
        <f>資料儲存!I4659</f>
        <v>0</v>
      </c>
      <c r="BA51" s="39">
        <f>資料儲存!J4659</f>
        <v>0</v>
      </c>
    </row>
    <row r="52" spans="1:53" s="59" customFormat="1" ht="16" thickBot="1">
      <c r="A52" s="62">
        <v>9</v>
      </c>
      <c r="B52" s="39">
        <f>資料儲存!D4360</f>
        <v>0</v>
      </c>
      <c r="C52" s="39">
        <f>資料儲存!E4360</f>
        <v>0</v>
      </c>
      <c r="D52" s="39">
        <f>資料儲存!F4360</f>
        <v>0</v>
      </c>
      <c r="E52" s="39">
        <f>資料儲存!G4360</f>
        <v>0</v>
      </c>
      <c r="F52" s="39">
        <f>資料儲存!H4360</f>
        <v>0</v>
      </c>
      <c r="G52" s="39">
        <f>資料儲存!I4360</f>
        <v>0</v>
      </c>
      <c r="H52" s="39">
        <f>資料儲存!J4360</f>
        <v>0</v>
      </c>
      <c r="I52" s="58"/>
      <c r="J52" s="62">
        <v>9</v>
      </c>
      <c r="K52" s="39">
        <f>資料儲存!D4420</f>
        <v>0</v>
      </c>
      <c r="L52" s="39">
        <f>資料儲存!E4420</f>
        <v>0</v>
      </c>
      <c r="M52" s="39">
        <f>資料儲存!F4420</f>
        <v>0</v>
      </c>
      <c r="N52" s="39">
        <f>資料儲存!G4420</f>
        <v>0</v>
      </c>
      <c r="O52" s="39">
        <f>資料儲存!H4420</f>
        <v>0</v>
      </c>
      <c r="P52" s="39">
        <f>資料儲存!I4420</f>
        <v>0</v>
      </c>
      <c r="Q52" s="39">
        <f>資料儲存!J4420</f>
        <v>0</v>
      </c>
      <c r="R52" s="58"/>
      <c r="S52" s="62">
        <v>9</v>
      </c>
      <c r="T52" s="39">
        <f>資料儲存!D4480</f>
        <v>0</v>
      </c>
      <c r="U52" s="39">
        <f>資料儲存!E4480</f>
        <v>0</v>
      </c>
      <c r="V52" s="39">
        <f>資料儲存!F4480</f>
        <v>0</v>
      </c>
      <c r="W52" s="39">
        <f>資料儲存!G4480</f>
        <v>0</v>
      </c>
      <c r="X52" s="39">
        <f>資料儲存!H4480</f>
        <v>0</v>
      </c>
      <c r="Y52" s="39">
        <f>資料儲存!I4480</f>
        <v>0</v>
      </c>
      <c r="Z52" s="39">
        <f>資料儲存!J4480</f>
        <v>0</v>
      </c>
      <c r="AA52" s="58"/>
      <c r="AB52" s="62">
        <v>9</v>
      </c>
      <c r="AC52" s="39">
        <f>資料儲存!D4540</f>
        <v>0</v>
      </c>
      <c r="AD52" s="39">
        <f>資料儲存!E4540</f>
        <v>0</v>
      </c>
      <c r="AE52" s="39">
        <f>資料儲存!F4540</f>
        <v>0</v>
      </c>
      <c r="AF52" s="39">
        <f>資料儲存!G4540</f>
        <v>0</v>
      </c>
      <c r="AG52" s="39">
        <f>資料儲存!H4540</f>
        <v>0</v>
      </c>
      <c r="AH52" s="39">
        <f>資料儲存!I4540</f>
        <v>0</v>
      </c>
      <c r="AI52" s="39">
        <f>資料儲存!J4540</f>
        <v>0</v>
      </c>
      <c r="AJ52" s="58"/>
      <c r="AK52" s="62">
        <v>9</v>
      </c>
      <c r="AL52" s="39">
        <f>資料儲存!D4600</f>
        <v>0</v>
      </c>
      <c r="AM52" s="39">
        <f>資料儲存!E4600</f>
        <v>0</v>
      </c>
      <c r="AN52" s="39">
        <f>資料儲存!F4600</f>
        <v>0</v>
      </c>
      <c r="AO52" s="39">
        <f>資料儲存!G4600</f>
        <v>0</v>
      </c>
      <c r="AP52" s="39">
        <f>資料儲存!H4600</f>
        <v>0</v>
      </c>
      <c r="AQ52" s="39">
        <f>資料儲存!I4600</f>
        <v>0</v>
      </c>
      <c r="AR52" s="39">
        <f>資料儲存!J4600</f>
        <v>0</v>
      </c>
      <c r="AT52" s="62">
        <v>9</v>
      </c>
      <c r="AU52" s="39">
        <f>資料儲存!D4660</f>
        <v>0</v>
      </c>
      <c r="AV52" s="39">
        <f>資料儲存!E4660</f>
        <v>0</v>
      </c>
      <c r="AW52" s="39">
        <f>資料儲存!F4660</f>
        <v>0</v>
      </c>
      <c r="AX52" s="39">
        <f>資料儲存!G4660</f>
        <v>0</v>
      </c>
      <c r="AY52" s="39">
        <f>資料儲存!H4660</f>
        <v>0</v>
      </c>
      <c r="AZ52" s="39">
        <f>資料儲存!I4660</f>
        <v>0</v>
      </c>
      <c r="BA52" s="39">
        <f>資料儲存!J4660</f>
        <v>0</v>
      </c>
    </row>
    <row r="53" spans="1:53" s="59" customFormat="1" ht="16" thickBot="1">
      <c r="A53" s="62">
        <v>10</v>
      </c>
      <c r="B53" s="39">
        <f>資料儲存!D4361</f>
        <v>0</v>
      </c>
      <c r="C53" s="39">
        <f>資料儲存!E4361</f>
        <v>0</v>
      </c>
      <c r="D53" s="39">
        <f>資料儲存!F4361</f>
        <v>0</v>
      </c>
      <c r="E53" s="39">
        <f>資料儲存!G4361</f>
        <v>0</v>
      </c>
      <c r="F53" s="39">
        <f>資料儲存!H4361</f>
        <v>0</v>
      </c>
      <c r="G53" s="39">
        <f>資料儲存!I4361</f>
        <v>0</v>
      </c>
      <c r="H53" s="39">
        <f>資料儲存!J4361</f>
        <v>0</v>
      </c>
      <c r="I53" s="58"/>
      <c r="J53" s="62">
        <v>10</v>
      </c>
      <c r="K53" s="39">
        <f>資料儲存!D4421</f>
        <v>0</v>
      </c>
      <c r="L53" s="39">
        <f>資料儲存!E4421</f>
        <v>0</v>
      </c>
      <c r="M53" s="39">
        <f>資料儲存!F4421</f>
        <v>0</v>
      </c>
      <c r="N53" s="39">
        <f>資料儲存!G4421</f>
        <v>0</v>
      </c>
      <c r="O53" s="39">
        <f>資料儲存!H4421</f>
        <v>0</v>
      </c>
      <c r="P53" s="39">
        <f>資料儲存!I4421</f>
        <v>0</v>
      </c>
      <c r="Q53" s="39">
        <f>資料儲存!J4421</f>
        <v>0</v>
      </c>
      <c r="R53" s="58"/>
      <c r="S53" s="62">
        <v>10</v>
      </c>
      <c r="T53" s="39">
        <f>資料儲存!D4481</f>
        <v>0</v>
      </c>
      <c r="U53" s="39">
        <f>資料儲存!E4481</f>
        <v>0</v>
      </c>
      <c r="V53" s="39">
        <f>資料儲存!F4481</f>
        <v>0</v>
      </c>
      <c r="W53" s="39">
        <f>資料儲存!G4481</f>
        <v>0</v>
      </c>
      <c r="X53" s="39">
        <f>資料儲存!H4481</f>
        <v>0</v>
      </c>
      <c r="Y53" s="39">
        <f>資料儲存!I4481</f>
        <v>0</v>
      </c>
      <c r="Z53" s="39">
        <f>資料儲存!J4481</f>
        <v>0</v>
      </c>
      <c r="AA53" s="58"/>
      <c r="AB53" s="62">
        <v>10</v>
      </c>
      <c r="AC53" s="39">
        <f>資料儲存!D4541</f>
        <v>0</v>
      </c>
      <c r="AD53" s="39">
        <f>資料儲存!E4541</f>
        <v>0</v>
      </c>
      <c r="AE53" s="39">
        <f>資料儲存!F4541</f>
        <v>0</v>
      </c>
      <c r="AF53" s="39">
        <f>資料儲存!G4541</f>
        <v>0</v>
      </c>
      <c r="AG53" s="39">
        <f>資料儲存!H4541</f>
        <v>0</v>
      </c>
      <c r="AH53" s="39">
        <f>資料儲存!I4541</f>
        <v>0</v>
      </c>
      <c r="AI53" s="39">
        <f>資料儲存!J4541</f>
        <v>0</v>
      </c>
      <c r="AJ53" s="58"/>
      <c r="AK53" s="62">
        <v>10</v>
      </c>
      <c r="AL53" s="39">
        <f>資料儲存!D4601</f>
        <v>0</v>
      </c>
      <c r="AM53" s="39">
        <f>資料儲存!E4601</f>
        <v>0</v>
      </c>
      <c r="AN53" s="39">
        <f>資料儲存!F4601</f>
        <v>0</v>
      </c>
      <c r="AO53" s="39">
        <f>資料儲存!G4601</f>
        <v>0</v>
      </c>
      <c r="AP53" s="39">
        <f>資料儲存!H4601</f>
        <v>0</v>
      </c>
      <c r="AQ53" s="39">
        <f>資料儲存!I4601</f>
        <v>0</v>
      </c>
      <c r="AR53" s="39">
        <f>資料儲存!J4601</f>
        <v>0</v>
      </c>
      <c r="AT53" s="62">
        <v>10</v>
      </c>
      <c r="AU53" s="39">
        <f>資料儲存!D4661</f>
        <v>0</v>
      </c>
      <c r="AV53" s="39">
        <f>資料儲存!E4661</f>
        <v>0</v>
      </c>
      <c r="AW53" s="39">
        <f>資料儲存!F4661</f>
        <v>0</v>
      </c>
      <c r="AX53" s="39">
        <f>資料儲存!G4661</f>
        <v>0</v>
      </c>
      <c r="AY53" s="39">
        <f>資料儲存!H4661</f>
        <v>0</v>
      </c>
      <c r="AZ53" s="39">
        <f>資料儲存!I4661</f>
        <v>0</v>
      </c>
      <c r="BA53" s="39">
        <f>資料儲存!J4661</f>
        <v>0</v>
      </c>
    </row>
    <row r="54" spans="1:53" s="59" customFormat="1" ht="16" thickBot="1">
      <c r="A54" s="62">
        <v>11</v>
      </c>
      <c r="B54" s="39">
        <f>資料儲存!D4362</f>
        <v>0</v>
      </c>
      <c r="C54" s="39">
        <f>資料儲存!E4362</f>
        <v>0</v>
      </c>
      <c r="D54" s="39">
        <f>資料儲存!F4362</f>
        <v>0</v>
      </c>
      <c r="E54" s="39">
        <f>資料儲存!G4362</f>
        <v>0</v>
      </c>
      <c r="F54" s="39">
        <f>資料儲存!H4362</f>
        <v>0</v>
      </c>
      <c r="G54" s="39">
        <f>資料儲存!I4362</f>
        <v>0</v>
      </c>
      <c r="H54" s="39">
        <f>資料儲存!J4362</f>
        <v>0</v>
      </c>
      <c r="I54" s="58"/>
      <c r="J54" s="62">
        <v>11</v>
      </c>
      <c r="K54" s="39">
        <f>資料儲存!D4422</f>
        <v>0</v>
      </c>
      <c r="L54" s="39">
        <f>資料儲存!E4422</f>
        <v>0</v>
      </c>
      <c r="M54" s="39">
        <f>資料儲存!F4422</f>
        <v>0</v>
      </c>
      <c r="N54" s="39">
        <f>資料儲存!G4422</f>
        <v>0</v>
      </c>
      <c r="O54" s="39">
        <f>資料儲存!H4422</f>
        <v>0</v>
      </c>
      <c r="P54" s="39">
        <f>資料儲存!I4422</f>
        <v>0</v>
      </c>
      <c r="Q54" s="39">
        <f>資料儲存!J4422</f>
        <v>0</v>
      </c>
      <c r="R54" s="58"/>
      <c r="S54" s="62">
        <v>11</v>
      </c>
      <c r="T54" s="39">
        <f>資料儲存!D4482</f>
        <v>0</v>
      </c>
      <c r="U54" s="39">
        <f>資料儲存!E4482</f>
        <v>0</v>
      </c>
      <c r="V54" s="39">
        <f>資料儲存!F4482</f>
        <v>0</v>
      </c>
      <c r="W54" s="39">
        <f>資料儲存!G4482</f>
        <v>0</v>
      </c>
      <c r="X54" s="39">
        <f>資料儲存!H4482</f>
        <v>0</v>
      </c>
      <c r="Y54" s="39">
        <f>資料儲存!I4482</f>
        <v>0</v>
      </c>
      <c r="Z54" s="39">
        <f>資料儲存!J4482</f>
        <v>0</v>
      </c>
      <c r="AA54" s="58"/>
      <c r="AB54" s="62">
        <v>11</v>
      </c>
      <c r="AC54" s="39">
        <f>資料儲存!D4542</f>
        <v>0</v>
      </c>
      <c r="AD54" s="39">
        <f>資料儲存!E4542</f>
        <v>0</v>
      </c>
      <c r="AE54" s="39">
        <f>資料儲存!F4542</f>
        <v>0</v>
      </c>
      <c r="AF54" s="39">
        <f>資料儲存!G4542</f>
        <v>0</v>
      </c>
      <c r="AG54" s="39">
        <f>資料儲存!H4542</f>
        <v>0</v>
      </c>
      <c r="AH54" s="39">
        <f>資料儲存!I4542</f>
        <v>0</v>
      </c>
      <c r="AI54" s="39">
        <f>資料儲存!J4542</f>
        <v>0</v>
      </c>
      <c r="AJ54" s="58"/>
      <c r="AK54" s="62">
        <v>11</v>
      </c>
      <c r="AL54" s="39">
        <f>資料儲存!D4602</f>
        <v>0</v>
      </c>
      <c r="AM54" s="39">
        <f>資料儲存!E4602</f>
        <v>0</v>
      </c>
      <c r="AN54" s="39">
        <f>資料儲存!F4602</f>
        <v>0</v>
      </c>
      <c r="AO54" s="39">
        <f>資料儲存!G4602</f>
        <v>0</v>
      </c>
      <c r="AP54" s="39">
        <f>資料儲存!H4602</f>
        <v>0</v>
      </c>
      <c r="AQ54" s="39">
        <f>資料儲存!I4602</f>
        <v>0</v>
      </c>
      <c r="AR54" s="39">
        <f>資料儲存!J4602</f>
        <v>0</v>
      </c>
      <c r="AT54" s="62">
        <v>11</v>
      </c>
      <c r="AU54" s="39">
        <f>資料儲存!D4662</f>
        <v>0</v>
      </c>
      <c r="AV54" s="39">
        <f>資料儲存!E4662</f>
        <v>0</v>
      </c>
      <c r="AW54" s="39">
        <f>資料儲存!F4662</f>
        <v>0</v>
      </c>
      <c r="AX54" s="39">
        <f>資料儲存!G4662</f>
        <v>0</v>
      </c>
      <c r="AY54" s="39">
        <f>資料儲存!H4662</f>
        <v>0</v>
      </c>
      <c r="AZ54" s="39">
        <f>資料儲存!I4662</f>
        <v>0</v>
      </c>
      <c r="BA54" s="39">
        <f>資料儲存!J4662</f>
        <v>0</v>
      </c>
    </row>
    <row r="55" spans="1:53" s="59" customFormat="1" ht="16" thickBot="1">
      <c r="A55" s="62">
        <v>12</v>
      </c>
      <c r="B55" s="39">
        <f>資料儲存!D4363</f>
        <v>0</v>
      </c>
      <c r="C55" s="39">
        <f>資料儲存!E4363</f>
        <v>0</v>
      </c>
      <c r="D55" s="39">
        <f>資料儲存!F4363</f>
        <v>0</v>
      </c>
      <c r="E55" s="39">
        <f>資料儲存!G4363</f>
        <v>0</v>
      </c>
      <c r="F55" s="39">
        <f>資料儲存!H4363</f>
        <v>0</v>
      </c>
      <c r="G55" s="39">
        <f>資料儲存!I4363</f>
        <v>0</v>
      </c>
      <c r="H55" s="39">
        <f>資料儲存!J4363</f>
        <v>0</v>
      </c>
      <c r="I55" s="58"/>
      <c r="J55" s="62">
        <v>12</v>
      </c>
      <c r="K55" s="39">
        <f>資料儲存!D4423</f>
        <v>0</v>
      </c>
      <c r="L55" s="39">
        <f>資料儲存!E4423</f>
        <v>0</v>
      </c>
      <c r="M55" s="39">
        <f>資料儲存!F4423</f>
        <v>0</v>
      </c>
      <c r="N55" s="39">
        <f>資料儲存!G4423</f>
        <v>0</v>
      </c>
      <c r="O55" s="39">
        <f>資料儲存!H4423</f>
        <v>0</v>
      </c>
      <c r="P55" s="39">
        <f>資料儲存!I4423</f>
        <v>0</v>
      </c>
      <c r="Q55" s="39">
        <f>資料儲存!J4423</f>
        <v>0</v>
      </c>
      <c r="R55" s="58"/>
      <c r="S55" s="62">
        <v>12</v>
      </c>
      <c r="T55" s="39">
        <f>資料儲存!D4483</f>
        <v>0</v>
      </c>
      <c r="U55" s="39">
        <f>資料儲存!E4483</f>
        <v>0</v>
      </c>
      <c r="V55" s="39">
        <f>資料儲存!F4483</f>
        <v>0</v>
      </c>
      <c r="W55" s="39">
        <f>資料儲存!G4483</f>
        <v>0</v>
      </c>
      <c r="X55" s="39">
        <f>資料儲存!H4483</f>
        <v>0</v>
      </c>
      <c r="Y55" s="39">
        <f>資料儲存!I4483</f>
        <v>0</v>
      </c>
      <c r="Z55" s="39">
        <f>資料儲存!J4483</f>
        <v>0</v>
      </c>
      <c r="AA55" s="58"/>
      <c r="AB55" s="62">
        <v>12</v>
      </c>
      <c r="AC55" s="39">
        <f>資料儲存!D4543</f>
        <v>0</v>
      </c>
      <c r="AD55" s="39">
        <f>資料儲存!E4543</f>
        <v>0</v>
      </c>
      <c r="AE55" s="39">
        <f>資料儲存!F4543</f>
        <v>0</v>
      </c>
      <c r="AF55" s="39">
        <f>資料儲存!G4543</f>
        <v>0</v>
      </c>
      <c r="AG55" s="39">
        <f>資料儲存!H4543</f>
        <v>0</v>
      </c>
      <c r="AH55" s="39">
        <f>資料儲存!I4543</f>
        <v>0</v>
      </c>
      <c r="AI55" s="39">
        <f>資料儲存!J4543</f>
        <v>0</v>
      </c>
      <c r="AJ55" s="58"/>
      <c r="AK55" s="62">
        <v>12</v>
      </c>
      <c r="AL55" s="39">
        <f>資料儲存!D4603</f>
        <v>0</v>
      </c>
      <c r="AM55" s="39">
        <f>資料儲存!E4603</f>
        <v>0</v>
      </c>
      <c r="AN55" s="39">
        <f>資料儲存!F4603</f>
        <v>0</v>
      </c>
      <c r="AO55" s="39">
        <f>資料儲存!G4603</f>
        <v>0</v>
      </c>
      <c r="AP55" s="39">
        <f>資料儲存!H4603</f>
        <v>0</v>
      </c>
      <c r="AQ55" s="39">
        <f>資料儲存!I4603</f>
        <v>0</v>
      </c>
      <c r="AR55" s="39">
        <f>資料儲存!J4603</f>
        <v>0</v>
      </c>
      <c r="AT55" s="62">
        <v>12</v>
      </c>
      <c r="AU55" s="39">
        <f>資料儲存!D4663</f>
        <v>0</v>
      </c>
      <c r="AV55" s="39">
        <f>資料儲存!E4663</f>
        <v>0</v>
      </c>
      <c r="AW55" s="39">
        <f>資料儲存!F4663</f>
        <v>0</v>
      </c>
      <c r="AX55" s="39">
        <f>資料儲存!G4663</f>
        <v>0</v>
      </c>
      <c r="AY55" s="39">
        <f>資料儲存!H4663</f>
        <v>0</v>
      </c>
      <c r="AZ55" s="39">
        <f>資料儲存!I4663</f>
        <v>0</v>
      </c>
      <c r="BA55" s="39">
        <f>資料儲存!J4663</f>
        <v>0</v>
      </c>
    </row>
    <row r="56" spans="1:53" s="59" customFormat="1" ht="16" thickBot="1">
      <c r="A56" s="62">
        <v>13</v>
      </c>
      <c r="B56" s="39">
        <f>資料儲存!D4364</f>
        <v>0</v>
      </c>
      <c r="C56" s="39">
        <f>資料儲存!E4364</f>
        <v>0</v>
      </c>
      <c r="D56" s="39">
        <f>資料儲存!F4364</f>
        <v>0</v>
      </c>
      <c r="E56" s="39">
        <f>資料儲存!G4364</f>
        <v>0</v>
      </c>
      <c r="F56" s="39">
        <f>資料儲存!H4364</f>
        <v>0</v>
      </c>
      <c r="G56" s="39">
        <f>資料儲存!I4364</f>
        <v>0</v>
      </c>
      <c r="H56" s="39">
        <f>資料儲存!J4364</f>
        <v>0</v>
      </c>
      <c r="I56" s="58"/>
      <c r="J56" s="62">
        <v>13</v>
      </c>
      <c r="K56" s="39">
        <f>資料儲存!D4424</f>
        <v>0</v>
      </c>
      <c r="L56" s="39">
        <f>資料儲存!E4424</f>
        <v>0</v>
      </c>
      <c r="M56" s="39">
        <f>資料儲存!F4424</f>
        <v>0</v>
      </c>
      <c r="N56" s="39">
        <f>資料儲存!G4424</f>
        <v>0</v>
      </c>
      <c r="O56" s="39">
        <f>資料儲存!H4424</f>
        <v>0</v>
      </c>
      <c r="P56" s="39">
        <f>資料儲存!I4424</f>
        <v>0</v>
      </c>
      <c r="Q56" s="39">
        <f>資料儲存!J4424</f>
        <v>0</v>
      </c>
      <c r="R56" s="58"/>
      <c r="S56" s="62">
        <v>13</v>
      </c>
      <c r="T56" s="39">
        <f>資料儲存!D4484</f>
        <v>0</v>
      </c>
      <c r="U56" s="39">
        <f>資料儲存!E4484</f>
        <v>0</v>
      </c>
      <c r="V56" s="39">
        <f>資料儲存!F4484</f>
        <v>0</v>
      </c>
      <c r="W56" s="39">
        <f>資料儲存!G4484</f>
        <v>0</v>
      </c>
      <c r="X56" s="39">
        <f>資料儲存!H4484</f>
        <v>0</v>
      </c>
      <c r="Y56" s="39">
        <f>資料儲存!I4484</f>
        <v>0</v>
      </c>
      <c r="Z56" s="39">
        <f>資料儲存!J4484</f>
        <v>0</v>
      </c>
      <c r="AA56" s="58"/>
      <c r="AB56" s="62">
        <v>13</v>
      </c>
      <c r="AC56" s="39">
        <f>資料儲存!D4544</f>
        <v>0</v>
      </c>
      <c r="AD56" s="39">
        <f>資料儲存!E4544</f>
        <v>0</v>
      </c>
      <c r="AE56" s="39">
        <f>資料儲存!F4544</f>
        <v>0</v>
      </c>
      <c r="AF56" s="39">
        <f>資料儲存!G4544</f>
        <v>0</v>
      </c>
      <c r="AG56" s="39">
        <f>資料儲存!H4544</f>
        <v>0</v>
      </c>
      <c r="AH56" s="39">
        <f>資料儲存!I4544</f>
        <v>0</v>
      </c>
      <c r="AI56" s="39">
        <f>資料儲存!J4544</f>
        <v>0</v>
      </c>
      <c r="AJ56" s="58"/>
      <c r="AK56" s="62">
        <v>13</v>
      </c>
      <c r="AL56" s="39">
        <f>資料儲存!D4604</f>
        <v>0</v>
      </c>
      <c r="AM56" s="39">
        <f>資料儲存!E4604</f>
        <v>0</v>
      </c>
      <c r="AN56" s="39">
        <f>資料儲存!F4604</f>
        <v>0</v>
      </c>
      <c r="AO56" s="39">
        <f>資料儲存!G4604</f>
        <v>0</v>
      </c>
      <c r="AP56" s="39">
        <f>資料儲存!H4604</f>
        <v>0</v>
      </c>
      <c r="AQ56" s="39">
        <f>資料儲存!I4604</f>
        <v>0</v>
      </c>
      <c r="AR56" s="39">
        <f>資料儲存!J4604</f>
        <v>0</v>
      </c>
      <c r="AT56" s="62">
        <v>13</v>
      </c>
      <c r="AU56" s="39">
        <f>資料儲存!D4664</f>
        <v>0</v>
      </c>
      <c r="AV56" s="39">
        <f>資料儲存!E4664</f>
        <v>0</v>
      </c>
      <c r="AW56" s="39">
        <f>資料儲存!F4664</f>
        <v>0</v>
      </c>
      <c r="AX56" s="39">
        <f>資料儲存!G4664</f>
        <v>0</v>
      </c>
      <c r="AY56" s="39">
        <f>資料儲存!H4664</f>
        <v>0</v>
      </c>
      <c r="AZ56" s="39">
        <f>資料儲存!I4664</f>
        <v>0</v>
      </c>
      <c r="BA56" s="39">
        <f>資料儲存!J4664</f>
        <v>0</v>
      </c>
    </row>
    <row r="57" spans="1:53" s="59" customFormat="1" ht="16" thickBot="1">
      <c r="A57" s="62">
        <v>14</v>
      </c>
      <c r="B57" s="39">
        <f>資料儲存!D4365</f>
        <v>0</v>
      </c>
      <c r="C57" s="39">
        <f>資料儲存!E4365</f>
        <v>0</v>
      </c>
      <c r="D57" s="39">
        <f>資料儲存!F4365</f>
        <v>0</v>
      </c>
      <c r="E57" s="39">
        <f>資料儲存!G4365</f>
        <v>0</v>
      </c>
      <c r="F57" s="39">
        <f>資料儲存!H4365</f>
        <v>0</v>
      </c>
      <c r="G57" s="39">
        <f>資料儲存!I4365</f>
        <v>0</v>
      </c>
      <c r="H57" s="39">
        <f>資料儲存!J4365</f>
        <v>0</v>
      </c>
      <c r="I57" s="58"/>
      <c r="J57" s="62">
        <v>14</v>
      </c>
      <c r="K57" s="39">
        <f>資料儲存!D4425</f>
        <v>0</v>
      </c>
      <c r="L57" s="39">
        <f>資料儲存!E4425</f>
        <v>0</v>
      </c>
      <c r="M57" s="39">
        <f>資料儲存!F4425</f>
        <v>0</v>
      </c>
      <c r="N57" s="39">
        <f>資料儲存!G4425</f>
        <v>0</v>
      </c>
      <c r="O57" s="39">
        <f>資料儲存!H4425</f>
        <v>0</v>
      </c>
      <c r="P57" s="39">
        <f>資料儲存!I4425</f>
        <v>0</v>
      </c>
      <c r="Q57" s="39">
        <f>資料儲存!J4425</f>
        <v>0</v>
      </c>
      <c r="R57" s="58"/>
      <c r="S57" s="62">
        <v>14</v>
      </c>
      <c r="T57" s="39">
        <f>資料儲存!D4485</f>
        <v>0</v>
      </c>
      <c r="U57" s="39">
        <f>資料儲存!E4485</f>
        <v>0</v>
      </c>
      <c r="V57" s="39">
        <f>資料儲存!F4485</f>
        <v>0</v>
      </c>
      <c r="W57" s="39">
        <f>資料儲存!G4485</f>
        <v>0</v>
      </c>
      <c r="X57" s="39">
        <f>資料儲存!H4485</f>
        <v>0</v>
      </c>
      <c r="Y57" s="39">
        <f>資料儲存!I4485</f>
        <v>0</v>
      </c>
      <c r="Z57" s="39">
        <f>資料儲存!J4485</f>
        <v>0</v>
      </c>
      <c r="AA57" s="58"/>
      <c r="AB57" s="62">
        <v>14</v>
      </c>
      <c r="AC57" s="39">
        <f>資料儲存!D4545</f>
        <v>0</v>
      </c>
      <c r="AD57" s="39">
        <f>資料儲存!E4545</f>
        <v>0</v>
      </c>
      <c r="AE57" s="39">
        <f>資料儲存!F4545</f>
        <v>0</v>
      </c>
      <c r="AF57" s="39">
        <f>資料儲存!G4545</f>
        <v>0</v>
      </c>
      <c r="AG57" s="39">
        <f>資料儲存!H4545</f>
        <v>0</v>
      </c>
      <c r="AH57" s="39">
        <f>資料儲存!I4545</f>
        <v>0</v>
      </c>
      <c r="AI57" s="39">
        <f>資料儲存!J4545</f>
        <v>0</v>
      </c>
      <c r="AJ57" s="58"/>
      <c r="AK57" s="62">
        <v>14</v>
      </c>
      <c r="AL57" s="39">
        <f>資料儲存!D4605</f>
        <v>0</v>
      </c>
      <c r="AM57" s="39">
        <f>資料儲存!E4605</f>
        <v>0</v>
      </c>
      <c r="AN57" s="39">
        <f>資料儲存!F4605</f>
        <v>0</v>
      </c>
      <c r="AO57" s="39">
        <f>資料儲存!G4605</f>
        <v>0</v>
      </c>
      <c r="AP57" s="39">
        <f>資料儲存!H4605</f>
        <v>0</v>
      </c>
      <c r="AQ57" s="39">
        <f>資料儲存!I4605</f>
        <v>0</v>
      </c>
      <c r="AR57" s="39">
        <f>資料儲存!J4605</f>
        <v>0</v>
      </c>
      <c r="AT57" s="62">
        <v>14</v>
      </c>
      <c r="AU57" s="39">
        <f>資料儲存!D4665</f>
        <v>0</v>
      </c>
      <c r="AV57" s="39">
        <f>資料儲存!E4665</f>
        <v>0</v>
      </c>
      <c r="AW57" s="39">
        <f>資料儲存!F4665</f>
        <v>0</v>
      </c>
      <c r="AX57" s="39">
        <f>資料儲存!G4665</f>
        <v>0</v>
      </c>
      <c r="AY57" s="39">
        <f>資料儲存!H4665</f>
        <v>0</v>
      </c>
      <c r="AZ57" s="39">
        <f>資料儲存!I4665</f>
        <v>0</v>
      </c>
      <c r="BA57" s="39">
        <f>資料儲存!J4665</f>
        <v>0</v>
      </c>
    </row>
    <row r="58" spans="1:53" s="59" customFormat="1" ht="16" thickBot="1">
      <c r="A58" s="62">
        <v>15</v>
      </c>
      <c r="B58" s="39">
        <f>資料儲存!D4366</f>
        <v>0</v>
      </c>
      <c r="C58" s="39">
        <f>資料儲存!E4366</f>
        <v>0</v>
      </c>
      <c r="D58" s="39">
        <f>資料儲存!F4366</f>
        <v>0</v>
      </c>
      <c r="E58" s="39">
        <f>資料儲存!G4366</f>
        <v>0</v>
      </c>
      <c r="F58" s="39">
        <f>資料儲存!H4366</f>
        <v>0</v>
      </c>
      <c r="G58" s="39">
        <f>資料儲存!I4366</f>
        <v>0</v>
      </c>
      <c r="H58" s="39">
        <f>資料儲存!J4366</f>
        <v>0</v>
      </c>
      <c r="I58" s="58"/>
      <c r="J58" s="62">
        <v>15</v>
      </c>
      <c r="K58" s="39">
        <f>資料儲存!D4426</f>
        <v>0</v>
      </c>
      <c r="L58" s="39">
        <f>資料儲存!E4426</f>
        <v>0</v>
      </c>
      <c r="M58" s="39">
        <f>資料儲存!F4426</f>
        <v>0</v>
      </c>
      <c r="N58" s="39">
        <f>資料儲存!G4426</f>
        <v>0</v>
      </c>
      <c r="O58" s="39">
        <f>資料儲存!H4426</f>
        <v>0</v>
      </c>
      <c r="P58" s="39">
        <f>資料儲存!I4426</f>
        <v>0</v>
      </c>
      <c r="Q58" s="39">
        <f>資料儲存!J4426</f>
        <v>0</v>
      </c>
      <c r="R58" s="58"/>
      <c r="S58" s="62">
        <v>15</v>
      </c>
      <c r="T58" s="39">
        <f>資料儲存!D4486</f>
        <v>0</v>
      </c>
      <c r="U58" s="39">
        <f>資料儲存!E4486</f>
        <v>0</v>
      </c>
      <c r="V58" s="39">
        <f>資料儲存!F4486</f>
        <v>0</v>
      </c>
      <c r="W58" s="39">
        <f>資料儲存!G4486</f>
        <v>0</v>
      </c>
      <c r="X58" s="39">
        <f>資料儲存!H4486</f>
        <v>0</v>
      </c>
      <c r="Y58" s="39">
        <f>資料儲存!I4486</f>
        <v>0</v>
      </c>
      <c r="Z58" s="39">
        <f>資料儲存!J4486</f>
        <v>0</v>
      </c>
      <c r="AA58" s="58"/>
      <c r="AB58" s="62">
        <v>15</v>
      </c>
      <c r="AC58" s="39">
        <f>資料儲存!D4546</f>
        <v>0</v>
      </c>
      <c r="AD58" s="39">
        <f>資料儲存!E4546</f>
        <v>0</v>
      </c>
      <c r="AE58" s="39">
        <f>資料儲存!F4546</f>
        <v>0</v>
      </c>
      <c r="AF58" s="39">
        <f>資料儲存!G4546</f>
        <v>0</v>
      </c>
      <c r="AG58" s="39">
        <f>資料儲存!H4546</f>
        <v>0</v>
      </c>
      <c r="AH58" s="39">
        <f>資料儲存!I4546</f>
        <v>0</v>
      </c>
      <c r="AI58" s="39">
        <f>資料儲存!J4546</f>
        <v>0</v>
      </c>
      <c r="AJ58" s="58"/>
      <c r="AK58" s="62">
        <v>15</v>
      </c>
      <c r="AL58" s="39">
        <f>資料儲存!D4606</f>
        <v>0</v>
      </c>
      <c r="AM58" s="39">
        <f>資料儲存!E4606</f>
        <v>0</v>
      </c>
      <c r="AN58" s="39">
        <f>資料儲存!F4606</f>
        <v>0</v>
      </c>
      <c r="AO58" s="39">
        <f>資料儲存!G4606</f>
        <v>0</v>
      </c>
      <c r="AP58" s="39">
        <f>資料儲存!H4606</f>
        <v>0</v>
      </c>
      <c r="AQ58" s="39">
        <f>資料儲存!I4606</f>
        <v>0</v>
      </c>
      <c r="AR58" s="39">
        <f>資料儲存!J4606</f>
        <v>0</v>
      </c>
      <c r="AT58" s="62">
        <v>15</v>
      </c>
      <c r="AU58" s="39">
        <f>資料儲存!D4666</f>
        <v>0</v>
      </c>
      <c r="AV58" s="39">
        <f>資料儲存!E4666</f>
        <v>0</v>
      </c>
      <c r="AW58" s="39">
        <f>資料儲存!F4666</f>
        <v>0</v>
      </c>
      <c r="AX58" s="39">
        <f>資料儲存!G4666</f>
        <v>0</v>
      </c>
      <c r="AY58" s="39">
        <f>資料儲存!H4666</f>
        <v>0</v>
      </c>
      <c r="AZ58" s="39">
        <f>資料儲存!I4666</f>
        <v>0</v>
      </c>
      <c r="BA58" s="39">
        <f>資料儲存!J4666</f>
        <v>0</v>
      </c>
    </row>
    <row r="59" spans="1:53" s="59" customFormat="1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35"/>
      <c r="AK59" s="40" t="s">
        <v>56</v>
      </c>
      <c r="AL59" s="39">
        <f>SUM(AL44:AO58)</f>
        <v>0</v>
      </c>
      <c r="AM59" s="37"/>
      <c r="AN59" s="37"/>
      <c r="AO59" s="37"/>
      <c r="AP59" s="39">
        <f>AP58</f>
        <v>0</v>
      </c>
      <c r="AQ59" s="39">
        <f>AQ58</f>
        <v>0</v>
      </c>
      <c r="AR59" s="39">
        <f>AR58</f>
        <v>0</v>
      </c>
      <c r="AT59" s="40" t="s">
        <v>56</v>
      </c>
      <c r="AU59" s="39">
        <f>SUM(AU44:AX58)</f>
        <v>0</v>
      </c>
      <c r="AV59" s="37"/>
      <c r="AW59" s="37"/>
      <c r="AX59" s="37"/>
      <c r="AY59" s="39">
        <f>AY58</f>
        <v>0</v>
      </c>
      <c r="AZ59" s="39">
        <f>AZ58</f>
        <v>0</v>
      </c>
      <c r="BA59" s="39">
        <f>BA58</f>
        <v>0</v>
      </c>
    </row>
    <row r="60" spans="1:53" ht="18.5" thickBot="1">
      <c r="A60" s="257" t="s">
        <v>116</v>
      </c>
      <c r="B60" s="258"/>
      <c r="C60" s="258"/>
      <c r="D60" s="258"/>
      <c r="E60" s="258"/>
      <c r="F60" s="258"/>
      <c r="G60" s="258"/>
      <c r="H60" s="259"/>
      <c r="I60" s="14"/>
      <c r="J60" s="257" t="s">
        <v>116</v>
      </c>
      <c r="K60" s="258"/>
      <c r="L60" s="258"/>
      <c r="M60" s="258"/>
      <c r="N60" s="258"/>
      <c r="O60" s="258"/>
      <c r="P60" s="258"/>
      <c r="Q60" s="259"/>
      <c r="R60" s="14"/>
      <c r="S60" s="257" t="s">
        <v>116</v>
      </c>
      <c r="T60" s="258"/>
      <c r="U60" s="258"/>
      <c r="V60" s="258"/>
      <c r="W60" s="258"/>
      <c r="X60" s="258"/>
      <c r="Y60" s="258"/>
      <c r="Z60" s="259"/>
      <c r="AA60" s="14"/>
      <c r="AB60" s="257" t="s">
        <v>116</v>
      </c>
      <c r="AC60" s="258"/>
      <c r="AD60" s="258"/>
      <c r="AE60" s="258"/>
      <c r="AF60" s="258"/>
      <c r="AG60" s="258"/>
      <c r="AH60" s="258"/>
      <c r="AI60" s="259"/>
      <c r="AJ60" s="14"/>
      <c r="AK60" s="257" t="s">
        <v>116</v>
      </c>
      <c r="AL60" s="258"/>
      <c r="AM60" s="258"/>
      <c r="AN60" s="258"/>
      <c r="AO60" s="258"/>
      <c r="AP60" s="258"/>
      <c r="AQ60" s="258"/>
      <c r="AR60" s="259"/>
      <c r="AT60" s="257" t="s">
        <v>116</v>
      </c>
      <c r="AU60" s="258"/>
      <c r="AV60" s="258"/>
      <c r="AW60" s="258"/>
      <c r="AX60" s="258"/>
      <c r="AY60" s="258"/>
      <c r="AZ60" s="258"/>
      <c r="BA60" s="259"/>
    </row>
    <row r="61" spans="1:53" s="67" customFormat="1" ht="17.25" customHeight="1" thickBot="1">
      <c r="A61" s="63" t="s">
        <v>2</v>
      </c>
      <c r="B61" s="64" t="s">
        <v>46</v>
      </c>
      <c r="C61" s="65"/>
      <c r="D61" s="65"/>
      <c r="E61" s="66"/>
      <c r="F61" s="64" t="s">
        <v>47</v>
      </c>
      <c r="G61" s="65"/>
      <c r="H61" s="66"/>
      <c r="I61" s="52"/>
      <c r="J61" s="63" t="s">
        <v>2</v>
      </c>
      <c r="K61" s="64" t="s">
        <v>46</v>
      </c>
      <c r="L61" s="65"/>
      <c r="M61" s="65"/>
      <c r="N61" s="66"/>
      <c r="O61" s="64" t="s">
        <v>47</v>
      </c>
      <c r="P61" s="65"/>
      <c r="Q61" s="66"/>
      <c r="R61" s="52"/>
      <c r="S61" s="63" t="s">
        <v>2</v>
      </c>
      <c r="T61" s="64" t="s">
        <v>46</v>
      </c>
      <c r="U61" s="65"/>
      <c r="V61" s="65"/>
      <c r="W61" s="66"/>
      <c r="X61" s="64" t="s">
        <v>47</v>
      </c>
      <c r="Y61" s="65"/>
      <c r="Z61" s="66"/>
      <c r="AA61" s="52"/>
      <c r="AB61" s="63" t="s">
        <v>2</v>
      </c>
      <c r="AC61" s="64" t="s">
        <v>46</v>
      </c>
      <c r="AD61" s="65"/>
      <c r="AE61" s="65"/>
      <c r="AF61" s="66"/>
      <c r="AG61" s="64" t="s">
        <v>47</v>
      </c>
      <c r="AH61" s="65"/>
      <c r="AI61" s="66"/>
      <c r="AJ61" s="52"/>
      <c r="AK61" s="63" t="s">
        <v>2</v>
      </c>
      <c r="AL61" s="64" t="s">
        <v>46</v>
      </c>
      <c r="AM61" s="65"/>
      <c r="AN61" s="65"/>
      <c r="AO61" s="66"/>
      <c r="AP61" s="64" t="s">
        <v>47</v>
      </c>
      <c r="AQ61" s="65"/>
      <c r="AR61" s="66"/>
      <c r="AT61" s="63" t="s">
        <v>2</v>
      </c>
      <c r="AU61" s="64" t="s">
        <v>46</v>
      </c>
      <c r="AV61" s="65"/>
      <c r="AW61" s="65"/>
      <c r="AX61" s="66"/>
      <c r="AY61" s="64" t="s">
        <v>47</v>
      </c>
      <c r="AZ61" s="65"/>
      <c r="BA61" s="66"/>
    </row>
    <row r="62" spans="1:53" s="67" customFormat="1" ht="16" thickBot="1">
      <c r="A62" s="68">
        <v>0.76041666666666663</v>
      </c>
      <c r="B62" s="69" t="s">
        <v>49</v>
      </c>
      <c r="C62" s="69" t="s">
        <v>50</v>
      </c>
      <c r="D62" s="69" t="s">
        <v>51</v>
      </c>
      <c r="E62" s="69" t="s">
        <v>52</v>
      </c>
      <c r="F62" s="69" t="s">
        <v>53</v>
      </c>
      <c r="G62" s="69" t="s">
        <v>54</v>
      </c>
      <c r="H62" s="69" t="s">
        <v>55</v>
      </c>
      <c r="I62" s="52"/>
      <c r="J62" s="68">
        <v>0.76041666666666663</v>
      </c>
      <c r="K62" s="69" t="s">
        <v>49</v>
      </c>
      <c r="L62" s="69" t="s">
        <v>50</v>
      </c>
      <c r="M62" s="69" t="s">
        <v>51</v>
      </c>
      <c r="N62" s="69" t="s">
        <v>52</v>
      </c>
      <c r="O62" s="69" t="s">
        <v>53</v>
      </c>
      <c r="P62" s="69" t="s">
        <v>54</v>
      </c>
      <c r="Q62" s="69" t="s">
        <v>55</v>
      </c>
      <c r="R62" s="52"/>
      <c r="S62" s="68">
        <v>0.76041666666666663</v>
      </c>
      <c r="T62" s="69" t="s">
        <v>49</v>
      </c>
      <c r="U62" s="69" t="s">
        <v>50</v>
      </c>
      <c r="V62" s="69" t="s">
        <v>51</v>
      </c>
      <c r="W62" s="69" t="s">
        <v>52</v>
      </c>
      <c r="X62" s="69" t="s">
        <v>53</v>
      </c>
      <c r="Y62" s="69" t="s">
        <v>54</v>
      </c>
      <c r="Z62" s="69" t="s">
        <v>55</v>
      </c>
      <c r="AA62" s="52"/>
      <c r="AB62" s="68">
        <v>0.76041666666666663</v>
      </c>
      <c r="AC62" s="69" t="s">
        <v>49</v>
      </c>
      <c r="AD62" s="69" t="s">
        <v>50</v>
      </c>
      <c r="AE62" s="69" t="s">
        <v>51</v>
      </c>
      <c r="AF62" s="69" t="s">
        <v>52</v>
      </c>
      <c r="AG62" s="69" t="s">
        <v>53</v>
      </c>
      <c r="AH62" s="69" t="s">
        <v>54</v>
      </c>
      <c r="AI62" s="69" t="s">
        <v>55</v>
      </c>
      <c r="AJ62" s="52"/>
      <c r="AK62" s="68">
        <v>0.76041666666666663</v>
      </c>
      <c r="AL62" s="69" t="s">
        <v>49</v>
      </c>
      <c r="AM62" s="69" t="s">
        <v>50</v>
      </c>
      <c r="AN62" s="69" t="s">
        <v>51</v>
      </c>
      <c r="AO62" s="69" t="s">
        <v>52</v>
      </c>
      <c r="AP62" s="69" t="s">
        <v>53</v>
      </c>
      <c r="AQ62" s="69" t="s">
        <v>54</v>
      </c>
      <c r="AR62" s="69" t="s">
        <v>55</v>
      </c>
      <c r="AT62" s="68">
        <v>0.76041666666666663</v>
      </c>
      <c r="AU62" s="69" t="s">
        <v>49</v>
      </c>
      <c r="AV62" s="69" t="s">
        <v>50</v>
      </c>
      <c r="AW62" s="69" t="s">
        <v>51</v>
      </c>
      <c r="AX62" s="69" t="s">
        <v>52</v>
      </c>
      <c r="AY62" s="69" t="s">
        <v>53</v>
      </c>
      <c r="AZ62" s="69" t="s">
        <v>54</v>
      </c>
      <c r="BA62" s="69" t="s">
        <v>55</v>
      </c>
    </row>
    <row r="63" spans="1:53" s="67" customFormat="1" ht="16" thickBot="1">
      <c r="A63" s="70">
        <v>16</v>
      </c>
      <c r="B63" s="49">
        <f>資料儲存!D4367</f>
        <v>0</v>
      </c>
      <c r="C63" s="49">
        <f>資料儲存!E4367</f>
        <v>0</v>
      </c>
      <c r="D63" s="49">
        <f>資料儲存!F4367</f>
        <v>0</v>
      </c>
      <c r="E63" s="49">
        <f>資料儲存!G4367</f>
        <v>0</v>
      </c>
      <c r="F63" s="49">
        <f>資料儲存!H4367</f>
        <v>0</v>
      </c>
      <c r="G63" s="49">
        <f>資料儲存!I4367</f>
        <v>0</v>
      </c>
      <c r="H63" s="49">
        <f>資料儲存!J4367</f>
        <v>0</v>
      </c>
      <c r="I63" s="52"/>
      <c r="J63" s="70">
        <v>16</v>
      </c>
      <c r="K63" s="49">
        <f>資料儲存!D4427</f>
        <v>0</v>
      </c>
      <c r="L63" s="49">
        <f>資料儲存!E4427</f>
        <v>0</v>
      </c>
      <c r="M63" s="49">
        <f>資料儲存!F4427</f>
        <v>0</v>
      </c>
      <c r="N63" s="49">
        <f>資料儲存!G4427</f>
        <v>0</v>
      </c>
      <c r="O63" s="49">
        <f>資料儲存!H4427</f>
        <v>0</v>
      </c>
      <c r="P63" s="49">
        <f>資料儲存!I4427</f>
        <v>0</v>
      </c>
      <c r="Q63" s="49">
        <f>資料儲存!J4427</f>
        <v>0</v>
      </c>
      <c r="R63" s="52"/>
      <c r="S63" s="70">
        <v>16</v>
      </c>
      <c r="T63" s="49">
        <f>資料儲存!D4487</f>
        <v>0</v>
      </c>
      <c r="U63" s="49">
        <f>資料儲存!E4487</f>
        <v>0</v>
      </c>
      <c r="V63" s="49">
        <f>資料儲存!F4487</f>
        <v>0</v>
      </c>
      <c r="W63" s="49">
        <f>資料儲存!G4487</f>
        <v>0</v>
      </c>
      <c r="X63" s="49">
        <f>資料儲存!H4487</f>
        <v>0</v>
      </c>
      <c r="Y63" s="49">
        <f>資料儲存!I4487</f>
        <v>0</v>
      </c>
      <c r="Z63" s="49">
        <f>資料儲存!J4487</f>
        <v>0</v>
      </c>
      <c r="AA63" s="52"/>
      <c r="AB63" s="70">
        <v>16</v>
      </c>
      <c r="AC63" s="49">
        <f>資料儲存!D4547</f>
        <v>0</v>
      </c>
      <c r="AD63" s="49">
        <f>資料儲存!E4547</f>
        <v>0</v>
      </c>
      <c r="AE63" s="49">
        <f>資料儲存!F4547</f>
        <v>0</v>
      </c>
      <c r="AF63" s="49">
        <f>資料儲存!G4547</f>
        <v>0</v>
      </c>
      <c r="AG63" s="49">
        <f>資料儲存!H4547</f>
        <v>0</v>
      </c>
      <c r="AH63" s="49">
        <f>資料儲存!I4547</f>
        <v>0</v>
      </c>
      <c r="AI63" s="49">
        <f>資料儲存!J4547</f>
        <v>0</v>
      </c>
      <c r="AJ63" s="52"/>
      <c r="AK63" s="70">
        <v>16</v>
      </c>
      <c r="AL63" s="49">
        <f>資料儲存!D4607</f>
        <v>0</v>
      </c>
      <c r="AM63" s="49">
        <f>資料儲存!E4607</f>
        <v>0</v>
      </c>
      <c r="AN63" s="49">
        <f>資料儲存!F4607</f>
        <v>0</v>
      </c>
      <c r="AO63" s="49">
        <f>資料儲存!G4607</f>
        <v>0</v>
      </c>
      <c r="AP63" s="49">
        <f>資料儲存!H4607</f>
        <v>0</v>
      </c>
      <c r="AQ63" s="49">
        <f>資料儲存!I4607</f>
        <v>0</v>
      </c>
      <c r="AR63" s="49">
        <f>資料儲存!J4607</f>
        <v>0</v>
      </c>
      <c r="AT63" s="70">
        <v>16</v>
      </c>
      <c r="AU63" s="49">
        <f>資料儲存!D4667</f>
        <v>0</v>
      </c>
      <c r="AV63" s="49">
        <f>資料儲存!E4667</f>
        <v>0</v>
      </c>
      <c r="AW63" s="49">
        <f>資料儲存!F4667</f>
        <v>0</v>
      </c>
      <c r="AX63" s="49">
        <f>資料儲存!G4667</f>
        <v>0</v>
      </c>
      <c r="AY63" s="49">
        <f>資料儲存!H4667</f>
        <v>0</v>
      </c>
      <c r="AZ63" s="49">
        <f>資料儲存!I4667</f>
        <v>0</v>
      </c>
      <c r="BA63" s="49">
        <f>資料儲存!J4667</f>
        <v>0</v>
      </c>
    </row>
    <row r="64" spans="1:53" s="67" customFormat="1" ht="16" thickBot="1">
      <c r="A64" s="70">
        <v>17</v>
      </c>
      <c r="B64" s="49">
        <f>資料儲存!D4368</f>
        <v>0</v>
      </c>
      <c r="C64" s="49">
        <f>資料儲存!E4368</f>
        <v>0</v>
      </c>
      <c r="D64" s="49">
        <f>資料儲存!F4368</f>
        <v>0</v>
      </c>
      <c r="E64" s="49">
        <f>資料儲存!G4368</f>
        <v>0</v>
      </c>
      <c r="F64" s="49">
        <f>資料儲存!H4368</f>
        <v>0</v>
      </c>
      <c r="G64" s="49">
        <f>資料儲存!I4368</f>
        <v>0</v>
      </c>
      <c r="H64" s="49">
        <f>資料儲存!J4368</f>
        <v>0</v>
      </c>
      <c r="I64" s="52"/>
      <c r="J64" s="70">
        <v>17</v>
      </c>
      <c r="K64" s="49">
        <f>資料儲存!D4428</f>
        <v>0</v>
      </c>
      <c r="L64" s="49">
        <f>資料儲存!E4428</f>
        <v>0</v>
      </c>
      <c r="M64" s="49">
        <f>資料儲存!F4428</f>
        <v>0</v>
      </c>
      <c r="N64" s="49">
        <f>資料儲存!G4428</f>
        <v>0</v>
      </c>
      <c r="O64" s="49">
        <f>資料儲存!H4428</f>
        <v>0</v>
      </c>
      <c r="P64" s="49">
        <f>資料儲存!I4428</f>
        <v>0</v>
      </c>
      <c r="Q64" s="49">
        <f>資料儲存!J4428</f>
        <v>0</v>
      </c>
      <c r="R64" s="52"/>
      <c r="S64" s="70">
        <v>17</v>
      </c>
      <c r="T64" s="49">
        <f>資料儲存!D4488</f>
        <v>0</v>
      </c>
      <c r="U64" s="49">
        <f>資料儲存!E4488</f>
        <v>0</v>
      </c>
      <c r="V64" s="49">
        <f>資料儲存!F4488</f>
        <v>0</v>
      </c>
      <c r="W64" s="49">
        <f>資料儲存!G4488</f>
        <v>0</v>
      </c>
      <c r="X64" s="49">
        <f>資料儲存!H4488</f>
        <v>0</v>
      </c>
      <c r="Y64" s="49">
        <f>資料儲存!I4488</f>
        <v>0</v>
      </c>
      <c r="Z64" s="49">
        <f>資料儲存!J4488</f>
        <v>0</v>
      </c>
      <c r="AA64" s="52"/>
      <c r="AB64" s="70">
        <v>17</v>
      </c>
      <c r="AC64" s="49">
        <f>資料儲存!D4548</f>
        <v>0</v>
      </c>
      <c r="AD64" s="49">
        <f>資料儲存!E4548</f>
        <v>0</v>
      </c>
      <c r="AE64" s="49">
        <f>資料儲存!F4548</f>
        <v>0</v>
      </c>
      <c r="AF64" s="49">
        <f>資料儲存!G4548</f>
        <v>0</v>
      </c>
      <c r="AG64" s="49">
        <f>資料儲存!H4548</f>
        <v>0</v>
      </c>
      <c r="AH64" s="49">
        <f>資料儲存!I4548</f>
        <v>0</v>
      </c>
      <c r="AI64" s="49">
        <f>資料儲存!J4548</f>
        <v>0</v>
      </c>
      <c r="AJ64" s="52"/>
      <c r="AK64" s="70">
        <v>17</v>
      </c>
      <c r="AL64" s="49">
        <f>資料儲存!D4608</f>
        <v>0</v>
      </c>
      <c r="AM64" s="49">
        <f>資料儲存!E4608</f>
        <v>0</v>
      </c>
      <c r="AN64" s="49">
        <f>資料儲存!F4608</f>
        <v>0</v>
      </c>
      <c r="AO64" s="49">
        <f>資料儲存!G4608</f>
        <v>0</v>
      </c>
      <c r="AP64" s="49">
        <f>資料儲存!H4608</f>
        <v>0</v>
      </c>
      <c r="AQ64" s="49">
        <f>資料儲存!I4608</f>
        <v>0</v>
      </c>
      <c r="AR64" s="49">
        <f>資料儲存!J4608</f>
        <v>0</v>
      </c>
      <c r="AT64" s="70">
        <v>17</v>
      </c>
      <c r="AU64" s="49">
        <f>資料儲存!D4668</f>
        <v>0</v>
      </c>
      <c r="AV64" s="49">
        <f>資料儲存!E4668</f>
        <v>0</v>
      </c>
      <c r="AW64" s="49">
        <f>資料儲存!F4668</f>
        <v>0</v>
      </c>
      <c r="AX64" s="49">
        <f>資料儲存!G4668</f>
        <v>0</v>
      </c>
      <c r="AY64" s="49">
        <f>資料儲存!H4668</f>
        <v>0</v>
      </c>
      <c r="AZ64" s="49">
        <f>資料儲存!I4668</f>
        <v>0</v>
      </c>
      <c r="BA64" s="49">
        <f>資料儲存!J4668</f>
        <v>0</v>
      </c>
    </row>
    <row r="65" spans="1:53" s="67" customFormat="1" ht="16" thickBot="1">
      <c r="A65" s="70">
        <v>18</v>
      </c>
      <c r="B65" s="49">
        <f>資料儲存!D4369</f>
        <v>0</v>
      </c>
      <c r="C65" s="49">
        <f>資料儲存!E4369</f>
        <v>0</v>
      </c>
      <c r="D65" s="49">
        <f>資料儲存!F4369</f>
        <v>0</v>
      </c>
      <c r="E65" s="49">
        <f>資料儲存!G4369</f>
        <v>0</v>
      </c>
      <c r="F65" s="49">
        <f>資料儲存!H4369</f>
        <v>0</v>
      </c>
      <c r="G65" s="49">
        <f>資料儲存!I4369</f>
        <v>0</v>
      </c>
      <c r="H65" s="49">
        <f>資料儲存!J4369</f>
        <v>0</v>
      </c>
      <c r="I65" s="52"/>
      <c r="J65" s="70">
        <v>18</v>
      </c>
      <c r="K65" s="49">
        <f>資料儲存!D4429</f>
        <v>0</v>
      </c>
      <c r="L65" s="49">
        <f>資料儲存!E4429</f>
        <v>0</v>
      </c>
      <c r="M65" s="49">
        <f>資料儲存!F4429</f>
        <v>0</v>
      </c>
      <c r="N65" s="49">
        <f>資料儲存!G4429</f>
        <v>0</v>
      </c>
      <c r="O65" s="49">
        <f>資料儲存!H4429</f>
        <v>0</v>
      </c>
      <c r="P65" s="49">
        <f>資料儲存!I4429</f>
        <v>0</v>
      </c>
      <c r="Q65" s="49">
        <f>資料儲存!J4429</f>
        <v>0</v>
      </c>
      <c r="R65" s="52"/>
      <c r="S65" s="70">
        <v>18</v>
      </c>
      <c r="T65" s="49">
        <f>資料儲存!D4489</f>
        <v>0</v>
      </c>
      <c r="U65" s="49">
        <f>資料儲存!E4489</f>
        <v>0</v>
      </c>
      <c r="V65" s="49">
        <f>資料儲存!F4489</f>
        <v>0</v>
      </c>
      <c r="W65" s="49">
        <f>資料儲存!G4489</f>
        <v>0</v>
      </c>
      <c r="X65" s="49">
        <f>資料儲存!H4489</f>
        <v>0</v>
      </c>
      <c r="Y65" s="49">
        <f>資料儲存!I4489</f>
        <v>0</v>
      </c>
      <c r="Z65" s="49">
        <f>資料儲存!J4489</f>
        <v>0</v>
      </c>
      <c r="AA65" s="52"/>
      <c r="AB65" s="70">
        <v>18</v>
      </c>
      <c r="AC65" s="49">
        <f>資料儲存!D4549</f>
        <v>0</v>
      </c>
      <c r="AD65" s="49">
        <f>資料儲存!E4549</f>
        <v>0</v>
      </c>
      <c r="AE65" s="49">
        <f>資料儲存!F4549</f>
        <v>0</v>
      </c>
      <c r="AF65" s="49">
        <f>資料儲存!G4549</f>
        <v>0</v>
      </c>
      <c r="AG65" s="49">
        <f>資料儲存!H4549</f>
        <v>0</v>
      </c>
      <c r="AH65" s="49">
        <f>資料儲存!I4549</f>
        <v>0</v>
      </c>
      <c r="AI65" s="49">
        <f>資料儲存!J4549</f>
        <v>0</v>
      </c>
      <c r="AJ65" s="52"/>
      <c r="AK65" s="70">
        <v>18</v>
      </c>
      <c r="AL65" s="49">
        <f>資料儲存!D4609</f>
        <v>0</v>
      </c>
      <c r="AM65" s="49">
        <f>資料儲存!E4609</f>
        <v>0</v>
      </c>
      <c r="AN65" s="49">
        <f>資料儲存!F4609</f>
        <v>0</v>
      </c>
      <c r="AO65" s="49">
        <f>資料儲存!G4609</f>
        <v>0</v>
      </c>
      <c r="AP65" s="49">
        <f>資料儲存!H4609</f>
        <v>0</v>
      </c>
      <c r="AQ65" s="49">
        <f>資料儲存!I4609</f>
        <v>0</v>
      </c>
      <c r="AR65" s="49">
        <f>資料儲存!J4609</f>
        <v>0</v>
      </c>
      <c r="AT65" s="70">
        <v>18</v>
      </c>
      <c r="AU65" s="49">
        <f>資料儲存!D4669</f>
        <v>0</v>
      </c>
      <c r="AV65" s="49">
        <f>資料儲存!E4669</f>
        <v>0</v>
      </c>
      <c r="AW65" s="49">
        <f>資料儲存!F4669</f>
        <v>0</v>
      </c>
      <c r="AX65" s="49">
        <f>資料儲存!G4669</f>
        <v>0</v>
      </c>
      <c r="AY65" s="49">
        <f>資料儲存!H4669</f>
        <v>0</v>
      </c>
      <c r="AZ65" s="49">
        <f>資料儲存!I4669</f>
        <v>0</v>
      </c>
      <c r="BA65" s="49">
        <f>資料儲存!J4669</f>
        <v>0</v>
      </c>
    </row>
    <row r="66" spans="1:53" s="67" customFormat="1" ht="16" thickBot="1">
      <c r="A66" s="70">
        <v>19</v>
      </c>
      <c r="B66" s="49">
        <f>資料儲存!D4370</f>
        <v>0</v>
      </c>
      <c r="C66" s="49">
        <f>資料儲存!E4370</f>
        <v>0</v>
      </c>
      <c r="D66" s="49">
        <f>資料儲存!F4370</f>
        <v>0</v>
      </c>
      <c r="E66" s="49">
        <f>資料儲存!G4370</f>
        <v>0</v>
      </c>
      <c r="F66" s="49">
        <f>資料儲存!H4370</f>
        <v>0</v>
      </c>
      <c r="G66" s="49">
        <f>資料儲存!I4370</f>
        <v>0</v>
      </c>
      <c r="H66" s="49">
        <f>資料儲存!J4370</f>
        <v>0</v>
      </c>
      <c r="I66" s="52"/>
      <c r="J66" s="70">
        <v>19</v>
      </c>
      <c r="K66" s="49">
        <f>資料儲存!D4430</f>
        <v>0</v>
      </c>
      <c r="L66" s="49">
        <f>資料儲存!E4430</f>
        <v>0</v>
      </c>
      <c r="M66" s="49">
        <f>資料儲存!F4430</f>
        <v>0</v>
      </c>
      <c r="N66" s="49">
        <f>資料儲存!G4430</f>
        <v>0</v>
      </c>
      <c r="O66" s="49">
        <f>資料儲存!H4430</f>
        <v>0</v>
      </c>
      <c r="P66" s="49">
        <f>資料儲存!I4430</f>
        <v>0</v>
      </c>
      <c r="Q66" s="49">
        <f>資料儲存!J4430</f>
        <v>0</v>
      </c>
      <c r="R66" s="52"/>
      <c r="S66" s="70">
        <v>19</v>
      </c>
      <c r="T66" s="49">
        <f>資料儲存!D4490</f>
        <v>0</v>
      </c>
      <c r="U66" s="49">
        <f>資料儲存!E4490</f>
        <v>0</v>
      </c>
      <c r="V66" s="49">
        <f>資料儲存!F4490</f>
        <v>0</v>
      </c>
      <c r="W66" s="49">
        <f>資料儲存!G4490</f>
        <v>0</v>
      </c>
      <c r="X66" s="49">
        <f>資料儲存!H4490</f>
        <v>0</v>
      </c>
      <c r="Y66" s="49">
        <f>資料儲存!I4490</f>
        <v>0</v>
      </c>
      <c r="Z66" s="49">
        <f>資料儲存!J4490</f>
        <v>0</v>
      </c>
      <c r="AA66" s="52"/>
      <c r="AB66" s="70">
        <v>19</v>
      </c>
      <c r="AC66" s="49">
        <f>資料儲存!D4550</f>
        <v>0</v>
      </c>
      <c r="AD66" s="49">
        <f>資料儲存!E4550</f>
        <v>0</v>
      </c>
      <c r="AE66" s="49">
        <f>資料儲存!F4550</f>
        <v>0</v>
      </c>
      <c r="AF66" s="49">
        <f>資料儲存!G4550</f>
        <v>0</v>
      </c>
      <c r="AG66" s="49">
        <f>資料儲存!H4550</f>
        <v>0</v>
      </c>
      <c r="AH66" s="49">
        <f>資料儲存!I4550</f>
        <v>0</v>
      </c>
      <c r="AI66" s="49">
        <f>資料儲存!J4550</f>
        <v>0</v>
      </c>
      <c r="AJ66" s="52"/>
      <c r="AK66" s="70">
        <v>19</v>
      </c>
      <c r="AL66" s="49">
        <f>資料儲存!D4610</f>
        <v>0</v>
      </c>
      <c r="AM66" s="49">
        <f>資料儲存!E4610</f>
        <v>0</v>
      </c>
      <c r="AN66" s="49">
        <f>資料儲存!F4610</f>
        <v>0</v>
      </c>
      <c r="AO66" s="49">
        <f>資料儲存!G4610</f>
        <v>0</v>
      </c>
      <c r="AP66" s="49">
        <f>資料儲存!H4610</f>
        <v>0</v>
      </c>
      <c r="AQ66" s="49">
        <f>資料儲存!I4610</f>
        <v>0</v>
      </c>
      <c r="AR66" s="49">
        <f>資料儲存!J4610</f>
        <v>0</v>
      </c>
      <c r="AT66" s="70">
        <v>19</v>
      </c>
      <c r="AU66" s="49">
        <f>資料儲存!D4670</f>
        <v>0</v>
      </c>
      <c r="AV66" s="49">
        <f>資料儲存!E4670</f>
        <v>0</v>
      </c>
      <c r="AW66" s="49">
        <f>資料儲存!F4670</f>
        <v>0</v>
      </c>
      <c r="AX66" s="49">
        <f>資料儲存!G4670</f>
        <v>0</v>
      </c>
      <c r="AY66" s="49">
        <f>資料儲存!H4670</f>
        <v>0</v>
      </c>
      <c r="AZ66" s="49">
        <f>資料儲存!I4670</f>
        <v>0</v>
      </c>
      <c r="BA66" s="49">
        <f>資料儲存!J4670</f>
        <v>0</v>
      </c>
    </row>
    <row r="67" spans="1:53" s="67" customFormat="1" ht="16" thickBot="1">
      <c r="A67" s="70">
        <v>20</v>
      </c>
      <c r="B67" s="49">
        <f>資料儲存!D4371</f>
        <v>0</v>
      </c>
      <c r="C67" s="49">
        <f>資料儲存!E4371</f>
        <v>0</v>
      </c>
      <c r="D67" s="49">
        <f>資料儲存!F4371</f>
        <v>0</v>
      </c>
      <c r="E67" s="49">
        <f>資料儲存!G4371</f>
        <v>0</v>
      </c>
      <c r="F67" s="49">
        <f>資料儲存!H4371</f>
        <v>0</v>
      </c>
      <c r="G67" s="49">
        <f>資料儲存!I4371</f>
        <v>0</v>
      </c>
      <c r="H67" s="49">
        <f>資料儲存!J4371</f>
        <v>0</v>
      </c>
      <c r="I67" s="52"/>
      <c r="J67" s="70">
        <v>20</v>
      </c>
      <c r="K67" s="49">
        <f>資料儲存!D4431</f>
        <v>0</v>
      </c>
      <c r="L67" s="49">
        <f>資料儲存!E4431</f>
        <v>0</v>
      </c>
      <c r="M67" s="49">
        <f>資料儲存!F4431</f>
        <v>0</v>
      </c>
      <c r="N67" s="49">
        <f>資料儲存!G4431</f>
        <v>0</v>
      </c>
      <c r="O67" s="49">
        <f>資料儲存!H4431</f>
        <v>0</v>
      </c>
      <c r="P67" s="49">
        <f>資料儲存!I4431</f>
        <v>0</v>
      </c>
      <c r="Q67" s="49">
        <f>資料儲存!J4431</f>
        <v>0</v>
      </c>
      <c r="R67" s="52"/>
      <c r="S67" s="70">
        <v>20</v>
      </c>
      <c r="T67" s="49">
        <f>資料儲存!D4491</f>
        <v>0</v>
      </c>
      <c r="U67" s="49">
        <f>資料儲存!E4491</f>
        <v>0</v>
      </c>
      <c r="V67" s="49">
        <f>資料儲存!F4491</f>
        <v>0</v>
      </c>
      <c r="W67" s="49">
        <f>資料儲存!G4491</f>
        <v>0</v>
      </c>
      <c r="X67" s="49">
        <f>資料儲存!H4491</f>
        <v>0</v>
      </c>
      <c r="Y67" s="49">
        <f>資料儲存!I4491</f>
        <v>0</v>
      </c>
      <c r="Z67" s="49">
        <f>資料儲存!J4491</f>
        <v>0</v>
      </c>
      <c r="AA67" s="52"/>
      <c r="AB67" s="70">
        <v>20</v>
      </c>
      <c r="AC67" s="49">
        <f>資料儲存!D4551</f>
        <v>0</v>
      </c>
      <c r="AD67" s="49">
        <f>資料儲存!E4551</f>
        <v>0</v>
      </c>
      <c r="AE67" s="49">
        <f>資料儲存!F4551</f>
        <v>0</v>
      </c>
      <c r="AF67" s="49">
        <f>資料儲存!G4551</f>
        <v>0</v>
      </c>
      <c r="AG67" s="49">
        <f>資料儲存!H4551</f>
        <v>0</v>
      </c>
      <c r="AH67" s="49">
        <f>資料儲存!I4551</f>
        <v>0</v>
      </c>
      <c r="AI67" s="49">
        <f>資料儲存!J4551</f>
        <v>0</v>
      </c>
      <c r="AJ67" s="52"/>
      <c r="AK67" s="70">
        <v>20</v>
      </c>
      <c r="AL67" s="49">
        <f>資料儲存!D4611</f>
        <v>0</v>
      </c>
      <c r="AM67" s="49">
        <f>資料儲存!E4611</f>
        <v>0</v>
      </c>
      <c r="AN67" s="49">
        <f>資料儲存!F4611</f>
        <v>0</v>
      </c>
      <c r="AO67" s="49">
        <f>資料儲存!G4611</f>
        <v>0</v>
      </c>
      <c r="AP67" s="49">
        <f>資料儲存!H4611</f>
        <v>0</v>
      </c>
      <c r="AQ67" s="49">
        <f>資料儲存!I4611</f>
        <v>0</v>
      </c>
      <c r="AR67" s="49">
        <f>資料儲存!J4611</f>
        <v>0</v>
      </c>
      <c r="AT67" s="70">
        <v>20</v>
      </c>
      <c r="AU67" s="49">
        <f>資料儲存!D4671</f>
        <v>0</v>
      </c>
      <c r="AV67" s="49">
        <f>資料儲存!E4671</f>
        <v>0</v>
      </c>
      <c r="AW67" s="49">
        <f>資料儲存!F4671</f>
        <v>0</v>
      </c>
      <c r="AX67" s="49">
        <f>資料儲存!G4671</f>
        <v>0</v>
      </c>
      <c r="AY67" s="49">
        <f>資料儲存!H4671</f>
        <v>0</v>
      </c>
      <c r="AZ67" s="49">
        <f>資料儲存!I4671</f>
        <v>0</v>
      </c>
      <c r="BA67" s="49">
        <f>資料儲存!J4671</f>
        <v>0</v>
      </c>
    </row>
    <row r="68" spans="1:53" s="67" customFormat="1" ht="16" thickBot="1">
      <c r="A68" s="70">
        <v>21</v>
      </c>
      <c r="B68" s="49">
        <f>資料儲存!D4372</f>
        <v>0</v>
      </c>
      <c r="C68" s="49">
        <f>資料儲存!E4372</f>
        <v>0</v>
      </c>
      <c r="D68" s="49">
        <f>資料儲存!F4372</f>
        <v>0</v>
      </c>
      <c r="E68" s="49">
        <f>資料儲存!G4372</f>
        <v>0</v>
      </c>
      <c r="F68" s="49">
        <f>資料儲存!H4372</f>
        <v>0</v>
      </c>
      <c r="G68" s="49">
        <f>資料儲存!I4372</f>
        <v>0</v>
      </c>
      <c r="H68" s="49">
        <f>資料儲存!J4372</f>
        <v>0</v>
      </c>
      <c r="I68" s="52"/>
      <c r="J68" s="70">
        <v>21</v>
      </c>
      <c r="K68" s="49">
        <f>資料儲存!D4432</f>
        <v>0</v>
      </c>
      <c r="L68" s="49">
        <f>資料儲存!E4432</f>
        <v>0</v>
      </c>
      <c r="M68" s="49">
        <f>資料儲存!F4432</f>
        <v>0</v>
      </c>
      <c r="N68" s="49">
        <f>資料儲存!G4432</f>
        <v>0</v>
      </c>
      <c r="O68" s="49">
        <f>資料儲存!H4432</f>
        <v>0</v>
      </c>
      <c r="P68" s="49">
        <f>資料儲存!I4432</f>
        <v>0</v>
      </c>
      <c r="Q68" s="49">
        <f>資料儲存!J4432</f>
        <v>0</v>
      </c>
      <c r="R68" s="52"/>
      <c r="S68" s="70">
        <v>21</v>
      </c>
      <c r="T68" s="49">
        <f>資料儲存!D4492</f>
        <v>0</v>
      </c>
      <c r="U68" s="49">
        <f>資料儲存!E4492</f>
        <v>0</v>
      </c>
      <c r="V68" s="49">
        <f>資料儲存!F4492</f>
        <v>0</v>
      </c>
      <c r="W68" s="49">
        <f>資料儲存!G4492</f>
        <v>0</v>
      </c>
      <c r="X68" s="49">
        <f>資料儲存!H4492</f>
        <v>0</v>
      </c>
      <c r="Y68" s="49">
        <f>資料儲存!I4492</f>
        <v>0</v>
      </c>
      <c r="Z68" s="49">
        <f>資料儲存!J4492</f>
        <v>0</v>
      </c>
      <c r="AA68" s="52"/>
      <c r="AB68" s="70">
        <v>21</v>
      </c>
      <c r="AC68" s="49">
        <f>資料儲存!D4552</f>
        <v>0</v>
      </c>
      <c r="AD68" s="49">
        <f>資料儲存!E4552</f>
        <v>0</v>
      </c>
      <c r="AE68" s="49">
        <f>資料儲存!F4552</f>
        <v>0</v>
      </c>
      <c r="AF68" s="49">
        <f>資料儲存!G4552</f>
        <v>0</v>
      </c>
      <c r="AG68" s="49">
        <f>資料儲存!H4552</f>
        <v>0</v>
      </c>
      <c r="AH68" s="49">
        <f>資料儲存!I4552</f>
        <v>0</v>
      </c>
      <c r="AI68" s="49">
        <f>資料儲存!J4552</f>
        <v>0</v>
      </c>
      <c r="AJ68" s="52"/>
      <c r="AK68" s="70">
        <v>21</v>
      </c>
      <c r="AL68" s="49">
        <f>資料儲存!D4612</f>
        <v>0</v>
      </c>
      <c r="AM68" s="49">
        <f>資料儲存!E4612</f>
        <v>0</v>
      </c>
      <c r="AN68" s="49">
        <f>資料儲存!F4612</f>
        <v>0</v>
      </c>
      <c r="AO68" s="49">
        <f>資料儲存!G4612</f>
        <v>0</v>
      </c>
      <c r="AP68" s="49">
        <f>資料儲存!H4612</f>
        <v>0</v>
      </c>
      <c r="AQ68" s="49">
        <f>資料儲存!I4612</f>
        <v>0</v>
      </c>
      <c r="AR68" s="49">
        <f>資料儲存!J4612</f>
        <v>0</v>
      </c>
      <c r="AT68" s="70">
        <v>21</v>
      </c>
      <c r="AU68" s="49">
        <f>資料儲存!D4672</f>
        <v>0</v>
      </c>
      <c r="AV68" s="49">
        <f>資料儲存!E4672</f>
        <v>0</v>
      </c>
      <c r="AW68" s="49">
        <f>資料儲存!F4672</f>
        <v>0</v>
      </c>
      <c r="AX68" s="49">
        <f>資料儲存!G4672</f>
        <v>0</v>
      </c>
      <c r="AY68" s="49">
        <f>資料儲存!H4672</f>
        <v>0</v>
      </c>
      <c r="AZ68" s="49">
        <f>資料儲存!I4672</f>
        <v>0</v>
      </c>
      <c r="BA68" s="49">
        <f>資料儲存!J4672</f>
        <v>0</v>
      </c>
    </row>
    <row r="69" spans="1:53" s="67" customFormat="1" ht="16" thickBot="1">
      <c r="A69" s="70">
        <v>22</v>
      </c>
      <c r="B69" s="49">
        <f>資料儲存!D4373</f>
        <v>0</v>
      </c>
      <c r="C69" s="49">
        <f>資料儲存!E4373</f>
        <v>0</v>
      </c>
      <c r="D69" s="49">
        <f>資料儲存!F4373</f>
        <v>0</v>
      </c>
      <c r="E69" s="49">
        <f>資料儲存!G4373</f>
        <v>0</v>
      </c>
      <c r="F69" s="49">
        <f>資料儲存!H4373</f>
        <v>0</v>
      </c>
      <c r="G69" s="49">
        <f>資料儲存!I4373</f>
        <v>0</v>
      </c>
      <c r="H69" s="49">
        <f>資料儲存!J4373</f>
        <v>0</v>
      </c>
      <c r="I69" s="52"/>
      <c r="J69" s="70">
        <v>22</v>
      </c>
      <c r="K69" s="49">
        <f>資料儲存!D4433</f>
        <v>0</v>
      </c>
      <c r="L69" s="49">
        <f>資料儲存!E4433</f>
        <v>0</v>
      </c>
      <c r="M69" s="49">
        <f>資料儲存!F4433</f>
        <v>0</v>
      </c>
      <c r="N69" s="49">
        <f>資料儲存!G4433</f>
        <v>0</v>
      </c>
      <c r="O69" s="49">
        <f>資料儲存!H4433</f>
        <v>0</v>
      </c>
      <c r="P69" s="49">
        <f>資料儲存!I4433</f>
        <v>0</v>
      </c>
      <c r="Q69" s="49">
        <f>資料儲存!J4433</f>
        <v>0</v>
      </c>
      <c r="R69" s="52"/>
      <c r="S69" s="70">
        <v>22</v>
      </c>
      <c r="T69" s="49">
        <f>資料儲存!D4493</f>
        <v>0</v>
      </c>
      <c r="U69" s="49">
        <f>資料儲存!E4493</f>
        <v>0</v>
      </c>
      <c r="V69" s="49">
        <f>資料儲存!F4493</f>
        <v>0</v>
      </c>
      <c r="W69" s="49">
        <f>資料儲存!G4493</f>
        <v>0</v>
      </c>
      <c r="X69" s="49">
        <f>資料儲存!H4493</f>
        <v>0</v>
      </c>
      <c r="Y69" s="49">
        <f>資料儲存!I4493</f>
        <v>0</v>
      </c>
      <c r="Z69" s="49">
        <f>資料儲存!J4493</f>
        <v>0</v>
      </c>
      <c r="AA69" s="52"/>
      <c r="AB69" s="70">
        <v>22</v>
      </c>
      <c r="AC69" s="49">
        <f>資料儲存!D4553</f>
        <v>0</v>
      </c>
      <c r="AD69" s="49">
        <f>資料儲存!E4553</f>
        <v>0</v>
      </c>
      <c r="AE69" s="49">
        <f>資料儲存!F4553</f>
        <v>0</v>
      </c>
      <c r="AF69" s="49">
        <f>資料儲存!G4553</f>
        <v>0</v>
      </c>
      <c r="AG69" s="49">
        <f>資料儲存!H4553</f>
        <v>0</v>
      </c>
      <c r="AH69" s="49">
        <f>資料儲存!I4553</f>
        <v>0</v>
      </c>
      <c r="AI69" s="49">
        <f>資料儲存!J4553</f>
        <v>0</v>
      </c>
      <c r="AJ69" s="52"/>
      <c r="AK69" s="70">
        <v>22</v>
      </c>
      <c r="AL69" s="49">
        <f>資料儲存!D4613</f>
        <v>0</v>
      </c>
      <c r="AM69" s="49">
        <f>資料儲存!E4613</f>
        <v>0</v>
      </c>
      <c r="AN69" s="49">
        <f>資料儲存!F4613</f>
        <v>0</v>
      </c>
      <c r="AO69" s="49">
        <f>資料儲存!G4613</f>
        <v>0</v>
      </c>
      <c r="AP69" s="49">
        <f>資料儲存!H4613</f>
        <v>0</v>
      </c>
      <c r="AQ69" s="49">
        <f>資料儲存!I4613</f>
        <v>0</v>
      </c>
      <c r="AR69" s="49">
        <f>資料儲存!J4613</f>
        <v>0</v>
      </c>
      <c r="AT69" s="70">
        <v>22</v>
      </c>
      <c r="AU69" s="49">
        <f>資料儲存!D4673</f>
        <v>0</v>
      </c>
      <c r="AV69" s="49">
        <f>資料儲存!E4673</f>
        <v>0</v>
      </c>
      <c r="AW69" s="49">
        <f>資料儲存!F4673</f>
        <v>0</v>
      </c>
      <c r="AX69" s="49">
        <f>資料儲存!G4673</f>
        <v>0</v>
      </c>
      <c r="AY69" s="49">
        <f>資料儲存!H4673</f>
        <v>0</v>
      </c>
      <c r="AZ69" s="49">
        <f>資料儲存!I4673</f>
        <v>0</v>
      </c>
      <c r="BA69" s="49">
        <f>資料儲存!J4673</f>
        <v>0</v>
      </c>
    </row>
    <row r="70" spans="1:53" s="67" customFormat="1" ht="16" thickBot="1">
      <c r="A70" s="70">
        <v>23</v>
      </c>
      <c r="B70" s="49">
        <f>資料儲存!D4374</f>
        <v>0</v>
      </c>
      <c r="C70" s="49">
        <f>資料儲存!E4374</f>
        <v>0</v>
      </c>
      <c r="D70" s="49">
        <f>資料儲存!F4374</f>
        <v>0</v>
      </c>
      <c r="E70" s="49">
        <f>資料儲存!G4374</f>
        <v>0</v>
      </c>
      <c r="F70" s="49">
        <f>資料儲存!H4374</f>
        <v>0</v>
      </c>
      <c r="G70" s="49">
        <f>資料儲存!I4374</f>
        <v>0</v>
      </c>
      <c r="H70" s="49">
        <f>資料儲存!J4374</f>
        <v>0</v>
      </c>
      <c r="I70" s="52"/>
      <c r="J70" s="70">
        <v>23</v>
      </c>
      <c r="K70" s="49">
        <f>資料儲存!D4434</f>
        <v>0</v>
      </c>
      <c r="L70" s="49">
        <f>資料儲存!E4434</f>
        <v>0</v>
      </c>
      <c r="M70" s="49">
        <f>資料儲存!F4434</f>
        <v>0</v>
      </c>
      <c r="N70" s="49">
        <f>資料儲存!G4434</f>
        <v>0</v>
      </c>
      <c r="O70" s="49">
        <f>資料儲存!H4434</f>
        <v>0</v>
      </c>
      <c r="P70" s="49">
        <f>資料儲存!I4434</f>
        <v>0</v>
      </c>
      <c r="Q70" s="49">
        <f>資料儲存!J4434</f>
        <v>0</v>
      </c>
      <c r="R70" s="52"/>
      <c r="S70" s="70">
        <v>23</v>
      </c>
      <c r="T70" s="49">
        <f>資料儲存!D4494</f>
        <v>0</v>
      </c>
      <c r="U70" s="49">
        <f>資料儲存!E4494</f>
        <v>0</v>
      </c>
      <c r="V70" s="49">
        <f>資料儲存!F4494</f>
        <v>0</v>
      </c>
      <c r="W70" s="49">
        <f>資料儲存!G4494</f>
        <v>0</v>
      </c>
      <c r="X70" s="49">
        <f>資料儲存!H4494</f>
        <v>0</v>
      </c>
      <c r="Y70" s="49">
        <f>資料儲存!I4494</f>
        <v>0</v>
      </c>
      <c r="Z70" s="49">
        <f>資料儲存!J4494</f>
        <v>0</v>
      </c>
      <c r="AA70" s="52"/>
      <c r="AB70" s="70">
        <v>23</v>
      </c>
      <c r="AC70" s="49">
        <f>資料儲存!D4554</f>
        <v>0</v>
      </c>
      <c r="AD70" s="49">
        <f>資料儲存!E4554</f>
        <v>0</v>
      </c>
      <c r="AE70" s="49">
        <f>資料儲存!F4554</f>
        <v>0</v>
      </c>
      <c r="AF70" s="49">
        <f>資料儲存!G4554</f>
        <v>0</v>
      </c>
      <c r="AG70" s="49">
        <f>資料儲存!H4554</f>
        <v>0</v>
      </c>
      <c r="AH70" s="49">
        <f>資料儲存!I4554</f>
        <v>0</v>
      </c>
      <c r="AI70" s="49">
        <f>資料儲存!J4554</f>
        <v>0</v>
      </c>
      <c r="AJ70" s="52"/>
      <c r="AK70" s="70">
        <v>23</v>
      </c>
      <c r="AL70" s="49">
        <f>資料儲存!D4614</f>
        <v>0</v>
      </c>
      <c r="AM70" s="49">
        <f>資料儲存!E4614</f>
        <v>0</v>
      </c>
      <c r="AN70" s="49">
        <f>資料儲存!F4614</f>
        <v>0</v>
      </c>
      <c r="AO70" s="49">
        <f>資料儲存!G4614</f>
        <v>0</v>
      </c>
      <c r="AP70" s="49">
        <f>資料儲存!H4614</f>
        <v>0</v>
      </c>
      <c r="AQ70" s="49">
        <f>資料儲存!I4614</f>
        <v>0</v>
      </c>
      <c r="AR70" s="49">
        <f>資料儲存!J4614</f>
        <v>0</v>
      </c>
      <c r="AT70" s="70">
        <v>23</v>
      </c>
      <c r="AU70" s="49">
        <f>資料儲存!D4674</f>
        <v>0</v>
      </c>
      <c r="AV70" s="49">
        <f>資料儲存!E4674</f>
        <v>0</v>
      </c>
      <c r="AW70" s="49">
        <f>資料儲存!F4674</f>
        <v>0</v>
      </c>
      <c r="AX70" s="49">
        <f>資料儲存!G4674</f>
        <v>0</v>
      </c>
      <c r="AY70" s="49">
        <f>資料儲存!H4674</f>
        <v>0</v>
      </c>
      <c r="AZ70" s="49">
        <f>資料儲存!I4674</f>
        <v>0</v>
      </c>
      <c r="BA70" s="49">
        <f>資料儲存!J4674</f>
        <v>0</v>
      </c>
    </row>
    <row r="71" spans="1:53" s="67" customFormat="1" ht="16" thickBot="1">
      <c r="A71" s="70">
        <v>24</v>
      </c>
      <c r="B71" s="49">
        <f>資料儲存!D4375</f>
        <v>0</v>
      </c>
      <c r="C71" s="49">
        <f>資料儲存!E4375</f>
        <v>0</v>
      </c>
      <c r="D71" s="49">
        <f>資料儲存!F4375</f>
        <v>0</v>
      </c>
      <c r="E71" s="49">
        <f>資料儲存!G4375</f>
        <v>0</v>
      </c>
      <c r="F71" s="49">
        <f>資料儲存!H4375</f>
        <v>0</v>
      </c>
      <c r="G71" s="49">
        <f>資料儲存!I4375</f>
        <v>0</v>
      </c>
      <c r="H71" s="49">
        <f>資料儲存!J4375</f>
        <v>0</v>
      </c>
      <c r="I71" s="52"/>
      <c r="J71" s="70">
        <v>24</v>
      </c>
      <c r="K71" s="49">
        <f>資料儲存!D4435</f>
        <v>0</v>
      </c>
      <c r="L71" s="49">
        <f>資料儲存!E4435</f>
        <v>0</v>
      </c>
      <c r="M71" s="49">
        <f>資料儲存!F4435</f>
        <v>0</v>
      </c>
      <c r="N71" s="49">
        <f>資料儲存!G4435</f>
        <v>0</v>
      </c>
      <c r="O71" s="49">
        <f>資料儲存!H4435</f>
        <v>0</v>
      </c>
      <c r="P71" s="49">
        <f>資料儲存!I4435</f>
        <v>0</v>
      </c>
      <c r="Q71" s="49">
        <f>資料儲存!J4435</f>
        <v>0</v>
      </c>
      <c r="R71" s="52"/>
      <c r="S71" s="70">
        <v>24</v>
      </c>
      <c r="T71" s="49">
        <f>資料儲存!D4495</f>
        <v>0</v>
      </c>
      <c r="U71" s="49">
        <f>資料儲存!E4495</f>
        <v>0</v>
      </c>
      <c r="V71" s="49">
        <f>資料儲存!F4495</f>
        <v>0</v>
      </c>
      <c r="W71" s="49">
        <f>資料儲存!G4495</f>
        <v>0</v>
      </c>
      <c r="X71" s="49">
        <f>資料儲存!H4495</f>
        <v>0</v>
      </c>
      <c r="Y71" s="49">
        <f>資料儲存!I4495</f>
        <v>0</v>
      </c>
      <c r="Z71" s="49">
        <f>資料儲存!J4495</f>
        <v>0</v>
      </c>
      <c r="AA71" s="52"/>
      <c r="AB71" s="70">
        <v>24</v>
      </c>
      <c r="AC71" s="49">
        <f>資料儲存!D4555</f>
        <v>0</v>
      </c>
      <c r="AD71" s="49">
        <f>資料儲存!E4555</f>
        <v>0</v>
      </c>
      <c r="AE71" s="49">
        <f>資料儲存!F4555</f>
        <v>0</v>
      </c>
      <c r="AF71" s="49">
        <f>資料儲存!G4555</f>
        <v>0</v>
      </c>
      <c r="AG71" s="49">
        <f>資料儲存!H4555</f>
        <v>0</v>
      </c>
      <c r="AH71" s="49">
        <f>資料儲存!I4555</f>
        <v>0</v>
      </c>
      <c r="AI71" s="49">
        <f>資料儲存!J4555</f>
        <v>0</v>
      </c>
      <c r="AJ71" s="52"/>
      <c r="AK71" s="70">
        <v>24</v>
      </c>
      <c r="AL71" s="49">
        <f>資料儲存!D4615</f>
        <v>0</v>
      </c>
      <c r="AM71" s="49">
        <f>資料儲存!E4615</f>
        <v>0</v>
      </c>
      <c r="AN71" s="49">
        <f>資料儲存!F4615</f>
        <v>0</v>
      </c>
      <c r="AO71" s="49">
        <f>資料儲存!G4615</f>
        <v>0</v>
      </c>
      <c r="AP71" s="49">
        <f>資料儲存!H4615</f>
        <v>0</v>
      </c>
      <c r="AQ71" s="49">
        <f>資料儲存!I4615</f>
        <v>0</v>
      </c>
      <c r="AR71" s="49">
        <f>資料儲存!J4615</f>
        <v>0</v>
      </c>
      <c r="AT71" s="70">
        <v>24</v>
      </c>
      <c r="AU71" s="49">
        <f>資料儲存!D4675</f>
        <v>0</v>
      </c>
      <c r="AV71" s="49">
        <f>資料儲存!E4675</f>
        <v>0</v>
      </c>
      <c r="AW71" s="49">
        <f>資料儲存!F4675</f>
        <v>0</v>
      </c>
      <c r="AX71" s="49">
        <f>資料儲存!G4675</f>
        <v>0</v>
      </c>
      <c r="AY71" s="49">
        <f>資料儲存!H4675</f>
        <v>0</v>
      </c>
      <c r="AZ71" s="49">
        <f>資料儲存!I4675</f>
        <v>0</v>
      </c>
      <c r="BA71" s="49">
        <f>資料儲存!J4675</f>
        <v>0</v>
      </c>
    </row>
    <row r="72" spans="1:53" s="67" customFormat="1" ht="16" thickBot="1">
      <c r="A72" s="70">
        <v>25</v>
      </c>
      <c r="B72" s="49">
        <f>資料儲存!D4376</f>
        <v>0</v>
      </c>
      <c r="C72" s="49">
        <f>資料儲存!E4376</f>
        <v>0</v>
      </c>
      <c r="D72" s="49">
        <f>資料儲存!F4376</f>
        <v>0</v>
      </c>
      <c r="E72" s="49">
        <f>資料儲存!G4376</f>
        <v>0</v>
      </c>
      <c r="F72" s="49">
        <f>資料儲存!H4376</f>
        <v>0</v>
      </c>
      <c r="G72" s="49">
        <f>資料儲存!I4376</f>
        <v>0</v>
      </c>
      <c r="H72" s="49">
        <f>資料儲存!J4376</f>
        <v>0</v>
      </c>
      <c r="I72" s="52"/>
      <c r="J72" s="70">
        <v>25</v>
      </c>
      <c r="K72" s="49">
        <f>資料儲存!D4436</f>
        <v>0</v>
      </c>
      <c r="L72" s="49">
        <f>資料儲存!E4436</f>
        <v>0</v>
      </c>
      <c r="M72" s="49">
        <f>資料儲存!F4436</f>
        <v>0</v>
      </c>
      <c r="N72" s="49">
        <f>資料儲存!G4436</f>
        <v>0</v>
      </c>
      <c r="O72" s="49">
        <f>資料儲存!H4436</f>
        <v>0</v>
      </c>
      <c r="P72" s="49">
        <f>資料儲存!I4436</f>
        <v>0</v>
      </c>
      <c r="Q72" s="49">
        <f>資料儲存!J4436</f>
        <v>0</v>
      </c>
      <c r="R72" s="52"/>
      <c r="S72" s="70">
        <v>25</v>
      </c>
      <c r="T72" s="49">
        <f>資料儲存!D4496</f>
        <v>0</v>
      </c>
      <c r="U72" s="49">
        <f>資料儲存!E4496</f>
        <v>0</v>
      </c>
      <c r="V72" s="49">
        <f>資料儲存!F4496</f>
        <v>0</v>
      </c>
      <c r="W72" s="49">
        <f>資料儲存!G4496</f>
        <v>0</v>
      </c>
      <c r="X72" s="49">
        <f>資料儲存!H4496</f>
        <v>0</v>
      </c>
      <c r="Y72" s="49">
        <f>資料儲存!I4496</f>
        <v>0</v>
      </c>
      <c r="Z72" s="49">
        <f>資料儲存!J4496</f>
        <v>0</v>
      </c>
      <c r="AA72" s="52"/>
      <c r="AB72" s="70">
        <v>25</v>
      </c>
      <c r="AC72" s="49">
        <f>資料儲存!D4556</f>
        <v>0</v>
      </c>
      <c r="AD72" s="49">
        <f>資料儲存!E4556</f>
        <v>0</v>
      </c>
      <c r="AE72" s="49">
        <f>資料儲存!F4556</f>
        <v>0</v>
      </c>
      <c r="AF72" s="49">
        <f>資料儲存!G4556</f>
        <v>0</v>
      </c>
      <c r="AG72" s="49">
        <f>資料儲存!H4556</f>
        <v>0</v>
      </c>
      <c r="AH72" s="49">
        <f>資料儲存!I4556</f>
        <v>0</v>
      </c>
      <c r="AI72" s="49">
        <f>資料儲存!J4556</f>
        <v>0</v>
      </c>
      <c r="AJ72" s="52"/>
      <c r="AK72" s="70">
        <v>25</v>
      </c>
      <c r="AL72" s="49">
        <f>資料儲存!D4616</f>
        <v>0</v>
      </c>
      <c r="AM72" s="49">
        <f>資料儲存!E4616</f>
        <v>0</v>
      </c>
      <c r="AN72" s="49">
        <f>資料儲存!F4616</f>
        <v>0</v>
      </c>
      <c r="AO72" s="49">
        <f>資料儲存!G4616</f>
        <v>0</v>
      </c>
      <c r="AP72" s="49">
        <f>資料儲存!H4616</f>
        <v>0</v>
      </c>
      <c r="AQ72" s="49">
        <f>資料儲存!I4616</f>
        <v>0</v>
      </c>
      <c r="AR72" s="49">
        <f>資料儲存!J4616</f>
        <v>0</v>
      </c>
      <c r="AT72" s="70">
        <v>25</v>
      </c>
      <c r="AU72" s="49">
        <f>資料儲存!D4676</f>
        <v>0</v>
      </c>
      <c r="AV72" s="49">
        <f>資料儲存!E4676</f>
        <v>0</v>
      </c>
      <c r="AW72" s="49">
        <f>資料儲存!F4676</f>
        <v>0</v>
      </c>
      <c r="AX72" s="49">
        <f>資料儲存!G4676</f>
        <v>0</v>
      </c>
      <c r="AY72" s="49">
        <f>資料儲存!H4676</f>
        <v>0</v>
      </c>
      <c r="AZ72" s="49">
        <f>資料儲存!I4676</f>
        <v>0</v>
      </c>
      <c r="BA72" s="49">
        <f>資料儲存!J4676</f>
        <v>0</v>
      </c>
    </row>
    <row r="73" spans="1:53" s="67" customFormat="1" ht="16" thickBot="1">
      <c r="A73" s="70">
        <v>26</v>
      </c>
      <c r="B73" s="49">
        <f>資料儲存!D4377</f>
        <v>0</v>
      </c>
      <c r="C73" s="49">
        <f>資料儲存!E4377</f>
        <v>0</v>
      </c>
      <c r="D73" s="49">
        <f>資料儲存!F4377</f>
        <v>0</v>
      </c>
      <c r="E73" s="49">
        <f>資料儲存!G4377</f>
        <v>0</v>
      </c>
      <c r="F73" s="49">
        <f>資料儲存!H4377</f>
        <v>0</v>
      </c>
      <c r="G73" s="49">
        <f>資料儲存!I4377</f>
        <v>0</v>
      </c>
      <c r="H73" s="49">
        <f>資料儲存!J4377</f>
        <v>0</v>
      </c>
      <c r="I73" s="52"/>
      <c r="J73" s="70">
        <v>26</v>
      </c>
      <c r="K73" s="49">
        <f>資料儲存!D4437</f>
        <v>0</v>
      </c>
      <c r="L73" s="49">
        <f>資料儲存!E4437</f>
        <v>0</v>
      </c>
      <c r="M73" s="49">
        <f>資料儲存!F4437</f>
        <v>0</v>
      </c>
      <c r="N73" s="49">
        <f>資料儲存!G4437</f>
        <v>0</v>
      </c>
      <c r="O73" s="49">
        <f>資料儲存!H4437</f>
        <v>0</v>
      </c>
      <c r="P73" s="49">
        <f>資料儲存!I4437</f>
        <v>0</v>
      </c>
      <c r="Q73" s="49">
        <f>資料儲存!J4437</f>
        <v>0</v>
      </c>
      <c r="R73" s="52"/>
      <c r="S73" s="70">
        <v>26</v>
      </c>
      <c r="T73" s="49">
        <f>資料儲存!D4497</f>
        <v>0</v>
      </c>
      <c r="U73" s="49">
        <f>資料儲存!E4497</f>
        <v>0</v>
      </c>
      <c r="V73" s="49">
        <f>資料儲存!F4497</f>
        <v>0</v>
      </c>
      <c r="W73" s="49">
        <f>資料儲存!G4497</f>
        <v>0</v>
      </c>
      <c r="X73" s="49">
        <f>資料儲存!H4497</f>
        <v>0</v>
      </c>
      <c r="Y73" s="49">
        <f>資料儲存!I4497</f>
        <v>0</v>
      </c>
      <c r="Z73" s="49">
        <f>資料儲存!J4497</f>
        <v>0</v>
      </c>
      <c r="AA73" s="52"/>
      <c r="AB73" s="70">
        <v>26</v>
      </c>
      <c r="AC73" s="49">
        <f>資料儲存!D4557</f>
        <v>0</v>
      </c>
      <c r="AD73" s="49">
        <f>資料儲存!E4557</f>
        <v>0</v>
      </c>
      <c r="AE73" s="49">
        <f>資料儲存!F4557</f>
        <v>0</v>
      </c>
      <c r="AF73" s="49">
        <f>資料儲存!G4557</f>
        <v>0</v>
      </c>
      <c r="AG73" s="49">
        <f>資料儲存!H4557</f>
        <v>0</v>
      </c>
      <c r="AH73" s="49">
        <f>資料儲存!I4557</f>
        <v>0</v>
      </c>
      <c r="AI73" s="49">
        <f>資料儲存!J4557</f>
        <v>0</v>
      </c>
      <c r="AJ73" s="52"/>
      <c r="AK73" s="70">
        <v>26</v>
      </c>
      <c r="AL73" s="49">
        <f>資料儲存!D4617</f>
        <v>0</v>
      </c>
      <c r="AM73" s="49">
        <f>資料儲存!E4617</f>
        <v>0</v>
      </c>
      <c r="AN73" s="49">
        <f>資料儲存!F4617</f>
        <v>0</v>
      </c>
      <c r="AO73" s="49">
        <f>資料儲存!G4617</f>
        <v>0</v>
      </c>
      <c r="AP73" s="49">
        <f>資料儲存!H4617</f>
        <v>0</v>
      </c>
      <c r="AQ73" s="49">
        <f>資料儲存!I4617</f>
        <v>0</v>
      </c>
      <c r="AR73" s="49">
        <f>資料儲存!J4617</f>
        <v>0</v>
      </c>
      <c r="AT73" s="70">
        <v>26</v>
      </c>
      <c r="AU73" s="49">
        <f>資料儲存!D4677</f>
        <v>0</v>
      </c>
      <c r="AV73" s="49">
        <f>資料儲存!E4677</f>
        <v>0</v>
      </c>
      <c r="AW73" s="49">
        <f>資料儲存!F4677</f>
        <v>0</v>
      </c>
      <c r="AX73" s="49">
        <f>資料儲存!G4677</f>
        <v>0</v>
      </c>
      <c r="AY73" s="49">
        <f>資料儲存!H4677</f>
        <v>0</v>
      </c>
      <c r="AZ73" s="49">
        <f>資料儲存!I4677</f>
        <v>0</v>
      </c>
      <c r="BA73" s="49">
        <f>資料儲存!J4677</f>
        <v>0</v>
      </c>
    </row>
    <row r="74" spans="1:53" s="67" customFormat="1" ht="16" thickBot="1">
      <c r="A74" s="70">
        <v>27</v>
      </c>
      <c r="B74" s="49">
        <f>資料儲存!D4378</f>
        <v>0</v>
      </c>
      <c r="C74" s="49">
        <f>資料儲存!E4378</f>
        <v>0</v>
      </c>
      <c r="D74" s="49">
        <f>資料儲存!F4378</f>
        <v>0</v>
      </c>
      <c r="E74" s="49">
        <f>資料儲存!G4378</f>
        <v>0</v>
      </c>
      <c r="F74" s="49">
        <f>資料儲存!H4378</f>
        <v>0</v>
      </c>
      <c r="G74" s="49">
        <f>資料儲存!I4378</f>
        <v>0</v>
      </c>
      <c r="H74" s="49">
        <f>資料儲存!J4378</f>
        <v>0</v>
      </c>
      <c r="I74" s="52"/>
      <c r="J74" s="70">
        <v>27</v>
      </c>
      <c r="K74" s="49">
        <f>資料儲存!D4438</f>
        <v>0</v>
      </c>
      <c r="L74" s="49">
        <f>資料儲存!E4438</f>
        <v>0</v>
      </c>
      <c r="M74" s="49">
        <f>資料儲存!F4438</f>
        <v>0</v>
      </c>
      <c r="N74" s="49">
        <f>資料儲存!G4438</f>
        <v>0</v>
      </c>
      <c r="O74" s="49">
        <f>資料儲存!H4438</f>
        <v>0</v>
      </c>
      <c r="P74" s="49">
        <f>資料儲存!I4438</f>
        <v>0</v>
      </c>
      <c r="Q74" s="49">
        <f>資料儲存!J4438</f>
        <v>0</v>
      </c>
      <c r="R74" s="52"/>
      <c r="S74" s="70">
        <v>27</v>
      </c>
      <c r="T74" s="49">
        <f>資料儲存!D4498</f>
        <v>0</v>
      </c>
      <c r="U74" s="49">
        <f>資料儲存!E4498</f>
        <v>0</v>
      </c>
      <c r="V74" s="49">
        <f>資料儲存!F4498</f>
        <v>0</v>
      </c>
      <c r="W74" s="49">
        <f>資料儲存!G4498</f>
        <v>0</v>
      </c>
      <c r="X74" s="49">
        <f>資料儲存!H4498</f>
        <v>0</v>
      </c>
      <c r="Y74" s="49">
        <f>資料儲存!I4498</f>
        <v>0</v>
      </c>
      <c r="Z74" s="49">
        <f>資料儲存!J4498</f>
        <v>0</v>
      </c>
      <c r="AA74" s="52"/>
      <c r="AB74" s="70">
        <v>27</v>
      </c>
      <c r="AC74" s="49">
        <f>資料儲存!D4558</f>
        <v>0</v>
      </c>
      <c r="AD74" s="49">
        <f>資料儲存!E4558</f>
        <v>0</v>
      </c>
      <c r="AE74" s="49">
        <f>資料儲存!F4558</f>
        <v>0</v>
      </c>
      <c r="AF74" s="49">
        <f>資料儲存!G4558</f>
        <v>0</v>
      </c>
      <c r="AG74" s="49">
        <f>資料儲存!H4558</f>
        <v>0</v>
      </c>
      <c r="AH74" s="49">
        <f>資料儲存!I4558</f>
        <v>0</v>
      </c>
      <c r="AI74" s="49">
        <f>資料儲存!J4558</f>
        <v>0</v>
      </c>
      <c r="AJ74" s="52"/>
      <c r="AK74" s="70">
        <v>27</v>
      </c>
      <c r="AL74" s="49">
        <f>資料儲存!D4618</f>
        <v>0</v>
      </c>
      <c r="AM74" s="49">
        <f>資料儲存!E4618</f>
        <v>0</v>
      </c>
      <c r="AN74" s="49">
        <f>資料儲存!F4618</f>
        <v>0</v>
      </c>
      <c r="AO74" s="49">
        <f>資料儲存!G4618</f>
        <v>0</v>
      </c>
      <c r="AP74" s="49">
        <f>資料儲存!H4618</f>
        <v>0</v>
      </c>
      <c r="AQ74" s="49">
        <f>資料儲存!I4618</f>
        <v>0</v>
      </c>
      <c r="AR74" s="49">
        <f>資料儲存!J4618</f>
        <v>0</v>
      </c>
      <c r="AT74" s="70">
        <v>27</v>
      </c>
      <c r="AU74" s="49">
        <f>資料儲存!D4678</f>
        <v>0</v>
      </c>
      <c r="AV74" s="49">
        <f>資料儲存!E4678</f>
        <v>0</v>
      </c>
      <c r="AW74" s="49">
        <f>資料儲存!F4678</f>
        <v>0</v>
      </c>
      <c r="AX74" s="49">
        <f>資料儲存!G4678</f>
        <v>0</v>
      </c>
      <c r="AY74" s="49">
        <f>資料儲存!H4678</f>
        <v>0</v>
      </c>
      <c r="AZ74" s="49">
        <f>資料儲存!I4678</f>
        <v>0</v>
      </c>
      <c r="BA74" s="49">
        <f>資料儲存!J4678</f>
        <v>0</v>
      </c>
    </row>
    <row r="75" spans="1:53" s="67" customFormat="1" ht="16" thickBot="1">
      <c r="A75" s="70">
        <v>28</v>
      </c>
      <c r="B75" s="49">
        <f>資料儲存!D4379</f>
        <v>0</v>
      </c>
      <c r="C75" s="49">
        <f>資料儲存!E4379</f>
        <v>0</v>
      </c>
      <c r="D75" s="49">
        <f>資料儲存!F4379</f>
        <v>0</v>
      </c>
      <c r="E75" s="49">
        <f>資料儲存!G4379</f>
        <v>0</v>
      </c>
      <c r="F75" s="49">
        <f>資料儲存!H4379</f>
        <v>0</v>
      </c>
      <c r="G75" s="49">
        <f>資料儲存!I4379</f>
        <v>0</v>
      </c>
      <c r="H75" s="49">
        <f>資料儲存!J4379</f>
        <v>0</v>
      </c>
      <c r="I75" s="52"/>
      <c r="J75" s="70">
        <v>28</v>
      </c>
      <c r="K75" s="49">
        <f>資料儲存!D4439</f>
        <v>0</v>
      </c>
      <c r="L75" s="49">
        <f>資料儲存!E4439</f>
        <v>0</v>
      </c>
      <c r="M75" s="49">
        <f>資料儲存!F4439</f>
        <v>0</v>
      </c>
      <c r="N75" s="49">
        <f>資料儲存!G4439</f>
        <v>0</v>
      </c>
      <c r="O75" s="49">
        <f>資料儲存!H4439</f>
        <v>0</v>
      </c>
      <c r="P75" s="49">
        <f>資料儲存!I4439</f>
        <v>0</v>
      </c>
      <c r="Q75" s="49">
        <f>資料儲存!J4439</f>
        <v>0</v>
      </c>
      <c r="R75" s="52"/>
      <c r="S75" s="70">
        <v>28</v>
      </c>
      <c r="T75" s="49">
        <f>資料儲存!D4499</f>
        <v>0</v>
      </c>
      <c r="U75" s="49">
        <f>資料儲存!E4499</f>
        <v>0</v>
      </c>
      <c r="V75" s="49">
        <f>資料儲存!F4499</f>
        <v>0</v>
      </c>
      <c r="W75" s="49">
        <f>資料儲存!G4499</f>
        <v>0</v>
      </c>
      <c r="X75" s="49">
        <f>資料儲存!H4499</f>
        <v>0</v>
      </c>
      <c r="Y75" s="49">
        <f>資料儲存!I4499</f>
        <v>0</v>
      </c>
      <c r="Z75" s="49">
        <f>資料儲存!J4499</f>
        <v>0</v>
      </c>
      <c r="AA75" s="52"/>
      <c r="AB75" s="70">
        <v>28</v>
      </c>
      <c r="AC75" s="49">
        <f>資料儲存!D4559</f>
        <v>0</v>
      </c>
      <c r="AD75" s="49">
        <f>資料儲存!E4559</f>
        <v>0</v>
      </c>
      <c r="AE75" s="49">
        <f>資料儲存!F4559</f>
        <v>0</v>
      </c>
      <c r="AF75" s="49">
        <f>資料儲存!G4559</f>
        <v>0</v>
      </c>
      <c r="AG75" s="49">
        <f>資料儲存!H4559</f>
        <v>0</v>
      </c>
      <c r="AH75" s="49">
        <f>資料儲存!I4559</f>
        <v>0</v>
      </c>
      <c r="AI75" s="49">
        <f>資料儲存!J4559</f>
        <v>0</v>
      </c>
      <c r="AJ75" s="52"/>
      <c r="AK75" s="70">
        <v>28</v>
      </c>
      <c r="AL75" s="49">
        <f>資料儲存!D4619</f>
        <v>0</v>
      </c>
      <c r="AM75" s="49">
        <f>資料儲存!E4619</f>
        <v>0</v>
      </c>
      <c r="AN75" s="49">
        <f>資料儲存!F4619</f>
        <v>0</v>
      </c>
      <c r="AO75" s="49">
        <f>資料儲存!G4619</f>
        <v>0</v>
      </c>
      <c r="AP75" s="49">
        <f>資料儲存!H4619</f>
        <v>0</v>
      </c>
      <c r="AQ75" s="49">
        <f>資料儲存!I4619</f>
        <v>0</v>
      </c>
      <c r="AR75" s="49">
        <f>資料儲存!J4619</f>
        <v>0</v>
      </c>
      <c r="AT75" s="70">
        <v>28</v>
      </c>
      <c r="AU75" s="49">
        <f>資料儲存!D4679</f>
        <v>0</v>
      </c>
      <c r="AV75" s="49">
        <f>資料儲存!E4679</f>
        <v>0</v>
      </c>
      <c r="AW75" s="49">
        <f>資料儲存!F4679</f>
        <v>0</v>
      </c>
      <c r="AX75" s="49">
        <f>資料儲存!G4679</f>
        <v>0</v>
      </c>
      <c r="AY75" s="49">
        <f>資料儲存!H4679</f>
        <v>0</v>
      </c>
      <c r="AZ75" s="49">
        <f>資料儲存!I4679</f>
        <v>0</v>
      </c>
      <c r="BA75" s="49">
        <f>資料儲存!J4679</f>
        <v>0</v>
      </c>
    </row>
    <row r="76" spans="1:53" s="67" customFormat="1" ht="16" thickBot="1">
      <c r="A76" s="70">
        <v>29</v>
      </c>
      <c r="B76" s="49">
        <f>資料儲存!D4380</f>
        <v>0</v>
      </c>
      <c r="C76" s="49">
        <f>資料儲存!E4380</f>
        <v>0</v>
      </c>
      <c r="D76" s="49">
        <f>資料儲存!F4380</f>
        <v>0</v>
      </c>
      <c r="E76" s="49">
        <f>資料儲存!G4380</f>
        <v>0</v>
      </c>
      <c r="F76" s="49">
        <f>資料儲存!H4380</f>
        <v>0</v>
      </c>
      <c r="G76" s="49">
        <f>資料儲存!I4380</f>
        <v>0</v>
      </c>
      <c r="H76" s="49">
        <f>資料儲存!J4380</f>
        <v>0</v>
      </c>
      <c r="I76" s="52"/>
      <c r="J76" s="70">
        <v>29</v>
      </c>
      <c r="K76" s="49">
        <f>資料儲存!D4440</f>
        <v>0</v>
      </c>
      <c r="L76" s="49">
        <f>資料儲存!E4440</f>
        <v>0</v>
      </c>
      <c r="M76" s="49">
        <f>資料儲存!F4440</f>
        <v>0</v>
      </c>
      <c r="N76" s="49">
        <f>資料儲存!G4440</f>
        <v>0</v>
      </c>
      <c r="O76" s="49">
        <f>資料儲存!H4440</f>
        <v>0</v>
      </c>
      <c r="P76" s="49">
        <f>資料儲存!I4440</f>
        <v>0</v>
      </c>
      <c r="Q76" s="49">
        <f>資料儲存!J4440</f>
        <v>0</v>
      </c>
      <c r="R76" s="52"/>
      <c r="S76" s="70">
        <v>29</v>
      </c>
      <c r="T76" s="49">
        <f>資料儲存!D4500</f>
        <v>0</v>
      </c>
      <c r="U76" s="49">
        <f>資料儲存!E4500</f>
        <v>0</v>
      </c>
      <c r="V76" s="49">
        <f>資料儲存!F4500</f>
        <v>0</v>
      </c>
      <c r="W76" s="49">
        <f>資料儲存!G4500</f>
        <v>0</v>
      </c>
      <c r="X76" s="49">
        <f>資料儲存!H4500</f>
        <v>0</v>
      </c>
      <c r="Y76" s="49">
        <f>資料儲存!I4500</f>
        <v>0</v>
      </c>
      <c r="Z76" s="49">
        <f>資料儲存!J4500</f>
        <v>0</v>
      </c>
      <c r="AA76" s="52"/>
      <c r="AB76" s="70">
        <v>29</v>
      </c>
      <c r="AC76" s="49">
        <f>資料儲存!D4560</f>
        <v>0</v>
      </c>
      <c r="AD76" s="49">
        <f>資料儲存!E4560</f>
        <v>0</v>
      </c>
      <c r="AE76" s="49">
        <f>資料儲存!F4560</f>
        <v>0</v>
      </c>
      <c r="AF76" s="49">
        <f>資料儲存!G4560</f>
        <v>0</v>
      </c>
      <c r="AG76" s="49">
        <f>資料儲存!H4560</f>
        <v>0</v>
      </c>
      <c r="AH76" s="49">
        <f>資料儲存!I4560</f>
        <v>0</v>
      </c>
      <c r="AI76" s="49">
        <f>資料儲存!J4560</f>
        <v>0</v>
      </c>
      <c r="AJ76" s="52"/>
      <c r="AK76" s="70">
        <v>29</v>
      </c>
      <c r="AL76" s="49">
        <f>資料儲存!D4620</f>
        <v>0</v>
      </c>
      <c r="AM76" s="49">
        <f>資料儲存!E4620</f>
        <v>0</v>
      </c>
      <c r="AN76" s="49">
        <f>資料儲存!F4620</f>
        <v>0</v>
      </c>
      <c r="AO76" s="49">
        <f>資料儲存!G4620</f>
        <v>0</v>
      </c>
      <c r="AP76" s="49">
        <f>資料儲存!H4620</f>
        <v>0</v>
      </c>
      <c r="AQ76" s="49">
        <f>資料儲存!I4620</f>
        <v>0</v>
      </c>
      <c r="AR76" s="49">
        <f>資料儲存!J4620</f>
        <v>0</v>
      </c>
      <c r="AT76" s="70">
        <v>29</v>
      </c>
      <c r="AU76" s="49">
        <f>資料儲存!D4680</f>
        <v>0</v>
      </c>
      <c r="AV76" s="49">
        <f>資料儲存!E4680</f>
        <v>0</v>
      </c>
      <c r="AW76" s="49">
        <f>資料儲存!F4680</f>
        <v>0</v>
      </c>
      <c r="AX76" s="49">
        <f>資料儲存!G4680</f>
        <v>0</v>
      </c>
      <c r="AY76" s="49">
        <f>資料儲存!H4680</f>
        <v>0</v>
      </c>
      <c r="AZ76" s="49">
        <f>資料儲存!I4680</f>
        <v>0</v>
      </c>
      <c r="BA76" s="49">
        <f>資料儲存!J4680</f>
        <v>0</v>
      </c>
    </row>
    <row r="77" spans="1:53" s="67" customFormat="1" ht="16" thickBot="1">
      <c r="A77" s="70">
        <v>30</v>
      </c>
      <c r="B77" s="49">
        <f>資料儲存!D4381</f>
        <v>0</v>
      </c>
      <c r="C77" s="49">
        <f>資料儲存!E4381</f>
        <v>0</v>
      </c>
      <c r="D77" s="49">
        <f>資料儲存!F4381</f>
        <v>0</v>
      </c>
      <c r="E77" s="49">
        <f>資料儲存!G4381</f>
        <v>0</v>
      </c>
      <c r="F77" s="49">
        <f>資料儲存!H4381</f>
        <v>0</v>
      </c>
      <c r="G77" s="49">
        <f>資料儲存!I4381</f>
        <v>0</v>
      </c>
      <c r="H77" s="49">
        <f>資料儲存!J4381</f>
        <v>0</v>
      </c>
      <c r="I77" s="52"/>
      <c r="J77" s="70">
        <v>30</v>
      </c>
      <c r="K77" s="49">
        <f>資料儲存!D4441</f>
        <v>0</v>
      </c>
      <c r="L77" s="49">
        <f>資料儲存!E4441</f>
        <v>0</v>
      </c>
      <c r="M77" s="49">
        <f>資料儲存!F4441</f>
        <v>0</v>
      </c>
      <c r="N77" s="49">
        <f>資料儲存!G4441</f>
        <v>0</v>
      </c>
      <c r="O77" s="49">
        <f>資料儲存!H4441</f>
        <v>0</v>
      </c>
      <c r="P77" s="49">
        <f>資料儲存!I4441</f>
        <v>0</v>
      </c>
      <c r="Q77" s="49">
        <f>資料儲存!J4441</f>
        <v>0</v>
      </c>
      <c r="R77" s="52"/>
      <c r="S77" s="70">
        <v>30</v>
      </c>
      <c r="T77" s="49">
        <f>資料儲存!D4501</f>
        <v>0</v>
      </c>
      <c r="U77" s="49">
        <f>資料儲存!E4501</f>
        <v>0</v>
      </c>
      <c r="V77" s="49">
        <f>資料儲存!F4501</f>
        <v>0</v>
      </c>
      <c r="W77" s="49">
        <f>資料儲存!G4501</f>
        <v>0</v>
      </c>
      <c r="X77" s="49">
        <f>資料儲存!H4501</f>
        <v>0</v>
      </c>
      <c r="Y77" s="49">
        <f>資料儲存!I4501</f>
        <v>0</v>
      </c>
      <c r="Z77" s="49">
        <f>資料儲存!J4501</f>
        <v>0</v>
      </c>
      <c r="AA77" s="52"/>
      <c r="AB77" s="70">
        <v>30</v>
      </c>
      <c r="AC77" s="49">
        <f>資料儲存!D4561</f>
        <v>0</v>
      </c>
      <c r="AD77" s="49">
        <f>資料儲存!E4561</f>
        <v>0</v>
      </c>
      <c r="AE77" s="49">
        <f>資料儲存!F4561</f>
        <v>0</v>
      </c>
      <c r="AF77" s="49">
        <f>資料儲存!G4561</f>
        <v>0</v>
      </c>
      <c r="AG77" s="49">
        <f>資料儲存!H4561</f>
        <v>0</v>
      </c>
      <c r="AH77" s="49">
        <f>資料儲存!I4561</f>
        <v>0</v>
      </c>
      <c r="AI77" s="49">
        <f>資料儲存!J4561</f>
        <v>0</v>
      </c>
      <c r="AJ77" s="52"/>
      <c r="AK77" s="70">
        <v>30</v>
      </c>
      <c r="AL77" s="49">
        <f>資料儲存!D4621</f>
        <v>0</v>
      </c>
      <c r="AM77" s="49">
        <f>資料儲存!E4621</f>
        <v>0</v>
      </c>
      <c r="AN77" s="49">
        <f>資料儲存!F4621</f>
        <v>0</v>
      </c>
      <c r="AO77" s="49">
        <f>資料儲存!G4621</f>
        <v>0</v>
      </c>
      <c r="AP77" s="49">
        <f>資料儲存!H4621</f>
        <v>0</v>
      </c>
      <c r="AQ77" s="49">
        <f>資料儲存!I4621</f>
        <v>0</v>
      </c>
      <c r="AR77" s="49">
        <f>資料儲存!J4621</f>
        <v>0</v>
      </c>
      <c r="AT77" s="70">
        <v>30</v>
      </c>
      <c r="AU77" s="49">
        <f>資料儲存!D4681</f>
        <v>0</v>
      </c>
      <c r="AV77" s="49">
        <f>資料儲存!E4681</f>
        <v>0</v>
      </c>
      <c r="AW77" s="49">
        <f>資料儲存!F4681</f>
        <v>0</v>
      </c>
      <c r="AX77" s="49">
        <f>資料儲存!G4681</f>
        <v>0</v>
      </c>
      <c r="AY77" s="49">
        <f>資料儲存!H4681</f>
        <v>0</v>
      </c>
      <c r="AZ77" s="49">
        <f>資料儲存!I4681</f>
        <v>0</v>
      </c>
      <c r="BA77" s="49">
        <f>資料儲存!J4681</f>
        <v>0</v>
      </c>
    </row>
    <row r="78" spans="1:53" s="67" customFormat="1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0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  <c r="AT78" s="50" t="s">
        <v>56</v>
      </c>
      <c r="AU78" s="49">
        <f>SUM(AU63:AX77)</f>
        <v>0</v>
      </c>
      <c r="AV78" s="47"/>
      <c r="AW78" s="47"/>
      <c r="AX78" s="47"/>
      <c r="AY78" s="49">
        <f>AY77</f>
        <v>0</v>
      </c>
      <c r="AZ78" s="49">
        <f>AZ77</f>
        <v>0</v>
      </c>
      <c r="BA78" s="49">
        <f>BA77</f>
        <v>0</v>
      </c>
    </row>
  </sheetData>
  <mergeCells count="36">
    <mergeCell ref="A1:H1"/>
    <mergeCell ref="J1:Q1"/>
    <mergeCell ref="S1:Z1"/>
    <mergeCell ref="AB1:AI1"/>
    <mergeCell ref="A2:H2"/>
    <mergeCell ref="J2:Q2"/>
    <mergeCell ref="S2:Z2"/>
    <mergeCell ref="AB2:AI2"/>
    <mergeCell ref="A3:H3"/>
    <mergeCell ref="J3:Q3"/>
    <mergeCell ref="S3:Z3"/>
    <mergeCell ref="AB3:AI3"/>
    <mergeCell ref="A22:H22"/>
    <mergeCell ref="J22:Q22"/>
    <mergeCell ref="S22:Z22"/>
    <mergeCell ref="AB22:AI22"/>
    <mergeCell ref="A41:H41"/>
    <mergeCell ref="J41:Q41"/>
    <mergeCell ref="S41:Z41"/>
    <mergeCell ref="AB41:AI41"/>
    <mergeCell ref="A60:H60"/>
    <mergeCell ref="J60:Q60"/>
    <mergeCell ref="S60:Z60"/>
    <mergeCell ref="AB60:AI60"/>
    <mergeCell ref="AT60:BA60"/>
    <mergeCell ref="AK1:AR1"/>
    <mergeCell ref="AK2:AR2"/>
    <mergeCell ref="AK3:AR3"/>
    <mergeCell ref="AK22:AR22"/>
    <mergeCell ref="AK41:AR41"/>
    <mergeCell ref="AK60:AR60"/>
    <mergeCell ref="AT1:BA1"/>
    <mergeCell ref="AT2:BA2"/>
    <mergeCell ref="AT3:BA3"/>
    <mergeCell ref="AT22:BA22"/>
    <mergeCell ref="AT41:BA41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1" manualBreakCount="1">
    <brk id="40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BI154"/>
  <sheetViews>
    <sheetView zoomScale="70" zoomScaleNormal="70" zoomScaleSheetLayoutView="70" workbookViewId="0">
      <pane ySplit="1" topLeftCell="A2" activePane="bottomLeft" state="frozen"/>
      <selection pane="bottomLeft" sqref="A1:H1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44" width="10.08984375" style="1"/>
    <col min="45" max="45" width="2.08984375" style="1" customWidth="1"/>
    <col min="46" max="16384" width="10.08984375" style="1"/>
  </cols>
  <sheetData>
    <row r="1" spans="1:61" s="11" customFormat="1" ht="18.5" thickBot="1">
      <c r="A1" s="254" t="str">
        <f>基本資料!$J$11</f>
        <v>假日(16-18)</v>
      </c>
      <c r="B1" s="255"/>
      <c r="C1" s="255"/>
      <c r="D1" s="255"/>
      <c r="E1" s="255"/>
      <c r="F1" s="255"/>
      <c r="G1" s="255"/>
      <c r="H1" s="256"/>
      <c r="J1" s="254" t="str">
        <f>基本資料!$J$11</f>
        <v>假日(16-18)</v>
      </c>
      <c r="K1" s="255"/>
      <c r="L1" s="255"/>
      <c r="M1" s="255"/>
      <c r="N1" s="255"/>
      <c r="O1" s="255"/>
      <c r="P1" s="255"/>
      <c r="Q1" s="256"/>
      <c r="S1" s="254" t="str">
        <f>基本資料!$J$11</f>
        <v>假日(16-18)</v>
      </c>
      <c r="T1" s="255"/>
      <c r="U1" s="255"/>
      <c r="V1" s="255"/>
      <c r="W1" s="255"/>
      <c r="X1" s="255"/>
      <c r="Y1" s="255"/>
      <c r="Z1" s="256"/>
      <c r="AB1" s="254" t="str">
        <f>基本資料!$J$11</f>
        <v>假日(16-18)</v>
      </c>
      <c r="AC1" s="255"/>
      <c r="AD1" s="255"/>
      <c r="AE1" s="255"/>
      <c r="AF1" s="255"/>
      <c r="AG1" s="255"/>
      <c r="AH1" s="255"/>
      <c r="AI1" s="256"/>
      <c r="AK1" s="254" t="str">
        <f>基本資料!$J$11</f>
        <v>假日(16-18)</v>
      </c>
      <c r="AL1" s="255"/>
      <c r="AM1" s="255"/>
      <c r="AN1" s="255"/>
      <c r="AO1" s="255"/>
      <c r="AP1" s="255"/>
      <c r="AQ1" s="255"/>
      <c r="AR1" s="256"/>
      <c r="AT1" s="254" t="str">
        <f>基本資料!$J$11</f>
        <v>假日(16-18)</v>
      </c>
      <c r="AU1" s="255"/>
      <c r="AV1" s="255"/>
      <c r="AW1" s="255"/>
      <c r="AX1" s="255"/>
      <c r="AY1" s="255"/>
      <c r="AZ1" s="255"/>
      <c r="BA1" s="256"/>
    </row>
    <row r="2" spans="1:61" ht="18.5" thickBot="1">
      <c r="A2" s="251" t="str">
        <f>CONCATENATE(基本資料!B18,"方向：",基本資料!B19,基本資料!B20)</f>
        <v>A方向：</v>
      </c>
      <c r="B2" s="252"/>
      <c r="C2" s="252"/>
      <c r="D2" s="252"/>
      <c r="E2" s="252"/>
      <c r="F2" s="252"/>
      <c r="G2" s="252"/>
      <c r="H2" s="253"/>
      <c r="I2" s="1"/>
      <c r="J2" s="251" t="str">
        <f>CONCATENATE(基本資料!C18,"方向：",基本資料!C19,基本資料!C20)</f>
        <v>B方向：</v>
      </c>
      <c r="K2" s="252"/>
      <c r="L2" s="252"/>
      <c r="M2" s="252"/>
      <c r="N2" s="252"/>
      <c r="O2" s="252"/>
      <c r="P2" s="252"/>
      <c r="Q2" s="253"/>
      <c r="R2" s="1"/>
      <c r="S2" s="251" t="str">
        <f>CONCATENATE(基本資料!D18,"方向：",基本資料!D19,基本資料!D20)</f>
        <v>C方向：</v>
      </c>
      <c r="T2" s="252"/>
      <c r="U2" s="252"/>
      <c r="V2" s="252"/>
      <c r="W2" s="252"/>
      <c r="X2" s="252"/>
      <c r="Y2" s="252"/>
      <c r="Z2" s="253"/>
      <c r="AA2" s="1"/>
      <c r="AB2" s="251" t="str">
        <f>CONCATENATE(基本資料!E18,"方向：",基本資料!E19,基本資料!E20)</f>
        <v>D方向：</v>
      </c>
      <c r="AC2" s="252"/>
      <c r="AD2" s="252"/>
      <c r="AE2" s="252"/>
      <c r="AF2" s="252"/>
      <c r="AG2" s="252"/>
      <c r="AH2" s="252"/>
      <c r="AI2" s="253"/>
      <c r="AJ2" s="1"/>
      <c r="AK2" s="251" t="str">
        <f>CONCATENATE(基本資料!F18,"方向：",基本資料!F19,基本資料!F20)</f>
        <v>E方向：</v>
      </c>
      <c r="AL2" s="252"/>
      <c r="AM2" s="252"/>
      <c r="AN2" s="252"/>
      <c r="AO2" s="252"/>
      <c r="AP2" s="252"/>
      <c r="AQ2" s="252"/>
      <c r="AR2" s="253"/>
      <c r="AT2" s="251" t="str">
        <f>CONCATENATE(基本資料!G18,"方向：",基本資料!G19,基本資料!G20)</f>
        <v>F方向：</v>
      </c>
      <c r="AU2" s="252"/>
      <c r="AV2" s="252"/>
      <c r="AW2" s="252"/>
      <c r="AX2" s="252"/>
      <c r="AY2" s="252"/>
      <c r="AZ2" s="252"/>
      <c r="BA2" s="253"/>
    </row>
    <row r="3" spans="1:61" ht="18.5" thickBot="1">
      <c r="A3" s="248" t="s">
        <v>117</v>
      </c>
      <c r="B3" s="249"/>
      <c r="C3" s="249"/>
      <c r="D3" s="249"/>
      <c r="E3" s="249"/>
      <c r="F3" s="249"/>
      <c r="G3" s="249"/>
      <c r="H3" s="250"/>
      <c r="I3" s="22"/>
      <c r="J3" s="248" t="s">
        <v>117</v>
      </c>
      <c r="K3" s="249"/>
      <c r="L3" s="249"/>
      <c r="M3" s="249"/>
      <c r="N3" s="249"/>
      <c r="O3" s="249"/>
      <c r="P3" s="249"/>
      <c r="Q3" s="250"/>
      <c r="R3" s="22"/>
      <c r="S3" s="248" t="s">
        <v>117</v>
      </c>
      <c r="T3" s="249"/>
      <c r="U3" s="249"/>
      <c r="V3" s="249"/>
      <c r="W3" s="249"/>
      <c r="X3" s="249"/>
      <c r="Y3" s="249"/>
      <c r="Z3" s="250"/>
      <c r="AA3" s="22"/>
      <c r="AB3" s="248" t="s">
        <v>117</v>
      </c>
      <c r="AC3" s="249"/>
      <c r="AD3" s="249"/>
      <c r="AE3" s="249"/>
      <c r="AF3" s="249"/>
      <c r="AG3" s="249"/>
      <c r="AH3" s="249"/>
      <c r="AI3" s="250"/>
      <c r="AJ3" s="22"/>
      <c r="AK3" s="248" t="s">
        <v>117</v>
      </c>
      <c r="AL3" s="249"/>
      <c r="AM3" s="249"/>
      <c r="AN3" s="249"/>
      <c r="AO3" s="249"/>
      <c r="AP3" s="249"/>
      <c r="AQ3" s="249"/>
      <c r="AR3" s="250"/>
      <c r="AT3" s="248" t="s">
        <v>117</v>
      </c>
      <c r="AU3" s="249"/>
      <c r="AV3" s="249"/>
      <c r="AW3" s="249"/>
      <c r="AX3" s="249"/>
      <c r="AY3" s="249"/>
      <c r="AZ3" s="249"/>
      <c r="BA3" s="250"/>
    </row>
    <row r="4" spans="1:61" s="59" customFormat="1" ht="17.25" customHeight="1" thickBot="1">
      <c r="A4" s="54" t="s">
        <v>2</v>
      </c>
      <c r="B4" s="55" t="s">
        <v>46</v>
      </c>
      <c r="C4" s="56"/>
      <c r="D4" s="56"/>
      <c r="E4" s="57"/>
      <c r="F4" s="55" t="s">
        <v>47</v>
      </c>
      <c r="G4" s="56"/>
      <c r="H4" s="57"/>
      <c r="I4" s="58"/>
      <c r="J4" s="54" t="s">
        <v>2</v>
      </c>
      <c r="K4" s="55" t="s">
        <v>46</v>
      </c>
      <c r="L4" s="56"/>
      <c r="M4" s="56"/>
      <c r="N4" s="57"/>
      <c r="O4" s="55" t="s">
        <v>47</v>
      </c>
      <c r="P4" s="56"/>
      <c r="Q4" s="57"/>
      <c r="R4" s="58"/>
      <c r="S4" s="54" t="s">
        <v>2</v>
      </c>
      <c r="T4" s="55" t="s">
        <v>46</v>
      </c>
      <c r="U4" s="56"/>
      <c r="V4" s="56"/>
      <c r="W4" s="57"/>
      <c r="X4" s="55" t="s">
        <v>47</v>
      </c>
      <c r="Y4" s="56"/>
      <c r="Z4" s="57"/>
      <c r="AA4" s="58"/>
      <c r="AB4" s="54" t="s">
        <v>2</v>
      </c>
      <c r="AC4" s="55" t="s">
        <v>46</v>
      </c>
      <c r="AD4" s="56"/>
      <c r="AE4" s="56"/>
      <c r="AF4" s="57"/>
      <c r="AG4" s="55" t="s">
        <v>47</v>
      </c>
      <c r="AH4" s="56"/>
      <c r="AI4" s="57"/>
      <c r="AJ4" s="58"/>
      <c r="AK4" s="54" t="s">
        <v>2</v>
      </c>
      <c r="AL4" s="55" t="s">
        <v>46</v>
      </c>
      <c r="AM4" s="56"/>
      <c r="AN4" s="56"/>
      <c r="AO4" s="57"/>
      <c r="AP4" s="55" t="s">
        <v>47</v>
      </c>
      <c r="AQ4" s="56"/>
      <c r="AR4" s="57"/>
      <c r="AT4" s="54" t="s">
        <v>2</v>
      </c>
      <c r="AU4" s="55" t="s">
        <v>46</v>
      </c>
      <c r="AV4" s="56"/>
      <c r="AW4" s="56"/>
      <c r="AX4" s="57"/>
      <c r="AY4" s="55" t="s">
        <v>47</v>
      </c>
      <c r="AZ4" s="56"/>
      <c r="BA4" s="57"/>
      <c r="BI4" s="59" t="b">
        <f>'假日(16-18)'!B16=('假日(16-18)'!$B$21+'假日(16-18)'!$B$40+'假日(16-18)'!$B$59+'假日(16-18)'!$B$78)*15</f>
        <v>1</v>
      </c>
    </row>
    <row r="5" spans="1:61" s="59" customFormat="1" ht="16" thickBot="1">
      <c r="A5" s="60">
        <v>0.66666666666666663</v>
      </c>
      <c r="B5" s="61" t="s">
        <v>49</v>
      </c>
      <c r="C5" s="61" t="s">
        <v>50</v>
      </c>
      <c r="D5" s="61" t="s">
        <v>51</v>
      </c>
      <c r="E5" s="61" t="s">
        <v>52</v>
      </c>
      <c r="F5" s="61" t="s">
        <v>53</v>
      </c>
      <c r="G5" s="61" t="s">
        <v>54</v>
      </c>
      <c r="H5" s="61" t="s">
        <v>55</v>
      </c>
      <c r="I5" s="58"/>
      <c r="J5" s="60">
        <v>0.66666666666666663</v>
      </c>
      <c r="K5" s="61" t="s">
        <v>49</v>
      </c>
      <c r="L5" s="61" t="s">
        <v>50</v>
      </c>
      <c r="M5" s="61" t="s">
        <v>51</v>
      </c>
      <c r="N5" s="61" t="s">
        <v>52</v>
      </c>
      <c r="O5" s="61" t="s">
        <v>53</v>
      </c>
      <c r="P5" s="61" t="s">
        <v>54</v>
      </c>
      <c r="Q5" s="61" t="s">
        <v>55</v>
      </c>
      <c r="R5" s="58"/>
      <c r="S5" s="60">
        <v>0.66666666666666663</v>
      </c>
      <c r="T5" s="61" t="s">
        <v>49</v>
      </c>
      <c r="U5" s="61" t="s">
        <v>50</v>
      </c>
      <c r="V5" s="61" t="s">
        <v>51</v>
      </c>
      <c r="W5" s="61" t="s">
        <v>52</v>
      </c>
      <c r="X5" s="61" t="s">
        <v>53</v>
      </c>
      <c r="Y5" s="61" t="s">
        <v>54</v>
      </c>
      <c r="Z5" s="61" t="s">
        <v>55</v>
      </c>
      <c r="AA5" s="58"/>
      <c r="AB5" s="60">
        <v>0.66666666666666663</v>
      </c>
      <c r="AC5" s="61" t="s">
        <v>49</v>
      </c>
      <c r="AD5" s="61" t="s">
        <v>50</v>
      </c>
      <c r="AE5" s="61" t="s">
        <v>51</v>
      </c>
      <c r="AF5" s="61" t="s">
        <v>52</v>
      </c>
      <c r="AG5" s="61" t="s">
        <v>53</v>
      </c>
      <c r="AH5" s="61" t="s">
        <v>54</v>
      </c>
      <c r="AI5" s="61" t="s">
        <v>55</v>
      </c>
      <c r="AJ5" s="58"/>
      <c r="AK5" s="60">
        <v>0.66666666666666663</v>
      </c>
      <c r="AL5" s="61" t="s">
        <v>49</v>
      </c>
      <c r="AM5" s="61" t="s">
        <v>50</v>
      </c>
      <c r="AN5" s="61" t="s">
        <v>51</v>
      </c>
      <c r="AO5" s="61" t="s">
        <v>52</v>
      </c>
      <c r="AP5" s="61" t="s">
        <v>53</v>
      </c>
      <c r="AQ5" s="61" t="s">
        <v>54</v>
      </c>
      <c r="AR5" s="61" t="s">
        <v>55</v>
      </c>
      <c r="AT5" s="60">
        <v>0.66666666666666663</v>
      </c>
      <c r="AU5" s="61" t="s">
        <v>49</v>
      </c>
      <c r="AV5" s="61" t="s">
        <v>50</v>
      </c>
      <c r="AW5" s="61" t="s">
        <v>51</v>
      </c>
      <c r="AX5" s="61" t="s">
        <v>52</v>
      </c>
      <c r="AY5" s="61" t="s">
        <v>53</v>
      </c>
      <c r="AZ5" s="61" t="s">
        <v>54</v>
      </c>
      <c r="BA5" s="61" t="s">
        <v>55</v>
      </c>
    </row>
    <row r="6" spans="1:61" s="59" customFormat="1" ht="16" thickBot="1">
      <c r="A6" s="62">
        <v>1</v>
      </c>
      <c r="B6" s="39">
        <f>資料儲存!D4682</f>
        <v>0</v>
      </c>
      <c r="C6" s="39">
        <f>資料儲存!E4682</f>
        <v>0</v>
      </c>
      <c r="D6" s="39">
        <f>資料儲存!F4682</f>
        <v>0</v>
      </c>
      <c r="E6" s="39">
        <f>資料儲存!G4682</f>
        <v>0</v>
      </c>
      <c r="F6" s="39">
        <f>資料儲存!H4682</f>
        <v>0</v>
      </c>
      <c r="G6" s="39">
        <f>資料儲存!I4682</f>
        <v>0</v>
      </c>
      <c r="H6" s="39">
        <f>資料儲存!J4682</f>
        <v>0</v>
      </c>
      <c r="I6" s="58"/>
      <c r="J6" s="62">
        <v>1</v>
      </c>
      <c r="K6" s="39">
        <f>資料儲存!D4802</f>
        <v>0</v>
      </c>
      <c r="L6" s="39">
        <f>資料儲存!E4802</f>
        <v>0</v>
      </c>
      <c r="M6" s="39">
        <f>資料儲存!F4802</f>
        <v>0</v>
      </c>
      <c r="N6" s="39">
        <f>資料儲存!G4802</f>
        <v>0</v>
      </c>
      <c r="O6" s="39">
        <f>資料儲存!H4802</f>
        <v>0</v>
      </c>
      <c r="P6" s="39">
        <f>資料儲存!I4802</f>
        <v>0</v>
      </c>
      <c r="Q6" s="39">
        <f>資料儲存!J4802</f>
        <v>0</v>
      </c>
      <c r="R6" s="58"/>
      <c r="S6" s="62">
        <v>1</v>
      </c>
      <c r="T6" s="39">
        <f>資料儲存!D4922</f>
        <v>0</v>
      </c>
      <c r="U6" s="39">
        <f>資料儲存!E4922</f>
        <v>0</v>
      </c>
      <c r="V6" s="39">
        <f>資料儲存!F4922</f>
        <v>0</v>
      </c>
      <c r="W6" s="39">
        <f>資料儲存!G4922</f>
        <v>0</v>
      </c>
      <c r="X6" s="39">
        <f>資料儲存!H4922</f>
        <v>0</v>
      </c>
      <c r="Y6" s="39">
        <f>資料儲存!I4922</f>
        <v>0</v>
      </c>
      <c r="Z6" s="39">
        <f>資料儲存!J4922</f>
        <v>0</v>
      </c>
      <c r="AA6" s="58"/>
      <c r="AB6" s="62">
        <v>1</v>
      </c>
      <c r="AC6" s="39">
        <f>資料儲存!D5042</f>
        <v>0</v>
      </c>
      <c r="AD6" s="39">
        <f>資料儲存!E5042</f>
        <v>0</v>
      </c>
      <c r="AE6" s="39">
        <f>資料儲存!F5042</f>
        <v>0</v>
      </c>
      <c r="AF6" s="39">
        <f>資料儲存!G5042</f>
        <v>0</v>
      </c>
      <c r="AG6" s="39">
        <f>資料儲存!H5042</f>
        <v>0</v>
      </c>
      <c r="AH6" s="39">
        <f>資料儲存!I5042</f>
        <v>0</v>
      </c>
      <c r="AI6" s="39">
        <f>資料儲存!J5042</f>
        <v>0</v>
      </c>
      <c r="AJ6" s="58"/>
      <c r="AK6" s="62">
        <v>1</v>
      </c>
      <c r="AL6" s="39">
        <f>資料儲存!D5162</f>
        <v>0</v>
      </c>
      <c r="AM6" s="39">
        <f>資料儲存!E5162</f>
        <v>0</v>
      </c>
      <c r="AN6" s="39">
        <f>資料儲存!F5162</f>
        <v>0</v>
      </c>
      <c r="AO6" s="39">
        <f>資料儲存!G5162</f>
        <v>0</v>
      </c>
      <c r="AP6" s="39">
        <f>資料儲存!H5162</f>
        <v>0</v>
      </c>
      <c r="AQ6" s="39">
        <f>資料儲存!I5162</f>
        <v>0</v>
      </c>
      <c r="AR6" s="39">
        <f>資料儲存!J5162</f>
        <v>0</v>
      </c>
      <c r="AT6" s="62">
        <v>1</v>
      </c>
      <c r="AU6" s="39">
        <f>資料儲存!D5282</f>
        <v>0</v>
      </c>
      <c r="AV6" s="39">
        <f>資料儲存!E5282</f>
        <v>0</v>
      </c>
      <c r="AW6" s="39">
        <f>資料儲存!F5282</f>
        <v>0</v>
      </c>
      <c r="AX6" s="39">
        <f>資料儲存!G5282</f>
        <v>0</v>
      </c>
      <c r="AY6" s="39">
        <f>資料儲存!H5282</f>
        <v>0</v>
      </c>
      <c r="AZ6" s="39">
        <f>資料儲存!I5282</f>
        <v>0</v>
      </c>
      <c r="BA6" s="39">
        <f>資料儲存!J5282</f>
        <v>0</v>
      </c>
    </row>
    <row r="7" spans="1:61" s="59" customFormat="1" ht="16" thickBot="1">
      <c r="A7" s="62">
        <v>2</v>
      </c>
      <c r="B7" s="39">
        <f>資料儲存!D4683</f>
        <v>0</v>
      </c>
      <c r="C7" s="39">
        <f>資料儲存!E4683</f>
        <v>0</v>
      </c>
      <c r="D7" s="39">
        <f>資料儲存!F4683</f>
        <v>0</v>
      </c>
      <c r="E7" s="39">
        <f>資料儲存!G4683</f>
        <v>0</v>
      </c>
      <c r="F7" s="39">
        <f>資料儲存!H4683</f>
        <v>0</v>
      </c>
      <c r="G7" s="39">
        <f>資料儲存!I4683</f>
        <v>0</v>
      </c>
      <c r="H7" s="39">
        <f>資料儲存!J4683</f>
        <v>0</v>
      </c>
      <c r="I7" s="58"/>
      <c r="J7" s="62">
        <v>2</v>
      </c>
      <c r="K7" s="39">
        <f>資料儲存!D4803</f>
        <v>0</v>
      </c>
      <c r="L7" s="39">
        <f>資料儲存!E4803</f>
        <v>0</v>
      </c>
      <c r="M7" s="39">
        <f>資料儲存!F4803</f>
        <v>0</v>
      </c>
      <c r="N7" s="39">
        <f>資料儲存!G4803</f>
        <v>0</v>
      </c>
      <c r="O7" s="39">
        <f>資料儲存!H4803</f>
        <v>0</v>
      </c>
      <c r="P7" s="39">
        <f>資料儲存!I4803</f>
        <v>0</v>
      </c>
      <c r="Q7" s="39">
        <f>資料儲存!J4803</f>
        <v>0</v>
      </c>
      <c r="R7" s="58"/>
      <c r="S7" s="62">
        <v>2</v>
      </c>
      <c r="T7" s="39">
        <f>資料儲存!D4923</f>
        <v>0</v>
      </c>
      <c r="U7" s="39">
        <f>資料儲存!E4923</f>
        <v>0</v>
      </c>
      <c r="V7" s="39">
        <f>資料儲存!F4923</f>
        <v>0</v>
      </c>
      <c r="W7" s="39">
        <f>資料儲存!G4923</f>
        <v>0</v>
      </c>
      <c r="X7" s="39">
        <f>資料儲存!H4923</f>
        <v>0</v>
      </c>
      <c r="Y7" s="39">
        <f>資料儲存!I4923</f>
        <v>0</v>
      </c>
      <c r="Z7" s="39">
        <f>資料儲存!J4923</f>
        <v>0</v>
      </c>
      <c r="AA7" s="58"/>
      <c r="AB7" s="62">
        <v>2</v>
      </c>
      <c r="AC7" s="39">
        <f>資料儲存!D5043</f>
        <v>0</v>
      </c>
      <c r="AD7" s="39">
        <f>資料儲存!E5043</f>
        <v>0</v>
      </c>
      <c r="AE7" s="39">
        <f>資料儲存!F5043</f>
        <v>0</v>
      </c>
      <c r="AF7" s="39">
        <f>資料儲存!G5043</f>
        <v>0</v>
      </c>
      <c r="AG7" s="39">
        <f>資料儲存!H5043</f>
        <v>0</v>
      </c>
      <c r="AH7" s="39">
        <f>資料儲存!I5043</f>
        <v>0</v>
      </c>
      <c r="AI7" s="39">
        <f>資料儲存!J5043</f>
        <v>0</v>
      </c>
      <c r="AJ7" s="58"/>
      <c r="AK7" s="62">
        <v>2</v>
      </c>
      <c r="AL7" s="39">
        <f>資料儲存!D5163</f>
        <v>0</v>
      </c>
      <c r="AM7" s="39">
        <f>資料儲存!E5163</f>
        <v>0</v>
      </c>
      <c r="AN7" s="39">
        <f>資料儲存!F5163</f>
        <v>0</v>
      </c>
      <c r="AO7" s="39">
        <f>資料儲存!G5163</f>
        <v>0</v>
      </c>
      <c r="AP7" s="39">
        <f>資料儲存!H5163</f>
        <v>0</v>
      </c>
      <c r="AQ7" s="39">
        <f>資料儲存!I5163</f>
        <v>0</v>
      </c>
      <c r="AR7" s="39">
        <f>資料儲存!J5163</f>
        <v>0</v>
      </c>
      <c r="AT7" s="62">
        <v>2</v>
      </c>
      <c r="AU7" s="39">
        <f>資料儲存!D5283</f>
        <v>0</v>
      </c>
      <c r="AV7" s="39">
        <f>資料儲存!E5283</f>
        <v>0</v>
      </c>
      <c r="AW7" s="39">
        <f>資料儲存!F5283</f>
        <v>0</v>
      </c>
      <c r="AX7" s="39">
        <f>資料儲存!G5283</f>
        <v>0</v>
      </c>
      <c r="AY7" s="39">
        <f>資料儲存!H5283</f>
        <v>0</v>
      </c>
      <c r="AZ7" s="39">
        <f>資料儲存!I5283</f>
        <v>0</v>
      </c>
      <c r="BA7" s="39">
        <f>資料儲存!J5283</f>
        <v>0</v>
      </c>
    </row>
    <row r="8" spans="1:61" s="59" customFormat="1" ht="16" thickBot="1">
      <c r="A8" s="62">
        <v>3</v>
      </c>
      <c r="B8" s="39">
        <f>資料儲存!D4684</f>
        <v>0</v>
      </c>
      <c r="C8" s="39">
        <f>資料儲存!E4684</f>
        <v>0</v>
      </c>
      <c r="D8" s="39">
        <f>資料儲存!F4684</f>
        <v>0</v>
      </c>
      <c r="E8" s="39">
        <f>資料儲存!G4684</f>
        <v>0</v>
      </c>
      <c r="F8" s="39">
        <f>資料儲存!H4684</f>
        <v>0</v>
      </c>
      <c r="G8" s="39">
        <f>資料儲存!I4684</f>
        <v>0</v>
      </c>
      <c r="H8" s="39">
        <f>資料儲存!J4684</f>
        <v>0</v>
      </c>
      <c r="I8" s="58"/>
      <c r="J8" s="62">
        <v>3</v>
      </c>
      <c r="K8" s="39">
        <f>資料儲存!D4804</f>
        <v>0</v>
      </c>
      <c r="L8" s="39">
        <f>資料儲存!E4804</f>
        <v>0</v>
      </c>
      <c r="M8" s="39">
        <f>資料儲存!F4804</f>
        <v>0</v>
      </c>
      <c r="N8" s="39">
        <f>資料儲存!G4804</f>
        <v>0</v>
      </c>
      <c r="O8" s="39">
        <f>資料儲存!H4804</f>
        <v>0</v>
      </c>
      <c r="P8" s="39">
        <f>資料儲存!I4804</f>
        <v>0</v>
      </c>
      <c r="Q8" s="39">
        <f>資料儲存!J4804</f>
        <v>0</v>
      </c>
      <c r="R8" s="58"/>
      <c r="S8" s="62">
        <v>3</v>
      </c>
      <c r="T8" s="39">
        <f>資料儲存!D4924</f>
        <v>0</v>
      </c>
      <c r="U8" s="39">
        <f>資料儲存!E4924</f>
        <v>0</v>
      </c>
      <c r="V8" s="39">
        <f>資料儲存!F4924</f>
        <v>0</v>
      </c>
      <c r="W8" s="39">
        <f>資料儲存!G4924</f>
        <v>0</v>
      </c>
      <c r="X8" s="39">
        <f>資料儲存!H4924</f>
        <v>0</v>
      </c>
      <c r="Y8" s="39">
        <f>資料儲存!I4924</f>
        <v>0</v>
      </c>
      <c r="Z8" s="39">
        <f>資料儲存!J4924</f>
        <v>0</v>
      </c>
      <c r="AA8" s="58"/>
      <c r="AB8" s="62">
        <v>3</v>
      </c>
      <c r="AC8" s="39">
        <f>資料儲存!D5044</f>
        <v>0</v>
      </c>
      <c r="AD8" s="39">
        <f>資料儲存!E5044</f>
        <v>0</v>
      </c>
      <c r="AE8" s="39">
        <f>資料儲存!F5044</f>
        <v>0</v>
      </c>
      <c r="AF8" s="39">
        <f>資料儲存!G5044</f>
        <v>0</v>
      </c>
      <c r="AG8" s="39">
        <f>資料儲存!H5044</f>
        <v>0</v>
      </c>
      <c r="AH8" s="39">
        <f>資料儲存!I5044</f>
        <v>0</v>
      </c>
      <c r="AI8" s="39">
        <f>資料儲存!J5044</f>
        <v>0</v>
      </c>
      <c r="AJ8" s="58"/>
      <c r="AK8" s="62">
        <v>3</v>
      </c>
      <c r="AL8" s="39">
        <f>資料儲存!D5164</f>
        <v>0</v>
      </c>
      <c r="AM8" s="39">
        <f>資料儲存!E5164</f>
        <v>0</v>
      </c>
      <c r="AN8" s="39">
        <f>資料儲存!F5164</f>
        <v>0</v>
      </c>
      <c r="AO8" s="39">
        <f>資料儲存!G5164</f>
        <v>0</v>
      </c>
      <c r="AP8" s="39">
        <f>資料儲存!H5164</f>
        <v>0</v>
      </c>
      <c r="AQ8" s="39">
        <f>資料儲存!I5164</f>
        <v>0</v>
      </c>
      <c r="AR8" s="39">
        <f>資料儲存!J5164</f>
        <v>0</v>
      </c>
      <c r="AT8" s="62">
        <v>3</v>
      </c>
      <c r="AU8" s="39">
        <f>資料儲存!D5284</f>
        <v>0</v>
      </c>
      <c r="AV8" s="39">
        <f>資料儲存!E5284</f>
        <v>0</v>
      </c>
      <c r="AW8" s="39">
        <f>資料儲存!F5284</f>
        <v>0</v>
      </c>
      <c r="AX8" s="39">
        <f>資料儲存!G5284</f>
        <v>0</v>
      </c>
      <c r="AY8" s="39">
        <f>資料儲存!H5284</f>
        <v>0</v>
      </c>
      <c r="AZ8" s="39">
        <f>資料儲存!I5284</f>
        <v>0</v>
      </c>
      <c r="BA8" s="39">
        <f>資料儲存!J5284</f>
        <v>0</v>
      </c>
    </row>
    <row r="9" spans="1:61" s="59" customFormat="1" ht="16" thickBot="1">
      <c r="A9" s="62">
        <v>4</v>
      </c>
      <c r="B9" s="39">
        <f>資料儲存!D4685</f>
        <v>0</v>
      </c>
      <c r="C9" s="39">
        <f>資料儲存!E4685</f>
        <v>0</v>
      </c>
      <c r="D9" s="39">
        <f>資料儲存!F4685</f>
        <v>0</v>
      </c>
      <c r="E9" s="39">
        <f>資料儲存!G4685</f>
        <v>0</v>
      </c>
      <c r="F9" s="39">
        <f>資料儲存!H4685</f>
        <v>0</v>
      </c>
      <c r="G9" s="39">
        <f>資料儲存!I4685</f>
        <v>0</v>
      </c>
      <c r="H9" s="39">
        <f>資料儲存!J4685</f>
        <v>0</v>
      </c>
      <c r="I9" s="58"/>
      <c r="J9" s="62">
        <v>4</v>
      </c>
      <c r="K9" s="39">
        <f>資料儲存!D4805</f>
        <v>0</v>
      </c>
      <c r="L9" s="39">
        <f>資料儲存!E4805</f>
        <v>0</v>
      </c>
      <c r="M9" s="39">
        <f>資料儲存!F4805</f>
        <v>0</v>
      </c>
      <c r="N9" s="39">
        <f>資料儲存!G4805</f>
        <v>0</v>
      </c>
      <c r="O9" s="39">
        <f>資料儲存!H4805</f>
        <v>0</v>
      </c>
      <c r="P9" s="39">
        <f>資料儲存!I4805</f>
        <v>0</v>
      </c>
      <c r="Q9" s="39">
        <f>資料儲存!J4805</f>
        <v>0</v>
      </c>
      <c r="R9" s="58"/>
      <c r="S9" s="62">
        <v>4</v>
      </c>
      <c r="T9" s="39">
        <f>資料儲存!D4925</f>
        <v>0</v>
      </c>
      <c r="U9" s="39">
        <f>資料儲存!E4925</f>
        <v>0</v>
      </c>
      <c r="V9" s="39">
        <f>資料儲存!F4925</f>
        <v>0</v>
      </c>
      <c r="W9" s="39">
        <f>資料儲存!G4925</f>
        <v>0</v>
      </c>
      <c r="X9" s="39">
        <f>資料儲存!H4925</f>
        <v>0</v>
      </c>
      <c r="Y9" s="39">
        <f>資料儲存!I4925</f>
        <v>0</v>
      </c>
      <c r="Z9" s="39">
        <f>資料儲存!J4925</f>
        <v>0</v>
      </c>
      <c r="AA9" s="58"/>
      <c r="AB9" s="62">
        <v>4</v>
      </c>
      <c r="AC9" s="39">
        <f>資料儲存!D5045</f>
        <v>0</v>
      </c>
      <c r="AD9" s="39">
        <f>資料儲存!E5045</f>
        <v>0</v>
      </c>
      <c r="AE9" s="39">
        <f>資料儲存!F5045</f>
        <v>0</v>
      </c>
      <c r="AF9" s="39">
        <f>資料儲存!G5045</f>
        <v>0</v>
      </c>
      <c r="AG9" s="39">
        <f>資料儲存!H5045</f>
        <v>0</v>
      </c>
      <c r="AH9" s="39">
        <f>資料儲存!I5045</f>
        <v>0</v>
      </c>
      <c r="AI9" s="39">
        <f>資料儲存!J5045</f>
        <v>0</v>
      </c>
      <c r="AJ9" s="58"/>
      <c r="AK9" s="62">
        <v>4</v>
      </c>
      <c r="AL9" s="39">
        <f>資料儲存!D5165</f>
        <v>0</v>
      </c>
      <c r="AM9" s="39">
        <f>資料儲存!E5165</f>
        <v>0</v>
      </c>
      <c r="AN9" s="39">
        <f>資料儲存!F5165</f>
        <v>0</v>
      </c>
      <c r="AO9" s="39">
        <f>資料儲存!G5165</f>
        <v>0</v>
      </c>
      <c r="AP9" s="39">
        <f>資料儲存!H5165</f>
        <v>0</v>
      </c>
      <c r="AQ9" s="39">
        <f>資料儲存!I5165</f>
        <v>0</v>
      </c>
      <c r="AR9" s="39">
        <f>資料儲存!J5165</f>
        <v>0</v>
      </c>
      <c r="AT9" s="62">
        <v>4</v>
      </c>
      <c r="AU9" s="39">
        <f>資料儲存!D5285</f>
        <v>0</v>
      </c>
      <c r="AV9" s="39">
        <f>資料儲存!E5285</f>
        <v>0</v>
      </c>
      <c r="AW9" s="39">
        <f>資料儲存!F5285</f>
        <v>0</v>
      </c>
      <c r="AX9" s="39">
        <f>資料儲存!G5285</f>
        <v>0</v>
      </c>
      <c r="AY9" s="39">
        <f>資料儲存!H5285</f>
        <v>0</v>
      </c>
      <c r="AZ9" s="39">
        <f>資料儲存!I5285</f>
        <v>0</v>
      </c>
      <c r="BA9" s="39">
        <f>資料儲存!J5285</f>
        <v>0</v>
      </c>
    </row>
    <row r="10" spans="1:61" s="59" customFormat="1" ht="16" thickBot="1">
      <c r="A10" s="62">
        <v>5</v>
      </c>
      <c r="B10" s="39">
        <f>資料儲存!D4686</f>
        <v>0</v>
      </c>
      <c r="C10" s="39">
        <f>資料儲存!E4686</f>
        <v>0</v>
      </c>
      <c r="D10" s="39">
        <f>資料儲存!F4686</f>
        <v>0</v>
      </c>
      <c r="E10" s="39">
        <f>資料儲存!G4686</f>
        <v>0</v>
      </c>
      <c r="F10" s="39">
        <f>資料儲存!H4686</f>
        <v>0</v>
      </c>
      <c r="G10" s="39">
        <f>資料儲存!I4686</f>
        <v>0</v>
      </c>
      <c r="H10" s="39">
        <f>資料儲存!J4686</f>
        <v>0</v>
      </c>
      <c r="I10" s="58"/>
      <c r="J10" s="62">
        <v>5</v>
      </c>
      <c r="K10" s="39">
        <f>資料儲存!D4806</f>
        <v>0</v>
      </c>
      <c r="L10" s="39">
        <f>資料儲存!E4806</f>
        <v>0</v>
      </c>
      <c r="M10" s="39">
        <f>資料儲存!F4806</f>
        <v>0</v>
      </c>
      <c r="N10" s="39">
        <f>資料儲存!G4806</f>
        <v>0</v>
      </c>
      <c r="O10" s="39">
        <f>資料儲存!H4806</f>
        <v>0</v>
      </c>
      <c r="P10" s="39">
        <f>資料儲存!I4806</f>
        <v>0</v>
      </c>
      <c r="Q10" s="39">
        <f>資料儲存!J4806</f>
        <v>0</v>
      </c>
      <c r="R10" s="58"/>
      <c r="S10" s="62">
        <v>5</v>
      </c>
      <c r="T10" s="39">
        <f>資料儲存!D4926</f>
        <v>0</v>
      </c>
      <c r="U10" s="39">
        <f>資料儲存!E4926</f>
        <v>0</v>
      </c>
      <c r="V10" s="39">
        <f>資料儲存!F4926</f>
        <v>0</v>
      </c>
      <c r="W10" s="39">
        <f>資料儲存!G4926</f>
        <v>0</v>
      </c>
      <c r="X10" s="39">
        <f>資料儲存!H4926</f>
        <v>0</v>
      </c>
      <c r="Y10" s="39">
        <f>資料儲存!I4926</f>
        <v>0</v>
      </c>
      <c r="Z10" s="39">
        <f>資料儲存!J4926</f>
        <v>0</v>
      </c>
      <c r="AA10" s="58"/>
      <c r="AB10" s="62">
        <v>5</v>
      </c>
      <c r="AC10" s="39">
        <f>資料儲存!D5046</f>
        <v>0</v>
      </c>
      <c r="AD10" s="39">
        <f>資料儲存!E5046</f>
        <v>0</v>
      </c>
      <c r="AE10" s="39">
        <f>資料儲存!F5046</f>
        <v>0</v>
      </c>
      <c r="AF10" s="39">
        <f>資料儲存!G5046</f>
        <v>0</v>
      </c>
      <c r="AG10" s="39">
        <f>資料儲存!H5046</f>
        <v>0</v>
      </c>
      <c r="AH10" s="39">
        <f>資料儲存!I5046</f>
        <v>0</v>
      </c>
      <c r="AI10" s="39">
        <f>資料儲存!J5046</f>
        <v>0</v>
      </c>
      <c r="AJ10" s="58"/>
      <c r="AK10" s="62">
        <v>5</v>
      </c>
      <c r="AL10" s="39">
        <f>資料儲存!D5166</f>
        <v>0</v>
      </c>
      <c r="AM10" s="39">
        <f>資料儲存!E5166</f>
        <v>0</v>
      </c>
      <c r="AN10" s="39">
        <f>資料儲存!F5166</f>
        <v>0</v>
      </c>
      <c r="AO10" s="39">
        <f>資料儲存!G5166</f>
        <v>0</v>
      </c>
      <c r="AP10" s="39">
        <f>資料儲存!H5166</f>
        <v>0</v>
      </c>
      <c r="AQ10" s="39">
        <f>資料儲存!I5166</f>
        <v>0</v>
      </c>
      <c r="AR10" s="39">
        <f>資料儲存!J5166</f>
        <v>0</v>
      </c>
      <c r="AT10" s="62">
        <v>5</v>
      </c>
      <c r="AU10" s="39">
        <f>資料儲存!D5286</f>
        <v>0</v>
      </c>
      <c r="AV10" s="39">
        <f>資料儲存!E5286</f>
        <v>0</v>
      </c>
      <c r="AW10" s="39">
        <f>資料儲存!F5286</f>
        <v>0</v>
      </c>
      <c r="AX10" s="39">
        <f>資料儲存!G5286</f>
        <v>0</v>
      </c>
      <c r="AY10" s="39">
        <f>資料儲存!H5286</f>
        <v>0</v>
      </c>
      <c r="AZ10" s="39">
        <f>資料儲存!I5286</f>
        <v>0</v>
      </c>
      <c r="BA10" s="39">
        <f>資料儲存!J5286</f>
        <v>0</v>
      </c>
    </row>
    <row r="11" spans="1:61" s="59" customFormat="1" ht="16" thickBot="1">
      <c r="A11" s="62">
        <v>6</v>
      </c>
      <c r="B11" s="39">
        <f>資料儲存!D4687</f>
        <v>0</v>
      </c>
      <c r="C11" s="39">
        <f>資料儲存!E4687</f>
        <v>0</v>
      </c>
      <c r="D11" s="39">
        <f>資料儲存!F4687</f>
        <v>0</v>
      </c>
      <c r="E11" s="39">
        <f>資料儲存!G4687</f>
        <v>0</v>
      </c>
      <c r="F11" s="39">
        <f>資料儲存!H4687</f>
        <v>0</v>
      </c>
      <c r="G11" s="39">
        <f>資料儲存!I4687</f>
        <v>0</v>
      </c>
      <c r="H11" s="39">
        <f>資料儲存!J4687</f>
        <v>0</v>
      </c>
      <c r="I11" s="58"/>
      <c r="J11" s="62">
        <v>6</v>
      </c>
      <c r="K11" s="39">
        <f>資料儲存!D4807</f>
        <v>0</v>
      </c>
      <c r="L11" s="39">
        <f>資料儲存!E4807</f>
        <v>0</v>
      </c>
      <c r="M11" s="39">
        <f>資料儲存!F4807</f>
        <v>0</v>
      </c>
      <c r="N11" s="39">
        <f>資料儲存!G4807</f>
        <v>0</v>
      </c>
      <c r="O11" s="39">
        <f>資料儲存!H4807</f>
        <v>0</v>
      </c>
      <c r="P11" s="39">
        <f>資料儲存!I4807</f>
        <v>0</v>
      </c>
      <c r="Q11" s="39">
        <f>資料儲存!J4807</f>
        <v>0</v>
      </c>
      <c r="R11" s="58"/>
      <c r="S11" s="62">
        <v>6</v>
      </c>
      <c r="T11" s="39">
        <f>資料儲存!D4927</f>
        <v>0</v>
      </c>
      <c r="U11" s="39">
        <f>資料儲存!E4927</f>
        <v>0</v>
      </c>
      <c r="V11" s="39">
        <f>資料儲存!F4927</f>
        <v>0</v>
      </c>
      <c r="W11" s="39">
        <f>資料儲存!G4927</f>
        <v>0</v>
      </c>
      <c r="X11" s="39">
        <f>資料儲存!H4927</f>
        <v>0</v>
      </c>
      <c r="Y11" s="39">
        <f>資料儲存!I4927</f>
        <v>0</v>
      </c>
      <c r="Z11" s="39">
        <f>資料儲存!J4927</f>
        <v>0</v>
      </c>
      <c r="AA11" s="58"/>
      <c r="AB11" s="62">
        <v>6</v>
      </c>
      <c r="AC11" s="39">
        <f>資料儲存!D5047</f>
        <v>0</v>
      </c>
      <c r="AD11" s="39">
        <f>資料儲存!E5047</f>
        <v>0</v>
      </c>
      <c r="AE11" s="39">
        <f>資料儲存!F5047</f>
        <v>0</v>
      </c>
      <c r="AF11" s="39">
        <f>資料儲存!G5047</f>
        <v>0</v>
      </c>
      <c r="AG11" s="39">
        <f>資料儲存!H5047</f>
        <v>0</v>
      </c>
      <c r="AH11" s="39">
        <f>資料儲存!I5047</f>
        <v>0</v>
      </c>
      <c r="AI11" s="39">
        <f>資料儲存!J5047</f>
        <v>0</v>
      </c>
      <c r="AJ11" s="58"/>
      <c r="AK11" s="62">
        <v>6</v>
      </c>
      <c r="AL11" s="39">
        <f>資料儲存!D5167</f>
        <v>0</v>
      </c>
      <c r="AM11" s="39">
        <f>資料儲存!E5167</f>
        <v>0</v>
      </c>
      <c r="AN11" s="39">
        <f>資料儲存!F5167</f>
        <v>0</v>
      </c>
      <c r="AO11" s="39">
        <f>資料儲存!G5167</f>
        <v>0</v>
      </c>
      <c r="AP11" s="39">
        <f>資料儲存!H5167</f>
        <v>0</v>
      </c>
      <c r="AQ11" s="39">
        <f>資料儲存!I5167</f>
        <v>0</v>
      </c>
      <c r="AR11" s="39">
        <f>資料儲存!J5167</f>
        <v>0</v>
      </c>
      <c r="AT11" s="62">
        <v>6</v>
      </c>
      <c r="AU11" s="39">
        <f>資料儲存!D5287</f>
        <v>0</v>
      </c>
      <c r="AV11" s="39">
        <f>資料儲存!E5287</f>
        <v>0</v>
      </c>
      <c r="AW11" s="39">
        <f>資料儲存!F5287</f>
        <v>0</v>
      </c>
      <c r="AX11" s="39">
        <f>資料儲存!G5287</f>
        <v>0</v>
      </c>
      <c r="AY11" s="39">
        <f>資料儲存!H5287</f>
        <v>0</v>
      </c>
      <c r="AZ11" s="39">
        <f>資料儲存!I5287</f>
        <v>0</v>
      </c>
      <c r="BA11" s="39">
        <f>資料儲存!J5287</f>
        <v>0</v>
      </c>
    </row>
    <row r="12" spans="1:61" s="59" customFormat="1" ht="16" thickBot="1">
      <c r="A12" s="62">
        <v>7</v>
      </c>
      <c r="B12" s="39">
        <f>資料儲存!D4688</f>
        <v>0</v>
      </c>
      <c r="C12" s="39">
        <f>資料儲存!E4688</f>
        <v>0</v>
      </c>
      <c r="D12" s="39">
        <f>資料儲存!F4688</f>
        <v>0</v>
      </c>
      <c r="E12" s="39">
        <f>資料儲存!G4688</f>
        <v>0</v>
      </c>
      <c r="F12" s="39">
        <f>資料儲存!H4688</f>
        <v>0</v>
      </c>
      <c r="G12" s="39">
        <f>資料儲存!I4688</f>
        <v>0</v>
      </c>
      <c r="H12" s="39">
        <f>資料儲存!J4688</f>
        <v>0</v>
      </c>
      <c r="I12" s="58"/>
      <c r="J12" s="62">
        <v>7</v>
      </c>
      <c r="K12" s="39">
        <f>資料儲存!D4808</f>
        <v>0</v>
      </c>
      <c r="L12" s="39">
        <f>資料儲存!E4808</f>
        <v>0</v>
      </c>
      <c r="M12" s="39">
        <f>資料儲存!F4808</f>
        <v>0</v>
      </c>
      <c r="N12" s="39">
        <f>資料儲存!G4808</f>
        <v>0</v>
      </c>
      <c r="O12" s="39">
        <f>資料儲存!H4808</f>
        <v>0</v>
      </c>
      <c r="P12" s="39">
        <f>資料儲存!I4808</f>
        <v>0</v>
      </c>
      <c r="Q12" s="39">
        <f>資料儲存!J4808</f>
        <v>0</v>
      </c>
      <c r="R12" s="58"/>
      <c r="S12" s="62">
        <v>7</v>
      </c>
      <c r="T12" s="39">
        <f>資料儲存!D4928</f>
        <v>0</v>
      </c>
      <c r="U12" s="39">
        <f>資料儲存!E4928</f>
        <v>0</v>
      </c>
      <c r="V12" s="39">
        <f>資料儲存!F4928</f>
        <v>0</v>
      </c>
      <c r="W12" s="39">
        <f>資料儲存!G4928</f>
        <v>0</v>
      </c>
      <c r="X12" s="39">
        <f>資料儲存!H4928</f>
        <v>0</v>
      </c>
      <c r="Y12" s="39">
        <f>資料儲存!I4928</f>
        <v>0</v>
      </c>
      <c r="Z12" s="39">
        <f>資料儲存!J4928</f>
        <v>0</v>
      </c>
      <c r="AA12" s="58"/>
      <c r="AB12" s="62">
        <v>7</v>
      </c>
      <c r="AC12" s="39">
        <f>資料儲存!D5048</f>
        <v>0</v>
      </c>
      <c r="AD12" s="39">
        <f>資料儲存!E5048</f>
        <v>0</v>
      </c>
      <c r="AE12" s="39">
        <f>資料儲存!F5048</f>
        <v>0</v>
      </c>
      <c r="AF12" s="39">
        <f>資料儲存!G5048</f>
        <v>0</v>
      </c>
      <c r="AG12" s="39">
        <f>資料儲存!H5048</f>
        <v>0</v>
      </c>
      <c r="AH12" s="39">
        <f>資料儲存!I5048</f>
        <v>0</v>
      </c>
      <c r="AI12" s="39">
        <f>資料儲存!J5048</f>
        <v>0</v>
      </c>
      <c r="AJ12" s="58"/>
      <c r="AK12" s="62">
        <v>7</v>
      </c>
      <c r="AL12" s="39">
        <f>資料儲存!D5168</f>
        <v>0</v>
      </c>
      <c r="AM12" s="39">
        <f>資料儲存!E5168</f>
        <v>0</v>
      </c>
      <c r="AN12" s="39">
        <f>資料儲存!F5168</f>
        <v>0</v>
      </c>
      <c r="AO12" s="39">
        <f>資料儲存!G5168</f>
        <v>0</v>
      </c>
      <c r="AP12" s="39">
        <f>資料儲存!H5168</f>
        <v>0</v>
      </c>
      <c r="AQ12" s="39">
        <f>資料儲存!I5168</f>
        <v>0</v>
      </c>
      <c r="AR12" s="39">
        <f>資料儲存!J5168</f>
        <v>0</v>
      </c>
      <c r="AT12" s="62">
        <v>7</v>
      </c>
      <c r="AU12" s="39">
        <f>資料儲存!D5288</f>
        <v>0</v>
      </c>
      <c r="AV12" s="39">
        <f>資料儲存!E5288</f>
        <v>0</v>
      </c>
      <c r="AW12" s="39">
        <f>資料儲存!F5288</f>
        <v>0</v>
      </c>
      <c r="AX12" s="39">
        <f>資料儲存!G5288</f>
        <v>0</v>
      </c>
      <c r="AY12" s="39">
        <f>資料儲存!H5288</f>
        <v>0</v>
      </c>
      <c r="AZ12" s="39">
        <f>資料儲存!I5288</f>
        <v>0</v>
      </c>
      <c r="BA12" s="39">
        <f>資料儲存!J5288</f>
        <v>0</v>
      </c>
    </row>
    <row r="13" spans="1:61" s="59" customFormat="1" ht="16" thickBot="1">
      <c r="A13" s="62">
        <v>8</v>
      </c>
      <c r="B13" s="39">
        <f>資料儲存!D4689</f>
        <v>0</v>
      </c>
      <c r="C13" s="39">
        <f>資料儲存!E4689</f>
        <v>0</v>
      </c>
      <c r="D13" s="39">
        <f>資料儲存!F4689</f>
        <v>0</v>
      </c>
      <c r="E13" s="39">
        <f>資料儲存!G4689</f>
        <v>0</v>
      </c>
      <c r="F13" s="39">
        <f>資料儲存!H4689</f>
        <v>0</v>
      </c>
      <c r="G13" s="39">
        <f>資料儲存!I4689</f>
        <v>0</v>
      </c>
      <c r="H13" s="39">
        <f>資料儲存!J4689</f>
        <v>0</v>
      </c>
      <c r="I13" s="58"/>
      <c r="J13" s="62">
        <v>8</v>
      </c>
      <c r="K13" s="39">
        <f>資料儲存!D4809</f>
        <v>0</v>
      </c>
      <c r="L13" s="39">
        <f>資料儲存!E4809</f>
        <v>0</v>
      </c>
      <c r="M13" s="39">
        <f>資料儲存!F4809</f>
        <v>0</v>
      </c>
      <c r="N13" s="39">
        <f>資料儲存!G4809</f>
        <v>0</v>
      </c>
      <c r="O13" s="39">
        <f>資料儲存!H4809</f>
        <v>0</v>
      </c>
      <c r="P13" s="39">
        <f>資料儲存!I4809</f>
        <v>0</v>
      </c>
      <c r="Q13" s="39">
        <f>資料儲存!J4809</f>
        <v>0</v>
      </c>
      <c r="R13" s="58"/>
      <c r="S13" s="62">
        <v>8</v>
      </c>
      <c r="T13" s="39">
        <f>資料儲存!D4929</f>
        <v>0</v>
      </c>
      <c r="U13" s="39">
        <f>資料儲存!E4929</f>
        <v>0</v>
      </c>
      <c r="V13" s="39">
        <f>資料儲存!F4929</f>
        <v>0</v>
      </c>
      <c r="W13" s="39">
        <f>資料儲存!G4929</f>
        <v>0</v>
      </c>
      <c r="X13" s="39">
        <f>資料儲存!H4929</f>
        <v>0</v>
      </c>
      <c r="Y13" s="39">
        <f>資料儲存!I4929</f>
        <v>0</v>
      </c>
      <c r="Z13" s="39">
        <f>資料儲存!J4929</f>
        <v>0</v>
      </c>
      <c r="AA13" s="58"/>
      <c r="AB13" s="62">
        <v>8</v>
      </c>
      <c r="AC13" s="39">
        <f>資料儲存!D5049</f>
        <v>0</v>
      </c>
      <c r="AD13" s="39">
        <f>資料儲存!E5049</f>
        <v>0</v>
      </c>
      <c r="AE13" s="39">
        <f>資料儲存!F5049</f>
        <v>0</v>
      </c>
      <c r="AF13" s="39">
        <f>資料儲存!G5049</f>
        <v>0</v>
      </c>
      <c r="AG13" s="39">
        <f>資料儲存!H5049</f>
        <v>0</v>
      </c>
      <c r="AH13" s="39">
        <f>資料儲存!I5049</f>
        <v>0</v>
      </c>
      <c r="AI13" s="39">
        <f>資料儲存!J5049</f>
        <v>0</v>
      </c>
      <c r="AJ13" s="58"/>
      <c r="AK13" s="62">
        <v>8</v>
      </c>
      <c r="AL13" s="39">
        <f>資料儲存!D5169</f>
        <v>0</v>
      </c>
      <c r="AM13" s="39">
        <f>資料儲存!E5169</f>
        <v>0</v>
      </c>
      <c r="AN13" s="39">
        <f>資料儲存!F5169</f>
        <v>0</v>
      </c>
      <c r="AO13" s="39">
        <f>資料儲存!G5169</f>
        <v>0</v>
      </c>
      <c r="AP13" s="39">
        <f>資料儲存!H5169</f>
        <v>0</v>
      </c>
      <c r="AQ13" s="39">
        <f>資料儲存!I5169</f>
        <v>0</v>
      </c>
      <c r="AR13" s="39">
        <f>資料儲存!J5169</f>
        <v>0</v>
      </c>
      <c r="AT13" s="62">
        <v>8</v>
      </c>
      <c r="AU13" s="39">
        <f>資料儲存!D5289</f>
        <v>0</v>
      </c>
      <c r="AV13" s="39">
        <f>資料儲存!E5289</f>
        <v>0</v>
      </c>
      <c r="AW13" s="39">
        <f>資料儲存!F5289</f>
        <v>0</v>
      </c>
      <c r="AX13" s="39">
        <f>資料儲存!G5289</f>
        <v>0</v>
      </c>
      <c r="AY13" s="39">
        <f>資料儲存!H5289</f>
        <v>0</v>
      </c>
      <c r="AZ13" s="39">
        <f>資料儲存!I5289</f>
        <v>0</v>
      </c>
      <c r="BA13" s="39">
        <f>資料儲存!J5289</f>
        <v>0</v>
      </c>
    </row>
    <row r="14" spans="1:61" s="59" customFormat="1" ht="16" thickBot="1">
      <c r="A14" s="62">
        <v>9</v>
      </c>
      <c r="B14" s="39">
        <f>資料儲存!D4690</f>
        <v>0</v>
      </c>
      <c r="C14" s="39">
        <f>資料儲存!E4690</f>
        <v>0</v>
      </c>
      <c r="D14" s="39">
        <f>資料儲存!F4690</f>
        <v>0</v>
      </c>
      <c r="E14" s="39">
        <f>資料儲存!G4690</f>
        <v>0</v>
      </c>
      <c r="F14" s="39">
        <f>資料儲存!H4690</f>
        <v>0</v>
      </c>
      <c r="G14" s="39">
        <f>資料儲存!I4690</f>
        <v>0</v>
      </c>
      <c r="H14" s="39">
        <f>資料儲存!J4690</f>
        <v>0</v>
      </c>
      <c r="I14" s="58"/>
      <c r="J14" s="62">
        <v>9</v>
      </c>
      <c r="K14" s="39">
        <f>資料儲存!D4810</f>
        <v>0</v>
      </c>
      <c r="L14" s="39">
        <f>資料儲存!E4810</f>
        <v>0</v>
      </c>
      <c r="M14" s="39">
        <f>資料儲存!F4810</f>
        <v>0</v>
      </c>
      <c r="N14" s="39">
        <f>資料儲存!G4810</f>
        <v>0</v>
      </c>
      <c r="O14" s="39">
        <f>資料儲存!H4810</f>
        <v>0</v>
      </c>
      <c r="P14" s="39">
        <f>資料儲存!I4810</f>
        <v>0</v>
      </c>
      <c r="Q14" s="39">
        <f>資料儲存!J4810</f>
        <v>0</v>
      </c>
      <c r="R14" s="58"/>
      <c r="S14" s="62">
        <v>9</v>
      </c>
      <c r="T14" s="39">
        <f>資料儲存!D4930</f>
        <v>0</v>
      </c>
      <c r="U14" s="39">
        <f>資料儲存!E4930</f>
        <v>0</v>
      </c>
      <c r="V14" s="39">
        <f>資料儲存!F4930</f>
        <v>0</v>
      </c>
      <c r="W14" s="39">
        <f>資料儲存!G4930</f>
        <v>0</v>
      </c>
      <c r="X14" s="39">
        <f>資料儲存!H4930</f>
        <v>0</v>
      </c>
      <c r="Y14" s="39">
        <f>資料儲存!I4930</f>
        <v>0</v>
      </c>
      <c r="Z14" s="39">
        <f>資料儲存!J4930</f>
        <v>0</v>
      </c>
      <c r="AA14" s="58"/>
      <c r="AB14" s="62">
        <v>9</v>
      </c>
      <c r="AC14" s="39">
        <f>資料儲存!D5050</f>
        <v>0</v>
      </c>
      <c r="AD14" s="39">
        <f>資料儲存!E5050</f>
        <v>0</v>
      </c>
      <c r="AE14" s="39">
        <f>資料儲存!F5050</f>
        <v>0</v>
      </c>
      <c r="AF14" s="39">
        <f>資料儲存!G5050</f>
        <v>0</v>
      </c>
      <c r="AG14" s="39">
        <f>資料儲存!H5050</f>
        <v>0</v>
      </c>
      <c r="AH14" s="39">
        <f>資料儲存!I5050</f>
        <v>0</v>
      </c>
      <c r="AI14" s="39">
        <f>資料儲存!J5050</f>
        <v>0</v>
      </c>
      <c r="AJ14" s="58"/>
      <c r="AK14" s="62">
        <v>9</v>
      </c>
      <c r="AL14" s="39">
        <f>資料儲存!D5170</f>
        <v>0</v>
      </c>
      <c r="AM14" s="39">
        <f>資料儲存!E5170</f>
        <v>0</v>
      </c>
      <c r="AN14" s="39">
        <f>資料儲存!F5170</f>
        <v>0</v>
      </c>
      <c r="AO14" s="39">
        <f>資料儲存!G5170</f>
        <v>0</v>
      </c>
      <c r="AP14" s="39">
        <f>資料儲存!H5170</f>
        <v>0</v>
      </c>
      <c r="AQ14" s="39">
        <f>資料儲存!I5170</f>
        <v>0</v>
      </c>
      <c r="AR14" s="39">
        <f>資料儲存!J5170</f>
        <v>0</v>
      </c>
      <c r="AT14" s="62">
        <v>9</v>
      </c>
      <c r="AU14" s="39">
        <f>資料儲存!D5290</f>
        <v>0</v>
      </c>
      <c r="AV14" s="39">
        <f>資料儲存!E5290</f>
        <v>0</v>
      </c>
      <c r="AW14" s="39">
        <f>資料儲存!F5290</f>
        <v>0</v>
      </c>
      <c r="AX14" s="39">
        <f>資料儲存!G5290</f>
        <v>0</v>
      </c>
      <c r="AY14" s="39">
        <f>資料儲存!H5290</f>
        <v>0</v>
      </c>
      <c r="AZ14" s="39">
        <f>資料儲存!I5290</f>
        <v>0</v>
      </c>
      <c r="BA14" s="39">
        <f>資料儲存!J5290</f>
        <v>0</v>
      </c>
    </row>
    <row r="15" spans="1:61" s="59" customFormat="1" ht="16" thickBot="1">
      <c r="A15" s="62">
        <v>10</v>
      </c>
      <c r="B15" s="39">
        <f>資料儲存!D4691</f>
        <v>0</v>
      </c>
      <c r="C15" s="39">
        <f>資料儲存!E4691</f>
        <v>0</v>
      </c>
      <c r="D15" s="39">
        <f>資料儲存!F4691</f>
        <v>0</v>
      </c>
      <c r="E15" s="39">
        <f>資料儲存!G4691</f>
        <v>0</v>
      </c>
      <c r="F15" s="39">
        <f>資料儲存!H4691</f>
        <v>0</v>
      </c>
      <c r="G15" s="39">
        <f>資料儲存!I4691</f>
        <v>0</v>
      </c>
      <c r="H15" s="39">
        <f>資料儲存!J4691</f>
        <v>0</v>
      </c>
      <c r="I15" s="58"/>
      <c r="J15" s="62">
        <v>10</v>
      </c>
      <c r="K15" s="39">
        <f>資料儲存!D4811</f>
        <v>0</v>
      </c>
      <c r="L15" s="39">
        <f>資料儲存!E4811</f>
        <v>0</v>
      </c>
      <c r="M15" s="39">
        <f>資料儲存!F4811</f>
        <v>0</v>
      </c>
      <c r="N15" s="39">
        <f>資料儲存!G4811</f>
        <v>0</v>
      </c>
      <c r="O15" s="39">
        <f>資料儲存!H4811</f>
        <v>0</v>
      </c>
      <c r="P15" s="39">
        <f>資料儲存!I4811</f>
        <v>0</v>
      </c>
      <c r="Q15" s="39">
        <f>資料儲存!J4811</f>
        <v>0</v>
      </c>
      <c r="R15" s="58"/>
      <c r="S15" s="62">
        <v>10</v>
      </c>
      <c r="T15" s="39">
        <f>資料儲存!D4931</f>
        <v>0</v>
      </c>
      <c r="U15" s="39">
        <f>資料儲存!E4931</f>
        <v>0</v>
      </c>
      <c r="V15" s="39">
        <f>資料儲存!F4931</f>
        <v>0</v>
      </c>
      <c r="W15" s="39">
        <f>資料儲存!G4931</f>
        <v>0</v>
      </c>
      <c r="X15" s="39">
        <f>資料儲存!H4931</f>
        <v>0</v>
      </c>
      <c r="Y15" s="39">
        <f>資料儲存!I4931</f>
        <v>0</v>
      </c>
      <c r="Z15" s="39">
        <f>資料儲存!J4931</f>
        <v>0</v>
      </c>
      <c r="AA15" s="58"/>
      <c r="AB15" s="62">
        <v>10</v>
      </c>
      <c r="AC15" s="39">
        <f>資料儲存!D5051</f>
        <v>0</v>
      </c>
      <c r="AD15" s="39">
        <f>資料儲存!E5051</f>
        <v>0</v>
      </c>
      <c r="AE15" s="39">
        <f>資料儲存!F5051</f>
        <v>0</v>
      </c>
      <c r="AF15" s="39">
        <f>資料儲存!G5051</f>
        <v>0</v>
      </c>
      <c r="AG15" s="39">
        <f>資料儲存!H5051</f>
        <v>0</v>
      </c>
      <c r="AH15" s="39">
        <f>資料儲存!I5051</f>
        <v>0</v>
      </c>
      <c r="AI15" s="39">
        <f>資料儲存!J5051</f>
        <v>0</v>
      </c>
      <c r="AJ15" s="58"/>
      <c r="AK15" s="62">
        <v>10</v>
      </c>
      <c r="AL15" s="39">
        <f>資料儲存!D5171</f>
        <v>0</v>
      </c>
      <c r="AM15" s="39">
        <f>資料儲存!E5171</f>
        <v>0</v>
      </c>
      <c r="AN15" s="39">
        <f>資料儲存!F5171</f>
        <v>0</v>
      </c>
      <c r="AO15" s="39">
        <f>資料儲存!G5171</f>
        <v>0</v>
      </c>
      <c r="AP15" s="39">
        <f>資料儲存!H5171</f>
        <v>0</v>
      </c>
      <c r="AQ15" s="39">
        <f>資料儲存!I5171</f>
        <v>0</v>
      </c>
      <c r="AR15" s="39">
        <f>資料儲存!J5171</f>
        <v>0</v>
      </c>
      <c r="AT15" s="62">
        <v>10</v>
      </c>
      <c r="AU15" s="39">
        <f>資料儲存!D5291</f>
        <v>0</v>
      </c>
      <c r="AV15" s="39">
        <f>資料儲存!E5291</f>
        <v>0</v>
      </c>
      <c r="AW15" s="39">
        <f>資料儲存!F5291</f>
        <v>0</v>
      </c>
      <c r="AX15" s="39">
        <f>資料儲存!G5291</f>
        <v>0</v>
      </c>
      <c r="AY15" s="39">
        <f>資料儲存!H5291</f>
        <v>0</v>
      </c>
      <c r="AZ15" s="39">
        <f>資料儲存!I5291</f>
        <v>0</v>
      </c>
      <c r="BA15" s="39">
        <f>資料儲存!J5291</f>
        <v>0</v>
      </c>
    </row>
    <row r="16" spans="1:61" s="59" customFormat="1" ht="16" thickBot="1">
      <c r="A16" s="62">
        <v>11</v>
      </c>
      <c r="B16" s="39">
        <f>資料儲存!D4692</f>
        <v>0</v>
      </c>
      <c r="C16" s="39">
        <f>資料儲存!E4692</f>
        <v>0</v>
      </c>
      <c r="D16" s="39">
        <f>資料儲存!F4692</f>
        <v>0</v>
      </c>
      <c r="E16" s="39">
        <f>資料儲存!G4692</f>
        <v>0</v>
      </c>
      <c r="F16" s="39">
        <f>資料儲存!H4692</f>
        <v>0</v>
      </c>
      <c r="G16" s="39">
        <f>資料儲存!I4692</f>
        <v>0</v>
      </c>
      <c r="H16" s="39">
        <f>資料儲存!J4692</f>
        <v>0</v>
      </c>
      <c r="I16" s="58"/>
      <c r="J16" s="62">
        <v>11</v>
      </c>
      <c r="K16" s="39">
        <f>資料儲存!D4812</f>
        <v>0</v>
      </c>
      <c r="L16" s="39">
        <f>資料儲存!E4812</f>
        <v>0</v>
      </c>
      <c r="M16" s="39">
        <f>資料儲存!F4812</f>
        <v>0</v>
      </c>
      <c r="N16" s="39">
        <f>資料儲存!G4812</f>
        <v>0</v>
      </c>
      <c r="O16" s="39">
        <f>資料儲存!H4812</f>
        <v>0</v>
      </c>
      <c r="P16" s="39">
        <f>資料儲存!I4812</f>
        <v>0</v>
      </c>
      <c r="Q16" s="39">
        <f>資料儲存!J4812</f>
        <v>0</v>
      </c>
      <c r="R16" s="58"/>
      <c r="S16" s="62">
        <v>11</v>
      </c>
      <c r="T16" s="39">
        <f>資料儲存!D4932</f>
        <v>0</v>
      </c>
      <c r="U16" s="39">
        <f>資料儲存!E4932</f>
        <v>0</v>
      </c>
      <c r="V16" s="39">
        <f>資料儲存!F4932</f>
        <v>0</v>
      </c>
      <c r="W16" s="39">
        <f>資料儲存!G4932</f>
        <v>0</v>
      </c>
      <c r="X16" s="39">
        <f>資料儲存!H4932</f>
        <v>0</v>
      </c>
      <c r="Y16" s="39">
        <f>資料儲存!I4932</f>
        <v>0</v>
      </c>
      <c r="Z16" s="39">
        <f>資料儲存!J4932</f>
        <v>0</v>
      </c>
      <c r="AA16" s="58"/>
      <c r="AB16" s="62">
        <v>11</v>
      </c>
      <c r="AC16" s="39">
        <f>資料儲存!D5052</f>
        <v>0</v>
      </c>
      <c r="AD16" s="39">
        <f>資料儲存!E5052</f>
        <v>0</v>
      </c>
      <c r="AE16" s="39">
        <f>資料儲存!F5052</f>
        <v>0</v>
      </c>
      <c r="AF16" s="39">
        <f>資料儲存!G5052</f>
        <v>0</v>
      </c>
      <c r="AG16" s="39">
        <f>資料儲存!H5052</f>
        <v>0</v>
      </c>
      <c r="AH16" s="39">
        <f>資料儲存!I5052</f>
        <v>0</v>
      </c>
      <c r="AI16" s="39">
        <f>資料儲存!J5052</f>
        <v>0</v>
      </c>
      <c r="AJ16" s="58"/>
      <c r="AK16" s="62">
        <v>11</v>
      </c>
      <c r="AL16" s="39">
        <f>資料儲存!D5172</f>
        <v>0</v>
      </c>
      <c r="AM16" s="39">
        <f>資料儲存!E5172</f>
        <v>0</v>
      </c>
      <c r="AN16" s="39">
        <f>資料儲存!F5172</f>
        <v>0</v>
      </c>
      <c r="AO16" s="39">
        <f>資料儲存!G5172</f>
        <v>0</v>
      </c>
      <c r="AP16" s="39">
        <f>資料儲存!H5172</f>
        <v>0</v>
      </c>
      <c r="AQ16" s="39">
        <f>資料儲存!I5172</f>
        <v>0</v>
      </c>
      <c r="AR16" s="39">
        <f>資料儲存!J5172</f>
        <v>0</v>
      </c>
      <c r="AT16" s="62">
        <v>11</v>
      </c>
      <c r="AU16" s="39">
        <f>資料儲存!D5292</f>
        <v>0</v>
      </c>
      <c r="AV16" s="39">
        <f>資料儲存!E5292</f>
        <v>0</v>
      </c>
      <c r="AW16" s="39">
        <f>資料儲存!F5292</f>
        <v>0</v>
      </c>
      <c r="AX16" s="39">
        <f>資料儲存!G5292</f>
        <v>0</v>
      </c>
      <c r="AY16" s="39">
        <f>資料儲存!H5292</f>
        <v>0</v>
      </c>
      <c r="AZ16" s="39">
        <f>資料儲存!I5292</f>
        <v>0</v>
      </c>
      <c r="BA16" s="39">
        <f>資料儲存!J5292</f>
        <v>0</v>
      </c>
    </row>
    <row r="17" spans="1:53" s="59" customFormat="1" ht="16" thickBot="1">
      <c r="A17" s="62">
        <v>12</v>
      </c>
      <c r="B17" s="39">
        <f>資料儲存!D4693</f>
        <v>0</v>
      </c>
      <c r="C17" s="39">
        <f>資料儲存!E4693</f>
        <v>0</v>
      </c>
      <c r="D17" s="39">
        <f>資料儲存!F4693</f>
        <v>0</v>
      </c>
      <c r="E17" s="39">
        <f>資料儲存!G4693</f>
        <v>0</v>
      </c>
      <c r="F17" s="39">
        <f>資料儲存!H4693</f>
        <v>0</v>
      </c>
      <c r="G17" s="39">
        <f>資料儲存!I4693</f>
        <v>0</v>
      </c>
      <c r="H17" s="39">
        <f>資料儲存!J4693</f>
        <v>0</v>
      </c>
      <c r="I17" s="58"/>
      <c r="J17" s="62">
        <v>12</v>
      </c>
      <c r="K17" s="39">
        <f>資料儲存!D4813</f>
        <v>0</v>
      </c>
      <c r="L17" s="39">
        <f>資料儲存!E4813</f>
        <v>0</v>
      </c>
      <c r="M17" s="39">
        <f>資料儲存!F4813</f>
        <v>0</v>
      </c>
      <c r="N17" s="39">
        <f>資料儲存!G4813</f>
        <v>0</v>
      </c>
      <c r="O17" s="39">
        <f>資料儲存!H4813</f>
        <v>0</v>
      </c>
      <c r="P17" s="39">
        <f>資料儲存!I4813</f>
        <v>0</v>
      </c>
      <c r="Q17" s="39">
        <f>資料儲存!J4813</f>
        <v>0</v>
      </c>
      <c r="R17" s="58"/>
      <c r="S17" s="62">
        <v>12</v>
      </c>
      <c r="T17" s="39">
        <f>資料儲存!D4933</f>
        <v>0</v>
      </c>
      <c r="U17" s="39">
        <f>資料儲存!E4933</f>
        <v>0</v>
      </c>
      <c r="V17" s="39">
        <f>資料儲存!F4933</f>
        <v>0</v>
      </c>
      <c r="W17" s="39">
        <f>資料儲存!G4933</f>
        <v>0</v>
      </c>
      <c r="X17" s="39">
        <f>資料儲存!H4933</f>
        <v>0</v>
      </c>
      <c r="Y17" s="39">
        <f>資料儲存!I4933</f>
        <v>0</v>
      </c>
      <c r="Z17" s="39">
        <f>資料儲存!J4933</f>
        <v>0</v>
      </c>
      <c r="AA17" s="58"/>
      <c r="AB17" s="62">
        <v>12</v>
      </c>
      <c r="AC17" s="39">
        <f>資料儲存!D5053</f>
        <v>0</v>
      </c>
      <c r="AD17" s="39">
        <f>資料儲存!E5053</f>
        <v>0</v>
      </c>
      <c r="AE17" s="39">
        <f>資料儲存!F5053</f>
        <v>0</v>
      </c>
      <c r="AF17" s="39">
        <f>資料儲存!G5053</f>
        <v>0</v>
      </c>
      <c r="AG17" s="39">
        <f>資料儲存!H5053</f>
        <v>0</v>
      </c>
      <c r="AH17" s="39">
        <f>資料儲存!I5053</f>
        <v>0</v>
      </c>
      <c r="AI17" s="39">
        <f>資料儲存!J5053</f>
        <v>0</v>
      </c>
      <c r="AJ17" s="58"/>
      <c r="AK17" s="62">
        <v>12</v>
      </c>
      <c r="AL17" s="39">
        <f>資料儲存!D5173</f>
        <v>0</v>
      </c>
      <c r="AM17" s="39">
        <f>資料儲存!E5173</f>
        <v>0</v>
      </c>
      <c r="AN17" s="39">
        <f>資料儲存!F5173</f>
        <v>0</v>
      </c>
      <c r="AO17" s="39">
        <f>資料儲存!G5173</f>
        <v>0</v>
      </c>
      <c r="AP17" s="39">
        <f>資料儲存!H5173</f>
        <v>0</v>
      </c>
      <c r="AQ17" s="39">
        <f>資料儲存!I5173</f>
        <v>0</v>
      </c>
      <c r="AR17" s="39">
        <f>資料儲存!J5173</f>
        <v>0</v>
      </c>
      <c r="AT17" s="62">
        <v>12</v>
      </c>
      <c r="AU17" s="39">
        <f>資料儲存!D5293</f>
        <v>0</v>
      </c>
      <c r="AV17" s="39">
        <f>資料儲存!E5293</f>
        <v>0</v>
      </c>
      <c r="AW17" s="39">
        <f>資料儲存!F5293</f>
        <v>0</v>
      </c>
      <c r="AX17" s="39">
        <f>資料儲存!G5293</f>
        <v>0</v>
      </c>
      <c r="AY17" s="39">
        <f>資料儲存!H5293</f>
        <v>0</v>
      </c>
      <c r="AZ17" s="39">
        <f>資料儲存!I5293</f>
        <v>0</v>
      </c>
      <c r="BA17" s="39">
        <f>資料儲存!J5293</f>
        <v>0</v>
      </c>
    </row>
    <row r="18" spans="1:53" s="59" customFormat="1" ht="16" thickBot="1">
      <c r="A18" s="62">
        <v>13</v>
      </c>
      <c r="B18" s="39">
        <f>資料儲存!D4694</f>
        <v>0</v>
      </c>
      <c r="C18" s="39">
        <f>資料儲存!E4694</f>
        <v>0</v>
      </c>
      <c r="D18" s="39">
        <f>資料儲存!F4694</f>
        <v>0</v>
      </c>
      <c r="E18" s="39">
        <f>資料儲存!G4694</f>
        <v>0</v>
      </c>
      <c r="F18" s="39">
        <f>資料儲存!H4694</f>
        <v>0</v>
      </c>
      <c r="G18" s="39">
        <f>資料儲存!I4694</f>
        <v>0</v>
      </c>
      <c r="H18" s="39">
        <f>資料儲存!J4694</f>
        <v>0</v>
      </c>
      <c r="I18" s="58"/>
      <c r="J18" s="62">
        <v>13</v>
      </c>
      <c r="K18" s="39">
        <f>資料儲存!D4814</f>
        <v>0</v>
      </c>
      <c r="L18" s="39">
        <f>資料儲存!E4814</f>
        <v>0</v>
      </c>
      <c r="M18" s="39">
        <f>資料儲存!F4814</f>
        <v>0</v>
      </c>
      <c r="N18" s="39">
        <f>資料儲存!G4814</f>
        <v>0</v>
      </c>
      <c r="O18" s="39">
        <f>資料儲存!H4814</f>
        <v>0</v>
      </c>
      <c r="P18" s="39">
        <f>資料儲存!I4814</f>
        <v>0</v>
      </c>
      <c r="Q18" s="39">
        <f>資料儲存!J4814</f>
        <v>0</v>
      </c>
      <c r="R18" s="58"/>
      <c r="S18" s="62">
        <v>13</v>
      </c>
      <c r="T18" s="39">
        <f>資料儲存!D4934</f>
        <v>0</v>
      </c>
      <c r="U18" s="39">
        <f>資料儲存!E4934</f>
        <v>0</v>
      </c>
      <c r="V18" s="39">
        <f>資料儲存!F4934</f>
        <v>0</v>
      </c>
      <c r="W18" s="39">
        <f>資料儲存!G4934</f>
        <v>0</v>
      </c>
      <c r="X18" s="39">
        <f>資料儲存!H4934</f>
        <v>0</v>
      </c>
      <c r="Y18" s="39">
        <f>資料儲存!I4934</f>
        <v>0</v>
      </c>
      <c r="Z18" s="39">
        <f>資料儲存!J4934</f>
        <v>0</v>
      </c>
      <c r="AA18" s="58"/>
      <c r="AB18" s="62">
        <v>13</v>
      </c>
      <c r="AC18" s="39">
        <f>資料儲存!D5054</f>
        <v>0</v>
      </c>
      <c r="AD18" s="39">
        <f>資料儲存!E5054</f>
        <v>0</v>
      </c>
      <c r="AE18" s="39">
        <f>資料儲存!F5054</f>
        <v>0</v>
      </c>
      <c r="AF18" s="39">
        <f>資料儲存!G5054</f>
        <v>0</v>
      </c>
      <c r="AG18" s="39">
        <f>資料儲存!H5054</f>
        <v>0</v>
      </c>
      <c r="AH18" s="39">
        <f>資料儲存!I5054</f>
        <v>0</v>
      </c>
      <c r="AI18" s="39">
        <f>資料儲存!J5054</f>
        <v>0</v>
      </c>
      <c r="AJ18" s="58"/>
      <c r="AK18" s="62">
        <v>13</v>
      </c>
      <c r="AL18" s="39">
        <f>資料儲存!D5174</f>
        <v>0</v>
      </c>
      <c r="AM18" s="39">
        <f>資料儲存!E5174</f>
        <v>0</v>
      </c>
      <c r="AN18" s="39">
        <f>資料儲存!F5174</f>
        <v>0</v>
      </c>
      <c r="AO18" s="39">
        <f>資料儲存!G5174</f>
        <v>0</v>
      </c>
      <c r="AP18" s="39">
        <f>資料儲存!H5174</f>
        <v>0</v>
      </c>
      <c r="AQ18" s="39">
        <f>資料儲存!I5174</f>
        <v>0</v>
      </c>
      <c r="AR18" s="39">
        <f>資料儲存!J5174</f>
        <v>0</v>
      </c>
      <c r="AT18" s="62">
        <v>13</v>
      </c>
      <c r="AU18" s="39">
        <f>資料儲存!D5294</f>
        <v>0</v>
      </c>
      <c r="AV18" s="39">
        <f>資料儲存!E5294</f>
        <v>0</v>
      </c>
      <c r="AW18" s="39">
        <f>資料儲存!F5294</f>
        <v>0</v>
      </c>
      <c r="AX18" s="39">
        <f>資料儲存!G5294</f>
        <v>0</v>
      </c>
      <c r="AY18" s="39">
        <f>資料儲存!H5294</f>
        <v>0</v>
      </c>
      <c r="AZ18" s="39">
        <f>資料儲存!I5294</f>
        <v>0</v>
      </c>
      <c r="BA18" s="39">
        <f>資料儲存!J5294</f>
        <v>0</v>
      </c>
    </row>
    <row r="19" spans="1:53" s="59" customFormat="1" ht="16" thickBot="1">
      <c r="A19" s="62">
        <v>14</v>
      </c>
      <c r="B19" s="39">
        <f>資料儲存!D4695</f>
        <v>0</v>
      </c>
      <c r="C19" s="39">
        <f>資料儲存!E4695</f>
        <v>0</v>
      </c>
      <c r="D19" s="39">
        <f>資料儲存!F4695</f>
        <v>0</v>
      </c>
      <c r="E19" s="39">
        <f>資料儲存!G4695</f>
        <v>0</v>
      </c>
      <c r="F19" s="39">
        <f>資料儲存!H4695</f>
        <v>0</v>
      </c>
      <c r="G19" s="39">
        <f>資料儲存!I4695</f>
        <v>0</v>
      </c>
      <c r="H19" s="39">
        <f>資料儲存!J4695</f>
        <v>0</v>
      </c>
      <c r="I19" s="58"/>
      <c r="J19" s="62">
        <v>14</v>
      </c>
      <c r="K19" s="39">
        <f>資料儲存!D4815</f>
        <v>0</v>
      </c>
      <c r="L19" s="39">
        <f>資料儲存!E4815</f>
        <v>0</v>
      </c>
      <c r="M19" s="39">
        <f>資料儲存!F4815</f>
        <v>0</v>
      </c>
      <c r="N19" s="39">
        <f>資料儲存!G4815</f>
        <v>0</v>
      </c>
      <c r="O19" s="39">
        <f>資料儲存!H4815</f>
        <v>0</v>
      </c>
      <c r="P19" s="39">
        <f>資料儲存!I4815</f>
        <v>0</v>
      </c>
      <c r="Q19" s="39">
        <f>資料儲存!J4815</f>
        <v>0</v>
      </c>
      <c r="R19" s="58"/>
      <c r="S19" s="62">
        <v>14</v>
      </c>
      <c r="T19" s="39">
        <f>資料儲存!D4935</f>
        <v>0</v>
      </c>
      <c r="U19" s="39">
        <f>資料儲存!E4935</f>
        <v>0</v>
      </c>
      <c r="V19" s="39">
        <f>資料儲存!F4935</f>
        <v>0</v>
      </c>
      <c r="W19" s="39">
        <f>資料儲存!G4935</f>
        <v>0</v>
      </c>
      <c r="X19" s="39">
        <f>資料儲存!H4935</f>
        <v>0</v>
      </c>
      <c r="Y19" s="39">
        <f>資料儲存!I4935</f>
        <v>0</v>
      </c>
      <c r="Z19" s="39">
        <f>資料儲存!J4935</f>
        <v>0</v>
      </c>
      <c r="AA19" s="58"/>
      <c r="AB19" s="62">
        <v>14</v>
      </c>
      <c r="AC19" s="39">
        <f>資料儲存!D5055</f>
        <v>0</v>
      </c>
      <c r="AD19" s="39">
        <f>資料儲存!E5055</f>
        <v>0</v>
      </c>
      <c r="AE19" s="39">
        <f>資料儲存!F5055</f>
        <v>0</v>
      </c>
      <c r="AF19" s="39">
        <f>資料儲存!G5055</f>
        <v>0</v>
      </c>
      <c r="AG19" s="39">
        <f>資料儲存!H5055</f>
        <v>0</v>
      </c>
      <c r="AH19" s="39">
        <f>資料儲存!I5055</f>
        <v>0</v>
      </c>
      <c r="AI19" s="39">
        <f>資料儲存!J5055</f>
        <v>0</v>
      </c>
      <c r="AJ19" s="58"/>
      <c r="AK19" s="62">
        <v>14</v>
      </c>
      <c r="AL19" s="39">
        <f>資料儲存!D5175</f>
        <v>0</v>
      </c>
      <c r="AM19" s="39">
        <f>資料儲存!E5175</f>
        <v>0</v>
      </c>
      <c r="AN19" s="39">
        <f>資料儲存!F5175</f>
        <v>0</v>
      </c>
      <c r="AO19" s="39">
        <f>資料儲存!G5175</f>
        <v>0</v>
      </c>
      <c r="AP19" s="39">
        <f>資料儲存!H5175</f>
        <v>0</v>
      </c>
      <c r="AQ19" s="39">
        <f>資料儲存!I5175</f>
        <v>0</v>
      </c>
      <c r="AR19" s="39">
        <f>資料儲存!J5175</f>
        <v>0</v>
      </c>
      <c r="AT19" s="62">
        <v>14</v>
      </c>
      <c r="AU19" s="39">
        <f>資料儲存!D5295</f>
        <v>0</v>
      </c>
      <c r="AV19" s="39">
        <f>資料儲存!E5295</f>
        <v>0</v>
      </c>
      <c r="AW19" s="39">
        <f>資料儲存!F5295</f>
        <v>0</v>
      </c>
      <c r="AX19" s="39">
        <f>資料儲存!G5295</f>
        <v>0</v>
      </c>
      <c r="AY19" s="39">
        <f>資料儲存!H5295</f>
        <v>0</v>
      </c>
      <c r="AZ19" s="39">
        <f>資料儲存!I5295</f>
        <v>0</v>
      </c>
      <c r="BA19" s="39">
        <f>資料儲存!J5295</f>
        <v>0</v>
      </c>
    </row>
    <row r="20" spans="1:53" s="59" customFormat="1" ht="16" thickBot="1">
      <c r="A20" s="62">
        <v>15</v>
      </c>
      <c r="B20" s="39">
        <f>資料儲存!D4696</f>
        <v>0</v>
      </c>
      <c r="C20" s="39">
        <f>資料儲存!E4696</f>
        <v>0</v>
      </c>
      <c r="D20" s="39">
        <f>資料儲存!F4696</f>
        <v>0</v>
      </c>
      <c r="E20" s="39">
        <f>資料儲存!G4696</f>
        <v>0</v>
      </c>
      <c r="F20" s="39">
        <f>資料儲存!H4696</f>
        <v>0</v>
      </c>
      <c r="G20" s="39">
        <f>資料儲存!I4696</f>
        <v>0</v>
      </c>
      <c r="H20" s="39">
        <f>資料儲存!J4696</f>
        <v>0</v>
      </c>
      <c r="I20" s="58"/>
      <c r="J20" s="62">
        <v>15</v>
      </c>
      <c r="K20" s="39">
        <f>資料儲存!D4816</f>
        <v>0</v>
      </c>
      <c r="L20" s="39">
        <f>資料儲存!E4816</f>
        <v>0</v>
      </c>
      <c r="M20" s="39">
        <f>資料儲存!F4816</f>
        <v>0</v>
      </c>
      <c r="N20" s="39">
        <f>資料儲存!G4816</f>
        <v>0</v>
      </c>
      <c r="O20" s="39">
        <f>資料儲存!H4816</f>
        <v>0</v>
      </c>
      <c r="P20" s="39">
        <f>資料儲存!I4816</f>
        <v>0</v>
      </c>
      <c r="Q20" s="39">
        <f>資料儲存!J4816</f>
        <v>0</v>
      </c>
      <c r="R20" s="58"/>
      <c r="S20" s="62">
        <v>15</v>
      </c>
      <c r="T20" s="39">
        <f>資料儲存!D4936</f>
        <v>0</v>
      </c>
      <c r="U20" s="39">
        <f>資料儲存!E4936</f>
        <v>0</v>
      </c>
      <c r="V20" s="39">
        <f>資料儲存!F4936</f>
        <v>0</v>
      </c>
      <c r="W20" s="39">
        <f>資料儲存!G4936</f>
        <v>0</v>
      </c>
      <c r="X20" s="39">
        <f>資料儲存!H4936</f>
        <v>0</v>
      </c>
      <c r="Y20" s="39">
        <f>資料儲存!I4936</f>
        <v>0</v>
      </c>
      <c r="Z20" s="39">
        <f>資料儲存!J4936</f>
        <v>0</v>
      </c>
      <c r="AA20" s="58"/>
      <c r="AB20" s="62">
        <v>15</v>
      </c>
      <c r="AC20" s="39">
        <f>資料儲存!D5056</f>
        <v>0</v>
      </c>
      <c r="AD20" s="39">
        <f>資料儲存!E5056</f>
        <v>0</v>
      </c>
      <c r="AE20" s="39">
        <f>資料儲存!F5056</f>
        <v>0</v>
      </c>
      <c r="AF20" s="39">
        <f>資料儲存!G5056</f>
        <v>0</v>
      </c>
      <c r="AG20" s="39">
        <f>資料儲存!H5056</f>
        <v>0</v>
      </c>
      <c r="AH20" s="39">
        <f>資料儲存!I5056</f>
        <v>0</v>
      </c>
      <c r="AI20" s="39">
        <f>資料儲存!J5056</f>
        <v>0</v>
      </c>
      <c r="AJ20" s="58"/>
      <c r="AK20" s="62">
        <v>15</v>
      </c>
      <c r="AL20" s="39">
        <f>資料儲存!D5176</f>
        <v>0</v>
      </c>
      <c r="AM20" s="39">
        <f>資料儲存!E5176</f>
        <v>0</v>
      </c>
      <c r="AN20" s="39">
        <f>資料儲存!F5176</f>
        <v>0</v>
      </c>
      <c r="AO20" s="39">
        <f>資料儲存!G5176</f>
        <v>0</v>
      </c>
      <c r="AP20" s="39">
        <f>資料儲存!H5176</f>
        <v>0</v>
      </c>
      <c r="AQ20" s="39">
        <f>資料儲存!I5176</f>
        <v>0</v>
      </c>
      <c r="AR20" s="39">
        <f>資料儲存!J5176</f>
        <v>0</v>
      </c>
      <c r="AT20" s="62">
        <v>15</v>
      </c>
      <c r="AU20" s="39">
        <f>資料儲存!D5296</f>
        <v>0</v>
      </c>
      <c r="AV20" s="39">
        <f>資料儲存!E5296</f>
        <v>0</v>
      </c>
      <c r="AW20" s="39">
        <f>資料儲存!F5296</f>
        <v>0</v>
      </c>
      <c r="AX20" s="39">
        <f>資料儲存!G5296</f>
        <v>0</v>
      </c>
      <c r="AY20" s="39">
        <f>資料儲存!H5296</f>
        <v>0</v>
      </c>
      <c r="AZ20" s="39">
        <f>資料儲存!I5296</f>
        <v>0</v>
      </c>
      <c r="BA20" s="39">
        <f>資料儲存!J5296</f>
        <v>0</v>
      </c>
    </row>
    <row r="21" spans="1:53" s="59" customFormat="1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35"/>
      <c r="AK21" s="40" t="s">
        <v>56</v>
      </c>
      <c r="AL21" s="39">
        <f>SUM(AL6:AO20)</f>
        <v>0</v>
      </c>
      <c r="AM21" s="37"/>
      <c r="AN21" s="37"/>
      <c r="AO21" s="37"/>
      <c r="AP21" s="39">
        <f>AP20</f>
        <v>0</v>
      </c>
      <c r="AQ21" s="39">
        <f>AQ20</f>
        <v>0</v>
      </c>
      <c r="AR21" s="39">
        <f>AR20</f>
        <v>0</v>
      </c>
      <c r="AT21" s="40" t="s">
        <v>56</v>
      </c>
      <c r="AU21" s="39">
        <f>SUM(AU6:AX20)</f>
        <v>0</v>
      </c>
      <c r="AV21" s="37"/>
      <c r="AW21" s="37"/>
      <c r="AX21" s="37"/>
      <c r="AY21" s="39">
        <f>AY20</f>
        <v>0</v>
      </c>
      <c r="AZ21" s="39">
        <f>AZ20</f>
        <v>0</v>
      </c>
      <c r="BA21" s="39">
        <f>BA20</f>
        <v>0</v>
      </c>
    </row>
    <row r="22" spans="1:53" ht="18.5" thickBot="1">
      <c r="A22" s="257" t="s">
        <v>118</v>
      </c>
      <c r="B22" s="258"/>
      <c r="C22" s="258"/>
      <c r="D22" s="258"/>
      <c r="E22" s="258"/>
      <c r="F22" s="258"/>
      <c r="G22" s="258"/>
      <c r="H22" s="259"/>
      <c r="I22" s="14"/>
      <c r="J22" s="257" t="s">
        <v>118</v>
      </c>
      <c r="K22" s="258"/>
      <c r="L22" s="258"/>
      <c r="M22" s="258"/>
      <c r="N22" s="258"/>
      <c r="O22" s="258"/>
      <c r="P22" s="258"/>
      <c r="Q22" s="259"/>
      <c r="R22" s="14"/>
      <c r="S22" s="257" t="s">
        <v>118</v>
      </c>
      <c r="T22" s="258"/>
      <c r="U22" s="258"/>
      <c r="V22" s="258"/>
      <c r="W22" s="258"/>
      <c r="X22" s="258"/>
      <c r="Y22" s="258"/>
      <c r="Z22" s="259"/>
      <c r="AA22" s="14"/>
      <c r="AB22" s="257" t="s">
        <v>118</v>
      </c>
      <c r="AC22" s="258"/>
      <c r="AD22" s="258"/>
      <c r="AE22" s="258"/>
      <c r="AF22" s="258"/>
      <c r="AG22" s="258"/>
      <c r="AH22" s="258"/>
      <c r="AI22" s="259"/>
      <c r="AJ22" s="14"/>
      <c r="AK22" s="257" t="s">
        <v>118</v>
      </c>
      <c r="AL22" s="258"/>
      <c r="AM22" s="258"/>
      <c r="AN22" s="258"/>
      <c r="AO22" s="258"/>
      <c r="AP22" s="258"/>
      <c r="AQ22" s="258"/>
      <c r="AR22" s="259"/>
      <c r="AT22" s="257" t="s">
        <v>118</v>
      </c>
      <c r="AU22" s="258"/>
      <c r="AV22" s="258"/>
      <c r="AW22" s="258"/>
      <c r="AX22" s="258"/>
      <c r="AY22" s="258"/>
      <c r="AZ22" s="258"/>
      <c r="BA22" s="259"/>
    </row>
    <row r="23" spans="1:53" s="67" customFormat="1" ht="17.25" customHeight="1" thickBot="1">
      <c r="A23" s="63" t="s">
        <v>2</v>
      </c>
      <c r="B23" s="64" t="s">
        <v>46</v>
      </c>
      <c r="C23" s="65"/>
      <c r="D23" s="65"/>
      <c r="E23" s="66"/>
      <c r="F23" s="64" t="s">
        <v>47</v>
      </c>
      <c r="G23" s="65"/>
      <c r="H23" s="66"/>
      <c r="I23" s="52"/>
      <c r="J23" s="63" t="s">
        <v>2</v>
      </c>
      <c r="K23" s="64" t="s">
        <v>46</v>
      </c>
      <c r="L23" s="65"/>
      <c r="M23" s="65"/>
      <c r="N23" s="66"/>
      <c r="O23" s="64" t="s">
        <v>47</v>
      </c>
      <c r="P23" s="65"/>
      <c r="Q23" s="66"/>
      <c r="R23" s="52"/>
      <c r="S23" s="63" t="s">
        <v>2</v>
      </c>
      <c r="T23" s="64" t="s">
        <v>46</v>
      </c>
      <c r="U23" s="65"/>
      <c r="V23" s="65"/>
      <c r="W23" s="66"/>
      <c r="X23" s="64" t="s">
        <v>47</v>
      </c>
      <c r="Y23" s="65"/>
      <c r="Z23" s="66"/>
      <c r="AA23" s="52"/>
      <c r="AB23" s="63" t="s">
        <v>2</v>
      </c>
      <c r="AC23" s="64" t="s">
        <v>46</v>
      </c>
      <c r="AD23" s="65"/>
      <c r="AE23" s="65"/>
      <c r="AF23" s="66"/>
      <c r="AG23" s="64" t="s">
        <v>47</v>
      </c>
      <c r="AH23" s="65"/>
      <c r="AI23" s="66"/>
      <c r="AJ23" s="52"/>
      <c r="AK23" s="63" t="s">
        <v>2</v>
      </c>
      <c r="AL23" s="64" t="s">
        <v>46</v>
      </c>
      <c r="AM23" s="65"/>
      <c r="AN23" s="65"/>
      <c r="AO23" s="66"/>
      <c r="AP23" s="64" t="s">
        <v>47</v>
      </c>
      <c r="AQ23" s="65"/>
      <c r="AR23" s="66"/>
      <c r="AT23" s="63" t="s">
        <v>2</v>
      </c>
      <c r="AU23" s="64" t="s">
        <v>46</v>
      </c>
      <c r="AV23" s="65"/>
      <c r="AW23" s="65"/>
      <c r="AX23" s="66"/>
      <c r="AY23" s="64" t="s">
        <v>47</v>
      </c>
      <c r="AZ23" s="65"/>
      <c r="BA23" s="66"/>
    </row>
    <row r="24" spans="1:53" s="67" customFormat="1" ht="16" thickBot="1">
      <c r="A24" s="68">
        <v>0.67708333333333337</v>
      </c>
      <c r="B24" s="69" t="s">
        <v>49</v>
      </c>
      <c r="C24" s="69" t="s">
        <v>50</v>
      </c>
      <c r="D24" s="69" t="s">
        <v>51</v>
      </c>
      <c r="E24" s="69" t="s">
        <v>52</v>
      </c>
      <c r="F24" s="69" t="s">
        <v>53</v>
      </c>
      <c r="G24" s="69" t="s">
        <v>54</v>
      </c>
      <c r="H24" s="69" t="s">
        <v>55</v>
      </c>
      <c r="I24" s="52"/>
      <c r="J24" s="68">
        <v>0.67708333333333337</v>
      </c>
      <c r="K24" s="69" t="s">
        <v>49</v>
      </c>
      <c r="L24" s="69" t="s">
        <v>50</v>
      </c>
      <c r="M24" s="69" t="s">
        <v>51</v>
      </c>
      <c r="N24" s="69" t="s">
        <v>52</v>
      </c>
      <c r="O24" s="69" t="s">
        <v>53</v>
      </c>
      <c r="P24" s="69" t="s">
        <v>54</v>
      </c>
      <c r="Q24" s="69" t="s">
        <v>55</v>
      </c>
      <c r="R24" s="52"/>
      <c r="S24" s="68">
        <v>0.67708333333333337</v>
      </c>
      <c r="T24" s="69" t="s">
        <v>49</v>
      </c>
      <c r="U24" s="69" t="s">
        <v>50</v>
      </c>
      <c r="V24" s="69" t="s">
        <v>51</v>
      </c>
      <c r="W24" s="69" t="s">
        <v>52</v>
      </c>
      <c r="X24" s="69" t="s">
        <v>53</v>
      </c>
      <c r="Y24" s="69" t="s">
        <v>54</v>
      </c>
      <c r="Z24" s="69" t="s">
        <v>55</v>
      </c>
      <c r="AA24" s="52"/>
      <c r="AB24" s="68">
        <v>0.67708333333333337</v>
      </c>
      <c r="AC24" s="69" t="s">
        <v>49</v>
      </c>
      <c r="AD24" s="69" t="s">
        <v>50</v>
      </c>
      <c r="AE24" s="69" t="s">
        <v>51</v>
      </c>
      <c r="AF24" s="69" t="s">
        <v>52</v>
      </c>
      <c r="AG24" s="69" t="s">
        <v>53</v>
      </c>
      <c r="AH24" s="69" t="s">
        <v>54</v>
      </c>
      <c r="AI24" s="69" t="s">
        <v>55</v>
      </c>
      <c r="AJ24" s="52"/>
      <c r="AK24" s="68">
        <v>0.67708333333333337</v>
      </c>
      <c r="AL24" s="69" t="s">
        <v>49</v>
      </c>
      <c r="AM24" s="69" t="s">
        <v>50</v>
      </c>
      <c r="AN24" s="69" t="s">
        <v>51</v>
      </c>
      <c r="AO24" s="69" t="s">
        <v>52</v>
      </c>
      <c r="AP24" s="69" t="s">
        <v>53</v>
      </c>
      <c r="AQ24" s="69" t="s">
        <v>54</v>
      </c>
      <c r="AR24" s="69" t="s">
        <v>55</v>
      </c>
      <c r="AT24" s="68">
        <v>0.67708333333333337</v>
      </c>
      <c r="AU24" s="69" t="s">
        <v>49</v>
      </c>
      <c r="AV24" s="69" t="s">
        <v>50</v>
      </c>
      <c r="AW24" s="69" t="s">
        <v>51</v>
      </c>
      <c r="AX24" s="69" t="s">
        <v>52</v>
      </c>
      <c r="AY24" s="69" t="s">
        <v>53</v>
      </c>
      <c r="AZ24" s="69" t="s">
        <v>54</v>
      </c>
      <c r="BA24" s="69" t="s">
        <v>55</v>
      </c>
    </row>
    <row r="25" spans="1:53" s="67" customFormat="1" ht="16" thickBot="1">
      <c r="A25" s="70">
        <v>16</v>
      </c>
      <c r="B25" s="49">
        <f>資料儲存!D4697</f>
        <v>0</v>
      </c>
      <c r="C25" s="49">
        <f>資料儲存!E4697</f>
        <v>0</v>
      </c>
      <c r="D25" s="49">
        <f>資料儲存!F4697</f>
        <v>0</v>
      </c>
      <c r="E25" s="49">
        <f>資料儲存!G4697</f>
        <v>0</v>
      </c>
      <c r="F25" s="49">
        <f>資料儲存!H4697</f>
        <v>0</v>
      </c>
      <c r="G25" s="49">
        <f>資料儲存!I4697</f>
        <v>0</v>
      </c>
      <c r="H25" s="49">
        <f>資料儲存!J4697</f>
        <v>0</v>
      </c>
      <c r="I25" s="52"/>
      <c r="J25" s="70">
        <v>16</v>
      </c>
      <c r="K25" s="49">
        <f>資料儲存!D4817</f>
        <v>0</v>
      </c>
      <c r="L25" s="49">
        <f>資料儲存!E4817</f>
        <v>0</v>
      </c>
      <c r="M25" s="49">
        <f>資料儲存!F4817</f>
        <v>0</v>
      </c>
      <c r="N25" s="49">
        <f>資料儲存!G4817</f>
        <v>0</v>
      </c>
      <c r="O25" s="49">
        <f>資料儲存!H4817</f>
        <v>0</v>
      </c>
      <c r="P25" s="49">
        <f>資料儲存!I4817</f>
        <v>0</v>
      </c>
      <c r="Q25" s="49">
        <f>資料儲存!J4817</f>
        <v>0</v>
      </c>
      <c r="R25" s="52"/>
      <c r="S25" s="70">
        <v>16</v>
      </c>
      <c r="T25" s="49">
        <f>資料儲存!D4937</f>
        <v>0</v>
      </c>
      <c r="U25" s="49">
        <f>資料儲存!E4937</f>
        <v>0</v>
      </c>
      <c r="V25" s="49">
        <f>資料儲存!F4937</f>
        <v>0</v>
      </c>
      <c r="W25" s="49">
        <f>資料儲存!G4937</f>
        <v>0</v>
      </c>
      <c r="X25" s="49">
        <f>資料儲存!H4937</f>
        <v>0</v>
      </c>
      <c r="Y25" s="49">
        <f>資料儲存!I4937</f>
        <v>0</v>
      </c>
      <c r="Z25" s="49">
        <f>資料儲存!J4937</f>
        <v>0</v>
      </c>
      <c r="AA25" s="52"/>
      <c r="AB25" s="70">
        <v>16</v>
      </c>
      <c r="AC25" s="49">
        <f>資料儲存!D5057</f>
        <v>0</v>
      </c>
      <c r="AD25" s="49">
        <f>資料儲存!E5057</f>
        <v>0</v>
      </c>
      <c r="AE25" s="49">
        <f>資料儲存!F5057</f>
        <v>0</v>
      </c>
      <c r="AF25" s="49">
        <f>資料儲存!G5057</f>
        <v>0</v>
      </c>
      <c r="AG25" s="49">
        <f>資料儲存!H5057</f>
        <v>0</v>
      </c>
      <c r="AH25" s="49">
        <f>資料儲存!I5057</f>
        <v>0</v>
      </c>
      <c r="AI25" s="49">
        <f>資料儲存!J5057</f>
        <v>0</v>
      </c>
      <c r="AJ25" s="52"/>
      <c r="AK25" s="70">
        <v>16</v>
      </c>
      <c r="AL25" s="49">
        <f>資料儲存!D5177</f>
        <v>0</v>
      </c>
      <c r="AM25" s="49">
        <f>資料儲存!E5177</f>
        <v>0</v>
      </c>
      <c r="AN25" s="49">
        <f>資料儲存!F5177</f>
        <v>0</v>
      </c>
      <c r="AO25" s="49">
        <f>資料儲存!G5177</f>
        <v>0</v>
      </c>
      <c r="AP25" s="49">
        <f>資料儲存!H5177</f>
        <v>0</v>
      </c>
      <c r="AQ25" s="49">
        <f>資料儲存!I5177</f>
        <v>0</v>
      </c>
      <c r="AR25" s="49">
        <f>資料儲存!J5177</f>
        <v>0</v>
      </c>
      <c r="AT25" s="70">
        <v>16</v>
      </c>
      <c r="AU25" s="49">
        <f>資料儲存!D5297</f>
        <v>0</v>
      </c>
      <c r="AV25" s="49">
        <f>資料儲存!E5297</f>
        <v>0</v>
      </c>
      <c r="AW25" s="49">
        <f>資料儲存!F5297</f>
        <v>0</v>
      </c>
      <c r="AX25" s="49">
        <f>資料儲存!G5297</f>
        <v>0</v>
      </c>
      <c r="AY25" s="49">
        <f>資料儲存!H5297</f>
        <v>0</v>
      </c>
      <c r="AZ25" s="49">
        <f>資料儲存!I5297</f>
        <v>0</v>
      </c>
      <c r="BA25" s="49">
        <f>資料儲存!J5297</f>
        <v>0</v>
      </c>
    </row>
    <row r="26" spans="1:53" s="67" customFormat="1" ht="16" thickBot="1">
      <c r="A26" s="70">
        <v>17</v>
      </c>
      <c r="B26" s="49">
        <f>資料儲存!D4698</f>
        <v>0</v>
      </c>
      <c r="C26" s="49">
        <f>資料儲存!E4698</f>
        <v>0</v>
      </c>
      <c r="D26" s="49">
        <f>資料儲存!F4698</f>
        <v>0</v>
      </c>
      <c r="E26" s="49">
        <f>資料儲存!G4698</f>
        <v>0</v>
      </c>
      <c r="F26" s="49">
        <f>資料儲存!H4698</f>
        <v>0</v>
      </c>
      <c r="G26" s="49">
        <f>資料儲存!I4698</f>
        <v>0</v>
      </c>
      <c r="H26" s="49">
        <f>資料儲存!J4698</f>
        <v>0</v>
      </c>
      <c r="I26" s="52"/>
      <c r="J26" s="70">
        <v>17</v>
      </c>
      <c r="K26" s="49">
        <f>資料儲存!D4818</f>
        <v>0</v>
      </c>
      <c r="L26" s="49">
        <f>資料儲存!E4818</f>
        <v>0</v>
      </c>
      <c r="M26" s="49">
        <f>資料儲存!F4818</f>
        <v>0</v>
      </c>
      <c r="N26" s="49">
        <f>資料儲存!G4818</f>
        <v>0</v>
      </c>
      <c r="O26" s="49">
        <f>資料儲存!H4818</f>
        <v>0</v>
      </c>
      <c r="P26" s="49">
        <f>資料儲存!I4818</f>
        <v>0</v>
      </c>
      <c r="Q26" s="49">
        <f>資料儲存!J4818</f>
        <v>0</v>
      </c>
      <c r="R26" s="52"/>
      <c r="S26" s="70">
        <v>17</v>
      </c>
      <c r="T26" s="49">
        <f>資料儲存!D4938</f>
        <v>0</v>
      </c>
      <c r="U26" s="49">
        <f>資料儲存!E4938</f>
        <v>0</v>
      </c>
      <c r="V26" s="49">
        <f>資料儲存!F4938</f>
        <v>0</v>
      </c>
      <c r="W26" s="49">
        <f>資料儲存!G4938</f>
        <v>0</v>
      </c>
      <c r="X26" s="49">
        <f>資料儲存!H4938</f>
        <v>0</v>
      </c>
      <c r="Y26" s="49">
        <f>資料儲存!I4938</f>
        <v>0</v>
      </c>
      <c r="Z26" s="49">
        <f>資料儲存!J4938</f>
        <v>0</v>
      </c>
      <c r="AA26" s="52"/>
      <c r="AB26" s="70">
        <v>17</v>
      </c>
      <c r="AC26" s="49">
        <f>資料儲存!D5058</f>
        <v>0</v>
      </c>
      <c r="AD26" s="49">
        <f>資料儲存!E5058</f>
        <v>0</v>
      </c>
      <c r="AE26" s="49">
        <f>資料儲存!F5058</f>
        <v>0</v>
      </c>
      <c r="AF26" s="49">
        <f>資料儲存!G5058</f>
        <v>0</v>
      </c>
      <c r="AG26" s="49">
        <f>資料儲存!H5058</f>
        <v>0</v>
      </c>
      <c r="AH26" s="49">
        <f>資料儲存!I5058</f>
        <v>0</v>
      </c>
      <c r="AI26" s="49">
        <f>資料儲存!J5058</f>
        <v>0</v>
      </c>
      <c r="AJ26" s="52"/>
      <c r="AK26" s="70">
        <v>17</v>
      </c>
      <c r="AL26" s="49">
        <f>資料儲存!D5178</f>
        <v>0</v>
      </c>
      <c r="AM26" s="49">
        <f>資料儲存!E5178</f>
        <v>0</v>
      </c>
      <c r="AN26" s="49">
        <f>資料儲存!F5178</f>
        <v>0</v>
      </c>
      <c r="AO26" s="49">
        <f>資料儲存!G5178</f>
        <v>0</v>
      </c>
      <c r="AP26" s="49">
        <f>資料儲存!H5178</f>
        <v>0</v>
      </c>
      <c r="AQ26" s="49">
        <f>資料儲存!I5178</f>
        <v>0</v>
      </c>
      <c r="AR26" s="49">
        <f>資料儲存!J5178</f>
        <v>0</v>
      </c>
      <c r="AT26" s="70">
        <v>17</v>
      </c>
      <c r="AU26" s="49">
        <f>資料儲存!D5298</f>
        <v>0</v>
      </c>
      <c r="AV26" s="49">
        <f>資料儲存!E5298</f>
        <v>0</v>
      </c>
      <c r="AW26" s="49">
        <f>資料儲存!F5298</f>
        <v>0</v>
      </c>
      <c r="AX26" s="49">
        <f>資料儲存!G5298</f>
        <v>0</v>
      </c>
      <c r="AY26" s="49">
        <f>資料儲存!H5298</f>
        <v>0</v>
      </c>
      <c r="AZ26" s="49">
        <f>資料儲存!I5298</f>
        <v>0</v>
      </c>
      <c r="BA26" s="49">
        <f>資料儲存!J5298</f>
        <v>0</v>
      </c>
    </row>
    <row r="27" spans="1:53" s="67" customFormat="1" ht="16" thickBot="1">
      <c r="A27" s="70">
        <v>18</v>
      </c>
      <c r="B27" s="49">
        <f>資料儲存!D4699</f>
        <v>0</v>
      </c>
      <c r="C27" s="49">
        <f>資料儲存!E4699</f>
        <v>0</v>
      </c>
      <c r="D27" s="49">
        <f>資料儲存!F4699</f>
        <v>0</v>
      </c>
      <c r="E27" s="49">
        <f>資料儲存!G4699</f>
        <v>0</v>
      </c>
      <c r="F27" s="49">
        <f>資料儲存!H4699</f>
        <v>0</v>
      </c>
      <c r="G27" s="49">
        <f>資料儲存!I4699</f>
        <v>0</v>
      </c>
      <c r="H27" s="49">
        <f>資料儲存!J4699</f>
        <v>0</v>
      </c>
      <c r="I27" s="52"/>
      <c r="J27" s="70">
        <v>18</v>
      </c>
      <c r="K27" s="49">
        <f>資料儲存!D4819</f>
        <v>0</v>
      </c>
      <c r="L27" s="49">
        <f>資料儲存!E4819</f>
        <v>0</v>
      </c>
      <c r="M27" s="49">
        <f>資料儲存!F4819</f>
        <v>0</v>
      </c>
      <c r="N27" s="49">
        <f>資料儲存!G4819</f>
        <v>0</v>
      </c>
      <c r="O27" s="49">
        <f>資料儲存!H4819</f>
        <v>0</v>
      </c>
      <c r="P27" s="49">
        <f>資料儲存!I4819</f>
        <v>0</v>
      </c>
      <c r="Q27" s="49">
        <f>資料儲存!J4819</f>
        <v>0</v>
      </c>
      <c r="R27" s="52"/>
      <c r="S27" s="70">
        <v>18</v>
      </c>
      <c r="T27" s="49">
        <f>資料儲存!D4939</f>
        <v>0</v>
      </c>
      <c r="U27" s="49">
        <f>資料儲存!E4939</f>
        <v>0</v>
      </c>
      <c r="V27" s="49">
        <f>資料儲存!F4939</f>
        <v>0</v>
      </c>
      <c r="W27" s="49">
        <f>資料儲存!G4939</f>
        <v>0</v>
      </c>
      <c r="X27" s="49">
        <f>資料儲存!H4939</f>
        <v>0</v>
      </c>
      <c r="Y27" s="49">
        <f>資料儲存!I4939</f>
        <v>0</v>
      </c>
      <c r="Z27" s="49">
        <f>資料儲存!J4939</f>
        <v>0</v>
      </c>
      <c r="AA27" s="52"/>
      <c r="AB27" s="70">
        <v>18</v>
      </c>
      <c r="AC27" s="49">
        <f>資料儲存!D5059</f>
        <v>0</v>
      </c>
      <c r="AD27" s="49">
        <f>資料儲存!E5059</f>
        <v>0</v>
      </c>
      <c r="AE27" s="49">
        <f>資料儲存!F5059</f>
        <v>0</v>
      </c>
      <c r="AF27" s="49">
        <f>資料儲存!G5059</f>
        <v>0</v>
      </c>
      <c r="AG27" s="49">
        <f>資料儲存!H5059</f>
        <v>0</v>
      </c>
      <c r="AH27" s="49">
        <f>資料儲存!I5059</f>
        <v>0</v>
      </c>
      <c r="AI27" s="49">
        <f>資料儲存!J5059</f>
        <v>0</v>
      </c>
      <c r="AJ27" s="52"/>
      <c r="AK27" s="70">
        <v>18</v>
      </c>
      <c r="AL27" s="49">
        <f>資料儲存!D5179</f>
        <v>0</v>
      </c>
      <c r="AM27" s="49">
        <f>資料儲存!E5179</f>
        <v>0</v>
      </c>
      <c r="AN27" s="49">
        <f>資料儲存!F5179</f>
        <v>0</v>
      </c>
      <c r="AO27" s="49">
        <f>資料儲存!G5179</f>
        <v>0</v>
      </c>
      <c r="AP27" s="49">
        <f>資料儲存!H5179</f>
        <v>0</v>
      </c>
      <c r="AQ27" s="49">
        <f>資料儲存!I5179</f>
        <v>0</v>
      </c>
      <c r="AR27" s="49">
        <f>資料儲存!J5179</f>
        <v>0</v>
      </c>
      <c r="AT27" s="70">
        <v>18</v>
      </c>
      <c r="AU27" s="49">
        <f>資料儲存!D5299</f>
        <v>0</v>
      </c>
      <c r="AV27" s="49">
        <f>資料儲存!E5299</f>
        <v>0</v>
      </c>
      <c r="AW27" s="49">
        <f>資料儲存!F5299</f>
        <v>0</v>
      </c>
      <c r="AX27" s="49">
        <f>資料儲存!G5299</f>
        <v>0</v>
      </c>
      <c r="AY27" s="49">
        <f>資料儲存!H5299</f>
        <v>0</v>
      </c>
      <c r="AZ27" s="49">
        <f>資料儲存!I5299</f>
        <v>0</v>
      </c>
      <c r="BA27" s="49">
        <f>資料儲存!J5299</f>
        <v>0</v>
      </c>
    </row>
    <row r="28" spans="1:53" s="67" customFormat="1" ht="16" thickBot="1">
      <c r="A28" s="70">
        <v>19</v>
      </c>
      <c r="B28" s="49">
        <f>資料儲存!D4700</f>
        <v>0</v>
      </c>
      <c r="C28" s="49">
        <f>資料儲存!E4700</f>
        <v>0</v>
      </c>
      <c r="D28" s="49">
        <f>資料儲存!F4700</f>
        <v>0</v>
      </c>
      <c r="E28" s="49">
        <f>資料儲存!G4700</f>
        <v>0</v>
      </c>
      <c r="F28" s="49">
        <f>資料儲存!H4700</f>
        <v>0</v>
      </c>
      <c r="G28" s="49">
        <f>資料儲存!I4700</f>
        <v>0</v>
      </c>
      <c r="H28" s="49">
        <f>資料儲存!J4700</f>
        <v>0</v>
      </c>
      <c r="I28" s="52"/>
      <c r="J28" s="70">
        <v>19</v>
      </c>
      <c r="K28" s="49">
        <f>資料儲存!D4820</f>
        <v>0</v>
      </c>
      <c r="L28" s="49">
        <f>資料儲存!E4820</f>
        <v>0</v>
      </c>
      <c r="M28" s="49">
        <f>資料儲存!F4820</f>
        <v>0</v>
      </c>
      <c r="N28" s="49">
        <f>資料儲存!G4820</f>
        <v>0</v>
      </c>
      <c r="O28" s="49">
        <f>資料儲存!H4820</f>
        <v>0</v>
      </c>
      <c r="P28" s="49">
        <f>資料儲存!I4820</f>
        <v>0</v>
      </c>
      <c r="Q28" s="49">
        <f>資料儲存!J4820</f>
        <v>0</v>
      </c>
      <c r="R28" s="52"/>
      <c r="S28" s="70">
        <v>19</v>
      </c>
      <c r="T28" s="49">
        <f>資料儲存!D4940</f>
        <v>0</v>
      </c>
      <c r="U28" s="49">
        <f>資料儲存!E4940</f>
        <v>0</v>
      </c>
      <c r="V28" s="49">
        <f>資料儲存!F4940</f>
        <v>0</v>
      </c>
      <c r="W28" s="49">
        <f>資料儲存!G4940</f>
        <v>0</v>
      </c>
      <c r="X28" s="49">
        <f>資料儲存!H4940</f>
        <v>0</v>
      </c>
      <c r="Y28" s="49">
        <f>資料儲存!I4940</f>
        <v>0</v>
      </c>
      <c r="Z28" s="49">
        <f>資料儲存!J4940</f>
        <v>0</v>
      </c>
      <c r="AA28" s="52"/>
      <c r="AB28" s="70">
        <v>19</v>
      </c>
      <c r="AC28" s="49">
        <f>資料儲存!D5060</f>
        <v>0</v>
      </c>
      <c r="AD28" s="49">
        <f>資料儲存!E5060</f>
        <v>0</v>
      </c>
      <c r="AE28" s="49">
        <f>資料儲存!F5060</f>
        <v>0</v>
      </c>
      <c r="AF28" s="49">
        <f>資料儲存!G5060</f>
        <v>0</v>
      </c>
      <c r="AG28" s="49">
        <f>資料儲存!H5060</f>
        <v>0</v>
      </c>
      <c r="AH28" s="49">
        <f>資料儲存!I5060</f>
        <v>0</v>
      </c>
      <c r="AI28" s="49">
        <f>資料儲存!J5060</f>
        <v>0</v>
      </c>
      <c r="AJ28" s="52"/>
      <c r="AK28" s="70">
        <v>19</v>
      </c>
      <c r="AL28" s="49">
        <f>資料儲存!D5180</f>
        <v>0</v>
      </c>
      <c r="AM28" s="49">
        <f>資料儲存!E5180</f>
        <v>0</v>
      </c>
      <c r="AN28" s="49">
        <f>資料儲存!F5180</f>
        <v>0</v>
      </c>
      <c r="AO28" s="49">
        <f>資料儲存!G5180</f>
        <v>0</v>
      </c>
      <c r="AP28" s="49">
        <f>資料儲存!H5180</f>
        <v>0</v>
      </c>
      <c r="AQ28" s="49">
        <f>資料儲存!I5180</f>
        <v>0</v>
      </c>
      <c r="AR28" s="49">
        <f>資料儲存!J5180</f>
        <v>0</v>
      </c>
      <c r="AT28" s="70">
        <v>19</v>
      </c>
      <c r="AU28" s="49">
        <f>資料儲存!D5300</f>
        <v>0</v>
      </c>
      <c r="AV28" s="49">
        <f>資料儲存!E5300</f>
        <v>0</v>
      </c>
      <c r="AW28" s="49">
        <f>資料儲存!F5300</f>
        <v>0</v>
      </c>
      <c r="AX28" s="49">
        <f>資料儲存!G5300</f>
        <v>0</v>
      </c>
      <c r="AY28" s="49">
        <f>資料儲存!H5300</f>
        <v>0</v>
      </c>
      <c r="AZ28" s="49">
        <f>資料儲存!I5300</f>
        <v>0</v>
      </c>
      <c r="BA28" s="49">
        <f>資料儲存!J5300</f>
        <v>0</v>
      </c>
    </row>
    <row r="29" spans="1:53" s="67" customFormat="1" ht="16" thickBot="1">
      <c r="A29" s="70">
        <v>20</v>
      </c>
      <c r="B29" s="49">
        <f>資料儲存!D4701</f>
        <v>0</v>
      </c>
      <c r="C29" s="49">
        <f>資料儲存!E4701</f>
        <v>0</v>
      </c>
      <c r="D29" s="49">
        <f>資料儲存!F4701</f>
        <v>0</v>
      </c>
      <c r="E29" s="49">
        <f>資料儲存!G4701</f>
        <v>0</v>
      </c>
      <c r="F29" s="49">
        <f>資料儲存!H4701</f>
        <v>0</v>
      </c>
      <c r="G29" s="49">
        <f>資料儲存!I4701</f>
        <v>0</v>
      </c>
      <c r="H29" s="49">
        <f>資料儲存!J4701</f>
        <v>0</v>
      </c>
      <c r="I29" s="52"/>
      <c r="J29" s="70">
        <v>20</v>
      </c>
      <c r="K29" s="49">
        <f>資料儲存!D4821</f>
        <v>0</v>
      </c>
      <c r="L29" s="49">
        <f>資料儲存!E4821</f>
        <v>0</v>
      </c>
      <c r="M29" s="49">
        <f>資料儲存!F4821</f>
        <v>0</v>
      </c>
      <c r="N29" s="49">
        <f>資料儲存!G4821</f>
        <v>0</v>
      </c>
      <c r="O29" s="49">
        <f>資料儲存!H4821</f>
        <v>0</v>
      </c>
      <c r="P29" s="49">
        <f>資料儲存!I4821</f>
        <v>0</v>
      </c>
      <c r="Q29" s="49">
        <f>資料儲存!J4821</f>
        <v>0</v>
      </c>
      <c r="R29" s="52"/>
      <c r="S29" s="70">
        <v>20</v>
      </c>
      <c r="T29" s="49">
        <f>資料儲存!D4941</f>
        <v>0</v>
      </c>
      <c r="U29" s="49">
        <f>資料儲存!E4941</f>
        <v>0</v>
      </c>
      <c r="V29" s="49">
        <f>資料儲存!F4941</f>
        <v>0</v>
      </c>
      <c r="W29" s="49">
        <f>資料儲存!G4941</f>
        <v>0</v>
      </c>
      <c r="X29" s="49">
        <f>資料儲存!H4941</f>
        <v>0</v>
      </c>
      <c r="Y29" s="49">
        <f>資料儲存!I4941</f>
        <v>0</v>
      </c>
      <c r="Z29" s="49">
        <f>資料儲存!J4941</f>
        <v>0</v>
      </c>
      <c r="AA29" s="52"/>
      <c r="AB29" s="70">
        <v>20</v>
      </c>
      <c r="AC29" s="49">
        <f>資料儲存!D5061</f>
        <v>0</v>
      </c>
      <c r="AD29" s="49">
        <f>資料儲存!E5061</f>
        <v>0</v>
      </c>
      <c r="AE29" s="49">
        <f>資料儲存!F5061</f>
        <v>0</v>
      </c>
      <c r="AF29" s="49">
        <f>資料儲存!G5061</f>
        <v>0</v>
      </c>
      <c r="AG29" s="49">
        <f>資料儲存!H5061</f>
        <v>0</v>
      </c>
      <c r="AH29" s="49">
        <f>資料儲存!I5061</f>
        <v>0</v>
      </c>
      <c r="AI29" s="49">
        <f>資料儲存!J5061</f>
        <v>0</v>
      </c>
      <c r="AJ29" s="52"/>
      <c r="AK29" s="70">
        <v>20</v>
      </c>
      <c r="AL29" s="49">
        <f>資料儲存!D5181</f>
        <v>0</v>
      </c>
      <c r="AM29" s="49">
        <f>資料儲存!E5181</f>
        <v>0</v>
      </c>
      <c r="AN29" s="49">
        <f>資料儲存!F5181</f>
        <v>0</v>
      </c>
      <c r="AO29" s="49">
        <f>資料儲存!G5181</f>
        <v>0</v>
      </c>
      <c r="AP29" s="49">
        <f>資料儲存!H5181</f>
        <v>0</v>
      </c>
      <c r="AQ29" s="49">
        <f>資料儲存!I5181</f>
        <v>0</v>
      </c>
      <c r="AR29" s="49">
        <f>資料儲存!J5181</f>
        <v>0</v>
      </c>
      <c r="AT29" s="70">
        <v>20</v>
      </c>
      <c r="AU29" s="49">
        <f>資料儲存!D5301</f>
        <v>0</v>
      </c>
      <c r="AV29" s="49">
        <f>資料儲存!E5301</f>
        <v>0</v>
      </c>
      <c r="AW29" s="49">
        <f>資料儲存!F5301</f>
        <v>0</v>
      </c>
      <c r="AX29" s="49">
        <f>資料儲存!G5301</f>
        <v>0</v>
      </c>
      <c r="AY29" s="49">
        <f>資料儲存!H5301</f>
        <v>0</v>
      </c>
      <c r="AZ29" s="49">
        <f>資料儲存!I5301</f>
        <v>0</v>
      </c>
      <c r="BA29" s="49">
        <f>資料儲存!J5301</f>
        <v>0</v>
      </c>
    </row>
    <row r="30" spans="1:53" s="67" customFormat="1" ht="16" thickBot="1">
      <c r="A30" s="70">
        <v>21</v>
      </c>
      <c r="B30" s="49">
        <f>資料儲存!D4702</f>
        <v>0</v>
      </c>
      <c r="C30" s="49">
        <f>資料儲存!E4702</f>
        <v>0</v>
      </c>
      <c r="D30" s="49">
        <f>資料儲存!F4702</f>
        <v>0</v>
      </c>
      <c r="E30" s="49">
        <f>資料儲存!G4702</f>
        <v>0</v>
      </c>
      <c r="F30" s="49">
        <f>資料儲存!H4702</f>
        <v>0</v>
      </c>
      <c r="G30" s="49">
        <f>資料儲存!I4702</f>
        <v>0</v>
      </c>
      <c r="H30" s="49">
        <f>資料儲存!J4702</f>
        <v>0</v>
      </c>
      <c r="I30" s="52"/>
      <c r="J30" s="70">
        <v>21</v>
      </c>
      <c r="K30" s="49">
        <f>資料儲存!D4822</f>
        <v>0</v>
      </c>
      <c r="L30" s="49">
        <f>資料儲存!E4822</f>
        <v>0</v>
      </c>
      <c r="M30" s="49">
        <f>資料儲存!F4822</f>
        <v>0</v>
      </c>
      <c r="N30" s="49">
        <f>資料儲存!G4822</f>
        <v>0</v>
      </c>
      <c r="O30" s="49">
        <f>資料儲存!H4822</f>
        <v>0</v>
      </c>
      <c r="P30" s="49">
        <f>資料儲存!I4822</f>
        <v>0</v>
      </c>
      <c r="Q30" s="49">
        <f>資料儲存!J4822</f>
        <v>0</v>
      </c>
      <c r="R30" s="52"/>
      <c r="S30" s="70">
        <v>21</v>
      </c>
      <c r="T30" s="49">
        <f>資料儲存!D4942</f>
        <v>0</v>
      </c>
      <c r="U30" s="49">
        <f>資料儲存!E4942</f>
        <v>0</v>
      </c>
      <c r="V30" s="49">
        <f>資料儲存!F4942</f>
        <v>0</v>
      </c>
      <c r="W30" s="49">
        <f>資料儲存!G4942</f>
        <v>0</v>
      </c>
      <c r="X30" s="49">
        <f>資料儲存!H4942</f>
        <v>0</v>
      </c>
      <c r="Y30" s="49">
        <f>資料儲存!I4942</f>
        <v>0</v>
      </c>
      <c r="Z30" s="49">
        <f>資料儲存!J4942</f>
        <v>0</v>
      </c>
      <c r="AA30" s="52"/>
      <c r="AB30" s="70">
        <v>21</v>
      </c>
      <c r="AC30" s="49">
        <f>資料儲存!D5062</f>
        <v>0</v>
      </c>
      <c r="AD30" s="49">
        <f>資料儲存!E5062</f>
        <v>0</v>
      </c>
      <c r="AE30" s="49">
        <f>資料儲存!F5062</f>
        <v>0</v>
      </c>
      <c r="AF30" s="49">
        <f>資料儲存!G5062</f>
        <v>0</v>
      </c>
      <c r="AG30" s="49">
        <f>資料儲存!H5062</f>
        <v>0</v>
      </c>
      <c r="AH30" s="49">
        <f>資料儲存!I5062</f>
        <v>0</v>
      </c>
      <c r="AI30" s="49">
        <f>資料儲存!J5062</f>
        <v>0</v>
      </c>
      <c r="AJ30" s="52"/>
      <c r="AK30" s="70">
        <v>21</v>
      </c>
      <c r="AL30" s="49">
        <f>資料儲存!D5182</f>
        <v>0</v>
      </c>
      <c r="AM30" s="49">
        <f>資料儲存!E5182</f>
        <v>0</v>
      </c>
      <c r="AN30" s="49">
        <f>資料儲存!F5182</f>
        <v>0</v>
      </c>
      <c r="AO30" s="49">
        <f>資料儲存!G5182</f>
        <v>0</v>
      </c>
      <c r="AP30" s="49">
        <f>資料儲存!H5182</f>
        <v>0</v>
      </c>
      <c r="AQ30" s="49">
        <f>資料儲存!I5182</f>
        <v>0</v>
      </c>
      <c r="AR30" s="49">
        <f>資料儲存!J5182</f>
        <v>0</v>
      </c>
      <c r="AT30" s="70">
        <v>21</v>
      </c>
      <c r="AU30" s="49">
        <f>資料儲存!D5302</f>
        <v>0</v>
      </c>
      <c r="AV30" s="49">
        <f>資料儲存!E5302</f>
        <v>0</v>
      </c>
      <c r="AW30" s="49">
        <f>資料儲存!F5302</f>
        <v>0</v>
      </c>
      <c r="AX30" s="49">
        <f>資料儲存!G5302</f>
        <v>0</v>
      </c>
      <c r="AY30" s="49">
        <f>資料儲存!H5302</f>
        <v>0</v>
      </c>
      <c r="AZ30" s="49">
        <f>資料儲存!I5302</f>
        <v>0</v>
      </c>
      <c r="BA30" s="49">
        <f>資料儲存!J5302</f>
        <v>0</v>
      </c>
    </row>
    <row r="31" spans="1:53" s="67" customFormat="1" ht="16" thickBot="1">
      <c r="A31" s="70">
        <v>22</v>
      </c>
      <c r="B31" s="49">
        <f>資料儲存!D4703</f>
        <v>0</v>
      </c>
      <c r="C31" s="49">
        <f>資料儲存!E4703</f>
        <v>0</v>
      </c>
      <c r="D31" s="49">
        <f>資料儲存!F4703</f>
        <v>0</v>
      </c>
      <c r="E31" s="49">
        <f>資料儲存!G4703</f>
        <v>0</v>
      </c>
      <c r="F31" s="49">
        <f>資料儲存!H4703</f>
        <v>0</v>
      </c>
      <c r="G31" s="49">
        <f>資料儲存!I4703</f>
        <v>0</v>
      </c>
      <c r="H31" s="49">
        <f>資料儲存!J4703</f>
        <v>0</v>
      </c>
      <c r="I31" s="52"/>
      <c r="J31" s="70">
        <v>22</v>
      </c>
      <c r="K31" s="49">
        <f>資料儲存!D4823</f>
        <v>0</v>
      </c>
      <c r="L31" s="49">
        <f>資料儲存!E4823</f>
        <v>0</v>
      </c>
      <c r="M31" s="49">
        <f>資料儲存!F4823</f>
        <v>0</v>
      </c>
      <c r="N31" s="49">
        <f>資料儲存!G4823</f>
        <v>0</v>
      </c>
      <c r="O31" s="49">
        <f>資料儲存!H4823</f>
        <v>0</v>
      </c>
      <c r="P31" s="49">
        <f>資料儲存!I4823</f>
        <v>0</v>
      </c>
      <c r="Q31" s="49">
        <f>資料儲存!J4823</f>
        <v>0</v>
      </c>
      <c r="R31" s="52"/>
      <c r="S31" s="70">
        <v>22</v>
      </c>
      <c r="T31" s="49">
        <f>資料儲存!D4943</f>
        <v>0</v>
      </c>
      <c r="U31" s="49">
        <f>資料儲存!E4943</f>
        <v>0</v>
      </c>
      <c r="V31" s="49">
        <f>資料儲存!F4943</f>
        <v>0</v>
      </c>
      <c r="W31" s="49">
        <f>資料儲存!G4943</f>
        <v>0</v>
      </c>
      <c r="X31" s="49">
        <f>資料儲存!H4943</f>
        <v>0</v>
      </c>
      <c r="Y31" s="49">
        <f>資料儲存!I4943</f>
        <v>0</v>
      </c>
      <c r="Z31" s="49">
        <f>資料儲存!J4943</f>
        <v>0</v>
      </c>
      <c r="AA31" s="52"/>
      <c r="AB31" s="70">
        <v>22</v>
      </c>
      <c r="AC31" s="49">
        <f>資料儲存!D5063</f>
        <v>0</v>
      </c>
      <c r="AD31" s="49">
        <f>資料儲存!E5063</f>
        <v>0</v>
      </c>
      <c r="AE31" s="49">
        <f>資料儲存!F5063</f>
        <v>0</v>
      </c>
      <c r="AF31" s="49">
        <f>資料儲存!G5063</f>
        <v>0</v>
      </c>
      <c r="AG31" s="49">
        <f>資料儲存!H5063</f>
        <v>0</v>
      </c>
      <c r="AH31" s="49">
        <f>資料儲存!I5063</f>
        <v>0</v>
      </c>
      <c r="AI31" s="49">
        <f>資料儲存!J5063</f>
        <v>0</v>
      </c>
      <c r="AJ31" s="52"/>
      <c r="AK31" s="70">
        <v>22</v>
      </c>
      <c r="AL31" s="49">
        <f>資料儲存!D5183</f>
        <v>0</v>
      </c>
      <c r="AM31" s="49">
        <f>資料儲存!E5183</f>
        <v>0</v>
      </c>
      <c r="AN31" s="49">
        <f>資料儲存!F5183</f>
        <v>0</v>
      </c>
      <c r="AO31" s="49">
        <f>資料儲存!G5183</f>
        <v>0</v>
      </c>
      <c r="AP31" s="49">
        <f>資料儲存!H5183</f>
        <v>0</v>
      </c>
      <c r="AQ31" s="49">
        <f>資料儲存!I5183</f>
        <v>0</v>
      </c>
      <c r="AR31" s="49">
        <f>資料儲存!J5183</f>
        <v>0</v>
      </c>
      <c r="AT31" s="70">
        <v>22</v>
      </c>
      <c r="AU31" s="49">
        <f>資料儲存!D5303</f>
        <v>0</v>
      </c>
      <c r="AV31" s="49">
        <f>資料儲存!E5303</f>
        <v>0</v>
      </c>
      <c r="AW31" s="49">
        <f>資料儲存!F5303</f>
        <v>0</v>
      </c>
      <c r="AX31" s="49">
        <f>資料儲存!G5303</f>
        <v>0</v>
      </c>
      <c r="AY31" s="49">
        <f>資料儲存!H5303</f>
        <v>0</v>
      </c>
      <c r="AZ31" s="49">
        <f>資料儲存!I5303</f>
        <v>0</v>
      </c>
      <c r="BA31" s="49">
        <f>資料儲存!J5303</f>
        <v>0</v>
      </c>
    </row>
    <row r="32" spans="1:53" s="67" customFormat="1" ht="16" thickBot="1">
      <c r="A32" s="70">
        <v>23</v>
      </c>
      <c r="B32" s="49">
        <f>資料儲存!D4704</f>
        <v>0</v>
      </c>
      <c r="C32" s="49">
        <f>資料儲存!E4704</f>
        <v>0</v>
      </c>
      <c r="D32" s="49">
        <f>資料儲存!F4704</f>
        <v>0</v>
      </c>
      <c r="E32" s="49">
        <f>資料儲存!G4704</f>
        <v>0</v>
      </c>
      <c r="F32" s="49">
        <f>資料儲存!H4704</f>
        <v>0</v>
      </c>
      <c r="G32" s="49">
        <f>資料儲存!I4704</f>
        <v>0</v>
      </c>
      <c r="H32" s="49">
        <f>資料儲存!J4704</f>
        <v>0</v>
      </c>
      <c r="I32" s="52"/>
      <c r="J32" s="70">
        <v>23</v>
      </c>
      <c r="K32" s="49">
        <f>資料儲存!D4824</f>
        <v>0</v>
      </c>
      <c r="L32" s="49">
        <f>資料儲存!E4824</f>
        <v>0</v>
      </c>
      <c r="M32" s="49">
        <f>資料儲存!F4824</f>
        <v>0</v>
      </c>
      <c r="N32" s="49">
        <f>資料儲存!G4824</f>
        <v>0</v>
      </c>
      <c r="O32" s="49">
        <f>資料儲存!H4824</f>
        <v>0</v>
      </c>
      <c r="P32" s="49">
        <f>資料儲存!I4824</f>
        <v>0</v>
      </c>
      <c r="Q32" s="49">
        <f>資料儲存!J4824</f>
        <v>0</v>
      </c>
      <c r="R32" s="52"/>
      <c r="S32" s="70">
        <v>23</v>
      </c>
      <c r="T32" s="49">
        <f>資料儲存!D4944</f>
        <v>0</v>
      </c>
      <c r="U32" s="49">
        <f>資料儲存!E4944</f>
        <v>0</v>
      </c>
      <c r="V32" s="49">
        <f>資料儲存!F4944</f>
        <v>0</v>
      </c>
      <c r="W32" s="49">
        <f>資料儲存!G4944</f>
        <v>0</v>
      </c>
      <c r="X32" s="49">
        <f>資料儲存!H4944</f>
        <v>0</v>
      </c>
      <c r="Y32" s="49">
        <f>資料儲存!I4944</f>
        <v>0</v>
      </c>
      <c r="Z32" s="49">
        <f>資料儲存!J4944</f>
        <v>0</v>
      </c>
      <c r="AA32" s="52"/>
      <c r="AB32" s="70">
        <v>23</v>
      </c>
      <c r="AC32" s="49">
        <f>資料儲存!D5064</f>
        <v>0</v>
      </c>
      <c r="AD32" s="49">
        <f>資料儲存!E5064</f>
        <v>0</v>
      </c>
      <c r="AE32" s="49">
        <f>資料儲存!F5064</f>
        <v>0</v>
      </c>
      <c r="AF32" s="49">
        <f>資料儲存!G5064</f>
        <v>0</v>
      </c>
      <c r="AG32" s="49">
        <f>資料儲存!H5064</f>
        <v>0</v>
      </c>
      <c r="AH32" s="49">
        <f>資料儲存!I5064</f>
        <v>0</v>
      </c>
      <c r="AI32" s="49">
        <f>資料儲存!J5064</f>
        <v>0</v>
      </c>
      <c r="AJ32" s="52"/>
      <c r="AK32" s="70">
        <v>23</v>
      </c>
      <c r="AL32" s="49">
        <f>資料儲存!D5184</f>
        <v>0</v>
      </c>
      <c r="AM32" s="49">
        <f>資料儲存!E5184</f>
        <v>0</v>
      </c>
      <c r="AN32" s="49">
        <f>資料儲存!F5184</f>
        <v>0</v>
      </c>
      <c r="AO32" s="49">
        <f>資料儲存!G5184</f>
        <v>0</v>
      </c>
      <c r="AP32" s="49">
        <f>資料儲存!H5184</f>
        <v>0</v>
      </c>
      <c r="AQ32" s="49">
        <f>資料儲存!I5184</f>
        <v>0</v>
      </c>
      <c r="AR32" s="49">
        <f>資料儲存!J5184</f>
        <v>0</v>
      </c>
      <c r="AT32" s="70">
        <v>23</v>
      </c>
      <c r="AU32" s="49">
        <f>資料儲存!D5304</f>
        <v>0</v>
      </c>
      <c r="AV32" s="49">
        <f>資料儲存!E5304</f>
        <v>0</v>
      </c>
      <c r="AW32" s="49">
        <f>資料儲存!F5304</f>
        <v>0</v>
      </c>
      <c r="AX32" s="49">
        <f>資料儲存!G5304</f>
        <v>0</v>
      </c>
      <c r="AY32" s="49">
        <f>資料儲存!H5304</f>
        <v>0</v>
      </c>
      <c r="AZ32" s="49">
        <f>資料儲存!I5304</f>
        <v>0</v>
      </c>
      <c r="BA32" s="49">
        <f>資料儲存!J5304</f>
        <v>0</v>
      </c>
    </row>
    <row r="33" spans="1:53" s="67" customFormat="1" ht="16" thickBot="1">
      <c r="A33" s="70">
        <v>24</v>
      </c>
      <c r="B33" s="49">
        <f>資料儲存!D4705</f>
        <v>0</v>
      </c>
      <c r="C33" s="49">
        <f>資料儲存!E4705</f>
        <v>0</v>
      </c>
      <c r="D33" s="49">
        <f>資料儲存!F4705</f>
        <v>0</v>
      </c>
      <c r="E33" s="49">
        <f>資料儲存!G4705</f>
        <v>0</v>
      </c>
      <c r="F33" s="49">
        <f>資料儲存!H4705</f>
        <v>0</v>
      </c>
      <c r="G33" s="49">
        <f>資料儲存!I4705</f>
        <v>0</v>
      </c>
      <c r="H33" s="49">
        <f>資料儲存!J4705</f>
        <v>0</v>
      </c>
      <c r="I33" s="52"/>
      <c r="J33" s="70">
        <v>24</v>
      </c>
      <c r="K33" s="49">
        <f>資料儲存!D4825</f>
        <v>0</v>
      </c>
      <c r="L33" s="49">
        <f>資料儲存!E4825</f>
        <v>0</v>
      </c>
      <c r="M33" s="49">
        <f>資料儲存!F4825</f>
        <v>0</v>
      </c>
      <c r="N33" s="49">
        <f>資料儲存!G4825</f>
        <v>0</v>
      </c>
      <c r="O33" s="49">
        <f>資料儲存!H4825</f>
        <v>0</v>
      </c>
      <c r="P33" s="49">
        <f>資料儲存!I4825</f>
        <v>0</v>
      </c>
      <c r="Q33" s="49">
        <f>資料儲存!J4825</f>
        <v>0</v>
      </c>
      <c r="R33" s="52"/>
      <c r="S33" s="70">
        <v>24</v>
      </c>
      <c r="T33" s="49">
        <f>資料儲存!D4945</f>
        <v>0</v>
      </c>
      <c r="U33" s="49">
        <f>資料儲存!E4945</f>
        <v>0</v>
      </c>
      <c r="V33" s="49">
        <f>資料儲存!F4945</f>
        <v>0</v>
      </c>
      <c r="W33" s="49">
        <f>資料儲存!G4945</f>
        <v>0</v>
      </c>
      <c r="X33" s="49">
        <f>資料儲存!H4945</f>
        <v>0</v>
      </c>
      <c r="Y33" s="49">
        <f>資料儲存!I4945</f>
        <v>0</v>
      </c>
      <c r="Z33" s="49">
        <f>資料儲存!J4945</f>
        <v>0</v>
      </c>
      <c r="AA33" s="52"/>
      <c r="AB33" s="70">
        <v>24</v>
      </c>
      <c r="AC33" s="49">
        <f>資料儲存!D5065</f>
        <v>0</v>
      </c>
      <c r="AD33" s="49">
        <f>資料儲存!E5065</f>
        <v>0</v>
      </c>
      <c r="AE33" s="49">
        <f>資料儲存!F5065</f>
        <v>0</v>
      </c>
      <c r="AF33" s="49">
        <f>資料儲存!G5065</f>
        <v>0</v>
      </c>
      <c r="AG33" s="49">
        <f>資料儲存!H5065</f>
        <v>0</v>
      </c>
      <c r="AH33" s="49">
        <f>資料儲存!I5065</f>
        <v>0</v>
      </c>
      <c r="AI33" s="49">
        <f>資料儲存!J5065</f>
        <v>0</v>
      </c>
      <c r="AJ33" s="52"/>
      <c r="AK33" s="70">
        <v>24</v>
      </c>
      <c r="AL33" s="49">
        <f>資料儲存!D5185</f>
        <v>0</v>
      </c>
      <c r="AM33" s="49">
        <f>資料儲存!E5185</f>
        <v>0</v>
      </c>
      <c r="AN33" s="49">
        <f>資料儲存!F5185</f>
        <v>0</v>
      </c>
      <c r="AO33" s="49">
        <f>資料儲存!G5185</f>
        <v>0</v>
      </c>
      <c r="AP33" s="49">
        <f>資料儲存!H5185</f>
        <v>0</v>
      </c>
      <c r="AQ33" s="49">
        <f>資料儲存!I5185</f>
        <v>0</v>
      </c>
      <c r="AR33" s="49">
        <f>資料儲存!J5185</f>
        <v>0</v>
      </c>
      <c r="AT33" s="70">
        <v>24</v>
      </c>
      <c r="AU33" s="49">
        <f>資料儲存!D5305</f>
        <v>0</v>
      </c>
      <c r="AV33" s="49">
        <f>資料儲存!E5305</f>
        <v>0</v>
      </c>
      <c r="AW33" s="49">
        <f>資料儲存!F5305</f>
        <v>0</v>
      </c>
      <c r="AX33" s="49">
        <f>資料儲存!G5305</f>
        <v>0</v>
      </c>
      <c r="AY33" s="49">
        <f>資料儲存!H5305</f>
        <v>0</v>
      </c>
      <c r="AZ33" s="49">
        <f>資料儲存!I5305</f>
        <v>0</v>
      </c>
      <c r="BA33" s="49">
        <f>資料儲存!J5305</f>
        <v>0</v>
      </c>
    </row>
    <row r="34" spans="1:53" s="67" customFormat="1" ht="16" thickBot="1">
      <c r="A34" s="70">
        <v>25</v>
      </c>
      <c r="B34" s="49">
        <f>資料儲存!D4706</f>
        <v>0</v>
      </c>
      <c r="C34" s="49">
        <f>資料儲存!E4706</f>
        <v>0</v>
      </c>
      <c r="D34" s="49">
        <f>資料儲存!F4706</f>
        <v>0</v>
      </c>
      <c r="E34" s="49">
        <f>資料儲存!G4706</f>
        <v>0</v>
      </c>
      <c r="F34" s="49">
        <f>資料儲存!H4706</f>
        <v>0</v>
      </c>
      <c r="G34" s="49">
        <f>資料儲存!I4706</f>
        <v>0</v>
      </c>
      <c r="H34" s="49">
        <f>資料儲存!J4706</f>
        <v>0</v>
      </c>
      <c r="I34" s="52"/>
      <c r="J34" s="70">
        <v>25</v>
      </c>
      <c r="K34" s="49">
        <f>資料儲存!D4826</f>
        <v>0</v>
      </c>
      <c r="L34" s="49">
        <f>資料儲存!E4826</f>
        <v>0</v>
      </c>
      <c r="M34" s="49">
        <f>資料儲存!F4826</f>
        <v>0</v>
      </c>
      <c r="N34" s="49">
        <f>資料儲存!G4826</f>
        <v>0</v>
      </c>
      <c r="O34" s="49">
        <f>資料儲存!H4826</f>
        <v>0</v>
      </c>
      <c r="P34" s="49">
        <f>資料儲存!I4826</f>
        <v>0</v>
      </c>
      <c r="Q34" s="49">
        <f>資料儲存!J4826</f>
        <v>0</v>
      </c>
      <c r="R34" s="52"/>
      <c r="S34" s="70">
        <v>25</v>
      </c>
      <c r="T34" s="49">
        <f>資料儲存!D4946</f>
        <v>0</v>
      </c>
      <c r="U34" s="49">
        <f>資料儲存!E4946</f>
        <v>0</v>
      </c>
      <c r="V34" s="49">
        <f>資料儲存!F4946</f>
        <v>0</v>
      </c>
      <c r="W34" s="49">
        <f>資料儲存!G4946</f>
        <v>0</v>
      </c>
      <c r="X34" s="49">
        <f>資料儲存!H4946</f>
        <v>0</v>
      </c>
      <c r="Y34" s="49">
        <f>資料儲存!I4946</f>
        <v>0</v>
      </c>
      <c r="Z34" s="49">
        <f>資料儲存!J4946</f>
        <v>0</v>
      </c>
      <c r="AA34" s="52"/>
      <c r="AB34" s="70">
        <v>25</v>
      </c>
      <c r="AC34" s="49">
        <f>資料儲存!D5066</f>
        <v>0</v>
      </c>
      <c r="AD34" s="49">
        <f>資料儲存!E5066</f>
        <v>0</v>
      </c>
      <c r="AE34" s="49">
        <f>資料儲存!F5066</f>
        <v>0</v>
      </c>
      <c r="AF34" s="49">
        <f>資料儲存!G5066</f>
        <v>0</v>
      </c>
      <c r="AG34" s="49">
        <f>資料儲存!H5066</f>
        <v>0</v>
      </c>
      <c r="AH34" s="49">
        <f>資料儲存!I5066</f>
        <v>0</v>
      </c>
      <c r="AI34" s="49">
        <f>資料儲存!J5066</f>
        <v>0</v>
      </c>
      <c r="AJ34" s="52"/>
      <c r="AK34" s="70">
        <v>25</v>
      </c>
      <c r="AL34" s="49">
        <f>資料儲存!D5186</f>
        <v>0</v>
      </c>
      <c r="AM34" s="49">
        <f>資料儲存!E5186</f>
        <v>0</v>
      </c>
      <c r="AN34" s="49">
        <f>資料儲存!F5186</f>
        <v>0</v>
      </c>
      <c r="AO34" s="49">
        <f>資料儲存!G5186</f>
        <v>0</v>
      </c>
      <c r="AP34" s="49">
        <f>資料儲存!H5186</f>
        <v>0</v>
      </c>
      <c r="AQ34" s="49">
        <f>資料儲存!I5186</f>
        <v>0</v>
      </c>
      <c r="AR34" s="49">
        <f>資料儲存!J5186</f>
        <v>0</v>
      </c>
      <c r="AT34" s="70">
        <v>25</v>
      </c>
      <c r="AU34" s="49">
        <f>資料儲存!D5306</f>
        <v>0</v>
      </c>
      <c r="AV34" s="49">
        <f>資料儲存!E5306</f>
        <v>0</v>
      </c>
      <c r="AW34" s="49">
        <f>資料儲存!F5306</f>
        <v>0</v>
      </c>
      <c r="AX34" s="49">
        <f>資料儲存!G5306</f>
        <v>0</v>
      </c>
      <c r="AY34" s="49">
        <f>資料儲存!H5306</f>
        <v>0</v>
      </c>
      <c r="AZ34" s="49">
        <f>資料儲存!I5306</f>
        <v>0</v>
      </c>
      <c r="BA34" s="49">
        <f>資料儲存!J5306</f>
        <v>0</v>
      </c>
    </row>
    <row r="35" spans="1:53" s="67" customFormat="1" ht="16" thickBot="1">
      <c r="A35" s="70">
        <v>26</v>
      </c>
      <c r="B35" s="49">
        <f>資料儲存!D4707</f>
        <v>0</v>
      </c>
      <c r="C35" s="49">
        <f>資料儲存!E4707</f>
        <v>0</v>
      </c>
      <c r="D35" s="49">
        <f>資料儲存!F4707</f>
        <v>0</v>
      </c>
      <c r="E35" s="49">
        <f>資料儲存!G4707</f>
        <v>0</v>
      </c>
      <c r="F35" s="49">
        <f>資料儲存!H4707</f>
        <v>0</v>
      </c>
      <c r="G35" s="49">
        <f>資料儲存!I4707</f>
        <v>0</v>
      </c>
      <c r="H35" s="49">
        <f>資料儲存!J4707</f>
        <v>0</v>
      </c>
      <c r="I35" s="52"/>
      <c r="J35" s="70">
        <v>26</v>
      </c>
      <c r="K35" s="49">
        <f>資料儲存!D4827</f>
        <v>0</v>
      </c>
      <c r="L35" s="49">
        <f>資料儲存!E4827</f>
        <v>0</v>
      </c>
      <c r="M35" s="49">
        <f>資料儲存!F4827</f>
        <v>0</v>
      </c>
      <c r="N35" s="49">
        <f>資料儲存!G4827</f>
        <v>0</v>
      </c>
      <c r="O35" s="49">
        <f>資料儲存!H4827</f>
        <v>0</v>
      </c>
      <c r="P35" s="49">
        <f>資料儲存!I4827</f>
        <v>0</v>
      </c>
      <c r="Q35" s="49">
        <f>資料儲存!J4827</f>
        <v>0</v>
      </c>
      <c r="R35" s="52"/>
      <c r="S35" s="70">
        <v>26</v>
      </c>
      <c r="T35" s="49">
        <f>資料儲存!D4947</f>
        <v>0</v>
      </c>
      <c r="U35" s="49">
        <f>資料儲存!E4947</f>
        <v>0</v>
      </c>
      <c r="V35" s="49">
        <f>資料儲存!F4947</f>
        <v>0</v>
      </c>
      <c r="W35" s="49">
        <f>資料儲存!G4947</f>
        <v>0</v>
      </c>
      <c r="X35" s="49">
        <f>資料儲存!H4947</f>
        <v>0</v>
      </c>
      <c r="Y35" s="49">
        <f>資料儲存!I4947</f>
        <v>0</v>
      </c>
      <c r="Z35" s="49">
        <f>資料儲存!J4947</f>
        <v>0</v>
      </c>
      <c r="AA35" s="52"/>
      <c r="AB35" s="70">
        <v>26</v>
      </c>
      <c r="AC35" s="49">
        <f>資料儲存!D5067</f>
        <v>0</v>
      </c>
      <c r="AD35" s="49">
        <f>資料儲存!E5067</f>
        <v>0</v>
      </c>
      <c r="AE35" s="49">
        <f>資料儲存!F5067</f>
        <v>0</v>
      </c>
      <c r="AF35" s="49">
        <f>資料儲存!G5067</f>
        <v>0</v>
      </c>
      <c r="AG35" s="49">
        <f>資料儲存!H5067</f>
        <v>0</v>
      </c>
      <c r="AH35" s="49">
        <f>資料儲存!I5067</f>
        <v>0</v>
      </c>
      <c r="AI35" s="49">
        <f>資料儲存!J5067</f>
        <v>0</v>
      </c>
      <c r="AJ35" s="52"/>
      <c r="AK35" s="70">
        <v>26</v>
      </c>
      <c r="AL35" s="49">
        <f>資料儲存!D5187</f>
        <v>0</v>
      </c>
      <c r="AM35" s="49">
        <f>資料儲存!E5187</f>
        <v>0</v>
      </c>
      <c r="AN35" s="49">
        <f>資料儲存!F5187</f>
        <v>0</v>
      </c>
      <c r="AO35" s="49">
        <f>資料儲存!G5187</f>
        <v>0</v>
      </c>
      <c r="AP35" s="49">
        <f>資料儲存!H5187</f>
        <v>0</v>
      </c>
      <c r="AQ35" s="49">
        <f>資料儲存!I5187</f>
        <v>0</v>
      </c>
      <c r="AR35" s="49">
        <f>資料儲存!J5187</f>
        <v>0</v>
      </c>
      <c r="AT35" s="70">
        <v>26</v>
      </c>
      <c r="AU35" s="49">
        <f>資料儲存!D5307</f>
        <v>0</v>
      </c>
      <c r="AV35" s="49">
        <f>資料儲存!E5307</f>
        <v>0</v>
      </c>
      <c r="AW35" s="49">
        <f>資料儲存!F5307</f>
        <v>0</v>
      </c>
      <c r="AX35" s="49">
        <f>資料儲存!G5307</f>
        <v>0</v>
      </c>
      <c r="AY35" s="49">
        <f>資料儲存!H5307</f>
        <v>0</v>
      </c>
      <c r="AZ35" s="49">
        <f>資料儲存!I5307</f>
        <v>0</v>
      </c>
      <c r="BA35" s="49">
        <f>資料儲存!J5307</f>
        <v>0</v>
      </c>
    </row>
    <row r="36" spans="1:53" s="67" customFormat="1" ht="16" thickBot="1">
      <c r="A36" s="70">
        <v>27</v>
      </c>
      <c r="B36" s="49">
        <f>資料儲存!D4708</f>
        <v>0</v>
      </c>
      <c r="C36" s="49">
        <f>資料儲存!E4708</f>
        <v>0</v>
      </c>
      <c r="D36" s="49">
        <f>資料儲存!F4708</f>
        <v>0</v>
      </c>
      <c r="E36" s="49">
        <f>資料儲存!G4708</f>
        <v>0</v>
      </c>
      <c r="F36" s="49">
        <f>資料儲存!H4708</f>
        <v>0</v>
      </c>
      <c r="G36" s="49">
        <f>資料儲存!I4708</f>
        <v>0</v>
      </c>
      <c r="H36" s="49">
        <f>資料儲存!J4708</f>
        <v>0</v>
      </c>
      <c r="I36" s="52"/>
      <c r="J36" s="70">
        <v>27</v>
      </c>
      <c r="K36" s="49">
        <f>資料儲存!D4828</f>
        <v>0</v>
      </c>
      <c r="L36" s="49">
        <f>資料儲存!E4828</f>
        <v>0</v>
      </c>
      <c r="M36" s="49">
        <f>資料儲存!F4828</f>
        <v>0</v>
      </c>
      <c r="N36" s="49">
        <f>資料儲存!G4828</f>
        <v>0</v>
      </c>
      <c r="O36" s="49">
        <f>資料儲存!H4828</f>
        <v>0</v>
      </c>
      <c r="P36" s="49">
        <f>資料儲存!I4828</f>
        <v>0</v>
      </c>
      <c r="Q36" s="49">
        <f>資料儲存!J4828</f>
        <v>0</v>
      </c>
      <c r="R36" s="52"/>
      <c r="S36" s="70">
        <v>27</v>
      </c>
      <c r="T36" s="49">
        <f>資料儲存!D4948</f>
        <v>0</v>
      </c>
      <c r="U36" s="49">
        <f>資料儲存!E4948</f>
        <v>0</v>
      </c>
      <c r="V36" s="49">
        <f>資料儲存!F4948</f>
        <v>0</v>
      </c>
      <c r="W36" s="49">
        <f>資料儲存!G4948</f>
        <v>0</v>
      </c>
      <c r="X36" s="49">
        <f>資料儲存!H4948</f>
        <v>0</v>
      </c>
      <c r="Y36" s="49">
        <f>資料儲存!I4948</f>
        <v>0</v>
      </c>
      <c r="Z36" s="49">
        <f>資料儲存!J4948</f>
        <v>0</v>
      </c>
      <c r="AA36" s="52"/>
      <c r="AB36" s="70">
        <v>27</v>
      </c>
      <c r="AC36" s="49">
        <f>資料儲存!D5068</f>
        <v>0</v>
      </c>
      <c r="AD36" s="49">
        <f>資料儲存!E5068</f>
        <v>0</v>
      </c>
      <c r="AE36" s="49">
        <f>資料儲存!F5068</f>
        <v>0</v>
      </c>
      <c r="AF36" s="49">
        <f>資料儲存!G5068</f>
        <v>0</v>
      </c>
      <c r="AG36" s="49">
        <f>資料儲存!H5068</f>
        <v>0</v>
      </c>
      <c r="AH36" s="49">
        <f>資料儲存!I5068</f>
        <v>0</v>
      </c>
      <c r="AI36" s="49">
        <f>資料儲存!J5068</f>
        <v>0</v>
      </c>
      <c r="AJ36" s="52"/>
      <c r="AK36" s="70">
        <v>27</v>
      </c>
      <c r="AL36" s="49">
        <f>資料儲存!D5188</f>
        <v>0</v>
      </c>
      <c r="AM36" s="49">
        <f>資料儲存!E5188</f>
        <v>0</v>
      </c>
      <c r="AN36" s="49">
        <f>資料儲存!F5188</f>
        <v>0</v>
      </c>
      <c r="AO36" s="49">
        <f>資料儲存!G5188</f>
        <v>0</v>
      </c>
      <c r="AP36" s="49">
        <f>資料儲存!H5188</f>
        <v>0</v>
      </c>
      <c r="AQ36" s="49">
        <f>資料儲存!I5188</f>
        <v>0</v>
      </c>
      <c r="AR36" s="49">
        <f>資料儲存!J5188</f>
        <v>0</v>
      </c>
      <c r="AT36" s="70">
        <v>27</v>
      </c>
      <c r="AU36" s="49">
        <f>資料儲存!D5308</f>
        <v>0</v>
      </c>
      <c r="AV36" s="49">
        <f>資料儲存!E5308</f>
        <v>0</v>
      </c>
      <c r="AW36" s="49">
        <f>資料儲存!F5308</f>
        <v>0</v>
      </c>
      <c r="AX36" s="49">
        <f>資料儲存!G5308</f>
        <v>0</v>
      </c>
      <c r="AY36" s="49">
        <f>資料儲存!H5308</f>
        <v>0</v>
      </c>
      <c r="AZ36" s="49">
        <f>資料儲存!I5308</f>
        <v>0</v>
      </c>
      <c r="BA36" s="49">
        <f>資料儲存!J5308</f>
        <v>0</v>
      </c>
    </row>
    <row r="37" spans="1:53" s="67" customFormat="1" ht="16" thickBot="1">
      <c r="A37" s="70">
        <v>28</v>
      </c>
      <c r="B37" s="49">
        <f>資料儲存!D4709</f>
        <v>0</v>
      </c>
      <c r="C37" s="49">
        <f>資料儲存!E4709</f>
        <v>0</v>
      </c>
      <c r="D37" s="49">
        <f>資料儲存!F4709</f>
        <v>0</v>
      </c>
      <c r="E37" s="49">
        <f>資料儲存!G4709</f>
        <v>0</v>
      </c>
      <c r="F37" s="49">
        <f>資料儲存!H4709</f>
        <v>0</v>
      </c>
      <c r="G37" s="49">
        <f>資料儲存!I4709</f>
        <v>0</v>
      </c>
      <c r="H37" s="49">
        <f>資料儲存!J4709</f>
        <v>0</v>
      </c>
      <c r="I37" s="52"/>
      <c r="J37" s="70">
        <v>28</v>
      </c>
      <c r="K37" s="49">
        <f>資料儲存!D4829</f>
        <v>0</v>
      </c>
      <c r="L37" s="49">
        <f>資料儲存!E4829</f>
        <v>0</v>
      </c>
      <c r="M37" s="49">
        <f>資料儲存!F4829</f>
        <v>0</v>
      </c>
      <c r="N37" s="49">
        <f>資料儲存!G4829</f>
        <v>0</v>
      </c>
      <c r="O37" s="49">
        <f>資料儲存!H4829</f>
        <v>0</v>
      </c>
      <c r="P37" s="49">
        <f>資料儲存!I4829</f>
        <v>0</v>
      </c>
      <c r="Q37" s="49">
        <f>資料儲存!J4829</f>
        <v>0</v>
      </c>
      <c r="R37" s="52"/>
      <c r="S37" s="70">
        <v>28</v>
      </c>
      <c r="T37" s="49">
        <f>資料儲存!D4949</f>
        <v>0</v>
      </c>
      <c r="U37" s="49">
        <f>資料儲存!E4949</f>
        <v>0</v>
      </c>
      <c r="V37" s="49">
        <f>資料儲存!F4949</f>
        <v>0</v>
      </c>
      <c r="W37" s="49">
        <f>資料儲存!G4949</f>
        <v>0</v>
      </c>
      <c r="X37" s="49">
        <f>資料儲存!H4949</f>
        <v>0</v>
      </c>
      <c r="Y37" s="49">
        <f>資料儲存!I4949</f>
        <v>0</v>
      </c>
      <c r="Z37" s="49">
        <f>資料儲存!J4949</f>
        <v>0</v>
      </c>
      <c r="AA37" s="52"/>
      <c r="AB37" s="70">
        <v>28</v>
      </c>
      <c r="AC37" s="49">
        <f>資料儲存!D5069</f>
        <v>0</v>
      </c>
      <c r="AD37" s="49">
        <f>資料儲存!E5069</f>
        <v>0</v>
      </c>
      <c r="AE37" s="49">
        <f>資料儲存!F5069</f>
        <v>0</v>
      </c>
      <c r="AF37" s="49">
        <f>資料儲存!G5069</f>
        <v>0</v>
      </c>
      <c r="AG37" s="49">
        <f>資料儲存!H5069</f>
        <v>0</v>
      </c>
      <c r="AH37" s="49">
        <f>資料儲存!I5069</f>
        <v>0</v>
      </c>
      <c r="AI37" s="49">
        <f>資料儲存!J5069</f>
        <v>0</v>
      </c>
      <c r="AJ37" s="52"/>
      <c r="AK37" s="70">
        <v>28</v>
      </c>
      <c r="AL37" s="49">
        <f>資料儲存!D5189</f>
        <v>0</v>
      </c>
      <c r="AM37" s="49">
        <f>資料儲存!E5189</f>
        <v>0</v>
      </c>
      <c r="AN37" s="49">
        <f>資料儲存!F5189</f>
        <v>0</v>
      </c>
      <c r="AO37" s="49">
        <f>資料儲存!G5189</f>
        <v>0</v>
      </c>
      <c r="AP37" s="49">
        <f>資料儲存!H5189</f>
        <v>0</v>
      </c>
      <c r="AQ37" s="49">
        <f>資料儲存!I5189</f>
        <v>0</v>
      </c>
      <c r="AR37" s="49">
        <f>資料儲存!J5189</f>
        <v>0</v>
      </c>
      <c r="AT37" s="70">
        <v>28</v>
      </c>
      <c r="AU37" s="49">
        <f>資料儲存!D5309</f>
        <v>0</v>
      </c>
      <c r="AV37" s="49">
        <f>資料儲存!E5309</f>
        <v>0</v>
      </c>
      <c r="AW37" s="49">
        <f>資料儲存!F5309</f>
        <v>0</v>
      </c>
      <c r="AX37" s="49">
        <f>資料儲存!G5309</f>
        <v>0</v>
      </c>
      <c r="AY37" s="49">
        <f>資料儲存!H5309</f>
        <v>0</v>
      </c>
      <c r="AZ37" s="49">
        <f>資料儲存!I5309</f>
        <v>0</v>
      </c>
      <c r="BA37" s="49">
        <f>資料儲存!J5309</f>
        <v>0</v>
      </c>
    </row>
    <row r="38" spans="1:53" s="67" customFormat="1" ht="16" thickBot="1">
      <c r="A38" s="70">
        <v>29</v>
      </c>
      <c r="B38" s="49">
        <f>資料儲存!D4710</f>
        <v>0</v>
      </c>
      <c r="C38" s="49">
        <f>資料儲存!E4710</f>
        <v>0</v>
      </c>
      <c r="D38" s="49">
        <f>資料儲存!F4710</f>
        <v>0</v>
      </c>
      <c r="E38" s="49">
        <f>資料儲存!G4710</f>
        <v>0</v>
      </c>
      <c r="F38" s="49">
        <f>資料儲存!H4710</f>
        <v>0</v>
      </c>
      <c r="G38" s="49">
        <f>資料儲存!I4710</f>
        <v>0</v>
      </c>
      <c r="H38" s="49">
        <f>資料儲存!J4710</f>
        <v>0</v>
      </c>
      <c r="I38" s="52"/>
      <c r="J38" s="70">
        <v>29</v>
      </c>
      <c r="K38" s="49">
        <f>資料儲存!D4830</f>
        <v>0</v>
      </c>
      <c r="L38" s="49">
        <f>資料儲存!E4830</f>
        <v>0</v>
      </c>
      <c r="M38" s="49">
        <f>資料儲存!F4830</f>
        <v>0</v>
      </c>
      <c r="N38" s="49">
        <f>資料儲存!G4830</f>
        <v>0</v>
      </c>
      <c r="O38" s="49">
        <f>資料儲存!H4830</f>
        <v>0</v>
      </c>
      <c r="P38" s="49">
        <f>資料儲存!I4830</f>
        <v>0</v>
      </c>
      <c r="Q38" s="49">
        <f>資料儲存!J4830</f>
        <v>0</v>
      </c>
      <c r="R38" s="52"/>
      <c r="S38" s="70">
        <v>29</v>
      </c>
      <c r="T38" s="49">
        <f>資料儲存!D4950</f>
        <v>0</v>
      </c>
      <c r="U38" s="49">
        <f>資料儲存!E4950</f>
        <v>0</v>
      </c>
      <c r="V38" s="49">
        <f>資料儲存!F4950</f>
        <v>0</v>
      </c>
      <c r="W38" s="49">
        <f>資料儲存!G4950</f>
        <v>0</v>
      </c>
      <c r="X38" s="49">
        <f>資料儲存!H4950</f>
        <v>0</v>
      </c>
      <c r="Y38" s="49">
        <f>資料儲存!I4950</f>
        <v>0</v>
      </c>
      <c r="Z38" s="49">
        <f>資料儲存!J4950</f>
        <v>0</v>
      </c>
      <c r="AA38" s="52"/>
      <c r="AB38" s="70">
        <v>29</v>
      </c>
      <c r="AC38" s="49">
        <f>資料儲存!D5070</f>
        <v>0</v>
      </c>
      <c r="AD38" s="49">
        <f>資料儲存!E5070</f>
        <v>0</v>
      </c>
      <c r="AE38" s="49">
        <f>資料儲存!F5070</f>
        <v>0</v>
      </c>
      <c r="AF38" s="49">
        <f>資料儲存!G5070</f>
        <v>0</v>
      </c>
      <c r="AG38" s="49">
        <f>資料儲存!H5070</f>
        <v>0</v>
      </c>
      <c r="AH38" s="49">
        <f>資料儲存!I5070</f>
        <v>0</v>
      </c>
      <c r="AI38" s="49">
        <f>資料儲存!J5070</f>
        <v>0</v>
      </c>
      <c r="AJ38" s="52"/>
      <c r="AK38" s="70">
        <v>29</v>
      </c>
      <c r="AL38" s="49">
        <f>資料儲存!D5190</f>
        <v>0</v>
      </c>
      <c r="AM38" s="49">
        <f>資料儲存!E5190</f>
        <v>0</v>
      </c>
      <c r="AN38" s="49">
        <f>資料儲存!F5190</f>
        <v>0</v>
      </c>
      <c r="AO38" s="49">
        <f>資料儲存!G5190</f>
        <v>0</v>
      </c>
      <c r="AP38" s="49">
        <f>資料儲存!H5190</f>
        <v>0</v>
      </c>
      <c r="AQ38" s="49">
        <f>資料儲存!I5190</f>
        <v>0</v>
      </c>
      <c r="AR38" s="49">
        <f>資料儲存!J5190</f>
        <v>0</v>
      </c>
      <c r="AT38" s="70">
        <v>29</v>
      </c>
      <c r="AU38" s="49">
        <f>資料儲存!D5310</f>
        <v>0</v>
      </c>
      <c r="AV38" s="49">
        <f>資料儲存!E5310</f>
        <v>0</v>
      </c>
      <c r="AW38" s="49">
        <f>資料儲存!F5310</f>
        <v>0</v>
      </c>
      <c r="AX38" s="49">
        <f>資料儲存!G5310</f>
        <v>0</v>
      </c>
      <c r="AY38" s="49">
        <f>資料儲存!H5310</f>
        <v>0</v>
      </c>
      <c r="AZ38" s="49">
        <f>資料儲存!I5310</f>
        <v>0</v>
      </c>
      <c r="BA38" s="49">
        <f>資料儲存!J5310</f>
        <v>0</v>
      </c>
    </row>
    <row r="39" spans="1:53" s="67" customFormat="1" ht="16" thickBot="1">
      <c r="A39" s="70">
        <v>30</v>
      </c>
      <c r="B39" s="49">
        <f>資料儲存!D4711</f>
        <v>0</v>
      </c>
      <c r="C39" s="49">
        <f>資料儲存!E4711</f>
        <v>0</v>
      </c>
      <c r="D39" s="49">
        <f>資料儲存!F4711</f>
        <v>0</v>
      </c>
      <c r="E39" s="49">
        <f>資料儲存!G4711</f>
        <v>0</v>
      </c>
      <c r="F39" s="49">
        <f>資料儲存!H4711</f>
        <v>0</v>
      </c>
      <c r="G39" s="49">
        <f>資料儲存!I4711</f>
        <v>0</v>
      </c>
      <c r="H39" s="49">
        <f>資料儲存!J4711</f>
        <v>0</v>
      </c>
      <c r="I39" s="52"/>
      <c r="J39" s="70">
        <v>30</v>
      </c>
      <c r="K39" s="49">
        <f>資料儲存!D4831</f>
        <v>0</v>
      </c>
      <c r="L39" s="49">
        <f>資料儲存!E4831</f>
        <v>0</v>
      </c>
      <c r="M39" s="49">
        <f>資料儲存!F4831</f>
        <v>0</v>
      </c>
      <c r="N39" s="49">
        <f>資料儲存!G4831</f>
        <v>0</v>
      </c>
      <c r="O39" s="49">
        <f>資料儲存!H4831</f>
        <v>0</v>
      </c>
      <c r="P39" s="49">
        <f>資料儲存!I4831</f>
        <v>0</v>
      </c>
      <c r="Q39" s="49">
        <f>資料儲存!J4831</f>
        <v>0</v>
      </c>
      <c r="R39" s="52"/>
      <c r="S39" s="70">
        <v>30</v>
      </c>
      <c r="T39" s="49">
        <f>資料儲存!D4951</f>
        <v>0</v>
      </c>
      <c r="U39" s="49">
        <f>資料儲存!E4951</f>
        <v>0</v>
      </c>
      <c r="V39" s="49">
        <f>資料儲存!F4951</f>
        <v>0</v>
      </c>
      <c r="W39" s="49">
        <f>資料儲存!G4951</f>
        <v>0</v>
      </c>
      <c r="X39" s="49">
        <f>資料儲存!H4951</f>
        <v>0</v>
      </c>
      <c r="Y39" s="49">
        <f>資料儲存!I4951</f>
        <v>0</v>
      </c>
      <c r="Z39" s="49">
        <f>資料儲存!J4951</f>
        <v>0</v>
      </c>
      <c r="AA39" s="52"/>
      <c r="AB39" s="70">
        <v>30</v>
      </c>
      <c r="AC39" s="49">
        <f>資料儲存!D5071</f>
        <v>0</v>
      </c>
      <c r="AD39" s="49">
        <f>資料儲存!E5071</f>
        <v>0</v>
      </c>
      <c r="AE39" s="49">
        <f>資料儲存!F5071</f>
        <v>0</v>
      </c>
      <c r="AF39" s="49">
        <f>資料儲存!G5071</f>
        <v>0</v>
      </c>
      <c r="AG39" s="49">
        <f>資料儲存!H5071</f>
        <v>0</v>
      </c>
      <c r="AH39" s="49">
        <f>資料儲存!I5071</f>
        <v>0</v>
      </c>
      <c r="AI39" s="49">
        <f>資料儲存!J5071</f>
        <v>0</v>
      </c>
      <c r="AJ39" s="52"/>
      <c r="AK39" s="70">
        <v>30</v>
      </c>
      <c r="AL39" s="49">
        <f>資料儲存!D5191</f>
        <v>0</v>
      </c>
      <c r="AM39" s="49">
        <f>資料儲存!E5191</f>
        <v>0</v>
      </c>
      <c r="AN39" s="49">
        <f>資料儲存!F5191</f>
        <v>0</v>
      </c>
      <c r="AO39" s="49">
        <f>資料儲存!G5191</f>
        <v>0</v>
      </c>
      <c r="AP39" s="49">
        <f>資料儲存!H5191</f>
        <v>0</v>
      </c>
      <c r="AQ39" s="49">
        <f>資料儲存!I5191</f>
        <v>0</v>
      </c>
      <c r="AR39" s="49">
        <f>資料儲存!J5191</f>
        <v>0</v>
      </c>
      <c r="AT39" s="70">
        <v>30</v>
      </c>
      <c r="AU39" s="49">
        <f>資料儲存!D5311</f>
        <v>0</v>
      </c>
      <c r="AV39" s="49">
        <f>資料儲存!E5311</f>
        <v>0</v>
      </c>
      <c r="AW39" s="49">
        <f>資料儲存!F5311</f>
        <v>0</v>
      </c>
      <c r="AX39" s="49">
        <f>資料儲存!G5311</f>
        <v>0</v>
      </c>
      <c r="AY39" s="49">
        <f>資料儲存!H5311</f>
        <v>0</v>
      </c>
      <c r="AZ39" s="49">
        <f>資料儲存!I5311</f>
        <v>0</v>
      </c>
      <c r="BA39" s="49">
        <f>資料儲存!J5311</f>
        <v>0</v>
      </c>
    </row>
    <row r="40" spans="1:53" s="67" customFormat="1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0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  <c r="AT40" s="50" t="s">
        <v>56</v>
      </c>
      <c r="AU40" s="49">
        <f>SUM(AU25:AX39)</f>
        <v>0</v>
      </c>
      <c r="AV40" s="47"/>
      <c r="AW40" s="47"/>
      <c r="AX40" s="47"/>
      <c r="AY40" s="49">
        <f>AY39</f>
        <v>0</v>
      </c>
      <c r="AZ40" s="49">
        <f>AZ39</f>
        <v>0</v>
      </c>
      <c r="BA40" s="49">
        <f>BA39</f>
        <v>0</v>
      </c>
    </row>
    <row r="41" spans="1:53" ht="18.5" thickBot="1">
      <c r="A41" s="257" t="s">
        <v>119</v>
      </c>
      <c r="B41" s="258"/>
      <c r="C41" s="258"/>
      <c r="D41" s="258"/>
      <c r="E41" s="258"/>
      <c r="F41" s="258"/>
      <c r="G41" s="258"/>
      <c r="H41" s="259"/>
      <c r="I41" s="14"/>
      <c r="J41" s="257" t="s">
        <v>119</v>
      </c>
      <c r="K41" s="258"/>
      <c r="L41" s="258"/>
      <c r="M41" s="258"/>
      <c r="N41" s="258"/>
      <c r="O41" s="258"/>
      <c r="P41" s="258"/>
      <c r="Q41" s="259"/>
      <c r="R41" s="14"/>
      <c r="S41" s="257" t="s">
        <v>119</v>
      </c>
      <c r="T41" s="258"/>
      <c r="U41" s="258"/>
      <c r="V41" s="258"/>
      <c r="W41" s="258"/>
      <c r="X41" s="258"/>
      <c r="Y41" s="258"/>
      <c r="Z41" s="259"/>
      <c r="AA41" s="14"/>
      <c r="AB41" s="257" t="s">
        <v>119</v>
      </c>
      <c r="AC41" s="258"/>
      <c r="AD41" s="258"/>
      <c r="AE41" s="258"/>
      <c r="AF41" s="258"/>
      <c r="AG41" s="258"/>
      <c r="AH41" s="258"/>
      <c r="AI41" s="259"/>
      <c r="AJ41" s="14"/>
      <c r="AK41" s="257" t="s">
        <v>119</v>
      </c>
      <c r="AL41" s="258"/>
      <c r="AM41" s="258"/>
      <c r="AN41" s="258"/>
      <c r="AO41" s="258"/>
      <c r="AP41" s="258"/>
      <c r="AQ41" s="258"/>
      <c r="AR41" s="259"/>
      <c r="AT41" s="257" t="s">
        <v>119</v>
      </c>
      <c r="AU41" s="258"/>
      <c r="AV41" s="258"/>
      <c r="AW41" s="258"/>
      <c r="AX41" s="258"/>
      <c r="AY41" s="258"/>
      <c r="AZ41" s="258"/>
      <c r="BA41" s="259"/>
    </row>
    <row r="42" spans="1:53" s="59" customFormat="1" ht="17.25" customHeight="1" thickBot="1">
      <c r="A42" s="54" t="s">
        <v>2</v>
      </c>
      <c r="B42" s="55" t="s">
        <v>46</v>
      </c>
      <c r="C42" s="56"/>
      <c r="D42" s="56"/>
      <c r="E42" s="57"/>
      <c r="F42" s="55" t="s">
        <v>47</v>
      </c>
      <c r="G42" s="56"/>
      <c r="H42" s="57"/>
      <c r="I42" s="58"/>
      <c r="J42" s="54" t="s">
        <v>2</v>
      </c>
      <c r="K42" s="55" t="s">
        <v>46</v>
      </c>
      <c r="L42" s="56"/>
      <c r="M42" s="56"/>
      <c r="N42" s="57"/>
      <c r="O42" s="55" t="s">
        <v>47</v>
      </c>
      <c r="P42" s="56"/>
      <c r="Q42" s="57"/>
      <c r="R42" s="58"/>
      <c r="S42" s="54" t="s">
        <v>2</v>
      </c>
      <c r="T42" s="55" t="s">
        <v>46</v>
      </c>
      <c r="U42" s="56"/>
      <c r="V42" s="56"/>
      <c r="W42" s="57"/>
      <c r="X42" s="55" t="s">
        <v>47</v>
      </c>
      <c r="Y42" s="56"/>
      <c r="Z42" s="57"/>
      <c r="AA42" s="58"/>
      <c r="AB42" s="54" t="s">
        <v>2</v>
      </c>
      <c r="AC42" s="55" t="s">
        <v>46</v>
      </c>
      <c r="AD42" s="56"/>
      <c r="AE42" s="56"/>
      <c r="AF42" s="57"/>
      <c r="AG42" s="55" t="s">
        <v>47</v>
      </c>
      <c r="AH42" s="56"/>
      <c r="AI42" s="57"/>
      <c r="AJ42" s="58"/>
      <c r="AK42" s="54" t="s">
        <v>2</v>
      </c>
      <c r="AL42" s="55" t="s">
        <v>46</v>
      </c>
      <c r="AM42" s="56"/>
      <c r="AN42" s="56"/>
      <c r="AO42" s="57"/>
      <c r="AP42" s="55" t="s">
        <v>47</v>
      </c>
      <c r="AQ42" s="56"/>
      <c r="AR42" s="57"/>
      <c r="AT42" s="54" t="s">
        <v>2</v>
      </c>
      <c r="AU42" s="55" t="s">
        <v>46</v>
      </c>
      <c r="AV42" s="56"/>
      <c r="AW42" s="56"/>
      <c r="AX42" s="57"/>
      <c r="AY42" s="55" t="s">
        <v>47</v>
      </c>
      <c r="AZ42" s="56"/>
      <c r="BA42" s="57"/>
    </row>
    <row r="43" spans="1:53" s="59" customFormat="1" ht="16" thickBot="1">
      <c r="A43" s="60">
        <v>0.6875</v>
      </c>
      <c r="B43" s="61" t="s">
        <v>49</v>
      </c>
      <c r="C43" s="61" t="s">
        <v>50</v>
      </c>
      <c r="D43" s="61" t="s">
        <v>51</v>
      </c>
      <c r="E43" s="61" t="s">
        <v>52</v>
      </c>
      <c r="F43" s="61" t="s">
        <v>53</v>
      </c>
      <c r="G43" s="61" t="s">
        <v>54</v>
      </c>
      <c r="H43" s="61" t="s">
        <v>55</v>
      </c>
      <c r="I43" s="58"/>
      <c r="J43" s="60">
        <v>0.6875</v>
      </c>
      <c r="K43" s="61" t="s">
        <v>49</v>
      </c>
      <c r="L43" s="61" t="s">
        <v>50</v>
      </c>
      <c r="M43" s="61" t="s">
        <v>51</v>
      </c>
      <c r="N43" s="61" t="s">
        <v>52</v>
      </c>
      <c r="O43" s="61" t="s">
        <v>53</v>
      </c>
      <c r="P43" s="61" t="s">
        <v>54</v>
      </c>
      <c r="Q43" s="61" t="s">
        <v>55</v>
      </c>
      <c r="R43" s="58"/>
      <c r="S43" s="60">
        <v>0.6875</v>
      </c>
      <c r="T43" s="61" t="s">
        <v>49</v>
      </c>
      <c r="U43" s="61" t="s">
        <v>50</v>
      </c>
      <c r="V43" s="61" t="s">
        <v>51</v>
      </c>
      <c r="W43" s="61" t="s">
        <v>52</v>
      </c>
      <c r="X43" s="61" t="s">
        <v>53</v>
      </c>
      <c r="Y43" s="61" t="s">
        <v>54</v>
      </c>
      <c r="Z43" s="61" t="s">
        <v>55</v>
      </c>
      <c r="AA43" s="58"/>
      <c r="AB43" s="60">
        <v>0.6875</v>
      </c>
      <c r="AC43" s="61" t="s">
        <v>49</v>
      </c>
      <c r="AD43" s="61" t="s">
        <v>50</v>
      </c>
      <c r="AE43" s="61" t="s">
        <v>51</v>
      </c>
      <c r="AF43" s="61" t="s">
        <v>52</v>
      </c>
      <c r="AG43" s="61" t="s">
        <v>53</v>
      </c>
      <c r="AH43" s="61" t="s">
        <v>54</v>
      </c>
      <c r="AI43" s="61" t="s">
        <v>55</v>
      </c>
      <c r="AJ43" s="58"/>
      <c r="AK43" s="60">
        <v>0.6875</v>
      </c>
      <c r="AL43" s="61" t="s">
        <v>49</v>
      </c>
      <c r="AM43" s="61" t="s">
        <v>50</v>
      </c>
      <c r="AN43" s="61" t="s">
        <v>51</v>
      </c>
      <c r="AO43" s="61" t="s">
        <v>52</v>
      </c>
      <c r="AP43" s="61" t="s">
        <v>53</v>
      </c>
      <c r="AQ43" s="61" t="s">
        <v>54</v>
      </c>
      <c r="AR43" s="61" t="s">
        <v>55</v>
      </c>
      <c r="AT43" s="60">
        <v>0.6875</v>
      </c>
      <c r="AU43" s="61" t="s">
        <v>49</v>
      </c>
      <c r="AV43" s="61" t="s">
        <v>50</v>
      </c>
      <c r="AW43" s="61" t="s">
        <v>51</v>
      </c>
      <c r="AX43" s="61" t="s">
        <v>52</v>
      </c>
      <c r="AY43" s="61" t="s">
        <v>53</v>
      </c>
      <c r="AZ43" s="61" t="s">
        <v>54</v>
      </c>
      <c r="BA43" s="61" t="s">
        <v>55</v>
      </c>
    </row>
    <row r="44" spans="1:53" s="59" customFormat="1" ht="16" thickBot="1">
      <c r="A44" s="62">
        <v>31</v>
      </c>
      <c r="B44" s="39">
        <f>資料儲存!D4712</f>
        <v>0</v>
      </c>
      <c r="C44" s="39">
        <f>資料儲存!E4712</f>
        <v>0</v>
      </c>
      <c r="D44" s="39">
        <f>資料儲存!F4712</f>
        <v>0</v>
      </c>
      <c r="E44" s="39">
        <f>資料儲存!G4712</f>
        <v>0</v>
      </c>
      <c r="F44" s="39">
        <f>資料儲存!H4712</f>
        <v>0</v>
      </c>
      <c r="G44" s="39">
        <f>資料儲存!I4712</f>
        <v>0</v>
      </c>
      <c r="H44" s="39">
        <f>資料儲存!J4712</f>
        <v>0</v>
      </c>
      <c r="I44" s="58"/>
      <c r="J44" s="62">
        <v>31</v>
      </c>
      <c r="K44" s="39">
        <f>資料儲存!D4832</f>
        <v>0</v>
      </c>
      <c r="L44" s="39">
        <f>資料儲存!E4832</f>
        <v>0</v>
      </c>
      <c r="M44" s="39">
        <f>資料儲存!F4832</f>
        <v>0</v>
      </c>
      <c r="N44" s="39">
        <f>資料儲存!G4832</f>
        <v>0</v>
      </c>
      <c r="O44" s="39">
        <f>資料儲存!H4832</f>
        <v>0</v>
      </c>
      <c r="P44" s="39">
        <f>資料儲存!I4832</f>
        <v>0</v>
      </c>
      <c r="Q44" s="39">
        <f>資料儲存!J4832</f>
        <v>0</v>
      </c>
      <c r="R44" s="58"/>
      <c r="S44" s="62">
        <v>31</v>
      </c>
      <c r="T44" s="39">
        <f>資料儲存!D4952</f>
        <v>0</v>
      </c>
      <c r="U44" s="39">
        <f>資料儲存!E4952</f>
        <v>0</v>
      </c>
      <c r="V44" s="39">
        <f>資料儲存!F4952</f>
        <v>0</v>
      </c>
      <c r="W44" s="39">
        <f>資料儲存!G4952</f>
        <v>0</v>
      </c>
      <c r="X44" s="39">
        <f>資料儲存!H4952</f>
        <v>0</v>
      </c>
      <c r="Y44" s="39">
        <f>資料儲存!I4952</f>
        <v>0</v>
      </c>
      <c r="Z44" s="39">
        <f>資料儲存!J4952</f>
        <v>0</v>
      </c>
      <c r="AA44" s="58"/>
      <c r="AB44" s="62">
        <v>31</v>
      </c>
      <c r="AC44" s="39">
        <f>資料儲存!D5072</f>
        <v>0</v>
      </c>
      <c r="AD44" s="39">
        <f>資料儲存!E5072</f>
        <v>0</v>
      </c>
      <c r="AE44" s="39">
        <f>資料儲存!F5072</f>
        <v>0</v>
      </c>
      <c r="AF44" s="39">
        <f>資料儲存!G5072</f>
        <v>0</v>
      </c>
      <c r="AG44" s="39">
        <f>資料儲存!H5072</f>
        <v>0</v>
      </c>
      <c r="AH44" s="39">
        <f>資料儲存!I5072</f>
        <v>0</v>
      </c>
      <c r="AI44" s="39">
        <f>資料儲存!J5072</f>
        <v>0</v>
      </c>
      <c r="AJ44" s="58"/>
      <c r="AK44" s="62">
        <v>31</v>
      </c>
      <c r="AL44" s="39">
        <f>資料儲存!D5192</f>
        <v>0</v>
      </c>
      <c r="AM44" s="39">
        <f>資料儲存!E5192</f>
        <v>0</v>
      </c>
      <c r="AN44" s="39">
        <f>資料儲存!F5192</f>
        <v>0</v>
      </c>
      <c r="AO44" s="39">
        <f>資料儲存!G5192</f>
        <v>0</v>
      </c>
      <c r="AP44" s="39">
        <f>資料儲存!H5192</f>
        <v>0</v>
      </c>
      <c r="AQ44" s="39">
        <f>資料儲存!I5192</f>
        <v>0</v>
      </c>
      <c r="AR44" s="39">
        <f>資料儲存!J5192</f>
        <v>0</v>
      </c>
      <c r="AT44" s="62">
        <v>31</v>
      </c>
      <c r="AU44" s="39">
        <f>資料儲存!D5312</f>
        <v>0</v>
      </c>
      <c r="AV44" s="39">
        <f>資料儲存!E5312</f>
        <v>0</v>
      </c>
      <c r="AW44" s="39">
        <f>資料儲存!F5312</f>
        <v>0</v>
      </c>
      <c r="AX44" s="39">
        <f>資料儲存!G5312</f>
        <v>0</v>
      </c>
      <c r="AY44" s="39">
        <f>資料儲存!H5312</f>
        <v>0</v>
      </c>
      <c r="AZ44" s="39">
        <f>資料儲存!I5312</f>
        <v>0</v>
      </c>
      <c r="BA44" s="39">
        <f>資料儲存!J5312</f>
        <v>0</v>
      </c>
    </row>
    <row r="45" spans="1:53" s="59" customFormat="1" ht="16" thickBot="1">
      <c r="A45" s="62">
        <v>32</v>
      </c>
      <c r="B45" s="39">
        <f>資料儲存!D4713</f>
        <v>0</v>
      </c>
      <c r="C45" s="39">
        <f>資料儲存!E4713</f>
        <v>0</v>
      </c>
      <c r="D45" s="39">
        <f>資料儲存!F4713</f>
        <v>0</v>
      </c>
      <c r="E45" s="39">
        <f>資料儲存!G4713</f>
        <v>0</v>
      </c>
      <c r="F45" s="39">
        <f>資料儲存!H4713</f>
        <v>0</v>
      </c>
      <c r="G45" s="39">
        <f>資料儲存!I4713</f>
        <v>0</v>
      </c>
      <c r="H45" s="39">
        <f>資料儲存!J4713</f>
        <v>0</v>
      </c>
      <c r="I45" s="58"/>
      <c r="J45" s="62">
        <v>32</v>
      </c>
      <c r="K45" s="39">
        <f>資料儲存!D4833</f>
        <v>0</v>
      </c>
      <c r="L45" s="39">
        <f>資料儲存!E4833</f>
        <v>0</v>
      </c>
      <c r="M45" s="39">
        <f>資料儲存!F4833</f>
        <v>0</v>
      </c>
      <c r="N45" s="39">
        <f>資料儲存!G4833</f>
        <v>0</v>
      </c>
      <c r="O45" s="39">
        <f>資料儲存!H4833</f>
        <v>0</v>
      </c>
      <c r="P45" s="39">
        <f>資料儲存!I4833</f>
        <v>0</v>
      </c>
      <c r="Q45" s="39">
        <f>資料儲存!J4833</f>
        <v>0</v>
      </c>
      <c r="R45" s="58"/>
      <c r="S45" s="62">
        <v>32</v>
      </c>
      <c r="T45" s="39">
        <f>資料儲存!D4953</f>
        <v>0</v>
      </c>
      <c r="U45" s="39">
        <f>資料儲存!E4953</f>
        <v>0</v>
      </c>
      <c r="V45" s="39">
        <f>資料儲存!F4953</f>
        <v>0</v>
      </c>
      <c r="W45" s="39">
        <f>資料儲存!G4953</f>
        <v>0</v>
      </c>
      <c r="X45" s="39">
        <f>資料儲存!H4953</f>
        <v>0</v>
      </c>
      <c r="Y45" s="39">
        <f>資料儲存!I4953</f>
        <v>0</v>
      </c>
      <c r="Z45" s="39">
        <f>資料儲存!J4953</f>
        <v>0</v>
      </c>
      <c r="AA45" s="58"/>
      <c r="AB45" s="62">
        <v>32</v>
      </c>
      <c r="AC45" s="39">
        <f>資料儲存!D5073</f>
        <v>0</v>
      </c>
      <c r="AD45" s="39">
        <f>資料儲存!E5073</f>
        <v>0</v>
      </c>
      <c r="AE45" s="39">
        <f>資料儲存!F5073</f>
        <v>0</v>
      </c>
      <c r="AF45" s="39">
        <f>資料儲存!G5073</f>
        <v>0</v>
      </c>
      <c r="AG45" s="39">
        <f>資料儲存!H5073</f>
        <v>0</v>
      </c>
      <c r="AH45" s="39">
        <f>資料儲存!I5073</f>
        <v>0</v>
      </c>
      <c r="AI45" s="39">
        <f>資料儲存!J5073</f>
        <v>0</v>
      </c>
      <c r="AJ45" s="58"/>
      <c r="AK45" s="62">
        <v>32</v>
      </c>
      <c r="AL45" s="39">
        <f>資料儲存!D5193</f>
        <v>0</v>
      </c>
      <c r="AM45" s="39">
        <f>資料儲存!E5193</f>
        <v>0</v>
      </c>
      <c r="AN45" s="39">
        <f>資料儲存!F5193</f>
        <v>0</v>
      </c>
      <c r="AO45" s="39">
        <f>資料儲存!G5193</f>
        <v>0</v>
      </c>
      <c r="AP45" s="39">
        <f>資料儲存!H5193</f>
        <v>0</v>
      </c>
      <c r="AQ45" s="39">
        <f>資料儲存!I5193</f>
        <v>0</v>
      </c>
      <c r="AR45" s="39">
        <f>資料儲存!J5193</f>
        <v>0</v>
      </c>
      <c r="AT45" s="62">
        <v>32</v>
      </c>
      <c r="AU45" s="39">
        <f>資料儲存!D5313</f>
        <v>0</v>
      </c>
      <c r="AV45" s="39">
        <f>資料儲存!E5313</f>
        <v>0</v>
      </c>
      <c r="AW45" s="39">
        <f>資料儲存!F5313</f>
        <v>0</v>
      </c>
      <c r="AX45" s="39">
        <f>資料儲存!G5313</f>
        <v>0</v>
      </c>
      <c r="AY45" s="39">
        <f>資料儲存!H5313</f>
        <v>0</v>
      </c>
      <c r="AZ45" s="39">
        <f>資料儲存!I5313</f>
        <v>0</v>
      </c>
      <c r="BA45" s="39">
        <f>資料儲存!J5313</f>
        <v>0</v>
      </c>
    </row>
    <row r="46" spans="1:53" s="59" customFormat="1" ht="16" thickBot="1">
      <c r="A46" s="62">
        <v>33</v>
      </c>
      <c r="B46" s="39">
        <f>資料儲存!D4714</f>
        <v>0</v>
      </c>
      <c r="C46" s="39">
        <f>資料儲存!E4714</f>
        <v>0</v>
      </c>
      <c r="D46" s="39">
        <f>資料儲存!F4714</f>
        <v>0</v>
      </c>
      <c r="E46" s="39">
        <f>資料儲存!G4714</f>
        <v>0</v>
      </c>
      <c r="F46" s="39">
        <f>資料儲存!H4714</f>
        <v>0</v>
      </c>
      <c r="G46" s="39">
        <f>資料儲存!I4714</f>
        <v>0</v>
      </c>
      <c r="H46" s="39">
        <f>資料儲存!J4714</f>
        <v>0</v>
      </c>
      <c r="I46" s="58"/>
      <c r="J46" s="62">
        <v>33</v>
      </c>
      <c r="K46" s="39">
        <f>資料儲存!D4834</f>
        <v>0</v>
      </c>
      <c r="L46" s="39">
        <f>資料儲存!E4834</f>
        <v>0</v>
      </c>
      <c r="M46" s="39">
        <f>資料儲存!F4834</f>
        <v>0</v>
      </c>
      <c r="N46" s="39">
        <f>資料儲存!G4834</f>
        <v>0</v>
      </c>
      <c r="O46" s="39">
        <f>資料儲存!H4834</f>
        <v>0</v>
      </c>
      <c r="P46" s="39">
        <f>資料儲存!I4834</f>
        <v>0</v>
      </c>
      <c r="Q46" s="39">
        <f>資料儲存!J4834</f>
        <v>0</v>
      </c>
      <c r="R46" s="58"/>
      <c r="S46" s="62">
        <v>33</v>
      </c>
      <c r="T46" s="39">
        <f>資料儲存!D4954</f>
        <v>0</v>
      </c>
      <c r="U46" s="39">
        <f>資料儲存!E4954</f>
        <v>0</v>
      </c>
      <c r="V46" s="39">
        <f>資料儲存!F4954</f>
        <v>0</v>
      </c>
      <c r="W46" s="39">
        <f>資料儲存!G4954</f>
        <v>0</v>
      </c>
      <c r="X46" s="39">
        <f>資料儲存!H4954</f>
        <v>0</v>
      </c>
      <c r="Y46" s="39">
        <f>資料儲存!I4954</f>
        <v>0</v>
      </c>
      <c r="Z46" s="39">
        <f>資料儲存!J4954</f>
        <v>0</v>
      </c>
      <c r="AA46" s="58"/>
      <c r="AB46" s="62">
        <v>33</v>
      </c>
      <c r="AC46" s="39">
        <f>資料儲存!D5074</f>
        <v>0</v>
      </c>
      <c r="AD46" s="39">
        <f>資料儲存!E5074</f>
        <v>0</v>
      </c>
      <c r="AE46" s="39">
        <f>資料儲存!F5074</f>
        <v>0</v>
      </c>
      <c r="AF46" s="39">
        <f>資料儲存!G5074</f>
        <v>0</v>
      </c>
      <c r="AG46" s="39">
        <f>資料儲存!H5074</f>
        <v>0</v>
      </c>
      <c r="AH46" s="39">
        <f>資料儲存!I5074</f>
        <v>0</v>
      </c>
      <c r="AI46" s="39">
        <f>資料儲存!J5074</f>
        <v>0</v>
      </c>
      <c r="AJ46" s="58"/>
      <c r="AK46" s="62">
        <v>33</v>
      </c>
      <c r="AL46" s="39">
        <f>資料儲存!D5194</f>
        <v>0</v>
      </c>
      <c r="AM46" s="39">
        <f>資料儲存!E5194</f>
        <v>0</v>
      </c>
      <c r="AN46" s="39">
        <f>資料儲存!F5194</f>
        <v>0</v>
      </c>
      <c r="AO46" s="39">
        <f>資料儲存!G5194</f>
        <v>0</v>
      </c>
      <c r="AP46" s="39">
        <f>資料儲存!H5194</f>
        <v>0</v>
      </c>
      <c r="AQ46" s="39">
        <f>資料儲存!I5194</f>
        <v>0</v>
      </c>
      <c r="AR46" s="39">
        <f>資料儲存!J5194</f>
        <v>0</v>
      </c>
      <c r="AT46" s="62">
        <v>33</v>
      </c>
      <c r="AU46" s="39">
        <f>資料儲存!D5314</f>
        <v>0</v>
      </c>
      <c r="AV46" s="39">
        <f>資料儲存!E5314</f>
        <v>0</v>
      </c>
      <c r="AW46" s="39">
        <f>資料儲存!F5314</f>
        <v>0</v>
      </c>
      <c r="AX46" s="39">
        <f>資料儲存!G5314</f>
        <v>0</v>
      </c>
      <c r="AY46" s="39">
        <f>資料儲存!H5314</f>
        <v>0</v>
      </c>
      <c r="AZ46" s="39">
        <f>資料儲存!I5314</f>
        <v>0</v>
      </c>
      <c r="BA46" s="39">
        <f>資料儲存!J5314</f>
        <v>0</v>
      </c>
    </row>
    <row r="47" spans="1:53" s="59" customFormat="1" ht="16" thickBot="1">
      <c r="A47" s="62">
        <v>34</v>
      </c>
      <c r="B47" s="39">
        <f>資料儲存!D4715</f>
        <v>0</v>
      </c>
      <c r="C47" s="39">
        <f>資料儲存!E4715</f>
        <v>0</v>
      </c>
      <c r="D47" s="39">
        <f>資料儲存!F4715</f>
        <v>0</v>
      </c>
      <c r="E47" s="39">
        <f>資料儲存!G4715</f>
        <v>0</v>
      </c>
      <c r="F47" s="39">
        <f>資料儲存!H4715</f>
        <v>0</v>
      </c>
      <c r="G47" s="39">
        <f>資料儲存!I4715</f>
        <v>0</v>
      </c>
      <c r="H47" s="39">
        <f>資料儲存!J4715</f>
        <v>0</v>
      </c>
      <c r="I47" s="58"/>
      <c r="J47" s="62">
        <v>34</v>
      </c>
      <c r="K47" s="39">
        <f>資料儲存!D4835</f>
        <v>0</v>
      </c>
      <c r="L47" s="39">
        <f>資料儲存!E4835</f>
        <v>0</v>
      </c>
      <c r="M47" s="39">
        <f>資料儲存!F4835</f>
        <v>0</v>
      </c>
      <c r="N47" s="39">
        <f>資料儲存!G4835</f>
        <v>0</v>
      </c>
      <c r="O47" s="39">
        <f>資料儲存!H4835</f>
        <v>0</v>
      </c>
      <c r="P47" s="39">
        <f>資料儲存!I4835</f>
        <v>0</v>
      </c>
      <c r="Q47" s="39">
        <f>資料儲存!J4835</f>
        <v>0</v>
      </c>
      <c r="R47" s="58"/>
      <c r="S47" s="62">
        <v>34</v>
      </c>
      <c r="T47" s="39">
        <f>資料儲存!D4955</f>
        <v>0</v>
      </c>
      <c r="U47" s="39">
        <f>資料儲存!E4955</f>
        <v>0</v>
      </c>
      <c r="V47" s="39">
        <f>資料儲存!F4955</f>
        <v>0</v>
      </c>
      <c r="W47" s="39">
        <f>資料儲存!G4955</f>
        <v>0</v>
      </c>
      <c r="X47" s="39">
        <f>資料儲存!H4955</f>
        <v>0</v>
      </c>
      <c r="Y47" s="39">
        <f>資料儲存!I4955</f>
        <v>0</v>
      </c>
      <c r="Z47" s="39">
        <f>資料儲存!J4955</f>
        <v>0</v>
      </c>
      <c r="AA47" s="58"/>
      <c r="AB47" s="62">
        <v>34</v>
      </c>
      <c r="AC47" s="39">
        <f>資料儲存!D5075</f>
        <v>0</v>
      </c>
      <c r="AD47" s="39">
        <f>資料儲存!E5075</f>
        <v>0</v>
      </c>
      <c r="AE47" s="39">
        <f>資料儲存!F5075</f>
        <v>0</v>
      </c>
      <c r="AF47" s="39">
        <f>資料儲存!G5075</f>
        <v>0</v>
      </c>
      <c r="AG47" s="39">
        <f>資料儲存!H5075</f>
        <v>0</v>
      </c>
      <c r="AH47" s="39">
        <f>資料儲存!I5075</f>
        <v>0</v>
      </c>
      <c r="AI47" s="39">
        <f>資料儲存!J5075</f>
        <v>0</v>
      </c>
      <c r="AJ47" s="58"/>
      <c r="AK47" s="62">
        <v>34</v>
      </c>
      <c r="AL47" s="39">
        <f>資料儲存!D5195</f>
        <v>0</v>
      </c>
      <c r="AM47" s="39">
        <f>資料儲存!E5195</f>
        <v>0</v>
      </c>
      <c r="AN47" s="39">
        <f>資料儲存!F5195</f>
        <v>0</v>
      </c>
      <c r="AO47" s="39">
        <f>資料儲存!G5195</f>
        <v>0</v>
      </c>
      <c r="AP47" s="39">
        <f>資料儲存!H5195</f>
        <v>0</v>
      </c>
      <c r="AQ47" s="39">
        <f>資料儲存!I5195</f>
        <v>0</v>
      </c>
      <c r="AR47" s="39">
        <f>資料儲存!J5195</f>
        <v>0</v>
      </c>
      <c r="AT47" s="62">
        <v>34</v>
      </c>
      <c r="AU47" s="39">
        <f>資料儲存!D5315</f>
        <v>0</v>
      </c>
      <c r="AV47" s="39">
        <f>資料儲存!E5315</f>
        <v>0</v>
      </c>
      <c r="AW47" s="39">
        <f>資料儲存!F5315</f>
        <v>0</v>
      </c>
      <c r="AX47" s="39">
        <f>資料儲存!G5315</f>
        <v>0</v>
      </c>
      <c r="AY47" s="39">
        <f>資料儲存!H5315</f>
        <v>0</v>
      </c>
      <c r="AZ47" s="39">
        <f>資料儲存!I5315</f>
        <v>0</v>
      </c>
      <c r="BA47" s="39">
        <f>資料儲存!J5315</f>
        <v>0</v>
      </c>
    </row>
    <row r="48" spans="1:53" s="59" customFormat="1" ht="16" thickBot="1">
      <c r="A48" s="62">
        <v>35</v>
      </c>
      <c r="B48" s="39">
        <f>資料儲存!D4716</f>
        <v>0</v>
      </c>
      <c r="C48" s="39">
        <f>資料儲存!E4716</f>
        <v>0</v>
      </c>
      <c r="D48" s="39">
        <f>資料儲存!F4716</f>
        <v>0</v>
      </c>
      <c r="E48" s="39">
        <f>資料儲存!G4716</f>
        <v>0</v>
      </c>
      <c r="F48" s="39">
        <f>資料儲存!H4716</f>
        <v>0</v>
      </c>
      <c r="G48" s="39">
        <f>資料儲存!I4716</f>
        <v>0</v>
      </c>
      <c r="H48" s="39">
        <f>資料儲存!J4716</f>
        <v>0</v>
      </c>
      <c r="I48" s="58"/>
      <c r="J48" s="62">
        <v>35</v>
      </c>
      <c r="K48" s="39">
        <f>資料儲存!D4836</f>
        <v>0</v>
      </c>
      <c r="L48" s="39">
        <f>資料儲存!E4836</f>
        <v>0</v>
      </c>
      <c r="M48" s="39">
        <f>資料儲存!F4836</f>
        <v>0</v>
      </c>
      <c r="N48" s="39">
        <f>資料儲存!G4836</f>
        <v>0</v>
      </c>
      <c r="O48" s="39">
        <f>資料儲存!H4836</f>
        <v>0</v>
      </c>
      <c r="P48" s="39">
        <f>資料儲存!I4836</f>
        <v>0</v>
      </c>
      <c r="Q48" s="39">
        <f>資料儲存!J4836</f>
        <v>0</v>
      </c>
      <c r="R48" s="58"/>
      <c r="S48" s="62">
        <v>35</v>
      </c>
      <c r="T48" s="39">
        <f>資料儲存!D4956</f>
        <v>0</v>
      </c>
      <c r="U48" s="39">
        <f>資料儲存!E4956</f>
        <v>0</v>
      </c>
      <c r="V48" s="39">
        <f>資料儲存!F4956</f>
        <v>0</v>
      </c>
      <c r="W48" s="39">
        <f>資料儲存!G4956</f>
        <v>0</v>
      </c>
      <c r="X48" s="39">
        <f>資料儲存!H4956</f>
        <v>0</v>
      </c>
      <c r="Y48" s="39">
        <f>資料儲存!I4956</f>
        <v>0</v>
      </c>
      <c r="Z48" s="39">
        <f>資料儲存!J4956</f>
        <v>0</v>
      </c>
      <c r="AA48" s="58"/>
      <c r="AB48" s="62">
        <v>35</v>
      </c>
      <c r="AC48" s="39">
        <f>資料儲存!D5076</f>
        <v>0</v>
      </c>
      <c r="AD48" s="39">
        <f>資料儲存!E5076</f>
        <v>0</v>
      </c>
      <c r="AE48" s="39">
        <f>資料儲存!F5076</f>
        <v>0</v>
      </c>
      <c r="AF48" s="39">
        <f>資料儲存!G5076</f>
        <v>0</v>
      </c>
      <c r="AG48" s="39">
        <f>資料儲存!H5076</f>
        <v>0</v>
      </c>
      <c r="AH48" s="39">
        <f>資料儲存!I5076</f>
        <v>0</v>
      </c>
      <c r="AI48" s="39">
        <f>資料儲存!J5076</f>
        <v>0</v>
      </c>
      <c r="AJ48" s="58"/>
      <c r="AK48" s="62">
        <v>35</v>
      </c>
      <c r="AL48" s="39">
        <f>資料儲存!D5196</f>
        <v>0</v>
      </c>
      <c r="AM48" s="39">
        <f>資料儲存!E5196</f>
        <v>0</v>
      </c>
      <c r="AN48" s="39">
        <f>資料儲存!F5196</f>
        <v>0</v>
      </c>
      <c r="AO48" s="39">
        <f>資料儲存!G5196</f>
        <v>0</v>
      </c>
      <c r="AP48" s="39">
        <f>資料儲存!H5196</f>
        <v>0</v>
      </c>
      <c r="AQ48" s="39">
        <f>資料儲存!I5196</f>
        <v>0</v>
      </c>
      <c r="AR48" s="39">
        <f>資料儲存!J5196</f>
        <v>0</v>
      </c>
      <c r="AT48" s="62">
        <v>35</v>
      </c>
      <c r="AU48" s="39">
        <f>資料儲存!D5316</f>
        <v>0</v>
      </c>
      <c r="AV48" s="39">
        <f>資料儲存!E5316</f>
        <v>0</v>
      </c>
      <c r="AW48" s="39">
        <f>資料儲存!F5316</f>
        <v>0</v>
      </c>
      <c r="AX48" s="39">
        <f>資料儲存!G5316</f>
        <v>0</v>
      </c>
      <c r="AY48" s="39">
        <f>資料儲存!H5316</f>
        <v>0</v>
      </c>
      <c r="AZ48" s="39">
        <f>資料儲存!I5316</f>
        <v>0</v>
      </c>
      <c r="BA48" s="39">
        <f>資料儲存!J5316</f>
        <v>0</v>
      </c>
    </row>
    <row r="49" spans="1:53" s="59" customFormat="1" ht="16" thickBot="1">
      <c r="A49" s="62">
        <v>36</v>
      </c>
      <c r="B49" s="39">
        <f>資料儲存!D4717</f>
        <v>0</v>
      </c>
      <c r="C49" s="39">
        <f>資料儲存!E4717</f>
        <v>0</v>
      </c>
      <c r="D49" s="39">
        <f>資料儲存!F4717</f>
        <v>0</v>
      </c>
      <c r="E49" s="39">
        <f>資料儲存!G4717</f>
        <v>0</v>
      </c>
      <c r="F49" s="39">
        <f>資料儲存!H4717</f>
        <v>0</v>
      </c>
      <c r="G49" s="39">
        <f>資料儲存!I4717</f>
        <v>0</v>
      </c>
      <c r="H49" s="39">
        <f>資料儲存!J4717</f>
        <v>0</v>
      </c>
      <c r="I49" s="58"/>
      <c r="J49" s="62">
        <v>36</v>
      </c>
      <c r="K49" s="39">
        <f>資料儲存!D4837</f>
        <v>0</v>
      </c>
      <c r="L49" s="39">
        <f>資料儲存!E4837</f>
        <v>0</v>
      </c>
      <c r="M49" s="39">
        <f>資料儲存!F4837</f>
        <v>0</v>
      </c>
      <c r="N49" s="39">
        <f>資料儲存!G4837</f>
        <v>0</v>
      </c>
      <c r="O49" s="39">
        <f>資料儲存!H4837</f>
        <v>0</v>
      </c>
      <c r="P49" s="39">
        <f>資料儲存!I4837</f>
        <v>0</v>
      </c>
      <c r="Q49" s="39">
        <f>資料儲存!J4837</f>
        <v>0</v>
      </c>
      <c r="R49" s="58"/>
      <c r="S49" s="62">
        <v>36</v>
      </c>
      <c r="T49" s="39">
        <f>資料儲存!D4957</f>
        <v>0</v>
      </c>
      <c r="U49" s="39">
        <f>資料儲存!E4957</f>
        <v>0</v>
      </c>
      <c r="V49" s="39">
        <f>資料儲存!F4957</f>
        <v>0</v>
      </c>
      <c r="W49" s="39">
        <f>資料儲存!G4957</f>
        <v>0</v>
      </c>
      <c r="X49" s="39">
        <f>資料儲存!H4957</f>
        <v>0</v>
      </c>
      <c r="Y49" s="39">
        <f>資料儲存!I4957</f>
        <v>0</v>
      </c>
      <c r="Z49" s="39">
        <f>資料儲存!J4957</f>
        <v>0</v>
      </c>
      <c r="AA49" s="58"/>
      <c r="AB49" s="62">
        <v>36</v>
      </c>
      <c r="AC49" s="39">
        <f>資料儲存!D5077</f>
        <v>0</v>
      </c>
      <c r="AD49" s="39">
        <f>資料儲存!E5077</f>
        <v>0</v>
      </c>
      <c r="AE49" s="39">
        <f>資料儲存!F5077</f>
        <v>0</v>
      </c>
      <c r="AF49" s="39">
        <f>資料儲存!G5077</f>
        <v>0</v>
      </c>
      <c r="AG49" s="39">
        <f>資料儲存!H5077</f>
        <v>0</v>
      </c>
      <c r="AH49" s="39">
        <f>資料儲存!I5077</f>
        <v>0</v>
      </c>
      <c r="AI49" s="39">
        <f>資料儲存!J5077</f>
        <v>0</v>
      </c>
      <c r="AJ49" s="58"/>
      <c r="AK49" s="62">
        <v>36</v>
      </c>
      <c r="AL49" s="39">
        <f>資料儲存!D5197</f>
        <v>0</v>
      </c>
      <c r="AM49" s="39">
        <f>資料儲存!E5197</f>
        <v>0</v>
      </c>
      <c r="AN49" s="39">
        <f>資料儲存!F5197</f>
        <v>0</v>
      </c>
      <c r="AO49" s="39">
        <f>資料儲存!G5197</f>
        <v>0</v>
      </c>
      <c r="AP49" s="39">
        <f>資料儲存!H5197</f>
        <v>0</v>
      </c>
      <c r="AQ49" s="39">
        <f>資料儲存!I5197</f>
        <v>0</v>
      </c>
      <c r="AR49" s="39">
        <f>資料儲存!J5197</f>
        <v>0</v>
      </c>
      <c r="AT49" s="62">
        <v>36</v>
      </c>
      <c r="AU49" s="39">
        <f>資料儲存!D5317</f>
        <v>0</v>
      </c>
      <c r="AV49" s="39">
        <f>資料儲存!E5317</f>
        <v>0</v>
      </c>
      <c r="AW49" s="39">
        <f>資料儲存!F5317</f>
        <v>0</v>
      </c>
      <c r="AX49" s="39">
        <f>資料儲存!G5317</f>
        <v>0</v>
      </c>
      <c r="AY49" s="39">
        <f>資料儲存!H5317</f>
        <v>0</v>
      </c>
      <c r="AZ49" s="39">
        <f>資料儲存!I5317</f>
        <v>0</v>
      </c>
      <c r="BA49" s="39">
        <f>資料儲存!J5317</f>
        <v>0</v>
      </c>
    </row>
    <row r="50" spans="1:53" s="59" customFormat="1" ht="16" thickBot="1">
      <c r="A50" s="62">
        <v>37</v>
      </c>
      <c r="B50" s="39">
        <f>資料儲存!D4718</f>
        <v>0</v>
      </c>
      <c r="C50" s="39">
        <f>資料儲存!E4718</f>
        <v>0</v>
      </c>
      <c r="D50" s="39">
        <f>資料儲存!F4718</f>
        <v>0</v>
      </c>
      <c r="E50" s="39">
        <f>資料儲存!G4718</f>
        <v>0</v>
      </c>
      <c r="F50" s="39">
        <f>資料儲存!H4718</f>
        <v>0</v>
      </c>
      <c r="G50" s="39">
        <f>資料儲存!I4718</f>
        <v>0</v>
      </c>
      <c r="H50" s="39">
        <f>資料儲存!J4718</f>
        <v>0</v>
      </c>
      <c r="I50" s="58"/>
      <c r="J50" s="62">
        <v>37</v>
      </c>
      <c r="K50" s="39">
        <f>資料儲存!D4838</f>
        <v>0</v>
      </c>
      <c r="L50" s="39">
        <f>資料儲存!E4838</f>
        <v>0</v>
      </c>
      <c r="M50" s="39">
        <f>資料儲存!F4838</f>
        <v>0</v>
      </c>
      <c r="N50" s="39">
        <f>資料儲存!G4838</f>
        <v>0</v>
      </c>
      <c r="O50" s="39">
        <f>資料儲存!H4838</f>
        <v>0</v>
      </c>
      <c r="P50" s="39">
        <f>資料儲存!I4838</f>
        <v>0</v>
      </c>
      <c r="Q50" s="39">
        <f>資料儲存!J4838</f>
        <v>0</v>
      </c>
      <c r="R50" s="58"/>
      <c r="S50" s="62">
        <v>37</v>
      </c>
      <c r="T50" s="39">
        <f>資料儲存!D4958</f>
        <v>0</v>
      </c>
      <c r="U50" s="39">
        <f>資料儲存!E4958</f>
        <v>0</v>
      </c>
      <c r="V50" s="39">
        <f>資料儲存!F4958</f>
        <v>0</v>
      </c>
      <c r="W50" s="39">
        <f>資料儲存!G4958</f>
        <v>0</v>
      </c>
      <c r="X50" s="39">
        <f>資料儲存!H4958</f>
        <v>0</v>
      </c>
      <c r="Y50" s="39">
        <f>資料儲存!I4958</f>
        <v>0</v>
      </c>
      <c r="Z50" s="39">
        <f>資料儲存!J4958</f>
        <v>0</v>
      </c>
      <c r="AA50" s="58"/>
      <c r="AB50" s="62">
        <v>37</v>
      </c>
      <c r="AC50" s="39">
        <f>資料儲存!D5078</f>
        <v>0</v>
      </c>
      <c r="AD50" s="39">
        <f>資料儲存!E5078</f>
        <v>0</v>
      </c>
      <c r="AE50" s="39">
        <f>資料儲存!F5078</f>
        <v>0</v>
      </c>
      <c r="AF50" s="39">
        <f>資料儲存!G5078</f>
        <v>0</v>
      </c>
      <c r="AG50" s="39">
        <f>資料儲存!H5078</f>
        <v>0</v>
      </c>
      <c r="AH50" s="39">
        <f>資料儲存!I5078</f>
        <v>0</v>
      </c>
      <c r="AI50" s="39">
        <f>資料儲存!J5078</f>
        <v>0</v>
      </c>
      <c r="AJ50" s="58"/>
      <c r="AK50" s="62">
        <v>37</v>
      </c>
      <c r="AL50" s="39">
        <f>資料儲存!D5198</f>
        <v>0</v>
      </c>
      <c r="AM50" s="39">
        <f>資料儲存!E5198</f>
        <v>0</v>
      </c>
      <c r="AN50" s="39">
        <f>資料儲存!F5198</f>
        <v>0</v>
      </c>
      <c r="AO50" s="39">
        <f>資料儲存!G5198</f>
        <v>0</v>
      </c>
      <c r="AP50" s="39">
        <f>資料儲存!H5198</f>
        <v>0</v>
      </c>
      <c r="AQ50" s="39">
        <f>資料儲存!I5198</f>
        <v>0</v>
      </c>
      <c r="AR50" s="39">
        <f>資料儲存!J5198</f>
        <v>0</v>
      </c>
      <c r="AT50" s="62">
        <v>37</v>
      </c>
      <c r="AU50" s="39">
        <f>資料儲存!D5318</f>
        <v>0</v>
      </c>
      <c r="AV50" s="39">
        <f>資料儲存!E5318</f>
        <v>0</v>
      </c>
      <c r="AW50" s="39">
        <f>資料儲存!F5318</f>
        <v>0</v>
      </c>
      <c r="AX50" s="39">
        <f>資料儲存!G5318</f>
        <v>0</v>
      </c>
      <c r="AY50" s="39">
        <f>資料儲存!H5318</f>
        <v>0</v>
      </c>
      <c r="AZ50" s="39">
        <f>資料儲存!I5318</f>
        <v>0</v>
      </c>
      <c r="BA50" s="39">
        <f>資料儲存!J5318</f>
        <v>0</v>
      </c>
    </row>
    <row r="51" spans="1:53" s="59" customFormat="1" ht="16" thickBot="1">
      <c r="A51" s="62">
        <v>38</v>
      </c>
      <c r="B51" s="39">
        <f>資料儲存!D4719</f>
        <v>0</v>
      </c>
      <c r="C51" s="39">
        <f>資料儲存!E4719</f>
        <v>0</v>
      </c>
      <c r="D51" s="39">
        <f>資料儲存!F4719</f>
        <v>0</v>
      </c>
      <c r="E51" s="39">
        <f>資料儲存!G4719</f>
        <v>0</v>
      </c>
      <c r="F51" s="39">
        <f>資料儲存!H4719</f>
        <v>0</v>
      </c>
      <c r="G51" s="39">
        <f>資料儲存!I4719</f>
        <v>0</v>
      </c>
      <c r="H51" s="39">
        <f>資料儲存!J4719</f>
        <v>0</v>
      </c>
      <c r="I51" s="58"/>
      <c r="J51" s="62">
        <v>38</v>
      </c>
      <c r="K51" s="39">
        <f>資料儲存!D4839</f>
        <v>0</v>
      </c>
      <c r="L51" s="39">
        <f>資料儲存!E4839</f>
        <v>0</v>
      </c>
      <c r="M51" s="39">
        <f>資料儲存!F4839</f>
        <v>0</v>
      </c>
      <c r="N51" s="39">
        <f>資料儲存!G4839</f>
        <v>0</v>
      </c>
      <c r="O51" s="39">
        <f>資料儲存!H4839</f>
        <v>0</v>
      </c>
      <c r="P51" s="39">
        <f>資料儲存!I4839</f>
        <v>0</v>
      </c>
      <c r="Q51" s="39">
        <f>資料儲存!J4839</f>
        <v>0</v>
      </c>
      <c r="R51" s="58"/>
      <c r="S51" s="62">
        <v>38</v>
      </c>
      <c r="T51" s="39">
        <f>資料儲存!D4959</f>
        <v>0</v>
      </c>
      <c r="U51" s="39">
        <f>資料儲存!E4959</f>
        <v>0</v>
      </c>
      <c r="V51" s="39">
        <f>資料儲存!F4959</f>
        <v>0</v>
      </c>
      <c r="W51" s="39">
        <f>資料儲存!G4959</f>
        <v>0</v>
      </c>
      <c r="X51" s="39">
        <f>資料儲存!H4959</f>
        <v>0</v>
      </c>
      <c r="Y51" s="39">
        <f>資料儲存!I4959</f>
        <v>0</v>
      </c>
      <c r="Z51" s="39">
        <f>資料儲存!J4959</f>
        <v>0</v>
      </c>
      <c r="AA51" s="58"/>
      <c r="AB51" s="62">
        <v>38</v>
      </c>
      <c r="AC51" s="39">
        <f>資料儲存!D5079</f>
        <v>0</v>
      </c>
      <c r="AD51" s="39">
        <f>資料儲存!E5079</f>
        <v>0</v>
      </c>
      <c r="AE51" s="39">
        <f>資料儲存!F5079</f>
        <v>0</v>
      </c>
      <c r="AF51" s="39">
        <f>資料儲存!G5079</f>
        <v>0</v>
      </c>
      <c r="AG51" s="39">
        <f>資料儲存!H5079</f>
        <v>0</v>
      </c>
      <c r="AH51" s="39">
        <f>資料儲存!I5079</f>
        <v>0</v>
      </c>
      <c r="AI51" s="39">
        <f>資料儲存!J5079</f>
        <v>0</v>
      </c>
      <c r="AJ51" s="58"/>
      <c r="AK51" s="62">
        <v>38</v>
      </c>
      <c r="AL51" s="39">
        <f>資料儲存!D5199</f>
        <v>0</v>
      </c>
      <c r="AM51" s="39">
        <f>資料儲存!E5199</f>
        <v>0</v>
      </c>
      <c r="AN51" s="39">
        <f>資料儲存!F5199</f>
        <v>0</v>
      </c>
      <c r="AO51" s="39">
        <f>資料儲存!G5199</f>
        <v>0</v>
      </c>
      <c r="AP51" s="39">
        <f>資料儲存!H5199</f>
        <v>0</v>
      </c>
      <c r="AQ51" s="39">
        <f>資料儲存!I5199</f>
        <v>0</v>
      </c>
      <c r="AR51" s="39">
        <f>資料儲存!J5199</f>
        <v>0</v>
      </c>
      <c r="AT51" s="62">
        <v>38</v>
      </c>
      <c r="AU51" s="39">
        <f>資料儲存!D5319</f>
        <v>0</v>
      </c>
      <c r="AV51" s="39">
        <f>資料儲存!E5319</f>
        <v>0</v>
      </c>
      <c r="AW51" s="39">
        <f>資料儲存!F5319</f>
        <v>0</v>
      </c>
      <c r="AX51" s="39">
        <f>資料儲存!G5319</f>
        <v>0</v>
      </c>
      <c r="AY51" s="39">
        <f>資料儲存!H5319</f>
        <v>0</v>
      </c>
      <c r="AZ51" s="39">
        <f>資料儲存!I5319</f>
        <v>0</v>
      </c>
      <c r="BA51" s="39">
        <f>資料儲存!J5319</f>
        <v>0</v>
      </c>
    </row>
    <row r="52" spans="1:53" s="59" customFormat="1" ht="16" thickBot="1">
      <c r="A52" s="62">
        <v>39</v>
      </c>
      <c r="B52" s="39">
        <f>資料儲存!D4720</f>
        <v>0</v>
      </c>
      <c r="C52" s="39">
        <f>資料儲存!E4720</f>
        <v>0</v>
      </c>
      <c r="D52" s="39">
        <f>資料儲存!F4720</f>
        <v>0</v>
      </c>
      <c r="E52" s="39">
        <f>資料儲存!G4720</f>
        <v>0</v>
      </c>
      <c r="F52" s="39">
        <f>資料儲存!H4720</f>
        <v>0</v>
      </c>
      <c r="G52" s="39">
        <f>資料儲存!I4720</f>
        <v>0</v>
      </c>
      <c r="H52" s="39">
        <f>資料儲存!J4720</f>
        <v>0</v>
      </c>
      <c r="I52" s="58"/>
      <c r="J52" s="62">
        <v>39</v>
      </c>
      <c r="K52" s="39">
        <f>資料儲存!D4840</f>
        <v>0</v>
      </c>
      <c r="L52" s="39">
        <f>資料儲存!E4840</f>
        <v>0</v>
      </c>
      <c r="M52" s="39">
        <f>資料儲存!F4840</f>
        <v>0</v>
      </c>
      <c r="N52" s="39">
        <f>資料儲存!G4840</f>
        <v>0</v>
      </c>
      <c r="O52" s="39">
        <f>資料儲存!H4840</f>
        <v>0</v>
      </c>
      <c r="P52" s="39">
        <f>資料儲存!I4840</f>
        <v>0</v>
      </c>
      <c r="Q52" s="39">
        <f>資料儲存!J4840</f>
        <v>0</v>
      </c>
      <c r="R52" s="58"/>
      <c r="S52" s="62">
        <v>39</v>
      </c>
      <c r="T52" s="39">
        <f>資料儲存!D4960</f>
        <v>0</v>
      </c>
      <c r="U52" s="39">
        <f>資料儲存!E4960</f>
        <v>0</v>
      </c>
      <c r="V52" s="39">
        <f>資料儲存!F4960</f>
        <v>0</v>
      </c>
      <c r="W52" s="39">
        <f>資料儲存!G4960</f>
        <v>0</v>
      </c>
      <c r="X52" s="39">
        <f>資料儲存!H4960</f>
        <v>0</v>
      </c>
      <c r="Y52" s="39">
        <f>資料儲存!I4960</f>
        <v>0</v>
      </c>
      <c r="Z52" s="39">
        <f>資料儲存!J4960</f>
        <v>0</v>
      </c>
      <c r="AA52" s="58"/>
      <c r="AB52" s="62">
        <v>39</v>
      </c>
      <c r="AC52" s="39">
        <f>資料儲存!D5080</f>
        <v>0</v>
      </c>
      <c r="AD52" s="39">
        <f>資料儲存!E5080</f>
        <v>0</v>
      </c>
      <c r="AE52" s="39">
        <f>資料儲存!F5080</f>
        <v>0</v>
      </c>
      <c r="AF52" s="39">
        <f>資料儲存!G5080</f>
        <v>0</v>
      </c>
      <c r="AG52" s="39">
        <f>資料儲存!H5080</f>
        <v>0</v>
      </c>
      <c r="AH52" s="39">
        <f>資料儲存!I5080</f>
        <v>0</v>
      </c>
      <c r="AI52" s="39">
        <f>資料儲存!J5080</f>
        <v>0</v>
      </c>
      <c r="AJ52" s="58"/>
      <c r="AK52" s="62">
        <v>39</v>
      </c>
      <c r="AL52" s="39">
        <f>資料儲存!D5200</f>
        <v>0</v>
      </c>
      <c r="AM52" s="39">
        <f>資料儲存!E5200</f>
        <v>0</v>
      </c>
      <c r="AN52" s="39">
        <f>資料儲存!F5200</f>
        <v>0</v>
      </c>
      <c r="AO52" s="39">
        <f>資料儲存!G5200</f>
        <v>0</v>
      </c>
      <c r="AP52" s="39">
        <f>資料儲存!H5200</f>
        <v>0</v>
      </c>
      <c r="AQ52" s="39">
        <f>資料儲存!I5200</f>
        <v>0</v>
      </c>
      <c r="AR52" s="39">
        <f>資料儲存!J5200</f>
        <v>0</v>
      </c>
      <c r="AT52" s="62">
        <v>39</v>
      </c>
      <c r="AU52" s="39">
        <f>資料儲存!D5320</f>
        <v>0</v>
      </c>
      <c r="AV52" s="39">
        <f>資料儲存!E5320</f>
        <v>0</v>
      </c>
      <c r="AW52" s="39">
        <f>資料儲存!F5320</f>
        <v>0</v>
      </c>
      <c r="AX52" s="39">
        <f>資料儲存!G5320</f>
        <v>0</v>
      </c>
      <c r="AY52" s="39">
        <f>資料儲存!H5320</f>
        <v>0</v>
      </c>
      <c r="AZ52" s="39">
        <f>資料儲存!I5320</f>
        <v>0</v>
      </c>
      <c r="BA52" s="39">
        <f>資料儲存!J5320</f>
        <v>0</v>
      </c>
    </row>
    <row r="53" spans="1:53" s="59" customFormat="1" ht="16" thickBot="1">
      <c r="A53" s="62">
        <v>40</v>
      </c>
      <c r="B53" s="39">
        <f>資料儲存!D4721</f>
        <v>0</v>
      </c>
      <c r="C53" s="39">
        <f>資料儲存!E4721</f>
        <v>0</v>
      </c>
      <c r="D53" s="39">
        <f>資料儲存!F4721</f>
        <v>0</v>
      </c>
      <c r="E53" s="39">
        <f>資料儲存!G4721</f>
        <v>0</v>
      </c>
      <c r="F53" s="39">
        <f>資料儲存!H4721</f>
        <v>0</v>
      </c>
      <c r="G53" s="39">
        <f>資料儲存!I4721</f>
        <v>0</v>
      </c>
      <c r="H53" s="39">
        <f>資料儲存!J4721</f>
        <v>0</v>
      </c>
      <c r="I53" s="58"/>
      <c r="J53" s="62">
        <v>40</v>
      </c>
      <c r="K53" s="39">
        <f>資料儲存!D4841</f>
        <v>0</v>
      </c>
      <c r="L53" s="39">
        <f>資料儲存!E4841</f>
        <v>0</v>
      </c>
      <c r="M53" s="39">
        <f>資料儲存!F4841</f>
        <v>0</v>
      </c>
      <c r="N53" s="39">
        <f>資料儲存!G4841</f>
        <v>0</v>
      </c>
      <c r="O53" s="39">
        <f>資料儲存!H4841</f>
        <v>0</v>
      </c>
      <c r="P53" s="39">
        <f>資料儲存!I4841</f>
        <v>0</v>
      </c>
      <c r="Q53" s="39">
        <f>資料儲存!J4841</f>
        <v>0</v>
      </c>
      <c r="R53" s="58"/>
      <c r="S53" s="62">
        <v>40</v>
      </c>
      <c r="T53" s="39">
        <f>資料儲存!D4961</f>
        <v>0</v>
      </c>
      <c r="U53" s="39">
        <f>資料儲存!E4961</f>
        <v>0</v>
      </c>
      <c r="V53" s="39">
        <f>資料儲存!F4961</f>
        <v>0</v>
      </c>
      <c r="W53" s="39">
        <f>資料儲存!G4961</f>
        <v>0</v>
      </c>
      <c r="X53" s="39">
        <f>資料儲存!H4961</f>
        <v>0</v>
      </c>
      <c r="Y53" s="39">
        <f>資料儲存!I4961</f>
        <v>0</v>
      </c>
      <c r="Z53" s="39">
        <f>資料儲存!J4961</f>
        <v>0</v>
      </c>
      <c r="AA53" s="58"/>
      <c r="AB53" s="62">
        <v>40</v>
      </c>
      <c r="AC53" s="39">
        <f>資料儲存!D5081</f>
        <v>0</v>
      </c>
      <c r="AD53" s="39">
        <f>資料儲存!E5081</f>
        <v>0</v>
      </c>
      <c r="AE53" s="39">
        <f>資料儲存!F5081</f>
        <v>0</v>
      </c>
      <c r="AF53" s="39">
        <f>資料儲存!G5081</f>
        <v>0</v>
      </c>
      <c r="AG53" s="39">
        <f>資料儲存!H5081</f>
        <v>0</v>
      </c>
      <c r="AH53" s="39">
        <f>資料儲存!I5081</f>
        <v>0</v>
      </c>
      <c r="AI53" s="39">
        <f>資料儲存!J5081</f>
        <v>0</v>
      </c>
      <c r="AJ53" s="58"/>
      <c r="AK53" s="62">
        <v>40</v>
      </c>
      <c r="AL53" s="39">
        <f>資料儲存!D5201</f>
        <v>0</v>
      </c>
      <c r="AM53" s="39">
        <f>資料儲存!E5201</f>
        <v>0</v>
      </c>
      <c r="AN53" s="39">
        <f>資料儲存!F5201</f>
        <v>0</v>
      </c>
      <c r="AO53" s="39">
        <f>資料儲存!G5201</f>
        <v>0</v>
      </c>
      <c r="AP53" s="39">
        <f>資料儲存!H5201</f>
        <v>0</v>
      </c>
      <c r="AQ53" s="39">
        <f>資料儲存!I5201</f>
        <v>0</v>
      </c>
      <c r="AR53" s="39">
        <f>資料儲存!J5201</f>
        <v>0</v>
      </c>
      <c r="AT53" s="62">
        <v>40</v>
      </c>
      <c r="AU53" s="39">
        <f>資料儲存!D5321</f>
        <v>0</v>
      </c>
      <c r="AV53" s="39">
        <f>資料儲存!E5321</f>
        <v>0</v>
      </c>
      <c r="AW53" s="39">
        <f>資料儲存!F5321</f>
        <v>0</v>
      </c>
      <c r="AX53" s="39">
        <f>資料儲存!G5321</f>
        <v>0</v>
      </c>
      <c r="AY53" s="39">
        <f>資料儲存!H5321</f>
        <v>0</v>
      </c>
      <c r="AZ53" s="39">
        <f>資料儲存!I5321</f>
        <v>0</v>
      </c>
      <c r="BA53" s="39">
        <f>資料儲存!J5321</f>
        <v>0</v>
      </c>
    </row>
    <row r="54" spans="1:53" s="59" customFormat="1" ht="16" thickBot="1">
      <c r="A54" s="62">
        <v>41</v>
      </c>
      <c r="B54" s="39">
        <f>資料儲存!D4722</f>
        <v>0</v>
      </c>
      <c r="C54" s="39">
        <f>資料儲存!E4722</f>
        <v>0</v>
      </c>
      <c r="D54" s="39">
        <f>資料儲存!F4722</f>
        <v>0</v>
      </c>
      <c r="E54" s="39">
        <f>資料儲存!G4722</f>
        <v>0</v>
      </c>
      <c r="F54" s="39">
        <f>資料儲存!H4722</f>
        <v>0</v>
      </c>
      <c r="G54" s="39">
        <f>資料儲存!I4722</f>
        <v>0</v>
      </c>
      <c r="H54" s="39">
        <f>資料儲存!J4722</f>
        <v>0</v>
      </c>
      <c r="I54" s="58"/>
      <c r="J54" s="62">
        <v>41</v>
      </c>
      <c r="K54" s="39">
        <f>資料儲存!D4842</f>
        <v>0</v>
      </c>
      <c r="L54" s="39">
        <f>資料儲存!E4842</f>
        <v>0</v>
      </c>
      <c r="M54" s="39">
        <f>資料儲存!F4842</f>
        <v>0</v>
      </c>
      <c r="N54" s="39">
        <f>資料儲存!G4842</f>
        <v>0</v>
      </c>
      <c r="O54" s="39">
        <f>資料儲存!H4842</f>
        <v>0</v>
      </c>
      <c r="P54" s="39">
        <f>資料儲存!I4842</f>
        <v>0</v>
      </c>
      <c r="Q54" s="39">
        <f>資料儲存!J4842</f>
        <v>0</v>
      </c>
      <c r="R54" s="58"/>
      <c r="S54" s="62">
        <v>41</v>
      </c>
      <c r="T54" s="39">
        <f>資料儲存!D4962</f>
        <v>0</v>
      </c>
      <c r="U54" s="39">
        <f>資料儲存!E4962</f>
        <v>0</v>
      </c>
      <c r="V54" s="39">
        <f>資料儲存!F4962</f>
        <v>0</v>
      </c>
      <c r="W54" s="39">
        <f>資料儲存!G4962</f>
        <v>0</v>
      </c>
      <c r="X54" s="39">
        <f>資料儲存!H4962</f>
        <v>0</v>
      </c>
      <c r="Y54" s="39">
        <f>資料儲存!I4962</f>
        <v>0</v>
      </c>
      <c r="Z54" s="39">
        <f>資料儲存!J4962</f>
        <v>0</v>
      </c>
      <c r="AA54" s="58"/>
      <c r="AB54" s="62">
        <v>41</v>
      </c>
      <c r="AC54" s="39">
        <f>資料儲存!D5082</f>
        <v>0</v>
      </c>
      <c r="AD54" s="39">
        <f>資料儲存!E5082</f>
        <v>0</v>
      </c>
      <c r="AE54" s="39">
        <f>資料儲存!F5082</f>
        <v>0</v>
      </c>
      <c r="AF54" s="39">
        <f>資料儲存!G5082</f>
        <v>0</v>
      </c>
      <c r="AG54" s="39">
        <f>資料儲存!H5082</f>
        <v>0</v>
      </c>
      <c r="AH54" s="39">
        <f>資料儲存!I5082</f>
        <v>0</v>
      </c>
      <c r="AI54" s="39">
        <f>資料儲存!J5082</f>
        <v>0</v>
      </c>
      <c r="AJ54" s="58"/>
      <c r="AK54" s="62">
        <v>41</v>
      </c>
      <c r="AL54" s="39">
        <f>資料儲存!D5202</f>
        <v>0</v>
      </c>
      <c r="AM54" s="39">
        <f>資料儲存!E5202</f>
        <v>0</v>
      </c>
      <c r="AN54" s="39">
        <f>資料儲存!F5202</f>
        <v>0</v>
      </c>
      <c r="AO54" s="39">
        <f>資料儲存!G5202</f>
        <v>0</v>
      </c>
      <c r="AP54" s="39">
        <f>資料儲存!H5202</f>
        <v>0</v>
      </c>
      <c r="AQ54" s="39">
        <f>資料儲存!I5202</f>
        <v>0</v>
      </c>
      <c r="AR54" s="39">
        <f>資料儲存!J5202</f>
        <v>0</v>
      </c>
      <c r="AT54" s="62">
        <v>41</v>
      </c>
      <c r="AU54" s="39">
        <f>資料儲存!D5322</f>
        <v>0</v>
      </c>
      <c r="AV54" s="39">
        <f>資料儲存!E5322</f>
        <v>0</v>
      </c>
      <c r="AW54" s="39">
        <f>資料儲存!F5322</f>
        <v>0</v>
      </c>
      <c r="AX54" s="39">
        <f>資料儲存!G5322</f>
        <v>0</v>
      </c>
      <c r="AY54" s="39">
        <f>資料儲存!H5322</f>
        <v>0</v>
      </c>
      <c r="AZ54" s="39">
        <f>資料儲存!I5322</f>
        <v>0</v>
      </c>
      <c r="BA54" s="39">
        <f>資料儲存!J5322</f>
        <v>0</v>
      </c>
    </row>
    <row r="55" spans="1:53" s="59" customFormat="1" ht="16" thickBot="1">
      <c r="A55" s="62">
        <v>42</v>
      </c>
      <c r="B55" s="39">
        <f>資料儲存!D4723</f>
        <v>0</v>
      </c>
      <c r="C55" s="39">
        <f>資料儲存!E4723</f>
        <v>0</v>
      </c>
      <c r="D55" s="39">
        <f>資料儲存!F4723</f>
        <v>0</v>
      </c>
      <c r="E55" s="39">
        <f>資料儲存!G4723</f>
        <v>0</v>
      </c>
      <c r="F55" s="39">
        <f>資料儲存!H4723</f>
        <v>0</v>
      </c>
      <c r="G55" s="39">
        <f>資料儲存!I4723</f>
        <v>0</v>
      </c>
      <c r="H55" s="39">
        <f>資料儲存!J4723</f>
        <v>0</v>
      </c>
      <c r="I55" s="58"/>
      <c r="J55" s="62">
        <v>42</v>
      </c>
      <c r="K55" s="39">
        <f>資料儲存!D4843</f>
        <v>0</v>
      </c>
      <c r="L55" s="39">
        <f>資料儲存!E4843</f>
        <v>0</v>
      </c>
      <c r="M55" s="39">
        <f>資料儲存!F4843</f>
        <v>0</v>
      </c>
      <c r="N55" s="39">
        <f>資料儲存!G4843</f>
        <v>0</v>
      </c>
      <c r="O55" s="39">
        <f>資料儲存!H4843</f>
        <v>0</v>
      </c>
      <c r="P55" s="39">
        <f>資料儲存!I4843</f>
        <v>0</v>
      </c>
      <c r="Q55" s="39">
        <f>資料儲存!J4843</f>
        <v>0</v>
      </c>
      <c r="R55" s="58"/>
      <c r="S55" s="62">
        <v>42</v>
      </c>
      <c r="T55" s="39">
        <f>資料儲存!D4963</f>
        <v>0</v>
      </c>
      <c r="U55" s="39">
        <f>資料儲存!E4963</f>
        <v>0</v>
      </c>
      <c r="V55" s="39">
        <f>資料儲存!F4963</f>
        <v>0</v>
      </c>
      <c r="W55" s="39">
        <f>資料儲存!G4963</f>
        <v>0</v>
      </c>
      <c r="X55" s="39">
        <f>資料儲存!H4963</f>
        <v>0</v>
      </c>
      <c r="Y55" s="39">
        <f>資料儲存!I4963</f>
        <v>0</v>
      </c>
      <c r="Z55" s="39">
        <f>資料儲存!J4963</f>
        <v>0</v>
      </c>
      <c r="AA55" s="58"/>
      <c r="AB55" s="62">
        <v>42</v>
      </c>
      <c r="AC55" s="39">
        <f>資料儲存!D5083</f>
        <v>0</v>
      </c>
      <c r="AD55" s="39">
        <f>資料儲存!E5083</f>
        <v>0</v>
      </c>
      <c r="AE55" s="39">
        <f>資料儲存!F5083</f>
        <v>0</v>
      </c>
      <c r="AF55" s="39">
        <f>資料儲存!G5083</f>
        <v>0</v>
      </c>
      <c r="AG55" s="39">
        <f>資料儲存!H5083</f>
        <v>0</v>
      </c>
      <c r="AH55" s="39">
        <f>資料儲存!I5083</f>
        <v>0</v>
      </c>
      <c r="AI55" s="39">
        <f>資料儲存!J5083</f>
        <v>0</v>
      </c>
      <c r="AJ55" s="58"/>
      <c r="AK55" s="62">
        <v>42</v>
      </c>
      <c r="AL55" s="39">
        <f>資料儲存!D5203</f>
        <v>0</v>
      </c>
      <c r="AM55" s="39">
        <f>資料儲存!E5203</f>
        <v>0</v>
      </c>
      <c r="AN55" s="39">
        <f>資料儲存!F5203</f>
        <v>0</v>
      </c>
      <c r="AO55" s="39">
        <f>資料儲存!G5203</f>
        <v>0</v>
      </c>
      <c r="AP55" s="39">
        <f>資料儲存!H5203</f>
        <v>0</v>
      </c>
      <c r="AQ55" s="39">
        <f>資料儲存!I5203</f>
        <v>0</v>
      </c>
      <c r="AR55" s="39">
        <f>資料儲存!J5203</f>
        <v>0</v>
      </c>
      <c r="AT55" s="62">
        <v>42</v>
      </c>
      <c r="AU55" s="39">
        <f>資料儲存!D5323</f>
        <v>0</v>
      </c>
      <c r="AV55" s="39">
        <f>資料儲存!E5323</f>
        <v>0</v>
      </c>
      <c r="AW55" s="39">
        <f>資料儲存!F5323</f>
        <v>0</v>
      </c>
      <c r="AX55" s="39">
        <f>資料儲存!G5323</f>
        <v>0</v>
      </c>
      <c r="AY55" s="39">
        <f>資料儲存!H5323</f>
        <v>0</v>
      </c>
      <c r="AZ55" s="39">
        <f>資料儲存!I5323</f>
        <v>0</v>
      </c>
      <c r="BA55" s="39">
        <f>資料儲存!J5323</f>
        <v>0</v>
      </c>
    </row>
    <row r="56" spans="1:53" s="59" customFormat="1" ht="16" thickBot="1">
      <c r="A56" s="62">
        <v>43</v>
      </c>
      <c r="B56" s="39">
        <f>資料儲存!D4724</f>
        <v>0</v>
      </c>
      <c r="C56" s="39">
        <f>資料儲存!E4724</f>
        <v>0</v>
      </c>
      <c r="D56" s="39">
        <f>資料儲存!F4724</f>
        <v>0</v>
      </c>
      <c r="E56" s="39">
        <f>資料儲存!G4724</f>
        <v>0</v>
      </c>
      <c r="F56" s="39">
        <f>資料儲存!H4724</f>
        <v>0</v>
      </c>
      <c r="G56" s="39">
        <f>資料儲存!I4724</f>
        <v>0</v>
      </c>
      <c r="H56" s="39">
        <f>資料儲存!J4724</f>
        <v>0</v>
      </c>
      <c r="I56" s="58"/>
      <c r="J56" s="62">
        <v>43</v>
      </c>
      <c r="K56" s="39">
        <f>資料儲存!D4844</f>
        <v>0</v>
      </c>
      <c r="L56" s="39">
        <f>資料儲存!E4844</f>
        <v>0</v>
      </c>
      <c r="M56" s="39">
        <f>資料儲存!F4844</f>
        <v>0</v>
      </c>
      <c r="N56" s="39">
        <f>資料儲存!G4844</f>
        <v>0</v>
      </c>
      <c r="O56" s="39">
        <f>資料儲存!H4844</f>
        <v>0</v>
      </c>
      <c r="P56" s="39">
        <f>資料儲存!I4844</f>
        <v>0</v>
      </c>
      <c r="Q56" s="39">
        <f>資料儲存!J4844</f>
        <v>0</v>
      </c>
      <c r="R56" s="58"/>
      <c r="S56" s="62">
        <v>43</v>
      </c>
      <c r="T56" s="39">
        <f>資料儲存!D4964</f>
        <v>0</v>
      </c>
      <c r="U56" s="39">
        <f>資料儲存!E4964</f>
        <v>0</v>
      </c>
      <c r="V56" s="39">
        <f>資料儲存!F4964</f>
        <v>0</v>
      </c>
      <c r="W56" s="39">
        <f>資料儲存!G4964</f>
        <v>0</v>
      </c>
      <c r="X56" s="39">
        <f>資料儲存!H4964</f>
        <v>0</v>
      </c>
      <c r="Y56" s="39">
        <f>資料儲存!I4964</f>
        <v>0</v>
      </c>
      <c r="Z56" s="39">
        <f>資料儲存!J4964</f>
        <v>0</v>
      </c>
      <c r="AA56" s="58"/>
      <c r="AB56" s="62">
        <v>43</v>
      </c>
      <c r="AC56" s="39">
        <f>資料儲存!D5084</f>
        <v>0</v>
      </c>
      <c r="AD56" s="39">
        <f>資料儲存!E5084</f>
        <v>0</v>
      </c>
      <c r="AE56" s="39">
        <f>資料儲存!F5084</f>
        <v>0</v>
      </c>
      <c r="AF56" s="39">
        <f>資料儲存!G5084</f>
        <v>0</v>
      </c>
      <c r="AG56" s="39">
        <f>資料儲存!H5084</f>
        <v>0</v>
      </c>
      <c r="AH56" s="39">
        <f>資料儲存!I5084</f>
        <v>0</v>
      </c>
      <c r="AI56" s="39">
        <f>資料儲存!J5084</f>
        <v>0</v>
      </c>
      <c r="AJ56" s="58"/>
      <c r="AK56" s="62">
        <v>43</v>
      </c>
      <c r="AL56" s="39">
        <f>資料儲存!D5204</f>
        <v>0</v>
      </c>
      <c r="AM56" s="39">
        <f>資料儲存!E5204</f>
        <v>0</v>
      </c>
      <c r="AN56" s="39">
        <f>資料儲存!F5204</f>
        <v>0</v>
      </c>
      <c r="AO56" s="39">
        <f>資料儲存!G5204</f>
        <v>0</v>
      </c>
      <c r="AP56" s="39">
        <f>資料儲存!H5204</f>
        <v>0</v>
      </c>
      <c r="AQ56" s="39">
        <f>資料儲存!I5204</f>
        <v>0</v>
      </c>
      <c r="AR56" s="39">
        <f>資料儲存!J5204</f>
        <v>0</v>
      </c>
      <c r="AT56" s="62">
        <v>43</v>
      </c>
      <c r="AU56" s="39">
        <f>資料儲存!D5324</f>
        <v>0</v>
      </c>
      <c r="AV56" s="39">
        <f>資料儲存!E5324</f>
        <v>0</v>
      </c>
      <c r="AW56" s="39">
        <f>資料儲存!F5324</f>
        <v>0</v>
      </c>
      <c r="AX56" s="39">
        <f>資料儲存!G5324</f>
        <v>0</v>
      </c>
      <c r="AY56" s="39">
        <f>資料儲存!H5324</f>
        <v>0</v>
      </c>
      <c r="AZ56" s="39">
        <f>資料儲存!I5324</f>
        <v>0</v>
      </c>
      <c r="BA56" s="39">
        <f>資料儲存!J5324</f>
        <v>0</v>
      </c>
    </row>
    <row r="57" spans="1:53" s="59" customFormat="1" ht="16" thickBot="1">
      <c r="A57" s="62">
        <v>44</v>
      </c>
      <c r="B57" s="39">
        <f>資料儲存!D4725</f>
        <v>0</v>
      </c>
      <c r="C57" s="39">
        <f>資料儲存!E4725</f>
        <v>0</v>
      </c>
      <c r="D57" s="39">
        <f>資料儲存!F4725</f>
        <v>0</v>
      </c>
      <c r="E57" s="39">
        <f>資料儲存!G4725</f>
        <v>0</v>
      </c>
      <c r="F57" s="39">
        <f>資料儲存!H4725</f>
        <v>0</v>
      </c>
      <c r="G57" s="39">
        <f>資料儲存!I4725</f>
        <v>0</v>
      </c>
      <c r="H57" s="39">
        <f>資料儲存!J4725</f>
        <v>0</v>
      </c>
      <c r="I57" s="58"/>
      <c r="J57" s="62">
        <v>44</v>
      </c>
      <c r="K57" s="39">
        <f>資料儲存!D4845</f>
        <v>0</v>
      </c>
      <c r="L57" s="39">
        <f>資料儲存!E4845</f>
        <v>0</v>
      </c>
      <c r="M57" s="39">
        <f>資料儲存!F4845</f>
        <v>0</v>
      </c>
      <c r="N57" s="39">
        <f>資料儲存!G4845</f>
        <v>0</v>
      </c>
      <c r="O57" s="39">
        <f>資料儲存!H4845</f>
        <v>0</v>
      </c>
      <c r="P57" s="39">
        <f>資料儲存!I4845</f>
        <v>0</v>
      </c>
      <c r="Q57" s="39">
        <f>資料儲存!J4845</f>
        <v>0</v>
      </c>
      <c r="R57" s="58"/>
      <c r="S57" s="62">
        <v>44</v>
      </c>
      <c r="T57" s="39">
        <f>資料儲存!D4965</f>
        <v>0</v>
      </c>
      <c r="U57" s="39">
        <f>資料儲存!E4965</f>
        <v>0</v>
      </c>
      <c r="V57" s="39">
        <f>資料儲存!F4965</f>
        <v>0</v>
      </c>
      <c r="W57" s="39">
        <f>資料儲存!G4965</f>
        <v>0</v>
      </c>
      <c r="X57" s="39">
        <f>資料儲存!H4965</f>
        <v>0</v>
      </c>
      <c r="Y57" s="39">
        <f>資料儲存!I4965</f>
        <v>0</v>
      </c>
      <c r="Z57" s="39">
        <f>資料儲存!J4965</f>
        <v>0</v>
      </c>
      <c r="AA57" s="58"/>
      <c r="AB57" s="62">
        <v>44</v>
      </c>
      <c r="AC57" s="39">
        <f>資料儲存!D5085</f>
        <v>0</v>
      </c>
      <c r="AD57" s="39">
        <f>資料儲存!E5085</f>
        <v>0</v>
      </c>
      <c r="AE57" s="39">
        <f>資料儲存!F5085</f>
        <v>0</v>
      </c>
      <c r="AF57" s="39">
        <f>資料儲存!G5085</f>
        <v>0</v>
      </c>
      <c r="AG57" s="39">
        <f>資料儲存!H5085</f>
        <v>0</v>
      </c>
      <c r="AH57" s="39">
        <f>資料儲存!I5085</f>
        <v>0</v>
      </c>
      <c r="AI57" s="39">
        <f>資料儲存!J5085</f>
        <v>0</v>
      </c>
      <c r="AJ57" s="58"/>
      <c r="AK57" s="62">
        <v>44</v>
      </c>
      <c r="AL57" s="39">
        <f>資料儲存!D5205</f>
        <v>0</v>
      </c>
      <c r="AM57" s="39">
        <f>資料儲存!E5205</f>
        <v>0</v>
      </c>
      <c r="AN57" s="39">
        <f>資料儲存!F5205</f>
        <v>0</v>
      </c>
      <c r="AO57" s="39">
        <f>資料儲存!G5205</f>
        <v>0</v>
      </c>
      <c r="AP57" s="39">
        <f>資料儲存!H5205</f>
        <v>0</v>
      </c>
      <c r="AQ57" s="39">
        <f>資料儲存!I5205</f>
        <v>0</v>
      </c>
      <c r="AR57" s="39">
        <f>資料儲存!J5205</f>
        <v>0</v>
      </c>
      <c r="AT57" s="62">
        <v>44</v>
      </c>
      <c r="AU57" s="39">
        <f>資料儲存!D5325</f>
        <v>0</v>
      </c>
      <c r="AV57" s="39">
        <f>資料儲存!E5325</f>
        <v>0</v>
      </c>
      <c r="AW57" s="39">
        <f>資料儲存!F5325</f>
        <v>0</v>
      </c>
      <c r="AX57" s="39">
        <f>資料儲存!G5325</f>
        <v>0</v>
      </c>
      <c r="AY57" s="39">
        <f>資料儲存!H5325</f>
        <v>0</v>
      </c>
      <c r="AZ57" s="39">
        <f>資料儲存!I5325</f>
        <v>0</v>
      </c>
      <c r="BA57" s="39">
        <f>資料儲存!J5325</f>
        <v>0</v>
      </c>
    </row>
    <row r="58" spans="1:53" s="59" customFormat="1" ht="16" thickBot="1">
      <c r="A58" s="62">
        <v>45</v>
      </c>
      <c r="B58" s="39">
        <f>資料儲存!D4726</f>
        <v>0</v>
      </c>
      <c r="C58" s="39">
        <f>資料儲存!E4726</f>
        <v>0</v>
      </c>
      <c r="D58" s="39">
        <f>資料儲存!F4726</f>
        <v>0</v>
      </c>
      <c r="E58" s="39">
        <f>資料儲存!G4726</f>
        <v>0</v>
      </c>
      <c r="F58" s="39">
        <f>資料儲存!H4726</f>
        <v>0</v>
      </c>
      <c r="G58" s="39">
        <f>資料儲存!I4726</f>
        <v>0</v>
      </c>
      <c r="H58" s="39">
        <f>資料儲存!J4726</f>
        <v>0</v>
      </c>
      <c r="I58" s="58"/>
      <c r="J58" s="62">
        <v>45</v>
      </c>
      <c r="K58" s="39">
        <f>資料儲存!D4846</f>
        <v>0</v>
      </c>
      <c r="L58" s="39">
        <f>資料儲存!E4846</f>
        <v>0</v>
      </c>
      <c r="M58" s="39">
        <f>資料儲存!F4846</f>
        <v>0</v>
      </c>
      <c r="N58" s="39">
        <f>資料儲存!G4846</f>
        <v>0</v>
      </c>
      <c r="O58" s="39">
        <f>資料儲存!H4846</f>
        <v>0</v>
      </c>
      <c r="P58" s="39">
        <f>資料儲存!I4846</f>
        <v>0</v>
      </c>
      <c r="Q58" s="39">
        <f>資料儲存!J4846</f>
        <v>0</v>
      </c>
      <c r="R58" s="58"/>
      <c r="S58" s="62">
        <v>45</v>
      </c>
      <c r="T58" s="39">
        <f>資料儲存!D4966</f>
        <v>0</v>
      </c>
      <c r="U58" s="39">
        <f>資料儲存!E4966</f>
        <v>0</v>
      </c>
      <c r="V58" s="39">
        <f>資料儲存!F4966</f>
        <v>0</v>
      </c>
      <c r="W58" s="39">
        <f>資料儲存!G4966</f>
        <v>0</v>
      </c>
      <c r="X58" s="39">
        <f>資料儲存!H4966</f>
        <v>0</v>
      </c>
      <c r="Y58" s="39">
        <f>資料儲存!I4966</f>
        <v>0</v>
      </c>
      <c r="Z58" s="39">
        <f>資料儲存!J4966</f>
        <v>0</v>
      </c>
      <c r="AA58" s="58"/>
      <c r="AB58" s="62">
        <v>45</v>
      </c>
      <c r="AC58" s="39">
        <f>資料儲存!D5086</f>
        <v>0</v>
      </c>
      <c r="AD58" s="39">
        <f>資料儲存!E5086</f>
        <v>0</v>
      </c>
      <c r="AE58" s="39">
        <f>資料儲存!F5086</f>
        <v>0</v>
      </c>
      <c r="AF58" s="39">
        <f>資料儲存!G5086</f>
        <v>0</v>
      </c>
      <c r="AG58" s="39">
        <f>資料儲存!H5086</f>
        <v>0</v>
      </c>
      <c r="AH58" s="39">
        <f>資料儲存!I5086</f>
        <v>0</v>
      </c>
      <c r="AI58" s="39">
        <f>資料儲存!J5086</f>
        <v>0</v>
      </c>
      <c r="AJ58" s="58"/>
      <c r="AK58" s="62">
        <v>45</v>
      </c>
      <c r="AL58" s="39">
        <f>資料儲存!D5206</f>
        <v>0</v>
      </c>
      <c r="AM58" s="39">
        <f>資料儲存!E5206</f>
        <v>0</v>
      </c>
      <c r="AN58" s="39">
        <f>資料儲存!F5206</f>
        <v>0</v>
      </c>
      <c r="AO58" s="39">
        <f>資料儲存!G5206</f>
        <v>0</v>
      </c>
      <c r="AP58" s="39">
        <f>資料儲存!H5206</f>
        <v>0</v>
      </c>
      <c r="AQ58" s="39">
        <f>資料儲存!I5206</f>
        <v>0</v>
      </c>
      <c r="AR58" s="39">
        <f>資料儲存!J5206</f>
        <v>0</v>
      </c>
      <c r="AT58" s="62">
        <v>45</v>
      </c>
      <c r="AU58" s="39">
        <f>資料儲存!D5326</f>
        <v>0</v>
      </c>
      <c r="AV58" s="39">
        <f>資料儲存!E5326</f>
        <v>0</v>
      </c>
      <c r="AW58" s="39">
        <f>資料儲存!F5326</f>
        <v>0</v>
      </c>
      <c r="AX58" s="39">
        <f>資料儲存!G5326</f>
        <v>0</v>
      </c>
      <c r="AY58" s="39">
        <f>資料儲存!H5326</f>
        <v>0</v>
      </c>
      <c r="AZ58" s="39">
        <f>資料儲存!I5326</f>
        <v>0</v>
      </c>
      <c r="BA58" s="39">
        <f>資料儲存!J5326</f>
        <v>0</v>
      </c>
    </row>
    <row r="59" spans="1:53" s="59" customFormat="1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35"/>
      <c r="AK59" s="40" t="s">
        <v>56</v>
      </c>
      <c r="AL59" s="39">
        <f>SUM(AL44:AO58)</f>
        <v>0</v>
      </c>
      <c r="AM59" s="37"/>
      <c r="AN59" s="37"/>
      <c r="AO59" s="37"/>
      <c r="AP59" s="39">
        <f>AP58</f>
        <v>0</v>
      </c>
      <c r="AQ59" s="39">
        <f>AQ58</f>
        <v>0</v>
      </c>
      <c r="AR59" s="39">
        <f>AR58</f>
        <v>0</v>
      </c>
      <c r="AT59" s="40" t="s">
        <v>56</v>
      </c>
      <c r="AU59" s="39">
        <f>SUM(AU44:AX58)</f>
        <v>0</v>
      </c>
      <c r="AV59" s="37"/>
      <c r="AW59" s="37"/>
      <c r="AX59" s="37"/>
      <c r="AY59" s="39">
        <f>AY58</f>
        <v>0</v>
      </c>
      <c r="AZ59" s="39">
        <f>AZ58</f>
        <v>0</v>
      </c>
      <c r="BA59" s="39">
        <f>BA58</f>
        <v>0</v>
      </c>
    </row>
    <row r="60" spans="1:53" ht="18.5" thickBot="1">
      <c r="A60" s="257" t="s">
        <v>120</v>
      </c>
      <c r="B60" s="258"/>
      <c r="C60" s="258"/>
      <c r="D60" s="258"/>
      <c r="E60" s="258"/>
      <c r="F60" s="258"/>
      <c r="G60" s="258"/>
      <c r="H60" s="259"/>
      <c r="I60" s="14"/>
      <c r="J60" s="257" t="s">
        <v>120</v>
      </c>
      <c r="K60" s="258"/>
      <c r="L60" s="258"/>
      <c r="M60" s="258"/>
      <c r="N60" s="258"/>
      <c r="O60" s="258"/>
      <c r="P60" s="258"/>
      <c r="Q60" s="259"/>
      <c r="R60" s="14"/>
      <c r="S60" s="257" t="s">
        <v>120</v>
      </c>
      <c r="T60" s="258"/>
      <c r="U60" s="258"/>
      <c r="V60" s="258"/>
      <c r="W60" s="258"/>
      <c r="X60" s="258"/>
      <c r="Y60" s="258"/>
      <c r="Z60" s="259"/>
      <c r="AA60" s="14"/>
      <c r="AB60" s="257" t="s">
        <v>120</v>
      </c>
      <c r="AC60" s="258"/>
      <c r="AD60" s="258"/>
      <c r="AE60" s="258"/>
      <c r="AF60" s="258"/>
      <c r="AG60" s="258"/>
      <c r="AH60" s="258"/>
      <c r="AI60" s="259"/>
      <c r="AJ60" s="14"/>
      <c r="AK60" s="257" t="s">
        <v>120</v>
      </c>
      <c r="AL60" s="258"/>
      <c r="AM60" s="258"/>
      <c r="AN60" s="258"/>
      <c r="AO60" s="258"/>
      <c r="AP60" s="258"/>
      <c r="AQ60" s="258"/>
      <c r="AR60" s="259"/>
      <c r="AT60" s="257" t="s">
        <v>120</v>
      </c>
      <c r="AU60" s="258"/>
      <c r="AV60" s="258"/>
      <c r="AW60" s="258"/>
      <c r="AX60" s="258"/>
      <c r="AY60" s="258"/>
      <c r="AZ60" s="258"/>
      <c r="BA60" s="259"/>
    </row>
    <row r="61" spans="1:53" s="67" customFormat="1" ht="17.25" customHeight="1" thickBot="1">
      <c r="A61" s="63" t="s">
        <v>2</v>
      </c>
      <c r="B61" s="64" t="s">
        <v>46</v>
      </c>
      <c r="C61" s="65"/>
      <c r="D61" s="65"/>
      <c r="E61" s="66"/>
      <c r="F61" s="64" t="s">
        <v>47</v>
      </c>
      <c r="G61" s="65"/>
      <c r="H61" s="66"/>
      <c r="I61" s="52"/>
      <c r="J61" s="63" t="s">
        <v>2</v>
      </c>
      <c r="K61" s="64" t="s">
        <v>46</v>
      </c>
      <c r="L61" s="65"/>
      <c r="M61" s="65"/>
      <c r="N61" s="66"/>
      <c r="O61" s="64" t="s">
        <v>47</v>
      </c>
      <c r="P61" s="65"/>
      <c r="Q61" s="66"/>
      <c r="R61" s="52"/>
      <c r="S61" s="63" t="s">
        <v>2</v>
      </c>
      <c r="T61" s="64" t="s">
        <v>46</v>
      </c>
      <c r="U61" s="65"/>
      <c r="V61" s="65"/>
      <c r="W61" s="66"/>
      <c r="X61" s="64" t="s">
        <v>47</v>
      </c>
      <c r="Y61" s="65"/>
      <c r="Z61" s="66"/>
      <c r="AA61" s="52"/>
      <c r="AB61" s="63" t="s">
        <v>2</v>
      </c>
      <c r="AC61" s="64" t="s">
        <v>46</v>
      </c>
      <c r="AD61" s="65"/>
      <c r="AE61" s="65"/>
      <c r="AF61" s="66"/>
      <c r="AG61" s="64" t="s">
        <v>47</v>
      </c>
      <c r="AH61" s="65"/>
      <c r="AI61" s="66"/>
      <c r="AJ61" s="52"/>
      <c r="AK61" s="63" t="s">
        <v>2</v>
      </c>
      <c r="AL61" s="64" t="s">
        <v>46</v>
      </c>
      <c r="AM61" s="65"/>
      <c r="AN61" s="65"/>
      <c r="AO61" s="66"/>
      <c r="AP61" s="64" t="s">
        <v>47</v>
      </c>
      <c r="AQ61" s="65"/>
      <c r="AR61" s="66"/>
      <c r="AT61" s="63" t="s">
        <v>2</v>
      </c>
      <c r="AU61" s="64" t="s">
        <v>46</v>
      </c>
      <c r="AV61" s="65"/>
      <c r="AW61" s="65"/>
      <c r="AX61" s="66"/>
      <c r="AY61" s="64" t="s">
        <v>47</v>
      </c>
      <c r="AZ61" s="65"/>
      <c r="BA61" s="66"/>
    </row>
    <row r="62" spans="1:53" s="67" customFormat="1" ht="16" thickBot="1">
      <c r="A62" s="68">
        <v>0.69791666666666663</v>
      </c>
      <c r="B62" s="69" t="s">
        <v>49</v>
      </c>
      <c r="C62" s="69" t="s">
        <v>50</v>
      </c>
      <c r="D62" s="69" t="s">
        <v>51</v>
      </c>
      <c r="E62" s="69" t="s">
        <v>52</v>
      </c>
      <c r="F62" s="69" t="s">
        <v>53</v>
      </c>
      <c r="G62" s="69" t="s">
        <v>54</v>
      </c>
      <c r="H62" s="69" t="s">
        <v>55</v>
      </c>
      <c r="I62" s="52"/>
      <c r="J62" s="68">
        <v>0.69791666666666663</v>
      </c>
      <c r="K62" s="69" t="s">
        <v>49</v>
      </c>
      <c r="L62" s="69" t="s">
        <v>50</v>
      </c>
      <c r="M62" s="69" t="s">
        <v>51</v>
      </c>
      <c r="N62" s="69" t="s">
        <v>52</v>
      </c>
      <c r="O62" s="69" t="s">
        <v>53</v>
      </c>
      <c r="P62" s="69" t="s">
        <v>54</v>
      </c>
      <c r="Q62" s="69" t="s">
        <v>55</v>
      </c>
      <c r="R62" s="52"/>
      <c r="S62" s="68">
        <v>0.69791666666666663</v>
      </c>
      <c r="T62" s="69" t="s">
        <v>49</v>
      </c>
      <c r="U62" s="69" t="s">
        <v>50</v>
      </c>
      <c r="V62" s="69" t="s">
        <v>51</v>
      </c>
      <c r="W62" s="69" t="s">
        <v>52</v>
      </c>
      <c r="X62" s="69" t="s">
        <v>53</v>
      </c>
      <c r="Y62" s="69" t="s">
        <v>54</v>
      </c>
      <c r="Z62" s="69" t="s">
        <v>55</v>
      </c>
      <c r="AA62" s="52"/>
      <c r="AB62" s="68">
        <v>0.69791666666666663</v>
      </c>
      <c r="AC62" s="69" t="s">
        <v>49</v>
      </c>
      <c r="AD62" s="69" t="s">
        <v>50</v>
      </c>
      <c r="AE62" s="69" t="s">
        <v>51</v>
      </c>
      <c r="AF62" s="69" t="s">
        <v>52</v>
      </c>
      <c r="AG62" s="69" t="s">
        <v>53</v>
      </c>
      <c r="AH62" s="69" t="s">
        <v>54</v>
      </c>
      <c r="AI62" s="69" t="s">
        <v>55</v>
      </c>
      <c r="AJ62" s="52"/>
      <c r="AK62" s="68">
        <v>0.69791666666666663</v>
      </c>
      <c r="AL62" s="69" t="s">
        <v>49</v>
      </c>
      <c r="AM62" s="69" t="s">
        <v>50</v>
      </c>
      <c r="AN62" s="69" t="s">
        <v>51</v>
      </c>
      <c r="AO62" s="69" t="s">
        <v>52</v>
      </c>
      <c r="AP62" s="69" t="s">
        <v>53</v>
      </c>
      <c r="AQ62" s="69" t="s">
        <v>54</v>
      </c>
      <c r="AR62" s="69" t="s">
        <v>55</v>
      </c>
      <c r="AT62" s="68">
        <v>0.69791666666666663</v>
      </c>
      <c r="AU62" s="69" t="s">
        <v>49</v>
      </c>
      <c r="AV62" s="69" t="s">
        <v>50</v>
      </c>
      <c r="AW62" s="69" t="s">
        <v>51</v>
      </c>
      <c r="AX62" s="69" t="s">
        <v>52</v>
      </c>
      <c r="AY62" s="69" t="s">
        <v>53</v>
      </c>
      <c r="AZ62" s="69" t="s">
        <v>54</v>
      </c>
      <c r="BA62" s="69" t="s">
        <v>55</v>
      </c>
    </row>
    <row r="63" spans="1:53" s="67" customFormat="1" ht="16" thickBot="1">
      <c r="A63" s="70">
        <v>46</v>
      </c>
      <c r="B63" s="49">
        <f>資料儲存!D4727</f>
        <v>0</v>
      </c>
      <c r="C63" s="49">
        <f>資料儲存!E4727</f>
        <v>0</v>
      </c>
      <c r="D63" s="49">
        <f>資料儲存!F4727</f>
        <v>0</v>
      </c>
      <c r="E63" s="49">
        <f>資料儲存!G4727</f>
        <v>0</v>
      </c>
      <c r="F63" s="49">
        <f>資料儲存!H4727</f>
        <v>0</v>
      </c>
      <c r="G63" s="49">
        <f>資料儲存!I4727</f>
        <v>0</v>
      </c>
      <c r="H63" s="49">
        <f>資料儲存!J4727</f>
        <v>0</v>
      </c>
      <c r="I63" s="52"/>
      <c r="J63" s="70">
        <v>46</v>
      </c>
      <c r="K63" s="49">
        <f>資料儲存!D4847</f>
        <v>0</v>
      </c>
      <c r="L63" s="49">
        <f>資料儲存!E4847</f>
        <v>0</v>
      </c>
      <c r="M63" s="49">
        <f>資料儲存!F4847</f>
        <v>0</v>
      </c>
      <c r="N63" s="49">
        <f>資料儲存!G4847</f>
        <v>0</v>
      </c>
      <c r="O63" s="49">
        <f>資料儲存!H4847</f>
        <v>0</v>
      </c>
      <c r="P63" s="49">
        <f>資料儲存!I4847</f>
        <v>0</v>
      </c>
      <c r="Q63" s="49">
        <f>資料儲存!J4847</f>
        <v>0</v>
      </c>
      <c r="R63" s="52"/>
      <c r="S63" s="70">
        <v>46</v>
      </c>
      <c r="T63" s="49">
        <f>資料儲存!D4967</f>
        <v>0</v>
      </c>
      <c r="U63" s="49">
        <f>資料儲存!E4967</f>
        <v>0</v>
      </c>
      <c r="V63" s="49">
        <f>資料儲存!F4967</f>
        <v>0</v>
      </c>
      <c r="W63" s="49">
        <f>資料儲存!G4967</f>
        <v>0</v>
      </c>
      <c r="X63" s="49">
        <f>資料儲存!H4967</f>
        <v>0</v>
      </c>
      <c r="Y63" s="49">
        <f>資料儲存!I4967</f>
        <v>0</v>
      </c>
      <c r="Z63" s="49">
        <f>資料儲存!J4967</f>
        <v>0</v>
      </c>
      <c r="AA63" s="52"/>
      <c r="AB63" s="70">
        <v>46</v>
      </c>
      <c r="AC63" s="49">
        <f>資料儲存!D5087</f>
        <v>0</v>
      </c>
      <c r="AD63" s="49">
        <f>資料儲存!E5087</f>
        <v>0</v>
      </c>
      <c r="AE63" s="49">
        <f>資料儲存!F5087</f>
        <v>0</v>
      </c>
      <c r="AF63" s="49">
        <f>資料儲存!G5087</f>
        <v>0</v>
      </c>
      <c r="AG63" s="49">
        <f>資料儲存!H5087</f>
        <v>0</v>
      </c>
      <c r="AH63" s="49">
        <f>資料儲存!I5087</f>
        <v>0</v>
      </c>
      <c r="AI63" s="49">
        <f>資料儲存!J5087</f>
        <v>0</v>
      </c>
      <c r="AJ63" s="52"/>
      <c r="AK63" s="70">
        <v>46</v>
      </c>
      <c r="AL63" s="49">
        <f>資料儲存!D5207</f>
        <v>0</v>
      </c>
      <c r="AM63" s="49">
        <f>資料儲存!E5207</f>
        <v>0</v>
      </c>
      <c r="AN63" s="49">
        <f>資料儲存!F5207</f>
        <v>0</v>
      </c>
      <c r="AO63" s="49">
        <f>資料儲存!G5207</f>
        <v>0</v>
      </c>
      <c r="AP63" s="49">
        <f>資料儲存!H5207</f>
        <v>0</v>
      </c>
      <c r="AQ63" s="49">
        <f>資料儲存!I5207</f>
        <v>0</v>
      </c>
      <c r="AR63" s="49">
        <f>資料儲存!J5207</f>
        <v>0</v>
      </c>
      <c r="AT63" s="70">
        <v>46</v>
      </c>
      <c r="AU63" s="49">
        <f>資料儲存!D5327</f>
        <v>0</v>
      </c>
      <c r="AV63" s="49">
        <f>資料儲存!E5327</f>
        <v>0</v>
      </c>
      <c r="AW63" s="49">
        <f>資料儲存!F5327</f>
        <v>0</v>
      </c>
      <c r="AX63" s="49">
        <f>資料儲存!G5327</f>
        <v>0</v>
      </c>
      <c r="AY63" s="49">
        <f>資料儲存!H5327</f>
        <v>0</v>
      </c>
      <c r="AZ63" s="49">
        <f>資料儲存!I5327</f>
        <v>0</v>
      </c>
      <c r="BA63" s="49">
        <f>資料儲存!J5327</f>
        <v>0</v>
      </c>
    </row>
    <row r="64" spans="1:53" s="67" customFormat="1" ht="16" thickBot="1">
      <c r="A64" s="70">
        <v>47</v>
      </c>
      <c r="B64" s="49">
        <f>資料儲存!D4728</f>
        <v>0</v>
      </c>
      <c r="C64" s="49">
        <f>資料儲存!E4728</f>
        <v>0</v>
      </c>
      <c r="D64" s="49">
        <f>資料儲存!F4728</f>
        <v>0</v>
      </c>
      <c r="E64" s="49">
        <f>資料儲存!G4728</f>
        <v>0</v>
      </c>
      <c r="F64" s="49">
        <f>資料儲存!H4728</f>
        <v>0</v>
      </c>
      <c r="G64" s="49">
        <f>資料儲存!I4728</f>
        <v>0</v>
      </c>
      <c r="H64" s="49">
        <f>資料儲存!J4728</f>
        <v>0</v>
      </c>
      <c r="I64" s="52"/>
      <c r="J64" s="70">
        <v>47</v>
      </c>
      <c r="K64" s="49">
        <f>資料儲存!D4848</f>
        <v>0</v>
      </c>
      <c r="L64" s="49">
        <f>資料儲存!E4848</f>
        <v>0</v>
      </c>
      <c r="M64" s="49">
        <f>資料儲存!F4848</f>
        <v>0</v>
      </c>
      <c r="N64" s="49">
        <f>資料儲存!G4848</f>
        <v>0</v>
      </c>
      <c r="O64" s="49">
        <f>資料儲存!H4848</f>
        <v>0</v>
      </c>
      <c r="P64" s="49">
        <f>資料儲存!I4848</f>
        <v>0</v>
      </c>
      <c r="Q64" s="49">
        <f>資料儲存!J4848</f>
        <v>0</v>
      </c>
      <c r="R64" s="52"/>
      <c r="S64" s="70">
        <v>47</v>
      </c>
      <c r="T64" s="49">
        <f>資料儲存!D4968</f>
        <v>0</v>
      </c>
      <c r="U64" s="49">
        <f>資料儲存!E4968</f>
        <v>0</v>
      </c>
      <c r="V64" s="49">
        <f>資料儲存!F4968</f>
        <v>0</v>
      </c>
      <c r="W64" s="49">
        <f>資料儲存!G4968</f>
        <v>0</v>
      </c>
      <c r="X64" s="49">
        <f>資料儲存!H4968</f>
        <v>0</v>
      </c>
      <c r="Y64" s="49">
        <f>資料儲存!I4968</f>
        <v>0</v>
      </c>
      <c r="Z64" s="49">
        <f>資料儲存!J4968</f>
        <v>0</v>
      </c>
      <c r="AA64" s="52"/>
      <c r="AB64" s="70">
        <v>47</v>
      </c>
      <c r="AC64" s="49">
        <f>資料儲存!D5088</f>
        <v>0</v>
      </c>
      <c r="AD64" s="49">
        <f>資料儲存!E5088</f>
        <v>0</v>
      </c>
      <c r="AE64" s="49">
        <f>資料儲存!F5088</f>
        <v>0</v>
      </c>
      <c r="AF64" s="49">
        <f>資料儲存!G5088</f>
        <v>0</v>
      </c>
      <c r="AG64" s="49">
        <f>資料儲存!H5088</f>
        <v>0</v>
      </c>
      <c r="AH64" s="49">
        <f>資料儲存!I5088</f>
        <v>0</v>
      </c>
      <c r="AI64" s="49">
        <f>資料儲存!J5088</f>
        <v>0</v>
      </c>
      <c r="AJ64" s="52"/>
      <c r="AK64" s="70">
        <v>47</v>
      </c>
      <c r="AL64" s="49">
        <f>資料儲存!D5208</f>
        <v>0</v>
      </c>
      <c r="AM64" s="49">
        <f>資料儲存!E5208</f>
        <v>0</v>
      </c>
      <c r="AN64" s="49">
        <f>資料儲存!F5208</f>
        <v>0</v>
      </c>
      <c r="AO64" s="49">
        <f>資料儲存!G5208</f>
        <v>0</v>
      </c>
      <c r="AP64" s="49">
        <f>資料儲存!H5208</f>
        <v>0</v>
      </c>
      <c r="AQ64" s="49">
        <f>資料儲存!I5208</f>
        <v>0</v>
      </c>
      <c r="AR64" s="49">
        <f>資料儲存!J5208</f>
        <v>0</v>
      </c>
      <c r="AT64" s="70">
        <v>47</v>
      </c>
      <c r="AU64" s="49">
        <f>資料儲存!D5328</f>
        <v>0</v>
      </c>
      <c r="AV64" s="49">
        <f>資料儲存!E5328</f>
        <v>0</v>
      </c>
      <c r="AW64" s="49">
        <f>資料儲存!F5328</f>
        <v>0</v>
      </c>
      <c r="AX64" s="49">
        <f>資料儲存!G5328</f>
        <v>0</v>
      </c>
      <c r="AY64" s="49">
        <f>資料儲存!H5328</f>
        <v>0</v>
      </c>
      <c r="AZ64" s="49">
        <f>資料儲存!I5328</f>
        <v>0</v>
      </c>
      <c r="BA64" s="49">
        <f>資料儲存!J5328</f>
        <v>0</v>
      </c>
    </row>
    <row r="65" spans="1:53" s="67" customFormat="1" ht="16" thickBot="1">
      <c r="A65" s="70">
        <v>48</v>
      </c>
      <c r="B65" s="49">
        <f>資料儲存!D4729</f>
        <v>0</v>
      </c>
      <c r="C65" s="49">
        <f>資料儲存!E4729</f>
        <v>0</v>
      </c>
      <c r="D65" s="49">
        <f>資料儲存!F4729</f>
        <v>0</v>
      </c>
      <c r="E65" s="49">
        <f>資料儲存!G4729</f>
        <v>0</v>
      </c>
      <c r="F65" s="49">
        <f>資料儲存!H4729</f>
        <v>0</v>
      </c>
      <c r="G65" s="49">
        <f>資料儲存!I4729</f>
        <v>0</v>
      </c>
      <c r="H65" s="49">
        <f>資料儲存!J4729</f>
        <v>0</v>
      </c>
      <c r="I65" s="52"/>
      <c r="J65" s="70">
        <v>48</v>
      </c>
      <c r="K65" s="49">
        <f>資料儲存!D4849</f>
        <v>0</v>
      </c>
      <c r="L65" s="49">
        <f>資料儲存!E4849</f>
        <v>0</v>
      </c>
      <c r="M65" s="49">
        <f>資料儲存!F4849</f>
        <v>0</v>
      </c>
      <c r="N65" s="49">
        <f>資料儲存!G4849</f>
        <v>0</v>
      </c>
      <c r="O65" s="49">
        <f>資料儲存!H4849</f>
        <v>0</v>
      </c>
      <c r="P65" s="49">
        <f>資料儲存!I4849</f>
        <v>0</v>
      </c>
      <c r="Q65" s="49">
        <f>資料儲存!J4849</f>
        <v>0</v>
      </c>
      <c r="R65" s="52"/>
      <c r="S65" s="70">
        <v>48</v>
      </c>
      <c r="T65" s="49">
        <f>資料儲存!D4969</f>
        <v>0</v>
      </c>
      <c r="U65" s="49">
        <f>資料儲存!E4969</f>
        <v>0</v>
      </c>
      <c r="V65" s="49">
        <f>資料儲存!F4969</f>
        <v>0</v>
      </c>
      <c r="W65" s="49">
        <f>資料儲存!G4969</f>
        <v>0</v>
      </c>
      <c r="X65" s="49">
        <f>資料儲存!H4969</f>
        <v>0</v>
      </c>
      <c r="Y65" s="49">
        <f>資料儲存!I4969</f>
        <v>0</v>
      </c>
      <c r="Z65" s="49">
        <f>資料儲存!J4969</f>
        <v>0</v>
      </c>
      <c r="AA65" s="52"/>
      <c r="AB65" s="70">
        <v>48</v>
      </c>
      <c r="AC65" s="49">
        <f>資料儲存!D5089</f>
        <v>0</v>
      </c>
      <c r="AD65" s="49">
        <f>資料儲存!E5089</f>
        <v>0</v>
      </c>
      <c r="AE65" s="49">
        <f>資料儲存!F5089</f>
        <v>0</v>
      </c>
      <c r="AF65" s="49">
        <f>資料儲存!G5089</f>
        <v>0</v>
      </c>
      <c r="AG65" s="49">
        <f>資料儲存!H5089</f>
        <v>0</v>
      </c>
      <c r="AH65" s="49">
        <f>資料儲存!I5089</f>
        <v>0</v>
      </c>
      <c r="AI65" s="49">
        <f>資料儲存!J5089</f>
        <v>0</v>
      </c>
      <c r="AJ65" s="52"/>
      <c r="AK65" s="70">
        <v>48</v>
      </c>
      <c r="AL65" s="49">
        <f>資料儲存!D5209</f>
        <v>0</v>
      </c>
      <c r="AM65" s="49">
        <f>資料儲存!E5209</f>
        <v>0</v>
      </c>
      <c r="AN65" s="49">
        <f>資料儲存!F5209</f>
        <v>0</v>
      </c>
      <c r="AO65" s="49">
        <f>資料儲存!G5209</f>
        <v>0</v>
      </c>
      <c r="AP65" s="49">
        <f>資料儲存!H5209</f>
        <v>0</v>
      </c>
      <c r="AQ65" s="49">
        <f>資料儲存!I5209</f>
        <v>0</v>
      </c>
      <c r="AR65" s="49">
        <f>資料儲存!J5209</f>
        <v>0</v>
      </c>
      <c r="AT65" s="70">
        <v>48</v>
      </c>
      <c r="AU65" s="49">
        <f>資料儲存!D5329</f>
        <v>0</v>
      </c>
      <c r="AV65" s="49">
        <f>資料儲存!E5329</f>
        <v>0</v>
      </c>
      <c r="AW65" s="49">
        <f>資料儲存!F5329</f>
        <v>0</v>
      </c>
      <c r="AX65" s="49">
        <f>資料儲存!G5329</f>
        <v>0</v>
      </c>
      <c r="AY65" s="49">
        <f>資料儲存!H5329</f>
        <v>0</v>
      </c>
      <c r="AZ65" s="49">
        <f>資料儲存!I5329</f>
        <v>0</v>
      </c>
      <c r="BA65" s="49">
        <f>資料儲存!J5329</f>
        <v>0</v>
      </c>
    </row>
    <row r="66" spans="1:53" s="67" customFormat="1" ht="16" thickBot="1">
      <c r="A66" s="70">
        <v>49</v>
      </c>
      <c r="B66" s="49">
        <f>資料儲存!D4730</f>
        <v>0</v>
      </c>
      <c r="C66" s="49">
        <f>資料儲存!E4730</f>
        <v>0</v>
      </c>
      <c r="D66" s="49">
        <f>資料儲存!F4730</f>
        <v>0</v>
      </c>
      <c r="E66" s="49">
        <f>資料儲存!G4730</f>
        <v>0</v>
      </c>
      <c r="F66" s="49">
        <f>資料儲存!H4730</f>
        <v>0</v>
      </c>
      <c r="G66" s="49">
        <f>資料儲存!I4730</f>
        <v>0</v>
      </c>
      <c r="H66" s="49">
        <f>資料儲存!J4730</f>
        <v>0</v>
      </c>
      <c r="I66" s="52"/>
      <c r="J66" s="70">
        <v>49</v>
      </c>
      <c r="K66" s="49">
        <f>資料儲存!D4850</f>
        <v>0</v>
      </c>
      <c r="L66" s="49">
        <f>資料儲存!E4850</f>
        <v>0</v>
      </c>
      <c r="M66" s="49">
        <f>資料儲存!F4850</f>
        <v>0</v>
      </c>
      <c r="N66" s="49">
        <f>資料儲存!G4850</f>
        <v>0</v>
      </c>
      <c r="O66" s="49">
        <f>資料儲存!H4850</f>
        <v>0</v>
      </c>
      <c r="P66" s="49">
        <f>資料儲存!I4850</f>
        <v>0</v>
      </c>
      <c r="Q66" s="49">
        <f>資料儲存!J4850</f>
        <v>0</v>
      </c>
      <c r="R66" s="52"/>
      <c r="S66" s="70">
        <v>49</v>
      </c>
      <c r="T66" s="49">
        <f>資料儲存!D4970</f>
        <v>0</v>
      </c>
      <c r="U66" s="49">
        <f>資料儲存!E4970</f>
        <v>0</v>
      </c>
      <c r="V66" s="49">
        <f>資料儲存!F4970</f>
        <v>0</v>
      </c>
      <c r="W66" s="49">
        <f>資料儲存!G4970</f>
        <v>0</v>
      </c>
      <c r="X66" s="49">
        <f>資料儲存!H4970</f>
        <v>0</v>
      </c>
      <c r="Y66" s="49">
        <f>資料儲存!I4970</f>
        <v>0</v>
      </c>
      <c r="Z66" s="49">
        <f>資料儲存!J4970</f>
        <v>0</v>
      </c>
      <c r="AA66" s="52"/>
      <c r="AB66" s="70">
        <v>49</v>
      </c>
      <c r="AC66" s="49">
        <f>資料儲存!D5090</f>
        <v>0</v>
      </c>
      <c r="AD66" s="49">
        <f>資料儲存!E5090</f>
        <v>0</v>
      </c>
      <c r="AE66" s="49">
        <f>資料儲存!F5090</f>
        <v>0</v>
      </c>
      <c r="AF66" s="49">
        <f>資料儲存!G5090</f>
        <v>0</v>
      </c>
      <c r="AG66" s="49">
        <f>資料儲存!H5090</f>
        <v>0</v>
      </c>
      <c r="AH66" s="49">
        <f>資料儲存!I5090</f>
        <v>0</v>
      </c>
      <c r="AI66" s="49">
        <f>資料儲存!J5090</f>
        <v>0</v>
      </c>
      <c r="AJ66" s="52"/>
      <c r="AK66" s="70">
        <v>49</v>
      </c>
      <c r="AL66" s="49">
        <f>資料儲存!D5210</f>
        <v>0</v>
      </c>
      <c r="AM66" s="49">
        <f>資料儲存!E5210</f>
        <v>0</v>
      </c>
      <c r="AN66" s="49">
        <f>資料儲存!F5210</f>
        <v>0</v>
      </c>
      <c r="AO66" s="49">
        <f>資料儲存!G5210</f>
        <v>0</v>
      </c>
      <c r="AP66" s="49">
        <f>資料儲存!H5210</f>
        <v>0</v>
      </c>
      <c r="AQ66" s="49">
        <f>資料儲存!I5210</f>
        <v>0</v>
      </c>
      <c r="AR66" s="49">
        <f>資料儲存!J5210</f>
        <v>0</v>
      </c>
      <c r="AT66" s="70">
        <v>49</v>
      </c>
      <c r="AU66" s="49">
        <f>資料儲存!D5330</f>
        <v>0</v>
      </c>
      <c r="AV66" s="49">
        <f>資料儲存!E5330</f>
        <v>0</v>
      </c>
      <c r="AW66" s="49">
        <f>資料儲存!F5330</f>
        <v>0</v>
      </c>
      <c r="AX66" s="49">
        <f>資料儲存!G5330</f>
        <v>0</v>
      </c>
      <c r="AY66" s="49">
        <f>資料儲存!H5330</f>
        <v>0</v>
      </c>
      <c r="AZ66" s="49">
        <f>資料儲存!I5330</f>
        <v>0</v>
      </c>
      <c r="BA66" s="49">
        <f>資料儲存!J5330</f>
        <v>0</v>
      </c>
    </row>
    <row r="67" spans="1:53" s="67" customFormat="1" ht="16" thickBot="1">
      <c r="A67" s="70">
        <v>50</v>
      </c>
      <c r="B67" s="49">
        <f>資料儲存!D4731</f>
        <v>0</v>
      </c>
      <c r="C67" s="49">
        <f>資料儲存!E4731</f>
        <v>0</v>
      </c>
      <c r="D67" s="49">
        <f>資料儲存!F4731</f>
        <v>0</v>
      </c>
      <c r="E67" s="49">
        <f>資料儲存!G4731</f>
        <v>0</v>
      </c>
      <c r="F67" s="49">
        <f>資料儲存!H4731</f>
        <v>0</v>
      </c>
      <c r="G67" s="49">
        <f>資料儲存!I4731</f>
        <v>0</v>
      </c>
      <c r="H67" s="49">
        <f>資料儲存!J4731</f>
        <v>0</v>
      </c>
      <c r="I67" s="52"/>
      <c r="J67" s="70">
        <v>50</v>
      </c>
      <c r="K67" s="49">
        <f>資料儲存!D4851</f>
        <v>0</v>
      </c>
      <c r="L67" s="49">
        <f>資料儲存!E4851</f>
        <v>0</v>
      </c>
      <c r="M67" s="49">
        <f>資料儲存!F4851</f>
        <v>0</v>
      </c>
      <c r="N67" s="49">
        <f>資料儲存!G4851</f>
        <v>0</v>
      </c>
      <c r="O67" s="49">
        <f>資料儲存!H4851</f>
        <v>0</v>
      </c>
      <c r="P67" s="49">
        <f>資料儲存!I4851</f>
        <v>0</v>
      </c>
      <c r="Q67" s="49">
        <f>資料儲存!J4851</f>
        <v>0</v>
      </c>
      <c r="R67" s="52"/>
      <c r="S67" s="70">
        <v>50</v>
      </c>
      <c r="T67" s="49">
        <f>資料儲存!D4971</f>
        <v>0</v>
      </c>
      <c r="U67" s="49">
        <f>資料儲存!E4971</f>
        <v>0</v>
      </c>
      <c r="V67" s="49">
        <f>資料儲存!F4971</f>
        <v>0</v>
      </c>
      <c r="W67" s="49">
        <f>資料儲存!G4971</f>
        <v>0</v>
      </c>
      <c r="X67" s="49">
        <f>資料儲存!H4971</f>
        <v>0</v>
      </c>
      <c r="Y67" s="49">
        <f>資料儲存!I4971</f>
        <v>0</v>
      </c>
      <c r="Z67" s="49">
        <f>資料儲存!J4971</f>
        <v>0</v>
      </c>
      <c r="AA67" s="52"/>
      <c r="AB67" s="70">
        <v>50</v>
      </c>
      <c r="AC67" s="49">
        <f>資料儲存!D5091</f>
        <v>0</v>
      </c>
      <c r="AD67" s="49">
        <f>資料儲存!E5091</f>
        <v>0</v>
      </c>
      <c r="AE67" s="49">
        <f>資料儲存!F5091</f>
        <v>0</v>
      </c>
      <c r="AF67" s="49">
        <f>資料儲存!G5091</f>
        <v>0</v>
      </c>
      <c r="AG67" s="49">
        <f>資料儲存!H5091</f>
        <v>0</v>
      </c>
      <c r="AH67" s="49">
        <f>資料儲存!I5091</f>
        <v>0</v>
      </c>
      <c r="AI67" s="49">
        <f>資料儲存!J5091</f>
        <v>0</v>
      </c>
      <c r="AJ67" s="52"/>
      <c r="AK67" s="70">
        <v>50</v>
      </c>
      <c r="AL67" s="49">
        <f>資料儲存!D5211</f>
        <v>0</v>
      </c>
      <c r="AM67" s="49">
        <f>資料儲存!E5211</f>
        <v>0</v>
      </c>
      <c r="AN67" s="49">
        <f>資料儲存!F5211</f>
        <v>0</v>
      </c>
      <c r="AO67" s="49">
        <f>資料儲存!G5211</f>
        <v>0</v>
      </c>
      <c r="AP67" s="49">
        <f>資料儲存!H5211</f>
        <v>0</v>
      </c>
      <c r="AQ67" s="49">
        <f>資料儲存!I5211</f>
        <v>0</v>
      </c>
      <c r="AR67" s="49">
        <f>資料儲存!J5211</f>
        <v>0</v>
      </c>
      <c r="AT67" s="70">
        <v>50</v>
      </c>
      <c r="AU67" s="49">
        <f>資料儲存!D5331</f>
        <v>0</v>
      </c>
      <c r="AV67" s="49">
        <f>資料儲存!E5331</f>
        <v>0</v>
      </c>
      <c r="AW67" s="49">
        <f>資料儲存!F5331</f>
        <v>0</v>
      </c>
      <c r="AX67" s="49">
        <f>資料儲存!G5331</f>
        <v>0</v>
      </c>
      <c r="AY67" s="49">
        <f>資料儲存!H5331</f>
        <v>0</v>
      </c>
      <c r="AZ67" s="49">
        <f>資料儲存!I5331</f>
        <v>0</v>
      </c>
      <c r="BA67" s="49">
        <f>資料儲存!J5331</f>
        <v>0</v>
      </c>
    </row>
    <row r="68" spans="1:53" s="67" customFormat="1" ht="16" thickBot="1">
      <c r="A68" s="70">
        <v>51</v>
      </c>
      <c r="B68" s="49">
        <f>資料儲存!D4732</f>
        <v>0</v>
      </c>
      <c r="C68" s="49">
        <f>資料儲存!E4732</f>
        <v>0</v>
      </c>
      <c r="D68" s="49">
        <f>資料儲存!F4732</f>
        <v>0</v>
      </c>
      <c r="E68" s="49">
        <f>資料儲存!G4732</f>
        <v>0</v>
      </c>
      <c r="F68" s="49">
        <f>資料儲存!H4732</f>
        <v>0</v>
      </c>
      <c r="G68" s="49">
        <f>資料儲存!I4732</f>
        <v>0</v>
      </c>
      <c r="H68" s="49">
        <f>資料儲存!J4732</f>
        <v>0</v>
      </c>
      <c r="I68" s="52"/>
      <c r="J68" s="70">
        <v>51</v>
      </c>
      <c r="K68" s="49">
        <f>資料儲存!D4852</f>
        <v>0</v>
      </c>
      <c r="L68" s="49">
        <f>資料儲存!E4852</f>
        <v>0</v>
      </c>
      <c r="M68" s="49">
        <f>資料儲存!F4852</f>
        <v>0</v>
      </c>
      <c r="N68" s="49">
        <f>資料儲存!G4852</f>
        <v>0</v>
      </c>
      <c r="O68" s="49">
        <f>資料儲存!H4852</f>
        <v>0</v>
      </c>
      <c r="P68" s="49">
        <f>資料儲存!I4852</f>
        <v>0</v>
      </c>
      <c r="Q68" s="49">
        <f>資料儲存!J4852</f>
        <v>0</v>
      </c>
      <c r="R68" s="52"/>
      <c r="S68" s="70">
        <v>51</v>
      </c>
      <c r="T68" s="49">
        <f>資料儲存!D4972</f>
        <v>0</v>
      </c>
      <c r="U68" s="49">
        <f>資料儲存!E4972</f>
        <v>0</v>
      </c>
      <c r="V68" s="49">
        <f>資料儲存!F4972</f>
        <v>0</v>
      </c>
      <c r="W68" s="49">
        <f>資料儲存!G4972</f>
        <v>0</v>
      </c>
      <c r="X68" s="49">
        <f>資料儲存!H4972</f>
        <v>0</v>
      </c>
      <c r="Y68" s="49">
        <f>資料儲存!I4972</f>
        <v>0</v>
      </c>
      <c r="Z68" s="49">
        <f>資料儲存!J4972</f>
        <v>0</v>
      </c>
      <c r="AA68" s="52"/>
      <c r="AB68" s="70">
        <v>51</v>
      </c>
      <c r="AC68" s="49">
        <f>資料儲存!D5092</f>
        <v>0</v>
      </c>
      <c r="AD68" s="49">
        <f>資料儲存!E5092</f>
        <v>0</v>
      </c>
      <c r="AE68" s="49">
        <f>資料儲存!F5092</f>
        <v>0</v>
      </c>
      <c r="AF68" s="49">
        <f>資料儲存!G5092</f>
        <v>0</v>
      </c>
      <c r="AG68" s="49">
        <f>資料儲存!H5092</f>
        <v>0</v>
      </c>
      <c r="AH68" s="49">
        <f>資料儲存!I5092</f>
        <v>0</v>
      </c>
      <c r="AI68" s="49">
        <f>資料儲存!J5092</f>
        <v>0</v>
      </c>
      <c r="AJ68" s="52"/>
      <c r="AK68" s="70">
        <v>51</v>
      </c>
      <c r="AL68" s="49">
        <f>資料儲存!D5212</f>
        <v>0</v>
      </c>
      <c r="AM68" s="49">
        <f>資料儲存!E5212</f>
        <v>0</v>
      </c>
      <c r="AN68" s="49">
        <f>資料儲存!F5212</f>
        <v>0</v>
      </c>
      <c r="AO68" s="49">
        <f>資料儲存!G5212</f>
        <v>0</v>
      </c>
      <c r="AP68" s="49">
        <f>資料儲存!H5212</f>
        <v>0</v>
      </c>
      <c r="AQ68" s="49">
        <f>資料儲存!I5212</f>
        <v>0</v>
      </c>
      <c r="AR68" s="49">
        <f>資料儲存!J5212</f>
        <v>0</v>
      </c>
      <c r="AT68" s="70">
        <v>51</v>
      </c>
      <c r="AU68" s="49">
        <f>資料儲存!D5332</f>
        <v>0</v>
      </c>
      <c r="AV68" s="49">
        <f>資料儲存!E5332</f>
        <v>0</v>
      </c>
      <c r="AW68" s="49">
        <f>資料儲存!F5332</f>
        <v>0</v>
      </c>
      <c r="AX68" s="49">
        <f>資料儲存!G5332</f>
        <v>0</v>
      </c>
      <c r="AY68" s="49">
        <f>資料儲存!H5332</f>
        <v>0</v>
      </c>
      <c r="AZ68" s="49">
        <f>資料儲存!I5332</f>
        <v>0</v>
      </c>
      <c r="BA68" s="49">
        <f>資料儲存!J5332</f>
        <v>0</v>
      </c>
    </row>
    <row r="69" spans="1:53" s="67" customFormat="1" ht="16" thickBot="1">
      <c r="A69" s="70">
        <v>52</v>
      </c>
      <c r="B69" s="49">
        <f>資料儲存!D4733</f>
        <v>0</v>
      </c>
      <c r="C69" s="49">
        <f>資料儲存!E4733</f>
        <v>0</v>
      </c>
      <c r="D69" s="49">
        <f>資料儲存!F4733</f>
        <v>0</v>
      </c>
      <c r="E69" s="49">
        <f>資料儲存!G4733</f>
        <v>0</v>
      </c>
      <c r="F69" s="49">
        <f>資料儲存!H4733</f>
        <v>0</v>
      </c>
      <c r="G69" s="49">
        <f>資料儲存!I4733</f>
        <v>0</v>
      </c>
      <c r="H69" s="49">
        <f>資料儲存!J4733</f>
        <v>0</v>
      </c>
      <c r="I69" s="52"/>
      <c r="J69" s="70">
        <v>52</v>
      </c>
      <c r="K69" s="49">
        <f>資料儲存!D4853</f>
        <v>0</v>
      </c>
      <c r="L69" s="49">
        <f>資料儲存!E4853</f>
        <v>0</v>
      </c>
      <c r="M69" s="49">
        <f>資料儲存!F4853</f>
        <v>0</v>
      </c>
      <c r="N69" s="49">
        <f>資料儲存!G4853</f>
        <v>0</v>
      </c>
      <c r="O69" s="49">
        <f>資料儲存!H4853</f>
        <v>0</v>
      </c>
      <c r="P69" s="49">
        <f>資料儲存!I4853</f>
        <v>0</v>
      </c>
      <c r="Q69" s="49">
        <f>資料儲存!J4853</f>
        <v>0</v>
      </c>
      <c r="R69" s="52"/>
      <c r="S69" s="70">
        <v>52</v>
      </c>
      <c r="T69" s="49">
        <f>資料儲存!D4973</f>
        <v>0</v>
      </c>
      <c r="U69" s="49">
        <f>資料儲存!E4973</f>
        <v>0</v>
      </c>
      <c r="V69" s="49">
        <f>資料儲存!F4973</f>
        <v>0</v>
      </c>
      <c r="W69" s="49">
        <f>資料儲存!G4973</f>
        <v>0</v>
      </c>
      <c r="X69" s="49">
        <f>資料儲存!H4973</f>
        <v>0</v>
      </c>
      <c r="Y69" s="49">
        <f>資料儲存!I4973</f>
        <v>0</v>
      </c>
      <c r="Z69" s="49">
        <f>資料儲存!J4973</f>
        <v>0</v>
      </c>
      <c r="AA69" s="52"/>
      <c r="AB69" s="70">
        <v>52</v>
      </c>
      <c r="AC69" s="49">
        <f>資料儲存!D5093</f>
        <v>0</v>
      </c>
      <c r="AD69" s="49">
        <f>資料儲存!E5093</f>
        <v>0</v>
      </c>
      <c r="AE69" s="49">
        <f>資料儲存!F5093</f>
        <v>0</v>
      </c>
      <c r="AF69" s="49">
        <f>資料儲存!G5093</f>
        <v>0</v>
      </c>
      <c r="AG69" s="49">
        <f>資料儲存!H5093</f>
        <v>0</v>
      </c>
      <c r="AH69" s="49">
        <f>資料儲存!I5093</f>
        <v>0</v>
      </c>
      <c r="AI69" s="49">
        <f>資料儲存!J5093</f>
        <v>0</v>
      </c>
      <c r="AJ69" s="52"/>
      <c r="AK69" s="70">
        <v>52</v>
      </c>
      <c r="AL69" s="49">
        <f>資料儲存!D5213</f>
        <v>0</v>
      </c>
      <c r="AM69" s="49">
        <f>資料儲存!E5213</f>
        <v>0</v>
      </c>
      <c r="AN69" s="49">
        <f>資料儲存!F5213</f>
        <v>0</v>
      </c>
      <c r="AO69" s="49">
        <f>資料儲存!G5213</f>
        <v>0</v>
      </c>
      <c r="AP69" s="49">
        <f>資料儲存!H5213</f>
        <v>0</v>
      </c>
      <c r="AQ69" s="49">
        <f>資料儲存!I5213</f>
        <v>0</v>
      </c>
      <c r="AR69" s="49">
        <f>資料儲存!J5213</f>
        <v>0</v>
      </c>
      <c r="AT69" s="70">
        <v>52</v>
      </c>
      <c r="AU69" s="49">
        <f>資料儲存!D5333</f>
        <v>0</v>
      </c>
      <c r="AV69" s="49">
        <f>資料儲存!E5333</f>
        <v>0</v>
      </c>
      <c r="AW69" s="49">
        <f>資料儲存!F5333</f>
        <v>0</v>
      </c>
      <c r="AX69" s="49">
        <f>資料儲存!G5333</f>
        <v>0</v>
      </c>
      <c r="AY69" s="49">
        <f>資料儲存!H5333</f>
        <v>0</v>
      </c>
      <c r="AZ69" s="49">
        <f>資料儲存!I5333</f>
        <v>0</v>
      </c>
      <c r="BA69" s="49">
        <f>資料儲存!J5333</f>
        <v>0</v>
      </c>
    </row>
    <row r="70" spans="1:53" s="67" customFormat="1" ht="16" thickBot="1">
      <c r="A70" s="70">
        <v>53</v>
      </c>
      <c r="B70" s="49">
        <f>資料儲存!D4734</f>
        <v>0</v>
      </c>
      <c r="C70" s="49">
        <f>資料儲存!E4734</f>
        <v>0</v>
      </c>
      <c r="D70" s="49">
        <f>資料儲存!F4734</f>
        <v>0</v>
      </c>
      <c r="E70" s="49">
        <f>資料儲存!G4734</f>
        <v>0</v>
      </c>
      <c r="F70" s="49">
        <f>資料儲存!H4734</f>
        <v>0</v>
      </c>
      <c r="G70" s="49">
        <f>資料儲存!I4734</f>
        <v>0</v>
      </c>
      <c r="H70" s="49">
        <f>資料儲存!J4734</f>
        <v>0</v>
      </c>
      <c r="I70" s="52"/>
      <c r="J70" s="70">
        <v>53</v>
      </c>
      <c r="K70" s="49">
        <f>資料儲存!D4854</f>
        <v>0</v>
      </c>
      <c r="L70" s="49">
        <f>資料儲存!E4854</f>
        <v>0</v>
      </c>
      <c r="M70" s="49">
        <f>資料儲存!F4854</f>
        <v>0</v>
      </c>
      <c r="N70" s="49">
        <f>資料儲存!G4854</f>
        <v>0</v>
      </c>
      <c r="O70" s="49">
        <f>資料儲存!H4854</f>
        <v>0</v>
      </c>
      <c r="P70" s="49">
        <f>資料儲存!I4854</f>
        <v>0</v>
      </c>
      <c r="Q70" s="49">
        <f>資料儲存!J4854</f>
        <v>0</v>
      </c>
      <c r="R70" s="52"/>
      <c r="S70" s="70">
        <v>53</v>
      </c>
      <c r="T70" s="49">
        <f>資料儲存!D4974</f>
        <v>0</v>
      </c>
      <c r="U70" s="49">
        <f>資料儲存!E4974</f>
        <v>0</v>
      </c>
      <c r="V70" s="49">
        <f>資料儲存!F4974</f>
        <v>0</v>
      </c>
      <c r="W70" s="49">
        <f>資料儲存!G4974</f>
        <v>0</v>
      </c>
      <c r="X70" s="49">
        <f>資料儲存!H4974</f>
        <v>0</v>
      </c>
      <c r="Y70" s="49">
        <f>資料儲存!I4974</f>
        <v>0</v>
      </c>
      <c r="Z70" s="49">
        <f>資料儲存!J4974</f>
        <v>0</v>
      </c>
      <c r="AA70" s="52"/>
      <c r="AB70" s="70">
        <v>53</v>
      </c>
      <c r="AC70" s="49">
        <f>資料儲存!D5094</f>
        <v>0</v>
      </c>
      <c r="AD70" s="49">
        <f>資料儲存!E5094</f>
        <v>0</v>
      </c>
      <c r="AE70" s="49">
        <f>資料儲存!F5094</f>
        <v>0</v>
      </c>
      <c r="AF70" s="49">
        <f>資料儲存!G5094</f>
        <v>0</v>
      </c>
      <c r="AG70" s="49">
        <f>資料儲存!H5094</f>
        <v>0</v>
      </c>
      <c r="AH70" s="49">
        <f>資料儲存!I5094</f>
        <v>0</v>
      </c>
      <c r="AI70" s="49">
        <f>資料儲存!J5094</f>
        <v>0</v>
      </c>
      <c r="AJ70" s="52"/>
      <c r="AK70" s="70">
        <v>53</v>
      </c>
      <c r="AL70" s="49">
        <f>資料儲存!D5214</f>
        <v>0</v>
      </c>
      <c r="AM70" s="49">
        <f>資料儲存!E5214</f>
        <v>0</v>
      </c>
      <c r="AN70" s="49">
        <f>資料儲存!F5214</f>
        <v>0</v>
      </c>
      <c r="AO70" s="49">
        <f>資料儲存!G5214</f>
        <v>0</v>
      </c>
      <c r="AP70" s="49">
        <f>資料儲存!H5214</f>
        <v>0</v>
      </c>
      <c r="AQ70" s="49">
        <f>資料儲存!I5214</f>
        <v>0</v>
      </c>
      <c r="AR70" s="49">
        <f>資料儲存!J5214</f>
        <v>0</v>
      </c>
      <c r="AT70" s="70">
        <v>53</v>
      </c>
      <c r="AU70" s="49">
        <f>資料儲存!D5334</f>
        <v>0</v>
      </c>
      <c r="AV70" s="49">
        <f>資料儲存!E5334</f>
        <v>0</v>
      </c>
      <c r="AW70" s="49">
        <f>資料儲存!F5334</f>
        <v>0</v>
      </c>
      <c r="AX70" s="49">
        <f>資料儲存!G5334</f>
        <v>0</v>
      </c>
      <c r="AY70" s="49">
        <f>資料儲存!H5334</f>
        <v>0</v>
      </c>
      <c r="AZ70" s="49">
        <f>資料儲存!I5334</f>
        <v>0</v>
      </c>
      <c r="BA70" s="49">
        <f>資料儲存!J5334</f>
        <v>0</v>
      </c>
    </row>
    <row r="71" spans="1:53" s="67" customFormat="1" ht="16" thickBot="1">
      <c r="A71" s="70">
        <v>54</v>
      </c>
      <c r="B71" s="49">
        <f>資料儲存!D4735</f>
        <v>0</v>
      </c>
      <c r="C71" s="49">
        <f>資料儲存!E4735</f>
        <v>0</v>
      </c>
      <c r="D71" s="49">
        <f>資料儲存!F4735</f>
        <v>0</v>
      </c>
      <c r="E71" s="49">
        <f>資料儲存!G4735</f>
        <v>0</v>
      </c>
      <c r="F71" s="49">
        <f>資料儲存!H4735</f>
        <v>0</v>
      </c>
      <c r="G71" s="49">
        <f>資料儲存!I4735</f>
        <v>0</v>
      </c>
      <c r="H71" s="49">
        <f>資料儲存!J4735</f>
        <v>0</v>
      </c>
      <c r="I71" s="52"/>
      <c r="J71" s="70">
        <v>54</v>
      </c>
      <c r="K71" s="49">
        <f>資料儲存!D4855</f>
        <v>0</v>
      </c>
      <c r="L71" s="49">
        <f>資料儲存!E4855</f>
        <v>0</v>
      </c>
      <c r="M71" s="49">
        <f>資料儲存!F4855</f>
        <v>0</v>
      </c>
      <c r="N71" s="49">
        <f>資料儲存!G4855</f>
        <v>0</v>
      </c>
      <c r="O71" s="49">
        <f>資料儲存!H4855</f>
        <v>0</v>
      </c>
      <c r="P71" s="49">
        <f>資料儲存!I4855</f>
        <v>0</v>
      </c>
      <c r="Q71" s="49">
        <f>資料儲存!J4855</f>
        <v>0</v>
      </c>
      <c r="R71" s="52"/>
      <c r="S71" s="70">
        <v>54</v>
      </c>
      <c r="T71" s="49">
        <f>資料儲存!D4975</f>
        <v>0</v>
      </c>
      <c r="U71" s="49">
        <f>資料儲存!E4975</f>
        <v>0</v>
      </c>
      <c r="V71" s="49">
        <f>資料儲存!F4975</f>
        <v>0</v>
      </c>
      <c r="W71" s="49">
        <f>資料儲存!G4975</f>
        <v>0</v>
      </c>
      <c r="X71" s="49">
        <f>資料儲存!H4975</f>
        <v>0</v>
      </c>
      <c r="Y71" s="49">
        <f>資料儲存!I4975</f>
        <v>0</v>
      </c>
      <c r="Z71" s="49">
        <f>資料儲存!J4975</f>
        <v>0</v>
      </c>
      <c r="AA71" s="52"/>
      <c r="AB71" s="70">
        <v>54</v>
      </c>
      <c r="AC71" s="49">
        <f>資料儲存!D5095</f>
        <v>0</v>
      </c>
      <c r="AD71" s="49">
        <f>資料儲存!E5095</f>
        <v>0</v>
      </c>
      <c r="AE71" s="49">
        <f>資料儲存!F5095</f>
        <v>0</v>
      </c>
      <c r="AF71" s="49">
        <f>資料儲存!G5095</f>
        <v>0</v>
      </c>
      <c r="AG71" s="49">
        <f>資料儲存!H5095</f>
        <v>0</v>
      </c>
      <c r="AH71" s="49">
        <f>資料儲存!I5095</f>
        <v>0</v>
      </c>
      <c r="AI71" s="49">
        <f>資料儲存!J5095</f>
        <v>0</v>
      </c>
      <c r="AJ71" s="52"/>
      <c r="AK71" s="70">
        <v>54</v>
      </c>
      <c r="AL71" s="49">
        <f>資料儲存!D5215</f>
        <v>0</v>
      </c>
      <c r="AM71" s="49">
        <f>資料儲存!E5215</f>
        <v>0</v>
      </c>
      <c r="AN71" s="49">
        <f>資料儲存!F5215</f>
        <v>0</v>
      </c>
      <c r="AO71" s="49">
        <f>資料儲存!G5215</f>
        <v>0</v>
      </c>
      <c r="AP71" s="49">
        <f>資料儲存!H5215</f>
        <v>0</v>
      </c>
      <c r="AQ71" s="49">
        <f>資料儲存!I5215</f>
        <v>0</v>
      </c>
      <c r="AR71" s="49">
        <f>資料儲存!J5215</f>
        <v>0</v>
      </c>
      <c r="AT71" s="70">
        <v>54</v>
      </c>
      <c r="AU71" s="49">
        <f>資料儲存!D5335</f>
        <v>0</v>
      </c>
      <c r="AV71" s="49">
        <f>資料儲存!E5335</f>
        <v>0</v>
      </c>
      <c r="AW71" s="49">
        <f>資料儲存!F5335</f>
        <v>0</v>
      </c>
      <c r="AX71" s="49">
        <f>資料儲存!G5335</f>
        <v>0</v>
      </c>
      <c r="AY71" s="49">
        <f>資料儲存!H5335</f>
        <v>0</v>
      </c>
      <c r="AZ71" s="49">
        <f>資料儲存!I5335</f>
        <v>0</v>
      </c>
      <c r="BA71" s="49">
        <f>資料儲存!J5335</f>
        <v>0</v>
      </c>
    </row>
    <row r="72" spans="1:53" s="67" customFormat="1" ht="16" thickBot="1">
      <c r="A72" s="70">
        <v>55</v>
      </c>
      <c r="B72" s="49">
        <f>資料儲存!D4736</f>
        <v>0</v>
      </c>
      <c r="C72" s="49">
        <f>資料儲存!E4736</f>
        <v>0</v>
      </c>
      <c r="D72" s="49">
        <f>資料儲存!F4736</f>
        <v>0</v>
      </c>
      <c r="E72" s="49">
        <f>資料儲存!G4736</f>
        <v>0</v>
      </c>
      <c r="F72" s="49">
        <f>資料儲存!H4736</f>
        <v>0</v>
      </c>
      <c r="G72" s="49">
        <f>資料儲存!I4736</f>
        <v>0</v>
      </c>
      <c r="H72" s="49">
        <f>資料儲存!J4736</f>
        <v>0</v>
      </c>
      <c r="I72" s="52"/>
      <c r="J72" s="70">
        <v>55</v>
      </c>
      <c r="K72" s="49">
        <f>資料儲存!D4856</f>
        <v>0</v>
      </c>
      <c r="L72" s="49">
        <f>資料儲存!E4856</f>
        <v>0</v>
      </c>
      <c r="M72" s="49">
        <f>資料儲存!F4856</f>
        <v>0</v>
      </c>
      <c r="N72" s="49">
        <f>資料儲存!G4856</f>
        <v>0</v>
      </c>
      <c r="O72" s="49">
        <f>資料儲存!H4856</f>
        <v>0</v>
      </c>
      <c r="P72" s="49">
        <f>資料儲存!I4856</f>
        <v>0</v>
      </c>
      <c r="Q72" s="49">
        <f>資料儲存!J4856</f>
        <v>0</v>
      </c>
      <c r="R72" s="52"/>
      <c r="S72" s="70">
        <v>55</v>
      </c>
      <c r="T72" s="49">
        <f>資料儲存!D4976</f>
        <v>0</v>
      </c>
      <c r="U72" s="49">
        <f>資料儲存!E4976</f>
        <v>0</v>
      </c>
      <c r="V72" s="49">
        <f>資料儲存!F4976</f>
        <v>0</v>
      </c>
      <c r="W72" s="49">
        <f>資料儲存!G4976</f>
        <v>0</v>
      </c>
      <c r="X72" s="49">
        <f>資料儲存!H4976</f>
        <v>0</v>
      </c>
      <c r="Y72" s="49">
        <f>資料儲存!I4976</f>
        <v>0</v>
      </c>
      <c r="Z72" s="49">
        <f>資料儲存!J4976</f>
        <v>0</v>
      </c>
      <c r="AA72" s="52"/>
      <c r="AB72" s="70">
        <v>55</v>
      </c>
      <c r="AC72" s="49">
        <f>資料儲存!D5096</f>
        <v>0</v>
      </c>
      <c r="AD72" s="49">
        <f>資料儲存!E5096</f>
        <v>0</v>
      </c>
      <c r="AE72" s="49">
        <f>資料儲存!F5096</f>
        <v>0</v>
      </c>
      <c r="AF72" s="49">
        <f>資料儲存!G5096</f>
        <v>0</v>
      </c>
      <c r="AG72" s="49">
        <f>資料儲存!H5096</f>
        <v>0</v>
      </c>
      <c r="AH72" s="49">
        <f>資料儲存!I5096</f>
        <v>0</v>
      </c>
      <c r="AI72" s="49">
        <f>資料儲存!J5096</f>
        <v>0</v>
      </c>
      <c r="AJ72" s="52"/>
      <c r="AK72" s="70">
        <v>55</v>
      </c>
      <c r="AL72" s="49">
        <f>資料儲存!D5216</f>
        <v>0</v>
      </c>
      <c r="AM72" s="49">
        <f>資料儲存!E5216</f>
        <v>0</v>
      </c>
      <c r="AN72" s="49">
        <f>資料儲存!F5216</f>
        <v>0</v>
      </c>
      <c r="AO72" s="49">
        <f>資料儲存!G5216</f>
        <v>0</v>
      </c>
      <c r="AP72" s="49">
        <f>資料儲存!H5216</f>
        <v>0</v>
      </c>
      <c r="AQ72" s="49">
        <f>資料儲存!I5216</f>
        <v>0</v>
      </c>
      <c r="AR72" s="49">
        <f>資料儲存!J5216</f>
        <v>0</v>
      </c>
      <c r="AT72" s="70">
        <v>55</v>
      </c>
      <c r="AU72" s="49">
        <f>資料儲存!D5336</f>
        <v>0</v>
      </c>
      <c r="AV72" s="49">
        <f>資料儲存!E5336</f>
        <v>0</v>
      </c>
      <c r="AW72" s="49">
        <f>資料儲存!F5336</f>
        <v>0</v>
      </c>
      <c r="AX72" s="49">
        <f>資料儲存!G5336</f>
        <v>0</v>
      </c>
      <c r="AY72" s="49">
        <f>資料儲存!H5336</f>
        <v>0</v>
      </c>
      <c r="AZ72" s="49">
        <f>資料儲存!I5336</f>
        <v>0</v>
      </c>
      <c r="BA72" s="49">
        <f>資料儲存!J5336</f>
        <v>0</v>
      </c>
    </row>
    <row r="73" spans="1:53" s="67" customFormat="1" ht="16" thickBot="1">
      <c r="A73" s="70">
        <v>56</v>
      </c>
      <c r="B73" s="49">
        <f>資料儲存!D4737</f>
        <v>0</v>
      </c>
      <c r="C73" s="49">
        <f>資料儲存!E4737</f>
        <v>0</v>
      </c>
      <c r="D73" s="49">
        <f>資料儲存!F4737</f>
        <v>0</v>
      </c>
      <c r="E73" s="49">
        <f>資料儲存!G4737</f>
        <v>0</v>
      </c>
      <c r="F73" s="49">
        <f>資料儲存!H4737</f>
        <v>0</v>
      </c>
      <c r="G73" s="49">
        <f>資料儲存!I4737</f>
        <v>0</v>
      </c>
      <c r="H73" s="49">
        <f>資料儲存!J4737</f>
        <v>0</v>
      </c>
      <c r="I73" s="52"/>
      <c r="J73" s="70">
        <v>56</v>
      </c>
      <c r="K73" s="49">
        <f>資料儲存!D4857</f>
        <v>0</v>
      </c>
      <c r="L73" s="49">
        <f>資料儲存!E4857</f>
        <v>0</v>
      </c>
      <c r="M73" s="49">
        <f>資料儲存!F4857</f>
        <v>0</v>
      </c>
      <c r="N73" s="49">
        <f>資料儲存!G4857</f>
        <v>0</v>
      </c>
      <c r="O73" s="49">
        <f>資料儲存!H4857</f>
        <v>0</v>
      </c>
      <c r="P73" s="49">
        <f>資料儲存!I4857</f>
        <v>0</v>
      </c>
      <c r="Q73" s="49">
        <f>資料儲存!J4857</f>
        <v>0</v>
      </c>
      <c r="R73" s="52"/>
      <c r="S73" s="70">
        <v>56</v>
      </c>
      <c r="T73" s="49">
        <f>資料儲存!D4977</f>
        <v>0</v>
      </c>
      <c r="U73" s="49">
        <f>資料儲存!E4977</f>
        <v>0</v>
      </c>
      <c r="V73" s="49">
        <f>資料儲存!F4977</f>
        <v>0</v>
      </c>
      <c r="W73" s="49">
        <f>資料儲存!G4977</f>
        <v>0</v>
      </c>
      <c r="X73" s="49">
        <f>資料儲存!H4977</f>
        <v>0</v>
      </c>
      <c r="Y73" s="49">
        <f>資料儲存!I4977</f>
        <v>0</v>
      </c>
      <c r="Z73" s="49">
        <f>資料儲存!J4977</f>
        <v>0</v>
      </c>
      <c r="AA73" s="52"/>
      <c r="AB73" s="70">
        <v>56</v>
      </c>
      <c r="AC73" s="49">
        <f>資料儲存!D5097</f>
        <v>0</v>
      </c>
      <c r="AD73" s="49">
        <f>資料儲存!E5097</f>
        <v>0</v>
      </c>
      <c r="AE73" s="49">
        <f>資料儲存!F5097</f>
        <v>0</v>
      </c>
      <c r="AF73" s="49">
        <f>資料儲存!G5097</f>
        <v>0</v>
      </c>
      <c r="AG73" s="49">
        <f>資料儲存!H5097</f>
        <v>0</v>
      </c>
      <c r="AH73" s="49">
        <f>資料儲存!I5097</f>
        <v>0</v>
      </c>
      <c r="AI73" s="49">
        <f>資料儲存!J5097</f>
        <v>0</v>
      </c>
      <c r="AJ73" s="52"/>
      <c r="AK73" s="70">
        <v>56</v>
      </c>
      <c r="AL73" s="49">
        <f>資料儲存!D5217</f>
        <v>0</v>
      </c>
      <c r="AM73" s="49">
        <f>資料儲存!E5217</f>
        <v>0</v>
      </c>
      <c r="AN73" s="49">
        <f>資料儲存!F5217</f>
        <v>0</v>
      </c>
      <c r="AO73" s="49">
        <f>資料儲存!G5217</f>
        <v>0</v>
      </c>
      <c r="AP73" s="49">
        <f>資料儲存!H5217</f>
        <v>0</v>
      </c>
      <c r="AQ73" s="49">
        <f>資料儲存!I5217</f>
        <v>0</v>
      </c>
      <c r="AR73" s="49">
        <f>資料儲存!J5217</f>
        <v>0</v>
      </c>
      <c r="AT73" s="70">
        <v>56</v>
      </c>
      <c r="AU73" s="49">
        <f>資料儲存!D5337</f>
        <v>0</v>
      </c>
      <c r="AV73" s="49">
        <f>資料儲存!E5337</f>
        <v>0</v>
      </c>
      <c r="AW73" s="49">
        <f>資料儲存!F5337</f>
        <v>0</v>
      </c>
      <c r="AX73" s="49">
        <f>資料儲存!G5337</f>
        <v>0</v>
      </c>
      <c r="AY73" s="49">
        <f>資料儲存!H5337</f>
        <v>0</v>
      </c>
      <c r="AZ73" s="49">
        <f>資料儲存!I5337</f>
        <v>0</v>
      </c>
      <c r="BA73" s="49">
        <f>資料儲存!J5337</f>
        <v>0</v>
      </c>
    </row>
    <row r="74" spans="1:53" s="67" customFormat="1" ht="16" thickBot="1">
      <c r="A74" s="70">
        <v>57</v>
      </c>
      <c r="B74" s="49">
        <f>資料儲存!D4738</f>
        <v>0</v>
      </c>
      <c r="C74" s="49">
        <f>資料儲存!E4738</f>
        <v>0</v>
      </c>
      <c r="D74" s="49">
        <f>資料儲存!F4738</f>
        <v>0</v>
      </c>
      <c r="E74" s="49">
        <f>資料儲存!G4738</f>
        <v>0</v>
      </c>
      <c r="F74" s="49">
        <f>資料儲存!H4738</f>
        <v>0</v>
      </c>
      <c r="G74" s="49">
        <f>資料儲存!I4738</f>
        <v>0</v>
      </c>
      <c r="H74" s="49">
        <f>資料儲存!J4738</f>
        <v>0</v>
      </c>
      <c r="I74" s="52"/>
      <c r="J74" s="70">
        <v>57</v>
      </c>
      <c r="K74" s="49">
        <f>資料儲存!D4858</f>
        <v>0</v>
      </c>
      <c r="L74" s="49">
        <f>資料儲存!E4858</f>
        <v>0</v>
      </c>
      <c r="M74" s="49">
        <f>資料儲存!F4858</f>
        <v>0</v>
      </c>
      <c r="N74" s="49">
        <f>資料儲存!G4858</f>
        <v>0</v>
      </c>
      <c r="O74" s="49">
        <f>資料儲存!H4858</f>
        <v>0</v>
      </c>
      <c r="P74" s="49">
        <f>資料儲存!I4858</f>
        <v>0</v>
      </c>
      <c r="Q74" s="49">
        <f>資料儲存!J4858</f>
        <v>0</v>
      </c>
      <c r="R74" s="52"/>
      <c r="S74" s="70">
        <v>57</v>
      </c>
      <c r="T74" s="49">
        <f>資料儲存!D4978</f>
        <v>0</v>
      </c>
      <c r="U74" s="49">
        <f>資料儲存!E4978</f>
        <v>0</v>
      </c>
      <c r="V74" s="49">
        <f>資料儲存!F4978</f>
        <v>0</v>
      </c>
      <c r="W74" s="49">
        <f>資料儲存!G4978</f>
        <v>0</v>
      </c>
      <c r="X74" s="49">
        <f>資料儲存!H4978</f>
        <v>0</v>
      </c>
      <c r="Y74" s="49">
        <f>資料儲存!I4978</f>
        <v>0</v>
      </c>
      <c r="Z74" s="49">
        <f>資料儲存!J4978</f>
        <v>0</v>
      </c>
      <c r="AA74" s="52"/>
      <c r="AB74" s="70">
        <v>57</v>
      </c>
      <c r="AC74" s="49">
        <f>資料儲存!D5098</f>
        <v>0</v>
      </c>
      <c r="AD74" s="49">
        <f>資料儲存!E5098</f>
        <v>0</v>
      </c>
      <c r="AE74" s="49">
        <f>資料儲存!F5098</f>
        <v>0</v>
      </c>
      <c r="AF74" s="49">
        <f>資料儲存!G5098</f>
        <v>0</v>
      </c>
      <c r="AG74" s="49">
        <f>資料儲存!H5098</f>
        <v>0</v>
      </c>
      <c r="AH74" s="49">
        <f>資料儲存!I5098</f>
        <v>0</v>
      </c>
      <c r="AI74" s="49">
        <f>資料儲存!J5098</f>
        <v>0</v>
      </c>
      <c r="AJ74" s="52"/>
      <c r="AK74" s="70">
        <v>57</v>
      </c>
      <c r="AL74" s="49">
        <f>資料儲存!D5218</f>
        <v>0</v>
      </c>
      <c r="AM74" s="49">
        <f>資料儲存!E5218</f>
        <v>0</v>
      </c>
      <c r="AN74" s="49">
        <f>資料儲存!F5218</f>
        <v>0</v>
      </c>
      <c r="AO74" s="49">
        <f>資料儲存!G5218</f>
        <v>0</v>
      </c>
      <c r="AP74" s="49">
        <f>資料儲存!H5218</f>
        <v>0</v>
      </c>
      <c r="AQ74" s="49">
        <f>資料儲存!I5218</f>
        <v>0</v>
      </c>
      <c r="AR74" s="49">
        <f>資料儲存!J5218</f>
        <v>0</v>
      </c>
      <c r="AT74" s="70">
        <v>57</v>
      </c>
      <c r="AU74" s="49">
        <f>資料儲存!D5338</f>
        <v>0</v>
      </c>
      <c r="AV74" s="49">
        <f>資料儲存!E5338</f>
        <v>0</v>
      </c>
      <c r="AW74" s="49">
        <f>資料儲存!F5338</f>
        <v>0</v>
      </c>
      <c r="AX74" s="49">
        <f>資料儲存!G5338</f>
        <v>0</v>
      </c>
      <c r="AY74" s="49">
        <f>資料儲存!H5338</f>
        <v>0</v>
      </c>
      <c r="AZ74" s="49">
        <f>資料儲存!I5338</f>
        <v>0</v>
      </c>
      <c r="BA74" s="49">
        <f>資料儲存!J5338</f>
        <v>0</v>
      </c>
    </row>
    <row r="75" spans="1:53" s="67" customFormat="1" ht="16" thickBot="1">
      <c r="A75" s="70">
        <v>58</v>
      </c>
      <c r="B75" s="49">
        <f>資料儲存!D4739</f>
        <v>0</v>
      </c>
      <c r="C75" s="49">
        <f>資料儲存!E4739</f>
        <v>0</v>
      </c>
      <c r="D75" s="49">
        <f>資料儲存!F4739</f>
        <v>0</v>
      </c>
      <c r="E75" s="49">
        <f>資料儲存!G4739</f>
        <v>0</v>
      </c>
      <c r="F75" s="49">
        <f>資料儲存!H4739</f>
        <v>0</v>
      </c>
      <c r="G75" s="49">
        <f>資料儲存!I4739</f>
        <v>0</v>
      </c>
      <c r="H75" s="49">
        <f>資料儲存!J4739</f>
        <v>0</v>
      </c>
      <c r="I75" s="52"/>
      <c r="J75" s="70">
        <v>58</v>
      </c>
      <c r="K75" s="49">
        <f>資料儲存!D4859</f>
        <v>0</v>
      </c>
      <c r="L75" s="49">
        <f>資料儲存!E4859</f>
        <v>0</v>
      </c>
      <c r="M75" s="49">
        <f>資料儲存!F4859</f>
        <v>0</v>
      </c>
      <c r="N75" s="49">
        <f>資料儲存!G4859</f>
        <v>0</v>
      </c>
      <c r="O75" s="49">
        <f>資料儲存!H4859</f>
        <v>0</v>
      </c>
      <c r="P75" s="49">
        <f>資料儲存!I4859</f>
        <v>0</v>
      </c>
      <c r="Q75" s="49">
        <f>資料儲存!J4859</f>
        <v>0</v>
      </c>
      <c r="R75" s="52"/>
      <c r="S75" s="70">
        <v>58</v>
      </c>
      <c r="T75" s="49">
        <f>資料儲存!D4979</f>
        <v>0</v>
      </c>
      <c r="U75" s="49">
        <f>資料儲存!E4979</f>
        <v>0</v>
      </c>
      <c r="V75" s="49">
        <f>資料儲存!F4979</f>
        <v>0</v>
      </c>
      <c r="W75" s="49">
        <f>資料儲存!G4979</f>
        <v>0</v>
      </c>
      <c r="X75" s="49">
        <f>資料儲存!H4979</f>
        <v>0</v>
      </c>
      <c r="Y75" s="49">
        <f>資料儲存!I4979</f>
        <v>0</v>
      </c>
      <c r="Z75" s="49">
        <f>資料儲存!J4979</f>
        <v>0</v>
      </c>
      <c r="AA75" s="52"/>
      <c r="AB75" s="70">
        <v>58</v>
      </c>
      <c r="AC75" s="49">
        <f>資料儲存!D5099</f>
        <v>0</v>
      </c>
      <c r="AD75" s="49">
        <f>資料儲存!E5099</f>
        <v>0</v>
      </c>
      <c r="AE75" s="49">
        <f>資料儲存!F5099</f>
        <v>0</v>
      </c>
      <c r="AF75" s="49">
        <f>資料儲存!G5099</f>
        <v>0</v>
      </c>
      <c r="AG75" s="49">
        <f>資料儲存!H5099</f>
        <v>0</v>
      </c>
      <c r="AH75" s="49">
        <f>資料儲存!I5099</f>
        <v>0</v>
      </c>
      <c r="AI75" s="49">
        <f>資料儲存!J5099</f>
        <v>0</v>
      </c>
      <c r="AJ75" s="52"/>
      <c r="AK75" s="70">
        <v>58</v>
      </c>
      <c r="AL75" s="49">
        <f>資料儲存!D5219</f>
        <v>0</v>
      </c>
      <c r="AM75" s="49">
        <f>資料儲存!E5219</f>
        <v>0</v>
      </c>
      <c r="AN75" s="49">
        <f>資料儲存!F5219</f>
        <v>0</v>
      </c>
      <c r="AO75" s="49">
        <f>資料儲存!G5219</f>
        <v>0</v>
      </c>
      <c r="AP75" s="49">
        <f>資料儲存!H5219</f>
        <v>0</v>
      </c>
      <c r="AQ75" s="49">
        <f>資料儲存!I5219</f>
        <v>0</v>
      </c>
      <c r="AR75" s="49">
        <f>資料儲存!J5219</f>
        <v>0</v>
      </c>
      <c r="AT75" s="70">
        <v>58</v>
      </c>
      <c r="AU75" s="49">
        <f>資料儲存!D5339</f>
        <v>0</v>
      </c>
      <c r="AV75" s="49">
        <f>資料儲存!E5339</f>
        <v>0</v>
      </c>
      <c r="AW75" s="49">
        <f>資料儲存!F5339</f>
        <v>0</v>
      </c>
      <c r="AX75" s="49">
        <f>資料儲存!G5339</f>
        <v>0</v>
      </c>
      <c r="AY75" s="49">
        <f>資料儲存!H5339</f>
        <v>0</v>
      </c>
      <c r="AZ75" s="49">
        <f>資料儲存!I5339</f>
        <v>0</v>
      </c>
      <c r="BA75" s="49">
        <f>資料儲存!J5339</f>
        <v>0</v>
      </c>
    </row>
    <row r="76" spans="1:53" s="67" customFormat="1" ht="16" thickBot="1">
      <c r="A76" s="70">
        <v>59</v>
      </c>
      <c r="B76" s="49">
        <f>資料儲存!D4740</f>
        <v>0</v>
      </c>
      <c r="C76" s="49">
        <f>資料儲存!E4740</f>
        <v>0</v>
      </c>
      <c r="D76" s="49">
        <f>資料儲存!F4740</f>
        <v>0</v>
      </c>
      <c r="E76" s="49">
        <f>資料儲存!G4740</f>
        <v>0</v>
      </c>
      <c r="F76" s="49">
        <f>資料儲存!H4740</f>
        <v>0</v>
      </c>
      <c r="G76" s="49">
        <f>資料儲存!I4740</f>
        <v>0</v>
      </c>
      <c r="H76" s="49">
        <f>資料儲存!J4740</f>
        <v>0</v>
      </c>
      <c r="I76" s="52"/>
      <c r="J76" s="70">
        <v>59</v>
      </c>
      <c r="K76" s="49">
        <f>資料儲存!D4860</f>
        <v>0</v>
      </c>
      <c r="L76" s="49">
        <f>資料儲存!E4860</f>
        <v>0</v>
      </c>
      <c r="M76" s="49">
        <f>資料儲存!F4860</f>
        <v>0</v>
      </c>
      <c r="N76" s="49">
        <f>資料儲存!G4860</f>
        <v>0</v>
      </c>
      <c r="O76" s="49">
        <f>資料儲存!H4860</f>
        <v>0</v>
      </c>
      <c r="P76" s="49">
        <f>資料儲存!I4860</f>
        <v>0</v>
      </c>
      <c r="Q76" s="49">
        <f>資料儲存!J4860</f>
        <v>0</v>
      </c>
      <c r="R76" s="52"/>
      <c r="S76" s="70">
        <v>59</v>
      </c>
      <c r="T76" s="49">
        <f>資料儲存!D4980</f>
        <v>0</v>
      </c>
      <c r="U76" s="49">
        <f>資料儲存!E4980</f>
        <v>0</v>
      </c>
      <c r="V76" s="49">
        <f>資料儲存!F4980</f>
        <v>0</v>
      </c>
      <c r="W76" s="49">
        <f>資料儲存!G4980</f>
        <v>0</v>
      </c>
      <c r="X76" s="49">
        <f>資料儲存!H4980</f>
        <v>0</v>
      </c>
      <c r="Y76" s="49">
        <f>資料儲存!I4980</f>
        <v>0</v>
      </c>
      <c r="Z76" s="49">
        <f>資料儲存!J4980</f>
        <v>0</v>
      </c>
      <c r="AA76" s="52"/>
      <c r="AB76" s="70">
        <v>59</v>
      </c>
      <c r="AC76" s="49">
        <f>資料儲存!D5100</f>
        <v>0</v>
      </c>
      <c r="AD76" s="49">
        <f>資料儲存!E5100</f>
        <v>0</v>
      </c>
      <c r="AE76" s="49">
        <f>資料儲存!F5100</f>
        <v>0</v>
      </c>
      <c r="AF76" s="49">
        <f>資料儲存!G5100</f>
        <v>0</v>
      </c>
      <c r="AG76" s="49">
        <f>資料儲存!H5100</f>
        <v>0</v>
      </c>
      <c r="AH76" s="49">
        <f>資料儲存!I5100</f>
        <v>0</v>
      </c>
      <c r="AI76" s="49">
        <f>資料儲存!J5100</f>
        <v>0</v>
      </c>
      <c r="AJ76" s="52"/>
      <c r="AK76" s="70">
        <v>59</v>
      </c>
      <c r="AL76" s="49">
        <f>資料儲存!D5220</f>
        <v>0</v>
      </c>
      <c r="AM76" s="49">
        <f>資料儲存!E5220</f>
        <v>0</v>
      </c>
      <c r="AN76" s="49">
        <f>資料儲存!F5220</f>
        <v>0</v>
      </c>
      <c r="AO76" s="49">
        <f>資料儲存!G5220</f>
        <v>0</v>
      </c>
      <c r="AP76" s="49">
        <f>資料儲存!H5220</f>
        <v>0</v>
      </c>
      <c r="AQ76" s="49">
        <f>資料儲存!I5220</f>
        <v>0</v>
      </c>
      <c r="AR76" s="49">
        <f>資料儲存!J5220</f>
        <v>0</v>
      </c>
      <c r="AT76" s="70">
        <v>59</v>
      </c>
      <c r="AU76" s="49">
        <f>資料儲存!D5340</f>
        <v>0</v>
      </c>
      <c r="AV76" s="49">
        <f>資料儲存!E5340</f>
        <v>0</v>
      </c>
      <c r="AW76" s="49">
        <f>資料儲存!F5340</f>
        <v>0</v>
      </c>
      <c r="AX76" s="49">
        <f>資料儲存!G5340</f>
        <v>0</v>
      </c>
      <c r="AY76" s="49">
        <f>資料儲存!H5340</f>
        <v>0</v>
      </c>
      <c r="AZ76" s="49">
        <f>資料儲存!I5340</f>
        <v>0</v>
      </c>
      <c r="BA76" s="49">
        <f>資料儲存!J5340</f>
        <v>0</v>
      </c>
    </row>
    <row r="77" spans="1:53" s="67" customFormat="1" ht="16" thickBot="1">
      <c r="A77" s="70">
        <v>60</v>
      </c>
      <c r="B77" s="49">
        <f>資料儲存!D4741</f>
        <v>0</v>
      </c>
      <c r="C77" s="49">
        <f>資料儲存!E4741</f>
        <v>0</v>
      </c>
      <c r="D77" s="49">
        <f>資料儲存!F4741</f>
        <v>0</v>
      </c>
      <c r="E77" s="49">
        <f>資料儲存!G4741</f>
        <v>0</v>
      </c>
      <c r="F77" s="49">
        <f>資料儲存!H4741</f>
        <v>0</v>
      </c>
      <c r="G77" s="49">
        <f>資料儲存!I4741</f>
        <v>0</v>
      </c>
      <c r="H77" s="49">
        <f>資料儲存!J4741</f>
        <v>0</v>
      </c>
      <c r="I77" s="52"/>
      <c r="J77" s="70">
        <v>60</v>
      </c>
      <c r="K77" s="49">
        <f>資料儲存!D4861</f>
        <v>0</v>
      </c>
      <c r="L77" s="49">
        <f>資料儲存!E4861</f>
        <v>0</v>
      </c>
      <c r="M77" s="49">
        <f>資料儲存!F4861</f>
        <v>0</v>
      </c>
      <c r="N77" s="49">
        <f>資料儲存!G4861</f>
        <v>0</v>
      </c>
      <c r="O77" s="49">
        <f>資料儲存!H4861</f>
        <v>0</v>
      </c>
      <c r="P77" s="49">
        <f>資料儲存!I4861</f>
        <v>0</v>
      </c>
      <c r="Q77" s="49">
        <f>資料儲存!J4861</f>
        <v>0</v>
      </c>
      <c r="R77" s="52"/>
      <c r="S77" s="70">
        <v>60</v>
      </c>
      <c r="T77" s="49">
        <f>資料儲存!D4981</f>
        <v>0</v>
      </c>
      <c r="U77" s="49">
        <f>資料儲存!E4981</f>
        <v>0</v>
      </c>
      <c r="V77" s="49">
        <f>資料儲存!F4981</f>
        <v>0</v>
      </c>
      <c r="W77" s="49">
        <f>資料儲存!G4981</f>
        <v>0</v>
      </c>
      <c r="X77" s="49">
        <f>資料儲存!H4981</f>
        <v>0</v>
      </c>
      <c r="Y77" s="49">
        <f>資料儲存!I4981</f>
        <v>0</v>
      </c>
      <c r="Z77" s="49">
        <f>資料儲存!J4981</f>
        <v>0</v>
      </c>
      <c r="AA77" s="52"/>
      <c r="AB77" s="70">
        <v>60</v>
      </c>
      <c r="AC77" s="49">
        <f>資料儲存!D5101</f>
        <v>0</v>
      </c>
      <c r="AD77" s="49">
        <f>資料儲存!E5101</f>
        <v>0</v>
      </c>
      <c r="AE77" s="49">
        <f>資料儲存!F5101</f>
        <v>0</v>
      </c>
      <c r="AF77" s="49">
        <f>資料儲存!G5101</f>
        <v>0</v>
      </c>
      <c r="AG77" s="49">
        <f>資料儲存!H5101</f>
        <v>0</v>
      </c>
      <c r="AH77" s="49">
        <f>資料儲存!I5101</f>
        <v>0</v>
      </c>
      <c r="AI77" s="49">
        <f>資料儲存!J5101</f>
        <v>0</v>
      </c>
      <c r="AJ77" s="52"/>
      <c r="AK77" s="70">
        <v>60</v>
      </c>
      <c r="AL77" s="49">
        <f>資料儲存!D5221</f>
        <v>0</v>
      </c>
      <c r="AM77" s="49">
        <f>資料儲存!E5221</f>
        <v>0</v>
      </c>
      <c r="AN77" s="49">
        <f>資料儲存!F5221</f>
        <v>0</v>
      </c>
      <c r="AO77" s="49">
        <f>資料儲存!G5221</f>
        <v>0</v>
      </c>
      <c r="AP77" s="49">
        <f>資料儲存!H5221</f>
        <v>0</v>
      </c>
      <c r="AQ77" s="49">
        <f>資料儲存!I5221</f>
        <v>0</v>
      </c>
      <c r="AR77" s="49">
        <f>資料儲存!J5221</f>
        <v>0</v>
      </c>
      <c r="AT77" s="70">
        <v>60</v>
      </c>
      <c r="AU77" s="49">
        <f>資料儲存!D5341</f>
        <v>0</v>
      </c>
      <c r="AV77" s="49">
        <f>資料儲存!E5341</f>
        <v>0</v>
      </c>
      <c r="AW77" s="49">
        <f>資料儲存!F5341</f>
        <v>0</v>
      </c>
      <c r="AX77" s="49">
        <f>資料儲存!G5341</f>
        <v>0</v>
      </c>
      <c r="AY77" s="49">
        <f>資料儲存!H5341</f>
        <v>0</v>
      </c>
      <c r="AZ77" s="49">
        <f>資料儲存!I5341</f>
        <v>0</v>
      </c>
      <c r="BA77" s="49">
        <f>資料儲存!J5341</f>
        <v>0</v>
      </c>
    </row>
    <row r="78" spans="1:53" s="67" customFormat="1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0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  <c r="AT78" s="50" t="s">
        <v>56</v>
      </c>
      <c r="AU78" s="49">
        <f>SUM(AU63:AX77)</f>
        <v>0</v>
      </c>
      <c r="AV78" s="47"/>
      <c r="AW78" s="47"/>
      <c r="AX78" s="47"/>
      <c r="AY78" s="49">
        <f>AY77</f>
        <v>0</v>
      </c>
      <c r="AZ78" s="49">
        <f>AZ77</f>
        <v>0</v>
      </c>
      <c r="BA78" s="49">
        <f>BA77</f>
        <v>0</v>
      </c>
    </row>
    <row r="79" spans="1:53" ht="18.5" thickBot="1">
      <c r="A79" s="257" t="s">
        <v>121</v>
      </c>
      <c r="B79" s="258"/>
      <c r="C79" s="258"/>
      <c r="D79" s="258"/>
      <c r="E79" s="258"/>
      <c r="F79" s="258"/>
      <c r="G79" s="258"/>
      <c r="H79" s="259"/>
      <c r="I79" s="14"/>
      <c r="J79" s="257" t="s">
        <v>121</v>
      </c>
      <c r="K79" s="258"/>
      <c r="L79" s="258"/>
      <c r="M79" s="258"/>
      <c r="N79" s="258"/>
      <c r="O79" s="258"/>
      <c r="P79" s="258"/>
      <c r="Q79" s="259"/>
      <c r="R79" s="14"/>
      <c r="S79" s="257" t="s">
        <v>121</v>
      </c>
      <c r="T79" s="258"/>
      <c r="U79" s="258"/>
      <c r="V79" s="258"/>
      <c r="W79" s="258"/>
      <c r="X79" s="258"/>
      <c r="Y79" s="258"/>
      <c r="Z79" s="259"/>
      <c r="AA79" s="14"/>
      <c r="AB79" s="257" t="s">
        <v>121</v>
      </c>
      <c r="AC79" s="258"/>
      <c r="AD79" s="258"/>
      <c r="AE79" s="258"/>
      <c r="AF79" s="258"/>
      <c r="AG79" s="258"/>
      <c r="AH79" s="258"/>
      <c r="AI79" s="259"/>
      <c r="AJ79" s="14"/>
      <c r="AK79" s="257" t="s">
        <v>121</v>
      </c>
      <c r="AL79" s="258"/>
      <c r="AM79" s="258"/>
      <c r="AN79" s="258"/>
      <c r="AO79" s="258"/>
      <c r="AP79" s="258"/>
      <c r="AQ79" s="258"/>
      <c r="AR79" s="259"/>
      <c r="AT79" s="257" t="s">
        <v>121</v>
      </c>
      <c r="AU79" s="258"/>
      <c r="AV79" s="258"/>
      <c r="AW79" s="258"/>
      <c r="AX79" s="258"/>
      <c r="AY79" s="258"/>
      <c r="AZ79" s="258"/>
      <c r="BA79" s="259"/>
    </row>
    <row r="80" spans="1:53" s="59" customFormat="1" ht="17.25" customHeight="1" thickBot="1">
      <c r="A80" s="54" t="s">
        <v>2</v>
      </c>
      <c r="B80" s="55" t="s">
        <v>46</v>
      </c>
      <c r="C80" s="56"/>
      <c r="D80" s="56"/>
      <c r="E80" s="57"/>
      <c r="F80" s="55" t="s">
        <v>47</v>
      </c>
      <c r="G80" s="56"/>
      <c r="H80" s="57"/>
      <c r="I80" s="58"/>
      <c r="J80" s="54" t="s">
        <v>2</v>
      </c>
      <c r="K80" s="55" t="s">
        <v>46</v>
      </c>
      <c r="L80" s="56"/>
      <c r="M80" s="56"/>
      <c r="N80" s="57"/>
      <c r="O80" s="55" t="s">
        <v>47</v>
      </c>
      <c r="P80" s="56"/>
      <c r="Q80" s="57"/>
      <c r="R80" s="58"/>
      <c r="S80" s="54" t="s">
        <v>2</v>
      </c>
      <c r="T80" s="55" t="s">
        <v>46</v>
      </c>
      <c r="U80" s="56"/>
      <c r="V80" s="56"/>
      <c r="W80" s="57"/>
      <c r="X80" s="55" t="s">
        <v>47</v>
      </c>
      <c r="Y80" s="56"/>
      <c r="Z80" s="57"/>
      <c r="AA80" s="58"/>
      <c r="AB80" s="54" t="s">
        <v>2</v>
      </c>
      <c r="AC80" s="55" t="s">
        <v>46</v>
      </c>
      <c r="AD80" s="56"/>
      <c r="AE80" s="56"/>
      <c r="AF80" s="57"/>
      <c r="AG80" s="55" t="s">
        <v>47</v>
      </c>
      <c r="AH80" s="56"/>
      <c r="AI80" s="57"/>
      <c r="AJ80" s="58"/>
      <c r="AK80" s="54" t="s">
        <v>2</v>
      </c>
      <c r="AL80" s="55" t="s">
        <v>46</v>
      </c>
      <c r="AM80" s="56"/>
      <c r="AN80" s="56"/>
      <c r="AO80" s="57"/>
      <c r="AP80" s="55" t="s">
        <v>47</v>
      </c>
      <c r="AQ80" s="56"/>
      <c r="AR80" s="57"/>
      <c r="AT80" s="54" t="s">
        <v>2</v>
      </c>
      <c r="AU80" s="55" t="s">
        <v>46</v>
      </c>
      <c r="AV80" s="56"/>
      <c r="AW80" s="56"/>
      <c r="AX80" s="57"/>
      <c r="AY80" s="55" t="s">
        <v>47</v>
      </c>
      <c r="AZ80" s="56"/>
      <c r="BA80" s="57"/>
    </row>
    <row r="81" spans="1:53" s="59" customFormat="1" ht="16" thickBot="1">
      <c r="A81" s="60">
        <v>0.70833333333333337</v>
      </c>
      <c r="B81" s="61" t="s">
        <v>49</v>
      </c>
      <c r="C81" s="61" t="s">
        <v>50</v>
      </c>
      <c r="D81" s="61" t="s">
        <v>51</v>
      </c>
      <c r="E81" s="61" t="s">
        <v>52</v>
      </c>
      <c r="F81" s="61" t="s">
        <v>53</v>
      </c>
      <c r="G81" s="61" t="s">
        <v>54</v>
      </c>
      <c r="H81" s="61" t="s">
        <v>55</v>
      </c>
      <c r="I81" s="58"/>
      <c r="J81" s="60">
        <v>0.70833333333333337</v>
      </c>
      <c r="K81" s="61" t="s">
        <v>49</v>
      </c>
      <c r="L81" s="61" t="s">
        <v>50</v>
      </c>
      <c r="M81" s="61" t="s">
        <v>51</v>
      </c>
      <c r="N81" s="61" t="s">
        <v>52</v>
      </c>
      <c r="O81" s="61" t="s">
        <v>53</v>
      </c>
      <c r="P81" s="61" t="s">
        <v>54</v>
      </c>
      <c r="Q81" s="61" t="s">
        <v>55</v>
      </c>
      <c r="R81" s="58"/>
      <c r="S81" s="60">
        <v>0.70833333333333337</v>
      </c>
      <c r="T81" s="61" t="s">
        <v>49</v>
      </c>
      <c r="U81" s="61" t="s">
        <v>50</v>
      </c>
      <c r="V81" s="61" t="s">
        <v>51</v>
      </c>
      <c r="W81" s="61" t="s">
        <v>52</v>
      </c>
      <c r="X81" s="61" t="s">
        <v>53</v>
      </c>
      <c r="Y81" s="61" t="s">
        <v>54</v>
      </c>
      <c r="Z81" s="61" t="s">
        <v>55</v>
      </c>
      <c r="AA81" s="58"/>
      <c r="AB81" s="60">
        <v>0.70833333333333337</v>
      </c>
      <c r="AC81" s="61" t="s">
        <v>49</v>
      </c>
      <c r="AD81" s="61" t="s">
        <v>50</v>
      </c>
      <c r="AE81" s="61" t="s">
        <v>51</v>
      </c>
      <c r="AF81" s="61" t="s">
        <v>52</v>
      </c>
      <c r="AG81" s="61" t="s">
        <v>53</v>
      </c>
      <c r="AH81" s="61" t="s">
        <v>54</v>
      </c>
      <c r="AI81" s="61" t="s">
        <v>55</v>
      </c>
      <c r="AJ81" s="58"/>
      <c r="AK81" s="60">
        <v>0.70833333333333337</v>
      </c>
      <c r="AL81" s="61" t="s">
        <v>49</v>
      </c>
      <c r="AM81" s="61" t="s">
        <v>50</v>
      </c>
      <c r="AN81" s="61" t="s">
        <v>51</v>
      </c>
      <c r="AO81" s="61" t="s">
        <v>52</v>
      </c>
      <c r="AP81" s="61" t="s">
        <v>53</v>
      </c>
      <c r="AQ81" s="61" t="s">
        <v>54</v>
      </c>
      <c r="AR81" s="61" t="s">
        <v>55</v>
      </c>
      <c r="AT81" s="60">
        <v>0.70833333333333337</v>
      </c>
      <c r="AU81" s="61" t="s">
        <v>49</v>
      </c>
      <c r="AV81" s="61" t="s">
        <v>50</v>
      </c>
      <c r="AW81" s="61" t="s">
        <v>51</v>
      </c>
      <c r="AX81" s="61" t="s">
        <v>52</v>
      </c>
      <c r="AY81" s="61" t="s">
        <v>53</v>
      </c>
      <c r="AZ81" s="61" t="s">
        <v>54</v>
      </c>
      <c r="BA81" s="61" t="s">
        <v>55</v>
      </c>
    </row>
    <row r="82" spans="1:53" s="59" customFormat="1" ht="16" thickBot="1">
      <c r="A82" s="62">
        <v>1</v>
      </c>
      <c r="B82" s="39">
        <f>資料儲存!D4742</f>
        <v>0</v>
      </c>
      <c r="C82" s="39">
        <f>資料儲存!E4742</f>
        <v>0</v>
      </c>
      <c r="D82" s="39">
        <f>資料儲存!F4742</f>
        <v>0</v>
      </c>
      <c r="E82" s="39">
        <f>資料儲存!G4742</f>
        <v>0</v>
      </c>
      <c r="F82" s="39">
        <f>資料儲存!H4742</f>
        <v>0</v>
      </c>
      <c r="G82" s="39">
        <f>資料儲存!I4742</f>
        <v>0</v>
      </c>
      <c r="H82" s="39">
        <f>資料儲存!J4742</f>
        <v>0</v>
      </c>
      <c r="I82" s="58"/>
      <c r="J82" s="62">
        <v>1</v>
      </c>
      <c r="K82" s="39">
        <f>資料儲存!D4862</f>
        <v>0</v>
      </c>
      <c r="L82" s="39">
        <f>資料儲存!E4862</f>
        <v>0</v>
      </c>
      <c r="M82" s="39">
        <f>資料儲存!F4862</f>
        <v>0</v>
      </c>
      <c r="N82" s="39">
        <f>資料儲存!G4862</f>
        <v>0</v>
      </c>
      <c r="O82" s="39">
        <f>資料儲存!H4862</f>
        <v>0</v>
      </c>
      <c r="P82" s="39">
        <f>資料儲存!I4862</f>
        <v>0</v>
      </c>
      <c r="Q82" s="39">
        <f>資料儲存!J4862</f>
        <v>0</v>
      </c>
      <c r="R82" s="58"/>
      <c r="S82" s="62">
        <v>1</v>
      </c>
      <c r="T82" s="39">
        <f>資料儲存!D4982</f>
        <v>0</v>
      </c>
      <c r="U82" s="39">
        <f>資料儲存!E4982</f>
        <v>0</v>
      </c>
      <c r="V82" s="39">
        <f>資料儲存!F4982</f>
        <v>0</v>
      </c>
      <c r="W82" s="39">
        <f>資料儲存!G4982</f>
        <v>0</v>
      </c>
      <c r="X82" s="39">
        <f>資料儲存!H4982</f>
        <v>0</v>
      </c>
      <c r="Y82" s="39">
        <f>資料儲存!I4982</f>
        <v>0</v>
      </c>
      <c r="Z82" s="39">
        <f>資料儲存!J4982</f>
        <v>0</v>
      </c>
      <c r="AA82" s="58"/>
      <c r="AB82" s="62">
        <v>1</v>
      </c>
      <c r="AC82" s="39">
        <f>資料儲存!D5102</f>
        <v>0</v>
      </c>
      <c r="AD82" s="39">
        <f>資料儲存!E5102</f>
        <v>0</v>
      </c>
      <c r="AE82" s="39">
        <f>資料儲存!F5102</f>
        <v>0</v>
      </c>
      <c r="AF82" s="39">
        <f>資料儲存!G5102</f>
        <v>0</v>
      </c>
      <c r="AG82" s="39">
        <f>資料儲存!H5102</f>
        <v>0</v>
      </c>
      <c r="AH82" s="39">
        <f>資料儲存!I5102</f>
        <v>0</v>
      </c>
      <c r="AI82" s="39">
        <f>資料儲存!J5102</f>
        <v>0</v>
      </c>
      <c r="AJ82" s="58"/>
      <c r="AK82" s="62">
        <v>1</v>
      </c>
      <c r="AL82" s="39">
        <f>資料儲存!D5222</f>
        <v>0</v>
      </c>
      <c r="AM82" s="39">
        <f>資料儲存!E5222</f>
        <v>0</v>
      </c>
      <c r="AN82" s="39">
        <f>資料儲存!F5222</f>
        <v>0</v>
      </c>
      <c r="AO82" s="39">
        <f>資料儲存!G5222</f>
        <v>0</v>
      </c>
      <c r="AP82" s="39">
        <f>資料儲存!H5222</f>
        <v>0</v>
      </c>
      <c r="AQ82" s="39">
        <f>資料儲存!I5222</f>
        <v>0</v>
      </c>
      <c r="AR82" s="39">
        <f>資料儲存!J5222</f>
        <v>0</v>
      </c>
      <c r="AT82" s="62">
        <v>1</v>
      </c>
      <c r="AU82" s="39">
        <f>資料儲存!D5342</f>
        <v>0</v>
      </c>
      <c r="AV82" s="39">
        <f>資料儲存!E5342</f>
        <v>0</v>
      </c>
      <c r="AW82" s="39">
        <f>資料儲存!F5342</f>
        <v>0</v>
      </c>
      <c r="AX82" s="39">
        <f>資料儲存!G5342</f>
        <v>0</v>
      </c>
      <c r="AY82" s="39">
        <f>資料儲存!H5342</f>
        <v>0</v>
      </c>
      <c r="AZ82" s="39">
        <f>資料儲存!I5342</f>
        <v>0</v>
      </c>
      <c r="BA82" s="39">
        <f>資料儲存!J5342</f>
        <v>0</v>
      </c>
    </row>
    <row r="83" spans="1:53" s="59" customFormat="1" ht="16" thickBot="1">
      <c r="A83" s="62">
        <v>2</v>
      </c>
      <c r="B83" s="39">
        <f>資料儲存!D4743</f>
        <v>0</v>
      </c>
      <c r="C83" s="39">
        <f>資料儲存!E4743</f>
        <v>0</v>
      </c>
      <c r="D83" s="39">
        <f>資料儲存!F4743</f>
        <v>0</v>
      </c>
      <c r="E83" s="39">
        <f>資料儲存!G4743</f>
        <v>0</v>
      </c>
      <c r="F83" s="39">
        <f>資料儲存!H4743</f>
        <v>0</v>
      </c>
      <c r="G83" s="39">
        <f>資料儲存!I4743</f>
        <v>0</v>
      </c>
      <c r="H83" s="39">
        <f>資料儲存!J4743</f>
        <v>0</v>
      </c>
      <c r="I83" s="58"/>
      <c r="J83" s="62">
        <v>2</v>
      </c>
      <c r="K83" s="39">
        <f>資料儲存!D4863</f>
        <v>0</v>
      </c>
      <c r="L83" s="39">
        <f>資料儲存!E4863</f>
        <v>0</v>
      </c>
      <c r="M83" s="39">
        <f>資料儲存!F4863</f>
        <v>0</v>
      </c>
      <c r="N83" s="39">
        <f>資料儲存!G4863</f>
        <v>0</v>
      </c>
      <c r="O83" s="39">
        <f>資料儲存!H4863</f>
        <v>0</v>
      </c>
      <c r="P83" s="39">
        <f>資料儲存!I4863</f>
        <v>0</v>
      </c>
      <c r="Q83" s="39">
        <f>資料儲存!J4863</f>
        <v>0</v>
      </c>
      <c r="R83" s="58"/>
      <c r="S83" s="62">
        <v>2</v>
      </c>
      <c r="T83" s="39">
        <f>資料儲存!D4983</f>
        <v>0</v>
      </c>
      <c r="U83" s="39">
        <f>資料儲存!E4983</f>
        <v>0</v>
      </c>
      <c r="V83" s="39">
        <f>資料儲存!F4983</f>
        <v>0</v>
      </c>
      <c r="W83" s="39">
        <f>資料儲存!G4983</f>
        <v>0</v>
      </c>
      <c r="X83" s="39">
        <f>資料儲存!H4983</f>
        <v>0</v>
      </c>
      <c r="Y83" s="39">
        <f>資料儲存!I4983</f>
        <v>0</v>
      </c>
      <c r="Z83" s="39">
        <f>資料儲存!J4983</f>
        <v>0</v>
      </c>
      <c r="AA83" s="58"/>
      <c r="AB83" s="62">
        <v>2</v>
      </c>
      <c r="AC83" s="39">
        <f>資料儲存!D5103</f>
        <v>0</v>
      </c>
      <c r="AD83" s="39">
        <f>資料儲存!E5103</f>
        <v>0</v>
      </c>
      <c r="AE83" s="39">
        <f>資料儲存!F5103</f>
        <v>0</v>
      </c>
      <c r="AF83" s="39">
        <f>資料儲存!G5103</f>
        <v>0</v>
      </c>
      <c r="AG83" s="39">
        <f>資料儲存!H5103</f>
        <v>0</v>
      </c>
      <c r="AH83" s="39">
        <f>資料儲存!I5103</f>
        <v>0</v>
      </c>
      <c r="AI83" s="39">
        <f>資料儲存!J5103</f>
        <v>0</v>
      </c>
      <c r="AJ83" s="58"/>
      <c r="AK83" s="62">
        <v>2</v>
      </c>
      <c r="AL83" s="39">
        <f>資料儲存!D5223</f>
        <v>0</v>
      </c>
      <c r="AM83" s="39">
        <f>資料儲存!E5223</f>
        <v>0</v>
      </c>
      <c r="AN83" s="39">
        <f>資料儲存!F5223</f>
        <v>0</v>
      </c>
      <c r="AO83" s="39">
        <f>資料儲存!G5223</f>
        <v>0</v>
      </c>
      <c r="AP83" s="39">
        <f>資料儲存!H5223</f>
        <v>0</v>
      </c>
      <c r="AQ83" s="39">
        <f>資料儲存!I5223</f>
        <v>0</v>
      </c>
      <c r="AR83" s="39">
        <f>資料儲存!J5223</f>
        <v>0</v>
      </c>
      <c r="AT83" s="62">
        <v>2</v>
      </c>
      <c r="AU83" s="39">
        <f>資料儲存!D5343</f>
        <v>0</v>
      </c>
      <c r="AV83" s="39">
        <f>資料儲存!E5343</f>
        <v>0</v>
      </c>
      <c r="AW83" s="39">
        <f>資料儲存!F5343</f>
        <v>0</v>
      </c>
      <c r="AX83" s="39">
        <f>資料儲存!G5343</f>
        <v>0</v>
      </c>
      <c r="AY83" s="39">
        <f>資料儲存!H5343</f>
        <v>0</v>
      </c>
      <c r="AZ83" s="39">
        <f>資料儲存!I5343</f>
        <v>0</v>
      </c>
      <c r="BA83" s="39">
        <f>資料儲存!J5343</f>
        <v>0</v>
      </c>
    </row>
    <row r="84" spans="1:53" s="59" customFormat="1" ht="16" thickBot="1">
      <c r="A84" s="62">
        <v>3</v>
      </c>
      <c r="B84" s="39">
        <f>資料儲存!D4744</f>
        <v>0</v>
      </c>
      <c r="C84" s="39">
        <f>資料儲存!E4744</f>
        <v>0</v>
      </c>
      <c r="D84" s="39">
        <f>資料儲存!F4744</f>
        <v>0</v>
      </c>
      <c r="E84" s="39">
        <f>資料儲存!G4744</f>
        <v>0</v>
      </c>
      <c r="F84" s="39">
        <f>資料儲存!H4744</f>
        <v>0</v>
      </c>
      <c r="G84" s="39">
        <f>資料儲存!I4744</f>
        <v>0</v>
      </c>
      <c r="H84" s="39">
        <f>資料儲存!J4744</f>
        <v>0</v>
      </c>
      <c r="I84" s="58"/>
      <c r="J84" s="62">
        <v>3</v>
      </c>
      <c r="K84" s="39">
        <f>資料儲存!D4864</f>
        <v>0</v>
      </c>
      <c r="L84" s="39">
        <f>資料儲存!E4864</f>
        <v>0</v>
      </c>
      <c r="M84" s="39">
        <f>資料儲存!F4864</f>
        <v>0</v>
      </c>
      <c r="N84" s="39">
        <f>資料儲存!G4864</f>
        <v>0</v>
      </c>
      <c r="O84" s="39">
        <f>資料儲存!H4864</f>
        <v>0</v>
      </c>
      <c r="P84" s="39">
        <f>資料儲存!I4864</f>
        <v>0</v>
      </c>
      <c r="Q84" s="39">
        <f>資料儲存!J4864</f>
        <v>0</v>
      </c>
      <c r="R84" s="58"/>
      <c r="S84" s="62">
        <v>3</v>
      </c>
      <c r="T84" s="39">
        <f>資料儲存!D4984</f>
        <v>0</v>
      </c>
      <c r="U84" s="39">
        <f>資料儲存!E4984</f>
        <v>0</v>
      </c>
      <c r="V84" s="39">
        <f>資料儲存!F4984</f>
        <v>0</v>
      </c>
      <c r="W84" s="39">
        <f>資料儲存!G4984</f>
        <v>0</v>
      </c>
      <c r="X84" s="39">
        <f>資料儲存!H4984</f>
        <v>0</v>
      </c>
      <c r="Y84" s="39">
        <f>資料儲存!I4984</f>
        <v>0</v>
      </c>
      <c r="Z84" s="39">
        <f>資料儲存!J4984</f>
        <v>0</v>
      </c>
      <c r="AA84" s="58"/>
      <c r="AB84" s="62">
        <v>3</v>
      </c>
      <c r="AC84" s="39">
        <f>資料儲存!D5104</f>
        <v>0</v>
      </c>
      <c r="AD84" s="39">
        <f>資料儲存!E5104</f>
        <v>0</v>
      </c>
      <c r="AE84" s="39">
        <f>資料儲存!F5104</f>
        <v>0</v>
      </c>
      <c r="AF84" s="39">
        <f>資料儲存!G5104</f>
        <v>0</v>
      </c>
      <c r="AG84" s="39">
        <f>資料儲存!H5104</f>
        <v>0</v>
      </c>
      <c r="AH84" s="39">
        <f>資料儲存!I5104</f>
        <v>0</v>
      </c>
      <c r="AI84" s="39">
        <f>資料儲存!J5104</f>
        <v>0</v>
      </c>
      <c r="AJ84" s="58"/>
      <c r="AK84" s="62">
        <v>3</v>
      </c>
      <c r="AL84" s="39">
        <f>資料儲存!D5224</f>
        <v>0</v>
      </c>
      <c r="AM84" s="39">
        <f>資料儲存!E5224</f>
        <v>0</v>
      </c>
      <c r="AN84" s="39">
        <f>資料儲存!F5224</f>
        <v>0</v>
      </c>
      <c r="AO84" s="39">
        <f>資料儲存!G5224</f>
        <v>0</v>
      </c>
      <c r="AP84" s="39">
        <f>資料儲存!H5224</f>
        <v>0</v>
      </c>
      <c r="AQ84" s="39">
        <f>資料儲存!I5224</f>
        <v>0</v>
      </c>
      <c r="AR84" s="39">
        <f>資料儲存!J5224</f>
        <v>0</v>
      </c>
      <c r="AT84" s="62">
        <v>3</v>
      </c>
      <c r="AU84" s="39">
        <f>資料儲存!D5344</f>
        <v>0</v>
      </c>
      <c r="AV84" s="39">
        <f>資料儲存!E5344</f>
        <v>0</v>
      </c>
      <c r="AW84" s="39">
        <f>資料儲存!F5344</f>
        <v>0</v>
      </c>
      <c r="AX84" s="39">
        <f>資料儲存!G5344</f>
        <v>0</v>
      </c>
      <c r="AY84" s="39">
        <f>資料儲存!H5344</f>
        <v>0</v>
      </c>
      <c r="AZ84" s="39">
        <f>資料儲存!I5344</f>
        <v>0</v>
      </c>
      <c r="BA84" s="39">
        <f>資料儲存!J5344</f>
        <v>0</v>
      </c>
    </row>
    <row r="85" spans="1:53" s="59" customFormat="1" ht="16" thickBot="1">
      <c r="A85" s="62">
        <v>4</v>
      </c>
      <c r="B85" s="39">
        <f>資料儲存!D4745</f>
        <v>0</v>
      </c>
      <c r="C85" s="39">
        <f>資料儲存!E4745</f>
        <v>0</v>
      </c>
      <c r="D85" s="39">
        <f>資料儲存!F4745</f>
        <v>0</v>
      </c>
      <c r="E85" s="39">
        <f>資料儲存!G4745</f>
        <v>0</v>
      </c>
      <c r="F85" s="39">
        <f>資料儲存!H4745</f>
        <v>0</v>
      </c>
      <c r="G85" s="39">
        <f>資料儲存!I4745</f>
        <v>0</v>
      </c>
      <c r="H85" s="39">
        <f>資料儲存!J4745</f>
        <v>0</v>
      </c>
      <c r="I85" s="58"/>
      <c r="J85" s="62">
        <v>4</v>
      </c>
      <c r="K85" s="39">
        <f>資料儲存!D4865</f>
        <v>0</v>
      </c>
      <c r="L85" s="39">
        <f>資料儲存!E4865</f>
        <v>0</v>
      </c>
      <c r="M85" s="39">
        <f>資料儲存!F4865</f>
        <v>0</v>
      </c>
      <c r="N85" s="39">
        <f>資料儲存!G4865</f>
        <v>0</v>
      </c>
      <c r="O85" s="39">
        <f>資料儲存!H4865</f>
        <v>0</v>
      </c>
      <c r="P85" s="39">
        <f>資料儲存!I4865</f>
        <v>0</v>
      </c>
      <c r="Q85" s="39">
        <f>資料儲存!J4865</f>
        <v>0</v>
      </c>
      <c r="R85" s="58"/>
      <c r="S85" s="62">
        <v>4</v>
      </c>
      <c r="T85" s="39">
        <f>資料儲存!D4985</f>
        <v>0</v>
      </c>
      <c r="U85" s="39">
        <f>資料儲存!E4985</f>
        <v>0</v>
      </c>
      <c r="V85" s="39">
        <f>資料儲存!F4985</f>
        <v>0</v>
      </c>
      <c r="W85" s="39">
        <f>資料儲存!G4985</f>
        <v>0</v>
      </c>
      <c r="X85" s="39">
        <f>資料儲存!H4985</f>
        <v>0</v>
      </c>
      <c r="Y85" s="39">
        <f>資料儲存!I4985</f>
        <v>0</v>
      </c>
      <c r="Z85" s="39">
        <f>資料儲存!J4985</f>
        <v>0</v>
      </c>
      <c r="AA85" s="58"/>
      <c r="AB85" s="62">
        <v>4</v>
      </c>
      <c r="AC85" s="39">
        <f>資料儲存!D5105</f>
        <v>0</v>
      </c>
      <c r="AD85" s="39">
        <f>資料儲存!E5105</f>
        <v>0</v>
      </c>
      <c r="AE85" s="39">
        <f>資料儲存!F5105</f>
        <v>0</v>
      </c>
      <c r="AF85" s="39">
        <f>資料儲存!G5105</f>
        <v>0</v>
      </c>
      <c r="AG85" s="39">
        <f>資料儲存!H5105</f>
        <v>0</v>
      </c>
      <c r="AH85" s="39">
        <f>資料儲存!I5105</f>
        <v>0</v>
      </c>
      <c r="AI85" s="39">
        <f>資料儲存!J5105</f>
        <v>0</v>
      </c>
      <c r="AJ85" s="58"/>
      <c r="AK85" s="62">
        <v>4</v>
      </c>
      <c r="AL85" s="39">
        <f>資料儲存!D5225</f>
        <v>0</v>
      </c>
      <c r="AM85" s="39">
        <f>資料儲存!E5225</f>
        <v>0</v>
      </c>
      <c r="AN85" s="39">
        <f>資料儲存!F5225</f>
        <v>0</v>
      </c>
      <c r="AO85" s="39">
        <f>資料儲存!G5225</f>
        <v>0</v>
      </c>
      <c r="AP85" s="39">
        <f>資料儲存!H5225</f>
        <v>0</v>
      </c>
      <c r="AQ85" s="39">
        <f>資料儲存!I5225</f>
        <v>0</v>
      </c>
      <c r="AR85" s="39">
        <f>資料儲存!J5225</f>
        <v>0</v>
      </c>
      <c r="AT85" s="62">
        <v>4</v>
      </c>
      <c r="AU85" s="39">
        <f>資料儲存!D5345</f>
        <v>0</v>
      </c>
      <c r="AV85" s="39">
        <f>資料儲存!E5345</f>
        <v>0</v>
      </c>
      <c r="AW85" s="39">
        <f>資料儲存!F5345</f>
        <v>0</v>
      </c>
      <c r="AX85" s="39">
        <f>資料儲存!G5345</f>
        <v>0</v>
      </c>
      <c r="AY85" s="39">
        <f>資料儲存!H5345</f>
        <v>0</v>
      </c>
      <c r="AZ85" s="39">
        <f>資料儲存!I5345</f>
        <v>0</v>
      </c>
      <c r="BA85" s="39">
        <f>資料儲存!J5345</f>
        <v>0</v>
      </c>
    </row>
    <row r="86" spans="1:53" s="59" customFormat="1" ht="16" thickBot="1">
      <c r="A86" s="62">
        <v>5</v>
      </c>
      <c r="B86" s="39">
        <f>資料儲存!D4746</f>
        <v>0</v>
      </c>
      <c r="C86" s="39">
        <f>資料儲存!E4746</f>
        <v>0</v>
      </c>
      <c r="D86" s="39">
        <f>資料儲存!F4746</f>
        <v>0</v>
      </c>
      <c r="E86" s="39">
        <f>資料儲存!G4746</f>
        <v>0</v>
      </c>
      <c r="F86" s="39">
        <f>資料儲存!H4746</f>
        <v>0</v>
      </c>
      <c r="G86" s="39">
        <f>資料儲存!I4746</f>
        <v>0</v>
      </c>
      <c r="H86" s="39">
        <f>資料儲存!J4746</f>
        <v>0</v>
      </c>
      <c r="I86" s="58"/>
      <c r="J86" s="62">
        <v>5</v>
      </c>
      <c r="K86" s="39">
        <f>資料儲存!D4866</f>
        <v>0</v>
      </c>
      <c r="L86" s="39">
        <f>資料儲存!E4866</f>
        <v>0</v>
      </c>
      <c r="M86" s="39">
        <f>資料儲存!F4866</f>
        <v>0</v>
      </c>
      <c r="N86" s="39">
        <f>資料儲存!G4866</f>
        <v>0</v>
      </c>
      <c r="O86" s="39">
        <f>資料儲存!H4866</f>
        <v>0</v>
      </c>
      <c r="P86" s="39">
        <f>資料儲存!I4866</f>
        <v>0</v>
      </c>
      <c r="Q86" s="39">
        <f>資料儲存!J4866</f>
        <v>0</v>
      </c>
      <c r="R86" s="58"/>
      <c r="S86" s="62">
        <v>5</v>
      </c>
      <c r="T86" s="39">
        <f>資料儲存!D4986</f>
        <v>0</v>
      </c>
      <c r="U86" s="39">
        <f>資料儲存!E4986</f>
        <v>0</v>
      </c>
      <c r="V86" s="39">
        <f>資料儲存!F4986</f>
        <v>0</v>
      </c>
      <c r="W86" s="39">
        <f>資料儲存!G4986</f>
        <v>0</v>
      </c>
      <c r="X86" s="39">
        <f>資料儲存!H4986</f>
        <v>0</v>
      </c>
      <c r="Y86" s="39">
        <f>資料儲存!I4986</f>
        <v>0</v>
      </c>
      <c r="Z86" s="39">
        <f>資料儲存!J4986</f>
        <v>0</v>
      </c>
      <c r="AA86" s="58"/>
      <c r="AB86" s="62">
        <v>5</v>
      </c>
      <c r="AC86" s="39">
        <f>資料儲存!D5106</f>
        <v>0</v>
      </c>
      <c r="AD86" s="39">
        <f>資料儲存!E5106</f>
        <v>0</v>
      </c>
      <c r="AE86" s="39">
        <f>資料儲存!F5106</f>
        <v>0</v>
      </c>
      <c r="AF86" s="39">
        <f>資料儲存!G5106</f>
        <v>0</v>
      </c>
      <c r="AG86" s="39">
        <f>資料儲存!H5106</f>
        <v>0</v>
      </c>
      <c r="AH86" s="39">
        <f>資料儲存!I5106</f>
        <v>0</v>
      </c>
      <c r="AI86" s="39">
        <f>資料儲存!J5106</f>
        <v>0</v>
      </c>
      <c r="AJ86" s="58"/>
      <c r="AK86" s="62">
        <v>5</v>
      </c>
      <c r="AL86" s="39">
        <f>資料儲存!D5226</f>
        <v>0</v>
      </c>
      <c r="AM86" s="39">
        <f>資料儲存!E5226</f>
        <v>0</v>
      </c>
      <c r="AN86" s="39">
        <f>資料儲存!F5226</f>
        <v>0</v>
      </c>
      <c r="AO86" s="39">
        <f>資料儲存!G5226</f>
        <v>0</v>
      </c>
      <c r="AP86" s="39">
        <f>資料儲存!H5226</f>
        <v>0</v>
      </c>
      <c r="AQ86" s="39">
        <f>資料儲存!I5226</f>
        <v>0</v>
      </c>
      <c r="AR86" s="39">
        <f>資料儲存!J5226</f>
        <v>0</v>
      </c>
      <c r="AT86" s="62">
        <v>5</v>
      </c>
      <c r="AU86" s="39">
        <f>資料儲存!D5346</f>
        <v>0</v>
      </c>
      <c r="AV86" s="39">
        <f>資料儲存!E5346</f>
        <v>0</v>
      </c>
      <c r="AW86" s="39">
        <f>資料儲存!F5346</f>
        <v>0</v>
      </c>
      <c r="AX86" s="39">
        <f>資料儲存!G5346</f>
        <v>0</v>
      </c>
      <c r="AY86" s="39">
        <f>資料儲存!H5346</f>
        <v>0</v>
      </c>
      <c r="AZ86" s="39">
        <f>資料儲存!I5346</f>
        <v>0</v>
      </c>
      <c r="BA86" s="39">
        <f>資料儲存!J5346</f>
        <v>0</v>
      </c>
    </row>
    <row r="87" spans="1:53" s="59" customFormat="1" ht="16" thickBot="1">
      <c r="A87" s="62">
        <v>6</v>
      </c>
      <c r="B87" s="39">
        <f>資料儲存!D4747</f>
        <v>0</v>
      </c>
      <c r="C87" s="39">
        <f>資料儲存!E4747</f>
        <v>0</v>
      </c>
      <c r="D87" s="39">
        <f>資料儲存!F4747</f>
        <v>0</v>
      </c>
      <c r="E87" s="39">
        <f>資料儲存!G4747</f>
        <v>0</v>
      </c>
      <c r="F87" s="39">
        <f>資料儲存!H4747</f>
        <v>0</v>
      </c>
      <c r="G87" s="39">
        <f>資料儲存!I4747</f>
        <v>0</v>
      </c>
      <c r="H87" s="39">
        <f>資料儲存!J4747</f>
        <v>0</v>
      </c>
      <c r="I87" s="58"/>
      <c r="J87" s="62">
        <v>6</v>
      </c>
      <c r="K87" s="39">
        <f>資料儲存!D4867</f>
        <v>0</v>
      </c>
      <c r="L87" s="39">
        <f>資料儲存!E4867</f>
        <v>0</v>
      </c>
      <c r="M87" s="39">
        <f>資料儲存!F4867</f>
        <v>0</v>
      </c>
      <c r="N87" s="39">
        <f>資料儲存!G4867</f>
        <v>0</v>
      </c>
      <c r="O87" s="39">
        <f>資料儲存!H4867</f>
        <v>0</v>
      </c>
      <c r="P87" s="39">
        <f>資料儲存!I4867</f>
        <v>0</v>
      </c>
      <c r="Q87" s="39">
        <f>資料儲存!J4867</f>
        <v>0</v>
      </c>
      <c r="R87" s="58"/>
      <c r="S87" s="62">
        <v>6</v>
      </c>
      <c r="T87" s="39">
        <f>資料儲存!D4987</f>
        <v>0</v>
      </c>
      <c r="U87" s="39">
        <f>資料儲存!E4987</f>
        <v>0</v>
      </c>
      <c r="V87" s="39">
        <f>資料儲存!F4987</f>
        <v>0</v>
      </c>
      <c r="W87" s="39">
        <f>資料儲存!G4987</f>
        <v>0</v>
      </c>
      <c r="X87" s="39">
        <f>資料儲存!H4987</f>
        <v>0</v>
      </c>
      <c r="Y87" s="39">
        <f>資料儲存!I4987</f>
        <v>0</v>
      </c>
      <c r="Z87" s="39">
        <f>資料儲存!J4987</f>
        <v>0</v>
      </c>
      <c r="AA87" s="58"/>
      <c r="AB87" s="62">
        <v>6</v>
      </c>
      <c r="AC87" s="39">
        <f>資料儲存!D5107</f>
        <v>0</v>
      </c>
      <c r="AD87" s="39">
        <f>資料儲存!E5107</f>
        <v>0</v>
      </c>
      <c r="AE87" s="39">
        <f>資料儲存!F5107</f>
        <v>0</v>
      </c>
      <c r="AF87" s="39">
        <f>資料儲存!G5107</f>
        <v>0</v>
      </c>
      <c r="AG87" s="39">
        <f>資料儲存!H5107</f>
        <v>0</v>
      </c>
      <c r="AH87" s="39">
        <f>資料儲存!I5107</f>
        <v>0</v>
      </c>
      <c r="AI87" s="39">
        <f>資料儲存!J5107</f>
        <v>0</v>
      </c>
      <c r="AJ87" s="58"/>
      <c r="AK87" s="62">
        <v>6</v>
      </c>
      <c r="AL87" s="39">
        <f>資料儲存!D5227</f>
        <v>0</v>
      </c>
      <c r="AM87" s="39">
        <f>資料儲存!E5227</f>
        <v>0</v>
      </c>
      <c r="AN87" s="39">
        <f>資料儲存!F5227</f>
        <v>0</v>
      </c>
      <c r="AO87" s="39">
        <f>資料儲存!G5227</f>
        <v>0</v>
      </c>
      <c r="AP87" s="39">
        <f>資料儲存!H5227</f>
        <v>0</v>
      </c>
      <c r="AQ87" s="39">
        <f>資料儲存!I5227</f>
        <v>0</v>
      </c>
      <c r="AR87" s="39">
        <f>資料儲存!J5227</f>
        <v>0</v>
      </c>
      <c r="AT87" s="62">
        <v>6</v>
      </c>
      <c r="AU87" s="39">
        <f>資料儲存!D5347</f>
        <v>0</v>
      </c>
      <c r="AV87" s="39">
        <f>資料儲存!E5347</f>
        <v>0</v>
      </c>
      <c r="AW87" s="39">
        <f>資料儲存!F5347</f>
        <v>0</v>
      </c>
      <c r="AX87" s="39">
        <f>資料儲存!G5347</f>
        <v>0</v>
      </c>
      <c r="AY87" s="39">
        <f>資料儲存!H5347</f>
        <v>0</v>
      </c>
      <c r="AZ87" s="39">
        <f>資料儲存!I5347</f>
        <v>0</v>
      </c>
      <c r="BA87" s="39">
        <f>資料儲存!J5347</f>
        <v>0</v>
      </c>
    </row>
    <row r="88" spans="1:53" s="59" customFormat="1" ht="16" thickBot="1">
      <c r="A88" s="62">
        <v>7</v>
      </c>
      <c r="B88" s="39">
        <f>資料儲存!D4748</f>
        <v>0</v>
      </c>
      <c r="C88" s="39">
        <f>資料儲存!E4748</f>
        <v>0</v>
      </c>
      <c r="D88" s="39">
        <f>資料儲存!F4748</f>
        <v>0</v>
      </c>
      <c r="E88" s="39">
        <f>資料儲存!G4748</f>
        <v>0</v>
      </c>
      <c r="F88" s="39">
        <f>資料儲存!H4748</f>
        <v>0</v>
      </c>
      <c r="G88" s="39">
        <f>資料儲存!I4748</f>
        <v>0</v>
      </c>
      <c r="H88" s="39">
        <f>資料儲存!J4748</f>
        <v>0</v>
      </c>
      <c r="I88" s="58"/>
      <c r="J88" s="62">
        <v>7</v>
      </c>
      <c r="K88" s="39">
        <f>資料儲存!D4868</f>
        <v>0</v>
      </c>
      <c r="L88" s="39">
        <f>資料儲存!E4868</f>
        <v>0</v>
      </c>
      <c r="M88" s="39">
        <f>資料儲存!F4868</f>
        <v>0</v>
      </c>
      <c r="N88" s="39">
        <f>資料儲存!G4868</f>
        <v>0</v>
      </c>
      <c r="O88" s="39">
        <f>資料儲存!H4868</f>
        <v>0</v>
      </c>
      <c r="P88" s="39">
        <f>資料儲存!I4868</f>
        <v>0</v>
      </c>
      <c r="Q88" s="39">
        <f>資料儲存!J4868</f>
        <v>0</v>
      </c>
      <c r="R88" s="58"/>
      <c r="S88" s="62">
        <v>7</v>
      </c>
      <c r="T88" s="39">
        <f>資料儲存!D4988</f>
        <v>0</v>
      </c>
      <c r="U88" s="39">
        <f>資料儲存!E4988</f>
        <v>0</v>
      </c>
      <c r="V88" s="39">
        <f>資料儲存!F4988</f>
        <v>0</v>
      </c>
      <c r="W88" s="39">
        <f>資料儲存!G4988</f>
        <v>0</v>
      </c>
      <c r="X88" s="39">
        <f>資料儲存!H4988</f>
        <v>0</v>
      </c>
      <c r="Y88" s="39">
        <f>資料儲存!I4988</f>
        <v>0</v>
      </c>
      <c r="Z88" s="39">
        <f>資料儲存!J4988</f>
        <v>0</v>
      </c>
      <c r="AA88" s="58"/>
      <c r="AB88" s="62">
        <v>7</v>
      </c>
      <c r="AC88" s="39">
        <f>資料儲存!D5108</f>
        <v>0</v>
      </c>
      <c r="AD88" s="39">
        <f>資料儲存!E5108</f>
        <v>0</v>
      </c>
      <c r="AE88" s="39">
        <f>資料儲存!F5108</f>
        <v>0</v>
      </c>
      <c r="AF88" s="39">
        <f>資料儲存!G5108</f>
        <v>0</v>
      </c>
      <c r="AG88" s="39">
        <f>資料儲存!H5108</f>
        <v>0</v>
      </c>
      <c r="AH88" s="39">
        <f>資料儲存!I5108</f>
        <v>0</v>
      </c>
      <c r="AI88" s="39">
        <f>資料儲存!J5108</f>
        <v>0</v>
      </c>
      <c r="AJ88" s="58"/>
      <c r="AK88" s="62">
        <v>7</v>
      </c>
      <c r="AL88" s="39">
        <f>資料儲存!D5228</f>
        <v>0</v>
      </c>
      <c r="AM88" s="39">
        <f>資料儲存!E5228</f>
        <v>0</v>
      </c>
      <c r="AN88" s="39">
        <f>資料儲存!F5228</f>
        <v>0</v>
      </c>
      <c r="AO88" s="39">
        <f>資料儲存!G5228</f>
        <v>0</v>
      </c>
      <c r="AP88" s="39">
        <f>資料儲存!H5228</f>
        <v>0</v>
      </c>
      <c r="AQ88" s="39">
        <f>資料儲存!I5228</f>
        <v>0</v>
      </c>
      <c r="AR88" s="39">
        <f>資料儲存!J5228</f>
        <v>0</v>
      </c>
      <c r="AT88" s="62">
        <v>7</v>
      </c>
      <c r="AU88" s="39">
        <f>資料儲存!D5348</f>
        <v>0</v>
      </c>
      <c r="AV88" s="39">
        <f>資料儲存!E5348</f>
        <v>0</v>
      </c>
      <c r="AW88" s="39">
        <f>資料儲存!F5348</f>
        <v>0</v>
      </c>
      <c r="AX88" s="39">
        <f>資料儲存!G5348</f>
        <v>0</v>
      </c>
      <c r="AY88" s="39">
        <f>資料儲存!H5348</f>
        <v>0</v>
      </c>
      <c r="AZ88" s="39">
        <f>資料儲存!I5348</f>
        <v>0</v>
      </c>
      <c r="BA88" s="39">
        <f>資料儲存!J5348</f>
        <v>0</v>
      </c>
    </row>
    <row r="89" spans="1:53" s="59" customFormat="1" ht="16" thickBot="1">
      <c r="A89" s="62">
        <v>8</v>
      </c>
      <c r="B89" s="39">
        <f>資料儲存!D4749</f>
        <v>0</v>
      </c>
      <c r="C89" s="39">
        <f>資料儲存!E4749</f>
        <v>0</v>
      </c>
      <c r="D89" s="39">
        <f>資料儲存!F4749</f>
        <v>0</v>
      </c>
      <c r="E89" s="39">
        <f>資料儲存!G4749</f>
        <v>0</v>
      </c>
      <c r="F89" s="39">
        <f>資料儲存!H4749</f>
        <v>0</v>
      </c>
      <c r="G89" s="39">
        <f>資料儲存!I4749</f>
        <v>0</v>
      </c>
      <c r="H89" s="39">
        <f>資料儲存!J4749</f>
        <v>0</v>
      </c>
      <c r="I89" s="58"/>
      <c r="J89" s="62">
        <v>8</v>
      </c>
      <c r="K89" s="39">
        <f>資料儲存!D4869</f>
        <v>0</v>
      </c>
      <c r="L89" s="39">
        <f>資料儲存!E4869</f>
        <v>0</v>
      </c>
      <c r="M89" s="39">
        <f>資料儲存!F4869</f>
        <v>0</v>
      </c>
      <c r="N89" s="39">
        <f>資料儲存!G4869</f>
        <v>0</v>
      </c>
      <c r="O89" s="39">
        <f>資料儲存!H4869</f>
        <v>0</v>
      </c>
      <c r="P89" s="39">
        <f>資料儲存!I4869</f>
        <v>0</v>
      </c>
      <c r="Q89" s="39">
        <f>資料儲存!J4869</f>
        <v>0</v>
      </c>
      <c r="R89" s="58"/>
      <c r="S89" s="62">
        <v>8</v>
      </c>
      <c r="T89" s="39">
        <f>資料儲存!D4989</f>
        <v>0</v>
      </c>
      <c r="U89" s="39">
        <f>資料儲存!E4989</f>
        <v>0</v>
      </c>
      <c r="V89" s="39">
        <f>資料儲存!F4989</f>
        <v>0</v>
      </c>
      <c r="W89" s="39">
        <f>資料儲存!G4989</f>
        <v>0</v>
      </c>
      <c r="X89" s="39">
        <f>資料儲存!H4989</f>
        <v>0</v>
      </c>
      <c r="Y89" s="39">
        <f>資料儲存!I4989</f>
        <v>0</v>
      </c>
      <c r="Z89" s="39">
        <f>資料儲存!J4989</f>
        <v>0</v>
      </c>
      <c r="AA89" s="58"/>
      <c r="AB89" s="62">
        <v>8</v>
      </c>
      <c r="AC89" s="39">
        <f>資料儲存!D5109</f>
        <v>0</v>
      </c>
      <c r="AD89" s="39">
        <f>資料儲存!E5109</f>
        <v>0</v>
      </c>
      <c r="AE89" s="39">
        <f>資料儲存!F5109</f>
        <v>0</v>
      </c>
      <c r="AF89" s="39">
        <f>資料儲存!G5109</f>
        <v>0</v>
      </c>
      <c r="AG89" s="39">
        <f>資料儲存!H5109</f>
        <v>0</v>
      </c>
      <c r="AH89" s="39">
        <f>資料儲存!I5109</f>
        <v>0</v>
      </c>
      <c r="AI89" s="39">
        <f>資料儲存!J5109</f>
        <v>0</v>
      </c>
      <c r="AJ89" s="58"/>
      <c r="AK89" s="62">
        <v>8</v>
      </c>
      <c r="AL89" s="39">
        <f>資料儲存!D5229</f>
        <v>0</v>
      </c>
      <c r="AM89" s="39">
        <f>資料儲存!E5229</f>
        <v>0</v>
      </c>
      <c r="AN89" s="39">
        <f>資料儲存!F5229</f>
        <v>0</v>
      </c>
      <c r="AO89" s="39">
        <f>資料儲存!G5229</f>
        <v>0</v>
      </c>
      <c r="AP89" s="39">
        <f>資料儲存!H5229</f>
        <v>0</v>
      </c>
      <c r="AQ89" s="39">
        <f>資料儲存!I5229</f>
        <v>0</v>
      </c>
      <c r="AR89" s="39">
        <f>資料儲存!J5229</f>
        <v>0</v>
      </c>
      <c r="AT89" s="62">
        <v>8</v>
      </c>
      <c r="AU89" s="39">
        <f>資料儲存!D5349</f>
        <v>0</v>
      </c>
      <c r="AV89" s="39">
        <f>資料儲存!E5349</f>
        <v>0</v>
      </c>
      <c r="AW89" s="39">
        <f>資料儲存!F5349</f>
        <v>0</v>
      </c>
      <c r="AX89" s="39">
        <f>資料儲存!G5349</f>
        <v>0</v>
      </c>
      <c r="AY89" s="39">
        <f>資料儲存!H5349</f>
        <v>0</v>
      </c>
      <c r="AZ89" s="39">
        <f>資料儲存!I5349</f>
        <v>0</v>
      </c>
      <c r="BA89" s="39">
        <f>資料儲存!J5349</f>
        <v>0</v>
      </c>
    </row>
    <row r="90" spans="1:53" s="59" customFormat="1" ht="16" thickBot="1">
      <c r="A90" s="62">
        <v>9</v>
      </c>
      <c r="B90" s="39">
        <f>資料儲存!D4750</f>
        <v>0</v>
      </c>
      <c r="C90" s="39">
        <f>資料儲存!E4750</f>
        <v>0</v>
      </c>
      <c r="D90" s="39">
        <f>資料儲存!F4750</f>
        <v>0</v>
      </c>
      <c r="E90" s="39">
        <f>資料儲存!G4750</f>
        <v>0</v>
      </c>
      <c r="F90" s="39">
        <f>資料儲存!H4750</f>
        <v>0</v>
      </c>
      <c r="G90" s="39">
        <f>資料儲存!I4750</f>
        <v>0</v>
      </c>
      <c r="H90" s="39">
        <f>資料儲存!J4750</f>
        <v>0</v>
      </c>
      <c r="I90" s="58"/>
      <c r="J90" s="62">
        <v>9</v>
      </c>
      <c r="K90" s="39">
        <f>資料儲存!D4870</f>
        <v>0</v>
      </c>
      <c r="L90" s="39">
        <f>資料儲存!E4870</f>
        <v>0</v>
      </c>
      <c r="M90" s="39">
        <f>資料儲存!F4870</f>
        <v>0</v>
      </c>
      <c r="N90" s="39">
        <f>資料儲存!G4870</f>
        <v>0</v>
      </c>
      <c r="O90" s="39">
        <f>資料儲存!H4870</f>
        <v>0</v>
      </c>
      <c r="P90" s="39">
        <f>資料儲存!I4870</f>
        <v>0</v>
      </c>
      <c r="Q90" s="39">
        <f>資料儲存!J4870</f>
        <v>0</v>
      </c>
      <c r="R90" s="58"/>
      <c r="S90" s="62">
        <v>9</v>
      </c>
      <c r="T90" s="39">
        <f>資料儲存!D4990</f>
        <v>0</v>
      </c>
      <c r="U90" s="39">
        <f>資料儲存!E4990</f>
        <v>0</v>
      </c>
      <c r="V90" s="39">
        <f>資料儲存!F4990</f>
        <v>0</v>
      </c>
      <c r="W90" s="39">
        <f>資料儲存!G4990</f>
        <v>0</v>
      </c>
      <c r="X90" s="39">
        <f>資料儲存!H4990</f>
        <v>0</v>
      </c>
      <c r="Y90" s="39">
        <f>資料儲存!I4990</f>
        <v>0</v>
      </c>
      <c r="Z90" s="39">
        <f>資料儲存!J4990</f>
        <v>0</v>
      </c>
      <c r="AA90" s="58"/>
      <c r="AB90" s="62">
        <v>9</v>
      </c>
      <c r="AC90" s="39">
        <f>資料儲存!D5110</f>
        <v>0</v>
      </c>
      <c r="AD90" s="39">
        <f>資料儲存!E5110</f>
        <v>0</v>
      </c>
      <c r="AE90" s="39">
        <f>資料儲存!F5110</f>
        <v>0</v>
      </c>
      <c r="AF90" s="39">
        <f>資料儲存!G5110</f>
        <v>0</v>
      </c>
      <c r="AG90" s="39">
        <f>資料儲存!H5110</f>
        <v>0</v>
      </c>
      <c r="AH90" s="39">
        <f>資料儲存!I5110</f>
        <v>0</v>
      </c>
      <c r="AI90" s="39">
        <f>資料儲存!J5110</f>
        <v>0</v>
      </c>
      <c r="AJ90" s="58"/>
      <c r="AK90" s="62">
        <v>9</v>
      </c>
      <c r="AL90" s="39">
        <f>資料儲存!D5230</f>
        <v>0</v>
      </c>
      <c r="AM90" s="39">
        <f>資料儲存!E5230</f>
        <v>0</v>
      </c>
      <c r="AN90" s="39">
        <f>資料儲存!F5230</f>
        <v>0</v>
      </c>
      <c r="AO90" s="39">
        <f>資料儲存!G5230</f>
        <v>0</v>
      </c>
      <c r="AP90" s="39">
        <f>資料儲存!H5230</f>
        <v>0</v>
      </c>
      <c r="AQ90" s="39">
        <f>資料儲存!I5230</f>
        <v>0</v>
      </c>
      <c r="AR90" s="39">
        <f>資料儲存!J5230</f>
        <v>0</v>
      </c>
      <c r="AT90" s="62">
        <v>9</v>
      </c>
      <c r="AU90" s="39">
        <f>資料儲存!D5350</f>
        <v>0</v>
      </c>
      <c r="AV90" s="39">
        <f>資料儲存!E5350</f>
        <v>0</v>
      </c>
      <c r="AW90" s="39">
        <f>資料儲存!F5350</f>
        <v>0</v>
      </c>
      <c r="AX90" s="39">
        <f>資料儲存!G5350</f>
        <v>0</v>
      </c>
      <c r="AY90" s="39">
        <f>資料儲存!H5350</f>
        <v>0</v>
      </c>
      <c r="AZ90" s="39">
        <f>資料儲存!I5350</f>
        <v>0</v>
      </c>
      <c r="BA90" s="39">
        <f>資料儲存!J5350</f>
        <v>0</v>
      </c>
    </row>
    <row r="91" spans="1:53" s="59" customFormat="1" ht="16" thickBot="1">
      <c r="A91" s="62">
        <v>10</v>
      </c>
      <c r="B91" s="39">
        <f>資料儲存!D4751</f>
        <v>0</v>
      </c>
      <c r="C91" s="39">
        <f>資料儲存!E4751</f>
        <v>0</v>
      </c>
      <c r="D91" s="39">
        <f>資料儲存!F4751</f>
        <v>0</v>
      </c>
      <c r="E91" s="39">
        <f>資料儲存!G4751</f>
        <v>0</v>
      </c>
      <c r="F91" s="39">
        <f>資料儲存!H4751</f>
        <v>0</v>
      </c>
      <c r="G91" s="39">
        <f>資料儲存!I4751</f>
        <v>0</v>
      </c>
      <c r="H91" s="39">
        <f>資料儲存!J4751</f>
        <v>0</v>
      </c>
      <c r="I91" s="58"/>
      <c r="J91" s="62">
        <v>10</v>
      </c>
      <c r="K91" s="39">
        <f>資料儲存!D4871</f>
        <v>0</v>
      </c>
      <c r="L91" s="39">
        <f>資料儲存!E4871</f>
        <v>0</v>
      </c>
      <c r="M91" s="39">
        <f>資料儲存!F4871</f>
        <v>0</v>
      </c>
      <c r="N91" s="39">
        <f>資料儲存!G4871</f>
        <v>0</v>
      </c>
      <c r="O91" s="39">
        <f>資料儲存!H4871</f>
        <v>0</v>
      </c>
      <c r="P91" s="39">
        <f>資料儲存!I4871</f>
        <v>0</v>
      </c>
      <c r="Q91" s="39">
        <f>資料儲存!J4871</f>
        <v>0</v>
      </c>
      <c r="R91" s="58"/>
      <c r="S91" s="62">
        <v>10</v>
      </c>
      <c r="T91" s="39">
        <f>資料儲存!D4991</f>
        <v>0</v>
      </c>
      <c r="U91" s="39">
        <f>資料儲存!E4991</f>
        <v>0</v>
      </c>
      <c r="V91" s="39">
        <f>資料儲存!F4991</f>
        <v>0</v>
      </c>
      <c r="W91" s="39">
        <f>資料儲存!G4991</f>
        <v>0</v>
      </c>
      <c r="X91" s="39">
        <f>資料儲存!H4991</f>
        <v>0</v>
      </c>
      <c r="Y91" s="39">
        <f>資料儲存!I4991</f>
        <v>0</v>
      </c>
      <c r="Z91" s="39">
        <f>資料儲存!J4991</f>
        <v>0</v>
      </c>
      <c r="AA91" s="58"/>
      <c r="AB91" s="62">
        <v>10</v>
      </c>
      <c r="AC91" s="39">
        <f>資料儲存!D5111</f>
        <v>0</v>
      </c>
      <c r="AD91" s="39">
        <f>資料儲存!E5111</f>
        <v>0</v>
      </c>
      <c r="AE91" s="39">
        <f>資料儲存!F5111</f>
        <v>0</v>
      </c>
      <c r="AF91" s="39">
        <f>資料儲存!G5111</f>
        <v>0</v>
      </c>
      <c r="AG91" s="39">
        <f>資料儲存!H5111</f>
        <v>0</v>
      </c>
      <c r="AH91" s="39">
        <f>資料儲存!I5111</f>
        <v>0</v>
      </c>
      <c r="AI91" s="39">
        <f>資料儲存!J5111</f>
        <v>0</v>
      </c>
      <c r="AJ91" s="58"/>
      <c r="AK91" s="62">
        <v>10</v>
      </c>
      <c r="AL91" s="39">
        <f>資料儲存!D5231</f>
        <v>0</v>
      </c>
      <c r="AM91" s="39">
        <f>資料儲存!E5231</f>
        <v>0</v>
      </c>
      <c r="AN91" s="39">
        <f>資料儲存!F5231</f>
        <v>0</v>
      </c>
      <c r="AO91" s="39">
        <f>資料儲存!G5231</f>
        <v>0</v>
      </c>
      <c r="AP91" s="39">
        <f>資料儲存!H5231</f>
        <v>0</v>
      </c>
      <c r="AQ91" s="39">
        <f>資料儲存!I5231</f>
        <v>0</v>
      </c>
      <c r="AR91" s="39">
        <f>資料儲存!J5231</f>
        <v>0</v>
      </c>
      <c r="AT91" s="62">
        <v>10</v>
      </c>
      <c r="AU91" s="39">
        <f>資料儲存!D5351</f>
        <v>0</v>
      </c>
      <c r="AV91" s="39">
        <f>資料儲存!E5351</f>
        <v>0</v>
      </c>
      <c r="AW91" s="39">
        <f>資料儲存!F5351</f>
        <v>0</v>
      </c>
      <c r="AX91" s="39">
        <f>資料儲存!G5351</f>
        <v>0</v>
      </c>
      <c r="AY91" s="39">
        <f>資料儲存!H5351</f>
        <v>0</v>
      </c>
      <c r="AZ91" s="39">
        <f>資料儲存!I5351</f>
        <v>0</v>
      </c>
      <c r="BA91" s="39">
        <f>資料儲存!J5351</f>
        <v>0</v>
      </c>
    </row>
    <row r="92" spans="1:53" s="59" customFormat="1" ht="16" thickBot="1">
      <c r="A92" s="62">
        <v>11</v>
      </c>
      <c r="B92" s="39">
        <f>資料儲存!D4752</f>
        <v>0</v>
      </c>
      <c r="C92" s="39">
        <f>資料儲存!E4752</f>
        <v>0</v>
      </c>
      <c r="D92" s="39">
        <f>資料儲存!F4752</f>
        <v>0</v>
      </c>
      <c r="E92" s="39">
        <f>資料儲存!G4752</f>
        <v>0</v>
      </c>
      <c r="F92" s="39">
        <f>資料儲存!H4752</f>
        <v>0</v>
      </c>
      <c r="G92" s="39">
        <f>資料儲存!I4752</f>
        <v>0</v>
      </c>
      <c r="H92" s="39">
        <f>資料儲存!J4752</f>
        <v>0</v>
      </c>
      <c r="I92" s="58"/>
      <c r="J92" s="62">
        <v>11</v>
      </c>
      <c r="K92" s="39">
        <f>資料儲存!D4872</f>
        <v>0</v>
      </c>
      <c r="L92" s="39">
        <f>資料儲存!E4872</f>
        <v>0</v>
      </c>
      <c r="M92" s="39">
        <f>資料儲存!F4872</f>
        <v>0</v>
      </c>
      <c r="N92" s="39">
        <f>資料儲存!G4872</f>
        <v>0</v>
      </c>
      <c r="O92" s="39">
        <f>資料儲存!H4872</f>
        <v>0</v>
      </c>
      <c r="P92" s="39">
        <f>資料儲存!I4872</f>
        <v>0</v>
      </c>
      <c r="Q92" s="39">
        <f>資料儲存!J4872</f>
        <v>0</v>
      </c>
      <c r="R92" s="58"/>
      <c r="S92" s="62">
        <v>11</v>
      </c>
      <c r="T92" s="39">
        <f>資料儲存!D4992</f>
        <v>0</v>
      </c>
      <c r="U92" s="39">
        <f>資料儲存!E4992</f>
        <v>0</v>
      </c>
      <c r="V92" s="39">
        <f>資料儲存!F4992</f>
        <v>0</v>
      </c>
      <c r="W92" s="39">
        <f>資料儲存!G4992</f>
        <v>0</v>
      </c>
      <c r="X92" s="39">
        <f>資料儲存!H4992</f>
        <v>0</v>
      </c>
      <c r="Y92" s="39">
        <f>資料儲存!I4992</f>
        <v>0</v>
      </c>
      <c r="Z92" s="39">
        <f>資料儲存!J4992</f>
        <v>0</v>
      </c>
      <c r="AA92" s="58"/>
      <c r="AB92" s="62">
        <v>11</v>
      </c>
      <c r="AC92" s="39">
        <f>資料儲存!D5112</f>
        <v>0</v>
      </c>
      <c r="AD92" s="39">
        <f>資料儲存!E5112</f>
        <v>0</v>
      </c>
      <c r="AE92" s="39">
        <f>資料儲存!F5112</f>
        <v>0</v>
      </c>
      <c r="AF92" s="39">
        <f>資料儲存!G5112</f>
        <v>0</v>
      </c>
      <c r="AG92" s="39">
        <f>資料儲存!H5112</f>
        <v>0</v>
      </c>
      <c r="AH92" s="39">
        <f>資料儲存!I5112</f>
        <v>0</v>
      </c>
      <c r="AI92" s="39">
        <f>資料儲存!J5112</f>
        <v>0</v>
      </c>
      <c r="AJ92" s="58"/>
      <c r="AK92" s="62">
        <v>11</v>
      </c>
      <c r="AL92" s="39">
        <f>資料儲存!D5232</f>
        <v>0</v>
      </c>
      <c r="AM92" s="39">
        <f>資料儲存!E5232</f>
        <v>0</v>
      </c>
      <c r="AN92" s="39">
        <f>資料儲存!F5232</f>
        <v>0</v>
      </c>
      <c r="AO92" s="39">
        <f>資料儲存!G5232</f>
        <v>0</v>
      </c>
      <c r="AP92" s="39">
        <f>資料儲存!H5232</f>
        <v>0</v>
      </c>
      <c r="AQ92" s="39">
        <f>資料儲存!I5232</f>
        <v>0</v>
      </c>
      <c r="AR92" s="39">
        <f>資料儲存!J5232</f>
        <v>0</v>
      </c>
      <c r="AT92" s="62">
        <v>11</v>
      </c>
      <c r="AU92" s="39">
        <f>資料儲存!D5352</f>
        <v>0</v>
      </c>
      <c r="AV92" s="39">
        <f>資料儲存!E5352</f>
        <v>0</v>
      </c>
      <c r="AW92" s="39">
        <f>資料儲存!F5352</f>
        <v>0</v>
      </c>
      <c r="AX92" s="39">
        <f>資料儲存!G5352</f>
        <v>0</v>
      </c>
      <c r="AY92" s="39">
        <f>資料儲存!H5352</f>
        <v>0</v>
      </c>
      <c r="AZ92" s="39">
        <f>資料儲存!I5352</f>
        <v>0</v>
      </c>
      <c r="BA92" s="39">
        <f>資料儲存!J5352</f>
        <v>0</v>
      </c>
    </row>
    <row r="93" spans="1:53" s="59" customFormat="1" ht="16" thickBot="1">
      <c r="A93" s="62">
        <v>12</v>
      </c>
      <c r="B93" s="39">
        <f>資料儲存!D4753</f>
        <v>0</v>
      </c>
      <c r="C93" s="39">
        <f>資料儲存!E4753</f>
        <v>0</v>
      </c>
      <c r="D93" s="39">
        <f>資料儲存!F4753</f>
        <v>0</v>
      </c>
      <c r="E93" s="39">
        <f>資料儲存!G4753</f>
        <v>0</v>
      </c>
      <c r="F93" s="39">
        <f>資料儲存!H4753</f>
        <v>0</v>
      </c>
      <c r="G93" s="39">
        <f>資料儲存!I4753</f>
        <v>0</v>
      </c>
      <c r="H93" s="39">
        <f>資料儲存!J4753</f>
        <v>0</v>
      </c>
      <c r="I93" s="58"/>
      <c r="J93" s="62">
        <v>12</v>
      </c>
      <c r="K93" s="39">
        <f>資料儲存!D4873</f>
        <v>0</v>
      </c>
      <c r="L93" s="39">
        <f>資料儲存!E4873</f>
        <v>0</v>
      </c>
      <c r="M93" s="39">
        <f>資料儲存!F4873</f>
        <v>0</v>
      </c>
      <c r="N93" s="39">
        <f>資料儲存!G4873</f>
        <v>0</v>
      </c>
      <c r="O93" s="39">
        <f>資料儲存!H4873</f>
        <v>0</v>
      </c>
      <c r="P93" s="39">
        <f>資料儲存!I4873</f>
        <v>0</v>
      </c>
      <c r="Q93" s="39">
        <f>資料儲存!J4873</f>
        <v>0</v>
      </c>
      <c r="R93" s="58"/>
      <c r="S93" s="62">
        <v>12</v>
      </c>
      <c r="T93" s="39">
        <f>資料儲存!D4993</f>
        <v>0</v>
      </c>
      <c r="U93" s="39">
        <f>資料儲存!E4993</f>
        <v>0</v>
      </c>
      <c r="V93" s="39">
        <f>資料儲存!F4993</f>
        <v>0</v>
      </c>
      <c r="W93" s="39">
        <f>資料儲存!G4993</f>
        <v>0</v>
      </c>
      <c r="X93" s="39">
        <f>資料儲存!H4993</f>
        <v>0</v>
      </c>
      <c r="Y93" s="39">
        <f>資料儲存!I4993</f>
        <v>0</v>
      </c>
      <c r="Z93" s="39">
        <f>資料儲存!J4993</f>
        <v>0</v>
      </c>
      <c r="AA93" s="58"/>
      <c r="AB93" s="62">
        <v>12</v>
      </c>
      <c r="AC93" s="39">
        <f>資料儲存!D5113</f>
        <v>0</v>
      </c>
      <c r="AD93" s="39">
        <f>資料儲存!E5113</f>
        <v>0</v>
      </c>
      <c r="AE93" s="39">
        <f>資料儲存!F5113</f>
        <v>0</v>
      </c>
      <c r="AF93" s="39">
        <f>資料儲存!G5113</f>
        <v>0</v>
      </c>
      <c r="AG93" s="39">
        <f>資料儲存!H5113</f>
        <v>0</v>
      </c>
      <c r="AH93" s="39">
        <f>資料儲存!I5113</f>
        <v>0</v>
      </c>
      <c r="AI93" s="39">
        <f>資料儲存!J5113</f>
        <v>0</v>
      </c>
      <c r="AJ93" s="58"/>
      <c r="AK93" s="62">
        <v>12</v>
      </c>
      <c r="AL93" s="39">
        <f>資料儲存!D5233</f>
        <v>0</v>
      </c>
      <c r="AM93" s="39">
        <f>資料儲存!E5233</f>
        <v>0</v>
      </c>
      <c r="AN93" s="39">
        <f>資料儲存!F5233</f>
        <v>0</v>
      </c>
      <c r="AO93" s="39">
        <f>資料儲存!G5233</f>
        <v>0</v>
      </c>
      <c r="AP93" s="39">
        <f>資料儲存!H5233</f>
        <v>0</v>
      </c>
      <c r="AQ93" s="39">
        <f>資料儲存!I5233</f>
        <v>0</v>
      </c>
      <c r="AR93" s="39">
        <f>資料儲存!J5233</f>
        <v>0</v>
      </c>
      <c r="AT93" s="62">
        <v>12</v>
      </c>
      <c r="AU93" s="39">
        <f>資料儲存!D5353</f>
        <v>0</v>
      </c>
      <c r="AV93" s="39">
        <f>資料儲存!E5353</f>
        <v>0</v>
      </c>
      <c r="AW93" s="39">
        <f>資料儲存!F5353</f>
        <v>0</v>
      </c>
      <c r="AX93" s="39">
        <f>資料儲存!G5353</f>
        <v>0</v>
      </c>
      <c r="AY93" s="39">
        <f>資料儲存!H5353</f>
        <v>0</v>
      </c>
      <c r="AZ93" s="39">
        <f>資料儲存!I5353</f>
        <v>0</v>
      </c>
      <c r="BA93" s="39">
        <f>資料儲存!J5353</f>
        <v>0</v>
      </c>
    </row>
    <row r="94" spans="1:53" s="59" customFormat="1" ht="16" thickBot="1">
      <c r="A94" s="62">
        <v>13</v>
      </c>
      <c r="B94" s="39">
        <f>資料儲存!D4754</f>
        <v>0</v>
      </c>
      <c r="C94" s="39">
        <f>資料儲存!E4754</f>
        <v>0</v>
      </c>
      <c r="D94" s="39">
        <f>資料儲存!F4754</f>
        <v>0</v>
      </c>
      <c r="E94" s="39">
        <f>資料儲存!G4754</f>
        <v>0</v>
      </c>
      <c r="F94" s="39">
        <f>資料儲存!H4754</f>
        <v>0</v>
      </c>
      <c r="G94" s="39">
        <f>資料儲存!I4754</f>
        <v>0</v>
      </c>
      <c r="H94" s="39">
        <f>資料儲存!J4754</f>
        <v>0</v>
      </c>
      <c r="I94" s="58"/>
      <c r="J94" s="62">
        <v>13</v>
      </c>
      <c r="K94" s="39">
        <f>資料儲存!D4874</f>
        <v>0</v>
      </c>
      <c r="L94" s="39">
        <f>資料儲存!E4874</f>
        <v>0</v>
      </c>
      <c r="M94" s="39">
        <f>資料儲存!F4874</f>
        <v>0</v>
      </c>
      <c r="N94" s="39">
        <f>資料儲存!G4874</f>
        <v>0</v>
      </c>
      <c r="O94" s="39">
        <f>資料儲存!H4874</f>
        <v>0</v>
      </c>
      <c r="P94" s="39">
        <f>資料儲存!I4874</f>
        <v>0</v>
      </c>
      <c r="Q94" s="39">
        <f>資料儲存!J4874</f>
        <v>0</v>
      </c>
      <c r="R94" s="58"/>
      <c r="S94" s="62">
        <v>13</v>
      </c>
      <c r="T94" s="39">
        <f>資料儲存!D4994</f>
        <v>0</v>
      </c>
      <c r="U94" s="39">
        <f>資料儲存!E4994</f>
        <v>0</v>
      </c>
      <c r="V94" s="39">
        <f>資料儲存!F4994</f>
        <v>0</v>
      </c>
      <c r="W94" s="39">
        <f>資料儲存!G4994</f>
        <v>0</v>
      </c>
      <c r="X94" s="39">
        <f>資料儲存!H4994</f>
        <v>0</v>
      </c>
      <c r="Y94" s="39">
        <f>資料儲存!I4994</f>
        <v>0</v>
      </c>
      <c r="Z94" s="39">
        <f>資料儲存!J4994</f>
        <v>0</v>
      </c>
      <c r="AA94" s="58"/>
      <c r="AB94" s="62">
        <v>13</v>
      </c>
      <c r="AC94" s="39">
        <f>資料儲存!D5114</f>
        <v>0</v>
      </c>
      <c r="AD94" s="39">
        <f>資料儲存!E5114</f>
        <v>0</v>
      </c>
      <c r="AE94" s="39">
        <f>資料儲存!F5114</f>
        <v>0</v>
      </c>
      <c r="AF94" s="39">
        <f>資料儲存!G5114</f>
        <v>0</v>
      </c>
      <c r="AG94" s="39">
        <f>資料儲存!H5114</f>
        <v>0</v>
      </c>
      <c r="AH94" s="39">
        <f>資料儲存!I5114</f>
        <v>0</v>
      </c>
      <c r="AI94" s="39">
        <f>資料儲存!J5114</f>
        <v>0</v>
      </c>
      <c r="AJ94" s="58"/>
      <c r="AK94" s="62">
        <v>13</v>
      </c>
      <c r="AL94" s="39">
        <f>資料儲存!D5234</f>
        <v>0</v>
      </c>
      <c r="AM94" s="39">
        <f>資料儲存!E5234</f>
        <v>0</v>
      </c>
      <c r="AN94" s="39">
        <f>資料儲存!F5234</f>
        <v>0</v>
      </c>
      <c r="AO94" s="39">
        <f>資料儲存!G5234</f>
        <v>0</v>
      </c>
      <c r="AP94" s="39">
        <f>資料儲存!H5234</f>
        <v>0</v>
      </c>
      <c r="AQ94" s="39">
        <f>資料儲存!I5234</f>
        <v>0</v>
      </c>
      <c r="AR94" s="39">
        <f>資料儲存!J5234</f>
        <v>0</v>
      </c>
      <c r="AT94" s="62">
        <v>13</v>
      </c>
      <c r="AU94" s="39">
        <f>資料儲存!D5354</f>
        <v>0</v>
      </c>
      <c r="AV94" s="39">
        <f>資料儲存!E5354</f>
        <v>0</v>
      </c>
      <c r="AW94" s="39">
        <f>資料儲存!F5354</f>
        <v>0</v>
      </c>
      <c r="AX94" s="39">
        <f>資料儲存!G5354</f>
        <v>0</v>
      </c>
      <c r="AY94" s="39">
        <f>資料儲存!H5354</f>
        <v>0</v>
      </c>
      <c r="AZ94" s="39">
        <f>資料儲存!I5354</f>
        <v>0</v>
      </c>
      <c r="BA94" s="39">
        <f>資料儲存!J5354</f>
        <v>0</v>
      </c>
    </row>
    <row r="95" spans="1:53" s="59" customFormat="1" ht="16" thickBot="1">
      <c r="A95" s="62">
        <v>14</v>
      </c>
      <c r="B95" s="39">
        <f>資料儲存!D4755</f>
        <v>0</v>
      </c>
      <c r="C95" s="39">
        <f>資料儲存!E4755</f>
        <v>0</v>
      </c>
      <c r="D95" s="39">
        <f>資料儲存!F4755</f>
        <v>0</v>
      </c>
      <c r="E95" s="39">
        <f>資料儲存!G4755</f>
        <v>0</v>
      </c>
      <c r="F95" s="39">
        <f>資料儲存!H4755</f>
        <v>0</v>
      </c>
      <c r="G95" s="39">
        <f>資料儲存!I4755</f>
        <v>0</v>
      </c>
      <c r="H95" s="39">
        <f>資料儲存!J4755</f>
        <v>0</v>
      </c>
      <c r="I95" s="58"/>
      <c r="J95" s="62">
        <v>14</v>
      </c>
      <c r="K95" s="39">
        <f>資料儲存!D4875</f>
        <v>0</v>
      </c>
      <c r="L95" s="39">
        <f>資料儲存!E4875</f>
        <v>0</v>
      </c>
      <c r="M95" s="39">
        <f>資料儲存!F4875</f>
        <v>0</v>
      </c>
      <c r="N95" s="39">
        <f>資料儲存!G4875</f>
        <v>0</v>
      </c>
      <c r="O95" s="39">
        <f>資料儲存!H4875</f>
        <v>0</v>
      </c>
      <c r="P95" s="39">
        <f>資料儲存!I4875</f>
        <v>0</v>
      </c>
      <c r="Q95" s="39">
        <f>資料儲存!J4875</f>
        <v>0</v>
      </c>
      <c r="R95" s="58"/>
      <c r="S95" s="62">
        <v>14</v>
      </c>
      <c r="T95" s="39">
        <f>資料儲存!D4995</f>
        <v>0</v>
      </c>
      <c r="U95" s="39">
        <f>資料儲存!E4995</f>
        <v>0</v>
      </c>
      <c r="V95" s="39">
        <f>資料儲存!F4995</f>
        <v>0</v>
      </c>
      <c r="W95" s="39">
        <f>資料儲存!G4995</f>
        <v>0</v>
      </c>
      <c r="X95" s="39">
        <f>資料儲存!H4995</f>
        <v>0</v>
      </c>
      <c r="Y95" s="39">
        <f>資料儲存!I4995</f>
        <v>0</v>
      </c>
      <c r="Z95" s="39">
        <f>資料儲存!J4995</f>
        <v>0</v>
      </c>
      <c r="AA95" s="58"/>
      <c r="AB95" s="62">
        <v>14</v>
      </c>
      <c r="AC95" s="39">
        <f>資料儲存!D5115</f>
        <v>0</v>
      </c>
      <c r="AD95" s="39">
        <f>資料儲存!E5115</f>
        <v>0</v>
      </c>
      <c r="AE95" s="39">
        <f>資料儲存!F5115</f>
        <v>0</v>
      </c>
      <c r="AF95" s="39">
        <f>資料儲存!G5115</f>
        <v>0</v>
      </c>
      <c r="AG95" s="39">
        <f>資料儲存!H5115</f>
        <v>0</v>
      </c>
      <c r="AH95" s="39">
        <f>資料儲存!I5115</f>
        <v>0</v>
      </c>
      <c r="AI95" s="39">
        <f>資料儲存!J5115</f>
        <v>0</v>
      </c>
      <c r="AJ95" s="58"/>
      <c r="AK95" s="62">
        <v>14</v>
      </c>
      <c r="AL95" s="39">
        <f>資料儲存!D5235</f>
        <v>0</v>
      </c>
      <c r="AM95" s="39">
        <f>資料儲存!E5235</f>
        <v>0</v>
      </c>
      <c r="AN95" s="39">
        <f>資料儲存!F5235</f>
        <v>0</v>
      </c>
      <c r="AO95" s="39">
        <f>資料儲存!G5235</f>
        <v>0</v>
      </c>
      <c r="AP95" s="39">
        <f>資料儲存!H5235</f>
        <v>0</v>
      </c>
      <c r="AQ95" s="39">
        <f>資料儲存!I5235</f>
        <v>0</v>
      </c>
      <c r="AR95" s="39">
        <f>資料儲存!J5235</f>
        <v>0</v>
      </c>
      <c r="AT95" s="62">
        <v>14</v>
      </c>
      <c r="AU95" s="39">
        <f>資料儲存!D5355</f>
        <v>0</v>
      </c>
      <c r="AV95" s="39">
        <f>資料儲存!E5355</f>
        <v>0</v>
      </c>
      <c r="AW95" s="39">
        <f>資料儲存!F5355</f>
        <v>0</v>
      </c>
      <c r="AX95" s="39">
        <f>資料儲存!G5355</f>
        <v>0</v>
      </c>
      <c r="AY95" s="39">
        <f>資料儲存!H5355</f>
        <v>0</v>
      </c>
      <c r="AZ95" s="39">
        <f>資料儲存!I5355</f>
        <v>0</v>
      </c>
      <c r="BA95" s="39">
        <f>資料儲存!J5355</f>
        <v>0</v>
      </c>
    </row>
    <row r="96" spans="1:53" s="59" customFormat="1" ht="16" thickBot="1">
      <c r="A96" s="62">
        <v>15</v>
      </c>
      <c r="B96" s="39">
        <f>資料儲存!D4756</f>
        <v>0</v>
      </c>
      <c r="C96" s="39">
        <f>資料儲存!E4756</f>
        <v>0</v>
      </c>
      <c r="D96" s="39">
        <f>資料儲存!F4756</f>
        <v>0</v>
      </c>
      <c r="E96" s="39">
        <f>資料儲存!G4756</f>
        <v>0</v>
      </c>
      <c r="F96" s="39">
        <f>資料儲存!H4756</f>
        <v>0</v>
      </c>
      <c r="G96" s="39">
        <f>資料儲存!I4756</f>
        <v>0</v>
      </c>
      <c r="H96" s="39">
        <f>資料儲存!J4756</f>
        <v>0</v>
      </c>
      <c r="I96" s="58"/>
      <c r="J96" s="62">
        <v>15</v>
      </c>
      <c r="K96" s="39">
        <f>資料儲存!D4876</f>
        <v>0</v>
      </c>
      <c r="L96" s="39">
        <f>資料儲存!E4876</f>
        <v>0</v>
      </c>
      <c r="M96" s="39">
        <f>資料儲存!F4876</f>
        <v>0</v>
      </c>
      <c r="N96" s="39">
        <f>資料儲存!G4876</f>
        <v>0</v>
      </c>
      <c r="O96" s="39">
        <f>資料儲存!H4876</f>
        <v>0</v>
      </c>
      <c r="P96" s="39">
        <f>資料儲存!I4876</f>
        <v>0</v>
      </c>
      <c r="Q96" s="39">
        <f>資料儲存!J4876</f>
        <v>0</v>
      </c>
      <c r="R96" s="58"/>
      <c r="S96" s="62">
        <v>15</v>
      </c>
      <c r="T96" s="39">
        <f>資料儲存!D4996</f>
        <v>0</v>
      </c>
      <c r="U96" s="39">
        <f>資料儲存!E4996</f>
        <v>0</v>
      </c>
      <c r="V96" s="39">
        <f>資料儲存!F4996</f>
        <v>0</v>
      </c>
      <c r="W96" s="39">
        <f>資料儲存!G4996</f>
        <v>0</v>
      </c>
      <c r="X96" s="39">
        <f>資料儲存!H4996</f>
        <v>0</v>
      </c>
      <c r="Y96" s="39">
        <f>資料儲存!I4996</f>
        <v>0</v>
      </c>
      <c r="Z96" s="39">
        <f>資料儲存!J4996</f>
        <v>0</v>
      </c>
      <c r="AA96" s="58"/>
      <c r="AB96" s="62">
        <v>15</v>
      </c>
      <c r="AC96" s="39">
        <f>資料儲存!D5116</f>
        <v>0</v>
      </c>
      <c r="AD96" s="39">
        <f>資料儲存!E5116</f>
        <v>0</v>
      </c>
      <c r="AE96" s="39">
        <f>資料儲存!F5116</f>
        <v>0</v>
      </c>
      <c r="AF96" s="39">
        <f>資料儲存!G5116</f>
        <v>0</v>
      </c>
      <c r="AG96" s="39">
        <f>資料儲存!H5116</f>
        <v>0</v>
      </c>
      <c r="AH96" s="39">
        <f>資料儲存!I5116</f>
        <v>0</v>
      </c>
      <c r="AI96" s="39">
        <f>資料儲存!J5116</f>
        <v>0</v>
      </c>
      <c r="AJ96" s="58"/>
      <c r="AK96" s="62">
        <v>15</v>
      </c>
      <c r="AL96" s="39">
        <f>資料儲存!D5236</f>
        <v>0</v>
      </c>
      <c r="AM96" s="39">
        <f>資料儲存!E5236</f>
        <v>0</v>
      </c>
      <c r="AN96" s="39">
        <f>資料儲存!F5236</f>
        <v>0</v>
      </c>
      <c r="AO96" s="39">
        <f>資料儲存!G5236</f>
        <v>0</v>
      </c>
      <c r="AP96" s="39">
        <f>資料儲存!H5236</f>
        <v>0</v>
      </c>
      <c r="AQ96" s="39">
        <f>資料儲存!I5236</f>
        <v>0</v>
      </c>
      <c r="AR96" s="39">
        <f>資料儲存!J5236</f>
        <v>0</v>
      </c>
      <c r="AT96" s="62">
        <v>15</v>
      </c>
      <c r="AU96" s="39">
        <f>資料儲存!D5356</f>
        <v>0</v>
      </c>
      <c r="AV96" s="39">
        <f>資料儲存!E5356</f>
        <v>0</v>
      </c>
      <c r="AW96" s="39">
        <f>資料儲存!F5356</f>
        <v>0</v>
      </c>
      <c r="AX96" s="39">
        <f>資料儲存!G5356</f>
        <v>0</v>
      </c>
      <c r="AY96" s="39">
        <f>資料儲存!H5356</f>
        <v>0</v>
      </c>
      <c r="AZ96" s="39">
        <f>資料儲存!I5356</f>
        <v>0</v>
      </c>
      <c r="BA96" s="39">
        <f>資料儲存!J5356</f>
        <v>0</v>
      </c>
    </row>
    <row r="97" spans="1:53" s="59" customFormat="1" ht="17.25" customHeight="1" thickBot="1">
      <c r="A97" s="40" t="s">
        <v>56</v>
      </c>
      <c r="B97" s="39">
        <f>SUM(B82:E96)</f>
        <v>0</v>
      </c>
      <c r="C97" s="37"/>
      <c r="D97" s="37"/>
      <c r="E97" s="37"/>
      <c r="F97" s="39">
        <f>F96</f>
        <v>0</v>
      </c>
      <c r="G97" s="39">
        <f>G96</f>
        <v>0</v>
      </c>
      <c r="H97" s="39">
        <f>H96</f>
        <v>0</v>
      </c>
      <c r="I97" s="35"/>
      <c r="J97" s="40" t="s">
        <v>56</v>
      </c>
      <c r="K97" s="39">
        <f>SUM(K82:N96)</f>
        <v>0</v>
      </c>
      <c r="L97" s="37"/>
      <c r="M97" s="37"/>
      <c r="N97" s="37"/>
      <c r="O97" s="39">
        <f>O96</f>
        <v>0</v>
      </c>
      <c r="P97" s="39">
        <f>P96</f>
        <v>0</v>
      </c>
      <c r="Q97" s="39">
        <f>Q96</f>
        <v>0</v>
      </c>
      <c r="R97" s="35"/>
      <c r="S97" s="40" t="s">
        <v>56</v>
      </c>
      <c r="T97" s="39">
        <f>SUM(T82:W96)</f>
        <v>0</v>
      </c>
      <c r="U97" s="37"/>
      <c r="V97" s="37"/>
      <c r="W97" s="37"/>
      <c r="X97" s="39">
        <f>X96</f>
        <v>0</v>
      </c>
      <c r="Y97" s="39">
        <f>Y96</f>
        <v>0</v>
      </c>
      <c r="Z97" s="39">
        <f>Z96</f>
        <v>0</v>
      </c>
      <c r="AA97" s="35"/>
      <c r="AB97" s="40" t="s">
        <v>56</v>
      </c>
      <c r="AC97" s="39">
        <f>SUM(AC82:AF96)</f>
        <v>0</v>
      </c>
      <c r="AD97" s="37"/>
      <c r="AE97" s="37"/>
      <c r="AF97" s="37"/>
      <c r="AG97" s="39">
        <f>AG96</f>
        <v>0</v>
      </c>
      <c r="AH97" s="39">
        <f>AH96</f>
        <v>0</v>
      </c>
      <c r="AI97" s="39">
        <f>AI96</f>
        <v>0</v>
      </c>
      <c r="AJ97" s="35"/>
      <c r="AK97" s="40" t="s">
        <v>56</v>
      </c>
      <c r="AL97" s="39">
        <f>SUM(AL82:AO96)</f>
        <v>0</v>
      </c>
      <c r="AM97" s="37"/>
      <c r="AN97" s="37"/>
      <c r="AO97" s="37"/>
      <c r="AP97" s="39">
        <f>AP96</f>
        <v>0</v>
      </c>
      <c r="AQ97" s="39">
        <f>AQ96</f>
        <v>0</v>
      </c>
      <c r="AR97" s="39">
        <f>AR96</f>
        <v>0</v>
      </c>
      <c r="AT97" s="40" t="s">
        <v>56</v>
      </c>
      <c r="AU97" s="39">
        <f>SUM(AU82:AX96)</f>
        <v>0</v>
      </c>
      <c r="AV97" s="37"/>
      <c r="AW97" s="37"/>
      <c r="AX97" s="37"/>
      <c r="AY97" s="39">
        <f>AY96</f>
        <v>0</v>
      </c>
      <c r="AZ97" s="39">
        <f>AZ96</f>
        <v>0</v>
      </c>
      <c r="BA97" s="39">
        <f>BA96</f>
        <v>0</v>
      </c>
    </row>
    <row r="98" spans="1:53" ht="18.5" thickBot="1">
      <c r="A98" s="257" t="s">
        <v>122</v>
      </c>
      <c r="B98" s="258"/>
      <c r="C98" s="258"/>
      <c r="D98" s="258"/>
      <c r="E98" s="258"/>
      <c r="F98" s="258"/>
      <c r="G98" s="258"/>
      <c r="H98" s="259"/>
      <c r="I98" s="14"/>
      <c r="J98" s="257" t="s">
        <v>122</v>
      </c>
      <c r="K98" s="258"/>
      <c r="L98" s="258"/>
      <c r="M98" s="258"/>
      <c r="N98" s="258"/>
      <c r="O98" s="258"/>
      <c r="P98" s="258"/>
      <c r="Q98" s="259"/>
      <c r="R98" s="14"/>
      <c r="S98" s="257" t="s">
        <v>122</v>
      </c>
      <c r="T98" s="258"/>
      <c r="U98" s="258"/>
      <c r="V98" s="258"/>
      <c r="W98" s="258"/>
      <c r="X98" s="258"/>
      <c r="Y98" s="258"/>
      <c r="Z98" s="259"/>
      <c r="AA98" s="14"/>
      <c r="AB98" s="257" t="s">
        <v>122</v>
      </c>
      <c r="AC98" s="258"/>
      <c r="AD98" s="258"/>
      <c r="AE98" s="258"/>
      <c r="AF98" s="258"/>
      <c r="AG98" s="258"/>
      <c r="AH98" s="258"/>
      <c r="AI98" s="259"/>
      <c r="AJ98" s="14"/>
      <c r="AK98" s="257" t="s">
        <v>122</v>
      </c>
      <c r="AL98" s="258"/>
      <c r="AM98" s="258"/>
      <c r="AN98" s="258"/>
      <c r="AO98" s="258"/>
      <c r="AP98" s="258"/>
      <c r="AQ98" s="258"/>
      <c r="AR98" s="259"/>
      <c r="AT98" s="257" t="s">
        <v>122</v>
      </c>
      <c r="AU98" s="258"/>
      <c r="AV98" s="258"/>
      <c r="AW98" s="258"/>
      <c r="AX98" s="258"/>
      <c r="AY98" s="258"/>
      <c r="AZ98" s="258"/>
      <c r="BA98" s="259"/>
    </row>
    <row r="99" spans="1:53" s="67" customFormat="1" ht="17.25" customHeight="1" thickBot="1">
      <c r="A99" s="63" t="s">
        <v>2</v>
      </c>
      <c r="B99" s="64" t="s">
        <v>46</v>
      </c>
      <c r="C99" s="65"/>
      <c r="D99" s="65"/>
      <c r="E99" s="66"/>
      <c r="F99" s="64" t="s">
        <v>47</v>
      </c>
      <c r="G99" s="65"/>
      <c r="H99" s="66"/>
      <c r="I99" s="52"/>
      <c r="J99" s="63" t="s">
        <v>2</v>
      </c>
      <c r="K99" s="64" t="s">
        <v>46</v>
      </c>
      <c r="L99" s="65"/>
      <c r="M99" s="65"/>
      <c r="N99" s="66"/>
      <c r="O99" s="64" t="s">
        <v>47</v>
      </c>
      <c r="P99" s="65"/>
      <c r="Q99" s="66"/>
      <c r="R99" s="52"/>
      <c r="S99" s="63" t="s">
        <v>2</v>
      </c>
      <c r="T99" s="64" t="s">
        <v>46</v>
      </c>
      <c r="U99" s="65"/>
      <c r="V99" s="65"/>
      <c r="W99" s="66"/>
      <c r="X99" s="64" t="s">
        <v>47</v>
      </c>
      <c r="Y99" s="65"/>
      <c r="Z99" s="66"/>
      <c r="AA99" s="52"/>
      <c r="AB99" s="63" t="s">
        <v>2</v>
      </c>
      <c r="AC99" s="64" t="s">
        <v>46</v>
      </c>
      <c r="AD99" s="65"/>
      <c r="AE99" s="65"/>
      <c r="AF99" s="66"/>
      <c r="AG99" s="64" t="s">
        <v>47</v>
      </c>
      <c r="AH99" s="65"/>
      <c r="AI99" s="66"/>
      <c r="AJ99" s="52"/>
      <c r="AK99" s="63" t="s">
        <v>2</v>
      </c>
      <c r="AL99" s="64" t="s">
        <v>46</v>
      </c>
      <c r="AM99" s="65"/>
      <c r="AN99" s="65"/>
      <c r="AO99" s="66"/>
      <c r="AP99" s="64" t="s">
        <v>47</v>
      </c>
      <c r="AQ99" s="65"/>
      <c r="AR99" s="66"/>
      <c r="AT99" s="63" t="s">
        <v>2</v>
      </c>
      <c r="AU99" s="64" t="s">
        <v>46</v>
      </c>
      <c r="AV99" s="65"/>
      <c r="AW99" s="65"/>
      <c r="AX99" s="66"/>
      <c r="AY99" s="64" t="s">
        <v>47</v>
      </c>
      <c r="AZ99" s="65"/>
      <c r="BA99" s="66"/>
    </row>
    <row r="100" spans="1:53" s="67" customFormat="1" ht="16" thickBot="1">
      <c r="A100" s="68">
        <v>0.71875</v>
      </c>
      <c r="B100" s="69" t="s">
        <v>49</v>
      </c>
      <c r="C100" s="69" t="s">
        <v>50</v>
      </c>
      <c r="D100" s="69" t="s">
        <v>51</v>
      </c>
      <c r="E100" s="69" t="s">
        <v>52</v>
      </c>
      <c r="F100" s="69" t="s">
        <v>53</v>
      </c>
      <c r="G100" s="69" t="s">
        <v>54</v>
      </c>
      <c r="H100" s="69" t="s">
        <v>55</v>
      </c>
      <c r="I100" s="52"/>
      <c r="J100" s="68">
        <v>0.71875</v>
      </c>
      <c r="K100" s="69" t="s">
        <v>49</v>
      </c>
      <c r="L100" s="69" t="s">
        <v>50</v>
      </c>
      <c r="M100" s="69" t="s">
        <v>51</v>
      </c>
      <c r="N100" s="69" t="s">
        <v>52</v>
      </c>
      <c r="O100" s="69" t="s">
        <v>53</v>
      </c>
      <c r="P100" s="69" t="s">
        <v>54</v>
      </c>
      <c r="Q100" s="69" t="s">
        <v>55</v>
      </c>
      <c r="R100" s="52"/>
      <c r="S100" s="68">
        <v>0.71875</v>
      </c>
      <c r="T100" s="69" t="s">
        <v>49</v>
      </c>
      <c r="U100" s="69" t="s">
        <v>50</v>
      </c>
      <c r="V100" s="69" t="s">
        <v>51</v>
      </c>
      <c r="W100" s="69" t="s">
        <v>52</v>
      </c>
      <c r="X100" s="69" t="s">
        <v>53</v>
      </c>
      <c r="Y100" s="69" t="s">
        <v>54</v>
      </c>
      <c r="Z100" s="69" t="s">
        <v>55</v>
      </c>
      <c r="AA100" s="52"/>
      <c r="AB100" s="68">
        <v>0.71875</v>
      </c>
      <c r="AC100" s="69" t="s">
        <v>49</v>
      </c>
      <c r="AD100" s="69" t="s">
        <v>50</v>
      </c>
      <c r="AE100" s="69" t="s">
        <v>51</v>
      </c>
      <c r="AF100" s="69" t="s">
        <v>52</v>
      </c>
      <c r="AG100" s="69" t="s">
        <v>53</v>
      </c>
      <c r="AH100" s="69" t="s">
        <v>54</v>
      </c>
      <c r="AI100" s="69" t="s">
        <v>55</v>
      </c>
      <c r="AJ100" s="52"/>
      <c r="AK100" s="68">
        <v>0.71875</v>
      </c>
      <c r="AL100" s="69" t="s">
        <v>49</v>
      </c>
      <c r="AM100" s="69" t="s">
        <v>50</v>
      </c>
      <c r="AN100" s="69" t="s">
        <v>51</v>
      </c>
      <c r="AO100" s="69" t="s">
        <v>52</v>
      </c>
      <c r="AP100" s="69" t="s">
        <v>53</v>
      </c>
      <c r="AQ100" s="69" t="s">
        <v>54</v>
      </c>
      <c r="AR100" s="69" t="s">
        <v>55</v>
      </c>
      <c r="AT100" s="68">
        <v>0.71875</v>
      </c>
      <c r="AU100" s="69" t="s">
        <v>49</v>
      </c>
      <c r="AV100" s="69" t="s">
        <v>50</v>
      </c>
      <c r="AW100" s="69" t="s">
        <v>51</v>
      </c>
      <c r="AX100" s="69" t="s">
        <v>52</v>
      </c>
      <c r="AY100" s="69" t="s">
        <v>53</v>
      </c>
      <c r="AZ100" s="69" t="s">
        <v>54</v>
      </c>
      <c r="BA100" s="69" t="s">
        <v>55</v>
      </c>
    </row>
    <row r="101" spans="1:53" s="67" customFormat="1" ht="16" thickBot="1">
      <c r="A101" s="70">
        <v>16</v>
      </c>
      <c r="B101" s="49">
        <f>資料儲存!D4757</f>
        <v>0</v>
      </c>
      <c r="C101" s="49">
        <f>資料儲存!E4757</f>
        <v>0</v>
      </c>
      <c r="D101" s="49">
        <f>資料儲存!F4757</f>
        <v>0</v>
      </c>
      <c r="E101" s="49">
        <f>資料儲存!G4757</f>
        <v>0</v>
      </c>
      <c r="F101" s="49">
        <f>資料儲存!H4757</f>
        <v>0</v>
      </c>
      <c r="G101" s="49">
        <f>資料儲存!I4757</f>
        <v>0</v>
      </c>
      <c r="H101" s="49">
        <f>資料儲存!J4757</f>
        <v>0</v>
      </c>
      <c r="I101" s="52"/>
      <c r="J101" s="70">
        <v>16</v>
      </c>
      <c r="K101" s="49">
        <f>資料儲存!D4877</f>
        <v>0</v>
      </c>
      <c r="L101" s="49">
        <f>資料儲存!E4877</f>
        <v>0</v>
      </c>
      <c r="M101" s="49">
        <f>資料儲存!F4877</f>
        <v>0</v>
      </c>
      <c r="N101" s="49">
        <f>資料儲存!G4877</f>
        <v>0</v>
      </c>
      <c r="O101" s="49">
        <f>資料儲存!H4877</f>
        <v>0</v>
      </c>
      <c r="P101" s="49">
        <f>資料儲存!I4877</f>
        <v>0</v>
      </c>
      <c r="Q101" s="49">
        <f>資料儲存!J4877</f>
        <v>0</v>
      </c>
      <c r="R101" s="52"/>
      <c r="S101" s="70">
        <v>16</v>
      </c>
      <c r="T101" s="49">
        <f>資料儲存!D4997</f>
        <v>0</v>
      </c>
      <c r="U101" s="49">
        <f>資料儲存!E4997</f>
        <v>0</v>
      </c>
      <c r="V101" s="49">
        <f>資料儲存!F4997</f>
        <v>0</v>
      </c>
      <c r="W101" s="49">
        <f>資料儲存!G4997</f>
        <v>0</v>
      </c>
      <c r="X101" s="49">
        <f>資料儲存!H4997</f>
        <v>0</v>
      </c>
      <c r="Y101" s="49">
        <f>資料儲存!I4997</f>
        <v>0</v>
      </c>
      <c r="Z101" s="49">
        <f>資料儲存!J4997</f>
        <v>0</v>
      </c>
      <c r="AA101" s="52"/>
      <c r="AB101" s="70">
        <v>16</v>
      </c>
      <c r="AC101" s="49">
        <f>資料儲存!D5117</f>
        <v>0</v>
      </c>
      <c r="AD101" s="49">
        <f>資料儲存!E5117</f>
        <v>0</v>
      </c>
      <c r="AE101" s="49">
        <f>資料儲存!F5117</f>
        <v>0</v>
      </c>
      <c r="AF101" s="49">
        <f>資料儲存!G5117</f>
        <v>0</v>
      </c>
      <c r="AG101" s="49">
        <f>資料儲存!H5117</f>
        <v>0</v>
      </c>
      <c r="AH101" s="49">
        <f>資料儲存!I5117</f>
        <v>0</v>
      </c>
      <c r="AI101" s="49">
        <f>資料儲存!J5117</f>
        <v>0</v>
      </c>
      <c r="AJ101" s="52"/>
      <c r="AK101" s="70">
        <v>16</v>
      </c>
      <c r="AL101" s="49">
        <f>資料儲存!D5237</f>
        <v>0</v>
      </c>
      <c r="AM101" s="49">
        <f>資料儲存!E5237</f>
        <v>0</v>
      </c>
      <c r="AN101" s="49">
        <f>資料儲存!F5237</f>
        <v>0</v>
      </c>
      <c r="AO101" s="49">
        <f>資料儲存!G5237</f>
        <v>0</v>
      </c>
      <c r="AP101" s="49">
        <f>資料儲存!H5237</f>
        <v>0</v>
      </c>
      <c r="AQ101" s="49">
        <f>資料儲存!I5237</f>
        <v>0</v>
      </c>
      <c r="AR101" s="49">
        <f>資料儲存!J5237</f>
        <v>0</v>
      </c>
      <c r="AT101" s="70">
        <v>16</v>
      </c>
      <c r="AU101" s="49">
        <f>資料儲存!D5357</f>
        <v>0</v>
      </c>
      <c r="AV101" s="49">
        <f>資料儲存!E5357</f>
        <v>0</v>
      </c>
      <c r="AW101" s="49">
        <f>資料儲存!F5357</f>
        <v>0</v>
      </c>
      <c r="AX101" s="49">
        <f>資料儲存!G5357</f>
        <v>0</v>
      </c>
      <c r="AY101" s="49">
        <f>資料儲存!H5357</f>
        <v>0</v>
      </c>
      <c r="AZ101" s="49">
        <f>資料儲存!I5357</f>
        <v>0</v>
      </c>
      <c r="BA101" s="49">
        <f>資料儲存!J5357</f>
        <v>0</v>
      </c>
    </row>
    <row r="102" spans="1:53" s="67" customFormat="1" ht="16" thickBot="1">
      <c r="A102" s="70">
        <v>17</v>
      </c>
      <c r="B102" s="49">
        <f>資料儲存!D4758</f>
        <v>0</v>
      </c>
      <c r="C102" s="49">
        <f>資料儲存!E4758</f>
        <v>0</v>
      </c>
      <c r="D102" s="49">
        <f>資料儲存!F4758</f>
        <v>0</v>
      </c>
      <c r="E102" s="49">
        <f>資料儲存!G4758</f>
        <v>0</v>
      </c>
      <c r="F102" s="49">
        <f>資料儲存!H4758</f>
        <v>0</v>
      </c>
      <c r="G102" s="49">
        <f>資料儲存!I4758</f>
        <v>0</v>
      </c>
      <c r="H102" s="49">
        <f>資料儲存!J4758</f>
        <v>0</v>
      </c>
      <c r="I102" s="52"/>
      <c r="J102" s="70">
        <v>17</v>
      </c>
      <c r="K102" s="49">
        <f>資料儲存!D4878</f>
        <v>0</v>
      </c>
      <c r="L102" s="49">
        <f>資料儲存!E4878</f>
        <v>0</v>
      </c>
      <c r="M102" s="49">
        <f>資料儲存!F4878</f>
        <v>0</v>
      </c>
      <c r="N102" s="49">
        <f>資料儲存!G4878</f>
        <v>0</v>
      </c>
      <c r="O102" s="49">
        <f>資料儲存!H4878</f>
        <v>0</v>
      </c>
      <c r="P102" s="49">
        <f>資料儲存!I4878</f>
        <v>0</v>
      </c>
      <c r="Q102" s="49">
        <f>資料儲存!J4878</f>
        <v>0</v>
      </c>
      <c r="R102" s="52"/>
      <c r="S102" s="70">
        <v>17</v>
      </c>
      <c r="T102" s="49">
        <f>資料儲存!D4998</f>
        <v>0</v>
      </c>
      <c r="U102" s="49">
        <f>資料儲存!E4998</f>
        <v>0</v>
      </c>
      <c r="V102" s="49">
        <f>資料儲存!F4998</f>
        <v>0</v>
      </c>
      <c r="W102" s="49">
        <f>資料儲存!G4998</f>
        <v>0</v>
      </c>
      <c r="X102" s="49">
        <f>資料儲存!H4998</f>
        <v>0</v>
      </c>
      <c r="Y102" s="49">
        <f>資料儲存!I4998</f>
        <v>0</v>
      </c>
      <c r="Z102" s="49">
        <f>資料儲存!J4998</f>
        <v>0</v>
      </c>
      <c r="AA102" s="52"/>
      <c r="AB102" s="70">
        <v>17</v>
      </c>
      <c r="AC102" s="49">
        <f>資料儲存!D5118</f>
        <v>0</v>
      </c>
      <c r="AD102" s="49">
        <f>資料儲存!E5118</f>
        <v>0</v>
      </c>
      <c r="AE102" s="49">
        <f>資料儲存!F5118</f>
        <v>0</v>
      </c>
      <c r="AF102" s="49">
        <f>資料儲存!G5118</f>
        <v>0</v>
      </c>
      <c r="AG102" s="49">
        <f>資料儲存!H5118</f>
        <v>0</v>
      </c>
      <c r="AH102" s="49">
        <f>資料儲存!I5118</f>
        <v>0</v>
      </c>
      <c r="AI102" s="49">
        <f>資料儲存!J5118</f>
        <v>0</v>
      </c>
      <c r="AJ102" s="52"/>
      <c r="AK102" s="70">
        <v>17</v>
      </c>
      <c r="AL102" s="49">
        <f>資料儲存!D5238</f>
        <v>0</v>
      </c>
      <c r="AM102" s="49">
        <f>資料儲存!E5238</f>
        <v>0</v>
      </c>
      <c r="AN102" s="49">
        <f>資料儲存!F5238</f>
        <v>0</v>
      </c>
      <c r="AO102" s="49">
        <f>資料儲存!G5238</f>
        <v>0</v>
      </c>
      <c r="AP102" s="49">
        <f>資料儲存!H5238</f>
        <v>0</v>
      </c>
      <c r="AQ102" s="49">
        <f>資料儲存!I5238</f>
        <v>0</v>
      </c>
      <c r="AR102" s="49">
        <f>資料儲存!J5238</f>
        <v>0</v>
      </c>
      <c r="AT102" s="70">
        <v>17</v>
      </c>
      <c r="AU102" s="49">
        <f>資料儲存!D5358</f>
        <v>0</v>
      </c>
      <c r="AV102" s="49">
        <f>資料儲存!E5358</f>
        <v>0</v>
      </c>
      <c r="AW102" s="49">
        <f>資料儲存!F5358</f>
        <v>0</v>
      </c>
      <c r="AX102" s="49">
        <f>資料儲存!G5358</f>
        <v>0</v>
      </c>
      <c r="AY102" s="49">
        <f>資料儲存!H5358</f>
        <v>0</v>
      </c>
      <c r="AZ102" s="49">
        <f>資料儲存!I5358</f>
        <v>0</v>
      </c>
      <c r="BA102" s="49">
        <f>資料儲存!J5358</f>
        <v>0</v>
      </c>
    </row>
    <row r="103" spans="1:53" s="67" customFormat="1" ht="16" thickBot="1">
      <c r="A103" s="70">
        <v>18</v>
      </c>
      <c r="B103" s="49">
        <f>資料儲存!D4759</f>
        <v>0</v>
      </c>
      <c r="C103" s="49">
        <f>資料儲存!E4759</f>
        <v>0</v>
      </c>
      <c r="D103" s="49">
        <f>資料儲存!F4759</f>
        <v>0</v>
      </c>
      <c r="E103" s="49">
        <f>資料儲存!G4759</f>
        <v>0</v>
      </c>
      <c r="F103" s="49">
        <f>資料儲存!H4759</f>
        <v>0</v>
      </c>
      <c r="G103" s="49">
        <f>資料儲存!I4759</f>
        <v>0</v>
      </c>
      <c r="H103" s="49">
        <f>資料儲存!J4759</f>
        <v>0</v>
      </c>
      <c r="I103" s="52"/>
      <c r="J103" s="70">
        <v>18</v>
      </c>
      <c r="K103" s="49">
        <f>資料儲存!D4879</f>
        <v>0</v>
      </c>
      <c r="L103" s="49">
        <f>資料儲存!E4879</f>
        <v>0</v>
      </c>
      <c r="M103" s="49">
        <f>資料儲存!F4879</f>
        <v>0</v>
      </c>
      <c r="N103" s="49">
        <f>資料儲存!G4879</f>
        <v>0</v>
      </c>
      <c r="O103" s="49">
        <f>資料儲存!H4879</f>
        <v>0</v>
      </c>
      <c r="P103" s="49">
        <f>資料儲存!I4879</f>
        <v>0</v>
      </c>
      <c r="Q103" s="49">
        <f>資料儲存!J4879</f>
        <v>0</v>
      </c>
      <c r="R103" s="52"/>
      <c r="S103" s="70">
        <v>18</v>
      </c>
      <c r="T103" s="49">
        <f>資料儲存!D4999</f>
        <v>0</v>
      </c>
      <c r="U103" s="49">
        <f>資料儲存!E4999</f>
        <v>0</v>
      </c>
      <c r="V103" s="49">
        <f>資料儲存!F4999</f>
        <v>0</v>
      </c>
      <c r="W103" s="49">
        <f>資料儲存!G4999</f>
        <v>0</v>
      </c>
      <c r="X103" s="49">
        <f>資料儲存!H4999</f>
        <v>0</v>
      </c>
      <c r="Y103" s="49">
        <f>資料儲存!I4999</f>
        <v>0</v>
      </c>
      <c r="Z103" s="49">
        <f>資料儲存!J4999</f>
        <v>0</v>
      </c>
      <c r="AA103" s="52"/>
      <c r="AB103" s="70">
        <v>18</v>
      </c>
      <c r="AC103" s="49">
        <f>資料儲存!D5119</f>
        <v>0</v>
      </c>
      <c r="AD103" s="49">
        <f>資料儲存!E5119</f>
        <v>0</v>
      </c>
      <c r="AE103" s="49">
        <f>資料儲存!F5119</f>
        <v>0</v>
      </c>
      <c r="AF103" s="49">
        <f>資料儲存!G5119</f>
        <v>0</v>
      </c>
      <c r="AG103" s="49">
        <f>資料儲存!H5119</f>
        <v>0</v>
      </c>
      <c r="AH103" s="49">
        <f>資料儲存!I5119</f>
        <v>0</v>
      </c>
      <c r="AI103" s="49">
        <f>資料儲存!J5119</f>
        <v>0</v>
      </c>
      <c r="AJ103" s="52"/>
      <c r="AK103" s="70">
        <v>18</v>
      </c>
      <c r="AL103" s="49">
        <f>資料儲存!D5239</f>
        <v>0</v>
      </c>
      <c r="AM103" s="49">
        <f>資料儲存!E5239</f>
        <v>0</v>
      </c>
      <c r="AN103" s="49">
        <f>資料儲存!F5239</f>
        <v>0</v>
      </c>
      <c r="AO103" s="49">
        <f>資料儲存!G5239</f>
        <v>0</v>
      </c>
      <c r="AP103" s="49">
        <f>資料儲存!H5239</f>
        <v>0</v>
      </c>
      <c r="AQ103" s="49">
        <f>資料儲存!I5239</f>
        <v>0</v>
      </c>
      <c r="AR103" s="49">
        <f>資料儲存!J5239</f>
        <v>0</v>
      </c>
      <c r="AT103" s="70">
        <v>18</v>
      </c>
      <c r="AU103" s="49">
        <f>資料儲存!D5359</f>
        <v>0</v>
      </c>
      <c r="AV103" s="49">
        <f>資料儲存!E5359</f>
        <v>0</v>
      </c>
      <c r="AW103" s="49">
        <f>資料儲存!F5359</f>
        <v>0</v>
      </c>
      <c r="AX103" s="49">
        <f>資料儲存!G5359</f>
        <v>0</v>
      </c>
      <c r="AY103" s="49">
        <f>資料儲存!H5359</f>
        <v>0</v>
      </c>
      <c r="AZ103" s="49">
        <f>資料儲存!I5359</f>
        <v>0</v>
      </c>
      <c r="BA103" s="49">
        <f>資料儲存!J5359</f>
        <v>0</v>
      </c>
    </row>
    <row r="104" spans="1:53" s="67" customFormat="1" ht="16" thickBot="1">
      <c r="A104" s="70">
        <v>19</v>
      </c>
      <c r="B104" s="49">
        <f>資料儲存!D4760</f>
        <v>0</v>
      </c>
      <c r="C104" s="49">
        <f>資料儲存!E4760</f>
        <v>0</v>
      </c>
      <c r="D104" s="49">
        <f>資料儲存!F4760</f>
        <v>0</v>
      </c>
      <c r="E104" s="49">
        <f>資料儲存!G4760</f>
        <v>0</v>
      </c>
      <c r="F104" s="49">
        <f>資料儲存!H4760</f>
        <v>0</v>
      </c>
      <c r="G104" s="49">
        <f>資料儲存!I4760</f>
        <v>0</v>
      </c>
      <c r="H104" s="49">
        <f>資料儲存!J4760</f>
        <v>0</v>
      </c>
      <c r="I104" s="52"/>
      <c r="J104" s="70">
        <v>19</v>
      </c>
      <c r="K104" s="49">
        <f>資料儲存!D4880</f>
        <v>0</v>
      </c>
      <c r="L104" s="49">
        <f>資料儲存!E4880</f>
        <v>0</v>
      </c>
      <c r="M104" s="49">
        <f>資料儲存!F4880</f>
        <v>0</v>
      </c>
      <c r="N104" s="49">
        <f>資料儲存!G4880</f>
        <v>0</v>
      </c>
      <c r="O104" s="49">
        <f>資料儲存!H4880</f>
        <v>0</v>
      </c>
      <c r="P104" s="49">
        <f>資料儲存!I4880</f>
        <v>0</v>
      </c>
      <c r="Q104" s="49">
        <f>資料儲存!J4880</f>
        <v>0</v>
      </c>
      <c r="R104" s="52"/>
      <c r="S104" s="70">
        <v>19</v>
      </c>
      <c r="T104" s="49">
        <f>資料儲存!D5000</f>
        <v>0</v>
      </c>
      <c r="U104" s="49">
        <f>資料儲存!E5000</f>
        <v>0</v>
      </c>
      <c r="V104" s="49">
        <f>資料儲存!F5000</f>
        <v>0</v>
      </c>
      <c r="W104" s="49">
        <f>資料儲存!G5000</f>
        <v>0</v>
      </c>
      <c r="X104" s="49">
        <f>資料儲存!H5000</f>
        <v>0</v>
      </c>
      <c r="Y104" s="49">
        <f>資料儲存!I5000</f>
        <v>0</v>
      </c>
      <c r="Z104" s="49">
        <f>資料儲存!J5000</f>
        <v>0</v>
      </c>
      <c r="AA104" s="52"/>
      <c r="AB104" s="70">
        <v>19</v>
      </c>
      <c r="AC104" s="49">
        <f>資料儲存!D5120</f>
        <v>0</v>
      </c>
      <c r="AD104" s="49">
        <f>資料儲存!E5120</f>
        <v>0</v>
      </c>
      <c r="AE104" s="49">
        <f>資料儲存!F5120</f>
        <v>0</v>
      </c>
      <c r="AF104" s="49">
        <f>資料儲存!G5120</f>
        <v>0</v>
      </c>
      <c r="AG104" s="49">
        <f>資料儲存!H5120</f>
        <v>0</v>
      </c>
      <c r="AH104" s="49">
        <f>資料儲存!I5120</f>
        <v>0</v>
      </c>
      <c r="AI104" s="49">
        <f>資料儲存!J5120</f>
        <v>0</v>
      </c>
      <c r="AJ104" s="52"/>
      <c r="AK104" s="70">
        <v>19</v>
      </c>
      <c r="AL104" s="49">
        <f>資料儲存!D5240</f>
        <v>0</v>
      </c>
      <c r="AM104" s="49">
        <f>資料儲存!E5240</f>
        <v>0</v>
      </c>
      <c r="AN104" s="49">
        <f>資料儲存!F5240</f>
        <v>0</v>
      </c>
      <c r="AO104" s="49">
        <f>資料儲存!G5240</f>
        <v>0</v>
      </c>
      <c r="AP104" s="49">
        <f>資料儲存!H5240</f>
        <v>0</v>
      </c>
      <c r="AQ104" s="49">
        <f>資料儲存!I5240</f>
        <v>0</v>
      </c>
      <c r="AR104" s="49">
        <f>資料儲存!J5240</f>
        <v>0</v>
      </c>
      <c r="AT104" s="70">
        <v>19</v>
      </c>
      <c r="AU104" s="49">
        <f>資料儲存!D5360</f>
        <v>0</v>
      </c>
      <c r="AV104" s="49">
        <f>資料儲存!E5360</f>
        <v>0</v>
      </c>
      <c r="AW104" s="49">
        <f>資料儲存!F5360</f>
        <v>0</v>
      </c>
      <c r="AX104" s="49">
        <f>資料儲存!G5360</f>
        <v>0</v>
      </c>
      <c r="AY104" s="49">
        <f>資料儲存!H5360</f>
        <v>0</v>
      </c>
      <c r="AZ104" s="49">
        <f>資料儲存!I5360</f>
        <v>0</v>
      </c>
      <c r="BA104" s="49">
        <f>資料儲存!J5360</f>
        <v>0</v>
      </c>
    </row>
    <row r="105" spans="1:53" s="67" customFormat="1" ht="16" thickBot="1">
      <c r="A105" s="70">
        <v>20</v>
      </c>
      <c r="B105" s="49">
        <f>資料儲存!D4761</f>
        <v>0</v>
      </c>
      <c r="C105" s="49">
        <f>資料儲存!E4761</f>
        <v>0</v>
      </c>
      <c r="D105" s="49">
        <f>資料儲存!F4761</f>
        <v>0</v>
      </c>
      <c r="E105" s="49">
        <f>資料儲存!G4761</f>
        <v>0</v>
      </c>
      <c r="F105" s="49">
        <f>資料儲存!H4761</f>
        <v>0</v>
      </c>
      <c r="G105" s="49">
        <f>資料儲存!I4761</f>
        <v>0</v>
      </c>
      <c r="H105" s="49">
        <f>資料儲存!J4761</f>
        <v>0</v>
      </c>
      <c r="I105" s="52"/>
      <c r="J105" s="70">
        <v>20</v>
      </c>
      <c r="K105" s="49">
        <f>資料儲存!D4881</f>
        <v>0</v>
      </c>
      <c r="L105" s="49">
        <f>資料儲存!E4881</f>
        <v>0</v>
      </c>
      <c r="M105" s="49">
        <f>資料儲存!F4881</f>
        <v>0</v>
      </c>
      <c r="N105" s="49">
        <f>資料儲存!G4881</f>
        <v>0</v>
      </c>
      <c r="O105" s="49">
        <f>資料儲存!H4881</f>
        <v>0</v>
      </c>
      <c r="P105" s="49">
        <f>資料儲存!I4881</f>
        <v>0</v>
      </c>
      <c r="Q105" s="49">
        <f>資料儲存!J4881</f>
        <v>0</v>
      </c>
      <c r="R105" s="52"/>
      <c r="S105" s="70">
        <v>20</v>
      </c>
      <c r="T105" s="49">
        <f>資料儲存!D5001</f>
        <v>0</v>
      </c>
      <c r="U105" s="49">
        <f>資料儲存!E5001</f>
        <v>0</v>
      </c>
      <c r="V105" s="49">
        <f>資料儲存!F5001</f>
        <v>0</v>
      </c>
      <c r="W105" s="49">
        <f>資料儲存!G5001</f>
        <v>0</v>
      </c>
      <c r="X105" s="49">
        <f>資料儲存!H5001</f>
        <v>0</v>
      </c>
      <c r="Y105" s="49">
        <f>資料儲存!I5001</f>
        <v>0</v>
      </c>
      <c r="Z105" s="49">
        <f>資料儲存!J5001</f>
        <v>0</v>
      </c>
      <c r="AA105" s="52"/>
      <c r="AB105" s="70">
        <v>20</v>
      </c>
      <c r="AC105" s="49">
        <f>資料儲存!D5121</f>
        <v>0</v>
      </c>
      <c r="AD105" s="49">
        <f>資料儲存!E5121</f>
        <v>0</v>
      </c>
      <c r="AE105" s="49">
        <f>資料儲存!F5121</f>
        <v>0</v>
      </c>
      <c r="AF105" s="49">
        <f>資料儲存!G5121</f>
        <v>0</v>
      </c>
      <c r="AG105" s="49">
        <f>資料儲存!H5121</f>
        <v>0</v>
      </c>
      <c r="AH105" s="49">
        <f>資料儲存!I5121</f>
        <v>0</v>
      </c>
      <c r="AI105" s="49">
        <f>資料儲存!J5121</f>
        <v>0</v>
      </c>
      <c r="AJ105" s="52"/>
      <c r="AK105" s="70">
        <v>20</v>
      </c>
      <c r="AL105" s="49">
        <f>資料儲存!D5241</f>
        <v>0</v>
      </c>
      <c r="AM105" s="49">
        <f>資料儲存!E5241</f>
        <v>0</v>
      </c>
      <c r="AN105" s="49">
        <f>資料儲存!F5241</f>
        <v>0</v>
      </c>
      <c r="AO105" s="49">
        <f>資料儲存!G5241</f>
        <v>0</v>
      </c>
      <c r="AP105" s="49">
        <f>資料儲存!H5241</f>
        <v>0</v>
      </c>
      <c r="AQ105" s="49">
        <f>資料儲存!I5241</f>
        <v>0</v>
      </c>
      <c r="AR105" s="49">
        <f>資料儲存!J5241</f>
        <v>0</v>
      </c>
      <c r="AT105" s="70">
        <v>20</v>
      </c>
      <c r="AU105" s="49">
        <f>資料儲存!D5361</f>
        <v>0</v>
      </c>
      <c r="AV105" s="49">
        <f>資料儲存!E5361</f>
        <v>0</v>
      </c>
      <c r="AW105" s="49">
        <f>資料儲存!F5361</f>
        <v>0</v>
      </c>
      <c r="AX105" s="49">
        <f>資料儲存!G5361</f>
        <v>0</v>
      </c>
      <c r="AY105" s="49">
        <f>資料儲存!H5361</f>
        <v>0</v>
      </c>
      <c r="AZ105" s="49">
        <f>資料儲存!I5361</f>
        <v>0</v>
      </c>
      <c r="BA105" s="49">
        <f>資料儲存!J5361</f>
        <v>0</v>
      </c>
    </row>
    <row r="106" spans="1:53" s="67" customFormat="1" ht="16" thickBot="1">
      <c r="A106" s="70">
        <v>21</v>
      </c>
      <c r="B106" s="49">
        <f>資料儲存!D4762</f>
        <v>0</v>
      </c>
      <c r="C106" s="49">
        <f>資料儲存!E4762</f>
        <v>0</v>
      </c>
      <c r="D106" s="49">
        <f>資料儲存!F4762</f>
        <v>0</v>
      </c>
      <c r="E106" s="49">
        <f>資料儲存!G4762</f>
        <v>0</v>
      </c>
      <c r="F106" s="49">
        <f>資料儲存!H4762</f>
        <v>0</v>
      </c>
      <c r="G106" s="49">
        <f>資料儲存!I4762</f>
        <v>0</v>
      </c>
      <c r="H106" s="49">
        <f>資料儲存!J4762</f>
        <v>0</v>
      </c>
      <c r="I106" s="52"/>
      <c r="J106" s="70">
        <v>21</v>
      </c>
      <c r="K106" s="49">
        <f>資料儲存!D4882</f>
        <v>0</v>
      </c>
      <c r="L106" s="49">
        <f>資料儲存!E4882</f>
        <v>0</v>
      </c>
      <c r="M106" s="49">
        <f>資料儲存!F4882</f>
        <v>0</v>
      </c>
      <c r="N106" s="49">
        <f>資料儲存!G4882</f>
        <v>0</v>
      </c>
      <c r="O106" s="49">
        <f>資料儲存!H4882</f>
        <v>0</v>
      </c>
      <c r="P106" s="49">
        <f>資料儲存!I4882</f>
        <v>0</v>
      </c>
      <c r="Q106" s="49">
        <f>資料儲存!J4882</f>
        <v>0</v>
      </c>
      <c r="R106" s="52"/>
      <c r="S106" s="70">
        <v>21</v>
      </c>
      <c r="T106" s="49">
        <f>資料儲存!D5002</f>
        <v>0</v>
      </c>
      <c r="U106" s="49">
        <f>資料儲存!E5002</f>
        <v>0</v>
      </c>
      <c r="V106" s="49">
        <f>資料儲存!F5002</f>
        <v>0</v>
      </c>
      <c r="W106" s="49">
        <f>資料儲存!G5002</f>
        <v>0</v>
      </c>
      <c r="X106" s="49">
        <f>資料儲存!H5002</f>
        <v>0</v>
      </c>
      <c r="Y106" s="49">
        <f>資料儲存!I5002</f>
        <v>0</v>
      </c>
      <c r="Z106" s="49">
        <f>資料儲存!J5002</f>
        <v>0</v>
      </c>
      <c r="AA106" s="52"/>
      <c r="AB106" s="70">
        <v>21</v>
      </c>
      <c r="AC106" s="49">
        <f>資料儲存!D5122</f>
        <v>0</v>
      </c>
      <c r="AD106" s="49">
        <f>資料儲存!E5122</f>
        <v>0</v>
      </c>
      <c r="AE106" s="49">
        <f>資料儲存!F5122</f>
        <v>0</v>
      </c>
      <c r="AF106" s="49">
        <f>資料儲存!G5122</f>
        <v>0</v>
      </c>
      <c r="AG106" s="49">
        <f>資料儲存!H5122</f>
        <v>0</v>
      </c>
      <c r="AH106" s="49">
        <f>資料儲存!I5122</f>
        <v>0</v>
      </c>
      <c r="AI106" s="49">
        <f>資料儲存!J5122</f>
        <v>0</v>
      </c>
      <c r="AJ106" s="52"/>
      <c r="AK106" s="70">
        <v>21</v>
      </c>
      <c r="AL106" s="49">
        <f>資料儲存!D5242</f>
        <v>0</v>
      </c>
      <c r="AM106" s="49">
        <f>資料儲存!E5242</f>
        <v>0</v>
      </c>
      <c r="AN106" s="49">
        <f>資料儲存!F5242</f>
        <v>0</v>
      </c>
      <c r="AO106" s="49">
        <f>資料儲存!G5242</f>
        <v>0</v>
      </c>
      <c r="AP106" s="49">
        <f>資料儲存!H5242</f>
        <v>0</v>
      </c>
      <c r="AQ106" s="49">
        <f>資料儲存!I5242</f>
        <v>0</v>
      </c>
      <c r="AR106" s="49">
        <f>資料儲存!J5242</f>
        <v>0</v>
      </c>
      <c r="AT106" s="70">
        <v>21</v>
      </c>
      <c r="AU106" s="49">
        <f>資料儲存!D5362</f>
        <v>0</v>
      </c>
      <c r="AV106" s="49">
        <f>資料儲存!E5362</f>
        <v>0</v>
      </c>
      <c r="AW106" s="49">
        <f>資料儲存!F5362</f>
        <v>0</v>
      </c>
      <c r="AX106" s="49">
        <f>資料儲存!G5362</f>
        <v>0</v>
      </c>
      <c r="AY106" s="49">
        <f>資料儲存!H5362</f>
        <v>0</v>
      </c>
      <c r="AZ106" s="49">
        <f>資料儲存!I5362</f>
        <v>0</v>
      </c>
      <c r="BA106" s="49">
        <f>資料儲存!J5362</f>
        <v>0</v>
      </c>
    </row>
    <row r="107" spans="1:53" s="67" customFormat="1" ht="16" thickBot="1">
      <c r="A107" s="70">
        <v>22</v>
      </c>
      <c r="B107" s="49">
        <f>資料儲存!D4763</f>
        <v>0</v>
      </c>
      <c r="C107" s="49">
        <f>資料儲存!E4763</f>
        <v>0</v>
      </c>
      <c r="D107" s="49">
        <f>資料儲存!F4763</f>
        <v>0</v>
      </c>
      <c r="E107" s="49">
        <f>資料儲存!G4763</f>
        <v>0</v>
      </c>
      <c r="F107" s="49">
        <f>資料儲存!H4763</f>
        <v>0</v>
      </c>
      <c r="G107" s="49">
        <f>資料儲存!I4763</f>
        <v>0</v>
      </c>
      <c r="H107" s="49">
        <f>資料儲存!J4763</f>
        <v>0</v>
      </c>
      <c r="I107" s="52"/>
      <c r="J107" s="70">
        <v>22</v>
      </c>
      <c r="K107" s="49">
        <f>資料儲存!D4883</f>
        <v>0</v>
      </c>
      <c r="L107" s="49">
        <f>資料儲存!E4883</f>
        <v>0</v>
      </c>
      <c r="M107" s="49">
        <f>資料儲存!F4883</f>
        <v>0</v>
      </c>
      <c r="N107" s="49">
        <f>資料儲存!G4883</f>
        <v>0</v>
      </c>
      <c r="O107" s="49">
        <f>資料儲存!H4883</f>
        <v>0</v>
      </c>
      <c r="P107" s="49">
        <f>資料儲存!I4883</f>
        <v>0</v>
      </c>
      <c r="Q107" s="49">
        <f>資料儲存!J4883</f>
        <v>0</v>
      </c>
      <c r="R107" s="52"/>
      <c r="S107" s="70">
        <v>22</v>
      </c>
      <c r="T107" s="49">
        <f>資料儲存!D5003</f>
        <v>0</v>
      </c>
      <c r="U107" s="49">
        <f>資料儲存!E5003</f>
        <v>0</v>
      </c>
      <c r="V107" s="49">
        <f>資料儲存!F5003</f>
        <v>0</v>
      </c>
      <c r="W107" s="49">
        <f>資料儲存!G5003</f>
        <v>0</v>
      </c>
      <c r="X107" s="49">
        <f>資料儲存!H5003</f>
        <v>0</v>
      </c>
      <c r="Y107" s="49">
        <f>資料儲存!I5003</f>
        <v>0</v>
      </c>
      <c r="Z107" s="49">
        <f>資料儲存!J5003</f>
        <v>0</v>
      </c>
      <c r="AA107" s="52"/>
      <c r="AB107" s="70">
        <v>22</v>
      </c>
      <c r="AC107" s="49">
        <f>資料儲存!D5123</f>
        <v>0</v>
      </c>
      <c r="AD107" s="49">
        <f>資料儲存!E5123</f>
        <v>0</v>
      </c>
      <c r="AE107" s="49">
        <f>資料儲存!F5123</f>
        <v>0</v>
      </c>
      <c r="AF107" s="49">
        <f>資料儲存!G5123</f>
        <v>0</v>
      </c>
      <c r="AG107" s="49">
        <f>資料儲存!H5123</f>
        <v>0</v>
      </c>
      <c r="AH107" s="49">
        <f>資料儲存!I5123</f>
        <v>0</v>
      </c>
      <c r="AI107" s="49">
        <f>資料儲存!J5123</f>
        <v>0</v>
      </c>
      <c r="AJ107" s="52"/>
      <c r="AK107" s="70">
        <v>22</v>
      </c>
      <c r="AL107" s="49">
        <f>資料儲存!D5243</f>
        <v>0</v>
      </c>
      <c r="AM107" s="49">
        <f>資料儲存!E5243</f>
        <v>0</v>
      </c>
      <c r="AN107" s="49">
        <f>資料儲存!F5243</f>
        <v>0</v>
      </c>
      <c r="AO107" s="49">
        <f>資料儲存!G5243</f>
        <v>0</v>
      </c>
      <c r="AP107" s="49">
        <f>資料儲存!H5243</f>
        <v>0</v>
      </c>
      <c r="AQ107" s="49">
        <f>資料儲存!I5243</f>
        <v>0</v>
      </c>
      <c r="AR107" s="49">
        <f>資料儲存!J5243</f>
        <v>0</v>
      </c>
      <c r="AT107" s="70">
        <v>22</v>
      </c>
      <c r="AU107" s="49">
        <f>資料儲存!D5363</f>
        <v>0</v>
      </c>
      <c r="AV107" s="49">
        <f>資料儲存!E5363</f>
        <v>0</v>
      </c>
      <c r="AW107" s="49">
        <f>資料儲存!F5363</f>
        <v>0</v>
      </c>
      <c r="AX107" s="49">
        <f>資料儲存!G5363</f>
        <v>0</v>
      </c>
      <c r="AY107" s="49">
        <f>資料儲存!H5363</f>
        <v>0</v>
      </c>
      <c r="AZ107" s="49">
        <f>資料儲存!I5363</f>
        <v>0</v>
      </c>
      <c r="BA107" s="49">
        <f>資料儲存!J5363</f>
        <v>0</v>
      </c>
    </row>
    <row r="108" spans="1:53" s="67" customFormat="1" ht="16" thickBot="1">
      <c r="A108" s="70">
        <v>23</v>
      </c>
      <c r="B108" s="49">
        <f>資料儲存!D4764</f>
        <v>0</v>
      </c>
      <c r="C108" s="49">
        <f>資料儲存!E4764</f>
        <v>0</v>
      </c>
      <c r="D108" s="49">
        <f>資料儲存!F4764</f>
        <v>0</v>
      </c>
      <c r="E108" s="49">
        <f>資料儲存!G4764</f>
        <v>0</v>
      </c>
      <c r="F108" s="49">
        <f>資料儲存!H4764</f>
        <v>0</v>
      </c>
      <c r="G108" s="49">
        <f>資料儲存!I4764</f>
        <v>0</v>
      </c>
      <c r="H108" s="49">
        <f>資料儲存!J4764</f>
        <v>0</v>
      </c>
      <c r="I108" s="52"/>
      <c r="J108" s="70">
        <v>23</v>
      </c>
      <c r="K108" s="49">
        <f>資料儲存!D4884</f>
        <v>0</v>
      </c>
      <c r="L108" s="49">
        <f>資料儲存!E4884</f>
        <v>0</v>
      </c>
      <c r="M108" s="49">
        <f>資料儲存!F4884</f>
        <v>0</v>
      </c>
      <c r="N108" s="49">
        <f>資料儲存!G4884</f>
        <v>0</v>
      </c>
      <c r="O108" s="49">
        <f>資料儲存!H4884</f>
        <v>0</v>
      </c>
      <c r="P108" s="49">
        <f>資料儲存!I4884</f>
        <v>0</v>
      </c>
      <c r="Q108" s="49">
        <f>資料儲存!J4884</f>
        <v>0</v>
      </c>
      <c r="R108" s="52"/>
      <c r="S108" s="70">
        <v>23</v>
      </c>
      <c r="T108" s="49">
        <f>資料儲存!D5004</f>
        <v>0</v>
      </c>
      <c r="U108" s="49">
        <f>資料儲存!E5004</f>
        <v>0</v>
      </c>
      <c r="V108" s="49">
        <f>資料儲存!F5004</f>
        <v>0</v>
      </c>
      <c r="W108" s="49">
        <f>資料儲存!G5004</f>
        <v>0</v>
      </c>
      <c r="X108" s="49">
        <f>資料儲存!H5004</f>
        <v>0</v>
      </c>
      <c r="Y108" s="49">
        <f>資料儲存!I5004</f>
        <v>0</v>
      </c>
      <c r="Z108" s="49">
        <f>資料儲存!J5004</f>
        <v>0</v>
      </c>
      <c r="AA108" s="52"/>
      <c r="AB108" s="70">
        <v>23</v>
      </c>
      <c r="AC108" s="49">
        <f>資料儲存!D5124</f>
        <v>0</v>
      </c>
      <c r="AD108" s="49">
        <f>資料儲存!E5124</f>
        <v>0</v>
      </c>
      <c r="AE108" s="49">
        <f>資料儲存!F5124</f>
        <v>0</v>
      </c>
      <c r="AF108" s="49">
        <f>資料儲存!G5124</f>
        <v>0</v>
      </c>
      <c r="AG108" s="49">
        <f>資料儲存!H5124</f>
        <v>0</v>
      </c>
      <c r="AH108" s="49">
        <f>資料儲存!I5124</f>
        <v>0</v>
      </c>
      <c r="AI108" s="49">
        <f>資料儲存!J5124</f>
        <v>0</v>
      </c>
      <c r="AJ108" s="52"/>
      <c r="AK108" s="70">
        <v>23</v>
      </c>
      <c r="AL108" s="49">
        <f>資料儲存!D5244</f>
        <v>0</v>
      </c>
      <c r="AM108" s="49">
        <f>資料儲存!E5244</f>
        <v>0</v>
      </c>
      <c r="AN108" s="49">
        <f>資料儲存!F5244</f>
        <v>0</v>
      </c>
      <c r="AO108" s="49">
        <f>資料儲存!G5244</f>
        <v>0</v>
      </c>
      <c r="AP108" s="49">
        <f>資料儲存!H5244</f>
        <v>0</v>
      </c>
      <c r="AQ108" s="49">
        <f>資料儲存!I5244</f>
        <v>0</v>
      </c>
      <c r="AR108" s="49">
        <f>資料儲存!J5244</f>
        <v>0</v>
      </c>
      <c r="AT108" s="70">
        <v>23</v>
      </c>
      <c r="AU108" s="49">
        <f>資料儲存!D5364</f>
        <v>0</v>
      </c>
      <c r="AV108" s="49">
        <f>資料儲存!E5364</f>
        <v>0</v>
      </c>
      <c r="AW108" s="49">
        <f>資料儲存!F5364</f>
        <v>0</v>
      </c>
      <c r="AX108" s="49">
        <f>資料儲存!G5364</f>
        <v>0</v>
      </c>
      <c r="AY108" s="49">
        <f>資料儲存!H5364</f>
        <v>0</v>
      </c>
      <c r="AZ108" s="49">
        <f>資料儲存!I5364</f>
        <v>0</v>
      </c>
      <c r="BA108" s="49">
        <f>資料儲存!J5364</f>
        <v>0</v>
      </c>
    </row>
    <row r="109" spans="1:53" s="67" customFormat="1" ht="16" thickBot="1">
      <c r="A109" s="70">
        <v>24</v>
      </c>
      <c r="B109" s="49">
        <f>資料儲存!D4765</f>
        <v>0</v>
      </c>
      <c r="C109" s="49">
        <f>資料儲存!E4765</f>
        <v>0</v>
      </c>
      <c r="D109" s="49">
        <f>資料儲存!F4765</f>
        <v>0</v>
      </c>
      <c r="E109" s="49">
        <f>資料儲存!G4765</f>
        <v>0</v>
      </c>
      <c r="F109" s="49">
        <f>資料儲存!H4765</f>
        <v>0</v>
      </c>
      <c r="G109" s="49">
        <f>資料儲存!I4765</f>
        <v>0</v>
      </c>
      <c r="H109" s="49">
        <f>資料儲存!J4765</f>
        <v>0</v>
      </c>
      <c r="I109" s="52"/>
      <c r="J109" s="70">
        <v>24</v>
      </c>
      <c r="K109" s="49">
        <f>資料儲存!D4885</f>
        <v>0</v>
      </c>
      <c r="L109" s="49">
        <f>資料儲存!E4885</f>
        <v>0</v>
      </c>
      <c r="M109" s="49">
        <f>資料儲存!F4885</f>
        <v>0</v>
      </c>
      <c r="N109" s="49">
        <f>資料儲存!G4885</f>
        <v>0</v>
      </c>
      <c r="O109" s="49">
        <f>資料儲存!H4885</f>
        <v>0</v>
      </c>
      <c r="P109" s="49">
        <f>資料儲存!I4885</f>
        <v>0</v>
      </c>
      <c r="Q109" s="49">
        <f>資料儲存!J4885</f>
        <v>0</v>
      </c>
      <c r="R109" s="52"/>
      <c r="S109" s="70">
        <v>24</v>
      </c>
      <c r="T109" s="49">
        <f>資料儲存!D5005</f>
        <v>0</v>
      </c>
      <c r="U109" s="49">
        <f>資料儲存!E5005</f>
        <v>0</v>
      </c>
      <c r="V109" s="49">
        <f>資料儲存!F5005</f>
        <v>0</v>
      </c>
      <c r="W109" s="49">
        <f>資料儲存!G5005</f>
        <v>0</v>
      </c>
      <c r="X109" s="49">
        <f>資料儲存!H5005</f>
        <v>0</v>
      </c>
      <c r="Y109" s="49">
        <f>資料儲存!I5005</f>
        <v>0</v>
      </c>
      <c r="Z109" s="49">
        <f>資料儲存!J5005</f>
        <v>0</v>
      </c>
      <c r="AA109" s="52"/>
      <c r="AB109" s="70">
        <v>24</v>
      </c>
      <c r="AC109" s="49">
        <f>資料儲存!D5125</f>
        <v>0</v>
      </c>
      <c r="AD109" s="49">
        <f>資料儲存!E5125</f>
        <v>0</v>
      </c>
      <c r="AE109" s="49">
        <f>資料儲存!F5125</f>
        <v>0</v>
      </c>
      <c r="AF109" s="49">
        <f>資料儲存!G5125</f>
        <v>0</v>
      </c>
      <c r="AG109" s="49">
        <f>資料儲存!H5125</f>
        <v>0</v>
      </c>
      <c r="AH109" s="49">
        <f>資料儲存!I5125</f>
        <v>0</v>
      </c>
      <c r="AI109" s="49">
        <f>資料儲存!J5125</f>
        <v>0</v>
      </c>
      <c r="AJ109" s="52"/>
      <c r="AK109" s="70">
        <v>24</v>
      </c>
      <c r="AL109" s="49">
        <f>資料儲存!D5245</f>
        <v>0</v>
      </c>
      <c r="AM109" s="49">
        <f>資料儲存!E5245</f>
        <v>0</v>
      </c>
      <c r="AN109" s="49">
        <f>資料儲存!F5245</f>
        <v>0</v>
      </c>
      <c r="AO109" s="49">
        <f>資料儲存!G5245</f>
        <v>0</v>
      </c>
      <c r="AP109" s="49">
        <f>資料儲存!H5245</f>
        <v>0</v>
      </c>
      <c r="AQ109" s="49">
        <f>資料儲存!I5245</f>
        <v>0</v>
      </c>
      <c r="AR109" s="49">
        <f>資料儲存!J5245</f>
        <v>0</v>
      </c>
      <c r="AT109" s="70">
        <v>24</v>
      </c>
      <c r="AU109" s="49">
        <f>資料儲存!D5365</f>
        <v>0</v>
      </c>
      <c r="AV109" s="49">
        <f>資料儲存!E5365</f>
        <v>0</v>
      </c>
      <c r="AW109" s="49">
        <f>資料儲存!F5365</f>
        <v>0</v>
      </c>
      <c r="AX109" s="49">
        <f>資料儲存!G5365</f>
        <v>0</v>
      </c>
      <c r="AY109" s="49">
        <f>資料儲存!H5365</f>
        <v>0</v>
      </c>
      <c r="AZ109" s="49">
        <f>資料儲存!I5365</f>
        <v>0</v>
      </c>
      <c r="BA109" s="49">
        <f>資料儲存!J5365</f>
        <v>0</v>
      </c>
    </row>
    <row r="110" spans="1:53" s="67" customFormat="1" ht="16" thickBot="1">
      <c r="A110" s="70">
        <v>25</v>
      </c>
      <c r="B110" s="49">
        <f>資料儲存!D4766</f>
        <v>0</v>
      </c>
      <c r="C110" s="49">
        <f>資料儲存!E4766</f>
        <v>0</v>
      </c>
      <c r="D110" s="49">
        <f>資料儲存!F4766</f>
        <v>0</v>
      </c>
      <c r="E110" s="49">
        <f>資料儲存!G4766</f>
        <v>0</v>
      </c>
      <c r="F110" s="49">
        <f>資料儲存!H4766</f>
        <v>0</v>
      </c>
      <c r="G110" s="49">
        <f>資料儲存!I4766</f>
        <v>0</v>
      </c>
      <c r="H110" s="49">
        <f>資料儲存!J4766</f>
        <v>0</v>
      </c>
      <c r="I110" s="52"/>
      <c r="J110" s="70">
        <v>25</v>
      </c>
      <c r="K110" s="49">
        <f>資料儲存!D4886</f>
        <v>0</v>
      </c>
      <c r="L110" s="49">
        <f>資料儲存!E4886</f>
        <v>0</v>
      </c>
      <c r="M110" s="49">
        <f>資料儲存!F4886</f>
        <v>0</v>
      </c>
      <c r="N110" s="49">
        <f>資料儲存!G4886</f>
        <v>0</v>
      </c>
      <c r="O110" s="49">
        <f>資料儲存!H4886</f>
        <v>0</v>
      </c>
      <c r="P110" s="49">
        <f>資料儲存!I4886</f>
        <v>0</v>
      </c>
      <c r="Q110" s="49">
        <f>資料儲存!J4886</f>
        <v>0</v>
      </c>
      <c r="R110" s="52"/>
      <c r="S110" s="70">
        <v>25</v>
      </c>
      <c r="T110" s="49">
        <f>資料儲存!D5006</f>
        <v>0</v>
      </c>
      <c r="U110" s="49">
        <f>資料儲存!E5006</f>
        <v>0</v>
      </c>
      <c r="V110" s="49">
        <f>資料儲存!F5006</f>
        <v>0</v>
      </c>
      <c r="W110" s="49">
        <f>資料儲存!G5006</f>
        <v>0</v>
      </c>
      <c r="X110" s="49">
        <f>資料儲存!H5006</f>
        <v>0</v>
      </c>
      <c r="Y110" s="49">
        <f>資料儲存!I5006</f>
        <v>0</v>
      </c>
      <c r="Z110" s="49">
        <f>資料儲存!J5006</f>
        <v>0</v>
      </c>
      <c r="AA110" s="52"/>
      <c r="AB110" s="70">
        <v>25</v>
      </c>
      <c r="AC110" s="49">
        <f>資料儲存!D5126</f>
        <v>0</v>
      </c>
      <c r="AD110" s="49">
        <f>資料儲存!E5126</f>
        <v>0</v>
      </c>
      <c r="AE110" s="49">
        <f>資料儲存!F5126</f>
        <v>0</v>
      </c>
      <c r="AF110" s="49">
        <f>資料儲存!G5126</f>
        <v>0</v>
      </c>
      <c r="AG110" s="49">
        <f>資料儲存!H5126</f>
        <v>0</v>
      </c>
      <c r="AH110" s="49">
        <f>資料儲存!I5126</f>
        <v>0</v>
      </c>
      <c r="AI110" s="49">
        <f>資料儲存!J5126</f>
        <v>0</v>
      </c>
      <c r="AJ110" s="52"/>
      <c r="AK110" s="70">
        <v>25</v>
      </c>
      <c r="AL110" s="49">
        <f>資料儲存!D5246</f>
        <v>0</v>
      </c>
      <c r="AM110" s="49">
        <f>資料儲存!E5246</f>
        <v>0</v>
      </c>
      <c r="AN110" s="49">
        <f>資料儲存!F5246</f>
        <v>0</v>
      </c>
      <c r="AO110" s="49">
        <f>資料儲存!G5246</f>
        <v>0</v>
      </c>
      <c r="AP110" s="49">
        <f>資料儲存!H5246</f>
        <v>0</v>
      </c>
      <c r="AQ110" s="49">
        <f>資料儲存!I5246</f>
        <v>0</v>
      </c>
      <c r="AR110" s="49">
        <f>資料儲存!J5246</f>
        <v>0</v>
      </c>
      <c r="AT110" s="70">
        <v>25</v>
      </c>
      <c r="AU110" s="49">
        <f>資料儲存!D5366</f>
        <v>0</v>
      </c>
      <c r="AV110" s="49">
        <f>資料儲存!E5366</f>
        <v>0</v>
      </c>
      <c r="AW110" s="49">
        <f>資料儲存!F5366</f>
        <v>0</v>
      </c>
      <c r="AX110" s="49">
        <f>資料儲存!G5366</f>
        <v>0</v>
      </c>
      <c r="AY110" s="49">
        <f>資料儲存!H5366</f>
        <v>0</v>
      </c>
      <c r="AZ110" s="49">
        <f>資料儲存!I5366</f>
        <v>0</v>
      </c>
      <c r="BA110" s="49">
        <f>資料儲存!J5366</f>
        <v>0</v>
      </c>
    </row>
    <row r="111" spans="1:53" s="67" customFormat="1" ht="16" thickBot="1">
      <c r="A111" s="70">
        <v>26</v>
      </c>
      <c r="B111" s="49">
        <f>資料儲存!D4767</f>
        <v>0</v>
      </c>
      <c r="C111" s="49">
        <f>資料儲存!E4767</f>
        <v>0</v>
      </c>
      <c r="D111" s="49">
        <f>資料儲存!F4767</f>
        <v>0</v>
      </c>
      <c r="E111" s="49">
        <f>資料儲存!G4767</f>
        <v>0</v>
      </c>
      <c r="F111" s="49">
        <f>資料儲存!H4767</f>
        <v>0</v>
      </c>
      <c r="G111" s="49">
        <f>資料儲存!I4767</f>
        <v>0</v>
      </c>
      <c r="H111" s="49">
        <f>資料儲存!J4767</f>
        <v>0</v>
      </c>
      <c r="I111" s="52"/>
      <c r="J111" s="70">
        <v>26</v>
      </c>
      <c r="K111" s="49">
        <f>資料儲存!D4887</f>
        <v>0</v>
      </c>
      <c r="L111" s="49">
        <f>資料儲存!E4887</f>
        <v>0</v>
      </c>
      <c r="M111" s="49">
        <f>資料儲存!F4887</f>
        <v>0</v>
      </c>
      <c r="N111" s="49">
        <f>資料儲存!G4887</f>
        <v>0</v>
      </c>
      <c r="O111" s="49">
        <f>資料儲存!H4887</f>
        <v>0</v>
      </c>
      <c r="P111" s="49">
        <f>資料儲存!I4887</f>
        <v>0</v>
      </c>
      <c r="Q111" s="49">
        <f>資料儲存!J4887</f>
        <v>0</v>
      </c>
      <c r="R111" s="52"/>
      <c r="S111" s="70">
        <v>26</v>
      </c>
      <c r="T111" s="49">
        <f>資料儲存!D5007</f>
        <v>0</v>
      </c>
      <c r="U111" s="49">
        <f>資料儲存!E5007</f>
        <v>0</v>
      </c>
      <c r="V111" s="49">
        <f>資料儲存!F5007</f>
        <v>0</v>
      </c>
      <c r="W111" s="49">
        <f>資料儲存!G5007</f>
        <v>0</v>
      </c>
      <c r="X111" s="49">
        <f>資料儲存!H5007</f>
        <v>0</v>
      </c>
      <c r="Y111" s="49">
        <f>資料儲存!I5007</f>
        <v>0</v>
      </c>
      <c r="Z111" s="49">
        <f>資料儲存!J5007</f>
        <v>0</v>
      </c>
      <c r="AA111" s="52"/>
      <c r="AB111" s="70">
        <v>26</v>
      </c>
      <c r="AC111" s="49">
        <f>資料儲存!D5127</f>
        <v>0</v>
      </c>
      <c r="AD111" s="49">
        <f>資料儲存!E5127</f>
        <v>0</v>
      </c>
      <c r="AE111" s="49">
        <f>資料儲存!F5127</f>
        <v>0</v>
      </c>
      <c r="AF111" s="49">
        <f>資料儲存!G5127</f>
        <v>0</v>
      </c>
      <c r="AG111" s="49">
        <f>資料儲存!H5127</f>
        <v>0</v>
      </c>
      <c r="AH111" s="49">
        <f>資料儲存!I5127</f>
        <v>0</v>
      </c>
      <c r="AI111" s="49">
        <f>資料儲存!J5127</f>
        <v>0</v>
      </c>
      <c r="AJ111" s="52"/>
      <c r="AK111" s="70">
        <v>26</v>
      </c>
      <c r="AL111" s="49">
        <f>資料儲存!D5247</f>
        <v>0</v>
      </c>
      <c r="AM111" s="49">
        <f>資料儲存!E5247</f>
        <v>0</v>
      </c>
      <c r="AN111" s="49">
        <f>資料儲存!F5247</f>
        <v>0</v>
      </c>
      <c r="AO111" s="49">
        <f>資料儲存!G5247</f>
        <v>0</v>
      </c>
      <c r="AP111" s="49">
        <f>資料儲存!H5247</f>
        <v>0</v>
      </c>
      <c r="AQ111" s="49">
        <f>資料儲存!I5247</f>
        <v>0</v>
      </c>
      <c r="AR111" s="49">
        <f>資料儲存!J5247</f>
        <v>0</v>
      </c>
      <c r="AT111" s="70">
        <v>26</v>
      </c>
      <c r="AU111" s="49">
        <f>資料儲存!D5367</f>
        <v>0</v>
      </c>
      <c r="AV111" s="49">
        <f>資料儲存!E5367</f>
        <v>0</v>
      </c>
      <c r="AW111" s="49">
        <f>資料儲存!F5367</f>
        <v>0</v>
      </c>
      <c r="AX111" s="49">
        <f>資料儲存!G5367</f>
        <v>0</v>
      </c>
      <c r="AY111" s="49">
        <f>資料儲存!H5367</f>
        <v>0</v>
      </c>
      <c r="AZ111" s="49">
        <f>資料儲存!I5367</f>
        <v>0</v>
      </c>
      <c r="BA111" s="49">
        <f>資料儲存!J5367</f>
        <v>0</v>
      </c>
    </row>
    <row r="112" spans="1:53" s="67" customFormat="1" ht="16" thickBot="1">
      <c r="A112" s="70">
        <v>27</v>
      </c>
      <c r="B112" s="49">
        <f>資料儲存!D4768</f>
        <v>0</v>
      </c>
      <c r="C112" s="49">
        <f>資料儲存!E4768</f>
        <v>0</v>
      </c>
      <c r="D112" s="49">
        <f>資料儲存!F4768</f>
        <v>0</v>
      </c>
      <c r="E112" s="49">
        <f>資料儲存!G4768</f>
        <v>0</v>
      </c>
      <c r="F112" s="49">
        <f>資料儲存!H4768</f>
        <v>0</v>
      </c>
      <c r="G112" s="49">
        <f>資料儲存!I4768</f>
        <v>0</v>
      </c>
      <c r="H112" s="49">
        <f>資料儲存!J4768</f>
        <v>0</v>
      </c>
      <c r="I112" s="52"/>
      <c r="J112" s="70">
        <v>27</v>
      </c>
      <c r="K112" s="49">
        <f>資料儲存!D4888</f>
        <v>0</v>
      </c>
      <c r="L112" s="49">
        <f>資料儲存!E4888</f>
        <v>0</v>
      </c>
      <c r="M112" s="49">
        <f>資料儲存!F4888</f>
        <v>0</v>
      </c>
      <c r="N112" s="49">
        <f>資料儲存!G4888</f>
        <v>0</v>
      </c>
      <c r="O112" s="49">
        <f>資料儲存!H4888</f>
        <v>0</v>
      </c>
      <c r="P112" s="49">
        <f>資料儲存!I4888</f>
        <v>0</v>
      </c>
      <c r="Q112" s="49">
        <f>資料儲存!J4888</f>
        <v>0</v>
      </c>
      <c r="R112" s="52"/>
      <c r="S112" s="70">
        <v>27</v>
      </c>
      <c r="T112" s="49">
        <f>資料儲存!D5008</f>
        <v>0</v>
      </c>
      <c r="U112" s="49">
        <f>資料儲存!E5008</f>
        <v>0</v>
      </c>
      <c r="V112" s="49">
        <f>資料儲存!F5008</f>
        <v>0</v>
      </c>
      <c r="W112" s="49">
        <f>資料儲存!G5008</f>
        <v>0</v>
      </c>
      <c r="X112" s="49">
        <f>資料儲存!H5008</f>
        <v>0</v>
      </c>
      <c r="Y112" s="49">
        <f>資料儲存!I5008</f>
        <v>0</v>
      </c>
      <c r="Z112" s="49">
        <f>資料儲存!J5008</f>
        <v>0</v>
      </c>
      <c r="AA112" s="52"/>
      <c r="AB112" s="70">
        <v>27</v>
      </c>
      <c r="AC112" s="49">
        <f>資料儲存!D5128</f>
        <v>0</v>
      </c>
      <c r="AD112" s="49">
        <f>資料儲存!E5128</f>
        <v>0</v>
      </c>
      <c r="AE112" s="49">
        <f>資料儲存!F5128</f>
        <v>0</v>
      </c>
      <c r="AF112" s="49">
        <f>資料儲存!G5128</f>
        <v>0</v>
      </c>
      <c r="AG112" s="49">
        <f>資料儲存!H5128</f>
        <v>0</v>
      </c>
      <c r="AH112" s="49">
        <f>資料儲存!I5128</f>
        <v>0</v>
      </c>
      <c r="AI112" s="49">
        <f>資料儲存!J5128</f>
        <v>0</v>
      </c>
      <c r="AJ112" s="52"/>
      <c r="AK112" s="70">
        <v>27</v>
      </c>
      <c r="AL112" s="49">
        <f>資料儲存!D5248</f>
        <v>0</v>
      </c>
      <c r="AM112" s="49">
        <f>資料儲存!E5248</f>
        <v>0</v>
      </c>
      <c r="AN112" s="49">
        <f>資料儲存!F5248</f>
        <v>0</v>
      </c>
      <c r="AO112" s="49">
        <f>資料儲存!G5248</f>
        <v>0</v>
      </c>
      <c r="AP112" s="49">
        <f>資料儲存!H5248</f>
        <v>0</v>
      </c>
      <c r="AQ112" s="49">
        <f>資料儲存!I5248</f>
        <v>0</v>
      </c>
      <c r="AR112" s="49">
        <f>資料儲存!J5248</f>
        <v>0</v>
      </c>
      <c r="AT112" s="70">
        <v>27</v>
      </c>
      <c r="AU112" s="49">
        <f>資料儲存!D5368</f>
        <v>0</v>
      </c>
      <c r="AV112" s="49">
        <f>資料儲存!E5368</f>
        <v>0</v>
      </c>
      <c r="AW112" s="49">
        <f>資料儲存!F5368</f>
        <v>0</v>
      </c>
      <c r="AX112" s="49">
        <f>資料儲存!G5368</f>
        <v>0</v>
      </c>
      <c r="AY112" s="49">
        <f>資料儲存!H5368</f>
        <v>0</v>
      </c>
      <c r="AZ112" s="49">
        <f>資料儲存!I5368</f>
        <v>0</v>
      </c>
      <c r="BA112" s="49">
        <f>資料儲存!J5368</f>
        <v>0</v>
      </c>
    </row>
    <row r="113" spans="1:53" s="67" customFormat="1" ht="16" thickBot="1">
      <c r="A113" s="70">
        <v>28</v>
      </c>
      <c r="B113" s="49">
        <f>資料儲存!D4769</f>
        <v>0</v>
      </c>
      <c r="C113" s="49">
        <f>資料儲存!E4769</f>
        <v>0</v>
      </c>
      <c r="D113" s="49">
        <f>資料儲存!F4769</f>
        <v>0</v>
      </c>
      <c r="E113" s="49">
        <f>資料儲存!G4769</f>
        <v>0</v>
      </c>
      <c r="F113" s="49">
        <f>資料儲存!H4769</f>
        <v>0</v>
      </c>
      <c r="G113" s="49">
        <f>資料儲存!I4769</f>
        <v>0</v>
      </c>
      <c r="H113" s="49">
        <f>資料儲存!J4769</f>
        <v>0</v>
      </c>
      <c r="I113" s="52"/>
      <c r="J113" s="70">
        <v>28</v>
      </c>
      <c r="K113" s="49">
        <f>資料儲存!D4889</f>
        <v>0</v>
      </c>
      <c r="L113" s="49">
        <f>資料儲存!E4889</f>
        <v>0</v>
      </c>
      <c r="M113" s="49">
        <f>資料儲存!F4889</f>
        <v>0</v>
      </c>
      <c r="N113" s="49">
        <f>資料儲存!G4889</f>
        <v>0</v>
      </c>
      <c r="O113" s="49">
        <f>資料儲存!H4889</f>
        <v>0</v>
      </c>
      <c r="P113" s="49">
        <f>資料儲存!I4889</f>
        <v>0</v>
      </c>
      <c r="Q113" s="49">
        <f>資料儲存!J4889</f>
        <v>0</v>
      </c>
      <c r="R113" s="52"/>
      <c r="S113" s="70">
        <v>28</v>
      </c>
      <c r="T113" s="49">
        <f>資料儲存!D5009</f>
        <v>0</v>
      </c>
      <c r="U113" s="49">
        <f>資料儲存!E5009</f>
        <v>0</v>
      </c>
      <c r="V113" s="49">
        <f>資料儲存!F5009</f>
        <v>0</v>
      </c>
      <c r="W113" s="49">
        <f>資料儲存!G5009</f>
        <v>0</v>
      </c>
      <c r="X113" s="49">
        <f>資料儲存!H5009</f>
        <v>0</v>
      </c>
      <c r="Y113" s="49">
        <f>資料儲存!I5009</f>
        <v>0</v>
      </c>
      <c r="Z113" s="49">
        <f>資料儲存!J5009</f>
        <v>0</v>
      </c>
      <c r="AA113" s="52"/>
      <c r="AB113" s="70">
        <v>28</v>
      </c>
      <c r="AC113" s="49">
        <f>資料儲存!D5129</f>
        <v>0</v>
      </c>
      <c r="AD113" s="49">
        <f>資料儲存!E5129</f>
        <v>0</v>
      </c>
      <c r="AE113" s="49">
        <f>資料儲存!F5129</f>
        <v>0</v>
      </c>
      <c r="AF113" s="49">
        <f>資料儲存!G5129</f>
        <v>0</v>
      </c>
      <c r="AG113" s="49">
        <f>資料儲存!H5129</f>
        <v>0</v>
      </c>
      <c r="AH113" s="49">
        <f>資料儲存!I5129</f>
        <v>0</v>
      </c>
      <c r="AI113" s="49">
        <f>資料儲存!J5129</f>
        <v>0</v>
      </c>
      <c r="AJ113" s="52"/>
      <c r="AK113" s="70">
        <v>28</v>
      </c>
      <c r="AL113" s="49">
        <f>資料儲存!D5249</f>
        <v>0</v>
      </c>
      <c r="AM113" s="49">
        <f>資料儲存!E5249</f>
        <v>0</v>
      </c>
      <c r="AN113" s="49">
        <f>資料儲存!F5249</f>
        <v>0</v>
      </c>
      <c r="AO113" s="49">
        <f>資料儲存!G5249</f>
        <v>0</v>
      </c>
      <c r="AP113" s="49">
        <f>資料儲存!H5249</f>
        <v>0</v>
      </c>
      <c r="AQ113" s="49">
        <f>資料儲存!I5249</f>
        <v>0</v>
      </c>
      <c r="AR113" s="49">
        <f>資料儲存!J5249</f>
        <v>0</v>
      </c>
      <c r="AT113" s="70">
        <v>28</v>
      </c>
      <c r="AU113" s="49">
        <f>資料儲存!D5369</f>
        <v>0</v>
      </c>
      <c r="AV113" s="49">
        <f>資料儲存!E5369</f>
        <v>0</v>
      </c>
      <c r="AW113" s="49">
        <f>資料儲存!F5369</f>
        <v>0</v>
      </c>
      <c r="AX113" s="49">
        <f>資料儲存!G5369</f>
        <v>0</v>
      </c>
      <c r="AY113" s="49">
        <f>資料儲存!H5369</f>
        <v>0</v>
      </c>
      <c r="AZ113" s="49">
        <f>資料儲存!I5369</f>
        <v>0</v>
      </c>
      <c r="BA113" s="49">
        <f>資料儲存!J5369</f>
        <v>0</v>
      </c>
    </row>
    <row r="114" spans="1:53" s="67" customFormat="1" ht="16" thickBot="1">
      <c r="A114" s="70">
        <v>29</v>
      </c>
      <c r="B114" s="49">
        <f>資料儲存!D4770</f>
        <v>0</v>
      </c>
      <c r="C114" s="49">
        <f>資料儲存!E4770</f>
        <v>0</v>
      </c>
      <c r="D114" s="49">
        <f>資料儲存!F4770</f>
        <v>0</v>
      </c>
      <c r="E114" s="49">
        <f>資料儲存!G4770</f>
        <v>0</v>
      </c>
      <c r="F114" s="49">
        <f>資料儲存!H4770</f>
        <v>0</v>
      </c>
      <c r="G114" s="49">
        <f>資料儲存!I4770</f>
        <v>0</v>
      </c>
      <c r="H114" s="49">
        <f>資料儲存!J4770</f>
        <v>0</v>
      </c>
      <c r="I114" s="52"/>
      <c r="J114" s="70">
        <v>29</v>
      </c>
      <c r="K114" s="49">
        <f>資料儲存!D4890</f>
        <v>0</v>
      </c>
      <c r="L114" s="49">
        <f>資料儲存!E4890</f>
        <v>0</v>
      </c>
      <c r="M114" s="49">
        <f>資料儲存!F4890</f>
        <v>0</v>
      </c>
      <c r="N114" s="49">
        <f>資料儲存!G4890</f>
        <v>0</v>
      </c>
      <c r="O114" s="49">
        <f>資料儲存!H4890</f>
        <v>0</v>
      </c>
      <c r="P114" s="49">
        <f>資料儲存!I4890</f>
        <v>0</v>
      </c>
      <c r="Q114" s="49">
        <f>資料儲存!J4890</f>
        <v>0</v>
      </c>
      <c r="R114" s="52"/>
      <c r="S114" s="70">
        <v>29</v>
      </c>
      <c r="T114" s="49">
        <f>資料儲存!D5010</f>
        <v>0</v>
      </c>
      <c r="U114" s="49">
        <f>資料儲存!E5010</f>
        <v>0</v>
      </c>
      <c r="V114" s="49">
        <f>資料儲存!F5010</f>
        <v>0</v>
      </c>
      <c r="W114" s="49">
        <f>資料儲存!G5010</f>
        <v>0</v>
      </c>
      <c r="X114" s="49">
        <f>資料儲存!H5010</f>
        <v>0</v>
      </c>
      <c r="Y114" s="49">
        <f>資料儲存!I5010</f>
        <v>0</v>
      </c>
      <c r="Z114" s="49">
        <f>資料儲存!J5010</f>
        <v>0</v>
      </c>
      <c r="AA114" s="52"/>
      <c r="AB114" s="70">
        <v>29</v>
      </c>
      <c r="AC114" s="49">
        <f>資料儲存!D5130</f>
        <v>0</v>
      </c>
      <c r="AD114" s="49">
        <f>資料儲存!E5130</f>
        <v>0</v>
      </c>
      <c r="AE114" s="49">
        <f>資料儲存!F5130</f>
        <v>0</v>
      </c>
      <c r="AF114" s="49">
        <f>資料儲存!G5130</f>
        <v>0</v>
      </c>
      <c r="AG114" s="49">
        <f>資料儲存!H5130</f>
        <v>0</v>
      </c>
      <c r="AH114" s="49">
        <f>資料儲存!I5130</f>
        <v>0</v>
      </c>
      <c r="AI114" s="49">
        <f>資料儲存!J5130</f>
        <v>0</v>
      </c>
      <c r="AJ114" s="52"/>
      <c r="AK114" s="70">
        <v>29</v>
      </c>
      <c r="AL114" s="49">
        <f>資料儲存!D5250</f>
        <v>0</v>
      </c>
      <c r="AM114" s="49">
        <f>資料儲存!E5250</f>
        <v>0</v>
      </c>
      <c r="AN114" s="49">
        <f>資料儲存!F5250</f>
        <v>0</v>
      </c>
      <c r="AO114" s="49">
        <f>資料儲存!G5250</f>
        <v>0</v>
      </c>
      <c r="AP114" s="49">
        <f>資料儲存!H5250</f>
        <v>0</v>
      </c>
      <c r="AQ114" s="49">
        <f>資料儲存!I5250</f>
        <v>0</v>
      </c>
      <c r="AR114" s="49">
        <f>資料儲存!J5250</f>
        <v>0</v>
      </c>
      <c r="AT114" s="70">
        <v>29</v>
      </c>
      <c r="AU114" s="49">
        <f>資料儲存!D5370</f>
        <v>0</v>
      </c>
      <c r="AV114" s="49">
        <f>資料儲存!E5370</f>
        <v>0</v>
      </c>
      <c r="AW114" s="49">
        <f>資料儲存!F5370</f>
        <v>0</v>
      </c>
      <c r="AX114" s="49">
        <f>資料儲存!G5370</f>
        <v>0</v>
      </c>
      <c r="AY114" s="49">
        <f>資料儲存!H5370</f>
        <v>0</v>
      </c>
      <c r="AZ114" s="49">
        <f>資料儲存!I5370</f>
        <v>0</v>
      </c>
      <c r="BA114" s="49">
        <f>資料儲存!J5370</f>
        <v>0</v>
      </c>
    </row>
    <row r="115" spans="1:53" s="67" customFormat="1" ht="16" thickBot="1">
      <c r="A115" s="70">
        <v>30</v>
      </c>
      <c r="B115" s="49">
        <f>資料儲存!D4771</f>
        <v>0</v>
      </c>
      <c r="C115" s="49">
        <f>資料儲存!E4771</f>
        <v>0</v>
      </c>
      <c r="D115" s="49">
        <f>資料儲存!F4771</f>
        <v>0</v>
      </c>
      <c r="E115" s="49">
        <f>資料儲存!G4771</f>
        <v>0</v>
      </c>
      <c r="F115" s="49">
        <f>資料儲存!H4771</f>
        <v>0</v>
      </c>
      <c r="G115" s="49">
        <f>資料儲存!I4771</f>
        <v>0</v>
      </c>
      <c r="H115" s="49">
        <f>資料儲存!J4771</f>
        <v>0</v>
      </c>
      <c r="I115" s="52"/>
      <c r="J115" s="70">
        <v>30</v>
      </c>
      <c r="K115" s="49">
        <f>資料儲存!D4891</f>
        <v>0</v>
      </c>
      <c r="L115" s="49">
        <f>資料儲存!E4891</f>
        <v>0</v>
      </c>
      <c r="M115" s="49">
        <f>資料儲存!F4891</f>
        <v>0</v>
      </c>
      <c r="N115" s="49">
        <f>資料儲存!G4891</f>
        <v>0</v>
      </c>
      <c r="O115" s="49">
        <f>資料儲存!H4891</f>
        <v>0</v>
      </c>
      <c r="P115" s="49">
        <f>資料儲存!I4891</f>
        <v>0</v>
      </c>
      <c r="Q115" s="49">
        <f>資料儲存!J4891</f>
        <v>0</v>
      </c>
      <c r="R115" s="52"/>
      <c r="S115" s="70">
        <v>30</v>
      </c>
      <c r="T115" s="49">
        <f>資料儲存!D5011</f>
        <v>0</v>
      </c>
      <c r="U115" s="49">
        <f>資料儲存!E5011</f>
        <v>0</v>
      </c>
      <c r="V115" s="49">
        <f>資料儲存!F5011</f>
        <v>0</v>
      </c>
      <c r="W115" s="49">
        <f>資料儲存!G5011</f>
        <v>0</v>
      </c>
      <c r="X115" s="49">
        <f>資料儲存!H5011</f>
        <v>0</v>
      </c>
      <c r="Y115" s="49">
        <f>資料儲存!I5011</f>
        <v>0</v>
      </c>
      <c r="Z115" s="49">
        <f>資料儲存!J5011</f>
        <v>0</v>
      </c>
      <c r="AA115" s="52"/>
      <c r="AB115" s="70">
        <v>30</v>
      </c>
      <c r="AC115" s="49">
        <f>資料儲存!D5131</f>
        <v>0</v>
      </c>
      <c r="AD115" s="49">
        <f>資料儲存!E5131</f>
        <v>0</v>
      </c>
      <c r="AE115" s="49">
        <f>資料儲存!F5131</f>
        <v>0</v>
      </c>
      <c r="AF115" s="49">
        <f>資料儲存!G5131</f>
        <v>0</v>
      </c>
      <c r="AG115" s="49">
        <f>資料儲存!H5131</f>
        <v>0</v>
      </c>
      <c r="AH115" s="49">
        <f>資料儲存!I5131</f>
        <v>0</v>
      </c>
      <c r="AI115" s="49">
        <f>資料儲存!J5131</f>
        <v>0</v>
      </c>
      <c r="AJ115" s="52"/>
      <c r="AK115" s="70">
        <v>30</v>
      </c>
      <c r="AL115" s="49">
        <f>資料儲存!D5251</f>
        <v>0</v>
      </c>
      <c r="AM115" s="49">
        <f>資料儲存!E5251</f>
        <v>0</v>
      </c>
      <c r="AN115" s="49">
        <f>資料儲存!F5251</f>
        <v>0</v>
      </c>
      <c r="AO115" s="49">
        <f>資料儲存!G5251</f>
        <v>0</v>
      </c>
      <c r="AP115" s="49">
        <f>資料儲存!H5251</f>
        <v>0</v>
      </c>
      <c r="AQ115" s="49">
        <f>資料儲存!I5251</f>
        <v>0</v>
      </c>
      <c r="AR115" s="49">
        <f>資料儲存!J5251</f>
        <v>0</v>
      </c>
      <c r="AT115" s="70">
        <v>30</v>
      </c>
      <c r="AU115" s="49">
        <f>資料儲存!D5371</f>
        <v>0</v>
      </c>
      <c r="AV115" s="49">
        <f>資料儲存!E5371</f>
        <v>0</v>
      </c>
      <c r="AW115" s="49">
        <f>資料儲存!F5371</f>
        <v>0</v>
      </c>
      <c r="AX115" s="49">
        <f>資料儲存!G5371</f>
        <v>0</v>
      </c>
      <c r="AY115" s="49">
        <f>資料儲存!H5371</f>
        <v>0</v>
      </c>
      <c r="AZ115" s="49">
        <f>資料儲存!I5371</f>
        <v>0</v>
      </c>
      <c r="BA115" s="49">
        <f>資料儲存!J5371</f>
        <v>0</v>
      </c>
    </row>
    <row r="116" spans="1:53" s="67" customFormat="1" ht="17.25" customHeight="1" thickBot="1">
      <c r="A116" s="50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0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0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0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45"/>
      <c r="AK116" s="50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  <c r="AT116" s="50" t="s">
        <v>56</v>
      </c>
      <c r="AU116" s="49">
        <f>SUM(AU101:AX115)</f>
        <v>0</v>
      </c>
      <c r="AV116" s="47"/>
      <c r="AW116" s="47"/>
      <c r="AX116" s="47"/>
      <c r="AY116" s="49">
        <f>AY115</f>
        <v>0</v>
      </c>
      <c r="AZ116" s="49">
        <f>AZ115</f>
        <v>0</v>
      </c>
      <c r="BA116" s="49">
        <f>BA115</f>
        <v>0</v>
      </c>
    </row>
    <row r="117" spans="1:53" ht="18.5" thickBot="1">
      <c r="A117" s="257" t="s">
        <v>113</v>
      </c>
      <c r="B117" s="258"/>
      <c r="C117" s="258"/>
      <c r="D117" s="258"/>
      <c r="E117" s="258"/>
      <c r="F117" s="258"/>
      <c r="G117" s="258"/>
      <c r="H117" s="259"/>
      <c r="I117" s="14"/>
      <c r="J117" s="257" t="s">
        <v>113</v>
      </c>
      <c r="K117" s="258"/>
      <c r="L117" s="258"/>
      <c r="M117" s="258"/>
      <c r="N117" s="258"/>
      <c r="O117" s="258"/>
      <c r="P117" s="258"/>
      <c r="Q117" s="259"/>
      <c r="R117" s="14"/>
      <c r="S117" s="257" t="s">
        <v>113</v>
      </c>
      <c r="T117" s="258"/>
      <c r="U117" s="258"/>
      <c r="V117" s="258"/>
      <c r="W117" s="258"/>
      <c r="X117" s="258"/>
      <c r="Y117" s="258"/>
      <c r="Z117" s="259"/>
      <c r="AA117" s="14"/>
      <c r="AB117" s="257" t="s">
        <v>113</v>
      </c>
      <c r="AC117" s="258"/>
      <c r="AD117" s="258"/>
      <c r="AE117" s="258"/>
      <c r="AF117" s="258"/>
      <c r="AG117" s="258"/>
      <c r="AH117" s="258"/>
      <c r="AI117" s="259"/>
      <c r="AJ117" s="14"/>
      <c r="AK117" s="257" t="s">
        <v>113</v>
      </c>
      <c r="AL117" s="258"/>
      <c r="AM117" s="258"/>
      <c r="AN117" s="258"/>
      <c r="AO117" s="258"/>
      <c r="AP117" s="258"/>
      <c r="AQ117" s="258"/>
      <c r="AR117" s="259"/>
      <c r="AT117" s="257" t="s">
        <v>113</v>
      </c>
      <c r="AU117" s="258"/>
      <c r="AV117" s="258"/>
      <c r="AW117" s="258"/>
      <c r="AX117" s="258"/>
      <c r="AY117" s="258"/>
      <c r="AZ117" s="258"/>
      <c r="BA117" s="259"/>
    </row>
    <row r="118" spans="1:53" s="59" customFormat="1" ht="17.25" customHeight="1" thickBot="1">
      <c r="A118" s="54" t="s">
        <v>2</v>
      </c>
      <c r="B118" s="55" t="s">
        <v>46</v>
      </c>
      <c r="C118" s="56"/>
      <c r="D118" s="56"/>
      <c r="E118" s="57"/>
      <c r="F118" s="55" t="s">
        <v>47</v>
      </c>
      <c r="G118" s="56"/>
      <c r="H118" s="57"/>
      <c r="I118" s="58"/>
      <c r="J118" s="54" t="s">
        <v>2</v>
      </c>
      <c r="K118" s="55" t="s">
        <v>46</v>
      </c>
      <c r="L118" s="56"/>
      <c r="M118" s="56"/>
      <c r="N118" s="57"/>
      <c r="O118" s="55" t="s">
        <v>47</v>
      </c>
      <c r="P118" s="56"/>
      <c r="Q118" s="57"/>
      <c r="R118" s="58"/>
      <c r="S118" s="54" t="s">
        <v>2</v>
      </c>
      <c r="T118" s="55" t="s">
        <v>46</v>
      </c>
      <c r="U118" s="56"/>
      <c r="V118" s="56"/>
      <c r="W118" s="57"/>
      <c r="X118" s="55" t="s">
        <v>47</v>
      </c>
      <c r="Y118" s="56"/>
      <c r="Z118" s="57"/>
      <c r="AA118" s="58"/>
      <c r="AB118" s="54" t="s">
        <v>2</v>
      </c>
      <c r="AC118" s="55" t="s">
        <v>46</v>
      </c>
      <c r="AD118" s="56"/>
      <c r="AE118" s="56"/>
      <c r="AF118" s="57"/>
      <c r="AG118" s="55" t="s">
        <v>47</v>
      </c>
      <c r="AH118" s="56"/>
      <c r="AI118" s="57"/>
      <c r="AJ118" s="58"/>
      <c r="AK118" s="54" t="s">
        <v>2</v>
      </c>
      <c r="AL118" s="55" t="s">
        <v>46</v>
      </c>
      <c r="AM118" s="56"/>
      <c r="AN118" s="56"/>
      <c r="AO118" s="57"/>
      <c r="AP118" s="55" t="s">
        <v>47</v>
      </c>
      <c r="AQ118" s="56"/>
      <c r="AR118" s="57"/>
      <c r="AT118" s="54" t="s">
        <v>2</v>
      </c>
      <c r="AU118" s="55" t="s">
        <v>46</v>
      </c>
      <c r="AV118" s="56"/>
      <c r="AW118" s="56"/>
      <c r="AX118" s="57"/>
      <c r="AY118" s="55" t="s">
        <v>47</v>
      </c>
      <c r="AZ118" s="56"/>
      <c r="BA118" s="57"/>
    </row>
    <row r="119" spans="1:53" s="59" customFormat="1" ht="16" thickBot="1">
      <c r="A119" s="60">
        <v>0.72916666666666663</v>
      </c>
      <c r="B119" s="61" t="s">
        <v>49</v>
      </c>
      <c r="C119" s="61" t="s">
        <v>50</v>
      </c>
      <c r="D119" s="61" t="s">
        <v>51</v>
      </c>
      <c r="E119" s="61" t="s">
        <v>52</v>
      </c>
      <c r="F119" s="61" t="s">
        <v>53</v>
      </c>
      <c r="G119" s="61" t="s">
        <v>54</v>
      </c>
      <c r="H119" s="61" t="s">
        <v>55</v>
      </c>
      <c r="I119" s="58"/>
      <c r="J119" s="60">
        <v>0.72916666666666663</v>
      </c>
      <c r="K119" s="61" t="s">
        <v>49</v>
      </c>
      <c r="L119" s="61" t="s">
        <v>50</v>
      </c>
      <c r="M119" s="61" t="s">
        <v>51</v>
      </c>
      <c r="N119" s="61" t="s">
        <v>52</v>
      </c>
      <c r="O119" s="61" t="s">
        <v>53</v>
      </c>
      <c r="P119" s="61" t="s">
        <v>54</v>
      </c>
      <c r="Q119" s="61" t="s">
        <v>55</v>
      </c>
      <c r="R119" s="58"/>
      <c r="S119" s="60">
        <v>0.72916666666666663</v>
      </c>
      <c r="T119" s="61" t="s">
        <v>49</v>
      </c>
      <c r="U119" s="61" t="s">
        <v>50</v>
      </c>
      <c r="V119" s="61" t="s">
        <v>51</v>
      </c>
      <c r="W119" s="61" t="s">
        <v>52</v>
      </c>
      <c r="X119" s="61" t="s">
        <v>53</v>
      </c>
      <c r="Y119" s="61" t="s">
        <v>54</v>
      </c>
      <c r="Z119" s="61" t="s">
        <v>55</v>
      </c>
      <c r="AA119" s="58"/>
      <c r="AB119" s="60">
        <v>0.72916666666666663</v>
      </c>
      <c r="AC119" s="61" t="s">
        <v>49</v>
      </c>
      <c r="AD119" s="61" t="s">
        <v>50</v>
      </c>
      <c r="AE119" s="61" t="s">
        <v>51</v>
      </c>
      <c r="AF119" s="61" t="s">
        <v>52</v>
      </c>
      <c r="AG119" s="61" t="s">
        <v>53</v>
      </c>
      <c r="AH119" s="61" t="s">
        <v>54</v>
      </c>
      <c r="AI119" s="61" t="s">
        <v>55</v>
      </c>
      <c r="AJ119" s="58"/>
      <c r="AK119" s="60">
        <v>0.72916666666666663</v>
      </c>
      <c r="AL119" s="61" t="s">
        <v>49</v>
      </c>
      <c r="AM119" s="61" t="s">
        <v>50</v>
      </c>
      <c r="AN119" s="61" t="s">
        <v>51</v>
      </c>
      <c r="AO119" s="61" t="s">
        <v>52</v>
      </c>
      <c r="AP119" s="61" t="s">
        <v>53</v>
      </c>
      <c r="AQ119" s="61" t="s">
        <v>54</v>
      </c>
      <c r="AR119" s="61" t="s">
        <v>55</v>
      </c>
      <c r="AT119" s="60">
        <v>0.72916666666666663</v>
      </c>
      <c r="AU119" s="61" t="s">
        <v>49</v>
      </c>
      <c r="AV119" s="61" t="s">
        <v>50</v>
      </c>
      <c r="AW119" s="61" t="s">
        <v>51</v>
      </c>
      <c r="AX119" s="61" t="s">
        <v>52</v>
      </c>
      <c r="AY119" s="61" t="s">
        <v>53</v>
      </c>
      <c r="AZ119" s="61" t="s">
        <v>54</v>
      </c>
      <c r="BA119" s="61" t="s">
        <v>55</v>
      </c>
    </row>
    <row r="120" spans="1:53" s="59" customFormat="1" ht="16" thickBot="1">
      <c r="A120" s="62">
        <v>31</v>
      </c>
      <c r="B120" s="39">
        <f>資料儲存!D4772</f>
        <v>0</v>
      </c>
      <c r="C120" s="39">
        <f>資料儲存!E4772</f>
        <v>0</v>
      </c>
      <c r="D120" s="39">
        <f>資料儲存!F4772</f>
        <v>0</v>
      </c>
      <c r="E120" s="39">
        <f>資料儲存!G4772</f>
        <v>0</v>
      </c>
      <c r="F120" s="39">
        <f>資料儲存!H4772</f>
        <v>0</v>
      </c>
      <c r="G120" s="39">
        <f>資料儲存!I4772</f>
        <v>0</v>
      </c>
      <c r="H120" s="39">
        <f>資料儲存!J4772</f>
        <v>0</v>
      </c>
      <c r="I120" s="58"/>
      <c r="J120" s="62">
        <v>31</v>
      </c>
      <c r="K120" s="39">
        <f>資料儲存!D4892</f>
        <v>0</v>
      </c>
      <c r="L120" s="39">
        <f>資料儲存!E4892</f>
        <v>0</v>
      </c>
      <c r="M120" s="39">
        <f>資料儲存!F4892</f>
        <v>0</v>
      </c>
      <c r="N120" s="39">
        <f>資料儲存!G4892</f>
        <v>0</v>
      </c>
      <c r="O120" s="39">
        <f>資料儲存!H4892</f>
        <v>0</v>
      </c>
      <c r="P120" s="39">
        <f>資料儲存!I4892</f>
        <v>0</v>
      </c>
      <c r="Q120" s="39">
        <f>資料儲存!J4892</f>
        <v>0</v>
      </c>
      <c r="R120" s="58"/>
      <c r="S120" s="62">
        <v>31</v>
      </c>
      <c r="T120" s="39">
        <f>資料儲存!D5012</f>
        <v>0</v>
      </c>
      <c r="U120" s="39">
        <f>資料儲存!E5012</f>
        <v>0</v>
      </c>
      <c r="V120" s="39">
        <f>資料儲存!F5012</f>
        <v>0</v>
      </c>
      <c r="W120" s="39">
        <f>資料儲存!G5012</f>
        <v>0</v>
      </c>
      <c r="X120" s="39">
        <f>資料儲存!H5012</f>
        <v>0</v>
      </c>
      <c r="Y120" s="39">
        <f>資料儲存!I5012</f>
        <v>0</v>
      </c>
      <c r="Z120" s="39">
        <f>資料儲存!J5012</f>
        <v>0</v>
      </c>
      <c r="AA120" s="58"/>
      <c r="AB120" s="62">
        <v>31</v>
      </c>
      <c r="AC120" s="39">
        <f>資料儲存!D5132</f>
        <v>0</v>
      </c>
      <c r="AD120" s="39">
        <f>資料儲存!E5132</f>
        <v>0</v>
      </c>
      <c r="AE120" s="39">
        <f>資料儲存!F5132</f>
        <v>0</v>
      </c>
      <c r="AF120" s="39">
        <f>資料儲存!G5132</f>
        <v>0</v>
      </c>
      <c r="AG120" s="39">
        <f>資料儲存!H5132</f>
        <v>0</v>
      </c>
      <c r="AH120" s="39">
        <f>資料儲存!I5132</f>
        <v>0</v>
      </c>
      <c r="AI120" s="39">
        <f>資料儲存!J5132</f>
        <v>0</v>
      </c>
      <c r="AJ120" s="58"/>
      <c r="AK120" s="62">
        <v>31</v>
      </c>
      <c r="AL120" s="39">
        <f>資料儲存!D5252</f>
        <v>0</v>
      </c>
      <c r="AM120" s="39">
        <f>資料儲存!E5252</f>
        <v>0</v>
      </c>
      <c r="AN120" s="39">
        <f>資料儲存!F5252</f>
        <v>0</v>
      </c>
      <c r="AO120" s="39">
        <f>資料儲存!G5252</f>
        <v>0</v>
      </c>
      <c r="AP120" s="39">
        <f>資料儲存!H5252</f>
        <v>0</v>
      </c>
      <c r="AQ120" s="39">
        <f>資料儲存!I5252</f>
        <v>0</v>
      </c>
      <c r="AR120" s="39">
        <f>資料儲存!J5252</f>
        <v>0</v>
      </c>
      <c r="AT120" s="62">
        <v>31</v>
      </c>
      <c r="AU120" s="39">
        <f>資料儲存!D5372</f>
        <v>0</v>
      </c>
      <c r="AV120" s="39">
        <f>資料儲存!E5372</f>
        <v>0</v>
      </c>
      <c r="AW120" s="39">
        <f>資料儲存!F5372</f>
        <v>0</v>
      </c>
      <c r="AX120" s="39">
        <f>資料儲存!G5372</f>
        <v>0</v>
      </c>
      <c r="AY120" s="39">
        <f>資料儲存!H5372</f>
        <v>0</v>
      </c>
      <c r="AZ120" s="39">
        <f>資料儲存!I5372</f>
        <v>0</v>
      </c>
      <c r="BA120" s="39">
        <f>資料儲存!J5372</f>
        <v>0</v>
      </c>
    </row>
    <row r="121" spans="1:53" s="59" customFormat="1" ht="16" thickBot="1">
      <c r="A121" s="62">
        <v>32</v>
      </c>
      <c r="B121" s="39">
        <f>資料儲存!D4773</f>
        <v>0</v>
      </c>
      <c r="C121" s="39">
        <f>資料儲存!E4773</f>
        <v>0</v>
      </c>
      <c r="D121" s="39">
        <f>資料儲存!F4773</f>
        <v>0</v>
      </c>
      <c r="E121" s="39">
        <f>資料儲存!G4773</f>
        <v>0</v>
      </c>
      <c r="F121" s="39">
        <f>資料儲存!H4773</f>
        <v>0</v>
      </c>
      <c r="G121" s="39">
        <f>資料儲存!I4773</f>
        <v>0</v>
      </c>
      <c r="H121" s="39">
        <f>資料儲存!J4773</f>
        <v>0</v>
      </c>
      <c r="I121" s="58"/>
      <c r="J121" s="62">
        <v>32</v>
      </c>
      <c r="K121" s="39">
        <f>資料儲存!D4893</f>
        <v>0</v>
      </c>
      <c r="L121" s="39">
        <f>資料儲存!E4893</f>
        <v>0</v>
      </c>
      <c r="M121" s="39">
        <f>資料儲存!F4893</f>
        <v>0</v>
      </c>
      <c r="N121" s="39">
        <f>資料儲存!G4893</f>
        <v>0</v>
      </c>
      <c r="O121" s="39">
        <f>資料儲存!H4893</f>
        <v>0</v>
      </c>
      <c r="P121" s="39">
        <f>資料儲存!I4893</f>
        <v>0</v>
      </c>
      <c r="Q121" s="39">
        <f>資料儲存!J4893</f>
        <v>0</v>
      </c>
      <c r="R121" s="58"/>
      <c r="S121" s="62">
        <v>32</v>
      </c>
      <c r="T121" s="39">
        <f>資料儲存!D5013</f>
        <v>0</v>
      </c>
      <c r="U121" s="39">
        <f>資料儲存!E5013</f>
        <v>0</v>
      </c>
      <c r="V121" s="39">
        <f>資料儲存!F5013</f>
        <v>0</v>
      </c>
      <c r="W121" s="39">
        <f>資料儲存!G5013</f>
        <v>0</v>
      </c>
      <c r="X121" s="39">
        <f>資料儲存!H5013</f>
        <v>0</v>
      </c>
      <c r="Y121" s="39">
        <f>資料儲存!I5013</f>
        <v>0</v>
      </c>
      <c r="Z121" s="39">
        <f>資料儲存!J5013</f>
        <v>0</v>
      </c>
      <c r="AA121" s="58"/>
      <c r="AB121" s="62">
        <v>32</v>
      </c>
      <c r="AC121" s="39">
        <f>資料儲存!D5133</f>
        <v>0</v>
      </c>
      <c r="AD121" s="39">
        <f>資料儲存!E5133</f>
        <v>0</v>
      </c>
      <c r="AE121" s="39">
        <f>資料儲存!F5133</f>
        <v>0</v>
      </c>
      <c r="AF121" s="39">
        <f>資料儲存!G5133</f>
        <v>0</v>
      </c>
      <c r="AG121" s="39">
        <f>資料儲存!H5133</f>
        <v>0</v>
      </c>
      <c r="AH121" s="39">
        <f>資料儲存!I5133</f>
        <v>0</v>
      </c>
      <c r="AI121" s="39">
        <f>資料儲存!J5133</f>
        <v>0</v>
      </c>
      <c r="AJ121" s="58"/>
      <c r="AK121" s="62">
        <v>32</v>
      </c>
      <c r="AL121" s="39">
        <f>資料儲存!D5253</f>
        <v>0</v>
      </c>
      <c r="AM121" s="39">
        <f>資料儲存!E5253</f>
        <v>0</v>
      </c>
      <c r="AN121" s="39">
        <f>資料儲存!F5253</f>
        <v>0</v>
      </c>
      <c r="AO121" s="39">
        <f>資料儲存!G5253</f>
        <v>0</v>
      </c>
      <c r="AP121" s="39">
        <f>資料儲存!H5253</f>
        <v>0</v>
      </c>
      <c r="AQ121" s="39">
        <f>資料儲存!I5253</f>
        <v>0</v>
      </c>
      <c r="AR121" s="39">
        <f>資料儲存!J5253</f>
        <v>0</v>
      </c>
      <c r="AT121" s="62">
        <v>32</v>
      </c>
      <c r="AU121" s="39">
        <f>資料儲存!D5373</f>
        <v>0</v>
      </c>
      <c r="AV121" s="39">
        <f>資料儲存!E5373</f>
        <v>0</v>
      </c>
      <c r="AW121" s="39">
        <f>資料儲存!F5373</f>
        <v>0</v>
      </c>
      <c r="AX121" s="39">
        <f>資料儲存!G5373</f>
        <v>0</v>
      </c>
      <c r="AY121" s="39">
        <f>資料儲存!H5373</f>
        <v>0</v>
      </c>
      <c r="AZ121" s="39">
        <f>資料儲存!I5373</f>
        <v>0</v>
      </c>
      <c r="BA121" s="39">
        <f>資料儲存!J5373</f>
        <v>0</v>
      </c>
    </row>
    <row r="122" spans="1:53" s="59" customFormat="1" ht="16" thickBot="1">
      <c r="A122" s="62">
        <v>33</v>
      </c>
      <c r="B122" s="39">
        <f>資料儲存!D4774</f>
        <v>0</v>
      </c>
      <c r="C122" s="39">
        <f>資料儲存!E4774</f>
        <v>0</v>
      </c>
      <c r="D122" s="39">
        <f>資料儲存!F4774</f>
        <v>0</v>
      </c>
      <c r="E122" s="39">
        <f>資料儲存!G4774</f>
        <v>0</v>
      </c>
      <c r="F122" s="39">
        <f>資料儲存!H4774</f>
        <v>0</v>
      </c>
      <c r="G122" s="39">
        <f>資料儲存!I4774</f>
        <v>0</v>
      </c>
      <c r="H122" s="39">
        <f>資料儲存!J4774</f>
        <v>0</v>
      </c>
      <c r="I122" s="58"/>
      <c r="J122" s="62">
        <v>33</v>
      </c>
      <c r="K122" s="39">
        <f>資料儲存!D4894</f>
        <v>0</v>
      </c>
      <c r="L122" s="39">
        <f>資料儲存!E4894</f>
        <v>0</v>
      </c>
      <c r="M122" s="39">
        <f>資料儲存!F4894</f>
        <v>0</v>
      </c>
      <c r="N122" s="39">
        <f>資料儲存!G4894</f>
        <v>0</v>
      </c>
      <c r="O122" s="39">
        <f>資料儲存!H4894</f>
        <v>0</v>
      </c>
      <c r="P122" s="39">
        <f>資料儲存!I4894</f>
        <v>0</v>
      </c>
      <c r="Q122" s="39">
        <f>資料儲存!J4894</f>
        <v>0</v>
      </c>
      <c r="R122" s="58"/>
      <c r="S122" s="62">
        <v>33</v>
      </c>
      <c r="T122" s="39">
        <f>資料儲存!D5014</f>
        <v>0</v>
      </c>
      <c r="U122" s="39">
        <f>資料儲存!E5014</f>
        <v>0</v>
      </c>
      <c r="V122" s="39">
        <f>資料儲存!F5014</f>
        <v>0</v>
      </c>
      <c r="W122" s="39">
        <f>資料儲存!G5014</f>
        <v>0</v>
      </c>
      <c r="X122" s="39">
        <f>資料儲存!H5014</f>
        <v>0</v>
      </c>
      <c r="Y122" s="39">
        <f>資料儲存!I5014</f>
        <v>0</v>
      </c>
      <c r="Z122" s="39">
        <f>資料儲存!J5014</f>
        <v>0</v>
      </c>
      <c r="AA122" s="58"/>
      <c r="AB122" s="62">
        <v>33</v>
      </c>
      <c r="AC122" s="39">
        <f>資料儲存!D5134</f>
        <v>0</v>
      </c>
      <c r="AD122" s="39">
        <f>資料儲存!E5134</f>
        <v>0</v>
      </c>
      <c r="AE122" s="39">
        <f>資料儲存!F5134</f>
        <v>0</v>
      </c>
      <c r="AF122" s="39">
        <f>資料儲存!G5134</f>
        <v>0</v>
      </c>
      <c r="AG122" s="39">
        <f>資料儲存!H5134</f>
        <v>0</v>
      </c>
      <c r="AH122" s="39">
        <f>資料儲存!I5134</f>
        <v>0</v>
      </c>
      <c r="AI122" s="39">
        <f>資料儲存!J5134</f>
        <v>0</v>
      </c>
      <c r="AJ122" s="58"/>
      <c r="AK122" s="62">
        <v>33</v>
      </c>
      <c r="AL122" s="39">
        <f>資料儲存!D5254</f>
        <v>0</v>
      </c>
      <c r="AM122" s="39">
        <f>資料儲存!E5254</f>
        <v>0</v>
      </c>
      <c r="AN122" s="39">
        <f>資料儲存!F5254</f>
        <v>0</v>
      </c>
      <c r="AO122" s="39">
        <f>資料儲存!G5254</f>
        <v>0</v>
      </c>
      <c r="AP122" s="39">
        <f>資料儲存!H5254</f>
        <v>0</v>
      </c>
      <c r="AQ122" s="39">
        <f>資料儲存!I5254</f>
        <v>0</v>
      </c>
      <c r="AR122" s="39">
        <f>資料儲存!J5254</f>
        <v>0</v>
      </c>
      <c r="AT122" s="62">
        <v>33</v>
      </c>
      <c r="AU122" s="39">
        <f>資料儲存!D5374</f>
        <v>0</v>
      </c>
      <c r="AV122" s="39">
        <f>資料儲存!E5374</f>
        <v>0</v>
      </c>
      <c r="AW122" s="39">
        <f>資料儲存!F5374</f>
        <v>0</v>
      </c>
      <c r="AX122" s="39">
        <f>資料儲存!G5374</f>
        <v>0</v>
      </c>
      <c r="AY122" s="39">
        <f>資料儲存!H5374</f>
        <v>0</v>
      </c>
      <c r="AZ122" s="39">
        <f>資料儲存!I5374</f>
        <v>0</v>
      </c>
      <c r="BA122" s="39">
        <f>資料儲存!J5374</f>
        <v>0</v>
      </c>
    </row>
    <row r="123" spans="1:53" s="59" customFormat="1" ht="16" thickBot="1">
      <c r="A123" s="62">
        <v>34</v>
      </c>
      <c r="B123" s="39">
        <f>資料儲存!D4775</f>
        <v>0</v>
      </c>
      <c r="C123" s="39">
        <f>資料儲存!E4775</f>
        <v>0</v>
      </c>
      <c r="D123" s="39">
        <f>資料儲存!F4775</f>
        <v>0</v>
      </c>
      <c r="E123" s="39">
        <f>資料儲存!G4775</f>
        <v>0</v>
      </c>
      <c r="F123" s="39">
        <f>資料儲存!H4775</f>
        <v>0</v>
      </c>
      <c r="G123" s="39">
        <f>資料儲存!I4775</f>
        <v>0</v>
      </c>
      <c r="H123" s="39">
        <f>資料儲存!J4775</f>
        <v>0</v>
      </c>
      <c r="I123" s="58"/>
      <c r="J123" s="62">
        <v>34</v>
      </c>
      <c r="K123" s="39">
        <f>資料儲存!D4895</f>
        <v>0</v>
      </c>
      <c r="L123" s="39">
        <f>資料儲存!E4895</f>
        <v>0</v>
      </c>
      <c r="M123" s="39">
        <f>資料儲存!F4895</f>
        <v>0</v>
      </c>
      <c r="N123" s="39">
        <f>資料儲存!G4895</f>
        <v>0</v>
      </c>
      <c r="O123" s="39">
        <f>資料儲存!H4895</f>
        <v>0</v>
      </c>
      <c r="P123" s="39">
        <f>資料儲存!I4895</f>
        <v>0</v>
      </c>
      <c r="Q123" s="39">
        <f>資料儲存!J4895</f>
        <v>0</v>
      </c>
      <c r="R123" s="58"/>
      <c r="S123" s="62">
        <v>34</v>
      </c>
      <c r="T123" s="39">
        <f>資料儲存!D5015</f>
        <v>0</v>
      </c>
      <c r="U123" s="39">
        <f>資料儲存!E5015</f>
        <v>0</v>
      </c>
      <c r="V123" s="39">
        <f>資料儲存!F5015</f>
        <v>0</v>
      </c>
      <c r="W123" s="39">
        <f>資料儲存!G5015</f>
        <v>0</v>
      </c>
      <c r="X123" s="39">
        <f>資料儲存!H5015</f>
        <v>0</v>
      </c>
      <c r="Y123" s="39">
        <f>資料儲存!I5015</f>
        <v>0</v>
      </c>
      <c r="Z123" s="39">
        <f>資料儲存!J5015</f>
        <v>0</v>
      </c>
      <c r="AA123" s="58"/>
      <c r="AB123" s="62">
        <v>34</v>
      </c>
      <c r="AC123" s="39">
        <f>資料儲存!D5135</f>
        <v>0</v>
      </c>
      <c r="AD123" s="39">
        <f>資料儲存!E5135</f>
        <v>0</v>
      </c>
      <c r="AE123" s="39">
        <f>資料儲存!F5135</f>
        <v>0</v>
      </c>
      <c r="AF123" s="39">
        <f>資料儲存!G5135</f>
        <v>0</v>
      </c>
      <c r="AG123" s="39">
        <f>資料儲存!H5135</f>
        <v>0</v>
      </c>
      <c r="AH123" s="39">
        <f>資料儲存!I5135</f>
        <v>0</v>
      </c>
      <c r="AI123" s="39">
        <f>資料儲存!J5135</f>
        <v>0</v>
      </c>
      <c r="AJ123" s="58"/>
      <c r="AK123" s="62">
        <v>34</v>
      </c>
      <c r="AL123" s="39">
        <f>資料儲存!D5255</f>
        <v>0</v>
      </c>
      <c r="AM123" s="39">
        <f>資料儲存!E5255</f>
        <v>0</v>
      </c>
      <c r="AN123" s="39">
        <f>資料儲存!F5255</f>
        <v>0</v>
      </c>
      <c r="AO123" s="39">
        <f>資料儲存!G5255</f>
        <v>0</v>
      </c>
      <c r="AP123" s="39">
        <f>資料儲存!H5255</f>
        <v>0</v>
      </c>
      <c r="AQ123" s="39">
        <f>資料儲存!I5255</f>
        <v>0</v>
      </c>
      <c r="AR123" s="39">
        <f>資料儲存!J5255</f>
        <v>0</v>
      </c>
      <c r="AT123" s="62">
        <v>34</v>
      </c>
      <c r="AU123" s="39">
        <f>資料儲存!D5375</f>
        <v>0</v>
      </c>
      <c r="AV123" s="39">
        <f>資料儲存!E5375</f>
        <v>0</v>
      </c>
      <c r="AW123" s="39">
        <f>資料儲存!F5375</f>
        <v>0</v>
      </c>
      <c r="AX123" s="39">
        <f>資料儲存!G5375</f>
        <v>0</v>
      </c>
      <c r="AY123" s="39">
        <f>資料儲存!H5375</f>
        <v>0</v>
      </c>
      <c r="AZ123" s="39">
        <f>資料儲存!I5375</f>
        <v>0</v>
      </c>
      <c r="BA123" s="39">
        <f>資料儲存!J5375</f>
        <v>0</v>
      </c>
    </row>
    <row r="124" spans="1:53" s="59" customFormat="1" ht="16" thickBot="1">
      <c r="A124" s="62">
        <v>35</v>
      </c>
      <c r="B124" s="39">
        <f>資料儲存!D4776</f>
        <v>0</v>
      </c>
      <c r="C124" s="39">
        <f>資料儲存!E4776</f>
        <v>0</v>
      </c>
      <c r="D124" s="39">
        <f>資料儲存!F4776</f>
        <v>0</v>
      </c>
      <c r="E124" s="39">
        <f>資料儲存!G4776</f>
        <v>0</v>
      </c>
      <c r="F124" s="39">
        <f>資料儲存!H4776</f>
        <v>0</v>
      </c>
      <c r="G124" s="39">
        <f>資料儲存!I4776</f>
        <v>0</v>
      </c>
      <c r="H124" s="39">
        <f>資料儲存!J4776</f>
        <v>0</v>
      </c>
      <c r="I124" s="58"/>
      <c r="J124" s="62">
        <v>35</v>
      </c>
      <c r="K124" s="39">
        <f>資料儲存!D4896</f>
        <v>0</v>
      </c>
      <c r="L124" s="39">
        <f>資料儲存!E4896</f>
        <v>0</v>
      </c>
      <c r="M124" s="39">
        <f>資料儲存!F4896</f>
        <v>0</v>
      </c>
      <c r="N124" s="39">
        <f>資料儲存!G4896</f>
        <v>0</v>
      </c>
      <c r="O124" s="39">
        <f>資料儲存!H4896</f>
        <v>0</v>
      </c>
      <c r="P124" s="39">
        <f>資料儲存!I4896</f>
        <v>0</v>
      </c>
      <c r="Q124" s="39">
        <f>資料儲存!J4896</f>
        <v>0</v>
      </c>
      <c r="R124" s="58"/>
      <c r="S124" s="62">
        <v>35</v>
      </c>
      <c r="T124" s="39">
        <f>資料儲存!D5016</f>
        <v>0</v>
      </c>
      <c r="U124" s="39">
        <f>資料儲存!E5016</f>
        <v>0</v>
      </c>
      <c r="V124" s="39">
        <f>資料儲存!F5016</f>
        <v>0</v>
      </c>
      <c r="W124" s="39">
        <f>資料儲存!G5016</f>
        <v>0</v>
      </c>
      <c r="X124" s="39">
        <f>資料儲存!H5016</f>
        <v>0</v>
      </c>
      <c r="Y124" s="39">
        <f>資料儲存!I5016</f>
        <v>0</v>
      </c>
      <c r="Z124" s="39">
        <f>資料儲存!J5016</f>
        <v>0</v>
      </c>
      <c r="AA124" s="58"/>
      <c r="AB124" s="62">
        <v>35</v>
      </c>
      <c r="AC124" s="39">
        <f>資料儲存!D5136</f>
        <v>0</v>
      </c>
      <c r="AD124" s="39">
        <f>資料儲存!E5136</f>
        <v>0</v>
      </c>
      <c r="AE124" s="39">
        <f>資料儲存!F5136</f>
        <v>0</v>
      </c>
      <c r="AF124" s="39">
        <f>資料儲存!G5136</f>
        <v>0</v>
      </c>
      <c r="AG124" s="39">
        <f>資料儲存!H5136</f>
        <v>0</v>
      </c>
      <c r="AH124" s="39">
        <f>資料儲存!I5136</f>
        <v>0</v>
      </c>
      <c r="AI124" s="39">
        <f>資料儲存!J5136</f>
        <v>0</v>
      </c>
      <c r="AJ124" s="58"/>
      <c r="AK124" s="62">
        <v>35</v>
      </c>
      <c r="AL124" s="39">
        <f>資料儲存!D5256</f>
        <v>0</v>
      </c>
      <c r="AM124" s="39">
        <f>資料儲存!E5256</f>
        <v>0</v>
      </c>
      <c r="AN124" s="39">
        <f>資料儲存!F5256</f>
        <v>0</v>
      </c>
      <c r="AO124" s="39">
        <f>資料儲存!G5256</f>
        <v>0</v>
      </c>
      <c r="AP124" s="39">
        <f>資料儲存!H5256</f>
        <v>0</v>
      </c>
      <c r="AQ124" s="39">
        <f>資料儲存!I5256</f>
        <v>0</v>
      </c>
      <c r="AR124" s="39">
        <f>資料儲存!J5256</f>
        <v>0</v>
      </c>
      <c r="AT124" s="62">
        <v>35</v>
      </c>
      <c r="AU124" s="39">
        <f>資料儲存!D5376</f>
        <v>0</v>
      </c>
      <c r="AV124" s="39">
        <f>資料儲存!E5376</f>
        <v>0</v>
      </c>
      <c r="AW124" s="39">
        <f>資料儲存!F5376</f>
        <v>0</v>
      </c>
      <c r="AX124" s="39">
        <f>資料儲存!G5376</f>
        <v>0</v>
      </c>
      <c r="AY124" s="39">
        <f>資料儲存!H5376</f>
        <v>0</v>
      </c>
      <c r="AZ124" s="39">
        <f>資料儲存!I5376</f>
        <v>0</v>
      </c>
      <c r="BA124" s="39">
        <f>資料儲存!J5376</f>
        <v>0</v>
      </c>
    </row>
    <row r="125" spans="1:53" s="59" customFormat="1" ht="16" thickBot="1">
      <c r="A125" s="62">
        <v>36</v>
      </c>
      <c r="B125" s="39">
        <f>資料儲存!D4777</f>
        <v>0</v>
      </c>
      <c r="C125" s="39">
        <f>資料儲存!E4777</f>
        <v>0</v>
      </c>
      <c r="D125" s="39">
        <f>資料儲存!F4777</f>
        <v>0</v>
      </c>
      <c r="E125" s="39">
        <f>資料儲存!G4777</f>
        <v>0</v>
      </c>
      <c r="F125" s="39">
        <f>資料儲存!H4777</f>
        <v>0</v>
      </c>
      <c r="G125" s="39">
        <f>資料儲存!I4777</f>
        <v>0</v>
      </c>
      <c r="H125" s="39">
        <f>資料儲存!J4777</f>
        <v>0</v>
      </c>
      <c r="I125" s="58"/>
      <c r="J125" s="62">
        <v>36</v>
      </c>
      <c r="K125" s="39">
        <f>資料儲存!D4897</f>
        <v>0</v>
      </c>
      <c r="L125" s="39">
        <f>資料儲存!E4897</f>
        <v>0</v>
      </c>
      <c r="M125" s="39">
        <f>資料儲存!F4897</f>
        <v>0</v>
      </c>
      <c r="N125" s="39">
        <f>資料儲存!G4897</f>
        <v>0</v>
      </c>
      <c r="O125" s="39">
        <f>資料儲存!H4897</f>
        <v>0</v>
      </c>
      <c r="P125" s="39">
        <f>資料儲存!I4897</f>
        <v>0</v>
      </c>
      <c r="Q125" s="39">
        <f>資料儲存!J4897</f>
        <v>0</v>
      </c>
      <c r="R125" s="58"/>
      <c r="S125" s="62">
        <v>36</v>
      </c>
      <c r="T125" s="39">
        <f>資料儲存!D5017</f>
        <v>0</v>
      </c>
      <c r="U125" s="39">
        <f>資料儲存!E5017</f>
        <v>0</v>
      </c>
      <c r="V125" s="39">
        <f>資料儲存!F5017</f>
        <v>0</v>
      </c>
      <c r="W125" s="39">
        <f>資料儲存!G5017</f>
        <v>0</v>
      </c>
      <c r="X125" s="39">
        <f>資料儲存!H5017</f>
        <v>0</v>
      </c>
      <c r="Y125" s="39">
        <f>資料儲存!I5017</f>
        <v>0</v>
      </c>
      <c r="Z125" s="39">
        <f>資料儲存!J5017</f>
        <v>0</v>
      </c>
      <c r="AA125" s="58"/>
      <c r="AB125" s="62">
        <v>36</v>
      </c>
      <c r="AC125" s="39">
        <f>資料儲存!D5137</f>
        <v>0</v>
      </c>
      <c r="AD125" s="39">
        <f>資料儲存!E5137</f>
        <v>0</v>
      </c>
      <c r="AE125" s="39">
        <f>資料儲存!F5137</f>
        <v>0</v>
      </c>
      <c r="AF125" s="39">
        <f>資料儲存!G5137</f>
        <v>0</v>
      </c>
      <c r="AG125" s="39">
        <f>資料儲存!H5137</f>
        <v>0</v>
      </c>
      <c r="AH125" s="39">
        <f>資料儲存!I5137</f>
        <v>0</v>
      </c>
      <c r="AI125" s="39">
        <f>資料儲存!J5137</f>
        <v>0</v>
      </c>
      <c r="AJ125" s="58"/>
      <c r="AK125" s="62">
        <v>36</v>
      </c>
      <c r="AL125" s="39">
        <f>資料儲存!D5257</f>
        <v>0</v>
      </c>
      <c r="AM125" s="39">
        <f>資料儲存!E5257</f>
        <v>0</v>
      </c>
      <c r="AN125" s="39">
        <f>資料儲存!F5257</f>
        <v>0</v>
      </c>
      <c r="AO125" s="39">
        <f>資料儲存!G5257</f>
        <v>0</v>
      </c>
      <c r="AP125" s="39">
        <f>資料儲存!H5257</f>
        <v>0</v>
      </c>
      <c r="AQ125" s="39">
        <f>資料儲存!I5257</f>
        <v>0</v>
      </c>
      <c r="AR125" s="39">
        <f>資料儲存!J5257</f>
        <v>0</v>
      </c>
      <c r="AT125" s="62">
        <v>36</v>
      </c>
      <c r="AU125" s="39">
        <f>資料儲存!D5377</f>
        <v>0</v>
      </c>
      <c r="AV125" s="39">
        <f>資料儲存!E5377</f>
        <v>0</v>
      </c>
      <c r="AW125" s="39">
        <f>資料儲存!F5377</f>
        <v>0</v>
      </c>
      <c r="AX125" s="39">
        <f>資料儲存!G5377</f>
        <v>0</v>
      </c>
      <c r="AY125" s="39">
        <f>資料儲存!H5377</f>
        <v>0</v>
      </c>
      <c r="AZ125" s="39">
        <f>資料儲存!I5377</f>
        <v>0</v>
      </c>
      <c r="BA125" s="39">
        <f>資料儲存!J5377</f>
        <v>0</v>
      </c>
    </row>
    <row r="126" spans="1:53" s="59" customFormat="1" ht="16" thickBot="1">
      <c r="A126" s="62">
        <v>37</v>
      </c>
      <c r="B126" s="39">
        <f>資料儲存!D4778</f>
        <v>0</v>
      </c>
      <c r="C126" s="39">
        <f>資料儲存!E4778</f>
        <v>0</v>
      </c>
      <c r="D126" s="39">
        <f>資料儲存!F4778</f>
        <v>0</v>
      </c>
      <c r="E126" s="39">
        <f>資料儲存!G4778</f>
        <v>0</v>
      </c>
      <c r="F126" s="39">
        <f>資料儲存!H4778</f>
        <v>0</v>
      </c>
      <c r="G126" s="39">
        <f>資料儲存!I4778</f>
        <v>0</v>
      </c>
      <c r="H126" s="39">
        <f>資料儲存!J4778</f>
        <v>0</v>
      </c>
      <c r="I126" s="58"/>
      <c r="J126" s="62">
        <v>37</v>
      </c>
      <c r="K126" s="39">
        <f>資料儲存!D4898</f>
        <v>0</v>
      </c>
      <c r="L126" s="39">
        <f>資料儲存!E4898</f>
        <v>0</v>
      </c>
      <c r="M126" s="39">
        <f>資料儲存!F4898</f>
        <v>0</v>
      </c>
      <c r="N126" s="39">
        <f>資料儲存!G4898</f>
        <v>0</v>
      </c>
      <c r="O126" s="39">
        <f>資料儲存!H4898</f>
        <v>0</v>
      </c>
      <c r="P126" s="39">
        <f>資料儲存!I4898</f>
        <v>0</v>
      </c>
      <c r="Q126" s="39">
        <f>資料儲存!J4898</f>
        <v>0</v>
      </c>
      <c r="R126" s="58"/>
      <c r="S126" s="62">
        <v>37</v>
      </c>
      <c r="T126" s="39">
        <f>資料儲存!D5018</f>
        <v>0</v>
      </c>
      <c r="U126" s="39">
        <f>資料儲存!E5018</f>
        <v>0</v>
      </c>
      <c r="V126" s="39">
        <f>資料儲存!F5018</f>
        <v>0</v>
      </c>
      <c r="W126" s="39">
        <f>資料儲存!G5018</f>
        <v>0</v>
      </c>
      <c r="X126" s="39">
        <f>資料儲存!H5018</f>
        <v>0</v>
      </c>
      <c r="Y126" s="39">
        <f>資料儲存!I5018</f>
        <v>0</v>
      </c>
      <c r="Z126" s="39">
        <f>資料儲存!J5018</f>
        <v>0</v>
      </c>
      <c r="AA126" s="58"/>
      <c r="AB126" s="62">
        <v>37</v>
      </c>
      <c r="AC126" s="39">
        <f>資料儲存!D5138</f>
        <v>0</v>
      </c>
      <c r="AD126" s="39">
        <f>資料儲存!E5138</f>
        <v>0</v>
      </c>
      <c r="AE126" s="39">
        <f>資料儲存!F5138</f>
        <v>0</v>
      </c>
      <c r="AF126" s="39">
        <f>資料儲存!G5138</f>
        <v>0</v>
      </c>
      <c r="AG126" s="39">
        <f>資料儲存!H5138</f>
        <v>0</v>
      </c>
      <c r="AH126" s="39">
        <f>資料儲存!I5138</f>
        <v>0</v>
      </c>
      <c r="AI126" s="39">
        <f>資料儲存!J5138</f>
        <v>0</v>
      </c>
      <c r="AJ126" s="58"/>
      <c r="AK126" s="62">
        <v>37</v>
      </c>
      <c r="AL126" s="39">
        <f>資料儲存!D5258</f>
        <v>0</v>
      </c>
      <c r="AM126" s="39">
        <f>資料儲存!E5258</f>
        <v>0</v>
      </c>
      <c r="AN126" s="39">
        <f>資料儲存!F5258</f>
        <v>0</v>
      </c>
      <c r="AO126" s="39">
        <f>資料儲存!G5258</f>
        <v>0</v>
      </c>
      <c r="AP126" s="39">
        <f>資料儲存!H5258</f>
        <v>0</v>
      </c>
      <c r="AQ126" s="39">
        <f>資料儲存!I5258</f>
        <v>0</v>
      </c>
      <c r="AR126" s="39">
        <f>資料儲存!J5258</f>
        <v>0</v>
      </c>
      <c r="AT126" s="62">
        <v>37</v>
      </c>
      <c r="AU126" s="39">
        <f>資料儲存!D5378</f>
        <v>0</v>
      </c>
      <c r="AV126" s="39">
        <f>資料儲存!E5378</f>
        <v>0</v>
      </c>
      <c r="AW126" s="39">
        <f>資料儲存!F5378</f>
        <v>0</v>
      </c>
      <c r="AX126" s="39">
        <f>資料儲存!G5378</f>
        <v>0</v>
      </c>
      <c r="AY126" s="39">
        <f>資料儲存!H5378</f>
        <v>0</v>
      </c>
      <c r="AZ126" s="39">
        <f>資料儲存!I5378</f>
        <v>0</v>
      </c>
      <c r="BA126" s="39">
        <f>資料儲存!J5378</f>
        <v>0</v>
      </c>
    </row>
    <row r="127" spans="1:53" s="59" customFormat="1" ht="16" thickBot="1">
      <c r="A127" s="62">
        <v>38</v>
      </c>
      <c r="B127" s="39">
        <f>資料儲存!D4779</f>
        <v>0</v>
      </c>
      <c r="C127" s="39">
        <f>資料儲存!E4779</f>
        <v>0</v>
      </c>
      <c r="D127" s="39">
        <f>資料儲存!F4779</f>
        <v>0</v>
      </c>
      <c r="E127" s="39">
        <f>資料儲存!G4779</f>
        <v>0</v>
      </c>
      <c r="F127" s="39">
        <f>資料儲存!H4779</f>
        <v>0</v>
      </c>
      <c r="G127" s="39">
        <f>資料儲存!I4779</f>
        <v>0</v>
      </c>
      <c r="H127" s="39">
        <f>資料儲存!J4779</f>
        <v>0</v>
      </c>
      <c r="I127" s="58"/>
      <c r="J127" s="62">
        <v>38</v>
      </c>
      <c r="K127" s="39">
        <f>資料儲存!D4899</f>
        <v>0</v>
      </c>
      <c r="L127" s="39">
        <f>資料儲存!E4899</f>
        <v>0</v>
      </c>
      <c r="M127" s="39">
        <f>資料儲存!F4899</f>
        <v>0</v>
      </c>
      <c r="N127" s="39">
        <f>資料儲存!G4899</f>
        <v>0</v>
      </c>
      <c r="O127" s="39">
        <f>資料儲存!H4899</f>
        <v>0</v>
      </c>
      <c r="P127" s="39">
        <f>資料儲存!I4899</f>
        <v>0</v>
      </c>
      <c r="Q127" s="39">
        <f>資料儲存!J4899</f>
        <v>0</v>
      </c>
      <c r="R127" s="58"/>
      <c r="S127" s="62">
        <v>38</v>
      </c>
      <c r="T127" s="39">
        <f>資料儲存!D5019</f>
        <v>0</v>
      </c>
      <c r="U127" s="39">
        <f>資料儲存!E5019</f>
        <v>0</v>
      </c>
      <c r="V127" s="39">
        <f>資料儲存!F5019</f>
        <v>0</v>
      </c>
      <c r="W127" s="39">
        <f>資料儲存!G5019</f>
        <v>0</v>
      </c>
      <c r="X127" s="39">
        <f>資料儲存!H5019</f>
        <v>0</v>
      </c>
      <c r="Y127" s="39">
        <f>資料儲存!I5019</f>
        <v>0</v>
      </c>
      <c r="Z127" s="39">
        <f>資料儲存!J5019</f>
        <v>0</v>
      </c>
      <c r="AA127" s="58"/>
      <c r="AB127" s="62">
        <v>38</v>
      </c>
      <c r="AC127" s="39">
        <f>資料儲存!D5139</f>
        <v>0</v>
      </c>
      <c r="AD127" s="39">
        <f>資料儲存!E5139</f>
        <v>0</v>
      </c>
      <c r="AE127" s="39">
        <f>資料儲存!F5139</f>
        <v>0</v>
      </c>
      <c r="AF127" s="39">
        <f>資料儲存!G5139</f>
        <v>0</v>
      </c>
      <c r="AG127" s="39">
        <f>資料儲存!H5139</f>
        <v>0</v>
      </c>
      <c r="AH127" s="39">
        <f>資料儲存!I5139</f>
        <v>0</v>
      </c>
      <c r="AI127" s="39">
        <f>資料儲存!J5139</f>
        <v>0</v>
      </c>
      <c r="AJ127" s="58"/>
      <c r="AK127" s="62">
        <v>38</v>
      </c>
      <c r="AL127" s="39">
        <f>資料儲存!D5259</f>
        <v>0</v>
      </c>
      <c r="AM127" s="39">
        <f>資料儲存!E5259</f>
        <v>0</v>
      </c>
      <c r="AN127" s="39">
        <f>資料儲存!F5259</f>
        <v>0</v>
      </c>
      <c r="AO127" s="39">
        <f>資料儲存!G5259</f>
        <v>0</v>
      </c>
      <c r="AP127" s="39">
        <f>資料儲存!H5259</f>
        <v>0</v>
      </c>
      <c r="AQ127" s="39">
        <f>資料儲存!I5259</f>
        <v>0</v>
      </c>
      <c r="AR127" s="39">
        <f>資料儲存!J5259</f>
        <v>0</v>
      </c>
      <c r="AT127" s="62">
        <v>38</v>
      </c>
      <c r="AU127" s="39">
        <f>資料儲存!D5379</f>
        <v>0</v>
      </c>
      <c r="AV127" s="39">
        <f>資料儲存!E5379</f>
        <v>0</v>
      </c>
      <c r="AW127" s="39">
        <f>資料儲存!F5379</f>
        <v>0</v>
      </c>
      <c r="AX127" s="39">
        <f>資料儲存!G5379</f>
        <v>0</v>
      </c>
      <c r="AY127" s="39">
        <f>資料儲存!H5379</f>
        <v>0</v>
      </c>
      <c r="AZ127" s="39">
        <f>資料儲存!I5379</f>
        <v>0</v>
      </c>
      <c r="BA127" s="39">
        <f>資料儲存!J5379</f>
        <v>0</v>
      </c>
    </row>
    <row r="128" spans="1:53" s="59" customFormat="1" ht="16" thickBot="1">
      <c r="A128" s="62">
        <v>39</v>
      </c>
      <c r="B128" s="39">
        <f>資料儲存!D4780</f>
        <v>0</v>
      </c>
      <c r="C128" s="39">
        <f>資料儲存!E4780</f>
        <v>0</v>
      </c>
      <c r="D128" s="39">
        <f>資料儲存!F4780</f>
        <v>0</v>
      </c>
      <c r="E128" s="39">
        <f>資料儲存!G4780</f>
        <v>0</v>
      </c>
      <c r="F128" s="39">
        <f>資料儲存!H4780</f>
        <v>0</v>
      </c>
      <c r="G128" s="39">
        <f>資料儲存!I4780</f>
        <v>0</v>
      </c>
      <c r="H128" s="39">
        <f>資料儲存!J4780</f>
        <v>0</v>
      </c>
      <c r="I128" s="58"/>
      <c r="J128" s="62">
        <v>39</v>
      </c>
      <c r="K128" s="39">
        <f>資料儲存!D4900</f>
        <v>0</v>
      </c>
      <c r="L128" s="39">
        <f>資料儲存!E4900</f>
        <v>0</v>
      </c>
      <c r="M128" s="39">
        <f>資料儲存!F4900</f>
        <v>0</v>
      </c>
      <c r="N128" s="39">
        <f>資料儲存!G4900</f>
        <v>0</v>
      </c>
      <c r="O128" s="39">
        <f>資料儲存!H4900</f>
        <v>0</v>
      </c>
      <c r="P128" s="39">
        <f>資料儲存!I4900</f>
        <v>0</v>
      </c>
      <c r="Q128" s="39">
        <f>資料儲存!J4900</f>
        <v>0</v>
      </c>
      <c r="R128" s="58"/>
      <c r="S128" s="62">
        <v>39</v>
      </c>
      <c r="T128" s="39">
        <f>資料儲存!D5020</f>
        <v>0</v>
      </c>
      <c r="U128" s="39">
        <f>資料儲存!E5020</f>
        <v>0</v>
      </c>
      <c r="V128" s="39">
        <f>資料儲存!F5020</f>
        <v>0</v>
      </c>
      <c r="W128" s="39">
        <f>資料儲存!G5020</f>
        <v>0</v>
      </c>
      <c r="X128" s="39">
        <f>資料儲存!H5020</f>
        <v>0</v>
      </c>
      <c r="Y128" s="39">
        <f>資料儲存!I5020</f>
        <v>0</v>
      </c>
      <c r="Z128" s="39">
        <f>資料儲存!J5020</f>
        <v>0</v>
      </c>
      <c r="AA128" s="58"/>
      <c r="AB128" s="62">
        <v>39</v>
      </c>
      <c r="AC128" s="39">
        <f>資料儲存!D5140</f>
        <v>0</v>
      </c>
      <c r="AD128" s="39">
        <f>資料儲存!E5140</f>
        <v>0</v>
      </c>
      <c r="AE128" s="39">
        <f>資料儲存!F5140</f>
        <v>0</v>
      </c>
      <c r="AF128" s="39">
        <f>資料儲存!G5140</f>
        <v>0</v>
      </c>
      <c r="AG128" s="39">
        <f>資料儲存!H5140</f>
        <v>0</v>
      </c>
      <c r="AH128" s="39">
        <f>資料儲存!I5140</f>
        <v>0</v>
      </c>
      <c r="AI128" s="39">
        <f>資料儲存!J5140</f>
        <v>0</v>
      </c>
      <c r="AJ128" s="58"/>
      <c r="AK128" s="62">
        <v>39</v>
      </c>
      <c r="AL128" s="39">
        <f>資料儲存!D5260</f>
        <v>0</v>
      </c>
      <c r="AM128" s="39">
        <f>資料儲存!E5260</f>
        <v>0</v>
      </c>
      <c r="AN128" s="39">
        <f>資料儲存!F5260</f>
        <v>0</v>
      </c>
      <c r="AO128" s="39">
        <f>資料儲存!G5260</f>
        <v>0</v>
      </c>
      <c r="AP128" s="39">
        <f>資料儲存!H5260</f>
        <v>0</v>
      </c>
      <c r="AQ128" s="39">
        <f>資料儲存!I5260</f>
        <v>0</v>
      </c>
      <c r="AR128" s="39">
        <f>資料儲存!J5260</f>
        <v>0</v>
      </c>
      <c r="AT128" s="62">
        <v>39</v>
      </c>
      <c r="AU128" s="39">
        <f>資料儲存!D5380</f>
        <v>0</v>
      </c>
      <c r="AV128" s="39">
        <f>資料儲存!E5380</f>
        <v>0</v>
      </c>
      <c r="AW128" s="39">
        <f>資料儲存!F5380</f>
        <v>0</v>
      </c>
      <c r="AX128" s="39">
        <f>資料儲存!G5380</f>
        <v>0</v>
      </c>
      <c r="AY128" s="39">
        <f>資料儲存!H5380</f>
        <v>0</v>
      </c>
      <c r="AZ128" s="39">
        <f>資料儲存!I5380</f>
        <v>0</v>
      </c>
      <c r="BA128" s="39">
        <f>資料儲存!J5380</f>
        <v>0</v>
      </c>
    </row>
    <row r="129" spans="1:53" s="59" customFormat="1" ht="16" thickBot="1">
      <c r="A129" s="62">
        <v>40</v>
      </c>
      <c r="B129" s="39">
        <f>資料儲存!D4781</f>
        <v>0</v>
      </c>
      <c r="C129" s="39">
        <f>資料儲存!E4781</f>
        <v>0</v>
      </c>
      <c r="D129" s="39">
        <f>資料儲存!F4781</f>
        <v>0</v>
      </c>
      <c r="E129" s="39">
        <f>資料儲存!G4781</f>
        <v>0</v>
      </c>
      <c r="F129" s="39">
        <f>資料儲存!H4781</f>
        <v>0</v>
      </c>
      <c r="G129" s="39">
        <f>資料儲存!I4781</f>
        <v>0</v>
      </c>
      <c r="H129" s="39">
        <f>資料儲存!J4781</f>
        <v>0</v>
      </c>
      <c r="I129" s="58"/>
      <c r="J129" s="62">
        <v>40</v>
      </c>
      <c r="K129" s="39">
        <f>資料儲存!D4901</f>
        <v>0</v>
      </c>
      <c r="L129" s="39">
        <f>資料儲存!E4901</f>
        <v>0</v>
      </c>
      <c r="M129" s="39">
        <f>資料儲存!F4901</f>
        <v>0</v>
      </c>
      <c r="N129" s="39">
        <f>資料儲存!G4901</f>
        <v>0</v>
      </c>
      <c r="O129" s="39">
        <f>資料儲存!H4901</f>
        <v>0</v>
      </c>
      <c r="P129" s="39">
        <f>資料儲存!I4901</f>
        <v>0</v>
      </c>
      <c r="Q129" s="39">
        <f>資料儲存!J4901</f>
        <v>0</v>
      </c>
      <c r="R129" s="58"/>
      <c r="S129" s="62">
        <v>40</v>
      </c>
      <c r="T129" s="39">
        <f>資料儲存!D5021</f>
        <v>0</v>
      </c>
      <c r="U129" s="39">
        <f>資料儲存!E5021</f>
        <v>0</v>
      </c>
      <c r="V129" s="39">
        <f>資料儲存!F5021</f>
        <v>0</v>
      </c>
      <c r="W129" s="39">
        <f>資料儲存!G5021</f>
        <v>0</v>
      </c>
      <c r="X129" s="39">
        <f>資料儲存!H5021</f>
        <v>0</v>
      </c>
      <c r="Y129" s="39">
        <f>資料儲存!I5021</f>
        <v>0</v>
      </c>
      <c r="Z129" s="39">
        <f>資料儲存!J5021</f>
        <v>0</v>
      </c>
      <c r="AA129" s="58"/>
      <c r="AB129" s="62">
        <v>40</v>
      </c>
      <c r="AC129" s="39">
        <f>資料儲存!D5141</f>
        <v>0</v>
      </c>
      <c r="AD129" s="39">
        <f>資料儲存!E5141</f>
        <v>0</v>
      </c>
      <c r="AE129" s="39">
        <f>資料儲存!F5141</f>
        <v>0</v>
      </c>
      <c r="AF129" s="39">
        <f>資料儲存!G5141</f>
        <v>0</v>
      </c>
      <c r="AG129" s="39">
        <f>資料儲存!H5141</f>
        <v>0</v>
      </c>
      <c r="AH129" s="39">
        <f>資料儲存!I5141</f>
        <v>0</v>
      </c>
      <c r="AI129" s="39">
        <f>資料儲存!J5141</f>
        <v>0</v>
      </c>
      <c r="AJ129" s="58"/>
      <c r="AK129" s="62">
        <v>40</v>
      </c>
      <c r="AL129" s="39">
        <f>資料儲存!D5261</f>
        <v>0</v>
      </c>
      <c r="AM129" s="39">
        <f>資料儲存!E5261</f>
        <v>0</v>
      </c>
      <c r="AN129" s="39">
        <f>資料儲存!F5261</f>
        <v>0</v>
      </c>
      <c r="AO129" s="39">
        <f>資料儲存!G5261</f>
        <v>0</v>
      </c>
      <c r="AP129" s="39">
        <f>資料儲存!H5261</f>
        <v>0</v>
      </c>
      <c r="AQ129" s="39">
        <f>資料儲存!I5261</f>
        <v>0</v>
      </c>
      <c r="AR129" s="39">
        <f>資料儲存!J5261</f>
        <v>0</v>
      </c>
      <c r="AT129" s="62">
        <v>40</v>
      </c>
      <c r="AU129" s="39">
        <f>資料儲存!D5381</f>
        <v>0</v>
      </c>
      <c r="AV129" s="39">
        <f>資料儲存!E5381</f>
        <v>0</v>
      </c>
      <c r="AW129" s="39">
        <f>資料儲存!F5381</f>
        <v>0</v>
      </c>
      <c r="AX129" s="39">
        <f>資料儲存!G5381</f>
        <v>0</v>
      </c>
      <c r="AY129" s="39">
        <f>資料儲存!H5381</f>
        <v>0</v>
      </c>
      <c r="AZ129" s="39">
        <f>資料儲存!I5381</f>
        <v>0</v>
      </c>
      <c r="BA129" s="39">
        <f>資料儲存!J5381</f>
        <v>0</v>
      </c>
    </row>
    <row r="130" spans="1:53" s="59" customFormat="1" ht="16" thickBot="1">
      <c r="A130" s="62">
        <v>41</v>
      </c>
      <c r="B130" s="39">
        <f>資料儲存!D4782</f>
        <v>0</v>
      </c>
      <c r="C130" s="39">
        <f>資料儲存!E4782</f>
        <v>0</v>
      </c>
      <c r="D130" s="39">
        <f>資料儲存!F4782</f>
        <v>0</v>
      </c>
      <c r="E130" s="39">
        <f>資料儲存!G4782</f>
        <v>0</v>
      </c>
      <c r="F130" s="39">
        <f>資料儲存!H4782</f>
        <v>0</v>
      </c>
      <c r="G130" s="39">
        <f>資料儲存!I4782</f>
        <v>0</v>
      </c>
      <c r="H130" s="39">
        <f>資料儲存!J4782</f>
        <v>0</v>
      </c>
      <c r="I130" s="58"/>
      <c r="J130" s="62">
        <v>41</v>
      </c>
      <c r="K130" s="39">
        <f>資料儲存!D4902</f>
        <v>0</v>
      </c>
      <c r="L130" s="39">
        <f>資料儲存!E4902</f>
        <v>0</v>
      </c>
      <c r="M130" s="39">
        <f>資料儲存!F4902</f>
        <v>0</v>
      </c>
      <c r="N130" s="39">
        <f>資料儲存!G4902</f>
        <v>0</v>
      </c>
      <c r="O130" s="39">
        <f>資料儲存!H4902</f>
        <v>0</v>
      </c>
      <c r="P130" s="39">
        <f>資料儲存!I4902</f>
        <v>0</v>
      </c>
      <c r="Q130" s="39">
        <f>資料儲存!J4902</f>
        <v>0</v>
      </c>
      <c r="R130" s="58"/>
      <c r="S130" s="62">
        <v>41</v>
      </c>
      <c r="T130" s="39">
        <f>資料儲存!D5022</f>
        <v>0</v>
      </c>
      <c r="U130" s="39">
        <f>資料儲存!E5022</f>
        <v>0</v>
      </c>
      <c r="V130" s="39">
        <f>資料儲存!F5022</f>
        <v>0</v>
      </c>
      <c r="W130" s="39">
        <f>資料儲存!G5022</f>
        <v>0</v>
      </c>
      <c r="X130" s="39">
        <f>資料儲存!H5022</f>
        <v>0</v>
      </c>
      <c r="Y130" s="39">
        <f>資料儲存!I5022</f>
        <v>0</v>
      </c>
      <c r="Z130" s="39">
        <f>資料儲存!J5022</f>
        <v>0</v>
      </c>
      <c r="AA130" s="58"/>
      <c r="AB130" s="62">
        <v>41</v>
      </c>
      <c r="AC130" s="39">
        <f>資料儲存!D5142</f>
        <v>0</v>
      </c>
      <c r="AD130" s="39">
        <f>資料儲存!E5142</f>
        <v>0</v>
      </c>
      <c r="AE130" s="39">
        <f>資料儲存!F5142</f>
        <v>0</v>
      </c>
      <c r="AF130" s="39">
        <f>資料儲存!G5142</f>
        <v>0</v>
      </c>
      <c r="AG130" s="39">
        <f>資料儲存!H5142</f>
        <v>0</v>
      </c>
      <c r="AH130" s="39">
        <f>資料儲存!I5142</f>
        <v>0</v>
      </c>
      <c r="AI130" s="39">
        <f>資料儲存!J5142</f>
        <v>0</v>
      </c>
      <c r="AJ130" s="58"/>
      <c r="AK130" s="62">
        <v>41</v>
      </c>
      <c r="AL130" s="39">
        <f>資料儲存!D5262</f>
        <v>0</v>
      </c>
      <c r="AM130" s="39">
        <f>資料儲存!E5262</f>
        <v>0</v>
      </c>
      <c r="AN130" s="39">
        <f>資料儲存!F5262</f>
        <v>0</v>
      </c>
      <c r="AO130" s="39">
        <f>資料儲存!G5262</f>
        <v>0</v>
      </c>
      <c r="AP130" s="39">
        <f>資料儲存!H5262</f>
        <v>0</v>
      </c>
      <c r="AQ130" s="39">
        <f>資料儲存!I5262</f>
        <v>0</v>
      </c>
      <c r="AR130" s="39">
        <f>資料儲存!J5262</f>
        <v>0</v>
      </c>
      <c r="AT130" s="62">
        <v>41</v>
      </c>
      <c r="AU130" s="39">
        <f>資料儲存!D5382</f>
        <v>0</v>
      </c>
      <c r="AV130" s="39">
        <f>資料儲存!E5382</f>
        <v>0</v>
      </c>
      <c r="AW130" s="39">
        <f>資料儲存!F5382</f>
        <v>0</v>
      </c>
      <c r="AX130" s="39">
        <f>資料儲存!G5382</f>
        <v>0</v>
      </c>
      <c r="AY130" s="39">
        <f>資料儲存!H5382</f>
        <v>0</v>
      </c>
      <c r="AZ130" s="39">
        <f>資料儲存!I5382</f>
        <v>0</v>
      </c>
      <c r="BA130" s="39">
        <f>資料儲存!J5382</f>
        <v>0</v>
      </c>
    </row>
    <row r="131" spans="1:53" s="59" customFormat="1" ht="16" thickBot="1">
      <c r="A131" s="62">
        <v>42</v>
      </c>
      <c r="B131" s="39">
        <f>資料儲存!D4783</f>
        <v>0</v>
      </c>
      <c r="C131" s="39">
        <f>資料儲存!E4783</f>
        <v>0</v>
      </c>
      <c r="D131" s="39">
        <f>資料儲存!F4783</f>
        <v>0</v>
      </c>
      <c r="E131" s="39">
        <f>資料儲存!G4783</f>
        <v>0</v>
      </c>
      <c r="F131" s="39">
        <f>資料儲存!H4783</f>
        <v>0</v>
      </c>
      <c r="G131" s="39">
        <f>資料儲存!I4783</f>
        <v>0</v>
      </c>
      <c r="H131" s="39">
        <f>資料儲存!J4783</f>
        <v>0</v>
      </c>
      <c r="I131" s="58"/>
      <c r="J131" s="62">
        <v>42</v>
      </c>
      <c r="K131" s="39">
        <f>資料儲存!D4903</f>
        <v>0</v>
      </c>
      <c r="L131" s="39">
        <f>資料儲存!E4903</f>
        <v>0</v>
      </c>
      <c r="M131" s="39">
        <f>資料儲存!F4903</f>
        <v>0</v>
      </c>
      <c r="N131" s="39">
        <f>資料儲存!G4903</f>
        <v>0</v>
      </c>
      <c r="O131" s="39">
        <f>資料儲存!H4903</f>
        <v>0</v>
      </c>
      <c r="P131" s="39">
        <f>資料儲存!I4903</f>
        <v>0</v>
      </c>
      <c r="Q131" s="39">
        <f>資料儲存!J4903</f>
        <v>0</v>
      </c>
      <c r="R131" s="58"/>
      <c r="S131" s="62">
        <v>42</v>
      </c>
      <c r="T131" s="39">
        <f>資料儲存!D5023</f>
        <v>0</v>
      </c>
      <c r="U131" s="39">
        <f>資料儲存!E5023</f>
        <v>0</v>
      </c>
      <c r="V131" s="39">
        <f>資料儲存!F5023</f>
        <v>0</v>
      </c>
      <c r="W131" s="39">
        <f>資料儲存!G5023</f>
        <v>0</v>
      </c>
      <c r="X131" s="39">
        <f>資料儲存!H5023</f>
        <v>0</v>
      </c>
      <c r="Y131" s="39">
        <f>資料儲存!I5023</f>
        <v>0</v>
      </c>
      <c r="Z131" s="39">
        <f>資料儲存!J5023</f>
        <v>0</v>
      </c>
      <c r="AA131" s="58"/>
      <c r="AB131" s="62">
        <v>42</v>
      </c>
      <c r="AC131" s="39">
        <f>資料儲存!D5143</f>
        <v>0</v>
      </c>
      <c r="AD131" s="39">
        <f>資料儲存!E5143</f>
        <v>0</v>
      </c>
      <c r="AE131" s="39">
        <f>資料儲存!F5143</f>
        <v>0</v>
      </c>
      <c r="AF131" s="39">
        <f>資料儲存!G5143</f>
        <v>0</v>
      </c>
      <c r="AG131" s="39">
        <f>資料儲存!H5143</f>
        <v>0</v>
      </c>
      <c r="AH131" s="39">
        <f>資料儲存!I5143</f>
        <v>0</v>
      </c>
      <c r="AI131" s="39">
        <f>資料儲存!J5143</f>
        <v>0</v>
      </c>
      <c r="AJ131" s="58"/>
      <c r="AK131" s="62">
        <v>42</v>
      </c>
      <c r="AL131" s="39">
        <f>資料儲存!D5263</f>
        <v>0</v>
      </c>
      <c r="AM131" s="39">
        <f>資料儲存!E5263</f>
        <v>0</v>
      </c>
      <c r="AN131" s="39">
        <f>資料儲存!F5263</f>
        <v>0</v>
      </c>
      <c r="AO131" s="39">
        <f>資料儲存!G5263</f>
        <v>0</v>
      </c>
      <c r="AP131" s="39">
        <f>資料儲存!H5263</f>
        <v>0</v>
      </c>
      <c r="AQ131" s="39">
        <f>資料儲存!I5263</f>
        <v>0</v>
      </c>
      <c r="AR131" s="39">
        <f>資料儲存!J5263</f>
        <v>0</v>
      </c>
      <c r="AT131" s="62">
        <v>42</v>
      </c>
      <c r="AU131" s="39">
        <f>資料儲存!D5383</f>
        <v>0</v>
      </c>
      <c r="AV131" s="39">
        <f>資料儲存!E5383</f>
        <v>0</v>
      </c>
      <c r="AW131" s="39">
        <f>資料儲存!F5383</f>
        <v>0</v>
      </c>
      <c r="AX131" s="39">
        <f>資料儲存!G5383</f>
        <v>0</v>
      </c>
      <c r="AY131" s="39">
        <f>資料儲存!H5383</f>
        <v>0</v>
      </c>
      <c r="AZ131" s="39">
        <f>資料儲存!I5383</f>
        <v>0</v>
      </c>
      <c r="BA131" s="39">
        <f>資料儲存!J5383</f>
        <v>0</v>
      </c>
    </row>
    <row r="132" spans="1:53" s="59" customFormat="1" ht="16" thickBot="1">
      <c r="A132" s="62">
        <v>43</v>
      </c>
      <c r="B132" s="39">
        <f>資料儲存!D4784</f>
        <v>0</v>
      </c>
      <c r="C132" s="39">
        <f>資料儲存!E4784</f>
        <v>0</v>
      </c>
      <c r="D132" s="39">
        <f>資料儲存!F4784</f>
        <v>0</v>
      </c>
      <c r="E132" s="39">
        <f>資料儲存!G4784</f>
        <v>0</v>
      </c>
      <c r="F132" s="39">
        <f>資料儲存!H4784</f>
        <v>0</v>
      </c>
      <c r="G132" s="39">
        <f>資料儲存!I4784</f>
        <v>0</v>
      </c>
      <c r="H132" s="39">
        <f>資料儲存!J4784</f>
        <v>0</v>
      </c>
      <c r="I132" s="58"/>
      <c r="J132" s="62">
        <v>43</v>
      </c>
      <c r="K132" s="39">
        <f>資料儲存!D4904</f>
        <v>0</v>
      </c>
      <c r="L132" s="39">
        <f>資料儲存!E4904</f>
        <v>0</v>
      </c>
      <c r="M132" s="39">
        <f>資料儲存!F4904</f>
        <v>0</v>
      </c>
      <c r="N132" s="39">
        <f>資料儲存!G4904</f>
        <v>0</v>
      </c>
      <c r="O132" s="39">
        <f>資料儲存!H4904</f>
        <v>0</v>
      </c>
      <c r="P132" s="39">
        <f>資料儲存!I4904</f>
        <v>0</v>
      </c>
      <c r="Q132" s="39">
        <f>資料儲存!J4904</f>
        <v>0</v>
      </c>
      <c r="R132" s="58"/>
      <c r="S132" s="62">
        <v>43</v>
      </c>
      <c r="T132" s="39">
        <f>資料儲存!D5024</f>
        <v>0</v>
      </c>
      <c r="U132" s="39">
        <f>資料儲存!E5024</f>
        <v>0</v>
      </c>
      <c r="V132" s="39">
        <f>資料儲存!F5024</f>
        <v>0</v>
      </c>
      <c r="W132" s="39">
        <f>資料儲存!G5024</f>
        <v>0</v>
      </c>
      <c r="X132" s="39">
        <f>資料儲存!H5024</f>
        <v>0</v>
      </c>
      <c r="Y132" s="39">
        <f>資料儲存!I5024</f>
        <v>0</v>
      </c>
      <c r="Z132" s="39">
        <f>資料儲存!J5024</f>
        <v>0</v>
      </c>
      <c r="AA132" s="58"/>
      <c r="AB132" s="62">
        <v>43</v>
      </c>
      <c r="AC132" s="39">
        <f>資料儲存!D5144</f>
        <v>0</v>
      </c>
      <c r="AD132" s="39">
        <f>資料儲存!E5144</f>
        <v>0</v>
      </c>
      <c r="AE132" s="39">
        <f>資料儲存!F5144</f>
        <v>0</v>
      </c>
      <c r="AF132" s="39">
        <f>資料儲存!G5144</f>
        <v>0</v>
      </c>
      <c r="AG132" s="39">
        <f>資料儲存!H5144</f>
        <v>0</v>
      </c>
      <c r="AH132" s="39">
        <f>資料儲存!I5144</f>
        <v>0</v>
      </c>
      <c r="AI132" s="39">
        <f>資料儲存!J5144</f>
        <v>0</v>
      </c>
      <c r="AJ132" s="58"/>
      <c r="AK132" s="62">
        <v>43</v>
      </c>
      <c r="AL132" s="39">
        <f>資料儲存!D5264</f>
        <v>0</v>
      </c>
      <c r="AM132" s="39">
        <f>資料儲存!E5264</f>
        <v>0</v>
      </c>
      <c r="AN132" s="39">
        <f>資料儲存!F5264</f>
        <v>0</v>
      </c>
      <c r="AO132" s="39">
        <f>資料儲存!G5264</f>
        <v>0</v>
      </c>
      <c r="AP132" s="39">
        <f>資料儲存!H5264</f>
        <v>0</v>
      </c>
      <c r="AQ132" s="39">
        <f>資料儲存!I5264</f>
        <v>0</v>
      </c>
      <c r="AR132" s="39">
        <f>資料儲存!J5264</f>
        <v>0</v>
      </c>
      <c r="AT132" s="62">
        <v>43</v>
      </c>
      <c r="AU132" s="39">
        <f>資料儲存!D5384</f>
        <v>0</v>
      </c>
      <c r="AV132" s="39">
        <f>資料儲存!E5384</f>
        <v>0</v>
      </c>
      <c r="AW132" s="39">
        <f>資料儲存!F5384</f>
        <v>0</v>
      </c>
      <c r="AX132" s="39">
        <f>資料儲存!G5384</f>
        <v>0</v>
      </c>
      <c r="AY132" s="39">
        <f>資料儲存!H5384</f>
        <v>0</v>
      </c>
      <c r="AZ132" s="39">
        <f>資料儲存!I5384</f>
        <v>0</v>
      </c>
      <c r="BA132" s="39">
        <f>資料儲存!J5384</f>
        <v>0</v>
      </c>
    </row>
    <row r="133" spans="1:53" s="59" customFormat="1" ht="16" thickBot="1">
      <c r="A133" s="62">
        <v>44</v>
      </c>
      <c r="B133" s="39">
        <f>資料儲存!D4785</f>
        <v>0</v>
      </c>
      <c r="C133" s="39">
        <f>資料儲存!E4785</f>
        <v>0</v>
      </c>
      <c r="D133" s="39">
        <f>資料儲存!F4785</f>
        <v>0</v>
      </c>
      <c r="E133" s="39">
        <f>資料儲存!G4785</f>
        <v>0</v>
      </c>
      <c r="F133" s="39">
        <f>資料儲存!H4785</f>
        <v>0</v>
      </c>
      <c r="G133" s="39">
        <f>資料儲存!I4785</f>
        <v>0</v>
      </c>
      <c r="H133" s="39">
        <f>資料儲存!J4785</f>
        <v>0</v>
      </c>
      <c r="I133" s="58"/>
      <c r="J133" s="62">
        <v>44</v>
      </c>
      <c r="K133" s="39">
        <f>資料儲存!D4905</f>
        <v>0</v>
      </c>
      <c r="L133" s="39">
        <f>資料儲存!E4905</f>
        <v>0</v>
      </c>
      <c r="M133" s="39">
        <f>資料儲存!F4905</f>
        <v>0</v>
      </c>
      <c r="N133" s="39">
        <f>資料儲存!G4905</f>
        <v>0</v>
      </c>
      <c r="O133" s="39">
        <f>資料儲存!H4905</f>
        <v>0</v>
      </c>
      <c r="P133" s="39">
        <f>資料儲存!I4905</f>
        <v>0</v>
      </c>
      <c r="Q133" s="39">
        <f>資料儲存!J4905</f>
        <v>0</v>
      </c>
      <c r="R133" s="58"/>
      <c r="S133" s="62">
        <v>44</v>
      </c>
      <c r="T133" s="39">
        <f>資料儲存!D5025</f>
        <v>0</v>
      </c>
      <c r="U133" s="39">
        <f>資料儲存!E5025</f>
        <v>0</v>
      </c>
      <c r="V133" s="39">
        <f>資料儲存!F5025</f>
        <v>0</v>
      </c>
      <c r="W133" s="39">
        <f>資料儲存!G5025</f>
        <v>0</v>
      </c>
      <c r="X133" s="39">
        <f>資料儲存!H5025</f>
        <v>0</v>
      </c>
      <c r="Y133" s="39">
        <f>資料儲存!I5025</f>
        <v>0</v>
      </c>
      <c r="Z133" s="39">
        <f>資料儲存!J5025</f>
        <v>0</v>
      </c>
      <c r="AA133" s="58"/>
      <c r="AB133" s="62">
        <v>44</v>
      </c>
      <c r="AC133" s="39">
        <f>資料儲存!D5145</f>
        <v>0</v>
      </c>
      <c r="AD133" s="39">
        <f>資料儲存!E5145</f>
        <v>0</v>
      </c>
      <c r="AE133" s="39">
        <f>資料儲存!F5145</f>
        <v>0</v>
      </c>
      <c r="AF133" s="39">
        <f>資料儲存!G5145</f>
        <v>0</v>
      </c>
      <c r="AG133" s="39">
        <f>資料儲存!H5145</f>
        <v>0</v>
      </c>
      <c r="AH133" s="39">
        <f>資料儲存!I5145</f>
        <v>0</v>
      </c>
      <c r="AI133" s="39">
        <f>資料儲存!J5145</f>
        <v>0</v>
      </c>
      <c r="AJ133" s="58"/>
      <c r="AK133" s="62">
        <v>44</v>
      </c>
      <c r="AL133" s="39">
        <f>資料儲存!D5265</f>
        <v>0</v>
      </c>
      <c r="AM133" s="39">
        <f>資料儲存!E5265</f>
        <v>0</v>
      </c>
      <c r="AN133" s="39">
        <f>資料儲存!F5265</f>
        <v>0</v>
      </c>
      <c r="AO133" s="39">
        <f>資料儲存!G5265</f>
        <v>0</v>
      </c>
      <c r="AP133" s="39">
        <f>資料儲存!H5265</f>
        <v>0</v>
      </c>
      <c r="AQ133" s="39">
        <f>資料儲存!I5265</f>
        <v>0</v>
      </c>
      <c r="AR133" s="39">
        <f>資料儲存!J5265</f>
        <v>0</v>
      </c>
      <c r="AT133" s="62">
        <v>44</v>
      </c>
      <c r="AU133" s="39">
        <f>資料儲存!D5385</f>
        <v>0</v>
      </c>
      <c r="AV133" s="39">
        <f>資料儲存!E5385</f>
        <v>0</v>
      </c>
      <c r="AW133" s="39">
        <f>資料儲存!F5385</f>
        <v>0</v>
      </c>
      <c r="AX133" s="39">
        <f>資料儲存!G5385</f>
        <v>0</v>
      </c>
      <c r="AY133" s="39">
        <f>資料儲存!H5385</f>
        <v>0</v>
      </c>
      <c r="AZ133" s="39">
        <f>資料儲存!I5385</f>
        <v>0</v>
      </c>
      <c r="BA133" s="39">
        <f>資料儲存!J5385</f>
        <v>0</v>
      </c>
    </row>
    <row r="134" spans="1:53" s="59" customFormat="1" ht="16" thickBot="1">
      <c r="A134" s="62">
        <v>45</v>
      </c>
      <c r="B134" s="39">
        <f>資料儲存!D4786</f>
        <v>0</v>
      </c>
      <c r="C134" s="39">
        <f>資料儲存!E4786</f>
        <v>0</v>
      </c>
      <c r="D134" s="39">
        <f>資料儲存!F4786</f>
        <v>0</v>
      </c>
      <c r="E134" s="39">
        <f>資料儲存!G4786</f>
        <v>0</v>
      </c>
      <c r="F134" s="39">
        <f>資料儲存!H4786</f>
        <v>0</v>
      </c>
      <c r="G134" s="39">
        <f>資料儲存!I4786</f>
        <v>0</v>
      </c>
      <c r="H134" s="39">
        <f>資料儲存!J4786</f>
        <v>0</v>
      </c>
      <c r="I134" s="58"/>
      <c r="J134" s="62">
        <v>45</v>
      </c>
      <c r="K134" s="39">
        <f>資料儲存!D4906</f>
        <v>0</v>
      </c>
      <c r="L134" s="39">
        <f>資料儲存!E4906</f>
        <v>0</v>
      </c>
      <c r="M134" s="39">
        <f>資料儲存!F4906</f>
        <v>0</v>
      </c>
      <c r="N134" s="39">
        <f>資料儲存!G4906</f>
        <v>0</v>
      </c>
      <c r="O134" s="39">
        <f>資料儲存!H4906</f>
        <v>0</v>
      </c>
      <c r="P134" s="39">
        <f>資料儲存!I4906</f>
        <v>0</v>
      </c>
      <c r="Q134" s="39">
        <f>資料儲存!J4906</f>
        <v>0</v>
      </c>
      <c r="R134" s="58"/>
      <c r="S134" s="62">
        <v>45</v>
      </c>
      <c r="T134" s="39">
        <f>資料儲存!D5026</f>
        <v>0</v>
      </c>
      <c r="U134" s="39">
        <f>資料儲存!E5026</f>
        <v>0</v>
      </c>
      <c r="V134" s="39">
        <f>資料儲存!F5026</f>
        <v>0</v>
      </c>
      <c r="W134" s="39">
        <f>資料儲存!G5026</f>
        <v>0</v>
      </c>
      <c r="X134" s="39">
        <f>資料儲存!H5026</f>
        <v>0</v>
      </c>
      <c r="Y134" s="39">
        <f>資料儲存!I5026</f>
        <v>0</v>
      </c>
      <c r="Z134" s="39">
        <f>資料儲存!J5026</f>
        <v>0</v>
      </c>
      <c r="AA134" s="58"/>
      <c r="AB134" s="62">
        <v>45</v>
      </c>
      <c r="AC134" s="39">
        <f>資料儲存!D5146</f>
        <v>0</v>
      </c>
      <c r="AD134" s="39">
        <f>資料儲存!E5146</f>
        <v>0</v>
      </c>
      <c r="AE134" s="39">
        <f>資料儲存!F5146</f>
        <v>0</v>
      </c>
      <c r="AF134" s="39">
        <f>資料儲存!G5146</f>
        <v>0</v>
      </c>
      <c r="AG134" s="39">
        <f>資料儲存!H5146</f>
        <v>0</v>
      </c>
      <c r="AH134" s="39">
        <f>資料儲存!I5146</f>
        <v>0</v>
      </c>
      <c r="AI134" s="39">
        <f>資料儲存!J5146</f>
        <v>0</v>
      </c>
      <c r="AJ134" s="58"/>
      <c r="AK134" s="62">
        <v>45</v>
      </c>
      <c r="AL134" s="39">
        <f>資料儲存!D5266</f>
        <v>0</v>
      </c>
      <c r="AM134" s="39">
        <f>資料儲存!E5266</f>
        <v>0</v>
      </c>
      <c r="AN134" s="39">
        <f>資料儲存!F5266</f>
        <v>0</v>
      </c>
      <c r="AO134" s="39">
        <f>資料儲存!G5266</f>
        <v>0</v>
      </c>
      <c r="AP134" s="39">
        <f>資料儲存!H5266</f>
        <v>0</v>
      </c>
      <c r="AQ134" s="39">
        <f>資料儲存!I5266</f>
        <v>0</v>
      </c>
      <c r="AR134" s="39">
        <f>資料儲存!J5266</f>
        <v>0</v>
      </c>
      <c r="AT134" s="62">
        <v>45</v>
      </c>
      <c r="AU134" s="39">
        <f>資料儲存!D5386</f>
        <v>0</v>
      </c>
      <c r="AV134" s="39">
        <f>資料儲存!E5386</f>
        <v>0</v>
      </c>
      <c r="AW134" s="39">
        <f>資料儲存!F5386</f>
        <v>0</v>
      </c>
      <c r="AX134" s="39">
        <f>資料儲存!G5386</f>
        <v>0</v>
      </c>
      <c r="AY134" s="39">
        <f>資料儲存!H5386</f>
        <v>0</v>
      </c>
      <c r="AZ134" s="39">
        <f>資料儲存!I5386</f>
        <v>0</v>
      </c>
      <c r="BA134" s="39">
        <f>資料儲存!J5386</f>
        <v>0</v>
      </c>
    </row>
    <row r="135" spans="1:53" s="59" customFormat="1" ht="17.25" customHeight="1" thickBot="1">
      <c r="A135" s="40" t="s">
        <v>56</v>
      </c>
      <c r="B135" s="39">
        <f>SUM(B120:E134)</f>
        <v>0</v>
      </c>
      <c r="C135" s="37"/>
      <c r="D135" s="37"/>
      <c r="E135" s="37"/>
      <c r="F135" s="39">
        <f>F134</f>
        <v>0</v>
      </c>
      <c r="G135" s="39">
        <f>G134</f>
        <v>0</v>
      </c>
      <c r="H135" s="39">
        <f>H134</f>
        <v>0</v>
      </c>
      <c r="I135" s="35"/>
      <c r="J135" s="40" t="s">
        <v>56</v>
      </c>
      <c r="K135" s="39">
        <f>SUM(K120:N134)</f>
        <v>0</v>
      </c>
      <c r="L135" s="37"/>
      <c r="M135" s="37"/>
      <c r="N135" s="37"/>
      <c r="O135" s="39">
        <f>O134</f>
        <v>0</v>
      </c>
      <c r="P135" s="39">
        <f>P134</f>
        <v>0</v>
      </c>
      <c r="Q135" s="39">
        <f>Q134</f>
        <v>0</v>
      </c>
      <c r="R135" s="35"/>
      <c r="S135" s="40" t="s">
        <v>56</v>
      </c>
      <c r="T135" s="39">
        <f>SUM(T120:W134)</f>
        <v>0</v>
      </c>
      <c r="U135" s="37"/>
      <c r="V135" s="37"/>
      <c r="W135" s="37"/>
      <c r="X135" s="39">
        <f>X134</f>
        <v>0</v>
      </c>
      <c r="Y135" s="39">
        <f>Y134</f>
        <v>0</v>
      </c>
      <c r="Z135" s="39">
        <f>Z134</f>
        <v>0</v>
      </c>
      <c r="AA135" s="35"/>
      <c r="AB135" s="40" t="s">
        <v>56</v>
      </c>
      <c r="AC135" s="39">
        <f>SUM(AC120:AF134)</f>
        <v>0</v>
      </c>
      <c r="AD135" s="37"/>
      <c r="AE135" s="37"/>
      <c r="AF135" s="37"/>
      <c r="AG135" s="39">
        <f>AG134</f>
        <v>0</v>
      </c>
      <c r="AH135" s="39">
        <f>AH134</f>
        <v>0</v>
      </c>
      <c r="AI135" s="39">
        <f>AI134</f>
        <v>0</v>
      </c>
      <c r="AJ135" s="35"/>
      <c r="AK135" s="40" t="s">
        <v>56</v>
      </c>
      <c r="AL135" s="39">
        <f>SUM(AL120:AO134)</f>
        <v>0</v>
      </c>
      <c r="AM135" s="37"/>
      <c r="AN135" s="37"/>
      <c r="AO135" s="37"/>
      <c r="AP135" s="39">
        <f>AP134</f>
        <v>0</v>
      </c>
      <c r="AQ135" s="39">
        <f>AQ134</f>
        <v>0</v>
      </c>
      <c r="AR135" s="39">
        <f>AR134</f>
        <v>0</v>
      </c>
      <c r="AT135" s="40" t="s">
        <v>56</v>
      </c>
      <c r="AU135" s="39">
        <f>SUM(AU120:AX134)</f>
        <v>0</v>
      </c>
      <c r="AV135" s="37"/>
      <c r="AW135" s="37"/>
      <c r="AX135" s="37"/>
      <c r="AY135" s="39">
        <f>AY134</f>
        <v>0</v>
      </c>
      <c r="AZ135" s="39">
        <f>AZ134</f>
        <v>0</v>
      </c>
      <c r="BA135" s="39">
        <f>BA134</f>
        <v>0</v>
      </c>
    </row>
    <row r="136" spans="1:53" ht="18.5" thickBot="1">
      <c r="A136" s="257" t="s">
        <v>114</v>
      </c>
      <c r="B136" s="258"/>
      <c r="C136" s="258"/>
      <c r="D136" s="258"/>
      <c r="E136" s="258"/>
      <c r="F136" s="258"/>
      <c r="G136" s="258"/>
      <c r="H136" s="259"/>
      <c r="I136" s="14"/>
      <c r="J136" s="257" t="s">
        <v>114</v>
      </c>
      <c r="K136" s="258"/>
      <c r="L136" s="258"/>
      <c r="M136" s="258"/>
      <c r="N136" s="258"/>
      <c r="O136" s="258"/>
      <c r="P136" s="258"/>
      <c r="Q136" s="259"/>
      <c r="R136" s="14"/>
      <c r="S136" s="257" t="s">
        <v>114</v>
      </c>
      <c r="T136" s="258"/>
      <c r="U136" s="258"/>
      <c r="V136" s="258"/>
      <c r="W136" s="258"/>
      <c r="X136" s="258"/>
      <c r="Y136" s="258"/>
      <c r="Z136" s="259"/>
      <c r="AA136" s="14"/>
      <c r="AB136" s="257" t="s">
        <v>114</v>
      </c>
      <c r="AC136" s="258"/>
      <c r="AD136" s="258"/>
      <c r="AE136" s="258"/>
      <c r="AF136" s="258"/>
      <c r="AG136" s="258"/>
      <c r="AH136" s="258"/>
      <c r="AI136" s="259"/>
      <c r="AJ136" s="14"/>
      <c r="AK136" s="257" t="s">
        <v>114</v>
      </c>
      <c r="AL136" s="258"/>
      <c r="AM136" s="258"/>
      <c r="AN136" s="258"/>
      <c r="AO136" s="258"/>
      <c r="AP136" s="258"/>
      <c r="AQ136" s="258"/>
      <c r="AR136" s="259"/>
      <c r="AT136" s="257" t="s">
        <v>114</v>
      </c>
      <c r="AU136" s="258"/>
      <c r="AV136" s="258"/>
      <c r="AW136" s="258"/>
      <c r="AX136" s="258"/>
      <c r="AY136" s="258"/>
      <c r="AZ136" s="258"/>
      <c r="BA136" s="259"/>
    </row>
    <row r="137" spans="1:53" s="67" customFormat="1" ht="17.25" customHeight="1" thickBot="1">
      <c r="A137" s="63" t="s">
        <v>2</v>
      </c>
      <c r="B137" s="64" t="s">
        <v>46</v>
      </c>
      <c r="C137" s="65"/>
      <c r="D137" s="65"/>
      <c r="E137" s="66"/>
      <c r="F137" s="64" t="s">
        <v>47</v>
      </c>
      <c r="G137" s="65"/>
      <c r="H137" s="66"/>
      <c r="I137" s="52"/>
      <c r="J137" s="63" t="s">
        <v>2</v>
      </c>
      <c r="K137" s="64" t="s">
        <v>46</v>
      </c>
      <c r="L137" s="65"/>
      <c r="M137" s="65"/>
      <c r="N137" s="66"/>
      <c r="O137" s="64" t="s">
        <v>47</v>
      </c>
      <c r="P137" s="65"/>
      <c r="Q137" s="66"/>
      <c r="R137" s="52"/>
      <c r="S137" s="63" t="s">
        <v>2</v>
      </c>
      <c r="T137" s="64" t="s">
        <v>46</v>
      </c>
      <c r="U137" s="65"/>
      <c r="V137" s="65"/>
      <c r="W137" s="66"/>
      <c r="X137" s="64" t="s">
        <v>47</v>
      </c>
      <c r="Y137" s="65"/>
      <c r="Z137" s="66"/>
      <c r="AA137" s="52"/>
      <c r="AB137" s="63" t="s">
        <v>2</v>
      </c>
      <c r="AC137" s="64" t="s">
        <v>46</v>
      </c>
      <c r="AD137" s="65"/>
      <c r="AE137" s="65"/>
      <c r="AF137" s="66"/>
      <c r="AG137" s="64" t="s">
        <v>47</v>
      </c>
      <c r="AH137" s="65"/>
      <c r="AI137" s="66"/>
      <c r="AJ137" s="52"/>
      <c r="AK137" s="63" t="s">
        <v>2</v>
      </c>
      <c r="AL137" s="64" t="s">
        <v>46</v>
      </c>
      <c r="AM137" s="65"/>
      <c r="AN137" s="65"/>
      <c r="AO137" s="66"/>
      <c r="AP137" s="64" t="s">
        <v>47</v>
      </c>
      <c r="AQ137" s="65"/>
      <c r="AR137" s="66"/>
      <c r="AT137" s="63" t="s">
        <v>2</v>
      </c>
      <c r="AU137" s="64" t="s">
        <v>46</v>
      </c>
      <c r="AV137" s="65"/>
      <c r="AW137" s="65"/>
      <c r="AX137" s="66"/>
      <c r="AY137" s="64" t="s">
        <v>47</v>
      </c>
      <c r="AZ137" s="65"/>
      <c r="BA137" s="66"/>
    </row>
    <row r="138" spans="1:53" s="67" customFormat="1" ht="16" thickBot="1">
      <c r="A138" s="68">
        <v>0.73958333333333337</v>
      </c>
      <c r="B138" s="69" t="s">
        <v>49</v>
      </c>
      <c r="C138" s="69" t="s">
        <v>50</v>
      </c>
      <c r="D138" s="69" t="s">
        <v>51</v>
      </c>
      <c r="E138" s="69" t="s">
        <v>52</v>
      </c>
      <c r="F138" s="69" t="s">
        <v>53</v>
      </c>
      <c r="G138" s="69" t="s">
        <v>54</v>
      </c>
      <c r="H138" s="69" t="s">
        <v>55</v>
      </c>
      <c r="I138" s="52"/>
      <c r="J138" s="68">
        <v>0.73958333333333337</v>
      </c>
      <c r="K138" s="69" t="s">
        <v>49</v>
      </c>
      <c r="L138" s="69" t="s">
        <v>50</v>
      </c>
      <c r="M138" s="69" t="s">
        <v>51</v>
      </c>
      <c r="N138" s="69" t="s">
        <v>52</v>
      </c>
      <c r="O138" s="69" t="s">
        <v>53</v>
      </c>
      <c r="P138" s="69" t="s">
        <v>54</v>
      </c>
      <c r="Q138" s="69" t="s">
        <v>55</v>
      </c>
      <c r="R138" s="52"/>
      <c r="S138" s="68">
        <v>0.73958333333333337</v>
      </c>
      <c r="T138" s="69" t="s">
        <v>49</v>
      </c>
      <c r="U138" s="69" t="s">
        <v>50</v>
      </c>
      <c r="V138" s="69" t="s">
        <v>51</v>
      </c>
      <c r="W138" s="69" t="s">
        <v>52</v>
      </c>
      <c r="X138" s="69" t="s">
        <v>53</v>
      </c>
      <c r="Y138" s="69" t="s">
        <v>54</v>
      </c>
      <c r="Z138" s="69" t="s">
        <v>55</v>
      </c>
      <c r="AA138" s="52"/>
      <c r="AB138" s="68">
        <v>0.73958333333333337</v>
      </c>
      <c r="AC138" s="69" t="s">
        <v>49</v>
      </c>
      <c r="AD138" s="69" t="s">
        <v>50</v>
      </c>
      <c r="AE138" s="69" t="s">
        <v>51</v>
      </c>
      <c r="AF138" s="69" t="s">
        <v>52</v>
      </c>
      <c r="AG138" s="69" t="s">
        <v>53</v>
      </c>
      <c r="AH138" s="69" t="s">
        <v>54</v>
      </c>
      <c r="AI138" s="69" t="s">
        <v>55</v>
      </c>
      <c r="AJ138" s="52"/>
      <c r="AK138" s="68">
        <v>0.73958333333333337</v>
      </c>
      <c r="AL138" s="69" t="s">
        <v>49</v>
      </c>
      <c r="AM138" s="69" t="s">
        <v>50</v>
      </c>
      <c r="AN138" s="69" t="s">
        <v>51</v>
      </c>
      <c r="AO138" s="69" t="s">
        <v>52</v>
      </c>
      <c r="AP138" s="69" t="s">
        <v>53</v>
      </c>
      <c r="AQ138" s="69" t="s">
        <v>54</v>
      </c>
      <c r="AR138" s="69" t="s">
        <v>55</v>
      </c>
      <c r="AT138" s="68">
        <v>0.73958333333333337</v>
      </c>
      <c r="AU138" s="69" t="s">
        <v>49</v>
      </c>
      <c r="AV138" s="69" t="s">
        <v>50</v>
      </c>
      <c r="AW138" s="69" t="s">
        <v>51</v>
      </c>
      <c r="AX138" s="69" t="s">
        <v>52</v>
      </c>
      <c r="AY138" s="69" t="s">
        <v>53</v>
      </c>
      <c r="AZ138" s="69" t="s">
        <v>54</v>
      </c>
      <c r="BA138" s="69" t="s">
        <v>55</v>
      </c>
    </row>
    <row r="139" spans="1:53" s="67" customFormat="1" ht="16" thickBot="1">
      <c r="A139" s="70">
        <v>46</v>
      </c>
      <c r="B139" s="49">
        <f>資料儲存!D4787</f>
        <v>0</v>
      </c>
      <c r="C139" s="49">
        <f>資料儲存!E4787</f>
        <v>0</v>
      </c>
      <c r="D139" s="49">
        <f>資料儲存!F4787</f>
        <v>0</v>
      </c>
      <c r="E139" s="49">
        <f>資料儲存!G4787</f>
        <v>0</v>
      </c>
      <c r="F139" s="49">
        <f>資料儲存!H4787</f>
        <v>0</v>
      </c>
      <c r="G139" s="49">
        <f>資料儲存!I4787</f>
        <v>0</v>
      </c>
      <c r="H139" s="49">
        <f>資料儲存!J4787</f>
        <v>0</v>
      </c>
      <c r="I139" s="52"/>
      <c r="J139" s="70">
        <v>46</v>
      </c>
      <c r="K139" s="49">
        <f>資料儲存!D4907</f>
        <v>0</v>
      </c>
      <c r="L139" s="49">
        <f>資料儲存!E4907</f>
        <v>0</v>
      </c>
      <c r="M139" s="49">
        <f>資料儲存!F4907</f>
        <v>0</v>
      </c>
      <c r="N139" s="49">
        <f>資料儲存!G4907</f>
        <v>0</v>
      </c>
      <c r="O139" s="49">
        <f>資料儲存!H4907</f>
        <v>0</v>
      </c>
      <c r="P139" s="49">
        <f>資料儲存!I4907</f>
        <v>0</v>
      </c>
      <c r="Q139" s="49">
        <f>資料儲存!J4907</f>
        <v>0</v>
      </c>
      <c r="R139" s="52"/>
      <c r="S139" s="70">
        <v>46</v>
      </c>
      <c r="T139" s="49">
        <f>資料儲存!D5027</f>
        <v>0</v>
      </c>
      <c r="U139" s="49">
        <f>資料儲存!E5027</f>
        <v>0</v>
      </c>
      <c r="V139" s="49">
        <f>資料儲存!F5027</f>
        <v>0</v>
      </c>
      <c r="W139" s="49">
        <f>資料儲存!G5027</f>
        <v>0</v>
      </c>
      <c r="X139" s="49">
        <f>資料儲存!H5027</f>
        <v>0</v>
      </c>
      <c r="Y139" s="49">
        <f>資料儲存!I5027</f>
        <v>0</v>
      </c>
      <c r="Z139" s="49">
        <f>資料儲存!J5027</f>
        <v>0</v>
      </c>
      <c r="AA139" s="52"/>
      <c r="AB139" s="70">
        <v>46</v>
      </c>
      <c r="AC139" s="49">
        <f>資料儲存!D5147</f>
        <v>0</v>
      </c>
      <c r="AD139" s="49">
        <f>資料儲存!E5147</f>
        <v>0</v>
      </c>
      <c r="AE139" s="49">
        <f>資料儲存!F5147</f>
        <v>0</v>
      </c>
      <c r="AF139" s="49">
        <f>資料儲存!G5147</f>
        <v>0</v>
      </c>
      <c r="AG139" s="49">
        <f>資料儲存!H5147</f>
        <v>0</v>
      </c>
      <c r="AH139" s="49">
        <f>資料儲存!I5147</f>
        <v>0</v>
      </c>
      <c r="AI139" s="49">
        <f>資料儲存!J5147</f>
        <v>0</v>
      </c>
      <c r="AJ139" s="52"/>
      <c r="AK139" s="70">
        <v>46</v>
      </c>
      <c r="AL139" s="49">
        <f>資料儲存!D5267</f>
        <v>0</v>
      </c>
      <c r="AM139" s="49">
        <f>資料儲存!E5267</f>
        <v>0</v>
      </c>
      <c r="AN139" s="49">
        <f>資料儲存!F5267</f>
        <v>0</v>
      </c>
      <c r="AO139" s="49">
        <f>資料儲存!G5267</f>
        <v>0</v>
      </c>
      <c r="AP139" s="49">
        <f>資料儲存!H5267</f>
        <v>0</v>
      </c>
      <c r="AQ139" s="49">
        <f>資料儲存!I5267</f>
        <v>0</v>
      </c>
      <c r="AR139" s="49">
        <f>資料儲存!J5267</f>
        <v>0</v>
      </c>
      <c r="AT139" s="70">
        <v>46</v>
      </c>
      <c r="AU139" s="49">
        <f>資料儲存!D5387</f>
        <v>0</v>
      </c>
      <c r="AV139" s="49">
        <f>資料儲存!E5387</f>
        <v>0</v>
      </c>
      <c r="AW139" s="49">
        <f>資料儲存!F5387</f>
        <v>0</v>
      </c>
      <c r="AX139" s="49">
        <f>資料儲存!G5387</f>
        <v>0</v>
      </c>
      <c r="AY139" s="49">
        <f>資料儲存!H5387</f>
        <v>0</v>
      </c>
      <c r="AZ139" s="49">
        <f>資料儲存!I5387</f>
        <v>0</v>
      </c>
      <c r="BA139" s="49">
        <f>資料儲存!J5387</f>
        <v>0</v>
      </c>
    </row>
    <row r="140" spans="1:53" s="67" customFormat="1" ht="16" thickBot="1">
      <c r="A140" s="70">
        <v>47</v>
      </c>
      <c r="B140" s="49">
        <f>資料儲存!D4788</f>
        <v>0</v>
      </c>
      <c r="C140" s="49">
        <f>資料儲存!E4788</f>
        <v>0</v>
      </c>
      <c r="D140" s="49">
        <f>資料儲存!F4788</f>
        <v>0</v>
      </c>
      <c r="E140" s="49">
        <f>資料儲存!G4788</f>
        <v>0</v>
      </c>
      <c r="F140" s="49">
        <f>資料儲存!H4788</f>
        <v>0</v>
      </c>
      <c r="G140" s="49">
        <f>資料儲存!I4788</f>
        <v>0</v>
      </c>
      <c r="H140" s="49">
        <f>資料儲存!J4788</f>
        <v>0</v>
      </c>
      <c r="I140" s="52"/>
      <c r="J140" s="70">
        <v>47</v>
      </c>
      <c r="K140" s="49">
        <f>資料儲存!D4908</f>
        <v>0</v>
      </c>
      <c r="L140" s="49">
        <f>資料儲存!E4908</f>
        <v>0</v>
      </c>
      <c r="M140" s="49">
        <f>資料儲存!F4908</f>
        <v>0</v>
      </c>
      <c r="N140" s="49">
        <f>資料儲存!G4908</f>
        <v>0</v>
      </c>
      <c r="O140" s="49">
        <f>資料儲存!H4908</f>
        <v>0</v>
      </c>
      <c r="P140" s="49">
        <f>資料儲存!I4908</f>
        <v>0</v>
      </c>
      <c r="Q140" s="49">
        <f>資料儲存!J4908</f>
        <v>0</v>
      </c>
      <c r="R140" s="52"/>
      <c r="S140" s="70">
        <v>47</v>
      </c>
      <c r="T140" s="49">
        <f>資料儲存!D5028</f>
        <v>0</v>
      </c>
      <c r="U140" s="49">
        <f>資料儲存!E5028</f>
        <v>0</v>
      </c>
      <c r="V140" s="49">
        <f>資料儲存!F5028</f>
        <v>0</v>
      </c>
      <c r="W140" s="49">
        <f>資料儲存!G5028</f>
        <v>0</v>
      </c>
      <c r="X140" s="49">
        <f>資料儲存!H5028</f>
        <v>0</v>
      </c>
      <c r="Y140" s="49">
        <f>資料儲存!I5028</f>
        <v>0</v>
      </c>
      <c r="Z140" s="49">
        <f>資料儲存!J5028</f>
        <v>0</v>
      </c>
      <c r="AA140" s="52"/>
      <c r="AB140" s="70">
        <v>47</v>
      </c>
      <c r="AC140" s="49">
        <f>資料儲存!D5148</f>
        <v>0</v>
      </c>
      <c r="AD140" s="49">
        <f>資料儲存!E5148</f>
        <v>0</v>
      </c>
      <c r="AE140" s="49">
        <f>資料儲存!F5148</f>
        <v>0</v>
      </c>
      <c r="AF140" s="49">
        <f>資料儲存!G5148</f>
        <v>0</v>
      </c>
      <c r="AG140" s="49">
        <f>資料儲存!H5148</f>
        <v>0</v>
      </c>
      <c r="AH140" s="49">
        <f>資料儲存!I5148</f>
        <v>0</v>
      </c>
      <c r="AI140" s="49">
        <f>資料儲存!J5148</f>
        <v>0</v>
      </c>
      <c r="AJ140" s="52"/>
      <c r="AK140" s="70">
        <v>47</v>
      </c>
      <c r="AL140" s="49">
        <f>資料儲存!D5268</f>
        <v>0</v>
      </c>
      <c r="AM140" s="49">
        <f>資料儲存!E5268</f>
        <v>0</v>
      </c>
      <c r="AN140" s="49">
        <f>資料儲存!F5268</f>
        <v>0</v>
      </c>
      <c r="AO140" s="49">
        <f>資料儲存!G5268</f>
        <v>0</v>
      </c>
      <c r="AP140" s="49">
        <f>資料儲存!H5268</f>
        <v>0</v>
      </c>
      <c r="AQ140" s="49">
        <f>資料儲存!I5268</f>
        <v>0</v>
      </c>
      <c r="AR140" s="49">
        <f>資料儲存!J5268</f>
        <v>0</v>
      </c>
      <c r="AT140" s="70">
        <v>47</v>
      </c>
      <c r="AU140" s="49">
        <f>資料儲存!D5388</f>
        <v>0</v>
      </c>
      <c r="AV140" s="49">
        <f>資料儲存!E5388</f>
        <v>0</v>
      </c>
      <c r="AW140" s="49">
        <f>資料儲存!F5388</f>
        <v>0</v>
      </c>
      <c r="AX140" s="49">
        <f>資料儲存!G5388</f>
        <v>0</v>
      </c>
      <c r="AY140" s="49">
        <f>資料儲存!H5388</f>
        <v>0</v>
      </c>
      <c r="AZ140" s="49">
        <f>資料儲存!I5388</f>
        <v>0</v>
      </c>
      <c r="BA140" s="49">
        <f>資料儲存!J5388</f>
        <v>0</v>
      </c>
    </row>
    <row r="141" spans="1:53" s="67" customFormat="1" ht="16" thickBot="1">
      <c r="A141" s="70">
        <v>48</v>
      </c>
      <c r="B141" s="49">
        <f>資料儲存!D4789</f>
        <v>0</v>
      </c>
      <c r="C141" s="49">
        <f>資料儲存!E4789</f>
        <v>0</v>
      </c>
      <c r="D141" s="49">
        <f>資料儲存!F4789</f>
        <v>0</v>
      </c>
      <c r="E141" s="49">
        <f>資料儲存!G4789</f>
        <v>0</v>
      </c>
      <c r="F141" s="49">
        <f>資料儲存!H4789</f>
        <v>0</v>
      </c>
      <c r="G141" s="49">
        <f>資料儲存!I4789</f>
        <v>0</v>
      </c>
      <c r="H141" s="49">
        <f>資料儲存!J4789</f>
        <v>0</v>
      </c>
      <c r="I141" s="52"/>
      <c r="J141" s="70">
        <v>48</v>
      </c>
      <c r="K141" s="49">
        <f>資料儲存!D4909</f>
        <v>0</v>
      </c>
      <c r="L141" s="49">
        <f>資料儲存!E4909</f>
        <v>0</v>
      </c>
      <c r="M141" s="49">
        <f>資料儲存!F4909</f>
        <v>0</v>
      </c>
      <c r="N141" s="49">
        <f>資料儲存!G4909</f>
        <v>0</v>
      </c>
      <c r="O141" s="49">
        <f>資料儲存!H4909</f>
        <v>0</v>
      </c>
      <c r="P141" s="49">
        <f>資料儲存!I4909</f>
        <v>0</v>
      </c>
      <c r="Q141" s="49">
        <f>資料儲存!J4909</f>
        <v>0</v>
      </c>
      <c r="R141" s="52"/>
      <c r="S141" s="70">
        <v>48</v>
      </c>
      <c r="T141" s="49">
        <f>資料儲存!D5029</f>
        <v>0</v>
      </c>
      <c r="U141" s="49">
        <f>資料儲存!E5029</f>
        <v>0</v>
      </c>
      <c r="V141" s="49">
        <f>資料儲存!F5029</f>
        <v>0</v>
      </c>
      <c r="W141" s="49">
        <f>資料儲存!G5029</f>
        <v>0</v>
      </c>
      <c r="X141" s="49">
        <f>資料儲存!H5029</f>
        <v>0</v>
      </c>
      <c r="Y141" s="49">
        <f>資料儲存!I5029</f>
        <v>0</v>
      </c>
      <c r="Z141" s="49">
        <f>資料儲存!J5029</f>
        <v>0</v>
      </c>
      <c r="AA141" s="52"/>
      <c r="AB141" s="70">
        <v>48</v>
      </c>
      <c r="AC141" s="49">
        <f>資料儲存!D5149</f>
        <v>0</v>
      </c>
      <c r="AD141" s="49">
        <f>資料儲存!E5149</f>
        <v>0</v>
      </c>
      <c r="AE141" s="49">
        <f>資料儲存!F5149</f>
        <v>0</v>
      </c>
      <c r="AF141" s="49">
        <f>資料儲存!G5149</f>
        <v>0</v>
      </c>
      <c r="AG141" s="49">
        <f>資料儲存!H5149</f>
        <v>0</v>
      </c>
      <c r="AH141" s="49">
        <f>資料儲存!I5149</f>
        <v>0</v>
      </c>
      <c r="AI141" s="49">
        <f>資料儲存!J5149</f>
        <v>0</v>
      </c>
      <c r="AJ141" s="52"/>
      <c r="AK141" s="70">
        <v>48</v>
      </c>
      <c r="AL141" s="49">
        <f>資料儲存!D5269</f>
        <v>0</v>
      </c>
      <c r="AM141" s="49">
        <f>資料儲存!E5269</f>
        <v>0</v>
      </c>
      <c r="AN141" s="49">
        <f>資料儲存!F5269</f>
        <v>0</v>
      </c>
      <c r="AO141" s="49">
        <f>資料儲存!G5269</f>
        <v>0</v>
      </c>
      <c r="AP141" s="49">
        <f>資料儲存!H5269</f>
        <v>0</v>
      </c>
      <c r="AQ141" s="49">
        <f>資料儲存!I5269</f>
        <v>0</v>
      </c>
      <c r="AR141" s="49">
        <f>資料儲存!J5269</f>
        <v>0</v>
      </c>
      <c r="AT141" s="70">
        <v>48</v>
      </c>
      <c r="AU141" s="49">
        <f>資料儲存!D5389</f>
        <v>0</v>
      </c>
      <c r="AV141" s="49">
        <f>資料儲存!E5389</f>
        <v>0</v>
      </c>
      <c r="AW141" s="49">
        <f>資料儲存!F5389</f>
        <v>0</v>
      </c>
      <c r="AX141" s="49">
        <f>資料儲存!G5389</f>
        <v>0</v>
      </c>
      <c r="AY141" s="49">
        <f>資料儲存!H5389</f>
        <v>0</v>
      </c>
      <c r="AZ141" s="49">
        <f>資料儲存!I5389</f>
        <v>0</v>
      </c>
      <c r="BA141" s="49">
        <f>資料儲存!J5389</f>
        <v>0</v>
      </c>
    </row>
    <row r="142" spans="1:53" s="67" customFormat="1" ht="16" thickBot="1">
      <c r="A142" s="70">
        <v>49</v>
      </c>
      <c r="B142" s="49">
        <f>資料儲存!D4790</f>
        <v>0</v>
      </c>
      <c r="C142" s="49">
        <f>資料儲存!E4790</f>
        <v>0</v>
      </c>
      <c r="D142" s="49">
        <f>資料儲存!F4790</f>
        <v>0</v>
      </c>
      <c r="E142" s="49">
        <f>資料儲存!G4790</f>
        <v>0</v>
      </c>
      <c r="F142" s="49">
        <f>資料儲存!H4790</f>
        <v>0</v>
      </c>
      <c r="G142" s="49">
        <f>資料儲存!I4790</f>
        <v>0</v>
      </c>
      <c r="H142" s="49">
        <f>資料儲存!J4790</f>
        <v>0</v>
      </c>
      <c r="I142" s="52"/>
      <c r="J142" s="70">
        <v>49</v>
      </c>
      <c r="K142" s="49">
        <f>資料儲存!D4910</f>
        <v>0</v>
      </c>
      <c r="L142" s="49">
        <f>資料儲存!E4910</f>
        <v>0</v>
      </c>
      <c r="M142" s="49">
        <f>資料儲存!F4910</f>
        <v>0</v>
      </c>
      <c r="N142" s="49">
        <f>資料儲存!G4910</f>
        <v>0</v>
      </c>
      <c r="O142" s="49">
        <f>資料儲存!H4910</f>
        <v>0</v>
      </c>
      <c r="P142" s="49">
        <f>資料儲存!I4910</f>
        <v>0</v>
      </c>
      <c r="Q142" s="49">
        <f>資料儲存!J4910</f>
        <v>0</v>
      </c>
      <c r="R142" s="52"/>
      <c r="S142" s="70">
        <v>49</v>
      </c>
      <c r="T142" s="49">
        <f>資料儲存!D5030</f>
        <v>0</v>
      </c>
      <c r="U142" s="49">
        <f>資料儲存!E5030</f>
        <v>0</v>
      </c>
      <c r="V142" s="49">
        <f>資料儲存!F5030</f>
        <v>0</v>
      </c>
      <c r="W142" s="49">
        <f>資料儲存!G5030</f>
        <v>0</v>
      </c>
      <c r="X142" s="49">
        <f>資料儲存!H5030</f>
        <v>0</v>
      </c>
      <c r="Y142" s="49">
        <f>資料儲存!I5030</f>
        <v>0</v>
      </c>
      <c r="Z142" s="49">
        <f>資料儲存!J5030</f>
        <v>0</v>
      </c>
      <c r="AA142" s="52"/>
      <c r="AB142" s="70">
        <v>49</v>
      </c>
      <c r="AC142" s="49">
        <f>資料儲存!D5150</f>
        <v>0</v>
      </c>
      <c r="AD142" s="49">
        <f>資料儲存!E5150</f>
        <v>0</v>
      </c>
      <c r="AE142" s="49">
        <f>資料儲存!F5150</f>
        <v>0</v>
      </c>
      <c r="AF142" s="49">
        <f>資料儲存!G5150</f>
        <v>0</v>
      </c>
      <c r="AG142" s="49">
        <f>資料儲存!H5150</f>
        <v>0</v>
      </c>
      <c r="AH142" s="49">
        <f>資料儲存!I5150</f>
        <v>0</v>
      </c>
      <c r="AI142" s="49">
        <f>資料儲存!J5150</f>
        <v>0</v>
      </c>
      <c r="AJ142" s="52"/>
      <c r="AK142" s="70">
        <v>49</v>
      </c>
      <c r="AL142" s="49">
        <f>資料儲存!D5270</f>
        <v>0</v>
      </c>
      <c r="AM142" s="49">
        <f>資料儲存!E5270</f>
        <v>0</v>
      </c>
      <c r="AN142" s="49">
        <f>資料儲存!F5270</f>
        <v>0</v>
      </c>
      <c r="AO142" s="49">
        <f>資料儲存!G5270</f>
        <v>0</v>
      </c>
      <c r="AP142" s="49">
        <f>資料儲存!H5270</f>
        <v>0</v>
      </c>
      <c r="AQ142" s="49">
        <f>資料儲存!I5270</f>
        <v>0</v>
      </c>
      <c r="AR142" s="49">
        <f>資料儲存!J5270</f>
        <v>0</v>
      </c>
      <c r="AT142" s="70">
        <v>49</v>
      </c>
      <c r="AU142" s="49">
        <f>資料儲存!D5390</f>
        <v>0</v>
      </c>
      <c r="AV142" s="49">
        <f>資料儲存!E5390</f>
        <v>0</v>
      </c>
      <c r="AW142" s="49">
        <f>資料儲存!F5390</f>
        <v>0</v>
      </c>
      <c r="AX142" s="49">
        <f>資料儲存!G5390</f>
        <v>0</v>
      </c>
      <c r="AY142" s="49">
        <f>資料儲存!H5390</f>
        <v>0</v>
      </c>
      <c r="AZ142" s="49">
        <f>資料儲存!I5390</f>
        <v>0</v>
      </c>
      <c r="BA142" s="49">
        <f>資料儲存!J5390</f>
        <v>0</v>
      </c>
    </row>
    <row r="143" spans="1:53" s="67" customFormat="1" ht="16" thickBot="1">
      <c r="A143" s="70">
        <v>50</v>
      </c>
      <c r="B143" s="49">
        <f>資料儲存!D4791</f>
        <v>0</v>
      </c>
      <c r="C143" s="49">
        <f>資料儲存!E4791</f>
        <v>0</v>
      </c>
      <c r="D143" s="49">
        <f>資料儲存!F4791</f>
        <v>0</v>
      </c>
      <c r="E143" s="49">
        <f>資料儲存!G4791</f>
        <v>0</v>
      </c>
      <c r="F143" s="49">
        <f>資料儲存!H4791</f>
        <v>0</v>
      </c>
      <c r="G143" s="49">
        <f>資料儲存!I4791</f>
        <v>0</v>
      </c>
      <c r="H143" s="49">
        <f>資料儲存!J4791</f>
        <v>0</v>
      </c>
      <c r="I143" s="52"/>
      <c r="J143" s="70">
        <v>50</v>
      </c>
      <c r="K143" s="49">
        <f>資料儲存!D4911</f>
        <v>0</v>
      </c>
      <c r="L143" s="49">
        <f>資料儲存!E4911</f>
        <v>0</v>
      </c>
      <c r="M143" s="49">
        <f>資料儲存!F4911</f>
        <v>0</v>
      </c>
      <c r="N143" s="49">
        <f>資料儲存!G4911</f>
        <v>0</v>
      </c>
      <c r="O143" s="49">
        <f>資料儲存!H4911</f>
        <v>0</v>
      </c>
      <c r="P143" s="49">
        <f>資料儲存!I4911</f>
        <v>0</v>
      </c>
      <c r="Q143" s="49">
        <f>資料儲存!J4911</f>
        <v>0</v>
      </c>
      <c r="R143" s="52"/>
      <c r="S143" s="70">
        <v>50</v>
      </c>
      <c r="T143" s="49">
        <f>資料儲存!D5031</f>
        <v>0</v>
      </c>
      <c r="U143" s="49">
        <f>資料儲存!E5031</f>
        <v>0</v>
      </c>
      <c r="V143" s="49">
        <f>資料儲存!F5031</f>
        <v>0</v>
      </c>
      <c r="W143" s="49">
        <f>資料儲存!G5031</f>
        <v>0</v>
      </c>
      <c r="X143" s="49">
        <f>資料儲存!H5031</f>
        <v>0</v>
      </c>
      <c r="Y143" s="49">
        <f>資料儲存!I5031</f>
        <v>0</v>
      </c>
      <c r="Z143" s="49">
        <f>資料儲存!J5031</f>
        <v>0</v>
      </c>
      <c r="AA143" s="52"/>
      <c r="AB143" s="70">
        <v>50</v>
      </c>
      <c r="AC143" s="49">
        <f>資料儲存!D5151</f>
        <v>0</v>
      </c>
      <c r="AD143" s="49">
        <f>資料儲存!E5151</f>
        <v>0</v>
      </c>
      <c r="AE143" s="49">
        <f>資料儲存!F5151</f>
        <v>0</v>
      </c>
      <c r="AF143" s="49">
        <f>資料儲存!G5151</f>
        <v>0</v>
      </c>
      <c r="AG143" s="49">
        <f>資料儲存!H5151</f>
        <v>0</v>
      </c>
      <c r="AH143" s="49">
        <f>資料儲存!I5151</f>
        <v>0</v>
      </c>
      <c r="AI143" s="49">
        <f>資料儲存!J5151</f>
        <v>0</v>
      </c>
      <c r="AJ143" s="52"/>
      <c r="AK143" s="70">
        <v>50</v>
      </c>
      <c r="AL143" s="49">
        <f>資料儲存!D5271</f>
        <v>0</v>
      </c>
      <c r="AM143" s="49">
        <f>資料儲存!E5271</f>
        <v>0</v>
      </c>
      <c r="AN143" s="49">
        <f>資料儲存!F5271</f>
        <v>0</v>
      </c>
      <c r="AO143" s="49">
        <f>資料儲存!G5271</f>
        <v>0</v>
      </c>
      <c r="AP143" s="49">
        <f>資料儲存!H5271</f>
        <v>0</v>
      </c>
      <c r="AQ143" s="49">
        <f>資料儲存!I5271</f>
        <v>0</v>
      </c>
      <c r="AR143" s="49">
        <f>資料儲存!J5271</f>
        <v>0</v>
      </c>
      <c r="AT143" s="70">
        <v>50</v>
      </c>
      <c r="AU143" s="49">
        <f>資料儲存!D5391</f>
        <v>0</v>
      </c>
      <c r="AV143" s="49">
        <f>資料儲存!E5391</f>
        <v>0</v>
      </c>
      <c r="AW143" s="49">
        <f>資料儲存!F5391</f>
        <v>0</v>
      </c>
      <c r="AX143" s="49">
        <f>資料儲存!G5391</f>
        <v>0</v>
      </c>
      <c r="AY143" s="49">
        <f>資料儲存!H5391</f>
        <v>0</v>
      </c>
      <c r="AZ143" s="49">
        <f>資料儲存!I5391</f>
        <v>0</v>
      </c>
      <c r="BA143" s="49">
        <f>資料儲存!J5391</f>
        <v>0</v>
      </c>
    </row>
    <row r="144" spans="1:53" s="67" customFormat="1" ht="16" thickBot="1">
      <c r="A144" s="70">
        <v>51</v>
      </c>
      <c r="B144" s="49">
        <f>資料儲存!D4792</f>
        <v>0</v>
      </c>
      <c r="C144" s="49">
        <f>資料儲存!E4792</f>
        <v>0</v>
      </c>
      <c r="D144" s="49">
        <f>資料儲存!F4792</f>
        <v>0</v>
      </c>
      <c r="E144" s="49">
        <f>資料儲存!G4792</f>
        <v>0</v>
      </c>
      <c r="F144" s="49">
        <f>資料儲存!H4792</f>
        <v>0</v>
      </c>
      <c r="G144" s="49">
        <f>資料儲存!I4792</f>
        <v>0</v>
      </c>
      <c r="H144" s="49">
        <f>資料儲存!J4792</f>
        <v>0</v>
      </c>
      <c r="I144" s="52"/>
      <c r="J144" s="70">
        <v>51</v>
      </c>
      <c r="K144" s="49">
        <f>資料儲存!D4912</f>
        <v>0</v>
      </c>
      <c r="L144" s="49">
        <f>資料儲存!E4912</f>
        <v>0</v>
      </c>
      <c r="M144" s="49">
        <f>資料儲存!F4912</f>
        <v>0</v>
      </c>
      <c r="N144" s="49">
        <f>資料儲存!G4912</f>
        <v>0</v>
      </c>
      <c r="O144" s="49">
        <f>資料儲存!H4912</f>
        <v>0</v>
      </c>
      <c r="P144" s="49">
        <f>資料儲存!I4912</f>
        <v>0</v>
      </c>
      <c r="Q144" s="49">
        <f>資料儲存!J4912</f>
        <v>0</v>
      </c>
      <c r="R144" s="52"/>
      <c r="S144" s="70">
        <v>51</v>
      </c>
      <c r="T144" s="49">
        <f>資料儲存!D5032</f>
        <v>0</v>
      </c>
      <c r="U144" s="49">
        <f>資料儲存!E5032</f>
        <v>0</v>
      </c>
      <c r="V144" s="49">
        <f>資料儲存!F5032</f>
        <v>0</v>
      </c>
      <c r="W144" s="49">
        <f>資料儲存!G5032</f>
        <v>0</v>
      </c>
      <c r="X144" s="49">
        <f>資料儲存!H5032</f>
        <v>0</v>
      </c>
      <c r="Y144" s="49">
        <f>資料儲存!I5032</f>
        <v>0</v>
      </c>
      <c r="Z144" s="49">
        <f>資料儲存!J5032</f>
        <v>0</v>
      </c>
      <c r="AA144" s="52"/>
      <c r="AB144" s="70">
        <v>51</v>
      </c>
      <c r="AC144" s="49">
        <f>資料儲存!D5152</f>
        <v>0</v>
      </c>
      <c r="AD144" s="49">
        <f>資料儲存!E5152</f>
        <v>0</v>
      </c>
      <c r="AE144" s="49">
        <f>資料儲存!F5152</f>
        <v>0</v>
      </c>
      <c r="AF144" s="49">
        <f>資料儲存!G5152</f>
        <v>0</v>
      </c>
      <c r="AG144" s="49">
        <f>資料儲存!H5152</f>
        <v>0</v>
      </c>
      <c r="AH144" s="49">
        <f>資料儲存!I5152</f>
        <v>0</v>
      </c>
      <c r="AI144" s="49">
        <f>資料儲存!J5152</f>
        <v>0</v>
      </c>
      <c r="AJ144" s="52"/>
      <c r="AK144" s="70">
        <v>51</v>
      </c>
      <c r="AL144" s="49">
        <f>資料儲存!D5272</f>
        <v>0</v>
      </c>
      <c r="AM144" s="49">
        <f>資料儲存!E5272</f>
        <v>0</v>
      </c>
      <c r="AN144" s="49">
        <f>資料儲存!F5272</f>
        <v>0</v>
      </c>
      <c r="AO144" s="49">
        <f>資料儲存!G5272</f>
        <v>0</v>
      </c>
      <c r="AP144" s="49">
        <f>資料儲存!H5272</f>
        <v>0</v>
      </c>
      <c r="AQ144" s="49">
        <f>資料儲存!I5272</f>
        <v>0</v>
      </c>
      <c r="AR144" s="49">
        <f>資料儲存!J5272</f>
        <v>0</v>
      </c>
      <c r="AT144" s="70">
        <v>51</v>
      </c>
      <c r="AU144" s="49">
        <f>資料儲存!D5392</f>
        <v>0</v>
      </c>
      <c r="AV144" s="49">
        <f>資料儲存!E5392</f>
        <v>0</v>
      </c>
      <c r="AW144" s="49">
        <f>資料儲存!F5392</f>
        <v>0</v>
      </c>
      <c r="AX144" s="49">
        <f>資料儲存!G5392</f>
        <v>0</v>
      </c>
      <c r="AY144" s="49">
        <f>資料儲存!H5392</f>
        <v>0</v>
      </c>
      <c r="AZ144" s="49">
        <f>資料儲存!I5392</f>
        <v>0</v>
      </c>
      <c r="BA144" s="49">
        <f>資料儲存!J5392</f>
        <v>0</v>
      </c>
    </row>
    <row r="145" spans="1:53" s="67" customFormat="1" ht="16" thickBot="1">
      <c r="A145" s="70">
        <v>52</v>
      </c>
      <c r="B145" s="49">
        <f>資料儲存!D4793</f>
        <v>0</v>
      </c>
      <c r="C145" s="49">
        <f>資料儲存!E4793</f>
        <v>0</v>
      </c>
      <c r="D145" s="49">
        <f>資料儲存!F4793</f>
        <v>0</v>
      </c>
      <c r="E145" s="49">
        <f>資料儲存!G4793</f>
        <v>0</v>
      </c>
      <c r="F145" s="49">
        <f>資料儲存!H4793</f>
        <v>0</v>
      </c>
      <c r="G145" s="49">
        <f>資料儲存!I4793</f>
        <v>0</v>
      </c>
      <c r="H145" s="49">
        <f>資料儲存!J4793</f>
        <v>0</v>
      </c>
      <c r="I145" s="52"/>
      <c r="J145" s="70">
        <v>52</v>
      </c>
      <c r="K145" s="49">
        <f>資料儲存!D4913</f>
        <v>0</v>
      </c>
      <c r="L145" s="49">
        <f>資料儲存!E4913</f>
        <v>0</v>
      </c>
      <c r="M145" s="49">
        <f>資料儲存!F4913</f>
        <v>0</v>
      </c>
      <c r="N145" s="49">
        <f>資料儲存!G4913</f>
        <v>0</v>
      </c>
      <c r="O145" s="49">
        <f>資料儲存!H4913</f>
        <v>0</v>
      </c>
      <c r="P145" s="49">
        <f>資料儲存!I4913</f>
        <v>0</v>
      </c>
      <c r="Q145" s="49">
        <f>資料儲存!J4913</f>
        <v>0</v>
      </c>
      <c r="R145" s="52"/>
      <c r="S145" s="70">
        <v>52</v>
      </c>
      <c r="T145" s="49">
        <f>資料儲存!D5033</f>
        <v>0</v>
      </c>
      <c r="U145" s="49">
        <f>資料儲存!E5033</f>
        <v>0</v>
      </c>
      <c r="V145" s="49">
        <f>資料儲存!F5033</f>
        <v>0</v>
      </c>
      <c r="W145" s="49">
        <f>資料儲存!G5033</f>
        <v>0</v>
      </c>
      <c r="X145" s="49">
        <f>資料儲存!H5033</f>
        <v>0</v>
      </c>
      <c r="Y145" s="49">
        <f>資料儲存!I5033</f>
        <v>0</v>
      </c>
      <c r="Z145" s="49">
        <f>資料儲存!J5033</f>
        <v>0</v>
      </c>
      <c r="AA145" s="52"/>
      <c r="AB145" s="70">
        <v>52</v>
      </c>
      <c r="AC145" s="49">
        <f>資料儲存!D5153</f>
        <v>0</v>
      </c>
      <c r="AD145" s="49">
        <f>資料儲存!E5153</f>
        <v>0</v>
      </c>
      <c r="AE145" s="49">
        <f>資料儲存!F5153</f>
        <v>0</v>
      </c>
      <c r="AF145" s="49">
        <f>資料儲存!G5153</f>
        <v>0</v>
      </c>
      <c r="AG145" s="49">
        <f>資料儲存!H5153</f>
        <v>0</v>
      </c>
      <c r="AH145" s="49">
        <f>資料儲存!I5153</f>
        <v>0</v>
      </c>
      <c r="AI145" s="49">
        <f>資料儲存!J5153</f>
        <v>0</v>
      </c>
      <c r="AJ145" s="52"/>
      <c r="AK145" s="70">
        <v>52</v>
      </c>
      <c r="AL145" s="49">
        <f>資料儲存!D5273</f>
        <v>0</v>
      </c>
      <c r="AM145" s="49">
        <f>資料儲存!E5273</f>
        <v>0</v>
      </c>
      <c r="AN145" s="49">
        <f>資料儲存!F5273</f>
        <v>0</v>
      </c>
      <c r="AO145" s="49">
        <f>資料儲存!G5273</f>
        <v>0</v>
      </c>
      <c r="AP145" s="49">
        <f>資料儲存!H5273</f>
        <v>0</v>
      </c>
      <c r="AQ145" s="49">
        <f>資料儲存!I5273</f>
        <v>0</v>
      </c>
      <c r="AR145" s="49">
        <f>資料儲存!J5273</f>
        <v>0</v>
      </c>
      <c r="AT145" s="70">
        <v>52</v>
      </c>
      <c r="AU145" s="49">
        <f>資料儲存!D5393</f>
        <v>0</v>
      </c>
      <c r="AV145" s="49">
        <f>資料儲存!E5393</f>
        <v>0</v>
      </c>
      <c r="AW145" s="49">
        <f>資料儲存!F5393</f>
        <v>0</v>
      </c>
      <c r="AX145" s="49">
        <f>資料儲存!G5393</f>
        <v>0</v>
      </c>
      <c r="AY145" s="49">
        <f>資料儲存!H5393</f>
        <v>0</v>
      </c>
      <c r="AZ145" s="49">
        <f>資料儲存!I5393</f>
        <v>0</v>
      </c>
      <c r="BA145" s="49">
        <f>資料儲存!J5393</f>
        <v>0</v>
      </c>
    </row>
    <row r="146" spans="1:53" s="67" customFormat="1" ht="16" thickBot="1">
      <c r="A146" s="70">
        <v>53</v>
      </c>
      <c r="B146" s="49">
        <f>資料儲存!D4794</f>
        <v>0</v>
      </c>
      <c r="C146" s="49">
        <f>資料儲存!E4794</f>
        <v>0</v>
      </c>
      <c r="D146" s="49">
        <f>資料儲存!F4794</f>
        <v>0</v>
      </c>
      <c r="E146" s="49">
        <f>資料儲存!G4794</f>
        <v>0</v>
      </c>
      <c r="F146" s="49">
        <f>資料儲存!H4794</f>
        <v>0</v>
      </c>
      <c r="G146" s="49">
        <f>資料儲存!I4794</f>
        <v>0</v>
      </c>
      <c r="H146" s="49">
        <f>資料儲存!J4794</f>
        <v>0</v>
      </c>
      <c r="I146" s="52"/>
      <c r="J146" s="70">
        <v>53</v>
      </c>
      <c r="K146" s="49">
        <f>資料儲存!D4914</f>
        <v>0</v>
      </c>
      <c r="L146" s="49">
        <f>資料儲存!E4914</f>
        <v>0</v>
      </c>
      <c r="M146" s="49">
        <f>資料儲存!F4914</f>
        <v>0</v>
      </c>
      <c r="N146" s="49">
        <f>資料儲存!G4914</f>
        <v>0</v>
      </c>
      <c r="O146" s="49">
        <f>資料儲存!H4914</f>
        <v>0</v>
      </c>
      <c r="P146" s="49">
        <f>資料儲存!I4914</f>
        <v>0</v>
      </c>
      <c r="Q146" s="49">
        <f>資料儲存!J4914</f>
        <v>0</v>
      </c>
      <c r="R146" s="52"/>
      <c r="S146" s="70">
        <v>53</v>
      </c>
      <c r="T146" s="49">
        <f>資料儲存!D5034</f>
        <v>0</v>
      </c>
      <c r="U146" s="49">
        <f>資料儲存!E5034</f>
        <v>0</v>
      </c>
      <c r="V146" s="49">
        <f>資料儲存!F5034</f>
        <v>0</v>
      </c>
      <c r="W146" s="49">
        <f>資料儲存!G5034</f>
        <v>0</v>
      </c>
      <c r="X146" s="49">
        <f>資料儲存!H5034</f>
        <v>0</v>
      </c>
      <c r="Y146" s="49">
        <f>資料儲存!I5034</f>
        <v>0</v>
      </c>
      <c r="Z146" s="49">
        <f>資料儲存!J5034</f>
        <v>0</v>
      </c>
      <c r="AA146" s="52"/>
      <c r="AB146" s="70">
        <v>53</v>
      </c>
      <c r="AC146" s="49">
        <f>資料儲存!D5154</f>
        <v>0</v>
      </c>
      <c r="AD146" s="49">
        <f>資料儲存!E5154</f>
        <v>0</v>
      </c>
      <c r="AE146" s="49">
        <f>資料儲存!F5154</f>
        <v>0</v>
      </c>
      <c r="AF146" s="49">
        <f>資料儲存!G5154</f>
        <v>0</v>
      </c>
      <c r="AG146" s="49">
        <f>資料儲存!H5154</f>
        <v>0</v>
      </c>
      <c r="AH146" s="49">
        <f>資料儲存!I5154</f>
        <v>0</v>
      </c>
      <c r="AI146" s="49">
        <f>資料儲存!J5154</f>
        <v>0</v>
      </c>
      <c r="AJ146" s="52"/>
      <c r="AK146" s="70">
        <v>53</v>
      </c>
      <c r="AL146" s="49">
        <f>資料儲存!D5274</f>
        <v>0</v>
      </c>
      <c r="AM146" s="49">
        <f>資料儲存!E5274</f>
        <v>0</v>
      </c>
      <c r="AN146" s="49">
        <f>資料儲存!F5274</f>
        <v>0</v>
      </c>
      <c r="AO146" s="49">
        <f>資料儲存!G5274</f>
        <v>0</v>
      </c>
      <c r="AP146" s="49">
        <f>資料儲存!H5274</f>
        <v>0</v>
      </c>
      <c r="AQ146" s="49">
        <f>資料儲存!I5274</f>
        <v>0</v>
      </c>
      <c r="AR146" s="49">
        <f>資料儲存!J5274</f>
        <v>0</v>
      </c>
      <c r="AT146" s="70">
        <v>53</v>
      </c>
      <c r="AU146" s="49">
        <f>資料儲存!D5394</f>
        <v>0</v>
      </c>
      <c r="AV146" s="49">
        <f>資料儲存!E5394</f>
        <v>0</v>
      </c>
      <c r="AW146" s="49">
        <f>資料儲存!F5394</f>
        <v>0</v>
      </c>
      <c r="AX146" s="49">
        <f>資料儲存!G5394</f>
        <v>0</v>
      </c>
      <c r="AY146" s="49">
        <f>資料儲存!H5394</f>
        <v>0</v>
      </c>
      <c r="AZ146" s="49">
        <f>資料儲存!I5394</f>
        <v>0</v>
      </c>
      <c r="BA146" s="49">
        <f>資料儲存!J5394</f>
        <v>0</v>
      </c>
    </row>
    <row r="147" spans="1:53" s="67" customFormat="1" ht="16" thickBot="1">
      <c r="A147" s="70">
        <v>54</v>
      </c>
      <c r="B147" s="49">
        <f>資料儲存!D4795</f>
        <v>0</v>
      </c>
      <c r="C147" s="49">
        <f>資料儲存!E4795</f>
        <v>0</v>
      </c>
      <c r="D147" s="49">
        <f>資料儲存!F4795</f>
        <v>0</v>
      </c>
      <c r="E147" s="49">
        <f>資料儲存!G4795</f>
        <v>0</v>
      </c>
      <c r="F147" s="49">
        <f>資料儲存!H4795</f>
        <v>0</v>
      </c>
      <c r="G147" s="49">
        <f>資料儲存!I4795</f>
        <v>0</v>
      </c>
      <c r="H147" s="49">
        <f>資料儲存!J4795</f>
        <v>0</v>
      </c>
      <c r="I147" s="52"/>
      <c r="J147" s="70">
        <v>54</v>
      </c>
      <c r="K147" s="49">
        <f>資料儲存!D4915</f>
        <v>0</v>
      </c>
      <c r="L147" s="49">
        <f>資料儲存!E4915</f>
        <v>0</v>
      </c>
      <c r="M147" s="49">
        <f>資料儲存!F4915</f>
        <v>0</v>
      </c>
      <c r="N147" s="49">
        <f>資料儲存!G4915</f>
        <v>0</v>
      </c>
      <c r="O147" s="49">
        <f>資料儲存!H4915</f>
        <v>0</v>
      </c>
      <c r="P147" s="49">
        <f>資料儲存!I4915</f>
        <v>0</v>
      </c>
      <c r="Q147" s="49">
        <f>資料儲存!J4915</f>
        <v>0</v>
      </c>
      <c r="R147" s="52"/>
      <c r="S147" s="70">
        <v>54</v>
      </c>
      <c r="T147" s="49">
        <f>資料儲存!D5035</f>
        <v>0</v>
      </c>
      <c r="U147" s="49">
        <f>資料儲存!E5035</f>
        <v>0</v>
      </c>
      <c r="V147" s="49">
        <f>資料儲存!F5035</f>
        <v>0</v>
      </c>
      <c r="W147" s="49">
        <f>資料儲存!G5035</f>
        <v>0</v>
      </c>
      <c r="X147" s="49">
        <f>資料儲存!H5035</f>
        <v>0</v>
      </c>
      <c r="Y147" s="49">
        <f>資料儲存!I5035</f>
        <v>0</v>
      </c>
      <c r="Z147" s="49">
        <f>資料儲存!J5035</f>
        <v>0</v>
      </c>
      <c r="AA147" s="52"/>
      <c r="AB147" s="70">
        <v>54</v>
      </c>
      <c r="AC147" s="49">
        <f>資料儲存!D5155</f>
        <v>0</v>
      </c>
      <c r="AD147" s="49">
        <f>資料儲存!E5155</f>
        <v>0</v>
      </c>
      <c r="AE147" s="49">
        <f>資料儲存!F5155</f>
        <v>0</v>
      </c>
      <c r="AF147" s="49">
        <f>資料儲存!G5155</f>
        <v>0</v>
      </c>
      <c r="AG147" s="49">
        <f>資料儲存!H5155</f>
        <v>0</v>
      </c>
      <c r="AH147" s="49">
        <f>資料儲存!I5155</f>
        <v>0</v>
      </c>
      <c r="AI147" s="49">
        <f>資料儲存!J5155</f>
        <v>0</v>
      </c>
      <c r="AJ147" s="52"/>
      <c r="AK147" s="70">
        <v>54</v>
      </c>
      <c r="AL147" s="49">
        <f>資料儲存!D5275</f>
        <v>0</v>
      </c>
      <c r="AM147" s="49">
        <f>資料儲存!E5275</f>
        <v>0</v>
      </c>
      <c r="AN147" s="49">
        <f>資料儲存!F5275</f>
        <v>0</v>
      </c>
      <c r="AO147" s="49">
        <f>資料儲存!G5275</f>
        <v>0</v>
      </c>
      <c r="AP147" s="49">
        <f>資料儲存!H5275</f>
        <v>0</v>
      </c>
      <c r="AQ147" s="49">
        <f>資料儲存!I5275</f>
        <v>0</v>
      </c>
      <c r="AR147" s="49">
        <f>資料儲存!J5275</f>
        <v>0</v>
      </c>
      <c r="AT147" s="70">
        <v>54</v>
      </c>
      <c r="AU147" s="49">
        <f>資料儲存!D5395</f>
        <v>0</v>
      </c>
      <c r="AV147" s="49">
        <f>資料儲存!E5395</f>
        <v>0</v>
      </c>
      <c r="AW147" s="49">
        <f>資料儲存!F5395</f>
        <v>0</v>
      </c>
      <c r="AX147" s="49">
        <f>資料儲存!G5395</f>
        <v>0</v>
      </c>
      <c r="AY147" s="49">
        <f>資料儲存!H5395</f>
        <v>0</v>
      </c>
      <c r="AZ147" s="49">
        <f>資料儲存!I5395</f>
        <v>0</v>
      </c>
      <c r="BA147" s="49">
        <f>資料儲存!J5395</f>
        <v>0</v>
      </c>
    </row>
    <row r="148" spans="1:53" s="67" customFormat="1" ht="16" thickBot="1">
      <c r="A148" s="70">
        <v>55</v>
      </c>
      <c r="B148" s="49">
        <f>資料儲存!D4796</f>
        <v>0</v>
      </c>
      <c r="C148" s="49">
        <f>資料儲存!E4796</f>
        <v>0</v>
      </c>
      <c r="D148" s="49">
        <f>資料儲存!F4796</f>
        <v>0</v>
      </c>
      <c r="E148" s="49">
        <f>資料儲存!G4796</f>
        <v>0</v>
      </c>
      <c r="F148" s="49">
        <f>資料儲存!H4796</f>
        <v>0</v>
      </c>
      <c r="G148" s="49">
        <f>資料儲存!I4796</f>
        <v>0</v>
      </c>
      <c r="H148" s="49">
        <f>資料儲存!J4796</f>
        <v>0</v>
      </c>
      <c r="I148" s="52"/>
      <c r="J148" s="70">
        <v>55</v>
      </c>
      <c r="K148" s="49">
        <f>資料儲存!D4916</f>
        <v>0</v>
      </c>
      <c r="L148" s="49">
        <f>資料儲存!E4916</f>
        <v>0</v>
      </c>
      <c r="M148" s="49">
        <f>資料儲存!F4916</f>
        <v>0</v>
      </c>
      <c r="N148" s="49">
        <f>資料儲存!G4916</f>
        <v>0</v>
      </c>
      <c r="O148" s="49">
        <f>資料儲存!H4916</f>
        <v>0</v>
      </c>
      <c r="P148" s="49">
        <f>資料儲存!I4916</f>
        <v>0</v>
      </c>
      <c r="Q148" s="49">
        <f>資料儲存!J4916</f>
        <v>0</v>
      </c>
      <c r="R148" s="52"/>
      <c r="S148" s="70">
        <v>55</v>
      </c>
      <c r="T148" s="49">
        <f>資料儲存!D5036</f>
        <v>0</v>
      </c>
      <c r="U148" s="49">
        <f>資料儲存!E5036</f>
        <v>0</v>
      </c>
      <c r="V148" s="49">
        <f>資料儲存!F5036</f>
        <v>0</v>
      </c>
      <c r="W148" s="49">
        <f>資料儲存!G5036</f>
        <v>0</v>
      </c>
      <c r="X148" s="49">
        <f>資料儲存!H5036</f>
        <v>0</v>
      </c>
      <c r="Y148" s="49">
        <f>資料儲存!I5036</f>
        <v>0</v>
      </c>
      <c r="Z148" s="49">
        <f>資料儲存!J5036</f>
        <v>0</v>
      </c>
      <c r="AA148" s="52"/>
      <c r="AB148" s="70">
        <v>55</v>
      </c>
      <c r="AC148" s="49">
        <f>資料儲存!D5156</f>
        <v>0</v>
      </c>
      <c r="AD148" s="49">
        <f>資料儲存!E5156</f>
        <v>0</v>
      </c>
      <c r="AE148" s="49">
        <f>資料儲存!F5156</f>
        <v>0</v>
      </c>
      <c r="AF148" s="49">
        <f>資料儲存!G5156</f>
        <v>0</v>
      </c>
      <c r="AG148" s="49">
        <f>資料儲存!H5156</f>
        <v>0</v>
      </c>
      <c r="AH148" s="49">
        <f>資料儲存!I5156</f>
        <v>0</v>
      </c>
      <c r="AI148" s="49">
        <f>資料儲存!J5156</f>
        <v>0</v>
      </c>
      <c r="AJ148" s="52"/>
      <c r="AK148" s="70">
        <v>55</v>
      </c>
      <c r="AL148" s="49">
        <f>資料儲存!D5276</f>
        <v>0</v>
      </c>
      <c r="AM148" s="49">
        <f>資料儲存!E5276</f>
        <v>0</v>
      </c>
      <c r="AN148" s="49">
        <f>資料儲存!F5276</f>
        <v>0</v>
      </c>
      <c r="AO148" s="49">
        <f>資料儲存!G5276</f>
        <v>0</v>
      </c>
      <c r="AP148" s="49">
        <f>資料儲存!H5276</f>
        <v>0</v>
      </c>
      <c r="AQ148" s="49">
        <f>資料儲存!I5276</f>
        <v>0</v>
      </c>
      <c r="AR148" s="49">
        <f>資料儲存!J5276</f>
        <v>0</v>
      </c>
      <c r="AT148" s="70">
        <v>55</v>
      </c>
      <c r="AU148" s="49">
        <f>資料儲存!D5396</f>
        <v>0</v>
      </c>
      <c r="AV148" s="49">
        <f>資料儲存!E5396</f>
        <v>0</v>
      </c>
      <c r="AW148" s="49">
        <f>資料儲存!F5396</f>
        <v>0</v>
      </c>
      <c r="AX148" s="49">
        <f>資料儲存!G5396</f>
        <v>0</v>
      </c>
      <c r="AY148" s="49">
        <f>資料儲存!H5396</f>
        <v>0</v>
      </c>
      <c r="AZ148" s="49">
        <f>資料儲存!I5396</f>
        <v>0</v>
      </c>
      <c r="BA148" s="49">
        <f>資料儲存!J5396</f>
        <v>0</v>
      </c>
    </row>
    <row r="149" spans="1:53" s="67" customFormat="1" ht="16" thickBot="1">
      <c r="A149" s="70">
        <v>56</v>
      </c>
      <c r="B149" s="49">
        <f>資料儲存!D4797</f>
        <v>0</v>
      </c>
      <c r="C149" s="49">
        <f>資料儲存!E4797</f>
        <v>0</v>
      </c>
      <c r="D149" s="49">
        <f>資料儲存!F4797</f>
        <v>0</v>
      </c>
      <c r="E149" s="49">
        <f>資料儲存!G4797</f>
        <v>0</v>
      </c>
      <c r="F149" s="49">
        <f>資料儲存!H4797</f>
        <v>0</v>
      </c>
      <c r="G149" s="49">
        <f>資料儲存!I4797</f>
        <v>0</v>
      </c>
      <c r="H149" s="49">
        <f>資料儲存!J4797</f>
        <v>0</v>
      </c>
      <c r="I149" s="52"/>
      <c r="J149" s="70">
        <v>56</v>
      </c>
      <c r="K149" s="49">
        <f>資料儲存!D4917</f>
        <v>0</v>
      </c>
      <c r="L149" s="49">
        <f>資料儲存!E4917</f>
        <v>0</v>
      </c>
      <c r="M149" s="49">
        <f>資料儲存!F4917</f>
        <v>0</v>
      </c>
      <c r="N149" s="49">
        <f>資料儲存!G4917</f>
        <v>0</v>
      </c>
      <c r="O149" s="49">
        <f>資料儲存!H4917</f>
        <v>0</v>
      </c>
      <c r="P149" s="49">
        <f>資料儲存!I4917</f>
        <v>0</v>
      </c>
      <c r="Q149" s="49">
        <f>資料儲存!J4917</f>
        <v>0</v>
      </c>
      <c r="R149" s="52"/>
      <c r="S149" s="70">
        <v>56</v>
      </c>
      <c r="T149" s="49">
        <f>資料儲存!D5037</f>
        <v>0</v>
      </c>
      <c r="U149" s="49">
        <f>資料儲存!E5037</f>
        <v>0</v>
      </c>
      <c r="V149" s="49">
        <f>資料儲存!F5037</f>
        <v>0</v>
      </c>
      <c r="W149" s="49">
        <f>資料儲存!G5037</f>
        <v>0</v>
      </c>
      <c r="X149" s="49">
        <f>資料儲存!H5037</f>
        <v>0</v>
      </c>
      <c r="Y149" s="49">
        <f>資料儲存!I5037</f>
        <v>0</v>
      </c>
      <c r="Z149" s="49">
        <f>資料儲存!J5037</f>
        <v>0</v>
      </c>
      <c r="AA149" s="52"/>
      <c r="AB149" s="70">
        <v>56</v>
      </c>
      <c r="AC149" s="49">
        <f>資料儲存!D5157</f>
        <v>0</v>
      </c>
      <c r="AD149" s="49">
        <f>資料儲存!E5157</f>
        <v>0</v>
      </c>
      <c r="AE149" s="49">
        <f>資料儲存!F5157</f>
        <v>0</v>
      </c>
      <c r="AF149" s="49">
        <f>資料儲存!G5157</f>
        <v>0</v>
      </c>
      <c r="AG149" s="49">
        <f>資料儲存!H5157</f>
        <v>0</v>
      </c>
      <c r="AH149" s="49">
        <f>資料儲存!I5157</f>
        <v>0</v>
      </c>
      <c r="AI149" s="49">
        <f>資料儲存!J5157</f>
        <v>0</v>
      </c>
      <c r="AJ149" s="52"/>
      <c r="AK149" s="70">
        <v>56</v>
      </c>
      <c r="AL149" s="49">
        <f>資料儲存!D5277</f>
        <v>0</v>
      </c>
      <c r="AM149" s="49">
        <f>資料儲存!E5277</f>
        <v>0</v>
      </c>
      <c r="AN149" s="49">
        <f>資料儲存!F5277</f>
        <v>0</v>
      </c>
      <c r="AO149" s="49">
        <f>資料儲存!G5277</f>
        <v>0</v>
      </c>
      <c r="AP149" s="49">
        <f>資料儲存!H5277</f>
        <v>0</v>
      </c>
      <c r="AQ149" s="49">
        <f>資料儲存!I5277</f>
        <v>0</v>
      </c>
      <c r="AR149" s="49">
        <f>資料儲存!J5277</f>
        <v>0</v>
      </c>
      <c r="AT149" s="70">
        <v>56</v>
      </c>
      <c r="AU149" s="49">
        <f>資料儲存!D5397</f>
        <v>0</v>
      </c>
      <c r="AV149" s="49">
        <f>資料儲存!E5397</f>
        <v>0</v>
      </c>
      <c r="AW149" s="49">
        <f>資料儲存!F5397</f>
        <v>0</v>
      </c>
      <c r="AX149" s="49">
        <f>資料儲存!G5397</f>
        <v>0</v>
      </c>
      <c r="AY149" s="49">
        <f>資料儲存!H5397</f>
        <v>0</v>
      </c>
      <c r="AZ149" s="49">
        <f>資料儲存!I5397</f>
        <v>0</v>
      </c>
      <c r="BA149" s="49">
        <f>資料儲存!J5397</f>
        <v>0</v>
      </c>
    </row>
    <row r="150" spans="1:53" s="67" customFormat="1" ht="16" thickBot="1">
      <c r="A150" s="70">
        <v>57</v>
      </c>
      <c r="B150" s="49">
        <f>資料儲存!D4798</f>
        <v>0</v>
      </c>
      <c r="C150" s="49">
        <f>資料儲存!E4798</f>
        <v>0</v>
      </c>
      <c r="D150" s="49">
        <f>資料儲存!F4798</f>
        <v>0</v>
      </c>
      <c r="E150" s="49">
        <f>資料儲存!G4798</f>
        <v>0</v>
      </c>
      <c r="F150" s="49">
        <f>資料儲存!H4798</f>
        <v>0</v>
      </c>
      <c r="G150" s="49">
        <f>資料儲存!I4798</f>
        <v>0</v>
      </c>
      <c r="H150" s="49">
        <f>資料儲存!J4798</f>
        <v>0</v>
      </c>
      <c r="I150" s="52"/>
      <c r="J150" s="70">
        <v>57</v>
      </c>
      <c r="K150" s="49">
        <f>資料儲存!D4918</f>
        <v>0</v>
      </c>
      <c r="L150" s="49">
        <f>資料儲存!E4918</f>
        <v>0</v>
      </c>
      <c r="M150" s="49">
        <f>資料儲存!F4918</f>
        <v>0</v>
      </c>
      <c r="N150" s="49">
        <f>資料儲存!G4918</f>
        <v>0</v>
      </c>
      <c r="O150" s="49">
        <f>資料儲存!H4918</f>
        <v>0</v>
      </c>
      <c r="P150" s="49">
        <f>資料儲存!I4918</f>
        <v>0</v>
      </c>
      <c r="Q150" s="49">
        <f>資料儲存!J4918</f>
        <v>0</v>
      </c>
      <c r="R150" s="52"/>
      <c r="S150" s="70">
        <v>57</v>
      </c>
      <c r="T150" s="49">
        <f>資料儲存!D5038</f>
        <v>0</v>
      </c>
      <c r="U150" s="49">
        <f>資料儲存!E5038</f>
        <v>0</v>
      </c>
      <c r="V150" s="49">
        <f>資料儲存!F5038</f>
        <v>0</v>
      </c>
      <c r="W150" s="49">
        <f>資料儲存!G5038</f>
        <v>0</v>
      </c>
      <c r="X150" s="49">
        <f>資料儲存!H5038</f>
        <v>0</v>
      </c>
      <c r="Y150" s="49">
        <f>資料儲存!I5038</f>
        <v>0</v>
      </c>
      <c r="Z150" s="49">
        <f>資料儲存!J5038</f>
        <v>0</v>
      </c>
      <c r="AA150" s="52"/>
      <c r="AB150" s="70">
        <v>57</v>
      </c>
      <c r="AC150" s="49">
        <f>資料儲存!D5158</f>
        <v>0</v>
      </c>
      <c r="AD150" s="49">
        <f>資料儲存!E5158</f>
        <v>0</v>
      </c>
      <c r="AE150" s="49">
        <f>資料儲存!F5158</f>
        <v>0</v>
      </c>
      <c r="AF150" s="49">
        <f>資料儲存!G5158</f>
        <v>0</v>
      </c>
      <c r="AG150" s="49">
        <f>資料儲存!H5158</f>
        <v>0</v>
      </c>
      <c r="AH150" s="49">
        <f>資料儲存!I5158</f>
        <v>0</v>
      </c>
      <c r="AI150" s="49">
        <f>資料儲存!J5158</f>
        <v>0</v>
      </c>
      <c r="AJ150" s="52"/>
      <c r="AK150" s="70">
        <v>57</v>
      </c>
      <c r="AL150" s="49">
        <f>資料儲存!D5278</f>
        <v>0</v>
      </c>
      <c r="AM150" s="49">
        <f>資料儲存!E5278</f>
        <v>0</v>
      </c>
      <c r="AN150" s="49">
        <f>資料儲存!F5278</f>
        <v>0</v>
      </c>
      <c r="AO150" s="49">
        <f>資料儲存!G5278</f>
        <v>0</v>
      </c>
      <c r="AP150" s="49">
        <f>資料儲存!H5278</f>
        <v>0</v>
      </c>
      <c r="AQ150" s="49">
        <f>資料儲存!I5278</f>
        <v>0</v>
      </c>
      <c r="AR150" s="49">
        <f>資料儲存!J5278</f>
        <v>0</v>
      </c>
      <c r="AT150" s="70">
        <v>57</v>
      </c>
      <c r="AU150" s="49">
        <f>資料儲存!D5398</f>
        <v>0</v>
      </c>
      <c r="AV150" s="49">
        <f>資料儲存!E5398</f>
        <v>0</v>
      </c>
      <c r="AW150" s="49">
        <f>資料儲存!F5398</f>
        <v>0</v>
      </c>
      <c r="AX150" s="49">
        <f>資料儲存!G5398</f>
        <v>0</v>
      </c>
      <c r="AY150" s="49">
        <f>資料儲存!H5398</f>
        <v>0</v>
      </c>
      <c r="AZ150" s="49">
        <f>資料儲存!I5398</f>
        <v>0</v>
      </c>
      <c r="BA150" s="49">
        <f>資料儲存!J5398</f>
        <v>0</v>
      </c>
    </row>
    <row r="151" spans="1:53" s="67" customFormat="1" ht="16" thickBot="1">
      <c r="A151" s="70">
        <v>58</v>
      </c>
      <c r="B151" s="49">
        <f>資料儲存!D4799</f>
        <v>0</v>
      </c>
      <c r="C151" s="49">
        <f>資料儲存!E4799</f>
        <v>0</v>
      </c>
      <c r="D151" s="49">
        <f>資料儲存!F4799</f>
        <v>0</v>
      </c>
      <c r="E151" s="49">
        <f>資料儲存!G4799</f>
        <v>0</v>
      </c>
      <c r="F151" s="49">
        <f>資料儲存!H4799</f>
        <v>0</v>
      </c>
      <c r="G151" s="49">
        <f>資料儲存!I4799</f>
        <v>0</v>
      </c>
      <c r="H151" s="49">
        <f>資料儲存!J4799</f>
        <v>0</v>
      </c>
      <c r="I151" s="52"/>
      <c r="J151" s="70">
        <v>58</v>
      </c>
      <c r="K151" s="49">
        <f>資料儲存!D4919</f>
        <v>0</v>
      </c>
      <c r="L151" s="49">
        <f>資料儲存!E4919</f>
        <v>0</v>
      </c>
      <c r="M151" s="49">
        <f>資料儲存!F4919</f>
        <v>0</v>
      </c>
      <c r="N151" s="49">
        <f>資料儲存!G4919</f>
        <v>0</v>
      </c>
      <c r="O151" s="49">
        <f>資料儲存!H4919</f>
        <v>0</v>
      </c>
      <c r="P151" s="49">
        <f>資料儲存!I4919</f>
        <v>0</v>
      </c>
      <c r="Q151" s="49">
        <f>資料儲存!J4919</f>
        <v>0</v>
      </c>
      <c r="R151" s="52"/>
      <c r="S151" s="70">
        <v>58</v>
      </c>
      <c r="T151" s="49">
        <f>資料儲存!D5039</f>
        <v>0</v>
      </c>
      <c r="U151" s="49">
        <f>資料儲存!E5039</f>
        <v>0</v>
      </c>
      <c r="V151" s="49">
        <f>資料儲存!F5039</f>
        <v>0</v>
      </c>
      <c r="W151" s="49">
        <f>資料儲存!G5039</f>
        <v>0</v>
      </c>
      <c r="X151" s="49">
        <f>資料儲存!H5039</f>
        <v>0</v>
      </c>
      <c r="Y151" s="49">
        <f>資料儲存!I5039</f>
        <v>0</v>
      </c>
      <c r="Z151" s="49">
        <f>資料儲存!J5039</f>
        <v>0</v>
      </c>
      <c r="AA151" s="52"/>
      <c r="AB151" s="70">
        <v>58</v>
      </c>
      <c r="AC151" s="49">
        <f>資料儲存!D5159</f>
        <v>0</v>
      </c>
      <c r="AD151" s="49">
        <f>資料儲存!E5159</f>
        <v>0</v>
      </c>
      <c r="AE151" s="49">
        <f>資料儲存!F5159</f>
        <v>0</v>
      </c>
      <c r="AF151" s="49">
        <f>資料儲存!G5159</f>
        <v>0</v>
      </c>
      <c r="AG151" s="49">
        <f>資料儲存!H5159</f>
        <v>0</v>
      </c>
      <c r="AH151" s="49">
        <f>資料儲存!I5159</f>
        <v>0</v>
      </c>
      <c r="AI151" s="49">
        <f>資料儲存!J5159</f>
        <v>0</v>
      </c>
      <c r="AJ151" s="52"/>
      <c r="AK151" s="70">
        <v>58</v>
      </c>
      <c r="AL151" s="49">
        <f>資料儲存!D5279</f>
        <v>0</v>
      </c>
      <c r="AM151" s="49">
        <f>資料儲存!E5279</f>
        <v>0</v>
      </c>
      <c r="AN151" s="49">
        <f>資料儲存!F5279</f>
        <v>0</v>
      </c>
      <c r="AO151" s="49">
        <f>資料儲存!G5279</f>
        <v>0</v>
      </c>
      <c r="AP151" s="49">
        <f>資料儲存!H5279</f>
        <v>0</v>
      </c>
      <c r="AQ151" s="49">
        <f>資料儲存!I5279</f>
        <v>0</v>
      </c>
      <c r="AR151" s="49">
        <f>資料儲存!J5279</f>
        <v>0</v>
      </c>
      <c r="AT151" s="70">
        <v>58</v>
      </c>
      <c r="AU151" s="49">
        <f>資料儲存!D5399</f>
        <v>0</v>
      </c>
      <c r="AV151" s="49">
        <f>資料儲存!E5399</f>
        <v>0</v>
      </c>
      <c r="AW151" s="49">
        <f>資料儲存!F5399</f>
        <v>0</v>
      </c>
      <c r="AX151" s="49">
        <f>資料儲存!G5399</f>
        <v>0</v>
      </c>
      <c r="AY151" s="49">
        <f>資料儲存!H5399</f>
        <v>0</v>
      </c>
      <c r="AZ151" s="49">
        <f>資料儲存!I5399</f>
        <v>0</v>
      </c>
      <c r="BA151" s="49">
        <f>資料儲存!J5399</f>
        <v>0</v>
      </c>
    </row>
    <row r="152" spans="1:53" s="67" customFormat="1" ht="16" thickBot="1">
      <c r="A152" s="70">
        <v>59</v>
      </c>
      <c r="B152" s="49">
        <f>資料儲存!D4800</f>
        <v>0</v>
      </c>
      <c r="C152" s="49">
        <f>資料儲存!E4800</f>
        <v>0</v>
      </c>
      <c r="D152" s="49">
        <f>資料儲存!F4800</f>
        <v>0</v>
      </c>
      <c r="E152" s="49">
        <f>資料儲存!G4800</f>
        <v>0</v>
      </c>
      <c r="F152" s="49">
        <f>資料儲存!H4800</f>
        <v>0</v>
      </c>
      <c r="G152" s="49">
        <f>資料儲存!I4800</f>
        <v>0</v>
      </c>
      <c r="H152" s="49">
        <f>資料儲存!J4800</f>
        <v>0</v>
      </c>
      <c r="I152" s="52"/>
      <c r="J152" s="70">
        <v>59</v>
      </c>
      <c r="K152" s="49">
        <f>資料儲存!D4920</f>
        <v>0</v>
      </c>
      <c r="L152" s="49">
        <f>資料儲存!E4920</f>
        <v>0</v>
      </c>
      <c r="M152" s="49">
        <f>資料儲存!F4920</f>
        <v>0</v>
      </c>
      <c r="N152" s="49">
        <f>資料儲存!G4920</f>
        <v>0</v>
      </c>
      <c r="O152" s="49">
        <f>資料儲存!H4920</f>
        <v>0</v>
      </c>
      <c r="P152" s="49">
        <f>資料儲存!I4920</f>
        <v>0</v>
      </c>
      <c r="Q152" s="49">
        <f>資料儲存!J4920</f>
        <v>0</v>
      </c>
      <c r="R152" s="52"/>
      <c r="S152" s="70">
        <v>59</v>
      </c>
      <c r="T152" s="49">
        <f>資料儲存!D5040</f>
        <v>0</v>
      </c>
      <c r="U152" s="49">
        <f>資料儲存!E5040</f>
        <v>0</v>
      </c>
      <c r="V152" s="49">
        <f>資料儲存!F5040</f>
        <v>0</v>
      </c>
      <c r="W152" s="49">
        <f>資料儲存!G5040</f>
        <v>0</v>
      </c>
      <c r="X152" s="49">
        <f>資料儲存!H5040</f>
        <v>0</v>
      </c>
      <c r="Y152" s="49">
        <f>資料儲存!I5040</f>
        <v>0</v>
      </c>
      <c r="Z152" s="49">
        <f>資料儲存!J5040</f>
        <v>0</v>
      </c>
      <c r="AA152" s="52"/>
      <c r="AB152" s="70">
        <v>59</v>
      </c>
      <c r="AC152" s="49">
        <f>資料儲存!D5160</f>
        <v>0</v>
      </c>
      <c r="AD152" s="49">
        <f>資料儲存!E5160</f>
        <v>0</v>
      </c>
      <c r="AE152" s="49">
        <f>資料儲存!F5160</f>
        <v>0</v>
      </c>
      <c r="AF152" s="49">
        <f>資料儲存!G5160</f>
        <v>0</v>
      </c>
      <c r="AG152" s="49">
        <f>資料儲存!H5160</f>
        <v>0</v>
      </c>
      <c r="AH152" s="49">
        <f>資料儲存!I5160</f>
        <v>0</v>
      </c>
      <c r="AI152" s="49">
        <f>資料儲存!J5160</f>
        <v>0</v>
      </c>
      <c r="AJ152" s="52"/>
      <c r="AK152" s="70">
        <v>59</v>
      </c>
      <c r="AL152" s="49">
        <f>資料儲存!D5280</f>
        <v>0</v>
      </c>
      <c r="AM152" s="49">
        <f>資料儲存!E5280</f>
        <v>0</v>
      </c>
      <c r="AN152" s="49">
        <f>資料儲存!F5280</f>
        <v>0</v>
      </c>
      <c r="AO152" s="49">
        <f>資料儲存!G5280</f>
        <v>0</v>
      </c>
      <c r="AP152" s="49">
        <f>資料儲存!H5280</f>
        <v>0</v>
      </c>
      <c r="AQ152" s="49">
        <f>資料儲存!I5280</f>
        <v>0</v>
      </c>
      <c r="AR152" s="49">
        <f>資料儲存!J5280</f>
        <v>0</v>
      </c>
      <c r="AT152" s="70">
        <v>59</v>
      </c>
      <c r="AU152" s="49">
        <f>資料儲存!D5400</f>
        <v>0</v>
      </c>
      <c r="AV152" s="49">
        <f>資料儲存!E5400</f>
        <v>0</v>
      </c>
      <c r="AW152" s="49">
        <f>資料儲存!F5400</f>
        <v>0</v>
      </c>
      <c r="AX152" s="49">
        <f>資料儲存!G5400</f>
        <v>0</v>
      </c>
      <c r="AY152" s="49">
        <f>資料儲存!H5400</f>
        <v>0</v>
      </c>
      <c r="AZ152" s="49">
        <f>資料儲存!I5400</f>
        <v>0</v>
      </c>
      <c r="BA152" s="49">
        <f>資料儲存!J5400</f>
        <v>0</v>
      </c>
    </row>
    <row r="153" spans="1:53" s="67" customFormat="1" ht="16" thickBot="1">
      <c r="A153" s="70">
        <v>60</v>
      </c>
      <c r="B153" s="49">
        <f>資料儲存!D4801</f>
        <v>0</v>
      </c>
      <c r="C153" s="49">
        <f>資料儲存!E4801</f>
        <v>0</v>
      </c>
      <c r="D153" s="49">
        <f>資料儲存!F4801</f>
        <v>0</v>
      </c>
      <c r="E153" s="49">
        <f>資料儲存!G4801</f>
        <v>0</v>
      </c>
      <c r="F153" s="49">
        <f>資料儲存!H4801</f>
        <v>0</v>
      </c>
      <c r="G153" s="49">
        <f>資料儲存!I4801</f>
        <v>0</v>
      </c>
      <c r="H153" s="49">
        <f>資料儲存!J4801</f>
        <v>0</v>
      </c>
      <c r="I153" s="52"/>
      <c r="J153" s="70">
        <v>60</v>
      </c>
      <c r="K153" s="49">
        <f>資料儲存!D4921</f>
        <v>0</v>
      </c>
      <c r="L153" s="49">
        <f>資料儲存!E4921</f>
        <v>0</v>
      </c>
      <c r="M153" s="49">
        <f>資料儲存!F4921</f>
        <v>0</v>
      </c>
      <c r="N153" s="49">
        <f>資料儲存!G4921</f>
        <v>0</v>
      </c>
      <c r="O153" s="49">
        <f>資料儲存!H4921</f>
        <v>0</v>
      </c>
      <c r="P153" s="49">
        <f>資料儲存!I4921</f>
        <v>0</v>
      </c>
      <c r="Q153" s="49">
        <f>資料儲存!J4921</f>
        <v>0</v>
      </c>
      <c r="R153" s="52"/>
      <c r="S153" s="70">
        <v>60</v>
      </c>
      <c r="T153" s="49">
        <f>資料儲存!D5041</f>
        <v>0</v>
      </c>
      <c r="U153" s="49">
        <f>資料儲存!E5041</f>
        <v>0</v>
      </c>
      <c r="V153" s="49">
        <f>資料儲存!F5041</f>
        <v>0</v>
      </c>
      <c r="W153" s="49">
        <f>資料儲存!G5041</f>
        <v>0</v>
      </c>
      <c r="X153" s="49">
        <f>資料儲存!H5041</f>
        <v>0</v>
      </c>
      <c r="Y153" s="49">
        <f>資料儲存!I5041</f>
        <v>0</v>
      </c>
      <c r="Z153" s="49">
        <f>資料儲存!J5041</f>
        <v>0</v>
      </c>
      <c r="AA153" s="52"/>
      <c r="AB153" s="70">
        <v>60</v>
      </c>
      <c r="AC153" s="49">
        <f>資料儲存!D5161</f>
        <v>0</v>
      </c>
      <c r="AD153" s="49">
        <f>資料儲存!E5161</f>
        <v>0</v>
      </c>
      <c r="AE153" s="49">
        <f>資料儲存!F5161</f>
        <v>0</v>
      </c>
      <c r="AF153" s="49">
        <f>資料儲存!G5161</f>
        <v>0</v>
      </c>
      <c r="AG153" s="49">
        <f>資料儲存!H5161</f>
        <v>0</v>
      </c>
      <c r="AH153" s="49">
        <f>資料儲存!I5161</f>
        <v>0</v>
      </c>
      <c r="AI153" s="49">
        <f>資料儲存!J5161</f>
        <v>0</v>
      </c>
      <c r="AJ153" s="52"/>
      <c r="AK153" s="70">
        <v>60</v>
      </c>
      <c r="AL153" s="49">
        <f>資料儲存!D5281</f>
        <v>0</v>
      </c>
      <c r="AM153" s="49">
        <f>資料儲存!E5281</f>
        <v>0</v>
      </c>
      <c r="AN153" s="49">
        <f>資料儲存!F5281</f>
        <v>0</v>
      </c>
      <c r="AO153" s="49">
        <f>資料儲存!G5281</f>
        <v>0</v>
      </c>
      <c r="AP153" s="49">
        <f>資料儲存!H5281</f>
        <v>0</v>
      </c>
      <c r="AQ153" s="49">
        <f>資料儲存!I5281</f>
        <v>0</v>
      </c>
      <c r="AR153" s="49">
        <f>資料儲存!J5281</f>
        <v>0</v>
      </c>
      <c r="AT153" s="70">
        <v>60</v>
      </c>
      <c r="AU153" s="49">
        <f>資料儲存!D5401</f>
        <v>0</v>
      </c>
      <c r="AV153" s="49">
        <f>資料儲存!E5401</f>
        <v>0</v>
      </c>
      <c r="AW153" s="49">
        <f>資料儲存!F5401</f>
        <v>0</v>
      </c>
      <c r="AX153" s="49">
        <f>資料儲存!G5401</f>
        <v>0</v>
      </c>
      <c r="AY153" s="49">
        <f>資料儲存!H5401</f>
        <v>0</v>
      </c>
      <c r="AZ153" s="49">
        <f>資料儲存!I5401</f>
        <v>0</v>
      </c>
      <c r="BA153" s="49">
        <f>資料儲存!J5401</f>
        <v>0</v>
      </c>
    </row>
    <row r="154" spans="1:53" s="67" customFormat="1" ht="17.25" customHeight="1" thickBot="1">
      <c r="A154" s="50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0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0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0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45"/>
      <c r="AK154" s="50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  <c r="AT154" s="50" t="s">
        <v>56</v>
      </c>
      <c r="AU154" s="49">
        <f>SUM(AU139:AX153)</f>
        <v>0</v>
      </c>
      <c r="AV154" s="47"/>
      <c r="AW154" s="47"/>
      <c r="AX154" s="47"/>
      <c r="AY154" s="49">
        <f>AY153</f>
        <v>0</v>
      </c>
      <c r="AZ154" s="49">
        <f>AZ153</f>
        <v>0</v>
      </c>
      <c r="BA154" s="49">
        <f>BA153</f>
        <v>0</v>
      </c>
    </row>
  </sheetData>
  <mergeCells count="60">
    <mergeCell ref="A1:H1"/>
    <mergeCell ref="J1:Q1"/>
    <mergeCell ref="S1:Z1"/>
    <mergeCell ref="AB1:AI1"/>
    <mergeCell ref="A2:H2"/>
    <mergeCell ref="J2:Q2"/>
    <mergeCell ref="S2:Z2"/>
    <mergeCell ref="AB2:AI2"/>
    <mergeCell ref="A3:H3"/>
    <mergeCell ref="J3:Q3"/>
    <mergeCell ref="S3:Z3"/>
    <mergeCell ref="AB3:AI3"/>
    <mergeCell ref="A22:H22"/>
    <mergeCell ref="J22:Q22"/>
    <mergeCell ref="S22:Z22"/>
    <mergeCell ref="AB22:AI22"/>
    <mergeCell ref="A41:H41"/>
    <mergeCell ref="J41:Q41"/>
    <mergeCell ref="S41:Z41"/>
    <mergeCell ref="AB41:AI41"/>
    <mergeCell ref="A60:H60"/>
    <mergeCell ref="J60:Q60"/>
    <mergeCell ref="S60:Z60"/>
    <mergeCell ref="AB60:AI60"/>
    <mergeCell ref="A79:H79"/>
    <mergeCell ref="J79:Q79"/>
    <mergeCell ref="S79:Z79"/>
    <mergeCell ref="AB79:AI79"/>
    <mergeCell ref="A98:H98"/>
    <mergeCell ref="J98:Q98"/>
    <mergeCell ref="S98:Z98"/>
    <mergeCell ref="AB98:AI98"/>
    <mergeCell ref="A117:H117"/>
    <mergeCell ref="J117:Q117"/>
    <mergeCell ref="S117:Z117"/>
    <mergeCell ref="AB117:AI117"/>
    <mergeCell ref="A136:H136"/>
    <mergeCell ref="J136:Q136"/>
    <mergeCell ref="S136:Z136"/>
    <mergeCell ref="AB136:AI136"/>
    <mergeCell ref="AT60:BA60"/>
    <mergeCell ref="AK1:AR1"/>
    <mergeCell ref="AK2:AR2"/>
    <mergeCell ref="AK3:AR3"/>
    <mergeCell ref="AK22:AR22"/>
    <mergeCell ref="AK41:AR41"/>
    <mergeCell ref="AK60:AR60"/>
    <mergeCell ref="AT1:BA1"/>
    <mergeCell ref="AT2:BA2"/>
    <mergeCell ref="AT3:BA3"/>
    <mergeCell ref="AT22:BA22"/>
    <mergeCell ref="AT41:BA41"/>
    <mergeCell ref="AT79:BA79"/>
    <mergeCell ref="AT98:BA98"/>
    <mergeCell ref="AT117:BA117"/>
    <mergeCell ref="AT136:BA136"/>
    <mergeCell ref="AK79:AR79"/>
    <mergeCell ref="AK98:AR98"/>
    <mergeCell ref="AK117:AR117"/>
    <mergeCell ref="AK136:AR136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7" tint="0.39997558519241921"/>
  </sheetPr>
  <dimension ref="A1:BA155"/>
  <sheetViews>
    <sheetView zoomScale="70" zoomScaleNormal="70" zoomScaleSheetLayoutView="70" workbookViewId="0">
      <selection sqref="A1:H1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44" width="10.08984375" style="1"/>
    <col min="45" max="45" width="2.08984375" style="1" customWidth="1"/>
    <col min="46" max="16384" width="10.08984375" style="1"/>
  </cols>
  <sheetData>
    <row r="1" spans="1:53" s="11" customFormat="1" ht="18.5" thickBot="1">
      <c r="A1" s="254" t="str">
        <f>基本資料!$K$11</f>
        <v>假日(17-19)</v>
      </c>
      <c r="B1" s="255"/>
      <c r="C1" s="255"/>
      <c r="D1" s="255"/>
      <c r="E1" s="255"/>
      <c r="F1" s="255"/>
      <c r="G1" s="255"/>
      <c r="H1" s="256"/>
      <c r="J1" s="254" t="str">
        <f>基本資料!$K$11</f>
        <v>假日(17-19)</v>
      </c>
      <c r="K1" s="255"/>
      <c r="L1" s="255"/>
      <c r="M1" s="255"/>
      <c r="N1" s="255"/>
      <c r="O1" s="255"/>
      <c r="P1" s="255"/>
      <c r="Q1" s="256"/>
      <c r="S1" s="254" t="str">
        <f>基本資料!$K$11</f>
        <v>假日(17-19)</v>
      </c>
      <c r="T1" s="255"/>
      <c r="U1" s="255"/>
      <c r="V1" s="255"/>
      <c r="W1" s="255"/>
      <c r="X1" s="255"/>
      <c r="Y1" s="255"/>
      <c r="Z1" s="256"/>
      <c r="AB1" s="254" t="str">
        <f>基本資料!$K$11</f>
        <v>假日(17-19)</v>
      </c>
      <c r="AC1" s="255"/>
      <c r="AD1" s="255"/>
      <c r="AE1" s="255"/>
      <c r="AF1" s="255"/>
      <c r="AG1" s="255"/>
      <c r="AH1" s="255"/>
      <c r="AI1" s="256"/>
      <c r="AK1" s="254" t="str">
        <f>基本資料!$K$11</f>
        <v>假日(17-19)</v>
      </c>
      <c r="AL1" s="255"/>
      <c r="AM1" s="255"/>
      <c r="AN1" s="255"/>
      <c r="AO1" s="255"/>
      <c r="AP1" s="255"/>
      <c r="AQ1" s="255"/>
      <c r="AR1" s="256"/>
      <c r="AT1" s="254" t="str">
        <f>基本資料!$K$11</f>
        <v>假日(17-19)</v>
      </c>
      <c r="AU1" s="255"/>
      <c r="AV1" s="255"/>
      <c r="AW1" s="255"/>
      <c r="AX1" s="255"/>
      <c r="AY1" s="255"/>
      <c r="AZ1" s="255"/>
      <c r="BA1" s="256"/>
    </row>
    <row r="2" spans="1:53" ht="18.5" thickBot="1">
      <c r="A2" s="251" t="str">
        <f>CONCATENATE(基本資料!B18,"方向：",基本資料!B19,基本資料!B20)</f>
        <v>A方向：</v>
      </c>
      <c r="B2" s="252"/>
      <c r="C2" s="252"/>
      <c r="D2" s="252"/>
      <c r="E2" s="252"/>
      <c r="F2" s="252"/>
      <c r="G2" s="252"/>
      <c r="H2" s="253"/>
      <c r="I2" s="1"/>
      <c r="J2" s="251" t="str">
        <f>CONCATENATE(基本資料!C18,"方向：",基本資料!C19,基本資料!C20)</f>
        <v>B方向：</v>
      </c>
      <c r="K2" s="252"/>
      <c r="L2" s="252"/>
      <c r="M2" s="252"/>
      <c r="N2" s="252"/>
      <c r="O2" s="252"/>
      <c r="P2" s="252"/>
      <c r="Q2" s="253"/>
      <c r="R2" s="1"/>
      <c r="S2" s="251" t="str">
        <f>CONCATENATE(基本資料!D18,"方向：",基本資料!D19,基本資料!D20)</f>
        <v>C方向：</v>
      </c>
      <c r="T2" s="252"/>
      <c r="U2" s="252"/>
      <c r="V2" s="252"/>
      <c r="W2" s="252"/>
      <c r="X2" s="252"/>
      <c r="Y2" s="252"/>
      <c r="Z2" s="253"/>
      <c r="AA2" s="1"/>
      <c r="AB2" s="251" t="str">
        <f>CONCATENATE(基本資料!E18,"方向：",基本資料!E19,基本資料!E20)</f>
        <v>D方向：</v>
      </c>
      <c r="AC2" s="252"/>
      <c r="AD2" s="252"/>
      <c r="AE2" s="252"/>
      <c r="AF2" s="252"/>
      <c r="AG2" s="252"/>
      <c r="AH2" s="252"/>
      <c r="AI2" s="253"/>
      <c r="AJ2" s="1"/>
      <c r="AK2" s="251" t="str">
        <f>CONCATENATE(基本資料!F18,"方向：",基本資料!F19,基本資料!F20)</f>
        <v>E方向：</v>
      </c>
      <c r="AL2" s="252"/>
      <c r="AM2" s="252"/>
      <c r="AN2" s="252"/>
      <c r="AO2" s="252"/>
      <c r="AP2" s="252"/>
      <c r="AQ2" s="252"/>
      <c r="AR2" s="253"/>
      <c r="AT2" s="251" t="str">
        <f>CONCATENATE(基本資料!G18,"方向：",基本資料!G19,基本資料!G20)</f>
        <v>F方向：</v>
      </c>
      <c r="AU2" s="252"/>
      <c r="AV2" s="252"/>
      <c r="AW2" s="252"/>
      <c r="AX2" s="252"/>
      <c r="AY2" s="252"/>
      <c r="AZ2" s="252"/>
      <c r="BA2" s="253"/>
    </row>
    <row r="3" spans="1:53" ht="18.5" thickBot="1">
      <c r="A3" s="248" t="s">
        <v>72</v>
      </c>
      <c r="B3" s="249"/>
      <c r="C3" s="249"/>
      <c r="D3" s="249"/>
      <c r="E3" s="249"/>
      <c r="F3" s="249"/>
      <c r="G3" s="249"/>
      <c r="H3" s="250"/>
      <c r="I3" s="22"/>
      <c r="J3" s="248" t="s">
        <v>72</v>
      </c>
      <c r="K3" s="249"/>
      <c r="L3" s="249"/>
      <c r="M3" s="249"/>
      <c r="N3" s="249"/>
      <c r="O3" s="249"/>
      <c r="P3" s="249"/>
      <c r="Q3" s="250"/>
      <c r="R3" s="22"/>
      <c r="S3" s="248" t="s">
        <v>72</v>
      </c>
      <c r="T3" s="249"/>
      <c r="U3" s="249"/>
      <c r="V3" s="249"/>
      <c r="W3" s="249"/>
      <c r="X3" s="249"/>
      <c r="Y3" s="249"/>
      <c r="Z3" s="250"/>
      <c r="AA3" s="22"/>
      <c r="AB3" s="248" t="s">
        <v>72</v>
      </c>
      <c r="AC3" s="249"/>
      <c r="AD3" s="249"/>
      <c r="AE3" s="249"/>
      <c r="AF3" s="249"/>
      <c r="AG3" s="249"/>
      <c r="AH3" s="249"/>
      <c r="AI3" s="250"/>
      <c r="AJ3" s="22"/>
      <c r="AK3" s="248" t="s">
        <v>72</v>
      </c>
      <c r="AL3" s="249"/>
      <c r="AM3" s="249"/>
      <c r="AN3" s="249"/>
      <c r="AO3" s="249"/>
      <c r="AP3" s="249"/>
      <c r="AQ3" s="249"/>
      <c r="AR3" s="250"/>
      <c r="AT3" s="248" t="s">
        <v>72</v>
      </c>
      <c r="AU3" s="249"/>
      <c r="AV3" s="249"/>
      <c r="AW3" s="249"/>
      <c r="AX3" s="249"/>
      <c r="AY3" s="249"/>
      <c r="AZ3" s="249"/>
      <c r="BA3" s="250"/>
    </row>
    <row r="4" spans="1:53" s="59" customFormat="1" ht="17.25" customHeight="1" thickBot="1">
      <c r="A4" s="54" t="s">
        <v>2</v>
      </c>
      <c r="B4" s="55" t="s">
        <v>46</v>
      </c>
      <c r="C4" s="56"/>
      <c r="D4" s="56"/>
      <c r="E4" s="57"/>
      <c r="F4" s="55" t="s">
        <v>47</v>
      </c>
      <c r="G4" s="56"/>
      <c r="H4" s="57"/>
      <c r="I4" s="58"/>
      <c r="J4" s="54" t="s">
        <v>2</v>
      </c>
      <c r="K4" s="55" t="s">
        <v>46</v>
      </c>
      <c r="L4" s="56"/>
      <c r="M4" s="56"/>
      <c r="N4" s="57"/>
      <c r="O4" s="55" t="s">
        <v>47</v>
      </c>
      <c r="P4" s="56"/>
      <c r="Q4" s="57"/>
      <c r="R4" s="58"/>
      <c r="S4" s="54" t="s">
        <v>2</v>
      </c>
      <c r="T4" s="55" t="s">
        <v>46</v>
      </c>
      <c r="U4" s="56"/>
      <c r="V4" s="56"/>
      <c r="W4" s="57"/>
      <c r="X4" s="55" t="s">
        <v>47</v>
      </c>
      <c r="Y4" s="56"/>
      <c r="Z4" s="57"/>
      <c r="AA4" s="58"/>
      <c r="AB4" s="54" t="s">
        <v>2</v>
      </c>
      <c r="AC4" s="55" t="s">
        <v>46</v>
      </c>
      <c r="AD4" s="56"/>
      <c r="AE4" s="56"/>
      <c r="AF4" s="57"/>
      <c r="AG4" s="55" t="s">
        <v>47</v>
      </c>
      <c r="AH4" s="56"/>
      <c r="AI4" s="57"/>
      <c r="AJ4" s="58"/>
      <c r="AK4" s="54" t="s">
        <v>2</v>
      </c>
      <c r="AL4" s="55" t="s">
        <v>46</v>
      </c>
      <c r="AM4" s="56"/>
      <c r="AN4" s="56"/>
      <c r="AO4" s="57"/>
      <c r="AP4" s="55" t="s">
        <v>47</v>
      </c>
      <c r="AQ4" s="56"/>
      <c r="AR4" s="57"/>
      <c r="AT4" s="54" t="s">
        <v>2</v>
      </c>
      <c r="AU4" s="55" t="s">
        <v>46</v>
      </c>
      <c r="AV4" s="56"/>
      <c r="AW4" s="56"/>
      <c r="AX4" s="57"/>
      <c r="AY4" s="55" t="s">
        <v>47</v>
      </c>
      <c r="AZ4" s="56"/>
      <c r="BA4" s="57"/>
    </row>
    <row r="5" spans="1:53" s="59" customFormat="1" ht="16" thickBot="1">
      <c r="A5" s="60" t="s">
        <v>73</v>
      </c>
      <c r="B5" s="61" t="s">
        <v>49</v>
      </c>
      <c r="C5" s="61" t="s">
        <v>50</v>
      </c>
      <c r="D5" s="61" t="s">
        <v>51</v>
      </c>
      <c r="E5" s="61" t="s">
        <v>52</v>
      </c>
      <c r="F5" s="61" t="s">
        <v>53</v>
      </c>
      <c r="G5" s="61" t="s">
        <v>54</v>
      </c>
      <c r="H5" s="61" t="s">
        <v>55</v>
      </c>
      <c r="I5" s="58"/>
      <c r="J5" s="60" t="s">
        <v>73</v>
      </c>
      <c r="K5" s="61" t="s">
        <v>49</v>
      </c>
      <c r="L5" s="61" t="s">
        <v>50</v>
      </c>
      <c r="M5" s="61" t="s">
        <v>51</v>
      </c>
      <c r="N5" s="61" t="s">
        <v>52</v>
      </c>
      <c r="O5" s="61" t="s">
        <v>53</v>
      </c>
      <c r="P5" s="61" t="s">
        <v>54</v>
      </c>
      <c r="Q5" s="61" t="s">
        <v>55</v>
      </c>
      <c r="R5" s="58"/>
      <c r="S5" s="60" t="s">
        <v>73</v>
      </c>
      <c r="T5" s="61" t="s">
        <v>49</v>
      </c>
      <c r="U5" s="61" t="s">
        <v>50</v>
      </c>
      <c r="V5" s="61" t="s">
        <v>51</v>
      </c>
      <c r="W5" s="61" t="s">
        <v>52</v>
      </c>
      <c r="X5" s="61" t="s">
        <v>53</v>
      </c>
      <c r="Y5" s="61" t="s">
        <v>54</v>
      </c>
      <c r="Z5" s="61" t="s">
        <v>55</v>
      </c>
      <c r="AA5" s="58"/>
      <c r="AB5" s="60" t="s">
        <v>73</v>
      </c>
      <c r="AC5" s="61" t="s">
        <v>49</v>
      </c>
      <c r="AD5" s="61" t="s">
        <v>50</v>
      </c>
      <c r="AE5" s="61" t="s">
        <v>51</v>
      </c>
      <c r="AF5" s="61" t="s">
        <v>52</v>
      </c>
      <c r="AG5" s="61" t="s">
        <v>53</v>
      </c>
      <c r="AH5" s="61" t="s">
        <v>54</v>
      </c>
      <c r="AI5" s="61" t="s">
        <v>55</v>
      </c>
      <c r="AJ5" s="58"/>
      <c r="AK5" s="60" t="s">
        <v>73</v>
      </c>
      <c r="AL5" s="61" t="s">
        <v>49</v>
      </c>
      <c r="AM5" s="61" t="s">
        <v>50</v>
      </c>
      <c r="AN5" s="61" t="s">
        <v>51</v>
      </c>
      <c r="AO5" s="61" t="s">
        <v>52</v>
      </c>
      <c r="AP5" s="61" t="s">
        <v>53</v>
      </c>
      <c r="AQ5" s="61" t="s">
        <v>54</v>
      </c>
      <c r="AR5" s="61" t="s">
        <v>55</v>
      </c>
      <c r="AT5" s="60" t="s">
        <v>73</v>
      </c>
      <c r="AU5" s="61" t="s">
        <v>49</v>
      </c>
      <c r="AV5" s="61" t="s">
        <v>50</v>
      </c>
      <c r="AW5" s="61" t="s">
        <v>51</v>
      </c>
      <c r="AX5" s="61" t="s">
        <v>52</v>
      </c>
      <c r="AY5" s="61" t="s">
        <v>53</v>
      </c>
      <c r="AZ5" s="61" t="s">
        <v>54</v>
      </c>
      <c r="BA5" s="61" t="s">
        <v>55</v>
      </c>
    </row>
    <row r="6" spans="1:53" s="59" customFormat="1" ht="16" thickBot="1">
      <c r="A6" s="62">
        <v>1</v>
      </c>
      <c r="B6" s="39">
        <f>資料儲存!D5402</f>
        <v>0</v>
      </c>
      <c r="C6" s="39">
        <f>資料儲存!E5402</f>
        <v>0</v>
      </c>
      <c r="D6" s="39">
        <f>資料儲存!F5402</f>
        <v>0</v>
      </c>
      <c r="E6" s="39">
        <f>資料儲存!G5402</f>
        <v>0</v>
      </c>
      <c r="F6" s="39">
        <f>資料儲存!H5402</f>
        <v>0</v>
      </c>
      <c r="G6" s="39">
        <f>資料儲存!I5402</f>
        <v>0</v>
      </c>
      <c r="H6" s="39">
        <f>資料儲存!J5402</f>
        <v>0</v>
      </c>
      <c r="I6" s="58"/>
      <c r="J6" s="62">
        <v>1</v>
      </c>
      <c r="K6" s="39">
        <f>資料儲存!D5522</f>
        <v>0</v>
      </c>
      <c r="L6" s="39">
        <f>資料儲存!E5522</f>
        <v>0</v>
      </c>
      <c r="M6" s="39">
        <f>資料儲存!F5522</f>
        <v>0</v>
      </c>
      <c r="N6" s="39">
        <f>資料儲存!G5522</f>
        <v>0</v>
      </c>
      <c r="O6" s="39">
        <f>資料儲存!H5522</f>
        <v>0</v>
      </c>
      <c r="P6" s="39">
        <f>資料儲存!I5522</f>
        <v>0</v>
      </c>
      <c r="Q6" s="39">
        <f>資料儲存!J5522</f>
        <v>0</v>
      </c>
      <c r="R6" s="58"/>
      <c r="S6" s="62">
        <v>1</v>
      </c>
      <c r="T6" s="39">
        <f>資料儲存!D5642</f>
        <v>0</v>
      </c>
      <c r="U6" s="39">
        <f>資料儲存!E5642</f>
        <v>0</v>
      </c>
      <c r="V6" s="39">
        <f>資料儲存!F5642</f>
        <v>0</v>
      </c>
      <c r="W6" s="39">
        <f>資料儲存!G5642</f>
        <v>0</v>
      </c>
      <c r="X6" s="39">
        <f>資料儲存!H5642</f>
        <v>0</v>
      </c>
      <c r="Y6" s="39">
        <f>資料儲存!I5642</f>
        <v>0</v>
      </c>
      <c r="Z6" s="39">
        <f>資料儲存!J5642</f>
        <v>0</v>
      </c>
      <c r="AA6" s="58"/>
      <c r="AB6" s="62">
        <v>1</v>
      </c>
      <c r="AC6" s="39">
        <f>資料儲存!D5762</f>
        <v>0</v>
      </c>
      <c r="AD6" s="39">
        <f>資料儲存!E5762</f>
        <v>0</v>
      </c>
      <c r="AE6" s="39">
        <f>資料儲存!F5762</f>
        <v>0</v>
      </c>
      <c r="AF6" s="39">
        <f>資料儲存!G5762</f>
        <v>0</v>
      </c>
      <c r="AG6" s="39">
        <f>資料儲存!H5762</f>
        <v>0</v>
      </c>
      <c r="AH6" s="39">
        <f>資料儲存!I5762</f>
        <v>0</v>
      </c>
      <c r="AI6" s="39">
        <f>資料儲存!J5762</f>
        <v>0</v>
      </c>
      <c r="AJ6" s="58"/>
      <c r="AK6" s="62">
        <v>1</v>
      </c>
      <c r="AL6" s="39">
        <f>資料儲存!D5882</f>
        <v>0</v>
      </c>
      <c r="AM6" s="39">
        <f>資料儲存!E5882</f>
        <v>0</v>
      </c>
      <c r="AN6" s="39">
        <f>資料儲存!F5882</f>
        <v>0</v>
      </c>
      <c r="AO6" s="39">
        <f>資料儲存!G5882</f>
        <v>0</v>
      </c>
      <c r="AP6" s="39">
        <f>資料儲存!H5882</f>
        <v>0</v>
      </c>
      <c r="AQ6" s="39">
        <f>資料儲存!I5882</f>
        <v>0</v>
      </c>
      <c r="AR6" s="39">
        <f>資料儲存!J5882</f>
        <v>0</v>
      </c>
      <c r="AT6" s="62">
        <v>1</v>
      </c>
      <c r="AU6" s="39">
        <f>資料儲存!D6002</f>
        <v>0</v>
      </c>
      <c r="AV6" s="39">
        <f>資料儲存!E6002</f>
        <v>0</v>
      </c>
      <c r="AW6" s="39">
        <f>資料儲存!F6002</f>
        <v>0</v>
      </c>
      <c r="AX6" s="39">
        <f>資料儲存!G6002</f>
        <v>0</v>
      </c>
      <c r="AY6" s="39">
        <f>資料儲存!H6002</f>
        <v>0</v>
      </c>
      <c r="AZ6" s="39">
        <f>資料儲存!I6002</f>
        <v>0</v>
      </c>
      <c r="BA6" s="39">
        <f>資料儲存!J6002</f>
        <v>0</v>
      </c>
    </row>
    <row r="7" spans="1:53" s="59" customFormat="1" ht="16" thickBot="1">
      <c r="A7" s="62">
        <v>2</v>
      </c>
      <c r="B7" s="39">
        <f>資料儲存!D5403</f>
        <v>0</v>
      </c>
      <c r="C7" s="39">
        <f>資料儲存!E5403</f>
        <v>0</v>
      </c>
      <c r="D7" s="39">
        <f>資料儲存!F5403</f>
        <v>0</v>
      </c>
      <c r="E7" s="39">
        <f>資料儲存!G5403</f>
        <v>0</v>
      </c>
      <c r="F7" s="39">
        <f>資料儲存!H5403</f>
        <v>0</v>
      </c>
      <c r="G7" s="39">
        <f>資料儲存!I5403</f>
        <v>0</v>
      </c>
      <c r="H7" s="39">
        <f>資料儲存!J5403</f>
        <v>0</v>
      </c>
      <c r="I7" s="58"/>
      <c r="J7" s="62">
        <v>2</v>
      </c>
      <c r="K7" s="39">
        <f>資料儲存!D5523</f>
        <v>0</v>
      </c>
      <c r="L7" s="39">
        <f>資料儲存!E5523</f>
        <v>0</v>
      </c>
      <c r="M7" s="39">
        <f>資料儲存!F5523</f>
        <v>0</v>
      </c>
      <c r="N7" s="39">
        <f>資料儲存!G5523</f>
        <v>0</v>
      </c>
      <c r="O7" s="39">
        <f>資料儲存!H5523</f>
        <v>0</v>
      </c>
      <c r="P7" s="39">
        <f>資料儲存!I5523</f>
        <v>0</v>
      </c>
      <c r="Q7" s="39">
        <f>資料儲存!J5523</f>
        <v>0</v>
      </c>
      <c r="R7" s="58"/>
      <c r="S7" s="62">
        <v>2</v>
      </c>
      <c r="T7" s="39">
        <f>資料儲存!D5643</f>
        <v>0</v>
      </c>
      <c r="U7" s="39">
        <f>資料儲存!E5643</f>
        <v>0</v>
      </c>
      <c r="V7" s="39">
        <f>資料儲存!F5643</f>
        <v>0</v>
      </c>
      <c r="W7" s="39">
        <f>資料儲存!G5643</f>
        <v>0</v>
      </c>
      <c r="X7" s="39">
        <f>資料儲存!H5643</f>
        <v>0</v>
      </c>
      <c r="Y7" s="39">
        <f>資料儲存!I5643</f>
        <v>0</v>
      </c>
      <c r="Z7" s="39">
        <f>資料儲存!J5643</f>
        <v>0</v>
      </c>
      <c r="AA7" s="58"/>
      <c r="AB7" s="62">
        <v>2</v>
      </c>
      <c r="AC7" s="39">
        <f>資料儲存!D5763</f>
        <v>0</v>
      </c>
      <c r="AD7" s="39">
        <f>資料儲存!E5763</f>
        <v>0</v>
      </c>
      <c r="AE7" s="39">
        <f>資料儲存!F5763</f>
        <v>0</v>
      </c>
      <c r="AF7" s="39">
        <f>資料儲存!G5763</f>
        <v>0</v>
      </c>
      <c r="AG7" s="39">
        <f>資料儲存!H5763</f>
        <v>0</v>
      </c>
      <c r="AH7" s="39">
        <f>資料儲存!I5763</f>
        <v>0</v>
      </c>
      <c r="AI7" s="39">
        <f>資料儲存!J5763</f>
        <v>0</v>
      </c>
      <c r="AJ7" s="58"/>
      <c r="AK7" s="62">
        <v>2</v>
      </c>
      <c r="AL7" s="39">
        <f>資料儲存!D5883</f>
        <v>0</v>
      </c>
      <c r="AM7" s="39">
        <f>資料儲存!E5883</f>
        <v>0</v>
      </c>
      <c r="AN7" s="39">
        <f>資料儲存!F5883</f>
        <v>0</v>
      </c>
      <c r="AO7" s="39">
        <f>資料儲存!G5883</f>
        <v>0</v>
      </c>
      <c r="AP7" s="39">
        <f>資料儲存!H5883</f>
        <v>0</v>
      </c>
      <c r="AQ7" s="39">
        <f>資料儲存!I5883</f>
        <v>0</v>
      </c>
      <c r="AR7" s="39">
        <f>資料儲存!J5883</f>
        <v>0</v>
      </c>
      <c r="AT7" s="62">
        <v>2</v>
      </c>
      <c r="AU7" s="39">
        <f>資料儲存!D6003</f>
        <v>0</v>
      </c>
      <c r="AV7" s="39">
        <f>資料儲存!E6003</f>
        <v>0</v>
      </c>
      <c r="AW7" s="39">
        <f>資料儲存!F6003</f>
        <v>0</v>
      </c>
      <c r="AX7" s="39">
        <f>資料儲存!G6003</f>
        <v>0</v>
      </c>
      <c r="AY7" s="39">
        <f>資料儲存!H6003</f>
        <v>0</v>
      </c>
      <c r="AZ7" s="39">
        <f>資料儲存!I6003</f>
        <v>0</v>
      </c>
      <c r="BA7" s="39">
        <f>資料儲存!J6003</f>
        <v>0</v>
      </c>
    </row>
    <row r="8" spans="1:53" s="59" customFormat="1" ht="16" thickBot="1">
      <c r="A8" s="62">
        <v>3</v>
      </c>
      <c r="B8" s="39">
        <f>資料儲存!D5404</f>
        <v>0</v>
      </c>
      <c r="C8" s="39">
        <f>資料儲存!E5404</f>
        <v>0</v>
      </c>
      <c r="D8" s="39">
        <f>資料儲存!F5404</f>
        <v>0</v>
      </c>
      <c r="E8" s="39">
        <f>資料儲存!G5404</f>
        <v>0</v>
      </c>
      <c r="F8" s="39">
        <f>資料儲存!H5404</f>
        <v>0</v>
      </c>
      <c r="G8" s="39">
        <f>資料儲存!I5404</f>
        <v>0</v>
      </c>
      <c r="H8" s="39">
        <f>資料儲存!J5404</f>
        <v>0</v>
      </c>
      <c r="I8" s="58"/>
      <c r="J8" s="62">
        <v>3</v>
      </c>
      <c r="K8" s="39">
        <f>資料儲存!D5524</f>
        <v>0</v>
      </c>
      <c r="L8" s="39">
        <f>資料儲存!E5524</f>
        <v>0</v>
      </c>
      <c r="M8" s="39">
        <f>資料儲存!F5524</f>
        <v>0</v>
      </c>
      <c r="N8" s="39">
        <f>資料儲存!G5524</f>
        <v>0</v>
      </c>
      <c r="O8" s="39">
        <f>資料儲存!H5524</f>
        <v>0</v>
      </c>
      <c r="P8" s="39">
        <f>資料儲存!I5524</f>
        <v>0</v>
      </c>
      <c r="Q8" s="39">
        <f>資料儲存!J5524</f>
        <v>0</v>
      </c>
      <c r="R8" s="58"/>
      <c r="S8" s="62">
        <v>3</v>
      </c>
      <c r="T8" s="39">
        <f>資料儲存!D5644</f>
        <v>0</v>
      </c>
      <c r="U8" s="39">
        <f>資料儲存!E5644</f>
        <v>0</v>
      </c>
      <c r="V8" s="39">
        <f>資料儲存!F5644</f>
        <v>0</v>
      </c>
      <c r="W8" s="39">
        <f>資料儲存!G5644</f>
        <v>0</v>
      </c>
      <c r="X8" s="39">
        <f>資料儲存!H5644</f>
        <v>0</v>
      </c>
      <c r="Y8" s="39">
        <f>資料儲存!I5644</f>
        <v>0</v>
      </c>
      <c r="Z8" s="39">
        <f>資料儲存!J5644</f>
        <v>0</v>
      </c>
      <c r="AA8" s="58"/>
      <c r="AB8" s="62">
        <v>3</v>
      </c>
      <c r="AC8" s="39">
        <f>資料儲存!D5764</f>
        <v>0</v>
      </c>
      <c r="AD8" s="39">
        <f>資料儲存!E5764</f>
        <v>0</v>
      </c>
      <c r="AE8" s="39">
        <f>資料儲存!F5764</f>
        <v>0</v>
      </c>
      <c r="AF8" s="39">
        <f>資料儲存!G5764</f>
        <v>0</v>
      </c>
      <c r="AG8" s="39">
        <f>資料儲存!H5764</f>
        <v>0</v>
      </c>
      <c r="AH8" s="39">
        <f>資料儲存!I5764</f>
        <v>0</v>
      </c>
      <c r="AI8" s="39">
        <f>資料儲存!J5764</f>
        <v>0</v>
      </c>
      <c r="AJ8" s="58"/>
      <c r="AK8" s="62">
        <v>3</v>
      </c>
      <c r="AL8" s="39">
        <f>資料儲存!D5884</f>
        <v>0</v>
      </c>
      <c r="AM8" s="39">
        <f>資料儲存!E5884</f>
        <v>0</v>
      </c>
      <c r="AN8" s="39">
        <f>資料儲存!F5884</f>
        <v>0</v>
      </c>
      <c r="AO8" s="39">
        <f>資料儲存!G5884</f>
        <v>0</v>
      </c>
      <c r="AP8" s="39">
        <f>資料儲存!H5884</f>
        <v>0</v>
      </c>
      <c r="AQ8" s="39">
        <f>資料儲存!I5884</f>
        <v>0</v>
      </c>
      <c r="AR8" s="39">
        <f>資料儲存!J5884</f>
        <v>0</v>
      </c>
      <c r="AT8" s="62">
        <v>3</v>
      </c>
      <c r="AU8" s="39">
        <f>資料儲存!D6004</f>
        <v>0</v>
      </c>
      <c r="AV8" s="39">
        <f>資料儲存!E6004</f>
        <v>0</v>
      </c>
      <c r="AW8" s="39">
        <f>資料儲存!F6004</f>
        <v>0</v>
      </c>
      <c r="AX8" s="39">
        <f>資料儲存!G6004</f>
        <v>0</v>
      </c>
      <c r="AY8" s="39">
        <f>資料儲存!H6004</f>
        <v>0</v>
      </c>
      <c r="AZ8" s="39">
        <f>資料儲存!I6004</f>
        <v>0</v>
      </c>
      <c r="BA8" s="39">
        <f>資料儲存!J6004</f>
        <v>0</v>
      </c>
    </row>
    <row r="9" spans="1:53" s="59" customFormat="1" ht="16" thickBot="1">
      <c r="A9" s="62">
        <v>4</v>
      </c>
      <c r="B9" s="39">
        <f>資料儲存!D5405</f>
        <v>0</v>
      </c>
      <c r="C9" s="39">
        <f>資料儲存!E5405</f>
        <v>0</v>
      </c>
      <c r="D9" s="39">
        <f>資料儲存!F5405</f>
        <v>0</v>
      </c>
      <c r="E9" s="39">
        <f>資料儲存!G5405</f>
        <v>0</v>
      </c>
      <c r="F9" s="39">
        <f>資料儲存!H5405</f>
        <v>0</v>
      </c>
      <c r="G9" s="39">
        <f>資料儲存!I5405</f>
        <v>0</v>
      </c>
      <c r="H9" s="39">
        <f>資料儲存!J5405</f>
        <v>0</v>
      </c>
      <c r="I9" s="58"/>
      <c r="J9" s="62">
        <v>4</v>
      </c>
      <c r="K9" s="39">
        <f>資料儲存!D5525</f>
        <v>0</v>
      </c>
      <c r="L9" s="39">
        <f>資料儲存!E5525</f>
        <v>0</v>
      </c>
      <c r="M9" s="39">
        <f>資料儲存!F5525</f>
        <v>0</v>
      </c>
      <c r="N9" s="39">
        <f>資料儲存!G5525</f>
        <v>0</v>
      </c>
      <c r="O9" s="39">
        <f>資料儲存!H5525</f>
        <v>0</v>
      </c>
      <c r="P9" s="39">
        <f>資料儲存!I5525</f>
        <v>0</v>
      </c>
      <c r="Q9" s="39">
        <f>資料儲存!J5525</f>
        <v>0</v>
      </c>
      <c r="R9" s="58"/>
      <c r="S9" s="62">
        <v>4</v>
      </c>
      <c r="T9" s="39">
        <f>資料儲存!D5645</f>
        <v>0</v>
      </c>
      <c r="U9" s="39">
        <f>資料儲存!E5645</f>
        <v>0</v>
      </c>
      <c r="V9" s="39">
        <f>資料儲存!F5645</f>
        <v>0</v>
      </c>
      <c r="W9" s="39">
        <f>資料儲存!G5645</f>
        <v>0</v>
      </c>
      <c r="X9" s="39">
        <f>資料儲存!H5645</f>
        <v>0</v>
      </c>
      <c r="Y9" s="39">
        <f>資料儲存!I5645</f>
        <v>0</v>
      </c>
      <c r="Z9" s="39">
        <f>資料儲存!J5645</f>
        <v>0</v>
      </c>
      <c r="AA9" s="58"/>
      <c r="AB9" s="62">
        <v>4</v>
      </c>
      <c r="AC9" s="39">
        <f>資料儲存!D5765</f>
        <v>0</v>
      </c>
      <c r="AD9" s="39">
        <f>資料儲存!E5765</f>
        <v>0</v>
      </c>
      <c r="AE9" s="39">
        <f>資料儲存!F5765</f>
        <v>0</v>
      </c>
      <c r="AF9" s="39">
        <f>資料儲存!G5765</f>
        <v>0</v>
      </c>
      <c r="AG9" s="39">
        <f>資料儲存!H5765</f>
        <v>0</v>
      </c>
      <c r="AH9" s="39">
        <f>資料儲存!I5765</f>
        <v>0</v>
      </c>
      <c r="AI9" s="39">
        <f>資料儲存!J5765</f>
        <v>0</v>
      </c>
      <c r="AJ9" s="58"/>
      <c r="AK9" s="62">
        <v>4</v>
      </c>
      <c r="AL9" s="39">
        <f>資料儲存!D5885</f>
        <v>0</v>
      </c>
      <c r="AM9" s="39">
        <f>資料儲存!E5885</f>
        <v>0</v>
      </c>
      <c r="AN9" s="39">
        <f>資料儲存!F5885</f>
        <v>0</v>
      </c>
      <c r="AO9" s="39">
        <f>資料儲存!G5885</f>
        <v>0</v>
      </c>
      <c r="AP9" s="39">
        <f>資料儲存!H5885</f>
        <v>0</v>
      </c>
      <c r="AQ9" s="39">
        <f>資料儲存!I5885</f>
        <v>0</v>
      </c>
      <c r="AR9" s="39">
        <f>資料儲存!J5885</f>
        <v>0</v>
      </c>
      <c r="AT9" s="62">
        <v>4</v>
      </c>
      <c r="AU9" s="39">
        <f>資料儲存!D6005</f>
        <v>0</v>
      </c>
      <c r="AV9" s="39">
        <f>資料儲存!E6005</f>
        <v>0</v>
      </c>
      <c r="AW9" s="39">
        <f>資料儲存!F6005</f>
        <v>0</v>
      </c>
      <c r="AX9" s="39">
        <f>資料儲存!G6005</f>
        <v>0</v>
      </c>
      <c r="AY9" s="39">
        <f>資料儲存!H6005</f>
        <v>0</v>
      </c>
      <c r="AZ9" s="39">
        <f>資料儲存!I6005</f>
        <v>0</v>
      </c>
      <c r="BA9" s="39">
        <f>資料儲存!J6005</f>
        <v>0</v>
      </c>
    </row>
    <row r="10" spans="1:53" s="59" customFormat="1" ht="16" thickBot="1">
      <c r="A10" s="62">
        <v>5</v>
      </c>
      <c r="B10" s="39">
        <f>資料儲存!D5406</f>
        <v>0</v>
      </c>
      <c r="C10" s="39">
        <f>資料儲存!E5406</f>
        <v>0</v>
      </c>
      <c r="D10" s="39">
        <f>資料儲存!F5406</f>
        <v>0</v>
      </c>
      <c r="E10" s="39">
        <f>資料儲存!G5406</f>
        <v>0</v>
      </c>
      <c r="F10" s="39">
        <f>資料儲存!H5406</f>
        <v>0</v>
      </c>
      <c r="G10" s="39">
        <f>資料儲存!I5406</f>
        <v>0</v>
      </c>
      <c r="H10" s="39">
        <f>資料儲存!J5406</f>
        <v>0</v>
      </c>
      <c r="I10" s="58"/>
      <c r="J10" s="62">
        <v>5</v>
      </c>
      <c r="K10" s="39">
        <f>資料儲存!D5526</f>
        <v>0</v>
      </c>
      <c r="L10" s="39">
        <f>資料儲存!E5526</f>
        <v>0</v>
      </c>
      <c r="M10" s="39">
        <f>資料儲存!F5526</f>
        <v>0</v>
      </c>
      <c r="N10" s="39">
        <f>資料儲存!G5526</f>
        <v>0</v>
      </c>
      <c r="O10" s="39">
        <f>資料儲存!H5526</f>
        <v>0</v>
      </c>
      <c r="P10" s="39">
        <f>資料儲存!I5526</f>
        <v>0</v>
      </c>
      <c r="Q10" s="39">
        <f>資料儲存!J5526</f>
        <v>0</v>
      </c>
      <c r="R10" s="58"/>
      <c r="S10" s="62">
        <v>5</v>
      </c>
      <c r="T10" s="39">
        <f>資料儲存!D5646</f>
        <v>0</v>
      </c>
      <c r="U10" s="39">
        <f>資料儲存!E5646</f>
        <v>0</v>
      </c>
      <c r="V10" s="39">
        <f>資料儲存!F5646</f>
        <v>0</v>
      </c>
      <c r="W10" s="39">
        <f>資料儲存!G5646</f>
        <v>0</v>
      </c>
      <c r="X10" s="39">
        <f>資料儲存!H5646</f>
        <v>0</v>
      </c>
      <c r="Y10" s="39">
        <f>資料儲存!I5646</f>
        <v>0</v>
      </c>
      <c r="Z10" s="39">
        <f>資料儲存!J5646</f>
        <v>0</v>
      </c>
      <c r="AA10" s="58"/>
      <c r="AB10" s="62">
        <v>5</v>
      </c>
      <c r="AC10" s="39">
        <f>資料儲存!D5766</f>
        <v>0</v>
      </c>
      <c r="AD10" s="39">
        <f>資料儲存!E5766</f>
        <v>0</v>
      </c>
      <c r="AE10" s="39">
        <f>資料儲存!F5766</f>
        <v>0</v>
      </c>
      <c r="AF10" s="39">
        <f>資料儲存!G5766</f>
        <v>0</v>
      </c>
      <c r="AG10" s="39">
        <f>資料儲存!H5766</f>
        <v>0</v>
      </c>
      <c r="AH10" s="39">
        <f>資料儲存!I5766</f>
        <v>0</v>
      </c>
      <c r="AI10" s="39">
        <f>資料儲存!J5766</f>
        <v>0</v>
      </c>
      <c r="AJ10" s="58"/>
      <c r="AK10" s="62">
        <v>5</v>
      </c>
      <c r="AL10" s="39">
        <f>資料儲存!D5886</f>
        <v>0</v>
      </c>
      <c r="AM10" s="39">
        <f>資料儲存!E5886</f>
        <v>0</v>
      </c>
      <c r="AN10" s="39">
        <f>資料儲存!F5886</f>
        <v>0</v>
      </c>
      <c r="AO10" s="39">
        <f>資料儲存!G5886</f>
        <v>0</v>
      </c>
      <c r="AP10" s="39">
        <f>資料儲存!H5886</f>
        <v>0</v>
      </c>
      <c r="AQ10" s="39">
        <f>資料儲存!I5886</f>
        <v>0</v>
      </c>
      <c r="AR10" s="39">
        <f>資料儲存!J5886</f>
        <v>0</v>
      </c>
      <c r="AT10" s="62">
        <v>5</v>
      </c>
      <c r="AU10" s="39">
        <f>資料儲存!D6006</f>
        <v>0</v>
      </c>
      <c r="AV10" s="39">
        <f>資料儲存!E6006</f>
        <v>0</v>
      </c>
      <c r="AW10" s="39">
        <f>資料儲存!F6006</f>
        <v>0</v>
      </c>
      <c r="AX10" s="39">
        <f>資料儲存!G6006</f>
        <v>0</v>
      </c>
      <c r="AY10" s="39">
        <f>資料儲存!H6006</f>
        <v>0</v>
      </c>
      <c r="AZ10" s="39">
        <f>資料儲存!I6006</f>
        <v>0</v>
      </c>
      <c r="BA10" s="39">
        <f>資料儲存!J6006</f>
        <v>0</v>
      </c>
    </row>
    <row r="11" spans="1:53" s="59" customFormat="1" ht="16" thickBot="1">
      <c r="A11" s="62">
        <v>6</v>
      </c>
      <c r="B11" s="39">
        <f>資料儲存!D5407</f>
        <v>0</v>
      </c>
      <c r="C11" s="39">
        <f>資料儲存!E5407</f>
        <v>0</v>
      </c>
      <c r="D11" s="39">
        <f>資料儲存!F5407</f>
        <v>0</v>
      </c>
      <c r="E11" s="39">
        <f>資料儲存!G5407</f>
        <v>0</v>
      </c>
      <c r="F11" s="39">
        <f>資料儲存!H5407</f>
        <v>0</v>
      </c>
      <c r="G11" s="39">
        <f>資料儲存!I5407</f>
        <v>0</v>
      </c>
      <c r="H11" s="39">
        <f>資料儲存!J5407</f>
        <v>0</v>
      </c>
      <c r="I11" s="58"/>
      <c r="J11" s="62">
        <v>6</v>
      </c>
      <c r="K11" s="39">
        <f>資料儲存!D5527</f>
        <v>0</v>
      </c>
      <c r="L11" s="39">
        <f>資料儲存!E5527</f>
        <v>0</v>
      </c>
      <c r="M11" s="39">
        <f>資料儲存!F5527</f>
        <v>0</v>
      </c>
      <c r="N11" s="39">
        <f>資料儲存!G5527</f>
        <v>0</v>
      </c>
      <c r="O11" s="39">
        <f>資料儲存!H5527</f>
        <v>0</v>
      </c>
      <c r="P11" s="39">
        <f>資料儲存!I5527</f>
        <v>0</v>
      </c>
      <c r="Q11" s="39">
        <f>資料儲存!J5527</f>
        <v>0</v>
      </c>
      <c r="R11" s="58"/>
      <c r="S11" s="62">
        <v>6</v>
      </c>
      <c r="T11" s="39">
        <f>資料儲存!D5647</f>
        <v>0</v>
      </c>
      <c r="U11" s="39">
        <f>資料儲存!E5647</f>
        <v>0</v>
      </c>
      <c r="V11" s="39">
        <f>資料儲存!F5647</f>
        <v>0</v>
      </c>
      <c r="W11" s="39">
        <f>資料儲存!G5647</f>
        <v>0</v>
      </c>
      <c r="X11" s="39">
        <f>資料儲存!H5647</f>
        <v>0</v>
      </c>
      <c r="Y11" s="39">
        <f>資料儲存!I5647</f>
        <v>0</v>
      </c>
      <c r="Z11" s="39">
        <f>資料儲存!J5647</f>
        <v>0</v>
      </c>
      <c r="AA11" s="58"/>
      <c r="AB11" s="62">
        <v>6</v>
      </c>
      <c r="AC11" s="39">
        <f>資料儲存!D5767</f>
        <v>0</v>
      </c>
      <c r="AD11" s="39">
        <f>資料儲存!E5767</f>
        <v>0</v>
      </c>
      <c r="AE11" s="39">
        <f>資料儲存!F5767</f>
        <v>0</v>
      </c>
      <c r="AF11" s="39">
        <f>資料儲存!G5767</f>
        <v>0</v>
      </c>
      <c r="AG11" s="39">
        <f>資料儲存!H5767</f>
        <v>0</v>
      </c>
      <c r="AH11" s="39">
        <f>資料儲存!I5767</f>
        <v>0</v>
      </c>
      <c r="AI11" s="39">
        <f>資料儲存!J5767</f>
        <v>0</v>
      </c>
      <c r="AJ11" s="58"/>
      <c r="AK11" s="62">
        <v>6</v>
      </c>
      <c r="AL11" s="39">
        <f>資料儲存!D5887</f>
        <v>0</v>
      </c>
      <c r="AM11" s="39">
        <f>資料儲存!E5887</f>
        <v>0</v>
      </c>
      <c r="AN11" s="39">
        <f>資料儲存!F5887</f>
        <v>0</v>
      </c>
      <c r="AO11" s="39">
        <f>資料儲存!G5887</f>
        <v>0</v>
      </c>
      <c r="AP11" s="39">
        <f>資料儲存!H5887</f>
        <v>0</v>
      </c>
      <c r="AQ11" s="39">
        <f>資料儲存!I5887</f>
        <v>0</v>
      </c>
      <c r="AR11" s="39">
        <f>資料儲存!J5887</f>
        <v>0</v>
      </c>
      <c r="AT11" s="62">
        <v>6</v>
      </c>
      <c r="AU11" s="39">
        <f>資料儲存!D6007</f>
        <v>0</v>
      </c>
      <c r="AV11" s="39">
        <f>資料儲存!E6007</f>
        <v>0</v>
      </c>
      <c r="AW11" s="39">
        <f>資料儲存!F6007</f>
        <v>0</v>
      </c>
      <c r="AX11" s="39">
        <f>資料儲存!G6007</f>
        <v>0</v>
      </c>
      <c r="AY11" s="39">
        <f>資料儲存!H6007</f>
        <v>0</v>
      </c>
      <c r="AZ11" s="39">
        <f>資料儲存!I6007</f>
        <v>0</v>
      </c>
      <c r="BA11" s="39">
        <f>資料儲存!J6007</f>
        <v>0</v>
      </c>
    </row>
    <row r="12" spans="1:53" s="59" customFormat="1" ht="16" thickBot="1">
      <c r="A12" s="62">
        <v>7</v>
      </c>
      <c r="B12" s="39">
        <f>資料儲存!D5408</f>
        <v>0</v>
      </c>
      <c r="C12" s="39">
        <f>資料儲存!E5408</f>
        <v>0</v>
      </c>
      <c r="D12" s="39">
        <f>資料儲存!F5408</f>
        <v>0</v>
      </c>
      <c r="E12" s="39">
        <f>資料儲存!G5408</f>
        <v>0</v>
      </c>
      <c r="F12" s="39">
        <f>資料儲存!H5408</f>
        <v>0</v>
      </c>
      <c r="G12" s="39">
        <f>資料儲存!I5408</f>
        <v>0</v>
      </c>
      <c r="H12" s="39">
        <f>資料儲存!J5408</f>
        <v>0</v>
      </c>
      <c r="I12" s="58"/>
      <c r="J12" s="62">
        <v>7</v>
      </c>
      <c r="K12" s="39">
        <f>資料儲存!D5528</f>
        <v>0</v>
      </c>
      <c r="L12" s="39">
        <f>資料儲存!E5528</f>
        <v>0</v>
      </c>
      <c r="M12" s="39">
        <f>資料儲存!F5528</f>
        <v>0</v>
      </c>
      <c r="N12" s="39">
        <f>資料儲存!G5528</f>
        <v>0</v>
      </c>
      <c r="O12" s="39">
        <f>資料儲存!H5528</f>
        <v>0</v>
      </c>
      <c r="P12" s="39">
        <f>資料儲存!I5528</f>
        <v>0</v>
      </c>
      <c r="Q12" s="39">
        <f>資料儲存!J5528</f>
        <v>0</v>
      </c>
      <c r="R12" s="58"/>
      <c r="S12" s="62">
        <v>7</v>
      </c>
      <c r="T12" s="39">
        <f>資料儲存!D5648</f>
        <v>0</v>
      </c>
      <c r="U12" s="39">
        <f>資料儲存!E5648</f>
        <v>0</v>
      </c>
      <c r="V12" s="39">
        <f>資料儲存!F5648</f>
        <v>0</v>
      </c>
      <c r="W12" s="39">
        <f>資料儲存!G5648</f>
        <v>0</v>
      </c>
      <c r="X12" s="39">
        <f>資料儲存!H5648</f>
        <v>0</v>
      </c>
      <c r="Y12" s="39">
        <f>資料儲存!I5648</f>
        <v>0</v>
      </c>
      <c r="Z12" s="39">
        <f>資料儲存!J5648</f>
        <v>0</v>
      </c>
      <c r="AA12" s="58"/>
      <c r="AB12" s="62">
        <v>7</v>
      </c>
      <c r="AC12" s="39">
        <f>資料儲存!D5768</f>
        <v>0</v>
      </c>
      <c r="AD12" s="39">
        <f>資料儲存!E5768</f>
        <v>0</v>
      </c>
      <c r="AE12" s="39">
        <f>資料儲存!F5768</f>
        <v>0</v>
      </c>
      <c r="AF12" s="39">
        <f>資料儲存!G5768</f>
        <v>0</v>
      </c>
      <c r="AG12" s="39">
        <f>資料儲存!H5768</f>
        <v>0</v>
      </c>
      <c r="AH12" s="39">
        <f>資料儲存!I5768</f>
        <v>0</v>
      </c>
      <c r="AI12" s="39">
        <f>資料儲存!J5768</f>
        <v>0</v>
      </c>
      <c r="AJ12" s="58"/>
      <c r="AK12" s="62">
        <v>7</v>
      </c>
      <c r="AL12" s="39">
        <f>資料儲存!D5888</f>
        <v>0</v>
      </c>
      <c r="AM12" s="39">
        <f>資料儲存!E5888</f>
        <v>0</v>
      </c>
      <c r="AN12" s="39">
        <f>資料儲存!F5888</f>
        <v>0</v>
      </c>
      <c r="AO12" s="39">
        <f>資料儲存!G5888</f>
        <v>0</v>
      </c>
      <c r="AP12" s="39">
        <f>資料儲存!H5888</f>
        <v>0</v>
      </c>
      <c r="AQ12" s="39">
        <f>資料儲存!I5888</f>
        <v>0</v>
      </c>
      <c r="AR12" s="39">
        <f>資料儲存!J5888</f>
        <v>0</v>
      </c>
      <c r="AT12" s="62">
        <v>7</v>
      </c>
      <c r="AU12" s="39">
        <f>資料儲存!D6008</f>
        <v>0</v>
      </c>
      <c r="AV12" s="39">
        <f>資料儲存!E6008</f>
        <v>0</v>
      </c>
      <c r="AW12" s="39">
        <f>資料儲存!F6008</f>
        <v>0</v>
      </c>
      <c r="AX12" s="39">
        <f>資料儲存!G6008</f>
        <v>0</v>
      </c>
      <c r="AY12" s="39">
        <f>資料儲存!H6008</f>
        <v>0</v>
      </c>
      <c r="AZ12" s="39">
        <f>資料儲存!I6008</f>
        <v>0</v>
      </c>
      <c r="BA12" s="39">
        <f>資料儲存!J6008</f>
        <v>0</v>
      </c>
    </row>
    <row r="13" spans="1:53" s="59" customFormat="1" ht="16" thickBot="1">
      <c r="A13" s="62">
        <v>8</v>
      </c>
      <c r="B13" s="39">
        <f>資料儲存!D5409</f>
        <v>0</v>
      </c>
      <c r="C13" s="39">
        <f>資料儲存!E5409</f>
        <v>0</v>
      </c>
      <c r="D13" s="39">
        <f>資料儲存!F5409</f>
        <v>0</v>
      </c>
      <c r="E13" s="39">
        <f>資料儲存!G5409</f>
        <v>0</v>
      </c>
      <c r="F13" s="39">
        <f>資料儲存!H5409</f>
        <v>0</v>
      </c>
      <c r="G13" s="39">
        <f>資料儲存!I5409</f>
        <v>0</v>
      </c>
      <c r="H13" s="39">
        <f>資料儲存!J5409</f>
        <v>0</v>
      </c>
      <c r="I13" s="58"/>
      <c r="J13" s="62">
        <v>8</v>
      </c>
      <c r="K13" s="39">
        <f>資料儲存!D5529</f>
        <v>0</v>
      </c>
      <c r="L13" s="39">
        <f>資料儲存!E5529</f>
        <v>0</v>
      </c>
      <c r="M13" s="39">
        <f>資料儲存!F5529</f>
        <v>0</v>
      </c>
      <c r="N13" s="39">
        <f>資料儲存!G5529</f>
        <v>0</v>
      </c>
      <c r="O13" s="39">
        <f>資料儲存!H5529</f>
        <v>0</v>
      </c>
      <c r="P13" s="39">
        <f>資料儲存!I5529</f>
        <v>0</v>
      </c>
      <c r="Q13" s="39">
        <f>資料儲存!J5529</f>
        <v>0</v>
      </c>
      <c r="R13" s="58"/>
      <c r="S13" s="62">
        <v>8</v>
      </c>
      <c r="T13" s="39">
        <f>資料儲存!D5649</f>
        <v>0</v>
      </c>
      <c r="U13" s="39">
        <f>資料儲存!E5649</f>
        <v>0</v>
      </c>
      <c r="V13" s="39">
        <f>資料儲存!F5649</f>
        <v>0</v>
      </c>
      <c r="W13" s="39">
        <f>資料儲存!G5649</f>
        <v>0</v>
      </c>
      <c r="X13" s="39">
        <f>資料儲存!H5649</f>
        <v>0</v>
      </c>
      <c r="Y13" s="39">
        <f>資料儲存!I5649</f>
        <v>0</v>
      </c>
      <c r="Z13" s="39">
        <f>資料儲存!J5649</f>
        <v>0</v>
      </c>
      <c r="AA13" s="58"/>
      <c r="AB13" s="62">
        <v>8</v>
      </c>
      <c r="AC13" s="39">
        <f>資料儲存!D5769</f>
        <v>0</v>
      </c>
      <c r="AD13" s="39">
        <f>資料儲存!E5769</f>
        <v>0</v>
      </c>
      <c r="AE13" s="39">
        <f>資料儲存!F5769</f>
        <v>0</v>
      </c>
      <c r="AF13" s="39">
        <f>資料儲存!G5769</f>
        <v>0</v>
      </c>
      <c r="AG13" s="39">
        <f>資料儲存!H5769</f>
        <v>0</v>
      </c>
      <c r="AH13" s="39">
        <f>資料儲存!I5769</f>
        <v>0</v>
      </c>
      <c r="AI13" s="39">
        <f>資料儲存!J5769</f>
        <v>0</v>
      </c>
      <c r="AJ13" s="58"/>
      <c r="AK13" s="62">
        <v>8</v>
      </c>
      <c r="AL13" s="39">
        <f>資料儲存!D5889</f>
        <v>0</v>
      </c>
      <c r="AM13" s="39">
        <f>資料儲存!E5889</f>
        <v>0</v>
      </c>
      <c r="AN13" s="39">
        <f>資料儲存!F5889</f>
        <v>0</v>
      </c>
      <c r="AO13" s="39">
        <f>資料儲存!G5889</f>
        <v>0</v>
      </c>
      <c r="AP13" s="39">
        <f>資料儲存!H5889</f>
        <v>0</v>
      </c>
      <c r="AQ13" s="39">
        <f>資料儲存!I5889</f>
        <v>0</v>
      </c>
      <c r="AR13" s="39">
        <f>資料儲存!J5889</f>
        <v>0</v>
      </c>
      <c r="AT13" s="62">
        <v>8</v>
      </c>
      <c r="AU13" s="39">
        <f>資料儲存!D6009</f>
        <v>0</v>
      </c>
      <c r="AV13" s="39">
        <f>資料儲存!E6009</f>
        <v>0</v>
      </c>
      <c r="AW13" s="39">
        <f>資料儲存!F6009</f>
        <v>0</v>
      </c>
      <c r="AX13" s="39">
        <f>資料儲存!G6009</f>
        <v>0</v>
      </c>
      <c r="AY13" s="39">
        <f>資料儲存!H6009</f>
        <v>0</v>
      </c>
      <c r="AZ13" s="39">
        <f>資料儲存!I6009</f>
        <v>0</v>
      </c>
      <c r="BA13" s="39">
        <f>資料儲存!J6009</f>
        <v>0</v>
      </c>
    </row>
    <row r="14" spans="1:53" s="59" customFormat="1" ht="16" thickBot="1">
      <c r="A14" s="62">
        <v>9</v>
      </c>
      <c r="B14" s="39">
        <f>資料儲存!D5410</f>
        <v>0</v>
      </c>
      <c r="C14" s="39">
        <f>資料儲存!E5410</f>
        <v>0</v>
      </c>
      <c r="D14" s="39">
        <f>資料儲存!F5410</f>
        <v>0</v>
      </c>
      <c r="E14" s="39">
        <f>資料儲存!G5410</f>
        <v>0</v>
      </c>
      <c r="F14" s="39">
        <f>資料儲存!H5410</f>
        <v>0</v>
      </c>
      <c r="G14" s="39">
        <f>資料儲存!I5410</f>
        <v>0</v>
      </c>
      <c r="H14" s="39">
        <f>資料儲存!J5410</f>
        <v>0</v>
      </c>
      <c r="I14" s="58"/>
      <c r="J14" s="62">
        <v>9</v>
      </c>
      <c r="K14" s="39">
        <f>資料儲存!D5530</f>
        <v>0</v>
      </c>
      <c r="L14" s="39">
        <f>資料儲存!E5530</f>
        <v>0</v>
      </c>
      <c r="M14" s="39">
        <f>資料儲存!F5530</f>
        <v>0</v>
      </c>
      <c r="N14" s="39">
        <f>資料儲存!G5530</f>
        <v>0</v>
      </c>
      <c r="O14" s="39">
        <f>資料儲存!H5530</f>
        <v>0</v>
      </c>
      <c r="P14" s="39">
        <f>資料儲存!I5530</f>
        <v>0</v>
      </c>
      <c r="Q14" s="39">
        <f>資料儲存!J5530</f>
        <v>0</v>
      </c>
      <c r="R14" s="58"/>
      <c r="S14" s="62">
        <v>9</v>
      </c>
      <c r="T14" s="39">
        <f>資料儲存!D5650</f>
        <v>0</v>
      </c>
      <c r="U14" s="39">
        <f>資料儲存!E5650</f>
        <v>0</v>
      </c>
      <c r="V14" s="39">
        <f>資料儲存!F5650</f>
        <v>0</v>
      </c>
      <c r="W14" s="39">
        <f>資料儲存!G5650</f>
        <v>0</v>
      </c>
      <c r="X14" s="39">
        <f>資料儲存!H5650</f>
        <v>0</v>
      </c>
      <c r="Y14" s="39">
        <f>資料儲存!I5650</f>
        <v>0</v>
      </c>
      <c r="Z14" s="39">
        <f>資料儲存!J5650</f>
        <v>0</v>
      </c>
      <c r="AA14" s="58"/>
      <c r="AB14" s="62">
        <v>9</v>
      </c>
      <c r="AC14" s="39">
        <f>資料儲存!D5770</f>
        <v>0</v>
      </c>
      <c r="AD14" s="39">
        <f>資料儲存!E5770</f>
        <v>0</v>
      </c>
      <c r="AE14" s="39">
        <f>資料儲存!F5770</f>
        <v>0</v>
      </c>
      <c r="AF14" s="39">
        <f>資料儲存!G5770</f>
        <v>0</v>
      </c>
      <c r="AG14" s="39">
        <f>資料儲存!H5770</f>
        <v>0</v>
      </c>
      <c r="AH14" s="39">
        <f>資料儲存!I5770</f>
        <v>0</v>
      </c>
      <c r="AI14" s="39">
        <f>資料儲存!J5770</f>
        <v>0</v>
      </c>
      <c r="AJ14" s="58"/>
      <c r="AK14" s="62">
        <v>9</v>
      </c>
      <c r="AL14" s="39">
        <f>資料儲存!D5890</f>
        <v>0</v>
      </c>
      <c r="AM14" s="39">
        <f>資料儲存!E5890</f>
        <v>0</v>
      </c>
      <c r="AN14" s="39">
        <f>資料儲存!F5890</f>
        <v>0</v>
      </c>
      <c r="AO14" s="39">
        <f>資料儲存!G5890</f>
        <v>0</v>
      </c>
      <c r="AP14" s="39">
        <f>資料儲存!H5890</f>
        <v>0</v>
      </c>
      <c r="AQ14" s="39">
        <f>資料儲存!I5890</f>
        <v>0</v>
      </c>
      <c r="AR14" s="39">
        <f>資料儲存!J5890</f>
        <v>0</v>
      </c>
      <c r="AT14" s="62">
        <v>9</v>
      </c>
      <c r="AU14" s="39">
        <f>資料儲存!D6010</f>
        <v>0</v>
      </c>
      <c r="AV14" s="39">
        <f>資料儲存!E6010</f>
        <v>0</v>
      </c>
      <c r="AW14" s="39">
        <f>資料儲存!F6010</f>
        <v>0</v>
      </c>
      <c r="AX14" s="39">
        <f>資料儲存!G6010</f>
        <v>0</v>
      </c>
      <c r="AY14" s="39">
        <f>資料儲存!H6010</f>
        <v>0</v>
      </c>
      <c r="AZ14" s="39">
        <f>資料儲存!I6010</f>
        <v>0</v>
      </c>
      <c r="BA14" s="39">
        <f>資料儲存!J6010</f>
        <v>0</v>
      </c>
    </row>
    <row r="15" spans="1:53" s="59" customFormat="1" ht="16" thickBot="1">
      <c r="A15" s="62">
        <v>10</v>
      </c>
      <c r="B15" s="39">
        <f>資料儲存!D5411</f>
        <v>0</v>
      </c>
      <c r="C15" s="39">
        <f>資料儲存!E5411</f>
        <v>0</v>
      </c>
      <c r="D15" s="39">
        <f>資料儲存!F5411</f>
        <v>0</v>
      </c>
      <c r="E15" s="39">
        <f>資料儲存!G5411</f>
        <v>0</v>
      </c>
      <c r="F15" s="39">
        <f>資料儲存!H5411</f>
        <v>0</v>
      </c>
      <c r="G15" s="39">
        <f>資料儲存!I5411</f>
        <v>0</v>
      </c>
      <c r="H15" s="39">
        <f>資料儲存!J5411</f>
        <v>0</v>
      </c>
      <c r="I15" s="58"/>
      <c r="J15" s="62">
        <v>10</v>
      </c>
      <c r="K15" s="39">
        <f>資料儲存!D5531</f>
        <v>0</v>
      </c>
      <c r="L15" s="39">
        <f>資料儲存!E5531</f>
        <v>0</v>
      </c>
      <c r="M15" s="39">
        <f>資料儲存!F5531</f>
        <v>0</v>
      </c>
      <c r="N15" s="39">
        <f>資料儲存!G5531</f>
        <v>0</v>
      </c>
      <c r="O15" s="39">
        <f>資料儲存!H5531</f>
        <v>0</v>
      </c>
      <c r="P15" s="39">
        <f>資料儲存!I5531</f>
        <v>0</v>
      </c>
      <c r="Q15" s="39">
        <f>資料儲存!J5531</f>
        <v>0</v>
      </c>
      <c r="R15" s="58"/>
      <c r="S15" s="62">
        <v>10</v>
      </c>
      <c r="T15" s="39">
        <f>資料儲存!D5651</f>
        <v>0</v>
      </c>
      <c r="U15" s="39">
        <f>資料儲存!E5651</f>
        <v>0</v>
      </c>
      <c r="V15" s="39">
        <f>資料儲存!F5651</f>
        <v>0</v>
      </c>
      <c r="W15" s="39">
        <f>資料儲存!G5651</f>
        <v>0</v>
      </c>
      <c r="X15" s="39">
        <f>資料儲存!H5651</f>
        <v>0</v>
      </c>
      <c r="Y15" s="39">
        <f>資料儲存!I5651</f>
        <v>0</v>
      </c>
      <c r="Z15" s="39">
        <f>資料儲存!J5651</f>
        <v>0</v>
      </c>
      <c r="AA15" s="58"/>
      <c r="AB15" s="62">
        <v>10</v>
      </c>
      <c r="AC15" s="39">
        <f>資料儲存!D5771</f>
        <v>0</v>
      </c>
      <c r="AD15" s="39">
        <f>資料儲存!E5771</f>
        <v>0</v>
      </c>
      <c r="AE15" s="39">
        <f>資料儲存!F5771</f>
        <v>0</v>
      </c>
      <c r="AF15" s="39">
        <f>資料儲存!G5771</f>
        <v>0</v>
      </c>
      <c r="AG15" s="39">
        <f>資料儲存!H5771</f>
        <v>0</v>
      </c>
      <c r="AH15" s="39">
        <f>資料儲存!I5771</f>
        <v>0</v>
      </c>
      <c r="AI15" s="39">
        <f>資料儲存!J5771</f>
        <v>0</v>
      </c>
      <c r="AJ15" s="58"/>
      <c r="AK15" s="62">
        <v>10</v>
      </c>
      <c r="AL15" s="39">
        <f>資料儲存!D5891</f>
        <v>0</v>
      </c>
      <c r="AM15" s="39">
        <f>資料儲存!E5891</f>
        <v>0</v>
      </c>
      <c r="AN15" s="39">
        <f>資料儲存!F5891</f>
        <v>0</v>
      </c>
      <c r="AO15" s="39">
        <f>資料儲存!G5891</f>
        <v>0</v>
      </c>
      <c r="AP15" s="39">
        <f>資料儲存!H5891</f>
        <v>0</v>
      </c>
      <c r="AQ15" s="39">
        <f>資料儲存!I5891</f>
        <v>0</v>
      </c>
      <c r="AR15" s="39">
        <f>資料儲存!J5891</f>
        <v>0</v>
      </c>
      <c r="AT15" s="62">
        <v>10</v>
      </c>
      <c r="AU15" s="39">
        <f>資料儲存!D6011</f>
        <v>0</v>
      </c>
      <c r="AV15" s="39">
        <f>資料儲存!E6011</f>
        <v>0</v>
      </c>
      <c r="AW15" s="39">
        <f>資料儲存!F6011</f>
        <v>0</v>
      </c>
      <c r="AX15" s="39">
        <f>資料儲存!G6011</f>
        <v>0</v>
      </c>
      <c r="AY15" s="39">
        <f>資料儲存!H6011</f>
        <v>0</v>
      </c>
      <c r="AZ15" s="39">
        <f>資料儲存!I6011</f>
        <v>0</v>
      </c>
      <c r="BA15" s="39">
        <f>資料儲存!J6011</f>
        <v>0</v>
      </c>
    </row>
    <row r="16" spans="1:53" s="59" customFormat="1" ht="16" thickBot="1">
      <c r="A16" s="62">
        <v>11</v>
      </c>
      <c r="B16" s="39">
        <f>資料儲存!D5412</f>
        <v>0</v>
      </c>
      <c r="C16" s="39">
        <f>資料儲存!E5412</f>
        <v>0</v>
      </c>
      <c r="D16" s="39">
        <f>資料儲存!F5412</f>
        <v>0</v>
      </c>
      <c r="E16" s="39">
        <f>資料儲存!G5412</f>
        <v>0</v>
      </c>
      <c r="F16" s="39">
        <f>資料儲存!H5412</f>
        <v>0</v>
      </c>
      <c r="G16" s="39">
        <f>資料儲存!I5412</f>
        <v>0</v>
      </c>
      <c r="H16" s="39">
        <f>資料儲存!J5412</f>
        <v>0</v>
      </c>
      <c r="I16" s="58"/>
      <c r="J16" s="62">
        <v>11</v>
      </c>
      <c r="K16" s="39">
        <f>資料儲存!D5532</f>
        <v>0</v>
      </c>
      <c r="L16" s="39">
        <f>資料儲存!E5532</f>
        <v>0</v>
      </c>
      <c r="M16" s="39">
        <f>資料儲存!F5532</f>
        <v>0</v>
      </c>
      <c r="N16" s="39">
        <f>資料儲存!G5532</f>
        <v>0</v>
      </c>
      <c r="O16" s="39">
        <f>資料儲存!H5532</f>
        <v>0</v>
      </c>
      <c r="P16" s="39">
        <f>資料儲存!I5532</f>
        <v>0</v>
      </c>
      <c r="Q16" s="39">
        <f>資料儲存!J5532</f>
        <v>0</v>
      </c>
      <c r="R16" s="58"/>
      <c r="S16" s="62">
        <v>11</v>
      </c>
      <c r="T16" s="39">
        <f>資料儲存!D5652</f>
        <v>0</v>
      </c>
      <c r="U16" s="39">
        <f>資料儲存!E5652</f>
        <v>0</v>
      </c>
      <c r="V16" s="39">
        <f>資料儲存!F5652</f>
        <v>0</v>
      </c>
      <c r="W16" s="39">
        <f>資料儲存!G5652</f>
        <v>0</v>
      </c>
      <c r="X16" s="39">
        <f>資料儲存!H5652</f>
        <v>0</v>
      </c>
      <c r="Y16" s="39">
        <f>資料儲存!I5652</f>
        <v>0</v>
      </c>
      <c r="Z16" s="39">
        <f>資料儲存!J5652</f>
        <v>0</v>
      </c>
      <c r="AA16" s="58"/>
      <c r="AB16" s="62">
        <v>11</v>
      </c>
      <c r="AC16" s="39">
        <f>資料儲存!D5772</f>
        <v>0</v>
      </c>
      <c r="AD16" s="39">
        <f>資料儲存!E5772</f>
        <v>0</v>
      </c>
      <c r="AE16" s="39">
        <f>資料儲存!F5772</f>
        <v>0</v>
      </c>
      <c r="AF16" s="39">
        <f>資料儲存!G5772</f>
        <v>0</v>
      </c>
      <c r="AG16" s="39">
        <f>資料儲存!H5772</f>
        <v>0</v>
      </c>
      <c r="AH16" s="39">
        <f>資料儲存!I5772</f>
        <v>0</v>
      </c>
      <c r="AI16" s="39">
        <f>資料儲存!J5772</f>
        <v>0</v>
      </c>
      <c r="AJ16" s="58"/>
      <c r="AK16" s="62">
        <v>11</v>
      </c>
      <c r="AL16" s="39">
        <f>資料儲存!D5892</f>
        <v>0</v>
      </c>
      <c r="AM16" s="39">
        <f>資料儲存!E5892</f>
        <v>0</v>
      </c>
      <c r="AN16" s="39">
        <f>資料儲存!F5892</f>
        <v>0</v>
      </c>
      <c r="AO16" s="39">
        <f>資料儲存!G5892</f>
        <v>0</v>
      </c>
      <c r="AP16" s="39">
        <f>資料儲存!H5892</f>
        <v>0</v>
      </c>
      <c r="AQ16" s="39">
        <f>資料儲存!I5892</f>
        <v>0</v>
      </c>
      <c r="AR16" s="39">
        <f>資料儲存!J5892</f>
        <v>0</v>
      </c>
      <c r="AT16" s="62">
        <v>11</v>
      </c>
      <c r="AU16" s="39">
        <f>資料儲存!D6012</f>
        <v>0</v>
      </c>
      <c r="AV16" s="39">
        <f>資料儲存!E6012</f>
        <v>0</v>
      </c>
      <c r="AW16" s="39">
        <f>資料儲存!F6012</f>
        <v>0</v>
      </c>
      <c r="AX16" s="39">
        <f>資料儲存!G6012</f>
        <v>0</v>
      </c>
      <c r="AY16" s="39">
        <f>資料儲存!H6012</f>
        <v>0</v>
      </c>
      <c r="AZ16" s="39">
        <f>資料儲存!I6012</f>
        <v>0</v>
      </c>
      <c r="BA16" s="39">
        <f>資料儲存!J6012</f>
        <v>0</v>
      </c>
    </row>
    <row r="17" spans="1:53" s="59" customFormat="1" ht="16" thickBot="1">
      <c r="A17" s="62">
        <v>12</v>
      </c>
      <c r="B17" s="39">
        <f>資料儲存!D5413</f>
        <v>0</v>
      </c>
      <c r="C17" s="39">
        <f>資料儲存!E5413</f>
        <v>0</v>
      </c>
      <c r="D17" s="39">
        <f>資料儲存!F5413</f>
        <v>0</v>
      </c>
      <c r="E17" s="39">
        <f>資料儲存!G5413</f>
        <v>0</v>
      </c>
      <c r="F17" s="39">
        <f>資料儲存!H5413</f>
        <v>0</v>
      </c>
      <c r="G17" s="39">
        <f>資料儲存!I5413</f>
        <v>0</v>
      </c>
      <c r="H17" s="39">
        <f>資料儲存!J5413</f>
        <v>0</v>
      </c>
      <c r="I17" s="58"/>
      <c r="J17" s="62">
        <v>12</v>
      </c>
      <c r="K17" s="39">
        <f>資料儲存!D5533</f>
        <v>0</v>
      </c>
      <c r="L17" s="39">
        <f>資料儲存!E5533</f>
        <v>0</v>
      </c>
      <c r="M17" s="39">
        <f>資料儲存!F5533</f>
        <v>0</v>
      </c>
      <c r="N17" s="39">
        <f>資料儲存!G5533</f>
        <v>0</v>
      </c>
      <c r="O17" s="39">
        <f>資料儲存!H5533</f>
        <v>0</v>
      </c>
      <c r="P17" s="39">
        <f>資料儲存!I5533</f>
        <v>0</v>
      </c>
      <c r="Q17" s="39">
        <f>資料儲存!J5533</f>
        <v>0</v>
      </c>
      <c r="R17" s="58"/>
      <c r="S17" s="62">
        <v>12</v>
      </c>
      <c r="T17" s="39">
        <f>資料儲存!D5653</f>
        <v>0</v>
      </c>
      <c r="U17" s="39">
        <f>資料儲存!E5653</f>
        <v>0</v>
      </c>
      <c r="V17" s="39">
        <f>資料儲存!F5653</f>
        <v>0</v>
      </c>
      <c r="W17" s="39">
        <f>資料儲存!G5653</f>
        <v>0</v>
      </c>
      <c r="X17" s="39">
        <f>資料儲存!H5653</f>
        <v>0</v>
      </c>
      <c r="Y17" s="39">
        <f>資料儲存!I5653</f>
        <v>0</v>
      </c>
      <c r="Z17" s="39">
        <f>資料儲存!J5653</f>
        <v>0</v>
      </c>
      <c r="AA17" s="58"/>
      <c r="AB17" s="62">
        <v>12</v>
      </c>
      <c r="AC17" s="39">
        <f>資料儲存!D5773</f>
        <v>0</v>
      </c>
      <c r="AD17" s="39">
        <f>資料儲存!E5773</f>
        <v>0</v>
      </c>
      <c r="AE17" s="39">
        <f>資料儲存!F5773</f>
        <v>0</v>
      </c>
      <c r="AF17" s="39">
        <f>資料儲存!G5773</f>
        <v>0</v>
      </c>
      <c r="AG17" s="39">
        <f>資料儲存!H5773</f>
        <v>0</v>
      </c>
      <c r="AH17" s="39">
        <f>資料儲存!I5773</f>
        <v>0</v>
      </c>
      <c r="AI17" s="39">
        <f>資料儲存!J5773</f>
        <v>0</v>
      </c>
      <c r="AJ17" s="58"/>
      <c r="AK17" s="62">
        <v>12</v>
      </c>
      <c r="AL17" s="39">
        <f>資料儲存!D5893</f>
        <v>0</v>
      </c>
      <c r="AM17" s="39">
        <f>資料儲存!E5893</f>
        <v>0</v>
      </c>
      <c r="AN17" s="39">
        <f>資料儲存!F5893</f>
        <v>0</v>
      </c>
      <c r="AO17" s="39">
        <f>資料儲存!G5893</f>
        <v>0</v>
      </c>
      <c r="AP17" s="39">
        <f>資料儲存!H5893</f>
        <v>0</v>
      </c>
      <c r="AQ17" s="39">
        <f>資料儲存!I5893</f>
        <v>0</v>
      </c>
      <c r="AR17" s="39">
        <f>資料儲存!J5893</f>
        <v>0</v>
      </c>
      <c r="AT17" s="62">
        <v>12</v>
      </c>
      <c r="AU17" s="39">
        <f>資料儲存!D6013</f>
        <v>0</v>
      </c>
      <c r="AV17" s="39">
        <f>資料儲存!E6013</f>
        <v>0</v>
      </c>
      <c r="AW17" s="39">
        <f>資料儲存!F6013</f>
        <v>0</v>
      </c>
      <c r="AX17" s="39">
        <f>資料儲存!G6013</f>
        <v>0</v>
      </c>
      <c r="AY17" s="39">
        <f>資料儲存!H6013</f>
        <v>0</v>
      </c>
      <c r="AZ17" s="39">
        <f>資料儲存!I6013</f>
        <v>0</v>
      </c>
      <c r="BA17" s="39">
        <f>資料儲存!J6013</f>
        <v>0</v>
      </c>
    </row>
    <row r="18" spans="1:53" s="59" customFormat="1" ht="16" thickBot="1">
      <c r="A18" s="62">
        <v>13</v>
      </c>
      <c r="B18" s="39">
        <f>資料儲存!D5414</f>
        <v>0</v>
      </c>
      <c r="C18" s="39">
        <f>資料儲存!E5414</f>
        <v>0</v>
      </c>
      <c r="D18" s="39">
        <f>資料儲存!F5414</f>
        <v>0</v>
      </c>
      <c r="E18" s="39">
        <f>資料儲存!G5414</f>
        <v>0</v>
      </c>
      <c r="F18" s="39">
        <f>資料儲存!H5414</f>
        <v>0</v>
      </c>
      <c r="G18" s="39">
        <f>資料儲存!I5414</f>
        <v>0</v>
      </c>
      <c r="H18" s="39">
        <f>資料儲存!J5414</f>
        <v>0</v>
      </c>
      <c r="I18" s="58"/>
      <c r="J18" s="62">
        <v>13</v>
      </c>
      <c r="K18" s="39">
        <f>資料儲存!D5534</f>
        <v>0</v>
      </c>
      <c r="L18" s="39">
        <f>資料儲存!E5534</f>
        <v>0</v>
      </c>
      <c r="M18" s="39">
        <f>資料儲存!F5534</f>
        <v>0</v>
      </c>
      <c r="N18" s="39">
        <f>資料儲存!G5534</f>
        <v>0</v>
      </c>
      <c r="O18" s="39">
        <f>資料儲存!H5534</f>
        <v>0</v>
      </c>
      <c r="P18" s="39">
        <f>資料儲存!I5534</f>
        <v>0</v>
      </c>
      <c r="Q18" s="39">
        <f>資料儲存!J5534</f>
        <v>0</v>
      </c>
      <c r="R18" s="58"/>
      <c r="S18" s="62">
        <v>13</v>
      </c>
      <c r="T18" s="39">
        <f>資料儲存!D5654</f>
        <v>0</v>
      </c>
      <c r="U18" s="39">
        <f>資料儲存!E5654</f>
        <v>0</v>
      </c>
      <c r="V18" s="39">
        <f>資料儲存!F5654</f>
        <v>0</v>
      </c>
      <c r="W18" s="39">
        <f>資料儲存!G5654</f>
        <v>0</v>
      </c>
      <c r="X18" s="39">
        <f>資料儲存!H5654</f>
        <v>0</v>
      </c>
      <c r="Y18" s="39">
        <f>資料儲存!I5654</f>
        <v>0</v>
      </c>
      <c r="Z18" s="39">
        <f>資料儲存!J5654</f>
        <v>0</v>
      </c>
      <c r="AA18" s="58"/>
      <c r="AB18" s="62">
        <v>13</v>
      </c>
      <c r="AC18" s="39">
        <f>資料儲存!D5774</f>
        <v>0</v>
      </c>
      <c r="AD18" s="39">
        <f>資料儲存!E5774</f>
        <v>0</v>
      </c>
      <c r="AE18" s="39">
        <f>資料儲存!F5774</f>
        <v>0</v>
      </c>
      <c r="AF18" s="39">
        <f>資料儲存!G5774</f>
        <v>0</v>
      </c>
      <c r="AG18" s="39">
        <f>資料儲存!H5774</f>
        <v>0</v>
      </c>
      <c r="AH18" s="39">
        <f>資料儲存!I5774</f>
        <v>0</v>
      </c>
      <c r="AI18" s="39">
        <f>資料儲存!J5774</f>
        <v>0</v>
      </c>
      <c r="AJ18" s="58"/>
      <c r="AK18" s="62">
        <v>13</v>
      </c>
      <c r="AL18" s="39">
        <f>資料儲存!D5894</f>
        <v>0</v>
      </c>
      <c r="AM18" s="39">
        <f>資料儲存!E5894</f>
        <v>0</v>
      </c>
      <c r="AN18" s="39">
        <f>資料儲存!F5894</f>
        <v>0</v>
      </c>
      <c r="AO18" s="39">
        <f>資料儲存!G5894</f>
        <v>0</v>
      </c>
      <c r="AP18" s="39">
        <f>資料儲存!H5894</f>
        <v>0</v>
      </c>
      <c r="AQ18" s="39">
        <f>資料儲存!I5894</f>
        <v>0</v>
      </c>
      <c r="AR18" s="39">
        <f>資料儲存!J5894</f>
        <v>0</v>
      </c>
      <c r="AT18" s="62">
        <v>13</v>
      </c>
      <c r="AU18" s="39">
        <f>資料儲存!D6014</f>
        <v>0</v>
      </c>
      <c r="AV18" s="39">
        <f>資料儲存!E6014</f>
        <v>0</v>
      </c>
      <c r="AW18" s="39">
        <f>資料儲存!F6014</f>
        <v>0</v>
      </c>
      <c r="AX18" s="39">
        <f>資料儲存!G6014</f>
        <v>0</v>
      </c>
      <c r="AY18" s="39">
        <f>資料儲存!H6014</f>
        <v>0</v>
      </c>
      <c r="AZ18" s="39">
        <f>資料儲存!I6014</f>
        <v>0</v>
      </c>
      <c r="BA18" s="39">
        <f>資料儲存!J6014</f>
        <v>0</v>
      </c>
    </row>
    <row r="19" spans="1:53" s="59" customFormat="1" ht="16" thickBot="1">
      <c r="A19" s="62">
        <v>14</v>
      </c>
      <c r="B19" s="39">
        <f>資料儲存!D5415</f>
        <v>0</v>
      </c>
      <c r="C19" s="39">
        <f>資料儲存!E5415</f>
        <v>0</v>
      </c>
      <c r="D19" s="39">
        <f>資料儲存!F5415</f>
        <v>0</v>
      </c>
      <c r="E19" s="39">
        <f>資料儲存!G5415</f>
        <v>0</v>
      </c>
      <c r="F19" s="39">
        <f>資料儲存!H5415</f>
        <v>0</v>
      </c>
      <c r="G19" s="39">
        <f>資料儲存!I5415</f>
        <v>0</v>
      </c>
      <c r="H19" s="39">
        <f>資料儲存!J5415</f>
        <v>0</v>
      </c>
      <c r="I19" s="58"/>
      <c r="J19" s="62">
        <v>14</v>
      </c>
      <c r="K19" s="39">
        <f>資料儲存!D5535</f>
        <v>0</v>
      </c>
      <c r="L19" s="39">
        <f>資料儲存!E5535</f>
        <v>0</v>
      </c>
      <c r="M19" s="39">
        <f>資料儲存!F5535</f>
        <v>0</v>
      </c>
      <c r="N19" s="39">
        <f>資料儲存!G5535</f>
        <v>0</v>
      </c>
      <c r="O19" s="39">
        <f>資料儲存!H5535</f>
        <v>0</v>
      </c>
      <c r="P19" s="39">
        <f>資料儲存!I5535</f>
        <v>0</v>
      </c>
      <c r="Q19" s="39">
        <f>資料儲存!J5535</f>
        <v>0</v>
      </c>
      <c r="R19" s="58"/>
      <c r="S19" s="62">
        <v>14</v>
      </c>
      <c r="T19" s="39">
        <f>資料儲存!D5655</f>
        <v>0</v>
      </c>
      <c r="U19" s="39">
        <f>資料儲存!E5655</f>
        <v>0</v>
      </c>
      <c r="V19" s="39">
        <f>資料儲存!F5655</f>
        <v>0</v>
      </c>
      <c r="W19" s="39">
        <f>資料儲存!G5655</f>
        <v>0</v>
      </c>
      <c r="X19" s="39">
        <f>資料儲存!H5655</f>
        <v>0</v>
      </c>
      <c r="Y19" s="39">
        <f>資料儲存!I5655</f>
        <v>0</v>
      </c>
      <c r="Z19" s="39">
        <f>資料儲存!J5655</f>
        <v>0</v>
      </c>
      <c r="AA19" s="58"/>
      <c r="AB19" s="62">
        <v>14</v>
      </c>
      <c r="AC19" s="39">
        <f>資料儲存!D5775</f>
        <v>0</v>
      </c>
      <c r="AD19" s="39">
        <f>資料儲存!E5775</f>
        <v>0</v>
      </c>
      <c r="AE19" s="39">
        <f>資料儲存!F5775</f>
        <v>0</v>
      </c>
      <c r="AF19" s="39">
        <f>資料儲存!G5775</f>
        <v>0</v>
      </c>
      <c r="AG19" s="39">
        <f>資料儲存!H5775</f>
        <v>0</v>
      </c>
      <c r="AH19" s="39">
        <f>資料儲存!I5775</f>
        <v>0</v>
      </c>
      <c r="AI19" s="39">
        <f>資料儲存!J5775</f>
        <v>0</v>
      </c>
      <c r="AJ19" s="58"/>
      <c r="AK19" s="62">
        <v>14</v>
      </c>
      <c r="AL19" s="39">
        <f>資料儲存!D5895</f>
        <v>0</v>
      </c>
      <c r="AM19" s="39">
        <f>資料儲存!E5895</f>
        <v>0</v>
      </c>
      <c r="AN19" s="39">
        <f>資料儲存!F5895</f>
        <v>0</v>
      </c>
      <c r="AO19" s="39">
        <f>資料儲存!G5895</f>
        <v>0</v>
      </c>
      <c r="AP19" s="39">
        <f>資料儲存!H5895</f>
        <v>0</v>
      </c>
      <c r="AQ19" s="39">
        <f>資料儲存!I5895</f>
        <v>0</v>
      </c>
      <c r="AR19" s="39">
        <f>資料儲存!J5895</f>
        <v>0</v>
      </c>
      <c r="AT19" s="62">
        <v>14</v>
      </c>
      <c r="AU19" s="39">
        <f>資料儲存!D6015</f>
        <v>0</v>
      </c>
      <c r="AV19" s="39">
        <f>資料儲存!E6015</f>
        <v>0</v>
      </c>
      <c r="AW19" s="39">
        <f>資料儲存!F6015</f>
        <v>0</v>
      </c>
      <c r="AX19" s="39">
        <f>資料儲存!G6015</f>
        <v>0</v>
      </c>
      <c r="AY19" s="39">
        <f>資料儲存!H6015</f>
        <v>0</v>
      </c>
      <c r="AZ19" s="39">
        <f>資料儲存!I6015</f>
        <v>0</v>
      </c>
      <c r="BA19" s="39">
        <f>資料儲存!J6015</f>
        <v>0</v>
      </c>
    </row>
    <row r="20" spans="1:53" s="59" customFormat="1" ht="16" thickBot="1">
      <c r="A20" s="62">
        <v>15</v>
      </c>
      <c r="B20" s="39">
        <f>資料儲存!D5416</f>
        <v>0</v>
      </c>
      <c r="C20" s="39">
        <f>資料儲存!E5416</f>
        <v>0</v>
      </c>
      <c r="D20" s="39">
        <f>資料儲存!F5416</f>
        <v>0</v>
      </c>
      <c r="E20" s="39">
        <f>資料儲存!G5416</f>
        <v>0</v>
      </c>
      <c r="F20" s="39">
        <f>資料儲存!H5416</f>
        <v>0</v>
      </c>
      <c r="G20" s="39">
        <f>資料儲存!I5416</f>
        <v>0</v>
      </c>
      <c r="H20" s="39">
        <f>資料儲存!J5416</f>
        <v>0</v>
      </c>
      <c r="I20" s="58"/>
      <c r="J20" s="62">
        <v>15</v>
      </c>
      <c r="K20" s="39">
        <f>資料儲存!D5536</f>
        <v>0</v>
      </c>
      <c r="L20" s="39">
        <f>資料儲存!E5536</f>
        <v>0</v>
      </c>
      <c r="M20" s="39">
        <f>資料儲存!F5536</f>
        <v>0</v>
      </c>
      <c r="N20" s="39">
        <f>資料儲存!G5536</f>
        <v>0</v>
      </c>
      <c r="O20" s="39">
        <f>資料儲存!H5536</f>
        <v>0</v>
      </c>
      <c r="P20" s="39">
        <f>資料儲存!I5536</f>
        <v>0</v>
      </c>
      <c r="Q20" s="39">
        <f>資料儲存!J5536</f>
        <v>0</v>
      </c>
      <c r="R20" s="58"/>
      <c r="S20" s="62">
        <v>15</v>
      </c>
      <c r="T20" s="39">
        <f>資料儲存!D5656</f>
        <v>0</v>
      </c>
      <c r="U20" s="39">
        <f>資料儲存!E5656</f>
        <v>0</v>
      </c>
      <c r="V20" s="39">
        <f>資料儲存!F5656</f>
        <v>0</v>
      </c>
      <c r="W20" s="39">
        <f>資料儲存!G5656</f>
        <v>0</v>
      </c>
      <c r="X20" s="39">
        <f>資料儲存!H5656</f>
        <v>0</v>
      </c>
      <c r="Y20" s="39">
        <f>資料儲存!I5656</f>
        <v>0</v>
      </c>
      <c r="Z20" s="39">
        <f>資料儲存!J5656</f>
        <v>0</v>
      </c>
      <c r="AA20" s="58"/>
      <c r="AB20" s="62">
        <v>15</v>
      </c>
      <c r="AC20" s="39">
        <f>資料儲存!D5776</f>
        <v>0</v>
      </c>
      <c r="AD20" s="39">
        <f>資料儲存!E5776</f>
        <v>0</v>
      </c>
      <c r="AE20" s="39">
        <f>資料儲存!F5776</f>
        <v>0</v>
      </c>
      <c r="AF20" s="39">
        <f>資料儲存!G5776</f>
        <v>0</v>
      </c>
      <c r="AG20" s="39">
        <f>資料儲存!H5776</f>
        <v>0</v>
      </c>
      <c r="AH20" s="39">
        <f>資料儲存!I5776</f>
        <v>0</v>
      </c>
      <c r="AI20" s="39">
        <f>資料儲存!J5776</f>
        <v>0</v>
      </c>
      <c r="AJ20" s="58"/>
      <c r="AK20" s="62">
        <v>15</v>
      </c>
      <c r="AL20" s="39">
        <f>資料儲存!D5896</f>
        <v>0</v>
      </c>
      <c r="AM20" s="39">
        <f>資料儲存!E5896</f>
        <v>0</v>
      </c>
      <c r="AN20" s="39">
        <f>資料儲存!F5896</f>
        <v>0</v>
      </c>
      <c r="AO20" s="39">
        <f>資料儲存!G5896</f>
        <v>0</v>
      </c>
      <c r="AP20" s="39">
        <f>資料儲存!H5896</f>
        <v>0</v>
      </c>
      <c r="AQ20" s="39">
        <f>資料儲存!I5896</f>
        <v>0</v>
      </c>
      <c r="AR20" s="39">
        <f>資料儲存!J5896</f>
        <v>0</v>
      </c>
      <c r="AT20" s="62">
        <v>15</v>
      </c>
      <c r="AU20" s="39">
        <f>資料儲存!D6016</f>
        <v>0</v>
      </c>
      <c r="AV20" s="39">
        <f>資料儲存!E6016</f>
        <v>0</v>
      </c>
      <c r="AW20" s="39">
        <f>資料儲存!F6016</f>
        <v>0</v>
      </c>
      <c r="AX20" s="39">
        <f>資料儲存!G6016</f>
        <v>0</v>
      </c>
      <c r="AY20" s="39">
        <f>資料儲存!H6016</f>
        <v>0</v>
      </c>
      <c r="AZ20" s="39">
        <f>資料儲存!I6016</f>
        <v>0</v>
      </c>
      <c r="BA20" s="39">
        <f>資料儲存!J6016</f>
        <v>0</v>
      </c>
    </row>
    <row r="21" spans="1:53" s="59" customFormat="1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35"/>
      <c r="AK21" s="40" t="s">
        <v>56</v>
      </c>
      <c r="AL21" s="39">
        <f>SUM(AL6:AO20)</f>
        <v>0</v>
      </c>
      <c r="AM21" s="37"/>
      <c r="AN21" s="37"/>
      <c r="AO21" s="37"/>
      <c r="AP21" s="39">
        <f>AP20</f>
        <v>0</v>
      </c>
      <c r="AQ21" s="39">
        <f>AQ20</f>
        <v>0</v>
      </c>
      <c r="AR21" s="39">
        <f>AR20</f>
        <v>0</v>
      </c>
      <c r="AT21" s="40" t="s">
        <v>56</v>
      </c>
      <c r="AU21" s="39">
        <f>SUM(AU6:AX20)</f>
        <v>0</v>
      </c>
      <c r="AV21" s="37"/>
      <c r="AW21" s="37"/>
      <c r="AX21" s="37"/>
      <c r="AY21" s="39">
        <f>AY20</f>
        <v>0</v>
      </c>
      <c r="AZ21" s="39">
        <f>AZ20</f>
        <v>0</v>
      </c>
      <c r="BA21" s="39">
        <f>BA20</f>
        <v>0</v>
      </c>
    </row>
    <row r="22" spans="1:53" ht="18.5" thickBot="1">
      <c r="A22" s="257" t="s">
        <v>74</v>
      </c>
      <c r="B22" s="258"/>
      <c r="C22" s="258"/>
      <c r="D22" s="258"/>
      <c r="E22" s="258"/>
      <c r="F22" s="258"/>
      <c r="G22" s="258"/>
      <c r="H22" s="259"/>
      <c r="I22" s="14"/>
      <c r="J22" s="257" t="s">
        <v>74</v>
      </c>
      <c r="K22" s="258"/>
      <c r="L22" s="258"/>
      <c r="M22" s="258"/>
      <c r="N22" s="258"/>
      <c r="O22" s="258"/>
      <c r="P22" s="258"/>
      <c r="Q22" s="259"/>
      <c r="R22" s="14"/>
      <c r="S22" s="257" t="s">
        <v>74</v>
      </c>
      <c r="T22" s="258"/>
      <c r="U22" s="258"/>
      <c r="V22" s="258"/>
      <c r="W22" s="258"/>
      <c r="X22" s="258"/>
      <c r="Y22" s="258"/>
      <c r="Z22" s="259"/>
      <c r="AA22" s="14"/>
      <c r="AB22" s="257" t="s">
        <v>74</v>
      </c>
      <c r="AC22" s="258"/>
      <c r="AD22" s="258"/>
      <c r="AE22" s="258"/>
      <c r="AF22" s="258"/>
      <c r="AG22" s="258"/>
      <c r="AH22" s="258"/>
      <c r="AI22" s="259"/>
      <c r="AJ22" s="14"/>
      <c r="AK22" s="257" t="s">
        <v>74</v>
      </c>
      <c r="AL22" s="258"/>
      <c r="AM22" s="258"/>
      <c r="AN22" s="258"/>
      <c r="AO22" s="258"/>
      <c r="AP22" s="258"/>
      <c r="AQ22" s="258"/>
      <c r="AR22" s="259"/>
      <c r="AT22" s="257" t="s">
        <v>74</v>
      </c>
      <c r="AU22" s="258"/>
      <c r="AV22" s="258"/>
      <c r="AW22" s="258"/>
      <c r="AX22" s="258"/>
      <c r="AY22" s="258"/>
      <c r="AZ22" s="258"/>
      <c r="BA22" s="259"/>
    </row>
    <row r="23" spans="1:53" s="67" customFormat="1" ht="17.25" customHeight="1" thickBot="1">
      <c r="A23" s="63" t="s">
        <v>2</v>
      </c>
      <c r="B23" s="64" t="s">
        <v>46</v>
      </c>
      <c r="C23" s="65"/>
      <c r="D23" s="65"/>
      <c r="E23" s="66"/>
      <c r="F23" s="64" t="s">
        <v>47</v>
      </c>
      <c r="G23" s="65"/>
      <c r="H23" s="66"/>
      <c r="I23" s="52"/>
      <c r="J23" s="63" t="s">
        <v>2</v>
      </c>
      <c r="K23" s="64" t="s">
        <v>46</v>
      </c>
      <c r="L23" s="65"/>
      <c r="M23" s="65"/>
      <c r="N23" s="66"/>
      <c r="O23" s="64" t="s">
        <v>47</v>
      </c>
      <c r="P23" s="65"/>
      <c r="Q23" s="66"/>
      <c r="R23" s="52"/>
      <c r="S23" s="63" t="s">
        <v>2</v>
      </c>
      <c r="T23" s="64" t="s">
        <v>46</v>
      </c>
      <c r="U23" s="65"/>
      <c r="V23" s="65"/>
      <c r="W23" s="66"/>
      <c r="X23" s="64" t="s">
        <v>47</v>
      </c>
      <c r="Y23" s="65"/>
      <c r="Z23" s="66"/>
      <c r="AA23" s="52"/>
      <c r="AB23" s="63" t="s">
        <v>2</v>
      </c>
      <c r="AC23" s="64" t="s">
        <v>46</v>
      </c>
      <c r="AD23" s="65"/>
      <c r="AE23" s="65"/>
      <c r="AF23" s="66"/>
      <c r="AG23" s="64" t="s">
        <v>47</v>
      </c>
      <c r="AH23" s="65"/>
      <c r="AI23" s="66"/>
      <c r="AJ23" s="52"/>
      <c r="AK23" s="63" t="s">
        <v>2</v>
      </c>
      <c r="AL23" s="64" t="s">
        <v>46</v>
      </c>
      <c r="AM23" s="65"/>
      <c r="AN23" s="65"/>
      <c r="AO23" s="66"/>
      <c r="AP23" s="64" t="s">
        <v>47</v>
      </c>
      <c r="AQ23" s="65"/>
      <c r="AR23" s="66"/>
      <c r="AT23" s="63" t="s">
        <v>2</v>
      </c>
      <c r="AU23" s="64" t="s">
        <v>46</v>
      </c>
      <c r="AV23" s="65"/>
      <c r="AW23" s="65"/>
      <c r="AX23" s="66"/>
      <c r="AY23" s="64" t="s">
        <v>47</v>
      </c>
      <c r="AZ23" s="65"/>
      <c r="BA23" s="66"/>
    </row>
    <row r="24" spans="1:53" s="67" customFormat="1" ht="16" thickBot="1">
      <c r="A24" s="68" t="s">
        <v>75</v>
      </c>
      <c r="B24" s="69" t="s">
        <v>49</v>
      </c>
      <c r="C24" s="69" t="s">
        <v>50</v>
      </c>
      <c r="D24" s="69" t="s">
        <v>51</v>
      </c>
      <c r="E24" s="69" t="s">
        <v>52</v>
      </c>
      <c r="F24" s="69" t="s">
        <v>53</v>
      </c>
      <c r="G24" s="69" t="s">
        <v>54</v>
      </c>
      <c r="H24" s="69" t="s">
        <v>55</v>
      </c>
      <c r="I24" s="52"/>
      <c r="J24" s="68" t="s">
        <v>75</v>
      </c>
      <c r="K24" s="69" t="s">
        <v>49</v>
      </c>
      <c r="L24" s="69" t="s">
        <v>50</v>
      </c>
      <c r="M24" s="69" t="s">
        <v>51</v>
      </c>
      <c r="N24" s="69" t="s">
        <v>52</v>
      </c>
      <c r="O24" s="69" t="s">
        <v>53</v>
      </c>
      <c r="P24" s="69" t="s">
        <v>54</v>
      </c>
      <c r="Q24" s="69" t="s">
        <v>55</v>
      </c>
      <c r="R24" s="52"/>
      <c r="S24" s="68" t="s">
        <v>75</v>
      </c>
      <c r="T24" s="69" t="s">
        <v>49</v>
      </c>
      <c r="U24" s="69" t="s">
        <v>50</v>
      </c>
      <c r="V24" s="69" t="s">
        <v>51</v>
      </c>
      <c r="W24" s="69" t="s">
        <v>52</v>
      </c>
      <c r="X24" s="69" t="s">
        <v>53</v>
      </c>
      <c r="Y24" s="69" t="s">
        <v>54</v>
      </c>
      <c r="Z24" s="69" t="s">
        <v>55</v>
      </c>
      <c r="AA24" s="52"/>
      <c r="AB24" s="68" t="s">
        <v>75</v>
      </c>
      <c r="AC24" s="69" t="s">
        <v>49</v>
      </c>
      <c r="AD24" s="69" t="s">
        <v>50</v>
      </c>
      <c r="AE24" s="69" t="s">
        <v>51</v>
      </c>
      <c r="AF24" s="69" t="s">
        <v>52</v>
      </c>
      <c r="AG24" s="69" t="s">
        <v>53</v>
      </c>
      <c r="AH24" s="69" t="s">
        <v>54</v>
      </c>
      <c r="AI24" s="69" t="s">
        <v>55</v>
      </c>
      <c r="AJ24" s="52"/>
      <c r="AK24" s="68" t="s">
        <v>75</v>
      </c>
      <c r="AL24" s="69" t="s">
        <v>49</v>
      </c>
      <c r="AM24" s="69" t="s">
        <v>50</v>
      </c>
      <c r="AN24" s="69" t="s">
        <v>51</v>
      </c>
      <c r="AO24" s="69" t="s">
        <v>52</v>
      </c>
      <c r="AP24" s="69" t="s">
        <v>53</v>
      </c>
      <c r="AQ24" s="69" t="s">
        <v>54</v>
      </c>
      <c r="AR24" s="69" t="s">
        <v>55</v>
      </c>
      <c r="AT24" s="68" t="s">
        <v>75</v>
      </c>
      <c r="AU24" s="69" t="s">
        <v>49</v>
      </c>
      <c r="AV24" s="69" t="s">
        <v>50</v>
      </c>
      <c r="AW24" s="69" t="s">
        <v>51</v>
      </c>
      <c r="AX24" s="69" t="s">
        <v>52</v>
      </c>
      <c r="AY24" s="69" t="s">
        <v>53</v>
      </c>
      <c r="AZ24" s="69" t="s">
        <v>54</v>
      </c>
      <c r="BA24" s="69" t="s">
        <v>55</v>
      </c>
    </row>
    <row r="25" spans="1:53" s="67" customFormat="1" ht="16" thickBot="1">
      <c r="A25" s="70">
        <v>16</v>
      </c>
      <c r="B25" s="49">
        <f>資料儲存!D5417</f>
        <v>0</v>
      </c>
      <c r="C25" s="49">
        <f>資料儲存!E5417</f>
        <v>0</v>
      </c>
      <c r="D25" s="49">
        <f>資料儲存!F5417</f>
        <v>0</v>
      </c>
      <c r="E25" s="49">
        <f>資料儲存!G5417</f>
        <v>0</v>
      </c>
      <c r="F25" s="49">
        <f>資料儲存!H5417</f>
        <v>0</v>
      </c>
      <c r="G25" s="49">
        <f>資料儲存!I5417</f>
        <v>0</v>
      </c>
      <c r="H25" s="49">
        <f>資料儲存!J5417</f>
        <v>0</v>
      </c>
      <c r="I25" s="52"/>
      <c r="J25" s="70">
        <v>16</v>
      </c>
      <c r="K25" s="49">
        <f>資料儲存!D5537</f>
        <v>0</v>
      </c>
      <c r="L25" s="49">
        <f>資料儲存!E5537</f>
        <v>0</v>
      </c>
      <c r="M25" s="49">
        <f>資料儲存!F5537</f>
        <v>0</v>
      </c>
      <c r="N25" s="49">
        <f>資料儲存!G5537</f>
        <v>0</v>
      </c>
      <c r="O25" s="49">
        <f>資料儲存!H5537</f>
        <v>0</v>
      </c>
      <c r="P25" s="49">
        <f>資料儲存!I5537</f>
        <v>0</v>
      </c>
      <c r="Q25" s="49">
        <f>資料儲存!J5537</f>
        <v>0</v>
      </c>
      <c r="R25" s="52"/>
      <c r="S25" s="70">
        <v>16</v>
      </c>
      <c r="T25" s="49">
        <f>資料儲存!D5657</f>
        <v>0</v>
      </c>
      <c r="U25" s="49">
        <f>資料儲存!E5657</f>
        <v>0</v>
      </c>
      <c r="V25" s="49">
        <f>資料儲存!F5657</f>
        <v>0</v>
      </c>
      <c r="W25" s="49">
        <f>資料儲存!G5657</f>
        <v>0</v>
      </c>
      <c r="X25" s="49">
        <f>資料儲存!H5657</f>
        <v>0</v>
      </c>
      <c r="Y25" s="49">
        <f>資料儲存!I5657</f>
        <v>0</v>
      </c>
      <c r="Z25" s="49">
        <f>資料儲存!J5657</f>
        <v>0</v>
      </c>
      <c r="AA25" s="52"/>
      <c r="AB25" s="70">
        <v>16</v>
      </c>
      <c r="AC25" s="49">
        <f>資料儲存!D5777</f>
        <v>0</v>
      </c>
      <c r="AD25" s="49">
        <f>資料儲存!E5777</f>
        <v>0</v>
      </c>
      <c r="AE25" s="49">
        <f>資料儲存!F5777</f>
        <v>0</v>
      </c>
      <c r="AF25" s="49">
        <f>資料儲存!G5777</f>
        <v>0</v>
      </c>
      <c r="AG25" s="49">
        <f>資料儲存!H5777</f>
        <v>0</v>
      </c>
      <c r="AH25" s="49">
        <f>資料儲存!I5777</f>
        <v>0</v>
      </c>
      <c r="AI25" s="49">
        <f>資料儲存!J5777</f>
        <v>0</v>
      </c>
      <c r="AJ25" s="52"/>
      <c r="AK25" s="70">
        <v>16</v>
      </c>
      <c r="AL25" s="49">
        <f>資料儲存!D5897</f>
        <v>0</v>
      </c>
      <c r="AM25" s="49">
        <f>資料儲存!E5897</f>
        <v>0</v>
      </c>
      <c r="AN25" s="49">
        <f>資料儲存!F5897</f>
        <v>0</v>
      </c>
      <c r="AO25" s="49">
        <f>資料儲存!G5897</f>
        <v>0</v>
      </c>
      <c r="AP25" s="49">
        <f>資料儲存!H5897</f>
        <v>0</v>
      </c>
      <c r="AQ25" s="49">
        <f>資料儲存!I5897</f>
        <v>0</v>
      </c>
      <c r="AR25" s="49">
        <f>資料儲存!J5897</f>
        <v>0</v>
      </c>
      <c r="AT25" s="70">
        <v>16</v>
      </c>
      <c r="AU25" s="49">
        <f>資料儲存!D6017</f>
        <v>0</v>
      </c>
      <c r="AV25" s="49">
        <f>資料儲存!E6017</f>
        <v>0</v>
      </c>
      <c r="AW25" s="49">
        <f>資料儲存!F6017</f>
        <v>0</v>
      </c>
      <c r="AX25" s="49">
        <f>資料儲存!G6017</f>
        <v>0</v>
      </c>
      <c r="AY25" s="49">
        <f>資料儲存!H6017</f>
        <v>0</v>
      </c>
      <c r="AZ25" s="49">
        <f>資料儲存!I6017</f>
        <v>0</v>
      </c>
      <c r="BA25" s="49">
        <f>資料儲存!J6017</f>
        <v>0</v>
      </c>
    </row>
    <row r="26" spans="1:53" s="67" customFormat="1" ht="16" thickBot="1">
      <c r="A26" s="70">
        <v>17</v>
      </c>
      <c r="B26" s="49">
        <f>資料儲存!D5418</f>
        <v>0</v>
      </c>
      <c r="C26" s="49">
        <f>資料儲存!E5418</f>
        <v>0</v>
      </c>
      <c r="D26" s="49">
        <f>資料儲存!F5418</f>
        <v>0</v>
      </c>
      <c r="E26" s="49">
        <f>資料儲存!G5418</f>
        <v>0</v>
      </c>
      <c r="F26" s="49">
        <f>資料儲存!H5418</f>
        <v>0</v>
      </c>
      <c r="G26" s="49">
        <f>資料儲存!I5418</f>
        <v>0</v>
      </c>
      <c r="H26" s="49">
        <f>資料儲存!J5418</f>
        <v>0</v>
      </c>
      <c r="I26" s="52"/>
      <c r="J26" s="70">
        <v>17</v>
      </c>
      <c r="K26" s="49">
        <f>資料儲存!D5538</f>
        <v>0</v>
      </c>
      <c r="L26" s="49">
        <f>資料儲存!E5538</f>
        <v>0</v>
      </c>
      <c r="M26" s="49">
        <f>資料儲存!F5538</f>
        <v>0</v>
      </c>
      <c r="N26" s="49">
        <f>資料儲存!G5538</f>
        <v>0</v>
      </c>
      <c r="O26" s="49">
        <f>資料儲存!H5538</f>
        <v>0</v>
      </c>
      <c r="P26" s="49">
        <f>資料儲存!I5538</f>
        <v>0</v>
      </c>
      <c r="Q26" s="49">
        <f>資料儲存!J5538</f>
        <v>0</v>
      </c>
      <c r="R26" s="52"/>
      <c r="S26" s="70">
        <v>17</v>
      </c>
      <c r="T26" s="49">
        <f>資料儲存!D5658</f>
        <v>0</v>
      </c>
      <c r="U26" s="49">
        <f>資料儲存!E5658</f>
        <v>0</v>
      </c>
      <c r="V26" s="49">
        <f>資料儲存!F5658</f>
        <v>0</v>
      </c>
      <c r="W26" s="49">
        <f>資料儲存!G5658</f>
        <v>0</v>
      </c>
      <c r="X26" s="49">
        <f>資料儲存!H5658</f>
        <v>0</v>
      </c>
      <c r="Y26" s="49">
        <f>資料儲存!I5658</f>
        <v>0</v>
      </c>
      <c r="Z26" s="49">
        <f>資料儲存!J5658</f>
        <v>0</v>
      </c>
      <c r="AA26" s="52"/>
      <c r="AB26" s="70">
        <v>17</v>
      </c>
      <c r="AC26" s="49">
        <f>資料儲存!D5778</f>
        <v>0</v>
      </c>
      <c r="AD26" s="49">
        <f>資料儲存!E5778</f>
        <v>0</v>
      </c>
      <c r="AE26" s="49">
        <f>資料儲存!F5778</f>
        <v>0</v>
      </c>
      <c r="AF26" s="49">
        <f>資料儲存!G5778</f>
        <v>0</v>
      </c>
      <c r="AG26" s="49">
        <f>資料儲存!H5778</f>
        <v>0</v>
      </c>
      <c r="AH26" s="49">
        <f>資料儲存!I5778</f>
        <v>0</v>
      </c>
      <c r="AI26" s="49">
        <f>資料儲存!J5778</f>
        <v>0</v>
      </c>
      <c r="AJ26" s="52"/>
      <c r="AK26" s="70">
        <v>17</v>
      </c>
      <c r="AL26" s="49">
        <f>資料儲存!D5898</f>
        <v>0</v>
      </c>
      <c r="AM26" s="49">
        <f>資料儲存!E5898</f>
        <v>0</v>
      </c>
      <c r="AN26" s="49">
        <f>資料儲存!F5898</f>
        <v>0</v>
      </c>
      <c r="AO26" s="49">
        <f>資料儲存!G5898</f>
        <v>0</v>
      </c>
      <c r="AP26" s="49">
        <f>資料儲存!H5898</f>
        <v>0</v>
      </c>
      <c r="AQ26" s="49">
        <f>資料儲存!I5898</f>
        <v>0</v>
      </c>
      <c r="AR26" s="49">
        <f>資料儲存!J5898</f>
        <v>0</v>
      </c>
      <c r="AT26" s="70">
        <v>17</v>
      </c>
      <c r="AU26" s="49">
        <f>資料儲存!D6018</f>
        <v>0</v>
      </c>
      <c r="AV26" s="49">
        <f>資料儲存!E6018</f>
        <v>0</v>
      </c>
      <c r="AW26" s="49">
        <f>資料儲存!F6018</f>
        <v>0</v>
      </c>
      <c r="AX26" s="49">
        <f>資料儲存!G6018</f>
        <v>0</v>
      </c>
      <c r="AY26" s="49">
        <f>資料儲存!H6018</f>
        <v>0</v>
      </c>
      <c r="AZ26" s="49">
        <f>資料儲存!I6018</f>
        <v>0</v>
      </c>
      <c r="BA26" s="49">
        <f>資料儲存!J6018</f>
        <v>0</v>
      </c>
    </row>
    <row r="27" spans="1:53" s="67" customFormat="1" ht="16" thickBot="1">
      <c r="A27" s="70">
        <v>18</v>
      </c>
      <c r="B27" s="49">
        <f>資料儲存!D5419</f>
        <v>0</v>
      </c>
      <c r="C27" s="49">
        <f>資料儲存!E5419</f>
        <v>0</v>
      </c>
      <c r="D27" s="49">
        <f>資料儲存!F5419</f>
        <v>0</v>
      </c>
      <c r="E27" s="49">
        <f>資料儲存!G5419</f>
        <v>0</v>
      </c>
      <c r="F27" s="49">
        <f>資料儲存!H5419</f>
        <v>0</v>
      </c>
      <c r="G27" s="49">
        <f>資料儲存!I5419</f>
        <v>0</v>
      </c>
      <c r="H27" s="49">
        <f>資料儲存!J5419</f>
        <v>0</v>
      </c>
      <c r="I27" s="52"/>
      <c r="J27" s="70">
        <v>18</v>
      </c>
      <c r="K27" s="49">
        <f>資料儲存!D5539</f>
        <v>0</v>
      </c>
      <c r="L27" s="49">
        <f>資料儲存!E5539</f>
        <v>0</v>
      </c>
      <c r="M27" s="49">
        <f>資料儲存!F5539</f>
        <v>0</v>
      </c>
      <c r="N27" s="49">
        <f>資料儲存!G5539</f>
        <v>0</v>
      </c>
      <c r="O27" s="49">
        <f>資料儲存!H5539</f>
        <v>0</v>
      </c>
      <c r="P27" s="49">
        <f>資料儲存!I5539</f>
        <v>0</v>
      </c>
      <c r="Q27" s="49">
        <f>資料儲存!J5539</f>
        <v>0</v>
      </c>
      <c r="R27" s="52"/>
      <c r="S27" s="70">
        <v>18</v>
      </c>
      <c r="T27" s="49">
        <f>資料儲存!D5659</f>
        <v>0</v>
      </c>
      <c r="U27" s="49">
        <f>資料儲存!E5659</f>
        <v>0</v>
      </c>
      <c r="V27" s="49">
        <f>資料儲存!F5659</f>
        <v>0</v>
      </c>
      <c r="W27" s="49">
        <f>資料儲存!G5659</f>
        <v>0</v>
      </c>
      <c r="X27" s="49">
        <f>資料儲存!H5659</f>
        <v>0</v>
      </c>
      <c r="Y27" s="49">
        <f>資料儲存!I5659</f>
        <v>0</v>
      </c>
      <c r="Z27" s="49">
        <f>資料儲存!J5659</f>
        <v>0</v>
      </c>
      <c r="AA27" s="52"/>
      <c r="AB27" s="70">
        <v>18</v>
      </c>
      <c r="AC27" s="49">
        <f>資料儲存!D5779</f>
        <v>0</v>
      </c>
      <c r="AD27" s="49">
        <f>資料儲存!E5779</f>
        <v>0</v>
      </c>
      <c r="AE27" s="49">
        <f>資料儲存!F5779</f>
        <v>0</v>
      </c>
      <c r="AF27" s="49">
        <f>資料儲存!G5779</f>
        <v>0</v>
      </c>
      <c r="AG27" s="49">
        <f>資料儲存!H5779</f>
        <v>0</v>
      </c>
      <c r="AH27" s="49">
        <f>資料儲存!I5779</f>
        <v>0</v>
      </c>
      <c r="AI27" s="49">
        <f>資料儲存!J5779</f>
        <v>0</v>
      </c>
      <c r="AJ27" s="52"/>
      <c r="AK27" s="70">
        <v>18</v>
      </c>
      <c r="AL27" s="49">
        <f>資料儲存!D5899</f>
        <v>0</v>
      </c>
      <c r="AM27" s="49">
        <f>資料儲存!E5899</f>
        <v>0</v>
      </c>
      <c r="AN27" s="49">
        <f>資料儲存!F5899</f>
        <v>0</v>
      </c>
      <c r="AO27" s="49">
        <f>資料儲存!G5899</f>
        <v>0</v>
      </c>
      <c r="AP27" s="49">
        <f>資料儲存!H5899</f>
        <v>0</v>
      </c>
      <c r="AQ27" s="49">
        <f>資料儲存!I5899</f>
        <v>0</v>
      </c>
      <c r="AR27" s="49">
        <f>資料儲存!J5899</f>
        <v>0</v>
      </c>
      <c r="AT27" s="70">
        <v>18</v>
      </c>
      <c r="AU27" s="49">
        <f>資料儲存!D6019</f>
        <v>0</v>
      </c>
      <c r="AV27" s="49">
        <f>資料儲存!E6019</f>
        <v>0</v>
      </c>
      <c r="AW27" s="49">
        <f>資料儲存!F6019</f>
        <v>0</v>
      </c>
      <c r="AX27" s="49">
        <f>資料儲存!G6019</f>
        <v>0</v>
      </c>
      <c r="AY27" s="49">
        <f>資料儲存!H6019</f>
        <v>0</v>
      </c>
      <c r="AZ27" s="49">
        <f>資料儲存!I6019</f>
        <v>0</v>
      </c>
      <c r="BA27" s="49">
        <f>資料儲存!J6019</f>
        <v>0</v>
      </c>
    </row>
    <row r="28" spans="1:53" s="67" customFormat="1" ht="16" thickBot="1">
      <c r="A28" s="70">
        <v>19</v>
      </c>
      <c r="B28" s="49">
        <f>資料儲存!D5420</f>
        <v>0</v>
      </c>
      <c r="C28" s="49">
        <f>資料儲存!E5420</f>
        <v>0</v>
      </c>
      <c r="D28" s="49">
        <f>資料儲存!F5420</f>
        <v>0</v>
      </c>
      <c r="E28" s="49">
        <f>資料儲存!G5420</f>
        <v>0</v>
      </c>
      <c r="F28" s="49">
        <f>資料儲存!H5420</f>
        <v>0</v>
      </c>
      <c r="G28" s="49">
        <f>資料儲存!I5420</f>
        <v>0</v>
      </c>
      <c r="H28" s="49">
        <f>資料儲存!J5420</f>
        <v>0</v>
      </c>
      <c r="I28" s="52"/>
      <c r="J28" s="70">
        <v>19</v>
      </c>
      <c r="K28" s="49">
        <f>資料儲存!D5540</f>
        <v>0</v>
      </c>
      <c r="L28" s="49">
        <f>資料儲存!E5540</f>
        <v>0</v>
      </c>
      <c r="M28" s="49">
        <f>資料儲存!F5540</f>
        <v>0</v>
      </c>
      <c r="N28" s="49">
        <f>資料儲存!G5540</f>
        <v>0</v>
      </c>
      <c r="O28" s="49">
        <f>資料儲存!H5540</f>
        <v>0</v>
      </c>
      <c r="P28" s="49">
        <f>資料儲存!I5540</f>
        <v>0</v>
      </c>
      <c r="Q28" s="49">
        <f>資料儲存!J5540</f>
        <v>0</v>
      </c>
      <c r="R28" s="52"/>
      <c r="S28" s="70">
        <v>19</v>
      </c>
      <c r="T28" s="49">
        <f>資料儲存!D5660</f>
        <v>0</v>
      </c>
      <c r="U28" s="49">
        <f>資料儲存!E5660</f>
        <v>0</v>
      </c>
      <c r="V28" s="49">
        <f>資料儲存!F5660</f>
        <v>0</v>
      </c>
      <c r="W28" s="49">
        <f>資料儲存!G5660</f>
        <v>0</v>
      </c>
      <c r="X28" s="49">
        <f>資料儲存!H5660</f>
        <v>0</v>
      </c>
      <c r="Y28" s="49">
        <f>資料儲存!I5660</f>
        <v>0</v>
      </c>
      <c r="Z28" s="49">
        <f>資料儲存!J5660</f>
        <v>0</v>
      </c>
      <c r="AA28" s="52"/>
      <c r="AB28" s="70">
        <v>19</v>
      </c>
      <c r="AC28" s="49">
        <f>資料儲存!D5780</f>
        <v>0</v>
      </c>
      <c r="AD28" s="49">
        <f>資料儲存!E5780</f>
        <v>0</v>
      </c>
      <c r="AE28" s="49">
        <f>資料儲存!F5780</f>
        <v>0</v>
      </c>
      <c r="AF28" s="49">
        <f>資料儲存!G5780</f>
        <v>0</v>
      </c>
      <c r="AG28" s="49">
        <f>資料儲存!H5780</f>
        <v>0</v>
      </c>
      <c r="AH28" s="49">
        <f>資料儲存!I5780</f>
        <v>0</v>
      </c>
      <c r="AI28" s="49">
        <f>資料儲存!J5780</f>
        <v>0</v>
      </c>
      <c r="AJ28" s="52"/>
      <c r="AK28" s="70">
        <v>19</v>
      </c>
      <c r="AL28" s="49">
        <f>資料儲存!D5900</f>
        <v>0</v>
      </c>
      <c r="AM28" s="49">
        <f>資料儲存!E5900</f>
        <v>0</v>
      </c>
      <c r="AN28" s="49">
        <f>資料儲存!F5900</f>
        <v>0</v>
      </c>
      <c r="AO28" s="49">
        <f>資料儲存!G5900</f>
        <v>0</v>
      </c>
      <c r="AP28" s="49">
        <f>資料儲存!H5900</f>
        <v>0</v>
      </c>
      <c r="AQ28" s="49">
        <f>資料儲存!I5900</f>
        <v>0</v>
      </c>
      <c r="AR28" s="49">
        <f>資料儲存!J5900</f>
        <v>0</v>
      </c>
      <c r="AT28" s="70">
        <v>19</v>
      </c>
      <c r="AU28" s="49">
        <f>資料儲存!D6020</f>
        <v>0</v>
      </c>
      <c r="AV28" s="49">
        <f>資料儲存!E6020</f>
        <v>0</v>
      </c>
      <c r="AW28" s="49">
        <f>資料儲存!F6020</f>
        <v>0</v>
      </c>
      <c r="AX28" s="49">
        <f>資料儲存!G6020</f>
        <v>0</v>
      </c>
      <c r="AY28" s="49">
        <f>資料儲存!H6020</f>
        <v>0</v>
      </c>
      <c r="AZ28" s="49">
        <f>資料儲存!I6020</f>
        <v>0</v>
      </c>
      <c r="BA28" s="49">
        <f>資料儲存!J6020</f>
        <v>0</v>
      </c>
    </row>
    <row r="29" spans="1:53" s="67" customFormat="1" ht="16" thickBot="1">
      <c r="A29" s="70">
        <v>20</v>
      </c>
      <c r="B29" s="49">
        <f>資料儲存!D5421</f>
        <v>0</v>
      </c>
      <c r="C29" s="49">
        <f>資料儲存!E5421</f>
        <v>0</v>
      </c>
      <c r="D29" s="49">
        <f>資料儲存!F5421</f>
        <v>0</v>
      </c>
      <c r="E29" s="49">
        <f>資料儲存!G5421</f>
        <v>0</v>
      </c>
      <c r="F29" s="49">
        <f>資料儲存!H5421</f>
        <v>0</v>
      </c>
      <c r="G29" s="49">
        <f>資料儲存!I5421</f>
        <v>0</v>
      </c>
      <c r="H29" s="49">
        <f>資料儲存!J5421</f>
        <v>0</v>
      </c>
      <c r="I29" s="52"/>
      <c r="J29" s="70">
        <v>20</v>
      </c>
      <c r="K29" s="49">
        <f>資料儲存!D5541</f>
        <v>0</v>
      </c>
      <c r="L29" s="49">
        <f>資料儲存!E5541</f>
        <v>0</v>
      </c>
      <c r="M29" s="49">
        <f>資料儲存!F5541</f>
        <v>0</v>
      </c>
      <c r="N29" s="49">
        <f>資料儲存!G5541</f>
        <v>0</v>
      </c>
      <c r="O29" s="49">
        <f>資料儲存!H5541</f>
        <v>0</v>
      </c>
      <c r="P29" s="49">
        <f>資料儲存!I5541</f>
        <v>0</v>
      </c>
      <c r="Q29" s="49">
        <f>資料儲存!J5541</f>
        <v>0</v>
      </c>
      <c r="R29" s="52"/>
      <c r="S29" s="70">
        <v>20</v>
      </c>
      <c r="T29" s="49">
        <f>資料儲存!D5661</f>
        <v>0</v>
      </c>
      <c r="U29" s="49">
        <f>資料儲存!E5661</f>
        <v>0</v>
      </c>
      <c r="V29" s="49">
        <f>資料儲存!F5661</f>
        <v>0</v>
      </c>
      <c r="W29" s="49">
        <f>資料儲存!G5661</f>
        <v>0</v>
      </c>
      <c r="X29" s="49">
        <f>資料儲存!H5661</f>
        <v>0</v>
      </c>
      <c r="Y29" s="49">
        <f>資料儲存!I5661</f>
        <v>0</v>
      </c>
      <c r="Z29" s="49">
        <f>資料儲存!J5661</f>
        <v>0</v>
      </c>
      <c r="AA29" s="52"/>
      <c r="AB29" s="70">
        <v>20</v>
      </c>
      <c r="AC29" s="49">
        <f>資料儲存!D5781</f>
        <v>0</v>
      </c>
      <c r="AD29" s="49">
        <f>資料儲存!E5781</f>
        <v>0</v>
      </c>
      <c r="AE29" s="49">
        <f>資料儲存!F5781</f>
        <v>0</v>
      </c>
      <c r="AF29" s="49">
        <f>資料儲存!G5781</f>
        <v>0</v>
      </c>
      <c r="AG29" s="49">
        <f>資料儲存!H5781</f>
        <v>0</v>
      </c>
      <c r="AH29" s="49">
        <f>資料儲存!I5781</f>
        <v>0</v>
      </c>
      <c r="AI29" s="49">
        <f>資料儲存!J5781</f>
        <v>0</v>
      </c>
      <c r="AJ29" s="52"/>
      <c r="AK29" s="70">
        <v>20</v>
      </c>
      <c r="AL29" s="49">
        <f>資料儲存!D5901</f>
        <v>0</v>
      </c>
      <c r="AM29" s="49">
        <f>資料儲存!E5901</f>
        <v>0</v>
      </c>
      <c r="AN29" s="49">
        <f>資料儲存!F5901</f>
        <v>0</v>
      </c>
      <c r="AO29" s="49">
        <f>資料儲存!G5901</f>
        <v>0</v>
      </c>
      <c r="AP29" s="49">
        <f>資料儲存!H5901</f>
        <v>0</v>
      </c>
      <c r="AQ29" s="49">
        <f>資料儲存!I5901</f>
        <v>0</v>
      </c>
      <c r="AR29" s="49">
        <f>資料儲存!J5901</f>
        <v>0</v>
      </c>
      <c r="AT29" s="70">
        <v>20</v>
      </c>
      <c r="AU29" s="49">
        <f>資料儲存!D6021</f>
        <v>0</v>
      </c>
      <c r="AV29" s="49">
        <f>資料儲存!E6021</f>
        <v>0</v>
      </c>
      <c r="AW29" s="49">
        <f>資料儲存!F6021</f>
        <v>0</v>
      </c>
      <c r="AX29" s="49">
        <f>資料儲存!G6021</f>
        <v>0</v>
      </c>
      <c r="AY29" s="49">
        <f>資料儲存!H6021</f>
        <v>0</v>
      </c>
      <c r="AZ29" s="49">
        <f>資料儲存!I6021</f>
        <v>0</v>
      </c>
      <c r="BA29" s="49">
        <f>資料儲存!J6021</f>
        <v>0</v>
      </c>
    </row>
    <row r="30" spans="1:53" s="67" customFormat="1" ht="16" thickBot="1">
      <c r="A30" s="70">
        <v>21</v>
      </c>
      <c r="B30" s="49">
        <f>資料儲存!D5422</f>
        <v>0</v>
      </c>
      <c r="C30" s="49">
        <f>資料儲存!E5422</f>
        <v>0</v>
      </c>
      <c r="D30" s="49">
        <f>資料儲存!F5422</f>
        <v>0</v>
      </c>
      <c r="E30" s="49">
        <f>資料儲存!G5422</f>
        <v>0</v>
      </c>
      <c r="F30" s="49">
        <f>資料儲存!H5422</f>
        <v>0</v>
      </c>
      <c r="G30" s="49">
        <f>資料儲存!I5422</f>
        <v>0</v>
      </c>
      <c r="H30" s="49">
        <f>資料儲存!J5422</f>
        <v>0</v>
      </c>
      <c r="I30" s="52"/>
      <c r="J30" s="70">
        <v>21</v>
      </c>
      <c r="K30" s="49">
        <f>資料儲存!D5542</f>
        <v>0</v>
      </c>
      <c r="L30" s="49">
        <f>資料儲存!E5542</f>
        <v>0</v>
      </c>
      <c r="M30" s="49">
        <f>資料儲存!F5542</f>
        <v>0</v>
      </c>
      <c r="N30" s="49">
        <f>資料儲存!G5542</f>
        <v>0</v>
      </c>
      <c r="O30" s="49">
        <f>資料儲存!H5542</f>
        <v>0</v>
      </c>
      <c r="P30" s="49">
        <f>資料儲存!I5542</f>
        <v>0</v>
      </c>
      <c r="Q30" s="49">
        <f>資料儲存!J5542</f>
        <v>0</v>
      </c>
      <c r="R30" s="52"/>
      <c r="S30" s="70">
        <v>21</v>
      </c>
      <c r="T30" s="49">
        <f>資料儲存!D5662</f>
        <v>0</v>
      </c>
      <c r="U30" s="49">
        <f>資料儲存!E5662</f>
        <v>0</v>
      </c>
      <c r="V30" s="49">
        <f>資料儲存!F5662</f>
        <v>0</v>
      </c>
      <c r="W30" s="49">
        <f>資料儲存!G5662</f>
        <v>0</v>
      </c>
      <c r="X30" s="49">
        <f>資料儲存!H5662</f>
        <v>0</v>
      </c>
      <c r="Y30" s="49">
        <f>資料儲存!I5662</f>
        <v>0</v>
      </c>
      <c r="Z30" s="49">
        <f>資料儲存!J5662</f>
        <v>0</v>
      </c>
      <c r="AA30" s="52"/>
      <c r="AB30" s="70">
        <v>21</v>
      </c>
      <c r="AC30" s="49">
        <f>資料儲存!D5782</f>
        <v>0</v>
      </c>
      <c r="AD30" s="49">
        <f>資料儲存!E5782</f>
        <v>0</v>
      </c>
      <c r="AE30" s="49">
        <f>資料儲存!F5782</f>
        <v>0</v>
      </c>
      <c r="AF30" s="49">
        <f>資料儲存!G5782</f>
        <v>0</v>
      </c>
      <c r="AG30" s="49">
        <f>資料儲存!H5782</f>
        <v>0</v>
      </c>
      <c r="AH30" s="49">
        <f>資料儲存!I5782</f>
        <v>0</v>
      </c>
      <c r="AI30" s="49">
        <f>資料儲存!J5782</f>
        <v>0</v>
      </c>
      <c r="AJ30" s="52"/>
      <c r="AK30" s="70">
        <v>21</v>
      </c>
      <c r="AL30" s="49">
        <f>資料儲存!D5902</f>
        <v>0</v>
      </c>
      <c r="AM30" s="49">
        <f>資料儲存!E5902</f>
        <v>0</v>
      </c>
      <c r="AN30" s="49">
        <f>資料儲存!F5902</f>
        <v>0</v>
      </c>
      <c r="AO30" s="49">
        <f>資料儲存!G5902</f>
        <v>0</v>
      </c>
      <c r="AP30" s="49">
        <f>資料儲存!H5902</f>
        <v>0</v>
      </c>
      <c r="AQ30" s="49">
        <f>資料儲存!I5902</f>
        <v>0</v>
      </c>
      <c r="AR30" s="49">
        <f>資料儲存!J5902</f>
        <v>0</v>
      </c>
      <c r="AT30" s="70">
        <v>21</v>
      </c>
      <c r="AU30" s="49">
        <f>資料儲存!D6022</f>
        <v>0</v>
      </c>
      <c r="AV30" s="49">
        <f>資料儲存!E6022</f>
        <v>0</v>
      </c>
      <c r="AW30" s="49">
        <f>資料儲存!F6022</f>
        <v>0</v>
      </c>
      <c r="AX30" s="49">
        <f>資料儲存!G6022</f>
        <v>0</v>
      </c>
      <c r="AY30" s="49">
        <f>資料儲存!H6022</f>
        <v>0</v>
      </c>
      <c r="AZ30" s="49">
        <f>資料儲存!I6022</f>
        <v>0</v>
      </c>
      <c r="BA30" s="49">
        <f>資料儲存!J6022</f>
        <v>0</v>
      </c>
    </row>
    <row r="31" spans="1:53" s="67" customFormat="1" ht="16" thickBot="1">
      <c r="A31" s="70">
        <v>22</v>
      </c>
      <c r="B31" s="49">
        <f>資料儲存!D5423</f>
        <v>0</v>
      </c>
      <c r="C31" s="49">
        <f>資料儲存!E5423</f>
        <v>0</v>
      </c>
      <c r="D31" s="49">
        <f>資料儲存!F5423</f>
        <v>0</v>
      </c>
      <c r="E31" s="49">
        <f>資料儲存!G5423</f>
        <v>0</v>
      </c>
      <c r="F31" s="49">
        <f>資料儲存!H5423</f>
        <v>0</v>
      </c>
      <c r="G31" s="49">
        <f>資料儲存!I5423</f>
        <v>0</v>
      </c>
      <c r="H31" s="49">
        <f>資料儲存!J5423</f>
        <v>0</v>
      </c>
      <c r="I31" s="52"/>
      <c r="J31" s="70">
        <v>22</v>
      </c>
      <c r="K31" s="49">
        <f>資料儲存!D5543</f>
        <v>0</v>
      </c>
      <c r="L31" s="49">
        <f>資料儲存!E5543</f>
        <v>0</v>
      </c>
      <c r="M31" s="49">
        <f>資料儲存!F5543</f>
        <v>0</v>
      </c>
      <c r="N31" s="49">
        <f>資料儲存!G5543</f>
        <v>0</v>
      </c>
      <c r="O31" s="49">
        <f>資料儲存!H5543</f>
        <v>0</v>
      </c>
      <c r="P31" s="49">
        <f>資料儲存!I5543</f>
        <v>0</v>
      </c>
      <c r="Q31" s="49">
        <f>資料儲存!J5543</f>
        <v>0</v>
      </c>
      <c r="R31" s="52"/>
      <c r="S31" s="70">
        <v>22</v>
      </c>
      <c r="T31" s="49">
        <f>資料儲存!D5663</f>
        <v>0</v>
      </c>
      <c r="U31" s="49">
        <f>資料儲存!E5663</f>
        <v>0</v>
      </c>
      <c r="V31" s="49">
        <f>資料儲存!F5663</f>
        <v>0</v>
      </c>
      <c r="W31" s="49">
        <f>資料儲存!G5663</f>
        <v>0</v>
      </c>
      <c r="X31" s="49">
        <f>資料儲存!H5663</f>
        <v>0</v>
      </c>
      <c r="Y31" s="49">
        <f>資料儲存!I5663</f>
        <v>0</v>
      </c>
      <c r="Z31" s="49">
        <f>資料儲存!J5663</f>
        <v>0</v>
      </c>
      <c r="AA31" s="52"/>
      <c r="AB31" s="70">
        <v>22</v>
      </c>
      <c r="AC31" s="49">
        <f>資料儲存!D5783</f>
        <v>0</v>
      </c>
      <c r="AD31" s="49">
        <f>資料儲存!E5783</f>
        <v>0</v>
      </c>
      <c r="AE31" s="49">
        <f>資料儲存!F5783</f>
        <v>0</v>
      </c>
      <c r="AF31" s="49">
        <f>資料儲存!G5783</f>
        <v>0</v>
      </c>
      <c r="AG31" s="49">
        <f>資料儲存!H5783</f>
        <v>0</v>
      </c>
      <c r="AH31" s="49">
        <f>資料儲存!I5783</f>
        <v>0</v>
      </c>
      <c r="AI31" s="49">
        <f>資料儲存!J5783</f>
        <v>0</v>
      </c>
      <c r="AJ31" s="52"/>
      <c r="AK31" s="70">
        <v>22</v>
      </c>
      <c r="AL31" s="49">
        <f>資料儲存!D5903</f>
        <v>0</v>
      </c>
      <c r="AM31" s="49">
        <f>資料儲存!E5903</f>
        <v>0</v>
      </c>
      <c r="AN31" s="49">
        <f>資料儲存!F5903</f>
        <v>0</v>
      </c>
      <c r="AO31" s="49">
        <f>資料儲存!G5903</f>
        <v>0</v>
      </c>
      <c r="AP31" s="49">
        <f>資料儲存!H5903</f>
        <v>0</v>
      </c>
      <c r="AQ31" s="49">
        <f>資料儲存!I5903</f>
        <v>0</v>
      </c>
      <c r="AR31" s="49">
        <f>資料儲存!J5903</f>
        <v>0</v>
      </c>
      <c r="AT31" s="70">
        <v>22</v>
      </c>
      <c r="AU31" s="49">
        <f>資料儲存!D6023</f>
        <v>0</v>
      </c>
      <c r="AV31" s="49">
        <f>資料儲存!E6023</f>
        <v>0</v>
      </c>
      <c r="AW31" s="49">
        <f>資料儲存!F6023</f>
        <v>0</v>
      </c>
      <c r="AX31" s="49">
        <f>資料儲存!G6023</f>
        <v>0</v>
      </c>
      <c r="AY31" s="49">
        <f>資料儲存!H6023</f>
        <v>0</v>
      </c>
      <c r="AZ31" s="49">
        <f>資料儲存!I6023</f>
        <v>0</v>
      </c>
      <c r="BA31" s="49">
        <f>資料儲存!J6023</f>
        <v>0</v>
      </c>
    </row>
    <row r="32" spans="1:53" s="67" customFormat="1" ht="16" thickBot="1">
      <c r="A32" s="70">
        <v>23</v>
      </c>
      <c r="B32" s="49">
        <f>資料儲存!D5424</f>
        <v>0</v>
      </c>
      <c r="C32" s="49">
        <f>資料儲存!E5424</f>
        <v>0</v>
      </c>
      <c r="D32" s="49">
        <f>資料儲存!F5424</f>
        <v>0</v>
      </c>
      <c r="E32" s="49">
        <f>資料儲存!G5424</f>
        <v>0</v>
      </c>
      <c r="F32" s="49">
        <f>資料儲存!H5424</f>
        <v>0</v>
      </c>
      <c r="G32" s="49">
        <f>資料儲存!I5424</f>
        <v>0</v>
      </c>
      <c r="H32" s="49">
        <f>資料儲存!J5424</f>
        <v>0</v>
      </c>
      <c r="I32" s="52"/>
      <c r="J32" s="70">
        <v>23</v>
      </c>
      <c r="K32" s="49">
        <f>資料儲存!D5544</f>
        <v>0</v>
      </c>
      <c r="L32" s="49">
        <f>資料儲存!E5544</f>
        <v>0</v>
      </c>
      <c r="M32" s="49">
        <f>資料儲存!F5544</f>
        <v>0</v>
      </c>
      <c r="N32" s="49">
        <f>資料儲存!G5544</f>
        <v>0</v>
      </c>
      <c r="O32" s="49">
        <f>資料儲存!H5544</f>
        <v>0</v>
      </c>
      <c r="P32" s="49">
        <f>資料儲存!I5544</f>
        <v>0</v>
      </c>
      <c r="Q32" s="49">
        <f>資料儲存!J5544</f>
        <v>0</v>
      </c>
      <c r="R32" s="52"/>
      <c r="S32" s="70">
        <v>23</v>
      </c>
      <c r="T32" s="49">
        <f>資料儲存!D5664</f>
        <v>0</v>
      </c>
      <c r="U32" s="49">
        <f>資料儲存!E5664</f>
        <v>0</v>
      </c>
      <c r="V32" s="49">
        <f>資料儲存!F5664</f>
        <v>0</v>
      </c>
      <c r="W32" s="49">
        <f>資料儲存!G5664</f>
        <v>0</v>
      </c>
      <c r="X32" s="49">
        <f>資料儲存!H5664</f>
        <v>0</v>
      </c>
      <c r="Y32" s="49">
        <f>資料儲存!I5664</f>
        <v>0</v>
      </c>
      <c r="Z32" s="49">
        <f>資料儲存!J5664</f>
        <v>0</v>
      </c>
      <c r="AA32" s="52"/>
      <c r="AB32" s="70">
        <v>23</v>
      </c>
      <c r="AC32" s="49">
        <f>資料儲存!D5784</f>
        <v>0</v>
      </c>
      <c r="AD32" s="49">
        <f>資料儲存!E5784</f>
        <v>0</v>
      </c>
      <c r="AE32" s="49">
        <f>資料儲存!F5784</f>
        <v>0</v>
      </c>
      <c r="AF32" s="49">
        <f>資料儲存!G5784</f>
        <v>0</v>
      </c>
      <c r="AG32" s="49">
        <f>資料儲存!H5784</f>
        <v>0</v>
      </c>
      <c r="AH32" s="49">
        <f>資料儲存!I5784</f>
        <v>0</v>
      </c>
      <c r="AI32" s="49">
        <f>資料儲存!J5784</f>
        <v>0</v>
      </c>
      <c r="AJ32" s="52"/>
      <c r="AK32" s="70">
        <v>23</v>
      </c>
      <c r="AL32" s="49">
        <f>資料儲存!D5904</f>
        <v>0</v>
      </c>
      <c r="AM32" s="49">
        <f>資料儲存!E5904</f>
        <v>0</v>
      </c>
      <c r="AN32" s="49">
        <f>資料儲存!F5904</f>
        <v>0</v>
      </c>
      <c r="AO32" s="49">
        <f>資料儲存!G5904</f>
        <v>0</v>
      </c>
      <c r="AP32" s="49">
        <f>資料儲存!H5904</f>
        <v>0</v>
      </c>
      <c r="AQ32" s="49">
        <f>資料儲存!I5904</f>
        <v>0</v>
      </c>
      <c r="AR32" s="49">
        <f>資料儲存!J5904</f>
        <v>0</v>
      </c>
      <c r="AT32" s="70">
        <v>23</v>
      </c>
      <c r="AU32" s="49">
        <f>資料儲存!D6024</f>
        <v>0</v>
      </c>
      <c r="AV32" s="49">
        <f>資料儲存!E6024</f>
        <v>0</v>
      </c>
      <c r="AW32" s="49">
        <f>資料儲存!F6024</f>
        <v>0</v>
      </c>
      <c r="AX32" s="49">
        <f>資料儲存!G6024</f>
        <v>0</v>
      </c>
      <c r="AY32" s="49">
        <f>資料儲存!H6024</f>
        <v>0</v>
      </c>
      <c r="AZ32" s="49">
        <f>資料儲存!I6024</f>
        <v>0</v>
      </c>
      <c r="BA32" s="49">
        <f>資料儲存!J6024</f>
        <v>0</v>
      </c>
    </row>
    <row r="33" spans="1:53" s="67" customFormat="1" ht="16" thickBot="1">
      <c r="A33" s="70">
        <v>24</v>
      </c>
      <c r="B33" s="49">
        <f>資料儲存!D5425</f>
        <v>0</v>
      </c>
      <c r="C33" s="49">
        <f>資料儲存!E5425</f>
        <v>0</v>
      </c>
      <c r="D33" s="49">
        <f>資料儲存!F5425</f>
        <v>0</v>
      </c>
      <c r="E33" s="49">
        <f>資料儲存!G5425</f>
        <v>0</v>
      </c>
      <c r="F33" s="49">
        <f>資料儲存!H5425</f>
        <v>0</v>
      </c>
      <c r="G33" s="49">
        <f>資料儲存!I5425</f>
        <v>0</v>
      </c>
      <c r="H33" s="49">
        <f>資料儲存!J5425</f>
        <v>0</v>
      </c>
      <c r="I33" s="52"/>
      <c r="J33" s="70">
        <v>24</v>
      </c>
      <c r="K33" s="49">
        <f>資料儲存!D5545</f>
        <v>0</v>
      </c>
      <c r="L33" s="49">
        <f>資料儲存!E5545</f>
        <v>0</v>
      </c>
      <c r="M33" s="49">
        <f>資料儲存!F5545</f>
        <v>0</v>
      </c>
      <c r="N33" s="49">
        <f>資料儲存!G5545</f>
        <v>0</v>
      </c>
      <c r="O33" s="49">
        <f>資料儲存!H5545</f>
        <v>0</v>
      </c>
      <c r="P33" s="49">
        <f>資料儲存!I5545</f>
        <v>0</v>
      </c>
      <c r="Q33" s="49">
        <f>資料儲存!J5545</f>
        <v>0</v>
      </c>
      <c r="R33" s="52"/>
      <c r="S33" s="70">
        <v>24</v>
      </c>
      <c r="T33" s="49">
        <f>資料儲存!D5665</f>
        <v>0</v>
      </c>
      <c r="U33" s="49">
        <f>資料儲存!E5665</f>
        <v>0</v>
      </c>
      <c r="V33" s="49">
        <f>資料儲存!F5665</f>
        <v>0</v>
      </c>
      <c r="W33" s="49">
        <f>資料儲存!G5665</f>
        <v>0</v>
      </c>
      <c r="X33" s="49">
        <f>資料儲存!H5665</f>
        <v>0</v>
      </c>
      <c r="Y33" s="49">
        <f>資料儲存!I5665</f>
        <v>0</v>
      </c>
      <c r="Z33" s="49">
        <f>資料儲存!J5665</f>
        <v>0</v>
      </c>
      <c r="AA33" s="52"/>
      <c r="AB33" s="70">
        <v>24</v>
      </c>
      <c r="AC33" s="49">
        <f>資料儲存!D5785</f>
        <v>0</v>
      </c>
      <c r="AD33" s="49">
        <f>資料儲存!E5785</f>
        <v>0</v>
      </c>
      <c r="AE33" s="49">
        <f>資料儲存!F5785</f>
        <v>0</v>
      </c>
      <c r="AF33" s="49">
        <f>資料儲存!G5785</f>
        <v>0</v>
      </c>
      <c r="AG33" s="49">
        <f>資料儲存!H5785</f>
        <v>0</v>
      </c>
      <c r="AH33" s="49">
        <f>資料儲存!I5785</f>
        <v>0</v>
      </c>
      <c r="AI33" s="49">
        <f>資料儲存!J5785</f>
        <v>0</v>
      </c>
      <c r="AJ33" s="52"/>
      <c r="AK33" s="70">
        <v>24</v>
      </c>
      <c r="AL33" s="49">
        <f>資料儲存!D5905</f>
        <v>0</v>
      </c>
      <c r="AM33" s="49">
        <f>資料儲存!E5905</f>
        <v>0</v>
      </c>
      <c r="AN33" s="49">
        <f>資料儲存!F5905</f>
        <v>0</v>
      </c>
      <c r="AO33" s="49">
        <f>資料儲存!G5905</f>
        <v>0</v>
      </c>
      <c r="AP33" s="49">
        <f>資料儲存!H5905</f>
        <v>0</v>
      </c>
      <c r="AQ33" s="49">
        <f>資料儲存!I5905</f>
        <v>0</v>
      </c>
      <c r="AR33" s="49">
        <f>資料儲存!J5905</f>
        <v>0</v>
      </c>
      <c r="AT33" s="70">
        <v>24</v>
      </c>
      <c r="AU33" s="49">
        <f>資料儲存!D6025</f>
        <v>0</v>
      </c>
      <c r="AV33" s="49">
        <f>資料儲存!E6025</f>
        <v>0</v>
      </c>
      <c r="AW33" s="49">
        <f>資料儲存!F6025</f>
        <v>0</v>
      </c>
      <c r="AX33" s="49">
        <f>資料儲存!G6025</f>
        <v>0</v>
      </c>
      <c r="AY33" s="49">
        <f>資料儲存!H6025</f>
        <v>0</v>
      </c>
      <c r="AZ33" s="49">
        <f>資料儲存!I6025</f>
        <v>0</v>
      </c>
      <c r="BA33" s="49">
        <f>資料儲存!J6025</f>
        <v>0</v>
      </c>
    </row>
    <row r="34" spans="1:53" s="67" customFormat="1" ht="16" thickBot="1">
      <c r="A34" s="70">
        <v>25</v>
      </c>
      <c r="B34" s="49">
        <f>資料儲存!D5426</f>
        <v>0</v>
      </c>
      <c r="C34" s="49">
        <f>資料儲存!E5426</f>
        <v>0</v>
      </c>
      <c r="D34" s="49">
        <f>資料儲存!F5426</f>
        <v>0</v>
      </c>
      <c r="E34" s="49">
        <f>資料儲存!G5426</f>
        <v>0</v>
      </c>
      <c r="F34" s="49">
        <f>資料儲存!H5426</f>
        <v>0</v>
      </c>
      <c r="G34" s="49">
        <f>資料儲存!I5426</f>
        <v>0</v>
      </c>
      <c r="H34" s="49">
        <f>資料儲存!J5426</f>
        <v>0</v>
      </c>
      <c r="I34" s="52"/>
      <c r="J34" s="70">
        <v>25</v>
      </c>
      <c r="K34" s="49">
        <f>資料儲存!D5546</f>
        <v>0</v>
      </c>
      <c r="L34" s="49">
        <f>資料儲存!E5546</f>
        <v>0</v>
      </c>
      <c r="M34" s="49">
        <f>資料儲存!F5546</f>
        <v>0</v>
      </c>
      <c r="N34" s="49">
        <f>資料儲存!G5546</f>
        <v>0</v>
      </c>
      <c r="O34" s="49">
        <f>資料儲存!H5546</f>
        <v>0</v>
      </c>
      <c r="P34" s="49">
        <f>資料儲存!I5546</f>
        <v>0</v>
      </c>
      <c r="Q34" s="49">
        <f>資料儲存!J5546</f>
        <v>0</v>
      </c>
      <c r="R34" s="52"/>
      <c r="S34" s="70">
        <v>25</v>
      </c>
      <c r="T34" s="49">
        <f>資料儲存!D5666</f>
        <v>0</v>
      </c>
      <c r="U34" s="49">
        <f>資料儲存!E5666</f>
        <v>0</v>
      </c>
      <c r="V34" s="49">
        <f>資料儲存!F5666</f>
        <v>0</v>
      </c>
      <c r="W34" s="49">
        <f>資料儲存!G5666</f>
        <v>0</v>
      </c>
      <c r="X34" s="49">
        <f>資料儲存!H5666</f>
        <v>0</v>
      </c>
      <c r="Y34" s="49">
        <f>資料儲存!I5666</f>
        <v>0</v>
      </c>
      <c r="Z34" s="49">
        <f>資料儲存!J5666</f>
        <v>0</v>
      </c>
      <c r="AA34" s="52"/>
      <c r="AB34" s="70">
        <v>25</v>
      </c>
      <c r="AC34" s="49">
        <f>資料儲存!D5786</f>
        <v>0</v>
      </c>
      <c r="AD34" s="49">
        <f>資料儲存!E5786</f>
        <v>0</v>
      </c>
      <c r="AE34" s="49">
        <f>資料儲存!F5786</f>
        <v>0</v>
      </c>
      <c r="AF34" s="49">
        <f>資料儲存!G5786</f>
        <v>0</v>
      </c>
      <c r="AG34" s="49">
        <f>資料儲存!H5786</f>
        <v>0</v>
      </c>
      <c r="AH34" s="49">
        <f>資料儲存!I5786</f>
        <v>0</v>
      </c>
      <c r="AI34" s="49">
        <f>資料儲存!J5786</f>
        <v>0</v>
      </c>
      <c r="AJ34" s="52"/>
      <c r="AK34" s="70">
        <v>25</v>
      </c>
      <c r="AL34" s="49">
        <f>資料儲存!D5906</f>
        <v>0</v>
      </c>
      <c r="AM34" s="49">
        <f>資料儲存!E5906</f>
        <v>0</v>
      </c>
      <c r="AN34" s="49">
        <f>資料儲存!F5906</f>
        <v>0</v>
      </c>
      <c r="AO34" s="49">
        <f>資料儲存!G5906</f>
        <v>0</v>
      </c>
      <c r="AP34" s="49">
        <f>資料儲存!H5906</f>
        <v>0</v>
      </c>
      <c r="AQ34" s="49">
        <f>資料儲存!I5906</f>
        <v>0</v>
      </c>
      <c r="AR34" s="49">
        <f>資料儲存!J5906</f>
        <v>0</v>
      </c>
      <c r="AT34" s="70">
        <v>25</v>
      </c>
      <c r="AU34" s="49">
        <f>資料儲存!D6026</f>
        <v>0</v>
      </c>
      <c r="AV34" s="49">
        <f>資料儲存!E6026</f>
        <v>0</v>
      </c>
      <c r="AW34" s="49">
        <f>資料儲存!F6026</f>
        <v>0</v>
      </c>
      <c r="AX34" s="49">
        <f>資料儲存!G6026</f>
        <v>0</v>
      </c>
      <c r="AY34" s="49">
        <f>資料儲存!H6026</f>
        <v>0</v>
      </c>
      <c r="AZ34" s="49">
        <f>資料儲存!I6026</f>
        <v>0</v>
      </c>
      <c r="BA34" s="49">
        <f>資料儲存!J6026</f>
        <v>0</v>
      </c>
    </row>
    <row r="35" spans="1:53" s="67" customFormat="1" ht="16" thickBot="1">
      <c r="A35" s="70">
        <v>26</v>
      </c>
      <c r="B35" s="49">
        <f>資料儲存!D5427</f>
        <v>0</v>
      </c>
      <c r="C35" s="49">
        <f>資料儲存!E5427</f>
        <v>0</v>
      </c>
      <c r="D35" s="49">
        <f>資料儲存!F5427</f>
        <v>0</v>
      </c>
      <c r="E35" s="49">
        <f>資料儲存!G5427</f>
        <v>0</v>
      </c>
      <c r="F35" s="49">
        <f>資料儲存!H5427</f>
        <v>0</v>
      </c>
      <c r="G35" s="49">
        <f>資料儲存!I5427</f>
        <v>0</v>
      </c>
      <c r="H35" s="49">
        <f>資料儲存!J5427</f>
        <v>0</v>
      </c>
      <c r="I35" s="52"/>
      <c r="J35" s="70">
        <v>26</v>
      </c>
      <c r="K35" s="49">
        <f>資料儲存!D5547</f>
        <v>0</v>
      </c>
      <c r="L35" s="49">
        <f>資料儲存!E5547</f>
        <v>0</v>
      </c>
      <c r="M35" s="49">
        <f>資料儲存!F5547</f>
        <v>0</v>
      </c>
      <c r="N35" s="49">
        <f>資料儲存!G5547</f>
        <v>0</v>
      </c>
      <c r="O35" s="49">
        <f>資料儲存!H5547</f>
        <v>0</v>
      </c>
      <c r="P35" s="49">
        <f>資料儲存!I5547</f>
        <v>0</v>
      </c>
      <c r="Q35" s="49">
        <f>資料儲存!J5547</f>
        <v>0</v>
      </c>
      <c r="R35" s="52"/>
      <c r="S35" s="70">
        <v>26</v>
      </c>
      <c r="T35" s="49">
        <f>資料儲存!D5667</f>
        <v>0</v>
      </c>
      <c r="U35" s="49">
        <f>資料儲存!E5667</f>
        <v>0</v>
      </c>
      <c r="V35" s="49">
        <f>資料儲存!F5667</f>
        <v>0</v>
      </c>
      <c r="W35" s="49">
        <f>資料儲存!G5667</f>
        <v>0</v>
      </c>
      <c r="X35" s="49">
        <f>資料儲存!H5667</f>
        <v>0</v>
      </c>
      <c r="Y35" s="49">
        <f>資料儲存!I5667</f>
        <v>0</v>
      </c>
      <c r="Z35" s="49">
        <f>資料儲存!J5667</f>
        <v>0</v>
      </c>
      <c r="AA35" s="52"/>
      <c r="AB35" s="70">
        <v>26</v>
      </c>
      <c r="AC35" s="49">
        <f>資料儲存!D5787</f>
        <v>0</v>
      </c>
      <c r="AD35" s="49">
        <f>資料儲存!E5787</f>
        <v>0</v>
      </c>
      <c r="AE35" s="49">
        <f>資料儲存!F5787</f>
        <v>0</v>
      </c>
      <c r="AF35" s="49">
        <f>資料儲存!G5787</f>
        <v>0</v>
      </c>
      <c r="AG35" s="49">
        <f>資料儲存!H5787</f>
        <v>0</v>
      </c>
      <c r="AH35" s="49">
        <f>資料儲存!I5787</f>
        <v>0</v>
      </c>
      <c r="AI35" s="49">
        <f>資料儲存!J5787</f>
        <v>0</v>
      </c>
      <c r="AJ35" s="52"/>
      <c r="AK35" s="70">
        <v>26</v>
      </c>
      <c r="AL35" s="49">
        <f>資料儲存!D5907</f>
        <v>0</v>
      </c>
      <c r="AM35" s="49">
        <f>資料儲存!E5907</f>
        <v>0</v>
      </c>
      <c r="AN35" s="49">
        <f>資料儲存!F5907</f>
        <v>0</v>
      </c>
      <c r="AO35" s="49">
        <f>資料儲存!G5907</f>
        <v>0</v>
      </c>
      <c r="AP35" s="49">
        <f>資料儲存!H5907</f>
        <v>0</v>
      </c>
      <c r="AQ35" s="49">
        <f>資料儲存!I5907</f>
        <v>0</v>
      </c>
      <c r="AR35" s="49">
        <f>資料儲存!J5907</f>
        <v>0</v>
      </c>
      <c r="AT35" s="70">
        <v>26</v>
      </c>
      <c r="AU35" s="49">
        <f>資料儲存!D6027</f>
        <v>0</v>
      </c>
      <c r="AV35" s="49">
        <f>資料儲存!E6027</f>
        <v>0</v>
      </c>
      <c r="AW35" s="49">
        <f>資料儲存!F6027</f>
        <v>0</v>
      </c>
      <c r="AX35" s="49">
        <f>資料儲存!G6027</f>
        <v>0</v>
      </c>
      <c r="AY35" s="49">
        <f>資料儲存!H6027</f>
        <v>0</v>
      </c>
      <c r="AZ35" s="49">
        <f>資料儲存!I6027</f>
        <v>0</v>
      </c>
      <c r="BA35" s="49">
        <f>資料儲存!J6027</f>
        <v>0</v>
      </c>
    </row>
    <row r="36" spans="1:53" s="67" customFormat="1" ht="16" thickBot="1">
      <c r="A36" s="70">
        <v>27</v>
      </c>
      <c r="B36" s="49">
        <f>資料儲存!D5428</f>
        <v>0</v>
      </c>
      <c r="C36" s="49">
        <f>資料儲存!E5428</f>
        <v>0</v>
      </c>
      <c r="D36" s="49">
        <f>資料儲存!F5428</f>
        <v>0</v>
      </c>
      <c r="E36" s="49">
        <f>資料儲存!G5428</f>
        <v>0</v>
      </c>
      <c r="F36" s="49">
        <f>資料儲存!H5428</f>
        <v>0</v>
      </c>
      <c r="G36" s="49">
        <f>資料儲存!I5428</f>
        <v>0</v>
      </c>
      <c r="H36" s="49">
        <f>資料儲存!J5428</f>
        <v>0</v>
      </c>
      <c r="I36" s="52"/>
      <c r="J36" s="70">
        <v>27</v>
      </c>
      <c r="K36" s="49">
        <f>資料儲存!D5548</f>
        <v>0</v>
      </c>
      <c r="L36" s="49">
        <f>資料儲存!E5548</f>
        <v>0</v>
      </c>
      <c r="M36" s="49">
        <f>資料儲存!F5548</f>
        <v>0</v>
      </c>
      <c r="N36" s="49">
        <f>資料儲存!G5548</f>
        <v>0</v>
      </c>
      <c r="O36" s="49">
        <f>資料儲存!H5548</f>
        <v>0</v>
      </c>
      <c r="P36" s="49">
        <f>資料儲存!I5548</f>
        <v>0</v>
      </c>
      <c r="Q36" s="49">
        <f>資料儲存!J5548</f>
        <v>0</v>
      </c>
      <c r="R36" s="52"/>
      <c r="S36" s="70">
        <v>27</v>
      </c>
      <c r="T36" s="49">
        <f>資料儲存!D5668</f>
        <v>0</v>
      </c>
      <c r="U36" s="49">
        <f>資料儲存!E5668</f>
        <v>0</v>
      </c>
      <c r="V36" s="49">
        <f>資料儲存!F5668</f>
        <v>0</v>
      </c>
      <c r="W36" s="49">
        <f>資料儲存!G5668</f>
        <v>0</v>
      </c>
      <c r="X36" s="49">
        <f>資料儲存!H5668</f>
        <v>0</v>
      </c>
      <c r="Y36" s="49">
        <f>資料儲存!I5668</f>
        <v>0</v>
      </c>
      <c r="Z36" s="49">
        <f>資料儲存!J5668</f>
        <v>0</v>
      </c>
      <c r="AA36" s="52"/>
      <c r="AB36" s="70">
        <v>27</v>
      </c>
      <c r="AC36" s="49">
        <f>資料儲存!D5788</f>
        <v>0</v>
      </c>
      <c r="AD36" s="49">
        <f>資料儲存!E5788</f>
        <v>0</v>
      </c>
      <c r="AE36" s="49">
        <f>資料儲存!F5788</f>
        <v>0</v>
      </c>
      <c r="AF36" s="49">
        <f>資料儲存!G5788</f>
        <v>0</v>
      </c>
      <c r="AG36" s="49">
        <f>資料儲存!H5788</f>
        <v>0</v>
      </c>
      <c r="AH36" s="49">
        <f>資料儲存!I5788</f>
        <v>0</v>
      </c>
      <c r="AI36" s="49">
        <f>資料儲存!J5788</f>
        <v>0</v>
      </c>
      <c r="AJ36" s="52"/>
      <c r="AK36" s="70">
        <v>27</v>
      </c>
      <c r="AL36" s="49">
        <f>資料儲存!D5908</f>
        <v>0</v>
      </c>
      <c r="AM36" s="49">
        <f>資料儲存!E5908</f>
        <v>0</v>
      </c>
      <c r="AN36" s="49">
        <f>資料儲存!F5908</f>
        <v>0</v>
      </c>
      <c r="AO36" s="49">
        <f>資料儲存!G5908</f>
        <v>0</v>
      </c>
      <c r="AP36" s="49">
        <f>資料儲存!H5908</f>
        <v>0</v>
      </c>
      <c r="AQ36" s="49">
        <f>資料儲存!I5908</f>
        <v>0</v>
      </c>
      <c r="AR36" s="49">
        <f>資料儲存!J5908</f>
        <v>0</v>
      </c>
      <c r="AT36" s="70">
        <v>27</v>
      </c>
      <c r="AU36" s="49">
        <f>資料儲存!D6028</f>
        <v>0</v>
      </c>
      <c r="AV36" s="49">
        <f>資料儲存!E6028</f>
        <v>0</v>
      </c>
      <c r="AW36" s="49">
        <f>資料儲存!F6028</f>
        <v>0</v>
      </c>
      <c r="AX36" s="49">
        <f>資料儲存!G6028</f>
        <v>0</v>
      </c>
      <c r="AY36" s="49">
        <f>資料儲存!H6028</f>
        <v>0</v>
      </c>
      <c r="AZ36" s="49">
        <f>資料儲存!I6028</f>
        <v>0</v>
      </c>
      <c r="BA36" s="49">
        <f>資料儲存!J6028</f>
        <v>0</v>
      </c>
    </row>
    <row r="37" spans="1:53" s="67" customFormat="1" ht="16" thickBot="1">
      <c r="A37" s="70">
        <v>28</v>
      </c>
      <c r="B37" s="49">
        <f>資料儲存!D5429</f>
        <v>0</v>
      </c>
      <c r="C37" s="49">
        <f>資料儲存!E5429</f>
        <v>0</v>
      </c>
      <c r="D37" s="49">
        <f>資料儲存!F5429</f>
        <v>0</v>
      </c>
      <c r="E37" s="49">
        <f>資料儲存!G5429</f>
        <v>0</v>
      </c>
      <c r="F37" s="49">
        <f>資料儲存!H5429</f>
        <v>0</v>
      </c>
      <c r="G37" s="49">
        <f>資料儲存!I5429</f>
        <v>0</v>
      </c>
      <c r="H37" s="49">
        <f>資料儲存!J5429</f>
        <v>0</v>
      </c>
      <c r="I37" s="52"/>
      <c r="J37" s="70">
        <v>28</v>
      </c>
      <c r="K37" s="49">
        <f>資料儲存!D5549</f>
        <v>0</v>
      </c>
      <c r="L37" s="49">
        <f>資料儲存!E5549</f>
        <v>0</v>
      </c>
      <c r="M37" s="49">
        <f>資料儲存!F5549</f>
        <v>0</v>
      </c>
      <c r="N37" s="49">
        <f>資料儲存!G5549</f>
        <v>0</v>
      </c>
      <c r="O37" s="49">
        <f>資料儲存!H5549</f>
        <v>0</v>
      </c>
      <c r="P37" s="49">
        <f>資料儲存!I5549</f>
        <v>0</v>
      </c>
      <c r="Q37" s="49">
        <f>資料儲存!J5549</f>
        <v>0</v>
      </c>
      <c r="R37" s="52"/>
      <c r="S37" s="70">
        <v>28</v>
      </c>
      <c r="T37" s="49">
        <f>資料儲存!D5669</f>
        <v>0</v>
      </c>
      <c r="U37" s="49">
        <f>資料儲存!E5669</f>
        <v>0</v>
      </c>
      <c r="V37" s="49">
        <f>資料儲存!F5669</f>
        <v>0</v>
      </c>
      <c r="W37" s="49">
        <f>資料儲存!G5669</f>
        <v>0</v>
      </c>
      <c r="X37" s="49">
        <f>資料儲存!H5669</f>
        <v>0</v>
      </c>
      <c r="Y37" s="49">
        <f>資料儲存!I5669</f>
        <v>0</v>
      </c>
      <c r="Z37" s="49">
        <f>資料儲存!J5669</f>
        <v>0</v>
      </c>
      <c r="AA37" s="52"/>
      <c r="AB37" s="70">
        <v>28</v>
      </c>
      <c r="AC37" s="49">
        <f>資料儲存!D5789</f>
        <v>0</v>
      </c>
      <c r="AD37" s="49">
        <f>資料儲存!E5789</f>
        <v>0</v>
      </c>
      <c r="AE37" s="49">
        <f>資料儲存!F5789</f>
        <v>0</v>
      </c>
      <c r="AF37" s="49">
        <f>資料儲存!G5789</f>
        <v>0</v>
      </c>
      <c r="AG37" s="49">
        <f>資料儲存!H5789</f>
        <v>0</v>
      </c>
      <c r="AH37" s="49">
        <f>資料儲存!I5789</f>
        <v>0</v>
      </c>
      <c r="AI37" s="49">
        <f>資料儲存!J5789</f>
        <v>0</v>
      </c>
      <c r="AJ37" s="52"/>
      <c r="AK37" s="70">
        <v>28</v>
      </c>
      <c r="AL37" s="49">
        <f>資料儲存!D5909</f>
        <v>0</v>
      </c>
      <c r="AM37" s="49">
        <f>資料儲存!E5909</f>
        <v>0</v>
      </c>
      <c r="AN37" s="49">
        <f>資料儲存!F5909</f>
        <v>0</v>
      </c>
      <c r="AO37" s="49">
        <f>資料儲存!G5909</f>
        <v>0</v>
      </c>
      <c r="AP37" s="49">
        <f>資料儲存!H5909</f>
        <v>0</v>
      </c>
      <c r="AQ37" s="49">
        <f>資料儲存!I5909</f>
        <v>0</v>
      </c>
      <c r="AR37" s="49">
        <f>資料儲存!J5909</f>
        <v>0</v>
      </c>
      <c r="AT37" s="70">
        <v>28</v>
      </c>
      <c r="AU37" s="49">
        <f>資料儲存!D6029</f>
        <v>0</v>
      </c>
      <c r="AV37" s="49">
        <f>資料儲存!E6029</f>
        <v>0</v>
      </c>
      <c r="AW37" s="49">
        <f>資料儲存!F6029</f>
        <v>0</v>
      </c>
      <c r="AX37" s="49">
        <f>資料儲存!G6029</f>
        <v>0</v>
      </c>
      <c r="AY37" s="49">
        <f>資料儲存!H6029</f>
        <v>0</v>
      </c>
      <c r="AZ37" s="49">
        <f>資料儲存!I6029</f>
        <v>0</v>
      </c>
      <c r="BA37" s="49">
        <f>資料儲存!J6029</f>
        <v>0</v>
      </c>
    </row>
    <row r="38" spans="1:53" s="67" customFormat="1" ht="16" thickBot="1">
      <c r="A38" s="70">
        <v>29</v>
      </c>
      <c r="B38" s="49">
        <f>資料儲存!D5430</f>
        <v>0</v>
      </c>
      <c r="C38" s="49">
        <f>資料儲存!E5430</f>
        <v>0</v>
      </c>
      <c r="D38" s="49">
        <f>資料儲存!F5430</f>
        <v>0</v>
      </c>
      <c r="E38" s="49">
        <f>資料儲存!G5430</f>
        <v>0</v>
      </c>
      <c r="F38" s="49">
        <f>資料儲存!H5430</f>
        <v>0</v>
      </c>
      <c r="G38" s="49">
        <f>資料儲存!I5430</f>
        <v>0</v>
      </c>
      <c r="H38" s="49">
        <f>資料儲存!J5430</f>
        <v>0</v>
      </c>
      <c r="I38" s="52"/>
      <c r="J38" s="70">
        <v>29</v>
      </c>
      <c r="K38" s="49">
        <f>資料儲存!D5550</f>
        <v>0</v>
      </c>
      <c r="L38" s="49">
        <f>資料儲存!E5550</f>
        <v>0</v>
      </c>
      <c r="M38" s="49">
        <f>資料儲存!F5550</f>
        <v>0</v>
      </c>
      <c r="N38" s="49">
        <f>資料儲存!G5550</f>
        <v>0</v>
      </c>
      <c r="O38" s="49">
        <f>資料儲存!H5550</f>
        <v>0</v>
      </c>
      <c r="P38" s="49">
        <f>資料儲存!I5550</f>
        <v>0</v>
      </c>
      <c r="Q38" s="49">
        <f>資料儲存!J5550</f>
        <v>0</v>
      </c>
      <c r="R38" s="52"/>
      <c r="S38" s="70">
        <v>29</v>
      </c>
      <c r="T38" s="49">
        <f>資料儲存!D5670</f>
        <v>0</v>
      </c>
      <c r="U38" s="49">
        <f>資料儲存!E5670</f>
        <v>0</v>
      </c>
      <c r="V38" s="49">
        <f>資料儲存!F5670</f>
        <v>0</v>
      </c>
      <c r="W38" s="49">
        <f>資料儲存!G5670</f>
        <v>0</v>
      </c>
      <c r="X38" s="49">
        <f>資料儲存!H5670</f>
        <v>0</v>
      </c>
      <c r="Y38" s="49">
        <f>資料儲存!I5670</f>
        <v>0</v>
      </c>
      <c r="Z38" s="49">
        <f>資料儲存!J5670</f>
        <v>0</v>
      </c>
      <c r="AA38" s="52"/>
      <c r="AB38" s="70">
        <v>29</v>
      </c>
      <c r="AC38" s="49">
        <f>資料儲存!D5790</f>
        <v>0</v>
      </c>
      <c r="AD38" s="49">
        <f>資料儲存!E5790</f>
        <v>0</v>
      </c>
      <c r="AE38" s="49">
        <f>資料儲存!F5790</f>
        <v>0</v>
      </c>
      <c r="AF38" s="49">
        <f>資料儲存!G5790</f>
        <v>0</v>
      </c>
      <c r="AG38" s="49">
        <f>資料儲存!H5790</f>
        <v>0</v>
      </c>
      <c r="AH38" s="49">
        <f>資料儲存!I5790</f>
        <v>0</v>
      </c>
      <c r="AI38" s="49">
        <f>資料儲存!J5790</f>
        <v>0</v>
      </c>
      <c r="AJ38" s="52"/>
      <c r="AK38" s="70">
        <v>29</v>
      </c>
      <c r="AL38" s="49">
        <f>資料儲存!D5910</f>
        <v>0</v>
      </c>
      <c r="AM38" s="49">
        <f>資料儲存!E5910</f>
        <v>0</v>
      </c>
      <c r="AN38" s="49">
        <f>資料儲存!F5910</f>
        <v>0</v>
      </c>
      <c r="AO38" s="49">
        <f>資料儲存!G5910</f>
        <v>0</v>
      </c>
      <c r="AP38" s="49">
        <f>資料儲存!H5910</f>
        <v>0</v>
      </c>
      <c r="AQ38" s="49">
        <f>資料儲存!I5910</f>
        <v>0</v>
      </c>
      <c r="AR38" s="49">
        <f>資料儲存!J5910</f>
        <v>0</v>
      </c>
      <c r="AT38" s="70">
        <v>29</v>
      </c>
      <c r="AU38" s="49">
        <f>資料儲存!D6030</f>
        <v>0</v>
      </c>
      <c r="AV38" s="49">
        <f>資料儲存!E6030</f>
        <v>0</v>
      </c>
      <c r="AW38" s="49">
        <f>資料儲存!F6030</f>
        <v>0</v>
      </c>
      <c r="AX38" s="49">
        <f>資料儲存!G6030</f>
        <v>0</v>
      </c>
      <c r="AY38" s="49">
        <f>資料儲存!H6030</f>
        <v>0</v>
      </c>
      <c r="AZ38" s="49">
        <f>資料儲存!I6030</f>
        <v>0</v>
      </c>
      <c r="BA38" s="49">
        <f>資料儲存!J6030</f>
        <v>0</v>
      </c>
    </row>
    <row r="39" spans="1:53" s="67" customFormat="1" ht="16" thickBot="1">
      <c r="A39" s="70">
        <v>30</v>
      </c>
      <c r="B39" s="49">
        <f>資料儲存!D5431</f>
        <v>0</v>
      </c>
      <c r="C39" s="49">
        <f>資料儲存!E5431</f>
        <v>0</v>
      </c>
      <c r="D39" s="49">
        <f>資料儲存!F5431</f>
        <v>0</v>
      </c>
      <c r="E39" s="49">
        <f>資料儲存!G5431</f>
        <v>0</v>
      </c>
      <c r="F39" s="49">
        <f>資料儲存!H5431</f>
        <v>0</v>
      </c>
      <c r="G39" s="49">
        <f>資料儲存!I5431</f>
        <v>0</v>
      </c>
      <c r="H39" s="49">
        <f>資料儲存!J5431</f>
        <v>0</v>
      </c>
      <c r="I39" s="52"/>
      <c r="J39" s="70">
        <v>30</v>
      </c>
      <c r="K39" s="49">
        <f>資料儲存!D5551</f>
        <v>0</v>
      </c>
      <c r="L39" s="49">
        <f>資料儲存!E5551</f>
        <v>0</v>
      </c>
      <c r="M39" s="49">
        <f>資料儲存!F5551</f>
        <v>0</v>
      </c>
      <c r="N39" s="49">
        <f>資料儲存!G5551</f>
        <v>0</v>
      </c>
      <c r="O39" s="49">
        <f>資料儲存!H5551</f>
        <v>0</v>
      </c>
      <c r="P39" s="49">
        <f>資料儲存!I5551</f>
        <v>0</v>
      </c>
      <c r="Q39" s="49">
        <f>資料儲存!J5551</f>
        <v>0</v>
      </c>
      <c r="R39" s="52"/>
      <c r="S39" s="70">
        <v>30</v>
      </c>
      <c r="T39" s="49">
        <f>資料儲存!D5671</f>
        <v>0</v>
      </c>
      <c r="U39" s="49">
        <f>資料儲存!E5671</f>
        <v>0</v>
      </c>
      <c r="V39" s="49">
        <f>資料儲存!F5671</f>
        <v>0</v>
      </c>
      <c r="W39" s="49">
        <f>資料儲存!G5671</f>
        <v>0</v>
      </c>
      <c r="X39" s="49">
        <f>資料儲存!H5671</f>
        <v>0</v>
      </c>
      <c r="Y39" s="49">
        <f>資料儲存!I5671</f>
        <v>0</v>
      </c>
      <c r="Z39" s="49">
        <f>資料儲存!J5671</f>
        <v>0</v>
      </c>
      <c r="AA39" s="52"/>
      <c r="AB39" s="70">
        <v>30</v>
      </c>
      <c r="AC39" s="49">
        <f>資料儲存!D5791</f>
        <v>0</v>
      </c>
      <c r="AD39" s="49">
        <f>資料儲存!E5791</f>
        <v>0</v>
      </c>
      <c r="AE39" s="49">
        <f>資料儲存!F5791</f>
        <v>0</v>
      </c>
      <c r="AF39" s="49">
        <f>資料儲存!G5791</f>
        <v>0</v>
      </c>
      <c r="AG39" s="49">
        <f>資料儲存!H5791</f>
        <v>0</v>
      </c>
      <c r="AH39" s="49">
        <f>資料儲存!I5791</f>
        <v>0</v>
      </c>
      <c r="AI39" s="49">
        <f>資料儲存!J5791</f>
        <v>0</v>
      </c>
      <c r="AJ39" s="52"/>
      <c r="AK39" s="70">
        <v>30</v>
      </c>
      <c r="AL39" s="49">
        <f>資料儲存!D5911</f>
        <v>0</v>
      </c>
      <c r="AM39" s="49">
        <f>資料儲存!E5911</f>
        <v>0</v>
      </c>
      <c r="AN39" s="49">
        <f>資料儲存!F5911</f>
        <v>0</v>
      </c>
      <c r="AO39" s="49">
        <f>資料儲存!G5911</f>
        <v>0</v>
      </c>
      <c r="AP39" s="49">
        <f>資料儲存!H5911</f>
        <v>0</v>
      </c>
      <c r="AQ39" s="49">
        <f>資料儲存!I5911</f>
        <v>0</v>
      </c>
      <c r="AR39" s="49">
        <f>資料儲存!J5911</f>
        <v>0</v>
      </c>
      <c r="AT39" s="70">
        <v>30</v>
      </c>
      <c r="AU39" s="49">
        <f>資料儲存!D6031</f>
        <v>0</v>
      </c>
      <c r="AV39" s="49">
        <f>資料儲存!E6031</f>
        <v>0</v>
      </c>
      <c r="AW39" s="49">
        <f>資料儲存!F6031</f>
        <v>0</v>
      </c>
      <c r="AX39" s="49">
        <f>資料儲存!G6031</f>
        <v>0</v>
      </c>
      <c r="AY39" s="49">
        <f>資料儲存!H6031</f>
        <v>0</v>
      </c>
      <c r="AZ39" s="49">
        <f>資料儲存!I6031</f>
        <v>0</v>
      </c>
      <c r="BA39" s="49">
        <f>資料儲存!J6031</f>
        <v>0</v>
      </c>
    </row>
    <row r="40" spans="1:53" s="67" customFormat="1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0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  <c r="AT40" s="50" t="s">
        <v>56</v>
      </c>
      <c r="AU40" s="49">
        <f>SUM(AU25:AX39)</f>
        <v>0</v>
      </c>
      <c r="AV40" s="47"/>
      <c r="AW40" s="47"/>
      <c r="AX40" s="47"/>
      <c r="AY40" s="49">
        <f>AY39</f>
        <v>0</v>
      </c>
      <c r="AZ40" s="49">
        <f>AZ39</f>
        <v>0</v>
      </c>
      <c r="BA40" s="49">
        <f>BA39</f>
        <v>0</v>
      </c>
    </row>
    <row r="41" spans="1:53" ht="18.5" thickBot="1">
      <c r="A41" s="257" t="s">
        <v>76</v>
      </c>
      <c r="B41" s="258"/>
      <c r="C41" s="258"/>
      <c r="D41" s="258"/>
      <c r="E41" s="258"/>
      <c r="F41" s="258"/>
      <c r="G41" s="258"/>
      <c r="H41" s="259"/>
      <c r="I41" s="14"/>
      <c r="J41" s="257" t="s">
        <v>76</v>
      </c>
      <c r="K41" s="258"/>
      <c r="L41" s="258"/>
      <c r="M41" s="258"/>
      <c r="N41" s="258"/>
      <c r="O41" s="258"/>
      <c r="P41" s="258"/>
      <c r="Q41" s="259"/>
      <c r="R41" s="14"/>
      <c r="S41" s="257" t="s">
        <v>76</v>
      </c>
      <c r="T41" s="258"/>
      <c r="U41" s="258"/>
      <c r="V41" s="258"/>
      <c r="W41" s="258"/>
      <c r="X41" s="258"/>
      <c r="Y41" s="258"/>
      <c r="Z41" s="259"/>
      <c r="AA41" s="14"/>
      <c r="AB41" s="257" t="s">
        <v>76</v>
      </c>
      <c r="AC41" s="258"/>
      <c r="AD41" s="258"/>
      <c r="AE41" s="258"/>
      <c r="AF41" s="258"/>
      <c r="AG41" s="258"/>
      <c r="AH41" s="258"/>
      <c r="AI41" s="259"/>
      <c r="AJ41" s="14"/>
      <c r="AK41" s="257" t="s">
        <v>76</v>
      </c>
      <c r="AL41" s="258"/>
      <c r="AM41" s="258"/>
      <c r="AN41" s="258"/>
      <c r="AO41" s="258"/>
      <c r="AP41" s="258"/>
      <c r="AQ41" s="258"/>
      <c r="AR41" s="259"/>
      <c r="AT41" s="257" t="s">
        <v>76</v>
      </c>
      <c r="AU41" s="258"/>
      <c r="AV41" s="258"/>
      <c r="AW41" s="258"/>
      <c r="AX41" s="258"/>
      <c r="AY41" s="258"/>
      <c r="AZ41" s="258"/>
      <c r="BA41" s="259"/>
    </row>
    <row r="42" spans="1:53" s="59" customFormat="1" ht="17.25" customHeight="1" thickBot="1">
      <c r="A42" s="54" t="s">
        <v>2</v>
      </c>
      <c r="B42" s="55" t="s">
        <v>46</v>
      </c>
      <c r="C42" s="56"/>
      <c r="D42" s="56"/>
      <c r="E42" s="57"/>
      <c r="F42" s="55" t="s">
        <v>47</v>
      </c>
      <c r="G42" s="56"/>
      <c r="H42" s="57"/>
      <c r="I42" s="58"/>
      <c r="J42" s="54" t="s">
        <v>2</v>
      </c>
      <c r="K42" s="55" t="s">
        <v>46</v>
      </c>
      <c r="L42" s="56"/>
      <c r="M42" s="56"/>
      <c r="N42" s="57"/>
      <c r="O42" s="55" t="s">
        <v>47</v>
      </c>
      <c r="P42" s="56"/>
      <c r="Q42" s="57"/>
      <c r="R42" s="58"/>
      <c r="S42" s="54" t="s">
        <v>2</v>
      </c>
      <c r="T42" s="55" t="s">
        <v>46</v>
      </c>
      <c r="U42" s="56"/>
      <c r="V42" s="56"/>
      <c r="W42" s="57"/>
      <c r="X42" s="55" t="s">
        <v>47</v>
      </c>
      <c r="Y42" s="56"/>
      <c r="Z42" s="57"/>
      <c r="AA42" s="58"/>
      <c r="AB42" s="54" t="s">
        <v>2</v>
      </c>
      <c r="AC42" s="55" t="s">
        <v>46</v>
      </c>
      <c r="AD42" s="56"/>
      <c r="AE42" s="56"/>
      <c r="AF42" s="57"/>
      <c r="AG42" s="55" t="s">
        <v>47</v>
      </c>
      <c r="AH42" s="56"/>
      <c r="AI42" s="57"/>
      <c r="AJ42" s="58"/>
      <c r="AK42" s="54" t="s">
        <v>2</v>
      </c>
      <c r="AL42" s="55" t="s">
        <v>46</v>
      </c>
      <c r="AM42" s="56"/>
      <c r="AN42" s="56"/>
      <c r="AO42" s="57"/>
      <c r="AP42" s="55" t="s">
        <v>47</v>
      </c>
      <c r="AQ42" s="56"/>
      <c r="AR42" s="57"/>
      <c r="AT42" s="54" t="s">
        <v>2</v>
      </c>
      <c r="AU42" s="55" t="s">
        <v>46</v>
      </c>
      <c r="AV42" s="56"/>
      <c r="AW42" s="56"/>
      <c r="AX42" s="57"/>
      <c r="AY42" s="55" t="s">
        <v>47</v>
      </c>
      <c r="AZ42" s="56"/>
      <c r="BA42" s="57"/>
    </row>
    <row r="43" spans="1:53" s="59" customFormat="1" ht="16" thickBot="1">
      <c r="A43" s="60" t="s">
        <v>77</v>
      </c>
      <c r="B43" s="61" t="s">
        <v>49</v>
      </c>
      <c r="C43" s="61" t="s">
        <v>50</v>
      </c>
      <c r="D43" s="61" t="s">
        <v>51</v>
      </c>
      <c r="E43" s="61" t="s">
        <v>52</v>
      </c>
      <c r="F43" s="61" t="s">
        <v>53</v>
      </c>
      <c r="G43" s="61" t="s">
        <v>54</v>
      </c>
      <c r="H43" s="61" t="s">
        <v>55</v>
      </c>
      <c r="I43" s="58"/>
      <c r="J43" s="60" t="s">
        <v>77</v>
      </c>
      <c r="K43" s="61" t="s">
        <v>49</v>
      </c>
      <c r="L43" s="61" t="s">
        <v>50</v>
      </c>
      <c r="M43" s="61" t="s">
        <v>51</v>
      </c>
      <c r="N43" s="61" t="s">
        <v>52</v>
      </c>
      <c r="O43" s="61" t="s">
        <v>53</v>
      </c>
      <c r="P43" s="61" t="s">
        <v>54</v>
      </c>
      <c r="Q43" s="61" t="s">
        <v>55</v>
      </c>
      <c r="R43" s="58"/>
      <c r="S43" s="60" t="s">
        <v>77</v>
      </c>
      <c r="T43" s="61" t="s">
        <v>49</v>
      </c>
      <c r="U43" s="61" t="s">
        <v>50</v>
      </c>
      <c r="V43" s="61" t="s">
        <v>51</v>
      </c>
      <c r="W43" s="61" t="s">
        <v>52</v>
      </c>
      <c r="X43" s="61" t="s">
        <v>53</v>
      </c>
      <c r="Y43" s="61" t="s">
        <v>54</v>
      </c>
      <c r="Z43" s="61" t="s">
        <v>55</v>
      </c>
      <c r="AA43" s="58"/>
      <c r="AB43" s="60" t="s">
        <v>77</v>
      </c>
      <c r="AC43" s="61" t="s">
        <v>49</v>
      </c>
      <c r="AD43" s="61" t="s">
        <v>50</v>
      </c>
      <c r="AE43" s="61" t="s">
        <v>51</v>
      </c>
      <c r="AF43" s="61" t="s">
        <v>52</v>
      </c>
      <c r="AG43" s="61" t="s">
        <v>53</v>
      </c>
      <c r="AH43" s="61" t="s">
        <v>54</v>
      </c>
      <c r="AI43" s="61" t="s">
        <v>55</v>
      </c>
      <c r="AJ43" s="58"/>
      <c r="AK43" s="60" t="s">
        <v>77</v>
      </c>
      <c r="AL43" s="61" t="s">
        <v>49</v>
      </c>
      <c r="AM43" s="61" t="s">
        <v>50</v>
      </c>
      <c r="AN43" s="61" t="s">
        <v>51</v>
      </c>
      <c r="AO43" s="61" t="s">
        <v>52</v>
      </c>
      <c r="AP43" s="61" t="s">
        <v>53</v>
      </c>
      <c r="AQ43" s="61" t="s">
        <v>54</v>
      </c>
      <c r="AR43" s="61" t="s">
        <v>55</v>
      </c>
      <c r="AT43" s="60" t="s">
        <v>77</v>
      </c>
      <c r="AU43" s="61" t="s">
        <v>49</v>
      </c>
      <c r="AV43" s="61" t="s">
        <v>50</v>
      </c>
      <c r="AW43" s="61" t="s">
        <v>51</v>
      </c>
      <c r="AX43" s="61" t="s">
        <v>52</v>
      </c>
      <c r="AY43" s="61" t="s">
        <v>53</v>
      </c>
      <c r="AZ43" s="61" t="s">
        <v>54</v>
      </c>
      <c r="BA43" s="61" t="s">
        <v>55</v>
      </c>
    </row>
    <row r="44" spans="1:53" s="59" customFormat="1" ht="16" thickBot="1">
      <c r="A44" s="62">
        <v>31</v>
      </c>
      <c r="B44" s="39">
        <f>資料儲存!D5432</f>
        <v>0</v>
      </c>
      <c r="C44" s="39">
        <f>資料儲存!E5432</f>
        <v>0</v>
      </c>
      <c r="D44" s="39">
        <f>資料儲存!F5432</f>
        <v>0</v>
      </c>
      <c r="E44" s="39">
        <f>資料儲存!G5432</f>
        <v>0</v>
      </c>
      <c r="F44" s="39">
        <f>資料儲存!H5432</f>
        <v>0</v>
      </c>
      <c r="G44" s="39">
        <f>資料儲存!I5432</f>
        <v>0</v>
      </c>
      <c r="H44" s="39">
        <f>資料儲存!J5432</f>
        <v>0</v>
      </c>
      <c r="I44" s="58"/>
      <c r="J44" s="62">
        <v>31</v>
      </c>
      <c r="K44" s="39">
        <f>資料儲存!D5552</f>
        <v>0</v>
      </c>
      <c r="L44" s="39">
        <f>資料儲存!E5552</f>
        <v>0</v>
      </c>
      <c r="M44" s="39">
        <f>資料儲存!F5552</f>
        <v>0</v>
      </c>
      <c r="N44" s="39">
        <f>資料儲存!G5552</f>
        <v>0</v>
      </c>
      <c r="O44" s="39">
        <f>資料儲存!H5552</f>
        <v>0</v>
      </c>
      <c r="P44" s="39">
        <f>資料儲存!I5552</f>
        <v>0</v>
      </c>
      <c r="Q44" s="39">
        <f>資料儲存!J5552</f>
        <v>0</v>
      </c>
      <c r="R44" s="58"/>
      <c r="S44" s="62">
        <v>31</v>
      </c>
      <c r="T44" s="39">
        <f>資料儲存!D5672</f>
        <v>0</v>
      </c>
      <c r="U44" s="39">
        <f>資料儲存!E5672</f>
        <v>0</v>
      </c>
      <c r="V44" s="39">
        <f>資料儲存!F5672</f>
        <v>0</v>
      </c>
      <c r="W44" s="39">
        <f>資料儲存!G5672</f>
        <v>0</v>
      </c>
      <c r="X44" s="39">
        <f>資料儲存!H5672</f>
        <v>0</v>
      </c>
      <c r="Y44" s="39">
        <f>資料儲存!I5672</f>
        <v>0</v>
      </c>
      <c r="Z44" s="39">
        <f>資料儲存!J5672</f>
        <v>0</v>
      </c>
      <c r="AA44" s="58"/>
      <c r="AB44" s="62">
        <v>31</v>
      </c>
      <c r="AC44" s="39">
        <f>資料儲存!D5792</f>
        <v>0</v>
      </c>
      <c r="AD44" s="39">
        <f>資料儲存!E5792</f>
        <v>0</v>
      </c>
      <c r="AE44" s="39">
        <f>資料儲存!F5792</f>
        <v>0</v>
      </c>
      <c r="AF44" s="39">
        <f>資料儲存!G5792</f>
        <v>0</v>
      </c>
      <c r="AG44" s="39">
        <f>資料儲存!H5792</f>
        <v>0</v>
      </c>
      <c r="AH44" s="39">
        <f>資料儲存!I5792</f>
        <v>0</v>
      </c>
      <c r="AI44" s="39">
        <f>資料儲存!J5792</f>
        <v>0</v>
      </c>
      <c r="AJ44" s="58"/>
      <c r="AK44" s="62">
        <v>31</v>
      </c>
      <c r="AL44" s="39">
        <f>資料儲存!D5912</f>
        <v>0</v>
      </c>
      <c r="AM44" s="39">
        <f>資料儲存!E5912</f>
        <v>0</v>
      </c>
      <c r="AN44" s="39">
        <f>資料儲存!F5912</f>
        <v>0</v>
      </c>
      <c r="AO44" s="39">
        <f>資料儲存!G5912</f>
        <v>0</v>
      </c>
      <c r="AP44" s="39">
        <f>資料儲存!H5912</f>
        <v>0</v>
      </c>
      <c r="AQ44" s="39">
        <f>資料儲存!I5912</f>
        <v>0</v>
      </c>
      <c r="AR44" s="39">
        <f>資料儲存!J5912</f>
        <v>0</v>
      </c>
      <c r="AT44" s="62">
        <v>31</v>
      </c>
      <c r="AU44" s="39">
        <f>資料儲存!D6032</f>
        <v>0</v>
      </c>
      <c r="AV44" s="39">
        <f>資料儲存!E6032</f>
        <v>0</v>
      </c>
      <c r="AW44" s="39">
        <f>資料儲存!F6032</f>
        <v>0</v>
      </c>
      <c r="AX44" s="39">
        <f>資料儲存!G6032</f>
        <v>0</v>
      </c>
      <c r="AY44" s="39">
        <f>資料儲存!H6032</f>
        <v>0</v>
      </c>
      <c r="AZ44" s="39">
        <f>資料儲存!I6032</f>
        <v>0</v>
      </c>
      <c r="BA44" s="39">
        <f>資料儲存!J6032</f>
        <v>0</v>
      </c>
    </row>
    <row r="45" spans="1:53" s="59" customFormat="1" ht="16" thickBot="1">
      <c r="A45" s="62">
        <v>32</v>
      </c>
      <c r="B45" s="39">
        <f>資料儲存!D5433</f>
        <v>0</v>
      </c>
      <c r="C45" s="39">
        <f>資料儲存!E5433</f>
        <v>0</v>
      </c>
      <c r="D45" s="39">
        <f>資料儲存!F5433</f>
        <v>0</v>
      </c>
      <c r="E45" s="39">
        <f>資料儲存!G5433</f>
        <v>0</v>
      </c>
      <c r="F45" s="39">
        <f>資料儲存!H5433</f>
        <v>0</v>
      </c>
      <c r="G45" s="39">
        <f>資料儲存!I5433</f>
        <v>0</v>
      </c>
      <c r="H45" s="39">
        <f>資料儲存!J5433</f>
        <v>0</v>
      </c>
      <c r="I45" s="58"/>
      <c r="J45" s="62">
        <v>32</v>
      </c>
      <c r="K45" s="39">
        <f>資料儲存!D5553</f>
        <v>0</v>
      </c>
      <c r="L45" s="39">
        <f>資料儲存!E5553</f>
        <v>0</v>
      </c>
      <c r="M45" s="39">
        <f>資料儲存!F5553</f>
        <v>0</v>
      </c>
      <c r="N45" s="39">
        <f>資料儲存!G5553</f>
        <v>0</v>
      </c>
      <c r="O45" s="39">
        <f>資料儲存!H5553</f>
        <v>0</v>
      </c>
      <c r="P45" s="39">
        <f>資料儲存!I5553</f>
        <v>0</v>
      </c>
      <c r="Q45" s="39">
        <f>資料儲存!J5553</f>
        <v>0</v>
      </c>
      <c r="R45" s="58"/>
      <c r="S45" s="62">
        <v>32</v>
      </c>
      <c r="T45" s="39">
        <f>資料儲存!D5673</f>
        <v>0</v>
      </c>
      <c r="U45" s="39">
        <f>資料儲存!E5673</f>
        <v>0</v>
      </c>
      <c r="V45" s="39">
        <f>資料儲存!F5673</f>
        <v>0</v>
      </c>
      <c r="W45" s="39">
        <f>資料儲存!G5673</f>
        <v>0</v>
      </c>
      <c r="X45" s="39">
        <f>資料儲存!H5673</f>
        <v>0</v>
      </c>
      <c r="Y45" s="39">
        <f>資料儲存!I5673</f>
        <v>0</v>
      </c>
      <c r="Z45" s="39">
        <f>資料儲存!J5673</f>
        <v>0</v>
      </c>
      <c r="AA45" s="58"/>
      <c r="AB45" s="62">
        <v>32</v>
      </c>
      <c r="AC45" s="39">
        <f>資料儲存!D5793</f>
        <v>0</v>
      </c>
      <c r="AD45" s="39">
        <f>資料儲存!E5793</f>
        <v>0</v>
      </c>
      <c r="AE45" s="39">
        <f>資料儲存!F5793</f>
        <v>0</v>
      </c>
      <c r="AF45" s="39">
        <f>資料儲存!G5793</f>
        <v>0</v>
      </c>
      <c r="AG45" s="39">
        <f>資料儲存!H5793</f>
        <v>0</v>
      </c>
      <c r="AH45" s="39">
        <f>資料儲存!I5793</f>
        <v>0</v>
      </c>
      <c r="AI45" s="39">
        <f>資料儲存!J5793</f>
        <v>0</v>
      </c>
      <c r="AJ45" s="58"/>
      <c r="AK45" s="62">
        <v>32</v>
      </c>
      <c r="AL45" s="39">
        <f>資料儲存!D5913</f>
        <v>0</v>
      </c>
      <c r="AM45" s="39">
        <f>資料儲存!E5913</f>
        <v>0</v>
      </c>
      <c r="AN45" s="39">
        <f>資料儲存!F5913</f>
        <v>0</v>
      </c>
      <c r="AO45" s="39">
        <f>資料儲存!G5913</f>
        <v>0</v>
      </c>
      <c r="AP45" s="39">
        <f>資料儲存!H5913</f>
        <v>0</v>
      </c>
      <c r="AQ45" s="39">
        <f>資料儲存!I5913</f>
        <v>0</v>
      </c>
      <c r="AR45" s="39">
        <f>資料儲存!J5913</f>
        <v>0</v>
      </c>
      <c r="AT45" s="62">
        <v>32</v>
      </c>
      <c r="AU45" s="39">
        <f>資料儲存!D6033</f>
        <v>0</v>
      </c>
      <c r="AV45" s="39">
        <f>資料儲存!E6033</f>
        <v>0</v>
      </c>
      <c r="AW45" s="39">
        <f>資料儲存!F6033</f>
        <v>0</v>
      </c>
      <c r="AX45" s="39">
        <f>資料儲存!G6033</f>
        <v>0</v>
      </c>
      <c r="AY45" s="39">
        <f>資料儲存!H6033</f>
        <v>0</v>
      </c>
      <c r="AZ45" s="39">
        <f>資料儲存!I6033</f>
        <v>0</v>
      </c>
      <c r="BA45" s="39">
        <f>資料儲存!J6033</f>
        <v>0</v>
      </c>
    </row>
    <row r="46" spans="1:53" s="59" customFormat="1" ht="16" thickBot="1">
      <c r="A46" s="62">
        <v>33</v>
      </c>
      <c r="B46" s="39">
        <f>資料儲存!D5434</f>
        <v>0</v>
      </c>
      <c r="C46" s="39">
        <f>資料儲存!E5434</f>
        <v>0</v>
      </c>
      <c r="D46" s="39">
        <f>資料儲存!F5434</f>
        <v>0</v>
      </c>
      <c r="E46" s="39">
        <f>資料儲存!G5434</f>
        <v>0</v>
      </c>
      <c r="F46" s="39">
        <f>資料儲存!H5434</f>
        <v>0</v>
      </c>
      <c r="G46" s="39">
        <f>資料儲存!I5434</f>
        <v>0</v>
      </c>
      <c r="H46" s="39">
        <f>資料儲存!J5434</f>
        <v>0</v>
      </c>
      <c r="I46" s="58"/>
      <c r="J46" s="62">
        <v>33</v>
      </c>
      <c r="K46" s="39">
        <f>資料儲存!D5554</f>
        <v>0</v>
      </c>
      <c r="L46" s="39">
        <f>資料儲存!E5554</f>
        <v>0</v>
      </c>
      <c r="M46" s="39">
        <f>資料儲存!F5554</f>
        <v>0</v>
      </c>
      <c r="N46" s="39">
        <f>資料儲存!G5554</f>
        <v>0</v>
      </c>
      <c r="O46" s="39">
        <f>資料儲存!H5554</f>
        <v>0</v>
      </c>
      <c r="P46" s="39">
        <f>資料儲存!I5554</f>
        <v>0</v>
      </c>
      <c r="Q46" s="39">
        <f>資料儲存!J5554</f>
        <v>0</v>
      </c>
      <c r="R46" s="58"/>
      <c r="S46" s="62">
        <v>33</v>
      </c>
      <c r="T46" s="39">
        <f>資料儲存!D5674</f>
        <v>0</v>
      </c>
      <c r="U46" s="39">
        <f>資料儲存!E5674</f>
        <v>0</v>
      </c>
      <c r="V46" s="39">
        <f>資料儲存!F5674</f>
        <v>0</v>
      </c>
      <c r="W46" s="39">
        <f>資料儲存!G5674</f>
        <v>0</v>
      </c>
      <c r="X46" s="39">
        <f>資料儲存!H5674</f>
        <v>0</v>
      </c>
      <c r="Y46" s="39">
        <f>資料儲存!I5674</f>
        <v>0</v>
      </c>
      <c r="Z46" s="39">
        <f>資料儲存!J5674</f>
        <v>0</v>
      </c>
      <c r="AA46" s="58"/>
      <c r="AB46" s="62">
        <v>33</v>
      </c>
      <c r="AC46" s="39">
        <f>資料儲存!D5794</f>
        <v>0</v>
      </c>
      <c r="AD46" s="39">
        <f>資料儲存!E5794</f>
        <v>0</v>
      </c>
      <c r="AE46" s="39">
        <f>資料儲存!F5794</f>
        <v>0</v>
      </c>
      <c r="AF46" s="39">
        <f>資料儲存!G5794</f>
        <v>0</v>
      </c>
      <c r="AG46" s="39">
        <f>資料儲存!H5794</f>
        <v>0</v>
      </c>
      <c r="AH46" s="39">
        <f>資料儲存!I5794</f>
        <v>0</v>
      </c>
      <c r="AI46" s="39">
        <f>資料儲存!J5794</f>
        <v>0</v>
      </c>
      <c r="AJ46" s="58"/>
      <c r="AK46" s="62">
        <v>33</v>
      </c>
      <c r="AL46" s="39">
        <f>資料儲存!D5914</f>
        <v>0</v>
      </c>
      <c r="AM46" s="39">
        <f>資料儲存!E5914</f>
        <v>0</v>
      </c>
      <c r="AN46" s="39">
        <f>資料儲存!F5914</f>
        <v>0</v>
      </c>
      <c r="AO46" s="39">
        <f>資料儲存!G5914</f>
        <v>0</v>
      </c>
      <c r="AP46" s="39">
        <f>資料儲存!H5914</f>
        <v>0</v>
      </c>
      <c r="AQ46" s="39">
        <f>資料儲存!I5914</f>
        <v>0</v>
      </c>
      <c r="AR46" s="39">
        <f>資料儲存!J5914</f>
        <v>0</v>
      </c>
      <c r="AT46" s="62">
        <v>33</v>
      </c>
      <c r="AU46" s="39">
        <f>資料儲存!D6034</f>
        <v>0</v>
      </c>
      <c r="AV46" s="39">
        <f>資料儲存!E6034</f>
        <v>0</v>
      </c>
      <c r="AW46" s="39">
        <f>資料儲存!F6034</f>
        <v>0</v>
      </c>
      <c r="AX46" s="39">
        <f>資料儲存!G6034</f>
        <v>0</v>
      </c>
      <c r="AY46" s="39">
        <f>資料儲存!H6034</f>
        <v>0</v>
      </c>
      <c r="AZ46" s="39">
        <f>資料儲存!I6034</f>
        <v>0</v>
      </c>
      <c r="BA46" s="39">
        <f>資料儲存!J6034</f>
        <v>0</v>
      </c>
    </row>
    <row r="47" spans="1:53" s="59" customFormat="1" ht="16" thickBot="1">
      <c r="A47" s="62">
        <v>34</v>
      </c>
      <c r="B47" s="39">
        <f>資料儲存!D5435</f>
        <v>0</v>
      </c>
      <c r="C47" s="39">
        <f>資料儲存!E5435</f>
        <v>0</v>
      </c>
      <c r="D47" s="39">
        <f>資料儲存!F5435</f>
        <v>0</v>
      </c>
      <c r="E47" s="39">
        <f>資料儲存!G5435</f>
        <v>0</v>
      </c>
      <c r="F47" s="39">
        <f>資料儲存!H5435</f>
        <v>0</v>
      </c>
      <c r="G47" s="39">
        <f>資料儲存!I5435</f>
        <v>0</v>
      </c>
      <c r="H47" s="39">
        <f>資料儲存!J5435</f>
        <v>0</v>
      </c>
      <c r="I47" s="58"/>
      <c r="J47" s="62">
        <v>34</v>
      </c>
      <c r="K47" s="39">
        <f>資料儲存!D5555</f>
        <v>0</v>
      </c>
      <c r="L47" s="39">
        <f>資料儲存!E5555</f>
        <v>0</v>
      </c>
      <c r="M47" s="39">
        <f>資料儲存!F5555</f>
        <v>0</v>
      </c>
      <c r="N47" s="39">
        <f>資料儲存!G5555</f>
        <v>0</v>
      </c>
      <c r="O47" s="39">
        <f>資料儲存!H5555</f>
        <v>0</v>
      </c>
      <c r="P47" s="39">
        <f>資料儲存!I5555</f>
        <v>0</v>
      </c>
      <c r="Q47" s="39">
        <f>資料儲存!J5555</f>
        <v>0</v>
      </c>
      <c r="R47" s="58"/>
      <c r="S47" s="62">
        <v>34</v>
      </c>
      <c r="T47" s="39">
        <f>資料儲存!D5675</f>
        <v>0</v>
      </c>
      <c r="U47" s="39">
        <f>資料儲存!E5675</f>
        <v>0</v>
      </c>
      <c r="V47" s="39">
        <f>資料儲存!F5675</f>
        <v>0</v>
      </c>
      <c r="W47" s="39">
        <f>資料儲存!G5675</f>
        <v>0</v>
      </c>
      <c r="X47" s="39">
        <f>資料儲存!H5675</f>
        <v>0</v>
      </c>
      <c r="Y47" s="39">
        <f>資料儲存!I5675</f>
        <v>0</v>
      </c>
      <c r="Z47" s="39">
        <f>資料儲存!J5675</f>
        <v>0</v>
      </c>
      <c r="AA47" s="58"/>
      <c r="AB47" s="62">
        <v>34</v>
      </c>
      <c r="AC47" s="39">
        <f>資料儲存!D5795</f>
        <v>0</v>
      </c>
      <c r="AD47" s="39">
        <f>資料儲存!E5795</f>
        <v>0</v>
      </c>
      <c r="AE47" s="39">
        <f>資料儲存!F5795</f>
        <v>0</v>
      </c>
      <c r="AF47" s="39">
        <f>資料儲存!G5795</f>
        <v>0</v>
      </c>
      <c r="AG47" s="39">
        <f>資料儲存!H5795</f>
        <v>0</v>
      </c>
      <c r="AH47" s="39">
        <f>資料儲存!I5795</f>
        <v>0</v>
      </c>
      <c r="AI47" s="39">
        <f>資料儲存!J5795</f>
        <v>0</v>
      </c>
      <c r="AJ47" s="58"/>
      <c r="AK47" s="62">
        <v>34</v>
      </c>
      <c r="AL47" s="39">
        <f>資料儲存!D5915</f>
        <v>0</v>
      </c>
      <c r="AM47" s="39">
        <f>資料儲存!E5915</f>
        <v>0</v>
      </c>
      <c r="AN47" s="39">
        <f>資料儲存!F5915</f>
        <v>0</v>
      </c>
      <c r="AO47" s="39">
        <f>資料儲存!G5915</f>
        <v>0</v>
      </c>
      <c r="AP47" s="39">
        <f>資料儲存!H5915</f>
        <v>0</v>
      </c>
      <c r="AQ47" s="39">
        <f>資料儲存!I5915</f>
        <v>0</v>
      </c>
      <c r="AR47" s="39">
        <f>資料儲存!J5915</f>
        <v>0</v>
      </c>
      <c r="AT47" s="62">
        <v>34</v>
      </c>
      <c r="AU47" s="39">
        <f>資料儲存!D6035</f>
        <v>0</v>
      </c>
      <c r="AV47" s="39">
        <f>資料儲存!E6035</f>
        <v>0</v>
      </c>
      <c r="AW47" s="39">
        <f>資料儲存!F6035</f>
        <v>0</v>
      </c>
      <c r="AX47" s="39">
        <f>資料儲存!G6035</f>
        <v>0</v>
      </c>
      <c r="AY47" s="39">
        <f>資料儲存!H6035</f>
        <v>0</v>
      </c>
      <c r="AZ47" s="39">
        <f>資料儲存!I6035</f>
        <v>0</v>
      </c>
      <c r="BA47" s="39">
        <f>資料儲存!J6035</f>
        <v>0</v>
      </c>
    </row>
    <row r="48" spans="1:53" s="59" customFormat="1" ht="16" thickBot="1">
      <c r="A48" s="62">
        <v>35</v>
      </c>
      <c r="B48" s="39">
        <f>資料儲存!D5436</f>
        <v>0</v>
      </c>
      <c r="C48" s="39">
        <f>資料儲存!E5436</f>
        <v>0</v>
      </c>
      <c r="D48" s="39">
        <f>資料儲存!F5436</f>
        <v>0</v>
      </c>
      <c r="E48" s="39">
        <f>資料儲存!G5436</f>
        <v>0</v>
      </c>
      <c r="F48" s="39">
        <f>資料儲存!H5436</f>
        <v>0</v>
      </c>
      <c r="G48" s="39">
        <f>資料儲存!I5436</f>
        <v>0</v>
      </c>
      <c r="H48" s="39">
        <f>資料儲存!J5436</f>
        <v>0</v>
      </c>
      <c r="I48" s="58"/>
      <c r="J48" s="62">
        <v>35</v>
      </c>
      <c r="K48" s="39">
        <f>資料儲存!D5556</f>
        <v>0</v>
      </c>
      <c r="L48" s="39">
        <f>資料儲存!E5556</f>
        <v>0</v>
      </c>
      <c r="M48" s="39">
        <f>資料儲存!F5556</f>
        <v>0</v>
      </c>
      <c r="N48" s="39">
        <f>資料儲存!G5556</f>
        <v>0</v>
      </c>
      <c r="O48" s="39">
        <f>資料儲存!H5556</f>
        <v>0</v>
      </c>
      <c r="P48" s="39">
        <f>資料儲存!I5556</f>
        <v>0</v>
      </c>
      <c r="Q48" s="39">
        <f>資料儲存!J5556</f>
        <v>0</v>
      </c>
      <c r="R48" s="58"/>
      <c r="S48" s="62">
        <v>35</v>
      </c>
      <c r="T48" s="39">
        <f>資料儲存!D5676</f>
        <v>0</v>
      </c>
      <c r="U48" s="39">
        <f>資料儲存!E5676</f>
        <v>0</v>
      </c>
      <c r="V48" s="39">
        <f>資料儲存!F5676</f>
        <v>0</v>
      </c>
      <c r="W48" s="39">
        <f>資料儲存!G5676</f>
        <v>0</v>
      </c>
      <c r="X48" s="39">
        <f>資料儲存!H5676</f>
        <v>0</v>
      </c>
      <c r="Y48" s="39">
        <f>資料儲存!I5676</f>
        <v>0</v>
      </c>
      <c r="Z48" s="39">
        <f>資料儲存!J5676</f>
        <v>0</v>
      </c>
      <c r="AA48" s="58"/>
      <c r="AB48" s="62">
        <v>35</v>
      </c>
      <c r="AC48" s="39">
        <f>資料儲存!D5796</f>
        <v>0</v>
      </c>
      <c r="AD48" s="39">
        <f>資料儲存!E5796</f>
        <v>0</v>
      </c>
      <c r="AE48" s="39">
        <f>資料儲存!F5796</f>
        <v>0</v>
      </c>
      <c r="AF48" s="39">
        <f>資料儲存!G5796</f>
        <v>0</v>
      </c>
      <c r="AG48" s="39">
        <f>資料儲存!H5796</f>
        <v>0</v>
      </c>
      <c r="AH48" s="39">
        <f>資料儲存!I5796</f>
        <v>0</v>
      </c>
      <c r="AI48" s="39">
        <f>資料儲存!J5796</f>
        <v>0</v>
      </c>
      <c r="AJ48" s="58"/>
      <c r="AK48" s="62">
        <v>35</v>
      </c>
      <c r="AL48" s="39">
        <f>資料儲存!D5916</f>
        <v>0</v>
      </c>
      <c r="AM48" s="39">
        <f>資料儲存!E5916</f>
        <v>0</v>
      </c>
      <c r="AN48" s="39">
        <f>資料儲存!F5916</f>
        <v>0</v>
      </c>
      <c r="AO48" s="39">
        <f>資料儲存!G5916</f>
        <v>0</v>
      </c>
      <c r="AP48" s="39">
        <f>資料儲存!H5916</f>
        <v>0</v>
      </c>
      <c r="AQ48" s="39">
        <f>資料儲存!I5916</f>
        <v>0</v>
      </c>
      <c r="AR48" s="39">
        <f>資料儲存!J5916</f>
        <v>0</v>
      </c>
      <c r="AT48" s="62">
        <v>35</v>
      </c>
      <c r="AU48" s="39">
        <f>資料儲存!D6036</f>
        <v>0</v>
      </c>
      <c r="AV48" s="39">
        <f>資料儲存!E6036</f>
        <v>0</v>
      </c>
      <c r="AW48" s="39">
        <f>資料儲存!F6036</f>
        <v>0</v>
      </c>
      <c r="AX48" s="39">
        <f>資料儲存!G6036</f>
        <v>0</v>
      </c>
      <c r="AY48" s="39">
        <f>資料儲存!H6036</f>
        <v>0</v>
      </c>
      <c r="AZ48" s="39">
        <f>資料儲存!I6036</f>
        <v>0</v>
      </c>
      <c r="BA48" s="39">
        <f>資料儲存!J6036</f>
        <v>0</v>
      </c>
    </row>
    <row r="49" spans="1:53" s="59" customFormat="1" ht="16" thickBot="1">
      <c r="A49" s="62">
        <v>36</v>
      </c>
      <c r="B49" s="39">
        <f>資料儲存!D5437</f>
        <v>0</v>
      </c>
      <c r="C49" s="39">
        <f>資料儲存!E5437</f>
        <v>0</v>
      </c>
      <c r="D49" s="39">
        <f>資料儲存!F5437</f>
        <v>0</v>
      </c>
      <c r="E49" s="39">
        <f>資料儲存!G5437</f>
        <v>0</v>
      </c>
      <c r="F49" s="39">
        <f>資料儲存!H5437</f>
        <v>0</v>
      </c>
      <c r="G49" s="39">
        <f>資料儲存!I5437</f>
        <v>0</v>
      </c>
      <c r="H49" s="39">
        <f>資料儲存!J5437</f>
        <v>0</v>
      </c>
      <c r="I49" s="58"/>
      <c r="J49" s="62">
        <v>36</v>
      </c>
      <c r="K49" s="39">
        <f>資料儲存!D5557</f>
        <v>0</v>
      </c>
      <c r="L49" s="39">
        <f>資料儲存!E5557</f>
        <v>0</v>
      </c>
      <c r="M49" s="39">
        <f>資料儲存!F5557</f>
        <v>0</v>
      </c>
      <c r="N49" s="39">
        <f>資料儲存!G5557</f>
        <v>0</v>
      </c>
      <c r="O49" s="39">
        <f>資料儲存!H5557</f>
        <v>0</v>
      </c>
      <c r="P49" s="39">
        <f>資料儲存!I5557</f>
        <v>0</v>
      </c>
      <c r="Q49" s="39">
        <f>資料儲存!J5557</f>
        <v>0</v>
      </c>
      <c r="R49" s="58"/>
      <c r="S49" s="62">
        <v>36</v>
      </c>
      <c r="T49" s="39">
        <f>資料儲存!D5677</f>
        <v>0</v>
      </c>
      <c r="U49" s="39">
        <f>資料儲存!E5677</f>
        <v>0</v>
      </c>
      <c r="V49" s="39">
        <f>資料儲存!F5677</f>
        <v>0</v>
      </c>
      <c r="W49" s="39">
        <f>資料儲存!G5677</f>
        <v>0</v>
      </c>
      <c r="X49" s="39">
        <f>資料儲存!H5677</f>
        <v>0</v>
      </c>
      <c r="Y49" s="39">
        <f>資料儲存!I5677</f>
        <v>0</v>
      </c>
      <c r="Z49" s="39">
        <f>資料儲存!J5677</f>
        <v>0</v>
      </c>
      <c r="AA49" s="58"/>
      <c r="AB49" s="62">
        <v>36</v>
      </c>
      <c r="AC49" s="39">
        <f>資料儲存!D5797</f>
        <v>0</v>
      </c>
      <c r="AD49" s="39">
        <f>資料儲存!E5797</f>
        <v>0</v>
      </c>
      <c r="AE49" s="39">
        <f>資料儲存!F5797</f>
        <v>0</v>
      </c>
      <c r="AF49" s="39">
        <f>資料儲存!G5797</f>
        <v>0</v>
      </c>
      <c r="AG49" s="39">
        <f>資料儲存!H5797</f>
        <v>0</v>
      </c>
      <c r="AH49" s="39">
        <f>資料儲存!I5797</f>
        <v>0</v>
      </c>
      <c r="AI49" s="39">
        <f>資料儲存!J5797</f>
        <v>0</v>
      </c>
      <c r="AJ49" s="58"/>
      <c r="AK49" s="62">
        <v>36</v>
      </c>
      <c r="AL49" s="39">
        <f>資料儲存!D5917</f>
        <v>0</v>
      </c>
      <c r="AM49" s="39">
        <f>資料儲存!E5917</f>
        <v>0</v>
      </c>
      <c r="AN49" s="39">
        <f>資料儲存!F5917</f>
        <v>0</v>
      </c>
      <c r="AO49" s="39">
        <f>資料儲存!G5917</f>
        <v>0</v>
      </c>
      <c r="AP49" s="39">
        <f>資料儲存!H5917</f>
        <v>0</v>
      </c>
      <c r="AQ49" s="39">
        <f>資料儲存!I5917</f>
        <v>0</v>
      </c>
      <c r="AR49" s="39">
        <f>資料儲存!J5917</f>
        <v>0</v>
      </c>
      <c r="AT49" s="62">
        <v>36</v>
      </c>
      <c r="AU49" s="39">
        <f>資料儲存!D6037</f>
        <v>0</v>
      </c>
      <c r="AV49" s="39">
        <f>資料儲存!E6037</f>
        <v>0</v>
      </c>
      <c r="AW49" s="39">
        <f>資料儲存!F6037</f>
        <v>0</v>
      </c>
      <c r="AX49" s="39">
        <f>資料儲存!G6037</f>
        <v>0</v>
      </c>
      <c r="AY49" s="39">
        <f>資料儲存!H6037</f>
        <v>0</v>
      </c>
      <c r="AZ49" s="39">
        <f>資料儲存!I6037</f>
        <v>0</v>
      </c>
      <c r="BA49" s="39">
        <f>資料儲存!J6037</f>
        <v>0</v>
      </c>
    </row>
    <row r="50" spans="1:53" s="59" customFormat="1" ht="16" thickBot="1">
      <c r="A50" s="62">
        <v>37</v>
      </c>
      <c r="B50" s="39">
        <f>資料儲存!D5438</f>
        <v>0</v>
      </c>
      <c r="C50" s="39">
        <f>資料儲存!E5438</f>
        <v>0</v>
      </c>
      <c r="D50" s="39">
        <f>資料儲存!F5438</f>
        <v>0</v>
      </c>
      <c r="E50" s="39">
        <f>資料儲存!G5438</f>
        <v>0</v>
      </c>
      <c r="F50" s="39">
        <f>資料儲存!H5438</f>
        <v>0</v>
      </c>
      <c r="G50" s="39">
        <f>資料儲存!I5438</f>
        <v>0</v>
      </c>
      <c r="H50" s="39">
        <f>資料儲存!J5438</f>
        <v>0</v>
      </c>
      <c r="I50" s="58"/>
      <c r="J50" s="62">
        <v>37</v>
      </c>
      <c r="K50" s="39">
        <f>資料儲存!D5558</f>
        <v>0</v>
      </c>
      <c r="L50" s="39">
        <f>資料儲存!E5558</f>
        <v>0</v>
      </c>
      <c r="M50" s="39">
        <f>資料儲存!F5558</f>
        <v>0</v>
      </c>
      <c r="N50" s="39">
        <f>資料儲存!G5558</f>
        <v>0</v>
      </c>
      <c r="O50" s="39">
        <f>資料儲存!H5558</f>
        <v>0</v>
      </c>
      <c r="P50" s="39">
        <f>資料儲存!I5558</f>
        <v>0</v>
      </c>
      <c r="Q50" s="39">
        <f>資料儲存!J5558</f>
        <v>0</v>
      </c>
      <c r="R50" s="58"/>
      <c r="S50" s="62">
        <v>37</v>
      </c>
      <c r="T50" s="39">
        <f>資料儲存!D5678</f>
        <v>0</v>
      </c>
      <c r="U50" s="39">
        <f>資料儲存!E5678</f>
        <v>0</v>
      </c>
      <c r="V50" s="39">
        <f>資料儲存!F5678</f>
        <v>0</v>
      </c>
      <c r="W50" s="39">
        <f>資料儲存!G5678</f>
        <v>0</v>
      </c>
      <c r="X50" s="39">
        <f>資料儲存!H5678</f>
        <v>0</v>
      </c>
      <c r="Y50" s="39">
        <f>資料儲存!I5678</f>
        <v>0</v>
      </c>
      <c r="Z50" s="39">
        <f>資料儲存!J5678</f>
        <v>0</v>
      </c>
      <c r="AA50" s="58"/>
      <c r="AB50" s="62">
        <v>37</v>
      </c>
      <c r="AC50" s="39">
        <f>資料儲存!D5798</f>
        <v>0</v>
      </c>
      <c r="AD50" s="39">
        <f>資料儲存!E5798</f>
        <v>0</v>
      </c>
      <c r="AE50" s="39">
        <f>資料儲存!F5798</f>
        <v>0</v>
      </c>
      <c r="AF50" s="39">
        <f>資料儲存!G5798</f>
        <v>0</v>
      </c>
      <c r="AG50" s="39">
        <f>資料儲存!H5798</f>
        <v>0</v>
      </c>
      <c r="AH50" s="39">
        <f>資料儲存!I5798</f>
        <v>0</v>
      </c>
      <c r="AI50" s="39">
        <f>資料儲存!J5798</f>
        <v>0</v>
      </c>
      <c r="AJ50" s="58"/>
      <c r="AK50" s="62">
        <v>37</v>
      </c>
      <c r="AL50" s="39">
        <f>資料儲存!D5918</f>
        <v>0</v>
      </c>
      <c r="AM50" s="39">
        <f>資料儲存!E5918</f>
        <v>0</v>
      </c>
      <c r="AN50" s="39">
        <f>資料儲存!F5918</f>
        <v>0</v>
      </c>
      <c r="AO50" s="39">
        <f>資料儲存!G5918</f>
        <v>0</v>
      </c>
      <c r="AP50" s="39">
        <f>資料儲存!H5918</f>
        <v>0</v>
      </c>
      <c r="AQ50" s="39">
        <f>資料儲存!I5918</f>
        <v>0</v>
      </c>
      <c r="AR50" s="39">
        <f>資料儲存!J5918</f>
        <v>0</v>
      </c>
      <c r="AT50" s="62">
        <v>37</v>
      </c>
      <c r="AU50" s="39">
        <f>資料儲存!D6038</f>
        <v>0</v>
      </c>
      <c r="AV50" s="39">
        <f>資料儲存!E6038</f>
        <v>0</v>
      </c>
      <c r="AW50" s="39">
        <f>資料儲存!F6038</f>
        <v>0</v>
      </c>
      <c r="AX50" s="39">
        <f>資料儲存!G6038</f>
        <v>0</v>
      </c>
      <c r="AY50" s="39">
        <f>資料儲存!H6038</f>
        <v>0</v>
      </c>
      <c r="AZ50" s="39">
        <f>資料儲存!I6038</f>
        <v>0</v>
      </c>
      <c r="BA50" s="39">
        <f>資料儲存!J6038</f>
        <v>0</v>
      </c>
    </row>
    <row r="51" spans="1:53" s="59" customFormat="1" ht="16" thickBot="1">
      <c r="A51" s="62">
        <v>38</v>
      </c>
      <c r="B51" s="39">
        <f>資料儲存!D5439</f>
        <v>0</v>
      </c>
      <c r="C51" s="39">
        <f>資料儲存!E5439</f>
        <v>0</v>
      </c>
      <c r="D51" s="39">
        <f>資料儲存!F5439</f>
        <v>0</v>
      </c>
      <c r="E51" s="39">
        <f>資料儲存!G5439</f>
        <v>0</v>
      </c>
      <c r="F51" s="39">
        <f>資料儲存!H5439</f>
        <v>0</v>
      </c>
      <c r="G51" s="39">
        <f>資料儲存!I5439</f>
        <v>0</v>
      </c>
      <c r="H51" s="39">
        <f>資料儲存!J5439</f>
        <v>0</v>
      </c>
      <c r="I51" s="58"/>
      <c r="J51" s="62">
        <v>38</v>
      </c>
      <c r="K51" s="39">
        <f>資料儲存!D5559</f>
        <v>0</v>
      </c>
      <c r="L51" s="39">
        <f>資料儲存!E5559</f>
        <v>0</v>
      </c>
      <c r="M51" s="39">
        <f>資料儲存!F5559</f>
        <v>0</v>
      </c>
      <c r="N51" s="39">
        <f>資料儲存!G5559</f>
        <v>0</v>
      </c>
      <c r="O51" s="39">
        <f>資料儲存!H5559</f>
        <v>0</v>
      </c>
      <c r="P51" s="39">
        <f>資料儲存!I5559</f>
        <v>0</v>
      </c>
      <c r="Q51" s="39">
        <f>資料儲存!J5559</f>
        <v>0</v>
      </c>
      <c r="R51" s="58"/>
      <c r="S51" s="62">
        <v>38</v>
      </c>
      <c r="T51" s="39">
        <f>資料儲存!D5679</f>
        <v>0</v>
      </c>
      <c r="U51" s="39">
        <f>資料儲存!E5679</f>
        <v>0</v>
      </c>
      <c r="V51" s="39">
        <f>資料儲存!F5679</f>
        <v>0</v>
      </c>
      <c r="W51" s="39">
        <f>資料儲存!G5679</f>
        <v>0</v>
      </c>
      <c r="X51" s="39">
        <f>資料儲存!H5679</f>
        <v>0</v>
      </c>
      <c r="Y51" s="39">
        <f>資料儲存!I5679</f>
        <v>0</v>
      </c>
      <c r="Z51" s="39">
        <f>資料儲存!J5679</f>
        <v>0</v>
      </c>
      <c r="AA51" s="58"/>
      <c r="AB51" s="62">
        <v>38</v>
      </c>
      <c r="AC51" s="39">
        <f>資料儲存!D5799</f>
        <v>0</v>
      </c>
      <c r="AD51" s="39">
        <f>資料儲存!E5799</f>
        <v>0</v>
      </c>
      <c r="AE51" s="39">
        <f>資料儲存!F5799</f>
        <v>0</v>
      </c>
      <c r="AF51" s="39">
        <f>資料儲存!G5799</f>
        <v>0</v>
      </c>
      <c r="AG51" s="39">
        <f>資料儲存!H5799</f>
        <v>0</v>
      </c>
      <c r="AH51" s="39">
        <f>資料儲存!I5799</f>
        <v>0</v>
      </c>
      <c r="AI51" s="39">
        <f>資料儲存!J5799</f>
        <v>0</v>
      </c>
      <c r="AJ51" s="58"/>
      <c r="AK51" s="62">
        <v>38</v>
      </c>
      <c r="AL51" s="39">
        <f>資料儲存!D5919</f>
        <v>0</v>
      </c>
      <c r="AM51" s="39">
        <f>資料儲存!E5919</f>
        <v>0</v>
      </c>
      <c r="AN51" s="39">
        <f>資料儲存!F5919</f>
        <v>0</v>
      </c>
      <c r="AO51" s="39">
        <f>資料儲存!G5919</f>
        <v>0</v>
      </c>
      <c r="AP51" s="39">
        <f>資料儲存!H5919</f>
        <v>0</v>
      </c>
      <c r="AQ51" s="39">
        <f>資料儲存!I5919</f>
        <v>0</v>
      </c>
      <c r="AR51" s="39">
        <f>資料儲存!J5919</f>
        <v>0</v>
      </c>
      <c r="AT51" s="62">
        <v>38</v>
      </c>
      <c r="AU51" s="39">
        <f>資料儲存!D6039</f>
        <v>0</v>
      </c>
      <c r="AV51" s="39">
        <f>資料儲存!E6039</f>
        <v>0</v>
      </c>
      <c r="AW51" s="39">
        <f>資料儲存!F6039</f>
        <v>0</v>
      </c>
      <c r="AX51" s="39">
        <f>資料儲存!G6039</f>
        <v>0</v>
      </c>
      <c r="AY51" s="39">
        <f>資料儲存!H6039</f>
        <v>0</v>
      </c>
      <c r="AZ51" s="39">
        <f>資料儲存!I6039</f>
        <v>0</v>
      </c>
      <c r="BA51" s="39">
        <f>資料儲存!J6039</f>
        <v>0</v>
      </c>
    </row>
    <row r="52" spans="1:53" s="59" customFormat="1" ht="16" thickBot="1">
      <c r="A52" s="62">
        <v>39</v>
      </c>
      <c r="B52" s="39">
        <f>資料儲存!D5440</f>
        <v>0</v>
      </c>
      <c r="C52" s="39">
        <f>資料儲存!E5440</f>
        <v>0</v>
      </c>
      <c r="D52" s="39">
        <f>資料儲存!F5440</f>
        <v>0</v>
      </c>
      <c r="E52" s="39">
        <f>資料儲存!G5440</f>
        <v>0</v>
      </c>
      <c r="F52" s="39">
        <f>資料儲存!H5440</f>
        <v>0</v>
      </c>
      <c r="G52" s="39">
        <f>資料儲存!I5440</f>
        <v>0</v>
      </c>
      <c r="H52" s="39">
        <f>資料儲存!J5440</f>
        <v>0</v>
      </c>
      <c r="I52" s="58"/>
      <c r="J52" s="62">
        <v>39</v>
      </c>
      <c r="K52" s="39">
        <f>資料儲存!D5560</f>
        <v>0</v>
      </c>
      <c r="L52" s="39">
        <f>資料儲存!E5560</f>
        <v>0</v>
      </c>
      <c r="M52" s="39">
        <f>資料儲存!F5560</f>
        <v>0</v>
      </c>
      <c r="N52" s="39">
        <f>資料儲存!G5560</f>
        <v>0</v>
      </c>
      <c r="O52" s="39">
        <f>資料儲存!H5560</f>
        <v>0</v>
      </c>
      <c r="P52" s="39">
        <f>資料儲存!I5560</f>
        <v>0</v>
      </c>
      <c r="Q52" s="39">
        <f>資料儲存!J5560</f>
        <v>0</v>
      </c>
      <c r="R52" s="58"/>
      <c r="S52" s="62">
        <v>39</v>
      </c>
      <c r="T52" s="39">
        <f>資料儲存!D5680</f>
        <v>0</v>
      </c>
      <c r="U52" s="39">
        <f>資料儲存!E5680</f>
        <v>0</v>
      </c>
      <c r="V52" s="39">
        <f>資料儲存!F5680</f>
        <v>0</v>
      </c>
      <c r="W52" s="39">
        <f>資料儲存!G5680</f>
        <v>0</v>
      </c>
      <c r="X52" s="39">
        <f>資料儲存!H5680</f>
        <v>0</v>
      </c>
      <c r="Y52" s="39">
        <f>資料儲存!I5680</f>
        <v>0</v>
      </c>
      <c r="Z52" s="39">
        <f>資料儲存!J5680</f>
        <v>0</v>
      </c>
      <c r="AA52" s="58"/>
      <c r="AB52" s="62">
        <v>39</v>
      </c>
      <c r="AC52" s="39">
        <f>資料儲存!D5800</f>
        <v>0</v>
      </c>
      <c r="AD52" s="39">
        <f>資料儲存!E5800</f>
        <v>0</v>
      </c>
      <c r="AE52" s="39">
        <f>資料儲存!F5800</f>
        <v>0</v>
      </c>
      <c r="AF52" s="39">
        <f>資料儲存!G5800</f>
        <v>0</v>
      </c>
      <c r="AG52" s="39">
        <f>資料儲存!H5800</f>
        <v>0</v>
      </c>
      <c r="AH52" s="39">
        <f>資料儲存!I5800</f>
        <v>0</v>
      </c>
      <c r="AI52" s="39">
        <f>資料儲存!J5800</f>
        <v>0</v>
      </c>
      <c r="AJ52" s="58"/>
      <c r="AK52" s="62">
        <v>39</v>
      </c>
      <c r="AL52" s="39">
        <f>資料儲存!D5920</f>
        <v>0</v>
      </c>
      <c r="AM52" s="39">
        <f>資料儲存!E5920</f>
        <v>0</v>
      </c>
      <c r="AN52" s="39">
        <f>資料儲存!F5920</f>
        <v>0</v>
      </c>
      <c r="AO52" s="39">
        <f>資料儲存!G5920</f>
        <v>0</v>
      </c>
      <c r="AP52" s="39">
        <f>資料儲存!H5920</f>
        <v>0</v>
      </c>
      <c r="AQ52" s="39">
        <f>資料儲存!I5920</f>
        <v>0</v>
      </c>
      <c r="AR52" s="39">
        <f>資料儲存!J5920</f>
        <v>0</v>
      </c>
      <c r="AT52" s="62">
        <v>39</v>
      </c>
      <c r="AU52" s="39">
        <f>資料儲存!D6040</f>
        <v>0</v>
      </c>
      <c r="AV52" s="39">
        <f>資料儲存!E6040</f>
        <v>0</v>
      </c>
      <c r="AW52" s="39">
        <f>資料儲存!F6040</f>
        <v>0</v>
      </c>
      <c r="AX52" s="39">
        <f>資料儲存!G6040</f>
        <v>0</v>
      </c>
      <c r="AY52" s="39">
        <f>資料儲存!H6040</f>
        <v>0</v>
      </c>
      <c r="AZ52" s="39">
        <f>資料儲存!I6040</f>
        <v>0</v>
      </c>
      <c r="BA52" s="39">
        <f>資料儲存!J6040</f>
        <v>0</v>
      </c>
    </row>
    <row r="53" spans="1:53" s="59" customFormat="1" ht="16" thickBot="1">
      <c r="A53" s="62">
        <v>40</v>
      </c>
      <c r="B53" s="39">
        <f>資料儲存!D5441</f>
        <v>0</v>
      </c>
      <c r="C53" s="39">
        <f>資料儲存!E5441</f>
        <v>0</v>
      </c>
      <c r="D53" s="39">
        <f>資料儲存!F5441</f>
        <v>0</v>
      </c>
      <c r="E53" s="39">
        <f>資料儲存!G5441</f>
        <v>0</v>
      </c>
      <c r="F53" s="39">
        <f>資料儲存!H5441</f>
        <v>0</v>
      </c>
      <c r="G53" s="39">
        <f>資料儲存!I5441</f>
        <v>0</v>
      </c>
      <c r="H53" s="39">
        <f>資料儲存!J5441</f>
        <v>0</v>
      </c>
      <c r="I53" s="58"/>
      <c r="J53" s="62">
        <v>40</v>
      </c>
      <c r="K53" s="39">
        <f>資料儲存!D5561</f>
        <v>0</v>
      </c>
      <c r="L53" s="39">
        <f>資料儲存!E5561</f>
        <v>0</v>
      </c>
      <c r="M53" s="39">
        <f>資料儲存!F5561</f>
        <v>0</v>
      </c>
      <c r="N53" s="39">
        <f>資料儲存!G5561</f>
        <v>0</v>
      </c>
      <c r="O53" s="39">
        <f>資料儲存!H5561</f>
        <v>0</v>
      </c>
      <c r="P53" s="39">
        <f>資料儲存!I5561</f>
        <v>0</v>
      </c>
      <c r="Q53" s="39">
        <f>資料儲存!J5561</f>
        <v>0</v>
      </c>
      <c r="R53" s="58"/>
      <c r="S53" s="62">
        <v>40</v>
      </c>
      <c r="T53" s="39">
        <f>資料儲存!D5681</f>
        <v>0</v>
      </c>
      <c r="U53" s="39">
        <f>資料儲存!E5681</f>
        <v>0</v>
      </c>
      <c r="V53" s="39">
        <f>資料儲存!F5681</f>
        <v>0</v>
      </c>
      <c r="W53" s="39">
        <f>資料儲存!G5681</f>
        <v>0</v>
      </c>
      <c r="X53" s="39">
        <f>資料儲存!H5681</f>
        <v>0</v>
      </c>
      <c r="Y53" s="39">
        <f>資料儲存!I5681</f>
        <v>0</v>
      </c>
      <c r="Z53" s="39">
        <f>資料儲存!J5681</f>
        <v>0</v>
      </c>
      <c r="AA53" s="58"/>
      <c r="AB53" s="62">
        <v>40</v>
      </c>
      <c r="AC53" s="39">
        <f>資料儲存!D5801</f>
        <v>0</v>
      </c>
      <c r="AD53" s="39">
        <f>資料儲存!E5801</f>
        <v>0</v>
      </c>
      <c r="AE53" s="39">
        <f>資料儲存!F5801</f>
        <v>0</v>
      </c>
      <c r="AF53" s="39">
        <f>資料儲存!G5801</f>
        <v>0</v>
      </c>
      <c r="AG53" s="39">
        <f>資料儲存!H5801</f>
        <v>0</v>
      </c>
      <c r="AH53" s="39">
        <f>資料儲存!I5801</f>
        <v>0</v>
      </c>
      <c r="AI53" s="39">
        <f>資料儲存!J5801</f>
        <v>0</v>
      </c>
      <c r="AJ53" s="58"/>
      <c r="AK53" s="62">
        <v>40</v>
      </c>
      <c r="AL53" s="39">
        <f>資料儲存!D5921</f>
        <v>0</v>
      </c>
      <c r="AM53" s="39">
        <f>資料儲存!E5921</f>
        <v>0</v>
      </c>
      <c r="AN53" s="39">
        <f>資料儲存!F5921</f>
        <v>0</v>
      </c>
      <c r="AO53" s="39">
        <f>資料儲存!G5921</f>
        <v>0</v>
      </c>
      <c r="AP53" s="39">
        <f>資料儲存!H5921</f>
        <v>0</v>
      </c>
      <c r="AQ53" s="39">
        <f>資料儲存!I5921</f>
        <v>0</v>
      </c>
      <c r="AR53" s="39">
        <f>資料儲存!J5921</f>
        <v>0</v>
      </c>
      <c r="AT53" s="62">
        <v>40</v>
      </c>
      <c r="AU53" s="39">
        <f>資料儲存!D6041</f>
        <v>0</v>
      </c>
      <c r="AV53" s="39">
        <f>資料儲存!E6041</f>
        <v>0</v>
      </c>
      <c r="AW53" s="39">
        <f>資料儲存!F6041</f>
        <v>0</v>
      </c>
      <c r="AX53" s="39">
        <f>資料儲存!G6041</f>
        <v>0</v>
      </c>
      <c r="AY53" s="39">
        <f>資料儲存!H6041</f>
        <v>0</v>
      </c>
      <c r="AZ53" s="39">
        <f>資料儲存!I6041</f>
        <v>0</v>
      </c>
      <c r="BA53" s="39">
        <f>資料儲存!J6041</f>
        <v>0</v>
      </c>
    </row>
    <row r="54" spans="1:53" s="59" customFormat="1" ht="16" thickBot="1">
      <c r="A54" s="62">
        <v>41</v>
      </c>
      <c r="B54" s="39">
        <f>資料儲存!D5442</f>
        <v>0</v>
      </c>
      <c r="C54" s="39">
        <f>資料儲存!E5442</f>
        <v>0</v>
      </c>
      <c r="D54" s="39">
        <f>資料儲存!F5442</f>
        <v>0</v>
      </c>
      <c r="E54" s="39">
        <f>資料儲存!G5442</f>
        <v>0</v>
      </c>
      <c r="F54" s="39">
        <f>資料儲存!H5442</f>
        <v>0</v>
      </c>
      <c r="G54" s="39">
        <f>資料儲存!I5442</f>
        <v>0</v>
      </c>
      <c r="H54" s="39">
        <f>資料儲存!J5442</f>
        <v>0</v>
      </c>
      <c r="I54" s="58"/>
      <c r="J54" s="62">
        <v>41</v>
      </c>
      <c r="K54" s="39">
        <f>資料儲存!D5562</f>
        <v>0</v>
      </c>
      <c r="L54" s="39">
        <f>資料儲存!E5562</f>
        <v>0</v>
      </c>
      <c r="M54" s="39">
        <f>資料儲存!F5562</f>
        <v>0</v>
      </c>
      <c r="N54" s="39">
        <f>資料儲存!G5562</f>
        <v>0</v>
      </c>
      <c r="O54" s="39">
        <f>資料儲存!H5562</f>
        <v>0</v>
      </c>
      <c r="P54" s="39">
        <f>資料儲存!I5562</f>
        <v>0</v>
      </c>
      <c r="Q54" s="39">
        <f>資料儲存!J5562</f>
        <v>0</v>
      </c>
      <c r="R54" s="58"/>
      <c r="S54" s="62">
        <v>41</v>
      </c>
      <c r="T54" s="39">
        <f>資料儲存!D5682</f>
        <v>0</v>
      </c>
      <c r="U54" s="39">
        <f>資料儲存!E5682</f>
        <v>0</v>
      </c>
      <c r="V54" s="39">
        <f>資料儲存!F5682</f>
        <v>0</v>
      </c>
      <c r="W54" s="39">
        <f>資料儲存!G5682</f>
        <v>0</v>
      </c>
      <c r="X54" s="39">
        <f>資料儲存!H5682</f>
        <v>0</v>
      </c>
      <c r="Y54" s="39">
        <f>資料儲存!I5682</f>
        <v>0</v>
      </c>
      <c r="Z54" s="39">
        <f>資料儲存!J5682</f>
        <v>0</v>
      </c>
      <c r="AA54" s="58"/>
      <c r="AB54" s="62">
        <v>41</v>
      </c>
      <c r="AC54" s="39">
        <f>資料儲存!D5802</f>
        <v>0</v>
      </c>
      <c r="AD54" s="39">
        <f>資料儲存!E5802</f>
        <v>0</v>
      </c>
      <c r="AE54" s="39">
        <f>資料儲存!F5802</f>
        <v>0</v>
      </c>
      <c r="AF54" s="39">
        <f>資料儲存!G5802</f>
        <v>0</v>
      </c>
      <c r="AG54" s="39">
        <f>資料儲存!H5802</f>
        <v>0</v>
      </c>
      <c r="AH54" s="39">
        <f>資料儲存!I5802</f>
        <v>0</v>
      </c>
      <c r="AI54" s="39">
        <f>資料儲存!J5802</f>
        <v>0</v>
      </c>
      <c r="AJ54" s="58"/>
      <c r="AK54" s="62">
        <v>41</v>
      </c>
      <c r="AL54" s="39">
        <f>資料儲存!D5922</f>
        <v>0</v>
      </c>
      <c r="AM54" s="39">
        <f>資料儲存!E5922</f>
        <v>0</v>
      </c>
      <c r="AN54" s="39">
        <f>資料儲存!F5922</f>
        <v>0</v>
      </c>
      <c r="AO54" s="39">
        <f>資料儲存!G5922</f>
        <v>0</v>
      </c>
      <c r="AP54" s="39">
        <f>資料儲存!H5922</f>
        <v>0</v>
      </c>
      <c r="AQ54" s="39">
        <f>資料儲存!I5922</f>
        <v>0</v>
      </c>
      <c r="AR54" s="39">
        <f>資料儲存!J5922</f>
        <v>0</v>
      </c>
      <c r="AT54" s="62">
        <v>41</v>
      </c>
      <c r="AU54" s="39">
        <f>資料儲存!D6042</f>
        <v>0</v>
      </c>
      <c r="AV54" s="39">
        <f>資料儲存!E6042</f>
        <v>0</v>
      </c>
      <c r="AW54" s="39">
        <f>資料儲存!F6042</f>
        <v>0</v>
      </c>
      <c r="AX54" s="39">
        <f>資料儲存!G6042</f>
        <v>0</v>
      </c>
      <c r="AY54" s="39">
        <f>資料儲存!H6042</f>
        <v>0</v>
      </c>
      <c r="AZ54" s="39">
        <f>資料儲存!I6042</f>
        <v>0</v>
      </c>
      <c r="BA54" s="39">
        <f>資料儲存!J6042</f>
        <v>0</v>
      </c>
    </row>
    <row r="55" spans="1:53" s="59" customFormat="1" ht="16" thickBot="1">
      <c r="A55" s="62">
        <v>42</v>
      </c>
      <c r="B55" s="39">
        <f>資料儲存!D5443</f>
        <v>0</v>
      </c>
      <c r="C55" s="39">
        <f>資料儲存!E5443</f>
        <v>0</v>
      </c>
      <c r="D55" s="39">
        <f>資料儲存!F5443</f>
        <v>0</v>
      </c>
      <c r="E55" s="39">
        <f>資料儲存!G5443</f>
        <v>0</v>
      </c>
      <c r="F55" s="39">
        <f>資料儲存!H5443</f>
        <v>0</v>
      </c>
      <c r="G55" s="39">
        <f>資料儲存!I5443</f>
        <v>0</v>
      </c>
      <c r="H55" s="39">
        <f>資料儲存!J5443</f>
        <v>0</v>
      </c>
      <c r="I55" s="58"/>
      <c r="J55" s="62">
        <v>42</v>
      </c>
      <c r="K55" s="39">
        <f>資料儲存!D5563</f>
        <v>0</v>
      </c>
      <c r="L55" s="39">
        <f>資料儲存!E5563</f>
        <v>0</v>
      </c>
      <c r="M55" s="39">
        <f>資料儲存!F5563</f>
        <v>0</v>
      </c>
      <c r="N55" s="39">
        <f>資料儲存!G5563</f>
        <v>0</v>
      </c>
      <c r="O55" s="39">
        <f>資料儲存!H5563</f>
        <v>0</v>
      </c>
      <c r="P55" s="39">
        <f>資料儲存!I5563</f>
        <v>0</v>
      </c>
      <c r="Q55" s="39">
        <f>資料儲存!J5563</f>
        <v>0</v>
      </c>
      <c r="R55" s="58"/>
      <c r="S55" s="62">
        <v>42</v>
      </c>
      <c r="T55" s="39">
        <f>資料儲存!D5683</f>
        <v>0</v>
      </c>
      <c r="U55" s="39">
        <f>資料儲存!E5683</f>
        <v>0</v>
      </c>
      <c r="V55" s="39">
        <f>資料儲存!F5683</f>
        <v>0</v>
      </c>
      <c r="W55" s="39">
        <f>資料儲存!G5683</f>
        <v>0</v>
      </c>
      <c r="X55" s="39">
        <f>資料儲存!H5683</f>
        <v>0</v>
      </c>
      <c r="Y55" s="39">
        <f>資料儲存!I5683</f>
        <v>0</v>
      </c>
      <c r="Z55" s="39">
        <f>資料儲存!J5683</f>
        <v>0</v>
      </c>
      <c r="AA55" s="58"/>
      <c r="AB55" s="62">
        <v>42</v>
      </c>
      <c r="AC55" s="39">
        <f>資料儲存!D5803</f>
        <v>0</v>
      </c>
      <c r="AD55" s="39">
        <f>資料儲存!E5803</f>
        <v>0</v>
      </c>
      <c r="AE55" s="39">
        <f>資料儲存!F5803</f>
        <v>0</v>
      </c>
      <c r="AF55" s="39">
        <f>資料儲存!G5803</f>
        <v>0</v>
      </c>
      <c r="AG55" s="39">
        <f>資料儲存!H5803</f>
        <v>0</v>
      </c>
      <c r="AH55" s="39">
        <f>資料儲存!I5803</f>
        <v>0</v>
      </c>
      <c r="AI55" s="39">
        <f>資料儲存!J5803</f>
        <v>0</v>
      </c>
      <c r="AJ55" s="58"/>
      <c r="AK55" s="62">
        <v>42</v>
      </c>
      <c r="AL55" s="39">
        <f>資料儲存!D5923</f>
        <v>0</v>
      </c>
      <c r="AM55" s="39">
        <f>資料儲存!E5923</f>
        <v>0</v>
      </c>
      <c r="AN55" s="39">
        <f>資料儲存!F5923</f>
        <v>0</v>
      </c>
      <c r="AO55" s="39">
        <f>資料儲存!G5923</f>
        <v>0</v>
      </c>
      <c r="AP55" s="39">
        <f>資料儲存!H5923</f>
        <v>0</v>
      </c>
      <c r="AQ55" s="39">
        <f>資料儲存!I5923</f>
        <v>0</v>
      </c>
      <c r="AR55" s="39">
        <f>資料儲存!J5923</f>
        <v>0</v>
      </c>
      <c r="AT55" s="62">
        <v>42</v>
      </c>
      <c r="AU55" s="39">
        <f>資料儲存!D6043</f>
        <v>0</v>
      </c>
      <c r="AV55" s="39">
        <f>資料儲存!E6043</f>
        <v>0</v>
      </c>
      <c r="AW55" s="39">
        <f>資料儲存!F6043</f>
        <v>0</v>
      </c>
      <c r="AX55" s="39">
        <f>資料儲存!G6043</f>
        <v>0</v>
      </c>
      <c r="AY55" s="39">
        <f>資料儲存!H6043</f>
        <v>0</v>
      </c>
      <c r="AZ55" s="39">
        <f>資料儲存!I6043</f>
        <v>0</v>
      </c>
      <c r="BA55" s="39">
        <f>資料儲存!J6043</f>
        <v>0</v>
      </c>
    </row>
    <row r="56" spans="1:53" s="59" customFormat="1" ht="16" thickBot="1">
      <c r="A56" s="62">
        <v>43</v>
      </c>
      <c r="B56" s="39">
        <f>資料儲存!D5444</f>
        <v>0</v>
      </c>
      <c r="C56" s="39">
        <f>資料儲存!E5444</f>
        <v>0</v>
      </c>
      <c r="D56" s="39">
        <f>資料儲存!F5444</f>
        <v>0</v>
      </c>
      <c r="E56" s="39">
        <f>資料儲存!G5444</f>
        <v>0</v>
      </c>
      <c r="F56" s="39">
        <f>資料儲存!H5444</f>
        <v>0</v>
      </c>
      <c r="G56" s="39">
        <f>資料儲存!I5444</f>
        <v>0</v>
      </c>
      <c r="H56" s="39">
        <f>資料儲存!J5444</f>
        <v>0</v>
      </c>
      <c r="I56" s="58"/>
      <c r="J56" s="62">
        <v>43</v>
      </c>
      <c r="K56" s="39">
        <f>資料儲存!D5564</f>
        <v>0</v>
      </c>
      <c r="L56" s="39">
        <f>資料儲存!E5564</f>
        <v>0</v>
      </c>
      <c r="M56" s="39">
        <f>資料儲存!F5564</f>
        <v>0</v>
      </c>
      <c r="N56" s="39">
        <f>資料儲存!G5564</f>
        <v>0</v>
      </c>
      <c r="O56" s="39">
        <f>資料儲存!H5564</f>
        <v>0</v>
      </c>
      <c r="P56" s="39">
        <f>資料儲存!I5564</f>
        <v>0</v>
      </c>
      <c r="Q56" s="39">
        <f>資料儲存!J5564</f>
        <v>0</v>
      </c>
      <c r="R56" s="58"/>
      <c r="S56" s="62">
        <v>43</v>
      </c>
      <c r="T56" s="39">
        <f>資料儲存!D5684</f>
        <v>0</v>
      </c>
      <c r="U56" s="39">
        <f>資料儲存!E5684</f>
        <v>0</v>
      </c>
      <c r="V56" s="39">
        <f>資料儲存!F5684</f>
        <v>0</v>
      </c>
      <c r="W56" s="39">
        <f>資料儲存!G5684</f>
        <v>0</v>
      </c>
      <c r="X56" s="39">
        <f>資料儲存!H5684</f>
        <v>0</v>
      </c>
      <c r="Y56" s="39">
        <f>資料儲存!I5684</f>
        <v>0</v>
      </c>
      <c r="Z56" s="39">
        <f>資料儲存!J5684</f>
        <v>0</v>
      </c>
      <c r="AA56" s="58"/>
      <c r="AB56" s="62">
        <v>43</v>
      </c>
      <c r="AC56" s="39">
        <f>資料儲存!D5804</f>
        <v>0</v>
      </c>
      <c r="AD56" s="39">
        <f>資料儲存!E5804</f>
        <v>0</v>
      </c>
      <c r="AE56" s="39">
        <f>資料儲存!F5804</f>
        <v>0</v>
      </c>
      <c r="AF56" s="39">
        <f>資料儲存!G5804</f>
        <v>0</v>
      </c>
      <c r="AG56" s="39">
        <f>資料儲存!H5804</f>
        <v>0</v>
      </c>
      <c r="AH56" s="39">
        <f>資料儲存!I5804</f>
        <v>0</v>
      </c>
      <c r="AI56" s="39">
        <f>資料儲存!J5804</f>
        <v>0</v>
      </c>
      <c r="AJ56" s="58"/>
      <c r="AK56" s="62">
        <v>43</v>
      </c>
      <c r="AL56" s="39">
        <f>資料儲存!D5924</f>
        <v>0</v>
      </c>
      <c r="AM56" s="39">
        <f>資料儲存!E5924</f>
        <v>0</v>
      </c>
      <c r="AN56" s="39">
        <f>資料儲存!F5924</f>
        <v>0</v>
      </c>
      <c r="AO56" s="39">
        <f>資料儲存!G5924</f>
        <v>0</v>
      </c>
      <c r="AP56" s="39">
        <f>資料儲存!H5924</f>
        <v>0</v>
      </c>
      <c r="AQ56" s="39">
        <f>資料儲存!I5924</f>
        <v>0</v>
      </c>
      <c r="AR56" s="39">
        <f>資料儲存!J5924</f>
        <v>0</v>
      </c>
      <c r="AT56" s="62">
        <v>43</v>
      </c>
      <c r="AU56" s="39">
        <f>資料儲存!D6044</f>
        <v>0</v>
      </c>
      <c r="AV56" s="39">
        <f>資料儲存!E6044</f>
        <v>0</v>
      </c>
      <c r="AW56" s="39">
        <f>資料儲存!F6044</f>
        <v>0</v>
      </c>
      <c r="AX56" s="39">
        <f>資料儲存!G6044</f>
        <v>0</v>
      </c>
      <c r="AY56" s="39">
        <f>資料儲存!H6044</f>
        <v>0</v>
      </c>
      <c r="AZ56" s="39">
        <f>資料儲存!I6044</f>
        <v>0</v>
      </c>
      <c r="BA56" s="39">
        <f>資料儲存!J6044</f>
        <v>0</v>
      </c>
    </row>
    <row r="57" spans="1:53" s="59" customFormat="1" ht="16" thickBot="1">
      <c r="A57" s="62">
        <v>44</v>
      </c>
      <c r="B57" s="39">
        <f>資料儲存!D5445</f>
        <v>0</v>
      </c>
      <c r="C57" s="39">
        <f>資料儲存!E5445</f>
        <v>0</v>
      </c>
      <c r="D57" s="39">
        <f>資料儲存!F5445</f>
        <v>0</v>
      </c>
      <c r="E57" s="39">
        <f>資料儲存!G5445</f>
        <v>0</v>
      </c>
      <c r="F57" s="39">
        <f>資料儲存!H5445</f>
        <v>0</v>
      </c>
      <c r="G57" s="39">
        <f>資料儲存!I5445</f>
        <v>0</v>
      </c>
      <c r="H57" s="39">
        <f>資料儲存!J5445</f>
        <v>0</v>
      </c>
      <c r="I57" s="58"/>
      <c r="J57" s="62">
        <v>44</v>
      </c>
      <c r="K57" s="39">
        <f>資料儲存!D5565</f>
        <v>0</v>
      </c>
      <c r="L57" s="39">
        <f>資料儲存!E5565</f>
        <v>0</v>
      </c>
      <c r="M57" s="39">
        <f>資料儲存!F5565</f>
        <v>0</v>
      </c>
      <c r="N57" s="39">
        <f>資料儲存!G5565</f>
        <v>0</v>
      </c>
      <c r="O57" s="39">
        <f>資料儲存!H5565</f>
        <v>0</v>
      </c>
      <c r="P57" s="39">
        <f>資料儲存!I5565</f>
        <v>0</v>
      </c>
      <c r="Q57" s="39">
        <f>資料儲存!J5565</f>
        <v>0</v>
      </c>
      <c r="R57" s="58"/>
      <c r="S57" s="62">
        <v>44</v>
      </c>
      <c r="T57" s="39">
        <f>資料儲存!D5685</f>
        <v>0</v>
      </c>
      <c r="U57" s="39">
        <f>資料儲存!E5685</f>
        <v>0</v>
      </c>
      <c r="V57" s="39">
        <f>資料儲存!F5685</f>
        <v>0</v>
      </c>
      <c r="W57" s="39">
        <f>資料儲存!G5685</f>
        <v>0</v>
      </c>
      <c r="X57" s="39">
        <f>資料儲存!H5685</f>
        <v>0</v>
      </c>
      <c r="Y57" s="39">
        <f>資料儲存!I5685</f>
        <v>0</v>
      </c>
      <c r="Z57" s="39">
        <f>資料儲存!J5685</f>
        <v>0</v>
      </c>
      <c r="AA57" s="58"/>
      <c r="AB57" s="62">
        <v>44</v>
      </c>
      <c r="AC57" s="39">
        <f>資料儲存!D5805</f>
        <v>0</v>
      </c>
      <c r="AD57" s="39">
        <f>資料儲存!E5805</f>
        <v>0</v>
      </c>
      <c r="AE57" s="39">
        <f>資料儲存!F5805</f>
        <v>0</v>
      </c>
      <c r="AF57" s="39">
        <f>資料儲存!G5805</f>
        <v>0</v>
      </c>
      <c r="AG57" s="39">
        <f>資料儲存!H5805</f>
        <v>0</v>
      </c>
      <c r="AH57" s="39">
        <f>資料儲存!I5805</f>
        <v>0</v>
      </c>
      <c r="AI57" s="39">
        <f>資料儲存!J5805</f>
        <v>0</v>
      </c>
      <c r="AJ57" s="58"/>
      <c r="AK57" s="62">
        <v>44</v>
      </c>
      <c r="AL57" s="39">
        <f>資料儲存!D5925</f>
        <v>0</v>
      </c>
      <c r="AM57" s="39">
        <f>資料儲存!E5925</f>
        <v>0</v>
      </c>
      <c r="AN57" s="39">
        <f>資料儲存!F5925</f>
        <v>0</v>
      </c>
      <c r="AO57" s="39">
        <f>資料儲存!G5925</f>
        <v>0</v>
      </c>
      <c r="AP57" s="39">
        <f>資料儲存!H5925</f>
        <v>0</v>
      </c>
      <c r="AQ57" s="39">
        <f>資料儲存!I5925</f>
        <v>0</v>
      </c>
      <c r="AR57" s="39">
        <f>資料儲存!J5925</f>
        <v>0</v>
      </c>
      <c r="AT57" s="62">
        <v>44</v>
      </c>
      <c r="AU57" s="39">
        <f>資料儲存!D6045</f>
        <v>0</v>
      </c>
      <c r="AV57" s="39">
        <f>資料儲存!E6045</f>
        <v>0</v>
      </c>
      <c r="AW57" s="39">
        <f>資料儲存!F6045</f>
        <v>0</v>
      </c>
      <c r="AX57" s="39">
        <f>資料儲存!G6045</f>
        <v>0</v>
      </c>
      <c r="AY57" s="39">
        <f>資料儲存!H6045</f>
        <v>0</v>
      </c>
      <c r="AZ57" s="39">
        <f>資料儲存!I6045</f>
        <v>0</v>
      </c>
      <c r="BA57" s="39">
        <f>資料儲存!J6045</f>
        <v>0</v>
      </c>
    </row>
    <row r="58" spans="1:53" s="59" customFormat="1" ht="16" thickBot="1">
      <c r="A58" s="62">
        <v>45</v>
      </c>
      <c r="B58" s="39">
        <f>資料儲存!D5446</f>
        <v>0</v>
      </c>
      <c r="C58" s="39">
        <f>資料儲存!E5446</f>
        <v>0</v>
      </c>
      <c r="D58" s="39">
        <f>資料儲存!F5446</f>
        <v>0</v>
      </c>
      <c r="E58" s="39">
        <f>資料儲存!G5446</f>
        <v>0</v>
      </c>
      <c r="F58" s="39">
        <f>資料儲存!H5446</f>
        <v>0</v>
      </c>
      <c r="G58" s="39">
        <f>資料儲存!I5446</f>
        <v>0</v>
      </c>
      <c r="H58" s="39">
        <f>資料儲存!J5446</f>
        <v>0</v>
      </c>
      <c r="I58" s="58"/>
      <c r="J58" s="62">
        <v>45</v>
      </c>
      <c r="K58" s="39">
        <f>資料儲存!D5566</f>
        <v>0</v>
      </c>
      <c r="L58" s="39">
        <f>資料儲存!E5566</f>
        <v>0</v>
      </c>
      <c r="M58" s="39">
        <f>資料儲存!F5566</f>
        <v>0</v>
      </c>
      <c r="N58" s="39">
        <f>資料儲存!G5566</f>
        <v>0</v>
      </c>
      <c r="O58" s="39">
        <f>資料儲存!H5566</f>
        <v>0</v>
      </c>
      <c r="P58" s="39">
        <f>資料儲存!I5566</f>
        <v>0</v>
      </c>
      <c r="Q58" s="39">
        <f>資料儲存!J5566</f>
        <v>0</v>
      </c>
      <c r="R58" s="58"/>
      <c r="S58" s="62">
        <v>45</v>
      </c>
      <c r="T58" s="39">
        <f>資料儲存!D5686</f>
        <v>0</v>
      </c>
      <c r="U58" s="39">
        <f>資料儲存!E5686</f>
        <v>0</v>
      </c>
      <c r="V58" s="39">
        <f>資料儲存!F5686</f>
        <v>0</v>
      </c>
      <c r="W58" s="39">
        <f>資料儲存!G5686</f>
        <v>0</v>
      </c>
      <c r="X58" s="39">
        <f>資料儲存!H5686</f>
        <v>0</v>
      </c>
      <c r="Y58" s="39">
        <f>資料儲存!I5686</f>
        <v>0</v>
      </c>
      <c r="Z58" s="39">
        <f>資料儲存!J5686</f>
        <v>0</v>
      </c>
      <c r="AA58" s="58"/>
      <c r="AB58" s="62">
        <v>45</v>
      </c>
      <c r="AC58" s="39">
        <f>資料儲存!D5806</f>
        <v>0</v>
      </c>
      <c r="AD58" s="39">
        <f>資料儲存!E5806</f>
        <v>0</v>
      </c>
      <c r="AE58" s="39">
        <f>資料儲存!F5806</f>
        <v>0</v>
      </c>
      <c r="AF58" s="39">
        <f>資料儲存!G5806</f>
        <v>0</v>
      </c>
      <c r="AG58" s="39">
        <f>資料儲存!H5806</f>
        <v>0</v>
      </c>
      <c r="AH58" s="39">
        <f>資料儲存!I5806</f>
        <v>0</v>
      </c>
      <c r="AI58" s="39">
        <f>資料儲存!J5806</f>
        <v>0</v>
      </c>
      <c r="AJ58" s="58"/>
      <c r="AK58" s="62">
        <v>45</v>
      </c>
      <c r="AL58" s="39">
        <f>資料儲存!D5926</f>
        <v>0</v>
      </c>
      <c r="AM58" s="39">
        <f>資料儲存!E5926</f>
        <v>0</v>
      </c>
      <c r="AN58" s="39">
        <f>資料儲存!F5926</f>
        <v>0</v>
      </c>
      <c r="AO58" s="39">
        <f>資料儲存!G5926</f>
        <v>0</v>
      </c>
      <c r="AP58" s="39">
        <f>資料儲存!H5926</f>
        <v>0</v>
      </c>
      <c r="AQ58" s="39">
        <f>資料儲存!I5926</f>
        <v>0</v>
      </c>
      <c r="AR58" s="39">
        <f>資料儲存!J5926</f>
        <v>0</v>
      </c>
      <c r="AT58" s="62">
        <v>45</v>
      </c>
      <c r="AU58" s="39">
        <f>資料儲存!D6046</f>
        <v>0</v>
      </c>
      <c r="AV58" s="39">
        <f>資料儲存!E6046</f>
        <v>0</v>
      </c>
      <c r="AW58" s="39">
        <f>資料儲存!F6046</f>
        <v>0</v>
      </c>
      <c r="AX58" s="39">
        <f>資料儲存!G6046</f>
        <v>0</v>
      </c>
      <c r="AY58" s="39">
        <f>資料儲存!H6046</f>
        <v>0</v>
      </c>
      <c r="AZ58" s="39">
        <f>資料儲存!I6046</f>
        <v>0</v>
      </c>
      <c r="BA58" s="39">
        <f>資料儲存!J6046</f>
        <v>0</v>
      </c>
    </row>
    <row r="59" spans="1:53" s="59" customFormat="1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35"/>
      <c r="AK59" s="40" t="s">
        <v>56</v>
      </c>
      <c r="AL59" s="39">
        <f>SUM(AL44:AO58)</f>
        <v>0</v>
      </c>
      <c r="AM59" s="37"/>
      <c r="AN59" s="37"/>
      <c r="AO59" s="37"/>
      <c r="AP59" s="39">
        <f>AP58</f>
        <v>0</v>
      </c>
      <c r="AQ59" s="39">
        <f>AQ58</f>
        <v>0</v>
      </c>
      <c r="AR59" s="39">
        <f>AR58</f>
        <v>0</v>
      </c>
      <c r="AT59" s="40" t="s">
        <v>56</v>
      </c>
      <c r="AU59" s="39">
        <f>SUM(AU44:AX58)</f>
        <v>0</v>
      </c>
      <c r="AV59" s="37"/>
      <c r="AW59" s="37"/>
      <c r="AX59" s="37"/>
      <c r="AY59" s="39">
        <f>AY58</f>
        <v>0</v>
      </c>
      <c r="AZ59" s="39">
        <f>AZ58</f>
        <v>0</v>
      </c>
      <c r="BA59" s="39">
        <f>BA58</f>
        <v>0</v>
      </c>
    </row>
    <row r="60" spans="1:53" ht="18.5" thickBot="1">
      <c r="A60" s="257" t="s">
        <v>78</v>
      </c>
      <c r="B60" s="258"/>
      <c r="C60" s="258"/>
      <c r="D60" s="258"/>
      <c r="E60" s="258"/>
      <c r="F60" s="258"/>
      <c r="G60" s="258"/>
      <c r="H60" s="259"/>
      <c r="I60" s="14"/>
      <c r="J60" s="257" t="s">
        <v>78</v>
      </c>
      <c r="K60" s="258"/>
      <c r="L60" s="258"/>
      <c r="M60" s="258"/>
      <c r="N60" s="258"/>
      <c r="O60" s="258"/>
      <c r="P60" s="258"/>
      <c r="Q60" s="259"/>
      <c r="R60" s="14"/>
      <c r="S60" s="257" t="s">
        <v>78</v>
      </c>
      <c r="T60" s="258"/>
      <c r="U60" s="258"/>
      <c r="V60" s="258"/>
      <c r="W60" s="258"/>
      <c r="X60" s="258"/>
      <c r="Y60" s="258"/>
      <c r="Z60" s="259"/>
      <c r="AA60" s="14"/>
      <c r="AB60" s="257" t="s">
        <v>78</v>
      </c>
      <c r="AC60" s="258"/>
      <c r="AD60" s="258"/>
      <c r="AE60" s="258"/>
      <c r="AF60" s="258"/>
      <c r="AG60" s="258"/>
      <c r="AH60" s="258"/>
      <c r="AI60" s="259"/>
      <c r="AJ60" s="14"/>
      <c r="AK60" s="257" t="s">
        <v>78</v>
      </c>
      <c r="AL60" s="258"/>
      <c r="AM60" s="258"/>
      <c r="AN60" s="258"/>
      <c r="AO60" s="258"/>
      <c r="AP60" s="258"/>
      <c r="AQ60" s="258"/>
      <c r="AR60" s="259"/>
      <c r="AT60" s="257" t="s">
        <v>78</v>
      </c>
      <c r="AU60" s="258"/>
      <c r="AV60" s="258"/>
      <c r="AW60" s="258"/>
      <c r="AX60" s="258"/>
      <c r="AY60" s="258"/>
      <c r="AZ60" s="258"/>
      <c r="BA60" s="259"/>
    </row>
    <row r="61" spans="1:53" s="67" customFormat="1" ht="17.25" customHeight="1" thickBot="1">
      <c r="A61" s="63" t="s">
        <v>2</v>
      </c>
      <c r="B61" s="64" t="s">
        <v>46</v>
      </c>
      <c r="C61" s="65"/>
      <c r="D61" s="65"/>
      <c r="E61" s="66"/>
      <c r="F61" s="64" t="s">
        <v>47</v>
      </c>
      <c r="G61" s="65"/>
      <c r="H61" s="66"/>
      <c r="I61" s="52"/>
      <c r="J61" s="63" t="s">
        <v>2</v>
      </c>
      <c r="K61" s="64" t="s">
        <v>46</v>
      </c>
      <c r="L61" s="65"/>
      <c r="M61" s="65"/>
      <c r="N61" s="66"/>
      <c r="O61" s="64" t="s">
        <v>47</v>
      </c>
      <c r="P61" s="65"/>
      <c r="Q61" s="66"/>
      <c r="R61" s="52"/>
      <c r="S61" s="63" t="s">
        <v>2</v>
      </c>
      <c r="T61" s="64" t="s">
        <v>46</v>
      </c>
      <c r="U61" s="65"/>
      <c r="V61" s="65"/>
      <c r="W61" s="66"/>
      <c r="X61" s="64" t="s">
        <v>47</v>
      </c>
      <c r="Y61" s="65"/>
      <c r="Z61" s="66"/>
      <c r="AA61" s="52"/>
      <c r="AB61" s="63" t="s">
        <v>2</v>
      </c>
      <c r="AC61" s="64" t="s">
        <v>46</v>
      </c>
      <c r="AD61" s="65"/>
      <c r="AE61" s="65"/>
      <c r="AF61" s="66"/>
      <c r="AG61" s="64" t="s">
        <v>47</v>
      </c>
      <c r="AH61" s="65"/>
      <c r="AI61" s="66"/>
      <c r="AJ61" s="52"/>
      <c r="AK61" s="63" t="s">
        <v>2</v>
      </c>
      <c r="AL61" s="64" t="s">
        <v>46</v>
      </c>
      <c r="AM61" s="65"/>
      <c r="AN61" s="65"/>
      <c r="AO61" s="66"/>
      <c r="AP61" s="64" t="s">
        <v>47</v>
      </c>
      <c r="AQ61" s="65"/>
      <c r="AR61" s="66"/>
      <c r="AT61" s="63" t="s">
        <v>2</v>
      </c>
      <c r="AU61" s="64" t="s">
        <v>46</v>
      </c>
      <c r="AV61" s="65"/>
      <c r="AW61" s="65"/>
      <c r="AX61" s="66"/>
      <c r="AY61" s="64" t="s">
        <v>47</v>
      </c>
      <c r="AZ61" s="65"/>
      <c r="BA61" s="66"/>
    </row>
    <row r="62" spans="1:53" s="67" customFormat="1" ht="16" thickBot="1">
      <c r="A62" s="68" t="s">
        <v>79</v>
      </c>
      <c r="B62" s="69" t="s">
        <v>49</v>
      </c>
      <c r="C62" s="69" t="s">
        <v>50</v>
      </c>
      <c r="D62" s="69" t="s">
        <v>51</v>
      </c>
      <c r="E62" s="69" t="s">
        <v>52</v>
      </c>
      <c r="F62" s="69" t="s">
        <v>53</v>
      </c>
      <c r="G62" s="69" t="s">
        <v>54</v>
      </c>
      <c r="H62" s="69" t="s">
        <v>55</v>
      </c>
      <c r="I62" s="52"/>
      <c r="J62" s="68" t="s">
        <v>79</v>
      </c>
      <c r="K62" s="69" t="s">
        <v>49</v>
      </c>
      <c r="L62" s="69" t="s">
        <v>50</v>
      </c>
      <c r="M62" s="69" t="s">
        <v>51</v>
      </c>
      <c r="N62" s="69" t="s">
        <v>52</v>
      </c>
      <c r="O62" s="69" t="s">
        <v>53</v>
      </c>
      <c r="P62" s="69" t="s">
        <v>54</v>
      </c>
      <c r="Q62" s="69" t="s">
        <v>55</v>
      </c>
      <c r="R62" s="52"/>
      <c r="S62" s="68" t="s">
        <v>79</v>
      </c>
      <c r="T62" s="69" t="s">
        <v>49</v>
      </c>
      <c r="U62" s="69" t="s">
        <v>50</v>
      </c>
      <c r="V62" s="69" t="s">
        <v>51</v>
      </c>
      <c r="W62" s="69" t="s">
        <v>52</v>
      </c>
      <c r="X62" s="69" t="s">
        <v>53</v>
      </c>
      <c r="Y62" s="69" t="s">
        <v>54</v>
      </c>
      <c r="Z62" s="69" t="s">
        <v>55</v>
      </c>
      <c r="AA62" s="52"/>
      <c r="AB62" s="68" t="s">
        <v>79</v>
      </c>
      <c r="AC62" s="69" t="s">
        <v>49</v>
      </c>
      <c r="AD62" s="69" t="s">
        <v>50</v>
      </c>
      <c r="AE62" s="69" t="s">
        <v>51</v>
      </c>
      <c r="AF62" s="69" t="s">
        <v>52</v>
      </c>
      <c r="AG62" s="69" t="s">
        <v>53</v>
      </c>
      <c r="AH62" s="69" t="s">
        <v>54</v>
      </c>
      <c r="AI62" s="69" t="s">
        <v>55</v>
      </c>
      <c r="AJ62" s="52"/>
      <c r="AK62" s="68" t="s">
        <v>79</v>
      </c>
      <c r="AL62" s="69" t="s">
        <v>49</v>
      </c>
      <c r="AM62" s="69" t="s">
        <v>50</v>
      </c>
      <c r="AN62" s="69" t="s">
        <v>51</v>
      </c>
      <c r="AO62" s="69" t="s">
        <v>52</v>
      </c>
      <c r="AP62" s="69" t="s">
        <v>53</v>
      </c>
      <c r="AQ62" s="69" t="s">
        <v>54</v>
      </c>
      <c r="AR62" s="69" t="s">
        <v>55</v>
      </c>
      <c r="AT62" s="68" t="s">
        <v>79</v>
      </c>
      <c r="AU62" s="69" t="s">
        <v>49</v>
      </c>
      <c r="AV62" s="69" t="s">
        <v>50</v>
      </c>
      <c r="AW62" s="69" t="s">
        <v>51</v>
      </c>
      <c r="AX62" s="69" t="s">
        <v>52</v>
      </c>
      <c r="AY62" s="69" t="s">
        <v>53</v>
      </c>
      <c r="AZ62" s="69" t="s">
        <v>54</v>
      </c>
      <c r="BA62" s="69" t="s">
        <v>55</v>
      </c>
    </row>
    <row r="63" spans="1:53" s="67" customFormat="1" ht="16" thickBot="1">
      <c r="A63" s="70">
        <v>46</v>
      </c>
      <c r="B63" s="49">
        <f>資料儲存!D5447</f>
        <v>0</v>
      </c>
      <c r="C63" s="49">
        <f>資料儲存!E5447</f>
        <v>0</v>
      </c>
      <c r="D63" s="49">
        <f>資料儲存!F5447</f>
        <v>0</v>
      </c>
      <c r="E63" s="49">
        <f>資料儲存!G5447</f>
        <v>0</v>
      </c>
      <c r="F63" s="49">
        <f>資料儲存!H5447</f>
        <v>0</v>
      </c>
      <c r="G63" s="49">
        <f>資料儲存!I5447</f>
        <v>0</v>
      </c>
      <c r="H63" s="49">
        <f>資料儲存!J5447</f>
        <v>0</v>
      </c>
      <c r="I63" s="52"/>
      <c r="J63" s="70">
        <v>46</v>
      </c>
      <c r="K63" s="49">
        <f>資料儲存!D5567</f>
        <v>0</v>
      </c>
      <c r="L63" s="49">
        <f>資料儲存!E5567</f>
        <v>0</v>
      </c>
      <c r="M63" s="49">
        <f>資料儲存!F5567</f>
        <v>0</v>
      </c>
      <c r="N63" s="49">
        <f>資料儲存!G5567</f>
        <v>0</v>
      </c>
      <c r="O63" s="49">
        <f>資料儲存!H5567</f>
        <v>0</v>
      </c>
      <c r="P63" s="49">
        <f>資料儲存!I5567</f>
        <v>0</v>
      </c>
      <c r="Q63" s="49">
        <f>資料儲存!J5567</f>
        <v>0</v>
      </c>
      <c r="R63" s="52"/>
      <c r="S63" s="70">
        <v>46</v>
      </c>
      <c r="T63" s="49">
        <f>資料儲存!D5687</f>
        <v>0</v>
      </c>
      <c r="U63" s="49">
        <f>資料儲存!E5687</f>
        <v>0</v>
      </c>
      <c r="V63" s="49">
        <f>資料儲存!F5687</f>
        <v>0</v>
      </c>
      <c r="W63" s="49">
        <f>資料儲存!G5687</f>
        <v>0</v>
      </c>
      <c r="X63" s="49">
        <f>資料儲存!H5687</f>
        <v>0</v>
      </c>
      <c r="Y63" s="49">
        <f>資料儲存!I5687</f>
        <v>0</v>
      </c>
      <c r="Z63" s="49">
        <f>資料儲存!J5687</f>
        <v>0</v>
      </c>
      <c r="AA63" s="52"/>
      <c r="AB63" s="70">
        <v>46</v>
      </c>
      <c r="AC63" s="49">
        <f>資料儲存!D5807</f>
        <v>0</v>
      </c>
      <c r="AD63" s="49">
        <f>資料儲存!E5807</f>
        <v>0</v>
      </c>
      <c r="AE63" s="49">
        <f>資料儲存!F5807</f>
        <v>0</v>
      </c>
      <c r="AF63" s="49">
        <f>資料儲存!G5807</f>
        <v>0</v>
      </c>
      <c r="AG63" s="49">
        <f>資料儲存!H5807</f>
        <v>0</v>
      </c>
      <c r="AH63" s="49">
        <f>資料儲存!I5807</f>
        <v>0</v>
      </c>
      <c r="AI63" s="49">
        <f>資料儲存!J5807</f>
        <v>0</v>
      </c>
      <c r="AJ63" s="52"/>
      <c r="AK63" s="70">
        <v>46</v>
      </c>
      <c r="AL63" s="49">
        <f>資料儲存!D5927</f>
        <v>0</v>
      </c>
      <c r="AM63" s="49">
        <f>資料儲存!E5927</f>
        <v>0</v>
      </c>
      <c r="AN63" s="49">
        <f>資料儲存!F5927</f>
        <v>0</v>
      </c>
      <c r="AO63" s="49">
        <f>資料儲存!G5927</f>
        <v>0</v>
      </c>
      <c r="AP63" s="49">
        <f>資料儲存!H5927</f>
        <v>0</v>
      </c>
      <c r="AQ63" s="49">
        <f>資料儲存!I5927</f>
        <v>0</v>
      </c>
      <c r="AR63" s="49">
        <f>資料儲存!J5927</f>
        <v>0</v>
      </c>
      <c r="AT63" s="70">
        <v>46</v>
      </c>
      <c r="AU63" s="49">
        <f>資料儲存!D6047</f>
        <v>0</v>
      </c>
      <c r="AV63" s="49">
        <f>資料儲存!E6047</f>
        <v>0</v>
      </c>
      <c r="AW63" s="49">
        <f>資料儲存!F6047</f>
        <v>0</v>
      </c>
      <c r="AX63" s="49">
        <f>資料儲存!G6047</f>
        <v>0</v>
      </c>
      <c r="AY63" s="49">
        <f>資料儲存!H6047</f>
        <v>0</v>
      </c>
      <c r="AZ63" s="49">
        <f>資料儲存!I6047</f>
        <v>0</v>
      </c>
      <c r="BA63" s="49">
        <f>資料儲存!J6047</f>
        <v>0</v>
      </c>
    </row>
    <row r="64" spans="1:53" s="67" customFormat="1" ht="16" thickBot="1">
      <c r="A64" s="70">
        <v>47</v>
      </c>
      <c r="B64" s="49">
        <f>資料儲存!D5448</f>
        <v>0</v>
      </c>
      <c r="C64" s="49">
        <f>資料儲存!E5448</f>
        <v>0</v>
      </c>
      <c r="D64" s="49">
        <f>資料儲存!F5448</f>
        <v>0</v>
      </c>
      <c r="E64" s="49">
        <f>資料儲存!G5448</f>
        <v>0</v>
      </c>
      <c r="F64" s="49">
        <f>資料儲存!H5448</f>
        <v>0</v>
      </c>
      <c r="G64" s="49">
        <f>資料儲存!I5448</f>
        <v>0</v>
      </c>
      <c r="H64" s="49">
        <f>資料儲存!J5448</f>
        <v>0</v>
      </c>
      <c r="I64" s="52"/>
      <c r="J64" s="70">
        <v>47</v>
      </c>
      <c r="K64" s="49">
        <f>資料儲存!D5568</f>
        <v>0</v>
      </c>
      <c r="L64" s="49">
        <f>資料儲存!E5568</f>
        <v>0</v>
      </c>
      <c r="M64" s="49">
        <f>資料儲存!F5568</f>
        <v>0</v>
      </c>
      <c r="N64" s="49">
        <f>資料儲存!G5568</f>
        <v>0</v>
      </c>
      <c r="O64" s="49">
        <f>資料儲存!H5568</f>
        <v>0</v>
      </c>
      <c r="P64" s="49">
        <f>資料儲存!I5568</f>
        <v>0</v>
      </c>
      <c r="Q64" s="49">
        <f>資料儲存!J5568</f>
        <v>0</v>
      </c>
      <c r="R64" s="52"/>
      <c r="S64" s="70">
        <v>47</v>
      </c>
      <c r="T64" s="49">
        <f>資料儲存!D5688</f>
        <v>0</v>
      </c>
      <c r="U64" s="49">
        <f>資料儲存!E5688</f>
        <v>0</v>
      </c>
      <c r="V64" s="49">
        <f>資料儲存!F5688</f>
        <v>0</v>
      </c>
      <c r="W64" s="49">
        <f>資料儲存!G5688</f>
        <v>0</v>
      </c>
      <c r="X64" s="49">
        <f>資料儲存!H5688</f>
        <v>0</v>
      </c>
      <c r="Y64" s="49">
        <f>資料儲存!I5688</f>
        <v>0</v>
      </c>
      <c r="Z64" s="49">
        <f>資料儲存!J5688</f>
        <v>0</v>
      </c>
      <c r="AA64" s="52"/>
      <c r="AB64" s="70">
        <v>47</v>
      </c>
      <c r="AC64" s="49">
        <f>資料儲存!D5808</f>
        <v>0</v>
      </c>
      <c r="AD64" s="49">
        <f>資料儲存!E5808</f>
        <v>0</v>
      </c>
      <c r="AE64" s="49">
        <f>資料儲存!F5808</f>
        <v>0</v>
      </c>
      <c r="AF64" s="49">
        <f>資料儲存!G5808</f>
        <v>0</v>
      </c>
      <c r="AG64" s="49">
        <f>資料儲存!H5808</f>
        <v>0</v>
      </c>
      <c r="AH64" s="49">
        <f>資料儲存!I5808</f>
        <v>0</v>
      </c>
      <c r="AI64" s="49">
        <f>資料儲存!J5808</f>
        <v>0</v>
      </c>
      <c r="AJ64" s="52"/>
      <c r="AK64" s="70">
        <v>47</v>
      </c>
      <c r="AL64" s="49">
        <f>資料儲存!D5928</f>
        <v>0</v>
      </c>
      <c r="AM64" s="49">
        <f>資料儲存!E5928</f>
        <v>0</v>
      </c>
      <c r="AN64" s="49">
        <f>資料儲存!F5928</f>
        <v>0</v>
      </c>
      <c r="AO64" s="49">
        <f>資料儲存!G5928</f>
        <v>0</v>
      </c>
      <c r="AP64" s="49">
        <f>資料儲存!H5928</f>
        <v>0</v>
      </c>
      <c r="AQ64" s="49">
        <f>資料儲存!I5928</f>
        <v>0</v>
      </c>
      <c r="AR64" s="49">
        <f>資料儲存!J5928</f>
        <v>0</v>
      </c>
      <c r="AT64" s="70">
        <v>47</v>
      </c>
      <c r="AU64" s="49">
        <f>資料儲存!D6048</f>
        <v>0</v>
      </c>
      <c r="AV64" s="49">
        <f>資料儲存!E6048</f>
        <v>0</v>
      </c>
      <c r="AW64" s="49">
        <f>資料儲存!F6048</f>
        <v>0</v>
      </c>
      <c r="AX64" s="49">
        <f>資料儲存!G6048</f>
        <v>0</v>
      </c>
      <c r="AY64" s="49">
        <f>資料儲存!H6048</f>
        <v>0</v>
      </c>
      <c r="AZ64" s="49">
        <f>資料儲存!I6048</f>
        <v>0</v>
      </c>
      <c r="BA64" s="49">
        <f>資料儲存!J6048</f>
        <v>0</v>
      </c>
    </row>
    <row r="65" spans="1:53" s="67" customFormat="1" ht="16" thickBot="1">
      <c r="A65" s="70">
        <v>48</v>
      </c>
      <c r="B65" s="49">
        <f>資料儲存!D5449</f>
        <v>0</v>
      </c>
      <c r="C65" s="49">
        <f>資料儲存!E5449</f>
        <v>0</v>
      </c>
      <c r="D65" s="49">
        <f>資料儲存!F5449</f>
        <v>0</v>
      </c>
      <c r="E65" s="49">
        <f>資料儲存!G5449</f>
        <v>0</v>
      </c>
      <c r="F65" s="49">
        <f>資料儲存!H5449</f>
        <v>0</v>
      </c>
      <c r="G65" s="49">
        <f>資料儲存!I5449</f>
        <v>0</v>
      </c>
      <c r="H65" s="49">
        <f>資料儲存!J5449</f>
        <v>0</v>
      </c>
      <c r="I65" s="52"/>
      <c r="J65" s="70">
        <v>48</v>
      </c>
      <c r="K65" s="49">
        <f>資料儲存!D5569</f>
        <v>0</v>
      </c>
      <c r="L65" s="49">
        <f>資料儲存!E5569</f>
        <v>0</v>
      </c>
      <c r="M65" s="49">
        <f>資料儲存!F5569</f>
        <v>0</v>
      </c>
      <c r="N65" s="49">
        <f>資料儲存!G5569</f>
        <v>0</v>
      </c>
      <c r="O65" s="49">
        <f>資料儲存!H5569</f>
        <v>0</v>
      </c>
      <c r="P65" s="49">
        <f>資料儲存!I5569</f>
        <v>0</v>
      </c>
      <c r="Q65" s="49">
        <f>資料儲存!J5569</f>
        <v>0</v>
      </c>
      <c r="R65" s="52"/>
      <c r="S65" s="70">
        <v>48</v>
      </c>
      <c r="T65" s="49">
        <f>資料儲存!D5689</f>
        <v>0</v>
      </c>
      <c r="U65" s="49">
        <f>資料儲存!E5689</f>
        <v>0</v>
      </c>
      <c r="V65" s="49">
        <f>資料儲存!F5689</f>
        <v>0</v>
      </c>
      <c r="W65" s="49">
        <f>資料儲存!G5689</f>
        <v>0</v>
      </c>
      <c r="X65" s="49">
        <f>資料儲存!H5689</f>
        <v>0</v>
      </c>
      <c r="Y65" s="49">
        <f>資料儲存!I5689</f>
        <v>0</v>
      </c>
      <c r="Z65" s="49">
        <f>資料儲存!J5689</f>
        <v>0</v>
      </c>
      <c r="AA65" s="52"/>
      <c r="AB65" s="70">
        <v>48</v>
      </c>
      <c r="AC65" s="49">
        <f>資料儲存!D5809</f>
        <v>0</v>
      </c>
      <c r="AD65" s="49">
        <f>資料儲存!E5809</f>
        <v>0</v>
      </c>
      <c r="AE65" s="49">
        <f>資料儲存!F5809</f>
        <v>0</v>
      </c>
      <c r="AF65" s="49">
        <f>資料儲存!G5809</f>
        <v>0</v>
      </c>
      <c r="AG65" s="49">
        <f>資料儲存!H5809</f>
        <v>0</v>
      </c>
      <c r="AH65" s="49">
        <f>資料儲存!I5809</f>
        <v>0</v>
      </c>
      <c r="AI65" s="49">
        <f>資料儲存!J5809</f>
        <v>0</v>
      </c>
      <c r="AJ65" s="52"/>
      <c r="AK65" s="70">
        <v>48</v>
      </c>
      <c r="AL65" s="49">
        <f>資料儲存!D5929</f>
        <v>0</v>
      </c>
      <c r="AM65" s="49">
        <f>資料儲存!E5929</f>
        <v>0</v>
      </c>
      <c r="AN65" s="49">
        <f>資料儲存!F5929</f>
        <v>0</v>
      </c>
      <c r="AO65" s="49">
        <f>資料儲存!G5929</f>
        <v>0</v>
      </c>
      <c r="AP65" s="49">
        <f>資料儲存!H5929</f>
        <v>0</v>
      </c>
      <c r="AQ65" s="49">
        <f>資料儲存!I5929</f>
        <v>0</v>
      </c>
      <c r="AR65" s="49">
        <f>資料儲存!J5929</f>
        <v>0</v>
      </c>
      <c r="AT65" s="70">
        <v>48</v>
      </c>
      <c r="AU65" s="49">
        <f>資料儲存!D6049</f>
        <v>0</v>
      </c>
      <c r="AV65" s="49">
        <f>資料儲存!E6049</f>
        <v>0</v>
      </c>
      <c r="AW65" s="49">
        <f>資料儲存!F6049</f>
        <v>0</v>
      </c>
      <c r="AX65" s="49">
        <f>資料儲存!G6049</f>
        <v>0</v>
      </c>
      <c r="AY65" s="49">
        <f>資料儲存!H6049</f>
        <v>0</v>
      </c>
      <c r="AZ65" s="49">
        <f>資料儲存!I6049</f>
        <v>0</v>
      </c>
      <c r="BA65" s="49">
        <f>資料儲存!J6049</f>
        <v>0</v>
      </c>
    </row>
    <row r="66" spans="1:53" s="67" customFormat="1" ht="16" thickBot="1">
      <c r="A66" s="70">
        <v>49</v>
      </c>
      <c r="B66" s="49">
        <f>資料儲存!D5450</f>
        <v>0</v>
      </c>
      <c r="C66" s="49">
        <f>資料儲存!E5450</f>
        <v>0</v>
      </c>
      <c r="D66" s="49">
        <f>資料儲存!F5450</f>
        <v>0</v>
      </c>
      <c r="E66" s="49">
        <f>資料儲存!G5450</f>
        <v>0</v>
      </c>
      <c r="F66" s="49">
        <f>資料儲存!H5450</f>
        <v>0</v>
      </c>
      <c r="G66" s="49">
        <f>資料儲存!I5450</f>
        <v>0</v>
      </c>
      <c r="H66" s="49">
        <f>資料儲存!J5450</f>
        <v>0</v>
      </c>
      <c r="I66" s="52"/>
      <c r="J66" s="70">
        <v>49</v>
      </c>
      <c r="K66" s="49">
        <f>資料儲存!D5570</f>
        <v>0</v>
      </c>
      <c r="L66" s="49">
        <f>資料儲存!E5570</f>
        <v>0</v>
      </c>
      <c r="M66" s="49">
        <f>資料儲存!F5570</f>
        <v>0</v>
      </c>
      <c r="N66" s="49">
        <f>資料儲存!G5570</f>
        <v>0</v>
      </c>
      <c r="O66" s="49">
        <f>資料儲存!H5570</f>
        <v>0</v>
      </c>
      <c r="P66" s="49">
        <f>資料儲存!I5570</f>
        <v>0</v>
      </c>
      <c r="Q66" s="49">
        <f>資料儲存!J5570</f>
        <v>0</v>
      </c>
      <c r="R66" s="52"/>
      <c r="S66" s="70">
        <v>49</v>
      </c>
      <c r="T66" s="49">
        <f>資料儲存!D5690</f>
        <v>0</v>
      </c>
      <c r="U66" s="49">
        <f>資料儲存!E5690</f>
        <v>0</v>
      </c>
      <c r="V66" s="49">
        <f>資料儲存!F5690</f>
        <v>0</v>
      </c>
      <c r="W66" s="49">
        <f>資料儲存!G5690</f>
        <v>0</v>
      </c>
      <c r="X66" s="49">
        <f>資料儲存!H5690</f>
        <v>0</v>
      </c>
      <c r="Y66" s="49">
        <f>資料儲存!I5690</f>
        <v>0</v>
      </c>
      <c r="Z66" s="49">
        <f>資料儲存!J5690</f>
        <v>0</v>
      </c>
      <c r="AA66" s="52"/>
      <c r="AB66" s="70">
        <v>49</v>
      </c>
      <c r="AC66" s="49">
        <f>資料儲存!D5810</f>
        <v>0</v>
      </c>
      <c r="AD66" s="49">
        <f>資料儲存!E5810</f>
        <v>0</v>
      </c>
      <c r="AE66" s="49">
        <f>資料儲存!F5810</f>
        <v>0</v>
      </c>
      <c r="AF66" s="49">
        <f>資料儲存!G5810</f>
        <v>0</v>
      </c>
      <c r="AG66" s="49">
        <f>資料儲存!H5810</f>
        <v>0</v>
      </c>
      <c r="AH66" s="49">
        <f>資料儲存!I5810</f>
        <v>0</v>
      </c>
      <c r="AI66" s="49">
        <f>資料儲存!J5810</f>
        <v>0</v>
      </c>
      <c r="AJ66" s="52"/>
      <c r="AK66" s="70">
        <v>49</v>
      </c>
      <c r="AL66" s="49">
        <f>資料儲存!D5930</f>
        <v>0</v>
      </c>
      <c r="AM66" s="49">
        <f>資料儲存!E5930</f>
        <v>0</v>
      </c>
      <c r="AN66" s="49">
        <f>資料儲存!F5930</f>
        <v>0</v>
      </c>
      <c r="AO66" s="49">
        <f>資料儲存!G5930</f>
        <v>0</v>
      </c>
      <c r="AP66" s="49">
        <f>資料儲存!H5930</f>
        <v>0</v>
      </c>
      <c r="AQ66" s="49">
        <f>資料儲存!I5930</f>
        <v>0</v>
      </c>
      <c r="AR66" s="49">
        <f>資料儲存!J5930</f>
        <v>0</v>
      </c>
      <c r="AT66" s="70">
        <v>49</v>
      </c>
      <c r="AU66" s="49">
        <f>資料儲存!D6050</f>
        <v>0</v>
      </c>
      <c r="AV66" s="49">
        <f>資料儲存!E6050</f>
        <v>0</v>
      </c>
      <c r="AW66" s="49">
        <f>資料儲存!F6050</f>
        <v>0</v>
      </c>
      <c r="AX66" s="49">
        <f>資料儲存!G6050</f>
        <v>0</v>
      </c>
      <c r="AY66" s="49">
        <f>資料儲存!H6050</f>
        <v>0</v>
      </c>
      <c r="AZ66" s="49">
        <f>資料儲存!I6050</f>
        <v>0</v>
      </c>
      <c r="BA66" s="49">
        <f>資料儲存!J6050</f>
        <v>0</v>
      </c>
    </row>
    <row r="67" spans="1:53" s="67" customFormat="1" ht="16" thickBot="1">
      <c r="A67" s="70">
        <v>50</v>
      </c>
      <c r="B67" s="49">
        <f>資料儲存!D5451</f>
        <v>0</v>
      </c>
      <c r="C67" s="49">
        <f>資料儲存!E5451</f>
        <v>0</v>
      </c>
      <c r="D67" s="49">
        <f>資料儲存!F5451</f>
        <v>0</v>
      </c>
      <c r="E67" s="49">
        <f>資料儲存!G5451</f>
        <v>0</v>
      </c>
      <c r="F67" s="49">
        <f>資料儲存!H5451</f>
        <v>0</v>
      </c>
      <c r="G67" s="49">
        <f>資料儲存!I5451</f>
        <v>0</v>
      </c>
      <c r="H67" s="49">
        <f>資料儲存!J5451</f>
        <v>0</v>
      </c>
      <c r="I67" s="52"/>
      <c r="J67" s="70">
        <v>50</v>
      </c>
      <c r="K67" s="49">
        <f>資料儲存!D5571</f>
        <v>0</v>
      </c>
      <c r="L67" s="49">
        <f>資料儲存!E5571</f>
        <v>0</v>
      </c>
      <c r="M67" s="49">
        <f>資料儲存!F5571</f>
        <v>0</v>
      </c>
      <c r="N67" s="49">
        <f>資料儲存!G5571</f>
        <v>0</v>
      </c>
      <c r="O67" s="49">
        <f>資料儲存!H5571</f>
        <v>0</v>
      </c>
      <c r="P67" s="49">
        <f>資料儲存!I5571</f>
        <v>0</v>
      </c>
      <c r="Q67" s="49">
        <f>資料儲存!J5571</f>
        <v>0</v>
      </c>
      <c r="R67" s="52"/>
      <c r="S67" s="70">
        <v>50</v>
      </c>
      <c r="T67" s="49">
        <f>資料儲存!D5691</f>
        <v>0</v>
      </c>
      <c r="U67" s="49">
        <f>資料儲存!E5691</f>
        <v>0</v>
      </c>
      <c r="V67" s="49">
        <f>資料儲存!F5691</f>
        <v>0</v>
      </c>
      <c r="W67" s="49">
        <f>資料儲存!G5691</f>
        <v>0</v>
      </c>
      <c r="X67" s="49">
        <f>資料儲存!H5691</f>
        <v>0</v>
      </c>
      <c r="Y67" s="49">
        <f>資料儲存!I5691</f>
        <v>0</v>
      </c>
      <c r="Z67" s="49">
        <f>資料儲存!J5691</f>
        <v>0</v>
      </c>
      <c r="AA67" s="52"/>
      <c r="AB67" s="70">
        <v>50</v>
      </c>
      <c r="AC67" s="49">
        <f>資料儲存!D5811</f>
        <v>0</v>
      </c>
      <c r="AD67" s="49">
        <f>資料儲存!E5811</f>
        <v>0</v>
      </c>
      <c r="AE67" s="49">
        <f>資料儲存!F5811</f>
        <v>0</v>
      </c>
      <c r="AF67" s="49">
        <f>資料儲存!G5811</f>
        <v>0</v>
      </c>
      <c r="AG67" s="49">
        <f>資料儲存!H5811</f>
        <v>0</v>
      </c>
      <c r="AH67" s="49">
        <f>資料儲存!I5811</f>
        <v>0</v>
      </c>
      <c r="AI67" s="49">
        <f>資料儲存!J5811</f>
        <v>0</v>
      </c>
      <c r="AJ67" s="52"/>
      <c r="AK67" s="70">
        <v>50</v>
      </c>
      <c r="AL67" s="49">
        <f>資料儲存!D5931</f>
        <v>0</v>
      </c>
      <c r="AM67" s="49">
        <f>資料儲存!E5931</f>
        <v>0</v>
      </c>
      <c r="AN67" s="49">
        <f>資料儲存!F5931</f>
        <v>0</v>
      </c>
      <c r="AO67" s="49">
        <f>資料儲存!G5931</f>
        <v>0</v>
      </c>
      <c r="AP67" s="49">
        <f>資料儲存!H5931</f>
        <v>0</v>
      </c>
      <c r="AQ67" s="49">
        <f>資料儲存!I5931</f>
        <v>0</v>
      </c>
      <c r="AR67" s="49">
        <f>資料儲存!J5931</f>
        <v>0</v>
      </c>
      <c r="AT67" s="70">
        <v>50</v>
      </c>
      <c r="AU67" s="49">
        <f>資料儲存!D6051</f>
        <v>0</v>
      </c>
      <c r="AV67" s="49">
        <f>資料儲存!E6051</f>
        <v>0</v>
      </c>
      <c r="AW67" s="49">
        <f>資料儲存!F6051</f>
        <v>0</v>
      </c>
      <c r="AX67" s="49">
        <f>資料儲存!G6051</f>
        <v>0</v>
      </c>
      <c r="AY67" s="49">
        <f>資料儲存!H6051</f>
        <v>0</v>
      </c>
      <c r="AZ67" s="49">
        <f>資料儲存!I6051</f>
        <v>0</v>
      </c>
      <c r="BA67" s="49">
        <f>資料儲存!J6051</f>
        <v>0</v>
      </c>
    </row>
    <row r="68" spans="1:53" s="67" customFormat="1" ht="16" thickBot="1">
      <c r="A68" s="70">
        <v>51</v>
      </c>
      <c r="B68" s="49">
        <f>資料儲存!D5452</f>
        <v>0</v>
      </c>
      <c r="C68" s="49">
        <f>資料儲存!E5452</f>
        <v>0</v>
      </c>
      <c r="D68" s="49">
        <f>資料儲存!F5452</f>
        <v>0</v>
      </c>
      <c r="E68" s="49">
        <f>資料儲存!G5452</f>
        <v>0</v>
      </c>
      <c r="F68" s="49">
        <f>資料儲存!H5452</f>
        <v>0</v>
      </c>
      <c r="G68" s="49">
        <f>資料儲存!I5452</f>
        <v>0</v>
      </c>
      <c r="H68" s="49">
        <f>資料儲存!J5452</f>
        <v>0</v>
      </c>
      <c r="I68" s="52"/>
      <c r="J68" s="70">
        <v>51</v>
      </c>
      <c r="K68" s="49">
        <f>資料儲存!D5572</f>
        <v>0</v>
      </c>
      <c r="L68" s="49">
        <f>資料儲存!E5572</f>
        <v>0</v>
      </c>
      <c r="M68" s="49">
        <f>資料儲存!F5572</f>
        <v>0</v>
      </c>
      <c r="N68" s="49">
        <f>資料儲存!G5572</f>
        <v>0</v>
      </c>
      <c r="O68" s="49">
        <f>資料儲存!H5572</f>
        <v>0</v>
      </c>
      <c r="P68" s="49">
        <f>資料儲存!I5572</f>
        <v>0</v>
      </c>
      <c r="Q68" s="49">
        <f>資料儲存!J5572</f>
        <v>0</v>
      </c>
      <c r="R68" s="52"/>
      <c r="S68" s="70">
        <v>51</v>
      </c>
      <c r="T68" s="49">
        <f>資料儲存!D5692</f>
        <v>0</v>
      </c>
      <c r="U68" s="49">
        <f>資料儲存!E5692</f>
        <v>0</v>
      </c>
      <c r="V68" s="49">
        <f>資料儲存!F5692</f>
        <v>0</v>
      </c>
      <c r="W68" s="49">
        <f>資料儲存!G5692</f>
        <v>0</v>
      </c>
      <c r="X68" s="49">
        <f>資料儲存!H5692</f>
        <v>0</v>
      </c>
      <c r="Y68" s="49">
        <f>資料儲存!I5692</f>
        <v>0</v>
      </c>
      <c r="Z68" s="49">
        <f>資料儲存!J5692</f>
        <v>0</v>
      </c>
      <c r="AA68" s="52"/>
      <c r="AB68" s="70">
        <v>51</v>
      </c>
      <c r="AC68" s="49">
        <f>資料儲存!D5812</f>
        <v>0</v>
      </c>
      <c r="AD68" s="49">
        <f>資料儲存!E5812</f>
        <v>0</v>
      </c>
      <c r="AE68" s="49">
        <f>資料儲存!F5812</f>
        <v>0</v>
      </c>
      <c r="AF68" s="49">
        <f>資料儲存!G5812</f>
        <v>0</v>
      </c>
      <c r="AG68" s="49">
        <f>資料儲存!H5812</f>
        <v>0</v>
      </c>
      <c r="AH68" s="49">
        <f>資料儲存!I5812</f>
        <v>0</v>
      </c>
      <c r="AI68" s="49">
        <f>資料儲存!J5812</f>
        <v>0</v>
      </c>
      <c r="AJ68" s="52"/>
      <c r="AK68" s="70">
        <v>51</v>
      </c>
      <c r="AL68" s="49">
        <f>資料儲存!D5932</f>
        <v>0</v>
      </c>
      <c r="AM68" s="49">
        <f>資料儲存!E5932</f>
        <v>0</v>
      </c>
      <c r="AN68" s="49">
        <f>資料儲存!F5932</f>
        <v>0</v>
      </c>
      <c r="AO68" s="49">
        <f>資料儲存!G5932</f>
        <v>0</v>
      </c>
      <c r="AP68" s="49">
        <f>資料儲存!H5932</f>
        <v>0</v>
      </c>
      <c r="AQ68" s="49">
        <f>資料儲存!I5932</f>
        <v>0</v>
      </c>
      <c r="AR68" s="49">
        <f>資料儲存!J5932</f>
        <v>0</v>
      </c>
      <c r="AT68" s="70">
        <v>51</v>
      </c>
      <c r="AU68" s="49">
        <f>資料儲存!D6052</f>
        <v>0</v>
      </c>
      <c r="AV68" s="49">
        <f>資料儲存!E6052</f>
        <v>0</v>
      </c>
      <c r="AW68" s="49">
        <f>資料儲存!F6052</f>
        <v>0</v>
      </c>
      <c r="AX68" s="49">
        <f>資料儲存!G6052</f>
        <v>0</v>
      </c>
      <c r="AY68" s="49">
        <f>資料儲存!H6052</f>
        <v>0</v>
      </c>
      <c r="AZ68" s="49">
        <f>資料儲存!I6052</f>
        <v>0</v>
      </c>
      <c r="BA68" s="49">
        <f>資料儲存!J6052</f>
        <v>0</v>
      </c>
    </row>
    <row r="69" spans="1:53" s="67" customFormat="1" ht="16" thickBot="1">
      <c r="A69" s="70">
        <v>52</v>
      </c>
      <c r="B69" s="49">
        <f>資料儲存!D5453</f>
        <v>0</v>
      </c>
      <c r="C69" s="49">
        <f>資料儲存!E5453</f>
        <v>0</v>
      </c>
      <c r="D69" s="49">
        <f>資料儲存!F5453</f>
        <v>0</v>
      </c>
      <c r="E69" s="49">
        <f>資料儲存!G5453</f>
        <v>0</v>
      </c>
      <c r="F69" s="49">
        <f>資料儲存!H5453</f>
        <v>0</v>
      </c>
      <c r="G69" s="49">
        <f>資料儲存!I5453</f>
        <v>0</v>
      </c>
      <c r="H69" s="49">
        <f>資料儲存!J5453</f>
        <v>0</v>
      </c>
      <c r="I69" s="52"/>
      <c r="J69" s="70">
        <v>52</v>
      </c>
      <c r="K69" s="49">
        <f>資料儲存!D5573</f>
        <v>0</v>
      </c>
      <c r="L69" s="49">
        <f>資料儲存!E5573</f>
        <v>0</v>
      </c>
      <c r="M69" s="49">
        <f>資料儲存!F5573</f>
        <v>0</v>
      </c>
      <c r="N69" s="49">
        <f>資料儲存!G5573</f>
        <v>0</v>
      </c>
      <c r="O69" s="49">
        <f>資料儲存!H5573</f>
        <v>0</v>
      </c>
      <c r="P69" s="49">
        <f>資料儲存!I5573</f>
        <v>0</v>
      </c>
      <c r="Q69" s="49">
        <f>資料儲存!J5573</f>
        <v>0</v>
      </c>
      <c r="R69" s="52"/>
      <c r="S69" s="70">
        <v>52</v>
      </c>
      <c r="T69" s="49">
        <f>資料儲存!D5693</f>
        <v>0</v>
      </c>
      <c r="U69" s="49">
        <f>資料儲存!E5693</f>
        <v>0</v>
      </c>
      <c r="V69" s="49">
        <f>資料儲存!F5693</f>
        <v>0</v>
      </c>
      <c r="W69" s="49">
        <f>資料儲存!G5693</f>
        <v>0</v>
      </c>
      <c r="X69" s="49">
        <f>資料儲存!H5693</f>
        <v>0</v>
      </c>
      <c r="Y69" s="49">
        <f>資料儲存!I5693</f>
        <v>0</v>
      </c>
      <c r="Z69" s="49">
        <f>資料儲存!J5693</f>
        <v>0</v>
      </c>
      <c r="AA69" s="52"/>
      <c r="AB69" s="70">
        <v>52</v>
      </c>
      <c r="AC69" s="49">
        <f>資料儲存!D5813</f>
        <v>0</v>
      </c>
      <c r="AD69" s="49">
        <f>資料儲存!E5813</f>
        <v>0</v>
      </c>
      <c r="AE69" s="49">
        <f>資料儲存!F5813</f>
        <v>0</v>
      </c>
      <c r="AF69" s="49">
        <f>資料儲存!G5813</f>
        <v>0</v>
      </c>
      <c r="AG69" s="49">
        <f>資料儲存!H5813</f>
        <v>0</v>
      </c>
      <c r="AH69" s="49">
        <f>資料儲存!I5813</f>
        <v>0</v>
      </c>
      <c r="AI69" s="49">
        <f>資料儲存!J5813</f>
        <v>0</v>
      </c>
      <c r="AJ69" s="52"/>
      <c r="AK69" s="70">
        <v>52</v>
      </c>
      <c r="AL69" s="49">
        <f>資料儲存!D5933</f>
        <v>0</v>
      </c>
      <c r="AM69" s="49">
        <f>資料儲存!E5933</f>
        <v>0</v>
      </c>
      <c r="AN69" s="49">
        <f>資料儲存!F5933</f>
        <v>0</v>
      </c>
      <c r="AO69" s="49">
        <f>資料儲存!G5933</f>
        <v>0</v>
      </c>
      <c r="AP69" s="49">
        <f>資料儲存!H5933</f>
        <v>0</v>
      </c>
      <c r="AQ69" s="49">
        <f>資料儲存!I5933</f>
        <v>0</v>
      </c>
      <c r="AR69" s="49">
        <f>資料儲存!J5933</f>
        <v>0</v>
      </c>
      <c r="AT69" s="70">
        <v>52</v>
      </c>
      <c r="AU69" s="49">
        <f>資料儲存!D6053</f>
        <v>0</v>
      </c>
      <c r="AV69" s="49">
        <f>資料儲存!E6053</f>
        <v>0</v>
      </c>
      <c r="AW69" s="49">
        <f>資料儲存!F6053</f>
        <v>0</v>
      </c>
      <c r="AX69" s="49">
        <f>資料儲存!G6053</f>
        <v>0</v>
      </c>
      <c r="AY69" s="49">
        <f>資料儲存!H6053</f>
        <v>0</v>
      </c>
      <c r="AZ69" s="49">
        <f>資料儲存!I6053</f>
        <v>0</v>
      </c>
      <c r="BA69" s="49">
        <f>資料儲存!J6053</f>
        <v>0</v>
      </c>
    </row>
    <row r="70" spans="1:53" s="67" customFormat="1" ht="16" thickBot="1">
      <c r="A70" s="70">
        <v>53</v>
      </c>
      <c r="B70" s="49">
        <f>資料儲存!D5454</f>
        <v>0</v>
      </c>
      <c r="C70" s="49">
        <f>資料儲存!E5454</f>
        <v>0</v>
      </c>
      <c r="D70" s="49">
        <f>資料儲存!F5454</f>
        <v>0</v>
      </c>
      <c r="E70" s="49">
        <f>資料儲存!G5454</f>
        <v>0</v>
      </c>
      <c r="F70" s="49">
        <f>資料儲存!H5454</f>
        <v>0</v>
      </c>
      <c r="G70" s="49">
        <f>資料儲存!I5454</f>
        <v>0</v>
      </c>
      <c r="H70" s="49">
        <f>資料儲存!J5454</f>
        <v>0</v>
      </c>
      <c r="I70" s="52"/>
      <c r="J70" s="70">
        <v>53</v>
      </c>
      <c r="K70" s="49">
        <f>資料儲存!D5574</f>
        <v>0</v>
      </c>
      <c r="L70" s="49">
        <f>資料儲存!E5574</f>
        <v>0</v>
      </c>
      <c r="M70" s="49">
        <f>資料儲存!F5574</f>
        <v>0</v>
      </c>
      <c r="N70" s="49">
        <f>資料儲存!G5574</f>
        <v>0</v>
      </c>
      <c r="O70" s="49">
        <f>資料儲存!H5574</f>
        <v>0</v>
      </c>
      <c r="P70" s="49">
        <f>資料儲存!I5574</f>
        <v>0</v>
      </c>
      <c r="Q70" s="49">
        <f>資料儲存!J5574</f>
        <v>0</v>
      </c>
      <c r="R70" s="52"/>
      <c r="S70" s="70">
        <v>53</v>
      </c>
      <c r="T70" s="49">
        <f>資料儲存!D5694</f>
        <v>0</v>
      </c>
      <c r="U70" s="49">
        <f>資料儲存!E5694</f>
        <v>0</v>
      </c>
      <c r="V70" s="49">
        <f>資料儲存!F5694</f>
        <v>0</v>
      </c>
      <c r="W70" s="49">
        <f>資料儲存!G5694</f>
        <v>0</v>
      </c>
      <c r="X70" s="49">
        <f>資料儲存!H5694</f>
        <v>0</v>
      </c>
      <c r="Y70" s="49">
        <f>資料儲存!I5694</f>
        <v>0</v>
      </c>
      <c r="Z70" s="49">
        <f>資料儲存!J5694</f>
        <v>0</v>
      </c>
      <c r="AA70" s="52"/>
      <c r="AB70" s="70">
        <v>53</v>
      </c>
      <c r="AC70" s="49">
        <f>資料儲存!D5814</f>
        <v>0</v>
      </c>
      <c r="AD70" s="49">
        <f>資料儲存!E5814</f>
        <v>0</v>
      </c>
      <c r="AE70" s="49">
        <f>資料儲存!F5814</f>
        <v>0</v>
      </c>
      <c r="AF70" s="49">
        <f>資料儲存!G5814</f>
        <v>0</v>
      </c>
      <c r="AG70" s="49">
        <f>資料儲存!H5814</f>
        <v>0</v>
      </c>
      <c r="AH70" s="49">
        <f>資料儲存!I5814</f>
        <v>0</v>
      </c>
      <c r="AI70" s="49">
        <f>資料儲存!J5814</f>
        <v>0</v>
      </c>
      <c r="AJ70" s="52"/>
      <c r="AK70" s="70">
        <v>53</v>
      </c>
      <c r="AL70" s="49">
        <f>資料儲存!D5934</f>
        <v>0</v>
      </c>
      <c r="AM70" s="49">
        <f>資料儲存!E5934</f>
        <v>0</v>
      </c>
      <c r="AN70" s="49">
        <f>資料儲存!F5934</f>
        <v>0</v>
      </c>
      <c r="AO70" s="49">
        <f>資料儲存!G5934</f>
        <v>0</v>
      </c>
      <c r="AP70" s="49">
        <f>資料儲存!H5934</f>
        <v>0</v>
      </c>
      <c r="AQ70" s="49">
        <f>資料儲存!I5934</f>
        <v>0</v>
      </c>
      <c r="AR70" s="49">
        <f>資料儲存!J5934</f>
        <v>0</v>
      </c>
      <c r="AT70" s="70">
        <v>53</v>
      </c>
      <c r="AU70" s="49">
        <f>資料儲存!D6054</f>
        <v>0</v>
      </c>
      <c r="AV70" s="49">
        <f>資料儲存!E6054</f>
        <v>0</v>
      </c>
      <c r="AW70" s="49">
        <f>資料儲存!F6054</f>
        <v>0</v>
      </c>
      <c r="AX70" s="49">
        <f>資料儲存!G6054</f>
        <v>0</v>
      </c>
      <c r="AY70" s="49">
        <f>資料儲存!H6054</f>
        <v>0</v>
      </c>
      <c r="AZ70" s="49">
        <f>資料儲存!I6054</f>
        <v>0</v>
      </c>
      <c r="BA70" s="49">
        <f>資料儲存!J6054</f>
        <v>0</v>
      </c>
    </row>
    <row r="71" spans="1:53" s="67" customFormat="1" ht="16" thickBot="1">
      <c r="A71" s="70">
        <v>54</v>
      </c>
      <c r="B71" s="49">
        <f>資料儲存!D5455</f>
        <v>0</v>
      </c>
      <c r="C71" s="49">
        <f>資料儲存!E5455</f>
        <v>0</v>
      </c>
      <c r="D71" s="49">
        <f>資料儲存!F5455</f>
        <v>0</v>
      </c>
      <c r="E71" s="49">
        <f>資料儲存!G5455</f>
        <v>0</v>
      </c>
      <c r="F71" s="49">
        <f>資料儲存!H5455</f>
        <v>0</v>
      </c>
      <c r="G71" s="49">
        <f>資料儲存!I5455</f>
        <v>0</v>
      </c>
      <c r="H71" s="49">
        <f>資料儲存!J5455</f>
        <v>0</v>
      </c>
      <c r="I71" s="52"/>
      <c r="J71" s="70">
        <v>54</v>
      </c>
      <c r="K71" s="49">
        <f>資料儲存!D5575</f>
        <v>0</v>
      </c>
      <c r="L71" s="49">
        <f>資料儲存!E5575</f>
        <v>0</v>
      </c>
      <c r="M71" s="49">
        <f>資料儲存!F5575</f>
        <v>0</v>
      </c>
      <c r="N71" s="49">
        <f>資料儲存!G5575</f>
        <v>0</v>
      </c>
      <c r="O71" s="49">
        <f>資料儲存!H5575</f>
        <v>0</v>
      </c>
      <c r="P71" s="49">
        <f>資料儲存!I5575</f>
        <v>0</v>
      </c>
      <c r="Q71" s="49">
        <f>資料儲存!J5575</f>
        <v>0</v>
      </c>
      <c r="R71" s="52"/>
      <c r="S71" s="70">
        <v>54</v>
      </c>
      <c r="T71" s="49">
        <f>資料儲存!D5695</f>
        <v>0</v>
      </c>
      <c r="U71" s="49">
        <f>資料儲存!E5695</f>
        <v>0</v>
      </c>
      <c r="V71" s="49">
        <f>資料儲存!F5695</f>
        <v>0</v>
      </c>
      <c r="W71" s="49">
        <f>資料儲存!G5695</f>
        <v>0</v>
      </c>
      <c r="X71" s="49">
        <f>資料儲存!H5695</f>
        <v>0</v>
      </c>
      <c r="Y71" s="49">
        <f>資料儲存!I5695</f>
        <v>0</v>
      </c>
      <c r="Z71" s="49">
        <f>資料儲存!J5695</f>
        <v>0</v>
      </c>
      <c r="AA71" s="52"/>
      <c r="AB71" s="70">
        <v>54</v>
      </c>
      <c r="AC71" s="49">
        <f>資料儲存!D5815</f>
        <v>0</v>
      </c>
      <c r="AD71" s="49">
        <f>資料儲存!E5815</f>
        <v>0</v>
      </c>
      <c r="AE71" s="49">
        <f>資料儲存!F5815</f>
        <v>0</v>
      </c>
      <c r="AF71" s="49">
        <f>資料儲存!G5815</f>
        <v>0</v>
      </c>
      <c r="AG71" s="49">
        <f>資料儲存!H5815</f>
        <v>0</v>
      </c>
      <c r="AH71" s="49">
        <f>資料儲存!I5815</f>
        <v>0</v>
      </c>
      <c r="AI71" s="49">
        <f>資料儲存!J5815</f>
        <v>0</v>
      </c>
      <c r="AJ71" s="52"/>
      <c r="AK71" s="70">
        <v>54</v>
      </c>
      <c r="AL71" s="49">
        <f>資料儲存!D5935</f>
        <v>0</v>
      </c>
      <c r="AM71" s="49">
        <f>資料儲存!E5935</f>
        <v>0</v>
      </c>
      <c r="AN71" s="49">
        <f>資料儲存!F5935</f>
        <v>0</v>
      </c>
      <c r="AO71" s="49">
        <f>資料儲存!G5935</f>
        <v>0</v>
      </c>
      <c r="AP71" s="49">
        <f>資料儲存!H5935</f>
        <v>0</v>
      </c>
      <c r="AQ71" s="49">
        <f>資料儲存!I5935</f>
        <v>0</v>
      </c>
      <c r="AR71" s="49">
        <f>資料儲存!J5935</f>
        <v>0</v>
      </c>
      <c r="AT71" s="70">
        <v>54</v>
      </c>
      <c r="AU71" s="49">
        <f>資料儲存!D6055</f>
        <v>0</v>
      </c>
      <c r="AV71" s="49">
        <f>資料儲存!E6055</f>
        <v>0</v>
      </c>
      <c r="AW71" s="49">
        <f>資料儲存!F6055</f>
        <v>0</v>
      </c>
      <c r="AX71" s="49">
        <f>資料儲存!G6055</f>
        <v>0</v>
      </c>
      <c r="AY71" s="49">
        <f>資料儲存!H6055</f>
        <v>0</v>
      </c>
      <c r="AZ71" s="49">
        <f>資料儲存!I6055</f>
        <v>0</v>
      </c>
      <c r="BA71" s="49">
        <f>資料儲存!J6055</f>
        <v>0</v>
      </c>
    </row>
    <row r="72" spans="1:53" s="67" customFormat="1" ht="16" thickBot="1">
      <c r="A72" s="70">
        <v>55</v>
      </c>
      <c r="B72" s="49">
        <f>資料儲存!D5456</f>
        <v>0</v>
      </c>
      <c r="C72" s="49">
        <f>資料儲存!E5456</f>
        <v>0</v>
      </c>
      <c r="D72" s="49">
        <f>資料儲存!F5456</f>
        <v>0</v>
      </c>
      <c r="E72" s="49">
        <f>資料儲存!G5456</f>
        <v>0</v>
      </c>
      <c r="F72" s="49">
        <f>資料儲存!H5456</f>
        <v>0</v>
      </c>
      <c r="G72" s="49">
        <f>資料儲存!I5456</f>
        <v>0</v>
      </c>
      <c r="H72" s="49">
        <f>資料儲存!J5456</f>
        <v>0</v>
      </c>
      <c r="I72" s="52"/>
      <c r="J72" s="70">
        <v>55</v>
      </c>
      <c r="K72" s="49">
        <f>資料儲存!D5576</f>
        <v>0</v>
      </c>
      <c r="L72" s="49">
        <f>資料儲存!E5576</f>
        <v>0</v>
      </c>
      <c r="M72" s="49">
        <f>資料儲存!F5576</f>
        <v>0</v>
      </c>
      <c r="N72" s="49">
        <f>資料儲存!G5576</f>
        <v>0</v>
      </c>
      <c r="O72" s="49">
        <f>資料儲存!H5576</f>
        <v>0</v>
      </c>
      <c r="P72" s="49">
        <f>資料儲存!I5576</f>
        <v>0</v>
      </c>
      <c r="Q72" s="49">
        <f>資料儲存!J5576</f>
        <v>0</v>
      </c>
      <c r="R72" s="52"/>
      <c r="S72" s="70">
        <v>55</v>
      </c>
      <c r="T72" s="49">
        <f>資料儲存!D5696</f>
        <v>0</v>
      </c>
      <c r="U72" s="49">
        <f>資料儲存!E5696</f>
        <v>0</v>
      </c>
      <c r="V72" s="49">
        <f>資料儲存!F5696</f>
        <v>0</v>
      </c>
      <c r="W72" s="49">
        <f>資料儲存!G5696</f>
        <v>0</v>
      </c>
      <c r="X72" s="49">
        <f>資料儲存!H5696</f>
        <v>0</v>
      </c>
      <c r="Y72" s="49">
        <f>資料儲存!I5696</f>
        <v>0</v>
      </c>
      <c r="Z72" s="49">
        <f>資料儲存!J5696</f>
        <v>0</v>
      </c>
      <c r="AA72" s="52"/>
      <c r="AB72" s="70">
        <v>55</v>
      </c>
      <c r="AC72" s="49">
        <f>資料儲存!D5816</f>
        <v>0</v>
      </c>
      <c r="AD72" s="49">
        <f>資料儲存!E5816</f>
        <v>0</v>
      </c>
      <c r="AE72" s="49">
        <f>資料儲存!F5816</f>
        <v>0</v>
      </c>
      <c r="AF72" s="49">
        <f>資料儲存!G5816</f>
        <v>0</v>
      </c>
      <c r="AG72" s="49">
        <f>資料儲存!H5816</f>
        <v>0</v>
      </c>
      <c r="AH72" s="49">
        <f>資料儲存!I5816</f>
        <v>0</v>
      </c>
      <c r="AI72" s="49">
        <f>資料儲存!J5816</f>
        <v>0</v>
      </c>
      <c r="AJ72" s="52"/>
      <c r="AK72" s="70">
        <v>55</v>
      </c>
      <c r="AL72" s="49">
        <f>資料儲存!D5936</f>
        <v>0</v>
      </c>
      <c r="AM72" s="49">
        <f>資料儲存!E5936</f>
        <v>0</v>
      </c>
      <c r="AN72" s="49">
        <f>資料儲存!F5936</f>
        <v>0</v>
      </c>
      <c r="AO72" s="49">
        <f>資料儲存!G5936</f>
        <v>0</v>
      </c>
      <c r="AP72" s="49">
        <f>資料儲存!H5936</f>
        <v>0</v>
      </c>
      <c r="AQ72" s="49">
        <f>資料儲存!I5936</f>
        <v>0</v>
      </c>
      <c r="AR72" s="49">
        <f>資料儲存!J5936</f>
        <v>0</v>
      </c>
      <c r="AT72" s="70">
        <v>55</v>
      </c>
      <c r="AU72" s="49">
        <f>資料儲存!D6056</f>
        <v>0</v>
      </c>
      <c r="AV72" s="49">
        <f>資料儲存!E6056</f>
        <v>0</v>
      </c>
      <c r="AW72" s="49">
        <f>資料儲存!F6056</f>
        <v>0</v>
      </c>
      <c r="AX72" s="49">
        <f>資料儲存!G6056</f>
        <v>0</v>
      </c>
      <c r="AY72" s="49">
        <f>資料儲存!H6056</f>
        <v>0</v>
      </c>
      <c r="AZ72" s="49">
        <f>資料儲存!I6056</f>
        <v>0</v>
      </c>
      <c r="BA72" s="49">
        <f>資料儲存!J6056</f>
        <v>0</v>
      </c>
    </row>
    <row r="73" spans="1:53" s="67" customFormat="1" ht="16" thickBot="1">
      <c r="A73" s="70">
        <v>56</v>
      </c>
      <c r="B73" s="49">
        <f>資料儲存!D5457</f>
        <v>0</v>
      </c>
      <c r="C73" s="49">
        <f>資料儲存!E5457</f>
        <v>0</v>
      </c>
      <c r="D73" s="49">
        <f>資料儲存!F5457</f>
        <v>0</v>
      </c>
      <c r="E73" s="49">
        <f>資料儲存!G5457</f>
        <v>0</v>
      </c>
      <c r="F73" s="49">
        <f>資料儲存!H5457</f>
        <v>0</v>
      </c>
      <c r="G73" s="49">
        <f>資料儲存!I5457</f>
        <v>0</v>
      </c>
      <c r="H73" s="49">
        <f>資料儲存!J5457</f>
        <v>0</v>
      </c>
      <c r="I73" s="52"/>
      <c r="J73" s="70">
        <v>56</v>
      </c>
      <c r="K73" s="49">
        <f>資料儲存!D5577</f>
        <v>0</v>
      </c>
      <c r="L73" s="49">
        <f>資料儲存!E5577</f>
        <v>0</v>
      </c>
      <c r="M73" s="49">
        <f>資料儲存!F5577</f>
        <v>0</v>
      </c>
      <c r="N73" s="49">
        <f>資料儲存!G5577</f>
        <v>0</v>
      </c>
      <c r="O73" s="49">
        <f>資料儲存!H5577</f>
        <v>0</v>
      </c>
      <c r="P73" s="49">
        <f>資料儲存!I5577</f>
        <v>0</v>
      </c>
      <c r="Q73" s="49">
        <f>資料儲存!J5577</f>
        <v>0</v>
      </c>
      <c r="R73" s="52"/>
      <c r="S73" s="70">
        <v>56</v>
      </c>
      <c r="T73" s="49">
        <f>資料儲存!D5697</f>
        <v>0</v>
      </c>
      <c r="U73" s="49">
        <f>資料儲存!E5697</f>
        <v>0</v>
      </c>
      <c r="V73" s="49">
        <f>資料儲存!F5697</f>
        <v>0</v>
      </c>
      <c r="W73" s="49">
        <f>資料儲存!G5697</f>
        <v>0</v>
      </c>
      <c r="X73" s="49">
        <f>資料儲存!H5697</f>
        <v>0</v>
      </c>
      <c r="Y73" s="49">
        <f>資料儲存!I5697</f>
        <v>0</v>
      </c>
      <c r="Z73" s="49">
        <f>資料儲存!J5697</f>
        <v>0</v>
      </c>
      <c r="AA73" s="52"/>
      <c r="AB73" s="70">
        <v>56</v>
      </c>
      <c r="AC73" s="49">
        <f>資料儲存!D5817</f>
        <v>0</v>
      </c>
      <c r="AD73" s="49">
        <f>資料儲存!E5817</f>
        <v>0</v>
      </c>
      <c r="AE73" s="49">
        <f>資料儲存!F5817</f>
        <v>0</v>
      </c>
      <c r="AF73" s="49">
        <f>資料儲存!G5817</f>
        <v>0</v>
      </c>
      <c r="AG73" s="49">
        <f>資料儲存!H5817</f>
        <v>0</v>
      </c>
      <c r="AH73" s="49">
        <f>資料儲存!I5817</f>
        <v>0</v>
      </c>
      <c r="AI73" s="49">
        <f>資料儲存!J5817</f>
        <v>0</v>
      </c>
      <c r="AJ73" s="52"/>
      <c r="AK73" s="70">
        <v>56</v>
      </c>
      <c r="AL73" s="49">
        <f>資料儲存!D5937</f>
        <v>0</v>
      </c>
      <c r="AM73" s="49">
        <f>資料儲存!E5937</f>
        <v>0</v>
      </c>
      <c r="AN73" s="49">
        <f>資料儲存!F5937</f>
        <v>0</v>
      </c>
      <c r="AO73" s="49">
        <f>資料儲存!G5937</f>
        <v>0</v>
      </c>
      <c r="AP73" s="49">
        <f>資料儲存!H5937</f>
        <v>0</v>
      </c>
      <c r="AQ73" s="49">
        <f>資料儲存!I5937</f>
        <v>0</v>
      </c>
      <c r="AR73" s="49">
        <f>資料儲存!J5937</f>
        <v>0</v>
      </c>
      <c r="AT73" s="70">
        <v>56</v>
      </c>
      <c r="AU73" s="49">
        <f>資料儲存!D6057</f>
        <v>0</v>
      </c>
      <c r="AV73" s="49">
        <f>資料儲存!E6057</f>
        <v>0</v>
      </c>
      <c r="AW73" s="49">
        <f>資料儲存!F6057</f>
        <v>0</v>
      </c>
      <c r="AX73" s="49">
        <f>資料儲存!G6057</f>
        <v>0</v>
      </c>
      <c r="AY73" s="49">
        <f>資料儲存!H6057</f>
        <v>0</v>
      </c>
      <c r="AZ73" s="49">
        <f>資料儲存!I6057</f>
        <v>0</v>
      </c>
      <c r="BA73" s="49">
        <f>資料儲存!J6057</f>
        <v>0</v>
      </c>
    </row>
    <row r="74" spans="1:53" s="67" customFormat="1" ht="16" thickBot="1">
      <c r="A74" s="70">
        <v>57</v>
      </c>
      <c r="B74" s="49">
        <f>資料儲存!D5458</f>
        <v>0</v>
      </c>
      <c r="C74" s="49">
        <f>資料儲存!E5458</f>
        <v>0</v>
      </c>
      <c r="D74" s="49">
        <f>資料儲存!F5458</f>
        <v>0</v>
      </c>
      <c r="E74" s="49">
        <f>資料儲存!G5458</f>
        <v>0</v>
      </c>
      <c r="F74" s="49">
        <f>資料儲存!H5458</f>
        <v>0</v>
      </c>
      <c r="G74" s="49">
        <f>資料儲存!I5458</f>
        <v>0</v>
      </c>
      <c r="H74" s="49">
        <f>資料儲存!J5458</f>
        <v>0</v>
      </c>
      <c r="I74" s="52"/>
      <c r="J74" s="70">
        <v>57</v>
      </c>
      <c r="K74" s="49">
        <f>資料儲存!D5578</f>
        <v>0</v>
      </c>
      <c r="L74" s="49">
        <f>資料儲存!E5578</f>
        <v>0</v>
      </c>
      <c r="M74" s="49">
        <f>資料儲存!F5578</f>
        <v>0</v>
      </c>
      <c r="N74" s="49">
        <f>資料儲存!G5578</f>
        <v>0</v>
      </c>
      <c r="O74" s="49">
        <f>資料儲存!H5578</f>
        <v>0</v>
      </c>
      <c r="P74" s="49">
        <f>資料儲存!I5578</f>
        <v>0</v>
      </c>
      <c r="Q74" s="49">
        <f>資料儲存!J5578</f>
        <v>0</v>
      </c>
      <c r="R74" s="52"/>
      <c r="S74" s="70">
        <v>57</v>
      </c>
      <c r="T74" s="49">
        <f>資料儲存!D5698</f>
        <v>0</v>
      </c>
      <c r="U74" s="49">
        <f>資料儲存!E5698</f>
        <v>0</v>
      </c>
      <c r="V74" s="49">
        <f>資料儲存!F5698</f>
        <v>0</v>
      </c>
      <c r="W74" s="49">
        <f>資料儲存!G5698</f>
        <v>0</v>
      </c>
      <c r="X74" s="49">
        <f>資料儲存!H5698</f>
        <v>0</v>
      </c>
      <c r="Y74" s="49">
        <f>資料儲存!I5698</f>
        <v>0</v>
      </c>
      <c r="Z74" s="49">
        <f>資料儲存!J5698</f>
        <v>0</v>
      </c>
      <c r="AA74" s="52"/>
      <c r="AB74" s="70">
        <v>57</v>
      </c>
      <c r="AC74" s="49">
        <f>資料儲存!D5818</f>
        <v>0</v>
      </c>
      <c r="AD74" s="49">
        <f>資料儲存!E5818</f>
        <v>0</v>
      </c>
      <c r="AE74" s="49">
        <f>資料儲存!F5818</f>
        <v>0</v>
      </c>
      <c r="AF74" s="49">
        <f>資料儲存!G5818</f>
        <v>0</v>
      </c>
      <c r="AG74" s="49">
        <f>資料儲存!H5818</f>
        <v>0</v>
      </c>
      <c r="AH74" s="49">
        <f>資料儲存!I5818</f>
        <v>0</v>
      </c>
      <c r="AI74" s="49">
        <f>資料儲存!J5818</f>
        <v>0</v>
      </c>
      <c r="AJ74" s="52"/>
      <c r="AK74" s="70">
        <v>57</v>
      </c>
      <c r="AL74" s="49">
        <f>資料儲存!D5938</f>
        <v>0</v>
      </c>
      <c r="AM74" s="49">
        <f>資料儲存!E5938</f>
        <v>0</v>
      </c>
      <c r="AN74" s="49">
        <f>資料儲存!F5938</f>
        <v>0</v>
      </c>
      <c r="AO74" s="49">
        <f>資料儲存!G5938</f>
        <v>0</v>
      </c>
      <c r="AP74" s="49">
        <f>資料儲存!H5938</f>
        <v>0</v>
      </c>
      <c r="AQ74" s="49">
        <f>資料儲存!I5938</f>
        <v>0</v>
      </c>
      <c r="AR74" s="49">
        <f>資料儲存!J5938</f>
        <v>0</v>
      </c>
      <c r="AT74" s="70">
        <v>57</v>
      </c>
      <c r="AU74" s="49">
        <f>資料儲存!D6058</f>
        <v>0</v>
      </c>
      <c r="AV74" s="49">
        <f>資料儲存!E6058</f>
        <v>0</v>
      </c>
      <c r="AW74" s="49">
        <f>資料儲存!F6058</f>
        <v>0</v>
      </c>
      <c r="AX74" s="49">
        <f>資料儲存!G6058</f>
        <v>0</v>
      </c>
      <c r="AY74" s="49">
        <f>資料儲存!H6058</f>
        <v>0</v>
      </c>
      <c r="AZ74" s="49">
        <f>資料儲存!I6058</f>
        <v>0</v>
      </c>
      <c r="BA74" s="49">
        <f>資料儲存!J6058</f>
        <v>0</v>
      </c>
    </row>
    <row r="75" spans="1:53" s="67" customFormat="1" ht="16" thickBot="1">
      <c r="A75" s="70">
        <v>58</v>
      </c>
      <c r="B75" s="49">
        <f>資料儲存!D5459</f>
        <v>0</v>
      </c>
      <c r="C75" s="49">
        <f>資料儲存!E5459</f>
        <v>0</v>
      </c>
      <c r="D75" s="49">
        <f>資料儲存!F5459</f>
        <v>0</v>
      </c>
      <c r="E75" s="49">
        <f>資料儲存!G5459</f>
        <v>0</v>
      </c>
      <c r="F75" s="49">
        <f>資料儲存!H5459</f>
        <v>0</v>
      </c>
      <c r="G75" s="49">
        <f>資料儲存!I5459</f>
        <v>0</v>
      </c>
      <c r="H75" s="49">
        <f>資料儲存!J5459</f>
        <v>0</v>
      </c>
      <c r="I75" s="52"/>
      <c r="J75" s="70">
        <v>58</v>
      </c>
      <c r="K75" s="49">
        <f>資料儲存!D5579</f>
        <v>0</v>
      </c>
      <c r="L75" s="49">
        <f>資料儲存!E5579</f>
        <v>0</v>
      </c>
      <c r="M75" s="49">
        <f>資料儲存!F5579</f>
        <v>0</v>
      </c>
      <c r="N75" s="49">
        <f>資料儲存!G5579</f>
        <v>0</v>
      </c>
      <c r="O75" s="49">
        <f>資料儲存!H5579</f>
        <v>0</v>
      </c>
      <c r="P75" s="49">
        <f>資料儲存!I5579</f>
        <v>0</v>
      </c>
      <c r="Q75" s="49">
        <f>資料儲存!J5579</f>
        <v>0</v>
      </c>
      <c r="R75" s="52"/>
      <c r="S75" s="70">
        <v>58</v>
      </c>
      <c r="T75" s="49">
        <f>資料儲存!D5699</f>
        <v>0</v>
      </c>
      <c r="U75" s="49">
        <f>資料儲存!E5699</f>
        <v>0</v>
      </c>
      <c r="V75" s="49">
        <f>資料儲存!F5699</f>
        <v>0</v>
      </c>
      <c r="W75" s="49">
        <f>資料儲存!G5699</f>
        <v>0</v>
      </c>
      <c r="X75" s="49">
        <f>資料儲存!H5699</f>
        <v>0</v>
      </c>
      <c r="Y75" s="49">
        <f>資料儲存!I5699</f>
        <v>0</v>
      </c>
      <c r="Z75" s="49">
        <f>資料儲存!J5699</f>
        <v>0</v>
      </c>
      <c r="AA75" s="52"/>
      <c r="AB75" s="70">
        <v>58</v>
      </c>
      <c r="AC75" s="49">
        <f>資料儲存!D5819</f>
        <v>0</v>
      </c>
      <c r="AD75" s="49">
        <f>資料儲存!E5819</f>
        <v>0</v>
      </c>
      <c r="AE75" s="49">
        <f>資料儲存!F5819</f>
        <v>0</v>
      </c>
      <c r="AF75" s="49">
        <f>資料儲存!G5819</f>
        <v>0</v>
      </c>
      <c r="AG75" s="49">
        <f>資料儲存!H5819</f>
        <v>0</v>
      </c>
      <c r="AH75" s="49">
        <f>資料儲存!I5819</f>
        <v>0</v>
      </c>
      <c r="AI75" s="49">
        <f>資料儲存!J5819</f>
        <v>0</v>
      </c>
      <c r="AJ75" s="52"/>
      <c r="AK75" s="70">
        <v>58</v>
      </c>
      <c r="AL75" s="49">
        <f>資料儲存!D5939</f>
        <v>0</v>
      </c>
      <c r="AM75" s="49">
        <f>資料儲存!E5939</f>
        <v>0</v>
      </c>
      <c r="AN75" s="49">
        <f>資料儲存!F5939</f>
        <v>0</v>
      </c>
      <c r="AO75" s="49">
        <f>資料儲存!G5939</f>
        <v>0</v>
      </c>
      <c r="AP75" s="49">
        <f>資料儲存!H5939</f>
        <v>0</v>
      </c>
      <c r="AQ75" s="49">
        <f>資料儲存!I5939</f>
        <v>0</v>
      </c>
      <c r="AR75" s="49">
        <f>資料儲存!J5939</f>
        <v>0</v>
      </c>
      <c r="AT75" s="70">
        <v>58</v>
      </c>
      <c r="AU75" s="49">
        <f>資料儲存!D6059</f>
        <v>0</v>
      </c>
      <c r="AV75" s="49">
        <f>資料儲存!E6059</f>
        <v>0</v>
      </c>
      <c r="AW75" s="49">
        <f>資料儲存!F6059</f>
        <v>0</v>
      </c>
      <c r="AX75" s="49">
        <f>資料儲存!G6059</f>
        <v>0</v>
      </c>
      <c r="AY75" s="49">
        <f>資料儲存!H6059</f>
        <v>0</v>
      </c>
      <c r="AZ75" s="49">
        <f>資料儲存!I6059</f>
        <v>0</v>
      </c>
      <c r="BA75" s="49">
        <f>資料儲存!J6059</f>
        <v>0</v>
      </c>
    </row>
    <row r="76" spans="1:53" s="67" customFormat="1" ht="16" thickBot="1">
      <c r="A76" s="70">
        <v>59</v>
      </c>
      <c r="B76" s="49">
        <f>資料儲存!D5460</f>
        <v>0</v>
      </c>
      <c r="C76" s="49">
        <f>資料儲存!E5460</f>
        <v>0</v>
      </c>
      <c r="D76" s="49">
        <f>資料儲存!F5460</f>
        <v>0</v>
      </c>
      <c r="E76" s="49">
        <f>資料儲存!G5460</f>
        <v>0</v>
      </c>
      <c r="F76" s="49">
        <f>資料儲存!H5460</f>
        <v>0</v>
      </c>
      <c r="G76" s="49">
        <f>資料儲存!I5460</f>
        <v>0</v>
      </c>
      <c r="H76" s="49">
        <f>資料儲存!J5460</f>
        <v>0</v>
      </c>
      <c r="I76" s="52"/>
      <c r="J76" s="70">
        <v>59</v>
      </c>
      <c r="K76" s="49">
        <f>資料儲存!D5580</f>
        <v>0</v>
      </c>
      <c r="L76" s="49">
        <f>資料儲存!E5580</f>
        <v>0</v>
      </c>
      <c r="M76" s="49">
        <f>資料儲存!F5580</f>
        <v>0</v>
      </c>
      <c r="N76" s="49">
        <f>資料儲存!G5580</f>
        <v>0</v>
      </c>
      <c r="O76" s="49">
        <f>資料儲存!H5580</f>
        <v>0</v>
      </c>
      <c r="P76" s="49">
        <f>資料儲存!I5580</f>
        <v>0</v>
      </c>
      <c r="Q76" s="49">
        <f>資料儲存!J5580</f>
        <v>0</v>
      </c>
      <c r="R76" s="52"/>
      <c r="S76" s="70">
        <v>59</v>
      </c>
      <c r="T76" s="49">
        <f>資料儲存!D5700</f>
        <v>0</v>
      </c>
      <c r="U76" s="49">
        <f>資料儲存!E5700</f>
        <v>0</v>
      </c>
      <c r="V76" s="49">
        <f>資料儲存!F5700</f>
        <v>0</v>
      </c>
      <c r="W76" s="49">
        <f>資料儲存!G5700</f>
        <v>0</v>
      </c>
      <c r="X76" s="49">
        <f>資料儲存!H5700</f>
        <v>0</v>
      </c>
      <c r="Y76" s="49">
        <f>資料儲存!I5700</f>
        <v>0</v>
      </c>
      <c r="Z76" s="49">
        <f>資料儲存!J5700</f>
        <v>0</v>
      </c>
      <c r="AA76" s="52"/>
      <c r="AB76" s="70">
        <v>59</v>
      </c>
      <c r="AC76" s="49">
        <f>資料儲存!D5820</f>
        <v>0</v>
      </c>
      <c r="AD76" s="49">
        <f>資料儲存!E5820</f>
        <v>0</v>
      </c>
      <c r="AE76" s="49">
        <f>資料儲存!F5820</f>
        <v>0</v>
      </c>
      <c r="AF76" s="49">
        <f>資料儲存!G5820</f>
        <v>0</v>
      </c>
      <c r="AG76" s="49">
        <f>資料儲存!H5820</f>
        <v>0</v>
      </c>
      <c r="AH76" s="49">
        <f>資料儲存!I5820</f>
        <v>0</v>
      </c>
      <c r="AI76" s="49">
        <f>資料儲存!J5820</f>
        <v>0</v>
      </c>
      <c r="AJ76" s="52"/>
      <c r="AK76" s="70">
        <v>59</v>
      </c>
      <c r="AL76" s="49">
        <f>資料儲存!D5940</f>
        <v>0</v>
      </c>
      <c r="AM76" s="49">
        <f>資料儲存!E5940</f>
        <v>0</v>
      </c>
      <c r="AN76" s="49">
        <f>資料儲存!F5940</f>
        <v>0</v>
      </c>
      <c r="AO76" s="49">
        <f>資料儲存!G5940</f>
        <v>0</v>
      </c>
      <c r="AP76" s="49">
        <f>資料儲存!H5940</f>
        <v>0</v>
      </c>
      <c r="AQ76" s="49">
        <f>資料儲存!I5940</f>
        <v>0</v>
      </c>
      <c r="AR76" s="49">
        <f>資料儲存!J5940</f>
        <v>0</v>
      </c>
      <c r="AT76" s="70">
        <v>59</v>
      </c>
      <c r="AU76" s="49">
        <f>資料儲存!D6060</f>
        <v>0</v>
      </c>
      <c r="AV76" s="49">
        <f>資料儲存!E6060</f>
        <v>0</v>
      </c>
      <c r="AW76" s="49">
        <f>資料儲存!F6060</f>
        <v>0</v>
      </c>
      <c r="AX76" s="49">
        <f>資料儲存!G6060</f>
        <v>0</v>
      </c>
      <c r="AY76" s="49">
        <f>資料儲存!H6060</f>
        <v>0</v>
      </c>
      <c r="AZ76" s="49">
        <f>資料儲存!I6060</f>
        <v>0</v>
      </c>
      <c r="BA76" s="49">
        <f>資料儲存!J6060</f>
        <v>0</v>
      </c>
    </row>
    <row r="77" spans="1:53" s="67" customFormat="1" ht="16" thickBot="1">
      <c r="A77" s="70">
        <v>60</v>
      </c>
      <c r="B77" s="49">
        <f>資料儲存!D5461</f>
        <v>0</v>
      </c>
      <c r="C77" s="49">
        <f>資料儲存!E5461</f>
        <v>0</v>
      </c>
      <c r="D77" s="49">
        <f>資料儲存!F5461</f>
        <v>0</v>
      </c>
      <c r="E77" s="49">
        <f>資料儲存!G5461</f>
        <v>0</v>
      </c>
      <c r="F77" s="49">
        <f>資料儲存!H5461</f>
        <v>0</v>
      </c>
      <c r="G77" s="49">
        <f>資料儲存!I5461</f>
        <v>0</v>
      </c>
      <c r="H77" s="49">
        <f>資料儲存!J5461</f>
        <v>0</v>
      </c>
      <c r="I77" s="52"/>
      <c r="J77" s="70">
        <v>60</v>
      </c>
      <c r="K77" s="49">
        <f>資料儲存!D5581</f>
        <v>0</v>
      </c>
      <c r="L77" s="49">
        <f>資料儲存!E5581</f>
        <v>0</v>
      </c>
      <c r="M77" s="49">
        <f>資料儲存!F5581</f>
        <v>0</v>
      </c>
      <c r="N77" s="49">
        <f>資料儲存!G5581</f>
        <v>0</v>
      </c>
      <c r="O77" s="49">
        <f>資料儲存!H5581</f>
        <v>0</v>
      </c>
      <c r="P77" s="49">
        <f>資料儲存!I5581</f>
        <v>0</v>
      </c>
      <c r="Q77" s="49">
        <f>資料儲存!J5581</f>
        <v>0</v>
      </c>
      <c r="R77" s="52"/>
      <c r="S77" s="70">
        <v>60</v>
      </c>
      <c r="T77" s="49">
        <f>資料儲存!D5701</f>
        <v>0</v>
      </c>
      <c r="U77" s="49">
        <f>資料儲存!E5701</f>
        <v>0</v>
      </c>
      <c r="V77" s="49">
        <f>資料儲存!F5701</f>
        <v>0</v>
      </c>
      <c r="W77" s="49">
        <f>資料儲存!G5701</f>
        <v>0</v>
      </c>
      <c r="X77" s="49">
        <f>資料儲存!H5701</f>
        <v>0</v>
      </c>
      <c r="Y77" s="49">
        <f>資料儲存!I5701</f>
        <v>0</v>
      </c>
      <c r="Z77" s="49">
        <f>資料儲存!J5701</f>
        <v>0</v>
      </c>
      <c r="AA77" s="52"/>
      <c r="AB77" s="70">
        <v>60</v>
      </c>
      <c r="AC77" s="49">
        <f>資料儲存!D5821</f>
        <v>0</v>
      </c>
      <c r="AD77" s="49">
        <f>資料儲存!E5821</f>
        <v>0</v>
      </c>
      <c r="AE77" s="49">
        <f>資料儲存!F5821</f>
        <v>0</v>
      </c>
      <c r="AF77" s="49">
        <f>資料儲存!G5821</f>
        <v>0</v>
      </c>
      <c r="AG77" s="49">
        <f>資料儲存!H5821</f>
        <v>0</v>
      </c>
      <c r="AH77" s="49">
        <f>資料儲存!I5821</f>
        <v>0</v>
      </c>
      <c r="AI77" s="49">
        <f>資料儲存!J5821</f>
        <v>0</v>
      </c>
      <c r="AJ77" s="52"/>
      <c r="AK77" s="70">
        <v>60</v>
      </c>
      <c r="AL77" s="49">
        <f>資料儲存!D5941</f>
        <v>0</v>
      </c>
      <c r="AM77" s="49">
        <f>資料儲存!E5941</f>
        <v>0</v>
      </c>
      <c r="AN77" s="49">
        <f>資料儲存!F5941</f>
        <v>0</v>
      </c>
      <c r="AO77" s="49">
        <f>資料儲存!G5941</f>
        <v>0</v>
      </c>
      <c r="AP77" s="49">
        <f>資料儲存!H5941</f>
        <v>0</v>
      </c>
      <c r="AQ77" s="49">
        <f>資料儲存!I5941</f>
        <v>0</v>
      </c>
      <c r="AR77" s="49">
        <f>資料儲存!J5941</f>
        <v>0</v>
      </c>
      <c r="AT77" s="70">
        <v>60</v>
      </c>
      <c r="AU77" s="49">
        <f>資料儲存!D6061</f>
        <v>0</v>
      </c>
      <c r="AV77" s="49">
        <f>資料儲存!E6061</f>
        <v>0</v>
      </c>
      <c r="AW77" s="49">
        <f>資料儲存!F6061</f>
        <v>0</v>
      </c>
      <c r="AX77" s="49">
        <f>資料儲存!G6061</f>
        <v>0</v>
      </c>
      <c r="AY77" s="49">
        <f>資料儲存!H6061</f>
        <v>0</v>
      </c>
      <c r="AZ77" s="49">
        <f>資料儲存!I6061</f>
        <v>0</v>
      </c>
      <c r="BA77" s="49">
        <f>資料儲存!J6061</f>
        <v>0</v>
      </c>
    </row>
    <row r="78" spans="1:53" s="67" customFormat="1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0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  <c r="AT78" s="50" t="s">
        <v>56</v>
      </c>
      <c r="AU78" s="49">
        <f>SUM(AU63:AX77)</f>
        <v>0</v>
      </c>
      <c r="AV78" s="47"/>
      <c r="AW78" s="47"/>
      <c r="AX78" s="47"/>
      <c r="AY78" s="49">
        <f>AY77</f>
        <v>0</v>
      </c>
      <c r="AZ78" s="49">
        <f>AZ77</f>
        <v>0</v>
      </c>
      <c r="BA78" s="49">
        <f>BA77</f>
        <v>0</v>
      </c>
    </row>
    <row r="79" spans="1:53" ht="18.5" thickBot="1">
      <c r="A79" s="257" t="s">
        <v>80</v>
      </c>
      <c r="B79" s="258"/>
      <c r="C79" s="258"/>
      <c r="D79" s="258"/>
      <c r="E79" s="258"/>
      <c r="F79" s="258"/>
      <c r="G79" s="258"/>
      <c r="H79" s="259"/>
      <c r="I79" s="14"/>
      <c r="J79" s="257" t="s">
        <v>80</v>
      </c>
      <c r="K79" s="258"/>
      <c r="L79" s="258"/>
      <c r="M79" s="258"/>
      <c r="N79" s="258"/>
      <c r="O79" s="258"/>
      <c r="P79" s="258"/>
      <c r="Q79" s="259"/>
      <c r="R79" s="14"/>
      <c r="S79" s="257" t="s">
        <v>80</v>
      </c>
      <c r="T79" s="258"/>
      <c r="U79" s="258"/>
      <c r="V79" s="258"/>
      <c r="W79" s="258"/>
      <c r="X79" s="258"/>
      <c r="Y79" s="258"/>
      <c r="Z79" s="259"/>
      <c r="AA79" s="14"/>
      <c r="AB79" s="257" t="s">
        <v>80</v>
      </c>
      <c r="AC79" s="258"/>
      <c r="AD79" s="258"/>
      <c r="AE79" s="258"/>
      <c r="AF79" s="258"/>
      <c r="AG79" s="258"/>
      <c r="AH79" s="258"/>
      <c r="AI79" s="259"/>
      <c r="AJ79" s="14"/>
      <c r="AK79" s="257" t="s">
        <v>80</v>
      </c>
      <c r="AL79" s="258"/>
      <c r="AM79" s="258"/>
      <c r="AN79" s="258"/>
      <c r="AO79" s="258"/>
      <c r="AP79" s="258"/>
      <c r="AQ79" s="258"/>
      <c r="AR79" s="259"/>
      <c r="AT79" s="257" t="s">
        <v>80</v>
      </c>
      <c r="AU79" s="258"/>
      <c r="AV79" s="258"/>
      <c r="AW79" s="258"/>
      <c r="AX79" s="258"/>
      <c r="AY79" s="258"/>
      <c r="AZ79" s="258"/>
      <c r="BA79" s="259"/>
    </row>
    <row r="80" spans="1:53" s="59" customFormat="1" ht="17.25" customHeight="1" thickBot="1">
      <c r="A80" s="54" t="s">
        <v>2</v>
      </c>
      <c r="B80" s="55" t="s">
        <v>46</v>
      </c>
      <c r="C80" s="56"/>
      <c r="D80" s="56"/>
      <c r="E80" s="57"/>
      <c r="F80" s="55" t="s">
        <v>47</v>
      </c>
      <c r="G80" s="56"/>
      <c r="H80" s="57"/>
      <c r="I80" s="58"/>
      <c r="J80" s="54" t="s">
        <v>2</v>
      </c>
      <c r="K80" s="55" t="s">
        <v>46</v>
      </c>
      <c r="L80" s="56"/>
      <c r="M80" s="56"/>
      <c r="N80" s="57"/>
      <c r="O80" s="55" t="s">
        <v>47</v>
      </c>
      <c r="P80" s="56"/>
      <c r="Q80" s="57"/>
      <c r="R80" s="58"/>
      <c r="S80" s="54" t="s">
        <v>2</v>
      </c>
      <c r="T80" s="55" t="s">
        <v>46</v>
      </c>
      <c r="U80" s="56"/>
      <c r="V80" s="56"/>
      <c r="W80" s="57"/>
      <c r="X80" s="55" t="s">
        <v>47</v>
      </c>
      <c r="Y80" s="56"/>
      <c r="Z80" s="57"/>
      <c r="AA80" s="58"/>
      <c r="AB80" s="54" t="s">
        <v>2</v>
      </c>
      <c r="AC80" s="55" t="s">
        <v>46</v>
      </c>
      <c r="AD80" s="56"/>
      <c r="AE80" s="56"/>
      <c r="AF80" s="57"/>
      <c r="AG80" s="55" t="s">
        <v>47</v>
      </c>
      <c r="AH80" s="56"/>
      <c r="AI80" s="57"/>
      <c r="AJ80" s="58"/>
      <c r="AK80" s="54" t="s">
        <v>2</v>
      </c>
      <c r="AL80" s="55" t="s">
        <v>46</v>
      </c>
      <c r="AM80" s="56"/>
      <c r="AN80" s="56"/>
      <c r="AO80" s="57"/>
      <c r="AP80" s="55" t="s">
        <v>47</v>
      </c>
      <c r="AQ80" s="56"/>
      <c r="AR80" s="57"/>
      <c r="AT80" s="54" t="s">
        <v>2</v>
      </c>
      <c r="AU80" s="55" t="s">
        <v>46</v>
      </c>
      <c r="AV80" s="56"/>
      <c r="AW80" s="56"/>
      <c r="AX80" s="57"/>
      <c r="AY80" s="55" t="s">
        <v>47</v>
      </c>
      <c r="AZ80" s="56"/>
      <c r="BA80" s="57"/>
    </row>
    <row r="81" spans="1:53" s="59" customFormat="1" ht="16" thickBot="1">
      <c r="A81" s="60" t="s">
        <v>81</v>
      </c>
      <c r="B81" s="61" t="s">
        <v>49</v>
      </c>
      <c r="C81" s="61" t="s">
        <v>50</v>
      </c>
      <c r="D81" s="61" t="s">
        <v>51</v>
      </c>
      <c r="E81" s="61" t="s">
        <v>52</v>
      </c>
      <c r="F81" s="61" t="s">
        <v>53</v>
      </c>
      <c r="G81" s="61" t="s">
        <v>54</v>
      </c>
      <c r="H81" s="61" t="s">
        <v>55</v>
      </c>
      <c r="I81" s="58"/>
      <c r="J81" s="60" t="s">
        <v>81</v>
      </c>
      <c r="K81" s="61" t="s">
        <v>49</v>
      </c>
      <c r="L81" s="61" t="s">
        <v>50</v>
      </c>
      <c r="M81" s="61" t="s">
        <v>51</v>
      </c>
      <c r="N81" s="61" t="s">
        <v>52</v>
      </c>
      <c r="O81" s="61" t="s">
        <v>53</v>
      </c>
      <c r="P81" s="61" t="s">
        <v>54</v>
      </c>
      <c r="Q81" s="61" t="s">
        <v>55</v>
      </c>
      <c r="R81" s="58"/>
      <c r="S81" s="60" t="s">
        <v>81</v>
      </c>
      <c r="T81" s="61" t="s">
        <v>49</v>
      </c>
      <c r="U81" s="61" t="s">
        <v>50</v>
      </c>
      <c r="V81" s="61" t="s">
        <v>51</v>
      </c>
      <c r="W81" s="61" t="s">
        <v>52</v>
      </c>
      <c r="X81" s="61" t="s">
        <v>53</v>
      </c>
      <c r="Y81" s="61" t="s">
        <v>54</v>
      </c>
      <c r="Z81" s="61" t="s">
        <v>55</v>
      </c>
      <c r="AA81" s="58"/>
      <c r="AB81" s="60" t="s">
        <v>81</v>
      </c>
      <c r="AC81" s="61" t="s">
        <v>49</v>
      </c>
      <c r="AD81" s="61" t="s">
        <v>50</v>
      </c>
      <c r="AE81" s="61" t="s">
        <v>51</v>
      </c>
      <c r="AF81" s="61" t="s">
        <v>52</v>
      </c>
      <c r="AG81" s="61" t="s">
        <v>53</v>
      </c>
      <c r="AH81" s="61" t="s">
        <v>54</v>
      </c>
      <c r="AI81" s="61" t="s">
        <v>55</v>
      </c>
      <c r="AJ81" s="58"/>
      <c r="AK81" s="60" t="s">
        <v>81</v>
      </c>
      <c r="AL81" s="61" t="s">
        <v>49</v>
      </c>
      <c r="AM81" s="61" t="s">
        <v>50</v>
      </c>
      <c r="AN81" s="61" t="s">
        <v>51</v>
      </c>
      <c r="AO81" s="61" t="s">
        <v>52</v>
      </c>
      <c r="AP81" s="61" t="s">
        <v>53</v>
      </c>
      <c r="AQ81" s="61" t="s">
        <v>54</v>
      </c>
      <c r="AR81" s="61" t="s">
        <v>55</v>
      </c>
      <c r="AT81" s="60" t="s">
        <v>81</v>
      </c>
      <c r="AU81" s="61" t="s">
        <v>49</v>
      </c>
      <c r="AV81" s="61" t="s">
        <v>50</v>
      </c>
      <c r="AW81" s="61" t="s">
        <v>51</v>
      </c>
      <c r="AX81" s="61" t="s">
        <v>52</v>
      </c>
      <c r="AY81" s="61" t="s">
        <v>53</v>
      </c>
      <c r="AZ81" s="61" t="s">
        <v>54</v>
      </c>
      <c r="BA81" s="61" t="s">
        <v>55</v>
      </c>
    </row>
    <row r="82" spans="1:53" s="59" customFormat="1" ht="16" thickBot="1">
      <c r="A82" s="62">
        <v>1</v>
      </c>
      <c r="B82" s="39">
        <f>資料儲存!D5462</f>
        <v>0</v>
      </c>
      <c r="C82" s="39">
        <f>資料儲存!E5462</f>
        <v>0</v>
      </c>
      <c r="D82" s="39">
        <f>資料儲存!F5462</f>
        <v>0</v>
      </c>
      <c r="E82" s="39">
        <f>資料儲存!G5462</f>
        <v>0</v>
      </c>
      <c r="F82" s="39">
        <f>資料儲存!H5462</f>
        <v>0</v>
      </c>
      <c r="G82" s="39">
        <f>資料儲存!I5462</f>
        <v>0</v>
      </c>
      <c r="H82" s="39">
        <f>資料儲存!J5462</f>
        <v>0</v>
      </c>
      <c r="I82" s="58"/>
      <c r="J82" s="62">
        <v>1</v>
      </c>
      <c r="K82" s="39">
        <f>資料儲存!D5582</f>
        <v>0</v>
      </c>
      <c r="L82" s="39">
        <f>資料儲存!E5582</f>
        <v>0</v>
      </c>
      <c r="M82" s="39">
        <f>資料儲存!F5582</f>
        <v>0</v>
      </c>
      <c r="N82" s="39">
        <f>資料儲存!G5582</f>
        <v>0</v>
      </c>
      <c r="O82" s="39">
        <f>資料儲存!H5582</f>
        <v>0</v>
      </c>
      <c r="P82" s="39">
        <f>資料儲存!I5582</f>
        <v>0</v>
      </c>
      <c r="Q82" s="39">
        <f>資料儲存!J5582</f>
        <v>0</v>
      </c>
      <c r="R82" s="58"/>
      <c r="S82" s="62">
        <v>1</v>
      </c>
      <c r="T82" s="39">
        <f>資料儲存!D5702</f>
        <v>0</v>
      </c>
      <c r="U82" s="39">
        <f>資料儲存!E5702</f>
        <v>0</v>
      </c>
      <c r="V82" s="39">
        <f>資料儲存!F5702</f>
        <v>0</v>
      </c>
      <c r="W82" s="39">
        <f>資料儲存!G5702</f>
        <v>0</v>
      </c>
      <c r="X82" s="39">
        <f>資料儲存!H5702</f>
        <v>0</v>
      </c>
      <c r="Y82" s="39">
        <f>資料儲存!I5702</f>
        <v>0</v>
      </c>
      <c r="Z82" s="39">
        <f>資料儲存!J5702</f>
        <v>0</v>
      </c>
      <c r="AA82" s="58"/>
      <c r="AB82" s="62">
        <v>1</v>
      </c>
      <c r="AC82" s="39">
        <f>資料儲存!D5822</f>
        <v>0</v>
      </c>
      <c r="AD82" s="39">
        <f>資料儲存!E5822</f>
        <v>0</v>
      </c>
      <c r="AE82" s="39">
        <f>資料儲存!F5822</f>
        <v>0</v>
      </c>
      <c r="AF82" s="39">
        <f>資料儲存!G5822</f>
        <v>0</v>
      </c>
      <c r="AG82" s="39">
        <f>資料儲存!H5822</f>
        <v>0</v>
      </c>
      <c r="AH82" s="39">
        <f>資料儲存!I5822</f>
        <v>0</v>
      </c>
      <c r="AI82" s="39">
        <f>資料儲存!J5822</f>
        <v>0</v>
      </c>
      <c r="AJ82" s="58"/>
      <c r="AK82" s="62">
        <v>1</v>
      </c>
      <c r="AL82" s="39">
        <f>資料儲存!D5942</f>
        <v>0</v>
      </c>
      <c r="AM82" s="39">
        <f>資料儲存!E5942</f>
        <v>0</v>
      </c>
      <c r="AN82" s="39">
        <f>資料儲存!F5942</f>
        <v>0</v>
      </c>
      <c r="AO82" s="39">
        <f>資料儲存!G5942</f>
        <v>0</v>
      </c>
      <c r="AP82" s="39">
        <f>資料儲存!H5942</f>
        <v>0</v>
      </c>
      <c r="AQ82" s="39">
        <f>資料儲存!I5942</f>
        <v>0</v>
      </c>
      <c r="AR82" s="39">
        <f>資料儲存!J5942</f>
        <v>0</v>
      </c>
      <c r="AT82" s="62">
        <v>1</v>
      </c>
      <c r="AU82" s="39">
        <f>資料儲存!D6062</f>
        <v>0</v>
      </c>
      <c r="AV82" s="39">
        <f>資料儲存!E6062</f>
        <v>0</v>
      </c>
      <c r="AW82" s="39">
        <f>資料儲存!F6062</f>
        <v>0</v>
      </c>
      <c r="AX82" s="39">
        <f>資料儲存!G6062</f>
        <v>0</v>
      </c>
      <c r="AY82" s="39">
        <f>資料儲存!H6062</f>
        <v>0</v>
      </c>
      <c r="AZ82" s="39">
        <f>資料儲存!I6062</f>
        <v>0</v>
      </c>
      <c r="BA82" s="39">
        <f>資料儲存!J6062</f>
        <v>0</v>
      </c>
    </row>
    <row r="83" spans="1:53" s="59" customFormat="1" ht="16" thickBot="1">
      <c r="A83" s="62">
        <v>2</v>
      </c>
      <c r="B83" s="39">
        <f>資料儲存!D5463</f>
        <v>0</v>
      </c>
      <c r="C83" s="39">
        <f>資料儲存!E5463</f>
        <v>0</v>
      </c>
      <c r="D83" s="39">
        <f>資料儲存!F5463</f>
        <v>0</v>
      </c>
      <c r="E83" s="39">
        <f>資料儲存!G5463</f>
        <v>0</v>
      </c>
      <c r="F83" s="39">
        <f>資料儲存!H5463</f>
        <v>0</v>
      </c>
      <c r="G83" s="39">
        <f>資料儲存!I5463</f>
        <v>0</v>
      </c>
      <c r="H83" s="39">
        <f>資料儲存!J5463</f>
        <v>0</v>
      </c>
      <c r="I83" s="58"/>
      <c r="J83" s="62">
        <v>2</v>
      </c>
      <c r="K83" s="39">
        <f>資料儲存!D5583</f>
        <v>0</v>
      </c>
      <c r="L83" s="39">
        <f>資料儲存!E5583</f>
        <v>0</v>
      </c>
      <c r="M83" s="39">
        <f>資料儲存!F5583</f>
        <v>0</v>
      </c>
      <c r="N83" s="39">
        <f>資料儲存!G5583</f>
        <v>0</v>
      </c>
      <c r="O83" s="39">
        <f>資料儲存!H5583</f>
        <v>0</v>
      </c>
      <c r="P83" s="39">
        <f>資料儲存!I5583</f>
        <v>0</v>
      </c>
      <c r="Q83" s="39">
        <f>資料儲存!J5583</f>
        <v>0</v>
      </c>
      <c r="R83" s="58"/>
      <c r="S83" s="62">
        <v>2</v>
      </c>
      <c r="T83" s="39">
        <f>資料儲存!D5703</f>
        <v>0</v>
      </c>
      <c r="U83" s="39">
        <f>資料儲存!E5703</f>
        <v>0</v>
      </c>
      <c r="V83" s="39">
        <f>資料儲存!F5703</f>
        <v>0</v>
      </c>
      <c r="W83" s="39">
        <f>資料儲存!G5703</f>
        <v>0</v>
      </c>
      <c r="X83" s="39">
        <f>資料儲存!H5703</f>
        <v>0</v>
      </c>
      <c r="Y83" s="39">
        <f>資料儲存!I5703</f>
        <v>0</v>
      </c>
      <c r="Z83" s="39">
        <f>資料儲存!J5703</f>
        <v>0</v>
      </c>
      <c r="AA83" s="58"/>
      <c r="AB83" s="62">
        <v>2</v>
      </c>
      <c r="AC83" s="39">
        <f>資料儲存!D5823</f>
        <v>0</v>
      </c>
      <c r="AD83" s="39">
        <f>資料儲存!E5823</f>
        <v>0</v>
      </c>
      <c r="AE83" s="39">
        <f>資料儲存!F5823</f>
        <v>0</v>
      </c>
      <c r="AF83" s="39">
        <f>資料儲存!G5823</f>
        <v>0</v>
      </c>
      <c r="AG83" s="39">
        <f>資料儲存!H5823</f>
        <v>0</v>
      </c>
      <c r="AH83" s="39">
        <f>資料儲存!I5823</f>
        <v>0</v>
      </c>
      <c r="AI83" s="39">
        <f>資料儲存!J5823</f>
        <v>0</v>
      </c>
      <c r="AJ83" s="58"/>
      <c r="AK83" s="62">
        <v>2</v>
      </c>
      <c r="AL83" s="39">
        <f>資料儲存!D5943</f>
        <v>0</v>
      </c>
      <c r="AM83" s="39">
        <f>資料儲存!E5943</f>
        <v>0</v>
      </c>
      <c r="AN83" s="39">
        <f>資料儲存!F5943</f>
        <v>0</v>
      </c>
      <c r="AO83" s="39">
        <f>資料儲存!G5943</f>
        <v>0</v>
      </c>
      <c r="AP83" s="39">
        <f>資料儲存!H5943</f>
        <v>0</v>
      </c>
      <c r="AQ83" s="39">
        <f>資料儲存!I5943</f>
        <v>0</v>
      </c>
      <c r="AR83" s="39">
        <f>資料儲存!J5943</f>
        <v>0</v>
      </c>
      <c r="AT83" s="62">
        <v>2</v>
      </c>
      <c r="AU83" s="39">
        <f>資料儲存!D6063</f>
        <v>0</v>
      </c>
      <c r="AV83" s="39">
        <f>資料儲存!E6063</f>
        <v>0</v>
      </c>
      <c r="AW83" s="39">
        <f>資料儲存!F6063</f>
        <v>0</v>
      </c>
      <c r="AX83" s="39">
        <f>資料儲存!G6063</f>
        <v>0</v>
      </c>
      <c r="AY83" s="39">
        <f>資料儲存!H6063</f>
        <v>0</v>
      </c>
      <c r="AZ83" s="39">
        <f>資料儲存!I6063</f>
        <v>0</v>
      </c>
      <c r="BA83" s="39">
        <f>資料儲存!J6063</f>
        <v>0</v>
      </c>
    </row>
    <row r="84" spans="1:53" s="59" customFormat="1" ht="16" thickBot="1">
      <c r="A84" s="62">
        <v>3</v>
      </c>
      <c r="B84" s="39">
        <f>資料儲存!D5464</f>
        <v>0</v>
      </c>
      <c r="C84" s="39">
        <f>資料儲存!E5464</f>
        <v>0</v>
      </c>
      <c r="D84" s="39">
        <f>資料儲存!F5464</f>
        <v>0</v>
      </c>
      <c r="E84" s="39">
        <f>資料儲存!G5464</f>
        <v>0</v>
      </c>
      <c r="F84" s="39">
        <f>資料儲存!H5464</f>
        <v>0</v>
      </c>
      <c r="G84" s="39">
        <f>資料儲存!I5464</f>
        <v>0</v>
      </c>
      <c r="H84" s="39">
        <f>資料儲存!J5464</f>
        <v>0</v>
      </c>
      <c r="I84" s="58"/>
      <c r="J84" s="62">
        <v>3</v>
      </c>
      <c r="K84" s="39">
        <f>資料儲存!D5584</f>
        <v>0</v>
      </c>
      <c r="L84" s="39">
        <f>資料儲存!E5584</f>
        <v>0</v>
      </c>
      <c r="M84" s="39">
        <f>資料儲存!F5584</f>
        <v>0</v>
      </c>
      <c r="N84" s="39">
        <f>資料儲存!G5584</f>
        <v>0</v>
      </c>
      <c r="O84" s="39">
        <f>資料儲存!H5584</f>
        <v>0</v>
      </c>
      <c r="P84" s="39">
        <f>資料儲存!I5584</f>
        <v>0</v>
      </c>
      <c r="Q84" s="39">
        <f>資料儲存!J5584</f>
        <v>0</v>
      </c>
      <c r="R84" s="58"/>
      <c r="S84" s="62">
        <v>3</v>
      </c>
      <c r="T84" s="39">
        <f>資料儲存!D5704</f>
        <v>0</v>
      </c>
      <c r="U84" s="39">
        <f>資料儲存!E5704</f>
        <v>0</v>
      </c>
      <c r="V84" s="39">
        <f>資料儲存!F5704</f>
        <v>0</v>
      </c>
      <c r="W84" s="39">
        <f>資料儲存!G5704</f>
        <v>0</v>
      </c>
      <c r="X84" s="39">
        <f>資料儲存!H5704</f>
        <v>0</v>
      </c>
      <c r="Y84" s="39">
        <f>資料儲存!I5704</f>
        <v>0</v>
      </c>
      <c r="Z84" s="39">
        <f>資料儲存!J5704</f>
        <v>0</v>
      </c>
      <c r="AA84" s="58"/>
      <c r="AB84" s="62">
        <v>3</v>
      </c>
      <c r="AC84" s="39">
        <f>資料儲存!D5824</f>
        <v>0</v>
      </c>
      <c r="AD84" s="39">
        <f>資料儲存!E5824</f>
        <v>0</v>
      </c>
      <c r="AE84" s="39">
        <f>資料儲存!F5824</f>
        <v>0</v>
      </c>
      <c r="AF84" s="39">
        <f>資料儲存!G5824</f>
        <v>0</v>
      </c>
      <c r="AG84" s="39">
        <f>資料儲存!H5824</f>
        <v>0</v>
      </c>
      <c r="AH84" s="39">
        <f>資料儲存!I5824</f>
        <v>0</v>
      </c>
      <c r="AI84" s="39">
        <f>資料儲存!J5824</f>
        <v>0</v>
      </c>
      <c r="AJ84" s="58"/>
      <c r="AK84" s="62">
        <v>3</v>
      </c>
      <c r="AL84" s="39">
        <f>資料儲存!D5944</f>
        <v>0</v>
      </c>
      <c r="AM84" s="39">
        <f>資料儲存!E5944</f>
        <v>0</v>
      </c>
      <c r="AN84" s="39">
        <f>資料儲存!F5944</f>
        <v>0</v>
      </c>
      <c r="AO84" s="39">
        <f>資料儲存!G5944</f>
        <v>0</v>
      </c>
      <c r="AP84" s="39">
        <f>資料儲存!H5944</f>
        <v>0</v>
      </c>
      <c r="AQ84" s="39">
        <f>資料儲存!I5944</f>
        <v>0</v>
      </c>
      <c r="AR84" s="39">
        <f>資料儲存!J5944</f>
        <v>0</v>
      </c>
      <c r="AT84" s="62">
        <v>3</v>
      </c>
      <c r="AU84" s="39">
        <f>資料儲存!D6064</f>
        <v>0</v>
      </c>
      <c r="AV84" s="39">
        <f>資料儲存!E6064</f>
        <v>0</v>
      </c>
      <c r="AW84" s="39">
        <f>資料儲存!F6064</f>
        <v>0</v>
      </c>
      <c r="AX84" s="39">
        <f>資料儲存!G6064</f>
        <v>0</v>
      </c>
      <c r="AY84" s="39">
        <f>資料儲存!H6064</f>
        <v>0</v>
      </c>
      <c r="AZ84" s="39">
        <f>資料儲存!I6064</f>
        <v>0</v>
      </c>
      <c r="BA84" s="39">
        <f>資料儲存!J6064</f>
        <v>0</v>
      </c>
    </row>
    <row r="85" spans="1:53" s="59" customFormat="1" ht="16" thickBot="1">
      <c r="A85" s="62">
        <v>4</v>
      </c>
      <c r="B85" s="39">
        <f>資料儲存!D5465</f>
        <v>0</v>
      </c>
      <c r="C85" s="39">
        <f>資料儲存!E5465</f>
        <v>0</v>
      </c>
      <c r="D85" s="39">
        <f>資料儲存!F5465</f>
        <v>0</v>
      </c>
      <c r="E85" s="39">
        <f>資料儲存!G5465</f>
        <v>0</v>
      </c>
      <c r="F85" s="39">
        <f>資料儲存!H5465</f>
        <v>0</v>
      </c>
      <c r="G85" s="39">
        <f>資料儲存!I5465</f>
        <v>0</v>
      </c>
      <c r="H85" s="39">
        <f>資料儲存!J5465</f>
        <v>0</v>
      </c>
      <c r="I85" s="58"/>
      <c r="J85" s="62">
        <v>4</v>
      </c>
      <c r="K85" s="39">
        <f>資料儲存!D5585</f>
        <v>0</v>
      </c>
      <c r="L85" s="39">
        <f>資料儲存!E5585</f>
        <v>0</v>
      </c>
      <c r="M85" s="39">
        <f>資料儲存!F5585</f>
        <v>0</v>
      </c>
      <c r="N85" s="39">
        <f>資料儲存!G5585</f>
        <v>0</v>
      </c>
      <c r="O85" s="39">
        <f>資料儲存!H5585</f>
        <v>0</v>
      </c>
      <c r="P85" s="39">
        <f>資料儲存!I5585</f>
        <v>0</v>
      </c>
      <c r="Q85" s="39">
        <f>資料儲存!J5585</f>
        <v>0</v>
      </c>
      <c r="R85" s="58"/>
      <c r="S85" s="62">
        <v>4</v>
      </c>
      <c r="T85" s="39">
        <f>資料儲存!D5705</f>
        <v>0</v>
      </c>
      <c r="U85" s="39">
        <f>資料儲存!E5705</f>
        <v>0</v>
      </c>
      <c r="V85" s="39">
        <f>資料儲存!F5705</f>
        <v>0</v>
      </c>
      <c r="W85" s="39">
        <f>資料儲存!G5705</f>
        <v>0</v>
      </c>
      <c r="X85" s="39">
        <f>資料儲存!H5705</f>
        <v>0</v>
      </c>
      <c r="Y85" s="39">
        <f>資料儲存!I5705</f>
        <v>0</v>
      </c>
      <c r="Z85" s="39">
        <f>資料儲存!J5705</f>
        <v>0</v>
      </c>
      <c r="AA85" s="58"/>
      <c r="AB85" s="62">
        <v>4</v>
      </c>
      <c r="AC85" s="39">
        <f>資料儲存!D5825</f>
        <v>0</v>
      </c>
      <c r="AD85" s="39">
        <f>資料儲存!E5825</f>
        <v>0</v>
      </c>
      <c r="AE85" s="39">
        <f>資料儲存!F5825</f>
        <v>0</v>
      </c>
      <c r="AF85" s="39">
        <f>資料儲存!G5825</f>
        <v>0</v>
      </c>
      <c r="AG85" s="39">
        <f>資料儲存!H5825</f>
        <v>0</v>
      </c>
      <c r="AH85" s="39">
        <f>資料儲存!I5825</f>
        <v>0</v>
      </c>
      <c r="AI85" s="39">
        <f>資料儲存!J5825</f>
        <v>0</v>
      </c>
      <c r="AJ85" s="58"/>
      <c r="AK85" s="62">
        <v>4</v>
      </c>
      <c r="AL85" s="39">
        <f>資料儲存!D5945</f>
        <v>0</v>
      </c>
      <c r="AM85" s="39">
        <f>資料儲存!E5945</f>
        <v>0</v>
      </c>
      <c r="AN85" s="39">
        <f>資料儲存!F5945</f>
        <v>0</v>
      </c>
      <c r="AO85" s="39">
        <f>資料儲存!G5945</f>
        <v>0</v>
      </c>
      <c r="AP85" s="39">
        <f>資料儲存!H5945</f>
        <v>0</v>
      </c>
      <c r="AQ85" s="39">
        <f>資料儲存!I5945</f>
        <v>0</v>
      </c>
      <c r="AR85" s="39">
        <f>資料儲存!J5945</f>
        <v>0</v>
      </c>
      <c r="AT85" s="62">
        <v>4</v>
      </c>
      <c r="AU85" s="39">
        <f>資料儲存!D6065</f>
        <v>0</v>
      </c>
      <c r="AV85" s="39">
        <f>資料儲存!E6065</f>
        <v>0</v>
      </c>
      <c r="AW85" s="39">
        <f>資料儲存!F6065</f>
        <v>0</v>
      </c>
      <c r="AX85" s="39">
        <f>資料儲存!G6065</f>
        <v>0</v>
      </c>
      <c r="AY85" s="39">
        <f>資料儲存!H6065</f>
        <v>0</v>
      </c>
      <c r="AZ85" s="39">
        <f>資料儲存!I6065</f>
        <v>0</v>
      </c>
      <c r="BA85" s="39">
        <f>資料儲存!J6065</f>
        <v>0</v>
      </c>
    </row>
    <row r="86" spans="1:53" s="59" customFormat="1" ht="16" thickBot="1">
      <c r="A86" s="62">
        <v>5</v>
      </c>
      <c r="B86" s="39">
        <f>資料儲存!D5466</f>
        <v>0</v>
      </c>
      <c r="C86" s="39">
        <f>資料儲存!E5466</f>
        <v>0</v>
      </c>
      <c r="D86" s="39">
        <f>資料儲存!F5466</f>
        <v>0</v>
      </c>
      <c r="E86" s="39">
        <f>資料儲存!G5466</f>
        <v>0</v>
      </c>
      <c r="F86" s="39">
        <f>資料儲存!H5466</f>
        <v>0</v>
      </c>
      <c r="G86" s="39">
        <f>資料儲存!I5466</f>
        <v>0</v>
      </c>
      <c r="H86" s="39">
        <f>資料儲存!J5466</f>
        <v>0</v>
      </c>
      <c r="I86" s="58"/>
      <c r="J86" s="62">
        <v>5</v>
      </c>
      <c r="K86" s="39">
        <f>資料儲存!D5586</f>
        <v>0</v>
      </c>
      <c r="L86" s="39">
        <f>資料儲存!E5586</f>
        <v>0</v>
      </c>
      <c r="M86" s="39">
        <f>資料儲存!F5586</f>
        <v>0</v>
      </c>
      <c r="N86" s="39">
        <f>資料儲存!G5586</f>
        <v>0</v>
      </c>
      <c r="O86" s="39">
        <f>資料儲存!H5586</f>
        <v>0</v>
      </c>
      <c r="P86" s="39">
        <f>資料儲存!I5586</f>
        <v>0</v>
      </c>
      <c r="Q86" s="39">
        <f>資料儲存!J5586</f>
        <v>0</v>
      </c>
      <c r="R86" s="58"/>
      <c r="S86" s="62">
        <v>5</v>
      </c>
      <c r="T86" s="39">
        <f>資料儲存!D5706</f>
        <v>0</v>
      </c>
      <c r="U86" s="39">
        <f>資料儲存!E5706</f>
        <v>0</v>
      </c>
      <c r="V86" s="39">
        <f>資料儲存!F5706</f>
        <v>0</v>
      </c>
      <c r="W86" s="39">
        <f>資料儲存!G5706</f>
        <v>0</v>
      </c>
      <c r="X86" s="39">
        <f>資料儲存!H5706</f>
        <v>0</v>
      </c>
      <c r="Y86" s="39">
        <f>資料儲存!I5706</f>
        <v>0</v>
      </c>
      <c r="Z86" s="39">
        <f>資料儲存!J5706</f>
        <v>0</v>
      </c>
      <c r="AA86" s="58"/>
      <c r="AB86" s="62">
        <v>5</v>
      </c>
      <c r="AC86" s="39">
        <f>資料儲存!D5826</f>
        <v>0</v>
      </c>
      <c r="AD86" s="39">
        <f>資料儲存!E5826</f>
        <v>0</v>
      </c>
      <c r="AE86" s="39">
        <f>資料儲存!F5826</f>
        <v>0</v>
      </c>
      <c r="AF86" s="39">
        <f>資料儲存!G5826</f>
        <v>0</v>
      </c>
      <c r="AG86" s="39">
        <f>資料儲存!H5826</f>
        <v>0</v>
      </c>
      <c r="AH86" s="39">
        <f>資料儲存!I5826</f>
        <v>0</v>
      </c>
      <c r="AI86" s="39">
        <f>資料儲存!J5826</f>
        <v>0</v>
      </c>
      <c r="AJ86" s="58"/>
      <c r="AK86" s="62">
        <v>5</v>
      </c>
      <c r="AL86" s="39">
        <f>資料儲存!D5946</f>
        <v>0</v>
      </c>
      <c r="AM86" s="39">
        <f>資料儲存!E5946</f>
        <v>0</v>
      </c>
      <c r="AN86" s="39">
        <f>資料儲存!F5946</f>
        <v>0</v>
      </c>
      <c r="AO86" s="39">
        <f>資料儲存!G5946</f>
        <v>0</v>
      </c>
      <c r="AP86" s="39">
        <f>資料儲存!H5946</f>
        <v>0</v>
      </c>
      <c r="AQ86" s="39">
        <f>資料儲存!I5946</f>
        <v>0</v>
      </c>
      <c r="AR86" s="39">
        <f>資料儲存!J5946</f>
        <v>0</v>
      </c>
      <c r="AT86" s="62">
        <v>5</v>
      </c>
      <c r="AU86" s="39">
        <f>資料儲存!D6066</f>
        <v>0</v>
      </c>
      <c r="AV86" s="39">
        <f>資料儲存!E6066</f>
        <v>0</v>
      </c>
      <c r="AW86" s="39">
        <f>資料儲存!F6066</f>
        <v>0</v>
      </c>
      <c r="AX86" s="39">
        <f>資料儲存!G6066</f>
        <v>0</v>
      </c>
      <c r="AY86" s="39">
        <f>資料儲存!H6066</f>
        <v>0</v>
      </c>
      <c r="AZ86" s="39">
        <f>資料儲存!I6066</f>
        <v>0</v>
      </c>
      <c r="BA86" s="39">
        <f>資料儲存!J6066</f>
        <v>0</v>
      </c>
    </row>
    <row r="87" spans="1:53" s="59" customFormat="1" ht="16" thickBot="1">
      <c r="A87" s="62">
        <v>6</v>
      </c>
      <c r="B87" s="39">
        <f>資料儲存!D5467</f>
        <v>0</v>
      </c>
      <c r="C87" s="39">
        <f>資料儲存!E5467</f>
        <v>0</v>
      </c>
      <c r="D87" s="39">
        <f>資料儲存!F5467</f>
        <v>0</v>
      </c>
      <c r="E87" s="39">
        <f>資料儲存!G5467</f>
        <v>0</v>
      </c>
      <c r="F87" s="39">
        <f>資料儲存!H5467</f>
        <v>0</v>
      </c>
      <c r="G87" s="39">
        <f>資料儲存!I5467</f>
        <v>0</v>
      </c>
      <c r="H87" s="39">
        <f>資料儲存!J5467</f>
        <v>0</v>
      </c>
      <c r="I87" s="58"/>
      <c r="J87" s="62">
        <v>6</v>
      </c>
      <c r="K87" s="39">
        <f>資料儲存!D5587</f>
        <v>0</v>
      </c>
      <c r="L87" s="39">
        <f>資料儲存!E5587</f>
        <v>0</v>
      </c>
      <c r="M87" s="39">
        <f>資料儲存!F5587</f>
        <v>0</v>
      </c>
      <c r="N87" s="39">
        <f>資料儲存!G5587</f>
        <v>0</v>
      </c>
      <c r="O87" s="39">
        <f>資料儲存!H5587</f>
        <v>0</v>
      </c>
      <c r="P87" s="39">
        <f>資料儲存!I5587</f>
        <v>0</v>
      </c>
      <c r="Q87" s="39">
        <f>資料儲存!J5587</f>
        <v>0</v>
      </c>
      <c r="R87" s="58"/>
      <c r="S87" s="62">
        <v>6</v>
      </c>
      <c r="T87" s="39">
        <f>資料儲存!D5707</f>
        <v>0</v>
      </c>
      <c r="U87" s="39">
        <f>資料儲存!E5707</f>
        <v>0</v>
      </c>
      <c r="V87" s="39">
        <f>資料儲存!F5707</f>
        <v>0</v>
      </c>
      <c r="W87" s="39">
        <f>資料儲存!G5707</f>
        <v>0</v>
      </c>
      <c r="X87" s="39">
        <f>資料儲存!H5707</f>
        <v>0</v>
      </c>
      <c r="Y87" s="39">
        <f>資料儲存!I5707</f>
        <v>0</v>
      </c>
      <c r="Z87" s="39">
        <f>資料儲存!J5707</f>
        <v>0</v>
      </c>
      <c r="AA87" s="58"/>
      <c r="AB87" s="62">
        <v>6</v>
      </c>
      <c r="AC87" s="39">
        <f>資料儲存!D5827</f>
        <v>0</v>
      </c>
      <c r="AD87" s="39">
        <f>資料儲存!E5827</f>
        <v>0</v>
      </c>
      <c r="AE87" s="39">
        <f>資料儲存!F5827</f>
        <v>0</v>
      </c>
      <c r="AF87" s="39">
        <f>資料儲存!G5827</f>
        <v>0</v>
      </c>
      <c r="AG87" s="39">
        <f>資料儲存!H5827</f>
        <v>0</v>
      </c>
      <c r="AH87" s="39">
        <f>資料儲存!I5827</f>
        <v>0</v>
      </c>
      <c r="AI87" s="39">
        <f>資料儲存!J5827</f>
        <v>0</v>
      </c>
      <c r="AJ87" s="58"/>
      <c r="AK87" s="62">
        <v>6</v>
      </c>
      <c r="AL87" s="39">
        <f>資料儲存!D5947</f>
        <v>0</v>
      </c>
      <c r="AM87" s="39">
        <f>資料儲存!E5947</f>
        <v>0</v>
      </c>
      <c r="AN87" s="39">
        <f>資料儲存!F5947</f>
        <v>0</v>
      </c>
      <c r="AO87" s="39">
        <f>資料儲存!G5947</f>
        <v>0</v>
      </c>
      <c r="AP87" s="39">
        <f>資料儲存!H5947</f>
        <v>0</v>
      </c>
      <c r="AQ87" s="39">
        <f>資料儲存!I5947</f>
        <v>0</v>
      </c>
      <c r="AR87" s="39">
        <f>資料儲存!J5947</f>
        <v>0</v>
      </c>
      <c r="AT87" s="62">
        <v>6</v>
      </c>
      <c r="AU87" s="39">
        <f>資料儲存!D6067</f>
        <v>0</v>
      </c>
      <c r="AV87" s="39">
        <f>資料儲存!E6067</f>
        <v>0</v>
      </c>
      <c r="AW87" s="39">
        <f>資料儲存!F6067</f>
        <v>0</v>
      </c>
      <c r="AX87" s="39">
        <f>資料儲存!G6067</f>
        <v>0</v>
      </c>
      <c r="AY87" s="39">
        <f>資料儲存!H6067</f>
        <v>0</v>
      </c>
      <c r="AZ87" s="39">
        <f>資料儲存!I6067</f>
        <v>0</v>
      </c>
      <c r="BA87" s="39">
        <f>資料儲存!J6067</f>
        <v>0</v>
      </c>
    </row>
    <row r="88" spans="1:53" s="59" customFormat="1" ht="16" thickBot="1">
      <c r="A88" s="62">
        <v>7</v>
      </c>
      <c r="B88" s="39">
        <f>資料儲存!D5468</f>
        <v>0</v>
      </c>
      <c r="C88" s="39">
        <f>資料儲存!E5468</f>
        <v>0</v>
      </c>
      <c r="D88" s="39">
        <f>資料儲存!F5468</f>
        <v>0</v>
      </c>
      <c r="E88" s="39">
        <f>資料儲存!G5468</f>
        <v>0</v>
      </c>
      <c r="F88" s="39">
        <f>資料儲存!H5468</f>
        <v>0</v>
      </c>
      <c r="G88" s="39">
        <f>資料儲存!I5468</f>
        <v>0</v>
      </c>
      <c r="H88" s="39">
        <f>資料儲存!J5468</f>
        <v>0</v>
      </c>
      <c r="I88" s="58"/>
      <c r="J88" s="62">
        <v>7</v>
      </c>
      <c r="K88" s="39">
        <f>資料儲存!D5588</f>
        <v>0</v>
      </c>
      <c r="L88" s="39">
        <f>資料儲存!E5588</f>
        <v>0</v>
      </c>
      <c r="M88" s="39">
        <f>資料儲存!F5588</f>
        <v>0</v>
      </c>
      <c r="N88" s="39">
        <f>資料儲存!G5588</f>
        <v>0</v>
      </c>
      <c r="O88" s="39">
        <f>資料儲存!H5588</f>
        <v>0</v>
      </c>
      <c r="P88" s="39">
        <f>資料儲存!I5588</f>
        <v>0</v>
      </c>
      <c r="Q88" s="39">
        <f>資料儲存!J5588</f>
        <v>0</v>
      </c>
      <c r="R88" s="58"/>
      <c r="S88" s="62">
        <v>7</v>
      </c>
      <c r="T88" s="39">
        <f>資料儲存!D5708</f>
        <v>0</v>
      </c>
      <c r="U88" s="39">
        <f>資料儲存!E5708</f>
        <v>0</v>
      </c>
      <c r="V88" s="39">
        <f>資料儲存!F5708</f>
        <v>0</v>
      </c>
      <c r="W88" s="39">
        <f>資料儲存!G5708</f>
        <v>0</v>
      </c>
      <c r="X88" s="39">
        <f>資料儲存!H5708</f>
        <v>0</v>
      </c>
      <c r="Y88" s="39">
        <f>資料儲存!I5708</f>
        <v>0</v>
      </c>
      <c r="Z88" s="39">
        <f>資料儲存!J5708</f>
        <v>0</v>
      </c>
      <c r="AA88" s="58"/>
      <c r="AB88" s="62">
        <v>7</v>
      </c>
      <c r="AC88" s="39">
        <f>資料儲存!D5828</f>
        <v>0</v>
      </c>
      <c r="AD88" s="39">
        <f>資料儲存!E5828</f>
        <v>0</v>
      </c>
      <c r="AE88" s="39">
        <f>資料儲存!F5828</f>
        <v>0</v>
      </c>
      <c r="AF88" s="39">
        <f>資料儲存!G5828</f>
        <v>0</v>
      </c>
      <c r="AG88" s="39">
        <f>資料儲存!H5828</f>
        <v>0</v>
      </c>
      <c r="AH88" s="39">
        <f>資料儲存!I5828</f>
        <v>0</v>
      </c>
      <c r="AI88" s="39">
        <f>資料儲存!J5828</f>
        <v>0</v>
      </c>
      <c r="AJ88" s="58"/>
      <c r="AK88" s="62">
        <v>7</v>
      </c>
      <c r="AL88" s="39">
        <f>資料儲存!D5948</f>
        <v>0</v>
      </c>
      <c r="AM88" s="39">
        <f>資料儲存!E5948</f>
        <v>0</v>
      </c>
      <c r="AN88" s="39">
        <f>資料儲存!F5948</f>
        <v>0</v>
      </c>
      <c r="AO88" s="39">
        <f>資料儲存!G5948</f>
        <v>0</v>
      </c>
      <c r="AP88" s="39">
        <f>資料儲存!H5948</f>
        <v>0</v>
      </c>
      <c r="AQ88" s="39">
        <f>資料儲存!I5948</f>
        <v>0</v>
      </c>
      <c r="AR88" s="39">
        <f>資料儲存!J5948</f>
        <v>0</v>
      </c>
      <c r="AT88" s="62">
        <v>7</v>
      </c>
      <c r="AU88" s="39">
        <f>資料儲存!D6068</f>
        <v>0</v>
      </c>
      <c r="AV88" s="39">
        <f>資料儲存!E6068</f>
        <v>0</v>
      </c>
      <c r="AW88" s="39">
        <f>資料儲存!F6068</f>
        <v>0</v>
      </c>
      <c r="AX88" s="39">
        <f>資料儲存!G6068</f>
        <v>0</v>
      </c>
      <c r="AY88" s="39">
        <f>資料儲存!H6068</f>
        <v>0</v>
      </c>
      <c r="AZ88" s="39">
        <f>資料儲存!I6068</f>
        <v>0</v>
      </c>
      <c r="BA88" s="39">
        <f>資料儲存!J6068</f>
        <v>0</v>
      </c>
    </row>
    <row r="89" spans="1:53" s="59" customFormat="1" ht="16" thickBot="1">
      <c r="A89" s="62">
        <v>8</v>
      </c>
      <c r="B89" s="39">
        <f>資料儲存!D5469</f>
        <v>0</v>
      </c>
      <c r="C89" s="39">
        <f>資料儲存!E5469</f>
        <v>0</v>
      </c>
      <c r="D89" s="39">
        <f>資料儲存!F5469</f>
        <v>0</v>
      </c>
      <c r="E89" s="39">
        <f>資料儲存!G5469</f>
        <v>0</v>
      </c>
      <c r="F89" s="39">
        <f>資料儲存!H5469</f>
        <v>0</v>
      </c>
      <c r="G89" s="39">
        <f>資料儲存!I5469</f>
        <v>0</v>
      </c>
      <c r="H89" s="39">
        <f>資料儲存!J5469</f>
        <v>0</v>
      </c>
      <c r="I89" s="58"/>
      <c r="J89" s="62">
        <v>8</v>
      </c>
      <c r="K89" s="39">
        <f>資料儲存!D5589</f>
        <v>0</v>
      </c>
      <c r="L89" s="39">
        <f>資料儲存!E5589</f>
        <v>0</v>
      </c>
      <c r="M89" s="39">
        <f>資料儲存!F5589</f>
        <v>0</v>
      </c>
      <c r="N89" s="39">
        <f>資料儲存!G5589</f>
        <v>0</v>
      </c>
      <c r="O89" s="39">
        <f>資料儲存!H5589</f>
        <v>0</v>
      </c>
      <c r="P89" s="39">
        <f>資料儲存!I5589</f>
        <v>0</v>
      </c>
      <c r="Q89" s="39">
        <f>資料儲存!J5589</f>
        <v>0</v>
      </c>
      <c r="R89" s="58"/>
      <c r="S89" s="62">
        <v>8</v>
      </c>
      <c r="T89" s="39">
        <f>資料儲存!D5709</f>
        <v>0</v>
      </c>
      <c r="U89" s="39">
        <f>資料儲存!E5709</f>
        <v>0</v>
      </c>
      <c r="V89" s="39">
        <f>資料儲存!F5709</f>
        <v>0</v>
      </c>
      <c r="W89" s="39">
        <f>資料儲存!G5709</f>
        <v>0</v>
      </c>
      <c r="X89" s="39">
        <f>資料儲存!H5709</f>
        <v>0</v>
      </c>
      <c r="Y89" s="39">
        <f>資料儲存!I5709</f>
        <v>0</v>
      </c>
      <c r="Z89" s="39">
        <f>資料儲存!J5709</f>
        <v>0</v>
      </c>
      <c r="AA89" s="58"/>
      <c r="AB89" s="62">
        <v>8</v>
      </c>
      <c r="AC89" s="39">
        <f>資料儲存!D5829</f>
        <v>0</v>
      </c>
      <c r="AD89" s="39">
        <f>資料儲存!E5829</f>
        <v>0</v>
      </c>
      <c r="AE89" s="39">
        <f>資料儲存!F5829</f>
        <v>0</v>
      </c>
      <c r="AF89" s="39">
        <f>資料儲存!G5829</f>
        <v>0</v>
      </c>
      <c r="AG89" s="39">
        <f>資料儲存!H5829</f>
        <v>0</v>
      </c>
      <c r="AH89" s="39">
        <f>資料儲存!I5829</f>
        <v>0</v>
      </c>
      <c r="AI89" s="39">
        <f>資料儲存!J5829</f>
        <v>0</v>
      </c>
      <c r="AJ89" s="58"/>
      <c r="AK89" s="62">
        <v>8</v>
      </c>
      <c r="AL89" s="39">
        <f>資料儲存!D5949</f>
        <v>0</v>
      </c>
      <c r="AM89" s="39">
        <f>資料儲存!E5949</f>
        <v>0</v>
      </c>
      <c r="AN89" s="39">
        <f>資料儲存!F5949</f>
        <v>0</v>
      </c>
      <c r="AO89" s="39">
        <f>資料儲存!G5949</f>
        <v>0</v>
      </c>
      <c r="AP89" s="39">
        <f>資料儲存!H5949</f>
        <v>0</v>
      </c>
      <c r="AQ89" s="39">
        <f>資料儲存!I5949</f>
        <v>0</v>
      </c>
      <c r="AR89" s="39">
        <f>資料儲存!J5949</f>
        <v>0</v>
      </c>
      <c r="AT89" s="62">
        <v>8</v>
      </c>
      <c r="AU89" s="39">
        <f>資料儲存!D6069</f>
        <v>0</v>
      </c>
      <c r="AV89" s="39">
        <f>資料儲存!E6069</f>
        <v>0</v>
      </c>
      <c r="AW89" s="39">
        <f>資料儲存!F6069</f>
        <v>0</v>
      </c>
      <c r="AX89" s="39">
        <f>資料儲存!G6069</f>
        <v>0</v>
      </c>
      <c r="AY89" s="39">
        <f>資料儲存!H6069</f>
        <v>0</v>
      </c>
      <c r="AZ89" s="39">
        <f>資料儲存!I6069</f>
        <v>0</v>
      </c>
      <c r="BA89" s="39">
        <f>資料儲存!J6069</f>
        <v>0</v>
      </c>
    </row>
    <row r="90" spans="1:53" s="59" customFormat="1" ht="16" thickBot="1">
      <c r="A90" s="62">
        <v>9</v>
      </c>
      <c r="B90" s="39">
        <f>資料儲存!D5470</f>
        <v>0</v>
      </c>
      <c r="C90" s="39">
        <f>資料儲存!E5470</f>
        <v>0</v>
      </c>
      <c r="D90" s="39">
        <f>資料儲存!F5470</f>
        <v>0</v>
      </c>
      <c r="E90" s="39">
        <f>資料儲存!G5470</f>
        <v>0</v>
      </c>
      <c r="F90" s="39">
        <f>資料儲存!H5470</f>
        <v>0</v>
      </c>
      <c r="G90" s="39">
        <f>資料儲存!I5470</f>
        <v>0</v>
      </c>
      <c r="H90" s="39">
        <f>資料儲存!J5470</f>
        <v>0</v>
      </c>
      <c r="I90" s="58"/>
      <c r="J90" s="62">
        <v>9</v>
      </c>
      <c r="K90" s="39">
        <f>資料儲存!D5590</f>
        <v>0</v>
      </c>
      <c r="L90" s="39">
        <f>資料儲存!E5590</f>
        <v>0</v>
      </c>
      <c r="M90" s="39">
        <f>資料儲存!F5590</f>
        <v>0</v>
      </c>
      <c r="N90" s="39">
        <f>資料儲存!G5590</f>
        <v>0</v>
      </c>
      <c r="O90" s="39">
        <f>資料儲存!H5590</f>
        <v>0</v>
      </c>
      <c r="P90" s="39">
        <f>資料儲存!I5590</f>
        <v>0</v>
      </c>
      <c r="Q90" s="39">
        <f>資料儲存!J5590</f>
        <v>0</v>
      </c>
      <c r="R90" s="58"/>
      <c r="S90" s="62">
        <v>9</v>
      </c>
      <c r="T90" s="39">
        <f>資料儲存!D5710</f>
        <v>0</v>
      </c>
      <c r="U90" s="39">
        <f>資料儲存!E5710</f>
        <v>0</v>
      </c>
      <c r="V90" s="39">
        <f>資料儲存!F5710</f>
        <v>0</v>
      </c>
      <c r="W90" s="39">
        <f>資料儲存!G5710</f>
        <v>0</v>
      </c>
      <c r="X90" s="39">
        <f>資料儲存!H5710</f>
        <v>0</v>
      </c>
      <c r="Y90" s="39">
        <f>資料儲存!I5710</f>
        <v>0</v>
      </c>
      <c r="Z90" s="39">
        <f>資料儲存!J5710</f>
        <v>0</v>
      </c>
      <c r="AA90" s="58"/>
      <c r="AB90" s="62">
        <v>9</v>
      </c>
      <c r="AC90" s="39">
        <f>資料儲存!D5830</f>
        <v>0</v>
      </c>
      <c r="AD90" s="39">
        <f>資料儲存!E5830</f>
        <v>0</v>
      </c>
      <c r="AE90" s="39">
        <f>資料儲存!F5830</f>
        <v>0</v>
      </c>
      <c r="AF90" s="39">
        <f>資料儲存!G5830</f>
        <v>0</v>
      </c>
      <c r="AG90" s="39">
        <f>資料儲存!H5830</f>
        <v>0</v>
      </c>
      <c r="AH90" s="39">
        <f>資料儲存!I5830</f>
        <v>0</v>
      </c>
      <c r="AI90" s="39">
        <f>資料儲存!J5830</f>
        <v>0</v>
      </c>
      <c r="AJ90" s="58"/>
      <c r="AK90" s="62">
        <v>9</v>
      </c>
      <c r="AL90" s="39">
        <f>資料儲存!D5950</f>
        <v>0</v>
      </c>
      <c r="AM90" s="39">
        <f>資料儲存!E5950</f>
        <v>0</v>
      </c>
      <c r="AN90" s="39">
        <f>資料儲存!F5950</f>
        <v>0</v>
      </c>
      <c r="AO90" s="39">
        <f>資料儲存!G5950</f>
        <v>0</v>
      </c>
      <c r="AP90" s="39">
        <f>資料儲存!H5950</f>
        <v>0</v>
      </c>
      <c r="AQ90" s="39">
        <f>資料儲存!I5950</f>
        <v>0</v>
      </c>
      <c r="AR90" s="39">
        <f>資料儲存!J5950</f>
        <v>0</v>
      </c>
      <c r="AT90" s="62">
        <v>9</v>
      </c>
      <c r="AU90" s="39">
        <f>資料儲存!D6070</f>
        <v>0</v>
      </c>
      <c r="AV90" s="39">
        <f>資料儲存!E6070</f>
        <v>0</v>
      </c>
      <c r="AW90" s="39">
        <f>資料儲存!F6070</f>
        <v>0</v>
      </c>
      <c r="AX90" s="39">
        <f>資料儲存!G6070</f>
        <v>0</v>
      </c>
      <c r="AY90" s="39">
        <f>資料儲存!H6070</f>
        <v>0</v>
      </c>
      <c r="AZ90" s="39">
        <f>資料儲存!I6070</f>
        <v>0</v>
      </c>
      <c r="BA90" s="39">
        <f>資料儲存!J6070</f>
        <v>0</v>
      </c>
    </row>
    <row r="91" spans="1:53" s="59" customFormat="1" ht="16" thickBot="1">
      <c r="A91" s="62">
        <v>10</v>
      </c>
      <c r="B91" s="39">
        <f>資料儲存!D5471</f>
        <v>0</v>
      </c>
      <c r="C91" s="39">
        <f>資料儲存!E5471</f>
        <v>0</v>
      </c>
      <c r="D91" s="39">
        <f>資料儲存!F5471</f>
        <v>0</v>
      </c>
      <c r="E91" s="39">
        <f>資料儲存!G5471</f>
        <v>0</v>
      </c>
      <c r="F91" s="39">
        <f>資料儲存!H5471</f>
        <v>0</v>
      </c>
      <c r="G91" s="39">
        <f>資料儲存!I5471</f>
        <v>0</v>
      </c>
      <c r="H91" s="39">
        <f>資料儲存!J5471</f>
        <v>0</v>
      </c>
      <c r="I91" s="58"/>
      <c r="J91" s="62">
        <v>10</v>
      </c>
      <c r="K91" s="39">
        <f>資料儲存!D5591</f>
        <v>0</v>
      </c>
      <c r="L91" s="39">
        <f>資料儲存!E5591</f>
        <v>0</v>
      </c>
      <c r="M91" s="39">
        <f>資料儲存!F5591</f>
        <v>0</v>
      </c>
      <c r="N91" s="39">
        <f>資料儲存!G5591</f>
        <v>0</v>
      </c>
      <c r="O91" s="39">
        <f>資料儲存!H5591</f>
        <v>0</v>
      </c>
      <c r="P91" s="39">
        <f>資料儲存!I5591</f>
        <v>0</v>
      </c>
      <c r="Q91" s="39">
        <f>資料儲存!J5591</f>
        <v>0</v>
      </c>
      <c r="R91" s="58"/>
      <c r="S91" s="62">
        <v>10</v>
      </c>
      <c r="T91" s="39">
        <f>資料儲存!D5711</f>
        <v>0</v>
      </c>
      <c r="U91" s="39">
        <f>資料儲存!E5711</f>
        <v>0</v>
      </c>
      <c r="V91" s="39">
        <f>資料儲存!F5711</f>
        <v>0</v>
      </c>
      <c r="W91" s="39">
        <f>資料儲存!G5711</f>
        <v>0</v>
      </c>
      <c r="X91" s="39">
        <f>資料儲存!H5711</f>
        <v>0</v>
      </c>
      <c r="Y91" s="39">
        <f>資料儲存!I5711</f>
        <v>0</v>
      </c>
      <c r="Z91" s="39">
        <f>資料儲存!J5711</f>
        <v>0</v>
      </c>
      <c r="AA91" s="58"/>
      <c r="AB91" s="62">
        <v>10</v>
      </c>
      <c r="AC91" s="39">
        <f>資料儲存!D5831</f>
        <v>0</v>
      </c>
      <c r="AD91" s="39">
        <f>資料儲存!E5831</f>
        <v>0</v>
      </c>
      <c r="AE91" s="39">
        <f>資料儲存!F5831</f>
        <v>0</v>
      </c>
      <c r="AF91" s="39">
        <f>資料儲存!G5831</f>
        <v>0</v>
      </c>
      <c r="AG91" s="39">
        <f>資料儲存!H5831</f>
        <v>0</v>
      </c>
      <c r="AH91" s="39">
        <f>資料儲存!I5831</f>
        <v>0</v>
      </c>
      <c r="AI91" s="39">
        <f>資料儲存!J5831</f>
        <v>0</v>
      </c>
      <c r="AJ91" s="58"/>
      <c r="AK91" s="62">
        <v>10</v>
      </c>
      <c r="AL91" s="39">
        <f>資料儲存!D5951</f>
        <v>0</v>
      </c>
      <c r="AM91" s="39">
        <f>資料儲存!E5951</f>
        <v>0</v>
      </c>
      <c r="AN91" s="39">
        <f>資料儲存!F5951</f>
        <v>0</v>
      </c>
      <c r="AO91" s="39">
        <f>資料儲存!G5951</f>
        <v>0</v>
      </c>
      <c r="AP91" s="39">
        <f>資料儲存!H5951</f>
        <v>0</v>
      </c>
      <c r="AQ91" s="39">
        <f>資料儲存!I5951</f>
        <v>0</v>
      </c>
      <c r="AR91" s="39">
        <f>資料儲存!J5951</f>
        <v>0</v>
      </c>
      <c r="AT91" s="62">
        <v>10</v>
      </c>
      <c r="AU91" s="39">
        <f>資料儲存!D6071</f>
        <v>0</v>
      </c>
      <c r="AV91" s="39">
        <f>資料儲存!E6071</f>
        <v>0</v>
      </c>
      <c r="AW91" s="39">
        <f>資料儲存!F6071</f>
        <v>0</v>
      </c>
      <c r="AX91" s="39">
        <f>資料儲存!G6071</f>
        <v>0</v>
      </c>
      <c r="AY91" s="39">
        <f>資料儲存!H6071</f>
        <v>0</v>
      </c>
      <c r="AZ91" s="39">
        <f>資料儲存!I6071</f>
        <v>0</v>
      </c>
      <c r="BA91" s="39">
        <f>資料儲存!J6071</f>
        <v>0</v>
      </c>
    </row>
    <row r="92" spans="1:53" s="59" customFormat="1" ht="16" thickBot="1">
      <c r="A92" s="62">
        <v>11</v>
      </c>
      <c r="B92" s="39">
        <f>資料儲存!D5472</f>
        <v>0</v>
      </c>
      <c r="C92" s="39">
        <f>資料儲存!E5472</f>
        <v>0</v>
      </c>
      <c r="D92" s="39">
        <f>資料儲存!F5472</f>
        <v>0</v>
      </c>
      <c r="E92" s="39">
        <f>資料儲存!G5472</f>
        <v>0</v>
      </c>
      <c r="F92" s="39">
        <f>資料儲存!H5472</f>
        <v>0</v>
      </c>
      <c r="G92" s="39">
        <f>資料儲存!I5472</f>
        <v>0</v>
      </c>
      <c r="H92" s="39">
        <f>資料儲存!J5472</f>
        <v>0</v>
      </c>
      <c r="I92" s="58"/>
      <c r="J92" s="62">
        <v>11</v>
      </c>
      <c r="K92" s="39">
        <f>資料儲存!D5592</f>
        <v>0</v>
      </c>
      <c r="L92" s="39">
        <f>資料儲存!E5592</f>
        <v>0</v>
      </c>
      <c r="M92" s="39">
        <f>資料儲存!F5592</f>
        <v>0</v>
      </c>
      <c r="N92" s="39">
        <f>資料儲存!G5592</f>
        <v>0</v>
      </c>
      <c r="O92" s="39">
        <f>資料儲存!H5592</f>
        <v>0</v>
      </c>
      <c r="P92" s="39">
        <f>資料儲存!I5592</f>
        <v>0</v>
      </c>
      <c r="Q92" s="39">
        <f>資料儲存!J5592</f>
        <v>0</v>
      </c>
      <c r="R92" s="58"/>
      <c r="S92" s="62">
        <v>11</v>
      </c>
      <c r="T92" s="39">
        <f>資料儲存!D5712</f>
        <v>0</v>
      </c>
      <c r="U92" s="39">
        <f>資料儲存!E5712</f>
        <v>0</v>
      </c>
      <c r="V92" s="39">
        <f>資料儲存!F5712</f>
        <v>0</v>
      </c>
      <c r="W92" s="39">
        <f>資料儲存!G5712</f>
        <v>0</v>
      </c>
      <c r="X92" s="39">
        <f>資料儲存!H5712</f>
        <v>0</v>
      </c>
      <c r="Y92" s="39">
        <f>資料儲存!I5712</f>
        <v>0</v>
      </c>
      <c r="Z92" s="39">
        <f>資料儲存!J5712</f>
        <v>0</v>
      </c>
      <c r="AA92" s="58"/>
      <c r="AB92" s="62">
        <v>11</v>
      </c>
      <c r="AC92" s="39">
        <f>資料儲存!D5832</f>
        <v>0</v>
      </c>
      <c r="AD92" s="39">
        <f>資料儲存!E5832</f>
        <v>0</v>
      </c>
      <c r="AE92" s="39">
        <f>資料儲存!F5832</f>
        <v>0</v>
      </c>
      <c r="AF92" s="39">
        <f>資料儲存!G5832</f>
        <v>0</v>
      </c>
      <c r="AG92" s="39">
        <f>資料儲存!H5832</f>
        <v>0</v>
      </c>
      <c r="AH92" s="39">
        <f>資料儲存!I5832</f>
        <v>0</v>
      </c>
      <c r="AI92" s="39">
        <f>資料儲存!J5832</f>
        <v>0</v>
      </c>
      <c r="AJ92" s="58"/>
      <c r="AK92" s="62">
        <v>11</v>
      </c>
      <c r="AL92" s="39">
        <f>資料儲存!D5952</f>
        <v>0</v>
      </c>
      <c r="AM92" s="39">
        <f>資料儲存!E5952</f>
        <v>0</v>
      </c>
      <c r="AN92" s="39">
        <f>資料儲存!F5952</f>
        <v>0</v>
      </c>
      <c r="AO92" s="39">
        <f>資料儲存!G5952</f>
        <v>0</v>
      </c>
      <c r="AP92" s="39">
        <f>資料儲存!H5952</f>
        <v>0</v>
      </c>
      <c r="AQ92" s="39">
        <f>資料儲存!I5952</f>
        <v>0</v>
      </c>
      <c r="AR92" s="39">
        <f>資料儲存!J5952</f>
        <v>0</v>
      </c>
      <c r="AT92" s="62">
        <v>11</v>
      </c>
      <c r="AU92" s="39">
        <f>資料儲存!D6072</f>
        <v>0</v>
      </c>
      <c r="AV92" s="39">
        <f>資料儲存!E6072</f>
        <v>0</v>
      </c>
      <c r="AW92" s="39">
        <f>資料儲存!F6072</f>
        <v>0</v>
      </c>
      <c r="AX92" s="39">
        <f>資料儲存!G6072</f>
        <v>0</v>
      </c>
      <c r="AY92" s="39">
        <f>資料儲存!H6072</f>
        <v>0</v>
      </c>
      <c r="AZ92" s="39">
        <f>資料儲存!I6072</f>
        <v>0</v>
      </c>
      <c r="BA92" s="39">
        <f>資料儲存!J6072</f>
        <v>0</v>
      </c>
    </row>
    <row r="93" spans="1:53" s="59" customFormat="1" ht="16" thickBot="1">
      <c r="A93" s="62">
        <v>12</v>
      </c>
      <c r="B93" s="39">
        <f>資料儲存!D5473</f>
        <v>0</v>
      </c>
      <c r="C93" s="39">
        <f>資料儲存!E5473</f>
        <v>0</v>
      </c>
      <c r="D93" s="39">
        <f>資料儲存!F5473</f>
        <v>0</v>
      </c>
      <c r="E93" s="39">
        <f>資料儲存!G5473</f>
        <v>0</v>
      </c>
      <c r="F93" s="39">
        <f>資料儲存!H5473</f>
        <v>0</v>
      </c>
      <c r="G93" s="39">
        <f>資料儲存!I5473</f>
        <v>0</v>
      </c>
      <c r="H93" s="39">
        <f>資料儲存!J5473</f>
        <v>0</v>
      </c>
      <c r="I93" s="58"/>
      <c r="J93" s="62">
        <v>12</v>
      </c>
      <c r="K93" s="39">
        <f>資料儲存!D5593</f>
        <v>0</v>
      </c>
      <c r="L93" s="39">
        <f>資料儲存!E5593</f>
        <v>0</v>
      </c>
      <c r="M93" s="39">
        <f>資料儲存!F5593</f>
        <v>0</v>
      </c>
      <c r="N93" s="39">
        <f>資料儲存!G5593</f>
        <v>0</v>
      </c>
      <c r="O93" s="39">
        <f>資料儲存!H5593</f>
        <v>0</v>
      </c>
      <c r="P93" s="39">
        <f>資料儲存!I5593</f>
        <v>0</v>
      </c>
      <c r="Q93" s="39">
        <f>資料儲存!J5593</f>
        <v>0</v>
      </c>
      <c r="R93" s="58"/>
      <c r="S93" s="62">
        <v>12</v>
      </c>
      <c r="T93" s="39">
        <f>資料儲存!D5713</f>
        <v>0</v>
      </c>
      <c r="U93" s="39">
        <f>資料儲存!E5713</f>
        <v>0</v>
      </c>
      <c r="V93" s="39">
        <f>資料儲存!F5713</f>
        <v>0</v>
      </c>
      <c r="W93" s="39">
        <f>資料儲存!G5713</f>
        <v>0</v>
      </c>
      <c r="X93" s="39">
        <f>資料儲存!H5713</f>
        <v>0</v>
      </c>
      <c r="Y93" s="39">
        <f>資料儲存!I5713</f>
        <v>0</v>
      </c>
      <c r="Z93" s="39">
        <f>資料儲存!J5713</f>
        <v>0</v>
      </c>
      <c r="AA93" s="58"/>
      <c r="AB93" s="62">
        <v>12</v>
      </c>
      <c r="AC93" s="39">
        <f>資料儲存!D5833</f>
        <v>0</v>
      </c>
      <c r="AD93" s="39">
        <f>資料儲存!E5833</f>
        <v>0</v>
      </c>
      <c r="AE93" s="39">
        <f>資料儲存!F5833</f>
        <v>0</v>
      </c>
      <c r="AF93" s="39">
        <f>資料儲存!G5833</f>
        <v>0</v>
      </c>
      <c r="AG93" s="39">
        <f>資料儲存!H5833</f>
        <v>0</v>
      </c>
      <c r="AH93" s="39">
        <f>資料儲存!I5833</f>
        <v>0</v>
      </c>
      <c r="AI93" s="39">
        <f>資料儲存!J5833</f>
        <v>0</v>
      </c>
      <c r="AJ93" s="58"/>
      <c r="AK93" s="62">
        <v>12</v>
      </c>
      <c r="AL93" s="39">
        <f>資料儲存!D5953</f>
        <v>0</v>
      </c>
      <c r="AM93" s="39">
        <f>資料儲存!E5953</f>
        <v>0</v>
      </c>
      <c r="AN93" s="39">
        <f>資料儲存!F5953</f>
        <v>0</v>
      </c>
      <c r="AO93" s="39">
        <f>資料儲存!G5953</f>
        <v>0</v>
      </c>
      <c r="AP93" s="39">
        <f>資料儲存!H5953</f>
        <v>0</v>
      </c>
      <c r="AQ93" s="39">
        <f>資料儲存!I5953</f>
        <v>0</v>
      </c>
      <c r="AR93" s="39">
        <f>資料儲存!J5953</f>
        <v>0</v>
      </c>
      <c r="AT93" s="62">
        <v>12</v>
      </c>
      <c r="AU93" s="39">
        <f>資料儲存!D6073</f>
        <v>0</v>
      </c>
      <c r="AV93" s="39">
        <f>資料儲存!E6073</f>
        <v>0</v>
      </c>
      <c r="AW93" s="39">
        <f>資料儲存!F6073</f>
        <v>0</v>
      </c>
      <c r="AX93" s="39">
        <f>資料儲存!G6073</f>
        <v>0</v>
      </c>
      <c r="AY93" s="39">
        <f>資料儲存!H6073</f>
        <v>0</v>
      </c>
      <c r="AZ93" s="39">
        <f>資料儲存!I6073</f>
        <v>0</v>
      </c>
      <c r="BA93" s="39">
        <f>資料儲存!J6073</f>
        <v>0</v>
      </c>
    </row>
    <row r="94" spans="1:53" s="59" customFormat="1" ht="16" thickBot="1">
      <c r="A94" s="62">
        <v>13</v>
      </c>
      <c r="B94" s="39">
        <f>資料儲存!D5474</f>
        <v>0</v>
      </c>
      <c r="C94" s="39">
        <f>資料儲存!E5474</f>
        <v>0</v>
      </c>
      <c r="D94" s="39">
        <f>資料儲存!F5474</f>
        <v>0</v>
      </c>
      <c r="E94" s="39">
        <f>資料儲存!G5474</f>
        <v>0</v>
      </c>
      <c r="F94" s="39">
        <f>資料儲存!H5474</f>
        <v>0</v>
      </c>
      <c r="G94" s="39">
        <f>資料儲存!I5474</f>
        <v>0</v>
      </c>
      <c r="H94" s="39">
        <f>資料儲存!J5474</f>
        <v>0</v>
      </c>
      <c r="I94" s="58"/>
      <c r="J94" s="62">
        <v>13</v>
      </c>
      <c r="K94" s="39">
        <f>資料儲存!D5594</f>
        <v>0</v>
      </c>
      <c r="L94" s="39">
        <f>資料儲存!E5594</f>
        <v>0</v>
      </c>
      <c r="M94" s="39">
        <f>資料儲存!F5594</f>
        <v>0</v>
      </c>
      <c r="N94" s="39">
        <f>資料儲存!G5594</f>
        <v>0</v>
      </c>
      <c r="O94" s="39">
        <f>資料儲存!H5594</f>
        <v>0</v>
      </c>
      <c r="P94" s="39">
        <f>資料儲存!I5594</f>
        <v>0</v>
      </c>
      <c r="Q94" s="39">
        <f>資料儲存!J5594</f>
        <v>0</v>
      </c>
      <c r="R94" s="58"/>
      <c r="S94" s="62">
        <v>13</v>
      </c>
      <c r="T94" s="39">
        <f>資料儲存!D5714</f>
        <v>0</v>
      </c>
      <c r="U94" s="39">
        <f>資料儲存!E5714</f>
        <v>0</v>
      </c>
      <c r="V94" s="39">
        <f>資料儲存!F5714</f>
        <v>0</v>
      </c>
      <c r="W94" s="39">
        <f>資料儲存!G5714</f>
        <v>0</v>
      </c>
      <c r="X94" s="39">
        <f>資料儲存!H5714</f>
        <v>0</v>
      </c>
      <c r="Y94" s="39">
        <f>資料儲存!I5714</f>
        <v>0</v>
      </c>
      <c r="Z94" s="39">
        <f>資料儲存!J5714</f>
        <v>0</v>
      </c>
      <c r="AA94" s="58"/>
      <c r="AB94" s="62">
        <v>13</v>
      </c>
      <c r="AC94" s="39">
        <f>資料儲存!D5834</f>
        <v>0</v>
      </c>
      <c r="AD94" s="39">
        <f>資料儲存!E5834</f>
        <v>0</v>
      </c>
      <c r="AE94" s="39">
        <f>資料儲存!F5834</f>
        <v>0</v>
      </c>
      <c r="AF94" s="39">
        <f>資料儲存!G5834</f>
        <v>0</v>
      </c>
      <c r="AG94" s="39">
        <f>資料儲存!H5834</f>
        <v>0</v>
      </c>
      <c r="AH94" s="39">
        <f>資料儲存!I5834</f>
        <v>0</v>
      </c>
      <c r="AI94" s="39">
        <f>資料儲存!J5834</f>
        <v>0</v>
      </c>
      <c r="AJ94" s="58"/>
      <c r="AK94" s="62">
        <v>13</v>
      </c>
      <c r="AL94" s="39">
        <f>資料儲存!D5954</f>
        <v>0</v>
      </c>
      <c r="AM94" s="39">
        <f>資料儲存!E5954</f>
        <v>0</v>
      </c>
      <c r="AN94" s="39">
        <f>資料儲存!F5954</f>
        <v>0</v>
      </c>
      <c r="AO94" s="39">
        <f>資料儲存!G5954</f>
        <v>0</v>
      </c>
      <c r="AP94" s="39">
        <f>資料儲存!H5954</f>
        <v>0</v>
      </c>
      <c r="AQ94" s="39">
        <f>資料儲存!I5954</f>
        <v>0</v>
      </c>
      <c r="AR94" s="39">
        <f>資料儲存!J5954</f>
        <v>0</v>
      </c>
      <c r="AT94" s="62">
        <v>13</v>
      </c>
      <c r="AU94" s="39">
        <f>資料儲存!D6074</f>
        <v>0</v>
      </c>
      <c r="AV94" s="39">
        <f>資料儲存!E6074</f>
        <v>0</v>
      </c>
      <c r="AW94" s="39">
        <f>資料儲存!F6074</f>
        <v>0</v>
      </c>
      <c r="AX94" s="39">
        <f>資料儲存!G6074</f>
        <v>0</v>
      </c>
      <c r="AY94" s="39">
        <f>資料儲存!H6074</f>
        <v>0</v>
      </c>
      <c r="AZ94" s="39">
        <f>資料儲存!I6074</f>
        <v>0</v>
      </c>
      <c r="BA94" s="39">
        <f>資料儲存!J6074</f>
        <v>0</v>
      </c>
    </row>
    <row r="95" spans="1:53" s="59" customFormat="1" ht="16" thickBot="1">
      <c r="A95" s="62">
        <v>14</v>
      </c>
      <c r="B95" s="39">
        <f>資料儲存!D5475</f>
        <v>0</v>
      </c>
      <c r="C95" s="39">
        <f>資料儲存!E5475</f>
        <v>0</v>
      </c>
      <c r="D95" s="39">
        <f>資料儲存!F5475</f>
        <v>0</v>
      </c>
      <c r="E95" s="39">
        <f>資料儲存!G5475</f>
        <v>0</v>
      </c>
      <c r="F95" s="39">
        <f>資料儲存!H5475</f>
        <v>0</v>
      </c>
      <c r="G95" s="39">
        <f>資料儲存!I5475</f>
        <v>0</v>
      </c>
      <c r="H95" s="39">
        <f>資料儲存!J5475</f>
        <v>0</v>
      </c>
      <c r="I95" s="58"/>
      <c r="J95" s="62">
        <v>14</v>
      </c>
      <c r="K95" s="39">
        <f>資料儲存!D5595</f>
        <v>0</v>
      </c>
      <c r="L95" s="39">
        <f>資料儲存!E5595</f>
        <v>0</v>
      </c>
      <c r="M95" s="39">
        <f>資料儲存!F5595</f>
        <v>0</v>
      </c>
      <c r="N95" s="39">
        <f>資料儲存!G5595</f>
        <v>0</v>
      </c>
      <c r="O95" s="39">
        <f>資料儲存!H5595</f>
        <v>0</v>
      </c>
      <c r="P95" s="39">
        <f>資料儲存!I5595</f>
        <v>0</v>
      </c>
      <c r="Q95" s="39">
        <f>資料儲存!J5595</f>
        <v>0</v>
      </c>
      <c r="R95" s="58"/>
      <c r="S95" s="62">
        <v>14</v>
      </c>
      <c r="T95" s="39">
        <f>資料儲存!D5715</f>
        <v>0</v>
      </c>
      <c r="U95" s="39">
        <f>資料儲存!E5715</f>
        <v>0</v>
      </c>
      <c r="V95" s="39">
        <f>資料儲存!F5715</f>
        <v>0</v>
      </c>
      <c r="W95" s="39">
        <f>資料儲存!G5715</f>
        <v>0</v>
      </c>
      <c r="X95" s="39">
        <f>資料儲存!H5715</f>
        <v>0</v>
      </c>
      <c r="Y95" s="39">
        <f>資料儲存!I5715</f>
        <v>0</v>
      </c>
      <c r="Z95" s="39">
        <f>資料儲存!J5715</f>
        <v>0</v>
      </c>
      <c r="AA95" s="58"/>
      <c r="AB95" s="62">
        <v>14</v>
      </c>
      <c r="AC95" s="39">
        <f>資料儲存!D5835</f>
        <v>0</v>
      </c>
      <c r="AD95" s="39">
        <f>資料儲存!E5835</f>
        <v>0</v>
      </c>
      <c r="AE95" s="39">
        <f>資料儲存!F5835</f>
        <v>0</v>
      </c>
      <c r="AF95" s="39">
        <f>資料儲存!G5835</f>
        <v>0</v>
      </c>
      <c r="AG95" s="39">
        <f>資料儲存!H5835</f>
        <v>0</v>
      </c>
      <c r="AH95" s="39">
        <f>資料儲存!I5835</f>
        <v>0</v>
      </c>
      <c r="AI95" s="39">
        <f>資料儲存!J5835</f>
        <v>0</v>
      </c>
      <c r="AJ95" s="58"/>
      <c r="AK95" s="62">
        <v>14</v>
      </c>
      <c r="AL95" s="39">
        <f>資料儲存!D5955</f>
        <v>0</v>
      </c>
      <c r="AM95" s="39">
        <f>資料儲存!E5955</f>
        <v>0</v>
      </c>
      <c r="AN95" s="39">
        <f>資料儲存!F5955</f>
        <v>0</v>
      </c>
      <c r="AO95" s="39">
        <f>資料儲存!G5955</f>
        <v>0</v>
      </c>
      <c r="AP95" s="39">
        <f>資料儲存!H5955</f>
        <v>0</v>
      </c>
      <c r="AQ95" s="39">
        <f>資料儲存!I5955</f>
        <v>0</v>
      </c>
      <c r="AR95" s="39">
        <f>資料儲存!J5955</f>
        <v>0</v>
      </c>
      <c r="AT95" s="62">
        <v>14</v>
      </c>
      <c r="AU95" s="39">
        <f>資料儲存!D6075</f>
        <v>0</v>
      </c>
      <c r="AV95" s="39">
        <f>資料儲存!E6075</f>
        <v>0</v>
      </c>
      <c r="AW95" s="39">
        <f>資料儲存!F6075</f>
        <v>0</v>
      </c>
      <c r="AX95" s="39">
        <f>資料儲存!G6075</f>
        <v>0</v>
      </c>
      <c r="AY95" s="39">
        <f>資料儲存!H6075</f>
        <v>0</v>
      </c>
      <c r="AZ95" s="39">
        <f>資料儲存!I6075</f>
        <v>0</v>
      </c>
      <c r="BA95" s="39">
        <f>資料儲存!J6075</f>
        <v>0</v>
      </c>
    </row>
    <row r="96" spans="1:53" s="59" customFormat="1" ht="16" thickBot="1">
      <c r="A96" s="62">
        <v>15</v>
      </c>
      <c r="B96" s="39">
        <f>資料儲存!D5476</f>
        <v>0</v>
      </c>
      <c r="C96" s="39">
        <f>資料儲存!E5476</f>
        <v>0</v>
      </c>
      <c r="D96" s="39">
        <f>資料儲存!F5476</f>
        <v>0</v>
      </c>
      <c r="E96" s="39">
        <f>資料儲存!G5476</f>
        <v>0</v>
      </c>
      <c r="F96" s="39">
        <f>資料儲存!H5476</f>
        <v>0</v>
      </c>
      <c r="G96" s="39">
        <f>資料儲存!I5476</f>
        <v>0</v>
      </c>
      <c r="H96" s="39">
        <f>資料儲存!J5476</f>
        <v>0</v>
      </c>
      <c r="I96" s="58"/>
      <c r="J96" s="62">
        <v>15</v>
      </c>
      <c r="K96" s="39">
        <f>資料儲存!D5596</f>
        <v>0</v>
      </c>
      <c r="L96" s="39">
        <f>資料儲存!E5596</f>
        <v>0</v>
      </c>
      <c r="M96" s="39">
        <f>資料儲存!F5596</f>
        <v>0</v>
      </c>
      <c r="N96" s="39">
        <f>資料儲存!G5596</f>
        <v>0</v>
      </c>
      <c r="O96" s="39">
        <f>資料儲存!H5596</f>
        <v>0</v>
      </c>
      <c r="P96" s="39">
        <f>資料儲存!I5596</f>
        <v>0</v>
      </c>
      <c r="Q96" s="39">
        <f>資料儲存!J5596</f>
        <v>0</v>
      </c>
      <c r="R96" s="58"/>
      <c r="S96" s="62">
        <v>15</v>
      </c>
      <c r="T96" s="39">
        <f>資料儲存!D5716</f>
        <v>0</v>
      </c>
      <c r="U96" s="39">
        <f>資料儲存!E5716</f>
        <v>0</v>
      </c>
      <c r="V96" s="39">
        <f>資料儲存!F5716</f>
        <v>0</v>
      </c>
      <c r="W96" s="39">
        <f>資料儲存!G5716</f>
        <v>0</v>
      </c>
      <c r="X96" s="39">
        <f>資料儲存!H5716</f>
        <v>0</v>
      </c>
      <c r="Y96" s="39">
        <f>資料儲存!I5716</f>
        <v>0</v>
      </c>
      <c r="Z96" s="39">
        <f>資料儲存!J5716</f>
        <v>0</v>
      </c>
      <c r="AA96" s="58"/>
      <c r="AB96" s="62">
        <v>15</v>
      </c>
      <c r="AC96" s="39">
        <f>資料儲存!D5836</f>
        <v>0</v>
      </c>
      <c r="AD96" s="39">
        <f>資料儲存!E5836</f>
        <v>0</v>
      </c>
      <c r="AE96" s="39">
        <f>資料儲存!F5836</f>
        <v>0</v>
      </c>
      <c r="AF96" s="39">
        <f>資料儲存!G5836</f>
        <v>0</v>
      </c>
      <c r="AG96" s="39">
        <f>資料儲存!H5836</f>
        <v>0</v>
      </c>
      <c r="AH96" s="39">
        <f>資料儲存!I5836</f>
        <v>0</v>
      </c>
      <c r="AI96" s="39">
        <f>資料儲存!J5836</f>
        <v>0</v>
      </c>
      <c r="AJ96" s="58"/>
      <c r="AK96" s="62">
        <v>15</v>
      </c>
      <c r="AL96" s="39">
        <f>資料儲存!D5956</f>
        <v>0</v>
      </c>
      <c r="AM96" s="39">
        <f>資料儲存!E5956</f>
        <v>0</v>
      </c>
      <c r="AN96" s="39">
        <f>資料儲存!F5956</f>
        <v>0</v>
      </c>
      <c r="AO96" s="39">
        <f>資料儲存!G5956</f>
        <v>0</v>
      </c>
      <c r="AP96" s="39">
        <f>資料儲存!H5956</f>
        <v>0</v>
      </c>
      <c r="AQ96" s="39">
        <f>資料儲存!I5956</f>
        <v>0</v>
      </c>
      <c r="AR96" s="39">
        <f>資料儲存!J5956</f>
        <v>0</v>
      </c>
      <c r="AT96" s="62">
        <v>15</v>
      </c>
      <c r="AU96" s="39">
        <f>資料儲存!D6076</f>
        <v>0</v>
      </c>
      <c r="AV96" s="39">
        <f>資料儲存!E6076</f>
        <v>0</v>
      </c>
      <c r="AW96" s="39">
        <f>資料儲存!F6076</f>
        <v>0</v>
      </c>
      <c r="AX96" s="39">
        <f>資料儲存!G6076</f>
        <v>0</v>
      </c>
      <c r="AY96" s="39">
        <f>資料儲存!H6076</f>
        <v>0</v>
      </c>
      <c r="AZ96" s="39">
        <f>資料儲存!I6076</f>
        <v>0</v>
      </c>
      <c r="BA96" s="39">
        <f>資料儲存!J6076</f>
        <v>0</v>
      </c>
    </row>
    <row r="97" spans="1:53" s="59" customFormat="1" ht="17.25" customHeight="1" thickBot="1">
      <c r="A97" s="40" t="s">
        <v>56</v>
      </c>
      <c r="B97" s="39">
        <f>SUM(B82:E96)</f>
        <v>0</v>
      </c>
      <c r="C97" s="37"/>
      <c r="D97" s="37"/>
      <c r="E97" s="37"/>
      <c r="F97" s="39">
        <f>F96</f>
        <v>0</v>
      </c>
      <c r="G97" s="39">
        <f>G96</f>
        <v>0</v>
      </c>
      <c r="H97" s="39">
        <f>H96</f>
        <v>0</v>
      </c>
      <c r="I97" s="35"/>
      <c r="J97" s="40" t="s">
        <v>56</v>
      </c>
      <c r="K97" s="39">
        <f>SUM(K82:N96)</f>
        <v>0</v>
      </c>
      <c r="L97" s="37"/>
      <c r="M97" s="37"/>
      <c r="N97" s="37"/>
      <c r="O97" s="39">
        <f>O96</f>
        <v>0</v>
      </c>
      <c r="P97" s="39">
        <f>P96</f>
        <v>0</v>
      </c>
      <c r="Q97" s="39">
        <f>Q96</f>
        <v>0</v>
      </c>
      <c r="R97" s="35"/>
      <c r="S97" s="40" t="s">
        <v>56</v>
      </c>
      <c r="T97" s="39">
        <f>SUM(T82:W96)</f>
        <v>0</v>
      </c>
      <c r="U97" s="37"/>
      <c r="V97" s="37"/>
      <c r="W97" s="37"/>
      <c r="X97" s="39">
        <f>X96</f>
        <v>0</v>
      </c>
      <c r="Y97" s="39">
        <f>Y96</f>
        <v>0</v>
      </c>
      <c r="Z97" s="39">
        <f>Z96</f>
        <v>0</v>
      </c>
      <c r="AA97" s="35"/>
      <c r="AB97" s="40" t="s">
        <v>56</v>
      </c>
      <c r="AC97" s="39">
        <f>SUM(AC82:AF96)</f>
        <v>0</v>
      </c>
      <c r="AD97" s="37"/>
      <c r="AE97" s="37"/>
      <c r="AF97" s="37"/>
      <c r="AG97" s="39">
        <f>AG96</f>
        <v>0</v>
      </c>
      <c r="AH97" s="39">
        <f>AH96</f>
        <v>0</v>
      </c>
      <c r="AI97" s="39">
        <f>AI96</f>
        <v>0</v>
      </c>
      <c r="AJ97" s="35"/>
      <c r="AK97" s="40" t="s">
        <v>56</v>
      </c>
      <c r="AL97" s="39">
        <f>SUM(AL82:AO96)</f>
        <v>0</v>
      </c>
      <c r="AM97" s="37"/>
      <c r="AN97" s="37"/>
      <c r="AO97" s="37"/>
      <c r="AP97" s="39">
        <f>AP96</f>
        <v>0</v>
      </c>
      <c r="AQ97" s="39">
        <f>AQ96</f>
        <v>0</v>
      </c>
      <c r="AR97" s="39">
        <f>AR96</f>
        <v>0</v>
      </c>
      <c r="AT97" s="40" t="s">
        <v>56</v>
      </c>
      <c r="AU97" s="39">
        <f>SUM(AU82:AX96)</f>
        <v>0</v>
      </c>
      <c r="AV97" s="37"/>
      <c r="AW97" s="37"/>
      <c r="AX97" s="37"/>
      <c r="AY97" s="39">
        <f>AY96</f>
        <v>0</v>
      </c>
      <c r="AZ97" s="39">
        <f>AZ96</f>
        <v>0</v>
      </c>
      <c r="BA97" s="39">
        <f>BA96</f>
        <v>0</v>
      </c>
    </row>
    <row r="98" spans="1:53" ht="18.5" thickBot="1">
      <c r="A98" s="257" t="s">
        <v>82</v>
      </c>
      <c r="B98" s="258"/>
      <c r="C98" s="258"/>
      <c r="D98" s="258"/>
      <c r="E98" s="258"/>
      <c r="F98" s="258"/>
      <c r="G98" s="258"/>
      <c r="H98" s="259"/>
      <c r="I98" s="14"/>
      <c r="J98" s="257" t="s">
        <v>82</v>
      </c>
      <c r="K98" s="258"/>
      <c r="L98" s="258"/>
      <c r="M98" s="258"/>
      <c r="N98" s="258"/>
      <c r="O98" s="258"/>
      <c r="P98" s="258"/>
      <c r="Q98" s="259"/>
      <c r="R98" s="14"/>
      <c r="S98" s="257" t="s">
        <v>82</v>
      </c>
      <c r="T98" s="258"/>
      <c r="U98" s="258"/>
      <c r="V98" s="258"/>
      <c r="W98" s="258"/>
      <c r="X98" s="258"/>
      <c r="Y98" s="258"/>
      <c r="Z98" s="259"/>
      <c r="AA98" s="14"/>
      <c r="AB98" s="257" t="s">
        <v>82</v>
      </c>
      <c r="AC98" s="258"/>
      <c r="AD98" s="258"/>
      <c r="AE98" s="258"/>
      <c r="AF98" s="258"/>
      <c r="AG98" s="258"/>
      <c r="AH98" s="258"/>
      <c r="AI98" s="259"/>
      <c r="AJ98" s="14"/>
      <c r="AK98" s="257" t="s">
        <v>82</v>
      </c>
      <c r="AL98" s="258"/>
      <c r="AM98" s="258"/>
      <c r="AN98" s="258"/>
      <c r="AO98" s="258"/>
      <c r="AP98" s="258"/>
      <c r="AQ98" s="258"/>
      <c r="AR98" s="259"/>
      <c r="AT98" s="257" t="s">
        <v>82</v>
      </c>
      <c r="AU98" s="258"/>
      <c r="AV98" s="258"/>
      <c r="AW98" s="258"/>
      <c r="AX98" s="258"/>
      <c r="AY98" s="258"/>
      <c r="AZ98" s="258"/>
      <c r="BA98" s="259"/>
    </row>
    <row r="99" spans="1:53" s="67" customFormat="1" ht="17.25" customHeight="1" thickBot="1">
      <c r="A99" s="63" t="s">
        <v>2</v>
      </c>
      <c r="B99" s="64" t="s">
        <v>46</v>
      </c>
      <c r="C99" s="65"/>
      <c r="D99" s="65"/>
      <c r="E99" s="66"/>
      <c r="F99" s="64" t="s">
        <v>47</v>
      </c>
      <c r="G99" s="65"/>
      <c r="H99" s="66"/>
      <c r="I99" s="52"/>
      <c r="J99" s="63" t="s">
        <v>2</v>
      </c>
      <c r="K99" s="64" t="s">
        <v>46</v>
      </c>
      <c r="L99" s="65"/>
      <c r="M99" s="65"/>
      <c r="N99" s="66"/>
      <c r="O99" s="64" t="s">
        <v>47</v>
      </c>
      <c r="P99" s="65"/>
      <c r="Q99" s="66"/>
      <c r="R99" s="52"/>
      <c r="S99" s="63" t="s">
        <v>2</v>
      </c>
      <c r="T99" s="64" t="s">
        <v>46</v>
      </c>
      <c r="U99" s="65"/>
      <c r="V99" s="65"/>
      <c r="W99" s="66"/>
      <c r="X99" s="64" t="s">
        <v>47</v>
      </c>
      <c r="Y99" s="65"/>
      <c r="Z99" s="66"/>
      <c r="AA99" s="52"/>
      <c r="AB99" s="63" t="s">
        <v>2</v>
      </c>
      <c r="AC99" s="64" t="s">
        <v>46</v>
      </c>
      <c r="AD99" s="65"/>
      <c r="AE99" s="65"/>
      <c r="AF99" s="66"/>
      <c r="AG99" s="64" t="s">
        <v>47</v>
      </c>
      <c r="AH99" s="65"/>
      <c r="AI99" s="66"/>
      <c r="AJ99" s="52"/>
      <c r="AK99" s="63" t="s">
        <v>2</v>
      </c>
      <c r="AL99" s="64" t="s">
        <v>46</v>
      </c>
      <c r="AM99" s="65"/>
      <c r="AN99" s="65"/>
      <c r="AO99" s="66"/>
      <c r="AP99" s="64" t="s">
        <v>47</v>
      </c>
      <c r="AQ99" s="65"/>
      <c r="AR99" s="66"/>
      <c r="AT99" s="63" t="s">
        <v>2</v>
      </c>
      <c r="AU99" s="64" t="s">
        <v>46</v>
      </c>
      <c r="AV99" s="65"/>
      <c r="AW99" s="65"/>
      <c r="AX99" s="66"/>
      <c r="AY99" s="64" t="s">
        <v>47</v>
      </c>
      <c r="AZ99" s="65"/>
      <c r="BA99" s="66"/>
    </row>
    <row r="100" spans="1:53" s="67" customFormat="1" ht="16" thickBot="1">
      <c r="A100" s="68" t="s">
        <v>83</v>
      </c>
      <c r="B100" s="69" t="s">
        <v>49</v>
      </c>
      <c r="C100" s="69" t="s">
        <v>50</v>
      </c>
      <c r="D100" s="69" t="s">
        <v>51</v>
      </c>
      <c r="E100" s="69" t="s">
        <v>52</v>
      </c>
      <c r="F100" s="69" t="s">
        <v>53</v>
      </c>
      <c r="G100" s="69" t="s">
        <v>54</v>
      </c>
      <c r="H100" s="69" t="s">
        <v>55</v>
      </c>
      <c r="I100" s="52"/>
      <c r="J100" s="68" t="s">
        <v>83</v>
      </c>
      <c r="K100" s="69" t="s">
        <v>49</v>
      </c>
      <c r="L100" s="69" t="s">
        <v>50</v>
      </c>
      <c r="M100" s="69" t="s">
        <v>51</v>
      </c>
      <c r="N100" s="69" t="s">
        <v>52</v>
      </c>
      <c r="O100" s="69" t="s">
        <v>53</v>
      </c>
      <c r="P100" s="69" t="s">
        <v>54</v>
      </c>
      <c r="Q100" s="69" t="s">
        <v>55</v>
      </c>
      <c r="R100" s="52"/>
      <c r="S100" s="68" t="s">
        <v>83</v>
      </c>
      <c r="T100" s="69" t="s">
        <v>49</v>
      </c>
      <c r="U100" s="69" t="s">
        <v>50</v>
      </c>
      <c r="V100" s="69" t="s">
        <v>51</v>
      </c>
      <c r="W100" s="69" t="s">
        <v>52</v>
      </c>
      <c r="X100" s="69" t="s">
        <v>53</v>
      </c>
      <c r="Y100" s="69" t="s">
        <v>54</v>
      </c>
      <c r="Z100" s="69" t="s">
        <v>55</v>
      </c>
      <c r="AA100" s="52"/>
      <c r="AB100" s="68" t="s">
        <v>83</v>
      </c>
      <c r="AC100" s="69" t="s">
        <v>49</v>
      </c>
      <c r="AD100" s="69" t="s">
        <v>50</v>
      </c>
      <c r="AE100" s="69" t="s">
        <v>51</v>
      </c>
      <c r="AF100" s="69" t="s">
        <v>52</v>
      </c>
      <c r="AG100" s="69" t="s">
        <v>53</v>
      </c>
      <c r="AH100" s="69" t="s">
        <v>54</v>
      </c>
      <c r="AI100" s="69" t="s">
        <v>55</v>
      </c>
      <c r="AJ100" s="52"/>
      <c r="AK100" s="68" t="s">
        <v>83</v>
      </c>
      <c r="AL100" s="69" t="s">
        <v>49</v>
      </c>
      <c r="AM100" s="69" t="s">
        <v>50</v>
      </c>
      <c r="AN100" s="69" t="s">
        <v>51</v>
      </c>
      <c r="AO100" s="69" t="s">
        <v>52</v>
      </c>
      <c r="AP100" s="69" t="s">
        <v>53</v>
      </c>
      <c r="AQ100" s="69" t="s">
        <v>54</v>
      </c>
      <c r="AR100" s="69" t="s">
        <v>55</v>
      </c>
      <c r="AT100" s="68" t="s">
        <v>83</v>
      </c>
      <c r="AU100" s="69" t="s">
        <v>49</v>
      </c>
      <c r="AV100" s="69" t="s">
        <v>50</v>
      </c>
      <c r="AW100" s="69" t="s">
        <v>51</v>
      </c>
      <c r="AX100" s="69" t="s">
        <v>52</v>
      </c>
      <c r="AY100" s="69" t="s">
        <v>53</v>
      </c>
      <c r="AZ100" s="69" t="s">
        <v>54</v>
      </c>
      <c r="BA100" s="69" t="s">
        <v>55</v>
      </c>
    </row>
    <row r="101" spans="1:53" s="67" customFormat="1" ht="16" thickBot="1">
      <c r="A101" s="70">
        <v>16</v>
      </c>
      <c r="B101" s="49">
        <f>資料儲存!D5477</f>
        <v>0</v>
      </c>
      <c r="C101" s="49">
        <f>資料儲存!E5477</f>
        <v>0</v>
      </c>
      <c r="D101" s="49">
        <f>資料儲存!F5477</f>
        <v>0</v>
      </c>
      <c r="E101" s="49">
        <f>資料儲存!G5477</f>
        <v>0</v>
      </c>
      <c r="F101" s="49">
        <f>資料儲存!H5477</f>
        <v>0</v>
      </c>
      <c r="G101" s="49">
        <f>資料儲存!I5477</f>
        <v>0</v>
      </c>
      <c r="H101" s="49">
        <f>資料儲存!J5477</f>
        <v>0</v>
      </c>
      <c r="I101" s="52"/>
      <c r="J101" s="70">
        <v>16</v>
      </c>
      <c r="K101" s="49">
        <f>資料儲存!D5597</f>
        <v>0</v>
      </c>
      <c r="L101" s="49">
        <f>資料儲存!E5597</f>
        <v>0</v>
      </c>
      <c r="M101" s="49">
        <f>資料儲存!F5597</f>
        <v>0</v>
      </c>
      <c r="N101" s="49">
        <f>資料儲存!G5597</f>
        <v>0</v>
      </c>
      <c r="O101" s="49">
        <f>資料儲存!H5597</f>
        <v>0</v>
      </c>
      <c r="P101" s="49">
        <f>資料儲存!I5597</f>
        <v>0</v>
      </c>
      <c r="Q101" s="49">
        <f>資料儲存!J5597</f>
        <v>0</v>
      </c>
      <c r="R101" s="52"/>
      <c r="S101" s="70">
        <v>16</v>
      </c>
      <c r="T101" s="49">
        <f>資料儲存!D5717</f>
        <v>0</v>
      </c>
      <c r="U101" s="49">
        <f>資料儲存!E5717</f>
        <v>0</v>
      </c>
      <c r="V101" s="49">
        <f>資料儲存!F5717</f>
        <v>0</v>
      </c>
      <c r="W101" s="49">
        <f>資料儲存!G5717</f>
        <v>0</v>
      </c>
      <c r="X101" s="49">
        <f>資料儲存!H5717</f>
        <v>0</v>
      </c>
      <c r="Y101" s="49">
        <f>資料儲存!I5717</f>
        <v>0</v>
      </c>
      <c r="Z101" s="49">
        <f>資料儲存!J5717</f>
        <v>0</v>
      </c>
      <c r="AA101" s="52"/>
      <c r="AB101" s="70">
        <v>16</v>
      </c>
      <c r="AC101" s="49">
        <f>資料儲存!D5837</f>
        <v>0</v>
      </c>
      <c r="AD101" s="49">
        <f>資料儲存!E5837</f>
        <v>0</v>
      </c>
      <c r="AE101" s="49">
        <f>資料儲存!F5837</f>
        <v>0</v>
      </c>
      <c r="AF101" s="49">
        <f>資料儲存!G5837</f>
        <v>0</v>
      </c>
      <c r="AG101" s="49">
        <f>資料儲存!H5837</f>
        <v>0</v>
      </c>
      <c r="AH101" s="49">
        <f>資料儲存!I5837</f>
        <v>0</v>
      </c>
      <c r="AI101" s="49">
        <f>資料儲存!J5837</f>
        <v>0</v>
      </c>
      <c r="AJ101" s="52"/>
      <c r="AK101" s="70">
        <v>16</v>
      </c>
      <c r="AL101" s="49">
        <f>資料儲存!D5957</f>
        <v>0</v>
      </c>
      <c r="AM101" s="49">
        <f>資料儲存!E5957</f>
        <v>0</v>
      </c>
      <c r="AN101" s="49">
        <f>資料儲存!F5957</f>
        <v>0</v>
      </c>
      <c r="AO101" s="49">
        <f>資料儲存!G5957</f>
        <v>0</v>
      </c>
      <c r="AP101" s="49">
        <f>資料儲存!H5957</f>
        <v>0</v>
      </c>
      <c r="AQ101" s="49">
        <f>資料儲存!I5957</f>
        <v>0</v>
      </c>
      <c r="AR101" s="49">
        <f>資料儲存!J5957</f>
        <v>0</v>
      </c>
      <c r="AT101" s="70">
        <v>16</v>
      </c>
      <c r="AU101" s="49">
        <f>資料儲存!D6077</f>
        <v>0</v>
      </c>
      <c r="AV101" s="49">
        <f>資料儲存!E6077</f>
        <v>0</v>
      </c>
      <c r="AW101" s="49">
        <f>資料儲存!F6077</f>
        <v>0</v>
      </c>
      <c r="AX101" s="49">
        <f>資料儲存!G6077</f>
        <v>0</v>
      </c>
      <c r="AY101" s="49">
        <f>資料儲存!H6077</f>
        <v>0</v>
      </c>
      <c r="AZ101" s="49">
        <f>資料儲存!I6077</f>
        <v>0</v>
      </c>
      <c r="BA101" s="49">
        <f>資料儲存!J6077</f>
        <v>0</v>
      </c>
    </row>
    <row r="102" spans="1:53" s="67" customFormat="1" ht="16" thickBot="1">
      <c r="A102" s="70">
        <v>17</v>
      </c>
      <c r="B102" s="49">
        <f>資料儲存!D5478</f>
        <v>0</v>
      </c>
      <c r="C102" s="49">
        <f>資料儲存!E5478</f>
        <v>0</v>
      </c>
      <c r="D102" s="49">
        <f>資料儲存!F5478</f>
        <v>0</v>
      </c>
      <c r="E102" s="49">
        <f>資料儲存!G5478</f>
        <v>0</v>
      </c>
      <c r="F102" s="49">
        <f>資料儲存!H5478</f>
        <v>0</v>
      </c>
      <c r="G102" s="49">
        <f>資料儲存!I5478</f>
        <v>0</v>
      </c>
      <c r="H102" s="49">
        <f>資料儲存!J5478</f>
        <v>0</v>
      </c>
      <c r="I102" s="52"/>
      <c r="J102" s="70">
        <v>17</v>
      </c>
      <c r="K102" s="49">
        <f>資料儲存!D5598</f>
        <v>0</v>
      </c>
      <c r="L102" s="49">
        <f>資料儲存!E5598</f>
        <v>0</v>
      </c>
      <c r="M102" s="49">
        <f>資料儲存!F5598</f>
        <v>0</v>
      </c>
      <c r="N102" s="49">
        <f>資料儲存!G5598</f>
        <v>0</v>
      </c>
      <c r="O102" s="49">
        <f>資料儲存!H5598</f>
        <v>0</v>
      </c>
      <c r="P102" s="49">
        <f>資料儲存!I5598</f>
        <v>0</v>
      </c>
      <c r="Q102" s="49">
        <f>資料儲存!J5598</f>
        <v>0</v>
      </c>
      <c r="R102" s="52"/>
      <c r="S102" s="70">
        <v>17</v>
      </c>
      <c r="T102" s="49">
        <f>資料儲存!D5718</f>
        <v>0</v>
      </c>
      <c r="U102" s="49">
        <f>資料儲存!E5718</f>
        <v>0</v>
      </c>
      <c r="V102" s="49">
        <f>資料儲存!F5718</f>
        <v>0</v>
      </c>
      <c r="W102" s="49">
        <f>資料儲存!G5718</f>
        <v>0</v>
      </c>
      <c r="X102" s="49">
        <f>資料儲存!H5718</f>
        <v>0</v>
      </c>
      <c r="Y102" s="49">
        <f>資料儲存!I5718</f>
        <v>0</v>
      </c>
      <c r="Z102" s="49">
        <f>資料儲存!J5718</f>
        <v>0</v>
      </c>
      <c r="AA102" s="52"/>
      <c r="AB102" s="70">
        <v>17</v>
      </c>
      <c r="AC102" s="49">
        <f>資料儲存!D5838</f>
        <v>0</v>
      </c>
      <c r="AD102" s="49">
        <f>資料儲存!E5838</f>
        <v>0</v>
      </c>
      <c r="AE102" s="49">
        <f>資料儲存!F5838</f>
        <v>0</v>
      </c>
      <c r="AF102" s="49">
        <f>資料儲存!G5838</f>
        <v>0</v>
      </c>
      <c r="AG102" s="49">
        <f>資料儲存!H5838</f>
        <v>0</v>
      </c>
      <c r="AH102" s="49">
        <f>資料儲存!I5838</f>
        <v>0</v>
      </c>
      <c r="AI102" s="49">
        <f>資料儲存!J5838</f>
        <v>0</v>
      </c>
      <c r="AJ102" s="52"/>
      <c r="AK102" s="70">
        <v>17</v>
      </c>
      <c r="AL102" s="49">
        <f>資料儲存!D5958</f>
        <v>0</v>
      </c>
      <c r="AM102" s="49">
        <f>資料儲存!E5958</f>
        <v>0</v>
      </c>
      <c r="AN102" s="49">
        <f>資料儲存!F5958</f>
        <v>0</v>
      </c>
      <c r="AO102" s="49">
        <f>資料儲存!G5958</f>
        <v>0</v>
      </c>
      <c r="AP102" s="49">
        <f>資料儲存!H5958</f>
        <v>0</v>
      </c>
      <c r="AQ102" s="49">
        <f>資料儲存!I5958</f>
        <v>0</v>
      </c>
      <c r="AR102" s="49">
        <f>資料儲存!J5958</f>
        <v>0</v>
      </c>
      <c r="AT102" s="70">
        <v>17</v>
      </c>
      <c r="AU102" s="49">
        <f>資料儲存!D6078</f>
        <v>0</v>
      </c>
      <c r="AV102" s="49">
        <f>資料儲存!E6078</f>
        <v>0</v>
      </c>
      <c r="AW102" s="49">
        <f>資料儲存!F6078</f>
        <v>0</v>
      </c>
      <c r="AX102" s="49">
        <f>資料儲存!G6078</f>
        <v>0</v>
      </c>
      <c r="AY102" s="49">
        <f>資料儲存!H6078</f>
        <v>0</v>
      </c>
      <c r="AZ102" s="49">
        <f>資料儲存!I6078</f>
        <v>0</v>
      </c>
      <c r="BA102" s="49">
        <f>資料儲存!J6078</f>
        <v>0</v>
      </c>
    </row>
    <row r="103" spans="1:53" s="67" customFormat="1" ht="16" thickBot="1">
      <c r="A103" s="70">
        <v>18</v>
      </c>
      <c r="B103" s="49">
        <f>資料儲存!D5479</f>
        <v>0</v>
      </c>
      <c r="C103" s="49">
        <f>資料儲存!E5479</f>
        <v>0</v>
      </c>
      <c r="D103" s="49">
        <f>資料儲存!F5479</f>
        <v>0</v>
      </c>
      <c r="E103" s="49">
        <f>資料儲存!G5479</f>
        <v>0</v>
      </c>
      <c r="F103" s="49">
        <f>資料儲存!H5479</f>
        <v>0</v>
      </c>
      <c r="G103" s="49">
        <f>資料儲存!I5479</f>
        <v>0</v>
      </c>
      <c r="H103" s="49">
        <f>資料儲存!J5479</f>
        <v>0</v>
      </c>
      <c r="I103" s="52"/>
      <c r="J103" s="70">
        <v>18</v>
      </c>
      <c r="K103" s="49">
        <f>資料儲存!D5599</f>
        <v>0</v>
      </c>
      <c r="L103" s="49">
        <f>資料儲存!E5599</f>
        <v>0</v>
      </c>
      <c r="M103" s="49">
        <f>資料儲存!F5599</f>
        <v>0</v>
      </c>
      <c r="N103" s="49">
        <f>資料儲存!G5599</f>
        <v>0</v>
      </c>
      <c r="O103" s="49">
        <f>資料儲存!H5599</f>
        <v>0</v>
      </c>
      <c r="P103" s="49">
        <f>資料儲存!I5599</f>
        <v>0</v>
      </c>
      <c r="Q103" s="49">
        <f>資料儲存!J5599</f>
        <v>0</v>
      </c>
      <c r="R103" s="52"/>
      <c r="S103" s="70">
        <v>18</v>
      </c>
      <c r="T103" s="49">
        <f>資料儲存!D5719</f>
        <v>0</v>
      </c>
      <c r="U103" s="49">
        <f>資料儲存!E5719</f>
        <v>0</v>
      </c>
      <c r="V103" s="49">
        <f>資料儲存!F5719</f>
        <v>0</v>
      </c>
      <c r="W103" s="49">
        <f>資料儲存!G5719</f>
        <v>0</v>
      </c>
      <c r="X103" s="49">
        <f>資料儲存!H5719</f>
        <v>0</v>
      </c>
      <c r="Y103" s="49">
        <f>資料儲存!I5719</f>
        <v>0</v>
      </c>
      <c r="Z103" s="49">
        <f>資料儲存!J5719</f>
        <v>0</v>
      </c>
      <c r="AA103" s="52"/>
      <c r="AB103" s="70">
        <v>18</v>
      </c>
      <c r="AC103" s="49">
        <f>資料儲存!D5839</f>
        <v>0</v>
      </c>
      <c r="AD103" s="49">
        <f>資料儲存!E5839</f>
        <v>0</v>
      </c>
      <c r="AE103" s="49">
        <f>資料儲存!F5839</f>
        <v>0</v>
      </c>
      <c r="AF103" s="49">
        <f>資料儲存!G5839</f>
        <v>0</v>
      </c>
      <c r="AG103" s="49">
        <f>資料儲存!H5839</f>
        <v>0</v>
      </c>
      <c r="AH103" s="49">
        <f>資料儲存!I5839</f>
        <v>0</v>
      </c>
      <c r="AI103" s="49">
        <f>資料儲存!J5839</f>
        <v>0</v>
      </c>
      <c r="AJ103" s="52"/>
      <c r="AK103" s="70">
        <v>18</v>
      </c>
      <c r="AL103" s="49">
        <f>資料儲存!D5959</f>
        <v>0</v>
      </c>
      <c r="AM103" s="49">
        <f>資料儲存!E5959</f>
        <v>0</v>
      </c>
      <c r="AN103" s="49">
        <f>資料儲存!F5959</f>
        <v>0</v>
      </c>
      <c r="AO103" s="49">
        <f>資料儲存!G5959</f>
        <v>0</v>
      </c>
      <c r="AP103" s="49">
        <f>資料儲存!H5959</f>
        <v>0</v>
      </c>
      <c r="AQ103" s="49">
        <f>資料儲存!I5959</f>
        <v>0</v>
      </c>
      <c r="AR103" s="49">
        <f>資料儲存!J5959</f>
        <v>0</v>
      </c>
      <c r="AT103" s="70">
        <v>18</v>
      </c>
      <c r="AU103" s="49">
        <f>資料儲存!D6079</f>
        <v>0</v>
      </c>
      <c r="AV103" s="49">
        <f>資料儲存!E6079</f>
        <v>0</v>
      </c>
      <c r="AW103" s="49">
        <f>資料儲存!F6079</f>
        <v>0</v>
      </c>
      <c r="AX103" s="49">
        <f>資料儲存!G6079</f>
        <v>0</v>
      </c>
      <c r="AY103" s="49">
        <f>資料儲存!H6079</f>
        <v>0</v>
      </c>
      <c r="AZ103" s="49">
        <f>資料儲存!I6079</f>
        <v>0</v>
      </c>
      <c r="BA103" s="49">
        <f>資料儲存!J6079</f>
        <v>0</v>
      </c>
    </row>
    <row r="104" spans="1:53" s="67" customFormat="1" ht="16" thickBot="1">
      <c r="A104" s="70">
        <v>19</v>
      </c>
      <c r="B104" s="49">
        <f>資料儲存!D5480</f>
        <v>0</v>
      </c>
      <c r="C104" s="49">
        <f>資料儲存!E5480</f>
        <v>0</v>
      </c>
      <c r="D104" s="49">
        <f>資料儲存!F5480</f>
        <v>0</v>
      </c>
      <c r="E104" s="49">
        <f>資料儲存!G5480</f>
        <v>0</v>
      </c>
      <c r="F104" s="49">
        <f>資料儲存!H5480</f>
        <v>0</v>
      </c>
      <c r="G104" s="49">
        <f>資料儲存!I5480</f>
        <v>0</v>
      </c>
      <c r="H104" s="49">
        <f>資料儲存!J5480</f>
        <v>0</v>
      </c>
      <c r="I104" s="52"/>
      <c r="J104" s="70">
        <v>19</v>
      </c>
      <c r="K104" s="49">
        <f>資料儲存!D5600</f>
        <v>0</v>
      </c>
      <c r="L104" s="49">
        <f>資料儲存!E5600</f>
        <v>0</v>
      </c>
      <c r="M104" s="49">
        <f>資料儲存!F5600</f>
        <v>0</v>
      </c>
      <c r="N104" s="49">
        <f>資料儲存!G5600</f>
        <v>0</v>
      </c>
      <c r="O104" s="49">
        <f>資料儲存!H5600</f>
        <v>0</v>
      </c>
      <c r="P104" s="49">
        <f>資料儲存!I5600</f>
        <v>0</v>
      </c>
      <c r="Q104" s="49">
        <f>資料儲存!J5600</f>
        <v>0</v>
      </c>
      <c r="R104" s="52"/>
      <c r="S104" s="70">
        <v>19</v>
      </c>
      <c r="T104" s="49">
        <f>資料儲存!D5720</f>
        <v>0</v>
      </c>
      <c r="U104" s="49">
        <f>資料儲存!E5720</f>
        <v>0</v>
      </c>
      <c r="V104" s="49">
        <f>資料儲存!F5720</f>
        <v>0</v>
      </c>
      <c r="W104" s="49">
        <f>資料儲存!G5720</f>
        <v>0</v>
      </c>
      <c r="X104" s="49">
        <f>資料儲存!H5720</f>
        <v>0</v>
      </c>
      <c r="Y104" s="49">
        <f>資料儲存!I5720</f>
        <v>0</v>
      </c>
      <c r="Z104" s="49">
        <f>資料儲存!J5720</f>
        <v>0</v>
      </c>
      <c r="AA104" s="52"/>
      <c r="AB104" s="70">
        <v>19</v>
      </c>
      <c r="AC104" s="49">
        <f>資料儲存!D5840</f>
        <v>0</v>
      </c>
      <c r="AD104" s="49">
        <f>資料儲存!E5840</f>
        <v>0</v>
      </c>
      <c r="AE104" s="49">
        <f>資料儲存!F5840</f>
        <v>0</v>
      </c>
      <c r="AF104" s="49">
        <f>資料儲存!G5840</f>
        <v>0</v>
      </c>
      <c r="AG104" s="49">
        <f>資料儲存!H5840</f>
        <v>0</v>
      </c>
      <c r="AH104" s="49">
        <f>資料儲存!I5840</f>
        <v>0</v>
      </c>
      <c r="AI104" s="49">
        <f>資料儲存!J5840</f>
        <v>0</v>
      </c>
      <c r="AJ104" s="52"/>
      <c r="AK104" s="70">
        <v>19</v>
      </c>
      <c r="AL104" s="49">
        <f>資料儲存!D5960</f>
        <v>0</v>
      </c>
      <c r="AM104" s="49">
        <f>資料儲存!E5960</f>
        <v>0</v>
      </c>
      <c r="AN104" s="49">
        <f>資料儲存!F5960</f>
        <v>0</v>
      </c>
      <c r="AO104" s="49">
        <f>資料儲存!G5960</f>
        <v>0</v>
      </c>
      <c r="AP104" s="49">
        <f>資料儲存!H5960</f>
        <v>0</v>
      </c>
      <c r="AQ104" s="49">
        <f>資料儲存!I5960</f>
        <v>0</v>
      </c>
      <c r="AR104" s="49">
        <f>資料儲存!J5960</f>
        <v>0</v>
      </c>
      <c r="AT104" s="70">
        <v>19</v>
      </c>
      <c r="AU104" s="49">
        <f>資料儲存!D6080</f>
        <v>0</v>
      </c>
      <c r="AV104" s="49">
        <f>資料儲存!E6080</f>
        <v>0</v>
      </c>
      <c r="AW104" s="49">
        <f>資料儲存!F6080</f>
        <v>0</v>
      </c>
      <c r="AX104" s="49">
        <f>資料儲存!G6080</f>
        <v>0</v>
      </c>
      <c r="AY104" s="49">
        <f>資料儲存!H6080</f>
        <v>0</v>
      </c>
      <c r="AZ104" s="49">
        <f>資料儲存!I6080</f>
        <v>0</v>
      </c>
      <c r="BA104" s="49">
        <f>資料儲存!J6080</f>
        <v>0</v>
      </c>
    </row>
    <row r="105" spans="1:53" s="67" customFormat="1" ht="16" thickBot="1">
      <c r="A105" s="70">
        <v>20</v>
      </c>
      <c r="B105" s="49">
        <f>資料儲存!D5481</f>
        <v>0</v>
      </c>
      <c r="C105" s="49">
        <f>資料儲存!E5481</f>
        <v>0</v>
      </c>
      <c r="D105" s="49">
        <f>資料儲存!F5481</f>
        <v>0</v>
      </c>
      <c r="E105" s="49">
        <f>資料儲存!G5481</f>
        <v>0</v>
      </c>
      <c r="F105" s="49">
        <f>資料儲存!H5481</f>
        <v>0</v>
      </c>
      <c r="G105" s="49">
        <f>資料儲存!I5481</f>
        <v>0</v>
      </c>
      <c r="H105" s="49">
        <f>資料儲存!J5481</f>
        <v>0</v>
      </c>
      <c r="I105" s="52"/>
      <c r="J105" s="70">
        <v>20</v>
      </c>
      <c r="K105" s="49">
        <f>資料儲存!D5601</f>
        <v>0</v>
      </c>
      <c r="L105" s="49">
        <f>資料儲存!E5601</f>
        <v>0</v>
      </c>
      <c r="M105" s="49">
        <f>資料儲存!F5601</f>
        <v>0</v>
      </c>
      <c r="N105" s="49">
        <f>資料儲存!G5601</f>
        <v>0</v>
      </c>
      <c r="O105" s="49">
        <f>資料儲存!H5601</f>
        <v>0</v>
      </c>
      <c r="P105" s="49">
        <f>資料儲存!I5601</f>
        <v>0</v>
      </c>
      <c r="Q105" s="49">
        <f>資料儲存!J5601</f>
        <v>0</v>
      </c>
      <c r="R105" s="52"/>
      <c r="S105" s="70">
        <v>20</v>
      </c>
      <c r="T105" s="49">
        <f>資料儲存!D5721</f>
        <v>0</v>
      </c>
      <c r="U105" s="49">
        <f>資料儲存!E5721</f>
        <v>0</v>
      </c>
      <c r="V105" s="49">
        <f>資料儲存!F5721</f>
        <v>0</v>
      </c>
      <c r="W105" s="49">
        <f>資料儲存!G5721</f>
        <v>0</v>
      </c>
      <c r="X105" s="49">
        <f>資料儲存!H5721</f>
        <v>0</v>
      </c>
      <c r="Y105" s="49">
        <f>資料儲存!I5721</f>
        <v>0</v>
      </c>
      <c r="Z105" s="49">
        <f>資料儲存!J5721</f>
        <v>0</v>
      </c>
      <c r="AA105" s="52"/>
      <c r="AB105" s="70">
        <v>20</v>
      </c>
      <c r="AC105" s="49">
        <f>資料儲存!D5841</f>
        <v>0</v>
      </c>
      <c r="AD105" s="49">
        <f>資料儲存!E5841</f>
        <v>0</v>
      </c>
      <c r="AE105" s="49">
        <f>資料儲存!F5841</f>
        <v>0</v>
      </c>
      <c r="AF105" s="49">
        <f>資料儲存!G5841</f>
        <v>0</v>
      </c>
      <c r="AG105" s="49">
        <f>資料儲存!H5841</f>
        <v>0</v>
      </c>
      <c r="AH105" s="49">
        <f>資料儲存!I5841</f>
        <v>0</v>
      </c>
      <c r="AI105" s="49">
        <f>資料儲存!J5841</f>
        <v>0</v>
      </c>
      <c r="AJ105" s="52"/>
      <c r="AK105" s="70">
        <v>20</v>
      </c>
      <c r="AL105" s="49">
        <f>資料儲存!D5961</f>
        <v>0</v>
      </c>
      <c r="AM105" s="49">
        <f>資料儲存!E5961</f>
        <v>0</v>
      </c>
      <c r="AN105" s="49">
        <f>資料儲存!F5961</f>
        <v>0</v>
      </c>
      <c r="AO105" s="49">
        <f>資料儲存!G5961</f>
        <v>0</v>
      </c>
      <c r="AP105" s="49">
        <f>資料儲存!H5961</f>
        <v>0</v>
      </c>
      <c r="AQ105" s="49">
        <f>資料儲存!I5961</f>
        <v>0</v>
      </c>
      <c r="AR105" s="49">
        <f>資料儲存!J5961</f>
        <v>0</v>
      </c>
      <c r="AT105" s="70">
        <v>20</v>
      </c>
      <c r="AU105" s="49">
        <f>資料儲存!D6081</f>
        <v>0</v>
      </c>
      <c r="AV105" s="49">
        <f>資料儲存!E6081</f>
        <v>0</v>
      </c>
      <c r="AW105" s="49">
        <f>資料儲存!F6081</f>
        <v>0</v>
      </c>
      <c r="AX105" s="49">
        <f>資料儲存!G6081</f>
        <v>0</v>
      </c>
      <c r="AY105" s="49">
        <f>資料儲存!H6081</f>
        <v>0</v>
      </c>
      <c r="AZ105" s="49">
        <f>資料儲存!I6081</f>
        <v>0</v>
      </c>
      <c r="BA105" s="49">
        <f>資料儲存!J6081</f>
        <v>0</v>
      </c>
    </row>
    <row r="106" spans="1:53" s="67" customFormat="1" ht="16" thickBot="1">
      <c r="A106" s="70">
        <v>21</v>
      </c>
      <c r="B106" s="49">
        <f>資料儲存!D5482</f>
        <v>0</v>
      </c>
      <c r="C106" s="49">
        <f>資料儲存!E5482</f>
        <v>0</v>
      </c>
      <c r="D106" s="49">
        <f>資料儲存!F5482</f>
        <v>0</v>
      </c>
      <c r="E106" s="49">
        <f>資料儲存!G5482</f>
        <v>0</v>
      </c>
      <c r="F106" s="49">
        <f>資料儲存!H5482</f>
        <v>0</v>
      </c>
      <c r="G106" s="49">
        <f>資料儲存!I5482</f>
        <v>0</v>
      </c>
      <c r="H106" s="49">
        <f>資料儲存!J5482</f>
        <v>0</v>
      </c>
      <c r="I106" s="52"/>
      <c r="J106" s="70">
        <v>21</v>
      </c>
      <c r="K106" s="49">
        <f>資料儲存!D5602</f>
        <v>0</v>
      </c>
      <c r="L106" s="49">
        <f>資料儲存!E5602</f>
        <v>0</v>
      </c>
      <c r="M106" s="49">
        <f>資料儲存!F5602</f>
        <v>0</v>
      </c>
      <c r="N106" s="49">
        <f>資料儲存!G5602</f>
        <v>0</v>
      </c>
      <c r="O106" s="49">
        <f>資料儲存!H5602</f>
        <v>0</v>
      </c>
      <c r="P106" s="49">
        <f>資料儲存!I5602</f>
        <v>0</v>
      </c>
      <c r="Q106" s="49">
        <f>資料儲存!J5602</f>
        <v>0</v>
      </c>
      <c r="R106" s="52"/>
      <c r="S106" s="70">
        <v>21</v>
      </c>
      <c r="T106" s="49">
        <f>資料儲存!D5722</f>
        <v>0</v>
      </c>
      <c r="U106" s="49">
        <f>資料儲存!E5722</f>
        <v>0</v>
      </c>
      <c r="V106" s="49">
        <f>資料儲存!F5722</f>
        <v>0</v>
      </c>
      <c r="W106" s="49">
        <f>資料儲存!G5722</f>
        <v>0</v>
      </c>
      <c r="X106" s="49">
        <f>資料儲存!H5722</f>
        <v>0</v>
      </c>
      <c r="Y106" s="49">
        <f>資料儲存!I5722</f>
        <v>0</v>
      </c>
      <c r="Z106" s="49">
        <f>資料儲存!J5722</f>
        <v>0</v>
      </c>
      <c r="AA106" s="52"/>
      <c r="AB106" s="70">
        <v>21</v>
      </c>
      <c r="AC106" s="49">
        <f>資料儲存!D5842</f>
        <v>0</v>
      </c>
      <c r="AD106" s="49">
        <f>資料儲存!E5842</f>
        <v>0</v>
      </c>
      <c r="AE106" s="49">
        <f>資料儲存!F5842</f>
        <v>0</v>
      </c>
      <c r="AF106" s="49">
        <f>資料儲存!G5842</f>
        <v>0</v>
      </c>
      <c r="AG106" s="49">
        <f>資料儲存!H5842</f>
        <v>0</v>
      </c>
      <c r="AH106" s="49">
        <f>資料儲存!I5842</f>
        <v>0</v>
      </c>
      <c r="AI106" s="49">
        <f>資料儲存!J5842</f>
        <v>0</v>
      </c>
      <c r="AJ106" s="52"/>
      <c r="AK106" s="70">
        <v>21</v>
      </c>
      <c r="AL106" s="49">
        <f>資料儲存!D5962</f>
        <v>0</v>
      </c>
      <c r="AM106" s="49">
        <f>資料儲存!E5962</f>
        <v>0</v>
      </c>
      <c r="AN106" s="49">
        <f>資料儲存!F5962</f>
        <v>0</v>
      </c>
      <c r="AO106" s="49">
        <f>資料儲存!G5962</f>
        <v>0</v>
      </c>
      <c r="AP106" s="49">
        <f>資料儲存!H5962</f>
        <v>0</v>
      </c>
      <c r="AQ106" s="49">
        <f>資料儲存!I5962</f>
        <v>0</v>
      </c>
      <c r="AR106" s="49">
        <f>資料儲存!J5962</f>
        <v>0</v>
      </c>
      <c r="AT106" s="70">
        <v>21</v>
      </c>
      <c r="AU106" s="49">
        <f>資料儲存!D6082</f>
        <v>0</v>
      </c>
      <c r="AV106" s="49">
        <f>資料儲存!E6082</f>
        <v>0</v>
      </c>
      <c r="AW106" s="49">
        <f>資料儲存!F6082</f>
        <v>0</v>
      </c>
      <c r="AX106" s="49">
        <f>資料儲存!G6082</f>
        <v>0</v>
      </c>
      <c r="AY106" s="49">
        <f>資料儲存!H6082</f>
        <v>0</v>
      </c>
      <c r="AZ106" s="49">
        <f>資料儲存!I6082</f>
        <v>0</v>
      </c>
      <c r="BA106" s="49">
        <f>資料儲存!J6082</f>
        <v>0</v>
      </c>
    </row>
    <row r="107" spans="1:53" s="67" customFormat="1" ht="16" thickBot="1">
      <c r="A107" s="70">
        <v>22</v>
      </c>
      <c r="B107" s="49">
        <f>資料儲存!D5483</f>
        <v>0</v>
      </c>
      <c r="C107" s="49">
        <f>資料儲存!E5483</f>
        <v>0</v>
      </c>
      <c r="D107" s="49">
        <f>資料儲存!F5483</f>
        <v>0</v>
      </c>
      <c r="E107" s="49">
        <f>資料儲存!G5483</f>
        <v>0</v>
      </c>
      <c r="F107" s="49">
        <f>資料儲存!H5483</f>
        <v>0</v>
      </c>
      <c r="G107" s="49">
        <f>資料儲存!I5483</f>
        <v>0</v>
      </c>
      <c r="H107" s="49">
        <f>資料儲存!J5483</f>
        <v>0</v>
      </c>
      <c r="I107" s="52"/>
      <c r="J107" s="70">
        <v>22</v>
      </c>
      <c r="K107" s="49">
        <f>資料儲存!D5603</f>
        <v>0</v>
      </c>
      <c r="L107" s="49">
        <f>資料儲存!E5603</f>
        <v>0</v>
      </c>
      <c r="M107" s="49">
        <f>資料儲存!F5603</f>
        <v>0</v>
      </c>
      <c r="N107" s="49">
        <f>資料儲存!G5603</f>
        <v>0</v>
      </c>
      <c r="O107" s="49">
        <f>資料儲存!H5603</f>
        <v>0</v>
      </c>
      <c r="P107" s="49">
        <f>資料儲存!I5603</f>
        <v>0</v>
      </c>
      <c r="Q107" s="49">
        <f>資料儲存!J5603</f>
        <v>0</v>
      </c>
      <c r="R107" s="52"/>
      <c r="S107" s="70">
        <v>22</v>
      </c>
      <c r="T107" s="49">
        <f>資料儲存!D5723</f>
        <v>0</v>
      </c>
      <c r="U107" s="49">
        <f>資料儲存!E5723</f>
        <v>0</v>
      </c>
      <c r="V107" s="49">
        <f>資料儲存!F5723</f>
        <v>0</v>
      </c>
      <c r="W107" s="49">
        <f>資料儲存!G5723</f>
        <v>0</v>
      </c>
      <c r="X107" s="49">
        <f>資料儲存!H5723</f>
        <v>0</v>
      </c>
      <c r="Y107" s="49">
        <f>資料儲存!I5723</f>
        <v>0</v>
      </c>
      <c r="Z107" s="49">
        <f>資料儲存!J5723</f>
        <v>0</v>
      </c>
      <c r="AA107" s="52"/>
      <c r="AB107" s="70">
        <v>22</v>
      </c>
      <c r="AC107" s="49">
        <f>資料儲存!D5843</f>
        <v>0</v>
      </c>
      <c r="AD107" s="49">
        <f>資料儲存!E5843</f>
        <v>0</v>
      </c>
      <c r="AE107" s="49">
        <f>資料儲存!F5843</f>
        <v>0</v>
      </c>
      <c r="AF107" s="49">
        <f>資料儲存!G5843</f>
        <v>0</v>
      </c>
      <c r="AG107" s="49">
        <f>資料儲存!H5843</f>
        <v>0</v>
      </c>
      <c r="AH107" s="49">
        <f>資料儲存!I5843</f>
        <v>0</v>
      </c>
      <c r="AI107" s="49">
        <f>資料儲存!J5843</f>
        <v>0</v>
      </c>
      <c r="AJ107" s="52"/>
      <c r="AK107" s="70">
        <v>22</v>
      </c>
      <c r="AL107" s="49">
        <f>資料儲存!D5963</f>
        <v>0</v>
      </c>
      <c r="AM107" s="49">
        <f>資料儲存!E5963</f>
        <v>0</v>
      </c>
      <c r="AN107" s="49">
        <f>資料儲存!F5963</f>
        <v>0</v>
      </c>
      <c r="AO107" s="49">
        <f>資料儲存!G5963</f>
        <v>0</v>
      </c>
      <c r="AP107" s="49">
        <f>資料儲存!H5963</f>
        <v>0</v>
      </c>
      <c r="AQ107" s="49">
        <f>資料儲存!I5963</f>
        <v>0</v>
      </c>
      <c r="AR107" s="49">
        <f>資料儲存!J5963</f>
        <v>0</v>
      </c>
      <c r="AT107" s="70">
        <v>22</v>
      </c>
      <c r="AU107" s="49">
        <f>資料儲存!D6083</f>
        <v>0</v>
      </c>
      <c r="AV107" s="49">
        <f>資料儲存!E6083</f>
        <v>0</v>
      </c>
      <c r="AW107" s="49">
        <f>資料儲存!F6083</f>
        <v>0</v>
      </c>
      <c r="AX107" s="49">
        <f>資料儲存!G6083</f>
        <v>0</v>
      </c>
      <c r="AY107" s="49">
        <f>資料儲存!H6083</f>
        <v>0</v>
      </c>
      <c r="AZ107" s="49">
        <f>資料儲存!I6083</f>
        <v>0</v>
      </c>
      <c r="BA107" s="49">
        <f>資料儲存!J6083</f>
        <v>0</v>
      </c>
    </row>
    <row r="108" spans="1:53" s="67" customFormat="1" ht="16" thickBot="1">
      <c r="A108" s="70">
        <v>23</v>
      </c>
      <c r="B108" s="49">
        <f>資料儲存!D5484</f>
        <v>0</v>
      </c>
      <c r="C108" s="49">
        <f>資料儲存!E5484</f>
        <v>0</v>
      </c>
      <c r="D108" s="49">
        <f>資料儲存!F5484</f>
        <v>0</v>
      </c>
      <c r="E108" s="49">
        <f>資料儲存!G5484</f>
        <v>0</v>
      </c>
      <c r="F108" s="49">
        <f>資料儲存!H5484</f>
        <v>0</v>
      </c>
      <c r="G108" s="49">
        <f>資料儲存!I5484</f>
        <v>0</v>
      </c>
      <c r="H108" s="49">
        <f>資料儲存!J5484</f>
        <v>0</v>
      </c>
      <c r="I108" s="52"/>
      <c r="J108" s="70">
        <v>23</v>
      </c>
      <c r="K108" s="49">
        <f>資料儲存!D5604</f>
        <v>0</v>
      </c>
      <c r="L108" s="49">
        <f>資料儲存!E5604</f>
        <v>0</v>
      </c>
      <c r="M108" s="49">
        <f>資料儲存!F5604</f>
        <v>0</v>
      </c>
      <c r="N108" s="49">
        <f>資料儲存!G5604</f>
        <v>0</v>
      </c>
      <c r="O108" s="49">
        <f>資料儲存!H5604</f>
        <v>0</v>
      </c>
      <c r="P108" s="49">
        <f>資料儲存!I5604</f>
        <v>0</v>
      </c>
      <c r="Q108" s="49">
        <f>資料儲存!J5604</f>
        <v>0</v>
      </c>
      <c r="R108" s="52"/>
      <c r="S108" s="70">
        <v>23</v>
      </c>
      <c r="T108" s="49">
        <f>資料儲存!D5724</f>
        <v>0</v>
      </c>
      <c r="U108" s="49">
        <f>資料儲存!E5724</f>
        <v>0</v>
      </c>
      <c r="V108" s="49">
        <f>資料儲存!F5724</f>
        <v>0</v>
      </c>
      <c r="W108" s="49">
        <f>資料儲存!G5724</f>
        <v>0</v>
      </c>
      <c r="X108" s="49">
        <f>資料儲存!H5724</f>
        <v>0</v>
      </c>
      <c r="Y108" s="49">
        <f>資料儲存!I5724</f>
        <v>0</v>
      </c>
      <c r="Z108" s="49">
        <f>資料儲存!J5724</f>
        <v>0</v>
      </c>
      <c r="AA108" s="52"/>
      <c r="AB108" s="70">
        <v>23</v>
      </c>
      <c r="AC108" s="49">
        <f>資料儲存!D5844</f>
        <v>0</v>
      </c>
      <c r="AD108" s="49">
        <f>資料儲存!E5844</f>
        <v>0</v>
      </c>
      <c r="AE108" s="49">
        <f>資料儲存!F5844</f>
        <v>0</v>
      </c>
      <c r="AF108" s="49">
        <f>資料儲存!G5844</f>
        <v>0</v>
      </c>
      <c r="AG108" s="49">
        <f>資料儲存!H5844</f>
        <v>0</v>
      </c>
      <c r="AH108" s="49">
        <f>資料儲存!I5844</f>
        <v>0</v>
      </c>
      <c r="AI108" s="49">
        <f>資料儲存!J5844</f>
        <v>0</v>
      </c>
      <c r="AJ108" s="52"/>
      <c r="AK108" s="70">
        <v>23</v>
      </c>
      <c r="AL108" s="49">
        <f>資料儲存!D5964</f>
        <v>0</v>
      </c>
      <c r="AM108" s="49">
        <f>資料儲存!E5964</f>
        <v>0</v>
      </c>
      <c r="AN108" s="49">
        <f>資料儲存!F5964</f>
        <v>0</v>
      </c>
      <c r="AO108" s="49">
        <f>資料儲存!G5964</f>
        <v>0</v>
      </c>
      <c r="AP108" s="49">
        <f>資料儲存!H5964</f>
        <v>0</v>
      </c>
      <c r="AQ108" s="49">
        <f>資料儲存!I5964</f>
        <v>0</v>
      </c>
      <c r="AR108" s="49">
        <f>資料儲存!J5964</f>
        <v>0</v>
      </c>
      <c r="AT108" s="70">
        <v>23</v>
      </c>
      <c r="AU108" s="49">
        <f>資料儲存!D6084</f>
        <v>0</v>
      </c>
      <c r="AV108" s="49">
        <f>資料儲存!E6084</f>
        <v>0</v>
      </c>
      <c r="AW108" s="49">
        <f>資料儲存!F6084</f>
        <v>0</v>
      </c>
      <c r="AX108" s="49">
        <f>資料儲存!G6084</f>
        <v>0</v>
      </c>
      <c r="AY108" s="49">
        <f>資料儲存!H6084</f>
        <v>0</v>
      </c>
      <c r="AZ108" s="49">
        <f>資料儲存!I6084</f>
        <v>0</v>
      </c>
      <c r="BA108" s="49">
        <f>資料儲存!J6084</f>
        <v>0</v>
      </c>
    </row>
    <row r="109" spans="1:53" s="67" customFormat="1" ht="16" thickBot="1">
      <c r="A109" s="70">
        <v>24</v>
      </c>
      <c r="B109" s="49">
        <f>資料儲存!D5485</f>
        <v>0</v>
      </c>
      <c r="C109" s="49">
        <f>資料儲存!E5485</f>
        <v>0</v>
      </c>
      <c r="D109" s="49">
        <f>資料儲存!F5485</f>
        <v>0</v>
      </c>
      <c r="E109" s="49">
        <f>資料儲存!G5485</f>
        <v>0</v>
      </c>
      <c r="F109" s="49">
        <f>資料儲存!H5485</f>
        <v>0</v>
      </c>
      <c r="G109" s="49">
        <f>資料儲存!I5485</f>
        <v>0</v>
      </c>
      <c r="H109" s="49">
        <f>資料儲存!J5485</f>
        <v>0</v>
      </c>
      <c r="I109" s="52"/>
      <c r="J109" s="70">
        <v>24</v>
      </c>
      <c r="K109" s="49">
        <f>資料儲存!D5605</f>
        <v>0</v>
      </c>
      <c r="L109" s="49">
        <f>資料儲存!E5605</f>
        <v>0</v>
      </c>
      <c r="M109" s="49">
        <f>資料儲存!F5605</f>
        <v>0</v>
      </c>
      <c r="N109" s="49">
        <f>資料儲存!G5605</f>
        <v>0</v>
      </c>
      <c r="O109" s="49">
        <f>資料儲存!H5605</f>
        <v>0</v>
      </c>
      <c r="P109" s="49">
        <f>資料儲存!I5605</f>
        <v>0</v>
      </c>
      <c r="Q109" s="49">
        <f>資料儲存!J5605</f>
        <v>0</v>
      </c>
      <c r="R109" s="52"/>
      <c r="S109" s="70">
        <v>24</v>
      </c>
      <c r="T109" s="49">
        <f>資料儲存!D5725</f>
        <v>0</v>
      </c>
      <c r="U109" s="49">
        <f>資料儲存!E5725</f>
        <v>0</v>
      </c>
      <c r="V109" s="49">
        <f>資料儲存!F5725</f>
        <v>0</v>
      </c>
      <c r="W109" s="49">
        <f>資料儲存!G5725</f>
        <v>0</v>
      </c>
      <c r="X109" s="49">
        <f>資料儲存!H5725</f>
        <v>0</v>
      </c>
      <c r="Y109" s="49">
        <f>資料儲存!I5725</f>
        <v>0</v>
      </c>
      <c r="Z109" s="49">
        <f>資料儲存!J5725</f>
        <v>0</v>
      </c>
      <c r="AA109" s="52"/>
      <c r="AB109" s="70">
        <v>24</v>
      </c>
      <c r="AC109" s="49">
        <f>資料儲存!D5845</f>
        <v>0</v>
      </c>
      <c r="AD109" s="49">
        <f>資料儲存!E5845</f>
        <v>0</v>
      </c>
      <c r="AE109" s="49">
        <f>資料儲存!F5845</f>
        <v>0</v>
      </c>
      <c r="AF109" s="49">
        <f>資料儲存!G5845</f>
        <v>0</v>
      </c>
      <c r="AG109" s="49">
        <f>資料儲存!H5845</f>
        <v>0</v>
      </c>
      <c r="AH109" s="49">
        <f>資料儲存!I5845</f>
        <v>0</v>
      </c>
      <c r="AI109" s="49">
        <f>資料儲存!J5845</f>
        <v>0</v>
      </c>
      <c r="AJ109" s="52"/>
      <c r="AK109" s="70">
        <v>24</v>
      </c>
      <c r="AL109" s="49">
        <f>資料儲存!D5965</f>
        <v>0</v>
      </c>
      <c r="AM109" s="49">
        <f>資料儲存!E5965</f>
        <v>0</v>
      </c>
      <c r="AN109" s="49">
        <f>資料儲存!F5965</f>
        <v>0</v>
      </c>
      <c r="AO109" s="49">
        <f>資料儲存!G5965</f>
        <v>0</v>
      </c>
      <c r="AP109" s="49">
        <f>資料儲存!H5965</f>
        <v>0</v>
      </c>
      <c r="AQ109" s="49">
        <f>資料儲存!I5965</f>
        <v>0</v>
      </c>
      <c r="AR109" s="49">
        <f>資料儲存!J5965</f>
        <v>0</v>
      </c>
      <c r="AT109" s="70">
        <v>24</v>
      </c>
      <c r="AU109" s="49">
        <f>資料儲存!D6085</f>
        <v>0</v>
      </c>
      <c r="AV109" s="49">
        <f>資料儲存!E6085</f>
        <v>0</v>
      </c>
      <c r="AW109" s="49">
        <f>資料儲存!F6085</f>
        <v>0</v>
      </c>
      <c r="AX109" s="49">
        <f>資料儲存!G6085</f>
        <v>0</v>
      </c>
      <c r="AY109" s="49">
        <f>資料儲存!H6085</f>
        <v>0</v>
      </c>
      <c r="AZ109" s="49">
        <f>資料儲存!I6085</f>
        <v>0</v>
      </c>
      <c r="BA109" s="49">
        <f>資料儲存!J6085</f>
        <v>0</v>
      </c>
    </row>
    <row r="110" spans="1:53" s="67" customFormat="1" ht="16" thickBot="1">
      <c r="A110" s="70">
        <v>25</v>
      </c>
      <c r="B110" s="49">
        <f>資料儲存!D5486</f>
        <v>0</v>
      </c>
      <c r="C110" s="49">
        <f>資料儲存!E5486</f>
        <v>0</v>
      </c>
      <c r="D110" s="49">
        <f>資料儲存!F5486</f>
        <v>0</v>
      </c>
      <c r="E110" s="49">
        <f>資料儲存!G5486</f>
        <v>0</v>
      </c>
      <c r="F110" s="49">
        <f>資料儲存!H5486</f>
        <v>0</v>
      </c>
      <c r="G110" s="49">
        <f>資料儲存!I5486</f>
        <v>0</v>
      </c>
      <c r="H110" s="49">
        <f>資料儲存!J5486</f>
        <v>0</v>
      </c>
      <c r="I110" s="52"/>
      <c r="J110" s="70">
        <v>25</v>
      </c>
      <c r="K110" s="49">
        <f>資料儲存!D5606</f>
        <v>0</v>
      </c>
      <c r="L110" s="49">
        <f>資料儲存!E5606</f>
        <v>0</v>
      </c>
      <c r="M110" s="49">
        <f>資料儲存!F5606</f>
        <v>0</v>
      </c>
      <c r="N110" s="49">
        <f>資料儲存!G5606</f>
        <v>0</v>
      </c>
      <c r="O110" s="49">
        <f>資料儲存!H5606</f>
        <v>0</v>
      </c>
      <c r="P110" s="49">
        <f>資料儲存!I5606</f>
        <v>0</v>
      </c>
      <c r="Q110" s="49">
        <f>資料儲存!J5606</f>
        <v>0</v>
      </c>
      <c r="R110" s="52"/>
      <c r="S110" s="70">
        <v>25</v>
      </c>
      <c r="T110" s="49">
        <f>資料儲存!D5726</f>
        <v>0</v>
      </c>
      <c r="U110" s="49">
        <f>資料儲存!E5726</f>
        <v>0</v>
      </c>
      <c r="V110" s="49">
        <f>資料儲存!F5726</f>
        <v>0</v>
      </c>
      <c r="W110" s="49">
        <f>資料儲存!G5726</f>
        <v>0</v>
      </c>
      <c r="X110" s="49">
        <f>資料儲存!H5726</f>
        <v>0</v>
      </c>
      <c r="Y110" s="49">
        <f>資料儲存!I5726</f>
        <v>0</v>
      </c>
      <c r="Z110" s="49">
        <f>資料儲存!J5726</f>
        <v>0</v>
      </c>
      <c r="AA110" s="52"/>
      <c r="AB110" s="70">
        <v>25</v>
      </c>
      <c r="AC110" s="49">
        <f>資料儲存!D5846</f>
        <v>0</v>
      </c>
      <c r="AD110" s="49">
        <f>資料儲存!E5846</f>
        <v>0</v>
      </c>
      <c r="AE110" s="49">
        <f>資料儲存!F5846</f>
        <v>0</v>
      </c>
      <c r="AF110" s="49">
        <f>資料儲存!G5846</f>
        <v>0</v>
      </c>
      <c r="AG110" s="49">
        <f>資料儲存!H5846</f>
        <v>0</v>
      </c>
      <c r="AH110" s="49">
        <f>資料儲存!I5846</f>
        <v>0</v>
      </c>
      <c r="AI110" s="49">
        <f>資料儲存!J5846</f>
        <v>0</v>
      </c>
      <c r="AJ110" s="52"/>
      <c r="AK110" s="70">
        <v>25</v>
      </c>
      <c r="AL110" s="49">
        <f>資料儲存!D5966</f>
        <v>0</v>
      </c>
      <c r="AM110" s="49">
        <f>資料儲存!E5966</f>
        <v>0</v>
      </c>
      <c r="AN110" s="49">
        <f>資料儲存!F5966</f>
        <v>0</v>
      </c>
      <c r="AO110" s="49">
        <f>資料儲存!G5966</f>
        <v>0</v>
      </c>
      <c r="AP110" s="49">
        <f>資料儲存!H5966</f>
        <v>0</v>
      </c>
      <c r="AQ110" s="49">
        <f>資料儲存!I5966</f>
        <v>0</v>
      </c>
      <c r="AR110" s="49">
        <f>資料儲存!J5966</f>
        <v>0</v>
      </c>
      <c r="AT110" s="70">
        <v>25</v>
      </c>
      <c r="AU110" s="49">
        <f>資料儲存!D6086</f>
        <v>0</v>
      </c>
      <c r="AV110" s="49">
        <f>資料儲存!E6086</f>
        <v>0</v>
      </c>
      <c r="AW110" s="49">
        <f>資料儲存!F6086</f>
        <v>0</v>
      </c>
      <c r="AX110" s="49">
        <f>資料儲存!G6086</f>
        <v>0</v>
      </c>
      <c r="AY110" s="49">
        <f>資料儲存!H6086</f>
        <v>0</v>
      </c>
      <c r="AZ110" s="49">
        <f>資料儲存!I6086</f>
        <v>0</v>
      </c>
      <c r="BA110" s="49">
        <f>資料儲存!J6086</f>
        <v>0</v>
      </c>
    </row>
    <row r="111" spans="1:53" s="67" customFormat="1" ht="16" thickBot="1">
      <c r="A111" s="70">
        <v>26</v>
      </c>
      <c r="B111" s="49">
        <f>資料儲存!D5487</f>
        <v>0</v>
      </c>
      <c r="C111" s="49">
        <f>資料儲存!E5487</f>
        <v>0</v>
      </c>
      <c r="D111" s="49">
        <f>資料儲存!F5487</f>
        <v>0</v>
      </c>
      <c r="E111" s="49">
        <f>資料儲存!G5487</f>
        <v>0</v>
      </c>
      <c r="F111" s="49">
        <f>資料儲存!H5487</f>
        <v>0</v>
      </c>
      <c r="G111" s="49">
        <f>資料儲存!I5487</f>
        <v>0</v>
      </c>
      <c r="H111" s="49">
        <f>資料儲存!J5487</f>
        <v>0</v>
      </c>
      <c r="I111" s="52"/>
      <c r="J111" s="70">
        <v>26</v>
      </c>
      <c r="K111" s="49">
        <f>資料儲存!D5607</f>
        <v>0</v>
      </c>
      <c r="L111" s="49">
        <f>資料儲存!E5607</f>
        <v>0</v>
      </c>
      <c r="M111" s="49">
        <f>資料儲存!F5607</f>
        <v>0</v>
      </c>
      <c r="N111" s="49">
        <f>資料儲存!G5607</f>
        <v>0</v>
      </c>
      <c r="O111" s="49">
        <f>資料儲存!H5607</f>
        <v>0</v>
      </c>
      <c r="P111" s="49">
        <f>資料儲存!I5607</f>
        <v>0</v>
      </c>
      <c r="Q111" s="49">
        <f>資料儲存!J5607</f>
        <v>0</v>
      </c>
      <c r="R111" s="52"/>
      <c r="S111" s="70">
        <v>26</v>
      </c>
      <c r="T111" s="49">
        <f>資料儲存!D5727</f>
        <v>0</v>
      </c>
      <c r="U111" s="49">
        <f>資料儲存!E5727</f>
        <v>0</v>
      </c>
      <c r="V111" s="49">
        <f>資料儲存!F5727</f>
        <v>0</v>
      </c>
      <c r="W111" s="49">
        <f>資料儲存!G5727</f>
        <v>0</v>
      </c>
      <c r="X111" s="49">
        <f>資料儲存!H5727</f>
        <v>0</v>
      </c>
      <c r="Y111" s="49">
        <f>資料儲存!I5727</f>
        <v>0</v>
      </c>
      <c r="Z111" s="49">
        <f>資料儲存!J5727</f>
        <v>0</v>
      </c>
      <c r="AA111" s="52"/>
      <c r="AB111" s="70">
        <v>26</v>
      </c>
      <c r="AC111" s="49">
        <f>資料儲存!D5847</f>
        <v>0</v>
      </c>
      <c r="AD111" s="49">
        <f>資料儲存!E5847</f>
        <v>0</v>
      </c>
      <c r="AE111" s="49">
        <f>資料儲存!F5847</f>
        <v>0</v>
      </c>
      <c r="AF111" s="49">
        <f>資料儲存!G5847</f>
        <v>0</v>
      </c>
      <c r="AG111" s="49">
        <f>資料儲存!H5847</f>
        <v>0</v>
      </c>
      <c r="AH111" s="49">
        <f>資料儲存!I5847</f>
        <v>0</v>
      </c>
      <c r="AI111" s="49">
        <f>資料儲存!J5847</f>
        <v>0</v>
      </c>
      <c r="AJ111" s="52"/>
      <c r="AK111" s="70">
        <v>26</v>
      </c>
      <c r="AL111" s="49">
        <f>資料儲存!D5967</f>
        <v>0</v>
      </c>
      <c r="AM111" s="49">
        <f>資料儲存!E5967</f>
        <v>0</v>
      </c>
      <c r="AN111" s="49">
        <f>資料儲存!F5967</f>
        <v>0</v>
      </c>
      <c r="AO111" s="49">
        <f>資料儲存!G5967</f>
        <v>0</v>
      </c>
      <c r="AP111" s="49">
        <f>資料儲存!H5967</f>
        <v>0</v>
      </c>
      <c r="AQ111" s="49">
        <f>資料儲存!I5967</f>
        <v>0</v>
      </c>
      <c r="AR111" s="49">
        <f>資料儲存!J5967</f>
        <v>0</v>
      </c>
      <c r="AT111" s="70">
        <v>26</v>
      </c>
      <c r="AU111" s="49">
        <f>資料儲存!D6087</f>
        <v>0</v>
      </c>
      <c r="AV111" s="49">
        <f>資料儲存!E6087</f>
        <v>0</v>
      </c>
      <c r="AW111" s="49">
        <f>資料儲存!F6087</f>
        <v>0</v>
      </c>
      <c r="AX111" s="49">
        <f>資料儲存!G6087</f>
        <v>0</v>
      </c>
      <c r="AY111" s="49">
        <f>資料儲存!H6087</f>
        <v>0</v>
      </c>
      <c r="AZ111" s="49">
        <f>資料儲存!I6087</f>
        <v>0</v>
      </c>
      <c r="BA111" s="49">
        <f>資料儲存!J6087</f>
        <v>0</v>
      </c>
    </row>
    <row r="112" spans="1:53" s="67" customFormat="1" ht="16" thickBot="1">
      <c r="A112" s="70">
        <v>27</v>
      </c>
      <c r="B112" s="49">
        <f>資料儲存!D5488</f>
        <v>0</v>
      </c>
      <c r="C112" s="49">
        <f>資料儲存!E5488</f>
        <v>0</v>
      </c>
      <c r="D112" s="49">
        <f>資料儲存!F5488</f>
        <v>0</v>
      </c>
      <c r="E112" s="49">
        <f>資料儲存!G5488</f>
        <v>0</v>
      </c>
      <c r="F112" s="49">
        <f>資料儲存!H5488</f>
        <v>0</v>
      </c>
      <c r="G112" s="49">
        <f>資料儲存!I5488</f>
        <v>0</v>
      </c>
      <c r="H112" s="49">
        <f>資料儲存!J5488</f>
        <v>0</v>
      </c>
      <c r="I112" s="52"/>
      <c r="J112" s="70">
        <v>27</v>
      </c>
      <c r="K112" s="49">
        <f>資料儲存!D5608</f>
        <v>0</v>
      </c>
      <c r="L112" s="49">
        <f>資料儲存!E5608</f>
        <v>0</v>
      </c>
      <c r="M112" s="49">
        <f>資料儲存!F5608</f>
        <v>0</v>
      </c>
      <c r="N112" s="49">
        <f>資料儲存!G5608</f>
        <v>0</v>
      </c>
      <c r="O112" s="49">
        <f>資料儲存!H5608</f>
        <v>0</v>
      </c>
      <c r="P112" s="49">
        <f>資料儲存!I5608</f>
        <v>0</v>
      </c>
      <c r="Q112" s="49">
        <f>資料儲存!J5608</f>
        <v>0</v>
      </c>
      <c r="R112" s="52"/>
      <c r="S112" s="70">
        <v>27</v>
      </c>
      <c r="T112" s="49">
        <f>資料儲存!D5728</f>
        <v>0</v>
      </c>
      <c r="U112" s="49">
        <f>資料儲存!E5728</f>
        <v>0</v>
      </c>
      <c r="V112" s="49">
        <f>資料儲存!F5728</f>
        <v>0</v>
      </c>
      <c r="W112" s="49">
        <f>資料儲存!G5728</f>
        <v>0</v>
      </c>
      <c r="X112" s="49">
        <f>資料儲存!H5728</f>
        <v>0</v>
      </c>
      <c r="Y112" s="49">
        <f>資料儲存!I5728</f>
        <v>0</v>
      </c>
      <c r="Z112" s="49">
        <f>資料儲存!J5728</f>
        <v>0</v>
      </c>
      <c r="AA112" s="52"/>
      <c r="AB112" s="70">
        <v>27</v>
      </c>
      <c r="AC112" s="49">
        <f>資料儲存!D5848</f>
        <v>0</v>
      </c>
      <c r="AD112" s="49">
        <f>資料儲存!E5848</f>
        <v>0</v>
      </c>
      <c r="AE112" s="49">
        <f>資料儲存!F5848</f>
        <v>0</v>
      </c>
      <c r="AF112" s="49">
        <f>資料儲存!G5848</f>
        <v>0</v>
      </c>
      <c r="AG112" s="49">
        <f>資料儲存!H5848</f>
        <v>0</v>
      </c>
      <c r="AH112" s="49">
        <f>資料儲存!I5848</f>
        <v>0</v>
      </c>
      <c r="AI112" s="49">
        <f>資料儲存!J5848</f>
        <v>0</v>
      </c>
      <c r="AJ112" s="52"/>
      <c r="AK112" s="70">
        <v>27</v>
      </c>
      <c r="AL112" s="49">
        <f>資料儲存!D5968</f>
        <v>0</v>
      </c>
      <c r="AM112" s="49">
        <f>資料儲存!E5968</f>
        <v>0</v>
      </c>
      <c r="AN112" s="49">
        <f>資料儲存!F5968</f>
        <v>0</v>
      </c>
      <c r="AO112" s="49">
        <f>資料儲存!G5968</f>
        <v>0</v>
      </c>
      <c r="AP112" s="49">
        <f>資料儲存!H5968</f>
        <v>0</v>
      </c>
      <c r="AQ112" s="49">
        <f>資料儲存!I5968</f>
        <v>0</v>
      </c>
      <c r="AR112" s="49">
        <f>資料儲存!J5968</f>
        <v>0</v>
      </c>
      <c r="AT112" s="70">
        <v>27</v>
      </c>
      <c r="AU112" s="49">
        <f>資料儲存!D6088</f>
        <v>0</v>
      </c>
      <c r="AV112" s="49">
        <f>資料儲存!E6088</f>
        <v>0</v>
      </c>
      <c r="AW112" s="49">
        <f>資料儲存!F6088</f>
        <v>0</v>
      </c>
      <c r="AX112" s="49">
        <f>資料儲存!G6088</f>
        <v>0</v>
      </c>
      <c r="AY112" s="49">
        <f>資料儲存!H6088</f>
        <v>0</v>
      </c>
      <c r="AZ112" s="49">
        <f>資料儲存!I6088</f>
        <v>0</v>
      </c>
      <c r="BA112" s="49">
        <f>資料儲存!J6088</f>
        <v>0</v>
      </c>
    </row>
    <row r="113" spans="1:53" s="67" customFormat="1" ht="16" thickBot="1">
      <c r="A113" s="70">
        <v>28</v>
      </c>
      <c r="B113" s="49">
        <f>資料儲存!D5489</f>
        <v>0</v>
      </c>
      <c r="C113" s="49">
        <f>資料儲存!E5489</f>
        <v>0</v>
      </c>
      <c r="D113" s="49">
        <f>資料儲存!F5489</f>
        <v>0</v>
      </c>
      <c r="E113" s="49">
        <f>資料儲存!G5489</f>
        <v>0</v>
      </c>
      <c r="F113" s="49">
        <f>資料儲存!H5489</f>
        <v>0</v>
      </c>
      <c r="G113" s="49">
        <f>資料儲存!I5489</f>
        <v>0</v>
      </c>
      <c r="H113" s="49">
        <f>資料儲存!J5489</f>
        <v>0</v>
      </c>
      <c r="I113" s="52"/>
      <c r="J113" s="70">
        <v>28</v>
      </c>
      <c r="K113" s="49">
        <f>資料儲存!D5609</f>
        <v>0</v>
      </c>
      <c r="L113" s="49">
        <f>資料儲存!E5609</f>
        <v>0</v>
      </c>
      <c r="M113" s="49">
        <f>資料儲存!F5609</f>
        <v>0</v>
      </c>
      <c r="N113" s="49">
        <f>資料儲存!G5609</f>
        <v>0</v>
      </c>
      <c r="O113" s="49">
        <f>資料儲存!H5609</f>
        <v>0</v>
      </c>
      <c r="P113" s="49">
        <f>資料儲存!I5609</f>
        <v>0</v>
      </c>
      <c r="Q113" s="49">
        <f>資料儲存!J5609</f>
        <v>0</v>
      </c>
      <c r="R113" s="52"/>
      <c r="S113" s="70">
        <v>28</v>
      </c>
      <c r="T113" s="49">
        <f>資料儲存!D5729</f>
        <v>0</v>
      </c>
      <c r="U113" s="49">
        <f>資料儲存!E5729</f>
        <v>0</v>
      </c>
      <c r="V113" s="49">
        <f>資料儲存!F5729</f>
        <v>0</v>
      </c>
      <c r="W113" s="49">
        <f>資料儲存!G5729</f>
        <v>0</v>
      </c>
      <c r="X113" s="49">
        <f>資料儲存!H5729</f>
        <v>0</v>
      </c>
      <c r="Y113" s="49">
        <f>資料儲存!I5729</f>
        <v>0</v>
      </c>
      <c r="Z113" s="49">
        <f>資料儲存!J5729</f>
        <v>0</v>
      </c>
      <c r="AA113" s="52"/>
      <c r="AB113" s="70">
        <v>28</v>
      </c>
      <c r="AC113" s="49">
        <f>資料儲存!D5849</f>
        <v>0</v>
      </c>
      <c r="AD113" s="49">
        <f>資料儲存!E5849</f>
        <v>0</v>
      </c>
      <c r="AE113" s="49">
        <f>資料儲存!F5849</f>
        <v>0</v>
      </c>
      <c r="AF113" s="49">
        <f>資料儲存!G5849</f>
        <v>0</v>
      </c>
      <c r="AG113" s="49">
        <f>資料儲存!H5849</f>
        <v>0</v>
      </c>
      <c r="AH113" s="49">
        <f>資料儲存!I5849</f>
        <v>0</v>
      </c>
      <c r="AI113" s="49">
        <f>資料儲存!J5849</f>
        <v>0</v>
      </c>
      <c r="AJ113" s="52"/>
      <c r="AK113" s="70">
        <v>28</v>
      </c>
      <c r="AL113" s="49">
        <f>資料儲存!D5969</f>
        <v>0</v>
      </c>
      <c r="AM113" s="49">
        <f>資料儲存!E5969</f>
        <v>0</v>
      </c>
      <c r="AN113" s="49">
        <f>資料儲存!F5969</f>
        <v>0</v>
      </c>
      <c r="AO113" s="49">
        <f>資料儲存!G5969</f>
        <v>0</v>
      </c>
      <c r="AP113" s="49">
        <f>資料儲存!H5969</f>
        <v>0</v>
      </c>
      <c r="AQ113" s="49">
        <f>資料儲存!I5969</f>
        <v>0</v>
      </c>
      <c r="AR113" s="49">
        <f>資料儲存!J5969</f>
        <v>0</v>
      </c>
      <c r="AT113" s="70">
        <v>28</v>
      </c>
      <c r="AU113" s="49">
        <f>資料儲存!D6089</f>
        <v>0</v>
      </c>
      <c r="AV113" s="49">
        <f>資料儲存!E6089</f>
        <v>0</v>
      </c>
      <c r="AW113" s="49">
        <f>資料儲存!F6089</f>
        <v>0</v>
      </c>
      <c r="AX113" s="49">
        <f>資料儲存!G6089</f>
        <v>0</v>
      </c>
      <c r="AY113" s="49">
        <f>資料儲存!H6089</f>
        <v>0</v>
      </c>
      <c r="AZ113" s="49">
        <f>資料儲存!I6089</f>
        <v>0</v>
      </c>
      <c r="BA113" s="49">
        <f>資料儲存!J6089</f>
        <v>0</v>
      </c>
    </row>
    <row r="114" spans="1:53" s="67" customFormat="1" ht="16" thickBot="1">
      <c r="A114" s="70">
        <v>29</v>
      </c>
      <c r="B114" s="49">
        <f>資料儲存!D5490</f>
        <v>0</v>
      </c>
      <c r="C114" s="49">
        <f>資料儲存!E5490</f>
        <v>0</v>
      </c>
      <c r="D114" s="49">
        <f>資料儲存!F5490</f>
        <v>0</v>
      </c>
      <c r="E114" s="49">
        <f>資料儲存!G5490</f>
        <v>0</v>
      </c>
      <c r="F114" s="49">
        <f>資料儲存!H5490</f>
        <v>0</v>
      </c>
      <c r="G114" s="49">
        <f>資料儲存!I5490</f>
        <v>0</v>
      </c>
      <c r="H114" s="49">
        <f>資料儲存!J5490</f>
        <v>0</v>
      </c>
      <c r="I114" s="52"/>
      <c r="J114" s="70">
        <v>29</v>
      </c>
      <c r="K114" s="49">
        <f>資料儲存!D5610</f>
        <v>0</v>
      </c>
      <c r="L114" s="49">
        <f>資料儲存!E5610</f>
        <v>0</v>
      </c>
      <c r="M114" s="49">
        <f>資料儲存!F5610</f>
        <v>0</v>
      </c>
      <c r="N114" s="49">
        <f>資料儲存!G5610</f>
        <v>0</v>
      </c>
      <c r="O114" s="49">
        <f>資料儲存!H5610</f>
        <v>0</v>
      </c>
      <c r="P114" s="49">
        <f>資料儲存!I5610</f>
        <v>0</v>
      </c>
      <c r="Q114" s="49">
        <f>資料儲存!J5610</f>
        <v>0</v>
      </c>
      <c r="R114" s="52"/>
      <c r="S114" s="70">
        <v>29</v>
      </c>
      <c r="T114" s="49">
        <f>資料儲存!D5730</f>
        <v>0</v>
      </c>
      <c r="U114" s="49">
        <f>資料儲存!E5730</f>
        <v>0</v>
      </c>
      <c r="V114" s="49">
        <f>資料儲存!F5730</f>
        <v>0</v>
      </c>
      <c r="W114" s="49">
        <f>資料儲存!G5730</f>
        <v>0</v>
      </c>
      <c r="X114" s="49">
        <f>資料儲存!H5730</f>
        <v>0</v>
      </c>
      <c r="Y114" s="49">
        <f>資料儲存!I5730</f>
        <v>0</v>
      </c>
      <c r="Z114" s="49">
        <f>資料儲存!J5730</f>
        <v>0</v>
      </c>
      <c r="AA114" s="52"/>
      <c r="AB114" s="70">
        <v>29</v>
      </c>
      <c r="AC114" s="49">
        <f>資料儲存!D5850</f>
        <v>0</v>
      </c>
      <c r="AD114" s="49">
        <f>資料儲存!E5850</f>
        <v>0</v>
      </c>
      <c r="AE114" s="49">
        <f>資料儲存!F5850</f>
        <v>0</v>
      </c>
      <c r="AF114" s="49">
        <f>資料儲存!G5850</f>
        <v>0</v>
      </c>
      <c r="AG114" s="49">
        <f>資料儲存!H5850</f>
        <v>0</v>
      </c>
      <c r="AH114" s="49">
        <f>資料儲存!I5850</f>
        <v>0</v>
      </c>
      <c r="AI114" s="49">
        <f>資料儲存!J5850</f>
        <v>0</v>
      </c>
      <c r="AJ114" s="52"/>
      <c r="AK114" s="70">
        <v>29</v>
      </c>
      <c r="AL114" s="49">
        <f>資料儲存!D5970</f>
        <v>0</v>
      </c>
      <c r="AM114" s="49">
        <f>資料儲存!E5970</f>
        <v>0</v>
      </c>
      <c r="AN114" s="49">
        <f>資料儲存!F5970</f>
        <v>0</v>
      </c>
      <c r="AO114" s="49">
        <f>資料儲存!G5970</f>
        <v>0</v>
      </c>
      <c r="AP114" s="49">
        <f>資料儲存!H5970</f>
        <v>0</v>
      </c>
      <c r="AQ114" s="49">
        <f>資料儲存!I5970</f>
        <v>0</v>
      </c>
      <c r="AR114" s="49">
        <f>資料儲存!J5970</f>
        <v>0</v>
      </c>
      <c r="AT114" s="70">
        <v>29</v>
      </c>
      <c r="AU114" s="49">
        <f>資料儲存!D6090</f>
        <v>0</v>
      </c>
      <c r="AV114" s="49">
        <f>資料儲存!E6090</f>
        <v>0</v>
      </c>
      <c r="AW114" s="49">
        <f>資料儲存!F6090</f>
        <v>0</v>
      </c>
      <c r="AX114" s="49">
        <f>資料儲存!G6090</f>
        <v>0</v>
      </c>
      <c r="AY114" s="49">
        <f>資料儲存!H6090</f>
        <v>0</v>
      </c>
      <c r="AZ114" s="49">
        <f>資料儲存!I6090</f>
        <v>0</v>
      </c>
      <c r="BA114" s="49">
        <f>資料儲存!J6090</f>
        <v>0</v>
      </c>
    </row>
    <row r="115" spans="1:53" s="67" customFormat="1" ht="16" thickBot="1">
      <c r="A115" s="70">
        <v>30</v>
      </c>
      <c r="B115" s="49">
        <f>資料儲存!D5491</f>
        <v>0</v>
      </c>
      <c r="C115" s="49">
        <f>資料儲存!E5491</f>
        <v>0</v>
      </c>
      <c r="D115" s="49">
        <f>資料儲存!F5491</f>
        <v>0</v>
      </c>
      <c r="E115" s="49">
        <f>資料儲存!G5491</f>
        <v>0</v>
      </c>
      <c r="F115" s="49">
        <f>資料儲存!H5491</f>
        <v>0</v>
      </c>
      <c r="G115" s="49">
        <f>資料儲存!I5491</f>
        <v>0</v>
      </c>
      <c r="H115" s="49">
        <f>資料儲存!J5491</f>
        <v>0</v>
      </c>
      <c r="I115" s="52"/>
      <c r="J115" s="70">
        <v>30</v>
      </c>
      <c r="K115" s="49">
        <f>資料儲存!D5611</f>
        <v>0</v>
      </c>
      <c r="L115" s="49">
        <f>資料儲存!E5611</f>
        <v>0</v>
      </c>
      <c r="M115" s="49">
        <f>資料儲存!F5611</f>
        <v>0</v>
      </c>
      <c r="N115" s="49">
        <f>資料儲存!G5611</f>
        <v>0</v>
      </c>
      <c r="O115" s="49">
        <f>資料儲存!H5611</f>
        <v>0</v>
      </c>
      <c r="P115" s="49">
        <f>資料儲存!I5611</f>
        <v>0</v>
      </c>
      <c r="Q115" s="49">
        <f>資料儲存!J5611</f>
        <v>0</v>
      </c>
      <c r="R115" s="52"/>
      <c r="S115" s="70">
        <v>30</v>
      </c>
      <c r="T115" s="49">
        <f>資料儲存!D5731</f>
        <v>0</v>
      </c>
      <c r="U115" s="49">
        <f>資料儲存!E5731</f>
        <v>0</v>
      </c>
      <c r="V115" s="49">
        <f>資料儲存!F5731</f>
        <v>0</v>
      </c>
      <c r="W115" s="49">
        <f>資料儲存!G5731</f>
        <v>0</v>
      </c>
      <c r="X115" s="49">
        <f>資料儲存!H5731</f>
        <v>0</v>
      </c>
      <c r="Y115" s="49">
        <f>資料儲存!I5731</f>
        <v>0</v>
      </c>
      <c r="Z115" s="49">
        <f>資料儲存!J5731</f>
        <v>0</v>
      </c>
      <c r="AA115" s="52"/>
      <c r="AB115" s="70">
        <v>30</v>
      </c>
      <c r="AC115" s="49">
        <f>資料儲存!D5851</f>
        <v>0</v>
      </c>
      <c r="AD115" s="49">
        <f>資料儲存!E5851</f>
        <v>0</v>
      </c>
      <c r="AE115" s="49">
        <f>資料儲存!F5851</f>
        <v>0</v>
      </c>
      <c r="AF115" s="49">
        <f>資料儲存!G5851</f>
        <v>0</v>
      </c>
      <c r="AG115" s="49">
        <f>資料儲存!H5851</f>
        <v>0</v>
      </c>
      <c r="AH115" s="49">
        <f>資料儲存!I5851</f>
        <v>0</v>
      </c>
      <c r="AI115" s="49">
        <f>資料儲存!J5851</f>
        <v>0</v>
      </c>
      <c r="AJ115" s="52"/>
      <c r="AK115" s="70">
        <v>30</v>
      </c>
      <c r="AL115" s="49">
        <f>資料儲存!D5971</f>
        <v>0</v>
      </c>
      <c r="AM115" s="49">
        <f>資料儲存!E5971</f>
        <v>0</v>
      </c>
      <c r="AN115" s="49">
        <f>資料儲存!F5971</f>
        <v>0</v>
      </c>
      <c r="AO115" s="49">
        <f>資料儲存!G5971</f>
        <v>0</v>
      </c>
      <c r="AP115" s="49">
        <f>資料儲存!H5971</f>
        <v>0</v>
      </c>
      <c r="AQ115" s="49">
        <f>資料儲存!I5971</f>
        <v>0</v>
      </c>
      <c r="AR115" s="49">
        <f>資料儲存!J5971</f>
        <v>0</v>
      </c>
      <c r="AT115" s="70">
        <v>30</v>
      </c>
      <c r="AU115" s="49">
        <f>資料儲存!D6091</f>
        <v>0</v>
      </c>
      <c r="AV115" s="49">
        <f>資料儲存!E6091</f>
        <v>0</v>
      </c>
      <c r="AW115" s="49">
        <f>資料儲存!F6091</f>
        <v>0</v>
      </c>
      <c r="AX115" s="49">
        <f>資料儲存!G6091</f>
        <v>0</v>
      </c>
      <c r="AY115" s="49">
        <f>資料儲存!H6091</f>
        <v>0</v>
      </c>
      <c r="AZ115" s="49">
        <f>資料儲存!I6091</f>
        <v>0</v>
      </c>
      <c r="BA115" s="49">
        <f>資料儲存!J6091</f>
        <v>0</v>
      </c>
    </row>
    <row r="116" spans="1:53" s="67" customFormat="1" ht="17.25" customHeight="1" thickBot="1">
      <c r="A116" s="50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0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0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0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45"/>
      <c r="AK116" s="50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  <c r="AT116" s="50" t="s">
        <v>56</v>
      </c>
      <c r="AU116" s="49">
        <f>SUM(AU101:AX115)</f>
        <v>0</v>
      </c>
      <c r="AV116" s="47"/>
      <c r="AW116" s="47"/>
      <c r="AX116" s="47"/>
      <c r="AY116" s="49">
        <f>AY115</f>
        <v>0</v>
      </c>
      <c r="AZ116" s="49">
        <f>AZ115</f>
        <v>0</v>
      </c>
      <c r="BA116" s="49">
        <f>BA115</f>
        <v>0</v>
      </c>
    </row>
    <row r="117" spans="1:53" ht="18.5" thickBot="1">
      <c r="A117" s="257" t="s">
        <v>84</v>
      </c>
      <c r="B117" s="258"/>
      <c r="C117" s="258"/>
      <c r="D117" s="258"/>
      <c r="E117" s="258"/>
      <c r="F117" s="258"/>
      <c r="G117" s="258"/>
      <c r="H117" s="259"/>
      <c r="I117" s="14"/>
      <c r="J117" s="257" t="s">
        <v>84</v>
      </c>
      <c r="K117" s="258"/>
      <c r="L117" s="258"/>
      <c r="M117" s="258"/>
      <c r="N117" s="258"/>
      <c r="O117" s="258"/>
      <c r="P117" s="258"/>
      <c r="Q117" s="259"/>
      <c r="R117" s="14"/>
      <c r="S117" s="257" t="s">
        <v>84</v>
      </c>
      <c r="T117" s="258"/>
      <c r="U117" s="258"/>
      <c r="V117" s="258"/>
      <c r="W117" s="258"/>
      <c r="X117" s="258"/>
      <c r="Y117" s="258"/>
      <c r="Z117" s="259"/>
      <c r="AA117" s="14"/>
      <c r="AB117" s="257" t="s">
        <v>84</v>
      </c>
      <c r="AC117" s="258"/>
      <c r="AD117" s="258"/>
      <c r="AE117" s="258"/>
      <c r="AF117" s="258"/>
      <c r="AG117" s="258"/>
      <c r="AH117" s="258"/>
      <c r="AI117" s="259"/>
      <c r="AJ117" s="14"/>
      <c r="AK117" s="257" t="s">
        <v>84</v>
      </c>
      <c r="AL117" s="258"/>
      <c r="AM117" s="258"/>
      <c r="AN117" s="258"/>
      <c r="AO117" s="258"/>
      <c r="AP117" s="258"/>
      <c r="AQ117" s="258"/>
      <c r="AR117" s="259"/>
      <c r="AT117" s="257" t="s">
        <v>84</v>
      </c>
      <c r="AU117" s="258"/>
      <c r="AV117" s="258"/>
      <c r="AW117" s="258"/>
      <c r="AX117" s="258"/>
      <c r="AY117" s="258"/>
      <c r="AZ117" s="258"/>
      <c r="BA117" s="259"/>
    </row>
    <row r="118" spans="1:53" s="59" customFormat="1" ht="17.25" customHeight="1" thickBot="1">
      <c r="A118" s="54" t="s">
        <v>2</v>
      </c>
      <c r="B118" s="55" t="s">
        <v>46</v>
      </c>
      <c r="C118" s="56"/>
      <c r="D118" s="56"/>
      <c r="E118" s="57"/>
      <c r="F118" s="55" t="s">
        <v>47</v>
      </c>
      <c r="G118" s="56"/>
      <c r="H118" s="57"/>
      <c r="I118" s="58"/>
      <c r="J118" s="54" t="s">
        <v>2</v>
      </c>
      <c r="K118" s="55" t="s">
        <v>46</v>
      </c>
      <c r="L118" s="56"/>
      <c r="M118" s="56"/>
      <c r="N118" s="57"/>
      <c r="O118" s="55" t="s">
        <v>47</v>
      </c>
      <c r="P118" s="56"/>
      <c r="Q118" s="57"/>
      <c r="R118" s="58"/>
      <c r="S118" s="54" t="s">
        <v>2</v>
      </c>
      <c r="T118" s="55" t="s">
        <v>46</v>
      </c>
      <c r="U118" s="56"/>
      <c r="V118" s="56"/>
      <c r="W118" s="57"/>
      <c r="X118" s="55" t="s">
        <v>47</v>
      </c>
      <c r="Y118" s="56"/>
      <c r="Z118" s="57"/>
      <c r="AA118" s="58"/>
      <c r="AB118" s="54" t="s">
        <v>2</v>
      </c>
      <c r="AC118" s="55" t="s">
        <v>46</v>
      </c>
      <c r="AD118" s="56"/>
      <c r="AE118" s="56"/>
      <c r="AF118" s="57"/>
      <c r="AG118" s="55" t="s">
        <v>47</v>
      </c>
      <c r="AH118" s="56"/>
      <c r="AI118" s="57"/>
      <c r="AJ118" s="58"/>
      <c r="AK118" s="54" t="s">
        <v>2</v>
      </c>
      <c r="AL118" s="55" t="s">
        <v>46</v>
      </c>
      <c r="AM118" s="56"/>
      <c r="AN118" s="56"/>
      <c r="AO118" s="57"/>
      <c r="AP118" s="55" t="s">
        <v>47</v>
      </c>
      <c r="AQ118" s="56"/>
      <c r="AR118" s="57"/>
      <c r="AT118" s="54" t="s">
        <v>2</v>
      </c>
      <c r="AU118" s="55" t="s">
        <v>46</v>
      </c>
      <c r="AV118" s="56"/>
      <c r="AW118" s="56"/>
      <c r="AX118" s="57"/>
      <c r="AY118" s="55" t="s">
        <v>47</v>
      </c>
      <c r="AZ118" s="56"/>
      <c r="BA118" s="57"/>
    </row>
    <row r="119" spans="1:53" s="59" customFormat="1" ht="16" thickBot="1">
      <c r="A119" s="60" t="s">
        <v>85</v>
      </c>
      <c r="B119" s="61" t="s">
        <v>49</v>
      </c>
      <c r="C119" s="61" t="s">
        <v>50</v>
      </c>
      <c r="D119" s="61" t="s">
        <v>51</v>
      </c>
      <c r="E119" s="61" t="s">
        <v>52</v>
      </c>
      <c r="F119" s="61" t="s">
        <v>53</v>
      </c>
      <c r="G119" s="61" t="s">
        <v>54</v>
      </c>
      <c r="H119" s="61" t="s">
        <v>55</v>
      </c>
      <c r="I119" s="58"/>
      <c r="J119" s="60" t="s">
        <v>85</v>
      </c>
      <c r="K119" s="61" t="s">
        <v>49</v>
      </c>
      <c r="L119" s="61" t="s">
        <v>50</v>
      </c>
      <c r="M119" s="61" t="s">
        <v>51</v>
      </c>
      <c r="N119" s="61" t="s">
        <v>52</v>
      </c>
      <c r="O119" s="61" t="s">
        <v>53</v>
      </c>
      <c r="P119" s="61" t="s">
        <v>54</v>
      </c>
      <c r="Q119" s="61" t="s">
        <v>55</v>
      </c>
      <c r="R119" s="58"/>
      <c r="S119" s="60" t="s">
        <v>85</v>
      </c>
      <c r="T119" s="61" t="s">
        <v>49</v>
      </c>
      <c r="U119" s="61" t="s">
        <v>50</v>
      </c>
      <c r="V119" s="61" t="s">
        <v>51</v>
      </c>
      <c r="W119" s="61" t="s">
        <v>52</v>
      </c>
      <c r="X119" s="61" t="s">
        <v>53</v>
      </c>
      <c r="Y119" s="61" t="s">
        <v>54</v>
      </c>
      <c r="Z119" s="61" t="s">
        <v>55</v>
      </c>
      <c r="AA119" s="58"/>
      <c r="AB119" s="60" t="s">
        <v>85</v>
      </c>
      <c r="AC119" s="61" t="s">
        <v>49</v>
      </c>
      <c r="AD119" s="61" t="s">
        <v>50</v>
      </c>
      <c r="AE119" s="61" t="s">
        <v>51</v>
      </c>
      <c r="AF119" s="61" t="s">
        <v>52</v>
      </c>
      <c r="AG119" s="61" t="s">
        <v>53</v>
      </c>
      <c r="AH119" s="61" t="s">
        <v>54</v>
      </c>
      <c r="AI119" s="61" t="s">
        <v>55</v>
      </c>
      <c r="AJ119" s="58"/>
      <c r="AK119" s="60" t="s">
        <v>85</v>
      </c>
      <c r="AL119" s="61" t="s">
        <v>49</v>
      </c>
      <c r="AM119" s="61" t="s">
        <v>50</v>
      </c>
      <c r="AN119" s="61" t="s">
        <v>51</v>
      </c>
      <c r="AO119" s="61" t="s">
        <v>52</v>
      </c>
      <c r="AP119" s="61" t="s">
        <v>53</v>
      </c>
      <c r="AQ119" s="61" t="s">
        <v>54</v>
      </c>
      <c r="AR119" s="61" t="s">
        <v>55</v>
      </c>
      <c r="AT119" s="60" t="s">
        <v>85</v>
      </c>
      <c r="AU119" s="61" t="s">
        <v>49</v>
      </c>
      <c r="AV119" s="61" t="s">
        <v>50</v>
      </c>
      <c r="AW119" s="61" t="s">
        <v>51</v>
      </c>
      <c r="AX119" s="61" t="s">
        <v>52</v>
      </c>
      <c r="AY119" s="61" t="s">
        <v>53</v>
      </c>
      <c r="AZ119" s="61" t="s">
        <v>54</v>
      </c>
      <c r="BA119" s="61" t="s">
        <v>55</v>
      </c>
    </row>
    <row r="120" spans="1:53" s="59" customFormat="1" ht="16" thickBot="1">
      <c r="A120" s="62">
        <v>31</v>
      </c>
      <c r="B120" s="39">
        <f>資料儲存!D5492</f>
        <v>0</v>
      </c>
      <c r="C120" s="39">
        <f>資料儲存!E5492</f>
        <v>0</v>
      </c>
      <c r="D120" s="39">
        <f>資料儲存!F5492</f>
        <v>0</v>
      </c>
      <c r="E120" s="39">
        <f>資料儲存!G5492</f>
        <v>0</v>
      </c>
      <c r="F120" s="39">
        <f>資料儲存!H5492</f>
        <v>0</v>
      </c>
      <c r="G120" s="39">
        <f>資料儲存!I5492</f>
        <v>0</v>
      </c>
      <c r="H120" s="39">
        <f>資料儲存!J5492</f>
        <v>0</v>
      </c>
      <c r="I120" s="58"/>
      <c r="J120" s="62">
        <v>31</v>
      </c>
      <c r="K120" s="39">
        <f>資料儲存!D5612</f>
        <v>0</v>
      </c>
      <c r="L120" s="39">
        <f>資料儲存!E5612</f>
        <v>0</v>
      </c>
      <c r="M120" s="39">
        <f>資料儲存!F5612</f>
        <v>0</v>
      </c>
      <c r="N120" s="39">
        <f>資料儲存!G5612</f>
        <v>0</v>
      </c>
      <c r="O120" s="39">
        <f>資料儲存!H5612</f>
        <v>0</v>
      </c>
      <c r="P120" s="39">
        <f>資料儲存!I5612</f>
        <v>0</v>
      </c>
      <c r="Q120" s="39">
        <f>資料儲存!J5612</f>
        <v>0</v>
      </c>
      <c r="R120" s="58"/>
      <c r="S120" s="62">
        <v>31</v>
      </c>
      <c r="T120" s="39">
        <f>資料儲存!D5732</f>
        <v>0</v>
      </c>
      <c r="U120" s="39">
        <f>資料儲存!E5732</f>
        <v>0</v>
      </c>
      <c r="V120" s="39">
        <f>資料儲存!F5732</f>
        <v>0</v>
      </c>
      <c r="W120" s="39">
        <f>資料儲存!G5732</f>
        <v>0</v>
      </c>
      <c r="X120" s="39">
        <f>資料儲存!H5732</f>
        <v>0</v>
      </c>
      <c r="Y120" s="39">
        <f>資料儲存!I5732</f>
        <v>0</v>
      </c>
      <c r="Z120" s="39">
        <f>資料儲存!J5732</f>
        <v>0</v>
      </c>
      <c r="AA120" s="58"/>
      <c r="AB120" s="62">
        <v>31</v>
      </c>
      <c r="AC120" s="39">
        <f>資料儲存!D5852</f>
        <v>0</v>
      </c>
      <c r="AD120" s="39">
        <f>資料儲存!E5852</f>
        <v>0</v>
      </c>
      <c r="AE120" s="39">
        <f>資料儲存!F5852</f>
        <v>0</v>
      </c>
      <c r="AF120" s="39">
        <f>資料儲存!G5852</f>
        <v>0</v>
      </c>
      <c r="AG120" s="39">
        <f>資料儲存!H5852</f>
        <v>0</v>
      </c>
      <c r="AH120" s="39">
        <f>資料儲存!I5852</f>
        <v>0</v>
      </c>
      <c r="AI120" s="39">
        <f>資料儲存!J5852</f>
        <v>0</v>
      </c>
      <c r="AJ120" s="58"/>
      <c r="AK120" s="62">
        <v>31</v>
      </c>
      <c r="AL120" s="39">
        <f>資料儲存!D5972</f>
        <v>0</v>
      </c>
      <c r="AM120" s="39">
        <f>資料儲存!E5972</f>
        <v>0</v>
      </c>
      <c r="AN120" s="39">
        <f>資料儲存!F5972</f>
        <v>0</v>
      </c>
      <c r="AO120" s="39">
        <f>資料儲存!G5972</f>
        <v>0</v>
      </c>
      <c r="AP120" s="39">
        <f>資料儲存!H5972</f>
        <v>0</v>
      </c>
      <c r="AQ120" s="39">
        <f>資料儲存!I5972</f>
        <v>0</v>
      </c>
      <c r="AR120" s="39">
        <f>資料儲存!J5972</f>
        <v>0</v>
      </c>
      <c r="AT120" s="62">
        <v>31</v>
      </c>
      <c r="AU120" s="39">
        <f>資料儲存!D6092</f>
        <v>0</v>
      </c>
      <c r="AV120" s="39">
        <f>資料儲存!E6092</f>
        <v>0</v>
      </c>
      <c r="AW120" s="39">
        <f>資料儲存!F6092</f>
        <v>0</v>
      </c>
      <c r="AX120" s="39">
        <f>資料儲存!G6092</f>
        <v>0</v>
      </c>
      <c r="AY120" s="39">
        <f>資料儲存!H6092</f>
        <v>0</v>
      </c>
      <c r="AZ120" s="39">
        <f>資料儲存!I6092</f>
        <v>0</v>
      </c>
      <c r="BA120" s="39">
        <f>資料儲存!J6092</f>
        <v>0</v>
      </c>
    </row>
    <row r="121" spans="1:53" s="59" customFormat="1" ht="16" thickBot="1">
      <c r="A121" s="62">
        <v>32</v>
      </c>
      <c r="B121" s="39">
        <f>資料儲存!D5493</f>
        <v>0</v>
      </c>
      <c r="C121" s="39">
        <f>資料儲存!E5493</f>
        <v>0</v>
      </c>
      <c r="D121" s="39">
        <f>資料儲存!F5493</f>
        <v>0</v>
      </c>
      <c r="E121" s="39">
        <f>資料儲存!G5493</f>
        <v>0</v>
      </c>
      <c r="F121" s="39">
        <f>資料儲存!H5493</f>
        <v>0</v>
      </c>
      <c r="G121" s="39">
        <f>資料儲存!I5493</f>
        <v>0</v>
      </c>
      <c r="H121" s="39">
        <f>資料儲存!J5493</f>
        <v>0</v>
      </c>
      <c r="I121" s="58"/>
      <c r="J121" s="62">
        <v>32</v>
      </c>
      <c r="K121" s="39">
        <f>資料儲存!D5613</f>
        <v>0</v>
      </c>
      <c r="L121" s="39">
        <f>資料儲存!E5613</f>
        <v>0</v>
      </c>
      <c r="M121" s="39">
        <f>資料儲存!F5613</f>
        <v>0</v>
      </c>
      <c r="N121" s="39">
        <f>資料儲存!G5613</f>
        <v>0</v>
      </c>
      <c r="O121" s="39">
        <f>資料儲存!H5613</f>
        <v>0</v>
      </c>
      <c r="P121" s="39">
        <f>資料儲存!I5613</f>
        <v>0</v>
      </c>
      <c r="Q121" s="39">
        <f>資料儲存!J5613</f>
        <v>0</v>
      </c>
      <c r="R121" s="58"/>
      <c r="S121" s="62">
        <v>32</v>
      </c>
      <c r="T121" s="39">
        <f>資料儲存!D5733</f>
        <v>0</v>
      </c>
      <c r="U121" s="39">
        <f>資料儲存!E5733</f>
        <v>0</v>
      </c>
      <c r="V121" s="39">
        <f>資料儲存!F5733</f>
        <v>0</v>
      </c>
      <c r="W121" s="39">
        <f>資料儲存!G5733</f>
        <v>0</v>
      </c>
      <c r="X121" s="39">
        <f>資料儲存!H5733</f>
        <v>0</v>
      </c>
      <c r="Y121" s="39">
        <f>資料儲存!I5733</f>
        <v>0</v>
      </c>
      <c r="Z121" s="39">
        <f>資料儲存!J5733</f>
        <v>0</v>
      </c>
      <c r="AA121" s="58"/>
      <c r="AB121" s="62">
        <v>32</v>
      </c>
      <c r="AC121" s="39">
        <f>資料儲存!D5853</f>
        <v>0</v>
      </c>
      <c r="AD121" s="39">
        <f>資料儲存!E5853</f>
        <v>0</v>
      </c>
      <c r="AE121" s="39">
        <f>資料儲存!F5853</f>
        <v>0</v>
      </c>
      <c r="AF121" s="39">
        <f>資料儲存!G5853</f>
        <v>0</v>
      </c>
      <c r="AG121" s="39">
        <f>資料儲存!H5853</f>
        <v>0</v>
      </c>
      <c r="AH121" s="39">
        <f>資料儲存!I5853</f>
        <v>0</v>
      </c>
      <c r="AI121" s="39">
        <f>資料儲存!J5853</f>
        <v>0</v>
      </c>
      <c r="AJ121" s="58"/>
      <c r="AK121" s="62">
        <v>32</v>
      </c>
      <c r="AL121" s="39">
        <f>資料儲存!D5973</f>
        <v>0</v>
      </c>
      <c r="AM121" s="39">
        <f>資料儲存!E5973</f>
        <v>0</v>
      </c>
      <c r="AN121" s="39">
        <f>資料儲存!F5973</f>
        <v>0</v>
      </c>
      <c r="AO121" s="39">
        <f>資料儲存!G5973</f>
        <v>0</v>
      </c>
      <c r="AP121" s="39">
        <f>資料儲存!H5973</f>
        <v>0</v>
      </c>
      <c r="AQ121" s="39">
        <f>資料儲存!I5973</f>
        <v>0</v>
      </c>
      <c r="AR121" s="39">
        <f>資料儲存!J5973</f>
        <v>0</v>
      </c>
      <c r="AT121" s="62">
        <v>32</v>
      </c>
      <c r="AU121" s="39">
        <f>資料儲存!D6093</f>
        <v>0</v>
      </c>
      <c r="AV121" s="39">
        <f>資料儲存!E6093</f>
        <v>0</v>
      </c>
      <c r="AW121" s="39">
        <f>資料儲存!F6093</f>
        <v>0</v>
      </c>
      <c r="AX121" s="39">
        <f>資料儲存!G6093</f>
        <v>0</v>
      </c>
      <c r="AY121" s="39">
        <f>資料儲存!H6093</f>
        <v>0</v>
      </c>
      <c r="AZ121" s="39">
        <f>資料儲存!I6093</f>
        <v>0</v>
      </c>
      <c r="BA121" s="39">
        <f>資料儲存!J6093</f>
        <v>0</v>
      </c>
    </row>
    <row r="122" spans="1:53" s="59" customFormat="1" ht="16" thickBot="1">
      <c r="A122" s="62">
        <v>33</v>
      </c>
      <c r="B122" s="39">
        <f>資料儲存!D5494</f>
        <v>0</v>
      </c>
      <c r="C122" s="39">
        <f>資料儲存!E5494</f>
        <v>0</v>
      </c>
      <c r="D122" s="39">
        <f>資料儲存!F5494</f>
        <v>0</v>
      </c>
      <c r="E122" s="39">
        <f>資料儲存!G5494</f>
        <v>0</v>
      </c>
      <c r="F122" s="39">
        <f>資料儲存!H5494</f>
        <v>0</v>
      </c>
      <c r="G122" s="39">
        <f>資料儲存!I5494</f>
        <v>0</v>
      </c>
      <c r="H122" s="39">
        <f>資料儲存!J5494</f>
        <v>0</v>
      </c>
      <c r="I122" s="58"/>
      <c r="J122" s="62">
        <v>33</v>
      </c>
      <c r="K122" s="39">
        <f>資料儲存!D5614</f>
        <v>0</v>
      </c>
      <c r="L122" s="39">
        <f>資料儲存!E5614</f>
        <v>0</v>
      </c>
      <c r="M122" s="39">
        <f>資料儲存!F5614</f>
        <v>0</v>
      </c>
      <c r="N122" s="39">
        <f>資料儲存!G5614</f>
        <v>0</v>
      </c>
      <c r="O122" s="39">
        <f>資料儲存!H5614</f>
        <v>0</v>
      </c>
      <c r="P122" s="39">
        <f>資料儲存!I5614</f>
        <v>0</v>
      </c>
      <c r="Q122" s="39">
        <f>資料儲存!J5614</f>
        <v>0</v>
      </c>
      <c r="R122" s="58"/>
      <c r="S122" s="62">
        <v>33</v>
      </c>
      <c r="T122" s="39">
        <f>資料儲存!D5734</f>
        <v>0</v>
      </c>
      <c r="U122" s="39">
        <f>資料儲存!E5734</f>
        <v>0</v>
      </c>
      <c r="V122" s="39">
        <f>資料儲存!F5734</f>
        <v>0</v>
      </c>
      <c r="W122" s="39">
        <f>資料儲存!G5734</f>
        <v>0</v>
      </c>
      <c r="X122" s="39">
        <f>資料儲存!H5734</f>
        <v>0</v>
      </c>
      <c r="Y122" s="39">
        <f>資料儲存!I5734</f>
        <v>0</v>
      </c>
      <c r="Z122" s="39">
        <f>資料儲存!J5734</f>
        <v>0</v>
      </c>
      <c r="AA122" s="58"/>
      <c r="AB122" s="62">
        <v>33</v>
      </c>
      <c r="AC122" s="39">
        <f>資料儲存!D5854</f>
        <v>0</v>
      </c>
      <c r="AD122" s="39">
        <f>資料儲存!E5854</f>
        <v>0</v>
      </c>
      <c r="AE122" s="39">
        <f>資料儲存!F5854</f>
        <v>0</v>
      </c>
      <c r="AF122" s="39">
        <f>資料儲存!G5854</f>
        <v>0</v>
      </c>
      <c r="AG122" s="39">
        <f>資料儲存!H5854</f>
        <v>0</v>
      </c>
      <c r="AH122" s="39">
        <f>資料儲存!I5854</f>
        <v>0</v>
      </c>
      <c r="AI122" s="39">
        <f>資料儲存!J5854</f>
        <v>0</v>
      </c>
      <c r="AJ122" s="58"/>
      <c r="AK122" s="62">
        <v>33</v>
      </c>
      <c r="AL122" s="39">
        <f>資料儲存!D5974</f>
        <v>0</v>
      </c>
      <c r="AM122" s="39">
        <f>資料儲存!E5974</f>
        <v>0</v>
      </c>
      <c r="AN122" s="39">
        <f>資料儲存!F5974</f>
        <v>0</v>
      </c>
      <c r="AO122" s="39">
        <f>資料儲存!G5974</f>
        <v>0</v>
      </c>
      <c r="AP122" s="39">
        <f>資料儲存!H5974</f>
        <v>0</v>
      </c>
      <c r="AQ122" s="39">
        <f>資料儲存!I5974</f>
        <v>0</v>
      </c>
      <c r="AR122" s="39">
        <f>資料儲存!J5974</f>
        <v>0</v>
      </c>
      <c r="AT122" s="62">
        <v>33</v>
      </c>
      <c r="AU122" s="39">
        <f>資料儲存!D6094</f>
        <v>0</v>
      </c>
      <c r="AV122" s="39">
        <f>資料儲存!E6094</f>
        <v>0</v>
      </c>
      <c r="AW122" s="39">
        <f>資料儲存!F6094</f>
        <v>0</v>
      </c>
      <c r="AX122" s="39">
        <f>資料儲存!G6094</f>
        <v>0</v>
      </c>
      <c r="AY122" s="39">
        <f>資料儲存!H6094</f>
        <v>0</v>
      </c>
      <c r="AZ122" s="39">
        <f>資料儲存!I6094</f>
        <v>0</v>
      </c>
      <c r="BA122" s="39">
        <f>資料儲存!J6094</f>
        <v>0</v>
      </c>
    </row>
    <row r="123" spans="1:53" s="59" customFormat="1" ht="16" thickBot="1">
      <c r="A123" s="62">
        <v>34</v>
      </c>
      <c r="B123" s="39">
        <f>資料儲存!D5495</f>
        <v>0</v>
      </c>
      <c r="C123" s="39">
        <f>資料儲存!E5495</f>
        <v>0</v>
      </c>
      <c r="D123" s="39">
        <f>資料儲存!F5495</f>
        <v>0</v>
      </c>
      <c r="E123" s="39">
        <f>資料儲存!G5495</f>
        <v>0</v>
      </c>
      <c r="F123" s="39">
        <f>資料儲存!H5495</f>
        <v>0</v>
      </c>
      <c r="G123" s="39">
        <f>資料儲存!I5495</f>
        <v>0</v>
      </c>
      <c r="H123" s="39">
        <f>資料儲存!J5495</f>
        <v>0</v>
      </c>
      <c r="I123" s="58"/>
      <c r="J123" s="62">
        <v>34</v>
      </c>
      <c r="K123" s="39">
        <f>資料儲存!D5615</f>
        <v>0</v>
      </c>
      <c r="L123" s="39">
        <f>資料儲存!E5615</f>
        <v>0</v>
      </c>
      <c r="M123" s="39">
        <f>資料儲存!F5615</f>
        <v>0</v>
      </c>
      <c r="N123" s="39">
        <f>資料儲存!G5615</f>
        <v>0</v>
      </c>
      <c r="O123" s="39">
        <f>資料儲存!H5615</f>
        <v>0</v>
      </c>
      <c r="P123" s="39">
        <f>資料儲存!I5615</f>
        <v>0</v>
      </c>
      <c r="Q123" s="39">
        <f>資料儲存!J5615</f>
        <v>0</v>
      </c>
      <c r="R123" s="58"/>
      <c r="S123" s="62">
        <v>34</v>
      </c>
      <c r="T123" s="39">
        <f>資料儲存!D5735</f>
        <v>0</v>
      </c>
      <c r="U123" s="39">
        <f>資料儲存!E5735</f>
        <v>0</v>
      </c>
      <c r="V123" s="39">
        <f>資料儲存!F5735</f>
        <v>0</v>
      </c>
      <c r="W123" s="39">
        <f>資料儲存!G5735</f>
        <v>0</v>
      </c>
      <c r="X123" s="39">
        <f>資料儲存!H5735</f>
        <v>0</v>
      </c>
      <c r="Y123" s="39">
        <f>資料儲存!I5735</f>
        <v>0</v>
      </c>
      <c r="Z123" s="39">
        <f>資料儲存!J5735</f>
        <v>0</v>
      </c>
      <c r="AA123" s="58"/>
      <c r="AB123" s="62">
        <v>34</v>
      </c>
      <c r="AC123" s="39">
        <f>資料儲存!D5855</f>
        <v>0</v>
      </c>
      <c r="AD123" s="39">
        <f>資料儲存!E5855</f>
        <v>0</v>
      </c>
      <c r="AE123" s="39">
        <f>資料儲存!F5855</f>
        <v>0</v>
      </c>
      <c r="AF123" s="39">
        <f>資料儲存!G5855</f>
        <v>0</v>
      </c>
      <c r="AG123" s="39">
        <f>資料儲存!H5855</f>
        <v>0</v>
      </c>
      <c r="AH123" s="39">
        <f>資料儲存!I5855</f>
        <v>0</v>
      </c>
      <c r="AI123" s="39">
        <f>資料儲存!J5855</f>
        <v>0</v>
      </c>
      <c r="AJ123" s="58"/>
      <c r="AK123" s="62">
        <v>34</v>
      </c>
      <c r="AL123" s="39">
        <f>資料儲存!D5975</f>
        <v>0</v>
      </c>
      <c r="AM123" s="39">
        <f>資料儲存!E5975</f>
        <v>0</v>
      </c>
      <c r="AN123" s="39">
        <f>資料儲存!F5975</f>
        <v>0</v>
      </c>
      <c r="AO123" s="39">
        <f>資料儲存!G5975</f>
        <v>0</v>
      </c>
      <c r="AP123" s="39">
        <f>資料儲存!H5975</f>
        <v>0</v>
      </c>
      <c r="AQ123" s="39">
        <f>資料儲存!I5975</f>
        <v>0</v>
      </c>
      <c r="AR123" s="39">
        <f>資料儲存!J5975</f>
        <v>0</v>
      </c>
      <c r="AT123" s="62">
        <v>34</v>
      </c>
      <c r="AU123" s="39">
        <f>資料儲存!D6095</f>
        <v>0</v>
      </c>
      <c r="AV123" s="39">
        <f>資料儲存!E6095</f>
        <v>0</v>
      </c>
      <c r="AW123" s="39">
        <f>資料儲存!F6095</f>
        <v>0</v>
      </c>
      <c r="AX123" s="39">
        <f>資料儲存!G6095</f>
        <v>0</v>
      </c>
      <c r="AY123" s="39">
        <f>資料儲存!H6095</f>
        <v>0</v>
      </c>
      <c r="AZ123" s="39">
        <f>資料儲存!I6095</f>
        <v>0</v>
      </c>
      <c r="BA123" s="39">
        <f>資料儲存!J6095</f>
        <v>0</v>
      </c>
    </row>
    <row r="124" spans="1:53" s="59" customFormat="1" ht="16" thickBot="1">
      <c r="A124" s="62">
        <v>35</v>
      </c>
      <c r="B124" s="39">
        <f>資料儲存!D5496</f>
        <v>0</v>
      </c>
      <c r="C124" s="39">
        <f>資料儲存!E5496</f>
        <v>0</v>
      </c>
      <c r="D124" s="39">
        <f>資料儲存!F5496</f>
        <v>0</v>
      </c>
      <c r="E124" s="39">
        <f>資料儲存!G5496</f>
        <v>0</v>
      </c>
      <c r="F124" s="39">
        <f>資料儲存!H5496</f>
        <v>0</v>
      </c>
      <c r="G124" s="39">
        <f>資料儲存!I5496</f>
        <v>0</v>
      </c>
      <c r="H124" s="39">
        <f>資料儲存!J5496</f>
        <v>0</v>
      </c>
      <c r="I124" s="58"/>
      <c r="J124" s="62">
        <v>35</v>
      </c>
      <c r="K124" s="39">
        <f>資料儲存!D5616</f>
        <v>0</v>
      </c>
      <c r="L124" s="39">
        <f>資料儲存!E5616</f>
        <v>0</v>
      </c>
      <c r="M124" s="39">
        <f>資料儲存!F5616</f>
        <v>0</v>
      </c>
      <c r="N124" s="39">
        <f>資料儲存!G5616</f>
        <v>0</v>
      </c>
      <c r="O124" s="39">
        <f>資料儲存!H5616</f>
        <v>0</v>
      </c>
      <c r="P124" s="39">
        <f>資料儲存!I5616</f>
        <v>0</v>
      </c>
      <c r="Q124" s="39">
        <f>資料儲存!J5616</f>
        <v>0</v>
      </c>
      <c r="R124" s="58"/>
      <c r="S124" s="62">
        <v>35</v>
      </c>
      <c r="T124" s="39">
        <f>資料儲存!D5736</f>
        <v>0</v>
      </c>
      <c r="U124" s="39">
        <f>資料儲存!E5736</f>
        <v>0</v>
      </c>
      <c r="V124" s="39">
        <f>資料儲存!F5736</f>
        <v>0</v>
      </c>
      <c r="W124" s="39">
        <f>資料儲存!G5736</f>
        <v>0</v>
      </c>
      <c r="X124" s="39">
        <f>資料儲存!H5736</f>
        <v>0</v>
      </c>
      <c r="Y124" s="39">
        <f>資料儲存!I5736</f>
        <v>0</v>
      </c>
      <c r="Z124" s="39">
        <f>資料儲存!J5736</f>
        <v>0</v>
      </c>
      <c r="AA124" s="58"/>
      <c r="AB124" s="62">
        <v>35</v>
      </c>
      <c r="AC124" s="39">
        <f>資料儲存!D5856</f>
        <v>0</v>
      </c>
      <c r="AD124" s="39">
        <f>資料儲存!E5856</f>
        <v>0</v>
      </c>
      <c r="AE124" s="39">
        <f>資料儲存!F5856</f>
        <v>0</v>
      </c>
      <c r="AF124" s="39">
        <f>資料儲存!G5856</f>
        <v>0</v>
      </c>
      <c r="AG124" s="39">
        <f>資料儲存!H5856</f>
        <v>0</v>
      </c>
      <c r="AH124" s="39">
        <f>資料儲存!I5856</f>
        <v>0</v>
      </c>
      <c r="AI124" s="39">
        <f>資料儲存!J5856</f>
        <v>0</v>
      </c>
      <c r="AJ124" s="58"/>
      <c r="AK124" s="62">
        <v>35</v>
      </c>
      <c r="AL124" s="39">
        <f>資料儲存!D5976</f>
        <v>0</v>
      </c>
      <c r="AM124" s="39">
        <f>資料儲存!E5976</f>
        <v>0</v>
      </c>
      <c r="AN124" s="39">
        <f>資料儲存!F5976</f>
        <v>0</v>
      </c>
      <c r="AO124" s="39">
        <f>資料儲存!G5976</f>
        <v>0</v>
      </c>
      <c r="AP124" s="39">
        <f>資料儲存!H5976</f>
        <v>0</v>
      </c>
      <c r="AQ124" s="39">
        <f>資料儲存!I5976</f>
        <v>0</v>
      </c>
      <c r="AR124" s="39">
        <f>資料儲存!J5976</f>
        <v>0</v>
      </c>
      <c r="AT124" s="62">
        <v>35</v>
      </c>
      <c r="AU124" s="39">
        <f>資料儲存!D6096</f>
        <v>0</v>
      </c>
      <c r="AV124" s="39">
        <f>資料儲存!E6096</f>
        <v>0</v>
      </c>
      <c r="AW124" s="39">
        <f>資料儲存!F6096</f>
        <v>0</v>
      </c>
      <c r="AX124" s="39">
        <f>資料儲存!G6096</f>
        <v>0</v>
      </c>
      <c r="AY124" s="39">
        <f>資料儲存!H6096</f>
        <v>0</v>
      </c>
      <c r="AZ124" s="39">
        <f>資料儲存!I6096</f>
        <v>0</v>
      </c>
      <c r="BA124" s="39">
        <f>資料儲存!J6096</f>
        <v>0</v>
      </c>
    </row>
    <row r="125" spans="1:53" s="59" customFormat="1" ht="16" thickBot="1">
      <c r="A125" s="62">
        <v>36</v>
      </c>
      <c r="B125" s="39">
        <f>資料儲存!D5497</f>
        <v>0</v>
      </c>
      <c r="C125" s="39">
        <f>資料儲存!E5497</f>
        <v>0</v>
      </c>
      <c r="D125" s="39">
        <f>資料儲存!F5497</f>
        <v>0</v>
      </c>
      <c r="E125" s="39">
        <f>資料儲存!G5497</f>
        <v>0</v>
      </c>
      <c r="F125" s="39">
        <f>資料儲存!H5497</f>
        <v>0</v>
      </c>
      <c r="G125" s="39">
        <f>資料儲存!I5497</f>
        <v>0</v>
      </c>
      <c r="H125" s="39">
        <f>資料儲存!J5497</f>
        <v>0</v>
      </c>
      <c r="I125" s="58"/>
      <c r="J125" s="62">
        <v>36</v>
      </c>
      <c r="K125" s="39">
        <f>資料儲存!D5617</f>
        <v>0</v>
      </c>
      <c r="L125" s="39">
        <f>資料儲存!E5617</f>
        <v>0</v>
      </c>
      <c r="M125" s="39">
        <f>資料儲存!F5617</f>
        <v>0</v>
      </c>
      <c r="N125" s="39">
        <f>資料儲存!G5617</f>
        <v>0</v>
      </c>
      <c r="O125" s="39">
        <f>資料儲存!H5617</f>
        <v>0</v>
      </c>
      <c r="P125" s="39">
        <f>資料儲存!I5617</f>
        <v>0</v>
      </c>
      <c r="Q125" s="39">
        <f>資料儲存!J5617</f>
        <v>0</v>
      </c>
      <c r="R125" s="58"/>
      <c r="S125" s="62">
        <v>36</v>
      </c>
      <c r="T125" s="39">
        <f>資料儲存!D5737</f>
        <v>0</v>
      </c>
      <c r="U125" s="39">
        <f>資料儲存!E5737</f>
        <v>0</v>
      </c>
      <c r="V125" s="39">
        <f>資料儲存!F5737</f>
        <v>0</v>
      </c>
      <c r="W125" s="39">
        <f>資料儲存!G5737</f>
        <v>0</v>
      </c>
      <c r="X125" s="39">
        <f>資料儲存!H5737</f>
        <v>0</v>
      </c>
      <c r="Y125" s="39">
        <f>資料儲存!I5737</f>
        <v>0</v>
      </c>
      <c r="Z125" s="39">
        <f>資料儲存!J5737</f>
        <v>0</v>
      </c>
      <c r="AA125" s="58"/>
      <c r="AB125" s="62">
        <v>36</v>
      </c>
      <c r="AC125" s="39">
        <f>資料儲存!D5857</f>
        <v>0</v>
      </c>
      <c r="AD125" s="39">
        <f>資料儲存!E5857</f>
        <v>0</v>
      </c>
      <c r="AE125" s="39">
        <f>資料儲存!F5857</f>
        <v>0</v>
      </c>
      <c r="AF125" s="39">
        <f>資料儲存!G5857</f>
        <v>0</v>
      </c>
      <c r="AG125" s="39">
        <f>資料儲存!H5857</f>
        <v>0</v>
      </c>
      <c r="AH125" s="39">
        <f>資料儲存!I5857</f>
        <v>0</v>
      </c>
      <c r="AI125" s="39">
        <f>資料儲存!J5857</f>
        <v>0</v>
      </c>
      <c r="AJ125" s="58"/>
      <c r="AK125" s="62">
        <v>36</v>
      </c>
      <c r="AL125" s="39">
        <f>資料儲存!D5977</f>
        <v>0</v>
      </c>
      <c r="AM125" s="39">
        <f>資料儲存!E5977</f>
        <v>0</v>
      </c>
      <c r="AN125" s="39">
        <f>資料儲存!F5977</f>
        <v>0</v>
      </c>
      <c r="AO125" s="39">
        <f>資料儲存!G5977</f>
        <v>0</v>
      </c>
      <c r="AP125" s="39">
        <f>資料儲存!H5977</f>
        <v>0</v>
      </c>
      <c r="AQ125" s="39">
        <f>資料儲存!I5977</f>
        <v>0</v>
      </c>
      <c r="AR125" s="39">
        <f>資料儲存!J5977</f>
        <v>0</v>
      </c>
      <c r="AT125" s="62">
        <v>36</v>
      </c>
      <c r="AU125" s="39">
        <f>資料儲存!D6097</f>
        <v>0</v>
      </c>
      <c r="AV125" s="39">
        <f>資料儲存!E6097</f>
        <v>0</v>
      </c>
      <c r="AW125" s="39">
        <f>資料儲存!F6097</f>
        <v>0</v>
      </c>
      <c r="AX125" s="39">
        <f>資料儲存!G6097</f>
        <v>0</v>
      </c>
      <c r="AY125" s="39">
        <f>資料儲存!H6097</f>
        <v>0</v>
      </c>
      <c r="AZ125" s="39">
        <f>資料儲存!I6097</f>
        <v>0</v>
      </c>
      <c r="BA125" s="39">
        <f>資料儲存!J6097</f>
        <v>0</v>
      </c>
    </row>
    <row r="126" spans="1:53" s="59" customFormat="1" ht="16" thickBot="1">
      <c r="A126" s="62">
        <v>37</v>
      </c>
      <c r="B126" s="39">
        <f>資料儲存!D5498</f>
        <v>0</v>
      </c>
      <c r="C126" s="39">
        <f>資料儲存!E5498</f>
        <v>0</v>
      </c>
      <c r="D126" s="39">
        <f>資料儲存!F5498</f>
        <v>0</v>
      </c>
      <c r="E126" s="39">
        <f>資料儲存!G5498</f>
        <v>0</v>
      </c>
      <c r="F126" s="39">
        <f>資料儲存!H5498</f>
        <v>0</v>
      </c>
      <c r="G126" s="39">
        <f>資料儲存!I5498</f>
        <v>0</v>
      </c>
      <c r="H126" s="39">
        <f>資料儲存!J5498</f>
        <v>0</v>
      </c>
      <c r="I126" s="58"/>
      <c r="J126" s="62">
        <v>37</v>
      </c>
      <c r="K126" s="39">
        <f>資料儲存!D5618</f>
        <v>0</v>
      </c>
      <c r="L126" s="39">
        <f>資料儲存!E5618</f>
        <v>0</v>
      </c>
      <c r="M126" s="39">
        <f>資料儲存!F5618</f>
        <v>0</v>
      </c>
      <c r="N126" s="39">
        <f>資料儲存!G5618</f>
        <v>0</v>
      </c>
      <c r="O126" s="39">
        <f>資料儲存!H5618</f>
        <v>0</v>
      </c>
      <c r="P126" s="39">
        <f>資料儲存!I5618</f>
        <v>0</v>
      </c>
      <c r="Q126" s="39">
        <f>資料儲存!J5618</f>
        <v>0</v>
      </c>
      <c r="R126" s="58"/>
      <c r="S126" s="62">
        <v>37</v>
      </c>
      <c r="T126" s="39">
        <f>資料儲存!D5738</f>
        <v>0</v>
      </c>
      <c r="U126" s="39">
        <f>資料儲存!E5738</f>
        <v>0</v>
      </c>
      <c r="V126" s="39">
        <f>資料儲存!F5738</f>
        <v>0</v>
      </c>
      <c r="W126" s="39">
        <f>資料儲存!G5738</f>
        <v>0</v>
      </c>
      <c r="X126" s="39">
        <f>資料儲存!H5738</f>
        <v>0</v>
      </c>
      <c r="Y126" s="39">
        <f>資料儲存!I5738</f>
        <v>0</v>
      </c>
      <c r="Z126" s="39">
        <f>資料儲存!J5738</f>
        <v>0</v>
      </c>
      <c r="AA126" s="58"/>
      <c r="AB126" s="62">
        <v>37</v>
      </c>
      <c r="AC126" s="39">
        <f>資料儲存!D5858</f>
        <v>0</v>
      </c>
      <c r="AD126" s="39">
        <f>資料儲存!E5858</f>
        <v>0</v>
      </c>
      <c r="AE126" s="39">
        <f>資料儲存!F5858</f>
        <v>0</v>
      </c>
      <c r="AF126" s="39">
        <f>資料儲存!G5858</f>
        <v>0</v>
      </c>
      <c r="AG126" s="39">
        <f>資料儲存!H5858</f>
        <v>0</v>
      </c>
      <c r="AH126" s="39">
        <f>資料儲存!I5858</f>
        <v>0</v>
      </c>
      <c r="AI126" s="39">
        <f>資料儲存!J5858</f>
        <v>0</v>
      </c>
      <c r="AJ126" s="58"/>
      <c r="AK126" s="62">
        <v>37</v>
      </c>
      <c r="AL126" s="39">
        <f>資料儲存!D5978</f>
        <v>0</v>
      </c>
      <c r="AM126" s="39">
        <f>資料儲存!E5978</f>
        <v>0</v>
      </c>
      <c r="AN126" s="39">
        <f>資料儲存!F5978</f>
        <v>0</v>
      </c>
      <c r="AO126" s="39">
        <f>資料儲存!G5978</f>
        <v>0</v>
      </c>
      <c r="AP126" s="39">
        <f>資料儲存!H5978</f>
        <v>0</v>
      </c>
      <c r="AQ126" s="39">
        <f>資料儲存!I5978</f>
        <v>0</v>
      </c>
      <c r="AR126" s="39">
        <f>資料儲存!J5978</f>
        <v>0</v>
      </c>
      <c r="AT126" s="62">
        <v>37</v>
      </c>
      <c r="AU126" s="39">
        <f>資料儲存!D6098</f>
        <v>0</v>
      </c>
      <c r="AV126" s="39">
        <f>資料儲存!E6098</f>
        <v>0</v>
      </c>
      <c r="AW126" s="39">
        <f>資料儲存!F6098</f>
        <v>0</v>
      </c>
      <c r="AX126" s="39">
        <f>資料儲存!G6098</f>
        <v>0</v>
      </c>
      <c r="AY126" s="39">
        <f>資料儲存!H6098</f>
        <v>0</v>
      </c>
      <c r="AZ126" s="39">
        <f>資料儲存!I6098</f>
        <v>0</v>
      </c>
      <c r="BA126" s="39">
        <f>資料儲存!J6098</f>
        <v>0</v>
      </c>
    </row>
    <row r="127" spans="1:53" s="59" customFormat="1" ht="16" thickBot="1">
      <c r="A127" s="62">
        <v>38</v>
      </c>
      <c r="B127" s="39">
        <f>資料儲存!D5499</f>
        <v>0</v>
      </c>
      <c r="C127" s="39">
        <f>資料儲存!E5499</f>
        <v>0</v>
      </c>
      <c r="D127" s="39">
        <f>資料儲存!F5499</f>
        <v>0</v>
      </c>
      <c r="E127" s="39">
        <f>資料儲存!G5499</f>
        <v>0</v>
      </c>
      <c r="F127" s="39">
        <f>資料儲存!H5499</f>
        <v>0</v>
      </c>
      <c r="G127" s="39">
        <f>資料儲存!I5499</f>
        <v>0</v>
      </c>
      <c r="H127" s="39">
        <f>資料儲存!J5499</f>
        <v>0</v>
      </c>
      <c r="I127" s="58"/>
      <c r="J127" s="62">
        <v>38</v>
      </c>
      <c r="K127" s="39">
        <f>資料儲存!D5619</f>
        <v>0</v>
      </c>
      <c r="L127" s="39">
        <f>資料儲存!E5619</f>
        <v>0</v>
      </c>
      <c r="M127" s="39">
        <f>資料儲存!F5619</f>
        <v>0</v>
      </c>
      <c r="N127" s="39">
        <f>資料儲存!G5619</f>
        <v>0</v>
      </c>
      <c r="O127" s="39">
        <f>資料儲存!H5619</f>
        <v>0</v>
      </c>
      <c r="P127" s="39">
        <f>資料儲存!I5619</f>
        <v>0</v>
      </c>
      <c r="Q127" s="39">
        <f>資料儲存!J5619</f>
        <v>0</v>
      </c>
      <c r="R127" s="58"/>
      <c r="S127" s="62">
        <v>38</v>
      </c>
      <c r="T127" s="39">
        <f>資料儲存!D5739</f>
        <v>0</v>
      </c>
      <c r="U127" s="39">
        <f>資料儲存!E5739</f>
        <v>0</v>
      </c>
      <c r="V127" s="39">
        <f>資料儲存!F5739</f>
        <v>0</v>
      </c>
      <c r="W127" s="39">
        <f>資料儲存!G5739</f>
        <v>0</v>
      </c>
      <c r="X127" s="39">
        <f>資料儲存!H5739</f>
        <v>0</v>
      </c>
      <c r="Y127" s="39">
        <f>資料儲存!I5739</f>
        <v>0</v>
      </c>
      <c r="Z127" s="39">
        <f>資料儲存!J5739</f>
        <v>0</v>
      </c>
      <c r="AA127" s="58"/>
      <c r="AB127" s="62">
        <v>38</v>
      </c>
      <c r="AC127" s="39">
        <f>資料儲存!D5859</f>
        <v>0</v>
      </c>
      <c r="AD127" s="39">
        <f>資料儲存!E5859</f>
        <v>0</v>
      </c>
      <c r="AE127" s="39">
        <f>資料儲存!F5859</f>
        <v>0</v>
      </c>
      <c r="AF127" s="39">
        <f>資料儲存!G5859</f>
        <v>0</v>
      </c>
      <c r="AG127" s="39">
        <f>資料儲存!H5859</f>
        <v>0</v>
      </c>
      <c r="AH127" s="39">
        <f>資料儲存!I5859</f>
        <v>0</v>
      </c>
      <c r="AI127" s="39">
        <f>資料儲存!J5859</f>
        <v>0</v>
      </c>
      <c r="AJ127" s="58"/>
      <c r="AK127" s="62">
        <v>38</v>
      </c>
      <c r="AL127" s="39">
        <f>資料儲存!D5979</f>
        <v>0</v>
      </c>
      <c r="AM127" s="39">
        <f>資料儲存!E5979</f>
        <v>0</v>
      </c>
      <c r="AN127" s="39">
        <f>資料儲存!F5979</f>
        <v>0</v>
      </c>
      <c r="AO127" s="39">
        <f>資料儲存!G5979</f>
        <v>0</v>
      </c>
      <c r="AP127" s="39">
        <f>資料儲存!H5979</f>
        <v>0</v>
      </c>
      <c r="AQ127" s="39">
        <f>資料儲存!I5979</f>
        <v>0</v>
      </c>
      <c r="AR127" s="39">
        <f>資料儲存!J5979</f>
        <v>0</v>
      </c>
      <c r="AT127" s="62">
        <v>38</v>
      </c>
      <c r="AU127" s="39">
        <f>資料儲存!D6099</f>
        <v>0</v>
      </c>
      <c r="AV127" s="39">
        <f>資料儲存!E6099</f>
        <v>0</v>
      </c>
      <c r="AW127" s="39">
        <f>資料儲存!F6099</f>
        <v>0</v>
      </c>
      <c r="AX127" s="39">
        <f>資料儲存!G6099</f>
        <v>0</v>
      </c>
      <c r="AY127" s="39">
        <f>資料儲存!H6099</f>
        <v>0</v>
      </c>
      <c r="AZ127" s="39">
        <f>資料儲存!I6099</f>
        <v>0</v>
      </c>
      <c r="BA127" s="39">
        <f>資料儲存!J6099</f>
        <v>0</v>
      </c>
    </row>
    <row r="128" spans="1:53" s="59" customFormat="1" ht="16" thickBot="1">
      <c r="A128" s="62">
        <v>39</v>
      </c>
      <c r="B128" s="39">
        <f>資料儲存!D5500</f>
        <v>0</v>
      </c>
      <c r="C128" s="39">
        <f>資料儲存!E5500</f>
        <v>0</v>
      </c>
      <c r="D128" s="39">
        <f>資料儲存!F5500</f>
        <v>0</v>
      </c>
      <c r="E128" s="39">
        <f>資料儲存!G5500</f>
        <v>0</v>
      </c>
      <c r="F128" s="39">
        <f>資料儲存!H5500</f>
        <v>0</v>
      </c>
      <c r="G128" s="39">
        <f>資料儲存!I5500</f>
        <v>0</v>
      </c>
      <c r="H128" s="39">
        <f>資料儲存!J5500</f>
        <v>0</v>
      </c>
      <c r="I128" s="58"/>
      <c r="J128" s="62">
        <v>39</v>
      </c>
      <c r="K128" s="39">
        <f>資料儲存!D5620</f>
        <v>0</v>
      </c>
      <c r="L128" s="39">
        <f>資料儲存!E5620</f>
        <v>0</v>
      </c>
      <c r="M128" s="39">
        <f>資料儲存!F5620</f>
        <v>0</v>
      </c>
      <c r="N128" s="39">
        <f>資料儲存!G5620</f>
        <v>0</v>
      </c>
      <c r="O128" s="39">
        <f>資料儲存!H5620</f>
        <v>0</v>
      </c>
      <c r="P128" s="39">
        <f>資料儲存!I5620</f>
        <v>0</v>
      </c>
      <c r="Q128" s="39">
        <f>資料儲存!J5620</f>
        <v>0</v>
      </c>
      <c r="R128" s="58"/>
      <c r="S128" s="62">
        <v>39</v>
      </c>
      <c r="T128" s="39">
        <f>資料儲存!D5740</f>
        <v>0</v>
      </c>
      <c r="U128" s="39">
        <f>資料儲存!E5740</f>
        <v>0</v>
      </c>
      <c r="V128" s="39">
        <f>資料儲存!F5740</f>
        <v>0</v>
      </c>
      <c r="W128" s="39">
        <f>資料儲存!G5740</f>
        <v>0</v>
      </c>
      <c r="X128" s="39">
        <f>資料儲存!H5740</f>
        <v>0</v>
      </c>
      <c r="Y128" s="39">
        <f>資料儲存!I5740</f>
        <v>0</v>
      </c>
      <c r="Z128" s="39">
        <f>資料儲存!J5740</f>
        <v>0</v>
      </c>
      <c r="AA128" s="58"/>
      <c r="AB128" s="62">
        <v>39</v>
      </c>
      <c r="AC128" s="39">
        <f>資料儲存!D5860</f>
        <v>0</v>
      </c>
      <c r="AD128" s="39">
        <f>資料儲存!E5860</f>
        <v>0</v>
      </c>
      <c r="AE128" s="39">
        <f>資料儲存!F5860</f>
        <v>0</v>
      </c>
      <c r="AF128" s="39">
        <f>資料儲存!G5860</f>
        <v>0</v>
      </c>
      <c r="AG128" s="39">
        <f>資料儲存!H5860</f>
        <v>0</v>
      </c>
      <c r="AH128" s="39">
        <f>資料儲存!I5860</f>
        <v>0</v>
      </c>
      <c r="AI128" s="39">
        <f>資料儲存!J5860</f>
        <v>0</v>
      </c>
      <c r="AJ128" s="58"/>
      <c r="AK128" s="62">
        <v>39</v>
      </c>
      <c r="AL128" s="39">
        <f>資料儲存!D5980</f>
        <v>0</v>
      </c>
      <c r="AM128" s="39">
        <f>資料儲存!E5980</f>
        <v>0</v>
      </c>
      <c r="AN128" s="39">
        <f>資料儲存!F5980</f>
        <v>0</v>
      </c>
      <c r="AO128" s="39">
        <f>資料儲存!G5980</f>
        <v>0</v>
      </c>
      <c r="AP128" s="39">
        <f>資料儲存!H5980</f>
        <v>0</v>
      </c>
      <c r="AQ128" s="39">
        <f>資料儲存!I5980</f>
        <v>0</v>
      </c>
      <c r="AR128" s="39">
        <f>資料儲存!J5980</f>
        <v>0</v>
      </c>
      <c r="AT128" s="62">
        <v>39</v>
      </c>
      <c r="AU128" s="39">
        <f>資料儲存!D6100</f>
        <v>0</v>
      </c>
      <c r="AV128" s="39">
        <f>資料儲存!E6100</f>
        <v>0</v>
      </c>
      <c r="AW128" s="39">
        <f>資料儲存!F6100</f>
        <v>0</v>
      </c>
      <c r="AX128" s="39">
        <f>資料儲存!G6100</f>
        <v>0</v>
      </c>
      <c r="AY128" s="39">
        <f>資料儲存!H6100</f>
        <v>0</v>
      </c>
      <c r="AZ128" s="39">
        <f>資料儲存!I6100</f>
        <v>0</v>
      </c>
      <c r="BA128" s="39">
        <f>資料儲存!J6100</f>
        <v>0</v>
      </c>
    </row>
    <row r="129" spans="1:53" s="59" customFormat="1" ht="16" thickBot="1">
      <c r="A129" s="62">
        <v>40</v>
      </c>
      <c r="B129" s="39">
        <f>資料儲存!D5501</f>
        <v>0</v>
      </c>
      <c r="C129" s="39">
        <f>資料儲存!E5501</f>
        <v>0</v>
      </c>
      <c r="D129" s="39">
        <f>資料儲存!F5501</f>
        <v>0</v>
      </c>
      <c r="E129" s="39">
        <f>資料儲存!G5501</f>
        <v>0</v>
      </c>
      <c r="F129" s="39">
        <f>資料儲存!H5501</f>
        <v>0</v>
      </c>
      <c r="G129" s="39">
        <f>資料儲存!I5501</f>
        <v>0</v>
      </c>
      <c r="H129" s="39">
        <f>資料儲存!J5501</f>
        <v>0</v>
      </c>
      <c r="I129" s="58"/>
      <c r="J129" s="62">
        <v>40</v>
      </c>
      <c r="K129" s="39">
        <f>資料儲存!D5621</f>
        <v>0</v>
      </c>
      <c r="L129" s="39">
        <f>資料儲存!E5621</f>
        <v>0</v>
      </c>
      <c r="M129" s="39">
        <f>資料儲存!F5621</f>
        <v>0</v>
      </c>
      <c r="N129" s="39">
        <f>資料儲存!G5621</f>
        <v>0</v>
      </c>
      <c r="O129" s="39">
        <f>資料儲存!H5621</f>
        <v>0</v>
      </c>
      <c r="P129" s="39">
        <f>資料儲存!I5621</f>
        <v>0</v>
      </c>
      <c r="Q129" s="39">
        <f>資料儲存!J5621</f>
        <v>0</v>
      </c>
      <c r="R129" s="58"/>
      <c r="S129" s="62">
        <v>40</v>
      </c>
      <c r="T129" s="39">
        <f>資料儲存!D5741</f>
        <v>0</v>
      </c>
      <c r="U129" s="39">
        <f>資料儲存!E5741</f>
        <v>0</v>
      </c>
      <c r="V129" s="39">
        <f>資料儲存!F5741</f>
        <v>0</v>
      </c>
      <c r="W129" s="39">
        <f>資料儲存!G5741</f>
        <v>0</v>
      </c>
      <c r="X129" s="39">
        <f>資料儲存!H5741</f>
        <v>0</v>
      </c>
      <c r="Y129" s="39">
        <f>資料儲存!I5741</f>
        <v>0</v>
      </c>
      <c r="Z129" s="39">
        <f>資料儲存!J5741</f>
        <v>0</v>
      </c>
      <c r="AA129" s="58"/>
      <c r="AB129" s="62">
        <v>40</v>
      </c>
      <c r="AC129" s="39">
        <f>資料儲存!D5861</f>
        <v>0</v>
      </c>
      <c r="AD129" s="39">
        <f>資料儲存!E5861</f>
        <v>0</v>
      </c>
      <c r="AE129" s="39">
        <f>資料儲存!F5861</f>
        <v>0</v>
      </c>
      <c r="AF129" s="39">
        <f>資料儲存!G5861</f>
        <v>0</v>
      </c>
      <c r="AG129" s="39">
        <f>資料儲存!H5861</f>
        <v>0</v>
      </c>
      <c r="AH129" s="39">
        <f>資料儲存!I5861</f>
        <v>0</v>
      </c>
      <c r="AI129" s="39">
        <f>資料儲存!J5861</f>
        <v>0</v>
      </c>
      <c r="AJ129" s="58"/>
      <c r="AK129" s="62">
        <v>40</v>
      </c>
      <c r="AL129" s="39">
        <f>資料儲存!D5981</f>
        <v>0</v>
      </c>
      <c r="AM129" s="39">
        <f>資料儲存!E5981</f>
        <v>0</v>
      </c>
      <c r="AN129" s="39">
        <f>資料儲存!F5981</f>
        <v>0</v>
      </c>
      <c r="AO129" s="39">
        <f>資料儲存!G5981</f>
        <v>0</v>
      </c>
      <c r="AP129" s="39">
        <f>資料儲存!H5981</f>
        <v>0</v>
      </c>
      <c r="AQ129" s="39">
        <f>資料儲存!I5981</f>
        <v>0</v>
      </c>
      <c r="AR129" s="39">
        <f>資料儲存!J5981</f>
        <v>0</v>
      </c>
      <c r="AT129" s="62">
        <v>40</v>
      </c>
      <c r="AU129" s="39">
        <f>資料儲存!D6101</f>
        <v>0</v>
      </c>
      <c r="AV129" s="39">
        <f>資料儲存!E6101</f>
        <v>0</v>
      </c>
      <c r="AW129" s="39">
        <f>資料儲存!F6101</f>
        <v>0</v>
      </c>
      <c r="AX129" s="39">
        <f>資料儲存!G6101</f>
        <v>0</v>
      </c>
      <c r="AY129" s="39">
        <f>資料儲存!H6101</f>
        <v>0</v>
      </c>
      <c r="AZ129" s="39">
        <f>資料儲存!I6101</f>
        <v>0</v>
      </c>
      <c r="BA129" s="39">
        <f>資料儲存!J6101</f>
        <v>0</v>
      </c>
    </row>
    <row r="130" spans="1:53" s="59" customFormat="1" ht="16" thickBot="1">
      <c r="A130" s="62">
        <v>41</v>
      </c>
      <c r="B130" s="39">
        <f>資料儲存!D5502</f>
        <v>0</v>
      </c>
      <c r="C130" s="39">
        <f>資料儲存!E5502</f>
        <v>0</v>
      </c>
      <c r="D130" s="39">
        <f>資料儲存!F5502</f>
        <v>0</v>
      </c>
      <c r="E130" s="39">
        <f>資料儲存!G5502</f>
        <v>0</v>
      </c>
      <c r="F130" s="39">
        <f>資料儲存!H5502</f>
        <v>0</v>
      </c>
      <c r="G130" s="39">
        <f>資料儲存!I5502</f>
        <v>0</v>
      </c>
      <c r="H130" s="39">
        <f>資料儲存!J5502</f>
        <v>0</v>
      </c>
      <c r="I130" s="58"/>
      <c r="J130" s="62">
        <v>41</v>
      </c>
      <c r="K130" s="39">
        <f>資料儲存!D5622</f>
        <v>0</v>
      </c>
      <c r="L130" s="39">
        <f>資料儲存!E5622</f>
        <v>0</v>
      </c>
      <c r="M130" s="39">
        <f>資料儲存!F5622</f>
        <v>0</v>
      </c>
      <c r="N130" s="39">
        <f>資料儲存!G5622</f>
        <v>0</v>
      </c>
      <c r="O130" s="39">
        <f>資料儲存!H5622</f>
        <v>0</v>
      </c>
      <c r="P130" s="39">
        <f>資料儲存!I5622</f>
        <v>0</v>
      </c>
      <c r="Q130" s="39">
        <f>資料儲存!J5622</f>
        <v>0</v>
      </c>
      <c r="R130" s="58"/>
      <c r="S130" s="62">
        <v>41</v>
      </c>
      <c r="T130" s="39">
        <f>資料儲存!D5742</f>
        <v>0</v>
      </c>
      <c r="U130" s="39">
        <f>資料儲存!E5742</f>
        <v>0</v>
      </c>
      <c r="V130" s="39">
        <f>資料儲存!F5742</f>
        <v>0</v>
      </c>
      <c r="W130" s="39">
        <f>資料儲存!G5742</f>
        <v>0</v>
      </c>
      <c r="X130" s="39">
        <f>資料儲存!H5742</f>
        <v>0</v>
      </c>
      <c r="Y130" s="39">
        <f>資料儲存!I5742</f>
        <v>0</v>
      </c>
      <c r="Z130" s="39">
        <f>資料儲存!J5742</f>
        <v>0</v>
      </c>
      <c r="AA130" s="58"/>
      <c r="AB130" s="62">
        <v>41</v>
      </c>
      <c r="AC130" s="39">
        <f>資料儲存!D5862</f>
        <v>0</v>
      </c>
      <c r="AD130" s="39">
        <f>資料儲存!E5862</f>
        <v>0</v>
      </c>
      <c r="AE130" s="39">
        <f>資料儲存!F5862</f>
        <v>0</v>
      </c>
      <c r="AF130" s="39">
        <f>資料儲存!G5862</f>
        <v>0</v>
      </c>
      <c r="AG130" s="39">
        <f>資料儲存!H5862</f>
        <v>0</v>
      </c>
      <c r="AH130" s="39">
        <f>資料儲存!I5862</f>
        <v>0</v>
      </c>
      <c r="AI130" s="39">
        <f>資料儲存!J5862</f>
        <v>0</v>
      </c>
      <c r="AJ130" s="58"/>
      <c r="AK130" s="62">
        <v>41</v>
      </c>
      <c r="AL130" s="39">
        <f>資料儲存!D5982</f>
        <v>0</v>
      </c>
      <c r="AM130" s="39">
        <f>資料儲存!E5982</f>
        <v>0</v>
      </c>
      <c r="AN130" s="39">
        <f>資料儲存!F5982</f>
        <v>0</v>
      </c>
      <c r="AO130" s="39">
        <f>資料儲存!G5982</f>
        <v>0</v>
      </c>
      <c r="AP130" s="39">
        <f>資料儲存!H5982</f>
        <v>0</v>
      </c>
      <c r="AQ130" s="39">
        <f>資料儲存!I5982</f>
        <v>0</v>
      </c>
      <c r="AR130" s="39">
        <f>資料儲存!J5982</f>
        <v>0</v>
      </c>
      <c r="AT130" s="62">
        <v>41</v>
      </c>
      <c r="AU130" s="39">
        <f>資料儲存!D6102</f>
        <v>0</v>
      </c>
      <c r="AV130" s="39">
        <f>資料儲存!E6102</f>
        <v>0</v>
      </c>
      <c r="AW130" s="39">
        <f>資料儲存!F6102</f>
        <v>0</v>
      </c>
      <c r="AX130" s="39">
        <f>資料儲存!G6102</f>
        <v>0</v>
      </c>
      <c r="AY130" s="39">
        <f>資料儲存!H6102</f>
        <v>0</v>
      </c>
      <c r="AZ130" s="39">
        <f>資料儲存!I6102</f>
        <v>0</v>
      </c>
      <c r="BA130" s="39">
        <f>資料儲存!J6102</f>
        <v>0</v>
      </c>
    </row>
    <row r="131" spans="1:53" s="59" customFormat="1" ht="16" thickBot="1">
      <c r="A131" s="62">
        <v>42</v>
      </c>
      <c r="B131" s="39">
        <f>資料儲存!D5503</f>
        <v>0</v>
      </c>
      <c r="C131" s="39">
        <f>資料儲存!E5503</f>
        <v>0</v>
      </c>
      <c r="D131" s="39">
        <f>資料儲存!F5503</f>
        <v>0</v>
      </c>
      <c r="E131" s="39">
        <f>資料儲存!G5503</f>
        <v>0</v>
      </c>
      <c r="F131" s="39">
        <f>資料儲存!H5503</f>
        <v>0</v>
      </c>
      <c r="G131" s="39">
        <f>資料儲存!I5503</f>
        <v>0</v>
      </c>
      <c r="H131" s="39">
        <f>資料儲存!J5503</f>
        <v>0</v>
      </c>
      <c r="I131" s="58"/>
      <c r="J131" s="62">
        <v>42</v>
      </c>
      <c r="K131" s="39">
        <f>資料儲存!D5623</f>
        <v>0</v>
      </c>
      <c r="L131" s="39">
        <f>資料儲存!E5623</f>
        <v>0</v>
      </c>
      <c r="M131" s="39">
        <f>資料儲存!F5623</f>
        <v>0</v>
      </c>
      <c r="N131" s="39">
        <f>資料儲存!G5623</f>
        <v>0</v>
      </c>
      <c r="O131" s="39">
        <f>資料儲存!H5623</f>
        <v>0</v>
      </c>
      <c r="P131" s="39">
        <f>資料儲存!I5623</f>
        <v>0</v>
      </c>
      <c r="Q131" s="39">
        <f>資料儲存!J5623</f>
        <v>0</v>
      </c>
      <c r="R131" s="58"/>
      <c r="S131" s="62">
        <v>42</v>
      </c>
      <c r="T131" s="39">
        <f>資料儲存!D5743</f>
        <v>0</v>
      </c>
      <c r="U131" s="39">
        <f>資料儲存!E5743</f>
        <v>0</v>
      </c>
      <c r="V131" s="39">
        <f>資料儲存!F5743</f>
        <v>0</v>
      </c>
      <c r="W131" s="39">
        <f>資料儲存!G5743</f>
        <v>0</v>
      </c>
      <c r="X131" s="39">
        <f>資料儲存!H5743</f>
        <v>0</v>
      </c>
      <c r="Y131" s="39">
        <f>資料儲存!I5743</f>
        <v>0</v>
      </c>
      <c r="Z131" s="39">
        <f>資料儲存!J5743</f>
        <v>0</v>
      </c>
      <c r="AA131" s="58"/>
      <c r="AB131" s="62">
        <v>42</v>
      </c>
      <c r="AC131" s="39">
        <f>資料儲存!D5863</f>
        <v>0</v>
      </c>
      <c r="AD131" s="39">
        <f>資料儲存!E5863</f>
        <v>0</v>
      </c>
      <c r="AE131" s="39">
        <f>資料儲存!F5863</f>
        <v>0</v>
      </c>
      <c r="AF131" s="39">
        <f>資料儲存!G5863</f>
        <v>0</v>
      </c>
      <c r="AG131" s="39">
        <f>資料儲存!H5863</f>
        <v>0</v>
      </c>
      <c r="AH131" s="39">
        <f>資料儲存!I5863</f>
        <v>0</v>
      </c>
      <c r="AI131" s="39">
        <f>資料儲存!J5863</f>
        <v>0</v>
      </c>
      <c r="AJ131" s="58"/>
      <c r="AK131" s="62">
        <v>42</v>
      </c>
      <c r="AL131" s="39">
        <f>資料儲存!D5983</f>
        <v>0</v>
      </c>
      <c r="AM131" s="39">
        <f>資料儲存!E5983</f>
        <v>0</v>
      </c>
      <c r="AN131" s="39">
        <f>資料儲存!F5983</f>
        <v>0</v>
      </c>
      <c r="AO131" s="39">
        <f>資料儲存!G5983</f>
        <v>0</v>
      </c>
      <c r="AP131" s="39">
        <f>資料儲存!H5983</f>
        <v>0</v>
      </c>
      <c r="AQ131" s="39">
        <f>資料儲存!I5983</f>
        <v>0</v>
      </c>
      <c r="AR131" s="39">
        <f>資料儲存!J5983</f>
        <v>0</v>
      </c>
      <c r="AT131" s="62">
        <v>42</v>
      </c>
      <c r="AU131" s="39">
        <f>資料儲存!D6103</f>
        <v>0</v>
      </c>
      <c r="AV131" s="39">
        <f>資料儲存!E6103</f>
        <v>0</v>
      </c>
      <c r="AW131" s="39">
        <f>資料儲存!F6103</f>
        <v>0</v>
      </c>
      <c r="AX131" s="39">
        <f>資料儲存!G6103</f>
        <v>0</v>
      </c>
      <c r="AY131" s="39">
        <f>資料儲存!H6103</f>
        <v>0</v>
      </c>
      <c r="AZ131" s="39">
        <f>資料儲存!I6103</f>
        <v>0</v>
      </c>
      <c r="BA131" s="39">
        <f>資料儲存!J6103</f>
        <v>0</v>
      </c>
    </row>
    <row r="132" spans="1:53" s="59" customFormat="1" ht="16" thickBot="1">
      <c r="A132" s="62">
        <v>43</v>
      </c>
      <c r="B132" s="39">
        <f>資料儲存!D5504</f>
        <v>0</v>
      </c>
      <c r="C132" s="39">
        <f>資料儲存!E5504</f>
        <v>0</v>
      </c>
      <c r="D132" s="39">
        <f>資料儲存!F5504</f>
        <v>0</v>
      </c>
      <c r="E132" s="39">
        <f>資料儲存!G5504</f>
        <v>0</v>
      </c>
      <c r="F132" s="39">
        <f>資料儲存!H5504</f>
        <v>0</v>
      </c>
      <c r="G132" s="39">
        <f>資料儲存!I5504</f>
        <v>0</v>
      </c>
      <c r="H132" s="39">
        <f>資料儲存!J5504</f>
        <v>0</v>
      </c>
      <c r="I132" s="58"/>
      <c r="J132" s="62">
        <v>43</v>
      </c>
      <c r="K132" s="39">
        <f>資料儲存!D5624</f>
        <v>0</v>
      </c>
      <c r="L132" s="39">
        <f>資料儲存!E5624</f>
        <v>0</v>
      </c>
      <c r="M132" s="39">
        <f>資料儲存!F5624</f>
        <v>0</v>
      </c>
      <c r="N132" s="39">
        <f>資料儲存!G5624</f>
        <v>0</v>
      </c>
      <c r="O132" s="39">
        <f>資料儲存!H5624</f>
        <v>0</v>
      </c>
      <c r="P132" s="39">
        <f>資料儲存!I5624</f>
        <v>0</v>
      </c>
      <c r="Q132" s="39">
        <f>資料儲存!J5624</f>
        <v>0</v>
      </c>
      <c r="R132" s="58"/>
      <c r="S132" s="62">
        <v>43</v>
      </c>
      <c r="T132" s="39">
        <f>資料儲存!D5744</f>
        <v>0</v>
      </c>
      <c r="U132" s="39">
        <f>資料儲存!E5744</f>
        <v>0</v>
      </c>
      <c r="V132" s="39">
        <f>資料儲存!F5744</f>
        <v>0</v>
      </c>
      <c r="W132" s="39">
        <f>資料儲存!G5744</f>
        <v>0</v>
      </c>
      <c r="X132" s="39">
        <f>資料儲存!H5744</f>
        <v>0</v>
      </c>
      <c r="Y132" s="39">
        <f>資料儲存!I5744</f>
        <v>0</v>
      </c>
      <c r="Z132" s="39">
        <f>資料儲存!J5744</f>
        <v>0</v>
      </c>
      <c r="AA132" s="58"/>
      <c r="AB132" s="62">
        <v>43</v>
      </c>
      <c r="AC132" s="39">
        <f>資料儲存!D5864</f>
        <v>0</v>
      </c>
      <c r="AD132" s="39">
        <f>資料儲存!E5864</f>
        <v>0</v>
      </c>
      <c r="AE132" s="39">
        <f>資料儲存!F5864</f>
        <v>0</v>
      </c>
      <c r="AF132" s="39">
        <f>資料儲存!G5864</f>
        <v>0</v>
      </c>
      <c r="AG132" s="39">
        <f>資料儲存!H5864</f>
        <v>0</v>
      </c>
      <c r="AH132" s="39">
        <f>資料儲存!I5864</f>
        <v>0</v>
      </c>
      <c r="AI132" s="39">
        <f>資料儲存!J5864</f>
        <v>0</v>
      </c>
      <c r="AJ132" s="58"/>
      <c r="AK132" s="62">
        <v>43</v>
      </c>
      <c r="AL132" s="39">
        <f>資料儲存!D5984</f>
        <v>0</v>
      </c>
      <c r="AM132" s="39">
        <f>資料儲存!E5984</f>
        <v>0</v>
      </c>
      <c r="AN132" s="39">
        <f>資料儲存!F5984</f>
        <v>0</v>
      </c>
      <c r="AO132" s="39">
        <f>資料儲存!G5984</f>
        <v>0</v>
      </c>
      <c r="AP132" s="39">
        <f>資料儲存!H5984</f>
        <v>0</v>
      </c>
      <c r="AQ132" s="39">
        <f>資料儲存!I5984</f>
        <v>0</v>
      </c>
      <c r="AR132" s="39">
        <f>資料儲存!J5984</f>
        <v>0</v>
      </c>
      <c r="AT132" s="62">
        <v>43</v>
      </c>
      <c r="AU132" s="39">
        <f>資料儲存!D6104</f>
        <v>0</v>
      </c>
      <c r="AV132" s="39">
        <f>資料儲存!E6104</f>
        <v>0</v>
      </c>
      <c r="AW132" s="39">
        <f>資料儲存!F6104</f>
        <v>0</v>
      </c>
      <c r="AX132" s="39">
        <f>資料儲存!G6104</f>
        <v>0</v>
      </c>
      <c r="AY132" s="39">
        <f>資料儲存!H6104</f>
        <v>0</v>
      </c>
      <c r="AZ132" s="39">
        <f>資料儲存!I6104</f>
        <v>0</v>
      </c>
      <c r="BA132" s="39">
        <f>資料儲存!J6104</f>
        <v>0</v>
      </c>
    </row>
    <row r="133" spans="1:53" s="59" customFormat="1" ht="16" thickBot="1">
      <c r="A133" s="62">
        <v>44</v>
      </c>
      <c r="B133" s="39">
        <f>資料儲存!D5505</f>
        <v>0</v>
      </c>
      <c r="C133" s="39">
        <f>資料儲存!E5505</f>
        <v>0</v>
      </c>
      <c r="D133" s="39">
        <f>資料儲存!F5505</f>
        <v>0</v>
      </c>
      <c r="E133" s="39">
        <f>資料儲存!G5505</f>
        <v>0</v>
      </c>
      <c r="F133" s="39">
        <f>資料儲存!H5505</f>
        <v>0</v>
      </c>
      <c r="G133" s="39">
        <f>資料儲存!I5505</f>
        <v>0</v>
      </c>
      <c r="H133" s="39">
        <f>資料儲存!J5505</f>
        <v>0</v>
      </c>
      <c r="I133" s="58"/>
      <c r="J133" s="62">
        <v>44</v>
      </c>
      <c r="K133" s="39">
        <f>資料儲存!D5625</f>
        <v>0</v>
      </c>
      <c r="L133" s="39">
        <f>資料儲存!E5625</f>
        <v>0</v>
      </c>
      <c r="M133" s="39">
        <f>資料儲存!F5625</f>
        <v>0</v>
      </c>
      <c r="N133" s="39">
        <f>資料儲存!G5625</f>
        <v>0</v>
      </c>
      <c r="O133" s="39">
        <f>資料儲存!H5625</f>
        <v>0</v>
      </c>
      <c r="P133" s="39">
        <f>資料儲存!I5625</f>
        <v>0</v>
      </c>
      <c r="Q133" s="39">
        <f>資料儲存!J5625</f>
        <v>0</v>
      </c>
      <c r="R133" s="58"/>
      <c r="S133" s="62">
        <v>44</v>
      </c>
      <c r="T133" s="39">
        <f>資料儲存!D5745</f>
        <v>0</v>
      </c>
      <c r="U133" s="39">
        <f>資料儲存!E5745</f>
        <v>0</v>
      </c>
      <c r="V133" s="39">
        <f>資料儲存!F5745</f>
        <v>0</v>
      </c>
      <c r="W133" s="39">
        <f>資料儲存!G5745</f>
        <v>0</v>
      </c>
      <c r="X133" s="39">
        <f>資料儲存!H5745</f>
        <v>0</v>
      </c>
      <c r="Y133" s="39">
        <f>資料儲存!I5745</f>
        <v>0</v>
      </c>
      <c r="Z133" s="39">
        <f>資料儲存!J5745</f>
        <v>0</v>
      </c>
      <c r="AA133" s="58"/>
      <c r="AB133" s="62">
        <v>44</v>
      </c>
      <c r="AC133" s="39">
        <f>資料儲存!D5865</f>
        <v>0</v>
      </c>
      <c r="AD133" s="39">
        <f>資料儲存!E5865</f>
        <v>0</v>
      </c>
      <c r="AE133" s="39">
        <f>資料儲存!F5865</f>
        <v>0</v>
      </c>
      <c r="AF133" s="39">
        <f>資料儲存!G5865</f>
        <v>0</v>
      </c>
      <c r="AG133" s="39">
        <f>資料儲存!H5865</f>
        <v>0</v>
      </c>
      <c r="AH133" s="39">
        <f>資料儲存!I5865</f>
        <v>0</v>
      </c>
      <c r="AI133" s="39">
        <f>資料儲存!J5865</f>
        <v>0</v>
      </c>
      <c r="AJ133" s="58"/>
      <c r="AK133" s="62">
        <v>44</v>
      </c>
      <c r="AL133" s="39">
        <f>資料儲存!D5985</f>
        <v>0</v>
      </c>
      <c r="AM133" s="39">
        <f>資料儲存!E5985</f>
        <v>0</v>
      </c>
      <c r="AN133" s="39">
        <f>資料儲存!F5985</f>
        <v>0</v>
      </c>
      <c r="AO133" s="39">
        <f>資料儲存!G5985</f>
        <v>0</v>
      </c>
      <c r="AP133" s="39">
        <f>資料儲存!H5985</f>
        <v>0</v>
      </c>
      <c r="AQ133" s="39">
        <f>資料儲存!I5985</f>
        <v>0</v>
      </c>
      <c r="AR133" s="39">
        <f>資料儲存!J5985</f>
        <v>0</v>
      </c>
      <c r="AT133" s="62">
        <v>44</v>
      </c>
      <c r="AU133" s="39">
        <f>資料儲存!D6105</f>
        <v>0</v>
      </c>
      <c r="AV133" s="39">
        <f>資料儲存!E6105</f>
        <v>0</v>
      </c>
      <c r="AW133" s="39">
        <f>資料儲存!F6105</f>
        <v>0</v>
      </c>
      <c r="AX133" s="39">
        <f>資料儲存!G6105</f>
        <v>0</v>
      </c>
      <c r="AY133" s="39">
        <f>資料儲存!H6105</f>
        <v>0</v>
      </c>
      <c r="AZ133" s="39">
        <f>資料儲存!I6105</f>
        <v>0</v>
      </c>
      <c r="BA133" s="39">
        <f>資料儲存!J6105</f>
        <v>0</v>
      </c>
    </row>
    <row r="134" spans="1:53" s="59" customFormat="1" ht="16" thickBot="1">
      <c r="A134" s="62">
        <v>45</v>
      </c>
      <c r="B134" s="39">
        <f>資料儲存!D5506</f>
        <v>0</v>
      </c>
      <c r="C134" s="39">
        <f>資料儲存!E5506</f>
        <v>0</v>
      </c>
      <c r="D134" s="39">
        <f>資料儲存!F5506</f>
        <v>0</v>
      </c>
      <c r="E134" s="39">
        <f>資料儲存!G5506</f>
        <v>0</v>
      </c>
      <c r="F134" s="39">
        <f>資料儲存!H5506</f>
        <v>0</v>
      </c>
      <c r="G134" s="39">
        <f>資料儲存!I5506</f>
        <v>0</v>
      </c>
      <c r="H134" s="39">
        <f>資料儲存!J5506</f>
        <v>0</v>
      </c>
      <c r="I134" s="58"/>
      <c r="J134" s="62">
        <v>45</v>
      </c>
      <c r="K134" s="39">
        <f>資料儲存!D5626</f>
        <v>0</v>
      </c>
      <c r="L134" s="39">
        <f>資料儲存!E5626</f>
        <v>0</v>
      </c>
      <c r="M134" s="39">
        <f>資料儲存!F5626</f>
        <v>0</v>
      </c>
      <c r="N134" s="39">
        <f>資料儲存!G5626</f>
        <v>0</v>
      </c>
      <c r="O134" s="39">
        <f>資料儲存!H5626</f>
        <v>0</v>
      </c>
      <c r="P134" s="39">
        <f>資料儲存!I5626</f>
        <v>0</v>
      </c>
      <c r="Q134" s="39">
        <f>資料儲存!J5626</f>
        <v>0</v>
      </c>
      <c r="R134" s="58"/>
      <c r="S134" s="62">
        <v>45</v>
      </c>
      <c r="T134" s="39">
        <f>資料儲存!D5746</f>
        <v>0</v>
      </c>
      <c r="U134" s="39">
        <f>資料儲存!E5746</f>
        <v>0</v>
      </c>
      <c r="V134" s="39">
        <f>資料儲存!F5746</f>
        <v>0</v>
      </c>
      <c r="W134" s="39">
        <f>資料儲存!G5746</f>
        <v>0</v>
      </c>
      <c r="X134" s="39">
        <f>資料儲存!H5746</f>
        <v>0</v>
      </c>
      <c r="Y134" s="39">
        <f>資料儲存!I5746</f>
        <v>0</v>
      </c>
      <c r="Z134" s="39">
        <f>資料儲存!J5746</f>
        <v>0</v>
      </c>
      <c r="AA134" s="58"/>
      <c r="AB134" s="62">
        <v>45</v>
      </c>
      <c r="AC134" s="39">
        <f>資料儲存!D5866</f>
        <v>0</v>
      </c>
      <c r="AD134" s="39">
        <f>資料儲存!E5866</f>
        <v>0</v>
      </c>
      <c r="AE134" s="39">
        <f>資料儲存!F5866</f>
        <v>0</v>
      </c>
      <c r="AF134" s="39">
        <f>資料儲存!G5866</f>
        <v>0</v>
      </c>
      <c r="AG134" s="39">
        <f>資料儲存!H5866</f>
        <v>0</v>
      </c>
      <c r="AH134" s="39">
        <f>資料儲存!I5866</f>
        <v>0</v>
      </c>
      <c r="AI134" s="39">
        <f>資料儲存!J5866</f>
        <v>0</v>
      </c>
      <c r="AJ134" s="58"/>
      <c r="AK134" s="62">
        <v>45</v>
      </c>
      <c r="AL134" s="39">
        <f>資料儲存!D5986</f>
        <v>0</v>
      </c>
      <c r="AM134" s="39">
        <f>資料儲存!E5986</f>
        <v>0</v>
      </c>
      <c r="AN134" s="39">
        <f>資料儲存!F5986</f>
        <v>0</v>
      </c>
      <c r="AO134" s="39">
        <f>資料儲存!G5986</f>
        <v>0</v>
      </c>
      <c r="AP134" s="39">
        <f>資料儲存!H5986</f>
        <v>0</v>
      </c>
      <c r="AQ134" s="39">
        <f>資料儲存!I5986</f>
        <v>0</v>
      </c>
      <c r="AR134" s="39">
        <f>資料儲存!J5986</f>
        <v>0</v>
      </c>
      <c r="AT134" s="62">
        <v>45</v>
      </c>
      <c r="AU134" s="39">
        <f>資料儲存!D6106</f>
        <v>0</v>
      </c>
      <c r="AV134" s="39">
        <f>資料儲存!E6106</f>
        <v>0</v>
      </c>
      <c r="AW134" s="39">
        <f>資料儲存!F6106</f>
        <v>0</v>
      </c>
      <c r="AX134" s="39">
        <f>資料儲存!G6106</f>
        <v>0</v>
      </c>
      <c r="AY134" s="39">
        <f>資料儲存!H6106</f>
        <v>0</v>
      </c>
      <c r="AZ134" s="39">
        <f>資料儲存!I6106</f>
        <v>0</v>
      </c>
      <c r="BA134" s="39">
        <f>資料儲存!J6106</f>
        <v>0</v>
      </c>
    </row>
    <row r="135" spans="1:53" s="59" customFormat="1" ht="17.25" customHeight="1" thickBot="1">
      <c r="A135" s="40" t="s">
        <v>56</v>
      </c>
      <c r="B135" s="39">
        <f>SUM(B120:E134)</f>
        <v>0</v>
      </c>
      <c r="C135" s="37"/>
      <c r="D135" s="37"/>
      <c r="E135" s="37"/>
      <c r="F135" s="39">
        <f>F134</f>
        <v>0</v>
      </c>
      <c r="G135" s="39">
        <f>G134</f>
        <v>0</v>
      </c>
      <c r="H135" s="39">
        <f>H134</f>
        <v>0</v>
      </c>
      <c r="I135" s="35"/>
      <c r="J135" s="40" t="s">
        <v>56</v>
      </c>
      <c r="K135" s="39">
        <f>SUM(K120:N134)</f>
        <v>0</v>
      </c>
      <c r="L135" s="37"/>
      <c r="M135" s="37"/>
      <c r="N135" s="37"/>
      <c r="O135" s="39">
        <f>O134</f>
        <v>0</v>
      </c>
      <c r="P135" s="39">
        <f>P134</f>
        <v>0</v>
      </c>
      <c r="Q135" s="39">
        <f>Q134</f>
        <v>0</v>
      </c>
      <c r="R135" s="35"/>
      <c r="S135" s="40" t="s">
        <v>56</v>
      </c>
      <c r="T135" s="39">
        <f>SUM(T120:W134)</f>
        <v>0</v>
      </c>
      <c r="U135" s="37"/>
      <c r="V135" s="37"/>
      <c r="W135" s="37"/>
      <c r="X135" s="39">
        <f>X134</f>
        <v>0</v>
      </c>
      <c r="Y135" s="39">
        <f>Y134</f>
        <v>0</v>
      </c>
      <c r="Z135" s="39">
        <f>Z134</f>
        <v>0</v>
      </c>
      <c r="AA135" s="35"/>
      <c r="AB135" s="40" t="s">
        <v>56</v>
      </c>
      <c r="AC135" s="39">
        <f>SUM(AC120:AF134)</f>
        <v>0</v>
      </c>
      <c r="AD135" s="37"/>
      <c r="AE135" s="37"/>
      <c r="AF135" s="37"/>
      <c r="AG135" s="39">
        <f>AG134</f>
        <v>0</v>
      </c>
      <c r="AH135" s="39">
        <f>AH134</f>
        <v>0</v>
      </c>
      <c r="AI135" s="39">
        <f>AI134</f>
        <v>0</v>
      </c>
      <c r="AJ135" s="35"/>
      <c r="AK135" s="40" t="s">
        <v>56</v>
      </c>
      <c r="AL135" s="39">
        <f>SUM(AL120:AO134)</f>
        <v>0</v>
      </c>
      <c r="AM135" s="37"/>
      <c r="AN135" s="37"/>
      <c r="AO135" s="37"/>
      <c r="AP135" s="39">
        <f>AP134</f>
        <v>0</v>
      </c>
      <c r="AQ135" s="39">
        <f>AQ134</f>
        <v>0</v>
      </c>
      <c r="AR135" s="39">
        <f>AR134</f>
        <v>0</v>
      </c>
      <c r="AT135" s="40" t="s">
        <v>56</v>
      </c>
      <c r="AU135" s="39">
        <f>SUM(AU120:AX134)</f>
        <v>0</v>
      </c>
      <c r="AV135" s="37"/>
      <c r="AW135" s="37"/>
      <c r="AX135" s="37"/>
      <c r="AY135" s="39">
        <f>AY134</f>
        <v>0</v>
      </c>
      <c r="AZ135" s="39">
        <f>AZ134</f>
        <v>0</v>
      </c>
      <c r="BA135" s="39">
        <f>BA134</f>
        <v>0</v>
      </c>
    </row>
    <row r="136" spans="1:53" ht="18.5" thickBot="1">
      <c r="A136" s="257" t="s">
        <v>86</v>
      </c>
      <c r="B136" s="258"/>
      <c r="C136" s="258"/>
      <c r="D136" s="258"/>
      <c r="E136" s="258"/>
      <c r="F136" s="258"/>
      <c r="G136" s="258"/>
      <c r="H136" s="259"/>
      <c r="I136" s="14"/>
      <c r="J136" s="257" t="s">
        <v>86</v>
      </c>
      <c r="K136" s="258"/>
      <c r="L136" s="258"/>
      <c r="M136" s="258"/>
      <c r="N136" s="258"/>
      <c r="O136" s="258"/>
      <c r="P136" s="258"/>
      <c r="Q136" s="259"/>
      <c r="R136" s="14"/>
      <c r="S136" s="257" t="s">
        <v>86</v>
      </c>
      <c r="T136" s="258"/>
      <c r="U136" s="258"/>
      <c r="V136" s="258"/>
      <c r="W136" s="258"/>
      <c r="X136" s="258"/>
      <c r="Y136" s="258"/>
      <c r="Z136" s="259"/>
      <c r="AA136" s="14"/>
      <c r="AB136" s="257" t="s">
        <v>86</v>
      </c>
      <c r="AC136" s="258"/>
      <c r="AD136" s="258"/>
      <c r="AE136" s="258"/>
      <c r="AF136" s="258"/>
      <c r="AG136" s="258"/>
      <c r="AH136" s="258"/>
      <c r="AI136" s="259"/>
      <c r="AJ136" s="14"/>
      <c r="AK136" s="257" t="s">
        <v>86</v>
      </c>
      <c r="AL136" s="258"/>
      <c r="AM136" s="258"/>
      <c r="AN136" s="258"/>
      <c r="AO136" s="258"/>
      <c r="AP136" s="258"/>
      <c r="AQ136" s="258"/>
      <c r="AR136" s="259"/>
      <c r="AT136" s="257" t="s">
        <v>86</v>
      </c>
      <c r="AU136" s="258"/>
      <c r="AV136" s="258"/>
      <c r="AW136" s="258"/>
      <c r="AX136" s="258"/>
      <c r="AY136" s="258"/>
      <c r="AZ136" s="258"/>
      <c r="BA136" s="259"/>
    </row>
    <row r="137" spans="1:53" s="67" customFormat="1" ht="17.25" customHeight="1" thickBot="1">
      <c r="A137" s="63" t="s">
        <v>2</v>
      </c>
      <c r="B137" s="64" t="s">
        <v>46</v>
      </c>
      <c r="C137" s="65"/>
      <c r="D137" s="65"/>
      <c r="E137" s="66"/>
      <c r="F137" s="64" t="s">
        <v>47</v>
      </c>
      <c r="G137" s="65"/>
      <c r="H137" s="66"/>
      <c r="I137" s="52"/>
      <c r="J137" s="63" t="s">
        <v>2</v>
      </c>
      <c r="K137" s="64" t="s">
        <v>46</v>
      </c>
      <c r="L137" s="65"/>
      <c r="M137" s="65"/>
      <c r="N137" s="66"/>
      <c r="O137" s="64" t="s">
        <v>47</v>
      </c>
      <c r="P137" s="65"/>
      <c r="Q137" s="66"/>
      <c r="R137" s="52"/>
      <c r="S137" s="63" t="s">
        <v>2</v>
      </c>
      <c r="T137" s="64" t="s">
        <v>46</v>
      </c>
      <c r="U137" s="65"/>
      <c r="V137" s="65"/>
      <c r="W137" s="66"/>
      <c r="X137" s="64" t="s">
        <v>47</v>
      </c>
      <c r="Y137" s="65"/>
      <c r="Z137" s="66"/>
      <c r="AA137" s="52"/>
      <c r="AB137" s="63" t="s">
        <v>2</v>
      </c>
      <c r="AC137" s="64" t="s">
        <v>46</v>
      </c>
      <c r="AD137" s="65"/>
      <c r="AE137" s="65"/>
      <c r="AF137" s="66"/>
      <c r="AG137" s="64" t="s">
        <v>47</v>
      </c>
      <c r="AH137" s="65"/>
      <c r="AI137" s="66"/>
      <c r="AJ137" s="52"/>
      <c r="AK137" s="63" t="s">
        <v>2</v>
      </c>
      <c r="AL137" s="64" t="s">
        <v>46</v>
      </c>
      <c r="AM137" s="65"/>
      <c r="AN137" s="65"/>
      <c r="AO137" s="66"/>
      <c r="AP137" s="64" t="s">
        <v>47</v>
      </c>
      <c r="AQ137" s="65"/>
      <c r="AR137" s="66"/>
      <c r="AT137" s="63" t="s">
        <v>2</v>
      </c>
      <c r="AU137" s="64" t="s">
        <v>46</v>
      </c>
      <c r="AV137" s="65"/>
      <c r="AW137" s="65"/>
      <c r="AX137" s="66"/>
      <c r="AY137" s="64" t="s">
        <v>47</v>
      </c>
      <c r="AZ137" s="65"/>
      <c r="BA137" s="66"/>
    </row>
    <row r="138" spans="1:53" s="67" customFormat="1" ht="16" thickBot="1">
      <c r="A138" s="68" t="s">
        <v>87</v>
      </c>
      <c r="B138" s="69" t="s">
        <v>49</v>
      </c>
      <c r="C138" s="69" t="s">
        <v>50</v>
      </c>
      <c r="D138" s="69" t="s">
        <v>51</v>
      </c>
      <c r="E138" s="69" t="s">
        <v>52</v>
      </c>
      <c r="F138" s="69" t="s">
        <v>53</v>
      </c>
      <c r="G138" s="69" t="s">
        <v>54</v>
      </c>
      <c r="H138" s="69" t="s">
        <v>55</v>
      </c>
      <c r="I138" s="52"/>
      <c r="J138" s="68" t="s">
        <v>87</v>
      </c>
      <c r="K138" s="69" t="s">
        <v>49</v>
      </c>
      <c r="L138" s="69" t="s">
        <v>50</v>
      </c>
      <c r="M138" s="69" t="s">
        <v>51</v>
      </c>
      <c r="N138" s="69" t="s">
        <v>52</v>
      </c>
      <c r="O138" s="69" t="s">
        <v>53</v>
      </c>
      <c r="P138" s="69" t="s">
        <v>54</v>
      </c>
      <c r="Q138" s="69" t="s">
        <v>55</v>
      </c>
      <c r="R138" s="52"/>
      <c r="S138" s="68" t="s">
        <v>87</v>
      </c>
      <c r="T138" s="69" t="s">
        <v>49</v>
      </c>
      <c r="U138" s="69" t="s">
        <v>50</v>
      </c>
      <c r="V138" s="69" t="s">
        <v>51</v>
      </c>
      <c r="W138" s="69" t="s">
        <v>52</v>
      </c>
      <c r="X138" s="69" t="s">
        <v>53</v>
      </c>
      <c r="Y138" s="69" t="s">
        <v>54</v>
      </c>
      <c r="Z138" s="69" t="s">
        <v>55</v>
      </c>
      <c r="AA138" s="52"/>
      <c r="AB138" s="68" t="s">
        <v>87</v>
      </c>
      <c r="AC138" s="69" t="s">
        <v>49</v>
      </c>
      <c r="AD138" s="69" t="s">
        <v>50</v>
      </c>
      <c r="AE138" s="69" t="s">
        <v>51</v>
      </c>
      <c r="AF138" s="69" t="s">
        <v>52</v>
      </c>
      <c r="AG138" s="69" t="s">
        <v>53</v>
      </c>
      <c r="AH138" s="69" t="s">
        <v>54</v>
      </c>
      <c r="AI138" s="69" t="s">
        <v>55</v>
      </c>
      <c r="AJ138" s="52"/>
      <c r="AK138" s="68" t="s">
        <v>87</v>
      </c>
      <c r="AL138" s="69" t="s">
        <v>49</v>
      </c>
      <c r="AM138" s="69" t="s">
        <v>50</v>
      </c>
      <c r="AN138" s="69" t="s">
        <v>51</v>
      </c>
      <c r="AO138" s="69" t="s">
        <v>52</v>
      </c>
      <c r="AP138" s="69" t="s">
        <v>53</v>
      </c>
      <c r="AQ138" s="69" t="s">
        <v>54</v>
      </c>
      <c r="AR138" s="69" t="s">
        <v>55</v>
      </c>
      <c r="AT138" s="68" t="s">
        <v>87</v>
      </c>
      <c r="AU138" s="69" t="s">
        <v>49</v>
      </c>
      <c r="AV138" s="69" t="s">
        <v>50</v>
      </c>
      <c r="AW138" s="69" t="s">
        <v>51</v>
      </c>
      <c r="AX138" s="69" t="s">
        <v>52</v>
      </c>
      <c r="AY138" s="69" t="s">
        <v>53</v>
      </c>
      <c r="AZ138" s="69" t="s">
        <v>54</v>
      </c>
      <c r="BA138" s="69" t="s">
        <v>55</v>
      </c>
    </row>
    <row r="139" spans="1:53" s="67" customFormat="1" ht="16" thickBot="1">
      <c r="A139" s="70">
        <v>46</v>
      </c>
      <c r="B139" s="49">
        <f>資料儲存!D5507</f>
        <v>0</v>
      </c>
      <c r="C139" s="49">
        <f>資料儲存!E5507</f>
        <v>0</v>
      </c>
      <c r="D139" s="49">
        <f>資料儲存!F5507</f>
        <v>0</v>
      </c>
      <c r="E139" s="49">
        <f>資料儲存!G5507</f>
        <v>0</v>
      </c>
      <c r="F139" s="49">
        <f>資料儲存!H5507</f>
        <v>0</v>
      </c>
      <c r="G139" s="49">
        <f>資料儲存!I5507</f>
        <v>0</v>
      </c>
      <c r="H139" s="49">
        <f>資料儲存!J5507</f>
        <v>0</v>
      </c>
      <c r="I139" s="52"/>
      <c r="J139" s="70">
        <v>46</v>
      </c>
      <c r="K139" s="49">
        <f>資料儲存!D5627</f>
        <v>0</v>
      </c>
      <c r="L139" s="49">
        <f>資料儲存!E5627</f>
        <v>0</v>
      </c>
      <c r="M139" s="49">
        <f>資料儲存!F5627</f>
        <v>0</v>
      </c>
      <c r="N139" s="49">
        <f>資料儲存!G5627</f>
        <v>0</v>
      </c>
      <c r="O139" s="49">
        <f>資料儲存!H5627</f>
        <v>0</v>
      </c>
      <c r="P139" s="49">
        <f>資料儲存!I5627</f>
        <v>0</v>
      </c>
      <c r="Q139" s="49">
        <f>資料儲存!J5627</f>
        <v>0</v>
      </c>
      <c r="R139" s="52"/>
      <c r="S139" s="70">
        <v>46</v>
      </c>
      <c r="T139" s="49">
        <f>資料儲存!D5747</f>
        <v>0</v>
      </c>
      <c r="U139" s="49">
        <f>資料儲存!E5747</f>
        <v>0</v>
      </c>
      <c r="V139" s="49">
        <f>資料儲存!F5747</f>
        <v>0</v>
      </c>
      <c r="W139" s="49">
        <f>資料儲存!G5747</f>
        <v>0</v>
      </c>
      <c r="X139" s="49">
        <f>資料儲存!H5747</f>
        <v>0</v>
      </c>
      <c r="Y139" s="49">
        <f>資料儲存!I5747</f>
        <v>0</v>
      </c>
      <c r="Z139" s="49">
        <f>資料儲存!J5747</f>
        <v>0</v>
      </c>
      <c r="AA139" s="52"/>
      <c r="AB139" s="70">
        <v>46</v>
      </c>
      <c r="AC139" s="49">
        <f>資料儲存!D5867</f>
        <v>0</v>
      </c>
      <c r="AD139" s="49">
        <f>資料儲存!E5867</f>
        <v>0</v>
      </c>
      <c r="AE139" s="49">
        <f>資料儲存!F5867</f>
        <v>0</v>
      </c>
      <c r="AF139" s="49">
        <f>資料儲存!G5867</f>
        <v>0</v>
      </c>
      <c r="AG139" s="49">
        <f>資料儲存!H5867</f>
        <v>0</v>
      </c>
      <c r="AH139" s="49">
        <f>資料儲存!I5867</f>
        <v>0</v>
      </c>
      <c r="AI139" s="49">
        <f>資料儲存!J5867</f>
        <v>0</v>
      </c>
      <c r="AJ139" s="52"/>
      <c r="AK139" s="70">
        <v>46</v>
      </c>
      <c r="AL139" s="49">
        <f>資料儲存!D5987</f>
        <v>0</v>
      </c>
      <c r="AM139" s="49">
        <f>資料儲存!E5987</f>
        <v>0</v>
      </c>
      <c r="AN139" s="49">
        <f>資料儲存!F5987</f>
        <v>0</v>
      </c>
      <c r="AO139" s="49">
        <f>資料儲存!G5987</f>
        <v>0</v>
      </c>
      <c r="AP139" s="49">
        <f>資料儲存!H5987</f>
        <v>0</v>
      </c>
      <c r="AQ139" s="49">
        <f>資料儲存!I5987</f>
        <v>0</v>
      </c>
      <c r="AR139" s="49">
        <f>資料儲存!J5987</f>
        <v>0</v>
      </c>
      <c r="AT139" s="70">
        <v>46</v>
      </c>
      <c r="AU139" s="49">
        <f>資料儲存!D6107</f>
        <v>0</v>
      </c>
      <c r="AV139" s="49">
        <f>資料儲存!E6107</f>
        <v>0</v>
      </c>
      <c r="AW139" s="49">
        <f>資料儲存!F6107</f>
        <v>0</v>
      </c>
      <c r="AX139" s="49">
        <f>資料儲存!G6107</f>
        <v>0</v>
      </c>
      <c r="AY139" s="49">
        <f>資料儲存!H6107</f>
        <v>0</v>
      </c>
      <c r="AZ139" s="49">
        <f>資料儲存!I6107</f>
        <v>0</v>
      </c>
      <c r="BA139" s="49">
        <f>資料儲存!J6107</f>
        <v>0</v>
      </c>
    </row>
    <row r="140" spans="1:53" s="67" customFormat="1" ht="16" thickBot="1">
      <c r="A140" s="70">
        <v>47</v>
      </c>
      <c r="B140" s="49">
        <f>資料儲存!D5508</f>
        <v>0</v>
      </c>
      <c r="C140" s="49">
        <f>資料儲存!E5508</f>
        <v>0</v>
      </c>
      <c r="D140" s="49">
        <f>資料儲存!F5508</f>
        <v>0</v>
      </c>
      <c r="E140" s="49">
        <f>資料儲存!G5508</f>
        <v>0</v>
      </c>
      <c r="F140" s="49">
        <f>資料儲存!H5508</f>
        <v>0</v>
      </c>
      <c r="G140" s="49">
        <f>資料儲存!I5508</f>
        <v>0</v>
      </c>
      <c r="H140" s="49">
        <f>資料儲存!J5508</f>
        <v>0</v>
      </c>
      <c r="I140" s="52"/>
      <c r="J140" s="70">
        <v>47</v>
      </c>
      <c r="K140" s="49">
        <f>資料儲存!D5628</f>
        <v>0</v>
      </c>
      <c r="L140" s="49">
        <f>資料儲存!E5628</f>
        <v>0</v>
      </c>
      <c r="M140" s="49">
        <f>資料儲存!F5628</f>
        <v>0</v>
      </c>
      <c r="N140" s="49">
        <f>資料儲存!G5628</f>
        <v>0</v>
      </c>
      <c r="O140" s="49">
        <f>資料儲存!H5628</f>
        <v>0</v>
      </c>
      <c r="P140" s="49">
        <f>資料儲存!I5628</f>
        <v>0</v>
      </c>
      <c r="Q140" s="49">
        <f>資料儲存!J5628</f>
        <v>0</v>
      </c>
      <c r="R140" s="52"/>
      <c r="S140" s="70">
        <v>47</v>
      </c>
      <c r="T140" s="49">
        <f>資料儲存!D5748</f>
        <v>0</v>
      </c>
      <c r="U140" s="49">
        <f>資料儲存!E5748</f>
        <v>0</v>
      </c>
      <c r="V140" s="49">
        <f>資料儲存!F5748</f>
        <v>0</v>
      </c>
      <c r="W140" s="49">
        <f>資料儲存!G5748</f>
        <v>0</v>
      </c>
      <c r="X140" s="49">
        <f>資料儲存!H5748</f>
        <v>0</v>
      </c>
      <c r="Y140" s="49">
        <f>資料儲存!I5748</f>
        <v>0</v>
      </c>
      <c r="Z140" s="49">
        <f>資料儲存!J5748</f>
        <v>0</v>
      </c>
      <c r="AA140" s="52"/>
      <c r="AB140" s="70">
        <v>47</v>
      </c>
      <c r="AC140" s="49">
        <f>資料儲存!D5868</f>
        <v>0</v>
      </c>
      <c r="AD140" s="49">
        <f>資料儲存!E5868</f>
        <v>0</v>
      </c>
      <c r="AE140" s="49">
        <f>資料儲存!F5868</f>
        <v>0</v>
      </c>
      <c r="AF140" s="49">
        <f>資料儲存!G5868</f>
        <v>0</v>
      </c>
      <c r="AG140" s="49">
        <f>資料儲存!H5868</f>
        <v>0</v>
      </c>
      <c r="AH140" s="49">
        <f>資料儲存!I5868</f>
        <v>0</v>
      </c>
      <c r="AI140" s="49">
        <f>資料儲存!J5868</f>
        <v>0</v>
      </c>
      <c r="AJ140" s="52"/>
      <c r="AK140" s="70">
        <v>47</v>
      </c>
      <c r="AL140" s="49">
        <f>資料儲存!D5988</f>
        <v>0</v>
      </c>
      <c r="AM140" s="49">
        <f>資料儲存!E5988</f>
        <v>0</v>
      </c>
      <c r="AN140" s="49">
        <f>資料儲存!F5988</f>
        <v>0</v>
      </c>
      <c r="AO140" s="49">
        <f>資料儲存!G5988</f>
        <v>0</v>
      </c>
      <c r="AP140" s="49">
        <f>資料儲存!H5988</f>
        <v>0</v>
      </c>
      <c r="AQ140" s="49">
        <f>資料儲存!I5988</f>
        <v>0</v>
      </c>
      <c r="AR140" s="49">
        <f>資料儲存!J5988</f>
        <v>0</v>
      </c>
      <c r="AT140" s="70">
        <v>47</v>
      </c>
      <c r="AU140" s="49">
        <f>資料儲存!D6108</f>
        <v>0</v>
      </c>
      <c r="AV140" s="49">
        <f>資料儲存!E6108</f>
        <v>0</v>
      </c>
      <c r="AW140" s="49">
        <f>資料儲存!F6108</f>
        <v>0</v>
      </c>
      <c r="AX140" s="49">
        <f>資料儲存!G6108</f>
        <v>0</v>
      </c>
      <c r="AY140" s="49">
        <f>資料儲存!H6108</f>
        <v>0</v>
      </c>
      <c r="AZ140" s="49">
        <f>資料儲存!I6108</f>
        <v>0</v>
      </c>
      <c r="BA140" s="49">
        <f>資料儲存!J6108</f>
        <v>0</v>
      </c>
    </row>
    <row r="141" spans="1:53" s="67" customFormat="1" ht="16" thickBot="1">
      <c r="A141" s="70">
        <v>48</v>
      </c>
      <c r="B141" s="49">
        <f>資料儲存!D5509</f>
        <v>0</v>
      </c>
      <c r="C141" s="49">
        <f>資料儲存!E5509</f>
        <v>0</v>
      </c>
      <c r="D141" s="49">
        <f>資料儲存!F5509</f>
        <v>0</v>
      </c>
      <c r="E141" s="49">
        <f>資料儲存!G5509</f>
        <v>0</v>
      </c>
      <c r="F141" s="49">
        <f>資料儲存!H5509</f>
        <v>0</v>
      </c>
      <c r="G141" s="49">
        <f>資料儲存!I5509</f>
        <v>0</v>
      </c>
      <c r="H141" s="49">
        <f>資料儲存!J5509</f>
        <v>0</v>
      </c>
      <c r="I141" s="52"/>
      <c r="J141" s="70">
        <v>48</v>
      </c>
      <c r="K141" s="49">
        <f>資料儲存!D5629</f>
        <v>0</v>
      </c>
      <c r="L141" s="49">
        <f>資料儲存!E5629</f>
        <v>0</v>
      </c>
      <c r="M141" s="49">
        <f>資料儲存!F5629</f>
        <v>0</v>
      </c>
      <c r="N141" s="49">
        <f>資料儲存!G5629</f>
        <v>0</v>
      </c>
      <c r="O141" s="49">
        <f>資料儲存!H5629</f>
        <v>0</v>
      </c>
      <c r="P141" s="49">
        <f>資料儲存!I5629</f>
        <v>0</v>
      </c>
      <c r="Q141" s="49">
        <f>資料儲存!J5629</f>
        <v>0</v>
      </c>
      <c r="R141" s="52"/>
      <c r="S141" s="70">
        <v>48</v>
      </c>
      <c r="T141" s="49">
        <f>資料儲存!D5749</f>
        <v>0</v>
      </c>
      <c r="U141" s="49">
        <f>資料儲存!E5749</f>
        <v>0</v>
      </c>
      <c r="V141" s="49">
        <f>資料儲存!F5749</f>
        <v>0</v>
      </c>
      <c r="W141" s="49">
        <f>資料儲存!G5749</f>
        <v>0</v>
      </c>
      <c r="X141" s="49">
        <f>資料儲存!H5749</f>
        <v>0</v>
      </c>
      <c r="Y141" s="49">
        <f>資料儲存!I5749</f>
        <v>0</v>
      </c>
      <c r="Z141" s="49">
        <f>資料儲存!J5749</f>
        <v>0</v>
      </c>
      <c r="AA141" s="52"/>
      <c r="AB141" s="70">
        <v>48</v>
      </c>
      <c r="AC141" s="49">
        <f>資料儲存!D5869</f>
        <v>0</v>
      </c>
      <c r="AD141" s="49">
        <f>資料儲存!E5869</f>
        <v>0</v>
      </c>
      <c r="AE141" s="49">
        <f>資料儲存!F5869</f>
        <v>0</v>
      </c>
      <c r="AF141" s="49">
        <f>資料儲存!G5869</f>
        <v>0</v>
      </c>
      <c r="AG141" s="49">
        <f>資料儲存!H5869</f>
        <v>0</v>
      </c>
      <c r="AH141" s="49">
        <f>資料儲存!I5869</f>
        <v>0</v>
      </c>
      <c r="AI141" s="49">
        <f>資料儲存!J5869</f>
        <v>0</v>
      </c>
      <c r="AJ141" s="52"/>
      <c r="AK141" s="70">
        <v>48</v>
      </c>
      <c r="AL141" s="49">
        <f>資料儲存!D5989</f>
        <v>0</v>
      </c>
      <c r="AM141" s="49">
        <f>資料儲存!E5989</f>
        <v>0</v>
      </c>
      <c r="AN141" s="49">
        <f>資料儲存!F5989</f>
        <v>0</v>
      </c>
      <c r="AO141" s="49">
        <f>資料儲存!G5989</f>
        <v>0</v>
      </c>
      <c r="AP141" s="49">
        <f>資料儲存!H5989</f>
        <v>0</v>
      </c>
      <c r="AQ141" s="49">
        <f>資料儲存!I5989</f>
        <v>0</v>
      </c>
      <c r="AR141" s="49">
        <f>資料儲存!J5989</f>
        <v>0</v>
      </c>
      <c r="AT141" s="70">
        <v>48</v>
      </c>
      <c r="AU141" s="49">
        <f>資料儲存!D6109</f>
        <v>0</v>
      </c>
      <c r="AV141" s="49">
        <f>資料儲存!E6109</f>
        <v>0</v>
      </c>
      <c r="AW141" s="49">
        <f>資料儲存!F6109</f>
        <v>0</v>
      </c>
      <c r="AX141" s="49">
        <f>資料儲存!G6109</f>
        <v>0</v>
      </c>
      <c r="AY141" s="49">
        <f>資料儲存!H6109</f>
        <v>0</v>
      </c>
      <c r="AZ141" s="49">
        <f>資料儲存!I6109</f>
        <v>0</v>
      </c>
      <c r="BA141" s="49">
        <f>資料儲存!J6109</f>
        <v>0</v>
      </c>
    </row>
    <row r="142" spans="1:53" s="67" customFormat="1" ht="16" thickBot="1">
      <c r="A142" s="70">
        <v>49</v>
      </c>
      <c r="B142" s="49">
        <f>資料儲存!D5510</f>
        <v>0</v>
      </c>
      <c r="C142" s="49">
        <f>資料儲存!E5510</f>
        <v>0</v>
      </c>
      <c r="D142" s="49">
        <f>資料儲存!F5510</f>
        <v>0</v>
      </c>
      <c r="E142" s="49">
        <f>資料儲存!G5510</f>
        <v>0</v>
      </c>
      <c r="F142" s="49">
        <f>資料儲存!H5510</f>
        <v>0</v>
      </c>
      <c r="G142" s="49">
        <f>資料儲存!I5510</f>
        <v>0</v>
      </c>
      <c r="H142" s="49">
        <f>資料儲存!J5510</f>
        <v>0</v>
      </c>
      <c r="I142" s="52"/>
      <c r="J142" s="70">
        <v>49</v>
      </c>
      <c r="K142" s="49">
        <f>資料儲存!D5630</f>
        <v>0</v>
      </c>
      <c r="L142" s="49">
        <f>資料儲存!E5630</f>
        <v>0</v>
      </c>
      <c r="M142" s="49">
        <f>資料儲存!F5630</f>
        <v>0</v>
      </c>
      <c r="N142" s="49">
        <f>資料儲存!G5630</f>
        <v>0</v>
      </c>
      <c r="O142" s="49">
        <f>資料儲存!H5630</f>
        <v>0</v>
      </c>
      <c r="P142" s="49">
        <f>資料儲存!I5630</f>
        <v>0</v>
      </c>
      <c r="Q142" s="49">
        <f>資料儲存!J5630</f>
        <v>0</v>
      </c>
      <c r="R142" s="52"/>
      <c r="S142" s="70">
        <v>49</v>
      </c>
      <c r="T142" s="49">
        <f>資料儲存!D5750</f>
        <v>0</v>
      </c>
      <c r="U142" s="49">
        <f>資料儲存!E5750</f>
        <v>0</v>
      </c>
      <c r="V142" s="49">
        <f>資料儲存!F5750</f>
        <v>0</v>
      </c>
      <c r="W142" s="49">
        <f>資料儲存!G5750</f>
        <v>0</v>
      </c>
      <c r="X142" s="49">
        <f>資料儲存!H5750</f>
        <v>0</v>
      </c>
      <c r="Y142" s="49">
        <f>資料儲存!I5750</f>
        <v>0</v>
      </c>
      <c r="Z142" s="49">
        <f>資料儲存!J5750</f>
        <v>0</v>
      </c>
      <c r="AA142" s="52"/>
      <c r="AB142" s="70">
        <v>49</v>
      </c>
      <c r="AC142" s="49">
        <f>資料儲存!D5870</f>
        <v>0</v>
      </c>
      <c r="AD142" s="49">
        <f>資料儲存!E5870</f>
        <v>0</v>
      </c>
      <c r="AE142" s="49">
        <f>資料儲存!F5870</f>
        <v>0</v>
      </c>
      <c r="AF142" s="49">
        <f>資料儲存!G5870</f>
        <v>0</v>
      </c>
      <c r="AG142" s="49">
        <f>資料儲存!H5870</f>
        <v>0</v>
      </c>
      <c r="AH142" s="49">
        <f>資料儲存!I5870</f>
        <v>0</v>
      </c>
      <c r="AI142" s="49">
        <f>資料儲存!J5870</f>
        <v>0</v>
      </c>
      <c r="AJ142" s="52"/>
      <c r="AK142" s="70">
        <v>49</v>
      </c>
      <c r="AL142" s="49">
        <f>資料儲存!D5990</f>
        <v>0</v>
      </c>
      <c r="AM142" s="49">
        <f>資料儲存!E5990</f>
        <v>0</v>
      </c>
      <c r="AN142" s="49">
        <f>資料儲存!F5990</f>
        <v>0</v>
      </c>
      <c r="AO142" s="49">
        <f>資料儲存!G5990</f>
        <v>0</v>
      </c>
      <c r="AP142" s="49">
        <f>資料儲存!H5990</f>
        <v>0</v>
      </c>
      <c r="AQ142" s="49">
        <f>資料儲存!I5990</f>
        <v>0</v>
      </c>
      <c r="AR142" s="49">
        <f>資料儲存!J5990</f>
        <v>0</v>
      </c>
      <c r="AT142" s="70">
        <v>49</v>
      </c>
      <c r="AU142" s="49">
        <f>資料儲存!D6110</f>
        <v>0</v>
      </c>
      <c r="AV142" s="49">
        <f>資料儲存!E6110</f>
        <v>0</v>
      </c>
      <c r="AW142" s="49">
        <f>資料儲存!F6110</f>
        <v>0</v>
      </c>
      <c r="AX142" s="49">
        <f>資料儲存!G6110</f>
        <v>0</v>
      </c>
      <c r="AY142" s="49">
        <f>資料儲存!H6110</f>
        <v>0</v>
      </c>
      <c r="AZ142" s="49">
        <f>資料儲存!I6110</f>
        <v>0</v>
      </c>
      <c r="BA142" s="49">
        <f>資料儲存!J6110</f>
        <v>0</v>
      </c>
    </row>
    <row r="143" spans="1:53" s="67" customFormat="1" ht="16" thickBot="1">
      <c r="A143" s="70">
        <v>50</v>
      </c>
      <c r="B143" s="49">
        <f>資料儲存!D5511</f>
        <v>0</v>
      </c>
      <c r="C143" s="49">
        <f>資料儲存!E5511</f>
        <v>0</v>
      </c>
      <c r="D143" s="49">
        <f>資料儲存!F5511</f>
        <v>0</v>
      </c>
      <c r="E143" s="49">
        <f>資料儲存!G5511</f>
        <v>0</v>
      </c>
      <c r="F143" s="49">
        <f>資料儲存!H5511</f>
        <v>0</v>
      </c>
      <c r="G143" s="49">
        <f>資料儲存!I5511</f>
        <v>0</v>
      </c>
      <c r="H143" s="49">
        <f>資料儲存!J5511</f>
        <v>0</v>
      </c>
      <c r="I143" s="52"/>
      <c r="J143" s="70">
        <v>50</v>
      </c>
      <c r="K143" s="49">
        <f>資料儲存!D5631</f>
        <v>0</v>
      </c>
      <c r="L143" s="49">
        <f>資料儲存!E5631</f>
        <v>0</v>
      </c>
      <c r="M143" s="49">
        <f>資料儲存!F5631</f>
        <v>0</v>
      </c>
      <c r="N143" s="49">
        <f>資料儲存!G5631</f>
        <v>0</v>
      </c>
      <c r="O143" s="49">
        <f>資料儲存!H5631</f>
        <v>0</v>
      </c>
      <c r="P143" s="49">
        <f>資料儲存!I5631</f>
        <v>0</v>
      </c>
      <c r="Q143" s="49">
        <f>資料儲存!J5631</f>
        <v>0</v>
      </c>
      <c r="R143" s="52"/>
      <c r="S143" s="70">
        <v>50</v>
      </c>
      <c r="T143" s="49">
        <f>資料儲存!D5751</f>
        <v>0</v>
      </c>
      <c r="U143" s="49">
        <f>資料儲存!E5751</f>
        <v>0</v>
      </c>
      <c r="V143" s="49">
        <f>資料儲存!F5751</f>
        <v>0</v>
      </c>
      <c r="W143" s="49">
        <f>資料儲存!G5751</f>
        <v>0</v>
      </c>
      <c r="X143" s="49">
        <f>資料儲存!H5751</f>
        <v>0</v>
      </c>
      <c r="Y143" s="49">
        <f>資料儲存!I5751</f>
        <v>0</v>
      </c>
      <c r="Z143" s="49">
        <f>資料儲存!J5751</f>
        <v>0</v>
      </c>
      <c r="AA143" s="52"/>
      <c r="AB143" s="70">
        <v>50</v>
      </c>
      <c r="AC143" s="49">
        <f>資料儲存!D5871</f>
        <v>0</v>
      </c>
      <c r="AD143" s="49">
        <f>資料儲存!E5871</f>
        <v>0</v>
      </c>
      <c r="AE143" s="49">
        <f>資料儲存!F5871</f>
        <v>0</v>
      </c>
      <c r="AF143" s="49">
        <f>資料儲存!G5871</f>
        <v>0</v>
      </c>
      <c r="AG143" s="49">
        <f>資料儲存!H5871</f>
        <v>0</v>
      </c>
      <c r="AH143" s="49">
        <f>資料儲存!I5871</f>
        <v>0</v>
      </c>
      <c r="AI143" s="49">
        <f>資料儲存!J5871</f>
        <v>0</v>
      </c>
      <c r="AJ143" s="52"/>
      <c r="AK143" s="70">
        <v>50</v>
      </c>
      <c r="AL143" s="49">
        <f>資料儲存!D5991</f>
        <v>0</v>
      </c>
      <c r="AM143" s="49">
        <f>資料儲存!E5991</f>
        <v>0</v>
      </c>
      <c r="AN143" s="49">
        <f>資料儲存!F5991</f>
        <v>0</v>
      </c>
      <c r="AO143" s="49">
        <f>資料儲存!G5991</f>
        <v>0</v>
      </c>
      <c r="AP143" s="49">
        <f>資料儲存!H5991</f>
        <v>0</v>
      </c>
      <c r="AQ143" s="49">
        <f>資料儲存!I5991</f>
        <v>0</v>
      </c>
      <c r="AR143" s="49">
        <f>資料儲存!J5991</f>
        <v>0</v>
      </c>
      <c r="AT143" s="70">
        <v>50</v>
      </c>
      <c r="AU143" s="49">
        <f>資料儲存!D6111</f>
        <v>0</v>
      </c>
      <c r="AV143" s="49">
        <f>資料儲存!E6111</f>
        <v>0</v>
      </c>
      <c r="AW143" s="49">
        <f>資料儲存!F6111</f>
        <v>0</v>
      </c>
      <c r="AX143" s="49">
        <f>資料儲存!G6111</f>
        <v>0</v>
      </c>
      <c r="AY143" s="49">
        <f>資料儲存!H6111</f>
        <v>0</v>
      </c>
      <c r="AZ143" s="49">
        <f>資料儲存!I6111</f>
        <v>0</v>
      </c>
      <c r="BA143" s="49">
        <f>資料儲存!J6111</f>
        <v>0</v>
      </c>
    </row>
    <row r="144" spans="1:53" s="67" customFormat="1" ht="16" thickBot="1">
      <c r="A144" s="70">
        <v>51</v>
      </c>
      <c r="B144" s="49">
        <f>資料儲存!D5512</f>
        <v>0</v>
      </c>
      <c r="C144" s="49">
        <f>資料儲存!E5512</f>
        <v>0</v>
      </c>
      <c r="D144" s="49">
        <f>資料儲存!F5512</f>
        <v>0</v>
      </c>
      <c r="E144" s="49">
        <f>資料儲存!G5512</f>
        <v>0</v>
      </c>
      <c r="F144" s="49">
        <f>資料儲存!H5512</f>
        <v>0</v>
      </c>
      <c r="G144" s="49">
        <f>資料儲存!I5512</f>
        <v>0</v>
      </c>
      <c r="H144" s="49">
        <f>資料儲存!J5512</f>
        <v>0</v>
      </c>
      <c r="I144" s="52"/>
      <c r="J144" s="70">
        <v>51</v>
      </c>
      <c r="K144" s="49">
        <f>資料儲存!D5632</f>
        <v>0</v>
      </c>
      <c r="L144" s="49">
        <f>資料儲存!E5632</f>
        <v>0</v>
      </c>
      <c r="M144" s="49">
        <f>資料儲存!F5632</f>
        <v>0</v>
      </c>
      <c r="N144" s="49">
        <f>資料儲存!G5632</f>
        <v>0</v>
      </c>
      <c r="O144" s="49">
        <f>資料儲存!H5632</f>
        <v>0</v>
      </c>
      <c r="P144" s="49">
        <f>資料儲存!I5632</f>
        <v>0</v>
      </c>
      <c r="Q144" s="49">
        <f>資料儲存!J5632</f>
        <v>0</v>
      </c>
      <c r="R144" s="52"/>
      <c r="S144" s="70">
        <v>51</v>
      </c>
      <c r="T144" s="49">
        <f>資料儲存!D5752</f>
        <v>0</v>
      </c>
      <c r="U144" s="49">
        <f>資料儲存!E5752</f>
        <v>0</v>
      </c>
      <c r="V144" s="49">
        <f>資料儲存!F5752</f>
        <v>0</v>
      </c>
      <c r="W144" s="49">
        <f>資料儲存!G5752</f>
        <v>0</v>
      </c>
      <c r="X144" s="49">
        <f>資料儲存!H5752</f>
        <v>0</v>
      </c>
      <c r="Y144" s="49">
        <f>資料儲存!I5752</f>
        <v>0</v>
      </c>
      <c r="Z144" s="49">
        <f>資料儲存!J5752</f>
        <v>0</v>
      </c>
      <c r="AA144" s="52"/>
      <c r="AB144" s="70">
        <v>51</v>
      </c>
      <c r="AC144" s="49">
        <f>資料儲存!D5872</f>
        <v>0</v>
      </c>
      <c r="AD144" s="49">
        <f>資料儲存!E5872</f>
        <v>0</v>
      </c>
      <c r="AE144" s="49">
        <f>資料儲存!F5872</f>
        <v>0</v>
      </c>
      <c r="AF144" s="49">
        <f>資料儲存!G5872</f>
        <v>0</v>
      </c>
      <c r="AG144" s="49">
        <f>資料儲存!H5872</f>
        <v>0</v>
      </c>
      <c r="AH144" s="49">
        <f>資料儲存!I5872</f>
        <v>0</v>
      </c>
      <c r="AI144" s="49">
        <f>資料儲存!J5872</f>
        <v>0</v>
      </c>
      <c r="AJ144" s="52"/>
      <c r="AK144" s="70">
        <v>51</v>
      </c>
      <c r="AL144" s="49">
        <f>資料儲存!D5992</f>
        <v>0</v>
      </c>
      <c r="AM144" s="49">
        <f>資料儲存!E5992</f>
        <v>0</v>
      </c>
      <c r="AN144" s="49">
        <f>資料儲存!F5992</f>
        <v>0</v>
      </c>
      <c r="AO144" s="49">
        <f>資料儲存!G5992</f>
        <v>0</v>
      </c>
      <c r="AP144" s="49">
        <f>資料儲存!H5992</f>
        <v>0</v>
      </c>
      <c r="AQ144" s="49">
        <f>資料儲存!I5992</f>
        <v>0</v>
      </c>
      <c r="AR144" s="49">
        <f>資料儲存!J5992</f>
        <v>0</v>
      </c>
      <c r="AT144" s="70">
        <v>51</v>
      </c>
      <c r="AU144" s="49">
        <f>資料儲存!D6112</f>
        <v>0</v>
      </c>
      <c r="AV144" s="49">
        <f>資料儲存!E6112</f>
        <v>0</v>
      </c>
      <c r="AW144" s="49">
        <f>資料儲存!F6112</f>
        <v>0</v>
      </c>
      <c r="AX144" s="49">
        <f>資料儲存!G6112</f>
        <v>0</v>
      </c>
      <c r="AY144" s="49">
        <f>資料儲存!H6112</f>
        <v>0</v>
      </c>
      <c r="AZ144" s="49">
        <f>資料儲存!I6112</f>
        <v>0</v>
      </c>
      <c r="BA144" s="49">
        <f>資料儲存!J6112</f>
        <v>0</v>
      </c>
    </row>
    <row r="145" spans="1:53" s="67" customFormat="1" ht="16" thickBot="1">
      <c r="A145" s="70">
        <v>52</v>
      </c>
      <c r="B145" s="49">
        <f>資料儲存!D5513</f>
        <v>0</v>
      </c>
      <c r="C145" s="49">
        <f>資料儲存!E5513</f>
        <v>0</v>
      </c>
      <c r="D145" s="49">
        <f>資料儲存!F5513</f>
        <v>0</v>
      </c>
      <c r="E145" s="49">
        <f>資料儲存!G5513</f>
        <v>0</v>
      </c>
      <c r="F145" s="49">
        <f>資料儲存!H5513</f>
        <v>0</v>
      </c>
      <c r="G145" s="49">
        <f>資料儲存!I5513</f>
        <v>0</v>
      </c>
      <c r="H145" s="49">
        <f>資料儲存!J5513</f>
        <v>0</v>
      </c>
      <c r="I145" s="52"/>
      <c r="J145" s="70">
        <v>52</v>
      </c>
      <c r="K145" s="49">
        <f>資料儲存!D5633</f>
        <v>0</v>
      </c>
      <c r="L145" s="49">
        <f>資料儲存!E5633</f>
        <v>0</v>
      </c>
      <c r="M145" s="49">
        <f>資料儲存!F5633</f>
        <v>0</v>
      </c>
      <c r="N145" s="49">
        <f>資料儲存!G5633</f>
        <v>0</v>
      </c>
      <c r="O145" s="49">
        <f>資料儲存!H5633</f>
        <v>0</v>
      </c>
      <c r="P145" s="49">
        <f>資料儲存!I5633</f>
        <v>0</v>
      </c>
      <c r="Q145" s="49">
        <f>資料儲存!J5633</f>
        <v>0</v>
      </c>
      <c r="R145" s="52"/>
      <c r="S145" s="70">
        <v>52</v>
      </c>
      <c r="T145" s="49">
        <f>資料儲存!D5753</f>
        <v>0</v>
      </c>
      <c r="U145" s="49">
        <f>資料儲存!E5753</f>
        <v>0</v>
      </c>
      <c r="V145" s="49">
        <f>資料儲存!F5753</f>
        <v>0</v>
      </c>
      <c r="W145" s="49">
        <f>資料儲存!G5753</f>
        <v>0</v>
      </c>
      <c r="X145" s="49">
        <f>資料儲存!H5753</f>
        <v>0</v>
      </c>
      <c r="Y145" s="49">
        <f>資料儲存!I5753</f>
        <v>0</v>
      </c>
      <c r="Z145" s="49">
        <f>資料儲存!J5753</f>
        <v>0</v>
      </c>
      <c r="AA145" s="52"/>
      <c r="AB145" s="70">
        <v>52</v>
      </c>
      <c r="AC145" s="49">
        <f>資料儲存!D5873</f>
        <v>0</v>
      </c>
      <c r="AD145" s="49">
        <f>資料儲存!E5873</f>
        <v>0</v>
      </c>
      <c r="AE145" s="49">
        <f>資料儲存!F5873</f>
        <v>0</v>
      </c>
      <c r="AF145" s="49">
        <f>資料儲存!G5873</f>
        <v>0</v>
      </c>
      <c r="AG145" s="49">
        <f>資料儲存!H5873</f>
        <v>0</v>
      </c>
      <c r="AH145" s="49">
        <f>資料儲存!I5873</f>
        <v>0</v>
      </c>
      <c r="AI145" s="49">
        <f>資料儲存!J5873</f>
        <v>0</v>
      </c>
      <c r="AJ145" s="52"/>
      <c r="AK145" s="70">
        <v>52</v>
      </c>
      <c r="AL145" s="49">
        <f>資料儲存!D5993</f>
        <v>0</v>
      </c>
      <c r="AM145" s="49">
        <f>資料儲存!E5993</f>
        <v>0</v>
      </c>
      <c r="AN145" s="49">
        <f>資料儲存!F5993</f>
        <v>0</v>
      </c>
      <c r="AO145" s="49">
        <f>資料儲存!G5993</f>
        <v>0</v>
      </c>
      <c r="AP145" s="49">
        <f>資料儲存!H5993</f>
        <v>0</v>
      </c>
      <c r="AQ145" s="49">
        <f>資料儲存!I5993</f>
        <v>0</v>
      </c>
      <c r="AR145" s="49">
        <f>資料儲存!J5993</f>
        <v>0</v>
      </c>
      <c r="AT145" s="70">
        <v>52</v>
      </c>
      <c r="AU145" s="49">
        <f>資料儲存!D6113</f>
        <v>0</v>
      </c>
      <c r="AV145" s="49">
        <f>資料儲存!E6113</f>
        <v>0</v>
      </c>
      <c r="AW145" s="49">
        <f>資料儲存!F6113</f>
        <v>0</v>
      </c>
      <c r="AX145" s="49">
        <f>資料儲存!G6113</f>
        <v>0</v>
      </c>
      <c r="AY145" s="49">
        <f>資料儲存!H6113</f>
        <v>0</v>
      </c>
      <c r="AZ145" s="49">
        <f>資料儲存!I6113</f>
        <v>0</v>
      </c>
      <c r="BA145" s="49">
        <f>資料儲存!J6113</f>
        <v>0</v>
      </c>
    </row>
    <row r="146" spans="1:53" s="67" customFormat="1" ht="16" thickBot="1">
      <c r="A146" s="70">
        <v>53</v>
      </c>
      <c r="B146" s="49">
        <f>資料儲存!D5514</f>
        <v>0</v>
      </c>
      <c r="C146" s="49">
        <f>資料儲存!E5514</f>
        <v>0</v>
      </c>
      <c r="D146" s="49">
        <f>資料儲存!F5514</f>
        <v>0</v>
      </c>
      <c r="E146" s="49">
        <f>資料儲存!G5514</f>
        <v>0</v>
      </c>
      <c r="F146" s="49">
        <f>資料儲存!H5514</f>
        <v>0</v>
      </c>
      <c r="G146" s="49">
        <f>資料儲存!I5514</f>
        <v>0</v>
      </c>
      <c r="H146" s="49">
        <f>資料儲存!J5514</f>
        <v>0</v>
      </c>
      <c r="I146" s="52"/>
      <c r="J146" s="70">
        <v>53</v>
      </c>
      <c r="K146" s="49">
        <f>資料儲存!D5634</f>
        <v>0</v>
      </c>
      <c r="L146" s="49">
        <f>資料儲存!E5634</f>
        <v>0</v>
      </c>
      <c r="M146" s="49">
        <f>資料儲存!F5634</f>
        <v>0</v>
      </c>
      <c r="N146" s="49">
        <f>資料儲存!G5634</f>
        <v>0</v>
      </c>
      <c r="O146" s="49">
        <f>資料儲存!H5634</f>
        <v>0</v>
      </c>
      <c r="P146" s="49">
        <f>資料儲存!I5634</f>
        <v>0</v>
      </c>
      <c r="Q146" s="49">
        <f>資料儲存!J5634</f>
        <v>0</v>
      </c>
      <c r="R146" s="52"/>
      <c r="S146" s="70">
        <v>53</v>
      </c>
      <c r="T146" s="49">
        <f>資料儲存!D5754</f>
        <v>0</v>
      </c>
      <c r="U146" s="49">
        <f>資料儲存!E5754</f>
        <v>0</v>
      </c>
      <c r="V146" s="49">
        <f>資料儲存!F5754</f>
        <v>0</v>
      </c>
      <c r="W146" s="49">
        <f>資料儲存!G5754</f>
        <v>0</v>
      </c>
      <c r="X146" s="49">
        <f>資料儲存!H5754</f>
        <v>0</v>
      </c>
      <c r="Y146" s="49">
        <f>資料儲存!I5754</f>
        <v>0</v>
      </c>
      <c r="Z146" s="49">
        <f>資料儲存!J5754</f>
        <v>0</v>
      </c>
      <c r="AA146" s="52"/>
      <c r="AB146" s="70">
        <v>53</v>
      </c>
      <c r="AC146" s="49">
        <f>資料儲存!D5874</f>
        <v>0</v>
      </c>
      <c r="AD146" s="49">
        <f>資料儲存!E5874</f>
        <v>0</v>
      </c>
      <c r="AE146" s="49">
        <f>資料儲存!F5874</f>
        <v>0</v>
      </c>
      <c r="AF146" s="49">
        <f>資料儲存!G5874</f>
        <v>0</v>
      </c>
      <c r="AG146" s="49">
        <f>資料儲存!H5874</f>
        <v>0</v>
      </c>
      <c r="AH146" s="49">
        <f>資料儲存!I5874</f>
        <v>0</v>
      </c>
      <c r="AI146" s="49">
        <f>資料儲存!J5874</f>
        <v>0</v>
      </c>
      <c r="AJ146" s="52"/>
      <c r="AK146" s="70">
        <v>53</v>
      </c>
      <c r="AL146" s="49">
        <f>資料儲存!D5994</f>
        <v>0</v>
      </c>
      <c r="AM146" s="49">
        <f>資料儲存!E5994</f>
        <v>0</v>
      </c>
      <c r="AN146" s="49">
        <f>資料儲存!F5994</f>
        <v>0</v>
      </c>
      <c r="AO146" s="49">
        <f>資料儲存!G5994</f>
        <v>0</v>
      </c>
      <c r="AP146" s="49">
        <f>資料儲存!H5994</f>
        <v>0</v>
      </c>
      <c r="AQ146" s="49">
        <f>資料儲存!I5994</f>
        <v>0</v>
      </c>
      <c r="AR146" s="49">
        <f>資料儲存!J5994</f>
        <v>0</v>
      </c>
      <c r="AT146" s="70">
        <v>53</v>
      </c>
      <c r="AU146" s="49">
        <f>資料儲存!D6114</f>
        <v>0</v>
      </c>
      <c r="AV146" s="49">
        <f>資料儲存!E6114</f>
        <v>0</v>
      </c>
      <c r="AW146" s="49">
        <f>資料儲存!F6114</f>
        <v>0</v>
      </c>
      <c r="AX146" s="49">
        <f>資料儲存!G6114</f>
        <v>0</v>
      </c>
      <c r="AY146" s="49">
        <f>資料儲存!H6114</f>
        <v>0</v>
      </c>
      <c r="AZ146" s="49">
        <f>資料儲存!I6114</f>
        <v>0</v>
      </c>
      <c r="BA146" s="49">
        <f>資料儲存!J6114</f>
        <v>0</v>
      </c>
    </row>
    <row r="147" spans="1:53" s="67" customFormat="1" ht="16" thickBot="1">
      <c r="A147" s="70">
        <v>54</v>
      </c>
      <c r="B147" s="49">
        <f>資料儲存!D5515</f>
        <v>0</v>
      </c>
      <c r="C147" s="49">
        <f>資料儲存!E5515</f>
        <v>0</v>
      </c>
      <c r="D147" s="49">
        <f>資料儲存!F5515</f>
        <v>0</v>
      </c>
      <c r="E147" s="49">
        <f>資料儲存!G5515</f>
        <v>0</v>
      </c>
      <c r="F147" s="49">
        <f>資料儲存!H5515</f>
        <v>0</v>
      </c>
      <c r="G147" s="49">
        <f>資料儲存!I5515</f>
        <v>0</v>
      </c>
      <c r="H147" s="49">
        <f>資料儲存!J5515</f>
        <v>0</v>
      </c>
      <c r="I147" s="52"/>
      <c r="J147" s="70">
        <v>54</v>
      </c>
      <c r="K147" s="49">
        <f>資料儲存!D5635</f>
        <v>0</v>
      </c>
      <c r="L147" s="49">
        <f>資料儲存!E5635</f>
        <v>0</v>
      </c>
      <c r="M147" s="49">
        <f>資料儲存!F5635</f>
        <v>0</v>
      </c>
      <c r="N147" s="49">
        <f>資料儲存!G5635</f>
        <v>0</v>
      </c>
      <c r="O147" s="49">
        <f>資料儲存!H5635</f>
        <v>0</v>
      </c>
      <c r="P147" s="49">
        <f>資料儲存!I5635</f>
        <v>0</v>
      </c>
      <c r="Q147" s="49">
        <f>資料儲存!J5635</f>
        <v>0</v>
      </c>
      <c r="R147" s="52"/>
      <c r="S147" s="70">
        <v>54</v>
      </c>
      <c r="T147" s="49">
        <f>資料儲存!D5755</f>
        <v>0</v>
      </c>
      <c r="U147" s="49">
        <f>資料儲存!E5755</f>
        <v>0</v>
      </c>
      <c r="V147" s="49">
        <f>資料儲存!F5755</f>
        <v>0</v>
      </c>
      <c r="W147" s="49">
        <f>資料儲存!G5755</f>
        <v>0</v>
      </c>
      <c r="X147" s="49">
        <f>資料儲存!H5755</f>
        <v>0</v>
      </c>
      <c r="Y147" s="49">
        <f>資料儲存!I5755</f>
        <v>0</v>
      </c>
      <c r="Z147" s="49">
        <f>資料儲存!J5755</f>
        <v>0</v>
      </c>
      <c r="AA147" s="52"/>
      <c r="AB147" s="70">
        <v>54</v>
      </c>
      <c r="AC147" s="49">
        <f>資料儲存!D5875</f>
        <v>0</v>
      </c>
      <c r="AD147" s="49">
        <f>資料儲存!E5875</f>
        <v>0</v>
      </c>
      <c r="AE147" s="49">
        <f>資料儲存!F5875</f>
        <v>0</v>
      </c>
      <c r="AF147" s="49">
        <f>資料儲存!G5875</f>
        <v>0</v>
      </c>
      <c r="AG147" s="49">
        <f>資料儲存!H5875</f>
        <v>0</v>
      </c>
      <c r="AH147" s="49">
        <f>資料儲存!I5875</f>
        <v>0</v>
      </c>
      <c r="AI147" s="49">
        <f>資料儲存!J5875</f>
        <v>0</v>
      </c>
      <c r="AJ147" s="52"/>
      <c r="AK147" s="70">
        <v>54</v>
      </c>
      <c r="AL147" s="49">
        <f>資料儲存!D5995</f>
        <v>0</v>
      </c>
      <c r="AM147" s="49">
        <f>資料儲存!E5995</f>
        <v>0</v>
      </c>
      <c r="AN147" s="49">
        <f>資料儲存!F5995</f>
        <v>0</v>
      </c>
      <c r="AO147" s="49">
        <f>資料儲存!G5995</f>
        <v>0</v>
      </c>
      <c r="AP147" s="49">
        <f>資料儲存!H5995</f>
        <v>0</v>
      </c>
      <c r="AQ147" s="49">
        <f>資料儲存!I5995</f>
        <v>0</v>
      </c>
      <c r="AR147" s="49">
        <f>資料儲存!J5995</f>
        <v>0</v>
      </c>
      <c r="AT147" s="70">
        <v>54</v>
      </c>
      <c r="AU147" s="49">
        <f>資料儲存!D6115</f>
        <v>0</v>
      </c>
      <c r="AV147" s="49">
        <f>資料儲存!E6115</f>
        <v>0</v>
      </c>
      <c r="AW147" s="49">
        <f>資料儲存!F6115</f>
        <v>0</v>
      </c>
      <c r="AX147" s="49">
        <f>資料儲存!G6115</f>
        <v>0</v>
      </c>
      <c r="AY147" s="49">
        <f>資料儲存!H6115</f>
        <v>0</v>
      </c>
      <c r="AZ147" s="49">
        <f>資料儲存!I6115</f>
        <v>0</v>
      </c>
      <c r="BA147" s="49">
        <f>資料儲存!J6115</f>
        <v>0</v>
      </c>
    </row>
    <row r="148" spans="1:53" s="67" customFormat="1" ht="16" thickBot="1">
      <c r="A148" s="70">
        <v>55</v>
      </c>
      <c r="B148" s="49">
        <f>資料儲存!D5516</f>
        <v>0</v>
      </c>
      <c r="C148" s="49">
        <f>資料儲存!E5516</f>
        <v>0</v>
      </c>
      <c r="D148" s="49">
        <f>資料儲存!F5516</f>
        <v>0</v>
      </c>
      <c r="E148" s="49">
        <f>資料儲存!G5516</f>
        <v>0</v>
      </c>
      <c r="F148" s="49">
        <f>資料儲存!H5516</f>
        <v>0</v>
      </c>
      <c r="G148" s="49">
        <f>資料儲存!I5516</f>
        <v>0</v>
      </c>
      <c r="H148" s="49">
        <f>資料儲存!J5516</f>
        <v>0</v>
      </c>
      <c r="I148" s="52"/>
      <c r="J148" s="70">
        <v>55</v>
      </c>
      <c r="K148" s="49">
        <f>資料儲存!D5636</f>
        <v>0</v>
      </c>
      <c r="L148" s="49">
        <f>資料儲存!E5636</f>
        <v>0</v>
      </c>
      <c r="M148" s="49">
        <f>資料儲存!F5636</f>
        <v>0</v>
      </c>
      <c r="N148" s="49">
        <f>資料儲存!G5636</f>
        <v>0</v>
      </c>
      <c r="O148" s="49">
        <f>資料儲存!H5636</f>
        <v>0</v>
      </c>
      <c r="P148" s="49">
        <f>資料儲存!I5636</f>
        <v>0</v>
      </c>
      <c r="Q148" s="49">
        <f>資料儲存!J5636</f>
        <v>0</v>
      </c>
      <c r="R148" s="52"/>
      <c r="S148" s="70">
        <v>55</v>
      </c>
      <c r="T148" s="49">
        <f>資料儲存!D5756</f>
        <v>0</v>
      </c>
      <c r="U148" s="49">
        <f>資料儲存!E5756</f>
        <v>0</v>
      </c>
      <c r="V148" s="49">
        <f>資料儲存!F5756</f>
        <v>0</v>
      </c>
      <c r="W148" s="49">
        <f>資料儲存!G5756</f>
        <v>0</v>
      </c>
      <c r="X148" s="49">
        <f>資料儲存!H5756</f>
        <v>0</v>
      </c>
      <c r="Y148" s="49">
        <f>資料儲存!I5756</f>
        <v>0</v>
      </c>
      <c r="Z148" s="49">
        <f>資料儲存!J5756</f>
        <v>0</v>
      </c>
      <c r="AA148" s="52"/>
      <c r="AB148" s="70">
        <v>55</v>
      </c>
      <c r="AC148" s="49">
        <f>資料儲存!D5876</f>
        <v>0</v>
      </c>
      <c r="AD148" s="49">
        <f>資料儲存!E5876</f>
        <v>0</v>
      </c>
      <c r="AE148" s="49">
        <f>資料儲存!F5876</f>
        <v>0</v>
      </c>
      <c r="AF148" s="49">
        <f>資料儲存!G5876</f>
        <v>0</v>
      </c>
      <c r="AG148" s="49">
        <f>資料儲存!H5876</f>
        <v>0</v>
      </c>
      <c r="AH148" s="49">
        <f>資料儲存!I5876</f>
        <v>0</v>
      </c>
      <c r="AI148" s="49">
        <f>資料儲存!J5876</f>
        <v>0</v>
      </c>
      <c r="AJ148" s="52"/>
      <c r="AK148" s="70">
        <v>55</v>
      </c>
      <c r="AL148" s="49">
        <f>資料儲存!D5996</f>
        <v>0</v>
      </c>
      <c r="AM148" s="49">
        <f>資料儲存!E5996</f>
        <v>0</v>
      </c>
      <c r="AN148" s="49">
        <f>資料儲存!F5996</f>
        <v>0</v>
      </c>
      <c r="AO148" s="49">
        <f>資料儲存!G5996</f>
        <v>0</v>
      </c>
      <c r="AP148" s="49">
        <f>資料儲存!H5996</f>
        <v>0</v>
      </c>
      <c r="AQ148" s="49">
        <f>資料儲存!I5996</f>
        <v>0</v>
      </c>
      <c r="AR148" s="49">
        <f>資料儲存!J5996</f>
        <v>0</v>
      </c>
      <c r="AT148" s="70">
        <v>55</v>
      </c>
      <c r="AU148" s="49">
        <f>資料儲存!D6116</f>
        <v>0</v>
      </c>
      <c r="AV148" s="49">
        <f>資料儲存!E6116</f>
        <v>0</v>
      </c>
      <c r="AW148" s="49">
        <f>資料儲存!F6116</f>
        <v>0</v>
      </c>
      <c r="AX148" s="49">
        <f>資料儲存!G6116</f>
        <v>0</v>
      </c>
      <c r="AY148" s="49">
        <f>資料儲存!H6116</f>
        <v>0</v>
      </c>
      <c r="AZ148" s="49">
        <f>資料儲存!I6116</f>
        <v>0</v>
      </c>
      <c r="BA148" s="49">
        <f>資料儲存!J6116</f>
        <v>0</v>
      </c>
    </row>
    <row r="149" spans="1:53" s="67" customFormat="1" ht="16" thickBot="1">
      <c r="A149" s="70">
        <v>56</v>
      </c>
      <c r="B149" s="49">
        <f>資料儲存!D5517</f>
        <v>0</v>
      </c>
      <c r="C149" s="49">
        <f>資料儲存!E5517</f>
        <v>0</v>
      </c>
      <c r="D149" s="49">
        <f>資料儲存!F5517</f>
        <v>0</v>
      </c>
      <c r="E149" s="49">
        <f>資料儲存!G5517</f>
        <v>0</v>
      </c>
      <c r="F149" s="49">
        <f>資料儲存!H5517</f>
        <v>0</v>
      </c>
      <c r="G149" s="49">
        <f>資料儲存!I5517</f>
        <v>0</v>
      </c>
      <c r="H149" s="49">
        <f>資料儲存!J5517</f>
        <v>0</v>
      </c>
      <c r="I149" s="52"/>
      <c r="J149" s="70">
        <v>56</v>
      </c>
      <c r="K149" s="49">
        <f>資料儲存!D5637</f>
        <v>0</v>
      </c>
      <c r="L149" s="49">
        <f>資料儲存!E5637</f>
        <v>0</v>
      </c>
      <c r="M149" s="49">
        <f>資料儲存!F5637</f>
        <v>0</v>
      </c>
      <c r="N149" s="49">
        <f>資料儲存!G5637</f>
        <v>0</v>
      </c>
      <c r="O149" s="49">
        <f>資料儲存!H5637</f>
        <v>0</v>
      </c>
      <c r="P149" s="49">
        <f>資料儲存!I5637</f>
        <v>0</v>
      </c>
      <c r="Q149" s="49">
        <f>資料儲存!J5637</f>
        <v>0</v>
      </c>
      <c r="R149" s="52"/>
      <c r="S149" s="70">
        <v>56</v>
      </c>
      <c r="T149" s="49">
        <f>資料儲存!D5757</f>
        <v>0</v>
      </c>
      <c r="U149" s="49">
        <f>資料儲存!E5757</f>
        <v>0</v>
      </c>
      <c r="V149" s="49">
        <f>資料儲存!F5757</f>
        <v>0</v>
      </c>
      <c r="W149" s="49">
        <f>資料儲存!G5757</f>
        <v>0</v>
      </c>
      <c r="X149" s="49">
        <f>資料儲存!H5757</f>
        <v>0</v>
      </c>
      <c r="Y149" s="49">
        <f>資料儲存!I5757</f>
        <v>0</v>
      </c>
      <c r="Z149" s="49">
        <f>資料儲存!J5757</f>
        <v>0</v>
      </c>
      <c r="AA149" s="52"/>
      <c r="AB149" s="70">
        <v>56</v>
      </c>
      <c r="AC149" s="49">
        <f>資料儲存!D5877</f>
        <v>0</v>
      </c>
      <c r="AD149" s="49">
        <f>資料儲存!E5877</f>
        <v>0</v>
      </c>
      <c r="AE149" s="49">
        <f>資料儲存!F5877</f>
        <v>0</v>
      </c>
      <c r="AF149" s="49">
        <f>資料儲存!G5877</f>
        <v>0</v>
      </c>
      <c r="AG149" s="49">
        <f>資料儲存!H5877</f>
        <v>0</v>
      </c>
      <c r="AH149" s="49">
        <f>資料儲存!I5877</f>
        <v>0</v>
      </c>
      <c r="AI149" s="49">
        <f>資料儲存!J5877</f>
        <v>0</v>
      </c>
      <c r="AJ149" s="52"/>
      <c r="AK149" s="70">
        <v>56</v>
      </c>
      <c r="AL149" s="49">
        <f>資料儲存!D5997</f>
        <v>0</v>
      </c>
      <c r="AM149" s="49">
        <f>資料儲存!E5997</f>
        <v>0</v>
      </c>
      <c r="AN149" s="49">
        <f>資料儲存!F5997</f>
        <v>0</v>
      </c>
      <c r="AO149" s="49">
        <f>資料儲存!G5997</f>
        <v>0</v>
      </c>
      <c r="AP149" s="49">
        <f>資料儲存!H5997</f>
        <v>0</v>
      </c>
      <c r="AQ149" s="49">
        <f>資料儲存!I5997</f>
        <v>0</v>
      </c>
      <c r="AR149" s="49">
        <f>資料儲存!J5997</f>
        <v>0</v>
      </c>
      <c r="AT149" s="70">
        <v>56</v>
      </c>
      <c r="AU149" s="49">
        <f>資料儲存!D6117</f>
        <v>0</v>
      </c>
      <c r="AV149" s="49">
        <f>資料儲存!E6117</f>
        <v>0</v>
      </c>
      <c r="AW149" s="49">
        <f>資料儲存!F6117</f>
        <v>0</v>
      </c>
      <c r="AX149" s="49">
        <f>資料儲存!G6117</f>
        <v>0</v>
      </c>
      <c r="AY149" s="49">
        <f>資料儲存!H6117</f>
        <v>0</v>
      </c>
      <c r="AZ149" s="49">
        <f>資料儲存!I6117</f>
        <v>0</v>
      </c>
      <c r="BA149" s="49">
        <f>資料儲存!J6117</f>
        <v>0</v>
      </c>
    </row>
    <row r="150" spans="1:53" s="67" customFormat="1" ht="16" thickBot="1">
      <c r="A150" s="70">
        <v>57</v>
      </c>
      <c r="B150" s="49">
        <f>資料儲存!D5518</f>
        <v>0</v>
      </c>
      <c r="C150" s="49">
        <f>資料儲存!E5518</f>
        <v>0</v>
      </c>
      <c r="D150" s="49">
        <f>資料儲存!F5518</f>
        <v>0</v>
      </c>
      <c r="E150" s="49">
        <f>資料儲存!G5518</f>
        <v>0</v>
      </c>
      <c r="F150" s="49">
        <f>資料儲存!H5518</f>
        <v>0</v>
      </c>
      <c r="G150" s="49">
        <f>資料儲存!I5518</f>
        <v>0</v>
      </c>
      <c r="H150" s="49">
        <f>資料儲存!J5518</f>
        <v>0</v>
      </c>
      <c r="I150" s="52"/>
      <c r="J150" s="70">
        <v>57</v>
      </c>
      <c r="K150" s="49">
        <f>資料儲存!D5638</f>
        <v>0</v>
      </c>
      <c r="L150" s="49">
        <f>資料儲存!E5638</f>
        <v>0</v>
      </c>
      <c r="M150" s="49">
        <f>資料儲存!F5638</f>
        <v>0</v>
      </c>
      <c r="N150" s="49">
        <f>資料儲存!G5638</f>
        <v>0</v>
      </c>
      <c r="O150" s="49">
        <f>資料儲存!H5638</f>
        <v>0</v>
      </c>
      <c r="P150" s="49">
        <f>資料儲存!I5638</f>
        <v>0</v>
      </c>
      <c r="Q150" s="49">
        <f>資料儲存!J5638</f>
        <v>0</v>
      </c>
      <c r="R150" s="52"/>
      <c r="S150" s="70">
        <v>57</v>
      </c>
      <c r="T150" s="49">
        <f>資料儲存!D5758</f>
        <v>0</v>
      </c>
      <c r="U150" s="49">
        <f>資料儲存!E5758</f>
        <v>0</v>
      </c>
      <c r="V150" s="49">
        <f>資料儲存!F5758</f>
        <v>0</v>
      </c>
      <c r="W150" s="49">
        <f>資料儲存!G5758</f>
        <v>0</v>
      </c>
      <c r="X150" s="49">
        <f>資料儲存!H5758</f>
        <v>0</v>
      </c>
      <c r="Y150" s="49">
        <f>資料儲存!I5758</f>
        <v>0</v>
      </c>
      <c r="Z150" s="49">
        <f>資料儲存!J5758</f>
        <v>0</v>
      </c>
      <c r="AA150" s="52"/>
      <c r="AB150" s="70">
        <v>57</v>
      </c>
      <c r="AC150" s="49">
        <f>資料儲存!D5878</f>
        <v>0</v>
      </c>
      <c r="AD150" s="49">
        <f>資料儲存!E5878</f>
        <v>0</v>
      </c>
      <c r="AE150" s="49">
        <f>資料儲存!F5878</f>
        <v>0</v>
      </c>
      <c r="AF150" s="49">
        <f>資料儲存!G5878</f>
        <v>0</v>
      </c>
      <c r="AG150" s="49">
        <f>資料儲存!H5878</f>
        <v>0</v>
      </c>
      <c r="AH150" s="49">
        <f>資料儲存!I5878</f>
        <v>0</v>
      </c>
      <c r="AI150" s="49">
        <f>資料儲存!J5878</f>
        <v>0</v>
      </c>
      <c r="AJ150" s="52"/>
      <c r="AK150" s="70">
        <v>57</v>
      </c>
      <c r="AL150" s="49">
        <f>資料儲存!D5998</f>
        <v>0</v>
      </c>
      <c r="AM150" s="49">
        <f>資料儲存!E5998</f>
        <v>0</v>
      </c>
      <c r="AN150" s="49">
        <f>資料儲存!F5998</f>
        <v>0</v>
      </c>
      <c r="AO150" s="49">
        <f>資料儲存!G5998</f>
        <v>0</v>
      </c>
      <c r="AP150" s="49">
        <f>資料儲存!H5998</f>
        <v>0</v>
      </c>
      <c r="AQ150" s="49">
        <f>資料儲存!I5998</f>
        <v>0</v>
      </c>
      <c r="AR150" s="49">
        <f>資料儲存!J5998</f>
        <v>0</v>
      </c>
      <c r="AT150" s="70">
        <v>57</v>
      </c>
      <c r="AU150" s="49">
        <f>資料儲存!D6118</f>
        <v>0</v>
      </c>
      <c r="AV150" s="49">
        <f>資料儲存!E6118</f>
        <v>0</v>
      </c>
      <c r="AW150" s="49">
        <f>資料儲存!F6118</f>
        <v>0</v>
      </c>
      <c r="AX150" s="49">
        <f>資料儲存!G6118</f>
        <v>0</v>
      </c>
      <c r="AY150" s="49">
        <f>資料儲存!H6118</f>
        <v>0</v>
      </c>
      <c r="AZ150" s="49">
        <f>資料儲存!I6118</f>
        <v>0</v>
      </c>
      <c r="BA150" s="49">
        <f>資料儲存!J6118</f>
        <v>0</v>
      </c>
    </row>
    <row r="151" spans="1:53" s="67" customFormat="1" ht="16" thickBot="1">
      <c r="A151" s="70">
        <v>58</v>
      </c>
      <c r="B151" s="49">
        <f>資料儲存!D5519</f>
        <v>0</v>
      </c>
      <c r="C151" s="49">
        <f>資料儲存!E5519</f>
        <v>0</v>
      </c>
      <c r="D151" s="49">
        <f>資料儲存!F5519</f>
        <v>0</v>
      </c>
      <c r="E151" s="49">
        <f>資料儲存!G5519</f>
        <v>0</v>
      </c>
      <c r="F151" s="49">
        <f>資料儲存!H5519</f>
        <v>0</v>
      </c>
      <c r="G151" s="49">
        <f>資料儲存!I5519</f>
        <v>0</v>
      </c>
      <c r="H151" s="49">
        <f>資料儲存!J5519</f>
        <v>0</v>
      </c>
      <c r="I151" s="52"/>
      <c r="J151" s="70">
        <v>58</v>
      </c>
      <c r="K151" s="49">
        <f>資料儲存!D5639</f>
        <v>0</v>
      </c>
      <c r="L151" s="49">
        <f>資料儲存!E5639</f>
        <v>0</v>
      </c>
      <c r="M151" s="49">
        <f>資料儲存!F5639</f>
        <v>0</v>
      </c>
      <c r="N151" s="49">
        <f>資料儲存!G5639</f>
        <v>0</v>
      </c>
      <c r="O151" s="49">
        <f>資料儲存!H5639</f>
        <v>0</v>
      </c>
      <c r="P151" s="49">
        <f>資料儲存!I5639</f>
        <v>0</v>
      </c>
      <c r="Q151" s="49">
        <f>資料儲存!J5639</f>
        <v>0</v>
      </c>
      <c r="R151" s="52"/>
      <c r="S151" s="70">
        <v>58</v>
      </c>
      <c r="T151" s="49">
        <f>資料儲存!D5759</f>
        <v>0</v>
      </c>
      <c r="U151" s="49">
        <f>資料儲存!E5759</f>
        <v>0</v>
      </c>
      <c r="V151" s="49">
        <f>資料儲存!F5759</f>
        <v>0</v>
      </c>
      <c r="W151" s="49">
        <f>資料儲存!G5759</f>
        <v>0</v>
      </c>
      <c r="X151" s="49">
        <f>資料儲存!H5759</f>
        <v>0</v>
      </c>
      <c r="Y151" s="49">
        <f>資料儲存!I5759</f>
        <v>0</v>
      </c>
      <c r="Z151" s="49">
        <f>資料儲存!J5759</f>
        <v>0</v>
      </c>
      <c r="AA151" s="52"/>
      <c r="AB151" s="70">
        <v>58</v>
      </c>
      <c r="AC151" s="49">
        <f>資料儲存!D5879</f>
        <v>0</v>
      </c>
      <c r="AD151" s="49">
        <f>資料儲存!E5879</f>
        <v>0</v>
      </c>
      <c r="AE151" s="49">
        <f>資料儲存!F5879</f>
        <v>0</v>
      </c>
      <c r="AF151" s="49">
        <f>資料儲存!G5879</f>
        <v>0</v>
      </c>
      <c r="AG151" s="49">
        <f>資料儲存!H5879</f>
        <v>0</v>
      </c>
      <c r="AH151" s="49">
        <f>資料儲存!I5879</f>
        <v>0</v>
      </c>
      <c r="AI151" s="49">
        <f>資料儲存!J5879</f>
        <v>0</v>
      </c>
      <c r="AJ151" s="52"/>
      <c r="AK151" s="70">
        <v>58</v>
      </c>
      <c r="AL151" s="49">
        <f>資料儲存!D5999</f>
        <v>0</v>
      </c>
      <c r="AM151" s="49">
        <f>資料儲存!E5999</f>
        <v>0</v>
      </c>
      <c r="AN151" s="49">
        <f>資料儲存!F5999</f>
        <v>0</v>
      </c>
      <c r="AO151" s="49">
        <f>資料儲存!G5999</f>
        <v>0</v>
      </c>
      <c r="AP151" s="49">
        <f>資料儲存!H5999</f>
        <v>0</v>
      </c>
      <c r="AQ151" s="49">
        <f>資料儲存!I5999</f>
        <v>0</v>
      </c>
      <c r="AR151" s="49">
        <f>資料儲存!J5999</f>
        <v>0</v>
      </c>
      <c r="AT151" s="70">
        <v>58</v>
      </c>
      <c r="AU151" s="49">
        <f>資料儲存!D6119</f>
        <v>0</v>
      </c>
      <c r="AV151" s="49">
        <f>資料儲存!E6119</f>
        <v>0</v>
      </c>
      <c r="AW151" s="49">
        <f>資料儲存!F6119</f>
        <v>0</v>
      </c>
      <c r="AX151" s="49">
        <f>資料儲存!G6119</f>
        <v>0</v>
      </c>
      <c r="AY151" s="49">
        <f>資料儲存!H6119</f>
        <v>0</v>
      </c>
      <c r="AZ151" s="49">
        <f>資料儲存!I6119</f>
        <v>0</v>
      </c>
      <c r="BA151" s="49">
        <f>資料儲存!J6119</f>
        <v>0</v>
      </c>
    </row>
    <row r="152" spans="1:53" s="67" customFormat="1" ht="16" thickBot="1">
      <c r="A152" s="70">
        <v>59</v>
      </c>
      <c r="B152" s="49">
        <f>資料儲存!D5520</f>
        <v>0</v>
      </c>
      <c r="C152" s="49">
        <f>資料儲存!E5520</f>
        <v>0</v>
      </c>
      <c r="D152" s="49">
        <f>資料儲存!F5520</f>
        <v>0</v>
      </c>
      <c r="E152" s="49">
        <f>資料儲存!G5520</f>
        <v>0</v>
      </c>
      <c r="F152" s="49">
        <f>資料儲存!H5520</f>
        <v>0</v>
      </c>
      <c r="G152" s="49">
        <f>資料儲存!I5520</f>
        <v>0</v>
      </c>
      <c r="H152" s="49">
        <f>資料儲存!J5520</f>
        <v>0</v>
      </c>
      <c r="I152" s="52"/>
      <c r="J152" s="70">
        <v>59</v>
      </c>
      <c r="K152" s="49">
        <f>資料儲存!D5640</f>
        <v>0</v>
      </c>
      <c r="L152" s="49">
        <f>資料儲存!E5640</f>
        <v>0</v>
      </c>
      <c r="M152" s="49">
        <f>資料儲存!F5640</f>
        <v>0</v>
      </c>
      <c r="N152" s="49">
        <f>資料儲存!G5640</f>
        <v>0</v>
      </c>
      <c r="O152" s="49">
        <f>資料儲存!H5640</f>
        <v>0</v>
      </c>
      <c r="P152" s="49">
        <f>資料儲存!I5640</f>
        <v>0</v>
      </c>
      <c r="Q152" s="49">
        <f>資料儲存!J5640</f>
        <v>0</v>
      </c>
      <c r="R152" s="52"/>
      <c r="S152" s="70">
        <v>59</v>
      </c>
      <c r="T152" s="49">
        <f>資料儲存!D5760</f>
        <v>0</v>
      </c>
      <c r="U152" s="49">
        <f>資料儲存!E5760</f>
        <v>0</v>
      </c>
      <c r="V152" s="49">
        <f>資料儲存!F5760</f>
        <v>0</v>
      </c>
      <c r="W152" s="49">
        <f>資料儲存!G5760</f>
        <v>0</v>
      </c>
      <c r="X152" s="49">
        <f>資料儲存!H5760</f>
        <v>0</v>
      </c>
      <c r="Y152" s="49">
        <f>資料儲存!I5760</f>
        <v>0</v>
      </c>
      <c r="Z152" s="49">
        <f>資料儲存!J5760</f>
        <v>0</v>
      </c>
      <c r="AA152" s="52"/>
      <c r="AB152" s="70">
        <v>59</v>
      </c>
      <c r="AC152" s="49">
        <f>資料儲存!D5880</f>
        <v>0</v>
      </c>
      <c r="AD152" s="49">
        <f>資料儲存!E5880</f>
        <v>0</v>
      </c>
      <c r="AE152" s="49">
        <f>資料儲存!F5880</f>
        <v>0</v>
      </c>
      <c r="AF152" s="49">
        <f>資料儲存!G5880</f>
        <v>0</v>
      </c>
      <c r="AG152" s="49">
        <f>資料儲存!H5880</f>
        <v>0</v>
      </c>
      <c r="AH152" s="49">
        <f>資料儲存!I5880</f>
        <v>0</v>
      </c>
      <c r="AI152" s="49">
        <f>資料儲存!J5880</f>
        <v>0</v>
      </c>
      <c r="AJ152" s="52"/>
      <c r="AK152" s="70">
        <v>59</v>
      </c>
      <c r="AL152" s="49">
        <f>資料儲存!D6000</f>
        <v>0</v>
      </c>
      <c r="AM152" s="49">
        <f>資料儲存!E6000</f>
        <v>0</v>
      </c>
      <c r="AN152" s="49">
        <f>資料儲存!F6000</f>
        <v>0</v>
      </c>
      <c r="AO152" s="49">
        <f>資料儲存!G6000</f>
        <v>0</v>
      </c>
      <c r="AP152" s="49">
        <f>資料儲存!H6000</f>
        <v>0</v>
      </c>
      <c r="AQ152" s="49">
        <f>資料儲存!I6000</f>
        <v>0</v>
      </c>
      <c r="AR152" s="49">
        <f>資料儲存!J6000</f>
        <v>0</v>
      </c>
      <c r="AT152" s="70">
        <v>59</v>
      </c>
      <c r="AU152" s="49">
        <f>資料儲存!D6120</f>
        <v>0</v>
      </c>
      <c r="AV152" s="49">
        <f>資料儲存!E6120</f>
        <v>0</v>
      </c>
      <c r="AW152" s="49">
        <f>資料儲存!F6120</f>
        <v>0</v>
      </c>
      <c r="AX152" s="49">
        <f>資料儲存!G6120</f>
        <v>0</v>
      </c>
      <c r="AY152" s="49">
        <f>資料儲存!H6120</f>
        <v>0</v>
      </c>
      <c r="AZ152" s="49">
        <f>資料儲存!I6120</f>
        <v>0</v>
      </c>
      <c r="BA152" s="49">
        <f>資料儲存!J6120</f>
        <v>0</v>
      </c>
    </row>
    <row r="153" spans="1:53" s="67" customFormat="1" ht="16" thickBot="1">
      <c r="A153" s="70">
        <v>60</v>
      </c>
      <c r="B153" s="49">
        <f>資料儲存!D5521</f>
        <v>0</v>
      </c>
      <c r="C153" s="49">
        <f>資料儲存!E5521</f>
        <v>0</v>
      </c>
      <c r="D153" s="49">
        <f>資料儲存!F5521</f>
        <v>0</v>
      </c>
      <c r="E153" s="49">
        <f>資料儲存!G5521</f>
        <v>0</v>
      </c>
      <c r="F153" s="49">
        <f>資料儲存!H5521</f>
        <v>0</v>
      </c>
      <c r="G153" s="49">
        <f>資料儲存!I5521</f>
        <v>0</v>
      </c>
      <c r="H153" s="49">
        <f>資料儲存!J5521</f>
        <v>0</v>
      </c>
      <c r="I153" s="52"/>
      <c r="J153" s="70">
        <v>60</v>
      </c>
      <c r="K153" s="49">
        <f>資料儲存!D5641</f>
        <v>0</v>
      </c>
      <c r="L153" s="49">
        <f>資料儲存!E5641</f>
        <v>0</v>
      </c>
      <c r="M153" s="49">
        <f>資料儲存!F5641</f>
        <v>0</v>
      </c>
      <c r="N153" s="49">
        <f>資料儲存!G5641</f>
        <v>0</v>
      </c>
      <c r="O153" s="49">
        <f>資料儲存!H5641</f>
        <v>0</v>
      </c>
      <c r="P153" s="49">
        <f>資料儲存!I5641</f>
        <v>0</v>
      </c>
      <c r="Q153" s="49">
        <f>資料儲存!J5641</f>
        <v>0</v>
      </c>
      <c r="R153" s="52"/>
      <c r="S153" s="70">
        <v>60</v>
      </c>
      <c r="T153" s="49">
        <f>資料儲存!D5761</f>
        <v>0</v>
      </c>
      <c r="U153" s="49">
        <f>資料儲存!E5761</f>
        <v>0</v>
      </c>
      <c r="V153" s="49">
        <f>資料儲存!F5761</f>
        <v>0</v>
      </c>
      <c r="W153" s="49">
        <f>資料儲存!G5761</f>
        <v>0</v>
      </c>
      <c r="X153" s="49">
        <f>資料儲存!H5761</f>
        <v>0</v>
      </c>
      <c r="Y153" s="49">
        <f>資料儲存!I5761</f>
        <v>0</v>
      </c>
      <c r="Z153" s="49">
        <f>資料儲存!J5761</f>
        <v>0</v>
      </c>
      <c r="AA153" s="52"/>
      <c r="AB153" s="70">
        <v>60</v>
      </c>
      <c r="AC153" s="49">
        <f>資料儲存!D5881</f>
        <v>0</v>
      </c>
      <c r="AD153" s="49">
        <f>資料儲存!E5881</f>
        <v>0</v>
      </c>
      <c r="AE153" s="49">
        <f>資料儲存!F5881</f>
        <v>0</v>
      </c>
      <c r="AF153" s="49">
        <f>資料儲存!G5881</f>
        <v>0</v>
      </c>
      <c r="AG153" s="49">
        <f>資料儲存!H5881</f>
        <v>0</v>
      </c>
      <c r="AH153" s="49">
        <f>資料儲存!I5881</f>
        <v>0</v>
      </c>
      <c r="AI153" s="49">
        <f>資料儲存!J5881</f>
        <v>0</v>
      </c>
      <c r="AJ153" s="52"/>
      <c r="AK153" s="70">
        <v>60</v>
      </c>
      <c r="AL153" s="49">
        <f>資料儲存!D6001</f>
        <v>0</v>
      </c>
      <c r="AM153" s="49">
        <f>資料儲存!E6001</f>
        <v>0</v>
      </c>
      <c r="AN153" s="49">
        <f>資料儲存!F6001</f>
        <v>0</v>
      </c>
      <c r="AO153" s="49">
        <f>資料儲存!G6001</f>
        <v>0</v>
      </c>
      <c r="AP153" s="49">
        <f>資料儲存!H6001</f>
        <v>0</v>
      </c>
      <c r="AQ153" s="49">
        <f>資料儲存!I6001</f>
        <v>0</v>
      </c>
      <c r="AR153" s="49">
        <f>資料儲存!J6001</f>
        <v>0</v>
      </c>
      <c r="AT153" s="70">
        <v>60</v>
      </c>
      <c r="AU153" s="49">
        <f>資料儲存!D6121</f>
        <v>0</v>
      </c>
      <c r="AV153" s="49">
        <f>資料儲存!E6121</f>
        <v>0</v>
      </c>
      <c r="AW153" s="49">
        <f>資料儲存!F6121</f>
        <v>0</v>
      </c>
      <c r="AX153" s="49">
        <f>資料儲存!G6121</f>
        <v>0</v>
      </c>
      <c r="AY153" s="49">
        <f>資料儲存!H6121</f>
        <v>0</v>
      </c>
      <c r="AZ153" s="49">
        <f>資料儲存!I6121</f>
        <v>0</v>
      </c>
      <c r="BA153" s="49">
        <f>資料儲存!J6121</f>
        <v>0</v>
      </c>
    </row>
    <row r="154" spans="1:53" s="67" customFormat="1" ht="17.25" customHeight="1" thickBot="1">
      <c r="A154" s="50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0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0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0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45"/>
      <c r="AK154" s="50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  <c r="AT154" s="50" t="s">
        <v>56</v>
      </c>
      <c r="AU154" s="49">
        <f>SUM(AU139:AX153)</f>
        <v>0</v>
      </c>
      <c r="AV154" s="47"/>
      <c r="AW154" s="47"/>
      <c r="AX154" s="47"/>
      <c r="AY154" s="49">
        <f>AY153</f>
        <v>0</v>
      </c>
      <c r="AZ154" s="49">
        <f>AZ153</f>
        <v>0</v>
      </c>
      <c r="BA154" s="49">
        <f>BA153</f>
        <v>0</v>
      </c>
    </row>
    <row r="155" spans="1:53" s="67" customFormat="1">
      <c r="A155" s="71" t="s">
        <v>88</v>
      </c>
      <c r="B155" s="52"/>
      <c r="C155" s="52"/>
      <c r="D155" s="52"/>
      <c r="E155" s="52"/>
      <c r="F155" s="52"/>
      <c r="G155" s="52"/>
      <c r="H155" s="52"/>
      <c r="I155" s="52"/>
      <c r="J155" s="72" t="s">
        <v>88</v>
      </c>
      <c r="K155" s="52"/>
      <c r="L155" s="52"/>
      <c r="M155" s="52"/>
      <c r="N155" s="52"/>
      <c r="O155" s="52"/>
      <c r="P155" s="52"/>
      <c r="Q155" s="52"/>
      <c r="R155" s="52"/>
      <c r="S155" s="72" t="s">
        <v>88</v>
      </c>
      <c r="T155" s="52"/>
      <c r="U155" s="52"/>
      <c r="V155" s="52"/>
      <c r="W155" s="52"/>
      <c r="X155" s="52"/>
      <c r="Y155" s="52"/>
      <c r="Z155" s="52"/>
      <c r="AA155" s="52"/>
      <c r="AB155" s="72" t="s">
        <v>88</v>
      </c>
      <c r="AC155" s="52"/>
      <c r="AD155" s="52"/>
      <c r="AE155" s="52"/>
      <c r="AF155" s="52"/>
      <c r="AG155" s="52"/>
      <c r="AH155" s="52"/>
      <c r="AI155" s="52"/>
      <c r="AJ155" s="52"/>
      <c r="AK155" s="72" t="s">
        <v>88</v>
      </c>
      <c r="AL155" s="52"/>
      <c r="AM155" s="52"/>
      <c r="AN155" s="52"/>
      <c r="AO155" s="52"/>
      <c r="AP155" s="52"/>
      <c r="AQ155" s="52"/>
      <c r="AR155" s="52"/>
    </row>
  </sheetData>
  <mergeCells count="60">
    <mergeCell ref="A136:H136"/>
    <mergeCell ref="S79:Z79"/>
    <mergeCell ref="AB79:AI79"/>
    <mergeCell ref="AB117:AI117"/>
    <mergeCell ref="J117:Q117"/>
    <mergeCell ref="S117:Z117"/>
    <mergeCell ref="A98:H98"/>
    <mergeCell ref="A117:H117"/>
    <mergeCell ref="J136:Q136"/>
    <mergeCell ref="S136:Z136"/>
    <mergeCell ref="AB136:AI136"/>
    <mergeCell ref="J98:Q98"/>
    <mergeCell ref="S98:Z98"/>
    <mergeCell ref="AB98:AI98"/>
    <mergeCell ref="A60:H60"/>
    <mergeCell ref="J60:Q60"/>
    <mergeCell ref="S60:Z60"/>
    <mergeCell ref="AB60:AI60"/>
    <mergeCell ref="A79:H79"/>
    <mergeCell ref="J79:Q79"/>
    <mergeCell ref="A41:H41"/>
    <mergeCell ref="J41:Q41"/>
    <mergeCell ref="S41:Z41"/>
    <mergeCell ref="AB41:AI41"/>
    <mergeCell ref="A3:H3"/>
    <mergeCell ref="J3:Q3"/>
    <mergeCell ref="S3:Z3"/>
    <mergeCell ref="AB3:AI3"/>
    <mergeCell ref="A22:H22"/>
    <mergeCell ref="J22:Q22"/>
    <mergeCell ref="S22:Z22"/>
    <mergeCell ref="AB22:AI22"/>
    <mergeCell ref="AB2:AI2"/>
    <mergeCell ref="S1:Z1"/>
    <mergeCell ref="AB1:AI1"/>
    <mergeCell ref="A1:H1"/>
    <mergeCell ref="J1:Q1"/>
    <mergeCell ref="A2:H2"/>
    <mergeCell ref="J2:Q2"/>
    <mergeCell ref="S2:Z2"/>
    <mergeCell ref="AK1:AR1"/>
    <mergeCell ref="AK2:AR2"/>
    <mergeCell ref="AK3:AR3"/>
    <mergeCell ref="AK22:AR22"/>
    <mergeCell ref="AK41:AR41"/>
    <mergeCell ref="AK60:AR60"/>
    <mergeCell ref="AK79:AR79"/>
    <mergeCell ref="AK98:AR98"/>
    <mergeCell ref="AK117:AR117"/>
    <mergeCell ref="AK136:AR136"/>
    <mergeCell ref="AT1:BA1"/>
    <mergeCell ref="AT2:BA2"/>
    <mergeCell ref="AT3:BA3"/>
    <mergeCell ref="AT22:BA22"/>
    <mergeCell ref="AT41:BA41"/>
    <mergeCell ref="AT60:BA60"/>
    <mergeCell ref="AT79:BA79"/>
    <mergeCell ref="AT98:BA98"/>
    <mergeCell ref="AT117:BA117"/>
    <mergeCell ref="AT136:BA136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已命名的範圍</vt:lpstr>
      </vt:variant>
      <vt:variant>
        <vt:i4>11</vt:i4>
      </vt:variant>
    </vt:vector>
  </HeadingPairs>
  <TitlesOfParts>
    <vt:vector size="26" baseType="lpstr">
      <vt:lpstr>資料儲存</vt:lpstr>
      <vt:lpstr>基本資料</vt:lpstr>
      <vt:lpstr>平日晨峰(0630-0830)</vt:lpstr>
      <vt:lpstr>假日(16-20)</vt:lpstr>
      <vt:lpstr>資料分析</vt:lpstr>
      <vt:lpstr>資料整理</vt:lpstr>
      <vt:lpstr>平日晨峰(07-09)</vt:lpstr>
      <vt:lpstr>平日中午(11-13)</vt:lpstr>
      <vt:lpstr>平日中午(12-14)</vt:lpstr>
      <vt:lpstr>平日昏峰(17-19)</vt:lpstr>
      <vt:lpstr>假日(11-12)</vt:lpstr>
      <vt:lpstr>假日(1430-1530)</vt:lpstr>
      <vt:lpstr>假日(1730-1830)</vt:lpstr>
      <vt:lpstr>假日(16-18)</vt:lpstr>
      <vt:lpstr>假日(17-19)</vt:lpstr>
      <vt:lpstr>'平日中午(11-13)'!Print_Titles</vt:lpstr>
      <vt:lpstr>'平日中午(12-14)'!Print_Titles</vt:lpstr>
      <vt:lpstr>'平日昏峰(17-19)'!Print_Titles</vt:lpstr>
      <vt:lpstr>'平日晨峰(0630-0830)'!Print_Titles</vt:lpstr>
      <vt:lpstr>'平日晨峰(07-09)'!Print_Titles</vt:lpstr>
      <vt:lpstr>'假日(11-12)'!Print_Titles</vt:lpstr>
      <vt:lpstr>'假日(1430-1530)'!Print_Titles</vt:lpstr>
      <vt:lpstr>'假日(16-18)'!Print_Titles</vt:lpstr>
      <vt:lpstr>'假日(16-20)'!Print_Titles</vt:lpstr>
      <vt:lpstr>'假日(17-19)'!Print_Titles</vt:lpstr>
      <vt:lpstr>'假日(1730-1830)'!Print_Titles</vt:lpstr>
    </vt:vector>
  </TitlesOfParts>
  <Manager/>
  <Company>臺灣大學食品科技研究所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iActor 林小淳</dc:creator>
  <cp:keywords/>
  <dc:description/>
  <cp:lastModifiedBy>mis</cp:lastModifiedBy>
  <cp:revision/>
  <cp:lastPrinted>2024-06-04T04:03:59Z</cp:lastPrinted>
  <dcterms:created xsi:type="dcterms:W3CDTF">2009-12-29T20:45:11Z</dcterms:created>
  <dcterms:modified xsi:type="dcterms:W3CDTF">2025-06-06T09:44:12Z</dcterms:modified>
  <cp:category/>
  <cp:contentStatus/>
</cp:coreProperties>
</file>